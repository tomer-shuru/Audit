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AuditRepo\Audit\"/>
    </mc:Choice>
  </mc:AlternateContent>
  <xr:revisionPtr revIDLastSave="0" documentId="13_ncr:1_{91196CBB-EAF2-4717-8101-3DE461DDA674}" xr6:coauthVersionLast="47" xr6:coauthVersionMax="47" xr10:uidLastSave="{00000000-0000-0000-0000-000000000000}"/>
  <bookViews>
    <workbookView xWindow="-120" yWindow="-120" windowWidth="38640" windowHeight="21120" xr2:uid="{E0E293F9-D794-491A-92CF-8D3933F9CC7D}"/>
  </bookViews>
  <sheets>
    <sheet name="Audit Report" sheetId="1" r:id="rId1"/>
    <sheet name="SIMS Audit Report" sheetId="15" r:id="rId2"/>
    <sheet name="Locked and Faulty" sheetId="13" r:id="rId3"/>
    <sheet name="My_Audit" sheetId="5" r:id="rId4"/>
    <sheet name="Input" sheetId="2" r:id="rId5"/>
    <sheet name="Disk_Pivot" sheetId="12" r:id="rId6"/>
    <sheet name="Disk_Pivot_Data" sheetId="10" r:id="rId7"/>
    <sheet name="MacReports" sheetId="3" r:id="rId8"/>
    <sheet name="CSV" sheetId="4" r:id="rId9"/>
    <sheet name="CPU_Formula" sheetId="8" r:id="rId10"/>
    <sheet name="Output_Mac" sheetId="6" r:id="rId11"/>
    <sheet name="Models" sheetId="7" r:id="rId12"/>
    <sheet name="Diagnostics Codes" sheetId="14" r:id="rId13"/>
  </sheets>
  <definedNames>
    <definedName name="_xlpm.chars" hidden="1" xlm="1">#NAME?</definedName>
    <definedName name="_xlpm.CSVVal" hidden="1" xlm="1">#NAME?</definedName>
    <definedName name="_xlpm.descCode" hidden="1" xlm="1">#NAME?</definedName>
    <definedName name="_xlpm.itadCode" hidden="1" xlm="1">#NAME?</definedName>
    <definedName name="_xlpm.item" hidden="1" xlm="1">#NAME?</definedName>
    <definedName name="_xlpm.MacVal" hidden="1" xlm="1">#NAME?</definedName>
    <definedName name="_xlpm.MyAuditVal" hidden="1" xlm="1">#NAME?</definedName>
    <definedName name="_xlpm.r" hidden="1" xlm="1">#NAME?</definedName>
    <definedName name="_xlpm.Result" hidden="1" xlm="1">#NAME?</definedName>
    <definedName name="_xlpm.txt" hidden="1" xlm="1">#NAME?</definedName>
    <definedName name="_xlpm.x" hidden="1" xlm="1">#NAME?</definedName>
  </definedNames>
  <calcPr calcId="191029"/>
  <pivotCaches>
    <pivotCache cacheId="65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0" i="1" l="1" a="1"/>
  <c r="C50" i="1" s="1"/>
  <c r="C51" i="1" a="1"/>
  <c r="C51" i="1" s="1"/>
  <c r="C52" i="1" a="1"/>
  <c r="C52" i="1" s="1"/>
  <c r="C53" i="1" a="1"/>
  <c r="C53" i="1" s="1"/>
  <c r="C54" i="1" a="1"/>
  <c r="C54" i="1" s="1"/>
  <c r="C55" i="1" a="1"/>
  <c r="C55" i="1" s="1"/>
  <c r="C56" i="1" a="1"/>
  <c r="C56" i="1" s="1"/>
  <c r="C57" i="1" a="1"/>
  <c r="C57" i="1" s="1"/>
  <c r="M208" i="4"/>
  <c r="M424" i="4"/>
  <c r="M522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P104" i="4"/>
  <c r="P110" i="4"/>
  <c r="P116" i="4"/>
  <c r="P122" i="4"/>
  <c r="P128" i="4"/>
  <c r="P134" i="4"/>
  <c r="P140" i="4"/>
  <c r="P146" i="4"/>
  <c r="P152" i="4"/>
  <c r="P158" i="4"/>
  <c r="P164" i="4"/>
  <c r="P170" i="4"/>
  <c r="P176" i="4"/>
  <c r="P182" i="4"/>
  <c r="P188" i="4"/>
  <c r="P194" i="4"/>
  <c r="P200" i="4"/>
  <c r="P206" i="4"/>
  <c r="P212" i="4"/>
  <c r="P218" i="4"/>
  <c r="P224" i="4"/>
  <c r="P230" i="4"/>
  <c r="P236" i="4"/>
  <c r="P242" i="4"/>
  <c r="P248" i="4"/>
  <c r="P254" i="4"/>
  <c r="P260" i="4"/>
  <c r="P263" i="4"/>
  <c r="P266" i="4"/>
  <c r="P269" i="4"/>
  <c r="P272" i="4"/>
  <c r="P275" i="4"/>
  <c r="P278" i="4"/>
  <c r="P281" i="4"/>
  <c r="P284" i="4"/>
  <c r="P287" i="4"/>
  <c r="P290" i="4"/>
  <c r="P293" i="4"/>
  <c r="P294" i="4"/>
  <c r="P296" i="4"/>
  <c r="P299" i="4"/>
  <c r="P300" i="4"/>
  <c r="P302" i="4"/>
  <c r="P305" i="4"/>
  <c r="P306" i="4"/>
  <c r="P308" i="4"/>
  <c r="P309" i="4"/>
  <c r="P311" i="4"/>
  <c r="P312" i="4"/>
  <c r="P314" i="4"/>
  <c r="P315" i="4"/>
  <c r="P317" i="4"/>
  <c r="P318" i="4"/>
  <c r="P320" i="4"/>
  <c r="P321" i="4"/>
  <c r="P323" i="4"/>
  <c r="P324" i="4"/>
  <c r="P326" i="4"/>
  <c r="P327" i="4"/>
  <c r="P329" i="4"/>
  <c r="P330" i="4"/>
  <c r="P332" i="4"/>
  <c r="P333" i="4"/>
  <c r="P335" i="4"/>
  <c r="P336" i="4"/>
  <c r="P338" i="4"/>
  <c r="P339" i="4"/>
  <c r="P341" i="4"/>
  <c r="P342" i="4"/>
  <c r="P344" i="4"/>
  <c r="P345" i="4"/>
  <c r="P347" i="4"/>
  <c r="P348" i="4"/>
  <c r="P350" i="4"/>
  <c r="P351" i="4"/>
  <c r="P353" i="4"/>
  <c r="P354" i="4"/>
  <c r="P356" i="4"/>
  <c r="P357" i="4"/>
  <c r="P359" i="4"/>
  <c r="P360" i="4"/>
  <c r="P362" i="4"/>
  <c r="P363" i="4"/>
  <c r="P365" i="4"/>
  <c r="P366" i="4"/>
  <c r="P368" i="4"/>
  <c r="P369" i="4"/>
  <c r="P371" i="4"/>
  <c r="P372" i="4"/>
  <c r="P374" i="4"/>
  <c r="P375" i="4"/>
  <c r="P377" i="4"/>
  <c r="P378" i="4"/>
  <c r="P380" i="4"/>
  <c r="P381" i="4"/>
  <c r="P383" i="4"/>
  <c r="P384" i="4"/>
  <c r="P386" i="4"/>
  <c r="P387" i="4"/>
  <c r="P388" i="4"/>
  <c r="P389" i="4"/>
  <c r="P390" i="4"/>
  <c r="P392" i="4"/>
  <c r="P393" i="4"/>
  <c r="P394" i="4"/>
  <c r="P395" i="4"/>
  <c r="P396" i="4"/>
  <c r="P398" i="4"/>
  <c r="P399" i="4"/>
  <c r="P400" i="4"/>
  <c r="P401" i="4"/>
  <c r="P402" i="4"/>
  <c r="P404" i="4"/>
  <c r="P405" i="4"/>
  <c r="P406" i="4"/>
  <c r="P407" i="4"/>
  <c r="P408" i="4"/>
  <c r="P410" i="4"/>
  <c r="P411" i="4"/>
  <c r="P412" i="4"/>
  <c r="P413" i="4"/>
  <c r="P414" i="4"/>
  <c r="P416" i="4"/>
  <c r="P417" i="4"/>
  <c r="P418" i="4"/>
  <c r="P419" i="4"/>
  <c r="P420" i="4"/>
  <c r="P422" i="4"/>
  <c r="P423" i="4"/>
  <c r="P424" i="4"/>
  <c r="P425" i="4"/>
  <c r="P426" i="4"/>
  <c r="P428" i="4"/>
  <c r="P429" i="4"/>
  <c r="P430" i="4"/>
  <c r="P431" i="4"/>
  <c r="P432" i="4"/>
  <c r="P434" i="4"/>
  <c r="P435" i="4"/>
  <c r="P436" i="4"/>
  <c r="P437" i="4"/>
  <c r="P438" i="4"/>
  <c r="P440" i="4"/>
  <c r="P441" i="4"/>
  <c r="P442" i="4"/>
  <c r="P443" i="4"/>
  <c r="P444" i="4"/>
  <c r="P446" i="4"/>
  <c r="P447" i="4"/>
  <c r="P448" i="4"/>
  <c r="P449" i="4"/>
  <c r="P450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7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J100" i="4"/>
  <c r="M100" i="4" s="1"/>
  <c r="J101" i="4"/>
  <c r="M101" i="4" s="1"/>
  <c r="J102" i="4"/>
  <c r="M102" i="4" s="1"/>
  <c r="J103" i="4"/>
  <c r="M103" i="4" s="1"/>
  <c r="J104" i="4"/>
  <c r="M104" i="4" s="1"/>
  <c r="J105" i="4"/>
  <c r="M105" i="4" s="1"/>
  <c r="J106" i="4"/>
  <c r="M106" i="4" s="1"/>
  <c r="J107" i="4"/>
  <c r="M107" i="4" s="1"/>
  <c r="J108" i="4"/>
  <c r="M108" i="4" s="1"/>
  <c r="J109" i="4"/>
  <c r="M109" i="4" s="1"/>
  <c r="J110" i="4"/>
  <c r="M110" i="4" s="1"/>
  <c r="J111" i="4"/>
  <c r="M111" i="4" s="1"/>
  <c r="J112" i="4"/>
  <c r="M112" i="4" s="1"/>
  <c r="J113" i="4"/>
  <c r="M113" i="4" s="1"/>
  <c r="J114" i="4"/>
  <c r="M114" i="4" s="1"/>
  <c r="J115" i="4"/>
  <c r="M115" i="4" s="1"/>
  <c r="J116" i="4"/>
  <c r="M116" i="4" s="1"/>
  <c r="J117" i="4"/>
  <c r="M117" i="4" s="1"/>
  <c r="J118" i="4"/>
  <c r="M118" i="4" s="1"/>
  <c r="J119" i="4"/>
  <c r="M119" i="4" s="1"/>
  <c r="J120" i="4"/>
  <c r="M120" i="4" s="1"/>
  <c r="J121" i="4"/>
  <c r="M121" i="4" s="1"/>
  <c r="J122" i="4"/>
  <c r="M122" i="4" s="1"/>
  <c r="J123" i="4"/>
  <c r="M123" i="4" s="1"/>
  <c r="J124" i="4"/>
  <c r="M124" i="4" s="1"/>
  <c r="J125" i="4"/>
  <c r="M125" i="4" s="1"/>
  <c r="J126" i="4"/>
  <c r="M126" i="4" s="1"/>
  <c r="J127" i="4"/>
  <c r="M127" i="4" s="1"/>
  <c r="J128" i="4"/>
  <c r="M128" i="4" s="1"/>
  <c r="J129" i="4"/>
  <c r="M129" i="4" s="1"/>
  <c r="J130" i="4"/>
  <c r="M130" i="4" s="1"/>
  <c r="J131" i="4"/>
  <c r="M131" i="4" s="1"/>
  <c r="J132" i="4"/>
  <c r="M132" i="4" s="1"/>
  <c r="J133" i="4"/>
  <c r="M133" i="4" s="1"/>
  <c r="J134" i="4"/>
  <c r="M134" i="4" s="1"/>
  <c r="J135" i="4"/>
  <c r="M135" i="4" s="1"/>
  <c r="J136" i="4"/>
  <c r="M136" i="4" s="1"/>
  <c r="J137" i="4"/>
  <c r="M137" i="4" s="1"/>
  <c r="J138" i="4"/>
  <c r="M138" i="4" s="1"/>
  <c r="J139" i="4"/>
  <c r="M139" i="4" s="1"/>
  <c r="J140" i="4"/>
  <c r="M140" i="4" s="1"/>
  <c r="J141" i="4"/>
  <c r="M141" i="4" s="1"/>
  <c r="J142" i="4"/>
  <c r="M142" i="4" s="1"/>
  <c r="J143" i="4"/>
  <c r="M143" i="4" s="1"/>
  <c r="J144" i="4"/>
  <c r="M144" i="4" s="1"/>
  <c r="J145" i="4"/>
  <c r="M145" i="4" s="1"/>
  <c r="J146" i="4"/>
  <c r="M146" i="4" s="1"/>
  <c r="J147" i="4"/>
  <c r="M147" i="4" s="1"/>
  <c r="J148" i="4"/>
  <c r="M148" i="4" s="1"/>
  <c r="J149" i="4"/>
  <c r="M149" i="4" s="1"/>
  <c r="J150" i="4"/>
  <c r="M150" i="4" s="1"/>
  <c r="J151" i="4"/>
  <c r="M151" i="4" s="1"/>
  <c r="J152" i="4"/>
  <c r="M152" i="4" s="1"/>
  <c r="J153" i="4"/>
  <c r="M153" i="4" s="1"/>
  <c r="J154" i="4"/>
  <c r="M154" i="4" s="1"/>
  <c r="J155" i="4"/>
  <c r="M155" i="4" s="1"/>
  <c r="J156" i="4"/>
  <c r="M156" i="4" s="1"/>
  <c r="J157" i="4"/>
  <c r="M157" i="4" s="1"/>
  <c r="J158" i="4"/>
  <c r="M158" i="4" s="1"/>
  <c r="J159" i="4"/>
  <c r="M159" i="4" s="1"/>
  <c r="J160" i="4"/>
  <c r="M160" i="4" s="1"/>
  <c r="J161" i="4"/>
  <c r="M161" i="4" s="1"/>
  <c r="J162" i="4"/>
  <c r="M162" i="4" s="1"/>
  <c r="J163" i="4"/>
  <c r="M163" i="4" s="1"/>
  <c r="J164" i="4"/>
  <c r="M164" i="4" s="1"/>
  <c r="J165" i="4"/>
  <c r="M165" i="4" s="1"/>
  <c r="J166" i="4"/>
  <c r="M166" i="4" s="1"/>
  <c r="J167" i="4"/>
  <c r="M167" i="4" s="1"/>
  <c r="J168" i="4"/>
  <c r="M168" i="4" s="1"/>
  <c r="J169" i="4"/>
  <c r="M169" i="4" s="1"/>
  <c r="J170" i="4"/>
  <c r="M170" i="4" s="1"/>
  <c r="J171" i="4"/>
  <c r="M171" i="4" s="1"/>
  <c r="J172" i="4"/>
  <c r="M172" i="4" s="1"/>
  <c r="J173" i="4"/>
  <c r="M173" i="4" s="1"/>
  <c r="J174" i="4"/>
  <c r="M174" i="4" s="1"/>
  <c r="J175" i="4"/>
  <c r="M175" i="4" s="1"/>
  <c r="J176" i="4"/>
  <c r="M176" i="4" s="1"/>
  <c r="J177" i="4"/>
  <c r="M177" i="4" s="1"/>
  <c r="J178" i="4"/>
  <c r="M178" i="4" s="1"/>
  <c r="J179" i="4"/>
  <c r="M179" i="4" s="1"/>
  <c r="J180" i="4"/>
  <c r="M180" i="4" s="1"/>
  <c r="J181" i="4"/>
  <c r="M181" i="4" s="1"/>
  <c r="J182" i="4"/>
  <c r="M182" i="4" s="1"/>
  <c r="J183" i="4"/>
  <c r="M183" i="4" s="1"/>
  <c r="J184" i="4"/>
  <c r="M184" i="4" s="1"/>
  <c r="J185" i="4"/>
  <c r="M185" i="4" s="1"/>
  <c r="J186" i="4"/>
  <c r="M186" i="4" s="1"/>
  <c r="J187" i="4"/>
  <c r="M187" i="4" s="1"/>
  <c r="J188" i="4"/>
  <c r="M188" i="4" s="1"/>
  <c r="J189" i="4"/>
  <c r="M189" i="4" s="1"/>
  <c r="J190" i="4"/>
  <c r="M190" i="4" s="1"/>
  <c r="J191" i="4"/>
  <c r="M191" i="4" s="1"/>
  <c r="J192" i="4"/>
  <c r="M192" i="4" s="1"/>
  <c r="J193" i="4"/>
  <c r="M193" i="4" s="1"/>
  <c r="J194" i="4"/>
  <c r="M194" i="4" s="1"/>
  <c r="J195" i="4"/>
  <c r="M195" i="4" s="1"/>
  <c r="J196" i="4"/>
  <c r="M196" i="4" s="1"/>
  <c r="J197" i="4"/>
  <c r="M197" i="4" s="1"/>
  <c r="J198" i="4"/>
  <c r="M198" i="4" s="1"/>
  <c r="J199" i="4"/>
  <c r="M199" i="4" s="1"/>
  <c r="J200" i="4"/>
  <c r="M200" i="4" s="1"/>
  <c r="J201" i="4"/>
  <c r="M201" i="4" s="1"/>
  <c r="J202" i="4"/>
  <c r="M202" i="4" s="1"/>
  <c r="J203" i="4"/>
  <c r="M203" i="4" s="1"/>
  <c r="J204" i="4"/>
  <c r="M204" i="4" s="1"/>
  <c r="J205" i="4"/>
  <c r="M205" i="4" s="1"/>
  <c r="J206" i="4"/>
  <c r="M206" i="4" s="1"/>
  <c r="J207" i="4"/>
  <c r="M207" i="4" s="1"/>
  <c r="J208" i="4"/>
  <c r="J209" i="4"/>
  <c r="M209" i="4" s="1"/>
  <c r="J210" i="4"/>
  <c r="M210" i="4" s="1"/>
  <c r="J211" i="4"/>
  <c r="M211" i="4" s="1"/>
  <c r="J212" i="4"/>
  <c r="M212" i="4" s="1"/>
  <c r="J213" i="4"/>
  <c r="M213" i="4" s="1"/>
  <c r="J214" i="4"/>
  <c r="M214" i="4" s="1"/>
  <c r="J215" i="4"/>
  <c r="M215" i="4" s="1"/>
  <c r="J216" i="4"/>
  <c r="M216" i="4" s="1"/>
  <c r="J217" i="4"/>
  <c r="M217" i="4" s="1"/>
  <c r="J218" i="4"/>
  <c r="M218" i="4" s="1"/>
  <c r="J219" i="4"/>
  <c r="M219" i="4" s="1"/>
  <c r="J220" i="4"/>
  <c r="M220" i="4" s="1"/>
  <c r="J221" i="4"/>
  <c r="M221" i="4" s="1"/>
  <c r="J222" i="4"/>
  <c r="M222" i="4" s="1"/>
  <c r="J223" i="4"/>
  <c r="M223" i="4" s="1"/>
  <c r="J224" i="4"/>
  <c r="M224" i="4" s="1"/>
  <c r="J225" i="4"/>
  <c r="M225" i="4" s="1"/>
  <c r="J226" i="4"/>
  <c r="M226" i="4" s="1"/>
  <c r="J227" i="4"/>
  <c r="M227" i="4" s="1"/>
  <c r="J228" i="4"/>
  <c r="M228" i="4" s="1"/>
  <c r="J229" i="4"/>
  <c r="M229" i="4" s="1"/>
  <c r="J230" i="4"/>
  <c r="M230" i="4" s="1"/>
  <c r="J231" i="4"/>
  <c r="M231" i="4" s="1"/>
  <c r="J232" i="4"/>
  <c r="M232" i="4" s="1"/>
  <c r="J233" i="4"/>
  <c r="M233" i="4" s="1"/>
  <c r="J234" i="4"/>
  <c r="M234" i="4" s="1"/>
  <c r="J235" i="4"/>
  <c r="M235" i="4" s="1"/>
  <c r="J236" i="4"/>
  <c r="M236" i="4" s="1"/>
  <c r="J237" i="4"/>
  <c r="M237" i="4" s="1"/>
  <c r="J238" i="4"/>
  <c r="M238" i="4" s="1"/>
  <c r="J239" i="4"/>
  <c r="M239" i="4" s="1"/>
  <c r="J240" i="4"/>
  <c r="M240" i="4" s="1"/>
  <c r="J241" i="4"/>
  <c r="M241" i="4" s="1"/>
  <c r="J242" i="4"/>
  <c r="M242" i="4" s="1"/>
  <c r="J243" i="4"/>
  <c r="M243" i="4" s="1"/>
  <c r="J244" i="4"/>
  <c r="M244" i="4" s="1"/>
  <c r="J245" i="4"/>
  <c r="M245" i="4" s="1"/>
  <c r="J246" i="4"/>
  <c r="M246" i="4" s="1"/>
  <c r="J247" i="4"/>
  <c r="M247" i="4" s="1"/>
  <c r="J248" i="4"/>
  <c r="M248" i="4" s="1"/>
  <c r="J249" i="4"/>
  <c r="M249" i="4" s="1"/>
  <c r="J250" i="4"/>
  <c r="M250" i="4" s="1"/>
  <c r="J251" i="4"/>
  <c r="M251" i="4" s="1"/>
  <c r="J252" i="4"/>
  <c r="M252" i="4" s="1"/>
  <c r="J253" i="4"/>
  <c r="M253" i="4" s="1"/>
  <c r="J254" i="4"/>
  <c r="M254" i="4" s="1"/>
  <c r="J255" i="4"/>
  <c r="M255" i="4" s="1"/>
  <c r="J256" i="4"/>
  <c r="M256" i="4" s="1"/>
  <c r="J257" i="4"/>
  <c r="M257" i="4" s="1"/>
  <c r="J258" i="4"/>
  <c r="M258" i="4" s="1"/>
  <c r="J259" i="4"/>
  <c r="M259" i="4" s="1"/>
  <c r="J260" i="4"/>
  <c r="M260" i="4" s="1"/>
  <c r="J261" i="4"/>
  <c r="M261" i="4" s="1"/>
  <c r="J262" i="4"/>
  <c r="M262" i="4" s="1"/>
  <c r="J263" i="4"/>
  <c r="M263" i="4" s="1"/>
  <c r="J264" i="4"/>
  <c r="M264" i="4" s="1"/>
  <c r="J265" i="4"/>
  <c r="M265" i="4" s="1"/>
  <c r="J266" i="4"/>
  <c r="M266" i="4" s="1"/>
  <c r="J267" i="4"/>
  <c r="M267" i="4" s="1"/>
  <c r="J268" i="4"/>
  <c r="M268" i="4" s="1"/>
  <c r="J269" i="4"/>
  <c r="M269" i="4" s="1"/>
  <c r="J270" i="4"/>
  <c r="M270" i="4" s="1"/>
  <c r="J271" i="4"/>
  <c r="M271" i="4" s="1"/>
  <c r="J272" i="4"/>
  <c r="M272" i="4" s="1"/>
  <c r="J273" i="4"/>
  <c r="M273" i="4" s="1"/>
  <c r="J274" i="4"/>
  <c r="M274" i="4" s="1"/>
  <c r="J275" i="4"/>
  <c r="M275" i="4" s="1"/>
  <c r="J276" i="4"/>
  <c r="M276" i="4" s="1"/>
  <c r="J277" i="4"/>
  <c r="M277" i="4" s="1"/>
  <c r="J278" i="4"/>
  <c r="M278" i="4" s="1"/>
  <c r="J279" i="4"/>
  <c r="M279" i="4" s="1"/>
  <c r="J280" i="4"/>
  <c r="M280" i="4" s="1"/>
  <c r="J281" i="4"/>
  <c r="M281" i="4" s="1"/>
  <c r="J282" i="4"/>
  <c r="M282" i="4" s="1"/>
  <c r="J283" i="4"/>
  <c r="M283" i="4" s="1"/>
  <c r="J284" i="4"/>
  <c r="M284" i="4" s="1"/>
  <c r="J285" i="4"/>
  <c r="M285" i="4" s="1"/>
  <c r="J286" i="4"/>
  <c r="M286" i="4" s="1"/>
  <c r="J287" i="4"/>
  <c r="M287" i="4" s="1"/>
  <c r="J288" i="4"/>
  <c r="M288" i="4" s="1"/>
  <c r="J289" i="4"/>
  <c r="M289" i="4" s="1"/>
  <c r="J290" i="4"/>
  <c r="M290" i="4" s="1"/>
  <c r="J291" i="4"/>
  <c r="M291" i="4" s="1"/>
  <c r="J292" i="4"/>
  <c r="M292" i="4" s="1"/>
  <c r="J293" i="4"/>
  <c r="M293" i="4" s="1"/>
  <c r="J294" i="4"/>
  <c r="M294" i="4" s="1"/>
  <c r="J295" i="4"/>
  <c r="M295" i="4" s="1"/>
  <c r="J296" i="4"/>
  <c r="M296" i="4" s="1"/>
  <c r="J297" i="4"/>
  <c r="M297" i="4" s="1"/>
  <c r="J298" i="4"/>
  <c r="M298" i="4" s="1"/>
  <c r="J299" i="4"/>
  <c r="M299" i="4" s="1"/>
  <c r="J300" i="4"/>
  <c r="M300" i="4" s="1"/>
  <c r="J301" i="4"/>
  <c r="M301" i="4" s="1"/>
  <c r="J302" i="4"/>
  <c r="M302" i="4" s="1"/>
  <c r="J303" i="4"/>
  <c r="M303" i="4" s="1"/>
  <c r="J304" i="4"/>
  <c r="M304" i="4" s="1"/>
  <c r="J305" i="4"/>
  <c r="M305" i="4" s="1"/>
  <c r="J306" i="4"/>
  <c r="M306" i="4" s="1"/>
  <c r="J307" i="4"/>
  <c r="M307" i="4" s="1"/>
  <c r="J308" i="4"/>
  <c r="M308" i="4" s="1"/>
  <c r="J309" i="4"/>
  <c r="M309" i="4" s="1"/>
  <c r="J310" i="4"/>
  <c r="M310" i="4" s="1"/>
  <c r="J311" i="4"/>
  <c r="M311" i="4" s="1"/>
  <c r="J312" i="4"/>
  <c r="M312" i="4" s="1"/>
  <c r="J313" i="4"/>
  <c r="M313" i="4" s="1"/>
  <c r="J314" i="4"/>
  <c r="M314" i="4" s="1"/>
  <c r="J315" i="4"/>
  <c r="M315" i="4" s="1"/>
  <c r="J316" i="4"/>
  <c r="M316" i="4" s="1"/>
  <c r="J317" i="4"/>
  <c r="M317" i="4" s="1"/>
  <c r="J318" i="4"/>
  <c r="M318" i="4" s="1"/>
  <c r="J319" i="4"/>
  <c r="M319" i="4" s="1"/>
  <c r="J320" i="4"/>
  <c r="M320" i="4" s="1"/>
  <c r="J321" i="4"/>
  <c r="M321" i="4" s="1"/>
  <c r="J322" i="4"/>
  <c r="M322" i="4" s="1"/>
  <c r="J323" i="4"/>
  <c r="M323" i="4" s="1"/>
  <c r="J324" i="4"/>
  <c r="M324" i="4" s="1"/>
  <c r="J325" i="4"/>
  <c r="M325" i="4" s="1"/>
  <c r="J326" i="4"/>
  <c r="M326" i="4" s="1"/>
  <c r="J327" i="4"/>
  <c r="M327" i="4" s="1"/>
  <c r="J328" i="4"/>
  <c r="M328" i="4" s="1"/>
  <c r="J329" i="4"/>
  <c r="M329" i="4" s="1"/>
  <c r="J330" i="4"/>
  <c r="M330" i="4" s="1"/>
  <c r="J331" i="4"/>
  <c r="M331" i="4" s="1"/>
  <c r="J332" i="4"/>
  <c r="M332" i="4" s="1"/>
  <c r="J333" i="4"/>
  <c r="M333" i="4" s="1"/>
  <c r="J334" i="4"/>
  <c r="M334" i="4" s="1"/>
  <c r="J335" i="4"/>
  <c r="M335" i="4" s="1"/>
  <c r="J336" i="4"/>
  <c r="M336" i="4" s="1"/>
  <c r="J337" i="4"/>
  <c r="M337" i="4" s="1"/>
  <c r="J338" i="4"/>
  <c r="M338" i="4" s="1"/>
  <c r="J339" i="4"/>
  <c r="M339" i="4" s="1"/>
  <c r="J340" i="4"/>
  <c r="M340" i="4" s="1"/>
  <c r="J341" i="4"/>
  <c r="M341" i="4" s="1"/>
  <c r="J342" i="4"/>
  <c r="M342" i="4" s="1"/>
  <c r="J343" i="4"/>
  <c r="M343" i="4" s="1"/>
  <c r="J344" i="4"/>
  <c r="M344" i="4" s="1"/>
  <c r="J345" i="4"/>
  <c r="M345" i="4" s="1"/>
  <c r="J346" i="4"/>
  <c r="M346" i="4" s="1"/>
  <c r="J347" i="4"/>
  <c r="M347" i="4" s="1"/>
  <c r="J348" i="4"/>
  <c r="M348" i="4" s="1"/>
  <c r="J349" i="4"/>
  <c r="M349" i="4" s="1"/>
  <c r="J350" i="4"/>
  <c r="M350" i="4" s="1"/>
  <c r="J351" i="4"/>
  <c r="M351" i="4" s="1"/>
  <c r="J352" i="4"/>
  <c r="M352" i="4" s="1"/>
  <c r="J353" i="4"/>
  <c r="M353" i="4" s="1"/>
  <c r="J354" i="4"/>
  <c r="M354" i="4" s="1"/>
  <c r="J355" i="4"/>
  <c r="M355" i="4" s="1"/>
  <c r="J356" i="4"/>
  <c r="M356" i="4" s="1"/>
  <c r="J357" i="4"/>
  <c r="M357" i="4" s="1"/>
  <c r="J358" i="4"/>
  <c r="M358" i="4" s="1"/>
  <c r="J359" i="4"/>
  <c r="M359" i="4" s="1"/>
  <c r="J360" i="4"/>
  <c r="M360" i="4" s="1"/>
  <c r="J361" i="4"/>
  <c r="M361" i="4" s="1"/>
  <c r="J362" i="4"/>
  <c r="M362" i="4" s="1"/>
  <c r="J363" i="4"/>
  <c r="M363" i="4" s="1"/>
  <c r="J364" i="4"/>
  <c r="M364" i="4" s="1"/>
  <c r="J365" i="4"/>
  <c r="M365" i="4" s="1"/>
  <c r="J366" i="4"/>
  <c r="M366" i="4" s="1"/>
  <c r="J367" i="4"/>
  <c r="M367" i="4" s="1"/>
  <c r="J368" i="4"/>
  <c r="M368" i="4" s="1"/>
  <c r="J369" i="4"/>
  <c r="M369" i="4" s="1"/>
  <c r="J370" i="4"/>
  <c r="M370" i="4" s="1"/>
  <c r="J371" i="4"/>
  <c r="M371" i="4" s="1"/>
  <c r="J372" i="4"/>
  <c r="M372" i="4" s="1"/>
  <c r="J373" i="4"/>
  <c r="M373" i="4" s="1"/>
  <c r="J374" i="4"/>
  <c r="M374" i="4" s="1"/>
  <c r="J375" i="4"/>
  <c r="M375" i="4" s="1"/>
  <c r="J376" i="4"/>
  <c r="M376" i="4" s="1"/>
  <c r="J377" i="4"/>
  <c r="M377" i="4" s="1"/>
  <c r="J378" i="4"/>
  <c r="M378" i="4" s="1"/>
  <c r="J379" i="4"/>
  <c r="M379" i="4" s="1"/>
  <c r="J380" i="4"/>
  <c r="M380" i="4" s="1"/>
  <c r="J381" i="4"/>
  <c r="M381" i="4" s="1"/>
  <c r="J382" i="4"/>
  <c r="M382" i="4" s="1"/>
  <c r="J383" i="4"/>
  <c r="M383" i="4" s="1"/>
  <c r="J384" i="4"/>
  <c r="M384" i="4" s="1"/>
  <c r="J385" i="4"/>
  <c r="M385" i="4" s="1"/>
  <c r="J386" i="4"/>
  <c r="M386" i="4" s="1"/>
  <c r="J387" i="4"/>
  <c r="M387" i="4" s="1"/>
  <c r="J388" i="4"/>
  <c r="M388" i="4" s="1"/>
  <c r="J389" i="4"/>
  <c r="M389" i="4" s="1"/>
  <c r="J390" i="4"/>
  <c r="M390" i="4" s="1"/>
  <c r="J391" i="4"/>
  <c r="M391" i="4" s="1"/>
  <c r="J392" i="4"/>
  <c r="M392" i="4" s="1"/>
  <c r="J393" i="4"/>
  <c r="M393" i="4" s="1"/>
  <c r="J394" i="4"/>
  <c r="M394" i="4" s="1"/>
  <c r="J395" i="4"/>
  <c r="M395" i="4" s="1"/>
  <c r="J396" i="4"/>
  <c r="M396" i="4" s="1"/>
  <c r="J397" i="4"/>
  <c r="M397" i="4" s="1"/>
  <c r="J398" i="4"/>
  <c r="M398" i="4" s="1"/>
  <c r="J399" i="4"/>
  <c r="M399" i="4" s="1"/>
  <c r="J400" i="4"/>
  <c r="M400" i="4" s="1"/>
  <c r="J401" i="4"/>
  <c r="M401" i="4" s="1"/>
  <c r="J402" i="4"/>
  <c r="M402" i="4" s="1"/>
  <c r="J403" i="4"/>
  <c r="M403" i="4" s="1"/>
  <c r="J404" i="4"/>
  <c r="M404" i="4" s="1"/>
  <c r="J405" i="4"/>
  <c r="M405" i="4" s="1"/>
  <c r="J406" i="4"/>
  <c r="M406" i="4" s="1"/>
  <c r="J407" i="4"/>
  <c r="M407" i="4" s="1"/>
  <c r="J408" i="4"/>
  <c r="M408" i="4" s="1"/>
  <c r="J409" i="4"/>
  <c r="M409" i="4" s="1"/>
  <c r="J410" i="4"/>
  <c r="M410" i="4" s="1"/>
  <c r="J411" i="4"/>
  <c r="M411" i="4" s="1"/>
  <c r="J412" i="4"/>
  <c r="M412" i="4" s="1"/>
  <c r="J413" i="4"/>
  <c r="M413" i="4" s="1"/>
  <c r="J414" i="4"/>
  <c r="M414" i="4" s="1"/>
  <c r="J415" i="4"/>
  <c r="M415" i="4" s="1"/>
  <c r="J416" i="4"/>
  <c r="M416" i="4" s="1"/>
  <c r="J417" i="4"/>
  <c r="M417" i="4" s="1"/>
  <c r="J418" i="4"/>
  <c r="M418" i="4" s="1"/>
  <c r="J419" i="4"/>
  <c r="M419" i="4" s="1"/>
  <c r="J420" i="4"/>
  <c r="M420" i="4" s="1"/>
  <c r="J421" i="4"/>
  <c r="M421" i="4" s="1"/>
  <c r="J422" i="4"/>
  <c r="M422" i="4" s="1"/>
  <c r="J423" i="4"/>
  <c r="M423" i="4" s="1"/>
  <c r="J424" i="4"/>
  <c r="J425" i="4"/>
  <c r="M425" i="4" s="1"/>
  <c r="J426" i="4"/>
  <c r="M426" i="4" s="1"/>
  <c r="J427" i="4"/>
  <c r="M427" i="4" s="1"/>
  <c r="J428" i="4"/>
  <c r="M428" i="4" s="1"/>
  <c r="J429" i="4"/>
  <c r="M429" i="4" s="1"/>
  <c r="J430" i="4"/>
  <c r="M430" i="4" s="1"/>
  <c r="J431" i="4"/>
  <c r="M431" i="4" s="1"/>
  <c r="J432" i="4"/>
  <c r="M432" i="4" s="1"/>
  <c r="J433" i="4"/>
  <c r="M433" i="4" s="1"/>
  <c r="J434" i="4"/>
  <c r="M434" i="4" s="1"/>
  <c r="J435" i="4"/>
  <c r="M435" i="4" s="1"/>
  <c r="J436" i="4"/>
  <c r="M436" i="4" s="1"/>
  <c r="J437" i="4"/>
  <c r="M437" i="4" s="1"/>
  <c r="J438" i="4"/>
  <c r="M438" i="4" s="1"/>
  <c r="J439" i="4"/>
  <c r="M439" i="4" s="1"/>
  <c r="J440" i="4"/>
  <c r="M440" i="4" s="1"/>
  <c r="J441" i="4"/>
  <c r="M441" i="4" s="1"/>
  <c r="J442" i="4"/>
  <c r="M442" i="4" s="1"/>
  <c r="J443" i="4"/>
  <c r="M443" i="4" s="1"/>
  <c r="J444" i="4"/>
  <c r="M444" i="4" s="1"/>
  <c r="J445" i="4"/>
  <c r="M445" i="4" s="1"/>
  <c r="J446" i="4"/>
  <c r="M446" i="4" s="1"/>
  <c r="J447" i="4"/>
  <c r="M447" i="4" s="1"/>
  <c r="J448" i="4"/>
  <c r="M448" i="4" s="1"/>
  <c r="J449" i="4"/>
  <c r="M449" i="4" s="1"/>
  <c r="J450" i="4"/>
  <c r="M450" i="4" s="1"/>
  <c r="J451" i="4"/>
  <c r="M451" i="4" s="1"/>
  <c r="J452" i="4"/>
  <c r="M452" i="4" s="1"/>
  <c r="J453" i="4"/>
  <c r="M453" i="4" s="1"/>
  <c r="J454" i="4"/>
  <c r="M454" i="4" s="1"/>
  <c r="J455" i="4"/>
  <c r="M455" i="4" s="1"/>
  <c r="J456" i="4"/>
  <c r="M456" i="4" s="1"/>
  <c r="J457" i="4"/>
  <c r="M457" i="4" s="1"/>
  <c r="J458" i="4"/>
  <c r="M458" i="4" s="1"/>
  <c r="J459" i="4"/>
  <c r="M459" i="4" s="1"/>
  <c r="J460" i="4"/>
  <c r="M460" i="4" s="1"/>
  <c r="J461" i="4"/>
  <c r="M461" i="4" s="1"/>
  <c r="J462" i="4"/>
  <c r="M462" i="4" s="1"/>
  <c r="J463" i="4"/>
  <c r="M463" i="4" s="1"/>
  <c r="J464" i="4"/>
  <c r="M464" i="4" s="1"/>
  <c r="J465" i="4"/>
  <c r="M465" i="4" s="1"/>
  <c r="J466" i="4"/>
  <c r="M466" i="4" s="1"/>
  <c r="J467" i="4"/>
  <c r="M467" i="4" s="1"/>
  <c r="J468" i="4"/>
  <c r="M468" i="4" s="1"/>
  <c r="J469" i="4"/>
  <c r="M469" i="4" s="1"/>
  <c r="J470" i="4"/>
  <c r="M470" i="4" s="1"/>
  <c r="J471" i="4"/>
  <c r="M471" i="4" s="1"/>
  <c r="J472" i="4"/>
  <c r="M472" i="4" s="1"/>
  <c r="J473" i="4"/>
  <c r="M473" i="4" s="1"/>
  <c r="J474" i="4"/>
  <c r="M474" i="4" s="1"/>
  <c r="J475" i="4"/>
  <c r="M475" i="4" s="1"/>
  <c r="J476" i="4"/>
  <c r="M476" i="4" s="1"/>
  <c r="J477" i="4"/>
  <c r="M477" i="4" s="1"/>
  <c r="J478" i="4"/>
  <c r="M478" i="4" s="1"/>
  <c r="J479" i="4"/>
  <c r="M479" i="4" s="1"/>
  <c r="J480" i="4"/>
  <c r="M480" i="4" s="1"/>
  <c r="J481" i="4"/>
  <c r="M481" i="4" s="1"/>
  <c r="J482" i="4"/>
  <c r="M482" i="4" s="1"/>
  <c r="J483" i="4"/>
  <c r="M483" i="4" s="1"/>
  <c r="J484" i="4"/>
  <c r="M484" i="4" s="1"/>
  <c r="J485" i="4"/>
  <c r="M485" i="4" s="1"/>
  <c r="J486" i="4"/>
  <c r="M486" i="4" s="1"/>
  <c r="J487" i="4"/>
  <c r="M487" i="4" s="1"/>
  <c r="J488" i="4"/>
  <c r="M488" i="4" s="1"/>
  <c r="J489" i="4"/>
  <c r="M489" i="4" s="1"/>
  <c r="J490" i="4"/>
  <c r="M490" i="4" s="1"/>
  <c r="J491" i="4"/>
  <c r="M491" i="4" s="1"/>
  <c r="J492" i="4"/>
  <c r="M492" i="4" s="1"/>
  <c r="J493" i="4"/>
  <c r="M493" i="4" s="1"/>
  <c r="J494" i="4"/>
  <c r="M494" i="4" s="1"/>
  <c r="J495" i="4"/>
  <c r="M495" i="4" s="1"/>
  <c r="J496" i="4"/>
  <c r="M496" i="4" s="1"/>
  <c r="J497" i="4"/>
  <c r="M497" i="4" s="1"/>
  <c r="J498" i="4"/>
  <c r="M498" i="4" s="1"/>
  <c r="J499" i="4"/>
  <c r="M499" i="4" s="1"/>
  <c r="J500" i="4"/>
  <c r="M500" i="4" s="1"/>
  <c r="J501" i="4"/>
  <c r="M501" i="4" s="1"/>
  <c r="J502" i="4"/>
  <c r="M502" i="4" s="1"/>
  <c r="J503" i="4"/>
  <c r="M503" i="4" s="1"/>
  <c r="J504" i="4"/>
  <c r="M504" i="4" s="1"/>
  <c r="J505" i="4"/>
  <c r="M505" i="4" s="1"/>
  <c r="J506" i="4"/>
  <c r="M506" i="4" s="1"/>
  <c r="J507" i="4"/>
  <c r="M507" i="4" s="1"/>
  <c r="J508" i="4"/>
  <c r="M508" i="4" s="1"/>
  <c r="J509" i="4"/>
  <c r="M509" i="4" s="1"/>
  <c r="J510" i="4"/>
  <c r="M510" i="4" s="1"/>
  <c r="J511" i="4"/>
  <c r="M511" i="4" s="1"/>
  <c r="J512" i="4"/>
  <c r="M512" i="4" s="1"/>
  <c r="J513" i="4"/>
  <c r="M513" i="4" s="1"/>
  <c r="J514" i="4"/>
  <c r="M514" i="4" s="1"/>
  <c r="J515" i="4"/>
  <c r="M515" i="4" s="1"/>
  <c r="J516" i="4"/>
  <c r="M516" i="4" s="1"/>
  <c r="J517" i="4"/>
  <c r="M517" i="4" s="1"/>
  <c r="J518" i="4"/>
  <c r="M518" i="4" s="1"/>
  <c r="J519" i="4"/>
  <c r="M519" i="4" s="1"/>
  <c r="J520" i="4"/>
  <c r="M520" i="4" s="1"/>
  <c r="J521" i="4"/>
  <c r="M521" i="4" s="1"/>
  <c r="J522" i="4"/>
  <c r="J523" i="4"/>
  <c r="M523" i="4" s="1"/>
  <c r="J524" i="4"/>
  <c r="M524" i="4" s="1"/>
  <c r="J525" i="4"/>
  <c r="M525" i="4" s="1"/>
  <c r="J526" i="4"/>
  <c r="M526" i="4" s="1"/>
  <c r="J527" i="4"/>
  <c r="M527" i="4" s="1"/>
  <c r="J528" i="4"/>
  <c r="M528" i="4" s="1"/>
  <c r="J529" i="4"/>
  <c r="M529" i="4" s="1"/>
  <c r="J530" i="4"/>
  <c r="M530" i="4" s="1"/>
  <c r="J531" i="4"/>
  <c r="M531" i="4" s="1"/>
  <c r="J532" i="4"/>
  <c r="M532" i="4" s="1"/>
  <c r="J533" i="4"/>
  <c r="M533" i="4" s="1"/>
  <c r="J534" i="4"/>
  <c r="M534" i="4" s="1"/>
  <c r="J535" i="4"/>
  <c r="M535" i="4" s="1"/>
  <c r="J536" i="4"/>
  <c r="M536" i="4" s="1"/>
  <c r="J537" i="4"/>
  <c r="M537" i="4" s="1"/>
  <c r="J538" i="4"/>
  <c r="M538" i="4" s="1"/>
  <c r="J539" i="4"/>
  <c r="M539" i="4" s="1"/>
  <c r="J540" i="4"/>
  <c r="M540" i="4" s="1"/>
  <c r="J541" i="4"/>
  <c r="M541" i="4" s="1"/>
  <c r="J542" i="4"/>
  <c r="M542" i="4" s="1"/>
  <c r="J543" i="4"/>
  <c r="M543" i="4" s="1"/>
  <c r="J544" i="4"/>
  <c r="M544" i="4" s="1"/>
  <c r="J545" i="4"/>
  <c r="M545" i="4" s="1"/>
  <c r="J546" i="4"/>
  <c r="M546" i="4" s="1"/>
  <c r="J547" i="4"/>
  <c r="M547" i="4" s="1"/>
  <c r="J548" i="4"/>
  <c r="M548" i="4" s="1"/>
  <c r="J549" i="4"/>
  <c r="M549" i="4" s="1"/>
  <c r="J550" i="4"/>
  <c r="M550" i="4" s="1"/>
  <c r="J551" i="4"/>
  <c r="M551" i="4" s="1"/>
  <c r="J552" i="4"/>
  <c r="M552" i="4" s="1"/>
  <c r="J553" i="4"/>
  <c r="M553" i="4" s="1"/>
  <c r="J554" i="4"/>
  <c r="M554" i="4" s="1"/>
  <c r="J555" i="4"/>
  <c r="M555" i="4" s="1"/>
  <c r="J556" i="4"/>
  <c r="M556" i="4" s="1"/>
  <c r="O159" i="4" a="1"/>
  <c r="O159" i="4" s="1"/>
  <c r="P159" i="4" s="1"/>
  <c r="O160" i="4" a="1"/>
  <c r="O160" i="4" s="1"/>
  <c r="P160" i="4" s="1"/>
  <c r="O161" i="4" a="1"/>
  <c r="O161" i="4" s="1"/>
  <c r="P161" i="4" s="1"/>
  <c r="O162" i="4" a="1"/>
  <c r="O162" i="4" s="1"/>
  <c r="P162" i="4" s="1"/>
  <c r="O163" i="4" a="1"/>
  <c r="O163" i="4" s="1"/>
  <c r="P163" i="4" s="1"/>
  <c r="O164" i="4" a="1"/>
  <c r="O164" i="4" s="1"/>
  <c r="O165" i="4" a="1"/>
  <c r="O165" i="4" s="1"/>
  <c r="P165" i="4" s="1"/>
  <c r="O166" i="4" a="1"/>
  <c r="O166" i="4" s="1"/>
  <c r="P166" i="4" s="1"/>
  <c r="O167" i="4" a="1"/>
  <c r="O167" i="4" s="1"/>
  <c r="P167" i="4" s="1"/>
  <c r="O168" i="4" a="1"/>
  <c r="O168" i="4" s="1"/>
  <c r="P168" i="4" s="1"/>
  <c r="O169" i="4" a="1"/>
  <c r="O169" i="4" s="1"/>
  <c r="P169" i="4" s="1"/>
  <c r="O170" i="4" a="1"/>
  <c r="O170" i="4" s="1"/>
  <c r="O171" i="4" a="1"/>
  <c r="O171" i="4" s="1"/>
  <c r="P171" i="4" s="1"/>
  <c r="O172" i="4" a="1"/>
  <c r="O172" i="4" s="1"/>
  <c r="P172" i="4" s="1"/>
  <c r="O173" i="4" a="1"/>
  <c r="O173" i="4" s="1"/>
  <c r="P173" i="4" s="1"/>
  <c r="O174" i="4" a="1"/>
  <c r="O174" i="4" s="1"/>
  <c r="P174" i="4" s="1"/>
  <c r="O175" i="4" a="1"/>
  <c r="O175" i="4" s="1"/>
  <c r="P175" i="4" s="1"/>
  <c r="O176" i="4" a="1"/>
  <c r="O176" i="4" s="1"/>
  <c r="O177" i="4" a="1"/>
  <c r="O177" i="4" s="1"/>
  <c r="P177" i="4" s="1"/>
  <c r="O178" i="4" a="1"/>
  <c r="O178" i="4" s="1"/>
  <c r="P178" i="4" s="1"/>
  <c r="O179" i="4" a="1"/>
  <c r="O179" i="4" s="1"/>
  <c r="P179" i="4" s="1"/>
  <c r="O180" i="4" a="1"/>
  <c r="O180" i="4" s="1"/>
  <c r="P180" i="4" s="1"/>
  <c r="O181" i="4" a="1"/>
  <c r="O181" i="4" s="1"/>
  <c r="P181" i="4" s="1"/>
  <c r="O182" i="4" a="1"/>
  <c r="O182" i="4" s="1"/>
  <c r="O183" i="4" a="1"/>
  <c r="O183" i="4" s="1"/>
  <c r="P183" i="4" s="1"/>
  <c r="O184" i="4" a="1"/>
  <c r="O184" i="4" s="1"/>
  <c r="P184" i="4" s="1"/>
  <c r="O185" i="4" a="1"/>
  <c r="O185" i="4" s="1"/>
  <c r="P185" i="4" s="1"/>
  <c r="O186" i="4" a="1"/>
  <c r="O186" i="4" s="1"/>
  <c r="P186" i="4" s="1"/>
  <c r="O187" i="4" a="1"/>
  <c r="O187" i="4" s="1"/>
  <c r="P187" i="4" s="1"/>
  <c r="O188" i="4" a="1"/>
  <c r="O188" i="4" s="1"/>
  <c r="O189" i="4" a="1"/>
  <c r="O189" i="4" s="1"/>
  <c r="P189" i="4" s="1"/>
  <c r="O190" i="4" a="1"/>
  <c r="O190" i="4" s="1"/>
  <c r="P190" i="4" s="1"/>
  <c r="O191" i="4" a="1"/>
  <c r="O191" i="4" s="1"/>
  <c r="P191" i="4" s="1"/>
  <c r="O192" i="4" a="1"/>
  <c r="O192" i="4" s="1"/>
  <c r="P192" i="4" s="1"/>
  <c r="O193" i="4" a="1"/>
  <c r="O193" i="4" s="1"/>
  <c r="P193" i="4" s="1"/>
  <c r="O194" i="4" a="1"/>
  <c r="O194" i="4" s="1"/>
  <c r="O195" i="4" a="1"/>
  <c r="O195" i="4" s="1"/>
  <c r="P195" i="4" s="1"/>
  <c r="O196" i="4" a="1"/>
  <c r="O196" i="4" s="1"/>
  <c r="P196" i="4" s="1"/>
  <c r="O197" i="4" a="1"/>
  <c r="O197" i="4" s="1"/>
  <c r="P197" i="4" s="1"/>
  <c r="O198" i="4" a="1"/>
  <c r="O198" i="4" s="1"/>
  <c r="P198" i="4" s="1"/>
  <c r="O199" i="4" a="1"/>
  <c r="O199" i="4" s="1"/>
  <c r="P199" i="4" s="1"/>
  <c r="O200" i="4" a="1"/>
  <c r="O200" i="4" s="1"/>
  <c r="O201" i="4" a="1"/>
  <c r="O201" i="4" s="1"/>
  <c r="P201" i="4" s="1"/>
  <c r="O202" i="4" a="1"/>
  <c r="O202" i="4" s="1"/>
  <c r="P202" i="4" s="1"/>
  <c r="O203" i="4" a="1"/>
  <c r="O203" i="4" s="1"/>
  <c r="P203" i="4" s="1"/>
  <c r="O204" i="4" a="1"/>
  <c r="O204" i="4" s="1"/>
  <c r="P204" i="4" s="1"/>
  <c r="O205" i="4" a="1"/>
  <c r="O205" i="4" s="1"/>
  <c r="P205" i="4" s="1"/>
  <c r="O206" i="4" a="1"/>
  <c r="O206" i="4" s="1"/>
  <c r="O207" i="4" a="1"/>
  <c r="O207" i="4" s="1"/>
  <c r="P207" i="4" s="1"/>
  <c r="O208" i="4" a="1"/>
  <c r="O208" i="4" s="1"/>
  <c r="P208" i="4" s="1"/>
  <c r="O209" i="4" a="1"/>
  <c r="O209" i="4" s="1"/>
  <c r="P209" i="4" s="1"/>
  <c r="O210" i="4" a="1"/>
  <c r="O210" i="4" s="1"/>
  <c r="P210" i="4" s="1"/>
  <c r="O211" i="4" a="1"/>
  <c r="O211" i="4" s="1"/>
  <c r="P211" i="4" s="1"/>
  <c r="O212" i="4" a="1"/>
  <c r="O212" i="4" s="1"/>
  <c r="O213" i="4" a="1"/>
  <c r="O213" i="4" s="1"/>
  <c r="P213" i="4" s="1"/>
  <c r="O214" i="4" a="1"/>
  <c r="O214" i="4" s="1"/>
  <c r="P214" i="4" s="1"/>
  <c r="O215" i="4" a="1"/>
  <c r="O215" i="4" s="1"/>
  <c r="P215" i="4" s="1"/>
  <c r="O216" i="4" a="1"/>
  <c r="O216" i="4" s="1"/>
  <c r="P216" i="4" s="1"/>
  <c r="O217" i="4" a="1"/>
  <c r="O217" i="4" s="1"/>
  <c r="P217" i="4" s="1"/>
  <c r="O218" i="4" a="1"/>
  <c r="O218" i="4" s="1"/>
  <c r="O219" i="4" a="1"/>
  <c r="O219" i="4" s="1"/>
  <c r="P219" i="4" s="1"/>
  <c r="O220" i="4" a="1"/>
  <c r="O220" i="4" s="1"/>
  <c r="P220" i="4" s="1"/>
  <c r="O221" i="4" a="1"/>
  <c r="O221" i="4" s="1"/>
  <c r="P221" i="4" s="1"/>
  <c r="O222" i="4" a="1"/>
  <c r="O222" i="4" s="1"/>
  <c r="P222" i="4" s="1"/>
  <c r="O223" i="4" a="1"/>
  <c r="O223" i="4" s="1"/>
  <c r="P223" i="4" s="1"/>
  <c r="O224" i="4" a="1"/>
  <c r="O224" i="4" s="1"/>
  <c r="O225" i="4" a="1"/>
  <c r="O225" i="4" s="1"/>
  <c r="P225" i="4" s="1"/>
  <c r="O226" i="4" a="1"/>
  <c r="O226" i="4" s="1"/>
  <c r="P226" i="4" s="1"/>
  <c r="O227" i="4" a="1"/>
  <c r="O227" i="4" s="1"/>
  <c r="P227" i="4" s="1"/>
  <c r="O228" i="4" a="1"/>
  <c r="O228" i="4" s="1"/>
  <c r="P228" i="4" s="1"/>
  <c r="O229" i="4" a="1"/>
  <c r="O229" i="4" s="1"/>
  <c r="P229" i="4" s="1"/>
  <c r="O230" i="4" a="1"/>
  <c r="O230" i="4" s="1"/>
  <c r="O231" i="4" a="1"/>
  <c r="O231" i="4" s="1"/>
  <c r="P231" i="4" s="1"/>
  <c r="O232" i="4" a="1"/>
  <c r="O232" i="4" s="1"/>
  <c r="P232" i="4" s="1"/>
  <c r="O233" i="4" a="1"/>
  <c r="O233" i="4" s="1"/>
  <c r="P233" i="4" s="1"/>
  <c r="O234" i="4" a="1"/>
  <c r="O234" i="4" s="1"/>
  <c r="P234" i="4" s="1"/>
  <c r="O235" i="4" a="1"/>
  <c r="O235" i="4" s="1"/>
  <c r="P235" i="4" s="1"/>
  <c r="O236" i="4" a="1"/>
  <c r="O236" i="4" s="1"/>
  <c r="O237" i="4" a="1"/>
  <c r="O237" i="4" s="1"/>
  <c r="P237" i="4" s="1"/>
  <c r="O238" i="4" a="1"/>
  <c r="O238" i="4" s="1"/>
  <c r="P238" i="4" s="1"/>
  <c r="O239" i="4" a="1"/>
  <c r="O239" i="4" s="1"/>
  <c r="P239" i="4" s="1"/>
  <c r="O240" i="4" a="1"/>
  <c r="O240" i="4" s="1"/>
  <c r="P240" i="4" s="1"/>
  <c r="O241" i="4" a="1"/>
  <c r="O241" i="4" s="1"/>
  <c r="P241" i="4" s="1"/>
  <c r="O242" i="4" a="1"/>
  <c r="O242" i="4" s="1"/>
  <c r="O243" i="4" a="1"/>
  <c r="O243" i="4" s="1"/>
  <c r="P243" i="4" s="1"/>
  <c r="O244" i="4" a="1"/>
  <c r="O244" i="4" s="1"/>
  <c r="P244" i="4" s="1"/>
  <c r="O245" i="4" a="1"/>
  <c r="O245" i="4" s="1"/>
  <c r="P245" i="4" s="1"/>
  <c r="O246" i="4" a="1"/>
  <c r="O246" i="4" s="1"/>
  <c r="P246" i="4" s="1"/>
  <c r="O247" i="4" a="1"/>
  <c r="O247" i="4" s="1"/>
  <c r="P247" i="4" s="1"/>
  <c r="O248" i="4" a="1"/>
  <c r="O248" i="4" s="1"/>
  <c r="O249" i="4" a="1"/>
  <c r="O249" i="4" s="1"/>
  <c r="P249" i="4" s="1"/>
  <c r="O250" i="4" a="1"/>
  <c r="O250" i="4" s="1"/>
  <c r="P250" i="4" s="1"/>
  <c r="O251" i="4" a="1"/>
  <c r="O251" i="4" s="1"/>
  <c r="P251" i="4" s="1"/>
  <c r="O252" i="4" a="1"/>
  <c r="O252" i="4" s="1"/>
  <c r="P252" i="4" s="1"/>
  <c r="O253" i="4" a="1"/>
  <c r="O253" i="4" s="1"/>
  <c r="P253" i="4" s="1"/>
  <c r="O254" i="4" a="1"/>
  <c r="O254" i="4" s="1"/>
  <c r="O255" i="4" a="1"/>
  <c r="O255" i="4" s="1"/>
  <c r="P255" i="4" s="1"/>
  <c r="O256" i="4" a="1"/>
  <c r="O256" i="4" s="1"/>
  <c r="P256" i="4" s="1"/>
  <c r="O257" i="4" a="1"/>
  <c r="O257" i="4" s="1"/>
  <c r="P257" i="4" s="1"/>
  <c r="O258" i="4" a="1"/>
  <c r="O258" i="4" s="1"/>
  <c r="P258" i="4" s="1"/>
  <c r="O259" i="4" a="1"/>
  <c r="O259" i="4" s="1"/>
  <c r="P259" i="4" s="1"/>
  <c r="O260" i="4" a="1"/>
  <c r="O260" i="4" s="1"/>
  <c r="O261" i="4" a="1"/>
  <c r="O261" i="4" s="1"/>
  <c r="P261" i="4" s="1"/>
  <c r="O262" i="4" a="1"/>
  <c r="O262" i="4" s="1"/>
  <c r="P262" i="4" s="1"/>
  <c r="O263" i="4" a="1"/>
  <c r="O263" i="4" s="1"/>
  <c r="O264" i="4" a="1"/>
  <c r="O264" i="4" s="1"/>
  <c r="P264" i="4" s="1"/>
  <c r="O265" i="4" a="1"/>
  <c r="O265" i="4" s="1"/>
  <c r="P265" i="4" s="1"/>
  <c r="O266" i="4" a="1"/>
  <c r="O266" i="4" s="1"/>
  <c r="O267" i="4" a="1"/>
  <c r="O267" i="4" s="1"/>
  <c r="P267" i="4" s="1"/>
  <c r="O268" i="4" a="1"/>
  <c r="O268" i="4" s="1"/>
  <c r="P268" i="4" s="1"/>
  <c r="O269" i="4" a="1"/>
  <c r="O269" i="4" s="1"/>
  <c r="O270" i="4" a="1"/>
  <c r="O270" i="4" s="1"/>
  <c r="P270" i="4" s="1"/>
  <c r="O271" i="4" a="1"/>
  <c r="O271" i="4" s="1"/>
  <c r="P271" i="4" s="1"/>
  <c r="O272" i="4" a="1"/>
  <c r="O272" i="4" s="1"/>
  <c r="O273" i="4" a="1"/>
  <c r="O273" i="4" s="1"/>
  <c r="P273" i="4" s="1"/>
  <c r="O274" i="4" a="1"/>
  <c r="O274" i="4" s="1"/>
  <c r="P274" i="4" s="1"/>
  <c r="O275" i="4" a="1"/>
  <c r="O275" i="4" s="1"/>
  <c r="O276" i="4" a="1"/>
  <c r="O276" i="4" s="1"/>
  <c r="P276" i="4" s="1"/>
  <c r="O277" i="4" a="1"/>
  <c r="O277" i="4" s="1"/>
  <c r="P277" i="4" s="1"/>
  <c r="O278" i="4" a="1"/>
  <c r="O278" i="4" s="1"/>
  <c r="O279" i="4" a="1"/>
  <c r="O279" i="4" s="1"/>
  <c r="P279" i="4" s="1"/>
  <c r="O280" i="4" a="1"/>
  <c r="O280" i="4" s="1"/>
  <c r="P280" i="4" s="1"/>
  <c r="O281" i="4" a="1"/>
  <c r="O281" i="4" s="1"/>
  <c r="O282" i="4" a="1"/>
  <c r="O282" i="4" s="1"/>
  <c r="P282" i="4" s="1"/>
  <c r="O283" i="4" a="1"/>
  <c r="O283" i="4" s="1"/>
  <c r="P283" i="4" s="1"/>
  <c r="O284" i="4" a="1"/>
  <c r="O284" i="4" s="1"/>
  <c r="O285" i="4" a="1"/>
  <c r="O285" i="4" s="1"/>
  <c r="P285" i="4" s="1"/>
  <c r="O286" i="4" a="1"/>
  <c r="O286" i="4" s="1"/>
  <c r="P286" i="4" s="1"/>
  <c r="O287" i="4" a="1"/>
  <c r="O287" i="4" s="1"/>
  <c r="O288" i="4" a="1"/>
  <c r="O288" i="4" s="1"/>
  <c r="P288" i="4" s="1"/>
  <c r="O289" i="4" a="1"/>
  <c r="O289" i="4" s="1"/>
  <c r="P289" i="4" s="1"/>
  <c r="O290" i="4" a="1"/>
  <c r="O290" i="4" s="1"/>
  <c r="O291" i="4" a="1"/>
  <c r="O291" i="4" s="1"/>
  <c r="P291" i="4" s="1"/>
  <c r="O292" i="4" a="1"/>
  <c r="O292" i="4" s="1"/>
  <c r="P292" i="4" s="1"/>
  <c r="O293" i="4" a="1"/>
  <c r="O293" i="4" s="1"/>
  <c r="O294" i="4" a="1"/>
  <c r="O294" i="4" s="1"/>
  <c r="O295" i="4" a="1"/>
  <c r="O295" i="4" s="1"/>
  <c r="P295" i="4" s="1"/>
  <c r="O296" i="4" a="1"/>
  <c r="O296" i="4" s="1"/>
  <c r="O297" i="4" a="1"/>
  <c r="O297" i="4" s="1"/>
  <c r="P297" i="4" s="1"/>
  <c r="O298" i="4" a="1"/>
  <c r="O298" i="4" s="1"/>
  <c r="P298" i="4" s="1"/>
  <c r="O299" i="4" a="1"/>
  <c r="O299" i="4" s="1"/>
  <c r="O300" i="4" a="1"/>
  <c r="O300" i="4" s="1"/>
  <c r="O301" i="4" a="1"/>
  <c r="O301" i="4" s="1"/>
  <c r="P301" i="4" s="1"/>
  <c r="O302" i="4" a="1"/>
  <c r="O302" i="4" s="1"/>
  <c r="O303" i="4" a="1"/>
  <c r="O303" i="4" s="1"/>
  <c r="P303" i="4" s="1"/>
  <c r="O304" i="4" a="1"/>
  <c r="O304" i="4" s="1"/>
  <c r="P304" i="4" s="1"/>
  <c r="O305" i="4" a="1"/>
  <c r="O305" i="4" s="1"/>
  <c r="O306" i="4" a="1"/>
  <c r="O306" i="4" s="1"/>
  <c r="O307" i="4" a="1"/>
  <c r="O307" i="4" s="1"/>
  <c r="P307" i="4" s="1"/>
  <c r="O308" i="4" a="1"/>
  <c r="O308" i="4" s="1"/>
  <c r="O309" i="4" a="1"/>
  <c r="O309" i="4" s="1"/>
  <c r="O310" i="4" a="1"/>
  <c r="O310" i="4" s="1"/>
  <c r="P310" i="4" s="1"/>
  <c r="O311" i="4" a="1"/>
  <c r="O311" i="4" s="1"/>
  <c r="O312" i="4" a="1"/>
  <c r="O312" i="4" s="1"/>
  <c r="O313" i="4" a="1"/>
  <c r="O313" i="4" s="1"/>
  <c r="P313" i="4" s="1"/>
  <c r="O314" i="4" a="1"/>
  <c r="O314" i="4" s="1"/>
  <c r="O315" i="4" a="1"/>
  <c r="O315" i="4" s="1"/>
  <c r="O316" i="4" a="1"/>
  <c r="O316" i="4" s="1"/>
  <c r="P316" i="4" s="1"/>
  <c r="O317" i="4" a="1"/>
  <c r="O317" i="4" s="1"/>
  <c r="O318" i="4" a="1"/>
  <c r="O318" i="4" s="1"/>
  <c r="O319" i="4" a="1"/>
  <c r="O319" i="4" s="1"/>
  <c r="P319" i="4" s="1"/>
  <c r="O320" i="4" a="1"/>
  <c r="O320" i="4" s="1"/>
  <c r="O321" i="4" a="1"/>
  <c r="O321" i="4" s="1"/>
  <c r="O322" i="4" a="1"/>
  <c r="O322" i="4" s="1"/>
  <c r="P322" i="4" s="1"/>
  <c r="O323" i="4" a="1"/>
  <c r="O323" i="4" s="1"/>
  <c r="O324" i="4" a="1"/>
  <c r="O324" i="4" s="1"/>
  <c r="O325" i="4" a="1"/>
  <c r="O325" i="4" s="1"/>
  <c r="P325" i="4" s="1"/>
  <c r="O326" i="4" a="1"/>
  <c r="O326" i="4" s="1"/>
  <c r="O327" i="4" a="1"/>
  <c r="O327" i="4" s="1"/>
  <c r="O328" i="4" a="1"/>
  <c r="O328" i="4" s="1"/>
  <c r="P328" i="4" s="1"/>
  <c r="O329" i="4" a="1"/>
  <c r="O329" i="4" s="1"/>
  <c r="O330" i="4" a="1"/>
  <c r="O330" i="4" s="1"/>
  <c r="O331" i="4" a="1"/>
  <c r="O331" i="4" s="1"/>
  <c r="P331" i="4" s="1"/>
  <c r="O332" i="4" a="1"/>
  <c r="O332" i="4" s="1"/>
  <c r="O333" i="4" a="1"/>
  <c r="O333" i="4" s="1"/>
  <c r="O334" i="4" a="1"/>
  <c r="O334" i="4" s="1"/>
  <c r="P334" i="4" s="1"/>
  <c r="O335" i="4" a="1"/>
  <c r="O335" i="4" s="1"/>
  <c r="O336" i="4" a="1"/>
  <c r="O336" i="4" s="1"/>
  <c r="O337" i="4" a="1"/>
  <c r="O337" i="4" s="1"/>
  <c r="P337" i="4" s="1"/>
  <c r="O338" i="4" a="1"/>
  <c r="O338" i="4" s="1"/>
  <c r="O339" i="4" a="1"/>
  <c r="O339" i="4" s="1"/>
  <c r="O340" i="4" a="1"/>
  <c r="O340" i="4" s="1"/>
  <c r="P340" i="4" s="1"/>
  <c r="O341" i="4" a="1"/>
  <c r="O341" i="4" s="1"/>
  <c r="O342" i="4" a="1"/>
  <c r="O342" i="4" s="1"/>
  <c r="O343" i="4" a="1"/>
  <c r="O343" i="4" s="1"/>
  <c r="P343" i="4" s="1"/>
  <c r="O344" i="4" a="1"/>
  <c r="O344" i="4" s="1"/>
  <c r="O345" i="4" a="1"/>
  <c r="O345" i="4" s="1"/>
  <c r="O346" i="4" a="1"/>
  <c r="O346" i="4" s="1"/>
  <c r="P346" i="4" s="1"/>
  <c r="O347" i="4" a="1"/>
  <c r="O347" i="4" s="1"/>
  <c r="O348" i="4" a="1"/>
  <c r="O348" i="4" s="1"/>
  <c r="O349" i="4" a="1"/>
  <c r="O349" i="4" s="1"/>
  <c r="P349" i="4" s="1"/>
  <c r="O350" i="4" a="1"/>
  <c r="O350" i="4" s="1"/>
  <c r="O351" i="4" a="1"/>
  <c r="O351" i="4" s="1"/>
  <c r="O352" i="4" a="1"/>
  <c r="O352" i="4" s="1"/>
  <c r="P352" i="4" s="1"/>
  <c r="O353" i="4" a="1"/>
  <c r="O353" i="4" s="1"/>
  <c r="O354" i="4" a="1"/>
  <c r="O354" i="4" s="1"/>
  <c r="O355" i="4" a="1"/>
  <c r="O355" i="4" s="1"/>
  <c r="P355" i="4" s="1"/>
  <c r="O356" i="4" a="1"/>
  <c r="O356" i="4" s="1"/>
  <c r="O357" i="4" a="1"/>
  <c r="O357" i="4" s="1"/>
  <c r="O358" i="4" a="1"/>
  <c r="O358" i="4" s="1"/>
  <c r="P358" i="4" s="1"/>
  <c r="O359" i="4" a="1"/>
  <c r="O359" i="4" s="1"/>
  <c r="O360" i="4" a="1"/>
  <c r="O360" i="4" s="1"/>
  <c r="O361" i="4" a="1"/>
  <c r="O361" i="4" s="1"/>
  <c r="P361" i="4" s="1"/>
  <c r="O362" i="4" a="1"/>
  <c r="O362" i="4" s="1"/>
  <c r="O363" i="4" a="1"/>
  <c r="O363" i="4" s="1"/>
  <c r="O364" i="4" a="1"/>
  <c r="O364" i="4" s="1"/>
  <c r="P364" i="4" s="1"/>
  <c r="O365" i="4" a="1"/>
  <c r="O365" i="4" s="1"/>
  <c r="O366" i="4" a="1"/>
  <c r="O366" i="4" s="1"/>
  <c r="O367" i="4" a="1"/>
  <c r="O367" i="4" s="1"/>
  <c r="P367" i="4" s="1"/>
  <c r="O368" i="4" a="1"/>
  <c r="O368" i="4" s="1"/>
  <c r="O369" i="4" a="1"/>
  <c r="O369" i="4" s="1"/>
  <c r="O370" i="4" a="1"/>
  <c r="O370" i="4" s="1"/>
  <c r="P370" i="4" s="1"/>
  <c r="O371" i="4" a="1"/>
  <c r="O371" i="4" s="1"/>
  <c r="O372" i="4" a="1"/>
  <c r="O372" i="4" s="1"/>
  <c r="O373" i="4" a="1"/>
  <c r="O373" i="4" s="1"/>
  <c r="P373" i="4" s="1"/>
  <c r="O374" i="4" a="1"/>
  <c r="O374" i="4" s="1"/>
  <c r="O375" i="4" a="1"/>
  <c r="O375" i="4" s="1"/>
  <c r="O376" i="4" a="1"/>
  <c r="O376" i="4" s="1"/>
  <c r="P376" i="4" s="1"/>
  <c r="O377" i="4" a="1"/>
  <c r="O377" i="4" s="1"/>
  <c r="O378" i="4" a="1"/>
  <c r="O378" i="4" s="1"/>
  <c r="O379" i="4" a="1"/>
  <c r="O379" i="4" s="1"/>
  <c r="P379" i="4" s="1"/>
  <c r="O380" i="4" a="1"/>
  <c r="O380" i="4" s="1"/>
  <c r="O381" i="4" a="1"/>
  <c r="O381" i="4" s="1"/>
  <c r="O382" i="4" a="1"/>
  <c r="O382" i="4" s="1"/>
  <c r="P382" i="4" s="1"/>
  <c r="O383" i="4" a="1"/>
  <c r="O383" i="4" s="1"/>
  <c r="O384" i="4" a="1"/>
  <c r="O384" i="4" s="1"/>
  <c r="O385" i="4" a="1"/>
  <c r="O385" i="4" s="1"/>
  <c r="P385" i="4" s="1"/>
  <c r="O386" i="4" a="1"/>
  <c r="O386" i="4" s="1"/>
  <c r="O387" i="4" a="1"/>
  <c r="O387" i="4" s="1"/>
  <c r="O388" i="4" a="1"/>
  <c r="O388" i="4" s="1"/>
  <c r="O389" i="4" a="1"/>
  <c r="O389" i="4" s="1"/>
  <c r="O390" i="4" a="1"/>
  <c r="O390" i="4" s="1"/>
  <c r="O391" i="4" a="1"/>
  <c r="O391" i="4" s="1"/>
  <c r="P391" i="4" s="1"/>
  <c r="O392" i="4" a="1"/>
  <c r="O392" i="4" s="1"/>
  <c r="O393" i="4" a="1"/>
  <c r="O393" i="4" s="1"/>
  <c r="O394" i="4" a="1"/>
  <c r="O394" i="4" s="1"/>
  <c r="O395" i="4" a="1"/>
  <c r="O395" i="4" s="1"/>
  <c r="O396" i="4" a="1"/>
  <c r="O396" i="4" s="1"/>
  <c r="O397" i="4" a="1"/>
  <c r="O397" i="4" s="1"/>
  <c r="P397" i="4" s="1"/>
  <c r="O398" i="4" a="1"/>
  <c r="O398" i="4" s="1"/>
  <c r="O399" i="4" a="1"/>
  <c r="O399" i="4" s="1"/>
  <c r="O400" i="4" a="1"/>
  <c r="O400" i="4" s="1"/>
  <c r="O401" i="4" a="1"/>
  <c r="O401" i="4" s="1"/>
  <c r="O402" i="4" a="1"/>
  <c r="O402" i="4" s="1"/>
  <c r="O403" i="4" a="1"/>
  <c r="O403" i="4" s="1"/>
  <c r="P403" i="4" s="1"/>
  <c r="O404" i="4" a="1"/>
  <c r="O404" i="4" s="1"/>
  <c r="O405" i="4" a="1"/>
  <c r="O405" i="4" s="1"/>
  <c r="O406" i="4" a="1"/>
  <c r="O406" i="4" s="1"/>
  <c r="O407" i="4" a="1"/>
  <c r="O407" i="4" s="1"/>
  <c r="O408" i="4" a="1"/>
  <c r="O408" i="4" s="1"/>
  <c r="O409" i="4" a="1"/>
  <c r="O409" i="4" s="1"/>
  <c r="P409" i="4" s="1"/>
  <c r="O410" i="4" a="1"/>
  <c r="O410" i="4" s="1"/>
  <c r="O411" i="4" a="1"/>
  <c r="O411" i="4" s="1"/>
  <c r="O412" i="4" a="1"/>
  <c r="O412" i="4" s="1"/>
  <c r="O413" i="4" a="1"/>
  <c r="O413" i="4" s="1"/>
  <c r="O414" i="4" a="1"/>
  <c r="O414" i="4" s="1"/>
  <c r="O415" i="4" a="1"/>
  <c r="O415" i="4" s="1"/>
  <c r="P415" i="4" s="1"/>
  <c r="O416" i="4" a="1"/>
  <c r="O416" i="4" s="1"/>
  <c r="O417" i="4" a="1"/>
  <c r="O417" i="4" s="1"/>
  <c r="O418" i="4" a="1"/>
  <c r="O418" i="4" s="1"/>
  <c r="O419" i="4" a="1"/>
  <c r="O419" i="4" s="1"/>
  <c r="O420" i="4" a="1"/>
  <c r="O420" i="4" s="1"/>
  <c r="O421" i="4" a="1"/>
  <c r="O421" i="4" s="1"/>
  <c r="P421" i="4" s="1"/>
  <c r="O422" i="4" a="1"/>
  <c r="O422" i="4" s="1"/>
  <c r="O423" i="4" a="1"/>
  <c r="O423" i="4" s="1"/>
  <c r="O424" i="4" a="1"/>
  <c r="O424" i="4" s="1"/>
  <c r="O425" i="4" a="1"/>
  <c r="O425" i="4" s="1"/>
  <c r="O426" i="4" a="1"/>
  <c r="O426" i="4" s="1"/>
  <c r="O427" i="4" a="1"/>
  <c r="O427" i="4" s="1"/>
  <c r="P427" i="4" s="1"/>
  <c r="O428" i="4" a="1"/>
  <c r="O428" i="4" s="1"/>
  <c r="O429" i="4" a="1"/>
  <c r="O429" i="4" s="1"/>
  <c r="O430" i="4" a="1"/>
  <c r="O430" i="4" s="1"/>
  <c r="O431" i="4" a="1"/>
  <c r="O431" i="4" s="1"/>
  <c r="O432" i="4" a="1"/>
  <c r="O432" i="4" s="1"/>
  <c r="O433" i="4" a="1"/>
  <c r="O433" i="4" s="1"/>
  <c r="P433" i="4" s="1"/>
  <c r="O434" i="4" a="1"/>
  <c r="O434" i="4" s="1"/>
  <c r="O435" i="4" a="1"/>
  <c r="O435" i="4" s="1"/>
  <c r="O436" i="4" a="1"/>
  <c r="O436" i="4" s="1"/>
  <c r="O437" i="4" a="1"/>
  <c r="O437" i="4" s="1"/>
  <c r="O438" i="4" a="1"/>
  <c r="O438" i="4" s="1"/>
  <c r="O439" i="4" a="1"/>
  <c r="O439" i="4" s="1"/>
  <c r="P439" i="4" s="1"/>
  <c r="O440" i="4" a="1"/>
  <c r="O440" i="4" s="1"/>
  <c r="O441" i="4" a="1"/>
  <c r="O441" i="4" s="1"/>
  <c r="O442" i="4" a="1"/>
  <c r="O442" i="4" s="1"/>
  <c r="O443" i="4" a="1"/>
  <c r="O443" i="4" s="1"/>
  <c r="O444" i="4" a="1"/>
  <c r="O444" i="4" s="1"/>
  <c r="O445" i="4" a="1"/>
  <c r="O445" i="4" s="1"/>
  <c r="P445" i="4" s="1"/>
  <c r="O446" i="4" a="1"/>
  <c r="O446" i="4" s="1"/>
  <c r="O447" i="4" a="1"/>
  <c r="O447" i="4" s="1"/>
  <c r="O448" i="4" a="1"/>
  <c r="O448" i="4" s="1"/>
  <c r="O449" i="4" a="1"/>
  <c r="O449" i="4" s="1"/>
  <c r="O450" i="4" a="1"/>
  <c r="O450" i="4" s="1"/>
  <c r="O451" i="4" a="1"/>
  <c r="O451" i="4" s="1"/>
  <c r="P451" i="4" s="1"/>
  <c r="O452" i="4" a="1"/>
  <c r="O452" i="4" s="1"/>
  <c r="O453" i="4" a="1"/>
  <c r="O453" i="4" s="1"/>
  <c r="O454" i="4" a="1"/>
  <c r="O454" i="4" s="1"/>
  <c r="O455" i="4" a="1"/>
  <c r="O455" i="4" s="1"/>
  <c r="O456" i="4" a="1"/>
  <c r="O456" i="4" s="1"/>
  <c r="O457" i="4" a="1"/>
  <c r="O457" i="4" s="1"/>
  <c r="O458" i="4" a="1"/>
  <c r="O458" i="4" s="1"/>
  <c r="O459" i="4" a="1"/>
  <c r="O459" i="4" s="1"/>
  <c r="O460" i="4" a="1"/>
  <c r="O460" i="4" s="1"/>
  <c r="O461" i="4" a="1"/>
  <c r="O461" i="4" s="1"/>
  <c r="O462" i="4" a="1"/>
  <c r="O462" i="4" s="1"/>
  <c r="O463" i="4" a="1"/>
  <c r="O463" i="4" s="1"/>
  <c r="O464" i="4" a="1"/>
  <c r="O464" i="4" s="1"/>
  <c r="O465" i="4" a="1"/>
  <c r="O465" i="4" s="1"/>
  <c r="O466" i="4" a="1"/>
  <c r="O466" i="4" s="1"/>
  <c r="O467" i="4" a="1"/>
  <c r="O467" i="4" s="1"/>
  <c r="O468" i="4" a="1"/>
  <c r="O468" i="4" s="1"/>
  <c r="O469" i="4" a="1"/>
  <c r="O469" i="4" s="1"/>
  <c r="O470" i="4" a="1"/>
  <c r="O470" i="4" s="1"/>
  <c r="O471" i="4" a="1"/>
  <c r="O471" i="4" s="1"/>
  <c r="O472" i="4" a="1"/>
  <c r="O472" i="4" s="1"/>
  <c r="O473" i="4" a="1"/>
  <c r="O473" i="4" s="1"/>
  <c r="O474" i="4" a="1"/>
  <c r="O474" i="4" s="1"/>
  <c r="O475" i="4" a="1"/>
  <c r="O475" i="4" s="1"/>
  <c r="O476" i="4" a="1"/>
  <c r="O476" i="4" s="1"/>
  <c r="O477" i="4" a="1"/>
  <c r="O477" i="4" s="1"/>
  <c r="O478" i="4" a="1"/>
  <c r="O478" i="4" s="1"/>
  <c r="O479" i="4" a="1"/>
  <c r="O479" i="4" s="1"/>
  <c r="O480" i="4" a="1"/>
  <c r="O480" i="4" s="1"/>
  <c r="O481" i="4" a="1"/>
  <c r="O481" i="4" s="1"/>
  <c r="O482" i="4" a="1"/>
  <c r="O482" i="4" s="1"/>
  <c r="O483" i="4" a="1"/>
  <c r="O483" i="4" s="1"/>
  <c r="O484" i="4" a="1"/>
  <c r="O484" i="4" s="1"/>
  <c r="O485" i="4" a="1"/>
  <c r="O485" i="4" s="1"/>
  <c r="O486" i="4" a="1"/>
  <c r="O486" i="4" s="1"/>
  <c r="O487" i="4" a="1"/>
  <c r="O487" i="4" s="1"/>
  <c r="O488" i="4" a="1"/>
  <c r="O488" i="4" s="1"/>
  <c r="O489" i="4" a="1"/>
  <c r="O489" i="4" s="1"/>
  <c r="O490" i="4" a="1"/>
  <c r="O490" i="4" s="1"/>
  <c r="O491" i="4" a="1"/>
  <c r="O491" i="4" s="1"/>
  <c r="O492" i="4" a="1"/>
  <c r="O492" i="4" s="1"/>
  <c r="O493" i="4" a="1"/>
  <c r="O493" i="4" s="1"/>
  <c r="O494" i="4" a="1"/>
  <c r="O494" i="4" s="1"/>
  <c r="O495" i="4" a="1"/>
  <c r="O495" i="4" s="1"/>
  <c r="O496" i="4" a="1"/>
  <c r="O496" i="4" s="1"/>
  <c r="O497" i="4" a="1"/>
  <c r="O497" i="4" s="1"/>
  <c r="O498" i="4" a="1"/>
  <c r="O498" i="4" s="1"/>
  <c r="O499" i="4" a="1"/>
  <c r="O499" i="4" s="1"/>
  <c r="O500" i="4" a="1"/>
  <c r="O500" i="4" s="1"/>
  <c r="O501" i="4" a="1"/>
  <c r="O501" i="4" s="1"/>
  <c r="O502" i="4" a="1"/>
  <c r="O502" i="4" s="1"/>
  <c r="O503" i="4" a="1"/>
  <c r="O503" i="4" s="1"/>
  <c r="O504" i="4" a="1"/>
  <c r="O504" i="4" s="1"/>
  <c r="O505" i="4" a="1"/>
  <c r="O505" i="4" s="1"/>
  <c r="O506" i="4" a="1"/>
  <c r="O506" i="4" s="1"/>
  <c r="O507" i="4" a="1"/>
  <c r="O507" i="4" s="1"/>
  <c r="O508" i="4" a="1"/>
  <c r="O508" i="4" s="1"/>
  <c r="O509" i="4" a="1"/>
  <c r="O509" i="4" s="1"/>
  <c r="O510" i="4" a="1"/>
  <c r="O510" i="4" s="1"/>
  <c r="O511" i="4" a="1"/>
  <c r="O511" i="4" s="1"/>
  <c r="O512" i="4" a="1"/>
  <c r="O512" i="4" s="1"/>
  <c r="O513" i="4" a="1"/>
  <c r="O513" i="4" s="1"/>
  <c r="O514" i="4" a="1"/>
  <c r="O514" i="4" s="1"/>
  <c r="O515" i="4" a="1"/>
  <c r="O515" i="4" s="1"/>
  <c r="O516" i="4" a="1"/>
  <c r="O516" i="4" s="1"/>
  <c r="O517" i="4" a="1"/>
  <c r="O517" i="4" s="1"/>
  <c r="O518" i="4" a="1"/>
  <c r="O518" i="4" s="1"/>
  <c r="O519" i="4" a="1"/>
  <c r="O519" i="4" s="1"/>
  <c r="O520" i="4" a="1"/>
  <c r="O520" i="4" s="1"/>
  <c r="O521" i="4" a="1"/>
  <c r="O521" i="4" s="1"/>
  <c r="O522" i="4" a="1"/>
  <c r="O522" i="4" s="1"/>
  <c r="O523" i="4" a="1"/>
  <c r="O523" i="4" s="1"/>
  <c r="O524" i="4" a="1"/>
  <c r="O524" i="4" s="1"/>
  <c r="O525" i="4" a="1"/>
  <c r="O525" i="4" s="1"/>
  <c r="O526" i="4" a="1"/>
  <c r="O526" i="4" s="1"/>
  <c r="O527" i="4" a="1"/>
  <c r="O527" i="4" s="1"/>
  <c r="O528" i="4" a="1"/>
  <c r="O528" i="4" s="1"/>
  <c r="O529" i="4" a="1"/>
  <c r="O529" i="4" s="1"/>
  <c r="O530" i="4" a="1"/>
  <c r="O530" i="4" s="1"/>
  <c r="O531" i="4" a="1"/>
  <c r="O531" i="4" s="1"/>
  <c r="O532" i="4" a="1"/>
  <c r="O532" i="4" s="1"/>
  <c r="O533" i="4" a="1"/>
  <c r="O533" i="4" s="1"/>
  <c r="O534" i="4" a="1"/>
  <c r="O534" i="4" s="1"/>
  <c r="O535" i="4" a="1"/>
  <c r="O535" i="4" s="1"/>
  <c r="O536" i="4" a="1"/>
  <c r="O536" i="4" s="1"/>
  <c r="O537" i="4" a="1"/>
  <c r="O537" i="4" s="1"/>
  <c r="O538" i="4" a="1"/>
  <c r="O538" i="4" s="1"/>
  <c r="O539" i="4" a="1"/>
  <c r="O539" i="4" s="1"/>
  <c r="O540" i="4" a="1"/>
  <c r="O540" i="4" s="1"/>
  <c r="O541" i="4" a="1"/>
  <c r="O541" i="4" s="1"/>
  <c r="O542" i="4" a="1"/>
  <c r="O542" i="4" s="1"/>
  <c r="O543" i="4" a="1"/>
  <c r="O543" i="4" s="1"/>
  <c r="O544" i="4" a="1"/>
  <c r="O544" i="4" s="1"/>
  <c r="O545" i="4" a="1"/>
  <c r="O545" i="4" s="1"/>
  <c r="O546" i="4" a="1"/>
  <c r="O546" i="4" s="1"/>
  <c r="O547" i="4" a="1"/>
  <c r="O547" i="4" s="1"/>
  <c r="O548" i="4" a="1"/>
  <c r="O548" i="4" s="1"/>
  <c r="O549" i="4" a="1"/>
  <c r="O549" i="4" s="1"/>
  <c r="O550" i="4" a="1"/>
  <c r="O550" i="4" s="1"/>
  <c r="O551" i="4" a="1"/>
  <c r="O551" i="4" s="1"/>
  <c r="O552" i="4" a="1"/>
  <c r="O552" i="4" s="1"/>
  <c r="O553" i="4" a="1"/>
  <c r="O553" i="4" s="1"/>
  <c r="O554" i="4" a="1"/>
  <c r="O554" i="4" s="1"/>
  <c r="O555" i="4" a="1"/>
  <c r="O555" i="4" s="1"/>
  <c r="O556" i="4" a="1"/>
  <c r="O556" i="4" s="1"/>
  <c r="O557" i="4" a="1"/>
  <c r="O557" i="4" s="1"/>
  <c r="O558" i="4" a="1"/>
  <c r="O558" i="4" s="1"/>
  <c r="O559" i="4" a="1"/>
  <c r="O559" i="4" s="1"/>
  <c r="O560" i="4" a="1"/>
  <c r="O560" i="4" s="1"/>
  <c r="O561" i="4" a="1"/>
  <c r="O561" i="4" s="1"/>
  <c r="O562" i="4" a="1"/>
  <c r="O562" i="4" s="1"/>
  <c r="O563" i="4" a="1"/>
  <c r="O563" i="4" s="1"/>
  <c r="O564" i="4" a="1"/>
  <c r="O564" i="4" s="1"/>
  <c r="O565" i="4" a="1"/>
  <c r="O565" i="4" s="1"/>
  <c r="O566" i="4" a="1"/>
  <c r="O566" i="4" s="1"/>
  <c r="O100" i="4" a="1"/>
  <c r="O100" i="4" s="1"/>
  <c r="P100" i="4" s="1"/>
  <c r="O101" i="4" a="1"/>
  <c r="O101" i="4" s="1"/>
  <c r="P101" i="4" s="1"/>
  <c r="O102" i="4" a="1"/>
  <c r="O102" i="4" s="1"/>
  <c r="P102" i="4" s="1"/>
  <c r="O103" i="4" a="1"/>
  <c r="O103" i="4" s="1"/>
  <c r="P103" i="4" s="1"/>
  <c r="O104" i="4" a="1"/>
  <c r="O104" i="4" s="1"/>
  <c r="O105" i="4" a="1"/>
  <c r="O105" i="4" s="1"/>
  <c r="P105" i="4" s="1"/>
  <c r="O106" i="4" a="1"/>
  <c r="O106" i="4" s="1"/>
  <c r="P106" i="4" s="1"/>
  <c r="O107" i="4" a="1"/>
  <c r="O107" i="4" s="1"/>
  <c r="P107" i="4" s="1"/>
  <c r="O108" i="4" a="1"/>
  <c r="O108" i="4" s="1"/>
  <c r="P108" i="4" s="1"/>
  <c r="O109" i="4" a="1"/>
  <c r="O109" i="4" s="1"/>
  <c r="P109" i="4" s="1"/>
  <c r="O110" i="4" a="1"/>
  <c r="O110" i="4" s="1"/>
  <c r="O111" i="4" a="1"/>
  <c r="O111" i="4" s="1"/>
  <c r="P111" i="4" s="1"/>
  <c r="O112" i="4" a="1"/>
  <c r="O112" i="4" s="1"/>
  <c r="P112" i="4" s="1"/>
  <c r="O113" i="4" a="1"/>
  <c r="O113" i="4" s="1"/>
  <c r="P113" i="4" s="1"/>
  <c r="O114" i="4" a="1"/>
  <c r="O114" i="4" s="1"/>
  <c r="P114" i="4" s="1"/>
  <c r="O115" i="4" a="1"/>
  <c r="O115" i="4" s="1"/>
  <c r="P115" i="4" s="1"/>
  <c r="O116" i="4" a="1"/>
  <c r="O116" i="4" s="1"/>
  <c r="O117" i="4" a="1"/>
  <c r="O117" i="4" s="1"/>
  <c r="P117" i="4" s="1"/>
  <c r="O118" i="4" a="1"/>
  <c r="O118" i="4" s="1"/>
  <c r="P118" i="4" s="1"/>
  <c r="O119" i="4" a="1"/>
  <c r="O119" i="4" s="1"/>
  <c r="P119" i="4" s="1"/>
  <c r="O120" i="4" a="1"/>
  <c r="O120" i="4" s="1"/>
  <c r="P120" i="4" s="1"/>
  <c r="O121" i="4" a="1"/>
  <c r="O121" i="4" s="1"/>
  <c r="P121" i="4" s="1"/>
  <c r="O122" i="4" a="1"/>
  <c r="O122" i="4" s="1"/>
  <c r="O123" i="4" a="1"/>
  <c r="O123" i="4" s="1"/>
  <c r="P123" i="4" s="1"/>
  <c r="O124" i="4" a="1"/>
  <c r="O124" i="4" s="1"/>
  <c r="P124" i="4" s="1"/>
  <c r="O125" i="4" a="1"/>
  <c r="O125" i="4" s="1"/>
  <c r="P125" i="4" s="1"/>
  <c r="O126" i="4" a="1"/>
  <c r="O126" i="4" s="1"/>
  <c r="P126" i="4" s="1"/>
  <c r="O127" i="4" a="1"/>
  <c r="O127" i="4" s="1"/>
  <c r="P127" i="4" s="1"/>
  <c r="O128" i="4" a="1"/>
  <c r="O128" i="4" s="1"/>
  <c r="O129" i="4" a="1"/>
  <c r="O129" i="4" s="1"/>
  <c r="P129" i="4" s="1"/>
  <c r="O130" i="4" a="1"/>
  <c r="O130" i="4" s="1"/>
  <c r="P130" i="4" s="1"/>
  <c r="O131" i="4" a="1"/>
  <c r="O131" i="4" s="1"/>
  <c r="P131" i="4" s="1"/>
  <c r="O132" i="4" a="1"/>
  <c r="O132" i="4" s="1"/>
  <c r="P132" i="4" s="1"/>
  <c r="O133" i="4" a="1"/>
  <c r="O133" i="4" s="1"/>
  <c r="P133" i="4" s="1"/>
  <c r="O134" i="4" a="1"/>
  <c r="O134" i="4" s="1"/>
  <c r="O135" i="4" a="1"/>
  <c r="O135" i="4" s="1"/>
  <c r="P135" i="4" s="1"/>
  <c r="O136" i="4" a="1"/>
  <c r="O136" i="4" s="1"/>
  <c r="P136" i="4" s="1"/>
  <c r="O137" i="4" a="1"/>
  <c r="O137" i="4" s="1"/>
  <c r="P137" i="4" s="1"/>
  <c r="O138" i="4" a="1"/>
  <c r="O138" i="4" s="1"/>
  <c r="P138" i="4" s="1"/>
  <c r="O139" i="4" a="1"/>
  <c r="O139" i="4" s="1"/>
  <c r="P139" i="4" s="1"/>
  <c r="O140" i="4" a="1"/>
  <c r="O140" i="4" s="1"/>
  <c r="O141" i="4" a="1"/>
  <c r="O141" i="4" s="1"/>
  <c r="P141" i="4" s="1"/>
  <c r="O142" i="4" a="1"/>
  <c r="O142" i="4" s="1"/>
  <c r="P142" i="4" s="1"/>
  <c r="O143" i="4" a="1"/>
  <c r="O143" i="4" s="1"/>
  <c r="P143" i="4" s="1"/>
  <c r="O144" i="4" a="1"/>
  <c r="O144" i="4" s="1"/>
  <c r="P144" i="4" s="1"/>
  <c r="O145" i="4" a="1"/>
  <c r="O145" i="4" s="1"/>
  <c r="P145" i="4" s="1"/>
  <c r="O146" i="4" a="1"/>
  <c r="O146" i="4" s="1"/>
  <c r="O147" i="4" a="1"/>
  <c r="O147" i="4" s="1"/>
  <c r="P147" i="4" s="1"/>
  <c r="O148" i="4" a="1"/>
  <c r="O148" i="4" s="1"/>
  <c r="P148" i="4" s="1"/>
  <c r="O149" i="4" a="1"/>
  <c r="O149" i="4" s="1"/>
  <c r="P149" i="4" s="1"/>
  <c r="O150" i="4" a="1"/>
  <c r="O150" i="4" s="1"/>
  <c r="P150" i="4" s="1"/>
  <c r="O151" i="4" a="1"/>
  <c r="O151" i="4" s="1"/>
  <c r="P151" i="4" s="1"/>
  <c r="O152" i="4" a="1"/>
  <c r="O152" i="4" s="1"/>
  <c r="O153" i="4" a="1"/>
  <c r="O153" i="4" s="1"/>
  <c r="P153" i="4" s="1"/>
  <c r="O154" i="4" a="1"/>
  <c r="O154" i="4" s="1"/>
  <c r="P154" i="4" s="1"/>
  <c r="O155" i="4" a="1"/>
  <c r="O155" i="4" s="1"/>
  <c r="P155" i="4" s="1"/>
  <c r="O156" i="4" a="1"/>
  <c r="O156" i="4" s="1"/>
  <c r="P156" i="4" s="1"/>
  <c r="O157" i="4" a="1"/>
  <c r="O157" i="4" s="1"/>
  <c r="P157" i="4" s="1"/>
  <c r="O158" i="4" a="1"/>
  <c r="O158" i="4" s="1"/>
  <c r="N3" i="5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2" i="5"/>
  <c r="AD557" i="4"/>
  <c r="AD558" i="4"/>
  <c r="AD559" i="4"/>
  <c r="AD560" i="4"/>
  <c r="AD561" i="4"/>
  <c r="AD562" i="4"/>
  <c r="AD563" i="4"/>
  <c r="AD564" i="4"/>
  <c r="AD565" i="4"/>
  <c r="AD566" i="4"/>
  <c r="AD567" i="4"/>
  <c r="AD568" i="4"/>
  <c r="AD569" i="4"/>
  <c r="AD570" i="4"/>
  <c r="AD571" i="4"/>
  <c r="AD572" i="4"/>
  <c r="AD573" i="4"/>
  <c r="AD574" i="4"/>
  <c r="U3" i="4" a="1"/>
  <c r="U3" i="4" s="1"/>
  <c r="U4" i="4" a="1"/>
  <c r="U4" i="4" s="1"/>
  <c r="U5" i="4" a="1"/>
  <c r="U5" i="4" s="1"/>
  <c r="U6" i="4" a="1"/>
  <c r="U6" i="4" s="1"/>
  <c r="U7" i="4" a="1"/>
  <c r="U7" i="4" s="1"/>
  <c r="U9" i="4" a="1"/>
  <c r="U9" i="4" s="1"/>
  <c r="U10" i="4" a="1"/>
  <c r="U10" i="4" s="1"/>
  <c r="U11" i="4" a="1"/>
  <c r="U11" i="4" s="1"/>
  <c r="U12" i="4" a="1"/>
  <c r="U12" i="4" s="1"/>
  <c r="U13" i="4" a="1"/>
  <c r="U13" i="4" s="1"/>
  <c r="U14" i="4" a="1"/>
  <c r="U14" i="4" s="1"/>
  <c r="U15" i="4" a="1"/>
  <c r="U15" i="4" s="1"/>
  <c r="U16" i="4" a="1"/>
  <c r="U16" i="4" s="1"/>
  <c r="U17" i="4" a="1"/>
  <c r="U17" i="4" s="1"/>
  <c r="U19" i="4" a="1"/>
  <c r="U19" i="4" s="1"/>
  <c r="U20" i="4" a="1"/>
  <c r="U20" i="4" s="1"/>
  <c r="U22" i="4" a="1"/>
  <c r="U22" i="4" s="1"/>
  <c r="U23" i="4" a="1"/>
  <c r="U23" i="4" s="1"/>
  <c r="U24" i="4" a="1"/>
  <c r="U24" i="4" s="1"/>
  <c r="U25" i="4" a="1"/>
  <c r="U25" i="4" s="1"/>
  <c r="U26" i="4" a="1"/>
  <c r="U26" i="4" s="1"/>
  <c r="U27" i="4" a="1"/>
  <c r="U27" i="4" s="1"/>
  <c r="U28" i="4" a="1"/>
  <c r="U28" i="4" s="1"/>
  <c r="U30" i="4" a="1"/>
  <c r="U30" i="4" s="1"/>
  <c r="U31" i="4" a="1"/>
  <c r="U31" i="4" s="1"/>
  <c r="U32" i="4" a="1"/>
  <c r="U32" i="4" s="1"/>
  <c r="U34" i="4" a="1"/>
  <c r="U34" i="4" s="1"/>
  <c r="U35" i="4" a="1"/>
  <c r="U35" i="4" s="1"/>
  <c r="U36" i="4" a="1"/>
  <c r="U36" i="4" s="1"/>
  <c r="U37" i="4" a="1"/>
  <c r="U37" i="4" s="1"/>
  <c r="U38" i="4" a="1"/>
  <c r="U38" i="4" s="1"/>
  <c r="U39" i="4" a="1"/>
  <c r="U39" i="4" s="1"/>
  <c r="U40" i="4" a="1"/>
  <c r="U40" i="4" s="1"/>
  <c r="U41" i="4" a="1"/>
  <c r="U41" i="4" s="1"/>
  <c r="U42" i="4" a="1"/>
  <c r="U42" i="4" s="1"/>
  <c r="U43" i="4" a="1"/>
  <c r="U43" i="4" s="1"/>
  <c r="U44" i="4" a="1"/>
  <c r="U44" i="4" s="1"/>
  <c r="U45" i="4" a="1"/>
  <c r="U45" i="4" s="1"/>
  <c r="U46" i="4" a="1"/>
  <c r="U46" i="4" s="1"/>
  <c r="U47" i="4" a="1"/>
  <c r="U47" i="4" s="1"/>
  <c r="U48" i="4" a="1"/>
  <c r="U48" i="4" s="1"/>
  <c r="U51" i="4" a="1"/>
  <c r="U51" i="4" s="1"/>
  <c r="U53" i="4" a="1"/>
  <c r="U53" i="4" s="1"/>
  <c r="U54" i="4" a="1"/>
  <c r="U54" i="4" s="1"/>
  <c r="U55" i="4" a="1"/>
  <c r="U55" i="4" s="1"/>
  <c r="U56" i="4" a="1"/>
  <c r="U56" i="4" s="1"/>
  <c r="U58" i="4" a="1"/>
  <c r="U58" i="4" s="1"/>
  <c r="U59" i="4" a="1"/>
  <c r="U59" i="4" s="1"/>
  <c r="U61" i="4" a="1"/>
  <c r="U61" i="4" s="1"/>
  <c r="U62" i="4" a="1"/>
  <c r="U62" i="4" s="1"/>
  <c r="U63" i="4" a="1"/>
  <c r="U63" i="4" s="1"/>
  <c r="U64" i="4" a="1"/>
  <c r="U64" i="4" s="1"/>
  <c r="U65" i="4" a="1"/>
  <c r="U65" i="4" s="1"/>
  <c r="U66" i="4" a="1"/>
  <c r="U66" i="4" s="1"/>
  <c r="U67" i="4" a="1"/>
  <c r="U67" i="4" s="1"/>
  <c r="U70" i="4" a="1"/>
  <c r="U70" i="4" s="1"/>
  <c r="U71" i="4" a="1"/>
  <c r="U71" i="4" s="1"/>
  <c r="U72" i="4" a="1"/>
  <c r="U72" i="4" s="1"/>
  <c r="U73" i="4" a="1"/>
  <c r="U73" i="4" s="1"/>
  <c r="U74" i="4" a="1"/>
  <c r="U74" i="4" s="1"/>
  <c r="U75" i="4" a="1"/>
  <c r="U75" i="4" s="1"/>
  <c r="U76" i="4" a="1"/>
  <c r="U76" i="4" s="1"/>
  <c r="U77" i="4" a="1"/>
  <c r="U77" i="4" s="1"/>
  <c r="U79" i="4" a="1"/>
  <c r="U79" i="4" s="1"/>
  <c r="U80" i="4" a="1"/>
  <c r="U80" i="4" s="1"/>
  <c r="U81" i="4" a="1"/>
  <c r="U81" i="4" s="1"/>
  <c r="U83" i="4" a="1"/>
  <c r="U83" i="4" s="1"/>
  <c r="U84" i="4" a="1"/>
  <c r="U84" i="4" s="1"/>
  <c r="U85" i="4" a="1"/>
  <c r="U85" i="4" s="1"/>
  <c r="U86" i="4" a="1"/>
  <c r="U86" i="4" s="1"/>
  <c r="U87" i="4" a="1"/>
  <c r="U87" i="4" s="1"/>
  <c r="U88" i="4" a="1"/>
  <c r="U88" i="4" s="1"/>
  <c r="U90" i="4" a="1"/>
  <c r="U90" i="4" s="1"/>
  <c r="U91" i="4" a="1"/>
  <c r="U91" i="4" s="1"/>
  <c r="U92" i="4" a="1"/>
  <c r="U92" i="4" s="1"/>
  <c r="U93" i="4" a="1"/>
  <c r="U93" i="4" s="1"/>
  <c r="U94" i="4" a="1"/>
  <c r="U94" i="4" s="1"/>
  <c r="U96" i="4" a="1"/>
  <c r="U96" i="4" s="1"/>
  <c r="U97" i="4" a="1"/>
  <c r="U97" i="4" s="1"/>
  <c r="U98" i="4" a="1"/>
  <c r="U98" i="4" s="1"/>
  <c r="U99" i="4" a="1"/>
  <c r="U99" i="4" s="1"/>
  <c r="U100" i="4" a="1"/>
  <c r="U100" i="4" s="1"/>
  <c r="U101" i="4" a="1"/>
  <c r="U101" i="4" s="1"/>
  <c r="U102" i="4" a="1"/>
  <c r="U102" i="4" s="1"/>
  <c r="U103" i="4" a="1"/>
  <c r="U103" i="4" s="1"/>
  <c r="U104" i="4" a="1"/>
  <c r="U104" i="4" s="1"/>
  <c r="U106" i="4" a="1"/>
  <c r="U106" i="4" s="1"/>
  <c r="U107" i="4" a="1"/>
  <c r="U107" i="4" s="1"/>
  <c r="U108" i="4" a="1"/>
  <c r="U108" i="4" s="1"/>
  <c r="U109" i="4" a="1"/>
  <c r="U109" i="4" s="1"/>
  <c r="U110" i="4" a="1"/>
  <c r="U110" i="4" s="1"/>
  <c r="U111" i="4" a="1"/>
  <c r="U111" i="4" s="1"/>
  <c r="U112" i="4" a="1"/>
  <c r="U112" i="4" s="1"/>
  <c r="U113" i="4" a="1"/>
  <c r="U113" i="4" s="1"/>
  <c r="U114" i="4" a="1"/>
  <c r="U114" i="4" s="1"/>
  <c r="U115" i="4" a="1"/>
  <c r="U115" i="4" s="1"/>
  <c r="U116" i="4" a="1"/>
  <c r="U116" i="4" s="1"/>
  <c r="U117" i="4" a="1"/>
  <c r="U117" i="4" s="1"/>
  <c r="U120" i="4" a="1"/>
  <c r="U120" i="4" s="1"/>
  <c r="U121" i="4" a="1"/>
  <c r="U121" i="4" s="1"/>
  <c r="U122" i="4" a="1"/>
  <c r="U122" i="4" s="1"/>
  <c r="U123" i="4" a="1"/>
  <c r="U123" i="4" s="1"/>
  <c r="U124" i="4" a="1"/>
  <c r="U124" i="4" s="1"/>
  <c r="U126" i="4" a="1"/>
  <c r="U126" i="4" s="1"/>
  <c r="U127" i="4" a="1"/>
  <c r="U127" i="4" s="1"/>
  <c r="U128" i="4" a="1"/>
  <c r="U128" i="4" s="1"/>
  <c r="U131" i="4" a="1"/>
  <c r="U131" i="4" s="1"/>
  <c r="U132" i="4" a="1"/>
  <c r="U132" i="4" s="1"/>
  <c r="U133" i="4" a="1"/>
  <c r="U133" i="4" s="1"/>
  <c r="U134" i="4" a="1"/>
  <c r="U134" i="4" s="1"/>
  <c r="U135" i="4" a="1"/>
  <c r="U135" i="4" s="1"/>
  <c r="U136" i="4" a="1"/>
  <c r="U136" i="4" s="1"/>
  <c r="U137" i="4" a="1"/>
  <c r="U137" i="4" s="1"/>
  <c r="U138" i="4" a="1"/>
  <c r="U138" i="4" s="1"/>
  <c r="U139" i="4" a="1"/>
  <c r="U139" i="4" s="1"/>
  <c r="U140" i="4" a="1"/>
  <c r="U140" i="4" s="1"/>
  <c r="U142" i="4" a="1"/>
  <c r="U142" i="4" s="1"/>
  <c r="U143" i="4" a="1"/>
  <c r="U143" i="4" s="1"/>
  <c r="U144" i="4" a="1"/>
  <c r="U144" i="4" s="1"/>
  <c r="U145" i="4" a="1"/>
  <c r="U145" i="4" s="1"/>
  <c r="U146" i="4" a="1"/>
  <c r="U146" i="4" s="1"/>
  <c r="U148" i="4" a="1"/>
  <c r="U148" i="4" s="1"/>
  <c r="U149" i="4" a="1"/>
  <c r="U149" i="4" s="1"/>
  <c r="U151" i="4" a="1"/>
  <c r="U151" i="4" s="1"/>
  <c r="U152" i="4" a="1"/>
  <c r="U152" i="4" s="1"/>
  <c r="U153" i="4" a="1"/>
  <c r="U153" i="4" s="1"/>
  <c r="U154" i="4" a="1"/>
  <c r="U154" i="4" s="1"/>
  <c r="U155" i="4" a="1"/>
  <c r="U155" i="4" s="1"/>
  <c r="U156" i="4" a="1"/>
  <c r="U156" i="4" s="1"/>
  <c r="U157" i="4" a="1"/>
  <c r="U157" i="4" s="1"/>
  <c r="U158" i="4" a="1"/>
  <c r="U158" i="4" s="1"/>
  <c r="U159" i="4" a="1"/>
  <c r="U159" i="4" s="1"/>
  <c r="U160" i="4" a="1"/>
  <c r="U160" i="4" s="1"/>
  <c r="U161" i="4" a="1"/>
  <c r="U161" i="4" s="1"/>
  <c r="U162" i="4" a="1"/>
  <c r="U162" i="4" s="1"/>
  <c r="U163" i="4" a="1"/>
  <c r="U163" i="4"/>
  <c r="U164" i="4" a="1"/>
  <c r="U164" i="4" s="1"/>
  <c r="U165" i="4" a="1"/>
  <c r="U165" i="4" s="1"/>
  <c r="U166" i="4" a="1"/>
  <c r="U166" i="4" s="1"/>
  <c r="U167" i="4" a="1"/>
  <c r="U167" i="4" s="1"/>
  <c r="U168" i="4" a="1"/>
  <c r="U168" i="4" s="1"/>
  <c r="U169" i="4" a="1"/>
  <c r="U169" i="4" s="1"/>
  <c r="U170" i="4" a="1"/>
  <c r="U170" i="4" s="1"/>
  <c r="U171" i="4" a="1"/>
  <c r="U171" i="4" s="1"/>
  <c r="U172" i="4" a="1"/>
  <c r="U172" i="4" s="1"/>
  <c r="U173" i="4" a="1"/>
  <c r="U173" i="4" s="1"/>
  <c r="U174" i="4" a="1"/>
  <c r="U174" i="4" s="1"/>
  <c r="U175" i="4" a="1"/>
  <c r="U175" i="4" s="1"/>
  <c r="U176" i="4" a="1"/>
  <c r="U176" i="4" s="1"/>
  <c r="U177" i="4" a="1"/>
  <c r="U177" i="4" s="1"/>
  <c r="U178" i="4" a="1"/>
  <c r="U178" i="4" s="1"/>
  <c r="U179" i="4" a="1"/>
  <c r="U179" i="4" s="1"/>
  <c r="U180" i="4" a="1"/>
  <c r="U180" i="4" s="1"/>
  <c r="U181" i="4" a="1"/>
  <c r="U181" i="4" s="1"/>
  <c r="U182" i="4" a="1"/>
  <c r="U182" i="4" s="1"/>
  <c r="U183" i="4" a="1"/>
  <c r="U183" i="4" s="1"/>
  <c r="U184" i="4" a="1"/>
  <c r="U184" i="4" s="1"/>
  <c r="U185" i="4" a="1"/>
  <c r="U185" i="4" s="1"/>
  <c r="U186" i="4" a="1"/>
  <c r="U186" i="4" s="1"/>
  <c r="U187" i="4" a="1"/>
  <c r="U187" i="4" s="1"/>
  <c r="U188" i="4" a="1"/>
  <c r="U188" i="4" s="1"/>
  <c r="U189" i="4" a="1"/>
  <c r="U189" i="4" s="1"/>
  <c r="U190" i="4" a="1"/>
  <c r="U190" i="4" s="1"/>
  <c r="U191" i="4" a="1"/>
  <c r="U191" i="4" s="1"/>
  <c r="U192" i="4" a="1"/>
  <c r="U192" i="4" s="1"/>
  <c r="U193" i="4" a="1"/>
  <c r="U193" i="4" s="1"/>
  <c r="U194" i="4" a="1"/>
  <c r="U194" i="4" s="1"/>
  <c r="U195" i="4" a="1"/>
  <c r="U195" i="4" s="1"/>
  <c r="U196" i="4" a="1"/>
  <c r="U196" i="4" s="1"/>
  <c r="U197" i="4" a="1"/>
  <c r="U197" i="4" s="1"/>
  <c r="U198" i="4" a="1"/>
  <c r="U198" i="4" s="1"/>
  <c r="U199" i="4" a="1"/>
  <c r="U199" i="4" s="1"/>
  <c r="U200" i="4" a="1"/>
  <c r="U200" i="4" s="1"/>
  <c r="U201" i="4" a="1"/>
  <c r="U201" i="4" s="1"/>
  <c r="U202" i="4" a="1"/>
  <c r="U202" i="4" s="1"/>
  <c r="U203" i="4" a="1"/>
  <c r="U203" i="4" s="1"/>
  <c r="U204" i="4" a="1"/>
  <c r="U204" i="4" s="1"/>
  <c r="U205" i="4" a="1"/>
  <c r="U205" i="4" s="1"/>
  <c r="U206" i="4" a="1"/>
  <c r="U206" i="4" s="1"/>
  <c r="U207" i="4" a="1"/>
  <c r="U207" i="4" s="1"/>
  <c r="U208" i="4" a="1"/>
  <c r="U208" i="4" s="1"/>
  <c r="U209" i="4" a="1"/>
  <c r="U209" i="4" s="1"/>
  <c r="U210" i="4" a="1"/>
  <c r="U210" i="4" s="1"/>
  <c r="U211" i="4" a="1"/>
  <c r="U211" i="4" s="1"/>
  <c r="U212" i="4" a="1"/>
  <c r="U212" i="4" s="1"/>
  <c r="U213" i="4" a="1"/>
  <c r="U213" i="4" s="1"/>
  <c r="U214" i="4" a="1"/>
  <c r="U214" i="4" s="1"/>
  <c r="U215" i="4" a="1"/>
  <c r="U215" i="4" s="1"/>
  <c r="U216" i="4" a="1"/>
  <c r="U216" i="4" s="1"/>
  <c r="U217" i="4" a="1"/>
  <c r="U217" i="4" s="1"/>
  <c r="U218" i="4" a="1"/>
  <c r="U218" i="4" s="1"/>
  <c r="U219" i="4" a="1"/>
  <c r="U219" i="4" s="1"/>
  <c r="U220" i="4" a="1"/>
  <c r="U220" i="4" s="1"/>
  <c r="U221" i="4" a="1"/>
  <c r="U221" i="4" s="1"/>
  <c r="U222" i="4" a="1"/>
  <c r="U222" i="4" s="1"/>
  <c r="U223" i="4" a="1"/>
  <c r="U223" i="4" s="1"/>
  <c r="U224" i="4" a="1"/>
  <c r="U224" i="4" s="1"/>
  <c r="U225" i="4" a="1"/>
  <c r="U225" i="4" s="1"/>
  <c r="U226" i="4" a="1"/>
  <c r="U226" i="4" s="1"/>
  <c r="U227" i="4" a="1"/>
  <c r="U227" i="4" s="1"/>
  <c r="U228" i="4" a="1"/>
  <c r="U228" i="4" s="1"/>
  <c r="U229" i="4" a="1"/>
  <c r="U229" i="4" s="1"/>
  <c r="U230" i="4" a="1"/>
  <c r="U230" i="4" s="1"/>
  <c r="U231" i="4" a="1"/>
  <c r="U231" i="4" s="1"/>
  <c r="U232" i="4" a="1"/>
  <c r="U232" i="4" s="1"/>
  <c r="U233" i="4" a="1"/>
  <c r="U233" i="4" s="1"/>
  <c r="U234" i="4" a="1"/>
  <c r="U234" i="4" s="1"/>
  <c r="U235" i="4" a="1"/>
  <c r="U235" i="4" s="1"/>
  <c r="U236" i="4" a="1"/>
  <c r="U236" i="4" s="1"/>
  <c r="U237" i="4" a="1"/>
  <c r="U237" i="4" s="1"/>
  <c r="U238" i="4" a="1"/>
  <c r="U238" i="4" s="1"/>
  <c r="U239" i="4" a="1"/>
  <c r="U239" i="4" s="1"/>
  <c r="U240" i="4" a="1"/>
  <c r="U240" i="4" s="1"/>
  <c r="U241" i="4" a="1"/>
  <c r="U241" i="4" s="1"/>
  <c r="U242" i="4" a="1"/>
  <c r="U242" i="4" s="1"/>
  <c r="U243" i="4" a="1"/>
  <c r="U243" i="4" s="1"/>
  <c r="U244" i="4" a="1"/>
  <c r="U244" i="4" s="1"/>
  <c r="U245" i="4" a="1"/>
  <c r="U245" i="4" s="1"/>
  <c r="U246" i="4" a="1"/>
  <c r="U246" i="4" s="1"/>
  <c r="U247" i="4" a="1"/>
  <c r="U247" i="4" s="1"/>
  <c r="U248" i="4" a="1"/>
  <c r="U248" i="4" s="1"/>
  <c r="U249" i="4" a="1"/>
  <c r="U249" i="4" s="1"/>
  <c r="U250" i="4" a="1"/>
  <c r="U250" i="4" s="1"/>
  <c r="U251" i="4" a="1"/>
  <c r="U251" i="4" s="1"/>
  <c r="U252" i="4" a="1"/>
  <c r="U252" i="4" s="1"/>
  <c r="U253" i="4" a="1"/>
  <c r="U253" i="4" s="1"/>
  <c r="U254" i="4" a="1"/>
  <c r="U254" i="4" s="1"/>
  <c r="U255" i="4" a="1"/>
  <c r="U255" i="4" s="1"/>
  <c r="U256" i="4" a="1"/>
  <c r="U256" i="4" s="1"/>
  <c r="U257" i="4" a="1"/>
  <c r="U257" i="4" s="1"/>
  <c r="U258" i="4" a="1"/>
  <c r="U258" i="4" s="1"/>
  <c r="U259" i="4" a="1"/>
  <c r="U259" i="4" s="1"/>
  <c r="U260" i="4" a="1"/>
  <c r="U260" i="4" s="1"/>
  <c r="U261" i="4" a="1"/>
  <c r="U261" i="4" s="1"/>
  <c r="U262" i="4" a="1"/>
  <c r="U262" i="4" s="1"/>
  <c r="U263" i="4" a="1"/>
  <c r="U263" i="4" s="1"/>
  <c r="U264" i="4" a="1"/>
  <c r="U264" i="4" s="1"/>
  <c r="U265" i="4" a="1"/>
  <c r="U265" i="4" s="1"/>
  <c r="U266" i="4" a="1"/>
  <c r="U266" i="4" s="1"/>
  <c r="U267" i="4" a="1"/>
  <c r="U267" i="4" s="1"/>
  <c r="U268" i="4" a="1"/>
  <c r="U268" i="4" s="1"/>
  <c r="U269" i="4" a="1"/>
  <c r="U269" i="4" s="1"/>
  <c r="U270" i="4" a="1"/>
  <c r="U270" i="4" s="1"/>
  <c r="U271" i="4" a="1"/>
  <c r="U271" i="4" s="1"/>
  <c r="U272" i="4" a="1"/>
  <c r="U272" i="4" s="1"/>
  <c r="U273" i="4" a="1"/>
  <c r="U273" i="4" s="1"/>
  <c r="U274" i="4" a="1"/>
  <c r="U274" i="4" s="1"/>
  <c r="U275" i="4" a="1"/>
  <c r="U275" i="4" s="1"/>
  <c r="U276" i="4" a="1"/>
  <c r="U276" i="4" s="1"/>
  <c r="U277" i="4" a="1"/>
  <c r="U277" i="4" s="1"/>
  <c r="U278" i="4" a="1"/>
  <c r="U278" i="4" s="1"/>
  <c r="U279" i="4" a="1"/>
  <c r="U279" i="4" s="1"/>
  <c r="U280" i="4" a="1"/>
  <c r="U280" i="4" s="1"/>
  <c r="U281" i="4" a="1"/>
  <c r="U281" i="4" s="1"/>
  <c r="U282" i="4" a="1"/>
  <c r="U282" i="4" s="1"/>
  <c r="U283" i="4" a="1"/>
  <c r="U283" i="4" s="1"/>
  <c r="U284" i="4" a="1"/>
  <c r="U284" i="4" s="1"/>
  <c r="U285" i="4" a="1"/>
  <c r="U285" i="4" s="1"/>
  <c r="U286" i="4" a="1"/>
  <c r="U286" i="4" s="1"/>
  <c r="U287" i="4" a="1"/>
  <c r="U287" i="4" s="1"/>
  <c r="U288" i="4" a="1"/>
  <c r="U288" i="4" s="1"/>
  <c r="U289" i="4" a="1"/>
  <c r="U289" i="4" s="1"/>
  <c r="U290" i="4" a="1"/>
  <c r="U290" i="4" s="1"/>
  <c r="U291" i="4" a="1"/>
  <c r="U291" i="4" s="1"/>
  <c r="U292" i="4" a="1"/>
  <c r="U292" i="4" s="1"/>
  <c r="U293" i="4" a="1"/>
  <c r="U293" i="4" s="1"/>
  <c r="U294" i="4" a="1"/>
  <c r="U294" i="4" s="1"/>
  <c r="U295" i="4" a="1"/>
  <c r="U295" i="4" s="1"/>
  <c r="U296" i="4" a="1"/>
  <c r="U296" i="4" s="1"/>
  <c r="U297" i="4" a="1"/>
  <c r="U297" i="4" s="1"/>
  <c r="U298" i="4" a="1"/>
  <c r="U298" i="4" s="1"/>
  <c r="U299" i="4" a="1"/>
  <c r="U299" i="4" s="1"/>
  <c r="U300" i="4" a="1"/>
  <c r="U300" i="4" s="1"/>
  <c r="U301" i="4" a="1"/>
  <c r="U301" i="4" s="1"/>
  <c r="U302" i="4" a="1"/>
  <c r="U302" i="4" s="1"/>
  <c r="U303" i="4" a="1"/>
  <c r="U303" i="4" s="1"/>
  <c r="U304" i="4" a="1"/>
  <c r="U304" i="4" s="1"/>
  <c r="U305" i="4" a="1"/>
  <c r="U305" i="4" s="1"/>
  <c r="U306" i="4" a="1"/>
  <c r="U306" i="4" s="1"/>
  <c r="U307" i="4" a="1"/>
  <c r="U307" i="4" s="1"/>
  <c r="U308" i="4" a="1"/>
  <c r="U308" i="4" s="1"/>
  <c r="U309" i="4" a="1"/>
  <c r="U309" i="4" s="1"/>
  <c r="U310" i="4" a="1"/>
  <c r="U310" i="4" s="1"/>
  <c r="U311" i="4" a="1"/>
  <c r="U311" i="4" s="1"/>
  <c r="U312" i="4" a="1"/>
  <c r="U312" i="4" s="1"/>
  <c r="U313" i="4" a="1"/>
  <c r="U313" i="4" s="1"/>
  <c r="U314" i="4" a="1"/>
  <c r="U314" i="4" s="1"/>
  <c r="U315" i="4" a="1"/>
  <c r="U315" i="4" s="1"/>
  <c r="U316" i="4" a="1"/>
  <c r="U316" i="4" s="1"/>
  <c r="U317" i="4" a="1"/>
  <c r="U317" i="4" s="1"/>
  <c r="U318" i="4" a="1"/>
  <c r="U318" i="4" s="1"/>
  <c r="U319" i="4" a="1"/>
  <c r="U319" i="4" s="1"/>
  <c r="U320" i="4" a="1"/>
  <c r="U320" i="4" s="1"/>
  <c r="U321" i="4" a="1"/>
  <c r="U321" i="4" s="1"/>
  <c r="U322" i="4" a="1"/>
  <c r="U322" i="4" s="1"/>
  <c r="U323" i="4" a="1"/>
  <c r="U323" i="4" s="1"/>
  <c r="U324" i="4" a="1"/>
  <c r="U324" i="4" s="1"/>
  <c r="U325" i="4" a="1"/>
  <c r="U325" i="4" s="1"/>
  <c r="U326" i="4" a="1"/>
  <c r="U326" i="4" s="1"/>
  <c r="U327" i="4" a="1"/>
  <c r="U327" i="4" s="1"/>
  <c r="U328" i="4" a="1"/>
  <c r="U328" i="4" s="1"/>
  <c r="U329" i="4" a="1"/>
  <c r="U329" i="4" s="1"/>
  <c r="U330" i="4" a="1"/>
  <c r="U330" i="4" s="1"/>
  <c r="U331" i="4" a="1"/>
  <c r="U331" i="4" s="1"/>
  <c r="U332" i="4" a="1"/>
  <c r="U332" i="4" s="1"/>
  <c r="U333" i="4" a="1"/>
  <c r="U333" i="4" s="1"/>
  <c r="U334" i="4" a="1"/>
  <c r="U334" i="4" s="1"/>
  <c r="U335" i="4" a="1"/>
  <c r="U335" i="4" s="1"/>
  <c r="U336" i="4" a="1"/>
  <c r="U336" i="4" s="1"/>
  <c r="U337" i="4" a="1"/>
  <c r="U337" i="4" s="1"/>
  <c r="U338" i="4" a="1"/>
  <c r="U338" i="4" s="1"/>
  <c r="U339" i="4" a="1"/>
  <c r="U339" i="4" s="1"/>
  <c r="U340" i="4" a="1"/>
  <c r="U340" i="4" s="1"/>
  <c r="U341" i="4" a="1"/>
  <c r="U341" i="4" s="1"/>
  <c r="U342" i="4" a="1"/>
  <c r="U342" i="4" s="1"/>
  <c r="U343" i="4" a="1"/>
  <c r="U343" i="4" s="1"/>
  <c r="U344" i="4" a="1"/>
  <c r="U344" i="4" s="1"/>
  <c r="U345" i="4" a="1"/>
  <c r="U345" i="4" s="1"/>
  <c r="U346" i="4" a="1"/>
  <c r="U346" i="4" s="1"/>
  <c r="U347" i="4" a="1"/>
  <c r="U347" i="4" s="1"/>
  <c r="U348" i="4" a="1"/>
  <c r="U348" i="4" s="1"/>
  <c r="U349" i="4" a="1"/>
  <c r="U349" i="4" s="1"/>
  <c r="U350" i="4" a="1"/>
  <c r="U350" i="4" s="1"/>
  <c r="U351" i="4" a="1"/>
  <c r="U351" i="4" s="1"/>
  <c r="U352" i="4" a="1"/>
  <c r="U352" i="4" s="1"/>
  <c r="U353" i="4" a="1"/>
  <c r="U353" i="4" s="1"/>
  <c r="U354" i="4" a="1"/>
  <c r="U354" i="4" s="1"/>
  <c r="U355" i="4" a="1"/>
  <c r="U355" i="4" s="1"/>
  <c r="U356" i="4" a="1"/>
  <c r="U356" i="4" s="1"/>
  <c r="U357" i="4" a="1"/>
  <c r="U357" i="4" s="1"/>
  <c r="U358" i="4" a="1"/>
  <c r="U358" i="4" s="1"/>
  <c r="U359" i="4" a="1"/>
  <c r="U359" i="4" s="1"/>
  <c r="U360" i="4" a="1"/>
  <c r="U360" i="4" s="1"/>
  <c r="U361" i="4" a="1"/>
  <c r="U361" i="4" s="1"/>
  <c r="U362" i="4" a="1"/>
  <c r="U362" i="4" s="1"/>
  <c r="U363" i="4" a="1"/>
  <c r="U363" i="4" s="1"/>
  <c r="U364" i="4" a="1"/>
  <c r="U364" i="4" s="1"/>
  <c r="U365" i="4" a="1"/>
  <c r="U365" i="4" s="1"/>
  <c r="U366" i="4" a="1"/>
  <c r="U366" i="4" s="1"/>
  <c r="U367" i="4" a="1"/>
  <c r="U367" i="4" s="1"/>
  <c r="U368" i="4" a="1"/>
  <c r="U368" i="4" s="1"/>
  <c r="U369" i="4" a="1"/>
  <c r="U369" i="4" s="1"/>
  <c r="U370" i="4" a="1"/>
  <c r="U370" i="4" s="1"/>
  <c r="U371" i="4" a="1"/>
  <c r="U371" i="4" s="1"/>
  <c r="U372" i="4" a="1"/>
  <c r="U372" i="4" s="1"/>
  <c r="U373" i="4" a="1"/>
  <c r="U373" i="4" s="1"/>
  <c r="U374" i="4" a="1"/>
  <c r="U374" i="4" s="1"/>
  <c r="U375" i="4" a="1"/>
  <c r="U375" i="4" s="1"/>
  <c r="U376" i="4" a="1"/>
  <c r="U376" i="4" s="1"/>
  <c r="U377" i="4" a="1"/>
  <c r="U377" i="4" s="1"/>
  <c r="U378" i="4" a="1"/>
  <c r="U378" i="4" s="1"/>
  <c r="U379" i="4" a="1"/>
  <c r="U379" i="4" s="1"/>
  <c r="U380" i="4" a="1"/>
  <c r="U380" i="4" s="1"/>
  <c r="U381" i="4" a="1"/>
  <c r="U381" i="4" s="1"/>
  <c r="U382" i="4" a="1"/>
  <c r="U382" i="4" s="1"/>
  <c r="U383" i="4" a="1"/>
  <c r="U383" i="4" s="1"/>
  <c r="U384" i="4" a="1"/>
  <c r="U384" i="4" s="1"/>
  <c r="U385" i="4" a="1"/>
  <c r="U385" i="4" s="1"/>
  <c r="U386" i="4" a="1"/>
  <c r="U386" i="4" s="1"/>
  <c r="U387" i="4" a="1"/>
  <c r="U387" i="4" s="1"/>
  <c r="U388" i="4" a="1"/>
  <c r="U388" i="4" s="1"/>
  <c r="U389" i="4" a="1"/>
  <c r="U389" i="4" s="1"/>
  <c r="U390" i="4" a="1"/>
  <c r="U390" i="4" s="1"/>
  <c r="U391" i="4" a="1"/>
  <c r="U391" i="4" s="1"/>
  <c r="U392" i="4" a="1"/>
  <c r="U392" i="4" s="1"/>
  <c r="U393" i="4" a="1"/>
  <c r="U393" i="4" s="1"/>
  <c r="U394" i="4" a="1"/>
  <c r="U394" i="4" s="1"/>
  <c r="U395" i="4" a="1"/>
  <c r="U395" i="4" s="1"/>
  <c r="U396" i="4" a="1"/>
  <c r="U396" i="4" s="1"/>
  <c r="U397" i="4" a="1"/>
  <c r="U397" i="4" s="1"/>
  <c r="U398" i="4" a="1"/>
  <c r="U398" i="4" s="1"/>
  <c r="U399" i="4" a="1"/>
  <c r="U399" i="4" s="1"/>
  <c r="U400" i="4" a="1"/>
  <c r="U400" i="4" s="1"/>
  <c r="U401" i="4" a="1"/>
  <c r="U401" i="4" s="1"/>
  <c r="U402" i="4" a="1"/>
  <c r="U402" i="4" s="1"/>
  <c r="U403" i="4" a="1"/>
  <c r="U403" i="4" s="1"/>
  <c r="U404" i="4" a="1"/>
  <c r="U404" i="4" s="1"/>
  <c r="U405" i="4" a="1"/>
  <c r="U405" i="4" s="1"/>
  <c r="U406" i="4" a="1"/>
  <c r="U406" i="4" s="1"/>
  <c r="U407" i="4" a="1"/>
  <c r="U407" i="4" s="1"/>
  <c r="U408" i="4" a="1"/>
  <c r="U408" i="4" s="1"/>
  <c r="U409" i="4" a="1"/>
  <c r="U409" i="4" s="1"/>
  <c r="U410" i="4" a="1"/>
  <c r="U410" i="4" s="1"/>
  <c r="U411" i="4" a="1"/>
  <c r="U411" i="4" s="1"/>
  <c r="U412" i="4" a="1"/>
  <c r="U412" i="4" s="1"/>
  <c r="U413" i="4" a="1"/>
  <c r="U413" i="4" s="1"/>
  <c r="U414" i="4" a="1"/>
  <c r="U414" i="4" s="1"/>
  <c r="U415" i="4" a="1"/>
  <c r="U415" i="4" s="1"/>
  <c r="U416" i="4" a="1"/>
  <c r="U416" i="4" s="1"/>
  <c r="U417" i="4" a="1"/>
  <c r="U417" i="4" s="1"/>
  <c r="U418" i="4" a="1"/>
  <c r="U418" i="4" s="1"/>
  <c r="U419" i="4" a="1"/>
  <c r="U419" i="4" s="1"/>
  <c r="U420" i="4" a="1"/>
  <c r="U420" i="4" s="1"/>
  <c r="U421" i="4" a="1"/>
  <c r="U421" i="4" s="1"/>
  <c r="U422" i="4" a="1"/>
  <c r="U422" i="4" s="1"/>
  <c r="U423" i="4" a="1"/>
  <c r="U423" i="4" s="1"/>
  <c r="U424" i="4" a="1"/>
  <c r="U424" i="4" s="1"/>
  <c r="U425" i="4" a="1"/>
  <c r="U425" i="4" s="1"/>
  <c r="U426" i="4" a="1"/>
  <c r="U426" i="4" s="1"/>
  <c r="U427" i="4" a="1"/>
  <c r="U427" i="4" s="1"/>
  <c r="U428" i="4" a="1"/>
  <c r="U428" i="4" s="1"/>
  <c r="U429" i="4" a="1"/>
  <c r="U429" i="4" s="1"/>
  <c r="U430" i="4" a="1"/>
  <c r="U430" i="4" s="1"/>
  <c r="U431" i="4" a="1"/>
  <c r="U431" i="4" s="1"/>
  <c r="U432" i="4" a="1"/>
  <c r="U432" i="4" s="1"/>
  <c r="U433" i="4" a="1"/>
  <c r="U433" i="4" s="1"/>
  <c r="U434" i="4" a="1"/>
  <c r="U434" i="4" s="1"/>
  <c r="T435" i="4" a="1"/>
  <c r="T435" i="4" s="1"/>
  <c r="U435" i="4" a="1"/>
  <c r="U435" i="4" s="1"/>
  <c r="T436" i="4" a="1"/>
  <c r="T436" i="4" s="1"/>
  <c r="U436" i="4" a="1"/>
  <c r="U436" i="4" s="1"/>
  <c r="T437" i="4" a="1"/>
  <c r="T437" i="4" s="1"/>
  <c r="U437" i="4" a="1"/>
  <c r="U437" i="4" s="1"/>
  <c r="T438" i="4" a="1"/>
  <c r="T438" i="4" s="1"/>
  <c r="U438" i="4" a="1"/>
  <c r="U438" i="4" s="1"/>
  <c r="T439" i="4" a="1"/>
  <c r="T439" i="4" s="1"/>
  <c r="U439" i="4" a="1"/>
  <c r="U439" i="4" s="1"/>
  <c r="T440" i="4" a="1"/>
  <c r="T440" i="4" s="1"/>
  <c r="U440" i="4" a="1"/>
  <c r="U440" i="4" s="1"/>
  <c r="T441" i="4" a="1"/>
  <c r="T441" i="4" s="1"/>
  <c r="U441" i="4" a="1"/>
  <c r="U441" i="4" s="1"/>
  <c r="T442" i="4" a="1"/>
  <c r="T442" i="4" s="1"/>
  <c r="U442" i="4" a="1"/>
  <c r="U442" i="4" s="1"/>
  <c r="T443" i="4" a="1"/>
  <c r="T443" i="4" s="1"/>
  <c r="U443" i="4" a="1"/>
  <c r="U443" i="4" s="1"/>
  <c r="T444" i="4" a="1"/>
  <c r="T444" i="4" s="1"/>
  <c r="U444" i="4" a="1"/>
  <c r="U444" i="4" s="1"/>
  <c r="T445" i="4" a="1"/>
  <c r="T445" i="4" s="1"/>
  <c r="U445" i="4" a="1"/>
  <c r="U445" i="4" s="1"/>
  <c r="T446" i="4" a="1"/>
  <c r="T446" i="4" s="1"/>
  <c r="U446" i="4" a="1"/>
  <c r="U446" i="4" s="1"/>
  <c r="T447" i="4" a="1"/>
  <c r="T447" i="4" s="1"/>
  <c r="U447" i="4" a="1"/>
  <c r="U447" i="4" s="1"/>
  <c r="T448" i="4" a="1"/>
  <c r="T448" i="4" s="1"/>
  <c r="U448" i="4" a="1"/>
  <c r="U448" i="4" s="1"/>
  <c r="T449" i="4" a="1"/>
  <c r="T449" i="4" s="1"/>
  <c r="U449" i="4" a="1"/>
  <c r="U449" i="4" s="1"/>
  <c r="T450" i="4" a="1"/>
  <c r="T450" i="4" s="1"/>
  <c r="U450" i="4" a="1"/>
  <c r="U450" i="4" s="1"/>
  <c r="T451" i="4" a="1"/>
  <c r="T451" i="4" s="1"/>
  <c r="U451" i="4" a="1"/>
  <c r="U451" i="4" s="1"/>
  <c r="T452" i="4" a="1"/>
  <c r="T452" i="4"/>
  <c r="U452" i="4" a="1"/>
  <c r="U452" i="4" s="1"/>
  <c r="T453" i="4" a="1"/>
  <c r="T453" i="4" s="1"/>
  <c r="U453" i="4" a="1"/>
  <c r="U453" i="4" s="1"/>
  <c r="T454" i="4" a="1"/>
  <c r="T454" i="4" s="1"/>
  <c r="U454" i="4" a="1"/>
  <c r="U454" i="4" s="1"/>
  <c r="T455" i="4" a="1"/>
  <c r="T455" i="4" s="1"/>
  <c r="U455" i="4" a="1"/>
  <c r="U455" i="4" s="1"/>
  <c r="T456" i="4" a="1"/>
  <c r="T456" i="4" s="1"/>
  <c r="U456" i="4" a="1"/>
  <c r="U456" i="4" s="1"/>
  <c r="T457" i="4" a="1"/>
  <c r="T457" i="4" s="1"/>
  <c r="U457" i="4" a="1"/>
  <c r="U457" i="4" s="1"/>
  <c r="T458" i="4" a="1"/>
  <c r="T458" i="4" s="1"/>
  <c r="U458" i="4" a="1"/>
  <c r="U458" i="4" s="1"/>
  <c r="T459" i="4" a="1"/>
  <c r="T459" i="4" s="1"/>
  <c r="U459" i="4" a="1"/>
  <c r="U459" i="4" s="1"/>
  <c r="T460" i="4" a="1"/>
  <c r="T460" i="4" s="1"/>
  <c r="U460" i="4" a="1"/>
  <c r="U460" i="4" s="1"/>
  <c r="T461" i="4" a="1"/>
  <c r="T461" i="4" s="1"/>
  <c r="U461" i="4" a="1"/>
  <c r="U461" i="4" s="1"/>
  <c r="T462" i="4" a="1"/>
  <c r="T462" i="4" s="1"/>
  <c r="U462" i="4" a="1"/>
  <c r="U462" i="4" s="1"/>
  <c r="T463" i="4" a="1"/>
  <c r="T463" i="4" s="1"/>
  <c r="U463" i="4" a="1"/>
  <c r="U463" i="4" s="1"/>
  <c r="T464" i="4" a="1"/>
  <c r="T464" i="4" s="1"/>
  <c r="U464" i="4" a="1"/>
  <c r="U464" i="4" s="1"/>
  <c r="T465" i="4" a="1"/>
  <c r="T465" i="4" s="1"/>
  <c r="U465" i="4" a="1"/>
  <c r="U465" i="4" s="1"/>
  <c r="T466" i="4" a="1"/>
  <c r="T466" i="4" s="1"/>
  <c r="U466" i="4" a="1"/>
  <c r="U466" i="4" s="1"/>
  <c r="T467" i="4" a="1"/>
  <c r="T467" i="4" s="1"/>
  <c r="U467" i="4" a="1"/>
  <c r="U467" i="4" s="1"/>
  <c r="T468" i="4" a="1"/>
  <c r="T468" i="4" s="1"/>
  <c r="U468" i="4" a="1"/>
  <c r="U468" i="4" s="1"/>
  <c r="T469" i="4" a="1"/>
  <c r="T469" i="4" s="1"/>
  <c r="U469" i="4" a="1"/>
  <c r="U469" i="4" s="1"/>
  <c r="T470" i="4" a="1"/>
  <c r="T470" i="4" s="1"/>
  <c r="U470" i="4" a="1"/>
  <c r="U470" i="4" s="1"/>
  <c r="T471" i="4" a="1"/>
  <c r="T471" i="4" s="1"/>
  <c r="U471" i="4" a="1"/>
  <c r="U471" i="4" s="1"/>
  <c r="T472" i="4" a="1"/>
  <c r="T472" i="4" s="1"/>
  <c r="U472" i="4" a="1"/>
  <c r="U472" i="4" s="1"/>
  <c r="T473" i="4" a="1"/>
  <c r="T473" i="4" s="1"/>
  <c r="U473" i="4" a="1"/>
  <c r="U473" i="4" s="1"/>
  <c r="T474" i="4" a="1"/>
  <c r="T474" i="4" s="1"/>
  <c r="U474" i="4" a="1"/>
  <c r="U474" i="4" s="1"/>
  <c r="T475" i="4" a="1"/>
  <c r="T475" i="4" s="1"/>
  <c r="U475" i="4" a="1"/>
  <c r="U475" i="4" s="1"/>
  <c r="T476" i="4" a="1"/>
  <c r="T476" i="4" s="1"/>
  <c r="U476" i="4" a="1"/>
  <c r="U476" i="4" s="1"/>
  <c r="T477" i="4" a="1"/>
  <c r="T477" i="4" s="1"/>
  <c r="U477" i="4" a="1"/>
  <c r="U477" i="4" s="1"/>
  <c r="T478" i="4" a="1"/>
  <c r="T478" i="4" s="1"/>
  <c r="U478" i="4" a="1"/>
  <c r="U478" i="4" s="1"/>
  <c r="T479" i="4" a="1"/>
  <c r="T479" i="4" s="1"/>
  <c r="U479" i="4" a="1"/>
  <c r="U479" i="4" s="1"/>
  <c r="T480" i="4" a="1"/>
  <c r="T480" i="4" s="1"/>
  <c r="U480" i="4" a="1"/>
  <c r="U480" i="4" s="1"/>
  <c r="T481" i="4" a="1"/>
  <c r="T481" i="4" s="1"/>
  <c r="U481" i="4" a="1"/>
  <c r="U481" i="4" s="1"/>
  <c r="T482" i="4" a="1"/>
  <c r="T482" i="4" s="1"/>
  <c r="U482" i="4" a="1"/>
  <c r="U482" i="4" s="1"/>
  <c r="T483" i="4" a="1"/>
  <c r="T483" i="4" s="1"/>
  <c r="U483" i="4" a="1"/>
  <c r="U483" i="4" s="1"/>
  <c r="T484" i="4" a="1"/>
  <c r="T484" i="4" s="1"/>
  <c r="U484" i="4" a="1"/>
  <c r="U484" i="4" s="1"/>
  <c r="T485" i="4" a="1"/>
  <c r="T485" i="4" s="1"/>
  <c r="U485" i="4" a="1"/>
  <c r="U485" i="4" s="1"/>
  <c r="T486" i="4" a="1"/>
  <c r="T486" i="4" s="1"/>
  <c r="U486" i="4" a="1"/>
  <c r="U486" i="4" s="1"/>
  <c r="T487" i="4" a="1"/>
  <c r="T487" i="4" s="1"/>
  <c r="U487" i="4" a="1"/>
  <c r="U487" i="4" s="1"/>
  <c r="T488" i="4" a="1"/>
  <c r="T488" i="4" s="1"/>
  <c r="U488" i="4" a="1"/>
  <c r="U488" i="4" s="1"/>
  <c r="T489" i="4" a="1"/>
  <c r="T489" i="4" s="1"/>
  <c r="U489" i="4" a="1"/>
  <c r="U489" i="4" s="1"/>
  <c r="T490" i="4" a="1"/>
  <c r="T490" i="4" s="1"/>
  <c r="U490" i="4" a="1"/>
  <c r="U490" i="4" s="1"/>
  <c r="T491" i="4" a="1"/>
  <c r="T491" i="4" s="1"/>
  <c r="U491" i="4" a="1"/>
  <c r="U491" i="4" s="1"/>
  <c r="T492" i="4" a="1"/>
  <c r="T492" i="4" s="1"/>
  <c r="U492" i="4" a="1"/>
  <c r="U492" i="4" s="1"/>
  <c r="T493" i="4" a="1"/>
  <c r="T493" i="4" s="1"/>
  <c r="U493" i="4" a="1"/>
  <c r="U493" i="4" s="1"/>
  <c r="T494" i="4" a="1"/>
  <c r="T494" i="4" s="1"/>
  <c r="U494" i="4" a="1"/>
  <c r="U494" i="4" s="1"/>
  <c r="T495" i="4" a="1"/>
  <c r="T495" i="4" s="1"/>
  <c r="U495" i="4" a="1"/>
  <c r="U495" i="4" s="1"/>
  <c r="T496" i="4" a="1"/>
  <c r="T496" i="4" s="1"/>
  <c r="U496" i="4" a="1"/>
  <c r="U496" i="4" s="1"/>
  <c r="T497" i="4" a="1"/>
  <c r="T497" i="4" s="1"/>
  <c r="U497" i="4" a="1"/>
  <c r="U497" i="4" s="1"/>
  <c r="T498" i="4" a="1"/>
  <c r="T498" i="4" s="1"/>
  <c r="U498" i="4" a="1"/>
  <c r="U498" i="4" s="1"/>
  <c r="T499" i="4" a="1"/>
  <c r="T499" i="4" s="1"/>
  <c r="U499" i="4" a="1"/>
  <c r="U499" i="4" s="1"/>
  <c r="T500" i="4" a="1"/>
  <c r="T500" i="4" s="1"/>
  <c r="U500" i="4" a="1"/>
  <c r="U500" i="4" s="1"/>
  <c r="T501" i="4" a="1"/>
  <c r="T501" i="4" s="1"/>
  <c r="U501" i="4" a="1"/>
  <c r="U501" i="4" s="1"/>
  <c r="T502" i="4" a="1"/>
  <c r="T502" i="4" s="1"/>
  <c r="U502" i="4" a="1"/>
  <c r="U502" i="4" s="1"/>
  <c r="T503" i="4" a="1"/>
  <c r="T503" i="4" s="1"/>
  <c r="U503" i="4" a="1"/>
  <c r="U503" i="4" s="1"/>
  <c r="T504" i="4" a="1"/>
  <c r="T504" i="4" s="1"/>
  <c r="U504" i="4" a="1"/>
  <c r="U504" i="4" s="1"/>
  <c r="T505" i="4" a="1"/>
  <c r="T505" i="4" s="1"/>
  <c r="U505" i="4" a="1"/>
  <c r="U505" i="4" s="1"/>
  <c r="T506" i="4" a="1"/>
  <c r="T506" i="4" s="1"/>
  <c r="U506" i="4" a="1"/>
  <c r="U506" i="4" s="1"/>
  <c r="T507" i="4" a="1"/>
  <c r="T507" i="4" s="1"/>
  <c r="U507" i="4" a="1"/>
  <c r="U507" i="4" s="1"/>
  <c r="T508" i="4" a="1"/>
  <c r="T508" i="4" s="1"/>
  <c r="U508" i="4" a="1"/>
  <c r="U508" i="4" s="1"/>
  <c r="T509" i="4" a="1"/>
  <c r="T509" i="4" s="1"/>
  <c r="U509" i="4" a="1"/>
  <c r="U509" i="4" s="1"/>
  <c r="T510" i="4" a="1"/>
  <c r="T510" i="4" s="1"/>
  <c r="U510" i="4" a="1"/>
  <c r="U510" i="4" s="1"/>
  <c r="T511" i="4" a="1"/>
  <c r="T511" i="4" s="1"/>
  <c r="U511" i="4" a="1"/>
  <c r="U511" i="4" s="1"/>
  <c r="T512" i="4" a="1"/>
  <c r="T512" i="4" s="1"/>
  <c r="U512" i="4" a="1"/>
  <c r="U512" i="4" s="1"/>
  <c r="T513" i="4" a="1"/>
  <c r="T513" i="4" s="1"/>
  <c r="U513" i="4" a="1"/>
  <c r="U513" i="4" s="1"/>
  <c r="T514" i="4" a="1"/>
  <c r="T514" i="4" s="1"/>
  <c r="U514" i="4" a="1"/>
  <c r="U514" i="4" s="1"/>
  <c r="T515" i="4" a="1"/>
  <c r="T515" i="4" s="1"/>
  <c r="U515" i="4" a="1"/>
  <c r="U515" i="4" s="1"/>
  <c r="T516" i="4" a="1"/>
  <c r="T516" i="4" s="1"/>
  <c r="U516" i="4" a="1"/>
  <c r="U516" i="4" s="1"/>
  <c r="T517" i="4" a="1"/>
  <c r="T517" i="4" s="1"/>
  <c r="U517" i="4" a="1"/>
  <c r="U517" i="4" s="1"/>
  <c r="T518" i="4" a="1"/>
  <c r="T518" i="4" s="1"/>
  <c r="U518" i="4" a="1"/>
  <c r="U518" i="4" s="1"/>
  <c r="T519" i="4" a="1"/>
  <c r="T519" i="4" s="1"/>
  <c r="U519" i="4" a="1"/>
  <c r="U519" i="4" s="1"/>
  <c r="T520" i="4" a="1"/>
  <c r="T520" i="4" s="1"/>
  <c r="U520" i="4" a="1"/>
  <c r="U520" i="4" s="1"/>
  <c r="T521" i="4" a="1"/>
  <c r="T521" i="4" s="1"/>
  <c r="U521" i="4" a="1"/>
  <c r="U521" i="4" s="1"/>
  <c r="T522" i="4" a="1"/>
  <c r="T522" i="4" s="1"/>
  <c r="U522" i="4" a="1"/>
  <c r="U522" i="4" s="1"/>
  <c r="T523" i="4" a="1"/>
  <c r="T523" i="4" s="1"/>
  <c r="U523" i="4" a="1"/>
  <c r="U523" i="4" s="1"/>
  <c r="T524" i="4" a="1"/>
  <c r="T524" i="4" s="1"/>
  <c r="U524" i="4" a="1"/>
  <c r="U524" i="4" s="1"/>
  <c r="T525" i="4" a="1"/>
  <c r="T525" i="4" s="1"/>
  <c r="U525" i="4" a="1"/>
  <c r="U525" i="4" s="1"/>
  <c r="T526" i="4" a="1"/>
  <c r="T526" i="4" s="1"/>
  <c r="U526" i="4" a="1"/>
  <c r="U526" i="4" s="1"/>
  <c r="T527" i="4" a="1"/>
  <c r="T527" i="4" s="1"/>
  <c r="U527" i="4" a="1"/>
  <c r="U527" i="4" s="1"/>
  <c r="T528" i="4" a="1"/>
  <c r="T528" i="4" s="1"/>
  <c r="U528" i="4" a="1"/>
  <c r="U528" i="4" s="1"/>
  <c r="T529" i="4" a="1"/>
  <c r="T529" i="4" s="1"/>
  <c r="U529" i="4" a="1"/>
  <c r="U529" i="4" s="1"/>
  <c r="T530" i="4" a="1"/>
  <c r="T530" i="4" s="1"/>
  <c r="U530" i="4" a="1"/>
  <c r="U530" i="4" s="1"/>
  <c r="T531" i="4" a="1"/>
  <c r="T531" i="4" s="1"/>
  <c r="U531" i="4" a="1"/>
  <c r="U531" i="4" s="1"/>
  <c r="T532" i="4" a="1"/>
  <c r="T532" i="4" s="1"/>
  <c r="U532" i="4" a="1"/>
  <c r="U532" i="4" s="1"/>
  <c r="T533" i="4" a="1"/>
  <c r="T533" i="4" s="1"/>
  <c r="U533" i="4" a="1"/>
  <c r="U533" i="4" s="1"/>
  <c r="T534" i="4" a="1"/>
  <c r="T534" i="4" s="1"/>
  <c r="U534" i="4" a="1"/>
  <c r="U534" i="4" s="1"/>
  <c r="T535" i="4" a="1"/>
  <c r="T535" i="4" s="1"/>
  <c r="U535" i="4" a="1"/>
  <c r="U535" i="4" s="1"/>
  <c r="T536" i="4" a="1"/>
  <c r="T536" i="4" s="1"/>
  <c r="U536" i="4" a="1"/>
  <c r="U536" i="4" s="1"/>
  <c r="T537" i="4" a="1"/>
  <c r="T537" i="4" s="1"/>
  <c r="U537" i="4" a="1"/>
  <c r="U537" i="4" s="1"/>
  <c r="T538" i="4" a="1"/>
  <c r="T538" i="4" s="1"/>
  <c r="U538" i="4" a="1"/>
  <c r="U538" i="4" s="1"/>
  <c r="T539" i="4" a="1"/>
  <c r="T539" i="4" s="1"/>
  <c r="U539" i="4" a="1"/>
  <c r="U539" i="4" s="1"/>
  <c r="T540" i="4" a="1"/>
  <c r="T540" i="4" s="1"/>
  <c r="U540" i="4" a="1"/>
  <c r="U540" i="4" s="1"/>
  <c r="T541" i="4" a="1"/>
  <c r="T541" i="4" s="1"/>
  <c r="U541" i="4" a="1"/>
  <c r="U541" i="4" s="1"/>
  <c r="T542" i="4" a="1"/>
  <c r="T542" i="4" s="1"/>
  <c r="U542" i="4" a="1"/>
  <c r="U542" i="4" s="1"/>
  <c r="T543" i="4" a="1"/>
  <c r="T543" i="4" s="1"/>
  <c r="U543" i="4" a="1"/>
  <c r="U543" i="4" s="1"/>
  <c r="T544" i="4" a="1"/>
  <c r="T544" i="4" s="1"/>
  <c r="U544" i="4" a="1"/>
  <c r="U544" i="4" s="1"/>
  <c r="T545" i="4" a="1"/>
  <c r="T545" i="4" s="1"/>
  <c r="U545" i="4" a="1"/>
  <c r="U545" i="4" s="1"/>
  <c r="T546" i="4" a="1"/>
  <c r="T546" i="4" s="1"/>
  <c r="U546" i="4" a="1"/>
  <c r="U546" i="4" s="1"/>
  <c r="T547" i="4" a="1"/>
  <c r="T547" i="4" s="1"/>
  <c r="U547" i="4" a="1"/>
  <c r="U547" i="4" s="1"/>
  <c r="T548" i="4" a="1"/>
  <c r="T548" i="4" s="1"/>
  <c r="U548" i="4" a="1"/>
  <c r="U548" i="4" s="1"/>
  <c r="T549" i="4" a="1"/>
  <c r="T549" i="4" s="1"/>
  <c r="U549" i="4" a="1"/>
  <c r="U549" i="4" s="1"/>
  <c r="T550" i="4" a="1"/>
  <c r="T550" i="4" s="1"/>
  <c r="U550" i="4" a="1"/>
  <c r="U550" i="4" s="1"/>
  <c r="T551" i="4" a="1"/>
  <c r="T551" i="4" s="1"/>
  <c r="U551" i="4" a="1"/>
  <c r="U551" i="4" s="1"/>
  <c r="T552" i="4" a="1"/>
  <c r="T552" i="4" s="1"/>
  <c r="U552" i="4" a="1"/>
  <c r="U552" i="4" s="1"/>
  <c r="T553" i="4" a="1"/>
  <c r="T553" i="4" s="1"/>
  <c r="U553" i="4" a="1"/>
  <c r="U553" i="4" s="1"/>
  <c r="T554" i="4" a="1"/>
  <c r="T554" i="4" s="1"/>
  <c r="U554" i="4" a="1"/>
  <c r="U554" i="4" s="1"/>
  <c r="T555" i="4" a="1"/>
  <c r="T555" i="4" s="1"/>
  <c r="U555" i="4" a="1"/>
  <c r="U555" i="4" s="1"/>
  <c r="T556" i="4" a="1"/>
  <c r="T556" i="4" s="1"/>
  <c r="U556" i="4" a="1"/>
  <c r="U556" i="4" s="1"/>
  <c r="T557" i="4" a="1"/>
  <c r="T557" i="4" s="1"/>
  <c r="U557" i="4" a="1"/>
  <c r="U557" i="4" s="1"/>
  <c r="T558" i="4" a="1"/>
  <c r="T558" i="4" s="1"/>
  <c r="U558" i="4" a="1"/>
  <c r="U558" i="4" s="1"/>
  <c r="T559" i="4" a="1"/>
  <c r="T559" i="4" s="1"/>
  <c r="U559" i="4" a="1"/>
  <c r="U559" i="4" s="1"/>
  <c r="T560" i="4" a="1"/>
  <c r="T560" i="4" s="1"/>
  <c r="U560" i="4" a="1"/>
  <c r="U560" i="4" s="1"/>
  <c r="T561" i="4" a="1"/>
  <c r="T561" i="4" s="1"/>
  <c r="U561" i="4" a="1"/>
  <c r="U561" i="4" s="1"/>
  <c r="T562" i="4" a="1"/>
  <c r="T562" i="4" s="1"/>
  <c r="U562" i="4" a="1"/>
  <c r="U562" i="4" s="1"/>
  <c r="T563" i="4" a="1"/>
  <c r="T563" i="4" s="1"/>
  <c r="U563" i="4" a="1"/>
  <c r="U563" i="4" s="1"/>
  <c r="T564" i="4" a="1"/>
  <c r="T564" i="4" s="1"/>
  <c r="U564" i="4" a="1"/>
  <c r="U564" i="4" s="1"/>
  <c r="T565" i="4" a="1"/>
  <c r="T565" i="4" s="1"/>
  <c r="U565" i="4" a="1"/>
  <c r="U565" i="4" s="1"/>
  <c r="T566" i="4" a="1"/>
  <c r="T566" i="4" s="1"/>
  <c r="U566" i="4" a="1"/>
  <c r="U566" i="4" s="1"/>
  <c r="T567" i="4" a="1"/>
  <c r="T567" i="4" s="1"/>
  <c r="U567" i="4" a="1"/>
  <c r="U567" i="4" s="1"/>
  <c r="T568" i="4" a="1"/>
  <c r="T568" i="4" s="1"/>
  <c r="U568" i="4" a="1"/>
  <c r="U568" i="4" s="1"/>
  <c r="T569" i="4" a="1"/>
  <c r="T569" i="4" s="1"/>
  <c r="U569" i="4" a="1"/>
  <c r="U569" i="4" s="1"/>
  <c r="T570" i="4" a="1"/>
  <c r="T570" i="4" s="1"/>
  <c r="U570" i="4" a="1"/>
  <c r="U570" i="4" s="1"/>
  <c r="T571" i="4" a="1"/>
  <c r="T571" i="4" s="1"/>
  <c r="U571" i="4" a="1"/>
  <c r="U571" i="4" s="1"/>
  <c r="T572" i="4" a="1"/>
  <c r="T572" i="4" s="1"/>
  <c r="U572" i="4" a="1"/>
  <c r="U572" i="4" s="1"/>
  <c r="T573" i="4" a="1"/>
  <c r="T573" i="4" s="1"/>
  <c r="U573" i="4" a="1"/>
  <c r="U573" i="4" s="1"/>
  <c r="T574" i="4" a="1"/>
  <c r="T574" i="4" s="1"/>
  <c r="U574" i="4" a="1"/>
  <c r="U574" i="4" s="1"/>
  <c r="U2" i="4" a="1"/>
  <c r="U2" i="4" s="1"/>
  <c r="A163" i="5"/>
  <c r="N424" i="12"/>
  <c r="N425" i="12"/>
  <c r="N426" i="12"/>
  <c r="N427" i="12"/>
  <c r="N428" i="12"/>
  <c r="N429" i="12"/>
  <c r="N430" i="12"/>
  <c r="N431" i="12"/>
  <c r="N432" i="12"/>
  <c r="N433" i="12"/>
  <c r="N434" i="12"/>
  <c r="N435" i="12"/>
  <c r="N436" i="12"/>
  <c r="N437" i="12"/>
  <c r="G2" i="12" a="1"/>
  <c r="L255" i="4" a="1"/>
  <c r="L255" i="4" s="1"/>
  <c r="L256" i="4" a="1"/>
  <c r="L256" i="4" s="1"/>
  <c r="L257" i="4" a="1"/>
  <c r="L257" i="4" s="1"/>
  <c r="L258" i="4" a="1"/>
  <c r="L258" i="4" s="1"/>
  <c r="L259" i="4" a="1"/>
  <c r="L259" i="4" s="1"/>
  <c r="L260" i="4" a="1"/>
  <c r="L260" i="4" s="1"/>
  <c r="L261" i="4" a="1"/>
  <c r="L261" i="4" s="1"/>
  <c r="L262" i="4" a="1"/>
  <c r="L262" i="4" s="1"/>
  <c r="L263" i="4" a="1"/>
  <c r="L263" i="4" s="1"/>
  <c r="L264" i="4" a="1"/>
  <c r="L264" i="4" s="1"/>
  <c r="L265" i="4" a="1"/>
  <c r="L265" i="4" s="1"/>
  <c r="L266" i="4" a="1"/>
  <c r="L266" i="4" s="1"/>
  <c r="L267" i="4" a="1"/>
  <c r="L267" i="4" s="1"/>
  <c r="L268" i="4" a="1"/>
  <c r="L268" i="4" s="1"/>
  <c r="L269" i="4" a="1"/>
  <c r="L269" i="4" s="1"/>
  <c r="L270" i="4" a="1"/>
  <c r="L270" i="4" s="1"/>
  <c r="L271" i="4" a="1"/>
  <c r="L271" i="4" s="1"/>
  <c r="L272" i="4" a="1"/>
  <c r="L272" i="4" s="1"/>
  <c r="L273" i="4" a="1"/>
  <c r="L273" i="4" s="1"/>
  <c r="L274" i="4" a="1"/>
  <c r="L274" i="4" s="1"/>
  <c r="L275" i="4" a="1"/>
  <c r="L275" i="4" s="1"/>
  <c r="L276" i="4" a="1"/>
  <c r="L276" i="4" s="1"/>
  <c r="L277" i="4" a="1"/>
  <c r="L277" i="4" s="1"/>
  <c r="L278" i="4" a="1"/>
  <c r="L278" i="4" s="1"/>
  <c r="L279" i="4" a="1"/>
  <c r="L279" i="4" s="1"/>
  <c r="L280" i="4" a="1"/>
  <c r="L280" i="4" s="1"/>
  <c r="L281" i="4" a="1"/>
  <c r="L281" i="4" s="1"/>
  <c r="L282" i="4" a="1"/>
  <c r="L282" i="4" s="1"/>
  <c r="L283" i="4" a="1"/>
  <c r="L283" i="4" s="1"/>
  <c r="L284" i="4" a="1"/>
  <c r="L284" i="4" s="1"/>
  <c r="L285" i="4" a="1"/>
  <c r="L285" i="4" s="1"/>
  <c r="L286" i="4" a="1"/>
  <c r="L286" i="4" s="1"/>
  <c r="L287" i="4" a="1"/>
  <c r="L287" i="4" s="1"/>
  <c r="L288" i="4" a="1"/>
  <c r="L288" i="4" s="1"/>
  <c r="L289" i="4" a="1"/>
  <c r="L289" i="4" s="1"/>
  <c r="L290" i="4" a="1"/>
  <c r="L290" i="4" s="1"/>
  <c r="L291" i="4" a="1"/>
  <c r="L291" i="4" s="1"/>
  <c r="L292" i="4" a="1"/>
  <c r="L292" i="4" s="1"/>
  <c r="L293" i="4" a="1"/>
  <c r="L293" i="4" s="1"/>
  <c r="L294" i="4" a="1"/>
  <c r="L294" i="4" s="1"/>
  <c r="L295" i="4" a="1"/>
  <c r="L295" i="4" s="1"/>
  <c r="L296" i="4" a="1"/>
  <c r="L296" i="4" s="1"/>
  <c r="L297" i="4" a="1"/>
  <c r="L297" i="4" s="1"/>
  <c r="L298" i="4" a="1"/>
  <c r="L298" i="4" s="1"/>
  <c r="L299" i="4" a="1"/>
  <c r="L299" i="4" s="1"/>
  <c r="L300" i="4" a="1"/>
  <c r="L300" i="4" s="1"/>
  <c r="L301" i="4" a="1"/>
  <c r="L301" i="4" s="1"/>
  <c r="L302" i="4" a="1"/>
  <c r="L302" i="4" s="1"/>
  <c r="L303" i="4" a="1"/>
  <c r="L303" i="4" s="1"/>
  <c r="L304" i="4" a="1"/>
  <c r="L304" i="4" s="1"/>
  <c r="L305" i="4" a="1"/>
  <c r="L305" i="4" s="1"/>
  <c r="L306" i="4" a="1"/>
  <c r="L306" i="4" s="1"/>
  <c r="L307" i="4" a="1"/>
  <c r="L307" i="4" s="1"/>
  <c r="L308" i="4" a="1"/>
  <c r="L308" i="4" s="1"/>
  <c r="L309" i="4" a="1"/>
  <c r="L309" i="4" s="1"/>
  <c r="L310" i="4" a="1"/>
  <c r="L310" i="4" s="1"/>
  <c r="L311" i="4" a="1"/>
  <c r="L311" i="4" s="1"/>
  <c r="L312" i="4" a="1"/>
  <c r="L312" i="4" s="1"/>
  <c r="L313" i="4" a="1"/>
  <c r="L313" i="4" s="1"/>
  <c r="L314" i="4" a="1"/>
  <c r="L314" i="4" s="1"/>
  <c r="L315" i="4" a="1"/>
  <c r="L315" i="4" s="1"/>
  <c r="L316" i="4" a="1"/>
  <c r="L316" i="4" s="1"/>
  <c r="L317" i="4" a="1"/>
  <c r="L317" i="4" s="1"/>
  <c r="L318" i="4" a="1"/>
  <c r="L318" i="4" s="1"/>
  <c r="L319" i="4" a="1"/>
  <c r="L319" i="4" s="1"/>
  <c r="L320" i="4" a="1"/>
  <c r="L320" i="4" s="1"/>
  <c r="L321" i="4" a="1"/>
  <c r="L321" i="4" s="1"/>
  <c r="L322" i="4" a="1"/>
  <c r="L322" i="4" s="1"/>
  <c r="L323" i="4" a="1"/>
  <c r="L323" i="4" s="1"/>
  <c r="L324" i="4" a="1"/>
  <c r="L324" i="4" s="1"/>
  <c r="L325" i="4" a="1"/>
  <c r="L325" i="4" s="1"/>
  <c r="L326" i="4" a="1"/>
  <c r="L326" i="4" s="1"/>
  <c r="L327" i="4" a="1"/>
  <c r="L327" i="4" s="1"/>
  <c r="L328" i="4" a="1"/>
  <c r="L328" i="4" s="1"/>
  <c r="L329" i="4" a="1"/>
  <c r="L329" i="4" s="1"/>
  <c r="L330" i="4" a="1"/>
  <c r="L330" i="4" s="1"/>
  <c r="L331" i="4" a="1"/>
  <c r="L331" i="4" s="1"/>
  <c r="L332" i="4" a="1"/>
  <c r="L332" i="4" s="1"/>
  <c r="L333" i="4" a="1"/>
  <c r="L333" i="4" s="1"/>
  <c r="L334" i="4" a="1"/>
  <c r="L334" i="4" s="1"/>
  <c r="L335" i="4" a="1"/>
  <c r="L335" i="4" s="1"/>
  <c r="L336" i="4" a="1"/>
  <c r="L336" i="4" s="1"/>
  <c r="L337" i="4" a="1"/>
  <c r="L337" i="4" s="1"/>
  <c r="L338" i="4" a="1"/>
  <c r="L338" i="4" s="1"/>
  <c r="L339" i="4" a="1"/>
  <c r="L339" i="4" s="1"/>
  <c r="L340" i="4" a="1"/>
  <c r="L340" i="4" s="1"/>
  <c r="L341" i="4" a="1"/>
  <c r="L341" i="4" s="1"/>
  <c r="L342" i="4" a="1"/>
  <c r="L342" i="4" s="1"/>
  <c r="L343" i="4" a="1"/>
  <c r="L343" i="4" s="1"/>
  <c r="L344" i="4" a="1"/>
  <c r="L344" i="4" s="1"/>
  <c r="L345" i="4" a="1"/>
  <c r="L345" i="4" s="1"/>
  <c r="L346" i="4" a="1"/>
  <c r="L346" i="4" s="1"/>
  <c r="L347" i="4" a="1"/>
  <c r="L347" i="4" s="1"/>
  <c r="L348" i="4" a="1"/>
  <c r="L348" i="4" s="1"/>
  <c r="L349" i="4" a="1"/>
  <c r="L349" i="4" s="1"/>
  <c r="L350" i="4" a="1"/>
  <c r="L350" i="4" s="1"/>
  <c r="L351" i="4" a="1"/>
  <c r="L351" i="4" s="1"/>
  <c r="L352" i="4" a="1"/>
  <c r="L352" i="4" s="1"/>
  <c r="L353" i="4" a="1"/>
  <c r="L353" i="4" s="1"/>
  <c r="L354" i="4" a="1"/>
  <c r="L354" i="4" s="1"/>
  <c r="L355" i="4" a="1"/>
  <c r="L355" i="4" s="1"/>
  <c r="L356" i="4" a="1"/>
  <c r="L356" i="4" s="1"/>
  <c r="L357" i="4" a="1"/>
  <c r="L357" i="4" s="1"/>
  <c r="L358" i="4" a="1"/>
  <c r="L358" i="4" s="1"/>
  <c r="L359" i="4" a="1"/>
  <c r="L359" i="4" s="1"/>
  <c r="L360" i="4" a="1"/>
  <c r="L360" i="4" s="1"/>
  <c r="L361" i="4" a="1"/>
  <c r="L361" i="4" s="1"/>
  <c r="L362" i="4" a="1"/>
  <c r="L362" i="4" s="1"/>
  <c r="L363" i="4" a="1"/>
  <c r="L363" i="4" s="1"/>
  <c r="L364" i="4" a="1"/>
  <c r="L364" i="4" s="1"/>
  <c r="L365" i="4" a="1"/>
  <c r="L365" i="4" s="1"/>
  <c r="L366" i="4" a="1"/>
  <c r="L366" i="4" s="1"/>
  <c r="L367" i="4" a="1"/>
  <c r="L367" i="4" s="1"/>
  <c r="L368" i="4" a="1"/>
  <c r="L368" i="4" s="1"/>
  <c r="L369" i="4" a="1"/>
  <c r="L369" i="4" s="1"/>
  <c r="L370" i="4" a="1"/>
  <c r="L370" i="4" s="1"/>
  <c r="L371" i="4" a="1"/>
  <c r="L371" i="4" s="1"/>
  <c r="L372" i="4" a="1"/>
  <c r="L372" i="4" s="1"/>
  <c r="L373" i="4" a="1"/>
  <c r="L373" i="4" s="1"/>
  <c r="L374" i="4" a="1"/>
  <c r="L374" i="4" s="1"/>
  <c r="L375" i="4" a="1"/>
  <c r="L375" i="4" s="1"/>
  <c r="L376" i="4" a="1"/>
  <c r="L376" i="4" s="1"/>
  <c r="L377" i="4" a="1"/>
  <c r="L377" i="4" s="1"/>
  <c r="L378" i="4" a="1"/>
  <c r="L378" i="4" s="1"/>
  <c r="L379" i="4" a="1"/>
  <c r="L379" i="4" s="1"/>
  <c r="L380" i="4" a="1"/>
  <c r="L380" i="4" s="1"/>
  <c r="L381" i="4" a="1"/>
  <c r="L381" i="4" s="1"/>
  <c r="L382" i="4" a="1"/>
  <c r="L382" i="4" s="1"/>
  <c r="L383" i="4" a="1"/>
  <c r="L383" i="4" s="1"/>
  <c r="L384" i="4" a="1"/>
  <c r="L384" i="4" s="1"/>
  <c r="L385" i="4" a="1"/>
  <c r="L385" i="4" s="1"/>
  <c r="L386" i="4" a="1"/>
  <c r="L386" i="4" s="1"/>
  <c r="L387" i="4" a="1"/>
  <c r="L387" i="4" s="1"/>
  <c r="L388" i="4" a="1"/>
  <c r="L388" i="4" s="1"/>
  <c r="L389" i="4" a="1"/>
  <c r="L389" i="4" s="1"/>
  <c r="L390" i="4" a="1"/>
  <c r="L390" i="4" s="1"/>
  <c r="L391" i="4" a="1"/>
  <c r="L391" i="4" s="1"/>
  <c r="L392" i="4" a="1"/>
  <c r="L392" i="4" s="1"/>
  <c r="L393" i="4" a="1"/>
  <c r="L393" i="4" s="1"/>
  <c r="L394" i="4" a="1"/>
  <c r="L394" i="4" s="1"/>
  <c r="L395" i="4" a="1"/>
  <c r="L395" i="4" s="1"/>
  <c r="L396" i="4" a="1"/>
  <c r="L396" i="4" s="1"/>
  <c r="L397" i="4" a="1"/>
  <c r="L397" i="4" s="1"/>
  <c r="L398" i="4" a="1"/>
  <c r="L398" i="4" s="1"/>
  <c r="L399" i="4" a="1"/>
  <c r="L399" i="4" s="1"/>
  <c r="L400" i="4" a="1"/>
  <c r="L400" i="4" s="1"/>
  <c r="L401" i="4" a="1"/>
  <c r="L401" i="4" s="1"/>
  <c r="L402" i="4" a="1"/>
  <c r="L402" i="4" s="1"/>
  <c r="L403" i="4" a="1"/>
  <c r="L403" i="4" s="1"/>
  <c r="L404" i="4" a="1"/>
  <c r="L404" i="4" s="1"/>
  <c r="L405" i="4" a="1"/>
  <c r="L405" i="4" s="1"/>
  <c r="L406" i="4" a="1"/>
  <c r="L406" i="4" s="1"/>
  <c r="L407" i="4" a="1"/>
  <c r="L407" i="4" s="1"/>
  <c r="L408" i="4" a="1"/>
  <c r="L408" i="4" s="1"/>
  <c r="L409" i="4" a="1"/>
  <c r="L409" i="4" s="1"/>
  <c r="L410" i="4" a="1"/>
  <c r="L410" i="4" s="1"/>
  <c r="L411" i="4" a="1"/>
  <c r="L411" i="4" s="1"/>
  <c r="L412" i="4" a="1"/>
  <c r="L412" i="4" s="1"/>
  <c r="L413" i="4" a="1"/>
  <c r="L413" i="4" s="1"/>
  <c r="L414" i="4" a="1"/>
  <c r="L414" i="4" s="1"/>
  <c r="L415" i="4" a="1"/>
  <c r="L415" i="4" s="1"/>
  <c r="L416" i="4" a="1"/>
  <c r="L416" i="4" s="1"/>
  <c r="L417" i="4" a="1"/>
  <c r="L417" i="4" s="1"/>
  <c r="L418" i="4" a="1"/>
  <c r="L418" i="4" s="1"/>
  <c r="L419" i="4" a="1"/>
  <c r="L419" i="4" s="1"/>
  <c r="L420" i="4" a="1"/>
  <c r="L420" i="4" s="1"/>
  <c r="L421" i="4" a="1"/>
  <c r="L421" i="4" s="1"/>
  <c r="L422" i="4" a="1"/>
  <c r="L422" i="4" s="1"/>
  <c r="L423" i="4" a="1"/>
  <c r="L423" i="4" s="1"/>
  <c r="L424" i="4" a="1"/>
  <c r="L424" i="4" s="1"/>
  <c r="L425" i="4" a="1"/>
  <c r="L425" i="4" s="1"/>
  <c r="L426" i="4" a="1"/>
  <c r="L426" i="4" s="1"/>
  <c r="L427" i="4" a="1"/>
  <c r="L427" i="4" s="1"/>
  <c r="L428" i="4" a="1"/>
  <c r="L428" i="4" s="1"/>
  <c r="L429" i="4" a="1"/>
  <c r="L429" i="4" s="1"/>
  <c r="L430" i="4" a="1"/>
  <c r="L430" i="4" s="1"/>
  <c r="L431" i="4" a="1"/>
  <c r="L431" i="4" s="1"/>
  <c r="L432" i="4" a="1"/>
  <c r="L432" i="4" s="1"/>
  <c r="L433" i="4" a="1"/>
  <c r="L433" i="4" s="1"/>
  <c r="L434" i="4" a="1"/>
  <c r="L434" i="4" s="1"/>
  <c r="L435" i="4" a="1"/>
  <c r="L435" i="4" s="1"/>
  <c r="L436" i="4" a="1"/>
  <c r="L436" i="4" s="1"/>
  <c r="L437" i="4" a="1"/>
  <c r="L437" i="4" s="1"/>
  <c r="L438" i="4" a="1"/>
  <c r="L438" i="4" s="1"/>
  <c r="L439" i="4" a="1"/>
  <c r="L439" i="4" s="1"/>
  <c r="L440" i="4" a="1"/>
  <c r="L440" i="4" s="1"/>
  <c r="L441" i="4" a="1"/>
  <c r="L441" i="4" s="1"/>
  <c r="L442" i="4" a="1"/>
  <c r="L442" i="4" s="1"/>
  <c r="L443" i="4" a="1"/>
  <c r="L443" i="4" s="1"/>
  <c r="L444" i="4" a="1"/>
  <c r="L444" i="4" s="1"/>
  <c r="L445" i="4" a="1"/>
  <c r="L445" i="4" s="1"/>
  <c r="L446" i="4" a="1"/>
  <c r="L446" i="4" s="1"/>
  <c r="L447" i="4" a="1"/>
  <c r="L447" i="4" s="1"/>
  <c r="L448" i="4" a="1"/>
  <c r="L448" i="4" s="1"/>
  <c r="L449" i="4" a="1"/>
  <c r="L449" i="4" s="1"/>
  <c r="L450" i="4" a="1"/>
  <c r="L450" i="4" s="1"/>
  <c r="L451" i="4" a="1"/>
  <c r="L451" i="4" s="1"/>
  <c r="L452" i="4" a="1"/>
  <c r="L452" i="4" s="1"/>
  <c r="L453" i="4" a="1"/>
  <c r="L453" i="4" s="1"/>
  <c r="L454" i="4" a="1"/>
  <c r="L454" i="4" s="1"/>
  <c r="L455" i="4" a="1"/>
  <c r="L455" i="4" s="1"/>
  <c r="L456" i="4" a="1"/>
  <c r="L456" i="4" s="1"/>
  <c r="L457" i="4" a="1"/>
  <c r="L457" i="4" s="1"/>
  <c r="L458" i="4" a="1"/>
  <c r="L458" i="4" s="1"/>
  <c r="L459" i="4" a="1"/>
  <c r="L459" i="4" s="1"/>
  <c r="L460" i="4" a="1"/>
  <c r="L460" i="4" s="1"/>
  <c r="L461" i="4" a="1"/>
  <c r="L461" i="4" s="1"/>
  <c r="L462" i="4" a="1"/>
  <c r="L462" i="4" s="1"/>
  <c r="L463" i="4" a="1"/>
  <c r="L463" i="4" s="1"/>
  <c r="L464" i="4" a="1"/>
  <c r="L464" i="4" s="1"/>
  <c r="L465" i="4" a="1"/>
  <c r="L465" i="4" s="1"/>
  <c r="L466" i="4" a="1"/>
  <c r="L466" i="4" s="1"/>
  <c r="L467" i="4" a="1"/>
  <c r="L467" i="4" s="1"/>
  <c r="L468" i="4" a="1"/>
  <c r="L468" i="4" s="1"/>
  <c r="L469" i="4" a="1"/>
  <c r="L469" i="4" s="1"/>
  <c r="L470" i="4" a="1"/>
  <c r="L470" i="4" s="1"/>
  <c r="L471" i="4" a="1"/>
  <c r="L471" i="4" s="1"/>
  <c r="L472" i="4" a="1"/>
  <c r="L472" i="4" s="1"/>
  <c r="L473" i="4" a="1"/>
  <c r="L473" i="4" s="1"/>
  <c r="L474" i="4" a="1"/>
  <c r="L474" i="4" s="1"/>
  <c r="L475" i="4" a="1"/>
  <c r="L475" i="4" s="1"/>
  <c r="L476" i="4" a="1"/>
  <c r="L476" i="4" s="1"/>
  <c r="L477" i="4" a="1"/>
  <c r="L477" i="4" s="1"/>
  <c r="L478" i="4" a="1"/>
  <c r="L478" i="4" s="1"/>
  <c r="L479" i="4" a="1"/>
  <c r="L479" i="4" s="1"/>
  <c r="L480" i="4" a="1"/>
  <c r="L480" i="4" s="1"/>
  <c r="L481" i="4" a="1"/>
  <c r="L481" i="4" s="1"/>
  <c r="L482" i="4" a="1"/>
  <c r="L482" i="4" s="1"/>
  <c r="L483" i="4" a="1"/>
  <c r="L483" i="4" s="1"/>
  <c r="L484" i="4" a="1"/>
  <c r="L484" i="4" s="1"/>
  <c r="L485" i="4" a="1"/>
  <c r="L485" i="4" s="1"/>
  <c r="L486" i="4" a="1"/>
  <c r="L486" i="4" s="1"/>
  <c r="L487" i="4" a="1"/>
  <c r="L487" i="4" s="1"/>
  <c r="L488" i="4" a="1"/>
  <c r="L488" i="4" s="1"/>
  <c r="L489" i="4" a="1"/>
  <c r="L489" i="4" s="1"/>
  <c r="L490" i="4" a="1"/>
  <c r="L490" i="4" s="1"/>
  <c r="L491" i="4" a="1"/>
  <c r="L491" i="4" s="1"/>
  <c r="L492" i="4" a="1"/>
  <c r="L492" i="4" s="1"/>
  <c r="L493" i="4" a="1"/>
  <c r="L493" i="4" s="1"/>
  <c r="L494" i="4" a="1"/>
  <c r="L494" i="4" s="1"/>
  <c r="L495" i="4" a="1"/>
  <c r="L495" i="4" s="1"/>
  <c r="L496" i="4" a="1"/>
  <c r="L496" i="4" s="1"/>
  <c r="L497" i="4" a="1"/>
  <c r="L497" i="4" s="1"/>
  <c r="L498" i="4" a="1"/>
  <c r="L498" i="4" s="1"/>
  <c r="L499" i="4" a="1"/>
  <c r="L499" i="4" s="1"/>
  <c r="L500" i="4" a="1"/>
  <c r="L500" i="4" s="1"/>
  <c r="L501" i="4" a="1"/>
  <c r="L501" i="4" s="1"/>
  <c r="L502" i="4" a="1"/>
  <c r="L502" i="4" s="1"/>
  <c r="L503" i="4" a="1"/>
  <c r="L503" i="4" s="1"/>
  <c r="L504" i="4" a="1"/>
  <c r="L504" i="4" s="1"/>
  <c r="L505" i="4" a="1"/>
  <c r="L505" i="4" s="1"/>
  <c r="L506" i="4" a="1"/>
  <c r="L506" i="4" s="1"/>
  <c r="L507" i="4" a="1"/>
  <c r="L507" i="4" s="1"/>
  <c r="L508" i="4" a="1"/>
  <c r="L508" i="4" s="1"/>
  <c r="L509" i="4" a="1"/>
  <c r="L509" i="4" s="1"/>
  <c r="L510" i="4" a="1"/>
  <c r="L510" i="4" s="1"/>
  <c r="L511" i="4" a="1"/>
  <c r="L511" i="4" s="1"/>
  <c r="L512" i="4" a="1"/>
  <c r="L512" i="4" s="1"/>
  <c r="L513" i="4" a="1"/>
  <c r="L513" i="4" s="1"/>
  <c r="L514" i="4" a="1"/>
  <c r="L514" i="4" s="1"/>
  <c r="L515" i="4" a="1"/>
  <c r="L515" i="4" s="1"/>
  <c r="L516" i="4" a="1"/>
  <c r="L516" i="4" s="1"/>
  <c r="L517" i="4" a="1"/>
  <c r="L517" i="4" s="1"/>
  <c r="L518" i="4" a="1"/>
  <c r="L518" i="4" s="1"/>
  <c r="L519" i="4" a="1"/>
  <c r="L519" i="4" s="1"/>
  <c r="L520" i="4" a="1"/>
  <c r="L520" i="4" s="1"/>
  <c r="L521" i="4" a="1"/>
  <c r="L521" i="4" s="1"/>
  <c r="L522" i="4" a="1"/>
  <c r="L522" i="4" s="1"/>
  <c r="L523" i="4" a="1"/>
  <c r="L523" i="4" s="1"/>
  <c r="L524" i="4" a="1"/>
  <c r="L524" i="4" s="1"/>
  <c r="L525" i="4" a="1"/>
  <c r="L525" i="4" s="1"/>
  <c r="L526" i="4" a="1"/>
  <c r="L526" i="4" s="1"/>
  <c r="L527" i="4" a="1"/>
  <c r="L527" i="4" s="1"/>
  <c r="L528" i="4" a="1"/>
  <c r="L528" i="4" s="1"/>
  <c r="L529" i="4" a="1"/>
  <c r="L529" i="4" s="1"/>
  <c r="L530" i="4" a="1"/>
  <c r="L530" i="4" s="1"/>
  <c r="L531" i="4" a="1"/>
  <c r="L531" i="4" s="1"/>
  <c r="L532" i="4" a="1"/>
  <c r="L532" i="4" s="1"/>
  <c r="L533" i="4" a="1"/>
  <c r="L533" i="4" s="1"/>
  <c r="L534" i="4" a="1"/>
  <c r="L534" i="4" s="1"/>
  <c r="L535" i="4" a="1"/>
  <c r="L535" i="4" s="1"/>
  <c r="L536" i="4" a="1"/>
  <c r="L536" i="4" s="1"/>
  <c r="L537" i="4" a="1"/>
  <c r="L537" i="4" s="1"/>
  <c r="L538" i="4" a="1"/>
  <c r="L538" i="4" s="1"/>
  <c r="L539" i="4" a="1"/>
  <c r="L539" i="4" s="1"/>
  <c r="L540" i="4" a="1"/>
  <c r="L540" i="4" s="1"/>
  <c r="L541" i="4" a="1"/>
  <c r="L541" i="4" s="1"/>
  <c r="L542" i="4" a="1"/>
  <c r="L542" i="4" s="1"/>
  <c r="L543" i="4" a="1"/>
  <c r="L543" i="4" s="1"/>
  <c r="L544" i="4" a="1"/>
  <c r="L544" i="4" s="1"/>
  <c r="L545" i="4" a="1"/>
  <c r="L545" i="4" s="1"/>
  <c r="L546" i="4" a="1"/>
  <c r="L546" i="4" s="1"/>
  <c r="L547" i="4" a="1"/>
  <c r="L547" i="4" s="1"/>
  <c r="L548" i="4" a="1"/>
  <c r="L548" i="4" s="1"/>
  <c r="L549" i="4" a="1"/>
  <c r="L549" i="4" s="1"/>
  <c r="L550" i="4" a="1"/>
  <c r="L550" i="4" s="1"/>
  <c r="L551" i="4" a="1"/>
  <c r="L551" i="4" s="1"/>
  <c r="L552" i="4" a="1"/>
  <c r="L552" i="4" s="1"/>
  <c r="L553" i="4" a="1"/>
  <c r="L553" i="4" s="1"/>
  <c r="L554" i="4" a="1"/>
  <c r="L554" i="4" s="1"/>
  <c r="L555" i="4" a="1"/>
  <c r="L555" i="4" s="1"/>
  <c r="L556" i="4" a="1"/>
  <c r="L556" i="4" s="1"/>
  <c r="L557" i="4" a="1"/>
  <c r="L557" i="4" s="1"/>
  <c r="L558" i="4" a="1"/>
  <c r="L558" i="4" s="1"/>
  <c r="L559" i="4" a="1"/>
  <c r="L559" i="4" s="1"/>
  <c r="L560" i="4" a="1"/>
  <c r="L560" i="4" s="1"/>
  <c r="L561" i="4" a="1"/>
  <c r="L561" i="4" s="1"/>
  <c r="L562" i="4" a="1"/>
  <c r="L562" i="4" s="1"/>
  <c r="L563" i="4" a="1"/>
  <c r="L563" i="4" s="1"/>
  <c r="L564" i="4" a="1"/>
  <c r="L564" i="4" s="1"/>
  <c r="L565" i="4" a="1"/>
  <c r="L565" i="4" s="1"/>
  <c r="L566" i="4" a="1"/>
  <c r="L566" i="4" s="1"/>
  <c r="L567" i="4" a="1"/>
  <c r="L567" i="4" s="1"/>
  <c r="L568" i="4" a="1"/>
  <c r="L568" i="4" s="1"/>
  <c r="Q152" i="4"/>
  <c r="R152" i="4" s="1" a="1"/>
  <c r="R152" i="4" s="1"/>
  <c r="T152" i="4" s="1" a="1"/>
  <c r="T152" i="4" s="1"/>
  <c r="Q153" i="4"/>
  <c r="R153" i="4" s="1" a="1"/>
  <c r="R153" i="4" s="1"/>
  <c r="T153" i="4" s="1" a="1"/>
  <c r="T153" i="4" s="1"/>
  <c r="Q154" i="4"/>
  <c r="R154" i="4" s="1" a="1"/>
  <c r="R154" i="4" s="1"/>
  <c r="T154" i="4" s="1" a="1"/>
  <c r="T154" i="4" s="1"/>
  <c r="Q155" i="4"/>
  <c r="R155" i="4" s="1" a="1"/>
  <c r="R155" i="4" s="1"/>
  <c r="T155" i="4" s="1" a="1"/>
  <c r="T155" i="4" s="1"/>
  <c r="Q156" i="4"/>
  <c r="R156" i="4" s="1" a="1"/>
  <c r="R156" i="4" s="1"/>
  <c r="T156" i="4" s="1" a="1"/>
  <c r="T156" i="4" s="1"/>
  <c r="Q157" i="4"/>
  <c r="R157" i="4" s="1" a="1"/>
  <c r="R157" i="4" s="1"/>
  <c r="T157" i="4" s="1" a="1"/>
  <c r="T157" i="4" s="1"/>
  <c r="Q158" i="4"/>
  <c r="R158" i="4" s="1" a="1"/>
  <c r="R158" i="4" s="1"/>
  <c r="T158" i="4" s="1" a="1"/>
  <c r="T158" i="4" s="1"/>
  <c r="Q159" i="4"/>
  <c r="R159" i="4" s="1" a="1"/>
  <c r="R159" i="4" s="1"/>
  <c r="T159" i="4" s="1" a="1"/>
  <c r="T159" i="4" s="1"/>
  <c r="Q160" i="4"/>
  <c r="R160" i="4" s="1" a="1"/>
  <c r="R160" i="4" s="1"/>
  <c r="T160" i="4" s="1" a="1"/>
  <c r="T160" i="4" s="1"/>
  <c r="Q161" i="4"/>
  <c r="R161" i="4" s="1" a="1"/>
  <c r="R161" i="4" s="1"/>
  <c r="T161" i="4" s="1" a="1"/>
  <c r="T161" i="4" s="1"/>
  <c r="Q162" i="4"/>
  <c r="R162" i="4" s="1" a="1"/>
  <c r="R162" i="4" s="1"/>
  <c r="T162" i="4" s="1" a="1"/>
  <c r="T162" i="4" s="1"/>
  <c r="Q163" i="4"/>
  <c r="R163" i="4" s="1" a="1"/>
  <c r="R163" i="4" s="1"/>
  <c r="T163" i="4" s="1" a="1"/>
  <c r="T163" i="4" s="1"/>
  <c r="Q164" i="4"/>
  <c r="R164" i="4" s="1" a="1"/>
  <c r="R164" i="4" s="1"/>
  <c r="T164" i="4" s="1" a="1"/>
  <c r="T164" i="4" s="1"/>
  <c r="Q165" i="4"/>
  <c r="R165" i="4" s="1" a="1"/>
  <c r="R165" i="4" s="1"/>
  <c r="T165" i="4" s="1" a="1"/>
  <c r="T165" i="4" s="1"/>
  <c r="Q166" i="4"/>
  <c r="R166" i="4" s="1" a="1"/>
  <c r="R166" i="4" s="1"/>
  <c r="T166" i="4" s="1" a="1"/>
  <c r="T166" i="4" s="1"/>
  <c r="Q167" i="4"/>
  <c r="R167" i="4" s="1" a="1"/>
  <c r="R167" i="4" s="1"/>
  <c r="T167" i="4" s="1" a="1"/>
  <c r="T167" i="4" s="1"/>
  <c r="Q168" i="4"/>
  <c r="R168" i="4" s="1" a="1"/>
  <c r="R168" i="4" s="1"/>
  <c r="T168" i="4" s="1" a="1"/>
  <c r="T168" i="4" s="1"/>
  <c r="Q169" i="4"/>
  <c r="R169" i="4" s="1" a="1"/>
  <c r="R169" i="4" s="1"/>
  <c r="T169" i="4" s="1" a="1"/>
  <c r="T169" i="4" s="1"/>
  <c r="Q170" i="4"/>
  <c r="R170" i="4" s="1" a="1"/>
  <c r="R170" i="4" s="1"/>
  <c r="T170" i="4" s="1" a="1"/>
  <c r="T170" i="4" s="1"/>
  <c r="Q171" i="4"/>
  <c r="R171" i="4" s="1" a="1"/>
  <c r="R171" i="4" s="1"/>
  <c r="T171" i="4" s="1" a="1"/>
  <c r="T171" i="4" s="1"/>
  <c r="Q172" i="4"/>
  <c r="R172" i="4" s="1" a="1"/>
  <c r="R172" i="4" s="1"/>
  <c r="T172" i="4" s="1" a="1"/>
  <c r="T172" i="4" s="1"/>
  <c r="Q173" i="4"/>
  <c r="R173" i="4" s="1" a="1"/>
  <c r="R173" i="4" s="1"/>
  <c r="T173" i="4" s="1" a="1"/>
  <c r="T173" i="4" s="1"/>
  <c r="Q174" i="4"/>
  <c r="R174" i="4" s="1" a="1"/>
  <c r="R174" i="4" s="1"/>
  <c r="T174" i="4" s="1" a="1"/>
  <c r="T174" i="4" s="1"/>
  <c r="Q175" i="4"/>
  <c r="R175" i="4" s="1" a="1"/>
  <c r="R175" i="4" s="1"/>
  <c r="T175" i="4" s="1" a="1"/>
  <c r="T175" i="4" s="1"/>
  <c r="Q176" i="4"/>
  <c r="R176" i="4" s="1" a="1"/>
  <c r="R176" i="4" s="1"/>
  <c r="T176" i="4" s="1" a="1"/>
  <c r="T176" i="4" s="1"/>
  <c r="Q177" i="4"/>
  <c r="R177" i="4" s="1" a="1"/>
  <c r="R177" i="4" s="1"/>
  <c r="T177" i="4" s="1" a="1"/>
  <c r="T177" i="4" s="1"/>
  <c r="Q178" i="4"/>
  <c r="R178" i="4" s="1" a="1"/>
  <c r="R178" i="4" s="1"/>
  <c r="T178" i="4" s="1" a="1"/>
  <c r="T178" i="4" s="1"/>
  <c r="Q179" i="4"/>
  <c r="R179" i="4" s="1" a="1"/>
  <c r="R179" i="4" s="1"/>
  <c r="T179" i="4" s="1" a="1"/>
  <c r="T179" i="4" s="1"/>
  <c r="Q180" i="4"/>
  <c r="R180" i="4" s="1" a="1"/>
  <c r="R180" i="4" s="1"/>
  <c r="T180" i="4" s="1" a="1"/>
  <c r="T180" i="4" s="1"/>
  <c r="Q181" i="4"/>
  <c r="R181" i="4" s="1" a="1"/>
  <c r="R181" i="4" s="1"/>
  <c r="T181" i="4" s="1" a="1"/>
  <c r="T181" i="4" s="1"/>
  <c r="Q182" i="4"/>
  <c r="R182" i="4" s="1" a="1"/>
  <c r="R182" i="4" s="1"/>
  <c r="T182" i="4" s="1" a="1"/>
  <c r="T182" i="4" s="1"/>
  <c r="Q183" i="4"/>
  <c r="R183" i="4" s="1" a="1"/>
  <c r="R183" i="4" s="1"/>
  <c r="T183" i="4" s="1" a="1"/>
  <c r="T183" i="4" s="1"/>
  <c r="Q184" i="4"/>
  <c r="R184" i="4" s="1" a="1"/>
  <c r="R184" i="4" s="1"/>
  <c r="T184" i="4" s="1" a="1"/>
  <c r="T184" i="4" s="1"/>
  <c r="Q185" i="4"/>
  <c r="R185" i="4" s="1" a="1"/>
  <c r="R185" i="4" s="1"/>
  <c r="T185" i="4" s="1" a="1"/>
  <c r="T185" i="4" s="1"/>
  <c r="Q186" i="4"/>
  <c r="R186" i="4" s="1" a="1"/>
  <c r="R186" i="4" s="1"/>
  <c r="T186" i="4" s="1" a="1"/>
  <c r="T186" i="4" s="1"/>
  <c r="Q187" i="4"/>
  <c r="R187" i="4" s="1" a="1"/>
  <c r="R187" i="4" s="1"/>
  <c r="T187" i="4" s="1" a="1"/>
  <c r="T187" i="4" s="1"/>
  <c r="Q188" i="4"/>
  <c r="R188" i="4" s="1" a="1"/>
  <c r="R188" i="4" s="1"/>
  <c r="T188" i="4" s="1" a="1"/>
  <c r="T188" i="4" s="1"/>
  <c r="Q189" i="4"/>
  <c r="R189" i="4" s="1" a="1"/>
  <c r="R189" i="4" s="1"/>
  <c r="T189" i="4" s="1" a="1"/>
  <c r="T189" i="4" s="1"/>
  <c r="Q190" i="4"/>
  <c r="R190" i="4" s="1" a="1"/>
  <c r="R190" i="4" s="1"/>
  <c r="T190" i="4" s="1" a="1"/>
  <c r="T190" i="4" s="1"/>
  <c r="Q191" i="4"/>
  <c r="R191" i="4" s="1" a="1"/>
  <c r="R191" i="4" s="1"/>
  <c r="T191" i="4" s="1" a="1"/>
  <c r="T191" i="4" s="1"/>
  <c r="Q192" i="4"/>
  <c r="R192" i="4" s="1" a="1"/>
  <c r="R192" i="4" s="1"/>
  <c r="T192" i="4" s="1" a="1"/>
  <c r="T192" i="4" s="1"/>
  <c r="Q193" i="4"/>
  <c r="R193" i="4" s="1" a="1"/>
  <c r="R193" i="4" s="1"/>
  <c r="T193" i="4" s="1" a="1"/>
  <c r="T193" i="4" s="1"/>
  <c r="Q194" i="4"/>
  <c r="R194" i="4" s="1" a="1"/>
  <c r="R194" i="4" s="1"/>
  <c r="T194" i="4" s="1" a="1"/>
  <c r="T194" i="4" s="1"/>
  <c r="Q195" i="4"/>
  <c r="R195" i="4" s="1" a="1"/>
  <c r="R195" i="4" s="1"/>
  <c r="T195" i="4" s="1" a="1"/>
  <c r="T195" i="4" s="1"/>
  <c r="Q196" i="4"/>
  <c r="R196" i="4" s="1" a="1"/>
  <c r="R196" i="4" s="1"/>
  <c r="T196" i="4" s="1" a="1"/>
  <c r="T196" i="4" s="1"/>
  <c r="Q197" i="4"/>
  <c r="R197" i="4" s="1" a="1"/>
  <c r="R197" i="4" s="1"/>
  <c r="T197" i="4" s="1" a="1"/>
  <c r="T197" i="4" s="1"/>
  <c r="Q198" i="4"/>
  <c r="R198" i="4" s="1" a="1"/>
  <c r="R198" i="4" s="1"/>
  <c r="T198" i="4" s="1" a="1"/>
  <c r="T198" i="4" s="1"/>
  <c r="Q199" i="4"/>
  <c r="R199" i="4" s="1" a="1"/>
  <c r="R199" i="4" s="1"/>
  <c r="T199" i="4" s="1" a="1"/>
  <c r="T199" i="4" s="1"/>
  <c r="Q200" i="4"/>
  <c r="R200" i="4" s="1" a="1"/>
  <c r="R200" i="4" s="1"/>
  <c r="T200" i="4" s="1" a="1"/>
  <c r="T200" i="4" s="1"/>
  <c r="Q201" i="4"/>
  <c r="R201" i="4" s="1" a="1"/>
  <c r="R201" i="4" s="1"/>
  <c r="T201" i="4" s="1" a="1"/>
  <c r="T201" i="4" s="1"/>
  <c r="Q202" i="4"/>
  <c r="R202" i="4" s="1" a="1"/>
  <c r="R202" i="4" s="1"/>
  <c r="T202" i="4" s="1" a="1"/>
  <c r="T202" i="4" s="1"/>
  <c r="Q203" i="4"/>
  <c r="R203" i="4" s="1" a="1"/>
  <c r="R203" i="4" s="1"/>
  <c r="T203" i="4" s="1" a="1"/>
  <c r="T203" i="4" s="1"/>
  <c r="Q204" i="4"/>
  <c r="R204" i="4" s="1" a="1"/>
  <c r="R204" i="4" s="1"/>
  <c r="T204" i="4" s="1" a="1"/>
  <c r="T204" i="4" s="1"/>
  <c r="Q205" i="4"/>
  <c r="R205" i="4" s="1" a="1"/>
  <c r="R205" i="4" s="1"/>
  <c r="T205" i="4" s="1" a="1"/>
  <c r="T205" i="4" s="1"/>
  <c r="Q206" i="4"/>
  <c r="R206" i="4" s="1" a="1"/>
  <c r="R206" i="4" s="1"/>
  <c r="T206" i="4" s="1" a="1"/>
  <c r="T206" i="4" s="1"/>
  <c r="Q207" i="4"/>
  <c r="R207" i="4" s="1" a="1"/>
  <c r="R207" i="4" s="1"/>
  <c r="T207" i="4" s="1" a="1"/>
  <c r="T207" i="4" s="1"/>
  <c r="Q208" i="4"/>
  <c r="R208" i="4" s="1" a="1"/>
  <c r="R208" i="4" s="1"/>
  <c r="T208" i="4" s="1" a="1"/>
  <c r="T208" i="4" s="1"/>
  <c r="Q209" i="4"/>
  <c r="R209" i="4" s="1" a="1"/>
  <c r="R209" i="4" s="1"/>
  <c r="T209" i="4" s="1" a="1"/>
  <c r="T209" i="4" s="1"/>
  <c r="Q210" i="4"/>
  <c r="R210" i="4" s="1" a="1"/>
  <c r="R210" i="4" s="1"/>
  <c r="T210" i="4" s="1" a="1"/>
  <c r="T210" i="4" s="1"/>
  <c r="Q211" i="4"/>
  <c r="R211" i="4" s="1" a="1"/>
  <c r="R211" i="4" s="1"/>
  <c r="T211" i="4" s="1" a="1"/>
  <c r="T211" i="4" s="1"/>
  <c r="Q212" i="4"/>
  <c r="R212" i="4" s="1" a="1"/>
  <c r="R212" i="4" s="1"/>
  <c r="T212" i="4" s="1" a="1"/>
  <c r="T212" i="4" s="1"/>
  <c r="Q213" i="4"/>
  <c r="R213" i="4" s="1" a="1"/>
  <c r="R213" i="4" s="1"/>
  <c r="T213" i="4" s="1" a="1"/>
  <c r="T213" i="4" s="1"/>
  <c r="Q214" i="4"/>
  <c r="R214" i="4" s="1" a="1"/>
  <c r="R214" i="4" s="1"/>
  <c r="T214" i="4" s="1" a="1"/>
  <c r="T214" i="4" s="1"/>
  <c r="Q215" i="4"/>
  <c r="R215" i="4" s="1" a="1"/>
  <c r="R215" i="4" s="1"/>
  <c r="T215" i="4" s="1" a="1"/>
  <c r="T215" i="4" s="1"/>
  <c r="Q216" i="4"/>
  <c r="R216" i="4" s="1" a="1"/>
  <c r="R216" i="4" s="1"/>
  <c r="T216" i="4" s="1" a="1"/>
  <c r="T216" i="4" s="1"/>
  <c r="Q217" i="4"/>
  <c r="R217" i="4" s="1" a="1"/>
  <c r="R217" i="4" s="1"/>
  <c r="T217" i="4" s="1" a="1"/>
  <c r="T217" i="4" s="1"/>
  <c r="Q218" i="4"/>
  <c r="R218" i="4" s="1" a="1"/>
  <c r="R218" i="4" s="1"/>
  <c r="T218" i="4" s="1" a="1"/>
  <c r="T218" i="4" s="1"/>
  <c r="Q219" i="4"/>
  <c r="R219" i="4" s="1" a="1"/>
  <c r="R219" i="4" s="1"/>
  <c r="T219" i="4" s="1" a="1"/>
  <c r="T219" i="4" s="1"/>
  <c r="Q220" i="4"/>
  <c r="R220" i="4" s="1" a="1"/>
  <c r="R220" i="4" s="1"/>
  <c r="T220" i="4" s="1" a="1"/>
  <c r="T220" i="4" s="1"/>
  <c r="Q221" i="4"/>
  <c r="R221" i="4" s="1" a="1"/>
  <c r="R221" i="4" s="1"/>
  <c r="T221" i="4" s="1" a="1"/>
  <c r="T221" i="4" s="1"/>
  <c r="Q222" i="4"/>
  <c r="R222" i="4" s="1" a="1"/>
  <c r="R222" i="4" s="1"/>
  <c r="T222" i="4" s="1" a="1"/>
  <c r="T222" i="4" s="1"/>
  <c r="Q223" i="4"/>
  <c r="R223" i="4" s="1" a="1"/>
  <c r="R223" i="4" s="1"/>
  <c r="T223" i="4" s="1" a="1"/>
  <c r="T223" i="4" s="1"/>
  <c r="Q224" i="4"/>
  <c r="R224" i="4" s="1" a="1"/>
  <c r="R224" i="4" s="1"/>
  <c r="T224" i="4" s="1" a="1"/>
  <c r="T224" i="4" s="1"/>
  <c r="Q225" i="4"/>
  <c r="R225" i="4" s="1" a="1"/>
  <c r="R225" i="4" s="1"/>
  <c r="T225" i="4" s="1" a="1"/>
  <c r="T225" i="4" s="1"/>
  <c r="Q226" i="4"/>
  <c r="R226" i="4" s="1" a="1"/>
  <c r="R226" i="4" s="1"/>
  <c r="T226" i="4" s="1" a="1"/>
  <c r="T226" i="4" s="1"/>
  <c r="Q227" i="4"/>
  <c r="R227" i="4" s="1" a="1"/>
  <c r="R227" i="4" s="1"/>
  <c r="T227" i="4" s="1" a="1"/>
  <c r="T227" i="4" s="1"/>
  <c r="Q228" i="4"/>
  <c r="R228" i="4" s="1" a="1"/>
  <c r="R228" i="4" s="1"/>
  <c r="T228" i="4" s="1" a="1"/>
  <c r="T228" i="4" s="1"/>
  <c r="Q229" i="4"/>
  <c r="R229" i="4" s="1" a="1"/>
  <c r="R229" i="4" s="1"/>
  <c r="T229" i="4" s="1" a="1"/>
  <c r="T229" i="4" s="1"/>
  <c r="Q230" i="4"/>
  <c r="R230" i="4" s="1" a="1"/>
  <c r="R230" i="4" s="1"/>
  <c r="T230" i="4" s="1" a="1"/>
  <c r="T230" i="4" s="1"/>
  <c r="Q231" i="4"/>
  <c r="R231" i="4" s="1" a="1"/>
  <c r="R231" i="4" s="1"/>
  <c r="T231" i="4" s="1" a="1"/>
  <c r="T231" i="4" s="1"/>
  <c r="Q232" i="4"/>
  <c r="R232" i="4" s="1" a="1"/>
  <c r="R232" i="4" s="1"/>
  <c r="T232" i="4" s="1" a="1"/>
  <c r="T232" i="4" s="1"/>
  <c r="Q233" i="4"/>
  <c r="R233" i="4" s="1" a="1"/>
  <c r="R233" i="4" s="1"/>
  <c r="T233" i="4" s="1" a="1"/>
  <c r="T233" i="4" s="1"/>
  <c r="Q234" i="4"/>
  <c r="R234" i="4" s="1" a="1"/>
  <c r="R234" i="4" s="1"/>
  <c r="T234" i="4" s="1" a="1"/>
  <c r="T234" i="4" s="1"/>
  <c r="Q235" i="4"/>
  <c r="R235" i="4" s="1" a="1"/>
  <c r="R235" i="4" s="1"/>
  <c r="T235" i="4" s="1" a="1"/>
  <c r="T235" i="4" s="1"/>
  <c r="Q236" i="4"/>
  <c r="R236" i="4" s="1" a="1"/>
  <c r="R236" i="4" s="1"/>
  <c r="T236" i="4" s="1" a="1"/>
  <c r="T236" i="4" s="1"/>
  <c r="Q237" i="4"/>
  <c r="R237" i="4" s="1" a="1"/>
  <c r="R237" i="4" s="1"/>
  <c r="T237" i="4" s="1" a="1"/>
  <c r="T237" i="4" s="1"/>
  <c r="Q238" i="4"/>
  <c r="R238" i="4" s="1" a="1"/>
  <c r="R238" i="4" s="1"/>
  <c r="T238" i="4" s="1" a="1"/>
  <c r="T238" i="4" s="1"/>
  <c r="Q239" i="4"/>
  <c r="R239" i="4" s="1" a="1"/>
  <c r="R239" i="4" s="1"/>
  <c r="T239" i="4" s="1" a="1"/>
  <c r="T239" i="4" s="1"/>
  <c r="Q240" i="4"/>
  <c r="R240" i="4" s="1" a="1"/>
  <c r="R240" i="4" s="1"/>
  <c r="T240" i="4" s="1" a="1"/>
  <c r="T240" i="4" s="1"/>
  <c r="Q241" i="4"/>
  <c r="R241" i="4" s="1" a="1"/>
  <c r="R241" i="4" s="1"/>
  <c r="T241" i="4" s="1" a="1"/>
  <c r="T241" i="4" s="1"/>
  <c r="Q242" i="4"/>
  <c r="R242" i="4" s="1" a="1"/>
  <c r="R242" i="4" s="1"/>
  <c r="T242" i="4" s="1" a="1"/>
  <c r="T242" i="4" s="1"/>
  <c r="Q243" i="4"/>
  <c r="R243" i="4" s="1" a="1"/>
  <c r="R243" i="4" s="1"/>
  <c r="T243" i="4" s="1" a="1"/>
  <c r="T243" i="4" s="1"/>
  <c r="Q244" i="4"/>
  <c r="R244" i="4" s="1" a="1"/>
  <c r="R244" i="4" s="1"/>
  <c r="T244" i="4" s="1" a="1"/>
  <c r="T244" i="4" s="1"/>
  <c r="Q245" i="4"/>
  <c r="R245" i="4" s="1" a="1"/>
  <c r="R245" i="4" s="1"/>
  <c r="T245" i="4" s="1" a="1"/>
  <c r="T245" i="4" s="1"/>
  <c r="Q246" i="4"/>
  <c r="R246" i="4" s="1" a="1"/>
  <c r="R246" i="4" s="1"/>
  <c r="T246" i="4" s="1" a="1"/>
  <c r="T246" i="4" s="1"/>
  <c r="Q247" i="4"/>
  <c r="R247" i="4" s="1" a="1"/>
  <c r="R247" i="4" s="1"/>
  <c r="T247" i="4" s="1" a="1"/>
  <c r="T247" i="4" s="1"/>
  <c r="Q248" i="4"/>
  <c r="R248" i="4" s="1" a="1"/>
  <c r="R248" i="4" s="1"/>
  <c r="T248" i="4" s="1" a="1"/>
  <c r="T248" i="4" s="1"/>
  <c r="Q249" i="4"/>
  <c r="R249" i="4" s="1" a="1"/>
  <c r="R249" i="4" s="1"/>
  <c r="T249" i="4" s="1" a="1"/>
  <c r="T249" i="4" s="1"/>
  <c r="Q250" i="4"/>
  <c r="R250" i="4" s="1" a="1"/>
  <c r="R250" i="4" s="1"/>
  <c r="T250" i="4" s="1" a="1"/>
  <c r="T250" i="4" s="1"/>
  <c r="Q251" i="4"/>
  <c r="R251" i="4" s="1" a="1"/>
  <c r="R251" i="4" s="1"/>
  <c r="T251" i="4" s="1" a="1"/>
  <c r="T251" i="4" s="1"/>
  <c r="Q252" i="4"/>
  <c r="R252" i="4" s="1" a="1"/>
  <c r="R252" i="4" s="1"/>
  <c r="T252" i="4" s="1" a="1"/>
  <c r="T252" i="4" s="1"/>
  <c r="Q253" i="4"/>
  <c r="R253" i="4" s="1" a="1"/>
  <c r="R253" i="4" s="1"/>
  <c r="T253" i="4" s="1" a="1"/>
  <c r="T253" i="4" s="1"/>
  <c r="Q254" i="4"/>
  <c r="R254" i="4" s="1" a="1"/>
  <c r="R254" i="4" s="1"/>
  <c r="T254" i="4" s="1" a="1"/>
  <c r="T254" i="4" s="1"/>
  <c r="Q255" i="4"/>
  <c r="R255" i="4" s="1" a="1"/>
  <c r="R255" i="4" s="1"/>
  <c r="T255" i="4" s="1" a="1"/>
  <c r="T255" i="4" s="1"/>
  <c r="Q256" i="4"/>
  <c r="R256" i="4" s="1" a="1"/>
  <c r="R256" i="4" s="1"/>
  <c r="T256" i="4" s="1" a="1"/>
  <c r="T256" i="4" s="1"/>
  <c r="Q257" i="4"/>
  <c r="R257" i="4" s="1" a="1"/>
  <c r="R257" i="4" s="1"/>
  <c r="T257" i="4" s="1" a="1"/>
  <c r="T257" i="4" s="1"/>
  <c r="Q258" i="4"/>
  <c r="R258" i="4" s="1" a="1"/>
  <c r="R258" i="4" s="1"/>
  <c r="T258" i="4" s="1" a="1"/>
  <c r="T258" i="4" s="1"/>
  <c r="Q259" i="4"/>
  <c r="R259" i="4" s="1" a="1"/>
  <c r="R259" i="4" s="1"/>
  <c r="T259" i="4" s="1" a="1"/>
  <c r="T259" i="4" s="1"/>
  <c r="Q260" i="4"/>
  <c r="R260" i="4" s="1" a="1"/>
  <c r="R260" i="4" s="1"/>
  <c r="T260" i="4" s="1" a="1"/>
  <c r="T260" i="4" s="1"/>
  <c r="Q261" i="4"/>
  <c r="R261" i="4" s="1" a="1"/>
  <c r="R261" i="4" s="1"/>
  <c r="T261" i="4" s="1" a="1"/>
  <c r="T261" i="4" s="1"/>
  <c r="Q262" i="4"/>
  <c r="R262" i="4" s="1" a="1"/>
  <c r="R262" i="4" s="1"/>
  <c r="T262" i="4" s="1" a="1"/>
  <c r="T262" i="4" s="1"/>
  <c r="Q263" i="4"/>
  <c r="R263" i="4" s="1" a="1"/>
  <c r="R263" i="4" s="1"/>
  <c r="T263" i="4" s="1" a="1"/>
  <c r="T263" i="4" s="1"/>
  <c r="Q264" i="4"/>
  <c r="R264" i="4" s="1" a="1"/>
  <c r="R264" i="4" s="1"/>
  <c r="T264" i="4" s="1" a="1"/>
  <c r="T264" i="4" s="1"/>
  <c r="Q265" i="4"/>
  <c r="R265" i="4" s="1" a="1"/>
  <c r="R265" i="4" s="1"/>
  <c r="T265" i="4" s="1" a="1"/>
  <c r="T265" i="4" s="1"/>
  <c r="Q266" i="4"/>
  <c r="R266" i="4" s="1" a="1"/>
  <c r="R266" i="4" s="1"/>
  <c r="T266" i="4" s="1" a="1"/>
  <c r="T266" i="4" s="1"/>
  <c r="Q267" i="4"/>
  <c r="R267" i="4" s="1" a="1"/>
  <c r="R267" i="4" s="1"/>
  <c r="T267" i="4" s="1" a="1"/>
  <c r="T267" i="4" s="1"/>
  <c r="Q268" i="4"/>
  <c r="R268" i="4" s="1" a="1"/>
  <c r="R268" i="4" s="1"/>
  <c r="T268" i="4" s="1" a="1"/>
  <c r="T268" i="4" s="1"/>
  <c r="Q269" i="4"/>
  <c r="R269" i="4" s="1" a="1"/>
  <c r="R269" i="4" s="1"/>
  <c r="T269" i="4" s="1" a="1"/>
  <c r="T269" i="4" s="1"/>
  <c r="Q270" i="4"/>
  <c r="R270" i="4" s="1" a="1"/>
  <c r="R270" i="4" s="1"/>
  <c r="T270" i="4" s="1" a="1"/>
  <c r="T270" i="4" s="1"/>
  <c r="Q271" i="4"/>
  <c r="R271" i="4" s="1" a="1"/>
  <c r="R271" i="4" s="1"/>
  <c r="T271" i="4" s="1" a="1"/>
  <c r="T271" i="4" s="1"/>
  <c r="Q272" i="4"/>
  <c r="R272" i="4" s="1" a="1"/>
  <c r="R272" i="4" s="1"/>
  <c r="T272" i="4" s="1" a="1"/>
  <c r="T272" i="4" s="1"/>
  <c r="Q273" i="4"/>
  <c r="R273" i="4" s="1" a="1"/>
  <c r="R273" i="4" s="1"/>
  <c r="T273" i="4" s="1" a="1"/>
  <c r="T273" i="4" s="1"/>
  <c r="Q274" i="4"/>
  <c r="R274" i="4" s="1" a="1"/>
  <c r="R274" i="4" s="1"/>
  <c r="T274" i="4" s="1" a="1"/>
  <c r="T274" i="4" s="1"/>
  <c r="Q275" i="4"/>
  <c r="R275" i="4" s="1" a="1"/>
  <c r="R275" i="4" s="1"/>
  <c r="T275" i="4" s="1" a="1"/>
  <c r="T275" i="4" s="1"/>
  <c r="Q276" i="4"/>
  <c r="R276" i="4" s="1" a="1"/>
  <c r="R276" i="4" s="1"/>
  <c r="T276" i="4" s="1" a="1"/>
  <c r="T276" i="4" s="1"/>
  <c r="Q277" i="4"/>
  <c r="R277" i="4" s="1" a="1"/>
  <c r="R277" i="4" s="1"/>
  <c r="T277" i="4" s="1" a="1"/>
  <c r="T277" i="4" s="1"/>
  <c r="Q278" i="4"/>
  <c r="R278" i="4" s="1" a="1"/>
  <c r="R278" i="4" s="1"/>
  <c r="T278" i="4" s="1" a="1"/>
  <c r="T278" i="4" s="1"/>
  <c r="Q279" i="4"/>
  <c r="R279" i="4" s="1" a="1"/>
  <c r="R279" i="4" s="1"/>
  <c r="T279" i="4" s="1" a="1"/>
  <c r="T279" i="4" s="1"/>
  <c r="Q280" i="4"/>
  <c r="R280" i="4" s="1" a="1"/>
  <c r="R280" i="4" s="1"/>
  <c r="T280" i="4" s="1" a="1"/>
  <c r="T280" i="4" s="1"/>
  <c r="Q281" i="4"/>
  <c r="R281" i="4" s="1" a="1"/>
  <c r="R281" i="4" s="1"/>
  <c r="T281" i="4" s="1" a="1"/>
  <c r="T281" i="4" s="1"/>
  <c r="Q282" i="4"/>
  <c r="R282" i="4" s="1" a="1"/>
  <c r="R282" i="4" s="1"/>
  <c r="T282" i="4" s="1" a="1"/>
  <c r="T282" i="4" s="1"/>
  <c r="Q283" i="4"/>
  <c r="R283" i="4" s="1" a="1"/>
  <c r="R283" i="4" s="1"/>
  <c r="T283" i="4" s="1" a="1"/>
  <c r="T283" i="4" s="1"/>
  <c r="Q284" i="4"/>
  <c r="R284" i="4" s="1" a="1"/>
  <c r="R284" i="4" s="1"/>
  <c r="T284" i="4" s="1" a="1"/>
  <c r="T284" i="4" s="1"/>
  <c r="Q285" i="4"/>
  <c r="R285" i="4" s="1" a="1"/>
  <c r="R285" i="4" s="1"/>
  <c r="T285" i="4" s="1" a="1"/>
  <c r="T285" i="4" s="1"/>
  <c r="Q286" i="4"/>
  <c r="R286" i="4" s="1" a="1"/>
  <c r="R286" i="4" s="1"/>
  <c r="T286" i="4" s="1" a="1"/>
  <c r="T286" i="4" s="1"/>
  <c r="Q287" i="4"/>
  <c r="R287" i="4" s="1" a="1"/>
  <c r="R287" i="4" s="1"/>
  <c r="T287" i="4" s="1" a="1"/>
  <c r="T287" i="4" s="1"/>
  <c r="Q288" i="4"/>
  <c r="R288" i="4" s="1" a="1"/>
  <c r="R288" i="4" s="1"/>
  <c r="T288" i="4" s="1" a="1"/>
  <c r="T288" i="4" s="1"/>
  <c r="Q289" i="4"/>
  <c r="R289" i="4" s="1" a="1"/>
  <c r="R289" i="4" s="1"/>
  <c r="T289" i="4" s="1" a="1"/>
  <c r="T289" i="4" s="1"/>
  <c r="Q290" i="4"/>
  <c r="R290" i="4" s="1" a="1"/>
  <c r="R290" i="4" s="1"/>
  <c r="T290" i="4" s="1" a="1"/>
  <c r="T290" i="4" s="1"/>
  <c r="Q291" i="4"/>
  <c r="R291" i="4" s="1" a="1"/>
  <c r="R291" i="4" s="1"/>
  <c r="T291" i="4" s="1" a="1"/>
  <c r="T291" i="4" s="1"/>
  <c r="Q292" i="4"/>
  <c r="R292" i="4" s="1" a="1"/>
  <c r="R292" i="4" s="1"/>
  <c r="T292" i="4" s="1" a="1"/>
  <c r="T292" i="4" s="1"/>
  <c r="Q293" i="4"/>
  <c r="R293" i="4" s="1" a="1"/>
  <c r="R293" i="4" s="1"/>
  <c r="T293" i="4" s="1" a="1"/>
  <c r="T293" i="4" s="1"/>
  <c r="Q294" i="4"/>
  <c r="R294" i="4" s="1" a="1"/>
  <c r="R294" i="4" s="1"/>
  <c r="T294" i="4" s="1" a="1"/>
  <c r="T294" i="4" s="1"/>
  <c r="Q295" i="4"/>
  <c r="R295" i="4" s="1" a="1"/>
  <c r="R295" i="4" s="1"/>
  <c r="T295" i="4" s="1" a="1"/>
  <c r="T295" i="4" s="1"/>
  <c r="Q296" i="4"/>
  <c r="R296" i="4" s="1" a="1"/>
  <c r="R296" i="4" s="1"/>
  <c r="T296" i="4" s="1" a="1"/>
  <c r="T296" i="4" s="1"/>
  <c r="Q297" i="4"/>
  <c r="R297" i="4" s="1" a="1"/>
  <c r="R297" i="4" s="1"/>
  <c r="T297" i="4" s="1" a="1"/>
  <c r="T297" i="4" s="1"/>
  <c r="Q298" i="4"/>
  <c r="R298" i="4" s="1" a="1"/>
  <c r="R298" i="4" s="1"/>
  <c r="T298" i="4" s="1" a="1"/>
  <c r="T298" i="4" s="1"/>
  <c r="Q299" i="4"/>
  <c r="R299" i="4" s="1" a="1"/>
  <c r="R299" i="4" s="1"/>
  <c r="T299" i="4" s="1" a="1"/>
  <c r="T299" i="4" s="1"/>
  <c r="Q300" i="4"/>
  <c r="R300" i="4" s="1" a="1"/>
  <c r="R300" i="4" s="1"/>
  <c r="T300" i="4" s="1" a="1"/>
  <c r="T300" i="4" s="1"/>
  <c r="Q301" i="4"/>
  <c r="R301" i="4" s="1" a="1"/>
  <c r="R301" i="4" s="1"/>
  <c r="T301" i="4" s="1" a="1"/>
  <c r="T301" i="4" s="1"/>
  <c r="Q302" i="4"/>
  <c r="R302" i="4" s="1" a="1"/>
  <c r="R302" i="4" s="1"/>
  <c r="T302" i="4" s="1" a="1"/>
  <c r="T302" i="4" s="1"/>
  <c r="Q303" i="4"/>
  <c r="R303" i="4" s="1" a="1"/>
  <c r="R303" i="4" s="1"/>
  <c r="T303" i="4" s="1" a="1"/>
  <c r="T303" i="4" s="1"/>
  <c r="Q304" i="4"/>
  <c r="R304" i="4" s="1" a="1"/>
  <c r="R304" i="4" s="1"/>
  <c r="T304" i="4" s="1" a="1"/>
  <c r="T304" i="4" s="1"/>
  <c r="Q305" i="4"/>
  <c r="R305" i="4" s="1" a="1"/>
  <c r="R305" i="4" s="1"/>
  <c r="T305" i="4" s="1" a="1"/>
  <c r="T305" i="4" s="1"/>
  <c r="Q306" i="4"/>
  <c r="R306" i="4" s="1" a="1"/>
  <c r="R306" i="4" s="1"/>
  <c r="T306" i="4" s="1" a="1"/>
  <c r="T306" i="4" s="1"/>
  <c r="Q307" i="4"/>
  <c r="R307" i="4" s="1" a="1"/>
  <c r="R307" i="4" s="1"/>
  <c r="T307" i="4" s="1" a="1"/>
  <c r="T307" i="4" s="1"/>
  <c r="Q308" i="4"/>
  <c r="R308" i="4" s="1" a="1"/>
  <c r="R308" i="4" s="1"/>
  <c r="T308" i="4" s="1" a="1"/>
  <c r="T308" i="4" s="1"/>
  <c r="Q309" i="4"/>
  <c r="R309" i="4" s="1" a="1"/>
  <c r="R309" i="4" s="1"/>
  <c r="T309" i="4" s="1" a="1"/>
  <c r="T309" i="4" s="1"/>
  <c r="Q310" i="4"/>
  <c r="R310" i="4" s="1" a="1"/>
  <c r="R310" i="4" s="1"/>
  <c r="T310" i="4" s="1" a="1"/>
  <c r="T310" i="4" s="1"/>
  <c r="Q311" i="4"/>
  <c r="R311" i="4" s="1" a="1"/>
  <c r="R311" i="4" s="1"/>
  <c r="T311" i="4" s="1" a="1"/>
  <c r="T311" i="4" s="1"/>
  <c r="Q312" i="4"/>
  <c r="R312" i="4" s="1" a="1"/>
  <c r="R312" i="4" s="1"/>
  <c r="T312" i="4" s="1" a="1"/>
  <c r="T312" i="4" s="1"/>
  <c r="Q313" i="4"/>
  <c r="R313" i="4" s="1" a="1"/>
  <c r="R313" i="4" s="1"/>
  <c r="T313" i="4" s="1" a="1"/>
  <c r="T313" i="4" s="1"/>
  <c r="Q314" i="4"/>
  <c r="R314" i="4" s="1" a="1"/>
  <c r="R314" i="4" s="1"/>
  <c r="T314" i="4" s="1" a="1"/>
  <c r="T314" i="4" s="1"/>
  <c r="Q315" i="4"/>
  <c r="R315" i="4" s="1" a="1"/>
  <c r="R315" i="4" s="1"/>
  <c r="T315" i="4" s="1" a="1"/>
  <c r="T315" i="4" s="1"/>
  <c r="Q316" i="4"/>
  <c r="R316" i="4" s="1" a="1"/>
  <c r="R316" i="4" s="1"/>
  <c r="T316" i="4" s="1" a="1"/>
  <c r="T316" i="4" s="1"/>
  <c r="Q317" i="4"/>
  <c r="R317" i="4" s="1" a="1"/>
  <c r="R317" i="4" s="1"/>
  <c r="T317" i="4" s="1" a="1"/>
  <c r="T317" i="4" s="1"/>
  <c r="Q318" i="4"/>
  <c r="R318" i="4" s="1" a="1"/>
  <c r="R318" i="4" s="1"/>
  <c r="T318" i="4" s="1" a="1"/>
  <c r="T318" i="4" s="1"/>
  <c r="Q319" i="4"/>
  <c r="R319" i="4" s="1" a="1"/>
  <c r="R319" i="4" s="1"/>
  <c r="T319" i="4" s="1" a="1"/>
  <c r="T319" i="4" s="1"/>
  <c r="Q320" i="4"/>
  <c r="R320" i="4" s="1" a="1"/>
  <c r="R320" i="4" s="1"/>
  <c r="T320" i="4" s="1" a="1"/>
  <c r="T320" i="4" s="1"/>
  <c r="Q321" i="4"/>
  <c r="R321" i="4" s="1" a="1"/>
  <c r="R321" i="4" s="1"/>
  <c r="T321" i="4" s="1" a="1"/>
  <c r="T321" i="4" s="1"/>
  <c r="Q322" i="4"/>
  <c r="R322" i="4" s="1" a="1"/>
  <c r="R322" i="4" s="1"/>
  <c r="T322" i="4" s="1" a="1"/>
  <c r="T322" i="4" s="1"/>
  <c r="Q323" i="4"/>
  <c r="R323" i="4" s="1" a="1"/>
  <c r="R323" i="4" s="1"/>
  <c r="T323" i="4" s="1" a="1"/>
  <c r="T323" i="4" s="1"/>
  <c r="Q324" i="4"/>
  <c r="R324" i="4" s="1" a="1"/>
  <c r="R324" i="4" s="1"/>
  <c r="T324" i="4" s="1" a="1"/>
  <c r="T324" i="4" s="1"/>
  <c r="Q325" i="4"/>
  <c r="R325" i="4" s="1" a="1"/>
  <c r="R325" i="4" s="1"/>
  <c r="T325" i="4" s="1" a="1"/>
  <c r="T325" i="4" s="1"/>
  <c r="Q326" i="4"/>
  <c r="R326" i="4" s="1" a="1"/>
  <c r="R326" i="4" s="1"/>
  <c r="T326" i="4" s="1" a="1"/>
  <c r="T326" i="4" s="1"/>
  <c r="Q327" i="4"/>
  <c r="R327" i="4" s="1" a="1"/>
  <c r="R327" i="4" s="1"/>
  <c r="T327" i="4" s="1" a="1"/>
  <c r="T327" i="4" s="1"/>
  <c r="Q328" i="4"/>
  <c r="R328" i="4" s="1" a="1"/>
  <c r="R328" i="4" s="1"/>
  <c r="T328" i="4" s="1" a="1"/>
  <c r="T328" i="4" s="1"/>
  <c r="Q329" i="4"/>
  <c r="R329" i="4" s="1" a="1"/>
  <c r="R329" i="4" s="1"/>
  <c r="T329" i="4" s="1" a="1"/>
  <c r="T329" i="4" s="1"/>
  <c r="Q330" i="4"/>
  <c r="R330" i="4" s="1" a="1"/>
  <c r="R330" i="4" s="1"/>
  <c r="T330" i="4" s="1" a="1"/>
  <c r="T330" i="4" s="1"/>
  <c r="Q331" i="4"/>
  <c r="R331" i="4" s="1" a="1"/>
  <c r="R331" i="4" s="1"/>
  <c r="T331" i="4" s="1" a="1"/>
  <c r="T331" i="4" s="1"/>
  <c r="Q332" i="4"/>
  <c r="R332" i="4" s="1" a="1"/>
  <c r="R332" i="4" s="1"/>
  <c r="T332" i="4" s="1" a="1"/>
  <c r="T332" i="4" s="1"/>
  <c r="Q333" i="4"/>
  <c r="R333" i="4" s="1" a="1"/>
  <c r="R333" i="4" s="1"/>
  <c r="T333" i="4" s="1" a="1"/>
  <c r="T333" i="4" s="1"/>
  <c r="Q334" i="4"/>
  <c r="R334" i="4" s="1" a="1"/>
  <c r="R334" i="4" s="1"/>
  <c r="T334" i="4" s="1" a="1"/>
  <c r="T334" i="4" s="1"/>
  <c r="Q335" i="4"/>
  <c r="R335" i="4" s="1" a="1"/>
  <c r="R335" i="4" s="1"/>
  <c r="T335" i="4" s="1" a="1"/>
  <c r="T335" i="4" s="1"/>
  <c r="Q336" i="4"/>
  <c r="R336" i="4" s="1" a="1"/>
  <c r="R336" i="4" s="1"/>
  <c r="T336" i="4" s="1" a="1"/>
  <c r="T336" i="4" s="1"/>
  <c r="Q337" i="4"/>
  <c r="R337" i="4" s="1" a="1"/>
  <c r="R337" i="4" s="1"/>
  <c r="T337" i="4" s="1" a="1"/>
  <c r="T337" i="4" s="1"/>
  <c r="Q338" i="4"/>
  <c r="R338" i="4" s="1" a="1"/>
  <c r="R338" i="4" s="1"/>
  <c r="T338" i="4" s="1" a="1"/>
  <c r="T338" i="4" s="1"/>
  <c r="Q339" i="4"/>
  <c r="R339" i="4" s="1" a="1"/>
  <c r="R339" i="4" s="1"/>
  <c r="T339" i="4" s="1" a="1"/>
  <c r="T339" i="4" s="1"/>
  <c r="Q340" i="4"/>
  <c r="R340" i="4" s="1" a="1"/>
  <c r="R340" i="4" s="1"/>
  <c r="T340" i="4" s="1" a="1"/>
  <c r="T340" i="4" s="1"/>
  <c r="Q341" i="4"/>
  <c r="R341" i="4" s="1" a="1"/>
  <c r="R341" i="4" s="1"/>
  <c r="T341" i="4" s="1" a="1"/>
  <c r="T341" i="4" s="1"/>
  <c r="Q342" i="4"/>
  <c r="R342" i="4" s="1" a="1"/>
  <c r="R342" i="4" s="1"/>
  <c r="T342" i="4" s="1" a="1"/>
  <c r="T342" i="4" s="1"/>
  <c r="Q343" i="4"/>
  <c r="R343" i="4" s="1" a="1"/>
  <c r="R343" i="4" s="1"/>
  <c r="T343" i="4" s="1" a="1"/>
  <c r="T343" i="4" s="1"/>
  <c r="Q344" i="4"/>
  <c r="R344" i="4" s="1" a="1"/>
  <c r="R344" i="4" s="1"/>
  <c r="T344" i="4" s="1" a="1"/>
  <c r="T344" i="4" s="1"/>
  <c r="Q345" i="4"/>
  <c r="R345" i="4" s="1" a="1"/>
  <c r="R345" i="4" s="1"/>
  <c r="T345" i="4" s="1" a="1"/>
  <c r="T345" i="4" s="1"/>
  <c r="Q346" i="4"/>
  <c r="R346" i="4" s="1" a="1"/>
  <c r="R346" i="4" s="1"/>
  <c r="T346" i="4" s="1" a="1"/>
  <c r="T346" i="4" s="1"/>
  <c r="Q347" i="4"/>
  <c r="R347" i="4" s="1" a="1"/>
  <c r="R347" i="4" s="1"/>
  <c r="T347" i="4" s="1" a="1"/>
  <c r="T347" i="4" s="1"/>
  <c r="Q348" i="4"/>
  <c r="R348" i="4" s="1" a="1"/>
  <c r="R348" i="4" s="1"/>
  <c r="T348" i="4" s="1" a="1"/>
  <c r="T348" i="4" s="1"/>
  <c r="Q349" i="4"/>
  <c r="R349" i="4" s="1" a="1"/>
  <c r="R349" i="4" s="1"/>
  <c r="T349" i="4" s="1" a="1"/>
  <c r="T349" i="4" s="1"/>
  <c r="Q350" i="4"/>
  <c r="R350" i="4" s="1" a="1"/>
  <c r="R350" i="4" s="1"/>
  <c r="T350" i="4" s="1" a="1"/>
  <c r="T350" i="4" s="1"/>
  <c r="Q351" i="4"/>
  <c r="R351" i="4" s="1" a="1"/>
  <c r="R351" i="4" s="1"/>
  <c r="T351" i="4" s="1" a="1"/>
  <c r="T351" i="4" s="1"/>
  <c r="Q352" i="4"/>
  <c r="R352" i="4" s="1" a="1"/>
  <c r="R352" i="4" s="1"/>
  <c r="T352" i="4" s="1" a="1"/>
  <c r="T352" i="4" s="1"/>
  <c r="Q353" i="4"/>
  <c r="R353" i="4" s="1" a="1"/>
  <c r="R353" i="4" s="1"/>
  <c r="T353" i="4" s="1" a="1"/>
  <c r="T353" i="4" s="1"/>
  <c r="Q354" i="4"/>
  <c r="R354" i="4" s="1" a="1"/>
  <c r="R354" i="4" s="1"/>
  <c r="T354" i="4" s="1" a="1"/>
  <c r="T354" i="4" s="1"/>
  <c r="Q355" i="4"/>
  <c r="R355" i="4" s="1" a="1"/>
  <c r="R355" i="4" s="1"/>
  <c r="T355" i="4" s="1" a="1"/>
  <c r="T355" i="4" s="1"/>
  <c r="Q356" i="4"/>
  <c r="R356" i="4" s="1" a="1"/>
  <c r="R356" i="4" s="1"/>
  <c r="T356" i="4" s="1" a="1"/>
  <c r="T356" i="4" s="1"/>
  <c r="Q357" i="4"/>
  <c r="R357" i="4" s="1" a="1"/>
  <c r="R357" i="4" s="1"/>
  <c r="T357" i="4" s="1" a="1"/>
  <c r="T357" i="4" s="1"/>
  <c r="Q358" i="4"/>
  <c r="R358" i="4" s="1" a="1"/>
  <c r="R358" i="4" s="1"/>
  <c r="T358" i="4" s="1" a="1"/>
  <c r="T358" i="4" s="1"/>
  <c r="Q359" i="4"/>
  <c r="R359" i="4" s="1" a="1"/>
  <c r="R359" i="4" s="1"/>
  <c r="T359" i="4" s="1" a="1"/>
  <c r="T359" i="4" s="1"/>
  <c r="Q360" i="4"/>
  <c r="R360" i="4" s="1" a="1"/>
  <c r="R360" i="4" s="1"/>
  <c r="T360" i="4" s="1" a="1"/>
  <c r="T360" i="4" s="1"/>
  <c r="Q361" i="4"/>
  <c r="R361" i="4" s="1" a="1"/>
  <c r="R361" i="4" s="1"/>
  <c r="T361" i="4" s="1" a="1"/>
  <c r="T361" i="4" s="1"/>
  <c r="Q362" i="4"/>
  <c r="R362" i="4" s="1" a="1"/>
  <c r="R362" i="4" s="1"/>
  <c r="T362" i="4" s="1" a="1"/>
  <c r="T362" i="4" s="1"/>
  <c r="Q363" i="4"/>
  <c r="R363" i="4" s="1" a="1"/>
  <c r="R363" i="4" s="1"/>
  <c r="T363" i="4" s="1" a="1"/>
  <c r="T363" i="4" s="1"/>
  <c r="Q364" i="4"/>
  <c r="R364" i="4" s="1" a="1"/>
  <c r="R364" i="4" s="1"/>
  <c r="T364" i="4" s="1" a="1"/>
  <c r="T364" i="4" s="1"/>
  <c r="Q365" i="4"/>
  <c r="R365" i="4" s="1" a="1"/>
  <c r="R365" i="4" s="1"/>
  <c r="T365" i="4" s="1" a="1"/>
  <c r="T365" i="4" s="1"/>
  <c r="Q366" i="4"/>
  <c r="R366" i="4" s="1" a="1"/>
  <c r="R366" i="4" s="1"/>
  <c r="T366" i="4" s="1" a="1"/>
  <c r="T366" i="4" s="1"/>
  <c r="Q367" i="4"/>
  <c r="R367" i="4" s="1" a="1"/>
  <c r="R367" i="4" s="1"/>
  <c r="T367" i="4" s="1" a="1"/>
  <c r="T367" i="4" s="1"/>
  <c r="Q368" i="4"/>
  <c r="R368" i="4" s="1" a="1"/>
  <c r="R368" i="4" s="1"/>
  <c r="T368" i="4" s="1" a="1"/>
  <c r="T368" i="4" s="1"/>
  <c r="Q369" i="4"/>
  <c r="R369" i="4" s="1" a="1"/>
  <c r="R369" i="4" s="1"/>
  <c r="T369" i="4" s="1" a="1"/>
  <c r="T369" i="4" s="1"/>
  <c r="Q370" i="4"/>
  <c r="R370" i="4" s="1" a="1"/>
  <c r="R370" i="4" s="1"/>
  <c r="T370" i="4" s="1" a="1"/>
  <c r="T370" i="4" s="1"/>
  <c r="Q371" i="4"/>
  <c r="R371" i="4" s="1" a="1"/>
  <c r="R371" i="4" s="1"/>
  <c r="T371" i="4" s="1" a="1"/>
  <c r="T371" i="4" s="1"/>
  <c r="Q372" i="4"/>
  <c r="R372" i="4" s="1" a="1"/>
  <c r="R372" i="4" s="1"/>
  <c r="T372" i="4" s="1" a="1"/>
  <c r="T372" i="4" s="1"/>
  <c r="Q373" i="4"/>
  <c r="R373" i="4" s="1" a="1"/>
  <c r="R373" i="4" s="1"/>
  <c r="T373" i="4" s="1" a="1"/>
  <c r="T373" i="4" s="1"/>
  <c r="Q374" i="4"/>
  <c r="R374" i="4" s="1" a="1"/>
  <c r="R374" i="4" s="1"/>
  <c r="T374" i="4" s="1" a="1"/>
  <c r="T374" i="4" s="1"/>
  <c r="Q375" i="4"/>
  <c r="R375" i="4" s="1" a="1"/>
  <c r="R375" i="4" s="1"/>
  <c r="T375" i="4" s="1" a="1"/>
  <c r="T375" i="4" s="1"/>
  <c r="Q376" i="4"/>
  <c r="R376" i="4" s="1" a="1"/>
  <c r="R376" i="4" s="1"/>
  <c r="T376" i="4" s="1" a="1"/>
  <c r="T376" i="4" s="1"/>
  <c r="Q377" i="4"/>
  <c r="R377" i="4" s="1" a="1"/>
  <c r="R377" i="4" s="1"/>
  <c r="T377" i="4" s="1" a="1"/>
  <c r="T377" i="4" s="1"/>
  <c r="Q378" i="4"/>
  <c r="R378" i="4" s="1" a="1"/>
  <c r="R378" i="4" s="1"/>
  <c r="T378" i="4" s="1" a="1"/>
  <c r="T378" i="4" s="1"/>
  <c r="Q379" i="4"/>
  <c r="R379" i="4" s="1" a="1"/>
  <c r="R379" i="4" s="1"/>
  <c r="T379" i="4" s="1" a="1"/>
  <c r="T379" i="4" s="1"/>
  <c r="Q380" i="4"/>
  <c r="R380" i="4" s="1" a="1"/>
  <c r="R380" i="4" s="1"/>
  <c r="T380" i="4" s="1" a="1"/>
  <c r="T380" i="4" s="1"/>
  <c r="Q381" i="4"/>
  <c r="R381" i="4" s="1" a="1"/>
  <c r="R381" i="4" s="1"/>
  <c r="T381" i="4" s="1" a="1"/>
  <c r="T381" i="4" s="1"/>
  <c r="Q382" i="4"/>
  <c r="R382" i="4" s="1" a="1"/>
  <c r="R382" i="4" s="1"/>
  <c r="T382" i="4" s="1" a="1"/>
  <c r="T382" i="4" s="1"/>
  <c r="Q383" i="4"/>
  <c r="R383" i="4" s="1" a="1"/>
  <c r="R383" i="4" s="1"/>
  <c r="T383" i="4" s="1" a="1"/>
  <c r="T383" i="4" s="1"/>
  <c r="Q384" i="4"/>
  <c r="R384" i="4" s="1" a="1"/>
  <c r="R384" i="4" s="1"/>
  <c r="T384" i="4" s="1" a="1"/>
  <c r="T384" i="4" s="1"/>
  <c r="Q385" i="4"/>
  <c r="R385" i="4" s="1" a="1"/>
  <c r="R385" i="4" s="1"/>
  <c r="T385" i="4" s="1" a="1"/>
  <c r="T385" i="4" s="1"/>
  <c r="Q386" i="4"/>
  <c r="R386" i="4" s="1" a="1"/>
  <c r="R386" i="4" s="1"/>
  <c r="T386" i="4" s="1" a="1"/>
  <c r="T386" i="4" s="1"/>
  <c r="Q387" i="4"/>
  <c r="R387" i="4" s="1" a="1"/>
  <c r="R387" i="4" s="1"/>
  <c r="T387" i="4" s="1" a="1"/>
  <c r="T387" i="4" s="1"/>
  <c r="Q388" i="4"/>
  <c r="R388" i="4" s="1" a="1"/>
  <c r="R388" i="4" s="1"/>
  <c r="T388" i="4" s="1" a="1"/>
  <c r="T388" i="4" s="1"/>
  <c r="Q389" i="4"/>
  <c r="R389" i="4" s="1" a="1"/>
  <c r="R389" i="4" s="1"/>
  <c r="T389" i="4" s="1" a="1"/>
  <c r="T389" i="4" s="1"/>
  <c r="Q390" i="4"/>
  <c r="R390" i="4" s="1" a="1"/>
  <c r="R390" i="4" s="1"/>
  <c r="T390" i="4" s="1" a="1"/>
  <c r="T390" i="4" s="1"/>
  <c r="Q391" i="4"/>
  <c r="R391" i="4" s="1" a="1"/>
  <c r="R391" i="4" s="1"/>
  <c r="T391" i="4" s="1" a="1"/>
  <c r="T391" i="4" s="1"/>
  <c r="Q392" i="4"/>
  <c r="R392" i="4" s="1" a="1"/>
  <c r="R392" i="4" s="1"/>
  <c r="T392" i="4" s="1" a="1"/>
  <c r="T392" i="4" s="1"/>
  <c r="Q393" i="4"/>
  <c r="R393" i="4" s="1" a="1"/>
  <c r="R393" i="4" s="1"/>
  <c r="T393" i="4" s="1" a="1"/>
  <c r="T393" i="4" s="1"/>
  <c r="Q394" i="4"/>
  <c r="R394" i="4" s="1" a="1"/>
  <c r="R394" i="4" s="1"/>
  <c r="T394" i="4" s="1" a="1"/>
  <c r="T394" i="4" s="1"/>
  <c r="Q395" i="4"/>
  <c r="R395" i="4" s="1" a="1"/>
  <c r="R395" i="4" s="1"/>
  <c r="T395" i="4" s="1" a="1"/>
  <c r="T395" i="4" s="1"/>
  <c r="Q396" i="4"/>
  <c r="R396" i="4" s="1" a="1"/>
  <c r="R396" i="4" s="1"/>
  <c r="T396" i="4" s="1" a="1"/>
  <c r="T396" i="4" s="1"/>
  <c r="Q397" i="4"/>
  <c r="R397" i="4" s="1" a="1"/>
  <c r="R397" i="4" s="1"/>
  <c r="T397" i="4" s="1" a="1"/>
  <c r="T397" i="4" s="1"/>
  <c r="Q398" i="4"/>
  <c r="R398" i="4" s="1" a="1"/>
  <c r="R398" i="4" s="1"/>
  <c r="T398" i="4" s="1" a="1"/>
  <c r="T398" i="4" s="1"/>
  <c r="Q399" i="4"/>
  <c r="R399" i="4" s="1" a="1"/>
  <c r="R399" i="4" s="1"/>
  <c r="T399" i="4" s="1" a="1"/>
  <c r="T399" i="4" s="1"/>
  <c r="Q400" i="4"/>
  <c r="R400" i="4" s="1" a="1"/>
  <c r="R400" i="4" s="1"/>
  <c r="T400" i="4" s="1" a="1"/>
  <c r="T400" i="4" s="1"/>
  <c r="Q401" i="4"/>
  <c r="R401" i="4" s="1" a="1"/>
  <c r="R401" i="4" s="1"/>
  <c r="T401" i="4" s="1" a="1"/>
  <c r="T401" i="4" s="1"/>
  <c r="Q402" i="4"/>
  <c r="R402" i="4" s="1" a="1"/>
  <c r="R402" i="4" s="1"/>
  <c r="T402" i="4" s="1" a="1"/>
  <c r="T402" i="4" s="1"/>
  <c r="Q403" i="4"/>
  <c r="R403" i="4" s="1" a="1"/>
  <c r="R403" i="4" s="1"/>
  <c r="T403" i="4" s="1" a="1"/>
  <c r="T403" i="4" s="1"/>
  <c r="Q404" i="4"/>
  <c r="R404" i="4" s="1" a="1"/>
  <c r="R404" i="4" s="1"/>
  <c r="T404" i="4" s="1" a="1"/>
  <c r="T404" i="4" s="1"/>
  <c r="Q405" i="4"/>
  <c r="R405" i="4" s="1" a="1"/>
  <c r="R405" i="4" s="1"/>
  <c r="T405" i="4" s="1" a="1"/>
  <c r="T405" i="4" s="1"/>
  <c r="Q406" i="4"/>
  <c r="R406" i="4" s="1" a="1"/>
  <c r="R406" i="4" s="1"/>
  <c r="T406" i="4" s="1" a="1"/>
  <c r="T406" i="4" s="1"/>
  <c r="Q407" i="4"/>
  <c r="R407" i="4" s="1" a="1"/>
  <c r="R407" i="4" s="1"/>
  <c r="T407" i="4" s="1" a="1"/>
  <c r="T407" i="4" s="1"/>
  <c r="Q408" i="4"/>
  <c r="R408" i="4" s="1" a="1"/>
  <c r="R408" i="4" s="1"/>
  <c r="T408" i="4" s="1" a="1"/>
  <c r="T408" i="4" s="1"/>
  <c r="Q409" i="4"/>
  <c r="R409" i="4" s="1" a="1"/>
  <c r="R409" i="4" s="1"/>
  <c r="T409" i="4" s="1" a="1"/>
  <c r="T409" i="4" s="1"/>
  <c r="Q410" i="4"/>
  <c r="R410" i="4" s="1" a="1"/>
  <c r="R410" i="4" s="1"/>
  <c r="T410" i="4" s="1" a="1"/>
  <c r="T410" i="4" s="1"/>
  <c r="Q411" i="4"/>
  <c r="R411" i="4" s="1" a="1"/>
  <c r="R411" i="4" s="1"/>
  <c r="T411" i="4" s="1" a="1"/>
  <c r="T411" i="4" s="1"/>
  <c r="Q412" i="4"/>
  <c r="R412" i="4" s="1" a="1"/>
  <c r="R412" i="4" s="1"/>
  <c r="T412" i="4" s="1" a="1"/>
  <c r="T412" i="4" s="1"/>
  <c r="Q413" i="4"/>
  <c r="R413" i="4" s="1" a="1"/>
  <c r="R413" i="4" s="1"/>
  <c r="T413" i="4" s="1" a="1"/>
  <c r="T413" i="4" s="1"/>
  <c r="Q414" i="4"/>
  <c r="R414" i="4" s="1" a="1"/>
  <c r="R414" i="4" s="1"/>
  <c r="T414" i="4" s="1" a="1"/>
  <c r="T414" i="4" s="1"/>
  <c r="Q415" i="4"/>
  <c r="R415" i="4" s="1" a="1"/>
  <c r="R415" i="4" s="1"/>
  <c r="T415" i="4" s="1" a="1"/>
  <c r="T415" i="4" s="1"/>
  <c r="Q416" i="4"/>
  <c r="R416" i="4" s="1" a="1"/>
  <c r="R416" i="4" s="1"/>
  <c r="T416" i="4" s="1" a="1"/>
  <c r="T416" i="4" s="1"/>
  <c r="Q417" i="4"/>
  <c r="R417" i="4" s="1" a="1"/>
  <c r="R417" i="4" s="1"/>
  <c r="T417" i="4" s="1" a="1"/>
  <c r="T417" i="4" s="1"/>
  <c r="Q418" i="4"/>
  <c r="R418" i="4" s="1" a="1"/>
  <c r="R418" i="4" s="1"/>
  <c r="T418" i="4" s="1" a="1"/>
  <c r="T418" i="4" s="1"/>
  <c r="Q419" i="4"/>
  <c r="R419" i="4" s="1" a="1"/>
  <c r="R419" i="4" s="1"/>
  <c r="T419" i="4" s="1" a="1"/>
  <c r="T419" i="4" s="1"/>
  <c r="Q420" i="4"/>
  <c r="R420" i="4" s="1" a="1"/>
  <c r="R420" i="4" s="1"/>
  <c r="T420" i="4" s="1" a="1"/>
  <c r="T420" i="4" s="1"/>
  <c r="Q421" i="4"/>
  <c r="R421" i="4" s="1" a="1"/>
  <c r="R421" i="4" s="1"/>
  <c r="T421" i="4" s="1" a="1"/>
  <c r="T421" i="4" s="1"/>
  <c r="Q422" i="4"/>
  <c r="R422" i="4" s="1" a="1"/>
  <c r="R422" i="4" s="1"/>
  <c r="T422" i="4" s="1" a="1"/>
  <c r="T422" i="4" s="1"/>
  <c r="Q423" i="4"/>
  <c r="R423" i="4" s="1" a="1"/>
  <c r="R423" i="4" s="1"/>
  <c r="T423" i="4" s="1" a="1"/>
  <c r="T423" i="4" s="1"/>
  <c r="Q424" i="4"/>
  <c r="R424" i="4" s="1" a="1"/>
  <c r="R424" i="4" s="1"/>
  <c r="T424" i="4" s="1" a="1"/>
  <c r="T424" i="4" s="1"/>
  <c r="Q425" i="4"/>
  <c r="R425" i="4" s="1" a="1"/>
  <c r="R425" i="4" s="1"/>
  <c r="T425" i="4" s="1" a="1"/>
  <c r="T425" i="4" s="1"/>
  <c r="Q426" i="4"/>
  <c r="R426" i="4" s="1" a="1"/>
  <c r="R426" i="4" s="1"/>
  <c r="T426" i="4" s="1" a="1"/>
  <c r="T426" i="4" s="1"/>
  <c r="Q427" i="4"/>
  <c r="R427" i="4" s="1" a="1"/>
  <c r="R427" i="4" s="1"/>
  <c r="T427" i="4" s="1" a="1"/>
  <c r="T427" i="4" s="1"/>
  <c r="Q428" i="4"/>
  <c r="R428" i="4" s="1" a="1"/>
  <c r="R428" i="4" s="1"/>
  <c r="T428" i="4" s="1" a="1"/>
  <c r="T428" i="4" s="1"/>
  <c r="Q429" i="4"/>
  <c r="R429" i="4" s="1" a="1"/>
  <c r="R429" i="4" s="1"/>
  <c r="T429" i="4" s="1" a="1"/>
  <c r="T429" i="4" s="1"/>
  <c r="Q430" i="4"/>
  <c r="R430" i="4" s="1" a="1"/>
  <c r="R430" i="4" s="1"/>
  <c r="T430" i="4" s="1" a="1"/>
  <c r="T430" i="4" s="1"/>
  <c r="Q431" i="4"/>
  <c r="R431" i="4" s="1" a="1"/>
  <c r="R431" i="4" s="1"/>
  <c r="T431" i="4" s="1" a="1"/>
  <c r="T431" i="4" s="1"/>
  <c r="Q432" i="4"/>
  <c r="R432" i="4" s="1" a="1"/>
  <c r="R432" i="4" s="1"/>
  <c r="T432" i="4" s="1" a="1"/>
  <c r="T432" i="4" s="1"/>
  <c r="Q433" i="4"/>
  <c r="R433" i="4" s="1" a="1"/>
  <c r="R433" i="4" s="1"/>
  <c r="T433" i="4" s="1" a="1"/>
  <c r="T433" i="4" s="1"/>
  <c r="Q434" i="4"/>
  <c r="R434" i="4" s="1" a="1"/>
  <c r="R434" i="4" s="1"/>
  <c r="T434" i="4" s="1" a="1"/>
  <c r="T434" i="4" s="1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Q557" i="4"/>
  <c r="Q558" i="4"/>
  <c r="Q559" i="4"/>
  <c r="Q560" i="4"/>
  <c r="Q561" i="4"/>
  <c r="Q562" i="4"/>
  <c r="Q563" i="4"/>
  <c r="Q564" i="4"/>
  <c r="C152" i="4"/>
  <c r="D152" i="4" s="1"/>
  <c r="C153" i="4"/>
  <c r="D153" i="4" s="1"/>
  <c r="C154" i="4"/>
  <c r="D154" i="4" s="1"/>
  <c r="C155" i="4"/>
  <c r="C156" i="4"/>
  <c r="D156" i="4" s="1"/>
  <c r="C157" i="4"/>
  <c r="C158" i="4"/>
  <c r="D158" i="4" s="1"/>
  <c r="C159" i="4"/>
  <c r="D159" i="4" s="1"/>
  <c r="C160" i="4"/>
  <c r="D160" i="4" s="1"/>
  <c r="C161" i="4"/>
  <c r="C162" i="4"/>
  <c r="D162" i="4" s="1"/>
  <c r="C163" i="4"/>
  <c r="C164" i="4"/>
  <c r="C165" i="4"/>
  <c r="D165" i="4" s="1"/>
  <c r="C166" i="4"/>
  <c r="D166" i="4" s="1"/>
  <c r="C167" i="4"/>
  <c r="C168" i="4"/>
  <c r="D168" i="4" s="1"/>
  <c r="C169" i="4"/>
  <c r="C170" i="4"/>
  <c r="D170" i="4" s="1"/>
  <c r="C171" i="4"/>
  <c r="D171" i="4" s="1"/>
  <c r="C172" i="4"/>
  <c r="C173" i="4"/>
  <c r="D173" i="4" s="1"/>
  <c r="C174" i="4"/>
  <c r="D174" i="4" s="1"/>
  <c r="C175" i="4"/>
  <c r="C176" i="4"/>
  <c r="C177" i="4"/>
  <c r="D177" i="4" s="1"/>
  <c r="C178" i="4"/>
  <c r="D178" i="4" s="1"/>
  <c r="C179" i="4"/>
  <c r="D179" i="4" s="1"/>
  <c r="C180" i="4"/>
  <c r="D180" i="4" s="1"/>
  <c r="C181" i="4"/>
  <c r="C182" i="4"/>
  <c r="D182" i="4" s="1"/>
  <c r="C183" i="4"/>
  <c r="D183" i="4" s="1"/>
  <c r="C184" i="4"/>
  <c r="D184" i="4" s="1"/>
  <c r="C185" i="4"/>
  <c r="C186" i="4"/>
  <c r="D186" i="4" s="1"/>
  <c r="C187" i="4"/>
  <c r="C188" i="4"/>
  <c r="D188" i="4" s="1"/>
  <c r="C189" i="4"/>
  <c r="D189" i="4" s="1"/>
  <c r="C190" i="4"/>
  <c r="D190" i="4" s="1"/>
  <c r="C191" i="4"/>
  <c r="C192" i="4"/>
  <c r="D192" i="4" s="1"/>
  <c r="C193" i="4"/>
  <c r="C194" i="4"/>
  <c r="D194" i="4" s="1"/>
  <c r="C195" i="4"/>
  <c r="D195" i="4" s="1"/>
  <c r="C196" i="4"/>
  <c r="D196" i="4" s="1"/>
  <c r="C197" i="4"/>
  <c r="D197" i="4" s="1"/>
  <c r="C198" i="4"/>
  <c r="D198" i="4" s="1"/>
  <c r="C199" i="4"/>
  <c r="C200" i="4"/>
  <c r="D200" i="4" s="1"/>
  <c r="C201" i="4"/>
  <c r="D201" i="4" s="1"/>
  <c r="C202" i="4"/>
  <c r="D202" i="4" s="1"/>
  <c r="C203" i="4"/>
  <c r="C204" i="4"/>
  <c r="D204" i="4" s="1"/>
  <c r="C205" i="4"/>
  <c r="C206" i="4"/>
  <c r="C207" i="4"/>
  <c r="D207" i="4" s="1"/>
  <c r="C208" i="4"/>
  <c r="D208" i="4" s="1"/>
  <c r="C209" i="4"/>
  <c r="C210" i="4"/>
  <c r="D210" i="4" s="1"/>
  <c r="C211" i="4"/>
  <c r="C212" i="4"/>
  <c r="D212" i="4" s="1"/>
  <c r="C213" i="4"/>
  <c r="D213" i="4" s="1"/>
  <c r="C214" i="4"/>
  <c r="D214" i="4" s="1"/>
  <c r="C215" i="4"/>
  <c r="C216" i="4"/>
  <c r="D216" i="4" s="1"/>
  <c r="C217" i="4"/>
  <c r="C218" i="4"/>
  <c r="D218" i="4" s="1"/>
  <c r="C219" i="4"/>
  <c r="D219" i="4" s="1"/>
  <c r="C220" i="4"/>
  <c r="C221" i="4"/>
  <c r="C222" i="4"/>
  <c r="D222" i="4" s="1"/>
  <c r="C223" i="4"/>
  <c r="C224" i="4"/>
  <c r="D224" i="4" s="1"/>
  <c r="C225" i="4"/>
  <c r="D225" i="4" s="1"/>
  <c r="C226" i="4"/>
  <c r="D226" i="4" s="1"/>
  <c r="C227" i="4"/>
  <c r="C228" i="4"/>
  <c r="D228" i="4" s="1"/>
  <c r="C229" i="4"/>
  <c r="C230" i="4"/>
  <c r="D230" i="4" s="1"/>
  <c r="C231" i="4"/>
  <c r="D231" i="4" s="1"/>
  <c r="C232" i="4"/>
  <c r="D232" i="4" s="1"/>
  <c r="C233" i="4"/>
  <c r="C234" i="4"/>
  <c r="D234" i="4" s="1"/>
  <c r="C235" i="4"/>
  <c r="C236" i="4"/>
  <c r="C237" i="4"/>
  <c r="D237" i="4" s="1"/>
  <c r="C238" i="4"/>
  <c r="D238" i="4" s="1"/>
  <c r="C239" i="4"/>
  <c r="C240" i="4"/>
  <c r="D240" i="4" s="1"/>
  <c r="C241" i="4"/>
  <c r="C242" i="4"/>
  <c r="C243" i="4"/>
  <c r="D243" i="4" s="1"/>
  <c r="C244" i="4"/>
  <c r="D244" i="4" s="1"/>
  <c r="C245" i="4"/>
  <c r="C246" i="4"/>
  <c r="D246" i="4" s="1"/>
  <c r="C247" i="4"/>
  <c r="C248" i="4"/>
  <c r="C249" i="4"/>
  <c r="D249" i="4" s="1"/>
  <c r="C250" i="4"/>
  <c r="C251" i="4"/>
  <c r="C252" i="4"/>
  <c r="D252" i="4" s="1"/>
  <c r="C253" i="4"/>
  <c r="C254" i="4"/>
  <c r="D254" i="4" s="1"/>
  <c r="C255" i="4"/>
  <c r="D255" i="4" s="1"/>
  <c r="C256" i="4"/>
  <c r="C257" i="4"/>
  <c r="C258" i="4"/>
  <c r="D258" i="4" s="1"/>
  <c r="C259" i="4"/>
  <c r="C260" i="4"/>
  <c r="D260" i="4" s="1"/>
  <c r="AD260" i="4" s="1"/>
  <c r="C261" i="4"/>
  <c r="D261" i="4" s="1"/>
  <c r="AD261" i="4" s="1"/>
  <c r="C262" i="4"/>
  <c r="C263" i="4"/>
  <c r="C264" i="4"/>
  <c r="D264" i="4" s="1"/>
  <c r="AD264" i="4" s="1"/>
  <c r="C265" i="4"/>
  <c r="C266" i="4"/>
  <c r="D266" i="4" s="1"/>
  <c r="AD266" i="4" s="1"/>
  <c r="C267" i="4"/>
  <c r="D267" i="4" s="1"/>
  <c r="AD267" i="4" s="1"/>
  <c r="C268" i="4"/>
  <c r="C269" i="4"/>
  <c r="C270" i="4"/>
  <c r="D270" i="4" s="1"/>
  <c r="AD270" i="4" s="1"/>
  <c r="C271" i="4"/>
  <c r="C272" i="4"/>
  <c r="D272" i="4" s="1"/>
  <c r="AD272" i="4" s="1"/>
  <c r="C273" i="4"/>
  <c r="D273" i="4" s="1"/>
  <c r="AD273" i="4" s="1"/>
  <c r="C274" i="4"/>
  <c r="D274" i="4" s="1"/>
  <c r="AD274" i="4" s="1"/>
  <c r="C275" i="4"/>
  <c r="C276" i="4"/>
  <c r="D276" i="4" s="1"/>
  <c r="AD276" i="4" s="1"/>
  <c r="C277" i="4"/>
  <c r="C278" i="4"/>
  <c r="C279" i="4"/>
  <c r="D279" i="4" s="1"/>
  <c r="AD279" i="4" s="1"/>
  <c r="C280" i="4"/>
  <c r="D280" i="4" s="1"/>
  <c r="AD280" i="4" s="1"/>
  <c r="C281" i="4"/>
  <c r="C282" i="4"/>
  <c r="D282" i="4" s="1"/>
  <c r="AD282" i="4" s="1"/>
  <c r="C283" i="4"/>
  <c r="C284" i="4"/>
  <c r="C285" i="4"/>
  <c r="D285" i="4" s="1"/>
  <c r="AD285" i="4" s="1"/>
  <c r="C286" i="4"/>
  <c r="C287" i="4"/>
  <c r="C288" i="4"/>
  <c r="D288" i="4" s="1"/>
  <c r="AD288" i="4" s="1"/>
  <c r="C289" i="4"/>
  <c r="C290" i="4"/>
  <c r="D290" i="4" s="1"/>
  <c r="AD290" i="4" s="1"/>
  <c r="C291" i="4"/>
  <c r="D291" i="4" s="1"/>
  <c r="AD291" i="4" s="1"/>
  <c r="C292" i="4"/>
  <c r="C293" i="4"/>
  <c r="C294" i="4"/>
  <c r="D294" i="4" s="1"/>
  <c r="AD294" i="4" s="1"/>
  <c r="C295" i="4"/>
  <c r="C296" i="4"/>
  <c r="D296" i="4" s="1"/>
  <c r="AD296" i="4" s="1"/>
  <c r="C297" i="4"/>
  <c r="D297" i="4" s="1"/>
  <c r="AD297" i="4" s="1"/>
  <c r="C298" i="4"/>
  <c r="C299" i="4"/>
  <c r="C300" i="4"/>
  <c r="D300" i="4" s="1"/>
  <c r="AD300" i="4" s="1"/>
  <c r="C301" i="4"/>
  <c r="C302" i="4"/>
  <c r="D302" i="4" s="1"/>
  <c r="AD302" i="4" s="1"/>
  <c r="C303" i="4"/>
  <c r="D303" i="4" s="1"/>
  <c r="AD303" i="4" s="1"/>
  <c r="C304" i="4"/>
  <c r="C305" i="4"/>
  <c r="C306" i="4"/>
  <c r="D306" i="4" s="1"/>
  <c r="AD306" i="4" s="1"/>
  <c r="C307" i="4"/>
  <c r="C308" i="4"/>
  <c r="C309" i="4"/>
  <c r="D309" i="4" s="1"/>
  <c r="AD309" i="4" s="1"/>
  <c r="C310" i="4"/>
  <c r="C311" i="4"/>
  <c r="C312" i="4"/>
  <c r="D312" i="4" s="1"/>
  <c r="AD312" i="4" s="1"/>
  <c r="C313" i="4"/>
  <c r="C314" i="4"/>
  <c r="D314" i="4" s="1"/>
  <c r="AD314" i="4" s="1"/>
  <c r="C315" i="4"/>
  <c r="D315" i="4" s="1"/>
  <c r="AD315" i="4" s="1"/>
  <c r="C316" i="4"/>
  <c r="C317" i="4"/>
  <c r="C318" i="4"/>
  <c r="D318" i="4" s="1"/>
  <c r="AD318" i="4" s="1"/>
  <c r="C319" i="4"/>
  <c r="C320" i="4"/>
  <c r="D320" i="4" s="1"/>
  <c r="AD320" i="4" s="1"/>
  <c r="C321" i="4"/>
  <c r="D321" i="4" s="1"/>
  <c r="AD321" i="4" s="1"/>
  <c r="C322" i="4"/>
  <c r="C323" i="4"/>
  <c r="C324" i="4"/>
  <c r="D324" i="4" s="1"/>
  <c r="AD324" i="4" s="1"/>
  <c r="C325" i="4"/>
  <c r="C326" i="4"/>
  <c r="C327" i="4"/>
  <c r="D327" i="4" s="1"/>
  <c r="AD327" i="4" s="1"/>
  <c r="C328" i="4"/>
  <c r="C329" i="4"/>
  <c r="C330" i="4"/>
  <c r="D330" i="4" s="1"/>
  <c r="AD330" i="4" s="1"/>
  <c r="C331" i="4"/>
  <c r="C332" i="4"/>
  <c r="D332" i="4" s="1"/>
  <c r="AD332" i="4" s="1"/>
  <c r="C333" i="4"/>
  <c r="D333" i="4" s="1"/>
  <c r="AD333" i="4" s="1"/>
  <c r="C334" i="4"/>
  <c r="C335" i="4"/>
  <c r="C336" i="4"/>
  <c r="D336" i="4" s="1"/>
  <c r="AD336" i="4" s="1"/>
  <c r="C337" i="4"/>
  <c r="C338" i="4"/>
  <c r="D338" i="4" s="1"/>
  <c r="AD338" i="4" s="1"/>
  <c r="C339" i="4"/>
  <c r="D339" i="4" s="1"/>
  <c r="AD339" i="4" s="1"/>
  <c r="C340" i="4"/>
  <c r="C341" i="4"/>
  <c r="C342" i="4"/>
  <c r="D342" i="4" s="1"/>
  <c r="AD342" i="4" s="1"/>
  <c r="C343" i="4"/>
  <c r="C344" i="4"/>
  <c r="C345" i="4"/>
  <c r="D345" i="4" s="1"/>
  <c r="AD345" i="4" s="1"/>
  <c r="C346" i="4"/>
  <c r="C347" i="4"/>
  <c r="C348" i="4"/>
  <c r="C349" i="4"/>
  <c r="C350" i="4"/>
  <c r="C351" i="4"/>
  <c r="D351" i="4" s="1"/>
  <c r="AD351" i="4" s="1"/>
  <c r="C352" i="4"/>
  <c r="C353" i="4"/>
  <c r="C354" i="4"/>
  <c r="D354" i="4" s="1"/>
  <c r="AD354" i="4" s="1"/>
  <c r="C355" i="4"/>
  <c r="C356" i="4"/>
  <c r="C357" i="4"/>
  <c r="D357" i="4" s="1"/>
  <c r="AD357" i="4" s="1"/>
  <c r="C358" i="4"/>
  <c r="C359" i="4"/>
  <c r="C360" i="4"/>
  <c r="D360" i="4" s="1"/>
  <c r="AD360" i="4" s="1"/>
  <c r="C361" i="4"/>
  <c r="C362" i="4"/>
  <c r="C363" i="4"/>
  <c r="D363" i="4" s="1"/>
  <c r="AD363" i="4" s="1"/>
  <c r="C364" i="4"/>
  <c r="D364" i="4" s="1"/>
  <c r="AD364" i="4" s="1"/>
  <c r="C365" i="4"/>
  <c r="C366" i="4"/>
  <c r="D366" i="4" s="1"/>
  <c r="AD366" i="4" s="1"/>
  <c r="C367" i="4"/>
  <c r="C368" i="4"/>
  <c r="C369" i="4"/>
  <c r="D369" i="4" s="1"/>
  <c r="AD369" i="4" s="1"/>
  <c r="C370" i="4"/>
  <c r="C371" i="4"/>
  <c r="C372" i="4"/>
  <c r="D372" i="4" s="1"/>
  <c r="AD372" i="4" s="1"/>
  <c r="C373" i="4"/>
  <c r="C374" i="4"/>
  <c r="C375" i="4"/>
  <c r="D375" i="4" s="1"/>
  <c r="AD375" i="4" s="1"/>
  <c r="C376" i="4"/>
  <c r="C377" i="4"/>
  <c r="C378" i="4"/>
  <c r="D378" i="4" s="1"/>
  <c r="AD378" i="4" s="1"/>
  <c r="C379" i="4"/>
  <c r="C380" i="4"/>
  <c r="C381" i="4"/>
  <c r="D381" i="4" s="1"/>
  <c r="AD381" i="4" s="1"/>
  <c r="C382" i="4"/>
  <c r="D382" i="4" s="1"/>
  <c r="AD382" i="4" s="1"/>
  <c r="C383" i="4"/>
  <c r="C384" i="4"/>
  <c r="D384" i="4" s="1"/>
  <c r="AD384" i="4" s="1"/>
  <c r="C385" i="4"/>
  <c r="C386" i="4"/>
  <c r="C387" i="4"/>
  <c r="D387" i="4" s="1"/>
  <c r="AD387" i="4" s="1"/>
  <c r="C388" i="4"/>
  <c r="C389" i="4"/>
  <c r="C390" i="4"/>
  <c r="C391" i="4"/>
  <c r="C392" i="4"/>
  <c r="D392" i="4" s="1"/>
  <c r="AD392" i="4" s="1"/>
  <c r="C393" i="4"/>
  <c r="D393" i="4" s="1"/>
  <c r="AD393" i="4" s="1"/>
  <c r="C394" i="4"/>
  <c r="C395" i="4"/>
  <c r="C396" i="4"/>
  <c r="D396" i="4" s="1"/>
  <c r="AD396" i="4" s="1"/>
  <c r="C397" i="4"/>
  <c r="C398" i="4"/>
  <c r="D398" i="4" s="1"/>
  <c r="AD398" i="4" s="1"/>
  <c r="C399" i="4"/>
  <c r="D399" i="4" s="1"/>
  <c r="AD399" i="4" s="1"/>
  <c r="C400" i="4"/>
  <c r="C401" i="4"/>
  <c r="C402" i="4"/>
  <c r="D402" i="4" s="1"/>
  <c r="AD402" i="4" s="1"/>
  <c r="C403" i="4"/>
  <c r="C404" i="4"/>
  <c r="C405" i="4"/>
  <c r="D405" i="4" s="1"/>
  <c r="AD405" i="4" s="1"/>
  <c r="C406" i="4"/>
  <c r="C407" i="4"/>
  <c r="C408" i="4"/>
  <c r="D408" i="4" s="1"/>
  <c r="AD408" i="4" s="1"/>
  <c r="C409" i="4"/>
  <c r="C410" i="4"/>
  <c r="C411" i="4"/>
  <c r="D411" i="4" s="1"/>
  <c r="AD411" i="4" s="1"/>
  <c r="C412" i="4"/>
  <c r="C413" i="4"/>
  <c r="C414" i="4"/>
  <c r="D414" i="4" s="1"/>
  <c r="AD414" i="4" s="1"/>
  <c r="C415" i="4"/>
  <c r="C416" i="4"/>
  <c r="C417" i="4"/>
  <c r="D417" i="4" s="1"/>
  <c r="AD417" i="4" s="1"/>
  <c r="C418" i="4"/>
  <c r="C419" i="4"/>
  <c r="C420" i="4"/>
  <c r="D420" i="4" s="1"/>
  <c r="AD420" i="4" s="1"/>
  <c r="C421" i="4"/>
  <c r="C422" i="4"/>
  <c r="C423" i="4"/>
  <c r="D423" i="4" s="1"/>
  <c r="AD423" i="4" s="1"/>
  <c r="C424" i="4"/>
  <c r="C425" i="4"/>
  <c r="C426" i="4"/>
  <c r="D426" i="4" s="1"/>
  <c r="AD426" i="4" s="1"/>
  <c r="C427" i="4"/>
  <c r="C428" i="4"/>
  <c r="C429" i="4"/>
  <c r="D429" i="4" s="1"/>
  <c r="AD429" i="4" s="1"/>
  <c r="C430" i="4"/>
  <c r="C431" i="4"/>
  <c r="C432" i="4"/>
  <c r="D432" i="4" s="1"/>
  <c r="AD432" i="4" s="1"/>
  <c r="C433" i="4"/>
  <c r="C434" i="4"/>
  <c r="C435" i="4"/>
  <c r="D435" i="4" s="1"/>
  <c r="AD435" i="4" s="1"/>
  <c r="C436" i="4"/>
  <c r="C437" i="4"/>
  <c r="C438" i="4"/>
  <c r="D438" i="4" s="1"/>
  <c r="AD438" i="4" s="1"/>
  <c r="C439" i="4"/>
  <c r="C440" i="4"/>
  <c r="C441" i="4"/>
  <c r="D441" i="4" s="1"/>
  <c r="AD441" i="4" s="1"/>
  <c r="C442" i="4"/>
  <c r="C443" i="4"/>
  <c r="C444" i="4"/>
  <c r="D444" i="4" s="1"/>
  <c r="AD444" i="4" s="1"/>
  <c r="C445" i="4"/>
  <c r="C446" i="4"/>
  <c r="C447" i="4"/>
  <c r="D447" i="4" s="1"/>
  <c r="AD447" i="4" s="1"/>
  <c r="C448" i="4"/>
  <c r="C449" i="4"/>
  <c r="C450" i="4"/>
  <c r="D450" i="4" s="1"/>
  <c r="AD450" i="4" s="1"/>
  <c r="C451" i="4"/>
  <c r="C452" i="4"/>
  <c r="C453" i="4"/>
  <c r="D453" i="4" s="1"/>
  <c r="AD453" i="4" s="1"/>
  <c r="C454" i="4"/>
  <c r="C455" i="4"/>
  <c r="C456" i="4"/>
  <c r="D456" i="4" s="1"/>
  <c r="AD456" i="4" s="1"/>
  <c r="C457" i="4"/>
  <c r="C458" i="4"/>
  <c r="C459" i="4"/>
  <c r="D459" i="4" s="1"/>
  <c r="AD459" i="4" s="1"/>
  <c r="C460" i="4"/>
  <c r="C461" i="4"/>
  <c r="C462" i="4"/>
  <c r="D462" i="4" s="1"/>
  <c r="AD462" i="4" s="1"/>
  <c r="C463" i="4"/>
  <c r="C464" i="4"/>
  <c r="C465" i="4"/>
  <c r="D465" i="4" s="1"/>
  <c r="AD465" i="4" s="1"/>
  <c r="C466" i="4"/>
  <c r="C467" i="4"/>
  <c r="C468" i="4"/>
  <c r="D468" i="4" s="1"/>
  <c r="AD468" i="4" s="1"/>
  <c r="C469" i="4"/>
  <c r="C470" i="4"/>
  <c r="C471" i="4"/>
  <c r="D471" i="4" s="1"/>
  <c r="AD471" i="4" s="1"/>
  <c r="C472" i="4"/>
  <c r="C473" i="4"/>
  <c r="C474" i="4"/>
  <c r="D474" i="4" s="1"/>
  <c r="AD474" i="4" s="1"/>
  <c r="C475" i="4"/>
  <c r="C476" i="4"/>
  <c r="C477" i="4"/>
  <c r="D477" i="4" s="1"/>
  <c r="AD477" i="4" s="1"/>
  <c r="C478" i="4"/>
  <c r="C479" i="4"/>
  <c r="C480" i="4"/>
  <c r="D480" i="4" s="1"/>
  <c r="AD480" i="4" s="1"/>
  <c r="C481" i="4"/>
  <c r="C482" i="4"/>
  <c r="C483" i="4"/>
  <c r="D483" i="4" s="1"/>
  <c r="AD483" i="4" s="1"/>
  <c r="C484" i="4"/>
  <c r="C485" i="4"/>
  <c r="C486" i="4"/>
  <c r="C487" i="4"/>
  <c r="C488" i="4"/>
  <c r="D488" i="4" s="1"/>
  <c r="AD488" i="4" s="1"/>
  <c r="C489" i="4"/>
  <c r="D489" i="4" s="1"/>
  <c r="AD489" i="4" s="1"/>
  <c r="C490" i="4"/>
  <c r="C491" i="4"/>
  <c r="C492" i="4"/>
  <c r="D492" i="4" s="1"/>
  <c r="AD492" i="4" s="1"/>
  <c r="C493" i="4"/>
  <c r="C494" i="4"/>
  <c r="C495" i="4"/>
  <c r="D495" i="4" s="1"/>
  <c r="AD495" i="4" s="1"/>
  <c r="C496" i="4"/>
  <c r="C497" i="4"/>
  <c r="C498" i="4"/>
  <c r="D498" i="4" s="1"/>
  <c r="AD498" i="4" s="1"/>
  <c r="C499" i="4"/>
  <c r="C500" i="4"/>
  <c r="C501" i="4"/>
  <c r="D501" i="4" s="1"/>
  <c r="AD501" i="4" s="1"/>
  <c r="C502" i="4"/>
  <c r="C503" i="4"/>
  <c r="C504" i="4"/>
  <c r="D504" i="4" s="1"/>
  <c r="AD504" i="4" s="1"/>
  <c r="C505" i="4"/>
  <c r="C506" i="4"/>
  <c r="D506" i="4" s="1"/>
  <c r="AD506" i="4" s="1"/>
  <c r="C507" i="4"/>
  <c r="D507" i="4" s="1"/>
  <c r="AD507" i="4" s="1"/>
  <c r="C508" i="4"/>
  <c r="C509" i="4"/>
  <c r="C510" i="4"/>
  <c r="D510" i="4" s="1"/>
  <c r="AD510" i="4" s="1"/>
  <c r="C511" i="4"/>
  <c r="C512" i="4"/>
  <c r="C513" i="4"/>
  <c r="D513" i="4" s="1"/>
  <c r="AD513" i="4" s="1"/>
  <c r="C514" i="4"/>
  <c r="C515" i="4"/>
  <c r="C516" i="4"/>
  <c r="D516" i="4" s="1"/>
  <c r="AD516" i="4" s="1"/>
  <c r="C517" i="4"/>
  <c r="C518" i="4"/>
  <c r="C519" i="4"/>
  <c r="D519" i="4" s="1"/>
  <c r="AD519" i="4" s="1"/>
  <c r="C520" i="4"/>
  <c r="C521" i="4"/>
  <c r="C522" i="4"/>
  <c r="D522" i="4" s="1"/>
  <c r="AD522" i="4" s="1"/>
  <c r="C523" i="4"/>
  <c r="C524" i="4"/>
  <c r="D524" i="4" s="1"/>
  <c r="AD524" i="4" s="1"/>
  <c r="C525" i="4"/>
  <c r="D525" i="4" s="1"/>
  <c r="AD525" i="4" s="1"/>
  <c r="C526" i="4"/>
  <c r="C527" i="4"/>
  <c r="C528" i="4"/>
  <c r="D528" i="4" s="1"/>
  <c r="AD528" i="4" s="1"/>
  <c r="C529" i="4"/>
  <c r="C530" i="4"/>
  <c r="C531" i="4"/>
  <c r="D531" i="4" s="1"/>
  <c r="AD531" i="4" s="1"/>
  <c r="C532" i="4"/>
  <c r="C533" i="4"/>
  <c r="C534" i="4"/>
  <c r="D534" i="4" s="1"/>
  <c r="AD534" i="4" s="1"/>
  <c r="C535" i="4"/>
  <c r="C536" i="4"/>
  <c r="C537" i="4"/>
  <c r="D537" i="4" s="1"/>
  <c r="AD537" i="4" s="1"/>
  <c r="C538" i="4"/>
  <c r="C539" i="4"/>
  <c r="C540" i="4"/>
  <c r="D540" i="4" s="1"/>
  <c r="AD540" i="4" s="1"/>
  <c r="C541" i="4"/>
  <c r="C542" i="4"/>
  <c r="D542" i="4" s="1"/>
  <c r="AD542" i="4" s="1"/>
  <c r="C543" i="4"/>
  <c r="D543" i="4" s="1"/>
  <c r="AD543" i="4" s="1"/>
  <c r="C544" i="4"/>
  <c r="C545" i="4"/>
  <c r="C546" i="4"/>
  <c r="D546" i="4" s="1"/>
  <c r="AD546" i="4" s="1"/>
  <c r="C547" i="4"/>
  <c r="C548" i="4"/>
  <c r="C549" i="4"/>
  <c r="D549" i="4" s="1"/>
  <c r="AD549" i="4" s="1"/>
  <c r="C550" i="4"/>
  <c r="C551" i="4"/>
  <c r="C552" i="4"/>
  <c r="D552" i="4" s="1"/>
  <c r="AD552" i="4" s="1"/>
  <c r="C553" i="4"/>
  <c r="C554" i="4"/>
  <c r="C555" i="4"/>
  <c r="D555" i="4" s="1"/>
  <c r="AD555" i="4" s="1"/>
  <c r="C556" i="4"/>
  <c r="C557" i="4"/>
  <c r="C558" i="4"/>
  <c r="A152" i="8"/>
  <c r="B152" i="8" s="1"/>
  <c r="C152" i="8" s="1"/>
  <c r="F152" i="8" s="1"/>
  <c r="A153" i="8"/>
  <c r="B153" i="8" s="1"/>
  <c r="D153" i="8" s="1"/>
  <c r="G153" i="8" s="1"/>
  <c r="A154" i="8"/>
  <c r="B154" i="8" s="1"/>
  <c r="A155" i="8"/>
  <c r="B155" i="8" s="1"/>
  <c r="A156" i="8"/>
  <c r="B156" i="8" s="1"/>
  <c r="A157" i="8"/>
  <c r="B157" i="8" s="1"/>
  <c r="A158" i="8"/>
  <c r="B158" i="8" s="1"/>
  <c r="A159" i="8"/>
  <c r="B159" i="8" s="1"/>
  <c r="D159" i="8" s="1"/>
  <c r="G159" i="8" s="1"/>
  <c r="A160" i="8"/>
  <c r="B160" i="8" s="1"/>
  <c r="A161" i="8"/>
  <c r="B161" i="8" s="1"/>
  <c r="C161" i="8" s="1"/>
  <c r="F161" i="8" s="1"/>
  <c r="A162" i="8"/>
  <c r="B162" i="8" s="1"/>
  <c r="A163" i="8"/>
  <c r="B163" i="8" s="1"/>
  <c r="A164" i="8"/>
  <c r="B164" i="8" s="1"/>
  <c r="C164" i="8" s="1"/>
  <c r="F164" i="8" s="1"/>
  <c r="A165" i="8"/>
  <c r="B165" i="8" s="1"/>
  <c r="D165" i="8" s="1"/>
  <c r="G165" i="8" s="1"/>
  <c r="A166" i="8"/>
  <c r="B166" i="8" s="1"/>
  <c r="E166" i="8" s="1"/>
  <c r="H166" i="8" s="1"/>
  <c r="A167" i="8"/>
  <c r="B167" i="8" s="1"/>
  <c r="A168" i="8"/>
  <c r="B168" i="8" s="1"/>
  <c r="A169" i="8"/>
  <c r="B169" i="8" s="1"/>
  <c r="D169" i="8" s="1"/>
  <c r="G169" i="8" s="1"/>
  <c r="A170" i="8"/>
  <c r="B170" i="8" s="1"/>
  <c r="C170" i="8" s="1"/>
  <c r="F170" i="8" s="1"/>
  <c r="A171" i="8"/>
  <c r="B171" i="8" s="1"/>
  <c r="A172" i="8"/>
  <c r="B172" i="8" s="1"/>
  <c r="C172" i="8" s="1"/>
  <c r="F172" i="8" s="1"/>
  <c r="A173" i="8"/>
  <c r="B173" i="8" s="1"/>
  <c r="D173" i="8" s="1"/>
  <c r="G173" i="8" s="1"/>
  <c r="A174" i="8"/>
  <c r="B174" i="8" s="1"/>
  <c r="E174" i="8" s="1"/>
  <c r="H174" i="8" s="1"/>
  <c r="A175" i="8"/>
  <c r="B175" i="8" s="1"/>
  <c r="A176" i="8"/>
  <c r="B176" i="8"/>
  <c r="C176" i="8" s="1"/>
  <c r="F176" i="8" s="1"/>
  <c r="A177" i="8"/>
  <c r="B177" i="8" s="1"/>
  <c r="A178" i="8"/>
  <c r="B178" i="8" s="1"/>
  <c r="A179" i="8"/>
  <c r="B179" i="8"/>
  <c r="A180" i="8"/>
  <c r="B180" i="8" s="1"/>
  <c r="A181" i="8"/>
  <c r="B181" i="8" s="1"/>
  <c r="D181" i="8" s="1"/>
  <c r="G181" i="8" s="1"/>
  <c r="A182" i="8"/>
  <c r="B182" i="8" s="1"/>
  <c r="E182" i="8" s="1"/>
  <c r="H182" i="8" s="1"/>
  <c r="A183" i="8"/>
  <c r="B183" i="8" s="1"/>
  <c r="D183" i="8" s="1"/>
  <c r="G183" i="8" s="1"/>
  <c r="A184" i="8"/>
  <c r="B184" i="8" s="1"/>
  <c r="C184" i="8" s="1"/>
  <c r="F184" i="8" s="1"/>
  <c r="A185" i="8"/>
  <c r="B185" i="8" s="1"/>
  <c r="D185" i="8" s="1"/>
  <c r="G185" i="8" s="1"/>
  <c r="A186" i="8"/>
  <c r="B186" i="8" s="1"/>
  <c r="D186" i="8" s="1"/>
  <c r="G186" i="8" s="1"/>
  <c r="A187" i="8"/>
  <c r="B187" i="8" s="1"/>
  <c r="A188" i="8"/>
  <c r="B188" i="8" s="1"/>
  <c r="C188" i="8" s="1"/>
  <c r="F188" i="8" s="1"/>
  <c r="A189" i="8"/>
  <c r="B189" i="8" s="1"/>
  <c r="A190" i="8"/>
  <c r="B190" i="8" s="1"/>
  <c r="A191" i="8"/>
  <c r="B191" i="8" s="1"/>
  <c r="D191" i="8" s="1"/>
  <c r="G191" i="8" s="1"/>
  <c r="A192" i="8"/>
  <c r="B192" i="8" s="1"/>
  <c r="A193" i="8"/>
  <c r="B193" i="8" s="1"/>
  <c r="A194" i="8"/>
  <c r="B194" i="8" s="1"/>
  <c r="A195" i="8"/>
  <c r="B195" i="8" s="1"/>
  <c r="A196" i="8"/>
  <c r="B196" i="8" s="1"/>
  <c r="C196" i="8" s="1"/>
  <c r="F196" i="8" s="1"/>
  <c r="A197" i="8"/>
  <c r="B197" i="8" s="1"/>
  <c r="D197" i="8" s="1"/>
  <c r="G197" i="8" s="1"/>
  <c r="A198" i="8"/>
  <c r="B198" i="8" s="1"/>
  <c r="E198" i="8" s="1"/>
  <c r="H198" i="8" s="1"/>
  <c r="A199" i="8"/>
  <c r="B199" i="8" s="1"/>
  <c r="A200" i="8"/>
  <c r="B200" i="8" s="1"/>
  <c r="A201" i="8"/>
  <c r="B201" i="8" s="1"/>
  <c r="C201" i="8" s="1"/>
  <c r="F201" i="8" s="1"/>
  <c r="A202" i="8"/>
  <c r="B202" i="8" s="1"/>
  <c r="A203" i="8"/>
  <c r="B203" i="8" s="1"/>
  <c r="A204" i="8"/>
  <c r="B204" i="8" s="1"/>
  <c r="C204" i="8" s="1"/>
  <c r="F204" i="8" s="1"/>
  <c r="A205" i="8"/>
  <c r="B205" i="8" s="1"/>
  <c r="D205" i="8" s="1"/>
  <c r="G205" i="8" s="1"/>
  <c r="A206" i="8"/>
  <c r="B206" i="8" s="1"/>
  <c r="E206" i="8" s="1"/>
  <c r="H206" i="8" s="1"/>
  <c r="A207" i="8"/>
  <c r="B207" i="8" s="1"/>
  <c r="D207" i="8" s="1"/>
  <c r="G207" i="8" s="1"/>
  <c r="A208" i="8"/>
  <c r="B208" i="8" s="1"/>
  <c r="A209" i="8"/>
  <c r="B209" i="8" s="1"/>
  <c r="A210" i="8"/>
  <c r="B210" i="8" s="1"/>
  <c r="A211" i="8"/>
  <c r="B211" i="8" s="1"/>
  <c r="C211" i="8" s="1"/>
  <c r="F211" i="8" s="1"/>
  <c r="A212" i="8"/>
  <c r="B212" i="8" s="1"/>
  <c r="D212" i="8" s="1"/>
  <c r="G212" i="8" s="1"/>
  <c r="A213" i="8"/>
  <c r="B213" i="8" s="1"/>
  <c r="A214" i="8"/>
  <c r="B214" i="8" s="1"/>
  <c r="A215" i="8"/>
  <c r="B215" i="8" s="1"/>
  <c r="A216" i="8"/>
  <c r="B216" i="8" s="1"/>
  <c r="D216" i="8" s="1"/>
  <c r="G216" i="8" s="1"/>
  <c r="A217" i="8"/>
  <c r="B217" i="8" s="1"/>
  <c r="A218" i="8"/>
  <c r="B218" i="8" s="1"/>
  <c r="A219" i="8"/>
  <c r="B219" i="8" s="1"/>
  <c r="A220" i="8"/>
  <c r="B220" i="8" s="1"/>
  <c r="D220" i="8" s="1"/>
  <c r="G220" i="8" s="1"/>
  <c r="A221" i="8"/>
  <c r="B221" i="8" s="1"/>
  <c r="A222" i="8"/>
  <c r="B222" i="8" s="1"/>
  <c r="A223" i="8"/>
  <c r="B223" i="8" s="1"/>
  <c r="A224" i="8"/>
  <c r="B224" i="8" s="1"/>
  <c r="D224" i="8" s="1"/>
  <c r="G224" i="8" s="1"/>
  <c r="A225" i="8"/>
  <c r="B225" i="8" s="1"/>
  <c r="A226" i="8"/>
  <c r="B226" i="8" s="1"/>
  <c r="A227" i="8"/>
  <c r="B227" i="8" s="1"/>
  <c r="C227" i="8" s="1"/>
  <c r="F227" i="8" s="1"/>
  <c r="A228" i="8"/>
  <c r="B228" i="8" s="1"/>
  <c r="D228" i="8" s="1"/>
  <c r="G228" i="8" s="1"/>
  <c r="A229" i="8"/>
  <c r="B229" i="8" s="1"/>
  <c r="A230" i="8"/>
  <c r="B230" i="8" s="1"/>
  <c r="A231" i="8"/>
  <c r="B231" i="8" s="1"/>
  <c r="A232" i="8"/>
  <c r="B232" i="8" s="1"/>
  <c r="D232" i="8" s="1"/>
  <c r="G232" i="8" s="1"/>
  <c r="A233" i="8"/>
  <c r="B233" i="8" s="1"/>
  <c r="A234" i="8"/>
  <c r="B234" i="8" s="1"/>
  <c r="A235" i="8"/>
  <c r="B235" i="8" s="1"/>
  <c r="A236" i="8"/>
  <c r="B236" i="8" s="1"/>
  <c r="D236" i="8" s="1"/>
  <c r="G236" i="8" s="1"/>
  <c r="A237" i="8"/>
  <c r="B237" i="8" s="1"/>
  <c r="A238" i="8"/>
  <c r="B238" i="8" s="1"/>
  <c r="A239" i="8"/>
  <c r="B239" i="8" s="1"/>
  <c r="A240" i="8"/>
  <c r="B240" i="8" s="1"/>
  <c r="D240" i="8" s="1"/>
  <c r="G240" i="8" s="1"/>
  <c r="A241" i="8"/>
  <c r="B241" i="8" s="1"/>
  <c r="A242" i="8"/>
  <c r="B242" i="8" s="1"/>
  <c r="A243" i="8"/>
  <c r="B243" i="8" s="1"/>
  <c r="C243" i="8" s="1"/>
  <c r="F243" i="8" s="1"/>
  <c r="A244" i="8"/>
  <c r="B244" i="8" s="1"/>
  <c r="D244" i="8" s="1"/>
  <c r="G244" i="8" s="1"/>
  <c r="A245" i="8"/>
  <c r="B245" i="8" s="1"/>
  <c r="A246" i="8"/>
  <c r="B246" i="8" s="1"/>
  <c r="A247" i="8"/>
  <c r="B247" i="8" s="1"/>
  <c r="C247" i="8" s="1"/>
  <c r="F247" i="8" s="1"/>
  <c r="A248" i="8"/>
  <c r="B248" i="8" s="1"/>
  <c r="A249" i="8"/>
  <c r="B249" i="8" s="1"/>
  <c r="E249" i="8" s="1"/>
  <c r="H249" i="8" s="1"/>
  <c r="A250" i="8"/>
  <c r="B250" i="8" s="1"/>
  <c r="C250" i="8" s="1"/>
  <c r="F250" i="8" s="1"/>
  <c r="A251" i="8"/>
  <c r="B251" i="8" s="1"/>
  <c r="A252" i="8"/>
  <c r="B252" i="8" s="1"/>
  <c r="D252" i="8" s="1"/>
  <c r="G252" i="8" s="1"/>
  <c r="A253" i="8"/>
  <c r="B253" i="8" s="1"/>
  <c r="A254" i="8"/>
  <c r="B254" i="8" s="1"/>
  <c r="A255" i="8"/>
  <c r="B255" i="8" s="1"/>
  <c r="C255" i="8" s="1"/>
  <c r="F255" i="8" s="1"/>
  <c r="A256" i="8"/>
  <c r="B256" i="8" s="1"/>
  <c r="A257" i="8"/>
  <c r="B257" i="8" s="1"/>
  <c r="E257" i="8" s="1"/>
  <c r="H257" i="8" s="1"/>
  <c r="A258" i="8"/>
  <c r="B258" i="8" s="1"/>
  <c r="E258" i="8" s="1"/>
  <c r="H258" i="8" s="1"/>
  <c r="A259" i="8"/>
  <c r="B259" i="8" s="1"/>
  <c r="A260" i="8"/>
  <c r="B260" i="8" s="1"/>
  <c r="C260" i="8" s="1"/>
  <c r="F260" i="8" s="1"/>
  <c r="A261" i="8"/>
  <c r="B261" i="8" s="1"/>
  <c r="A262" i="8"/>
  <c r="B262" i="8" s="1"/>
  <c r="A263" i="8"/>
  <c r="B263" i="8" s="1"/>
  <c r="A264" i="8"/>
  <c r="B264" i="8" s="1"/>
  <c r="A265" i="8"/>
  <c r="B265" i="8" s="1"/>
  <c r="E265" i="8" s="1"/>
  <c r="H265" i="8" s="1"/>
  <c r="A266" i="8"/>
  <c r="B266" i="8" s="1"/>
  <c r="A267" i="8"/>
  <c r="B267" i="8" s="1"/>
  <c r="C267" i="8" s="1"/>
  <c r="F267" i="8" s="1"/>
  <c r="A268" i="8"/>
  <c r="B268" i="8" s="1"/>
  <c r="A269" i="8"/>
  <c r="B269" i="8" s="1"/>
  <c r="A270" i="8"/>
  <c r="B270" i="8" s="1"/>
  <c r="A271" i="8"/>
  <c r="B271" i="8" s="1"/>
  <c r="C271" i="8" s="1"/>
  <c r="F271" i="8" s="1"/>
  <c r="A272" i="8"/>
  <c r="B272" i="8" s="1"/>
  <c r="A273" i="8"/>
  <c r="B273" i="8" s="1"/>
  <c r="E273" i="8" s="1"/>
  <c r="H273" i="8" s="1"/>
  <c r="A274" i="8"/>
  <c r="B274" i="8" s="1"/>
  <c r="A275" i="8"/>
  <c r="B275" i="8" s="1"/>
  <c r="E275" i="8" s="1"/>
  <c r="H275" i="8" s="1"/>
  <c r="A276" i="8"/>
  <c r="B276" i="8" s="1"/>
  <c r="D276" i="8" s="1"/>
  <c r="G276" i="8" s="1"/>
  <c r="A277" i="8"/>
  <c r="B277" i="8" s="1"/>
  <c r="A278" i="8"/>
  <c r="B278" i="8" s="1"/>
  <c r="A279" i="8"/>
  <c r="B279" i="8" s="1"/>
  <c r="C279" i="8" s="1"/>
  <c r="F279" i="8" s="1"/>
  <c r="A280" i="8"/>
  <c r="B280" i="8" s="1"/>
  <c r="A281" i="8"/>
  <c r="B281" i="8" s="1"/>
  <c r="E281" i="8" s="1"/>
  <c r="H281" i="8" s="1"/>
  <c r="A282" i="8"/>
  <c r="B282" i="8" s="1"/>
  <c r="E282" i="8" s="1"/>
  <c r="H282" i="8" s="1"/>
  <c r="A283" i="8"/>
  <c r="B283" i="8" s="1"/>
  <c r="A284" i="8"/>
  <c r="B284" i="8" s="1"/>
  <c r="A285" i="8"/>
  <c r="B285" i="8" s="1"/>
  <c r="A286" i="8"/>
  <c r="B286" i="8" s="1"/>
  <c r="A287" i="8"/>
  <c r="B287" i="8" s="1"/>
  <c r="C287" i="8" s="1"/>
  <c r="F287" i="8" s="1"/>
  <c r="A288" i="8"/>
  <c r="B288" i="8" s="1"/>
  <c r="A289" i="8"/>
  <c r="B289" i="8" s="1"/>
  <c r="E289" i="8" s="1"/>
  <c r="H289" i="8" s="1"/>
  <c r="A290" i="8"/>
  <c r="B290" i="8" s="1"/>
  <c r="A291" i="8"/>
  <c r="B291" i="8" s="1"/>
  <c r="A292" i="8"/>
  <c r="B292" i="8" s="1"/>
  <c r="A293" i="8"/>
  <c r="B293" i="8" s="1"/>
  <c r="A294" i="8"/>
  <c r="B294" i="8" s="1"/>
  <c r="A295" i="8"/>
  <c r="B295" i="8" s="1"/>
  <c r="A296" i="8"/>
  <c r="B296" i="8" s="1"/>
  <c r="A297" i="8"/>
  <c r="B297" i="8" s="1"/>
  <c r="E297" i="8" s="1"/>
  <c r="H297" i="8" s="1"/>
  <c r="A298" i="8"/>
  <c r="B298" i="8" s="1"/>
  <c r="E298" i="8" s="1"/>
  <c r="H298" i="8" s="1"/>
  <c r="A299" i="8"/>
  <c r="B299" i="8" s="1"/>
  <c r="E299" i="8" s="1"/>
  <c r="H299" i="8" s="1"/>
  <c r="A300" i="8"/>
  <c r="B300" i="8" s="1"/>
  <c r="A301" i="8"/>
  <c r="B301" i="8" s="1"/>
  <c r="A302" i="8"/>
  <c r="B302" i="8" s="1"/>
  <c r="A303" i="8"/>
  <c r="B303" i="8" s="1"/>
  <c r="C303" i="8" s="1"/>
  <c r="F303" i="8" s="1"/>
  <c r="A304" i="8"/>
  <c r="B304" i="8" s="1"/>
  <c r="A305" i="8"/>
  <c r="B305" i="8" s="1"/>
  <c r="E305" i="8" s="1"/>
  <c r="H305" i="8" s="1"/>
  <c r="A306" i="8"/>
  <c r="B306" i="8" s="1"/>
  <c r="C306" i="8" s="1"/>
  <c r="F306" i="8" s="1"/>
  <c r="A307" i="8"/>
  <c r="B307" i="8" s="1"/>
  <c r="A308" i="8"/>
  <c r="B308" i="8" s="1"/>
  <c r="A309" i="8"/>
  <c r="B309" i="8" s="1"/>
  <c r="A310" i="8"/>
  <c r="B310" i="8" s="1"/>
  <c r="A311" i="8"/>
  <c r="B311" i="8" s="1"/>
  <c r="C311" i="8" s="1"/>
  <c r="F311" i="8" s="1"/>
  <c r="A312" i="8"/>
  <c r="B312" i="8" s="1"/>
  <c r="A313" i="8"/>
  <c r="B313" i="8" s="1"/>
  <c r="E313" i="8" s="1"/>
  <c r="H313" i="8" s="1"/>
  <c r="A314" i="8"/>
  <c r="B314" i="8" s="1"/>
  <c r="E314" i="8" s="1"/>
  <c r="H314" i="8" s="1"/>
  <c r="A315" i="8"/>
  <c r="B315" i="8" s="1"/>
  <c r="C315" i="8" s="1"/>
  <c r="F315" i="8" s="1"/>
  <c r="A316" i="8"/>
  <c r="B316" i="8" s="1"/>
  <c r="A317" i="8"/>
  <c r="B317" i="8" s="1"/>
  <c r="A318" i="8"/>
  <c r="B318" i="8" s="1"/>
  <c r="A319" i="8"/>
  <c r="B319" i="8" s="1"/>
  <c r="C319" i="8" s="1"/>
  <c r="F319" i="8" s="1"/>
  <c r="A320" i="8"/>
  <c r="B320" i="8" s="1"/>
  <c r="A321" i="8"/>
  <c r="B321" i="8" s="1"/>
  <c r="E321" i="8" s="1"/>
  <c r="H321" i="8" s="1"/>
  <c r="A322" i="8"/>
  <c r="B322" i="8" s="1"/>
  <c r="C322" i="8" s="1"/>
  <c r="F322" i="8" s="1"/>
  <c r="A323" i="8"/>
  <c r="B323" i="8" s="1"/>
  <c r="A324" i="8"/>
  <c r="B324" i="8" s="1"/>
  <c r="D324" i="8" s="1"/>
  <c r="G324" i="8" s="1"/>
  <c r="A325" i="8"/>
  <c r="B325" i="8" s="1"/>
  <c r="A326" i="8"/>
  <c r="B326" i="8" s="1"/>
  <c r="D326" i="8" s="1"/>
  <c r="G326" i="8" s="1"/>
  <c r="A327" i="8"/>
  <c r="B327" i="8" s="1"/>
  <c r="C327" i="8" s="1"/>
  <c r="F327" i="8" s="1"/>
  <c r="A328" i="8"/>
  <c r="B328" i="8" s="1"/>
  <c r="E328" i="8" s="1"/>
  <c r="H328" i="8" s="1"/>
  <c r="A329" i="8"/>
  <c r="B329" i="8" s="1"/>
  <c r="A330" i="8"/>
  <c r="B330" i="8" s="1"/>
  <c r="A331" i="8"/>
  <c r="B331" i="8" s="1"/>
  <c r="C331" i="8" s="1"/>
  <c r="F331" i="8" s="1"/>
  <c r="A332" i="8"/>
  <c r="B332" i="8" s="1"/>
  <c r="A333" i="8"/>
  <c r="B333" i="8" s="1"/>
  <c r="A334" i="8"/>
  <c r="B334" i="8" s="1"/>
  <c r="D334" i="8" s="1"/>
  <c r="G334" i="8" s="1"/>
  <c r="A335" i="8"/>
  <c r="B335" i="8" s="1"/>
  <c r="C335" i="8" s="1"/>
  <c r="F335" i="8" s="1"/>
  <c r="A336" i="8"/>
  <c r="B336" i="8" s="1"/>
  <c r="E336" i="8" s="1"/>
  <c r="H336" i="8" s="1"/>
  <c r="A337" i="8"/>
  <c r="B337" i="8" s="1"/>
  <c r="A338" i="8"/>
  <c r="B338" i="8" s="1"/>
  <c r="E338" i="8" s="1"/>
  <c r="H338" i="8" s="1"/>
  <c r="A339" i="8"/>
  <c r="B339" i="8" s="1"/>
  <c r="A340" i="8"/>
  <c r="B340" i="8" s="1"/>
  <c r="A341" i="8"/>
  <c r="B341" i="8" s="1"/>
  <c r="A342" i="8"/>
  <c r="B342" i="8" s="1"/>
  <c r="A343" i="8"/>
  <c r="B343" i="8" s="1"/>
  <c r="A344" i="8"/>
  <c r="B344" i="8" s="1"/>
  <c r="A345" i="8"/>
  <c r="B345" i="8" s="1"/>
  <c r="E345" i="8" s="1"/>
  <c r="H345" i="8" s="1"/>
  <c r="A346" i="8"/>
  <c r="B346" i="8" s="1"/>
  <c r="A347" i="8"/>
  <c r="B347" i="8" s="1"/>
  <c r="E347" i="8" s="1"/>
  <c r="H347" i="8" s="1"/>
  <c r="A348" i="8"/>
  <c r="B348" i="8" s="1"/>
  <c r="A349" i="8"/>
  <c r="B349" i="8" s="1"/>
  <c r="C349" i="8" s="1"/>
  <c r="F349" i="8" s="1"/>
  <c r="A350" i="8"/>
  <c r="B350" i="8" s="1"/>
  <c r="A351" i="8"/>
  <c r="B351" i="8" s="1"/>
  <c r="A352" i="8"/>
  <c r="B352" i="8" s="1"/>
  <c r="A353" i="8"/>
  <c r="B353" i="8" s="1"/>
  <c r="E353" i="8" s="1"/>
  <c r="H353" i="8" s="1"/>
  <c r="A354" i="8"/>
  <c r="B354" i="8" s="1"/>
  <c r="A355" i="8"/>
  <c r="B355" i="8" s="1"/>
  <c r="E355" i="8" s="1"/>
  <c r="H355" i="8" s="1"/>
  <c r="A356" i="8"/>
  <c r="B356" i="8" s="1"/>
  <c r="E356" i="8" s="1"/>
  <c r="H356" i="8" s="1"/>
  <c r="A357" i="8"/>
  <c r="B357" i="8" s="1"/>
  <c r="C357" i="8" s="1"/>
  <c r="F357" i="8" s="1"/>
  <c r="A358" i="8"/>
  <c r="B358" i="8" s="1"/>
  <c r="A359" i="8"/>
  <c r="B359" i="8" s="1"/>
  <c r="A360" i="8"/>
  <c r="B360" i="8" s="1"/>
  <c r="A361" i="8"/>
  <c r="B361" i="8" s="1"/>
  <c r="E361" i="8" s="1"/>
  <c r="H361" i="8" s="1"/>
  <c r="A362" i="8"/>
  <c r="B362" i="8" s="1"/>
  <c r="A363" i="8"/>
  <c r="B363" i="8" s="1"/>
  <c r="E363" i="8" s="1"/>
  <c r="H363" i="8" s="1"/>
  <c r="A364" i="8"/>
  <c r="B364" i="8" s="1"/>
  <c r="E364" i="8" s="1"/>
  <c r="H364" i="8" s="1"/>
  <c r="A365" i="8"/>
  <c r="B365" i="8" s="1"/>
  <c r="C365" i="8" s="1"/>
  <c r="F365" i="8" s="1"/>
  <c r="A366" i="8"/>
  <c r="B366" i="8" s="1"/>
  <c r="A367" i="8"/>
  <c r="B367" i="8" s="1"/>
  <c r="A368" i="8"/>
  <c r="B368" i="8" s="1"/>
  <c r="A369" i="8"/>
  <c r="B369" i="8" s="1"/>
  <c r="E369" i="8" s="1"/>
  <c r="H369" i="8" s="1"/>
  <c r="A370" i="8"/>
  <c r="B370" i="8" s="1"/>
  <c r="A371" i="8"/>
  <c r="B371" i="8" s="1"/>
  <c r="E371" i="8" s="1"/>
  <c r="H371" i="8" s="1"/>
  <c r="A372" i="8"/>
  <c r="B372" i="8" s="1"/>
  <c r="E372" i="8" s="1"/>
  <c r="H372" i="8" s="1"/>
  <c r="A373" i="8"/>
  <c r="B373" i="8" s="1"/>
  <c r="A374" i="8"/>
  <c r="B374" i="8" s="1"/>
  <c r="A375" i="8"/>
  <c r="B375" i="8" s="1"/>
  <c r="A376" i="8"/>
  <c r="B376" i="8" s="1"/>
  <c r="A377" i="8"/>
  <c r="B377" i="8" s="1"/>
  <c r="E377" i="8" s="1"/>
  <c r="H377" i="8" s="1"/>
  <c r="A378" i="8"/>
  <c r="B378" i="8" s="1"/>
  <c r="A379" i="8"/>
  <c r="B379" i="8" s="1"/>
  <c r="E379" i="8" s="1"/>
  <c r="H379" i="8" s="1"/>
  <c r="A380" i="8"/>
  <c r="B380" i="8" s="1"/>
  <c r="E380" i="8" s="1"/>
  <c r="H380" i="8" s="1"/>
  <c r="A381" i="8"/>
  <c r="B381" i="8" s="1"/>
  <c r="C381" i="8" s="1"/>
  <c r="F381" i="8" s="1"/>
  <c r="A382" i="8"/>
  <c r="B382" i="8" s="1"/>
  <c r="A383" i="8"/>
  <c r="B383" i="8" s="1"/>
  <c r="A384" i="8"/>
  <c r="B384" i="8" s="1"/>
  <c r="A385" i="8"/>
  <c r="B385" i="8" s="1"/>
  <c r="E385" i="8" s="1"/>
  <c r="H385" i="8" s="1"/>
  <c r="A386" i="8"/>
  <c r="B386" i="8" s="1"/>
  <c r="A387" i="8"/>
  <c r="B387" i="8" s="1"/>
  <c r="E387" i="8" s="1"/>
  <c r="H387" i="8" s="1"/>
  <c r="A388" i="8"/>
  <c r="B388" i="8" s="1"/>
  <c r="E388" i="8" s="1"/>
  <c r="H388" i="8" s="1"/>
  <c r="A389" i="8"/>
  <c r="B389" i="8" s="1"/>
  <c r="C389" i="8" s="1"/>
  <c r="F389" i="8" s="1"/>
  <c r="A390" i="8"/>
  <c r="B390" i="8" s="1"/>
  <c r="A391" i="8"/>
  <c r="B391" i="8" s="1"/>
  <c r="A392" i="8"/>
  <c r="B392" i="8" s="1"/>
  <c r="A393" i="8"/>
  <c r="B393" i="8" s="1"/>
  <c r="A394" i="8"/>
  <c r="B394" i="8" s="1"/>
  <c r="A395" i="8"/>
  <c r="B395" i="8" s="1"/>
  <c r="C395" i="8" s="1"/>
  <c r="F395" i="8" s="1"/>
  <c r="A396" i="8"/>
  <c r="B396" i="8" s="1"/>
  <c r="A397" i="8"/>
  <c r="B397" i="8" s="1"/>
  <c r="A398" i="8"/>
  <c r="B398" i="8" s="1"/>
  <c r="A399" i="8"/>
  <c r="B399" i="8" s="1"/>
  <c r="C399" i="8" s="1"/>
  <c r="F399" i="8" s="1"/>
  <c r="A400" i="8"/>
  <c r="B400" i="8" s="1"/>
  <c r="E400" i="8" s="1"/>
  <c r="H400" i="8" s="1"/>
  <c r="A401" i="8"/>
  <c r="B401" i="8" s="1"/>
  <c r="A402" i="8"/>
  <c r="B402" i="8" s="1"/>
  <c r="A403" i="8"/>
  <c r="B403" i="8" s="1"/>
  <c r="D403" i="8" s="1"/>
  <c r="G403" i="8" s="1"/>
  <c r="A404" i="8"/>
  <c r="B404" i="8" s="1"/>
  <c r="E404" i="8" s="1"/>
  <c r="H404" i="8" s="1"/>
  <c r="A405" i="8"/>
  <c r="B405" i="8" s="1"/>
  <c r="E405" i="8" s="1"/>
  <c r="H405" i="8" s="1"/>
  <c r="A406" i="8"/>
  <c r="B406" i="8" s="1"/>
  <c r="A407" i="8"/>
  <c r="B407" i="8" s="1"/>
  <c r="A408" i="8"/>
  <c r="B408" i="8" s="1"/>
  <c r="A409" i="8"/>
  <c r="B409" i="8" s="1"/>
  <c r="E409" i="8" s="1"/>
  <c r="H409" i="8" s="1"/>
  <c r="A410" i="8"/>
  <c r="B410" i="8" s="1"/>
  <c r="A411" i="8"/>
  <c r="B411" i="8" s="1"/>
  <c r="C411" i="8" s="1"/>
  <c r="F411" i="8" s="1"/>
  <c r="A412" i="8"/>
  <c r="B412" i="8" s="1"/>
  <c r="A413" i="8"/>
  <c r="B413" i="8" s="1"/>
  <c r="E413" i="8" s="1"/>
  <c r="H413" i="8" s="1"/>
  <c r="A414" i="8"/>
  <c r="B414" i="8" s="1"/>
  <c r="A415" i="8"/>
  <c r="B415" i="8" s="1"/>
  <c r="C415" i="8" s="1"/>
  <c r="F415" i="8" s="1"/>
  <c r="A416" i="8"/>
  <c r="B416" i="8" s="1"/>
  <c r="C416" i="8" s="1"/>
  <c r="F416" i="8" s="1"/>
  <c r="A417" i="8"/>
  <c r="B417" i="8" s="1"/>
  <c r="A418" i="8"/>
  <c r="B418" i="8" s="1"/>
  <c r="A419" i="8"/>
  <c r="B419" i="8" s="1"/>
  <c r="E419" i="8" s="1"/>
  <c r="H419" i="8" s="1"/>
  <c r="A420" i="8"/>
  <c r="B420" i="8" s="1"/>
  <c r="C420" i="8" s="1"/>
  <c r="F420" i="8" s="1"/>
  <c r="A421" i="8"/>
  <c r="B421" i="8" s="1"/>
  <c r="E421" i="8" s="1"/>
  <c r="H421" i="8" s="1"/>
  <c r="A422" i="8"/>
  <c r="B422" i="8" s="1"/>
  <c r="A423" i="8"/>
  <c r="B423" i="8" s="1"/>
  <c r="E423" i="8" s="1"/>
  <c r="H423" i="8" s="1"/>
  <c r="A424" i="8"/>
  <c r="B424" i="8" s="1"/>
  <c r="C424" i="8" s="1"/>
  <c r="F424" i="8" s="1"/>
  <c r="A425" i="8"/>
  <c r="B425" i="8" s="1"/>
  <c r="E425" i="8" s="1"/>
  <c r="H425" i="8" s="1"/>
  <c r="A426" i="8"/>
  <c r="B426" i="8" s="1"/>
  <c r="A427" i="8"/>
  <c r="B427" i="8" s="1"/>
  <c r="C427" i="8" s="1"/>
  <c r="F427" i="8" s="1"/>
  <c r="A428" i="8"/>
  <c r="B428" i="8" s="1"/>
  <c r="A429" i="8"/>
  <c r="B429" i="8" s="1"/>
  <c r="E429" i="8" s="1"/>
  <c r="H429" i="8" s="1"/>
  <c r="A430" i="8"/>
  <c r="B430" i="8" s="1"/>
  <c r="A431" i="8"/>
  <c r="B431" i="8" s="1"/>
  <c r="E431" i="8" s="1"/>
  <c r="H431" i="8" s="1"/>
  <c r="A432" i="8"/>
  <c r="B432" i="8" s="1"/>
  <c r="E432" i="8" s="1"/>
  <c r="H432" i="8" s="1"/>
  <c r="A433" i="8"/>
  <c r="B433" i="8" s="1"/>
  <c r="A434" i="8"/>
  <c r="B434" i="8" s="1"/>
  <c r="A435" i="8"/>
  <c r="B435" i="8" s="1"/>
  <c r="E435" i="8" s="1"/>
  <c r="H435" i="8" s="1"/>
  <c r="A436" i="8"/>
  <c r="B436" i="8" s="1"/>
  <c r="E436" i="8" s="1"/>
  <c r="H436" i="8" s="1"/>
  <c r="A437" i="8"/>
  <c r="B437" i="8" s="1"/>
  <c r="E437" i="8" s="1"/>
  <c r="H437" i="8" s="1"/>
  <c r="A438" i="8"/>
  <c r="B438" i="8" s="1"/>
  <c r="A439" i="8"/>
  <c r="B439" i="8" s="1"/>
  <c r="E439" i="8" s="1"/>
  <c r="H439" i="8" s="1"/>
  <c r="A440" i="8"/>
  <c r="B440" i="8" s="1"/>
  <c r="E440" i="8" s="1"/>
  <c r="H440" i="8" s="1"/>
  <c r="A441" i="8"/>
  <c r="B441" i="8" s="1"/>
  <c r="E441" i="8" s="1"/>
  <c r="H441" i="8" s="1"/>
  <c r="A442" i="8"/>
  <c r="B442" i="8" s="1"/>
  <c r="A443" i="8"/>
  <c r="B443" i="8" s="1"/>
  <c r="A444" i="8"/>
  <c r="B444" i="8" s="1"/>
  <c r="E444" i="8" s="1"/>
  <c r="H444" i="8" s="1"/>
  <c r="A445" i="8"/>
  <c r="B445" i="8" s="1"/>
  <c r="E445" i="8" s="1"/>
  <c r="H445" i="8" s="1"/>
  <c r="A446" i="8"/>
  <c r="B446" i="8" s="1"/>
  <c r="A447" i="8"/>
  <c r="B447" i="8" s="1"/>
  <c r="A448" i="8"/>
  <c r="B448" i="8" s="1"/>
  <c r="A449" i="8"/>
  <c r="B449" i="8" s="1"/>
  <c r="A450" i="8"/>
  <c r="B450" i="8" s="1"/>
  <c r="A451" i="8"/>
  <c r="B451" i="8" s="1"/>
  <c r="C451" i="8" s="1"/>
  <c r="F451" i="8" s="1"/>
  <c r="A452" i="8"/>
  <c r="B452" i="8" s="1"/>
  <c r="A453" i="8"/>
  <c r="B453" i="8" s="1"/>
  <c r="E453" i="8" s="1"/>
  <c r="H453" i="8" s="1"/>
  <c r="A454" i="8"/>
  <c r="B454" i="8" s="1"/>
  <c r="A455" i="8"/>
  <c r="B455" i="8" s="1"/>
  <c r="C455" i="8" s="1"/>
  <c r="F455" i="8" s="1"/>
  <c r="A456" i="8"/>
  <c r="B456" i="8" s="1"/>
  <c r="A457" i="8"/>
  <c r="B457" i="8" s="1"/>
  <c r="E457" i="8" s="1"/>
  <c r="H457" i="8" s="1"/>
  <c r="A458" i="8"/>
  <c r="B458" i="8" s="1"/>
  <c r="A459" i="8"/>
  <c r="B459" i="8" s="1"/>
  <c r="C459" i="8" s="1"/>
  <c r="F459" i="8" s="1"/>
  <c r="A460" i="8"/>
  <c r="B460" i="8" s="1"/>
  <c r="A461" i="8"/>
  <c r="B461" i="8" s="1"/>
  <c r="E461" i="8" s="1"/>
  <c r="H461" i="8" s="1"/>
  <c r="A462" i="8"/>
  <c r="B462" i="8" s="1"/>
  <c r="A463" i="8"/>
  <c r="B463" i="8" s="1"/>
  <c r="A464" i="8"/>
  <c r="B464" i="8" s="1"/>
  <c r="C464" i="8" s="1"/>
  <c r="F464" i="8" s="1"/>
  <c r="A465" i="8"/>
  <c r="B465" i="8" s="1"/>
  <c r="A466" i="8"/>
  <c r="B466" i="8" s="1"/>
  <c r="A467" i="8"/>
  <c r="B467" i="8" s="1"/>
  <c r="E467" i="8" s="1"/>
  <c r="H467" i="8" s="1"/>
  <c r="A468" i="8"/>
  <c r="B468" i="8" s="1"/>
  <c r="C468" i="8" s="1"/>
  <c r="F468" i="8" s="1"/>
  <c r="A469" i="8"/>
  <c r="B469" i="8" s="1"/>
  <c r="E469" i="8" s="1"/>
  <c r="H469" i="8" s="1"/>
  <c r="A470" i="8"/>
  <c r="B470" i="8" s="1"/>
  <c r="A471" i="8"/>
  <c r="B471" i="8" s="1"/>
  <c r="E471" i="8" s="1"/>
  <c r="H471" i="8" s="1"/>
  <c r="A472" i="8"/>
  <c r="B472" i="8" s="1"/>
  <c r="C472" i="8" s="1"/>
  <c r="F472" i="8" s="1"/>
  <c r="A473" i="8"/>
  <c r="B473" i="8" s="1"/>
  <c r="E473" i="8" s="1"/>
  <c r="H473" i="8" s="1"/>
  <c r="A474" i="8"/>
  <c r="B474" i="8" s="1"/>
  <c r="A475" i="8"/>
  <c r="B475" i="8" s="1"/>
  <c r="E475" i="8" s="1"/>
  <c r="H475" i="8" s="1"/>
  <c r="A476" i="8"/>
  <c r="B476" i="8" s="1"/>
  <c r="C476" i="8" s="1"/>
  <c r="F476" i="8" s="1"/>
  <c r="A477" i="8"/>
  <c r="B477" i="8" s="1"/>
  <c r="E477" i="8" s="1"/>
  <c r="H477" i="8" s="1"/>
  <c r="A478" i="8"/>
  <c r="B478" i="8" s="1"/>
  <c r="A479" i="8"/>
  <c r="B479" i="8" s="1"/>
  <c r="E479" i="8" s="1"/>
  <c r="H479" i="8" s="1"/>
  <c r="A480" i="8"/>
  <c r="B480" i="8" s="1"/>
  <c r="A481" i="8"/>
  <c r="B481" i="8" s="1"/>
  <c r="A482" i="8"/>
  <c r="B482" i="8" s="1"/>
  <c r="A483" i="8"/>
  <c r="B483" i="8" s="1"/>
  <c r="E483" i="8" s="1"/>
  <c r="H483" i="8" s="1"/>
  <c r="A484" i="8"/>
  <c r="B484" i="8" s="1"/>
  <c r="A485" i="8"/>
  <c r="B485" i="8" s="1"/>
  <c r="E485" i="8" s="1"/>
  <c r="H485" i="8" s="1"/>
  <c r="A486" i="8"/>
  <c r="B486" i="8" s="1"/>
  <c r="A487" i="8"/>
  <c r="B487" i="8" s="1"/>
  <c r="E487" i="8" s="1"/>
  <c r="H487" i="8" s="1"/>
  <c r="A488" i="8"/>
  <c r="B488" i="8" s="1"/>
  <c r="E488" i="8" s="1"/>
  <c r="H488" i="8" s="1"/>
  <c r="A489" i="8"/>
  <c r="B489" i="8" s="1"/>
  <c r="E489" i="8" s="1"/>
  <c r="H489" i="8" s="1"/>
  <c r="A490" i="8"/>
  <c r="B490" i="8" s="1"/>
  <c r="A491" i="8"/>
  <c r="B491" i="8" s="1"/>
  <c r="E491" i="8" s="1"/>
  <c r="H491" i="8" s="1"/>
  <c r="A492" i="8"/>
  <c r="B492" i="8" s="1"/>
  <c r="E492" i="8" s="1"/>
  <c r="H492" i="8" s="1"/>
  <c r="A493" i="8"/>
  <c r="B493" i="8" s="1"/>
  <c r="E493" i="8" s="1"/>
  <c r="H493" i="8" s="1"/>
  <c r="A494" i="8"/>
  <c r="B494" i="8" s="1"/>
  <c r="A495" i="8"/>
  <c r="B495" i="8" s="1"/>
  <c r="A496" i="8"/>
  <c r="B496" i="8" s="1"/>
  <c r="A497" i="8"/>
  <c r="B497" i="8" s="1"/>
  <c r="A498" i="8"/>
  <c r="B498" i="8" s="1"/>
  <c r="A499" i="8"/>
  <c r="B499" i="8" s="1"/>
  <c r="E499" i="8" s="1"/>
  <c r="H499" i="8" s="1"/>
  <c r="A500" i="8"/>
  <c r="B500" i="8" s="1"/>
  <c r="E500" i="8" s="1"/>
  <c r="H500" i="8" s="1"/>
  <c r="A501" i="8"/>
  <c r="B501" i="8" s="1"/>
  <c r="E501" i="8" s="1"/>
  <c r="H501" i="8" s="1"/>
  <c r="A502" i="8"/>
  <c r="B502" i="8" s="1"/>
  <c r="A503" i="8"/>
  <c r="B503" i="8" s="1"/>
  <c r="E503" i="8" s="1"/>
  <c r="H503" i="8" s="1"/>
  <c r="A504" i="8"/>
  <c r="B504" i="8" s="1"/>
  <c r="A505" i="8"/>
  <c r="B505" i="8" s="1"/>
  <c r="E505" i="8" s="1"/>
  <c r="H505" i="8" s="1"/>
  <c r="A506" i="8"/>
  <c r="B506" i="8" s="1"/>
  <c r="A507" i="8"/>
  <c r="B507" i="8" s="1"/>
  <c r="A508" i="8"/>
  <c r="B508" i="8" s="1"/>
  <c r="E508" i="8" s="1"/>
  <c r="H508" i="8" s="1"/>
  <c r="A509" i="8"/>
  <c r="B509" i="8" s="1"/>
  <c r="E509" i="8" s="1"/>
  <c r="H509" i="8" s="1"/>
  <c r="A510" i="8"/>
  <c r="B510" i="8" s="1"/>
  <c r="A511" i="8"/>
  <c r="B511" i="8" s="1"/>
  <c r="E511" i="8" s="1"/>
  <c r="H511" i="8" s="1"/>
  <c r="A512" i="8"/>
  <c r="B512" i="8" s="1"/>
  <c r="E512" i="8" s="1"/>
  <c r="H512" i="8" s="1"/>
  <c r="A513" i="8"/>
  <c r="B513" i="8" s="1"/>
  <c r="D513" i="8" s="1"/>
  <c r="G513" i="8" s="1"/>
  <c r="A514" i="8"/>
  <c r="B514" i="8" s="1"/>
  <c r="E514" i="8" s="1"/>
  <c r="H514" i="8" s="1"/>
  <c r="A515" i="8"/>
  <c r="B515" i="8" s="1"/>
  <c r="E515" i="8" s="1"/>
  <c r="H515" i="8" s="1"/>
  <c r="A516" i="8"/>
  <c r="B516" i="8" s="1"/>
  <c r="E516" i="8" s="1"/>
  <c r="H516" i="8" s="1"/>
  <c r="A517" i="8"/>
  <c r="B517" i="8" s="1"/>
  <c r="D517" i="8" s="1"/>
  <c r="G517" i="8" s="1"/>
  <c r="A518" i="8"/>
  <c r="B518" i="8" s="1"/>
  <c r="A519" i="8"/>
  <c r="B519" i="8" s="1"/>
  <c r="E519" i="8" s="1"/>
  <c r="H519" i="8" s="1"/>
  <c r="A520" i="8"/>
  <c r="B520" i="8" s="1"/>
  <c r="A521" i="8"/>
  <c r="B521" i="8" s="1"/>
  <c r="D521" i="8" s="1"/>
  <c r="G521" i="8" s="1"/>
  <c r="A522" i="8"/>
  <c r="B522" i="8" s="1"/>
  <c r="E522" i="8" s="1"/>
  <c r="H522" i="8" s="1"/>
  <c r="A523" i="8"/>
  <c r="B523" i="8" s="1"/>
  <c r="E523" i="8" s="1"/>
  <c r="H523" i="8" s="1"/>
  <c r="A524" i="8"/>
  <c r="B524" i="8" s="1"/>
  <c r="E524" i="8" s="1"/>
  <c r="H524" i="8" s="1"/>
  <c r="A525" i="8"/>
  <c r="B525" i="8" s="1"/>
  <c r="D525" i="8" s="1"/>
  <c r="G525" i="8" s="1"/>
  <c r="A526" i="8"/>
  <c r="B526" i="8" s="1"/>
  <c r="A527" i="8"/>
  <c r="B527" i="8" s="1"/>
  <c r="E527" i="8" s="1"/>
  <c r="H527" i="8" s="1"/>
  <c r="A528" i="8"/>
  <c r="B528" i="8" s="1"/>
  <c r="A529" i="8"/>
  <c r="B529" i="8" s="1"/>
  <c r="D529" i="8" s="1"/>
  <c r="G529" i="8" s="1"/>
  <c r="A530" i="8"/>
  <c r="B530" i="8" s="1"/>
  <c r="E530" i="8" s="1"/>
  <c r="H530" i="8" s="1"/>
  <c r="A531" i="8"/>
  <c r="B531" i="8" s="1"/>
  <c r="A532" i="8"/>
  <c r="B532" i="8" s="1"/>
  <c r="E532" i="8" s="1"/>
  <c r="H532" i="8" s="1"/>
  <c r="A533" i="8"/>
  <c r="B533" i="8" s="1"/>
  <c r="D533" i="8" s="1"/>
  <c r="G533" i="8" s="1"/>
  <c r="A534" i="8"/>
  <c r="B534" i="8" s="1"/>
  <c r="A535" i="8"/>
  <c r="B535" i="8" s="1"/>
  <c r="E535" i="8" s="1"/>
  <c r="H535" i="8" s="1"/>
  <c r="A536" i="8"/>
  <c r="B536" i="8" s="1"/>
  <c r="A537" i="8"/>
  <c r="B537" i="8" s="1"/>
  <c r="D537" i="8" s="1"/>
  <c r="G537" i="8" s="1"/>
  <c r="A538" i="8"/>
  <c r="B538" i="8" s="1"/>
  <c r="A539" i="8"/>
  <c r="B539" i="8" s="1"/>
  <c r="E539" i="8" s="1"/>
  <c r="H539" i="8" s="1"/>
  <c r="A540" i="8"/>
  <c r="B540" i="8" s="1"/>
  <c r="E540" i="8" s="1"/>
  <c r="H540" i="8" s="1"/>
  <c r="A541" i="8"/>
  <c r="B541" i="8" s="1"/>
  <c r="D541" i="8" s="1"/>
  <c r="G541" i="8" s="1"/>
  <c r="A542" i="8"/>
  <c r="B542" i="8" s="1"/>
  <c r="A543" i="8"/>
  <c r="B543" i="8" s="1"/>
  <c r="E543" i="8" s="1"/>
  <c r="H543" i="8" s="1"/>
  <c r="A544" i="8"/>
  <c r="B544" i="8" s="1"/>
  <c r="A545" i="8"/>
  <c r="B545" i="8" s="1"/>
  <c r="D545" i="8" s="1"/>
  <c r="G545" i="8" s="1"/>
  <c r="A546" i="8"/>
  <c r="B546" i="8" s="1"/>
  <c r="A547" i="8"/>
  <c r="B547" i="8" s="1"/>
  <c r="E547" i="8" s="1"/>
  <c r="H547" i="8" s="1"/>
  <c r="A548" i="8"/>
  <c r="B548" i="8" s="1"/>
  <c r="E548" i="8" s="1"/>
  <c r="H548" i="8" s="1"/>
  <c r="A549" i="8"/>
  <c r="B549" i="8" s="1"/>
  <c r="D549" i="8" s="1"/>
  <c r="G549" i="8" s="1"/>
  <c r="A550" i="8"/>
  <c r="B550" i="8" s="1"/>
  <c r="A551" i="8"/>
  <c r="B551" i="8" s="1"/>
  <c r="E551" i="8" s="1"/>
  <c r="H551" i="8" s="1"/>
  <c r="A552" i="8"/>
  <c r="B552" i="8" s="1"/>
  <c r="A553" i="8"/>
  <c r="B553" i="8" s="1"/>
  <c r="D553" i="8" s="1"/>
  <c r="G553" i="8" s="1"/>
  <c r="A554" i="8"/>
  <c r="B554" i="8" s="1"/>
  <c r="E554" i="8" s="1"/>
  <c r="H554" i="8" s="1"/>
  <c r="A555" i="8"/>
  <c r="B555" i="8" s="1"/>
  <c r="E555" i="8" s="1"/>
  <c r="H555" i="8" s="1"/>
  <c r="A556" i="8"/>
  <c r="B556" i="8" s="1"/>
  <c r="E556" i="8" s="1"/>
  <c r="H556" i="8" s="1"/>
  <c r="A557" i="8"/>
  <c r="B557" i="8" s="1"/>
  <c r="A558" i="8"/>
  <c r="B558" i="8" s="1"/>
  <c r="A559" i="8"/>
  <c r="B559" i="8" s="1"/>
  <c r="E559" i="8" s="1"/>
  <c r="H559" i="8" s="1"/>
  <c r="A560" i="8"/>
  <c r="B560" i="8" s="1"/>
  <c r="A561" i="8"/>
  <c r="B561" i="8" s="1"/>
  <c r="D561" i="8" s="1"/>
  <c r="G561" i="8" s="1"/>
  <c r="A562" i="8"/>
  <c r="B562" i="8" s="1"/>
  <c r="E562" i="8" s="1"/>
  <c r="H562" i="8" s="1"/>
  <c r="A563" i="8"/>
  <c r="B563" i="8" s="1"/>
  <c r="E563" i="8" s="1"/>
  <c r="H563" i="8" s="1"/>
  <c r="A564" i="8"/>
  <c r="B564" i="8" s="1"/>
  <c r="E564" i="8" s="1"/>
  <c r="H564" i="8" s="1"/>
  <c r="A565" i="8"/>
  <c r="B565" i="8" s="1"/>
  <c r="D565" i="8" s="1"/>
  <c r="G565" i="8" s="1"/>
  <c r="A566" i="8"/>
  <c r="B566" i="8" s="1"/>
  <c r="A567" i="8"/>
  <c r="B567" i="8" s="1"/>
  <c r="E567" i="8" s="1"/>
  <c r="H567" i="8" s="1"/>
  <c r="A568" i="8"/>
  <c r="B568" i="8" s="1"/>
  <c r="A569" i="8"/>
  <c r="B569" i="8" s="1"/>
  <c r="A570" i="8"/>
  <c r="B570" i="8" s="1"/>
  <c r="E570" i="8" s="1"/>
  <c r="H570" i="8" s="1"/>
  <c r="A571" i="8"/>
  <c r="B571" i="8" s="1"/>
  <c r="E571" i="8" s="1"/>
  <c r="H571" i="8" s="1"/>
  <c r="A572" i="8"/>
  <c r="B572" i="8" s="1"/>
  <c r="A573" i="8"/>
  <c r="B573" i="8" s="1"/>
  <c r="D573" i="8" s="1"/>
  <c r="G573" i="8" s="1"/>
  <c r="A574" i="8"/>
  <c r="B574" i="8" s="1"/>
  <c r="A575" i="8"/>
  <c r="B575" i="8" s="1"/>
  <c r="A576" i="8"/>
  <c r="B576" i="8" s="1"/>
  <c r="A577" i="8"/>
  <c r="B577" i="8" s="1"/>
  <c r="D577" i="8" s="1"/>
  <c r="G577" i="8" s="1"/>
  <c r="A578" i="8"/>
  <c r="B578" i="8" s="1"/>
  <c r="E578" i="8" s="1"/>
  <c r="H578" i="8" s="1"/>
  <c r="A579" i="8"/>
  <c r="B579" i="8" s="1"/>
  <c r="E579" i="8" s="1"/>
  <c r="H579" i="8" s="1"/>
  <c r="A580" i="8"/>
  <c r="B580" i="8" s="1"/>
  <c r="E580" i="8" s="1"/>
  <c r="H580" i="8" s="1"/>
  <c r="A581" i="8"/>
  <c r="B581" i="8" s="1"/>
  <c r="D581" i="8" s="1"/>
  <c r="G581" i="8" s="1"/>
  <c r="A582" i="8"/>
  <c r="B582" i="8" s="1"/>
  <c r="A583" i="8"/>
  <c r="B583" i="8" s="1"/>
  <c r="E583" i="8" s="1"/>
  <c r="H583" i="8" s="1"/>
  <c r="A584" i="8"/>
  <c r="B584" i="8" s="1"/>
  <c r="A585" i="8"/>
  <c r="B585" i="8" s="1"/>
  <c r="D585" i="8" s="1"/>
  <c r="G585" i="8" s="1"/>
  <c r="A586" i="8"/>
  <c r="B586" i="8" s="1"/>
  <c r="E586" i="8" s="1"/>
  <c r="H586" i="8" s="1"/>
  <c r="A587" i="8"/>
  <c r="B587" i="8" s="1"/>
  <c r="E587" i="8" s="1"/>
  <c r="H587" i="8" s="1"/>
  <c r="A588" i="8"/>
  <c r="B588" i="8" s="1"/>
  <c r="A589" i="8"/>
  <c r="B589" i="8" s="1"/>
  <c r="D589" i="8" s="1"/>
  <c r="G589" i="8" s="1"/>
  <c r="A590" i="8"/>
  <c r="B590" i="8" s="1"/>
  <c r="A591" i="8"/>
  <c r="B591" i="8" s="1"/>
  <c r="E591" i="8" s="1"/>
  <c r="H591" i="8" s="1"/>
  <c r="A592" i="8"/>
  <c r="B592" i="8" s="1"/>
  <c r="A593" i="8"/>
  <c r="B593" i="8" s="1"/>
  <c r="D593" i="8" s="1"/>
  <c r="G593" i="8" s="1"/>
  <c r="A594" i="8"/>
  <c r="B594" i="8" s="1"/>
  <c r="E594" i="8" s="1"/>
  <c r="H594" i="8" s="1"/>
  <c r="A595" i="8"/>
  <c r="B595" i="8" s="1"/>
  <c r="E595" i="8" s="1"/>
  <c r="H595" i="8" s="1"/>
  <c r="A596" i="8"/>
  <c r="B596" i="8" s="1"/>
  <c r="E596" i="8" s="1"/>
  <c r="H596" i="8" s="1"/>
  <c r="A597" i="8"/>
  <c r="B597" i="8" s="1"/>
  <c r="D597" i="8" s="1"/>
  <c r="G597" i="8" s="1"/>
  <c r="A598" i="8"/>
  <c r="B598" i="8" s="1"/>
  <c r="A599" i="8"/>
  <c r="B599" i="8" s="1"/>
  <c r="E599" i="8" s="1"/>
  <c r="H599" i="8" s="1"/>
  <c r="A600" i="8"/>
  <c r="B600" i="8" s="1"/>
  <c r="A601" i="8"/>
  <c r="B601" i="8" s="1"/>
  <c r="D601" i="8" s="1"/>
  <c r="G601" i="8" s="1"/>
  <c r="A602" i="8"/>
  <c r="B602" i="8" s="1"/>
  <c r="E602" i="8" s="1"/>
  <c r="H602" i="8" s="1"/>
  <c r="A603" i="8"/>
  <c r="B603" i="8" s="1"/>
  <c r="E603" i="8" s="1"/>
  <c r="H603" i="8" s="1"/>
  <c r="A604" i="8"/>
  <c r="B604" i="8" s="1"/>
  <c r="C604" i="8" s="1"/>
  <c r="F604" i="8" s="1"/>
  <c r="A605" i="8"/>
  <c r="B605" i="8" s="1"/>
  <c r="D605" i="8" s="1"/>
  <c r="G605" i="8" s="1"/>
  <c r="A606" i="8"/>
  <c r="B606" i="8" s="1"/>
  <c r="A607" i="8"/>
  <c r="B607" i="8" s="1"/>
  <c r="A608" i="8"/>
  <c r="B608" i="8" s="1"/>
  <c r="A609" i="8"/>
  <c r="B609" i="8" s="1"/>
  <c r="D609" i="8" s="1"/>
  <c r="G609" i="8" s="1"/>
  <c r="A610" i="8"/>
  <c r="B610" i="8" s="1"/>
  <c r="E610" i="8" s="1"/>
  <c r="H610" i="8" s="1"/>
  <c r="A611" i="8"/>
  <c r="B611" i="8" s="1"/>
  <c r="E611" i="8" s="1"/>
  <c r="H611" i="8" s="1"/>
  <c r="A612" i="8"/>
  <c r="B612" i="8" s="1"/>
  <c r="E612" i="8" s="1"/>
  <c r="H612" i="8" s="1"/>
  <c r="A613" i="8"/>
  <c r="B613" i="8" s="1"/>
  <c r="D613" i="8" s="1"/>
  <c r="G613" i="8" s="1"/>
  <c r="A614" i="8"/>
  <c r="B614" i="8" s="1"/>
  <c r="A615" i="8"/>
  <c r="B615" i="8" s="1"/>
  <c r="E615" i="8" s="1"/>
  <c r="H615" i="8" s="1"/>
  <c r="A616" i="8"/>
  <c r="B616" i="8" s="1"/>
  <c r="A617" i="8"/>
  <c r="B617" i="8" s="1"/>
  <c r="D617" i="8" s="1"/>
  <c r="G617" i="8" s="1"/>
  <c r="A618" i="8"/>
  <c r="B618" i="8" s="1"/>
  <c r="E618" i="8" s="1"/>
  <c r="H618" i="8" s="1"/>
  <c r="A619" i="8"/>
  <c r="B619" i="8" s="1"/>
  <c r="A620" i="8"/>
  <c r="B620" i="8" s="1"/>
  <c r="D620" i="8" s="1"/>
  <c r="G620" i="8" s="1"/>
  <c r="A621" i="8"/>
  <c r="B621" i="8" s="1"/>
  <c r="A622" i="8"/>
  <c r="B622" i="8" s="1"/>
  <c r="E622" i="8" s="1"/>
  <c r="H622" i="8" s="1"/>
  <c r="A623" i="8"/>
  <c r="B623" i="8" s="1"/>
  <c r="A624" i="8"/>
  <c r="B624" i="8" s="1"/>
  <c r="D624" i="8" s="1"/>
  <c r="G624" i="8" s="1"/>
  <c r="A625" i="8"/>
  <c r="B625" i="8" s="1"/>
  <c r="E625" i="8" s="1"/>
  <c r="H625" i="8" s="1"/>
  <c r="A626" i="8"/>
  <c r="B626" i="8" s="1"/>
  <c r="A627" i="8"/>
  <c r="B627" i="8" s="1"/>
  <c r="A628" i="8"/>
  <c r="B628" i="8" s="1"/>
  <c r="D628" i="8" s="1"/>
  <c r="G628" i="8" s="1"/>
  <c r="A629" i="8"/>
  <c r="B629" i="8" s="1"/>
  <c r="E629" i="8" s="1"/>
  <c r="H629" i="8" s="1"/>
  <c r="A630" i="8"/>
  <c r="B630" i="8" s="1"/>
  <c r="E630" i="8" s="1"/>
  <c r="H630" i="8" s="1"/>
  <c r="A631" i="8"/>
  <c r="B631" i="8" s="1"/>
  <c r="A632" i="8"/>
  <c r="B632" i="8" s="1"/>
  <c r="D632" i="8" s="1"/>
  <c r="G632" i="8" s="1"/>
  <c r="A633" i="8"/>
  <c r="B633" i="8" s="1"/>
  <c r="E633" i="8" s="1"/>
  <c r="H633" i="8" s="1"/>
  <c r="A634" i="8"/>
  <c r="B634" i="8" s="1"/>
  <c r="E634" i="8" s="1"/>
  <c r="H634" i="8" s="1"/>
  <c r="A635" i="8"/>
  <c r="B635" i="8" s="1"/>
  <c r="A636" i="8"/>
  <c r="B636" i="8" s="1"/>
  <c r="D636" i="8" s="1"/>
  <c r="G636" i="8" s="1"/>
  <c r="A637" i="8"/>
  <c r="B637" i="8" s="1"/>
  <c r="E637" i="8" s="1"/>
  <c r="H637" i="8" s="1"/>
  <c r="A638" i="8"/>
  <c r="B638" i="8" s="1"/>
  <c r="E638" i="8" s="1"/>
  <c r="H638" i="8" s="1"/>
  <c r="A639" i="8"/>
  <c r="B639" i="8" s="1"/>
  <c r="A640" i="8"/>
  <c r="B640" i="8" s="1"/>
  <c r="D640" i="8" s="1"/>
  <c r="G640" i="8" s="1"/>
  <c r="A641" i="8"/>
  <c r="B641" i="8" s="1"/>
  <c r="C641" i="8" s="1"/>
  <c r="F641" i="8" s="1"/>
  <c r="A642" i="8"/>
  <c r="B642" i="8" s="1"/>
  <c r="D642" i="8" s="1"/>
  <c r="G642" i="8" s="1"/>
  <c r="A643" i="8"/>
  <c r="B643" i="8" s="1"/>
  <c r="E643" i="8" s="1"/>
  <c r="H643" i="8" s="1"/>
  <c r="A644" i="8"/>
  <c r="B644" i="8" s="1"/>
  <c r="A645" i="8"/>
  <c r="B645" i="8" s="1"/>
  <c r="C645" i="8" s="1"/>
  <c r="F645" i="8" s="1"/>
  <c r="A646" i="8"/>
  <c r="B646" i="8" s="1"/>
  <c r="D646" i="8" s="1"/>
  <c r="G646" i="8" s="1"/>
  <c r="A647" i="8"/>
  <c r="B647" i="8" s="1"/>
  <c r="E647" i="8" s="1"/>
  <c r="H647" i="8" s="1"/>
  <c r="A648" i="8"/>
  <c r="B648" i="8" s="1"/>
  <c r="A649" i="8"/>
  <c r="B649" i="8" s="1"/>
  <c r="C649" i="8" s="1"/>
  <c r="F649" i="8" s="1"/>
  <c r="A650" i="8"/>
  <c r="B650" i="8" s="1"/>
  <c r="D650" i="8" s="1"/>
  <c r="G650" i="8" s="1"/>
  <c r="A651" i="8"/>
  <c r="B651" i="8" s="1"/>
  <c r="E651" i="8" s="1"/>
  <c r="H651" i="8" s="1"/>
  <c r="A652" i="8"/>
  <c r="B652" i="8" s="1"/>
  <c r="A653" i="8"/>
  <c r="B653" i="8" s="1"/>
  <c r="C653" i="8" s="1"/>
  <c r="F653" i="8" s="1"/>
  <c r="A654" i="8"/>
  <c r="B654" i="8" s="1"/>
  <c r="D654" i="8" s="1"/>
  <c r="G654" i="8" s="1"/>
  <c r="A655" i="8"/>
  <c r="B655" i="8" s="1"/>
  <c r="E655" i="8" s="1"/>
  <c r="H655" i="8" s="1"/>
  <c r="A656" i="8"/>
  <c r="B656" i="8" s="1"/>
  <c r="A657" i="8"/>
  <c r="B657" i="8" s="1"/>
  <c r="C657" i="8" s="1"/>
  <c r="F657" i="8" s="1"/>
  <c r="A658" i="8"/>
  <c r="B658" i="8" s="1"/>
  <c r="D658" i="8" s="1"/>
  <c r="G658" i="8" s="1"/>
  <c r="A659" i="8"/>
  <c r="B659" i="8" s="1"/>
  <c r="E659" i="8" s="1"/>
  <c r="H659" i="8" s="1"/>
  <c r="A660" i="8"/>
  <c r="B660" i="8" s="1"/>
  <c r="A661" i="8"/>
  <c r="B661" i="8" s="1"/>
  <c r="C661" i="8" s="1"/>
  <c r="F661" i="8" s="1"/>
  <c r="A662" i="8"/>
  <c r="B662" i="8" s="1"/>
  <c r="D662" i="8" s="1"/>
  <c r="G662" i="8" s="1"/>
  <c r="A663" i="8"/>
  <c r="B663" i="8" s="1"/>
  <c r="E663" i="8" s="1"/>
  <c r="H663" i="8" s="1"/>
  <c r="A664" i="8"/>
  <c r="B664" i="8" s="1"/>
  <c r="A665" i="8"/>
  <c r="B665" i="8" s="1"/>
  <c r="C665" i="8" s="1"/>
  <c r="F665" i="8" s="1"/>
  <c r="A666" i="8"/>
  <c r="B666" i="8" s="1"/>
  <c r="D666" i="8" s="1"/>
  <c r="G666" i="8" s="1"/>
  <c r="A667" i="8"/>
  <c r="B667" i="8" s="1"/>
  <c r="E667" i="8" s="1"/>
  <c r="H667" i="8" s="1"/>
  <c r="A668" i="8"/>
  <c r="B668" i="8" s="1"/>
  <c r="A669" i="8"/>
  <c r="B669" i="8" s="1"/>
  <c r="C669" i="8" s="1"/>
  <c r="F669" i="8" s="1"/>
  <c r="A670" i="8"/>
  <c r="B670" i="8" s="1"/>
  <c r="D670" i="8" s="1"/>
  <c r="G670" i="8" s="1"/>
  <c r="E152" i="4"/>
  <c r="F152" i="4" s="1"/>
  <c r="E153" i="4"/>
  <c r="F153" i="4" s="1"/>
  <c r="E154" i="4"/>
  <c r="F154" i="4" s="1"/>
  <c r="D155" i="4"/>
  <c r="E155" i="4"/>
  <c r="F155" i="4" s="1"/>
  <c r="E156" i="4"/>
  <c r="F156" i="4" s="1"/>
  <c r="D157" i="4"/>
  <c r="E157" i="4"/>
  <c r="F157" i="4" s="1"/>
  <c r="E158" i="4"/>
  <c r="F158" i="4" s="1"/>
  <c r="E159" i="4"/>
  <c r="F159" i="4" s="1"/>
  <c r="E160" i="4"/>
  <c r="F160" i="4" s="1"/>
  <c r="D161" i="4"/>
  <c r="E161" i="4"/>
  <c r="F161" i="4" s="1"/>
  <c r="E162" i="4"/>
  <c r="F162" i="4" s="1"/>
  <c r="D163" i="4"/>
  <c r="E163" i="4"/>
  <c r="F163" i="4" s="1"/>
  <c r="D164" i="4"/>
  <c r="E164" i="4"/>
  <c r="F164" i="4" s="1"/>
  <c r="E165" i="4"/>
  <c r="F165" i="4" s="1"/>
  <c r="E166" i="4"/>
  <c r="F166" i="4" s="1"/>
  <c r="D167" i="4"/>
  <c r="E167" i="4"/>
  <c r="F167" i="4" s="1"/>
  <c r="E168" i="4"/>
  <c r="F168" i="4" s="1"/>
  <c r="D169" i="4"/>
  <c r="E169" i="4"/>
  <c r="F169" i="4" s="1"/>
  <c r="E170" i="4"/>
  <c r="F170" i="4" s="1"/>
  <c r="E171" i="4"/>
  <c r="F171" i="4" s="1"/>
  <c r="D172" i="4"/>
  <c r="E172" i="4"/>
  <c r="F172" i="4" s="1"/>
  <c r="E173" i="4"/>
  <c r="F173" i="4" s="1"/>
  <c r="E174" i="4"/>
  <c r="F174" i="4" s="1"/>
  <c r="D175" i="4"/>
  <c r="E175" i="4"/>
  <c r="F175" i="4" s="1"/>
  <c r="D176" i="4"/>
  <c r="E176" i="4"/>
  <c r="F176" i="4" s="1"/>
  <c r="E177" i="4"/>
  <c r="F177" i="4" s="1"/>
  <c r="E178" i="4"/>
  <c r="F178" i="4" s="1"/>
  <c r="E179" i="4"/>
  <c r="F179" i="4" s="1"/>
  <c r="E180" i="4"/>
  <c r="F180" i="4" s="1"/>
  <c r="D181" i="4"/>
  <c r="E181" i="4"/>
  <c r="F181" i="4" s="1"/>
  <c r="E182" i="4"/>
  <c r="F182" i="4" s="1"/>
  <c r="E183" i="4"/>
  <c r="F183" i="4" s="1"/>
  <c r="E184" i="4"/>
  <c r="F184" i="4" s="1"/>
  <c r="D185" i="4"/>
  <c r="E185" i="4"/>
  <c r="F185" i="4" s="1"/>
  <c r="E186" i="4"/>
  <c r="F186" i="4" s="1"/>
  <c r="D187" i="4"/>
  <c r="E187" i="4"/>
  <c r="F187" i="4" s="1"/>
  <c r="E188" i="4"/>
  <c r="F188" i="4" s="1"/>
  <c r="E189" i="4"/>
  <c r="F189" i="4" s="1"/>
  <c r="E190" i="4"/>
  <c r="F190" i="4" s="1"/>
  <c r="D191" i="4"/>
  <c r="E191" i="4"/>
  <c r="F191" i="4" s="1"/>
  <c r="E192" i="4"/>
  <c r="F192" i="4" s="1"/>
  <c r="D193" i="4"/>
  <c r="E193" i="4"/>
  <c r="F193" i="4" s="1"/>
  <c r="E194" i="4"/>
  <c r="F194" i="4" s="1"/>
  <c r="E195" i="4"/>
  <c r="F195" i="4" s="1"/>
  <c r="E196" i="4"/>
  <c r="F196" i="4" s="1"/>
  <c r="E197" i="4"/>
  <c r="F197" i="4" s="1"/>
  <c r="E198" i="4"/>
  <c r="F198" i="4" s="1"/>
  <c r="D199" i="4"/>
  <c r="E199" i="4"/>
  <c r="F199" i="4" s="1"/>
  <c r="E200" i="4"/>
  <c r="F200" i="4" s="1"/>
  <c r="E201" i="4"/>
  <c r="F201" i="4" s="1"/>
  <c r="E202" i="4"/>
  <c r="F202" i="4" s="1"/>
  <c r="D203" i="4"/>
  <c r="E203" i="4"/>
  <c r="F203" i="4" s="1"/>
  <c r="E204" i="4"/>
  <c r="F204" i="4" s="1"/>
  <c r="D205" i="4"/>
  <c r="E205" i="4"/>
  <c r="F205" i="4" s="1"/>
  <c r="D206" i="4"/>
  <c r="E206" i="4"/>
  <c r="F206" i="4" s="1"/>
  <c r="E207" i="4"/>
  <c r="F207" i="4" s="1"/>
  <c r="E208" i="4"/>
  <c r="F208" i="4" s="1"/>
  <c r="D209" i="4"/>
  <c r="E209" i="4"/>
  <c r="F209" i="4" s="1"/>
  <c r="E210" i="4"/>
  <c r="F210" i="4" s="1"/>
  <c r="D211" i="4"/>
  <c r="E211" i="4"/>
  <c r="F211" i="4" s="1"/>
  <c r="E212" i="4"/>
  <c r="F212" i="4" s="1"/>
  <c r="E213" i="4"/>
  <c r="F213" i="4" s="1"/>
  <c r="E214" i="4"/>
  <c r="F214" i="4" s="1"/>
  <c r="D215" i="4"/>
  <c r="E215" i="4"/>
  <c r="F215" i="4" s="1"/>
  <c r="E216" i="4"/>
  <c r="F216" i="4" s="1"/>
  <c r="D217" i="4"/>
  <c r="E217" i="4"/>
  <c r="F217" i="4" s="1"/>
  <c r="E218" i="4"/>
  <c r="F218" i="4" s="1"/>
  <c r="E219" i="4"/>
  <c r="F219" i="4" s="1"/>
  <c r="D220" i="4"/>
  <c r="E220" i="4"/>
  <c r="F220" i="4" s="1"/>
  <c r="D221" i="4"/>
  <c r="E221" i="4"/>
  <c r="F221" i="4" s="1"/>
  <c r="E222" i="4"/>
  <c r="F222" i="4" s="1"/>
  <c r="D223" i="4"/>
  <c r="E223" i="4"/>
  <c r="F223" i="4" s="1"/>
  <c r="E224" i="4"/>
  <c r="F224" i="4" s="1"/>
  <c r="E225" i="4"/>
  <c r="F225" i="4" s="1"/>
  <c r="E226" i="4"/>
  <c r="F226" i="4" s="1"/>
  <c r="D227" i="4"/>
  <c r="E227" i="4"/>
  <c r="F227" i="4" s="1"/>
  <c r="E228" i="4"/>
  <c r="F228" i="4" s="1"/>
  <c r="D229" i="4"/>
  <c r="E229" i="4"/>
  <c r="F229" i="4" s="1"/>
  <c r="E230" i="4"/>
  <c r="F230" i="4" s="1"/>
  <c r="E231" i="4"/>
  <c r="F231" i="4" s="1"/>
  <c r="E232" i="4"/>
  <c r="F232" i="4" s="1"/>
  <c r="D233" i="4"/>
  <c r="E233" i="4"/>
  <c r="F233" i="4" s="1"/>
  <c r="E234" i="4"/>
  <c r="F234" i="4" s="1"/>
  <c r="D235" i="4"/>
  <c r="E235" i="4"/>
  <c r="F235" i="4" s="1"/>
  <c r="D236" i="4"/>
  <c r="E236" i="4"/>
  <c r="F236" i="4" s="1"/>
  <c r="E237" i="4"/>
  <c r="F237" i="4" s="1"/>
  <c r="E238" i="4"/>
  <c r="F238" i="4" s="1"/>
  <c r="D239" i="4"/>
  <c r="E239" i="4"/>
  <c r="F239" i="4" s="1"/>
  <c r="E240" i="4"/>
  <c r="F240" i="4" s="1"/>
  <c r="D241" i="4"/>
  <c r="E241" i="4"/>
  <c r="F241" i="4" s="1"/>
  <c r="D242" i="4"/>
  <c r="E242" i="4"/>
  <c r="F242" i="4" s="1"/>
  <c r="E243" i="4"/>
  <c r="F243" i="4" s="1"/>
  <c r="E244" i="4"/>
  <c r="F244" i="4" s="1"/>
  <c r="D245" i="4"/>
  <c r="E245" i="4"/>
  <c r="F245" i="4" s="1"/>
  <c r="E246" i="4"/>
  <c r="F246" i="4" s="1"/>
  <c r="D247" i="4"/>
  <c r="E247" i="4"/>
  <c r="F247" i="4" s="1"/>
  <c r="D248" i="4"/>
  <c r="E248" i="4"/>
  <c r="F248" i="4" s="1"/>
  <c r="E249" i="4"/>
  <c r="F249" i="4" s="1"/>
  <c r="D250" i="4"/>
  <c r="E250" i="4"/>
  <c r="F250" i="4" s="1"/>
  <c r="D251" i="4"/>
  <c r="E251" i="4"/>
  <c r="F251" i="4" s="1"/>
  <c r="E252" i="4"/>
  <c r="F252" i="4" s="1"/>
  <c r="D253" i="4"/>
  <c r="E253" i="4"/>
  <c r="F253" i="4" s="1"/>
  <c r="E254" i="4"/>
  <c r="F254" i="4" s="1"/>
  <c r="E255" i="4"/>
  <c r="F255" i="4" s="1"/>
  <c r="D256" i="4"/>
  <c r="E256" i="4"/>
  <c r="F256" i="4" s="1"/>
  <c r="D257" i="4"/>
  <c r="E257" i="4"/>
  <c r="F257" i="4" s="1"/>
  <c r="E258" i="4"/>
  <c r="F258" i="4" s="1"/>
  <c r="D259" i="4"/>
  <c r="E259" i="4"/>
  <c r="F259" i="4" s="1"/>
  <c r="E260" i="4"/>
  <c r="F260" i="4" s="1"/>
  <c r="E261" i="4"/>
  <c r="F261" i="4" s="1"/>
  <c r="D262" i="4"/>
  <c r="AD262" i="4" s="1"/>
  <c r="E262" i="4"/>
  <c r="F262" i="4" s="1"/>
  <c r="D263" i="4"/>
  <c r="AD263" i="4" s="1"/>
  <c r="E263" i="4"/>
  <c r="F263" i="4" s="1"/>
  <c r="E264" i="4"/>
  <c r="F264" i="4" s="1"/>
  <c r="D265" i="4"/>
  <c r="AD265" i="4" s="1"/>
  <c r="E265" i="4"/>
  <c r="F265" i="4" s="1"/>
  <c r="E266" i="4"/>
  <c r="F266" i="4" s="1"/>
  <c r="E267" i="4"/>
  <c r="F267" i="4" s="1"/>
  <c r="D268" i="4"/>
  <c r="AD268" i="4" s="1"/>
  <c r="E268" i="4"/>
  <c r="F268" i="4" s="1"/>
  <c r="D269" i="4"/>
  <c r="AD269" i="4" s="1"/>
  <c r="E269" i="4"/>
  <c r="F269" i="4" s="1"/>
  <c r="E270" i="4"/>
  <c r="F270" i="4" s="1"/>
  <c r="D271" i="4"/>
  <c r="AD271" i="4" s="1"/>
  <c r="E271" i="4"/>
  <c r="F271" i="4" s="1"/>
  <c r="E272" i="4"/>
  <c r="F272" i="4" s="1"/>
  <c r="E273" i="4"/>
  <c r="F273" i="4" s="1"/>
  <c r="E274" i="4"/>
  <c r="F274" i="4" s="1"/>
  <c r="D275" i="4"/>
  <c r="AD275" i="4" s="1"/>
  <c r="E275" i="4"/>
  <c r="F275" i="4" s="1"/>
  <c r="E276" i="4"/>
  <c r="F276" i="4" s="1"/>
  <c r="D277" i="4"/>
  <c r="AD277" i="4" s="1"/>
  <c r="E277" i="4"/>
  <c r="F277" i="4" s="1"/>
  <c r="D278" i="4"/>
  <c r="AD278" i="4" s="1"/>
  <c r="E278" i="4"/>
  <c r="F278" i="4" s="1"/>
  <c r="E279" i="4"/>
  <c r="F279" i="4" s="1"/>
  <c r="E280" i="4"/>
  <c r="F280" i="4" s="1"/>
  <c r="D281" i="4"/>
  <c r="AD281" i="4" s="1"/>
  <c r="E281" i="4"/>
  <c r="F281" i="4" s="1"/>
  <c r="E282" i="4"/>
  <c r="F282" i="4" s="1"/>
  <c r="D283" i="4"/>
  <c r="AD283" i="4" s="1"/>
  <c r="E283" i="4"/>
  <c r="F283" i="4" s="1"/>
  <c r="D284" i="4"/>
  <c r="AD284" i="4" s="1"/>
  <c r="E284" i="4"/>
  <c r="F284" i="4" s="1"/>
  <c r="E285" i="4"/>
  <c r="F285" i="4" s="1"/>
  <c r="D286" i="4"/>
  <c r="AD286" i="4" s="1"/>
  <c r="E286" i="4"/>
  <c r="F286" i="4" s="1"/>
  <c r="D287" i="4"/>
  <c r="AD287" i="4" s="1"/>
  <c r="E287" i="4"/>
  <c r="F287" i="4" s="1"/>
  <c r="E288" i="4"/>
  <c r="F288" i="4" s="1"/>
  <c r="D289" i="4"/>
  <c r="AD289" i="4" s="1"/>
  <c r="E289" i="4"/>
  <c r="F289" i="4" s="1"/>
  <c r="E290" i="4"/>
  <c r="F290" i="4" s="1"/>
  <c r="E291" i="4"/>
  <c r="F291" i="4" s="1"/>
  <c r="D292" i="4"/>
  <c r="AD292" i="4" s="1"/>
  <c r="E292" i="4"/>
  <c r="F292" i="4" s="1"/>
  <c r="D293" i="4"/>
  <c r="AD293" i="4" s="1"/>
  <c r="E293" i="4"/>
  <c r="F293" i="4" s="1"/>
  <c r="E294" i="4"/>
  <c r="F294" i="4" s="1"/>
  <c r="D295" i="4"/>
  <c r="AD295" i="4" s="1"/>
  <c r="E295" i="4"/>
  <c r="F295" i="4" s="1"/>
  <c r="E296" i="4"/>
  <c r="F296" i="4" s="1"/>
  <c r="E297" i="4"/>
  <c r="F297" i="4" s="1"/>
  <c r="D298" i="4"/>
  <c r="AD298" i="4" s="1"/>
  <c r="E298" i="4"/>
  <c r="F298" i="4" s="1"/>
  <c r="D299" i="4"/>
  <c r="AD299" i="4" s="1"/>
  <c r="E299" i="4"/>
  <c r="F299" i="4" s="1"/>
  <c r="E300" i="4"/>
  <c r="F300" i="4" s="1"/>
  <c r="D301" i="4"/>
  <c r="AD301" i="4" s="1"/>
  <c r="E301" i="4"/>
  <c r="F301" i="4" s="1"/>
  <c r="E302" i="4"/>
  <c r="F302" i="4" s="1"/>
  <c r="E303" i="4"/>
  <c r="F303" i="4" s="1"/>
  <c r="D304" i="4"/>
  <c r="AD304" i="4" s="1"/>
  <c r="E304" i="4"/>
  <c r="F304" i="4" s="1"/>
  <c r="D305" i="4"/>
  <c r="AD305" i="4" s="1"/>
  <c r="E305" i="4"/>
  <c r="F305" i="4" s="1"/>
  <c r="E306" i="4"/>
  <c r="F306" i="4" s="1"/>
  <c r="D307" i="4"/>
  <c r="AD307" i="4" s="1"/>
  <c r="E307" i="4"/>
  <c r="F307" i="4" s="1"/>
  <c r="D308" i="4"/>
  <c r="AD308" i="4" s="1"/>
  <c r="E308" i="4"/>
  <c r="F308" i="4" s="1"/>
  <c r="E309" i="4"/>
  <c r="F309" i="4" s="1"/>
  <c r="D310" i="4"/>
  <c r="AD310" i="4" s="1"/>
  <c r="E310" i="4"/>
  <c r="F310" i="4" s="1"/>
  <c r="D311" i="4"/>
  <c r="AD311" i="4" s="1"/>
  <c r="E311" i="4"/>
  <c r="F311" i="4" s="1"/>
  <c r="E312" i="4"/>
  <c r="F312" i="4" s="1"/>
  <c r="D313" i="4"/>
  <c r="AD313" i="4" s="1"/>
  <c r="E313" i="4"/>
  <c r="F313" i="4" s="1"/>
  <c r="E314" i="4"/>
  <c r="F314" i="4" s="1"/>
  <c r="E315" i="4"/>
  <c r="F315" i="4" s="1"/>
  <c r="D316" i="4"/>
  <c r="AD316" i="4" s="1"/>
  <c r="E316" i="4"/>
  <c r="F316" i="4" s="1"/>
  <c r="D317" i="4"/>
  <c r="AD317" i="4" s="1"/>
  <c r="E317" i="4"/>
  <c r="F317" i="4" s="1"/>
  <c r="E318" i="4"/>
  <c r="F318" i="4" s="1"/>
  <c r="D319" i="4"/>
  <c r="AD319" i="4" s="1"/>
  <c r="E319" i="4"/>
  <c r="F319" i="4" s="1"/>
  <c r="E320" i="4"/>
  <c r="F320" i="4" s="1"/>
  <c r="E321" i="4"/>
  <c r="F321" i="4" s="1"/>
  <c r="D322" i="4"/>
  <c r="AD322" i="4" s="1"/>
  <c r="E322" i="4"/>
  <c r="F322" i="4" s="1"/>
  <c r="D323" i="4"/>
  <c r="AD323" i="4" s="1"/>
  <c r="E323" i="4"/>
  <c r="F323" i="4" s="1"/>
  <c r="E324" i="4"/>
  <c r="F324" i="4" s="1"/>
  <c r="D325" i="4"/>
  <c r="AD325" i="4" s="1"/>
  <c r="E325" i="4"/>
  <c r="F325" i="4" s="1"/>
  <c r="D326" i="4"/>
  <c r="AD326" i="4" s="1"/>
  <c r="E326" i="4"/>
  <c r="F326" i="4" s="1"/>
  <c r="E327" i="4"/>
  <c r="F327" i="4" s="1"/>
  <c r="D328" i="4"/>
  <c r="AD328" i="4" s="1"/>
  <c r="E328" i="4"/>
  <c r="F328" i="4" s="1"/>
  <c r="D329" i="4"/>
  <c r="AD329" i="4" s="1"/>
  <c r="E329" i="4"/>
  <c r="F329" i="4" s="1"/>
  <c r="E330" i="4"/>
  <c r="F330" i="4" s="1"/>
  <c r="D331" i="4"/>
  <c r="AD331" i="4" s="1"/>
  <c r="E331" i="4"/>
  <c r="F331" i="4" s="1"/>
  <c r="E332" i="4"/>
  <c r="F332" i="4" s="1"/>
  <c r="E333" i="4"/>
  <c r="F333" i="4" s="1"/>
  <c r="D334" i="4"/>
  <c r="AD334" i="4" s="1"/>
  <c r="E334" i="4"/>
  <c r="F334" i="4" s="1"/>
  <c r="D335" i="4"/>
  <c r="AD335" i="4" s="1"/>
  <c r="E335" i="4"/>
  <c r="F335" i="4" s="1"/>
  <c r="E336" i="4"/>
  <c r="F336" i="4" s="1"/>
  <c r="D337" i="4"/>
  <c r="AD337" i="4" s="1"/>
  <c r="E337" i="4"/>
  <c r="F337" i="4" s="1"/>
  <c r="E338" i="4"/>
  <c r="F338" i="4" s="1"/>
  <c r="E339" i="4"/>
  <c r="F339" i="4" s="1"/>
  <c r="D340" i="4"/>
  <c r="AD340" i="4" s="1"/>
  <c r="E340" i="4"/>
  <c r="F340" i="4" s="1"/>
  <c r="D341" i="4"/>
  <c r="AD341" i="4" s="1"/>
  <c r="E341" i="4"/>
  <c r="F341" i="4" s="1"/>
  <c r="E342" i="4"/>
  <c r="F342" i="4" s="1"/>
  <c r="D343" i="4"/>
  <c r="AD343" i="4" s="1"/>
  <c r="E343" i="4"/>
  <c r="F343" i="4" s="1"/>
  <c r="D344" i="4"/>
  <c r="AD344" i="4" s="1"/>
  <c r="E344" i="4"/>
  <c r="F344" i="4" s="1"/>
  <c r="E345" i="4"/>
  <c r="F345" i="4" s="1"/>
  <c r="D346" i="4"/>
  <c r="AD346" i="4" s="1"/>
  <c r="E346" i="4"/>
  <c r="F346" i="4" s="1"/>
  <c r="D347" i="4"/>
  <c r="AD347" i="4" s="1"/>
  <c r="E347" i="4"/>
  <c r="F347" i="4" s="1"/>
  <c r="D348" i="4"/>
  <c r="AD348" i="4" s="1"/>
  <c r="E348" i="4"/>
  <c r="F348" i="4" s="1"/>
  <c r="D349" i="4"/>
  <c r="AD349" i="4" s="1"/>
  <c r="E349" i="4"/>
  <c r="F349" i="4" s="1"/>
  <c r="D350" i="4"/>
  <c r="AD350" i="4" s="1"/>
  <c r="E350" i="4"/>
  <c r="F350" i="4" s="1"/>
  <c r="E351" i="4"/>
  <c r="F351" i="4" s="1"/>
  <c r="D352" i="4"/>
  <c r="AD352" i="4" s="1"/>
  <c r="E352" i="4"/>
  <c r="F352" i="4" s="1"/>
  <c r="D353" i="4"/>
  <c r="AD353" i="4" s="1"/>
  <c r="E353" i="4"/>
  <c r="F353" i="4" s="1"/>
  <c r="E354" i="4"/>
  <c r="F354" i="4" s="1"/>
  <c r="D355" i="4"/>
  <c r="AD355" i="4" s="1"/>
  <c r="E355" i="4"/>
  <c r="F355" i="4" s="1"/>
  <c r="D356" i="4"/>
  <c r="AD356" i="4" s="1"/>
  <c r="E356" i="4"/>
  <c r="F356" i="4" s="1"/>
  <c r="E357" i="4"/>
  <c r="F357" i="4" s="1"/>
  <c r="D358" i="4"/>
  <c r="AD358" i="4" s="1"/>
  <c r="E358" i="4"/>
  <c r="F358" i="4" s="1"/>
  <c r="D359" i="4"/>
  <c r="AD359" i="4" s="1"/>
  <c r="E359" i="4"/>
  <c r="F359" i="4" s="1"/>
  <c r="E360" i="4"/>
  <c r="F360" i="4" s="1"/>
  <c r="D361" i="4"/>
  <c r="AD361" i="4" s="1"/>
  <c r="E361" i="4"/>
  <c r="F361" i="4" s="1"/>
  <c r="D362" i="4"/>
  <c r="AD362" i="4" s="1"/>
  <c r="E362" i="4"/>
  <c r="F362" i="4" s="1"/>
  <c r="E363" i="4"/>
  <c r="F363" i="4" s="1"/>
  <c r="E364" i="4"/>
  <c r="F364" i="4" s="1"/>
  <c r="D365" i="4"/>
  <c r="AD365" i="4" s="1"/>
  <c r="E365" i="4"/>
  <c r="F365" i="4" s="1"/>
  <c r="E366" i="4"/>
  <c r="F366" i="4" s="1"/>
  <c r="D367" i="4"/>
  <c r="AD367" i="4" s="1"/>
  <c r="E367" i="4"/>
  <c r="F367" i="4" s="1"/>
  <c r="D368" i="4"/>
  <c r="AD368" i="4" s="1"/>
  <c r="E368" i="4"/>
  <c r="F368" i="4" s="1"/>
  <c r="E369" i="4"/>
  <c r="F369" i="4" s="1"/>
  <c r="D370" i="4"/>
  <c r="AD370" i="4" s="1"/>
  <c r="E370" i="4"/>
  <c r="F370" i="4" s="1"/>
  <c r="D371" i="4"/>
  <c r="AD371" i="4" s="1"/>
  <c r="E371" i="4"/>
  <c r="F371" i="4" s="1"/>
  <c r="E372" i="4"/>
  <c r="F372" i="4" s="1"/>
  <c r="D373" i="4"/>
  <c r="AD373" i="4" s="1"/>
  <c r="E373" i="4"/>
  <c r="F373" i="4" s="1"/>
  <c r="D374" i="4"/>
  <c r="AD374" i="4" s="1"/>
  <c r="E374" i="4"/>
  <c r="F374" i="4" s="1"/>
  <c r="E375" i="4"/>
  <c r="F375" i="4" s="1"/>
  <c r="D376" i="4"/>
  <c r="AD376" i="4" s="1"/>
  <c r="E376" i="4"/>
  <c r="F376" i="4" s="1"/>
  <c r="D377" i="4"/>
  <c r="AD377" i="4" s="1"/>
  <c r="E377" i="4"/>
  <c r="F377" i="4" s="1"/>
  <c r="E378" i="4"/>
  <c r="F378" i="4" s="1"/>
  <c r="D379" i="4"/>
  <c r="AD379" i="4" s="1"/>
  <c r="E379" i="4"/>
  <c r="F379" i="4" s="1"/>
  <c r="D380" i="4"/>
  <c r="AD380" i="4" s="1"/>
  <c r="E380" i="4"/>
  <c r="F380" i="4" s="1"/>
  <c r="E381" i="4"/>
  <c r="F381" i="4" s="1"/>
  <c r="E382" i="4"/>
  <c r="F382" i="4" s="1"/>
  <c r="D383" i="4"/>
  <c r="AD383" i="4" s="1"/>
  <c r="E383" i="4"/>
  <c r="F383" i="4" s="1"/>
  <c r="E384" i="4"/>
  <c r="F384" i="4" s="1"/>
  <c r="D385" i="4"/>
  <c r="AD385" i="4" s="1"/>
  <c r="E385" i="4"/>
  <c r="F385" i="4" s="1"/>
  <c r="D386" i="4"/>
  <c r="AD386" i="4" s="1"/>
  <c r="E386" i="4"/>
  <c r="F386" i="4" s="1"/>
  <c r="E387" i="4"/>
  <c r="F387" i="4" s="1"/>
  <c r="D388" i="4"/>
  <c r="AD388" i="4" s="1"/>
  <c r="E388" i="4"/>
  <c r="F388" i="4" s="1"/>
  <c r="D389" i="4"/>
  <c r="AD389" i="4" s="1"/>
  <c r="E389" i="4"/>
  <c r="F389" i="4" s="1"/>
  <c r="D390" i="4"/>
  <c r="AD390" i="4" s="1"/>
  <c r="E390" i="4"/>
  <c r="F390" i="4" s="1"/>
  <c r="D391" i="4"/>
  <c r="AD391" i="4" s="1"/>
  <c r="E391" i="4"/>
  <c r="F391" i="4" s="1"/>
  <c r="E392" i="4"/>
  <c r="F392" i="4" s="1"/>
  <c r="E393" i="4"/>
  <c r="F393" i="4" s="1"/>
  <c r="D394" i="4"/>
  <c r="AD394" i="4" s="1"/>
  <c r="E394" i="4"/>
  <c r="F394" i="4" s="1"/>
  <c r="D395" i="4"/>
  <c r="AD395" i="4" s="1"/>
  <c r="E395" i="4"/>
  <c r="F395" i="4" s="1"/>
  <c r="E396" i="4"/>
  <c r="F396" i="4" s="1"/>
  <c r="D397" i="4"/>
  <c r="AD397" i="4" s="1"/>
  <c r="E397" i="4"/>
  <c r="F397" i="4" s="1"/>
  <c r="E398" i="4"/>
  <c r="F398" i="4" s="1"/>
  <c r="E399" i="4"/>
  <c r="F399" i="4" s="1"/>
  <c r="D400" i="4"/>
  <c r="AD400" i="4" s="1"/>
  <c r="E400" i="4"/>
  <c r="F400" i="4" s="1"/>
  <c r="D401" i="4"/>
  <c r="AD401" i="4" s="1"/>
  <c r="E401" i="4"/>
  <c r="F401" i="4" s="1"/>
  <c r="E402" i="4"/>
  <c r="F402" i="4" s="1"/>
  <c r="D403" i="4"/>
  <c r="AD403" i="4" s="1"/>
  <c r="E403" i="4"/>
  <c r="F403" i="4" s="1"/>
  <c r="D404" i="4"/>
  <c r="AD404" i="4" s="1"/>
  <c r="E404" i="4"/>
  <c r="F404" i="4" s="1"/>
  <c r="E405" i="4"/>
  <c r="F405" i="4" s="1"/>
  <c r="D406" i="4"/>
  <c r="AD406" i="4" s="1"/>
  <c r="E406" i="4"/>
  <c r="F406" i="4" s="1"/>
  <c r="D407" i="4"/>
  <c r="AD407" i="4" s="1"/>
  <c r="E407" i="4"/>
  <c r="F407" i="4" s="1"/>
  <c r="E408" i="4"/>
  <c r="F408" i="4" s="1"/>
  <c r="D409" i="4"/>
  <c r="AD409" i="4" s="1"/>
  <c r="E409" i="4"/>
  <c r="F409" i="4" s="1"/>
  <c r="D410" i="4"/>
  <c r="AD410" i="4" s="1"/>
  <c r="E410" i="4"/>
  <c r="F410" i="4" s="1"/>
  <c r="E411" i="4"/>
  <c r="F411" i="4" s="1"/>
  <c r="D412" i="4"/>
  <c r="AD412" i="4" s="1"/>
  <c r="E412" i="4"/>
  <c r="F412" i="4" s="1"/>
  <c r="D413" i="4"/>
  <c r="AD413" i="4" s="1"/>
  <c r="E413" i="4"/>
  <c r="F413" i="4" s="1"/>
  <c r="E414" i="4"/>
  <c r="F414" i="4" s="1"/>
  <c r="D415" i="4"/>
  <c r="AD415" i="4" s="1"/>
  <c r="E415" i="4"/>
  <c r="F415" i="4" s="1"/>
  <c r="D416" i="4"/>
  <c r="AD416" i="4" s="1"/>
  <c r="E416" i="4"/>
  <c r="F416" i="4" s="1"/>
  <c r="E417" i="4"/>
  <c r="F417" i="4" s="1"/>
  <c r="D418" i="4"/>
  <c r="AD418" i="4" s="1"/>
  <c r="E418" i="4"/>
  <c r="F418" i="4" s="1"/>
  <c r="D419" i="4"/>
  <c r="AD419" i="4" s="1"/>
  <c r="E419" i="4"/>
  <c r="F419" i="4" s="1"/>
  <c r="E420" i="4"/>
  <c r="F420" i="4" s="1"/>
  <c r="D421" i="4"/>
  <c r="AD421" i="4" s="1"/>
  <c r="E421" i="4"/>
  <c r="F421" i="4" s="1"/>
  <c r="D422" i="4"/>
  <c r="AD422" i="4" s="1"/>
  <c r="E422" i="4"/>
  <c r="F422" i="4" s="1"/>
  <c r="E423" i="4"/>
  <c r="F423" i="4" s="1"/>
  <c r="D424" i="4"/>
  <c r="AD424" i="4" s="1"/>
  <c r="E424" i="4"/>
  <c r="F424" i="4" s="1"/>
  <c r="D425" i="4"/>
  <c r="AD425" i="4" s="1"/>
  <c r="E425" i="4"/>
  <c r="F425" i="4" s="1"/>
  <c r="E426" i="4"/>
  <c r="F426" i="4" s="1"/>
  <c r="D427" i="4"/>
  <c r="AD427" i="4" s="1"/>
  <c r="E427" i="4"/>
  <c r="F427" i="4" s="1"/>
  <c r="D428" i="4"/>
  <c r="AD428" i="4" s="1"/>
  <c r="E428" i="4"/>
  <c r="F428" i="4" s="1"/>
  <c r="E429" i="4"/>
  <c r="F429" i="4" s="1"/>
  <c r="D430" i="4"/>
  <c r="AD430" i="4" s="1"/>
  <c r="E430" i="4"/>
  <c r="F430" i="4" s="1"/>
  <c r="D431" i="4"/>
  <c r="AD431" i="4" s="1"/>
  <c r="E431" i="4"/>
  <c r="F431" i="4" s="1"/>
  <c r="E432" i="4"/>
  <c r="F432" i="4" s="1"/>
  <c r="D433" i="4"/>
  <c r="AD433" i="4" s="1"/>
  <c r="E433" i="4"/>
  <c r="F433" i="4" s="1"/>
  <c r="D434" i="4"/>
  <c r="AD434" i="4" s="1"/>
  <c r="E434" i="4"/>
  <c r="F434" i="4" s="1"/>
  <c r="E435" i="4"/>
  <c r="F435" i="4" s="1"/>
  <c r="D436" i="4"/>
  <c r="AD436" i="4" s="1"/>
  <c r="E436" i="4"/>
  <c r="F436" i="4" s="1"/>
  <c r="D437" i="4"/>
  <c r="AD437" i="4" s="1"/>
  <c r="E437" i="4"/>
  <c r="F437" i="4" s="1"/>
  <c r="E438" i="4"/>
  <c r="F438" i="4" s="1"/>
  <c r="D439" i="4"/>
  <c r="AD439" i="4" s="1"/>
  <c r="E439" i="4"/>
  <c r="F439" i="4" s="1"/>
  <c r="D440" i="4"/>
  <c r="AD440" i="4" s="1"/>
  <c r="E440" i="4"/>
  <c r="F440" i="4" s="1"/>
  <c r="E441" i="4"/>
  <c r="F441" i="4" s="1"/>
  <c r="D442" i="4"/>
  <c r="AD442" i="4" s="1"/>
  <c r="E442" i="4"/>
  <c r="F442" i="4" s="1"/>
  <c r="D443" i="4"/>
  <c r="AD443" i="4" s="1"/>
  <c r="E443" i="4"/>
  <c r="F443" i="4" s="1"/>
  <c r="E444" i="4"/>
  <c r="F444" i="4" s="1"/>
  <c r="D445" i="4"/>
  <c r="AD445" i="4" s="1"/>
  <c r="E445" i="4"/>
  <c r="F445" i="4" s="1"/>
  <c r="D446" i="4"/>
  <c r="AD446" i="4" s="1"/>
  <c r="E446" i="4"/>
  <c r="F446" i="4" s="1"/>
  <c r="E447" i="4"/>
  <c r="F447" i="4" s="1"/>
  <c r="D448" i="4"/>
  <c r="AD448" i="4" s="1"/>
  <c r="E448" i="4"/>
  <c r="F448" i="4" s="1"/>
  <c r="D449" i="4"/>
  <c r="AD449" i="4" s="1"/>
  <c r="E449" i="4"/>
  <c r="F449" i="4" s="1"/>
  <c r="E450" i="4"/>
  <c r="F450" i="4" s="1"/>
  <c r="D451" i="4"/>
  <c r="AD451" i="4" s="1"/>
  <c r="E451" i="4"/>
  <c r="F451" i="4" s="1"/>
  <c r="D452" i="4"/>
  <c r="AD452" i="4" s="1"/>
  <c r="E452" i="4"/>
  <c r="F452" i="4" s="1"/>
  <c r="E453" i="4"/>
  <c r="F453" i="4" s="1"/>
  <c r="D454" i="4"/>
  <c r="AD454" i="4" s="1"/>
  <c r="E454" i="4"/>
  <c r="F454" i="4" s="1"/>
  <c r="D455" i="4"/>
  <c r="AD455" i="4" s="1"/>
  <c r="E455" i="4"/>
  <c r="F455" i="4" s="1"/>
  <c r="E456" i="4"/>
  <c r="F456" i="4" s="1"/>
  <c r="D457" i="4"/>
  <c r="AD457" i="4" s="1"/>
  <c r="E457" i="4"/>
  <c r="F457" i="4" s="1"/>
  <c r="D458" i="4"/>
  <c r="AD458" i="4" s="1"/>
  <c r="E458" i="4"/>
  <c r="F458" i="4" s="1"/>
  <c r="E459" i="4"/>
  <c r="F459" i="4" s="1"/>
  <c r="D460" i="4"/>
  <c r="AD460" i="4" s="1"/>
  <c r="E460" i="4"/>
  <c r="F460" i="4" s="1"/>
  <c r="D461" i="4"/>
  <c r="AD461" i="4" s="1"/>
  <c r="E461" i="4"/>
  <c r="F461" i="4" s="1"/>
  <c r="E462" i="4"/>
  <c r="F462" i="4" s="1"/>
  <c r="D463" i="4"/>
  <c r="AD463" i="4" s="1"/>
  <c r="E463" i="4"/>
  <c r="F463" i="4" s="1"/>
  <c r="D464" i="4"/>
  <c r="AD464" i="4" s="1"/>
  <c r="E464" i="4"/>
  <c r="F464" i="4" s="1"/>
  <c r="E465" i="4"/>
  <c r="F465" i="4" s="1"/>
  <c r="D466" i="4"/>
  <c r="AD466" i="4" s="1"/>
  <c r="E466" i="4"/>
  <c r="F466" i="4" s="1"/>
  <c r="D467" i="4"/>
  <c r="AD467" i="4" s="1"/>
  <c r="E467" i="4"/>
  <c r="F467" i="4" s="1"/>
  <c r="E468" i="4"/>
  <c r="F468" i="4" s="1"/>
  <c r="D469" i="4"/>
  <c r="AD469" i="4" s="1"/>
  <c r="E469" i="4"/>
  <c r="F469" i="4" s="1"/>
  <c r="D470" i="4"/>
  <c r="AD470" i="4" s="1"/>
  <c r="E470" i="4"/>
  <c r="F470" i="4" s="1"/>
  <c r="E471" i="4"/>
  <c r="F471" i="4" s="1"/>
  <c r="D472" i="4"/>
  <c r="AD472" i="4" s="1"/>
  <c r="E472" i="4"/>
  <c r="F472" i="4" s="1"/>
  <c r="D473" i="4"/>
  <c r="AD473" i="4" s="1"/>
  <c r="E473" i="4"/>
  <c r="F473" i="4" s="1"/>
  <c r="E474" i="4"/>
  <c r="F474" i="4" s="1"/>
  <c r="D475" i="4"/>
  <c r="AD475" i="4" s="1"/>
  <c r="E475" i="4"/>
  <c r="F475" i="4" s="1"/>
  <c r="D476" i="4"/>
  <c r="AD476" i="4" s="1"/>
  <c r="E476" i="4"/>
  <c r="F476" i="4" s="1"/>
  <c r="E477" i="4"/>
  <c r="F477" i="4" s="1"/>
  <c r="D478" i="4"/>
  <c r="AD478" i="4" s="1"/>
  <c r="E478" i="4"/>
  <c r="F478" i="4" s="1"/>
  <c r="D479" i="4"/>
  <c r="AD479" i="4" s="1"/>
  <c r="E479" i="4"/>
  <c r="F479" i="4" s="1"/>
  <c r="E480" i="4"/>
  <c r="F480" i="4" s="1"/>
  <c r="D481" i="4"/>
  <c r="AD481" i="4" s="1"/>
  <c r="E481" i="4"/>
  <c r="F481" i="4" s="1"/>
  <c r="D482" i="4"/>
  <c r="AD482" i="4" s="1"/>
  <c r="E482" i="4"/>
  <c r="F482" i="4" s="1"/>
  <c r="E483" i="4"/>
  <c r="F483" i="4" s="1"/>
  <c r="D484" i="4"/>
  <c r="AD484" i="4" s="1"/>
  <c r="E484" i="4"/>
  <c r="F484" i="4" s="1"/>
  <c r="D485" i="4"/>
  <c r="AD485" i="4" s="1"/>
  <c r="E485" i="4"/>
  <c r="F485" i="4" s="1"/>
  <c r="D486" i="4"/>
  <c r="AD486" i="4" s="1"/>
  <c r="E486" i="4"/>
  <c r="F486" i="4" s="1"/>
  <c r="D487" i="4"/>
  <c r="AD487" i="4" s="1"/>
  <c r="E487" i="4"/>
  <c r="F487" i="4" s="1"/>
  <c r="E488" i="4"/>
  <c r="F488" i="4" s="1"/>
  <c r="E489" i="4"/>
  <c r="F489" i="4" s="1"/>
  <c r="D490" i="4"/>
  <c r="AD490" i="4" s="1"/>
  <c r="E490" i="4"/>
  <c r="F490" i="4" s="1"/>
  <c r="D491" i="4"/>
  <c r="AD491" i="4" s="1"/>
  <c r="E491" i="4"/>
  <c r="F491" i="4" s="1"/>
  <c r="E492" i="4"/>
  <c r="F492" i="4" s="1"/>
  <c r="D493" i="4"/>
  <c r="AD493" i="4" s="1"/>
  <c r="E493" i="4"/>
  <c r="F493" i="4" s="1"/>
  <c r="D494" i="4"/>
  <c r="AD494" i="4" s="1"/>
  <c r="E494" i="4"/>
  <c r="F494" i="4" s="1"/>
  <c r="E495" i="4"/>
  <c r="F495" i="4" s="1"/>
  <c r="D496" i="4"/>
  <c r="AD496" i="4" s="1"/>
  <c r="E496" i="4"/>
  <c r="F496" i="4" s="1"/>
  <c r="D497" i="4"/>
  <c r="AD497" i="4" s="1"/>
  <c r="E497" i="4"/>
  <c r="F497" i="4" s="1"/>
  <c r="E498" i="4"/>
  <c r="F498" i="4" s="1"/>
  <c r="D499" i="4"/>
  <c r="AD499" i="4" s="1"/>
  <c r="E499" i="4"/>
  <c r="F499" i="4" s="1"/>
  <c r="D500" i="4"/>
  <c r="AD500" i="4" s="1"/>
  <c r="E500" i="4"/>
  <c r="F500" i="4" s="1"/>
  <c r="E501" i="4"/>
  <c r="F501" i="4" s="1"/>
  <c r="D502" i="4"/>
  <c r="AD502" i="4" s="1"/>
  <c r="E502" i="4"/>
  <c r="F502" i="4" s="1"/>
  <c r="D503" i="4"/>
  <c r="AD503" i="4" s="1"/>
  <c r="E503" i="4"/>
  <c r="F503" i="4" s="1"/>
  <c r="E504" i="4"/>
  <c r="F504" i="4" s="1"/>
  <c r="D505" i="4"/>
  <c r="AD505" i="4" s="1"/>
  <c r="E505" i="4"/>
  <c r="F505" i="4" s="1"/>
  <c r="E506" i="4"/>
  <c r="F506" i="4" s="1"/>
  <c r="E507" i="4"/>
  <c r="F507" i="4" s="1"/>
  <c r="D508" i="4"/>
  <c r="AD508" i="4" s="1"/>
  <c r="E508" i="4"/>
  <c r="F508" i="4" s="1"/>
  <c r="D509" i="4"/>
  <c r="AD509" i="4" s="1"/>
  <c r="E509" i="4"/>
  <c r="F509" i="4" s="1"/>
  <c r="E510" i="4"/>
  <c r="F510" i="4" s="1"/>
  <c r="D511" i="4"/>
  <c r="AD511" i="4" s="1"/>
  <c r="E511" i="4"/>
  <c r="F511" i="4" s="1"/>
  <c r="D512" i="4"/>
  <c r="AD512" i="4" s="1"/>
  <c r="E512" i="4"/>
  <c r="F512" i="4" s="1"/>
  <c r="E513" i="4"/>
  <c r="F513" i="4" s="1"/>
  <c r="D514" i="4"/>
  <c r="AD514" i="4" s="1"/>
  <c r="E514" i="4"/>
  <c r="F514" i="4" s="1"/>
  <c r="D515" i="4"/>
  <c r="AD515" i="4" s="1"/>
  <c r="E515" i="4"/>
  <c r="F515" i="4" s="1"/>
  <c r="E516" i="4"/>
  <c r="F516" i="4" s="1"/>
  <c r="D517" i="4"/>
  <c r="AD517" i="4" s="1"/>
  <c r="E517" i="4"/>
  <c r="F517" i="4" s="1"/>
  <c r="D518" i="4"/>
  <c r="AD518" i="4" s="1"/>
  <c r="E518" i="4"/>
  <c r="F518" i="4" s="1"/>
  <c r="E519" i="4"/>
  <c r="F519" i="4" s="1"/>
  <c r="D520" i="4"/>
  <c r="AD520" i="4" s="1"/>
  <c r="E520" i="4"/>
  <c r="F520" i="4" s="1"/>
  <c r="D521" i="4"/>
  <c r="AD521" i="4" s="1"/>
  <c r="E521" i="4"/>
  <c r="F521" i="4" s="1"/>
  <c r="E522" i="4"/>
  <c r="F522" i="4" s="1"/>
  <c r="D523" i="4"/>
  <c r="AD523" i="4" s="1"/>
  <c r="E523" i="4"/>
  <c r="F523" i="4" s="1"/>
  <c r="E524" i="4"/>
  <c r="F524" i="4" s="1"/>
  <c r="E525" i="4"/>
  <c r="F525" i="4" s="1"/>
  <c r="D526" i="4"/>
  <c r="AD526" i="4" s="1"/>
  <c r="E526" i="4"/>
  <c r="F526" i="4" s="1"/>
  <c r="D527" i="4"/>
  <c r="AD527" i="4" s="1"/>
  <c r="E527" i="4"/>
  <c r="F527" i="4" s="1"/>
  <c r="E528" i="4"/>
  <c r="F528" i="4" s="1"/>
  <c r="D529" i="4"/>
  <c r="AD529" i="4" s="1"/>
  <c r="E529" i="4"/>
  <c r="F529" i="4" s="1"/>
  <c r="D530" i="4"/>
  <c r="AD530" i="4" s="1"/>
  <c r="E530" i="4"/>
  <c r="F530" i="4" s="1"/>
  <c r="E531" i="4"/>
  <c r="F531" i="4" s="1"/>
  <c r="D532" i="4"/>
  <c r="AD532" i="4" s="1"/>
  <c r="E532" i="4"/>
  <c r="F532" i="4" s="1"/>
  <c r="D533" i="4"/>
  <c r="AD533" i="4" s="1"/>
  <c r="E533" i="4"/>
  <c r="F533" i="4" s="1"/>
  <c r="E534" i="4"/>
  <c r="F534" i="4" s="1"/>
  <c r="D535" i="4"/>
  <c r="AD535" i="4" s="1"/>
  <c r="E535" i="4"/>
  <c r="F535" i="4" s="1"/>
  <c r="D536" i="4"/>
  <c r="AD536" i="4" s="1"/>
  <c r="E536" i="4"/>
  <c r="F536" i="4" s="1"/>
  <c r="E537" i="4"/>
  <c r="F537" i="4" s="1"/>
  <c r="D538" i="4"/>
  <c r="AD538" i="4" s="1"/>
  <c r="E538" i="4"/>
  <c r="F538" i="4" s="1"/>
  <c r="D539" i="4"/>
  <c r="AD539" i="4" s="1"/>
  <c r="E539" i="4"/>
  <c r="F539" i="4" s="1"/>
  <c r="E540" i="4"/>
  <c r="F540" i="4" s="1"/>
  <c r="D541" i="4"/>
  <c r="AD541" i="4" s="1"/>
  <c r="E541" i="4"/>
  <c r="F541" i="4" s="1"/>
  <c r="E542" i="4"/>
  <c r="F542" i="4" s="1"/>
  <c r="E543" i="4"/>
  <c r="F543" i="4" s="1"/>
  <c r="D544" i="4"/>
  <c r="AD544" i="4" s="1"/>
  <c r="E544" i="4"/>
  <c r="F544" i="4" s="1"/>
  <c r="D545" i="4"/>
  <c r="AD545" i="4" s="1"/>
  <c r="E545" i="4"/>
  <c r="F545" i="4" s="1"/>
  <c r="E546" i="4"/>
  <c r="F546" i="4" s="1"/>
  <c r="D547" i="4"/>
  <c r="AD547" i="4" s="1"/>
  <c r="E547" i="4"/>
  <c r="F547" i="4" s="1"/>
  <c r="D548" i="4"/>
  <c r="AD548" i="4" s="1"/>
  <c r="E548" i="4"/>
  <c r="F548" i="4" s="1"/>
  <c r="E549" i="4"/>
  <c r="F549" i="4" s="1"/>
  <c r="D550" i="4"/>
  <c r="AD550" i="4" s="1"/>
  <c r="E550" i="4"/>
  <c r="F550" i="4" s="1"/>
  <c r="D551" i="4"/>
  <c r="AD551" i="4" s="1"/>
  <c r="E551" i="4"/>
  <c r="F551" i="4" s="1"/>
  <c r="E552" i="4"/>
  <c r="F552" i="4" s="1"/>
  <c r="D553" i="4"/>
  <c r="AD553" i="4" s="1"/>
  <c r="E553" i="4"/>
  <c r="F553" i="4" s="1"/>
  <c r="D554" i="4"/>
  <c r="AD554" i="4" s="1"/>
  <c r="E554" i="4"/>
  <c r="F554" i="4" s="1"/>
  <c r="E555" i="4"/>
  <c r="F555" i="4" s="1"/>
  <c r="D556" i="4"/>
  <c r="AD556" i="4" s="1"/>
  <c r="E556" i="4"/>
  <c r="F556" i="4" s="1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L1365" i="15"/>
  <c r="L1364" i="15"/>
  <c r="L1363" i="15"/>
  <c r="L1362" i="15"/>
  <c r="L1361" i="15"/>
  <c r="L1360" i="15"/>
  <c r="L1359" i="15"/>
  <c r="L1358" i="15"/>
  <c r="L1357" i="15"/>
  <c r="L1356" i="15"/>
  <c r="L1355" i="15"/>
  <c r="L1354" i="15"/>
  <c r="L1353" i="15"/>
  <c r="L1352" i="15"/>
  <c r="L1351" i="15"/>
  <c r="L1350" i="15"/>
  <c r="L1349" i="15"/>
  <c r="L1348" i="15"/>
  <c r="L1347" i="15"/>
  <c r="L1346" i="15"/>
  <c r="L1345" i="15"/>
  <c r="L1344" i="15"/>
  <c r="L1343" i="15"/>
  <c r="L1342" i="15"/>
  <c r="L1341" i="15"/>
  <c r="L1340" i="15"/>
  <c r="L1339" i="15"/>
  <c r="L1338" i="15"/>
  <c r="L1337" i="15"/>
  <c r="L1336" i="15"/>
  <c r="L1335" i="15"/>
  <c r="L1334" i="15"/>
  <c r="L1333" i="15"/>
  <c r="L1332" i="15"/>
  <c r="L1331" i="15"/>
  <c r="L1330" i="15"/>
  <c r="L1329" i="15"/>
  <c r="L1328" i="15"/>
  <c r="L1327" i="15"/>
  <c r="L1326" i="15"/>
  <c r="L1325" i="15"/>
  <c r="L1324" i="15"/>
  <c r="L1323" i="15"/>
  <c r="S1322" i="15"/>
  <c r="R1322" i="15"/>
  <c r="M1322" i="15"/>
  <c r="L1322" i="15"/>
  <c r="J1322" i="15"/>
  <c r="I1322" i="15"/>
  <c r="S1321" i="15"/>
  <c r="R1321" i="15"/>
  <c r="M1321" i="15"/>
  <c r="L1321" i="15"/>
  <c r="J1321" i="15"/>
  <c r="I1321" i="15"/>
  <c r="S1320" i="15"/>
  <c r="R1320" i="15"/>
  <c r="M1320" i="15"/>
  <c r="L1320" i="15"/>
  <c r="J1320" i="15"/>
  <c r="I1320" i="15"/>
  <c r="S1319" i="15"/>
  <c r="R1319" i="15"/>
  <c r="M1319" i="15"/>
  <c r="L1319" i="15"/>
  <c r="J1319" i="15"/>
  <c r="I1319" i="15"/>
  <c r="S1318" i="15"/>
  <c r="R1318" i="15"/>
  <c r="M1318" i="15"/>
  <c r="L1318" i="15"/>
  <c r="J1318" i="15"/>
  <c r="I1318" i="15"/>
  <c r="S1317" i="15"/>
  <c r="R1317" i="15"/>
  <c r="M1317" i="15"/>
  <c r="L1317" i="15"/>
  <c r="J1317" i="15"/>
  <c r="I1317" i="15"/>
  <c r="S1316" i="15"/>
  <c r="R1316" i="15"/>
  <c r="M1316" i="15"/>
  <c r="L1316" i="15"/>
  <c r="J1316" i="15"/>
  <c r="I1316" i="15"/>
  <c r="S1315" i="15"/>
  <c r="R1315" i="15"/>
  <c r="M1315" i="15"/>
  <c r="L1315" i="15"/>
  <c r="J1315" i="15"/>
  <c r="I1315" i="15"/>
  <c r="S1314" i="15"/>
  <c r="R1314" i="15"/>
  <c r="M1314" i="15"/>
  <c r="L1314" i="15"/>
  <c r="J1314" i="15"/>
  <c r="I1314" i="15"/>
  <c r="S1313" i="15"/>
  <c r="R1313" i="15"/>
  <c r="M1313" i="15"/>
  <c r="L1313" i="15"/>
  <c r="J1313" i="15"/>
  <c r="I1313" i="15"/>
  <c r="S1312" i="15"/>
  <c r="R1312" i="15"/>
  <c r="M1312" i="15"/>
  <c r="L1312" i="15"/>
  <c r="J1312" i="15"/>
  <c r="I1312" i="15"/>
  <c r="S1311" i="15"/>
  <c r="R1311" i="15"/>
  <c r="M1311" i="15"/>
  <c r="L1311" i="15"/>
  <c r="J1311" i="15"/>
  <c r="I1311" i="15"/>
  <c r="S1310" i="15"/>
  <c r="R1310" i="15"/>
  <c r="M1310" i="15"/>
  <c r="L1310" i="15"/>
  <c r="J1310" i="15"/>
  <c r="I1310" i="15"/>
  <c r="S1309" i="15"/>
  <c r="R1309" i="15"/>
  <c r="M1309" i="15"/>
  <c r="L1309" i="15"/>
  <c r="J1309" i="15"/>
  <c r="I1309" i="15"/>
  <c r="S1308" i="15"/>
  <c r="R1308" i="15"/>
  <c r="M1308" i="15"/>
  <c r="L1308" i="15"/>
  <c r="J1308" i="15"/>
  <c r="I1308" i="15"/>
  <c r="S1307" i="15"/>
  <c r="R1307" i="15"/>
  <c r="M1307" i="15"/>
  <c r="L1307" i="15"/>
  <c r="J1307" i="15"/>
  <c r="I1307" i="15"/>
  <c r="S1306" i="15"/>
  <c r="R1306" i="15"/>
  <c r="M1306" i="15"/>
  <c r="L1306" i="15"/>
  <c r="J1306" i="15"/>
  <c r="I1306" i="15"/>
  <c r="S1305" i="15"/>
  <c r="R1305" i="15"/>
  <c r="M1305" i="15"/>
  <c r="L1305" i="15"/>
  <c r="J1305" i="15"/>
  <c r="I1305" i="15"/>
  <c r="S1304" i="15"/>
  <c r="R1304" i="15"/>
  <c r="M1304" i="15"/>
  <c r="L1304" i="15"/>
  <c r="J1304" i="15"/>
  <c r="I1304" i="15"/>
  <c r="S1303" i="15"/>
  <c r="R1303" i="15"/>
  <c r="M1303" i="15"/>
  <c r="L1303" i="15"/>
  <c r="J1303" i="15"/>
  <c r="I1303" i="15"/>
  <c r="S1302" i="15"/>
  <c r="R1302" i="15"/>
  <c r="M1302" i="15"/>
  <c r="L1302" i="15"/>
  <c r="J1302" i="15"/>
  <c r="I1302" i="15"/>
  <c r="S1301" i="15"/>
  <c r="R1301" i="15"/>
  <c r="M1301" i="15"/>
  <c r="L1301" i="15"/>
  <c r="J1301" i="15"/>
  <c r="I1301" i="15"/>
  <c r="S1300" i="15"/>
  <c r="R1300" i="15"/>
  <c r="M1300" i="15"/>
  <c r="L1300" i="15"/>
  <c r="J1300" i="15"/>
  <c r="I1300" i="15"/>
  <c r="S1299" i="15"/>
  <c r="R1299" i="15"/>
  <c r="M1299" i="15"/>
  <c r="L1299" i="15"/>
  <c r="J1299" i="15"/>
  <c r="I1299" i="15"/>
  <c r="S1298" i="15"/>
  <c r="R1298" i="15"/>
  <c r="M1298" i="15"/>
  <c r="L1298" i="15"/>
  <c r="J1298" i="15"/>
  <c r="I1298" i="15"/>
  <c r="S1297" i="15"/>
  <c r="R1297" i="15"/>
  <c r="M1297" i="15"/>
  <c r="L1297" i="15"/>
  <c r="J1297" i="15"/>
  <c r="I1297" i="15"/>
  <c r="S1296" i="15"/>
  <c r="R1296" i="15"/>
  <c r="M1296" i="15"/>
  <c r="L1296" i="15"/>
  <c r="J1296" i="15"/>
  <c r="I1296" i="15"/>
  <c r="S1295" i="15"/>
  <c r="R1295" i="15"/>
  <c r="M1295" i="15"/>
  <c r="L1295" i="15"/>
  <c r="J1295" i="15"/>
  <c r="I1295" i="15"/>
  <c r="S1294" i="15"/>
  <c r="R1294" i="15"/>
  <c r="M1294" i="15"/>
  <c r="L1294" i="15"/>
  <c r="J1294" i="15"/>
  <c r="I1294" i="15"/>
  <c r="S1293" i="15"/>
  <c r="R1293" i="15"/>
  <c r="M1293" i="15"/>
  <c r="L1293" i="15"/>
  <c r="J1293" i="15"/>
  <c r="I1293" i="15"/>
  <c r="S1292" i="15"/>
  <c r="R1292" i="15"/>
  <c r="M1292" i="15"/>
  <c r="L1292" i="15"/>
  <c r="J1292" i="15"/>
  <c r="I1292" i="15"/>
  <c r="S1291" i="15"/>
  <c r="R1291" i="15"/>
  <c r="M1291" i="15"/>
  <c r="L1291" i="15"/>
  <c r="J1291" i="15"/>
  <c r="I1291" i="15"/>
  <c r="S1290" i="15"/>
  <c r="R1290" i="15"/>
  <c r="M1290" i="15"/>
  <c r="L1290" i="15"/>
  <c r="J1290" i="15"/>
  <c r="I1290" i="15"/>
  <c r="S1289" i="15"/>
  <c r="R1289" i="15"/>
  <c r="M1289" i="15"/>
  <c r="L1289" i="15"/>
  <c r="J1289" i="15"/>
  <c r="I1289" i="15"/>
  <c r="S1288" i="15"/>
  <c r="R1288" i="15"/>
  <c r="M1288" i="15"/>
  <c r="L1288" i="15"/>
  <c r="J1288" i="15"/>
  <c r="I1288" i="15"/>
  <c r="S1287" i="15"/>
  <c r="R1287" i="15"/>
  <c r="M1287" i="15"/>
  <c r="L1287" i="15"/>
  <c r="J1287" i="15"/>
  <c r="I1287" i="15"/>
  <c r="S1286" i="15"/>
  <c r="R1286" i="15"/>
  <c r="M1286" i="15"/>
  <c r="L1286" i="15"/>
  <c r="J1286" i="15"/>
  <c r="I1286" i="15"/>
  <c r="S1285" i="15"/>
  <c r="R1285" i="15"/>
  <c r="M1285" i="15"/>
  <c r="L1285" i="15"/>
  <c r="J1285" i="15"/>
  <c r="I1285" i="15"/>
  <c r="S1284" i="15"/>
  <c r="R1284" i="15"/>
  <c r="M1284" i="15"/>
  <c r="L1284" i="15"/>
  <c r="J1284" i="15"/>
  <c r="I1284" i="15"/>
  <c r="S1283" i="15"/>
  <c r="R1283" i="15"/>
  <c r="M1283" i="15"/>
  <c r="L1283" i="15"/>
  <c r="J1283" i="15"/>
  <c r="I1283" i="15"/>
  <c r="S1282" i="15"/>
  <c r="R1282" i="15"/>
  <c r="M1282" i="15"/>
  <c r="L1282" i="15"/>
  <c r="J1282" i="15"/>
  <c r="I1282" i="15"/>
  <c r="S1281" i="15"/>
  <c r="R1281" i="15"/>
  <c r="M1281" i="15"/>
  <c r="L1281" i="15"/>
  <c r="J1281" i="15"/>
  <c r="I1281" i="15"/>
  <c r="S1280" i="15"/>
  <c r="R1280" i="15"/>
  <c r="M1280" i="15"/>
  <c r="L1280" i="15"/>
  <c r="J1280" i="15"/>
  <c r="I1280" i="15"/>
  <c r="S1279" i="15"/>
  <c r="R1279" i="15"/>
  <c r="M1279" i="15"/>
  <c r="L1279" i="15"/>
  <c r="J1279" i="15"/>
  <c r="I1279" i="15"/>
  <c r="S1278" i="15"/>
  <c r="R1278" i="15"/>
  <c r="M1278" i="15"/>
  <c r="L1278" i="15"/>
  <c r="J1278" i="15"/>
  <c r="I1278" i="15"/>
  <c r="S1277" i="15"/>
  <c r="R1277" i="15"/>
  <c r="M1277" i="15"/>
  <c r="L1277" i="15"/>
  <c r="J1277" i="15"/>
  <c r="I1277" i="15"/>
  <c r="S1276" i="15"/>
  <c r="R1276" i="15"/>
  <c r="M1276" i="15"/>
  <c r="L1276" i="15"/>
  <c r="J1276" i="15"/>
  <c r="I1276" i="15"/>
  <c r="S1275" i="15"/>
  <c r="R1275" i="15"/>
  <c r="M1275" i="15"/>
  <c r="L1275" i="15"/>
  <c r="J1275" i="15"/>
  <c r="I1275" i="15"/>
  <c r="S1274" i="15"/>
  <c r="R1274" i="15"/>
  <c r="M1274" i="15"/>
  <c r="L1274" i="15"/>
  <c r="J1274" i="15"/>
  <c r="I1274" i="15"/>
  <c r="S1273" i="15"/>
  <c r="R1273" i="15"/>
  <c r="M1273" i="15"/>
  <c r="L1273" i="15"/>
  <c r="J1273" i="15"/>
  <c r="I1273" i="15"/>
  <c r="S1272" i="15"/>
  <c r="R1272" i="15"/>
  <c r="M1272" i="15"/>
  <c r="L1272" i="15"/>
  <c r="J1272" i="15"/>
  <c r="I1272" i="15"/>
  <c r="S1271" i="15"/>
  <c r="R1271" i="15"/>
  <c r="M1271" i="15"/>
  <c r="L1271" i="15"/>
  <c r="J1271" i="15"/>
  <c r="I1271" i="15"/>
  <c r="S1270" i="15"/>
  <c r="R1270" i="15"/>
  <c r="M1270" i="15"/>
  <c r="L1270" i="15"/>
  <c r="J1270" i="15"/>
  <c r="I1270" i="15"/>
  <c r="S1269" i="15"/>
  <c r="R1269" i="15"/>
  <c r="M1269" i="15"/>
  <c r="L1269" i="15"/>
  <c r="J1269" i="15"/>
  <c r="I1269" i="15"/>
  <c r="S1268" i="15"/>
  <c r="R1268" i="15"/>
  <c r="M1268" i="15"/>
  <c r="L1268" i="15"/>
  <c r="J1268" i="15"/>
  <c r="I1268" i="15"/>
  <c r="S1267" i="15"/>
  <c r="R1267" i="15"/>
  <c r="M1267" i="15"/>
  <c r="L1267" i="15"/>
  <c r="J1267" i="15"/>
  <c r="I1267" i="15"/>
  <c r="S1266" i="15"/>
  <c r="R1266" i="15"/>
  <c r="M1266" i="15"/>
  <c r="L1266" i="15"/>
  <c r="J1266" i="15"/>
  <c r="I1266" i="15"/>
  <c r="S1265" i="15"/>
  <c r="R1265" i="15"/>
  <c r="M1265" i="15"/>
  <c r="L1265" i="15"/>
  <c r="J1265" i="15"/>
  <c r="I1265" i="15"/>
  <c r="S1264" i="15"/>
  <c r="R1264" i="15"/>
  <c r="M1264" i="15"/>
  <c r="L1264" i="15"/>
  <c r="J1264" i="15"/>
  <c r="I1264" i="15"/>
  <c r="S1263" i="15"/>
  <c r="R1263" i="15"/>
  <c r="M1263" i="15"/>
  <c r="L1263" i="15"/>
  <c r="J1263" i="15"/>
  <c r="I1263" i="15"/>
  <c r="S1262" i="15"/>
  <c r="R1262" i="15"/>
  <c r="M1262" i="15"/>
  <c r="L1262" i="15"/>
  <c r="J1262" i="15"/>
  <c r="I1262" i="15"/>
  <c r="S1261" i="15"/>
  <c r="R1261" i="15"/>
  <c r="M1261" i="15"/>
  <c r="L1261" i="15"/>
  <c r="J1261" i="15"/>
  <c r="I1261" i="15"/>
  <c r="S1260" i="15"/>
  <c r="R1260" i="15"/>
  <c r="M1260" i="15"/>
  <c r="L1260" i="15"/>
  <c r="J1260" i="15"/>
  <c r="I1260" i="15"/>
  <c r="S1259" i="15"/>
  <c r="R1259" i="15"/>
  <c r="M1259" i="15"/>
  <c r="L1259" i="15"/>
  <c r="J1259" i="15"/>
  <c r="I1259" i="15"/>
  <c r="S1258" i="15"/>
  <c r="R1258" i="15"/>
  <c r="M1258" i="15"/>
  <c r="L1258" i="15"/>
  <c r="J1258" i="15"/>
  <c r="I1258" i="15"/>
  <c r="S1257" i="15"/>
  <c r="R1257" i="15"/>
  <c r="M1257" i="15"/>
  <c r="L1257" i="15"/>
  <c r="J1257" i="15"/>
  <c r="I1257" i="15"/>
  <c r="S1256" i="15"/>
  <c r="R1256" i="15"/>
  <c r="M1256" i="15"/>
  <c r="L1256" i="15"/>
  <c r="J1256" i="15"/>
  <c r="I1256" i="15"/>
  <c r="S1255" i="15"/>
  <c r="R1255" i="15"/>
  <c r="M1255" i="15"/>
  <c r="L1255" i="15"/>
  <c r="J1255" i="15"/>
  <c r="I1255" i="15"/>
  <c r="S1254" i="15"/>
  <c r="R1254" i="15"/>
  <c r="M1254" i="15"/>
  <c r="L1254" i="15"/>
  <c r="J1254" i="15"/>
  <c r="I1254" i="15"/>
  <c r="S1253" i="15"/>
  <c r="R1253" i="15"/>
  <c r="M1253" i="15"/>
  <c r="L1253" i="15"/>
  <c r="J1253" i="15"/>
  <c r="I1253" i="15"/>
  <c r="S1252" i="15"/>
  <c r="R1252" i="15"/>
  <c r="M1252" i="15"/>
  <c r="L1252" i="15"/>
  <c r="J1252" i="15"/>
  <c r="I1252" i="15"/>
  <c r="S1251" i="15"/>
  <c r="R1251" i="15"/>
  <c r="M1251" i="15"/>
  <c r="L1251" i="15"/>
  <c r="J1251" i="15"/>
  <c r="I1251" i="15"/>
  <c r="S1250" i="15"/>
  <c r="R1250" i="15"/>
  <c r="M1250" i="15"/>
  <c r="L1250" i="15"/>
  <c r="J1250" i="15"/>
  <c r="I1250" i="15"/>
  <c r="S1249" i="15"/>
  <c r="R1249" i="15"/>
  <c r="M1249" i="15"/>
  <c r="L1249" i="15"/>
  <c r="J1249" i="15"/>
  <c r="I1249" i="15"/>
  <c r="S1248" i="15"/>
  <c r="R1248" i="15"/>
  <c r="M1248" i="15"/>
  <c r="L1248" i="15"/>
  <c r="J1248" i="15"/>
  <c r="I1248" i="15"/>
  <c r="S1247" i="15"/>
  <c r="R1247" i="15"/>
  <c r="M1247" i="15"/>
  <c r="L1247" i="15"/>
  <c r="J1247" i="15"/>
  <c r="I1247" i="15"/>
  <c r="S1246" i="15"/>
  <c r="R1246" i="15"/>
  <c r="M1246" i="15"/>
  <c r="L1246" i="15"/>
  <c r="J1246" i="15"/>
  <c r="I1246" i="15"/>
  <c r="S1245" i="15"/>
  <c r="R1245" i="15"/>
  <c r="M1245" i="15"/>
  <c r="L1245" i="15"/>
  <c r="J1245" i="15"/>
  <c r="I1245" i="15"/>
  <c r="S1244" i="15"/>
  <c r="R1244" i="15"/>
  <c r="M1244" i="15"/>
  <c r="L1244" i="15"/>
  <c r="J1244" i="15"/>
  <c r="I1244" i="15"/>
  <c r="S1243" i="15"/>
  <c r="R1243" i="15"/>
  <c r="M1243" i="15"/>
  <c r="L1243" i="15"/>
  <c r="J1243" i="15"/>
  <c r="I1243" i="15"/>
  <c r="S1242" i="15"/>
  <c r="R1242" i="15"/>
  <c r="M1242" i="15"/>
  <c r="L1242" i="15"/>
  <c r="J1242" i="15"/>
  <c r="I1242" i="15"/>
  <c r="S1241" i="15"/>
  <c r="R1241" i="15"/>
  <c r="M1241" i="15"/>
  <c r="L1241" i="15"/>
  <c r="J1241" i="15"/>
  <c r="I1241" i="15"/>
  <c r="S1240" i="15"/>
  <c r="R1240" i="15"/>
  <c r="M1240" i="15"/>
  <c r="L1240" i="15"/>
  <c r="J1240" i="15"/>
  <c r="I1240" i="15"/>
  <c r="S1239" i="15"/>
  <c r="R1239" i="15"/>
  <c r="M1239" i="15"/>
  <c r="L1239" i="15"/>
  <c r="J1239" i="15"/>
  <c r="I1239" i="15"/>
  <c r="S1238" i="15"/>
  <c r="R1238" i="15"/>
  <c r="M1238" i="15"/>
  <c r="L1238" i="15"/>
  <c r="J1238" i="15"/>
  <c r="I1238" i="15"/>
  <c r="S1237" i="15"/>
  <c r="R1237" i="15"/>
  <c r="M1237" i="15"/>
  <c r="L1237" i="15"/>
  <c r="J1237" i="15"/>
  <c r="I1237" i="15"/>
  <c r="S1236" i="15"/>
  <c r="R1236" i="15"/>
  <c r="M1236" i="15"/>
  <c r="L1236" i="15"/>
  <c r="J1236" i="15"/>
  <c r="I1236" i="15"/>
  <c r="S1235" i="15"/>
  <c r="R1235" i="15"/>
  <c r="M1235" i="15"/>
  <c r="L1235" i="15"/>
  <c r="J1235" i="15"/>
  <c r="I1235" i="15"/>
  <c r="S1234" i="15"/>
  <c r="R1234" i="15"/>
  <c r="M1234" i="15"/>
  <c r="L1234" i="15"/>
  <c r="J1234" i="15"/>
  <c r="I1234" i="15"/>
  <c r="S1233" i="15"/>
  <c r="R1233" i="15"/>
  <c r="M1233" i="15"/>
  <c r="L1233" i="15"/>
  <c r="J1233" i="15"/>
  <c r="I1233" i="15"/>
  <c r="S1232" i="15"/>
  <c r="R1232" i="15"/>
  <c r="M1232" i="15"/>
  <c r="L1232" i="15"/>
  <c r="J1232" i="15"/>
  <c r="I1232" i="15"/>
  <c r="S1231" i="15"/>
  <c r="R1231" i="15"/>
  <c r="M1231" i="15"/>
  <c r="L1231" i="15"/>
  <c r="J1231" i="15"/>
  <c r="I1231" i="15"/>
  <c r="S1230" i="15"/>
  <c r="R1230" i="15"/>
  <c r="M1230" i="15"/>
  <c r="N1230" i="15" s="1" a="1"/>
  <c r="N1230" i="15" s="1"/>
  <c r="L1230" i="15"/>
  <c r="J1230" i="15"/>
  <c r="I1230" i="15"/>
  <c r="S1229" i="15"/>
  <c r="R1229" i="15"/>
  <c r="M1229" i="15"/>
  <c r="N1229" i="15" s="1" a="1"/>
  <c r="N1229" i="15" s="1"/>
  <c r="L1229" i="15"/>
  <c r="J1229" i="15"/>
  <c r="I1229" i="15"/>
  <c r="S1228" i="15"/>
  <c r="R1228" i="15"/>
  <c r="M1228" i="15"/>
  <c r="N1228" i="15" s="1" a="1"/>
  <c r="N1228" i="15" s="1"/>
  <c r="L1228" i="15"/>
  <c r="J1228" i="15"/>
  <c r="I1228" i="15"/>
  <c r="S1227" i="15"/>
  <c r="R1227" i="15"/>
  <c r="M1227" i="15"/>
  <c r="N1227" i="15" s="1" a="1"/>
  <c r="N1227" i="15" s="1"/>
  <c r="L1227" i="15"/>
  <c r="J1227" i="15"/>
  <c r="I1227" i="15"/>
  <c r="S1226" i="15"/>
  <c r="R1226" i="15"/>
  <c r="M1226" i="15"/>
  <c r="N1226" i="15" s="1" a="1"/>
  <c r="N1226" i="15" s="1"/>
  <c r="L1226" i="15"/>
  <c r="J1226" i="15"/>
  <c r="I1226" i="15"/>
  <c r="S1225" i="15"/>
  <c r="R1225" i="15"/>
  <c r="M1225" i="15"/>
  <c r="N1225" i="15" s="1" a="1"/>
  <c r="N1225" i="15" s="1"/>
  <c r="L1225" i="15"/>
  <c r="J1225" i="15"/>
  <c r="I1225" i="15"/>
  <c r="S1224" i="15"/>
  <c r="R1224" i="15"/>
  <c r="M1224" i="15"/>
  <c r="N1224" i="15" s="1" a="1"/>
  <c r="N1224" i="15" s="1"/>
  <c r="L1224" i="15"/>
  <c r="J1224" i="15"/>
  <c r="I1224" i="15"/>
  <c r="S1223" i="15"/>
  <c r="R1223" i="15"/>
  <c r="M1223" i="15"/>
  <c r="N1223" i="15" s="1" a="1"/>
  <c r="N1223" i="15" s="1"/>
  <c r="L1223" i="15"/>
  <c r="J1223" i="15"/>
  <c r="I1223" i="15"/>
  <c r="S1222" i="15"/>
  <c r="R1222" i="15"/>
  <c r="M1222" i="15"/>
  <c r="N1222" i="15" s="1" a="1"/>
  <c r="N1222" i="15" s="1"/>
  <c r="L1222" i="15"/>
  <c r="J1222" i="15"/>
  <c r="I1222" i="15"/>
  <c r="S1221" i="15"/>
  <c r="R1221" i="15"/>
  <c r="M1221" i="15"/>
  <c r="N1221" i="15" s="1" a="1"/>
  <c r="N1221" i="15" s="1"/>
  <c r="L1221" i="15"/>
  <c r="J1221" i="15"/>
  <c r="I1221" i="15"/>
  <c r="S1220" i="15"/>
  <c r="R1220" i="15"/>
  <c r="N1220" i="15" a="1"/>
  <c r="N1220" i="15" s="1"/>
  <c r="M1220" i="15"/>
  <c r="L1220" i="15"/>
  <c r="J1220" i="15"/>
  <c r="I1220" i="15"/>
  <c r="S1219" i="15"/>
  <c r="R1219" i="15"/>
  <c r="M1219" i="15"/>
  <c r="N1219" i="15" s="1" a="1"/>
  <c r="N1219" i="15" s="1"/>
  <c r="L1219" i="15"/>
  <c r="J1219" i="15"/>
  <c r="I1219" i="15"/>
  <c r="S1218" i="15"/>
  <c r="R1218" i="15"/>
  <c r="M1218" i="15"/>
  <c r="N1218" i="15" s="1" a="1"/>
  <c r="N1218" i="15" s="1"/>
  <c r="L1218" i="15"/>
  <c r="J1218" i="15"/>
  <c r="I1218" i="15"/>
  <c r="S1217" i="15"/>
  <c r="R1217" i="15"/>
  <c r="M1217" i="15"/>
  <c r="N1217" i="15" s="1" a="1"/>
  <c r="N1217" i="15" s="1"/>
  <c r="L1217" i="15"/>
  <c r="J1217" i="15"/>
  <c r="I1217" i="15"/>
  <c r="S1216" i="15"/>
  <c r="R1216" i="15"/>
  <c r="N1216" i="15" a="1"/>
  <c r="N1216" i="15" s="1"/>
  <c r="M1216" i="15"/>
  <c r="L1216" i="15"/>
  <c r="J1216" i="15"/>
  <c r="I1216" i="15"/>
  <c r="S1215" i="15"/>
  <c r="R1215" i="15"/>
  <c r="M1215" i="15"/>
  <c r="N1215" i="15" s="1" a="1"/>
  <c r="N1215" i="15" s="1"/>
  <c r="L1215" i="15"/>
  <c r="J1215" i="15"/>
  <c r="I1215" i="15"/>
  <c r="S1214" i="15"/>
  <c r="R1214" i="15"/>
  <c r="M1214" i="15"/>
  <c r="N1214" i="15" s="1" a="1"/>
  <c r="N1214" i="15" s="1"/>
  <c r="L1214" i="15"/>
  <c r="J1214" i="15"/>
  <c r="I1214" i="15"/>
  <c r="S1213" i="15"/>
  <c r="R1213" i="15"/>
  <c r="M1213" i="15"/>
  <c r="N1213" i="15" s="1" a="1"/>
  <c r="N1213" i="15" s="1"/>
  <c r="L1213" i="15"/>
  <c r="J1213" i="15"/>
  <c r="I1213" i="15"/>
  <c r="S1212" i="15"/>
  <c r="R1212" i="15"/>
  <c r="N1212" i="15" a="1"/>
  <c r="N1212" i="15" s="1"/>
  <c r="M1212" i="15"/>
  <c r="L1212" i="15"/>
  <c r="J1212" i="15"/>
  <c r="I1212" i="15"/>
  <c r="S1211" i="15"/>
  <c r="R1211" i="15"/>
  <c r="M1211" i="15"/>
  <c r="N1211" i="15" s="1" a="1"/>
  <c r="N1211" i="15" s="1"/>
  <c r="L1211" i="15"/>
  <c r="J1211" i="15"/>
  <c r="I1211" i="15"/>
  <c r="S1210" i="15"/>
  <c r="R1210" i="15"/>
  <c r="M1210" i="15"/>
  <c r="N1210" i="15" s="1" a="1"/>
  <c r="N1210" i="15" s="1"/>
  <c r="L1210" i="15"/>
  <c r="J1210" i="15"/>
  <c r="I1210" i="15"/>
  <c r="S1209" i="15"/>
  <c r="R1209" i="15"/>
  <c r="M1209" i="15"/>
  <c r="N1209" i="15" s="1" a="1"/>
  <c r="N1209" i="15" s="1"/>
  <c r="L1209" i="15"/>
  <c r="J1209" i="15"/>
  <c r="I1209" i="15"/>
  <c r="S1208" i="15"/>
  <c r="R1208" i="15"/>
  <c r="N1208" i="15" a="1"/>
  <c r="N1208" i="15" s="1"/>
  <c r="M1208" i="15"/>
  <c r="L1208" i="15"/>
  <c r="J1208" i="15"/>
  <c r="I1208" i="15"/>
  <c r="S1207" i="15"/>
  <c r="R1207" i="15"/>
  <c r="M1207" i="15"/>
  <c r="N1207" i="15" s="1" a="1"/>
  <c r="N1207" i="15" s="1"/>
  <c r="L1207" i="15"/>
  <c r="J1207" i="15"/>
  <c r="I1207" i="15"/>
  <c r="S1206" i="15"/>
  <c r="R1206" i="15"/>
  <c r="M1206" i="15"/>
  <c r="N1206" i="15" s="1" a="1"/>
  <c r="N1206" i="15" s="1"/>
  <c r="L1206" i="15"/>
  <c r="J1206" i="15"/>
  <c r="I1206" i="15"/>
  <c r="S1205" i="15"/>
  <c r="R1205" i="15"/>
  <c r="M1205" i="15"/>
  <c r="N1205" i="15" s="1" a="1"/>
  <c r="N1205" i="15" s="1"/>
  <c r="L1205" i="15"/>
  <c r="J1205" i="15"/>
  <c r="I1205" i="15"/>
  <c r="S1204" i="15"/>
  <c r="R1204" i="15"/>
  <c r="M1204" i="15"/>
  <c r="N1204" i="15" s="1" a="1"/>
  <c r="N1204" i="15" s="1"/>
  <c r="L1204" i="15"/>
  <c r="J1204" i="15"/>
  <c r="I1204" i="15"/>
  <c r="S1203" i="15"/>
  <c r="R1203" i="15"/>
  <c r="M1203" i="15"/>
  <c r="N1203" i="15" s="1" a="1"/>
  <c r="N1203" i="15" s="1"/>
  <c r="L1203" i="15"/>
  <c r="J1203" i="15"/>
  <c r="I1203" i="15"/>
  <c r="S1202" i="15"/>
  <c r="R1202" i="15"/>
  <c r="M1202" i="15"/>
  <c r="N1202" i="15" s="1" a="1"/>
  <c r="N1202" i="15" s="1"/>
  <c r="L1202" i="15"/>
  <c r="J1202" i="15"/>
  <c r="I1202" i="15"/>
  <c r="S1201" i="15"/>
  <c r="R1201" i="15"/>
  <c r="M1201" i="15"/>
  <c r="N1201" i="15" s="1" a="1"/>
  <c r="N1201" i="15" s="1"/>
  <c r="L1201" i="15"/>
  <c r="J1201" i="15"/>
  <c r="I1201" i="15"/>
  <c r="S1200" i="15"/>
  <c r="R1200" i="15"/>
  <c r="M1200" i="15"/>
  <c r="N1200" i="15" s="1" a="1"/>
  <c r="N1200" i="15" s="1"/>
  <c r="L1200" i="15"/>
  <c r="J1200" i="15"/>
  <c r="I1200" i="15"/>
  <c r="S1199" i="15"/>
  <c r="R1199" i="15"/>
  <c r="M1199" i="15"/>
  <c r="N1199" i="15" s="1" a="1"/>
  <c r="N1199" i="15" s="1"/>
  <c r="L1199" i="15"/>
  <c r="J1199" i="15"/>
  <c r="I1199" i="15"/>
  <c r="S1198" i="15"/>
  <c r="R1198" i="15"/>
  <c r="M1198" i="15"/>
  <c r="N1198" i="15" s="1" a="1"/>
  <c r="N1198" i="15" s="1"/>
  <c r="L1198" i="15"/>
  <c r="J1198" i="15"/>
  <c r="I1198" i="15"/>
  <c r="S1197" i="15"/>
  <c r="R1197" i="15"/>
  <c r="M1197" i="15"/>
  <c r="N1197" i="15" s="1" a="1"/>
  <c r="N1197" i="15" s="1"/>
  <c r="L1197" i="15"/>
  <c r="J1197" i="15"/>
  <c r="I1197" i="15"/>
  <c r="S1196" i="15"/>
  <c r="R1196" i="15"/>
  <c r="M1196" i="15"/>
  <c r="N1196" i="15" s="1" a="1"/>
  <c r="N1196" i="15" s="1"/>
  <c r="L1196" i="15"/>
  <c r="J1196" i="15"/>
  <c r="I1196" i="15"/>
  <c r="S1195" i="15"/>
  <c r="R1195" i="15"/>
  <c r="M1195" i="15"/>
  <c r="N1195" i="15" s="1" a="1"/>
  <c r="N1195" i="15" s="1"/>
  <c r="L1195" i="15"/>
  <c r="J1195" i="15"/>
  <c r="I1195" i="15"/>
  <c r="S1194" i="15"/>
  <c r="R1194" i="15"/>
  <c r="M1194" i="15"/>
  <c r="N1194" i="15" s="1" a="1"/>
  <c r="N1194" i="15" s="1"/>
  <c r="L1194" i="15"/>
  <c r="J1194" i="15"/>
  <c r="I1194" i="15"/>
  <c r="S1193" i="15"/>
  <c r="R1193" i="15"/>
  <c r="M1193" i="15"/>
  <c r="N1193" i="15" s="1" a="1"/>
  <c r="N1193" i="15" s="1"/>
  <c r="L1193" i="15"/>
  <c r="J1193" i="15"/>
  <c r="I1193" i="15"/>
  <c r="S1192" i="15"/>
  <c r="R1192" i="15"/>
  <c r="N1192" i="15" a="1"/>
  <c r="N1192" i="15" s="1"/>
  <c r="M1192" i="15"/>
  <c r="L1192" i="15"/>
  <c r="J1192" i="15"/>
  <c r="I1192" i="15"/>
  <c r="S1191" i="15"/>
  <c r="R1191" i="15"/>
  <c r="M1191" i="15"/>
  <c r="N1191" i="15" s="1" a="1"/>
  <c r="N1191" i="15" s="1"/>
  <c r="L1191" i="15"/>
  <c r="J1191" i="15"/>
  <c r="I1191" i="15"/>
  <c r="S1190" i="15"/>
  <c r="R1190" i="15"/>
  <c r="M1190" i="15"/>
  <c r="N1190" i="15" s="1" a="1"/>
  <c r="N1190" i="15" s="1"/>
  <c r="L1190" i="15"/>
  <c r="J1190" i="15"/>
  <c r="I1190" i="15"/>
  <c r="S1189" i="15"/>
  <c r="R1189" i="15"/>
  <c r="M1189" i="15"/>
  <c r="N1189" i="15" s="1" a="1"/>
  <c r="N1189" i="15" s="1"/>
  <c r="L1189" i="15"/>
  <c r="J1189" i="15"/>
  <c r="I1189" i="15"/>
  <c r="S1188" i="15"/>
  <c r="R1188" i="15"/>
  <c r="M1188" i="15"/>
  <c r="N1188" i="15" s="1" a="1"/>
  <c r="N1188" i="15" s="1"/>
  <c r="L1188" i="15"/>
  <c r="J1188" i="15"/>
  <c r="I1188" i="15"/>
  <c r="S1187" i="15"/>
  <c r="R1187" i="15"/>
  <c r="M1187" i="15"/>
  <c r="N1187" i="15" s="1" a="1"/>
  <c r="N1187" i="15" s="1"/>
  <c r="L1187" i="15"/>
  <c r="J1187" i="15"/>
  <c r="I1187" i="15"/>
  <c r="S1186" i="15"/>
  <c r="R1186" i="15"/>
  <c r="M1186" i="15"/>
  <c r="N1186" i="15" s="1" a="1"/>
  <c r="N1186" i="15" s="1"/>
  <c r="L1186" i="15"/>
  <c r="J1186" i="15"/>
  <c r="I1186" i="15"/>
  <c r="S1185" i="15"/>
  <c r="R1185" i="15"/>
  <c r="M1185" i="15"/>
  <c r="N1185" i="15" s="1" a="1"/>
  <c r="N1185" i="15" s="1"/>
  <c r="L1185" i="15"/>
  <c r="J1185" i="15"/>
  <c r="I1185" i="15"/>
  <c r="S1184" i="15"/>
  <c r="R1184" i="15"/>
  <c r="N1184" i="15" a="1"/>
  <c r="N1184" i="15" s="1"/>
  <c r="M1184" i="15"/>
  <c r="L1184" i="15"/>
  <c r="J1184" i="15"/>
  <c r="I1184" i="15"/>
  <c r="S1183" i="15"/>
  <c r="R1183" i="15"/>
  <c r="M1183" i="15"/>
  <c r="N1183" i="15" s="1" a="1"/>
  <c r="N1183" i="15" s="1"/>
  <c r="L1183" i="15"/>
  <c r="J1183" i="15"/>
  <c r="I1183" i="15"/>
  <c r="S1182" i="15"/>
  <c r="R1182" i="15"/>
  <c r="M1182" i="15"/>
  <c r="N1182" i="15" s="1" a="1"/>
  <c r="N1182" i="15" s="1"/>
  <c r="L1182" i="15"/>
  <c r="J1182" i="15"/>
  <c r="I1182" i="15"/>
  <c r="S1181" i="15"/>
  <c r="R1181" i="15"/>
  <c r="M1181" i="15"/>
  <c r="N1181" i="15" s="1" a="1"/>
  <c r="N1181" i="15" s="1"/>
  <c r="L1181" i="15"/>
  <c r="J1181" i="15"/>
  <c r="I1181" i="15"/>
  <c r="S1180" i="15"/>
  <c r="R1180" i="15"/>
  <c r="M1180" i="15"/>
  <c r="N1180" i="15" s="1" a="1"/>
  <c r="N1180" i="15" s="1"/>
  <c r="L1180" i="15"/>
  <c r="J1180" i="15"/>
  <c r="I1180" i="15"/>
  <c r="S1179" i="15"/>
  <c r="R1179" i="15"/>
  <c r="M1179" i="15"/>
  <c r="N1179" i="15" s="1" a="1"/>
  <c r="N1179" i="15" s="1"/>
  <c r="L1179" i="15"/>
  <c r="J1179" i="15"/>
  <c r="I1179" i="15"/>
  <c r="S1178" i="15"/>
  <c r="R1178" i="15"/>
  <c r="M1178" i="15"/>
  <c r="N1178" i="15" s="1" a="1"/>
  <c r="N1178" i="15" s="1"/>
  <c r="L1178" i="15"/>
  <c r="J1178" i="15"/>
  <c r="I1178" i="15"/>
  <c r="S1177" i="15"/>
  <c r="R1177" i="15"/>
  <c r="M1177" i="15"/>
  <c r="N1177" i="15" s="1" a="1"/>
  <c r="N1177" i="15" s="1"/>
  <c r="L1177" i="15"/>
  <c r="J1177" i="15"/>
  <c r="I1177" i="15"/>
  <c r="S1176" i="15"/>
  <c r="R1176" i="15"/>
  <c r="N1176" i="15" a="1"/>
  <c r="N1176" i="15" s="1"/>
  <c r="M1176" i="15"/>
  <c r="L1176" i="15"/>
  <c r="J1176" i="15"/>
  <c r="I1176" i="15"/>
  <c r="S1175" i="15"/>
  <c r="R1175" i="15"/>
  <c r="M1175" i="15"/>
  <c r="N1175" i="15" s="1" a="1"/>
  <c r="N1175" i="15" s="1"/>
  <c r="L1175" i="15"/>
  <c r="J1175" i="15"/>
  <c r="I1175" i="15"/>
  <c r="S1174" i="15"/>
  <c r="R1174" i="15"/>
  <c r="M1174" i="15"/>
  <c r="N1174" i="15" s="1" a="1"/>
  <c r="N1174" i="15" s="1"/>
  <c r="L1174" i="15"/>
  <c r="J1174" i="15"/>
  <c r="I1174" i="15"/>
  <c r="S1173" i="15"/>
  <c r="R1173" i="15"/>
  <c r="M1173" i="15"/>
  <c r="N1173" i="15" s="1" a="1"/>
  <c r="N1173" i="15" s="1"/>
  <c r="L1173" i="15"/>
  <c r="J1173" i="15"/>
  <c r="I1173" i="15"/>
  <c r="S1172" i="15"/>
  <c r="R1172" i="15"/>
  <c r="M1172" i="15"/>
  <c r="N1172" i="15" s="1" a="1"/>
  <c r="N1172" i="15" s="1"/>
  <c r="L1172" i="15"/>
  <c r="J1172" i="15"/>
  <c r="I1172" i="15"/>
  <c r="S1171" i="15"/>
  <c r="R1171" i="15"/>
  <c r="M1171" i="15"/>
  <c r="N1171" i="15" s="1" a="1"/>
  <c r="N1171" i="15" s="1"/>
  <c r="L1171" i="15"/>
  <c r="J1171" i="15"/>
  <c r="I1171" i="15"/>
  <c r="S1170" i="15"/>
  <c r="R1170" i="15"/>
  <c r="M1170" i="15"/>
  <c r="N1170" i="15" s="1" a="1"/>
  <c r="N1170" i="15" s="1"/>
  <c r="L1170" i="15"/>
  <c r="J1170" i="15"/>
  <c r="I1170" i="15"/>
  <c r="S1169" i="15"/>
  <c r="R1169" i="15"/>
  <c r="M1169" i="15"/>
  <c r="N1169" i="15" s="1" a="1"/>
  <c r="N1169" i="15" s="1"/>
  <c r="L1169" i="15"/>
  <c r="J1169" i="15"/>
  <c r="I1169" i="15"/>
  <c r="S1168" i="15"/>
  <c r="R1168" i="15"/>
  <c r="M1168" i="15"/>
  <c r="N1168" i="15" s="1" a="1"/>
  <c r="N1168" i="15" s="1"/>
  <c r="L1168" i="15"/>
  <c r="J1168" i="15"/>
  <c r="I1168" i="15"/>
  <c r="S1167" i="15"/>
  <c r="R1167" i="15"/>
  <c r="M1167" i="15"/>
  <c r="N1167" i="15" s="1" a="1"/>
  <c r="N1167" i="15" s="1"/>
  <c r="L1167" i="15"/>
  <c r="J1167" i="15"/>
  <c r="I1167" i="15"/>
  <c r="S1166" i="15"/>
  <c r="R1166" i="15"/>
  <c r="M1166" i="15"/>
  <c r="N1166" i="15" s="1" a="1"/>
  <c r="N1166" i="15" s="1"/>
  <c r="L1166" i="15"/>
  <c r="J1166" i="15"/>
  <c r="I1166" i="15"/>
  <c r="S1165" i="15"/>
  <c r="R1165" i="15"/>
  <c r="M1165" i="15"/>
  <c r="N1165" i="15" s="1" a="1"/>
  <c r="N1165" i="15" s="1"/>
  <c r="L1165" i="15"/>
  <c r="J1165" i="15"/>
  <c r="I1165" i="15"/>
  <c r="S1164" i="15"/>
  <c r="R1164" i="15"/>
  <c r="N1164" i="15" a="1"/>
  <c r="N1164" i="15" s="1"/>
  <c r="M1164" i="15"/>
  <c r="L1164" i="15"/>
  <c r="J1164" i="15"/>
  <c r="I1164" i="15"/>
  <c r="S1163" i="15"/>
  <c r="R1163" i="15"/>
  <c r="M1163" i="15"/>
  <c r="N1163" i="15" s="1" a="1"/>
  <c r="N1163" i="15" s="1"/>
  <c r="L1163" i="15"/>
  <c r="J1163" i="15"/>
  <c r="I1163" i="15"/>
  <c r="S1162" i="15"/>
  <c r="R1162" i="15"/>
  <c r="M1162" i="15"/>
  <c r="N1162" i="15" s="1" a="1"/>
  <c r="N1162" i="15" s="1"/>
  <c r="L1162" i="15"/>
  <c r="J1162" i="15"/>
  <c r="I1162" i="15"/>
  <c r="S1161" i="15"/>
  <c r="R1161" i="15"/>
  <c r="M1161" i="15"/>
  <c r="N1161" i="15" s="1" a="1"/>
  <c r="N1161" i="15" s="1"/>
  <c r="L1161" i="15"/>
  <c r="J1161" i="15"/>
  <c r="I1161" i="15"/>
  <c r="S1160" i="15"/>
  <c r="R1160" i="15"/>
  <c r="M1160" i="15"/>
  <c r="N1160" i="15" s="1" a="1"/>
  <c r="N1160" i="15" s="1"/>
  <c r="L1160" i="15"/>
  <c r="J1160" i="15"/>
  <c r="I1160" i="15"/>
  <c r="E1160" i="15"/>
  <c r="D1160" i="15"/>
  <c r="S1159" i="15"/>
  <c r="R1159" i="15"/>
  <c r="M1159" i="15"/>
  <c r="N1159" i="15" s="1" a="1"/>
  <c r="N1159" i="15" s="1"/>
  <c r="L1159" i="15"/>
  <c r="J1159" i="15"/>
  <c r="I1159" i="15"/>
  <c r="E1159" i="15"/>
  <c r="D1159" i="15"/>
  <c r="S1158" i="15"/>
  <c r="R1158" i="15"/>
  <c r="M1158" i="15"/>
  <c r="N1158" i="15" s="1" a="1"/>
  <c r="N1158" i="15" s="1"/>
  <c r="L1158" i="15"/>
  <c r="J1158" i="15"/>
  <c r="I1158" i="15"/>
  <c r="E1158" i="15"/>
  <c r="D1158" i="15"/>
  <c r="S1157" i="15"/>
  <c r="R1157" i="15"/>
  <c r="M1157" i="15"/>
  <c r="N1157" i="15" s="1" a="1"/>
  <c r="N1157" i="15" s="1"/>
  <c r="L1157" i="15"/>
  <c r="J1157" i="15"/>
  <c r="I1157" i="15"/>
  <c r="E1157" i="15"/>
  <c r="D1157" i="15"/>
  <c r="S1156" i="15"/>
  <c r="R1156" i="15"/>
  <c r="M1156" i="15"/>
  <c r="N1156" i="15" s="1" a="1"/>
  <c r="N1156" i="15" s="1"/>
  <c r="L1156" i="15"/>
  <c r="J1156" i="15"/>
  <c r="I1156" i="15"/>
  <c r="E1156" i="15"/>
  <c r="D1156" i="15"/>
  <c r="S1155" i="15"/>
  <c r="R1155" i="15"/>
  <c r="M1155" i="15"/>
  <c r="N1155" i="15" s="1" a="1"/>
  <c r="N1155" i="15" s="1"/>
  <c r="L1155" i="15"/>
  <c r="J1155" i="15"/>
  <c r="I1155" i="15"/>
  <c r="E1155" i="15"/>
  <c r="D1155" i="15"/>
  <c r="S1154" i="15"/>
  <c r="R1154" i="15"/>
  <c r="M1154" i="15"/>
  <c r="N1154" i="15" s="1" a="1"/>
  <c r="N1154" i="15" s="1"/>
  <c r="L1154" i="15"/>
  <c r="J1154" i="15"/>
  <c r="I1154" i="15"/>
  <c r="E1154" i="15"/>
  <c r="D1154" i="15"/>
  <c r="S1153" i="15"/>
  <c r="R1153" i="15"/>
  <c r="M1153" i="15"/>
  <c r="N1153" i="15" s="1" a="1"/>
  <c r="N1153" i="15" s="1"/>
  <c r="L1153" i="15"/>
  <c r="J1153" i="15"/>
  <c r="I1153" i="15"/>
  <c r="E1153" i="15"/>
  <c r="D1153" i="15"/>
  <c r="S1152" i="15"/>
  <c r="R1152" i="15"/>
  <c r="M1152" i="15"/>
  <c r="N1152" i="15" s="1" a="1"/>
  <c r="N1152" i="15" s="1"/>
  <c r="L1152" i="15"/>
  <c r="J1152" i="15"/>
  <c r="I1152" i="15"/>
  <c r="E1152" i="15"/>
  <c r="D1152" i="15"/>
  <c r="S1151" i="15"/>
  <c r="R1151" i="15"/>
  <c r="M1151" i="15"/>
  <c r="N1151" i="15" s="1" a="1"/>
  <c r="N1151" i="15" s="1"/>
  <c r="L1151" i="15"/>
  <c r="J1151" i="15"/>
  <c r="I1151" i="15"/>
  <c r="E1151" i="15"/>
  <c r="D1151" i="15"/>
  <c r="S1150" i="15"/>
  <c r="R1150" i="15"/>
  <c r="M1150" i="15"/>
  <c r="N1150" i="15" s="1" a="1"/>
  <c r="N1150" i="15" s="1"/>
  <c r="L1150" i="15"/>
  <c r="J1150" i="15"/>
  <c r="I1150" i="15"/>
  <c r="E1150" i="15"/>
  <c r="D1150" i="15"/>
  <c r="S1149" i="15"/>
  <c r="R1149" i="15"/>
  <c r="N1149" i="15" a="1"/>
  <c r="N1149" i="15" s="1"/>
  <c r="M1149" i="15"/>
  <c r="L1149" i="15"/>
  <c r="J1149" i="15"/>
  <c r="I1149" i="15"/>
  <c r="E1149" i="15"/>
  <c r="D1149" i="15"/>
  <c r="S1148" i="15"/>
  <c r="R1148" i="15"/>
  <c r="M1148" i="15"/>
  <c r="N1148" i="15" s="1" a="1"/>
  <c r="N1148" i="15" s="1"/>
  <c r="L1148" i="15"/>
  <c r="J1148" i="15"/>
  <c r="I1148" i="15"/>
  <c r="E1148" i="15"/>
  <c r="D1148" i="15"/>
  <c r="S1147" i="15"/>
  <c r="R1147" i="15"/>
  <c r="M1147" i="15"/>
  <c r="N1147" i="15" s="1" a="1"/>
  <c r="N1147" i="15" s="1"/>
  <c r="L1147" i="15"/>
  <c r="J1147" i="15"/>
  <c r="I1147" i="15"/>
  <c r="E1147" i="15"/>
  <c r="D1147" i="15"/>
  <c r="S1146" i="15"/>
  <c r="R1146" i="15"/>
  <c r="M1146" i="15"/>
  <c r="N1146" i="15" s="1" a="1"/>
  <c r="N1146" i="15" s="1"/>
  <c r="L1146" i="15"/>
  <c r="J1146" i="15"/>
  <c r="I1146" i="15"/>
  <c r="E1146" i="15"/>
  <c r="D1146" i="15"/>
  <c r="S1145" i="15"/>
  <c r="R1145" i="15"/>
  <c r="M1145" i="15"/>
  <c r="N1145" i="15" s="1" a="1"/>
  <c r="N1145" i="15" s="1"/>
  <c r="L1145" i="15"/>
  <c r="J1145" i="15"/>
  <c r="I1145" i="15"/>
  <c r="E1145" i="15"/>
  <c r="D1145" i="15"/>
  <c r="S1144" i="15"/>
  <c r="R1144" i="15"/>
  <c r="N1144" i="15" a="1"/>
  <c r="N1144" i="15" s="1"/>
  <c r="M1144" i="15"/>
  <c r="L1144" i="15"/>
  <c r="J1144" i="15"/>
  <c r="I1144" i="15"/>
  <c r="E1144" i="15"/>
  <c r="D1144" i="15"/>
  <c r="S1143" i="15"/>
  <c r="R1143" i="15"/>
  <c r="M1143" i="15"/>
  <c r="N1143" i="15" s="1" a="1"/>
  <c r="N1143" i="15" s="1"/>
  <c r="L1143" i="15"/>
  <c r="J1143" i="15"/>
  <c r="I1143" i="15"/>
  <c r="E1143" i="15"/>
  <c r="D1143" i="15"/>
  <c r="S1142" i="15"/>
  <c r="R1142" i="15"/>
  <c r="M1142" i="15"/>
  <c r="N1142" i="15" s="1" a="1"/>
  <c r="N1142" i="15" s="1"/>
  <c r="L1142" i="15"/>
  <c r="J1142" i="15"/>
  <c r="I1142" i="15"/>
  <c r="E1142" i="15"/>
  <c r="D1142" i="15"/>
  <c r="S1141" i="15"/>
  <c r="R1141" i="15"/>
  <c r="M1141" i="15"/>
  <c r="N1141" i="15" s="1" a="1"/>
  <c r="N1141" i="15" s="1"/>
  <c r="L1141" i="15"/>
  <c r="J1141" i="15"/>
  <c r="I1141" i="15"/>
  <c r="E1141" i="15"/>
  <c r="D1141" i="15"/>
  <c r="S1140" i="15"/>
  <c r="R1140" i="15"/>
  <c r="M1140" i="15"/>
  <c r="N1140" i="15" s="1" a="1"/>
  <c r="N1140" i="15" s="1"/>
  <c r="L1140" i="15"/>
  <c r="J1140" i="15"/>
  <c r="I1140" i="15"/>
  <c r="E1140" i="15"/>
  <c r="D1140" i="15"/>
  <c r="S1139" i="15"/>
  <c r="R1139" i="15"/>
  <c r="M1139" i="15"/>
  <c r="N1139" i="15" s="1" a="1"/>
  <c r="N1139" i="15" s="1"/>
  <c r="L1139" i="15"/>
  <c r="J1139" i="15"/>
  <c r="I1139" i="15"/>
  <c r="E1139" i="15"/>
  <c r="D1139" i="15"/>
  <c r="S1138" i="15"/>
  <c r="R1138" i="15"/>
  <c r="M1138" i="15"/>
  <c r="N1138" i="15" s="1" a="1"/>
  <c r="N1138" i="15" s="1"/>
  <c r="L1138" i="15"/>
  <c r="J1138" i="15"/>
  <c r="I1138" i="15"/>
  <c r="E1138" i="15"/>
  <c r="D1138" i="15"/>
  <c r="S1137" i="15"/>
  <c r="R1137" i="15"/>
  <c r="M1137" i="15"/>
  <c r="N1137" i="15" s="1" a="1"/>
  <c r="N1137" i="15" s="1"/>
  <c r="L1137" i="15"/>
  <c r="J1137" i="15"/>
  <c r="I1137" i="15"/>
  <c r="E1137" i="15"/>
  <c r="D1137" i="15"/>
  <c r="S1136" i="15"/>
  <c r="R1136" i="15"/>
  <c r="M1136" i="15"/>
  <c r="N1136" i="15" s="1" a="1"/>
  <c r="N1136" i="15" s="1"/>
  <c r="L1136" i="15"/>
  <c r="J1136" i="15"/>
  <c r="I1136" i="15"/>
  <c r="E1136" i="15"/>
  <c r="D1136" i="15"/>
  <c r="S1135" i="15"/>
  <c r="R1135" i="15"/>
  <c r="M1135" i="15"/>
  <c r="N1135" i="15" s="1" a="1"/>
  <c r="N1135" i="15" s="1"/>
  <c r="L1135" i="15"/>
  <c r="J1135" i="15"/>
  <c r="I1135" i="15"/>
  <c r="E1135" i="15"/>
  <c r="D1135" i="15"/>
  <c r="S1134" i="15"/>
  <c r="R1134" i="15"/>
  <c r="M1134" i="15"/>
  <c r="N1134" i="15" s="1" a="1"/>
  <c r="N1134" i="15" s="1"/>
  <c r="L1134" i="15"/>
  <c r="J1134" i="15"/>
  <c r="I1134" i="15"/>
  <c r="E1134" i="15"/>
  <c r="D1134" i="15"/>
  <c r="S1133" i="15"/>
  <c r="R1133" i="15"/>
  <c r="M1133" i="15"/>
  <c r="N1133" i="15" s="1" a="1"/>
  <c r="N1133" i="15" s="1"/>
  <c r="L1133" i="15"/>
  <c r="J1133" i="15"/>
  <c r="I1133" i="15"/>
  <c r="E1133" i="15"/>
  <c r="D1133" i="15"/>
  <c r="S1132" i="15"/>
  <c r="R1132" i="15"/>
  <c r="M1132" i="15"/>
  <c r="N1132" i="15" s="1" a="1"/>
  <c r="N1132" i="15" s="1"/>
  <c r="L1132" i="15"/>
  <c r="J1132" i="15"/>
  <c r="I1132" i="15"/>
  <c r="E1132" i="15"/>
  <c r="D1132" i="15"/>
  <c r="S1131" i="15"/>
  <c r="R1131" i="15"/>
  <c r="M1131" i="15"/>
  <c r="N1131" i="15" s="1" a="1"/>
  <c r="N1131" i="15" s="1"/>
  <c r="L1131" i="15"/>
  <c r="J1131" i="15"/>
  <c r="I1131" i="15"/>
  <c r="E1131" i="15"/>
  <c r="D1131" i="15"/>
  <c r="S1130" i="15"/>
  <c r="R1130" i="15"/>
  <c r="M1130" i="15"/>
  <c r="N1130" i="15" s="1" a="1"/>
  <c r="N1130" i="15" s="1"/>
  <c r="L1130" i="15"/>
  <c r="J1130" i="15"/>
  <c r="I1130" i="15"/>
  <c r="E1130" i="15"/>
  <c r="D1130" i="15"/>
  <c r="S1129" i="15"/>
  <c r="R1129" i="15"/>
  <c r="M1129" i="15"/>
  <c r="N1129" i="15" s="1" a="1"/>
  <c r="N1129" i="15" s="1"/>
  <c r="L1129" i="15"/>
  <c r="J1129" i="15"/>
  <c r="I1129" i="15"/>
  <c r="E1129" i="15"/>
  <c r="D1129" i="15"/>
  <c r="S1128" i="15"/>
  <c r="R1128" i="15"/>
  <c r="M1128" i="15"/>
  <c r="N1128" i="15" s="1" a="1"/>
  <c r="N1128" i="15" s="1"/>
  <c r="L1128" i="15"/>
  <c r="J1128" i="15"/>
  <c r="I1128" i="15"/>
  <c r="E1128" i="15"/>
  <c r="D1128" i="15"/>
  <c r="S1127" i="15"/>
  <c r="R1127" i="15"/>
  <c r="M1127" i="15"/>
  <c r="N1127" i="15" s="1" a="1"/>
  <c r="N1127" i="15" s="1"/>
  <c r="L1127" i="15"/>
  <c r="J1127" i="15"/>
  <c r="I1127" i="15"/>
  <c r="E1127" i="15"/>
  <c r="D1127" i="15"/>
  <c r="S1126" i="15"/>
  <c r="R1126" i="15"/>
  <c r="M1126" i="15"/>
  <c r="N1126" i="15" s="1" a="1"/>
  <c r="N1126" i="15" s="1"/>
  <c r="L1126" i="15"/>
  <c r="J1126" i="15"/>
  <c r="I1126" i="15"/>
  <c r="E1126" i="15"/>
  <c r="D1126" i="15"/>
  <c r="S1125" i="15"/>
  <c r="R1125" i="15"/>
  <c r="M1125" i="15"/>
  <c r="N1125" i="15" s="1" a="1"/>
  <c r="N1125" i="15" s="1"/>
  <c r="L1125" i="15"/>
  <c r="J1125" i="15"/>
  <c r="I1125" i="15"/>
  <c r="E1125" i="15"/>
  <c r="D1125" i="15"/>
  <c r="S1124" i="15"/>
  <c r="R1124" i="15"/>
  <c r="M1124" i="15"/>
  <c r="N1124" i="15" s="1" a="1"/>
  <c r="N1124" i="15" s="1"/>
  <c r="L1124" i="15"/>
  <c r="J1124" i="15"/>
  <c r="I1124" i="15"/>
  <c r="E1124" i="15"/>
  <c r="D1124" i="15"/>
  <c r="S1123" i="15"/>
  <c r="R1123" i="15"/>
  <c r="M1123" i="15"/>
  <c r="N1123" i="15" s="1" a="1"/>
  <c r="N1123" i="15" s="1"/>
  <c r="L1123" i="15"/>
  <c r="J1123" i="15"/>
  <c r="I1123" i="15"/>
  <c r="E1123" i="15"/>
  <c r="D1123" i="15"/>
  <c r="S1122" i="15"/>
  <c r="R1122" i="15"/>
  <c r="M1122" i="15"/>
  <c r="N1122" i="15" s="1" a="1"/>
  <c r="N1122" i="15" s="1"/>
  <c r="L1122" i="15"/>
  <c r="J1122" i="15"/>
  <c r="I1122" i="15"/>
  <c r="E1122" i="15"/>
  <c r="D1122" i="15"/>
  <c r="S1121" i="15"/>
  <c r="R1121" i="15"/>
  <c r="M1121" i="15"/>
  <c r="N1121" i="15" s="1" a="1"/>
  <c r="N1121" i="15" s="1"/>
  <c r="L1121" i="15"/>
  <c r="J1121" i="15"/>
  <c r="I1121" i="15"/>
  <c r="E1121" i="15"/>
  <c r="D1121" i="15"/>
  <c r="S1120" i="15"/>
  <c r="R1120" i="15"/>
  <c r="M1120" i="15"/>
  <c r="N1120" i="15" s="1" a="1"/>
  <c r="N1120" i="15" s="1"/>
  <c r="L1120" i="15"/>
  <c r="J1120" i="15"/>
  <c r="I1120" i="15"/>
  <c r="E1120" i="15"/>
  <c r="D1120" i="15"/>
  <c r="S1119" i="15"/>
  <c r="R1119" i="15"/>
  <c r="M1119" i="15"/>
  <c r="N1119" i="15" s="1" a="1"/>
  <c r="N1119" i="15" s="1"/>
  <c r="L1119" i="15"/>
  <c r="J1119" i="15"/>
  <c r="I1119" i="15"/>
  <c r="E1119" i="15"/>
  <c r="D1119" i="15"/>
  <c r="S1118" i="15"/>
  <c r="R1118" i="15"/>
  <c r="M1118" i="15"/>
  <c r="N1118" i="15" s="1" a="1"/>
  <c r="N1118" i="15" s="1"/>
  <c r="L1118" i="15"/>
  <c r="J1118" i="15"/>
  <c r="I1118" i="15"/>
  <c r="E1118" i="15"/>
  <c r="D1118" i="15"/>
  <c r="S1117" i="15"/>
  <c r="R1117" i="15"/>
  <c r="M1117" i="15"/>
  <c r="N1117" i="15" s="1" a="1"/>
  <c r="N1117" i="15" s="1"/>
  <c r="L1117" i="15"/>
  <c r="J1117" i="15"/>
  <c r="I1117" i="15"/>
  <c r="E1117" i="15"/>
  <c r="D1117" i="15"/>
  <c r="S1116" i="15"/>
  <c r="R1116" i="15"/>
  <c r="M1116" i="15"/>
  <c r="N1116" i="15" s="1" a="1"/>
  <c r="N1116" i="15" s="1"/>
  <c r="L1116" i="15"/>
  <c r="J1116" i="15"/>
  <c r="I1116" i="15"/>
  <c r="E1116" i="15"/>
  <c r="D1116" i="15"/>
  <c r="S1115" i="15"/>
  <c r="R1115" i="15"/>
  <c r="M1115" i="15"/>
  <c r="N1115" i="15" s="1" a="1"/>
  <c r="N1115" i="15" s="1"/>
  <c r="L1115" i="15"/>
  <c r="J1115" i="15"/>
  <c r="I1115" i="15"/>
  <c r="E1115" i="15"/>
  <c r="D1115" i="15"/>
  <c r="S1114" i="15"/>
  <c r="R1114" i="15"/>
  <c r="M1114" i="15"/>
  <c r="N1114" i="15" s="1" a="1"/>
  <c r="N1114" i="15" s="1"/>
  <c r="L1114" i="15"/>
  <c r="J1114" i="15"/>
  <c r="I1114" i="15"/>
  <c r="E1114" i="15"/>
  <c r="D1114" i="15"/>
  <c r="S1113" i="15"/>
  <c r="R1113" i="15"/>
  <c r="M1113" i="15"/>
  <c r="N1113" i="15" s="1" a="1"/>
  <c r="N1113" i="15" s="1"/>
  <c r="L1113" i="15"/>
  <c r="J1113" i="15"/>
  <c r="I1113" i="15"/>
  <c r="E1113" i="15"/>
  <c r="D1113" i="15"/>
  <c r="S1112" i="15"/>
  <c r="R1112" i="15"/>
  <c r="M1112" i="15"/>
  <c r="N1112" i="15" s="1" a="1"/>
  <c r="N1112" i="15" s="1"/>
  <c r="L1112" i="15"/>
  <c r="J1112" i="15"/>
  <c r="I1112" i="15"/>
  <c r="E1112" i="15"/>
  <c r="D1112" i="15"/>
  <c r="S1111" i="15"/>
  <c r="R1111" i="15"/>
  <c r="M1111" i="15"/>
  <c r="N1111" i="15" s="1" a="1"/>
  <c r="N1111" i="15" s="1"/>
  <c r="L1111" i="15"/>
  <c r="J1111" i="15"/>
  <c r="I1111" i="15"/>
  <c r="E1111" i="15"/>
  <c r="D1111" i="15"/>
  <c r="S1110" i="15"/>
  <c r="R1110" i="15"/>
  <c r="M1110" i="15"/>
  <c r="N1110" i="15" s="1" a="1"/>
  <c r="N1110" i="15" s="1"/>
  <c r="L1110" i="15"/>
  <c r="J1110" i="15"/>
  <c r="I1110" i="15"/>
  <c r="E1110" i="15"/>
  <c r="D1110" i="15"/>
  <c r="S1109" i="15"/>
  <c r="R1109" i="15"/>
  <c r="M1109" i="15"/>
  <c r="N1109" i="15" s="1" a="1"/>
  <c r="N1109" i="15" s="1"/>
  <c r="L1109" i="15"/>
  <c r="J1109" i="15"/>
  <c r="I1109" i="15"/>
  <c r="E1109" i="15"/>
  <c r="D1109" i="15"/>
  <c r="S1108" i="15"/>
  <c r="R1108" i="15"/>
  <c r="M1108" i="15"/>
  <c r="N1108" i="15" s="1" a="1"/>
  <c r="N1108" i="15" s="1"/>
  <c r="L1108" i="15"/>
  <c r="J1108" i="15"/>
  <c r="I1108" i="15"/>
  <c r="E1108" i="15"/>
  <c r="D1108" i="15"/>
  <c r="S1107" i="15"/>
  <c r="R1107" i="15"/>
  <c r="M1107" i="15"/>
  <c r="N1107" i="15" s="1" a="1"/>
  <c r="N1107" i="15" s="1"/>
  <c r="L1107" i="15"/>
  <c r="J1107" i="15"/>
  <c r="I1107" i="15"/>
  <c r="E1107" i="15"/>
  <c r="D1107" i="15"/>
  <c r="S1106" i="15"/>
  <c r="R1106" i="15"/>
  <c r="M1106" i="15"/>
  <c r="N1106" i="15" s="1" a="1"/>
  <c r="N1106" i="15" s="1"/>
  <c r="L1106" i="15"/>
  <c r="J1106" i="15"/>
  <c r="I1106" i="15"/>
  <c r="E1106" i="15"/>
  <c r="D1106" i="15"/>
  <c r="S1105" i="15"/>
  <c r="R1105" i="15"/>
  <c r="M1105" i="15"/>
  <c r="N1105" i="15" s="1" a="1"/>
  <c r="N1105" i="15" s="1"/>
  <c r="L1105" i="15"/>
  <c r="J1105" i="15"/>
  <c r="I1105" i="15"/>
  <c r="E1105" i="15"/>
  <c r="D1105" i="15"/>
  <c r="S1104" i="15"/>
  <c r="R1104" i="15"/>
  <c r="M1104" i="15"/>
  <c r="N1104" i="15" s="1" a="1"/>
  <c r="N1104" i="15" s="1"/>
  <c r="L1104" i="15"/>
  <c r="J1104" i="15"/>
  <c r="I1104" i="15"/>
  <c r="E1104" i="15"/>
  <c r="D1104" i="15"/>
  <c r="S1103" i="15"/>
  <c r="R1103" i="15"/>
  <c r="M1103" i="15"/>
  <c r="N1103" i="15" s="1" a="1"/>
  <c r="N1103" i="15" s="1"/>
  <c r="L1103" i="15"/>
  <c r="J1103" i="15"/>
  <c r="I1103" i="15"/>
  <c r="E1103" i="15"/>
  <c r="D1103" i="15"/>
  <c r="S1102" i="15"/>
  <c r="R1102" i="15"/>
  <c r="M1102" i="15"/>
  <c r="N1102" i="15" s="1" a="1"/>
  <c r="N1102" i="15" s="1"/>
  <c r="L1102" i="15"/>
  <c r="J1102" i="15"/>
  <c r="I1102" i="15"/>
  <c r="E1102" i="15"/>
  <c r="D1102" i="15"/>
  <c r="S1101" i="15"/>
  <c r="R1101" i="15"/>
  <c r="M1101" i="15"/>
  <c r="N1101" i="15" s="1" a="1"/>
  <c r="N1101" i="15" s="1"/>
  <c r="L1101" i="15"/>
  <c r="J1101" i="15"/>
  <c r="I1101" i="15"/>
  <c r="E1101" i="15"/>
  <c r="D1101" i="15"/>
  <c r="S1100" i="15"/>
  <c r="R1100" i="15"/>
  <c r="M1100" i="15"/>
  <c r="N1100" i="15" s="1" a="1"/>
  <c r="N1100" i="15" s="1"/>
  <c r="L1100" i="15"/>
  <c r="J1100" i="15"/>
  <c r="I1100" i="15"/>
  <c r="E1100" i="15"/>
  <c r="D1100" i="15"/>
  <c r="S1099" i="15"/>
  <c r="R1099" i="15"/>
  <c r="M1099" i="15"/>
  <c r="N1099" i="15" s="1" a="1"/>
  <c r="N1099" i="15" s="1"/>
  <c r="L1099" i="15"/>
  <c r="J1099" i="15"/>
  <c r="I1099" i="15"/>
  <c r="E1099" i="15"/>
  <c r="D1099" i="15"/>
  <c r="S1098" i="15"/>
  <c r="R1098" i="15"/>
  <c r="M1098" i="15"/>
  <c r="N1098" i="15" s="1" a="1"/>
  <c r="N1098" i="15" s="1"/>
  <c r="L1098" i="15"/>
  <c r="J1098" i="15"/>
  <c r="I1098" i="15"/>
  <c r="E1098" i="15"/>
  <c r="D1098" i="15"/>
  <c r="S1097" i="15"/>
  <c r="R1097" i="15"/>
  <c r="M1097" i="15"/>
  <c r="N1097" i="15" s="1" a="1"/>
  <c r="N1097" i="15" s="1"/>
  <c r="L1097" i="15"/>
  <c r="J1097" i="15"/>
  <c r="I1097" i="15"/>
  <c r="E1097" i="15"/>
  <c r="D1097" i="15"/>
  <c r="S1096" i="15"/>
  <c r="R1096" i="15"/>
  <c r="M1096" i="15"/>
  <c r="N1096" i="15" s="1" a="1"/>
  <c r="N1096" i="15" s="1"/>
  <c r="L1096" i="15"/>
  <c r="J1096" i="15"/>
  <c r="I1096" i="15"/>
  <c r="E1096" i="15"/>
  <c r="D1096" i="15"/>
  <c r="S1095" i="15"/>
  <c r="R1095" i="15"/>
  <c r="M1095" i="15"/>
  <c r="N1095" i="15" s="1" a="1"/>
  <c r="N1095" i="15" s="1"/>
  <c r="L1095" i="15"/>
  <c r="J1095" i="15"/>
  <c r="I1095" i="15"/>
  <c r="E1095" i="15"/>
  <c r="D1095" i="15"/>
  <c r="S1094" i="15"/>
  <c r="R1094" i="15"/>
  <c r="M1094" i="15"/>
  <c r="N1094" i="15" s="1" a="1"/>
  <c r="N1094" i="15" s="1"/>
  <c r="L1094" i="15"/>
  <c r="J1094" i="15"/>
  <c r="I1094" i="15"/>
  <c r="E1094" i="15"/>
  <c r="D1094" i="15"/>
  <c r="S1093" i="15"/>
  <c r="R1093" i="15"/>
  <c r="M1093" i="15"/>
  <c r="N1093" i="15" s="1" a="1"/>
  <c r="N1093" i="15" s="1"/>
  <c r="L1093" i="15"/>
  <c r="J1093" i="15"/>
  <c r="I1093" i="15"/>
  <c r="E1093" i="15"/>
  <c r="D1093" i="15"/>
  <c r="S1092" i="15"/>
  <c r="R1092" i="15"/>
  <c r="M1092" i="15"/>
  <c r="N1092" i="15" s="1" a="1"/>
  <c r="N1092" i="15" s="1"/>
  <c r="L1092" i="15"/>
  <c r="J1092" i="15"/>
  <c r="I1092" i="15"/>
  <c r="E1092" i="15"/>
  <c r="D1092" i="15"/>
  <c r="S1091" i="15"/>
  <c r="R1091" i="15"/>
  <c r="M1091" i="15"/>
  <c r="N1091" i="15" s="1" a="1"/>
  <c r="N1091" i="15" s="1"/>
  <c r="L1091" i="15"/>
  <c r="J1091" i="15"/>
  <c r="I1091" i="15"/>
  <c r="E1091" i="15"/>
  <c r="D1091" i="15"/>
  <c r="S1090" i="15"/>
  <c r="R1090" i="15"/>
  <c r="M1090" i="15"/>
  <c r="N1090" i="15" s="1" a="1"/>
  <c r="N1090" i="15" s="1"/>
  <c r="L1090" i="15"/>
  <c r="J1090" i="15"/>
  <c r="I1090" i="15"/>
  <c r="E1090" i="15"/>
  <c r="D1090" i="15"/>
  <c r="S1089" i="15"/>
  <c r="R1089" i="15"/>
  <c r="M1089" i="15"/>
  <c r="N1089" i="15" s="1" a="1"/>
  <c r="N1089" i="15" s="1"/>
  <c r="L1089" i="15"/>
  <c r="J1089" i="15"/>
  <c r="I1089" i="15"/>
  <c r="E1089" i="15"/>
  <c r="D1089" i="15"/>
  <c r="S1088" i="15"/>
  <c r="R1088" i="15"/>
  <c r="M1088" i="15"/>
  <c r="N1088" i="15" s="1" a="1"/>
  <c r="N1088" i="15" s="1"/>
  <c r="L1088" i="15"/>
  <c r="J1088" i="15"/>
  <c r="I1088" i="15"/>
  <c r="E1088" i="15"/>
  <c r="D1088" i="15"/>
  <c r="S1087" i="15"/>
  <c r="R1087" i="15"/>
  <c r="M1087" i="15"/>
  <c r="N1087" i="15" s="1" a="1"/>
  <c r="N1087" i="15" s="1"/>
  <c r="L1087" i="15"/>
  <c r="J1087" i="15"/>
  <c r="I1087" i="15"/>
  <c r="E1087" i="15"/>
  <c r="D1087" i="15"/>
  <c r="S1086" i="15"/>
  <c r="R1086" i="15"/>
  <c r="M1086" i="15"/>
  <c r="N1086" i="15" s="1" a="1"/>
  <c r="N1086" i="15" s="1"/>
  <c r="L1086" i="15"/>
  <c r="J1086" i="15"/>
  <c r="I1086" i="15"/>
  <c r="E1086" i="15"/>
  <c r="D1086" i="15"/>
  <c r="S1085" i="15"/>
  <c r="R1085" i="15"/>
  <c r="M1085" i="15"/>
  <c r="N1085" i="15" s="1" a="1"/>
  <c r="N1085" i="15" s="1"/>
  <c r="L1085" i="15"/>
  <c r="J1085" i="15"/>
  <c r="I1085" i="15"/>
  <c r="E1085" i="15"/>
  <c r="D1085" i="15"/>
  <c r="S1084" i="15"/>
  <c r="R1084" i="15"/>
  <c r="M1084" i="15"/>
  <c r="N1084" i="15" s="1" a="1"/>
  <c r="N1084" i="15" s="1"/>
  <c r="L1084" i="15"/>
  <c r="J1084" i="15"/>
  <c r="I1084" i="15"/>
  <c r="E1084" i="15"/>
  <c r="D1084" i="15"/>
  <c r="S1083" i="15"/>
  <c r="R1083" i="15"/>
  <c r="M1083" i="15"/>
  <c r="N1083" i="15" s="1" a="1"/>
  <c r="N1083" i="15" s="1"/>
  <c r="L1083" i="15"/>
  <c r="J1083" i="15"/>
  <c r="I1083" i="15"/>
  <c r="E1083" i="15"/>
  <c r="D1083" i="15"/>
  <c r="S1082" i="15"/>
  <c r="R1082" i="15"/>
  <c r="M1082" i="15"/>
  <c r="N1082" i="15" s="1" a="1"/>
  <c r="N1082" i="15" s="1"/>
  <c r="L1082" i="15"/>
  <c r="J1082" i="15"/>
  <c r="I1082" i="15"/>
  <c r="E1082" i="15"/>
  <c r="D1082" i="15"/>
  <c r="S1081" i="15"/>
  <c r="R1081" i="15"/>
  <c r="M1081" i="15"/>
  <c r="N1081" i="15" s="1" a="1"/>
  <c r="N1081" i="15" s="1"/>
  <c r="L1081" i="15"/>
  <c r="J1081" i="15"/>
  <c r="I1081" i="15"/>
  <c r="E1081" i="15"/>
  <c r="D1081" i="15"/>
  <c r="S1080" i="15"/>
  <c r="R1080" i="15"/>
  <c r="M1080" i="15"/>
  <c r="N1080" i="15" s="1" a="1"/>
  <c r="N1080" i="15" s="1"/>
  <c r="L1080" i="15"/>
  <c r="J1080" i="15"/>
  <c r="I1080" i="15"/>
  <c r="E1080" i="15"/>
  <c r="D1080" i="15"/>
  <c r="S1079" i="15"/>
  <c r="R1079" i="15"/>
  <c r="M1079" i="15"/>
  <c r="N1079" i="15" s="1" a="1"/>
  <c r="N1079" i="15" s="1"/>
  <c r="L1079" i="15"/>
  <c r="J1079" i="15"/>
  <c r="I1079" i="15"/>
  <c r="E1079" i="15"/>
  <c r="D1079" i="15"/>
  <c r="S1078" i="15"/>
  <c r="R1078" i="15"/>
  <c r="M1078" i="15"/>
  <c r="N1078" i="15" s="1" a="1"/>
  <c r="N1078" i="15" s="1"/>
  <c r="L1078" i="15"/>
  <c r="J1078" i="15"/>
  <c r="I1078" i="15"/>
  <c r="E1078" i="15"/>
  <c r="D1078" i="15"/>
  <c r="S1077" i="15"/>
  <c r="R1077" i="15"/>
  <c r="M1077" i="15"/>
  <c r="N1077" i="15" s="1" a="1"/>
  <c r="N1077" i="15" s="1"/>
  <c r="L1077" i="15"/>
  <c r="J1077" i="15"/>
  <c r="I1077" i="15"/>
  <c r="E1077" i="15"/>
  <c r="D1077" i="15"/>
  <c r="S1076" i="15"/>
  <c r="R1076" i="15"/>
  <c r="M1076" i="15"/>
  <c r="N1076" i="15" s="1" a="1"/>
  <c r="N1076" i="15" s="1"/>
  <c r="L1076" i="15"/>
  <c r="J1076" i="15"/>
  <c r="I1076" i="15"/>
  <c r="E1076" i="15"/>
  <c r="D1076" i="15"/>
  <c r="S1075" i="15"/>
  <c r="R1075" i="15"/>
  <c r="M1075" i="15"/>
  <c r="N1075" i="15" s="1" a="1"/>
  <c r="N1075" i="15" s="1"/>
  <c r="L1075" i="15"/>
  <c r="J1075" i="15"/>
  <c r="I1075" i="15"/>
  <c r="E1075" i="15"/>
  <c r="D1075" i="15"/>
  <c r="S1074" i="15"/>
  <c r="R1074" i="15"/>
  <c r="M1074" i="15"/>
  <c r="N1074" i="15" s="1" a="1"/>
  <c r="N1074" i="15" s="1"/>
  <c r="L1074" i="15"/>
  <c r="J1074" i="15"/>
  <c r="I1074" i="15"/>
  <c r="E1074" i="15"/>
  <c r="D1074" i="15"/>
  <c r="S1073" i="15"/>
  <c r="R1073" i="15"/>
  <c r="M1073" i="15"/>
  <c r="N1073" i="15" s="1" a="1"/>
  <c r="N1073" i="15" s="1"/>
  <c r="L1073" i="15"/>
  <c r="J1073" i="15"/>
  <c r="I1073" i="15"/>
  <c r="E1073" i="15"/>
  <c r="D1073" i="15"/>
  <c r="S1072" i="15"/>
  <c r="R1072" i="15"/>
  <c r="M1072" i="15"/>
  <c r="N1072" i="15" s="1" a="1"/>
  <c r="N1072" i="15" s="1"/>
  <c r="L1072" i="15"/>
  <c r="J1072" i="15"/>
  <c r="I1072" i="15"/>
  <c r="E1072" i="15"/>
  <c r="D1072" i="15"/>
  <c r="S1071" i="15"/>
  <c r="R1071" i="15"/>
  <c r="M1071" i="15"/>
  <c r="N1071" i="15" s="1" a="1"/>
  <c r="N1071" i="15" s="1"/>
  <c r="L1071" i="15"/>
  <c r="J1071" i="15"/>
  <c r="I1071" i="15"/>
  <c r="E1071" i="15"/>
  <c r="D1071" i="15"/>
  <c r="S1070" i="15"/>
  <c r="R1070" i="15"/>
  <c r="M1070" i="15"/>
  <c r="N1070" i="15" s="1" a="1"/>
  <c r="N1070" i="15" s="1"/>
  <c r="L1070" i="15"/>
  <c r="J1070" i="15"/>
  <c r="I1070" i="15"/>
  <c r="E1070" i="15"/>
  <c r="D1070" i="15"/>
  <c r="S1069" i="15"/>
  <c r="R1069" i="15"/>
  <c r="M1069" i="15"/>
  <c r="N1069" i="15" s="1" a="1"/>
  <c r="N1069" i="15" s="1"/>
  <c r="L1069" i="15"/>
  <c r="J1069" i="15"/>
  <c r="I1069" i="15"/>
  <c r="E1069" i="15"/>
  <c r="D1069" i="15"/>
  <c r="S1068" i="15"/>
  <c r="R1068" i="15"/>
  <c r="M1068" i="15"/>
  <c r="N1068" i="15" s="1" a="1"/>
  <c r="N1068" i="15" s="1"/>
  <c r="L1068" i="15"/>
  <c r="J1068" i="15"/>
  <c r="I1068" i="15"/>
  <c r="E1068" i="15"/>
  <c r="D1068" i="15"/>
  <c r="S1067" i="15"/>
  <c r="R1067" i="15"/>
  <c r="M1067" i="15"/>
  <c r="N1067" i="15" s="1" a="1"/>
  <c r="N1067" i="15" s="1"/>
  <c r="L1067" i="15"/>
  <c r="J1067" i="15"/>
  <c r="I1067" i="15"/>
  <c r="E1067" i="15"/>
  <c r="D1067" i="15"/>
  <c r="S1066" i="15"/>
  <c r="R1066" i="15"/>
  <c r="M1066" i="15"/>
  <c r="N1066" i="15" s="1" a="1"/>
  <c r="N1066" i="15" s="1"/>
  <c r="L1066" i="15"/>
  <c r="J1066" i="15"/>
  <c r="I1066" i="15"/>
  <c r="E1066" i="15"/>
  <c r="D1066" i="15"/>
  <c r="S1065" i="15"/>
  <c r="R1065" i="15"/>
  <c r="M1065" i="15"/>
  <c r="N1065" i="15" s="1" a="1"/>
  <c r="N1065" i="15" s="1"/>
  <c r="L1065" i="15"/>
  <c r="J1065" i="15"/>
  <c r="I1065" i="15"/>
  <c r="E1065" i="15"/>
  <c r="D1065" i="15"/>
  <c r="S1064" i="15"/>
  <c r="R1064" i="15"/>
  <c r="M1064" i="15"/>
  <c r="N1064" i="15" s="1" a="1"/>
  <c r="N1064" i="15" s="1"/>
  <c r="L1064" i="15"/>
  <c r="J1064" i="15"/>
  <c r="I1064" i="15"/>
  <c r="E1064" i="15"/>
  <c r="D1064" i="15"/>
  <c r="S1063" i="15"/>
  <c r="R1063" i="15"/>
  <c r="M1063" i="15"/>
  <c r="N1063" i="15" s="1" a="1"/>
  <c r="N1063" i="15" s="1"/>
  <c r="L1063" i="15"/>
  <c r="J1063" i="15"/>
  <c r="I1063" i="15"/>
  <c r="E1063" i="15"/>
  <c r="D1063" i="15"/>
  <c r="S1062" i="15"/>
  <c r="R1062" i="15"/>
  <c r="M1062" i="15"/>
  <c r="N1062" i="15" s="1" a="1"/>
  <c r="N1062" i="15" s="1"/>
  <c r="L1062" i="15"/>
  <c r="J1062" i="15"/>
  <c r="I1062" i="15"/>
  <c r="E1062" i="15"/>
  <c r="D1062" i="15"/>
  <c r="S1061" i="15"/>
  <c r="R1061" i="15"/>
  <c r="M1061" i="15"/>
  <c r="N1061" i="15" s="1" a="1"/>
  <c r="N1061" i="15" s="1"/>
  <c r="L1061" i="15"/>
  <c r="J1061" i="15"/>
  <c r="I1061" i="15"/>
  <c r="E1061" i="15"/>
  <c r="D1061" i="15"/>
  <c r="S1060" i="15"/>
  <c r="R1060" i="15"/>
  <c r="M1060" i="15"/>
  <c r="N1060" i="15" s="1" a="1"/>
  <c r="N1060" i="15" s="1"/>
  <c r="L1060" i="15"/>
  <c r="J1060" i="15"/>
  <c r="I1060" i="15"/>
  <c r="E1060" i="15"/>
  <c r="D1060" i="15"/>
  <c r="S1059" i="15"/>
  <c r="R1059" i="15"/>
  <c r="M1059" i="15"/>
  <c r="N1059" i="15" s="1" a="1"/>
  <c r="N1059" i="15" s="1"/>
  <c r="L1059" i="15"/>
  <c r="J1059" i="15"/>
  <c r="I1059" i="15"/>
  <c r="E1059" i="15"/>
  <c r="D1059" i="15"/>
  <c r="S1058" i="15"/>
  <c r="R1058" i="15"/>
  <c r="M1058" i="15"/>
  <c r="N1058" i="15" s="1" a="1"/>
  <c r="N1058" i="15" s="1"/>
  <c r="L1058" i="15"/>
  <c r="J1058" i="15"/>
  <c r="I1058" i="15"/>
  <c r="E1058" i="15"/>
  <c r="D1058" i="15"/>
  <c r="S1057" i="15"/>
  <c r="R1057" i="15"/>
  <c r="M1057" i="15"/>
  <c r="N1057" i="15" s="1" a="1"/>
  <c r="N1057" i="15" s="1"/>
  <c r="L1057" i="15"/>
  <c r="J1057" i="15"/>
  <c r="I1057" i="15"/>
  <c r="E1057" i="15"/>
  <c r="D1057" i="15"/>
  <c r="S1056" i="15"/>
  <c r="R1056" i="15"/>
  <c r="M1056" i="15"/>
  <c r="N1056" i="15" s="1" a="1"/>
  <c r="N1056" i="15" s="1"/>
  <c r="L1056" i="15"/>
  <c r="J1056" i="15"/>
  <c r="I1056" i="15"/>
  <c r="E1056" i="15"/>
  <c r="D1056" i="15"/>
  <c r="S1055" i="15"/>
  <c r="R1055" i="15"/>
  <c r="M1055" i="15"/>
  <c r="N1055" i="15" s="1" a="1"/>
  <c r="N1055" i="15" s="1"/>
  <c r="L1055" i="15"/>
  <c r="J1055" i="15"/>
  <c r="I1055" i="15"/>
  <c r="E1055" i="15"/>
  <c r="D1055" i="15"/>
  <c r="S1054" i="15"/>
  <c r="R1054" i="15"/>
  <c r="M1054" i="15"/>
  <c r="N1054" i="15" s="1" a="1"/>
  <c r="N1054" i="15" s="1"/>
  <c r="L1054" i="15"/>
  <c r="J1054" i="15"/>
  <c r="I1054" i="15"/>
  <c r="E1054" i="15"/>
  <c r="D1054" i="15"/>
  <c r="S1053" i="15"/>
  <c r="R1053" i="15"/>
  <c r="M1053" i="15"/>
  <c r="N1053" i="15" s="1" a="1"/>
  <c r="N1053" i="15" s="1"/>
  <c r="L1053" i="15"/>
  <c r="J1053" i="15"/>
  <c r="I1053" i="15"/>
  <c r="E1053" i="15"/>
  <c r="D1053" i="15"/>
  <c r="S1052" i="15"/>
  <c r="R1052" i="15"/>
  <c r="M1052" i="15"/>
  <c r="N1052" i="15" s="1" a="1"/>
  <c r="N1052" i="15" s="1"/>
  <c r="L1052" i="15"/>
  <c r="J1052" i="15"/>
  <c r="I1052" i="15"/>
  <c r="E1052" i="15"/>
  <c r="D1052" i="15"/>
  <c r="S1051" i="15"/>
  <c r="R1051" i="15"/>
  <c r="M1051" i="15"/>
  <c r="N1051" i="15" s="1" a="1"/>
  <c r="N1051" i="15" s="1"/>
  <c r="L1051" i="15"/>
  <c r="J1051" i="15"/>
  <c r="I1051" i="15"/>
  <c r="E1051" i="15"/>
  <c r="D1051" i="15"/>
  <c r="S1050" i="15"/>
  <c r="R1050" i="15"/>
  <c r="M1050" i="15"/>
  <c r="N1050" i="15" s="1" a="1"/>
  <c r="N1050" i="15" s="1"/>
  <c r="L1050" i="15"/>
  <c r="J1050" i="15"/>
  <c r="I1050" i="15"/>
  <c r="E1050" i="15"/>
  <c r="D1050" i="15"/>
  <c r="S1049" i="15"/>
  <c r="R1049" i="15"/>
  <c r="M1049" i="15"/>
  <c r="N1049" i="15" s="1" a="1"/>
  <c r="N1049" i="15" s="1"/>
  <c r="L1049" i="15"/>
  <c r="J1049" i="15"/>
  <c r="I1049" i="15"/>
  <c r="E1049" i="15"/>
  <c r="D1049" i="15"/>
  <c r="S1048" i="15"/>
  <c r="R1048" i="15"/>
  <c r="M1048" i="15"/>
  <c r="N1048" i="15" s="1" a="1"/>
  <c r="N1048" i="15" s="1"/>
  <c r="L1048" i="15"/>
  <c r="J1048" i="15"/>
  <c r="I1048" i="15"/>
  <c r="E1048" i="15"/>
  <c r="D1048" i="15"/>
  <c r="S1047" i="15"/>
  <c r="R1047" i="15"/>
  <c r="M1047" i="15"/>
  <c r="N1047" i="15" s="1" a="1"/>
  <c r="N1047" i="15" s="1"/>
  <c r="L1047" i="15"/>
  <c r="J1047" i="15"/>
  <c r="I1047" i="15"/>
  <c r="E1047" i="15"/>
  <c r="D1047" i="15"/>
  <c r="S1046" i="15"/>
  <c r="R1046" i="15"/>
  <c r="N1046" i="15" a="1"/>
  <c r="N1046" i="15" s="1"/>
  <c r="M1046" i="15"/>
  <c r="L1046" i="15"/>
  <c r="J1046" i="15"/>
  <c r="I1046" i="15"/>
  <c r="E1046" i="15"/>
  <c r="D1046" i="15"/>
  <c r="S1045" i="15"/>
  <c r="R1045" i="15"/>
  <c r="M1045" i="15"/>
  <c r="N1045" i="15" s="1" a="1"/>
  <c r="N1045" i="15" s="1"/>
  <c r="L1045" i="15"/>
  <c r="J1045" i="15"/>
  <c r="I1045" i="15"/>
  <c r="E1045" i="15"/>
  <c r="D1045" i="15"/>
  <c r="S1044" i="15"/>
  <c r="R1044" i="15"/>
  <c r="M1044" i="15"/>
  <c r="N1044" i="15" s="1" a="1"/>
  <c r="N1044" i="15" s="1"/>
  <c r="L1044" i="15"/>
  <c r="J1044" i="15"/>
  <c r="I1044" i="15"/>
  <c r="E1044" i="15"/>
  <c r="D1044" i="15"/>
  <c r="S1043" i="15"/>
  <c r="R1043" i="15"/>
  <c r="M1043" i="15"/>
  <c r="N1043" i="15" s="1" a="1"/>
  <c r="N1043" i="15" s="1"/>
  <c r="L1043" i="15"/>
  <c r="J1043" i="15"/>
  <c r="I1043" i="15"/>
  <c r="E1043" i="15"/>
  <c r="D1043" i="15"/>
  <c r="S1042" i="15"/>
  <c r="R1042" i="15"/>
  <c r="M1042" i="15"/>
  <c r="N1042" i="15" s="1" a="1"/>
  <c r="N1042" i="15" s="1"/>
  <c r="L1042" i="15"/>
  <c r="J1042" i="15"/>
  <c r="I1042" i="15"/>
  <c r="E1042" i="15"/>
  <c r="D1042" i="15"/>
  <c r="S1041" i="15"/>
  <c r="R1041" i="15"/>
  <c r="M1041" i="15"/>
  <c r="N1041" i="15" s="1" a="1"/>
  <c r="N1041" i="15" s="1"/>
  <c r="L1041" i="15"/>
  <c r="J1041" i="15"/>
  <c r="I1041" i="15"/>
  <c r="E1041" i="15"/>
  <c r="D1041" i="15"/>
  <c r="S1040" i="15"/>
  <c r="R1040" i="15"/>
  <c r="M1040" i="15"/>
  <c r="N1040" i="15" s="1" a="1"/>
  <c r="N1040" i="15" s="1"/>
  <c r="L1040" i="15"/>
  <c r="J1040" i="15"/>
  <c r="I1040" i="15"/>
  <c r="E1040" i="15"/>
  <c r="D1040" i="15"/>
  <c r="S1039" i="15"/>
  <c r="R1039" i="15"/>
  <c r="M1039" i="15"/>
  <c r="N1039" i="15" s="1" a="1"/>
  <c r="N1039" i="15" s="1"/>
  <c r="L1039" i="15"/>
  <c r="J1039" i="15"/>
  <c r="I1039" i="15"/>
  <c r="E1039" i="15"/>
  <c r="D1039" i="15"/>
  <c r="S1038" i="15"/>
  <c r="R1038" i="15"/>
  <c r="M1038" i="15"/>
  <c r="N1038" i="15" s="1" a="1"/>
  <c r="N1038" i="15" s="1"/>
  <c r="L1038" i="15"/>
  <c r="J1038" i="15"/>
  <c r="I1038" i="15"/>
  <c r="E1038" i="15"/>
  <c r="D1038" i="15"/>
  <c r="S1037" i="15"/>
  <c r="R1037" i="15"/>
  <c r="M1037" i="15"/>
  <c r="N1037" i="15" s="1" a="1"/>
  <c r="N1037" i="15" s="1"/>
  <c r="L1037" i="15"/>
  <c r="J1037" i="15"/>
  <c r="I1037" i="15"/>
  <c r="E1037" i="15"/>
  <c r="D1037" i="15"/>
  <c r="S1036" i="15"/>
  <c r="R1036" i="15"/>
  <c r="M1036" i="15"/>
  <c r="N1036" i="15" s="1" a="1"/>
  <c r="N1036" i="15" s="1"/>
  <c r="L1036" i="15"/>
  <c r="J1036" i="15"/>
  <c r="I1036" i="15"/>
  <c r="E1036" i="15"/>
  <c r="D1036" i="15"/>
  <c r="S1035" i="15"/>
  <c r="R1035" i="15"/>
  <c r="M1035" i="15"/>
  <c r="N1035" i="15" s="1" a="1"/>
  <c r="N1035" i="15" s="1"/>
  <c r="L1035" i="15"/>
  <c r="J1035" i="15"/>
  <c r="I1035" i="15"/>
  <c r="E1035" i="15"/>
  <c r="D1035" i="15"/>
  <c r="S1034" i="15"/>
  <c r="R1034" i="15"/>
  <c r="M1034" i="15"/>
  <c r="N1034" i="15" s="1" a="1"/>
  <c r="N1034" i="15" s="1"/>
  <c r="L1034" i="15"/>
  <c r="J1034" i="15"/>
  <c r="I1034" i="15"/>
  <c r="E1034" i="15"/>
  <c r="D1034" i="15"/>
  <c r="S1033" i="15"/>
  <c r="R1033" i="15"/>
  <c r="M1033" i="15"/>
  <c r="N1033" i="15" s="1" a="1"/>
  <c r="N1033" i="15" s="1"/>
  <c r="L1033" i="15"/>
  <c r="J1033" i="15"/>
  <c r="I1033" i="15"/>
  <c r="E1033" i="15"/>
  <c r="D1033" i="15"/>
  <c r="S1032" i="15"/>
  <c r="R1032" i="15"/>
  <c r="M1032" i="15"/>
  <c r="N1032" i="15" s="1" a="1"/>
  <c r="N1032" i="15" s="1"/>
  <c r="L1032" i="15"/>
  <c r="J1032" i="15"/>
  <c r="I1032" i="15"/>
  <c r="E1032" i="15"/>
  <c r="D1032" i="15"/>
  <c r="S1031" i="15"/>
  <c r="R1031" i="15"/>
  <c r="M1031" i="15"/>
  <c r="N1031" i="15" s="1" a="1"/>
  <c r="N1031" i="15" s="1"/>
  <c r="L1031" i="15"/>
  <c r="J1031" i="15"/>
  <c r="I1031" i="15"/>
  <c r="E1031" i="15"/>
  <c r="D1031" i="15"/>
  <c r="S1030" i="15"/>
  <c r="R1030" i="15"/>
  <c r="M1030" i="15"/>
  <c r="N1030" i="15" s="1" a="1"/>
  <c r="N1030" i="15" s="1"/>
  <c r="L1030" i="15"/>
  <c r="J1030" i="15"/>
  <c r="I1030" i="15"/>
  <c r="E1030" i="15"/>
  <c r="D1030" i="15"/>
  <c r="S1029" i="15"/>
  <c r="R1029" i="15"/>
  <c r="M1029" i="15"/>
  <c r="N1029" i="15" s="1" a="1"/>
  <c r="N1029" i="15" s="1"/>
  <c r="L1029" i="15"/>
  <c r="J1029" i="15"/>
  <c r="I1029" i="15"/>
  <c r="E1029" i="15"/>
  <c r="D1029" i="15"/>
  <c r="S1028" i="15"/>
  <c r="R1028" i="15"/>
  <c r="M1028" i="15"/>
  <c r="N1028" i="15" s="1" a="1"/>
  <c r="N1028" i="15" s="1"/>
  <c r="L1028" i="15"/>
  <c r="J1028" i="15"/>
  <c r="I1028" i="15"/>
  <c r="E1028" i="15"/>
  <c r="D1028" i="15"/>
  <c r="S1027" i="15"/>
  <c r="R1027" i="15"/>
  <c r="M1027" i="15"/>
  <c r="N1027" i="15" s="1" a="1"/>
  <c r="N1027" i="15" s="1"/>
  <c r="L1027" i="15"/>
  <c r="J1027" i="15"/>
  <c r="I1027" i="15"/>
  <c r="E1027" i="15"/>
  <c r="D1027" i="15"/>
  <c r="S1026" i="15"/>
  <c r="R1026" i="15"/>
  <c r="M1026" i="15"/>
  <c r="N1026" i="15" s="1" a="1"/>
  <c r="N1026" i="15" s="1"/>
  <c r="L1026" i="15"/>
  <c r="J1026" i="15"/>
  <c r="I1026" i="15"/>
  <c r="E1026" i="15"/>
  <c r="D1026" i="15"/>
  <c r="S1025" i="15"/>
  <c r="R1025" i="15"/>
  <c r="M1025" i="15"/>
  <c r="N1025" i="15" s="1" a="1"/>
  <c r="N1025" i="15" s="1"/>
  <c r="L1025" i="15"/>
  <c r="J1025" i="15"/>
  <c r="I1025" i="15"/>
  <c r="E1025" i="15"/>
  <c r="D1025" i="15"/>
  <c r="S1024" i="15"/>
  <c r="R1024" i="15"/>
  <c r="M1024" i="15"/>
  <c r="N1024" i="15" s="1" a="1"/>
  <c r="N1024" i="15" s="1"/>
  <c r="L1024" i="15"/>
  <c r="J1024" i="15"/>
  <c r="I1024" i="15"/>
  <c r="E1024" i="15"/>
  <c r="D1024" i="15"/>
  <c r="S1023" i="15"/>
  <c r="R1023" i="15"/>
  <c r="M1023" i="15"/>
  <c r="N1023" i="15" s="1" a="1"/>
  <c r="N1023" i="15" s="1"/>
  <c r="L1023" i="15"/>
  <c r="J1023" i="15"/>
  <c r="I1023" i="15"/>
  <c r="E1023" i="15"/>
  <c r="D1023" i="15"/>
  <c r="S1022" i="15"/>
  <c r="R1022" i="15"/>
  <c r="M1022" i="15"/>
  <c r="N1022" i="15" s="1" a="1"/>
  <c r="N1022" i="15" s="1"/>
  <c r="L1022" i="15"/>
  <c r="J1022" i="15"/>
  <c r="I1022" i="15"/>
  <c r="E1022" i="15"/>
  <c r="D1022" i="15"/>
  <c r="S1021" i="15"/>
  <c r="R1021" i="15"/>
  <c r="M1021" i="15"/>
  <c r="N1021" i="15" s="1" a="1"/>
  <c r="N1021" i="15" s="1"/>
  <c r="L1021" i="15"/>
  <c r="J1021" i="15"/>
  <c r="I1021" i="15"/>
  <c r="E1021" i="15"/>
  <c r="D1021" i="15"/>
  <c r="S1020" i="15"/>
  <c r="R1020" i="15"/>
  <c r="M1020" i="15"/>
  <c r="N1020" i="15" s="1" a="1"/>
  <c r="N1020" i="15" s="1"/>
  <c r="L1020" i="15"/>
  <c r="J1020" i="15"/>
  <c r="I1020" i="15"/>
  <c r="E1020" i="15"/>
  <c r="D1020" i="15"/>
  <c r="S1019" i="15"/>
  <c r="R1019" i="15"/>
  <c r="M1019" i="15"/>
  <c r="N1019" i="15" s="1" a="1"/>
  <c r="N1019" i="15" s="1"/>
  <c r="L1019" i="15"/>
  <c r="J1019" i="15"/>
  <c r="I1019" i="15"/>
  <c r="E1019" i="15"/>
  <c r="D1019" i="15"/>
  <c r="S1018" i="15"/>
  <c r="R1018" i="15"/>
  <c r="M1018" i="15"/>
  <c r="N1018" i="15" s="1" a="1"/>
  <c r="N1018" i="15" s="1"/>
  <c r="L1018" i="15"/>
  <c r="J1018" i="15"/>
  <c r="I1018" i="15"/>
  <c r="E1018" i="15"/>
  <c r="D1018" i="15"/>
  <c r="S1017" i="15"/>
  <c r="R1017" i="15"/>
  <c r="M1017" i="15"/>
  <c r="N1017" i="15" s="1" a="1"/>
  <c r="N1017" i="15" s="1"/>
  <c r="L1017" i="15"/>
  <c r="J1017" i="15"/>
  <c r="I1017" i="15"/>
  <c r="E1017" i="15"/>
  <c r="D1017" i="15"/>
  <c r="S1016" i="15"/>
  <c r="R1016" i="15"/>
  <c r="M1016" i="15"/>
  <c r="N1016" i="15" s="1" a="1"/>
  <c r="N1016" i="15" s="1"/>
  <c r="L1016" i="15"/>
  <c r="J1016" i="15"/>
  <c r="I1016" i="15"/>
  <c r="E1016" i="15"/>
  <c r="D1016" i="15"/>
  <c r="S1015" i="15"/>
  <c r="R1015" i="15"/>
  <c r="M1015" i="15"/>
  <c r="N1015" i="15" s="1" a="1"/>
  <c r="N1015" i="15" s="1"/>
  <c r="L1015" i="15"/>
  <c r="J1015" i="15"/>
  <c r="I1015" i="15"/>
  <c r="E1015" i="15"/>
  <c r="D1015" i="15"/>
  <c r="S1014" i="15"/>
  <c r="R1014" i="15"/>
  <c r="N1014" i="15" a="1"/>
  <c r="N1014" i="15" s="1"/>
  <c r="M1014" i="15"/>
  <c r="L1014" i="15"/>
  <c r="J1014" i="15"/>
  <c r="I1014" i="15"/>
  <c r="E1014" i="15"/>
  <c r="D1014" i="15"/>
  <c r="S1013" i="15"/>
  <c r="R1013" i="15"/>
  <c r="M1013" i="15"/>
  <c r="N1013" i="15" s="1" a="1"/>
  <c r="N1013" i="15" s="1"/>
  <c r="L1013" i="15"/>
  <c r="J1013" i="15"/>
  <c r="I1013" i="15"/>
  <c r="E1013" i="15"/>
  <c r="D1013" i="15"/>
  <c r="S1012" i="15"/>
  <c r="R1012" i="15"/>
  <c r="M1012" i="15"/>
  <c r="N1012" i="15" s="1" a="1"/>
  <c r="N1012" i="15" s="1"/>
  <c r="L1012" i="15"/>
  <c r="J1012" i="15"/>
  <c r="I1012" i="15"/>
  <c r="E1012" i="15"/>
  <c r="D1012" i="15"/>
  <c r="S1011" i="15"/>
  <c r="R1011" i="15"/>
  <c r="M1011" i="15"/>
  <c r="N1011" i="15" s="1" a="1"/>
  <c r="N1011" i="15" s="1"/>
  <c r="L1011" i="15"/>
  <c r="J1011" i="15"/>
  <c r="I1011" i="15"/>
  <c r="E1011" i="15"/>
  <c r="D1011" i="15"/>
  <c r="S1010" i="15"/>
  <c r="R1010" i="15"/>
  <c r="M1010" i="15"/>
  <c r="N1010" i="15" s="1" a="1"/>
  <c r="N1010" i="15" s="1"/>
  <c r="L1010" i="15"/>
  <c r="J1010" i="15"/>
  <c r="I1010" i="15"/>
  <c r="E1010" i="15"/>
  <c r="D1010" i="15"/>
  <c r="S1009" i="15"/>
  <c r="R1009" i="15"/>
  <c r="M1009" i="15"/>
  <c r="N1009" i="15" s="1" a="1"/>
  <c r="N1009" i="15" s="1"/>
  <c r="L1009" i="15"/>
  <c r="J1009" i="15"/>
  <c r="I1009" i="15"/>
  <c r="E1009" i="15"/>
  <c r="D1009" i="15"/>
  <c r="S1008" i="15"/>
  <c r="R1008" i="15"/>
  <c r="M1008" i="15"/>
  <c r="N1008" i="15" s="1" a="1"/>
  <c r="N1008" i="15" s="1"/>
  <c r="L1008" i="15"/>
  <c r="J1008" i="15"/>
  <c r="I1008" i="15"/>
  <c r="E1008" i="15"/>
  <c r="D1008" i="15"/>
  <c r="S1007" i="15"/>
  <c r="R1007" i="15"/>
  <c r="M1007" i="15"/>
  <c r="N1007" i="15" s="1" a="1"/>
  <c r="N1007" i="15" s="1"/>
  <c r="L1007" i="15"/>
  <c r="J1007" i="15"/>
  <c r="I1007" i="15"/>
  <c r="E1007" i="15"/>
  <c r="D1007" i="15"/>
  <c r="S1006" i="15"/>
  <c r="R1006" i="15"/>
  <c r="M1006" i="15"/>
  <c r="N1006" i="15" s="1" a="1"/>
  <c r="N1006" i="15" s="1"/>
  <c r="L1006" i="15"/>
  <c r="J1006" i="15"/>
  <c r="I1006" i="15"/>
  <c r="E1006" i="15"/>
  <c r="D1006" i="15"/>
  <c r="S1005" i="15"/>
  <c r="R1005" i="15"/>
  <c r="M1005" i="15"/>
  <c r="N1005" i="15" s="1" a="1"/>
  <c r="N1005" i="15" s="1"/>
  <c r="L1005" i="15"/>
  <c r="J1005" i="15"/>
  <c r="I1005" i="15"/>
  <c r="E1005" i="15"/>
  <c r="D1005" i="15"/>
  <c r="S1004" i="15"/>
  <c r="R1004" i="15"/>
  <c r="M1004" i="15"/>
  <c r="N1004" i="15" s="1" a="1"/>
  <c r="N1004" i="15" s="1"/>
  <c r="L1004" i="15"/>
  <c r="J1004" i="15"/>
  <c r="I1004" i="15"/>
  <c r="E1004" i="15"/>
  <c r="D1004" i="15"/>
  <c r="S1003" i="15"/>
  <c r="R1003" i="15"/>
  <c r="M1003" i="15"/>
  <c r="N1003" i="15" s="1" a="1"/>
  <c r="N1003" i="15" s="1"/>
  <c r="L1003" i="15"/>
  <c r="J1003" i="15"/>
  <c r="I1003" i="15"/>
  <c r="E1003" i="15"/>
  <c r="D1003" i="15"/>
  <c r="S1002" i="15"/>
  <c r="R1002" i="15"/>
  <c r="M1002" i="15"/>
  <c r="N1002" i="15" s="1" a="1"/>
  <c r="N1002" i="15" s="1"/>
  <c r="L1002" i="15"/>
  <c r="J1002" i="15"/>
  <c r="I1002" i="15"/>
  <c r="E1002" i="15"/>
  <c r="D1002" i="15"/>
  <c r="S1001" i="15"/>
  <c r="R1001" i="15"/>
  <c r="M1001" i="15"/>
  <c r="N1001" i="15" s="1" a="1"/>
  <c r="N1001" i="15" s="1"/>
  <c r="L1001" i="15"/>
  <c r="J1001" i="15"/>
  <c r="I1001" i="15"/>
  <c r="E1001" i="15"/>
  <c r="D1001" i="15"/>
  <c r="S1000" i="15"/>
  <c r="R1000" i="15"/>
  <c r="M1000" i="15"/>
  <c r="N1000" i="15" s="1" a="1"/>
  <c r="N1000" i="15" s="1"/>
  <c r="L1000" i="15"/>
  <c r="J1000" i="15"/>
  <c r="I1000" i="15"/>
  <c r="E1000" i="15"/>
  <c r="D1000" i="15"/>
  <c r="S999" i="15"/>
  <c r="R999" i="15"/>
  <c r="M999" i="15"/>
  <c r="N999" i="15" s="1" a="1"/>
  <c r="N999" i="15" s="1"/>
  <c r="L999" i="15"/>
  <c r="J999" i="15"/>
  <c r="I999" i="15"/>
  <c r="E999" i="15"/>
  <c r="D999" i="15"/>
  <c r="S998" i="15"/>
  <c r="R998" i="15"/>
  <c r="M998" i="15"/>
  <c r="N998" i="15" s="1" a="1"/>
  <c r="N998" i="15" s="1"/>
  <c r="L998" i="15"/>
  <c r="J998" i="15"/>
  <c r="I998" i="15"/>
  <c r="E998" i="15"/>
  <c r="D998" i="15"/>
  <c r="S997" i="15"/>
  <c r="R997" i="15"/>
  <c r="M997" i="15"/>
  <c r="N997" i="15" s="1" a="1"/>
  <c r="N997" i="15" s="1"/>
  <c r="L997" i="15"/>
  <c r="J997" i="15"/>
  <c r="I997" i="15"/>
  <c r="E997" i="15"/>
  <c r="D997" i="15"/>
  <c r="S996" i="15"/>
  <c r="R996" i="15"/>
  <c r="M996" i="15"/>
  <c r="N996" i="15" s="1" a="1"/>
  <c r="N996" i="15" s="1"/>
  <c r="L996" i="15"/>
  <c r="J996" i="15"/>
  <c r="I996" i="15"/>
  <c r="E996" i="15"/>
  <c r="D996" i="15"/>
  <c r="S995" i="15"/>
  <c r="R995" i="15"/>
  <c r="M995" i="15"/>
  <c r="N995" i="15" s="1" a="1"/>
  <c r="N995" i="15" s="1"/>
  <c r="L995" i="15"/>
  <c r="J995" i="15"/>
  <c r="I995" i="15"/>
  <c r="E995" i="15"/>
  <c r="D995" i="15"/>
  <c r="S994" i="15"/>
  <c r="R994" i="15"/>
  <c r="M994" i="15"/>
  <c r="N994" i="15" s="1" a="1"/>
  <c r="N994" i="15" s="1"/>
  <c r="L994" i="15"/>
  <c r="J994" i="15"/>
  <c r="I994" i="15"/>
  <c r="E994" i="15"/>
  <c r="D994" i="15"/>
  <c r="S993" i="15"/>
  <c r="R993" i="15"/>
  <c r="M993" i="15"/>
  <c r="N993" i="15" s="1" a="1"/>
  <c r="N993" i="15" s="1"/>
  <c r="L993" i="15"/>
  <c r="J993" i="15"/>
  <c r="I993" i="15"/>
  <c r="E993" i="15"/>
  <c r="D993" i="15"/>
  <c r="S992" i="15"/>
  <c r="R992" i="15"/>
  <c r="M992" i="15"/>
  <c r="N992" i="15" s="1" a="1"/>
  <c r="N992" i="15" s="1"/>
  <c r="L992" i="15"/>
  <c r="J992" i="15"/>
  <c r="I992" i="15"/>
  <c r="E992" i="15"/>
  <c r="D992" i="15"/>
  <c r="S991" i="15"/>
  <c r="R991" i="15"/>
  <c r="M991" i="15"/>
  <c r="N991" i="15" s="1" a="1"/>
  <c r="N991" i="15" s="1"/>
  <c r="L991" i="15"/>
  <c r="J991" i="15"/>
  <c r="I991" i="15"/>
  <c r="E991" i="15"/>
  <c r="D991" i="15"/>
  <c r="S990" i="15"/>
  <c r="R990" i="15"/>
  <c r="M990" i="15"/>
  <c r="N990" i="15" s="1" a="1"/>
  <c r="N990" i="15" s="1"/>
  <c r="L990" i="15"/>
  <c r="J990" i="15"/>
  <c r="I990" i="15"/>
  <c r="E990" i="15"/>
  <c r="D990" i="15"/>
  <c r="S989" i="15"/>
  <c r="R989" i="15"/>
  <c r="M989" i="15"/>
  <c r="N989" i="15" s="1" a="1"/>
  <c r="N989" i="15" s="1"/>
  <c r="L989" i="15"/>
  <c r="J989" i="15"/>
  <c r="I989" i="15"/>
  <c r="E989" i="15"/>
  <c r="D989" i="15"/>
  <c r="S988" i="15"/>
  <c r="R988" i="15"/>
  <c r="M988" i="15"/>
  <c r="N988" i="15" s="1" a="1"/>
  <c r="N988" i="15" s="1"/>
  <c r="L988" i="15"/>
  <c r="J988" i="15"/>
  <c r="I988" i="15"/>
  <c r="E988" i="15"/>
  <c r="D988" i="15"/>
  <c r="S987" i="15"/>
  <c r="R987" i="15"/>
  <c r="M987" i="15"/>
  <c r="N987" i="15" s="1" a="1"/>
  <c r="N987" i="15" s="1"/>
  <c r="L987" i="15"/>
  <c r="J987" i="15"/>
  <c r="I987" i="15"/>
  <c r="E987" i="15"/>
  <c r="D987" i="15"/>
  <c r="S986" i="15"/>
  <c r="R986" i="15"/>
  <c r="M986" i="15"/>
  <c r="N986" i="15" s="1" a="1"/>
  <c r="N986" i="15" s="1"/>
  <c r="L986" i="15"/>
  <c r="J986" i="15"/>
  <c r="I986" i="15"/>
  <c r="E986" i="15"/>
  <c r="D986" i="15"/>
  <c r="S985" i="15"/>
  <c r="R985" i="15"/>
  <c r="M985" i="15"/>
  <c r="N985" i="15" s="1" a="1"/>
  <c r="N985" i="15" s="1"/>
  <c r="L985" i="15"/>
  <c r="J985" i="15"/>
  <c r="I985" i="15"/>
  <c r="E985" i="15"/>
  <c r="D985" i="15"/>
  <c r="S984" i="15"/>
  <c r="R984" i="15"/>
  <c r="M984" i="15"/>
  <c r="N984" i="15" s="1" a="1"/>
  <c r="N984" i="15" s="1"/>
  <c r="L984" i="15"/>
  <c r="J984" i="15"/>
  <c r="I984" i="15"/>
  <c r="E984" i="15"/>
  <c r="D984" i="15"/>
  <c r="S983" i="15"/>
  <c r="R983" i="15"/>
  <c r="M983" i="15"/>
  <c r="N983" i="15" s="1" a="1"/>
  <c r="N983" i="15" s="1"/>
  <c r="L983" i="15"/>
  <c r="J983" i="15"/>
  <c r="I983" i="15"/>
  <c r="E983" i="15"/>
  <c r="D983" i="15"/>
  <c r="S982" i="15"/>
  <c r="R982" i="15"/>
  <c r="M982" i="15"/>
  <c r="N982" i="15" s="1" a="1"/>
  <c r="N982" i="15" s="1"/>
  <c r="L982" i="15"/>
  <c r="J982" i="15"/>
  <c r="I982" i="15"/>
  <c r="E982" i="15"/>
  <c r="D982" i="15"/>
  <c r="S981" i="15"/>
  <c r="R981" i="15"/>
  <c r="M981" i="15"/>
  <c r="N981" i="15" s="1" a="1"/>
  <c r="N981" i="15" s="1"/>
  <c r="L981" i="15"/>
  <c r="J981" i="15"/>
  <c r="I981" i="15"/>
  <c r="E981" i="15"/>
  <c r="D981" i="15"/>
  <c r="S980" i="15"/>
  <c r="R980" i="15"/>
  <c r="M980" i="15"/>
  <c r="N980" i="15" s="1" a="1"/>
  <c r="N980" i="15" s="1"/>
  <c r="L980" i="15"/>
  <c r="J980" i="15"/>
  <c r="I980" i="15"/>
  <c r="E980" i="15"/>
  <c r="D980" i="15"/>
  <c r="S979" i="15"/>
  <c r="R979" i="15"/>
  <c r="M979" i="15"/>
  <c r="N979" i="15" s="1" a="1"/>
  <c r="N979" i="15" s="1"/>
  <c r="L979" i="15"/>
  <c r="J979" i="15"/>
  <c r="I979" i="15"/>
  <c r="E979" i="15"/>
  <c r="D979" i="15"/>
  <c r="S978" i="15"/>
  <c r="R978" i="15"/>
  <c r="M978" i="15"/>
  <c r="N978" i="15" s="1" a="1"/>
  <c r="N978" i="15" s="1"/>
  <c r="L978" i="15"/>
  <c r="J978" i="15"/>
  <c r="I978" i="15"/>
  <c r="E978" i="15"/>
  <c r="D978" i="15"/>
  <c r="S977" i="15"/>
  <c r="R977" i="15"/>
  <c r="M977" i="15"/>
  <c r="N977" i="15" s="1" a="1"/>
  <c r="N977" i="15" s="1"/>
  <c r="L977" i="15"/>
  <c r="J977" i="15"/>
  <c r="I977" i="15"/>
  <c r="E977" i="15"/>
  <c r="D977" i="15"/>
  <c r="S976" i="15"/>
  <c r="R976" i="15"/>
  <c r="M976" i="15"/>
  <c r="N976" i="15" s="1" a="1"/>
  <c r="N976" i="15" s="1"/>
  <c r="L976" i="15"/>
  <c r="J976" i="15"/>
  <c r="I976" i="15"/>
  <c r="E976" i="15"/>
  <c r="D976" i="15"/>
  <c r="S975" i="15"/>
  <c r="R975" i="15"/>
  <c r="M975" i="15"/>
  <c r="N975" i="15" s="1" a="1"/>
  <c r="N975" i="15" s="1"/>
  <c r="L975" i="15"/>
  <c r="J975" i="15"/>
  <c r="I975" i="15"/>
  <c r="E975" i="15"/>
  <c r="D975" i="15"/>
  <c r="S974" i="15"/>
  <c r="R974" i="15"/>
  <c r="M974" i="15"/>
  <c r="N974" i="15" s="1" a="1"/>
  <c r="N974" i="15" s="1"/>
  <c r="L974" i="15"/>
  <c r="J974" i="15"/>
  <c r="I974" i="15"/>
  <c r="E974" i="15"/>
  <c r="D974" i="15"/>
  <c r="S973" i="15"/>
  <c r="R973" i="15"/>
  <c r="M973" i="15"/>
  <c r="N973" i="15" s="1" a="1"/>
  <c r="N973" i="15" s="1"/>
  <c r="L973" i="15"/>
  <c r="J973" i="15"/>
  <c r="I973" i="15"/>
  <c r="E973" i="15"/>
  <c r="D973" i="15"/>
  <c r="S972" i="15"/>
  <c r="R972" i="15"/>
  <c r="M972" i="15"/>
  <c r="N972" i="15" s="1" a="1"/>
  <c r="N972" i="15" s="1"/>
  <c r="L972" i="15"/>
  <c r="J972" i="15"/>
  <c r="I972" i="15"/>
  <c r="E972" i="15"/>
  <c r="D972" i="15"/>
  <c r="S971" i="15"/>
  <c r="R971" i="15"/>
  <c r="M971" i="15"/>
  <c r="N971" i="15" s="1" a="1"/>
  <c r="N971" i="15" s="1"/>
  <c r="L971" i="15"/>
  <c r="J971" i="15"/>
  <c r="I971" i="15"/>
  <c r="E971" i="15"/>
  <c r="D971" i="15"/>
  <c r="S970" i="15"/>
  <c r="R970" i="15"/>
  <c r="M970" i="15"/>
  <c r="N970" i="15" s="1" a="1"/>
  <c r="N970" i="15" s="1"/>
  <c r="L970" i="15"/>
  <c r="J970" i="15"/>
  <c r="I970" i="15"/>
  <c r="E970" i="15"/>
  <c r="D970" i="15"/>
  <c r="S969" i="15"/>
  <c r="R969" i="15"/>
  <c r="M969" i="15"/>
  <c r="N969" i="15" s="1" a="1"/>
  <c r="N969" i="15" s="1"/>
  <c r="L969" i="15"/>
  <c r="J969" i="15"/>
  <c r="I969" i="15"/>
  <c r="E969" i="15"/>
  <c r="D969" i="15"/>
  <c r="S968" i="15"/>
  <c r="R968" i="15"/>
  <c r="M968" i="15"/>
  <c r="N968" i="15" s="1" a="1"/>
  <c r="N968" i="15" s="1"/>
  <c r="L968" i="15"/>
  <c r="J968" i="15"/>
  <c r="I968" i="15"/>
  <c r="E968" i="15"/>
  <c r="D968" i="15"/>
  <c r="S967" i="15"/>
  <c r="R967" i="15"/>
  <c r="M967" i="15"/>
  <c r="N967" i="15" s="1" a="1"/>
  <c r="N967" i="15" s="1"/>
  <c r="L967" i="15"/>
  <c r="J967" i="15"/>
  <c r="I967" i="15"/>
  <c r="E967" i="15"/>
  <c r="D967" i="15"/>
  <c r="S966" i="15"/>
  <c r="R966" i="15"/>
  <c r="M966" i="15"/>
  <c r="N966" i="15" s="1" a="1"/>
  <c r="N966" i="15" s="1"/>
  <c r="L966" i="15"/>
  <c r="J966" i="15"/>
  <c r="I966" i="15"/>
  <c r="E966" i="15"/>
  <c r="D966" i="15"/>
  <c r="S965" i="15"/>
  <c r="R965" i="15"/>
  <c r="M965" i="15"/>
  <c r="N965" i="15" s="1" a="1"/>
  <c r="N965" i="15" s="1"/>
  <c r="L965" i="15"/>
  <c r="J965" i="15"/>
  <c r="I965" i="15"/>
  <c r="E965" i="15"/>
  <c r="D965" i="15"/>
  <c r="S964" i="15"/>
  <c r="R964" i="15"/>
  <c r="M964" i="15"/>
  <c r="N964" i="15" s="1" a="1"/>
  <c r="N964" i="15" s="1"/>
  <c r="L964" i="15"/>
  <c r="J964" i="15"/>
  <c r="I964" i="15"/>
  <c r="E964" i="15"/>
  <c r="D964" i="15"/>
  <c r="S963" i="15"/>
  <c r="R963" i="15"/>
  <c r="M963" i="15"/>
  <c r="N963" i="15" s="1" a="1"/>
  <c r="N963" i="15" s="1"/>
  <c r="L963" i="15"/>
  <c r="J963" i="15"/>
  <c r="I963" i="15"/>
  <c r="E963" i="15"/>
  <c r="D963" i="15"/>
  <c r="S962" i="15"/>
  <c r="R962" i="15"/>
  <c r="M962" i="15"/>
  <c r="N962" i="15" s="1" a="1"/>
  <c r="N962" i="15" s="1"/>
  <c r="L962" i="15"/>
  <c r="J962" i="15"/>
  <c r="I962" i="15"/>
  <c r="E962" i="15"/>
  <c r="D962" i="15"/>
  <c r="S961" i="15"/>
  <c r="R961" i="15"/>
  <c r="M961" i="15"/>
  <c r="N961" i="15" s="1" a="1"/>
  <c r="N961" i="15" s="1"/>
  <c r="L961" i="15"/>
  <c r="J961" i="15"/>
  <c r="I961" i="15"/>
  <c r="E961" i="15"/>
  <c r="D961" i="15"/>
  <c r="S960" i="15"/>
  <c r="R960" i="15"/>
  <c r="M960" i="15"/>
  <c r="N960" i="15" s="1" a="1"/>
  <c r="N960" i="15" s="1"/>
  <c r="L960" i="15"/>
  <c r="J960" i="15"/>
  <c r="I960" i="15"/>
  <c r="E960" i="15"/>
  <c r="D960" i="15"/>
  <c r="S959" i="15"/>
  <c r="R959" i="15"/>
  <c r="M959" i="15"/>
  <c r="N959" i="15" s="1" a="1"/>
  <c r="N959" i="15" s="1"/>
  <c r="L959" i="15"/>
  <c r="J959" i="15"/>
  <c r="I959" i="15"/>
  <c r="E959" i="15"/>
  <c r="D959" i="15"/>
  <c r="S958" i="15"/>
  <c r="R958" i="15"/>
  <c r="M958" i="15"/>
  <c r="N958" i="15" s="1" a="1"/>
  <c r="N958" i="15" s="1"/>
  <c r="L958" i="15"/>
  <c r="J958" i="15"/>
  <c r="I958" i="15"/>
  <c r="E958" i="15"/>
  <c r="D958" i="15"/>
  <c r="S957" i="15"/>
  <c r="R957" i="15"/>
  <c r="M957" i="15"/>
  <c r="N957" i="15" s="1" a="1"/>
  <c r="N957" i="15" s="1"/>
  <c r="L957" i="15"/>
  <c r="J957" i="15"/>
  <c r="I957" i="15"/>
  <c r="E957" i="15"/>
  <c r="D957" i="15"/>
  <c r="S956" i="15"/>
  <c r="R956" i="15"/>
  <c r="M956" i="15"/>
  <c r="N956" i="15" s="1" a="1"/>
  <c r="N956" i="15" s="1"/>
  <c r="L956" i="15"/>
  <c r="J956" i="15"/>
  <c r="I956" i="15"/>
  <c r="E956" i="15"/>
  <c r="D956" i="15"/>
  <c r="S955" i="15"/>
  <c r="R955" i="15"/>
  <c r="M955" i="15"/>
  <c r="N955" i="15" s="1" a="1"/>
  <c r="N955" i="15" s="1"/>
  <c r="L955" i="15"/>
  <c r="J955" i="15"/>
  <c r="I955" i="15"/>
  <c r="E955" i="15"/>
  <c r="D955" i="15"/>
  <c r="S954" i="15"/>
  <c r="R954" i="15"/>
  <c r="M954" i="15"/>
  <c r="N954" i="15" s="1" a="1"/>
  <c r="N954" i="15" s="1"/>
  <c r="L954" i="15"/>
  <c r="J954" i="15"/>
  <c r="I954" i="15"/>
  <c r="E954" i="15"/>
  <c r="D954" i="15"/>
  <c r="S953" i="15"/>
  <c r="R953" i="15"/>
  <c r="M953" i="15"/>
  <c r="N953" i="15" s="1" a="1"/>
  <c r="N953" i="15" s="1"/>
  <c r="L953" i="15"/>
  <c r="J953" i="15"/>
  <c r="I953" i="15"/>
  <c r="E953" i="15"/>
  <c r="D953" i="15"/>
  <c r="S952" i="15"/>
  <c r="R952" i="15"/>
  <c r="M952" i="15"/>
  <c r="N952" i="15" s="1" a="1"/>
  <c r="N952" i="15" s="1"/>
  <c r="L952" i="15"/>
  <c r="J952" i="15"/>
  <c r="I952" i="15"/>
  <c r="E952" i="15"/>
  <c r="D952" i="15"/>
  <c r="S951" i="15"/>
  <c r="R951" i="15"/>
  <c r="M951" i="15"/>
  <c r="N951" i="15" s="1" a="1"/>
  <c r="N951" i="15" s="1"/>
  <c r="L951" i="15"/>
  <c r="J951" i="15"/>
  <c r="I951" i="15"/>
  <c r="E951" i="15"/>
  <c r="D951" i="15"/>
  <c r="S950" i="15"/>
  <c r="R950" i="15"/>
  <c r="M950" i="15"/>
  <c r="N950" i="15" s="1" a="1"/>
  <c r="N950" i="15" s="1"/>
  <c r="L950" i="15"/>
  <c r="J950" i="15"/>
  <c r="I950" i="15"/>
  <c r="E950" i="15"/>
  <c r="D950" i="15"/>
  <c r="S949" i="15"/>
  <c r="R949" i="15"/>
  <c r="M949" i="15"/>
  <c r="N949" i="15" s="1" a="1"/>
  <c r="N949" i="15" s="1"/>
  <c r="L949" i="15"/>
  <c r="J949" i="15"/>
  <c r="I949" i="15"/>
  <c r="E949" i="15"/>
  <c r="D949" i="15"/>
  <c r="S948" i="15"/>
  <c r="R948" i="15"/>
  <c r="M948" i="15"/>
  <c r="N948" i="15" s="1" a="1"/>
  <c r="N948" i="15" s="1"/>
  <c r="L948" i="15"/>
  <c r="J948" i="15"/>
  <c r="I948" i="15"/>
  <c r="E948" i="15"/>
  <c r="D948" i="15"/>
  <c r="S947" i="15"/>
  <c r="R947" i="15"/>
  <c r="M947" i="15"/>
  <c r="N947" i="15" s="1" a="1"/>
  <c r="N947" i="15" s="1"/>
  <c r="L947" i="15"/>
  <c r="J947" i="15"/>
  <c r="I947" i="15"/>
  <c r="E947" i="15"/>
  <c r="D947" i="15"/>
  <c r="S946" i="15"/>
  <c r="R946" i="15"/>
  <c r="M946" i="15"/>
  <c r="N946" i="15" s="1" a="1"/>
  <c r="N946" i="15" s="1"/>
  <c r="L946" i="15"/>
  <c r="J946" i="15"/>
  <c r="I946" i="15"/>
  <c r="E946" i="15"/>
  <c r="D946" i="15"/>
  <c r="S945" i="15"/>
  <c r="R945" i="15"/>
  <c r="M945" i="15"/>
  <c r="N945" i="15" s="1" a="1"/>
  <c r="N945" i="15" s="1"/>
  <c r="L945" i="15"/>
  <c r="J945" i="15"/>
  <c r="I945" i="15"/>
  <c r="E945" i="15"/>
  <c r="D945" i="15"/>
  <c r="S944" i="15"/>
  <c r="R944" i="15"/>
  <c r="M944" i="15"/>
  <c r="N944" i="15" s="1" a="1"/>
  <c r="N944" i="15" s="1"/>
  <c r="L944" i="15"/>
  <c r="J944" i="15"/>
  <c r="I944" i="15"/>
  <c r="E944" i="15"/>
  <c r="D944" i="15"/>
  <c r="S943" i="15"/>
  <c r="R943" i="15"/>
  <c r="M943" i="15"/>
  <c r="N943" i="15" s="1" a="1"/>
  <c r="N943" i="15" s="1"/>
  <c r="L943" i="15"/>
  <c r="J943" i="15"/>
  <c r="I943" i="15"/>
  <c r="E943" i="15"/>
  <c r="D943" i="15"/>
  <c r="S942" i="15"/>
  <c r="R942" i="15"/>
  <c r="M942" i="15"/>
  <c r="N942" i="15" s="1" a="1"/>
  <c r="N942" i="15" s="1"/>
  <c r="L942" i="15"/>
  <c r="J942" i="15"/>
  <c r="I942" i="15"/>
  <c r="E942" i="15"/>
  <c r="D942" i="15"/>
  <c r="S941" i="15"/>
  <c r="R941" i="15"/>
  <c r="M941" i="15"/>
  <c r="N941" i="15" s="1" a="1"/>
  <c r="N941" i="15" s="1"/>
  <c r="L941" i="15"/>
  <c r="J941" i="15"/>
  <c r="I941" i="15"/>
  <c r="E941" i="15"/>
  <c r="D941" i="15"/>
  <c r="S940" i="15"/>
  <c r="R940" i="15"/>
  <c r="M940" i="15"/>
  <c r="N940" i="15" s="1" a="1"/>
  <c r="N940" i="15" s="1"/>
  <c r="L940" i="15"/>
  <c r="J940" i="15"/>
  <c r="I940" i="15"/>
  <c r="E940" i="15"/>
  <c r="D940" i="15"/>
  <c r="S939" i="15"/>
  <c r="R939" i="15"/>
  <c r="M939" i="15"/>
  <c r="N939" i="15" s="1" a="1"/>
  <c r="N939" i="15" s="1"/>
  <c r="L939" i="15"/>
  <c r="J939" i="15"/>
  <c r="I939" i="15"/>
  <c r="E939" i="15"/>
  <c r="D939" i="15"/>
  <c r="S938" i="15"/>
  <c r="R938" i="15"/>
  <c r="M938" i="15"/>
  <c r="N938" i="15" s="1" a="1"/>
  <c r="N938" i="15" s="1"/>
  <c r="L938" i="15"/>
  <c r="J938" i="15"/>
  <c r="I938" i="15"/>
  <c r="E938" i="15"/>
  <c r="D938" i="15"/>
  <c r="S937" i="15"/>
  <c r="R937" i="15"/>
  <c r="M937" i="15"/>
  <c r="N937" i="15" s="1" a="1"/>
  <c r="N937" i="15" s="1"/>
  <c r="L937" i="15"/>
  <c r="J937" i="15"/>
  <c r="I937" i="15"/>
  <c r="E937" i="15"/>
  <c r="D937" i="15"/>
  <c r="S936" i="15"/>
  <c r="R936" i="15"/>
  <c r="M936" i="15"/>
  <c r="N936" i="15" s="1" a="1"/>
  <c r="N936" i="15" s="1"/>
  <c r="L936" i="15"/>
  <c r="J936" i="15"/>
  <c r="I936" i="15"/>
  <c r="E936" i="15"/>
  <c r="D936" i="15"/>
  <c r="S935" i="15"/>
  <c r="R935" i="15"/>
  <c r="M935" i="15"/>
  <c r="N935" i="15" s="1" a="1"/>
  <c r="N935" i="15" s="1"/>
  <c r="L935" i="15"/>
  <c r="J935" i="15"/>
  <c r="I935" i="15"/>
  <c r="E935" i="15"/>
  <c r="D935" i="15"/>
  <c r="S934" i="15"/>
  <c r="R934" i="15"/>
  <c r="M934" i="15"/>
  <c r="N934" i="15" s="1" a="1"/>
  <c r="N934" i="15" s="1"/>
  <c r="L934" i="15"/>
  <c r="J934" i="15"/>
  <c r="I934" i="15"/>
  <c r="E934" i="15"/>
  <c r="D934" i="15"/>
  <c r="S933" i="15"/>
  <c r="R933" i="15"/>
  <c r="M933" i="15"/>
  <c r="N933" i="15" s="1" a="1"/>
  <c r="N933" i="15" s="1"/>
  <c r="L933" i="15"/>
  <c r="J933" i="15"/>
  <c r="I933" i="15"/>
  <c r="E933" i="15"/>
  <c r="D933" i="15"/>
  <c r="S932" i="15"/>
  <c r="R932" i="15"/>
  <c r="M932" i="15"/>
  <c r="N932" i="15" s="1" a="1"/>
  <c r="N932" i="15" s="1"/>
  <c r="L932" i="15"/>
  <c r="J932" i="15"/>
  <c r="I932" i="15"/>
  <c r="E932" i="15"/>
  <c r="D932" i="15"/>
  <c r="S931" i="15"/>
  <c r="R931" i="15"/>
  <c r="M931" i="15"/>
  <c r="N931" i="15" s="1" a="1"/>
  <c r="N931" i="15" s="1"/>
  <c r="L931" i="15"/>
  <c r="J931" i="15"/>
  <c r="I931" i="15"/>
  <c r="E931" i="15"/>
  <c r="D931" i="15"/>
  <c r="S930" i="15"/>
  <c r="R930" i="15"/>
  <c r="M930" i="15"/>
  <c r="N930" i="15" s="1" a="1"/>
  <c r="N930" i="15" s="1"/>
  <c r="L930" i="15"/>
  <c r="J930" i="15"/>
  <c r="I930" i="15"/>
  <c r="E930" i="15"/>
  <c r="D930" i="15"/>
  <c r="S929" i="15"/>
  <c r="R929" i="15"/>
  <c r="M929" i="15"/>
  <c r="N929" i="15" s="1" a="1"/>
  <c r="N929" i="15" s="1"/>
  <c r="L929" i="15"/>
  <c r="J929" i="15"/>
  <c r="I929" i="15"/>
  <c r="E929" i="15"/>
  <c r="D929" i="15"/>
  <c r="S928" i="15"/>
  <c r="R928" i="15"/>
  <c r="M928" i="15"/>
  <c r="N928" i="15" s="1" a="1"/>
  <c r="N928" i="15" s="1"/>
  <c r="L928" i="15"/>
  <c r="J928" i="15"/>
  <c r="I928" i="15"/>
  <c r="E928" i="15"/>
  <c r="D928" i="15"/>
  <c r="S927" i="15"/>
  <c r="R927" i="15"/>
  <c r="M927" i="15"/>
  <c r="N927" i="15" s="1" a="1"/>
  <c r="N927" i="15" s="1"/>
  <c r="L927" i="15"/>
  <c r="J927" i="15"/>
  <c r="I927" i="15"/>
  <c r="E927" i="15"/>
  <c r="D927" i="15"/>
  <c r="S926" i="15"/>
  <c r="R926" i="15"/>
  <c r="M926" i="15"/>
  <c r="N926" i="15" s="1" a="1"/>
  <c r="N926" i="15" s="1"/>
  <c r="L926" i="15"/>
  <c r="J926" i="15"/>
  <c r="I926" i="15"/>
  <c r="E926" i="15"/>
  <c r="D926" i="15"/>
  <c r="S925" i="15"/>
  <c r="R925" i="15"/>
  <c r="M925" i="15"/>
  <c r="N925" i="15" s="1" a="1"/>
  <c r="N925" i="15" s="1"/>
  <c r="L925" i="15"/>
  <c r="J925" i="15"/>
  <c r="I925" i="15"/>
  <c r="E925" i="15"/>
  <c r="D925" i="15"/>
  <c r="S924" i="15"/>
  <c r="R924" i="15"/>
  <c r="M924" i="15"/>
  <c r="N924" i="15" s="1" a="1"/>
  <c r="N924" i="15" s="1"/>
  <c r="L924" i="15"/>
  <c r="J924" i="15"/>
  <c r="I924" i="15"/>
  <c r="E924" i="15"/>
  <c r="D924" i="15"/>
  <c r="S923" i="15"/>
  <c r="R923" i="15"/>
  <c r="M923" i="15"/>
  <c r="N923" i="15" s="1" a="1"/>
  <c r="N923" i="15" s="1"/>
  <c r="L923" i="15"/>
  <c r="J923" i="15"/>
  <c r="I923" i="15"/>
  <c r="E923" i="15"/>
  <c r="D923" i="15"/>
  <c r="S922" i="15"/>
  <c r="R922" i="15"/>
  <c r="M922" i="15"/>
  <c r="N922" i="15" s="1" a="1"/>
  <c r="N922" i="15" s="1"/>
  <c r="L922" i="15"/>
  <c r="J922" i="15"/>
  <c r="I922" i="15"/>
  <c r="E922" i="15"/>
  <c r="D922" i="15"/>
  <c r="S921" i="15"/>
  <c r="R921" i="15"/>
  <c r="M921" i="15"/>
  <c r="N921" i="15" s="1" a="1"/>
  <c r="N921" i="15" s="1"/>
  <c r="L921" i="15"/>
  <c r="J921" i="15"/>
  <c r="I921" i="15"/>
  <c r="E921" i="15"/>
  <c r="D921" i="15"/>
  <c r="S920" i="15"/>
  <c r="R920" i="15"/>
  <c r="M920" i="15"/>
  <c r="N920" i="15" s="1" a="1"/>
  <c r="N920" i="15" s="1"/>
  <c r="L920" i="15"/>
  <c r="J920" i="15"/>
  <c r="I920" i="15"/>
  <c r="E920" i="15"/>
  <c r="D920" i="15"/>
  <c r="S919" i="15"/>
  <c r="R919" i="15"/>
  <c r="M919" i="15"/>
  <c r="N919" i="15" s="1" a="1"/>
  <c r="N919" i="15" s="1"/>
  <c r="L919" i="15"/>
  <c r="J919" i="15"/>
  <c r="I919" i="15"/>
  <c r="E919" i="15"/>
  <c r="D919" i="15"/>
  <c r="S918" i="15"/>
  <c r="R918" i="15"/>
  <c r="M918" i="15"/>
  <c r="N918" i="15" s="1" a="1"/>
  <c r="N918" i="15" s="1"/>
  <c r="L918" i="15"/>
  <c r="J918" i="15"/>
  <c r="I918" i="15"/>
  <c r="E918" i="15"/>
  <c r="D918" i="15"/>
  <c r="S917" i="15"/>
  <c r="R917" i="15"/>
  <c r="M917" i="15"/>
  <c r="N917" i="15" s="1" a="1"/>
  <c r="N917" i="15" s="1"/>
  <c r="L917" i="15"/>
  <c r="J917" i="15"/>
  <c r="I917" i="15"/>
  <c r="E917" i="15"/>
  <c r="D917" i="15"/>
  <c r="S916" i="15"/>
  <c r="R916" i="15"/>
  <c r="M916" i="15"/>
  <c r="N916" i="15" s="1" a="1"/>
  <c r="N916" i="15" s="1"/>
  <c r="L916" i="15"/>
  <c r="J916" i="15"/>
  <c r="I916" i="15"/>
  <c r="E916" i="15"/>
  <c r="D916" i="15"/>
  <c r="S915" i="15"/>
  <c r="R915" i="15"/>
  <c r="M915" i="15"/>
  <c r="N915" i="15" s="1" a="1"/>
  <c r="N915" i="15" s="1"/>
  <c r="L915" i="15"/>
  <c r="J915" i="15"/>
  <c r="I915" i="15"/>
  <c r="E915" i="15"/>
  <c r="D915" i="15"/>
  <c r="S914" i="15"/>
  <c r="R914" i="15"/>
  <c r="M914" i="15"/>
  <c r="N914" i="15" s="1" a="1"/>
  <c r="N914" i="15" s="1"/>
  <c r="L914" i="15"/>
  <c r="J914" i="15"/>
  <c r="I914" i="15"/>
  <c r="E914" i="15"/>
  <c r="D914" i="15"/>
  <c r="S913" i="15"/>
  <c r="R913" i="15"/>
  <c r="M913" i="15"/>
  <c r="N913" i="15" s="1" a="1"/>
  <c r="N913" i="15" s="1"/>
  <c r="L913" i="15"/>
  <c r="J913" i="15"/>
  <c r="I913" i="15"/>
  <c r="E913" i="15"/>
  <c r="D913" i="15"/>
  <c r="S912" i="15"/>
  <c r="R912" i="15"/>
  <c r="M912" i="15"/>
  <c r="N912" i="15" s="1" a="1"/>
  <c r="N912" i="15" s="1"/>
  <c r="L912" i="15"/>
  <c r="J912" i="15"/>
  <c r="I912" i="15"/>
  <c r="E912" i="15"/>
  <c r="D912" i="15"/>
  <c r="S911" i="15"/>
  <c r="R911" i="15"/>
  <c r="N911" i="15"/>
  <c r="M911" i="15"/>
  <c r="N911" i="15" s="1" a="1"/>
  <c r="L911" i="15"/>
  <c r="J911" i="15"/>
  <c r="I911" i="15"/>
  <c r="E911" i="15"/>
  <c r="D911" i="15"/>
  <c r="S910" i="15"/>
  <c r="R910" i="15"/>
  <c r="M910" i="15"/>
  <c r="N910" i="15" s="1" a="1"/>
  <c r="N910" i="15" s="1"/>
  <c r="L910" i="15"/>
  <c r="J910" i="15"/>
  <c r="I910" i="15"/>
  <c r="E910" i="15"/>
  <c r="D910" i="15"/>
  <c r="S909" i="15"/>
  <c r="R909" i="15"/>
  <c r="M909" i="15"/>
  <c r="N909" i="15" s="1" a="1"/>
  <c r="N909" i="15" s="1"/>
  <c r="L909" i="15"/>
  <c r="J909" i="15"/>
  <c r="I909" i="15"/>
  <c r="E909" i="15"/>
  <c r="D909" i="15"/>
  <c r="S908" i="15"/>
  <c r="R908" i="15"/>
  <c r="M908" i="15"/>
  <c r="N908" i="15" s="1" a="1"/>
  <c r="N908" i="15" s="1"/>
  <c r="L908" i="15"/>
  <c r="J908" i="15"/>
  <c r="I908" i="15"/>
  <c r="E908" i="15"/>
  <c r="D908" i="15"/>
  <c r="S907" i="15"/>
  <c r="R907" i="15"/>
  <c r="M907" i="15"/>
  <c r="N907" i="15" s="1" a="1"/>
  <c r="N907" i="15" s="1"/>
  <c r="L907" i="15"/>
  <c r="J907" i="15"/>
  <c r="I907" i="15"/>
  <c r="E907" i="15"/>
  <c r="D907" i="15"/>
  <c r="S906" i="15"/>
  <c r="R906" i="15"/>
  <c r="M906" i="15"/>
  <c r="N906" i="15" s="1" a="1"/>
  <c r="N906" i="15" s="1"/>
  <c r="L906" i="15"/>
  <c r="J906" i="15"/>
  <c r="I906" i="15"/>
  <c r="E906" i="15"/>
  <c r="D906" i="15"/>
  <c r="S905" i="15"/>
  <c r="R905" i="15"/>
  <c r="M905" i="15"/>
  <c r="N905" i="15" s="1" a="1"/>
  <c r="N905" i="15" s="1"/>
  <c r="L905" i="15"/>
  <c r="J905" i="15"/>
  <c r="I905" i="15"/>
  <c r="E905" i="15"/>
  <c r="D905" i="15"/>
  <c r="S904" i="15"/>
  <c r="R904" i="15"/>
  <c r="M904" i="15"/>
  <c r="N904" i="15" s="1" a="1"/>
  <c r="N904" i="15" s="1"/>
  <c r="L904" i="15"/>
  <c r="J904" i="15"/>
  <c r="I904" i="15"/>
  <c r="E904" i="15"/>
  <c r="D904" i="15"/>
  <c r="S903" i="15"/>
  <c r="R903" i="15"/>
  <c r="M903" i="15"/>
  <c r="N903" i="15" s="1" a="1"/>
  <c r="N903" i="15" s="1"/>
  <c r="L903" i="15"/>
  <c r="J903" i="15"/>
  <c r="I903" i="15"/>
  <c r="E903" i="15"/>
  <c r="D903" i="15"/>
  <c r="S902" i="15"/>
  <c r="R902" i="15"/>
  <c r="M902" i="15"/>
  <c r="N902" i="15" s="1" a="1"/>
  <c r="N902" i="15" s="1"/>
  <c r="L902" i="15"/>
  <c r="J902" i="15"/>
  <c r="I902" i="15"/>
  <c r="E902" i="15"/>
  <c r="D902" i="15"/>
  <c r="S901" i="15"/>
  <c r="R901" i="15"/>
  <c r="M901" i="15"/>
  <c r="N901" i="15" s="1" a="1"/>
  <c r="N901" i="15" s="1"/>
  <c r="L901" i="15"/>
  <c r="J901" i="15"/>
  <c r="I901" i="15"/>
  <c r="E901" i="15"/>
  <c r="D901" i="15"/>
  <c r="S900" i="15"/>
  <c r="R900" i="15"/>
  <c r="M900" i="15"/>
  <c r="N900" i="15" s="1" a="1"/>
  <c r="N900" i="15" s="1"/>
  <c r="L900" i="15"/>
  <c r="J900" i="15"/>
  <c r="I900" i="15"/>
  <c r="E900" i="15"/>
  <c r="D900" i="15"/>
  <c r="S899" i="15"/>
  <c r="R899" i="15"/>
  <c r="M899" i="15"/>
  <c r="N899" i="15" s="1" a="1"/>
  <c r="N899" i="15" s="1"/>
  <c r="L899" i="15"/>
  <c r="J899" i="15"/>
  <c r="I899" i="15"/>
  <c r="E899" i="15"/>
  <c r="D899" i="15"/>
  <c r="S898" i="15"/>
  <c r="R898" i="15"/>
  <c r="M898" i="15"/>
  <c r="N898" i="15" s="1" a="1"/>
  <c r="N898" i="15" s="1"/>
  <c r="L898" i="15"/>
  <c r="J898" i="15"/>
  <c r="I898" i="15"/>
  <c r="E898" i="15"/>
  <c r="D898" i="15"/>
  <c r="S897" i="15"/>
  <c r="R897" i="15"/>
  <c r="M897" i="15"/>
  <c r="N897" i="15" s="1" a="1"/>
  <c r="N897" i="15" s="1"/>
  <c r="L897" i="15"/>
  <c r="J897" i="15"/>
  <c r="I897" i="15"/>
  <c r="E897" i="15"/>
  <c r="D897" i="15"/>
  <c r="S896" i="15"/>
  <c r="R896" i="15"/>
  <c r="M896" i="15"/>
  <c r="N896" i="15" s="1" a="1"/>
  <c r="N896" i="15" s="1"/>
  <c r="L896" i="15"/>
  <c r="J896" i="15"/>
  <c r="I896" i="15"/>
  <c r="E896" i="15"/>
  <c r="D896" i="15"/>
  <c r="S895" i="15"/>
  <c r="R895" i="15"/>
  <c r="M895" i="15"/>
  <c r="N895" i="15" s="1" a="1"/>
  <c r="N895" i="15" s="1"/>
  <c r="L895" i="15"/>
  <c r="J895" i="15"/>
  <c r="I895" i="15"/>
  <c r="E895" i="15"/>
  <c r="D895" i="15"/>
  <c r="S894" i="15"/>
  <c r="R894" i="15"/>
  <c r="M894" i="15"/>
  <c r="N894" i="15" s="1" a="1"/>
  <c r="N894" i="15" s="1"/>
  <c r="L894" i="15"/>
  <c r="J894" i="15"/>
  <c r="I894" i="15"/>
  <c r="E894" i="15"/>
  <c r="D894" i="15"/>
  <c r="S893" i="15"/>
  <c r="R893" i="15"/>
  <c r="M893" i="15"/>
  <c r="N893" i="15" s="1" a="1"/>
  <c r="N893" i="15" s="1"/>
  <c r="L893" i="15"/>
  <c r="J893" i="15"/>
  <c r="I893" i="15"/>
  <c r="E893" i="15"/>
  <c r="D893" i="15"/>
  <c r="S892" i="15"/>
  <c r="R892" i="15"/>
  <c r="M892" i="15"/>
  <c r="N892" i="15" s="1" a="1"/>
  <c r="N892" i="15" s="1"/>
  <c r="L892" i="15"/>
  <c r="J892" i="15"/>
  <c r="I892" i="15"/>
  <c r="E892" i="15"/>
  <c r="D892" i="15"/>
  <c r="S891" i="15"/>
  <c r="R891" i="15"/>
  <c r="M891" i="15"/>
  <c r="N891" i="15" s="1" a="1"/>
  <c r="N891" i="15" s="1"/>
  <c r="L891" i="15"/>
  <c r="J891" i="15"/>
  <c r="I891" i="15"/>
  <c r="E891" i="15"/>
  <c r="D891" i="15"/>
  <c r="S890" i="15"/>
  <c r="R890" i="15"/>
  <c r="M890" i="15"/>
  <c r="N890" i="15" s="1" a="1"/>
  <c r="N890" i="15" s="1"/>
  <c r="L890" i="15"/>
  <c r="J890" i="15"/>
  <c r="I890" i="15"/>
  <c r="E890" i="15"/>
  <c r="D890" i="15"/>
  <c r="S889" i="15"/>
  <c r="R889" i="15"/>
  <c r="M889" i="15"/>
  <c r="N889" i="15" s="1" a="1"/>
  <c r="N889" i="15" s="1"/>
  <c r="L889" i="15"/>
  <c r="J889" i="15"/>
  <c r="I889" i="15"/>
  <c r="E889" i="15"/>
  <c r="D889" i="15"/>
  <c r="S888" i="15"/>
  <c r="R888" i="15"/>
  <c r="M888" i="15"/>
  <c r="N888" i="15" s="1" a="1"/>
  <c r="N888" i="15" s="1"/>
  <c r="L888" i="15"/>
  <c r="J888" i="15"/>
  <c r="I888" i="15"/>
  <c r="E888" i="15"/>
  <c r="D888" i="15"/>
  <c r="S887" i="15"/>
  <c r="R887" i="15"/>
  <c r="M887" i="15"/>
  <c r="N887" i="15" s="1" a="1"/>
  <c r="N887" i="15" s="1"/>
  <c r="L887" i="15"/>
  <c r="J887" i="15"/>
  <c r="I887" i="15"/>
  <c r="E887" i="15"/>
  <c r="D887" i="15"/>
  <c r="S886" i="15"/>
  <c r="R886" i="15"/>
  <c r="M886" i="15"/>
  <c r="N886" i="15" s="1" a="1"/>
  <c r="N886" i="15" s="1"/>
  <c r="L886" i="15"/>
  <c r="J886" i="15"/>
  <c r="I886" i="15"/>
  <c r="E886" i="15"/>
  <c r="D886" i="15"/>
  <c r="S885" i="15"/>
  <c r="R885" i="15"/>
  <c r="M885" i="15"/>
  <c r="N885" i="15" s="1" a="1"/>
  <c r="N885" i="15" s="1"/>
  <c r="L885" i="15"/>
  <c r="J885" i="15"/>
  <c r="I885" i="15"/>
  <c r="E885" i="15"/>
  <c r="D885" i="15"/>
  <c r="S884" i="15"/>
  <c r="R884" i="15"/>
  <c r="M884" i="15"/>
  <c r="N884" i="15" s="1" a="1"/>
  <c r="N884" i="15" s="1"/>
  <c r="L884" i="15"/>
  <c r="J884" i="15"/>
  <c r="I884" i="15"/>
  <c r="E884" i="15"/>
  <c r="D884" i="15"/>
  <c r="S883" i="15"/>
  <c r="R883" i="15"/>
  <c r="M883" i="15"/>
  <c r="N883" i="15" s="1" a="1"/>
  <c r="N883" i="15" s="1"/>
  <c r="L883" i="15"/>
  <c r="J883" i="15"/>
  <c r="I883" i="15"/>
  <c r="E883" i="15"/>
  <c r="D883" i="15"/>
  <c r="S882" i="15"/>
  <c r="R882" i="15"/>
  <c r="N882" i="15"/>
  <c r="M882" i="15"/>
  <c r="N882" i="15" s="1" a="1"/>
  <c r="L882" i="15"/>
  <c r="J882" i="15"/>
  <c r="I882" i="15"/>
  <c r="E882" i="15"/>
  <c r="D882" i="15"/>
  <c r="S881" i="15"/>
  <c r="R881" i="15"/>
  <c r="M881" i="15"/>
  <c r="N881" i="15" s="1" a="1"/>
  <c r="N881" i="15" s="1"/>
  <c r="L881" i="15"/>
  <c r="J881" i="15"/>
  <c r="E881" i="15"/>
  <c r="D881" i="15"/>
  <c r="S880" i="15"/>
  <c r="R880" i="15"/>
  <c r="M880" i="15"/>
  <c r="N880" i="15" s="1" a="1"/>
  <c r="N880" i="15" s="1"/>
  <c r="L880" i="15"/>
  <c r="J880" i="15"/>
  <c r="E880" i="15"/>
  <c r="D880" i="15"/>
  <c r="S879" i="15"/>
  <c r="R879" i="15"/>
  <c r="M879" i="15"/>
  <c r="N879" i="15" s="1" a="1"/>
  <c r="N879" i="15" s="1"/>
  <c r="L879" i="15"/>
  <c r="J879" i="15"/>
  <c r="E879" i="15"/>
  <c r="D879" i="15"/>
  <c r="S878" i="15"/>
  <c r="R878" i="15"/>
  <c r="M878" i="15"/>
  <c r="N878" i="15" s="1" a="1"/>
  <c r="N878" i="15" s="1"/>
  <c r="L878" i="15"/>
  <c r="J878" i="15"/>
  <c r="E878" i="15"/>
  <c r="D878" i="15"/>
  <c r="S877" i="15"/>
  <c r="R877" i="15"/>
  <c r="M877" i="15"/>
  <c r="N877" i="15" s="1" a="1"/>
  <c r="N877" i="15" s="1"/>
  <c r="L877" i="15"/>
  <c r="J877" i="15"/>
  <c r="E877" i="15"/>
  <c r="D877" i="15"/>
  <c r="S876" i="15"/>
  <c r="R876" i="15"/>
  <c r="M876" i="15"/>
  <c r="N876" i="15" s="1" a="1"/>
  <c r="N876" i="15" s="1"/>
  <c r="L876" i="15"/>
  <c r="J876" i="15"/>
  <c r="E876" i="15"/>
  <c r="D876" i="15"/>
  <c r="S875" i="15"/>
  <c r="R875" i="15"/>
  <c r="M875" i="15"/>
  <c r="N875" i="15" s="1" a="1"/>
  <c r="N875" i="15" s="1"/>
  <c r="L875" i="15"/>
  <c r="J875" i="15"/>
  <c r="E875" i="15"/>
  <c r="D875" i="15"/>
  <c r="S874" i="15"/>
  <c r="R874" i="15"/>
  <c r="M874" i="15"/>
  <c r="N874" i="15" s="1" a="1"/>
  <c r="N874" i="15" s="1"/>
  <c r="L874" i="15"/>
  <c r="J874" i="15"/>
  <c r="E874" i="15"/>
  <c r="D874" i="15"/>
  <c r="S873" i="15"/>
  <c r="R873" i="15"/>
  <c r="M873" i="15"/>
  <c r="N873" i="15" s="1" a="1"/>
  <c r="N873" i="15" s="1"/>
  <c r="L873" i="15"/>
  <c r="J873" i="15"/>
  <c r="E873" i="15"/>
  <c r="D873" i="15"/>
  <c r="S872" i="15"/>
  <c r="R872" i="15"/>
  <c r="M872" i="15"/>
  <c r="N872" i="15" s="1" a="1"/>
  <c r="N872" i="15" s="1"/>
  <c r="L872" i="15"/>
  <c r="J872" i="15"/>
  <c r="E872" i="15"/>
  <c r="D872" i="15"/>
  <c r="S871" i="15"/>
  <c r="R871" i="15"/>
  <c r="M871" i="15"/>
  <c r="N871" i="15" s="1" a="1"/>
  <c r="N871" i="15" s="1"/>
  <c r="L871" i="15"/>
  <c r="J871" i="15"/>
  <c r="E871" i="15"/>
  <c r="D871" i="15"/>
  <c r="S870" i="15"/>
  <c r="R870" i="15"/>
  <c r="M870" i="15"/>
  <c r="N870" i="15" s="1" a="1"/>
  <c r="N870" i="15" s="1"/>
  <c r="L870" i="15"/>
  <c r="J870" i="15"/>
  <c r="E870" i="15"/>
  <c r="D870" i="15"/>
  <c r="S869" i="15"/>
  <c r="R869" i="15"/>
  <c r="M869" i="15"/>
  <c r="N869" i="15" s="1" a="1"/>
  <c r="N869" i="15" s="1"/>
  <c r="L869" i="15"/>
  <c r="J869" i="15"/>
  <c r="E869" i="15"/>
  <c r="D869" i="15"/>
  <c r="S868" i="15"/>
  <c r="R868" i="15"/>
  <c r="M868" i="15"/>
  <c r="N868" i="15" s="1" a="1"/>
  <c r="N868" i="15" s="1"/>
  <c r="L868" i="15"/>
  <c r="J868" i="15"/>
  <c r="E868" i="15"/>
  <c r="D868" i="15"/>
  <c r="S867" i="15"/>
  <c r="R867" i="15"/>
  <c r="M867" i="15"/>
  <c r="N867" i="15" s="1" a="1"/>
  <c r="N867" i="15" s="1"/>
  <c r="L867" i="15"/>
  <c r="J867" i="15"/>
  <c r="E867" i="15"/>
  <c r="D867" i="15"/>
  <c r="S866" i="15"/>
  <c r="R866" i="15"/>
  <c r="M866" i="15"/>
  <c r="N866" i="15" s="1" a="1"/>
  <c r="N866" i="15" s="1"/>
  <c r="L866" i="15"/>
  <c r="J866" i="15"/>
  <c r="E866" i="15"/>
  <c r="D866" i="15"/>
  <c r="S865" i="15"/>
  <c r="R865" i="15"/>
  <c r="M865" i="15"/>
  <c r="N865" i="15" s="1" a="1"/>
  <c r="N865" i="15" s="1"/>
  <c r="L865" i="15"/>
  <c r="J865" i="15"/>
  <c r="E865" i="15"/>
  <c r="D865" i="15"/>
  <c r="S864" i="15"/>
  <c r="R864" i="15"/>
  <c r="M864" i="15"/>
  <c r="N864" i="15" s="1" a="1"/>
  <c r="N864" i="15" s="1"/>
  <c r="L864" i="15"/>
  <c r="J864" i="15"/>
  <c r="E864" i="15"/>
  <c r="D864" i="15"/>
  <c r="S863" i="15"/>
  <c r="R863" i="15"/>
  <c r="M863" i="15"/>
  <c r="N863" i="15" s="1" a="1"/>
  <c r="N863" i="15" s="1"/>
  <c r="L863" i="15"/>
  <c r="J863" i="15"/>
  <c r="E863" i="15"/>
  <c r="D863" i="15"/>
  <c r="S862" i="15"/>
  <c r="R862" i="15"/>
  <c r="M862" i="15"/>
  <c r="N862" i="15" s="1" a="1"/>
  <c r="N862" i="15" s="1"/>
  <c r="L862" i="15"/>
  <c r="J862" i="15"/>
  <c r="E862" i="15"/>
  <c r="D862" i="15"/>
  <c r="S861" i="15"/>
  <c r="R861" i="15"/>
  <c r="M861" i="15"/>
  <c r="N861" i="15" s="1" a="1"/>
  <c r="N861" i="15" s="1"/>
  <c r="L861" i="15"/>
  <c r="J861" i="15"/>
  <c r="E861" i="15"/>
  <c r="D861" i="15"/>
  <c r="S860" i="15"/>
  <c r="R860" i="15"/>
  <c r="M860" i="15"/>
  <c r="N860" i="15" s="1" a="1"/>
  <c r="N860" i="15" s="1"/>
  <c r="L860" i="15"/>
  <c r="J860" i="15"/>
  <c r="E860" i="15"/>
  <c r="D860" i="15"/>
  <c r="S859" i="15"/>
  <c r="R859" i="15"/>
  <c r="M859" i="15"/>
  <c r="N859" i="15" s="1" a="1"/>
  <c r="N859" i="15" s="1"/>
  <c r="L859" i="15"/>
  <c r="J859" i="15"/>
  <c r="E859" i="15"/>
  <c r="D859" i="15"/>
  <c r="S858" i="15"/>
  <c r="R858" i="15"/>
  <c r="M858" i="15"/>
  <c r="N858" i="15" s="1" a="1"/>
  <c r="N858" i="15" s="1"/>
  <c r="L858" i="15"/>
  <c r="J858" i="15"/>
  <c r="E858" i="15"/>
  <c r="D858" i="15"/>
  <c r="S857" i="15"/>
  <c r="R857" i="15"/>
  <c r="M857" i="15"/>
  <c r="N857" i="15" s="1" a="1"/>
  <c r="N857" i="15" s="1"/>
  <c r="L857" i="15"/>
  <c r="J857" i="15"/>
  <c r="E857" i="15"/>
  <c r="D857" i="15"/>
  <c r="S856" i="15"/>
  <c r="R856" i="15"/>
  <c r="M856" i="15"/>
  <c r="N856" i="15" s="1" a="1"/>
  <c r="N856" i="15" s="1"/>
  <c r="L856" i="15"/>
  <c r="J856" i="15"/>
  <c r="E856" i="15"/>
  <c r="D856" i="15"/>
  <c r="S855" i="15"/>
  <c r="R855" i="15"/>
  <c r="M855" i="15"/>
  <c r="N855" i="15" s="1" a="1"/>
  <c r="N855" i="15" s="1"/>
  <c r="L855" i="15"/>
  <c r="J855" i="15"/>
  <c r="E855" i="15"/>
  <c r="D855" i="15"/>
  <c r="S854" i="15"/>
  <c r="R854" i="15"/>
  <c r="M854" i="15"/>
  <c r="N854" i="15" s="1" a="1"/>
  <c r="N854" i="15" s="1"/>
  <c r="L854" i="15"/>
  <c r="J854" i="15"/>
  <c r="E854" i="15"/>
  <c r="D854" i="15"/>
  <c r="S853" i="15"/>
  <c r="R853" i="15"/>
  <c r="M853" i="15"/>
  <c r="N853" i="15" s="1" a="1"/>
  <c r="N853" i="15" s="1"/>
  <c r="L853" i="15"/>
  <c r="J853" i="15"/>
  <c r="E853" i="15"/>
  <c r="D853" i="15"/>
  <c r="S852" i="15"/>
  <c r="R852" i="15"/>
  <c r="M852" i="15"/>
  <c r="N852" i="15" s="1" a="1"/>
  <c r="N852" i="15" s="1"/>
  <c r="L852" i="15"/>
  <c r="J852" i="15"/>
  <c r="E852" i="15"/>
  <c r="D852" i="15"/>
  <c r="S851" i="15"/>
  <c r="R851" i="15"/>
  <c r="M851" i="15"/>
  <c r="N851" i="15" s="1" a="1"/>
  <c r="N851" i="15" s="1"/>
  <c r="L851" i="15"/>
  <c r="J851" i="15"/>
  <c r="E851" i="15"/>
  <c r="D851" i="15"/>
  <c r="S850" i="15"/>
  <c r="R850" i="15"/>
  <c r="N850" i="15"/>
  <c r="M850" i="15"/>
  <c r="N850" i="15" s="1" a="1"/>
  <c r="L850" i="15"/>
  <c r="J850" i="15"/>
  <c r="E850" i="15"/>
  <c r="D850" i="15"/>
  <c r="S849" i="15"/>
  <c r="R849" i="15"/>
  <c r="M849" i="15"/>
  <c r="N849" i="15" s="1" a="1"/>
  <c r="N849" i="15" s="1"/>
  <c r="L849" i="15"/>
  <c r="J849" i="15"/>
  <c r="E849" i="15"/>
  <c r="D849" i="15"/>
  <c r="S848" i="15"/>
  <c r="R848" i="15"/>
  <c r="M848" i="15"/>
  <c r="N848" i="15" s="1" a="1"/>
  <c r="N848" i="15" s="1"/>
  <c r="L848" i="15"/>
  <c r="J848" i="15"/>
  <c r="E848" i="15"/>
  <c r="D848" i="15"/>
  <c r="S847" i="15"/>
  <c r="R847" i="15"/>
  <c r="M847" i="15"/>
  <c r="N847" i="15" s="1" a="1"/>
  <c r="N847" i="15" s="1"/>
  <c r="L847" i="15"/>
  <c r="J847" i="15"/>
  <c r="E847" i="15"/>
  <c r="D847" i="15"/>
  <c r="S846" i="15"/>
  <c r="R846" i="15"/>
  <c r="M846" i="15"/>
  <c r="N846" i="15" s="1" a="1"/>
  <c r="N846" i="15" s="1"/>
  <c r="L846" i="15"/>
  <c r="J846" i="15"/>
  <c r="E846" i="15"/>
  <c r="D846" i="15"/>
  <c r="S845" i="15"/>
  <c r="R845" i="15"/>
  <c r="M845" i="15"/>
  <c r="N845" i="15" s="1" a="1"/>
  <c r="N845" i="15" s="1"/>
  <c r="L845" i="15"/>
  <c r="J845" i="15"/>
  <c r="E845" i="15"/>
  <c r="D845" i="15"/>
  <c r="S844" i="15"/>
  <c r="R844" i="15"/>
  <c r="M844" i="15"/>
  <c r="N844" i="15" s="1" a="1"/>
  <c r="N844" i="15" s="1"/>
  <c r="L844" i="15"/>
  <c r="J844" i="15"/>
  <c r="E844" i="15"/>
  <c r="D844" i="15"/>
  <c r="S843" i="15"/>
  <c r="R843" i="15"/>
  <c r="M843" i="15"/>
  <c r="N843" i="15" s="1" a="1"/>
  <c r="N843" i="15" s="1"/>
  <c r="L843" i="15"/>
  <c r="J843" i="15"/>
  <c r="E843" i="15"/>
  <c r="D843" i="15"/>
  <c r="S842" i="15"/>
  <c r="R842" i="15"/>
  <c r="M842" i="15"/>
  <c r="N842" i="15" s="1" a="1"/>
  <c r="N842" i="15" s="1"/>
  <c r="L842" i="15"/>
  <c r="J842" i="15"/>
  <c r="E842" i="15"/>
  <c r="D842" i="15"/>
  <c r="S841" i="15"/>
  <c r="R841" i="15"/>
  <c r="M841" i="15"/>
  <c r="N841" i="15" s="1" a="1"/>
  <c r="N841" i="15" s="1"/>
  <c r="L841" i="15"/>
  <c r="J841" i="15"/>
  <c r="E841" i="15"/>
  <c r="D841" i="15"/>
  <c r="S840" i="15"/>
  <c r="R840" i="15"/>
  <c r="M840" i="15"/>
  <c r="N840" i="15" s="1" a="1"/>
  <c r="N840" i="15" s="1"/>
  <c r="L840" i="15"/>
  <c r="J840" i="15"/>
  <c r="E840" i="15"/>
  <c r="D840" i="15"/>
  <c r="S839" i="15"/>
  <c r="R839" i="15"/>
  <c r="M839" i="15"/>
  <c r="N839" i="15" s="1" a="1"/>
  <c r="N839" i="15" s="1"/>
  <c r="L839" i="15"/>
  <c r="J839" i="15"/>
  <c r="E839" i="15"/>
  <c r="D839" i="15"/>
  <c r="S838" i="15"/>
  <c r="R838" i="15"/>
  <c r="M838" i="15"/>
  <c r="N838" i="15" s="1" a="1"/>
  <c r="N838" i="15" s="1"/>
  <c r="L838" i="15"/>
  <c r="J838" i="15"/>
  <c r="E838" i="15"/>
  <c r="D838" i="15"/>
  <c r="S837" i="15"/>
  <c r="R837" i="15"/>
  <c r="M837" i="15"/>
  <c r="N837" i="15" s="1" a="1"/>
  <c r="N837" i="15" s="1"/>
  <c r="L837" i="15"/>
  <c r="J837" i="15"/>
  <c r="E837" i="15"/>
  <c r="D837" i="15"/>
  <c r="S836" i="15"/>
  <c r="R836" i="15"/>
  <c r="M836" i="15"/>
  <c r="N836" i="15" s="1" a="1"/>
  <c r="N836" i="15" s="1"/>
  <c r="L836" i="15"/>
  <c r="J836" i="15"/>
  <c r="E836" i="15"/>
  <c r="D836" i="15"/>
  <c r="S835" i="15"/>
  <c r="R835" i="15"/>
  <c r="M835" i="15"/>
  <c r="N835" i="15" s="1" a="1"/>
  <c r="N835" i="15" s="1"/>
  <c r="L835" i="15"/>
  <c r="J835" i="15"/>
  <c r="E835" i="15"/>
  <c r="D835" i="15"/>
  <c r="S834" i="15"/>
  <c r="R834" i="15"/>
  <c r="M834" i="15"/>
  <c r="N834" i="15" s="1" a="1"/>
  <c r="N834" i="15" s="1"/>
  <c r="L834" i="15"/>
  <c r="J834" i="15"/>
  <c r="E834" i="15"/>
  <c r="D834" i="15"/>
  <c r="S833" i="15"/>
  <c r="R833" i="15"/>
  <c r="M833" i="15"/>
  <c r="N833" i="15" s="1" a="1"/>
  <c r="N833" i="15" s="1"/>
  <c r="L833" i="15"/>
  <c r="J833" i="15"/>
  <c r="E833" i="15"/>
  <c r="D833" i="15"/>
  <c r="S832" i="15"/>
  <c r="R832" i="15"/>
  <c r="M832" i="15"/>
  <c r="N832" i="15" s="1" a="1"/>
  <c r="N832" i="15" s="1"/>
  <c r="L832" i="15"/>
  <c r="J832" i="15"/>
  <c r="E832" i="15"/>
  <c r="D832" i="15"/>
  <c r="S831" i="15"/>
  <c r="R831" i="15"/>
  <c r="M831" i="15"/>
  <c r="N831" i="15" s="1" a="1"/>
  <c r="N831" i="15" s="1"/>
  <c r="L831" i="15"/>
  <c r="J831" i="15"/>
  <c r="E831" i="15"/>
  <c r="D831" i="15"/>
  <c r="S830" i="15"/>
  <c r="R830" i="15"/>
  <c r="M830" i="15"/>
  <c r="N830" i="15" s="1" a="1"/>
  <c r="N830" i="15" s="1"/>
  <c r="L830" i="15"/>
  <c r="J830" i="15"/>
  <c r="E830" i="15"/>
  <c r="D830" i="15"/>
  <c r="S829" i="15"/>
  <c r="R829" i="15"/>
  <c r="M829" i="15"/>
  <c r="N829" i="15" s="1" a="1"/>
  <c r="N829" i="15" s="1"/>
  <c r="L829" i="15"/>
  <c r="J829" i="15"/>
  <c r="E829" i="15"/>
  <c r="D829" i="15"/>
  <c r="S828" i="15"/>
  <c r="R828" i="15"/>
  <c r="M828" i="15"/>
  <c r="N828" i="15" s="1" a="1"/>
  <c r="N828" i="15" s="1"/>
  <c r="L828" i="15"/>
  <c r="J828" i="15"/>
  <c r="E828" i="15"/>
  <c r="D828" i="15"/>
  <c r="S827" i="15"/>
  <c r="R827" i="15"/>
  <c r="M827" i="15"/>
  <c r="N827" i="15" s="1" a="1"/>
  <c r="N827" i="15" s="1"/>
  <c r="L827" i="15"/>
  <c r="J827" i="15"/>
  <c r="E827" i="15"/>
  <c r="D827" i="15"/>
  <c r="S826" i="15"/>
  <c r="R826" i="15"/>
  <c r="M826" i="15"/>
  <c r="N826" i="15" s="1" a="1"/>
  <c r="N826" i="15" s="1"/>
  <c r="L826" i="15"/>
  <c r="J826" i="15"/>
  <c r="E826" i="15"/>
  <c r="D826" i="15"/>
  <c r="S825" i="15"/>
  <c r="R825" i="15"/>
  <c r="M825" i="15"/>
  <c r="N825" i="15" s="1" a="1"/>
  <c r="N825" i="15" s="1"/>
  <c r="L825" i="15"/>
  <c r="J825" i="15"/>
  <c r="E825" i="15"/>
  <c r="D825" i="15"/>
  <c r="S824" i="15"/>
  <c r="R824" i="15"/>
  <c r="M824" i="15"/>
  <c r="N824" i="15" s="1" a="1"/>
  <c r="N824" i="15" s="1"/>
  <c r="L824" i="15"/>
  <c r="J824" i="15"/>
  <c r="E824" i="15"/>
  <c r="D824" i="15"/>
  <c r="S823" i="15"/>
  <c r="R823" i="15"/>
  <c r="M823" i="15"/>
  <c r="N823" i="15" s="1" a="1"/>
  <c r="N823" i="15" s="1"/>
  <c r="L823" i="15"/>
  <c r="J823" i="15"/>
  <c r="E823" i="15"/>
  <c r="D823" i="15"/>
  <c r="S822" i="15"/>
  <c r="R822" i="15"/>
  <c r="M822" i="15"/>
  <c r="N822" i="15" s="1" a="1"/>
  <c r="N822" i="15" s="1"/>
  <c r="L822" i="15"/>
  <c r="J822" i="15"/>
  <c r="E822" i="15"/>
  <c r="D822" i="15"/>
  <c r="S821" i="15"/>
  <c r="R821" i="15"/>
  <c r="N821" i="15" a="1"/>
  <c r="N821" i="15" s="1"/>
  <c r="M821" i="15"/>
  <c r="L821" i="15"/>
  <c r="J821" i="15"/>
  <c r="E821" i="15"/>
  <c r="D821" i="15"/>
  <c r="S820" i="15"/>
  <c r="R820" i="15"/>
  <c r="M820" i="15"/>
  <c r="N820" i="15" s="1" a="1"/>
  <c r="N820" i="15" s="1"/>
  <c r="L820" i="15"/>
  <c r="J820" i="15"/>
  <c r="E820" i="15"/>
  <c r="D820" i="15"/>
  <c r="S819" i="15"/>
  <c r="R819" i="15"/>
  <c r="M819" i="15"/>
  <c r="N819" i="15" s="1" a="1"/>
  <c r="N819" i="15" s="1"/>
  <c r="L819" i="15"/>
  <c r="J819" i="15"/>
  <c r="E819" i="15"/>
  <c r="D819" i="15"/>
  <c r="S818" i="15"/>
  <c r="R818" i="15"/>
  <c r="M818" i="15"/>
  <c r="N818" i="15" s="1" a="1"/>
  <c r="N818" i="15" s="1"/>
  <c r="L818" i="15"/>
  <c r="J818" i="15"/>
  <c r="E818" i="15"/>
  <c r="D818" i="15"/>
  <c r="S817" i="15"/>
  <c r="R817" i="15"/>
  <c r="M817" i="15"/>
  <c r="N817" i="15" s="1" a="1"/>
  <c r="N817" i="15" s="1"/>
  <c r="L817" i="15"/>
  <c r="J817" i="15"/>
  <c r="E817" i="15"/>
  <c r="D817" i="15"/>
  <c r="S816" i="15"/>
  <c r="R816" i="15"/>
  <c r="M816" i="15"/>
  <c r="N816" i="15" s="1" a="1"/>
  <c r="N816" i="15" s="1"/>
  <c r="L816" i="15"/>
  <c r="J816" i="15"/>
  <c r="E816" i="15"/>
  <c r="D816" i="15"/>
  <c r="S815" i="15"/>
  <c r="R815" i="15"/>
  <c r="M815" i="15"/>
  <c r="N815" i="15" s="1" a="1"/>
  <c r="N815" i="15" s="1"/>
  <c r="L815" i="15"/>
  <c r="J815" i="15"/>
  <c r="E815" i="15"/>
  <c r="D815" i="15"/>
  <c r="S814" i="15"/>
  <c r="R814" i="15"/>
  <c r="M814" i="15"/>
  <c r="N814" i="15" s="1" a="1"/>
  <c r="N814" i="15" s="1"/>
  <c r="L814" i="15"/>
  <c r="J814" i="15"/>
  <c r="E814" i="15"/>
  <c r="D814" i="15"/>
  <c r="S813" i="15"/>
  <c r="R813" i="15"/>
  <c r="M813" i="15"/>
  <c r="N813" i="15" s="1" a="1"/>
  <c r="N813" i="15" s="1"/>
  <c r="L813" i="15"/>
  <c r="J813" i="15"/>
  <c r="E813" i="15"/>
  <c r="D813" i="15"/>
  <c r="S812" i="15"/>
  <c r="R812" i="15"/>
  <c r="M812" i="15"/>
  <c r="N812" i="15" s="1" a="1"/>
  <c r="N812" i="15" s="1"/>
  <c r="L812" i="15"/>
  <c r="J812" i="15"/>
  <c r="E812" i="15"/>
  <c r="D812" i="15"/>
  <c r="S811" i="15"/>
  <c r="R811" i="15"/>
  <c r="M811" i="15"/>
  <c r="N811" i="15" s="1" a="1"/>
  <c r="N811" i="15" s="1"/>
  <c r="L811" i="15"/>
  <c r="J811" i="15"/>
  <c r="E811" i="15"/>
  <c r="D811" i="15"/>
  <c r="S810" i="15"/>
  <c r="R810" i="15"/>
  <c r="M810" i="15"/>
  <c r="N810" i="15" s="1" a="1"/>
  <c r="N810" i="15" s="1"/>
  <c r="L810" i="15"/>
  <c r="J810" i="15"/>
  <c r="E810" i="15"/>
  <c r="D810" i="15"/>
  <c r="S809" i="15"/>
  <c r="R809" i="15"/>
  <c r="M809" i="15"/>
  <c r="N809" i="15" s="1" a="1"/>
  <c r="N809" i="15" s="1"/>
  <c r="L809" i="15"/>
  <c r="J809" i="15"/>
  <c r="E809" i="15"/>
  <c r="D809" i="15"/>
  <c r="S808" i="15"/>
  <c r="R808" i="15"/>
  <c r="M808" i="15"/>
  <c r="N808" i="15" s="1" a="1"/>
  <c r="N808" i="15" s="1"/>
  <c r="L808" i="15"/>
  <c r="J808" i="15"/>
  <c r="E808" i="15"/>
  <c r="D808" i="15"/>
  <c r="S807" i="15"/>
  <c r="R807" i="15"/>
  <c r="M807" i="15"/>
  <c r="N807" i="15" s="1" a="1"/>
  <c r="N807" i="15" s="1"/>
  <c r="L807" i="15"/>
  <c r="J807" i="15"/>
  <c r="E807" i="15"/>
  <c r="D807" i="15"/>
  <c r="S806" i="15"/>
  <c r="R806" i="15"/>
  <c r="M806" i="15"/>
  <c r="N806" i="15" s="1" a="1"/>
  <c r="N806" i="15" s="1"/>
  <c r="L806" i="15"/>
  <c r="J806" i="15"/>
  <c r="E806" i="15"/>
  <c r="D806" i="15"/>
  <c r="S805" i="15"/>
  <c r="R805" i="15"/>
  <c r="M805" i="15"/>
  <c r="N805" i="15" s="1" a="1"/>
  <c r="N805" i="15" s="1"/>
  <c r="L805" i="15"/>
  <c r="J805" i="15"/>
  <c r="E805" i="15"/>
  <c r="D805" i="15"/>
  <c r="S804" i="15"/>
  <c r="R804" i="15"/>
  <c r="M804" i="15"/>
  <c r="N804" i="15" s="1" a="1"/>
  <c r="N804" i="15" s="1"/>
  <c r="L804" i="15"/>
  <c r="J804" i="15"/>
  <c r="E804" i="15"/>
  <c r="D804" i="15"/>
  <c r="S803" i="15"/>
  <c r="R803" i="15"/>
  <c r="M803" i="15"/>
  <c r="N803" i="15" s="1" a="1"/>
  <c r="N803" i="15" s="1"/>
  <c r="L803" i="15"/>
  <c r="J803" i="15"/>
  <c r="E803" i="15"/>
  <c r="D803" i="15"/>
  <c r="S802" i="15"/>
  <c r="R802" i="15"/>
  <c r="M802" i="15"/>
  <c r="N802" i="15" s="1" a="1"/>
  <c r="N802" i="15" s="1"/>
  <c r="L802" i="15"/>
  <c r="J802" i="15"/>
  <c r="E802" i="15"/>
  <c r="D802" i="15"/>
  <c r="S801" i="15"/>
  <c r="R801" i="15"/>
  <c r="M801" i="15"/>
  <c r="N801" i="15" s="1" a="1"/>
  <c r="N801" i="15" s="1"/>
  <c r="L801" i="15"/>
  <c r="J801" i="15"/>
  <c r="E801" i="15"/>
  <c r="D801" i="15"/>
  <c r="S800" i="15"/>
  <c r="R800" i="15"/>
  <c r="M800" i="15"/>
  <c r="N800" i="15" s="1" a="1"/>
  <c r="N800" i="15" s="1"/>
  <c r="L800" i="15"/>
  <c r="J800" i="15"/>
  <c r="E800" i="15"/>
  <c r="D800" i="15"/>
  <c r="S799" i="15"/>
  <c r="R799" i="15"/>
  <c r="M799" i="15"/>
  <c r="N799" i="15" s="1" a="1"/>
  <c r="N799" i="15" s="1"/>
  <c r="L799" i="15"/>
  <c r="J799" i="15"/>
  <c r="E799" i="15"/>
  <c r="D799" i="15"/>
  <c r="S798" i="15"/>
  <c r="R798" i="15"/>
  <c r="M798" i="15"/>
  <c r="N798" i="15" s="1" a="1"/>
  <c r="N798" i="15" s="1"/>
  <c r="L798" i="15"/>
  <c r="J798" i="15"/>
  <c r="E798" i="15"/>
  <c r="D798" i="15"/>
  <c r="S797" i="15"/>
  <c r="R797" i="15"/>
  <c r="M797" i="15"/>
  <c r="N797" i="15" s="1" a="1"/>
  <c r="N797" i="15" s="1"/>
  <c r="L797" i="15"/>
  <c r="J797" i="15"/>
  <c r="E797" i="15"/>
  <c r="D797" i="15"/>
  <c r="S796" i="15"/>
  <c r="R796" i="15"/>
  <c r="M796" i="15"/>
  <c r="N796" i="15" s="1" a="1"/>
  <c r="N796" i="15" s="1"/>
  <c r="L796" i="15"/>
  <c r="J796" i="15"/>
  <c r="E796" i="15"/>
  <c r="D796" i="15"/>
  <c r="S795" i="15"/>
  <c r="R795" i="15"/>
  <c r="M795" i="15"/>
  <c r="N795" i="15" s="1" a="1"/>
  <c r="N795" i="15" s="1"/>
  <c r="L795" i="15"/>
  <c r="J795" i="15"/>
  <c r="E795" i="15"/>
  <c r="D795" i="15"/>
  <c r="S794" i="15"/>
  <c r="R794" i="15"/>
  <c r="M794" i="15"/>
  <c r="N794" i="15" s="1" a="1"/>
  <c r="N794" i="15" s="1"/>
  <c r="L794" i="15"/>
  <c r="J794" i="15"/>
  <c r="E794" i="15"/>
  <c r="D794" i="15"/>
  <c r="S793" i="15"/>
  <c r="R793" i="15"/>
  <c r="M793" i="15"/>
  <c r="N793" i="15" s="1" a="1"/>
  <c r="N793" i="15" s="1"/>
  <c r="L793" i="15"/>
  <c r="J793" i="15"/>
  <c r="E793" i="15"/>
  <c r="D793" i="15"/>
  <c r="S792" i="15"/>
  <c r="R792" i="15"/>
  <c r="M792" i="15"/>
  <c r="N792" i="15" s="1" a="1"/>
  <c r="N792" i="15" s="1"/>
  <c r="L792" i="15"/>
  <c r="J792" i="15"/>
  <c r="E792" i="15"/>
  <c r="D792" i="15"/>
  <c r="S791" i="15"/>
  <c r="R791" i="15"/>
  <c r="M791" i="15"/>
  <c r="N791" i="15" s="1" a="1"/>
  <c r="N791" i="15" s="1"/>
  <c r="L791" i="15"/>
  <c r="J791" i="15"/>
  <c r="E791" i="15"/>
  <c r="D791" i="15"/>
  <c r="S790" i="15"/>
  <c r="R790" i="15"/>
  <c r="M790" i="15"/>
  <c r="N790" i="15" s="1" a="1"/>
  <c r="N790" i="15" s="1"/>
  <c r="L790" i="15"/>
  <c r="J790" i="15"/>
  <c r="E790" i="15"/>
  <c r="D790" i="15"/>
  <c r="S789" i="15"/>
  <c r="R789" i="15"/>
  <c r="M789" i="15"/>
  <c r="N789" i="15" s="1" a="1"/>
  <c r="N789" i="15" s="1"/>
  <c r="L789" i="15"/>
  <c r="J789" i="15"/>
  <c r="E789" i="15"/>
  <c r="D789" i="15"/>
  <c r="S788" i="15"/>
  <c r="R788" i="15"/>
  <c r="M788" i="15"/>
  <c r="N788" i="15" s="1" a="1"/>
  <c r="N788" i="15" s="1"/>
  <c r="L788" i="15"/>
  <c r="J788" i="15"/>
  <c r="E788" i="15"/>
  <c r="D788" i="15"/>
  <c r="S787" i="15"/>
  <c r="R787" i="15"/>
  <c r="M787" i="15"/>
  <c r="N787" i="15" s="1" a="1"/>
  <c r="N787" i="15" s="1"/>
  <c r="L787" i="15"/>
  <c r="J787" i="15"/>
  <c r="E787" i="15"/>
  <c r="D787" i="15"/>
  <c r="S786" i="15"/>
  <c r="R786" i="15"/>
  <c r="M786" i="15"/>
  <c r="N786" i="15" s="1" a="1"/>
  <c r="N786" i="15" s="1"/>
  <c r="L786" i="15"/>
  <c r="J786" i="15"/>
  <c r="E786" i="15"/>
  <c r="D786" i="15"/>
  <c r="S785" i="15"/>
  <c r="R785" i="15"/>
  <c r="M785" i="15"/>
  <c r="N785" i="15" s="1" a="1"/>
  <c r="N785" i="15" s="1"/>
  <c r="L785" i="15"/>
  <c r="J785" i="15"/>
  <c r="E785" i="15"/>
  <c r="D785" i="15"/>
  <c r="S784" i="15"/>
  <c r="R784" i="15"/>
  <c r="M784" i="15"/>
  <c r="N784" i="15" s="1" a="1"/>
  <c r="N784" i="15" s="1"/>
  <c r="L784" i="15"/>
  <c r="J784" i="15"/>
  <c r="E784" i="15"/>
  <c r="D784" i="15"/>
  <c r="S783" i="15"/>
  <c r="R783" i="15"/>
  <c r="M783" i="15"/>
  <c r="N783" i="15" s="1" a="1"/>
  <c r="N783" i="15" s="1"/>
  <c r="L783" i="15"/>
  <c r="J783" i="15"/>
  <c r="E783" i="15"/>
  <c r="D783" i="15"/>
  <c r="S782" i="15"/>
  <c r="R782" i="15"/>
  <c r="M782" i="15"/>
  <c r="N782" i="15" s="1" a="1"/>
  <c r="N782" i="15" s="1"/>
  <c r="L782" i="15"/>
  <c r="J782" i="15"/>
  <c r="E782" i="15"/>
  <c r="D782" i="15"/>
  <c r="S781" i="15"/>
  <c r="R781" i="15"/>
  <c r="M781" i="15"/>
  <c r="N781" i="15" s="1" a="1"/>
  <c r="N781" i="15" s="1"/>
  <c r="L781" i="15"/>
  <c r="J781" i="15"/>
  <c r="E781" i="15"/>
  <c r="D781" i="15"/>
  <c r="S780" i="15"/>
  <c r="R780" i="15"/>
  <c r="M780" i="15"/>
  <c r="N780" i="15" s="1" a="1"/>
  <c r="N780" i="15" s="1"/>
  <c r="L780" i="15"/>
  <c r="J780" i="15"/>
  <c r="E780" i="15"/>
  <c r="D780" i="15"/>
  <c r="S779" i="15"/>
  <c r="R779" i="15"/>
  <c r="M779" i="15"/>
  <c r="N779" i="15" s="1" a="1"/>
  <c r="N779" i="15" s="1"/>
  <c r="L779" i="15"/>
  <c r="J779" i="15"/>
  <c r="E779" i="15"/>
  <c r="D779" i="15"/>
  <c r="S778" i="15"/>
  <c r="R778" i="15"/>
  <c r="M778" i="15"/>
  <c r="N778" i="15" s="1" a="1"/>
  <c r="N778" i="15" s="1"/>
  <c r="L778" i="15"/>
  <c r="J778" i="15"/>
  <c r="E778" i="15"/>
  <c r="D778" i="15"/>
  <c r="S777" i="15"/>
  <c r="R777" i="15"/>
  <c r="M777" i="15"/>
  <c r="N777" i="15" s="1" a="1"/>
  <c r="N777" i="15" s="1"/>
  <c r="L777" i="15"/>
  <c r="J777" i="15"/>
  <c r="E777" i="15"/>
  <c r="D777" i="15"/>
  <c r="S776" i="15"/>
  <c r="R776" i="15"/>
  <c r="M776" i="15"/>
  <c r="N776" i="15" s="1" a="1"/>
  <c r="N776" i="15" s="1"/>
  <c r="L776" i="15"/>
  <c r="J776" i="15"/>
  <c r="E776" i="15"/>
  <c r="D776" i="15"/>
  <c r="S775" i="15"/>
  <c r="R775" i="15"/>
  <c r="M775" i="15"/>
  <c r="N775" i="15" s="1" a="1"/>
  <c r="N775" i="15" s="1"/>
  <c r="L775" i="15"/>
  <c r="J775" i="15"/>
  <c r="E775" i="15"/>
  <c r="D775" i="15"/>
  <c r="S774" i="15"/>
  <c r="R774" i="15"/>
  <c r="M774" i="15"/>
  <c r="N774" i="15" s="1" a="1"/>
  <c r="N774" i="15" s="1"/>
  <c r="L774" i="15"/>
  <c r="J774" i="15"/>
  <c r="E774" i="15"/>
  <c r="D774" i="15"/>
  <c r="S773" i="15"/>
  <c r="R773" i="15"/>
  <c r="M773" i="15"/>
  <c r="N773" i="15" s="1" a="1"/>
  <c r="N773" i="15" s="1"/>
  <c r="L773" i="15"/>
  <c r="J773" i="15"/>
  <c r="E773" i="15"/>
  <c r="D773" i="15"/>
  <c r="S772" i="15"/>
  <c r="R772" i="15"/>
  <c r="M772" i="15"/>
  <c r="N772" i="15" s="1" a="1"/>
  <c r="N772" i="15" s="1"/>
  <c r="L772" i="15"/>
  <c r="J772" i="15"/>
  <c r="E772" i="15"/>
  <c r="D772" i="15"/>
  <c r="S771" i="15"/>
  <c r="R771" i="15"/>
  <c r="M771" i="15"/>
  <c r="N771" i="15" s="1" a="1"/>
  <c r="N771" i="15" s="1"/>
  <c r="L771" i="15"/>
  <c r="J771" i="15"/>
  <c r="E771" i="15"/>
  <c r="D771" i="15"/>
  <c r="S770" i="15"/>
  <c r="R770" i="15"/>
  <c r="M770" i="15"/>
  <c r="N770" i="15" s="1" a="1"/>
  <c r="N770" i="15" s="1"/>
  <c r="L770" i="15"/>
  <c r="J770" i="15"/>
  <c r="E770" i="15"/>
  <c r="D770" i="15"/>
  <c r="S769" i="15"/>
  <c r="R769" i="15"/>
  <c r="M769" i="15"/>
  <c r="N769" i="15" s="1" a="1"/>
  <c r="N769" i="15" s="1"/>
  <c r="L769" i="15"/>
  <c r="J769" i="15"/>
  <c r="E769" i="15"/>
  <c r="D769" i="15"/>
  <c r="S768" i="15"/>
  <c r="R768" i="15"/>
  <c r="M768" i="15"/>
  <c r="N768" i="15" s="1" a="1"/>
  <c r="N768" i="15" s="1"/>
  <c r="L768" i="15"/>
  <c r="J768" i="15"/>
  <c r="E768" i="15"/>
  <c r="D768" i="15"/>
  <c r="S767" i="15"/>
  <c r="R767" i="15"/>
  <c r="M767" i="15"/>
  <c r="N767" i="15" s="1" a="1"/>
  <c r="N767" i="15" s="1"/>
  <c r="L767" i="15"/>
  <c r="J767" i="15"/>
  <c r="E767" i="15"/>
  <c r="D767" i="15"/>
  <c r="S766" i="15"/>
  <c r="R766" i="15"/>
  <c r="M766" i="15"/>
  <c r="N766" i="15" s="1" a="1"/>
  <c r="N766" i="15" s="1"/>
  <c r="L766" i="15"/>
  <c r="J766" i="15"/>
  <c r="E766" i="15"/>
  <c r="D766" i="15"/>
  <c r="S765" i="15"/>
  <c r="R765" i="15"/>
  <c r="M765" i="15"/>
  <c r="N765" i="15" s="1" a="1"/>
  <c r="N765" i="15" s="1"/>
  <c r="L765" i="15"/>
  <c r="J765" i="15"/>
  <c r="E765" i="15"/>
  <c r="D765" i="15"/>
  <c r="S764" i="15"/>
  <c r="R764" i="15"/>
  <c r="M764" i="15"/>
  <c r="N764" i="15" s="1" a="1"/>
  <c r="N764" i="15" s="1"/>
  <c r="L764" i="15"/>
  <c r="J764" i="15"/>
  <c r="E764" i="15"/>
  <c r="D764" i="15"/>
  <c r="S763" i="15"/>
  <c r="R763" i="15"/>
  <c r="M763" i="15"/>
  <c r="N763" i="15" s="1" a="1"/>
  <c r="N763" i="15" s="1"/>
  <c r="L763" i="15"/>
  <c r="J763" i="15"/>
  <c r="E763" i="15"/>
  <c r="D763" i="15"/>
  <c r="S762" i="15"/>
  <c r="R762" i="15"/>
  <c r="M762" i="15"/>
  <c r="N762" i="15" s="1" a="1"/>
  <c r="N762" i="15" s="1"/>
  <c r="L762" i="15"/>
  <c r="J762" i="15"/>
  <c r="E762" i="15"/>
  <c r="D762" i="15"/>
  <c r="S761" i="15"/>
  <c r="R761" i="15"/>
  <c r="M761" i="15"/>
  <c r="N761" i="15" s="1" a="1"/>
  <c r="N761" i="15" s="1"/>
  <c r="L761" i="15"/>
  <c r="J761" i="15"/>
  <c r="E761" i="15"/>
  <c r="D761" i="15"/>
  <c r="S760" i="15"/>
  <c r="R760" i="15"/>
  <c r="M760" i="15"/>
  <c r="N760" i="15" s="1" a="1"/>
  <c r="N760" i="15" s="1"/>
  <c r="L760" i="15"/>
  <c r="J760" i="15"/>
  <c r="E760" i="15"/>
  <c r="D760" i="15"/>
  <c r="S759" i="15"/>
  <c r="R759" i="15"/>
  <c r="M759" i="15"/>
  <c r="N759" i="15" s="1" a="1"/>
  <c r="N759" i="15" s="1"/>
  <c r="L759" i="15"/>
  <c r="J759" i="15"/>
  <c r="E759" i="15"/>
  <c r="D759" i="15"/>
  <c r="S758" i="15"/>
  <c r="R758" i="15"/>
  <c r="M758" i="15"/>
  <c r="N758" i="15" s="1" a="1"/>
  <c r="N758" i="15" s="1"/>
  <c r="L758" i="15"/>
  <c r="J758" i="15"/>
  <c r="E758" i="15"/>
  <c r="D758" i="15"/>
  <c r="S757" i="15"/>
  <c r="R757" i="15"/>
  <c r="M757" i="15"/>
  <c r="N757" i="15" s="1" a="1"/>
  <c r="N757" i="15" s="1"/>
  <c r="L757" i="15"/>
  <c r="J757" i="15"/>
  <c r="E757" i="15"/>
  <c r="D757" i="15"/>
  <c r="S756" i="15"/>
  <c r="R756" i="15"/>
  <c r="M756" i="15"/>
  <c r="N756" i="15" s="1" a="1"/>
  <c r="N756" i="15" s="1"/>
  <c r="L756" i="15"/>
  <c r="J756" i="15"/>
  <c r="E756" i="15"/>
  <c r="D756" i="15"/>
  <c r="S755" i="15"/>
  <c r="R755" i="15"/>
  <c r="M755" i="15"/>
  <c r="N755" i="15" s="1" a="1"/>
  <c r="N755" i="15" s="1"/>
  <c r="L755" i="15"/>
  <c r="J755" i="15"/>
  <c r="E755" i="15"/>
  <c r="D755" i="15"/>
  <c r="S754" i="15"/>
  <c r="R754" i="15"/>
  <c r="M754" i="15"/>
  <c r="N754" i="15" s="1" a="1"/>
  <c r="N754" i="15" s="1"/>
  <c r="L754" i="15"/>
  <c r="J754" i="15"/>
  <c r="E754" i="15"/>
  <c r="D754" i="15"/>
  <c r="S753" i="15"/>
  <c r="R753" i="15"/>
  <c r="M753" i="15"/>
  <c r="N753" i="15" s="1" a="1"/>
  <c r="N753" i="15" s="1"/>
  <c r="L753" i="15"/>
  <c r="J753" i="15"/>
  <c r="E753" i="15"/>
  <c r="D753" i="15"/>
  <c r="S752" i="15"/>
  <c r="R752" i="15"/>
  <c r="N752" i="15" a="1"/>
  <c r="N752" i="15" s="1"/>
  <c r="M752" i="15"/>
  <c r="L752" i="15"/>
  <c r="J752" i="15"/>
  <c r="E752" i="15"/>
  <c r="D752" i="15"/>
  <c r="S751" i="15"/>
  <c r="R751" i="15"/>
  <c r="M751" i="15"/>
  <c r="N751" i="15" s="1" a="1"/>
  <c r="N751" i="15" s="1"/>
  <c r="L751" i="15"/>
  <c r="J751" i="15"/>
  <c r="E751" i="15"/>
  <c r="D751" i="15"/>
  <c r="S750" i="15"/>
  <c r="R750" i="15"/>
  <c r="M750" i="15"/>
  <c r="N750" i="15" s="1" a="1"/>
  <c r="N750" i="15" s="1"/>
  <c r="L750" i="15"/>
  <c r="J750" i="15"/>
  <c r="E750" i="15"/>
  <c r="D750" i="15"/>
  <c r="S749" i="15"/>
  <c r="R749" i="15"/>
  <c r="M749" i="15"/>
  <c r="N749" i="15" s="1" a="1"/>
  <c r="N749" i="15" s="1"/>
  <c r="L749" i="15"/>
  <c r="J749" i="15"/>
  <c r="E749" i="15"/>
  <c r="D749" i="15"/>
  <c r="S748" i="15"/>
  <c r="R748" i="15"/>
  <c r="M748" i="15"/>
  <c r="N748" i="15" s="1" a="1"/>
  <c r="N748" i="15" s="1"/>
  <c r="L748" i="15"/>
  <c r="J748" i="15"/>
  <c r="E748" i="15"/>
  <c r="D748" i="15"/>
  <c r="S747" i="15"/>
  <c r="R747" i="15"/>
  <c r="M747" i="15"/>
  <c r="N747" i="15" s="1" a="1"/>
  <c r="N747" i="15" s="1"/>
  <c r="L747" i="15"/>
  <c r="J747" i="15"/>
  <c r="E747" i="15"/>
  <c r="D747" i="15"/>
  <c r="S746" i="15"/>
  <c r="R746" i="15"/>
  <c r="M746" i="15"/>
  <c r="N746" i="15" s="1" a="1"/>
  <c r="N746" i="15" s="1"/>
  <c r="L746" i="15"/>
  <c r="J746" i="15"/>
  <c r="E746" i="15"/>
  <c r="D746" i="15"/>
  <c r="S745" i="15"/>
  <c r="R745" i="15"/>
  <c r="M745" i="15"/>
  <c r="N745" i="15" s="1" a="1"/>
  <c r="N745" i="15" s="1"/>
  <c r="L745" i="15"/>
  <c r="J745" i="15"/>
  <c r="E745" i="15"/>
  <c r="D745" i="15"/>
  <c r="S744" i="15"/>
  <c r="R744" i="15"/>
  <c r="M744" i="15"/>
  <c r="N744" i="15" s="1" a="1"/>
  <c r="N744" i="15" s="1"/>
  <c r="L744" i="15"/>
  <c r="J744" i="15"/>
  <c r="E744" i="15"/>
  <c r="D744" i="15"/>
  <c r="S743" i="15"/>
  <c r="R743" i="15"/>
  <c r="M743" i="15"/>
  <c r="N743" i="15" s="1" a="1"/>
  <c r="N743" i="15" s="1"/>
  <c r="L743" i="15"/>
  <c r="J743" i="15"/>
  <c r="E743" i="15"/>
  <c r="D743" i="15"/>
  <c r="S742" i="15"/>
  <c r="R742" i="15"/>
  <c r="M742" i="15"/>
  <c r="N742" i="15" s="1" a="1"/>
  <c r="N742" i="15" s="1"/>
  <c r="L742" i="15"/>
  <c r="J742" i="15"/>
  <c r="E742" i="15"/>
  <c r="D742" i="15"/>
  <c r="S741" i="15"/>
  <c r="R741" i="15"/>
  <c r="M741" i="15"/>
  <c r="N741" i="15" s="1" a="1"/>
  <c r="N741" i="15" s="1"/>
  <c r="L741" i="15"/>
  <c r="J741" i="15"/>
  <c r="E741" i="15"/>
  <c r="D741" i="15"/>
  <c r="S740" i="15"/>
  <c r="R740" i="15"/>
  <c r="M740" i="15"/>
  <c r="N740" i="15" s="1" a="1"/>
  <c r="N740" i="15" s="1"/>
  <c r="L740" i="15"/>
  <c r="J740" i="15"/>
  <c r="E740" i="15"/>
  <c r="D740" i="15"/>
  <c r="S739" i="15"/>
  <c r="R739" i="15"/>
  <c r="M739" i="15"/>
  <c r="N739" i="15" s="1" a="1"/>
  <c r="N739" i="15" s="1"/>
  <c r="L739" i="15"/>
  <c r="J739" i="15"/>
  <c r="E739" i="15"/>
  <c r="D739" i="15"/>
  <c r="S738" i="15"/>
  <c r="R738" i="15"/>
  <c r="M738" i="15"/>
  <c r="N738" i="15" s="1" a="1"/>
  <c r="N738" i="15" s="1"/>
  <c r="L738" i="15"/>
  <c r="J738" i="15"/>
  <c r="E738" i="15"/>
  <c r="D738" i="15"/>
  <c r="S737" i="15"/>
  <c r="R737" i="15"/>
  <c r="M737" i="15"/>
  <c r="N737" i="15" s="1" a="1"/>
  <c r="N737" i="15" s="1"/>
  <c r="L737" i="15"/>
  <c r="J737" i="15"/>
  <c r="E737" i="15"/>
  <c r="D737" i="15"/>
  <c r="S736" i="15"/>
  <c r="R736" i="15"/>
  <c r="M736" i="15"/>
  <c r="N736" i="15" s="1" a="1"/>
  <c r="N736" i="15" s="1"/>
  <c r="L736" i="15"/>
  <c r="J736" i="15"/>
  <c r="E736" i="15"/>
  <c r="D736" i="15"/>
  <c r="S735" i="15"/>
  <c r="R735" i="15"/>
  <c r="M735" i="15"/>
  <c r="N735" i="15" s="1" a="1"/>
  <c r="N735" i="15" s="1"/>
  <c r="L735" i="15"/>
  <c r="J735" i="15"/>
  <c r="E735" i="15"/>
  <c r="D735" i="15"/>
  <c r="S734" i="15"/>
  <c r="R734" i="15"/>
  <c r="M734" i="15"/>
  <c r="N734" i="15" s="1" a="1"/>
  <c r="N734" i="15" s="1"/>
  <c r="L734" i="15"/>
  <c r="J734" i="15"/>
  <c r="E734" i="15"/>
  <c r="D734" i="15"/>
  <c r="S733" i="15"/>
  <c r="R733" i="15"/>
  <c r="M733" i="15"/>
  <c r="N733" i="15" s="1" a="1"/>
  <c r="N733" i="15" s="1"/>
  <c r="L733" i="15"/>
  <c r="J733" i="15"/>
  <c r="E733" i="15"/>
  <c r="D733" i="15"/>
  <c r="S732" i="15"/>
  <c r="R732" i="15"/>
  <c r="M732" i="15"/>
  <c r="N732" i="15" s="1" a="1"/>
  <c r="N732" i="15" s="1"/>
  <c r="L732" i="15"/>
  <c r="J732" i="15"/>
  <c r="E732" i="15"/>
  <c r="D732" i="15"/>
  <c r="S731" i="15"/>
  <c r="R731" i="15"/>
  <c r="M731" i="15"/>
  <c r="N731" i="15" s="1" a="1"/>
  <c r="N731" i="15" s="1"/>
  <c r="L731" i="15"/>
  <c r="J731" i="15"/>
  <c r="E731" i="15"/>
  <c r="D731" i="15"/>
  <c r="S730" i="15"/>
  <c r="R730" i="15"/>
  <c r="M730" i="15"/>
  <c r="N730" i="15" s="1" a="1"/>
  <c r="N730" i="15" s="1"/>
  <c r="L730" i="15"/>
  <c r="J730" i="15"/>
  <c r="E730" i="15"/>
  <c r="D730" i="15"/>
  <c r="S729" i="15"/>
  <c r="R729" i="15"/>
  <c r="M729" i="15"/>
  <c r="N729" i="15" s="1" a="1"/>
  <c r="N729" i="15" s="1"/>
  <c r="L729" i="15"/>
  <c r="J729" i="15"/>
  <c r="E729" i="15"/>
  <c r="D729" i="15"/>
  <c r="S728" i="15"/>
  <c r="R728" i="15"/>
  <c r="M728" i="15"/>
  <c r="N728" i="15" s="1" a="1"/>
  <c r="N728" i="15" s="1"/>
  <c r="L728" i="15"/>
  <c r="J728" i="15"/>
  <c r="E728" i="15"/>
  <c r="D728" i="15"/>
  <c r="S727" i="15"/>
  <c r="R727" i="15"/>
  <c r="M727" i="15"/>
  <c r="N727" i="15" s="1" a="1"/>
  <c r="N727" i="15" s="1"/>
  <c r="L727" i="15"/>
  <c r="J727" i="15"/>
  <c r="E727" i="15"/>
  <c r="D727" i="15"/>
  <c r="S726" i="15"/>
  <c r="R726" i="15"/>
  <c r="M726" i="15"/>
  <c r="N726" i="15" s="1" a="1"/>
  <c r="N726" i="15" s="1"/>
  <c r="L726" i="15"/>
  <c r="J726" i="15"/>
  <c r="E726" i="15"/>
  <c r="D726" i="15"/>
  <c r="S725" i="15"/>
  <c r="R725" i="15"/>
  <c r="M725" i="15"/>
  <c r="N725" i="15" s="1" a="1"/>
  <c r="N725" i="15" s="1"/>
  <c r="L725" i="15"/>
  <c r="J725" i="15"/>
  <c r="E725" i="15"/>
  <c r="D725" i="15"/>
  <c r="S724" i="15"/>
  <c r="R724" i="15"/>
  <c r="M724" i="15"/>
  <c r="N724" i="15" s="1" a="1"/>
  <c r="N724" i="15" s="1"/>
  <c r="L724" i="15"/>
  <c r="J724" i="15"/>
  <c r="E724" i="15"/>
  <c r="D724" i="15"/>
  <c r="S723" i="15"/>
  <c r="R723" i="15"/>
  <c r="M723" i="15"/>
  <c r="N723" i="15" s="1" a="1"/>
  <c r="N723" i="15" s="1"/>
  <c r="L723" i="15"/>
  <c r="J723" i="15"/>
  <c r="E723" i="15"/>
  <c r="D723" i="15"/>
  <c r="S722" i="15"/>
  <c r="R722" i="15"/>
  <c r="M722" i="15"/>
  <c r="N722" i="15" s="1" a="1"/>
  <c r="N722" i="15" s="1"/>
  <c r="L722" i="15"/>
  <c r="J722" i="15"/>
  <c r="E722" i="15"/>
  <c r="D722" i="15"/>
  <c r="S721" i="15"/>
  <c r="R721" i="15"/>
  <c r="M721" i="15"/>
  <c r="N721" i="15" s="1" a="1"/>
  <c r="N721" i="15" s="1"/>
  <c r="L721" i="15"/>
  <c r="J721" i="15"/>
  <c r="E721" i="15"/>
  <c r="D721" i="15"/>
  <c r="S720" i="15"/>
  <c r="R720" i="15"/>
  <c r="M720" i="15"/>
  <c r="N720" i="15" s="1" a="1"/>
  <c r="N720" i="15" s="1"/>
  <c r="L720" i="15"/>
  <c r="J720" i="15"/>
  <c r="E720" i="15"/>
  <c r="D720" i="15"/>
  <c r="S719" i="15"/>
  <c r="R719" i="15"/>
  <c r="M719" i="15"/>
  <c r="N719" i="15" s="1" a="1"/>
  <c r="N719" i="15" s="1"/>
  <c r="L719" i="15"/>
  <c r="J719" i="15"/>
  <c r="E719" i="15"/>
  <c r="D719" i="15"/>
  <c r="S718" i="15"/>
  <c r="R718" i="15"/>
  <c r="M718" i="15"/>
  <c r="N718" i="15" s="1" a="1"/>
  <c r="N718" i="15" s="1"/>
  <c r="L718" i="15"/>
  <c r="J718" i="15"/>
  <c r="E718" i="15"/>
  <c r="D718" i="15"/>
  <c r="S717" i="15"/>
  <c r="R717" i="15"/>
  <c r="N717" i="15" a="1"/>
  <c r="N717" i="15" s="1"/>
  <c r="M717" i="15"/>
  <c r="L717" i="15"/>
  <c r="J717" i="15"/>
  <c r="E717" i="15"/>
  <c r="D717" i="15"/>
  <c r="S716" i="15"/>
  <c r="R716" i="15"/>
  <c r="M716" i="15"/>
  <c r="N716" i="15" s="1" a="1"/>
  <c r="N716" i="15" s="1"/>
  <c r="L716" i="15"/>
  <c r="J716" i="15"/>
  <c r="E716" i="15"/>
  <c r="D716" i="15"/>
  <c r="S715" i="15"/>
  <c r="R715" i="15"/>
  <c r="M715" i="15"/>
  <c r="N715" i="15" s="1" a="1"/>
  <c r="N715" i="15" s="1"/>
  <c r="L715" i="15"/>
  <c r="J715" i="15"/>
  <c r="E715" i="15"/>
  <c r="D715" i="15"/>
  <c r="S714" i="15"/>
  <c r="R714" i="15"/>
  <c r="M714" i="15"/>
  <c r="N714" i="15" s="1" a="1"/>
  <c r="N714" i="15" s="1"/>
  <c r="L714" i="15"/>
  <c r="J714" i="15"/>
  <c r="E714" i="15"/>
  <c r="D714" i="15"/>
  <c r="S713" i="15"/>
  <c r="R713" i="15"/>
  <c r="M713" i="15"/>
  <c r="N713" i="15" s="1" a="1"/>
  <c r="N713" i="15" s="1"/>
  <c r="L713" i="15"/>
  <c r="J713" i="15"/>
  <c r="E713" i="15"/>
  <c r="D713" i="15"/>
  <c r="S712" i="15"/>
  <c r="R712" i="15"/>
  <c r="M712" i="15"/>
  <c r="N712" i="15" s="1" a="1"/>
  <c r="N712" i="15" s="1"/>
  <c r="L712" i="15"/>
  <c r="J712" i="15"/>
  <c r="E712" i="15"/>
  <c r="D712" i="15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B47" i="6"/>
  <c r="C47" i="6"/>
  <c r="G47" i="6"/>
  <c r="E47" i="6" s="1"/>
  <c r="K47" i="6"/>
  <c r="L47" i="6"/>
  <c r="M47" i="6" a="1"/>
  <c r="M47" i="6" s="1"/>
  <c r="N47" i="6" a="1"/>
  <c r="N47" i="6"/>
  <c r="O47" i="6"/>
  <c r="P47" i="6"/>
  <c r="Q47" i="6"/>
  <c r="R47" i="6"/>
  <c r="B48" i="6"/>
  <c r="C48" i="6"/>
  <c r="G48" i="6"/>
  <c r="E48" i="6" s="1"/>
  <c r="K48" i="6"/>
  <c r="L48" i="6"/>
  <c r="M48" i="6" a="1"/>
  <c r="M48" i="6" s="1"/>
  <c r="N48" i="6" a="1"/>
  <c r="N48" i="6"/>
  <c r="O48" i="6"/>
  <c r="P48" i="6"/>
  <c r="Q48" i="6"/>
  <c r="S48" i="6" s="1"/>
  <c r="R48" i="6"/>
  <c r="B49" i="6"/>
  <c r="C49" i="6"/>
  <c r="G49" i="6"/>
  <c r="H49" i="6" s="1"/>
  <c r="K49" i="6"/>
  <c r="L49" i="6"/>
  <c r="M49" i="6" a="1"/>
  <c r="M49" i="6" s="1"/>
  <c r="N49" i="6" a="1"/>
  <c r="N49" i="6"/>
  <c r="S49" i="6" s="1"/>
  <c r="O49" i="6"/>
  <c r="P49" i="6"/>
  <c r="Q49" i="6"/>
  <c r="R49" i="6"/>
  <c r="AB49" i="6"/>
  <c r="B50" i="6"/>
  <c r="C50" i="6"/>
  <c r="G50" i="6"/>
  <c r="H50" i="6" s="1"/>
  <c r="K50" i="6"/>
  <c r="L50" i="6"/>
  <c r="M50" i="6" a="1"/>
  <c r="M50" i="6" s="1"/>
  <c r="N50" i="6" a="1"/>
  <c r="N50" i="6"/>
  <c r="S50" i="6" s="1"/>
  <c r="O50" i="6"/>
  <c r="P50" i="6"/>
  <c r="Q50" i="6"/>
  <c r="R50" i="6"/>
  <c r="AB50" i="6"/>
  <c r="B51" i="6"/>
  <c r="C51" i="6"/>
  <c r="G51" i="6"/>
  <c r="H51" i="6" s="1"/>
  <c r="K51" i="6"/>
  <c r="L51" i="6"/>
  <c r="M51" i="6" a="1"/>
  <c r="M51" i="6" s="1"/>
  <c r="N51" i="6" a="1"/>
  <c r="N51" i="6"/>
  <c r="O51" i="6"/>
  <c r="P51" i="6"/>
  <c r="Q51" i="6"/>
  <c r="S51" i="6" s="1"/>
  <c r="R51" i="6"/>
  <c r="AB51" i="6"/>
  <c r="B52" i="6"/>
  <c r="C52" i="6"/>
  <c r="G52" i="6"/>
  <c r="H52" i="6" s="1"/>
  <c r="K52" i="6"/>
  <c r="L52" i="6"/>
  <c r="M52" i="6" a="1"/>
  <c r="M52" i="6" s="1"/>
  <c r="N52" i="6" a="1"/>
  <c r="N52" i="6"/>
  <c r="S52" i="6" s="1"/>
  <c r="O52" i="6"/>
  <c r="P52" i="6"/>
  <c r="Q52" i="6"/>
  <c r="R52" i="6"/>
  <c r="AB52" i="6"/>
  <c r="B53" i="6"/>
  <c r="C53" i="6"/>
  <c r="G53" i="6"/>
  <c r="H53" i="6" s="1"/>
  <c r="K53" i="6"/>
  <c r="L53" i="6"/>
  <c r="M53" i="6" a="1"/>
  <c r="M53" i="6" s="1"/>
  <c r="N53" i="6" a="1"/>
  <c r="N53" i="6"/>
  <c r="S53" i="6" s="1"/>
  <c r="O53" i="6"/>
  <c r="P53" i="6"/>
  <c r="Q53" i="6"/>
  <c r="R53" i="6"/>
  <c r="AB53" i="6"/>
  <c r="B54" i="6"/>
  <c r="C54" i="6"/>
  <c r="G54" i="6"/>
  <c r="H54" i="6" s="1"/>
  <c r="K54" i="6"/>
  <c r="L54" i="6"/>
  <c r="M54" i="6" a="1"/>
  <c r="M54" i="6" s="1"/>
  <c r="N54" i="6" a="1"/>
  <c r="N54" i="6"/>
  <c r="O54" i="6"/>
  <c r="P54" i="6"/>
  <c r="Q54" i="6"/>
  <c r="S54" i="6" s="1"/>
  <c r="R54" i="6"/>
  <c r="AB54" i="6"/>
  <c r="B55" i="6"/>
  <c r="C55" i="6"/>
  <c r="G55" i="6"/>
  <c r="H55" i="6" s="1"/>
  <c r="K55" i="6"/>
  <c r="L55" i="6"/>
  <c r="M55" i="6" a="1"/>
  <c r="M55" i="6" s="1"/>
  <c r="N55" i="6" a="1"/>
  <c r="N55" i="6"/>
  <c r="S55" i="6" s="1"/>
  <c r="O55" i="6"/>
  <c r="P55" i="6"/>
  <c r="Q55" i="6"/>
  <c r="R55" i="6"/>
  <c r="AB55" i="6"/>
  <c r="B56" i="6"/>
  <c r="C56" i="6"/>
  <c r="G56" i="6"/>
  <c r="K56" i="6"/>
  <c r="L56" i="6"/>
  <c r="M56" i="6" a="1"/>
  <c r="M56" i="6" s="1"/>
  <c r="N56" i="6" a="1"/>
  <c r="N56" i="6"/>
  <c r="O56" i="6"/>
  <c r="P56" i="6"/>
  <c r="Q56" i="6"/>
  <c r="R56" i="6"/>
  <c r="AB56" i="6"/>
  <c r="B57" i="6"/>
  <c r="C57" i="6"/>
  <c r="G57" i="6"/>
  <c r="H57" i="6" s="1"/>
  <c r="K57" i="6"/>
  <c r="L57" i="6"/>
  <c r="M57" i="6" a="1"/>
  <c r="M57" i="6" s="1"/>
  <c r="N57" i="6" a="1"/>
  <c r="N57" i="6"/>
  <c r="O57" i="6"/>
  <c r="P57" i="6"/>
  <c r="Q57" i="6"/>
  <c r="S57" i="6" s="1"/>
  <c r="R57" i="6"/>
  <c r="AB57" i="6"/>
  <c r="B58" i="6"/>
  <c r="C58" i="6"/>
  <c r="G58" i="6"/>
  <c r="I58" i="6" s="1"/>
  <c r="K58" i="6"/>
  <c r="L58" i="6"/>
  <c r="M58" i="6" a="1"/>
  <c r="M58" i="6" s="1"/>
  <c r="N58" i="6" a="1"/>
  <c r="N58" i="6" s="1"/>
  <c r="S58" i="6" s="1"/>
  <c r="O58" i="6"/>
  <c r="P58" i="6"/>
  <c r="Q58" i="6"/>
  <c r="R58" i="6"/>
  <c r="AB58" i="6"/>
  <c r="B59" i="6"/>
  <c r="C59" i="6"/>
  <c r="G59" i="6"/>
  <c r="H59" i="6" s="1"/>
  <c r="K59" i="6"/>
  <c r="L59" i="6"/>
  <c r="M59" i="6" a="1"/>
  <c r="M59" i="6" s="1"/>
  <c r="N59" i="6" a="1"/>
  <c r="N59" i="6"/>
  <c r="O59" i="6"/>
  <c r="P59" i="6"/>
  <c r="Q59" i="6"/>
  <c r="R59" i="6"/>
  <c r="AB59" i="6"/>
  <c r="B60" i="6"/>
  <c r="C60" i="6"/>
  <c r="E60" i="6"/>
  <c r="G60" i="6"/>
  <c r="H60" i="6" s="1"/>
  <c r="J60" i="6"/>
  <c r="K60" i="6"/>
  <c r="L60" i="6"/>
  <c r="M60" i="6" a="1"/>
  <c r="M60" i="6" s="1"/>
  <c r="N60" i="6" a="1"/>
  <c r="N60" i="6"/>
  <c r="O60" i="6"/>
  <c r="P60" i="6"/>
  <c r="Q60" i="6"/>
  <c r="S60" i="6" s="1"/>
  <c r="R60" i="6"/>
  <c r="B61" i="6"/>
  <c r="C61" i="6"/>
  <c r="G61" i="6"/>
  <c r="I61" i="6" s="1"/>
  <c r="K61" i="6"/>
  <c r="L61" i="6"/>
  <c r="M61" i="6" a="1"/>
  <c r="M61" i="6" s="1"/>
  <c r="N61" i="6" a="1"/>
  <c r="N61" i="6" s="1"/>
  <c r="S61" i="6" s="1"/>
  <c r="O61" i="6"/>
  <c r="P61" i="6"/>
  <c r="Q61" i="6"/>
  <c r="R61" i="6"/>
  <c r="AB61" i="6"/>
  <c r="B62" i="6"/>
  <c r="C62" i="6"/>
  <c r="G62" i="6"/>
  <c r="H62" i="6" s="1"/>
  <c r="K62" i="6"/>
  <c r="L62" i="6"/>
  <c r="M62" i="6" a="1"/>
  <c r="M62" i="6" s="1"/>
  <c r="N62" i="6" a="1"/>
  <c r="N62" i="6"/>
  <c r="S62" i="6" s="1"/>
  <c r="O62" i="6"/>
  <c r="P62" i="6"/>
  <c r="Q62" i="6"/>
  <c r="R62" i="6"/>
  <c r="AB62" i="6"/>
  <c r="B63" i="6"/>
  <c r="C63" i="6"/>
  <c r="G63" i="6"/>
  <c r="H63" i="6" s="1"/>
  <c r="K63" i="6"/>
  <c r="L63" i="6"/>
  <c r="M63" i="6" a="1"/>
  <c r="M63" i="6" s="1"/>
  <c r="N63" i="6" a="1"/>
  <c r="N63" i="6"/>
  <c r="O63" i="6"/>
  <c r="P63" i="6"/>
  <c r="Q63" i="6"/>
  <c r="S63" i="6" s="1"/>
  <c r="R63" i="6"/>
  <c r="B64" i="6"/>
  <c r="C64" i="6"/>
  <c r="G64" i="6"/>
  <c r="I64" i="6" s="1"/>
  <c r="K64" i="6"/>
  <c r="L64" i="6"/>
  <c r="M64" i="6" a="1"/>
  <c r="M64" i="6" s="1"/>
  <c r="N64" i="6" a="1"/>
  <c r="N64" i="6"/>
  <c r="O64" i="6"/>
  <c r="P64" i="6"/>
  <c r="Q64" i="6"/>
  <c r="S64" i="6" s="1"/>
  <c r="R64" i="6"/>
  <c r="AB64" i="6"/>
  <c r="B65" i="6"/>
  <c r="C65" i="6"/>
  <c r="G65" i="6"/>
  <c r="I65" i="6" s="1"/>
  <c r="K65" i="6"/>
  <c r="L65" i="6"/>
  <c r="M65" i="6" a="1"/>
  <c r="M65" i="6" s="1"/>
  <c r="N65" i="6" a="1"/>
  <c r="N65" i="6"/>
  <c r="S65" i="6" s="1"/>
  <c r="O65" i="6"/>
  <c r="P65" i="6"/>
  <c r="Q65" i="6"/>
  <c r="R65" i="6"/>
  <c r="AB65" i="6"/>
  <c r="B66" i="6"/>
  <c r="C66" i="6"/>
  <c r="G66" i="6"/>
  <c r="I66" i="6" s="1"/>
  <c r="K66" i="6"/>
  <c r="L66" i="6"/>
  <c r="M66" i="6" a="1"/>
  <c r="M66" i="6" s="1"/>
  <c r="N66" i="6" a="1"/>
  <c r="N66" i="6"/>
  <c r="O66" i="6"/>
  <c r="P66" i="6"/>
  <c r="Q66" i="6"/>
  <c r="R66" i="6"/>
  <c r="AB66" i="6"/>
  <c r="B67" i="6"/>
  <c r="C67" i="6"/>
  <c r="G67" i="6"/>
  <c r="I67" i="6" s="1"/>
  <c r="K67" i="6"/>
  <c r="L67" i="6"/>
  <c r="M67" i="6" a="1"/>
  <c r="M67" i="6" s="1"/>
  <c r="N67" i="6" a="1"/>
  <c r="N67" i="6" s="1"/>
  <c r="S67" i="6" s="1"/>
  <c r="O67" i="6"/>
  <c r="P67" i="6"/>
  <c r="Q67" i="6"/>
  <c r="R67" i="6"/>
  <c r="AB67" i="6"/>
  <c r="B68" i="6"/>
  <c r="C68" i="6"/>
  <c r="G68" i="6"/>
  <c r="I68" i="6" s="1"/>
  <c r="K68" i="6"/>
  <c r="L68" i="6"/>
  <c r="M68" i="6" a="1"/>
  <c r="M68" i="6" s="1"/>
  <c r="N68" i="6" a="1"/>
  <c r="N68" i="6" s="1"/>
  <c r="S68" i="6" s="1"/>
  <c r="O68" i="6"/>
  <c r="P68" i="6"/>
  <c r="Q68" i="6"/>
  <c r="R68" i="6"/>
  <c r="AB68" i="6"/>
  <c r="B69" i="6"/>
  <c r="C69" i="6"/>
  <c r="G69" i="6"/>
  <c r="J69" i="6" s="1"/>
  <c r="K69" i="6"/>
  <c r="L69" i="6"/>
  <c r="M69" i="6" a="1"/>
  <c r="M69" i="6" s="1"/>
  <c r="N69" i="6" a="1"/>
  <c r="N69" i="6"/>
  <c r="O69" i="6"/>
  <c r="P69" i="6"/>
  <c r="Q69" i="6"/>
  <c r="R69" i="6"/>
  <c r="B70" i="6"/>
  <c r="C70" i="6"/>
  <c r="G70" i="6"/>
  <c r="E70" i="6" s="1"/>
  <c r="K70" i="6"/>
  <c r="L70" i="6"/>
  <c r="M70" i="6" a="1"/>
  <c r="M70" i="6" s="1"/>
  <c r="N70" i="6" a="1"/>
  <c r="N70" i="6" s="1"/>
  <c r="O70" i="6"/>
  <c r="P70" i="6"/>
  <c r="Q70" i="6"/>
  <c r="S70" i="6" s="1"/>
  <c r="R70" i="6"/>
  <c r="AB70" i="6"/>
  <c r="B71" i="6"/>
  <c r="C71" i="6"/>
  <c r="G71" i="6"/>
  <c r="K71" i="6"/>
  <c r="L71" i="6"/>
  <c r="M71" i="6" a="1"/>
  <c r="M71" i="6" s="1"/>
  <c r="N71" i="6" a="1"/>
  <c r="N71" i="6" s="1"/>
  <c r="O71" i="6"/>
  <c r="P71" i="6"/>
  <c r="Q71" i="6"/>
  <c r="R71" i="6"/>
  <c r="S71" i="6"/>
  <c r="AB71" i="6"/>
  <c r="B72" i="6"/>
  <c r="C72" i="6"/>
  <c r="G72" i="6"/>
  <c r="H72" i="6" s="1"/>
  <c r="K72" i="6"/>
  <c r="L72" i="6"/>
  <c r="M72" i="6" a="1"/>
  <c r="M72" i="6" s="1"/>
  <c r="N72" i="6" a="1"/>
  <c r="N72" i="6"/>
  <c r="O72" i="6"/>
  <c r="P72" i="6"/>
  <c r="Q72" i="6"/>
  <c r="R72" i="6"/>
  <c r="AB72" i="6"/>
  <c r="B73" i="6"/>
  <c r="C73" i="6"/>
  <c r="G73" i="6"/>
  <c r="K73" i="6"/>
  <c r="L73" i="6"/>
  <c r="M73" i="6" a="1"/>
  <c r="M73" i="6" s="1"/>
  <c r="N73" i="6" a="1"/>
  <c r="N73" i="6" s="1"/>
  <c r="S73" i="6" s="1"/>
  <c r="O73" i="6"/>
  <c r="P73" i="6"/>
  <c r="Q73" i="6"/>
  <c r="R73" i="6"/>
  <c r="AB73" i="6"/>
  <c r="B74" i="6"/>
  <c r="C74" i="6"/>
  <c r="G74" i="6"/>
  <c r="I74" i="6" s="1"/>
  <c r="J74" i="6"/>
  <c r="K74" i="6"/>
  <c r="L74" i="6"/>
  <c r="M74" i="6" a="1"/>
  <c r="M74" i="6" s="1"/>
  <c r="N74" i="6" a="1"/>
  <c r="N74" i="6" s="1"/>
  <c r="O74" i="6"/>
  <c r="P74" i="6"/>
  <c r="Q74" i="6"/>
  <c r="R74" i="6"/>
  <c r="AB74" i="6"/>
  <c r="B75" i="6"/>
  <c r="C75" i="6"/>
  <c r="G75" i="6"/>
  <c r="J75" i="6" s="1"/>
  <c r="K75" i="6"/>
  <c r="L75" i="6"/>
  <c r="M75" i="6" a="1"/>
  <c r="M75" i="6" s="1"/>
  <c r="N75" i="6" a="1"/>
  <c r="N75" i="6"/>
  <c r="O75" i="6"/>
  <c r="P75" i="6"/>
  <c r="Q75" i="6"/>
  <c r="R75" i="6"/>
  <c r="B76" i="6"/>
  <c r="C76" i="6"/>
  <c r="G76" i="6"/>
  <c r="E76" i="6" s="1"/>
  <c r="K76" i="6"/>
  <c r="L76" i="6"/>
  <c r="M76" i="6" a="1"/>
  <c r="M76" i="6" s="1"/>
  <c r="N76" i="6" a="1"/>
  <c r="N76" i="6" s="1"/>
  <c r="O76" i="6"/>
  <c r="P76" i="6"/>
  <c r="Q76" i="6"/>
  <c r="R76" i="6"/>
  <c r="S76" i="6"/>
  <c r="AB76" i="6"/>
  <c r="B77" i="6"/>
  <c r="C77" i="6"/>
  <c r="G77" i="6"/>
  <c r="J77" i="6" s="1"/>
  <c r="K77" i="6"/>
  <c r="L77" i="6"/>
  <c r="M77" i="6" a="1"/>
  <c r="M77" i="6" s="1"/>
  <c r="N77" i="6" a="1"/>
  <c r="N77" i="6"/>
  <c r="O77" i="6"/>
  <c r="P77" i="6"/>
  <c r="Q77" i="6"/>
  <c r="R77" i="6"/>
  <c r="B78" i="6"/>
  <c r="C78" i="6"/>
  <c r="G78" i="6"/>
  <c r="H78" i="6" s="1"/>
  <c r="K78" i="6"/>
  <c r="L78" i="6"/>
  <c r="M78" i="6" a="1"/>
  <c r="M78" i="6" s="1"/>
  <c r="N78" i="6" a="1"/>
  <c r="N78" i="6" s="1"/>
  <c r="O78" i="6"/>
  <c r="P78" i="6"/>
  <c r="Q78" i="6"/>
  <c r="R78" i="6"/>
  <c r="S78" i="6"/>
  <c r="AB78" i="6"/>
  <c r="B79" i="6"/>
  <c r="C79" i="6"/>
  <c r="G79" i="6"/>
  <c r="I79" i="6" s="1"/>
  <c r="K79" i="6"/>
  <c r="L79" i="6"/>
  <c r="M79" i="6" a="1"/>
  <c r="M79" i="6"/>
  <c r="N79" i="6" a="1"/>
  <c r="N79" i="6" s="1"/>
  <c r="O79" i="6"/>
  <c r="S79" i="6" s="1"/>
  <c r="P79" i="6"/>
  <c r="Q79" i="6"/>
  <c r="R79" i="6"/>
  <c r="AB79" i="6" s="1"/>
  <c r="A80" i="6"/>
  <c r="B80" i="6"/>
  <c r="C80" i="6"/>
  <c r="G80" i="6"/>
  <c r="K80" i="6"/>
  <c r="L80" i="6"/>
  <c r="M80" i="6" a="1"/>
  <c r="M80" i="6"/>
  <c r="N80" i="6" a="1"/>
  <c r="N80" i="6"/>
  <c r="O80" i="6"/>
  <c r="P80" i="6"/>
  <c r="Q80" i="6"/>
  <c r="R80" i="6"/>
  <c r="B81" i="6"/>
  <c r="C81" i="6"/>
  <c r="G81" i="6"/>
  <c r="K81" i="6"/>
  <c r="L81" i="6"/>
  <c r="M81" i="6" a="1"/>
  <c r="M81" i="6" s="1"/>
  <c r="N81" i="6" a="1"/>
  <c r="N81" i="6" s="1"/>
  <c r="O81" i="6"/>
  <c r="P81" i="6"/>
  <c r="Q81" i="6"/>
  <c r="AB81" i="6" s="1"/>
  <c r="R81" i="6"/>
  <c r="S81" i="6"/>
  <c r="B82" i="6"/>
  <c r="C82" i="6"/>
  <c r="G82" i="6"/>
  <c r="J82" i="6" s="1"/>
  <c r="K82" i="6"/>
  <c r="L82" i="6"/>
  <c r="M82" i="6" a="1"/>
  <c r="M82" i="6"/>
  <c r="N82" i="6" a="1"/>
  <c r="N82" i="6" s="1"/>
  <c r="O82" i="6"/>
  <c r="P82" i="6"/>
  <c r="Q82" i="6"/>
  <c r="R82" i="6"/>
  <c r="S82" i="6" s="1"/>
  <c r="B83" i="6"/>
  <c r="C83" i="6"/>
  <c r="G83" i="6"/>
  <c r="H83" i="6" s="1"/>
  <c r="K83" i="6"/>
  <c r="L83" i="6"/>
  <c r="M83" i="6" a="1"/>
  <c r="M83" i="6" s="1"/>
  <c r="N83" i="6" a="1"/>
  <c r="N83" i="6"/>
  <c r="O83" i="6"/>
  <c r="P83" i="6"/>
  <c r="Q83" i="6"/>
  <c r="R83" i="6"/>
  <c r="B84" i="6"/>
  <c r="C84" i="6"/>
  <c r="G84" i="6"/>
  <c r="J84" i="6" s="1"/>
  <c r="K84" i="6"/>
  <c r="L84" i="6"/>
  <c r="M84" i="6" a="1"/>
  <c r="M84" i="6" s="1"/>
  <c r="N84" i="6" a="1"/>
  <c r="N84" i="6" s="1"/>
  <c r="S84" i="6" s="1"/>
  <c r="O84" i="6"/>
  <c r="P84" i="6"/>
  <c r="Q84" i="6"/>
  <c r="R84" i="6"/>
  <c r="AB84" i="6"/>
  <c r="B85" i="6"/>
  <c r="C85" i="6"/>
  <c r="G85" i="6"/>
  <c r="J85" i="6" s="1"/>
  <c r="K85" i="6"/>
  <c r="L85" i="6"/>
  <c r="M85" i="6" a="1"/>
  <c r="M85" i="6"/>
  <c r="N85" i="6" a="1"/>
  <c r="N85" i="6" s="1"/>
  <c r="O85" i="6"/>
  <c r="P85" i="6"/>
  <c r="Q85" i="6"/>
  <c r="R85" i="6"/>
  <c r="AB85" i="6" s="1"/>
  <c r="A86" i="6"/>
  <c r="B86" i="6"/>
  <c r="C86" i="6"/>
  <c r="G86" i="6"/>
  <c r="H86" i="6" s="1"/>
  <c r="K86" i="6"/>
  <c r="L86" i="6"/>
  <c r="M86" i="6" a="1"/>
  <c r="M86" i="6" s="1"/>
  <c r="N86" i="6" a="1"/>
  <c r="N86" i="6"/>
  <c r="O86" i="6"/>
  <c r="P86" i="6"/>
  <c r="Q86" i="6"/>
  <c r="R86" i="6"/>
  <c r="B87" i="6"/>
  <c r="C87" i="6"/>
  <c r="G87" i="6"/>
  <c r="E87" i="6" s="1"/>
  <c r="K87" i="6"/>
  <c r="L87" i="6"/>
  <c r="M87" i="6" a="1"/>
  <c r="M87" i="6" s="1"/>
  <c r="N87" i="6" a="1"/>
  <c r="N87" i="6" s="1"/>
  <c r="O87" i="6"/>
  <c r="P87" i="6"/>
  <c r="Q87" i="6"/>
  <c r="AB87" i="6" s="1"/>
  <c r="R87" i="6"/>
  <c r="S87" i="6"/>
  <c r="B88" i="6"/>
  <c r="C88" i="6"/>
  <c r="G88" i="6"/>
  <c r="H88" i="6" s="1"/>
  <c r="K88" i="6"/>
  <c r="L88" i="6"/>
  <c r="M88" i="6" a="1"/>
  <c r="M88" i="6"/>
  <c r="N88" i="6" a="1"/>
  <c r="N88" i="6" s="1"/>
  <c r="S88" i="6" s="1"/>
  <c r="O88" i="6"/>
  <c r="P88" i="6"/>
  <c r="Q88" i="6"/>
  <c r="R88" i="6"/>
  <c r="AB88" i="6"/>
  <c r="B89" i="6"/>
  <c r="C89" i="6"/>
  <c r="G89" i="6"/>
  <c r="E89" i="6" s="1"/>
  <c r="K89" i="6"/>
  <c r="L89" i="6"/>
  <c r="M89" i="6" a="1"/>
  <c r="M89" i="6"/>
  <c r="N89" i="6" a="1"/>
  <c r="N89" i="6"/>
  <c r="O89" i="6"/>
  <c r="P89" i="6"/>
  <c r="Q89" i="6"/>
  <c r="R89" i="6"/>
  <c r="B90" i="6"/>
  <c r="C90" i="6"/>
  <c r="G90" i="6"/>
  <c r="I90" i="6" s="1"/>
  <c r="K90" i="6"/>
  <c r="L90" i="6"/>
  <c r="M90" i="6" a="1"/>
  <c r="M90" i="6"/>
  <c r="N90" i="6" a="1"/>
  <c r="N90" i="6" s="1"/>
  <c r="S90" i="6" s="1"/>
  <c r="O90" i="6"/>
  <c r="P90" i="6"/>
  <c r="Q90" i="6"/>
  <c r="R90" i="6"/>
  <c r="AB90" i="6"/>
  <c r="B91" i="6"/>
  <c r="C91" i="6"/>
  <c r="G91" i="6"/>
  <c r="I91" i="6" s="1"/>
  <c r="K91" i="6"/>
  <c r="L91" i="6"/>
  <c r="M91" i="6" a="1"/>
  <c r="M91" i="6"/>
  <c r="N91" i="6" a="1"/>
  <c r="N91" i="6" s="1"/>
  <c r="O91" i="6"/>
  <c r="P91" i="6"/>
  <c r="Q91" i="6"/>
  <c r="R91" i="6"/>
  <c r="AB91" i="6" s="1"/>
  <c r="S91" i="6"/>
  <c r="B92" i="6"/>
  <c r="C92" i="6"/>
  <c r="G92" i="6"/>
  <c r="K92" i="6"/>
  <c r="L92" i="6"/>
  <c r="M92" i="6" a="1"/>
  <c r="M92" i="6" s="1"/>
  <c r="N92" i="6" a="1"/>
  <c r="N92" i="6"/>
  <c r="O92" i="6"/>
  <c r="P92" i="6"/>
  <c r="Q92" i="6"/>
  <c r="R92" i="6"/>
  <c r="AB92" i="6"/>
  <c r="B93" i="6"/>
  <c r="C93" i="6"/>
  <c r="G93" i="6"/>
  <c r="I93" i="6" s="1"/>
  <c r="K93" i="6"/>
  <c r="L93" i="6"/>
  <c r="M93" i="6" a="1"/>
  <c r="M93" i="6" s="1"/>
  <c r="N93" i="6" a="1"/>
  <c r="N93" i="6" s="1"/>
  <c r="O93" i="6"/>
  <c r="P93" i="6"/>
  <c r="Q93" i="6"/>
  <c r="R93" i="6"/>
  <c r="B94" i="6"/>
  <c r="C94" i="6"/>
  <c r="G94" i="6"/>
  <c r="K94" i="6"/>
  <c r="L94" i="6"/>
  <c r="M94" i="6" a="1"/>
  <c r="M94" i="6"/>
  <c r="N94" i="6" a="1"/>
  <c r="N94" i="6"/>
  <c r="S94" i="6" s="1"/>
  <c r="O94" i="6"/>
  <c r="P94" i="6"/>
  <c r="Q94" i="6"/>
  <c r="R94" i="6"/>
  <c r="AB94" i="6"/>
  <c r="A95" i="6"/>
  <c r="B95" i="6"/>
  <c r="C95" i="6"/>
  <c r="G95" i="6"/>
  <c r="E95" i="6" s="1"/>
  <c r="K95" i="6"/>
  <c r="L95" i="6"/>
  <c r="M95" i="6" a="1"/>
  <c r="M95" i="6" s="1"/>
  <c r="N95" i="6" a="1"/>
  <c r="N95" i="6"/>
  <c r="O95" i="6"/>
  <c r="P95" i="6"/>
  <c r="Q95" i="6"/>
  <c r="R95" i="6"/>
  <c r="B96" i="6"/>
  <c r="C96" i="6"/>
  <c r="G96" i="6"/>
  <c r="J96" i="6" s="1"/>
  <c r="K96" i="6"/>
  <c r="L96" i="6"/>
  <c r="M96" i="6" a="1"/>
  <c r="M96" i="6" s="1"/>
  <c r="N96" i="6" a="1"/>
  <c r="N96" i="6" s="1"/>
  <c r="O96" i="6"/>
  <c r="P96" i="6"/>
  <c r="Q96" i="6"/>
  <c r="R96" i="6"/>
  <c r="AB96" i="6"/>
  <c r="B97" i="6"/>
  <c r="C97" i="6"/>
  <c r="G97" i="6"/>
  <c r="I97" i="6" s="1"/>
  <c r="K97" i="6"/>
  <c r="L97" i="6"/>
  <c r="M97" i="6" a="1"/>
  <c r="M97" i="6"/>
  <c r="N97" i="6" a="1"/>
  <c r="N97" i="6"/>
  <c r="O97" i="6"/>
  <c r="P97" i="6"/>
  <c r="Q97" i="6"/>
  <c r="R97" i="6"/>
  <c r="B98" i="6"/>
  <c r="C98" i="6"/>
  <c r="G98" i="6"/>
  <c r="E98" i="6" s="1"/>
  <c r="K98" i="6"/>
  <c r="L98" i="6"/>
  <c r="M98" i="6" a="1"/>
  <c r="M98" i="6" s="1"/>
  <c r="N98" i="6" a="1"/>
  <c r="N98" i="6"/>
  <c r="O98" i="6"/>
  <c r="P98" i="6"/>
  <c r="Q98" i="6"/>
  <c r="R98" i="6"/>
  <c r="B99" i="6"/>
  <c r="C99" i="6"/>
  <c r="G99" i="6"/>
  <c r="K99" i="6"/>
  <c r="L99" i="6"/>
  <c r="M99" i="6" a="1"/>
  <c r="M99" i="6" s="1"/>
  <c r="N99" i="6" a="1"/>
  <c r="N99" i="6" s="1"/>
  <c r="S99" i="6" s="1"/>
  <c r="O99" i="6"/>
  <c r="P99" i="6"/>
  <c r="Q99" i="6"/>
  <c r="AB99" i="6" s="1"/>
  <c r="R99" i="6"/>
  <c r="B100" i="6"/>
  <c r="C100" i="6"/>
  <c r="G100" i="6"/>
  <c r="K100" i="6"/>
  <c r="L100" i="6"/>
  <c r="M100" i="6" a="1"/>
  <c r="M100" i="6"/>
  <c r="N100" i="6" a="1"/>
  <c r="N100" i="6"/>
  <c r="S100" i="6" s="1"/>
  <c r="O100" i="6"/>
  <c r="P100" i="6"/>
  <c r="Q100" i="6"/>
  <c r="R100" i="6"/>
  <c r="AB100" i="6" s="1"/>
  <c r="B101" i="6"/>
  <c r="C101" i="6"/>
  <c r="G101" i="6"/>
  <c r="K101" i="6"/>
  <c r="L101" i="6"/>
  <c r="M101" i="6" a="1"/>
  <c r="M101" i="6"/>
  <c r="N101" i="6" a="1"/>
  <c r="N101" i="6"/>
  <c r="O101" i="6"/>
  <c r="P101" i="6"/>
  <c r="Q101" i="6"/>
  <c r="R101" i="6"/>
  <c r="B102" i="6"/>
  <c r="C102" i="6"/>
  <c r="G102" i="6"/>
  <c r="K102" i="6"/>
  <c r="L102" i="6"/>
  <c r="M102" i="6" a="1"/>
  <c r="M102" i="6"/>
  <c r="N102" i="6" a="1"/>
  <c r="N102" i="6" s="1"/>
  <c r="O102" i="6"/>
  <c r="P102" i="6"/>
  <c r="S102" i="6" s="1"/>
  <c r="Q102" i="6"/>
  <c r="R102" i="6"/>
  <c r="AB102" i="6" s="1"/>
  <c r="B103" i="6"/>
  <c r="C103" i="6"/>
  <c r="G103" i="6"/>
  <c r="I103" i="6" s="1"/>
  <c r="K103" i="6"/>
  <c r="L103" i="6"/>
  <c r="M103" i="6" a="1"/>
  <c r="M103" i="6"/>
  <c r="N103" i="6" a="1"/>
  <c r="N103" i="6" s="1"/>
  <c r="S103" i="6" s="1"/>
  <c r="O103" i="6"/>
  <c r="P103" i="6"/>
  <c r="Q103" i="6"/>
  <c r="R103" i="6"/>
  <c r="AB103" i="6" s="1"/>
  <c r="B104" i="6"/>
  <c r="C104" i="6"/>
  <c r="G104" i="6"/>
  <c r="H104" i="6" s="1"/>
  <c r="K104" i="6"/>
  <c r="L104" i="6"/>
  <c r="M104" i="6" a="1"/>
  <c r="M104" i="6"/>
  <c r="N104" i="6" a="1"/>
  <c r="N104" i="6"/>
  <c r="O104" i="6"/>
  <c r="P104" i="6"/>
  <c r="Q104" i="6"/>
  <c r="R104" i="6"/>
  <c r="B105" i="6"/>
  <c r="C105" i="6"/>
  <c r="G105" i="6"/>
  <c r="K105" i="6"/>
  <c r="L105" i="6"/>
  <c r="M105" i="6" a="1"/>
  <c r="M105" i="6"/>
  <c r="N105" i="6" a="1"/>
  <c r="N105" i="6" s="1"/>
  <c r="S105" i="6" s="1"/>
  <c r="O105" i="6"/>
  <c r="P105" i="6"/>
  <c r="Q105" i="6"/>
  <c r="R105" i="6"/>
  <c r="AB105" i="6" s="1"/>
  <c r="B106" i="6"/>
  <c r="C106" i="6"/>
  <c r="G106" i="6"/>
  <c r="K106" i="6"/>
  <c r="L106" i="6"/>
  <c r="M106" i="6" a="1"/>
  <c r="M106" i="6"/>
  <c r="N106" i="6" a="1"/>
  <c r="N106" i="6"/>
  <c r="S106" i="6" s="1"/>
  <c r="O106" i="6"/>
  <c r="P106" i="6"/>
  <c r="Q106" i="6"/>
  <c r="R106" i="6"/>
  <c r="AB106" i="6" s="1"/>
  <c r="B107" i="6"/>
  <c r="C107" i="6"/>
  <c r="G107" i="6"/>
  <c r="K107" i="6"/>
  <c r="L107" i="6"/>
  <c r="M107" i="6" a="1"/>
  <c r="M107" i="6"/>
  <c r="N107" i="6" a="1"/>
  <c r="N107" i="6"/>
  <c r="O107" i="6"/>
  <c r="P107" i="6"/>
  <c r="Q107" i="6"/>
  <c r="R107" i="6"/>
  <c r="B108" i="6"/>
  <c r="C108" i="6"/>
  <c r="G108" i="6"/>
  <c r="K108" i="6"/>
  <c r="L108" i="6"/>
  <c r="M108" i="6" a="1"/>
  <c r="M108" i="6"/>
  <c r="N108" i="6" a="1"/>
  <c r="N108" i="6" s="1"/>
  <c r="O108" i="6"/>
  <c r="S108" i="6" s="1"/>
  <c r="P108" i="6"/>
  <c r="Q108" i="6"/>
  <c r="R108" i="6"/>
  <c r="AB108" i="6" s="1"/>
  <c r="B109" i="6"/>
  <c r="C109" i="6"/>
  <c r="G109" i="6"/>
  <c r="J109" i="6" s="1"/>
  <c r="K109" i="6"/>
  <c r="L109" i="6"/>
  <c r="M109" i="6" a="1"/>
  <c r="M109" i="6"/>
  <c r="N109" i="6" a="1"/>
  <c r="N109" i="6" s="1"/>
  <c r="O109" i="6"/>
  <c r="P109" i="6"/>
  <c r="Q109" i="6"/>
  <c r="R109" i="6"/>
  <c r="B110" i="6"/>
  <c r="C110" i="6"/>
  <c r="G110" i="6"/>
  <c r="I110" i="6" s="1"/>
  <c r="K110" i="6"/>
  <c r="L110" i="6"/>
  <c r="M110" i="6" a="1"/>
  <c r="M110" i="6"/>
  <c r="N110" i="6" a="1"/>
  <c r="N110" i="6"/>
  <c r="O110" i="6"/>
  <c r="P110" i="6"/>
  <c r="Q110" i="6"/>
  <c r="R110" i="6"/>
  <c r="B111" i="6"/>
  <c r="C111" i="6"/>
  <c r="G111" i="6"/>
  <c r="J111" i="6" s="1"/>
  <c r="K111" i="6"/>
  <c r="L111" i="6"/>
  <c r="M111" i="6" a="1"/>
  <c r="M111" i="6"/>
  <c r="N111" i="6" a="1"/>
  <c r="N111" i="6" s="1"/>
  <c r="O111" i="6"/>
  <c r="P111" i="6"/>
  <c r="Q111" i="6"/>
  <c r="R111" i="6"/>
  <c r="B112" i="6"/>
  <c r="C112" i="6"/>
  <c r="G112" i="6"/>
  <c r="I112" i="6" s="1"/>
  <c r="K112" i="6"/>
  <c r="L112" i="6"/>
  <c r="M112" i="6" a="1"/>
  <c r="M112" i="6"/>
  <c r="N112" i="6" a="1"/>
  <c r="N112" i="6" s="1"/>
  <c r="S112" i="6" s="1"/>
  <c r="O112" i="6"/>
  <c r="P112" i="6"/>
  <c r="Q112" i="6"/>
  <c r="R112" i="6"/>
  <c r="AB112" i="6" s="1"/>
  <c r="B113" i="6"/>
  <c r="C113" i="6"/>
  <c r="G113" i="6"/>
  <c r="J113" i="6" s="1"/>
  <c r="K113" i="6"/>
  <c r="L113" i="6"/>
  <c r="M113" i="6" a="1"/>
  <c r="M113" i="6"/>
  <c r="N113" i="6" a="1"/>
  <c r="N113" i="6"/>
  <c r="O113" i="6"/>
  <c r="P113" i="6"/>
  <c r="Q113" i="6"/>
  <c r="R113" i="6"/>
  <c r="B114" i="6"/>
  <c r="C114" i="6"/>
  <c r="G114" i="6"/>
  <c r="I114" i="6" s="1"/>
  <c r="K114" i="6"/>
  <c r="L114" i="6"/>
  <c r="M114" i="6" a="1"/>
  <c r="M114" i="6"/>
  <c r="N114" i="6" a="1"/>
  <c r="N114" i="6" s="1"/>
  <c r="O114" i="6"/>
  <c r="P114" i="6"/>
  <c r="Q114" i="6"/>
  <c r="R114" i="6"/>
  <c r="AB114" i="6" s="1"/>
  <c r="B115" i="6"/>
  <c r="C115" i="6"/>
  <c r="G115" i="6"/>
  <c r="J115" i="6" s="1"/>
  <c r="K115" i="6"/>
  <c r="L115" i="6"/>
  <c r="M115" i="6" a="1"/>
  <c r="M115" i="6"/>
  <c r="N115" i="6" a="1"/>
  <c r="N115" i="6"/>
  <c r="O115" i="6"/>
  <c r="P115" i="6"/>
  <c r="Q115" i="6"/>
  <c r="R115" i="6"/>
  <c r="AB115" i="6" s="1"/>
  <c r="B116" i="6"/>
  <c r="C116" i="6"/>
  <c r="G116" i="6"/>
  <c r="J116" i="6" s="1"/>
  <c r="K116" i="6"/>
  <c r="L116" i="6"/>
  <c r="M116" i="6" a="1"/>
  <c r="M116" i="6"/>
  <c r="N116" i="6" a="1"/>
  <c r="N116" i="6"/>
  <c r="O116" i="6"/>
  <c r="P116" i="6"/>
  <c r="Q116" i="6"/>
  <c r="R116" i="6"/>
  <c r="B117" i="6"/>
  <c r="C117" i="6"/>
  <c r="E117" i="6"/>
  <c r="G117" i="6"/>
  <c r="I117" i="6" s="1"/>
  <c r="H117" i="6"/>
  <c r="J117" i="6"/>
  <c r="K117" i="6"/>
  <c r="L117" i="6"/>
  <c r="M117" i="6" a="1"/>
  <c r="M117" i="6"/>
  <c r="N117" i="6" a="1"/>
  <c r="N117" i="6"/>
  <c r="O117" i="6"/>
  <c r="P117" i="6"/>
  <c r="Q117" i="6"/>
  <c r="R117" i="6"/>
  <c r="AB117" i="6" s="1"/>
  <c r="B118" i="6"/>
  <c r="C118" i="6"/>
  <c r="G118" i="6"/>
  <c r="J118" i="6" s="1"/>
  <c r="K118" i="6"/>
  <c r="L118" i="6"/>
  <c r="M118" i="6" a="1"/>
  <c r="M118" i="6"/>
  <c r="N118" i="6" a="1"/>
  <c r="N118" i="6"/>
  <c r="S118" i="6" s="1"/>
  <c r="O118" i="6"/>
  <c r="P118" i="6"/>
  <c r="Q118" i="6"/>
  <c r="R118" i="6"/>
  <c r="AB118" i="6" s="1"/>
  <c r="B119" i="6"/>
  <c r="C119" i="6"/>
  <c r="G119" i="6"/>
  <c r="E119" i="6" s="1"/>
  <c r="K119" i="6"/>
  <c r="L119" i="6"/>
  <c r="M119" i="6" a="1"/>
  <c r="M119" i="6"/>
  <c r="N119" i="6" a="1"/>
  <c r="N119" i="6"/>
  <c r="O119" i="6"/>
  <c r="P119" i="6"/>
  <c r="Q119" i="6"/>
  <c r="R119" i="6"/>
  <c r="B120" i="6"/>
  <c r="C120" i="6"/>
  <c r="E120" i="6"/>
  <c r="G120" i="6"/>
  <c r="H120" i="6" s="1"/>
  <c r="I120" i="6"/>
  <c r="K120" i="6"/>
  <c r="L120" i="6"/>
  <c r="M120" i="6" a="1"/>
  <c r="M120" i="6"/>
  <c r="N120" i="6" a="1"/>
  <c r="N120" i="6" s="1"/>
  <c r="O120" i="6"/>
  <c r="P120" i="6"/>
  <c r="Q120" i="6"/>
  <c r="R120" i="6"/>
  <c r="AB120" i="6" s="1"/>
  <c r="S120" i="6"/>
  <c r="B121" i="6"/>
  <c r="C121" i="6"/>
  <c r="G121" i="6"/>
  <c r="J121" i="6"/>
  <c r="K121" i="6"/>
  <c r="L121" i="6"/>
  <c r="M121" i="6" a="1"/>
  <c r="M121" i="6"/>
  <c r="N121" i="6" a="1"/>
  <c r="N121" i="6"/>
  <c r="S121" i="6" s="1"/>
  <c r="O121" i="6"/>
  <c r="P121" i="6"/>
  <c r="Q121" i="6"/>
  <c r="R121" i="6"/>
  <c r="AB121" i="6" s="1"/>
  <c r="B122" i="6"/>
  <c r="C122" i="6"/>
  <c r="G122" i="6"/>
  <c r="J122" i="6" s="1"/>
  <c r="H122" i="6"/>
  <c r="K122" i="6"/>
  <c r="L122" i="6"/>
  <c r="M122" i="6" a="1"/>
  <c r="M122" i="6"/>
  <c r="N122" i="6" a="1"/>
  <c r="N122" i="6"/>
  <c r="O122" i="6"/>
  <c r="P122" i="6"/>
  <c r="Q122" i="6"/>
  <c r="R122" i="6"/>
  <c r="B123" i="6"/>
  <c r="C123" i="6"/>
  <c r="G123" i="6"/>
  <c r="E123" i="6" s="1"/>
  <c r="I123" i="6"/>
  <c r="K123" i="6"/>
  <c r="L123" i="6"/>
  <c r="M123" i="6" a="1"/>
  <c r="M123" i="6"/>
  <c r="N123" i="6" a="1"/>
  <c r="N123" i="6"/>
  <c r="O123" i="6"/>
  <c r="P123" i="6"/>
  <c r="Q123" i="6"/>
  <c r="R123" i="6"/>
  <c r="AB123" i="6" s="1"/>
  <c r="B124" i="6"/>
  <c r="C124" i="6"/>
  <c r="G124" i="6"/>
  <c r="J124" i="6" s="1"/>
  <c r="K124" i="6"/>
  <c r="L124" i="6"/>
  <c r="M124" i="6" a="1"/>
  <c r="M124" i="6"/>
  <c r="N124" i="6" a="1"/>
  <c r="N124" i="6" s="1"/>
  <c r="S124" i="6" s="1"/>
  <c r="O124" i="6"/>
  <c r="P124" i="6"/>
  <c r="Q124" i="6"/>
  <c r="R124" i="6"/>
  <c r="AB124" i="6" s="1"/>
  <c r="B125" i="6"/>
  <c r="C125" i="6"/>
  <c r="G125" i="6"/>
  <c r="J125" i="6" s="1"/>
  <c r="K125" i="6"/>
  <c r="L125" i="6"/>
  <c r="M125" i="6" a="1"/>
  <c r="M125" i="6"/>
  <c r="N125" i="6" a="1"/>
  <c r="N125" i="6"/>
  <c r="O125" i="6"/>
  <c r="P125" i="6"/>
  <c r="Q125" i="6"/>
  <c r="R125" i="6"/>
  <c r="B126" i="6"/>
  <c r="C126" i="6"/>
  <c r="G126" i="6"/>
  <c r="K126" i="6"/>
  <c r="L126" i="6"/>
  <c r="M126" i="6" a="1"/>
  <c r="M126" i="6"/>
  <c r="N126" i="6" a="1"/>
  <c r="N126" i="6" s="1"/>
  <c r="O126" i="6"/>
  <c r="P126" i="6"/>
  <c r="Q126" i="6"/>
  <c r="R126" i="6"/>
  <c r="B127" i="6"/>
  <c r="C127" i="6"/>
  <c r="G127" i="6"/>
  <c r="H127" i="6" s="1"/>
  <c r="K127" i="6"/>
  <c r="L127" i="6"/>
  <c r="M127" i="6" a="1"/>
  <c r="M127" i="6"/>
  <c r="N127" i="6" a="1"/>
  <c r="N127" i="6" s="1"/>
  <c r="S127" i="6" s="1"/>
  <c r="O127" i="6"/>
  <c r="P127" i="6"/>
  <c r="Q127" i="6"/>
  <c r="R127" i="6"/>
  <c r="AB127" i="6" s="1"/>
  <c r="B128" i="6"/>
  <c r="C128" i="6"/>
  <c r="G128" i="6"/>
  <c r="J128" i="6" s="1"/>
  <c r="K128" i="6"/>
  <c r="L128" i="6"/>
  <c r="M128" i="6" a="1"/>
  <c r="M128" i="6"/>
  <c r="N128" i="6" a="1"/>
  <c r="N128" i="6"/>
  <c r="O128" i="6"/>
  <c r="P128" i="6"/>
  <c r="Q128" i="6"/>
  <c r="R128" i="6"/>
  <c r="B129" i="6"/>
  <c r="C129" i="6"/>
  <c r="G129" i="6"/>
  <c r="I129" i="6" s="1"/>
  <c r="K129" i="6"/>
  <c r="L129" i="6"/>
  <c r="M129" i="6" a="1"/>
  <c r="M129" i="6"/>
  <c r="N129" i="6" a="1"/>
  <c r="N129" i="6" s="1"/>
  <c r="S129" i="6" s="1"/>
  <c r="O129" i="6"/>
  <c r="P129" i="6"/>
  <c r="Q129" i="6"/>
  <c r="R129" i="6"/>
  <c r="AB129" i="6" s="1"/>
  <c r="B130" i="6"/>
  <c r="C130" i="6"/>
  <c r="G130" i="6"/>
  <c r="I130" i="6" s="1"/>
  <c r="K130" i="6"/>
  <c r="L130" i="6"/>
  <c r="M130" i="6" a="1"/>
  <c r="M130" i="6"/>
  <c r="N130" i="6" a="1"/>
  <c r="N130" i="6" s="1"/>
  <c r="S130" i="6" s="1"/>
  <c r="O130" i="6"/>
  <c r="P130" i="6"/>
  <c r="Q130" i="6"/>
  <c r="R130" i="6"/>
  <c r="AB130" i="6" s="1"/>
  <c r="B131" i="6"/>
  <c r="C131" i="6"/>
  <c r="G131" i="6"/>
  <c r="K131" i="6"/>
  <c r="L131" i="6"/>
  <c r="M131" i="6" a="1"/>
  <c r="M131" i="6"/>
  <c r="N131" i="6" a="1"/>
  <c r="N131" i="6"/>
  <c r="O131" i="6"/>
  <c r="P131" i="6"/>
  <c r="Q131" i="6"/>
  <c r="R131" i="6"/>
  <c r="B132" i="6"/>
  <c r="C132" i="6"/>
  <c r="G132" i="6"/>
  <c r="E132" i="6" s="1"/>
  <c r="K132" i="6"/>
  <c r="L132" i="6"/>
  <c r="M132" i="6" a="1"/>
  <c r="M132" i="6"/>
  <c r="N132" i="6" a="1"/>
  <c r="N132" i="6" s="1"/>
  <c r="O132" i="6"/>
  <c r="S132" i="6" s="1"/>
  <c r="P132" i="6"/>
  <c r="Q132" i="6"/>
  <c r="R132" i="6"/>
  <c r="AB132" i="6" s="1"/>
  <c r="B133" i="6"/>
  <c r="C133" i="6"/>
  <c r="G133" i="6"/>
  <c r="K133" i="6"/>
  <c r="L133" i="6"/>
  <c r="M133" i="6" a="1"/>
  <c r="M133" i="6"/>
  <c r="N133" i="6" a="1"/>
  <c r="N133" i="6"/>
  <c r="O133" i="6"/>
  <c r="P133" i="6"/>
  <c r="Q133" i="6"/>
  <c r="R133" i="6"/>
  <c r="AB133" i="6" s="1"/>
  <c r="B134" i="6"/>
  <c r="C134" i="6"/>
  <c r="G134" i="6"/>
  <c r="E134" i="6" s="1"/>
  <c r="I134" i="6"/>
  <c r="K134" i="6"/>
  <c r="L134" i="6"/>
  <c r="M134" i="6" a="1"/>
  <c r="M134" i="6"/>
  <c r="N134" i="6" a="1"/>
  <c r="N134" i="6"/>
  <c r="O134" i="6"/>
  <c r="P134" i="6"/>
  <c r="Q134" i="6"/>
  <c r="R134" i="6"/>
  <c r="A135" i="6"/>
  <c r="B135" i="6"/>
  <c r="C135" i="6"/>
  <c r="G135" i="6"/>
  <c r="E135" i="6" s="1"/>
  <c r="I135" i="6"/>
  <c r="K135" i="6"/>
  <c r="L135" i="6"/>
  <c r="M135" i="6" a="1"/>
  <c r="M135" i="6"/>
  <c r="N135" i="6" a="1"/>
  <c r="N135" i="6"/>
  <c r="O135" i="6"/>
  <c r="P135" i="6"/>
  <c r="Q135" i="6"/>
  <c r="R135" i="6"/>
  <c r="AB135" i="6" s="1"/>
  <c r="B136" i="6"/>
  <c r="C136" i="6"/>
  <c r="G136" i="6"/>
  <c r="H136" i="6" s="1"/>
  <c r="K136" i="6"/>
  <c r="L136" i="6"/>
  <c r="M136" i="6" a="1"/>
  <c r="M136" i="6"/>
  <c r="N136" i="6" a="1"/>
  <c r="N136" i="6"/>
  <c r="S136" i="6" s="1"/>
  <c r="O136" i="6"/>
  <c r="P136" i="6"/>
  <c r="Q136" i="6"/>
  <c r="R136" i="6"/>
  <c r="AB136" i="6" s="1"/>
  <c r="B137" i="6"/>
  <c r="C137" i="6"/>
  <c r="G137" i="6"/>
  <c r="J137" i="6" s="1"/>
  <c r="K137" i="6"/>
  <c r="L137" i="6"/>
  <c r="M137" i="6" a="1"/>
  <c r="M137" i="6"/>
  <c r="N137" i="6" a="1"/>
  <c r="N137" i="6"/>
  <c r="O137" i="6"/>
  <c r="P137" i="6"/>
  <c r="Q137" i="6"/>
  <c r="R137" i="6"/>
  <c r="B138" i="6"/>
  <c r="C138" i="6"/>
  <c r="G138" i="6"/>
  <c r="H138" i="6" s="1"/>
  <c r="K138" i="6"/>
  <c r="L138" i="6"/>
  <c r="M138" i="6" a="1"/>
  <c r="M138" i="6"/>
  <c r="N138" i="6" a="1"/>
  <c r="N138" i="6" s="1"/>
  <c r="O138" i="6"/>
  <c r="P138" i="6"/>
  <c r="S138" i="6" s="1"/>
  <c r="Q138" i="6"/>
  <c r="R138" i="6"/>
  <c r="AB138" i="6" s="1"/>
  <c r="B139" i="6"/>
  <c r="C139" i="6"/>
  <c r="G139" i="6"/>
  <c r="J139" i="6" s="1"/>
  <c r="K139" i="6"/>
  <c r="L139" i="6"/>
  <c r="M139" i="6" a="1"/>
  <c r="M139" i="6"/>
  <c r="N139" i="6" a="1"/>
  <c r="N139" i="6" s="1"/>
  <c r="S139" i="6" s="1"/>
  <c r="O139" i="6"/>
  <c r="P139" i="6"/>
  <c r="Q139" i="6"/>
  <c r="R139" i="6"/>
  <c r="AB139" i="6" s="1"/>
  <c r="B140" i="6"/>
  <c r="C140" i="6"/>
  <c r="G140" i="6"/>
  <c r="H140" i="6" s="1"/>
  <c r="K140" i="6"/>
  <c r="L140" i="6"/>
  <c r="M140" i="6" a="1"/>
  <c r="M140" i="6"/>
  <c r="N140" i="6" a="1"/>
  <c r="N140" i="6"/>
  <c r="O140" i="6"/>
  <c r="P140" i="6"/>
  <c r="Q140" i="6"/>
  <c r="R140" i="6"/>
  <c r="B141" i="6"/>
  <c r="C141" i="6"/>
  <c r="G141" i="6"/>
  <c r="I141" i="6" s="1"/>
  <c r="K141" i="6"/>
  <c r="L141" i="6"/>
  <c r="M141" i="6" a="1"/>
  <c r="M141" i="6"/>
  <c r="N141" i="6" a="1"/>
  <c r="N141" i="6" s="1"/>
  <c r="S141" i="6" s="1"/>
  <c r="O141" i="6"/>
  <c r="P141" i="6"/>
  <c r="Q141" i="6"/>
  <c r="R141" i="6"/>
  <c r="AB141" i="6" s="1"/>
  <c r="B142" i="6"/>
  <c r="C142" i="6"/>
  <c r="G142" i="6"/>
  <c r="H142" i="6" s="1"/>
  <c r="K142" i="6"/>
  <c r="L142" i="6"/>
  <c r="M142" i="6" a="1"/>
  <c r="M142" i="6"/>
  <c r="N142" i="6" a="1"/>
  <c r="N142" i="6"/>
  <c r="S142" i="6" s="1"/>
  <c r="O142" i="6"/>
  <c r="P142" i="6"/>
  <c r="Q142" i="6"/>
  <c r="R142" i="6"/>
  <c r="AB142" i="6" s="1"/>
  <c r="B143" i="6"/>
  <c r="C143" i="6"/>
  <c r="G143" i="6"/>
  <c r="E143" i="6" s="1"/>
  <c r="K143" i="6"/>
  <c r="L143" i="6"/>
  <c r="M143" i="6" a="1"/>
  <c r="M143" i="6"/>
  <c r="N143" i="6" a="1"/>
  <c r="N143" i="6"/>
  <c r="O143" i="6"/>
  <c r="P143" i="6"/>
  <c r="Q143" i="6"/>
  <c r="R143" i="6"/>
  <c r="B144" i="6"/>
  <c r="C144" i="6"/>
  <c r="G144" i="6"/>
  <c r="I144" i="6" s="1"/>
  <c r="K144" i="6"/>
  <c r="L144" i="6"/>
  <c r="M144" i="6" a="1"/>
  <c r="M144" i="6"/>
  <c r="N144" i="6" a="1"/>
  <c r="N144" i="6" s="1"/>
  <c r="O144" i="6"/>
  <c r="S144" i="6" s="1"/>
  <c r="P144" i="6"/>
  <c r="Q144" i="6"/>
  <c r="R144" i="6"/>
  <c r="AB144" i="6" s="1"/>
  <c r="B145" i="6"/>
  <c r="C145" i="6"/>
  <c r="G145" i="6"/>
  <c r="J145" i="6" s="1"/>
  <c r="K145" i="6"/>
  <c r="L145" i="6"/>
  <c r="M145" i="6" a="1"/>
  <c r="M145" i="6"/>
  <c r="N145" i="6" a="1"/>
  <c r="N145" i="6"/>
  <c r="O145" i="6"/>
  <c r="P145" i="6"/>
  <c r="Q145" i="6"/>
  <c r="R145" i="6"/>
  <c r="B146" i="6"/>
  <c r="C146" i="6"/>
  <c r="G146" i="6"/>
  <c r="E146" i="6" s="1"/>
  <c r="K146" i="6"/>
  <c r="L146" i="6"/>
  <c r="M146" i="6" a="1"/>
  <c r="M146" i="6"/>
  <c r="N146" i="6" a="1"/>
  <c r="N146" i="6"/>
  <c r="O146" i="6"/>
  <c r="P146" i="6"/>
  <c r="Q146" i="6"/>
  <c r="R146" i="6"/>
  <c r="B147" i="6"/>
  <c r="C147" i="6"/>
  <c r="G147" i="6"/>
  <c r="K147" i="6"/>
  <c r="L147" i="6"/>
  <c r="M147" i="6" a="1"/>
  <c r="M147" i="6"/>
  <c r="N147" i="6" a="1"/>
  <c r="N147" i="6"/>
  <c r="O147" i="6"/>
  <c r="P147" i="6"/>
  <c r="Q147" i="6"/>
  <c r="R147" i="6"/>
  <c r="B148" i="6"/>
  <c r="C148" i="6"/>
  <c r="G148" i="6"/>
  <c r="J148" i="6" s="1"/>
  <c r="H148" i="6"/>
  <c r="K148" i="6"/>
  <c r="L148" i="6"/>
  <c r="M148" i="6" a="1"/>
  <c r="M148" i="6"/>
  <c r="N148" i="6" a="1"/>
  <c r="N148" i="6" s="1"/>
  <c r="O148" i="6"/>
  <c r="P148" i="6"/>
  <c r="Q148" i="6"/>
  <c r="R148" i="6"/>
  <c r="AB148" i="6" s="1"/>
  <c r="S148" i="6"/>
  <c r="A149" i="6"/>
  <c r="B149" i="6"/>
  <c r="C149" i="6"/>
  <c r="G149" i="6"/>
  <c r="I149" i="6" s="1"/>
  <c r="K149" i="6"/>
  <c r="L149" i="6"/>
  <c r="M149" i="6" a="1"/>
  <c r="M149" i="6"/>
  <c r="N149" i="6" a="1"/>
  <c r="N149" i="6"/>
  <c r="O149" i="6"/>
  <c r="P149" i="6"/>
  <c r="Q149" i="6"/>
  <c r="R149" i="6"/>
  <c r="B150" i="6"/>
  <c r="C150" i="6"/>
  <c r="G150" i="6"/>
  <c r="K150" i="6"/>
  <c r="L150" i="6"/>
  <c r="M150" i="6" a="1"/>
  <c r="M150" i="6"/>
  <c r="N150" i="6" a="1"/>
  <c r="N150" i="6" s="1"/>
  <c r="O150" i="6"/>
  <c r="P150" i="6"/>
  <c r="Q150" i="6"/>
  <c r="R150" i="6"/>
  <c r="B151" i="6"/>
  <c r="C151" i="6"/>
  <c r="G151" i="6"/>
  <c r="E151" i="6" s="1"/>
  <c r="K151" i="6"/>
  <c r="L151" i="6"/>
  <c r="M151" i="6" a="1"/>
  <c r="M151" i="6"/>
  <c r="N151" i="6" a="1"/>
  <c r="N151" i="6"/>
  <c r="S151" i="6" s="1"/>
  <c r="O151" i="6"/>
  <c r="P151" i="6"/>
  <c r="Q151" i="6"/>
  <c r="R151" i="6"/>
  <c r="AB151" i="6" s="1"/>
  <c r="B152" i="6"/>
  <c r="C152" i="6"/>
  <c r="G152" i="6"/>
  <c r="E152" i="6" s="1"/>
  <c r="K152" i="6"/>
  <c r="L152" i="6"/>
  <c r="M152" i="6" a="1"/>
  <c r="M152" i="6"/>
  <c r="N152" i="6" a="1"/>
  <c r="N152" i="6"/>
  <c r="O152" i="6"/>
  <c r="P152" i="6"/>
  <c r="Q152" i="6"/>
  <c r="R152" i="6"/>
  <c r="B153" i="6"/>
  <c r="C153" i="6"/>
  <c r="G153" i="6"/>
  <c r="I153" i="6" s="1"/>
  <c r="J153" i="6"/>
  <c r="K153" i="6"/>
  <c r="L153" i="6"/>
  <c r="M153" i="6" a="1"/>
  <c r="M153" i="6"/>
  <c r="N153" i="6" a="1"/>
  <c r="N153" i="6"/>
  <c r="O153" i="6"/>
  <c r="P153" i="6"/>
  <c r="Q153" i="6"/>
  <c r="R153" i="6"/>
  <c r="AB153" i="6" s="1"/>
  <c r="B154" i="6"/>
  <c r="C154" i="6"/>
  <c r="G154" i="6"/>
  <c r="K154" i="6"/>
  <c r="L154" i="6"/>
  <c r="M154" i="6" a="1"/>
  <c r="M154" i="6"/>
  <c r="N154" i="6" a="1"/>
  <c r="N154" i="6" s="1"/>
  <c r="S154" i="6" s="1"/>
  <c r="O154" i="6"/>
  <c r="P154" i="6"/>
  <c r="Q154" i="6"/>
  <c r="R154" i="6"/>
  <c r="AB154" i="6" s="1"/>
  <c r="B155" i="6"/>
  <c r="C155" i="6"/>
  <c r="G155" i="6"/>
  <c r="I155" i="6" s="1"/>
  <c r="H155" i="6"/>
  <c r="J155" i="6"/>
  <c r="K155" i="6"/>
  <c r="L155" i="6"/>
  <c r="M155" i="6" a="1"/>
  <c r="M155" i="6"/>
  <c r="N155" i="6" a="1"/>
  <c r="N155" i="6"/>
  <c r="O155" i="6"/>
  <c r="P155" i="6"/>
  <c r="Q155" i="6"/>
  <c r="R155" i="6"/>
  <c r="B156" i="6"/>
  <c r="C156" i="6"/>
  <c r="G156" i="6"/>
  <c r="H156" i="6" s="1"/>
  <c r="K156" i="6"/>
  <c r="L156" i="6"/>
  <c r="M156" i="6" a="1"/>
  <c r="M156" i="6"/>
  <c r="N156" i="6" a="1"/>
  <c r="N156" i="6" s="1"/>
  <c r="O156" i="6"/>
  <c r="P156" i="6"/>
  <c r="Q156" i="6"/>
  <c r="R156" i="6"/>
  <c r="AB156" i="6" s="1"/>
  <c r="S156" i="6"/>
  <c r="B157" i="6"/>
  <c r="C157" i="6"/>
  <c r="G157" i="6"/>
  <c r="J157" i="6" s="1"/>
  <c r="I157" i="6"/>
  <c r="K157" i="6"/>
  <c r="L157" i="6"/>
  <c r="M157" i="6" a="1"/>
  <c r="M157" i="6"/>
  <c r="N157" i="6" a="1"/>
  <c r="N157" i="6"/>
  <c r="S157" i="6" s="1"/>
  <c r="O157" i="6"/>
  <c r="P157" i="6"/>
  <c r="Q157" i="6"/>
  <c r="R157" i="6"/>
  <c r="AB157" i="6" s="1"/>
  <c r="B158" i="6"/>
  <c r="C158" i="6"/>
  <c r="G158" i="6"/>
  <c r="J158" i="6" s="1"/>
  <c r="K158" i="6"/>
  <c r="L158" i="6"/>
  <c r="M158" i="6" a="1"/>
  <c r="M158" i="6"/>
  <c r="N158" i="6" a="1"/>
  <c r="N158" i="6"/>
  <c r="O158" i="6"/>
  <c r="P158" i="6"/>
  <c r="Q158" i="6"/>
  <c r="R158" i="6"/>
  <c r="B159" i="6"/>
  <c r="C159" i="6"/>
  <c r="G159" i="6"/>
  <c r="I159" i="6" s="1"/>
  <c r="J159" i="6"/>
  <c r="K159" i="6"/>
  <c r="L159" i="6"/>
  <c r="M159" i="6" a="1"/>
  <c r="M159" i="6"/>
  <c r="N159" i="6" a="1"/>
  <c r="N159" i="6"/>
  <c r="O159" i="6"/>
  <c r="P159" i="6"/>
  <c r="Q159" i="6"/>
  <c r="R159" i="6"/>
  <c r="AB159" i="6" s="1"/>
  <c r="B160" i="6"/>
  <c r="C160" i="6"/>
  <c r="G160" i="6"/>
  <c r="I160" i="6"/>
  <c r="K160" i="6"/>
  <c r="L160" i="6"/>
  <c r="M160" i="6" a="1"/>
  <c r="M160" i="6"/>
  <c r="N160" i="6" a="1"/>
  <c r="N160" i="6" s="1"/>
  <c r="S160" i="6" s="1"/>
  <c r="O160" i="6"/>
  <c r="P160" i="6"/>
  <c r="Q160" i="6"/>
  <c r="R160" i="6"/>
  <c r="AB160" i="6" s="1"/>
  <c r="B161" i="6"/>
  <c r="C161" i="6"/>
  <c r="G161" i="6"/>
  <c r="H161" i="6" s="1"/>
  <c r="K161" i="6"/>
  <c r="L161" i="6"/>
  <c r="M161" i="6" a="1"/>
  <c r="M161" i="6"/>
  <c r="N161" i="6" a="1"/>
  <c r="N161" i="6"/>
  <c r="O161" i="6"/>
  <c r="P161" i="6"/>
  <c r="Q161" i="6"/>
  <c r="R161" i="6"/>
  <c r="B162" i="6"/>
  <c r="C162" i="6"/>
  <c r="G162" i="6"/>
  <c r="I162" i="6" s="1"/>
  <c r="K162" i="6"/>
  <c r="L162" i="6"/>
  <c r="M162" i="6" a="1"/>
  <c r="M162" i="6"/>
  <c r="N162" i="6" a="1"/>
  <c r="N162" i="6" s="1"/>
  <c r="O162" i="6"/>
  <c r="P162" i="6"/>
  <c r="Q162" i="6"/>
  <c r="R162" i="6"/>
  <c r="B163" i="6"/>
  <c r="C163" i="6"/>
  <c r="G163" i="6"/>
  <c r="J163" i="6" s="1"/>
  <c r="K163" i="6"/>
  <c r="L163" i="6"/>
  <c r="M163" i="6" a="1"/>
  <c r="M163" i="6"/>
  <c r="N163" i="6" a="1"/>
  <c r="N163" i="6" s="1"/>
  <c r="S163" i="6" s="1"/>
  <c r="O163" i="6"/>
  <c r="P163" i="6"/>
  <c r="Q163" i="6"/>
  <c r="R163" i="6"/>
  <c r="AB163" i="6" s="1"/>
  <c r="B164" i="6"/>
  <c r="C164" i="6"/>
  <c r="G164" i="6"/>
  <c r="I164" i="6" s="1"/>
  <c r="K164" i="6"/>
  <c r="L164" i="6"/>
  <c r="M164" i="6" a="1"/>
  <c r="M164" i="6"/>
  <c r="N164" i="6" a="1"/>
  <c r="N164" i="6"/>
  <c r="O164" i="6"/>
  <c r="P164" i="6"/>
  <c r="Q164" i="6"/>
  <c r="R164" i="6"/>
  <c r="B165" i="6"/>
  <c r="C165" i="6"/>
  <c r="G165" i="6"/>
  <c r="K165" i="6"/>
  <c r="L165" i="6"/>
  <c r="M165" i="6" a="1"/>
  <c r="M165" i="6"/>
  <c r="N165" i="6" a="1"/>
  <c r="N165" i="6"/>
  <c r="S165" i="6" s="1"/>
  <c r="O165" i="6"/>
  <c r="P165" i="6"/>
  <c r="Q165" i="6"/>
  <c r="R165" i="6"/>
  <c r="AB165" i="6" s="1"/>
  <c r="B166" i="6"/>
  <c r="C166" i="6"/>
  <c r="G166" i="6"/>
  <c r="H166" i="6" s="1"/>
  <c r="I166" i="6"/>
  <c r="K166" i="6"/>
  <c r="L166" i="6"/>
  <c r="M166" i="6" a="1"/>
  <c r="M166" i="6"/>
  <c r="N166" i="6" a="1"/>
  <c r="N166" i="6" s="1"/>
  <c r="O166" i="6"/>
  <c r="P166" i="6"/>
  <c r="Q166" i="6"/>
  <c r="R166" i="6"/>
  <c r="AB166" i="6" s="1"/>
  <c r="S166" i="6"/>
  <c r="B167" i="6"/>
  <c r="C167" i="6"/>
  <c r="G167" i="6"/>
  <c r="E167" i="6" s="1"/>
  <c r="K167" i="6"/>
  <c r="L167" i="6"/>
  <c r="M167" i="6" a="1"/>
  <c r="M167" i="6"/>
  <c r="N167" i="6" a="1"/>
  <c r="N167" i="6"/>
  <c r="O167" i="6"/>
  <c r="P167" i="6"/>
  <c r="Q167" i="6"/>
  <c r="R167" i="6"/>
  <c r="B168" i="6"/>
  <c r="C168" i="6"/>
  <c r="G168" i="6"/>
  <c r="I168" i="6" s="1"/>
  <c r="K168" i="6"/>
  <c r="L168" i="6"/>
  <c r="M168" i="6" a="1"/>
  <c r="M168" i="6"/>
  <c r="N168" i="6" a="1"/>
  <c r="N168" i="6" s="1"/>
  <c r="O168" i="6"/>
  <c r="P168" i="6"/>
  <c r="Q168" i="6"/>
  <c r="R168" i="6"/>
  <c r="B169" i="6"/>
  <c r="C169" i="6"/>
  <c r="G169" i="6"/>
  <c r="J169" i="6" s="1"/>
  <c r="K169" i="6"/>
  <c r="L169" i="6"/>
  <c r="M169" i="6" a="1"/>
  <c r="M169" i="6"/>
  <c r="N169" i="6" a="1"/>
  <c r="N169" i="6" s="1"/>
  <c r="S169" i="6" s="1"/>
  <c r="O169" i="6"/>
  <c r="P169" i="6"/>
  <c r="Q169" i="6"/>
  <c r="R169" i="6"/>
  <c r="AB169" i="6" s="1"/>
  <c r="B170" i="6"/>
  <c r="C170" i="6"/>
  <c r="G170" i="6"/>
  <c r="E170" i="6" s="1"/>
  <c r="K170" i="6"/>
  <c r="L170" i="6"/>
  <c r="M170" i="6" a="1"/>
  <c r="M170" i="6"/>
  <c r="N170" i="6" a="1"/>
  <c r="N170" i="6"/>
  <c r="O170" i="6"/>
  <c r="P170" i="6"/>
  <c r="Q170" i="6"/>
  <c r="R170" i="6"/>
  <c r="B171" i="6"/>
  <c r="C171" i="6"/>
  <c r="G171" i="6"/>
  <c r="H171" i="6"/>
  <c r="J171" i="6"/>
  <c r="K171" i="6"/>
  <c r="L171" i="6"/>
  <c r="M171" i="6" a="1"/>
  <c r="M171" i="6"/>
  <c r="N171" i="6" a="1"/>
  <c r="N171" i="6"/>
  <c r="S171" i="6" s="1"/>
  <c r="O171" i="6"/>
  <c r="P171" i="6"/>
  <c r="Q171" i="6"/>
  <c r="R171" i="6"/>
  <c r="AB171" i="6" s="1"/>
  <c r="B172" i="6"/>
  <c r="C172" i="6"/>
  <c r="G172" i="6"/>
  <c r="I172" i="6" s="1"/>
  <c r="K172" i="6"/>
  <c r="L172" i="6"/>
  <c r="M172" i="6" a="1"/>
  <c r="M172" i="6"/>
  <c r="N172" i="6" a="1"/>
  <c r="N172" i="6"/>
  <c r="S172" i="6" s="1"/>
  <c r="O172" i="6"/>
  <c r="P172" i="6"/>
  <c r="Q172" i="6"/>
  <c r="R172" i="6"/>
  <c r="AB172" i="6" s="1"/>
  <c r="B173" i="6"/>
  <c r="C173" i="6"/>
  <c r="G173" i="6"/>
  <c r="J173" i="6" s="1"/>
  <c r="K173" i="6"/>
  <c r="L173" i="6"/>
  <c r="M173" i="6" a="1"/>
  <c r="M173" i="6"/>
  <c r="N173" i="6" a="1"/>
  <c r="N173" i="6"/>
  <c r="O173" i="6"/>
  <c r="P173" i="6"/>
  <c r="Q173" i="6"/>
  <c r="R173" i="6"/>
  <c r="B174" i="6"/>
  <c r="C174" i="6"/>
  <c r="G174" i="6"/>
  <c r="H174" i="6" s="1"/>
  <c r="K174" i="6"/>
  <c r="L174" i="6"/>
  <c r="M174" i="6" a="1"/>
  <c r="M174" i="6"/>
  <c r="N174" i="6" a="1"/>
  <c r="N174" i="6" s="1"/>
  <c r="O174" i="6"/>
  <c r="S174" i="6" s="1"/>
  <c r="P174" i="6"/>
  <c r="Q174" i="6"/>
  <c r="R174" i="6"/>
  <c r="AB174" i="6" s="1"/>
  <c r="B175" i="6"/>
  <c r="C175" i="6"/>
  <c r="G175" i="6"/>
  <c r="I175" i="6" s="1"/>
  <c r="K175" i="6"/>
  <c r="L175" i="6"/>
  <c r="M175" i="6" a="1"/>
  <c r="M175" i="6"/>
  <c r="N175" i="6" a="1"/>
  <c r="N175" i="6"/>
  <c r="O175" i="6"/>
  <c r="P175" i="6"/>
  <c r="Q175" i="6"/>
  <c r="R175" i="6"/>
  <c r="B176" i="6"/>
  <c r="C176" i="6"/>
  <c r="G176" i="6"/>
  <c r="E176" i="6" s="1"/>
  <c r="K176" i="6"/>
  <c r="L176" i="6"/>
  <c r="M176" i="6" a="1"/>
  <c r="M176" i="6"/>
  <c r="N176" i="6" a="1"/>
  <c r="N176" i="6"/>
  <c r="O176" i="6"/>
  <c r="P176" i="6"/>
  <c r="Q176" i="6"/>
  <c r="R176" i="6"/>
  <c r="B177" i="6"/>
  <c r="C177" i="6"/>
  <c r="G177" i="6"/>
  <c r="I177" i="6" s="1"/>
  <c r="K177" i="6"/>
  <c r="L177" i="6"/>
  <c r="M177" i="6" a="1"/>
  <c r="M177" i="6"/>
  <c r="N177" i="6" a="1"/>
  <c r="N177" i="6" s="1"/>
  <c r="O177" i="6"/>
  <c r="P177" i="6"/>
  <c r="Q177" i="6"/>
  <c r="R177" i="6"/>
  <c r="AB177" i="6" s="1"/>
  <c r="S177" i="6"/>
  <c r="B178" i="6"/>
  <c r="C178" i="6"/>
  <c r="G178" i="6"/>
  <c r="H178" i="6" s="1"/>
  <c r="I178" i="6"/>
  <c r="J178" i="6"/>
  <c r="K178" i="6"/>
  <c r="L178" i="6"/>
  <c r="M178" i="6" a="1"/>
  <c r="M178" i="6"/>
  <c r="N178" i="6" a="1"/>
  <c r="N178" i="6"/>
  <c r="S178" i="6" s="1"/>
  <c r="O178" i="6"/>
  <c r="P178" i="6"/>
  <c r="Q178" i="6"/>
  <c r="R178" i="6"/>
  <c r="AB178" i="6" s="1"/>
  <c r="B179" i="6"/>
  <c r="C179" i="6"/>
  <c r="G179" i="6"/>
  <c r="I179" i="6" s="1"/>
  <c r="K179" i="6"/>
  <c r="L179" i="6"/>
  <c r="M179" i="6" a="1"/>
  <c r="M179" i="6"/>
  <c r="N179" i="6" a="1"/>
  <c r="N179" i="6"/>
  <c r="O179" i="6"/>
  <c r="P179" i="6"/>
  <c r="Q179" i="6"/>
  <c r="R179" i="6"/>
  <c r="B180" i="6"/>
  <c r="C180" i="6"/>
  <c r="G180" i="6"/>
  <c r="J180" i="6" s="1"/>
  <c r="I180" i="6"/>
  <c r="K180" i="6"/>
  <c r="L180" i="6"/>
  <c r="M180" i="6" a="1"/>
  <c r="M180" i="6"/>
  <c r="N180" i="6" a="1"/>
  <c r="N180" i="6" s="1"/>
  <c r="O180" i="6"/>
  <c r="P180" i="6"/>
  <c r="S180" i="6" s="1"/>
  <c r="Q180" i="6"/>
  <c r="R180" i="6"/>
  <c r="AB180" i="6" s="1"/>
  <c r="B181" i="6"/>
  <c r="C181" i="6"/>
  <c r="G181" i="6"/>
  <c r="J181" i="6" s="1"/>
  <c r="K181" i="6"/>
  <c r="L181" i="6"/>
  <c r="M181" i="6" a="1"/>
  <c r="M181" i="6"/>
  <c r="N181" i="6" a="1"/>
  <c r="N181" i="6" s="1"/>
  <c r="O181" i="6"/>
  <c r="P181" i="6"/>
  <c r="Q181" i="6"/>
  <c r="R181" i="6"/>
  <c r="B182" i="6"/>
  <c r="C182" i="6"/>
  <c r="G182" i="6"/>
  <c r="J182" i="6" s="1"/>
  <c r="K182" i="6"/>
  <c r="L182" i="6"/>
  <c r="M182" i="6" a="1"/>
  <c r="M182" i="6"/>
  <c r="N182" i="6" a="1"/>
  <c r="N182" i="6"/>
  <c r="O182" i="6"/>
  <c r="P182" i="6"/>
  <c r="Q182" i="6"/>
  <c r="R182" i="6"/>
  <c r="B183" i="6"/>
  <c r="C183" i="6"/>
  <c r="G183" i="6"/>
  <c r="H183" i="6" s="1"/>
  <c r="K183" i="6"/>
  <c r="L183" i="6"/>
  <c r="M183" i="6" a="1"/>
  <c r="M183" i="6"/>
  <c r="N183" i="6" a="1"/>
  <c r="N183" i="6" s="1"/>
  <c r="O183" i="6"/>
  <c r="P183" i="6"/>
  <c r="Q183" i="6"/>
  <c r="R183" i="6"/>
  <c r="B184" i="6"/>
  <c r="C184" i="6"/>
  <c r="G184" i="6"/>
  <c r="K184" i="6"/>
  <c r="L184" i="6"/>
  <c r="M184" i="6" a="1"/>
  <c r="M184" i="6"/>
  <c r="N184" i="6" a="1"/>
  <c r="N184" i="6" s="1"/>
  <c r="O184" i="6"/>
  <c r="P184" i="6"/>
  <c r="Q184" i="6"/>
  <c r="R184" i="6"/>
  <c r="AB184" i="6" s="1"/>
  <c r="S184" i="6"/>
  <c r="B185" i="6"/>
  <c r="C185" i="6"/>
  <c r="G185" i="6"/>
  <c r="I185" i="6" s="1"/>
  <c r="K185" i="6"/>
  <c r="L185" i="6"/>
  <c r="M185" i="6" a="1"/>
  <c r="M185" i="6"/>
  <c r="N185" i="6" a="1"/>
  <c r="N185" i="6"/>
  <c r="O185" i="6"/>
  <c r="P185" i="6"/>
  <c r="Q185" i="6"/>
  <c r="R185" i="6"/>
  <c r="B186" i="6"/>
  <c r="C186" i="6"/>
  <c r="G186" i="6"/>
  <c r="E186" i="6" s="1"/>
  <c r="I186" i="6"/>
  <c r="K186" i="6"/>
  <c r="L186" i="6"/>
  <c r="M186" i="6" a="1"/>
  <c r="M186" i="6"/>
  <c r="N186" i="6" a="1"/>
  <c r="N186" i="6" s="1"/>
  <c r="O186" i="6"/>
  <c r="P186" i="6"/>
  <c r="Q186" i="6"/>
  <c r="R186" i="6"/>
  <c r="B187" i="6"/>
  <c r="C187" i="6"/>
  <c r="G187" i="6"/>
  <c r="I187" i="6" s="1"/>
  <c r="K187" i="6"/>
  <c r="L187" i="6"/>
  <c r="M187" i="6" a="1"/>
  <c r="M187" i="6"/>
  <c r="N187" i="6" a="1"/>
  <c r="N187" i="6"/>
  <c r="O187" i="6"/>
  <c r="P187" i="6"/>
  <c r="Q187" i="6"/>
  <c r="R187" i="6"/>
  <c r="B188" i="6"/>
  <c r="C188" i="6"/>
  <c r="G188" i="6"/>
  <c r="I188" i="6" s="1"/>
  <c r="K188" i="6"/>
  <c r="L188" i="6"/>
  <c r="M188" i="6" a="1"/>
  <c r="M188" i="6"/>
  <c r="N188" i="6" a="1"/>
  <c r="N188" i="6"/>
  <c r="O188" i="6"/>
  <c r="P188" i="6"/>
  <c r="Q188" i="6"/>
  <c r="R188" i="6"/>
  <c r="B189" i="6"/>
  <c r="C189" i="6"/>
  <c r="G189" i="6"/>
  <c r="I189" i="6" s="1"/>
  <c r="K189" i="6"/>
  <c r="L189" i="6"/>
  <c r="M189" i="6" a="1"/>
  <c r="M189" i="6"/>
  <c r="N189" i="6" a="1"/>
  <c r="N189" i="6"/>
  <c r="O189" i="6"/>
  <c r="P189" i="6"/>
  <c r="Q189" i="6"/>
  <c r="R189" i="6"/>
  <c r="B190" i="6"/>
  <c r="C190" i="6"/>
  <c r="G190" i="6"/>
  <c r="E190" i="6" s="1"/>
  <c r="H190" i="6"/>
  <c r="K190" i="6"/>
  <c r="L190" i="6"/>
  <c r="M190" i="6" a="1"/>
  <c r="M190" i="6"/>
  <c r="N190" i="6" a="1"/>
  <c r="N190" i="6" s="1"/>
  <c r="O190" i="6"/>
  <c r="P190" i="6"/>
  <c r="Q190" i="6"/>
  <c r="R190" i="6"/>
  <c r="AB190" i="6" s="1"/>
  <c r="S190" i="6"/>
  <c r="B191" i="6"/>
  <c r="C191" i="6"/>
  <c r="G191" i="6"/>
  <c r="I191" i="6" s="1"/>
  <c r="K191" i="6"/>
  <c r="L191" i="6"/>
  <c r="M191" i="6" a="1"/>
  <c r="M191" i="6"/>
  <c r="N191" i="6" a="1"/>
  <c r="N191" i="6"/>
  <c r="O191" i="6"/>
  <c r="P191" i="6"/>
  <c r="Q191" i="6"/>
  <c r="R191" i="6"/>
  <c r="B192" i="6"/>
  <c r="C192" i="6"/>
  <c r="G192" i="6"/>
  <c r="I192" i="6" s="1"/>
  <c r="K192" i="6"/>
  <c r="L192" i="6"/>
  <c r="M192" i="6" a="1"/>
  <c r="M192" i="6"/>
  <c r="N192" i="6" a="1"/>
  <c r="N192" i="6" s="1"/>
  <c r="O192" i="6"/>
  <c r="P192" i="6"/>
  <c r="Q192" i="6"/>
  <c r="R192" i="6"/>
  <c r="AB192" i="6" s="1"/>
  <c r="S192" i="6"/>
  <c r="B193" i="6"/>
  <c r="C193" i="6"/>
  <c r="G193" i="6"/>
  <c r="I193" i="6" s="1"/>
  <c r="H193" i="6"/>
  <c r="K193" i="6"/>
  <c r="L193" i="6"/>
  <c r="M193" i="6" a="1"/>
  <c r="M193" i="6"/>
  <c r="N193" i="6" a="1"/>
  <c r="N193" i="6"/>
  <c r="S193" i="6" s="1"/>
  <c r="O193" i="6"/>
  <c r="P193" i="6"/>
  <c r="Q193" i="6"/>
  <c r="R193" i="6"/>
  <c r="AB193" i="6" s="1"/>
  <c r="B194" i="6"/>
  <c r="C194" i="6"/>
  <c r="G194" i="6"/>
  <c r="I194" i="6" s="1"/>
  <c r="K194" i="6"/>
  <c r="L194" i="6"/>
  <c r="M194" i="6" a="1"/>
  <c r="M194" i="6"/>
  <c r="N194" i="6" a="1"/>
  <c r="N194" i="6"/>
  <c r="O194" i="6"/>
  <c r="P194" i="6"/>
  <c r="Q194" i="6"/>
  <c r="R194" i="6"/>
  <c r="A195" i="6"/>
  <c r="B195" i="6"/>
  <c r="C195" i="6"/>
  <c r="G195" i="6"/>
  <c r="I195" i="6" s="1"/>
  <c r="K195" i="6"/>
  <c r="L195" i="6"/>
  <c r="M195" i="6" a="1"/>
  <c r="M195" i="6"/>
  <c r="N195" i="6" a="1"/>
  <c r="N195" i="6"/>
  <c r="S195" i="6" s="1"/>
  <c r="O195" i="6"/>
  <c r="P195" i="6"/>
  <c r="Q195" i="6"/>
  <c r="R195" i="6"/>
  <c r="AB195" i="6" s="1"/>
  <c r="B196" i="6"/>
  <c r="C196" i="6"/>
  <c r="G196" i="6"/>
  <c r="I196" i="6" s="1"/>
  <c r="H196" i="6"/>
  <c r="K196" i="6"/>
  <c r="L196" i="6"/>
  <c r="M196" i="6" a="1"/>
  <c r="M196" i="6"/>
  <c r="N196" i="6" a="1"/>
  <c r="N196" i="6" s="1"/>
  <c r="S196" i="6" s="1"/>
  <c r="O196" i="6"/>
  <c r="P196" i="6"/>
  <c r="Q196" i="6"/>
  <c r="R196" i="6"/>
  <c r="AB196" i="6" s="1"/>
  <c r="B197" i="6"/>
  <c r="C197" i="6"/>
  <c r="G197" i="6"/>
  <c r="I197" i="6" s="1"/>
  <c r="K197" i="6"/>
  <c r="L197" i="6"/>
  <c r="M197" i="6" a="1"/>
  <c r="M197" i="6"/>
  <c r="N197" i="6" a="1"/>
  <c r="N197" i="6"/>
  <c r="O197" i="6"/>
  <c r="P197" i="6"/>
  <c r="Q197" i="6"/>
  <c r="R197" i="6"/>
  <c r="B198" i="6"/>
  <c r="C198" i="6"/>
  <c r="G198" i="6"/>
  <c r="E198" i="6" s="1"/>
  <c r="I198" i="6"/>
  <c r="K198" i="6"/>
  <c r="L198" i="6"/>
  <c r="M198" i="6" a="1"/>
  <c r="M198" i="6"/>
  <c r="N198" i="6" a="1"/>
  <c r="N198" i="6" s="1"/>
  <c r="O198" i="6"/>
  <c r="P198" i="6"/>
  <c r="Q198" i="6"/>
  <c r="R198" i="6"/>
  <c r="B199" i="6"/>
  <c r="C199" i="6"/>
  <c r="G199" i="6"/>
  <c r="H199" i="6" s="1"/>
  <c r="K199" i="6"/>
  <c r="L199" i="6"/>
  <c r="M199" i="6" a="1"/>
  <c r="M199" i="6"/>
  <c r="N199" i="6" a="1"/>
  <c r="N199" i="6" s="1"/>
  <c r="O199" i="6"/>
  <c r="P199" i="6"/>
  <c r="Q199" i="6"/>
  <c r="R199" i="6"/>
  <c r="AB199" i="6" s="1"/>
  <c r="S199" i="6"/>
  <c r="B200" i="6"/>
  <c r="C200" i="6"/>
  <c r="G200" i="6"/>
  <c r="I200" i="6" s="1"/>
  <c r="K200" i="6"/>
  <c r="L200" i="6"/>
  <c r="M200" i="6" a="1"/>
  <c r="M200" i="6"/>
  <c r="N200" i="6" a="1"/>
  <c r="N200" i="6"/>
  <c r="O200" i="6"/>
  <c r="P200" i="6"/>
  <c r="Q200" i="6"/>
  <c r="R200" i="6"/>
  <c r="B201" i="6"/>
  <c r="C201" i="6"/>
  <c r="G201" i="6"/>
  <c r="J201" i="6" s="1"/>
  <c r="H201" i="6"/>
  <c r="I201" i="6"/>
  <c r="K201" i="6"/>
  <c r="L201" i="6"/>
  <c r="M201" i="6" a="1"/>
  <c r="M201" i="6"/>
  <c r="N201" i="6" a="1"/>
  <c r="N201" i="6" s="1"/>
  <c r="O201" i="6"/>
  <c r="P201" i="6"/>
  <c r="Q201" i="6"/>
  <c r="R201" i="6"/>
  <c r="AB201" i="6" s="1"/>
  <c r="S201" i="6"/>
  <c r="B202" i="6"/>
  <c r="C202" i="6"/>
  <c r="G202" i="6"/>
  <c r="H202" i="6" s="1"/>
  <c r="K202" i="6"/>
  <c r="L202" i="6"/>
  <c r="M202" i="6" a="1"/>
  <c r="M202" i="6"/>
  <c r="N202" i="6" a="1"/>
  <c r="N202" i="6"/>
  <c r="S202" i="6" s="1"/>
  <c r="O202" i="6"/>
  <c r="P202" i="6"/>
  <c r="Q202" i="6"/>
  <c r="R202" i="6"/>
  <c r="AB202" i="6" s="1"/>
  <c r="B203" i="6"/>
  <c r="C203" i="6"/>
  <c r="G203" i="6"/>
  <c r="E203" i="6" s="1"/>
  <c r="K203" i="6"/>
  <c r="L203" i="6"/>
  <c r="M203" i="6" a="1"/>
  <c r="M203" i="6"/>
  <c r="N203" i="6" a="1"/>
  <c r="N203" i="6"/>
  <c r="O203" i="6"/>
  <c r="P203" i="6"/>
  <c r="Q203" i="6"/>
  <c r="R203" i="6"/>
  <c r="B204" i="6"/>
  <c r="C204" i="6"/>
  <c r="G204" i="6"/>
  <c r="J204" i="6" s="1"/>
  <c r="I204" i="6"/>
  <c r="K204" i="6"/>
  <c r="L204" i="6"/>
  <c r="M204" i="6" a="1"/>
  <c r="M204" i="6"/>
  <c r="N204" i="6" a="1"/>
  <c r="N204" i="6" s="1"/>
  <c r="O204" i="6"/>
  <c r="S204" i="6" s="1"/>
  <c r="P204" i="6"/>
  <c r="Q204" i="6"/>
  <c r="R204" i="6"/>
  <c r="AB204" i="6" s="1"/>
  <c r="B205" i="6"/>
  <c r="C205" i="6"/>
  <c r="G205" i="6"/>
  <c r="E205" i="6" s="1"/>
  <c r="J205" i="6"/>
  <c r="K205" i="6"/>
  <c r="L205" i="6"/>
  <c r="M205" i="6" a="1"/>
  <c r="M205" i="6"/>
  <c r="N205" i="6" a="1"/>
  <c r="N205" i="6" s="1"/>
  <c r="O205" i="6"/>
  <c r="P205" i="6"/>
  <c r="Q205" i="6"/>
  <c r="R205" i="6"/>
  <c r="AB205" i="6" s="1"/>
  <c r="S205" i="6"/>
  <c r="A206" i="6"/>
  <c r="B206" i="6"/>
  <c r="C206" i="6"/>
  <c r="G206" i="6"/>
  <c r="K206" i="6"/>
  <c r="L206" i="6"/>
  <c r="M206" i="6" a="1"/>
  <c r="M206" i="6"/>
  <c r="N206" i="6" a="1"/>
  <c r="N206" i="6"/>
  <c r="O206" i="6"/>
  <c r="P206" i="6"/>
  <c r="Q206" i="6"/>
  <c r="R206" i="6"/>
  <c r="B207" i="6"/>
  <c r="C207" i="6"/>
  <c r="G207" i="6"/>
  <c r="H207" i="6" s="1"/>
  <c r="K207" i="6"/>
  <c r="L207" i="6"/>
  <c r="M207" i="6" a="1"/>
  <c r="M207" i="6"/>
  <c r="N207" i="6" a="1"/>
  <c r="N207" i="6"/>
  <c r="O207" i="6"/>
  <c r="P207" i="6"/>
  <c r="Q207" i="6"/>
  <c r="R207" i="6"/>
  <c r="B208" i="6"/>
  <c r="C208" i="6"/>
  <c r="G208" i="6"/>
  <c r="H208" i="6" s="1"/>
  <c r="K208" i="6"/>
  <c r="L208" i="6"/>
  <c r="M208" i="6" a="1"/>
  <c r="M208" i="6"/>
  <c r="N208" i="6" a="1"/>
  <c r="N208" i="6"/>
  <c r="S208" i="6" s="1"/>
  <c r="O208" i="6"/>
  <c r="P208" i="6"/>
  <c r="Q208" i="6"/>
  <c r="R208" i="6"/>
  <c r="AB208" i="6" s="1"/>
  <c r="A209" i="6"/>
  <c r="B209" i="6"/>
  <c r="C209" i="6"/>
  <c r="G209" i="6"/>
  <c r="I209" i="6" s="1"/>
  <c r="J209" i="6"/>
  <c r="K209" i="6"/>
  <c r="L209" i="6"/>
  <c r="M209" i="6" a="1"/>
  <c r="M209" i="6"/>
  <c r="N209" i="6" a="1"/>
  <c r="N209" i="6"/>
  <c r="O209" i="6"/>
  <c r="P209" i="6"/>
  <c r="Q209" i="6"/>
  <c r="R209" i="6"/>
  <c r="B210" i="6"/>
  <c r="C210" i="6"/>
  <c r="G210" i="6"/>
  <c r="I210" i="6" s="1"/>
  <c r="K210" i="6"/>
  <c r="L210" i="6"/>
  <c r="M210" i="6" a="1"/>
  <c r="M210" i="6"/>
  <c r="N210" i="6" a="1"/>
  <c r="N210" i="6" s="1"/>
  <c r="O210" i="6"/>
  <c r="P210" i="6"/>
  <c r="S210" i="6" s="1"/>
  <c r="Q210" i="6"/>
  <c r="R210" i="6"/>
  <c r="AB210" i="6" s="1"/>
  <c r="B211" i="6"/>
  <c r="C211" i="6"/>
  <c r="G211" i="6"/>
  <c r="K211" i="6"/>
  <c r="L211" i="6"/>
  <c r="M211" i="6" a="1"/>
  <c r="M211" i="6"/>
  <c r="N211" i="6" a="1"/>
  <c r="N211" i="6" s="1"/>
  <c r="O211" i="6"/>
  <c r="P211" i="6"/>
  <c r="Q211" i="6"/>
  <c r="R211" i="6"/>
  <c r="B212" i="6"/>
  <c r="C212" i="6"/>
  <c r="G212" i="6"/>
  <c r="J212" i="6" s="1"/>
  <c r="K212" i="6"/>
  <c r="L212" i="6"/>
  <c r="M212" i="6" a="1"/>
  <c r="M212" i="6"/>
  <c r="N212" i="6" a="1"/>
  <c r="N212" i="6"/>
  <c r="O212" i="6"/>
  <c r="P212" i="6"/>
  <c r="Q212" i="6"/>
  <c r="R212" i="6"/>
  <c r="B213" i="6"/>
  <c r="C213" i="6"/>
  <c r="G213" i="6"/>
  <c r="H213" i="6"/>
  <c r="K213" i="6"/>
  <c r="L213" i="6"/>
  <c r="M213" i="6" a="1"/>
  <c r="M213" i="6"/>
  <c r="N213" i="6" a="1"/>
  <c r="N213" i="6" s="1"/>
  <c r="O213" i="6"/>
  <c r="P213" i="6"/>
  <c r="Q213" i="6"/>
  <c r="R213" i="6"/>
  <c r="B214" i="6"/>
  <c r="C214" i="6"/>
  <c r="G214" i="6"/>
  <c r="H214" i="6" s="1"/>
  <c r="K214" i="6"/>
  <c r="L214" i="6"/>
  <c r="M214" i="6" a="1"/>
  <c r="M214" i="6"/>
  <c r="N214" i="6" a="1"/>
  <c r="N214" i="6" s="1"/>
  <c r="S214" i="6" s="1"/>
  <c r="O214" i="6"/>
  <c r="P214" i="6"/>
  <c r="Q214" i="6"/>
  <c r="R214" i="6"/>
  <c r="AB214" i="6" s="1"/>
  <c r="B215" i="6"/>
  <c r="C215" i="6"/>
  <c r="G215" i="6"/>
  <c r="K215" i="6"/>
  <c r="L215" i="6"/>
  <c r="M215" i="6" a="1"/>
  <c r="M215" i="6"/>
  <c r="N215" i="6" a="1"/>
  <c r="N215" i="6"/>
  <c r="O215" i="6"/>
  <c r="P215" i="6"/>
  <c r="Q215" i="6"/>
  <c r="R215" i="6"/>
  <c r="B216" i="6"/>
  <c r="C216" i="6"/>
  <c r="G216" i="6"/>
  <c r="E216" i="6" s="1"/>
  <c r="I216" i="6"/>
  <c r="K216" i="6"/>
  <c r="L216" i="6"/>
  <c r="M216" i="6" a="1"/>
  <c r="M216" i="6"/>
  <c r="N216" i="6" a="1"/>
  <c r="N216" i="6" s="1"/>
  <c r="O216" i="6"/>
  <c r="P216" i="6"/>
  <c r="Q216" i="6"/>
  <c r="R216" i="6"/>
  <c r="B217" i="6"/>
  <c r="C217" i="6"/>
  <c r="G217" i="6"/>
  <c r="E217" i="6" s="1"/>
  <c r="K217" i="6"/>
  <c r="L217" i="6"/>
  <c r="M217" i="6" a="1"/>
  <c r="M217" i="6"/>
  <c r="N217" i="6" a="1"/>
  <c r="N217" i="6"/>
  <c r="O217" i="6"/>
  <c r="P217" i="6"/>
  <c r="Q217" i="6"/>
  <c r="R217" i="6"/>
  <c r="B218" i="6"/>
  <c r="C218" i="6"/>
  <c r="G218" i="6"/>
  <c r="E218" i="6" s="1"/>
  <c r="K218" i="6"/>
  <c r="L218" i="6"/>
  <c r="M218" i="6" a="1"/>
  <c r="M218" i="6"/>
  <c r="N218" i="6" a="1"/>
  <c r="N218" i="6"/>
  <c r="O218" i="6"/>
  <c r="P218" i="6"/>
  <c r="Q218" i="6"/>
  <c r="R218" i="6"/>
  <c r="A219" i="6"/>
  <c r="B219" i="6"/>
  <c r="C219" i="6"/>
  <c r="G219" i="6"/>
  <c r="E219" i="6" s="1"/>
  <c r="K219" i="6"/>
  <c r="L219" i="6"/>
  <c r="M219" i="6" a="1"/>
  <c r="M219" i="6"/>
  <c r="N219" i="6" a="1"/>
  <c r="N219" i="6"/>
  <c r="O219" i="6"/>
  <c r="P219" i="6"/>
  <c r="Q219" i="6"/>
  <c r="R219" i="6"/>
  <c r="B220" i="6"/>
  <c r="C220" i="6"/>
  <c r="G220" i="6"/>
  <c r="I220" i="6" s="1"/>
  <c r="K220" i="6"/>
  <c r="L220" i="6"/>
  <c r="M220" i="6" a="1"/>
  <c r="M220" i="6"/>
  <c r="N220" i="6" a="1"/>
  <c r="N220" i="6"/>
  <c r="S220" i="6" s="1"/>
  <c r="O220" i="6"/>
  <c r="P220" i="6"/>
  <c r="Q220" i="6"/>
  <c r="R220" i="6"/>
  <c r="AB220" i="6" s="1"/>
  <c r="B221" i="6"/>
  <c r="C221" i="6"/>
  <c r="G221" i="6"/>
  <c r="H221" i="6" s="1"/>
  <c r="I221" i="6"/>
  <c r="J221" i="6"/>
  <c r="K221" i="6"/>
  <c r="L221" i="6"/>
  <c r="M221" i="6" a="1"/>
  <c r="M221" i="6"/>
  <c r="N221" i="6" a="1"/>
  <c r="N221" i="6"/>
  <c r="O221" i="6"/>
  <c r="P221" i="6"/>
  <c r="Q221" i="6"/>
  <c r="R221" i="6"/>
  <c r="B222" i="6"/>
  <c r="C222" i="6"/>
  <c r="G222" i="6"/>
  <c r="I222" i="6" s="1"/>
  <c r="K222" i="6"/>
  <c r="L222" i="6"/>
  <c r="M222" i="6" a="1"/>
  <c r="M222" i="6"/>
  <c r="N222" i="6" a="1"/>
  <c r="N222" i="6" s="1"/>
  <c r="O222" i="6"/>
  <c r="P222" i="6"/>
  <c r="Q222" i="6"/>
  <c r="R222" i="6"/>
  <c r="AB222" i="6" s="1"/>
  <c r="S222" i="6"/>
  <c r="B223" i="6"/>
  <c r="C223" i="6"/>
  <c r="G223" i="6"/>
  <c r="J223" i="6" s="1"/>
  <c r="K223" i="6"/>
  <c r="L223" i="6"/>
  <c r="M223" i="6" a="1"/>
  <c r="M223" i="6"/>
  <c r="N223" i="6" a="1"/>
  <c r="N223" i="6"/>
  <c r="S223" i="6" s="1"/>
  <c r="O223" i="6"/>
  <c r="P223" i="6"/>
  <c r="Q223" i="6"/>
  <c r="R223" i="6"/>
  <c r="AB223" i="6" s="1"/>
  <c r="B224" i="6"/>
  <c r="C224" i="6"/>
  <c r="G224" i="6"/>
  <c r="J224" i="6" s="1"/>
  <c r="K224" i="6"/>
  <c r="L224" i="6"/>
  <c r="M224" i="6" a="1"/>
  <c r="M224" i="6"/>
  <c r="N224" i="6" a="1"/>
  <c r="N224" i="6"/>
  <c r="O224" i="6"/>
  <c r="P224" i="6"/>
  <c r="Q224" i="6"/>
  <c r="R224" i="6"/>
  <c r="B225" i="6"/>
  <c r="C225" i="6"/>
  <c r="G225" i="6"/>
  <c r="E225" i="6" s="1"/>
  <c r="H225" i="6"/>
  <c r="I225" i="6"/>
  <c r="J225" i="6"/>
  <c r="K225" i="6"/>
  <c r="L225" i="6"/>
  <c r="M225" i="6" a="1"/>
  <c r="M225" i="6"/>
  <c r="N225" i="6" a="1"/>
  <c r="N225" i="6"/>
  <c r="O225" i="6"/>
  <c r="P225" i="6"/>
  <c r="Q225" i="6"/>
  <c r="R225" i="6"/>
  <c r="AB225" i="6" s="1"/>
  <c r="B226" i="6"/>
  <c r="C226" i="6"/>
  <c r="G226" i="6"/>
  <c r="H226" i="6" s="1"/>
  <c r="K226" i="6"/>
  <c r="L226" i="6"/>
  <c r="M226" i="6" a="1"/>
  <c r="M226" i="6"/>
  <c r="N226" i="6" a="1"/>
  <c r="N226" i="6" s="1"/>
  <c r="O226" i="6"/>
  <c r="P226" i="6"/>
  <c r="Q226" i="6"/>
  <c r="R226" i="6"/>
  <c r="AB226" i="6" s="1"/>
  <c r="S226" i="6"/>
  <c r="B227" i="6"/>
  <c r="C227" i="6"/>
  <c r="G227" i="6"/>
  <c r="H227" i="6" s="1"/>
  <c r="K227" i="6"/>
  <c r="L227" i="6"/>
  <c r="M227" i="6" a="1"/>
  <c r="M227" i="6"/>
  <c r="N227" i="6" a="1"/>
  <c r="N227" i="6"/>
  <c r="O227" i="6"/>
  <c r="P227" i="6"/>
  <c r="Q227" i="6"/>
  <c r="R227" i="6"/>
  <c r="B228" i="6"/>
  <c r="C228" i="6"/>
  <c r="G228" i="6"/>
  <c r="I228" i="6" s="1"/>
  <c r="H228" i="6"/>
  <c r="K228" i="6"/>
  <c r="L228" i="6"/>
  <c r="M228" i="6" a="1"/>
  <c r="M228" i="6"/>
  <c r="N228" i="6" a="1"/>
  <c r="N228" i="6" s="1"/>
  <c r="O228" i="6"/>
  <c r="P228" i="6"/>
  <c r="Q228" i="6"/>
  <c r="R228" i="6"/>
  <c r="AB228" i="6" s="1"/>
  <c r="S228" i="6"/>
  <c r="B229" i="6"/>
  <c r="C229" i="6"/>
  <c r="G229" i="6"/>
  <c r="J229" i="6" s="1"/>
  <c r="K229" i="6"/>
  <c r="L229" i="6"/>
  <c r="M229" i="6" a="1"/>
  <c r="M229" i="6"/>
  <c r="N229" i="6" a="1"/>
  <c r="N229" i="6"/>
  <c r="S229" i="6" s="1"/>
  <c r="O229" i="6"/>
  <c r="P229" i="6"/>
  <c r="Q229" i="6"/>
  <c r="R229" i="6"/>
  <c r="AB229" i="6" s="1"/>
  <c r="B230" i="6"/>
  <c r="C230" i="6"/>
  <c r="G230" i="6"/>
  <c r="H230" i="6" s="1"/>
  <c r="K230" i="6"/>
  <c r="L230" i="6"/>
  <c r="M230" i="6" a="1"/>
  <c r="M230" i="6"/>
  <c r="N230" i="6" a="1"/>
  <c r="N230" i="6"/>
  <c r="O230" i="6"/>
  <c r="P230" i="6"/>
  <c r="Q230" i="6"/>
  <c r="R230" i="6"/>
  <c r="A231" i="6"/>
  <c r="B231" i="6"/>
  <c r="C231" i="6"/>
  <c r="G231" i="6"/>
  <c r="H231" i="6" s="1"/>
  <c r="K231" i="6"/>
  <c r="L231" i="6"/>
  <c r="M231" i="6" a="1"/>
  <c r="M231" i="6"/>
  <c r="N231" i="6" a="1"/>
  <c r="N231" i="6"/>
  <c r="O231" i="6"/>
  <c r="P231" i="6"/>
  <c r="Q231" i="6"/>
  <c r="R231" i="6"/>
  <c r="AB231" i="6" s="1"/>
  <c r="B232" i="6"/>
  <c r="C232" i="6"/>
  <c r="G232" i="6"/>
  <c r="E232" i="6" s="1"/>
  <c r="K232" i="6"/>
  <c r="L232" i="6"/>
  <c r="M232" i="6" a="1"/>
  <c r="M232" i="6"/>
  <c r="N232" i="6" a="1"/>
  <c r="N232" i="6" s="1"/>
  <c r="S232" i="6" s="1"/>
  <c r="O232" i="6"/>
  <c r="P232" i="6"/>
  <c r="Q232" i="6"/>
  <c r="R232" i="6"/>
  <c r="AB232" i="6" s="1"/>
  <c r="B233" i="6"/>
  <c r="C233" i="6"/>
  <c r="G233" i="6"/>
  <c r="J233" i="6"/>
  <c r="K233" i="6"/>
  <c r="L233" i="6"/>
  <c r="M233" i="6" a="1"/>
  <c r="M233" i="6"/>
  <c r="N233" i="6" a="1"/>
  <c r="N233" i="6"/>
  <c r="O233" i="6"/>
  <c r="P233" i="6"/>
  <c r="Q233" i="6"/>
  <c r="R233" i="6"/>
  <c r="B234" i="6"/>
  <c r="C234" i="6"/>
  <c r="G234" i="6"/>
  <c r="J234" i="6" s="1"/>
  <c r="K234" i="6"/>
  <c r="L234" i="6"/>
  <c r="M234" i="6" a="1"/>
  <c r="M234" i="6"/>
  <c r="N234" i="6" a="1"/>
  <c r="N234" i="6" s="1"/>
  <c r="O234" i="6"/>
  <c r="P234" i="6"/>
  <c r="Q234" i="6"/>
  <c r="R234" i="6"/>
  <c r="B235" i="6"/>
  <c r="C235" i="6"/>
  <c r="G235" i="6"/>
  <c r="I235" i="6" s="1"/>
  <c r="K235" i="6"/>
  <c r="L235" i="6"/>
  <c r="M235" i="6" a="1"/>
  <c r="M235" i="6"/>
  <c r="N235" i="6" a="1"/>
  <c r="N235" i="6" s="1"/>
  <c r="O235" i="6"/>
  <c r="P235" i="6"/>
  <c r="Q235" i="6"/>
  <c r="R235" i="6"/>
  <c r="AB235" i="6" s="1"/>
  <c r="S235" i="6"/>
  <c r="B236" i="6"/>
  <c r="C236" i="6"/>
  <c r="G236" i="6"/>
  <c r="J236" i="6"/>
  <c r="K236" i="6"/>
  <c r="L236" i="6"/>
  <c r="M236" i="6" a="1"/>
  <c r="M236" i="6"/>
  <c r="N236" i="6" a="1"/>
  <c r="N236" i="6"/>
  <c r="O236" i="6"/>
  <c r="P236" i="6"/>
  <c r="Q236" i="6"/>
  <c r="R236" i="6"/>
  <c r="B237" i="6"/>
  <c r="C237" i="6"/>
  <c r="G237" i="6"/>
  <c r="H237" i="6" s="1"/>
  <c r="K237" i="6"/>
  <c r="L237" i="6"/>
  <c r="M237" i="6" a="1"/>
  <c r="M237" i="6"/>
  <c r="N237" i="6" a="1"/>
  <c r="N237" i="6" s="1"/>
  <c r="O237" i="6"/>
  <c r="P237" i="6"/>
  <c r="Q237" i="6"/>
  <c r="R237" i="6"/>
  <c r="AB237" i="6" s="1"/>
  <c r="S237" i="6"/>
  <c r="B238" i="6"/>
  <c r="C238" i="6"/>
  <c r="G238" i="6"/>
  <c r="K238" i="6"/>
  <c r="L238" i="6"/>
  <c r="M238" i="6" a="1"/>
  <c r="M238" i="6"/>
  <c r="N238" i="6" a="1"/>
  <c r="N238" i="6"/>
  <c r="S238" i="6" s="1"/>
  <c r="O238" i="6"/>
  <c r="P238" i="6"/>
  <c r="Q238" i="6"/>
  <c r="R238" i="6"/>
  <c r="AB238" i="6" s="1"/>
  <c r="B239" i="6"/>
  <c r="C239" i="6"/>
  <c r="G239" i="6"/>
  <c r="E239" i="6" s="1"/>
  <c r="J239" i="6"/>
  <c r="K239" i="6"/>
  <c r="L239" i="6"/>
  <c r="M239" i="6" a="1"/>
  <c r="M239" i="6"/>
  <c r="N239" i="6" a="1"/>
  <c r="N239" i="6"/>
  <c r="O239" i="6"/>
  <c r="P239" i="6"/>
  <c r="Q239" i="6"/>
  <c r="R239" i="6"/>
  <c r="B240" i="6"/>
  <c r="C240" i="6"/>
  <c r="G240" i="6"/>
  <c r="H240" i="6" s="1"/>
  <c r="K240" i="6"/>
  <c r="L240" i="6"/>
  <c r="M240" i="6" a="1"/>
  <c r="M240" i="6"/>
  <c r="N240" i="6" a="1"/>
  <c r="N240" i="6" s="1"/>
  <c r="O240" i="6"/>
  <c r="S240" i="6" s="1"/>
  <c r="P240" i="6"/>
  <c r="Q240" i="6"/>
  <c r="R240" i="6"/>
  <c r="AB240" i="6" s="1"/>
  <c r="B241" i="6"/>
  <c r="C241" i="6"/>
  <c r="G241" i="6"/>
  <c r="E241" i="6" s="1"/>
  <c r="K241" i="6"/>
  <c r="L241" i="6"/>
  <c r="M241" i="6" a="1"/>
  <c r="M241" i="6"/>
  <c r="N241" i="6" a="1"/>
  <c r="N241" i="6"/>
  <c r="O241" i="6"/>
  <c r="P241" i="6"/>
  <c r="Q241" i="6"/>
  <c r="R241" i="6"/>
  <c r="B242" i="6"/>
  <c r="C242" i="6"/>
  <c r="G242" i="6"/>
  <c r="J242" i="6" s="1"/>
  <c r="H242" i="6"/>
  <c r="K242" i="6"/>
  <c r="L242" i="6"/>
  <c r="M242" i="6" a="1"/>
  <c r="M242" i="6" s="1"/>
  <c r="N242" i="6" a="1"/>
  <c r="N242" i="6"/>
  <c r="O242" i="6"/>
  <c r="P242" i="6"/>
  <c r="Q242" i="6"/>
  <c r="R242" i="6"/>
  <c r="AB242" i="6"/>
  <c r="B243" i="6"/>
  <c r="C243" i="6"/>
  <c r="G243" i="6"/>
  <c r="I243" i="6" s="1"/>
  <c r="K243" i="6"/>
  <c r="L243" i="6"/>
  <c r="M243" i="6" a="1"/>
  <c r="M243" i="6" s="1"/>
  <c r="N243" i="6" a="1"/>
  <c r="N243" i="6" s="1"/>
  <c r="O243" i="6"/>
  <c r="P243" i="6"/>
  <c r="Q243" i="6"/>
  <c r="AB243" i="6" s="1"/>
  <c r="R243" i="6"/>
  <c r="S243" i="6"/>
  <c r="A244" i="6"/>
  <c r="B244" i="6"/>
  <c r="C244" i="6"/>
  <c r="G244" i="6"/>
  <c r="J244" i="6" s="1"/>
  <c r="I244" i="6"/>
  <c r="K244" i="6"/>
  <c r="L244" i="6"/>
  <c r="M244" i="6" a="1"/>
  <c r="M244" i="6"/>
  <c r="N244" i="6" a="1"/>
  <c r="N244" i="6"/>
  <c r="S244" i="6" s="1"/>
  <c r="O244" i="6"/>
  <c r="P244" i="6"/>
  <c r="Q244" i="6"/>
  <c r="R244" i="6"/>
  <c r="AB244" i="6"/>
  <c r="A245" i="6"/>
  <c r="B245" i="6"/>
  <c r="C245" i="6"/>
  <c r="G245" i="6"/>
  <c r="K245" i="6"/>
  <c r="L245" i="6"/>
  <c r="M245" i="6" a="1"/>
  <c r="M245" i="6" s="1"/>
  <c r="N245" i="6" a="1"/>
  <c r="N245" i="6"/>
  <c r="O245" i="6"/>
  <c r="P245" i="6"/>
  <c r="Q245" i="6"/>
  <c r="R245" i="6"/>
  <c r="A246" i="6"/>
  <c r="B246" i="6"/>
  <c r="C246" i="6"/>
  <c r="G246" i="6"/>
  <c r="K246" i="6"/>
  <c r="L246" i="6"/>
  <c r="M246" i="6" a="1"/>
  <c r="M246" i="6" s="1"/>
  <c r="N246" i="6" a="1"/>
  <c r="N246" i="6"/>
  <c r="O246" i="6"/>
  <c r="P246" i="6"/>
  <c r="Q246" i="6"/>
  <c r="R246" i="6"/>
  <c r="AB246" i="6"/>
  <c r="A247" i="6"/>
  <c r="B247" i="6"/>
  <c r="C247" i="6"/>
  <c r="G247" i="6"/>
  <c r="I247" i="6" s="1"/>
  <c r="K247" i="6"/>
  <c r="L247" i="6"/>
  <c r="M247" i="6" a="1"/>
  <c r="M247" i="6"/>
  <c r="N247" i="6" a="1"/>
  <c r="N247" i="6" s="1"/>
  <c r="S247" i="6" s="1"/>
  <c r="O247" i="6"/>
  <c r="P247" i="6"/>
  <c r="Q247" i="6"/>
  <c r="R247" i="6"/>
  <c r="AB247" i="6" s="1"/>
  <c r="A248" i="6"/>
  <c r="B248" i="6"/>
  <c r="C248" i="6"/>
  <c r="G248" i="6"/>
  <c r="J248" i="6" s="1"/>
  <c r="H248" i="6"/>
  <c r="K248" i="6"/>
  <c r="L248" i="6"/>
  <c r="M248" i="6" a="1"/>
  <c r="M248" i="6" s="1"/>
  <c r="N248" i="6" a="1"/>
  <c r="N248" i="6"/>
  <c r="O248" i="6"/>
  <c r="P248" i="6"/>
  <c r="Q248" i="6"/>
  <c r="R248" i="6"/>
  <c r="A249" i="6"/>
  <c r="B249" i="6"/>
  <c r="C249" i="6"/>
  <c r="G249" i="6"/>
  <c r="E249" i="6" s="1"/>
  <c r="H249" i="6"/>
  <c r="K249" i="6"/>
  <c r="L249" i="6"/>
  <c r="M249" i="6" a="1"/>
  <c r="M249" i="6"/>
  <c r="N249" i="6" a="1"/>
  <c r="N249" i="6"/>
  <c r="O249" i="6"/>
  <c r="P249" i="6"/>
  <c r="Q249" i="6"/>
  <c r="R249" i="6"/>
  <c r="A250" i="6"/>
  <c r="B250" i="6"/>
  <c r="C250" i="6"/>
  <c r="G250" i="6"/>
  <c r="H250" i="6" s="1"/>
  <c r="K250" i="6"/>
  <c r="L250" i="6"/>
  <c r="M250" i="6" a="1"/>
  <c r="M250" i="6"/>
  <c r="N250" i="6" a="1"/>
  <c r="N250" i="6"/>
  <c r="O250" i="6"/>
  <c r="P250" i="6"/>
  <c r="Q250" i="6"/>
  <c r="R250" i="6"/>
  <c r="AB250" i="6"/>
  <c r="A251" i="6"/>
  <c r="B251" i="6"/>
  <c r="C251" i="6"/>
  <c r="G251" i="6"/>
  <c r="K251" i="6"/>
  <c r="L251" i="6"/>
  <c r="M251" i="6" a="1"/>
  <c r="M251" i="6"/>
  <c r="N251" i="6" a="1"/>
  <c r="N251" i="6"/>
  <c r="O251" i="6"/>
  <c r="P251" i="6"/>
  <c r="Q251" i="6"/>
  <c r="R251" i="6"/>
  <c r="A252" i="6"/>
  <c r="B252" i="6"/>
  <c r="C252" i="6"/>
  <c r="G252" i="6"/>
  <c r="J252" i="6" s="1"/>
  <c r="K252" i="6"/>
  <c r="L252" i="6"/>
  <c r="M252" i="6" a="1"/>
  <c r="M252" i="6" s="1"/>
  <c r="N252" i="6" a="1"/>
  <c r="N252" i="6"/>
  <c r="O252" i="6"/>
  <c r="P252" i="6"/>
  <c r="Q252" i="6"/>
  <c r="R252" i="6"/>
  <c r="A253" i="6"/>
  <c r="B253" i="6"/>
  <c r="C253" i="6"/>
  <c r="G253" i="6"/>
  <c r="K253" i="6"/>
  <c r="L253" i="6"/>
  <c r="M253" i="6" a="1"/>
  <c r="M253" i="6"/>
  <c r="N253" i="6" a="1"/>
  <c r="N253" i="6"/>
  <c r="O253" i="6"/>
  <c r="P253" i="6"/>
  <c r="Q253" i="6"/>
  <c r="R253" i="6"/>
  <c r="A254" i="6"/>
  <c r="B254" i="6"/>
  <c r="C254" i="6"/>
  <c r="G254" i="6"/>
  <c r="H254" i="6" s="1"/>
  <c r="K254" i="6"/>
  <c r="L254" i="6"/>
  <c r="M254" i="6" a="1"/>
  <c r="M254" i="6" s="1"/>
  <c r="N254" i="6" a="1"/>
  <c r="N254" i="6"/>
  <c r="O254" i="6"/>
  <c r="P254" i="6"/>
  <c r="Q254" i="6"/>
  <c r="R254" i="6"/>
  <c r="AB254" i="6"/>
  <c r="A255" i="6"/>
  <c r="B255" i="6"/>
  <c r="C255" i="6"/>
  <c r="G255" i="6"/>
  <c r="K255" i="6"/>
  <c r="L255" i="6"/>
  <c r="M255" i="6" a="1"/>
  <c r="M255" i="6" s="1"/>
  <c r="N255" i="6" a="1"/>
  <c r="N255" i="6" s="1"/>
  <c r="O255" i="6"/>
  <c r="P255" i="6"/>
  <c r="Q255" i="6"/>
  <c r="AB255" i="6" s="1"/>
  <c r="R255" i="6"/>
  <c r="S255" i="6"/>
  <c r="A256" i="6"/>
  <c r="B256" i="6"/>
  <c r="C256" i="6"/>
  <c r="G256" i="6"/>
  <c r="E256" i="6" s="1"/>
  <c r="K256" i="6"/>
  <c r="L256" i="6"/>
  <c r="M256" i="6" a="1"/>
  <c r="M256" i="6"/>
  <c r="N256" i="6" a="1"/>
  <c r="N256" i="6"/>
  <c r="O256" i="6"/>
  <c r="P256" i="6"/>
  <c r="Q256" i="6"/>
  <c r="R256" i="6"/>
  <c r="AB256" i="6"/>
  <c r="A257" i="6"/>
  <c r="B257" i="6"/>
  <c r="C257" i="6"/>
  <c r="G257" i="6"/>
  <c r="J257" i="6" s="1"/>
  <c r="H257" i="6"/>
  <c r="K257" i="6"/>
  <c r="L257" i="6"/>
  <c r="M257" i="6" a="1"/>
  <c r="M257" i="6" s="1"/>
  <c r="N257" i="6" a="1"/>
  <c r="N257" i="6"/>
  <c r="O257" i="6"/>
  <c r="P257" i="6"/>
  <c r="Q257" i="6"/>
  <c r="R257" i="6"/>
  <c r="A258" i="6"/>
  <c r="B258" i="6"/>
  <c r="C258" i="6"/>
  <c r="G258" i="6"/>
  <c r="K258" i="6"/>
  <c r="L258" i="6"/>
  <c r="M258" i="6" a="1"/>
  <c r="M258" i="6" s="1"/>
  <c r="N258" i="6" a="1"/>
  <c r="N258" i="6"/>
  <c r="O258" i="6"/>
  <c r="P258" i="6"/>
  <c r="Q258" i="6"/>
  <c r="R258" i="6"/>
  <c r="AB258" i="6"/>
  <c r="A259" i="6"/>
  <c r="B259" i="6"/>
  <c r="C259" i="6"/>
  <c r="G259" i="6"/>
  <c r="E259" i="6" s="1"/>
  <c r="H259" i="6"/>
  <c r="I259" i="6"/>
  <c r="K259" i="6"/>
  <c r="L259" i="6"/>
  <c r="M259" i="6" a="1"/>
  <c r="M259" i="6"/>
  <c r="N259" i="6" a="1"/>
  <c r="N259" i="6" s="1"/>
  <c r="O259" i="6"/>
  <c r="P259" i="6"/>
  <c r="Q259" i="6"/>
  <c r="R259" i="6"/>
  <c r="AB259" i="6" s="1"/>
  <c r="S259" i="6"/>
  <c r="A260" i="6"/>
  <c r="B260" i="6"/>
  <c r="C260" i="6"/>
  <c r="G260" i="6"/>
  <c r="H260" i="6" s="1"/>
  <c r="K260" i="6"/>
  <c r="L260" i="6"/>
  <c r="M260" i="6" a="1"/>
  <c r="M260" i="6" s="1"/>
  <c r="N260" i="6" a="1"/>
  <c r="N260" i="6"/>
  <c r="O260" i="6"/>
  <c r="P260" i="6"/>
  <c r="Q260" i="6"/>
  <c r="R260" i="6"/>
  <c r="A261" i="6"/>
  <c r="B261" i="6"/>
  <c r="C261" i="6"/>
  <c r="G261" i="6"/>
  <c r="H261" i="6" s="1"/>
  <c r="I261" i="6"/>
  <c r="K261" i="6"/>
  <c r="L261" i="6"/>
  <c r="M261" i="6" a="1"/>
  <c r="M261" i="6"/>
  <c r="N261" i="6" a="1"/>
  <c r="N261" i="6"/>
  <c r="O261" i="6"/>
  <c r="P261" i="6"/>
  <c r="Q261" i="6"/>
  <c r="R261" i="6"/>
  <c r="A262" i="6"/>
  <c r="B262" i="6"/>
  <c r="C262" i="6"/>
  <c r="G262" i="6"/>
  <c r="J262" i="6" s="1"/>
  <c r="I262" i="6"/>
  <c r="K262" i="6"/>
  <c r="L262" i="6"/>
  <c r="M262" i="6" a="1"/>
  <c r="M262" i="6"/>
  <c r="N262" i="6" a="1"/>
  <c r="N262" i="6"/>
  <c r="O262" i="6"/>
  <c r="P262" i="6"/>
  <c r="Q262" i="6"/>
  <c r="R262" i="6"/>
  <c r="AB262" i="6"/>
  <c r="A263" i="6"/>
  <c r="B263" i="6"/>
  <c r="C263" i="6"/>
  <c r="G263" i="6"/>
  <c r="K263" i="6"/>
  <c r="L263" i="6"/>
  <c r="M263" i="6" a="1"/>
  <c r="M263" i="6"/>
  <c r="N263" i="6" a="1"/>
  <c r="N263" i="6"/>
  <c r="O263" i="6"/>
  <c r="P263" i="6"/>
  <c r="Q263" i="6"/>
  <c r="R263" i="6"/>
  <c r="A264" i="6"/>
  <c r="B264" i="6"/>
  <c r="C264" i="6"/>
  <c r="G264" i="6"/>
  <c r="J264" i="6" s="1"/>
  <c r="K264" i="6"/>
  <c r="L264" i="6"/>
  <c r="M264" i="6" a="1"/>
  <c r="M264" i="6" s="1"/>
  <c r="N264" i="6" a="1"/>
  <c r="N264" i="6"/>
  <c r="O264" i="6"/>
  <c r="P264" i="6"/>
  <c r="Q264" i="6"/>
  <c r="R264" i="6"/>
  <c r="A265" i="6"/>
  <c r="B265" i="6"/>
  <c r="C265" i="6"/>
  <c r="G265" i="6"/>
  <c r="E265" i="6" s="1"/>
  <c r="K265" i="6"/>
  <c r="L265" i="6"/>
  <c r="M265" i="6" a="1"/>
  <c r="M265" i="6"/>
  <c r="N265" i="6" a="1"/>
  <c r="N265" i="6"/>
  <c r="O265" i="6"/>
  <c r="P265" i="6"/>
  <c r="Q265" i="6"/>
  <c r="R265" i="6"/>
  <c r="A266" i="6"/>
  <c r="B266" i="6"/>
  <c r="C266" i="6"/>
  <c r="G266" i="6"/>
  <c r="H266" i="6" s="1"/>
  <c r="J266" i="6"/>
  <c r="K266" i="6"/>
  <c r="L266" i="6"/>
  <c r="M266" i="6" a="1"/>
  <c r="M266" i="6" s="1"/>
  <c r="N266" i="6" a="1"/>
  <c r="N266" i="6"/>
  <c r="O266" i="6"/>
  <c r="P266" i="6"/>
  <c r="Q266" i="6"/>
  <c r="R266" i="6"/>
  <c r="AB266" i="6"/>
  <c r="A267" i="6"/>
  <c r="B267" i="6"/>
  <c r="C267" i="6"/>
  <c r="G267" i="6"/>
  <c r="K267" i="6"/>
  <c r="L267" i="6"/>
  <c r="M267" i="6" a="1"/>
  <c r="M267" i="6" s="1"/>
  <c r="N267" i="6" a="1"/>
  <c r="N267" i="6" s="1"/>
  <c r="O267" i="6"/>
  <c r="P267" i="6"/>
  <c r="Q267" i="6"/>
  <c r="AB267" i="6" s="1"/>
  <c r="R267" i="6"/>
  <c r="S267" i="6"/>
  <c r="A268" i="6"/>
  <c r="B268" i="6"/>
  <c r="C268" i="6"/>
  <c r="G268" i="6"/>
  <c r="H268" i="6" s="1"/>
  <c r="K268" i="6"/>
  <c r="L268" i="6"/>
  <c r="M268" i="6" a="1"/>
  <c r="M268" i="6"/>
  <c r="N268" i="6" a="1"/>
  <c r="N268" i="6"/>
  <c r="O268" i="6"/>
  <c r="P268" i="6"/>
  <c r="Q268" i="6"/>
  <c r="R268" i="6"/>
  <c r="AB268" i="6"/>
  <c r="A269" i="6"/>
  <c r="B269" i="6"/>
  <c r="C269" i="6"/>
  <c r="G269" i="6"/>
  <c r="J269" i="6" s="1"/>
  <c r="K269" i="6"/>
  <c r="L269" i="6"/>
  <c r="M269" i="6" a="1"/>
  <c r="M269" i="6" s="1"/>
  <c r="N269" i="6" a="1"/>
  <c r="N269" i="6"/>
  <c r="O269" i="6"/>
  <c r="P269" i="6"/>
  <c r="Q269" i="6"/>
  <c r="R269" i="6"/>
  <c r="A270" i="6"/>
  <c r="B270" i="6"/>
  <c r="C270" i="6"/>
  <c r="G270" i="6"/>
  <c r="K270" i="6"/>
  <c r="L270" i="6"/>
  <c r="M270" i="6" a="1"/>
  <c r="M270" i="6" s="1"/>
  <c r="N270" i="6" a="1"/>
  <c r="N270" i="6"/>
  <c r="O270" i="6"/>
  <c r="P270" i="6"/>
  <c r="Q270" i="6"/>
  <c r="R270" i="6"/>
  <c r="AB270" i="6"/>
  <c r="A271" i="6"/>
  <c r="B271" i="6"/>
  <c r="C271" i="6"/>
  <c r="G271" i="6"/>
  <c r="K271" i="6"/>
  <c r="L271" i="6"/>
  <c r="M271" i="6" a="1"/>
  <c r="M271" i="6"/>
  <c r="N271" i="6" a="1"/>
  <c r="N271" i="6" s="1"/>
  <c r="S271" i="6" s="1"/>
  <c r="O271" i="6"/>
  <c r="P271" i="6"/>
  <c r="Q271" i="6"/>
  <c r="R271" i="6"/>
  <c r="AB271" i="6" s="1"/>
  <c r="A272" i="6"/>
  <c r="B272" i="6"/>
  <c r="C272" i="6"/>
  <c r="G272" i="6"/>
  <c r="J272" i="6" s="1"/>
  <c r="H272" i="6"/>
  <c r="K272" i="6"/>
  <c r="L272" i="6"/>
  <c r="M272" i="6" a="1"/>
  <c r="M272" i="6" s="1"/>
  <c r="N272" i="6" a="1"/>
  <c r="N272" i="6"/>
  <c r="O272" i="6"/>
  <c r="P272" i="6"/>
  <c r="Q272" i="6"/>
  <c r="R272" i="6"/>
  <c r="A273" i="6"/>
  <c r="B273" i="6"/>
  <c r="C273" i="6"/>
  <c r="G273" i="6"/>
  <c r="K273" i="6"/>
  <c r="L273" i="6"/>
  <c r="M273" i="6" a="1"/>
  <c r="M273" i="6"/>
  <c r="N273" i="6" a="1"/>
  <c r="N273" i="6"/>
  <c r="O273" i="6"/>
  <c r="P273" i="6"/>
  <c r="Q273" i="6"/>
  <c r="R273" i="6"/>
  <c r="A274" i="6"/>
  <c r="B274" i="6"/>
  <c r="C274" i="6"/>
  <c r="G274" i="6"/>
  <c r="H274" i="6"/>
  <c r="I274" i="6"/>
  <c r="K274" i="6"/>
  <c r="L274" i="6"/>
  <c r="M274" i="6" a="1"/>
  <c r="M274" i="6"/>
  <c r="N274" i="6" a="1"/>
  <c r="N274" i="6"/>
  <c r="O274" i="6"/>
  <c r="P274" i="6"/>
  <c r="Q274" i="6"/>
  <c r="R274" i="6"/>
  <c r="AB274" i="6"/>
  <c r="A275" i="6"/>
  <c r="B275" i="6"/>
  <c r="C275" i="6"/>
  <c r="G275" i="6"/>
  <c r="J275" i="6" s="1"/>
  <c r="K275" i="6"/>
  <c r="L275" i="6"/>
  <c r="M275" i="6" a="1"/>
  <c r="M275" i="6"/>
  <c r="N275" i="6" a="1"/>
  <c r="N275" i="6"/>
  <c r="O275" i="6"/>
  <c r="P275" i="6"/>
  <c r="Q275" i="6"/>
  <c r="R275" i="6"/>
  <c r="A276" i="6"/>
  <c r="B276" i="6"/>
  <c r="C276" i="6"/>
  <c r="G276" i="6"/>
  <c r="J276" i="6" s="1"/>
  <c r="K276" i="6"/>
  <c r="L276" i="6"/>
  <c r="M276" i="6" a="1"/>
  <c r="M276" i="6" s="1"/>
  <c r="N276" i="6" a="1"/>
  <c r="N276" i="6"/>
  <c r="O276" i="6"/>
  <c r="P276" i="6"/>
  <c r="Q276" i="6"/>
  <c r="R276" i="6"/>
  <c r="A277" i="6"/>
  <c r="B277" i="6"/>
  <c r="C277" i="6"/>
  <c r="G277" i="6"/>
  <c r="E277" i="6" s="1"/>
  <c r="K277" i="6"/>
  <c r="L277" i="6"/>
  <c r="M277" i="6" a="1"/>
  <c r="M277" i="6"/>
  <c r="N277" i="6" a="1"/>
  <c r="N277" i="6"/>
  <c r="O277" i="6"/>
  <c r="P277" i="6"/>
  <c r="Q277" i="6"/>
  <c r="R277" i="6"/>
  <c r="A278" i="6"/>
  <c r="B278" i="6"/>
  <c r="C278" i="6"/>
  <c r="G278" i="6"/>
  <c r="H278" i="6" s="1"/>
  <c r="K278" i="6"/>
  <c r="L278" i="6"/>
  <c r="M278" i="6" a="1"/>
  <c r="M278" i="6" s="1"/>
  <c r="N278" i="6" a="1"/>
  <c r="N278" i="6"/>
  <c r="O278" i="6"/>
  <c r="P278" i="6"/>
  <c r="Q278" i="6"/>
  <c r="R278" i="6"/>
  <c r="AB278" i="6"/>
  <c r="A279" i="6"/>
  <c r="B279" i="6"/>
  <c r="C279" i="6"/>
  <c r="G279" i="6"/>
  <c r="I279" i="6"/>
  <c r="K279" i="6"/>
  <c r="L279" i="6"/>
  <c r="M279" i="6" a="1"/>
  <c r="M279" i="6" s="1"/>
  <c r="N279" i="6" a="1"/>
  <c r="N279" i="6" s="1"/>
  <c r="O279" i="6"/>
  <c r="P279" i="6"/>
  <c r="Q279" i="6"/>
  <c r="AB279" i="6" s="1"/>
  <c r="R279" i="6"/>
  <c r="S279" i="6"/>
  <c r="A280" i="6"/>
  <c r="B280" i="6"/>
  <c r="C280" i="6"/>
  <c r="G280" i="6"/>
  <c r="E280" i="6" s="1"/>
  <c r="K280" i="6"/>
  <c r="L280" i="6"/>
  <c r="M280" i="6" a="1"/>
  <c r="M280" i="6"/>
  <c r="N280" i="6" a="1"/>
  <c r="N280" i="6"/>
  <c r="S280" i="6" s="1"/>
  <c r="O280" i="6"/>
  <c r="P280" i="6"/>
  <c r="Q280" i="6"/>
  <c r="R280" i="6"/>
  <c r="AB280" i="6"/>
  <c r="A281" i="6"/>
  <c r="B281" i="6"/>
  <c r="C281" i="6"/>
  <c r="G281" i="6"/>
  <c r="J281" i="6" s="1"/>
  <c r="K281" i="6"/>
  <c r="L281" i="6"/>
  <c r="M281" i="6" a="1"/>
  <c r="M281" i="6" s="1"/>
  <c r="N281" i="6" a="1"/>
  <c r="N281" i="6"/>
  <c r="O281" i="6"/>
  <c r="P281" i="6"/>
  <c r="Q281" i="6"/>
  <c r="R281" i="6"/>
  <c r="A282" i="6"/>
  <c r="B282" i="6"/>
  <c r="C282" i="6"/>
  <c r="G282" i="6"/>
  <c r="K282" i="6"/>
  <c r="L282" i="6"/>
  <c r="M282" i="6" a="1"/>
  <c r="M282" i="6" s="1"/>
  <c r="N282" i="6" a="1"/>
  <c r="N282" i="6"/>
  <c r="O282" i="6"/>
  <c r="P282" i="6"/>
  <c r="Q282" i="6"/>
  <c r="R282" i="6"/>
  <c r="AB282" i="6"/>
  <c r="A283" i="6"/>
  <c r="B283" i="6"/>
  <c r="C283" i="6"/>
  <c r="G283" i="6"/>
  <c r="J283" i="6" s="1"/>
  <c r="K283" i="6"/>
  <c r="L283" i="6"/>
  <c r="M283" i="6" a="1"/>
  <c r="M283" i="6"/>
  <c r="N283" i="6" a="1"/>
  <c r="N283" i="6" s="1"/>
  <c r="S283" i="6" s="1"/>
  <c r="O283" i="6"/>
  <c r="P283" i="6"/>
  <c r="Q283" i="6"/>
  <c r="R283" i="6"/>
  <c r="AB283" i="6" s="1"/>
  <c r="A284" i="6"/>
  <c r="B284" i="6"/>
  <c r="C284" i="6"/>
  <c r="G284" i="6"/>
  <c r="H284" i="6" s="1"/>
  <c r="K284" i="6"/>
  <c r="L284" i="6"/>
  <c r="M284" i="6" a="1"/>
  <c r="M284" i="6" s="1"/>
  <c r="N284" i="6" a="1"/>
  <c r="N284" i="6"/>
  <c r="O284" i="6"/>
  <c r="P284" i="6"/>
  <c r="Q284" i="6"/>
  <c r="R284" i="6"/>
  <c r="A285" i="6"/>
  <c r="B285" i="6"/>
  <c r="C285" i="6"/>
  <c r="G285" i="6"/>
  <c r="J285" i="6"/>
  <c r="K285" i="6"/>
  <c r="L285" i="6"/>
  <c r="M285" i="6" a="1"/>
  <c r="M285" i="6"/>
  <c r="N285" i="6" a="1"/>
  <c r="N285" i="6"/>
  <c r="O285" i="6"/>
  <c r="P285" i="6"/>
  <c r="Q285" i="6"/>
  <c r="R285" i="6"/>
  <c r="A286" i="6"/>
  <c r="B286" i="6"/>
  <c r="C286" i="6"/>
  <c r="G286" i="6"/>
  <c r="K286" i="6"/>
  <c r="L286" i="6"/>
  <c r="M286" i="6" a="1"/>
  <c r="M286" i="6"/>
  <c r="N286" i="6" a="1"/>
  <c r="N286" i="6"/>
  <c r="O286" i="6"/>
  <c r="P286" i="6"/>
  <c r="Q286" i="6"/>
  <c r="R286" i="6"/>
  <c r="AB286" i="6"/>
  <c r="A287" i="6"/>
  <c r="B287" i="6"/>
  <c r="C287" i="6"/>
  <c r="G287" i="6"/>
  <c r="K287" i="6"/>
  <c r="L287" i="6"/>
  <c r="M287" i="6" a="1"/>
  <c r="M287" i="6"/>
  <c r="N287" i="6" a="1"/>
  <c r="N287" i="6"/>
  <c r="O287" i="6"/>
  <c r="P287" i="6"/>
  <c r="Q287" i="6"/>
  <c r="R287" i="6"/>
  <c r="A288" i="6"/>
  <c r="B288" i="6"/>
  <c r="C288" i="6"/>
  <c r="G288" i="6"/>
  <c r="J288" i="6" s="1"/>
  <c r="K288" i="6"/>
  <c r="L288" i="6"/>
  <c r="M288" i="6" a="1"/>
  <c r="M288" i="6" s="1"/>
  <c r="N288" i="6" a="1"/>
  <c r="N288" i="6"/>
  <c r="O288" i="6"/>
  <c r="P288" i="6"/>
  <c r="Q288" i="6"/>
  <c r="R288" i="6"/>
  <c r="A289" i="6"/>
  <c r="B289" i="6"/>
  <c r="C289" i="6"/>
  <c r="G289" i="6"/>
  <c r="I289" i="6" s="1"/>
  <c r="K289" i="6"/>
  <c r="L289" i="6"/>
  <c r="M289" i="6" a="1"/>
  <c r="M289" i="6"/>
  <c r="N289" i="6" a="1"/>
  <c r="N289" i="6"/>
  <c r="O289" i="6"/>
  <c r="P289" i="6"/>
  <c r="Q289" i="6"/>
  <c r="R289" i="6"/>
  <c r="A290" i="6"/>
  <c r="B290" i="6"/>
  <c r="C290" i="6"/>
  <c r="G290" i="6"/>
  <c r="J290" i="6" s="1"/>
  <c r="H290" i="6"/>
  <c r="K290" i="6"/>
  <c r="L290" i="6"/>
  <c r="M290" i="6" a="1"/>
  <c r="M290" i="6" s="1"/>
  <c r="N290" i="6" a="1"/>
  <c r="N290" i="6"/>
  <c r="O290" i="6"/>
  <c r="P290" i="6"/>
  <c r="Q290" i="6"/>
  <c r="R290" i="6"/>
  <c r="AB290" i="6"/>
  <c r="A291" i="6"/>
  <c r="B291" i="6"/>
  <c r="C291" i="6"/>
  <c r="G291" i="6"/>
  <c r="K291" i="6"/>
  <c r="L291" i="6"/>
  <c r="M291" i="6" a="1"/>
  <c r="M291" i="6" s="1"/>
  <c r="N291" i="6" a="1"/>
  <c r="N291" i="6" s="1"/>
  <c r="O291" i="6"/>
  <c r="P291" i="6"/>
  <c r="Q291" i="6"/>
  <c r="AB291" i="6" s="1"/>
  <c r="R291" i="6"/>
  <c r="S291" i="6"/>
  <c r="A292" i="6"/>
  <c r="B292" i="6"/>
  <c r="C292" i="6"/>
  <c r="G292" i="6"/>
  <c r="K292" i="6"/>
  <c r="L292" i="6"/>
  <c r="M292" i="6" a="1"/>
  <c r="M292" i="6"/>
  <c r="N292" i="6" a="1"/>
  <c r="N292" i="6"/>
  <c r="O292" i="6"/>
  <c r="P292" i="6"/>
  <c r="Q292" i="6"/>
  <c r="R292" i="6"/>
  <c r="AB292" i="6"/>
  <c r="A293" i="6"/>
  <c r="B293" i="6"/>
  <c r="C293" i="6"/>
  <c r="G293" i="6"/>
  <c r="H293" i="6" s="1"/>
  <c r="J293" i="6"/>
  <c r="K293" i="6"/>
  <c r="L293" i="6"/>
  <c r="M293" i="6" a="1"/>
  <c r="M293" i="6" s="1"/>
  <c r="N293" i="6" a="1"/>
  <c r="N293" i="6"/>
  <c r="O293" i="6"/>
  <c r="P293" i="6"/>
  <c r="Q293" i="6"/>
  <c r="R293" i="6"/>
  <c r="A294" i="6"/>
  <c r="B294" i="6"/>
  <c r="C294" i="6"/>
  <c r="G294" i="6"/>
  <c r="K294" i="6"/>
  <c r="L294" i="6"/>
  <c r="M294" i="6" a="1"/>
  <c r="M294" i="6" s="1"/>
  <c r="N294" i="6" a="1"/>
  <c r="N294" i="6"/>
  <c r="O294" i="6"/>
  <c r="P294" i="6"/>
  <c r="Q294" i="6"/>
  <c r="R294" i="6"/>
  <c r="AB294" i="6"/>
  <c r="A295" i="6"/>
  <c r="B295" i="6"/>
  <c r="C295" i="6"/>
  <c r="G295" i="6"/>
  <c r="J295" i="6" s="1"/>
  <c r="H295" i="6"/>
  <c r="K295" i="6"/>
  <c r="L295" i="6"/>
  <c r="M295" i="6" a="1"/>
  <c r="M295" i="6"/>
  <c r="N295" i="6" a="1"/>
  <c r="N295" i="6" s="1"/>
  <c r="O295" i="6"/>
  <c r="P295" i="6"/>
  <c r="Q295" i="6"/>
  <c r="R295" i="6"/>
  <c r="AB295" i="6" s="1"/>
  <c r="S295" i="6"/>
  <c r="A296" i="6"/>
  <c r="B296" i="6"/>
  <c r="C296" i="6"/>
  <c r="G296" i="6"/>
  <c r="H296" i="6" s="1"/>
  <c r="K296" i="6"/>
  <c r="L296" i="6"/>
  <c r="M296" i="6" a="1"/>
  <c r="M296" i="6" s="1"/>
  <c r="N296" i="6" a="1"/>
  <c r="N296" i="6"/>
  <c r="O296" i="6"/>
  <c r="P296" i="6"/>
  <c r="Q296" i="6"/>
  <c r="R296" i="6"/>
  <c r="A297" i="6"/>
  <c r="B297" i="6"/>
  <c r="C297" i="6"/>
  <c r="G297" i="6"/>
  <c r="K297" i="6"/>
  <c r="L297" i="6"/>
  <c r="M297" i="6" a="1"/>
  <c r="M297" i="6"/>
  <c r="N297" i="6" a="1"/>
  <c r="N297" i="6"/>
  <c r="O297" i="6"/>
  <c r="P297" i="6"/>
  <c r="Q297" i="6"/>
  <c r="R297" i="6"/>
  <c r="A298" i="6"/>
  <c r="B298" i="6"/>
  <c r="C298" i="6"/>
  <c r="G298" i="6"/>
  <c r="I298" i="6"/>
  <c r="J298" i="6"/>
  <c r="K298" i="6"/>
  <c r="L298" i="6"/>
  <c r="M298" i="6" a="1"/>
  <c r="M298" i="6"/>
  <c r="N298" i="6" a="1"/>
  <c r="N298" i="6"/>
  <c r="O298" i="6"/>
  <c r="P298" i="6"/>
  <c r="Q298" i="6"/>
  <c r="R298" i="6"/>
  <c r="AB298" i="6"/>
  <c r="A299" i="6"/>
  <c r="B299" i="6"/>
  <c r="C299" i="6"/>
  <c r="G299" i="6"/>
  <c r="K299" i="6"/>
  <c r="L299" i="6"/>
  <c r="M299" i="6" a="1"/>
  <c r="M299" i="6"/>
  <c r="N299" i="6" a="1"/>
  <c r="N299" i="6"/>
  <c r="O299" i="6"/>
  <c r="P299" i="6"/>
  <c r="Q299" i="6"/>
  <c r="R299" i="6"/>
  <c r="A300" i="6"/>
  <c r="B300" i="6"/>
  <c r="C300" i="6"/>
  <c r="G300" i="6"/>
  <c r="J300" i="6"/>
  <c r="K300" i="6"/>
  <c r="L300" i="6"/>
  <c r="M300" i="6" a="1"/>
  <c r="M300" i="6" s="1"/>
  <c r="N300" i="6" a="1"/>
  <c r="N300" i="6"/>
  <c r="O300" i="6"/>
  <c r="P300" i="6"/>
  <c r="Q300" i="6"/>
  <c r="R300" i="6"/>
  <c r="A301" i="6"/>
  <c r="B301" i="6"/>
  <c r="C301" i="6"/>
  <c r="G301" i="6"/>
  <c r="K301" i="6"/>
  <c r="L301" i="6"/>
  <c r="M301" i="6" a="1"/>
  <c r="M301" i="6"/>
  <c r="N301" i="6" a="1"/>
  <c r="N301" i="6"/>
  <c r="O301" i="6"/>
  <c r="P301" i="6"/>
  <c r="Q301" i="6"/>
  <c r="R301" i="6"/>
  <c r="A302" i="6"/>
  <c r="B302" i="6"/>
  <c r="C302" i="6"/>
  <c r="G302" i="6"/>
  <c r="H302" i="6"/>
  <c r="J302" i="6"/>
  <c r="K302" i="6"/>
  <c r="L302" i="6"/>
  <c r="M302" i="6" a="1"/>
  <c r="M302" i="6" s="1"/>
  <c r="N302" i="6" a="1"/>
  <c r="N302" i="6"/>
  <c r="O302" i="6"/>
  <c r="P302" i="6"/>
  <c r="Q302" i="6"/>
  <c r="R302" i="6"/>
  <c r="AB302" i="6"/>
  <c r="A303" i="6"/>
  <c r="B303" i="6"/>
  <c r="C303" i="6"/>
  <c r="G303" i="6"/>
  <c r="K303" i="6"/>
  <c r="L303" i="6"/>
  <c r="M303" i="6" a="1"/>
  <c r="M303" i="6" s="1"/>
  <c r="N303" i="6" a="1"/>
  <c r="N303" i="6" s="1"/>
  <c r="O303" i="6"/>
  <c r="P303" i="6"/>
  <c r="Q303" i="6"/>
  <c r="AB303" i="6" s="1"/>
  <c r="R303" i="6"/>
  <c r="S303" i="6"/>
  <c r="A304" i="6"/>
  <c r="B304" i="6"/>
  <c r="C304" i="6"/>
  <c r="G304" i="6"/>
  <c r="E304" i="6" s="1"/>
  <c r="K304" i="6"/>
  <c r="L304" i="6"/>
  <c r="M304" i="6" a="1"/>
  <c r="M304" i="6"/>
  <c r="N304" i="6" a="1"/>
  <c r="N304" i="6"/>
  <c r="O304" i="6"/>
  <c r="P304" i="6"/>
  <c r="Q304" i="6"/>
  <c r="R304" i="6"/>
  <c r="AB304" i="6"/>
  <c r="A305" i="6"/>
  <c r="B305" i="6"/>
  <c r="C305" i="6"/>
  <c r="G305" i="6"/>
  <c r="H305" i="6" s="1"/>
  <c r="K305" i="6"/>
  <c r="L305" i="6"/>
  <c r="M305" i="6" a="1"/>
  <c r="M305" i="6" s="1"/>
  <c r="N305" i="6" a="1"/>
  <c r="N305" i="6"/>
  <c r="O305" i="6"/>
  <c r="P305" i="6"/>
  <c r="Q305" i="6"/>
  <c r="R305" i="6"/>
  <c r="A306" i="6"/>
  <c r="B306" i="6"/>
  <c r="C306" i="6"/>
  <c r="G306" i="6"/>
  <c r="K306" i="6"/>
  <c r="L306" i="6"/>
  <c r="M306" i="6" a="1"/>
  <c r="M306" i="6" s="1"/>
  <c r="N306" i="6" a="1"/>
  <c r="N306" i="6"/>
  <c r="O306" i="6"/>
  <c r="P306" i="6"/>
  <c r="Q306" i="6"/>
  <c r="R306" i="6"/>
  <c r="AB306" i="6"/>
  <c r="A307" i="6"/>
  <c r="B307" i="6"/>
  <c r="C307" i="6"/>
  <c r="G307" i="6"/>
  <c r="E307" i="6" s="1"/>
  <c r="H307" i="6"/>
  <c r="K307" i="6"/>
  <c r="L307" i="6"/>
  <c r="M307" i="6" a="1"/>
  <c r="M307" i="6"/>
  <c r="N307" i="6" a="1"/>
  <c r="N307" i="6" s="1"/>
  <c r="S307" i="6" s="1"/>
  <c r="O307" i="6"/>
  <c r="P307" i="6"/>
  <c r="Q307" i="6"/>
  <c r="R307" i="6"/>
  <c r="AB307" i="6" s="1"/>
  <c r="A308" i="6"/>
  <c r="B308" i="6"/>
  <c r="C308" i="6"/>
  <c r="G308" i="6"/>
  <c r="J308" i="6" s="1"/>
  <c r="K308" i="6"/>
  <c r="L308" i="6"/>
  <c r="M308" i="6" a="1"/>
  <c r="M308" i="6" s="1"/>
  <c r="N308" i="6" a="1"/>
  <c r="N308" i="6"/>
  <c r="O308" i="6"/>
  <c r="P308" i="6"/>
  <c r="Q308" i="6"/>
  <c r="R308" i="6"/>
  <c r="A309" i="6"/>
  <c r="B309" i="6"/>
  <c r="C309" i="6"/>
  <c r="G309" i="6"/>
  <c r="K309" i="6"/>
  <c r="L309" i="6"/>
  <c r="M309" i="6" a="1"/>
  <c r="M309" i="6" s="1"/>
  <c r="N309" i="6" a="1"/>
  <c r="N309" i="6" s="1"/>
  <c r="O309" i="6"/>
  <c r="P309" i="6"/>
  <c r="Q309" i="6"/>
  <c r="R309" i="6"/>
  <c r="A310" i="6"/>
  <c r="B310" i="6"/>
  <c r="C310" i="6"/>
  <c r="G310" i="6"/>
  <c r="J310" i="6" s="1"/>
  <c r="K310" i="6"/>
  <c r="L310" i="6"/>
  <c r="M310" i="6" a="1"/>
  <c r="M310" i="6"/>
  <c r="N310" i="6" a="1"/>
  <c r="N310" i="6" s="1"/>
  <c r="S310" i="6" s="1"/>
  <c r="O310" i="6"/>
  <c r="P310" i="6"/>
  <c r="Q310" i="6"/>
  <c r="R310" i="6"/>
  <c r="AB310" i="6"/>
  <c r="A311" i="6"/>
  <c r="B311" i="6"/>
  <c r="C311" i="6"/>
  <c r="G311" i="6"/>
  <c r="J311" i="6" s="1"/>
  <c r="K311" i="6"/>
  <c r="L311" i="6"/>
  <c r="M311" i="6" a="1"/>
  <c r="M311" i="6"/>
  <c r="N311" i="6" a="1"/>
  <c r="N311" i="6"/>
  <c r="O311" i="6"/>
  <c r="P311" i="6"/>
  <c r="Q311" i="6"/>
  <c r="R311" i="6"/>
  <c r="A312" i="6"/>
  <c r="B312" i="6"/>
  <c r="C312" i="6"/>
  <c r="G312" i="6"/>
  <c r="I312" i="6"/>
  <c r="K312" i="6"/>
  <c r="L312" i="6"/>
  <c r="M312" i="6" a="1"/>
  <c r="M312" i="6" s="1"/>
  <c r="N312" i="6" a="1"/>
  <c r="N312" i="6"/>
  <c r="O312" i="6"/>
  <c r="P312" i="6"/>
  <c r="Q312" i="6"/>
  <c r="R312" i="6"/>
  <c r="AB312" i="6"/>
  <c r="A313" i="6"/>
  <c r="B313" i="6"/>
  <c r="C313" i="6"/>
  <c r="G313" i="6"/>
  <c r="H313" i="6" s="1"/>
  <c r="K313" i="6"/>
  <c r="L313" i="6"/>
  <c r="M313" i="6" a="1"/>
  <c r="M313" i="6"/>
  <c r="N313" i="6" a="1"/>
  <c r="N313" i="6" s="1"/>
  <c r="S313" i="6" s="1"/>
  <c r="O313" i="6"/>
  <c r="P313" i="6"/>
  <c r="Q313" i="6"/>
  <c r="R313" i="6"/>
  <c r="AB313" i="6"/>
  <c r="A314" i="6"/>
  <c r="B314" i="6"/>
  <c r="C314" i="6"/>
  <c r="G314" i="6"/>
  <c r="H314" i="6" s="1"/>
  <c r="K314" i="6"/>
  <c r="L314" i="6"/>
  <c r="M314" i="6" a="1"/>
  <c r="M314" i="6" s="1"/>
  <c r="N314" i="6" a="1"/>
  <c r="N314" i="6"/>
  <c r="O314" i="6"/>
  <c r="P314" i="6"/>
  <c r="Q314" i="6"/>
  <c r="R314" i="6"/>
  <c r="AB314" i="6"/>
  <c r="A315" i="6"/>
  <c r="B315" i="6"/>
  <c r="C315" i="6"/>
  <c r="G315" i="6"/>
  <c r="I315" i="6" s="1"/>
  <c r="K315" i="6"/>
  <c r="L315" i="6"/>
  <c r="M315" i="6" a="1"/>
  <c r="M315" i="6" s="1"/>
  <c r="N315" i="6" a="1"/>
  <c r="N315" i="6" s="1"/>
  <c r="O315" i="6"/>
  <c r="P315" i="6"/>
  <c r="Q315" i="6"/>
  <c r="AB315" i="6" s="1"/>
  <c r="R315" i="6"/>
  <c r="A316" i="6"/>
  <c r="B316" i="6"/>
  <c r="C316" i="6"/>
  <c r="G316" i="6"/>
  <c r="H316" i="6" s="1"/>
  <c r="K316" i="6"/>
  <c r="L316" i="6"/>
  <c r="M316" i="6" a="1"/>
  <c r="M316" i="6"/>
  <c r="N316" i="6" a="1"/>
  <c r="N316" i="6" s="1"/>
  <c r="O316" i="6"/>
  <c r="P316" i="6"/>
  <c r="Q316" i="6"/>
  <c r="R316" i="6"/>
  <c r="S316" i="6"/>
  <c r="AB316" i="6"/>
  <c r="A317" i="6"/>
  <c r="B317" i="6"/>
  <c r="C317" i="6"/>
  <c r="G317" i="6"/>
  <c r="K317" i="6"/>
  <c r="L317" i="6"/>
  <c r="M317" i="6" a="1"/>
  <c r="M317" i="6"/>
  <c r="N317" i="6" a="1"/>
  <c r="N317" i="6"/>
  <c r="O317" i="6"/>
  <c r="P317" i="6"/>
  <c r="Q317" i="6"/>
  <c r="R317" i="6"/>
  <c r="A318" i="6"/>
  <c r="B318" i="6"/>
  <c r="C318" i="6"/>
  <c r="G318" i="6"/>
  <c r="I318" i="6"/>
  <c r="K318" i="6"/>
  <c r="L318" i="6"/>
  <c r="M318" i="6" a="1"/>
  <c r="M318" i="6" s="1"/>
  <c r="N318" i="6" a="1"/>
  <c r="N318" i="6"/>
  <c r="S318" i="6" s="1"/>
  <c r="O318" i="6"/>
  <c r="P318" i="6"/>
  <c r="Q318" i="6"/>
  <c r="AB318" i="6" s="1"/>
  <c r="R318" i="6"/>
  <c r="A319" i="6"/>
  <c r="B319" i="6"/>
  <c r="C319" i="6"/>
  <c r="G319" i="6"/>
  <c r="E319" i="6" s="1"/>
  <c r="H319" i="6"/>
  <c r="K319" i="6"/>
  <c r="L319" i="6"/>
  <c r="M319" i="6" a="1"/>
  <c r="M319" i="6"/>
  <c r="N319" i="6" a="1"/>
  <c r="N319" i="6" s="1"/>
  <c r="S319" i="6" s="1"/>
  <c r="O319" i="6"/>
  <c r="P319" i="6"/>
  <c r="Q319" i="6"/>
  <c r="R319" i="6"/>
  <c r="AB319" i="6"/>
  <c r="A320" i="6"/>
  <c r="B320" i="6"/>
  <c r="C320" i="6"/>
  <c r="G320" i="6"/>
  <c r="H320" i="6" s="1"/>
  <c r="K320" i="6"/>
  <c r="L320" i="6"/>
  <c r="M320" i="6" a="1"/>
  <c r="M320" i="6" s="1"/>
  <c r="N320" i="6" a="1"/>
  <c r="N320" i="6"/>
  <c r="O320" i="6"/>
  <c r="P320" i="6"/>
  <c r="Q320" i="6"/>
  <c r="R320" i="6"/>
  <c r="AB320" i="6"/>
  <c r="A321" i="6"/>
  <c r="B321" i="6"/>
  <c r="C321" i="6"/>
  <c r="G321" i="6"/>
  <c r="K321" i="6"/>
  <c r="L321" i="6"/>
  <c r="M321" i="6" a="1"/>
  <c r="M321" i="6" s="1"/>
  <c r="N321" i="6" a="1"/>
  <c r="N321" i="6" s="1"/>
  <c r="O321" i="6"/>
  <c r="P321" i="6"/>
  <c r="Q321" i="6"/>
  <c r="AB321" i="6" s="1"/>
  <c r="R321" i="6"/>
  <c r="S321" i="6"/>
  <c r="A322" i="6"/>
  <c r="B322" i="6"/>
  <c r="C322" i="6"/>
  <c r="G322" i="6"/>
  <c r="E322" i="6" s="1"/>
  <c r="K322" i="6"/>
  <c r="L322" i="6"/>
  <c r="M322" i="6" a="1"/>
  <c r="M322" i="6"/>
  <c r="N322" i="6" a="1"/>
  <c r="N322" i="6" s="1"/>
  <c r="O322" i="6"/>
  <c r="P322" i="6"/>
  <c r="Q322" i="6"/>
  <c r="R322" i="6"/>
  <c r="S322" i="6"/>
  <c r="AB322" i="6"/>
  <c r="A323" i="6"/>
  <c r="B323" i="6"/>
  <c r="C323" i="6"/>
  <c r="G323" i="6"/>
  <c r="K323" i="6"/>
  <c r="L323" i="6"/>
  <c r="M323" i="6" a="1"/>
  <c r="M323" i="6"/>
  <c r="N323" i="6" a="1"/>
  <c r="N323" i="6"/>
  <c r="O323" i="6"/>
  <c r="P323" i="6"/>
  <c r="Q323" i="6"/>
  <c r="R323" i="6"/>
  <c r="A324" i="6"/>
  <c r="B324" i="6"/>
  <c r="C324" i="6"/>
  <c r="G324" i="6"/>
  <c r="I324" i="6" s="1"/>
  <c r="K324" i="6"/>
  <c r="L324" i="6"/>
  <c r="M324" i="6" a="1"/>
  <c r="M324" i="6" s="1"/>
  <c r="N324" i="6" a="1"/>
  <c r="N324" i="6"/>
  <c r="O324" i="6"/>
  <c r="P324" i="6"/>
  <c r="Q324" i="6"/>
  <c r="AB324" i="6" s="1"/>
  <c r="R324" i="6"/>
  <c r="A325" i="6"/>
  <c r="B325" i="6"/>
  <c r="C325" i="6"/>
  <c r="G325" i="6"/>
  <c r="H325" i="6" s="1"/>
  <c r="K325" i="6"/>
  <c r="L325" i="6"/>
  <c r="M325" i="6" a="1"/>
  <c r="M325" i="6"/>
  <c r="N325" i="6" a="1"/>
  <c r="N325" i="6" s="1"/>
  <c r="O325" i="6"/>
  <c r="P325" i="6"/>
  <c r="Q325" i="6"/>
  <c r="R325" i="6"/>
  <c r="S325" i="6"/>
  <c r="AB325" i="6"/>
  <c r="A326" i="6"/>
  <c r="B326" i="6"/>
  <c r="C326" i="6"/>
  <c r="G326" i="6"/>
  <c r="J326" i="6" s="1"/>
  <c r="H326" i="6"/>
  <c r="K326" i="6"/>
  <c r="L326" i="6"/>
  <c r="M326" i="6" a="1"/>
  <c r="M326" i="6" s="1"/>
  <c r="N326" i="6" a="1"/>
  <c r="N326" i="6"/>
  <c r="O326" i="6"/>
  <c r="P326" i="6"/>
  <c r="Q326" i="6"/>
  <c r="R326" i="6"/>
  <c r="AB326" i="6"/>
  <c r="A327" i="6"/>
  <c r="B327" i="6"/>
  <c r="C327" i="6"/>
  <c r="G327" i="6"/>
  <c r="K327" i="6"/>
  <c r="L327" i="6"/>
  <c r="M327" i="6" a="1"/>
  <c r="M327" i="6" s="1"/>
  <c r="N327" i="6" a="1"/>
  <c r="N327" i="6" s="1"/>
  <c r="O327" i="6"/>
  <c r="P327" i="6"/>
  <c r="Q327" i="6"/>
  <c r="AB327" i="6" s="1"/>
  <c r="R327" i="6"/>
  <c r="S327" i="6"/>
  <c r="A328" i="6"/>
  <c r="B328" i="6"/>
  <c r="C328" i="6"/>
  <c r="G328" i="6"/>
  <c r="E328" i="6" s="1"/>
  <c r="I328" i="6"/>
  <c r="J328" i="6"/>
  <c r="K328" i="6"/>
  <c r="L328" i="6"/>
  <c r="M328" i="6" a="1"/>
  <c r="M328" i="6"/>
  <c r="N328" i="6" a="1"/>
  <c r="N328" i="6"/>
  <c r="S328" i="6" s="1"/>
  <c r="O328" i="6"/>
  <c r="P328" i="6"/>
  <c r="Q328" i="6"/>
  <c r="R328" i="6"/>
  <c r="AB328" i="6"/>
  <c r="A329" i="6"/>
  <c r="B329" i="6"/>
  <c r="C329" i="6"/>
  <c r="G329" i="6"/>
  <c r="J329" i="6" s="1"/>
  <c r="K329" i="6"/>
  <c r="L329" i="6"/>
  <c r="M329" i="6" a="1"/>
  <c r="M329" i="6"/>
  <c r="N329" i="6" a="1"/>
  <c r="N329" i="6"/>
  <c r="O329" i="6"/>
  <c r="P329" i="6"/>
  <c r="Q329" i="6"/>
  <c r="R329" i="6"/>
  <c r="A330" i="6"/>
  <c r="B330" i="6"/>
  <c r="C330" i="6"/>
  <c r="G330" i="6"/>
  <c r="I330" i="6"/>
  <c r="K330" i="6"/>
  <c r="L330" i="6"/>
  <c r="M330" i="6" a="1"/>
  <c r="M330" i="6" s="1"/>
  <c r="N330" i="6" a="1"/>
  <c r="N330" i="6"/>
  <c r="O330" i="6"/>
  <c r="P330" i="6"/>
  <c r="Q330" i="6"/>
  <c r="R330" i="6"/>
  <c r="A331" i="6"/>
  <c r="B331" i="6"/>
  <c r="C331" i="6"/>
  <c r="G331" i="6"/>
  <c r="J331" i="6" s="1"/>
  <c r="K331" i="6"/>
  <c r="L331" i="6"/>
  <c r="M331" i="6" a="1"/>
  <c r="M331" i="6" s="1"/>
  <c r="N331" i="6" a="1"/>
  <c r="N331" i="6"/>
  <c r="S331" i="6" s="1"/>
  <c r="O331" i="6"/>
  <c r="P331" i="6"/>
  <c r="Q331" i="6"/>
  <c r="R331" i="6"/>
  <c r="AB331" i="6"/>
  <c r="A332" i="6"/>
  <c r="B332" i="6"/>
  <c r="C332" i="6"/>
  <c r="G332" i="6"/>
  <c r="H332" i="6"/>
  <c r="K332" i="6"/>
  <c r="L332" i="6"/>
  <c r="M332" i="6" a="1"/>
  <c r="M332" i="6"/>
  <c r="N332" i="6" a="1"/>
  <c r="N332" i="6"/>
  <c r="O332" i="6"/>
  <c r="P332" i="6"/>
  <c r="Q332" i="6"/>
  <c r="R332" i="6"/>
  <c r="A333" i="6"/>
  <c r="B333" i="6"/>
  <c r="C333" i="6"/>
  <c r="G333" i="6"/>
  <c r="H333" i="6" s="1"/>
  <c r="K333" i="6"/>
  <c r="L333" i="6"/>
  <c r="M333" i="6" a="1"/>
  <c r="M333" i="6"/>
  <c r="N333" i="6" a="1"/>
  <c r="N333" i="6"/>
  <c r="O333" i="6"/>
  <c r="P333" i="6"/>
  <c r="Q333" i="6"/>
  <c r="R333" i="6"/>
  <c r="S333" i="6" s="1"/>
  <c r="AB333" i="6"/>
  <c r="A334" i="6"/>
  <c r="B334" i="6"/>
  <c r="C334" i="6"/>
  <c r="G334" i="6"/>
  <c r="I334" i="6" s="1"/>
  <c r="K334" i="6"/>
  <c r="L334" i="6"/>
  <c r="M334" i="6" a="1"/>
  <c r="M334" i="6" s="1"/>
  <c r="N334" i="6" a="1"/>
  <c r="N334" i="6"/>
  <c r="O334" i="6"/>
  <c r="P334" i="6"/>
  <c r="Q334" i="6"/>
  <c r="R334" i="6"/>
  <c r="A335" i="6"/>
  <c r="B335" i="6"/>
  <c r="C335" i="6"/>
  <c r="G335" i="6"/>
  <c r="J335" i="6" s="1"/>
  <c r="K335" i="6"/>
  <c r="L335" i="6"/>
  <c r="M335" i="6" a="1"/>
  <c r="M335" i="6" s="1"/>
  <c r="N335" i="6" a="1"/>
  <c r="N335" i="6"/>
  <c r="O335" i="6"/>
  <c r="P335" i="6"/>
  <c r="Q335" i="6"/>
  <c r="S335" i="6" s="1"/>
  <c r="R335" i="6"/>
  <c r="A336" i="6"/>
  <c r="B336" i="6"/>
  <c r="C336" i="6"/>
  <c r="G336" i="6"/>
  <c r="J336" i="6" s="1"/>
  <c r="K336" i="6"/>
  <c r="L336" i="6"/>
  <c r="M336" i="6" a="1"/>
  <c r="M336" i="6" s="1"/>
  <c r="N336" i="6" a="1"/>
  <c r="N336" i="6" s="1"/>
  <c r="O336" i="6"/>
  <c r="P336" i="6"/>
  <c r="Q336" i="6"/>
  <c r="S336" i="6" s="1"/>
  <c r="R336" i="6"/>
  <c r="A337" i="6"/>
  <c r="B337" i="6"/>
  <c r="C337" i="6"/>
  <c r="G337" i="6"/>
  <c r="I337" i="6" s="1"/>
  <c r="H337" i="6"/>
  <c r="K337" i="6"/>
  <c r="L337" i="6"/>
  <c r="M337" i="6" a="1"/>
  <c r="M337" i="6"/>
  <c r="N337" i="6" a="1"/>
  <c r="N337" i="6"/>
  <c r="S337" i="6" s="1"/>
  <c r="O337" i="6"/>
  <c r="P337" i="6"/>
  <c r="Q337" i="6"/>
  <c r="R337" i="6"/>
  <c r="AB337" i="6" s="1"/>
  <c r="A338" i="6"/>
  <c r="B338" i="6"/>
  <c r="C338" i="6"/>
  <c r="G338" i="6"/>
  <c r="E338" i="6" s="1"/>
  <c r="K338" i="6"/>
  <c r="L338" i="6"/>
  <c r="M338" i="6" a="1"/>
  <c r="M338" i="6" s="1"/>
  <c r="N338" i="6" a="1"/>
  <c r="N338" i="6"/>
  <c r="O338" i="6"/>
  <c r="P338" i="6"/>
  <c r="Q338" i="6"/>
  <c r="R338" i="6"/>
  <c r="AB338" i="6"/>
  <c r="A339" i="6"/>
  <c r="B339" i="6"/>
  <c r="C339" i="6"/>
  <c r="G339" i="6"/>
  <c r="J339" i="6" s="1"/>
  <c r="K339" i="6"/>
  <c r="L339" i="6"/>
  <c r="M339" i="6" a="1"/>
  <c r="M339" i="6"/>
  <c r="N339" i="6" a="1"/>
  <c r="N339" i="6" s="1"/>
  <c r="O339" i="6"/>
  <c r="P339" i="6"/>
  <c r="Q339" i="6"/>
  <c r="AB339" i="6" s="1"/>
  <c r="R339" i="6"/>
  <c r="S339" i="6"/>
  <c r="A340" i="6"/>
  <c r="B340" i="6"/>
  <c r="C340" i="6"/>
  <c r="G340" i="6"/>
  <c r="H340" i="6" s="1"/>
  <c r="K340" i="6"/>
  <c r="L340" i="6"/>
  <c r="M340" i="6" a="1"/>
  <c r="M340" i="6"/>
  <c r="N340" i="6" a="1"/>
  <c r="N340" i="6"/>
  <c r="O340" i="6"/>
  <c r="P340" i="6"/>
  <c r="Q340" i="6"/>
  <c r="R340" i="6"/>
  <c r="AB340" i="6" s="1"/>
  <c r="A341" i="6"/>
  <c r="B341" i="6"/>
  <c r="C341" i="6"/>
  <c r="G341" i="6"/>
  <c r="J341" i="6" s="1"/>
  <c r="K341" i="6"/>
  <c r="L341" i="6"/>
  <c r="M341" i="6" a="1"/>
  <c r="M341" i="6" s="1"/>
  <c r="N341" i="6" a="1"/>
  <c r="N341" i="6"/>
  <c r="O341" i="6"/>
  <c r="P341" i="6"/>
  <c r="Q341" i="6"/>
  <c r="R341" i="6"/>
  <c r="AB341" i="6"/>
  <c r="A342" i="6"/>
  <c r="B342" i="6"/>
  <c r="C342" i="6"/>
  <c r="G342" i="6"/>
  <c r="J342" i="6" s="1"/>
  <c r="H342" i="6"/>
  <c r="I342" i="6"/>
  <c r="K342" i="6"/>
  <c r="L342" i="6"/>
  <c r="M342" i="6" a="1"/>
  <c r="M342" i="6"/>
  <c r="N342" i="6" a="1"/>
  <c r="N342" i="6" s="1"/>
  <c r="S342" i="6" s="1"/>
  <c r="O342" i="6"/>
  <c r="P342" i="6"/>
  <c r="Q342" i="6"/>
  <c r="R342" i="6"/>
  <c r="AB342" i="6"/>
  <c r="A343" i="6"/>
  <c r="B343" i="6"/>
  <c r="C343" i="6"/>
  <c r="G343" i="6"/>
  <c r="H343" i="6" s="1"/>
  <c r="K343" i="6"/>
  <c r="L343" i="6"/>
  <c r="M343" i="6" a="1"/>
  <c r="M343" i="6"/>
  <c r="N343" i="6" a="1"/>
  <c r="N343" i="6" s="1"/>
  <c r="O343" i="6"/>
  <c r="P343" i="6"/>
  <c r="Q343" i="6"/>
  <c r="R343" i="6"/>
  <c r="AB343" i="6" s="1"/>
  <c r="A344" i="6"/>
  <c r="B344" i="6"/>
  <c r="C344" i="6"/>
  <c r="G344" i="6"/>
  <c r="J344" i="6" s="1"/>
  <c r="K344" i="6"/>
  <c r="L344" i="6"/>
  <c r="M344" i="6" a="1"/>
  <c r="M344" i="6" s="1"/>
  <c r="N344" i="6" a="1"/>
  <c r="N344" i="6"/>
  <c r="O344" i="6"/>
  <c r="P344" i="6"/>
  <c r="Q344" i="6"/>
  <c r="S344" i="6" s="1"/>
  <c r="R344" i="6"/>
  <c r="A345" i="6"/>
  <c r="B345" i="6"/>
  <c r="C345" i="6"/>
  <c r="G345" i="6"/>
  <c r="J345" i="6" s="1"/>
  <c r="I345" i="6"/>
  <c r="K345" i="6"/>
  <c r="L345" i="6"/>
  <c r="M345" i="6" a="1"/>
  <c r="M345" i="6" s="1"/>
  <c r="N345" i="6" a="1"/>
  <c r="N345" i="6" s="1"/>
  <c r="O345" i="6"/>
  <c r="P345" i="6"/>
  <c r="Q345" i="6"/>
  <c r="S345" i="6" s="1"/>
  <c r="R345" i="6"/>
  <c r="A346" i="6"/>
  <c r="B346" i="6"/>
  <c r="C346" i="6"/>
  <c r="G346" i="6"/>
  <c r="J346" i="6" s="1"/>
  <c r="K346" i="6"/>
  <c r="L346" i="6"/>
  <c r="M346" i="6" a="1"/>
  <c r="M346" i="6"/>
  <c r="N346" i="6" a="1"/>
  <c r="N346" i="6"/>
  <c r="S346" i="6" s="1"/>
  <c r="O346" i="6"/>
  <c r="P346" i="6"/>
  <c r="Q346" i="6"/>
  <c r="R346" i="6"/>
  <c r="AB346" i="6" s="1"/>
  <c r="A347" i="6"/>
  <c r="B347" i="6"/>
  <c r="C347" i="6"/>
  <c r="G347" i="6"/>
  <c r="E347" i="6" s="1"/>
  <c r="K347" i="6"/>
  <c r="L347" i="6"/>
  <c r="M347" i="6" a="1"/>
  <c r="M347" i="6" s="1"/>
  <c r="N347" i="6" a="1"/>
  <c r="N347" i="6"/>
  <c r="O347" i="6"/>
  <c r="P347" i="6"/>
  <c r="Q347" i="6"/>
  <c r="R347" i="6"/>
  <c r="AB347" i="6"/>
  <c r="A348" i="6"/>
  <c r="B348" i="6"/>
  <c r="C348" i="6"/>
  <c r="G348" i="6"/>
  <c r="J348" i="6" s="1"/>
  <c r="K348" i="6"/>
  <c r="L348" i="6"/>
  <c r="M348" i="6" a="1"/>
  <c r="M348" i="6"/>
  <c r="N348" i="6" a="1"/>
  <c r="N348" i="6" s="1"/>
  <c r="O348" i="6"/>
  <c r="P348" i="6"/>
  <c r="Q348" i="6"/>
  <c r="AB348" i="6" s="1"/>
  <c r="R348" i="6"/>
  <c r="S348" i="6"/>
  <c r="A349" i="6"/>
  <c r="B349" i="6"/>
  <c r="C349" i="6"/>
  <c r="G349" i="6"/>
  <c r="E349" i="6" s="1"/>
  <c r="H349" i="6"/>
  <c r="K349" i="6"/>
  <c r="L349" i="6"/>
  <c r="M349" i="6" a="1"/>
  <c r="M349" i="6"/>
  <c r="N349" i="6" a="1"/>
  <c r="N349" i="6"/>
  <c r="O349" i="6"/>
  <c r="P349" i="6"/>
  <c r="Q349" i="6"/>
  <c r="R349" i="6"/>
  <c r="AB349" i="6" s="1"/>
  <c r="A350" i="6"/>
  <c r="B350" i="6"/>
  <c r="C350" i="6"/>
  <c r="G350" i="6"/>
  <c r="J350" i="6" s="1"/>
  <c r="K350" i="6"/>
  <c r="L350" i="6"/>
  <c r="M350" i="6" a="1"/>
  <c r="M350" i="6" s="1"/>
  <c r="N350" i="6" a="1"/>
  <c r="N350" i="6"/>
  <c r="O350" i="6"/>
  <c r="P350" i="6"/>
  <c r="Q350" i="6"/>
  <c r="R350" i="6"/>
  <c r="AB350" i="6"/>
  <c r="A351" i="6"/>
  <c r="B351" i="6"/>
  <c r="C351" i="6"/>
  <c r="G351" i="6"/>
  <c r="J351" i="6" s="1"/>
  <c r="K351" i="6"/>
  <c r="L351" i="6"/>
  <c r="M351" i="6" a="1"/>
  <c r="M351" i="6"/>
  <c r="N351" i="6" a="1"/>
  <c r="N351" i="6" s="1"/>
  <c r="S351" i="6" s="1"/>
  <c r="O351" i="6"/>
  <c r="P351" i="6"/>
  <c r="Q351" i="6"/>
  <c r="R351" i="6"/>
  <c r="AB351" i="6"/>
  <c r="A352" i="6"/>
  <c r="B352" i="6"/>
  <c r="C352" i="6"/>
  <c r="G352" i="6"/>
  <c r="E352" i="6" s="1"/>
  <c r="K352" i="6"/>
  <c r="L352" i="6"/>
  <c r="M352" i="6" a="1"/>
  <c r="M352" i="6"/>
  <c r="N352" i="6" a="1"/>
  <c r="N352" i="6" s="1"/>
  <c r="O352" i="6"/>
  <c r="P352" i="6"/>
  <c r="Q352" i="6"/>
  <c r="R352" i="6"/>
  <c r="AB352" i="6" s="1"/>
  <c r="A353" i="6"/>
  <c r="B353" i="6"/>
  <c r="C353" i="6"/>
  <c r="G353" i="6"/>
  <c r="J353" i="6" s="1"/>
  <c r="K353" i="6"/>
  <c r="L353" i="6"/>
  <c r="M353" i="6" a="1"/>
  <c r="M353" i="6" s="1"/>
  <c r="N353" i="6" a="1"/>
  <c r="N353" i="6"/>
  <c r="O353" i="6"/>
  <c r="P353" i="6"/>
  <c r="Q353" i="6"/>
  <c r="S353" i="6" s="1"/>
  <c r="R353" i="6"/>
  <c r="A354" i="6"/>
  <c r="B354" i="6"/>
  <c r="C354" i="6"/>
  <c r="G354" i="6"/>
  <c r="J354" i="6" s="1"/>
  <c r="K354" i="6"/>
  <c r="L354" i="6"/>
  <c r="M354" i="6" a="1"/>
  <c r="M354" i="6" s="1"/>
  <c r="N354" i="6" a="1"/>
  <c r="N354" i="6" s="1"/>
  <c r="O354" i="6"/>
  <c r="P354" i="6"/>
  <c r="Q354" i="6"/>
  <c r="S354" i="6" s="1"/>
  <c r="R354" i="6"/>
  <c r="A355" i="6"/>
  <c r="B355" i="6"/>
  <c r="C355" i="6"/>
  <c r="G355" i="6"/>
  <c r="H355" i="6" s="1"/>
  <c r="K355" i="6"/>
  <c r="L355" i="6"/>
  <c r="M355" i="6" a="1"/>
  <c r="M355" i="6"/>
  <c r="N355" i="6" a="1"/>
  <c r="N355" i="6"/>
  <c r="S355" i="6" s="1"/>
  <c r="O355" i="6"/>
  <c r="P355" i="6"/>
  <c r="Q355" i="6"/>
  <c r="R355" i="6"/>
  <c r="AB355" i="6" s="1"/>
  <c r="A356" i="6"/>
  <c r="B356" i="6"/>
  <c r="C356" i="6"/>
  <c r="G356" i="6"/>
  <c r="E356" i="6" s="1"/>
  <c r="K356" i="6"/>
  <c r="L356" i="6"/>
  <c r="M356" i="6" a="1"/>
  <c r="M356" i="6" s="1"/>
  <c r="N356" i="6" a="1"/>
  <c r="N356" i="6"/>
  <c r="O356" i="6"/>
  <c r="P356" i="6"/>
  <c r="Q356" i="6"/>
  <c r="R356" i="6"/>
  <c r="AB356" i="6"/>
  <c r="A357" i="6"/>
  <c r="B357" i="6"/>
  <c r="C357" i="6"/>
  <c r="G357" i="6"/>
  <c r="J357" i="6" s="1"/>
  <c r="K357" i="6"/>
  <c r="L357" i="6"/>
  <c r="M357" i="6" a="1"/>
  <c r="M357" i="6"/>
  <c r="N357" i="6" a="1"/>
  <c r="N357" i="6" s="1"/>
  <c r="O357" i="6"/>
  <c r="P357" i="6"/>
  <c r="Q357" i="6"/>
  <c r="AB357" i="6" s="1"/>
  <c r="R357" i="6"/>
  <c r="S357" i="6"/>
  <c r="A358" i="6"/>
  <c r="B358" i="6"/>
  <c r="C358" i="6"/>
  <c r="G358" i="6"/>
  <c r="J358" i="6" s="1"/>
  <c r="K358" i="6"/>
  <c r="L358" i="6"/>
  <c r="M358" i="6" a="1"/>
  <c r="M358" i="6"/>
  <c r="N358" i="6" a="1"/>
  <c r="N358" i="6"/>
  <c r="O358" i="6"/>
  <c r="P358" i="6"/>
  <c r="Q358" i="6"/>
  <c r="R358" i="6"/>
  <c r="AB358" i="6" s="1"/>
  <c r="A359" i="6"/>
  <c r="B359" i="6"/>
  <c r="C359" i="6"/>
  <c r="G359" i="6"/>
  <c r="J359" i="6" s="1"/>
  <c r="K359" i="6"/>
  <c r="L359" i="6"/>
  <c r="M359" i="6" a="1"/>
  <c r="M359" i="6" s="1"/>
  <c r="N359" i="6" a="1"/>
  <c r="N359" i="6"/>
  <c r="O359" i="6"/>
  <c r="P359" i="6"/>
  <c r="Q359" i="6"/>
  <c r="R359" i="6"/>
  <c r="AB359" i="6"/>
  <c r="A360" i="6"/>
  <c r="B360" i="6"/>
  <c r="C360" i="6"/>
  <c r="G360" i="6"/>
  <c r="J360" i="6" s="1"/>
  <c r="K360" i="6"/>
  <c r="L360" i="6"/>
  <c r="M360" i="6" a="1"/>
  <c r="M360" i="6"/>
  <c r="N360" i="6" a="1"/>
  <c r="N360" i="6" s="1"/>
  <c r="S360" i="6" s="1"/>
  <c r="O360" i="6"/>
  <c r="P360" i="6"/>
  <c r="Q360" i="6"/>
  <c r="R360" i="6"/>
  <c r="AB360" i="6"/>
  <c r="A361" i="6"/>
  <c r="B361" i="6"/>
  <c r="C361" i="6"/>
  <c r="G361" i="6"/>
  <c r="I361" i="6" s="1"/>
  <c r="K361" i="6"/>
  <c r="L361" i="6"/>
  <c r="M361" i="6" a="1"/>
  <c r="M361" i="6"/>
  <c r="N361" i="6" a="1"/>
  <c r="N361" i="6" s="1"/>
  <c r="O361" i="6"/>
  <c r="P361" i="6"/>
  <c r="Q361" i="6"/>
  <c r="R361" i="6"/>
  <c r="AB361" i="6" s="1"/>
  <c r="A362" i="6"/>
  <c r="B362" i="6"/>
  <c r="C362" i="6"/>
  <c r="G362" i="6"/>
  <c r="J362" i="6" s="1"/>
  <c r="K362" i="6"/>
  <c r="L362" i="6"/>
  <c r="M362" i="6" a="1"/>
  <c r="M362" i="6" s="1"/>
  <c r="N362" i="6" a="1"/>
  <c r="N362" i="6"/>
  <c r="O362" i="6"/>
  <c r="P362" i="6"/>
  <c r="Q362" i="6"/>
  <c r="S362" i="6" s="1"/>
  <c r="R362" i="6"/>
  <c r="A363" i="6"/>
  <c r="B363" i="6"/>
  <c r="C363" i="6"/>
  <c r="G363" i="6"/>
  <c r="J363" i="6" s="1"/>
  <c r="K363" i="6"/>
  <c r="L363" i="6"/>
  <c r="M363" i="6" a="1"/>
  <c r="M363" i="6" s="1"/>
  <c r="N363" i="6" a="1"/>
  <c r="N363" i="6" s="1"/>
  <c r="O363" i="6"/>
  <c r="P363" i="6"/>
  <c r="Q363" i="6"/>
  <c r="S363" i="6" s="1"/>
  <c r="R363" i="6"/>
  <c r="A364" i="6"/>
  <c r="B364" i="6"/>
  <c r="C364" i="6"/>
  <c r="G364" i="6"/>
  <c r="E364" i="6" s="1"/>
  <c r="K364" i="6"/>
  <c r="L364" i="6"/>
  <c r="M364" i="6" a="1"/>
  <c r="M364" i="6"/>
  <c r="N364" i="6" a="1"/>
  <c r="N364" i="6"/>
  <c r="S364" i="6" s="1"/>
  <c r="O364" i="6"/>
  <c r="P364" i="6"/>
  <c r="Q364" i="6"/>
  <c r="R364" i="6"/>
  <c r="A365" i="6"/>
  <c r="B365" i="6"/>
  <c r="C365" i="6"/>
  <c r="G365" i="6"/>
  <c r="H365" i="6" s="1"/>
  <c r="K365" i="6"/>
  <c r="L365" i="6"/>
  <c r="M365" i="6" a="1"/>
  <c r="M365" i="6" s="1"/>
  <c r="N365" i="6" a="1"/>
  <c r="N365" i="6" s="1"/>
  <c r="S365" i="6" s="1"/>
  <c r="O365" i="6"/>
  <c r="P365" i="6"/>
  <c r="Q365" i="6"/>
  <c r="AB365" i="6" s="1"/>
  <c r="R365" i="6"/>
  <c r="A366" i="6"/>
  <c r="B366" i="6"/>
  <c r="C366" i="6"/>
  <c r="G366" i="6"/>
  <c r="J366" i="6" s="1"/>
  <c r="K366" i="6"/>
  <c r="L366" i="6"/>
  <c r="M366" i="6" a="1"/>
  <c r="M366" i="6" s="1"/>
  <c r="N366" i="6" a="1"/>
  <c r="N366" i="6" s="1"/>
  <c r="O366" i="6"/>
  <c r="P366" i="6"/>
  <c r="Q366" i="6"/>
  <c r="S366" i="6" s="1"/>
  <c r="R366" i="6"/>
  <c r="A367" i="6"/>
  <c r="B367" i="6"/>
  <c r="C367" i="6"/>
  <c r="G367" i="6"/>
  <c r="E367" i="6" s="1"/>
  <c r="H367" i="6"/>
  <c r="K367" i="6"/>
  <c r="L367" i="6"/>
  <c r="M367" i="6" a="1"/>
  <c r="M367" i="6"/>
  <c r="N367" i="6" a="1"/>
  <c r="N367" i="6"/>
  <c r="S367" i="6" s="1"/>
  <c r="O367" i="6"/>
  <c r="P367" i="6"/>
  <c r="Q367" i="6"/>
  <c r="R367" i="6"/>
  <c r="A368" i="6"/>
  <c r="B368" i="6"/>
  <c r="C368" i="6"/>
  <c r="G368" i="6"/>
  <c r="H368" i="6" s="1"/>
  <c r="K368" i="6"/>
  <c r="L368" i="6"/>
  <c r="M368" i="6" a="1"/>
  <c r="M368" i="6" s="1"/>
  <c r="N368" i="6" a="1"/>
  <c r="N368" i="6" s="1"/>
  <c r="S368" i="6" s="1"/>
  <c r="O368" i="6"/>
  <c r="P368" i="6"/>
  <c r="Q368" i="6"/>
  <c r="AB368" i="6" s="1"/>
  <c r="R368" i="6"/>
  <c r="A369" i="6"/>
  <c r="B369" i="6"/>
  <c r="C369" i="6"/>
  <c r="G369" i="6"/>
  <c r="I369" i="6" s="1"/>
  <c r="H369" i="6"/>
  <c r="K369" i="6"/>
  <c r="L369" i="6"/>
  <c r="M369" i="6" a="1"/>
  <c r="M369" i="6" s="1"/>
  <c r="N369" i="6" a="1"/>
  <c r="N369" i="6"/>
  <c r="S369" i="6" s="1"/>
  <c r="O369" i="6"/>
  <c r="P369" i="6"/>
  <c r="Q369" i="6"/>
  <c r="R369" i="6"/>
  <c r="AB369" i="6"/>
  <c r="A370" i="6"/>
  <c r="B370" i="6"/>
  <c r="C370" i="6"/>
  <c r="G370" i="6"/>
  <c r="I370" i="6" s="1"/>
  <c r="K370" i="6"/>
  <c r="L370" i="6"/>
  <c r="M370" i="6" a="1"/>
  <c r="M370" i="6" s="1"/>
  <c r="N370" i="6" a="1"/>
  <c r="N370" i="6" s="1"/>
  <c r="O370" i="6"/>
  <c r="P370" i="6"/>
  <c r="Q370" i="6"/>
  <c r="R370" i="6"/>
  <c r="A371" i="6"/>
  <c r="B371" i="6"/>
  <c r="C371" i="6"/>
  <c r="G371" i="6"/>
  <c r="E371" i="6" s="1"/>
  <c r="I371" i="6"/>
  <c r="K371" i="6"/>
  <c r="L371" i="6"/>
  <c r="M371" i="6" a="1"/>
  <c r="M371" i="6"/>
  <c r="N371" i="6" a="1"/>
  <c r="N371" i="6" s="1"/>
  <c r="S371" i="6" s="1"/>
  <c r="O371" i="6"/>
  <c r="P371" i="6"/>
  <c r="Q371" i="6"/>
  <c r="AB371" i="6" s="1"/>
  <c r="R371" i="6"/>
  <c r="A372" i="6"/>
  <c r="B372" i="6"/>
  <c r="C372" i="6"/>
  <c r="G372" i="6"/>
  <c r="H372" i="6" s="1"/>
  <c r="K372" i="6"/>
  <c r="L372" i="6"/>
  <c r="M372" i="6" a="1"/>
  <c r="M372" i="6" s="1"/>
  <c r="N372" i="6" a="1"/>
  <c r="N372" i="6"/>
  <c r="S372" i="6" s="1"/>
  <c r="O372" i="6"/>
  <c r="P372" i="6"/>
  <c r="Q372" i="6"/>
  <c r="R372" i="6"/>
  <c r="AB372" i="6"/>
  <c r="A373" i="6"/>
  <c r="B373" i="6"/>
  <c r="C373" i="6"/>
  <c r="G373" i="6"/>
  <c r="I373" i="6" s="1"/>
  <c r="K373" i="6"/>
  <c r="L373" i="6"/>
  <c r="M373" i="6" a="1"/>
  <c r="M373" i="6" s="1"/>
  <c r="N373" i="6" a="1"/>
  <c r="N373" i="6" s="1"/>
  <c r="O373" i="6"/>
  <c r="P373" i="6"/>
  <c r="Q373" i="6"/>
  <c r="S373" i="6" s="1"/>
  <c r="R373" i="6"/>
  <c r="A374" i="6"/>
  <c r="B374" i="6"/>
  <c r="C374" i="6"/>
  <c r="G374" i="6"/>
  <c r="E374" i="6" s="1"/>
  <c r="I374" i="6"/>
  <c r="K374" i="6"/>
  <c r="L374" i="6"/>
  <c r="M374" i="6" a="1"/>
  <c r="M374" i="6"/>
  <c r="N374" i="6" a="1"/>
  <c r="N374" i="6" s="1"/>
  <c r="S374" i="6" s="1"/>
  <c r="O374" i="6"/>
  <c r="P374" i="6"/>
  <c r="Q374" i="6"/>
  <c r="AB374" i="6" s="1"/>
  <c r="R374" i="6"/>
  <c r="A375" i="6"/>
  <c r="B375" i="6"/>
  <c r="C375" i="6"/>
  <c r="G375" i="6"/>
  <c r="H375" i="6" s="1"/>
  <c r="K375" i="6"/>
  <c r="L375" i="6"/>
  <c r="M375" i="6" a="1"/>
  <c r="M375" i="6" s="1"/>
  <c r="N375" i="6" a="1"/>
  <c r="N375" i="6"/>
  <c r="S375" i="6" s="1"/>
  <c r="O375" i="6"/>
  <c r="P375" i="6"/>
  <c r="Q375" i="6"/>
  <c r="R375" i="6"/>
  <c r="AB375" i="6"/>
  <c r="A376" i="6"/>
  <c r="B376" i="6"/>
  <c r="C376" i="6"/>
  <c r="G376" i="6"/>
  <c r="I376" i="6" s="1"/>
  <c r="K376" i="6"/>
  <c r="L376" i="6"/>
  <c r="M376" i="6" a="1"/>
  <c r="M376" i="6" s="1"/>
  <c r="N376" i="6" a="1"/>
  <c r="N376" i="6" s="1"/>
  <c r="O376" i="6"/>
  <c r="P376" i="6"/>
  <c r="Q376" i="6"/>
  <c r="S376" i="6" s="1"/>
  <c r="R376" i="6"/>
  <c r="A377" i="6"/>
  <c r="B377" i="6"/>
  <c r="C377" i="6"/>
  <c r="G377" i="6"/>
  <c r="E377" i="6" s="1"/>
  <c r="K377" i="6"/>
  <c r="L377" i="6"/>
  <c r="M377" i="6" a="1"/>
  <c r="M377" i="6"/>
  <c r="N377" i="6" a="1"/>
  <c r="N377" i="6" s="1"/>
  <c r="S377" i="6" s="1"/>
  <c r="O377" i="6"/>
  <c r="P377" i="6"/>
  <c r="Q377" i="6"/>
  <c r="AB377" i="6" s="1"/>
  <c r="R377" i="6"/>
  <c r="A378" i="6"/>
  <c r="B378" i="6"/>
  <c r="C378" i="6"/>
  <c r="G378" i="6"/>
  <c r="H378" i="6" s="1"/>
  <c r="K378" i="6"/>
  <c r="L378" i="6"/>
  <c r="M378" i="6" a="1"/>
  <c r="M378" i="6" s="1"/>
  <c r="N378" i="6" a="1"/>
  <c r="N378" i="6"/>
  <c r="S378" i="6" s="1"/>
  <c r="O378" i="6"/>
  <c r="P378" i="6"/>
  <c r="Q378" i="6"/>
  <c r="R378" i="6"/>
  <c r="AB378" i="6"/>
  <c r="A379" i="6"/>
  <c r="B379" i="6"/>
  <c r="C379" i="6"/>
  <c r="G379" i="6"/>
  <c r="I379" i="6" s="1"/>
  <c r="K379" i="6"/>
  <c r="L379" i="6"/>
  <c r="M379" i="6" a="1"/>
  <c r="M379" i="6" s="1"/>
  <c r="N379" i="6" a="1"/>
  <c r="N379" i="6" s="1"/>
  <c r="O379" i="6"/>
  <c r="P379" i="6"/>
  <c r="Q379" i="6"/>
  <c r="R379" i="6"/>
  <c r="A380" i="6"/>
  <c r="B380" i="6"/>
  <c r="C380" i="6"/>
  <c r="G380" i="6"/>
  <c r="E380" i="6" s="1"/>
  <c r="K380" i="6"/>
  <c r="L380" i="6"/>
  <c r="M380" i="6" a="1"/>
  <c r="M380" i="6"/>
  <c r="N380" i="6" a="1"/>
  <c r="N380" i="6" s="1"/>
  <c r="S380" i="6" s="1"/>
  <c r="O380" i="6"/>
  <c r="P380" i="6"/>
  <c r="Q380" i="6"/>
  <c r="AB380" i="6" s="1"/>
  <c r="R380" i="6"/>
  <c r="A381" i="6"/>
  <c r="B381" i="6"/>
  <c r="C381" i="6"/>
  <c r="G381" i="6"/>
  <c r="H381" i="6" s="1"/>
  <c r="I381" i="6"/>
  <c r="J381" i="6"/>
  <c r="K381" i="6"/>
  <c r="L381" i="6"/>
  <c r="M381" i="6" a="1"/>
  <c r="M381" i="6" s="1"/>
  <c r="N381" i="6" a="1"/>
  <c r="N381" i="6"/>
  <c r="S381" i="6" s="1"/>
  <c r="O381" i="6"/>
  <c r="P381" i="6"/>
  <c r="Q381" i="6"/>
  <c r="R381" i="6"/>
  <c r="AB381" i="6"/>
  <c r="A382" i="6"/>
  <c r="B382" i="6"/>
  <c r="C382" i="6"/>
  <c r="G382" i="6"/>
  <c r="I382" i="6" s="1"/>
  <c r="K382" i="6"/>
  <c r="L382" i="6"/>
  <c r="M382" i="6" a="1"/>
  <c r="M382" i="6" s="1"/>
  <c r="N382" i="6" a="1"/>
  <c r="N382" i="6" s="1"/>
  <c r="O382" i="6"/>
  <c r="P382" i="6"/>
  <c r="Q382" i="6"/>
  <c r="S382" i="6" s="1"/>
  <c r="R382" i="6"/>
  <c r="A383" i="6"/>
  <c r="B383" i="6"/>
  <c r="C383" i="6"/>
  <c r="G383" i="6"/>
  <c r="E383" i="6" s="1"/>
  <c r="K383" i="6"/>
  <c r="L383" i="6"/>
  <c r="M383" i="6" a="1"/>
  <c r="M383" i="6"/>
  <c r="N383" i="6" a="1"/>
  <c r="N383" i="6" s="1"/>
  <c r="S383" i="6" s="1"/>
  <c r="O383" i="6"/>
  <c r="P383" i="6"/>
  <c r="Q383" i="6"/>
  <c r="AB383" i="6" s="1"/>
  <c r="R383" i="6"/>
  <c r="A384" i="6"/>
  <c r="B384" i="6"/>
  <c r="C384" i="6"/>
  <c r="G384" i="6"/>
  <c r="H384" i="6" s="1"/>
  <c r="I384" i="6"/>
  <c r="K384" i="6"/>
  <c r="L384" i="6"/>
  <c r="M384" i="6" a="1"/>
  <c r="M384" i="6" s="1"/>
  <c r="N384" i="6" a="1"/>
  <c r="N384" i="6"/>
  <c r="S384" i="6" s="1"/>
  <c r="O384" i="6"/>
  <c r="P384" i="6"/>
  <c r="Q384" i="6"/>
  <c r="R384" i="6"/>
  <c r="AB384" i="6"/>
  <c r="A385" i="6"/>
  <c r="B385" i="6"/>
  <c r="C385" i="6"/>
  <c r="G385" i="6"/>
  <c r="I385" i="6" s="1"/>
  <c r="K385" i="6"/>
  <c r="L385" i="6"/>
  <c r="M385" i="6" a="1"/>
  <c r="M385" i="6" s="1"/>
  <c r="N385" i="6" a="1"/>
  <c r="N385" i="6" s="1"/>
  <c r="O385" i="6"/>
  <c r="P385" i="6"/>
  <c r="Q385" i="6"/>
  <c r="S385" i="6" s="1"/>
  <c r="R385" i="6"/>
  <c r="A386" i="6"/>
  <c r="B386" i="6"/>
  <c r="C386" i="6"/>
  <c r="G386" i="6"/>
  <c r="E386" i="6" s="1"/>
  <c r="H386" i="6"/>
  <c r="K386" i="6"/>
  <c r="L386" i="6"/>
  <c r="M386" i="6" a="1"/>
  <c r="M386" i="6" s="1"/>
  <c r="N386" i="6" a="1"/>
  <c r="N386" i="6" s="1"/>
  <c r="S386" i="6" s="1"/>
  <c r="O386" i="6"/>
  <c r="P386" i="6"/>
  <c r="Q386" i="6"/>
  <c r="AB386" i="6" s="1"/>
  <c r="R386" i="6"/>
  <c r="A387" i="6"/>
  <c r="B387" i="6"/>
  <c r="C387" i="6"/>
  <c r="G387" i="6"/>
  <c r="H387" i="6" s="1"/>
  <c r="K387" i="6"/>
  <c r="L387" i="6"/>
  <c r="M387" i="6" a="1"/>
  <c r="M387" i="6" s="1"/>
  <c r="N387" i="6" a="1"/>
  <c r="N387" i="6" s="1"/>
  <c r="S387" i="6" s="1"/>
  <c r="O387" i="6"/>
  <c r="P387" i="6"/>
  <c r="Q387" i="6"/>
  <c r="R387" i="6"/>
  <c r="AB387" i="6"/>
  <c r="A35" i="3" a="1"/>
  <c r="A36" i="3" a="1"/>
  <c r="A37" i="3" a="1"/>
  <c r="A37" i="3" s="1"/>
  <c r="A37" i="6" s="1"/>
  <c r="A38" i="3" a="1"/>
  <c r="A38" i="3" s="1"/>
  <c r="A38" i="6" s="1"/>
  <c r="A39" i="3" a="1"/>
  <c r="A40" i="3" a="1"/>
  <c r="A41" i="3" a="1"/>
  <c r="A42" i="3" a="1"/>
  <c r="A43" i="3" a="1"/>
  <c r="A43" i="3" s="1"/>
  <c r="A43" i="6" s="1"/>
  <c r="A44" i="3" a="1"/>
  <c r="A45" i="3" a="1"/>
  <c r="A46" i="3" a="1"/>
  <c r="A47" i="3" a="1"/>
  <c r="A47" i="3" s="1"/>
  <c r="A47" i="6" s="1"/>
  <c r="A48" i="3" a="1"/>
  <c r="A48" i="3" s="1"/>
  <c r="A48" i="6" s="1"/>
  <c r="A49" i="3" a="1"/>
  <c r="A49" i="3" s="1"/>
  <c r="A49" i="6" s="1"/>
  <c r="A50" i="3" a="1"/>
  <c r="A50" i="3" s="1"/>
  <c r="A50" i="6" s="1"/>
  <c r="A51" i="3" a="1"/>
  <c r="A51" i="3" s="1"/>
  <c r="A51" i="6" s="1"/>
  <c r="A52" i="3" a="1"/>
  <c r="A52" i="3" s="1"/>
  <c r="A52" i="6" s="1"/>
  <c r="A53" i="3" a="1"/>
  <c r="A53" i="3" s="1"/>
  <c r="A53" i="6" s="1"/>
  <c r="A54" i="3" a="1"/>
  <c r="A54" i="3" s="1"/>
  <c r="A54" i="6" s="1"/>
  <c r="A55" i="3" a="1"/>
  <c r="A55" i="3" s="1"/>
  <c r="A55" i="6" s="1"/>
  <c r="A56" i="3" a="1"/>
  <c r="A56" i="3" s="1"/>
  <c r="A56" i="6" s="1"/>
  <c r="A57" i="3" a="1"/>
  <c r="A57" i="3" s="1"/>
  <c r="A57" i="6" s="1"/>
  <c r="A58" i="3" a="1"/>
  <c r="A58" i="3" s="1"/>
  <c r="A58" i="6" s="1"/>
  <c r="A59" i="3" a="1"/>
  <c r="A59" i="3" s="1"/>
  <c r="A59" i="6" s="1"/>
  <c r="A60" i="3" a="1"/>
  <c r="A60" i="3" s="1"/>
  <c r="A60" i="6" s="1"/>
  <c r="A61" i="3" a="1"/>
  <c r="A61" i="3" s="1"/>
  <c r="A61" i="6" s="1"/>
  <c r="A62" i="3" a="1"/>
  <c r="A62" i="3" s="1"/>
  <c r="A62" i="6" s="1"/>
  <c r="A63" i="3" a="1"/>
  <c r="A63" i="3" s="1"/>
  <c r="A63" i="6" s="1"/>
  <c r="A64" i="3" a="1"/>
  <c r="A64" i="3" s="1"/>
  <c r="A64" i="6" s="1"/>
  <c r="A65" i="3" a="1"/>
  <c r="A65" i="3" s="1"/>
  <c r="A65" i="6" s="1"/>
  <c r="A66" i="3" a="1"/>
  <c r="A66" i="3" s="1"/>
  <c r="A66" i="6" s="1"/>
  <c r="A67" i="3" a="1"/>
  <c r="A67" i="3" s="1"/>
  <c r="A67" i="6" s="1"/>
  <c r="A68" i="3" a="1"/>
  <c r="A68" i="3" s="1"/>
  <c r="A68" i="6" s="1"/>
  <c r="A69" i="3" a="1"/>
  <c r="A69" i="3" s="1"/>
  <c r="A69" i="6" s="1"/>
  <c r="A70" i="3" a="1"/>
  <c r="A70" i="3" s="1"/>
  <c r="A70" i="6" s="1"/>
  <c r="A71" i="3" a="1"/>
  <c r="A71" i="3" s="1"/>
  <c r="A71" i="6" s="1"/>
  <c r="A72" i="3" a="1"/>
  <c r="A72" i="3" s="1"/>
  <c r="A72" i="6" s="1"/>
  <c r="A73" i="3" a="1"/>
  <c r="A73" i="3" s="1"/>
  <c r="A73" i="6" s="1"/>
  <c r="A74" i="3" a="1"/>
  <c r="A74" i="3" s="1"/>
  <c r="A74" i="6" s="1"/>
  <c r="A75" i="3" a="1"/>
  <c r="A75" i="3" s="1"/>
  <c r="A75" i="6" s="1"/>
  <c r="A76" i="3" a="1"/>
  <c r="A76" i="3" s="1"/>
  <c r="A76" i="6" s="1"/>
  <c r="A77" i="3" a="1"/>
  <c r="A77" i="3" s="1"/>
  <c r="A77" i="6" s="1"/>
  <c r="A78" i="3" a="1"/>
  <c r="A78" i="3" s="1"/>
  <c r="A78" i="6" s="1"/>
  <c r="A79" i="3" a="1"/>
  <c r="A79" i="3" s="1"/>
  <c r="A79" i="6" s="1"/>
  <c r="A80" i="3" a="1"/>
  <c r="A80" i="3" s="1"/>
  <c r="A81" i="3" a="1"/>
  <c r="A81" i="3" s="1"/>
  <c r="A81" i="6" s="1"/>
  <c r="A82" i="3" a="1"/>
  <c r="A82" i="3" s="1"/>
  <c r="A82" i="6" s="1"/>
  <c r="A83" i="3" a="1"/>
  <c r="A83" i="3" s="1"/>
  <c r="A83" i="6" s="1"/>
  <c r="A84" i="3" a="1"/>
  <c r="A84" i="3" s="1"/>
  <c r="A84" i="6" s="1"/>
  <c r="A85" i="3" a="1"/>
  <c r="A85" i="3" s="1"/>
  <c r="A85" i="6" s="1"/>
  <c r="A86" i="3" a="1"/>
  <c r="A86" i="3" s="1"/>
  <c r="A87" i="3" a="1"/>
  <c r="A87" i="3" s="1"/>
  <c r="A87" i="6" s="1"/>
  <c r="A88" i="3" a="1"/>
  <c r="A88" i="3" s="1"/>
  <c r="A88" i="6" s="1"/>
  <c r="A89" i="3" a="1"/>
  <c r="A89" i="3" s="1"/>
  <c r="A89" i="6" s="1"/>
  <c r="A90" i="3" a="1"/>
  <c r="A90" i="3" s="1"/>
  <c r="A90" i="6" s="1"/>
  <c r="A91" i="3" a="1"/>
  <c r="A91" i="3" s="1"/>
  <c r="A91" i="6" s="1"/>
  <c r="A92" i="3" a="1"/>
  <c r="A92" i="3" s="1"/>
  <c r="A92" i="6" s="1"/>
  <c r="A93" i="3" a="1"/>
  <c r="A93" i="3" s="1"/>
  <c r="A93" i="6" s="1"/>
  <c r="A94" i="3" a="1"/>
  <c r="A94" i="3" s="1"/>
  <c r="A94" i="6" s="1"/>
  <c r="A95" i="3" a="1"/>
  <c r="A95" i="3" s="1"/>
  <c r="A96" i="3" a="1"/>
  <c r="A96" i="3" s="1"/>
  <c r="A96" i="6" s="1"/>
  <c r="A97" i="3" a="1"/>
  <c r="A97" i="3" s="1"/>
  <c r="A97" i="6" s="1"/>
  <c r="A98" i="3" a="1"/>
  <c r="A98" i="3" s="1"/>
  <c r="A98" i="6" s="1"/>
  <c r="A99" i="3" a="1"/>
  <c r="A99" i="3" s="1"/>
  <c r="A99" i="6" s="1"/>
  <c r="A100" i="3" a="1"/>
  <c r="A100" i="3" s="1"/>
  <c r="A100" i="6" s="1"/>
  <c r="A101" i="3" a="1"/>
  <c r="A101" i="3" s="1"/>
  <c r="A101" i="6" s="1"/>
  <c r="A102" i="3" a="1"/>
  <c r="A102" i="3" s="1"/>
  <c r="A102" i="6" s="1"/>
  <c r="A103" i="3" a="1"/>
  <c r="A103" i="3" s="1"/>
  <c r="A103" i="6" s="1"/>
  <c r="A104" i="3" a="1"/>
  <c r="A104" i="3" s="1"/>
  <c r="A104" i="6" s="1"/>
  <c r="A105" i="3" a="1"/>
  <c r="A105" i="3" s="1"/>
  <c r="A105" i="6" s="1"/>
  <c r="A106" i="3" a="1"/>
  <c r="A106" i="3" s="1"/>
  <c r="A106" i="6" s="1"/>
  <c r="A107" i="3" a="1"/>
  <c r="A107" i="3" s="1"/>
  <c r="A107" i="6" s="1"/>
  <c r="A108" i="3" a="1"/>
  <c r="A108" i="3" s="1"/>
  <c r="A108" i="6" s="1"/>
  <c r="A109" i="3" a="1"/>
  <c r="A109" i="3" s="1"/>
  <c r="A109" i="6" s="1"/>
  <c r="A110" i="3" a="1"/>
  <c r="A110" i="3" s="1"/>
  <c r="A110" i="6" s="1"/>
  <c r="A111" i="3" a="1"/>
  <c r="A111" i="3" s="1"/>
  <c r="A111" i="6" s="1"/>
  <c r="A112" i="3" a="1"/>
  <c r="A112" i="3" s="1"/>
  <c r="A112" i="6" s="1"/>
  <c r="A113" i="3" a="1"/>
  <c r="A113" i="3" s="1"/>
  <c r="A113" i="6" s="1"/>
  <c r="A114" i="3" a="1"/>
  <c r="A114" i="3" s="1"/>
  <c r="A114" i="6" s="1"/>
  <c r="A115" i="3" a="1"/>
  <c r="A115" i="3" s="1"/>
  <c r="A115" i="6" s="1"/>
  <c r="A116" i="3" a="1"/>
  <c r="A116" i="3" s="1"/>
  <c r="A116" i="6" s="1"/>
  <c r="A117" i="3" a="1"/>
  <c r="A117" i="3" s="1"/>
  <c r="A117" i="6" s="1"/>
  <c r="A118" i="3" a="1"/>
  <c r="A118" i="3" s="1"/>
  <c r="A118" i="6" s="1"/>
  <c r="A119" i="3" a="1"/>
  <c r="A119" i="3" s="1"/>
  <c r="A119" i="6" s="1"/>
  <c r="A120" i="3" a="1"/>
  <c r="A120" i="3" s="1"/>
  <c r="A120" i="6" s="1"/>
  <c r="A121" i="3" a="1"/>
  <c r="A121" i="3" s="1"/>
  <c r="A121" i="6" s="1"/>
  <c r="A122" i="3" a="1"/>
  <c r="A122" i="3" s="1"/>
  <c r="A122" i="6" s="1"/>
  <c r="A123" i="3" a="1"/>
  <c r="A123" i="3" s="1"/>
  <c r="A123" i="6" s="1"/>
  <c r="A124" i="3" a="1"/>
  <c r="A124" i="3" s="1"/>
  <c r="A124" i="6" s="1"/>
  <c r="A125" i="3" a="1"/>
  <c r="A125" i="3" s="1"/>
  <c r="A125" i="6" s="1"/>
  <c r="A126" i="3" a="1"/>
  <c r="A126" i="3" s="1"/>
  <c r="A126" i="6" s="1"/>
  <c r="A127" i="3" a="1"/>
  <c r="A127" i="3" s="1"/>
  <c r="A127" i="6" s="1"/>
  <c r="A128" i="3" a="1"/>
  <c r="A128" i="3" s="1"/>
  <c r="A128" i="6" s="1"/>
  <c r="A129" i="3" a="1"/>
  <c r="A129" i="3" s="1"/>
  <c r="A129" i="6" s="1"/>
  <c r="A130" i="3" a="1"/>
  <c r="A130" i="3" s="1"/>
  <c r="A130" i="6" s="1"/>
  <c r="A131" i="3" a="1"/>
  <c r="A131" i="3" s="1"/>
  <c r="A131" i="6" s="1"/>
  <c r="A132" i="3" a="1"/>
  <c r="A132" i="3" s="1"/>
  <c r="A132" i="6" s="1"/>
  <c r="A133" i="3" a="1"/>
  <c r="A133" i="3" s="1"/>
  <c r="A133" i="6" s="1"/>
  <c r="A134" i="3" a="1"/>
  <c r="A134" i="3" s="1"/>
  <c r="A134" i="6" s="1"/>
  <c r="A135" i="3" a="1"/>
  <c r="A135" i="3" s="1"/>
  <c r="A136" i="3" a="1"/>
  <c r="A136" i="3" s="1"/>
  <c r="A136" i="6" s="1"/>
  <c r="A137" i="3" a="1"/>
  <c r="A137" i="3" s="1"/>
  <c r="A137" i="6" s="1"/>
  <c r="A138" i="3" a="1"/>
  <c r="A138" i="3" s="1"/>
  <c r="A138" i="6" s="1"/>
  <c r="A139" i="3" a="1"/>
  <c r="A139" i="3" s="1"/>
  <c r="A139" i="6" s="1"/>
  <c r="A140" i="3" a="1"/>
  <c r="A140" i="3" s="1"/>
  <c r="A140" i="6" s="1"/>
  <c r="A141" i="3" a="1"/>
  <c r="A141" i="3" s="1"/>
  <c r="A141" i="6" s="1"/>
  <c r="A142" i="3" a="1"/>
  <c r="A142" i="3" s="1"/>
  <c r="A142" i="6" s="1"/>
  <c r="A143" i="3" a="1"/>
  <c r="A143" i="3" s="1"/>
  <c r="A143" i="6" s="1"/>
  <c r="A144" i="3" a="1"/>
  <c r="A144" i="3" s="1"/>
  <c r="A144" i="6" s="1"/>
  <c r="A145" i="3" a="1"/>
  <c r="A145" i="3" s="1"/>
  <c r="A145" i="6" s="1"/>
  <c r="A146" i="3" a="1"/>
  <c r="A146" i="3" s="1"/>
  <c r="A146" i="6" s="1"/>
  <c r="A147" i="3" a="1"/>
  <c r="A147" i="3" s="1"/>
  <c r="A147" i="6" s="1"/>
  <c r="A148" i="3" a="1"/>
  <c r="A148" i="3" s="1"/>
  <c r="A148" i="6" s="1"/>
  <c r="A149" i="3" a="1"/>
  <c r="A149" i="3" s="1"/>
  <c r="A150" i="3" a="1"/>
  <c r="A150" i="3" s="1"/>
  <c r="A150" i="6" s="1"/>
  <c r="A151" i="3" a="1"/>
  <c r="A151" i="3" s="1"/>
  <c r="A151" i="6" s="1"/>
  <c r="A152" i="3" a="1"/>
  <c r="A152" i="3" s="1"/>
  <c r="A152" i="6" s="1"/>
  <c r="A153" i="3" a="1"/>
  <c r="A153" i="3" s="1"/>
  <c r="A153" i="6" s="1"/>
  <c r="A154" i="3" a="1"/>
  <c r="A154" i="3" s="1"/>
  <c r="A154" i="6" s="1"/>
  <c r="A155" i="3" a="1"/>
  <c r="A155" i="3" s="1"/>
  <c r="A155" i="6" s="1"/>
  <c r="A156" i="3" a="1"/>
  <c r="A156" i="3" s="1"/>
  <c r="A156" i="6" s="1"/>
  <c r="A157" i="3" a="1"/>
  <c r="A157" i="3" s="1"/>
  <c r="A157" i="6" s="1"/>
  <c r="A158" i="3" a="1"/>
  <c r="A158" i="3" s="1"/>
  <c r="A158" i="6" s="1"/>
  <c r="A159" i="3" a="1"/>
  <c r="A159" i="3" s="1"/>
  <c r="A159" i="6" s="1"/>
  <c r="A160" i="3" a="1"/>
  <c r="A160" i="3" s="1"/>
  <c r="A160" i="6" s="1"/>
  <c r="A161" i="3" a="1"/>
  <c r="A161" i="3" s="1"/>
  <c r="A161" i="6" s="1"/>
  <c r="A162" i="3" a="1"/>
  <c r="A162" i="3" s="1"/>
  <c r="A162" i="6" s="1"/>
  <c r="A163" i="3" a="1"/>
  <c r="A163" i="3" s="1"/>
  <c r="A163" i="6" s="1"/>
  <c r="A164" i="3" a="1"/>
  <c r="A164" i="3" s="1"/>
  <c r="A164" i="6" s="1"/>
  <c r="A165" i="3" a="1"/>
  <c r="A165" i="3" s="1"/>
  <c r="A165" i="6" s="1"/>
  <c r="A166" i="3" a="1"/>
  <c r="A166" i="3" s="1"/>
  <c r="A166" i="6" s="1"/>
  <c r="A167" i="3" a="1"/>
  <c r="A167" i="3" s="1"/>
  <c r="A167" i="6" s="1"/>
  <c r="A168" i="3" a="1"/>
  <c r="A168" i="3" s="1"/>
  <c r="A168" i="6" s="1"/>
  <c r="A169" i="3" a="1"/>
  <c r="A169" i="3" s="1"/>
  <c r="A169" i="6" s="1"/>
  <c r="A170" i="3" a="1"/>
  <c r="A170" i="3" s="1"/>
  <c r="A170" i="6" s="1"/>
  <c r="A171" i="3" a="1"/>
  <c r="A171" i="3" s="1"/>
  <c r="A171" i="6" s="1"/>
  <c r="A172" i="3" a="1"/>
  <c r="A172" i="3" s="1"/>
  <c r="A172" i="6" s="1"/>
  <c r="A173" i="3" a="1"/>
  <c r="A173" i="3" s="1"/>
  <c r="A173" i="6" s="1"/>
  <c r="A174" i="3" a="1"/>
  <c r="A174" i="3" s="1"/>
  <c r="A174" i="6" s="1"/>
  <c r="A175" i="3" a="1"/>
  <c r="A175" i="3" s="1"/>
  <c r="A175" i="6" s="1"/>
  <c r="A176" i="3" a="1"/>
  <c r="A176" i="3" s="1"/>
  <c r="A176" i="6" s="1"/>
  <c r="A177" i="3" a="1"/>
  <c r="A177" i="3" s="1"/>
  <c r="A177" i="6" s="1"/>
  <c r="A178" i="3" a="1"/>
  <c r="A178" i="3" s="1"/>
  <c r="A178" i="6" s="1"/>
  <c r="A179" i="3" a="1"/>
  <c r="A179" i="3" s="1"/>
  <c r="A179" i="6" s="1"/>
  <c r="A180" i="3" a="1"/>
  <c r="A180" i="3" s="1"/>
  <c r="A180" i="6" s="1"/>
  <c r="A181" i="3" a="1"/>
  <c r="A181" i="3" s="1"/>
  <c r="A181" i="6" s="1"/>
  <c r="A182" i="3" a="1"/>
  <c r="A182" i="3" s="1"/>
  <c r="A182" i="6" s="1"/>
  <c r="A183" i="3" a="1"/>
  <c r="A183" i="3" s="1"/>
  <c r="A183" i="6" s="1"/>
  <c r="A184" i="3" a="1"/>
  <c r="A184" i="3" s="1"/>
  <c r="A184" i="6" s="1"/>
  <c r="A185" i="3" a="1"/>
  <c r="A185" i="3" s="1"/>
  <c r="A185" i="6" s="1"/>
  <c r="A186" i="3" a="1"/>
  <c r="A186" i="3" s="1"/>
  <c r="A186" i="6" s="1"/>
  <c r="A187" i="3" a="1"/>
  <c r="A187" i="3" s="1"/>
  <c r="A187" i="6" s="1"/>
  <c r="A188" i="3" a="1"/>
  <c r="A188" i="3" s="1"/>
  <c r="A188" i="6" s="1"/>
  <c r="A189" i="3" a="1"/>
  <c r="A189" i="3" s="1"/>
  <c r="A189" i="6" s="1"/>
  <c r="A190" i="3" a="1"/>
  <c r="A190" i="3" s="1"/>
  <c r="A190" i="6" s="1"/>
  <c r="A191" i="3" a="1"/>
  <c r="A191" i="3" s="1"/>
  <c r="A191" i="6" s="1"/>
  <c r="A192" i="3" a="1"/>
  <c r="A192" i="3" s="1"/>
  <c r="A192" i="6" s="1"/>
  <c r="A193" i="3" a="1"/>
  <c r="A193" i="3" s="1"/>
  <c r="A193" i="6" s="1"/>
  <c r="A194" i="3" a="1"/>
  <c r="A194" i="3" s="1"/>
  <c r="A194" i="6" s="1"/>
  <c r="A195" i="3" a="1"/>
  <c r="A195" i="3" s="1"/>
  <c r="A196" i="3" a="1"/>
  <c r="A196" i="3" s="1"/>
  <c r="A196" i="6" s="1"/>
  <c r="A197" i="3" a="1"/>
  <c r="A197" i="3" s="1"/>
  <c r="A197" i="6" s="1"/>
  <c r="A198" i="3" a="1"/>
  <c r="A198" i="3" s="1"/>
  <c r="A198" i="6" s="1"/>
  <c r="A199" i="3" a="1"/>
  <c r="A199" i="3" s="1"/>
  <c r="A199" i="6" s="1"/>
  <c r="A200" i="3" a="1"/>
  <c r="A200" i="3" s="1"/>
  <c r="A200" i="6" s="1"/>
  <c r="A201" i="3" a="1"/>
  <c r="A201" i="3" s="1"/>
  <c r="A201" i="6" s="1"/>
  <c r="A202" i="3" a="1"/>
  <c r="A202" i="3" s="1"/>
  <c r="A202" i="6" s="1"/>
  <c r="A203" i="3" a="1"/>
  <c r="A203" i="3" s="1"/>
  <c r="A203" i="6" s="1"/>
  <c r="A204" i="3" a="1"/>
  <c r="A204" i="3" s="1"/>
  <c r="A204" i="6" s="1"/>
  <c r="A205" i="3" a="1"/>
  <c r="A205" i="3" s="1"/>
  <c r="A205" i="6" s="1"/>
  <c r="A206" i="3" a="1"/>
  <c r="A206" i="3" s="1"/>
  <c r="A207" i="3" a="1"/>
  <c r="A207" i="3" s="1"/>
  <c r="A207" i="6" s="1"/>
  <c r="A208" i="3" a="1"/>
  <c r="A208" i="3" s="1"/>
  <c r="A208" i="6" s="1"/>
  <c r="A209" i="3" a="1"/>
  <c r="A209" i="3" s="1"/>
  <c r="A210" i="3" a="1"/>
  <c r="A210" i="3" s="1"/>
  <c r="A210" i="6" s="1"/>
  <c r="A211" i="3" a="1"/>
  <c r="A211" i="3" s="1"/>
  <c r="A211" i="6" s="1"/>
  <c r="A212" i="3" a="1"/>
  <c r="A212" i="3" s="1"/>
  <c r="A212" i="6" s="1"/>
  <c r="A213" i="3" a="1"/>
  <c r="A213" i="3" s="1"/>
  <c r="A213" i="6" s="1"/>
  <c r="A214" i="3" a="1"/>
  <c r="A214" i="3" s="1"/>
  <c r="A214" i="6" s="1"/>
  <c r="A215" i="3" a="1"/>
  <c r="A215" i="3" s="1"/>
  <c r="A215" i="6" s="1"/>
  <c r="A216" i="3" a="1"/>
  <c r="A216" i="3" s="1"/>
  <c r="A216" i="6" s="1"/>
  <c r="A217" i="3" a="1"/>
  <c r="A217" i="3" s="1"/>
  <c r="A217" i="6" s="1"/>
  <c r="A218" i="3" a="1"/>
  <c r="A218" i="3" s="1"/>
  <c r="A218" i="6" s="1"/>
  <c r="A219" i="3" a="1"/>
  <c r="A219" i="3" s="1"/>
  <c r="A220" i="3" a="1"/>
  <c r="A220" i="3" s="1"/>
  <c r="A220" i="6" s="1"/>
  <c r="A221" i="3" a="1"/>
  <c r="A221" i="3" s="1"/>
  <c r="A221" i="6" s="1"/>
  <c r="A222" i="3" a="1"/>
  <c r="A222" i="3" s="1"/>
  <c r="A222" i="6" s="1"/>
  <c r="A223" i="3" a="1"/>
  <c r="A223" i="3" s="1"/>
  <c r="A223" i="6" s="1"/>
  <c r="A224" i="3" a="1"/>
  <c r="A224" i="3" s="1"/>
  <c r="A224" i="6" s="1"/>
  <c r="A225" i="3" a="1"/>
  <c r="A225" i="3" s="1"/>
  <c r="A225" i="6" s="1"/>
  <c r="A226" i="3" a="1"/>
  <c r="A226" i="3" s="1"/>
  <c r="A226" i="6" s="1"/>
  <c r="A227" i="3" a="1"/>
  <c r="A227" i="3" s="1"/>
  <c r="A227" i="6" s="1"/>
  <c r="A228" i="3" a="1"/>
  <c r="A228" i="3" s="1"/>
  <c r="A228" i="6" s="1"/>
  <c r="A229" i="3" a="1"/>
  <c r="A229" i="3" s="1"/>
  <c r="A229" i="6" s="1"/>
  <c r="A230" i="3" a="1"/>
  <c r="A230" i="3" s="1"/>
  <c r="A230" i="6" s="1"/>
  <c r="A231" i="3" a="1"/>
  <c r="A231" i="3" s="1"/>
  <c r="A232" i="3" a="1"/>
  <c r="A232" i="3" s="1"/>
  <c r="A232" i="6" s="1"/>
  <c r="A233" i="3" a="1"/>
  <c r="A233" i="3" s="1"/>
  <c r="A233" i="6" s="1"/>
  <c r="A234" i="3" a="1"/>
  <c r="A234" i="3" s="1"/>
  <c r="A234" i="6" s="1"/>
  <c r="A235" i="3" a="1"/>
  <c r="A235" i="3" s="1"/>
  <c r="A235" i="6" s="1"/>
  <c r="A236" i="3" a="1"/>
  <c r="A236" i="3" s="1"/>
  <c r="A236" i="6" s="1"/>
  <c r="A237" i="3" a="1"/>
  <c r="A237" i="3" s="1"/>
  <c r="A237" i="6" s="1"/>
  <c r="A238" i="3" a="1"/>
  <c r="A238" i="3" s="1"/>
  <c r="A238" i="6" s="1"/>
  <c r="A239" i="3" a="1"/>
  <c r="A239" i="3" s="1"/>
  <c r="A239" i="6" s="1"/>
  <c r="A240" i="3" a="1"/>
  <c r="A240" i="3" s="1"/>
  <c r="A240" i="6" s="1"/>
  <c r="A241" i="3" a="1"/>
  <c r="A241" i="3" s="1"/>
  <c r="A241" i="6" s="1"/>
  <c r="A242" i="3" a="1"/>
  <c r="A242" i="3" s="1"/>
  <c r="A242" i="6" s="1"/>
  <c r="A243" i="3" a="1"/>
  <c r="A243" i="3" s="1"/>
  <c r="A243" i="6" s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B113" i="1" s="1"/>
  <c r="D113" i="15" s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1" i="1"/>
  <c r="A10" i="1"/>
  <c r="A3" i="1"/>
  <c r="A4" i="1"/>
  <c r="A5" i="1"/>
  <c r="A6" i="1"/>
  <c r="A7" i="1"/>
  <c r="A8" i="1"/>
  <c r="A9" i="1"/>
  <c r="A2" i="1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1" i="5"/>
  <c r="A3" i="5"/>
  <c r="A4" i="5"/>
  <c r="A5" i="5"/>
  <c r="A6" i="5"/>
  <c r="A7" i="5"/>
  <c r="A8" i="5"/>
  <c r="A9" i="5"/>
  <c r="A10" i="5"/>
  <c r="A2" i="5"/>
  <c r="V152" i="4" a="1"/>
  <c r="V152" i="4" s="1"/>
  <c r="V153" i="4" a="1"/>
  <c r="V153" i="4" s="1"/>
  <c r="V154" i="4" a="1"/>
  <c r="V154" i="4" s="1"/>
  <c r="V155" i="4" a="1"/>
  <c r="V155" i="4" s="1"/>
  <c r="V156" i="4" a="1"/>
  <c r="V156" i="4" s="1"/>
  <c r="V157" i="4" a="1"/>
  <c r="V157" i="4" s="1"/>
  <c r="V158" i="4" a="1"/>
  <c r="V158" i="4" s="1"/>
  <c r="V159" i="4" a="1"/>
  <c r="V159" i="4" s="1"/>
  <c r="V160" i="4" a="1"/>
  <c r="V160" i="4" s="1"/>
  <c r="V161" i="4" a="1"/>
  <c r="V161" i="4" s="1"/>
  <c r="V162" i="4" a="1"/>
  <c r="V162" i="4" s="1"/>
  <c r="V163" i="4" a="1"/>
  <c r="V163" i="4" s="1"/>
  <c r="V164" i="4" a="1"/>
  <c r="V164" i="4" s="1"/>
  <c r="V165" i="4" a="1"/>
  <c r="V165" i="4" s="1"/>
  <c r="V166" i="4" a="1"/>
  <c r="V166" i="4" s="1"/>
  <c r="V167" i="4" a="1"/>
  <c r="V167" i="4" s="1"/>
  <c r="V168" i="4" a="1"/>
  <c r="V168" i="4" s="1"/>
  <c r="V169" i="4" a="1"/>
  <c r="V169" i="4" s="1"/>
  <c r="V170" i="4" a="1"/>
  <c r="V170" i="4" s="1"/>
  <c r="V171" i="4" a="1"/>
  <c r="V171" i="4" s="1"/>
  <c r="V172" i="4" a="1"/>
  <c r="V172" i="4" s="1"/>
  <c r="V173" i="4" a="1"/>
  <c r="V173" i="4" s="1"/>
  <c r="V174" i="4" a="1"/>
  <c r="V174" i="4" s="1"/>
  <c r="V175" i="4" a="1"/>
  <c r="V175" i="4" s="1"/>
  <c r="V176" i="4" a="1"/>
  <c r="V176" i="4" s="1"/>
  <c r="V177" i="4" a="1"/>
  <c r="V177" i="4" s="1"/>
  <c r="V178" i="4" a="1"/>
  <c r="V178" i="4" s="1"/>
  <c r="V179" i="4" a="1"/>
  <c r="V179" i="4" s="1"/>
  <c r="V180" i="4" a="1"/>
  <c r="V180" i="4" s="1"/>
  <c r="V181" i="4" a="1"/>
  <c r="V181" i="4" s="1"/>
  <c r="V182" i="4" a="1"/>
  <c r="V182" i="4" s="1"/>
  <c r="V183" i="4" a="1"/>
  <c r="V183" i="4" s="1"/>
  <c r="V184" i="4" a="1"/>
  <c r="V184" i="4" s="1"/>
  <c r="V185" i="4" a="1"/>
  <c r="V185" i="4" s="1"/>
  <c r="V186" i="4" a="1"/>
  <c r="V186" i="4" s="1"/>
  <c r="V187" i="4" a="1"/>
  <c r="V187" i="4" s="1"/>
  <c r="V188" i="4" a="1"/>
  <c r="V188" i="4" s="1"/>
  <c r="V189" i="4" a="1"/>
  <c r="V189" i="4" s="1"/>
  <c r="V190" i="4" a="1"/>
  <c r="V190" i="4" s="1"/>
  <c r="V191" i="4" a="1"/>
  <c r="V191" i="4" s="1"/>
  <c r="V192" i="4" a="1"/>
  <c r="V192" i="4" s="1"/>
  <c r="V193" i="4" a="1"/>
  <c r="V193" i="4" s="1"/>
  <c r="V194" i="4" a="1"/>
  <c r="V194" i="4" s="1"/>
  <c r="V195" i="4" a="1"/>
  <c r="V195" i="4" s="1"/>
  <c r="V196" i="4" a="1"/>
  <c r="V196" i="4" s="1"/>
  <c r="V197" i="4" a="1"/>
  <c r="V197" i="4" s="1"/>
  <c r="V198" i="4" a="1"/>
  <c r="V198" i="4" s="1"/>
  <c r="V199" i="4" a="1"/>
  <c r="V199" i="4" s="1"/>
  <c r="V200" i="4" a="1"/>
  <c r="V200" i="4" s="1"/>
  <c r="V201" i="4" a="1"/>
  <c r="V201" i="4" s="1"/>
  <c r="V202" i="4" a="1"/>
  <c r="V202" i="4" s="1"/>
  <c r="V203" i="4" a="1"/>
  <c r="V203" i="4" s="1"/>
  <c r="V204" i="4" a="1"/>
  <c r="V204" i="4" s="1"/>
  <c r="V205" i="4" a="1"/>
  <c r="V205" i="4" s="1"/>
  <c r="V206" i="4" a="1"/>
  <c r="V206" i="4" s="1"/>
  <c r="V207" i="4" a="1"/>
  <c r="V207" i="4" s="1"/>
  <c r="V208" i="4" a="1"/>
  <c r="V208" i="4" s="1"/>
  <c r="V209" i="4" a="1"/>
  <c r="V209" i="4" s="1"/>
  <c r="V210" i="4" a="1"/>
  <c r="V210" i="4" s="1"/>
  <c r="V211" i="4" a="1"/>
  <c r="V211" i="4" s="1"/>
  <c r="V212" i="4" a="1"/>
  <c r="V212" i="4" s="1"/>
  <c r="V213" i="4" a="1"/>
  <c r="V213" i="4" s="1"/>
  <c r="V214" i="4" a="1"/>
  <c r="V214" i="4" s="1"/>
  <c r="V215" i="4" a="1"/>
  <c r="V215" i="4" s="1"/>
  <c r="V216" i="4" a="1"/>
  <c r="V216" i="4" s="1"/>
  <c r="V217" i="4" a="1"/>
  <c r="V217" i="4" s="1"/>
  <c r="V218" i="4" a="1"/>
  <c r="V218" i="4" s="1"/>
  <c r="V219" i="4" a="1"/>
  <c r="V219" i="4" s="1"/>
  <c r="V220" i="4" a="1"/>
  <c r="V220" i="4" s="1"/>
  <c r="V221" i="4" a="1"/>
  <c r="V221" i="4" s="1"/>
  <c r="V222" i="4" a="1"/>
  <c r="V222" i="4" s="1"/>
  <c r="V223" i="4" a="1"/>
  <c r="V223" i="4" s="1"/>
  <c r="V224" i="4" a="1"/>
  <c r="V224" i="4" s="1"/>
  <c r="V225" i="4" a="1"/>
  <c r="V225" i="4" s="1"/>
  <c r="V226" i="4" a="1"/>
  <c r="V226" i="4" s="1"/>
  <c r="V227" i="4" a="1"/>
  <c r="V227" i="4" s="1"/>
  <c r="V228" i="4" a="1"/>
  <c r="V228" i="4" s="1"/>
  <c r="V229" i="4" a="1"/>
  <c r="V229" i="4" s="1"/>
  <c r="V230" i="4" a="1"/>
  <c r="V230" i="4" s="1"/>
  <c r="V231" i="4" a="1"/>
  <c r="V231" i="4" s="1"/>
  <c r="V232" i="4" a="1"/>
  <c r="V232" i="4" s="1"/>
  <c r="V233" i="4" a="1"/>
  <c r="V233" i="4" s="1"/>
  <c r="V234" i="4" a="1"/>
  <c r="V234" i="4" s="1"/>
  <c r="V235" i="4" a="1"/>
  <c r="V235" i="4" s="1"/>
  <c r="V236" i="4" a="1"/>
  <c r="V236" i="4" s="1"/>
  <c r="V237" i="4" a="1"/>
  <c r="V237" i="4" s="1"/>
  <c r="V238" i="4" a="1"/>
  <c r="V238" i="4" s="1"/>
  <c r="V239" i="4" a="1"/>
  <c r="V239" i="4" s="1"/>
  <c r="V240" i="4" a="1"/>
  <c r="V240" i="4" s="1"/>
  <c r="V241" i="4" a="1"/>
  <c r="V241" i="4" s="1"/>
  <c r="V242" i="4" a="1"/>
  <c r="V242" i="4" s="1"/>
  <c r="V243" i="4" a="1"/>
  <c r="V243" i="4" s="1"/>
  <c r="V244" i="4" a="1"/>
  <c r="V244" i="4" s="1"/>
  <c r="V245" i="4" a="1"/>
  <c r="V245" i="4" s="1"/>
  <c r="V246" i="4" a="1"/>
  <c r="V246" i="4" s="1"/>
  <c r="V247" i="4" a="1"/>
  <c r="V247" i="4" s="1"/>
  <c r="V248" i="4" a="1"/>
  <c r="V248" i="4" s="1"/>
  <c r="V249" i="4" a="1"/>
  <c r="V249" i="4" s="1"/>
  <c r="V250" i="4" a="1"/>
  <c r="V250" i="4" s="1"/>
  <c r="V251" i="4" a="1"/>
  <c r="V251" i="4" s="1"/>
  <c r="V252" i="4" a="1"/>
  <c r="V252" i="4" s="1"/>
  <c r="B6" i="1"/>
  <c r="D6" i="15" s="1"/>
  <c r="K152" i="4"/>
  <c r="L152" i="4" s="1" a="1"/>
  <c r="L152" i="4" s="1"/>
  <c r="K153" i="4"/>
  <c r="L153" i="4" s="1" a="1"/>
  <c r="L153" i="4" s="1"/>
  <c r="K154" i="4"/>
  <c r="L154" i="4" s="1" a="1"/>
  <c r="L154" i="4" s="1"/>
  <c r="K155" i="4"/>
  <c r="L155" i="4" s="1" a="1"/>
  <c r="L155" i="4" s="1"/>
  <c r="K156" i="4"/>
  <c r="L156" i="4" s="1" a="1"/>
  <c r="L156" i="4" s="1"/>
  <c r="K157" i="4"/>
  <c r="L157" i="4" s="1" a="1"/>
  <c r="L157" i="4" s="1"/>
  <c r="K158" i="4"/>
  <c r="L158" i="4" s="1" a="1"/>
  <c r="L158" i="4" s="1"/>
  <c r="K159" i="4"/>
  <c r="L159" i="4" s="1" a="1"/>
  <c r="L159" i="4" s="1"/>
  <c r="K160" i="4"/>
  <c r="L160" i="4" s="1" a="1"/>
  <c r="L160" i="4" s="1"/>
  <c r="K161" i="4"/>
  <c r="L161" i="4" s="1" a="1"/>
  <c r="L161" i="4" s="1"/>
  <c r="K162" i="4"/>
  <c r="L162" i="4" s="1" a="1"/>
  <c r="L162" i="4" s="1"/>
  <c r="K163" i="4"/>
  <c r="L163" i="4" s="1" a="1"/>
  <c r="L163" i="4" s="1"/>
  <c r="K164" i="4"/>
  <c r="L164" i="4" s="1" a="1"/>
  <c r="L164" i="4" s="1"/>
  <c r="K165" i="4"/>
  <c r="L165" i="4" s="1" a="1"/>
  <c r="L165" i="4" s="1"/>
  <c r="K166" i="4"/>
  <c r="L166" i="4" s="1" a="1"/>
  <c r="L166" i="4" s="1"/>
  <c r="K167" i="4"/>
  <c r="L167" i="4" s="1" a="1"/>
  <c r="L167" i="4" s="1"/>
  <c r="K168" i="4"/>
  <c r="L168" i="4" s="1" a="1"/>
  <c r="L168" i="4" s="1"/>
  <c r="K169" i="4"/>
  <c r="L169" i="4" s="1" a="1"/>
  <c r="L169" i="4" s="1"/>
  <c r="K170" i="4"/>
  <c r="L170" i="4" s="1" a="1"/>
  <c r="L170" i="4" s="1"/>
  <c r="K171" i="4"/>
  <c r="L171" i="4" s="1" a="1"/>
  <c r="L171" i="4" s="1"/>
  <c r="K172" i="4"/>
  <c r="L172" i="4" s="1" a="1"/>
  <c r="L172" i="4" s="1"/>
  <c r="K173" i="4"/>
  <c r="L173" i="4" s="1" a="1"/>
  <c r="L173" i="4" s="1"/>
  <c r="K174" i="4"/>
  <c r="L174" i="4" s="1" a="1"/>
  <c r="L174" i="4" s="1"/>
  <c r="K175" i="4"/>
  <c r="L175" i="4" s="1" a="1"/>
  <c r="L175" i="4" s="1"/>
  <c r="K176" i="4"/>
  <c r="L176" i="4" s="1" a="1"/>
  <c r="L176" i="4" s="1"/>
  <c r="K177" i="4"/>
  <c r="L177" i="4" s="1" a="1"/>
  <c r="L177" i="4" s="1"/>
  <c r="K178" i="4"/>
  <c r="L178" i="4" s="1" a="1"/>
  <c r="L178" i="4" s="1"/>
  <c r="K179" i="4"/>
  <c r="L179" i="4" s="1" a="1"/>
  <c r="L179" i="4" s="1"/>
  <c r="K180" i="4"/>
  <c r="L180" i="4" s="1" a="1"/>
  <c r="L180" i="4" s="1"/>
  <c r="K181" i="4"/>
  <c r="L181" i="4" s="1" a="1"/>
  <c r="L181" i="4" s="1"/>
  <c r="K182" i="4"/>
  <c r="L182" i="4" s="1" a="1"/>
  <c r="L182" i="4" s="1"/>
  <c r="K183" i="4"/>
  <c r="L183" i="4" s="1" a="1"/>
  <c r="L183" i="4" s="1"/>
  <c r="K184" i="4"/>
  <c r="L184" i="4" s="1" a="1"/>
  <c r="L184" i="4" s="1"/>
  <c r="K185" i="4"/>
  <c r="L185" i="4" s="1" a="1"/>
  <c r="L185" i="4" s="1"/>
  <c r="K186" i="4"/>
  <c r="L186" i="4" s="1" a="1"/>
  <c r="L186" i="4" s="1"/>
  <c r="K187" i="4"/>
  <c r="L187" i="4" s="1" a="1"/>
  <c r="L187" i="4" s="1"/>
  <c r="K188" i="4"/>
  <c r="L188" i="4" s="1" a="1"/>
  <c r="L188" i="4" s="1"/>
  <c r="K189" i="4"/>
  <c r="L189" i="4" s="1" a="1"/>
  <c r="L189" i="4" s="1"/>
  <c r="K190" i="4"/>
  <c r="L190" i="4" s="1" a="1"/>
  <c r="L190" i="4" s="1"/>
  <c r="K191" i="4"/>
  <c r="L191" i="4" s="1" a="1"/>
  <c r="L191" i="4" s="1"/>
  <c r="K192" i="4"/>
  <c r="L192" i="4" s="1" a="1"/>
  <c r="L192" i="4" s="1"/>
  <c r="K193" i="4"/>
  <c r="L193" i="4" s="1" a="1"/>
  <c r="L193" i="4" s="1"/>
  <c r="K194" i="4"/>
  <c r="L194" i="4" s="1" a="1"/>
  <c r="L194" i="4" s="1"/>
  <c r="K195" i="4"/>
  <c r="L195" i="4" s="1" a="1"/>
  <c r="L195" i="4" s="1"/>
  <c r="K196" i="4"/>
  <c r="L196" i="4" s="1" a="1"/>
  <c r="L196" i="4" s="1"/>
  <c r="K197" i="4"/>
  <c r="L197" i="4" s="1" a="1"/>
  <c r="L197" i="4" s="1"/>
  <c r="K198" i="4"/>
  <c r="L198" i="4" s="1" a="1"/>
  <c r="L198" i="4" s="1"/>
  <c r="K199" i="4"/>
  <c r="L199" i="4" s="1" a="1"/>
  <c r="L199" i="4" s="1"/>
  <c r="K200" i="4"/>
  <c r="L200" i="4" s="1" a="1"/>
  <c r="L200" i="4" s="1"/>
  <c r="K201" i="4"/>
  <c r="L201" i="4" s="1" a="1"/>
  <c r="L201" i="4" s="1"/>
  <c r="K202" i="4"/>
  <c r="L202" i="4" s="1" a="1"/>
  <c r="L202" i="4" s="1"/>
  <c r="K203" i="4"/>
  <c r="L203" i="4" s="1" a="1"/>
  <c r="L203" i="4" s="1"/>
  <c r="K204" i="4"/>
  <c r="L204" i="4" s="1" a="1"/>
  <c r="L204" i="4" s="1"/>
  <c r="K205" i="4"/>
  <c r="L205" i="4" s="1" a="1"/>
  <c r="L205" i="4" s="1"/>
  <c r="K206" i="4"/>
  <c r="L206" i="4" s="1" a="1"/>
  <c r="L206" i="4" s="1"/>
  <c r="K207" i="4"/>
  <c r="L207" i="4" s="1" a="1"/>
  <c r="L207" i="4" s="1"/>
  <c r="K208" i="4"/>
  <c r="L208" i="4" s="1" a="1"/>
  <c r="L208" i="4" s="1"/>
  <c r="K209" i="4"/>
  <c r="L209" i="4" s="1" a="1"/>
  <c r="L209" i="4" s="1"/>
  <c r="K210" i="4"/>
  <c r="L210" i="4" s="1" a="1"/>
  <c r="L210" i="4" s="1"/>
  <c r="K211" i="4"/>
  <c r="L211" i="4" s="1" a="1"/>
  <c r="L211" i="4" s="1"/>
  <c r="K212" i="4"/>
  <c r="L212" i="4" s="1" a="1"/>
  <c r="L212" i="4" s="1"/>
  <c r="K213" i="4"/>
  <c r="L213" i="4" s="1" a="1"/>
  <c r="L213" i="4" s="1"/>
  <c r="K214" i="4"/>
  <c r="L214" i="4" s="1" a="1"/>
  <c r="L214" i="4" s="1"/>
  <c r="K215" i="4"/>
  <c r="L215" i="4" s="1" a="1"/>
  <c r="L215" i="4" s="1"/>
  <c r="K216" i="4"/>
  <c r="L216" i="4" s="1" a="1"/>
  <c r="L216" i="4" s="1"/>
  <c r="K217" i="4"/>
  <c r="L217" i="4" s="1" a="1"/>
  <c r="L217" i="4" s="1"/>
  <c r="K218" i="4"/>
  <c r="L218" i="4" s="1" a="1"/>
  <c r="L218" i="4" s="1"/>
  <c r="K219" i="4"/>
  <c r="L219" i="4" s="1" a="1"/>
  <c r="L219" i="4" s="1"/>
  <c r="K220" i="4"/>
  <c r="L220" i="4" s="1" a="1"/>
  <c r="L220" i="4" s="1"/>
  <c r="K221" i="4"/>
  <c r="L221" i="4" s="1" a="1"/>
  <c r="L221" i="4" s="1"/>
  <c r="K222" i="4"/>
  <c r="L222" i="4" s="1" a="1"/>
  <c r="L222" i="4" s="1"/>
  <c r="K223" i="4"/>
  <c r="L223" i="4" s="1" a="1"/>
  <c r="L223" i="4" s="1"/>
  <c r="K224" i="4"/>
  <c r="L224" i="4" s="1" a="1"/>
  <c r="L224" i="4" s="1"/>
  <c r="K225" i="4"/>
  <c r="L225" i="4" s="1" a="1"/>
  <c r="L225" i="4" s="1"/>
  <c r="K226" i="4"/>
  <c r="L226" i="4" s="1" a="1"/>
  <c r="L226" i="4" s="1"/>
  <c r="K227" i="4"/>
  <c r="L227" i="4" s="1" a="1"/>
  <c r="L227" i="4" s="1"/>
  <c r="K228" i="4"/>
  <c r="L228" i="4" s="1" a="1"/>
  <c r="L228" i="4" s="1"/>
  <c r="K229" i="4"/>
  <c r="L229" i="4" s="1" a="1"/>
  <c r="L229" i="4" s="1"/>
  <c r="K230" i="4"/>
  <c r="L230" i="4" s="1" a="1"/>
  <c r="L230" i="4" s="1"/>
  <c r="K231" i="4"/>
  <c r="L231" i="4" s="1" a="1"/>
  <c r="L231" i="4" s="1"/>
  <c r="K232" i="4"/>
  <c r="L232" i="4" s="1" a="1"/>
  <c r="L232" i="4" s="1"/>
  <c r="K233" i="4"/>
  <c r="L233" i="4" s="1" a="1"/>
  <c r="L233" i="4" s="1"/>
  <c r="K234" i="4"/>
  <c r="L234" i="4" s="1" a="1"/>
  <c r="L234" i="4" s="1"/>
  <c r="K235" i="4"/>
  <c r="L235" i="4" s="1" a="1"/>
  <c r="L235" i="4" s="1"/>
  <c r="K236" i="4"/>
  <c r="L236" i="4" s="1" a="1"/>
  <c r="L236" i="4" s="1"/>
  <c r="K237" i="4"/>
  <c r="L237" i="4" s="1" a="1"/>
  <c r="L237" i="4" s="1"/>
  <c r="K238" i="4"/>
  <c r="L238" i="4" s="1" a="1"/>
  <c r="L238" i="4" s="1"/>
  <c r="K239" i="4"/>
  <c r="L239" i="4" s="1" a="1"/>
  <c r="L239" i="4" s="1"/>
  <c r="K240" i="4"/>
  <c r="L240" i="4" s="1" a="1"/>
  <c r="L240" i="4" s="1"/>
  <c r="K241" i="4"/>
  <c r="L241" i="4" s="1" a="1"/>
  <c r="L241" i="4" s="1"/>
  <c r="K242" i="4"/>
  <c r="L242" i="4" s="1" a="1"/>
  <c r="L242" i="4" s="1"/>
  <c r="K243" i="4"/>
  <c r="L243" i="4" s="1" a="1"/>
  <c r="L243" i="4" s="1"/>
  <c r="K244" i="4"/>
  <c r="L244" i="4" s="1" a="1"/>
  <c r="L244" i="4" s="1"/>
  <c r="K245" i="4"/>
  <c r="L245" i="4" s="1" a="1"/>
  <c r="L245" i="4" s="1"/>
  <c r="K246" i="4"/>
  <c r="L246" i="4" s="1" a="1"/>
  <c r="L246" i="4" s="1"/>
  <c r="K247" i="4"/>
  <c r="L247" i="4" s="1" a="1"/>
  <c r="L247" i="4" s="1"/>
  <c r="K248" i="4"/>
  <c r="L248" i="4" s="1" a="1"/>
  <c r="L248" i="4" s="1"/>
  <c r="K249" i="4"/>
  <c r="L249" i="4" s="1" a="1"/>
  <c r="L249" i="4" s="1"/>
  <c r="K250" i="4"/>
  <c r="L250" i="4" s="1" a="1"/>
  <c r="L250" i="4" s="1"/>
  <c r="K251" i="4"/>
  <c r="L251" i="4" s="1" a="1"/>
  <c r="L251" i="4" s="1"/>
  <c r="K252" i="4"/>
  <c r="L252" i="4" s="1" a="1"/>
  <c r="L252" i="4" s="1"/>
  <c r="K253" i="4"/>
  <c r="L253" i="4" s="1" a="1"/>
  <c r="L253" i="4" s="1"/>
  <c r="K254" i="4"/>
  <c r="L254" i="4" s="1" a="1"/>
  <c r="L254" i="4" s="1"/>
  <c r="A1" i="10" a="1"/>
  <c r="AB18" i="10" s="1"/>
  <c r="V253" i="4" a="1"/>
  <c r="V253" i="4" s="1"/>
  <c r="V254" i="4" a="1"/>
  <c r="V254" i="4" s="1"/>
  <c r="V255" i="4" a="1"/>
  <c r="V255" i="4" s="1"/>
  <c r="V256" i="4" a="1"/>
  <c r="V256" i="4" s="1"/>
  <c r="V257" i="4" a="1"/>
  <c r="V257" i="4" s="1"/>
  <c r="V258" i="4" a="1"/>
  <c r="V258" i="4" s="1"/>
  <c r="V259" i="4" a="1"/>
  <c r="V259" i="4" s="1"/>
  <c r="A3" i="3" a="1"/>
  <c r="C3" i="6" s="1"/>
  <c r="A4" i="3" a="1"/>
  <c r="A4" i="3" s="1"/>
  <c r="A4" i="6" s="1"/>
  <c r="A5" i="3" a="1"/>
  <c r="C5" i="6" s="1"/>
  <c r="A6" i="3" a="1"/>
  <c r="C6" i="6" s="1"/>
  <c r="A7" i="3" a="1"/>
  <c r="C7" i="6" s="1"/>
  <c r="A8" i="3" a="1"/>
  <c r="C8" i="6" s="1"/>
  <c r="A9" i="3" a="1"/>
  <c r="C9" i="6" s="1"/>
  <c r="A10" i="3" a="1"/>
  <c r="A11" i="3" a="1"/>
  <c r="A12" i="3" a="1"/>
  <c r="A13" i="3" a="1"/>
  <c r="A13" i="3" s="1"/>
  <c r="A13" i="6" s="1"/>
  <c r="A14" i="3" a="1"/>
  <c r="A14" i="3" s="1"/>
  <c r="A14" i="6" s="1"/>
  <c r="A15" i="3" a="1"/>
  <c r="A15" i="3" s="1"/>
  <c r="A15" i="6" s="1"/>
  <c r="A16" i="3" a="1"/>
  <c r="A16" i="3" s="1"/>
  <c r="A16" i="6" s="1"/>
  <c r="A17" i="3" a="1"/>
  <c r="A18" i="3" a="1"/>
  <c r="A19" i="3" a="1"/>
  <c r="A19" i="3" s="1"/>
  <c r="A19" i="6" s="1"/>
  <c r="A20" i="3" a="1"/>
  <c r="A20" i="3" s="1"/>
  <c r="A20" i="6" s="1"/>
  <c r="A21" i="3" a="1"/>
  <c r="A21" i="3" s="1"/>
  <c r="A21" i="6" s="1"/>
  <c r="A22" i="3" a="1"/>
  <c r="A23" i="3" a="1"/>
  <c r="A24" i="3" a="1"/>
  <c r="A24" i="3" s="1"/>
  <c r="A24" i="6" s="1"/>
  <c r="A25" i="3" a="1"/>
  <c r="A25" i="3" s="1"/>
  <c r="A25" i="6" s="1"/>
  <c r="A26" i="3" a="1"/>
  <c r="A27" i="3" a="1"/>
  <c r="A27" i="3" s="1"/>
  <c r="A27" i="6" s="1"/>
  <c r="A28" i="3" a="1"/>
  <c r="A28" i="3" s="1"/>
  <c r="A28" i="6" s="1"/>
  <c r="A29" i="3" a="1"/>
  <c r="A29" i="3" s="1"/>
  <c r="A29" i="6" s="1"/>
  <c r="A30" i="3" a="1"/>
  <c r="A30" i="3" s="1"/>
  <c r="A30" i="6" s="1"/>
  <c r="A31" i="3" a="1"/>
  <c r="A32" i="3" a="1"/>
  <c r="A33" i="3" a="1"/>
  <c r="A33" i="3" s="1"/>
  <c r="A33" i="6" s="1"/>
  <c r="A34" i="3" a="1"/>
  <c r="A2" i="3" a="1"/>
  <c r="C2" i="6" s="1"/>
  <c r="H204" i="6" l="1"/>
  <c r="E193" i="6"/>
  <c r="H180" i="6"/>
  <c r="H175" i="6"/>
  <c r="H159" i="6"/>
  <c r="H157" i="6"/>
  <c r="J135" i="6"/>
  <c r="J134" i="6"/>
  <c r="I119" i="6"/>
  <c r="E104" i="6"/>
  <c r="E88" i="6"/>
  <c r="I72" i="6"/>
  <c r="E188" i="6"/>
  <c r="I265" i="6"/>
  <c r="I224" i="6"/>
  <c r="I218" i="6"/>
  <c r="J349" i="6"/>
  <c r="H322" i="6"/>
  <c r="J319" i="6"/>
  <c r="J289" i="6"/>
  <c r="H265" i="6"/>
  <c r="J237" i="6"/>
  <c r="I232" i="6"/>
  <c r="I229" i="6"/>
  <c r="H224" i="6"/>
  <c r="H218" i="6"/>
  <c r="I212" i="6"/>
  <c r="H200" i="6"/>
  <c r="H185" i="6"/>
  <c r="J177" i="6"/>
  <c r="H164" i="6"/>
  <c r="I386" i="6"/>
  <c r="I383" i="6"/>
  <c r="I380" i="6"/>
  <c r="I375" i="6"/>
  <c r="J371" i="6"/>
  <c r="H361" i="6"/>
  <c r="I351" i="6"/>
  <c r="I349" i="6"/>
  <c r="I319" i="6"/>
  <c r="J296" i="6"/>
  <c r="H283" i="6"/>
  <c r="H269" i="6"/>
  <c r="J260" i="6"/>
  <c r="H241" i="6"/>
  <c r="H232" i="6"/>
  <c r="H229" i="6"/>
  <c r="H220" i="6"/>
  <c r="J191" i="6"/>
  <c r="J188" i="6"/>
  <c r="H179" i="6"/>
  <c r="H177" i="6"/>
  <c r="I158" i="6"/>
  <c r="E157" i="6"/>
  <c r="H135" i="6"/>
  <c r="H134" i="6"/>
  <c r="I85" i="6"/>
  <c r="E72" i="6"/>
  <c r="I181" i="6"/>
  <c r="I176" i="6"/>
  <c r="J112" i="6"/>
  <c r="I104" i="6"/>
  <c r="H93" i="6"/>
  <c r="J88" i="6"/>
  <c r="E85" i="6"/>
  <c r="E75" i="6"/>
  <c r="J152" i="6"/>
  <c r="H146" i="6"/>
  <c r="J141" i="6"/>
  <c r="J123" i="6"/>
  <c r="J119" i="6"/>
  <c r="H116" i="6"/>
  <c r="H112" i="6"/>
  <c r="H98" i="6"/>
  <c r="I82" i="6"/>
  <c r="J68" i="6"/>
  <c r="J54" i="6"/>
  <c r="E226" i="6"/>
  <c r="E210" i="6"/>
  <c r="E220" i="6"/>
  <c r="J304" i="6"/>
  <c r="J280" i="6"/>
  <c r="J226" i="6"/>
  <c r="J217" i="6"/>
  <c r="E204" i="6"/>
  <c r="J377" i="6"/>
  <c r="J333" i="6"/>
  <c r="J322" i="6"/>
  <c r="J316" i="6"/>
  <c r="J313" i="6"/>
  <c r="J307" i="6"/>
  <c r="J305" i="6"/>
  <c r="I304" i="6"/>
  <c r="I280" i="6"/>
  <c r="J278" i="6"/>
  <c r="I256" i="6"/>
  <c r="I226" i="6"/>
  <c r="J222" i="6"/>
  <c r="J220" i="6"/>
  <c r="I217" i="6"/>
  <c r="I203" i="6"/>
  <c r="J197" i="6"/>
  <c r="E177" i="6"/>
  <c r="E159" i="6"/>
  <c r="I152" i="6"/>
  <c r="I377" i="6"/>
  <c r="I333" i="6"/>
  <c r="I331" i="6"/>
  <c r="I322" i="6"/>
  <c r="I307" i="6"/>
  <c r="H304" i="6"/>
  <c r="H281" i="6"/>
  <c r="H280" i="6"/>
  <c r="J265" i="6"/>
  <c r="J259" i="6"/>
  <c r="H256" i="6"/>
  <c r="J250" i="6"/>
  <c r="J235" i="6"/>
  <c r="J228" i="6"/>
  <c r="H222" i="6"/>
  <c r="J218" i="6"/>
  <c r="H217" i="6"/>
  <c r="H203" i="6"/>
  <c r="J200" i="6"/>
  <c r="J193" i="6"/>
  <c r="E178" i="6"/>
  <c r="J176" i="6"/>
  <c r="H173" i="6"/>
  <c r="J170" i="6"/>
  <c r="H152" i="6"/>
  <c r="E141" i="6"/>
  <c r="I136" i="6"/>
  <c r="H128" i="6"/>
  <c r="H123" i="6"/>
  <c r="H119" i="6"/>
  <c r="E112" i="6"/>
  <c r="I111" i="6"/>
  <c r="E82" i="6"/>
  <c r="H187" i="6"/>
  <c r="H176" i="6"/>
  <c r="I167" i="6"/>
  <c r="I151" i="6"/>
  <c r="I143" i="6"/>
  <c r="E136" i="6"/>
  <c r="H132" i="6"/>
  <c r="E111" i="6"/>
  <c r="I51" i="6"/>
  <c r="E297" i="6"/>
  <c r="I297" i="6"/>
  <c r="J165" i="6"/>
  <c r="I165" i="6"/>
  <c r="E133" i="6"/>
  <c r="H133" i="6"/>
  <c r="I133" i="6"/>
  <c r="I105" i="6"/>
  <c r="E105" i="6"/>
  <c r="H105" i="6"/>
  <c r="E343" i="6"/>
  <c r="E231" i="6"/>
  <c r="E230" i="6"/>
  <c r="E223" i="6"/>
  <c r="E207" i="6"/>
  <c r="E202" i="6"/>
  <c r="I137" i="6"/>
  <c r="H137" i="6"/>
  <c r="E124" i="6"/>
  <c r="H124" i="6"/>
  <c r="I124" i="6"/>
  <c r="E369" i="6"/>
  <c r="E337" i="6"/>
  <c r="E313" i="6"/>
  <c r="I313" i="6"/>
  <c r="E289" i="6"/>
  <c r="H289" i="6"/>
  <c r="E234" i="6"/>
  <c r="E187" i="6"/>
  <c r="E179" i="6"/>
  <c r="E175" i="6"/>
  <c r="J150" i="6"/>
  <c r="I150" i="6"/>
  <c r="E118" i="6"/>
  <c r="H118" i="6"/>
  <c r="I118" i="6"/>
  <c r="J352" i="6"/>
  <c r="E228" i="6"/>
  <c r="E224" i="6"/>
  <c r="E200" i="6"/>
  <c r="J369" i="6"/>
  <c r="J367" i="6"/>
  <c r="J364" i="6"/>
  <c r="E361" i="6"/>
  <c r="I352" i="6"/>
  <c r="J343" i="6"/>
  <c r="J337" i="6"/>
  <c r="J325" i="6"/>
  <c r="J297" i="6"/>
  <c r="H233" i="6"/>
  <c r="I233" i="6"/>
  <c r="I231" i="6"/>
  <c r="I230" i="6"/>
  <c r="J227" i="6"/>
  <c r="I223" i="6"/>
  <c r="I219" i="6"/>
  <c r="E212" i="6"/>
  <c r="H211" i="6"/>
  <c r="E211" i="6"/>
  <c r="I202" i="6"/>
  <c r="J199" i="6"/>
  <c r="E183" i="6"/>
  <c r="E180" i="6"/>
  <c r="J175" i="6"/>
  <c r="J164" i="6"/>
  <c r="E164" i="6"/>
  <c r="H139" i="6"/>
  <c r="E139" i="6"/>
  <c r="I139" i="6"/>
  <c r="I121" i="6"/>
  <c r="E121" i="6"/>
  <c r="H121" i="6"/>
  <c r="H107" i="6"/>
  <c r="J107" i="6"/>
  <c r="E107" i="6"/>
  <c r="I107" i="6"/>
  <c r="E310" i="6"/>
  <c r="H310" i="6"/>
  <c r="I238" i="6"/>
  <c r="H238" i="6"/>
  <c r="E238" i="6"/>
  <c r="E227" i="6"/>
  <c r="E199" i="6"/>
  <c r="E194" i="6"/>
  <c r="J167" i="6"/>
  <c r="H167" i="6"/>
  <c r="E165" i="6"/>
  <c r="J156" i="6"/>
  <c r="E156" i="6"/>
  <c r="E384" i="6"/>
  <c r="E366" i="6"/>
  <c r="E353" i="6"/>
  <c r="E345" i="6"/>
  <c r="E196" i="6"/>
  <c r="J184" i="6"/>
  <c r="I184" i="6"/>
  <c r="H160" i="6"/>
  <c r="J160" i="6"/>
  <c r="E137" i="6"/>
  <c r="H131" i="6"/>
  <c r="I131" i="6"/>
  <c r="E113" i="6"/>
  <c r="I113" i="6"/>
  <c r="H113" i="6"/>
  <c r="J231" i="6"/>
  <c r="J230" i="6"/>
  <c r="E221" i="6"/>
  <c r="J219" i="6"/>
  <c r="J202" i="6"/>
  <c r="E191" i="6"/>
  <c r="J186" i="6"/>
  <c r="H186" i="6"/>
  <c r="E184" i="6"/>
  <c r="E171" i="6"/>
  <c r="I171" i="6"/>
  <c r="E160" i="6"/>
  <c r="E150" i="6"/>
  <c r="J147" i="6"/>
  <c r="I147" i="6"/>
  <c r="J143" i="6"/>
  <c r="H143" i="6"/>
  <c r="J375" i="6"/>
  <c r="I367" i="6"/>
  <c r="I364" i="6"/>
  <c r="I358" i="6"/>
  <c r="H352" i="6"/>
  <c r="I346" i="6"/>
  <c r="I343" i="6"/>
  <c r="E334" i="6"/>
  <c r="E333" i="6"/>
  <c r="I310" i="6"/>
  <c r="H297" i="6"/>
  <c r="J268" i="6"/>
  <c r="E262" i="6"/>
  <c r="H262" i="6"/>
  <c r="J256" i="6"/>
  <c r="J254" i="6"/>
  <c r="J249" i="6"/>
  <c r="J238" i="6"/>
  <c r="I236" i="6"/>
  <c r="H236" i="6"/>
  <c r="E233" i="6"/>
  <c r="J232" i="6"/>
  <c r="E229" i="6"/>
  <c r="I227" i="6"/>
  <c r="H223" i="6"/>
  <c r="E222" i="6"/>
  <c r="H219" i="6"/>
  <c r="H210" i="6"/>
  <c r="J210" i="6"/>
  <c r="J207" i="6"/>
  <c r="J203" i="6"/>
  <c r="E201" i="6"/>
  <c r="I199" i="6"/>
  <c r="E197" i="6"/>
  <c r="H197" i="6"/>
  <c r="J196" i="6"/>
  <c r="J194" i="6"/>
  <c r="I190" i="6"/>
  <c r="J190" i="6"/>
  <c r="J187" i="6"/>
  <c r="J179" i="6"/>
  <c r="J172" i="6"/>
  <c r="E163" i="6"/>
  <c r="J162" i="6"/>
  <c r="E158" i="6"/>
  <c r="H158" i="6"/>
  <c r="I156" i="6"/>
  <c r="E155" i="6"/>
  <c r="J149" i="6"/>
  <c r="E149" i="6"/>
  <c r="H149" i="6"/>
  <c r="J146" i="6"/>
  <c r="I146" i="6"/>
  <c r="I142" i="6"/>
  <c r="J138" i="6"/>
  <c r="E138" i="6"/>
  <c r="I138" i="6"/>
  <c r="J133" i="6"/>
  <c r="H126" i="6"/>
  <c r="E126" i="6"/>
  <c r="I126" i="6"/>
  <c r="I115" i="6"/>
  <c r="E115" i="6"/>
  <c r="H115" i="6"/>
  <c r="H106" i="6"/>
  <c r="J106" i="6"/>
  <c r="J105" i="6"/>
  <c r="I92" i="6"/>
  <c r="E92" i="6"/>
  <c r="H92" i="6"/>
  <c r="I132" i="6"/>
  <c r="I128" i="6"/>
  <c r="I122" i="6"/>
  <c r="I116" i="6"/>
  <c r="H90" i="6"/>
  <c r="I63" i="6"/>
  <c r="I57" i="6"/>
  <c r="J47" i="6"/>
  <c r="E90" i="6"/>
  <c r="J83" i="6"/>
  <c r="E63" i="6"/>
  <c r="J59" i="6"/>
  <c r="J136" i="6"/>
  <c r="E128" i="6"/>
  <c r="E122" i="6"/>
  <c r="J120" i="6"/>
  <c r="E116" i="6"/>
  <c r="J104" i="6"/>
  <c r="H91" i="6"/>
  <c r="J72" i="6"/>
  <c r="J62" i="6"/>
  <c r="I59" i="6"/>
  <c r="J51" i="6"/>
  <c r="H141" i="6"/>
  <c r="J132" i="6"/>
  <c r="H111" i="6"/>
  <c r="J97" i="6"/>
  <c r="E91" i="6"/>
  <c r="I88" i="6"/>
  <c r="H85" i="6"/>
  <c r="H82" i="6"/>
  <c r="J63" i="6"/>
  <c r="I60" i="6"/>
  <c r="J57" i="6"/>
  <c r="I54" i="6"/>
  <c r="D696" i="1"/>
  <c r="B158" i="1"/>
  <c r="D158" i="15" s="1"/>
  <c r="D158" i="1"/>
  <c r="D128" i="1"/>
  <c r="B98" i="1"/>
  <c r="D98" i="15" s="1"/>
  <c r="D98" i="1"/>
  <c r="D68" i="1"/>
  <c r="D44" i="1"/>
  <c r="D20" i="1"/>
  <c r="D1212" i="1"/>
  <c r="D1188" i="1"/>
  <c r="D1158" i="1"/>
  <c r="D1128" i="1"/>
  <c r="D1110" i="1"/>
  <c r="D1092" i="1"/>
  <c r="D1068" i="1"/>
  <c r="D1044" i="1"/>
  <c r="D1026" i="1"/>
  <c r="D1008" i="1"/>
  <c r="D978" i="1"/>
  <c r="D960" i="1"/>
  <c r="D942" i="1"/>
  <c r="D924" i="1"/>
  <c r="D906" i="1"/>
  <c r="D882" i="1"/>
  <c r="D864" i="1"/>
  <c r="D846" i="1"/>
  <c r="D828" i="1"/>
  <c r="D810" i="1"/>
  <c r="D792" i="1"/>
  <c r="D774" i="1"/>
  <c r="D762" i="1"/>
  <c r="D744" i="1"/>
  <c r="D726" i="1"/>
  <c r="D702" i="1"/>
  <c r="D152" i="1"/>
  <c r="B122" i="1"/>
  <c r="D122" i="15" s="1"/>
  <c r="D122" i="1"/>
  <c r="D92" i="1"/>
  <c r="B62" i="1"/>
  <c r="D62" i="15" s="1"/>
  <c r="D62" i="1"/>
  <c r="D32" i="1"/>
  <c r="B14" i="1"/>
  <c r="D14" i="15" s="1"/>
  <c r="D14" i="1"/>
  <c r="D1218" i="1"/>
  <c r="D1182" i="1"/>
  <c r="D1074" i="1"/>
  <c r="D9" i="1"/>
  <c r="D136" i="1"/>
  <c r="D76" i="1"/>
  <c r="D1226" i="1"/>
  <c r="D1220" i="1"/>
  <c r="D1190" i="1"/>
  <c r="D1184" i="1"/>
  <c r="D1148" i="1"/>
  <c r="D1118" i="1"/>
  <c r="D1112" i="1"/>
  <c r="D1082" i="1"/>
  <c r="D1076" i="1"/>
  <c r="D1046" i="1"/>
  <c r="D1040" i="1"/>
  <c r="D1010" i="1"/>
  <c r="D1004" i="1"/>
  <c r="D974" i="1"/>
  <c r="D968" i="1"/>
  <c r="D164" i="1"/>
  <c r="B146" i="1"/>
  <c r="D146" i="15" s="1"/>
  <c r="D146" i="1"/>
  <c r="D116" i="1"/>
  <c r="D104" i="1"/>
  <c r="D80" i="1"/>
  <c r="D56" i="1"/>
  <c r="B26" i="1"/>
  <c r="D26" i="15" s="1"/>
  <c r="D26" i="1"/>
  <c r="D1224" i="1"/>
  <c r="D1206" i="1"/>
  <c r="D1170" i="1"/>
  <c r="D1134" i="1"/>
  <c r="D1104" i="1"/>
  <c r="D1050" i="1"/>
  <c r="D1154" i="1"/>
  <c r="D7" i="1"/>
  <c r="B134" i="1"/>
  <c r="D134" i="15" s="1"/>
  <c r="D134" i="1"/>
  <c r="B86" i="1"/>
  <c r="D86" i="15" s="1"/>
  <c r="D86" i="1"/>
  <c r="B50" i="1"/>
  <c r="D50" i="15" s="1"/>
  <c r="D50" i="1"/>
  <c r="D1236" i="1"/>
  <c r="D1194" i="1"/>
  <c r="D1164" i="1"/>
  <c r="D1146" i="1"/>
  <c r="D1122" i="1"/>
  <c r="D1086" i="1"/>
  <c r="D1062" i="1"/>
  <c r="D1038" i="1"/>
  <c r="D1020" i="1"/>
  <c r="D1002" i="1"/>
  <c r="D990" i="1"/>
  <c r="D972" i="1"/>
  <c r="D954" i="1"/>
  <c r="D936" i="1"/>
  <c r="D918" i="1"/>
  <c r="D900" i="1"/>
  <c r="D894" i="1"/>
  <c r="D876" i="1"/>
  <c r="D858" i="1"/>
  <c r="D840" i="1"/>
  <c r="D822" i="1"/>
  <c r="D804" i="1"/>
  <c r="D786" i="1"/>
  <c r="D768" i="1"/>
  <c r="D756" i="1"/>
  <c r="D738" i="1"/>
  <c r="D732" i="1"/>
  <c r="D720" i="1"/>
  <c r="D714" i="1"/>
  <c r="D11" i="1"/>
  <c r="D140" i="1"/>
  <c r="B110" i="1"/>
  <c r="D110" i="15" s="1"/>
  <c r="D110" i="1"/>
  <c r="B74" i="1"/>
  <c r="D74" i="15" s="1"/>
  <c r="D74" i="1"/>
  <c r="B38" i="1"/>
  <c r="D38" i="15" s="1"/>
  <c r="D38" i="1"/>
  <c r="D1230" i="1"/>
  <c r="D1200" i="1"/>
  <c r="D1176" i="1"/>
  <c r="D1152" i="1"/>
  <c r="D1140" i="1"/>
  <c r="D1116" i="1"/>
  <c r="D1098" i="1"/>
  <c r="D1080" i="1"/>
  <c r="D1056" i="1"/>
  <c r="D1032" i="1"/>
  <c r="D1014" i="1"/>
  <c r="D996" i="1"/>
  <c r="D984" i="1"/>
  <c r="D966" i="1"/>
  <c r="D948" i="1"/>
  <c r="D930" i="1"/>
  <c r="D912" i="1"/>
  <c r="D888" i="1"/>
  <c r="D870" i="1"/>
  <c r="D852" i="1"/>
  <c r="D834" i="1"/>
  <c r="D816" i="1"/>
  <c r="D798" i="1"/>
  <c r="D780" i="1"/>
  <c r="D750" i="1"/>
  <c r="D708" i="1"/>
  <c r="D678" i="1"/>
  <c r="D660" i="1"/>
  <c r="D642" i="1"/>
  <c r="D624" i="1"/>
  <c r="D606" i="1"/>
  <c r="D588" i="1"/>
  <c r="D570" i="1"/>
  <c r="D552" i="1"/>
  <c r="D163" i="1"/>
  <c r="B168" i="1"/>
  <c r="D168" i="15" s="1"/>
  <c r="D168" i="1"/>
  <c r="D156" i="1"/>
  <c r="B138" i="1"/>
  <c r="D138" i="15" s="1"/>
  <c r="D138" i="1"/>
  <c r="B126" i="1"/>
  <c r="D126" i="15" s="1"/>
  <c r="D126" i="1"/>
  <c r="B114" i="1"/>
  <c r="D114" i="15" s="1"/>
  <c r="D114" i="1"/>
  <c r="D96" i="1"/>
  <c r="D84" i="1"/>
  <c r="B66" i="1"/>
  <c r="D66" i="15" s="1"/>
  <c r="D66" i="1"/>
  <c r="B54" i="1"/>
  <c r="D54" i="15" s="1"/>
  <c r="D54" i="1"/>
  <c r="B42" i="1"/>
  <c r="D42" i="15" s="1"/>
  <c r="D42" i="1"/>
  <c r="D24" i="1"/>
  <c r="D12" i="1"/>
  <c r="D1234" i="1"/>
  <c r="D1228" i="1"/>
  <c r="D1222" i="1"/>
  <c r="D1210" i="1"/>
  <c r="D1204" i="1"/>
  <c r="D1198" i="1"/>
  <c r="D1192" i="1"/>
  <c r="D1186" i="1"/>
  <c r="D1180" i="1"/>
  <c r="D1174" i="1"/>
  <c r="D1168" i="1"/>
  <c r="D1162" i="1"/>
  <c r="D1156" i="1"/>
  <c r="D1150" i="1"/>
  <c r="D1144" i="1"/>
  <c r="D1138" i="1"/>
  <c r="D1132" i="1"/>
  <c r="D1126" i="1"/>
  <c r="D1120" i="1"/>
  <c r="D1114" i="1"/>
  <c r="D1108" i="1"/>
  <c r="D1102" i="1"/>
  <c r="D1096" i="1"/>
  <c r="D1090" i="1"/>
  <c r="D1084" i="1"/>
  <c r="D1078" i="1"/>
  <c r="D1072" i="1"/>
  <c r="D1066" i="1"/>
  <c r="D1060" i="1"/>
  <c r="D1054" i="1"/>
  <c r="D1048" i="1"/>
  <c r="D1042" i="1"/>
  <c r="D1036" i="1"/>
  <c r="D1030" i="1"/>
  <c r="D1024" i="1"/>
  <c r="D1018" i="1"/>
  <c r="D1012" i="1"/>
  <c r="D1006" i="1"/>
  <c r="D1000" i="1"/>
  <c r="D994" i="1"/>
  <c r="D988" i="1"/>
  <c r="D982" i="1"/>
  <c r="D976" i="1"/>
  <c r="D970" i="1"/>
  <c r="D964" i="1"/>
  <c r="D958" i="1"/>
  <c r="D952" i="1"/>
  <c r="D946" i="1"/>
  <c r="D940" i="1"/>
  <c r="D934" i="1"/>
  <c r="D928" i="1"/>
  <c r="D922" i="1"/>
  <c r="D916" i="1"/>
  <c r="D910" i="1"/>
  <c r="D904" i="1"/>
  <c r="D898" i="1"/>
  <c r="D892" i="1"/>
  <c r="D886" i="1"/>
  <c r="D880" i="1"/>
  <c r="D874" i="1"/>
  <c r="D868" i="1"/>
  <c r="D862" i="1"/>
  <c r="D856" i="1"/>
  <c r="D850" i="1"/>
  <c r="D844" i="1"/>
  <c r="D838" i="1"/>
  <c r="D832" i="1"/>
  <c r="D826" i="1"/>
  <c r="D820" i="1"/>
  <c r="D814" i="1"/>
  <c r="D808" i="1"/>
  <c r="D802" i="1"/>
  <c r="D796" i="1"/>
  <c r="D790" i="1"/>
  <c r="D784" i="1"/>
  <c r="D778" i="1"/>
  <c r="D772" i="1"/>
  <c r="D766" i="1"/>
  <c r="D760" i="1"/>
  <c r="D754" i="1"/>
  <c r="D748" i="1"/>
  <c r="D742" i="1"/>
  <c r="D736" i="1"/>
  <c r="D730" i="1"/>
  <c r="D724" i="1"/>
  <c r="D718" i="1"/>
  <c r="D712" i="1"/>
  <c r="D706" i="1"/>
  <c r="D700" i="1"/>
  <c r="D694" i="1"/>
  <c r="D688" i="1"/>
  <c r="D682" i="1"/>
  <c r="D676" i="1"/>
  <c r="D670" i="1"/>
  <c r="D664" i="1"/>
  <c r="D658" i="1"/>
  <c r="D652" i="1"/>
  <c r="D646" i="1"/>
  <c r="D640" i="1"/>
  <c r="D634" i="1"/>
  <c r="D628" i="1"/>
  <c r="D622" i="1"/>
  <c r="D616" i="1"/>
  <c r="D610" i="1"/>
  <c r="D604" i="1"/>
  <c r="D598" i="1"/>
  <c r="D592" i="1"/>
  <c r="D586" i="1"/>
  <c r="D580" i="1"/>
  <c r="D574" i="1"/>
  <c r="D568" i="1"/>
  <c r="D562" i="1"/>
  <c r="D556" i="1"/>
  <c r="D550" i="1"/>
  <c r="D544" i="1"/>
  <c r="D538" i="1"/>
  <c r="D532" i="1"/>
  <c r="D684" i="1"/>
  <c r="D666" i="1"/>
  <c r="D648" i="1"/>
  <c r="D630" i="1"/>
  <c r="D612" i="1"/>
  <c r="D594" i="1"/>
  <c r="D576" i="1"/>
  <c r="D558" i="1"/>
  <c r="D510" i="1"/>
  <c r="B145" i="1"/>
  <c r="D145" i="15" s="1"/>
  <c r="D145" i="1"/>
  <c r="B5" i="1"/>
  <c r="D5" i="15" s="1"/>
  <c r="D5" i="1"/>
  <c r="B162" i="1"/>
  <c r="D162" i="15" s="1"/>
  <c r="D162" i="1"/>
  <c r="B150" i="1"/>
  <c r="D150" i="15" s="1"/>
  <c r="D150" i="1"/>
  <c r="D144" i="1"/>
  <c r="D132" i="1"/>
  <c r="D120" i="1"/>
  <c r="D108" i="1"/>
  <c r="B102" i="1"/>
  <c r="D102" i="15" s="1"/>
  <c r="D102" i="1"/>
  <c r="B90" i="1"/>
  <c r="D90" i="15" s="1"/>
  <c r="D90" i="1"/>
  <c r="B78" i="1"/>
  <c r="D78" i="15" s="1"/>
  <c r="D78" i="1"/>
  <c r="D72" i="1"/>
  <c r="B60" i="1"/>
  <c r="D60" i="15" s="1"/>
  <c r="D60" i="1"/>
  <c r="D48" i="1"/>
  <c r="D36" i="1"/>
  <c r="B30" i="1"/>
  <c r="D30" i="15" s="1"/>
  <c r="D30" i="1"/>
  <c r="B18" i="1"/>
  <c r="D18" i="15" s="1"/>
  <c r="D18" i="1"/>
  <c r="D1216" i="1"/>
  <c r="B2" i="1"/>
  <c r="D2" i="15" s="1"/>
  <c r="D2" i="1"/>
  <c r="B4" i="1"/>
  <c r="D4" i="15" s="1"/>
  <c r="D4" i="1"/>
  <c r="B167" i="1"/>
  <c r="D167" i="15" s="1"/>
  <c r="D167" i="1"/>
  <c r="B161" i="1"/>
  <c r="D161" i="15" s="1"/>
  <c r="D161" i="1"/>
  <c r="B155" i="1"/>
  <c r="D155" i="15" s="1"/>
  <c r="D155" i="1"/>
  <c r="B149" i="1"/>
  <c r="D149" i="15" s="1"/>
  <c r="D149" i="1"/>
  <c r="B143" i="1"/>
  <c r="D143" i="15" s="1"/>
  <c r="D143" i="1"/>
  <c r="B137" i="1"/>
  <c r="D137" i="15" s="1"/>
  <c r="D137" i="1"/>
  <c r="B131" i="1"/>
  <c r="D131" i="15" s="1"/>
  <c r="D131" i="1"/>
  <c r="B125" i="1"/>
  <c r="D125" i="15" s="1"/>
  <c r="D125" i="1"/>
  <c r="B119" i="1"/>
  <c r="D119" i="15" s="1"/>
  <c r="D119" i="1"/>
  <c r="D113" i="1"/>
  <c r="B107" i="1"/>
  <c r="D107" i="15" s="1"/>
  <c r="D107" i="1"/>
  <c r="B101" i="1"/>
  <c r="D101" i="15" s="1"/>
  <c r="D101" i="1"/>
  <c r="B95" i="1"/>
  <c r="D95" i="15" s="1"/>
  <c r="D95" i="1"/>
  <c r="B89" i="1"/>
  <c r="D89" i="15" s="1"/>
  <c r="D89" i="1"/>
  <c r="B83" i="1"/>
  <c r="D83" i="15" s="1"/>
  <c r="D83" i="1"/>
  <c r="B77" i="1"/>
  <c r="D77" i="15" s="1"/>
  <c r="D77" i="1"/>
  <c r="B71" i="1"/>
  <c r="D71" i="15" s="1"/>
  <c r="D71" i="1"/>
  <c r="B65" i="1"/>
  <c r="D65" i="15" s="1"/>
  <c r="D65" i="1"/>
  <c r="B59" i="1"/>
  <c r="D59" i="15" s="1"/>
  <c r="D59" i="1"/>
  <c r="B53" i="1"/>
  <c r="D53" i="15" s="1"/>
  <c r="D53" i="1"/>
  <c r="B47" i="1"/>
  <c r="D47" i="15" s="1"/>
  <c r="D47" i="1"/>
  <c r="B41" i="1"/>
  <c r="D41" i="15" s="1"/>
  <c r="D41" i="1"/>
  <c r="B35" i="1"/>
  <c r="D35" i="15" s="1"/>
  <c r="D35" i="1"/>
  <c r="B29" i="1"/>
  <c r="D29" i="15" s="1"/>
  <c r="D29" i="1"/>
  <c r="B23" i="1"/>
  <c r="D23" i="15" s="1"/>
  <c r="D23" i="1"/>
  <c r="B17" i="1"/>
  <c r="D17" i="15" s="1"/>
  <c r="D17" i="1"/>
  <c r="D1233" i="1"/>
  <c r="D1227" i="1"/>
  <c r="D1221" i="1"/>
  <c r="D1215" i="1"/>
  <c r="D1209" i="1"/>
  <c r="D1203" i="1"/>
  <c r="D1197" i="1"/>
  <c r="D1191" i="1"/>
  <c r="D1185" i="1"/>
  <c r="D1179" i="1"/>
  <c r="D1173" i="1"/>
  <c r="D1167" i="1"/>
  <c r="D1161" i="1"/>
  <c r="D1155" i="1"/>
  <c r="D1149" i="1"/>
  <c r="D1143" i="1"/>
  <c r="D1137" i="1"/>
  <c r="D1131" i="1"/>
  <c r="D1125" i="1"/>
  <c r="D1119" i="1"/>
  <c r="D1113" i="1"/>
  <c r="D1107" i="1"/>
  <c r="D1101" i="1"/>
  <c r="D1095" i="1"/>
  <c r="D1089" i="1"/>
  <c r="D1083" i="1"/>
  <c r="D1077" i="1"/>
  <c r="D1071" i="1"/>
  <c r="D1065" i="1"/>
  <c r="D1059" i="1"/>
  <c r="D1053" i="1"/>
  <c r="D1047" i="1"/>
  <c r="D1041" i="1"/>
  <c r="D1035" i="1"/>
  <c r="D1029" i="1"/>
  <c r="D1023" i="1"/>
  <c r="D1017" i="1"/>
  <c r="D1011" i="1"/>
  <c r="D1005" i="1"/>
  <c r="D999" i="1"/>
  <c r="D993" i="1"/>
  <c r="D987" i="1"/>
  <c r="D981" i="1"/>
  <c r="D975" i="1"/>
  <c r="D951" i="1"/>
  <c r="D933" i="1"/>
  <c r="D915" i="1"/>
  <c r="D897" i="1"/>
  <c r="D879" i="1"/>
  <c r="D699" i="1"/>
  <c r="D525" i="1"/>
  <c r="D483" i="1"/>
  <c r="D267" i="1"/>
  <c r="B8" i="1"/>
  <c r="D8" i="15" s="1"/>
  <c r="D8" i="1"/>
  <c r="B10" i="1"/>
  <c r="D10" i="15" s="1"/>
  <c r="D10" i="1"/>
  <c r="B165" i="1"/>
  <c r="D165" i="15" s="1"/>
  <c r="D165" i="1"/>
  <c r="B159" i="1"/>
  <c r="D159" i="15" s="1"/>
  <c r="D159" i="1"/>
  <c r="B153" i="1"/>
  <c r="D153" i="15" s="1"/>
  <c r="D153" i="1"/>
  <c r="B147" i="1"/>
  <c r="D147" i="15" s="1"/>
  <c r="D147" i="1"/>
  <c r="B141" i="1"/>
  <c r="D141" i="15" s="1"/>
  <c r="D141" i="1"/>
  <c r="B135" i="1"/>
  <c r="D135" i="15" s="1"/>
  <c r="D135" i="1"/>
  <c r="B129" i="1"/>
  <c r="D129" i="15" s="1"/>
  <c r="D129" i="1"/>
  <c r="B123" i="1"/>
  <c r="D123" i="15" s="1"/>
  <c r="D123" i="1"/>
  <c r="B117" i="1"/>
  <c r="D117" i="15" s="1"/>
  <c r="D117" i="1"/>
  <c r="B111" i="1"/>
  <c r="D111" i="15" s="1"/>
  <c r="D111" i="1"/>
  <c r="B105" i="1"/>
  <c r="D105" i="15" s="1"/>
  <c r="D105" i="1"/>
  <c r="B99" i="1"/>
  <c r="D99" i="15" s="1"/>
  <c r="D99" i="1"/>
  <c r="B93" i="1"/>
  <c r="D93" i="15" s="1"/>
  <c r="D93" i="1"/>
  <c r="B87" i="1"/>
  <c r="D87" i="15" s="1"/>
  <c r="D87" i="1"/>
  <c r="B81" i="1"/>
  <c r="D81" i="15" s="1"/>
  <c r="D81" i="1"/>
  <c r="B75" i="1"/>
  <c r="D75" i="15" s="1"/>
  <c r="D75" i="1"/>
  <c r="B69" i="1"/>
  <c r="D69" i="15" s="1"/>
  <c r="D69" i="1"/>
  <c r="B63" i="1"/>
  <c r="D63" i="15" s="1"/>
  <c r="D63" i="1"/>
  <c r="B57" i="1"/>
  <c r="D57" i="15" s="1"/>
  <c r="D57" i="1"/>
  <c r="B51" i="1"/>
  <c r="D51" i="15" s="1"/>
  <c r="D51" i="1"/>
  <c r="B45" i="1"/>
  <c r="D45" i="15" s="1"/>
  <c r="D45" i="1"/>
  <c r="B39" i="1"/>
  <c r="D39" i="15" s="1"/>
  <c r="D39" i="1"/>
  <c r="B33" i="1"/>
  <c r="D33" i="15" s="1"/>
  <c r="D33" i="1"/>
  <c r="B27" i="1"/>
  <c r="D27" i="15" s="1"/>
  <c r="D27" i="1"/>
  <c r="B21" i="1"/>
  <c r="D21" i="15" s="1"/>
  <c r="D21" i="1"/>
  <c r="B15" i="1"/>
  <c r="D15" i="15" s="1"/>
  <c r="D15" i="1"/>
  <c r="D1237" i="1"/>
  <c r="D1231" i="1"/>
  <c r="D1225" i="1"/>
  <c r="D1219" i="1"/>
  <c r="D1213" i="1"/>
  <c r="D1207" i="1"/>
  <c r="D1201" i="1"/>
  <c r="D1195" i="1"/>
  <c r="D1189" i="1"/>
  <c r="D1183" i="1"/>
  <c r="D1177" i="1"/>
  <c r="D1171" i="1"/>
  <c r="D1165" i="1"/>
  <c r="D1159" i="1"/>
  <c r="D1153" i="1"/>
  <c r="D1147" i="1"/>
  <c r="D1141" i="1"/>
  <c r="D1135" i="1"/>
  <c r="D1129" i="1"/>
  <c r="D1123" i="1"/>
  <c r="D1117" i="1"/>
  <c r="D1111" i="1"/>
  <c r="D1105" i="1"/>
  <c r="D1099" i="1"/>
  <c r="D1093" i="1"/>
  <c r="D1087" i="1"/>
  <c r="D1081" i="1"/>
  <c r="D1075" i="1"/>
  <c r="D1069" i="1"/>
  <c r="D1063" i="1"/>
  <c r="D1057" i="1"/>
  <c r="D1051" i="1"/>
  <c r="D1045" i="1"/>
  <c r="D1039" i="1"/>
  <c r="D1033" i="1"/>
  <c r="D1027" i="1"/>
  <c r="D1021" i="1"/>
  <c r="D1015" i="1"/>
  <c r="D1009" i="1"/>
  <c r="D1003" i="1"/>
  <c r="D997" i="1"/>
  <c r="D991" i="1"/>
  <c r="D985" i="1"/>
  <c r="D979" i="1"/>
  <c r="D973" i="1"/>
  <c r="D967" i="1"/>
  <c r="D961" i="1"/>
  <c r="D955" i="1"/>
  <c r="D949" i="1"/>
  <c r="D943" i="1"/>
  <c r="D937" i="1"/>
  <c r="D931" i="1"/>
  <c r="D925" i="1"/>
  <c r="D919" i="1"/>
  <c r="D913" i="1"/>
  <c r="D907" i="1"/>
  <c r="D901" i="1"/>
  <c r="D895" i="1"/>
  <c r="D889" i="1"/>
  <c r="D883" i="1"/>
  <c r="D877" i="1"/>
  <c r="D871" i="1"/>
  <c r="D865" i="1"/>
  <c r="D859" i="1"/>
  <c r="D853" i="1"/>
  <c r="D847" i="1"/>
  <c r="D841" i="1"/>
  <c r="D835" i="1"/>
  <c r="D829" i="1"/>
  <c r="D823" i="1"/>
  <c r="D817" i="1"/>
  <c r="D811" i="1"/>
  <c r="D805" i="1"/>
  <c r="D799" i="1"/>
  <c r="D793" i="1"/>
  <c r="D787" i="1"/>
  <c r="D781" i="1"/>
  <c r="D775" i="1"/>
  <c r="D769" i="1"/>
  <c r="D763" i="1"/>
  <c r="D757" i="1"/>
  <c r="D751" i="1"/>
  <c r="D745" i="1"/>
  <c r="D739" i="1"/>
  <c r="D733" i="1"/>
  <c r="D727" i="1"/>
  <c r="D721" i="1"/>
  <c r="D715" i="1"/>
  <c r="D709" i="1"/>
  <c r="D703" i="1"/>
  <c r="D697" i="1"/>
  <c r="D691" i="1"/>
  <c r="D685" i="1"/>
  <c r="D679" i="1"/>
  <c r="D673" i="1"/>
  <c r="D667" i="1"/>
  <c r="D661" i="1"/>
  <c r="D655" i="1"/>
  <c r="D649" i="1"/>
  <c r="D643" i="1"/>
  <c r="D637" i="1"/>
  <c r="D631" i="1"/>
  <c r="D625" i="1"/>
  <c r="D619" i="1"/>
  <c r="D613" i="1"/>
  <c r="D607" i="1"/>
  <c r="D601" i="1"/>
  <c r="D595" i="1"/>
  <c r="D589" i="1"/>
  <c r="D583" i="1"/>
  <c r="D577" i="1"/>
  <c r="D571" i="1"/>
  <c r="D565" i="1"/>
  <c r="D559" i="1"/>
  <c r="D553" i="1"/>
  <c r="D547" i="1"/>
  <c r="D541" i="1"/>
  <c r="D535" i="1"/>
  <c r="D529" i="1"/>
  <c r="D523" i="1"/>
  <c r="D517" i="1"/>
  <c r="D511" i="1"/>
  <c r="D481" i="1"/>
  <c r="D439" i="1"/>
  <c r="D295" i="1"/>
  <c r="D265" i="1"/>
  <c r="D223" i="1"/>
  <c r="D468" i="1"/>
  <c r="D438" i="1"/>
  <c r="D396" i="1"/>
  <c r="D294" i="1"/>
  <c r="D252" i="1"/>
  <c r="D222" i="1"/>
  <c r="D690" i="1"/>
  <c r="D672" i="1"/>
  <c r="D654" i="1"/>
  <c r="D636" i="1"/>
  <c r="D618" i="1"/>
  <c r="D600" i="1"/>
  <c r="D582" i="1"/>
  <c r="D564" i="1"/>
  <c r="D546" i="1"/>
  <c r="D195" i="1"/>
  <c r="D180" i="1"/>
  <c r="D6" i="1"/>
  <c r="B169" i="1"/>
  <c r="D169" i="15" s="1"/>
  <c r="D169" i="1"/>
  <c r="B157" i="1"/>
  <c r="D157" i="15" s="1"/>
  <c r="D157" i="1"/>
  <c r="B151" i="1"/>
  <c r="D151" i="15" s="1"/>
  <c r="D151" i="1"/>
  <c r="B139" i="1"/>
  <c r="D139" i="15" s="1"/>
  <c r="D139" i="1"/>
  <c r="B133" i="1"/>
  <c r="D133" i="15" s="1"/>
  <c r="D133" i="1"/>
  <c r="B127" i="1"/>
  <c r="D127" i="15" s="1"/>
  <c r="D127" i="1"/>
  <c r="B121" i="1"/>
  <c r="D121" i="15" s="1"/>
  <c r="D121" i="1"/>
  <c r="B115" i="1"/>
  <c r="D115" i="15" s="1"/>
  <c r="D115" i="1"/>
  <c r="B109" i="1"/>
  <c r="D109" i="15" s="1"/>
  <c r="D109" i="1"/>
  <c r="B103" i="1"/>
  <c r="D103" i="15" s="1"/>
  <c r="D103" i="1"/>
  <c r="B97" i="1"/>
  <c r="D97" i="15" s="1"/>
  <c r="D97" i="1"/>
  <c r="B91" i="1"/>
  <c r="D91" i="15" s="1"/>
  <c r="D91" i="1"/>
  <c r="B85" i="1"/>
  <c r="D85" i="15" s="1"/>
  <c r="D85" i="1"/>
  <c r="B79" i="1"/>
  <c r="D79" i="15" s="1"/>
  <c r="D79" i="1"/>
  <c r="B73" i="1"/>
  <c r="D73" i="15" s="1"/>
  <c r="D73" i="1"/>
  <c r="B67" i="1"/>
  <c r="D67" i="15" s="1"/>
  <c r="D67" i="1"/>
  <c r="B61" i="1"/>
  <c r="D61" i="15" s="1"/>
  <c r="D61" i="1"/>
  <c r="B55" i="1"/>
  <c r="D55" i="15" s="1"/>
  <c r="D55" i="1"/>
  <c r="B49" i="1"/>
  <c r="D49" i="15" s="1"/>
  <c r="D49" i="1"/>
  <c r="B43" i="1"/>
  <c r="D43" i="15" s="1"/>
  <c r="D43" i="1"/>
  <c r="B37" i="1"/>
  <c r="D37" i="15" s="1"/>
  <c r="D37" i="1"/>
  <c r="B31" i="1"/>
  <c r="D31" i="15" s="1"/>
  <c r="D31" i="1"/>
  <c r="B25" i="1"/>
  <c r="D25" i="15" s="1"/>
  <c r="D25" i="1"/>
  <c r="B19" i="1"/>
  <c r="D19" i="15" s="1"/>
  <c r="D19" i="1"/>
  <c r="B13" i="1"/>
  <c r="D13" i="15" s="1"/>
  <c r="D13" i="1"/>
  <c r="D1235" i="1"/>
  <c r="D1229" i="1"/>
  <c r="D1223" i="1"/>
  <c r="D1217" i="1"/>
  <c r="D1211" i="1"/>
  <c r="D1205" i="1"/>
  <c r="D1199" i="1"/>
  <c r="D1193" i="1"/>
  <c r="D1187" i="1"/>
  <c r="D1181" i="1"/>
  <c r="D1175" i="1"/>
  <c r="D1169" i="1"/>
  <c r="D1163" i="1"/>
  <c r="D1157" i="1"/>
  <c r="D1151" i="1"/>
  <c r="D1145" i="1"/>
  <c r="D1139" i="1"/>
  <c r="D1133" i="1"/>
  <c r="D1127" i="1"/>
  <c r="D1121" i="1"/>
  <c r="D1115" i="1"/>
  <c r="D1109" i="1"/>
  <c r="D1103" i="1"/>
  <c r="D1097" i="1"/>
  <c r="D1091" i="1"/>
  <c r="D1085" i="1"/>
  <c r="D1079" i="1"/>
  <c r="D1073" i="1"/>
  <c r="D1067" i="1"/>
  <c r="D1061" i="1"/>
  <c r="D1055" i="1"/>
  <c r="D1049" i="1"/>
  <c r="D1043" i="1"/>
  <c r="D1037" i="1"/>
  <c r="D1031" i="1"/>
  <c r="D1025" i="1"/>
  <c r="D1019" i="1"/>
  <c r="D1013" i="1"/>
  <c r="D1007" i="1"/>
  <c r="D1001" i="1"/>
  <c r="D995" i="1"/>
  <c r="D989" i="1"/>
  <c r="D983" i="1"/>
  <c r="D977" i="1"/>
  <c r="D971" i="1"/>
  <c r="D965" i="1"/>
  <c r="D959" i="1"/>
  <c r="D953" i="1"/>
  <c r="D947" i="1"/>
  <c r="D941" i="1"/>
  <c r="D935" i="1"/>
  <c r="D929" i="1"/>
  <c r="D923" i="1"/>
  <c r="D917" i="1"/>
  <c r="D911" i="1"/>
  <c r="D905" i="1"/>
  <c r="D899" i="1"/>
  <c r="D893" i="1"/>
  <c r="D887" i="1"/>
  <c r="D881" i="1"/>
  <c r="D875" i="1"/>
  <c r="D869" i="1"/>
  <c r="D863" i="1"/>
  <c r="D857" i="1"/>
  <c r="D851" i="1"/>
  <c r="D845" i="1"/>
  <c r="D839" i="1"/>
  <c r="D833" i="1"/>
  <c r="D827" i="1"/>
  <c r="D821" i="1"/>
  <c r="D815" i="1"/>
  <c r="D809" i="1"/>
  <c r="D803" i="1"/>
  <c r="D797" i="1"/>
  <c r="D791" i="1"/>
  <c r="D785" i="1"/>
  <c r="D779" i="1"/>
  <c r="D773" i="1"/>
  <c r="D767" i="1"/>
  <c r="D761" i="1"/>
  <c r="D755" i="1"/>
  <c r="D749" i="1"/>
  <c r="D743" i="1"/>
  <c r="D737" i="1"/>
  <c r="D731" i="1"/>
  <c r="D725" i="1"/>
  <c r="D719" i="1"/>
  <c r="D713" i="1"/>
  <c r="D707" i="1"/>
  <c r="D701" i="1"/>
  <c r="D695" i="1"/>
  <c r="D689" i="1"/>
  <c r="D683" i="1"/>
  <c r="D677" i="1"/>
  <c r="D671" i="1"/>
  <c r="D665" i="1"/>
  <c r="D659" i="1"/>
  <c r="D653" i="1"/>
  <c r="D647" i="1"/>
  <c r="D641" i="1"/>
  <c r="D635" i="1"/>
  <c r="D629" i="1"/>
  <c r="D623" i="1"/>
  <c r="D617" i="1"/>
  <c r="D611" i="1"/>
  <c r="D605" i="1"/>
  <c r="D599" i="1"/>
  <c r="D593" i="1"/>
  <c r="D587" i="1"/>
  <c r="D581" i="1"/>
  <c r="D575" i="1"/>
  <c r="D569" i="1"/>
  <c r="D563" i="1"/>
  <c r="D557" i="1"/>
  <c r="D551" i="1"/>
  <c r="D545" i="1"/>
  <c r="D497" i="1"/>
  <c r="D467" i="1"/>
  <c r="D425" i="1"/>
  <c r="D395" i="1"/>
  <c r="D353" i="1"/>
  <c r="D281" i="1"/>
  <c r="D251" i="1"/>
  <c r="D209" i="1"/>
  <c r="D179" i="1"/>
  <c r="D520" i="1"/>
  <c r="D514" i="1"/>
  <c r="D508" i="1"/>
  <c r="D502" i="1"/>
  <c r="D490" i="1"/>
  <c r="D484" i="1"/>
  <c r="D478" i="1"/>
  <c r="D472" i="1"/>
  <c r="D466" i="1"/>
  <c r="D460" i="1"/>
  <c r="D448" i="1"/>
  <c r="D442" i="1"/>
  <c r="D436" i="1"/>
  <c r="D430" i="1"/>
  <c r="D418" i="1"/>
  <c r="D412" i="1"/>
  <c r="D406" i="1"/>
  <c r="D400" i="1"/>
  <c r="D394" i="1"/>
  <c r="D388" i="1"/>
  <c r="D376" i="1"/>
  <c r="D370" i="1"/>
  <c r="D364" i="1"/>
  <c r="D358" i="1"/>
  <c r="D346" i="1"/>
  <c r="D340" i="1"/>
  <c r="D334" i="1"/>
  <c r="D328" i="1"/>
  <c r="D322" i="1"/>
  <c r="D316" i="1"/>
  <c r="D304" i="1"/>
  <c r="D298" i="1"/>
  <c r="D292" i="1"/>
  <c r="D286" i="1"/>
  <c r="D274" i="1"/>
  <c r="D268" i="1"/>
  <c r="D262" i="1"/>
  <c r="D256" i="1"/>
  <c r="D250" i="1"/>
  <c r="D244" i="1"/>
  <c r="D232" i="1"/>
  <c r="D226" i="1"/>
  <c r="D220" i="1"/>
  <c r="D214" i="1"/>
  <c r="D202" i="1"/>
  <c r="D196" i="1"/>
  <c r="D190" i="1"/>
  <c r="B184" i="1"/>
  <c r="D184" i="15" s="1"/>
  <c r="D184" i="1"/>
  <c r="B178" i="1"/>
  <c r="D178" i="15" s="1"/>
  <c r="D178" i="1"/>
  <c r="D526" i="1"/>
  <c r="D310" i="1"/>
  <c r="D969" i="1"/>
  <c r="D963" i="1"/>
  <c r="D957" i="1"/>
  <c r="D945" i="1"/>
  <c r="D939" i="1"/>
  <c r="D927" i="1"/>
  <c r="D921" i="1"/>
  <c r="D909" i="1"/>
  <c r="D903" i="1"/>
  <c r="D891" i="1"/>
  <c r="D885" i="1"/>
  <c r="D693" i="1"/>
  <c r="D687" i="1"/>
  <c r="D681" i="1"/>
  <c r="D675" i="1"/>
  <c r="D621" i="1"/>
  <c r="D615" i="1"/>
  <c r="D609" i="1"/>
  <c r="D603" i="1"/>
  <c r="D549" i="1"/>
  <c r="D543" i="1"/>
  <c r="D537" i="1"/>
  <c r="D531" i="1"/>
  <c r="D477" i="1"/>
  <c r="D471" i="1"/>
  <c r="D465" i="1"/>
  <c r="D459" i="1"/>
  <c r="D405" i="1"/>
  <c r="D399" i="1"/>
  <c r="D393" i="1"/>
  <c r="D387" i="1"/>
  <c r="D375" i="1"/>
  <c r="D369" i="1"/>
  <c r="D363" i="1"/>
  <c r="D357" i="1"/>
  <c r="D351" i="1"/>
  <c r="D345" i="1"/>
  <c r="D333" i="1"/>
  <c r="D327" i="1"/>
  <c r="D321" i="1"/>
  <c r="D315" i="1"/>
  <c r="D303" i="1"/>
  <c r="D297" i="1"/>
  <c r="D291" i="1"/>
  <c r="D285" i="1"/>
  <c r="D279" i="1"/>
  <c r="D273" i="1"/>
  <c r="D261" i="1"/>
  <c r="D255" i="1"/>
  <c r="D249" i="1"/>
  <c r="D243" i="1"/>
  <c r="D231" i="1"/>
  <c r="D225" i="1"/>
  <c r="D219" i="1"/>
  <c r="D213" i="1"/>
  <c r="D207" i="1"/>
  <c r="D201" i="1"/>
  <c r="D177" i="1"/>
  <c r="D352" i="1"/>
  <c r="D309" i="1"/>
  <c r="D873" i="1"/>
  <c r="D867" i="1"/>
  <c r="D861" i="1"/>
  <c r="D855" i="1"/>
  <c r="D849" i="1"/>
  <c r="D843" i="1"/>
  <c r="D837" i="1"/>
  <c r="D831" i="1"/>
  <c r="D825" i="1"/>
  <c r="D819" i="1"/>
  <c r="D813" i="1"/>
  <c r="D807" i="1"/>
  <c r="D801" i="1"/>
  <c r="D795" i="1"/>
  <c r="D789" i="1"/>
  <c r="D783" i="1"/>
  <c r="D777" i="1"/>
  <c r="D771" i="1"/>
  <c r="D765" i="1"/>
  <c r="D759" i="1"/>
  <c r="D753" i="1"/>
  <c r="D747" i="1"/>
  <c r="D741" i="1"/>
  <c r="D735" i="1"/>
  <c r="D729" i="1"/>
  <c r="D723" i="1"/>
  <c r="D717" i="1"/>
  <c r="D711" i="1"/>
  <c r="D705" i="1"/>
  <c r="D663" i="1"/>
  <c r="D657" i="1"/>
  <c r="D651" i="1"/>
  <c r="D645" i="1"/>
  <c r="D639" i="1"/>
  <c r="D633" i="1"/>
  <c r="D591" i="1"/>
  <c r="D585" i="1"/>
  <c r="D579" i="1"/>
  <c r="D573" i="1"/>
  <c r="D567" i="1"/>
  <c r="D561" i="1"/>
  <c r="D519" i="1"/>
  <c r="D513" i="1"/>
  <c r="D507" i="1"/>
  <c r="D501" i="1"/>
  <c r="D495" i="1"/>
  <c r="D489" i="1"/>
  <c r="D447" i="1"/>
  <c r="D441" i="1"/>
  <c r="D435" i="1"/>
  <c r="D429" i="1"/>
  <c r="D423" i="1"/>
  <c r="D417" i="1"/>
  <c r="B9" i="1"/>
  <c r="D9" i="15" s="1"/>
  <c r="D3" i="1"/>
  <c r="D160" i="1"/>
  <c r="B154" i="1"/>
  <c r="D154" i="15" s="1"/>
  <c r="D154" i="1"/>
  <c r="D148" i="1"/>
  <c r="B142" i="1"/>
  <c r="D142" i="15" s="1"/>
  <c r="D142" i="1"/>
  <c r="B130" i="1"/>
  <c r="D130" i="15" s="1"/>
  <c r="D130" i="1"/>
  <c r="D124" i="1"/>
  <c r="B118" i="1"/>
  <c r="D118" i="15" s="1"/>
  <c r="D118" i="1"/>
  <c r="D112" i="1"/>
  <c r="B106" i="1"/>
  <c r="D106" i="15" s="1"/>
  <c r="D106" i="1"/>
  <c r="D100" i="1"/>
  <c r="B94" i="1"/>
  <c r="D94" i="15" s="1"/>
  <c r="D94" i="1"/>
  <c r="D88" i="1"/>
  <c r="B82" i="1"/>
  <c r="D82" i="15" s="1"/>
  <c r="D82" i="1"/>
  <c r="B70" i="1"/>
  <c r="D70" i="15" s="1"/>
  <c r="D70" i="1"/>
  <c r="D64" i="1"/>
  <c r="B58" i="1"/>
  <c r="D58" i="15" s="1"/>
  <c r="D58" i="1"/>
  <c r="B46" i="1"/>
  <c r="D46" i="15" s="1"/>
  <c r="D46" i="1"/>
  <c r="D40" i="1"/>
  <c r="B34" i="1"/>
  <c r="D34" i="15" s="1"/>
  <c r="D34" i="1"/>
  <c r="D28" i="1"/>
  <c r="B22" i="1"/>
  <c r="D22" i="15" s="1"/>
  <c r="D22" i="1"/>
  <c r="D16" i="1"/>
  <c r="D1232" i="1"/>
  <c r="D1214" i="1"/>
  <c r="D1208" i="1"/>
  <c r="D1202" i="1"/>
  <c r="D1196" i="1"/>
  <c r="D1178" i="1"/>
  <c r="D1172" i="1"/>
  <c r="D1166" i="1"/>
  <c r="D1160" i="1"/>
  <c r="D1142" i="1"/>
  <c r="D1136" i="1"/>
  <c r="D1130" i="1"/>
  <c r="D1124" i="1"/>
  <c r="D1106" i="1"/>
  <c r="D1100" i="1"/>
  <c r="D1094" i="1"/>
  <c r="D1088" i="1"/>
  <c r="D1070" i="1"/>
  <c r="D1064" i="1"/>
  <c r="D1058" i="1"/>
  <c r="D1052" i="1"/>
  <c r="D1034" i="1"/>
  <c r="D1028" i="1"/>
  <c r="D1022" i="1"/>
  <c r="D1016" i="1"/>
  <c r="D998" i="1"/>
  <c r="D992" i="1"/>
  <c r="D986" i="1"/>
  <c r="D980" i="1"/>
  <c r="D962" i="1"/>
  <c r="D956" i="1"/>
  <c r="D950" i="1"/>
  <c r="D944" i="1"/>
  <c r="D938" i="1"/>
  <c r="D932" i="1"/>
  <c r="D926" i="1"/>
  <c r="D920" i="1"/>
  <c r="D914" i="1"/>
  <c r="D908" i="1"/>
  <c r="D902" i="1"/>
  <c r="D896" i="1"/>
  <c r="D890" i="1"/>
  <c r="D884" i="1"/>
  <c r="D878" i="1"/>
  <c r="D872" i="1"/>
  <c r="D866" i="1"/>
  <c r="D860" i="1"/>
  <c r="D854" i="1"/>
  <c r="D848" i="1"/>
  <c r="D842" i="1"/>
  <c r="D836" i="1"/>
  <c r="D830" i="1"/>
  <c r="D824" i="1"/>
  <c r="D818" i="1"/>
  <c r="D812" i="1"/>
  <c r="D806" i="1"/>
  <c r="D800" i="1"/>
  <c r="D794" i="1"/>
  <c r="D788" i="1"/>
  <c r="D782" i="1"/>
  <c r="D776" i="1"/>
  <c r="D770" i="1"/>
  <c r="D764" i="1"/>
  <c r="D758" i="1"/>
  <c r="D752" i="1"/>
  <c r="D746" i="1"/>
  <c r="D740" i="1"/>
  <c r="D734" i="1"/>
  <c r="D728" i="1"/>
  <c r="D722" i="1"/>
  <c r="D716" i="1"/>
  <c r="D710" i="1"/>
  <c r="D704" i="1"/>
  <c r="D698" i="1"/>
  <c r="D692" i="1"/>
  <c r="D686" i="1"/>
  <c r="D680" i="1"/>
  <c r="D674" i="1"/>
  <c r="D668" i="1"/>
  <c r="D662" i="1"/>
  <c r="D555" i="1"/>
  <c r="D382" i="1"/>
  <c r="D339" i="1"/>
  <c r="D166" i="1"/>
  <c r="D505" i="1"/>
  <c r="D499" i="1"/>
  <c r="D493" i="1"/>
  <c r="D487" i="1"/>
  <c r="D475" i="1"/>
  <c r="D469" i="1"/>
  <c r="D463" i="1"/>
  <c r="D457" i="1"/>
  <c r="D451" i="1"/>
  <c r="D445" i="1"/>
  <c r="D433" i="1"/>
  <c r="D427" i="1"/>
  <c r="D421" i="1"/>
  <c r="D415" i="1"/>
  <c r="D403" i="1"/>
  <c r="D397" i="1"/>
  <c r="D391" i="1"/>
  <c r="D385" i="1"/>
  <c r="D379" i="1"/>
  <c r="D373" i="1"/>
  <c r="D361" i="1"/>
  <c r="D355" i="1"/>
  <c r="D349" i="1"/>
  <c r="D343" i="1"/>
  <c r="D331" i="1"/>
  <c r="D325" i="1"/>
  <c r="D319" i="1"/>
  <c r="D313" i="1"/>
  <c r="D307" i="1"/>
  <c r="D301" i="1"/>
  <c r="D289" i="1"/>
  <c r="D283" i="1"/>
  <c r="D277" i="1"/>
  <c r="D271" i="1"/>
  <c r="D259" i="1"/>
  <c r="D253" i="1"/>
  <c r="D247" i="1"/>
  <c r="D241" i="1"/>
  <c r="D235" i="1"/>
  <c r="D229" i="1"/>
  <c r="D217" i="1"/>
  <c r="D211" i="1"/>
  <c r="D205" i="1"/>
  <c r="D199" i="1"/>
  <c r="D187" i="1"/>
  <c r="D597" i="1"/>
  <c r="D424" i="1"/>
  <c r="D381" i="1"/>
  <c r="D337" i="1"/>
  <c r="D208" i="1"/>
  <c r="D52" i="1"/>
  <c r="D534" i="1"/>
  <c r="D528" i="1"/>
  <c r="D522" i="1"/>
  <c r="D516" i="1"/>
  <c r="D504" i="1"/>
  <c r="D498" i="1"/>
  <c r="D492" i="1"/>
  <c r="D486" i="1"/>
  <c r="D480" i="1"/>
  <c r="D474" i="1"/>
  <c r="D462" i="1"/>
  <c r="D456" i="1"/>
  <c r="D450" i="1"/>
  <c r="D444" i="1"/>
  <c r="D432" i="1"/>
  <c r="D426" i="1"/>
  <c r="D420" i="1"/>
  <c r="D414" i="1"/>
  <c r="D408" i="1"/>
  <c r="D402" i="1"/>
  <c r="D390" i="1"/>
  <c r="D384" i="1"/>
  <c r="D378" i="1"/>
  <c r="D372" i="1"/>
  <c r="D360" i="1"/>
  <c r="D354" i="1"/>
  <c r="D348" i="1"/>
  <c r="D342" i="1"/>
  <c r="D336" i="1"/>
  <c r="D330" i="1"/>
  <c r="D318" i="1"/>
  <c r="D312" i="1"/>
  <c r="D306" i="1"/>
  <c r="D300" i="1"/>
  <c r="D288" i="1"/>
  <c r="D282" i="1"/>
  <c r="D276" i="1"/>
  <c r="D270" i="1"/>
  <c r="D264" i="1"/>
  <c r="D258" i="1"/>
  <c r="D246" i="1"/>
  <c r="D240" i="1"/>
  <c r="D234" i="1"/>
  <c r="D228" i="1"/>
  <c r="D216" i="1"/>
  <c r="D210" i="1"/>
  <c r="D204" i="1"/>
  <c r="D198" i="1"/>
  <c r="D192" i="1"/>
  <c r="B186" i="1"/>
  <c r="D186" i="15" s="1"/>
  <c r="D186" i="1"/>
  <c r="B180" i="1"/>
  <c r="D180" i="15" s="1"/>
  <c r="B174" i="1"/>
  <c r="D174" i="15" s="1"/>
  <c r="D174" i="1"/>
  <c r="D627" i="1"/>
  <c r="D540" i="1"/>
  <c r="D454" i="1"/>
  <c r="D411" i="1"/>
  <c r="D367" i="1"/>
  <c r="D324" i="1"/>
  <c r="D238" i="1"/>
  <c r="D533" i="1"/>
  <c r="D527" i="1"/>
  <c r="D521" i="1"/>
  <c r="D515" i="1"/>
  <c r="D509" i="1"/>
  <c r="D503" i="1"/>
  <c r="D491" i="1"/>
  <c r="D485" i="1"/>
  <c r="D479" i="1"/>
  <c r="D473" i="1"/>
  <c r="D461" i="1"/>
  <c r="D455" i="1"/>
  <c r="D449" i="1"/>
  <c r="D443" i="1"/>
  <c r="D437" i="1"/>
  <c r="D431" i="1"/>
  <c r="D419" i="1"/>
  <c r="D413" i="1"/>
  <c r="D407" i="1"/>
  <c r="D401" i="1"/>
  <c r="D389" i="1"/>
  <c r="D383" i="1"/>
  <c r="D377" i="1"/>
  <c r="D371" i="1"/>
  <c r="D365" i="1"/>
  <c r="D359" i="1"/>
  <c r="D347" i="1"/>
  <c r="D341" i="1"/>
  <c r="D335" i="1"/>
  <c r="D329" i="1"/>
  <c r="D317" i="1"/>
  <c r="D311" i="1"/>
  <c r="D305" i="1"/>
  <c r="D299" i="1"/>
  <c r="D293" i="1"/>
  <c r="D287" i="1"/>
  <c r="D275" i="1"/>
  <c r="D269" i="1"/>
  <c r="D263" i="1"/>
  <c r="D257" i="1"/>
  <c r="D245" i="1"/>
  <c r="D239" i="1"/>
  <c r="D233" i="1"/>
  <c r="D227" i="1"/>
  <c r="D221" i="1"/>
  <c r="D215" i="1"/>
  <c r="D203" i="1"/>
  <c r="D197" i="1"/>
  <c r="D191" i="1"/>
  <c r="B185" i="1"/>
  <c r="D185" i="15" s="1"/>
  <c r="D185" i="1"/>
  <c r="B179" i="1"/>
  <c r="D179" i="15" s="1"/>
  <c r="B173" i="1"/>
  <c r="D173" i="15" s="1"/>
  <c r="D173" i="1"/>
  <c r="D669" i="1"/>
  <c r="D539" i="1"/>
  <c r="D496" i="1"/>
  <c r="D453" i="1"/>
  <c r="D409" i="1"/>
  <c r="D366" i="1"/>
  <c r="D323" i="1"/>
  <c r="D280" i="1"/>
  <c r="D237" i="1"/>
  <c r="D193" i="1"/>
  <c r="D189" i="1"/>
  <c r="B183" i="1"/>
  <c r="D183" i="15" s="1"/>
  <c r="D183" i="1"/>
  <c r="B177" i="1"/>
  <c r="D177" i="15" s="1"/>
  <c r="D171" i="1"/>
  <c r="D656" i="1"/>
  <c r="D650" i="1"/>
  <c r="D644" i="1"/>
  <c r="D638" i="1"/>
  <c r="D632" i="1"/>
  <c r="D626" i="1"/>
  <c r="D620" i="1"/>
  <c r="D614" i="1"/>
  <c r="D608" i="1"/>
  <c r="D602" i="1"/>
  <c r="D596" i="1"/>
  <c r="D590" i="1"/>
  <c r="D584" i="1"/>
  <c r="D578" i="1"/>
  <c r="D572" i="1"/>
  <c r="D566" i="1"/>
  <c r="D560" i="1"/>
  <c r="D554" i="1"/>
  <c r="D548" i="1"/>
  <c r="D542" i="1"/>
  <c r="D536" i="1"/>
  <c r="D530" i="1"/>
  <c r="D524" i="1"/>
  <c r="D518" i="1"/>
  <c r="D512" i="1"/>
  <c r="D506" i="1"/>
  <c r="D500" i="1"/>
  <c r="D494" i="1"/>
  <c r="D488" i="1"/>
  <c r="D482" i="1"/>
  <c r="D476" i="1"/>
  <c r="D470" i="1"/>
  <c r="D464" i="1"/>
  <c r="D458" i="1"/>
  <c r="D452" i="1"/>
  <c r="D446" i="1"/>
  <c r="D440" i="1"/>
  <c r="D434" i="1"/>
  <c r="D428" i="1"/>
  <c r="D422" i="1"/>
  <c r="D416" i="1"/>
  <c r="D410" i="1"/>
  <c r="D404" i="1"/>
  <c r="D398" i="1"/>
  <c r="D392" i="1"/>
  <c r="D386" i="1"/>
  <c r="D380" i="1"/>
  <c r="D374" i="1"/>
  <c r="D368" i="1"/>
  <c r="D362" i="1"/>
  <c r="D356" i="1"/>
  <c r="D350" i="1"/>
  <c r="D344" i="1"/>
  <c r="D338" i="1"/>
  <c r="D332" i="1"/>
  <c r="D326" i="1"/>
  <c r="D320" i="1"/>
  <c r="D314" i="1"/>
  <c r="D308" i="1"/>
  <c r="D302" i="1"/>
  <c r="D296" i="1"/>
  <c r="D290" i="1"/>
  <c r="D284" i="1"/>
  <c r="D278" i="1"/>
  <c r="D272" i="1"/>
  <c r="D266" i="1"/>
  <c r="D260" i="1"/>
  <c r="D254" i="1"/>
  <c r="D248" i="1"/>
  <c r="D242" i="1"/>
  <c r="D236" i="1"/>
  <c r="D230" i="1"/>
  <c r="D224" i="1"/>
  <c r="D218" i="1"/>
  <c r="D212" i="1"/>
  <c r="D206" i="1"/>
  <c r="D200" i="1"/>
  <c r="D194" i="1"/>
  <c r="D188" i="1"/>
  <c r="B182" i="1"/>
  <c r="D182" i="15" s="1"/>
  <c r="D182" i="1"/>
  <c r="B176" i="1"/>
  <c r="D176" i="15" s="1"/>
  <c r="D176" i="1"/>
  <c r="B170" i="1"/>
  <c r="D170" i="15" s="1"/>
  <c r="D170" i="1"/>
  <c r="D172" i="1"/>
  <c r="B181" i="1"/>
  <c r="D181" i="15" s="1"/>
  <c r="D181" i="1"/>
  <c r="B175" i="1"/>
  <c r="D175" i="15" s="1"/>
  <c r="D175" i="1"/>
  <c r="G2" i="12"/>
  <c r="AD160" i="4"/>
  <c r="AD164" i="4"/>
  <c r="AD168" i="4"/>
  <c r="AD172" i="4"/>
  <c r="AD176" i="4"/>
  <c r="AD180" i="4"/>
  <c r="AD184" i="4"/>
  <c r="AD188" i="4"/>
  <c r="AD192" i="4"/>
  <c r="AD256" i="4"/>
  <c r="AD196" i="4"/>
  <c r="AD200" i="4"/>
  <c r="AD204" i="4"/>
  <c r="AD208" i="4"/>
  <c r="AD212" i="4"/>
  <c r="AD216" i="4"/>
  <c r="AD220" i="4"/>
  <c r="AD224" i="4"/>
  <c r="AD228" i="4"/>
  <c r="AD232" i="4"/>
  <c r="AD236" i="4"/>
  <c r="AD240" i="4"/>
  <c r="AD244" i="4"/>
  <c r="AD248" i="4"/>
  <c r="AD252" i="4"/>
  <c r="B711" i="1"/>
  <c r="D711" i="15" s="1"/>
  <c r="B707" i="1"/>
  <c r="D707" i="15" s="1"/>
  <c r="B703" i="1"/>
  <c r="D703" i="15" s="1"/>
  <c r="B699" i="1"/>
  <c r="D699" i="15" s="1"/>
  <c r="B695" i="1"/>
  <c r="D695" i="15" s="1"/>
  <c r="B691" i="1"/>
  <c r="D691" i="15" s="1"/>
  <c r="B687" i="1"/>
  <c r="D687" i="15" s="1"/>
  <c r="B683" i="1"/>
  <c r="D683" i="15" s="1"/>
  <c r="B679" i="1"/>
  <c r="D679" i="15" s="1"/>
  <c r="B675" i="1"/>
  <c r="D675" i="15" s="1"/>
  <c r="B671" i="1"/>
  <c r="D671" i="15" s="1"/>
  <c r="B667" i="1"/>
  <c r="D667" i="15" s="1"/>
  <c r="B663" i="1"/>
  <c r="D663" i="15" s="1"/>
  <c r="B659" i="1"/>
  <c r="D659" i="15" s="1"/>
  <c r="B655" i="1"/>
  <c r="D655" i="15" s="1"/>
  <c r="B651" i="1"/>
  <c r="D651" i="15" s="1"/>
  <c r="B647" i="1"/>
  <c r="D647" i="15" s="1"/>
  <c r="B643" i="1"/>
  <c r="D643" i="15" s="1"/>
  <c r="B639" i="1"/>
  <c r="D639" i="15" s="1"/>
  <c r="B635" i="1"/>
  <c r="D635" i="15" s="1"/>
  <c r="B631" i="1"/>
  <c r="D631" i="15" s="1"/>
  <c r="B627" i="1"/>
  <c r="D627" i="15" s="1"/>
  <c r="B623" i="1"/>
  <c r="D623" i="15" s="1"/>
  <c r="B619" i="1"/>
  <c r="D619" i="15" s="1"/>
  <c r="B615" i="1"/>
  <c r="D615" i="15" s="1"/>
  <c r="B611" i="1"/>
  <c r="D611" i="15" s="1"/>
  <c r="B607" i="1"/>
  <c r="D607" i="15" s="1"/>
  <c r="B603" i="1"/>
  <c r="D603" i="15" s="1"/>
  <c r="B599" i="1"/>
  <c r="D599" i="15" s="1"/>
  <c r="B595" i="1"/>
  <c r="D595" i="15" s="1"/>
  <c r="B591" i="1"/>
  <c r="D591" i="15" s="1"/>
  <c r="B587" i="1"/>
  <c r="D587" i="15" s="1"/>
  <c r="B583" i="1"/>
  <c r="D583" i="15" s="1"/>
  <c r="B579" i="1"/>
  <c r="D579" i="15" s="1"/>
  <c r="B575" i="1"/>
  <c r="D575" i="15" s="1"/>
  <c r="B571" i="1"/>
  <c r="D571" i="15" s="1"/>
  <c r="B567" i="1"/>
  <c r="D567" i="15" s="1"/>
  <c r="B563" i="1"/>
  <c r="D563" i="15" s="1"/>
  <c r="B559" i="1"/>
  <c r="D559" i="15" s="1"/>
  <c r="B555" i="1"/>
  <c r="D555" i="15" s="1"/>
  <c r="B551" i="1"/>
  <c r="D551" i="15" s="1"/>
  <c r="B547" i="1"/>
  <c r="D547" i="15" s="1"/>
  <c r="B543" i="1"/>
  <c r="D543" i="15" s="1"/>
  <c r="B539" i="1"/>
  <c r="D539" i="15" s="1"/>
  <c r="B535" i="1"/>
  <c r="D535" i="15" s="1"/>
  <c r="B531" i="1"/>
  <c r="D531" i="15" s="1"/>
  <c r="B527" i="1"/>
  <c r="D527" i="15" s="1"/>
  <c r="B523" i="1"/>
  <c r="D523" i="15" s="1"/>
  <c r="B519" i="1"/>
  <c r="D519" i="15" s="1"/>
  <c r="B515" i="1"/>
  <c r="D515" i="15" s="1"/>
  <c r="B511" i="1"/>
  <c r="D511" i="15" s="1"/>
  <c r="B507" i="1"/>
  <c r="D507" i="15" s="1"/>
  <c r="B503" i="1"/>
  <c r="D503" i="15" s="1"/>
  <c r="B499" i="1"/>
  <c r="D499" i="15" s="1"/>
  <c r="B495" i="1"/>
  <c r="D495" i="15" s="1"/>
  <c r="B491" i="1"/>
  <c r="D491" i="15" s="1"/>
  <c r="B487" i="1"/>
  <c r="D487" i="15" s="1"/>
  <c r="B483" i="1"/>
  <c r="D483" i="15" s="1"/>
  <c r="B479" i="1"/>
  <c r="D479" i="15" s="1"/>
  <c r="B475" i="1"/>
  <c r="D475" i="15" s="1"/>
  <c r="B471" i="1"/>
  <c r="D471" i="15" s="1"/>
  <c r="B467" i="1"/>
  <c r="D467" i="15" s="1"/>
  <c r="B463" i="1"/>
  <c r="D463" i="15" s="1"/>
  <c r="B459" i="1"/>
  <c r="D459" i="15" s="1"/>
  <c r="B455" i="1"/>
  <c r="D455" i="15" s="1"/>
  <c r="B451" i="1"/>
  <c r="D451" i="15" s="1"/>
  <c r="B447" i="1"/>
  <c r="D447" i="15" s="1"/>
  <c r="B443" i="1"/>
  <c r="D443" i="15" s="1"/>
  <c r="B439" i="1"/>
  <c r="D439" i="15" s="1"/>
  <c r="B435" i="1"/>
  <c r="D435" i="15" s="1"/>
  <c r="B431" i="1"/>
  <c r="D431" i="15" s="1"/>
  <c r="B427" i="1"/>
  <c r="D427" i="15" s="1"/>
  <c r="B423" i="1"/>
  <c r="D423" i="15" s="1"/>
  <c r="B419" i="1"/>
  <c r="D419" i="15" s="1"/>
  <c r="B415" i="1"/>
  <c r="D415" i="15" s="1"/>
  <c r="B411" i="1"/>
  <c r="D411" i="15" s="1"/>
  <c r="B407" i="1"/>
  <c r="D407" i="15" s="1"/>
  <c r="B403" i="1"/>
  <c r="D403" i="15" s="1"/>
  <c r="B399" i="1"/>
  <c r="D399" i="15" s="1"/>
  <c r="B395" i="1"/>
  <c r="D395" i="15" s="1"/>
  <c r="B391" i="1"/>
  <c r="D391" i="15" s="1"/>
  <c r="B387" i="1"/>
  <c r="D387" i="15" s="1"/>
  <c r="B383" i="1"/>
  <c r="D383" i="15" s="1"/>
  <c r="B379" i="1"/>
  <c r="D379" i="15" s="1"/>
  <c r="B375" i="1"/>
  <c r="D375" i="15" s="1"/>
  <c r="B371" i="1"/>
  <c r="D371" i="15" s="1"/>
  <c r="B367" i="1"/>
  <c r="D367" i="15" s="1"/>
  <c r="B363" i="1"/>
  <c r="D363" i="15" s="1"/>
  <c r="B359" i="1"/>
  <c r="D359" i="15" s="1"/>
  <c r="B355" i="1"/>
  <c r="D355" i="15" s="1"/>
  <c r="B351" i="1"/>
  <c r="D351" i="15" s="1"/>
  <c r="B347" i="1"/>
  <c r="D347" i="15" s="1"/>
  <c r="B343" i="1"/>
  <c r="D343" i="15" s="1"/>
  <c r="B339" i="1"/>
  <c r="D339" i="15" s="1"/>
  <c r="B335" i="1"/>
  <c r="D335" i="15" s="1"/>
  <c r="B331" i="1"/>
  <c r="D331" i="15" s="1"/>
  <c r="B327" i="1"/>
  <c r="D327" i="15" s="1"/>
  <c r="B323" i="1"/>
  <c r="D323" i="15" s="1"/>
  <c r="B319" i="1"/>
  <c r="D319" i="15" s="1"/>
  <c r="B315" i="1"/>
  <c r="D315" i="15" s="1"/>
  <c r="B311" i="1"/>
  <c r="D311" i="15" s="1"/>
  <c r="B307" i="1"/>
  <c r="D307" i="15" s="1"/>
  <c r="B303" i="1"/>
  <c r="D303" i="15" s="1"/>
  <c r="B299" i="1"/>
  <c r="D299" i="15" s="1"/>
  <c r="B295" i="1"/>
  <c r="D295" i="15" s="1"/>
  <c r="B291" i="1"/>
  <c r="D291" i="15" s="1"/>
  <c r="B287" i="1"/>
  <c r="D287" i="15" s="1"/>
  <c r="B283" i="1"/>
  <c r="D283" i="15" s="1"/>
  <c r="B279" i="1"/>
  <c r="D279" i="15" s="1"/>
  <c r="B275" i="1"/>
  <c r="D275" i="15" s="1"/>
  <c r="B271" i="1"/>
  <c r="D271" i="15" s="1"/>
  <c r="B267" i="1"/>
  <c r="D267" i="15" s="1"/>
  <c r="B263" i="1"/>
  <c r="D263" i="15" s="1"/>
  <c r="B259" i="1"/>
  <c r="D259" i="15" s="1"/>
  <c r="B255" i="1"/>
  <c r="D255" i="15" s="1"/>
  <c r="B251" i="1"/>
  <c r="D251" i="15" s="1"/>
  <c r="B247" i="1"/>
  <c r="D247" i="15" s="1"/>
  <c r="B243" i="1"/>
  <c r="D243" i="15" s="1"/>
  <c r="B239" i="1"/>
  <c r="D239" i="15" s="1"/>
  <c r="B235" i="1"/>
  <c r="D235" i="15" s="1"/>
  <c r="B231" i="1"/>
  <c r="D231" i="15" s="1"/>
  <c r="B227" i="1"/>
  <c r="D227" i="15" s="1"/>
  <c r="B223" i="1"/>
  <c r="D223" i="15" s="1"/>
  <c r="B219" i="1"/>
  <c r="D219" i="15" s="1"/>
  <c r="B215" i="1"/>
  <c r="D215" i="15" s="1"/>
  <c r="B211" i="1"/>
  <c r="D211" i="15" s="1"/>
  <c r="B207" i="1"/>
  <c r="D207" i="15" s="1"/>
  <c r="B203" i="1"/>
  <c r="D203" i="15" s="1"/>
  <c r="B199" i="1"/>
  <c r="D199" i="15" s="1"/>
  <c r="B195" i="1"/>
  <c r="D195" i="15" s="1"/>
  <c r="B191" i="1"/>
  <c r="D191" i="15" s="1"/>
  <c r="B187" i="1"/>
  <c r="D187" i="15" s="1"/>
  <c r="B171" i="1"/>
  <c r="D171" i="15" s="1"/>
  <c r="B164" i="1"/>
  <c r="D164" i="15" s="1"/>
  <c r="B710" i="1"/>
  <c r="D710" i="15" s="1"/>
  <c r="B706" i="1"/>
  <c r="D706" i="15" s="1"/>
  <c r="B702" i="1"/>
  <c r="D702" i="15" s="1"/>
  <c r="B698" i="1"/>
  <c r="D698" i="15" s="1"/>
  <c r="B694" i="1"/>
  <c r="D694" i="15" s="1"/>
  <c r="B690" i="1"/>
  <c r="D690" i="15" s="1"/>
  <c r="B686" i="1"/>
  <c r="D686" i="15" s="1"/>
  <c r="B682" i="1"/>
  <c r="D682" i="15" s="1"/>
  <c r="B678" i="1"/>
  <c r="D678" i="15" s="1"/>
  <c r="B674" i="1"/>
  <c r="D674" i="15" s="1"/>
  <c r="B670" i="1"/>
  <c r="D670" i="15" s="1"/>
  <c r="B666" i="1"/>
  <c r="D666" i="15" s="1"/>
  <c r="B662" i="1"/>
  <c r="D662" i="15" s="1"/>
  <c r="B658" i="1"/>
  <c r="D658" i="15" s="1"/>
  <c r="B654" i="1"/>
  <c r="D654" i="15" s="1"/>
  <c r="B650" i="1"/>
  <c r="D650" i="15" s="1"/>
  <c r="B646" i="1"/>
  <c r="D646" i="15" s="1"/>
  <c r="B642" i="1"/>
  <c r="D642" i="15" s="1"/>
  <c r="B638" i="1"/>
  <c r="D638" i="15" s="1"/>
  <c r="B634" i="1"/>
  <c r="D634" i="15" s="1"/>
  <c r="B630" i="1"/>
  <c r="D630" i="15" s="1"/>
  <c r="B626" i="1"/>
  <c r="D626" i="15" s="1"/>
  <c r="B622" i="1"/>
  <c r="D622" i="15" s="1"/>
  <c r="B618" i="1"/>
  <c r="D618" i="15" s="1"/>
  <c r="B614" i="1"/>
  <c r="D614" i="15" s="1"/>
  <c r="B610" i="1"/>
  <c r="D610" i="15" s="1"/>
  <c r="B606" i="1"/>
  <c r="D606" i="15" s="1"/>
  <c r="B602" i="1"/>
  <c r="D602" i="15" s="1"/>
  <c r="B598" i="1"/>
  <c r="D598" i="15" s="1"/>
  <c r="B594" i="1"/>
  <c r="D594" i="15" s="1"/>
  <c r="B590" i="1"/>
  <c r="D590" i="15" s="1"/>
  <c r="B586" i="1"/>
  <c r="D586" i="15" s="1"/>
  <c r="B582" i="1"/>
  <c r="D582" i="15" s="1"/>
  <c r="B578" i="1"/>
  <c r="D578" i="15" s="1"/>
  <c r="B574" i="1"/>
  <c r="D574" i="15" s="1"/>
  <c r="B570" i="1"/>
  <c r="D570" i="15" s="1"/>
  <c r="B566" i="1"/>
  <c r="D566" i="15" s="1"/>
  <c r="B562" i="1"/>
  <c r="D562" i="15" s="1"/>
  <c r="B558" i="1"/>
  <c r="D558" i="15" s="1"/>
  <c r="B554" i="1"/>
  <c r="D554" i="15" s="1"/>
  <c r="B550" i="1"/>
  <c r="D550" i="15" s="1"/>
  <c r="B546" i="1"/>
  <c r="D546" i="15" s="1"/>
  <c r="B542" i="1"/>
  <c r="D542" i="15" s="1"/>
  <c r="B538" i="1"/>
  <c r="D538" i="15" s="1"/>
  <c r="B534" i="1"/>
  <c r="D534" i="15" s="1"/>
  <c r="B530" i="1"/>
  <c r="D530" i="15" s="1"/>
  <c r="B526" i="1"/>
  <c r="D526" i="15" s="1"/>
  <c r="B522" i="1"/>
  <c r="D522" i="15" s="1"/>
  <c r="B518" i="1"/>
  <c r="D518" i="15" s="1"/>
  <c r="B514" i="1"/>
  <c r="D514" i="15" s="1"/>
  <c r="B510" i="1"/>
  <c r="D510" i="15" s="1"/>
  <c r="B506" i="1"/>
  <c r="D506" i="15" s="1"/>
  <c r="B502" i="1"/>
  <c r="D502" i="15" s="1"/>
  <c r="B498" i="1"/>
  <c r="D498" i="15" s="1"/>
  <c r="B494" i="1"/>
  <c r="D494" i="15" s="1"/>
  <c r="B490" i="1"/>
  <c r="D490" i="15" s="1"/>
  <c r="B486" i="1"/>
  <c r="D486" i="15" s="1"/>
  <c r="B482" i="1"/>
  <c r="D482" i="15" s="1"/>
  <c r="B478" i="1"/>
  <c r="D478" i="15" s="1"/>
  <c r="B474" i="1"/>
  <c r="D474" i="15" s="1"/>
  <c r="B470" i="1"/>
  <c r="D470" i="15" s="1"/>
  <c r="B466" i="1"/>
  <c r="D466" i="15" s="1"/>
  <c r="B462" i="1"/>
  <c r="D462" i="15" s="1"/>
  <c r="B458" i="1"/>
  <c r="D458" i="15" s="1"/>
  <c r="B454" i="1"/>
  <c r="D454" i="15" s="1"/>
  <c r="B450" i="1"/>
  <c r="D450" i="15" s="1"/>
  <c r="B446" i="1"/>
  <c r="D446" i="15" s="1"/>
  <c r="B442" i="1"/>
  <c r="D442" i="15" s="1"/>
  <c r="B438" i="1"/>
  <c r="D438" i="15" s="1"/>
  <c r="B434" i="1"/>
  <c r="D434" i="15" s="1"/>
  <c r="B430" i="1"/>
  <c r="D430" i="15" s="1"/>
  <c r="B426" i="1"/>
  <c r="D426" i="15" s="1"/>
  <c r="B422" i="1"/>
  <c r="D422" i="15" s="1"/>
  <c r="B418" i="1"/>
  <c r="D418" i="15" s="1"/>
  <c r="B414" i="1"/>
  <c r="D414" i="15" s="1"/>
  <c r="B410" i="1"/>
  <c r="D410" i="15" s="1"/>
  <c r="B406" i="1"/>
  <c r="D406" i="15" s="1"/>
  <c r="B402" i="1"/>
  <c r="D402" i="15" s="1"/>
  <c r="B398" i="1"/>
  <c r="D398" i="15" s="1"/>
  <c r="B394" i="1"/>
  <c r="D394" i="15" s="1"/>
  <c r="B390" i="1"/>
  <c r="D390" i="15" s="1"/>
  <c r="B386" i="1"/>
  <c r="D386" i="15" s="1"/>
  <c r="B382" i="1"/>
  <c r="D382" i="15" s="1"/>
  <c r="B378" i="1"/>
  <c r="D378" i="15" s="1"/>
  <c r="B374" i="1"/>
  <c r="D374" i="15" s="1"/>
  <c r="B370" i="1"/>
  <c r="D370" i="15" s="1"/>
  <c r="B366" i="1"/>
  <c r="D366" i="15" s="1"/>
  <c r="B362" i="1"/>
  <c r="D362" i="15" s="1"/>
  <c r="B358" i="1"/>
  <c r="D358" i="15" s="1"/>
  <c r="B354" i="1"/>
  <c r="D354" i="15" s="1"/>
  <c r="B350" i="1"/>
  <c r="D350" i="15" s="1"/>
  <c r="B346" i="1"/>
  <c r="D346" i="15" s="1"/>
  <c r="B342" i="1"/>
  <c r="D342" i="15" s="1"/>
  <c r="B338" i="1"/>
  <c r="D338" i="15" s="1"/>
  <c r="B334" i="1"/>
  <c r="D334" i="15" s="1"/>
  <c r="B330" i="1"/>
  <c r="D330" i="15" s="1"/>
  <c r="B326" i="1"/>
  <c r="D326" i="15" s="1"/>
  <c r="B322" i="1"/>
  <c r="D322" i="15" s="1"/>
  <c r="B318" i="1"/>
  <c r="D318" i="15" s="1"/>
  <c r="B314" i="1"/>
  <c r="D314" i="15" s="1"/>
  <c r="B310" i="1"/>
  <c r="D310" i="15" s="1"/>
  <c r="B306" i="1"/>
  <c r="D306" i="15" s="1"/>
  <c r="B302" i="1"/>
  <c r="D302" i="15" s="1"/>
  <c r="B298" i="1"/>
  <c r="D298" i="15" s="1"/>
  <c r="B294" i="1"/>
  <c r="D294" i="15" s="1"/>
  <c r="B290" i="1"/>
  <c r="D290" i="15" s="1"/>
  <c r="B286" i="1"/>
  <c r="D286" i="15" s="1"/>
  <c r="B282" i="1"/>
  <c r="D282" i="15" s="1"/>
  <c r="B278" i="1"/>
  <c r="D278" i="15" s="1"/>
  <c r="B274" i="1"/>
  <c r="D274" i="15" s="1"/>
  <c r="B270" i="1"/>
  <c r="D270" i="15" s="1"/>
  <c r="B266" i="1"/>
  <c r="D266" i="15" s="1"/>
  <c r="B262" i="1"/>
  <c r="D262" i="15" s="1"/>
  <c r="B258" i="1"/>
  <c r="D258" i="15" s="1"/>
  <c r="B254" i="1"/>
  <c r="D254" i="15" s="1"/>
  <c r="B250" i="1"/>
  <c r="D250" i="15" s="1"/>
  <c r="B246" i="1"/>
  <c r="D246" i="15" s="1"/>
  <c r="B242" i="1"/>
  <c r="D242" i="15" s="1"/>
  <c r="B238" i="1"/>
  <c r="D238" i="15" s="1"/>
  <c r="B234" i="1"/>
  <c r="D234" i="15" s="1"/>
  <c r="B230" i="1"/>
  <c r="D230" i="15" s="1"/>
  <c r="B226" i="1"/>
  <c r="D226" i="15" s="1"/>
  <c r="B222" i="1"/>
  <c r="D222" i="15" s="1"/>
  <c r="B218" i="1"/>
  <c r="D218" i="15" s="1"/>
  <c r="B214" i="1"/>
  <c r="D214" i="15" s="1"/>
  <c r="B210" i="1"/>
  <c r="D210" i="15" s="1"/>
  <c r="B206" i="1"/>
  <c r="D206" i="15" s="1"/>
  <c r="B202" i="1"/>
  <c r="D202" i="15" s="1"/>
  <c r="B198" i="1"/>
  <c r="D198" i="15" s="1"/>
  <c r="B194" i="1"/>
  <c r="D194" i="15" s="1"/>
  <c r="B190" i="1"/>
  <c r="D190" i="15" s="1"/>
  <c r="B163" i="1"/>
  <c r="D163" i="15" s="1"/>
  <c r="B709" i="1"/>
  <c r="D709" i="15" s="1"/>
  <c r="B705" i="1"/>
  <c r="D705" i="15" s="1"/>
  <c r="B701" i="1"/>
  <c r="D701" i="15" s="1"/>
  <c r="B697" i="1"/>
  <c r="D697" i="15" s="1"/>
  <c r="B693" i="1"/>
  <c r="D693" i="15" s="1"/>
  <c r="B689" i="1"/>
  <c r="D689" i="15" s="1"/>
  <c r="B685" i="1"/>
  <c r="D685" i="15" s="1"/>
  <c r="B681" i="1"/>
  <c r="D681" i="15" s="1"/>
  <c r="B677" i="1"/>
  <c r="D677" i="15" s="1"/>
  <c r="B673" i="1"/>
  <c r="D673" i="15" s="1"/>
  <c r="B669" i="1"/>
  <c r="D669" i="15" s="1"/>
  <c r="B665" i="1"/>
  <c r="D665" i="15" s="1"/>
  <c r="B661" i="1"/>
  <c r="D661" i="15" s="1"/>
  <c r="B657" i="1"/>
  <c r="D657" i="15" s="1"/>
  <c r="B653" i="1"/>
  <c r="D653" i="15" s="1"/>
  <c r="B649" i="1"/>
  <c r="D649" i="15" s="1"/>
  <c r="B645" i="1"/>
  <c r="D645" i="15" s="1"/>
  <c r="B641" i="1"/>
  <c r="D641" i="15" s="1"/>
  <c r="B637" i="1"/>
  <c r="D637" i="15" s="1"/>
  <c r="B633" i="1"/>
  <c r="D633" i="15" s="1"/>
  <c r="B629" i="1"/>
  <c r="D629" i="15" s="1"/>
  <c r="B625" i="1"/>
  <c r="D625" i="15" s="1"/>
  <c r="B621" i="1"/>
  <c r="D621" i="15" s="1"/>
  <c r="B617" i="1"/>
  <c r="D617" i="15" s="1"/>
  <c r="B613" i="1"/>
  <c r="D613" i="15" s="1"/>
  <c r="B609" i="1"/>
  <c r="D609" i="15" s="1"/>
  <c r="B605" i="1"/>
  <c r="D605" i="15" s="1"/>
  <c r="B601" i="1"/>
  <c r="D601" i="15" s="1"/>
  <c r="B597" i="1"/>
  <c r="D597" i="15" s="1"/>
  <c r="B593" i="1"/>
  <c r="D593" i="15" s="1"/>
  <c r="B589" i="1"/>
  <c r="D589" i="15" s="1"/>
  <c r="B585" i="1"/>
  <c r="D585" i="15" s="1"/>
  <c r="B581" i="1"/>
  <c r="D581" i="15" s="1"/>
  <c r="B577" i="1"/>
  <c r="D577" i="15" s="1"/>
  <c r="B573" i="1"/>
  <c r="D573" i="15" s="1"/>
  <c r="B569" i="1"/>
  <c r="D569" i="15" s="1"/>
  <c r="B565" i="1"/>
  <c r="D565" i="15" s="1"/>
  <c r="B561" i="1"/>
  <c r="D561" i="15" s="1"/>
  <c r="B557" i="1"/>
  <c r="D557" i="15" s="1"/>
  <c r="B553" i="1"/>
  <c r="D553" i="15" s="1"/>
  <c r="B549" i="1"/>
  <c r="D549" i="15" s="1"/>
  <c r="B545" i="1"/>
  <c r="D545" i="15" s="1"/>
  <c r="B541" i="1"/>
  <c r="D541" i="15" s="1"/>
  <c r="B537" i="1"/>
  <c r="D537" i="15" s="1"/>
  <c r="B533" i="1"/>
  <c r="D533" i="15" s="1"/>
  <c r="B529" i="1"/>
  <c r="D529" i="15" s="1"/>
  <c r="B525" i="1"/>
  <c r="D525" i="15" s="1"/>
  <c r="B521" i="1"/>
  <c r="D521" i="15" s="1"/>
  <c r="B517" i="1"/>
  <c r="D517" i="15" s="1"/>
  <c r="B513" i="1"/>
  <c r="D513" i="15" s="1"/>
  <c r="B509" i="1"/>
  <c r="D509" i="15" s="1"/>
  <c r="B505" i="1"/>
  <c r="D505" i="15" s="1"/>
  <c r="B501" i="1"/>
  <c r="D501" i="15" s="1"/>
  <c r="B497" i="1"/>
  <c r="D497" i="15" s="1"/>
  <c r="B493" i="1"/>
  <c r="D493" i="15" s="1"/>
  <c r="B489" i="1"/>
  <c r="D489" i="15" s="1"/>
  <c r="B485" i="1"/>
  <c r="D485" i="15" s="1"/>
  <c r="B481" i="1"/>
  <c r="D481" i="15" s="1"/>
  <c r="B477" i="1"/>
  <c r="D477" i="15" s="1"/>
  <c r="B473" i="1"/>
  <c r="D473" i="15" s="1"/>
  <c r="B469" i="1"/>
  <c r="D469" i="15" s="1"/>
  <c r="B465" i="1"/>
  <c r="D465" i="15" s="1"/>
  <c r="B461" i="1"/>
  <c r="D461" i="15" s="1"/>
  <c r="B457" i="1"/>
  <c r="D457" i="15" s="1"/>
  <c r="B453" i="1"/>
  <c r="D453" i="15" s="1"/>
  <c r="B449" i="1"/>
  <c r="D449" i="15" s="1"/>
  <c r="B445" i="1"/>
  <c r="D445" i="15" s="1"/>
  <c r="B441" i="1"/>
  <c r="D441" i="15" s="1"/>
  <c r="B437" i="1"/>
  <c r="D437" i="15" s="1"/>
  <c r="B433" i="1"/>
  <c r="D433" i="15" s="1"/>
  <c r="B429" i="1"/>
  <c r="D429" i="15" s="1"/>
  <c r="B425" i="1"/>
  <c r="D425" i="15" s="1"/>
  <c r="B421" i="1"/>
  <c r="D421" i="15" s="1"/>
  <c r="B417" i="1"/>
  <c r="D417" i="15" s="1"/>
  <c r="B413" i="1"/>
  <c r="D413" i="15" s="1"/>
  <c r="B409" i="1"/>
  <c r="D409" i="15" s="1"/>
  <c r="B405" i="1"/>
  <c r="D405" i="15" s="1"/>
  <c r="B401" i="1"/>
  <c r="D401" i="15" s="1"/>
  <c r="B397" i="1"/>
  <c r="D397" i="15" s="1"/>
  <c r="B393" i="1"/>
  <c r="D393" i="15" s="1"/>
  <c r="B389" i="1"/>
  <c r="D389" i="15" s="1"/>
  <c r="B385" i="1"/>
  <c r="D385" i="15" s="1"/>
  <c r="B381" i="1"/>
  <c r="D381" i="15" s="1"/>
  <c r="B377" i="1"/>
  <c r="D377" i="15" s="1"/>
  <c r="B373" i="1"/>
  <c r="D373" i="15" s="1"/>
  <c r="B369" i="1"/>
  <c r="D369" i="15" s="1"/>
  <c r="B365" i="1"/>
  <c r="D365" i="15" s="1"/>
  <c r="B361" i="1"/>
  <c r="D361" i="15" s="1"/>
  <c r="B357" i="1"/>
  <c r="D357" i="15" s="1"/>
  <c r="B353" i="1"/>
  <c r="D353" i="15" s="1"/>
  <c r="B349" i="1"/>
  <c r="D349" i="15" s="1"/>
  <c r="B345" i="1"/>
  <c r="D345" i="15" s="1"/>
  <c r="B341" i="1"/>
  <c r="D341" i="15" s="1"/>
  <c r="B337" i="1"/>
  <c r="D337" i="15" s="1"/>
  <c r="B333" i="1"/>
  <c r="D333" i="15" s="1"/>
  <c r="B329" i="1"/>
  <c r="D329" i="15" s="1"/>
  <c r="B325" i="1"/>
  <c r="D325" i="15" s="1"/>
  <c r="B321" i="1"/>
  <c r="D321" i="15" s="1"/>
  <c r="B317" i="1"/>
  <c r="D317" i="15" s="1"/>
  <c r="B313" i="1"/>
  <c r="D313" i="15" s="1"/>
  <c r="B309" i="1"/>
  <c r="D309" i="15" s="1"/>
  <c r="B305" i="1"/>
  <c r="D305" i="15" s="1"/>
  <c r="B301" i="1"/>
  <c r="D301" i="15" s="1"/>
  <c r="B297" i="1"/>
  <c r="D297" i="15" s="1"/>
  <c r="B293" i="1"/>
  <c r="D293" i="15" s="1"/>
  <c r="B289" i="1"/>
  <c r="D289" i="15" s="1"/>
  <c r="B285" i="1"/>
  <c r="D285" i="15" s="1"/>
  <c r="B281" i="1"/>
  <c r="D281" i="15" s="1"/>
  <c r="B277" i="1"/>
  <c r="D277" i="15" s="1"/>
  <c r="B273" i="1"/>
  <c r="D273" i="15" s="1"/>
  <c r="B269" i="1"/>
  <c r="D269" i="15" s="1"/>
  <c r="B265" i="1"/>
  <c r="D265" i="15" s="1"/>
  <c r="B261" i="1"/>
  <c r="D261" i="15" s="1"/>
  <c r="B257" i="1"/>
  <c r="D257" i="15" s="1"/>
  <c r="B253" i="1"/>
  <c r="D253" i="15" s="1"/>
  <c r="B249" i="1"/>
  <c r="D249" i="15" s="1"/>
  <c r="B245" i="1"/>
  <c r="D245" i="15" s="1"/>
  <c r="B241" i="1"/>
  <c r="D241" i="15" s="1"/>
  <c r="B237" i="1"/>
  <c r="D237" i="15" s="1"/>
  <c r="B233" i="1"/>
  <c r="D233" i="15" s="1"/>
  <c r="B229" i="1"/>
  <c r="D229" i="15" s="1"/>
  <c r="B225" i="1"/>
  <c r="D225" i="15" s="1"/>
  <c r="B221" i="1"/>
  <c r="D221" i="15" s="1"/>
  <c r="B217" i="1"/>
  <c r="D217" i="15" s="1"/>
  <c r="B213" i="1"/>
  <c r="D213" i="15" s="1"/>
  <c r="B209" i="1"/>
  <c r="D209" i="15" s="1"/>
  <c r="B205" i="1"/>
  <c r="D205" i="15" s="1"/>
  <c r="B201" i="1"/>
  <c r="D201" i="15" s="1"/>
  <c r="B197" i="1"/>
  <c r="D197" i="15" s="1"/>
  <c r="B193" i="1"/>
  <c r="D193" i="15" s="1"/>
  <c r="B189" i="1"/>
  <c r="D189" i="15" s="1"/>
  <c r="B708" i="1"/>
  <c r="D708" i="15" s="1"/>
  <c r="B704" i="1"/>
  <c r="D704" i="15" s="1"/>
  <c r="B700" i="1"/>
  <c r="D700" i="15" s="1"/>
  <c r="B696" i="1"/>
  <c r="D696" i="15" s="1"/>
  <c r="B692" i="1"/>
  <c r="D692" i="15" s="1"/>
  <c r="B688" i="1"/>
  <c r="D688" i="15" s="1"/>
  <c r="B684" i="1"/>
  <c r="D684" i="15" s="1"/>
  <c r="B680" i="1"/>
  <c r="D680" i="15" s="1"/>
  <c r="B676" i="1"/>
  <c r="D676" i="15" s="1"/>
  <c r="B672" i="1"/>
  <c r="D672" i="15" s="1"/>
  <c r="B668" i="1"/>
  <c r="D668" i="15" s="1"/>
  <c r="B664" i="1"/>
  <c r="D664" i="15" s="1"/>
  <c r="B660" i="1"/>
  <c r="D660" i="15" s="1"/>
  <c r="B656" i="1"/>
  <c r="D656" i="15" s="1"/>
  <c r="B652" i="1"/>
  <c r="D652" i="15" s="1"/>
  <c r="B648" i="1"/>
  <c r="D648" i="15" s="1"/>
  <c r="B644" i="1"/>
  <c r="D644" i="15" s="1"/>
  <c r="B640" i="1"/>
  <c r="D640" i="15" s="1"/>
  <c r="B636" i="1"/>
  <c r="D636" i="15" s="1"/>
  <c r="B632" i="1"/>
  <c r="D632" i="15" s="1"/>
  <c r="B628" i="1"/>
  <c r="D628" i="15" s="1"/>
  <c r="B624" i="1"/>
  <c r="D624" i="15" s="1"/>
  <c r="B620" i="1"/>
  <c r="D620" i="15" s="1"/>
  <c r="B616" i="1"/>
  <c r="D616" i="15" s="1"/>
  <c r="B612" i="1"/>
  <c r="D612" i="15" s="1"/>
  <c r="B608" i="1"/>
  <c r="D608" i="15" s="1"/>
  <c r="B604" i="1"/>
  <c r="D604" i="15" s="1"/>
  <c r="B600" i="1"/>
  <c r="D600" i="15" s="1"/>
  <c r="B596" i="1"/>
  <c r="D596" i="15" s="1"/>
  <c r="B592" i="1"/>
  <c r="D592" i="15" s="1"/>
  <c r="B588" i="1"/>
  <c r="D588" i="15" s="1"/>
  <c r="B584" i="1"/>
  <c r="D584" i="15" s="1"/>
  <c r="B580" i="1"/>
  <c r="D580" i="15" s="1"/>
  <c r="B576" i="1"/>
  <c r="D576" i="15" s="1"/>
  <c r="B572" i="1"/>
  <c r="D572" i="15" s="1"/>
  <c r="B568" i="1"/>
  <c r="D568" i="15" s="1"/>
  <c r="B564" i="1"/>
  <c r="D564" i="15" s="1"/>
  <c r="B560" i="1"/>
  <c r="D560" i="15" s="1"/>
  <c r="B556" i="1"/>
  <c r="D556" i="15" s="1"/>
  <c r="B552" i="1"/>
  <c r="D552" i="15" s="1"/>
  <c r="B548" i="1"/>
  <c r="D548" i="15" s="1"/>
  <c r="B544" i="1"/>
  <c r="D544" i="15" s="1"/>
  <c r="B540" i="1"/>
  <c r="D540" i="15" s="1"/>
  <c r="B536" i="1"/>
  <c r="D536" i="15" s="1"/>
  <c r="B532" i="1"/>
  <c r="D532" i="15" s="1"/>
  <c r="B528" i="1"/>
  <c r="D528" i="15" s="1"/>
  <c r="B524" i="1"/>
  <c r="D524" i="15" s="1"/>
  <c r="B520" i="1"/>
  <c r="D520" i="15" s="1"/>
  <c r="B516" i="1"/>
  <c r="D516" i="15" s="1"/>
  <c r="B512" i="1"/>
  <c r="D512" i="15" s="1"/>
  <c r="B508" i="1"/>
  <c r="D508" i="15" s="1"/>
  <c r="B504" i="1"/>
  <c r="D504" i="15" s="1"/>
  <c r="B500" i="1"/>
  <c r="D500" i="15" s="1"/>
  <c r="B496" i="1"/>
  <c r="D496" i="15" s="1"/>
  <c r="B492" i="1"/>
  <c r="D492" i="15" s="1"/>
  <c r="B488" i="1"/>
  <c r="D488" i="15" s="1"/>
  <c r="B484" i="1"/>
  <c r="D484" i="15" s="1"/>
  <c r="B480" i="1"/>
  <c r="D480" i="15" s="1"/>
  <c r="B476" i="1"/>
  <c r="D476" i="15" s="1"/>
  <c r="B472" i="1"/>
  <c r="D472" i="15" s="1"/>
  <c r="B468" i="1"/>
  <c r="D468" i="15" s="1"/>
  <c r="B464" i="1"/>
  <c r="D464" i="15" s="1"/>
  <c r="B460" i="1"/>
  <c r="D460" i="15" s="1"/>
  <c r="B456" i="1"/>
  <c r="D456" i="15" s="1"/>
  <c r="B452" i="1"/>
  <c r="D452" i="15" s="1"/>
  <c r="B448" i="1"/>
  <c r="D448" i="15" s="1"/>
  <c r="B444" i="1"/>
  <c r="D444" i="15" s="1"/>
  <c r="B440" i="1"/>
  <c r="D440" i="15" s="1"/>
  <c r="B436" i="1"/>
  <c r="D436" i="15" s="1"/>
  <c r="B432" i="1"/>
  <c r="D432" i="15" s="1"/>
  <c r="B428" i="1"/>
  <c r="D428" i="15" s="1"/>
  <c r="B424" i="1"/>
  <c r="D424" i="15" s="1"/>
  <c r="B420" i="1"/>
  <c r="D420" i="15" s="1"/>
  <c r="B416" i="1"/>
  <c r="D416" i="15" s="1"/>
  <c r="B412" i="1"/>
  <c r="D412" i="15" s="1"/>
  <c r="B408" i="1"/>
  <c r="D408" i="15" s="1"/>
  <c r="B404" i="1"/>
  <c r="D404" i="15" s="1"/>
  <c r="B400" i="1"/>
  <c r="D400" i="15" s="1"/>
  <c r="B396" i="1"/>
  <c r="D396" i="15" s="1"/>
  <c r="B392" i="1"/>
  <c r="D392" i="15" s="1"/>
  <c r="B388" i="1"/>
  <c r="D388" i="15" s="1"/>
  <c r="B384" i="1"/>
  <c r="D384" i="15" s="1"/>
  <c r="B380" i="1"/>
  <c r="D380" i="15" s="1"/>
  <c r="B376" i="1"/>
  <c r="D376" i="15" s="1"/>
  <c r="B372" i="1"/>
  <c r="D372" i="15" s="1"/>
  <c r="B368" i="1"/>
  <c r="D368" i="15" s="1"/>
  <c r="B364" i="1"/>
  <c r="D364" i="15" s="1"/>
  <c r="B360" i="1"/>
  <c r="D360" i="15" s="1"/>
  <c r="B356" i="1"/>
  <c r="D356" i="15" s="1"/>
  <c r="B352" i="1"/>
  <c r="D352" i="15" s="1"/>
  <c r="B348" i="1"/>
  <c r="D348" i="15" s="1"/>
  <c r="B344" i="1"/>
  <c r="D344" i="15" s="1"/>
  <c r="B340" i="1"/>
  <c r="D340" i="15" s="1"/>
  <c r="B336" i="1"/>
  <c r="D336" i="15" s="1"/>
  <c r="B332" i="1"/>
  <c r="D332" i="15" s="1"/>
  <c r="B328" i="1"/>
  <c r="D328" i="15" s="1"/>
  <c r="B324" i="1"/>
  <c r="D324" i="15" s="1"/>
  <c r="B320" i="1"/>
  <c r="D320" i="15" s="1"/>
  <c r="B316" i="1"/>
  <c r="D316" i="15" s="1"/>
  <c r="B312" i="1"/>
  <c r="D312" i="15" s="1"/>
  <c r="B308" i="1"/>
  <c r="D308" i="15" s="1"/>
  <c r="B304" i="1"/>
  <c r="D304" i="15" s="1"/>
  <c r="B300" i="1"/>
  <c r="D300" i="15" s="1"/>
  <c r="B296" i="1"/>
  <c r="D296" i="15" s="1"/>
  <c r="B292" i="1"/>
  <c r="D292" i="15" s="1"/>
  <c r="B288" i="1"/>
  <c r="D288" i="15" s="1"/>
  <c r="B284" i="1"/>
  <c r="D284" i="15" s="1"/>
  <c r="B280" i="1"/>
  <c r="D280" i="15" s="1"/>
  <c r="B276" i="1"/>
  <c r="D276" i="15" s="1"/>
  <c r="B272" i="1"/>
  <c r="D272" i="15" s="1"/>
  <c r="B268" i="1"/>
  <c r="D268" i="15" s="1"/>
  <c r="B264" i="1"/>
  <c r="D264" i="15" s="1"/>
  <c r="B260" i="1"/>
  <c r="D260" i="15" s="1"/>
  <c r="B256" i="1"/>
  <c r="D256" i="15" s="1"/>
  <c r="B252" i="1"/>
  <c r="D252" i="15" s="1"/>
  <c r="B248" i="1"/>
  <c r="D248" i="15" s="1"/>
  <c r="B244" i="1"/>
  <c r="D244" i="15" s="1"/>
  <c r="B240" i="1"/>
  <c r="D240" i="15" s="1"/>
  <c r="B236" i="1"/>
  <c r="D236" i="15" s="1"/>
  <c r="B232" i="1"/>
  <c r="D232" i="15" s="1"/>
  <c r="B228" i="1"/>
  <c r="D228" i="15" s="1"/>
  <c r="B224" i="1"/>
  <c r="D224" i="15" s="1"/>
  <c r="B220" i="1"/>
  <c r="D220" i="15" s="1"/>
  <c r="B216" i="1"/>
  <c r="D216" i="15" s="1"/>
  <c r="B212" i="1"/>
  <c r="D212" i="15" s="1"/>
  <c r="B208" i="1"/>
  <c r="D208" i="15" s="1"/>
  <c r="B204" i="1"/>
  <c r="D204" i="15" s="1"/>
  <c r="B200" i="1"/>
  <c r="D200" i="15" s="1"/>
  <c r="B196" i="1"/>
  <c r="D196" i="15" s="1"/>
  <c r="B192" i="1"/>
  <c r="D192" i="15" s="1"/>
  <c r="B188" i="1"/>
  <c r="D188" i="15" s="1"/>
  <c r="AD155" i="4"/>
  <c r="AD156" i="4"/>
  <c r="AD152" i="4"/>
  <c r="AD259" i="4"/>
  <c r="AD257" i="4"/>
  <c r="AD255" i="4"/>
  <c r="AD253" i="4"/>
  <c r="AD251" i="4"/>
  <c r="AD249" i="4"/>
  <c r="AD247" i="4"/>
  <c r="AD245" i="4"/>
  <c r="AD243" i="4"/>
  <c r="AD241" i="4"/>
  <c r="AD239" i="4"/>
  <c r="AD237" i="4"/>
  <c r="AD235" i="4"/>
  <c r="AD233" i="4"/>
  <c r="AD231" i="4"/>
  <c r="AD229" i="4"/>
  <c r="AD227" i="4"/>
  <c r="AD225" i="4"/>
  <c r="AD223" i="4"/>
  <c r="AD221" i="4"/>
  <c r="AD219" i="4"/>
  <c r="AD217" i="4"/>
  <c r="AD215" i="4"/>
  <c r="AD213" i="4"/>
  <c r="AD211" i="4"/>
  <c r="AD209" i="4"/>
  <c r="AD207" i="4"/>
  <c r="AD205" i="4"/>
  <c r="AD203" i="4"/>
  <c r="AD201" i="4"/>
  <c r="AD199" i="4"/>
  <c r="AD197" i="4"/>
  <c r="AD195" i="4"/>
  <c r="AD193" i="4"/>
  <c r="AD191" i="4"/>
  <c r="AD189" i="4"/>
  <c r="AD187" i="4"/>
  <c r="AD185" i="4"/>
  <c r="AD183" i="4"/>
  <c r="AD181" i="4"/>
  <c r="AD179" i="4"/>
  <c r="AD177" i="4"/>
  <c r="AD175" i="4"/>
  <c r="AD173" i="4"/>
  <c r="AD171" i="4"/>
  <c r="AD169" i="4"/>
  <c r="AD167" i="4"/>
  <c r="AD165" i="4"/>
  <c r="AD163" i="4"/>
  <c r="AD161" i="4"/>
  <c r="AD159" i="4"/>
  <c r="AD157" i="4"/>
  <c r="AD154" i="4"/>
  <c r="AD258" i="4"/>
  <c r="AD254" i="4"/>
  <c r="AD250" i="4"/>
  <c r="AD246" i="4"/>
  <c r="AD242" i="4"/>
  <c r="AD238" i="4"/>
  <c r="AD234" i="4"/>
  <c r="AD230" i="4"/>
  <c r="AD226" i="4"/>
  <c r="AD222" i="4"/>
  <c r="AD218" i="4"/>
  <c r="AD214" i="4"/>
  <c r="AD210" i="4"/>
  <c r="AD206" i="4"/>
  <c r="AD202" i="4"/>
  <c r="AD198" i="4"/>
  <c r="AD194" i="4"/>
  <c r="AD190" i="4"/>
  <c r="AD186" i="4"/>
  <c r="AD182" i="4"/>
  <c r="AD178" i="4"/>
  <c r="AD174" i="4"/>
  <c r="AD170" i="4"/>
  <c r="AD166" i="4"/>
  <c r="AD162" i="4"/>
  <c r="AD158" i="4"/>
  <c r="AD153" i="4"/>
  <c r="C364" i="8"/>
  <c r="F364" i="8" s="1"/>
  <c r="E507" i="8"/>
  <c r="H507" i="8" s="1"/>
  <c r="D507" i="8"/>
  <c r="G507" i="8" s="1"/>
  <c r="C369" i="8"/>
  <c r="F369" i="8" s="1"/>
  <c r="D299" i="8"/>
  <c r="G299" i="8" s="1"/>
  <c r="C219" i="8"/>
  <c r="F219" i="8" s="1"/>
  <c r="E219" i="8"/>
  <c r="H219" i="8" s="1"/>
  <c r="D569" i="8"/>
  <c r="G569" i="8" s="1"/>
  <c r="E569" i="8"/>
  <c r="H569" i="8" s="1"/>
  <c r="E504" i="8"/>
  <c r="H504" i="8" s="1"/>
  <c r="D504" i="8"/>
  <c r="G504" i="8" s="1"/>
  <c r="D535" i="8"/>
  <c r="G535" i="8" s="1"/>
  <c r="C508" i="8"/>
  <c r="F508" i="8" s="1"/>
  <c r="D503" i="8"/>
  <c r="G503" i="8" s="1"/>
  <c r="D487" i="8"/>
  <c r="G487" i="8" s="1"/>
  <c r="C353" i="8"/>
  <c r="F353" i="8" s="1"/>
  <c r="D314" i="8"/>
  <c r="G314" i="8" s="1"/>
  <c r="C603" i="8"/>
  <c r="F603" i="8" s="1"/>
  <c r="E601" i="8"/>
  <c r="H601" i="8" s="1"/>
  <c r="C589" i="8"/>
  <c r="F589" i="8" s="1"/>
  <c r="C571" i="8"/>
  <c r="F571" i="8" s="1"/>
  <c r="C519" i="8"/>
  <c r="F519" i="8" s="1"/>
  <c r="D512" i="8"/>
  <c r="G512" i="8" s="1"/>
  <c r="D439" i="8"/>
  <c r="G439" i="8" s="1"/>
  <c r="D275" i="8"/>
  <c r="G275" i="8" s="1"/>
  <c r="E252" i="8"/>
  <c r="H252" i="8" s="1"/>
  <c r="E161" i="8"/>
  <c r="H161" i="8" s="1"/>
  <c r="E484" i="8"/>
  <c r="H484" i="8" s="1"/>
  <c r="C484" i="8"/>
  <c r="F484" i="8" s="1"/>
  <c r="E393" i="8"/>
  <c r="H393" i="8" s="1"/>
  <c r="C393" i="8"/>
  <c r="F393" i="8" s="1"/>
  <c r="E291" i="8"/>
  <c r="H291" i="8" s="1"/>
  <c r="D291" i="8"/>
  <c r="G291" i="8" s="1"/>
  <c r="C291" i="8"/>
  <c r="F291" i="8" s="1"/>
  <c r="E496" i="8"/>
  <c r="H496" i="8" s="1"/>
  <c r="C496" i="8"/>
  <c r="F496" i="8" s="1"/>
  <c r="E480" i="8"/>
  <c r="H480" i="8" s="1"/>
  <c r="C480" i="8"/>
  <c r="F480" i="8" s="1"/>
  <c r="E572" i="8"/>
  <c r="H572" i="8" s="1"/>
  <c r="C572" i="8"/>
  <c r="F572" i="8" s="1"/>
  <c r="E621" i="8"/>
  <c r="H621" i="8" s="1"/>
  <c r="C621" i="8"/>
  <c r="F621" i="8" s="1"/>
  <c r="E575" i="8"/>
  <c r="H575" i="8" s="1"/>
  <c r="D575" i="8"/>
  <c r="G575" i="8" s="1"/>
  <c r="D444" i="8"/>
  <c r="G444" i="8" s="1"/>
  <c r="D435" i="8"/>
  <c r="G435" i="8" s="1"/>
  <c r="E339" i="8"/>
  <c r="H339" i="8" s="1"/>
  <c r="C339" i="8"/>
  <c r="F339" i="8" s="1"/>
  <c r="E266" i="8"/>
  <c r="H266" i="8" s="1"/>
  <c r="C266" i="8"/>
  <c r="F266" i="8" s="1"/>
  <c r="E259" i="8"/>
  <c r="H259" i="8" s="1"/>
  <c r="D259" i="8"/>
  <c r="G259" i="8" s="1"/>
  <c r="C194" i="8"/>
  <c r="F194" i="8" s="1"/>
  <c r="E194" i="8"/>
  <c r="H194" i="8" s="1"/>
  <c r="D557" i="8"/>
  <c r="G557" i="8" s="1"/>
  <c r="C557" i="8"/>
  <c r="F557" i="8" s="1"/>
  <c r="D548" i="8"/>
  <c r="G548" i="8" s="1"/>
  <c r="E495" i="8"/>
  <c r="H495" i="8" s="1"/>
  <c r="C495" i="8"/>
  <c r="F495" i="8" s="1"/>
  <c r="D488" i="8"/>
  <c r="G488" i="8" s="1"/>
  <c r="C444" i="8"/>
  <c r="F444" i="8" s="1"/>
  <c r="C435" i="8"/>
  <c r="F435" i="8" s="1"/>
  <c r="C432" i="8"/>
  <c r="F432" i="8" s="1"/>
  <c r="D380" i="8"/>
  <c r="G380" i="8" s="1"/>
  <c r="C177" i="8"/>
  <c r="F177" i="8" s="1"/>
  <c r="D177" i="8"/>
  <c r="G177" i="8" s="1"/>
  <c r="E607" i="8"/>
  <c r="H607" i="8" s="1"/>
  <c r="D607" i="8"/>
  <c r="G607" i="8" s="1"/>
  <c r="E604" i="8"/>
  <c r="H604" i="8" s="1"/>
  <c r="D604" i="8"/>
  <c r="G604" i="8" s="1"/>
  <c r="E588" i="8"/>
  <c r="H588" i="8" s="1"/>
  <c r="D588" i="8"/>
  <c r="G588" i="8" s="1"/>
  <c r="E531" i="8"/>
  <c r="H531" i="8" s="1"/>
  <c r="D531" i="8"/>
  <c r="G531" i="8" s="1"/>
  <c r="E427" i="8"/>
  <c r="H427" i="8" s="1"/>
  <c r="D427" i="8"/>
  <c r="G427" i="8" s="1"/>
  <c r="E348" i="8"/>
  <c r="H348" i="8" s="1"/>
  <c r="C348" i="8"/>
  <c r="F348" i="8" s="1"/>
  <c r="E251" i="8"/>
  <c r="H251" i="8" s="1"/>
  <c r="C251" i="8"/>
  <c r="F251" i="8" s="1"/>
  <c r="C235" i="8"/>
  <c r="F235" i="8" s="1"/>
  <c r="E235" i="8"/>
  <c r="H235" i="8" s="1"/>
  <c r="D440" i="8"/>
  <c r="G440" i="8" s="1"/>
  <c r="C431" i="8"/>
  <c r="F431" i="8" s="1"/>
  <c r="D404" i="8"/>
  <c r="G404" i="8" s="1"/>
  <c r="E403" i="8"/>
  <c r="H403" i="8" s="1"/>
  <c r="C403" i="8"/>
  <c r="F403" i="8" s="1"/>
  <c r="C400" i="8"/>
  <c r="F400" i="8" s="1"/>
  <c r="E399" i="8"/>
  <c r="H399" i="8" s="1"/>
  <c r="D399" i="8"/>
  <c r="G399" i="8" s="1"/>
  <c r="D339" i="8"/>
  <c r="G339" i="8" s="1"/>
  <c r="C299" i="8"/>
  <c r="F299" i="8" s="1"/>
  <c r="D298" i="8"/>
  <c r="G298" i="8" s="1"/>
  <c r="D292" i="8"/>
  <c r="G292" i="8" s="1"/>
  <c r="E292" i="8"/>
  <c r="H292" i="8" s="1"/>
  <c r="C650" i="8"/>
  <c r="F650" i="8" s="1"/>
  <c r="C640" i="8"/>
  <c r="F640" i="8" s="1"/>
  <c r="C632" i="8"/>
  <c r="F632" i="8" s="1"/>
  <c r="E617" i="8"/>
  <c r="H617" i="8" s="1"/>
  <c r="D591" i="8"/>
  <c r="G591" i="8" s="1"/>
  <c r="C573" i="8"/>
  <c r="F573" i="8" s="1"/>
  <c r="C556" i="8"/>
  <c r="F556" i="8" s="1"/>
  <c r="C555" i="8"/>
  <c r="F555" i="8" s="1"/>
  <c r="D540" i="8"/>
  <c r="G540" i="8" s="1"/>
  <c r="C539" i="8"/>
  <c r="F539" i="8" s="1"/>
  <c r="C537" i="8"/>
  <c r="F537" i="8" s="1"/>
  <c r="C527" i="8"/>
  <c r="F527" i="8" s="1"/>
  <c r="C523" i="8"/>
  <c r="F523" i="8" s="1"/>
  <c r="C521" i="8"/>
  <c r="F521" i="8" s="1"/>
  <c r="D511" i="8"/>
  <c r="G511" i="8" s="1"/>
  <c r="C500" i="8"/>
  <c r="F500" i="8" s="1"/>
  <c r="D499" i="8"/>
  <c r="G499" i="8" s="1"/>
  <c r="C491" i="8"/>
  <c r="F491" i="8" s="1"/>
  <c r="C483" i="8"/>
  <c r="F483" i="8" s="1"/>
  <c r="C479" i="8"/>
  <c r="F479" i="8" s="1"/>
  <c r="D467" i="8"/>
  <c r="G467" i="8" s="1"/>
  <c r="C436" i="8"/>
  <c r="F436" i="8" s="1"/>
  <c r="C423" i="8"/>
  <c r="F423" i="8" s="1"/>
  <c r="C419" i="8"/>
  <c r="F419" i="8" s="1"/>
  <c r="C404" i="8"/>
  <c r="F404" i="8" s="1"/>
  <c r="C380" i="8"/>
  <c r="F380" i="8" s="1"/>
  <c r="C282" i="8"/>
  <c r="F282" i="8" s="1"/>
  <c r="D266" i="8"/>
  <c r="G266" i="8" s="1"/>
  <c r="D251" i="8"/>
  <c r="G251" i="8" s="1"/>
  <c r="E227" i="8"/>
  <c r="H227" i="8" s="1"/>
  <c r="D201" i="8"/>
  <c r="G201" i="8" s="1"/>
  <c r="E177" i="8"/>
  <c r="H177" i="8" s="1"/>
  <c r="E170" i="8"/>
  <c r="H170" i="8" s="1"/>
  <c r="D388" i="8"/>
  <c r="G388" i="8" s="1"/>
  <c r="D372" i="8"/>
  <c r="G372" i="8" s="1"/>
  <c r="D356" i="8"/>
  <c r="G356" i="8" s="1"/>
  <c r="C646" i="8"/>
  <c r="F646" i="8" s="1"/>
  <c r="C636" i="8"/>
  <c r="F636" i="8" s="1"/>
  <c r="C605" i="8"/>
  <c r="F605" i="8" s="1"/>
  <c r="C588" i="8"/>
  <c r="F588" i="8" s="1"/>
  <c r="C587" i="8"/>
  <c r="F587" i="8" s="1"/>
  <c r="E585" i="8"/>
  <c r="H585" i="8" s="1"/>
  <c r="D572" i="8"/>
  <c r="G572" i="8" s="1"/>
  <c r="D559" i="8"/>
  <c r="G559" i="8" s="1"/>
  <c r="C549" i="8"/>
  <c r="F549" i="8" s="1"/>
  <c r="C548" i="8"/>
  <c r="F548" i="8" s="1"/>
  <c r="I548" i="8" s="1"/>
  <c r="C535" i="8"/>
  <c r="F535" i="8" s="1"/>
  <c r="I535" i="8" s="1"/>
  <c r="C531" i="8"/>
  <c r="F531" i="8" s="1"/>
  <c r="C529" i="8"/>
  <c r="F529" i="8" s="1"/>
  <c r="D508" i="8"/>
  <c r="G508" i="8" s="1"/>
  <c r="I508" i="8" s="1"/>
  <c r="C504" i="8"/>
  <c r="F504" i="8" s="1"/>
  <c r="D496" i="8"/>
  <c r="G496" i="8" s="1"/>
  <c r="D495" i="8"/>
  <c r="G495" i="8" s="1"/>
  <c r="C487" i="8"/>
  <c r="F487" i="8" s="1"/>
  <c r="D484" i="8"/>
  <c r="G484" i="8" s="1"/>
  <c r="D475" i="8"/>
  <c r="G475" i="8" s="1"/>
  <c r="C471" i="8"/>
  <c r="F471" i="8" s="1"/>
  <c r="C440" i="8"/>
  <c r="F440" i="8" s="1"/>
  <c r="C439" i="8"/>
  <c r="F439" i="8" s="1"/>
  <c r="I439" i="8" s="1"/>
  <c r="D432" i="8"/>
  <c r="G432" i="8" s="1"/>
  <c r="D431" i="8"/>
  <c r="G431" i="8" s="1"/>
  <c r="D400" i="8"/>
  <c r="G400" i="8" s="1"/>
  <c r="C388" i="8"/>
  <c r="F388" i="8" s="1"/>
  <c r="C372" i="8"/>
  <c r="F372" i="8" s="1"/>
  <c r="D364" i="8"/>
  <c r="G364" i="8" s="1"/>
  <c r="C356" i="8"/>
  <c r="F356" i="8" s="1"/>
  <c r="I356" i="8" s="1"/>
  <c r="D348" i="8"/>
  <c r="G348" i="8" s="1"/>
  <c r="E324" i="8"/>
  <c r="H324" i="8" s="1"/>
  <c r="C292" i="8"/>
  <c r="F292" i="8" s="1"/>
  <c r="E276" i="8"/>
  <c r="H276" i="8" s="1"/>
  <c r="C275" i="8"/>
  <c r="F275" i="8" s="1"/>
  <c r="C259" i="8"/>
  <c r="F259" i="8" s="1"/>
  <c r="D258" i="8"/>
  <c r="G258" i="8" s="1"/>
  <c r="E243" i="8"/>
  <c r="H243" i="8" s="1"/>
  <c r="E211" i="8"/>
  <c r="H211" i="8" s="1"/>
  <c r="D194" i="8"/>
  <c r="G194" i="8" s="1"/>
  <c r="D556" i="8"/>
  <c r="G556" i="8" s="1"/>
  <c r="I556" i="8" s="1"/>
  <c r="D527" i="8"/>
  <c r="G527" i="8" s="1"/>
  <c r="D523" i="8"/>
  <c r="G523" i="8" s="1"/>
  <c r="D500" i="8"/>
  <c r="G500" i="8" s="1"/>
  <c r="D491" i="8"/>
  <c r="G491" i="8" s="1"/>
  <c r="D483" i="8"/>
  <c r="G483" i="8" s="1"/>
  <c r="D436" i="8"/>
  <c r="G436" i="8" s="1"/>
  <c r="D423" i="8"/>
  <c r="G423" i="8" s="1"/>
  <c r="D419" i="8"/>
  <c r="G419" i="8" s="1"/>
  <c r="D282" i="8"/>
  <c r="G282" i="8" s="1"/>
  <c r="E201" i="8"/>
  <c r="H201" i="8" s="1"/>
  <c r="B172" i="1"/>
  <c r="D172" i="15" s="1"/>
  <c r="B166" i="1"/>
  <c r="D166" i="15" s="1"/>
  <c r="E463" i="8"/>
  <c r="H463" i="8" s="1"/>
  <c r="D463" i="8"/>
  <c r="G463" i="8" s="1"/>
  <c r="E460" i="8"/>
  <c r="H460" i="8" s="1"/>
  <c r="C460" i="8"/>
  <c r="F460" i="8" s="1"/>
  <c r="D460" i="8"/>
  <c r="G460" i="8" s="1"/>
  <c r="E456" i="8"/>
  <c r="H456" i="8" s="1"/>
  <c r="C456" i="8"/>
  <c r="F456" i="8" s="1"/>
  <c r="D456" i="8"/>
  <c r="G456" i="8" s="1"/>
  <c r="E428" i="8"/>
  <c r="H428" i="8" s="1"/>
  <c r="D428" i="8"/>
  <c r="G428" i="8" s="1"/>
  <c r="E407" i="8"/>
  <c r="H407" i="8" s="1"/>
  <c r="C407" i="8"/>
  <c r="F407" i="8" s="1"/>
  <c r="D407" i="8"/>
  <c r="G407" i="8" s="1"/>
  <c r="E396" i="8"/>
  <c r="H396" i="8" s="1"/>
  <c r="C396" i="8"/>
  <c r="F396" i="8" s="1"/>
  <c r="D396" i="8"/>
  <c r="G396" i="8" s="1"/>
  <c r="D382" i="8"/>
  <c r="G382" i="8" s="1"/>
  <c r="C382" i="8"/>
  <c r="F382" i="8" s="1"/>
  <c r="E382" i="8"/>
  <c r="H382" i="8" s="1"/>
  <c r="E373" i="8"/>
  <c r="H373" i="8" s="1"/>
  <c r="D373" i="8"/>
  <c r="G373" i="8" s="1"/>
  <c r="D358" i="8"/>
  <c r="G358" i="8" s="1"/>
  <c r="C358" i="8"/>
  <c r="F358" i="8" s="1"/>
  <c r="E358" i="8"/>
  <c r="H358" i="8" s="1"/>
  <c r="D342" i="8"/>
  <c r="G342" i="8" s="1"/>
  <c r="C342" i="8"/>
  <c r="F342" i="8" s="1"/>
  <c r="E342" i="8"/>
  <c r="H342" i="8" s="1"/>
  <c r="D340" i="8"/>
  <c r="G340" i="8" s="1"/>
  <c r="E340" i="8"/>
  <c r="H340" i="8" s="1"/>
  <c r="D316" i="8"/>
  <c r="G316" i="8" s="1"/>
  <c r="E316" i="8"/>
  <c r="H316" i="8" s="1"/>
  <c r="D300" i="8"/>
  <c r="G300" i="8" s="1"/>
  <c r="E300" i="8"/>
  <c r="H300" i="8" s="1"/>
  <c r="E274" i="8"/>
  <c r="H274" i="8" s="1"/>
  <c r="C274" i="8"/>
  <c r="F274" i="8" s="1"/>
  <c r="D274" i="8"/>
  <c r="G274" i="8" s="1"/>
  <c r="C230" i="8"/>
  <c r="F230" i="8" s="1"/>
  <c r="D230" i="8"/>
  <c r="G230" i="8" s="1"/>
  <c r="E230" i="8"/>
  <c r="H230" i="8" s="1"/>
  <c r="C193" i="8"/>
  <c r="F193" i="8" s="1"/>
  <c r="E193" i="8"/>
  <c r="H193" i="8" s="1"/>
  <c r="D612" i="8"/>
  <c r="G612" i="8" s="1"/>
  <c r="D596" i="8"/>
  <c r="G596" i="8" s="1"/>
  <c r="D580" i="8"/>
  <c r="G580" i="8" s="1"/>
  <c r="D564" i="8"/>
  <c r="G564" i="8" s="1"/>
  <c r="D547" i="8"/>
  <c r="G547" i="8" s="1"/>
  <c r="E472" i="8"/>
  <c r="H472" i="8" s="1"/>
  <c r="D472" i="8"/>
  <c r="G472" i="8" s="1"/>
  <c r="E464" i="8"/>
  <c r="H464" i="8" s="1"/>
  <c r="D464" i="8"/>
  <c r="G464" i="8" s="1"/>
  <c r="E447" i="8"/>
  <c r="H447" i="8" s="1"/>
  <c r="C447" i="8"/>
  <c r="F447" i="8" s="1"/>
  <c r="D447" i="8"/>
  <c r="G447" i="8" s="1"/>
  <c r="E424" i="8"/>
  <c r="H424" i="8" s="1"/>
  <c r="D424" i="8"/>
  <c r="G424" i="8" s="1"/>
  <c r="E411" i="8"/>
  <c r="H411" i="8" s="1"/>
  <c r="D411" i="8"/>
  <c r="G411" i="8" s="1"/>
  <c r="D374" i="8"/>
  <c r="G374" i="8" s="1"/>
  <c r="C374" i="8"/>
  <c r="F374" i="8" s="1"/>
  <c r="E374" i="8"/>
  <c r="H374" i="8" s="1"/>
  <c r="E365" i="8"/>
  <c r="H365" i="8" s="1"/>
  <c r="D365" i="8"/>
  <c r="G365" i="8" s="1"/>
  <c r="E349" i="8"/>
  <c r="H349" i="8" s="1"/>
  <c r="D349" i="8"/>
  <c r="G349" i="8" s="1"/>
  <c r="E331" i="8"/>
  <c r="H331" i="8" s="1"/>
  <c r="D331" i="8"/>
  <c r="G331" i="8" s="1"/>
  <c r="D308" i="8"/>
  <c r="G308" i="8" s="1"/>
  <c r="C308" i="8"/>
  <c r="F308" i="8" s="1"/>
  <c r="E308" i="8"/>
  <c r="H308" i="8" s="1"/>
  <c r="D284" i="8"/>
  <c r="G284" i="8" s="1"/>
  <c r="C284" i="8"/>
  <c r="F284" i="8" s="1"/>
  <c r="E284" i="8"/>
  <c r="H284" i="8" s="1"/>
  <c r="E267" i="8"/>
  <c r="H267" i="8" s="1"/>
  <c r="D267" i="8"/>
  <c r="G267" i="8" s="1"/>
  <c r="C222" i="8"/>
  <c r="F222" i="8" s="1"/>
  <c r="D222" i="8"/>
  <c r="G222" i="8" s="1"/>
  <c r="E222" i="8"/>
  <c r="H222" i="8" s="1"/>
  <c r="C202" i="8"/>
  <c r="F202" i="8" s="1"/>
  <c r="E202" i="8"/>
  <c r="H202" i="8" s="1"/>
  <c r="C153" i="8"/>
  <c r="F153" i="8" s="1"/>
  <c r="E153" i="8"/>
  <c r="H153" i="8" s="1"/>
  <c r="E642" i="8"/>
  <c r="H642" i="8" s="1"/>
  <c r="C637" i="8"/>
  <c r="F637" i="8" s="1"/>
  <c r="C633" i="8"/>
  <c r="F633" i="8" s="1"/>
  <c r="C628" i="8"/>
  <c r="F628" i="8" s="1"/>
  <c r="C624" i="8"/>
  <c r="F624" i="8" s="1"/>
  <c r="C613" i="8"/>
  <c r="F613" i="8" s="1"/>
  <c r="C612" i="8"/>
  <c r="F612" i="8" s="1"/>
  <c r="C611" i="8"/>
  <c r="F611" i="8" s="1"/>
  <c r="C597" i="8"/>
  <c r="F597" i="8" s="1"/>
  <c r="C596" i="8"/>
  <c r="F596" i="8" s="1"/>
  <c r="C595" i="8"/>
  <c r="F595" i="8" s="1"/>
  <c r="C581" i="8"/>
  <c r="F581" i="8" s="1"/>
  <c r="C580" i="8"/>
  <c r="F580" i="8" s="1"/>
  <c r="C579" i="8"/>
  <c r="F579" i="8" s="1"/>
  <c r="C565" i="8"/>
  <c r="F565" i="8" s="1"/>
  <c r="C564" i="8"/>
  <c r="F564" i="8" s="1"/>
  <c r="C563" i="8"/>
  <c r="F563" i="8" s="1"/>
  <c r="D551" i="8"/>
  <c r="G551" i="8" s="1"/>
  <c r="C547" i="8"/>
  <c r="F547" i="8" s="1"/>
  <c r="D543" i="8"/>
  <c r="G543" i="8" s="1"/>
  <c r="C541" i="8"/>
  <c r="F541" i="8" s="1"/>
  <c r="D532" i="8"/>
  <c r="G532" i="8" s="1"/>
  <c r="D524" i="8"/>
  <c r="G524" i="8" s="1"/>
  <c r="D516" i="8"/>
  <c r="G516" i="8" s="1"/>
  <c r="C515" i="8"/>
  <c r="F515" i="8" s="1"/>
  <c r="C512" i="8"/>
  <c r="F512" i="8" s="1"/>
  <c r="C511" i="8"/>
  <c r="F511" i="8" s="1"/>
  <c r="C507" i="8"/>
  <c r="F507" i="8" s="1"/>
  <c r="C503" i="8"/>
  <c r="F503" i="8" s="1"/>
  <c r="C499" i="8"/>
  <c r="F499" i="8" s="1"/>
  <c r="I499" i="8" s="1"/>
  <c r="D492" i="8"/>
  <c r="G492" i="8" s="1"/>
  <c r="C488" i="8"/>
  <c r="F488" i="8" s="1"/>
  <c r="I488" i="8" s="1"/>
  <c r="C475" i="8"/>
  <c r="F475" i="8" s="1"/>
  <c r="C467" i="8"/>
  <c r="F467" i="8" s="1"/>
  <c r="E451" i="8"/>
  <c r="H451" i="8" s="1"/>
  <c r="D451" i="8"/>
  <c r="G451" i="8" s="1"/>
  <c r="E420" i="8"/>
  <c r="H420" i="8" s="1"/>
  <c r="D420" i="8"/>
  <c r="G420" i="8" s="1"/>
  <c r="E415" i="8"/>
  <c r="H415" i="8" s="1"/>
  <c r="D415" i="8"/>
  <c r="G415" i="8" s="1"/>
  <c r="E412" i="8"/>
  <c r="H412" i="8" s="1"/>
  <c r="C412" i="8"/>
  <c r="F412" i="8" s="1"/>
  <c r="D412" i="8"/>
  <c r="G412" i="8" s="1"/>
  <c r="E408" i="8"/>
  <c r="H408" i="8" s="1"/>
  <c r="C408" i="8"/>
  <c r="F408" i="8" s="1"/>
  <c r="D408" i="8"/>
  <c r="G408" i="8" s="1"/>
  <c r="E389" i="8"/>
  <c r="H389" i="8" s="1"/>
  <c r="D389" i="8"/>
  <c r="G389" i="8" s="1"/>
  <c r="C385" i="8"/>
  <c r="F385" i="8" s="1"/>
  <c r="D366" i="8"/>
  <c r="G366" i="8" s="1"/>
  <c r="C366" i="8"/>
  <c r="F366" i="8" s="1"/>
  <c r="E366" i="8"/>
  <c r="H366" i="8" s="1"/>
  <c r="C361" i="8"/>
  <c r="F361" i="8" s="1"/>
  <c r="D350" i="8"/>
  <c r="G350" i="8" s="1"/>
  <c r="C350" i="8"/>
  <c r="F350" i="8" s="1"/>
  <c r="E350" i="8"/>
  <c r="H350" i="8" s="1"/>
  <c r="C345" i="8"/>
  <c r="F345" i="8" s="1"/>
  <c r="C338" i="8"/>
  <c r="F338" i="8" s="1"/>
  <c r="D332" i="8"/>
  <c r="G332" i="8" s="1"/>
  <c r="C332" i="8"/>
  <c r="F332" i="8" s="1"/>
  <c r="E332" i="8"/>
  <c r="H332" i="8" s="1"/>
  <c r="E322" i="8"/>
  <c r="H322" i="8" s="1"/>
  <c r="D322" i="8"/>
  <c r="G322" i="8" s="1"/>
  <c r="E315" i="8"/>
  <c r="H315" i="8" s="1"/>
  <c r="D315" i="8"/>
  <c r="G315" i="8" s="1"/>
  <c r="E306" i="8"/>
  <c r="H306" i="8" s="1"/>
  <c r="D306" i="8"/>
  <c r="G306" i="8" s="1"/>
  <c r="D268" i="8"/>
  <c r="G268" i="8" s="1"/>
  <c r="C268" i="8"/>
  <c r="F268" i="8" s="1"/>
  <c r="E268" i="8"/>
  <c r="H268" i="8" s="1"/>
  <c r="E250" i="8"/>
  <c r="H250" i="8" s="1"/>
  <c r="D250" i="8"/>
  <c r="G250" i="8" s="1"/>
  <c r="C214" i="8"/>
  <c r="F214" i="8" s="1"/>
  <c r="D214" i="8"/>
  <c r="G214" i="8" s="1"/>
  <c r="E214" i="8"/>
  <c r="H214" i="8" s="1"/>
  <c r="C162" i="8"/>
  <c r="F162" i="8" s="1"/>
  <c r="D162" i="8"/>
  <c r="G162" i="8" s="1"/>
  <c r="E162" i="8"/>
  <c r="H162" i="8" s="1"/>
  <c r="C642" i="8"/>
  <c r="F642" i="8" s="1"/>
  <c r="C629" i="8"/>
  <c r="F629" i="8" s="1"/>
  <c r="C625" i="8"/>
  <c r="F625" i="8" s="1"/>
  <c r="C620" i="8"/>
  <c r="F620" i="8" s="1"/>
  <c r="D615" i="8"/>
  <c r="G615" i="8" s="1"/>
  <c r="E609" i="8"/>
  <c r="H609" i="8" s="1"/>
  <c r="D599" i="8"/>
  <c r="G599" i="8" s="1"/>
  <c r="E593" i="8"/>
  <c r="H593" i="8" s="1"/>
  <c r="D583" i="8"/>
  <c r="G583" i="8" s="1"/>
  <c r="E577" i="8"/>
  <c r="H577" i="8" s="1"/>
  <c r="D567" i="8"/>
  <c r="G567" i="8" s="1"/>
  <c r="E561" i="8"/>
  <c r="H561" i="8" s="1"/>
  <c r="C543" i="8"/>
  <c r="F543" i="8" s="1"/>
  <c r="C533" i="8"/>
  <c r="F533" i="8" s="1"/>
  <c r="C525" i="8"/>
  <c r="F525" i="8" s="1"/>
  <c r="D519" i="8"/>
  <c r="G519" i="8" s="1"/>
  <c r="C517" i="8"/>
  <c r="F517" i="8" s="1"/>
  <c r="C513" i="8"/>
  <c r="F513" i="8" s="1"/>
  <c r="C492" i="8"/>
  <c r="F492" i="8" s="1"/>
  <c r="D480" i="8"/>
  <c r="G480" i="8" s="1"/>
  <c r="D479" i="8"/>
  <c r="G479" i="8" s="1"/>
  <c r="I479" i="8" s="1"/>
  <c r="E476" i="8"/>
  <c r="H476" i="8" s="1"/>
  <c r="D476" i="8"/>
  <c r="G476" i="8" s="1"/>
  <c r="D471" i="8"/>
  <c r="G471" i="8" s="1"/>
  <c r="I471" i="8" s="1"/>
  <c r="E468" i="8"/>
  <c r="H468" i="8" s="1"/>
  <c r="D468" i="8"/>
  <c r="G468" i="8" s="1"/>
  <c r="C463" i="8"/>
  <c r="F463" i="8" s="1"/>
  <c r="E459" i="8"/>
  <c r="H459" i="8" s="1"/>
  <c r="D459" i="8"/>
  <c r="G459" i="8" s="1"/>
  <c r="E455" i="8"/>
  <c r="H455" i="8" s="1"/>
  <c r="D455" i="8"/>
  <c r="G455" i="8" s="1"/>
  <c r="E452" i="8"/>
  <c r="H452" i="8" s="1"/>
  <c r="C452" i="8"/>
  <c r="F452" i="8" s="1"/>
  <c r="D452" i="8"/>
  <c r="G452" i="8" s="1"/>
  <c r="E448" i="8"/>
  <c r="H448" i="8" s="1"/>
  <c r="C448" i="8"/>
  <c r="F448" i="8" s="1"/>
  <c r="D448" i="8"/>
  <c r="G448" i="8" s="1"/>
  <c r="E443" i="8"/>
  <c r="H443" i="8" s="1"/>
  <c r="C443" i="8"/>
  <c r="F443" i="8" s="1"/>
  <c r="D443" i="8"/>
  <c r="G443" i="8" s="1"/>
  <c r="C428" i="8"/>
  <c r="F428" i="8" s="1"/>
  <c r="E416" i="8"/>
  <c r="H416" i="8" s="1"/>
  <c r="D416" i="8"/>
  <c r="G416" i="8" s="1"/>
  <c r="E395" i="8"/>
  <c r="H395" i="8" s="1"/>
  <c r="D395" i="8"/>
  <c r="G395" i="8" s="1"/>
  <c r="D390" i="8"/>
  <c r="G390" i="8" s="1"/>
  <c r="C390" i="8"/>
  <c r="F390" i="8" s="1"/>
  <c r="E390" i="8"/>
  <c r="H390" i="8" s="1"/>
  <c r="E381" i="8"/>
  <c r="H381" i="8" s="1"/>
  <c r="D381" i="8"/>
  <c r="G381" i="8" s="1"/>
  <c r="C377" i="8"/>
  <c r="F377" i="8" s="1"/>
  <c r="C373" i="8"/>
  <c r="F373" i="8" s="1"/>
  <c r="E357" i="8"/>
  <c r="H357" i="8" s="1"/>
  <c r="D357" i="8"/>
  <c r="G357" i="8" s="1"/>
  <c r="C340" i="8"/>
  <c r="F340" i="8" s="1"/>
  <c r="E330" i="8"/>
  <c r="H330" i="8" s="1"/>
  <c r="C330" i="8"/>
  <c r="F330" i="8" s="1"/>
  <c r="E323" i="8"/>
  <c r="H323" i="8" s="1"/>
  <c r="C323" i="8"/>
  <c r="F323" i="8" s="1"/>
  <c r="D323" i="8"/>
  <c r="G323" i="8" s="1"/>
  <c r="C316" i="8"/>
  <c r="F316" i="8" s="1"/>
  <c r="E307" i="8"/>
  <c r="H307" i="8" s="1"/>
  <c r="C307" i="8"/>
  <c r="F307" i="8" s="1"/>
  <c r="D307" i="8"/>
  <c r="G307" i="8" s="1"/>
  <c r="C300" i="8"/>
  <c r="F300" i="8" s="1"/>
  <c r="E290" i="8"/>
  <c r="H290" i="8" s="1"/>
  <c r="C290" i="8"/>
  <c r="F290" i="8" s="1"/>
  <c r="D290" i="8"/>
  <c r="G290" i="8" s="1"/>
  <c r="E283" i="8"/>
  <c r="H283" i="8" s="1"/>
  <c r="C283" i="8"/>
  <c r="F283" i="8" s="1"/>
  <c r="D283" i="8"/>
  <c r="G283" i="8" s="1"/>
  <c r="D260" i="8"/>
  <c r="G260" i="8" s="1"/>
  <c r="E260" i="8"/>
  <c r="H260" i="8" s="1"/>
  <c r="C238" i="8"/>
  <c r="F238" i="8" s="1"/>
  <c r="D238" i="8"/>
  <c r="G238" i="8" s="1"/>
  <c r="E238" i="8"/>
  <c r="H238" i="8" s="1"/>
  <c r="C209" i="8"/>
  <c r="F209" i="8" s="1"/>
  <c r="D209" i="8"/>
  <c r="G209" i="8" s="1"/>
  <c r="E209" i="8"/>
  <c r="H209" i="8" s="1"/>
  <c r="D193" i="8"/>
  <c r="G193" i="8" s="1"/>
  <c r="C185" i="8"/>
  <c r="F185" i="8" s="1"/>
  <c r="E185" i="8"/>
  <c r="H185" i="8" s="1"/>
  <c r="C169" i="8"/>
  <c r="F169" i="8" s="1"/>
  <c r="E169" i="8"/>
  <c r="H169" i="8" s="1"/>
  <c r="C324" i="8"/>
  <c r="F324" i="8" s="1"/>
  <c r="C314" i="8"/>
  <c r="F314" i="8" s="1"/>
  <c r="C298" i="8"/>
  <c r="F298" i="8" s="1"/>
  <c r="C276" i="8"/>
  <c r="F276" i="8" s="1"/>
  <c r="C258" i="8"/>
  <c r="F258" i="8" s="1"/>
  <c r="C252" i="8"/>
  <c r="F252" i="8" s="1"/>
  <c r="D161" i="8"/>
  <c r="G161" i="8" s="1"/>
  <c r="D664" i="8"/>
  <c r="G664" i="8" s="1"/>
  <c r="E664" i="8"/>
  <c r="H664" i="8" s="1"/>
  <c r="D656" i="8"/>
  <c r="G656" i="8" s="1"/>
  <c r="E656" i="8"/>
  <c r="H656" i="8" s="1"/>
  <c r="D648" i="8"/>
  <c r="G648" i="8" s="1"/>
  <c r="E648" i="8"/>
  <c r="H648" i="8" s="1"/>
  <c r="C635" i="8"/>
  <c r="F635" i="8" s="1"/>
  <c r="D635" i="8"/>
  <c r="G635" i="8" s="1"/>
  <c r="E635" i="8"/>
  <c r="H635" i="8" s="1"/>
  <c r="D626" i="8"/>
  <c r="G626" i="8" s="1"/>
  <c r="C626" i="8"/>
  <c r="F626" i="8" s="1"/>
  <c r="E616" i="8"/>
  <c r="H616" i="8" s="1"/>
  <c r="C616" i="8"/>
  <c r="F616" i="8" s="1"/>
  <c r="D616" i="8"/>
  <c r="G616" i="8" s="1"/>
  <c r="E584" i="8"/>
  <c r="H584" i="8" s="1"/>
  <c r="C584" i="8"/>
  <c r="F584" i="8" s="1"/>
  <c r="D584" i="8"/>
  <c r="G584" i="8" s="1"/>
  <c r="C546" i="8"/>
  <c r="F546" i="8" s="1"/>
  <c r="D546" i="8"/>
  <c r="G546" i="8" s="1"/>
  <c r="C542" i="8"/>
  <c r="F542" i="8" s="1"/>
  <c r="D542" i="8"/>
  <c r="G542" i="8" s="1"/>
  <c r="E542" i="8"/>
  <c r="H542" i="8" s="1"/>
  <c r="C526" i="8"/>
  <c r="F526" i="8" s="1"/>
  <c r="D526" i="8"/>
  <c r="G526" i="8" s="1"/>
  <c r="E526" i="8"/>
  <c r="H526" i="8" s="1"/>
  <c r="C510" i="8"/>
  <c r="F510" i="8" s="1"/>
  <c r="D510" i="8"/>
  <c r="G510" i="8" s="1"/>
  <c r="E510" i="8"/>
  <c r="H510" i="8" s="1"/>
  <c r="C486" i="8"/>
  <c r="F486" i="8" s="1"/>
  <c r="D486" i="8"/>
  <c r="G486" i="8" s="1"/>
  <c r="E486" i="8"/>
  <c r="H486" i="8" s="1"/>
  <c r="C478" i="8"/>
  <c r="F478" i="8" s="1"/>
  <c r="D478" i="8"/>
  <c r="G478" i="8" s="1"/>
  <c r="E478" i="8"/>
  <c r="H478" i="8" s="1"/>
  <c r="D465" i="8"/>
  <c r="G465" i="8" s="1"/>
  <c r="C465" i="8"/>
  <c r="F465" i="8" s="1"/>
  <c r="E465" i="8"/>
  <c r="H465" i="8" s="1"/>
  <c r="C450" i="8"/>
  <c r="F450" i="8" s="1"/>
  <c r="D450" i="8"/>
  <c r="G450" i="8" s="1"/>
  <c r="E450" i="8"/>
  <c r="H450" i="8" s="1"/>
  <c r="D433" i="8"/>
  <c r="G433" i="8" s="1"/>
  <c r="C433" i="8"/>
  <c r="F433" i="8" s="1"/>
  <c r="E433" i="8"/>
  <c r="H433" i="8" s="1"/>
  <c r="C418" i="8"/>
  <c r="F418" i="8" s="1"/>
  <c r="D418" i="8"/>
  <c r="G418" i="8" s="1"/>
  <c r="E418" i="8"/>
  <c r="H418" i="8" s="1"/>
  <c r="E294" i="8"/>
  <c r="H294" i="8" s="1"/>
  <c r="C294" i="8"/>
  <c r="F294" i="8" s="1"/>
  <c r="D294" i="8"/>
  <c r="G294" i="8" s="1"/>
  <c r="E670" i="8"/>
  <c r="H670" i="8" s="1"/>
  <c r="E666" i="8"/>
  <c r="H666" i="8" s="1"/>
  <c r="E662" i="8"/>
  <c r="H662" i="8" s="1"/>
  <c r="E658" i="8"/>
  <c r="H658" i="8" s="1"/>
  <c r="E654" i="8"/>
  <c r="H654" i="8" s="1"/>
  <c r="E650" i="8"/>
  <c r="H650" i="8" s="1"/>
  <c r="E646" i="8"/>
  <c r="H646" i="8" s="1"/>
  <c r="C639" i="8"/>
  <c r="F639" i="8" s="1"/>
  <c r="D639" i="8"/>
  <c r="G639" i="8" s="1"/>
  <c r="E639" i="8"/>
  <c r="H639" i="8" s="1"/>
  <c r="D630" i="8"/>
  <c r="G630" i="8" s="1"/>
  <c r="C630" i="8"/>
  <c r="F630" i="8" s="1"/>
  <c r="C623" i="8"/>
  <c r="F623" i="8" s="1"/>
  <c r="D623" i="8"/>
  <c r="G623" i="8" s="1"/>
  <c r="E623" i="8"/>
  <c r="H623" i="8" s="1"/>
  <c r="C606" i="8"/>
  <c r="F606" i="8" s="1"/>
  <c r="D606" i="8"/>
  <c r="G606" i="8" s="1"/>
  <c r="E606" i="8"/>
  <c r="H606" i="8" s="1"/>
  <c r="C590" i="8"/>
  <c r="F590" i="8" s="1"/>
  <c r="D590" i="8"/>
  <c r="G590" i="8" s="1"/>
  <c r="E590" i="8"/>
  <c r="H590" i="8" s="1"/>
  <c r="C574" i="8"/>
  <c r="F574" i="8" s="1"/>
  <c r="D574" i="8"/>
  <c r="G574" i="8" s="1"/>
  <c r="E574" i="8"/>
  <c r="H574" i="8" s="1"/>
  <c r="C558" i="8"/>
  <c r="F558" i="8" s="1"/>
  <c r="D558" i="8"/>
  <c r="G558" i="8" s="1"/>
  <c r="E558" i="8"/>
  <c r="H558" i="8" s="1"/>
  <c r="E536" i="8"/>
  <c r="H536" i="8" s="1"/>
  <c r="C536" i="8"/>
  <c r="F536" i="8" s="1"/>
  <c r="D536" i="8"/>
  <c r="G536" i="8" s="1"/>
  <c r="C534" i="8"/>
  <c r="F534" i="8" s="1"/>
  <c r="D534" i="8"/>
  <c r="G534" i="8" s="1"/>
  <c r="E534" i="8"/>
  <c r="H534" i="8" s="1"/>
  <c r="C402" i="8"/>
  <c r="F402" i="8" s="1"/>
  <c r="D402" i="8"/>
  <c r="G402" i="8" s="1"/>
  <c r="E402" i="8"/>
  <c r="H402" i="8" s="1"/>
  <c r="C398" i="8"/>
  <c r="F398" i="8" s="1"/>
  <c r="D398" i="8"/>
  <c r="G398" i="8" s="1"/>
  <c r="E398" i="8"/>
  <c r="H398" i="8" s="1"/>
  <c r="C375" i="8"/>
  <c r="F375" i="8" s="1"/>
  <c r="D375" i="8"/>
  <c r="G375" i="8" s="1"/>
  <c r="E375" i="8"/>
  <c r="H375" i="8" s="1"/>
  <c r="E352" i="8"/>
  <c r="H352" i="8" s="1"/>
  <c r="C352" i="8"/>
  <c r="F352" i="8" s="1"/>
  <c r="D352" i="8"/>
  <c r="G352" i="8" s="1"/>
  <c r="D320" i="8"/>
  <c r="G320" i="8" s="1"/>
  <c r="C320" i="8"/>
  <c r="F320" i="8" s="1"/>
  <c r="E320" i="8"/>
  <c r="H320" i="8" s="1"/>
  <c r="C277" i="8"/>
  <c r="F277" i="8" s="1"/>
  <c r="D277" i="8"/>
  <c r="G277" i="8" s="1"/>
  <c r="E277" i="8"/>
  <c r="H277" i="8" s="1"/>
  <c r="E263" i="8"/>
  <c r="H263" i="8" s="1"/>
  <c r="D263" i="8"/>
  <c r="G263" i="8" s="1"/>
  <c r="C263" i="8"/>
  <c r="F263" i="8" s="1"/>
  <c r="D256" i="8"/>
  <c r="G256" i="8" s="1"/>
  <c r="C256" i="8"/>
  <c r="F256" i="8" s="1"/>
  <c r="E256" i="8"/>
  <c r="H256" i="8" s="1"/>
  <c r="E155" i="8"/>
  <c r="H155" i="8" s="1"/>
  <c r="C155" i="8"/>
  <c r="F155" i="8" s="1"/>
  <c r="D155" i="8"/>
  <c r="G155" i="8" s="1"/>
  <c r="D660" i="8"/>
  <c r="G660" i="8" s="1"/>
  <c r="E660" i="8"/>
  <c r="H660" i="8" s="1"/>
  <c r="D652" i="8"/>
  <c r="G652" i="8" s="1"/>
  <c r="E652" i="8"/>
  <c r="H652" i="8" s="1"/>
  <c r="D644" i="8"/>
  <c r="G644" i="8" s="1"/>
  <c r="E644" i="8"/>
  <c r="H644" i="8" s="1"/>
  <c r="C619" i="8"/>
  <c r="F619" i="8" s="1"/>
  <c r="D619" i="8"/>
  <c r="G619" i="8" s="1"/>
  <c r="E619" i="8"/>
  <c r="H619" i="8" s="1"/>
  <c r="E600" i="8"/>
  <c r="H600" i="8" s="1"/>
  <c r="C600" i="8"/>
  <c r="F600" i="8" s="1"/>
  <c r="D600" i="8"/>
  <c r="G600" i="8" s="1"/>
  <c r="E568" i="8"/>
  <c r="H568" i="8" s="1"/>
  <c r="C568" i="8"/>
  <c r="F568" i="8" s="1"/>
  <c r="D568" i="8"/>
  <c r="G568" i="8" s="1"/>
  <c r="E544" i="8"/>
  <c r="H544" i="8" s="1"/>
  <c r="C544" i="8"/>
  <c r="F544" i="8" s="1"/>
  <c r="D544" i="8"/>
  <c r="G544" i="8" s="1"/>
  <c r="C538" i="8"/>
  <c r="F538" i="8" s="1"/>
  <c r="D538" i="8"/>
  <c r="G538" i="8" s="1"/>
  <c r="E528" i="8"/>
  <c r="H528" i="8" s="1"/>
  <c r="C528" i="8"/>
  <c r="F528" i="8" s="1"/>
  <c r="D528" i="8"/>
  <c r="G528" i="8" s="1"/>
  <c r="D497" i="8"/>
  <c r="G497" i="8" s="1"/>
  <c r="C497" i="8"/>
  <c r="F497" i="8" s="1"/>
  <c r="E497" i="8"/>
  <c r="H497" i="8" s="1"/>
  <c r="C482" i="8"/>
  <c r="F482" i="8" s="1"/>
  <c r="D482" i="8"/>
  <c r="G482" i="8" s="1"/>
  <c r="E482" i="8"/>
  <c r="H482" i="8" s="1"/>
  <c r="C454" i="8"/>
  <c r="F454" i="8" s="1"/>
  <c r="D454" i="8"/>
  <c r="G454" i="8" s="1"/>
  <c r="E454" i="8"/>
  <c r="H454" i="8" s="1"/>
  <c r="C446" i="8"/>
  <c r="F446" i="8" s="1"/>
  <c r="D446" i="8"/>
  <c r="G446" i="8" s="1"/>
  <c r="E446" i="8"/>
  <c r="H446" i="8" s="1"/>
  <c r="C422" i="8"/>
  <c r="F422" i="8" s="1"/>
  <c r="D422" i="8"/>
  <c r="G422" i="8" s="1"/>
  <c r="E422" i="8"/>
  <c r="H422" i="8" s="1"/>
  <c r="C414" i="8"/>
  <c r="F414" i="8" s="1"/>
  <c r="D414" i="8"/>
  <c r="G414" i="8" s="1"/>
  <c r="E414" i="8"/>
  <c r="H414" i="8" s="1"/>
  <c r="C343" i="8"/>
  <c r="F343" i="8" s="1"/>
  <c r="D343" i="8"/>
  <c r="G343" i="8" s="1"/>
  <c r="E343" i="8"/>
  <c r="H343" i="8" s="1"/>
  <c r="C670" i="8"/>
  <c r="F670" i="8" s="1"/>
  <c r="C666" i="8"/>
  <c r="F666" i="8" s="1"/>
  <c r="C662" i="8"/>
  <c r="F662" i="8" s="1"/>
  <c r="C658" i="8"/>
  <c r="F658" i="8" s="1"/>
  <c r="C654" i="8"/>
  <c r="F654" i="8" s="1"/>
  <c r="D634" i="8"/>
  <c r="G634" i="8" s="1"/>
  <c r="C634" i="8"/>
  <c r="F634" i="8" s="1"/>
  <c r="C627" i="8"/>
  <c r="F627" i="8" s="1"/>
  <c r="D627" i="8"/>
  <c r="G627" i="8" s="1"/>
  <c r="E627" i="8"/>
  <c r="H627" i="8" s="1"/>
  <c r="E608" i="8"/>
  <c r="H608" i="8" s="1"/>
  <c r="C608" i="8"/>
  <c r="F608" i="8" s="1"/>
  <c r="D608" i="8"/>
  <c r="G608" i="8" s="1"/>
  <c r="E592" i="8"/>
  <c r="H592" i="8" s="1"/>
  <c r="C592" i="8"/>
  <c r="F592" i="8" s="1"/>
  <c r="D592" i="8"/>
  <c r="G592" i="8" s="1"/>
  <c r="E576" i="8"/>
  <c r="H576" i="8" s="1"/>
  <c r="C576" i="8"/>
  <c r="F576" i="8" s="1"/>
  <c r="D576" i="8"/>
  <c r="G576" i="8" s="1"/>
  <c r="E560" i="8"/>
  <c r="H560" i="8" s="1"/>
  <c r="C560" i="8"/>
  <c r="F560" i="8" s="1"/>
  <c r="D560" i="8"/>
  <c r="G560" i="8" s="1"/>
  <c r="C550" i="8"/>
  <c r="F550" i="8" s="1"/>
  <c r="D550" i="8"/>
  <c r="G550" i="8" s="1"/>
  <c r="E550" i="8"/>
  <c r="H550" i="8" s="1"/>
  <c r="C522" i="8"/>
  <c r="F522" i="8" s="1"/>
  <c r="D522" i="8"/>
  <c r="G522" i="8" s="1"/>
  <c r="C502" i="8"/>
  <c r="F502" i="8" s="1"/>
  <c r="D502" i="8"/>
  <c r="G502" i="8" s="1"/>
  <c r="E502" i="8"/>
  <c r="H502" i="8" s="1"/>
  <c r="C498" i="8"/>
  <c r="F498" i="8" s="1"/>
  <c r="D498" i="8"/>
  <c r="G498" i="8" s="1"/>
  <c r="E498" i="8"/>
  <c r="H498" i="8" s="1"/>
  <c r="C494" i="8"/>
  <c r="F494" i="8" s="1"/>
  <c r="D494" i="8"/>
  <c r="G494" i="8" s="1"/>
  <c r="E494" i="8"/>
  <c r="H494" i="8" s="1"/>
  <c r="D481" i="8"/>
  <c r="G481" i="8" s="1"/>
  <c r="C481" i="8"/>
  <c r="F481" i="8" s="1"/>
  <c r="E481" i="8"/>
  <c r="H481" i="8" s="1"/>
  <c r="C470" i="8"/>
  <c r="F470" i="8" s="1"/>
  <c r="D470" i="8"/>
  <c r="G470" i="8" s="1"/>
  <c r="E470" i="8"/>
  <c r="H470" i="8" s="1"/>
  <c r="C466" i="8"/>
  <c r="F466" i="8" s="1"/>
  <c r="D466" i="8"/>
  <c r="G466" i="8" s="1"/>
  <c r="E466" i="8"/>
  <c r="H466" i="8" s="1"/>
  <c r="C462" i="8"/>
  <c r="F462" i="8" s="1"/>
  <c r="D462" i="8"/>
  <c r="G462" i="8" s="1"/>
  <c r="E462" i="8"/>
  <c r="H462" i="8" s="1"/>
  <c r="D449" i="8"/>
  <c r="G449" i="8" s="1"/>
  <c r="C449" i="8"/>
  <c r="F449" i="8" s="1"/>
  <c r="E449" i="8"/>
  <c r="H449" i="8" s="1"/>
  <c r="C438" i="8"/>
  <c r="F438" i="8" s="1"/>
  <c r="D438" i="8"/>
  <c r="G438" i="8" s="1"/>
  <c r="E438" i="8"/>
  <c r="H438" i="8" s="1"/>
  <c r="C434" i="8"/>
  <c r="F434" i="8" s="1"/>
  <c r="D434" i="8"/>
  <c r="G434" i="8" s="1"/>
  <c r="E434" i="8"/>
  <c r="H434" i="8" s="1"/>
  <c r="C430" i="8"/>
  <c r="F430" i="8" s="1"/>
  <c r="D430" i="8"/>
  <c r="G430" i="8" s="1"/>
  <c r="E430" i="8"/>
  <c r="H430" i="8" s="1"/>
  <c r="D417" i="8"/>
  <c r="G417" i="8" s="1"/>
  <c r="C417" i="8"/>
  <c r="F417" i="8" s="1"/>
  <c r="E417" i="8"/>
  <c r="H417" i="8" s="1"/>
  <c r="C406" i="8"/>
  <c r="F406" i="8" s="1"/>
  <c r="D406" i="8"/>
  <c r="G406" i="8" s="1"/>
  <c r="E406" i="8"/>
  <c r="H406" i="8" s="1"/>
  <c r="D397" i="8"/>
  <c r="G397" i="8" s="1"/>
  <c r="C397" i="8"/>
  <c r="F397" i="8" s="1"/>
  <c r="E397" i="8"/>
  <c r="H397" i="8" s="1"/>
  <c r="E384" i="8"/>
  <c r="H384" i="8" s="1"/>
  <c r="C384" i="8"/>
  <c r="F384" i="8" s="1"/>
  <c r="D384" i="8"/>
  <c r="G384" i="8" s="1"/>
  <c r="C190" i="8"/>
  <c r="F190" i="8" s="1"/>
  <c r="D190" i="8"/>
  <c r="G190" i="8" s="1"/>
  <c r="E190" i="8"/>
  <c r="H190" i="8" s="1"/>
  <c r="D668" i="8"/>
  <c r="G668" i="8" s="1"/>
  <c r="E668" i="8"/>
  <c r="H668" i="8" s="1"/>
  <c r="E669" i="8"/>
  <c r="H669" i="8" s="1"/>
  <c r="D669" i="8"/>
  <c r="G669" i="8" s="1"/>
  <c r="C668" i="8"/>
  <c r="F668" i="8" s="1"/>
  <c r="C667" i="8"/>
  <c r="F667" i="8" s="1"/>
  <c r="D667" i="8"/>
  <c r="G667" i="8" s="1"/>
  <c r="E665" i="8"/>
  <c r="H665" i="8" s="1"/>
  <c r="D665" i="8"/>
  <c r="G665" i="8" s="1"/>
  <c r="C664" i="8"/>
  <c r="F664" i="8" s="1"/>
  <c r="C663" i="8"/>
  <c r="F663" i="8" s="1"/>
  <c r="D663" i="8"/>
  <c r="G663" i="8" s="1"/>
  <c r="E661" i="8"/>
  <c r="H661" i="8" s="1"/>
  <c r="D661" i="8"/>
  <c r="G661" i="8" s="1"/>
  <c r="C660" i="8"/>
  <c r="F660" i="8" s="1"/>
  <c r="C659" i="8"/>
  <c r="F659" i="8" s="1"/>
  <c r="D659" i="8"/>
  <c r="G659" i="8" s="1"/>
  <c r="E657" i="8"/>
  <c r="H657" i="8" s="1"/>
  <c r="D657" i="8"/>
  <c r="G657" i="8" s="1"/>
  <c r="C656" i="8"/>
  <c r="F656" i="8" s="1"/>
  <c r="C655" i="8"/>
  <c r="F655" i="8" s="1"/>
  <c r="D655" i="8"/>
  <c r="G655" i="8" s="1"/>
  <c r="E653" i="8"/>
  <c r="H653" i="8" s="1"/>
  <c r="D653" i="8"/>
  <c r="G653" i="8" s="1"/>
  <c r="C652" i="8"/>
  <c r="F652" i="8" s="1"/>
  <c r="C651" i="8"/>
  <c r="F651" i="8" s="1"/>
  <c r="D651" i="8"/>
  <c r="G651" i="8" s="1"/>
  <c r="E649" i="8"/>
  <c r="H649" i="8" s="1"/>
  <c r="D649" i="8"/>
  <c r="G649" i="8" s="1"/>
  <c r="C648" i="8"/>
  <c r="F648" i="8" s="1"/>
  <c r="C647" i="8"/>
  <c r="F647" i="8" s="1"/>
  <c r="D647" i="8"/>
  <c r="G647" i="8" s="1"/>
  <c r="E645" i="8"/>
  <c r="H645" i="8" s="1"/>
  <c r="D645" i="8"/>
  <c r="G645" i="8" s="1"/>
  <c r="C644" i="8"/>
  <c r="F644" i="8" s="1"/>
  <c r="C643" i="8"/>
  <c r="F643" i="8" s="1"/>
  <c r="D643" i="8"/>
  <c r="G643" i="8" s="1"/>
  <c r="E641" i="8"/>
  <c r="H641" i="8" s="1"/>
  <c r="D641" i="8"/>
  <c r="G641" i="8" s="1"/>
  <c r="D638" i="8"/>
  <c r="G638" i="8" s="1"/>
  <c r="C638" i="8"/>
  <c r="F638" i="8" s="1"/>
  <c r="C631" i="8"/>
  <c r="F631" i="8" s="1"/>
  <c r="D631" i="8"/>
  <c r="G631" i="8" s="1"/>
  <c r="E631" i="8"/>
  <c r="H631" i="8" s="1"/>
  <c r="E626" i="8"/>
  <c r="H626" i="8" s="1"/>
  <c r="D622" i="8"/>
  <c r="G622" i="8" s="1"/>
  <c r="C622" i="8"/>
  <c r="F622" i="8" s="1"/>
  <c r="C614" i="8"/>
  <c r="F614" i="8" s="1"/>
  <c r="D614" i="8"/>
  <c r="G614" i="8" s="1"/>
  <c r="E614" i="8"/>
  <c r="H614" i="8" s="1"/>
  <c r="C598" i="8"/>
  <c r="F598" i="8" s="1"/>
  <c r="D598" i="8"/>
  <c r="G598" i="8" s="1"/>
  <c r="E598" i="8"/>
  <c r="H598" i="8" s="1"/>
  <c r="C582" i="8"/>
  <c r="F582" i="8" s="1"/>
  <c r="D582" i="8"/>
  <c r="G582" i="8" s="1"/>
  <c r="E582" i="8"/>
  <c r="H582" i="8" s="1"/>
  <c r="C566" i="8"/>
  <c r="F566" i="8" s="1"/>
  <c r="D566" i="8"/>
  <c r="G566" i="8" s="1"/>
  <c r="E566" i="8"/>
  <c r="H566" i="8" s="1"/>
  <c r="E552" i="8"/>
  <c r="H552" i="8" s="1"/>
  <c r="C552" i="8"/>
  <c r="F552" i="8" s="1"/>
  <c r="D552" i="8"/>
  <c r="G552" i="8" s="1"/>
  <c r="E546" i="8"/>
  <c r="H546" i="8" s="1"/>
  <c r="E538" i="8"/>
  <c r="H538" i="8" s="1"/>
  <c r="C530" i="8"/>
  <c r="F530" i="8" s="1"/>
  <c r="D530" i="8"/>
  <c r="G530" i="8" s="1"/>
  <c r="E520" i="8"/>
  <c r="H520" i="8" s="1"/>
  <c r="C520" i="8"/>
  <c r="F520" i="8" s="1"/>
  <c r="D520" i="8"/>
  <c r="G520" i="8" s="1"/>
  <c r="C518" i="8"/>
  <c r="F518" i="8" s="1"/>
  <c r="D518" i="8"/>
  <c r="G518" i="8" s="1"/>
  <c r="E518" i="8"/>
  <c r="H518" i="8" s="1"/>
  <c r="C514" i="8"/>
  <c r="F514" i="8" s="1"/>
  <c r="D514" i="8"/>
  <c r="G514" i="8" s="1"/>
  <c r="D401" i="8"/>
  <c r="G401" i="8" s="1"/>
  <c r="C401" i="8"/>
  <c r="F401" i="8" s="1"/>
  <c r="E401" i="8"/>
  <c r="H401" i="8" s="1"/>
  <c r="D370" i="8"/>
  <c r="G370" i="8" s="1"/>
  <c r="C370" i="8"/>
  <c r="F370" i="8" s="1"/>
  <c r="E370" i="8"/>
  <c r="H370" i="8" s="1"/>
  <c r="C618" i="8"/>
  <c r="F618" i="8" s="1"/>
  <c r="D618" i="8"/>
  <c r="G618" i="8" s="1"/>
  <c r="C610" i="8"/>
  <c r="F610" i="8" s="1"/>
  <c r="D610" i="8"/>
  <c r="G610" i="8" s="1"/>
  <c r="C602" i="8"/>
  <c r="F602" i="8" s="1"/>
  <c r="D602" i="8"/>
  <c r="G602" i="8" s="1"/>
  <c r="C594" i="8"/>
  <c r="F594" i="8" s="1"/>
  <c r="D594" i="8"/>
  <c r="G594" i="8" s="1"/>
  <c r="C586" i="8"/>
  <c r="F586" i="8" s="1"/>
  <c r="D586" i="8"/>
  <c r="G586" i="8" s="1"/>
  <c r="C578" i="8"/>
  <c r="F578" i="8" s="1"/>
  <c r="D578" i="8"/>
  <c r="G578" i="8" s="1"/>
  <c r="C570" i="8"/>
  <c r="F570" i="8" s="1"/>
  <c r="D570" i="8"/>
  <c r="G570" i="8" s="1"/>
  <c r="C562" i="8"/>
  <c r="F562" i="8" s="1"/>
  <c r="D562" i="8"/>
  <c r="G562" i="8" s="1"/>
  <c r="C554" i="8"/>
  <c r="F554" i="8" s="1"/>
  <c r="D554" i="8"/>
  <c r="G554" i="8" s="1"/>
  <c r="E553" i="8"/>
  <c r="H553" i="8" s="1"/>
  <c r="E545" i="8"/>
  <c r="H545" i="8" s="1"/>
  <c r="C540" i="8"/>
  <c r="F540" i="8" s="1"/>
  <c r="E537" i="8"/>
  <c r="H537" i="8" s="1"/>
  <c r="C532" i="8"/>
  <c r="F532" i="8" s="1"/>
  <c r="E529" i="8"/>
  <c r="H529" i="8" s="1"/>
  <c r="C524" i="8"/>
  <c r="F524" i="8" s="1"/>
  <c r="E521" i="8"/>
  <c r="H521" i="8" s="1"/>
  <c r="C516" i="8"/>
  <c r="F516" i="8" s="1"/>
  <c r="E513" i="8"/>
  <c r="H513" i="8" s="1"/>
  <c r="D509" i="8"/>
  <c r="G509" i="8" s="1"/>
  <c r="C509" i="8"/>
  <c r="F509" i="8" s="1"/>
  <c r="D493" i="8"/>
  <c r="G493" i="8" s="1"/>
  <c r="C493" i="8"/>
  <c r="F493" i="8" s="1"/>
  <c r="D477" i="8"/>
  <c r="G477" i="8" s="1"/>
  <c r="C477" i="8"/>
  <c r="F477" i="8" s="1"/>
  <c r="D461" i="8"/>
  <c r="G461" i="8" s="1"/>
  <c r="C461" i="8"/>
  <c r="F461" i="8" s="1"/>
  <c r="D445" i="8"/>
  <c r="G445" i="8" s="1"/>
  <c r="C445" i="8"/>
  <c r="F445" i="8" s="1"/>
  <c r="D429" i="8"/>
  <c r="G429" i="8" s="1"/>
  <c r="C429" i="8"/>
  <c r="F429" i="8" s="1"/>
  <c r="D413" i="8"/>
  <c r="G413" i="8" s="1"/>
  <c r="C413" i="8"/>
  <c r="F413" i="8" s="1"/>
  <c r="E392" i="8"/>
  <c r="H392" i="8" s="1"/>
  <c r="C392" i="8"/>
  <c r="F392" i="8" s="1"/>
  <c r="D392" i="8"/>
  <c r="G392" i="8" s="1"/>
  <c r="C383" i="8"/>
  <c r="F383" i="8" s="1"/>
  <c r="D383" i="8"/>
  <c r="G383" i="8" s="1"/>
  <c r="E383" i="8"/>
  <c r="H383" i="8" s="1"/>
  <c r="D378" i="8"/>
  <c r="G378" i="8" s="1"/>
  <c r="C378" i="8"/>
  <c r="F378" i="8" s="1"/>
  <c r="E378" i="8"/>
  <c r="H378" i="8" s="1"/>
  <c r="E360" i="8"/>
  <c r="H360" i="8" s="1"/>
  <c r="C360" i="8"/>
  <c r="F360" i="8" s="1"/>
  <c r="D360" i="8"/>
  <c r="G360" i="8" s="1"/>
  <c r="C351" i="8"/>
  <c r="F351" i="8" s="1"/>
  <c r="D351" i="8"/>
  <c r="G351" i="8" s="1"/>
  <c r="E351" i="8"/>
  <c r="H351" i="8" s="1"/>
  <c r="D346" i="8"/>
  <c r="G346" i="8" s="1"/>
  <c r="C346" i="8"/>
  <c r="F346" i="8" s="1"/>
  <c r="E346" i="8"/>
  <c r="H346" i="8" s="1"/>
  <c r="C293" i="8"/>
  <c r="F293" i="8" s="1"/>
  <c r="D293" i="8"/>
  <c r="G293" i="8" s="1"/>
  <c r="E293" i="8"/>
  <c r="H293" i="8" s="1"/>
  <c r="C269" i="8"/>
  <c r="F269" i="8" s="1"/>
  <c r="D269" i="8"/>
  <c r="G269" i="8" s="1"/>
  <c r="E269" i="8"/>
  <c r="H269" i="8" s="1"/>
  <c r="D233" i="8"/>
  <c r="G233" i="8" s="1"/>
  <c r="E233" i="8"/>
  <c r="H233" i="8" s="1"/>
  <c r="C233" i="8"/>
  <c r="F233" i="8" s="1"/>
  <c r="D217" i="8"/>
  <c r="G217" i="8" s="1"/>
  <c r="E217" i="8"/>
  <c r="H217" i="8" s="1"/>
  <c r="C217" i="8"/>
  <c r="F217" i="8" s="1"/>
  <c r="E175" i="8"/>
  <c r="H175" i="8" s="1"/>
  <c r="C175" i="8"/>
  <c r="F175" i="8" s="1"/>
  <c r="D175" i="8"/>
  <c r="G175" i="8" s="1"/>
  <c r="E640" i="8"/>
  <c r="H640" i="8" s="1"/>
  <c r="E636" i="8"/>
  <c r="H636" i="8" s="1"/>
  <c r="E632" i="8"/>
  <c r="H632" i="8" s="1"/>
  <c r="E628" i="8"/>
  <c r="H628" i="8" s="1"/>
  <c r="E624" i="8"/>
  <c r="H624" i="8" s="1"/>
  <c r="E620" i="8"/>
  <c r="H620" i="8" s="1"/>
  <c r="C617" i="8"/>
  <c r="F617" i="8" s="1"/>
  <c r="C615" i="8"/>
  <c r="F615" i="8" s="1"/>
  <c r="C609" i="8"/>
  <c r="F609" i="8" s="1"/>
  <c r="C607" i="8"/>
  <c r="F607" i="8" s="1"/>
  <c r="C601" i="8"/>
  <c r="F601" i="8" s="1"/>
  <c r="I601" i="8" s="1"/>
  <c r="C599" i="8"/>
  <c r="F599" i="8" s="1"/>
  <c r="C593" i="8"/>
  <c r="F593" i="8" s="1"/>
  <c r="C591" i="8"/>
  <c r="F591" i="8" s="1"/>
  <c r="C585" i="8"/>
  <c r="F585" i="8" s="1"/>
  <c r="C583" i="8"/>
  <c r="F583" i="8" s="1"/>
  <c r="C577" i="8"/>
  <c r="F577" i="8" s="1"/>
  <c r="C575" i="8"/>
  <c r="F575" i="8" s="1"/>
  <c r="C569" i="8"/>
  <c r="F569" i="8" s="1"/>
  <c r="C567" i="8"/>
  <c r="F567" i="8" s="1"/>
  <c r="C561" i="8"/>
  <c r="F561" i="8" s="1"/>
  <c r="C559" i="8"/>
  <c r="F559" i="8" s="1"/>
  <c r="C553" i="8"/>
  <c r="F553" i="8" s="1"/>
  <c r="C551" i="8"/>
  <c r="F551" i="8" s="1"/>
  <c r="C545" i="8"/>
  <c r="F545" i="8" s="1"/>
  <c r="C506" i="8"/>
  <c r="F506" i="8" s="1"/>
  <c r="D506" i="8"/>
  <c r="G506" i="8" s="1"/>
  <c r="E506" i="8"/>
  <c r="H506" i="8" s="1"/>
  <c r="D505" i="8"/>
  <c r="G505" i="8" s="1"/>
  <c r="C505" i="8"/>
  <c r="F505" i="8" s="1"/>
  <c r="C490" i="8"/>
  <c r="F490" i="8" s="1"/>
  <c r="D490" i="8"/>
  <c r="G490" i="8" s="1"/>
  <c r="E490" i="8"/>
  <c r="H490" i="8" s="1"/>
  <c r="D489" i="8"/>
  <c r="G489" i="8" s="1"/>
  <c r="C489" i="8"/>
  <c r="F489" i="8" s="1"/>
  <c r="C474" i="8"/>
  <c r="F474" i="8" s="1"/>
  <c r="D474" i="8"/>
  <c r="G474" i="8" s="1"/>
  <c r="E474" i="8"/>
  <c r="H474" i="8" s="1"/>
  <c r="D473" i="8"/>
  <c r="G473" i="8" s="1"/>
  <c r="C473" i="8"/>
  <c r="F473" i="8" s="1"/>
  <c r="C458" i="8"/>
  <c r="F458" i="8" s="1"/>
  <c r="D458" i="8"/>
  <c r="G458" i="8" s="1"/>
  <c r="E458" i="8"/>
  <c r="H458" i="8" s="1"/>
  <c r="D457" i="8"/>
  <c r="G457" i="8" s="1"/>
  <c r="C457" i="8"/>
  <c r="F457" i="8" s="1"/>
  <c r="I444" i="8"/>
  <c r="C442" i="8"/>
  <c r="F442" i="8" s="1"/>
  <c r="D442" i="8"/>
  <c r="G442" i="8" s="1"/>
  <c r="E442" i="8"/>
  <c r="H442" i="8" s="1"/>
  <c r="D441" i="8"/>
  <c r="G441" i="8" s="1"/>
  <c r="C441" i="8"/>
  <c r="F441" i="8" s="1"/>
  <c r="C426" i="8"/>
  <c r="F426" i="8" s="1"/>
  <c r="D426" i="8"/>
  <c r="G426" i="8" s="1"/>
  <c r="E426" i="8"/>
  <c r="H426" i="8" s="1"/>
  <c r="D425" i="8"/>
  <c r="G425" i="8" s="1"/>
  <c r="C425" i="8"/>
  <c r="F425" i="8" s="1"/>
  <c r="C410" i="8"/>
  <c r="F410" i="8" s="1"/>
  <c r="D410" i="8"/>
  <c r="G410" i="8" s="1"/>
  <c r="E410" i="8"/>
  <c r="H410" i="8" s="1"/>
  <c r="D409" i="8"/>
  <c r="G409" i="8" s="1"/>
  <c r="C409" i="8"/>
  <c r="F409" i="8" s="1"/>
  <c r="C391" i="8"/>
  <c r="F391" i="8" s="1"/>
  <c r="D391" i="8"/>
  <c r="G391" i="8" s="1"/>
  <c r="E391" i="8"/>
  <c r="H391" i="8" s="1"/>
  <c r="D386" i="8"/>
  <c r="G386" i="8" s="1"/>
  <c r="C386" i="8"/>
  <c r="F386" i="8" s="1"/>
  <c r="E386" i="8"/>
  <c r="H386" i="8" s="1"/>
  <c r="E368" i="8"/>
  <c r="H368" i="8" s="1"/>
  <c r="C368" i="8"/>
  <c r="F368" i="8" s="1"/>
  <c r="D368" i="8"/>
  <c r="G368" i="8" s="1"/>
  <c r="C359" i="8"/>
  <c r="F359" i="8" s="1"/>
  <c r="D359" i="8"/>
  <c r="G359" i="8" s="1"/>
  <c r="E359" i="8"/>
  <c r="H359" i="8" s="1"/>
  <c r="D354" i="8"/>
  <c r="G354" i="8" s="1"/>
  <c r="C354" i="8"/>
  <c r="F354" i="8" s="1"/>
  <c r="E354" i="8"/>
  <c r="H354" i="8" s="1"/>
  <c r="C309" i="8"/>
  <c r="F309" i="8" s="1"/>
  <c r="D309" i="8"/>
  <c r="G309" i="8" s="1"/>
  <c r="E309" i="8"/>
  <c r="H309" i="8" s="1"/>
  <c r="E295" i="8"/>
  <c r="H295" i="8" s="1"/>
  <c r="D295" i="8"/>
  <c r="G295" i="8" s="1"/>
  <c r="C295" i="8"/>
  <c r="F295" i="8" s="1"/>
  <c r="D288" i="8"/>
  <c r="G288" i="8" s="1"/>
  <c r="C288" i="8"/>
  <c r="F288" i="8" s="1"/>
  <c r="E288" i="8"/>
  <c r="H288" i="8" s="1"/>
  <c r="E262" i="8"/>
  <c r="H262" i="8" s="1"/>
  <c r="C262" i="8"/>
  <c r="F262" i="8" s="1"/>
  <c r="D262" i="8"/>
  <c r="G262" i="8" s="1"/>
  <c r="C245" i="8"/>
  <c r="F245" i="8" s="1"/>
  <c r="D245" i="8"/>
  <c r="G245" i="8" s="1"/>
  <c r="E245" i="8"/>
  <c r="H245" i="8" s="1"/>
  <c r="D200" i="8"/>
  <c r="G200" i="8" s="1"/>
  <c r="E200" i="8"/>
  <c r="H200" i="8" s="1"/>
  <c r="C200" i="8"/>
  <c r="F200" i="8" s="1"/>
  <c r="D168" i="8"/>
  <c r="G168" i="8" s="1"/>
  <c r="E168" i="8"/>
  <c r="H168" i="8" s="1"/>
  <c r="C168" i="8"/>
  <c r="F168" i="8" s="1"/>
  <c r="D637" i="8"/>
  <c r="G637" i="8" s="1"/>
  <c r="D633" i="8"/>
  <c r="G633" i="8" s="1"/>
  <c r="D629" i="8"/>
  <c r="G629" i="8" s="1"/>
  <c r="D625" i="8"/>
  <c r="G625" i="8" s="1"/>
  <c r="D621" i="8"/>
  <c r="G621" i="8" s="1"/>
  <c r="E613" i="8"/>
  <c r="H613" i="8" s="1"/>
  <c r="D611" i="8"/>
  <c r="G611" i="8" s="1"/>
  <c r="E605" i="8"/>
  <c r="H605" i="8" s="1"/>
  <c r="D603" i="8"/>
  <c r="G603" i="8" s="1"/>
  <c r="E597" i="8"/>
  <c r="H597" i="8" s="1"/>
  <c r="D595" i="8"/>
  <c r="G595" i="8" s="1"/>
  <c r="E589" i="8"/>
  <c r="H589" i="8" s="1"/>
  <c r="I589" i="8" s="1"/>
  <c r="D587" i="8"/>
  <c r="G587" i="8" s="1"/>
  <c r="E581" i="8"/>
  <c r="H581" i="8" s="1"/>
  <c r="D579" i="8"/>
  <c r="G579" i="8" s="1"/>
  <c r="E573" i="8"/>
  <c r="H573" i="8" s="1"/>
  <c r="D571" i="8"/>
  <c r="G571" i="8" s="1"/>
  <c r="E565" i="8"/>
  <c r="H565" i="8" s="1"/>
  <c r="D563" i="8"/>
  <c r="G563" i="8" s="1"/>
  <c r="E557" i="8"/>
  <c r="H557" i="8" s="1"/>
  <c r="I557" i="8" s="1"/>
  <c r="D555" i="8"/>
  <c r="G555" i="8" s="1"/>
  <c r="I555" i="8" s="1"/>
  <c r="E549" i="8"/>
  <c r="H549" i="8" s="1"/>
  <c r="E541" i="8"/>
  <c r="H541" i="8" s="1"/>
  <c r="D539" i="8"/>
  <c r="G539" i="8" s="1"/>
  <c r="E533" i="8"/>
  <c r="H533" i="8" s="1"/>
  <c r="E525" i="8"/>
  <c r="H525" i="8" s="1"/>
  <c r="E517" i="8"/>
  <c r="H517" i="8" s="1"/>
  <c r="D515" i="8"/>
  <c r="G515" i="8" s="1"/>
  <c r="D501" i="8"/>
  <c r="G501" i="8" s="1"/>
  <c r="C501" i="8"/>
  <c r="F501" i="8" s="1"/>
  <c r="D485" i="8"/>
  <c r="G485" i="8" s="1"/>
  <c r="C485" i="8"/>
  <c r="F485" i="8" s="1"/>
  <c r="D469" i="8"/>
  <c r="G469" i="8" s="1"/>
  <c r="C469" i="8"/>
  <c r="F469" i="8" s="1"/>
  <c r="D453" i="8"/>
  <c r="G453" i="8" s="1"/>
  <c r="C453" i="8"/>
  <c r="F453" i="8" s="1"/>
  <c r="D437" i="8"/>
  <c r="G437" i="8" s="1"/>
  <c r="C437" i="8"/>
  <c r="F437" i="8" s="1"/>
  <c r="D421" i="8"/>
  <c r="G421" i="8" s="1"/>
  <c r="C421" i="8"/>
  <c r="F421" i="8" s="1"/>
  <c r="D405" i="8"/>
  <c r="G405" i="8" s="1"/>
  <c r="C405" i="8"/>
  <c r="F405" i="8" s="1"/>
  <c r="D394" i="8"/>
  <c r="G394" i="8" s="1"/>
  <c r="C394" i="8"/>
  <c r="F394" i="8" s="1"/>
  <c r="E394" i="8"/>
  <c r="H394" i="8" s="1"/>
  <c r="E376" i="8"/>
  <c r="H376" i="8" s="1"/>
  <c r="C376" i="8"/>
  <c r="F376" i="8" s="1"/>
  <c r="D376" i="8"/>
  <c r="G376" i="8" s="1"/>
  <c r="C367" i="8"/>
  <c r="F367" i="8" s="1"/>
  <c r="D367" i="8"/>
  <c r="G367" i="8" s="1"/>
  <c r="E367" i="8"/>
  <c r="H367" i="8" s="1"/>
  <c r="D362" i="8"/>
  <c r="G362" i="8" s="1"/>
  <c r="C362" i="8"/>
  <c r="F362" i="8" s="1"/>
  <c r="E362" i="8"/>
  <c r="H362" i="8" s="1"/>
  <c r="E344" i="8"/>
  <c r="H344" i="8" s="1"/>
  <c r="C344" i="8"/>
  <c r="F344" i="8" s="1"/>
  <c r="D344" i="8"/>
  <c r="G344" i="8" s="1"/>
  <c r="C337" i="8"/>
  <c r="F337" i="8" s="1"/>
  <c r="D337" i="8"/>
  <c r="G337" i="8" s="1"/>
  <c r="E337" i="8"/>
  <c r="H337" i="8" s="1"/>
  <c r="C329" i="8"/>
  <c r="F329" i="8" s="1"/>
  <c r="D329" i="8"/>
  <c r="G329" i="8" s="1"/>
  <c r="E329" i="8"/>
  <c r="H329" i="8" s="1"/>
  <c r="C301" i="8"/>
  <c r="F301" i="8" s="1"/>
  <c r="D301" i="8"/>
  <c r="G301" i="8" s="1"/>
  <c r="E301" i="8"/>
  <c r="H301" i="8" s="1"/>
  <c r="C261" i="8"/>
  <c r="F261" i="8" s="1"/>
  <c r="D261" i="8"/>
  <c r="G261" i="8" s="1"/>
  <c r="E261" i="8"/>
  <c r="H261" i="8" s="1"/>
  <c r="D241" i="8"/>
  <c r="G241" i="8" s="1"/>
  <c r="E241" i="8"/>
  <c r="H241" i="8" s="1"/>
  <c r="C241" i="8"/>
  <c r="F241" i="8" s="1"/>
  <c r="D225" i="8"/>
  <c r="G225" i="8" s="1"/>
  <c r="E225" i="8"/>
  <c r="H225" i="8" s="1"/>
  <c r="C225" i="8"/>
  <c r="F225" i="8" s="1"/>
  <c r="C341" i="8"/>
  <c r="F341" i="8" s="1"/>
  <c r="D341" i="8"/>
  <c r="G341" i="8" s="1"/>
  <c r="E341" i="8"/>
  <c r="H341" i="8" s="1"/>
  <c r="D336" i="8"/>
  <c r="G336" i="8" s="1"/>
  <c r="C336" i="8"/>
  <c r="F336" i="8" s="1"/>
  <c r="E335" i="8"/>
  <c r="H335" i="8" s="1"/>
  <c r="D335" i="8"/>
  <c r="G335" i="8" s="1"/>
  <c r="C333" i="8"/>
  <c r="F333" i="8" s="1"/>
  <c r="D333" i="8"/>
  <c r="G333" i="8" s="1"/>
  <c r="E333" i="8"/>
  <c r="H333" i="8" s="1"/>
  <c r="D328" i="8"/>
  <c r="G328" i="8" s="1"/>
  <c r="C328" i="8"/>
  <c r="F328" i="8" s="1"/>
  <c r="E327" i="8"/>
  <c r="H327" i="8" s="1"/>
  <c r="D327" i="8"/>
  <c r="G327" i="8" s="1"/>
  <c r="C325" i="8"/>
  <c r="F325" i="8" s="1"/>
  <c r="D325" i="8"/>
  <c r="G325" i="8" s="1"/>
  <c r="E325" i="8"/>
  <c r="H325" i="8" s="1"/>
  <c r="C317" i="8"/>
  <c r="F317" i="8" s="1"/>
  <c r="D317" i="8"/>
  <c r="G317" i="8" s="1"/>
  <c r="E317" i="8"/>
  <c r="H317" i="8" s="1"/>
  <c r="E303" i="8"/>
  <c r="H303" i="8" s="1"/>
  <c r="D303" i="8"/>
  <c r="G303" i="8" s="1"/>
  <c r="E302" i="8"/>
  <c r="H302" i="8" s="1"/>
  <c r="C302" i="8"/>
  <c r="F302" i="8" s="1"/>
  <c r="D302" i="8"/>
  <c r="G302" i="8" s="1"/>
  <c r="D296" i="8"/>
  <c r="G296" i="8" s="1"/>
  <c r="C296" i="8"/>
  <c r="F296" i="8" s="1"/>
  <c r="E296" i="8"/>
  <c r="H296" i="8" s="1"/>
  <c r="C285" i="8"/>
  <c r="F285" i="8" s="1"/>
  <c r="D285" i="8"/>
  <c r="G285" i="8" s="1"/>
  <c r="E285" i="8"/>
  <c r="H285" i="8" s="1"/>
  <c r="E271" i="8"/>
  <c r="H271" i="8" s="1"/>
  <c r="D271" i="8"/>
  <c r="G271" i="8" s="1"/>
  <c r="E270" i="8"/>
  <c r="H270" i="8" s="1"/>
  <c r="C270" i="8"/>
  <c r="F270" i="8" s="1"/>
  <c r="D270" i="8"/>
  <c r="G270" i="8" s="1"/>
  <c r="D264" i="8"/>
  <c r="G264" i="8" s="1"/>
  <c r="C264" i="8"/>
  <c r="F264" i="8" s="1"/>
  <c r="E264" i="8"/>
  <c r="H264" i="8" s="1"/>
  <c r="C253" i="8"/>
  <c r="F253" i="8" s="1"/>
  <c r="D253" i="8"/>
  <c r="G253" i="8" s="1"/>
  <c r="E253" i="8"/>
  <c r="H253" i="8" s="1"/>
  <c r="C242" i="8"/>
  <c r="F242" i="8" s="1"/>
  <c r="D242" i="8"/>
  <c r="G242" i="8" s="1"/>
  <c r="E242" i="8"/>
  <c r="H242" i="8" s="1"/>
  <c r="D237" i="8"/>
  <c r="G237" i="8" s="1"/>
  <c r="E237" i="8"/>
  <c r="H237" i="8" s="1"/>
  <c r="C237" i="8"/>
  <c r="F237" i="8" s="1"/>
  <c r="C234" i="8"/>
  <c r="F234" i="8" s="1"/>
  <c r="D234" i="8"/>
  <c r="G234" i="8" s="1"/>
  <c r="E234" i="8"/>
  <c r="H234" i="8" s="1"/>
  <c r="D229" i="8"/>
  <c r="G229" i="8" s="1"/>
  <c r="E229" i="8"/>
  <c r="H229" i="8" s="1"/>
  <c r="C229" i="8"/>
  <c r="F229" i="8" s="1"/>
  <c r="C226" i="8"/>
  <c r="F226" i="8" s="1"/>
  <c r="D226" i="8"/>
  <c r="G226" i="8" s="1"/>
  <c r="E226" i="8"/>
  <c r="H226" i="8" s="1"/>
  <c r="D221" i="8"/>
  <c r="G221" i="8" s="1"/>
  <c r="E221" i="8"/>
  <c r="H221" i="8" s="1"/>
  <c r="C221" i="8"/>
  <c r="F221" i="8" s="1"/>
  <c r="C218" i="8"/>
  <c r="F218" i="8" s="1"/>
  <c r="D218" i="8"/>
  <c r="G218" i="8" s="1"/>
  <c r="E218" i="8"/>
  <c r="H218" i="8" s="1"/>
  <c r="D213" i="8"/>
  <c r="G213" i="8" s="1"/>
  <c r="E213" i="8"/>
  <c r="H213" i="8" s="1"/>
  <c r="C213" i="8"/>
  <c r="F213" i="8" s="1"/>
  <c r="C210" i="8"/>
  <c r="F210" i="8" s="1"/>
  <c r="D210" i="8"/>
  <c r="G210" i="8" s="1"/>
  <c r="E210" i="8"/>
  <c r="H210" i="8" s="1"/>
  <c r="E167" i="8"/>
  <c r="H167" i="8" s="1"/>
  <c r="C167" i="8"/>
  <c r="F167" i="8" s="1"/>
  <c r="D167" i="8"/>
  <c r="G167" i="8" s="1"/>
  <c r="C165" i="8"/>
  <c r="F165" i="8" s="1"/>
  <c r="E165" i="8"/>
  <c r="H165" i="8" s="1"/>
  <c r="C157" i="8"/>
  <c r="F157" i="8" s="1"/>
  <c r="E157" i="8"/>
  <c r="H157" i="8" s="1"/>
  <c r="D157" i="8"/>
  <c r="G157" i="8" s="1"/>
  <c r="C387" i="8"/>
  <c r="F387" i="8" s="1"/>
  <c r="D387" i="8"/>
  <c r="G387" i="8" s="1"/>
  <c r="C379" i="8"/>
  <c r="F379" i="8" s="1"/>
  <c r="D379" i="8"/>
  <c r="G379" i="8" s="1"/>
  <c r="C371" i="8"/>
  <c r="F371" i="8" s="1"/>
  <c r="D371" i="8"/>
  <c r="G371" i="8" s="1"/>
  <c r="C363" i="8"/>
  <c r="F363" i="8" s="1"/>
  <c r="D363" i="8"/>
  <c r="G363" i="8" s="1"/>
  <c r="C355" i="8"/>
  <c r="F355" i="8" s="1"/>
  <c r="D355" i="8"/>
  <c r="G355" i="8" s="1"/>
  <c r="C347" i="8"/>
  <c r="F347" i="8" s="1"/>
  <c r="D347" i="8"/>
  <c r="G347" i="8" s="1"/>
  <c r="E334" i="8"/>
  <c r="H334" i="8" s="1"/>
  <c r="C334" i="8"/>
  <c r="F334" i="8" s="1"/>
  <c r="E326" i="8"/>
  <c r="H326" i="8" s="1"/>
  <c r="C326" i="8"/>
  <c r="F326" i="8" s="1"/>
  <c r="E311" i="8"/>
  <c r="H311" i="8" s="1"/>
  <c r="D311" i="8"/>
  <c r="G311" i="8" s="1"/>
  <c r="E310" i="8"/>
  <c r="H310" i="8" s="1"/>
  <c r="C310" i="8"/>
  <c r="F310" i="8" s="1"/>
  <c r="D310" i="8"/>
  <c r="G310" i="8" s="1"/>
  <c r="D304" i="8"/>
  <c r="G304" i="8" s="1"/>
  <c r="C304" i="8"/>
  <c r="F304" i="8" s="1"/>
  <c r="E304" i="8"/>
  <c r="H304" i="8" s="1"/>
  <c r="E279" i="8"/>
  <c r="H279" i="8" s="1"/>
  <c r="D279" i="8"/>
  <c r="G279" i="8" s="1"/>
  <c r="E278" i="8"/>
  <c r="H278" i="8" s="1"/>
  <c r="C278" i="8"/>
  <c r="F278" i="8" s="1"/>
  <c r="D278" i="8"/>
  <c r="G278" i="8" s="1"/>
  <c r="I276" i="8"/>
  <c r="D272" i="8"/>
  <c r="G272" i="8" s="1"/>
  <c r="C272" i="8"/>
  <c r="F272" i="8" s="1"/>
  <c r="E272" i="8"/>
  <c r="H272" i="8" s="1"/>
  <c r="E247" i="8"/>
  <c r="H247" i="8" s="1"/>
  <c r="D247" i="8"/>
  <c r="G247" i="8" s="1"/>
  <c r="E246" i="8"/>
  <c r="H246" i="8" s="1"/>
  <c r="C246" i="8"/>
  <c r="F246" i="8" s="1"/>
  <c r="D246" i="8"/>
  <c r="G246" i="8" s="1"/>
  <c r="E195" i="8"/>
  <c r="H195" i="8" s="1"/>
  <c r="C195" i="8"/>
  <c r="F195" i="8" s="1"/>
  <c r="D195" i="8"/>
  <c r="G195" i="8" s="1"/>
  <c r="D184" i="8"/>
  <c r="G184" i="8" s="1"/>
  <c r="E184" i="8"/>
  <c r="H184" i="8" s="1"/>
  <c r="C154" i="8"/>
  <c r="F154" i="8" s="1"/>
  <c r="E154" i="8"/>
  <c r="H154" i="8" s="1"/>
  <c r="D154" i="8"/>
  <c r="G154" i="8" s="1"/>
  <c r="D393" i="8"/>
  <c r="G393" i="8" s="1"/>
  <c r="I393" i="8" s="1"/>
  <c r="D385" i="8"/>
  <c r="G385" i="8" s="1"/>
  <c r="D377" i="8"/>
  <c r="G377" i="8" s="1"/>
  <c r="I377" i="8" s="1"/>
  <c r="D369" i="8"/>
  <c r="G369" i="8" s="1"/>
  <c r="I369" i="8" s="1"/>
  <c r="I365" i="8"/>
  <c r="D361" i="8"/>
  <c r="G361" i="8" s="1"/>
  <c r="D353" i="8"/>
  <c r="G353" i="8" s="1"/>
  <c r="D345" i="8"/>
  <c r="G345" i="8" s="1"/>
  <c r="D338" i="8"/>
  <c r="G338" i="8" s="1"/>
  <c r="D330" i="8"/>
  <c r="G330" i="8" s="1"/>
  <c r="E319" i="8"/>
  <c r="H319" i="8" s="1"/>
  <c r="D319" i="8"/>
  <c r="G319" i="8" s="1"/>
  <c r="E318" i="8"/>
  <c r="H318" i="8" s="1"/>
  <c r="C318" i="8"/>
  <c r="F318" i="8" s="1"/>
  <c r="D318" i="8"/>
  <c r="G318" i="8" s="1"/>
  <c r="D312" i="8"/>
  <c r="G312" i="8" s="1"/>
  <c r="C312" i="8"/>
  <c r="F312" i="8" s="1"/>
  <c r="E312" i="8"/>
  <c r="H312" i="8" s="1"/>
  <c r="E287" i="8"/>
  <c r="H287" i="8" s="1"/>
  <c r="D287" i="8"/>
  <c r="G287" i="8" s="1"/>
  <c r="E286" i="8"/>
  <c r="H286" i="8" s="1"/>
  <c r="C286" i="8"/>
  <c r="F286" i="8" s="1"/>
  <c r="D286" i="8"/>
  <c r="G286" i="8" s="1"/>
  <c r="D280" i="8"/>
  <c r="G280" i="8" s="1"/>
  <c r="C280" i="8"/>
  <c r="F280" i="8" s="1"/>
  <c r="E280" i="8"/>
  <c r="H280" i="8" s="1"/>
  <c r="E255" i="8"/>
  <c r="H255" i="8" s="1"/>
  <c r="D255" i="8"/>
  <c r="G255" i="8" s="1"/>
  <c r="E254" i="8"/>
  <c r="H254" i="8" s="1"/>
  <c r="C254" i="8"/>
  <c r="F254" i="8" s="1"/>
  <c r="D254" i="8"/>
  <c r="G254" i="8" s="1"/>
  <c r="D248" i="8"/>
  <c r="G248" i="8" s="1"/>
  <c r="C248" i="8"/>
  <c r="F248" i="8" s="1"/>
  <c r="E248" i="8"/>
  <c r="H248" i="8" s="1"/>
  <c r="E244" i="8"/>
  <c r="H244" i="8" s="1"/>
  <c r="C244" i="8"/>
  <c r="F244" i="8" s="1"/>
  <c r="C239" i="8"/>
  <c r="F239" i="8" s="1"/>
  <c r="E239" i="8"/>
  <c r="H239" i="8" s="1"/>
  <c r="D239" i="8"/>
  <c r="G239" i="8" s="1"/>
  <c r="C231" i="8"/>
  <c r="F231" i="8" s="1"/>
  <c r="E231" i="8"/>
  <c r="H231" i="8" s="1"/>
  <c r="D231" i="8"/>
  <c r="G231" i="8" s="1"/>
  <c r="C223" i="8"/>
  <c r="F223" i="8" s="1"/>
  <c r="E223" i="8"/>
  <c r="H223" i="8" s="1"/>
  <c r="D223" i="8"/>
  <c r="G223" i="8" s="1"/>
  <c r="C215" i="8"/>
  <c r="F215" i="8" s="1"/>
  <c r="E215" i="8"/>
  <c r="H215" i="8" s="1"/>
  <c r="D215" i="8"/>
  <c r="G215" i="8" s="1"/>
  <c r="D208" i="8"/>
  <c r="G208" i="8" s="1"/>
  <c r="E208" i="8"/>
  <c r="H208" i="8" s="1"/>
  <c r="C208" i="8"/>
  <c r="F208" i="8" s="1"/>
  <c r="C198" i="8"/>
  <c r="F198" i="8" s="1"/>
  <c r="D198" i="8"/>
  <c r="G198" i="8" s="1"/>
  <c r="D192" i="8"/>
  <c r="G192" i="8" s="1"/>
  <c r="E192" i="8"/>
  <c r="H192" i="8" s="1"/>
  <c r="C192" i="8"/>
  <c r="F192" i="8" s="1"/>
  <c r="D156" i="8"/>
  <c r="G156" i="8" s="1"/>
  <c r="E156" i="8"/>
  <c r="H156" i="8" s="1"/>
  <c r="C156" i="8"/>
  <c r="F156" i="8" s="1"/>
  <c r="C321" i="8"/>
  <c r="F321" i="8" s="1"/>
  <c r="D321" i="8"/>
  <c r="G321" i="8" s="1"/>
  <c r="C313" i="8"/>
  <c r="F313" i="8" s="1"/>
  <c r="D313" i="8"/>
  <c r="G313" i="8" s="1"/>
  <c r="C305" i="8"/>
  <c r="F305" i="8" s="1"/>
  <c r="D305" i="8"/>
  <c r="G305" i="8" s="1"/>
  <c r="C297" i="8"/>
  <c r="F297" i="8" s="1"/>
  <c r="D297" i="8"/>
  <c r="G297" i="8" s="1"/>
  <c r="C289" i="8"/>
  <c r="F289" i="8" s="1"/>
  <c r="D289" i="8"/>
  <c r="G289" i="8" s="1"/>
  <c r="C281" i="8"/>
  <c r="F281" i="8" s="1"/>
  <c r="D281" i="8"/>
  <c r="G281" i="8" s="1"/>
  <c r="C273" i="8"/>
  <c r="F273" i="8" s="1"/>
  <c r="D273" i="8"/>
  <c r="G273" i="8" s="1"/>
  <c r="C265" i="8"/>
  <c r="F265" i="8" s="1"/>
  <c r="D265" i="8"/>
  <c r="G265" i="8" s="1"/>
  <c r="C257" i="8"/>
  <c r="F257" i="8" s="1"/>
  <c r="D257" i="8"/>
  <c r="G257" i="8" s="1"/>
  <c r="C249" i="8"/>
  <c r="F249" i="8" s="1"/>
  <c r="D249" i="8"/>
  <c r="G249" i="8" s="1"/>
  <c r="E236" i="8"/>
  <c r="H236" i="8" s="1"/>
  <c r="C236" i="8"/>
  <c r="F236" i="8" s="1"/>
  <c r="E228" i="8"/>
  <c r="H228" i="8" s="1"/>
  <c r="C228" i="8"/>
  <c r="F228" i="8" s="1"/>
  <c r="E220" i="8"/>
  <c r="H220" i="8" s="1"/>
  <c r="C220" i="8"/>
  <c r="F220" i="8" s="1"/>
  <c r="E212" i="8"/>
  <c r="H212" i="8" s="1"/>
  <c r="C212" i="8"/>
  <c r="F212" i="8" s="1"/>
  <c r="E199" i="8"/>
  <c r="H199" i="8" s="1"/>
  <c r="C199" i="8"/>
  <c r="F199" i="8" s="1"/>
  <c r="D199" i="8"/>
  <c r="G199" i="8" s="1"/>
  <c r="D188" i="8"/>
  <c r="G188" i="8" s="1"/>
  <c r="E188" i="8"/>
  <c r="H188" i="8" s="1"/>
  <c r="C186" i="8"/>
  <c r="F186" i="8" s="1"/>
  <c r="E186" i="8"/>
  <c r="H186" i="8" s="1"/>
  <c r="D180" i="8"/>
  <c r="G180" i="8" s="1"/>
  <c r="E180" i="8"/>
  <c r="H180" i="8" s="1"/>
  <c r="C180" i="8"/>
  <c r="F180" i="8" s="1"/>
  <c r="D176" i="8"/>
  <c r="G176" i="8" s="1"/>
  <c r="E176" i="8"/>
  <c r="H176" i="8" s="1"/>
  <c r="D160" i="8"/>
  <c r="G160" i="8" s="1"/>
  <c r="E160" i="8"/>
  <c r="H160" i="8" s="1"/>
  <c r="C160" i="8"/>
  <c r="F160" i="8" s="1"/>
  <c r="E207" i="8"/>
  <c r="H207" i="8" s="1"/>
  <c r="C207" i="8"/>
  <c r="F207" i="8" s="1"/>
  <c r="C197" i="8"/>
  <c r="F197" i="8" s="1"/>
  <c r="E197" i="8"/>
  <c r="H197" i="8" s="1"/>
  <c r="C189" i="8"/>
  <c r="F189" i="8" s="1"/>
  <c r="E189" i="8"/>
  <c r="H189" i="8" s="1"/>
  <c r="D189" i="8"/>
  <c r="G189" i="8" s="1"/>
  <c r="E187" i="8"/>
  <c r="H187" i="8" s="1"/>
  <c r="C187" i="8"/>
  <c r="F187" i="8" s="1"/>
  <c r="D187" i="8"/>
  <c r="G187" i="8" s="1"/>
  <c r="C178" i="8"/>
  <c r="F178" i="8" s="1"/>
  <c r="D178" i="8"/>
  <c r="G178" i="8" s="1"/>
  <c r="E178" i="8"/>
  <c r="H178" i="8" s="1"/>
  <c r="C166" i="8"/>
  <c r="F166" i="8" s="1"/>
  <c r="D166" i="8"/>
  <c r="G166" i="8" s="1"/>
  <c r="E163" i="8"/>
  <c r="H163" i="8" s="1"/>
  <c r="C163" i="8"/>
  <c r="F163" i="8" s="1"/>
  <c r="D163" i="8"/>
  <c r="G163" i="8" s="1"/>
  <c r="C158" i="8"/>
  <c r="F158" i="8" s="1"/>
  <c r="D158" i="8"/>
  <c r="G158" i="8" s="1"/>
  <c r="E158" i="8"/>
  <c r="H158" i="8" s="1"/>
  <c r="D152" i="8"/>
  <c r="G152" i="8" s="1"/>
  <c r="E152" i="8"/>
  <c r="H152" i="8" s="1"/>
  <c r="D243" i="8"/>
  <c r="G243" i="8" s="1"/>
  <c r="D235" i="8"/>
  <c r="G235" i="8" s="1"/>
  <c r="D227" i="8"/>
  <c r="G227" i="8" s="1"/>
  <c r="D219" i="8"/>
  <c r="G219" i="8" s="1"/>
  <c r="I219" i="8" s="1"/>
  <c r="D211" i="8"/>
  <c r="G211" i="8" s="1"/>
  <c r="I211" i="8" s="1"/>
  <c r="C206" i="8"/>
  <c r="F206" i="8" s="1"/>
  <c r="D206" i="8"/>
  <c r="G206" i="8" s="1"/>
  <c r="C205" i="8"/>
  <c r="F205" i="8" s="1"/>
  <c r="E205" i="8"/>
  <c r="H205" i="8" s="1"/>
  <c r="E203" i="8"/>
  <c r="H203" i="8" s="1"/>
  <c r="C203" i="8"/>
  <c r="F203" i="8" s="1"/>
  <c r="D203" i="8"/>
  <c r="G203" i="8" s="1"/>
  <c r="D202" i="8"/>
  <c r="G202" i="8" s="1"/>
  <c r="D196" i="8"/>
  <c r="G196" i="8" s="1"/>
  <c r="E196" i="8"/>
  <c r="H196" i="8" s="1"/>
  <c r="E183" i="8"/>
  <c r="H183" i="8" s="1"/>
  <c r="C183" i="8"/>
  <c r="F183" i="8" s="1"/>
  <c r="C174" i="8"/>
  <c r="F174" i="8" s="1"/>
  <c r="D174" i="8"/>
  <c r="G174" i="8" s="1"/>
  <c r="C173" i="8"/>
  <c r="F173" i="8" s="1"/>
  <c r="E173" i="8"/>
  <c r="H173" i="8" s="1"/>
  <c r="E171" i="8"/>
  <c r="H171" i="8" s="1"/>
  <c r="C171" i="8"/>
  <c r="F171" i="8" s="1"/>
  <c r="D171" i="8"/>
  <c r="G171" i="8" s="1"/>
  <c r="D170" i="8"/>
  <c r="G170" i="8" s="1"/>
  <c r="I170" i="8" s="1"/>
  <c r="D164" i="8"/>
  <c r="G164" i="8" s="1"/>
  <c r="E164" i="8"/>
  <c r="H164" i="8" s="1"/>
  <c r="E240" i="8"/>
  <c r="H240" i="8" s="1"/>
  <c r="C240" i="8"/>
  <c r="F240" i="8" s="1"/>
  <c r="E232" i="8"/>
  <c r="H232" i="8" s="1"/>
  <c r="C232" i="8"/>
  <c r="F232" i="8" s="1"/>
  <c r="E224" i="8"/>
  <c r="H224" i="8" s="1"/>
  <c r="C224" i="8"/>
  <c r="F224" i="8" s="1"/>
  <c r="E216" i="8"/>
  <c r="H216" i="8" s="1"/>
  <c r="C216" i="8"/>
  <c r="F216" i="8" s="1"/>
  <c r="D204" i="8"/>
  <c r="G204" i="8" s="1"/>
  <c r="E204" i="8"/>
  <c r="H204" i="8" s="1"/>
  <c r="E191" i="8"/>
  <c r="H191" i="8" s="1"/>
  <c r="C191" i="8"/>
  <c r="F191" i="8" s="1"/>
  <c r="C182" i="8"/>
  <c r="F182" i="8" s="1"/>
  <c r="D182" i="8"/>
  <c r="G182" i="8" s="1"/>
  <c r="C181" i="8"/>
  <c r="F181" i="8" s="1"/>
  <c r="E181" i="8"/>
  <c r="H181" i="8" s="1"/>
  <c r="E179" i="8"/>
  <c r="H179" i="8" s="1"/>
  <c r="C179" i="8"/>
  <c r="F179" i="8" s="1"/>
  <c r="D179" i="8"/>
  <c r="G179" i="8" s="1"/>
  <c r="D172" i="8"/>
  <c r="G172" i="8" s="1"/>
  <c r="E172" i="8"/>
  <c r="H172" i="8" s="1"/>
  <c r="E159" i="8"/>
  <c r="H159" i="8" s="1"/>
  <c r="C159" i="8"/>
  <c r="F159" i="8" s="1"/>
  <c r="B7" i="1"/>
  <c r="D7" i="15" s="1"/>
  <c r="B3" i="1"/>
  <c r="D3" i="15" s="1"/>
  <c r="B160" i="1"/>
  <c r="D160" i="15" s="1"/>
  <c r="B156" i="1"/>
  <c r="D156" i="15" s="1"/>
  <c r="B152" i="1"/>
  <c r="D152" i="15" s="1"/>
  <c r="B148" i="1"/>
  <c r="D148" i="15" s="1"/>
  <c r="B144" i="1"/>
  <c r="D144" i="15" s="1"/>
  <c r="B140" i="1"/>
  <c r="D140" i="15" s="1"/>
  <c r="B136" i="1"/>
  <c r="D136" i="15" s="1"/>
  <c r="B132" i="1"/>
  <c r="D132" i="15" s="1"/>
  <c r="B128" i="1"/>
  <c r="D128" i="15" s="1"/>
  <c r="B124" i="1"/>
  <c r="D124" i="15" s="1"/>
  <c r="B120" i="1"/>
  <c r="D120" i="15" s="1"/>
  <c r="B116" i="1"/>
  <c r="D116" i="15" s="1"/>
  <c r="B112" i="1"/>
  <c r="D112" i="15" s="1"/>
  <c r="B108" i="1"/>
  <c r="D108" i="15" s="1"/>
  <c r="B104" i="1"/>
  <c r="D104" i="15" s="1"/>
  <c r="B100" i="1"/>
  <c r="D100" i="15" s="1"/>
  <c r="B96" i="1"/>
  <c r="D96" i="15" s="1"/>
  <c r="B92" i="1"/>
  <c r="D92" i="15" s="1"/>
  <c r="B88" i="1"/>
  <c r="D88" i="15" s="1"/>
  <c r="B84" i="1"/>
  <c r="D84" i="15" s="1"/>
  <c r="B80" i="1"/>
  <c r="D80" i="15" s="1"/>
  <c r="B76" i="1"/>
  <c r="D76" i="15" s="1"/>
  <c r="B72" i="1"/>
  <c r="D72" i="15" s="1"/>
  <c r="B68" i="1"/>
  <c r="D68" i="15" s="1"/>
  <c r="B64" i="1"/>
  <c r="D64" i="15" s="1"/>
  <c r="B56" i="1"/>
  <c r="D56" i="15" s="1"/>
  <c r="B52" i="1"/>
  <c r="D52" i="15" s="1"/>
  <c r="B48" i="1"/>
  <c r="D48" i="15" s="1"/>
  <c r="B44" i="1"/>
  <c r="D44" i="15" s="1"/>
  <c r="B40" i="1"/>
  <c r="D40" i="15" s="1"/>
  <c r="B36" i="1"/>
  <c r="D36" i="15" s="1"/>
  <c r="B32" i="1"/>
  <c r="D32" i="15" s="1"/>
  <c r="B28" i="1"/>
  <c r="D28" i="15" s="1"/>
  <c r="B24" i="1"/>
  <c r="D24" i="15" s="1"/>
  <c r="B20" i="1"/>
  <c r="D20" i="15" s="1"/>
  <c r="B16" i="1"/>
  <c r="D16" i="15" s="1"/>
  <c r="B12" i="1"/>
  <c r="D12" i="15" s="1"/>
  <c r="B11" i="1"/>
  <c r="D11" i="15" s="1"/>
  <c r="AB981" i="10"/>
  <c r="AB967" i="10"/>
  <c r="AB938" i="10"/>
  <c r="AB920" i="10"/>
  <c r="AB893" i="10"/>
  <c r="AB866" i="10"/>
  <c r="AB848" i="10"/>
  <c r="AB816" i="10"/>
  <c r="AB773" i="10"/>
  <c r="AB739" i="10"/>
  <c r="AB675" i="10"/>
  <c r="AB611" i="10"/>
  <c r="AB546" i="10"/>
  <c r="AB428" i="10"/>
  <c r="AB235" i="10"/>
  <c r="AB104" i="10"/>
  <c r="AB987" i="10"/>
  <c r="AB965" i="10"/>
  <c r="AB944" i="10"/>
  <c r="AB919" i="10"/>
  <c r="AB901" i="10"/>
  <c r="AB883" i="10"/>
  <c r="AB856" i="10"/>
  <c r="AB825" i="10"/>
  <c r="AB793" i="10"/>
  <c r="AB761" i="10"/>
  <c r="AB721" i="10"/>
  <c r="AB674" i="10"/>
  <c r="AB609" i="10"/>
  <c r="AB545" i="10"/>
  <c r="AB523" i="10"/>
  <c r="AB361" i="10"/>
  <c r="AB164" i="10"/>
  <c r="AB993" i="10"/>
  <c r="AB986" i="10"/>
  <c r="AB979" i="10"/>
  <c r="AB971" i="10"/>
  <c r="AB964" i="10"/>
  <c r="AB957" i="10"/>
  <c r="AB950" i="10"/>
  <c r="AB943" i="10"/>
  <c r="AB935" i="10"/>
  <c r="AB926" i="10"/>
  <c r="AB917" i="10"/>
  <c r="AB908" i="10"/>
  <c r="AB899" i="10"/>
  <c r="AB890" i="10"/>
  <c r="AB881" i="10"/>
  <c r="AB872" i="10"/>
  <c r="AB863" i="10"/>
  <c r="AB854" i="10"/>
  <c r="AB845" i="10"/>
  <c r="AB834" i="10"/>
  <c r="AB823" i="10"/>
  <c r="AB812" i="10"/>
  <c r="AB801" i="10"/>
  <c r="AB791" i="10"/>
  <c r="AB780" i="10"/>
  <c r="AB769" i="10"/>
  <c r="AB758" i="10"/>
  <c r="AB747" i="10"/>
  <c r="AB733" i="10"/>
  <c r="AB719" i="10"/>
  <c r="AB704" i="10"/>
  <c r="AB690" i="10"/>
  <c r="AB668" i="10"/>
  <c r="AB647" i="10"/>
  <c r="AB625" i="10"/>
  <c r="AB603" i="10"/>
  <c r="AB582" i="10"/>
  <c r="AB560" i="10"/>
  <c r="AB539" i="10"/>
  <c r="AB517" i="10"/>
  <c r="AB470" i="10"/>
  <c r="AB409" i="10"/>
  <c r="AB343" i="10"/>
  <c r="AB278" i="10"/>
  <c r="AB212" i="10"/>
  <c r="AB146" i="10"/>
  <c r="AB85" i="10"/>
  <c r="A1" i="10"/>
  <c r="AB8" i="10"/>
  <c r="AB14" i="10"/>
  <c r="AB20" i="10"/>
  <c r="AB27" i="10"/>
  <c r="AB33" i="10"/>
  <c r="AB39" i="10"/>
  <c r="AB45" i="10"/>
  <c r="AB51" i="10"/>
  <c r="AB57" i="10"/>
  <c r="AB63" i="10"/>
  <c r="AB69" i="10"/>
  <c r="AB75" i="10"/>
  <c r="AB81" i="10"/>
  <c r="AB87" i="10"/>
  <c r="AB93" i="10"/>
  <c r="AB99" i="10"/>
  <c r="AB105" i="10"/>
  <c r="AB111" i="10"/>
  <c r="AB117" i="10"/>
  <c r="AB123" i="10"/>
  <c r="AB129" i="10"/>
  <c r="AB135" i="10"/>
  <c r="AB141" i="10"/>
  <c r="AB147" i="10"/>
  <c r="AB153" i="10"/>
  <c r="AB159" i="10"/>
  <c r="AB165" i="10"/>
  <c r="AB171" i="10"/>
  <c r="AB177" i="10"/>
  <c r="AB183" i="10"/>
  <c r="AB189" i="10"/>
  <c r="AB195" i="10"/>
  <c r="AB201" i="10"/>
  <c r="AB207" i="10"/>
  <c r="AB213" i="10"/>
  <c r="AB219" i="10"/>
  <c r="AB225" i="10"/>
  <c r="AB231" i="10"/>
  <c r="AB237" i="10"/>
  <c r="AB243" i="10"/>
  <c r="AB249" i="10"/>
  <c r="AB255" i="10"/>
  <c r="AB261" i="10"/>
  <c r="AB267" i="10"/>
  <c r="AB273" i="10"/>
  <c r="AB279" i="10"/>
  <c r="AB285" i="10"/>
  <c r="AB291" i="10"/>
  <c r="AB297" i="10"/>
  <c r="AB303" i="10"/>
  <c r="AB309" i="10"/>
  <c r="AB315" i="10"/>
  <c r="AB321" i="10"/>
  <c r="AB327" i="10"/>
  <c r="AB333" i="10"/>
  <c r="AB339" i="10"/>
  <c r="AB345" i="10"/>
  <c r="AB351" i="10"/>
  <c r="AB357" i="10"/>
  <c r="AB363" i="10"/>
  <c r="AB369" i="10"/>
  <c r="AB375" i="10"/>
  <c r="AB381" i="10"/>
  <c r="AB387" i="10"/>
  <c r="AB393" i="10"/>
  <c r="AB399" i="10"/>
  <c r="AB405" i="10"/>
  <c r="AB411" i="10"/>
  <c r="AB417" i="10"/>
  <c r="AB423" i="10"/>
  <c r="AB429" i="10"/>
  <c r="AB435" i="10"/>
  <c r="AB441" i="10"/>
  <c r="AB447" i="10"/>
  <c r="AB453" i="10"/>
  <c r="AB459" i="10"/>
  <c r="AB465" i="10"/>
  <c r="AB471" i="10"/>
  <c r="AB477" i="10"/>
  <c r="AB483" i="10"/>
  <c r="AB489" i="10"/>
  <c r="AB495" i="10"/>
  <c r="AB501" i="10"/>
  <c r="AB507" i="10"/>
  <c r="AB513" i="10"/>
  <c r="AB3" i="10"/>
  <c r="AB9" i="10"/>
  <c r="AB15" i="10"/>
  <c r="AB21" i="10"/>
  <c r="AB28" i="10"/>
  <c r="AB34" i="10"/>
  <c r="AB40" i="10"/>
  <c r="AB46" i="10"/>
  <c r="AB52" i="10"/>
  <c r="AB58" i="10"/>
  <c r="AB64" i="10"/>
  <c r="AB70" i="10"/>
  <c r="AB76" i="10"/>
  <c r="AB82" i="10"/>
  <c r="AB88" i="10"/>
  <c r="AB94" i="10"/>
  <c r="AB100" i="10"/>
  <c r="AB106" i="10"/>
  <c r="AB112" i="10"/>
  <c r="AB118" i="10"/>
  <c r="AB124" i="10"/>
  <c r="AB130" i="10"/>
  <c r="AB136" i="10"/>
  <c r="AB142" i="10"/>
  <c r="AB148" i="10"/>
  <c r="AB154" i="10"/>
  <c r="AB160" i="10"/>
  <c r="AB166" i="10"/>
  <c r="AB172" i="10"/>
  <c r="AB178" i="10"/>
  <c r="AB184" i="10"/>
  <c r="AB190" i="10"/>
  <c r="AB196" i="10"/>
  <c r="AB202" i="10"/>
  <c r="AB208" i="10"/>
  <c r="AB214" i="10"/>
  <c r="AB220" i="10"/>
  <c r="AB226" i="10"/>
  <c r="AB232" i="10"/>
  <c r="AB238" i="10"/>
  <c r="AB244" i="10"/>
  <c r="AB250" i="10"/>
  <c r="AB256" i="10"/>
  <c r="AB262" i="10"/>
  <c r="AB268" i="10"/>
  <c r="AB274" i="10"/>
  <c r="AB280" i="10"/>
  <c r="AB286" i="10"/>
  <c r="AB292" i="10"/>
  <c r="AB298" i="10"/>
  <c r="AB304" i="10"/>
  <c r="AB310" i="10"/>
  <c r="AB316" i="10"/>
  <c r="AB322" i="10"/>
  <c r="AB328" i="10"/>
  <c r="AB334" i="10"/>
  <c r="AB340" i="10"/>
  <c r="AB346" i="10"/>
  <c r="AB352" i="10"/>
  <c r="AB358" i="10"/>
  <c r="AB364" i="10"/>
  <c r="AB370" i="10"/>
  <c r="AB376" i="10"/>
  <c r="AB382" i="10"/>
  <c r="AB388" i="10"/>
  <c r="AB394" i="10"/>
  <c r="AB400" i="10"/>
  <c r="AB406" i="10"/>
  <c r="AB412" i="10"/>
  <c r="AB418" i="10"/>
  <c r="AB424" i="10"/>
  <c r="AB430" i="10"/>
  <c r="AB436" i="10"/>
  <c r="AB442" i="10"/>
  <c r="AB448" i="10"/>
  <c r="AB454" i="10"/>
  <c r="AB460" i="10"/>
  <c r="AB466" i="10"/>
  <c r="AB472" i="10"/>
  <c r="AB478" i="10"/>
  <c r="AB484" i="10"/>
  <c r="AB490" i="10"/>
  <c r="AB496" i="10"/>
  <c r="AB502" i="10"/>
  <c r="AB4" i="10"/>
  <c r="AB10" i="10"/>
  <c r="AB16" i="10"/>
  <c r="AB22" i="10"/>
  <c r="AB29" i="10"/>
  <c r="AB35" i="10"/>
  <c r="AB41" i="10"/>
  <c r="AB47" i="10"/>
  <c r="AB53" i="10"/>
  <c r="AB59" i="10"/>
  <c r="AB65" i="10"/>
  <c r="AB71" i="10"/>
  <c r="AB77" i="10"/>
  <c r="AB83" i="10"/>
  <c r="AB89" i="10"/>
  <c r="AB95" i="10"/>
  <c r="AB101" i="10"/>
  <c r="AB107" i="10"/>
  <c r="AB113" i="10"/>
  <c r="AB119" i="10"/>
  <c r="AB125" i="10"/>
  <c r="AB131" i="10"/>
  <c r="AB137" i="10"/>
  <c r="AB143" i="10"/>
  <c r="AB149" i="10"/>
  <c r="AB155" i="10"/>
  <c r="AB161" i="10"/>
  <c r="AB167" i="10"/>
  <c r="AB173" i="10"/>
  <c r="AB179" i="10"/>
  <c r="AB185" i="10"/>
  <c r="AB191" i="10"/>
  <c r="AB197" i="10"/>
  <c r="AB203" i="10"/>
  <c r="AB209" i="10"/>
  <c r="AB215" i="10"/>
  <c r="AB221" i="10"/>
  <c r="AB227" i="10"/>
  <c r="AB233" i="10"/>
  <c r="AB239" i="10"/>
  <c r="AB245" i="10"/>
  <c r="AB251" i="10"/>
  <c r="AB257" i="10"/>
  <c r="AB263" i="10"/>
  <c r="AB269" i="10"/>
  <c r="AB275" i="10"/>
  <c r="AB281" i="10"/>
  <c r="AB287" i="10"/>
  <c r="AB293" i="10"/>
  <c r="AB299" i="10"/>
  <c r="AB305" i="10"/>
  <c r="AB311" i="10"/>
  <c r="AB317" i="10"/>
  <c r="AB323" i="10"/>
  <c r="AB329" i="10"/>
  <c r="AB335" i="10"/>
  <c r="AB341" i="10"/>
  <c r="AB347" i="10"/>
  <c r="AB353" i="10"/>
  <c r="AB359" i="10"/>
  <c r="AB365" i="10"/>
  <c r="AB371" i="10"/>
  <c r="AB377" i="10"/>
  <c r="AB383" i="10"/>
  <c r="AB389" i="10"/>
  <c r="AB395" i="10"/>
  <c r="AB401" i="10"/>
  <c r="AB407" i="10"/>
  <c r="AB413" i="10"/>
  <c r="AB419" i="10"/>
  <c r="AB425" i="10"/>
  <c r="AB431" i="10"/>
  <c r="AB437" i="10"/>
  <c r="AB443" i="10"/>
  <c r="AB449" i="10"/>
  <c r="AB455" i="10"/>
  <c r="AB461" i="10"/>
  <c r="AB467" i="10"/>
  <c r="AB473" i="10"/>
  <c r="AB479" i="10"/>
  <c r="AB485" i="10"/>
  <c r="AB491" i="10"/>
  <c r="AB497" i="10"/>
  <c r="AB503" i="10"/>
  <c r="AB5" i="10"/>
  <c r="AB11" i="10"/>
  <c r="AB17" i="10"/>
  <c r="AB23" i="10"/>
  <c r="AB30" i="10"/>
  <c r="AB36" i="10"/>
  <c r="AB42" i="10"/>
  <c r="AB48" i="10"/>
  <c r="AB54" i="10"/>
  <c r="AB60" i="10"/>
  <c r="AB66" i="10"/>
  <c r="AB72" i="10"/>
  <c r="AB78" i="10"/>
  <c r="AB84" i="10"/>
  <c r="AB90" i="10"/>
  <c r="AB96" i="10"/>
  <c r="AB102" i="10"/>
  <c r="AB108" i="10"/>
  <c r="AB114" i="10"/>
  <c r="AB120" i="10"/>
  <c r="AB126" i="10"/>
  <c r="AB132" i="10"/>
  <c r="AB138" i="10"/>
  <c r="AB144" i="10"/>
  <c r="AB150" i="10"/>
  <c r="AB156" i="10"/>
  <c r="AB162" i="10"/>
  <c r="AB168" i="10"/>
  <c r="AB174" i="10"/>
  <c r="AB180" i="10"/>
  <c r="AB186" i="10"/>
  <c r="AB192" i="10"/>
  <c r="AB198" i="10"/>
  <c r="AB204" i="10"/>
  <c r="AB210" i="10"/>
  <c r="AB216" i="10"/>
  <c r="AB222" i="10"/>
  <c r="AB228" i="10"/>
  <c r="AB234" i="10"/>
  <c r="AB240" i="10"/>
  <c r="AB246" i="10"/>
  <c r="AB252" i="10"/>
  <c r="AB258" i="10"/>
  <c r="AB264" i="10"/>
  <c r="AB270" i="10"/>
  <c r="AB276" i="10"/>
  <c r="AB282" i="10"/>
  <c r="AB288" i="10"/>
  <c r="AB294" i="10"/>
  <c r="AB300" i="10"/>
  <c r="AB306" i="10"/>
  <c r="AB312" i="10"/>
  <c r="AB318" i="10"/>
  <c r="AB324" i="10"/>
  <c r="AB330" i="10"/>
  <c r="AB336" i="10"/>
  <c r="AB342" i="10"/>
  <c r="AB348" i="10"/>
  <c r="AB354" i="10"/>
  <c r="AB360" i="10"/>
  <c r="AB366" i="10"/>
  <c r="AB372" i="10"/>
  <c r="AB378" i="10"/>
  <c r="AB384" i="10"/>
  <c r="AB390" i="10"/>
  <c r="AB396" i="10"/>
  <c r="AB402" i="10"/>
  <c r="AB408" i="10"/>
  <c r="AB414" i="10"/>
  <c r="AB420" i="10"/>
  <c r="AB426" i="10"/>
  <c r="AB432" i="10"/>
  <c r="AB438" i="10"/>
  <c r="AB444" i="10"/>
  <c r="AB450" i="10"/>
  <c r="AB456" i="10"/>
  <c r="AB462" i="10"/>
  <c r="AB468" i="10"/>
  <c r="AB474" i="10"/>
  <c r="AB480" i="10"/>
  <c r="AB486" i="10"/>
  <c r="AB492" i="10"/>
  <c r="AB498" i="10"/>
  <c r="AB24" i="10"/>
  <c r="AB6" i="10"/>
  <c r="AB25" i="10"/>
  <c r="AB43" i="10"/>
  <c r="AB61" i="10"/>
  <c r="AB79" i="10"/>
  <c r="AB97" i="10"/>
  <c r="AB115" i="10"/>
  <c r="AB133" i="10"/>
  <c r="AB151" i="10"/>
  <c r="AB169" i="10"/>
  <c r="AB187" i="10"/>
  <c r="AB205" i="10"/>
  <c r="AB223" i="10"/>
  <c r="AB241" i="10"/>
  <c r="AB259" i="10"/>
  <c r="AB277" i="10"/>
  <c r="AB295" i="10"/>
  <c r="AB313" i="10"/>
  <c r="AB331" i="10"/>
  <c r="AB349" i="10"/>
  <c r="AB367" i="10"/>
  <c r="AB385" i="10"/>
  <c r="AB403" i="10"/>
  <c r="AB421" i="10"/>
  <c r="AB439" i="10"/>
  <c r="AB457" i="10"/>
  <c r="AB475" i="10"/>
  <c r="AB493" i="10"/>
  <c r="AB506" i="10"/>
  <c r="AB514" i="10"/>
  <c r="AB520" i="10"/>
  <c r="AB526" i="10"/>
  <c r="AB532" i="10"/>
  <c r="AB538" i="10"/>
  <c r="AB544" i="10"/>
  <c r="AB550" i="10"/>
  <c r="AB556" i="10"/>
  <c r="AB562" i="10"/>
  <c r="AB568" i="10"/>
  <c r="AB574" i="10"/>
  <c r="AB580" i="10"/>
  <c r="AB586" i="10"/>
  <c r="AB592" i="10"/>
  <c r="AB598" i="10"/>
  <c r="AB604" i="10"/>
  <c r="AB610" i="10"/>
  <c r="AB616" i="10"/>
  <c r="AB622" i="10"/>
  <c r="AB628" i="10"/>
  <c r="AB634" i="10"/>
  <c r="AB640" i="10"/>
  <c r="AB646" i="10"/>
  <c r="AB652" i="10"/>
  <c r="AB658" i="10"/>
  <c r="AB664" i="10"/>
  <c r="AB670" i="10"/>
  <c r="AB676" i="10"/>
  <c r="AB682" i="10"/>
  <c r="AB688" i="10"/>
  <c r="AB694" i="10"/>
  <c r="AB700" i="10"/>
  <c r="AB706" i="10"/>
  <c r="AB712" i="10"/>
  <c r="AB718" i="10"/>
  <c r="AB724" i="10"/>
  <c r="AB730" i="10"/>
  <c r="AB736" i="10"/>
  <c r="AB742" i="10"/>
  <c r="AB748" i="10"/>
  <c r="AB754" i="10"/>
  <c r="AB760" i="10"/>
  <c r="AB766" i="10"/>
  <c r="AB772" i="10"/>
  <c r="AB778" i="10"/>
  <c r="AB784" i="10"/>
  <c r="AB790" i="10"/>
  <c r="AB796" i="10"/>
  <c r="AB802" i="10"/>
  <c r="AB808" i="10"/>
  <c r="AB814" i="10"/>
  <c r="AB820" i="10"/>
  <c r="AB826" i="10"/>
  <c r="AB832" i="10"/>
  <c r="AB838" i="10"/>
  <c r="AB844" i="10"/>
  <c r="AB19" i="10"/>
  <c r="AB44" i="10"/>
  <c r="AB67" i="10"/>
  <c r="AB86" i="10"/>
  <c r="AB109" i="10"/>
  <c r="AB128" i="10"/>
  <c r="AB152" i="10"/>
  <c r="AB175" i="10"/>
  <c r="AB194" i="10"/>
  <c r="AB217" i="10"/>
  <c r="AB236" i="10"/>
  <c r="AB260" i="10"/>
  <c r="AB283" i="10"/>
  <c r="AB302" i="10"/>
  <c r="AB325" i="10"/>
  <c r="AB344" i="10"/>
  <c r="AB368" i="10"/>
  <c r="AB391" i="10"/>
  <c r="AB410" i="10"/>
  <c r="AB433" i="10"/>
  <c r="AB452" i="10"/>
  <c r="AB476" i="10"/>
  <c r="AB499" i="10"/>
  <c r="AB510" i="10"/>
  <c r="AB518" i="10"/>
  <c r="AB525" i="10"/>
  <c r="AB533" i="10"/>
  <c r="AB540" i="10"/>
  <c r="AB547" i="10"/>
  <c r="AB554" i="10"/>
  <c r="AB561" i="10"/>
  <c r="AB569" i="10"/>
  <c r="AB576" i="10"/>
  <c r="AB583" i="10"/>
  <c r="AB590" i="10"/>
  <c r="AB597" i="10"/>
  <c r="AB605" i="10"/>
  <c r="AB612" i="10"/>
  <c r="AB619" i="10"/>
  <c r="AB626" i="10"/>
  <c r="AB633" i="10"/>
  <c r="AB641" i="10"/>
  <c r="AB648" i="10"/>
  <c r="AB655" i="10"/>
  <c r="AB662" i="10"/>
  <c r="AB669" i="10"/>
  <c r="AB677" i="10"/>
  <c r="AB684" i="10"/>
  <c r="AB691" i="10"/>
  <c r="AB698" i="10"/>
  <c r="AB705" i="10"/>
  <c r="AB713" i="10"/>
  <c r="AB720" i="10"/>
  <c r="AB727" i="10"/>
  <c r="AB734" i="10"/>
  <c r="AB741" i="10"/>
  <c r="AB749" i="10"/>
  <c r="AB756" i="10"/>
  <c r="AB763" i="10"/>
  <c r="AB770" i="10"/>
  <c r="AB777" i="10"/>
  <c r="AB785" i="10"/>
  <c r="AB792" i="10"/>
  <c r="AB799" i="10"/>
  <c r="AB806" i="10"/>
  <c r="AB813" i="10"/>
  <c r="AB821" i="10"/>
  <c r="AB828" i="10"/>
  <c r="AB835" i="10"/>
  <c r="AB842" i="10"/>
  <c r="AB849" i="10"/>
  <c r="AB855" i="10"/>
  <c r="AB861" i="10"/>
  <c r="AB867" i="10"/>
  <c r="AB873" i="10"/>
  <c r="AB879" i="10"/>
  <c r="AB885" i="10"/>
  <c r="AB891" i="10"/>
  <c r="AB897" i="10"/>
  <c r="AB903" i="10"/>
  <c r="AB909" i="10"/>
  <c r="AB915" i="10"/>
  <c r="AB921" i="10"/>
  <c r="AB927" i="10"/>
  <c r="AB933" i="10"/>
  <c r="AB26" i="10"/>
  <c r="AB49" i="10"/>
  <c r="AB68" i="10"/>
  <c r="AB91" i="10"/>
  <c r="AB110" i="10"/>
  <c r="AB134" i="10"/>
  <c r="AB157" i="10"/>
  <c r="AB176" i="10"/>
  <c r="AB199" i="10"/>
  <c r="AB218" i="10"/>
  <c r="AB242" i="10"/>
  <c r="AB265" i="10"/>
  <c r="AB284" i="10"/>
  <c r="AB307" i="10"/>
  <c r="AB326" i="10"/>
  <c r="AB350" i="10"/>
  <c r="AB373" i="10"/>
  <c r="AB392" i="10"/>
  <c r="AB415" i="10"/>
  <c r="AB434" i="10"/>
  <c r="AB458" i="10"/>
  <c r="AB481" i="10"/>
  <c r="AB500" i="10"/>
  <c r="AB511" i="10"/>
  <c r="AB519" i="10"/>
  <c r="AB527" i="10"/>
  <c r="AB534" i="10"/>
  <c r="AB541" i="10"/>
  <c r="AB548" i="10"/>
  <c r="AB555" i="10"/>
  <c r="AB563" i="10"/>
  <c r="AB570" i="10"/>
  <c r="AB577" i="10"/>
  <c r="AB584" i="10"/>
  <c r="AB591" i="10"/>
  <c r="AB599" i="10"/>
  <c r="AB606" i="10"/>
  <c r="AB613" i="10"/>
  <c r="AB620" i="10"/>
  <c r="AB627" i="10"/>
  <c r="AB635" i="10"/>
  <c r="AB642" i="10"/>
  <c r="AB649" i="10"/>
  <c r="AB656" i="10"/>
  <c r="AB663" i="10"/>
  <c r="AB671" i="10"/>
  <c r="AB678" i="10"/>
  <c r="AB685" i="10"/>
  <c r="AB7" i="10"/>
  <c r="AB31" i="10"/>
  <c r="AB50" i="10"/>
  <c r="AB73" i="10"/>
  <c r="AB92" i="10"/>
  <c r="AB116" i="10"/>
  <c r="AB139" i="10"/>
  <c r="AB158" i="10"/>
  <c r="AB181" i="10"/>
  <c r="AB200" i="10"/>
  <c r="AB224" i="10"/>
  <c r="AB247" i="10"/>
  <c r="AB266" i="10"/>
  <c r="AB289" i="10"/>
  <c r="AB308" i="10"/>
  <c r="AB332" i="10"/>
  <c r="AB355" i="10"/>
  <c r="AB374" i="10"/>
  <c r="AB397" i="10"/>
  <c r="AB416" i="10"/>
  <c r="AB440" i="10"/>
  <c r="AB463" i="10"/>
  <c r="AB482" i="10"/>
  <c r="AB504" i="10"/>
  <c r="AB512" i="10"/>
  <c r="AB521" i="10"/>
  <c r="AB528" i="10"/>
  <c r="AB535" i="10"/>
  <c r="AB542" i="10"/>
  <c r="AB549" i="10"/>
  <c r="AB557" i="10"/>
  <c r="AB564" i="10"/>
  <c r="AB571" i="10"/>
  <c r="AB578" i="10"/>
  <c r="AB585" i="10"/>
  <c r="AB593" i="10"/>
  <c r="AB600" i="10"/>
  <c r="AB607" i="10"/>
  <c r="AB614" i="10"/>
  <c r="AB621" i="10"/>
  <c r="AB629" i="10"/>
  <c r="AB636" i="10"/>
  <c r="AB643" i="10"/>
  <c r="AB650" i="10"/>
  <c r="AB657" i="10"/>
  <c r="AB665" i="10"/>
  <c r="AB672" i="10"/>
  <c r="AB679" i="10"/>
  <c r="AB686" i="10"/>
  <c r="AB693" i="10"/>
  <c r="AB701" i="10"/>
  <c r="AB708" i="10"/>
  <c r="AB715" i="10"/>
  <c r="AB722" i="10"/>
  <c r="AB729" i="10"/>
  <c r="AB737" i="10"/>
  <c r="AB744" i="10"/>
  <c r="AB12" i="10"/>
  <c r="AB32" i="10"/>
  <c r="AB55" i="10"/>
  <c r="AB74" i="10"/>
  <c r="AB98" i="10"/>
  <c r="AB121" i="10"/>
  <c r="AB140" i="10"/>
  <c r="AB163" i="10"/>
  <c r="AB182" i="10"/>
  <c r="AB206" i="10"/>
  <c r="AB229" i="10"/>
  <c r="AB248" i="10"/>
  <c r="AB271" i="10"/>
  <c r="AB290" i="10"/>
  <c r="AB314" i="10"/>
  <c r="AB337" i="10"/>
  <c r="AB356" i="10"/>
  <c r="AB379" i="10"/>
  <c r="AB398" i="10"/>
  <c r="AB422" i="10"/>
  <c r="AB445" i="10"/>
  <c r="AB464" i="10"/>
  <c r="AB487" i="10"/>
  <c r="AB505" i="10"/>
  <c r="AB515" i="10"/>
  <c r="AB522" i="10"/>
  <c r="AB529" i="10"/>
  <c r="AB536" i="10"/>
  <c r="AB543" i="10"/>
  <c r="AB551" i="10"/>
  <c r="AB558" i="10"/>
  <c r="AB565" i="10"/>
  <c r="AB572" i="10"/>
  <c r="AB579" i="10"/>
  <c r="AB587" i="10"/>
  <c r="AB594" i="10"/>
  <c r="AB601" i="10"/>
  <c r="AB608" i="10"/>
  <c r="AB615" i="10"/>
  <c r="AB623" i="10"/>
  <c r="AB630" i="10"/>
  <c r="AB637" i="10"/>
  <c r="AB644" i="10"/>
  <c r="AB651" i="10"/>
  <c r="AB659" i="10"/>
  <c r="AB666" i="10"/>
  <c r="AB673" i="10"/>
  <c r="AB680" i="10"/>
  <c r="AB687" i="10"/>
  <c r="AB695" i="10"/>
  <c r="AB702" i="10"/>
  <c r="AB709" i="10"/>
  <c r="AB716" i="10"/>
  <c r="AB723" i="10"/>
  <c r="AB731" i="10"/>
  <c r="AB738" i="10"/>
  <c r="AB745" i="10"/>
  <c r="AB752" i="10"/>
  <c r="AB759" i="10"/>
  <c r="AB767" i="10"/>
  <c r="AB774" i="10"/>
  <c r="AB781" i="10"/>
  <c r="AB788" i="10"/>
  <c r="AB795" i="10"/>
  <c r="AB803" i="10"/>
  <c r="AB810" i="10"/>
  <c r="AB817" i="10"/>
  <c r="AB824" i="10"/>
  <c r="AB831" i="10"/>
  <c r="AB839" i="10"/>
  <c r="AB846" i="10"/>
  <c r="AB852" i="10"/>
  <c r="AB858" i="10"/>
  <c r="AB864" i="10"/>
  <c r="AB870" i="10"/>
  <c r="AB876" i="10"/>
  <c r="AB882" i="10"/>
  <c r="AB888" i="10"/>
  <c r="AB894" i="10"/>
  <c r="AB900" i="10"/>
  <c r="AB906" i="10"/>
  <c r="AB912" i="10"/>
  <c r="AB918" i="10"/>
  <c r="AB924" i="10"/>
  <c r="AB930" i="10"/>
  <c r="AB936" i="10"/>
  <c r="AB942" i="10"/>
  <c r="AB948" i="10"/>
  <c r="AB954" i="10"/>
  <c r="AB960" i="10"/>
  <c r="AB966" i="10"/>
  <c r="AB972" i="10"/>
  <c r="AB978" i="10"/>
  <c r="AB984" i="10"/>
  <c r="AB990" i="10"/>
  <c r="AB996" i="10"/>
  <c r="AB988" i="10"/>
  <c r="AB959" i="10"/>
  <c r="AB945" i="10"/>
  <c r="AB911" i="10"/>
  <c r="AB875" i="10"/>
  <c r="AB837" i="10"/>
  <c r="AB805" i="10"/>
  <c r="AB783" i="10"/>
  <c r="AB751" i="10"/>
  <c r="AB710" i="10"/>
  <c r="AB632" i="10"/>
  <c r="AB589" i="10"/>
  <c r="AB524" i="10"/>
  <c r="AB362" i="10"/>
  <c r="AB170" i="10"/>
  <c r="AB994" i="10"/>
  <c r="AB973" i="10"/>
  <c r="AB951" i="10"/>
  <c r="AB937" i="10"/>
  <c r="AB910" i="10"/>
  <c r="AB874" i="10"/>
  <c r="AB836" i="10"/>
  <c r="AB804" i="10"/>
  <c r="AB771" i="10"/>
  <c r="AB735" i="10"/>
  <c r="AB707" i="10"/>
  <c r="AB653" i="10"/>
  <c r="AB588" i="10"/>
  <c r="AB488" i="10"/>
  <c r="AB296" i="10"/>
  <c r="AB103" i="10"/>
  <c r="AB992" i="10"/>
  <c r="AB985" i="10"/>
  <c r="AB977" i="10"/>
  <c r="AB970" i="10"/>
  <c r="AB963" i="10"/>
  <c r="AB956" i="10"/>
  <c r="AB949" i="10"/>
  <c r="AB941" i="10"/>
  <c r="AB934" i="10"/>
  <c r="AB925" i="10"/>
  <c r="AB916" i="10"/>
  <c r="AB907" i="10"/>
  <c r="AB898" i="10"/>
  <c r="AB889" i="10"/>
  <c r="AB880" i="10"/>
  <c r="AB871" i="10"/>
  <c r="AB862" i="10"/>
  <c r="AB853" i="10"/>
  <c r="AB843" i="10"/>
  <c r="AB833" i="10"/>
  <c r="AB822" i="10"/>
  <c r="AB811" i="10"/>
  <c r="AB800" i="10"/>
  <c r="AB789" i="10"/>
  <c r="AB779" i="10"/>
  <c r="AB768" i="10"/>
  <c r="AB757" i="10"/>
  <c r="AB746" i="10"/>
  <c r="AB732" i="10"/>
  <c r="AB717" i="10"/>
  <c r="AB703" i="10"/>
  <c r="AB689" i="10"/>
  <c r="AB667" i="10"/>
  <c r="AB645" i="10"/>
  <c r="AB624" i="10"/>
  <c r="AB602" i="10"/>
  <c r="AB581" i="10"/>
  <c r="AB559" i="10"/>
  <c r="AB537" i="10"/>
  <c r="AB516" i="10"/>
  <c r="AB469" i="10"/>
  <c r="AB404" i="10"/>
  <c r="AB338" i="10"/>
  <c r="AB272" i="10"/>
  <c r="AB211" i="10"/>
  <c r="AB145" i="10"/>
  <c r="AB80" i="10"/>
  <c r="AB13" i="10"/>
  <c r="AB995" i="10"/>
  <c r="AB974" i="10"/>
  <c r="AB952" i="10"/>
  <c r="AB929" i="10"/>
  <c r="AB902" i="10"/>
  <c r="AB884" i="10"/>
  <c r="AB857" i="10"/>
  <c r="AB827" i="10"/>
  <c r="AB794" i="10"/>
  <c r="AB762" i="10"/>
  <c r="AB725" i="10"/>
  <c r="AB696" i="10"/>
  <c r="AB654" i="10"/>
  <c r="AB567" i="10"/>
  <c r="AB494" i="10"/>
  <c r="AB301" i="10"/>
  <c r="AB38" i="10"/>
  <c r="AB980" i="10"/>
  <c r="AB958" i="10"/>
  <c r="AB928" i="10"/>
  <c r="AB892" i="10"/>
  <c r="AB865" i="10"/>
  <c r="AB847" i="10"/>
  <c r="AB815" i="10"/>
  <c r="AB782" i="10"/>
  <c r="AB750" i="10"/>
  <c r="AB692" i="10"/>
  <c r="AB631" i="10"/>
  <c r="AB566" i="10"/>
  <c r="AB427" i="10"/>
  <c r="AB230" i="10"/>
  <c r="AB37" i="10"/>
  <c r="AB991" i="10"/>
  <c r="AB983" i="10"/>
  <c r="AB976" i="10"/>
  <c r="AB969" i="10"/>
  <c r="AB962" i="10"/>
  <c r="AB955" i="10"/>
  <c r="AB947" i="10"/>
  <c r="AB940" i="10"/>
  <c r="AB932" i="10"/>
  <c r="AB923" i="10"/>
  <c r="AB914" i="10"/>
  <c r="AB905" i="10"/>
  <c r="AB896" i="10"/>
  <c r="AB887" i="10"/>
  <c r="AB878" i="10"/>
  <c r="AB869" i="10"/>
  <c r="AB860" i="10"/>
  <c r="AB851" i="10"/>
  <c r="AB841" i="10"/>
  <c r="AB830" i="10"/>
  <c r="AB819" i="10"/>
  <c r="AB809" i="10"/>
  <c r="AB798" i="10"/>
  <c r="AB787" i="10"/>
  <c r="AB776" i="10"/>
  <c r="AB765" i="10"/>
  <c r="AB755" i="10"/>
  <c r="AB743" i="10"/>
  <c r="AB728" i="10"/>
  <c r="AB714" i="10"/>
  <c r="AB699" i="10"/>
  <c r="AB683" i="10"/>
  <c r="AB661" i="10"/>
  <c r="AB639" i="10"/>
  <c r="AB618" i="10"/>
  <c r="AB596" i="10"/>
  <c r="AB575" i="10"/>
  <c r="AB553" i="10"/>
  <c r="AB531" i="10"/>
  <c r="AB509" i="10"/>
  <c r="AB451" i="10"/>
  <c r="AB386" i="10"/>
  <c r="AB320" i="10"/>
  <c r="AB254" i="10"/>
  <c r="AB193" i="10"/>
  <c r="AB127" i="10"/>
  <c r="AB62" i="10"/>
  <c r="AB2" i="10"/>
  <c r="AB989" i="10"/>
  <c r="AB982" i="10"/>
  <c r="AB975" i="10"/>
  <c r="AB968" i="10"/>
  <c r="AB961" i="10"/>
  <c r="AB953" i="10"/>
  <c r="AB946" i="10"/>
  <c r="AB939" i="10"/>
  <c r="AB931" i="10"/>
  <c r="AB922" i="10"/>
  <c r="AB913" i="10"/>
  <c r="AB904" i="10"/>
  <c r="AB895" i="10"/>
  <c r="AB886" i="10"/>
  <c r="AB877" i="10"/>
  <c r="AB868" i="10"/>
  <c r="AB859" i="10"/>
  <c r="AB850" i="10"/>
  <c r="AB840" i="10"/>
  <c r="AB829" i="10"/>
  <c r="AB818" i="10"/>
  <c r="AB807" i="10"/>
  <c r="AB797" i="10"/>
  <c r="AB786" i="10"/>
  <c r="AB775" i="10"/>
  <c r="AB764" i="10"/>
  <c r="AB753" i="10"/>
  <c r="AB740" i="10"/>
  <c r="AB726" i="10"/>
  <c r="AB711" i="10"/>
  <c r="AB697" i="10"/>
  <c r="AB681" i="10"/>
  <c r="AB660" i="10"/>
  <c r="AB638" i="10"/>
  <c r="AB617" i="10"/>
  <c r="AB595" i="10"/>
  <c r="AB573" i="10"/>
  <c r="AB552" i="10"/>
  <c r="AB530" i="10"/>
  <c r="AB508" i="10"/>
  <c r="AB446" i="10"/>
  <c r="AB380" i="10"/>
  <c r="AB319" i="10"/>
  <c r="AB253" i="10"/>
  <c r="AB188" i="10"/>
  <c r="AB122" i="10"/>
  <c r="AB56" i="10"/>
  <c r="E301" i="6"/>
  <c r="J301" i="6"/>
  <c r="E292" i="6"/>
  <c r="H292" i="6"/>
  <c r="E286" i="6"/>
  <c r="J286" i="6"/>
  <c r="E273" i="6"/>
  <c r="I273" i="6"/>
  <c r="E271" i="6"/>
  <c r="J271" i="6"/>
  <c r="E253" i="6"/>
  <c r="I253" i="6"/>
  <c r="E215" i="6"/>
  <c r="J215" i="6"/>
  <c r="H206" i="6"/>
  <c r="J206" i="6"/>
  <c r="E154" i="6"/>
  <c r="I154" i="6"/>
  <c r="H108" i="6"/>
  <c r="E108" i="6"/>
  <c r="I108" i="6"/>
  <c r="E101" i="6"/>
  <c r="H101" i="6"/>
  <c r="I101" i="6"/>
  <c r="J101" i="6"/>
  <c r="E387" i="6"/>
  <c r="H380" i="6"/>
  <c r="E378" i="6"/>
  <c r="H374" i="6"/>
  <c r="E372" i="6"/>
  <c r="E363" i="6"/>
  <c r="H358" i="6"/>
  <c r="E355" i="6"/>
  <c r="I354" i="6"/>
  <c r="H351" i="6"/>
  <c r="H346" i="6"/>
  <c r="E344" i="6"/>
  <c r="E340" i="6"/>
  <c r="E336" i="6"/>
  <c r="E247" i="6"/>
  <c r="H247" i="6"/>
  <c r="I239" i="6"/>
  <c r="H239" i="6"/>
  <c r="H235" i="6"/>
  <c r="H216" i="6"/>
  <c r="J214" i="6"/>
  <c r="J213" i="6"/>
  <c r="E213" i="6"/>
  <c r="J208" i="6"/>
  <c r="I207" i="6"/>
  <c r="E206" i="6"/>
  <c r="H198" i="6"/>
  <c r="J195" i="6"/>
  <c r="H194" i="6"/>
  <c r="E192" i="6"/>
  <c r="J189" i="6"/>
  <c r="H188" i="6"/>
  <c r="H184" i="6"/>
  <c r="H181" i="6"/>
  <c r="E181" i="6"/>
  <c r="I174" i="6"/>
  <c r="E173" i="6"/>
  <c r="I173" i="6"/>
  <c r="I170" i="6"/>
  <c r="E169" i="6"/>
  <c r="J166" i="6"/>
  <c r="E166" i="6"/>
  <c r="I163" i="6"/>
  <c r="H163" i="6"/>
  <c r="J161" i="6"/>
  <c r="H151" i="6"/>
  <c r="I148" i="6"/>
  <c r="H147" i="6"/>
  <c r="E145" i="6"/>
  <c r="J142" i="6"/>
  <c r="E142" i="6"/>
  <c r="J129" i="6"/>
  <c r="E129" i="6"/>
  <c r="H129" i="6"/>
  <c r="E316" i="6"/>
  <c r="I316" i="6"/>
  <c r="E274" i="6"/>
  <c r="J274" i="6"/>
  <c r="E261" i="6"/>
  <c r="J261" i="6"/>
  <c r="I214" i="6"/>
  <c r="I211" i="6"/>
  <c r="J211" i="6"/>
  <c r="I208" i="6"/>
  <c r="H195" i="6"/>
  <c r="H189" i="6"/>
  <c r="H170" i="6"/>
  <c r="I161" i="6"/>
  <c r="I140" i="6"/>
  <c r="J140" i="6"/>
  <c r="E131" i="6"/>
  <c r="J131" i="6"/>
  <c r="I127" i="6"/>
  <c r="J127" i="6"/>
  <c r="J110" i="6"/>
  <c r="E110" i="6"/>
  <c r="H110" i="6"/>
  <c r="E100" i="6"/>
  <c r="H100" i="6"/>
  <c r="I100" i="6"/>
  <c r="J100" i="6"/>
  <c r="I94" i="6"/>
  <c r="E94" i="6"/>
  <c r="H94" i="6"/>
  <c r="J94" i="6"/>
  <c r="E362" i="6"/>
  <c r="E358" i="6"/>
  <c r="J355" i="6"/>
  <c r="E354" i="6"/>
  <c r="E346" i="6"/>
  <c r="J340" i="6"/>
  <c r="E335" i="6"/>
  <c r="E325" i="6"/>
  <c r="I325" i="6"/>
  <c r="E298" i="6"/>
  <c r="H298" i="6"/>
  <c r="E295" i="6"/>
  <c r="I295" i="6"/>
  <c r="E285" i="6"/>
  <c r="H285" i="6"/>
  <c r="E283" i="6"/>
  <c r="I283" i="6"/>
  <c r="J277" i="6"/>
  <c r="E268" i="6"/>
  <c r="I268" i="6"/>
  <c r="E250" i="6"/>
  <c r="I250" i="6"/>
  <c r="E244" i="6"/>
  <c r="H244" i="6"/>
  <c r="I240" i="6"/>
  <c r="J240" i="6"/>
  <c r="E235" i="6"/>
  <c r="I182" i="6"/>
  <c r="H182" i="6"/>
  <c r="E174" i="6"/>
  <c r="J174" i="6"/>
  <c r="J168" i="6"/>
  <c r="H168" i="6"/>
  <c r="E147" i="6"/>
  <c r="J144" i="6"/>
  <c r="H144" i="6"/>
  <c r="E140" i="6"/>
  <c r="E127" i="6"/>
  <c r="H125" i="6"/>
  <c r="E125" i="6"/>
  <c r="I125" i="6"/>
  <c r="E103" i="6"/>
  <c r="H103" i="6"/>
  <c r="J103" i="6"/>
  <c r="J387" i="6"/>
  <c r="H383" i="6"/>
  <c r="E381" i="6"/>
  <c r="J378" i="6"/>
  <c r="H377" i="6"/>
  <c r="E375" i="6"/>
  <c r="J372" i="6"/>
  <c r="H371" i="6"/>
  <c r="I366" i="6"/>
  <c r="H364" i="6"/>
  <c r="J361" i="6"/>
  <c r="I360" i="6"/>
  <c r="I355" i="6"/>
  <c r="I340" i="6"/>
  <c r="H328" i="6"/>
  <c r="J320" i="6"/>
  <c r="I301" i="6"/>
  <c r="J292" i="6"/>
  <c r="I286" i="6"/>
  <c r="J284" i="6"/>
  <c r="I277" i="6"/>
  <c r="J273" i="6"/>
  <c r="I271" i="6"/>
  <c r="J253" i="6"/>
  <c r="J245" i="6"/>
  <c r="H245" i="6"/>
  <c r="J241" i="6"/>
  <c r="E240" i="6"/>
  <c r="E236" i="6"/>
  <c r="I215" i="6"/>
  <c r="E214" i="6"/>
  <c r="H212" i="6"/>
  <c r="E208" i="6"/>
  <c r="H205" i="6"/>
  <c r="I205" i="6"/>
  <c r="E195" i="6"/>
  <c r="J192" i="6"/>
  <c r="H191" i="6"/>
  <c r="E189" i="6"/>
  <c r="J185" i="6"/>
  <c r="E185" i="6"/>
  <c r="E182" i="6"/>
  <c r="I169" i="6"/>
  <c r="E168" i="6"/>
  <c r="H165" i="6"/>
  <c r="E161" i="6"/>
  <c r="J154" i="6"/>
  <c r="E153" i="6"/>
  <c r="H153" i="6"/>
  <c r="H150" i="6"/>
  <c r="E148" i="6"/>
  <c r="I145" i="6"/>
  <c r="E144" i="6"/>
  <c r="H130" i="6"/>
  <c r="J130" i="6"/>
  <c r="E114" i="6"/>
  <c r="J114" i="6"/>
  <c r="H114" i="6"/>
  <c r="I109" i="6"/>
  <c r="H109" i="6"/>
  <c r="E109" i="6"/>
  <c r="E102" i="6"/>
  <c r="H102" i="6"/>
  <c r="I102" i="6"/>
  <c r="J102" i="6"/>
  <c r="I387" i="6"/>
  <c r="J384" i="6"/>
  <c r="J380" i="6"/>
  <c r="I378" i="6"/>
  <c r="J374" i="6"/>
  <c r="I372" i="6"/>
  <c r="I363" i="6"/>
  <c r="H360" i="6"/>
  <c r="I336" i="6"/>
  <c r="J314" i="6"/>
  <c r="H308" i="6"/>
  <c r="H301" i="6"/>
  <c r="I292" i="6"/>
  <c r="H286" i="6"/>
  <c r="H277" i="6"/>
  <c r="H273" i="6"/>
  <c r="H271" i="6"/>
  <c r="H253" i="6"/>
  <c r="J247" i="6"/>
  <c r="I241" i="6"/>
  <c r="I237" i="6"/>
  <c r="E237" i="6"/>
  <c r="H234" i="6"/>
  <c r="I234" i="6"/>
  <c r="J216" i="6"/>
  <c r="H215" i="6"/>
  <c r="I213" i="6"/>
  <c r="H209" i="6"/>
  <c r="E209" i="6"/>
  <c r="I206" i="6"/>
  <c r="J198" i="6"/>
  <c r="H192" i="6"/>
  <c r="I183" i="6"/>
  <c r="J183" i="6"/>
  <c r="E172" i="6"/>
  <c r="H172" i="6"/>
  <c r="H169" i="6"/>
  <c r="H162" i="6"/>
  <c r="E162" i="6"/>
  <c r="H154" i="6"/>
  <c r="J151" i="6"/>
  <c r="H145" i="6"/>
  <c r="E130" i="6"/>
  <c r="J108" i="6"/>
  <c r="I106" i="6"/>
  <c r="I98" i="6"/>
  <c r="J98" i="6"/>
  <c r="E97" i="6"/>
  <c r="J93" i="6"/>
  <c r="E93" i="6"/>
  <c r="E79" i="6"/>
  <c r="I76" i="6"/>
  <c r="H56" i="6"/>
  <c r="J56" i="6"/>
  <c r="I56" i="6"/>
  <c r="J91" i="6"/>
  <c r="J90" i="6"/>
  <c r="H69" i="6"/>
  <c r="I69" i="6"/>
  <c r="J66" i="6"/>
  <c r="J126" i="6"/>
  <c r="E106" i="6"/>
  <c r="H96" i="6"/>
  <c r="E96" i="6"/>
  <c r="J92" i="6"/>
  <c r="J78" i="6"/>
  <c r="I73" i="6"/>
  <c r="E73" i="6"/>
  <c r="E69" i="6"/>
  <c r="H66" i="6"/>
  <c r="E66" i="6"/>
  <c r="H97" i="6"/>
  <c r="H75" i="6"/>
  <c r="I75" i="6"/>
  <c r="I70" i="6"/>
  <c r="J79" i="6"/>
  <c r="H79" i="6"/>
  <c r="I53" i="6"/>
  <c r="I50" i="6"/>
  <c r="I62" i="6"/>
  <c r="E57" i="6"/>
  <c r="I55" i="6"/>
  <c r="E54" i="6"/>
  <c r="I52" i="6"/>
  <c r="E51" i="6"/>
  <c r="I49" i="6"/>
  <c r="J53" i="6"/>
  <c r="J50" i="6"/>
  <c r="J48" i="6"/>
  <c r="A46" i="3"/>
  <c r="A46" i="6" s="1"/>
  <c r="B46" i="6"/>
  <c r="M46" i="6" a="1"/>
  <c r="M46" i="6" s="1"/>
  <c r="R46" i="6"/>
  <c r="C46" i="6"/>
  <c r="N46" i="6" a="1"/>
  <c r="N46" i="6" s="1"/>
  <c r="L46" i="6"/>
  <c r="P46" i="6"/>
  <c r="K46" i="6"/>
  <c r="Q46" i="6"/>
  <c r="O46" i="6"/>
  <c r="G46" i="6"/>
  <c r="J46" i="6" s="1"/>
  <c r="A44" i="3"/>
  <c r="A44" i="6" s="1"/>
  <c r="M44" i="6" a="1"/>
  <c r="M44" i="6" s="1"/>
  <c r="R44" i="6"/>
  <c r="A42" i="3"/>
  <c r="A42" i="6" s="1"/>
  <c r="M42" i="6" a="1"/>
  <c r="M42" i="6" s="1"/>
  <c r="C42" i="6"/>
  <c r="N42" i="6" a="1"/>
  <c r="N42" i="6" s="1"/>
  <c r="R42" i="6"/>
  <c r="A36" i="3"/>
  <c r="A36" i="6" s="1"/>
  <c r="M36" i="6" a="1"/>
  <c r="M36" i="6" s="1"/>
  <c r="Q36" i="6"/>
  <c r="R36" i="6"/>
  <c r="A31" i="3"/>
  <c r="A31" i="6" s="1"/>
  <c r="Q31" i="3"/>
  <c r="A41" i="3"/>
  <c r="A41" i="6" s="1"/>
  <c r="C41" i="6"/>
  <c r="A35" i="3"/>
  <c r="A35" i="6" s="1"/>
  <c r="K35" i="6"/>
  <c r="A40" i="3"/>
  <c r="A40" i="6" s="1"/>
  <c r="R40" i="6"/>
  <c r="A34" i="3"/>
  <c r="A34" i="6" s="1"/>
  <c r="B34" i="6"/>
  <c r="Q34" i="3"/>
  <c r="K34" i="6"/>
  <c r="A32" i="3"/>
  <c r="A32" i="6" s="1"/>
  <c r="Q32" i="3"/>
  <c r="A26" i="3"/>
  <c r="A26" i="6" s="1"/>
  <c r="Q26" i="3"/>
  <c r="A45" i="3"/>
  <c r="A45" i="6" s="1"/>
  <c r="C45" i="6"/>
  <c r="A39" i="3"/>
  <c r="A39" i="6" s="1"/>
  <c r="M39" i="6" a="1"/>
  <c r="M39" i="6" s="1"/>
  <c r="Q39" i="6"/>
  <c r="R39" i="6"/>
  <c r="B39" i="6"/>
  <c r="N45" i="6" a="1"/>
  <c r="N45" i="6" s="1"/>
  <c r="L39" i="6"/>
  <c r="Q28" i="3"/>
  <c r="Q34" i="6"/>
  <c r="R45" i="6"/>
  <c r="M45" i="6" a="1"/>
  <c r="M45" i="6" s="1"/>
  <c r="B42" i="6"/>
  <c r="M40" i="6" a="1"/>
  <c r="M40" i="6" s="1"/>
  <c r="C39" i="6"/>
  <c r="C36" i="6"/>
  <c r="L36" i="6"/>
  <c r="O34" i="6"/>
  <c r="Q45" i="6"/>
  <c r="S45" i="6" s="1"/>
  <c r="L45" i="6"/>
  <c r="Q41" i="6"/>
  <c r="C40" i="6"/>
  <c r="B36" i="6"/>
  <c r="F36" i="6" s="1"/>
  <c r="B45" i="6"/>
  <c r="L34" i="6"/>
  <c r="P45" i="6"/>
  <c r="K45" i="6"/>
  <c r="L41" i="6"/>
  <c r="P35" i="6"/>
  <c r="R34" i="6"/>
  <c r="N40" i="6" a="1"/>
  <c r="N40" i="6" s="1"/>
  <c r="Q33" i="3"/>
  <c r="O45" i="6"/>
  <c r="G45" i="6"/>
  <c r="J45" i="6" s="1"/>
  <c r="P34" i="6"/>
  <c r="G34" i="6"/>
  <c r="H34" i="6" s="1"/>
  <c r="F385" i="6"/>
  <c r="F358" i="6"/>
  <c r="F347" i="6"/>
  <c r="F246" i="6"/>
  <c r="F239" i="6"/>
  <c r="F219" i="6"/>
  <c r="F198" i="6"/>
  <c r="F195" i="6"/>
  <c r="F123" i="6"/>
  <c r="F76" i="6"/>
  <c r="Q44" i="6"/>
  <c r="AB44" i="6" s="1"/>
  <c r="L44" i="6"/>
  <c r="C44" i="6"/>
  <c r="R43" i="6"/>
  <c r="M43" i="6" a="1"/>
  <c r="M43" i="6" s="1"/>
  <c r="C43" i="6"/>
  <c r="Q42" i="6"/>
  <c r="L42" i="6"/>
  <c r="P41" i="6"/>
  <c r="K41" i="6"/>
  <c r="B41" i="6"/>
  <c r="Q40" i="6"/>
  <c r="L40" i="6"/>
  <c r="B40" i="6"/>
  <c r="P39" i="6"/>
  <c r="K39" i="6"/>
  <c r="P37" i="6"/>
  <c r="K37" i="6"/>
  <c r="B37" i="6"/>
  <c r="P36" i="6"/>
  <c r="K36" i="6"/>
  <c r="O35" i="6"/>
  <c r="F351" i="6"/>
  <c r="F321" i="6"/>
  <c r="F286" i="6"/>
  <c r="F228" i="6"/>
  <c r="F128" i="6"/>
  <c r="F61" i="6"/>
  <c r="F49" i="6"/>
  <c r="F47" i="6"/>
  <c r="N43" i="6" a="1"/>
  <c r="N43" i="6" s="1"/>
  <c r="Q37" i="6"/>
  <c r="L37" i="6"/>
  <c r="C37" i="6"/>
  <c r="Q30" i="3"/>
  <c r="F375" i="6"/>
  <c r="F263" i="6"/>
  <c r="F230" i="6"/>
  <c r="F189" i="6"/>
  <c r="F136" i="6"/>
  <c r="F120" i="6"/>
  <c r="P44" i="6"/>
  <c r="K44" i="6"/>
  <c r="B44" i="6"/>
  <c r="Q43" i="6"/>
  <c r="L43" i="6"/>
  <c r="B43" i="6"/>
  <c r="P42" i="6"/>
  <c r="K42" i="6"/>
  <c r="O41" i="6"/>
  <c r="P40" i="6"/>
  <c r="K40" i="6"/>
  <c r="O39" i="6"/>
  <c r="G38" i="6"/>
  <c r="J38" i="6" s="1"/>
  <c r="O37" i="6"/>
  <c r="O36" i="6"/>
  <c r="G35" i="6"/>
  <c r="J35" i="6" s="1"/>
  <c r="C34" i="6"/>
  <c r="N34" i="6" a="1"/>
  <c r="N34" i="6" s="1"/>
  <c r="F368" i="6"/>
  <c r="F337" i="6"/>
  <c r="F316" i="6"/>
  <c r="F298" i="6"/>
  <c r="F124" i="6"/>
  <c r="F112" i="6"/>
  <c r="F48" i="6"/>
  <c r="O44" i="6"/>
  <c r="P43" i="6"/>
  <c r="K43" i="6"/>
  <c r="O42" i="6"/>
  <c r="G42" i="6"/>
  <c r="J42" i="6" s="1"/>
  <c r="G41" i="6"/>
  <c r="O40" i="6"/>
  <c r="G39" i="6"/>
  <c r="G37" i="6"/>
  <c r="G36" i="6"/>
  <c r="N35" i="6" a="1"/>
  <c r="N35" i="6" s="1"/>
  <c r="Q27" i="3"/>
  <c r="S34" i="6"/>
  <c r="M34" i="6" a="1"/>
  <c r="M34" i="6" s="1"/>
  <c r="F343" i="6"/>
  <c r="F333" i="6"/>
  <c r="F319" i="6"/>
  <c r="F200" i="6"/>
  <c r="F173" i="6"/>
  <c r="F107" i="6"/>
  <c r="F100" i="6"/>
  <c r="G44" i="6"/>
  <c r="O43" i="6"/>
  <c r="F42" i="6"/>
  <c r="N41" i="6" a="1"/>
  <c r="N41" i="6" s="1"/>
  <c r="G40" i="6"/>
  <c r="N39" i="6" a="1"/>
  <c r="N39" i="6" s="1"/>
  <c r="S39" i="6" s="1"/>
  <c r="N37" i="6" a="1"/>
  <c r="N37" i="6" s="1"/>
  <c r="N36" i="6" a="1"/>
  <c r="N36" i="6" s="1"/>
  <c r="S36" i="6" s="1"/>
  <c r="R35" i="6"/>
  <c r="M35" i="6" a="1"/>
  <c r="M35" i="6" s="1"/>
  <c r="C35" i="6"/>
  <c r="F363" i="6"/>
  <c r="F344" i="6"/>
  <c r="F251" i="6"/>
  <c r="F166" i="6"/>
  <c r="F131" i="6"/>
  <c r="F52" i="6"/>
  <c r="N44" i="6" a="1"/>
  <c r="N44" i="6" s="1"/>
  <c r="G43" i="6"/>
  <c r="R41" i="6"/>
  <c r="AB41" i="6" s="1"/>
  <c r="M41" i="6" a="1"/>
  <c r="M41" i="6" s="1"/>
  <c r="R37" i="6"/>
  <c r="M37" i="6" a="1"/>
  <c r="M37" i="6" s="1"/>
  <c r="Q35" i="6"/>
  <c r="L35" i="6"/>
  <c r="B35" i="6"/>
  <c r="F387" i="6"/>
  <c r="F384" i="6"/>
  <c r="F382" i="6"/>
  <c r="F380" i="6"/>
  <c r="F373" i="6"/>
  <c r="F371" i="6"/>
  <c r="F367" i="6"/>
  <c r="F365" i="6"/>
  <c r="F360" i="6"/>
  <c r="F356" i="6"/>
  <c r="F353" i="6"/>
  <c r="F352" i="6"/>
  <c r="F346" i="6"/>
  <c r="F339" i="6"/>
  <c r="F323" i="6"/>
  <c r="F314" i="6"/>
  <c r="F312" i="6"/>
  <c r="F311" i="6"/>
  <c r="F305" i="6"/>
  <c r="F294" i="6"/>
  <c r="F293" i="6"/>
  <c r="F278" i="6"/>
  <c r="F262" i="6"/>
  <c r="F250" i="6"/>
  <c r="F236" i="6"/>
  <c r="F234" i="6"/>
  <c r="F231" i="6"/>
  <c r="F225" i="6"/>
  <c r="F214" i="6"/>
  <c r="F196" i="6"/>
  <c r="F184" i="6"/>
  <c r="F167" i="6"/>
  <c r="F158" i="6"/>
  <c r="F156" i="6"/>
  <c r="F152" i="6"/>
  <c r="F150" i="6"/>
  <c r="F143" i="6"/>
  <c r="F137" i="6"/>
  <c r="F117" i="6"/>
  <c r="F101" i="6"/>
  <c r="F98" i="6"/>
  <c r="F88" i="6"/>
  <c r="F75" i="6"/>
  <c r="F67" i="6"/>
  <c r="F60" i="6"/>
  <c r="F55" i="6"/>
  <c r="F53" i="6"/>
  <c r="F46" i="6"/>
  <c r="F43" i="6"/>
  <c r="F40" i="6"/>
  <c r="F39" i="6"/>
  <c r="N38" i="6" a="1"/>
  <c r="N38" i="6" s="1"/>
  <c r="F381" i="6"/>
  <c r="F372" i="6"/>
  <c r="F364" i="6"/>
  <c r="F362" i="6"/>
  <c r="F361" i="6"/>
  <c r="F355" i="6"/>
  <c r="F348" i="6"/>
  <c r="F341" i="6"/>
  <c r="F327" i="6"/>
  <c r="F324" i="6"/>
  <c r="F313" i="6"/>
  <c r="F269" i="6"/>
  <c r="F258" i="6"/>
  <c r="F257" i="6"/>
  <c r="F242" i="6"/>
  <c r="F232" i="6"/>
  <c r="F221" i="6"/>
  <c r="F204" i="6"/>
  <c r="F191" i="6"/>
  <c r="F185" i="6"/>
  <c r="F162" i="6"/>
  <c r="F160" i="6"/>
  <c r="F159" i="6"/>
  <c r="F153" i="6"/>
  <c r="F113" i="6"/>
  <c r="F108" i="6"/>
  <c r="F64" i="6"/>
  <c r="F62" i="6"/>
  <c r="F51" i="6"/>
  <c r="R38" i="6"/>
  <c r="M38" i="6" a="1"/>
  <c r="M38" i="6" s="1"/>
  <c r="E38" i="6"/>
  <c r="F379" i="6"/>
  <c r="F377" i="6"/>
  <c r="F370" i="6"/>
  <c r="F357" i="6"/>
  <c r="F350" i="6"/>
  <c r="F336" i="6"/>
  <c r="F334" i="6"/>
  <c r="F326" i="6"/>
  <c r="F317" i="6"/>
  <c r="F310" i="6"/>
  <c r="F308" i="6"/>
  <c r="F284" i="6"/>
  <c r="F240" i="6"/>
  <c r="F227" i="6"/>
  <c r="F215" i="6"/>
  <c r="F209" i="6"/>
  <c r="F197" i="6"/>
  <c r="F179" i="6"/>
  <c r="F176" i="6"/>
  <c r="F174" i="6"/>
  <c r="F164" i="6"/>
  <c r="F146" i="6"/>
  <c r="F144" i="6"/>
  <c r="F138" i="6"/>
  <c r="F134" i="6"/>
  <c r="F132" i="6"/>
  <c r="F125" i="6"/>
  <c r="F119" i="6"/>
  <c r="F110" i="6"/>
  <c r="F95" i="6"/>
  <c r="F92" i="6"/>
  <c r="F79" i="6"/>
  <c r="F71" i="6"/>
  <c r="F70" i="6"/>
  <c r="F58" i="6"/>
  <c r="F54" i="6"/>
  <c r="Q38" i="6"/>
  <c r="L38" i="6"/>
  <c r="C38" i="6"/>
  <c r="F386" i="6"/>
  <c r="F378" i="6"/>
  <c r="F359" i="6"/>
  <c r="F345" i="6"/>
  <c r="F340" i="6"/>
  <c r="F329" i="6"/>
  <c r="F318" i="6"/>
  <c r="F304" i="6"/>
  <c r="F302" i="6"/>
  <c r="F296" i="6"/>
  <c r="F292" i="6"/>
  <c r="F290" i="6"/>
  <c r="F281" i="6"/>
  <c r="F275" i="6"/>
  <c r="F272" i="6"/>
  <c r="F248" i="6"/>
  <c r="F233" i="6"/>
  <c r="F202" i="6"/>
  <c r="F186" i="6"/>
  <c r="F177" i="6"/>
  <c r="F168" i="6"/>
  <c r="F148" i="6"/>
  <c r="F147" i="6"/>
  <c r="F140" i="6"/>
  <c r="F130" i="6"/>
  <c r="F114" i="6"/>
  <c r="F111" i="6"/>
  <c r="F106" i="6"/>
  <c r="F102" i="6"/>
  <c r="F66" i="6"/>
  <c r="F65" i="6"/>
  <c r="P38" i="6"/>
  <c r="K38" i="6"/>
  <c r="B38" i="6"/>
  <c r="F383" i="6"/>
  <c r="F376" i="6"/>
  <c r="F374" i="6"/>
  <c r="F369" i="6"/>
  <c r="F366" i="6"/>
  <c r="F354" i="6"/>
  <c r="F349" i="6"/>
  <c r="F342" i="6"/>
  <c r="F338" i="6"/>
  <c r="F335" i="6"/>
  <c r="F330" i="6"/>
  <c r="F320" i="6"/>
  <c r="F299" i="6"/>
  <c r="F287" i="6"/>
  <c r="F282" i="6"/>
  <c r="F276" i="6"/>
  <c r="F274" i="6"/>
  <c r="F268" i="6"/>
  <c r="F266" i="6"/>
  <c r="F260" i="6"/>
  <c r="F256" i="6"/>
  <c r="F254" i="6"/>
  <c r="F245" i="6"/>
  <c r="F238" i="6"/>
  <c r="F222" i="6"/>
  <c r="F218" i="6"/>
  <c r="F216" i="6"/>
  <c r="F210" i="6"/>
  <c r="F203" i="6"/>
  <c r="F194" i="6"/>
  <c r="F192" i="6"/>
  <c r="F188" i="6"/>
  <c r="F180" i="6"/>
  <c r="F170" i="6"/>
  <c r="F161" i="6"/>
  <c r="F155" i="6"/>
  <c r="F149" i="6"/>
  <c r="F126" i="6"/>
  <c r="F122" i="6"/>
  <c r="F104" i="6"/>
  <c r="F94" i="6"/>
  <c r="F91" i="6"/>
  <c r="F89" i="6"/>
  <c r="F85" i="6"/>
  <c r="F83" i="6"/>
  <c r="F82" i="6"/>
  <c r="F73" i="6"/>
  <c r="F69" i="6"/>
  <c r="F59" i="6"/>
  <c r="F57" i="6"/>
  <c r="F50" i="6"/>
  <c r="F45" i="6"/>
  <c r="O38" i="6"/>
  <c r="S379" i="6"/>
  <c r="S370" i="6"/>
  <c r="F291" i="6"/>
  <c r="J386" i="6"/>
  <c r="H385" i="6"/>
  <c r="J383" i="6"/>
  <c r="H382" i="6"/>
  <c r="H379" i="6"/>
  <c r="H376" i="6"/>
  <c r="H373" i="6"/>
  <c r="H370" i="6"/>
  <c r="I368" i="6"/>
  <c r="I365" i="6"/>
  <c r="S361" i="6"/>
  <c r="S359" i="6"/>
  <c r="H357" i="6"/>
  <c r="J356" i="6"/>
  <c r="S352" i="6"/>
  <c r="S350" i="6"/>
  <c r="H348" i="6"/>
  <c r="J347" i="6"/>
  <c r="S343" i="6"/>
  <c r="S341" i="6"/>
  <c r="H339" i="6"/>
  <c r="J338" i="6"/>
  <c r="F303" i="6"/>
  <c r="E294" i="6"/>
  <c r="H294" i="6"/>
  <c r="I294" i="6"/>
  <c r="J294" i="6"/>
  <c r="S269" i="6"/>
  <c r="AB269" i="6"/>
  <c r="F255" i="6"/>
  <c r="F212" i="6"/>
  <c r="S257" i="6"/>
  <c r="AB257" i="6"/>
  <c r="E321" i="6"/>
  <c r="J321" i="6"/>
  <c r="H321" i="6"/>
  <c r="I321" i="6"/>
  <c r="AB309" i="6"/>
  <c r="S309" i="6"/>
  <c r="S305" i="6"/>
  <c r="AB305" i="6"/>
  <c r="AB385" i="6"/>
  <c r="E385" i="6"/>
  <c r="AB382" i="6"/>
  <c r="E382" i="6"/>
  <c r="AB379" i="6"/>
  <c r="E379" i="6"/>
  <c r="AB376" i="6"/>
  <c r="E376" i="6"/>
  <c r="AB373" i="6"/>
  <c r="E373" i="6"/>
  <c r="AB370" i="6"/>
  <c r="E370" i="6"/>
  <c r="E368" i="6"/>
  <c r="AB366" i="6"/>
  <c r="E365" i="6"/>
  <c r="AB363" i="6"/>
  <c r="E357" i="6"/>
  <c r="E348" i="6"/>
  <c r="E339" i="6"/>
  <c r="I332" i="6"/>
  <c r="J332" i="6"/>
  <c r="E323" i="6"/>
  <c r="I323" i="6"/>
  <c r="H323" i="6"/>
  <c r="J323" i="6"/>
  <c r="E309" i="6"/>
  <c r="J309" i="6"/>
  <c r="H309" i="6"/>
  <c r="I309" i="6"/>
  <c r="S308" i="6"/>
  <c r="AB308" i="6"/>
  <c r="S293" i="6"/>
  <c r="AB293" i="6"/>
  <c r="E263" i="6"/>
  <c r="I263" i="6"/>
  <c r="H263" i="6"/>
  <c r="J263" i="6"/>
  <c r="H347" i="6"/>
  <c r="I347" i="6"/>
  <c r="S334" i="6"/>
  <c r="AB334" i="6"/>
  <c r="H359" i="6"/>
  <c r="I359" i="6"/>
  <c r="AB354" i="6"/>
  <c r="H350" i="6"/>
  <c r="I350" i="6"/>
  <c r="AB345" i="6"/>
  <c r="H341" i="6"/>
  <c r="I341" i="6"/>
  <c r="AB336" i="6"/>
  <c r="E332" i="6"/>
  <c r="H331" i="6"/>
  <c r="E331" i="6"/>
  <c r="AB330" i="6"/>
  <c r="S330" i="6"/>
  <c r="E327" i="6"/>
  <c r="J327" i="6"/>
  <c r="H327" i="6"/>
  <c r="I327" i="6"/>
  <c r="E299" i="6"/>
  <c r="I299" i="6"/>
  <c r="H299" i="6"/>
  <c r="J299" i="6"/>
  <c r="S276" i="6"/>
  <c r="AB276" i="6"/>
  <c r="E267" i="6"/>
  <c r="J267" i="6"/>
  <c r="H267" i="6"/>
  <c r="I267" i="6"/>
  <c r="E251" i="6"/>
  <c r="I251" i="6"/>
  <c r="H251" i="6"/>
  <c r="J251" i="6"/>
  <c r="J385" i="6"/>
  <c r="J382" i="6"/>
  <c r="J379" i="6"/>
  <c r="J376" i="6"/>
  <c r="J373" i="6"/>
  <c r="J370" i="6"/>
  <c r="AB367" i="6"/>
  <c r="H366" i="6"/>
  <c r="AB364" i="6"/>
  <c r="H363" i="6"/>
  <c r="AB362" i="6"/>
  <c r="E360" i="6"/>
  <c r="E359" i="6"/>
  <c r="S358" i="6"/>
  <c r="S356" i="6"/>
  <c r="H354" i="6"/>
  <c r="AB353" i="6"/>
  <c r="E351" i="6"/>
  <c r="E350" i="6"/>
  <c r="S349" i="6"/>
  <c r="S347" i="6"/>
  <c r="H345" i="6"/>
  <c r="AB344" i="6"/>
  <c r="E342" i="6"/>
  <c r="E341" i="6"/>
  <c r="S340" i="6"/>
  <c r="S338" i="6"/>
  <c r="H336" i="6"/>
  <c r="AB335" i="6"/>
  <c r="J334" i="6"/>
  <c r="S332" i="6"/>
  <c r="AB332" i="6"/>
  <c r="E303" i="6"/>
  <c r="J303" i="6"/>
  <c r="H303" i="6"/>
  <c r="I303" i="6"/>
  <c r="E287" i="6"/>
  <c r="I287" i="6"/>
  <c r="H287" i="6"/>
  <c r="J287" i="6"/>
  <c r="E255" i="6"/>
  <c r="H255" i="6"/>
  <c r="J255" i="6"/>
  <c r="I255" i="6"/>
  <c r="H356" i="6"/>
  <c r="I356" i="6"/>
  <c r="H338" i="6"/>
  <c r="I338" i="6"/>
  <c r="S272" i="6"/>
  <c r="AB272" i="6"/>
  <c r="J368" i="6"/>
  <c r="J365" i="6"/>
  <c r="H362" i="6"/>
  <c r="I362" i="6"/>
  <c r="I357" i="6"/>
  <c r="H353" i="6"/>
  <c r="I353" i="6"/>
  <c r="I348" i="6"/>
  <c r="H344" i="6"/>
  <c r="I344" i="6"/>
  <c r="I339" i="6"/>
  <c r="H335" i="6"/>
  <c r="I335" i="6"/>
  <c r="H334" i="6"/>
  <c r="E317" i="6"/>
  <c r="I317" i="6"/>
  <c r="H317" i="6"/>
  <c r="J317" i="6"/>
  <c r="E291" i="6"/>
  <c r="H291" i="6"/>
  <c r="J291" i="6"/>
  <c r="I291" i="6"/>
  <c r="F267" i="6"/>
  <c r="E258" i="6"/>
  <c r="H258" i="6"/>
  <c r="I258" i="6"/>
  <c r="J258" i="6"/>
  <c r="S329" i="6"/>
  <c r="AB329" i="6"/>
  <c r="E315" i="6"/>
  <c r="J315" i="6"/>
  <c r="H315" i="6"/>
  <c r="S312" i="6"/>
  <c r="E311" i="6"/>
  <c r="I311" i="6"/>
  <c r="H311" i="6"/>
  <c r="F307" i="6"/>
  <c r="E306" i="6"/>
  <c r="H306" i="6"/>
  <c r="I306" i="6"/>
  <c r="J306" i="6"/>
  <c r="S298" i="6"/>
  <c r="S286" i="6"/>
  <c r="S281" i="6"/>
  <c r="AB281" i="6"/>
  <c r="AB277" i="6"/>
  <c r="S277" i="6"/>
  <c r="S273" i="6"/>
  <c r="F271" i="6"/>
  <c r="E270" i="6"/>
  <c r="H270" i="6"/>
  <c r="I270" i="6"/>
  <c r="J270" i="6"/>
  <c r="S262" i="6"/>
  <c r="S250" i="6"/>
  <c r="S245" i="6"/>
  <c r="AB245" i="6"/>
  <c r="AB241" i="6"/>
  <c r="S241" i="6"/>
  <c r="F208" i="6"/>
  <c r="F178" i="6"/>
  <c r="AB175" i="6"/>
  <c r="S175" i="6"/>
  <c r="F171" i="6"/>
  <c r="F224" i="6"/>
  <c r="AB219" i="6"/>
  <c r="S219" i="6"/>
  <c r="AB216" i="6"/>
  <c r="S216" i="6"/>
  <c r="AB213" i="6"/>
  <c r="S213" i="6"/>
  <c r="F207" i="6"/>
  <c r="AB186" i="6"/>
  <c r="S186" i="6"/>
  <c r="S315" i="6"/>
  <c r="F300" i="6"/>
  <c r="F288" i="6"/>
  <c r="E279" i="6"/>
  <c r="H279" i="6"/>
  <c r="J279" i="6"/>
  <c r="F264" i="6"/>
  <c r="F252" i="6"/>
  <c r="E243" i="6"/>
  <c r="H243" i="6"/>
  <c r="J243" i="6"/>
  <c r="F229" i="6"/>
  <c r="F223" i="6"/>
  <c r="AB211" i="6"/>
  <c r="S211" i="6"/>
  <c r="F193" i="6"/>
  <c r="AB183" i="6"/>
  <c r="S183" i="6"/>
  <c r="AB181" i="6"/>
  <c r="S181" i="6"/>
  <c r="F332" i="6"/>
  <c r="F331" i="6"/>
  <c r="AB301" i="6"/>
  <c r="S301" i="6"/>
  <c r="S297" i="6"/>
  <c r="AB289" i="6"/>
  <c r="S289" i="6"/>
  <c r="S284" i="6"/>
  <c r="AB284" i="6"/>
  <c r="F283" i="6"/>
  <c r="S274" i="6"/>
  <c r="AB265" i="6"/>
  <c r="S265" i="6"/>
  <c r="S261" i="6"/>
  <c r="AB253" i="6"/>
  <c r="S253" i="6"/>
  <c r="S248" i="6"/>
  <c r="AB248" i="6"/>
  <c r="F247" i="6"/>
  <c r="AB236" i="6"/>
  <c r="S236" i="6"/>
  <c r="AB233" i="6"/>
  <c r="S233" i="6"/>
  <c r="AB224" i="6"/>
  <c r="S224" i="6"/>
  <c r="F220" i="6"/>
  <c r="AB207" i="6"/>
  <c r="S207" i="6"/>
  <c r="AB200" i="6"/>
  <c r="S200" i="6"/>
  <c r="AB197" i="6"/>
  <c r="S197" i="6"/>
  <c r="F187" i="6"/>
  <c r="E329" i="6"/>
  <c r="I329" i="6"/>
  <c r="H329" i="6"/>
  <c r="F328" i="6"/>
  <c r="S300" i="6"/>
  <c r="AB300" i="6"/>
  <c r="S296" i="6"/>
  <c r="AB296" i="6"/>
  <c r="F295" i="6"/>
  <c r="S288" i="6"/>
  <c r="AB288" i="6"/>
  <c r="S285" i="6"/>
  <c r="E282" i="6"/>
  <c r="H282" i="6"/>
  <c r="I282" i="6"/>
  <c r="J282" i="6"/>
  <c r="F279" i="6"/>
  <c r="E275" i="6"/>
  <c r="I275" i="6"/>
  <c r="H275" i="6"/>
  <c r="S264" i="6"/>
  <c r="AB264" i="6"/>
  <c r="S260" i="6"/>
  <c r="AB260" i="6"/>
  <c r="F259" i="6"/>
  <c r="S252" i="6"/>
  <c r="AB252" i="6"/>
  <c r="S249" i="6"/>
  <c r="E246" i="6"/>
  <c r="H246" i="6"/>
  <c r="I246" i="6"/>
  <c r="J246" i="6"/>
  <c r="F243" i="6"/>
  <c r="S231" i="6"/>
  <c r="F213" i="6"/>
  <c r="AB188" i="6"/>
  <c r="S188" i="6"/>
  <c r="AB170" i="6"/>
  <c r="S170" i="6"/>
  <c r="AB167" i="6"/>
  <c r="S167" i="6"/>
  <c r="AB164" i="6"/>
  <c r="S164" i="6"/>
  <c r="AB187" i="6"/>
  <c r="S187" i="6"/>
  <c r="F182" i="6"/>
  <c r="F172" i="6"/>
  <c r="E330" i="6"/>
  <c r="H330" i="6"/>
  <c r="F325" i="6"/>
  <c r="S324" i="6"/>
  <c r="E324" i="6"/>
  <c r="H324" i="6"/>
  <c r="F322" i="6"/>
  <c r="E318" i="6"/>
  <c r="H318" i="6"/>
  <c r="E312" i="6"/>
  <c r="H312" i="6"/>
  <c r="E300" i="6"/>
  <c r="H300" i="6"/>
  <c r="I300" i="6"/>
  <c r="AB297" i="6"/>
  <c r="E293" i="6"/>
  <c r="I293" i="6"/>
  <c r="S292" i="6"/>
  <c r="S290" i="6"/>
  <c r="S287" i="6"/>
  <c r="AB287" i="6"/>
  <c r="F285" i="6"/>
  <c r="S282" i="6"/>
  <c r="F277" i="6"/>
  <c r="E264" i="6"/>
  <c r="H264" i="6"/>
  <c r="I264" i="6"/>
  <c r="AB261" i="6"/>
  <c r="E257" i="6"/>
  <c r="I257" i="6"/>
  <c r="S256" i="6"/>
  <c r="S254" i="6"/>
  <c r="S251" i="6"/>
  <c r="AB251" i="6"/>
  <c r="F249" i="6"/>
  <c r="S246" i="6"/>
  <c r="F241" i="6"/>
  <c r="AB239" i="6"/>
  <c r="S239" i="6"/>
  <c r="AB234" i="6"/>
  <c r="S234" i="6"/>
  <c r="AB230" i="6"/>
  <c r="S230" i="6"/>
  <c r="S225" i="6"/>
  <c r="AB217" i="6"/>
  <c r="S217" i="6"/>
  <c r="AB215" i="6"/>
  <c r="S215" i="6"/>
  <c r="F206" i="6"/>
  <c r="F201" i="6"/>
  <c r="F190" i="6"/>
  <c r="AB162" i="6"/>
  <c r="S162" i="6"/>
  <c r="S153" i="6"/>
  <c r="AB128" i="6"/>
  <c r="S128" i="6"/>
  <c r="S323" i="6"/>
  <c r="AB323" i="6"/>
  <c r="S317" i="6"/>
  <c r="AB317" i="6"/>
  <c r="F315" i="6"/>
  <c r="S311" i="6"/>
  <c r="AB311" i="6"/>
  <c r="F309" i="6"/>
  <c r="F306" i="6"/>
  <c r="E305" i="6"/>
  <c r="I305" i="6"/>
  <c r="S304" i="6"/>
  <c r="S302" i="6"/>
  <c r="S299" i="6"/>
  <c r="AB299" i="6"/>
  <c r="F297" i="6"/>
  <c r="S294" i="6"/>
  <c r="F289" i="6"/>
  <c r="I285" i="6"/>
  <c r="F280" i="6"/>
  <c r="E276" i="6"/>
  <c r="H276" i="6"/>
  <c r="I276" i="6"/>
  <c r="AB273" i="6"/>
  <c r="F270" i="6"/>
  <c r="E269" i="6"/>
  <c r="I269" i="6"/>
  <c r="S268" i="6"/>
  <c r="S266" i="6"/>
  <c r="S263" i="6"/>
  <c r="AB263" i="6"/>
  <c r="F261" i="6"/>
  <c r="S258" i="6"/>
  <c r="F253" i="6"/>
  <c r="I249" i="6"/>
  <c r="F244" i="6"/>
  <c r="F235" i="6"/>
  <c r="AB209" i="6"/>
  <c r="S209" i="6"/>
  <c r="F205" i="6"/>
  <c r="AB203" i="6"/>
  <c r="S203" i="6"/>
  <c r="AB198" i="6"/>
  <c r="S198" i="6"/>
  <c r="AB194" i="6"/>
  <c r="S194" i="6"/>
  <c r="AB185" i="6"/>
  <c r="S185" i="6"/>
  <c r="AB179" i="6"/>
  <c r="S179" i="6"/>
  <c r="AB168" i="6"/>
  <c r="S168" i="6"/>
  <c r="F163" i="6"/>
  <c r="F141" i="6"/>
  <c r="F165" i="6"/>
  <c r="AB150" i="6"/>
  <c r="S150" i="6"/>
  <c r="AB145" i="6"/>
  <c r="S145" i="6"/>
  <c r="AB143" i="6"/>
  <c r="S143" i="6"/>
  <c r="F142" i="6"/>
  <c r="J330" i="6"/>
  <c r="S326" i="6"/>
  <c r="J324" i="6"/>
  <c r="S320" i="6"/>
  <c r="J318" i="6"/>
  <c r="S314" i="6"/>
  <c r="J312" i="6"/>
  <c r="S306" i="6"/>
  <c r="F301" i="6"/>
  <c r="E288" i="6"/>
  <c r="H288" i="6"/>
  <c r="I288" i="6"/>
  <c r="AB285" i="6"/>
  <c r="E281" i="6"/>
  <c r="I281" i="6"/>
  <c r="S278" i="6"/>
  <c r="S275" i="6"/>
  <c r="AB275" i="6"/>
  <c r="F273" i="6"/>
  <c r="S270" i="6"/>
  <c r="F265" i="6"/>
  <c r="E252" i="6"/>
  <c r="H252" i="6"/>
  <c r="I252" i="6"/>
  <c r="AB249" i="6"/>
  <c r="E245" i="6"/>
  <c r="I245" i="6"/>
  <c r="S242" i="6"/>
  <c r="F237" i="6"/>
  <c r="F226" i="6"/>
  <c r="AB218" i="6"/>
  <c r="S218" i="6"/>
  <c r="F199" i="6"/>
  <c r="F183" i="6"/>
  <c r="F169" i="6"/>
  <c r="F154" i="6"/>
  <c r="AB152" i="6"/>
  <c r="S152" i="6"/>
  <c r="AB147" i="6"/>
  <c r="S147" i="6"/>
  <c r="AB227" i="6"/>
  <c r="S227" i="6"/>
  <c r="F217" i="6"/>
  <c r="AB212" i="6"/>
  <c r="S212" i="6"/>
  <c r="AB191" i="6"/>
  <c r="S191" i="6"/>
  <c r="AB189" i="6"/>
  <c r="S189" i="6"/>
  <c r="F175" i="6"/>
  <c r="AB158" i="6"/>
  <c r="S158" i="6"/>
  <c r="F157" i="6"/>
  <c r="AB126" i="6"/>
  <c r="S126" i="6"/>
  <c r="E326" i="6"/>
  <c r="I326" i="6"/>
  <c r="E320" i="6"/>
  <c r="I320" i="6"/>
  <c r="E314" i="6"/>
  <c r="I314" i="6"/>
  <c r="E308" i="6"/>
  <c r="I308" i="6"/>
  <c r="E302" i="6"/>
  <c r="I302" i="6"/>
  <c r="E296" i="6"/>
  <c r="I296" i="6"/>
  <c r="E290" i="6"/>
  <c r="I290" i="6"/>
  <c r="E284" i="6"/>
  <c r="I284" i="6"/>
  <c r="E278" i="6"/>
  <c r="I278" i="6"/>
  <c r="E272" i="6"/>
  <c r="I272" i="6"/>
  <c r="E266" i="6"/>
  <c r="I266" i="6"/>
  <c r="E260" i="6"/>
  <c r="I260" i="6"/>
  <c r="E254" i="6"/>
  <c r="I254" i="6"/>
  <c r="E248" i="6"/>
  <c r="I248" i="6"/>
  <c r="E242" i="6"/>
  <c r="I242" i="6"/>
  <c r="AB221" i="6"/>
  <c r="S221" i="6"/>
  <c r="F211" i="6"/>
  <c r="AB206" i="6"/>
  <c r="S206" i="6"/>
  <c r="AB182" i="6"/>
  <c r="S182" i="6"/>
  <c r="AB173" i="6"/>
  <c r="S173" i="6"/>
  <c r="S159" i="6"/>
  <c r="AB111" i="6"/>
  <c r="S111" i="6"/>
  <c r="F116" i="6"/>
  <c r="AB107" i="6"/>
  <c r="S107" i="6"/>
  <c r="F105" i="6"/>
  <c r="F118" i="6"/>
  <c r="AB109" i="6"/>
  <c r="S109" i="6"/>
  <c r="F133" i="6"/>
  <c r="S123" i="6"/>
  <c r="S97" i="6"/>
  <c r="H99" i="6"/>
  <c r="E99" i="6"/>
  <c r="I99" i="6"/>
  <c r="J99" i="6"/>
  <c r="F181" i="6"/>
  <c r="AB176" i="6"/>
  <c r="S176" i="6"/>
  <c r="AB155" i="6"/>
  <c r="S155" i="6"/>
  <c r="F145" i="6"/>
  <c r="AB140" i="6"/>
  <c r="S140" i="6"/>
  <c r="F135" i="6"/>
  <c r="AB119" i="6"/>
  <c r="S119" i="6"/>
  <c r="S117" i="6"/>
  <c r="S115" i="6"/>
  <c r="F109" i="6"/>
  <c r="AB104" i="6"/>
  <c r="S104" i="6"/>
  <c r="S96" i="6"/>
  <c r="AB93" i="6"/>
  <c r="S93" i="6"/>
  <c r="S86" i="6"/>
  <c r="AB86" i="6"/>
  <c r="F81" i="6"/>
  <c r="AB149" i="6"/>
  <c r="S149" i="6"/>
  <c r="F139" i="6"/>
  <c r="AB134" i="6"/>
  <c r="S134" i="6"/>
  <c r="F129" i="6"/>
  <c r="AB113" i="6"/>
  <c r="S113" i="6"/>
  <c r="F103" i="6"/>
  <c r="AB97" i="6"/>
  <c r="I95" i="6"/>
  <c r="J95" i="6"/>
  <c r="H95" i="6"/>
  <c r="F97" i="6"/>
  <c r="AB137" i="6"/>
  <c r="S137" i="6"/>
  <c r="S135" i="6"/>
  <c r="S133" i="6"/>
  <c r="F127" i="6"/>
  <c r="AB122" i="6"/>
  <c r="S122" i="6"/>
  <c r="S114" i="6"/>
  <c r="AB101" i="6"/>
  <c r="S101" i="6"/>
  <c r="S89" i="6"/>
  <c r="AB89" i="6"/>
  <c r="AB131" i="6"/>
  <c r="S131" i="6"/>
  <c r="F121" i="6"/>
  <c r="AB116" i="6"/>
  <c r="S116" i="6"/>
  <c r="S98" i="6"/>
  <c r="AB98" i="6"/>
  <c r="S95" i="6"/>
  <c r="AB95" i="6"/>
  <c r="AB161" i="6"/>
  <c r="S161" i="6"/>
  <c r="F151" i="6"/>
  <c r="AB146" i="6"/>
  <c r="S146" i="6"/>
  <c r="AB125" i="6"/>
  <c r="S125" i="6"/>
  <c r="F115" i="6"/>
  <c r="AB110" i="6"/>
  <c r="S110" i="6"/>
  <c r="F99" i="6"/>
  <c r="F96" i="6"/>
  <c r="F86" i="6"/>
  <c r="I89" i="6"/>
  <c r="J89" i="6"/>
  <c r="H87" i="6"/>
  <c r="J87" i="6"/>
  <c r="I87" i="6"/>
  <c r="H84" i="6"/>
  <c r="E84" i="6"/>
  <c r="I80" i="6"/>
  <c r="E80" i="6"/>
  <c r="J80" i="6"/>
  <c r="F78" i="6"/>
  <c r="H81" i="6"/>
  <c r="J81" i="6"/>
  <c r="I81" i="6"/>
  <c r="F77" i="6"/>
  <c r="F84" i="6"/>
  <c r="E81" i="6"/>
  <c r="S80" i="6"/>
  <c r="AB80" i="6"/>
  <c r="F80" i="6"/>
  <c r="F90" i="6"/>
  <c r="F87" i="6"/>
  <c r="AB82" i="6"/>
  <c r="I96" i="6"/>
  <c r="H89" i="6"/>
  <c r="I86" i="6"/>
  <c r="E86" i="6"/>
  <c r="J86" i="6"/>
  <c r="S85" i="6"/>
  <c r="I84" i="6"/>
  <c r="H80" i="6"/>
  <c r="F93" i="6"/>
  <c r="S92" i="6"/>
  <c r="S83" i="6"/>
  <c r="AB83" i="6"/>
  <c r="S77" i="6"/>
  <c r="AB77" i="6"/>
  <c r="H71" i="6"/>
  <c r="E71" i="6"/>
  <c r="I71" i="6"/>
  <c r="J71" i="6"/>
  <c r="S74" i="6"/>
  <c r="I78" i="6"/>
  <c r="S75" i="6"/>
  <c r="AB75" i="6"/>
  <c r="F74" i="6"/>
  <c r="F68" i="6"/>
  <c r="H77" i="6"/>
  <c r="E77" i="6"/>
  <c r="I77" i="6"/>
  <c r="S69" i="6"/>
  <c r="AB69" i="6"/>
  <c r="I83" i="6"/>
  <c r="E83" i="6"/>
  <c r="E78" i="6"/>
  <c r="F72" i="6"/>
  <c r="H65" i="6"/>
  <c r="E65" i="6"/>
  <c r="S59" i="6"/>
  <c r="E67" i="6"/>
  <c r="H64" i="6"/>
  <c r="J64" i="6"/>
  <c r="AB63" i="6"/>
  <c r="AB60" i="6"/>
  <c r="H76" i="6"/>
  <c r="J76" i="6"/>
  <c r="H70" i="6"/>
  <c r="J70" i="6"/>
  <c r="H61" i="6"/>
  <c r="E61" i="6"/>
  <c r="J61" i="6"/>
  <c r="H58" i="6"/>
  <c r="E58" i="6"/>
  <c r="J58" i="6"/>
  <c r="H74" i="6"/>
  <c r="E74" i="6"/>
  <c r="H68" i="6"/>
  <c r="E68" i="6"/>
  <c r="E64" i="6"/>
  <c r="S72" i="6"/>
  <c r="S66" i="6"/>
  <c r="J65" i="6"/>
  <c r="F63" i="6"/>
  <c r="H73" i="6"/>
  <c r="J73" i="6"/>
  <c r="H67" i="6"/>
  <c r="J67" i="6"/>
  <c r="S56" i="6"/>
  <c r="F56" i="6"/>
  <c r="S46" i="6"/>
  <c r="S43" i="6"/>
  <c r="S40" i="6"/>
  <c r="S37" i="6"/>
  <c r="E62" i="6"/>
  <c r="E59" i="6"/>
  <c r="E56" i="6"/>
  <c r="J55" i="6"/>
  <c r="E53" i="6"/>
  <c r="J52" i="6"/>
  <c r="E50" i="6"/>
  <c r="J49" i="6"/>
  <c r="H47" i="6"/>
  <c r="I47" i="6"/>
  <c r="AB46" i="6"/>
  <c r="E45" i="6"/>
  <c r="H44" i="6"/>
  <c r="I44" i="6"/>
  <c r="AB43" i="6"/>
  <c r="E42" i="6"/>
  <c r="H41" i="6"/>
  <c r="I41" i="6"/>
  <c r="AB40" i="6"/>
  <c r="H38" i="6"/>
  <c r="I38" i="6"/>
  <c r="AB37" i="6"/>
  <c r="H35" i="6"/>
  <c r="I35" i="6"/>
  <c r="E35" i="6"/>
  <c r="AB48" i="6"/>
  <c r="H46" i="6"/>
  <c r="I46" i="6"/>
  <c r="AB45" i="6"/>
  <c r="H43" i="6"/>
  <c r="I43" i="6"/>
  <c r="AB42" i="6"/>
  <c r="H40" i="6"/>
  <c r="I40" i="6"/>
  <c r="AB39" i="6"/>
  <c r="H37" i="6"/>
  <c r="I37" i="6"/>
  <c r="AB36" i="6"/>
  <c r="S47" i="6"/>
  <c r="S44" i="6"/>
  <c r="S41" i="6"/>
  <c r="E55" i="6"/>
  <c r="E52" i="6"/>
  <c r="E49" i="6"/>
  <c r="H48" i="6"/>
  <c r="I48" i="6"/>
  <c r="AB47" i="6"/>
  <c r="E46" i="6"/>
  <c r="H45" i="6"/>
  <c r="I45" i="6"/>
  <c r="H42" i="6"/>
  <c r="I42" i="6"/>
  <c r="H39" i="6"/>
  <c r="I39" i="6"/>
  <c r="H36" i="6"/>
  <c r="I36" i="6"/>
  <c r="AB35" i="6"/>
  <c r="B31" i="6"/>
  <c r="C29" i="6"/>
  <c r="R33" i="6"/>
  <c r="M33" i="6" a="1"/>
  <c r="M33" i="6" s="1"/>
  <c r="R32" i="6"/>
  <c r="M32" i="6" a="1"/>
  <c r="M32" i="6" s="1"/>
  <c r="N31" i="6" a="1"/>
  <c r="N31" i="6" s="1"/>
  <c r="R30" i="6"/>
  <c r="M30" i="6" a="1"/>
  <c r="M30" i="6" s="1"/>
  <c r="R29" i="6"/>
  <c r="M29" i="6" a="1"/>
  <c r="M29" i="6" s="1"/>
  <c r="Q28" i="6"/>
  <c r="L28" i="6"/>
  <c r="P27" i="6"/>
  <c r="K27" i="6"/>
  <c r="P26" i="6"/>
  <c r="K26" i="6"/>
  <c r="B30" i="6"/>
  <c r="C28" i="6"/>
  <c r="Q33" i="6"/>
  <c r="L33" i="6"/>
  <c r="Q32" i="6"/>
  <c r="L32" i="6"/>
  <c r="R31" i="6"/>
  <c r="M31" i="6" a="1"/>
  <c r="M31" i="6" s="1"/>
  <c r="Q30" i="6"/>
  <c r="AB30" i="6" s="1"/>
  <c r="L30" i="6"/>
  <c r="Q29" i="6"/>
  <c r="L29" i="6"/>
  <c r="P28" i="6"/>
  <c r="K28" i="6"/>
  <c r="O27" i="6"/>
  <c r="O26" i="6"/>
  <c r="G26" i="6"/>
  <c r="H26" i="6" s="1"/>
  <c r="B29" i="6"/>
  <c r="C33" i="6"/>
  <c r="C27" i="6"/>
  <c r="P33" i="6"/>
  <c r="K33" i="6"/>
  <c r="P32" i="6"/>
  <c r="K32" i="6"/>
  <c r="Q31" i="6"/>
  <c r="L31" i="6"/>
  <c r="P30" i="6"/>
  <c r="K30" i="6"/>
  <c r="P29" i="6"/>
  <c r="K29" i="6"/>
  <c r="O28" i="6"/>
  <c r="G28" i="6"/>
  <c r="H28" i="6" s="1"/>
  <c r="G27" i="6"/>
  <c r="E27" i="6" s="1"/>
  <c r="B28" i="6"/>
  <c r="C32" i="6"/>
  <c r="C26" i="6"/>
  <c r="O33" i="6"/>
  <c r="O32" i="6"/>
  <c r="P31" i="6"/>
  <c r="K31" i="6"/>
  <c r="O30" i="6"/>
  <c r="O29" i="6"/>
  <c r="G29" i="6"/>
  <c r="I29" i="6" s="1"/>
  <c r="N27" i="6" a="1"/>
  <c r="N27" i="6" s="1"/>
  <c r="N26" i="6" a="1"/>
  <c r="N26" i="6" s="1"/>
  <c r="B33" i="6"/>
  <c r="F33" i="6" s="1"/>
  <c r="B27" i="6"/>
  <c r="F27" i="6" s="1"/>
  <c r="C31" i="6"/>
  <c r="G33" i="6"/>
  <c r="J33" i="6" s="1"/>
  <c r="O31" i="6"/>
  <c r="G30" i="6"/>
  <c r="I30" i="6" s="1"/>
  <c r="N28" i="6" a="1"/>
  <c r="N28" i="6" s="1"/>
  <c r="R27" i="6"/>
  <c r="M27" i="6" a="1"/>
  <c r="M27" i="6" s="1"/>
  <c r="R26" i="6"/>
  <c r="M26" i="6" a="1"/>
  <c r="M26" i="6" s="1"/>
  <c r="Q29" i="3"/>
  <c r="B32" i="6"/>
  <c r="F32" i="6" s="1"/>
  <c r="B26" i="6"/>
  <c r="F26" i="6" s="1"/>
  <c r="C30" i="6"/>
  <c r="N33" i="6" a="1"/>
  <c r="N33" i="6" s="1"/>
  <c r="N32" i="6" a="1"/>
  <c r="N32" i="6" s="1"/>
  <c r="G32" i="6"/>
  <c r="E32" i="6" s="1"/>
  <c r="G31" i="6"/>
  <c r="E31" i="6" s="1"/>
  <c r="N30" i="6" a="1"/>
  <c r="N30" i="6" s="1"/>
  <c r="N29" i="6" a="1"/>
  <c r="N29" i="6" s="1"/>
  <c r="R28" i="6"/>
  <c r="M28" i="6" a="1"/>
  <c r="M28" i="6" s="1"/>
  <c r="Q27" i="6"/>
  <c r="L27" i="6"/>
  <c r="Q26" i="6"/>
  <c r="L26" i="6"/>
  <c r="E34" i="6"/>
  <c r="J34" i="6"/>
  <c r="I34" i="6"/>
  <c r="A22" i="3"/>
  <c r="A22" i="6" s="1"/>
  <c r="Q22" i="3"/>
  <c r="A10" i="3"/>
  <c r="A10" i="6" s="1"/>
  <c r="Q10" i="3"/>
  <c r="A18" i="3"/>
  <c r="A18" i="6" s="1"/>
  <c r="Q18" i="3"/>
  <c r="A12" i="3"/>
  <c r="A12" i="6" s="1"/>
  <c r="Q12" i="3"/>
  <c r="A23" i="3"/>
  <c r="A23" i="6" s="1"/>
  <c r="Q23" i="3"/>
  <c r="A17" i="3"/>
  <c r="A17" i="6" s="1"/>
  <c r="Q17" i="3"/>
  <c r="A11" i="3"/>
  <c r="A11" i="6" s="1"/>
  <c r="Q11" i="3"/>
  <c r="R16" i="6"/>
  <c r="Q16" i="3"/>
  <c r="Q13" i="3"/>
  <c r="Q20" i="3"/>
  <c r="Q25" i="3"/>
  <c r="Q24" i="3"/>
  <c r="B21" i="6"/>
  <c r="B14" i="6"/>
  <c r="F14" i="6" s="1"/>
  <c r="C22" i="6"/>
  <c r="C15" i="6"/>
  <c r="Q25" i="6"/>
  <c r="L25" i="6"/>
  <c r="P24" i="6"/>
  <c r="K24" i="6"/>
  <c r="O23" i="6"/>
  <c r="G22" i="6"/>
  <c r="I22" i="6" s="1"/>
  <c r="N21" i="6" a="1"/>
  <c r="N21" i="6" s="1"/>
  <c r="R20" i="6"/>
  <c r="M20" i="6" a="1"/>
  <c r="M20" i="6" s="1"/>
  <c r="Q19" i="6"/>
  <c r="L19" i="6"/>
  <c r="P18" i="6"/>
  <c r="K18" i="6"/>
  <c r="O17" i="6"/>
  <c r="G16" i="6"/>
  <c r="I16" i="6" s="1"/>
  <c r="N15" i="6" a="1"/>
  <c r="N15" i="6" s="1"/>
  <c r="R14" i="6"/>
  <c r="M14" i="6" a="1"/>
  <c r="M14" i="6" s="1"/>
  <c r="Q13" i="6"/>
  <c r="L13" i="6"/>
  <c r="P12" i="6"/>
  <c r="K12" i="6"/>
  <c r="O11" i="6"/>
  <c r="N10" i="6" a="1"/>
  <c r="N10" i="6" s="1"/>
  <c r="B20" i="6"/>
  <c r="F20" i="6" s="1"/>
  <c r="B13" i="6"/>
  <c r="C21" i="6"/>
  <c r="C14" i="6"/>
  <c r="P25" i="6"/>
  <c r="K25" i="6"/>
  <c r="O24" i="6"/>
  <c r="G23" i="6"/>
  <c r="I23" i="6" s="1"/>
  <c r="N22" i="6" a="1"/>
  <c r="N22" i="6" s="1"/>
  <c r="R21" i="6"/>
  <c r="M21" i="6" a="1"/>
  <c r="M21" i="6" s="1"/>
  <c r="Q20" i="6"/>
  <c r="L20" i="6"/>
  <c r="P19" i="6"/>
  <c r="K19" i="6"/>
  <c r="O18" i="6"/>
  <c r="G17" i="6"/>
  <c r="H17" i="6" s="1"/>
  <c r="N16" i="6" a="1"/>
  <c r="N16" i="6" s="1"/>
  <c r="R15" i="6"/>
  <c r="M15" i="6" a="1"/>
  <c r="M15" i="6" s="1"/>
  <c r="Q14" i="6"/>
  <c r="L14" i="6"/>
  <c r="P13" i="6"/>
  <c r="K13" i="6"/>
  <c r="O12" i="6"/>
  <c r="G11" i="6"/>
  <c r="I11" i="6" s="1"/>
  <c r="M10" i="6" a="1"/>
  <c r="M10" i="6" s="1"/>
  <c r="B25" i="6"/>
  <c r="F25" i="6" s="1"/>
  <c r="B18" i="6"/>
  <c r="F18" i="6" s="1"/>
  <c r="B12" i="6"/>
  <c r="F12" i="6" s="1"/>
  <c r="C20" i="6"/>
  <c r="C13" i="6"/>
  <c r="O25" i="6"/>
  <c r="G24" i="6"/>
  <c r="H24" i="6" s="1"/>
  <c r="N23" i="6" a="1"/>
  <c r="N23" i="6" s="1"/>
  <c r="R22" i="6"/>
  <c r="M22" i="6" a="1"/>
  <c r="M22" i="6" s="1"/>
  <c r="Q21" i="6"/>
  <c r="L21" i="6"/>
  <c r="P20" i="6"/>
  <c r="K20" i="6"/>
  <c r="O19" i="6"/>
  <c r="G18" i="6"/>
  <c r="H18" i="6" s="1"/>
  <c r="N17" i="6" a="1"/>
  <c r="N17" i="6" s="1"/>
  <c r="M16" i="6" a="1"/>
  <c r="M16" i="6" s="1"/>
  <c r="Q15" i="6"/>
  <c r="L15" i="6"/>
  <c r="P14" i="6"/>
  <c r="K14" i="6"/>
  <c r="O13" i="6"/>
  <c r="G12" i="6"/>
  <c r="I12" i="6" s="1"/>
  <c r="N11" i="6" a="1"/>
  <c r="N11" i="6" s="1"/>
  <c r="R10" i="6"/>
  <c r="L10" i="6"/>
  <c r="B24" i="6"/>
  <c r="F24" i="6" s="1"/>
  <c r="B17" i="6"/>
  <c r="B11" i="6"/>
  <c r="F11" i="6" s="1"/>
  <c r="C25" i="6"/>
  <c r="C18" i="6"/>
  <c r="C12" i="6"/>
  <c r="G25" i="6"/>
  <c r="H25" i="6" s="1"/>
  <c r="N24" i="6" a="1"/>
  <c r="N24" i="6" s="1"/>
  <c r="R23" i="6"/>
  <c r="M23" i="6" a="1"/>
  <c r="M23" i="6" s="1"/>
  <c r="Q22" i="6"/>
  <c r="L22" i="6"/>
  <c r="P21" i="6"/>
  <c r="K21" i="6"/>
  <c r="O20" i="6"/>
  <c r="G19" i="6"/>
  <c r="H19" i="6" s="1"/>
  <c r="N18" i="6" a="1"/>
  <c r="N18" i="6" s="1"/>
  <c r="R17" i="6"/>
  <c r="M17" i="6" a="1"/>
  <c r="M17" i="6" s="1"/>
  <c r="Q16" i="6"/>
  <c r="L16" i="6"/>
  <c r="P15" i="6"/>
  <c r="K15" i="6"/>
  <c r="O14" i="6"/>
  <c r="G13" i="6"/>
  <c r="I13" i="6" s="1"/>
  <c r="N12" i="6" a="1"/>
  <c r="N12" i="6" s="1"/>
  <c r="R11" i="6"/>
  <c r="M11" i="6" a="1"/>
  <c r="M11" i="6" s="1"/>
  <c r="Q10" i="6"/>
  <c r="AB10" i="6" s="1"/>
  <c r="K10" i="6"/>
  <c r="B23" i="6"/>
  <c r="B16" i="6"/>
  <c r="F16" i="6" s="1"/>
  <c r="B10" i="6"/>
  <c r="F10" i="6" s="1"/>
  <c r="C24" i="6"/>
  <c r="C17" i="6"/>
  <c r="C11" i="6"/>
  <c r="N25" i="6" a="1"/>
  <c r="N25" i="6" s="1"/>
  <c r="R24" i="6"/>
  <c r="M24" i="6" a="1"/>
  <c r="M24" i="6" s="1"/>
  <c r="Q23" i="6"/>
  <c r="L23" i="6"/>
  <c r="P22" i="6"/>
  <c r="K22" i="6"/>
  <c r="O21" i="6"/>
  <c r="G20" i="6"/>
  <c r="H20" i="6" s="1"/>
  <c r="N19" i="6" a="1"/>
  <c r="N19" i="6" s="1"/>
  <c r="R18" i="6"/>
  <c r="M18" i="6" a="1"/>
  <c r="M18" i="6" s="1"/>
  <c r="Q17" i="6"/>
  <c r="L17" i="6"/>
  <c r="P16" i="6"/>
  <c r="K16" i="6"/>
  <c r="O15" i="6"/>
  <c r="G14" i="6"/>
  <c r="I14" i="6" s="1"/>
  <c r="N13" i="6" a="1"/>
  <c r="N13" i="6" s="1"/>
  <c r="R12" i="6"/>
  <c r="M12" i="6" a="1"/>
  <c r="M12" i="6" s="1"/>
  <c r="Q11" i="6"/>
  <c r="L11" i="6"/>
  <c r="P10" i="6"/>
  <c r="Q15" i="3"/>
  <c r="Q21" i="3"/>
  <c r="Q14" i="3"/>
  <c r="B22" i="6"/>
  <c r="F22" i="6" s="1"/>
  <c r="B15" i="6"/>
  <c r="C23" i="6"/>
  <c r="C16" i="6"/>
  <c r="C10" i="6"/>
  <c r="C4" i="6"/>
  <c r="R25" i="6"/>
  <c r="M25" i="6" a="1"/>
  <c r="M25" i="6" s="1"/>
  <c r="Q24" i="6"/>
  <c r="L24" i="6"/>
  <c r="P23" i="6"/>
  <c r="K23" i="6"/>
  <c r="O22" i="6"/>
  <c r="G21" i="6"/>
  <c r="I21" i="6" s="1"/>
  <c r="N20" i="6" a="1"/>
  <c r="N20" i="6" s="1"/>
  <c r="R19" i="6"/>
  <c r="M19" i="6" a="1"/>
  <c r="M19" i="6" s="1"/>
  <c r="Q18" i="6"/>
  <c r="L18" i="6"/>
  <c r="P17" i="6"/>
  <c r="K17" i="6"/>
  <c r="O16" i="6"/>
  <c r="G15" i="6"/>
  <c r="I15" i="6" s="1"/>
  <c r="N14" i="6" a="1"/>
  <c r="N14" i="6" s="1"/>
  <c r="R13" i="6"/>
  <c r="M13" i="6" a="1"/>
  <c r="M13" i="6" s="1"/>
  <c r="Q12" i="6"/>
  <c r="L12" i="6"/>
  <c r="P11" i="6"/>
  <c r="K11" i="6"/>
  <c r="O10" i="6"/>
  <c r="G10" i="6"/>
  <c r="J10" i="6" s="1"/>
  <c r="I24" i="6"/>
  <c r="C19" i="6"/>
  <c r="B19" i="6"/>
  <c r="F19" i="6" s="1"/>
  <c r="Q19" i="3"/>
  <c r="F811" i="6"/>
  <c r="F793" i="6"/>
  <c r="F739" i="6"/>
  <c r="F775" i="6"/>
  <c r="F757" i="6"/>
  <c r="F703" i="6"/>
  <c r="F631" i="6"/>
  <c r="F577" i="6"/>
  <c r="F806" i="6"/>
  <c r="F788" i="6"/>
  <c r="F770" i="6"/>
  <c r="F752" i="6"/>
  <c r="F734" i="6"/>
  <c r="F716" i="6"/>
  <c r="F698" i="6"/>
  <c r="F680" i="6"/>
  <c r="F662" i="6"/>
  <c r="F644" i="6"/>
  <c r="F626" i="6"/>
  <c r="F608" i="6"/>
  <c r="F590" i="6"/>
  <c r="F572" i="6"/>
  <c r="F554" i="6"/>
  <c r="F536" i="6"/>
  <c r="F518" i="6"/>
  <c r="F497" i="6"/>
  <c r="F471" i="6"/>
  <c r="F398" i="6"/>
  <c r="F685" i="6"/>
  <c r="F559" i="6"/>
  <c r="F541" i="6"/>
  <c r="F416" i="6"/>
  <c r="F805" i="6"/>
  <c r="F787" i="6"/>
  <c r="F769" i="6"/>
  <c r="F751" i="6"/>
  <c r="F733" i="6"/>
  <c r="F715" i="6"/>
  <c r="F697" i="6"/>
  <c r="F679" i="6"/>
  <c r="F661" i="6"/>
  <c r="F643" i="6"/>
  <c r="F625" i="6"/>
  <c r="F607" i="6"/>
  <c r="F589" i="6"/>
  <c r="F571" i="6"/>
  <c r="F553" i="6"/>
  <c r="F535" i="6"/>
  <c r="F517" i="6"/>
  <c r="F496" i="6"/>
  <c r="F470" i="6"/>
  <c r="F800" i="6"/>
  <c r="F782" i="6"/>
  <c r="F764" i="6"/>
  <c r="F746" i="6"/>
  <c r="F728" i="6"/>
  <c r="F710" i="6"/>
  <c r="F692" i="6"/>
  <c r="F674" i="6"/>
  <c r="F656" i="6"/>
  <c r="F638" i="6"/>
  <c r="F620" i="6"/>
  <c r="F602" i="6"/>
  <c r="F584" i="6"/>
  <c r="F566" i="6"/>
  <c r="F548" i="6"/>
  <c r="F530" i="6"/>
  <c r="F512" i="6"/>
  <c r="F489" i="6"/>
  <c r="F460" i="6"/>
  <c r="F721" i="6"/>
  <c r="F649" i="6"/>
  <c r="F595" i="6"/>
  <c r="F503" i="6"/>
  <c r="F799" i="6"/>
  <c r="F781" i="6"/>
  <c r="F763" i="6"/>
  <c r="F745" i="6"/>
  <c r="F727" i="6"/>
  <c r="F709" i="6"/>
  <c r="F691" i="6"/>
  <c r="F673" i="6"/>
  <c r="F655" i="6"/>
  <c r="F637" i="6"/>
  <c r="F619" i="6"/>
  <c r="F601" i="6"/>
  <c r="F583" i="6"/>
  <c r="F565" i="6"/>
  <c r="F547" i="6"/>
  <c r="F529" i="6"/>
  <c r="F510" i="6"/>
  <c r="F488" i="6"/>
  <c r="F448" i="6"/>
  <c r="F667" i="6"/>
  <c r="F613" i="6"/>
  <c r="F523" i="6"/>
  <c r="F478" i="6"/>
  <c r="F812" i="6"/>
  <c r="F794" i="6"/>
  <c r="F776" i="6"/>
  <c r="F758" i="6"/>
  <c r="F740" i="6"/>
  <c r="F722" i="6"/>
  <c r="F704" i="6"/>
  <c r="F686" i="6"/>
  <c r="F668" i="6"/>
  <c r="F650" i="6"/>
  <c r="F632" i="6"/>
  <c r="F614" i="6"/>
  <c r="F596" i="6"/>
  <c r="F578" i="6"/>
  <c r="F560" i="6"/>
  <c r="F542" i="6"/>
  <c r="F524" i="6"/>
  <c r="F504" i="6"/>
  <c r="F479" i="6"/>
  <c r="F434" i="6"/>
  <c r="F810" i="6"/>
  <c r="F804" i="6"/>
  <c r="F798" i="6"/>
  <c r="F792" i="6"/>
  <c r="F786" i="6"/>
  <c r="F780" i="6"/>
  <c r="F774" i="6"/>
  <c r="F768" i="6"/>
  <c r="F762" i="6"/>
  <c r="F756" i="6"/>
  <c r="F750" i="6"/>
  <c r="F744" i="6"/>
  <c r="F738" i="6"/>
  <c r="F732" i="6"/>
  <c r="F726" i="6"/>
  <c r="F720" i="6"/>
  <c r="F714" i="6"/>
  <c r="F708" i="6"/>
  <c r="F702" i="6"/>
  <c r="F696" i="6"/>
  <c r="F690" i="6"/>
  <c r="F684" i="6"/>
  <c r="F678" i="6"/>
  <c r="F672" i="6"/>
  <c r="F666" i="6"/>
  <c r="F660" i="6"/>
  <c r="F654" i="6"/>
  <c r="F648" i="6"/>
  <c r="F642" i="6"/>
  <c r="F636" i="6"/>
  <c r="F630" i="6"/>
  <c r="F624" i="6"/>
  <c r="F618" i="6"/>
  <c r="F612" i="6"/>
  <c r="F606" i="6"/>
  <c r="F600" i="6"/>
  <c r="F594" i="6"/>
  <c r="F588" i="6"/>
  <c r="F582" i="6"/>
  <c r="F576" i="6"/>
  <c r="F570" i="6"/>
  <c r="F564" i="6"/>
  <c r="F558" i="6"/>
  <c r="F552" i="6"/>
  <c r="F546" i="6"/>
  <c r="F540" i="6"/>
  <c r="F534" i="6"/>
  <c r="F528" i="6"/>
  <c r="F522" i="6"/>
  <c r="F516" i="6"/>
  <c r="F509" i="6"/>
  <c r="F502" i="6"/>
  <c r="F495" i="6"/>
  <c r="F485" i="6"/>
  <c r="F477" i="6"/>
  <c r="F467" i="6"/>
  <c r="F458" i="6"/>
  <c r="F446" i="6"/>
  <c r="F428" i="6"/>
  <c r="F410" i="6"/>
  <c r="F392" i="6"/>
  <c r="F15" i="6"/>
  <c r="F21" i="6"/>
  <c r="F388" i="6"/>
  <c r="F394" i="6"/>
  <c r="F400" i="6"/>
  <c r="F406" i="6"/>
  <c r="F412" i="6"/>
  <c r="F418" i="6"/>
  <c r="F424" i="6"/>
  <c r="F430" i="6"/>
  <c r="F436" i="6"/>
  <c r="F442" i="6"/>
  <c r="F28" i="6"/>
  <c r="F34" i="6"/>
  <c r="F389" i="6"/>
  <c r="F395" i="6"/>
  <c r="F401" i="6"/>
  <c r="F407" i="6"/>
  <c r="F413" i="6"/>
  <c r="F419" i="6"/>
  <c r="F425" i="6"/>
  <c r="F431" i="6"/>
  <c r="F437" i="6"/>
  <c r="F443" i="6"/>
  <c r="F449" i="6"/>
  <c r="F455" i="6"/>
  <c r="F461" i="6"/>
  <c r="F17" i="6"/>
  <c r="F23" i="6"/>
  <c r="F29" i="6"/>
  <c r="F390" i="6"/>
  <c r="F396" i="6"/>
  <c r="F402" i="6"/>
  <c r="F408" i="6"/>
  <c r="F414" i="6"/>
  <c r="F420" i="6"/>
  <c r="F426" i="6"/>
  <c r="F432" i="6"/>
  <c r="F438" i="6"/>
  <c r="F444" i="6"/>
  <c r="F450" i="6"/>
  <c r="F456" i="6"/>
  <c r="F462" i="6"/>
  <c r="F468" i="6"/>
  <c r="F474" i="6"/>
  <c r="F480" i="6"/>
  <c r="F486" i="6"/>
  <c r="F492" i="6"/>
  <c r="F30" i="6"/>
  <c r="F391" i="6"/>
  <c r="F397" i="6"/>
  <c r="F403" i="6"/>
  <c r="F409" i="6"/>
  <c r="F415" i="6"/>
  <c r="F421" i="6"/>
  <c r="F427" i="6"/>
  <c r="F433" i="6"/>
  <c r="F439" i="6"/>
  <c r="F445" i="6"/>
  <c r="F451" i="6"/>
  <c r="F457" i="6"/>
  <c r="F463" i="6"/>
  <c r="F469" i="6"/>
  <c r="F475" i="6"/>
  <c r="F481" i="6"/>
  <c r="F487" i="6"/>
  <c r="F493" i="6"/>
  <c r="F499" i="6"/>
  <c r="F505" i="6"/>
  <c r="F511" i="6"/>
  <c r="F13" i="6"/>
  <c r="F31" i="6"/>
  <c r="F809" i="6"/>
  <c r="F803" i="6"/>
  <c r="F797" i="6"/>
  <c r="F791" i="6"/>
  <c r="F785" i="6"/>
  <c r="F779" i="6"/>
  <c r="F773" i="6"/>
  <c r="F767" i="6"/>
  <c r="F761" i="6"/>
  <c r="F755" i="6"/>
  <c r="F749" i="6"/>
  <c r="F743" i="6"/>
  <c r="F737" i="6"/>
  <c r="F731" i="6"/>
  <c r="F725" i="6"/>
  <c r="F719" i="6"/>
  <c r="F713" i="6"/>
  <c r="F707" i="6"/>
  <c r="F701" i="6"/>
  <c r="F695" i="6"/>
  <c r="F689" i="6"/>
  <c r="F683" i="6"/>
  <c r="F677" i="6"/>
  <c r="F671" i="6"/>
  <c r="F665" i="6"/>
  <c r="F659" i="6"/>
  <c r="F653" i="6"/>
  <c r="F647" i="6"/>
  <c r="F641" i="6"/>
  <c r="F635" i="6"/>
  <c r="F629" i="6"/>
  <c r="F623" i="6"/>
  <c r="F617" i="6"/>
  <c r="F611" i="6"/>
  <c r="F605" i="6"/>
  <c r="F599" i="6"/>
  <c r="F593" i="6"/>
  <c r="F587" i="6"/>
  <c r="F581" i="6"/>
  <c r="F575" i="6"/>
  <c r="F569" i="6"/>
  <c r="F563" i="6"/>
  <c r="F557" i="6"/>
  <c r="F551" i="6"/>
  <c r="F545" i="6"/>
  <c r="F539" i="6"/>
  <c r="F533" i="6"/>
  <c r="F527" i="6"/>
  <c r="F521" i="6"/>
  <c r="F515" i="6"/>
  <c r="F508" i="6"/>
  <c r="F501" i="6"/>
  <c r="F494" i="6"/>
  <c r="F484" i="6"/>
  <c r="F476" i="6"/>
  <c r="F466" i="6"/>
  <c r="F454" i="6"/>
  <c r="F441" i="6"/>
  <c r="F423" i="6"/>
  <c r="F405" i="6"/>
  <c r="F459" i="6"/>
  <c r="F429" i="6"/>
  <c r="F393" i="6"/>
  <c r="F808" i="6"/>
  <c r="F802" i="6"/>
  <c r="F796" i="6"/>
  <c r="F790" i="6"/>
  <c r="F784" i="6"/>
  <c r="F778" i="6"/>
  <c r="F772" i="6"/>
  <c r="F766" i="6"/>
  <c r="F760" i="6"/>
  <c r="F754" i="6"/>
  <c r="F748" i="6"/>
  <c r="F742" i="6"/>
  <c r="F736" i="6"/>
  <c r="F730" i="6"/>
  <c r="F724" i="6"/>
  <c r="F718" i="6"/>
  <c r="F712" i="6"/>
  <c r="F706" i="6"/>
  <c r="F700" i="6"/>
  <c r="F694" i="6"/>
  <c r="F688" i="6"/>
  <c r="F682" i="6"/>
  <c r="F676" i="6"/>
  <c r="F670" i="6"/>
  <c r="F664" i="6"/>
  <c r="F658" i="6"/>
  <c r="F652" i="6"/>
  <c r="F646" i="6"/>
  <c r="F640" i="6"/>
  <c r="F634" i="6"/>
  <c r="F628" i="6"/>
  <c r="F622" i="6"/>
  <c r="F616" i="6"/>
  <c r="F610" i="6"/>
  <c r="F604" i="6"/>
  <c r="F598" i="6"/>
  <c r="F592" i="6"/>
  <c r="F586" i="6"/>
  <c r="F580" i="6"/>
  <c r="F574" i="6"/>
  <c r="F568" i="6"/>
  <c r="F562" i="6"/>
  <c r="F556" i="6"/>
  <c r="F550" i="6"/>
  <c r="F544" i="6"/>
  <c r="F538" i="6"/>
  <c r="F532" i="6"/>
  <c r="F526" i="6"/>
  <c r="F520" i="6"/>
  <c r="F514" i="6"/>
  <c r="F507" i="6"/>
  <c r="F500" i="6"/>
  <c r="F491" i="6"/>
  <c r="F483" i="6"/>
  <c r="F473" i="6"/>
  <c r="F465" i="6"/>
  <c r="F453" i="6"/>
  <c r="F440" i="6"/>
  <c r="F422" i="6"/>
  <c r="F404" i="6"/>
  <c r="F447" i="6"/>
  <c r="F411" i="6"/>
  <c r="F807" i="6"/>
  <c r="F801" i="6"/>
  <c r="F795" i="6"/>
  <c r="F789" i="6"/>
  <c r="F783" i="6"/>
  <c r="F777" i="6"/>
  <c r="F771" i="6"/>
  <c r="F765" i="6"/>
  <c r="F759" i="6"/>
  <c r="F753" i="6"/>
  <c r="F747" i="6"/>
  <c r="F741" i="6"/>
  <c r="F735" i="6"/>
  <c r="F729" i="6"/>
  <c r="F723" i="6"/>
  <c r="F717" i="6"/>
  <c r="F711" i="6"/>
  <c r="F705" i="6"/>
  <c r="F699" i="6"/>
  <c r="F693" i="6"/>
  <c r="F687" i="6"/>
  <c r="F681" i="6"/>
  <c r="F675" i="6"/>
  <c r="F669" i="6"/>
  <c r="F663" i="6"/>
  <c r="F657" i="6"/>
  <c r="F651" i="6"/>
  <c r="F645" i="6"/>
  <c r="F639" i="6"/>
  <c r="F633" i="6"/>
  <c r="F627" i="6"/>
  <c r="F621" i="6"/>
  <c r="F615" i="6"/>
  <c r="F609" i="6"/>
  <c r="F603" i="6"/>
  <c r="F597" i="6"/>
  <c r="F591" i="6"/>
  <c r="F585" i="6"/>
  <c r="F579" i="6"/>
  <c r="F573" i="6"/>
  <c r="F567" i="6"/>
  <c r="F561" i="6"/>
  <c r="F555" i="6"/>
  <c r="F549" i="6"/>
  <c r="F543" i="6"/>
  <c r="F537" i="6"/>
  <c r="F531" i="6"/>
  <c r="F525" i="6"/>
  <c r="F519" i="6"/>
  <c r="F513" i="6"/>
  <c r="F506" i="6"/>
  <c r="F498" i="6"/>
  <c r="F490" i="6"/>
  <c r="F482" i="6"/>
  <c r="F472" i="6"/>
  <c r="F464" i="6"/>
  <c r="F452" i="6"/>
  <c r="F435" i="6"/>
  <c r="F417" i="6"/>
  <c r="F399" i="6"/>
  <c r="A3" i="3"/>
  <c r="A3" i="6" s="1"/>
  <c r="R3" i="6"/>
  <c r="N3" i="6" a="1"/>
  <c r="N3" i="6" s="1"/>
  <c r="K3" i="6"/>
  <c r="Q3" i="6"/>
  <c r="P3" i="6"/>
  <c r="A7" i="3"/>
  <c r="A7" i="6" s="1"/>
  <c r="Q7" i="6"/>
  <c r="P7" i="6"/>
  <c r="L7" i="6"/>
  <c r="Q7" i="3"/>
  <c r="R7" i="6"/>
  <c r="G7" i="6"/>
  <c r="J7" i="6" s="1"/>
  <c r="K7" i="6"/>
  <c r="B7" i="6"/>
  <c r="F7" i="6" s="1"/>
  <c r="N7" i="6" a="1"/>
  <c r="N7" i="6" s="1"/>
  <c r="O7" i="6"/>
  <c r="M7" i="6" a="1"/>
  <c r="M7" i="6" s="1"/>
  <c r="A6" i="3"/>
  <c r="A6" i="6" s="1"/>
  <c r="Q6" i="3"/>
  <c r="R6" i="6"/>
  <c r="A5" i="3"/>
  <c r="A5" i="6" s="1"/>
  <c r="G5" i="6"/>
  <c r="H5" i="6" s="1"/>
  <c r="N5" i="6" a="1"/>
  <c r="N5" i="6" s="1"/>
  <c r="Q5" i="6"/>
  <c r="Q5" i="3"/>
  <c r="R5" i="6"/>
  <c r="P5" i="6"/>
  <c r="L5" i="6"/>
  <c r="A9" i="3"/>
  <c r="A9" i="6" s="1"/>
  <c r="R9" i="6"/>
  <c r="A2" i="3"/>
  <c r="A2" i="6" s="1"/>
  <c r="N2" i="6" a="1"/>
  <c r="N2" i="6" s="1"/>
  <c r="Q2" i="3"/>
  <c r="R2" i="6"/>
  <c r="A8" i="3"/>
  <c r="A8" i="6" s="1"/>
  <c r="N8" i="6" a="1"/>
  <c r="N8" i="6" s="1"/>
  <c r="G8" i="6"/>
  <c r="H8" i="6" s="1"/>
  <c r="M8" i="6" a="1"/>
  <c r="M8" i="6" s="1"/>
  <c r="K8" i="6"/>
  <c r="B8" i="6"/>
  <c r="F8" i="6" s="1"/>
  <c r="Q8" i="6"/>
  <c r="P8" i="6"/>
  <c r="L8" i="6"/>
  <c r="O8" i="6"/>
  <c r="B2" i="4" a="1"/>
  <c r="Q6" i="6"/>
  <c r="N6" i="6" a="1"/>
  <c r="N6" i="6" s="1"/>
  <c r="M5" i="6" a="1"/>
  <c r="M5" i="6" s="1"/>
  <c r="Q9" i="6"/>
  <c r="AB9" i="6" s="1"/>
  <c r="R8" i="6"/>
  <c r="Q8" i="3"/>
  <c r="N4" i="6" a="1"/>
  <c r="N4" i="6" s="1"/>
  <c r="B5" i="6"/>
  <c r="F5" i="6" s="1"/>
  <c r="K5" i="6"/>
  <c r="O5" i="6"/>
  <c r="Q9" i="3"/>
  <c r="Q3" i="3"/>
  <c r="G4" i="6"/>
  <c r="I4" i="6" s="1"/>
  <c r="M3" i="6" a="1"/>
  <c r="M3" i="6" s="1"/>
  <c r="Q4" i="3"/>
  <c r="G3" i="6"/>
  <c r="B3" i="6"/>
  <c r="F3" i="6" s="1"/>
  <c r="L3" i="6"/>
  <c r="O3" i="6"/>
  <c r="Q4" i="6"/>
  <c r="R4" i="6"/>
  <c r="M2" i="6" a="1"/>
  <c r="M2" i="6" s="1"/>
  <c r="L2" i="6"/>
  <c r="G2" i="6"/>
  <c r="H2" i="6" s="1"/>
  <c r="K2" i="6"/>
  <c r="B2" i="6"/>
  <c r="F2" i="6" s="1"/>
  <c r="O2" i="6"/>
  <c r="Q2" i="6"/>
  <c r="P2" i="6"/>
  <c r="O9" i="6"/>
  <c r="L9" i="6"/>
  <c r="N9" i="6" a="1"/>
  <c r="N9" i="6" s="1"/>
  <c r="P9" i="6"/>
  <c r="M9" i="6" a="1"/>
  <c r="M9" i="6" s="1"/>
  <c r="K9" i="6"/>
  <c r="B9" i="6"/>
  <c r="F9" i="6" s="1"/>
  <c r="G9" i="6"/>
  <c r="O4" i="6"/>
  <c r="K4" i="6"/>
  <c r="B4" i="6"/>
  <c r="F4" i="6" s="1"/>
  <c r="L4" i="6"/>
  <c r="M4" i="6" a="1"/>
  <c r="M4" i="6" s="1"/>
  <c r="P4" i="6"/>
  <c r="P6" i="6"/>
  <c r="L6" i="6"/>
  <c r="O6" i="6"/>
  <c r="K6" i="6"/>
  <c r="B6" i="6"/>
  <c r="F6" i="6" s="1"/>
  <c r="G6" i="6"/>
  <c r="M6" i="6" a="1"/>
  <c r="M6" i="6" s="1"/>
  <c r="J29" i="6" l="1"/>
  <c r="S35" i="6"/>
  <c r="AB16" i="6"/>
  <c r="E33" i="6"/>
  <c r="H16" i="6"/>
  <c r="J27" i="6"/>
  <c r="I19" i="6"/>
  <c r="H23" i="6"/>
  <c r="N5" i="4"/>
  <c r="N11" i="4"/>
  <c r="N17" i="4"/>
  <c r="N23" i="4"/>
  <c r="N29" i="4"/>
  <c r="N35" i="4"/>
  <c r="N41" i="4"/>
  <c r="N47" i="4"/>
  <c r="N53" i="4"/>
  <c r="N59" i="4"/>
  <c r="N65" i="4"/>
  <c r="N71" i="4"/>
  <c r="N77" i="4"/>
  <c r="N83" i="4"/>
  <c r="N89" i="4"/>
  <c r="N95" i="4"/>
  <c r="N6" i="4"/>
  <c r="N12" i="4"/>
  <c r="N18" i="4"/>
  <c r="N24" i="4"/>
  <c r="N30" i="4"/>
  <c r="N36" i="4"/>
  <c r="N42" i="4"/>
  <c r="N48" i="4"/>
  <c r="N54" i="4"/>
  <c r="N60" i="4"/>
  <c r="N66" i="4"/>
  <c r="N72" i="4"/>
  <c r="N78" i="4"/>
  <c r="N84" i="4"/>
  <c r="N90" i="4"/>
  <c r="N96" i="4"/>
  <c r="N7" i="4"/>
  <c r="N13" i="4"/>
  <c r="N19" i="4"/>
  <c r="N25" i="4"/>
  <c r="N31" i="4"/>
  <c r="N37" i="4"/>
  <c r="N43" i="4"/>
  <c r="N49" i="4"/>
  <c r="N55" i="4"/>
  <c r="N61" i="4"/>
  <c r="N67" i="4"/>
  <c r="N73" i="4"/>
  <c r="N79" i="4"/>
  <c r="N85" i="4"/>
  <c r="N91" i="4"/>
  <c r="N97" i="4"/>
  <c r="N8" i="4"/>
  <c r="N14" i="4"/>
  <c r="N20" i="4"/>
  <c r="N26" i="4"/>
  <c r="N32" i="4"/>
  <c r="N38" i="4"/>
  <c r="N44" i="4"/>
  <c r="N50" i="4"/>
  <c r="N56" i="4"/>
  <c r="N62" i="4"/>
  <c r="N68" i="4"/>
  <c r="N74" i="4"/>
  <c r="N80" i="4"/>
  <c r="N86" i="4"/>
  <c r="N92" i="4"/>
  <c r="N98" i="4"/>
  <c r="N3" i="4"/>
  <c r="N9" i="4"/>
  <c r="N15" i="4"/>
  <c r="N21" i="4"/>
  <c r="N27" i="4"/>
  <c r="N33" i="4"/>
  <c r="N39" i="4"/>
  <c r="N45" i="4"/>
  <c r="N51" i="4"/>
  <c r="N57" i="4"/>
  <c r="N63" i="4"/>
  <c r="N69" i="4"/>
  <c r="N75" i="4"/>
  <c r="N81" i="4"/>
  <c r="N87" i="4"/>
  <c r="N93" i="4"/>
  <c r="N99" i="4"/>
  <c r="N4" i="4"/>
  <c r="N10" i="4"/>
  <c r="N16" i="4"/>
  <c r="N22" i="4"/>
  <c r="N28" i="4"/>
  <c r="N34" i="4"/>
  <c r="N40" i="4"/>
  <c r="N46" i="4"/>
  <c r="N52" i="4"/>
  <c r="N58" i="4"/>
  <c r="N64" i="4"/>
  <c r="N70" i="4"/>
  <c r="N76" i="4"/>
  <c r="N82" i="4"/>
  <c r="N88" i="4"/>
  <c r="N94" i="4"/>
  <c r="I475" i="8"/>
  <c r="J4" i="4"/>
  <c r="M4" i="4" s="1"/>
  <c r="J10" i="4"/>
  <c r="M10" i="4" s="1"/>
  <c r="J16" i="4"/>
  <c r="M16" i="4" s="1"/>
  <c r="J22" i="4"/>
  <c r="M22" i="4" s="1"/>
  <c r="J28" i="4"/>
  <c r="M28" i="4" s="1"/>
  <c r="J34" i="4"/>
  <c r="M34" i="4" s="1"/>
  <c r="J40" i="4"/>
  <c r="M40" i="4" s="1"/>
  <c r="J46" i="4"/>
  <c r="M46" i="4" s="1"/>
  <c r="J52" i="4"/>
  <c r="M52" i="4" s="1"/>
  <c r="J58" i="4"/>
  <c r="M58" i="4" s="1"/>
  <c r="J64" i="4"/>
  <c r="M64" i="4" s="1"/>
  <c r="J70" i="4"/>
  <c r="M70" i="4" s="1"/>
  <c r="J76" i="4"/>
  <c r="M76" i="4" s="1"/>
  <c r="J82" i="4"/>
  <c r="M82" i="4" s="1"/>
  <c r="J88" i="4"/>
  <c r="M88" i="4" s="1"/>
  <c r="J94" i="4"/>
  <c r="M94" i="4" s="1"/>
  <c r="O16" i="4" a="1"/>
  <c r="O16" i="4" s="1"/>
  <c r="P16" i="4" s="1"/>
  <c r="O22" i="4" a="1"/>
  <c r="O22" i="4" s="1"/>
  <c r="P22" i="4" s="1"/>
  <c r="O28" i="4" a="1"/>
  <c r="O28" i="4" s="1"/>
  <c r="P28" i="4" s="1"/>
  <c r="O34" i="4" a="1"/>
  <c r="O34" i="4" s="1"/>
  <c r="P34" i="4" s="1"/>
  <c r="O40" i="4" a="1"/>
  <c r="O40" i="4" s="1"/>
  <c r="P40" i="4" s="1"/>
  <c r="O46" i="4" a="1"/>
  <c r="O46" i="4" s="1"/>
  <c r="P46" i="4" s="1"/>
  <c r="O52" i="4" a="1"/>
  <c r="O52" i="4" s="1"/>
  <c r="P52" i="4" s="1"/>
  <c r="O58" i="4" a="1"/>
  <c r="O58" i="4" s="1"/>
  <c r="P58" i="4" s="1"/>
  <c r="O64" i="4" a="1"/>
  <c r="O64" i="4" s="1"/>
  <c r="P64" i="4" s="1"/>
  <c r="O70" i="4" a="1"/>
  <c r="O70" i="4" s="1"/>
  <c r="P70" i="4" s="1"/>
  <c r="O76" i="4" a="1"/>
  <c r="O76" i="4" s="1"/>
  <c r="P76" i="4" s="1"/>
  <c r="O82" i="4" a="1"/>
  <c r="O82" i="4" s="1"/>
  <c r="P82" i="4" s="1"/>
  <c r="O88" i="4" a="1"/>
  <c r="O88" i="4" s="1"/>
  <c r="P88" i="4" s="1"/>
  <c r="O94" i="4" a="1"/>
  <c r="O94" i="4" s="1"/>
  <c r="P94" i="4" s="1"/>
  <c r="J5" i="4"/>
  <c r="M5" i="4" s="1"/>
  <c r="J11" i="4"/>
  <c r="M11" i="4" s="1"/>
  <c r="J17" i="4"/>
  <c r="M17" i="4" s="1"/>
  <c r="J23" i="4"/>
  <c r="M23" i="4" s="1"/>
  <c r="J29" i="4"/>
  <c r="M29" i="4" s="1"/>
  <c r="J35" i="4"/>
  <c r="M35" i="4" s="1"/>
  <c r="J41" i="4"/>
  <c r="M41" i="4" s="1"/>
  <c r="J47" i="4"/>
  <c r="M47" i="4" s="1"/>
  <c r="J53" i="4"/>
  <c r="M53" i="4" s="1"/>
  <c r="J59" i="4"/>
  <c r="M59" i="4" s="1"/>
  <c r="J65" i="4"/>
  <c r="M65" i="4" s="1"/>
  <c r="J71" i="4"/>
  <c r="M71" i="4" s="1"/>
  <c r="J77" i="4"/>
  <c r="M77" i="4" s="1"/>
  <c r="J83" i="4"/>
  <c r="M83" i="4" s="1"/>
  <c r="J89" i="4"/>
  <c r="M89" i="4" s="1"/>
  <c r="J95" i="4"/>
  <c r="M95" i="4" s="1"/>
  <c r="O11" i="4" a="1"/>
  <c r="O11" i="4" s="1"/>
  <c r="P11" i="4" s="1"/>
  <c r="O17" i="4" a="1"/>
  <c r="O17" i="4" s="1"/>
  <c r="P17" i="4" s="1"/>
  <c r="O23" i="4" a="1"/>
  <c r="O23" i="4" s="1"/>
  <c r="P23" i="4" s="1"/>
  <c r="O29" i="4" a="1"/>
  <c r="O29" i="4" s="1"/>
  <c r="P29" i="4" s="1"/>
  <c r="O35" i="4" a="1"/>
  <c r="O35" i="4" s="1"/>
  <c r="P35" i="4" s="1"/>
  <c r="O41" i="4" a="1"/>
  <c r="O41" i="4" s="1"/>
  <c r="P41" i="4" s="1"/>
  <c r="O47" i="4" a="1"/>
  <c r="O47" i="4" s="1"/>
  <c r="P47" i="4" s="1"/>
  <c r="O53" i="4" a="1"/>
  <c r="O53" i="4" s="1"/>
  <c r="P53" i="4" s="1"/>
  <c r="O59" i="4" a="1"/>
  <c r="O59" i="4" s="1"/>
  <c r="P59" i="4" s="1"/>
  <c r="O65" i="4" a="1"/>
  <c r="O65" i="4" s="1"/>
  <c r="P65" i="4" s="1"/>
  <c r="O71" i="4" a="1"/>
  <c r="O71" i="4" s="1"/>
  <c r="P71" i="4" s="1"/>
  <c r="O77" i="4" a="1"/>
  <c r="O77" i="4" s="1"/>
  <c r="P77" i="4" s="1"/>
  <c r="O83" i="4" a="1"/>
  <c r="O83" i="4" s="1"/>
  <c r="P83" i="4" s="1"/>
  <c r="O89" i="4" a="1"/>
  <c r="O89" i="4" s="1"/>
  <c r="P89" i="4" s="1"/>
  <c r="O95" i="4" a="1"/>
  <c r="O95" i="4" s="1"/>
  <c r="P95" i="4" s="1"/>
  <c r="J6" i="4"/>
  <c r="M6" i="4" s="1"/>
  <c r="J12" i="4"/>
  <c r="M12" i="4" s="1"/>
  <c r="J18" i="4"/>
  <c r="M18" i="4" s="1"/>
  <c r="J24" i="4"/>
  <c r="M24" i="4" s="1"/>
  <c r="J30" i="4"/>
  <c r="M30" i="4" s="1"/>
  <c r="J36" i="4"/>
  <c r="M36" i="4" s="1"/>
  <c r="J42" i="4"/>
  <c r="M42" i="4" s="1"/>
  <c r="J48" i="4"/>
  <c r="M48" i="4" s="1"/>
  <c r="J54" i="4"/>
  <c r="M54" i="4" s="1"/>
  <c r="J60" i="4"/>
  <c r="M60" i="4" s="1"/>
  <c r="J66" i="4"/>
  <c r="M66" i="4" s="1"/>
  <c r="J72" i="4"/>
  <c r="M72" i="4" s="1"/>
  <c r="J78" i="4"/>
  <c r="M78" i="4" s="1"/>
  <c r="J84" i="4"/>
  <c r="M84" i="4" s="1"/>
  <c r="J90" i="4"/>
  <c r="M90" i="4" s="1"/>
  <c r="J96" i="4"/>
  <c r="M96" i="4" s="1"/>
  <c r="O12" i="4" a="1"/>
  <c r="O12" i="4" s="1"/>
  <c r="P12" i="4" s="1"/>
  <c r="O18" i="4" a="1"/>
  <c r="O18" i="4" s="1"/>
  <c r="P18" i="4" s="1"/>
  <c r="O24" i="4" a="1"/>
  <c r="O24" i="4" s="1"/>
  <c r="P24" i="4" s="1"/>
  <c r="O30" i="4" a="1"/>
  <c r="O30" i="4" s="1"/>
  <c r="P30" i="4" s="1"/>
  <c r="O36" i="4" a="1"/>
  <c r="O36" i="4" s="1"/>
  <c r="P36" i="4" s="1"/>
  <c r="O42" i="4" a="1"/>
  <c r="O42" i="4" s="1"/>
  <c r="P42" i="4" s="1"/>
  <c r="O48" i="4" a="1"/>
  <c r="O48" i="4" s="1"/>
  <c r="P48" i="4" s="1"/>
  <c r="O54" i="4" a="1"/>
  <c r="O54" i="4" s="1"/>
  <c r="P54" i="4" s="1"/>
  <c r="O60" i="4" a="1"/>
  <c r="O60" i="4" s="1"/>
  <c r="P60" i="4" s="1"/>
  <c r="O66" i="4" a="1"/>
  <c r="O66" i="4" s="1"/>
  <c r="P66" i="4" s="1"/>
  <c r="O72" i="4" a="1"/>
  <c r="O72" i="4" s="1"/>
  <c r="P72" i="4" s="1"/>
  <c r="O78" i="4" a="1"/>
  <c r="O78" i="4" s="1"/>
  <c r="P78" i="4" s="1"/>
  <c r="O84" i="4" a="1"/>
  <c r="O84" i="4" s="1"/>
  <c r="P84" i="4" s="1"/>
  <c r="O90" i="4" a="1"/>
  <c r="O90" i="4" s="1"/>
  <c r="P90" i="4" s="1"/>
  <c r="O96" i="4" a="1"/>
  <c r="O96" i="4" s="1"/>
  <c r="P96" i="4" s="1"/>
  <c r="J7" i="4"/>
  <c r="M7" i="4" s="1"/>
  <c r="J13" i="4"/>
  <c r="M13" i="4" s="1"/>
  <c r="J19" i="4"/>
  <c r="M19" i="4" s="1"/>
  <c r="J25" i="4"/>
  <c r="M25" i="4" s="1"/>
  <c r="J31" i="4"/>
  <c r="M31" i="4" s="1"/>
  <c r="J37" i="4"/>
  <c r="M37" i="4" s="1"/>
  <c r="J43" i="4"/>
  <c r="M43" i="4" s="1"/>
  <c r="J49" i="4"/>
  <c r="M49" i="4" s="1"/>
  <c r="J55" i="4"/>
  <c r="M55" i="4" s="1"/>
  <c r="J61" i="4"/>
  <c r="M61" i="4" s="1"/>
  <c r="J67" i="4"/>
  <c r="M67" i="4" s="1"/>
  <c r="J73" i="4"/>
  <c r="M73" i="4" s="1"/>
  <c r="J79" i="4"/>
  <c r="M79" i="4" s="1"/>
  <c r="J85" i="4"/>
  <c r="M85" i="4" s="1"/>
  <c r="J91" i="4"/>
  <c r="M91" i="4" s="1"/>
  <c r="J97" i="4"/>
  <c r="M97" i="4" s="1"/>
  <c r="O13" i="4" a="1"/>
  <c r="O13" i="4" s="1"/>
  <c r="P13" i="4" s="1"/>
  <c r="O19" i="4" a="1"/>
  <c r="O19" i="4" s="1"/>
  <c r="P19" i="4" s="1"/>
  <c r="O25" i="4" a="1"/>
  <c r="O25" i="4" s="1"/>
  <c r="P25" i="4" s="1"/>
  <c r="O31" i="4" a="1"/>
  <c r="O31" i="4" s="1"/>
  <c r="P31" i="4" s="1"/>
  <c r="O37" i="4" a="1"/>
  <c r="O37" i="4" s="1"/>
  <c r="P37" i="4" s="1"/>
  <c r="O43" i="4" a="1"/>
  <c r="O43" i="4" s="1"/>
  <c r="P43" i="4" s="1"/>
  <c r="O49" i="4" a="1"/>
  <c r="O49" i="4" s="1"/>
  <c r="P49" i="4" s="1"/>
  <c r="O55" i="4" a="1"/>
  <c r="O55" i="4" s="1"/>
  <c r="P55" i="4" s="1"/>
  <c r="O61" i="4" a="1"/>
  <c r="O61" i="4" s="1"/>
  <c r="P61" i="4" s="1"/>
  <c r="O67" i="4" a="1"/>
  <c r="O67" i="4" s="1"/>
  <c r="P67" i="4" s="1"/>
  <c r="O73" i="4" a="1"/>
  <c r="O73" i="4" s="1"/>
  <c r="P73" i="4" s="1"/>
  <c r="O79" i="4" a="1"/>
  <c r="O79" i="4" s="1"/>
  <c r="P79" i="4" s="1"/>
  <c r="O85" i="4" a="1"/>
  <c r="O85" i="4" s="1"/>
  <c r="P85" i="4" s="1"/>
  <c r="O91" i="4" a="1"/>
  <c r="O91" i="4" s="1"/>
  <c r="P91" i="4" s="1"/>
  <c r="O97" i="4" a="1"/>
  <c r="O97" i="4" s="1"/>
  <c r="P97" i="4" s="1"/>
  <c r="J8" i="4"/>
  <c r="M8" i="4" s="1"/>
  <c r="J14" i="4"/>
  <c r="M14" i="4" s="1"/>
  <c r="J20" i="4"/>
  <c r="M20" i="4" s="1"/>
  <c r="J26" i="4"/>
  <c r="M26" i="4" s="1"/>
  <c r="J32" i="4"/>
  <c r="M32" i="4" s="1"/>
  <c r="J38" i="4"/>
  <c r="M38" i="4" s="1"/>
  <c r="J44" i="4"/>
  <c r="M44" i="4" s="1"/>
  <c r="J50" i="4"/>
  <c r="M50" i="4" s="1"/>
  <c r="J56" i="4"/>
  <c r="M56" i="4" s="1"/>
  <c r="J62" i="4"/>
  <c r="M62" i="4" s="1"/>
  <c r="J68" i="4"/>
  <c r="M68" i="4" s="1"/>
  <c r="J74" i="4"/>
  <c r="M74" i="4" s="1"/>
  <c r="J80" i="4"/>
  <c r="M80" i="4" s="1"/>
  <c r="J86" i="4"/>
  <c r="M86" i="4" s="1"/>
  <c r="J92" i="4"/>
  <c r="M92" i="4" s="1"/>
  <c r="J98" i="4"/>
  <c r="M98" i="4" s="1"/>
  <c r="O14" i="4" a="1"/>
  <c r="O14" i="4" s="1"/>
  <c r="P14" i="4" s="1"/>
  <c r="O20" i="4" a="1"/>
  <c r="O20" i="4" s="1"/>
  <c r="P20" i="4" s="1"/>
  <c r="O26" i="4" a="1"/>
  <c r="O26" i="4" s="1"/>
  <c r="P26" i="4" s="1"/>
  <c r="O32" i="4" a="1"/>
  <c r="O32" i="4" s="1"/>
  <c r="P32" i="4" s="1"/>
  <c r="O38" i="4" a="1"/>
  <c r="O38" i="4" s="1"/>
  <c r="P38" i="4" s="1"/>
  <c r="O44" i="4" a="1"/>
  <c r="O44" i="4" s="1"/>
  <c r="P44" i="4" s="1"/>
  <c r="O50" i="4" a="1"/>
  <c r="O50" i="4" s="1"/>
  <c r="P50" i="4" s="1"/>
  <c r="O56" i="4" a="1"/>
  <c r="O56" i="4" s="1"/>
  <c r="P56" i="4" s="1"/>
  <c r="O62" i="4" a="1"/>
  <c r="O62" i="4" s="1"/>
  <c r="P62" i="4" s="1"/>
  <c r="O68" i="4" a="1"/>
  <c r="O68" i="4" s="1"/>
  <c r="P68" i="4" s="1"/>
  <c r="O74" i="4" a="1"/>
  <c r="O74" i="4" s="1"/>
  <c r="P74" i="4" s="1"/>
  <c r="O80" i="4" a="1"/>
  <c r="O80" i="4" s="1"/>
  <c r="P80" i="4" s="1"/>
  <c r="O86" i="4" a="1"/>
  <c r="O86" i="4" s="1"/>
  <c r="P86" i="4" s="1"/>
  <c r="O92" i="4" a="1"/>
  <c r="O92" i="4" s="1"/>
  <c r="P92" i="4" s="1"/>
  <c r="O98" i="4" a="1"/>
  <c r="O98" i="4" s="1"/>
  <c r="P98" i="4" s="1"/>
  <c r="J3" i="4"/>
  <c r="M3" i="4" s="1"/>
  <c r="J9" i="4"/>
  <c r="M9" i="4" s="1"/>
  <c r="J15" i="4"/>
  <c r="M15" i="4" s="1"/>
  <c r="J21" i="4"/>
  <c r="M21" i="4" s="1"/>
  <c r="J27" i="4"/>
  <c r="M27" i="4" s="1"/>
  <c r="J33" i="4"/>
  <c r="M33" i="4" s="1"/>
  <c r="J39" i="4"/>
  <c r="M39" i="4" s="1"/>
  <c r="J45" i="4"/>
  <c r="M45" i="4" s="1"/>
  <c r="J51" i="4"/>
  <c r="M51" i="4" s="1"/>
  <c r="J57" i="4"/>
  <c r="M57" i="4" s="1"/>
  <c r="J63" i="4"/>
  <c r="M63" i="4" s="1"/>
  <c r="J69" i="4"/>
  <c r="M69" i="4" s="1"/>
  <c r="J75" i="4"/>
  <c r="M75" i="4" s="1"/>
  <c r="J81" i="4"/>
  <c r="M81" i="4" s="1"/>
  <c r="J87" i="4"/>
  <c r="M87" i="4" s="1"/>
  <c r="J93" i="4"/>
  <c r="M93" i="4" s="1"/>
  <c r="J99" i="4"/>
  <c r="M99" i="4" s="1"/>
  <c r="O15" i="4" a="1"/>
  <c r="O15" i="4" s="1"/>
  <c r="P15" i="4" s="1"/>
  <c r="O21" i="4" a="1"/>
  <c r="O21" i="4" s="1"/>
  <c r="P21" i="4" s="1"/>
  <c r="O27" i="4" a="1"/>
  <c r="O27" i="4" s="1"/>
  <c r="P27" i="4" s="1"/>
  <c r="O33" i="4" a="1"/>
  <c r="O33" i="4" s="1"/>
  <c r="P33" i="4" s="1"/>
  <c r="O39" i="4" a="1"/>
  <c r="O39" i="4" s="1"/>
  <c r="P39" i="4" s="1"/>
  <c r="O45" i="4" a="1"/>
  <c r="O45" i="4" s="1"/>
  <c r="P45" i="4" s="1"/>
  <c r="O51" i="4" a="1"/>
  <c r="O51" i="4" s="1"/>
  <c r="P51" i="4" s="1"/>
  <c r="O57" i="4" a="1"/>
  <c r="O57" i="4" s="1"/>
  <c r="P57" i="4" s="1"/>
  <c r="O63" i="4" a="1"/>
  <c r="O63" i="4" s="1"/>
  <c r="P63" i="4" s="1"/>
  <c r="O69" i="4" a="1"/>
  <c r="O69" i="4" s="1"/>
  <c r="P69" i="4" s="1"/>
  <c r="O75" i="4" a="1"/>
  <c r="O75" i="4" s="1"/>
  <c r="P75" i="4" s="1"/>
  <c r="O81" i="4" a="1"/>
  <c r="O81" i="4" s="1"/>
  <c r="P81" i="4" s="1"/>
  <c r="O87" i="4" a="1"/>
  <c r="O87" i="4" s="1"/>
  <c r="P87" i="4" s="1"/>
  <c r="O93" i="4" a="1"/>
  <c r="O93" i="4" s="1"/>
  <c r="P93" i="4" s="1"/>
  <c r="O99" i="4" a="1"/>
  <c r="O99" i="4" s="1"/>
  <c r="P99" i="4" s="1"/>
  <c r="I630" i="8"/>
  <c r="I380" i="8"/>
  <c r="I259" i="8"/>
  <c r="I291" i="8"/>
  <c r="I456" i="8"/>
  <c r="I194" i="8"/>
  <c r="I323" i="8"/>
  <c r="I282" i="8"/>
  <c r="I372" i="8"/>
  <c r="I440" i="8"/>
  <c r="I353" i="8"/>
  <c r="I400" i="8"/>
  <c r="I512" i="8"/>
  <c r="I612" i="8"/>
  <c r="I500" i="8"/>
  <c r="I484" i="8"/>
  <c r="I572" i="8"/>
  <c r="I432" i="8"/>
  <c r="I487" i="8"/>
  <c r="I185" i="8"/>
  <c r="I307" i="8"/>
  <c r="I516" i="8"/>
  <c r="I382" i="8"/>
  <c r="I252" i="8"/>
  <c r="I284" i="8"/>
  <c r="I403" i="8"/>
  <c r="I596" i="8"/>
  <c r="I464" i="8"/>
  <c r="I412" i="8"/>
  <c r="I315" i="8"/>
  <c r="I448" i="8"/>
  <c r="I428" i="8"/>
  <c r="I605" i="8"/>
  <c r="I549" i="8"/>
  <c r="O3" i="4" a="1"/>
  <c r="O3" i="4" s="1"/>
  <c r="P3" i="4" s="1"/>
  <c r="O4" i="4" a="1"/>
  <c r="O4" i="4" s="1"/>
  <c r="P4" i="4" s="1"/>
  <c r="O7" i="4" a="1"/>
  <c r="O7" i="4" s="1"/>
  <c r="P7" i="4" s="1"/>
  <c r="O9" i="4" a="1"/>
  <c r="O9" i="4" s="1"/>
  <c r="P9" i="4" s="1"/>
  <c r="O10" i="4" a="1"/>
  <c r="O10" i="4" s="1"/>
  <c r="P10" i="4" s="1"/>
  <c r="O6" i="4" a="1"/>
  <c r="O6" i="4" s="1"/>
  <c r="P6" i="4" s="1"/>
  <c r="O5" i="4" a="1"/>
  <c r="O5" i="4" s="1"/>
  <c r="P5" i="4" s="1"/>
  <c r="O8" i="4" a="1"/>
  <c r="O8" i="4" s="1"/>
  <c r="P8" i="4" s="1"/>
  <c r="I299" i="8"/>
  <c r="I504" i="8"/>
  <c r="I275" i="8"/>
  <c r="I496" i="8"/>
  <c r="I480" i="8"/>
  <c r="I435" i="8"/>
  <c r="I339" i="8"/>
  <c r="I604" i="8"/>
  <c r="I588" i="8"/>
  <c r="I251" i="8"/>
  <c r="I399" i="8"/>
  <c r="I511" i="8"/>
  <c r="I447" i="8"/>
  <c r="I349" i="8"/>
  <c r="I381" i="8"/>
  <c r="I314" i="8"/>
  <c r="I161" i="8"/>
  <c r="I650" i="8"/>
  <c r="I515" i="8"/>
  <c r="I345" i="8"/>
  <c r="I524" i="8"/>
  <c r="I513" i="8"/>
  <c r="I632" i="8"/>
  <c r="I624" i="8"/>
  <c r="I620" i="8"/>
  <c r="I617" i="8"/>
  <c r="I607" i="8"/>
  <c r="I585" i="8"/>
  <c r="I567" i="8"/>
  <c r="I559" i="8"/>
  <c r="I629" i="8"/>
  <c r="I625" i="8"/>
  <c r="I597" i="8"/>
  <c r="I595" i="8"/>
  <c r="I579" i="8"/>
  <c r="I563" i="8"/>
  <c r="I541" i="8"/>
  <c r="I517" i="8"/>
  <c r="H699" i="1"/>
  <c r="H683" i="1"/>
  <c r="H679" i="1"/>
  <c r="H663" i="1"/>
  <c r="H647" i="1"/>
  <c r="H631" i="1"/>
  <c r="H615" i="1"/>
  <c r="H599" i="1"/>
  <c r="H583" i="1"/>
  <c r="H567" i="1"/>
  <c r="H551" i="1"/>
  <c r="H535" i="1"/>
  <c r="H519" i="1"/>
  <c r="H503" i="1"/>
  <c r="H487" i="1"/>
  <c r="H471" i="1"/>
  <c r="H455" i="1"/>
  <c r="H439" i="1"/>
  <c r="H423" i="1"/>
  <c r="H407" i="1"/>
  <c r="H391" i="1"/>
  <c r="H375" i="1"/>
  <c r="H359" i="1"/>
  <c r="H343" i="1"/>
  <c r="H327" i="1"/>
  <c r="H311" i="1"/>
  <c r="H295" i="1"/>
  <c r="H279" i="1"/>
  <c r="H263" i="1"/>
  <c r="H247" i="1"/>
  <c r="H231" i="1"/>
  <c r="H215" i="1"/>
  <c r="H199" i="1"/>
  <c r="H710" i="1"/>
  <c r="H694" i="1"/>
  <c r="H654" i="1"/>
  <c r="H638" i="1"/>
  <c r="H622" i="1"/>
  <c r="H606" i="1"/>
  <c r="H590" i="1"/>
  <c r="H574" i="1"/>
  <c r="H558" i="1"/>
  <c r="H542" i="1"/>
  <c r="H526" i="1"/>
  <c r="H510" i="1"/>
  <c r="H486" i="1"/>
  <c r="H470" i="1"/>
  <c r="H446" i="1"/>
  <c r="H430" i="1"/>
  <c r="H414" i="1"/>
  <c r="H398" i="1"/>
  <c r="H382" i="1"/>
  <c r="H366" i="1"/>
  <c r="H350" i="1"/>
  <c r="H334" i="1"/>
  <c r="H318" i="1"/>
  <c r="H302" i="1"/>
  <c r="H294" i="1"/>
  <c r="H278" i="1"/>
  <c r="H262" i="1"/>
  <c r="H246" i="1"/>
  <c r="H230" i="1"/>
  <c r="H214" i="1"/>
  <c r="H198" i="1"/>
  <c r="H709" i="1"/>
  <c r="H693" i="1"/>
  <c r="H669" i="1"/>
  <c r="H649" i="1"/>
  <c r="H633" i="1"/>
  <c r="H617" i="1"/>
  <c r="H601" i="1"/>
  <c r="H585" i="1"/>
  <c r="H569" i="1"/>
  <c r="H553" i="1"/>
  <c r="H537" i="1"/>
  <c r="H521" i="1"/>
  <c r="H505" i="1"/>
  <c r="H493" i="1"/>
  <c r="H477" i="1"/>
  <c r="H457" i="1"/>
  <c r="H441" i="1"/>
  <c r="H703" i="1"/>
  <c r="H687" i="1"/>
  <c r="H667" i="1"/>
  <c r="H651" i="1"/>
  <c r="H635" i="1"/>
  <c r="H619" i="1"/>
  <c r="H603" i="1"/>
  <c r="H587" i="1"/>
  <c r="H571" i="1"/>
  <c r="H555" i="1"/>
  <c r="H539" i="1"/>
  <c r="H523" i="1"/>
  <c r="H507" i="1"/>
  <c r="H491" i="1"/>
  <c r="H475" i="1"/>
  <c r="H459" i="1"/>
  <c r="H443" i="1"/>
  <c r="H427" i="1"/>
  <c r="H411" i="1"/>
  <c r="H395" i="1"/>
  <c r="H379" i="1"/>
  <c r="H363" i="1"/>
  <c r="H347" i="1"/>
  <c r="H331" i="1"/>
  <c r="H315" i="1"/>
  <c r="H299" i="1"/>
  <c r="H283" i="1"/>
  <c r="H267" i="1"/>
  <c r="H251" i="1"/>
  <c r="H235" i="1"/>
  <c r="H219" i="1"/>
  <c r="H203" i="1"/>
  <c r="H187" i="1"/>
  <c r="H698" i="1"/>
  <c r="H682" i="1"/>
  <c r="H670" i="1"/>
  <c r="H666" i="1"/>
  <c r="H658" i="1"/>
  <c r="H642" i="1"/>
  <c r="H626" i="1"/>
  <c r="H610" i="1"/>
  <c r="H594" i="1"/>
  <c r="H578" i="1"/>
  <c r="H562" i="1"/>
  <c r="H546" i="1"/>
  <c r="H530" i="1"/>
  <c r="H514" i="1"/>
  <c r="H490" i="1"/>
  <c r="H474" i="1"/>
  <c r="H450" i="1"/>
  <c r="H434" i="1"/>
  <c r="H418" i="1"/>
  <c r="H402" i="1"/>
  <c r="H386" i="1"/>
  <c r="H370" i="1"/>
  <c r="H354" i="1"/>
  <c r="H338" i="1"/>
  <c r="H322" i="1"/>
  <c r="H306" i="1"/>
  <c r="H298" i="1"/>
  <c r="H282" i="1"/>
  <c r="H266" i="1"/>
  <c r="H250" i="1"/>
  <c r="H234" i="1"/>
  <c r="H218" i="1"/>
  <c r="H202" i="1"/>
  <c r="H697" i="1"/>
  <c r="H681" i="1"/>
  <c r="H673" i="1"/>
  <c r="H653" i="1"/>
  <c r="H637" i="1"/>
  <c r="H621" i="1"/>
  <c r="H605" i="1"/>
  <c r="H589" i="1"/>
  <c r="H573" i="1"/>
  <c r="H557" i="1"/>
  <c r="H541" i="1"/>
  <c r="H525" i="1"/>
  <c r="H509" i="1"/>
  <c r="H497" i="1"/>
  <c r="H707" i="1"/>
  <c r="H691" i="1"/>
  <c r="H671" i="1"/>
  <c r="H655" i="1"/>
  <c r="H639" i="1"/>
  <c r="H623" i="1"/>
  <c r="H607" i="1"/>
  <c r="H591" i="1"/>
  <c r="H575" i="1"/>
  <c r="H559" i="1"/>
  <c r="H543" i="1"/>
  <c r="H527" i="1"/>
  <c r="H511" i="1"/>
  <c r="H495" i="1"/>
  <c r="H479" i="1"/>
  <c r="H463" i="1"/>
  <c r="H447" i="1"/>
  <c r="H431" i="1"/>
  <c r="H415" i="1"/>
  <c r="H399" i="1"/>
  <c r="H383" i="1"/>
  <c r="H367" i="1"/>
  <c r="H351" i="1"/>
  <c r="H335" i="1"/>
  <c r="H319" i="1"/>
  <c r="H303" i="1"/>
  <c r="H287" i="1"/>
  <c r="H271" i="1"/>
  <c r="H255" i="1"/>
  <c r="H239" i="1"/>
  <c r="H223" i="1"/>
  <c r="H207" i="1"/>
  <c r="H191" i="1"/>
  <c r="H702" i="1"/>
  <c r="H686" i="1"/>
  <c r="H662" i="1"/>
  <c r="H646" i="1"/>
  <c r="H630" i="1"/>
  <c r="H614" i="1"/>
  <c r="H598" i="1"/>
  <c r="H582" i="1"/>
  <c r="H566" i="1"/>
  <c r="H550" i="1"/>
  <c r="H534" i="1"/>
  <c r="H518" i="1"/>
  <c r="H502" i="1"/>
  <c r="H494" i="1"/>
  <c r="H478" i="1"/>
  <c r="H462" i="1"/>
  <c r="H454" i="1"/>
  <c r="H438" i="1"/>
  <c r="H422" i="1"/>
  <c r="H406" i="1"/>
  <c r="H390" i="1"/>
  <c r="H374" i="1"/>
  <c r="H358" i="1"/>
  <c r="H342" i="1"/>
  <c r="H326" i="1"/>
  <c r="H310" i="1"/>
  <c r="H286" i="1"/>
  <c r="H270" i="1"/>
  <c r="H254" i="1"/>
  <c r="H238" i="1"/>
  <c r="H222" i="1"/>
  <c r="H206" i="1"/>
  <c r="H190" i="1"/>
  <c r="H701" i="1"/>
  <c r="H685" i="1"/>
  <c r="H677" i="1"/>
  <c r="H657" i="1"/>
  <c r="H641" i="1"/>
  <c r="H625" i="1"/>
  <c r="H609" i="1"/>
  <c r="H593" i="1"/>
  <c r="H577" i="1"/>
  <c r="H561" i="1"/>
  <c r="H545" i="1"/>
  <c r="H529" i="1"/>
  <c r="H513" i="1"/>
  <c r="H485" i="1"/>
  <c r="H469" i="1"/>
  <c r="H449" i="1"/>
  <c r="H433" i="1"/>
  <c r="H417" i="1"/>
  <c r="H401" i="1"/>
  <c r="H196" i="1"/>
  <c r="H212" i="1"/>
  <c r="H228" i="1"/>
  <c r="H244" i="1"/>
  <c r="H260" i="1"/>
  <c r="H276" i="1"/>
  <c r="H292" i="1"/>
  <c r="H304" i="1"/>
  <c r="H320" i="1"/>
  <c r="H336" i="1"/>
  <c r="H352" i="1"/>
  <c r="H368" i="1"/>
  <c r="H384" i="1"/>
  <c r="H400" i="1"/>
  <c r="H416" i="1"/>
  <c r="H432" i="1"/>
  <c r="H448" i="1"/>
  <c r="H468" i="1"/>
  <c r="H484" i="1"/>
  <c r="H512" i="1"/>
  <c r="H528" i="1"/>
  <c r="H544" i="1"/>
  <c r="H560" i="1"/>
  <c r="H576" i="1"/>
  <c r="H592" i="1"/>
  <c r="H608" i="1"/>
  <c r="H624" i="1"/>
  <c r="H640" i="1"/>
  <c r="H656" i="1"/>
  <c r="H676" i="1"/>
  <c r="H680" i="1"/>
  <c r="H696" i="1"/>
  <c r="H193" i="1"/>
  <c r="H209" i="1"/>
  <c r="H225" i="1"/>
  <c r="H241" i="1"/>
  <c r="H257" i="1"/>
  <c r="H273" i="1"/>
  <c r="H289" i="1"/>
  <c r="H301" i="1"/>
  <c r="H317" i="1"/>
  <c r="H333" i="1"/>
  <c r="H349" i="1"/>
  <c r="H365" i="1"/>
  <c r="H381" i="1"/>
  <c r="H397" i="1"/>
  <c r="H409" i="1"/>
  <c r="H421" i="1"/>
  <c r="H445" i="1"/>
  <c r="H481" i="1"/>
  <c r="H517" i="1"/>
  <c r="H581" i="1"/>
  <c r="H645" i="1"/>
  <c r="H689" i="1"/>
  <c r="H210" i="1"/>
  <c r="H274" i="1"/>
  <c r="H314" i="1"/>
  <c r="H378" i="1"/>
  <c r="H442" i="1"/>
  <c r="H466" i="1"/>
  <c r="H554" i="1"/>
  <c r="H618" i="1"/>
  <c r="H706" i="1"/>
  <c r="H243" i="1"/>
  <c r="H307" i="1"/>
  <c r="H371" i="1"/>
  <c r="H435" i="1"/>
  <c r="H499" i="1"/>
  <c r="H563" i="1"/>
  <c r="H627" i="1"/>
  <c r="H711" i="1"/>
  <c r="H192" i="1"/>
  <c r="H208" i="1"/>
  <c r="H224" i="1"/>
  <c r="H240" i="1"/>
  <c r="H256" i="1"/>
  <c r="H272" i="1"/>
  <c r="H288" i="1"/>
  <c r="H300" i="1"/>
  <c r="H316" i="1"/>
  <c r="H332" i="1"/>
  <c r="H348" i="1"/>
  <c r="H364" i="1"/>
  <c r="H380" i="1"/>
  <c r="H396" i="1"/>
  <c r="H412" i="1"/>
  <c r="H428" i="1"/>
  <c r="H444" i="1"/>
  <c r="H460" i="1"/>
  <c r="H464" i="1"/>
  <c r="H480" i="1"/>
  <c r="H496" i="1"/>
  <c r="H508" i="1"/>
  <c r="H524" i="1"/>
  <c r="H540" i="1"/>
  <c r="H556" i="1"/>
  <c r="H572" i="1"/>
  <c r="H588" i="1"/>
  <c r="H604" i="1"/>
  <c r="H620" i="1"/>
  <c r="H636" i="1"/>
  <c r="H652" i="1"/>
  <c r="H672" i="1"/>
  <c r="H692" i="1"/>
  <c r="H708" i="1"/>
  <c r="H189" i="1"/>
  <c r="H205" i="1"/>
  <c r="H221" i="1"/>
  <c r="H237" i="1"/>
  <c r="H253" i="1"/>
  <c r="H269" i="1"/>
  <c r="H285" i="1"/>
  <c r="H313" i="1"/>
  <c r="H329" i="1"/>
  <c r="H345" i="1"/>
  <c r="H361" i="1"/>
  <c r="H377" i="1"/>
  <c r="H393" i="1"/>
  <c r="H405" i="1"/>
  <c r="H453" i="1"/>
  <c r="H489" i="1"/>
  <c r="H533" i="1"/>
  <c r="H597" i="1"/>
  <c r="H661" i="1"/>
  <c r="H665" i="1"/>
  <c r="H705" i="1"/>
  <c r="H226" i="1"/>
  <c r="H290" i="1"/>
  <c r="H330" i="1"/>
  <c r="H394" i="1"/>
  <c r="H458" i="1"/>
  <c r="H482" i="1"/>
  <c r="H506" i="1"/>
  <c r="H570" i="1"/>
  <c r="H634" i="1"/>
  <c r="H674" i="1"/>
  <c r="H678" i="1"/>
  <c r="H195" i="1"/>
  <c r="H259" i="1"/>
  <c r="H323" i="1"/>
  <c r="H387" i="1"/>
  <c r="H451" i="1"/>
  <c r="H515" i="1"/>
  <c r="H579" i="1"/>
  <c r="H643" i="1"/>
  <c r="H188" i="1"/>
  <c r="H204" i="1"/>
  <c r="H220" i="1"/>
  <c r="H236" i="1"/>
  <c r="H252" i="1"/>
  <c r="H268" i="1"/>
  <c r="H284" i="1"/>
  <c r="H312" i="1"/>
  <c r="H328" i="1"/>
  <c r="H344" i="1"/>
  <c r="H360" i="1"/>
  <c r="H376" i="1"/>
  <c r="H392" i="1"/>
  <c r="H408" i="1"/>
  <c r="H424" i="1"/>
  <c r="H440" i="1"/>
  <c r="H456" i="1"/>
  <c r="H476" i="1"/>
  <c r="H492" i="1"/>
  <c r="H504" i="1"/>
  <c r="H520" i="1"/>
  <c r="H536" i="1"/>
  <c r="H552" i="1"/>
  <c r="H568" i="1"/>
  <c r="H584" i="1"/>
  <c r="H600" i="1"/>
  <c r="H616" i="1"/>
  <c r="H632" i="1"/>
  <c r="H648" i="1"/>
  <c r="H668" i="1"/>
  <c r="H688" i="1"/>
  <c r="H704" i="1"/>
  <c r="H201" i="1"/>
  <c r="H217" i="1"/>
  <c r="H233" i="1"/>
  <c r="H249" i="1"/>
  <c r="H265" i="1"/>
  <c r="H281" i="1"/>
  <c r="H297" i="1"/>
  <c r="H309" i="1"/>
  <c r="H325" i="1"/>
  <c r="H341" i="1"/>
  <c r="H357" i="1"/>
  <c r="H373" i="1"/>
  <c r="H389" i="1"/>
  <c r="H429" i="1"/>
  <c r="H461" i="1"/>
  <c r="H465" i="1"/>
  <c r="H549" i="1"/>
  <c r="H613" i="1"/>
  <c r="H242" i="1"/>
  <c r="H346" i="1"/>
  <c r="H410" i="1"/>
  <c r="H498" i="1"/>
  <c r="H522" i="1"/>
  <c r="H586" i="1"/>
  <c r="H650" i="1"/>
  <c r="H211" i="1"/>
  <c r="H275" i="1"/>
  <c r="H339" i="1"/>
  <c r="H403" i="1"/>
  <c r="H467" i="1"/>
  <c r="H531" i="1"/>
  <c r="H595" i="1"/>
  <c r="H659" i="1"/>
  <c r="H200" i="1"/>
  <c r="H216" i="1"/>
  <c r="H232" i="1"/>
  <c r="H248" i="1"/>
  <c r="H264" i="1"/>
  <c r="H280" i="1"/>
  <c r="H296" i="1"/>
  <c r="H308" i="1"/>
  <c r="H324" i="1"/>
  <c r="H340" i="1"/>
  <c r="H356" i="1"/>
  <c r="H372" i="1"/>
  <c r="H388" i="1"/>
  <c r="H404" i="1"/>
  <c r="H420" i="1"/>
  <c r="H436" i="1"/>
  <c r="H452" i="1"/>
  <c r="H472" i="1"/>
  <c r="H488" i="1"/>
  <c r="H500" i="1"/>
  <c r="H516" i="1"/>
  <c r="H532" i="1"/>
  <c r="H548" i="1"/>
  <c r="H564" i="1"/>
  <c r="H580" i="1"/>
  <c r="H596" i="1"/>
  <c r="H612" i="1"/>
  <c r="H628" i="1"/>
  <c r="H644" i="1"/>
  <c r="H660" i="1"/>
  <c r="H664" i="1"/>
  <c r="H684" i="1"/>
  <c r="H700" i="1"/>
  <c r="H197" i="1"/>
  <c r="H213" i="1"/>
  <c r="H229" i="1"/>
  <c r="H245" i="1"/>
  <c r="H261" i="1"/>
  <c r="H277" i="1"/>
  <c r="H293" i="1"/>
  <c r="H305" i="1"/>
  <c r="H321" i="1"/>
  <c r="H337" i="1"/>
  <c r="H353" i="1"/>
  <c r="H369" i="1"/>
  <c r="H385" i="1"/>
  <c r="H413" i="1"/>
  <c r="H425" i="1"/>
  <c r="H437" i="1"/>
  <c r="H473" i="1"/>
  <c r="H501" i="1"/>
  <c r="H565" i="1"/>
  <c r="H629" i="1"/>
  <c r="H194" i="1"/>
  <c r="H258" i="1"/>
  <c r="H362" i="1"/>
  <c r="H426" i="1"/>
  <c r="H538" i="1"/>
  <c r="H602" i="1"/>
  <c r="H690" i="1"/>
  <c r="H227" i="1"/>
  <c r="H291" i="1"/>
  <c r="H355" i="1"/>
  <c r="H419" i="1"/>
  <c r="H483" i="1"/>
  <c r="H547" i="1"/>
  <c r="H611" i="1"/>
  <c r="H675" i="1"/>
  <c r="H695" i="1"/>
  <c r="I202" i="8"/>
  <c r="I243" i="8"/>
  <c r="I539" i="8"/>
  <c r="I573" i="8"/>
  <c r="I569" i="8"/>
  <c r="I583" i="8"/>
  <c r="I615" i="8"/>
  <c r="I298" i="8"/>
  <c r="I436" i="8"/>
  <c r="I348" i="8"/>
  <c r="I227" i="8"/>
  <c r="I361" i="8"/>
  <c r="I525" i="8"/>
  <c r="I565" i="8"/>
  <c r="I581" i="8"/>
  <c r="I613" i="8"/>
  <c r="I633" i="8"/>
  <c r="I551" i="8"/>
  <c r="I575" i="8"/>
  <c r="I599" i="8"/>
  <c r="I609" i="8"/>
  <c r="I636" i="8"/>
  <c r="I532" i="8"/>
  <c r="I324" i="8"/>
  <c r="I519" i="8"/>
  <c r="I503" i="8"/>
  <c r="I292" i="8"/>
  <c r="I364" i="8"/>
  <c r="I404" i="8"/>
  <c r="I235" i="8"/>
  <c r="I385" i="8"/>
  <c r="I533" i="8"/>
  <c r="I571" i="8"/>
  <c r="I603" i="8"/>
  <c r="I621" i="8"/>
  <c r="I637" i="8"/>
  <c r="I577" i="8"/>
  <c r="I640" i="8"/>
  <c r="I521" i="8"/>
  <c r="I537" i="8"/>
  <c r="I193" i="8"/>
  <c r="I316" i="8"/>
  <c r="I507" i="8"/>
  <c r="I177" i="8"/>
  <c r="I266" i="8"/>
  <c r="I181" i="8"/>
  <c r="I164" i="8"/>
  <c r="I174" i="8"/>
  <c r="I196" i="8"/>
  <c r="I206" i="8"/>
  <c r="I197" i="8"/>
  <c r="I249" i="8"/>
  <c r="I265" i="8"/>
  <c r="I281" i="8"/>
  <c r="I297" i="8"/>
  <c r="I313" i="8"/>
  <c r="I501" i="8"/>
  <c r="I442" i="8"/>
  <c r="I477" i="8"/>
  <c r="I562" i="8"/>
  <c r="I578" i="8"/>
  <c r="I594" i="8"/>
  <c r="I610" i="8"/>
  <c r="I643" i="8"/>
  <c r="I659" i="8"/>
  <c r="I414" i="8"/>
  <c r="I639" i="8"/>
  <c r="I584" i="8"/>
  <c r="I390" i="8"/>
  <c r="I543" i="8"/>
  <c r="I564" i="8"/>
  <c r="I153" i="8"/>
  <c r="I222" i="8"/>
  <c r="I308" i="8"/>
  <c r="I483" i="8"/>
  <c r="I283" i="8"/>
  <c r="I357" i="8"/>
  <c r="I416" i="8"/>
  <c r="I443" i="8"/>
  <c r="I455" i="8"/>
  <c r="I476" i="8"/>
  <c r="I322" i="8"/>
  <c r="I350" i="8"/>
  <c r="I408" i="8"/>
  <c r="I287" i="8"/>
  <c r="I461" i="8"/>
  <c r="I201" i="8"/>
  <c r="I423" i="8"/>
  <c r="I267" i="8"/>
  <c r="I331" i="8"/>
  <c r="I427" i="8"/>
  <c r="I531" i="8"/>
  <c r="I514" i="8"/>
  <c r="I530" i="8"/>
  <c r="I169" i="8"/>
  <c r="I162" i="8"/>
  <c r="I268" i="8"/>
  <c r="I366" i="8"/>
  <c r="I389" i="8"/>
  <c r="I415" i="8"/>
  <c r="I424" i="8"/>
  <c r="I666" i="8"/>
  <c r="I467" i="8"/>
  <c r="I540" i="8"/>
  <c r="I379" i="8"/>
  <c r="I210" i="8"/>
  <c r="I213" i="8"/>
  <c r="I226" i="8"/>
  <c r="I229" i="8"/>
  <c r="I242" i="8"/>
  <c r="I437" i="8"/>
  <c r="I506" i="8"/>
  <c r="I590" i="8"/>
  <c r="I492" i="8"/>
  <c r="I388" i="8"/>
  <c r="I184" i="8"/>
  <c r="I502" i="8"/>
  <c r="I522" i="8"/>
  <c r="I250" i="8"/>
  <c r="I420" i="8"/>
  <c r="I472" i="8"/>
  <c r="I580" i="8"/>
  <c r="I373" i="8"/>
  <c r="I396" i="8"/>
  <c r="I460" i="8"/>
  <c r="I419" i="8"/>
  <c r="I491" i="8"/>
  <c r="I431" i="8"/>
  <c r="I495" i="8"/>
  <c r="I330" i="8"/>
  <c r="I154" i="8"/>
  <c r="I587" i="8"/>
  <c r="I591" i="8"/>
  <c r="I429" i="8"/>
  <c r="I493" i="8"/>
  <c r="I529" i="8"/>
  <c r="I626" i="8"/>
  <c r="I395" i="8"/>
  <c r="I468" i="8"/>
  <c r="I407" i="8"/>
  <c r="I338" i="8"/>
  <c r="I328" i="8"/>
  <c r="I561" i="8"/>
  <c r="I593" i="8"/>
  <c r="I628" i="8"/>
  <c r="I217" i="8"/>
  <c r="I263" i="8"/>
  <c r="I536" i="8"/>
  <c r="I258" i="8"/>
  <c r="I411" i="8"/>
  <c r="I523" i="8"/>
  <c r="I182" i="8"/>
  <c r="I188" i="8"/>
  <c r="I257" i="8"/>
  <c r="I273" i="8"/>
  <c r="I289" i="8"/>
  <c r="I305" i="8"/>
  <c r="I321" i="8"/>
  <c r="I198" i="8"/>
  <c r="I334" i="8"/>
  <c r="I611" i="8"/>
  <c r="I554" i="8"/>
  <c r="I570" i="8"/>
  <c r="I586" i="8"/>
  <c r="I602" i="8"/>
  <c r="I618" i="8"/>
  <c r="I651" i="8"/>
  <c r="I653" i="8"/>
  <c r="I667" i="8"/>
  <c r="I669" i="8"/>
  <c r="I634" i="8"/>
  <c r="I646" i="8"/>
  <c r="I260" i="8"/>
  <c r="I300" i="8"/>
  <c r="I527" i="8"/>
  <c r="I224" i="8"/>
  <c r="I240" i="8"/>
  <c r="I160" i="8"/>
  <c r="I318" i="8"/>
  <c r="I347" i="8"/>
  <c r="I363" i="8"/>
  <c r="I336" i="8"/>
  <c r="I405" i="8"/>
  <c r="I421" i="8"/>
  <c r="I469" i="8"/>
  <c r="I485" i="8"/>
  <c r="I262" i="8"/>
  <c r="I425" i="8"/>
  <c r="I457" i="8"/>
  <c r="I489" i="8"/>
  <c r="I445" i="8"/>
  <c r="I509" i="8"/>
  <c r="I566" i="8"/>
  <c r="I638" i="8"/>
  <c r="I647" i="8"/>
  <c r="I663" i="8"/>
  <c r="I430" i="8"/>
  <c r="I627" i="8"/>
  <c r="I343" i="8"/>
  <c r="I544" i="8"/>
  <c r="I568" i="8"/>
  <c r="I600" i="8"/>
  <c r="I277" i="8"/>
  <c r="I352" i="8"/>
  <c r="I398" i="8"/>
  <c r="I542" i="8"/>
  <c r="I238" i="8"/>
  <c r="I452" i="8"/>
  <c r="I459" i="8"/>
  <c r="I332" i="8"/>
  <c r="I274" i="8"/>
  <c r="I340" i="8"/>
  <c r="I463" i="8"/>
  <c r="I163" i="8"/>
  <c r="I280" i="8"/>
  <c r="I302" i="8"/>
  <c r="I341" i="8"/>
  <c r="I329" i="8"/>
  <c r="I344" i="8"/>
  <c r="I288" i="8"/>
  <c r="I359" i="8"/>
  <c r="I458" i="8"/>
  <c r="I293" i="8"/>
  <c r="I545" i="8"/>
  <c r="I384" i="8"/>
  <c r="I406" i="8"/>
  <c r="I417" i="8"/>
  <c r="I550" i="8"/>
  <c r="I619" i="8"/>
  <c r="I465" i="8"/>
  <c r="I526" i="8"/>
  <c r="I635" i="8"/>
  <c r="I209" i="8"/>
  <c r="I451" i="8"/>
  <c r="I374" i="8"/>
  <c r="I230" i="8"/>
  <c r="I358" i="8"/>
  <c r="Q35" i="4"/>
  <c r="R35" i="4" s="1" a="1"/>
  <c r="R35" i="4" s="1"/>
  <c r="T35" i="4" s="1" a="1"/>
  <c r="T35" i="4" s="1"/>
  <c r="Q39" i="4"/>
  <c r="R39" i="4" s="1" a="1"/>
  <c r="R39" i="4" s="1"/>
  <c r="T39" i="4" s="1" a="1"/>
  <c r="T39" i="4" s="1"/>
  <c r="Q43" i="4"/>
  <c r="Q47" i="4"/>
  <c r="Q51" i="4"/>
  <c r="Q55" i="4"/>
  <c r="Q59" i="4"/>
  <c r="Q63" i="4"/>
  <c r="Q67" i="4"/>
  <c r="Q71" i="4"/>
  <c r="Q75" i="4"/>
  <c r="Q79" i="4"/>
  <c r="Q83" i="4"/>
  <c r="Q87" i="4"/>
  <c r="Q91" i="4"/>
  <c r="Q95" i="4"/>
  <c r="Q99" i="4"/>
  <c r="Q103" i="4"/>
  <c r="Q107" i="4"/>
  <c r="Q111" i="4"/>
  <c r="Q115" i="4"/>
  <c r="Q119" i="4"/>
  <c r="Q123" i="4"/>
  <c r="Q127" i="4"/>
  <c r="Q131" i="4"/>
  <c r="Q135" i="4"/>
  <c r="Q139" i="4"/>
  <c r="Q143" i="4"/>
  <c r="Q36" i="4"/>
  <c r="R36" i="4" s="1" a="1"/>
  <c r="R36" i="4" s="1"/>
  <c r="T36" i="4" s="1" a="1"/>
  <c r="T36" i="4" s="1"/>
  <c r="Q40" i="4"/>
  <c r="R40" i="4" s="1" a="1"/>
  <c r="R40" i="4" s="1"/>
  <c r="T40" i="4" s="1" a="1"/>
  <c r="T40" i="4" s="1"/>
  <c r="Q44" i="4"/>
  <c r="Q48" i="4"/>
  <c r="Q52" i="4"/>
  <c r="Q56" i="4"/>
  <c r="Q60" i="4"/>
  <c r="Q64" i="4"/>
  <c r="Q68" i="4"/>
  <c r="Q72" i="4"/>
  <c r="Q76" i="4"/>
  <c r="Q80" i="4"/>
  <c r="Q84" i="4"/>
  <c r="Q88" i="4"/>
  <c r="Q92" i="4"/>
  <c r="Q96" i="4"/>
  <c r="Q100" i="4"/>
  <c r="Q104" i="4"/>
  <c r="Q108" i="4"/>
  <c r="Q112" i="4"/>
  <c r="Q116" i="4"/>
  <c r="Q120" i="4"/>
  <c r="Q124" i="4"/>
  <c r="Q128" i="4"/>
  <c r="Q132" i="4"/>
  <c r="Q136" i="4"/>
  <c r="Q140" i="4"/>
  <c r="Q144" i="4"/>
  <c r="Q148" i="4"/>
  <c r="Q38" i="4"/>
  <c r="R38" i="4" s="1" a="1"/>
  <c r="R38" i="4" s="1"/>
  <c r="T38" i="4" s="1" a="1"/>
  <c r="T38" i="4" s="1"/>
  <c r="Q46" i="4"/>
  <c r="Q54" i="4"/>
  <c r="Q62" i="4"/>
  <c r="Q70" i="4"/>
  <c r="Q78" i="4"/>
  <c r="Q86" i="4"/>
  <c r="Q94" i="4"/>
  <c r="Q102" i="4"/>
  <c r="Q110" i="4"/>
  <c r="Q118" i="4"/>
  <c r="Q126" i="4"/>
  <c r="Q134" i="4"/>
  <c r="Q142" i="4"/>
  <c r="Q149" i="4"/>
  <c r="C89" i="4"/>
  <c r="D89" i="4" s="1"/>
  <c r="C93" i="4"/>
  <c r="D93" i="4" s="1"/>
  <c r="C97" i="4"/>
  <c r="D97" i="4" s="1"/>
  <c r="C101" i="4"/>
  <c r="D101" i="4" s="1"/>
  <c r="C105" i="4"/>
  <c r="D105" i="4" s="1"/>
  <c r="C109" i="4"/>
  <c r="D109" i="4" s="1"/>
  <c r="C113" i="4"/>
  <c r="D113" i="4" s="1"/>
  <c r="C117" i="4"/>
  <c r="D117" i="4" s="1"/>
  <c r="C121" i="4"/>
  <c r="D121" i="4" s="1"/>
  <c r="C125" i="4"/>
  <c r="D125" i="4" s="1"/>
  <c r="C129" i="4"/>
  <c r="D129" i="4" s="1"/>
  <c r="C133" i="4"/>
  <c r="D133" i="4" s="1"/>
  <c r="C137" i="4"/>
  <c r="D137" i="4" s="1"/>
  <c r="C141" i="4"/>
  <c r="D141" i="4" s="1"/>
  <c r="C145" i="4"/>
  <c r="D145" i="4" s="1"/>
  <c r="C149" i="4"/>
  <c r="D149" i="4" s="1"/>
  <c r="Q41" i="4"/>
  <c r="R41" i="4" s="1" a="1"/>
  <c r="R41" i="4" s="1"/>
  <c r="T41" i="4" s="1" a="1"/>
  <c r="T41" i="4" s="1"/>
  <c r="Q49" i="4"/>
  <c r="Q57" i="4"/>
  <c r="Q65" i="4"/>
  <c r="Q73" i="4"/>
  <c r="Q81" i="4"/>
  <c r="Q89" i="4"/>
  <c r="Q97" i="4"/>
  <c r="Q105" i="4"/>
  <c r="Q113" i="4"/>
  <c r="Q121" i="4"/>
  <c r="Q129" i="4"/>
  <c r="Q137" i="4"/>
  <c r="Q145" i="4"/>
  <c r="Q150" i="4"/>
  <c r="C90" i="4"/>
  <c r="D90" i="4" s="1"/>
  <c r="C94" i="4"/>
  <c r="D94" i="4" s="1"/>
  <c r="C98" i="4"/>
  <c r="D98" i="4" s="1"/>
  <c r="C102" i="4"/>
  <c r="D102" i="4" s="1"/>
  <c r="C106" i="4"/>
  <c r="D106" i="4" s="1"/>
  <c r="C110" i="4"/>
  <c r="D110" i="4" s="1"/>
  <c r="C114" i="4"/>
  <c r="D114" i="4" s="1"/>
  <c r="C118" i="4"/>
  <c r="D118" i="4" s="1"/>
  <c r="C122" i="4"/>
  <c r="D122" i="4" s="1"/>
  <c r="C126" i="4"/>
  <c r="D126" i="4" s="1"/>
  <c r="C130" i="4"/>
  <c r="D130" i="4" s="1"/>
  <c r="C134" i="4"/>
  <c r="D134" i="4" s="1"/>
  <c r="C138" i="4"/>
  <c r="D138" i="4" s="1"/>
  <c r="C142" i="4"/>
  <c r="D142" i="4" s="1"/>
  <c r="C146" i="4"/>
  <c r="D146" i="4" s="1"/>
  <c r="C150" i="4"/>
  <c r="D150" i="4" s="1"/>
  <c r="Q34" i="4"/>
  <c r="R34" i="4" s="1" a="1"/>
  <c r="R34" i="4" s="1"/>
  <c r="T34" i="4" s="1" a="1"/>
  <c r="T34" i="4" s="1"/>
  <c r="Q42" i="4"/>
  <c r="R42" i="4" s="1" a="1"/>
  <c r="R42" i="4" s="1"/>
  <c r="T42" i="4" s="1" a="1"/>
  <c r="T42" i="4" s="1"/>
  <c r="Q50" i="4"/>
  <c r="Q58" i="4"/>
  <c r="Q66" i="4"/>
  <c r="Q74" i="4"/>
  <c r="Q82" i="4"/>
  <c r="Q90" i="4"/>
  <c r="Q98" i="4"/>
  <c r="Q106" i="4"/>
  <c r="Q114" i="4"/>
  <c r="Q122" i="4"/>
  <c r="Q130" i="4"/>
  <c r="Q138" i="4"/>
  <c r="Q146" i="4"/>
  <c r="Q151" i="4"/>
  <c r="C91" i="4"/>
  <c r="D91" i="4" s="1"/>
  <c r="C95" i="4"/>
  <c r="D95" i="4" s="1"/>
  <c r="C99" i="4"/>
  <c r="D99" i="4" s="1"/>
  <c r="C103" i="4"/>
  <c r="D103" i="4" s="1"/>
  <c r="C107" i="4"/>
  <c r="D107" i="4" s="1"/>
  <c r="C111" i="4"/>
  <c r="D111" i="4" s="1"/>
  <c r="C115" i="4"/>
  <c r="D115" i="4" s="1"/>
  <c r="C119" i="4"/>
  <c r="D119" i="4" s="1"/>
  <c r="C123" i="4"/>
  <c r="D123" i="4" s="1"/>
  <c r="C127" i="4"/>
  <c r="D127" i="4" s="1"/>
  <c r="C131" i="4"/>
  <c r="D131" i="4" s="1"/>
  <c r="C135" i="4"/>
  <c r="D135" i="4" s="1"/>
  <c r="C139" i="4"/>
  <c r="D139" i="4" s="1"/>
  <c r="C143" i="4"/>
  <c r="D143" i="4" s="1"/>
  <c r="C147" i="4"/>
  <c r="D147" i="4" s="1"/>
  <c r="C151" i="4"/>
  <c r="D151" i="4" s="1"/>
  <c r="A107" i="8"/>
  <c r="B107" i="8" s="1"/>
  <c r="A109" i="8"/>
  <c r="B109" i="8" s="1"/>
  <c r="A110" i="8"/>
  <c r="B110" i="8" s="1"/>
  <c r="A118" i="8"/>
  <c r="B118" i="8" s="1"/>
  <c r="A126" i="8"/>
  <c r="B126" i="8" s="1"/>
  <c r="A134" i="8"/>
  <c r="B134" i="8" s="1"/>
  <c r="A137" i="8"/>
  <c r="B137" i="8" s="1"/>
  <c r="A140" i="8"/>
  <c r="B140" i="8" s="1"/>
  <c r="A147" i="8"/>
  <c r="B147" i="8" s="1"/>
  <c r="Q37" i="4"/>
  <c r="R37" i="4" s="1" a="1"/>
  <c r="R37" i="4" s="1"/>
  <c r="T37" i="4" s="1" a="1"/>
  <c r="T37" i="4" s="1"/>
  <c r="Q45" i="4"/>
  <c r="Q53" i="4"/>
  <c r="Q61" i="4"/>
  <c r="Q69" i="4"/>
  <c r="Q77" i="4"/>
  <c r="Q85" i="4"/>
  <c r="Q93" i="4"/>
  <c r="Q101" i="4"/>
  <c r="Q109" i="4"/>
  <c r="Q117" i="4"/>
  <c r="Q125" i="4"/>
  <c r="Q133" i="4"/>
  <c r="Q141" i="4"/>
  <c r="Q147" i="4"/>
  <c r="C92" i="4"/>
  <c r="D92" i="4" s="1"/>
  <c r="C96" i="4"/>
  <c r="D96" i="4" s="1"/>
  <c r="C100" i="4"/>
  <c r="D100" i="4" s="1"/>
  <c r="C104" i="4"/>
  <c r="D104" i="4" s="1"/>
  <c r="C108" i="4"/>
  <c r="D108" i="4" s="1"/>
  <c r="C112" i="4"/>
  <c r="D112" i="4" s="1"/>
  <c r="C116" i="4"/>
  <c r="D116" i="4" s="1"/>
  <c r="C120" i="4"/>
  <c r="D120" i="4" s="1"/>
  <c r="C124" i="4"/>
  <c r="D124" i="4" s="1"/>
  <c r="C128" i="4"/>
  <c r="D128" i="4" s="1"/>
  <c r="C132" i="4"/>
  <c r="D132" i="4" s="1"/>
  <c r="C136" i="4"/>
  <c r="D136" i="4" s="1"/>
  <c r="C140" i="4"/>
  <c r="D140" i="4" s="1"/>
  <c r="C144" i="4"/>
  <c r="D144" i="4" s="1"/>
  <c r="C148" i="4"/>
  <c r="D148" i="4" s="1"/>
  <c r="A104" i="8"/>
  <c r="B104" i="8" s="1"/>
  <c r="A105" i="8"/>
  <c r="B105" i="8" s="1"/>
  <c r="A106" i="8"/>
  <c r="B106" i="8" s="1"/>
  <c r="A112" i="8"/>
  <c r="B112" i="8" s="1"/>
  <c r="A115" i="8"/>
  <c r="B115" i="8" s="1"/>
  <c r="A117" i="8"/>
  <c r="B117" i="8" s="1"/>
  <c r="A120" i="8"/>
  <c r="B120" i="8" s="1"/>
  <c r="A123" i="8"/>
  <c r="B123" i="8" s="1"/>
  <c r="A125" i="8"/>
  <c r="B125" i="8" s="1"/>
  <c r="A128" i="8"/>
  <c r="B128" i="8" s="1"/>
  <c r="A131" i="8"/>
  <c r="B131" i="8" s="1"/>
  <c r="A133" i="8"/>
  <c r="B133" i="8" s="1"/>
  <c r="A136" i="8"/>
  <c r="B136" i="8" s="1"/>
  <c r="A113" i="8"/>
  <c r="B113" i="8" s="1"/>
  <c r="A122" i="8"/>
  <c r="B122" i="8" s="1"/>
  <c r="A129" i="8"/>
  <c r="B129" i="8" s="1"/>
  <c r="A143" i="8"/>
  <c r="B143" i="8" s="1"/>
  <c r="A145" i="8"/>
  <c r="B145" i="8" s="1"/>
  <c r="A116" i="8"/>
  <c r="B116" i="8" s="1"/>
  <c r="A119" i="8"/>
  <c r="B119" i="8" s="1"/>
  <c r="A132" i="8"/>
  <c r="B132" i="8" s="1"/>
  <c r="A135" i="8"/>
  <c r="B135" i="8" s="1"/>
  <c r="A138" i="8"/>
  <c r="B138" i="8" s="1"/>
  <c r="A141" i="8"/>
  <c r="B141" i="8" s="1"/>
  <c r="A150" i="8"/>
  <c r="B150" i="8" s="1"/>
  <c r="A108" i="8"/>
  <c r="B108" i="8" s="1"/>
  <c r="A114" i="8"/>
  <c r="B114" i="8" s="1"/>
  <c r="A121" i="8"/>
  <c r="B121" i="8" s="1"/>
  <c r="A139" i="8"/>
  <c r="B139" i="8" s="1"/>
  <c r="A144" i="8"/>
  <c r="B144" i="8" s="1"/>
  <c r="A148" i="8"/>
  <c r="B148" i="8" s="1"/>
  <c r="E91" i="4"/>
  <c r="F91" i="4" s="1"/>
  <c r="E94" i="4"/>
  <c r="F94" i="4" s="1"/>
  <c r="E97" i="4"/>
  <c r="F97" i="4" s="1"/>
  <c r="E102" i="4"/>
  <c r="F102" i="4" s="1"/>
  <c r="E105" i="4"/>
  <c r="F105" i="4" s="1"/>
  <c r="E108" i="4"/>
  <c r="F108" i="4" s="1"/>
  <c r="E111" i="4"/>
  <c r="F111" i="4" s="1"/>
  <c r="E116" i="4"/>
  <c r="F116" i="4" s="1"/>
  <c r="E119" i="4"/>
  <c r="F119" i="4" s="1"/>
  <c r="E124" i="4"/>
  <c r="F124" i="4" s="1"/>
  <c r="E127" i="4"/>
  <c r="F127" i="4" s="1"/>
  <c r="E132" i="4"/>
  <c r="F132" i="4" s="1"/>
  <c r="E135" i="4"/>
  <c r="F135" i="4" s="1"/>
  <c r="E140" i="4"/>
  <c r="F140" i="4" s="1"/>
  <c r="E143" i="4"/>
  <c r="F143" i="4" s="1"/>
  <c r="E148" i="4"/>
  <c r="F148" i="4" s="1"/>
  <c r="E151" i="4"/>
  <c r="F151" i="4" s="1"/>
  <c r="A127" i="8"/>
  <c r="B127" i="8" s="1"/>
  <c r="A149" i="8"/>
  <c r="B149" i="8" s="1"/>
  <c r="E89" i="4"/>
  <c r="F89" i="4" s="1"/>
  <c r="E92" i="4"/>
  <c r="F92" i="4" s="1"/>
  <c r="E95" i="4"/>
  <c r="F95" i="4" s="1"/>
  <c r="E99" i="4"/>
  <c r="F99" i="4" s="1"/>
  <c r="E101" i="4"/>
  <c r="F101" i="4" s="1"/>
  <c r="E104" i="4"/>
  <c r="F104" i="4" s="1"/>
  <c r="E110" i="4"/>
  <c r="F110" i="4" s="1"/>
  <c r="E113" i="4"/>
  <c r="F113" i="4" s="1"/>
  <c r="E118" i="4"/>
  <c r="F118" i="4" s="1"/>
  <c r="E121" i="4"/>
  <c r="F121" i="4" s="1"/>
  <c r="E126" i="4"/>
  <c r="F126" i="4" s="1"/>
  <c r="E129" i="4"/>
  <c r="F129" i="4" s="1"/>
  <c r="E134" i="4"/>
  <c r="F134" i="4" s="1"/>
  <c r="E137" i="4"/>
  <c r="F137" i="4" s="1"/>
  <c r="E142" i="4"/>
  <c r="F142" i="4" s="1"/>
  <c r="E145" i="4"/>
  <c r="F145" i="4" s="1"/>
  <c r="E150" i="4"/>
  <c r="F150" i="4" s="1"/>
  <c r="A130" i="8"/>
  <c r="B130" i="8" s="1"/>
  <c r="A142" i="8"/>
  <c r="B142" i="8" s="1"/>
  <c r="A146" i="8"/>
  <c r="B146" i="8" s="1"/>
  <c r="A151" i="8"/>
  <c r="B151" i="8" s="1"/>
  <c r="E93" i="4"/>
  <c r="F93" i="4" s="1"/>
  <c r="E96" i="4"/>
  <c r="F96" i="4" s="1"/>
  <c r="E107" i="4"/>
  <c r="F107" i="4" s="1"/>
  <c r="E109" i="4"/>
  <c r="F109" i="4" s="1"/>
  <c r="E112" i="4"/>
  <c r="F112" i="4" s="1"/>
  <c r="E115" i="4"/>
  <c r="F115" i="4" s="1"/>
  <c r="E117" i="4"/>
  <c r="F117" i="4" s="1"/>
  <c r="E120" i="4"/>
  <c r="F120" i="4" s="1"/>
  <c r="E123" i="4"/>
  <c r="F123" i="4" s="1"/>
  <c r="E125" i="4"/>
  <c r="F125" i="4" s="1"/>
  <c r="E128" i="4"/>
  <c r="F128" i="4" s="1"/>
  <c r="E131" i="4"/>
  <c r="F131" i="4" s="1"/>
  <c r="E133" i="4"/>
  <c r="F133" i="4" s="1"/>
  <c r="E136" i="4"/>
  <c r="F136" i="4" s="1"/>
  <c r="E139" i="4"/>
  <c r="F139" i="4" s="1"/>
  <c r="E141" i="4"/>
  <c r="F141" i="4" s="1"/>
  <c r="E144" i="4"/>
  <c r="F144" i="4" s="1"/>
  <c r="E147" i="4"/>
  <c r="F147" i="4" s="1"/>
  <c r="E149" i="4"/>
  <c r="F149" i="4" s="1"/>
  <c r="A92" i="4"/>
  <c r="A96" i="4"/>
  <c r="A100" i="4"/>
  <c r="A104" i="4"/>
  <c r="A108" i="4"/>
  <c r="A112" i="4"/>
  <c r="A116" i="4"/>
  <c r="A120" i="4"/>
  <c r="A124" i="4"/>
  <c r="A128" i="4"/>
  <c r="A132" i="4"/>
  <c r="A136" i="4"/>
  <c r="A140" i="4"/>
  <c r="A144" i="4"/>
  <c r="A148" i="4"/>
  <c r="Q26" i="4"/>
  <c r="R26" i="4" s="1" a="1"/>
  <c r="R26" i="4" s="1"/>
  <c r="T26" i="4" s="1" a="1"/>
  <c r="T26" i="4" s="1"/>
  <c r="Q30" i="4"/>
  <c r="R30" i="4" s="1" a="1"/>
  <c r="R30" i="4" s="1"/>
  <c r="T30" i="4" s="1" a="1"/>
  <c r="T30" i="4" s="1"/>
  <c r="V29" i="4" a="1"/>
  <c r="V33" i="4" a="1"/>
  <c r="V37" i="4" a="1"/>
  <c r="V41" i="4" a="1"/>
  <c r="V45" i="4" a="1"/>
  <c r="V49" i="4" a="1"/>
  <c r="V53" i="4" a="1"/>
  <c r="V57" i="4" a="1"/>
  <c r="V61" i="4" a="1"/>
  <c r="V65" i="4" a="1"/>
  <c r="V69" i="4" a="1"/>
  <c r="V73" i="4" a="1"/>
  <c r="V77" i="4" a="1"/>
  <c r="V81" i="4" a="1"/>
  <c r="V85" i="4" a="1"/>
  <c r="V89" i="4" a="1"/>
  <c r="V93" i="4" a="1"/>
  <c r="V97" i="4" a="1"/>
  <c r="V101" i="4" a="1"/>
  <c r="V105" i="4" a="1"/>
  <c r="V109" i="4" a="1"/>
  <c r="V113" i="4" a="1"/>
  <c r="V117" i="4" a="1"/>
  <c r="V121" i="4" a="1"/>
  <c r="V125" i="4" a="1"/>
  <c r="V129" i="4" a="1"/>
  <c r="V133" i="4" a="1"/>
  <c r="V137" i="4" a="1"/>
  <c r="A111" i="8"/>
  <c r="B111" i="8" s="1"/>
  <c r="A124" i="8"/>
  <c r="B124" i="8" s="1"/>
  <c r="E90" i="4"/>
  <c r="F90" i="4" s="1"/>
  <c r="E98" i="4"/>
  <c r="F98" i="4" s="1"/>
  <c r="E100" i="4"/>
  <c r="F100" i="4" s="1"/>
  <c r="E103" i="4"/>
  <c r="F103" i="4" s="1"/>
  <c r="E106" i="4"/>
  <c r="F106" i="4" s="1"/>
  <c r="E114" i="4"/>
  <c r="F114" i="4" s="1"/>
  <c r="E122" i="4"/>
  <c r="F122" i="4" s="1"/>
  <c r="E130" i="4"/>
  <c r="F130" i="4" s="1"/>
  <c r="E138" i="4"/>
  <c r="F138" i="4" s="1"/>
  <c r="E146" i="4"/>
  <c r="F146" i="4" s="1"/>
  <c r="A93" i="4"/>
  <c r="A98" i="4"/>
  <c r="A103" i="4"/>
  <c r="A109" i="4"/>
  <c r="A114" i="4"/>
  <c r="A119" i="4"/>
  <c r="A125" i="4"/>
  <c r="A130" i="4"/>
  <c r="A135" i="4"/>
  <c r="A141" i="4"/>
  <c r="A146" i="4"/>
  <c r="A151" i="4"/>
  <c r="Q31" i="4"/>
  <c r="R31" i="4" s="1" a="1"/>
  <c r="R31" i="4" s="1"/>
  <c r="T31" i="4" s="1" a="1"/>
  <c r="T31" i="4" s="1"/>
  <c r="V26" i="4" a="1"/>
  <c r="V31" i="4" a="1"/>
  <c r="V36" i="4" a="1"/>
  <c r="V42" i="4" a="1"/>
  <c r="V47" i="4" a="1"/>
  <c r="V52" i="4" a="1"/>
  <c r="V58" i="4" a="1"/>
  <c r="V63" i="4" a="1"/>
  <c r="V68" i="4" a="1"/>
  <c r="V74" i="4" a="1"/>
  <c r="V79" i="4" a="1"/>
  <c r="V84" i="4" a="1"/>
  <c r="V90" i="4" a="1"/>
  <c r="V95" i="4" a="1"/>
  <c r="V100" i="4" a="1"/>
  <c r="V106" i="4" a="1"/>
  <c r="V111" i="4" a="1"/>
  <c r="V116" i="4" a="1"/>
  <c r="V122" i="4" a="1"/>
  <c r="V127" i="4" a="1"/>
  <c r="V132" i="4" a="1"/>
  <c r="V138" i="4" a="1"/>
  <c r="V142" i="4" a="1"/>
  <c r="V146" i="4" a="1"/>
  <c r="V150" i="4" a="1"/>
  <c r="C43" i="4"/>
  <c r="D43" i="4" s="1"/>
  <c r="A44" i="4"/>
  <c r="K44" i="4"/>
  <c r="L44" i="4" s="1" a="1"/>
  <c r="L44" i="4" s="1"/>
  <c r="C46" i="4"/>
  <c r="D46" i="4" s="1"/>
  <c r="A47" i="4"/>
  <c r="K47" i="4"/>
  <c r="L47" i="4" s="1" a="1"/>
  <c r="L47" i="4" s="1"/>
  <c r="E48" i="4"/>
  <c r="F48" i="4" s="1"/>
  <c r="A49" i="4"/>
  <c r="K49" i="4"/>
  <c r="L49" i="4" s="1" a="1"/>
  <c r="L49" i="4" s="1"/>
  <c r="E50" i="4"/>
  <c r="F50" i="4" s="1"/>
  <c r="A51" i="4"/>
  <c r="K51" i="4"/>
  <c r="L51" i="4" s="1" a="1"/>
  <c r="L51" i="4" s="1"/>
  <c r="E52" i="4"/>
  <c r="F52" i="4" s="1"/>
  <c r="A53" i="4"/>
  <c r="K53" i="4"/>
  <c r="L53" i="4" s="1" a="1"/>
  <c r="L53" i="4" s="1"/>
  <c r="E54" i="4"/>
  <c r="F54" i="4" s="1"/>
  <c r="A55" i="4"/>
  <c r="K55" i="4"/>
  <c r="L55" i="4" s="1" a="1"/>
  <c r="L55" i="4" s="1"/>
  <c r="E56" i="4"/>
  <c r="F56" i="4" s="1"/>
  <c r="A57" i="4"/>
  <c r="K57" i="4"/>
  <c r="L57" i="4" s="1" a="1"/>
  <c r="L57" i="4" s="1"/>
  <c r="E58" i="4"/>
  <c r="F58" i="4" s="1"/>
  <c r="A59" i="4"/>
  <c r="K59" i="4"/>
  <c r="L59" i="4" s="1" a="1"/>
  <c r="L59" i="4" s="1"/>
  <c r="E60" i="4"/>
  <c r="F60" i="4" s="1"/>
  <c r="A61" i="4"/>
  <c r="K61" i="4"/>
  <c r="L61" i="4" s="1" a="1"/>
  <c r="L61" i="4" s="1"/>
  <c r="E62" i="4"/>
  <c r="F62" i="4" s="1"/>
  <c r="A63" i="4"/>
  <c r="K63" i="4"/>
  <c r="L63" i="4" s="1" a="1"/>
  <c r="L63" i="4" s="1"/>
  <c r="E64" i="4"/>
  <c r="F64" i="4" s="1"/>
  <c r="A65" i="4"/>
  <c r="K65" i="4"/>
  <c r="L65" i="4" s="1" a="1"/>
  <c r="L65" i="4" s="1"/>
  <c r="E66" i="4"/>
  <c r="F66" i="4" s="1"/>
  <c r="A67" i="4"/>
  <c r="K67" i="4"/>
  <c r="L67" i="4" s="1" a="1"/>
  <c r="L67" i="4" s="1"/>
  <c r="E68" i="4"/>
  <c r="F68" i="4" s="1"/>
  <c r="A69" i="4"/>
  <c r="K69" i="4"/>
  <c r="L69" i="4" s="1" a="1"/>
  <c r="L69" i="4" s="1"/>
  <c r="E70" i="4"/>
  <c r="F70" i="4" s="1"/>
  <c r="A71" i="4"/>
  <c r="K71" i="4"/>
  <c r="L71" i="4" s="1" a="1"/>
  <c r="L71" i="4" s="1"/>
  <c r="E72" i="4"/>
  <c r="F72" i="4" s="1"/>
  <c r="A73" i="4"/>
  <c r="K73" i="4"/>
  <c r="L73" i="4" s="1" a="1"/>
  <c r="L73" i="4" s="1"/>
  <c r="E74" i="4"/>
  <c r="F74" i="4" s="1"/>
  <c r="A75" i="4"/>
  <c r="K75" i="4"/>
  <c r="L75" i="4" s="1" a="1"/>
  <c r="L75" i="4" s="1"/>
  <c r="E76" i="4"/>
  <c r="F76" i="4" s="1"/>
  <c r="A77" i="4"/>
  <c r="K77" i="4"/>
  <c r="L77" i="4" s="1" a="1"/>
  <c r="L77" i="4" s="1"/>
  <c r="E78" i="4"/>
  <c r="F78" i="4" s="1"/>
  <c r="A79" i="4"/>
  <c r="K79" i="4"/>
  <c r="L79" i="4" s="1" a="1"/>
  <c r="L79" i="4" s="1"/>
  <c r="E80" i="4"/>
  <c r="F80" i="4" s="1"/>
  <c r="A81" i="4"/>
  <c r="K81" i="4"/>
  <c r="L81" i="4" s="1" a="1"/>
  <c r="L81" i="4" s="1"/>
  <c r="E82" i="4"/>
  <c r="F82" i="4" s="1"/>
  <c r="A83" i="4"/>
  <c r="K83" i="4"/>
  <c r="L83" i="4" s="1" a="1"/>
  <c r="L83" i="4" s="1"/>
  <c r="E84" i="4"/>
  <c r="F84" i="4" s="1"/>
  <c r="A85" i="4"/>
  <c r="K85" i="4"/>
  <c r="L85" i="4" s="1" a="1"/>
  <c r="L85" i="4" s="1"/>
  <c r="E86" i="4"/>
  <c r="F86" i="4" s="1"/>
  <c r="A87" i="4"/>
  <c r="K87" i="4"/>
  <c r="L87" i="4" s="1" a="1"/>
  <c r="L87" i="4" s="1"/>
  <c r="E88" i="4"/>
  <c r="F88" i="4" s="1"/>
  <c r="A89" i="4"/>
  <c r="K91" i="4"/>
  <c r="L91" i="4" s="1" a="1"/>
  <c r="L91" i="4" s="1"/>
  <c r="K95" i="4"/>
  <c r="L95" i="4" s="1" a="1"/>
  <c r="L95" i="4" s="1"/>
  <c r="K99" i="4"/>
  <c r="L99" i="4" s="1" a="1"/>
  <c r="L99" i="4" s="1"/>
  <c r="K103" i="4"/>
  <c r="L103" i="4" s="1" a="1"/>
  <c r="L103" i="4" s="1"/>
  <c r="K107" i="4"/>
  <c r="L107" i="4" s="1" a="1"/>
  <c r="L107" i="4" s="1"/>
  <c r="K111" i="4"/>
  <c r="L111" i="4" s="1" a="1"/>
  <c r="L111" i="4" s="1"/>
  <c r="K115" i="4"/>
  <c r="L115" i="4" s="1" a="1"/>
  <c r="L115" i="4" s="1"/>
  <c r="K119" i="4"/>
  <c r="L119" i="4" s="1" a="1"/>
  <c r="L119" i="4" s="1"/>
  <c r="K123" i="4"/>
  <c r="L123" i="4" s="1" a="1"/>
  <c r="L123" i="4" s="1"/>
  <c r="K127" i="4"/>
  <c r="L127" i="4" s="1" a="1"/>
  <c r="L127" i="4" s="1"/>
  <c r="K131" i="4"/>
  <c r="L131" i="4" s="1" a="1"/>
  <c r="L131" i="4" s="1"/>
  <c r="K135" i="4"/>
  <c r="L135" i="4" s="1" a="1"/>
  <c r="L135" i="4" s="1"/>
  <c r="A94" i="4"/>
  <c r="A101" i="4"/>
  <c r="A107" i="4"/>
  <c r="A115" i="4"/>
  <c r="A122" i="4"/>
  <c r="A129" i="4"/>
  <c r="A137" i="4"/>
  <c r="A143" i="4"/>
  <c r="A150" i="4"/>
  <c r="Q27" i="4"/>
  <c r="R27" i="4" s="1" a="1"/>
  <c r="R27" i="4" s="1"/>
  <c r="T27" i="4" s="1" a="1"/>
  <c r="T27" i="4" s="1"/>
  <c r="Q33" i="4"/>
  <c r="R33" i="4" s="1" a="1"/>
  <c r="V30" i="4" a="1"/>
  <c r="V38" i="4" a="1"/>
  <c r="V44" i="4" a="1"/>
  <c r="V51" i="4" a="1"/>
  <c r="V59" i="4" a="1"/>
  <c r="V66" i="4" a="1"/>
  <c r="V72" i="4" a="1"/>
  <c r="V80" i="4" a="1"/>
  <c r="V87" i="4" a="1"/>
  <c r="V94" i="4" a="1"/>
  <c r="V102" i="4" a="1"/>
  <c r="V108" i="4" a="1"/>
  <c r="V115" i="4" a="1"/>
  <c r="V123" i="4" a="1"/>
  <c r="V130" i="4" a="1"/>
  <c r="V136" i="4" a="1"/>
  <c r="V143" i="4" a="1"/>
  <c r="V148" i="4" a="1"/>
  <c r="A90" i="4"/>
  <c r="A99" i="4"/>
  <c r="A110" i="4"/>
  <c r="A118" i="4"/>
  <c r="A127" i="4"/>
  <c r="A138" i="4"/>
  <c r="A147" i="4"/>
  <c r="A91" i="4"/>
  <c r="A102" i="4"/>
  <c r="A111" i="4"/>
  <c r="A121" i="4"/>
  <c r="A131" i="4"/>
  <c r="A139" i="4"/>
  <c r="A149" i="4"/>
  <c r="Q28" i="4"/>
  <c r="V28" i="4" a="1"/>
  <c r="V39" i="4" a="1"/>
  <c r="V48" i="4" a="1"/>
  <c r="V56" i="4" a="1"/>
  <c r="V67" i="4" a="1"/>
  <c r="V76" i="4" a="1"/>
  <c r="V86" i="4" a="1"/>
  <c r="V96" i="4" a="1"/>
  <c r="V104" i="4" a="1"/>
  <c r="V114" i="4" a="1"/>
  <c r="V124" i="4" a="1"/>
  <c r="V134" i="4" a="1"/>
  <c r="V141" i="4" a="1"/>
  <c r="V149" i="4" a="1"/>
  <c r="E43" i="4"/>
  <c r="F43" i="4" s="1"/>
  <c r="E44" i="4"/>
  <c r="F44" i="4" s="1"/>
  <c r="E45" i="4"/>
  <c r="F45" i="4" s="1"/>
  <c r="E46" i="4"/>
  <c r="F46" i="4" s="1"/>
  <c r="E47" i="4"/>
  <c r="F47" i="4" s="1"/>
  <c r="C48" i="4"/>
  <c r="D48" i="4" s="1"/>
  <c r="C49" i="4"/>
  <c r="D49" i="4" s="1"/>
  <c r="A50" i="4"/>
  <c r="K52" i="4"/>
  <c r="L52" i="4" s="1" a="1"/>
  <c r="L52" i="4" s="1"/>
  <c r="E55" i="4"/>
  <c r="F55" i="4" s="1"/>
  <c r="C56" i="4"/>
  <c r="D56" i="4" s="1"/>
  <c r="C57" i="4"/>
  <c r="D57" i="4" s="1"/>
  <c r="A58" i="4"/>
  <c r="K60" i="4"/>
  <c r="L60" i="4" s="1" a="1"/>
  <c r="L60" i="4" s="1"/>
  <c r="E63" i="4"/>
  <c r="F63" i="4" s="1"/>
  <c r="C64" i="4"/>
  <c r="D64" i="4" s="1"/>
  <c r="C65" i="4"/>
  <c r="D65" i="4" s="1"/>
  <c r="A66" i="4"/>
  <c r="A95" i="4"/>
  <c r="A105" i="4"/>
  <c r="A113" i="4"/>
  <c r="A123" i="4"/>
  <c r="A133" i="4"/>
  <c r="A142" i="4"/>
  <c r="Q29" i="4"/>
  <c r="A97" i="4"/>
  <c r="A134" i="4"/>
  <c r="V34" i="4" a="1"/>
  <c r="V46" i="4" a="1"/>
  <c r="V60" i="4" a="1"/>
  <c r="V71" i="4" a="1"/>
  <c r="V83" i="4" a="1"/>
  <c r="V98" i="4" a="1"/>
  <c r="V110" i="4" a="1"/>
  <c r="V120" i="4" a="1"/>
  <c r="V135" i="4" a="1"/>
  <c r="V145" i="4" a="1"/>
  <c r="C66" i="4"/>
  <c r="D66" i="4" s="1"/>
  <c r="A78" i="4"/>
  <c r="C85" i="4"/>
  <c r="D85" i="4" s="1"/>
  <c r="K116" i="4"/>
  <c r="L116" i="4" s="1" a="1"/>
  <c r="L116" i="4" s="1"/>
  <c r="K125" i="4"/>
  <c r="L125" i="4" s="1" a="1"/>
  <c r="L125" i="4" s="1"/>
  <c r="K134" i="4"/>
  <c r="L134" i="4" s="1" a="1"/>
  <c r="L134" i="4" s="1"/>
  <c r="K140" i="4"/>
  <c r="L140" i="4" s="1" a="1"/>
  <c r="L140" i="4" s="1"/>
  <c r="A106" i="4"/>
  <c r="A145" i="4"/>
  <c r="Q32" i="4"/>
  <c r="R32" i="4" s="1" a="1"/>
  <c r="R32" i="4" s="1"/>
  <c r="T32" i="4" s="1" a="1"/>
  <c r="T32" i="4" s="1"/>
  <c r="V35" i="4" a="1"/>
  <c r="V50" i="4" a="1"/>
  <c r="V62" i="4" a="1"/>
  <c r="V75" i="4" a="1"/>
  <c r="V88" i="4" a="1"/>
  <c r="V99" i="4" a="1"/>
  <c r="V112" i="4" a="1"/>
  <c r="V126" i="4" a="1"/>
  <c r="V139" i="4" a="1"/>
  <c r="V147" i="4" a="1"/>
  <c r="A45" i="4"/>
  <c r="A46" i="4"/>
  <c r="K48" i="4"/>
  <c r="L48" i="4" s="1" a="1"/>
  <c r="L48" i="4" s="1"/>
  <c r="C51" i="4"/>
  <c r="D51" i="4" s="1"/>
  <c r="C52" i="4"/>
  <c r="D52" i="4" s="1"/>
  <c r="E53" i="4"/>
  <c r="F53" i="4" s="1"/>
  <c r="K54" i="4"/>
  <c r="L54" i="4" s="1" a="1"/>
  <c r="L54" i="4" s="1"/>
  <c r="C58" i="4"/>
  <c r="D58" i="4" s="1"/>
  <c r="E59" i="4"/>
  <c r="F59" i="4" s="1"/>
  <c r="A64" i="4"/>
  <c r="E65" i="4"/>
  <c r="F65" i="4" s="1"/>
  <c r="E69" i="4"/>
  <c r="F69" i="4" s="1"/>
  <c r="C70" i="4"/>
  <c r="D70" i="4" s="1"/>
  <c r="C71" i="4"/>
  <c r="D71" i="4" s="1"/>
  <c r="A72" i="4"/>
  <c r="K74" i="4"/>
  <c r="L74" i="4" s="1" a="1"/>
  <c r="L74" i="4" s="1"/>
  <c r="E77" i="4"/>
  <c r="F77" i="4" s="1"/>
  <c r="C78" i="4"/>
  <c r="D78" i="4" s="1"/>
  <c r="C79" i="4"/>
  <c r="D79" i="4" s="1"/>
  <c r="A80" i="4"/>
  <c r="K82" i="4"/>
  <c r="L82" i="4" s="1" a="1"/>
  <c r="L82" i="4" s="1"/>
  <c r="E85" i="4"/>
  <c r="F85" i="4" s="1"/>
  <c r="C86" i="4"/>
  <c r="D86" i="4" s="1"/>
  <c r="C87" i="4"/>
  <c r="D87" i="4" s="1"/>
  <c r="A88" i="4"/>
  <c r="K90" i="4"/>
  <c r="L90" i="4" s="1" a="1"/>
  <c r="L90" i="4" s="1"/>
  <c r="K97" i="4"/>
  <c r="L97" i="4" s="1" a="1"/>
  <c r="L97" i="4" s="1"/>
  <c r="K104" i="4"/>
  <c r="L104" i="4" s="1" a="1"/>
  <c r="L104" i="4" s="1"/>
  <c r="K106" i="4"/>
  <c r="L106" i="4" s="1" a="1"/>
  <c r="L106" i="4" s="1"/>
  <c r="K113" i="4"/>
  <c r="L113" i="4" s="1" a="1"/>
  <c r="L113" i="4" s="1"/>
  <c r="K120" i="4"/>
  <c r="L120" i="4" s="1" a="1"/>
  <c r="L120" i="4" s="1"/>
  <c r="K122" i="4"/>
  <c r="L122" i="4" s="1" a="1"/>
  <c r="L122" i="4" s="1"/>
  <c r="K129" i="4"/>
  <c r="L129" i="4" s="1" a="1"/>
  <c r="L129" i="4" s="1"/>
  <c r="K136" i="4"/>
  <c r="L136" i="4" s="1" a="1"/>
  <c r="L136" i="4" s="1"/>
  <c r="K139" i="4"/>
  <c r="L139" i="4" s="1" a="1"/>
  <c r="L139" i="4" s="1"/>
  <c r="K143" i="4"/>
  <c r="L143" i="4" s="1" a="1"/>
  <c r="L143" i="4" s="1"/>
  <c r="K147" i="4"/>
  <c r="L147" i="4" s="1" a="1"/>
  <c r="L147" i="4" s="1"/>
  <c r="K151" i="4"/>
  <c r="L151" i="4" s="1" a="1"/>
  <c r="L151" i="4" s="1"/>
  <c r="A117" i="4"/>
  <c r="V27" i="4" a="1"/>
  <c r="V27" i="4" s="1"/>
  <c r="V40" i="4" a="1"/>
  <c r="V40" i="4" s="1"/>
  <c r="V54" i="4" a="1"/>
  <c r="V54" i="4" s="1"/>
  <c r="V64" i="4" a="1"/>
  <c r="V64" i="4" s="1"/>
  <c r="V78" i="4" a="1"/>
  <c r="V78" i="4" s="1"/>
  <c r="V91" i="4" a="1"/>
  <c r="V91" i="4" s="1"/>
  <c r="V103" i="4" a="1"/>
  <c r="V103" i="4" s="1"/>
  <c r="V118" i="4" a="1"/>
  <c r="V118" i="4" s="1"/>
  <c r="V128" i="4" a="1"/>
  <c r="V128" i="4" s="1"/>
  <c r="V140" i="4" a="1"/>
  <c r="V140" i="4" s="1"/>
  <c r="V151" i="4" a="1"/>
  <c r="V151" i="4" s="1"/>
  <c r="K43" i="4"/>
  <c r="L43" i="4" s="1" a="1"/>
  <c r="L43" i="4" s="1"/>
  <c r="C45" i="4"/>
  <c r="D45" i="4" s="1"/>
  <c r="C50" i="4"/>
  <c r="D50" i="4" s="1"/>
  <c r="E51" i="4"/>
  <c r="F51" i="4" s="1"/>
  <c r="A56" i="4"/>
  <c r="E57" i="4"/>
  <c r="F57" i="4" s="1"/>
  <c r="A62" i="4"/>
  <c r="C63" i="4"/>
  <c r="D63" i="4" s="1"/>
  <c r="K66" i="4"/>
  <c r="L66" i="4" s="1" a="1"/>
  <c r="L66" i="4" s="1"/>
  <c r="K68" i="4"/>
  <c r="L68" i="4" s="1" a="1"/>
  <c r="L68" i="4" s="1"/>
  <c r="E71" i="4"/>
  <c r="F71" i="4" s="1"/>
  <c r="C72" i="4"/>
  <c r="D72" i="4" s="1"/>
  <c r="C73" i="4"/>
  <c r="D73" i="4" s="1"/>
  <c r="A74" i="4"/>
  <c r="K76" i="4"/>
  <c r="L76" i="4" s="1" a="1"/>
  <c r="L76" i="4" s="1"/>
  <c r="E79" i="4"/>
  <c r="F79" i="4" s="1"/>
  <c r="C80" i="4"/>
  <c r="D80" i="4" s="1"/>
  <c r="C81" i="4"/>
  <c r="D81" i="4" s="1"/>
  <c r="A82" i="4"/>
  <c r="K84" i="4"/>
  <c r="L84" i="4" s="1" a="1"/>
  <c r="L84" i="4" s="1"/>
  <c r="E87" i="4"/>
  <c r="F87" i="4" s="1"/>
  <c r="C88" i="4"/>
  <c r="D88" i="4" s="1"/>
  <c r="K92" i="4"/>
  <c r="L92" i="4" s="1" a="1"/>
  <c r="L92" i="4" s="1"/>
  <c r="K94" i="4"/>
  <c r="L94" i="4" s="1" a="1"/>
  <c r="L94" i="4" s="1"/>
  <c r="K101" i="4"/>
  <c r="L101" i="4" s="1" a="1"/>
  <c r="L101" i="4" s="1"/>
  <c r="K108" i="4"/>
  <c r="L108" i="4" s="1" a="1"/>
  <c r="L108" i="4" s="1"/>
  <c r="K110" i="4"/>
  <c r="L110" i="4" s="1" a="1"/>
  <c r="L110" i="4" s="1"/>
  <c r="K117" i="4"/>
  <c r="L117" i="4" s="1" a="1"/>
  <c r="L117" i="4" s="1"/>
  <c r="K124" i="4"/>
  <c r="L124" i="4" s="1" a="1"/>
  <c r="L124" i="4" s="1"/>
  <c r="K126" i="4"/>
  <c r="L126" i="4" s="1" a="1"/>
  <c r="L126" i="4" s="1"/>
  <c r="K133" i="4"/>
  <c r="L133" i="4" s="1" a="1"/>
  <c r="L133" i="4" s="1"/>
  <c r="K138" i="4"/>
  <c r="L138" i="4" s="1" a="1"/>
  <c r="L138" i="4" s="1"/>
  <c r="K142" i="4"/>
  <c r="L142" i="4" s="1" a="1"/>
  <c r="L142" i="4" s="1"/>
  <c r="K146" i="4"/>
  <c r="L146" i="4" s="1" a="1"/>
  <c r="L146" i="4" s="1"/>
  <c r="K150" i="4"/>
  <c r="L150" i="4" s="1" a="1"/>
  <c r="L150" i="4" s="1"/>
  <c r="V43" i="4" a="1"/>
  <c r="V55" i="4" a="1"/>
  <c r="V82" i="4" a="1"/>
  <c r="V107" i="4" a="1"/>
  <c r="V131" i="4" a="1"/>
  <c r="V144" i="4" a="1"/>
  <c r="C44" i="4"/>
  <c r="D44" i="4" s="1"/>
  <c r="K46" i="4"/>
  <c r="L46" i="4" s="1" a="1"/>
  <c r="L46" i="4" s="1"/>
  <c r="A48" i="4"/>
  <c r="A54" i="4"/>
  <c r="K58" i="4"/>
  <c r="L58" i="4" s="1" a="1"/>
  <c r="L58" i="4" s="1"/>
  <c r="C61" i="4"/>
  <c r="D61" i="4" s="1"/>
  <c r="C62" i="4"/>
  <c r="D62" i="4" s="1"/>
  <c r="K64" i="4"/>
  <c r="L64" i="4" s="1" a="1"/>
  <c r="L64" i="4" s="1"/>
  <c r="A68" i="4"/>
  <c r="K70" i="4"/>
  <c r="L70" i="4" s="1" a="1"/>
  <c r="L70" i="4" s="1"/>
  <c r="C74" i="4"/>
  <c r="D74" i="4" s="1"/>
  <c r="A76" i="4"/>
  <c r="E81" i="4"/>
  <c r="F81" i="4" s="1"/>
  <c r="C83" i="4"/>
  <c r="D83" i="4" s="1"/>
  <c r="K86" i="4"/>
  <c r="L86" i="4" s="1" a="1"/>
  <c r="L86" i="4" s="1"/>
  <c r="K98" i="4"/>
  <c r="L98" i="4" s="1" a="1"/>
  <c r="L98" i="4" s="1"/>
  <c r="K141" i="4"/>
  <c r="L141" i="4" s="1" a="1"/>
  <c r="L141" i="4" s="1"/>
  <c r="K145" i="4"/>
  <c r="L145" i="4" s="1" a="1"/>
  <c r="L145" i="4" s="1"/>
  <c r="C47" i="4"/>
  <c r="D47" i="4" s="1"/>
  <c r="K50" i="4"/>
  <c r="L50" i="4" s="1" a="1"/>
  <c r="L50" i="4" s="1"/>
  <c r="C53" i="4"/>
  <c r="D53" i="4" s="1"/>
  <c r="C60" i="4"/>
  <c r="D60" i="4" s="1"/>
  <c r="K62" i="4"/>
  <c r="L62" i="4" s="1" a="1"/>
  <c r="L62" i="4" s="1"/>
  <c r="C68" i="4"/>
  <c r="D68" i="4" s="1"/>
  <c r="A70" i="4"/>
  <c r="K72" i="4"/>
  <c r="L72" i="4" s="1" a="1"/>
  <c r="L72" i="4" s="1"/>
  <c r="C76" i="4"/>
  <c r="D76" i="4" s="1"/>
  <c r="K80" i="4"/>
  <c r="L80" i="4" s="1" a="1"/>
  <c r="L80" i="4" s="1"/>
  <c r="E83" i="4"/>
  <c r="F83" i="4" s="1"/>
  <c r="K88" i="4"/>
  <c r="L88" i="4" s="1" a="1"/>
  <c r="L88" i="4" s="1"/>
  <c r="K93" i="4"/>
  <c r="L93" i="4" s="1" a="1"/>
  <c r="L93" i="4" s="1"/>
  <c r="K102" i="4"/>
  <c r="L102" i="4" s="1" a="1"/>
  <c r="L102" i="4" s="1"/>
  <c r="K118" i="4"/>
  <c r="L118" i="4" s="1" a="1"/>
  <c r="L118" i="4" s="1"/>
  <c r="A126" i="4"/>
  <c r="V32" i="4" a="1"/>
  <c r="V70" i="4" a="1"/>
  <c r="V92" i="4" a="1"/>
  <c r="V119" i="4" a="1"/>
  <c r="K45" i="4"/>
  <c r="L45" i="4" s="1" a="1"/>
  <c r="L45" i="4" s="1"/>
  <c r="E49" i="4"/>
  <c r="F49" i="4" s="1"/>
  <c r="C55" i="4"/>
  <c r="D55" i="4" s="1"/>
  <c r="A60" i="4"/>
  <c r="C67" i="4"/>
  <c r="D67" i="4" s="1"/>
  <c r="E73" i="4"/>
  <c r="F73" i="4" s="1"/>
  <c r="C75" i="4"/>
  <c r="D75" i="4" s="1"/>
  <c r="K78" i="4"/>
  <c r="L78" i="4" s="1" a="1"/>
  <c r="L78" i="4" s="1"/>
  <c r="C82" i="4"/>
  <c r="D82" i="4" s="1"/>
  <c r="A84" i="4"/>
  <c r="K89" i="4"/>
  <c r="L89" i="4" s="1" a="1"/>
  <c r="L89" i="4" s="1"/>
  <c r="K96" i="4"/>
  <c r="L96" i="4" s="1" a="1"/>
  <c r="L96" i="4" s="1"/>
  <c r="K105" i="4"/>
  <c r="L105" i="4" s="1" a="1"/>
  <c r="L105" i="4" s="1"/>
  <c r="K112" i="4"/>
  <c r="L112" i="4" s="1" a="1"/>
  <c r="L112" i="4" s="1"/>
  <c r="K114" i="4"/>
  <c r="L114" i="4" s="1" a="1"/>
  <c r="L114" i="4" s="1"/>
  <c r="K121" i="4"/>
  <c r="L121" i="4" s="1" a="1"/>
  <c r="L121" i="4" s="1"/>
  <c r="K128" i="4"/>
  <c r="L128" i="4" s="1" a="1"/>
  <c r="L128" i="4" s="1"/>
  <c r="K130" i="4"/>
  <c r="L130" i="4" s="1" a="1"/>
  <c r="L130" i="4" s="1"/>
  <c r="K137" i="4"/>
  <c r="L137" i="4" s="1" a="1"/>
  <c r="L137" i="4" s="1"/>
  <c r="K149" i="4"/>
  <c r="L149" i="4" s="1" a="1"/>
  <c r="L149" i="4" s="1"/>
  <c r="A43" i="4"/>
  <c r="A52" i="4"/>
  <c r="C54" i="4"/>
  <c r="D54" i="4" s="1"/>
  <c r="K56" i="4"/>
  <c r="L56" i="4" s="1" a="1"/>
  <c r="L56" i="4" s="1"/>
  <c r="C59" i="4"/>
  <c r="D59" i="4" s="1"/>
  <c r="E61" i="4"/>
  <c r="F61" i="4" s="1"/>
  <c r="E67" i="4"/>
  <c r="F67" i="4" s="1"/>
  <c r="C69" i="4"/>
  <c r="D69" i="4" s="1"/>
  <c r="E75" i="4"/>
  <c r="F75" i="4" s="1"/>
  <c r="C77" i="4"/>
  <c r="D77" i="4" s="1"/>
  <c r="C84" i="4"/>
  <c r="D84" i="4" s="1"/>
  <c r="A86" i="4"/>
  <c r="K100" i="4"/>
  <c r="L100" i="4" s="1" a="1"/>
  <c r="L100" i="4" s="1"/>
  <c r="K109" i="4"/>
  <c r="L109" i="4" s="1" a="1"/>
  <c r="L109" i="4" s="1"/>
  <c r="K132" i="4"/>
  <c r="L132" i="4" s="1" a="1"/>
  <c r="L132" i="4" s="1"/>
  <c r="K144" i="4"/>
  <c r="L144" i="4" s="1" a="1"/>
  <c r="L144" i="4" s="1"/>
  <c r="K148" i="4"/>
  <c r="L148" i="4" s="1" a="1"/>
  <c r="L148" i="4" s="1"/>
  <c r="I183" i="8"/>
  <c r="I152" i="8"/>
  <c r="I166" i="8"/>
  <c r="I176" i="8"/>
  <c r="I223" i="8"/>
  <c r="I254" i="8"/>
  <c r="I272" i="8"/>
  <c r="I355" i="8"/>
  <c r="I371" i="8"/>
  <c r="I387" i="8"/>
  <c r="I270" i="8"/>
  <c r="I225" i="8"/>
  <c r="I453" i="8"/>
  <c r="I354" i="8"/>
  <c r="I409" i="8"/>
  <c r="I441" i="8"/>
  <c r="I473" i="8"/>
  <c r="I505" i="8"/>
  <c r="I269" i="8"/>
  <c r="I378" i="8"/>
  <c r="I383" i="8"/>
  <c r="I413" i="8"/>
  <c r="I370" i="8"/>
  <c r="I401" i="8"/>
  <c r="I614" i="8"/>
  <c r="I622" i="8"/>
  <c r="I655" i="8"/>
  <c r="I668" i="8"/>
  <c r="I397" i="8"/>
  <c r="I450" i="8"/>
  <c r="I616" i="8"/>
  <c r="I290" i="8"/>
  <c r="I214" i="8"/>
  <c r="I306" i="8"/>
  <c r="I642" i="8"/>
  <c r="I547" i="8"/>
  <c r="I342" i="8"/>
  <c r="I172" i="8"/>
  <c r="I179" i="8"/>
  <c r="I173" i="8"/>
  <c r="I205" i="8"/>
  <c r="I158" i="8"/>
  <c r="I178" i="8"/>
  <c r="I189" i="8"/>
  <c r="I186" i="8"/>
  <c r="I220" i="8"/>
  <c r="I236" i="8"/>
  <c r="I231" i="8"/>
  <c r="I247" i="8"/>
  <c r="I278" i="8"/>
  <c r="I304" i="8"/>
  <c r="I311" i="8"/>
  <c r="I165" i="8"/>
  <c r="I167" i="8"/>
  <c r="I253" i="8"/>
  <c r="I285" i="8"/>
  <c r="I317" i="8"/>
  <c r="I241" i="8"/>
  <c r="I337" i="8"/>
  <c r="I376" i="8"/>
  <c r="I245" i="8"/>
  <c r="I309" i="8"/>
  <c r="I410" i="8"/>
  <c r="I474" i="8"/>
  <c r="I233" i="8"/>
  <c r="I360" i="8"/>
  <c r="I520" i="8"/>
  <c r="I546" i="8"/>
  <c r="I598" i="8"/>
  <c r="I649" i="8"/>
  <c r="I665" i="8"/>
  <c r="I190" i="8"/>
  <c r="I434" i="8"/>
  <c r="I438" i="8"/>
  <c r="I449" i="8"/>
  <c r="I462" i="8"/>
  <c r="I422" i="8"/>
  <c r="I446" i="8"/>
  <c r="I652" i="8"/>
  <c r="I320" i="8"/>
  <c r="I402" i="8"/>
  <c r="I574" i="8"/>
  <c r="I662" i="8"/>
  <c r="I418" i="8"/>
  <c r="I478" i="8"/>
  <c r="I648" i="8"/>
  <c r="I664" i="8"/>
  <c r="I191" i="8"/>
  <c r="I216" i="8"/>
  <c r="I232" i="8"/>
  <c r="I187" i="8"/>
  <c r="I207" i="8"/>
  <c r="I180" i="8"/>
  <c r="I212" i="8"/>
  <c r="I228" i="8"/>
  <c r="I156" i="8"/>
  <c r="I192" i="8"/>
  <c r="I215" i="8"/>
  <c r="I244" i="8"/>
  <c r="I195" i="8"/>
  <c r="I246" i="8"/>
  <c r="I279" i="8"/>
  <c r="I310" i="8"/>
  <c r="I157" i="8"/>
  <c r="I271" i="8"/>
  <c r="I303" i="8"/>
  <c r="I333" i="8"/>
  <c r="I335" i="8"/>
  <c r="I261" i="8"/>
  <c r="I301" i="8"/>
  <c r="I394" i="8"/>
  <c r="I200" i="8"/>
  <c r="I368" i="8"/>
  <c r="I175" i="8"/>
  <c r="I553" i="8"/>
  <c r="I641" i="8"/>
  <c r="I657" i="8"/>
  <c r="I498" i="8"/>
  <c r="I497" i="8"/>
  <c r="I644" i="8"/>
  <c r="I660" i="8"/>
  <c r="I155" i="8"/>
  <c r="I375" i="8"/>
  <c r="I606" i="8"/>
  <c r="I654" i="8"/>
  <c r="I670" i="8"/>
  <c r="I294" i="8"/>
  <c r="I656" i="8"/>
  <c r="I159" i="8"/>
  <c r="I204" i="8"/>
  <c r="I171" i="8"/>
  <c r="I203" i="8"/>
  <c r="I199" i="8"/>
  <c r="I208" i="8"/>
  <c r="I239" i="8"/>
  <c r="I248" i="8"/>
  <c r="I255" i="8"/>
  <c r="I286" i="8"/>
  <c r="I312" i="8"/>
  <c r="I319" i="8"/>
  <c r="I326" i="8"/>
  <c r="I218" i="8"/>
  <c r="I221" i="8"/>
  <c r="I234" i="8"/>
  <c r="I237" i="8"/>
  <c r="I264" i="8"/>
  <c r="I296" i="8"/>
  <c r="I325" i="8"/>
  <c r="I327" i="8"/>
  <c r="I362" i="8"/>
  <c r="I367" i="8"/>
  <c r="I168" i="8"/>
  <c r="I295" i="8"/>
  <c r="I386" i="8"/>
  <c r="I391" i="8"/>
  <c r="I426" i="8"/>
  <c r="I490" i="8"/>
  <c r="I346" i="8"/>
  <c r="I351" i="8"/>
  <c r="I392" i="8"/>
  <c r="I518" i="8"/>
  <c r="I538" i="8"/>
  <c r="I552" i="8"/>
  <c r="I582" i="8"/>
  <c r="I631" i="8"/>
  <c r="I645" i="8"/>
  <c r="I661" i="8"/>
  <c r="I466" i="8"/>
  <c r="I470" i="8"/>
  <c r="I481" i="8"/>
  <c r="I494" i="8"/>
  <c r="I560" i="8"/>
  <c r="I576" i="8"/>
  <c r="I592" i="8"/>
  <c r="I608" i="8"/>
  <c r="I454" i="8"/>
  <c r="I482" i="8"/>
  <c r="I528" i="8"/>
  <c r="I256" i="8"/>
  <c r="I534" i="8"/>
  <c r="I558" i="8"/>
  <c r="I623" i="8"/>
  <c r="I658" i="8"/>
  <c r="I433" i="8"/>
  <c r="I486" i="8"/>
  <c r="I510" i="8"/>
  <c r="H163" i="1"/>
  <c r="H165" i="1"/>
  <c r="H167" i="1"/>
  <c r="H174" i="1"/>
  <c r="H177" i="1"/>
  <c r="H185" i="1"/>
  <c r="H168" i="1"/>
  <c r="H170" i="1"/>
  <c r="H164" i="1"/>
  <c r="H166" i="1"/>
  <c r="H173" i="1"/>
  <c r="H178" i="1"/>
  <c r="H186" i="1"/>
  <c r="H171" i="1"/>
  <c r="H172" i="1"/>
  <c r="H180" i="1"/>
  <c r="H181" i="1"/>
  <c r="H169" i="1"/>
  <c r="H176" i="1"/>
  <c r="H179" i="1"/>
  <c r="H184" i="1"/>
  <c r="H175" i="1"/>
  <c r="H182" i="1"/>
  <c r="H183" i="1"/>
  <c r="H21" i="6"/>
  <c r="H22" i="6"/>
  <c r="AB11" i="6"/>
  <c r="I31" i="6"/>
  <c r="AB14" i="6"/>
  <c r="I26" i="6"/>
  <c r="AB34" i="6"/>
  <c r="F35" i="6"/>
  <c r="E39" i="6"/>
  <c r="J39" i="6"/>
  <c r="F41" i="6"/>
  <c r="J43" i="6"/>
  <c r="E43" i="6"/>
  <c r="F44" i="6"/>
  <c r="E26" i="6"/>
  <c r="J26" i="6"/>
  <c r="AB22" i="6"/>
  <c r="I20" i="6"/>
  <c r="J28" i="6"/>
  <c r="J44" i="6"/>
  <c r="E44" i="6"/>
  <c r="E36" i="6"/>
  <c r="J36" i="6"/>
  <c r="E41" i="6"/>
  <c r="J41" i="6"/>
  <c r="E28" i="6"/>
  <c r="E40" i="6"/>
  <c r="J40" i="6"/>
  <c r="F37" i="6"/>
  <c r="S42" i="6"/>
  <c r="I28" i="6"/>
  <c r="S38" i="6"/>
  <c r="E37" i="6"/>
  <c r="J37" i="6"/>
  <c r="F38" i="6"/>
  <c r="AB38" i="6"/>
  <c r="H33" i="6"/>
  <c r="I33" i="6"/>
  <c r="H40" i="1" s="1"/>
  <c r="H29" i="6"/>
  <c r="E29" i="6"/>
  <c r="AB31" i="6"/>
  <c r="S31" i="6"/>
  <c r="S28" i="6"/>
  <c r="AB28" i="6"/>
  <c r="AB21" i="6"/>
  <c r="AB26" i="6"/>
  <c r="S26" i="6"/>
  <c r="S29" i="6"/>
  <c r="AB29" i="6"/>
  <c r="U65" i="1" s="1"/>
  <c r="AB32" i="6"/>
  <c r="S32" i="6"/>
  <c r="H31" i="6"/>
  <c r="J31" i="6"/>
  <c r="AB27" i="6"/>
  <c r="U63" i="1" s="1"/>
  <c r="S27" i="6"/>
  <c r="H32" i="6"/>
  <c r="I32" i="6"/>
  <c r="H39" i="1" s="1"/>
  <c r="J32" i="6"/>
  <c r="H30" i="6"/>
  <c r="E30" i="6"/>
  <c r="J30" i="6"/>
  <c r="H27" i="6"/>
  <c r="I27" i="6"/>
  <c r="H34" i="1" s="1"/>
  <c r="S33" i="6"/>
  <c r="AB33" i="6"/>
  <c r="S30" i="6"/>
  <c r="H15" i="6"/>
  <c r="AB17" i="6"/>
  <c r="I18" i="6"/>
  <c r="H14" i="6"/>
  <c r="Q13" i="4"/>
  <c r="R13" i="4" s="1" a="1"/>
  <c r="R13" i="4" s="1"/>
  <c r="T13" i="4" s="1" a="1"/>
  <c r="T13" i="4" s="1"/>
  <c r="Q19" i="4"/>
  <c r="Q25" i="4"/>
  <c r="V12" i="4" a="1"/>
  <c r="V18" i="4" a="1"/>
  <c r="V24" i="4" a="1"/>
  <c r="Q14" i="4"/>
  <c r="Q20" i="4"/>
  <c r="V13" i="4" a="1"/>
  <c r="V19" i="4" a="1"/>
  <c r="V25" i="4" a="1"/>
  <c r="Q9" i="4"/>
  <c r="R9" i="4" s="1" a="1"/>
  <c r="R9" i="4" s="1"/>
  <c r="T9" i="4" s="1" a="1"/>
  <c r="T9" i="4" s="1"/>
  <c r="Q15" i="4"/>
  <c r="R15" i="4" s="1" a="1"/>
  <c r="R15" i="4" s="1"/>
  <c r="T15" i="4" s="1" a="1"/>
  <c r="T15" i="4" s="1"/>
  <c r="Q21" i="4"/>
  <c r="R21" i="4" s="1" a="1"/>
  <c r="V14" i="4" a="1"/>
  <c r="V20" i="4" a="1"/>
  <c r="Q10" i="4"/>
  <c r="Q16" i="4"/>
  <c r="Q22" i="4"/>
  <c r="R22" i="4" s="1" a="1"/>
  <c r="R22" i="4" s="1"/>
  <c r="T22" i="4" s="1" a="1"/>
  <c r="T22" i="4" s="1"/>
  <c r="V9" i="4" a="1"/>
  <c r="V9" i="4" s="1"/>
  <c r="V15" i="4" a="1"/>
  <c r="V21" i="4" a="1"/>
  <c r="Q11" i="4"/>
  <c r="Q17" i="4"/>
  <c r="R17" i="4" s="1" a="1"/>
  <c r="R17" i="4" s="1"/>
  <c r="T17" i="4" s="1" a="1"/>
  <c r="T17" i="4" s="1"/>
  <c r="Q23" i="4"/>
  <c r="V10" i="4" a="1"/>
  <c r="V16" i="4" a="1"/>
  <c r="V22" i="4" a="1"/>
  <c r="Q12" i="4"/>
  <c r="R12" i="4" s="1" a="1"/>
  <c r="R12" i="4" s="1"/>
  <c r="T12" i="4" s="1" a="1"/>
  <c r="T12" i="4" s="1"/>
  <c r="Q18" i="4"/>
  <c r="Q24" i="4"/>
  <c r="V11" i="4" a="1"/>
  <c r="V17" i="4" a="1"/>
  <c r="V23" i="4" a="1"/>
  <c r="Q7" i="4"/>
  <c r="R7" i="4" s="1" a="1"/>
  <c r="R7" i="4" s="1"/>
  <c r="T7" i="4" s="1" a="1"/>
  <c r="T7" i="4" s="1"/>
  <c r="V3" i="4" a="1"/>
  <c r="V3" i="4" s="1"/>
  <c r="Q8" i="4"/>
  <c r="R8" i="4" s="1" a="1"/>
  <c r="V4" i="4" a="1"/>
  <c r="V4" i="4" s="1"/>
  <c r="Q3" i="4"/>
  <c r="R3" i="4" s="1" a="1"/>
  <c r="R3" i="4" s="1"/>
  <c r="T3" i="4" s="1" a="1"/>
  <c r="T3" i="4" s="1"/>
  <c r="V5" i="4" a="1"/>
  <c r="V5" i="4" s="1"/>
  <c r="Q6" i="4"/>
  <c r="R6" i="4" s="1" a="1"/>
  <c r="R6" i="4" s="1"/>
  <c r="T6" i="4" s="1" a="1"/>
  <c r="T6" i="4" s="1"/>
  <c r="V8" i="4" a="1"/>
  <c r="V8" i="4" s="1"/>
  <c r="Q4" i="4"/>
  <c r="R4" i="4" s="1" a="1"/>
  <c r="R4" i="4" s="1"/>
  <c r="T4" i="4" s="1" a="1"/>
  <c r="T4" i="4" s="1"/>
  <c r="V6" i="4" a="1"/>
  <c r="V6" i="4" s="1"/>
  <c r="Q5" i="4"/>
  <c r="V7" i="4" a="1"/>
  <c r="V7" i="4" s="1"/>
  <c r="AB6" i="6"/>
  <c r="AB7" i="6"/>
  <c r="I17" i="6"/>
  <c r="U40" i="1"/>
  <c r="AB5" i="6"/>
  <c r="AB2" i="6"/>
  <c r="U21" i="1" s="1"/>
  <c r="AB8" i="6"/>
  <c r="S23" i="6"/>
  <c r="AB23" i="6"/>
  <c r="U99" i="1"/>
  <c r="U87" i="1"/>
  <c r="U45" i="1"/>
  <c r="U29" i="1"/>
  <c r="U101" i="1"/>
  <c r="U137" i="1"/>
  <c r="U6" i="1"/>
  <c r="U42" i="1"/>
  <c r="U78" i="1"/>
  <c r="U114" i="1"/>
  <c r="U150" i="1"/>
  <c r="U25" i="1"/>
  <c r="U133" i="1"/>
  <c r="U142" i="1"/>
  <c r="U44" i="1"/>
  <c r="U92" i="1"/>
  <c r="U57" i="1"/>
  <c r="U129" i="1"/>
  <c r="U165" i="1"/>
  <c r="AB18" i="6"/>
  <c r="AB20" i="6"/>
  <c r="AB13" i="6"/>
  <c r="AB25" i="6"/>
  <c r="U61" i="1" s="1"/>
  <c r="U69" i="1"/>
  <c r="U94" i="1"/>
  <c r="U97" i="1"/>
  <c r="U35" i="1"/>
  <c r="U71" i="1"/>
  <c r="U107" i="1"/>
  <c r="U143" i="1"/>
  <c r="U48" i="1"/>
  <c r="U84" i="1"/>
  <c r="U120" i="1"/>
  <c r="U156" i="1"/>
  <c r="U136" i="1"/>
  <c r="U67" i="1"/>
  <c r="U103" i="1"/>
  <c r="U139" i="1"/>
  <c r="U166" i="1"/>
  <c r="U50" i="1"/>
  <c r="U98" i="1"/>
  <c r="U106" i="1"/>
  <c r="U135" i="1"/>
  <c r="U93" i="1"/>
  <c r="U16" i="1"/>
  <c r="U81" i="1"/>
  <c r="U5" i="1"/>
  <c r="U41" i="1"/>
  <c r="U77" i="1"/>
  <c r="U113" i="1"/>
  <c r="U149" i="1"/>
  <c r="U18" i="1"/>
  <c r="U54" i="1"/>
  <c r="U126" i="1"/>
  <c r="U162" i="1"/>
  <c r="U160" i="1"/>
  <c r="U37" i="1"/>
  <c r="U73" i="1"/>
  <c r="U109" i="1"/>
  <c r="U145" i="1"/>
  <c r="U8" i="1"/>
  <c r="U62" i="1"/>
  <c r="U124" i="1"/>
  <c r="U105" i="1"/>
  <c r="U141" i="1"/>
  <c r="U56" i="1"/>
  <c r="U110" i="1"/>
  <c r="U146" i="1"/>
  <c r="U140" i="1"/>
  <c r="U10" i="1"/>
  <c r="U64" i="1"/>
  <c r="U116" i="1"/>
  <c r="U152" i="1"/>
  <c r="U20" i="1"/>
  <c r="U74" i="1"/>
  <c r="U122" i="1"/>
  <c r="U158" i="1"/>
  <c r="U28" i="1"/>
  <c r="U82" i="1"/>
  <c r="U128" i="1"/>
  <c r="U164" i="1"/>
  <c r="U104" i="1"/>
  <c r="U38" i="1"/>
  <c r="U90" i="1"/>
  <c r="U134" i="1"/>
  <c r="U46" i="1"/>
  <c r="AB3" i="6"/>
  <c r="AB4" i="6"/>
  <c r="I25" i="6"/>
  <c r="H61" i="1" s="1"/>
  <c r="AB15" i="6"/>
  <c r="U51" i="1" s="1"/>
  <c r="U100" i="1"/>
  <c r="U34" i="1"/>
  <c r="U88" i="1"/>
  <c r="U11" i="1"/>
  <c r="U47" i="1"/>
  <c r="U83" i="1"/>
  <c r="U119" i="1"/>
  <c r="U155" i="1"/>
  <c r="U112" i="1"/>
  <c r="U24" i="1"/>
  <c r="U60" i="1"/>
  <c r="U132" i="1"/>
  <c r="U7" i="1"/>
  <c r="U43" i="1"/>
  <c r="U79" i="1"/>
  <c r="U115" i="1"/>
  <c r="U151" i="1"/>
  <c r="U76" i="1"/>
  <c r="U14" i="1"/>
  <c r="U68" i="1"/>
  <c r="U3" i="1"/>
  <c r="U39" i="1"/>
  <c r="U75" i="1"/>
  <c r="U111" i="1"/>
  <c r="U147" i="1"/>
  <c r="U154" i="1"/>
  <c r="AB12" i="6"/>
  <c r="U12" i="1" s="1"/>
  <c r="AB24" i="6"/>
  <c r="AB19" i="6"/>
  <c r="U55" i="1" s="1"/>
  <c r="U15" i="1"/>
  <c r="U2" i="1"/>
  <c r="U52" i="1"/>
  <c r="U9" i="1"/>
  <c r="U96" i="1"/>
  <c r="U17" i="1"/>
  <c r="U53" i="1"/>
  <c r="U89" i="1"/>
  <c r="U125" i="1"/>
  <c r="U161" i="1"/>
  <c r="U130" i="1"/>
  <c r="U30" i="1"/>
  <c r="U66" i="1"/>
  <c r="U102" i="1"/>
  <c r="U138" i="1"/>
  <c r="U13" i="1"/>
  <c r="U49" i="1"/>
  <c r="U85" i="1"/>
  <c r="U121" i="1"/>
  <c r="U157" i="1"/>
  <c r="U26" i="1"/>
  <c r="U80" i="1"/>
  <c r="U117" i="1"/>
  <c r="U153" i="1"/>
  <c r="U33" i="1"/>
  <c r="U70" i="1"/>
  <c r="U27" i="1"/>
  <c r="U23" i="1"/>
  <c r="U59" i="1"/>
  <c r="U95" i="1"/>
  <c r="U131" i="1"/>
  <c r="U4" i="1"/>
  <c r="U148" i="1"/>
  <c r="U36" i="1"/>
  <c r="U72" i="1"/>
  <c r="U108" i="1"/>
  <c r="U144" i="1"/>
  <c r="U19" i="1"/>
  <c r="U91" i="1"/>
  <c r="U127" i="1"/>
  <c r="U163" i="1"/>
  <c r="U118" i="1"/>
  <c r="U32" i="1"/>
  <c r="U86" i="1"/>
  <c r="U58" i="1"/>
  <c r="U123" i="1"/>
  <c r="U159" i="1"/>
  <c r="S12" i="6"/>
  <c r="S17" i="6"/>
  <c r="J8" i="6"/>
  <c r="E7" i="6"/>
  <c r="E8" i="6"/>
  <c r="H7" i="6"/>
  <c r="S7" i="6"/>
  <c r="S11" i="6"/>
  <c r="S18" i="6"/>
  <c r="J20" i="6"/>
  <c r="E20" i="6"/>
  <c r="E18" i="6"/>
  <c r="J18" i="6"/>
  <c r="J15" i="6"/>
  <c r="E15" i="6"/>
  <c r="S10" i="6"/>
  <c r="S22" i="6"/>
  <c r="S20" i="6"/>
  <c r="S13" i="6"/>
  <c r="S25" i="6"/>
  <c r="I5" i="6"/>
  <c r="H24" i="1" s="1"/>
  <c r="E5" i="6"/>
  <c r="J5" i="6"/>
  <c r="E19" i="6"/>
  <c r="J19" i="6"/>
  <c r="S15" i="6"/>
  <c r="E17" i="6"/>
  <c r="J17" i="6"/>
  <c r="E22" i="6"/>
  <c r="J22" i="6"/>
  <c r="S24" i="6"/>
  <c r="J14" i="6"/>
  <c r="E14" i="6"/>
  <c r="H12" i="6"/>
  <c r="E12" i="6"/>
  <c r="J12" i="6"/>
  <c r="E24" i="6"/>
  <c r="J24" i="6"/>
  <c r="I10" i="6"/>
  <c r="H29" i="1" s="1"/>
  <c r="E10" i="6"/>
  <c r="H10" i="6"/>
  <c r="J21" i="6"/>
  <c r="E21" i="6"/>
  <c r="S16" i="6"/>
  <c r="S14" i="6"/>
  <c r="S19" i="6"/>
  <c r="H13" i="6"/>
  <c r="E13" i="6"/>
  <c r="J13" i="6"/>
  <c r="E25" i="6"/>
  <c r="J25" i="6"/>
  <c r="S21" i="6"/>
  <c r="H11" i="6"/>
  <c r="E11" i="6"/>
  <c r="J11" i="6"/>
  <c r="E23" i="6"/>
  <c r="J23" i="6"/>
  <c r="E16" i="6"/>
  <c r="J16" i="6"/>
  <c r="I8" i="6"/>
  <c r="I7" i="6"/>
  <c r="H26" i="1" s="1"/>
  <c r="H4" i="6"/>
  <c r="S3" i="6"/>
  <c r="S8" i="6"/>
  <c r="S5" i="6"/>
  <c r="A4" i="4"/>
  <c r="K6" i="4"/>
  <c r="L6" i="4" s="1" a="1"/>
  <c r="L6" i="4" s="1"/>
  <c r="A7" i="4"/>
  <c r="K9" i="4"/>
  <c r="L9" i="4" s="1" a="1"/>
  <c r="L9" i="4" s="1"/>
  <c r="A10" i="4"/>
  <c r="E11" i="4"/>
  <c r="F11" i="4" s="1"/>
  <c r="K3" i="4"/>
  <c r="L3" i="4" s="1" a="1"/>
  <c r="L3" i="4" s="1"/>
  <c r="C4" i="4"/>
  <c r="D4" i="4" s="1"/>
  <c r="K5" i="4"/>
  <c r="L5" i="4" s="1" a="1"/>
  <c r="L5" i="4" s="1"/>
  <c r="A6" i="4"/>
  <c r="C7" i="4"/>
  <c r="D7" i="4" s="1"/>
  <c r="E8" i="4"/>
  <c r="F8" i="4" s="1"/>
  <c r="C10" i="4"/>
  <c r="D10" i="4" s="1"/>
  <c r="K12" i="4"/>
  <c r="L12" i="4" s="1" a="1"/>
  <c r="L12" i="4" s="1"/>
  <c r="E13" i="4"/>
  <c r="F13" i="4" s="1"/>
  <c r="A15" i="4"/>
  <c r="C16" i="4"/>
  <c r="D16" i="4" s="1"/>
  <c r="K19" i="4"/>
  <c r="L19" i="4" s="1" a="1"/>
  <c r="L19" i="4" s="1"/>
  <c r="K22" i="4"/>
  <c r="L22" i="4" s="1" a="1"/>
  <c r="L22" i="4" s="1"/>
  <c r="A23" i="4"/>
  <c r="A24" i="4"/>
  <c r="K25" i="4"/>
  <c r="L25" i="4" s="1" a="1"/>
  <c r="L25" i="4" s="1"/>
  <c r="A26" i="4"/>
  <c r="K26" i="4"/>
  <c r="L26" i="4" s="1" a="1"/>
  <c r="L26" i="4" s="1"/>
  <c r="A27" i="4"/>
  <c r="C28" i="4"/>
  <c r="D28" i="4" s="1"/>
  <c r="E4" i="4"/>
  <c r="F4" i="4" s="1"/>
  <c r="C6" i="4"/>
  <c r="D6" i="4" s="1"/>
  <c r="E7" i="4"/>
  <c r="F7" i="4" s="1"/>
  <c r="A9" i="4"/>
  <c r="E10" i="4"/>
  <c r="F10" i="4" s="1"/>
  <c r="K11" i="4"/>
  <c r="L11" i="4" s="1" a="1"/>
  <c r="L11" i="4" s="1"/>
  <c r="E14" i="4"/>
  <c r="F14" i="4" s="1"/>
  <c r="A3" i="4"/>
  <c r="A5" i="4"/>
  <c r="K8" i="4"/>
  <c r="L8" i="4" s="1" a="1"/>
  <c r="L8" i="4" s="1"/>
  <c r="C9" i="4"/>
  <c r="D9" i="4" s="1"/>
  <c r="A11" i="4"/>
  <c r="A12" i="4"/>
  <c r="K13" i="4"/>
  <c r="L13" i="4" s="1" a="1"/>
  <c r="L13" i="4" s="1"/>
  <c r="E15" i="4"/>
  <c r="F15" i="4" s="1"/>
  <c r="E16" i="4"/>
  <c r="F16" i="4" s="1"/>
  <c r="C17" i="4"/>
  <c r="D17" i="4" s="1"/>
  <c r="A18" i="4"/>
  <c r="A19" i="4"/>
  <c r="A22" i="4"/>
  <c r="E24" i="4"/>
  <c r="F24" i="4" s="1"/>
  <c r="C25" i="4"/>
  <c r="D25" i="4" s="1"/>
  <c r="E27" i="4"/>
  <c r="F27" i="4" s="1"/>
  <c r="E28" i="4"/>
  <c r="F28" i="4" s="1"/>
  <c r="C29" i="4"/>
  <c r="D29" i="4" s="1"/>
  <c r="A30" i="4"/>
  <c r="A31" i="4"/>
  <c r="C3" i="4"/>
  <c r="D3" i="4" s="1"/>
  <c r="K4" i="4"/>
  <c r="L4" i="4" s="1" a="1"/>
  <c r="L4" i="4" s="1"/>
  <c r="C5" i="4"/>
  <c r="D5" i="4" s="1"/>
  <c r="E6" i="4"/>
  <c r="F6" i="4" s="1"/>
  <c r="K7" i="4"/>
  <c r="L7" i="4" s="1" a="1"/>
  <c r="L7" i="4" s="1"/>
  <c r="A8" i="4"/>
  <c r="E9" i="4"/>
  <c r="F9" i="4" s="1"/>
  <c r="K10" i="4"/>
  <c r="L10" i="4" s="1" a="1"/>
  <c r="L10" i="4" s="1"/>
  <c r="C11" i="4"/>
  <c r="D11" i="4" s="1"/>
  <c r="C12" i="4"/>
  <c r="D12" i="4" s="1"/>
  <c r="A13" i="4"/>
  <c r="C18" i="4"/>
  <c r="D18" i="4" s="1"/>
  <c r="C19" i="4"/>
  <c r="D19" i="4" s="1"/>
  <c r="A20" i="4"/>
  <c r="E3" i="4"/>
  <c r="F3" i="4" s="1"/>
  <c r="E5" i="4"/>
  <c r="F5" i="4" s="1"/>
  <c r="C8" i="4"/>
  <c r="D8" i="4" s="1"/>
  <c r="E12" i="4"/>
  <c r="F12" i="4" s="1"/>
  <c r="C13" i="4"/>
  <c r="D13" i="4" s="1"/>
  <c r="A14" i="4"/>
  <c r="K14" i="4"/>
  <c r="L14" i="4" s="1" a="1"/>
  <c r="L14" i="4" s="1"/>
  <c r="K15" i="4"/>
  <c r="L15" i="4" s="1" a="1"/>
  <c r="L15" i="4" s="1"/>
  <c r="E17" i="4"/>
  <c r="F17" i="4" s="1"/>
  <c r="E19" i="4"/>
  <c r="F19" i="4" s="1"/>
  <c r="C20" i="4"/>
  <c r="D20" i="4" s="1"/>
  <c r="C21" i="4"/>
  <c r="D21" i="4" s="1"/>
  <c r="E22" i="4"/>
  <c r="F22" i="4" s="1"/>
  <c r="K24" i="4"/>
  <c r="L24" i="4" s="1" a="1"/>
  <c r="L24" i="4" s="1"/>
  <c r="E25" i="4"/>
  <c r="F25" i="4" s="1"/>
  <c r="K27" i="4"/>
  <c r="L27" i="4" s="1" a="1"/>
  <c r="L27" i="4" s="1"/>
  <c r="E29" i="4"/>
  <c r="F29" i="4" s="1"/>
  <c r="E31" i="4"/>
  <c r="F31" i="4" s="1"/>
  <c r="C32" i="4"/>
  <c r="D32" i="4" s="1"/>
  <c r="C33" i="4"/>
  <c r="D33" i="4" s="1"/>
  <c r="E34" i="4"/>
  <c r="F34" i="4" s="1"/>
  <c r="K39" i="4"/>
  <c r="L39" i="4" s="1" a="1"/>
  <c r="L39" i="4" s="1"/>
  <c r="C42" i="4"/>
  <c r="D42" i="4" s="1"/>
  <c r="C14" i="4"/>
  <c r="D14" i="4" s="1"/>
  <c r="A16" i="4"/>
  <c r="E20" i="4"/>
  <c r="F20" i="4" s="1"/>
  <c r="K21" i="4"/>
  <c r="L21" i="4" s="1" a="1"/>
  <c r="L21" i="4" s="1"/>
  <c r="A32" i="4"/>
  <c r="E35" i="4"/>
  <c r="F35" i="4" s="1"/>
  <c r="A36" i="4"/>
  <c r="C37" i="4"/>
  <c r="D37" i="4" s="1"/>
  <c r="E38" i="4"/>
  <c r="F38" i="4" s="1"/>
  <c r="C40" i="4"/>
  <c r="D40" i="4" s="1"/>
  <c r="C41" i="4"/>
  <c r="D41" i="4" s="1"/>
  <c r="E42" i="4"/>
  <c r="F42" i="4" s="1"/>
  <c r="K17" i="4"/>
  <c r="L17" i="4" s="1" a="1"/>
  <c r="L17" i="4" s="1"/>
  <c r="K20" i="4"/>
  <c r="L20" i="4" s="1" a="1"/>
  <c r="L20" i="4" s="1"/>
  <c r="C30" i="4"/>
  <c r="D30" i="4" s="1"/>
  <c r="E32" i="4"/>
  <c r="F32" i="4" s="1"/>
  <c r="K33" i="4"/>
  <c r="L33" i="4" s="1" a="1"/>
  <c r="L33" i="4" s="1"/>
  <c r="A34" i="4"/>
  <c r="K35" i="4"/>
  <c r="L35" i="4" s="1" a="1"/>
  <c r="L35" i="4" s="1"/>
  <c r="C36" i="4"/>
  <c r="D36" i="4" s="1"/>
  <c r="A39" i="4"/>
  <c r="E41" i="4"/>
  <c r="F41" i="4" s="1"/>
  <c r="K16" i="4"/>
  <c r="L16" i="4" s="1" a="1"/>
  <c r="L16" i="4" s="1"/>
  <c r="A28" i="4"/>
  <c r="K29" i="4"/>
  <c r="L29" i="4" s="1" a="1"/>
  <c r="L29" i="4" s="1"/>
  <c r="E30" i="4"/>
  <c r="F30" i="4" s="1"/>
  <c r="C34" i="4"/>
  <c r="D34" i="4" s="1"/>
  <c r="E36" i="4"/>
  <c r="F36" i="4" s="1"/>
  <c r="E37" i="4"/>
  <c r="F37" i="4" s="1"/>
  <c r="K38" i="4"/>
  <c r="L38" i="4" s="1" a="1"/>
  <c r="L38" i="4" s="1"/>
  <c r="C39" i="4"/>
  <c r="D39" i="4" s="1"/>
  <c r="E40" i="4"/>
  <c r="F40" i="4" s="1"/>
  <c r="K42" i="4"/>
  <c r="L42" i="4" s="1" a="1"/>
  <c r="L42" i="4" s="1"/>
  <c r="C15" i="4"/>
  <c r="D15" i="4" s="1"/>
  <c r="C23" i="4"/>
  <c r="D23" i="4" s="1"/>
  <c r="C24" i="4"/>
  <c r="D24" i="4" s="1"/>
  <c r="A25" i="4"/>
  <c r="C26" i="4"/>
  <c r="D26" i="4" s="1"/>
  <c r="C27" i="4"/>
  <c r="D27" i="4" s="1"/>
  <c r="C31" i="4"/>
  <c r="D31" i="4" s="1"/>
  <c r="K32" i="4"/>
  <c r="L32" i="4" s="1" a="1"/>
  <c r="L32" i="4" s="1"/>
  <c r="A35" i="4"/>
  <c r="A38" i="4"/>
  <c r="E39" i="4"/>
  <c r="F39" i="4" s="1"/>
  <c r="E18" i="4"/>
  <c r="F18" i="4" s="1"/>
  <c r="A21" i="4"/>
  <c r="C22" i="4"/>
  <c r="D22" i="4" s="1"/>
  <c r="E23" i="4"/>
  <c r="F23" i="4" s="1"/>
  <c r="E26" i="4"/>
  <c r="F26" i="4" s="1"/>
  <c r="A29" i="4"/>
  <c r="K30" i="4"/>
  <c r="L30" i="4" s="1" a="1"/>
  <c r="L30" i="4" s="1"/>
  <c r="A33" i="4"/>
  <c r="K34" i="4"/>
  <c r="L34" i="4" s="1" a="1"/>
  <c r="L34" i="4" s="1"/>
  <c r="C35" i="4"/>
  <c r="D35" i="4" s="1"/>
  <c r="K36" i="4"/>
  <c r="L36" i="4" s="1" a="1"/>
  <c r="L36" i="4" s="1"/>
  <c r="K37" i="4"/>
  <c r="L37" i="4" s="1" a="1"/>
  <c r="L37" i="4" s="1"/>
  <c r="C38" i="4"/>
  <c r="D38" i="4" s="1"/>
  <c r="K40" i="4"/>
  <c r="L40" i="4" s="1" a="1"/>
  <c r="L40" i="4" s="1"/>
  <c r="K41" i="4"/>
  <c r="L41" i="4" s="1" a="1"/>
  <c r="L41" i="4" s="1"/>
  <c r="A42" i="4"/>
  <c r="A17" i="4"/>
  <c r="K18" i="4"/>
  <c r="L18" i="4" s="1" a="1"/>
  <c r="L18" i="4" s="1"/>
  <c r="E21" i="4"/>
  <c r="F21" i="4" s="1"/>
  <c r="K23" i="4"/>
  <c r="L23" i="4" s="1" a="1"/>
  <c r="L23" i="4" s="1"/>
  <c r="K28" i="4"/>
  <c r="L28" i="4" s="1" a="1"/>
  <c r="L28" i="4" s="1"/>
  <c r="K31" i="4"/>
  <c r="L31" i="4" s="1" a="1"/>
  <c r="L31" i="4" s="1"/>
  <c r="E33" i="4"/>
  <c r="F33" i="4" s="1"/>
  <c r="A37" i="4"/>
  <c r="A40" i="4"/>
  <c r="A41" i="4"/>
  <c r="B2" i="4"/>
  <c r="H4" i="1"/>
  <c r="H17" i="1"/>
  <c r="H23" i="1"/>
  <c r="H35" i="1"/>
  <c r="H41" i="1"/>
  <c r="H47" i="1"/>
  <c r="H53" i="1"/>
  <c r="H59" i="1"/>
  <c r="H65" i="1"/>
  <c r="H71" i="1"/>
  <c r="H77" i="1"/>
  <c r="H83" i="1"/>
  <c r="H89" i="1"/>
  <c r="H95" i="1"/>
  <c r="H101" i="1"/>
  <c r="H107" i="1"/>
  <c r="H113" i="1"/>
  <c r="H119" i="1"/>
  <c r="H125" i="1"/>
  <c r="H131" i="1"/>
  <c r="H137" i="1"/>
  <c r="H143" i="1"/>
  <c r="H149" i="1"/>
  <c r="H155" i="1"/>
  <c r="H161" i="1"/>
  <c r="H46" i="1"/>
  <c r="H64" i="1"/>
  <c r="H82" i="1"/>
  <c r="H100" i="1"/>
  <c r="H124" i="1"/>
  <c r="H142" i="1"/>
  <c r="H160" i="1"/>
  <c r="H12" i="1"/>
  <c r="H18" i="1"/>
  <c r="H30" i="1"/>
  <c r="H36" i="1"/>
  <c r="H42" i="1"/>
  <c r="H48" i="1"/>
  <c r="H54" i="1"/>
  <c r="H60" i="1"/>
  <c r="H66" i="1"/>
  <c r="H72" i="1"/>
  <c r="H78" i="1"/>
  <c r="H84" i="1"/>
  <c r="H90" i="1"/>
  <c r="H96" i="1"/>
  <c r="H102" i="1"/>
  <c r="H108" i="1"/>
  <c r="H114" i="1"/>
  <c r="H120" i="1"/>
  <c r="H126" i="1"/>
  <c r="H132" i="1"/>
  <c r="H138" i="1"/>
  <c r="H144" i="1"/>
  <c r="H150" i="1"/>
  <c r="H156" i="1"/>
  <c r="H162" i="1"/>
  <c r="H16" i="1"/>
  <c r="H52" i="1"/>
  <c r="H70" i="1"/>
  <c r="H88" i="1"/>
  <c r="H106" i="1"/>
  <c r="H130" i="1"/>
  <c r="H148" i="1"/>
  <c r="H13" i="1"/>
  <c r="H19" i="1"/>
  <c r="H31" i="1"/>
  <c r="H37" i="1"/>
  <c r="H43" i="1"/>
  <c r="H49" i="1"/>
  <c r="H55" i="1"/>
  <c r="H67" i="1"/>
  <c r="H73" i="1"/>
  <c r="H79" i="1"/>
  <c r="H85" i="1"/>
  <c r="H91" i="1"/>
  <c r="H97" i="1"/>
  <c r="H103" i="1"/>
  <c r="H109" i="1"/>
  <c r="H115" i="1"/>
  <c r="H121" i="1"/>
  <c r="H127" i="1"/>
  <c r="H133" i="1"/>
  <c r="H139" i="1"/>
  <c r="H145" i="1"/>
  <c r="H151" i="1"/>
  <c r="H157" i="1"/>
  <c r="H58" i="1"/>
  <c r="H76" i="1"/>
  <c r="H94" i="1"/>
  <c r="H118" i="1"/>
  <c r="H136" i="1"/>
  <c r="H154" i="1"/>
  <c r="H14" i="1"/>
  <c r="H20" i="1"/>
  <c r="H32" i="1"/>
  <c r="H38" i="1"/>
  <c r="H44" i="1"/>
  <c r="H50" i="1"/>
  <c r="H56" i="1"/>
  <c r="H62" i="1"/>
  <c r="H68" i="1"/>
  <c r="H74" i="1"/>
  <c r="H80" i="1"/>
  <c r="H86" i="1"/>
  <c r="H92" i="1"/>
  <c r="H98" i="1"/>
  <c r="H104" i="1"/>
  <c r="H110" i="1"/>
  <c r="H116" i="1"/>
  <c r="H122" i="1"/>
  <c r="H128" i="1"/>
  <c r="H134" i="1"/>
  <c r="H140" i="1"/>
  <c r="H146" i="1"/>
  <c r="H152" i="1"/>
  <c r="H158" i="1"/>
  <c r="H112" i="1"/>
  <c r="H15" i="1"/>
  <c r="H33" i="1"/>
  <c r="H45" i="1"/>
  <c r="H51" i="1"/>
  <c r="H57" i="1"/>
  <c r="H63" i="1"/>
  <c r="H69" i="1"/>
  <c r="H75" i="1"/>
  <c r="H87" i="1"/>
  <c r="H93" i="1"/>
  <c r="H99" i="1"/>
  <c r="H105" i="1"/>
  <c r="H111" i="1"/>
  <c r="H117" i="1"/>
  <c r="H123" i="1"/>
  <c r="H129" i="1"/>
  <c r="H135" i="1"/>
  <c r="H141" i="1"/>
  <c r="H147" i="1"/>
  <c r="H153" i="1"/>
  <c r="H159" i="1"/>
  <c r="S4" i="6"/>
  <c r="S9" i="6"/>
  <c r="A49" i="8"/>
  <c r="B49" i="8" s="1"/>
  <c r="C49" i="8" s="1"/>
  <c r="A53" i="8"/>
  <c r="B53" i="8" s="1"/>
  <c r="C53" i="8" s="1"/>
  <c r="A57" i="8"/>
  <c r="B57" i="8" s="1"/>
  <c r="C57" i="8" s="1"/>
  <c r="A61" i="8"/>
  <c r="B61" i="8" s="1"/>
  <c r="C61" i="8" s="1"/>
  <c r="A65" i="8"/>
  <c r="B65" i="8" s="1"/>
  <c r="C65" i="8" s="1"/>
  <c r="A69" i="8"/>
  <c r="B69" i="8" s="1"/>
  <c r="C69" i="8" s="1"/>
  <c r="A73" i="8"/>
  <c r="B73" i="8" s="1"/>
  <c r="C73" i="8" s="1"/>
  <c r="A77" i="8"/>
  <c r="B77" i="8" s="1"/>
  <c r="C77" i="8" s="1"/>
  <c r="A81" i="8"/>
  <c r="B81" i="8" s="1"/>
  <c r="C81" i="8" s="1"/>
  <c r="A85" i="8"/>
  <c r="B85" i="8" s="1"/>
  <c r="C85" i="8" s="1"/>
  <c r="A89" i="8"/>
  <c r="B89" i="8" s="1"/>
  <c r="C89" i="8" s="1"/>
  <c r="A102" i="8"/>
  <c r="B102" i="8" s="1"/>
  <c r="C102" i="8" s="1"/>
  <c r="A4" i="8"/>
  <c r="B4" i="8" s="1"/>
  <c r="C4" i="8" s="1"/>
  <c r="A7" i="8"/>
  <c r="B7" i="8" s="1"/>
  <c r="C7" i="8" s="1"/>
  <c r="A10" i="8"/>
  <c r="B10" i="8" s="1"/>
  <c r="C10" i="8" s="1"/>
  <c r="A13" i="8"/>
  <c r="B13" i="8" s="1"/>
  <c r="C13" i="8" s="1"/>
  <c r="A96" i="8"/>
  <c r="B96" i="8" s="1"/>
  <c r="C96" i="8" s="1"/>
  <c r="A99" i="8"/>
  <c r="B99" i="8" s="1"/>
  <c r="C99" i="8" s="1"/>
  <c r="A103" i="8"/>
  <c r="B103" i="8" s="1"/>
  <c r="C103" i="8" s="1"/>
  <c r="A51" i="8"/>
  <c r="B51" i="8" s="1"/>
  <c r="C51" i="8" s="1"/>
  <c r="A55" i="8"/>
  <c r="B55" i="8" s="1"/>
  <c r="C55" i="8" s="1"/>
  <c r="A59" i="8"/>
  <c r="B59" i="8" s="1"/>
  <c r="C59" i="8" s="1"/>
  <c r="A63" i="8"/>
  <c r="B63" i="8" s="1"/>
  <c r="C63" i="8" s="1"/>
  <c r="A67" i="8"/>
  <c r="B67" i="8" s="1"/>
  <c r="C67" i="8" s="1"/>
  <c r="A71" i="8"/>
  <c r="B71" i="8" s="1"/>
  <c r="C71" i="8" s="1"/>
  <c r="A75" i="8"/>
  <c r="B75" i="8" s="1"/>
  <c r="C75" i="8" s="1"/>
  <c r="A79" i="8"/>
  <c r="B79" i="8" s="1"/>
  <c r="C79" i="8" s="1"/>
  <c r="A83" i="8"/>
  <c r="B83" i="8" s="1"/>
  <c r="C83" i="8" s="1"/>
  <c r="A87" i="8"/>
  <c r="B87" i="8" s="1"/>
  <c r="C87" i="8" s="1"/>
  <c r="A91" i="8"/>
  <c r="B91" i="8" s="1"/>
  <c r="C91" i="8" s="1"/>
  <c r="A100" i="8"/>
  <c r="B100" i="8" s="1"/>
  <c r="C100" i="8" s="1"/>
  <c r="A50" i="8"/>
  <c r="B50" i="8" s="1"/>
  <c r="C50" i="8" s="1"/>
  <c r="A58" i="8"/>
  <c r="B58" i="8" s="1"/>
  <c r="C58" i="8" s="1"/>
  <c r="A66" i="8"/>
  <c r="B66" i="8" s="1"/>
  <c r="C66" i="8" s="1"/>
  <c r="A74" i="8"/>
  <c r="B74" i="8" s="1"/>
  <c r="C74" i="8" s="1"/>
  <c r="A82" i="8"/>
  <c r="B82" i="8" s="1"/>
  <c r="C82" i="8" s="1"/>
  <c r="A90" i="8"/>
  <c r="B90" i="8" s="1"/>
  <c r="C90" i="8" s="1"/>
  <c r="A97" i="8"/>
  <c r="B97" i="8" s="1"/>
  <c r="C97" i="8" s="1"/>
  <c r="A8" i="8"/>
  <c r="B8" i="8" s="1"/>
  <c r="C8" i="8" s="1"/>
  <c r="A14" i="8"/>
  <c r="B14" i="8" s="1"/>
  <c r="C14" i="8" s="1"/>
  <c r="A70" i="8"/>
  <c r="B70" i="8" s="1"/>
  <c r="C70" i="8" s="1"/>
  <c r="A21" i="8"/>
  <c r="B21" i="8" s="1"/>
  <c r="C21" i="8" s="1"/>
  <c r="A27" i="8"/>
  <c r="B27" i="8" s="1"/>
  <c r="C27" i="8" s="1"/>
  <c r="A36" i="8"/>
  <c r="B36" i="8" s="1"/>
  <c r="C36" i="8" s="1"/>
  <c r="A42" i="8"/>
  <c r="B42" i="8" s="1"/>
  <c r="C42" i="8" s="1"/>
  <c r="A98" i="8"/>
  <c r="B98" i="8" s="1"/>
  <c r="C98" i="8" s="1"/>
  <c r="A3" i="8"/>
  <c r="B3" i="8" s="1"/>
  <c r="C3" i="8" s="1"/>
  <c r="A9" i="8"/>
  <c r="B9" i="8" s="1"/>
  <c r="C9" i="8" s="1"/>
  <c r="A15" i="8"/>
  <c r="B15" i="8" s="1"/>
  <c r="C15" i="8" s="1"/>
  <c r="A19" i="8"/>
  <c r="B19" i="8" s="1"/>
  <c r="C19" i="8" s="1"/>
  <c r="A23" i="8"/>
  <c r="B23" i="8" s="1"/>
  <c r="C23" i="8" s="1"/>
  <c r="A26" i="8"/>
  <c r="B26" i="8" s="1"/>
  <c r="C26" i="8" s="1"/>
  <c r="A29" i="8"/>
  <c r="B29" i="8" s="1"/>
  <c r="C29" i="8" s="1"/>
  <c r="A32" i="8"/>
  <c r="B32" i="8" s="1"/>
  <c r="C32" i="8" s="1"/>
  <c r="A35" i="8"/>
  <c r="B35" i="8" s="1"/>
  <c r="C35" i="8" s="1"/>
  <c r="A38" i="8"/>
  <c r="B38" i="8" s="1"/>
  <c r="C38" i="8" s="1"/>
  <c r="A41" i="8"/>
  <c r="B41" i="8" s="1"/>
  <c r="C41" i="8" s="1"/>
  <c r="A44" i="8"/>
  <c r="B44" i="8" s="1"/>
  <c r="C44" i="8" s="1"/>
  <c r="A47" i="8"/>
  <c r="B47" i="8" s="1"/>
  <c r="C47" i="8" s="1"/>
  <c r="A54" i="8"/>
  <c r="B54" i="8" s="1"/>
  <c r="C54" i="8" s="1"/>
  <c r="A78" i="8"/>
  <c r="B78" i="8" s="1"/>
  <c r="C78" i="8" s="1"/>
  <c r="A93" i="8"/>
  <c r="B93" i="8" s="1"/>
  <c r="C93" i="8" s="1"/>
  <c r="A16" i="8"/>
  <c r="B16" i="8" s="1"/>
  <c r="C16" i="8" s="1"/>
  <c r="A30" i="8"/>
  <c r="B30" i="8" s="1"/>
  <c r="C30" i="8" s="1"/>
  <c r="A45" i="8"/>
  <c r="B45" i="8" s="1"/>
  <c r="C45" i="8" s="1"/>
  <c r="A52" i="8"/>
  <c r="B52" i="8" s="1"/>
  <c r="C52" i="8" s="1"/>
  <c r="A60" i="8"/>
  <c r="B60" i="8" s="1"/>
  <c r="C60" i="8" s="1"/>
  <c r="A68" i="8"/>
  <c r="B68" i="8" s="1"/>
  <c r="C68" i="8" s="1"/>
  <c r="A76" i="8"/>
  <c r="B76" i="8" s="1"/>
  <c r="C76" i="8" s="1"/>
  <c r="A84" i="8"/>
  <c r="B84" i="8" s="1"/>
  <c r="C84" i="8" s="1"/>
  <c r="A92" i="8"/>
  <c r="B92" i="8" s="1"/>
  <c r="C92" i="8" s="1"/>
  <c r="A20" i="8"/>
  <c r="B20" i="8" s="1"/>
  <c r="C20" i="8" s="1"/>
  <c r="A62" i="8"/>
  <c r="B62" i="8" s="1"/>
  <c r="C62" i="8" s="1"/>
  <c r="A86" i="8"/>
  <c r="B86" i="8" s="1"/>
  <c r="C86" i="8" s="1"/>
  <c r="A11" i="8"/>
  <c r="B11" i="8" s="1"/>
  <c r="C11" i="8" s="1"/>
  <c r="A24" i="8"/>
  <c r="B24" i="8" s="1"/>
  <c r="C24" i="8" s="1"/>
  <c r="A33" i="8"/>
  <c r="B33" i="8" s="1"/>
  <c r="C33" i="8" s="1"/>
  <c r="A39" i="8"/>
  <c r="B39" i="8" s="1"/>
  <c r="C39" i="8" s="1"/>
  <c r="A5" i="8"/>
  <c r="B5" i="8" s="1"/>
  <c r="C5" i="8" s="1"/>
  <c r="A6" i="8"/>
  <c r="B6" i="8" s="1"/>
  <c r="C6" i="8" s="1"/>
  <c r="A48" i="8"/>
  <c r="B48" i="8" s="1"/>
  <c r="C48" i="8" s="1"/>
  <c r="A64" i="8"/>
  <c r="B64" i="8" s="1"/>
  <c r="C64" i="8" s="1"/>
  <c r="A22" i="8"/>
  <c r="B22" i="8" s="1"/>
  <c r="C22" i="8" s="1"/>
  <c r="A40" i="8"/>
  <c r="B40" i="8" s="1"/>
  <c r="C40" i="8" s="1"/>
  <c r="A94" i="8"/>
  <c r="B94" i="8" s="1"/>
  <c r="C94" i="8" s="1"/>
  <c r="A12" i="8"/>
  <c r="B12" i="8" s="1"/>
  <c r="C12" i="8" s="1"/>
  <c r="A72" i="8"/>
  <c r="B72" i="8" s="1"/>
  <c r="C72" i="8" s="1"/>
  <c r="A95" i="8"/>
  <c r="B95" i="8" s="1"/>
  <c r="C95" i="8" s="1"/>
  <c r="A25" i="8"/>
  <c r="B25" i="8" s="1"/>
  <c r="C25" i="8" s="1"/>
  <c r="A34" i="8"/>
  <c r="B34" i="8" s="1"/>
  <c r="C34" i="8" s="1"/>
  <c r="A43" i="8"/>
  <c r="B43" i="8" s="1"/>
  <c r="C43" i="8" s="1"/>
  <c r="A101" i="8"/>
  <c r="B101" i="8" s="1"/>
  <c r="C101" i="8" s="1"/>
  <c r="A17" i="8"/>
  <c r="B17" i="8" s="1"/>
  <c r="C17" i="8" s="1"/>
  <c r="A56" i="8"/>
  <c r="B56" i="8" s="1"/>
  <c r="C56" i="8" s="1"/>
  <c r="A80" i="8"/>
  <c r="B80" i="8" s="1"/>
  <c r="C80" i="8" s="1"/>
  <c r="A18" i="8"/>
  <c r="B18" i="8" s="1"/>
  <c r="C18" i="8" s="1"/>
  <c r="A28" i="8"/>
  <c r="B28" i="8" s="1"/>
  <c r="C28" i="8" s="1"/>
  <c r="A37" i="8"/>
  <c r="B37" i="8" s="1"/>
  <c r="C37" i="8" s="1"/>
  <c r="A46" i="8"/>
  <c r="B46" i="8" s="1"/>
  <c r="C46" i="8" s="1"/>
  <c r="A88" i="8"/>
  <c r="B88" i="8" s="1"/>
  <c r="C88" i="8" s="1"/>
  <c r="A31" i="8"/>
  <c r="B31" i="8" s="1"/>
  <c r="C31" i="8" s="1"/>
  <c r="I3" i="6"/>
  <c r="E3" i="6"/>
  <c r="H3" i="6"/>
  <c r="J3" i="6"/>
  <c r="E2" i="6"/>
  <c r="S6" i="6"/>
  <c r="I6" i="6"/>
  <c r="E6" i="6"/>
  <c r="I9" i="6"/>
  <c r="H11" i="1" s="1"/>
  <c r="E9" i="6"/>
  <c r="J4" i="6"/>
  <c r="E4" i="6"/>
  <c r="I2" i="6"/>
  <c r="H2" i="1" s="1"/>
  <c r="S2" i="6"/>
  <c r="J2" i="6"/>
  <c r="J9" i="6"/>
  <c r="H9" i="6"/>
  <c r="H6" i="6"/>
  <c r="J6" i="6"/>
  <c r="K139" i="12"/>
  <c r="K163" i="12"/>
  <c r="K307" i="12"/>
  <c r="K451" i="12"/>
  <c r="K88" i="12"/>
  <c r="K232" i="12"/>
  <c r="K376" i="12"/>
  <c r="K222" i="12"/>
  <c r="K157" i="12"/>
  <c r="K301" i="12"/>
  <c r="K445" i="12"/>
  <c r="K418" i="12"/>
  <c r="J101" i="12"/>
  <c r="J127" i="12"/>
  <c r="J110" i="12"/>
  <c r="J152" i="12"/>
  <c r="J114" i="12"/>
  <c r="J233" i="12"/>
  <c r="H257" i="12"/>
  <c r="H329" i="12"/>
  <c r="H245" i="12"/>
  <c r="J318" i="12"/>
  <c r="K143" i="12"/>
  <c r="K287" i="12"/>
  <c r="K431" i="12"/>
  <c r="K378" i="12"/>
  <c r="K212" i="12"/>
  <c r="K356" i="12"/>
  <c r="K162" i="12"/>
  <c r="K137" i="12"/>
  <c r="K281" i="12"/>
  <c r="K425" i="12"/>
  <c r="K358" i="12"/>
  <c r="H130" i="12"/>
  <c r="J108" i="12"/>
  <c r="H171" i="12"/>
  <c r="J200" i="12"/>
  <c r="H232" i="12"/>
  <c r="J223" i="12"/>
  <c r="J244" i="12"/>
  <c r="H319" i="12"/>
  <c r="K103" i="12"/>
  <c r="K203" i="12"/>
  <c r="K347" i="12"/>
  <c r="K122" i="12"/>
  <c r="K128" i="12"/>
  <c r="K272" i="12"/>
  <c r="K416" i="12"/>
  <c r="K350" i="12"/>
  <c r="K135" i="12"/>
  <c r="K279" i="12"/>
  <c r="K423" i="12"/>
  <c r="K354" i="12"/>
  <c r="K204" i="12"/>
  <c r="K348" i="12"/>
  <c r="K138" i="12"/>
  <c r="K129" i="12"/>
  <c r="K273" i="12"/>
  <c r="K417" i="12"/>
  <c r="K334" i="12"/>
  <c r="H126" i="12"/>
  <c r="J100" i="12"/>
  <c r="H167" i="12"/>
  <c r="J196" i="12"/>
  <c r="H228" i="12"/>
  <c r="K315" i="12"/>
  <c r="K240" i="12"/>
  <c r="K149" i="12"/>
  <c r="K437" i="12"/>
  <c r="H136" i="12"/>
  <c r="H177" i="12"/>
  <c r="H238" i="12"/>
  <c r="H186" i="12"/>
  <c r="H327" i="12"/>
  <c r="J268" i="12"/>
  <c r="H179" i="12"/>
  <c r="J356" i="12"/>
  <c r="H144" i="12"/>
  <c r="J354" i="12"/>
  <c r="J212" i="12"/>
  <c r="J359" i="12"/>
  <c r="H376" i="12"/>
  <c r="J371" i="12"/>
  <c r="K175" i="12"/>
  <c r="K100" i="12"/>
  <c r="K258" i="12"/>
  <c r="K267" i="12"/>
  <c r="K408" i="12"/>
  <c r="K381" i="12"/>
  <c r="H134" i="12"/>
  <c r="J166" i="12"/>
  <c r="H204" i="12"/>
  <c r="H285" i="12"/>
  <c r="J250" i="12"/>
  <c r="H160" i="12"/>
  <c r="H369" i="12"/>
  <c r="J269" i="12"/>
  <c r="J398" i="12"/>
  <c r="J287" i="12"/>
  <c r="H372" i="12"/>
  <c r="J399" i="12"/>
  <c r="K110" i="12"/>
  <c r="K121" i="12"/>
  <c r="K170" i="12"/>
  <c r="J147" i="12"/>
  <c r="J179" i="12"/>
  <c r="J249" i="12"/>
  <c r="H333" i="12"/>
  <c r="J288" i="12"/>
  <c r="H278" i="12"/>
  <c r="H399" i="12"/>
  <c r="J329" i="12"/>
  <c r="J228" i="12"/>
  <c r="J389" i="12"/>
  <c r="H336" i="12"/>
  <c r="H386" i="12"/>
  <c r="J181" i="12"/>
  <c r="H241" i="12"/>
  <c r="H412" i="12"/>
  <c r="J180" i="12"/>
  <c r="J278" i="12"/>
  <c r="J289" i="12"/>
  <c r="K411" i="12"/>
  <c r="K326" i="12"/>
  <c r="K457" i="12"/>
  <c r="H121" i="12"/>
  <c r="J202" i="12"/>
  <c r="J229" i="12"/>
  <c r="K187" i="12"/>
  <c r="K331" i="12"/>
  <c r="K475" i="12"/>
  <c r="K112" i="12"/>
  <c r="K256" i="12"/>
  <c r="K400" i="12"/>
  <c r="K302" i="12"/>
  <c r="K181" i="12"/>
  <c r="K325" i="12"/>
  <c r="K469" i="12"/>
  <c r="K430" i="12"/>
  <c r="J113" i="12"/>
  <c r="H141" i="12"/>
  <c r="H146" i="12"/>
  <c r="H174" i="12"/>
  <c r="J157" i="12"/>
  <c r="J245" i="12"/>
  <c r="H269" i="12"/>
  <c r="H341" i="12"/>
  <c r="J258" i="12"/>
  <c r="J330" i="12"/>
  <c r="K167" i="12"/>
  <c r="K311" i="12"/>
  <c r="K455" i="12"/>
  <c r="K92" i="12"/>
  <c r="K236" i="12"/>
  <c r="K380" i="12"/>
  <c r="K234" i="12"/>
  <c r="K161" i="12"/>
  <c r="K305" i="12"/>
  <c r="K449" i="12"/>
  <c r="K426" i="12"/>
  <c r="J103" i="12"/>
  <c r="J128" i="12"/>
  <c r="J118" i="12"/>
  <c r="H154" i="12"/>
  <c r="H140" i="12"/>
  <c r="J235" i="12"/>
  <c r="H259" i="12"/>
  <c r="H331" i="12"/>
  <c r="K83" i="12"/>
  <c r="K227" i="12"/>
  <c r="K371" i="12"/>
  <c r="K202" i="12"/>
  <c r="K152" i="12"/>
  <c r="K296" i="12"/>
  <c r="K440" i="12"/>
  <c r="K422" i="12"/>
  <c r="K159" i="12"/>
  <c r="K303" i="12"/>
  <c r="K447" i="12"/>
  <c r="K84" i="12"/>
  <c r="K228" i="12"/>
  <c r="K372" i="12"/>
  <c r="K210" i="12"/>
  <c r="K153" i="12"/>
  <c r="K297" i="12"/>
  <c r="K441" i="12"/>
  <c r="K406" i="12"/>
  <c r="H138" i="12"/>
  <c r="H123" i="12"/>
  <c r="J102" i="12"/>
  <c r="J146" i="12"/>
  <c r="H240" i="12"/>
  <c r="K387" i="12"/>
  <c r="K312" i="12"/>
  <c r="K197" i="12"/>
  <c r="K114" i="12"/>
  <c r="J121" i="12"/>
  <c r="J158" i="12"/>
  <c r="J169" i="12"/>
  <c r="H227" i="12"/>
  <c r="H347" i="12"/>
  <c r="J284" i="12"/>
  <c r="H237" i="12"/>
  <c r="H367" i="12"/>
  <c r="J224" i="12"/>
  <c r="J368" i="12"/>
  <c r="J155" i="12"/>
  <c r="J381" i="12"/>
  <c r="H400" i="12"/>
  <c r="J395" i="12"/>
  <c r="K247" i="12"/>
  <c r="K172" i="12"/>
  <c r="K97" i="12"/>
  <c r="K363" i="12"/>
  <c r="K174" i="12"/>
  <c r="K433" i="12"/>
  <c r="H113" i="12"/>
  <c r="J192" i="12"/>
  <c r="J225" i="12"/>
  <c r="H303" i="12"/>
  <c r="J266" i="12"/>
  <c r="H251" i="12"/>
  <c r="H383" i="12"/>
  <c r="J297" i="12"/>
  <c r="J412" i="12"/>
  <c r="J358" i="12"/>
  <c r="K211" i="12"/>
  <c r="K91" i="12"/>
  <c r="K115" i="12"/>
  <c r="K259" i="12"/>
  <c r="K403" i="12"/>
  <c r="K294" i="12"/>
  <c r="K184" i="12"/>
  <c r="K328" i="12"/>
  <c r="K472" i="12"/>
  <c r="K109" i="12"/>
  <c r="K235" i="12"/>
  <c r="K226" i="12"/>
  <c r="K304" i="12"/>
  <c r="K85" i="12"/>
  <c r="K349" i="12"/>
  <c r="K278" i="12"/>
  <c r="H105" i="12"/>
  <c r="H157" i="12"/>
  <c r="H190" i="12"/>
  <c r="J209" i="12"/>
  <c r="H281" i="12"/>
  <c r="H201" i="12"/>
  <c r="J342" i="12"/>
  <c r="K239" i="12"/>
  <c r="K94" i="12"/>
  <c r="K164" i="12"/>
  <c r="K404" i="12"/>
  <c r="K89" i="12"/>
  <c r="K329" i="12"/>
  <c r="K218" i="12"/>
  <c r="J115" i="12"/>
  <c r="J148" i="12"/>
  <c r="H178" i="12"/>
  <c r="H197" i="12"/>
  <c r="H271" i="12"/>
  <c r="J175" i="12"/>
  <c r="K251" i="12"/>
  <c r="K443" i="12"/>
  <c r="K176" i="12"/>
  <c r="K368" i="12"/>
  <c r="K101" i="12"/>
  <c r="K231" i="12"/>
  <c r="K471" i="12"/>
  <c r="K156" i="12"/>
  <c r="K396" i="12"/>
  <c r="K434" i="12"/>
  <c r="K321" i="12"/>
  <c r="K194" i="12"/>
  <c r="J111" i="12"/>
  <c r="J140" i="12"/>
  <c r="H170" i="12"/>
  <c r="K171" i="12"/>
  <c r="K384" i="12"/>
  <c r="K341" i="12"/>
  <c r="J137" i="12"/>
  <c r="H183" i="12"/>
  <c r="H255" i="12"/>
  <c r="J234" i="12"/>
  <c r="H266" i="12"/>
  <c r="H403" i="12"/>
  <c r="J380" i="12"/>
  <c r="J351" i="12"/>
  <c r="H268" i="12"/>
  <c r="H394" i="12"/>
  <c r="K244" i="12"/>
  <c r="K261" i="12"/>
  <c r="K117" i="12"/>
  <c r="K438" i="12"/>
  <c r="H166" i="12"/>
  <c r="H231" i="12"/>
  <c r="J286" i="12"/>
  <c r="H330" i="12"/>
  <c r="J325" i="12"/>
  <c r="J275" i="12"/>
  <c r="H404" i="12"/>
  <c r="H370" i="12"/>
  <c r="K292" i="12"/>
  <c r="K385" i="12"/>
  <c r="H117" i="12"/>
  <c r="H212" i="12"/>
  <c r="H235" i="12"/>
  <c r="J226" i="12"/>
  <c r="J183" i="12"/>
  <c r="H385" i="12"/>
  <c r="J355" i="12"/>
  <c r="J283" i="12"/>
  <c r="J311" i="12"/>
  <c r="J403" i="12"/>
  <c r="H401" i="12"/>
  <c r="J291" i="12"/>
  <c r="J379" i="12"/>
  <c r="J252" i="12"/>
  <c r="H377" i="12"/>
  <c r="K291" i="12"/>
  <c r="K141" i="12"/>
  <c r="K370" i="12"/>
  <c r="H161" i="12"/>
  <c r="J185" i="12"/>
  <c r="H289" i="12"/>
  <c r="J274" i="12"/>
  <c r="H254" i="12"/>
  <c r="H249" i="12"/>
  <c r="J393" i="12"/>
  <c r="H390" i="12"/>
  <c r="H135" i="12"/>
  <c r="H393" i="12"/>
  <c r="K199" i="12"/>
  <c r="K340" i="12"/>
  <c r="K357" i="12"/>
  <c r="H122" i="12"/>
  <c r="J132" i="12"/>
  <c r="H188" i="12"/>
  <c r="H273" i="12"/>
  <c r="J238" i="12"/>
  <c r="J346" i="12"/>
  <c r="H361" i="12"/>
  <c r="H250" i="12"/>
  <c r="J390" i="12"/>
  <c r="H217" i="12"/>
  <c r="J343" i="12"/>
  <c r="J383" i="12"/>
  <c r="K435" i="12"/>
  <c r="K398" i="12"/>
  <c r="K446" i="12"/>
  <c r="J133" i="12"/>
  <c r="H156" i="12"/>
  <c r="H363" i="12"/>
  <c r="H260" i="12"/>
  <c r="H199" i="12"/>
  <c r="J347" i="12"/>
  <c r="H356" i="12"/>
  <c r="H223" i="12"/>
  <c r="J267" i="12"/>
  <c r="K268" i="12"/>
  <c r="J214" i="12"/>
  <c r="J401" i="12"/>
  <c r="K364" i="12"/>
  <c r="K283" i="12"/>
  <c r="K366" i="12"/>
  <c r="K352" i="12"/>
  <c r="K133" i="12"/>
  <c r="K373" i="12"/>
  <c r="K346" i="12"/>
  <c r="H125" i="12"/>
  <c r="H169" i="12"/>
  <c r="H206" i="12"/>
  <c r="J221" i="12"/>
  <c r="H293" i="12"/>
  <c r="J222" i="12"/>
  <c r="H176" i="12"/>
  <c r="K263" i="12"/>
  <c r="K355" i="12"/>
  <c r="K136" i="12"/>
  <c r="K424" i="12"/>
  <c r="K205" i="12"/>
  <c r="K397" i="12"/>
  <c r="K474" i="12"/>
  <c r="J139" i="12"/>
  <c r="J162" i="12"/>
  <c r="H218" i="12"/>
  <c r="J126" i="12"/>
  <c r="H305" i="12"/>
  <c r="J270" i="12"/>
  <c r="K379" i="12"/>
  <c r="K160" i="12"/>
  <c r="K448" i="12"/>
  <c r="K229" i="12"/>
  <c r="K421" i="12"/>
  <c r="H104" i="12"/>
  <c r="J104" i="12"/>
  <c r="J174" i="12"/>
  <c r="H230" i="12"/>
  <c r="H187" i="12"/>
  <c r="H317" i="12"/>
  <c r="J282" i="12"/>
  <c r="K119" i="12"/>
  <c r="K359" i="12"/>
  <c r="K306" i="12"/>
  <c r="K284" i="12"/>
  <c r="K90" i="12"/>
  <c r="K209" i="12"/>
  <c r="K401" i="12"/>
  <c r="J123" i="12"/>
  <c r="J141" i="12"/>
  <c r="J164" i="12"/>
  <c r="H220" i="12"/>
  <c r="J142" i="12"/>
  <c r="H307" i="12"/>
  <c r="K131" i="12"/>
  <c r="K323" i="12"/>
  <c r="K342" i="12"/>
  <c r="K248" i="12"/>
  <c r="K130" i="12"/>
  <c r="K111" i="12"/>
  <c r="K351" i="12"/>
  <c r="K286" i="12"/>
  <c r="K276" i="12"/>
  <c r="K468" i="12"/>
  <c r="K201" i="12"/>
  <c r="K393" i="12"/>
  <c r="K458" i="12"/>
  <c r="J138" i="12"/>
  <c r="J160" i="12"/>
  <c r="H216" i="12"/>
  <c r="K250" i="12"/>
  <c r="K93" i="12"/>
  <c r="K427" i="12"/>
  <c r="K208" i="12"/>
  <c r="K150" i="12"/>
  <c r="K253" i="12"/>
  <c r="K134" i="12"/>
  <c r="H116" i="12"/>
  <c r="H107" i="12"/>
  <c r="J186" i="12"/>
  <c r="H180" i="12"/>
  <c r="H215" i="12"/>
  <c r="H353" i="12"/>
  <c r="J294" i="12"/>
  <c r="K191" i="12"/>
  <c r="K383" i="12"/>
  <c r="K116" i="12"/>
  <c r="K308" i="12"/>
  <c r="K314" i="12"/>
  <c r="K233" i="12"/>
  <c r="K473" i="12"/>
  <c r="H106" i="12"/>
  <c r="H143" i="12"/>
  <c r="J176" i="12"/>
  <c r="J161" i="12"/>
  <c r="J191" i="12"/>
  <c r="H343" i="12"/>
  <c r="K155" i="12"/>
  <c r="K395" i="12"/>
  <c r="K414" i="12"/>
  <c r="K320" i="12"/>
  <c r="K198" i="12"/>
  <c r="K183" i="12"/>
  <c r="K375" i="12"/>
  <c r="K108" i="12"/>
  <c r="K300" i="12"/>
  <c r="K282" i="12"/>
  <c r="K225" i="12"/>
  <c r="K465" i="12"/>
  <c r="H102" i="12"/>
  <c r="H139" i="12"/>
  <c r="J172" i="12"/>
  <c r="K147" i="12"/>
  <c r="K96" i="12"/>
  <c r="K245" i="12"/>
  <c r="K442" i="12"/>
  <c r="J182" i="12"/>
  <c r="J231" i="12"/>
  <c r="J159" i="12"/>
  <c r="J326" i="12"/>
  <c r="H379" i="12"/>
  <c r="J309" i="12"/>
  <c r="J259" i="12"/>
  <c r="H225" i="12"/>
  <c r="J419" i="12"/>
  <c r="K463" i="12"/>
  <c r="K165" i="12"/>
  <c r="K192" i="12"/>
  <c r="K158" i="12"/>
  <c r="J149" i="12"/>
  <c r="J243" i="12"/>
  <c r="H185" i="12"/>
  <c r="H274" i="12"/>
  <c r="J106" i="12"/>
  <c r="J197" i="12"/>
  <c r="H382" i="12"/>
  <c r="J367" i="12"/>
  <c r="K402" i="12"/>
  <c r="K269" i="12"/>
  <c r="H110" i="12"/>
  <c r="J168" i="12"/>
  <c r="J227" i="12"/>
  <c r="H351" i="12"/>
  <c r="J322" i="12"/>
  <c r="J357" i="12"/>
  <c r="J273" i="12"/>
  <c r="J414" i="12"/>
  <c r="J417" i="12"/>
  <c r="H312" i="12"/>
  <c r="H342" i="12"/>
  <c r="J388" i="12"/>
  <c r="H320" i="12"/>
  <c r="J153" i="12"/>
  <c r="H221" i="12"/>
  <c r="J246" i="12"/>
  <c r="K336" i="12"/>
  <c r="K405" i="12"/>
  <c r="J112" i="12"/>
  <c r="H222" i="12"/>
  <c r="H247" i="12"/>
  <c r="J230" i="12"/>
  <c r="J344" i="12"/>
  <c r="H387" i="12"/>
  <c r="J236" i="12"/>
  <c r="H340" i="12"/>
  <c r="H211" i="12"/>
  <c r="H294" i="12"/>
  <c r="J422" i="12"/>
  <c r="K124" i="12"/>
  <c r="K221" i="12"/>
  <c r="K382" i="12"/>
  <c r="H129" i="12"/>
  <c r="H224" i="12"/>
  <c r="H207" i="12"/>
  <c r="H359" i="12"/>
  <c r="J310" i="12"/>
  <c r="H318" i="12"/>
  <c r="H419" i="12"/>
  <c r="J362" i="12"/>
  <c r="H242" i="12"/>
  <c r="H209" i="12"/>
  <c r="H276" i="12"/>
  <c r="K219" i="12"/>
  <c r="K360" i="12"/>
  <c r="K154" i="12"/>
  <c r="J144" i="12"/>
  <c r="K95" i="12"/>
  <c r="K140" i="12"/>
  <c r="K386" i="12"/>
  <c r="K146" i="12"/>
  <c r="H115" i="12"/>
  <c r="H181" i="12"/>
  <c r="H355" i="12"/>
  <c r="K419" i="12"/>
  <c r="K344" i="12"/>
  <c r="K207" i="12"/>
  <c r="K132" i="12"/>
  <c r="K362" i="12"/>
  <c r="K126" i="12"/>
  <c r="H151" i="12"/>
  <c r="K151" i="12"/>
  <c r="K293" i="12"/>
  <c r="H149" i="12"/>
  <c r="J251" i="12"/>
  <c r="J298" i="12"/>
  <c r="H391" i="12"/>
  <c r="J404" i="12"/>
  <c r="H316" i="12"/>
  <c r="K319" i="12"/>
  <c r="K213" i="12"/>
  <c r="K265" i="12"/>
  <c r="H175" i="12"/>
  <c r="H325" i="12"/>
  <c r="H302" i="12"/>
  <c r="J370" i="12"/>
  <c r="H288" i="12"/>
  <c r="K271" i="12"/>
  <c r="K333" i="12"/>
  <c r="H152" i="12"/>
  <c r="H202" i="12"/>
  <c r="J272" i="12"/>
  <c r="H371" i="12"/>
  <c r="J386" i="12"/>
  <c r="H402" i="12"/>
  <c r="H418" i="12"/>
  <c r="J418" i="12"/>
  <c r="H99" i="12"/>
  <c r="H322" i="12"/>
  <c r="K120" i="12"/>
  <c r="K182" i="12"/>
  <c r="J170" i="12"/>
  <c r="H267" i="12"/>
  <c r="J308" i="12"/>
  <c r="H417" i="12"/>
  <c r="H384" i="12"/>
  <c r="H299" i="12"/>
  <c r="J317" i="12"/>
  <c r="K220" i="12"/>
  <c r="K461" i="12"/>
  <c r="H163" i="12"/>
  <c r="J237" i="12"/>
  <c r="J205" i="12"/>
  <c r="H258" i="12"/>
  <c r="H192" i="12"/>
  <c r="J420" i="12"/>
  <c r="H243" i="12"/>
  <c r="H348" i="12"/>
  <c r="K280" i="12"/>
  <c r="J198" i="12"/>
  <c r="K215" i="12"/>
  <c r="K188" i="12"/>
  <c r="K113" i="12"/>
  <c r="K290" i="12"/>
  <c r="H159" i="12"/>
  <c r="J211" i="12"/>
  <c r="K99" i="12"/>
  <c r="K467" i="12"/>
  <c r="K392" i="12"/>
  <c r="K255" i="12"/>
  <c r="K180" i="12"/>
  <c r="K105" i="12"/>
  <c r="K266" i="12"/>
  <c r="H155" i="12"/>
  <c r="K243" i="12"/>
  <c r="K389" i="12"/>
  <c r="H153" i="12"/>
  <c r="H275" i="12"/>
  <c r="J312" i="12"/>
  <c r="H415" i="12"/>
  <c r="J416" i="12"/>
  <c r="H378" i="12"/>
  <c r="K391" i="12"/>
  <c r="K123" i="12"/>
  <c r="K317" i="12"/>
  <c r="H210" i="12"/>
  <c r="H349" i="12"/>
  <c r="H352" i="12"/>
  <c r="J384" i="12"/>
  <c r="H304" i="12"/>
  <c r="K367" i="12"/>
  <c r="K453" i="12"/>
  <c r="H127" i="12"/>
  <c r="H265" i="12"/>
  <c r="J304" i="12"/>
  <c r="H413" i="12"/>
  <c r="J400" i="12"/>
  <c r="H380" i="12"/>
  <c r="H200" i="12"/>
  <c r="J350" i="12"/>
  <c r="K309" i="12"/>
  <c r="H421" i="12"/>
  <c r="K216" i="12"/>
  <c r="K454" i="12"/>
  <c r="H182" i="12"/>
  <c r="H313" i="12"/>
  <c r="J324" i="12"/>
  <c r="J337" i="12"/>
  <c r="H362" i="12"/>
  <c r="J242" i="12"/>
  <c r="J378" i="12"/>
  <c r="K436" i="12"/>
  <c r="K230" i="12"/>
  <c r="J178" i="12"/>
  <c r="H103" i="12"/>
  <c r="J260" i="12"/>
  <c r="H286" i="12"/>
  <c r="J281" i="12"/>
  <c r="J255" i="12"/>
  <c r="H388" i="12"/>
  <c r="H398" i="12"/>
  <c r="K237" i="12"/>
  <c r="H124" i="12"/>
  <c r="H198" i="12"/>
  <c r="J314" i="12"/>
  <c r="H195" i="12"/>
  <c r="K374" i="12"/>
  <c r="H196" i="12"/>
  <c r="K335" i="12"/>
  <c r="K260" i="12"/>
  <c r="K185" i="12"/>
  <c r="K450" i="12"/>
  <c r="H150" i="12"/>
  <c r="J247" i="12"/>
  <c r="K107" i="12"/>
  <c r="K274" i="12"/>
  <c r="K464" i="12"/>
  <c r="K327" i="12"/>
  <c r="K252" i="12"/>
  <c r="K177" i="12"/>
  <c r="K470" i="12"/>
  <c r="H142" i="12"/>
  <c r="K459" i="12"/>
  <c r="K254" i="12"/>
  <c r="H111" i="12"/>
  <c r="H291" i="12"/>
  <c r="J340" i="12"/>
  <c r="J261" i="12"/>
  <c r="J307" i="12"/>
  <c r="J271" i="12"/>
  <c r="K262" i="12"/>
  <c r="K98" i="12"/>
  <c r="K310" i="12"/>
  <c r="H236" i="12"/>
  <c r="J218" i="12"/>
  <c r="H397" i="12"/>
  <c r="J171" i="12"/>
  <c r="H244" i="12"/>
  <c r="K196" i="12"/>
  <c r="K322" i="12"/>
  <c r="J194" i="12"/>
  <c r="H287" i="12"/>
  <c r="J338" i="12"/>
  <c r="J163" i="12"/>
  <c r="J220" i="12"/>
  <c r="H408" i="12"/>
  <c r="H373" i="12"/>
  <c r="J365" i="12"/>
  <c r="J239" i="12"/>
  <c r="J364" i="12"/>
  <c r="K432" i="12"/>
  <c r="H120" i="12"/>
  <c r="J150" i="12"/>
  <c r="H335" i="12"/>
  <c r="H194" i="12"/>
  <c r="J374" i="12"/>
  <c r="J407" i="12"/>
  <c r="J296" i="12"/>
  <c r="K277" i="12"/>
  <c r="H239" i="12"/>
  <c r="K407" i="12"/>
  <c r="K332" i="12"/>
  <c r="K257" i="12"/>
  <c r="H118" i="12"/>
  <c r="J188" i="12"/>
  <c r="H219" i="12"/>
  <c r="K179" i="12"/>
  <c r="K104" i="12"/>
  <c r="K270" i="12"/>
  <c r="K399" i="12"/>
  <c r="K324" i="12"/>
  <c r="K249" i="12"/>
  <c r="H114" i="12"/>
  <c r="J184" i="12"/>
  <c r="K168" i="12"/>
  <c r="K394" i="12"/>
  <c r="H214" i="12"/>
  <c r="H311" i="12"/>
  <c r="H290" i="12"/>
  <c r="J285" i="12"/>
  <c r="H296" i="12"/>
  <c r="J335" i="12"/>
  <c r="K316" i="12"/>
  <c r="K390" i="12"/>
  <c r="H108" i="12"/>
  <c r="J173" i="12"/>
  <c r="J302" i="12"/>
  <c r="H411" i="12"/>
  <c r="J331" i="12"/>
  <c r="H308" i="12"/>
  <c r="K412" i="12"/>
  <c r="K466" i="12"/>
  <c r="H148" i="12"/>
  <c r="H309" i="12"/>
  <c r="H252" i="12"/>
  <c r="J240" i="12"/>
  <c r="J339" i="12"/>
  <c r="J248" i="12"/>
  <c r="J277" i="12"/>
  <c r="J421" i="12"/>
  <c r="H321" i="12"/>
  <c r="J408" i="12"/>
  <c r="K217" i="12"/>
  <c r="J107" i="12"/>
  <c r="J207" i="12"/>
  <c r="H357" i="12"/>
  <c r="H282" i="12"/>
  <c r="J402" i="12"/>
  <c r="K169" i="12"/>
  <c r="H119" i="12"/>
  <c r="K295" i="12"/>
  <c r="K145" i="12"/>
  <c r="J109" i="12"/>
  <c r="K206" i="12"/>
  <c r="J167" i="12"/>
  <c r="K166" i="12"/>
  <c r="K428" i="12"/>
  <c r="K353" i="12"/>
  <c r="H109" i="12"/>
  <c r="H191" i="12"/>
  <c r="H283" i="12"/>
  <c r="K275" i="12"/>
  <c r="K200" i="12"/>
  <c r="K125" i="12"/>
  <c r="K142" i="12"/>
  <c r="K420" i="12"/>
  <c r="K345" i="12"/>
  <c r="H101" i="12"/>
  <c r="J187" i="12"/>
  <c r="K456" i="12"/>
  <c r="H112" i="12"/>
  <c r="J193" i="12"/>
  <c r="J206" i="12"/>
  <c r="H314" i="12"/>
  <c r="J333" i="12"/>
  <c r="J405" i="12"/>
  <c r="J352" i="12"/>
  <c r="K388" i="12"/>
  <c r="K288" i="12"/>
  <c r="J145" i="12"/>
  <c r="H172" i="12"/>
  <c r="J320" i="12"/>
  <c r="J232" i="12"/>
  <c r="J385" i="12"/>
  <c r="J263" i="12"/>
  <c r="K190" i="12"/>
  <c r="J105" i="12"/>
  <c r="J177" i="12"/>
  <c r="J189" i="12"/>
  <c r="H306" i="12"/>
  <c r="J301" i="12"/>
  <c r="H292" i="12"/>
  <c r="J375" i="12"/>
  <c r="J305" i="12"/>
  <c r="H256" i="12"/>
  <c r="J210" i="12"/>
  <c r="K195" i="12"/>
  <c r="K285" i="12"/>
  <c r="H147" i="12"/>
  <c r="J253" i="12"/>
  <c r="J256" i="12"/>
  <c r="H310" i="12"/>
  <c r="J319" i="12"/>
  <c r="H158" i="12"/>
  <c r="J348" i="12"/>
  <c r="K415" i="12"/>
  <c r="K289" i="12"/>
  <c r="J130" i="12"/>
  <c r="J151" i="12"/>
  <c r="H315" i="12"/>
  <c r="J328" i="12"/>
  <c r="H389" i="12"/>
  <c r="J376" i="12"/>
  <c r="J369" i="12"/>
  <c r="H344" i="12"/>
  <c r="K144" i="12"/>
  <c r="K86" i="12"/>
  <c r="H131" i="12"/>
  <c r="H277" i="12"/>
  <c r="J257" i="12"/>
  <c r="K173" i="12"/>
  <c r="H298" i="12"/>
  <c r="J353" i="12"/>
  <c r="H184" i="12"/>
  <c r="H284" i="12"/>
  <c r="H173" i="12"/>
  <c r="J382" i="12"/>
  <c r="K223" i="12"/>
  <c r="H246" i="12"/>
  <c r="J409" i="12"/>
  <c r="K118" i="12"/>
  <c r="J264" i="12"/>
  <c r="J327" i="12"/>
  <c r="K410" i="12"/>
  <c r="H270" i="12"/>
  <c r="H396" i="12"/>
  <c r="H128" i="12"/>
  <c r="J306" i="12"/>
  <c r="K238" i="12"/>
  <c r="K452" i="12"/>
  <c r="K377" i="12"/>
  <c r="J129" i="12"/>
  <c r="H208" i="12"/>
  <c r="H295" i="12"/>
  <c r="K299" i="12"/>
  <c r="K224" i="12"/>
  <c r="K87" i="12"/>
  <c r="K214" i="12"/>
  <c r="K444" i="12"/>
  <c r="K369" i="12"/>
  <c r="J122" i="12"/>
  <c r="J203" i="12"/>
  <c r="K246" i="12"/>
  <c r="J120" i="12"/>
  <c r="J215" i="12"/>
  <c r="J254" i="12"/>
  <c r="H338" i="12"/>
  <c r="J392" i="12"/>
  <c r="J295" i="12"/>
  <c r="J99" i="12"/>
  <c r="K460" i="12"/>
  <c r="K189" i="12"/>
  <c r="J136" i="12"/>
  <c r="H263" i="12"/>
  <c r="J336" i="12"/>
  <c r="H350" i="12"/>
  <c r="J413" i="12"/>
  <c r="K127" i="12"/>
  <c r="K193" i="12"/>
  <c r="H145" i="12"/>
  <c r="H205" i="12"/>
  <c r="H253" i="12"/>
  <c r="H334" i="12"/>
  <c r="J372" i="12"/>
  <c r="J361" i="12"/>
  <c r="H272" i="12"/>
  <c r="H358" i="12"/>
  <c r="H332" i="12"/>
  <c r="J332" i="12"/>
  <c r="K178" i="12"/>
  <c r="K337" i="12"/>
  <c r="J217" i="12"/>
  <c r="J124" i="12"/>
  <c r="H297" i="12"/>
  <c r="H375" i="12"/>
  <c r="H324" i="12"/>
  <c r="K318" i="12"/>
  <c r="J125" i="12"/>
  <c r="H189" i="12"/>
  <c r="J394" i="12"/>
  <c r="H345" i="12"/>
  <c r="H420" i="12"/>
  <c r="J316" i="12"/>
  <c r="J363" i="12"/>
  <c r="J334" i="12"/>
  <c r="J387" i="12"/>
  <c r="H279" i="12"/>
  <c r="H368" i="12"/>
  <c r="J119" i="12"/>
  <c r="J293" i="12"/>
  <c r="H414" i="12"/>
  <c r="J280" i="12"/>
  <c r="J303" i="12"/>
  <c r="J131" i="12"/>
  <c r="J208" i="12"/>
  <c r="J116" i="12"/>
  <c r="H337" i="12"/>
  <c r="H405" i="12"/>
  <c r="J397" i="12"/>
  <c r="K264" i="12"/>
  <c r="J117" i="12"/>
  <c r="H339" i="12"/>
  <c r="H162" i="12"/>
  <c r="J300" i="12"/>
  <c r="K148" i="12"/>
  <c r="H326" i="12"/>
  <c r="J360" i="12"/>
  <c r="J349" i="12"/>
  <c r="H410" i="12"/>
  <c r="H137" i="12"/>
  <c r="H233" i="12"/>
  <c r="J190" i="12"/>
  <c r="J410" i="12"/>
  <c r="H395" i="12"/>
  <c r="J315" i="12"/>
  <c r="J204" i="12"/>
  <c r="J276" i="12"/>
  <c r="H416" i="12"/>
  <c r="K106" i="12"/>
  <c r="J262" i="12"/>
  <c r="H409" i="12"/>
  <c r="H423" i="12"/>
  <c r="J216" i="12"/>
  <c r="H365" i="12"/>
  <c r="H328" i="12"/>
  <c r="J321" i="12"/>
  <c r="K186" i="12"/>
  <c r="J292" i="12"/>
  <c r="H366" i="12"/>
  <c r="H165" i="12"/>
  <c r="K298" i="12"/>
  <c r="K462" i="12"/>
  <c r="J323" i="12"/>
  <c r="J265" i="12"/>
  <c r="H392" i="12"/>
  <c r="H193" i="12"/>
  <c r="J219" i="12"/>
  <c r="H100" i="12"/>
  <c r="H301" i="12"/>
  <c r="H360" i="12"/>
  <c r="K338" i="12"/>
  <c r="J213" i="12"/>
  <c r="H213" i="12"/>
  <c r="J406" i="12"/>
  <c r="J411" i="12"/>
  <c r="K413" i="12"/>
  <c r="J154" i="12"/>
  <c r="H407" i="12"/>
  <c r="J135" i="12"/>
  <c r="J373" i="12"/>
  <c r="J134" i="12"/>
  <c r="J377" i="12"/>
  <c r="J165" i="12"/>
  <c r="H364" i="12"/>
  <c r="J156" i="12"/>
  <c r="J396" i="12"/>
  <c r="K343" i="12"/>
  <c r="H229" i="12"/>
  <c r="H280" i="12"/>
  <c r="J241" i="12"/>
  <c r="H354" i="12"/>
  <c r="H406" i="12"/>
  <c r="K409" i="12"/>
  <c r="H248" i="12"/>
  <c r="H346" i="12"/>
  <c r="J299" i="12"/>
  <c r="K339" i="12"/>
  <c r="K242" i="12"/>
  <c r="H226" i="12"/>
  <c r="J345" i="12"/>
  <c r="H164" i="12"/>
  <c r="J279" i="12"/>
  <c r="H234" i="12"/>
  <c r="H300" i="12"/>
  <c r="H261" i="12"/>
  <c r="H168" i="12"/>
  <c r="J201" i="12"/>
  <c r="H264" i="12"/>
  <c r="K429" i="12"/>
  <c r="H381" i="12"/>
  <c r="J415" i="12"/>
  <c r="H323" i="12"/>
  <c r="H374" i="12"/>
  <c r="K439" i="12"/>
  <c r="J423" i="12"/>
  <c r="H203" i="12"/>
  <c r="J313" i="12"/>
  <c r="H133" i="12"/>
  <c r="K330" i="12"/>
  <c r="K241" i="12"/>
  <c r="K313" i="12"/>
  <c r="K365" i="12"/>
  <c r="J391" i="12"/>
  <c r="K102" i="12"/>
  <c r="J290" i="12"/>
  <c r="J195" i="12"/>
  <c r="J341" i="12"/>
  <c r="K361" i="12"/>
  <c r="H262" i="12"/>
  <c r="J199" i="12"/>
  <c r="J366" i="12"/>
  <c r="H132" i="12"/>
  <c r="H422" i="12"/>
  <c r="J143" i="12"/>
  <c r="U22" i="1" l="1"/>
  <c r="H27" i="1"/>
  <c r="H8" i="1"/>
  <c r="H5" i="1"/>
  <c r="H7" i="1"/>
  <c r="L143" i="12" a="1"/>
  <c r="L143" i="12" s="1"/>
  <c r="I422" i="12" a="1"/>
  <c r="I422" i="12" s="1"/>
  <c r="I132" i="12" a="1"/>
  <c r="I132" i="12" s="1"/>
  <c r="L366" i="12" a="1"/>
  <c r="L366" i="12" s="1"/>
  <c r="L199" i="12" a="1"/>
  <c r="L199" i="12" s="1"/>
  <c r="I262" i="12" a="1"/>
  <c r="I262" i="12" s="1"/>
  <c r="M361" i="12" a="1"/>
  <c r="M361" i="12" s="1"/>
  <c r="L341" i="12" a="1"/>
  <c r="L341" i="12" s="1"/>
  <c r="L195" i="12" a="1"/>
  <c r="L195" i="12" s="1"/>
  <c r="L290" i="12" a="1"/>
  <c r="L290" i="12" s="1"/>
  <c r="M102" i="12" a="1"/>
  <c r="M102" i="12" s="1"/>
  <c r="L391" i="12" a="1"/>
  <c r="L391" i="12" s="1"/>
  <c r="M365" i="12" a="1"/>
  <c r="M365" i="12" s="1"/>
  <c r="M313" i="12" a="1"/>
  <c r="M313" i="12" s="1"/>
  <c r="M241" i="12" a="1"/>
  <c r="M241" i="12" s="1"/>
  <c r="M330" i="12" a="1"/>
  <c r="M330" i="12" s="1"/>
  <c r="I133" i="12" a="1"/>
  <c r="I133" i="12" s="1"/>
  <c r="L313" i="12" a="1"/>
  <c r="L313" i="12" s="1"/>
  <c r="I203" i="12" a="1"/>
  <c r="I203" i="12" s="1"/>
  <c r="L423" i="12" a="1"/>
  <c r="L423" i="12" s="1"/>
  <c r="I374" i="12" a="1"/>
  <c r="I374" i="12" s="1"/>
  <c r="I323" i="12" a="1"/>
  <c r="I323" i="12" s="1"/>
  <c r="L415" i="12" a="1"/>
  <c r="L415" i="12" s="1"/>
  <c r="I381" i="12" a="1"/>
  <c r="I381" i="12" s="1"/>
  <c r="I264" i="12" a="1"/>
  <c r="I264" i="12" s="1"/>
  <c r="L201" i="12" a="1"/>
  <c r="L201" i="12" s="1"/>
  <c r="I168" i="12" a="1"/>
  <c r="I168" i="12" s="1"/>
  <c r="I261" i="12" a="1"/>
  <c r="I261" i="12" s="1"/>
  <c r="I300" i="12" a="1"/>
  <c r="I300" i="12" s="1"/>
  <c r="I234" i="12" a="1"/>
  <c r="I234" i="12" s="1"/>
  <c r="L279" i="12" a="1"/>
  <c r="L279" i="12" s="1"/>
  <c r="I164" i="12" a="1"/>
  <c r="I164" i="12" s="1"/>
  <c r="L345" i="12" a="1"/>
  <c r="L345" i="12" s="1"/>
  <c r="I226" i="12" a="1"/>
  <c r="I226" i="12" s="1"/>
  <c r="M242" i="12" a="1"/>
  <c r="M242" i="12" s="1"/>
  <c r="M339" i="12" a="1"/>
  <c r="M339" i="12" s="1"/>
  <c r="L299" i="12" a="1"/>
  <c r="L299" i="12" s="1"/>
  <c r="I346" i="12" a="1"/>
  <c r="I346" i="12" s="1"/>
  <c r="I248" i="12" a="1"/>
  <c r="I248" i="12" s="1"/>
  <c r="M409" i="12" a="1"/>
  <c r="M409" i="12" s="1"/>
  <c r="I406" i="12" a="1"/>
  <c r="I406" i="12" s="1"/>
  <c r="I354" i="12" a="1"/>
  <c r="I354" i="12" s="1"/>
  <c r="L241" i="12" a="1"/>
  <c r="L241" i="12" s="1"/>
  <c r="I280" i="12" a="1"/>
  <c r="I280" i="12" s="1"/>
  <c r="I229" i="12" a="1"/>
  <c r="I229" i="12" s="1"/>
  <c r="M343" i="12" a="1"/>
  <c r="M343" i="12" s="1"/>
  <c r="L396" i="12" a="1"/>
  <c r="L396" i="12" s="1"/>
  <c r="L156" i="12" a="1"/>
  <c r="L156" i="12" s="1"/>
  <c r="I364" i="12" a="1"/>
  <c r="I364" i="12" s="1"/>
  <c r="L165" i="12" a="1"/>
  <c r="L165" i="12" s="1"/>
  <c r="L377" i="12" a="1"/>
  <c r="L377" i="12" s="1"/>
  <c r="L134" i="12" a="1"/>
  <c r="L134" i="12" s="1"/>
  <c r="L373" i="12" a="1"/>
  <c r="L373" i="12" s="1"/>
  <c r="L135" i="12" a="1"/>
  <c r="L135" i="12" s="1"/>
  <c r="I407" i="12" a="1"/>
  <c r="I407" i="12" s="1"/>
  <c r="L154" i="12" a="1"/>
  <c r="L154" i="12" s="1"/>
  <c r="M413" i="12" a="1"/>
  <c r="M413" i="12" s="1"/>
  <c r="L411" i="12" a="1"/>
  <c r="L411" i="12" s="1"/>
  <c r="L406" i="12" a="1"/>
  <c r="L406" i="12" s="1"/>
  <c r="I213" i="12" a="1"/>
  <c r="I213" i="12" s="1"/>
  <c r="L213" i="12" a="1"/>
  <c r="L213" i="12" s="1"/>
  <c r="M338" i="12" a="1"/>
  <c r="M338" i="12" s="1"/>
  <c r="I360" i="12" a="1"/>
  <c r="I360" i="12" s="1"/>
  <c r="I301" i="12" a="1"/>
  <c r="I301" i="12" s="1"/>
  <c r="I100" i="12" a="1"/>
  <c r="I100" i="12" s="1"/>
  <c r="L219" i="12" a="1"/>
  <c r="L219" i="12" s="1"/>
  <c r="I193" i="12" a="1"/>
  <c r="I193" i="12" s="1"/>
  <c r="I392" i="12" a="1"/>
  <c r="I392" i="12" s="1"/>
  <c r="L265" i="12" a="1"/>
  <c r="L265" i="12" s="1"/>
  <c r="L323" i="12" a="1"/>
  <c r="L323" i="12" s="1"/>
  <c r="M298" i="12" a="1"/>
  <c r="M298" i="12" s="1"/>
  <c r="I165" i="12" a="1"/>
  <c r="I165" i="12" s="1"/>
  <c r="I366" i="12" a="1"/>
  <c r="I366" i="12" s="1"/>
  <c r="L292" i="12" a="1"/>
  <c r="L292" i="12" s="1"/>
  <c r="M186" i="12" a="1"/>
  <c r="M186" i="12" s="1"/>
  <c r="L321" i="12" a="1"/>
  <c r="L321" i="12" s="1"/>
  <c r="I328" i="12" a="1"/>
  <c r="I328" i="12" s="1"/>
  <c r="I365" i="12" a="1"/>
  <c r="I365" i="12" s="1"/>
  <c r="L216" i="12" a="1"/>
  <c r="L216" i="12" s="1"/>
  <c r="I423" i="12" a="1"/>
  <c r="I423" i="12" s="1"/>
  <c r="I409" i="12" a="1"/>
  <c r="I409" i="12" s="1"/>
  <c r="L262" i="12" a="1"/>
  <c r="L262" i="12" s="1"/>
  <c r="M106" i="12" a="1"/>
  <c r="M106" i="12" s="1"/>
  <c r="I416" i="12" a="1"/>
  <c r="I416" i="12" s="1"/>
  <c r="L276" i="12" a="1"/>
  <c r="L276" i="12" s="1"/>
  <c r="L204" i="12" a="1"/>
  <c r="L204" i="12" s="1"/>
  <c r="L315" i="12" a="1"/>
  <c r="L315" i="12" s="1"/>
  <c r="I395" i="12" a="1"/>
  <c r="I395" i="12" s="1"/>
  <c r="L410" i="12" a="1"/>
  <c r="L410" i="12" s="1"/>
  <c r="L190" i="12" a="1"/>
  <c r="L190" i="12" s="1"/>
  <c r="I233" i="12" a="1"/>
  <c r="I233" i="12" s="1"/>
  <c r="I137" i="12" a="1"/>
  <c r="I137" i="12" s="1"/>
  <c r="I410" i="12" a="1"/>
  <c r="I410" i="12" s="1"/>
  <c r="L349" i="12" a="1"/>
  <c r="L349" i="12" s="1"/>
  <c r="L360" i="12" a="1"/>
  <c r="L360" i="12" s="1"/>
  <c r="I326" i="12" a="1"/>
  <c r="I326" i="12" s="1"/>
  <c r="M148" i="12" a="1"/>
  <c r="M148" i="12" s="1"/>
  <c r="L300" i="12" a="1"/>
  <c r="L300" i="12" s="1"/>
  <c r="I162" i="12" a="1"/>
  <c r="I162" i="12" s="1"/>
  <c r="I339" i="12" a="1"/>
  <c r="I339" i="12" s="1"/>
  <c r="L117" i="12" a="1"/>
  <c r="L117" i="12" s="1"/>
  <c r="M264" i="12" a="1"/>
  <c r="M264" i="12" s="1"/>
  <c r="L397" i="12" a="1"/>
  <c r="L397" i="12" s="1"/>
  <c r="I405" i="12" a="1"/>
  <c r="I405" i="12" s="1"/>
  <c r="I337" i="12" a="1"/>
  <c r="I337" i="12" s="1"/>
  <c r="L116" i="12" a="1"/>
  <c r="L116" i="12" s="1"/>
  <c r="L208" i="12" a="1"/>
  <c r="L208" i="12" s="1"/>
  <c r="L131" i="12" a="1"/>
  <c r="L131" i="12" s="1"/>
  <c r="L303" i="12" a="1"/>
  <c r="L303" i="12" s="1"/>
  <c r="L280" i="12" a="1"/>
  <c r="L280" i="12" s="1"/>
  <c r="I414" i="12" a="1"/>
  <c r="I414" i="12" s="1"/>
  <c r="L293" i="12" a="1"/>
  <c r="L293" i="12" s="1"/>
  <c r="L119" i="12" a="1"/>
  <c r="L119" i="12" s="1"/>
  <c r="I368" i="12" a="1"/>
  <c r="I368" i="12" s="1"/>
  <c r="I279" i="12" a="1"/>
  <c r="I279" i="12" s="1"/>
  <c r="L387" i="12" a="1"/>
  <c r="L387" i="12" s="1"/>
  <c r="L334" i="12" a="1"/>
  <c r="L334" i="12" s="1"/>
  <c r="L363" i="12" a="1"/>
  <c r="L363" i="12" s="1"/>
  <c r="L316" i="12" a="1"/>
  <c r="L316" i="12" s="1"/>
  <c r="I420" i="12" a="1"/>
  <c r="I420" i="12" s="1"/>
  <c r="I345" i="12" a="1"/>
  <c r="I345" i="12" s="1"/>
  <c r="L394" i="12" a="1"/>
  <c r="L394" i="12" s="1"/>
  <c r="I189" i="12" a="1"/>
  <c r="I189" i="12" s="1"/>
  <c r="L125" i="12" a="1"/>
  <c r="L125" i="12" s="1"/>
  <c r="M318" i="12" a="1"/>
  <c r="M318" i="12" s="1"/>
  <c r="I324" i="12" a="1"/>
  <c r="I324" i="12" s="1"/>
  <c r="I375" i="12" a="1"/>
  <c r="I375" i="12" s="1"/>
  <c r="I297" i="12" a="1"/>
  <c r="I297" i="12" s="1"/>
  <c r="L124" i="12" a="1"/>
  <c r="L124" i="12" s="1"/>
  <c r="L217" i="12" a="1"/>
  <c r="L217" i="12" s="1"/>
  <c r="M337" i="12" a="1"/>
  <c r="M337" i="12" s="1"/>
  <c r="M178" i="12" a="1"/>
  <c r="M178" i="12" s="1"/>
  <c r="L332" i="12" a="1"/>
  <c r="L332" i="12" s="1"/>
  <c r="I332" i="12" a="1"/>
  <c r="I332" i="12" s="1"/>
  <c r="I358" i="12" a="1"/>
  <c r="I358" i="12" s="1"/>
  <c r="I272" i="12" a="1"/>
  <c r="I272" i="12" s="1"/>
  <c r="L361" i="12" a="1"/>
  <c r="L361" i="12" s="1"/>
  <c r="N361" i="12" s="1"/>
  <c r="L372" i="12" a="1"/>
  <c r="L372" i="12" s="1"/>
  <c r="I334" i="12" a="1"/>
  <c r="I334" i="12" s="1"/>
  <c r="I253" i="12" a="1"/>
  <c r="I253" i="12" s="1"/>
  <c r="I205" i="12" a="1"/>
  <c r="I205" i="12" s="1"/>
  <c r="I145" i="12" a="1"/>
  <c r="I145" i="12" s="1"/>
  <c r="M193" i="12" a="1"/>
  <c r="M193" i="12" s="1"/>
  <c r="M127" i="12" a="1"/>
  <c r="M127" i="12" s="1"/>
  <c r="L413" i="12" a="1"/>
  <c r="L413" i="12" s="1"/>
  <c r="I350" i="12" a="1"/>
  <c r="I350" i="12" s="1"/>
  <c r="L336" i="12" a="1"/>
  <c r="L336" i="12" s="1"/>
  <c r="I263" i="12" a="1"/>
  <c r="I263" i="12" s="1"/>
  <c r="L136" i="12" a="1"/>
  <c r="L136" i="12" s="1"/>
  <c r="M189" i="12" a="1"/>
  <c r="M189" i="12" s="1"/>
  <c r="L295" i="12" a="1"/>
  <c r="L295" i="12" s="1"/>
  <c r="L392" i="12" a="1"/>
  <c r="L392" i="12" s="1"/>
  <c r="I338" i="12" a="1"/>
  <c r="I338" i="12" s="1"/>
  <c r="L254" i="12" a="1"/>
  <c r="L254" i="12" s="1"/>
  <c r="L215" i="12" a="1"/>
  <c r="L215" i="12" s="1"/>
  <c r="L120" i="12" a="1"/>
  <c r="L120" i="12" s="1"/>
  <c r="M246" i="12" a="1"/>
  <c r="M246" i="12" s="1"/>
  <c r="L203" i="12" a="1"/>
  <c r="L203" i="12" s="1"/>
  <c r="L122" i="12" a="1"/>
  <c r="L122" i="12" s="1"/>
  <c r="M369" i="12" a="1"/>
  <c r="M369" i="12" s="1"/>
  <c r="M214" i="12" a="1"/>
  <c r="M214" i="12" s="1"/>
  <c r="M224" i="12" a="1"/>
  <c r="M224" i="12" s="1"/>
  <c r="M299" i="12" a="1"/>
  <c r="M299" i="12" s="1"/>
  <c r="I295" i="12" a="1"/>
  <c r="I295" i="12" s="1"/>
  <c r="I208" i="12" a="1"/>
  <c r="I208" i="12" s="1"/>
  <c r="L129" i="12" a="1"/>
  <c r="L129" i="12" s="1"/>
  <c r="M377" i="12" a="1"/>
  <c r="M377" i="12" s="1"/>
  <c r="M238" i="12" a="1"/>
  <c r="M238" i="12" s="1"/>
  <c r="L306" i="12" a="1"/>
  <c r="L306" i="12" s="1"/>
  <c r="I128" i="12" a="1"/>
  <c r="I128" i="12" s="1"/>
  <c r="I396" i="12" a="1"/>
  <c r="I396" i="12" s="1"/>
  <c r="I270" i="12" a="1"/>
  <c r="I270" i="12" s="1"/>
  <c r="M410" i="12" a="1"/>
  <c r="M410" i="12" s="1"/>
  <c r="L327" i="12" a="1"/>
  <c r="L327" i="12" s="1"/>
  <c r="L264" i="12" a="1"/>
  <c r="L264" i="12" s="1"/>
  <c r="M118" i="12" a="1"/>
  <c r="M118" i="12" s="1"/>
  <c r="L409" i="12" a="1"/>
  <c r="L409" i="12" s="1"/>
  <c r="N409" i="12" s="1"/>
  <c r="I246" i="12" a="1"/>
  <c r="I246" i="12" s="1"/>
  <c r="M223" i="12" a="1"/>
  <c r="M223" i="12" s="1"/>
  <c r="L382" i="12" a="1"/>
  <c r="L382" i="12" s="1"/>
  <c r="I173" i="12" a="1"/>
  <c r="I173" i="12" s="1"/>
  <c r="I284" i="12" a="1"/>
  <c r="I284" i="12" s="1"/>
  <c r="I184" i="12" a="1"/>
  <c r="I184" i="12" s="1"/>
  <c r="L353" i="12" a="1"/>
  <c r="L353" i="12" s="1"/>
  <c r="I298" i="12" a="1"/>
  <c r="I298" i="12" s="1"/>
  <c r="M173" i="12" a="1"/>
  <c r="M173" i="12" s="1"/>
  <c r="L257" i="12" a="1"/>
  <c r="L257" i="12" s="1"/>
  <c r="I277" i="12" a="1"/>
  <c r="I277" i="12" s="1"/>
  <c r="I131" i="12" a="1"/>
  <c r="I131" i="12" s="1"/>
  <c r="M144" i="12" a="1"/>
  <c r="M144" i="12" s="1"/>
  <c r="I344" i="12" a="1"/>
  <c r="I344" i="12" s="1"/>
  <c r="L369" i="12" a="1"/>
  <c r="L369" i="12" s="1"/>
  <c r="L376" i="12" a="1"/>
  <c r="L376" i="12" s="1"/>
  <c r="I389" i="12" a="1"/>
  <c r="I389" i="12" s="1"/>
  <c r="L328" i="12" a="1"/>
  <c r="L328" i="12" s="1"/>
  <c r="I315" i="12" a="1"/>
  <c r="I315" i="12" s="1"/>
  <c r="L151" i="12" a="1"/>
  <c r="L151" i="12" s="1"/>
  <c r="L130" i="12" a="1"/>
  <c r="L130" i="12" s="1"/>
  <c r="M289" i="12" a="1"/>
  <c r="M289" i="12" s="1"/>
  <c r="M415" i="12" a="1"/>
  <c r="M415" i="12" s="1"/>
  <c r="N415" i="12" s="1"/>
  <c r="L348" i="12" a="1"/>
  <c r="L348" i="12" s="1"/>
  <c r="I158" i="12" a="1"/>
  <c r="I158" i="12" s="1"/>
  <c r="L319" i="12" a="1"/>
  <c r="L319" i="12" s="1"/>
  <c r="I310" i="12" a="1"/>
  <c r="I310" i="12" s="1"/>
  <c r="L256" i="12" a="1"/>
  <c r="L256" i="12" s="1"/>
  <c r="L253" i="12" a="1"/>
  <c r="L253" i="12" s="1"/>
  <c r="I147" i="12" a="1"/>
  <c r="I147" i="12" s="1"/>
  <c r="M285" i="12" a="1"/>
  <c r="M285" i="12" s="1"/>
  <c r="M195" i="12" a="1"/>
  <c r="M195" i="12" s="1"/>
  <c r="L210" i="12" a="1"/>
  <c r="L210" i="12" s="1"/>
  <c r="I256" i="12" a="1"/>
  <c r="I256" i="12" s="1"/>
  <c r="L305" i="12" a="1"/>
  <c r="L305" i="12" s="1"/>
  <c r="L375" i="12" a="1"/>
  <c r="L375" i="12" s="1"/>
  <c r="I292" i="12" a="1"/>
  <c r="I292" i="12" s="1"/>
  <c r="L301" i="12" a="1"/>
  <c r="L301" i="12" s="1"/>
  <c r="I306" i="12" a="1"/>
  <c r="I306" i="12" s="1"/>
  <c r="L189" i="12" a="1"/>
  <c r="L189" i="12" s="1"/>
  <c r="L177" i="12" a="1"/>
  <c r="L177" i="12" s="1"/>
  <c r="L105" i="12" a="1"/>
  <c r="L105" i="12" s="1"/>
  <c r="M190" i="12" a="1"/>
  <c r="M190" i="12" s="1"/>
  <c r="L263" i="12" a="1"/>
  <c r="L263" i="12" s="1"/>
  <c r="L385" i="12" a="1"/>
  <c r="L385" i="12" s="1"/>
  <c r="L232" i="12" a="1"/>
  <c r="L232" i="12" s="1"/>
  <c r="L320" i="12" a="1"/>
  <c r="L320" i="12" s="1"/>
  <c r="I172" i="12" a="1"/>
  <c r="I172" i="12" s="1"/>
  <c r="L145" i="12" a="1"/>
  <c r="L145" i="12" s="1"/>
  <c r="M288" i="12" a="1"/>
  <c r="M288" i="12" s="1"/>
  <c r="M388" i="12" a="1"/>
  <c r="M388" i="12" s="1"/>
  <c r="L352" i="12" a="1"/>
  <c r="L352" i="12" s="1"/>
  <c r="L405" i="12" a="1"/>
  <c r="L405" i="12" s="1"/>
  <c r="L333" i="12" a="1"/>
  <c r="L333" i="12" s="1"/>
  <c r="I314" i="12" a="1"/>
  <c r="I314" i="12" s="1"/>
  <c r="L206" i="12" a="1"/>
  <c r="L206" i="12" s="1"/>
  <c r="L193" i="12" a="1"/>
  <c r="L193" i="12" s="1"/>
  <c r="I112" i="12" a="1"/>
  <c r="I112" i="12" s="1"/>
  <c r="L187" i="12" a="1"/>
  <c r="L187" i="12" s="1"/>
  <c r="I101" i="12" a="1"/>
  <c r="I101" i="12" s="1"/>
  <c r="M345" i="12" a="1"/>
  <c r="M345" i="12" s="1"/>
  <c r="M420" i="12" a="1"/>
  <c r="M420" i="12" s="1"/>
  <c r="M142" i="12" a="1"/>
  <c r="M142" i="12" s="1"/>
  <c r="M125" i="12" a="1"/>
  <c r="M125" i="12" s="1"/>
  <c r="M200" i="12" a="1"/>
  <c r="M200" i="12" s="1"/>
  <c r="M275" i="12" a="1"/>
  <c r="M275" i="12" s="1"/>
  <c r="I283" i="12" a="1"/>
  <c r="I283" i="12" s="1"/>
  <c r="I191" i="12" a="1"/>
  <c r="I191" i="12" s="1"/>
  <c r="I109" i="12" a="1"/>
  <c r="I109" i="12" s="1"/>
  <c r="M353" i="12" a="1"/>
  <c r="M353" i="12" s="1"/>
  <c r="M166" i="12" a="1"/>
  <c r="M166" i="12" s="1"/>
  <c r="L167" i="12" a="1"/>
  <c r="L167" i="12" s="1"/>
  <c r="M206" i="12" a="1"/>
  <c r="M206" i="12" s="1"/>
  <c r="L109" i="12" a="1"/>
  <c r="L109" i="12" s="1"/>
  <c r="M145" i="12" a="1"/>
  <c r="M145" i="12" s="1"/>
  <c r="M295" i="12" a="1"/>
  <c r="M295" i="12" s="1"/>
  <c r="I119" i="12" a="1"/>
  <c r="I119" i="12" s="1"/>
  <c r="M169" i="12" a="1"/>
  <c r="M169" i="12" s="1"/>
  <c r="L402" i="12" a="1"/>
  <c r="L402" i="12" s="1"/>
  <c r="I282" i="12" a="1"/>
  <c r="I282" i="12" s="1"/>
  <c r="I357" i="12" a="1"/>
  <c r="I357" i="12" s="1"/>
  <c r="L207" i="12" a="1"/>
  <c r="L207" i="12" s="1"/>
  <c r="L107" i="12" a="1"/>
  <c r="L107" i="12" s="1"/>
  <c r="M217" i="12" a="1"/>
  <c r="M217" i="12" s="1"/>
  <c r="L408" i="12" a="1"/>
  <c r="L408" i="12" s="1"/>
  <c r="I321" i="12" a="1"/>
  <c r="I321" i="12" s="1"/>
  <c r="L421" i="12" a="1"/>
  <c r="L421" i="12" s="1"/>
  <c r="L277" i="12" a="1"/>
  <c r="L277" i="12" s="1"/>
  <c r="L248" i="12" a="1"/>
  <c r="L248" i="12" s="1"/>
  <c r="L339" i="12" a="1"/>
  <c r="L339" i="12" s="1"/>
  <c r="L240" i="12" a="1"/>
  <c r="L240" i="12" s="1"/>
  <c r="I252" i="12" a="1"/>
  <c r="I252" i="12" s="1"/>
  <c r="I309" i="12" a="1"/>
  <c r="I309" i="12" s="1"/>
  <c r="I148" i="12" a="1"/>
  <c r="I148" i="12" s="1"/>
  <c r="M412" i="12" a="1"/>
  <c r="M412" i="12" s="1"/>
  <c r="I308" i="12" a="1"/>
  <c r="I308" i="12" s="1"/>
  <c r="L331" i="12" a="1"/>
  <c r="L331" i="12" s="1"/>
  <c r="I411" i="12" a="1"/>
  <c r="I411" i="12" s="1"/>
  <c r="L302" i="12" a="1"/>
  <c r="L302" i="12" s="1"/>
  <c r="L173" i="12" a="1"/>
  <c r="L173" i="12" s="1"/>
  <c r="I108" i="12" a="1"/>
  <c r="I108" i="12" s="1"/>
  <c r="M390" i="12" a="1"/>
  <c r="M390" i="12" s="1"/>
  <c r="M316" i="12" a="1"/>
  <c r="M316" i="12" s="1"/>
  <c r="L335" i="12" a="1"/>
  <c r="L335" i="12" s="1"/>
  <c r="I296" i="12" a="1"/>
  <c r="I296" i="12" s="1"/>
  <c r="L285" i="12" a="1"/>
  <c r="L285" i="12" s="1"/>
  <c r="I290" i="12" a="1"/>
  <c r="I290" i="12" s="1"/>
  <c r="I311" i="12" a="1"/>
  <c r="I311" i="12" s="1"/>
  <c r="I214" i="12" a="1"/>
  <c r="I214" i="12" s="1"/>
  <c r="M394" i="12" a="1"/>
  <c r="M394" i="12" s="1"/>
  <c r="M168" i="12" a="1"/>
  <c r="M168" i="12" s="1"/>
  <c r="L184" i="12" a="1"/>
  <c r="L184" i="12" s="1"/>
  <c r="I114" i="12" a="1"/>
  <c r="I114" i="12" s="1"/>
  <c r="M249" i="12" a="1"/>
  <c r="M249" i="12" s="1"/>
  <c r="M324" i="12" a="1"/>
  <c r="M324" i="12" s="1"/>
  <c r="M399" i="12" a="1"/>
  <c r="M399" i="12" s="1"/>
  <c r="M270" i="12" a="1"/>
  <c r="M270" i="12" s="1"/>
  <c r="M104" i="12" a="1"/>
  <c r="M104" i="12" s="1"/>
  <c r="M179" i="12" a="1"/>
  <c r="M179" i="12" s="1"/>
  <c r="I219" i="12" a="1"/>
  <c r="I219" i="12" s="1"/>
  <c r="L188" i="12" a="1"/>
  <c r="L188" i="12" s="1"/>
  <c r="I118" i="12" a="1"/>
  <c r="I118" i="12" s="1"/>
  <c r="M257" i="12" a="1"/>
  <c r="M257" i="12" s="1"/>
  <c r="M332" i="12" a="1"/>
  <c r="M332" i="12" s="1"/>
  <c r="M407" i="12" a="1"/>
  <c r="M407" i="12" s="1"/>
  <c r="I239" i="12" a="1"/>
  <c r="I239" i="12" s="1"/>
  <c r="M277" i="12" a="1"/>
  <c r="M277" i="12" s="1"/>
  <c r="L296" i="12" a="1"/>
  <c r="L296" i="12" s="1"/>
  <c r="L407" i="12" a="1"/>
  <c r="L407" i="12" s="1"/>
  <c r="L374" i="12" a="1"/>
  <c r="L374" i="12" s="1"/>
  <c r="I194" i="12" a="1"/>
  <c r="I194" i="12" s="1"/>
  <c r="I335" i="12" a="1"/>
  <c r="I335" i="12" s="1"/>
  <c r="L150" i="12" a="1"/>
  <c r="L150" i="12" s="1"/>
  <c r="I120" i="12" a="1"/>
  <c r="I120" i="12" s="1"/>
  <c r="L364" i="12" a="1"/>
  <c r="L364" i="12" s="1"/>
  <c r="L239" i="12" a="1"/>
  <c r="L239" i="12" s="1"/>
  <c r="L365" i="12" a="1"/>
  <c r="L365" i="12" s="1"/>
  <c r="N365" i="12" s="1"/>
  <c r="I373" i="12" a="1"/>
  <c r="I373" i="12" s="1"/>
  <c r="I408" i="12" a="1"/>
  <c r="I408" i="12" s="1"/>
  <c r="L220" i="12" a="1"/>
  <c r="L220" i="12" s="1"/>
  <c r="L163" i="12" a="1"/>
  <c r="L163" i="12" s="1"/>
  <c r="L338" i="12" a="1"/>
  <c r="L338" i="12" s="1"/>
  <c r="I287" i="12" a="1"/>
  <c r="I287" i="12" s="1"/>
  <c r="L194" i="12" a="1"/>
  <c r="L194" i="12" s="1"/>
  <c r="M322" i="12" a="1"/>
  <c r="M322" i="12" s="1"/>
  <c r="M196" i="12" a="1"/>
  <c r="M196" i="12" s="1"/>
  <c r="I244" i="12" a="1"/>
  <c r="I244" i="12" s="1"/>
  <c r="L171" i="12" a="1"/>
  <c r="L171" i="12" s="1"/>
  <c r="I397" i="12" a="1"/>
  <c r="I397" i="12" s="1"/>
  <c r="L218" i="12" a="1"/>
  <c r="L218" i="12" s="1"/>
  <c r="I236" i="12" a="1"/>
  <c r="I236" i="12" s="1"/>
  <c r="M310" i="12" a="1"/>
  <c r="M310" i="12" s="1"/>
  <c r="M262" i="12" a="1"/>
  <c r="M262" i="12" s="1"/>
  <c r="N262" i="12" s="1"/>
  <c r="L271" i="12" a="1"/>
  <c r="L271" i="12" s="1"/>
  <c r="L307" i="12" a="1"/>
  <c r="L307" i="12" s="1"/>
  <c r="L261" i="12" a="1"/>
  <c r="L261" i="12" s="1"/>
  <c r="L340" i="12" a="1"/>
  <c r="L340" i="12" s="1"/>
  <c r="I291" i="12" a="1"/>
  <c r="I291" i="12" s="1"/>
  <c r="I111" i="12" a="1"/>
  <c r="I111" i="12" s="1"/>
  <c r="M254" i="12" a="1"/>
  <c r="M254" i="12" s="1"/>
  <c r="I142" i="12" a="1"/>
  <c r="I142" i="12" s="1"/>
  <c r="M177" i="12" a="1"/>
  <c r="M177" i="12" s="1"/>
  <c r="M252" i="12" a="1"/>
  <c r="M252" i="12" s="1"/>
  <c r="M327" i="12" a="1"/>
  <c r="M327" i="12" s="1"/>
  <c r="M274" i="12" a="1"/>
  <c r="M274" i="12" s="1"/>
  <c r="M107" i="12" a="1"/>
  <c r="M107" i="12" s="1"/>
  <c r="L247" i="12" a="1"/>
  <c r="L247" i="12" s="1"/>
  <c r="I150" i="12" a="1"/>
  <c r="I150" i="12" s="1"/>
  <c r="M185" i="12" a="1"/>
  <c r="M185" i="12" s="1"/>
  <c r="M260" i="12" a="1"/>
  <c r="M260" i="12" s="1"/>
  <c r="M335" i="12" a="1"/>
  <c r="M335" i="12" s="1"/>
  <c r="I196" i="12" a="1"/>
  <c r="I196" i="12" s="1"/>
  <c r="M374" i="12" a="1"/>
  <c r="M374" i="12" s="1"/>
  <c r="N374" i="12" s="1"/>
  <c r="I195" i="12" a="1"/>
  <c r="I195" i="12" s="1"/>
  <c r="L314" i="12" a="1"/>
  <c r="L314" i="12" s="1"/>
  <c r="I198" i="12" a="1"/>
  <c r="I198" i="12" s="1"/>
  <c r="I124" i="12" a="1"/>
  <c r="I124" i="12" s="1"/>
  <c r="M237" i="12" a="1"/>
  <c r="M237" i="12" s="1"/>
  <c r="I398" i="12" a="1"/>
  <c r="I398" i="12" s="1"/>
  <c r="I388" i="12" a="1"/>
  <c r="I388" i="12" s="1"/>
  <c r="L255" i="12" a="1"/>
  <c r="L255" i="12" s="1"/>
  <c r="L281" i="12" a="1"/>
  <c r="L281" i="12" s="1"/>
  <c r="I286" i="12" a="1"/>
  <c r="I286" i="12" s="1"/>
  <c r="L260" i="12" a="1"/>
  <c r="L260" i="12" s="1"/>
  <c r="I103" i="12" a="1"/>
  <c r="I103" i="12" s="1"/>
  <c r="L178" i="12" a="1"/>
  <c r="L178" i="12" s="1"/>
  <c r="M230" i="12" a="1"/>
  <c r="M230" i="12" s="1"/>
  <c r="L378" i="12" a="1"/>
  <c r="L378" i="12" s="1"/>
  <c r="L242" i="12" a="1"/>
  <c r="L242" i="12" s="1"/>
  <c r="N242" i="12" s="1"/>
  <c r="I362" i="12" a="1"/>
  <c r="I362" i="12" s="1"/>
  <c r="L337" i="12" a="1"/>
  <c r="L337" i="12" s="1"/>
  <c r="L324" i="12" a="1"/>
  <c r="L324" i="12" s="1"/>
  <c r="I313" i="12" a="1"/>
  <c r="I313" i="12" s="1"/>
  <c r="I182" i="12" a="1"/>
  <c r="I182" i="12" s="1"/>
  <c r="M216" i="12" a="1"/>
  <c r="M216" i="12" s="1"/>
  <c r="I421" i="12" a="1"/>
  <c r="I421" i="12" s="1"/>
  <c r="M309" i="12" a="1"/>
  <c r="M309" i="12" s="1"/>
  <c r="L350" i="12" a="1"/>
  <c r="L350" i="12" s="1"/>
  <c r="I200" i="12" a="1"/>
  <c r="I200" i="12" s="1"/>
  <c r="I380" i="12" a="1"/>
  <c r="I380" i="12" s="1"/>
  <c r="L400" i="12" a="1"/>
  <c r="L400" i="12" s="1"/>
  <c r="I413" i="12" a="1"/>
  <c r="I413" i="12" s="1"/>
  <c r="L304" i="12" a="1"/>
  <c r="L304" i="12" s="1"/>
  <c r="I265" i="12" a="1"/>
  <c r="I265" i="12" s="1"/>
  <c r="I127" i="12" a="1"/>
  <c r="I127" i="12" s="1"/>
  <c r="M367" i="12" a="1"/>
  <c r="M367" i="12" s="1"/>
  <c r="I304" i="12" a="1"/>
  <c r="I304" i="12" s="1"/>
  <c r="L384" i="12" a="1"/>
  <c r="L384" i="12" s="1"/>
  <c r="I352" i="12" a="1"/>
  <c r="I352" i="12" s="1"/>
  <c r="I349" i="12" a="1"/>
  <c r="I349" i="12" s="1"/>
  <c r="I210" i="12" a="1"/>
  <c r="I210" i="12" s="1"/>
  <c r="M317" i="12" a="1"/>
  <c r="M317" i="12" s="1"/>
  <c r="M123" i="12" a="1"/>
  <c r="M123" i="12" s="1"/>
  <c r="M391" i="12" a="1"/>
  <c r="M391" i="12" s="1"/>
  <c r="I378" i="12" a="1"/>
  <c r="I378" i="12" s="1"/>
  <c r="L416" i="12" a="1"/>
  <c r="L416" i="12" s="1"/>
  <c r="I415" i="12" a="1"/>
  <c r="I415" i="12" s="1"/>
  <c r="L312" i="12" a="1"/>
  <c r="L312" i="12" s="1"/>
  <c r="I275" i="12" a="1"/>
  <c r="I275" i="12" s="1"/>
  <c r="I153" i="12" a="1"/>
  <c r="I153" i="12" s="1"/>
  <c r="M389" i="12" a="1"/>
  <c r="M389" i="12" s="1"/>
  <c r="M243" i="12" a="1"/>
  <c r="M243" i="12" s="1"/>
  <c r="I155" i="12" a="1"/>
  <c r="I155" i="12" s="1"/>
  <c r="M266" i="12" a="1"/>
  <c r="M266" i="12" s="1"/>
  <c r="M105" i="12" a="1"/>
  <c r="M105" i="12" s="1"/>
  <c r="M180" i="12" a="1"/>
  <c r="M180" i="12" s="1"/>
  <c r="M255" i="12" a="1"/>
  <c r="M255" i="12" s="1"/>
  <c r="M392" i="12" a="1"/>
  <c r="M392" i="12" s="1"/>
  <c r="L211" i="12" a="1"/>
  <c r="L211" i="12" s="1"/>
  <c r="I159" i="12" a="1"/>
  <c r="I159" i="12" s="1"/>
  <c r="M290" i="12" a="1"/>
  <c r="M290" i="12" s="1"/>
  <c r="N290" i="12" s="1"/>
  <c r="M113" i="12" a="1"/>
  <c r="M113" i="12" s="1"/>
  <c r="M188" i="12" a="1"/>
  <c r="M188" i="12" s="1"/>
  <c r="M215" i="12" a="1"/>
  <c r="M215" i="12" s="1"/>
  <c r="L198" i="12" a="1"/>
  <c r="L198" i="12" s="1"/>
  <c r="M280" i="12" a="1"/>
  <c r="M280" i="12" s="1"/>
  <c r="I348" i="12" a="1"/>
  <c r="I348" i="12" s="1"/>
  <c r="I243" i="12" a="1"/>
  <c r="I243" i="12" s="1"/>
  <c r="L420" i="12" a="1"/>
  <c r="L420" i="12" s="1"/>
  <c r="I192" i="12" a="1"/>
  <c r="I192" i="12" s="1"/>
  <c r="I258" i="12" a="1"/>
  <c r="I258" i="12" s="1"/>
  <c r="L205" i="12" a="1"/>
  <c r="L205" i="12" s="1"/>
  <c r="L237" i="12" a="1"/>
  <c r="L237" i="12" s="1"/>
  <c r="N237" i="12" s="1"/>
  <c r="I163" i="12" a="1"/>
  <c r="I163" i="12" s="1"/>
  <c r="M220" i="12" a="1"/>
  <c r="M220" i="12" s="1"/>
  <c r="L317" i="12" a="1"/>
  <c r="L317" i="12" s="1"/>
  <c r="I299" i="12" a="1"/>
  <c r="I299" i="12" s="1"/>
  <c r="I384" i="12" a="1"/>
  <c r="I384" i="12" s="1"/>
  <c r="I417" i="12" a="1"/>
  <c r="I417" i="12" s="1"/>
  <c r="L308" i="12" a="1"/>
  <c r="L308" i="12" s="1"/>
  <c r="I267" i="12" a="1"/>
  <c r="I267" i="12" s="1"/>
  <c r="L170" i="12" a="1"/>
  <c r="L170" i="12" s="1"/>
  <c r="M182" i="12" a="1"/>
  <c r="M182" i="12" s="1"/>
  <c r="M120" i="12" a="1"/>
  <c r="M120" i="12" s="1"/>
  <c r="I322" i="12" a="1"/>
  <c r="I322" i="12" s="1"/>
  <c r="L418" i="12" a="1"/>
  <c r="L418" i="12" s="1"/>
  <c r="I418" i="12" a="1"/>
  <c r="I418" i="12" s="1"/>
  <c r="I402" i="12" a="1"/>
  <c r="I402" i="12" s="1"/>
  <c r="L386" i="12" a="1"/>
  <c r="L386" i="12" s="1"/>
  <c r="I371" i="12" a="1"/>
  <c r="I371" i="12" s="1"/>
  <c r="L272" i="12" a="1"/>
  <c r="L272" i="12" s="1"/>
  <c r="I202" i="12" a="1"/>
  <c r="I202" i="12" s="1"/>
  <c r="I152" i="12" a="1"/>
  <c r="I152" i="12" s="1"/>
  <c r="M333" i="12" a="1"/>
  <c r="M333" i="12" s="1"/>
  <c r="M271" i="12" a="1"/>
  <c r="M271" i="12" s="1"/>
  <c r="I288" i="12" a="1"/>
  <c r="I288" i="12" s="1"/>
  <c r="L370" i="12" a="1"/>
  <c r="L370" i="12" s="1"/>
  <c r="I302" i="12" a="1"/>
  <c r="I302" i="12" s="1"/>
  <c r="I325" i="12" a="1"/>
  <c r="I325" i="12" s="1"/>
  <c r="I175" i="12" a="1"/>
  <c r="I175" i="12" s="1"/>
  <c r="M265" i="12" a="1"/>
  <c r="M265" i="12" s="1"/>
  <c r="M213" i="12" a="1"/>
  <c r="M213" i="12" s="1"/>
  <c r="M319" i="12" a="1"/>
  <c r="M319" i="12" s="1"/>
  <c r="I316" i="12" a="1"/>
  <c r="I316" i="12" s="1"/>
  <c r="L404" i="12" a="1"/>
  <c r="L404" i="12" s="1"/>
  <c r="I391" i="12" a="1"/>
  <c r="I391" i="12" s="1"/>
  <c r="L298" i="12" a="1"/>
  <c r="L298" i="12" s="1"/>
  <c r="N298" i="12" s="1"/>
  <c r="L251" i="12" a="1"/>
  <c r="L251" i="12" s="1"/>
  <c r="I149" i="12" a="1"/>
  <c r="I149" i="12" s="1"/>
  <c r="M293" i="12" a="1"/>
  <c r="M293" i="12" s="1"/>
  <c r="M151" i="12" a="1"/>
  <c r="M151" i="12" s="1"/>
  <c r="I151" i="12" a="1"/>
  <c r="I151" i="12" s="1"/>
  <c r="M126" i="12" a="1"/>
  <c r="M126" i="12" s="1"/>
  <c r="M362" i="12" a="1"/>
  <c r="M362" i="12" s="1"/>
  <c r="M132" i="12" a="1"/>
  <c r="M132" i="12" s="1"/>
  <c r="M207" i="12" a="1"/>
  <c r="M207" i="12" s="1"/>
  <c r="M344" i="12" a="1"/>
  <c r="M344" i="12" s="1"/>
  <c r="M419" i="12" a="1"/>
  <c r="M419" i="12" s="1"/>
  <c r="I355" i="12" a="1"/>
  <c r="I355" i="12" s="1"/>
  <c r="I181" i="12" a="1"/>
  <c r="I181" i="12" s="1"/>
  <c r="I115" i="12" a="1"/>
  <c r="I115" i="12" s="1"/>
  <c r="M146" i="12" a="1"/>
  <c r="M146" i="12" s="1"/>
  <c r="M386" i="12" a="1"/>
  <c r="M386" i="12" s="1"/>
  <c r="M140" i="12" a="1"/>
  <c r="M140" i="12" s="1"/>
  <c r="L144" i="12" a="1"/>
  <c r="L144" i="12" s="1"/>
  <c r="N144" i="12" s="1"/>
  <c r="M154" i="12" a="1"/>
  <c r="M154" i="12" s="1"/>
  <c r="M360" i="12" a="1"/>
  <c r="M360" i="12" s="1"/>
  <c r="M219" i="12" a="1"/>
  <c r="M219" i="12" s="1"/>
  <c r="I276" i="12" a="1"/>
  <c r="I276" i="12" s="1"/>
  <c r="I209" i="12" a="1"/>
  <c r="I209" i="12" s="1"/>
  <c r="I242" i="12" a="1"/>
  <c r="I242" i="12" s="1"/>
  <c r="L362" i="12" a="1"/>
  <c r="L362" i="12" s="1"/>
  <c r="I419" i="12" a="1"/>
  <c r="I419" i="12" s="1"/>
  <c r="I318" i="12" a="1"/>
  <c r="I318" i="12" s="1"/>
  <c r="L310" i="12" a="1"/>
  <c r="L310" i="12" s="1"/>
  <c r="N310" i="12" s="1"/>
  <c r="I359" i="12" a="1"/>
  <c r="I359" i="12" s="1"/>
  <c r="I207" i="12" a="1"/>
  <c r="I207" i="12" s="1"/>
  <c r="I224" i="12" a="1"/>
  <c r="I224" i="12" s="1"/>
  <c r="I129" i="12" a="1"/>
  <c r="I129" i="12" s="1"/>
  <c r="M382" i="12" a="1"/>
  <c r="M382" i="12" s="1"/>
  <c r="M221" i="12" a="1"/>
  <c r="M221" i="12" s="1"/>
  <c r="M124" i="12" a="1"/>
  <c r="M124" i="12" s="1"/>
  <c r="N124" i="12" s="1"/>
  <c r="L422" i="12" a="1"/>
  <c r="L422" i="12" s="1"/>
  <c r="I294" i="12" a="1"/>
  <c r="I294" i="12" s="1"/>
  <c r="I211" i="12" a="1"/>
  <c r="I211" i="12" s="1"/>
  <c r="I340" i="12" a="1"/>
  <c r="I340" i="12" s="1"/>
  <c r="L236" i="12" a="1"/>
  <c r="L236" i="12" s="1"/>
  <c r="I387" i="12" a="1"/>
  <c r="I387" i="12" s="1"/>
  <c r="L344" i="12" a="1"/>
  <c r="L344" i="12" s="1"/>
  <c r="L230" i="12" a="1"/>
  <c r="L230" i="12" s="1"/>
  <c r="N230" i="12" s="1"/>
  <c r="I247" i="12" a="1"/>
  <c r="I247" i="12" s="1"/>
  <c r="I222" i="12" a="1"/>
  <c r="I222" i="12" s="1"/>
  <c r="L112" i="12" a="1"/>
  <c r="L112" i="12" s="1"/>
  <c r="M405" i="12" a="1"/>
  <c r="M405" i="12" s="1"/>
  <c r="M336" i="12" a="1"/>
  <c r="M336" i="12" s="1"/>
  <c r="L246" i="12" a="1"/>
  <c r="L246" i="12" s="1"/>
  <c r="N246" i="12" s="1"/>
  <c r="I221" i="12" a="1"/>
  <c r="I221" i="12" s="1"/>
  <c r="L153" i="12" a="1"/>
  <c r="L153" i="12" s="1"/>
  <c r="I320" i="12" a="1"/>
  <c r="I320" i="12" s="1"/>
  <c r="L388" i="12" a="1"/>
  <c r="L388" i="12" s="1"/>
  <c r="I342" i="12" a="1"/>
  <c r="I342" i="12" s="1"/>
  <c r="I312" i="12" a="1"/>
  <c r="I312" i="12" s="1"/>
  <c r="L417" i="12" a="1"/>
  <c r="L417" i="12" s="1"/>
  <c r="L414" i="12" a="1"/>
  <c r="L414" i="12" s="1"/>
  <c r="L273" i="12" a="1"/>
  <c r="L273" i="12" s="1"/>
  <c r="L357" i="12" a="1"/>
  <c r="L357" i="12" s="1"/>
  <c r="L322" i="12" a="1"/>
  <c r="L322" i="12" s="1"/>
  <c r="N322" i="12" s="1"/>
  <c r="I351" i="12" a="1"/>
  <c r="I351" i="12" s="1"/>
  <c r="L227" i="12" a="1"/>
  <c r="L227" i="12" s="1"/>
  <c r="L168" i="12" a="1"/>
  <c r="L168" i="12" s="1"/>
  <c r="I110" i="12" a="1"/>
  <c r="I110" i="12" s="1"/>
  <c r="M269" i="12" a="1"/>
  <c r="M269" i="12" s="1"/>
  <c r="M402" i="12" a="1"/>
  <c r="M402" i="12" s="1"/>
  <c r="L367" i="12" a="1"/>
  <c r="L367" i="12" s="1"/>
  <c r="N367" i="12" s="1"/>
  <c r="I382" i="12" a="1"/>
  <c r="I382" i="12" s="1"/>
  <c r="L197" i="12" a="1"/>
  <c r="L197" i="12" s="1"/>
  <c r="L106" i="12" a="1"/>
  <c r="L106" i="12" s="1"/>
  <c r="N106" i="12" s="1"/>
  <c r="I274" i="12" a="1"/>
  <c r="I274" i="12" s="1"/>
  <c r="I185" i="12" a="1"/>
  <c r="I185" i="12" s="1"/>
  <c r="L243" i="12" a="1"/>
  <c r="L243" i="12" s="1"/>
  <c r="L149" i="12" a="1"/>
  <c r="L149" i="12" s="1"/>
  <c r="M158" i="12" a="1"/>
  <c r="M158" i="12" s="1"/>
  <c r="M192" i="12" a="1"/>
  <c r="M192" i="12" s="1"/>
  <c r="M165" i="12" a="1"/>
  <c r="M165" i="12" s="1"/>
  <c r="L419" i="12" a="1"/>
  <c r="L419" i="12" s="1"/>
  <c r="I225" i="12" a="1"/>
  <c r="I225" i="12" s="1"/>
  <c r="L259" i="12" a="1"/>
  <c r="L259" i="12" s="1"/>
  <c r="L309" i="12" a="1"/>
  <c r="L309" i="12" s="1"/>
  <c r="I379" i="12" a="1"/>
  <c r="I379" i="12" s="1"/>
  <c r="L326" i="12" a="1"/>
  <c r="L326" i="12" s="1"/>
  <c r="L159" i="12" a="1"/>
  <c r="L159" i="12" s="1"/>
  <c r="L231" i="12" a="1"/>
  <c r="L231" i="12" s="1"/>
  <c r="L182" i="12" a="1"/>
  <c r="L182" i="12" s="1"/>
  <c r="M245" i="12" a="1"/>
  <c r="M245" i="12" s="1"/>
  <c r="M147" i="12" a="1"/>
  <c r="M147" i="12" s="1"/>
  <c r="L172" i="12" a="1"/>
  <c r="L172" i="12" s="1"/>
  <c r="I139" i="12" a="1"/>
  <c r="I139" i="12" s="1"/>
  <c r="I102" i="12" a="1"/>
  <c r="I102" i="12" s="1"/>
  <c r="M225" i="12" a="1"/>
  <c r="M225" i="12" s="1"/>
  <c r="M282" i="12" a="1"/>
  <c r="M282" i="12" s="1"/>
  <c r="M300" i="12" a="1"/>
  <c r="M300" i="12" s="1"/>
  <c r="M108" i="12" a="1"/>
  <c r="M108" i="12" s="1"/>
  <c r="M375" i="12" a="1"/>
  <c r="M375" i="12" s="1"/>
  <c r="M183" i="12" a="1"/>
  <c r="M183" i="12" s="1"/>
  <c r="M198" i="12" a="1"/>
  <c r="M198" i="12" s="1"/>
  <c r="M320" i="12" a="1"/>
  <c r="M320" i="12" s="1"/>
  <c r="M414" i="12" a="1"/>
  <c r="M414" i="12" s="1"/>
  <c r="N414" i="12" s="1"/>
  <c r="M395" i="12" a="1"/>
  <c r="M395" i="12" s="1"/>
  <c r="M155" i="12" a="1"/>
  <c r="M155" i="12" s="1"/>
  <c r="I343" i="12" a="1"/>
  <c r="I343" i="12" s="1"/>
  <c r="L191" i="12" a="1"/>
  <c r="L191" i="12" s="1"/>
  <c r="L161" i="12" a="1"/>
  <c r="L161" i="12" s="1"/>
  <c r="L176" i="12" a="1"/>
  <c r="L176" i="12" s="1"/>
  <c r="I143" i="12" a="1"/>
  <c r="I143" i="12" s="1"/>
  <c r="I106" i="12" a="1"/>
  <c r="I106" i="12" s="1"/>
  <c r="M233" i="12" a="1"/>
  <c r="M233" i="12" s="1"/>
  <c r="M314" i="12" a="1"/>
  <c r="M314" i="12" s="1"/>
  <c r="N314" i="12" s="1"/>
  <c r="M308" i="12" a="1"/>
  <c r="M308" i="12" s="1"/>
  <c r="M116" i="12" a="1"/>
  <c r="M116" i="12" s="1"/>
  <c r="M383" i="12" a="1"/>
  <c r="M383" i="12" s="1"/>
  <c r="M191" i="12" a="1"/>
  <c r="M191" i="12" s="1"/>
  <c r="L294" i="12" a="1"/>
  <c r="L294" i="12" s="1"/>
  <c r="I353" i="12" a="1"/>
  <c r="I353" i="12" s="1"/>
  <c r="I215" i="12" a="1"/>
  <c r="I215" i="12" s="1"/>
  <c r="I180" i="12" a="1"/>
  <c r="I180" i="12" s="1"/>
  <c r="L186" i="12" a="1"/>
  <c r="L186" i="12" s="1"/>
  <c r="N186" i="12" s="1"/>
  <c r="I107" i="12" a="1"/>
  <c r="I107" i="12" s="1"/>
  <c r="I116" i="12" a="1"/>
  <c r="I116" i="12" s="1"/>
  <c r="M134" i="12" a="1"/>
  <c r="M134" i="12" s="1"/>
  <c r="N134" i="12" s="1"/>
  <c r="M253" i="12" a="1"/>
  <c r="M253" i="12" s="1"/>
  <c r="M150" i="12" a="1"/>
  <c r="M150" i="12" s="1"/>
  <c r="N150" i="12" s="1"/>
  <c r="M208" i="12" a="1"/>
  <c r="M208" i="12" s="1"/>
  <c r="N208" i="12" s="1"/>
  <c r="M250" i="12" a="1"/>
  <c r="M250" i="12" s="1"/>
  <c r="I216" i="12" a="1"/>
  <c r="I216" i="12" s="1"/>
  <c r="L160" i="12" a="1"/>
  <c r="L160" i="12" s="1"/>
  <c r="L138" i="12" a="1"/>
  <c r="L138" i="12" s="1"/>
  <c r="M393" i="12" a="1"/>
  <c r="M393" i="12" s="1"/>
  <c r="M201" i="12" a="1"/>
  <c r="M201" i="12" s="1"/>
  <c r="M276" i="12" a="1"/>
  <c r="M276" i="12" s="1"/>
  <c r="M286" i="12" a="1"/>
  <c r="M286" i="12" s="1"/>
  <c r="M351" i="12" a="1"/>
  <c r="M351" i="12" s="1"/>
  <c r="M111" i="12" a="1"/>
  <c r="M111" i="12" s="1"/>
  <c r="M130" i="12" a="1"/>
  <c r="M130" i="12" s="1"/>
  <c r="M248" i="12" a="1"/>
  <c r="M248" i="12" s="1"/>
  <c r="M342" i="12" a="1"/>
  <c r="M342" i="12" s="1"/>
  <c r="M323" i="12" a="1"/>
  <c r="M323" i="12" s="1"/>
  <c r="N323" i="12" s="1"/>
  <c r="M131" i="12" a="1"/>
  <c r="M131" i="12" s="1"/>
  <c r="I307" i="12" a="1"/>
  <c r="I307" i="12" s="1"/>
  <c r="L142" i="12" a="1"/>
  <c r="L142" i="12" s="1"/>
  <c r="I220" i="12" a="1"/>
  <c r="I220" i="12" s="1"/>
  <c r="L164" i="12" a="1"/>
  <c r="L164" i="12" s="1"/>
  <c r="L141" i="12" a="1"/>
  <c r="L141" i="12" s="1"/>
  <c r="L123" i="12" a="1"/>
  <c r="L123" i="12" s="1"/>
  <c r="N123" i="12" s="1"/>
  <c r="M401" i="12" a="1"/>
  <c r="M401" i="12" s="1"/>
  <c r="M209" i="12" a="1"/>
  <c r="M209" i="12" s="1"/>
  <c r="M284" i="12" a="1"/>
  <c r="M284" i="12" s="1"/>
  <c r="M306" i="12" a="1"/>
  <c r="M306" i="12" s="1"/>
  <c r="M359" i="12" a="1"/>
  <c r="M359" i="12" s="1"/>
  <c r="M119" i="12" a="1"/>
  <c r="M119" i="12" s="1"/>
  <c r="L282" i="12" a="1"/>
  <c r="L282" i="12" s="1"/>
  <c r="N282" i="12" s="1"/>
  <c r="I317" i="12" a="1"/>
  <c r="I317" i="12" s="1"/>
  <c r="I187" i="12" a="1"/>
  <c r="I187" i="12" s="1"/>
  <c r="I230" i="12" a="1"/>
  <c r="I230" i="12" s="1"/>
  <c r="L174" i="12" a="1"/>
  <c r="L174" i="12" s="1"/>
  <c r="L104" i="12" a="1"/>
  <c r="L104" i="12" s="1"/>
  <c r="N104" i="12" s="1"/>
  <c r="I104" i="12" a="1"/>
  <c r="I104" i="12" s="1"/>
  <c r="M421" i="12" a="1"/>
  <c r="M421" i="12" s="1"/>
  <c r="M229" i="12" a="1"/>
  <c r="M229" i="12" s="1"/>
  <c r="M160" i="12" a="1"/>
  <c r="M160" i="12" s="1"/>
  <c r="M379" i="12" a="1"/>
  <c r="M379" i="12" s="1"/>
  <c r="L270" i="12" a="1"/>
  <c r="L270" i="12" s="1"/>
  <c r="N270" i="12" s="1"/>
  <c r="I305" i="12" a="1"/>
  <c r="I305" i="12" s="1"/>
  <c r="L126" i="12" a="1"/>
  <c r="L126" i="12" s="1"/>
  <c r="I218" i="12" a="1"/>
  <c r="I218" i="12" s="1"/>
  <c r="L162" i="12" a="1"/>
  <c r="L162" i="12" s="1"/>
  <c r="L139" i="12" a="1"/>
  <c r="L139" i="12" s="1"/>
  <c r="M397" i="12" a="1"/>
  <c r="M397" i="12" s="1"/>
  <c r="M205" i="12" a="1"/>
  <c r="M205" i="12" s="1"/>
  <c r="M136" i="12" a="1"/>
  <c r="M136" i="12" s="1"/>
  <c r="M355" i="12" a="1"/>
  <c r="M355" i="12" s="1"/>
  <c r="M263" i="12" a="1"/>
  <c r="M263" i="12" s="1"/>
  <c r="I176" i="12" a="1"/>
  <c r="I176" i="12" s="1"/>
  <c r="L222" i="12" a="1"/>
  <c r="L222" i="12" s="1"/>
  <c r="I293" i="12" a="1"/>
  <c r="I293" i="12" s="1"/>
  <c r="L221" i="12" a="1"/>
  <c r="L221" i="12" s="1"/>
  <c r="N221" i="12" s="1"/>
  <c r="I206" i="12" a="1"/>
  <c r="I206" i="12" s="1"/>
  <c r="I169" i="12" a="1"/>
  <c r="I169" i="12" s="1"/>
  <c r="I125" i="12" a="1"/>
  <c r="I125" i="12" s="1"/>
  <c r="M346" i="12" a="1"/>
  <c r="M346" i="12" s="1"/>
  <c r="M373" i="12" a="1"/>
  <c r="M373" i="12" s="1"/>
  <c r="N373" i="12" s="1"/>
  <c r="M133" i="12" a="1"/>
  <c r="M133" i="12" s="1"/>
  <c r="M352" i="12" a="1"/>
  <c r="M352" i="12" s="1"/>
  <c r="M366" i="12" a="1"/>
  <c r="M366" i="12" s="1"/>
  <c r="M283" i="12" a="1"/>
  <c r="M283" i="12" s="1"/>
  <c r="M364" i="12" a="1"/>
  <c r="M364" i="12" s="1"/>
  <c r="L401" i="12" a="1"/>
  <c r="L401" i="12" s="1"/>
  <c r="N401" i="12" s="1"/>
  <c r="L214" i="12" a="1"/>
  <c r="L214" i="12" s="1"/>
  <c r="M268" i="12" a="1"/>
  <c r="M268" i="12" s="1"/>
  <c r="L267" i="12" a="1"/>
  <c r="L267" i="12" s="1"/>
  <c r="I223" i="12" a="1"/>
  <c r="I223" i="12" s="1"/>
  <c r="I356" i="12" a="1"/>
  <c r="I356" i="12" s="1"/>
  <c r="L347" i="12" a="1"/>
  <c r="L347" i="12" s="1"/>
  <c r="I199" i="12" a="1"/>
  <c r="I199" i="12" s="1"/>
  <c r="I260" i="12" a="1"/>
  <c r="I260" i="12" s="1"/>
  <c r="I363" i="12" a="1"/>
  <c r="I363" i="12" s="1"/>
  <c r="I156" i="12" a="1"/>
  <c r="I156" i="12" s="1"/>
  <c r="L133" i="12" a="1"/>
  <c r="L133" i="12" s="1"/>
  <c r="M398" i="12" a="1"/>
  <c r="M398" i="12" s="1"/>
  <c r="L383" i="12" a="1"/>
  <c r="L383" i="12" s="1"/>
  <c r="L343" i="12" a="1"/>
  <c r="L343" i="12" s="1"/>
  <c r="N343" i="12" s="1"/>
  <c r="I217" i="12" a="1"/>
  <c r="I217" i="12" s="1"/>
  <c r="L390" i="12" a="1"/>
  <c r="L390" i="12" s="1"/>
  <c r="I250" i="12" a="1"/>
  <c r="I250" i="12" s="1"/>
  <c r="I361" i="12" a="1"/>
  <c r="I361" i="12" s="1"/>
  <c r="L346" i="12" a="1"/>
  <c r="L346" i="12" s="1"/>
  <c r="L238" i="12" a="1"/>
  <c r="L238" i="12" s="1"/>
  <c r="I273" i="12" a="1"/>
  <c r="I273" i="12" s="1"/>
  <c r="I188" i="12" a="1"/>
  <c r="I188" i="12" s="1"/>
  <c r="L132" i="12" a="1"/>
  <c r="L132" i="12" s="1"/>
  <c r="N132" i="12" s="1"/>
  <c r="I122" i="12" a="1"/>
  <c r="I122" i="12" s="1"/>
  <c r="M357" i="12" a="1"/>
  <c r="M357" i="12" s="1"/>
  <c r="M340" i="12" a="1"/>
  <c r="M340" i="12" s="1"/>
  <c r="M199" i="12" a="1"/>
  <c r="M199" i="12" s="1"/>
  <c r="I393" i="12" a="1"/>
  <c r="I393" i="12" s="1"/>
  <c r="I135" i="12" a="1"/>
  <c r="I135" i="12" s="1"/>
  <c r="I390" i="12" a="1"/>
  <c r="I390" i="12" s="1"/>
  <c r="L393" i="12" a="1"/>
  <c r="L393" i="12" s="1"/>
  <c r="N393" i="12" s="1"/>
  <c r="I249" i="12" a="1"/>
  <c r="I249" i="12" s="1"/>
  <c r="I254" i="12" a="1"/>
  <c r="I254" i="12" s="1"/>
  <c r="L274" i="12" a="1"/>
  <c r="L274" i="12" s="1"/>
  <c r="I289" i="12" a="1"/>
  <c r="I289" i="12" s="1"/>
  <c r="L185" i="12" a="1"/>
  <c r="L185" i="12" s="1"/>
  <c r="I161" i="12" a="1"/>
  <c r="I161" i="12" s="1"/>
  <c r="M370" i="12" a="1"/>
  <c r="M370" i="12" s="1"/>
  <c r="M141" i="12" a="1"/>
  <c r="M141" i="12" s="1"/>
  <c r="M291" i="12" a="1"/>
  <c r="M291" i="12" s="1"/>
  <c r="I377" i="12" a="1"/>
  <c r="I377" i="12" s="1"/>
  <c r="L252" i="12" a="1"/>
  <c r="L252" i="12" s="1"/>
  <c r="N252" i="12" s="1"/>
  <c r="L379" i="12" a="1"/>
  <c r="L379" i="12" s="1"/>
  <c r="L291" i="12" a="1"/>
  <c r="L291" i="12" s="1"/>
  <c r="I401" i="12" a="1"/>
  <c r="I401" i="12" s="1"/>
  <c r="L403" i="12" a="1"/>
  <c r="L403" i="12" s="1"/>
  <c r="L311" i="12" a="1"/>
  <c r="L311" i="12" s="1"/>
  <c r="L283" i="12" a="1"/>
  <c r="L283" i="12" s="1"/>
  <c r="L355" i="12" a="1"/>
  <c r="L355" i="12" s="1"/>
  <c r="I385" i="12" a="1"/>
  <c r="I385" i="12" s="1"/>
  <c r="L183" i="12" a="1"/>
  <c r="L183" i="12" s="1"/>
  <c r="L226" i="12" a="1"/>
  <c r="L226" i="12" s="1"/>
  <c r="I235" i="12" a="1"/>
  <c r="I235" i="12" s="1"/>
  <c r="I212" i="12" a="1"/>
  <c r="I212" i="12" s="1"/>
  <c r="I117" i="12" a="1"/>
  <c r="I117" i="12" s="1"/>
  <c r="M385" i="12" a="1"/>
  <c r="M385" i="12" s="1"/>
  <c r="M292" i="12" a="1"/>
  <c r="M292" i="12" s="1"/>
  <c r="I370" i="12" a="1"/>
  <c r="I370" i="12" s="1"/>
  <c r="I404" i="12" a="1"/>
  <c r="I404" i="12" s="1"/>
  <c r="L275" i="12" a="1"/>
  <c r="L275" i="12" s="1"/>
  <c r="L325" i="12" a="1"/>
  <c r="L325" i="12" s="1"/>
  <c r="I330" i="12" a="1"/>
  <c r="I330" i="12" s="1"/>
  <c r="L286" i="12" a="1"/>
  <c r="L286" i="12" s="1"/>
  <c r="I231" i="12" a="1"/>
  <c r="I231" i="12" s="1"/>
  <c r="I166" i="12" a="1"/>
  <c r="I166" i="12" s="1"/>
  <c r="M117" i="12" a="1"/>
  <c r="M117" i="12" s="1"/>
  <c r="M261" i="12" a="1"/>
  <c r="M261" i="12" s="1"/>
  <c r="N261" i="12" s="1"/>
  <c r="M244" i="12" a="1"/>
  <c r="M244" i="12" s="1"/>
  <c r="I394" i="12" a="1"/>
  <c r="I394" i="12" s="1"/>
  <c r="I268" i="12" a="1"/>
  <c r="I268" i="12" s="1"/>
  <c r="L351" i="12" a="1"/>
  <c r="L351" i="12" s="1"/>
  <c r="N351" i="12" s="1"/>
  <c r="L380" i="12" a="1"/>
  <c r="L380" i="12" s="1"/>
  <c r="I403" i="12" a="1"/>
  <c r="I403" i="12" s="1"/>
  <c r="I266" i="12" a="1"/>
  <c r="I266" i="12" s="1"/>
  <c r="L234" i="12" a="1"/>
  <c r="L234" i="12" s="1"/>
  <c r="I255" i="12" a="1"/>
  <c r="I255" i="12" s="1"/>
  <c r="I183" i="12" a="1"/>
  <c r="I183" i="12" s="1"/>
  <c r="L137" i="12" a="1"/>
  <c r="L137" i="12" s="1"/>
  <c r="M341" i="12" a="1"/>
  <c r="M341" i="12" s="1"/>
  <c r="N341" i="12" s="1"/>
  <c r="M384" i="12" a="1"/>
  <c r="M384" i="12" s="1"/>
  <c r="N384" i="12" s="1"/>
  <c r="M171" i="12" a="1"/>
  <c r="M171" i="12" s="1"/>
  <c r="N171" i="12" s="1"/>
  <c r="I170" i="12" a="1"/>
  <c r="I170" i="12" s="1"/>
  <c r="L140" i="12" a="1"/>
  <c r="L140" i="12" s="1"/>
  <c r="N140" i="12" s="1"/>
  <c r="L111" i="12" a="1"/>
  <c r="L111" i="12" s="1"/>
  <c r="N111" i="12" s="1"/>
  <c r="M194" i="12" a="1"/>
  <c r="M194" i="12" s="1"/>
  <c r="N194" i="12" s="1"/>
  <c r="M321" i="12" a="1"/>
  <c r="M321" i="12" s="1"/>
  <c r="N321" i="12" s="1"/>
  <c r="M396" i="12" a="1"/>
  <c r="M396" i="12" s="1"/>
  <c r="M156" i="12" a="1"/>
  <c r="M156" i="12" s="1"/>
  <c r="M231" i="12" a="1"/>
  <c r="M231" i="12" s="1"/>
  <c r="N231" i="12" s="1"/>
  <c r="M101" i="12" a="1"/>
  <c r="M101" i="12" s="1"/>
  <c r="M368" i="12" a="1"/>
  <c r="M368" i="12" s="1"/>
  <c r="M176" i="12" a="1"/>
  <c r="M176" i="12" s="1"/>
  <c r="M251" i="12" a="1"/>
  <c r="M251" i="12" s="1"/>
  <c r="L175" i="12" a="1"/>
  <c r="L175" i="12" s="1"/>
  <c r="I271" i="12" a="1"/>
  <c r="I271" i="12" s="1"/>
  <c r="I197" i="12" a="1"/>
  <c r="I197" i="12" s="1"/>
  <c r="I178" i="12" a="1"/>
  <c r="I178" i="12" s="1"/>
  <c r="L148" i="12" a="1"/>
  <c r="L148" i="12" s="1"/>
  <c r="N148" i="12" s="1"/>
  <c r="L115" i="12" a="1"/>
  <c r="L115" i="12" s="1"/>
  <c r="M218" i="12" a="1"/>
  <c r="M218" i="12" s="1"/>
  <c r="M329" i="12" a="1"/>
  <c r="M329" i="12" s="1"/>
  <c r="M404" i="12" a="1"/>
  <c r="M404" i="12" s="1"/>
  <c r="M164" i="12" a="1"/>
  <c r="M164" i="12" s="1"/>
  <c r="M239" i="12" a="1"/>
  <c r="M239" i="12" s="1"/>
  <c r="N239" i="12" s="1"/>
  <c r="L342" i="12" a="1"/>
  <c r="L342" i="12" s="1"/>
  <c r="N342" i="12" s="1"/>
  <c r="I201" i="12" a="1"/>
  <c r="I201" i="12" s="1"/>
  <c r="I281" i="12" a="1"/>
  <c r="I281" i="12" s="1"/>
  <c r="L209" i="12" a="1"/>
  <c r="L209" i="12" s="1"/>
  <c r="I190" i="12" a="1"/>
  <c r="I190" i="12" s="1"/>
  <c r="I157" i="12" a="1"/>
  <c r="I157" i="12" s="1"/>
  <c r="I105" i="12" a="1"/>
  <c r="I105" i="12" s="1"/>
  <c r="M278" i="12" a="1"/>
  <c r="M278" i="12" s="1"/>
  <c r="M349" i="12" a="1"/>
  <c r="M349" i="12" s="1"/>
  <c r="N349" i="12" s="1"/>
  <c r="M304" i="12" a="1"/>
  <c r="M304" i="12" s="1"/>
  <c r="M226" i="12" a="1"/>
  <c r="M226" i="12" s="1"/>
  <c r="M235" i="12" a="1"/>
  <c r="M235" i="12" s="1"/>
  <c r="M109" i="12" a="1"/>
  <c r="M109" i="12" s="1"/>
  <c r="N109" i="12" s="1"/>
  <c r="M328" i="12" a="1"/>
  <c r="M328" i="12" s="1"/>
  <c r="M184" i="12" a="1"/>
  <c r="M184" i="12" s="1"/>
  <c r="N184" i="12" s="1"/>
  <c r="M294" i="12" a="1"/>
  <c r="M294" i="12" s="1"/>
  <c r="M403" i="12" a="1"/>
  <c r="M403" i="12" s="1"/>
  <c r="M259" i="12" a="1"/>
  <c r="M259" i="12" s="1"/>
  <c r="M115" i="12" a="1"/>
  <c r="M115" i="12" s="1"/>
  <c r="M211" i="12" a="1"/>
  <c r="M211" i="12" s="1"/>
  <c r="L358" i="12" a="1"/>
  <c r="L358" i="12" s="1"/>
  <c r="L412" i="12" a="1"/>
  <c r="L412" i="12" s="1"/>
  <c r="L297" i="12" a="1"/>
  <c r="L297" i="12" s="1"/>
  <c r="I383" i="12" a="1"/>
  <c r="I383" i="12" s="1"/>
  <c r="I251" i="12" a="1"/>
  <c r="I251" i="12" s="1"/>
  <c r="L266" i="12" a="1"/>
  <c r="L266" i="12" s="1"/>
  <c r="I303" i="12" a="1"/>
  <c r="I303" i="12" s="1"/>
  <c r="L225" i="12" a="1"/>
  <c r="L225" i="12" s="1"/>
  <c r="L192" i="12" a="1"/>
  <c r="L192" i="12" s="1"/>
  <c r="N192" i="12" s="1"/>
  <c r="I113" i="12" a="1"/>
  <c r="I113" i="12" s="1"/>
  <c r="M174" i="12" a="1"/>
  <c r="M174" i="12" s="1"/>
  <c r="N174" i="12" s="1"/>
  <c r="M363" i="12" a="1"/>
  <c r="M363" i="12" s="1"/>
  <c r="M172" i="12" a="1"/>
  <c r="M172" i="12" s="1"/>
  <c r="M247" i="12" a="1"/>
  <c r="M247" i="12" s="1"/>
  <c r="L395" i="12" a="1"/>
  <c r="L395" i="12" s="1"/>
  <c r="I400" i="12" a="1"/>
  <c r="I400" i="12" s="1"/>
  <c r="L381" i="12" a="1"/>
  <c r="L381" i="12" s="1"/>
  <c r="L155" i="12" a="1"/>
  <c r="L155" i="12" s="1"/>
  <c r="N155" i="12" s="1"/>
  <c r="L368" i="12" a="1"/>
  <c r="L368" i="12" s="1"/>
  <c r="L224" i="12" a="1"/>
  <c r="L224" i="12" s="1"/>
  <c r="I367" i="12" a="1"/>
  <c r="I367" i="12" s="1"/>
  <c r="I237" i="12" a="1"/>
  <c r="I237" i="12" s="1"/>
  <c r="L284" i="12" a="1"/>
  <c r="L284" i="12" s="1"/>
  <c r="I347" i="12" a="1"/>
  <c r="I347" i="12" s="1"/>
  <c r="I227" i="12" a="1"/>
  <c r="I227" i="12" s="1"/>
  <c r="L169" i="12" a="1"/>
  <c r="L169" i="12" s="1"/>
  <c r="N169" i="12" s="1"/>
  <c r="L158" i="12" a="1"/>
  <c r="L158" i="12" s="1"/>
  <c r="N158" i="12" s="1"/>
  <c r="L121" i="12" a="1"/>
  <c r="L121" i="12" s="1"/>
  <c r="M114" i="12" a="1"/>
  <c r="M114" i="12" s="1"/>
  <c r="M197" i="12" a="1"/>
  <c r="M197" i="12" s="1"/>
  <c r="M312" i="12" a="1"/>
  <c r="M312" i="12" s="1"/>
  <c r="M387" i="12" a="1"/>
  <c r="M387" i="12" s="1"/>
  <c r="I240" i="12" a="1"/>
  <c r="I240" i="12" s="1"/>
  <c r="L146" i="12" a="1"/>
  <c r="L146" i="12" s="1"/>
  <c r="N146" i="12" s="1"/>
  <c r="L102" i="12" a="1"/>
  <c r="L102" i="12" s="1"/>
  <c r="N102" i="12" s="1"/>
  <c r="I123" i="12" a="1"/>
  <c r="I123" i="12" s="1"/>
  <c r="I138" i="12" a="1"/>
  <c r="I138" i="12" s="1"/>
  <c r="M406" i="12" a="1"/>
  <c r="M406" i="12" s="1"/>
  <c r="M297" i="12" a="1"/>
  <c r="M297" i="12" s="1"/>
  <c r="M153" i="12" a="1"/>
  <c r="M153" i="12" s="1"/>
  <c r="M210" i="12" a="1"/>
  <c r="M210" i="12" s="1"/>
  <c r="M372" i="12" a="1"/>
  <c r="M372" i="12" s="1"/>
  <c r="M228" i="12" a="1"/>
  <c r="M228" i="12" s="1"/>
  <c r="M303" i="12" a="1"/>
  <c r="M303" i="12" s="1"/>
  <c r="M159" i="12" a="1"/>
  <c r="M159" i="12" s="1"/>
  <c r="N159" i="12" s="1"/>
  <c r="M422" i="12" a="1"/>
  <c r="M422" i="12" s="1"/>
  <c r="N422" i="12" s="1"/>
  <c r="M296" i="12" a="1"/>
  <c r="M296" i="12" s="1"/>
  <c r="N296" i="12" s="1"/>
  <c r="M152" i="12" a="1"/>
  <c r="M152" i="12" s="1"/>
  <c r="M202" i="12" a="1"/>
  <c r="M202" i="12" s="1"/>
  <c r="M371" i="12" a="1"/>
  <c r="M371" i="12" s="1"/>
  <c r="M227" i="12" a="1"/>
  <c r="M227" i="12" s="1"/>
  <c r="I331" i="12" a="1"/>
  <c r="I331" i="12" s="1"/>
  <c r="I259" i="12" a="1"/>
  <c r="I259" i="12" s="1"/>
  <c r="L235" i="12" a="1"/>
  <c r="L235" i="12" s="1"/>
  <c r="I140" i="12" a="1"/>
  <c r="I140" i="12" s="1"/>
  <c r="I154" i="12" a="1"/>
  <c r="I154" i="12" s="1"/>
  <c r="L118" i="12" a="1"/>
  <c r="L118" i="12" s="1"/>
  <c r="N118" i="12" s="1"/>
  <c r="L128" i="12" a="1"/>
  <c r="L128" i="12" s="1"/>
  <c r="L103" i="12" a="1"/>
  <c r="L103" i="12" s="1"/>
  <c r="M305" i="12" a="1"/>
  <c r="M305" i="12" s="1"/>
  <c r="M161" i="12" a="1"/>
  <c r="M161" i="12" s="1"/>
  <c r="M234" i="12" a="1"/>
  <c r="M234" i="12" s="1"/>
  <c r="M380" i="12" a="1"/>
  <c r="M380" i="12" s="1"/>
  <c r="N380" i="12" s="1"/>
  <c r="M236" i="12" a="1"/>
  <c r="M236" i="12" s="1"/>
  <c r="M311" i="12" a="1"/>
  <c r="M311" i="12" s="1"/>
  <c r="M167" i="12" a="1"/>
  <c r="M167" i="12" s="1"/>
  <c r="L330" i="12" a="1"/>
  <c r="L330" i="12" s="1"/>
  <c r="N330" i="12" s="1"/>
  <c r="L258" i="12" a="1"/>
  <c r="L258" i="12" s="1"/>
  <c r="I341" i="12" a="1"/>
  <c r="I341" i="12" s="1"/>
  <c r="I269" i="12" a="1"/>
  <c r="I269" i="12" s="1"/>
  <c r="L245" i="12" a="1"/>
  <c r="L245" i="12" s="1"/>
  <c r="N245" i="12" s="1"/>
  <c r="L157" i="12" a="1"/>
  <c r="L157" i="12" s="1"/>
  <c r="I174" i="12" a="1"/>
  <c r="I174" i="12" s="1"/>
  <c r="I146" i="12" a="1"/>
  <c r="I146" i="12" s="1"/>
  <c r="I141" i="12" a="1"/>
  <c r="I141" i="12" s="1"/>
  <c r="L113" i="12" a="1"/>
  <c r="L113" i="12" s="1"/>
  <c r="N113" i="12" s="1"/>
  <c r="M325" i="12" a="1"/>
  <c r="M325" i="12" s="1"/>
  <c r="M181" i="12" a="1"/>
  <c r="M181" i="12" s="1"/>
  <c r="M302" i="12" a="1"/>
  <c r="M302" i="12" s="1"/>
  <c r="M400" i="12" a="1"/>
  <c r="M400" i="12" s="1"/>
  <c r="M256" i="12" a="1"/>
  <c r="M256" i="12" s="1"/>
  <c r="M112" i="12" a="1"/>
  <c r="M112" i="12" s="1"/>
  <c r="M331" i="12" a="1"/>
  <c r="M331" i="12" s="1"/>
  <c r="N331" i="12" s="1"/>
  <c r="M187" i="12" a="1"/>
  <c r="M187" i="12" s="1"/>
  <c r="L229" i="12" a="1"/>
  <c r="L229" i="12" s="1"/>
  <c r="L202" i="12" a="1"/>
  <c r="L202" i="12" s="1"/>
  <c r="I121" i="12" a="1"/>
  <c r="I121" i="12" s="1"/>
  <c r="M326" i="12" a="1"/>
  <c r="M326" i="12" s="1"/>
  <c r="M411" i="12" a="1"/>
  <c r="M411" i="12" s="1"/>
  <c r="N411" i="12" s="1"/>
  <c r="L289" i="12" a="1"/>
  <c r="L289" i="12" s="1"/>
  <c r="N289" i="12" s="1"/>
  <c r="L278" i="12" a="1"/>
  <c r="L278" i="12" s="1"/>
  <c r="N278" i="12" s="1"/>
  <c r="L180" i="12" a="1"/>
  <c r="L180" i="12" s="1"/>
  <c r="N180" i="12" s="1"/>
  <c r="I412" i="12" a="1"/>
  <c r="I412" i="12" s="1"/>
  <c r="I241" i="12" a="1"/>
  <c r="I241" i="12" s="1"/>
  <c r="L181" i="12" a="1"/>
  <c r="L181" i="12" s="1"/>
  <c r="I386" i="12" a="1"/>
  <c r="I386" i="12" s="1"/>
  <c r="I336" i="12" a="1"/>
  <c r="I336" i="12" s="1"/>
  <c r="L389" i="12" a="1"/>
  <c r="L389" i="12" s="1"/>
  <c r="L228" i="12" a="1"/>
  <c r="L228" i="12" s="1"/>
  <c r="L329" i="12" a="1"/>
  <c r="L329" i="12" s="1"/>
  <c r="I399" i="12" a="1"/>
  <c r="I399" i="12" s="1"/>
  <c r="I278" i="12" a="1"/>
  <c r="I278" i="12" s="1"/>
  <c r="L288" i="12" a="1"/>
  <c r="L288" i="12" s="1"/>
  <c r="I333" i="12" a="1"/>
  <c r="I333" i="12" s="1"/>
  <c r="L249" i="12" a="1"/>
  <c r="L249" i="12" s="1"/>
  <c r="N249" i="12" s="1"/>
  <c r="L179" i="12" a="1"/>
  <c r="L179" i="12" s="1"/>
  <c r="L147" i="12" a="1"/>
  <c r="L147" i="12" s="1"/>
  <c r="M170" i="12" a="1"/>
  <c r="M170" i="12" s="1"/>
  <c r="M121" i="12" a="1"/>
  <c r="M121" i="12" s="1"/>
  <c r="M110" i="12" a="1"/>
  <c r="M110" i="12" s="1"/>
  <c r="L399" i="12" a="1"/>
  <c r="L399" i="12" s="1"/>
  <c r="N399" i="12" s="1"/>
  <c r="I372" i="12" a="1"/>
  <c r="I372" i="12" s="1"/>
  <c r="L287" i="12" a="1"/>
  <c r="L287" i="12" s="1"/>
  <c r="L398" i="12" a="1"/>
  <c r="L398" i="12" s="1"/>
  <c r="L269" i="12" a="1"/>
  <c r="L269" i="12" s="1"/>
  <c r="N269" i="12" s="1"/>
  <c r="I369" i="12" a="1"/>
  <c r="I369" i="12" s="1"/>
  <c r="I160" i="12" a="1"/>
  <c r="I160" i="12" s="1"/>
  <c r="L250" i="12" a="1"/>
  <c r="L250" i="12" s="1"/>
  <c r="N250" i="12" s="1"/>
  <c r="I285" i="12" a="1"/>
  <c r="I285" i="12" s="1"/>
  <c r="I204" i="12" a="1"/>
  <c r="I204" i="12" s="1"/>
  <c r="L166" i="12" a="1"/>
  <c r="L166" i="12" s="1"/>
  <c r="I134" i="12" a="1"/>
  <c r="I134" i="12" s="1"/>
  <c r="M381" i="12" a="1"/>
  <c r="M381" i="12" s="1"/>
  <c r="M408" i="12" a="1"/>
  <c r="M408" i="12" s="1"/>
  <c r="M267" i="12" a="1"/>
  <c r="M267" i="12" s="1"/>
  <c r="N267" i="12" s="1"/>
  <c r="M258" i="12" a="1"/>
  <c r="M258" i="12" s="1"/>
  <c r="M100" i="12" a="1"/>
  <c r="M100" i="12" s="1"/>
  <c r="M175" i="12" a="1"/>
  <c r="M175" i="12" s="1"/>
  <c r="L371" i="12" a="1"/>
  <c r="L371" i="12" s="1"/>
  <c r="I376" i="12" a="1"/>
  <c r="I376" i="12" s="1"/>
  <c r="L359" i="12" a="1"/>
  <c r="L359" i="12" s="1"/>
  <c r="N359" i="12" s="1"/>
  <c r="L212" i="12" a="1"/>
  <c r="L212" i="12" s="1"/>
  <c r="L354" i="12" a="1"/>
  <c r="L354" i="12" s="1"/>
  <c r="I144" i="12" a="1"/>
  <c r="I144" i="12" s="1"/>
  <c r="L356" i="12" a="1"/>
  <c r="L356" i="12" s="1"/>
  <c r="I179" i="12" a="1"/>
  <c r="I179" i="12" s="1"/>
  <c r="L268" i="12" a="1"/>
  <c r="L268" i="12" s="1"/>
  <c r="I327" i="12" a="1"/>
  <c r="I327" i="12" s="1"/>
  <c r="I186" i="12" a="1"/>
  <c r="I186" i="12" s="1"/>
  <c r="I238" i="12" a="1"/>
  <c r="I238" i="12" s="1"/>
  <c r="I177" i="12" a="1"/>
  <c r="I177" i="12" s="1"/>
  <c r="I136" i="12" a="1"/>
  <c r="I136" i="12" s="1"/>
  <c r="M149" i="12" a="1"/>
  <c r="M149" i="12" s="1"/>
  <c r="M240" i="12" a="1"/>
  <c r="M240" i="12" s="1"/>
  <c r="N240" i="12" s="1"/>
  <c r="M315" i="12" a="1"/>
  <c r="M315" i="12" s="1"/>
  <c r="N315" i="12" s="1"/>
  <c r="I228" i="12" a="1"/>
  <c r="I228" i="12" s="1"/>
  <c r="L196" i="12" a="1"/>
  <c r="L196" i="12" s="1"/>
  <c r="N196" i="12" s="1"/>
  <c r="I167" i="12" a="1"/>
  <c r="I167" i="12" s="1"/>
  <c r="L100" i="12" a="1"/>
  <c r="L100" i="12" s="1"/>
  <c r="I126" i="12" a="1"/>
  <c r="I126" i="12" s="1"/>
  <c r="M334" i="12" a="1"/>
  <c r="M334" i="12" s="1"/>
  <c r="N334" i="12" s="1"/>
  <c r="M417" i="12" a="1"/>
  <c r="M417" i="12" s="1"/>
  <c r="M273" i="12" a="1"/>
  <c r="M273" i="12" s="1"/>
  <c r="M129" i="12" a="1"/>
  <c r="M129" i="12" s="1"/>
  <c r="M138" i="12" a="1"/>
  <c r="M138" i="12" s="1"/>
  <c r="M348" i="12" a="1"/>
  <c r="M348" i="12" s="1"/>
  <c r="N348" i="12" s="1"/>
  <c r="M204" i="12" a="1"/>
  <c r="M204" i="12" s="1"/>
  <c r="M354" i="12" a="1"/>
  <c r="M354" i="12" s="1"/>
  <c r="M423" i="12" a="1"/>
  <c r="M423" i="12" s="1"/>
  <c r="M279" i="12" a="1"/>
  <c r="M279" i="12" s="1"/>
  <c r="N279" i="12" s="1"/>
  <c r="M135" i="12" a="1"/>
  <c r="M135" i="12" s="1"/>
  <c r="M350" i="12" a="1"/>
  <c r="M350" i="12" s="1"/>
  <c r="M416" i="12" a="1"/>
  <c r="M416" i="12" s="1"/>
  <c r="M272" i="12" a="1"/>
  <c r="M272" i="12" s="1"/>
  <c r="M128" i="12" a="1"/>
  <c r="M128" i="12" s="1"/>
  <c r="M122" i="12" a="1"/>
  <c r="M122" i="12" s="1"/>
  <c r="M347" i="12" a="1"/>
  <c r="M347" i="12" s="1"/>
  <c r="M203" i="12" a="1"/>
  <c r="M203" i="12" s="1"/>
  <c r="M103" i="12" a="1"/>
  <c r="M103" i="12" s="1"/>
  <c r="I319" i="12" a="1"/>
  <c r="I319" i="12" s="1"/>
  <c r="L244" i="12" a="1"/>
  <c r="L244" i="12" s="1"/>
  <c r="L223" i="12" a="1"/>
  <c r="L223" i="12" s="1"/>
  <c r="N223" i="12" s="1"/>
  <c r="I232" i="12" a="1"/>
  <c r="I232" i="12" s="1"/>
  <c r="L200" i="12" a="1"/>
  <c r="L200" i="12" s="1"/>
  <c r="I171" i="12" a="1"/>
  <c r="I171" i="12" s="1"/>
  <c r="L108" i="12" a="1"/>
  <c r="L108" i="12" s="1"/>
  <c r="N108" i="12" s="1"/>
  <c r="I130" i="12" a="1"/>
  <c r="I130" i="12" s="1"/>
  <c r="M358" i="12" a="1"/>
  <c r="M358" i="12" s="1"/>
  <c r="M281" i="12" a="1"/>
  <c r="M281" i="12" s="1"/>
  <c r="M137" i="12" a="1"/>
  <c r="M137" i="12" s="1"/>
  <c r="M162" i="12" a="1"/>
  <c r="M162" i="12" s="1"/>
  <c r="M356" i="12" a="1"/>
  <c r="M356" i="12" s="1"/>
  <c r="M212" i="12" a="1"/>
  <c r="M212" i="12" s="1"/>
  <c r="M378" i="12" a="1"/>
  <c r="M378" i="12" s="1"/>
  <c r="M287" i="12" a="1"/>
  <c r="M287" i="12" s="1"/>
  <c r="N287" i="12" s="1"/>
  <c r="M143" i="12" a="1"/>
  <c r="M143" i="12" s="1"/>
  <c r="N143" i="12" s="1"/>
  <c r="L318" i="12" a="1"/>
  <c r="L318" i="12" s="1"/>
  <c r="N318" i="12" s="1"/>
  <c r="I245" i="12" a="1"/>
  <c r="I245" i="12" s="1"/>
  <c r="I329" i="12" a="1"/>
  <c r="I329" i="12" s="1"/>
  <c r="I257" i="12" a="1"/>
  <c r="I257" i="12" s="1"/>
  <c r="L233" i="12" a="1"/>
  <c r="L233" i="12" s="1"/>
  <c r="L114" i="12" a="1"/>
  <c r="L114" i="12" s="1"/>
  <c r="L152" i="12" a="1"/>
  <c r="L152" i="12" s="1"/>
  <c r="N152" i="12" s="1"/>
  <c r="L110" i="12" a="1"/>
  <c r="L110" i="12" s="1"/>
  <c r="N110" i="12" s="1"/>
  <c r="L127" i="12" a="1"/>
  <c r="L127" i="12" s="1"/>
  <c r="L101" i="12" a="1"/>
  <c r="L101" i="12" s="1"/>
  <c r="N101" i="12" s="1"/>
  <c r="M418" i="12" a="1"/>
  <c r="M418" i="12" s="1"/>
  <c r="N418" i="12" s="1"/>
  <c r="M301" i="12" a="1"/>
  <c r="M301" i="12" s="1"/>
  <c r="N301" i="12" s="1"/>
  <c r="M157" i="12" a="1"/>
  <c r="M157" i="12" s="1"/>
  <c r="M222" i="12" a="1"/>
  <c r="M222" i="12" s="1"/>
  <c r="M376" i="12" a="1"/>
  <c r="M376" i="12" s="1"/>
  <c r="M232" i="12" a="1"/>
  <c r="M232" i="12" s="1"/>
  <c r="M307" i="12" a="1"/>
  <c r="M307" i="12" s="1"/>
  <c r="M163" i="12" a="1"/>
  <c r="M163" i="12" s="1"/>
  <c r="M139" i="12" a="1"/>
  <c r="M139" i="12" s="1"/>
  <c r="N139" i="12" s="1"/>
  <c r="N141" i="12"/>
  <c r="N390" i="12"/>
  <c r="N383" i="12"/>
  <c r="N117" i="12"/>
  <c r="N363" i="12"/>
  <c r="N419" i="12"/>
  <c r="N226" i="12"/>
  <c r="N375" i="12"/>
  <c r="N336" i="12"/>
  <c r="N308" i="12"/>
  <c r="N317" i="12"/>
  <c r="N362" i="12"/>
  <c r="N125" i="12"/>
  <c r="N316" i="12"/>
  <c r="N293" i="12"/>
  <c r="J2" i="4"/>
  <c r="N2" i="4"/>
  <c r="N306" i="12"/>
  <c r="N266" i="12"/>
  <c r="N243" i="12"/>
  <c r="N286" i="12"/>
  <c r="N183" i="12"/>
  <c r="N396" i="12"/>
  <c r="AD27" i="4"/>
  <c r="AD40" i="4"/>
  <c r="Q2" i="4"/>
  <c r="R2" i="4" s="1" a="1"/>
  <c r="R2" i="4" s="1"/>
  <c r="T2" i="4" s="1" a="1"/>
  <c r="T2" i="4" s="1"/>
  <c r="O2" i="4" a="1"/>
  <c r="O2" i="4" s="1"/>
  <c r="AD4" i="4"/>
  <c r="AD7" i="4"/>
  <c r="AD6" i="4"/>
  <c r="AD9" i="4"/>
  <c r="AD3" i="4"/>
  <c r="V29" i="4"/>
  <c r="V33" i="4"/>
  <c r="V37" i="4"/>
  <c r="AD37" i="4" s="1"/>
  <c r="V41" i="4"/>
  <c r="AD41" i="4" s="1"/>
  <c r="V45" i="4"/>
  <c r="V49" i="4"/>
  <c r="V53" i="4"/>
  <c r="V57" i="4"/>
  <c r="V61" i="4"/>
  <c r="V65" i="4"/>
  <c r="V69" i="4"/>
  <c r="V73" i="4"/>
  <c r="V77" i="4"/>
  <c r="V81" i="4"/>
  <c r="V85" i="4"/>
  <c r="V89" i="4"/>
  <c r="V93" i="4"/>
  <c r="V97" i="4"/>
  <c r="V101" i="4"/>
  <c r="AD101" i="4" s="1"/>
  <c r="V105" i="4"/>
  <c r="AD105" i="4" s="1"/>
  <c r="V109" i="4"/>
  <c r="V113" i="4"/>
  <c r="AD113" i="4" s="1"/>
  <c r="V117" i="4"/>
  <c r="AD117" i="4" s="1"/>
  <c r="V121" i="4"/>
  <c r="AD121" i="4" s="1"/>
  <c r="V125" i="4"/>
  <c r="AD125" i="4" s="1"/>
  <c r="V129" i="4"/>
  <c r="AD129" i="4" s="1"/>
  <c r="V133" i="4"/>
  <c r="AD133" i="4" s="1"/>
  <c r="V137" i="4"/>
  <c r="AD137" i="4" s="1"/>
  <c r="V26" i="4"/>
  <c r="AD26" i="4" s="1"/>
  <c r="V31" i="4"/>
  <c r="AD31" i="4" s="1"/>
  <c r="V36" i="4"/>
  <c r="AD36" i="4" s="1"/>
  <c r="V42" i="4"/>
  <c r="AD42" i="4" s="1"/>
  <c r="V47" i="4"/>
  <c r="V52" i="4"/>
  <c r="V58" i="4"/>
  <c r="V63" i="4"/>
  <c r="V68" i="4"/>
  <c r="V74" i="4"/>
  <c r="V79" i="4"/>
  <c r="V84" i="4"/>
  <c r="V90" i="4"/>
  <c r="V95" i="4"/>
  <c r="V100" i="4"/>
  <c r="AD100" i="4" s="1"/>
  <c r="V106" i="4"/>
  <c r="AD106" i="4" s="1"/>
  <c r="V111" i="4"/>
  <c r="AD111" i="4" s="1"/>
  <c r="V116" i="4"/>
  <c r="AD116" i="4" s="1"/>
  <c r="V122" i="4"/>
  <c r="AD122" i="4" s="1"/>
  <c r="V127" i="4"/>
  <c r="AD127" i="4" s="1"/>
  <c r="V132" i="4"/>
  <c r="AD132" i="4" s="1"/>
  <c r="V138" i="4"/>
  <c r="AD138" i="4" s="1"/>
  <c r="V142" i="4"/>
  <c r="V146" i="4"/>
  <c r="AD146" i="4" s="1"/>
  <c r="V150" i="4"/>
  <c r="AD150" i="4" s="1"/>
  <c r="V30" i="4"/>
  <c r="AD30" i="4" s="1"/>
  <c r="V38" i="4"/>
  <c r="AD38" i="4" s="1"/>
  <c r="V44" i="4"/>
  <c r="V51" i="4"/>
  <c r="V59" i="4"/>
  <c r="V66" i="4"/>
  <c r="V72" i="4"/>
  <c r="V80" i="4"/>
  <c r="V87" i="4"/>
  <c r="V94" i="4"/>
  <c r="V102" i="4"/>
  <c r="AD102" i="4" s="1"/>
  <c r="V108" i="4"/>
  <c r="AD108" i="4" s="1"/>
  <c r="V115" i="4"/>
  <c r="V123" i="4"/>
  <c r="AD123" i="4" s="1"/>
  <c r="V130" i="4"/>
  <c r="AD130" i="4" s="1"/>
  <c r="V136" i="4"/>
  <c r="V143" i="4"/>
  <c r="AD143" i="4" s="1"/>
  <c r="V148" i="4"/>
  <c r="AD148" i="4" s="1"/>
  <c r="V28" i="4"/>
  <c r="V39" i="4"/>
  <c r="AD39" i="4" s="1"/>
  <c r="V48" i="4"/>
  <c r="V56" i="4"/>
  <c r="V67" i="4"/>
  <c r="V76" i="4"/>
  <c r="V86" i="4"/>
  <c r="V96" i="4"/>
  <c r="V104" i="4"/>
  <c r="AD104" i="4" s="1"/>
  <c r="V114" i="4"/>
  <c r="V124" i="4"/>
  <c r="AD124" i="4" s="1"/>
  <c r="V134" i="4"/>
  <c r="AD134" i="4" s="1"/>
  <c r="V141" i="4"/>
  <c r="AD141" i="4" s="1"/>
  <c r="V149" i="4"/>
  <c r="AD149" i="4" s="1"/>
  <c r="V34" i="4"/>
  <c r="AD34" i="4" s="1"/>
  <c r="V46" i="4"/>
  <c r="V60" i="4"/>
  <c r="V71" i="4"/>
  <c r="V83" i="4"/>
  <c r="V98" i="4"/>
  <c r="V110" i="4"/>
  <c r="AD110" i="4" s="1"/>
  <c r="V120" i="4"/>
  <c r="AD120" i="4" s="1"/>
  <c r="V135" i="4"/>
  <c r="AD135" i="4" s="1"/>
  <c r="V145" i="4"/>
  <c r="AD145" i="4" s="1"/>
  <c r="V35" i="4"/>
  <c r="AD35" i="4" s="1"/>
  <c r="V50" i="4"/>
  <c r="V62" i="4"/>
  <c r="V75" i="4"/>
  <c r="V88" i="4"/>
  <c r="V99" i="4"/>
  <c r="V112" i="4"/>
  <c r="AD112" i="4" s="1"/>
  <c r="V126" i="4"/>
  <c r="AD126" i="4" s="1"/>
  <c r="V139" i="4"/>
  <c r="V147" i="4"/>
  <c r="AD147" i="4" s="1"/>
  <c r="V43" i="4"/>
  <c r="V55" i="4"/>
  <c r="V82" i="4"/>
  <c r="V107" i="4"/>
  <c r="AD107" i="4" s="1"/>
  <c r="V131" i="4"/>
  <c r="AD131" i="4" s="1"/>
  <c r="V144" i="4"/>
  <c r="V32" i="4"/>
  <c r="AD32" i="4" s="1"/>
  <c r="V70" i="4"/>
  <c r="V92" i="4"/>
  <c r="V119" i="4"/>
  <c r="AD119" i="4" s="1"/>
  <c r="V12" i="4"/>
  <c r="AD12" i="4" s="1"/>
  <c r="V18" i="4"/>
  <c r="V24" i="4"/>
  <c r="V13" i="4"/>
  <c r="AD13" i="4" s="1"/>
  <c r="V19" i="4"/>
  <c r="V25" i="4"/>
  <c r="V14" i="4"/>
  <c r="V20" i="4"/>
  <c r="V15" i="4"/>
  <c r="AD15" i="4" s="1"/>
  <c r="V21" i="4"/>
  <c r="V10" i="4"/>
  <c r="V16" i="4"/>
  <c r="V22" i="4"/>
  <c r="AD22" i="4" s="1"/>
  <c r="V11" i="4"/>
  <c r="V17" i="4"/>
  <c r="AD17" i="4" s="1"/>
  <c r="V23" i="4"/>
  <c r="AD144" i="4"/>
  <c r="AD128" i="4"/>
  <c r="AD142" i="4"/>
  <c r="AD140" i="4"/>
  <c r="AD139" i="4"/>
  <c r="AD136" i="4"/>
  <c r="AD151" i="4"/>
  <c r="AD103" i="4"/>
  <c r="AD118" i="4"/>
  <c r="AD115" i="4"/>
  <c r="AD114" i="4"/>
  <c r="AD109" i="4"/>
  <c r="R8" i="4"/>
  <c r="T8" i="4" s="1" a="1"/>
  <c r="T8" i="4" s="1"/>
  <c r="U8" i="4" a="1"/>
  <c r="U8" i="4" s="1"/>
  <c r="R21" i="4"/>
  <c r="T21" i="4" s="1" a="1"/>
  <c r="T21" i="4" s="1"/>
  <c r="U21" i="4" a="1"/>
  <c r="U21" i="4" s="1"/>
  <c r="R33" i="4"/>
  <c r="T33" i="4" s="1" a="1"/>
  <c r="T33" i="4" s="1"/>
  <c r="U33" i="4" a="1"/>
  <c r="U33" i="4" s="1"/>
  <c r="R24" i="4" a="1"/>
  <c r="R24" i="4" s="1"/>
  <c r="T24" i="4" s="1" a="1"/>
  <c r="T24" i="4" s="1"/>
  <c r="R10" i="4" a="1"/>
  <c r="R10" i="4" s="1"/>
  <c r="T10" i="4" s="1" a="1"/>
  <c r="T10" i="4" s="1"/>
  <c r="R14" i="4" a="1"/>
  <c r="R14" i="4" s="1"/>
  <c r="T14" i="4" s="1" a="1"/>
  <c r="T14" i="4" s="1"/>
  <c r="R19" i="4" a="1"/>
  <c r="R19" i="4" s="1"/>
  <c r="T19" i="4" s="1" a="1"/>
  <c r="T19" i="4" s="1"/>
  <c r="R125" i="4" a="1"/>
  <c r="R93" i="4" a="1"/>
  <c r="R93" i="4" s="1"/>
  <c r="T93" i="4" s="1" a="1"/>
  <c r="T93" i="4" s="1"/>
  <c r="R61" i="4" a="1"/>
  <c r="R61" i="4" s="1"/>
  <c r="T61" i="4" s="1" a="1"/>
  <c r="T61" i="4" s="1"/>
  <c r="R130" i="4" a="1"/>
  <c r="R98" i="4" a="1"/>
  <c r="R98" i="4" s="1"/>
  <c r="T98" i="4" s="1" a="1"/>
  <c r="T98" i="4" s="1"/>
  <c r="R66" i="4" a="1"/>
  <c r="R66" i="4" s="1"/>
  <c r="T66" i="4" s="1" a="1"/>
  <c r="T66" i="4" s="1"/>
  <c r="R129" i="4" a="1"/>
  <c r="R97" i="4" a="1"/>
  <c r="R97" i="4" s="1"/>
  <c r="T97" i="4" s="1" a="1"/>
  <c r="T97" i="4" s="1"/>
  <c r="R65" i="4" a="1"/>
  <c r="R65" i="4" s="1"/>
  <c r="T65" i="4" s="1" a="1"/>
  <c r="T65" i="4" s="1"/>
  <c r="R149" i="4" a="1"/>
  <c r="R149" i="4" s="1"/>
  <c r="T149" i="4" s="1" a="1"/>
  <c r="T149" i="4" s="1"/>
  <c r="R118" i="4" a="1"/>
  <c r="R86" i="4" a="1"/>
  <c r="R86" i="4" s="1"/>
  <c r="T86" i="4" s="1" a="1"/>
  <c r="T86" i="4" s="1"/>
  <c r="AD86" i="4" s="1"/>
  <c r="R54" i="4" a="1"/>
  <c r="R54" i="4" s="1"/>
  <c r="T54" i="4" s="1" a="1"/>
  <c r="T54" i="4" s="1"/>
  <c r="AD54" i="4" s="1"/>
  <c r="R144" i="4" a="1"/>
  <c r="R144" i="4" s="1"/>
  <c r="T144" i="4" s="1" a="1"/>
  <c r="T144" i="4" s="1"/>
  <c r="R128" i="4" a="1"/>
  <c r="R128" i="4" s="1"/>
  <c r="T128" i="4" s="1" a="1"/>
  <c r="T128" i="4" s="1"/>
  <c r="R112" i="4" a="1"/>
  <c r="R112" i="4" s="1"/>
  <c r="T112" i="4" s="1" a="1"/>
  <c r="T112" i="4" s="1"/>
  <c r="R96" i="4" a="1"/>
  <c r="R96" i="4" s="1"/>
  <c r="T96" i="4" s="1" a="1"/>
  <c r="T96" i="4" s="1"/>
  <c r="R80" i="4" a="1"/>
  <c r="R80" i="4" s="1"/>
  <c r="T80" i="4" s="1" a="1"/>
  <c r="T80" i="4" s="1"/>
  <c r="R64" i="4" a="1"/>
  <c r="R64" i="4" s="1"/>
  <c r="T64" i="4" s="1" a="1"/>
  <c r="T64" i="4" s="1"/>
  <c r="AD64" i="4" s="1"/>
  <c r="R48" i="4" a="1"/>
  <c r="R48" i="4" s="1"/>
  <c r="T48" i="4" s="1" a="1"/>
  <c r="T48" i="4" s="1"/>
  <c r="R143" i="4" a="1"/>
  <c r="R143" i="4" s="1"/>
  <c r="T143" i="4" s="1" a="1"/>
  <c r="T143" i="4" s="1"/>
  <c r="R127" i="4" a="1"/>
  <c r="R127" i="4" s="1"/>
  <c r="T127" i="4" s="1" a="1"/>
  <c r="T127" i="4" s="1"/>
  <c r="R111" i="4" a="1"/>
  <c r="R111" i="4" s="1"/>
  <c r="T111" i="4" s="1" a="1"/>
  <c r="T111" i="4" s="1"/>
  <c r="R95" i="4" a="1"/>
  <c r="R79" i="4" a="1"/>
  <c r="R79" i="4" s="1"/>
  <c r="T79" i="4" s="1" a="1"/>
  <c r="T79" i="4" s="1"/>
  <c r="AD79" i="4" s="1"/>
  <c r="R63" i="4" a="1"/>
  <c r="R63" i="4" s="1"/>
  <c r="T63" i="4" s="1" a="1"/>
  <c r="T63" i="4" s="1"/>
  <c r="R47" i="4" a="1"/>
  <c r="R47" i="4" s="1"/>
  <c r="T47" i="4" s="1" a="1"/>
  <c r="T47" i="4" s="1"/>
  <c r="R5" i="4" a="1"/>
  <c r="R5" i="4" s="1"/>
  <c r="T5" i="4" s="1" a="1"/>
  <c r="T5" i="4" s="1"/>
  <c r="AD5" i="4" s="1"/>
  <c r="R11" i="4" a="1"/>
  <c r="R11" i="4" s="1"/>
  <c r="T11" i="4" s="1" a="1"/>
  <c r="T11" i="4" s="1"/>
  <c r="R16" i="4" a="1"/>
  <c r="R16" i="4" s="1"/>
  <c r="T16" i="4" s="1" a="1"/>
  <c r="T16" i="4" s="1"/>
  <c r="R20" i="4" a="1"/>
  <c r="R20" i="4" s="1"/>
  <c r="T20" i="4" s="1" a="1"/>
  <c r="T20" i="4" s="1"/>
  <c r="R25" i="4" a="1"/>
  <c r="R25" i="4" s="1"/>
  <c r="T25" i="4" s="1" a="1"/>
  <c r="T25" i="4" s="1"/>
  <c r="R147" i="4" a="1"/>
  <c r="R117" i="4" a="1"/>
  <c r="R117" i="4" s="1"/>
  <c r="T117" i="4" s="1" a="1"/>
  <c r="T117" i="4" s="1"/>
  <c r="R85" i="4" a="1"/>
  <c r="R85" i="4" s="1"/>
  <c r="T85" i="4" s="1" a="1"/>
  <c r="T85" i="4" s="1"/>
  <c r="R53" i="4" a="1"/>
  <c r="R53" i="4" s="1"/>
  <c r="T53" i="4" s="1" a="1"/>
  <c r="T53" i="4" s="1"/>
  <c r="R151" i="4" a="1"/>
  <c r="R151" i="4" s="1"/>
  <c r="T151" i="4" s="1" a="1"/>
  <c r="T151" i="4" s="1"/>
  <c r="R122" i="4" a="1"/>
  <c r="R122" i="4" s="1"/>
  <c r="T122" i="4" s="1" a="1"/>
  <c r="T122" i="4" s="1"/>
  <c r="R90" i="4" a="1"/>
  <c r="R90" i="4" s="1"/>
  <c r="T90" i="4" s="1" a="1"/>
  <c r="T90" i="4" s="1"/>
  <c r="R58" i="4" a="1"/>
  <c r="R58" i="4" s="1"/>
  <c r="T58" i="4" s="1" a="1"/>
  <c r="T58" i="4" s="1"/>
  <c r="R150" i="4" a="1"/>
  <c r="R121" i="4" a="1"/>
  <c r="R121" i="4" s="1"/>
  <c r="T121" i="4" s="1" a="1"/>
  <c r="T121" i="4" s="1"/>
  <c r="R89" i="4" a="1"/>
  <c r="R57" i="4" a="1"/>
  <c r="R142" i="4" a="1"/>
  <c r="R142" i="4" s="1"/>
  <c r="T142" i="4" s="1" a="1"/>
  <c r="T142" i="4" s="1"/>
  <c r="R110" i="4" a="1"/>
  <c r="R110" i="4" s="1"/>
  <c r="T110" i="4" s="1" a="1"/>
  <c r="T110" i="4" s="1"/>
  <c r="R78" i="4" a="1"/>
  <c r="R46" i="4" a="1"/>
  <c r="R46" i="4" s="1"/>
  <c r="T46" i="4" s="1" a="1"/>
  <c r="T46" i="4" s="1"/>
  <c r="AD46" i="4" s="1"/>
  <c r="R140" i="4" a="1"/>
  <c r="R140" i="4" s="1"/>
  <c r="T140" i="4" s="1" a="1"/>
  <c r="T140" i="4" s="1"/>
  <c r="R124" i="4" a="1"/>
  <c r="R124" i="4" s="1"/>
  <c r="T124" i="4" s="1" a="1"/>
  <c r="T124" i="4" s="1"/>
  <c r="R108" i="4" a="1"/>
  <c r="R108" i="4" s="1"/>
  <c r="T108" i="4" s="1" a="1"/>
  <c r="T108" i="4" s="1"/>
  <c r="R92" i="4" a="1"/>
  <c r="R92" i="4" s="1"/>
  <c r="T92" i="4" s="1" a="1"/>
  <c r="T92" i="4" s="1"/>
  <c r="R76" i="4" a="1"/>
  <c r="R76" i="4" s="1"/>
  <c r="T76" i="4" s="1" a="1"/>
  <c r="T76" i="4" s="1"/>
  <c r="R60" i="4" a="1"/>
  <c r="R44" i="4" a="1"/>
  <c r="R44" i="4" s="1"/>
  <c r="T44" i="4" s="1" a="1"/>
  <c r="T44" i="4" s="1"/>
  <c r="R139" i="4" a="1"/>
  <c r="R139" i="4" s="1"/>
  <c r="T139" i="4" s="1" a="1"/>
  <c r="T139" i="4" s="1"/>
  <c r="R123" i="4" a="1"/>
  <c r="R123" i="4" s="1"/>
  <c r="T123" i="4" s="1" a="1"/>
  <c r="T123" i="4" s="1"/>
  <c r="R107" i="4" a="1"/>
  <c r="R107" i="4" s="1"/>
  <c r="T107" i="4" s="1" a="1"/>
  <c r="T107" i="4" s="1"/>
  <c r="R91" i="4" a="1"/>
  <c r="R91" i="4" s="1"/>
  <c r="T91" i="4" s="1" a="1"/>
  <c r="T91" i="4" s="1"/>
  <c r="AD91" i="4" s="1"/>
  <c r="R75" i="4" a="1"/>
  <c r="R75" i="4" s="1"/>
  <c r="T75" i="4" s="1" a="1"/>
  <c r="T75" i="4" s="1"/>
  <c r="R59" i="4" a="1"/>
  <c r="R59" i="4" s="1"/>
  <c r="T59" i="4" s="1" a="1"/>
  <c r="T59" i="4" s="1"/>
  <c r="AD59" i="4" s="1"/>
  <c r="R43" i="4" a="1"/>
  <c r="R43" i="4" s="1"/>
  <c r="T43" i="4" s="1" a="1"/>
  <c r="T43" i="4" s="1"/>
  <c r="R141" i="4" a="1"/>
  <c r="R109" i="4" a="1"/>
  <c r="R109" i="4" s="1"/>
  <c r="T109" i="4" s="1" a="1"/>
  <c r="T109" i="4" s="1"/>
  <c r="R77" i="4" a="1"/>
  <c r="R77" i="4" s="1"/>
  <c r="T77" i="4" s="1" a="1"/>
  <c r="T77" i="4" s="1"/>
  <c r="R45" i="4" a="1"/>
  <c r="R45" i="4" s="1"/>
  <c r="T45" i="4" s="1" a="1"/>
  <c r="T45" i="4" s="1"/>
  <c r="R146" i="4" a="1"/>
  <c r="R146" i="4" s="1"/>
  <c r="T146" i="4" s="1" a="1"/>
  <c r="T146" i="4" s="1"/>
  <c r="R114" i="4" a="1"/>
  <c r="R114" i="4" s="1"/>
  <c r="T114" i="4" s="1" a="1"/>
  <c r="T114" i="4" s="1"/>
  <c r="R82" i="4" a="1"/>
  <c r="R50" i="4" a="1"/>
  <c r="R145" i="4" a="1"/>
  <c r="R145" i="4" s="1"/>
  <c r="T145" i="4" s="1" a="1"/>
  <c r="T145" i="4" s="1"/>
  <c r="R113" i="4" a="1"/>
  <c r="R113" i="4" s="1"/>
  <c r="T113" i="4" s="1" a="1"/>
  <c r="T113" i="4" s="1"/>
  <c r="R81" i="4" a="1"/>
  <c r="R81" i="4" s="1"/>
  <c r="T81" i="4" s="1" a="1"/>
  <c r="T81" i="4" s="1"/>
  <c r="R49" i="4" a="1"/>
  <c r="R134" i="4" a="1"/>
  <c r="R134" i="4" s="1"/>
  <c r="T134" i="4" s="1" a="1"/>
  <c r="T134" i="4" s="1"/>
  <c r="R102" i="4" a="1"/>
  <c r="R102" i="4" s="1"/>
  <c r="T102" i="4" s="1" a="1"/>
  <c r="T102" i="4" s="1"/>
  <c r="R70" i="4" a="1"/>
  <c r="R70" i="4" s="1"/>
  <c r="T70" i="4" s="1" a="1"/>
  <c r="T70" i="4" s="1"/>
  <c r="R136" i="4" a="1"/>
  <c r="R136" i="4" s="1"/>
  <c r="T136" i="4" s="1" a="1"/>
  <c r="T136" i="4" s="1"/>
  <c r="R120" i="4" a="1"/>
  <c r="R120" i="4" s="1"/>
  <c r="T120" i="4" s="1" a="1"/>
  <c r="T120" i="4" s="1"/>
  <c r="R104" i="4" a="1"/>
  <c r="R104" i="4" s="1"/>
  <c r="T104" i="4" s="1" a="1"/>
  <c r="T104" i="4" s="1"/>
  <c r="R88" i="4" a="1"/>
  <c r="R88" i="4" s="1"/>
  <c r="T88" i="4" s="1" a="1"/>
  <c r="T88" i="4" s="1"/>
  <c r="R72" i="4" a="1"/>
  <c r="R72" i="4" s="1"/>
  <c r="T72" i="4" s="1" a="1"/>
  <c r="T72" i="4" s="1"/>
  <c r="R56" i="4" a="1"/>
  <c r="R56" i="4" s="1"/>
  <c r="T56" i="4" s="1" a="1"/>
  <c r="T56" i="4" s="1"/>
  <c r="R135" i="4" a="1"/>
  <c r="R135" i="4" s="1"/>
  <c r="T135" i="4" s="1" a="1"/>
  <c r="T135" i="4" s="1"/>
  <c r="R119" i="4" a="1"/>
  <c r="R103" i="4" a="1"/>
  <c r="R103" i="4" s="1"/>
  <c r="T103" i="4" s="1" a="1"/>
  <c r="T103" i="4" s="1"/>
  <c r="R87" i="4" a="1"/>
  <c r="R87" i="4" s="1"/>
  <c r="T87" i="4" s="1" a="1"/>
  <c r="T87" i="4" s="1"/>
  <c r="AD87" i="4" s="1"/>
  <c r="R71" i="4" a="1"/>
  <c r="R71" i="4" s="1"/>
  <c r="T71" i="4" s="1" a="1"/>
  <c r="T71" i="4" s="1"/>
  <c r="R55" i="4" a="1"/>
  <c r="R55" i="4" s="1"/>
  <c r="T55" i="4" s="1" a="1"/>
  <c r="T55" i="4" s="1"/>
  <c r="R18" i="4" a="1"/>
  <c r="R23" i="4" a="1"/>
  <c r="R23" i="4" s="1"/>
  <c r="T23" i="4" s="1" a="1"/>
  <c r="T23" i="4" s="1"/>
  <c r="R29" i="4" a="1"/>
  <c r="R28" i="4" a="1"/>
  <c r="R28" i="4" s="1"/>
  <c r="T28" i="4" s="1" a="1"/>
  <c r="T28" i="4" s="1"/>
  <c r="R133" i="4" a="1"/>
  <c r="R133" i="4" s="1"/>
  <c r="T133" i="4" s="1" a="1"/>
  <c r="T133" i="4" s="1"/>
  <c r="R101" i="4" a="1"/>
  <c r="R101" i="4" s="1"/>
  <c r="T101" i="4" s="1" a="1"/>
  <c r="T101" i="4" s="1"/>
  <c r="R69" i="4" a="1"/>
  <c r="R138" i="4" a="1"/>
  <c r="R138" i="4" s="1"/>
  <c r="T138" i="4" s="1" a="1"/>
  <c r="T138" i="4" s="1"/>
  <c r="R106" i="4" a="1"/>
  <c r="R106" i="4" s="1"/>
  <c r="T106" i="4" s="1" a="1"/>
  <c r="T106" i="4" s="1"/>
  <c r="R74" i="4" a="1"/>
  <c r="R74" i="4" s="1"/>
  <c r="T74" i="4" s="1" a="1"/>
  <c r="T74" i="4" s="1"/>
  <c r="AD74" i="4" s="1"/>
  <c r="R137" i="4" a="1"/>
  <c r="R137" i="4" s="1"/>
  <c r="T137" i="4" s="1" a="1"/>
  <c r="T137" i="4" s="1"/>
  <c r="R105" i="4" a="1"/>
  <c r="R73" i="4" a="1"/>
  <c r="R73" i="4" s="1"/>
  <c r="T73" i="4" s="1" a="1"/>
  <c r="T73" i="4" s="1"/>
  <c r="R126" i="4" a="1"/>
  <c r="R126" i="4" s="1"/>
  <c r="T126" i="4" s="1" a="1"/>
  <c r="T126" i="4" s="1"/>
  <c r="R94" i="4" a="1"/>
  <c r="R94" i="4" s="1"/>
  <c r="T94" i="4" s="1" a="1"/>
  <c r="T94" i="4" s="1"/>
  <c r="AD94" i="4" s="1"/>
  <c r="R62" i="4" a="1"/>
  <c r="R62" i="4" s="1"/>
  <c r="T62" i="4" s="1" a="1"/>
  <c r="T62" i="4" s="1"/>
  <c r="R148" i="4" a="1"/>
  <c r="R148" i="4" s="1"/>
  <c r="T148" i="4" s="1" a="1"/>
  <c r="T148" i="4" s="1"/>
  <c r="R132" i="4" a="1"/>
  <c r="R132" i="4" s="1"/>
  <c r="T132" i="4" s="1" a="1"/>
  <c r="T132" i="4" s="1"/>
  <c r="R116" i="4" a="1"/>
  <c r="R116" i="4" s="1"/>
  <c r="T116" i="4" s="1" a="1"/>
  <c r="T116" i="4" s="1"/>
  <c r="R100" i="4" a="1"/>
  <c r="R100" i="4" s="1"/>
  <c r="T100" i="4" s="1" a="1"/>
  <c r="T100" i="4" s="1"/>
  <c r="R84" i="4" a="1"/>
  <c r="R84" i="4" s="1"/>
  <c r="T84" i="4" s="1" a="1"/>
  <c r="T84" i="4" s="1"/>
  <c r="R68" i="4" a="1"/>
  <c r="R52" i="4" a="1"/>
  <c r="R131" i="4" a="1"/>
  <c r="R131" i="4" s="1"/>
  <c r="T131" i="4" s="1" a="1"/>
  <c r="T131" i="4" s="1"/>
  <c r="R115" i="4" a="1"/>
  <c r="R115" i="4" s="1"/>
  <c r="T115" i="4" s="1" a="1"/>
  <c r="T115" i="4" s="1"/>
  <c r="R99" i="4" a="1"/>
  <c r="R99" i="4" s="1"/>
  <c r="T99" i="4" s="1" a="1"/>
  <c r="T99" i="4" s="1"/>
  <c r="AD99" i="4" s="1"/>
  <c r="R83" i="4" a="1"/>
  <c r="R83" i="4" s="1"/>
  <c r="T83" i="4" s="1" a="1"/>
  <c r="T83" i="4" s="1"/>
  <c r="R67" i="4" a="1"/>
  <c r="R67" i="4" s="1"/>
  <c r="T67" i="4" s="1" a="1"/>
  <c r="T67" i="4" s="1"/>
  <c r="R51" i="4" a="1"/>
  <c r="R51" i="4" s="1"/>
  <c r="T51" i="4" s="1" a="1"/>
  <c r="T51" i="4" s="1"/>
  <c r="D111" i="8"/>
  <c r="G111" i="8" s="1"/>
  <c r="C111" i="8"/>
  <c r="F111" i="8" s="1"/>
  <c r="E111" i="8"/>
  <c r="H111" i="8" s="1"/>
  <c r="E130" i="8"/>
  <c r="H130" i="8" s="1"/>
  <c r="C130" i="8"/>
  <c r="F130" i="8" s="1"/>
  <c r="D130" i="8"/>
  <c r="G130" i="8" s="1"/>
  <c r="C121" i="8"/>
  <c r="F121" i="8" s="1"/>
  <c r="D121" i="8"/>
  <c r="G121" i="8" s="1"/>
  <c r="E121" i="8"/>
  <c r="H121" i="8" s="1"/>
  <c r="C141" i="8"/>
  <c r="F141" i="8" s="1"/>
  <c r="D141" i="8"/>
  <c r="G141" i="8" s="1"/>
  <c r="E141" i="8"/>
  <c r="H141" i="8" s="1"/>
  <c r="D119" i="8"/>
  <c r="G119" i="8" s="1"/>
  <c r="C119" i="8"/>
  <c r="F119" i="8" s="1"/>
  <c r="E119" i="8"/>
  <c r="H119" i="8" s="1"/>
  <c r="C129" i="8"/>
  <c r="F129" i="8" s="1"/>
  <c r="D129" i="8"/>
  <c r="G129" i="8" s="1"/>
  <c r="E129" i="8"/>
  <c r="H129" i="8" s="1"/>
  <c r="C133" i="8"/>
  <c r="F133" i="8" s="1"/>
  <c r="D133" i="8"/>
  <c r="G133" i="8" s="1"/>
  <c r="E133" i="8"/>
  <c r="H133" i="8" s="1"/>
  <c r="D123" i="8"/>
  <c r="G123" i="8" s="1"/>
  <c r="C123" i="8"/>
  <c r="F123" i="8" s="1"/>
  <c r="E123" i="8"/>
  <c r="H123" i="8" s="1"/>
  <c r="D112" i="8"/>
  <c r="G112" i="8" s="1"/>
  <c r="E112" i="8"/>
  <c r="H112" i="8" s="1"/>
  <c r="C112" i="8"/>
  <c r="F112" i="8" s="1"/>
  <c r="C137" i="8"/>
  <c r="F137" i="8" s="1"/>
  <c r="D137" i="8"/>
  <c r="G137" i="8" s="1"/>
  <c r="E137" i="8"/>
  <c r="H137" i="8" s="1"/>
  <c r="E110" i="8"/>
  <c r="H110" i="8" s="1"/>
  <c r="C110" i="8"/>
  <c r="F110" i="8" s="1"/>
  <c r="D110" i="8"/>
  <c r="G110" i="8" s="1"/>
  <c r="D151" i="8"/>
  <c r="G151" i="8" s="1"/>
  <c r="E151" i="8"/>
  <c r="H151" i="8" s="1"/>
  <c r="C151" i="8"/>
  <c r="F151" i="8" s="1"/>
  <c r="D148" i="8"/>
  <c r="G148" i="8" s="1"/>
  <c r="E148" i="8"/>
  <c r="H148" i="8" s="1"/>
  <c r="C148" i="8"/>
  <c r="F148" i="8" s="1"/>
  <c r="E114" i="8"/>
  <c r="H114" i="8" s="1"/>
  <c r="C114" i="8"/>
  <c r="F114" i="8" s="1"/>
  <c r="D114" i="8"/>
  <c r="G114" i="8" s="1"/>
  <c r="E138" i="8"/>
  <c r="H138" i="8" s="1"/>
  <c r="C138" i="8"/>
  <c r="F138" i="8" s="1"/>
  <c r="D138" i="8"/>
  <c r="G138" i="8" s="1"/>
  <c r="D116" i="8"/>
  <c r="G116" i="8" s="1"/>
  <c r="E116" i="8"/>
  <c r="H116" i="8" s="1"/>
  <c r="C116" i="8"/>
  <c r="F116" i="8" s="1"/>
  <c r="E122" i="8"/>
  <c r="H122" i="8" s="1"/>
  <c r="C122" i="8"/>
  <c r="F122" i="8" s="1"/>
  <c r="D122" i="8"/>
  <c r="G122" i="8" s="1"/>
  <c r="D131" i="8"/>
  <c r="G131" i="8" s="1"/>
  <c r="C131" i="8"/>
  <c r="F131" i="8" s="1"/>
  <c r="E131" i="8"/>
  <c r="H131" i="8" s="1"/>
  <c r="D120" i="8"/>
  <c r="G120" i="8" s="1"/>
  <c r="E120" i="8"/>
  <c r="H120" i="8" s="1"/>
  <c r="C120" i="8"/>
  <c r="F120" i="8" s="1"/>
  <c r="E106" i="8"/>
  <c r="H106" i="8" s="1"/>
  <c r="C106" i="8"/>
  <c r="F106" i="8" s="1"/>
  <c r="D106" i="8"/>
  <c r="G106" i="8" s="1"/>
  <c r="E134" i="8"/>
  <c r="H134" i="8" s="1"/>
  <c r="C134" i="8"/>
  <c r="F134" i="8" s="1"/>
  <c r="D134" i="8"/>
  <c r="G134" i="8" s="1"/>
  <c r="C109" i="8"/>
  <c r="F109" i="8" s="1"/>
  <c r="D109" i="8"/>
  <c r="G109" i="8" s="1"/>
  <c r="E109" i="8"/>
  <c r="H109" i="8" s="1"/>
  <c r="E146" i="8"/>
  <c r="H146" i="8" s="1"/>
  <c r="C146" i="8"/>
  <c r="F146" i="8" s="1"/>
  <c r="D146" i="8"/>
  <c r="G146" i="8" s="1"/>
  <c r="D149" i="8"/>
  <c r="G149" i="8" s="1"/>
  <c r="E149" i="8"/>
  <c r="H149" i="8" s="1"/>
  <c r="C149" i="8"/>
  <c r="F149" i="8" s="1"/>
  <c r="D144" i="8"/>
  <c r="G144" i="8" s="1"/>
  <c r="E144" i="8"/>
  <c r="H144" i="8" s="1"/>
  <c r="C144" i="8"/>
  <c r="F144" i="8" s="1"/>
  <c r="D108" i="8"/>
  <c r="G108" i="8" s="1"/>
  <c r="E108" i="8"/>
  <c r="H108" i="8" s="1"/>
  <c r="C108" i="8"/>
  <c r="F108" i="8" s="1"/>
  <c r="D135" i="8"/>
  <c r="G135" i="8" s="1"/>
  <c r="C135" i="8"/>
  <c r="F135" i="8" s="1"/>
  <c r="E135" i="8"/>
  <c r="H135" i="8" s="1"/>
  <c r="C145" i="8"/>
  <c r="F145" i="8" s="1"/>
  <c r="D145" i="8"/>
  <c r="G145" i="8" s="1"/>
  <c r="E145" i="8"/>
  <c r="H145" i="8" s="1"/>
  <c r="C113" i="8"/>
  <c r="F113" i="8" s="1"/>
  <c r="D113" i="8"/>
  <c r="G113" i="8" s="1"/>
  <c r="E113" i="8"/>
  <c r="H113" i="8" s="1"/>
  <c r="D128" i="8"/>
  <c r="G128" i="8" s="1"/>
  <c r="E128" i="8"/>
  <c r="H128" i="8" s="1"/>
  <c r="C128" i="8"/>
  <c r="F128" i="8" s="1"/>
  <c r="C117" i="8"/>
  <c r="F117" i="8" s="1"/>
  <c r="D117" i="8"/>
  <c r="G117" i="8" s="1"/>
  <c r="E117" i="8"/>
  <c r="H117" i="8" s="1"/>
  <c r="C105" i="8"/>
  <c r="F105" i="8" s="1"/>
  <c r="D105" i="8"/>
  <c r="G105" i="8" s="1"/>
  <c r="E105" i="8"/>
  <c r="H105" i="8" s="1"/>
  <c r="E147" i="8"/>
  <c r="H147" i="8" s="1"/>
  <c r="C147" i="8"/>
  <c r="F147" i="8" s="1"/>
  <c r="D147" i="8"/>
  <c r="G147" i="8" s="1"/>
  <c r="E126" i="8"/>
  <c r="H126" i="8" s="1"/>
  <c r="C126" i="8"/>
  <c r="F126" i="8" s="1"/>
  <c r="D126" i="8"/>
  <c r="G126" i="8" s="1"/>
  <c r="D107" i="8"/>
  <c r="G107" i="8" s="1"/>
  <c r="C107" i="8"/>
  <c r="F107" i="8" s="1"/>
  <c r="E107" i="8"/>
  <c r="H107" i="8" s="1"/>
  <c r="D124" i="8"/>
  <c r="G124" i="8" s="1"/>
  <c r="E124" i="8"/>
  <c r="H124" i="8" s="1"/>
  <c r="C124" i="8"/>
  <c r="F124" i="8" s="1"/>
  <c r="E142" i="8"/>
  <c r="H142" i="8" s="1"/>
  <c r="C142" i="8"/>
  <c r="F142" i="8" s="1"/>
  <c r="D142" i="8"/>
  <c r="G142" i="8" s="1"/>
  <c r="D127" i="8"/>
  <c r="G127" i="8" s="1"/>
  <c r="C127" i="8"/>
  <c r="F127" i="8" s="1"/>
  <c r="E127" i="8"/>
  <c r="H127" i="8" s="1"/>
  <c r="D139" i="8"/>
  <c r="G139" i="8" s="1"/>
  <c r="C139" i="8"/>
  <c r="F139" i="8" s="1"/>
  <c r="E139" i="8"/>
  <c r="H139" i="8" s="1"/>
  <c r="E150" i="8"/>
  <c r="H150" i="8" s="1"/>
  <c r="C150" i="8"/>
  <c r="F150" i="8" s="1"/>
  <c r="D150" i="8"/>
  <c r="G150" i="8" s="1"/>
  <c r="D132" i="8"/>
  <c r="G132" i="8" s="1"/>
  <c r="E132" i="8"/>
  <c r="H132" i="8" s="1"/>
  <c r="C132" i="8"/>
  <c r="F132" i="8" s="1"/>
  <c r="D143" i="8"/>
  <c r="G143" i="8" s="1"/>
  <c r="C143" i="8"/>
  <c r="F143" i="8" s="1"/>
  <c r="E143" i="8"/>
  <c r="H143" i="8" s="1"/>
  <c r="D136" i="8"/>
  <c r="G136" i="8" s="1"/>
  <c r="E136" i="8"/>
  <c r="H136" i="8" s="1"/>
  <c r="C136" i="8"/>
  <c r="F136" i="8" s="1"/>
  <c r="C125" i="8"/>
  <c r="F125" i="8" s="1"/>
  <c r="D125" i="8"/>
  <c r="G125" i="8" s="1"/>
  <c r="E125" i="8"/>
  <c r="H125" i="8" s="1"/>
  <c r="D115" i="8"/>
  <c r="G115" i="8" s="1"/>
  <c r="C115" i="8"/>
  <c r="F115" i="8" s="1"/>
  <c r="E115" i="8"/>
  <c r="H115" i="8" s="1"/>
  <c r="E104" i="8"/>
  <c r="H104" i="8" s="1"/>
  <c r="D104" i="8"/>
  <c r="G104" i="8" s="1"/>
  <c r="C104" i="8"/>
  <c r="F104" i="8" s="1"/>
  <c r="D140" i="8"/>
  <c r="G140" i="8" s="1"/>
  <c r="E140" i="8"/>
  <c r="H140" i="8" s="1"/>
  <c r="C140" i="8"/>
  <c r="F140" i="8" s="1"/>
  <c r="E118" i="8"/>
  <c r="H118" i="8" s="1"/>
  <c r="C118" i="8"/>
  <c r="F118" i="8" s="1"/>
  <c r="D118" i="8"/>
  <c r="G118" i="8" s="1"/>
  <c r="U31" i="1"/>
  <c r="H25" i="1"/>
  <c r="H22" i="1"/>
  <c r="H21" i="1"/>
  <c r="H28" i="1"/>
  <c r="V2" i="4" a="1"/>
  <c r="H9" i="1"/>
  <c r="H6" i="1"/>
  <c r="H3" i="1"/>
  <c r="H10" i="1"/>
  <c r="H81" i="1"/>
  <c r="K2" i="4"/>
  <c r="L2" i="4" s="1" a="1"/>
  <c r="L2" i="4" s="1"/>
  <c r="M2" i="4" s="1"/>
  <c r="F5" i="8"/>
  <c r="D5" i="8"/>
  <c r="G5" i="8" s="1"/>
  <c r="E5" i="8"/>
  <c r="H5" i="8" s="1"/>
  <c r="F99" i="8"/>
  <c r="D99" i="8"/>
  <c r="G99" i="8" s="1"/>
  <c r="E99" i="8"/>
  <c r="H99" i="8" s="1"/>
  <c r="D102" i="8"/>
  <c r="G102" i="8" s="1"/>
  <c r="F102" i="8"/>
  <c r="E102" i="8"/>
  <c r="H102" i="8" s="1"/>
  <c r="F69" i="8"/>
  <c r="E69" i="8"/>
  <c r="H69" i="8" s="1"/>
  <c r="D69" i="8"/>
  <c r="G69" i="8" s="1"/>
  <c r="F62" i="8"/>
  <c r="D62" i="8"/>
  <c r="G62" i="8" s="1"/>
  <c r="E62" i="8"/>
  <c r="H62" i="8" s="1"/>
  <c r="D98" i="8"/>
  <c r="G98" i="8" s="1"/>
  <c r="E98" i="8"/>
  <c r="H98" i="8" s="1"/>
  <c r="F98" i="8"/>
  <c r="F14" i="8"/>
  <c r="D14" i="8"/>
  <c r="G14" i="8" s="1"/>
  <c r="E14" i="8"/>
  <c r="H14" i="8" s="1"/>
  <c r="D66" i="8"/>
  <c r="G66" i="8" s="1"/>
  <c r="F66" i="8"/>
  <c r="E66" i="8"/>
  <c r="H66" i="8" s="1"/>
  <c r="E87" i="8"/>
  <c r="H87" i="8" s="1"/>
  <c r="F87" i="8"/>
  <c r="D87" i="8"/>
  <c r="G87" i="8" s="1"/>
  <c r="E63" i="8"/>
  <c r="H63" i="8" s="1"/>
  <c r="F63" i="8"/>
  <c r="D63" i="8"/>
  <c r="G63" i="8" s="1"/>
  <c r="D89" i="8"/>
  <c r="G89" i="8" s="1"/>
  <c r="E89" i="8"/>
  <c r="H89" i="8" s="1"/>
  <c r="F89" i="8"/>
  <c r="F65" i="8"/>
  <c r="D65" i="8"/>
  <c r="G65" i="8" s="1"/>
  <c r="E65" i="8"/>
  <c r="H65" i="8" s="1"/>
  <c r="A2" i="8"/>
  <c r="F37" i="8"/>
  <c r="D37" i="8"/>
  <c r="G37" i="8" s="1"/>
  <c r="E37" i="8"/>
  <c r="H37" i="8" s="1"/>
  <c r="F28" i="8"/>
  <c r="D28" i="8"/>
  <c r="G28" i="8" s="1"/>
  <c r="E28" i="8"/>
  <c r="H28" i="8" s="1"/>
  <c r="D60" i="8"/>
  <c r="G60" i="8" s="1"/>
  <c r="E60" i="8"/>
  <c r="H60" i="8" s="1"/>
  <c r="F60" i="8"/>
  <c r="E2" i="4"/>
  <c r="F2" i="4" s="1"/>
  <c r="D18" i="8"/>
  <c r="G18" i="8" s="1"/>
  <c r="F18" i="8"/>
  <c r="E18" i="8"/>
  <c r="H18" i="8" s="1"/>
  <c r="F34" i="8"/>
  <c r="D34" i="8"/>
  <c r="G34" i="8" s="1"/>
  <c r="E34" i="8"/>
  <c r="H34" i="8" s="1"/>
  <c r="F40" i="8"/>
  <c r="D40" i="8"/>
  <c r="G40" i="8" s="1"/>
  <c r="E40" i="8"/>
  <c r="H40" i="8" s="1"/>
  <c r="E39" i="8"/>
  <c r="H39" i="8" s="1"/>
  <c r="F39" i="8"/>
  <c r="D39" i="8"/>
  <c r="G39" i="8" s="1"/>
  <c r="F20" i="8"/>
  <c r="D20" i="8"/>
  <c r="G20" i="8" s="1"/>
  <c r="E20" i="8"/>
  <c r="H20" i="8" s="1"/>
  <c r="F52" i="8"/>
  <c r="D52" i="8"/>
  <c r="G52" i="8" s="1"/>
  <c r="E52" i="8"/>
  <c r="H52" i="8" s="1"/>
  <c r="D54" i="8"/>
  <c r="G54" i="8" s="1"/>
  <c r="F54" i="8"/>
  <c r="E54" i="8"/>
  <c r="H54" i="8" s="1"/>
  <c r="F32" i="8"/>
  <c r="D32" i="8"/>
  <c r="G32" i="8" s="1"/>
  <c r="E32" i="8"/>
  <c r="H32" i="8" s="1"/>
  <c r="F9" i="8"/>
  <c r="E9" i="8"/>
  <c r="H9" i="8" s="1"/>
  <c r="D9" i="8"/>
  <c r="G9" i="8" s="1"/>
  <c r="F21" i="8"/>
  <c r="E21" i="8"/>
  <c r="H21" i="8" s="1"/>
  <c r="D21" i="8"/>
  <c r="G21" i="8" s="1"/>
  <c r="D82" i="8"/>
  <c r="G82" i="8" s="1"/>
  <c r="E82" i="8"/>
  <c r="H82" i="8" s="1"/>
  <c r="F82" i="8"/>
  <c r="F31" i="8"/>
  <c r="D31" i="8"/>
  <c r="G31" i="8" s="1"/>
  <c r="E31" i="8"/>
  <c r="H31" i="8" s="1"/>
  <c r="F80" i="8"/>
  <c r="D80" i="8"/>
  <c r="G80" i="8" s="1"/>
  <c r="E80" i="8"/>
  <c r="H80" i="8" s="1"/>
  <c r="F25" i="8"/>
  <c r="D25" i="8"/>
  <c r="G25" i="8" s="1"/>
  <c r="E25" i="8"/>
  <c r="H25" i="8" s="1"/>
  <c r="F22" i="8"/>
  <c r="D22" i="8"/>
  <c r="G22" i="8" s="1"/>
  <c r="E22" i="8"/>
  <c r="H22" i="8" s="1"/>
  <c r="F33" i="8"/>
  <c r="E33" i="8"/>
  <c r="H33" i="8" s="1"/>
  <c r="D33" i="8"/>
  <c r="G33" i="8" s="1"/>
  <c r="D92" i="8"/>
  <c r="G92" i="8" s="1"/>
  <c r="F92" i="8"/>
  <c r="E92" i="8"/>
  <c r="H92" i="8" s="1"/>
  <c r="F45" i="8"/>
  <c r="E45" i="8"/>
  <c r="H45" i="8" s="1"/>
  <c r="D45" i="8"/>
  <c r="G45" i="8" s="1"/>
  <c r="F47" i="8"/>
  <c r="D47" i="8"/>
  <c r="G47" i="8" s="1"/>
  <c r="E47" i="8"/>
  <c r="H47" i="8" s="1"/>
  <c r="F29" i="8"/>
  <c r="D29" i="8"/>
  <c r="G29" i="8" s="1"/>
  <c r="E29" i="8"/>
  <c r="H29" i="8" s="1"/>
  <c r="E3" i="8"/>
  <c r="H3" i="8" s="1"/>
  <c r="F3" i="8"/>
  <c r="D3" i="8"/>
  <c r="G3" i="8" s="1"/>
  <c r="F70" i="8"/>
  <c r="D70" i="8"/>
  <c r="G70" i="8" s="1"/>
  <c r="E70" i="8"/>
  <c r="H70" i="8" s="1"/>
  <c r="E74" i="8"/>
  <c r="H74" i="8" s="1"/>
  <c r="D74" i="8"/>
  <c r="G74" i="8" s="1"/>
  <c r="F74" i="8"/>
  <c r="F91" i="8"/>
  <c r="D91" i="8"/>
  <c r="G91" i="8" s="1"/>
  <c r="E91" i="8"/>
  <c r="H91" i="8" s="1"/>
  <c r="F67" i="8"/>
  <c r="D67" i="8"/>
  <c r="G67" i="8" s="1"/>
  <c r="E67" i="8"/>
  <c r="H67" i="8" s="1"/>
  <c r="D88" i="8"/>
  <c r="G88" i="8" s="1"/>
  <c r="F88" i="8"/>
  <c r="E88" i="8"/>
  <c r="H88" i="8" s="1"/>
  <c r="F56" i="8"/>
  <c r="D56" i="8"/>
  <c r="G56" i="8" s="1"/>
  <c r="E56" i="8"/>
  <c r="H56" i="8" s="1"/>
  <c r="F95" i="8"/>
  <c r="D95" i="8"/>
  <c r="G95" i="8" s="1"/>
  <c r="E95" i="8"/>
  <c r="H95" i="8" s="1"/>
  <c r="F64" i="8"/>
  <c r="D64" i="8"/>
  <c r="G64" i="8" s="1"/>
  <c r="E64" i="8"/>
  <c r="H64" i="8" s="1"/>
  <c r="D24" i="8"/>
  <c r="G24" i="8" s="1"/>
  <c r="E24" i="8"/>
  <c r="H24" i="8" s="1"/>
  <c r="F24" i="8"/>
  <c r="F84" i="8"/>
  <c r="D84" i="8"/>
  <c r="G84" i="8" s="1"/>
  <c r="E84" i="8"/>
  <c r="H84" i="8" s="1"/>
  <c r="D30" i="8"/>
  <c r="G30" i="8" s="1"/>
  <c r="F30" i="8"/>
  <c r="E30" i="8"/>
  <c r="H30" i="8" s="1"/>
  <c r="F44" i="8"/>
  <c r="D44" i="8"/>
  <c r="G44" i="8" s="1"/>
  <c r="E44" i="8"/>
  <c r="H44" i="8" s="1"/>
  <c r="F26" i="8"/>
  <c r="D26" i="8"/>
  <c r="G26" i="8" s="1"/>
  <c r="E26" i="8"/>
  <c r="H26" i="8" s="1"/>
  <c r="D96" i="8"/>
  <c r="G96" i="8" s="1"/>
  <c r="E96" i="8"/>
  <c r="H96" i="8" s="1"/>
  <c r="F96" i="8"/>
  <c r="F46" i="8"/>
  <c r="D46" i="8"/>
  <c r="G46" i="8" s="1"/>
  <c r="E46" i="8"/>
  <c r="H46" i="8" s="1"/>
  <c r="F17" i="8"/>
  <c r="D17" i="8"/>
  <c r="G17" i="8" s="1"/>
  <c r="E17" i="8"/>
  <c r="H17" i="8" s="1"/>
  <c r="D72" i="8"/>
  <c r="G72" i="8" s="1"/>
  <c r="E72" i="8"/>
  <c r="H72" i="8" s="1"/>
  <c r="F72" i="8"/>
  <c r="D48" i="8"/>
  <c r="G48" i="8" s="1"/>
  <c r="E48" i="8"/>
  <c r="H48" i="8" s="1"/>
  <c r="F48" i="8"/>
  <c r="F11" i="8"/>
  <c r="D11" i="8"/>
  <c r="G11" i="8" s="1"/>
  <c r="E11" i="8"/>
  <c r="H11" i="8" s="1"/>
  <c r="F76" i="8"/>
  <c r="D76" i="8"/>
  <c r="G76" i="8" s="1"/>
  <c r="E76" i="8"/>
  <c r="H76" i="8" s="1"/>
  <c r="F16" i="8"/>
  <c r="D16" i="8"/>
  <c r="G16" i="8" s="1"/>
  <c r="E16" i="8"/>
  <c r="H16" i="8" s="1"/>
  <c r="F41" i="8"/>
  <c r="D41" i="8"/>
  <c r="G41" i="8" s="1"/>
  <c r="E41" i="8"/>
  <c r="H41" i="8" s="1"/>
  <c r="F23" i="8"/>
  <c r="D23" i="8"/>
  <c r="G23" i="8" s="1"/>
  <c r="E23" i="8"/>
  <c r="H23" i="8" s="1"/>
  <c r="D42" i="8"/>
  <c r="G42" i="8" s="1"/>
  <c r="F42" i="8"/>
  <c r="E42" i="8"/>
  <c r="H42" i="8" s="1"/>
  <c r="F8" i="8"/>
  <c r="D8" i="8"/>
  <c r="G8" i="8" s="1"/>
  <c r="E8" i="8"/>
  <c r="H8" i="8" s="1"/>
  <c r="F58" i="8"/>
  <c r="D58" i="8"/>
  <c r="G58" i="8" s="1"/>
  <c r="E58" i="8"/>
  <c r="H58" i="8" s="1"/>
  <c r="D83" i="8"/>
  <c r="G83" i="8" s="1"/>
  <c r="F83" i="8"/>
  <c r="E83" i="8"/>
  <c r="H83" i="8" s="1"/>
  <c r="F59" i="8"/>
  <c r="D59" i="8"/>
  <c r="G59" i="8" s="1"/>
  <c r="E59" i="8"/>
  <c r="H59" i="8" s="1"/>
  <c r="F13" i="8"/>
  <c r="D13" i="8"/>
  <c r="G13" i="8" s="1"/>
  <c r="E13" i="8"/>
  <c r="H13" i="8" s="1"/>
  <c r="D85" i="8"/>
  <c r="G85" i="8" s="1"/>
  <c r="E85" i="8"/>
  <c r="H85" i="8" s="1"/>
  <c r="F85" i="8"/>
  <c r="F61" i="8"/>
  <c r="D61" i="8"/>
  <c r="G61" i="8" s="1"/>
  <c r="E61" i="8"/>
  <c r="H61" i="8" s="1"/>
  <c r="F101" i="8"/>
  <c r="D101" i="8"/>
  <c r="G101" i="8" s="1"/>
  <c r="E101" i="8"/>
  <c r="H101" i="8" s="1"/>
  <c r="D12" i="8"/>
  <c r="G12" i="8" s="1"/>
  <c r="E12" i="8"/>
  <c r="H12" i="8" s="1"/>
  <c r="F12" i="8"/>
  <c r="D6" i="8"/>
  <c r="G6" i="8" s="1"/>
  <c r="F6" i="8"/>
  <c r="E6" i="8"/>
  <c r="H6" i="8" s="1"/>
  <c r="D86" i="8"/>
  <c r="G86" i="8" s="1"/>
  <c r="E86" i="8"/>
  <c r="H86" i="8" s="1"/>
  <c r="F86" i="8"/>
  <c r="F68" i="8"/>
  <c r="D68" i="8"/>
  <c r="G68" i="8" s="1"/>
  <c r="E68" i="8"/>
  <c r="H68" i="8" s="1"/>
  <c r="F93" i="8"/>
  <c r="D93" i="8"/>
  <c r="G93" i="8" s="1"/>
  <c r="E93" i="8"/>
  <c r="H93" i="8" s="1"/>
  <c r="F38" i="8"/>
  <c r="D38" i="8"/>
  <c r="G38" i="8" s="1"/>
  <c r="E38" i="8"/>
  <c r="H38" i="8" s="1"/>
  <c r="F19" i="8"/>
  <c r="D19" i="8"/>
  <c r="G19" i="8" s="1"/>
  <c r="E19" i="8"/>
  <c r="H19" i="8" s="1"/>
  <c r="D36" i="8"/>
  <c r="G36" i="8" s="1"/>
  <c r="E36" i="8"/>
  <c r="H36" i="8" s="1"/>
  <c r="F36" i="8"/>
  <c r="D97" i="8"/>
  <c r="G97" i="8" s="1"/>
  <c r="E97" i="8"/>
  <c r="H97" i="8" s="1"/>
  <c r="F97" i="8"/>
  <c r="F50" i="8"/>
  <c r="D50" i="8"/>
  <c r="G50" i="8" s="1"/>
  <c r="E50" i="8"/>
  <c r="H50" i="8" s="1"/>
  <c r="F79" i="8"/>
  <c r="D79" i="8"/>
  <c r="G79" i="8" s="1"/>
  <c r="E79" i="8"/>
  <c r="H79" i="8" s="1"/>
  <c r="F55" i="8"/>
  <c r="D55" i="8"/>
  <c r="G55" i="8" s="1"/>
  <c r="E55" i="8"/>
  <c r="H55" i="8" s="1"/>
  <c r="F10" i="8"/>
  <c r="D10" i="8"/>
  <c r="G10" i="8" s="1"/>
  <c r="E10" i="8"/>
  <c r="H10" i="8" s="1"/>
  <c r="D81" i="8"/>
  <c r="G81" i="8" s="1"/>
  <c r="F81" i="8"/>
  <c r="E81" i="8"/>
  <c r="H81" i="8" s="1"/>
  <c r="F57" i="8"/>
  <c r="E57" i="8"/>
  <c r="H57" i="8" s="1"/>
  <c r="D57" i="8"/>
  <c r="G57" i="8" s="1"/>
  <c r="D94" i="8"/>
  <c r="G94" i="8" s="1"/>
  <c r="E94" i="8"/>
  <c r="H94" i="8" s="1"/>
  <c r="F94" i="8"/>
  <c r="E78" i="8"/>
  <c r="H78" i="8" s="1"/>
  <c r="F78" i="8"/>
  <c r="D78" i="8"/>
  <c r="G78" i="8" s="1"/>
  <c r="F35" i="8"/>
  <c r="D35" i="8"/>
  <c r="G35" i="8" s="1"/>
  <c r="E35" i="8"/>
  <c r="H35" i="8" s="1"/>
  <c r="E15" i="8"/>
  <c r="H15" i="8" s="1"/>
  <c r="F15" i="8"/>
  <c r="D15" i="8"/>
  <c r="G15" i="8" s="1"/>
  <c r="E27" i="8"/>
  <c r="H27" i="8" s="1"/>
  <c r="F27" i="8"/>
  <c r="D27" i="8"/>
  <c r="G27" i="8" s="1"/>
  <c r="D90" i="8"/>
  <c r="G90" i="8" s="1"/>
  <c r="E90" i="8"/>
  <c r="H90" i="8" s="1"/>
  <c r="F90" i="8"/>
  <c r="F75" i="8"/>
  <c r="D75" i="8"/>
  <c r="G75" i="8" s="1"/>
  <c r="E75" i="8"/>
  <c r="H75" i="8" s="1"/>
  <c r="E51" i="8"/>
  <c r="H51" i="8" s="1"/>
  <c r="F51" i="8"/>
  <c r="D51" i="8"/>
  <c r="G51" i="8" s="1"/>
  <c r="F7" i="8"/>
  <c r="D7" i="8"/>
  <c r="G7" i="8" s="1"/>
  <c r="E7" i="8"/>
  <c r="H7" i="8" s="1"/>
  <c r="F77" i="8"/>
  <c r="D77" i="8"/>
  <c r="G77" i="8" s="1"/>
  <c r="E77" i="8"/>
  <c r="H77" i="8" s="1"/>
  <c r="F53" i="8"/>
  <c r="D53" i="8"/>
  <c r="G53" i="8" s="1"/>
  <c r="E53" i="8"/>
  <c r="H53" i="8" s="1"/>
  <c r="F43" i="8"/>
  <c r="D43" i="8"/>
  <c r="G43" i="8" s="1"/>
  <c r="E43" i="8"/>
  <c r="H43" i="8" s="1"/>
  <c r="D100" i="8"/>
  <c r="G100" i="8" s="1"/>
  <c r="F100" i="8"/>
  <c r="E100" i="8"/>
  <c r="H100" i="8" s="1"/>
  <c r="F71" i="8"/>
  <c r="D71" i="8"/>
  <c r="G71" i="8" s="1"/>
  <c r="E71" i="8"/>
  <c r="H71" i="8" s="1"/>
  <c r="D103" i="8"/>
  <c r="G103" i="8" s="1"/>
  <c r="F103" i="8"/>
  <c r="E103" i="8"/>
  <c r="H103" i="8" s="1"/>
  <c r="F4" i="8"/>
  <c r="D4" i="8"/>
  <c r="G4" i="8" s="1"/>
  <c r="E4" i="8"/>
  <c r="H4" i="8" s="1"/>
  <c r="F73" i="8"/>
  <c r="D73" i="8"/>
  <c r="G73" i="8" s="1"/>
  <c r="E73" i="8"/>
  <c r="H73" i="8" s="1"/>
  <c r="F49" i="8"/>
  <c r="D49" i="8"/>
  <c r="G49" i="8" s="1"/>
  <c r="E49" i="8"/>
  <c r="H49" i="8" s="1"/>
  <c r="C2" i="4"/>
  <c r="D2" i="4" s="1"/>
  <c r="A2" i="4"/>
  <c r="N294" i="12" l="1"/>
  <c r="N386" i="12"/>
  <c r="N297" i="12"/>
  <c r="N344" i="12"/>
  <c r="N405" i="12"/>
  <c r="N177" i="12"/>
  <c r="N253" i="12"/>
  <c r="N300" i="12"/>
  <c r="N165" i="12"/>
  <c r="N201" i="12"/>
  <c r="N389" i="12"/>
  <c r="N412" i="12"/>
  <c r="N304" i="12"/>
  <c r="N209" i="12"/>
  <c r="N309" i="12"/>
  <c r="N338" i="12"/>
  <c r="N368" i="12"/>
  <c r="N187" i="12"/>
  <c r="N154" i="12"/>
  <c r="N292" i="12"/>
  <c r="N200" i="12"/>
  <c r="N112" i="12"/>
  <c r="N236" i="12"/>
  <c r="N248" i="12"/>
  <c r="N392" i="12"/>
  <c r="M48" i="1"/>
  <c r="M49" i="1"/>
  <c r="M50" i="1"/>
  <c r="M51" i="1"/>
  <c r="N126" i="12"/>
  <c r="N324" i="12"/>
  <c r="P2" i="4"/>
  <c r="N371" i="12"/>
  <c r="N354" i="12"/>
  <c r="N244" i="12"/>
  <c r="N114" i="12"/>
  <c r="N195" i="12"/>
  <c r="N268" i="12"/>
  <c r="N284" i="12"/>
  <c r="N395" i="12"/>
  <c r="N413" i="12"/>
  <c r="N228" i="12"/>
  <c r="N358" i="12"/>
  <c r="N329" i="12"/>
  <c r="N311" i="12"/>
  <c r="N346" i="12"/>
  <c r="N222" i="12"/>
  <c r="N160" i="12"/>
  <c r="N191" i="12"/>
  <c r="N225" i="12"/>
  <c r="N182" i="12"/>
  <c r="N259" i="12"/>
  <c r="N227" i="12"/>
  <c r="N370" i="12"/>
  <c r="N335" i="12"/>
  <c r="N407" i="12"/>
  <c r="N168" i="12"/>
  <c r="N421" i="12"/>
  <c r="N145" i="12"/>
  <c r="N193" i="12"/>
  <c r="N173" i="12"/>
  <c r="N382" i="12"/>
  <c r="N372" i="12"/>
  <c r="N178" i="12"/>
  <c r="N190" i="12"/>
  <c r="N313" i="12"/>
  <c r="N356" i="12"/>
  <c r="N234" i="12"/>
  <c r="N137" i="12"/>
  <c r="N398" i="12"/>
  <c r="N181" i="12"/>
  <c r="N235" i="12"/>
  <c r="N377" i="12"/>
  <c r="N127" i="12"/>
  <c r="N271" i="12"/>
  <c r="N285" i="12"/>
  <c r="N277" i="12"/>
  <c r="N241" i="12"/>
  <c r="N417" i="12"/>
  <c r="N272" i="12"/>
  <c r="N400" i="12"/>
  <c r="N274" i="12"/>
  <c r="N163" i="12"/>
  <c r="N302" i="12"/>
  <c r="N388" i="12"/>
  <c r="N385" i="12"/>
  <c r="N210" i="12"/>
  <c r="N130" i="12"/>
  <c r="N238" i="12"/>
  <c r="N120" i="12"/>
  <c r="N219" i="12"/>
  <c r="N135" i="12"/>
  <c r="N156" i="12"/>
  <c r="N212" i="12"/>
  <c r="N355" i="12"/>
  <c r="N379" i="12"/>
  <c r="N420" i="12"/>
  <c r="N337" i="12"/>
  <c r="N258" i="12"/>
  <c r="N260" i="12"/>
  <c r="N131" i="12"/>
  <c r="N157" i="12"/>
  <c r="N175" i="12"/>
  <c r="N403" i="12"/>
  <c r="N283" i="12"/>
  <c r="N233" i="12"/>
  <c r="N251" i="12"/>
  <c r="N205" i="12"/>
  <c r="N312" i="12"/>
  <c r="N378" i="12"/>
  <c r="N281" i="12"/>
  <c r="N327" i="12"/>
  <c r="N220" i="12"/>
  <c r="N288" i="12"/>
  <c r="N263" i="12"/>
  <c r="N319" i="12"/>
  <c r="N151" i="12"/>
  <c r="N214" i="12"/>
  <c r="N215" i="12"/>
  <c r="N136" i="12"/>
  <c r="N119" i="12"/>
  <c r="N360" i="12"/>
  <c r="N410" i="12"/>
  <c r="N406" i="12"/>
  <c r="N199" i="12"/>
  <c r="N364" i="12"/>
  <c r="N100" i="12"/>
  <c r="N149" i="12"/>
  <c r="N103" i="12"/>
  <c r="N381" i="12"/>
  <c r="N115" i="12"/>
  <c r="N162" i="12"/>
  <c r="N164" i="12"/>
  <c r="N198" i="12"/>
  <c r="N211" i="12"/>
  <c r="N255" i="12"/>
  <c r="N185" i="12"/>
  <c r="N340" i="12"/>
  <c r="N188" i="12"/>
  <c r="N408" i="12"/>
  <c r="N402" i="12"/>
  <c r="N206" i="12"/>
  <c r="N353" i="12"/>
  <c r="N129" i="12"/>
  <c r="N369" i="12"/>
  <c r="N254" i="12"/>
  <c r="N217" i="12"/>
  <c r="N116" i="12"/>
  <c r="N366" i="12"/>
  <c r="N128" i="12"/>
  <c r="N121" i="12"/>
  <c r="N291" i="12"/>
  <c r="N229" i="12"/>
  <c r="N172" i="12"/>
  <c r="N326" i="12"/>
  <c r="N357" i="12"/>
  <c r="N170" i="12"/>
  <c r="N416" i="12"/>
  <c r="N350" i="12"/>
  <c r="N218" i="12"/>
  <c r="N339" i="12"/>
  <c r="N167" i="12"/>
  <c r="N275" i="12"/>
  <c r="N333" i="12"/>
  <c r="N105" i="12"/>
  <c r="N328" i="12"/>
  <c r="N122" i="12"/>
  <c r="N265" i="12"/>
  <c r="N345" i="12"/>
  <c r="N325" i="12"/>
  <c r="N133" i="12"/>
  <c r="N142" i="12"/>
  <c r="N176" i="12"/>
  <c r="N147" i="12"/>
  <c r="N273" i="12"/>
  <c r="N404" i="12"/>
  <c r="N247" i="12"/>
  <c r="N307" i="12"/>
  <c r="N179" i="12"/>
  <c r="N107" i="12"/>
  <c r="N166" i="12"/>
  <c r="N320" i="12"/>
  <c r="N305" i="12"/>
  <c r="N203" i="12"/>
  <c r="N394" i="12"/>
  <c r="N387" i="12"/>
  <c r="N280" i="12"/>
  <c r="N204" i="12"/>
  <c r="N423" i="12"/>
  <c r="N202" i="12"/>
  <c r="N224" i="12"/>
  <c r="N347" i="12"/>
  <c r="N138" i="12"/>
  <c r="N161" i="12"/>
  <c r="N197" i="12"/>
  <c r="N153" i="12"/>
  <c r="N391" i="12"/>
  <c r="N207" i="12"/>
  <c r="N352" i="12"/>
  <c r="N232" i="12"/>
  <c r="N189" i="12"/>
  <c r="N256" i="12"/>
  <c r="N376" i="12"/>
  <c r="N257" i="12"/>
  <c r="N264" i="12"/>
  <c r="N295" i="12"/>
  <c r="N332" i="12"/>
  <c r="N303" i="12"/>
  <c r="N397" i="12"/>
  <c r="N276" i="12"/>
  <c r="N216" i="12"/>
  <c r="N213" i="12"/>
  <c r="N299" i="12"/>
  <c r="L6" i="1" a="1"/>
  <c r="L6" i="1" s="1"/>
  <c r="L226" i="1" a="1"/>
  <c r="L226" i="1" s="1"/>
  <c r="L298" i="1" a="1"/>
  <c r="L298" i="1" s="1"/>
  <c r="L343" i="1" a="1"/>
  <c r="L343" i="1" s="1"/>
  <c r="L33" i="1" a="1"/>
  <c r="L33" i="1" s="1"/>
  <c r="L325" i="1" a="1"/>
  <c r="L325" i="1" s="1"/>
  <c r="L65" i="1" a="1"/>
  <c r="L65" i="1" s="1"/>
  <c r="L269" i="1" a="1"/>
  <c r="L269" i="1" s="1"/>
  <c r="L307" i="1" a="1"/>
  <c r="L307" i="1" s="1"/>
  <c r="L350" i="1" a="1"/>
  <c r="L350" i="1" s="1"/>
  <c r="L118" i="1" a="1"/>
  <c r="L118" i="1" s="1"/>
  <c r="L278" i="1" a="1"/>
  <c r="L278" i="1" s="1"/>
  <c r="L332" i="1" a="1"/>
  <c r="L332" i="1" s="1"/>
  <c r="L354" i="1" a="1"/>
  <c r="L354" i="1" s="1"/>
  <c r="L154" i="1" a="1"/>
  <c r="L154" i="1" s="1"/>
  <c r="L286" i="1" a="1"/>
  <c r="L286" i="1" s="1"/>
  <c r="L314" i="1" a="1"/>
  <c r="L314" i="1" s="1"/>
  <c r="L336" i="1" a="1"/>
  <c r="L336" i="1" s="1"/>
  <c r="L190" i="1" a="1"/>
  <c r="L190" i="1" s="1"/>
  <c r="L292" i="1" a="1"/>
  <c r="L292" i="1" s="1"/>
  <c r="L318" i="1" a="1"/>
  <c r="L318" i="1" s="1"/>
  <c r="K88" i="1" a="1"/>
  <c r="K88" i="1" s="1"/>
  <c r="K97" i="1" a="1"/>
  <c r="K97" i="1" s="1"/>
  <c r="K106" i="1" a="1"/>
  <c r="K106" i="1" s="1"/>
  <c r="K115" i="1" a="1"/>
  <c r="K115" i="1" s="1"/>
  <c r="K124" i="1" a="1"/>
  <c r="K124" i="1" s="1"/>
  <c r="K133" i="1" a="1"/>
  <c r="K133" i="1" s="1"/>
  <c r="K142" i="1" a="1"/>
  <c r="K142" i="1" s="1"/>
  <c r="K151" i="1" a="1"/>
  <c r="K151" i="1" s="1"/>
  <c r="K160" i="1" a="1"/>
  <c r="K160" i="1" s="1"/>
  <c r="K169" i="1" a="1"/>
  <c r="K169" i="1" s="1"/>
  <c r="K178" i="1" a="1"/>
  <c r="K178" i="1" s="1"/>
  <c r="K188" i="1" a="1"/>
  <c r="K188" i="1" s="1"/>
  <c r="K194" i="1" a="1"/>
  <c r="K194" i="1" s="1"/>
  <c r="K200" i="1" a="1"/>
  <c r="K200" i="1" s="1"/>
  <c r="K206" i="1" a="1"/>
  <c r="K206" i="1" s="1"/>
  <c r="K212" i="1" a="1"/>
  <c r="K212" i="1" s="1"/>
  <c r="K218" i="1" a="1"/>
  <c r="K218" i="1" s="1"/>
  <c r="K224" i="1" a="1"/>
  <c r="K224" i="1" s="1"/>
  <c r="K230" i="1" a="1"/>
  <c r="K230" i="1" s="1"/>
  <c r="K236" i="1" a="1"/>
  <c r="K236" i="1" s="1"/>
  <c r="K242" i="1" a="1"/>
  <c r="K242" i="1" s="1"/>
  <c r="K248" i="1" a="1"/>
  <c r="K248" i="1" s="1"/>
  <c r="K254" i="1" a="1"/>
  <c r="K254" i="1" s="1"/>
  <c r="K260" i="1" a="1"/>
  <c r="K260" i="1" s="1"/>
  <c r="K266" i="1" a="1"/>
  <c r="K266" i="1" s="1"/>
  <c r="K272" i="1" a="1"/>
  <c r="K272" i="1" s="1"/>
  <c r="K278" i="1" a="1"/>
  <c r="K278" i="1" s="1"/>
  <c r="K284" i="1" a="1"/>
  <c r="K284" i="1" s="1"/>
  <c r="K290" i="1" a="1"/>
  <c r="K290" i="1" s="1"/>
  <c r="K296" i="1" a="1"/>
  <c r="K296" i="1" s="1"/>
  <c r="K302" i="1" a="1"/>
  <c r="K302" i="1" s="1"/>
  <c r="K308" i="1" a="1"/>
  <c r="K308" i="1" s="1"/>
  <c r="K314" i="1" a="1"/>
  <c r="K314" i="1" s="1"/>
  <c r="K320" i="1" a="1"/>
  <c r="K320" i="1" s="1"/>
  <c r="K326" i="1" a="1"/>
  <c r="K326" i="1" s="1"/>
  <c r="K332" i="1" a="1"/>
  <c r="K332" i="1" s="1"/>
  <c r="K338" i="1" a="1"/>
  <c r="K338" i="1" s="1"/>
  <c r="K344" i="1" a="1"/>
  <c r="K344" i="1" s="1"/>
  <c r="K350" i="1" a="1"/>
  <c r="K350" i="1" s="1"/>
  <c r="K356" i="1" a="1"/>
  <c r="K356" i="1" s="1"/>
  <c r="K362" i="1" a="1"/>
  <c r="K362" i="1" s="1"/>
  <c r="K368" i="1" a="1"/>
  <c r="K368" i="1" s="1"/>
  <c r="K374" i="1" a="1"/>
  <c r="K374" i="1" s="1"/>
  <c r="K380" i="1" a="1"/>
  <c r="K380" i="1" s="1"/>
  <c r="K386" i="1" a="1"/>
  <c r="K386" i="1" s="1"/>
  <c r="K89" i="1" a="1"/>
  <c r="K89" i="1" s="1"/>
  <c r="K93" i="1" a="1"/>
  <c r="K93" i="1" s="1"/>
  <c r="K98" i="1" a="1"/>
  <c r="K98" i="1" s="1"/>
  <c r="K102" i="1" a="1"/>
  <c r="K102" i="1" s="1"/>
  <c r="K107" i="1" a="1"/>
  <c r="K107" i="1" s="1"/>
  <c r="K111" i="1" a="1"/>
  <c r="K111" i="1" s="1"/>
  <c r="K116" i="1" a="1"/>
  <c r="K116" i="1" s="1"/>
  <c r="K120" i="1" a="1"/>
  <c r="K120" i="1" s="1"/>
  <c r="K125" i="1" a="1"/>
  <c r="K125" i="1" s="1"/>
  <c r="K129" i="1" a="1"/>
  <c r="K129" i="1" s="1"/>
  <c r="K134" i="1" a="1"/>
  <c r="K134" i="1" s="1"/>
  <c r="K138" i="1" a="1"/>
  <c r="K138" i="1" s="1"/>
  <c r="K143" i="1" a="1"/>
  <c r="K143" i="1" s="1"/>
  <c r="K147" i="1" a="1"/>
  <c r="K147" i="1" s="1"/>
  <c r="K152" i="1" a="1"/>
  <c r="K152" i="1" s="1"/>
  <c r="K156" i="1" a="1"/>
  <c r="K156" i="1" s="1"/>
  <c r="K161" i="1" a="1"/>
  <c r="K161" i="1" s="1"/>
  <c r="K165" i="1" a="1"/>
  <c r="K165" i="1" s="1"/>
  <c r="K170" i="1" a="1"/>
  <c r="K170" i="1" s="1"/>
  <c r="K174" i="1" a="1"/>
  <c r="K174" i="1" s="1"/>
  <c r="K179" i="1" a="1"/>
  <c r="K179" i="1" s="1"/>
  <c r="K183" i="1" a="1"/>
  <c r="K183" i="1" s="1"/>
  <c r="K189" i="1" a="1"/>
  <c r="K189" i="1" s="1"/>
  <c r="K195" i="1" a="1"/>
  <c r="K195" i="1" s="1"/>
  <c r="K201" i="1" a="1"/>
  <c r="K201" i="1" s="1"/>
  <c r="K207" i="1" a="1"/>
  <c r="K207" i="1" s="1"/>
  <c r="K213" i="1" a="1"/>
  <c r="K213" i="1" s="1"/>
  <c r="K219" i="1" a="1"/>
  <c r="K219" i="1" s="1"/>
  <c r="K225" i="1" a="1"/>
  <c r="K225" i="1" s="1"/>
  <c r="K231" i="1" a="1"/>
  <c r="K231" i="1" s="1"/>
  <c r="K237" i="1" a="1"/>
  <c r="K237" i="1" s="1"/>
  <c r="K243" i="1" a="1"/>
  <c r="K243" i="1" s="1"/>
  <c r="K249" i="1" a="1"/>
  <c r="K249" i="1" s="1"/>
  <c r="K255" i="1" a="1"/>
  <c r="K255" i="1" s="1"/>
  <c r="K261" i="1" a="1"/>
  <c r="K261" i="1" s="1"/>
  <c r="K267" i="1" a="1"/>
  <c r="K267" i="1" s="1"/>
  <c r="K273" i="1" a="1"/>
  <c r="K273" i="1" s="1"/>
  <c r="K279" i="1" a="1"/>
  <c r="K279" i="1" s="1"/>
  <c r="K285" i="1" a="1"/>
  <c r="K285" i="1" s="1"/>
  <c r="K291" i="1" a="1"/>
  <c r="K291" i="1" s="1"/>
  <c r="K297" i="1" a="1"/>
  <c r="K297" i="1" s="1"/>
  <c r="K303" i="1" a="1"/>
  <c r="K303" i="1" s="1"/>
  <c r="K309" i="1" a="1"/>
  <c r="K309" i="1" s="1"/>
  <c r="K315" i="1" a="1"/>
  <c r="K315" i="1" s="1"/>
  <c r="K321" i="1" a="1"/>
  <c r="K321" i="1" s="1"/>
  <c r="K327" i="1" a="1"/>
  <c r="K327" i="1" s="1"/>
  <c r="K333" i="1" a="1"/>
  <c r="K333" i="1" s="1"/>
  <c r="K339" i="1" a="1"/>
  <c r="K339" i="1" s="1"/>
  <c r="K345" i="1" a="1"/>
  <c r="K345" i="1" s="1"/>
  <c r="K351" i="1" a="1"/>
  <c r="K351" i="1" s="1"/>
  <c r="K357" i="1" a="1"/>
  <c r="K357" i="1" s="1"/>
  <c r="K363" i="1" a="1"/>
  <c r="K363" i="1" s="1"/>
  <c r="K369" i="1" a="1"/>
  <c r="K369" i="1" s="1"/>
  <c r="K375" i="1" a="1"/>
  <c r="K375" i="1" s="1"/>
  <c r="K381" i="1" a="1"/>
  <c r="K381" i="1" s="1"/>
  <c r="K387" i="1" a="1"/>
  <c r="K387" i="1" s="1"/>
  <c r="K94" i="1" a="1"/>
  <c r="K94" i="1" s="1"/>
  <c r="K103" i="1" a="1"/>
  <c r="K103" i="1" s="1"/>
  <c r="K112" i="1" a="1"/>
  <c r="K112" i="1" s="1"/>
  <c r="K121" i="1" a="1"/>
  <c r="K121" i="1" s="1"/>
  <c r="K130" i="1" a="1"/>
  <c r="K130" i="1" s="1"/>
  <c r="K139" i="1" a="1"/>
  <c r="K139" i="1" s="1"/>
  <c r="K148" i="1" a="1"/>
  <c r="K148" i="1" s="1"/>
  <c r="K157" i="1" a="1"/>
  <c r="K157" i="1" s="1"/>
  <c r="K166" i="1" a="1"/>
  <c r="K166" i="1" s="1"/>
  <c r="K175" i="1" a="1"/>
  <c r="K175" i="1" s="1"/>
  <c r="K184" i="1" a="1"/>
  <c r="K184" i="1" s="1"/>
  <c r="K190" i="1" a="1"/>
  <c r="K190" i="1" s="1"/>
  <c r="K196" i="1" a="1"/>
  <c r="K196" i="1" s="1"/>
  <c r="K202" i="1" a="1"/>
  <c r="K202" i="1" s="1"/>
  <c r="K208" i="1" a="1"/>
  <c r="K208" i="1" s="1"/>
  <c r="K214" i="1" a="1"/>
  <c r="K214" i="1" s="1"/>
  <c r="K220" i="1" a="1"/>
  <c r="K220" i="1" s="1"/>
  <c r="K226" i="1" a="1"/>
  <c r="K226" i="1" s="1"/>
  <c r="K232" i="1" a="1"/>
  <c r="K232" i="1" s="1"/>
  <c r="K238" i="1" a="1"/>
  <c r="K238" i="1" s="1"/>
  <c r="K244" i="1" a="1"/>
  <c r="K244" i="1" s="1"/>
  <c r="K250" i="1" a="1"/>
  <c r="K250" i="1" s="1"/>
  <c r="K256" i="1" a="1"/>
  <c r="K256" i="1" s="1"/>
  <c r="K262" i="1" a="1"/>
  <c r="K262" i="1" s="1"/>
  <c r="K268" i="1" a="1"/>
  <c r="K268" i="1" s="1"/>
  <c r="K274" i="1" a="1"/>
  <c r="K274" i="1" s="1"/>
  <c r="K280" i="1" a="1"/>
  <c r="K280" i="1" s="1"/>
  <c r="K286" i="1" a="1"/>
  <c r="K286" i="1" s="1"/>
  <c r="K292" i="1" a="1"/>
  <c r="K292" i="1" s="1"/>
  <c r="K298" i="1" a="1"/>
  <c r="K298" i="1" s="1"/>
  <c r="K304" i="1" a="1"/>
  <c r="K304" i="1" s="1"/>
  <c r="K310" i="1" a="1"/>
  <c r="K310" i="1" s="1"/>
  <c r="K316" i="1" a="1"/>
  <c r="K316" i="1" s="1"/>
  <c r="K322" i="1" a="1"/>
  <c r="K322" i="1" s="1"/>
  <c r="K328" i="1" a="1"/>
  <c r="K328" i="1" s="1"/>
  <c r="K334" i="1" a="1"/>
  <c r="K334" i="1" s="1"/>
  <c r="K340" i="1" a="1"/>
  <c r="K340" i="1" s="1"/>
  <c r="K346" i="1" a="1"/>
  <c r="K346" i="1" s="1"/>
  <c r="K352" i="1" a="1"/>
  <c r="K352" i="1" s="1"/>
  <c r="K358" i="1" a="1"/>
  <c r="K358" i="1" s="1"/>
  <c r="K364" i="1" a="1"/>
  <c r="K364" i="1" s="1"/>
  <c r="K370" i="1" a="1"/>
  <c r="K370" i="1" s="1"/>
  <c r="K376" i="1" a="1"/>
  <c r="K376" i="1" s="1"/>
  <c r="K382" i="1" a="1"/>
  <c r="K382" i="1" s="1"/>
  <c r="K388" i="1" a="1"/>
  <c r="K388" i="1" s="1"/>
  <c r="K394" i="1" a="1"/>
  <c r="K394" i="1" s="1"/>
  <c r="K400" i="1" a="1"/>
  <c r="K400" i="1" s="1"/>
  <c r="K82" i="1" a="1"/>
  <c r="K82" i="1" s="1"/>
  <c r="K90" i="1" a="1"/>
  <c r="K90" i="1" s="1"/>
  <c r="K95" i="1" a="1"/>
  <c r="K95" i="1" s="1"/>
  <c r="K99" i="1" a="1"/>
  <c r="K99" i="1" s="1"/>
  <c r="K104" i="1" a="1"/>
  <c r="K104" i="1" s="1"/>
  <c r="K108" i="1" a="1"/>
  <c r="K108" i="1" s="1"/>
  <c r="K113" i="1" a="1"/>
  <c r="K113" i="1" s="1"/>
  <c r="K117" i="1" a="1"/>
  <c r="K117" i="1" s="1"/>
  <c r="K122" i="1" a="1"/>
  <c r="K122" i="1" s="1"/>
  <c r="K126" i="1" a="1"/>
  <c r="K126" i="1" s="1"/>
  <c r="K131" i="1" a="1"/>
  <c r="K131" i="1" s="1"/>
  <c r="K135" i="1" a="1"/>
  <c r="K135" i="1" s="1"/>
  <c r="K140" i="1" a="1"/>
  <c r="K140" i="1" s="1"/>
  <c r="K144" i="1" a="1"/>
  <c r="K144" i="1" s="1"/>
  <c r="K149" i="1" a="1"/>
  <c r="K149" i="1" s="1"/>
  <c r="K153" i="1" a="1"/>
  <c r="K153" i="1" s="1"/>
  <c r="K158" i="1" a="1"/>
  <c r="K158" i="1" s="1"/>
  <c r="K162" i="1" a="1"/>
  <c r="K162" i="1" s="1"/>
  <c r="K167" i="1" a="1"/>
  <c r="K167" i="1" s="1"/>
  <c r="K171" i="1" a="1"/>
  <c r="K171" i="1" s="1"/>
  <c r="K176" i="1" a="1"/>
  <c r="K176" i="1" s="1"/>
  <c r="K180" i="1" a="1"/>
  <c r="K180" i="1" s="1"/>
  <c r="K185" i="1" a="1"/>
  <c r="K185" i="1" s="1"/>
  <c r="K191" i="1" a="1"/>
  <c r="K191" i="1" s="1"/>
  <c r="K197" i="1" a="1"/>
  <c r="K197" i="1" s="1"/>
  <c r="K203" i="1" a="1"/>
  <c r="K203" i="1" s="1"/>
  <c r="K209" i="1" a="1"/>
  <c r="K209" i="1" s="1"/>
  <c r="K215" i="1" a="1"/>
  <c r="K215" i="1" s="1"/>
  <c r="K221" i="1" a="1"/>
  <c r="K221" i="1" s="1"/>
  <c r="K227" i="1" a="1"/>
  <c r="K227" i="1" s="1"/>
  <c r="K233" i="1" a="1"/>
  <c r="K233" i="1" s="1"/>
  <c r="K239" i="1" a="1"/>
  <c r="K239" i="1" s="1"/>
  <c r="K245" i="1" a="1"/>
  <c r="K245" i="1" s="1"/>
  <c r="K251" i="1" a="1"/>
  <c r="K251" i="1" s="1"/>
  <c r="K257" i="1" a="1"/>
  <c r="K257" i="1" s="1"/>
  <c r="K263" i="1" a="1"/>
  <c r="K263" i="1" s="1"/>
  <c r="K269" i="1" a="1"/>
  <c r="K269" i="1" s="1"/>
  <c r="K275" i="1" a="1"/>
  <c r="K275" i="1" s="1"/>
  <c r="K281" i="1" a="1"/>
  <c r="K281" i="1" s="1"/>
  <c r="K287" i="1" a="1"/>
  <c r="K287" i="1" s="1"/>
  <c r="K293" i="1" a="1"/>
  <c r="K293" i="1" s="1"/>
  <c r="K299" i="1" a="1"/>
  <c r="K299" i="1" s="1"/>
  <c r="K305" i="1" a="1"/>
  <c r="K305" i="1" s="1"/>
  <c r="K311" i="1" a="1"/>
  <c r="K311" i="1" s="1"/>
  <c r="K317" i="1" a="1"/>
  <c r="K317" i="1" s="1"/>
  <c r="K323" i="1" a="1"/>
  <c r="K323" i="1" s="1"/>
  <c r="K329" i="1" a="1"/>
  <c r="K329" i="1" s="1"/>
  <c r="K335" i="1" a="1"/>
  <c r="K335" i="1" s="1"/>
  <c r="K341" i="1" a="1"/>
  <c r="K341" i="1" s="1"/>
  <c r="K347" i="1" a="1"/>
  <c r="K347" i="1" s="1"/>
  <c r="K353" i="1" a="1"/>
  <c r="K353" i="1" s="1"/>
  <c r="K359" i="1" a="1"/>
  <c r="K359" i="1" s="1"/>
  <c r="K365" i="1" a="1"/>
  <c r="K365" i="1" s="1"/>
  <c r="K371" i="1" a="1"/>
  <c r="K371" i="1" s="1"/>
  <c r="K377" i="1" a="1"/>
  <c r="K377" i="1" s="1"/>
  <c r="K383" i="1" a="1"/>
  <c r="K383" i="1" s="1"/>
  <c r="K389" i="1" a="1"/>
  <c r="K389" i="1" s="1"/>
  <c r="K395" i="1" a="1"/>
  <c r="K395" i="1" s="1"/>
  <c r="K401" i="1" a="1"/>
  <c r="K401" i="1" s="1"/>
  <c r="K83" i="1" a="1"/>
  <c r="K83" i="1" s="1"/>
  <c r="K91" i="1" a="1"/>
  <c r="K91" i="1" s="1"/>
  <c r="K100" i="1" a="1"/>
  <c r="K100" i="1" s="1"/>
  <c r="K109" i="1" a="1"/>
  <c r="K109" i="1" s="1"/>
  <c r="K118" i="1" a="1"/>
  <c r="K118" i="1" s="1"/>
  <c r="K127" i="1" a="1"/>
  <c r="K127" i="1" s="1"/>
  <c r="K136" i="1" a="1"/>
  <c r="K136" i="1" s="1"/>
  <c r="K145" i="1" a="1"/>
  <c r="K145" i="1" s="1"/>
  <c r="K154" i="1" a="1"/>
  <c r="K154" i="1" s="1"/>
  <c r="K163" i="1" a="1"/>
  <c r="K163" i="1" s="1"/>
  <c r="K172" i="1" a="1"/>
  <c r="K172" i="1" s="1"/>
  <c r="K181" i="1" a="1"/>
  <c r="K181" i="1" s="1"/>
  <c r="K186" i="1" a="1"/>
  <c r="K186" i="1" s="1"/>
  <c r="K192" i="1" a="1"/>
  <c r="K192" i="1" s="1"/>
  <c r="K198" i="1" a="1"/>
  <c r="K198" i="1" s="1"/>
  <c r="K204" i="1" a="1"/>
  <c r="K204" i="1" s="1"/>
  <c r="K210" i="1" a="1"/>
  <c r="K210" i="1" s="1"/>
  <c r="K216" i="1" a="1"/>
  <c r="K216" i="1" s="1"/>
  <c r="K222" i="1" a="1"/>
  <c r="K222" i="1" s="1"/>
  <c r="K228" i="1" a="1"/>
  <c r="K228" i="1" s="1"/>
  <c r="K234" i="1" a="1"/>
  <c r="K234" i="1" s="1"/>
  <c r="K240" i="1" a="1"/>
  <c r="K240" i="1" s="1"/>
  <c r="K246" i="1" a="1"/>
  <c r="K246" i="1" s="1"/>
  <c r="K252" i="1" a="1"/>
  <c r="K252" i="1" s="1"/>
  <c r="K258" i="1" a="1"/>
  <c r="K258" i="1" s="1"/>
  <c r="K264" i="1" a="1"/>
  <c r="K264" i="1" s="1"/>
  <c r="K270" i="1" a="1"/>
  <c r="K270" i="1" s="1"/>
  <c r="K276" i="1" a="1"/>
  <c r="K276" i="1" s="1"/>
  <c r="K282" i="1" a="1"/>
  <c r="K282" i="1" s="1"/>
  <c r="K288" i="1" a="1"/>
  <c r="K288" i="1" s="1"/>
  <c r="K294" i="1" a="1"/>
  <c r="K294" i="1" s="1"/>
  <c r="K300" i="1" a="1"/>
  <c r="K300" i="1" s="1"/>
  <c r="K306" i="1" a="1"/>
  <c r="K306" i="1" s="1"/>
  <c r="K312" i="1" a="1"/>
  <c r="K312" i="1" s="1"/>
  <c r="K318" i="1" a="1"/>
  <c r="K318" i="1" s="1"/>
  <c r="K324" i="1" a="1"/>
  <c r="K324" i="1" s="1"/>
  <c r="K330" i="1" a="1"/>
  <c r="K330" i="1" s="1"/>
  <c r="K336" i="1" a="1"/>
  <c r="K336" i="1" s="1"/>
  <c r="K342" i="1" a="1"/>
  <c r="K342" i="1" s="1"/>
  <c r="K348" i="1" a="1"/>
  <c r="K348" i="1" s="1"/>
  <c r="K354" i="1" a="1"/>
  <c r="K354" i="1" s="1"/>
  <c r="K360" i="1" a="1"/>
  <c r="K360" i="1" s="1"/>
  <c r="K366" i="1" a="1"/>
  <c r="K366" i="1" s="1"/>
  <c r="K372" i="1" a="1"/>
  <c r="K372" i="1" s="1"/>
  <c r="K378" i="1" a="1"/>
  <c r="K378" i="1" s="1"/>
  <c r="K384" i="1" a="1"/>
  <c r="K384" i="1" s="1"/>
  <c r="K390" i="1" a="1"/>
  <c r="K390" i="1" s="1"/>
  <c r="K396" i="1" a="1"/>
  <c r="K396" i="1" s="1"/>
  <c r="K402" i="1" a="1"/>
  <c r="K402" i="1" s="1"/>
  <c r="K84" i="1" a="1"/>
  <c r="K84" i="1" s="1"/>
  <c r="K87" i="1" a="1"/>
  <c r="K87" i="1" s="1"/>
  <c r="K114" i="1" a="1"/>
  <c r="K114" i="1" s="1"/>
  <c r="K141" i="1" a="1"/>
  <c r="K141" i="1" s="1"/>
  <c r="K168" i="1" a="1"/>
  <c r="K168" i="1" s="1"/>
  <c r="K199" i="1" a="1"/>
  <c r="K199" i="1" s="1"/>
  <c r="K235" i="1" a="1"/>
  <c r="K235" i="1" s="1"/>
  <c r="K271" i="1" a="1"/>
  <c r="K271" i="1" s="1"/>
  <c r="K307" i="1" a="1"/>
  <c r="K307" i="1" s="1"/>
  <c r="K343" i="1" a="1"/>
  <c r="K343" i="1" s="1"/>
  <c r="K379" i="1" a="1"/>
  <c r="K379" i="1" s="1"/>
  <c r="K398" i="1" a="1"/>
  <c r="K398" i="1" s="1"/>
  <c r="K86" i="1" a="1"/>
  <c r="K86" i="1" s="1"/>
  <c r="K92" i="1" a="1"/>
  <c r="K92" i="1" s="1"/>
  <c r="K119" i="1" a="1"/>
  <c r="K119" i="1" s="1"/>
  <c r="K146" i="1" a="1"/>
  <c r="K146" i="1" s="1"/>
  <c r="K173" i="1" a="1"/>
  <c r="K173" i="1" s="1"/>
  <c r="K205" i="1" a="1"/>
  <c r="K205" i="1" s="1"/>
  <c r="K241" i="1" a="1"/>
  <c r="K241" i="1" s="1"/>
  <c r="K277" i="1" a="1"/>
  <c r="K277" i="1" s="1"/>
  <c r="K313" i="1" a="1"/>
  <c r="K313" i="1" s="1"/>
  <c r="K349" i="1" a="1"/>
  <c r="K349" i="1" s="1"/>
  <c r="K385" i="1" a="1"/>
  <c r="K385" i="1" s="1"/>
  <c r="K399" i="1" a="1"/>
  <c r="K399" i="1" s="1"/>
  <c r="K96" i="1" a="1"/>
  <c r="K96" i="1" s="1"/>
  <c r="K123" i="1" a="1"/>
  <c r="K123" i="1" s="1"/>
  <c r="K150" i="1" a="1"/>
  <c r="K150" i="1" s="1"/>
  <c r="K177" i="1" a="1"/>
  <c r="K177" i="1" s="1"/>
  <c r="K211" i="1" a="1"/>
  <c r="K211" i="1" s="1"/>
  <c r="K247" i="1" a="1"/>
  <c r="K247" i="1" s="1"/>
  <c r="K283" i="1" a="1"/>
  <c r="K283" i="1" s="1"/>
  <c r="K319" i="1" a="1"/>
  <c r="K319" i="1" s="1"/>
  <c r="K355" i="1" a="1"/>
  <c r="K355" i="1" s="1"/>
  <c r="K391" i="1" a="1"/>
  <c r="K391" i="1" s="1"/>
  <c r="K403" i="1" a="1"/>
  <c r="K403" i="1" s="1"/>
  <c r="K101" i="1" a="1"/>
  <c r="K101" i="1" s="1"/>
  <c r="K128" i="1" a="1"/>
  <c r="K128" i="1" s="1"/>
  <c r="K155" i="1" a="1"/>
  <c r="K155" i="1" s="1"/>
  <c r="K182" i="1" a="1"/>
  <c r="K182" i="1" s="1"/>
  <c r="K217" i="1" a="1"/>
  <c r="K217" i="1" s="1"/>
  <c r="K253" i="1" a="1"/>
  <c r="K253" i="1" s="1"/>
  <c r="K289" i="1" a="1"/>
  <c r="K289" i="1" s="1"/>
  <c r="K325" i="1" a="1"/>
  <c r="K325" i="1" s="1"/>
  <c r="K361" i="1" a="1"/>
  <c r="K361" i="1" s="1"/>
  <c r="K392" i="1" a="1"/>
  <c r="K392" i="1" s="1"/>
  <c r="K404" i="1" a="1"/>
  <c r="K404" i="1" s="1"/>
  <c r="K105" i="1" a="1"/>
  <c r="K105" i="1" s="1"/>
  <c r="K132" i="1" a="1"/>
  <c r="K132" i="1" s="1"/>
  <c r="K159" i="1" a="1"/>
  <c r="K159" i="1" s="1"/>
  <c r="K187" i="1" a="1"/>
  <c r="K187" i="1" s="1"/>
  <c r="K223" i="1" a="1"/>
  <c r="K223" i="1" s="1"/>
  <c r="K259" i="1" a="1"/>
  <c r="K259" i="1" s="1"/>
  <c r="K295" i="1" a="1"/>
  <c r="K295" i="1" s="1"/>
  <c r="K331" i="1" a="1"/>
  <c r="K331" i="1" s="1"/>
  <c r="K367" i="1" a="1"/>
  <c r="K367" i="1" s="1"/>
  <c r="K393" i="1" a="1"/>
  <c r="K393" i="1" s="1"/>
  <c r="K81" i="1" a="1"/>
  <c r="K81" i="1" s="1"/>
  <c r="K110" i="1" a="1"/>
  <c r="K110" i="1" s="1"/>
  <c r="K301" i="1" a="1"/>
  <c r="K301" i="1" s="1"/>
  <c r="L88" i="1" a="1"/>
  <c r="L88" i="1" s="1"/>
  <c r="L94" i="1" a="1"/>
  <c r="L94" i="1" s="1"/>
  <c r="L100" i="1" a="1"/>
  <c r="L100" i="1" s="1"/>
  <c r="L7" i="1" a="1"/>
  <c r="L7" i="1" s="1"/>
  <c r="L16" i="1" a="1"/>
  <c r="L16" i="1" s="1"/>
  <c r="L25" i="1" a="1"/>
  <c r="L25" i="1" s="1"/>
  <c r="L34" i="1" a="1"/>
  <c r="L34" i="1" s="1"/>
  <c r="L43" i="1" a="1"/>
  <c r="L43" i="1" s="1"/>
  <c r="L48" i="1" a="1"/>
  <c r="L48" i="1" s="1"/>
  <c r="L54" i="1" a="1"/>
  <c r="L54" i="1" s="1"/>
  <c r="L60" i="1" a="1"/>
  <c r="L60" i="1" s="1"/>
  <c r="L66" i="1" a="1"/>
  <c r="L66" i="1" s="1"/>
  <c r="L72" i="1" a="1"/>
  <c r="L72" i="1" s="1"/>
  <c r="L78" i="1" a="1"/>
  <c r="L78" i="1" s="1"/>
  <c r="L101" i="1" a="1"/>
  <c r="L101" i="1" s="1"/>
  <c r="L107" i="1" a="1"/>
  <c r="L107" i="1" s="1"/>
  <c r="L113" i="1" a="1"/>
  <c r="L113" i="1" s="1"/>
  <c r="L119" i="1" a="1"/>
  <c r="L119" i="1" s="1"/>
  <c r="L125" i="1" a="1"/>
  <c r="L125" i="1" s="1"/>
  <c r="L131" i="1" a="1"/>
  <c r="L131" i="1" s="1"/>
  <c r="L137" i="1" a="1"/>
  <c r="L137" i="1" s="1"/>
  <c r="L143" i="1" a="1"/>
  <c r="L143" i="1" s="1"/>
  <c r="L149" i="1" a="1"/>
  <c r="L149" i="1" s="1"/>
  <c r="L155" i="1" a="1"/>
  <c r="L155" i="1" s="1"/>
  <c r="L161" i="1" a="1"/>
  <c r="L161" i="1" s="1"/>
  <c r="L167" i="1" a="1"/>
  <c r="L167" i="1" s="1"/>
  <c r="L173" i="1" a="1"/>
  <c r="L173" i="1" s="1"/>
  <c r="L179" i="1" a="1"/>
  <c r="L179" i="1" s="1"/>
  <c r="L185" i="1" a="1"/>
  <c r="L185" i="1" s="1"/>
  <c r="L191" i="1" a="1"/>
  <c r="L191" i="1" s="1"/>
  <c r="L197" i="1" a="1"/>
  <c r="L197" i="1" s="1"/>
  <c r="L203" i="1" a="1"/>
  <c r="L203" i="1" s="1"/>
  <c r="L209" i="1" a="1"/>
  <c r="L209" i="1" s="1"/>
  <c r="L215" i="1" a="1"/>
  <c r="L215" i="1" s="1"/>
  <c r="L221" i="1" a="1"/>
  <c r="L221" i="1" s="1"/>
  <c r="L227" i="1" a="1"/>
  <c r="L227" i="1" s="1"/>
  <c r="L233" i="1" a="1"/>
  <c r="L233" i="1" s="1"/>
  <c r="L237" i="1" a="1"/>
  <c r="L237" i="1" s="1"/>
  <c r="L242" i="1" a="1"/>
  <c r="L242" i="1" s="1"/>
  <c r="L246" i="1" a="1"/>
  <c r="L246" i="1" s="1"/>
  <c r="L251" i="1" a="1"/>
  <c r="L251" i="1" s="1"/>
  <c r="L255" i="1" a="1"/>
  <c r="L255" i="1" s="1"/>
  <c r="L259" i="1" a="1"/>
  <c r="L259" i="1" s="1"/>
  <c r="L262" i="1" a="1"/>
  <c r="L262" i="1" s="1"/>
  <c r="L265" i="1" a="1"/>
  <c r="L265" i="1" s="1"/>
  <c r="L268" i="1" a="1"/>
  <c r="L268" i="1" s="1"/>
  <c r="L271" i="1" a="1"/>
  <c r="L271" i="1" s="1"/>
  <c r="L274" i="1" a="1"/>
  <c r="L274" i="1" s="1"/>
  <c r="L277" i="1" a="1"/>
  <c r="L277" i="1" s="1"/>
  <c r="L280" i="1" a="1"/>
  <c r="L280" i="1" s="1"/>
  <c r="L283" i="1" a="1"/>
  <c r="L283" i="1" s="1"/>
  <c r="K137" i="1" a="1"/>
  <c r="K137" i="1" s="1"/>
  <c r="K337" i="1" a="1"/>
  <c r="K337" i="1" s="1"/>
  <c r="L89" i="1" a="1"/>
  <c r="L89" i="1" s="1"/>
  <c r="L95" i="1" a="1"/>
  <c r="L95" i="1" s="1"/>
  <c r="L3" i="1" a="1"/>
  <c r="L3" i="1" s="1"/>
  <c r="L8" i="1" a="1"/>
  <c r="L8" i="1" s="1"/>
  <c r="L12" i="1" a="1"/>
  <c r="L12" i="1" s="1"/>
  <c r="L17" i="1" a="1"/>
  <c r="L17" i="1" s="1"/>
  <c r="L21" i="1" a="1"/>
  <c r="L21" i="1" s="1"/>
  <c r="L26" i="1" a="1"/>
  <c r="L26" i="1" s="1"/>
  <c r="L30" i="1" a="1"/>
  <c r="L30" i="1" s="1"/>
  <c r="L35" i="1" a="1"/>
  <c r="L35" i="1" s="1"/>
  <c r="L39" i="1" a="1"/>
  <c r="L39" i="1" s="1"/>
  <c r="L44" i="1" a="1"/>
  <c r="L44" i="1" s="1"/>
  <c r="L49" i="1" a="1"/>
  <c r="L49" i="1" s="1"/>
  <c r="L55" i="1" a="1"/>
  <c r="L55" i="1" s="1"/>
  <c r="L61" i="1" a="1"/>
  <c r="L61" i="1" s="1"/>
  <c r="L67" i="1" a="1"/>
  <c r="L67" i="1" s="1"/>
  <c r="L73" i="1" a="1"/>
  <c r="L73" i="1" s="1"/>
  <c r="L79" i="1" a="1"/>
  <c r="L79" i="1" s="1"/>
  <c r="L102" i="1" a="1"/>
  <c r="L102" i="1" s="1"/>
  <c r="L108" i="1" a="1"/>
  <c r="L108" i="1" s="1"/>
  <c r="L114" i="1" a="1"/>
  <c r="L114" i="1" s="1"/>
  <c r="L120" i="1" a="1"/>
  <c r="L120" i="1" s="1"/>
  <c r="L126" i="1" a="1"/>
  <c r="L126" i="1" s="1"/>
  <c r="L132" i="1" a="1"/>
  <c r="L132" i="1" s="1"/>
  <c r="L138" i="1" a="1"/>
  <c r="L138" i="1" s="1"/>
  <c r="L144" i="1" a="1"/>
  <c r="L144" i="1" s="1"/>
  <c r="L150" i="1" a="1"/>
  <c r="L150" i="1" s="1"/>
  <c r="L156" i="1" a="1"/>
  <c r="L156" i="1" s="1"/>
  <c r="L162" i="1" a="1"/>
  <c r="L162" i="1" s="1"/>
  <c r="L168" i="1" a="1"/>
  <c r="L168" i="1" s="1"/>
  <c r="L174" i="1" a="1"/>
  <c r="L174" i="1" s="1"/>
  <c r="L180" i="1" a="1"/>
  <c r="L180" i="1" s="1"/>
  <c r="L186" i="1" a="1"/>
  <c r="L186" i="1" s="1"/>
  <c r="L192" i="1" a="1"/>
  <c r="L192" i="1" s="1"/>
  <c r="L198" i="1" a="1"/>
  <c r="L198" i="1" s="1"/>
  <c r="L204" i="1" a="1"/>
  <c r="L204" i="1" s="1"/>
  <c r="L210" i="1" a="1"/>
  <c r="L210" i="1" s="1"/>
  <c r="L216" i="1" a="1"/>
  <c r="L216" i="1" s="1"/>
  <c r="L222" i="1" a="1"/>
  <c r="L222" i="1" s="1"/>
  <c r="L228" i="1" a="1"/>
  <c r="L228" i="1" s="1"/>
  <c r="L238" i="1" a="1"/>
  <c r="L238" i="1" s="1"/>
  <c r="L247" i="1" a="1"/>
  <c r="L247" i="1" s="1"/>
  <c r="L256" i="1" a="1"/>
  <c r="L256" i="1" s="1"/>
  <c r="K164" i="1" a="1"/>
  <c r="K164" i="1" s="1"/>
  <c r="K373" i="1" a="1"/>
  <c r="K373" i="1" s="1"/>
  <c r="L84" i="1" a="1"/>
  <c r="L84" i="1" s="1"/>
  <c r="L90" i="1" a="1"/>
  <c r="L90" i="1" s="1"/>
  <c r="L96" i="1" a="1"/>
  <c r="L96" i="1" s="1"/>
  <c r="L4" i="1" a="1"/>
  <c r="L4" i="1" s="1"/>
  <c r="L13" i="1" a="1"/>
  <c r="L13" i="1" s="1"/>
  <c r="L22" i="1" a="1"/>
  <c r="L22" i="1" s="1"/>
  <c r="L31" i="1" a="1"/>
  <c r="L31" i="1" s="1"/>
  <c r="L40" i="1" a="1"/>
  <c r="L40" i="1" s="1"/>
  <c r="L50" i="1" a="1"/>
  <c r="L50" i="1" s="1"/>
  <c r="L56" i="1" a="1"/>
  <c r="L56" i="1" s="1"/>
  <c r="L62" i="1" a="1"/>
  <c r="L62" i="1" s="1"/>
  <c r="L68" i="1" a="1"/>
  <c r="L68" i="1" s="1"/>
  <c r="L74" i="1" a="1"/>
  <c r="L74" i="1" s="1"/>
  <c r="L80" i="1" a="1"/>
  <c r="L80" i="1" s="1"/>
  <c r="L103" i="1" a="1"/>
  <c r="L103" i="1" s="1"/>
  <c r="L109" i="1" a="1"/>
  <c r="L109" i="1" s="1"/>
  <c r="L115" i="1" a="1"/>
  <c r="L115" i="1" s="1"/>
  <c r="L121" i="1" a="1"/>
  <c r="L121" i="1" s="1"/>
  <c r="L127" i="1" a="1"/>
  <c r="L127" i="1" s="1"/>
  <c r="L133" i="1" a="1"/>
  <c r="L133" i="1" s="1"/>
  <c r="L139" i="1" a="1"/>
  <c r="L139" i="1" s="1"/>
  <c r="L145" i="1" a="1"/>
  <c r="L145" i="1" s="1"/>
  <c r="L151" i="1" a="1"/>
  <c r="L151" i="1" s="1"/>
  <c r="L157" i="1" a="1"/>
  <c r="L157" i="1" s="1"/>
  <c r="L163" i="1" a="1"/>
  <c r="L163" i="1" s="1"/>
  <c r="L169" i="1" a="1"/>
  <c r="L169" i="1" s="1"/>
  <c r="L175" i="1" a="1"/>
  <c r="L175" i="1" s="1"/>
  <c r="L181" i="1" a="1"/>
  <c r="L181" i="1" s="1"/>
  <c r="L187" i="1" a="1"/>
  <c r="L187" i="1" s="1"/>
  <c r="L193" i="1" a="1"/>
  <c r="L193" i="1" s="1"/>
  <c r="L199" i="1" a="1"/>
  <c r="L199" i="1" s="1"/>
  <c r="L205" i="1" a="1"/>
  <c r="L205" i="1" s="1"/>
  <c r="L211" i="1" a="1"/>
  <c r="L211" i="1" s="1"/>
  <c r="L217" i="1" a="1"/>
  <c r="L217" i="1" s="1"/>
  <c r="L223" i="1" a="1"/>
  <c r="L223" i="1" s="1"/>
  <c r="L229" i="1" a="1"/>
  <c r="L229" i="1" s="1"/>
  <c r="L234" i="1" a="1"/>
  <c r="L234" i="1" s="1"/>
  <c r="L239" i="1" a="1"/>
  <c r="L239" i="1" s="1"/>
  <c r="L243" i="1" a="1"/>
  <c r="L243" i="1" s="1"/>
  <c r="L248" i="1" a="1"/>
  <c r="L248" i="1" s="1"/>
  <c r="L252" i="1" a="1"/>
  <c r="L252" i="1" s="1"/>
  <c r="L257" i="1" a="1"/>
  <c r="L257" i="1" s="1"/>
  <c r="L260" i="1" a="1"/>
  <c r="L260" i="1" s="1"/>
  <c r="L263" i="1" a="1"/>
  <c r="L263" i="1" s="1"/>
  <c r="K193" i="1" a="1"/>
  <c r="K193" i="1" s="1"/>
  <c r="K397" i="1" a="1"/>
  <c r="K397" i="1" s="1"/>
  <c r="L85" i="1" a="1"/>
  <c r="L85" i="1" s="1"/>
  <c r="L91" i="1" a="1"/>
  <c r="L91" i="1" s="1"/>
  <c r="L97" i="1" a="1"/>
  <c r="L97" i="1" s="1"/>
  <c r="L5" i="1" a="1"/>
  <c r="L5" i="1" s="1"/>
  <c r="L9" i="1" a="1"/>
  <c r="L9" i="1" s="1"/>
  <c r="L14" i="1" a="1"/>
  <c r="L14" i="1" s="1"/>
  <c r="L18" i="1" a="1"/>
  <c r="L18" i="1" s="1"/>
  <c r="L23" i="1" a="1"/>
  <c r="L23" i="1" s="1"/>
  <c r="L27" i="1" a="1"/>
  <c r="L27" i="1" s="1"/>
  <c r="L32" i="1" a="1"/>
  <c r="L32" i="1" s="1"/>
  <c r="L36" i="1" a="1"/>
  <c r="L36" i="1" s="1"/>
  <c r="L41" i="1" a="1"/>
  <c r="L41" i="1" s="1"/>
  <c r="L45" i="1" a="1"/>
  <c r="L45" i="1" s="1"/>
  <c r="L51" i="1" a="1"/>
  <c r="L51" i="1" s="1"/>
  <c r="L57" i="1" a="1"/>
  <c r="L57" i="1" s="1"/>
  <c r="L63" i="1" a="1"/>
  <c r="L63" i="1" s="1"/>
  <c r="L69" i="1" a="1"/>
  <c r="L69" i="1" s="1"/>
  <c r="L75" i="1" a="1"/>
  <c r="L75" i="1" s="1"/>
  <c r="L81" i="1" a="1"/>
  <c r="L81" i="1" s="1"/>
  <c r="L104" i="1" a="1"/>
  <c r="L104" i="1" s="1"/>
  <c r="L110" i="1" a="1"/>
  <c r="L110" i="1" s="1"/>
  <c r="L116" i="1" a="1"/>
  <c r="L116" i="1" s="1"/>
  <c r="L122" i="1" a="1"/>
  <c r="L122" i="1" s="1"/>
  <c r="L128" i="1" a="1"/>
  <c r="L128" i="1" s="1"/>
  <c r="L134" i="1" a="1"/>
  <c r="L134" i="1" s="1"/>
  <c r="L140" i="1" a="1"/>
  <c r="L140" i="1" s="1"/>
  <c r="L146" i="1" a="1"/>
  <c r="L146" i="1" s="1"/>
  <c r="L152" i="1" a="1"/>
  <c r="L152" i="1" s="1"/>
  <c r="L158" i="1" a="1"/>
  <c r="L158" i="1" s="1"/>
  <c r="L164" i="1" a="1"/>
  <c r="L164" i="1" s="1"/>
  <c r="L170" i="1" a="1"/>
  <c r="L170" i="1" s="1"/>
  <c r="L176" i="1" a="1"/>
  <c r="L176" i="1" s="1"/>
  <c r="L182" i="1" a="1"/>
  <c r="L182" i="1" s="1"/>
  <c r="L188" i="1" a="1"/>
  <c r="L188" i="1" s="1"/>
  <c r="L194" i="1" a="1"/>
  <c r="L194" i="1" s="1"/>
  <c r="L200" i="1" a="1"/>
  <c r="L200" i="1" s="1"/>
  <c r="L206" i="1" a="1"/>
  <c r="L206" i="1" s="1"/>
  <c r="L212" i="1" a="1"/>
  <c r="L212" i="1" s="1"/>
  <c r="L218" i="1" a="1"/>
  <c r="L218" i="1" s="1"/>
  <c r="L224" i="1" a="1"/>
  <c r="L224" i="1" s="1"/>
  <c r="L230" i="1" a="1"/>
  <c r="L230" i="1" s="1"/>
  <c r="L235" i="1" a="1"/>
  <c r="L235" i="1" s="1"/>
  <c r="L244" i="1" a="1"/>
  <c r="L244" i="1" s="1"/>
  <c r="L253" i="1" a="1"/>
  <c r="L253" i="1" s="1"/>
  <c r="K229" i="1" a="1"/>
  <c r="K229" i="1" s="1"/>
  <c r="K85" i="1" a="1"/>
  <c r="K85" i="1" s="1"/>
  <c r="L86" i="1" a="1"/>
  <c r="L86" i="1" s="1"/>
  <c r="L92" i="1" a="1"/>
  <c r="L92" i="1" s="1"/>
  <c r="L98" i="1" a="1"/>
  <c r="L98" i="1" s="1"/>
  <c r="L10" i="1" a="1"/>
  <c r="L10" i="1" s="1"/>
  <c r="L19" i="1" a="1"/>
  <c r="L19" i="1" s="1"/>
  <c r="L28" i="1" a="1"/>
  <c r="L28" i="1" s="1"/>
  <c r="L37" i="1" a="1"/>
  <c r="L37" i="1" s="1"/>
  <c r="L46" i="1" a="1"/>
  <c r="L46" i="1" s="1"/>
  <c r="L52" i="1" a="1"/>
  <c r="L52" i="1" s="1"/>
  <c r="L58" i="1" a="1"/>
  <c r="L58" i="1" s="1"/>
  <c r="L64" i="1" a="1"/>
  <c r="L64" i="1" s="1"/>
  <c r="L70" i="1" a="1"/>
  <c r="L70" i="1" s="1"/>
  <c r="L76" i="1" a="1"/>
  <c r="L76" i="1" s="1"/>
  <c r="L82" i="1" a="1"/>
  <c r="L82" i="1" s="1"/>
  <c r="L105" i="1" a="1"/>
  <c r="L105" i="1" s="1"/>
  <c r="L111" i="1" a="1"/>
  <c r="L111" i="1" s="1"/>
  <c r="L117" i="1" a="1"/>
  <c r="L117" i="1" s="1"/>
  <c r="L123" i="1" a="1"/>
  <c r="L123" i="1" s="1"/>
  <c r="L129" i="1" a="1"/>
  <c r="L129" i="1" s="1"/>
  <c r="L135" i="1" a="1"/>
  <c r="L135" i="1" s="1"/>
  <c r="L141" i="1" a="1"/>
  <c r="L141" i="1" s="1"/>
  <c r="L147" i="1" a="1"/>
  <c r="L147" i="1" s="1"/>
  <c r="L153" i="1" a="1"/>
  <c r="L153" i="1" s="1"/>
  <c r="L159" i="1" a="1"/>
  <c r="L159" i="1" s="1"/>
  <c r="L165" i="1" a="1"/>
  <c r="L165" i="1" s="1"/>
  <c r="L171" i="1" a="1"/>
  <c r="L171" i="1" s="1"/>
  <c r="L177" i="1" a="1"/>
  <c r="L177" i="1" s="1"/>
  <c r="L183" i="1" a="1"/>
  <c r="L183" i="1" s="1"/>
  <c r="L189" i="1" a="1"/>
  <c r="L189" i="1" s="1"/>
  <c r="L195" i="1" a="1"/>
  <c r="L195" i="1" s="1"/>
  <c r="L201" i="1" a="1"/>
  <c r="L201" i="1" s="1"/>
  <c r="L207" i="1" a="1"/>
  <c r="L207" i="1" s="1"/>
  <c r="L213" i="1" a="1"/>
  <c r="L213" i="1" s="1"/>
  <c r="L219" i="1" a="1"/>
  <c r="L219" i="1" s="1"/>
  <c r="L225" i="1" a="1"/>
  <c r="L225" i="1" s="1"/>
  <c r="L231" i="1" a="1"/>
  <c r="L231" i="1" s="1"/>
  <c r="L236" i="1" a="1"/>
  <c r="L236" i="1" s="1"/>
  <c r="L240" i="1" a="1"/>
  <c r="L240" i="1" s="1"/>
  <c r="L245" i="1" a="1"/>
  <c r="L245" i="1" s="1"/>
  <c r="L249" i="1" a="1"/>
  <c r="L249" i="1" s="1"/>
  <c r="L254" i="1" a="1"/>
  <c r="L254" i="1" s="1"/>
  <c r="L258" i="1" a="1"/>
  <c r="L258" i="1" s="1"/>
  <c r="L261" i="1" a="1"/>
  <c r="L261" i="1" s="1"/>
  <c r="L264" i="1" a="1"/>
  <c r="L264" i="1" s="1"/>
  <c r="L267" i="1" a="1"/>
  <c r="L267" i="1" s="1"/>
  <c r="L270" i="1" a="1"/>
  <c r="L270" i="1" s="1"/>
  <c r="L273" i="1" a="1"/>
  <c r="L273" i="1" s="1"/>
  <c r="L276" i="1" a="1"/>
  <c r="L276" i="1" s="1"/>
  <c r="L279" i="1" a="1"/>
  <c r="L279" i="1" s="1"/>
  <c r="L282" i="1" a="1"/>
  <c r="L282" i="1" s="1"/>
  <c r="L285" i="1" a="1"/>
  <c r="L285" i="1" s="1"/>
  <c r="L288" i="1" a="1"/>
  <c r="L288" i="1" s="1"/>
  <c r="L291" i="1" a="1"/>
  <c r="L291" i="1" s="1"/>
  <c r="L294" i="1" a="1"/>
  <c r="L294" i="1" s="1"/>
  <c r="L297" i="1" a="1"/>
  <c r="L297" i="1" s="1"/>
  <c r="L300" i="1" a="1"/>
  <c r="L300" i="1" s="1"/>
  <c r="L303" i="1" a="1"/>
  <c r="L303" i="1" s="1"/>
  <c r="K265" i="1" a="1"/>
  <c r="K265" i="1" s="1"/>
  <c r="L11" i="1" a="1"/>
  <c r="L11" i="1" s="1"/>
  <c r="L38" i="1" a="1"/>
  <c r="L38" i="1" s="1"/>
  <c r="L71" i="1" a="1"/>
  <c r="L71" i="1" s="1"/>
  <c r="L124" i="1" a="1"/>
  <c r="L124" i="1" s="1"/>
  <c r="L160" i="1" a="1"/>
  <c r="L160" i="1" s="1"/>
  <c r="L196" i="1" a="1"/>
  <c r="L196" i="1" s="1"/>
  <c r="L232" i="1" a="1"/>
  <c r="L232" i="1" s="1"/>
  <c r="L287" i="1" a="1"/>
  <c r="L287" i="1" s="1"/>
  <c r="L293" i="1" a="1"/>
  <c r="L293" i="1" s="1"/>
  <c r="L299" i="1" a="1"/>
  <c r="L299" i="1" s="1"/>
  <c r="L304" i="1" a="1"/>
  <c r="L304" i="1" s="1"/>
  <c r="L311" i="1" a="1"/>
  <c r="L311" i="1" s="1"/>
  <c r="L315" i="1" a="1"/>
  <c r="L315" i="1" s="1"/>
  <c r="L322" i="1" a="1"/>
  <c r="L322" i="1" s="1"/>
  <c r="L329" i="1" a="1"/>
  <c r="L329" i="1" s="1"/>
  <c r="L333" i="1" a="1"/>
  <c r="L333" i="1" s="1"/>
  <c r="L340" i="1" a="1"/>
  <c r="L340" i="1" s="1"/>
  <c r="L347" i="1" a="1"/>
  <c r="L347" i="1" s="1"/>
  <c r="L351" i="1" a="1"/>
  <c r="L351" i="1" s="1"/>
  <c r="L358" i="1" a="1"/>
  <c r="L358" i="1" s="1"/>
  <c r="L361" i="1" a="1"/>
  <c r="L361" i="1" s="1"/>
  <c r="L364" i="1" a="1"/>
  <c r="L364" i="1" s="1"/>
  <c r="L367" i="1" a="1"/>
  <c r="L367" i="1" s="1"/>
  <c r="L370" i="1" a="1"/>
  <c r="L370" i="1" s="1"/>
  <c r="L373" i="1" a="1"/>
  <c r="L373" i="1" s="1"/>
  <c r="L376" i="1" a="1"/>
  <c r="L376" i="1" s="1"/>
  <c r="L379" i="1" a="1"/>
  <c r="L379" i="1" s="1"/>
  <c r="L382" i="1" a="1"/>
  <c r="L382" i="1" s="1"/>
  <c r="L385" i="1" a="1"/>
  <c r="L385" i="1" s="1"/>
  <c r="L15" i="1" a="1"/>
  <c r="L15" i="1" s="1"/>
  <c r="L42" i="1" a="1"/>
  <c r="L42" i="1" s="1"/>
  <c r="L77" i="1" a="1"/>
  <c r="L77" i="1" s="1"/>
  <c r="L130" i="1" a="1"/>
  <c r="L130" i="1" s="1"/>
  <c r="L166" i="1" a="1"/>
  <c r="L166" i="1" s="1"/>
  <c r="L202" i="1" a="1"/>
  <c r="L202" i="1" s="1"/>
  <c r="L272" i="1" a="1"/>
  <c r="L272" i="1" s="1"/>
  <c r="L281" i="1" a="1"/>
  <c r="L281" i="1" s="1"/>
  <c r="L308" i="1" a="1"/>
  <c r="L308" i="1" s="1"/>
  <c r="L312" i="1" a="1"/>
  <c r="L312" i="1" s="1"/>
  <c r="L319" i="1" a="1"/>
  <c r="L319" i="1" s="1"/>
  <c r="L326" i="1" a="1"/>
  <c r="L326" i="1" s="1"/>
  <c r="L330" i="1" a="1"/>
  <c r="L330" i="1" s="1"/>
  <c r="L337" i="1" a="1"/>
  <c r="L337" i="1" s="1"/>
  <c r="L344" i="1" a="1"/>
  <c r="L344" i="1" s="1"/>
  <c r="L348" i="1" a="1"/>
  <c r="L348" i="1" s="1"/>
  <c r="L355" i="1" a="1"/>
  <c r="L355" i="1" s="1"/>
  <c r="L87" i="1" a="1"/>
  <c r="L87" i="1" s="1"/>
  <c r="L20" i="1" a="1"/>
  <c r="L20" i="1" s="1"/>
  <c r="L47" i="1" a="1"/>
  <c r="L47" i="1" s="1"/>
  <c r="L83" i="1" a="1"/>
  <c r="L83" i="1" s="1"/>
  <c r="L136" i="1" a="1"/>
  <c r="L136" i="1" s="1"/>
  <c r="L172" i="1" a="1"/>
  <c r="L172" i="1" s="1"/>
  <c r="L208" i="1" a="1"/>
  <c r="L208" i="1" s="1"/>
  <c r="L241" i="1" a="1"/>
  <c r="L241" i="1" s="1"/>
  <c r="L289" i="1" a="1"/>
  <c r="L289" i="1" s="1"/>
  <c r="L295" i="1" a="1"/>
  <c r="L295" i="1" s="1"/>
  <c r="L301" i="1" a="1"/>
  <c r="L301" i="1" s="1"/>
  <c r="L305" i="1" a="1"/>
  <c r="L305" i="1" s="1"/>
  <c r="L309" i="1" a="1"/>
  <c r="L309" i="1" s="1"/>
  <c r="L316" i="1" a="1"/>
  <c r="L316" i="1" s="1"/>
  <c r="L323" i="1" a="1"/>
  <c r="L323" i="1" s="1"/>
  <c r="L327" i="1" a="1"/>
  <c r="L327" i="1" s="1"/>
  <c r="L334" i="1" a="1"/>
  <c r="L334" i="1" s="1"/>
  <c r="L341" i="1" a="1"/>
  <c r="L341" i="1" s="1"/>
  <c r="L345" i="1" a="1"/>
  <c r="L345" i="1" s="1"/>
  <c r="L352" i="1" a="1"/>
  <c r="L352" i="1" s="1"/>
  <c r="L359" i="1" a="1"/>
  <c r="L359" i="1" s="1"/>
  <c r="L362" i="1" a="1"/>
  <c r="L362" i="1" s="1"/>
  <c r="L365" i="1" a="1"/>
  <c r="L365" i="1" s="1"/>
  <c r="L368" i="1" a="1"/>
  <c r="L368" i="1" s="1"/>
  <c r="L371" i="1" a="1"/>
  <c r="L371" i="1" s="1"/>
  <c r="L374" i="1" a="1"/>
  <c r="L374" i="1" s="1"/>
  <c r="L377" i="1" a="1"/>
  <c r="L377" i="1" s="1"/>
  <c r="L380" i="1" a="1"/>
  <c r="L380" i="1" s="1"/>
  <c r="L383" i="1" a="1"/>
  <c r="L383" i="1" s="1"/>
  <c r="L2" i="1" a="1"/>
  <c r="L2" i="1" s="1"/>
  <c r="L93" i="1" a="1"/>
  <c r="L93" i="1" s="1"/>
  <c r="L24" i="1" a="1"/>
  <c r="L24" i="1" s="1"/>
  <c r="L53" i="1" a="1"/>
  <c r="L53" i="1" s="1"/>
  <c r="L106" i="1" a="1"/>
  <c r="L106" i="1" s="1"/>
  <c r="L142" i="1" a="1"/>
  <c r="L142" i="1" s="1"/>
  <c r="L178" i="1" a="1"/>
  <c r="L178" i="1" s="1"/>
  <c r="L214" i="1" a="1"/>
  <c r="L214" i="1" s="1"/>
  <c r="L266" i="1" a="1"/>
  <c r="L266" i="1" s="1"/>
  <c r="L275" i="1" a="1"/>
  <c r="L275" i="1" s="1"/>
  <c r="L284" i="1" a="1"/>
  <c r="L284" i="1" s="1"/>
  <c r="L290" i="1" a="1"/>
  <c r="L290" i="1" s="1"/>
  <c r="L296" i="1" a="1"/>
  <c r="L296" i="1" s="1"/>
  <c r="L306" i="1" a="1"/>
  <c r="L306" i="1" s="1"/>
  <c r="L313" i="1" a="1"/>
  <c r="L313" i="1" s="1"/>
  <c r="L320" i="1" a="1"/>
  <c r="L320" i="1" s="1"/>
  <c r="L324" i="1" a="1"/>
  <c r="L324" i="1" s="1"/>
  <c r="L331" i="1" a="1"/>
  <c r="L331" i="1" s="1"/>
  <c r="L338" i="1" a="1"/>
  <c r="L338" i="1" s="1"/>
  <c r="L342" i="1" a="1"/>
  <c r="L342" i="1" s="1"/>
  <c r="L349" i="1" a="1"/>
  <c r="L349" i="1" s="1"/>
  <c r="L356" i="1" a="1"/>
  <c r="L356" i="1" s="1"/>
  <c r="L99" i="1" a="1"/>
  <c r="L99" i="1" s="1"/>
  <c r="L29" i="1" a="1"/>
  <c r="L29" i="1" s="1"/>
  <c r="L59" i="1" a="1"/>
  <c r="L59" i="1" s="1"/>
  <c r="L112" i="1" a="1"/>
  <c r="L112" i="1" s="1"/>
  <c r="L148" i="1" a="1"/>
  <c r="L148" i="1" s="1"/>
  <c r="L184" i="1" a="1"/>
  <c r="L184" i="1" s="1"/>
  <c r="L220" i="1" a="1"/>
  <c r="L220" i="1" s="1"/>
  <c r="L250" i="1" a="1"/>
  <c r="L250" i="1" s="1"/>
  <c r="L302" i="1" a="1"/>
  <c r="L302" i="1" s="1"/>
  <c r="L310" i="1" a="1"/>
  <c r="L310" i="1" s="1"/>
  <c r="L317" i="1" a="1"/>
  <c r="L317" i="1" s="1"/>
  <c r="L321" i="1" a="1"/>
  <c r="L321" i="1" s="1"/>
  <c r="L328" i="1" a="1"/>
  <c r="L328" i="1" s="1"/>
  <c r="L335" i="1" a="1"/>
  <c r="L335" i="1" s="1"/>
  <c r="L339" i="1" a="1"/>
  <c r="L339" i="1" s="1"/>
  <c r="L346" i="1" a="1"/>
  <c r="L346" i="1" s="1"/>
  <c r="L353" i="1" a="1"/>
  <c r="L353" i="1" s="1"/>
  <c r="L357" i="1" a="1"/>
  <c r="L357" i="1" s="1"/>
  <c r="L360" i="1" a="1"/>
  <c r="L360" i="1" s="1"/>
  <c r="L363" i="1" a="1"/>
  <c r="L363" i="1" s="1"/>
  <c r="L366" i="1" a="1"/>
  <c r="L366" i="1" s="1"/>
  <c r="L369" i="1" a="1"/>
  <c r="L369" i="1" s="1"/>
  <c r="L372" i="1" a="1"/>
  <c r="L372" i="1" s="1"/>
  <c r="L375" i="1" a="1"/>
  <c r="L375" i="1" s="1"/>
  <c r="L378" i="1" a="1"/>
  <c r="L378" i="1" s="1"/>
  <c r="L381" i="1" a="1"/>
  <c r="L381" i="1" s="1"/>
  <c r="L384" i="1" a="1"/>
  <c r="L384" i="1" s="1"/>
  <c r="AD98" i="4"/>
  <c r="AD8" i="4"/>
  <c r="AD21" i="4"/>
  <c r="AD66" i="4"/>
  <c r="AD24" i="4"/>
  <c r="AD43" i="4"/>
  <c r="AD88" i="4"/>
  <c r="AD67" i="4"/>
  <c r="AD84" i="4"/>
  <c r="AD65" i="4"/>
  <c r="AD11" i="4"/>
  <c r="AD20" i="4"/>
  <c r="AD75" i="4"/>
  <c r="AD56" i="4"/>
  <c r="AD51" i="4"/>
  <c r="AD47" i="4"/>
  <c r="AD85" i="4"/>
  <c r="AD61" i="4"/>
  <c r="AD14" i="4"/>
  <c r="AD62" i="4"/>
  <c r="AD48" i="4"/>
  <c r="AD44" i="4"/>
  <c r="AD81" i="4"/>
  <c r="AD33" i="4"/>
  <c r="AD16" i="4"/>
  <c r="AD25" i="4"/>
  <c r="AD96" i="4"/>
  <c r="AD80" i="4"/>
  <c r="AD77" i="4"/>
  <c r="AD53" i="4"/>
  <c r="AD10" i="4"/>
  <c r="AD19" i="4"/>
  <c r="AD92" i="4"/>
  <c r="AD83" i="4"/>
  <c r="AD28" i="4"/>
  <c r="AD72" i="4"/>
  <c r="AD63" i="4"/>
  <c r="AD97" i="4"/>
  <c r="AD73" i="4"/>
  <c r="AD23" i="4"/>
  <c r="AD70" i="4"/>
  <c r="AD55" i="4"/>
  <c r="AD71" i="4"/>
  <c r="AD76" i="4"/>
  <c r="AD90" i="4"/>
  <c r="AD58" i="4"/>
  <c r="AD93" i="4"/>
  <c r="AD45" i="4"/>
  <c r="E696" i="1" a="1"/>
  <c r="E696" i="1" s="1"/>
  <c r="I696" i="15" s="1"/>
  <c r="E44" i="1" a="1"/>
  <c r="E44" i="1" s="1"/>
  <c r="I44" i="15" s="1"/>
  <c r="E828" i="1" a="1"/>
  <c r="E828" i="1" s="1"/>
  <c r="I828" i="15" s="1"/>
  <c r="E774" i="1" a="1"/>
  <c r="E774" i="1" s="1"/>
  <c r="I774" i="15" s="1"/>
  <c r="E726" i="1" a="1"/>
  <c r="E726" i="1" s="1"/>
  <c r="I726" i="15" s="1"/>
  <c r="E62" i="1" a="1"/>
  <c r="E62" i="1" s="1"/>
  <c r="I62" i="15" s="1"/>
  <c r="E26" i="1" a="1"/>
  <c r="E26" i="1" s="1"/>
  <c r="I26" i="15" s="1"/>
  <c r="E134" i="1" a="1"/>
  <c r="E134" i="1" s="1"/>
  <c r="I134" i="15" s="1"/>
  <c r="E50" i="1" a="1"/>
  <c r="E50" i="1" s="1"/>
  <c r="I50" i="15" s="1"/>
  <c r="E714" i="1" a="1"/>
  <c r="E714" i="1" s="1"/>
  <c r="I714" i="15" s="1"/>
  <c r="E110" i="1" a="1"/>
  <c r="E110" i="1" s="1"/>
  <c r="I110" i="15" s="1"/>
  <c r="E38" i="1" a="1"/>
  <c r="E38" i="1" s="1"/>
  <c r="I38" i="15" s="1"/>
  <c r="E834" i="1" a="1"/>
  <c r="E834" i="1" s="1"/>
  <c r="I834" i="15" s="1"/>
  <c r="E780" i="1" a="1"/>
  <c r="E780" i="1" s="1"/>
  <c r="I780" i="15" s="1"/>
  <c r="E678" i="1" a="1"/>
  <c r="E678" i="1" s="1"/>
  <c r="I678" i="15" s="1"/>
  <c r="E624" i="1" a="1"/>
  <c r="E624" i="1" s="1"/>
  <c r="I624" i="15" s="1"/>
  <c r="E570" i="1" a="1"/>
  <c r="E570" i="1" s="1"/>
  <c r="I570" i="15" s="1"/>
  <c r="E114" i="1" a="1"/>
  <c r="E114" i="1" s="1"/>
  <c r="I114" i="15" s="1"/>
  <c r="E880" i="1" a="1"/>
  <c r="E880" i="1" s="1"/>
  <c r="I880" i="15" s="1"/>
  <c r="E808" i="1" a="1"/>
  <c r="E808" i="1" s="1"/>
  <c r="I808" i="15" s="1"/>
  <c r="E790" i="1" a="1"/>
  <c r="E790" i="1" s="1"/>
  <c r="I790" i="15" s="1"/>
  <c r="E5" i="1" a="1"/>
  <c r="E5" i="1" s="1"/>
  <c r="I5" i="15" s="1"/>
  <c r="E150" i="1" a="1"/>
  <c r="E150" i="1" s="1"/>
  <c r="I150" i="15" s="1"/>
  <c r="E120" i="1" a="1"/>
  <c r="E120" i="1" s="1"/>
  <c r="I120" i="15" s="1"/>
  <c r="E78" i="1" a="1"/>
  <c r="E78" i="1" s="1"/>
  <c r="I78" i="15" s="1"/>
  <c r="E2" i="1" a="1"/>
  <c r="E2" i="1" s="1"/>
  <c r="I2" i="15" s="1"/>
  <c r="E167" i="1" a="1"/>
  <c r="E167" i="1" s="1"/>
  <c r="I167" i="15" s="1"/>
  <c r="E155" i="1" a="1"/>
  <c r="E155" i="1" s="1"/>
  <c r="I155" i="15" s="1"/>
  <c r="E143" i="1" a="1"/>
  <c r="E143" i="1" s="1"/>
  <c r="I143" i="15" s="1"/>
  <c r="E131" i="1" a="1"/>
  <c r="E131" i="1" s="1"/>
  <c r="I131" i="15" s="1"/>
  <c r="E119" i="1" a="1"/>
  <c r="E119" i="1" s="1"/>
  <c r="I119" i="15" s="1"/>
  <c r="E871" i="1" a="1"/>
  <c r="E871" i="1" s="1"/>
  <c r="I871" i="15" s="1"/>
  <c r="E853" i="1" a="1"/>
  <c r="E853" i="1" s="1"/>
  <c r="I853" i="15" s="1"/>
  <c r="E835" i="1" a="1"/>
  <c r="E835" i="1" s="1"/>
  <c r="I835" i="15" s="1"/>
  <c r="E817" i="1" a="1"/>
  <c r="E817" i="1" s="1"/>
  <c r="I817" i="15" s="1"/>
  <c r="E799" i="1" a="1"/>
  <c r="E799" i="1" s="1"/>
  <c r="I799" i="15" s="1"/>
  <c r="E781" i="1" a="1"/>
  <c r="E781" i="1" s="1"/>
  <c r="I781" i="15" s="1"/>
  <c r="E763" i="1" a="1"/>
  <c r="E763" i="1" s="1"/>
  <c r="I763" i="15" s="1"/>
  <c r="E745" i="1" a="1"/>
  <c r="E745" i="1" s="1"/>
  <c r="I745" i="15" s="1"/>
  <c r="E727" i="1" a="1"/>
  <c r="E727" i="1" s="1"/>
  <c r="I727" i="15" s="1"/>
  <c r="E709" i="1" a="1"/>
  <c r="E709" i="1" s="1"/>
  <c r="I709" i="15" s="1"/>
  <c r="E691" i="1" a="1"/>
  <c r="E691" i="1" s="1"/>
  <c r="I691" i="15" s="1"/>
  <c r="E673" i="1" a="1"/>
  <c r="E673" i="1" s="1"/>
  <c r="I673" i="15" s="1"/>
  <c r="E655" i="1" a="1"/>
  <c r="E655" i="1" s="1"/>
  <c r="I655" i="15" s="1"/>
  <c r="E637" i="1" a="1"/>
  <c r="E637" i="1" s="1"/>
  <c r="I637" i="15" s="1"/>
  <c r="E619" i="1" a="1"/>
  <c r="E619" i="1" s="1"/>
  <c r="I619" i="15" s="1"/>
  <c r="E601" i="1" a="1"/>
  <c r="E601" i="1" s="1"/>
  <c r="I601" i="15" s="1"/>
  <c r="E583" i="1" a="1"/>
  <c r="E583" i="1" s="1"/>
  <c r="I583" i="15" s="1"/>
  <c r="E565" i="1" a="1"/>
  <c r="E565" i="1" s="1"/>
  <c r="I565" i="15" s="1"/>
  <c r="E547" i="1" a="1"/>
  <c r="E547" i="1" s="1"/>
  <c r="I547" i="15" s="1"/>
  <c r="E529" i="1" a="1"/>
  <c r="E529" i="1" s="1"/>
  <c r="E486" i="1" a="1"/>
  <c r="E486" i="1" s="1"/>
  <c r="I486" i="15" s="1"/>
  <c r="E169" i="1" a="1"/>
  <c r="E169" i="1" s="1"/>
  <c r="I169" i="15" s="1"/>
  <c r="E151" i="1" a="1"/>
  <c r="E151" i="1" s="1"/>
  <c r="I151" i="15" s="1"/>
  <c r="E133" i="1" a="1"/>
  <c r="E133" i="1" s="1"/>
  <c r="I133" i="15" s="1"/>
  <c r="E121" i="1" a="1"/>
  <c r="E121" i="1" s="1"/>
  <c r="I121" i="15" s="1"/>
  <c r="E109" i="1" a="1"/>
  <c r="E109" i="1" s="1"/>
  <c r="I109" i="15" s="1"/>
  <c r="E97" i="1" a="1"/>
  <c r="E97" i="1" s="1"/>
  <c r="I97" i="15" s="1"/>
  <c r="E85" i="1" a="1"/>
  <c r="E85" i="1" s="1"/>
  <c r="I85" i="15" s="1"/>
  <c r="E73" i="1" a="1"/>
  <c r="E73" i="1" s="1"/>
  <c r="I73" i="15" s="1"/>
  <c r="E61" i="1" a="1"/>
  <c r="E61" i="1" s="1"/>
  <c r="I61" i="15" s="1"/>
  <c r="E49" i="1" a="1"/>
  <c r="E49" i="1" s="1"/>
  <c r="I49" i="15" s="1"/>
  <c r="E37" i="1" a="1"/>
  <c r="E37" i="1" s="1"/>
  <c r="I37" i="15" s="1"/>
  <c r="E25" i="1" a="1"/>
  <c r="E25" i="1" s="1"/>
  <c r="E13" i="1" a="1"/>
  <c r="E13" i="1" s="1"/>
  <c r="I13" i="15" s="1"/>
  <c r="E815" i="1" a="1"/>
  <c r="E815" i="1" s="1"/>
  <c r="I815" i="15" s="1"/>
  <c r="E797" i="1" a="1"/>
  <c r="E797" i="1" s="1"/>
  <c r="I797" i="15" s="1"/>
  <c r="E743" i="1" a="1"/>
  <c r="E743" i="1" s="1"/>
  <c r="I743" i="15" s="1"/>
  <c r="E478" i="1" a="1"/>
  <c r="E478" i="1" s="1"/>
  <c r="I478" i="15" s="1"/>
  <c r="E460" i="1" a="1"/>
  <c r="E460" i="1" s="1"/>
  <c r="I460" i="15" s="1"/>
  <c r="E442" i="1" a="1"/>
  <c r="E442" i="1" s="1"/>
  <c r="I442" i="15" s="1"/>
  <c r="E418" i="1" a="1"/>
  <c r="E418" i="1" s="1"/>
  <c r="I418" i="15" s="1"/>
  <c r="E400" i="1" a="1"/>
  <c r="E400" i="1" s="1"/>
  <c r="I400" i="15" s="1"/>
  <c r="E382" i="1" a="1"/>
  <c r="E382" i="1" s="1"/>
  <c r="I382" i="15" s="1"/>
  <c r="E340" i="1" a="1"/>
  <c r="E340" i="1" s="1"/>
  <c r="I340" i="15" s="1"/>
  <c r="E322" i="1" a="1"/>
  <c r="E322" i="1" s="1"/>
  <c r="I322" i="15" s="1"/>
  <c r="E262" i="1" a="1"/>
  <c r="E262" i="1" s="1"/>
  <c r="I262" i="15" s="1"/>
  <c r="E244" i="1" a="1"/>
  <c r="E244" i="1" s="1"/>
  <c r="I244" i="15" s="1"/>
  <c r="E122" i="1" a="1"/>
  <c r="E122" i="1" s="1"/>
  <c r="I122" i="15" s="1"/>
  <c r="E146" i="1" a="1"/>
  <c r="E146" i="1" s="1"/>
  <c r="I146" i="15" s="1"/>
  <c r="E80" i="1" a="1"/>
  <c r="E80" i="1" s="1"/>
  <c r="I80" i="15" s="1"/>
  <c r="E876" i="1" a="1"/>
  <c r="E876" i="1" s="1"/>
  <c r="I876" i="15" s="1"/>
  <c r="E822" i="1" a="1"/>
  <c r="E822" i="1" s="1"/>
  <c r="I822" i="15" s="1"/>
  <c r="E768" i="1" a="1"/>
  <c r="E768" i="1" s="1"/>
  <c r="I768" i="15" s="1"/>
  <c r="E11" i="1" a="1"/>
  <c r="E11" i="1" s="1"/>
  <c r="I11" i="15" s="1"/>
  <c r="E168" i="1" a="1"/>
  <c r="E168" i="1" s="1"/>
  <c r="I168" i="15" s="1"/>
  <c r="E138" i="1" a="1"/>
  <c r="E138" i="1" s="1"/>
  <c r="I138" i="15" s="1"/>
  <c r="E66" i="1" a="1"/>
  <c r="E66" i="1" s="1"/>
  <c r="I66" i="15" s="1"/>
  <c r="E42" i="1" a="1"/>
  <c r="E42" i="1" s="1"/>
  <c r="I42" i="15" s="1"/>
  <c r="E856" i="1" a="1"/>
  <c r="E856" i="1" s="1"/>
  <c r="I856" i="15" s="1"/>
  <c r="E838" i="1" a="1"/>
  <c r="E838" i="1" s="1"/>
  <c r="I838" i="15" s="1"/>
  <c r="E820" i="1" a="1"/>
  <c r="E820" i="1" s="1"/>
  <c r="I820" i="15" s="1"/>
  <c r="E784" i="1" a="1"/>
  <c r="E784" i="1" s="1"/>
  <c r="I784" i="15" s="1"/>
  <c r="E748" i="1" a="1"/>
  <c r="E748" i="1" s="1"/>
  <c r="I748" i="15" s="1"/>
  <c r="E730" i="1" a="1"/>
  <c r="E730" i="1" s="1"/>
  <c r="I730" i="15" s="1"/>
  <c r="E712" i="1" a="1"/>
  <c r="E712" i="1" s="1"/>
  <c r="I712" i="15" s="1"/>
  <c r="E694" i="1" a="1"/>
  <c r="E694" i="1" s="1"/>
  <c r="I694" i="15" s="1"/>
  <c r="E676" i="1" a="1"/>
  <c r="E676" i="1" s="1"/>
  <c r="I676" i="15" s="1"/>
  <c r="E658" i="1" a="1"/>
  <c r="E658" i="1" s="1"/>
  <c r="I658" i="15" s="1"/>
  <c r="E640" i="1" a="1"/>
  <c r="E640" i="1" s="1"/>
  <c r="I640" i="15" s="1"/>
  <c r="E622" i="1" a="1"/>
  <c r="E622" i="1" s="1"/>
  <c r="I622" i="15" s="1"/>
  <c r="E604" i="1" a="1"/>
  <c r="E604" i="1" s="1"/>
  <c r="I604" i="15" s="1"/>
  <c r="E586" i="1" a="1"/>
  <c r="E586" i="1" s="1"/>
  <c r="I586" i="15" s="1"/>
  <c r="E568" i="1" a="1"/>
  <c r="E568" i="1" s="1"/>
  <c r="I568" i="15" s="1"/>
  <c r="E550" i="1" a="1"/>
  <c r="E550" i="1" s="1"/>
  <c r="I550" i="15" s="1"/>
  <c r="E532" i="1" a="1"/>
  <c r="E532" i="1" s="1"/>
  <c r="I532" i="15" s="1"/>
  <c r="E648" i="1" a="1"/>
  <c r="E648" i="1" s="1"/>
  <c r="I648" i="15" s="1"/>
  <c r="E594" i="1" a="1"/>
  <c r="E594" i="1" s="1"/>
  <c r="I594" i="15" s="1"/>
  <c r="E72" i="1" a="1"/>
  <c r="E72" i="1" s="1"/>
  <c r="I72" i="15" s="1"/>
  <c r="E48" i="1" a="1"/>
  <c r="E48" i="1" s="1"/>
  <c r="I48" i="15" s="1"/>
  <c r="E690" i="1" a="1"/>
  <c r="E690" i="1" s="1"/>
  <c r="I690" i="15" s="1"/>
  <c r="E636" i="1" a="1"/>
  <c r="E636" i="1" s="1"/>
  <c r="I636" i="15" s="1"/>
  <c r="E582" i="1" a="1"/>
  <c r="E582" i="1" s="1"/>
  <c r="I582" i="15" s="1"/>
  <c r="E881" i="1" a="1"/>
  <c r="E881" i="1" s="1"/>
  <c r="I881" i="15" s="1"/>
  <c r="E863" i="1" a="1"/>
  <c r="E863" i="1" s="1"/>
  <c r="I863" i="15" s="1"/>
  <c r="E845" i="1" a="1"/>
  <c r="E845" i="1" s="1"/>
  <c r="I845" i="15" s="1"/>
  <c r="E827" i="1" a="1"/>
  <c r="E827" i="1" s="1"/>
  <c r="I827" i="15" s="1"/>
  <c r="E809" i="1" a="1"/>
  <c r="E809" i="1" s="1"/>
  <c r="I809" i="15" s="1"/>
  <c r="E791" i="1" a="1"/>
  <c r="E791" i="1" s="1"/>
  <c r="I791" i="15" s="1"/>
  <c r="E773" i="1" a="1"/>
  <c r="E773" i="1" s="1"/>
  <c r="I773" i="15" s="1"/>
  <c r="E755" i="1" a="1"/>
  <c r="E755" i="1" s="1"/>
  <c r="I755" i="15" s="1"/>
  <c r="E737" i="1" a="1"/>
  <c r="E737" i="1" s="1"/>
  <c r="I737" i="15" s="1"/>
  <c r="E719" i="1" a="1"/>
  <c r="E719" i="1" s="1"/>
  <c r="I719" i="15" s="1"/>
  <c r="E701" i="1" a="1"/>
  <c r="E701" i="1" s="1"/>
  <c r="I701" i="15" s="1"/>
  <c r="E683" i="1" a="1"/>
  <c r="E683" i="1" s="1"/>
  <c r="I683" i="15" s="1"/>
  <c r="E665" i="1" a="1"/>
  <c r="E665" i="1" s="1"/>
  <c r="I665" i="15" s="1"/>
  <c r="E647" i="1" a="1"/>
  <c r="E647" i="1" s="1"/>
  <c r="I647" i="15" s="1"/>
  <c r="E629" i="1" a="1"/>
  <c r="E629" i="1" s="1"/>
  <c r="I629" i="15" s="1"/>
  <c r="E611" i="1" a="1"/>
  <c r="E611" i="1" s="1"/>
  <c r="I611" i="15" s="1"/>
  <c r="E593" i="1" a="1"/>
  <c r="E593" i="1" s="1"/>
  <c r="I593" i="15" s="1"/>
  <c r="E575" i="1" a="1"/>
  <c r="E575" i="1" s="1"/>
  <c r="I575" i="15" s="1"/>
  <c r="E557" i="1" a="1"/>
  <c r="E557" i="1" s="1"/>
  <c r="I557" i="15" s="1"/>
  <c r="E496" i="1" a="1"/>
  <c r="E496" i="1" s="1"/>
  <c r="I496" i="15" s="1"/>
  <c r="E436" i="1" a="1"/>
  <c r="E436" i="1" s="1"/>
  <c r="I436" i="15" s="1"/>
  <c r="E376" i="1" a="1"/>
  <c r="E376" i="1" s="1"/>
  <c r="I376" i="15" s="1"/>
  <c r="E358" i="1" a="1"/>
  <c r="E358" i="1" s="1"/>
  <c r="I358" i="15" s="1"/>
  <c r="E298" i="1" a="1"/>
  <c r="E298" i="1" s="1"/>
  <c r="I298" i="15" s="1"/>
  <c r="E280" i="1" a="1"/>
  <c r="E280" i="1" s="1"/>
  <c r="I280" i="15" s="1"/>
  <c r="E220" i="1" a="1"/>
  <c r="E220" i="1" s="1"/>
  <c r="I220" i="15" s="1"/>
  <c r="E184" i="1" a="1"/>
  <c r="E184" i="1" s="1"/>
  <c r="I184" i="15" s="1"/>
  <c r="E699" i="1" a="1"/>
  <c r="E699" i="1" s="1"/>
  <c r="I699" i="15" s="1"/>
  <c r="E615" i="1" a="1"/>
  <c r="E615" i="1" s="1"/>
  <c r="I615" i="15" s="1"/>
  <c r="E555" i="1" a="1"/>
  <c r="E555" i="1" s="1"/>
  <c r="I555" i="15" s="1"/>
  <c r="E471" i="1" a="1"/>
  <c r="E471" i="1" s="1"/>
  <c r="I471" i="15" s="1"/>
  <c r="E411" i="1" a="1"/>
  <c r="E411" i="1" s="1"/>
  <c r="I411" i="15" s="1"/>
  <c r="E369" i="1" a="1"/>
  <c r="E369" i="1" s="1"/>
  <c r="I369" i="15" s="1"/>
  <c r="E351" i="1" a="1"/>
  <c r="E351" i="1" s="1"/>
  <c r="I351" i="15" s="1"/>
  <c r="E291" i="1" a="1"/>
  <c r="E291" i="1" s="1"/>
  <c r="I291" i="15" s="1"/>
  <c r="E273" i="1" a="1"/>
  <c r="E273" i="1" s="1"/>
  <c r="I273" i="15" s="1"/>
  <c r="E255" i="1" a="1"/>
  <c r="E255" i="1" s="1"/>
  <c r="I255" i="15" s="1"/>
  <c r="E98" i="1" a="1"/>
  <c r="E98" i="1" s="1"/>
  <c r="I98" i="15" s="1"/>
  <c r="E20" i="1" a="1"/>
  <c r="E20" i="1" s="1"/>
  <c r="I20" i="15" s="1"/>
  <c r="E864" i="1" a="1"/>
  <c r="E864" i="1" s="1"/>
  <c r="I864" i="15" s="1"/>
  <c r="E810" i="1" a="1"/>
  <c r="E810" i="1" s="1"/>
  <c r="I810" i="15" s="1"/>
  <c r="E762" i="1" a="1"/>
  <c r="E762" i="1" s="1"/>
  <c r="I762" i="15" s="1"/>
  <c r="E702" i="1" a="1"/>
  <c r="E702" i="1" s="1"/>
  <c r="I702" i="15" s="1"/>
  <c r="E32" i="1" a="1"/>
  <c r="E32" i="1" s="1"/>
  <c r="I32" i="15" s="1"/>
  <c r="E732" i="1" a="1"/>
  <c r="E732" i="1" s="1"/>
  <c r="I732" i="15" s="1"/>
  <c r="E870" i="1" a="1"/>
  <c r="E870" i="1" s="1"/>
  <c r="I870" i="15" s="1"/>
  <c r="E816" i="1" a="1"/>
  <c r="E816" i="1" s="1"/>
  <c r="I816" i="15" s="1"/>
  <c r="E750" i="1" a="1"/>
  <c r="E750" i="1" s="1"/>
  <c r="I750" i="15" s="1"/>
  <c r="E660" i="1" a="1"/>
  <c r="E660" i="1" s="1"/>
  <c r="I660" i="15" s="1"/>
  <c r="E606" i="1" a="1"/>
  <c r="E606" i="1" s="1"/>
  <c r="I606" i="15" s="1"/>
  <c r="E552" i="1" a="1"/>
  <c r="E552" i="1" s="1"/>
  <c r="I552" i="15" s="1"/>
  <c r="E96" i="1" a="1"/>
  <c r="E96" i="1" s="1"/>
  <c r="I96" i="15" s="1"/>
  <c r="E874" i="1" a="1"/>
  <c r="E874" i="1" s="1"/>
  <c r="I874" i="15" s="1"/>
  <c r="E802" i="1" a="1"/>
  <c r="E802" i="1" s="1"/>
  <c r="I802" i="15" s="1"/>
  <c r="E766" i="1" a="1"/>
  <c r="E766" i="1" s="1"/>
  <c r="I766" i="15" s="1"/>
  <c r="E144" i="1" a="1"/>
  <c r="E144" i="1" s="1"/>
  <c r="I144" i="15" s="1"/>
  <c r="E108" i="1" a="1"/>
  <c r="E108" i="1" s="1"/>
  <c r="I108" i="15" s="1"/>
  <c r="E90" i="1" a="1"/>
  <c r="E90" i="1" s="1"/>
  <c r="I90" i="15" s="1"/>
  <c r="E36" i="1" a="1"/>
  <c r="E36" i="1" s="1"/>
  <c r="I36" i="15" s="1"/>
  <c r="E18" i="1" a="1"/>
  <c r="E18" i="1" s="1"/>
  <c r="I18" i="15" s="1"/>
  <c r="E113" i="1" a="1"/>
  <c r="E113" i="1" s="1"/>
  <c r="I113" i="15" s="1"/>
  <c r="E101" i="1" a="1"/>
  <c r="E101" i="1" s="1"/>
  <c r="I101" i="15" s="1"/>
  <c r="E89" i="1" a="1"/>
  <c r="E89" i="1" s="1"/>
  <c r="I89" i="15" s="1"/>
  <c r="E77" i="1" a="1"/>
  <c r="E77" i="1" s="1"/>
  <c r="I77" i="15" s="1"/>
  <c r="E65" i="1" a="1"/>
  <c r="E65" i="1" s="1"/>
  <c r="I65" i="15" s="1"/>
  <c r="E53" i="1" a="1"/>
  <c r="E53" i="1" s="1"/>
  <c r="I53" i="15" s="1"/>
  <c r="E41" i="1" a="1"/>
  <c r="E41" i="1" s="1"/>
  <c r="I41" i="15" s="1"/>
  <c r="E29" i="1" a="1"/>
  <c r="E29" i="1" s="1"/>
  <c r="I29" i="15" s="1"/>
  <c r="E17" i="1" a="1"/>
  <c r="E17" i="1" s="1"/>
  <c r="I17" i="15" s="1"/>
  <c r="E10" i="1" a="1"/>
  <c r="E10" i="1" s="1"/>
  <c r="I10" i="15" s="1"/>
  <c r="E159" i="1" a="1"/>
  <c r="E159" i="1" s="1"/>
  <c r="I159" i="15" s="1"/>
  <c r="E147" i="1" a="1"/>
  <c r="E147" i="1" s="1"/>
  <c r="I147" i="15" s="1"/>
  <c r="E135" i="1" a="1"/>
  <c r="E135" i="1" s="1"/>
  <c r="I135" i="15" s="1"/>
  <c r="E123" i="1" a="1"/>
  <c r="E123" i="1" s="1"/>
  <c r="I123" i="15" s="1"/>
  <c r="E111" i="1" a="1"/>
  <c r="E111" i="1" s="1"/>
  <c r="I111" i="15" s="1"/>
  <c r="E99" i="1" a="1"/>
  <c r="E99" i="1" s="1"/>
  <c r="I99" i="15" s="1"/>
  <c r="E87" i="1" a="1"/>
  <c r="E87" i="1" s="1"/>
  <c r="I87" i="15" s="1"/>
  <c r="E75" i="1" a="1"/>
  <c r="E75" i="1" s="1"/>
  <c r="I75" i="15" s="1"/>
  <c r="E63" i="1" a="1"/>
  <c r="E63" i="1" s="1"/>
  <c r="I63" i="15" s="1"/>
  <c r="E51" i="1" a="1"/>
  <c r="E51" i="1" s="1"/>
  <c r="I51" i="15" s="1"/>
  <c r="E39" i="1" a="1"/>
  <c r="E39" i="1" s="1"/>
  <c r="I39" i="15" s="1"/>
  <c r="E27" i="1" a="1"/>
  <c r="E27" i="1" s="1"/>
  <c r="I27" i="15" s="1"/>
  <c r="E15" i="1" a="1"/>
  <c r="E15" i="1" s="1"/>
  <c r="I15" i="15" s="1"/>
  <c r="E865" i="1" a="1"/>
  <c r="E865" i="1" s="1"/>
  <c r="I865" i="15" s="1"/>
  <c r="E847" i="1" a="1"/>
  <c r="E847" i="1" s="1"/>
  <c r="I847" i="15" s="1"/>
  <c r="E829" i="1" a="1"/>
  <c r="E829" i="1" s="1"/>
  <c r="I829" i="15" s="1"/>
  <c r="E811" i="1" a="1"/>
  <c r="E811" i="1" s="1"/>
  <c r="I811" i="15" s="1"/>
  <c r="E775" i="1" a="1"/>
  <c r="E775" i="1" s="1"/>
  <c r="I775" i="15" s="1"/>
  <c r="E757" i="1" a="1"/>
  <c r="E757" i="1" s="1"/>
  <c r="I757" i="15" s="1"/>
  <c r="E739" i="1" a="1"/>
  <c r="E739" i="1" s="1"/>
  <c r="I739" i="15" s="1"/>
  <c r="E703" i="1" a="1"/>
  <c r="E703" i="1" s="1"/>
  <c r="I703" i="15" s="1"/>
  <c r="E685" i="1" a="1"/>
  <c r="E685" i="1" s="1"/>
  <c r="I685" i="15" s="1"/>
  <c r="E667" i="1" a="1"/>
  <c r="E667" i="1" s="1"/>
  <c r="I667" i="15" s="1"/>
  <c r="E649" i="1" a="1"/>
  <c r="E649" i="1" s="1"/>
  <c r="I649" i="15" s="1"/>
  <c r="E631" i="1" a="1"/>
  <c r="E631" i="1" s="1"/>
  <c r="I631" i="15" s="1"/>
  <c r="E613" i="1" a="1"/>
  <c r="E613" i="1" s="1"/>
  <c r="I613" i="15" s="1"/>
  <c r="E595" i="1" a="1"/>
  <c r="E595" i="1" s="1"/>
  <c r="I595" i="15" s="1"/>
  <c r="E577" i="1" a="1"/>
  <c r="E577" i="1" s="1"/>
  <c r="I577" i="15" s="1"/>
  <c r="E559" i="1" a="1"/>
  <c r="E559" i="1" s="1"/>
  <c r="I559" i="15" s="1"/>
  <c r="E541" i="1" a="1"/>
  <c r="E541" i="1" s="1"/>
  <c r="I541" i="15" s="1"/>
  <c r="E523" i="1" a="1"/>
  <c r="E523" i="1" s="1"/>
  <c r="I523" i="15" s="1"/>
  <c r="E514" i="1" a="1"/>
  <c r="E514" i="1" s="1"/>
  <c r="I514" i="15" s="1"/>
  <c r="E490" i="1" a="1"/>
  <c r="E490" i="1" s="1"/>
  <c r="I490" i="15" s="1"/>
  <c r="E472" i="1" a="1"/>
  <c r="E472" i="1" s="1"/>
  <c r="I472" i="15" s="1"/>
  <c r="E454" i="1" a="1"/>
  <c r="E454" i="1" s="1"/>
  <c r="I454" i="15" s="1"/>
  <c r="E412" i="1" a="1"/>
  <c r="E412" i="1" s="1"/>
  <c r="I412" i="15" s="1"/>
  <c r="E394" i="1" a="1"/>
  <c r="E394" i="1" s="1"/>
  <c r="I394" i="15" s="1"/>
  <c r="E334" i="1" a="1"/>
  <c r="E334" i="1" s="1"/>
  <c r="I334" i="15" s="1"/>
  <c r="E316" i="1" a="1"/>
  <c r="E316" i="1" s="1"/>
  <c r="I316" i="15" s="1"/>
  <c r="E274" i="1" a="1"/>
  <c r="E274" i="1" s="1"/>
  <c r="I274" i="15" s="1"/>
  <c r="E256" i="1" a="1"/>
  <c r="E256" i="1" s="1"/>
  <c r="I256" i="15" s="1"/>
  <c r="E238" i="1" a="1"/>
  <c r="E238" i="1" s="1"/>
  <c r="I238" i="15" s="1"/>
  <c r="E196" i="1" a="1"/>
  <c r="E196" i="1" s="1"/>
  <c r="I196" i="15" s="1"/>
  <c r="E693" i="1" a="1"/>
  <c r="E693" i="1" s="1"/>
  <c r="I693" i="15" s="1"/>
  <c r="E675" i="1" a="1"/>
  <c r="E675" i="1" s="1"/>
  <c r="I675" i="15" s="1"/>
  <c r="E549" i="1" a="1"/>
  <c r="E549" i="1" s="1"/>
  <c r="I549" i="15" s="1"/>
  <c r="E531" i="1" a="1"/>
  <c r="E531" i="1" s="1"/>
  <c r="I531" i="15" s="1"/>
  <c r="E405" i="1" a="1"/>
  <c r="E405" i="1" s="1"/>
  <c r="I405" i="15" s="1"/>
  <c r="E387" i="1" a="1"/>
  <c r="E387" i="1" s="1"/>
  <c r="I387" i="15" s="1"/>
  <c r="E327" i="1" a="1"/>
  <c r="E327" i="1" s="1"/>
  <c r="I327" i="15" s="1"/>
  <c r="E309" i="1" a="1"/>
  <c r="E309" i="1" s="1"/>
  <c r="I309" i="15" s="1"/>
  <c r="E249" i="1" a="1"/>
  <c r="E249" i="1" s="1"/>
  <c r="I249" i="15" s="1"/>
  <c r="E158" i="1" a="1"/>
  <c r="E158" i="1" s="1"/>
  <c r="I158" i="15" s="1"/>
  <c r="E116" i="1" a="1"/>
  <c r="E116" i="1" s="1"/>
  <c r="I116" i="15" s="1"/>
  <c r="E56" i="1" a="1"/>
  <c r="E56" i="1" s="1"/>
  <c r="I56" i="15" s="1"/>
  <c r="E7" i="1" a="1"/>
  <c r="E7" i="1" s="1"/>
  <c r="I7" i="15" s="1"/>
  <c r="E86" i="1" a="1"/>
  <c r="E86" i="1" s="1"/>
  <c r="I86" i="15" s="1"/>
  <c r="E858" i="1" a="1"/>
  <c r="E858" i="1" s="1"/>
  <c r="I858" i="15" s="1"/>
  <c r="E804" i="1" a="1"/>
  <c r="E804" i="1" s="1"/>
  <c r="I804" i="15" s="1"/>
  <c r="E756" i="1" a="1"/>
  <c r="E756" i="1" s="1"/>
  <c r="I756" i="15" s="1"/>
  <c r="E720" i="1" a="1"/>
  <c r="E720" i="1" s="1"/>
  <c r="I720" i="15" s="1"/>
  <c r="E140" i="1" a="1"/>
  <c r="E140" i="1" s="1"/>
  <c r="I140" i="15" s="1"/>
  <c r="E74" i="1" a="1"/>
  <c r="E74" i="1" s="1"/>
  <c r="I74" i="15" s="1"/>
  <c r="E156" i="1" a="1"/>
  <c r="E156" i="1" s="1"/>
  <c r="I156" i="15" s="1"/>
  <c r="E126" i="1" a="1"/>
  <c r="E126" i="1" s="1"/>
  <c r="I126" i="15" s="1"/>
  <c r="E24" i="1" a="1"/>
  <c r="E24" i="1" s="1"/>
  <c r="I24" i="15" s="1"/>
  <c r="E868" i="1" a="1"/>
  <c r="E868" i="1" s="1"/>
  <c r="I868" i="15" s="1"/>
  <c r="E850" i="1" a="1"/>
  <c r="E850" i="1" s="1"/>
  <c r="I850" i="15" s="1"/>
  <c r="E832" i="1" a="1"/>
  <c r="E832" i="1" s="1"/>
  <c r="I832" i="15" s="1"/>
  <c r="E814" i="1" a="1"/>
  <c r="E814" i="1" s="1"/>
  <c r="I814" i="15" s="1"/>
  <c r="E778" i="1" a="1"/>
  <c r="E778" i="1" s="1"/>
  <c r="I778" i="15" s="1"/>
  <c r="E760" i="1" a="1"/>
  <c r="E760" i="1" s="1"/>
  <c r="I760" i="15" s="1"/>
  <c r="E742" i="1" a="1"/>
  <c r="E742" i="1" s="1"/>
  <c r="I742" i="15" s="1"/>
  <c r="E724" i="1" a="1"/>
  <c r="E724" i="1" s="1"/>
  <c r="I724" i="15" s="1"/>
  <c r="E706" i="1" a="1"/>
  <c r="E706" i="1" s="1"/>
  <c r="I706" i="15" s="1"/>
  <c r="E688" i="1" a="1"/>
  <c r="E688" i="1" s="1"/>
  <c r="I688" i="15" s="1"/>
  <c r="E670" i="1" a="1"/>
  <c r="E670" i="1" s="1"/>
  <c r="I670" i="15" s="1"/>
  <c r="E652" i="1" a="1"/>
  <c r="E652" i="1" s="1"/>
  <c r="I652" i="15" s="1"/>
  <c r="E616" i="1" a="1"/>
  <c r="E616" i="1" s="1"/>
  <c r="I616" i="15" s="1"/>
  <c r="E598" i="1" a="1"/>
  <c r="E598" i="1" s="1"/>
  <c r="I598" i="15" s="1"/>
  <c r="E580" i="1" a="1"/>
  <c r="E580" i="1" s="1"/>
  <c r="I580" i="15" s="1"/>
  <c r="E562" i="1" a="1"/>
  <c r="E562" i="1" s="1"/>
  <c r="I562" i="15" s="1"/>
  <c r="E684" i="1" a="1"/>
  <c r="E684" i="1" s="1"/>
  <c r="I684" i="15" s="1"/>
  <c r="E630" i="1" a="1"/>
  <c r="E630" i="1" s="1"/>
  <c r="I630" i="15" s="1"/>
  <c r="E576" i="1" a="1"/>
  <c r="E576" i="1" s="1"/>
  <c r="I576" i="15" s="1"/>
  <c r="E145" i="1" a="1"/>
  <c r="E145" i="1" s="1"/>
  <c r="I145" i="15" s="1"/>
  <c r="E162" i="1" a="1"/>
  <c r="E162" i="1" s="1"/>
  <c r="I162" i="15" s="1"/>
  <c r="E4" i="1" a="1"/>
  <c r="E4" i="1" s="1"/>
  <c r="I4" i="15" s="1"/>
  <c r="E161" i="1" a="1"/>
  <c r="E161" i="1" s="1"/>
  <c r="I161" i="15" s="1"/>
  <c r="E149" i="1" a="1"/>
  <c r="E149" i="1" s="1"/>
  <c r="I149" i="15" s="1"/>
  <c r="E137" i="1" a="1"/>
  <c r="E137" i="1" s="1"/>
  <c r="I137" i="15" s="1"/>
  <c r="E125" i="1" a="1"/>
  <c r="E125" i="1" s="1"/>
  <c r="I125" i="15" s="1"/>
  <c r="E848" i="1" a="1"/>
  <c r="E848" i="1" s="1"/>
  <c r="I848" i="15" s="1"/>
  <c r="E793" i="1" a="1"/>
  <c r="E793" i="1" s="1"/>
  <c r="I793" i="15" s="1"/>
  <c r="E721" i="1" a="1"/>
  <c r="E721" i="1" s="1"/>
  <c r="I721" i="15" s="1"/>
  <c r="E672" i="1" a="1"/>
  <c r="E672" i="1" s="1"/>
  <c r="I672" i="15" s="1"/>
  <c r="E618" i="1" a="1"/>
  <c r="E618" i="1" s="1"/>
  <c r="I618" i="15" s="1"/>
  <c r="E564" i="1" a="1"/>
  <c r="E564" i="1" s="1"/>
  <c r="I564" i="15" s="1"/>
  <c r="E6" i="1" a="1"/>
  <c r="E6" i="1" s="1"/>
  <c r="I6" i="15" s="1"/>
  <c r="E157" i="1" a="1"/>
  <c r="E157" i="1" s="1"/>
  <c r="I157" i="15" s="1"/>
  <c r="E139" i="1" a="1"/>
  <c r="E139" i="1" s="1"/>
  <c r="I139" i="15" s="1"/>
  <c r="E127" i="1" a="1"/>
  <c r="E127" i="1" s="1"/>
  <c r="I127" i="15" s="1"/>
  <c r="E115" i="1" a="1"/>
  <c r="E115" i="1" s="1"/>
  <c r="I115" i="15" s="1"/>
  <c r="E103" i="1" a="1"/>
  <c r="E103" i="1" s="1"/>
  <c r="I103" i="15" s="1"/>
  <c r="E91" i="1" a="1"/>
  <c r="E91" i="1" s="1"/>
  <c r="I91" i="15" s="1"/>
  <c r="E79" i="1" a="1"/>
  <c r="E79" i="1" s="1"/>
  <c r="I79" i="15" s="1"/>
  <c r="E67" i="1" a="1"/>
  <c r="E67" i="1" s="1"/>
  <c r="I67" i="15" s="1"/>
  <c r="E55" i="1" a="1"/>
  <c r="E55" i="1" s="1"/>
  <c r="I55" i="15" s="1"/>
  <c r="E43" i="1" a="1"/>
  <c r="E43" i="1" s="1"/>
  <c r="I43" i="15" s="1"/>
  <c r="E31" i="1" a="1"/>
  <c r="E31" i="1" s="1"/>
  <c r="I31" i="15" s="1"/>
  <c r="E19" i="1" a="1"/>
  <c r="E19" i="1" s="1"/>
  <c r="I19" i="15" s="1"/>
  <c r="E68" i="1" a="1"/>
  <c r="E68" i="1" s="1"/>
  <c r="I68" i="15" s="1"/>
  <c r="E846" i="1" a="1"/>
  <c r="E846" i="1" s="1"/>
  <c r="I846" i="15" s="1"/>
  <c r="E792" i="1" a="1"/>
  <c r="E792" i="1" s="1"/>
  <c r="I792" i="15" s="1"/>
  <c r="E744" i="1" a="1"/>
  <c r="E744" i="1" s="1"/>
  <c r="I744" i="15" s="1"/>
  <c r="E152" i="1" a="1"/>
  <c r="E152" i="1" s="1"/>
  <c r="I152" i="15" s="1"/>
  <c r="E92" i="1" a="1"/>
  <c r="E92" i="1" s="1"/>
  <c r="I92" i="15" s="1"/>
  <c r="E164" i="1" a="1"/>
  <c r="E164" i="1" s="1"/>
  <c r="I164" i="15" s="1"/>
  <c r="E852" i="1" a="1"/>
  <c r="E852" i="1" s="1"/>
  <c r="I852" i="15" s="1"/>
  <c r="E798" i="1" a="1"/>
  <c r="E798" i="1" s="1"/>
  <c r="I798" i="15" s="1"/>
  <c r="E708" i="1" a="1"/>
  <c r="E708" i="1" s="1"/>
  <c r="I708" i="15" s="1"/>
  <c r="E642" i="1" a="1"/>
  <c r="E642" i="1" s="1"/>
  <c r="I642" i="15" s="1"/>
  <c r="E588" i="1" a="1"/>
  <c r="E588" i="1" s="1"/>
  <c r="I588" i="15" s="1"/>
  <c r="E163" i="1" a="1"/>
  <c r="E163" i="1" s="1"/>
  <c r="I163" i="15" s="1"/>
  <c r="E84" i="1" a="1"/>
  <c r="E84" i="1" s="1"/>
  <c r="I84" i="15" s="1"/>
  <c r="E54" i="1" a="1"/>
  <c r="E54" i="1" s="1"/>
  <c r="I54" i="15" s="1"/>
  <c r="E796" i="1" a="1"/>
  <c r="E796" i="1" s="1"/>
  <c r="I796" i="15" s="1"/>
  <c r="E634" i="1" a="1"/>
  <c r="E634" i="1" s="1"/>
  <c r="I634" i="15" s="1"/>
  <c r="E544" i="1" a="1"/>
  <c r="E544" i="1" s="1"/>
  <c r="I544" i="15" s="1"/>
  <c r="E132" i="1" a="1"/>
  <c r="E132" i="1" s="1"/>
  <c r="I132" i="15" s="1"/>
  <c r="E60" i="1" a="1"/>
  <c r="E60" i="1" s="1"/>
  <c r="I60" i="15" s="1"/>
  <c r="E877" i="1" a="1"/>
  <c r="E877" i="1" s="1"/>
  <c r="I877" i="15" s="1"/>
  <c r="E859" i="1" a="1"/>
  <c r="E859" i="1" s="1"/>
  <c r="I859" i="15" s="1"/>
  <c r="E841" i="1" a="1"/>
  <c r="E841" i="1" s="1"/>
  <c r="I841" i="15" s="1"/>
  <c r="E823" i="1" a="1"/>
  <c r="E823" i="1" s="1"/>
  <c r="I823" i="15" s="1"/>
  <c r="E805" i="1" a="1"/>
  <c r="E805" i="1" s="1"/>
  <c r="I805" i="15" s="1"/>
  <c r="E787" i="1" a="1"/>
  <c r="E787" i="1" s="1"/>
  <c r="I787" i="15" s="1"/>
  <c r="E769" i="1" a="1"/>
  <c r="E769" i="1" s="1"/>
  <c r="I769" i="15" s="1"/>
  <c r="E751" i="1" a="1"/>
  <c r="E751" i="1" s="1"/>
  <c r="I751" i="15" s="1"/>
  <c r="E733" i="1" a="1"/>
  <c r="E733" i="1" s="1"/>
  <c r="I733" i="15" s="1"/>
  <c r="E715" i="1" a="1"/>
  <c r="E715" i="1" s="1"/>
  <c r="I715" i="15" s="1"/>
  <c r="E697" i="1" a="1"/>
  <c r="E697" i="1" s="1"/>
  <c r="I697" i="15" s="1"/>
  <c r="E679" i="1" a="1"/>
  <c r="E679" i="1" s="1"/>
  <c r="I679" i="15" s="1"/>
  <c r="E661" i="1" a="1"/>
  <c r="E661" i="1" s="1"/>
  <c r="I661" i="15" s="1"/>
  <c r="E643" i="1" a="1"/>
  <c r="E643" i="1" s="1"/>
  <c r="I643" i="15" s="1"/>
  <c r="E625" i="1" a="1"/>
  <c r="E625" i="1" s="1"/>
  <c r="I625" i="15" s="1"/>
  <c r="E607" i="1" a="1"/>
  <c r="E607" i="1" s="1"/>
  <c r="I607" i="15" s="1"/>
  <c r="E589" i="1" a="1"/>
  <c r="E589" i="1" s="1"/>
  <c r="I589" i="15" s="1"/>
  <c r="E571" i="1" a="1"/>
  <c r="E571" i="1" s="1"/>
  <c r="I571" i="15" s="1"/>
  <c r="E553" i="1" a="1"/>
  <c r="E553" i="1" s="1"/>
  <c r="I553" i="15" s="1"/>
  <c r="E535" i="1" a="1"/>
  <c r="E535" i="1" s="1"/>
  <c r="I535" i="15" s="1"/>
  <c r="E517" i="1" a="1"/>
  <c r="E517" i="1" s="1"/>
  <c r="I517" i="15" s="1"/>
  <c r="E526" i="1" a="1"/>
  <c r="E526" i="1" s="1"/>
  <c r="I526" i="15" s="1"/>
  <c r="E484" i="1" a="1"/>
  <c r="E484" i="1" s="1"/>
  <c r="I484" i="15" s="1"/>
  <c r="E466" i="1" a="1"/>
  <c r="E466" i="1" s="1"/>
  <c r="I466" i="15" s="1"/>
  <c r="E406" i="1" a="1"/>
  <c r="E406" i="1" s="1"/>
  <c r="I406" i="15" s="1"/>
  <c r="E388" i="1" a="1"/>
  <c r="E388" i="1" s="1"/>
  <c r="I388" i="15" s="1"/>
  <c r="E128" i="1" a="1"/>
  <c r="E128" i="1" s="1"/>
  <c r="I128" i="15" s="1"/>
  <c r="E14" i="1" a="1"/>
  <c r="E14" i="1" s="1"/>
  <c r="I14" i="15" s="1"/>
  <c r="E104" i="1" a="1"/>
  <c r="E104" i="1" s="1"/>
  <c r="I104" i="15" s="1"/>
  <c r="E840" i="1" a="1"/>
  <c r="E840" i="1" s="1"/>
  <c r="I840" i="15" s="1"/>
  <c r="E786" i="1" a="1"/>
  <c r="E786" i="1" s="1"/>
  <c r="I786" i="15" s="1"/>
  <c r="E738" i="1" a="1"/>
  <c r="E738" i="1" s="1"/>
  <c r="I738" i="15" s="1"/>
  <c r="E12" i="1" a="1"/>
  <c r="E12" i="1" s="1"/>
  <c r="I12" i="15" s="1"/>
  <c r="E862" i="1" a="1"/>
  <c r="E862" i="1" s="1"/>
  <c r="I862" i="15" s="1"/>
  <c r="E844" i="1" a="1"/>
  <c r="E844" i="1" s="1"/>
  <c r="I844" i="15" s="1"/>
  <c r="E826" i="1" a="1"/>
  <c r="E826" i="1" s="1"/>
  <c r="I826" i="15" s="1"/>
  <c r="E772" i="1" a="1"/>
  <c r="E772" i="1" s="1"/>
  <c r="I772" i="15" s="1"/>
  <c r="E754" i="1" a="1"/>
  <c r="E754" i="1" s="1"/>
  <c r="I754" i="15" s="1"/>
  <c r="E736" i="1" a="1"/>
  <c r="E736" i="1" s="1"/>
  <c r="I736" i="15" s="1"/>
  <c r="E718" i="1" a="1"/>
  <c r="E718" i="1" s="1"/>
  <c r="I718" i="15" s="1"/>
  <c r="E700" i="1" a="1"/>
  <c r="E700" i="1" s="1"/>
  <c r="I700" i="15" s="1"/>
  <c r="E682" i="1" a="1"/>
  <c r="E682" i="1" s="1"/>
  <c r="I682" i="15" s="1"/>
  <c r="E664" i="1" a="1"/>
  <c r="E664" i="1" s="1"/>
  <c r="I664" i="15" s="1"/>
  <c r="E646" i="1" a="1"/>
  <c r="E646" i="1" s="1"/>
  <c r="I646" i="15" s="1"/>
  <c r="E628" i="1" a="1"/>
  <c r="E628" i="1" s="1"/>
  <c r="I628" i="15" s="1"/>
  <c r="E610" i="1" a="1"/>
  <c r="E610" i="1" s="1"/>
  <c r="I610" i="15" s="1"/>
  <c r="E592" i="1" a="1"/>
  <c r="E592" i="1" s="1"/>
  <c r="I592" i="15" s="1"/>
  <c r="E574" i="1" a="1"/>
  <c r="E574" i="1" s="1"/>
  <c r="I574" i="15" s="1"/>
  <c r="E556" i="1" a="1"/>
  <c r="E556" i="1" s="1"/>
  <c r="I556" i="15" s="1"/>
  <c r="E538" i="1" a="1"/>
  <c r="E538" i="1" s="1"/>
  <c r="I538" i="15" s="1"/>
  <c r="E666" i="1" a="1"/>
  <c r="E666" i="1" s="1"/>
  <c r="I666" i="15" s="1"/>
  <c r="E612" i="1" a="1"/>
  <c r="E612" i="1" s="1"/>
  <c r="I612" i="15" s="1"/>
  <c r="E558" i="1" a="1"/>
  <c r="E558" i="1" s="1"/>
  <c r="I558" i="15" s="1"/>
  <c r="E102" i="1" a="1"/>
  <c r="E102" i="1" s="1"/>
  <c r="I102" i="15" s="1"/>
  <c r="E30" i="1" a="1"/>
  <c r="E30" i="1" s="1"/>
  <c r="I30" i="15" s="1"/>
  <c r="E107" i="1" a="1"/>
  <c r="E107" i="1" s="1"/>
  <c r="I107" i="15" s="1"/>
  <c r="E95" i="1" a="1"/>
  <c r="E95" i="1" s="1"/>
  <c r="I95" i="15" s="1"/>
  <c r="E83" i="1" a="1"/>
  <c r="E83" i="1" s="1"/>
  <c r="I83" i="15" s="1"/>
  <c r="E71" i="1" a="1"/>
  <c r="E71" i="1" s="1"/>
  <c r="I71" i="15" s="1"/>
  <c r="E59" i="1" a="1"/>
  <c r="E59" i="1" s="1"/>
  <c r="I59" i="15" s="1"/>
  <c r="E47" i="1" a="1"/>
  <c r="E47" i="1" s="1"/>
  <c r="I47" i="15" s="1"/>
  <c r="E35" i="1" a="1"/>
  <c r="E35" i="1" s="1"/>
  <c r="I35" i="15" s="1"/>
  <c r="E23" i="1" a="1"/>
  <c r="E23" i="1" s="1"/>
  <c r="I23" i="15" s="1"/>
  <c r="E8" i="1" a="1"/>
  <c r="E8" i="1" s="1"/>
  <c r="I8" i="15" s="1"/>
  <c r="E165" i="1" a="1"/>
  <c r="E165" i="1" s="1"/>
  <c r="I165" i="15" s="1"/>
  <c r="E153" i="1" a="1"/>
  <c r="E153" i="1" s="1"/>
  <c r="I153" i="15" s="1"/>
  <c r="E81" i="1" a="1"/>
  <c r="E81" i="1" s="1"/>
  <c r="I81" i="15" s="1"/>
  <c r="E600" i="1" a="1"/>
  <c r="E600" i="1" s="1"/>
  <c r="I600" i="15" s="1"/>
  <c r="E851" i="1" a="1"/>
  <c r="E851" i="1" s="1"/>
  <c r="I851" i="15" s="1"/>
  <c r="E803" i="1" a="1"/>
  <c r="E803" i="1" s="1"/>
  <c r="I803" i="15" s="1"/>
  <c r="E779" i="1" a="1"/>
  <c r="E779" i="1" s="1"/>
  <c r="I779" i="15" s="1"/>
  <c r="E731" i="1" a="1"/>
  <c r="E731" i="1" s="1"/>
  <c r="I731" i="15" s="1"/>
  <c r="E689" i="1" a="1"/>
  <c r="E689" i="1" s="1"/>
  <c r="I689" i="15" s="1"/>
  <c r="E623" i="1" a="1"/>
  <c r="E623" i="1" s="1"/>
  <c r="I623" i="15" s="1"/>
  <c r="E581" i="1" a="1"/>
  <c r="E581" i="1" s="1"/>
  <c r="I581" i="15" s="1"/>
  <c r="E508" i="1" a="1"/>
  <c r="E508" i="1" s="1"/>
  <c r="I508" i="15" s="1"/>
  <c r="E370" i="1" a="1"/>
  <c r="E370" i="1" s="1"/>
  <c r="I370" i="15" s="1"/>
  <c r="E346" i="1" a="1"/>
  <c r="E346" i="1" s="1"/>
  <c r="I346" i="15" s="1"/>
  <c r="E292" i="1" a="1"/>
  <c r="E292" i="1" s="1"/>
  <c r="I292" i="15" s="1"/>
  <c r="E232" i="1" a="1"/>
  <c r="E232" i="1" s="1"/>
  <c r="I232" i="15" s="1"/>
  <c r="E537" i="1" a="1"/>
  <c r="E537" i="1" s="1"/>
  <c r="I537" i="15" s="1"/>
  <c r="E399" i="1" a="1"/>
  <c r="E399" i="1" s="1"/>
  <c r="I399" i="15" s="1"/>
  <c r="E375" i="1" a="1"/>
  <c r="E375" i="1" s="1"/>
  <c r="I375" i="15" s="1"/>
  <c r="E303" i="1" a="1"/>
  <c r="E303" i="1" s="1"/>
  <c r="I303" i="15" s="1"/>
  <c r="E231" i="1" a="1"/>
  <c r="E231" i="1" s="1"/>
  <c r="I231" i="15" s="1"/>
  <c r="E213" i="1" a="1"/>
  <c r="E213" i="1" s="1"/>
  <c r="I213" i="15" s="1"/>
  <c r="E843" i="1" a="1"/>
  <c r="E843" i="1" s="1"/>
  <c r="I843" i="15" s="1"/>
  <c r="E825" i="1" a="1"/>
  <c r="E825" i="1" s="1"/>
  <c r="I825" i="15" s="1"/>
  <c r="E753" i="1" a="1"/>
  <c r="E753" i="1" s="1"/>
  <c r="I753" i="15" s="1"/>
  <c r="E711" i="1" a="1"/>
  <c r="E711" i="1" s="1"/>
  <c r="I711" i="15" s="1"/>
  <c r="E519" i="1" a="1"/>
  <c r="E519" i="1" s="1"/>
  <c r="I519" i="15" s="1"/>
  <c r="E501" i="1" a="1"/>
  <c r="E501" i="1" s="1"/>
  <c r="I501" i="15" s="1"/>
  <c r="E453" i="1" a="1"/>
  <c r="E453" i="1" s="1"/>
  <c r="I453" i="15" s="1"/>
  <c r="E160" i="1" a="1"/>
  <c r="E160" i="1" s="1"/>
  <c r="I160" i="15" s="1"/>
  <c r="E130" i="1" a="1"/>
  <c r="E130" i="1" s="1"/>
  <c r="I130" i="15" s="1"/>
  <c r="E100" i="1" a="1"/>
  <c r="E100" i="1" s="1"/>
  <c r="I100" i="15" s="1"/>
  <c r="E70" i="1" a="1"/>
  <c r="E70" i="1" s="1"/>
  <c r="I70" i="15" s="1"/>
  <c r="E860" i="1" a="1"/>
  <c r="E860" i="1" s="1"/>
  <c r="I860" i="15" s="1"/>
  <c r="E842" i="1" a="1"/>
  <c r="E842" i="1" s="1"/>
  <c r="I842" i="15" s="1"/>
  <c r="E818" i="1" a="1"/>
  <c r="E818" i="1" s="1"/>
  <c r="I818" i="15" s="1"/>
  <c r="E764" i="1" a="1"/>
  <c r="E764" i="1" s="1"/>
  <c r="I764" i="15" s="1"/>
  <c r="E746" i="1" a="1"/>
  <c r="E746" i="1" s="1"/>
  <c r="I746" i="15" s="1"/>
  <c r="E728" i="1" a="1"/>
  <c r="E728" i="1" s="1"/>
  <c r="I728" i="15" s="1"/>
  <c r="E692" i="1" a="1"/>
  <c r="E692" i="1" s="1"/>
  <c r="I692" i="15" s="1"/>
  <c r="E620" i="1" a="1"/>
  <c r="E620" i="1" s="1"/>
  <c r="I620" i="15" s="1"/>
  <c r="E511" i="1" a="1"/>
  <c r="E511" i="1" s="1"/>
  <c r="I511" i="15" s="1"/>
  <c r="E469" i="1" a="1"/>
  <c r="E469" i="1" s="1"/>
  <c r="I469" i="15" s="1"/>
  <c r="E451" i="1" a="1"/>
  <c r="E451" i="1" s="1"/>
  <c r="I451" i="15" s="1"/>
  <c r="E391" i="1" a="1"/>
  <c r="E391" i="1" s="1"/>
  <c r="I391" i="15" s="1"/>
  <c r="E373" i="1" a="1"/>
  <c r="E373" i="1" s="1"/>
  <c r="I373" i="15" s="1"/>
  <c r="E331" i="1" a="1"/>
  <c r="E331" i="1" s="1"/>
  <c r="I331" i="15" s="1"/>
  <c r="E313" i="1" a="1"/>
  <c r="E313" i="1" s="1"/>
  <c r="I313" i="15" s="1"/>
  <c r="E295" i="1" a="1"/>
  <c r="E295" i="1" s="1"/>
  <c r="I295" i="15" s="1"/>
  <c r="E253" i="1" a="1"/>
  <c r="E253" i="1" s="1"/>
  <c r="I253" i="15" s="1"/>
  <c r="E235" i="1" a="1"/>
  <c r="E235" i="1" s="1"/>
  <c r="I235" i="15" s="1"/>
  <c r="E492" i="1" a="1"/>
  <c r="E492" i="1" s="1"/>
  <c r="I492" i="15" s="1"/>
  <c r="E450" i="1" a="1"/>
  <c r="E450" i="1" s="1"/>
  <c r="I450" i="15" s="1"/>
  <c r="E390" i="1" a="1"/>
  <c r="E390" i="1" s="1"/>
  <c r="I390" i="15" s="1"/>
  <c r="E372" i="1" a="1"/>
  <c r="E372" i="1" s="1"/>
  <c r="I372" i="15" s="1"/>
  <c r="E312" i="1" a="1"/>
  <c r="E312" i="1" s="1"/>
  <c r="I312" i="15" s="1"/>
  <c r="E294" i="1" a="1"/>
  <c r="E294" i="1" s="1"/>
  <c r="I294" i="15" s="1"/>
  <c r="E234" i="1" a="1"/>
  <c r="E234" i="1" s="1"/>
  <c r="I234" i="15" s="1"/>
  <c r="E783" i="1" a="1"/>
  <c r="E783" i="1" s="1"/>
  <c r="I783" i="15" s="1"/>
  <c r="E521" i="1" a="1"/>
  <c r="E521" i="1" s="1"/>
  <c r="I521" i="15" s="1"/>
  <c r="E503" i="1" a="1"/>
  <c r="E503" i="1" s="1"/>
  <c r="I503" i="15" s="1"/>
  <c r="E461" i="1" a="1"/>
  <c r="E461" i="1" s="1"/>
  <c r="I461" i="15" s="1"/>
  <c r="E443" i="1" a="1"/>
  <c r="E443" i="1" s="1"/>
  <c r="I443" i="15" s="1"/>
  <c r="E425" i="1" a="1"/>
  <c r="E425" i="1" s="1"/>
  <c r="I425" i="15" s="1"/>
  <c r="E383" i="1" a="1"/>
  <c r="E383" i="1" s="1"/>
  <c r="I383" i="15" s="1"/>
  <c r="E365" i="1" a="1"/>
  <c r="E365" i="1" s="1"/>
  <c r="I365" i="15" s="1"/>
  <c r="E287" i="1" a="1"/>
  <c r="E287" i="1" s="1"/>
  <c r="I287" i="15" s="1"/>
  <c r="E245" i="1" a="1"/>
  <c r="E245" i="1" s="1"/>
  <c r="I245" i="15" s="1"/>
  <c r="E227" i="1" a="1"/>
  <c r="E227" i="1" s="1"/>
  <c r="I227" i="15" s="1"/>
  <c r="E209" i="1" a="1"/>
  <c r="E209" i="1" s="1"/>
  <c r="I209" i="15" s="1"/>
  <c r="E189" i="1" a="1"/>
  <c r="E189" i="1" s="1"/>
  <c r="I189" i="15" s="1"/>
  <c r="E177" i="1" a="1"/>
  <c r="E177" i="1" s="1"/>
  <c r="I177" i="15" s="1"/>
  <c r="E644" i="1" a="1"/>
  <c r="E644" i="1" s="1"/>
  <c r="I644" i="15" s="1"/>
  <c r="E626" i="1" a="1"/>
  <c r="E626" i="1" s="1"/>
  <c r="I626" i="15" s="1"/>
  <c r="E548" i="1" a="1"/>
  <c r="E548" i="1" s="1"/>
  <c r="I548" i="15" s="1"/>
  <c r="E530" i="1" a="1"/>
  <c r="E530" i="1" s="1"/>
  <c r="I530" i="15" s="1"/>
  <c r="E512" i="1" a="1"/>
  <c r="E512" i="1" s="1"/>
  <c r="I512" i="15" s="1"/>
  <c r="E494" i="1" a="1"/>
  <c r="E494" i="1" s="1"/>
  <c r="I494" i="15" s="1"/>
  <c r="E476" i="1" a="1"/>
  <c r="E476" i="1" s="1"/>
  <c r="I476" i="15" s="1"/>
  <c r="E458" i="1" a="1"/>
  <c r="E458" i="1" s="1"/>
  <c r="I458" i="15" s="1"/>
  <c r="E440" i="1" a="1"/>
  <c r="E440" i="1" s="1"/>
  <c r="I440" i="15" s="1"/>
  <c r="E422" i="1" a="1"/>
  <c r="E422" i="1" s="1"/>
  <c r="I422" i="15" s="1"/>
  <c r="E404" i="1" a="1"/>
  <c r="E404" i="1" s="1"/>
  <c r="I404" i="15" s="1"/>
  <c r="E386" i="1" a="1"/>
  <c r="E386" i="1" s="1"/>
  <c r="I386" i="15" s="1"/>
  <c r="E368" i="1" a="1"/>
  <c r="E368" i="1" s="1"/>
  <c r="I368" i="15" s="1"/>
  <c r="E350" i="1" a="1"/>
  <c r="E350" i="1" s="1"/>
  <c r="I350" i="15" s="1"/>
  <c r="E93" i="1" a="1"/>
  <c r="E93" i="1" s="1"/>
  <c r="I93" i="15" s="1"/>
  <c r="E21" i="1" a="1"/>
  <c r="E21" i="1" s="1"/>
  <c r="I21" i="15" s="1"/>
  <c r="E869" i="1" a="1"/>
  <c r="E869" i="1" s="1"/>
  <c r="I869" i="15" s="1"/>
  <c r="E707" i="1" a="1"/>
  <c r="E707" i="1" s="1"/>
  <c r="I707" i="15" s="1"/>
  <c r="E641" i="1" a="1"/>
  <c r="E641" i="1" s="1"/>
  <c r="I641" i="15" s="1"/>
  <c r="E599" i="1" a="1"/>
  <c r="E599" i="1" s="1"/>
  <c r="I599" i="15" s="1"/>
  <c r="E208" i="1" a="1"/>
  <c r="E208" i="1" s="1"/>
  <c r="I208" i="15" s="1"/>
  <c r="E627" i="1" a="1"/>
  <c r="E627" i="1" s="1"/>
  <c r="I627" i="15" s="1"/>
  <c r="E603" i="1" a="1"/>
  <c r="E603" i="1" s="1"/>
  <c r="I603" i="15" s="1"/>
  <c r="E465" i="1" a="1"/>
  <c r="E465" i="1" s="1"/>
  <c r="I465" i="15" s="1"/>
  <c r="E279" i="1" a="1"/>
  <c r="E279" i="1" s="1"/>
  <c r="I279" i="15" s="1"/>
  <c r="E807" i="1" a="1"/>
  <c r="E807" i="1" s="1"/>
  <c r="I807" i="15" s="1"/>
  <c r="E789" i="1" a="1"/>
  <c r="E789" i="1" s="1"/>
  <c r="I789" i="15" s="1"/>
  <c r="E765" i="1" a="1"/>
  <c r="E765" i="1" s="1"/>
  <c r="I765" i="15" s="1"/>
  <c r="E747" i="1" a="1"/>
  <c r="E747" i="1" s="1"/>
  <c r="I747" i="15" s="1"/>
  <c r="E729" i="1" a="1"/>
  <c r="E729" i="1" s="1"/>
  <c r="I729" i="15" s="1"/>
  <c r="E657" i="1" a="1"/>
  <c r="E657" i="1" s="1"/>
  <c r="I657" i="15" s="1"/>
  <c r="E639" i="1" a="1"/>
  <c r="E639" i="1" s="1"/>
  <c r="I639" i="15" s="1"/>
  <c r="E585" i="1" a="1"/>
  <c r="E585" i="1" s="1"/>
  <c r="I585" i="15" s="1"/>
  <c r="E567" i="1" a="1"/>
  <c r="E567" i="1" s="1"/>
  <c r="I567" i="15" s="1"/>
  <c r="E447" i="1" a="1"/>
  <c r="E447" i="1" s="1"/>
  <c r="I447" i="15" s="1"/>
  <c r="E429" i="1" a="1"/>
  <c r="E429" i="1" s="1"/>
  <c r="I429" i="15" s="1"/>
  <c r="E112" i="1" a="1"/>
  <c r="E112" i="1" s="1"/>
  <c r="I112" i="15" s="1"/>
  <c r="E52" i="1" a="1"/>
  <c r="E52" i="1" s="1"/>
  <c r="I52" i="15" s="1"/>
  <c r="E22" i="1" a="1"/>
  <c r="E22" i="1" s="1"/>
  <c r="I22" i="15" s="1"/>
  <c r="E878" i="1" a="1"/>
  <c r="E878" i="1" s="1"/>
  <c r="I878" i="15" s="1"/>
  <c r="E800" i="1" a="1"/>
  <c r="E800" i="1" s="1"/>
  <c r="I800" i="15" s="1"/>
  <c r="E782" i="1" a="1"/>
  <c r="E782" i="1" s="1"/>
  <c r="I782" i="15" s="1"/>
  <c r="E710" i="1" a="1"/>
  <c r="E710" i="1" s="1"/>
  <c r="I710" i="15" s="1"/>
  <c r="E674" i="1" a="1"/>
  <c r="E674" i="1" s="1"/>
  <c r="I674" i="15" s="1"/>
  <c r="E505" i="1" a="1"/>
  <c r="E505" i="1" s="1"/>
  <c r="I505" i="15" s="1"/>
  <c r="E487" i="1" a="1"/>
  <c r="E487" i="1" s="1"/>
  <c r="I487" i="15" s="1"/>
  <c r="E427" i="1" a="1"/>
  <c r="E427" i="1" s="1"/>
  <c r="I427" i="15" s="1"/>
  <c r="E409" i="1" a="1"/>
  <c r="E409" i="1" s="1"/>
  <c r="I409" i="15" s="1"/>
  <c r="E349" i="1" a="1"/>
  <c r="E349" i="1" s="1"/>
  <c r="I349" i="15" s="1"/>
  <c r="E289" i="1" a="1"/>
  <c r="E289" i="1" s="1"/>
  <c r="I289" i="15" s="1"/>
  <c r="E271" i="1" a="1"/>
  <c r="E271" i="1" s="1"/>
  <c r="I271" i="15" s="1"/>
  <c r="E211" i="1" a="1"/>
  <c r="E211" i="1" s="1"/>
  <c r="I211" i="15" s="1"/>
  <c r="E193" i="1" a="1"/>
  <c r="E193" i="1" s="1"/>
  <c r="I193" i="15" s="1"/>
  <c r="E528" i="1" a="1"/>
  <c r="E528" i="1" s="1"/>
  <c r="I528" i="15" s="1"/>
  <c r="E510" i="1" a="1"/>
  <c r="E510" i="1" s="1"/>
  <c r="I510" i="15" s="1"/>
  <c r="E468" i="1" a="1"/>
  <c r="E468" i="1" s="1"/>
  <c r="I468" i="15" s="1"/>
  <c r="E426" i="1" a="1"/>
  <c r="E426" i="1" s="1"/>
  <c r="I426" i="15" s="1"/>
  <c r="E408" i="1" a="1"/>
  <c r="E408" i="1" s="1"/>
  <c r="I408" i="15" s="1"/>
  <c r="E348" i="1" a="1"/>
  <c r="E348" i="1" s="1"/>
  <c r="I348" i="15" s="1"/>
  <c r="E330" i="1" a="1"/>
  <c r="E330" i="1" s="1"/>
  <c r="I330" i="15" s="1"/>
  <c r="E288" i="1" a="1"/>
  <c r="E288" i="1" s="1"/>
  <c r="I288" i="15" s="1"/>
  <c r="E270" i="1" a="1"/>
  <c r="E270" i="1" s="1"/>
  <c r="I270" i="15" s="1"/>
  <c r="E252" i="1" a="1"/>
  <c r="E252" i="1" s="1"/>
  <c r="I252" i="15" s="1"/>
  <c r="E210" i="1" a="1"/>
  <c r="E210" i="1" s="1"/>
  <c r="I210" i="15" s="1"/>
  <c r="E192" i="1" a="1"/>
  <c r="E192" i="1" s="1"/>
  <c r="I192" i="15" s="1"/>
  <c r="E180" i="1" a="1"/>
  <c r="E180" i="1" s="1"/>
  <c r="I180" i="15" s="1"/>
  <c r="E539" i="1" a="1"/>
  <c r="E539" i="1" s="1"/>
  <c r="I539" i="15" s="1"/>
  <c r="E479" i="1" a="1"/>
  <c r="E479" i="1" s="1"/>
  <c r="I479" i="15" s="1"/>
  <c r="E419" i="1" a="1"/>
  <c r="E419" i="1" s="1"/>
  <c r="I419" i="15" s="1"/>
  <c r="E401" i="1" a="1"/>
  <c r="E401" i="1" s="1"/>
  <c r="I401" i="15" s="1"/>
  <c r="E341" i="1" a="1"/>
  <c r="E341" i="1" s="1"/>
  <c r="I341" i="15" s="1"/>
  <c r="E323" i="1" a="1"/>
  <c r="E323" i="1" s="1"/>
  <c r="I323" i="15" s="1"/>
  <c r="E305" i="1" a="1"/>
  <c r="E305" i="1" s="1"/>
  <c r="I305" i="15" s="1"/>
  <c r="E263" i="1" a="1"/>
  <c r="E263" i="1" s="1"/>
  <c r="I263" i="15" s="1"/>
  <c r="E203" i="1" a="1"/>
  <c r="E203" i="1" s="1"/>
  <c r="I203" i="15" s="1"/>
  <c r="E173" i="1" a="1"/>
  <c r="E173" i="1" s="1"/>
  <c r="I173" i="15" s="1"/>
  <c r="E861" i="1" a="1"/>
  <c r="E861" i="1" s="1"/>
  <c r="I861" i="15" s="1"/>
  <c r="E171" i="1" a="1"/>
  <c r="E171" i="1" s="1"/>
  <c r="I171" i="15" s="1"/>
  <c r="E584" i="1" a="1"/>
  <c r="E584" i="1" s="1"/>
  <c r="I584" i="15" s="1"/>
  <c r="E187" i="1" a="1"/>
  <c r="E187" i="1" s="1"/>
  <c r="I187" i="15" s="1"/>
  <c r="E105" i="1" a="1"/>
  <c r="E105" i="1" s="1"/>
  <c r="I105" i="15" s="1"/>
  <c r="E33" i="1" a="1"/>
  <c r="E33" i="1" s="1"/>
  <c r="I33" i="15" s="1"/>
  <c r="E654" i="1" a="1"/>
  <c r="E654" i="1" s="1"/>
  <c r="I654" i="15" s="1"/>
  <c r="E821" i="1" a="1"/>
  <c r="E821" i="1" s="1"/>
  <c r="I821" i="15" s="1"/>
  <c r="E749" i="1" a="1"/>
  <c r="E749" i="1" s="1"/>
  <c r="I749" i="15" s="1"/>
  <c r="E725" i="1" a="1"/>
  <c r="E725" i="1" s="1"/>
  <c r="I725" i="15" s="1"/>
  <c r="E659" i="1" a="1"/>
  <c r="E659" i="1" s="1"/>
  <c r="I659" i="15" s="1"/>
  <c r="E617" i="1" a="1"/>
  <c r="E617" i="1" s="1"/>
  <c r="I617" i="15" s="1"/>
  <c r="E551" i="1" a="1"/>
  <c r="E551" i="1" s="1"/>
  <c r="I551" i="15" s="1"/>
  <c r="E502" i="1" a="1"/>
  <c r="E502" i="1" s="1"/>
  <c r="I502" i="15" s="1"/>
  <c r="E430" i="1" a="1"/>
  <c r="E430" i="1" s="1"/>
  <c r="I430" i="15" s="1"/>
  <c r="E364" i="1" a="1"/>
  <c r="E364" i="1" s="1"/>
  <c r="I364" i="15" s="1"/>
  <c r="E310" i="1" a="1"/>
  <c r="E310" i="1" s="1"/>
  <c r="I310" i="15" s="1"/>
  <c r="E286" i="1" a="1"/>
  <c r="E286" i="1" s="1"/>
  <c r="I286" i="15" s="1"/>
  <c r="E226" i="1" a="1"/>
  <c r="E226" i="1" s="1"/>
  <c r="I226" i="15" s="1"/>
  <c r="E202" i="1" a="1"/>
  <c r="E202" i="1" s="1"/>
  <c r="I202" i="15" s="1"/>
  <c r="E687" i="1" a="1"/>
  <c r="E687" i="1" s="1"/>
  <c r="I687" i="15" s="1"/>
  <c r="E621" i="1" a="1"/>
  <c r="E621" i="1" s="1"/>
  <c r="I621" i="15" s="1"/>
  <c r="E393" i="1" a="1"/>
  <c r="E393" i="1" s="1"/>
  <c r="I393" i="15" s="1"/>
  <c r="E345" i="1" a="1"/>
  <c r="E345" i="1" s="1"/>
  <c r="I345" i="15" s="1"/>
  <c r="E321" i="1" a="1"/>
  <c r="E321" i="1" s="1"/>
  <c r="I321" i="15" s="1"/>
  <c r="E297" i="1" a="1"/>
  <c r="E297" i="1" s="1"/>
  <c r="I297" i="15" s="1"/>
  <c r="E225" i="1" a="1"/>
  <c r="E225" i="1" s="1"/>
  <c r="I225" i="15" s="1"/>
  <c r="E207" i="1" a="1"/>
  <c r="E207" i="1" s="1"/>
  <c r="I207" i="15" s="1"/>
  <c r="E837" i="1" a="1"/>
  <c r="E837" i="1" s="1"/>
  <c r="I837" i="15" s="1"/>
  <c r="E705" i="1" a="1"/>
  <c r="E705" i="1" s="1"/>
  <c r="I705" i="15" s="1"/>
  <c r="E513" i="1" a="1"/>
  <c r="E513" i="1" s="1"/>
  <c r="I513" i="15" s="1"/>
  <c r="E495" i="1" a="1"/>
  <c r="E495" i="1" s="1"/>
  <c r="I495" i="15" s="1"/>
  <c r="E9" i="1" a="1"/>
  <c r="E9" i="1" s="1"/>
  <c r="I9" i="15" s="1"/>
  <c r="E142" i="1" a="1"/>
  <c r="E142" i="1" s="1"/>
  <c r="I142" i="15" s="1"/>
  <c r="E124" i="1" a="1"/>
  <c r="E124" i="1" s="1"/>
  <c r="I124" i="15" s="1"/>
  <c r="E82" i="1" a="1"/>
  <c r="E82" i="1" s="1"/>
  <c r="I82" i="15" s="1"/>
  <c r="E64" i="1" a="1"/>
  <c r="E64" i="1" s="1"/>
  <c r="I64" i="15" s="1"/>
  <c r="E34" i="1" a="1"/>
  <c r="E34" i="1" s="1"/>
  <c r="I34" i="15" s="1"/>
  <c r="E830" i="1" a="1"/>
  <c r="E830" i="1" s="1"/>
  <c r="I830" i="15" s="1"/>
  <c r="E776" i="1" a="1"/>
  <c r="E776" i="1" s="1"/>
  <c r="I776" i="15" s="1"/>
  <c r="E758" i="1" a="1"/>
  <c r="E758" i="1" s="1"/>
  <c r="I758" i="15" s="1"/>
  <c r="E740" i="1" a="1"/>
  <c r="E740" i="1" s="1"/>
  <c r="I740" i="15" s="1"/>
  <c r="E722" i="1" a="1"/>
  <c r="E722" i="1" s="1"/>
  <c r="I722" i="15" s="1"/>
  <c r="E704" i="1" a="1"/>
  <c r="E704" i="1" s="1"/>
  <c r="I704" i="15" s="1"/>
  <c r="E686" i="1" a="1"/>
  <c r="E686" i="1" s="1"/>
  <c r="I686" i="15" s="1"/>
  <c r="E668" i="1" a="1"/>
  <c r="E668" i="1" s="1"/>
  <c r="I668" i="15" s="1"/>
  <c r="E463" i="1" a="1"/>
  <c r="E463" i="1" s="1"/>
  <c r="I463" i="15" s="1"/>
  <c r="E445" i="1" a="1"/>
  <c r="E445" i="1" s="1"/>
  <c r="I445" i="15" s="1"/>
  <c r="E403" i="1" a="1"/>
  <c r="E403" i="1" s="1"/>
  <c r="I403" i="15" s="1"/>
  <c r="E385" i="1" a="1"/>
  <c r="E385" i="1" s="1"/>
  <c r="I385" i="15" s="1"/>
  <c r="E367" i="1" a="1"/>
  <c r="E367" i="1" s="1"/>
  <c r="I367" i="15" s="1"/>
  <c r="E325" i="1" a="1"/>
  <c r="E325" i="1" s="1"/>
  <c r="I325" i="15" s="1"/>
  <c r="E307" i="1" a="1"/>
  <c r="E307" i="1" s="1"/>
  <c r="I307" i="15" s="1"/>
  <c r="E247" i="1" a="1"/>
  <c r="E247" i="1" s="1"/>
  <c r="I247" i="15" s="1"/>
  <c r="E117" i="1" a="1"/>
  <c r="E117" i="1" s="1"/>
  <c r="I117" i="15" s="1"/>
  <c r="E45" i="1" a="1"/>
  <c r="E45" i="1" s="1"/>
  <c r="I45" i="15" s="1"/>
  <c r="E839" i="1" a="1"/>
  <c r="E839" i="1" s="1"/>
  <c r="I839" i="15" s="1"/>
  <c r="E767" i="1" a="1"/>
  <c r="E767" i="1" s="1"/>
  <c r="I767" i="15" s="1"/>
  <c r="E677" i="1" a="1"/>
  <c r="E677" i="1" s="1"/>
  <c r="I677" i="15" s="1"/>
  <c r="E635" i="1" a="1"/>
  <c r="E635" i="1" s="1"/>
  <c r="I635" i="15" s="1"/>
  <c r="E569" i="1" a="1"/>
  <c r="E569" i="1" s="1"/>
  <c r="I569" i="15" s="1"/>
  <c r="E520" i="1" a="1"/>
  <c r="E520" i="1" s="1"/>
  <c r="I520" i="15" s="1"/>
  <c r="E304" i="1" a="1"/>
  <c r="E304" i="1" s="1"/>
  <c r="I304" i="15" s="1"/>
  <c r="E250" i="1" a="1"/>
  <c r="E250" i="1" s="1"/>
  <c r="I250" i="15" s="1"/>
  <c r="E483" i="1" a="1"/>
  <c r="E483" i="1" s="1"/>
  <c r="I483" i="15" s="1"/>
  <c r="E459" i="1" a="1"/>
  <c r="E459" i="1" s="1"/>
  <c r="I459" i="15" s="1"/>
  <c r="E363" i="1" a="1"/>
  <c r="E363" i="1" s="1"/>
  <c r="I363" i="15" s="1"/>
  <c r="E243" i="1" a="1"/>
  <c r="E243" i="1" s="1"/>
  <c r="I243" i="15" s="1"/>
  <c r="E879" i="1" a="1"/>
  <c r="E879" i="1" s="1"/>
  <c r="I879" i="15" s="1"/>
  <c r="E855" i="1" a="1"/>
  <c r="E855" i="1" s="1"/>
  <c r="I855" i="15" s="1"/>
  <c r="E819" i="1" a="1"/>
  <c r="E819" i="1" s="1"/>
  <c r="I819" i="15" s="1"/>
  <c r="E801" i="1" a="1"/>
  <c r="E801" i="1" s="1"/>
  <c r="I801" i="15" s="1"/>
  <c r="E777" i="1" a="1"/>
  <c r="E777" i="1" s="1"/>
  <c r="I777" i="15" s="1"/>
  <c r="E759" i="1" a="1"/>
  <c r="E759" i="1" s="1"/>
  <c r="I759" i="15" s="1"/>
  <c r="E741" i="1" a="1"/>
  <c r="E741" i="1" s="1"/>
  <c r="I741" i="15" s="1"/>
  <c r="E723" i="1" a="1"/>
  <c r="E723" i="1" s="1"/>
  <c r="I723" i="15" s="1"/>
  <c r="E651" i="1" a="1"/>
  <c r="E651" i="1" s="1"/>
  <c r="I651" i="15" s="1"/>
  <c r="E633" i="1" a="1"/>
  <c r="E633" i="1" s="1"/>
  <c r="I633" i="15" s="1"/>
  <c r="E579" i="1" a="1"/>
  <c r="E579" i="1" s="1"/>
  <c r="I579" i="15" s="1"/>
  <c r="E561" i="1" a="1"/>
  <c r="E561" i="1" s="1"/>
  <c r="I561" i="15" s="1"/>
  <c r="E441" i="1" a="1"/>
  <c r="E441" i="1" s="1"/>
  <c r="I441" i="15" s="1"/>
  <c r="E423" i="1" a="1"/>
  <c r="E423" i="1" s="1"/>
  <c r="I423" i="15" s="1"/>
  <c r="E3" i="1" a="1"/>
  <c r="E3" i="1" s="1"/>
  <c r="I3" i="15" s="1"/>
  <c r="E154" i="1" a="1"/>
  <c r="E154" i="1" s="1"/>
  <c r="I154" i="15" s="1"/>
  <c r="E94" i="1" a="1"/>
  <c r="E94" i="1" s="1"/>
  <c r="I94" i="15" s="1"/>
  <c r="E46" i="1" a="1"/>
  <c r="E46" i="1" s="1"/>
  <c r="I46" i="15" s="1"/>
  <c r="E16" i="1" a="1"/>
  <c r="E16" i="1" s="1"/>
  <c r="I16" i="15" s="1"/>
  <c r="E872" i="1" a="1"/>
  <c r="E872" i="1" s="1"/>
  <c r="I872" i="15" s="1"/>
  <c r="E854" i="1" a="1"/>
  <c r="E854" i="1" s="1"/>
  <c r="I854" i="15" s="1"/>
  <c r="E812" i="1" a="1"/>
  <c r="E812" i="1" s="1"/>
  <c r="I812" i="15" s="1"/>
  <c r="E794" i="1" a="1"/>
  <c r="E794" i="1" s="1"/>
  <c r="I794" i="15" s="1"/>
  <c r="E499" i="1" a="1"/>
  <c r="E499" i="1" s="1"/>
  <c r="I499" i="15" s="1"/>
  <c r="E481" i="1" a="1"/>
  <c r="E481" i="1" s="1"/>
  <c r="I481" i="15" s="1"/>
  <c r="E421" i="1" a="1"/>
  <c r="E421" i="1" s="1"/>
  <c r="I421" i="15" s="1"/>
  <c r="E361" i="1" a="1"/>
  <c r="E361" i="1" s="1"/>
  <c r="I361" i="15" s="1"/>
  <c r="E343" i="1" a="1"/>
  <c r="E343" i="1" s="1"/>
  <c r="I343" i="15" s="1"/>
  <c r="E283" i="1" a="1"/>
  <c r="E283" i="1" s="1"/>
  <c r="I283" i="15" s="1"/>
  <c r="E265" i="1" a="1"/>
  <c r="E265" i="1" s="1"/>
  <c r="I265" i="15" s="1"/>
  <c r="E205" i="1" a="1"/>
  <c r="E205" i="1" s="1"/>
  <c r="I205" i="15" s="1"/>
  <c r="E873" i="1" a="1"/>
  <c r="E873" i="1" s="1"/>
  <c r="I873" i="15" s="1"/>
  <c r="E522" i="1" a="1"/>
  <c r="E522" i="1" s="1"/>
  <c r="I522" i="15" s="1"/>
  <c r="E480" i="1" a="1"/>
  <c r="E480" i="1" s="1"/>
  <c r="I480" i="15" s="1"/>
  <c r="E420" i="1" a="1"/>
  <c r="E420" i="1" s="1"/>
  <c r="I420" i="15" s="1"/>
  <c r="E402" i="1" a="1"/>
  <c r="E402" i="1" s="1"/>
  <c r="I402" i="15" s="1"/>
  <c r="E360" i="1" a="1"/>
  <c r="E360" i="1" s="1"/>
  <c r="I360" i="15" s="1"/>
  <c r="E342" i="1" a="1"/>
  <c r="E342" i="1" s="1"/>
  <c r="I342" i="15" s="1"/>
  <c r="E324" i="1" a="1"/>
  <c r="E324" i="1" s="1"/>
  <c r="I324" i="15" s="1"/>
  <c r="E282" i="1" a="1"/>
  <c r="E282" i="1" s="1"/>
  <c r="I282" i="15" s="1"/>
  <c r="E264" i="1" a="1"/>
  <c r="E264" i="1" s="1"/>
  <c r="I264" i="15" s="1"/>
  <c r="E204" i="1" a="1"/>
  <c r="E204" i="1" s="1"/>
  <c r="I204" i="15" s="1"/>
  <c r="E174" i="1" a="1"/>
  <c r="E174" i="1" s="1"/>
  <c r="I174" i="15" s="1"/>
  <c r="E491" i="1" a="1"/>
  <c r="E491" i="1" s="1"/>
  <c r="I491" i="15" s="1"/>
  <c r="E473" i="1" a="1"/>
  <c r="E473" i="1" s="1"/>
  <c r="I473" i="15" s="1"/>
  <c r="E413" i="1" a="1"/>
  <c r="E413" i="1" s="1"/>
  <c r="I413" i="15" s="1"/>
  <c r="E395" i="1" a="1"/>
  <c r="E395" i="1" s="1"/>
  <c r="I395" i="15" s="1"/>
  <c r="E335" i="1" a="1"/>
  <c r="E335" i="1" s="1"/>
  <c r="I335" i="15" s="1"/>
  <c r="E275" i="1" a="1"/>
  <c r="E275" i="1" s="1"/>
  <c r="I275" i="15" s="1"/>
  <c r="E257" i="1" a="1"/>
  <c r="E257" i="1" s="1"/>
  <c r="I257" i="15" s="1"/>
  <c r="E197" i="1" a="1"/>
  <c r="E197" i="1" s="1"/>
  <c r="I197" i="15" s="1"/>
  <c r="E591" i="1" a="1"/>
  <c r="E591" i="1" s="1"/>
  <c r="I591" i="15" s="1"/>
  <c r="E183" i="1" a="1"/>
  <c r="E183" i="1" s="1"/>
  <c r="I183" i="15" s="1"/>
  <c r="E614" i="1" a="1"/>
  <c r="E614" i="1" s="1"/>
  <c r="I614" i="15" s="1"/>
  <c r="E596" i="1" a="1"/>
  <c r="E596" i="1" s="1"/>
  <c r="I596" i="15" s="1"/>
  <c r="E578" i="1" a="1"/>
  <c r="E578" i="1" s="1"/>
  <c r="I578" i="15" s="1"/>
  <c r="E182" i="1" a="1"/>
  <c r="E182" i="1" s="1"/>
  <c r="I182" i="15" s="1"/>
  <c r="E170" i="1" a="1"/>
  <c r="E170" i="1" s="1"/>
  <c r="I170" i="15" s="1"/>
  <c r="E181" i="1" a="1"/>
  <c r="E181" i="1" s="1"/>
  <c r="I181" i="15" s="1"/>
  <c r="E129" i="1" a="1"/>
  <c r="E129" i="1" s="1"/>
  <c r="I129" i="15" s="1"/>
  <c r="E57" i="1" a="1"/>
  <c r="E57" i="1" s="1"/>
  <c r="I57" i="15" s="1"/>
  <c r="E546" i="1" a="1"/>
  <c r="E546" i="1" s="1"/>
  <c r="I546" i="15" s="1"/>
  <c r="E857" i="1" a="1"/>
  <c r="E857" i="1" s="1"/>
  <c r="I857" i="15" s="1"/>
  <c r="E785" i="1" a="1"/>
  <c r="E785" i="1" s="1"/>
  <c r="I785" i="15" s="1"/>
  <c r="E695" i="1" a="1"/>
  <c r="E695" i="1" s="1"/>
  <c r="I695" i="15" s="1"/>
  <c r="E653" i="1" a="1"/>
  <c r="E653" i="1" s="1"/>
  <c r="I653" i="15" s="1"/>
  <c r="E587" i="1" a="1"/>
  <c r="E587" i="1" s="1"/>
  <c r="I587" i="15" s="1"/>
  <c r="E545" i="1" a="1"/>
  <c r="E545" i="1" s="1"/>
  <c r="I545" i="15" s="1"/>
  <c r="E448" i="1" a="1"/>
  <c r="E448" i="1" s="1"/>
  <c r="I448" i="15" s="1"/>
  <c r="E424" i="1" a="1"/>
  <c r="E424" i="1" s="1"/>
  <c r="I424" i="15" s="1"/>
  <c r="E328" i="1" a="1"/>
  <c r="E328" i="1" s="1"/>
  <c r="I328" i="15" s="1"/>
  <c r="E178" i="1" a="1"/>
  <c r="E178" i="1" s="1"/>
  <c r="I178" i="15" s="1"/>
  <c r="E681" i="1" a="1"/>
  <c r="E681" i="1" s="1"/>
  <c r="I681" i="15" s="1"/>
  <c r="E543" i="1" a="1"/>
  <c r="E543" i="1" s="1"/>
  <c r="I543" i="15" s="1"/>
  <c r="E477" i="1" a="1"/>
  <c r="E477" i="1" s="1"/>
  <c r="I477" i="15" s="1"/>
  <c r="E339" i="1" a="1"/>
  <c r="E339" i="1" s="1"/>
  <c r="I339" i="15" s="1"/>
  <c r="E315" i="1" a="1"/>
  <c r="E315" i="1" s="1"/>
  <c r="I315" i="15" s="1"/>
  <c r="E267" i="1" a="1"/>
  <c r="E267" i="1" s="1"/>
  <c r="I267" i="15" s="1"/>
  <c r="E219" i="1" a="1"/>
  <c r="E219" i="1" s="1"/>
  <c r="I219" i="15" s="1"/>
  <c r="E201" i="1" a="1"/>
  <c r="E201" i="1" s="1"/>
  <c r="I201" i="15" s="1"/>
  <c r="E849" i="1" a="1"/>
  <c r="E849" i="1" s="1"/>
  <c r="I849" i="15" s="1"/>
  <c r="E831" i="1" a="1"/>
  <c r="E831" i="1" s="1"/>
  <c r="I831" i="15" s="1"/>
  <c r="E795" i="1" a="1"/>
  <c r="E795" i="1" s="1"/>
  <c r="I795" i="15" s="1"/>
  <c r="E669" i="1" a="1"/>
  <c r="E669" i="1" s="1"/>
  <c r="I669" i="15" s="1"/>
  <c r="E507" i="1" a="1"/>
  <c r="E507" i="1" s="1"/>
  <c r="I507" i="15" s="1"/>
  <c r="E489" i="1" a="1"/>
  <c r="E489" i="1" s="1"/>
  <c r="I489" i="15" s="1"/>
  <c r="E136" i="1" a="1"/>
  <c r="E136" i="1" s="1"/>
  <c r="I136" i="15" s="1"/>
  <c r="E106" i="1" a="1"/>
  <c r="E106" i="1" s="1"/>
  <c r="I106" i="15" s="1"/>
  <c r="E76" i="1" a="1"/>
  <c r="E76" i="1" s="1"/>
  <c r="I76" i="15" s="1"/>
  <c r="E28" i="1" a="1"/>
  <c r="E28" i="1" s="1"/>
  <c r="I28" i="15" s="1"/>
  <c r="E824" i="1" a="1"/>
  <c r="E824" i="1" s="1"/>
  <c r="I824" i="15" s="1"/>
  <c r="E806" i="1" a="1"/>
  <c r="E806" i="1" s="1"/>
  <c r="I806" i="15" s="1"/>
  <c r="E770" i="1" a="1"/>
  <c r="E770" i="1" s="1"/>
  <c r="I770" i="15" s="1"/>
  <c r="E734" i="1" a="1"/>
  <c r="E734" i="1" s="1"/>
  <c r="I734" i="15" s="1"/>
  <c r="E698" i="1" a="1"/>
  <c r="E698" i="1" s="1"/>
  <c r="I698" i="15" s="1"/>
  <c r="E680" i="1" a="1"/>
  <c r="E680" i="1" s="1"/>
  <c r="I680" i="15" s="1"/>
  <c r="E662" i="1" a="1"/>
  <c r="E662" i="1" s="1"/>
  <c r="I662" i="15" s="1"/>
  <c r="E475" i="1" a="1"/>
  <c r="E475" i="1" s="1"/>
  <c r="I475" i="15" s="1"/>
  <c r="E439" i="1" a="1"/>
  <c r="E439" i="1" s="1"/>
  <c r="I439" i="15" s="1"/>
  <c r="E397" i="1" a="1"/>
  <c r="E397" i="1" s="1"/>
  <c r="I397" i="15" s="1"/>
  <c r="E379" i="1" a="1"/>
  <c r="E379" i="1" s="1"/>
  <c r="I379" i="15" s="1"/>
  <c r="E319" i="1" a="1"/>
  <c r="E319" i="1" s="1"/>
  <c r="I319" i="15" s="1"/>
  <c r="E301" i="1" a="1"/>
  <c r="E301" i="1" s="1"/>
  <c r="I301" i="15" s="1"/>
  <c r="E259" i="1" a="1"/>
  <c r="E259" i="1" s="1"/>
  <c r="I259" i="15" s="1"/>
  <c r="E241" i="1" a="1"/>
  <c r="E241" i="1" s="1"/>
  <c r="I241" i="15" s="1"/>
  <c r="E223" i="1" a="1"/>
  <c r="E223" i="1" s="1"/>
  <c r="I223" i="15" s="1"/>
  <c r="E540" i="1" a="1"/>
  <c r="E540" i="1" s="1"/>
  <c r="I540" i="15" s="1"/>
  <c r="E498" i="1" a="1"/>
  <c r="E498" i="1" s="1"/>
  <c r="I498" i="15" s="1"/>
  <c r="E456" i="1" a="1"/>
  <c r="E456" i="1" s="1"/>
  <c r="I456" i="15" s="1"/>
  <c r="E438" i="1" a="1"/>
  <c r="E438" i="1" s="1"/>
  <c r="I438" i="15" s="1"/>
  <c r="E378" i="1" a="1"/>
  <c r="E378" i="1" s="1"/>
  <c r="I378" i="15" s="1"/>
  <c r="E318" i="1" a="1"/>
  <c r="E318" i="1" s="1"/>
  <c r="I318" i="15" s="1"/>
  <c r="E300" i="1" a="1"/>
  <c r="E300" i="1" s="1"/>
  <c r="I300" i="15" s="1"/>
  <c r="E240" i="1" a="1"/>
  <c r="E240" i="1" s="1"/>
  <c r="I240" i="15" s="1"/>
  <c r="E222" i="1" a="1"/>
  <c r="E222" i="1" s="1"/>
  <c r="I222" i="15" s="1"/>
  <c r="E186" i="1" a="1"/>
  <c r="E186" i="1" s="1"/>
  <c r="I186" i="15" s="1"/>
  <c r="E509" i="1" a="1"/>
  <c r="E509" i="1" s="1"/>
  <c r="I509" i="15" s="1"/>
  <c r="E449" i="1" a="1"/>
  <c r="E449" i="1" s="1"/>
  <c r="I449" i="15" s="1"/>
  <c r="E431" i="1" a="1"/>
  <c r="E431" i="1" s="1"/>
  <c r="I431" i="15" s="1"/>
  <c r="E389" i="1" a="1"/>
  <c r="E389" i="1" s="1"/>
  <c r="I389" i="15" s="1"/>
  <c r="E371" i="1" a="1"/>
  <c r="E371" i="1" s="1"/>
  <c r="I371" i="15" s="1"/>
  <c r="E353" i="1" a="1"/>
  <c r="E353" i="1" s="1"/>
  <c r="I353" i="15" s="1"/>
  <c r="E311" i="1" a="1"/>
  <c r="E311" i="1" s="1"/>
  <c r="I311" i="15" s="1"/>
  <c r="E293" i="1" a="1"/>
  <c r="E293" i="1" s="1"/>
  <c r="I293" i="15" s="1"/>
  <c r="E233" i="1" a="1"/>
  <c r="E233" i="1" s="1"/>
  <c r="I233" i="15" s="1"/>
  <c r="E215" i="1" a="1"/>
  <c r="E215" i="1" s="1"/>
  <c r="I215" i="15" s="1"/>
  <c r="E172" i="1" a="1"/>
  <c r="E172" i="1" s="1"/>
  <c r="I172" i="15" s="1"/>
  <c r="E650" i="1" a="1"/>
  <c r="E650" i="1" s="1"/>
  <c r="I650" i="15" s="1"/>
  <c r="E632" i="1" a="1"/>
  <c r="E632" i="1" s="1"/>
  <c r="I632" i="15" s="1"/>
  <c r="E536" i="1" a="1"/>
  <c r="E536" i="1" s="1"/>
  <c r="I536" i="15" s="1"/>
  <c r="E518" i="1" a="1"/>
  <c r="E518" i="1" s="1"/>
  <c r="I518" i="15" s="1"/>
  <c r="E482" i="1" a="1"/>
  <c r="E482" i="1" s="1"/>
  <c r="I482" i="15" s="1"/>
  <c r="E464" i="1" a="1"/>
  <c r="E464" i="1" s="1"/>
  <c r="I464" i="15" s="1"/>
  <c r="E141" i="1" a="1"/>
  <c r="E141" i="1" s="1"/>
  <c r="I141" i="15" s="1"/>
  <c r="E69" i="1" a="1"/>
  <c r="E69" i="1" s="1"/>
  <c r="I69" i="15" s="1"/>
  <c r="E875" i="1" a="1"/>
  <c r="E875" i="1" s="1"/>
  <c r="I875" i="15" s="1"/>
  <c r="E833" i="1" a="1"/>
  <c r="E833" i="1" s="1"/>
  <c r="I833" i="15" s="1"/>
  <c r="E761" i="1" a="1"/>
  <c r="E761" i="1" s="1"/>
  <c r="I761" i="15" s="1"/>
  <c r="E713" i="1" a="1"/>
  <c r="E713" i="1" s="1"/>
  <c r="I713" i="15" s="1"/>
  <c r="E671" i="1" a="1"/>
  <c r="E671" i="1" s="1"/>
  <c r="I671" i="15" s="1"/>
  <c r="E605" i="1" a="1"/>
  <c r="E605" i="1" s="1"/>
  <c r="I605" i="15" s="1"/>
  <c r="E563" i="1" a="1"/>
  <c r="E563" i="1" s="1"/>
  <c r="I563" i="15" s="1"/>
  <c r="E352" i="1" a="1"/>
  <c r="E352" i="1" s="1"/>
  <c r="I352" i="15" s="1"/>
  <c r="E268" i="1" a="1"/>
  <c r="E268" i="1" s="1"/>
  <c r="I268" i="15" s="1"/>
  <c r="E214" i="1" a="1"/>
  <c r="E214" i="1" s="1"/>
  <c r="I214" i="15" s="1"/>
  <c r="E190" i="1" a="1"/>
  <c r="E190" i="1" s="1"/>
  <c r="I190" i="15" s="1"/>
  <c r="E609" i="1" a="1"/>
  <c r="E609" i="1" s="1"/>
  <c r="I609" i="15" s="1"/>
  <c r="E381" i="1" a="1"/>
  <c r="E381" i="1" s="1"/>
  <c r="I381" i="15" s="1"/>
  <c r="E357" i="1" a="1"/>
  <c r="E357" i="1" s="1"/>
  <c r="I357" i="15" s="1"/>
  <c r="E333" i="1" a="1"/>
  <c r="E333" i="1" s="1"/>
  <c r="I333" i="15" s="1"/>
  <c r="E285" i="1" a="1"/>
  <c r="E285" i="1" s="1"/>
  <c r="I285" i="15" s="1"/>
  <c r="E261" i="1" a="1"/>
  <c r="E261" i="1" s="1"/>
  <c r="I261" i="15" s="1"/>
  <c r="E237" i="1" a="1"/>
  <c r="E237" i="1" s="1"/>
  <c r="I237" i="15" s="1"/>
  <c r="E867" i="1" a="1"/>
  <c r="E867" i="1" s="1"/>
  <c r="I867" i="15" s="1"/>
  <c r="E813" i="1" a="1"/>
  <c r="E813" i="1" s="1"/>
  <c r="I813" i="15" s="1"/>
  <c r="E771" i="1" a="1"/>
  <c r="E771" i="1" s="1"/>
  <c r="I771" i="15" s="1"/>
  <c r="E735" i="1" a="1"/>
  <c r="E735" i="1" s="1"/>
  <c r="I735" i="15" s="1"/>
  <c r="E663" i="1" a="1"/>
  <c r="E663" i="1" s="1"/>
  <c r="I663" i="15" s="1"/>
  <c r="E645" i="1" a="1"/>
  <c r="E645" i="1" s="1"/>
  <c r="I645" i="15" s="1"/>
  <c r="E597" i="1" a="1"/>
  <c r="E597" i="1" s="1"/>
  <c r="I597" i="15" s="1"/>
  <c r="E573" i="1" a="1"/>
  <c r="E573" i="1" s="1"/>
  <c r="I573" i="15" s="1"/>
  <c r="E525" i="1" a="1"/>
  <c r="E525" i="1" s="1"/>
  <c r="I525" i="15" s="1"/>
  <c r="E435" i="1" a="1"/>
  <c r="E435" i="1" s="1"/>
  <c r="I435" i="15" s="1"/>
  <c r="E417" i="1" a="1"/>
  <c r="E417" i="1" s="1"/>
  <c r="I417" i="15" s="1"/>
  <c r="E166" i="1" a="1"/>
  <c r="E166" i="1" s="1"/>
  <c r="I166" i="15" s="1"/>
  <c r="E148" i="1" a="1"/>
  <c r="E148" i="1" s="1"/>
  <c r="I148" i="15" s="1"/>
  <c r="E118" i="1" a="1"/>
  <c r="E118" i="1" s="1"/>
  <c r="I118" i="15" s="1"/>
  <c r="E88" i="1" a="1"/>
  <c r="E88" i="1" s="1"/>
  <c r="I88" i="15" s="1"/>
  <c r="E58" i="1" a="1"/>
  <c r="E58" i="1" s="1"/>
  <c r="I58" i="15" s="1"/>
  <c r="E40" i="1" a="1"/>
  <c r="E40" i="1" s="1"/>
  <c r="I40" i="15" s="1"/>
  <c r="E866" i="1" a="1"/>
  <c r="E866" i="1" s="1"/>
  <c r="I866" i="15" s="1"/>
  <c r="E788" i="1" a="1"/>
  <c r="E788" i="1" s="1"/>
  <c r="I788" i="15" s="1"/>
  <c r="E752" i="1" a="1"/>
  <c r="E752" i="1" s="1"/>
  <c r="I752" i="15" s="1"/>
  <c r="E716" i="1" a="1"/>
  <c r="E716" i="1" s="1"/>
  <c r="I716" i="15" s="1"/>
  <c r="E836" i="1" a="1"/>
  <c r="E836" i="1" s="1"/>
  <c r="I836" i="15" s="1"/>
  <c r="E493" i="1" a="1"/>
  <c r="E493" i="1" s="1"/>
  <c r="I493" i="15" s="1"/>
  <c r="E457" i="1" a="1"/>
  <c r="E457" i="1" s="1"/>
  <c r="I457" i="15" s="1"/>
  <c r="E433" i="1" a="1"/>
  <c r="E433" i="1" s="1"/>
  <c r="I433" i="15" s="1"/>
  <c r="E415" i="1" a="1"/>
  <c r="E415" i="1" s="1"/>
  <c r="I415" i="15" s="1"/>
  <c r="E355" i="1" a="1"/>
  <c r="E355" i="1" s="1"/>
  <c r="I355" i="15" s="1"/>
  <c r="E337" i="1" a="1"/>
  <c r="E337" i="1" s="1"/>
  <c r="I337" i="15" s="1"/>
  <c r="E277" i="1" a="1"/>
  <c r="E277" i="1" s="1"/>
  <c r="I277" i="15" s="1"/>
  <c r="E217" i="1" a="1"/>
  <c r="E217" i="1" s="1"/>
  <c r="I217" i="15" s="1"/>
  <c r="E199" i="1" a="1"/>
  <c r="E199" i="1" s="1"/>
  <c r="I199" i="15" s="1"/>
  <c r="E534" i="1" a="1"/>
  <c r="E534" i="1" s="1"/>
  <c r="I534" i="15" s="1"/>
  <c r="E516" i="1" a="1"/>
  <c r="E516" i="1" s="1"/>
  <c r="I516" i="15" s="1"/>
  <c r="E396" i="1" a="1"/>
  <c r="E396" i="1" s="1"/>
  <c r="I396" i="15" s="1"/>
  <c r="E366" i="1" a="1"/>
  <c r="E366" i="1" s="1"/>
  <c r="I366" i="15" s="1"/>
  <c r="E336" i="1" a="1"/>
  <c r="E336" i="1" s="1"/>
  <c r="I336" i="15" s="1"/>
  <c r="E377" i="1" a="1"/>
  <c r="E377" i="1" s="1"/>
  <c r="I377" i="15" s="1"/>
  <c r="E347" i="1" a="1"/>
  <c r="E347" i="1" s="1"/>
  <c r="I347" i="15" s="1"/>
  <c r="E317" i="1" a="1"/>
  <c r="E317" i="1" s="1"/>
  <c r="I317" i="15" s="1"/>
  <c r="E638" i="1" a="1"/>
  <c r="E638" i="1" s="1"/>
  <c r="I638" i="15" s="1"/>
  <c r="E608" i="1" a="1"/>
  <c r="E608" i="1" s="1"/>
  <c r="I608" i="15" s="1"/>
  <c r="E560" i="1" a="1"/>
  <c r="E560" i="1" s="1"/>
  <c r="I560" i="15" s="1"/>
  <c r="E488" i="1" a="1"/>
  <c r="E488" i="1" s="1"/>
  <c r="I488" i="15" s="1"/>
  <c r="E416" i="1" a="1"/>
  <c r="E416" i="1" s="1"/>
  <c r="I416" i="15" s="1"/>
  <c r="E332" i="1" a="1"/>
  <c r="E332" i="1" s="1"/>
  <c r="I332" i="15" s="1"/>
  <c r="E314" i="1" a="1"/>
  <c r="E314" i="1" s="1"/>
  <c r="I314" i="15" s="1"/>
  <c r="E296" i="1" a="1"/>
  <c r="E296" i="1" s="1"/>
  <c r="I296" i="15" s="1"/>
  <c r="E278" i="1" a="1"/>
  <c r="E278" i="1" s="1"/>
  <c r="I278" i="15" s="1"/>
  <c r="E260" i="1" a="1"/>
  <c r="E260" i="1" s="1"/>
  <c r="I260" i="15" s="1"/>
  <c r="E242" i="1" a="1"/>
  <c r="E242" i="1" s="1"/>
  <c r="I242" i="15" s="1"/>
  <c r="E224" i="1" a="1"/>
  <c r="E224" i="1" s="1"/>
  <c r="I224" i="15" s="1"/>
  <c r="E206" i="1" a="1"/>
  <c r="E206" i="1" s="1"/>
  <c r="I206" i="15" s="1"/>
  <c r="E188" i="1" a="1"/>
  <c r="E188" i="1" s="1"/>
  <c r="I188" i="15" s="1"/>
  <c r="E407" i="1" a="1"/>
  <c r="E407" i="1" s="1"/>
  <c r="I407" i="15" s="1"/>
  <c r="E191" i="1" a="1"/>
  <c r="E191" i="1" s="1"/>
  <c r="I191" i="15" s="1"/>
  <c r="E179" i="1" a="1"/>
  <c r="E179" i="1" s="1"/>
  <c r="I179" i="15" s="1"/>
  <c r="E506" i="1" a="1"/>
  <c r="E506" i="1" s="1"/>
  <c r="I506" i="15" s="1"/>
  <c r="E434" i="1" a="1"/>
  <c r="E434" i="1" s="1"/>
  <c r="I434" i="15" s="1"/>
  <c r="E392" i="1" a="1"/>
  <c r="E392" i="1" s="1"/>
  <c r="I392" i="15" s="1"/>
  <c r="E374" i="1" a="1"/>
  <c r="E374" i="1" s="1"/>
  <c r="I374" i="15" s="1"/>
  <c r="E229" i="1" a="1"/>
  <c r="E229" i="1" s="1"/>
  <c r="I229" i="15" s="1"/>
  <c r="E504" i="1" a="1"/>
  <c r="E504" i="1" s="1"/>
  <c r="I504" i="15" s="1"/>
  <c r="E474" i="1" a="1"/>
  <c r="E474" i="1" s="1"/>
  <c r="I474" i="15" s="1"/>
  <c r="E444" i="1" a="1"/>
  <c r="E444" i="1" s="1"/>
  <c r="I444" i="15" s="1"/>
  <c r="E414" i="1" a="1"/>
  <c r="E414" i="1" s="1"/>
  <c r="I414" i="15" s="1"/>
  <c r="E384" i="1" a="1"/>
  <c r="E384" i="1" s="1"/>
  <c r="I384" i="15" s="1"/>
  <c r="E354" i="1" a="1"/>
  <c r="E354" i="1" s="1"/>
  <c r="I354" i="15" s="1"/>
  <c r="E258" i="1" a="1"/>
  <c r="E258" i="1" s="1"/>
  <c r="I258" i="15" s="1"/>
  <c r="E228" i="1" a="1"/>
  <c r="E228" i="1" s="1"/>
  <c r="I228" i="15" s="1"/>
  <c r="E198" i="1" a="1"/>
  <c r="E198" i="1" s="1"/>
  <c r="I198" i="15" s="1"/>
  <c r="E527" i="1" a="1"/>
  <c r="E527" i="1" s="1"/>
  <c r="I527" i="15" s="1"/>
  <c r="E497" i="1" a="1"/>
  <c r="E497" i="1" s="1"/>
  <c r="I497" i="15" s="1"/>
  <c r="E467" i="1" a="1"/>
  <c r="E467" i="1" s="1"/>
  <c r="I467" i="15" s="1"/>
  <c r="E437" i="1" a="1"/>
  <c r="E437" i="1" s="1"/>
  <c r="I437" i="15" s="1"/>
  <c r="E281" i="1" a="1"/>
  <c r="E281" i="1" s="1"/>
  <c r="I281" i="15" s="1"/>
  <c r="E251" i="1" a="1"/>
  <c r="E251" i="1" s="1"/>
  <c r="I251" i="15" s="1"/>
  <c r="E221" i="1" a="1"/>
  <c r="E221" i="1" s="1"/>
  <c r="I221" i="15" s="1"/>
  <c r="E717" i="1" a="1"/>
  <c r="E717" i="1" s="1"/>
  <c r="I717" i="15" s="1"/>
  <c r="E452" i="1" a="1"/>
  <c r="E452" i="1" s="1"/>
  <c r="I452" i="15" s="1"/>
  <c r="E344" i="1" a="1"/>
  <c r="E344" i="1" s="1"/>
  <c r="I344" i="15" s="1"/>
  <c r="E326" i="1" a="1"/>
  <c r="E326" i="1" s="1"/>
  <c r="I326" i="15" s="1"/>
  <c r="E308" i="1" a="1"/>
  <c r="E308" i="1" s="1"/>
  <c r="I308" i="15" s="1"/>
  <c r="E290" i="1" a="1"/>
  <c r="E290" i="1" s="1"/>
  <c r="I290" i="15" s="1"/>
  <c r="E272" i="1" a="1"/>
  <c r="E272" i="1" s="1"/>
  <c r="I272" i="15" s="1"/>
  <c r="E254" i="1" a="1"/>
  <c r="E254" i="1" s="1"/>
  <c r="I254" i="15" s="1"/>
  <c r="E236" i="1" a="1"/>
  <c r="E236" i="1" s="1"/>
  <c r="I236" i="15" s="1"/>
  <c r="E218" i="1" a="1"/>
  <c r="E218" i="1" s="1"/>
  <c r="I218" i="15" s="1"/>
  <c r="E200" i="1" a="1"/>
  <c r="E200" i="1" s="1"/>
  <c r="I200" i="15" s="1"/>
  <c r="E175" i="1" a="1"/>
  <c r="E175" i="1" s="1"/>
  <c r="I175" i="15" s="1"/>
  <c r="E195" i="1" a="1"/>
  <c r="E195" i="1" s="1"/>
  <c r="I195" i="15" s="1"/>
  <c r="E602" i="1" a="1"/>
  <c r="E602" i="1" s="1"/>
  <c r="I602" i="15" s="1"/>
  <c r="E572" i="1" a="1"/>
  <c r="E572" i="1" s="1"/>
  <c r="I572" i="15" s="1"/>
  <c r="E554" i="1" a="1"/>
  <c r="E554" i="1" s="1"/>
  <c r="I554" i="15" s="1"/>
  <c r="E524" i="1" a="1"/>
  <c r="E524" i="1" s="1"/>
  <c r="I524" i="15" s="1"/>
  <c r="E428" i="1" a="1"/>
  <c r="E428" i="1" s="1"/>
  <c r="I428" i="15" s="1"/>
  <c r="E410" i="1" a="1"/>
  <c r="E410" i="1" s="1"/>
  <c r="I410" i="15" s="1"/>
  <c r="E362" i="1" a="1"/>
  <c r="E362" i="1" s="1"/>
  <c r="I362" i="15" s="1"/>
  <c r="E462" i="1" a="1"/>
  <c r="E462" i="1" s="1"/>
  <c r="I462" i="15" s="1"/>
  <c r="E432" i="1" a="1"/>
  <c r="E432" i="1" s="1"/>
  <c r="I432" i="15" s="1"/>
  <c r="E276" i="1" a="1"/>
  <c r="E276" i="1" s="1"/>
  <c r="I276" i="15" s="1"/>
  <c r="E246" i="1" a="1"/>
  <c r="E246" i="1" s="1"/>
  <c r="I246" i="15" s="1"/>
  <c r="E216" i="1" a="1"/>
  <c r="E216" i="1" s="1"/>
  <c r="I216" i="15" s="1"/>
  <c r="E515" i="1" a="1"/>
  <c r="E515" i="1" s="1"/>
  <c r="I515" i="15" s="1"/>
  <c r="E485" i="1" a="1"/>
  <c r="E485" i="1" s="1"/>
  <c r="I485" i="15" s="1"/>
  <c r="E455" i="1" a="1"/>
  <c r="E455" i="1" s="1"/>
  <c r="I455" i="15" s="1"/>
  <c r="E359" i="1" a="1"/>
  <c r="E359" i="1" s="1"/>
  <c r="I359" i="15" s="1"/>
  <c r="E329" i="1" a="1"/>
  <c r="E329" i="1" s="1"/>
  <c r="I329" i="15" s="1"/>
  <c r="E299" i="1" a="1"/>
  <c r="E299" i="1" s="1"/>
  <c r="I299" i="15" s="1"/>
  <c r="E269" i="1" a="1"/>
  <c r="E269" i="1" s="1"/>
  <c r="I269" i="15" s="1"/>
  <c r="E239" i="1" a="1"/>
  <c r="E239" i="1" s="1"/>
  <c r="I239" i="15" s="1"/>
  <c r="E185" i="1" a="1"/>
  <c r="E185" i="1" s="1"/>
  <c r="I185" i="15" s="1"/>
  <c r="E500" i="1" a="1"/>
  <c r="E500" i="1" s="1"/>
  <c r="I500" i="15" s="1"/>
  <c r="E470" i="1" a="1"/>
  <c r="E470" i="1" s="1"/>
  <c r="I470" i="15" s="1"/>
  <c r="E446" i="1" a="1"/>
  <c r="E446" i="1" s="1"/>
  <c r="I446" i="15" s="1"/>
  <c r="E380" i="1" a="1"/>
  <c r="E380" i="1" s="1"/>
  <c r="I380" i="15" s="1"/>
  <c r="E338" i="1" a="1"/>
  <c r="E338" i="1" s="1"/>
  <c r="I338" i="15" s="1"/>
  <c r="E320" i="1" a="1"/>
  <c r="E320" i="1" s="1"/>
  <c r="I320" i="15" s="1"/>
  <c r="E302" i="1" a="1"/>
  <c r="E302" i="1" s="1"/>
  <c r="I302" i="15" s="1"/>
  <c r="E284" i="1" a="1"/>
  <c r="E284" i="1" s="1"/>
  <c r="I284" i="15" s="1"/>
  <c r="E266" i="1" a="1"/>
  <c r="E266" i="1" s="1"/>
  <c r="I266" i="15" s="1"/>
  <c r="E248" i="1" a="1"/>
  <c r="E248" i="1" s="1"/>
  <c r="I248" i="15" s="1"/>
  <c r="E230" i="1" a="1"/>
  <c r="E230" i="1" s="1"/>
  <c r="I230" i="15" s="1"/>
  <c r="E212" i="1" a="1"/>
  <c r="E212" i="1" s="1"/>
  <c r="I212" i="15" s="1"/>
  <c r="E194" i="1" a="1"/>
  <c r="E194" i="1" s="1"/>
  <c r="I194" i="15" s="1"/>
  <c r="E656" i="1" a="1"/>
  <c r="E656" i="1" s="1"/>
  <c r="I656" i="15" s="1"/>
  <c r="E566" i="1" a="1"/>
  <c r="E566" i="1" s="1"/>
  <c r="I566" i="15" s="1"/>
  <c r="E306" i="1" a="1"/>
  <c r="E306" i="1" s="1"/>
  <c r="I306" i="15" s="1"/>
  <c r="E533" i="1" a="1"/>
  <c r="E533" i="1" s="1"/>
  <c r="I533" i="15" s="1"/>
  <c r="E590" i="1" a="1"/>
  <c r="E590" i="1" s="1"/>
  <c r="I590" i="15" s="1"/>
  <c r="E542" i="1" a="1"/>
  <c r="E542" i="1" s="1"/>
  <c r="I542" i="15" s="1"/>
  <c r="E398" i="1" a="1"/>
  <c r="E398" i="1" s="1"/>
  <c r="I398" i="15" s="1"/>
  <c r="E356" i="1" a="1"/>
  <c r="E356" i="1" s="1"/>
  <c r="I356" i="15" s="1"/>
  <c r="E176" i="1" a="1"/>
  <c r="E176" i="1" s="1"/>
  <c r="I176" i="15" s="1"/>
  <c r="V2" i="4"/>
  <c r="AD2" i="4" s="1"/>
  <c r="R141" i="4"/>
  <c r="T141" i="4" s="1" a="1"/>
  <c r="T141" i="4" s="1"/>
  <c r="U141" i="4" a="1"/>
  <c r="U141" i="4" s="1"/>
  <c r="R147" i="4"/>
  <c r="T147" i="4" s="1" a="1"/>
  <c r="T147" i="4" s="1"/>
  <c r="U147" i="4" a="1"/>
  <c r="U147" i="4" s="1"/>
  <c r="R105" i="4"/>
  <c r="T105" i="4" s="1" a="1"/>
  <c r="T105" i="4" s="1"/>
  <c r="U105" i="4" a="1"/>
  <c r="U105" i="4" s="1"/>
  <c r="R69" i="4"/>
  <c r="T69" i="4" s="1" a="1"/>
  <c r="T69" i="4" s="1"/>
  <c r="U69" i="4" a="1"/>
  <c r="U69" i="4" s="1"/>
  <c r="R29" i="4"/>
  <c r="T29" i="4" s="1" a="1"/>
  <c r="T29" i="4" s="1"/>
  <c r="U29" i="4" a="1"/>
  <c r="U29" i="4" s="1"/>
  <c r="R18" i="4"/>
  <c r="T18" i="4" s="1" a="1"/>
  <c r="T18" i="4" s="1"/>
  <c r="AD18" i="4" s="1"/>
  <c r="M91" i="1" s="1"/>
  <c r="M91" i="15" s="1"/>
  <c r="N91" i="15" s="1" a="1"/>
  <c r="N91" i="15" s="1"/>
  <c r="U18" i="4" a="1"/>
  <c r="U18" i="4" s="1"/>
  <c r="R49" i="4"/>
  <c r="T49" i="4" s="1" a="1"/>
  <c r="T49" i="4" s="1"/>
  <c r="U49" i="4" a="1"/>
  <c r="U49" i="4" s="1"/>
  <c r="R50" i="4"/>
  <c r="T50" i="4" s="1" a="1"/>
  <c r="T50" i="4" s="1"/>
  <c r="U50" i="4" a="1"/>
  <c r="U50" i="4" s="1"/>
  <c r="R82" i="4"/>
  <c r="T82" i="4" s="1" a="1"/>
  <c r="T82" i="4" s="1"/>
  <c r="AD82" i="4" s="1"/>
  <c r="M157" i="1" s="1"/>
  <c r="M157" i="15" s="1"/>
  <c r="N157" i="15" s="1" a="1"/>
  <c r="N157" i="15" s="1"/>
  <c r="U82" i="4" a="1"/>
  <c r="U82" i="4" s="1"/>
  <c r="R78" i="4"/>
  <c r="T78" i="4" s="1" a="1"/>
  <c r="T78" i="4" s="1"/>
  <c r="U78" i="4" a="1"/>
  <c r="U78" i="4" s="1"/>
  <c r="R57" i="4"/>
  <c r="T57" i="4" s="1" a="1"/>
  <c r="T57" i="4" s="1"/>
  <c r="U57" i="4" a="1"/>
  <c r="U57" i="4" s="1"/>
  <c r="R89" i="4"/>
  <c r="T89" i="4" s="1" a="1"/>
  <c r="T89" i="4" s="1"/>
  <c r="AD89" i="4" s="1"/>
  <c r="M141" i="1" s="1"/>
  <c r="M141" i="15" s="1"/>
  <c r="N141" i="15" s="1" a="1"/>
  <c r="N141" i="15" s="1"/>
  <c r="U89" i="4" a="1"/>
  <c r="U89" i="4" s="1"/>
  <c r="R150" i="4"/>
  <c r="T150" i="4" s="1" a="1"/>
  <c r="T150" i="4" s="1"/>
  <c r="U150" i="4" a="1"/>
  <c r="U150" i="4" s="1"/>
  <c r="R118" i="4"/>
  <c r="T118" i="4" s="1" a="1"/>
  <c r="T118" i="4" s="1"/>
  <c r="U118" i="4" a="1"/>
  <c r="U118" i="4" s="1"/>
  <c r="R129" i="4"/>
  <c r="T129" i="4" s="1" a="1"/>
  <c r="T129" i="4" s="1"/>
  <c r="U129" i="4" a="1"/>
  <c r="U129" i="4" s="1"/>
  <c r="R130" i="4"/>
  <c r="T130" i="4" s="1" a="1"/>
  <c r="T130" i="4" s="1"/>
  <c r="U130" i="4" a="1"/>
  <c r="U130" i="4" s="1"/>
  <c r="R125" i="4"/>
  <c r="T125" i="4" s="1" a="1"/>
  <c r="T125" i="4" s="1"/>
  <c r="U125" i="4" a="1"/>
  <c r="U125" i="4" s="1"/>
  <c r="R187" i="15"/>
  <c r="N187" i="1" a="1"/>
  <c r="N187" i="1" s="1"/>
  <c r="S187" i="15" s="1"/>
  <c r="R189" i="15"/>
  <c r="I189" i="1" a="1"/>
  <c r="I189" i="1" s="1"/>
  <c r="M189" i="1"/>
  <c r="M189" i="15" s="1"/>
  <c r="N189" i="15" s="1" a="1"/>
  <c r="N189" i="15" s="1"/>
  <c r="I190" i="1" a="1"/>
  <c r="I190" i="1" s="1"/>
  <c r="M190" i="1"/>
  <c r="M190" i="15" s="1"/>
  <c r="N190" i="15" s="1" a="1"/>
  <c r="N190" i="15" s="1"/>
  <c r="R191" i="15"/>
  <c r="I191" i="1" a="1"/>
  <c r="I191" i="1" s="1"/>
  <c r="M191" i="1"/>
  <c r="M191" i="15" s="1"/>
  <c r="N191" i="15" s="1" a="1"/>
  <c r="N191" i="15" s="1"/>
  <c r="C192" i="1" a="1"/>
  <c r="C192" i="1" s="1"/>
  <c r="E192" i="15" s="1"/>
  <c r="F192" i="1" a="1"/>
  <c r="F192" i="1" s="1"/>
  <c r="I192" i="1" a="1"/>
  <c r="I192" i="1" s="1"/>
  <c r="M192" i="1"/>
  <c r="M192" i="15" s="1"/>
  <c r="N192" i="15" s="1" a="1"/>
  <c r="N192" i="15" s="1"/>
  <c r="C193" i="1" a="1"/>
  <c r="C193" i="1" s="1"/>
  <c r="E193" i="15" s="1"/>
  <c r="R193" i="15"/>
  <c r="R195" i="15"/>
  <c r="I195" i="1" a="1"/>
  <c r="I195" i="1" s="1"/>
  <c r="G196" i="1" a="1"/>
  <c r="G196" i="1" s="1"/>
  <c r="J196" i="15" s="1"/>
  <c r="N196" i="1" a="1"/>
  <c r="N196" i="1" s="1"/>
  <c r="S196" i="15" s="1"/>
  <c r="N197" i="1" a="1"/>
  <c r="N197" i="1" s="1"/>
  <c r="S197" i="15" s="1"/>
  <c r="I198" i="1" a="1"/>
  <c r="I198" i="1" s="1"/>
  <c r="R199" i="15"/>
  <c r="I199" i="1" a="1"/>
  <c r="I199" i="1" s="1"/>
  <c r="R200" i="15"/>
  <c r="R201" i="15"/>
  <c r="R203" i="15"/>
  <c r="I203" i="1" a="1"/>
  <c r="I203" i="1" s="1"/>
  <c r="G204" i="1" a="1"/>
  <c r="G204" i="1" s="1"/>
  <c r="J204" i="15" s="1"/>
  <c r="J204" i="1" a="1"/>
  <c r="J204" i="1" s="1"/>
  <c r="F205" i="1" a="1"/>
  <c r="F205" i="1" s="1"/>
  <c r="I205" i="1" a="1"/>
  <c r="I205" i="1" s="1"/>
  <c r="G206" i="1" a="1"/>
  <c r="G206" i="1" s="1"/>
  <c r="J206" i="15" s="1"/>
  <c r="F207" i="1" a="1"/>
  <c r="F207" i="1" s="1"/>
  <c r="J207" i="1" a="1"/>
  <c r="J207" i="1" s="1"/>
  <c r="M207" i="1"/>
  <c r="M207" i="15" s="1"/>
  <c r="N207" i="15" s="1" a="1"/>
  <c r="N207" i="15" s="1"/>
  <c r="C208" i="1" a="1"/>
  <c r="C208" i="1" s="1"/>
  <c r="E208" i="15" s="1"/>
  <c r="R208" i="15"/>
  <c r="G209" i="1" a="1"/>
  <c r="G209" i="1" s="1"/>
  <c r="J209" i="15" s="1"/>
  <c r="J209" i="1" a="1"/>
  <c r="J209" i="1" s="1"/>
  <c r="M209" i="1"/>
  <c r="M209" i="15" s="1"/>
  <c r="N209" i="15" s="1" a="1"/>
  <c r="N209" i="15" s="1"/>
  <c r="C210" i="1" a="1"/>
  <c r="C210" i="1" s="1"/>
  <c r="E210" i="15" s="1"/>
  <c r="R210" i="15"/>
  <c r="C187" i="1" a="1"/>
  <c r="C187" i="1" s="1"/>
  <c r="E187" i="15" s="1"/>
  <c r="I187" i="1" a="1"/>
  <c r="I187" i="1" s="1"/>
  <c r="R188" i="15"/>
  <c r="I188" i="1" a="1"/>
  <c r="I188" i="1" s="1"/>
  <c r="M188" i="1"/>
  <c r="M188" i="15" s="1"/>
  <c r="N188" i="15" s="1" a="1"/>
  <c r="N188" i="15" s="1"/>
  <c r="C189" i="1" a="1"/>
  <c r="C189" i="1" s="1"/>
  <c r="E189" i="15" s="1"/>
  <c r="F189" i="1" a="1"/>
  <c r="F189" i="1" s="1"/>
  <c r="J189" i="1" a="1"/>
  <c r="J189" i="1" s="1"/>
  <c r="R190" i="15"/>
  <c r="G190" i="1" a="1"/>
  <c r="G190" i="1" s="1"/>
  <c r="J190" i="15" s="1"/>
  <c r="J190" i="1" a="1"/>
  <c r="J190" i="1" s="1"/>
  <c r="C191" i="1" a="1"/>
  <c r="C191" i="1" s="1"/>
  <c r="E191" i="15" s="1"/>
  <c r="F191" i="1" a="1"/>
  <c r="F191" i="1" s="1"/>
  <c r="J191" i="1" a="1"/>
  <c r="J191" i="1" s="1"/>
  <c r="G192" i="1" a="1"/>
  <c r="G192" i="1" s="1"/>
  <c r="J192" i="15" s="1"/>
  <c r="J192" i="1" a="1"/>
  <c r="J192" i="1" s="1"/>
  <c r="F193" i="1" a="1"/>
  <c r="F193" i="1" s="1"/>
  <c r="I193" i="1" a="1"/>
  <c r="I193" i="1" s="1"/>
  <c r="M193" i="1"/>
  <c r="M193" i="15" s="1"/>
  <c r="N193" i="15" s="1" a="1"/>
  <c r="N193" i="15" s="1"/>
  <c r="R194" i="15"/>
  <c r="I194" i="1" a="1"/>
  <c r="I194" i="1" s="1"/>
  <c r="M194" i="1"/>
  <c r="M194" i="15" s="1"/>
  <c r="N194" i="15" s="1" a="1"/>
  <c r="N194" i="15" s="1"/>
  <c r="C195" i="1" a="1"/>
  <c r="C195" i="1" s="1"/>
  <c r="E195" i="15" s="1"/>
  <c r="F195" i="1" a="1"/>
  <c r="F195" i="1" s="1"/>
  <c r="J195" i="1" a="1"/>
  <c r="J195" i="1" s="1"/>
  <c r="M195" i="1"/>
  <c r="M195" i="15" s="1"/>
  <c r="N195" i="15" s="1" a="1"/>
  <c r="N195" i="15" s="1"/>
  <c r="C196" i="1" a="1"/>
  <c r="C196" i="1" s="1"/>
  <c r="E196" i="15" s="1"/>
  <c r="R197" i="15"/>
  <c r="I197" i="1" a="1"/>
  <c r="I197" i="1" s="1"/>
  <c r="F198" i="1" a="1"/>
  <c r="F198" i="1" s="1"/>
  <c r="M198" i="1"/>
  <c r="M198" i="15" s="1"/>
  <c r="N198" i="15" s="1" a="1"/>
  <c r="N198" i="15" s="1"/>
  <c r="C199" i="1" a="1"/>
  <c r="C199" i="1" s="1"/>
  <c r="E199" i="15" s="1"/>
  <c r="F199" i="1" a="1"/>
  <c r="F199" i="1" s="1"/>
  <c r="J199" i="1" a="1"/>
  <c r="J199" i="1" s="1"/>
  <c r="M199" i="1"/>
  <c r="M199" i="15" s="1"/>
  <c r="N199" i="15" s="1" a="1"/>
  <c r="N199" i="15" s="1"/>
  <c r="C200" i="1" a="1"/>
  <c r="C200" i="1" s="1"/>
  <c r="E200" i="15" s="1"/>
  <c r="F200" i="1" a="1"/>
  <c r="F200" i="1" s="1"/>
  <c r="I200" i="1" a="1"/>
  <c r="I200" i="1" s="1"/>
  <c r="N200" i="1" a="1"/>
  <c r="N200" i="1" s="1"/>
  <c r="S200" i="15" s="1"/>
  <c r="F201" i="1" a="1"/>
  <c r="F201" i="1" s="1"/>
  <c r="I201" i="1" a="1"/>
  <c r="I201" i="1" s="1"/>
  <c r="M201" i="1"/>
  <c r="M201" i="15" s="1"/>
  <c r="N201" i="15" s="1" a="1"/>
  <c r="N201" i="15" s="1"/>
  <c r="R202" i="15"/>
  <c r="I202" i="1" a="1"/>
  <c r="I202" i="1" s="1"/>
  <c r="F187" i="1" a="1"/>
  <c r="F187" i="1" s="1"/>
  <c r="M187" i="1"/>
  <c r="M187" i="15" s="1"/>
  <c r="N187" i="15" s="1" a="1"/>
  <c r="N187" i="15" s="1"/>
  <c r="C188" i="1" a="1"/>
  <c r="C188" i="1" s="1"/>
  <c r="E188" i="15" s="1"/>
  <c r="F188" i="1" a="1"/>
  <c r="F188" i="1" s="1"/>
  <c r="J188" i="1" a="1"/>
  <c r="J188" i="1" s="1"/>
  <c r="G189" i="1" a="1"/>
  <c r="G189" i="1" s="1"/>
  <c r="J189" i="15" s="1"/>
  <c r="C190" i="1" a="1"/>
  <c r="C190" i="1" s="1"/>
  <c r="E190" i="15" s="1"/>
  <c r="N190" i="1" a="1"/>
  <c r="N190" i="1" s="1"/>
  <c r="S190" i="15" s="1"/>
  <c r="G191" i="1" a="1"/>
  <c r="G191" i="1" s="1"/>
  <c r="J191" i="15" s="1"/>
  <c r="N191" i="1" a="1"/>
  <c r="N191" i="1" s="1"/>
  <c r="S191" i="15" s="1"/>
  <c r="N192" i="1" a="1"/>
  <c r="N192" i="1" s="1"/>
  <c r="S192" i="15" s="1"/>
  <c r="C194" i="1" a="1"/>
  <c r="C194" i="1" s="1"/>
  <c r="E194" i="15" s="1"/>
  <c r="F194" i="1" a="1"/>
  <c r="F194" i="1" s="1"/>
  <c r="G195" i="1" a="1"/>
  <c r="G195" i="1" s="1"/>
  <c r="J195" i="15" s="1"/>
  <c r="R196" i="15"/>
  <c r="I196" i="1" a="1"/>
  <c r="I196" i="1" s="1"/>
  <c r="M196" i="1"/>
  <c r="M196" i="15" s="1"/>
  <c r="N196" i="15" s="1" a="1"/>
  <c r="N196" i="15" s="1"/>
  <c r="C197" i="1" a="1"/>
  <c r="C197" i="1" s="1"/>
  <c r="E197" i="15" s="1"/>
  <c r="F197" i="1" a="1"/>
  <c r="F197" i="1" s="1"/>
  <c r="J197" i="1" a="1"/>
  <c r="J197" i="1" s="1"/>
  <c r="M197" i="1"/>
  <c r="M197" i="15" s="1"/>
  <c r="N197" i="15" s="1" a="1"/>
  <c r="N197" i="15" s="1"/>
  <c r="G198" i="1" a="1"/>
  <c r="G198" i="1" s="1"/>
  <c r="J198" i="15" s="1"/>
  <c r="J198" i="1" a="1"/>
  <c r="J198" i="1" s="1"/>
  <c r="G199" i="1" a="1"/>
  <c r="G199" i="1" s="1"/>
  <c r="J199" i="15" s="1"/>
  <c r="G200" i="1" a="1"/>
  <c r="G200" i="1" s="1"/>
  <c r="J200" i="15" s="1"/>
  <c r="J200" i="1" a="1"/>
  <c r="J200" i="1" s="1"/>
  <c r="M200" i="1"/>
  <c r="M200" i="15" s="1"/>
  <c r="N200" i="15" s="1" a="1"/>
  <c r="N200" i="15" s="1"/>
  <c r="C202" i="1" a="1"/>
  <c r="C202" i="1" s="1"/>
  <c r="E202" i="15" s="1"/>
  <c r="F202" i="1" a="1"/>
  <c r="F202" i="1" s="1"/>
  <c r="G203" i="1" a="1"/>
  <c r="G203" i="1" s="1"/>
  <c r="J203" i="15" s="1"/>
  <c r="R204" i="15"/>
  <c r="I204" i="1" a="1"/>
  <c r="I204" i="1" s="1"/>
  <c r="G205" i="1" a="1"/>
  <c r="G205" i="1" s="1"/>
  <c r="J205" i="15" s="1"/>
  <c r="J205" i="1" a="1"/>
  <c r="J205" i="1" s="1"/>
  <c r="I206" i="1" a="1"/>
  <c r="I206" i="1" s="1"/>
  <c r="N207" i="1" a="1"/>
  <c r="N207" i="1" s="1"/>
  <c r="S207" i="15" s="1"/>
  <c r="J187" i="1" a="1"/>
  <c r="J187" i="1" s="1"/>
  <c r="N188" i="1" a="1"/>
  <c r="N188" i="1" s="1"/>
  <c r="S188" i="15" s="1"/>
  <c r="G193" i="1" a="1"/>
  <c r="G193" i="1" s="1"/>
  <c r="J193" i="15" s="1"/>
  <c r="N193" i="1" a="1"/>
  <c r="N193" i="1" s="1"/>
  <c r="S193" i="15" s="1"/>
  <c r="G194" i="1" a="1"/>
  <c r="G194" i="1" s="1"/>
  <c r="J194" i="15" s="1"/>
  <c r="N194" i="1" a="1"/>
  <c r="N194" i="1" s="1"/>
  <c r="S194" i="15" s="1"/>
  <c r="G197" i="1" a="1"/>
  <c r="G197" i="1" s="1"/>
  <c r="J197" i="15" s="1"/>
  <c r="C203" i="1" a="1"/>
  <c r="C203" i="1" s="1"/>
  <c r="E203" i="15" s="1"/>
  <c r="J203" i="1" a="1"/>
  <c r="J203" i="1" s="1"/>
  <c r="F204" i="1" a="1"/>
  <c r="F204" i="1" s="1"/>
  <c r="M204" i="1"/>
  <c r="M204" i="15" s="1"/>
  <c r="N204" i="15" s="1" a="1"/>
  <c r="N204" i="15" s="1"/>
  <c r="N205" i="1" a="1"/>
  <c r="N205" i="1" s="1"/>
  <c r="S205" i="15" s="1"/>
  <c r="J206" i="1" a="1"/>
  <c r="J206" i="1" s="1"/>
  <c r="R207" i="15"/>
  <c r="I210" i="1" a="1"/>
  <c r="I210" i="1" s="1"/>
  <c r="R211" i="15"/>
  <c r="I211" i="1" a="1"/>
  <c r="I211" i="1" s="1"/>
  <c r="M211" i="1"/>
  <c r="M211" i="15" s="1"/>
  <c r="N211" i="15" s="1" a="1"/>
  <c r="N211" i="15" s="1"/>
  <c r="C212" i="1" a="1"/>
  <c r="C212" i="1" s="1"/>
  <c r="E212" i="15" s="1"/>
  <c r="R212" i="15"/>
  <c r="I212" i="1" a="1"/>
  <c r="I212" i="1" s="1"/>
  <c r="R213" i="15"/>
  <c r="I213" i="1" a="1"/>
  <c r="I213" i="1" s="1"/>
  <c r="G214" i="1" a="1"/>
  <c r="G214" i="1" s="1"/>
  <c r="J214" i="15" s="1"/>
  <c r="F215" i="1" a="1"/>
  <c r="F215" i="1" s="1"/>
  <c r="J215" i="1" a="1"/>
  <c r="J215" i="1" s="1"/>
  <c r="M215" i="1"/>
  <c r="M215" i="15" s="1"/>
  <c r="N215" i="15" s="1" a="1"/>
  <c r="N215" i="15" s="1"/>
  <c r="C216" i="1" a="1"/>
  <c r="C216" i="1" s="1"/>
  <c r="E216" i="15" s="1"/>
  <c r="R216" i="15"/>
  <c r="F217" i="1" a="1"/>
  <c r="F217" i="1" s="1"/>
  <c r="J217" i="1" a="1"/>
  <c r="J217" i="1" s="1"/>
  <c r="G218" i="1" a="1"/>
  <c r="G218" i="1" s="1"/>
  <c r="J218" i="15" s="1"/>
  <c r="F219" i="1" a="1"/>
  <c r="F219" i="1" s="1"/>
  <c r="J219" i="1" a="1"/>
  <c r="J219" i="1" s="1"/>
  <c r="M219" i="1"/>
  <c r="M219" i="15" s="1"/>
  <c r="N219" i="15" s="1" a="1"/>
  <c r="N219" i="15" s="1"/>
  <c r="C220" i="1" a="1"/>
  <c r="C220" i="1" s="1"/>
  <c r="E220" i="15" s="1"/>
  <c r="F220" i="1" a="1"/>
  <c r="F220" i="1" s="1"/>
  <c r="G188" i="1" a="1"/>
  <c r="G188" i="1" s="1"/>
  <c r="J188" i="15" s="1"/>
  <c r="N189" i="1" a="1"/>
  <c r="N189" i="1" s="1"/>
  <c r="S189" i="15" s="1"/>
  <c r="F190" i="1" a="1"/>
  <c r="F190" i="1" s="1"/>
  <c r="N195" i="1" a="1"/>
  <c r="N195" i="1" s="1"/>
  <c r="S195" i="15" s="1"/>
  <c r="F196" i="1" a="1"/>
  <c r="F196" i="1" s="1"/>
  <c r="C198" i="1" a="1"/>
  <c r="C198" i="1" s="1"/>
  <c r="E198" i="15" s="1"/>
  <c r="G201" i="1" a="1"/>
  <c r="G201" i="1" s="1"/>
  <c r="J201" i="15" s="1"/>
  <c r="N201" i="1" a="1"/>
  <c r="N201" i="1" s="1"/>
  <c r="S201" i="15" s="1"/>
  <c r="G202" i="1" a="1"/>
  <c r="G202" i="1" s="1"/>
  <c r="J202" i="15" s="1"/>
  <c r="M202" i="1"/>
  <c r="M202" i="15" s="1"/>
  <c r="N202" i="15" s="1" a="1"/>
  <c r="N202" i="15" s="1"/>
  <c r="C204" i="1" a="1"/>
  <c r="C204" i="1" s="1"/>
  <c r="E204" i="15" s="1"/>
  <c r="N204" i="1" a="1"/>
  <c r="N204" i="1" s="1"/>
  <c r="S204" i="15" s="1"/>
  <c r="R206" i="15"/>
  <c r="C207" i="1" a="1"/>
  <c r="C207" i="1" s="1"/>
  <c r="E207" i="15" s="1"/>
  <c r="G207" i="1" a="1"/>
  <c r="G207" i="1" s="1"/>
  <c r="J207" i="15" s="1"/>
  <c r="M208" i="1"/>
  <c r="M208" i="15" s="1"/>
  <c r="N208" i="15" s="1" a="1"/>
  <c r="N208" i="15" s="1"/>
  <c r="C209" i="1" a="1"/>
  <c r="C209" i="1" s="1"/>
  <c r="E209" i="15" s="1"/>
  <c r="R209" i="15"/>
  <c r="I209" i="1" a="1"/>
  <c r="I209" i="1" s="1"/>
  <c r="F210" i="1" a="1"/>
  <c r="F210" i="1" s="1"/>
  <c r="J210" i="1" a="1"/>
  <c r="J210" i="1" s="1"/>
  <c r="M210" i="1"/>
  <c r="M210" i="15" s="1"/>
  <c r="N210" i="15" s="1" a="1"/>
  <c r="N210" i="15" s="1"/>
  <c r="C211" i="1" a="1"/>
  <c r="C211" i="1" s="1"/>
  <c r="E211" i="15" s="1"/>
  <c r="F211" i="1" a="1"/>
  <c r="F211" i="1" s="1"/>
  <c r="J211" i="1" a="1"/>
  <c r="J211" i="1" s="1"/>
  <c r="F212" i="1" a="1"/>
  <c r="F212" i="1" s="1"/>
  <c r="M212" i="1"/>
  <c r="M212" i="15" s="1"/>
  <c r="N212" i="15" s="1" a="1"/>
  <c r="N212" i="15" s="1"/>
  <c r="C213" i="1" a="1"/>
  <c r="C213" i="1" s="1"/>
  <c r="E213" i="15" s="1"/>
  <c r="F213" i="1" a="1"/>
  <c r="F213" i="1" s="1"/>
  <c r="J213" i="1" a="1"/>
  <c r="J213" i="1" s="1"/>
  <c r="M213" i="1"/>
  <c r="M213" i="15" s="1"/>
  <c r="N213" i="15" s="1" a="1"/>
  <c r="N213" i="15" s="1"/>
  <c r="C214" i="1" a="1"/>
  <c r="C214" i="1" s="1"/>
  <c r="E214" i="15" s="1"/>
  <c r="R214" i="15"/>
  <c r="N214" i="1" a="1"/>
  <c r="N214" i="1" s="1"/>
  <c r="S214" i="15" s="1"/>
  <c r="G215" i="1" a="1"/>
  <c r="G215" i="1" s="1"/>
  <c r="J215" i="15" s="1"/>
  <c r="I216" i="1" a="1"/>
  <c r="I216" i="1" s="1"/>
  <c r="N216" i="1" a="1"/>
  <c r="N216" i="1" s="1"/>
  <c r="S216" i="15" s="1"/>
  <c r="G217" i="1" a="1"/>
  <c r="G217" i="1" s="1"/>
  <c r="J217" i="15" s="1"/>
  <c r="M217" i="1"/>
  <c r="M217" i="15" s="1"/>
  <c r="N217" i="15" s="1" a="1"/>
  <c r="N217" i="15" s="1"/>
  <c r="R218" i="15"/>
  <c r="N218" i="1" a="1"/>
  <c r="N218" i="1" s="1"/>
  <c r="S218" i="15" s="1"/>
  <c r="G219" i="1" a="1"/>
  <c r="G219" i="1" s="1"/>
  <c r="J219" i="15" s="1"/>
  <c r="G220" i="1" a="1"/>
  <c r="G220" i="1" s="1"/>
  <c r="J220" i="15" s="1"/>
  <c r="J220" i="1" a="1"/>
  <c r="J220" i="1" s="1"/>
  <c r="M220" i="1"/>
  <c r="M220" i="15" s="1"/>
  <c r="N220" i="15" s="1" a="1"/>
  <c r="N220" i="15" s="1"/>
  <c r="G187" i="1" a="1"/>
  <c r="G187" i="1" s="1"/>
  <c r="J187" i="15" s="1"/>
  <c r="J193" i="1" a="1"/>
  <c r="J193" i="1" s="1"/>
  <c r="J194" i="1" a="1"/>
  <c r="J194" i="1" s="1"/>
  <c r="N198" i="1" a="1"/>
  <c r="N198" i="1" s="1"/>
  <c r="S198" i="15" s="1"/>
  <c r="N202" i="1" a="1"/>
  <c r="N202" i="1" s="1"/>
  <c r="S202" i="15" s="1"/>
  <c r="F203" i="1" a="1"/>
  <c r="F203" i="1" s="1"/>
  <c r="M203" i="1"/>
  <c r="M203" i="15" s="1"/>
  <c r="N203" i="15" s="1" a="1"/>
  <c r="N203" i="15" s="1"/>
  <c r="R205" i="15"/>
  <c r="C206" i="1" a="1"/>
  <c r="C206" i="1" s="1"/>
  <c r="E206" i="15" s="1"/>
  <c r="F206" i="1" a="1"/>
  <c r="F206" i="1" s="1"/>
  <c r="M206" i="1"/>
  <c r="M206" i="15" s="1"/>
  <c r="N206" i="15" s="1" a="1"/>
  <c r="N206" i="15" s="1"/>
  <c r="F208" i="1" a="1"/>
  <c r="F208" i="1" s="1"/>
  <c r="I208" i="1" a="1"/>
  <c r="I208" i="1" s="1"/>
  <c r="F209" i="1" a="1"/>
  <c r="F209" i="1" s="1"/>
  <c r="G210" i="1" a="1"/>
  <c r="G210" i="1" s="1"/>
  <c r="J210" i="15" s="1"/>
  <c r="G211" i="1" a="1"/>
  <c r="G211" i="1" s="1"/>
  <c r="J211" i="15" s="1"/>
  <c r="N211" i="1" a="1"/>
  <c r="N211" i="1" s="1"/>
  <c r="S211" i="15" s="1"/>
  <c r="G212" i="1" a="1"/>
  <c r="G212" i="1" s="1"/>
  <c r="J212" i="15" s="1"/>
  <c r="J212" i="1" a="1"/>
  <c r="J212" i="1" s="1"/>
  <c r="G213" i="1" a="1"/>
  <c r="G213" i="1" s="1"/>
  <c r="J213" i="15" s="1"/>
  <c r="I214" i="1" a="1"/>
  <c r="I214" i="1" s="1"/>
  <c r="N215" i="1" a="1"/>
  <c r="N215" i="1" s="1"/>
  <c r="S215" i="15" s="1"/>
  <c r="F216" i="1" a="1"/>
  <c r="F216" i="1" s="1"/>
  <c r="J216" i="1" a="1"/>
  <c r="J216" i="1" s="1"/>
  <c r="C218" i="1" a="1"/>
  <c r="C218" i="1" s="1"/>
  <c r="E218" i="15" s="1"/>
  <c r="I218" i="1" a="1"/>
  <c r="I218" i="1" s="1"/>
  <c r="N219" i="1" a="1"/>
  <c r="N219" i="1" s="1"/>
  <c r="S219" i="15" s="1"/>
  <c r="C221" i="1" a="1"/>
  <c r="C221" i="1" s="1"/>
  <c r="E221" i="15" s="1"/>
  <c r="R221" i="15"/>
  <c r="I221" i="1" a="1"/>
  <c r="I221" i="1" s="1"/>
  <c r="R192" i="15"/>
  <c r="J196" i="1" a="1"/>
  <c r="J196" i="1" s="1"/>
  <c r="R198" i="15"/>
  <c r="N199" i="1" a="1"/>
  <c r="N199" i="1" s="1"/>
  <c r="S199" i="15" s="1"/>
  <c r="C201" i="1" a="1"/>
  <c r="C201" i="1" s="1"/>
  <c r="E201" i="15" s="1"/>
  <c r="J201" i="1" a="1"/>
  <c r="J201" i="1" s="1"/>
  <c r="J202" i="1" a="1"/>
  <c r="J202" i="1" s="1"/>
  <c r="N203" i="1" a="1"/>
  <c r="N203" i="1" s="1"/>
  <c r="S203" i="15" s="1"/>
  <c r="C205" i="1" a="1"/>
  <c r="C205" i="1" s="1"/>
  <c r="E205" i="15" s="1"/>
  <c r="M205" i="1"/>
  <c r="M205" i="15" s="1"/>
  <c r="N205" i="15" s="1" a="1"/>
  <c r="N205" i="15" s="1"/>
  <c r="N206" i="1" a="1"/>
  <c r="N206" i="1" s="1"/>
  <c r="S206" i="15" s="1"/>
  <c r="I207" i="1" a="1"/>
  <c r="I207" i="1" s="1"/>
  <c r="G208" i="1" a="1"/>
  <c r="G208" i="1" s="1"/>
  <c r="J208" i="15" s="1"/>
  <c r="J208" i="1" a="1"/>
  <c r="J208" i="1" s="1"/>
  <c r="N208" i="1" a="1"/>
  <c r="N208" i="1" s="1"/>
  <c r="S208" i="15" s="1"/>
  <c r="N209" i="1" a="1"/>
  <c r="N209" i="1" s="1"/>
  <c r="S209" i="15" s="1"/>
  <c r="N210" i="1" a="1"/>
  <c r="N210" i="1" s="1"/>
  <c r="S210" i="15" s="1"/>
  <c r="N212" i="1" a="1"/>
  <c r="N212" i="1" s="1"/>
  <c r="S212" i="15" s="1"/>
  <c r="N213" i="1" a="1"/>
  <c r="N213" i="1" s="1"/>
  <c r="S213" i="15" s="1"/>
  <c r="F214" i="1" a="1"/>
  <c r="F214" i="1" s="1"/>
  <c r="J214" i="1" a="1"/>
  <c r="J214" i="1" s="1"/>
  <c r="M214" i="1"/>
  <c r="M214" i="15" s="1"/>
  <c r="N214" i="15" s="1" a="1"/>
  <c r="N214" i="15" s="1"/>
  <c r="C215" i="1" a="1"/>
  <c r="C215" i="1" s="1"/>
  <c r="E215" i="15" s="1"/>
  <c r="R215" i="15"/>
  <c r="I215" i="1" a="1"/>
  <c r="I215" i="1" s="1"/>
  <c r="G216" i="1" a="1"/>
  <c r="G216" i="1" s="1"/>
  <c r="J216" i="15" s="1"/>
  <c r="M216" i="1"/>
  <c r="M216" i="15" s="1"/>
  <c r="N216" i="15" s="1" a="1"/>
  <c r="N216" i="15" s="1"/>
  <c r="C217" i="1" a="1"/>
  <c r="C217" i="1" s="1"/>
  <c r="E217" i="15" s="1"/>
  <c r="R217" i="15"/>
  <c r="I217" i="1" a="1"/>
  <c r="I217" i="1" s="1"/>
  <c r="N217" i="1" a="1"/>
  <c r="N217" i="1" s="1"/>
  <c r="S217" i="15" s="1"/>
  <c r="F218" i="1" a="1"/>
  <c r="F218" i="1" s="1"/>
  <c r="J218" i="1" a="1"/>
  <c r="J218" i="1" s="1"/>
  <c r="M218" i="1"/>
  <c r="M218" i="15" s="1"/>
  <c r="N218" i="15" s="1" a="1"/>
  <c r="N218" i="15" s="1"/>
  <c r="C219" i="1" a="1"/>
  <c r="C219" i="1" s="1"/>
  <c r="E219" i="15" s="1"/>
  <c r="R219" i="15"/>
  <c r="I219" i="1" a="1"/>
  <c r="I219" i="1" s="1"/>
  <c r="R220" i="15"/>
  <c r="I220" i="1" a="1"/>
  <c r="I220" i="1" s="1"/>
  <c r="F221" i="1" a="1"/>
  <c r="F221" i="1" s="1"/>
  <c r="J221" i="1" a="1"/>
  <c r="J221" i="1" s="1"/>
  <c r="N222" i="1" a="1"/>
  <c r="N222" i="1" s="1"/>
  <c r="S222" i="15" s="1"/>
  <c r="G223" i="1" a="1"/>
  <c r="G223" i="1" s="1"/>
  <c r="J223" i="15" s="1"/>
  <c r="M223" i="1"/>
  <c r="M223" i="15" s="1"/>
  <c r="N223" i="15" s="1" a="1"/>
  <c r="N223" i="15" s="1"/>
  <c r="C224" i="1" a="1"/>
  <c r="C224" i="1" s="1"/>
  <c r="E224" i="15" s="1"/>
  <c r="R224" i="15"/>
  <c r="I224" i="1" a="1"/>
  <c r="I224" i="1" s="1"/>
  <c r="R225" i="15"/>
  <c r="I225" i="1" a="1"/>
  <c r="I225" i="1" s="1"/>
  <c r="M225" i="1"/>
  <c r="M225" i="15" s="1"/>
  <c r="N225" i="15" s="1" a="1"/>
  <c r="N225" i="15" s="1"/>
  <c r="R226" i="15"/>
  <c r="R222" i="15"/>
  <c r="I222" i="1" a="1"/>
  <c r="I222" i="1" s="1"/>
  <c r="M222" i="1"/>
  <c r="M222" i="15" s="1"/>
  <c r="N222" i="15" s="1" a="1"/>
  <c r="N222" i="15" s="1"/>
  <c r="F224" i="1" a="1"/>
  <c r="F224" i="1" s="1"/>
  <c r="J224" i="1" a="1"/>
  <c r="J224" i="1" s="1"/>
  <c r="N224" i="1" a="1"/>
  <c r="N224" i="1" s="1"/>
  <c r="S224" i="15" s="1"/>
  <c r="J225" i="1" a="1"/>
  <c r="J225" i="1" s="1"/>
  <c r="G226" i="1" a="1"/>
  <c r="G226" i="1" s="1"/>
  <c r="J226" i="15" s="1"/>
  <c r="J226" i="1" a="1"/>
  <c r="J226" i="1" s="1"/>
  <c r="C227" i="1" a="1"/>
  <c r="C227" i="1" s="1"/>
  <c r="E227" i="15" s="1"/>
  <c r="F227" i="1" a="1"/>
  <c r="F227" i="1" s="1"/>
  <c r="I227" i="1" a="1"/>
  <c r="I227" i="1" s="1"/>
  <c r="M227" i="1"/>
  <c r="M227" i="15" s="1"/>
  <c r="N227" i="15" s="1" a="1"/>
  <c r="N227" i="15" s="1"/>
  <c r="R228" i="15"/>
  <c r="N228" i="1" a="1"/>
  <c r="N228" i="1" s="1"/>
  <c r="S228" i="15" s="1"/>
  <c r="C230" i="1" a="1"/>
  <c r="C230" i="1" s="1"/>
  <c r="E230" i="15" s="1"/>
  <c r="F230" i="1" a="1"/>
  <c r="F230" i="1" s="1"/>
  <c r="J230" i="1" a="1"/>
  <c r="J230" i="1" s="1"/>
  <c r="C231" i="1" a="1"/>
  <c r="C231" i="1" s="1"/>
  <c r="E231" i="15" s="1"/>
  <c r="C232" i="1" a="1"/>
  <c r="C232" i="1" s="1"/>
  <c r="E232" i="15" s="1"/>
  <c r="F232" i="1" a="1"/>
  <c r="F232" i="1" s="1"/>
  <c r="I232" i="1" a="1"/>
  <c r="I232" i="1" s="1"/>
  <c r="R233" i="15"/>
  <c r="N233" i="1" a="1"/>
  <c r="N233" i="1" s="1"/>
  <c r="S233" i="15" s="1"/>
  <c r="G234" i="1" a="1"/>
  <c r="G234" i="1" s="1"/>
  <c r="J234" i="15" s="1"/>
  <c r="J234" i="1" a="1"/>
  <c r="J234" i="1" s="1"/>
  <c r="C235" i="1" a="1"/>
  <c r="C235" i="1" s="1"/>
  <c r="E235" i="15" s="1"/>
  <c r="F235" i="1" a="1"/>
  <c r="F235" i="1" s="1"/>
  <c r="I235" i="1" a="1"/>
  <c r="I235" i="1" s="1"/>
  <c r="M235" i="1"/>
  <c r="M235" i="15" s="1"/>
  <c r="N235" i="15" s="1" a="1"/>
  <c r="N235" i="15" s="1"/>
  <c r="C236" i="1" a="1"/>
  <c r="C236" i="1" s="1"/>
  <c r="E236" i="15" s="1"/>
  <c r="F236" i="1" a="1"/>
  <c r="F236" i="1" s="1"/>
  <c r="I236" i="1" a="1"/>
  <c r="I236" i="1" s="1"/>
  <c r="R237" i="15"/>
  <c r="N237" i="1" a="1"/>
  <c r="N237" i="1" s="1"/>
  <c r="S237" i="15" s="1"/>
  <c r="G238" i="1" a="1"/>
  <c r="G238" i="1" s="1"/>
  <c r="J238" i="15" s="1"/>
  <c r="N238" i="1" a="1"/>
  <c r="N238" i="1" s="1"/>
  <c r="S238" i="15" s="1"/>
  <c r="F239" i="1" a="1"/>
  <c r="F239" i="1" s="1"/>
  <c r="J239" i="1" a="1"/>
  <c r="J239" i="1" s="1"/>
  <c r="M239" i="1"/>
  <c r="M239" i="15" s="1"/>
  <c r="N239" i="15" s="1" a="1"/>
  <c r="N239" i="15" s="1"/>
  <c r="C240" i="1" a="1"/>
  <c r="C240" i="1" s="1"/>
  <c r="E240" i="15" s="1"/>
  <c r="F240" i="1" a="1"/>
  <c r="F240" i="1" s="1"/>
  <c r="J240" i="1" a="1"/>
  <c r="J240" i="1" s="1"/>
  <c r="F243" i="1" a="1"/>
  <c r="F243" i="1" s="1"/>
  <c r="R244" i="15"/>
  <c r="I244" i="1" a="1"/>
  <c r="I244" i="1" s="1"/>
  <c r="N244" i="1" a="1"/>
  <c r="N244" i="1" s="1"/>
  <c r="S244" i="15" s="1"/>
  <c r="G245" i="1" a="1"/>
  <c r="G245" i="1" s="1"/>
  <c r="J245" i="15" s="1"/>
  <c r="M245" i="1"/>
  <c r="M245" i="15" s="1"/>
  <c r="N245" i="15" s="1" a="1"/>
  <c r="N245" i="15" s="1"/>
  <c r="C246" i="1" a="1"/>
  <c r="C246" i="1" s="1"/>
  <c r="E246" i="15" s="1"/>
  <c r="F246" i="1" a="1"/>
  <c r="F246" i="1" s="1"/>
  <c r="M221" i="1"/>
  <c r="M221" i="15" s="1"/>
  <c r="N221" i="15" s="1" a="1"/>
  <c r="N221" i="15" s="1"/>
  <c r="C222" i="1" a="1"/>
  <c r="C222" i="1" s="1"/>
  <c r="E222" i="15" s="1"/>
  <c r="F222" i="1" a="1"/>
  <c r="F222" i="1" s="1"/>
  <c r="I223" i="1" a="1"/>
  <c r="I223" i="1" s="1"/>
  <c r="G224" i="1" a="1"/>
  <c r="G224" i="1" s="1"/>
  <c r="J224" i="15" s="1"/>
  <c r="F225" i="1" a="1"/>
  <c r="F225" i="1" s="1"/>
  <c r="N225" i="1" a="1"/>
  <c r="N225" i="1" s="1"/>
  <c r="S225" i="15" s="1"/>
  <c r="N226" i="1" a="1"/>
  <c r="N226" i="1" s="1"/>
  <c r="S226" i="15" s="1"/>
  <c r="J227" i="1" a="1"/>
  <c r="J227" i="1" s="1"/>
  <c r="C228" i="1" a="1"/>
  <c r="C228" i="1" s="1"/>
  <c r="E228" i="15" s="1"/>
  <c r="F228" i="1" a="1"/>
  <c r="F228" i="1" s="1"/>
  <c r="I228" i="1" a="1"/>
  <c r="I228" i="1" s="1"/>
  <c r="R229" i="15"/>
  <c r="N229" i="1" a="1"/>
  <c r="N229" i="1" s="1"/>
  <c r="S229" i="15" s="1"/>
  <c r="G230" i="1" a="1"/>
  <c r="G230" i="1" s="1"/>
  <c r="J230" i="15" s="1"/>
  <c r="N230" i="1" a="1"/>
  <c r="N230" i="1" s="1"/>
  <c r="S230" i="15" s="1"/>
  <c r="F231" i="1" a="1"/>
  <c r="F231" i="1" s="1"/>
  <c r="M232" i="1"/>
  <c r="M232" i="15" s="1"/>
  <c r="N232" i="15" s="1" a="1"/>
  <c r="N232" i="15" s="1"/>
  <c r="C233" i="1" a="1"/>
  <c r="C233" i="1" s="1"/>
  <c r="E233" i="15" s="1"/>
  <c r="F233" i="1" a="1"/>
  <c r="F233" i="1" s="1"/>
  <c r="I233" i="1" a="1"/>
  <c r="I233" i="1" s="1"/>
  <c r="M233" i="1"/>
  <c r="M233" i="15" s="1"/>
  <c r="N233" i="15" s="1" a="1"/>
  <c r="N233" i="15" s="1"/>
  <c r="R234" i="15"/>
  <c r="N234" i="1" a="1"/>
  <c r="N234" i="1" s="1"/>
  <c r="S234" i="15" s="1"/>
  <c r="J235" i="1" a="1"/>
  <c r="J235" i="1" s="1"/>
  <c r="M236" i="1"/>
  <c r="M236" i="15" s="1"/>
  <c r="N236" i="15" s="1" a="1"/>
  <c r="N236" i="15" s="1"/>
  <c r="C237" i="1" a="1"/>
  <c r="C237" i="1" s="1"/>
  <c r="E237" i="15" s="1"/>
  <c r="F237" i="1" a="1"/>
  <c r="F237" i="1" s="1"/>
  <c r="I237" i="1" a="1"/>
  <c r="I237" i="1" s="1"/>
  <c r="G239" i="1" a="1"/>
  <c r="G239" i="1" s="1"/>
  <c r="J239" i="15" s="1"/>
  <c r="G240" i="1" a="1"/>
  <c r="G240" i="1" s="1"/>
  <c r="J240" i="15" s="1"/>
  <c r="M240" i="1"/>
  <c r="M240" i="15" s="1"/>
  <c r="N240" i="15" s="1" a="1"/>
  <c r="N240" i="15" s="1"/>
  <c r="C241" i="1" a="1"/>
  <c r="C241" i="1" s="1"/>
  <c r="E241" i="15" s="1"/>
  <c r="R241" i="15"/>
  <c r="I241" i="1" a="1"/>
  <c r="I241" i="1" s="1"/>
  <c r="M241" i="1"/>
  <c r="M241" i="15" s="1"/>
  <c r="N241" i="15" s="1" a="1"/>
  <c r="N241" i="15" s="1"/>
  <c r="C242" i="1" a="1"/>
  <c r="C242" i="1" s="1"/>
  <c r="E242" i="15" s="1"/>
  <c r="R242" i="15"/>
  <c r="I242" i="1" a="1"/>
  <c r="I242" i="1" s="1"/>
  <c r="N242" i="1" a="1"/>
  <c r="N242" i="1" s="1"/>
  <c r="S242" i="15" s="1"/>
  <c r="N220" i="1" a="1"/>
  <c r="N220" i="1" s="1"/>
  <c r="S220" i="15" s="1"/>
  <c r="G221" i="1" a="1"/>
  <c r="G221" i="1" s="1"/>
  <c r="J221" i="15" s="1"/>
  <c r="G222" i="1" a="1"/>
  <c r="G222" i="1" s="1"/>
  <c r="J222" i="15" s="1"/>
  <c r="J222" i="1" a="1"/>
  <c r="J222" i="1" s="1"/>
  <c r="R223" i="15"/>
  <c r="J223" i="1" a="1"/>
  <c r="J223" i="1" s="1"/>
  <c r="M224" i="1"/>
  <c r="M224" i="15" s="1"/>
  <c r="N224" i="15" s="1" a="1"/>
  <c r="N224" i="15" s="1"/>
  <c r="C225" i="1" a="1"/>
  <c r="C225" i="1" s="1"/>
  <c r="E225" i="15" s="1"/>
  <c r="G225" i="1" a="1"/>
  <c r="G225" i="1" s="1"/>
  <c r="J225" i="15" s="1"/>
  <c r="F226" i="1" a="1"/>
  <c r="F226" i="1" s="1"/>
  <c r="I226" i="1" a="1"/>
  <c r="I226" i="1" s="1"/>
  <c r="G227" i="1" a="1"/>
  <c r="G227" i="1" s="1"/>
  <c r="J227" i="15" s="1"/>
  <c r="N227" i="1" a="1"/>
  <c r="N227" i="1" s="1"/>
  <c r="S227" i="15" s="1"/>
  <c r="M228" i="1"/>
  <c r="M228" i="15" s="1"/>
  <c r="N228" i="15" s="1" a="1"/>
  <c r="N228" i="15" s="1"/>
  <c r="C229" i="1" a="1"/>
  <c r="C229" i="1" s="1"/>
  <c r="E229" i="15" s="1"/>
  <c r="F229" i="1" a="1"/>
  <c r="F229" i="1" s="1"/>
  <c r="I229" i="1" a="1"/>
  <c r="I229" i="1" s="1"/>
  <c r="I231" i="1" a="1"/>
  <c r="I231" i="1" s="1"/>
  <c r="N231" i="1" a="1"/>
  <c r="N231" i="1" s="1"/>
  <c r="S231" i="15" s="1"/>
  <c r="G232" i="1" a="1"/>
  <c r="G232" i="1" s="1"/>
  <c r="J232" i="15" s="1"/>
  <c r="J232" i="1" a="1"/>
  <c r="J232" i="1" s="1"/>
  <c r="J233" i="1" a="1"/>
  <c r="J233" i="1" s="1"/>
  <c r="C234" i="1" a="1"/>
  <c r="C234" i="1" s="1"/>
  <c r="E234" i="15" s="1"/>
  <c r="F234" i="1" a="1"/>
  <c r="F234" i="1" s="1"/>
  <c r="I234" i="1" a="1"/>
  <c r="I234" i="1" s="1"/>
  <c r="G235" i="1" a="1"/>
  <c r="G235" i="1" s="1"/>
  <c r="J235" i="15" s="1"/>
  <c r="N235" i="1" a="1"/>
  <c r="N235" i="1" s="1"/>
  <c r="S235" i="15" s="1"/>
  <c r="G236" i="1" a="1"/>
  <c r="G236" i="1" s="1"/>
  <c r="J236" i="15" s="1"/>
  <c r="J236" i="1" a="1"/>
  <c r="J236" i="1" s="1"/>
  <c r="G237" i="1" a="1"/>
  <c r="G237" i="1" s="1"/>
  <c r="J237" i="15" s="1"/>
  <c r="J237" i="1" a="1"/>
  <c r="J237" i="1" s="1"/>
  <c r="M237" i="1"/>
  <c r="M237" i="15" s="1"/>
  <c r="N237" i="15" s="1" a="1"/>
  <c r="N237" i="15" s="1"/>
  <c r="R238" i="15"/>
  <c r="I238" i="1" a="1"/>
  <c r="I238" i="1" s="1"/>
  <c r="M238" i="1"/>
  <c r="M238" i="15" s="1"/>
  <c r="N238" i="15" s="1" a="1"/>
  <c r="N238" i="15" s="1"/>
  <c r="C239" i="1" a="1"/>
  <c r="C239" i="1" s="1"/>
  <c r="E239" i="15" s="1"/>
  <c r="N239" i="1" a="1"/>
  <c r="N239" i="1" s="1"/>
  <c r="S239" i="15" s="1"/>
  <c r="F241" i="1" a="1"/>
  <c r="F241" i="1" s="1"/>
  <c r="J241" i="1" a="1"/>
  <c r="J241" i="1" s="1"/>
  <c r="F242" i="1" a="1"/>
  <c r="F242" i="1" s="1"/>
  <c r="G244" i="1" a="1"/>
  <c r="G244" i="1" s="1"/>
  <c r="J244" i="15" s="1"/>
  <c r="M244" i="1"/>
  <c r="M244" i="15" s="1"/>
  <c r="N244" i="15" s="1" a="1"/>
  <c r="N244" i="15" s="1"/>
  <c r="C245" i="1" a="1"/>
  <c r="C245" i="1" s="1"/>
  <c r="E245" i="15" s="1"/>
  <c r="R245" i="15"/>
  <c r="I245" i="1" a="1"/>
  <c r="I245" i="1" s="1"/>
  <c r="N245" i="1" a="1"/>
  <c r="N245" i="1" s="1"/>
  <c r="S245" i="15" s="1"/>
  <c r="G247" i="1" a="1"/>
  <c r="G247" i="1" s="1"/>
  <c r="J247" i="15" s="1"/>
  <c r="N247" i="1" a="1"/>
  <c r="N247" i="1" s="1"/>
  <c r="S247" i="15" s="1"/>
  <c r="N221" i="1" a="1"/>
  <c r="N221" i="1" s="1"/>
  <c r="S221" i="15" s="1"/>
  <c r="C223" i="1" a="1"/>
  <c r="C223" i="1" s="1"/>
  <c r="E223" i="15" s="1"/>
  <c r="F223" i="1" a="1"/>
  <c r="F223" i="1" s="1"/>
  <c r="N223" i="1" a="1"/>
  <c r="N223" i="1" s="1"/>
  <c r="S223" i="15" s="1"/>
  <c r="C226" i="1" a="1"/>
  <c r="C226" i="1" s="1"/>
  <c r="E226" i="15" s="1"/>
  <c r="M226" i="1"/>
  <c r="M226" i="15" s="1"/>
  <c r="N226" i="15" s="1" a="1"/>
  <c r="N226" i="15" s="1"/>
  <c r="R227" i="15"/>
  <c r="G228" i="1" a="1"/>
  <c r="G228" i="1" s="1"/>
  <c r="J228" i="15" s="1"/>
  <c r="J228" i="1" a="1"/>
  <c r="J228" i="1" s="1"/>
  <c r="G229" i="1" a="1"/>
  <c r="G229" i="1" s="1"/>
  <c r="J229" i="15" s="1"/>
  <c r="J229" i="1" a="1"/>
  <c r="J229" i="1" s="1"/>
  <c r="M229" i="1"/>
  <c r="M229" i="15" s="1"/>
  <c r="N229" i="15" s="1" a="1"/>
  <c r="N229" i="15" s="1"/>
  <c r="R230" i="15"/>
  <c r="I230" i="1" a="1"/>
  <c r="I230" i="1" s="1"/>
  <c r="M230" i="1"/>
  <c r="M230" i="15" s="1"/>
  <c r="N230" i="15" s="1" a="1"/>
  <c r="N230" i="15" s="1"/>
  <c r="R231" i="15"/>
  <c r="G231" i="1" a="1"/>
  <c r="G231" i="1" s="1"/>
  <c r="J231" i="15" s="1"/>
  <c r="J231" i="1" a="1"/>
  <c r="J231" i="1" s="1"/>
  <c r="M231" i="1"/>
  <c r="M231" i="15" s="1"/>
  <c r="N231" i="15" s="1" a="1"/>
  <c r="N231" i="15" s="1"/>
  <c r="R232" i="15"/>
  <c r="N232" i="1" a="1"/>
  <c r="N232" i="1" s="1"/>
  <c r="S232" i="15" s="1"/>
  <c r="G233" i="1" a="1"/>
  <c r="G233" i="1" s="1"/>
  <c r="J233" i="15" s="1"/>
  <c r="M234" i="1"/>
  <c r="M234" i="15" s="1"/>
  <c r="N234" i="15" s="1" a="1"/>
  <c r="N234" i="15" s="1"/>
  <c r="R235" i="15"/>
  <c r="R236" i="15"/>
  <c r="N236" i="1" a="1"/>
  <c r="N236" i="1" s="1"/>
  <c r="S236" i="15" s="1"/>
  <c r="C238" i="1" a="1"/>
  <c r="C238" i="1" s="1"/>
  <c r="E238" i="15" s="1"/>
  <c r="F238" i="1" a="1"/>
  <c r="F238" i="1" s="1"/>
  <c r="J238" i="1" a="1"/>
  <c r="J238" i="1" s="1"/>
  <c r="R239" i="15"/>
  <c r="I239" i="1" a="1"/>
  <c r="I239" i="1" s="1"/>
  <c r="R240" i="15"/>
  <c r="I240" i="1" a="1"/>
  <c r="I240" i="1" s="1"/>
  <c r="N240" i="1" a="1"/>
  <c r="N240" i="1" s="1"/>
  <c r="S240" i="15" s="1"/>
  <c r="G241" i="1" a="1"/>
  <c r="G241" i="1" s="1"/>
  <c r="J241" i="15" s="1"/>
  <c r="N241" i="1" a="1"/>
  <c r="N241" i="1" s="1"/>
  <c r="S241" i="15" s="1"/>
  <c r="G242" i="1" a="1"/>
  <c r="G242" i="1" s="1"/>
  <c r="J242" i="15" s="1"/>
  <c r="J242" i="1" a="1"/>
  <c r="J242" i="1" s="1"/>
  <c r="M242" i="1"/>
  <c r="M242" i="15" s="1"/>
  <c r="N242" i="15" s="1" a="1"/>
  <c r="N242" i="15" s="1"/>
  <c r="C243" i="1" a="1"/>
  <c r="C243" i="1" s="1"/>
  <c r="E243" i="15" s="1"/>
  <c r="R243" i="15"/>
  <c r="I243" i="1" a="1"/>
  <c r="I243" i="1" s="1"/>
  <c r="N243" i="1" a="1"/>
  <c r="N243" i="1" s="1"/>
  <c r="S243" i="15" s="1"/>
  <c r="F245" i="1" a="1"/>
  <c r="F245" i="1" s="1"/>
  <c r="J245" i="1" a="1"/>
  <c r="J245" i="1" s="1"/>
  <c r="R246" i="15"/>
  <c r="I246" i="1" a="1"/>
  <c r="I246" i="1" s="1"/>
  <c r="M246" i="1"/>
  <c r="M246" i="15" s="1"/>
  <c r="N246" i="15" s="1" a="1"/>
  <c r="N246" i="15" s="1"/>
  <c r="C247" i="1" a="1"/>
  <c r="C247" i="1" s="1"/>
  <c r="E247" i="15" s="1"/>
  <c r="G249" i="1" a="1"/>
  <c r="G249" i="1" s="1"/>
  <c r="J249" i="15" s="1"/>
  <c r="G250" i="1" a="1"/>
  <c r="G250" i="1" s="1"/>
  <c r="J250" i="15" s="1"/>
  <c r="J250" i="1" a="1"/>
  <c r="J250" i="1" s="1"/>
  <c r="N250" i="1" a="1"/>
  <c r="N250" i="1" s="1"/>
  <c r="S250" i="15" s="1"/>
  <c r="F251" i="1" a="1"/>
  <c r="F251" i="1" s="1"/>
  <c r="J251" i="1" a="1"/>
  <c r="J251" i="1" s="1"/>
  <c r="M251" i="1"/>
  <c r="M251" i="15" s="1"/>
  <c r="N251" i="15" s="1" a="1"/>
  <c r="N251" i="15" s="1"/>
  <c r="C252" i="1" a="1"/>
  <c r="C252" i="1" s="1"/>
  <c r="E252" i="15" s="1"/>
  <c r="R252" i="15"/>
  <c r="I252" i="1" a="1"/>
  <c r="I252" i="1" s="1"/>
  <c r="N252" i="1" a="1"/>
  <c r="N252" i="1" s="1"/>
  <c r="S252" i="15" s="1"/>
  <c r="G253" i="1" a="1"/>
  <c r="G253" i="1" s="1"/>
  <c r="J253" i="15" s="1"/>
  <c r="J253" i="1" a="1"/>
  <c r="J253" i="1" s="1"/>
  <c r="F254" i="1" a="1"/>
  <c r="F254" i="1" s="1"/>
  <c r="R255" i="15"/>
  <c r="I255" i="1" a="1"/>
  <c r="I255" i="1" s="1"/>
  <c r="C244" i="1" a="1"/>
  <c r="C244" i="1" s="1"/>
  <c r="E244" i="15" s="1"/>
  <c r="J244" i="1" a="1"/>
  <c r="J244" i="1" s="1"/>
  <c r="F249" i="1" a="1"/>
  <c r="F249" i="1" s="1"/>
  <c r="F250" i="1" a="1"/>
  <c r="F250" i="1" s="1"/>
  <c r="M250" i="1"/>
  <c r="M250" i="15" s="1"/>
  <c r="N250" i="15" s="1" a="1"/>
  <c r="N250" i="15" s="1"/>
  <c r="G251" i="1" a="1"/>
  <c r="G251" i="1" s="1"/>
  <c r="J251" i="15" s="1"/>
  <c r="F252" i="1" a="1"/>
  <c r="F252" i="1" s="1"/>
  <c r="J252" i="1" a="1"/>
  <c r="J252" i="1" s="1"/>
  <c r="I253" i="1" a="1"/>
  <c r="I253" i="1" s="1"/>
  <c r="M253" i="1"/>
  <c r="M253" i="15" s="1"/>
  <c r="N253" i="15" s="1" a="1"/>
  <c r="N253" i="15" s="1"/>
  <c r="N254" i="1" a="1"/>
  <c r="N254" i="1" s="1"/>
  <c r="S254" i="15" s="1"/>
  <c r="M255" i="1"/>
  <c r="M255" i="15" s="1"/>
  <c r="N255" i="15" s="1" a="1"/>
  <c r="N255" i="15" s="1"/>
  <c r="C256" i="1" a="1"/>
  <c r="C256" i="1" s="1"/>
  <c r="E256" i="15" s="1"/>
  <c r="R256" i="15"/>
  <c r="I256" i="1" a="1"/>
  <c r="I256" i="1" s="1"/>
  <c r="N256" i="1" a="1"/>
  <c r="N256" i="1" s="1"/>
  <c r="S256" i="15" s="1"/>
  <c r="G257" i="1" a="1"/>
  <c r="G257" i="1" s="1"/>
  <c r="J257" i="15" s="1"/>
  <c r="J257" i="1" a="1"/>
  <c r="J257" i="1" s="1"/>
  <c r="F258" i="1" a="1"/>
  <c r="F258" i="1" s="1"/>
  <c r="R259" i="15"/>
  <c r="I259" i="1" a="1"/>
  <c r="I259" i="1" s="1"/>
  <c r="F261" i="1" a="1"/>
  <c r="F261" i="1" s="1"/>
  <c r="M261" i="1"/>
  <c r="M261" i="15" s="1"/>
  <c r="N261" i="15" s="1" a="1"/>
  <c r="N261" i="15" s="1"/>
  <c r="C262" i="1" a="1"/>
  <c r="C262" i="1" s="1"/>
  <c r="E262" i="15" s="1"/>
  <c r="R262" i="15"/>
  <c r="I262" i="1" a="1"/>
  <c r="I262" i="1" s="1"/>
  <c r="M262" i="1"/>
  <c r="M262" i="15" s="1"/>
  <c r="N262" i="15" s="1" a="1"/>
  <c r="N262" i="15" s="1"/>
  <c r="C263" i="1" a="1"/>
  <c r="C263" i="1" s="1"/>
  <c r="E263" i="15" s="1"/>
  <c r="N263" i="1" a="1"/>
  <c r="N263" i="1" s="1"/>
  <c r="S263" i="15" s="1"/>
  <c r="G264" i="1" a="1"/>
  <c r="G264" i="1" s="1"/>
  <c r="J264" i="15" s="1"/>
  <c r="J264" i="1" a="1"/>
  <c r="J264" i="1" s="1"/>
  <c r="M264" i="1"/>
  <c r="M264" i="15" s="1"/>
  <c r="N264" i="15" s="1" a="1"/>
  <c r="N264" i="15" s="1"/>
  <c r="C265" i="1" a="1"/>
  <c r="C265" i="1" s="1"/>
  <c r="E265" i="15" s="1"/>
  <c r="R265" i="15"/>
  <c r="I265" i="1" a="1"/>
  <c r="I265" i="1" s="1"/>
  <c r="G267" i="1" a="1"/>
  <c r="G267" i="1" s="1"/>
  <c r="J267" i="15" s="1"/>
  <c r="F268" i="1" a="1"/>
  <c r="F268" i="1" s="1"/>
  <c r="J243" i="1" a="1"/>
  <c r="J243" i="1" s="1"/>
  <c r="J246" i="1" a="1"/>
  <c r="J246" i="1" s="1"/>
  <c r="N246" i="1" a="1"/>
  <c r="N246" i="1" s="1"/>
  <c r="S246" i="15" s="1"/>
  <c r="I247" i="1" a="1"/>
  <c r="I247" i="1" s="1"/>
  <c r="R248" i="15"/>
  <c r="I248" i="1" a="1"/>
  <c r="I248" i="1" s="1"/>
  <c r="N248" i="1" a="1"/>
  <c r="N248" i="1" s="1"/>
  <c r="S248" i="15" s="1"/>
  <c r="C250" i="1" a="1"/>
  <c r="C250" i="1" s="1"/>
  <c r="E250" i="15" s="1"/>
  <c r="G252" i="1" a="1"/>
  <c r="G252" i="1" s="1"/>
  <c r="J252" i="15" s="1"/>
  <c r="R253" i="15"/>
  <c r="N253" i="1" a="1"/>
  <c r="N253" i="1" s="1"/>
  <c r="S253" i="15" s="1"/>
  <c r="I254" i="1" a="1"/>
  <c r="I254" i="1" s="1"/>
  <c r="J255" i="1" a="1"/>
  <c r="J255" i="1" s="1"/>
  <c r="F256" i="1" a="1"/>
  <c r="F256" i="1" s="1"/>
  <c r="N257" i="1" a="1"/>
  <c r="N257" i="1" s="1"/>
  <c r="S257" i="15" s="1"/>
  <c r="G258" i="1" a="1"/>
  <c r="G258" i="1" s="1"/>
  <c r="J258" i="15" s="1"/>
  <c r="J258" i="1" a="1"/>
  <c r="J258" i="1" s="1"/>
  <c r="N258" i="1" a="1"/>
  <c r="N258" i="1" s="1"/>
  <c r="S258" i="15" s="1"/>
  <c r="F259" i="1" a="1"/>
  <c r="F259" i="1" s="1"/>
  <c r="J259" i="1" a="1"/>
  <c r="J259" i="1" s="1"/>
  <c r="M259" i="1"/>
  <c r="M259" i="15" s="1"/>
  <c r="N259" i="15" s="1" a="1"/>
  <c r="N259" i="15" s="1"/>
  <c r="C260" i="1" a="1"/>
  <c r="C260" i="1" s="1"/>
  <c r="E260" i="15" s="1"/>
  <c r="R260" i="15"/>
  <c r="I260" i="1" a="1"/>
  <c r="I260" i="1" s="1"/>
  <c r="N260" i="1" a="1"/>
  <c r="N260" i="1" s="1"/>
  <c r="S260" i="15" s="1"/>
  <c r="G261" i="1" a="1"/>
  <c r="G261" i="1" s="1"/>
  <c r="J261" i="15" s="1"/>
  <c r="J261" i="1" a="1"/>
  <c r="J261" i="1" s="1"/>
  <c r="F262" i="1" a="1"/>
  <c r="F262" i="1" s="1"/>
  <c r="R263" i="15"/>
  <c r="I263" i="1" a="1"/>
  <c r="I263" i="1" s="1"/>
  <c r="F265" i="1" a="1"/>
  <c r="F265" i="1" s="1"/>
  <c r="M265" i="1"/>
  <c r="M265" i="15" s="1"/>
  <c r="N265" i="15" s="1" a="1"/>
  <c r="N265" i="15" s="1"/>
  <c r="C266" i="1" a="1"/>
  <c r="C266" i="1" s="1"/>
  <c r="E266" i="15" s="1"/>
  <c r="R266" i="15"/>
  <c r="I266" i="1" a="1"/>
  <c r="I266" i="1" s="1"/>
  <c r="M266" i="1"/>
  <c r="M266" i="15" s="1"/>
  <c r="N266" i="15" s="1" a="1"/>
  <c r="N266" i="15" s="1"/>
  <c r="C267" i="1" a="1"/>
  <c r="C267" i="1" s="1"/>
  <c r="E267" i="15" s="1"/>
  <c r="N267" i="1" a="1"/>
  <c r="N267" i="1" s="1"/>
  <c r="S267" i="15" s="1"/>
  <c r="G268" i="1" a="1"/>
  <c r="G268" i="1" s="1"/>
  <c r="J268" i="15" s="1"/>
  <c r="J268" i="1" a="1"/>
  <c r="J268" i="1" s="1"/>
  <c r="M268" i="1"/>
  <c r="M268" i="15" s="1"/>
  <c r="N268" i="15" s="1" a="1"/>
  <c r="N268" i="15" s="1"/>
  <c r="C269" i="1" a="1"/>
  <c r="C269" i="1" s="1"/>
  <c r="E269" i="15" s="1"/>
  <c r="R269" i="15"/>
  <c r="I269" i="1" a="1"/>
  <c r="I269" i="1" s="1"/>
  <c r="M243" i="1"/>
  <c r="M243" i="15" s="1"/>
  <c r="N243" i="15" s="1" a="1"/>
  <c r="N243" i="15" s="1"/>
  <c r="F244" i="1" a="1"/>
  <c r="F244" i="1" s="1"/>
  <c r="G246" i="1" a="1"/>
  <c r="G246" i="1" s="1"/>
  <c r="J246" i="15" s="1"/>
  <c r="R247" i="15"/>
  <c r="J247" i="1" a="1"/>
  <c r="J247" i="1" s="1"/>
  <c r="C248" i="1" a="1"/>
  <c r="C248" i="1" s="1"/>
  <c r="E248" i="15" s="1"/>
  <c r="F248" i="1" a="1"/>
  <c r="F248" i="1" s="1"/>
  <c r="I249" i="1" a="1"/>
  <c r="I249" i="1" s="1"/>
  <c r="M249" i="1"/>
  <c r="M249" i="15" s="1"/>
  <c r="N249" i="15" s="1" a="1"/>
  <c r="N249" i="15" s="1"/>
  <c r="I250" i="1" a="1"/>
  <c r="I250" i="1" s="1"/>
  <c r="I251" i="1" a="1"/>
  <c r="I251" i="1" s="1"/>
  <c r="C253" i="1" a="1"/>
  <c r="C253" i="1" s="1"/>
  <c r="E253" i="15" s="1"/>
  <c r="F253" i="1" a="1"/>
  <c r="F253" i="1" s="1"/>
  <c r="R254" i="15"/>
  <c r="J254" i="1" a="1"/>
  <c r="J254" i="1" s="1"/>
  <c r="C255" i="1" a="1"/>
  <c r="C255" i="1" s="1"/>
  <c r="E255" i="15" s="1"/>
  <c r="F255" i="1" a="1"/>
  <c r="F255" i="1" s="1"/>
  <c r="N255" i="1" a="1"/>
  <c r="N255" i="1" s="1"/>
  <c r="S255" i="15" s="1"/>
  <c r="G256" i="1" a="1"/>
  <c r="G256" i="1" s="1"/>
  <c r="J256" i="15" s="1"/>
  <c r="J256" i="1" a="1"/>
  <c r="J256" i="1" s="1"/>
  <c r="M256" i="1"/>
  <c r="M256" i="15" s="1"/>
  <c r="N256" i="15" s="1" a="1"/>
  <c r="N256" i="15" s="1"/>
  <c r="C257" i="1" a="1"/>
  <c r="C257" i="1" s="1"/>
  <c r="E257" i="15" s="1"/>
  <c r="R257" i="15"/>
  <c r="I257" i="1" a="1"/>
  <c r="I257" i="1" s="1"/>
  <c r="G259" i="1" a="1"/>
  <c r="G259" i="1" s="1"/>
  <c r="J259" i="15" s="1"/>
  <c r="F260" i="1" a="1"/>
  <c r="F260" i="1" s="1"/>
  <c r="N261" i="1" a="1"/>
  <c r="N261" i="1" s="1"/>
  <c r="S261" i="15" s="1"/>
  <c r="G262" i="1" a="1"/>
  <c r="G262" i="1" s="1"/>
  <c r="J262" i="15" s="1"/>
  <c r="J262" i="1" a="1"/>
  <c r="J262" i="1" s="1"/>
  <c r="N262" i="1" a="1"/>
  <c r="N262" i="1" s="1"/>
  <c r="S262" i="15" s="1"/>
  <c r="F263" i="1" a="1"/>
  <c r="F263" i="1" s="1"/>
  <c r="J263" i="1" a="1"/>
  <c r="J263" i="1" s="1"/>
  <c r="M263" i="1"/>
  <c r="M263" i="15" s="1"/>
  <c r="N263" i="15" s="1" a="1"/>
  <c r="N263" i="15" s="1"/>
  <c r="C264" i="1" a="1"/>
  <c r="C264" i="1" s="1"/>
  <c r="E264" i="15" s="1"/>
  <c r="R264" i="15"/>
  <c r="I264" i="1" a="1"/>
  <c r="I264" i="1" s="1"/>
  <c r="N264" i="1" a="1"/>
  <c r="N264" i="1" s="1"/>
  <c r="S264" i="15" s="1"/>
  <c r="G265" i="1" a="1"/>
  <c r="G265" i="1" s="1"/>
  <c r="J265" i="15" s="1"/>
  <c r="J265" i="1" a="1"/>
  <c r="J265" i="1" s="1"/>
  <c r="F266" i="1" a="1"/>
  <c r="F266" i="1" s="1"/>
  <c r="R267" i="15"/>
  <c r="I267" i="1" a="1"/>
  <c r="I267" i="1" s="1"/>
  <c r="F269" i="1" a="1"/>
  <c r="F269" i="1" s="1"/>
  <c r="M269" i="1"/>
  <c r="M269" i="15" s="1"/>
  <c r="N269" i="15" s="1" a="1"/>
  <c r="N269" i="15" s="1"/>
  <c r="C270" i="1" a="1"/>
  <c r="C270" i="1" s="1"/>
  <c r="E270" i="15" s="1"/>
  <c r="R270" i="15"/>
  <c r="I270" i="1" a="1"/>
  <c r="I270" i="1" s="1"/>
  <c r="M270" i="1"/>
  <c r="M270" i="15" s="1"/>
  <c r="N270" i="15" s="1" a="1"/>
  <c r="N270" i="15" s="1"/>
  <c r="C271" i="1" a="1"/>
  <c r="C271" i="1" s="1"/>
  <c r="E271" i="15" s="1"/>
  <c r="N271" i="1" a="1"/>
  <c r="N271" i="1" s="1"/>
  <c r="S271" i="15" s="1"/>
  <c r="G243" i="1" a="1"/>
  <c r="G243" i="1" s="1"/>
  <c r="J243" i="15" s="1"/>
  <c r="F247" i="1" a="1"/>
  <c r="F247" i="1" s="1"/>
  <c r="M247" i="1"/>
  <c r="M247" i="15" s="1"/>
  <c r="N247" i="15" s="1" a="1"/>
  <c r="N247" i="15" s="1"/>
  <c r="G248" i="1" a="1"/>
  <c r="G248" i="1" s="1"/>
  <c r="J248" i="15" s="1"/>
  <c r="J248" i="1" a="1"/>
  <c r="J248" i="1" s="1"/>
  <c r="M248" i="1"/>
  <c r="M248" i="15" s="1"/>
  <c r="N248" i="15" s="1" a="1"/>
  <c r="N248" i="15" s="1"/>
  <c r="C249" i="1" a="1"/>
  <c r="C249" i="1" s="1"/>
  <c r="E249" i="15" s="1"/>
  <c r="R249" i="15"/>
  <c r="J249" i="1" a="1"/>
  <c r="J249" i="1" s="1"/>
  <c r="N249" i="1" a="1"/>
  <c r="N249" i="1" s="1"/>
  <c r="S249" i="15" s="1"/>
  <c r="R250" i="15"/>
  <c r="C251" i="1" a="1"/>
  <c r="C251" i="1" s="1"/>
  <c r="E251" i="15" s="1"/>
  <c r="R251" i="15"/>
  <c r="N251" i="1" a="1"/>
  <c r="N251" i="1" s="1"/>
  <c r="S251" i="15" s="1"/>
  <c r="M252" i="1"/>
  <c r="M252" i="15" s="1"/>
  <c r="N252" i="15" s="1" a="1"/>
  <c r="N252" i="15" s="1"/>
  <c r="C254" i="1" a="1"/>
  <c r="C254" i="1" s="1"/>
  <c r="E254" i="15" s="1"/>
  <c r="G254" i="1" a="1"/>
  <c r="G254" i="1" s="1"/>
  <c r="J254" i="15" s="1"/>
  <c r="M254" i="1"/>
  <c r="M254" i="15" s="1"/>
  <c r="N254" i="15" s="1" a="1"/>
  <c r="N254" i="15" s="1"/>
  <c r="G255" i="1" a="1"/>
  <c r="G255" i="1" s="1"/>
  <c r="J255" i="15" s="1"/>
  <c r="F257" i="1" a="1"/>
  <c r="F257" i="1" s="1"/>
  <c r="M257" i="1"/>
  <c r="M257" i="15" s="1"/>
  <c r="N257" i="15" s="1" a="1"/>
  <c r="N257" i="15" s="1"/>
  <c r="C258" i="1" a="1"/>
  <c r="C258" i="1" s="1"/>
  <c r="E258" i="15" s="1"/>
  <c r="R258" i="15"/>
  <c r="I258" i="1" a="1"/>
  <c r="I258" i="1" s="1"/>
  <c r="M258" i="1"/>
  <c r="M258" i="15" s="1"/>
  <c r="N258" i="15" s="1" a="1"/>
  <c r="N258" i="15" s="1"/>
  <c r="C259" i="1" a="1"/>
  <c r="C259" i="1" s="1"/>
  <c r="E259" i="15" s="1"/>
  <c r="N259" i="1" a="1"/>
  <c r="N259" i="1" s="1"/>
  <c r="S259" i="15" s="1"/>
  <c r="G260" i="1" a="1"/>
  <c r="G260" i="1" s="1"/>
  <c r="J260" i="15" s="1"/>
  <c r="J260" i="1" a="1"/>
  <c r="J260" i="1" s="1"/>
  <c r="M260" i="1"/>
  <c r="M260" i="15" s="1"/>
  <c r="N260" i="15" s="1" a="1"/>
  <c r="N260" i="15" s="1"/>
  <c r="C261" i="1" a="1"/>
  <c r="C261" i="1" s="1"/>
  <c r="E261" i="15" s="1"/>
  <c r="R261" i="15"/>
  <c r="I261" i="1" a="1"/>
  <c r="I261" i="1" s="1"/>
  <c r="G263" i="1" a="1"/>
  <c r="G263" i="1" s="1"/>
  <c r="J263" i="15" s="1"/>
  <c r="F264" i="1" a="1"/>
  <c r="F264" i="1" s="1"/>
  <c r="N265" i="1" a="1"/>
  <c r="N265" i="1" s="1"/>
  <c r="S265" i="15" s="1"/>
  <c r="G266" i="1" a="1"/>
  <c r="G266" i="1" s="1"/>
  <c r="J266" i="15" s="1"/>
  <c r="J266" i="1" a="1"/>
  <c r="J266" i="1" s="1"/>
  <c r="N266" i="1" a="1"/>
  <c r="N266" i="1" s="1"/>
  <c r="S266" i="15" s="1"/>
  <c r="F267" i="1" a="1"/>
  <c r="F267" i="1" s="1"/>
  <c r="J267" i="1" a="1"/>
  <c r="J267" i="1" s="1"/>
  <c r="M267" i="1"/>
  <c r="M267" i="15" s="1"/>
  <c r="N267" i="15" s="1" a="1"/>
  <c r="N267" i="15" s="1"/>
  <c r="C268" i="1" a="1"/>
  <c r="C268" i="1" s="1"/>
  <c r="E268" i="15" s="1"/>
  <c r="R268" i="15"/>
  <c r="I268" i="1" a="1"/>
  <c r="I268" i="1" s="1"/>
  <c r="N268" i="1" a="1"/>
  <c r="N268" i="1" s="1"/>
  <c r="S268" i="15" s="1"/>
  <c r="G269" i="1" a="1"/>
  <c r="G269" i="1" s="1"/>
  <c r="J269" i="15" s="1"/>
  <c r="J269" i="1" a="1"/>
  <c r="J269" i="1" s="1"/>
  <c r="F270" i="1" a="1"/>
  <c r="F270" i="1" s="1"/>
  <c r="R271" i="15"/>
  <c r="I271" i="1" a="1"/>
  <c r="I271" i="1" s="1"/>
  <c r="F273" i="1" a="1"/>
  <c r="F273" i="1" s="1"/>
  <c r="M273" i="1"/>
  <c r="M273" i="15" s="1"/>
  <c r="N273" i="15" s="1" a="1"/>
  <c r="N273" i="15" s="1"/>
  <c r="C274" i="1" a="1"/>
  <c r="C274" i="1" s="1"/>
  <c r="E274" i="15" s="1"/>
  <c r="R274" i="15"/>
  <c r="I274" i="1" a="1"/>
  <c r="I274" i="1" s="1"/>
  <c r="M274" i="1"/>
  <c r="M274" i="15" s="1"/>
  <c r="N274" i="15" s="1" a="1"/>
  <c r="N274" i="15" s="1"/>
  <c r="C275" i="1" a="1"/>
  <c r="C275" i="1" s="1"/>
  <c r="E275" i="15" s="1"/>
  <c r="N275" i="1" a="1"/>
  <c r="N275" i="1" s="1"/>
  <c r="S275" i="15" s="1"/>
  <c r="G276" i="1" a="1"/>
  <c r="G276" i="1" s="1"/>
  <c r="J276" i="15" s="1"/>
  <c r="J276" i="1" a="1"/>
  <c r="J276" i="1" s="1"/>
  <c r="M276" i="1"/>
  <c r="M276" i="15" s="1"/>
  <c r="N276" i="15" s="1" a="1"/>
  <c r="N276" i="15" s="1"/>
  <c r="C277" i="1" a="1"/>
  <c r="C277" i="1" s="1"/>
  <c r="E277" i="15" s="1"/>
  <c r="R277" i="15"/>
  <c r="I277" i="1" a="1"/>
  <c r="I277" i="1" s="1"/>
  <c r="G279" i="1" a="1"/>
  <c r="G279" i="1" s="1"/>
  <c r="J279" i="15" s="1"/>
  <c r="F280" i="1" a="1"/>
  <c r="F280" i="1" s="1"/>
  <c r="G272" i="1" a="1"/>
  <c r="G272" i="1" s="1"/>
  <c r="J272" i="15" s="1"/>
  <c r="J272" i="1" a="1"/>
  <c r="J272" i="1" s="1"/>
  <c r="N272" i="1" a="1"/>
  <c r="N272" i="1" s="1"/>
  <c r="S272" i="15" s="1"/>
  <c r="I273" i="1" a="1"/>
  <c r="I273" i="1" s="1"/>
  <c r="N274" i="1" a="1"/>
  <c r="N274" i="1" s="1"/>
  <c r="S274" i="15" s="1"/>
  <c r="G275" i="1" a="1"/>
  <c r="G275" i="1" s="1"/>
  <c r="J275" i="15" s="1"/>
  <c r="R276" i="15"/>
  <c r="M277" i="1"/>
  <c r="M277" i="15" s="1"/>
  <c r="N277" i="15" s="1" a="1"/>
  <c r="N277" i="15" s="1"/>
  <c r="C278" i="1" a="1"/>
  <c r="C278" i="1" s="1"/>
  <c r="E278" i="15" s="1"/>
  <c r="R278" i="15"/>
  <c r="I278" i="1" a="1"/>
  <c r="I278" i="1" s="1"/>
  <c r="N278" i="1" a="1"/>
  <c r="N278" i="1" s="1"/>
  <c r="S278" i="15" s="1"/>
  <c r="C280" i="1" a="1"/>
  <c r="C280" i="1" s="1"/>
  <c r="E280" i="15" s="1"/>
  <c r="G280" i="1" a="1"/>
  <c r="G280" i="1" s="1"/>
  <c r="J280" i="15" s="1"/>
  <c r="N280" i="1" a="1"/>
  <c r="N280" i="1" s="1"/>
  <c r="S280" i="15" s="1"/>
  <c r="G281" i="1" a="1"/>
  <c r="G281" i="1" s="1"/>
  <c r="J281" i="15" s="1"/>
  <c r="J281" i="1" a="1"/>
  <c r="J281" i="1" s="1"/>
  <c r="N281" i="1" a="1"/>
  <c r="N281" i="1" s="1"/>
  <c r="S281" i="15" s="1"/>
  <c r="G282" i="1" a="1"/>
  <c r="G282" i="1" s="1"/>
  <c r="J282" i="15" s="1"/>
  <c r="J282" i="1" a="1"/>
  <c r="J282" i="1" s="1"/>
  <c r="N282" i="1" a="1"/>
  <c r="N282" i="1" s="1"/>
  <c r="S282" i="15" s="1"/>
  <c r="F283" i="1" a="1"/>
  <c r="F283" i="1" s="1"/>
  <c r="J283" i="1" a="1"/>
  <c r="J283" i="1" s="1"/>
  <c r="M283" i="1"/>
  <c r="M283" i="15" s="1"/>
  <c r="N283" i="15" s="1" a="1"/>
  <c r="N283" i="15" s="1"/>
  <c r="C284" i="1" a="1"/>
  <c r="C284" i="1" s="1"/>
  <c r="E284" i="15" s="1"/>
  <c r="R284" i="15"/>
  <c r="I284" i="1" a="1"/>
  <c r="I284" i="1" s="1"/>
  <c r="N284" i="1" a="1"/>
  <c r="N284" i="1" s="1"/>
  <c r="S284" i="15" s="1"/>
  <c r="G285" i="1" a="1"/>
  <c r="G285" i="1" s="1"/>
  <c r="J285" i="15" s="1"/>
  <c r="J285" i="1" a="1"/>
  <c r="J285" i="1" s="1"/>
  <c r="F286" i="1" a="1"/>
  <c r="F286" i="1" s="1"/>
  <c r="R287" i="15"/>
  <c r="I287" i="1" a="1"/>
  <c r="I287" i="1" s="1"/>
  <c r="F289" i="1" a="1"/>
  <c r="F289" i="1" s="1"/>
  <c r="M289" i="1"/>
  <c r="M289" i="15" s="1"/>
  <c r="N289" i="15" s="1" a="1"/>
  <c r="N289" i="15" s="1"/>
  <c r="C290" i="1" a="1"/>
  <c r="C290" i="1" s="1"/>
  <c r="E290" i="15" s="1"/>
  <c r="R290" i="15"/>
  <c r="I290" i="1" a="1"/>
  <c r="I290" i="1" s="1"/>
  <c r="M290" i="1"/>
  <c r="M290" i="15" s="1"/>
  <c r="N290" i="15" s="1" a="1"/>
  <c r="N290" i="15" s="1"/>
  <c r="C291" i="1" a="1"/>
  <c r="C291" i="1" s="1"/>
  <c r="E291" i="15" s="1"/>
  <c r="N291" i="1" a="1"/>
  <c r="N291" i="1" s="1"/>
  <c r="S291" i="15" s="1"/>
  <c r="G292" i="1" a="1"/>
  <c r="G292" i="1" s="1"/>
  <c r="J292" i="15" s="1"/>
  <c r="J292" i="1" a="1"/>
  <c r="J292" i="1" s="1"/>
  <c r="M292" i="1"/>
  <c r="M292" i="15" s="1"/>
  <c r="N292" i="15" s="1" a="1"/>
  <c r="N292" i="15" s="1"/>
  <c r="C294" i="1" a="1"/>
  <c r="C294" i="1" s="1"/>
  <c r="E294" i="15" s="1"/>
  <c r="F294" i="1" a="1"/>
  <c r="F294" i="1" s="1"/>
  <c r="F296" i="1" a="1"/>
  <c r="F296" i="1" s="1"/>
  <c r="M296" i="1"/>
  <c r="M296" i="15" s="1"/>
  <c r="N296" i="15" s="1" a="1"/>
  <c r="N296" i="15" s="1"/>
  <c r="C297" i="1" a="1"/>
  <c r="C297" i="1" s="1"/>
  <c r="E297" i="15" s="1"/>
  <c r="R297" i="15"/>
  <c r="I297" i="1" a="1"/>
  <c r="I297" i="1" s="1"/>
  <c r="M297" i="1"/>
  <c r="M297" i="15" s="1"/>
  <c r="N297" i="15" s="1" a="1"/>
  <c r="N297" i="15" s="1"/>
  <c r="C298" i="1" a="1"/>
  <c r="C298" i="1" s="1"/>
  <c r="E298" i="15" s="1"/>
  <c r="N298" i="1" a="1"/>
  <c r="N298" i="1" s="1"/>
  <c r="S298" i="15" s="1"/>
  <c r="G299" i="1" a="1"/>
  <c r="G299" i="1" s="1"/>
  <c r="J299" i="15" s="1"/>
  <c r="J299" i="1" a="1"/>
  <c r="J299" i="1" s="1"/>
  <c r="M299" i="1"/>
  <c r="M299" i="15" s="1"/>
  <c r="N299" i="15" s="1" a="1"/>
  <c r="N299" i="15" s="1"/>
  <c r="C300" i="1" a="1"/>
  <c r="C300" i="1" s="1"/>
  <c r="E300" i="15" s="1"/>
  <c r="R300" i="15"/>
  <c r="I300" i="1" a="1"/>
  <c r="I300" i="1" s="1"/>
  <c r="G302" i="1" a="1"/>
  <c r="G302" i="1" s="1"/>
  <c r="J302" i="15" s="1"/>
  <c r="F303" i="1" a="1"/>
  <c r="F303" i="1" s="1"/>
  <c r="N304" i="1" a="1"/>
  <c r="N304" i="1" s="1"/>
  <c r="S304" i="15" s="1"/>
  <c r="G305" i="1" a="1"/>
  <c r="G305" i="1" s="1"/>
  <c r="J305" i="15" s="1"/>
  <c r="J305" i="1" a="1"/>
  <c r="J305" i="1" s="1"/>
  <c r="N269" i="1" a="1"/>
  <c r="N269" i="1" s="1"/>
  <c r="S269" i="15" s="1"/>
  <c r="G270" i="1" a="1"/>
  <c r="G270" i="1" s="1"/>
  <c r="J270" i="15" s="1"/>
  <c r="N270" i="1" a="1"/>
  <c r="N270" i="1" s="1"/>
  <c r="S270" i="15" s="1"/>
  <c r="J271" i="1" a="1"/>
  <c r="J271" i="1" s="1"/>
  <c r="R273" i="15"/>
  <c r="J273" i="1" a="1"/>
  <c r="J273" i="1" s="1"/>
  <c r="N273" i="1" a="1"/>
  <c r="N273" i="1" s="1"/>
  <c r="S273" i="15" s="1"/>
  <c r="C276" i="1" a="1"/>
  <c r="C276" i="1" s="1"/>
  <c r="E276" i="15" s="1"/>
  <c r="F276" i="1" a="1"/>
  <c r="F276" i="1" s="1"/>
  <c r="N276" i="1" a="1"/>
  <c r="N276" i="1" s="1"/>
  <c r="S276" i="15" s="1"/>
  <c r="F278" i="1" a="1"/>
  <c r="F278" i="1" s="1"/>
  <c r="I279" i="1" a="1"/>
  <c r="I279" i="1" s="1"/>
  <c r="M279" i="1"/>
  <c r="M279" i="15" s="1"/>
  <c r="N279" i="15" s="1" a="1"/>
  <c r="N279" i="15" s="1"/>
  <c r="G283" i="1" a="1"/>
  <c r="G283" i="1" s="1"/>
  <c r="J283" i="15" s="1"/>
  <c r="F284" i="1" a="1"/>
  <c r="F284" i="1" s="1"/>
  <c r="N285" i="1" a="1"/>
  <c r="N285" i="1" s="1"/>
  <c r="S285" i="15" s="1"/>
  <c r="G286" i="1" a="1"/>
  <c r="G286" i="1" s="1"/>
  <c r="J286" i="15" s="1"/>
  <c r="J286" i="1" a="1"/>
  <c r="J286" i="1" s="1"/>
  <c r="N286" i="1" a="1"/>
  <c r="N286" i="1" s="1"/>
  <c r="S286" i="15" s="1"/>
  <c r="F287" i="1" a="1"/>
  <c r="F287" i="1" s="1"/>
  <c r="J287" i="1" a="1"/>
  <c r="J287" i="1" s="1"/>
  <c r="M287" i="1"/>
  <c r="M287" i="15" s="1"/>
  <c r="N287" i="15" s="1" a="1"/>
  <c r="N287" i="15" s="1"/>
  <c r="C288" i="1" a="1"/>
  <c r="C288" i="1" s="1"/>
  <c r="E288" i="15" s="1"/>
  <c r="R288" i="15"/>
  <c r="I288" i="1" a="1"/>
  <c r="I288" i="1" s="1"/>
  <c r="N288" i="1" a="1"/>
  <c r="N288" i="1" s="1"/>
  <c r="S288" i="15" s="1"/>
  <c r="G289" i="1" a="1"/>
  <c r="G289" i="1" s="1"/>
  <c r="J289" i="15" s="1"/>
  <c r="J289" i="1" a="1"/>
  <c r="J289" i="1" s="1"/>
  <c r="F290" i="1" a="1"/>
  <c r="F290" i="1" s="1"/>
  <c r="R291" i="15"/>
  <c r="I291" i="1" a="1"/>
  <c r="I291" i="1" s="1"/>
  <c r="C293" i="1" a="1"/>
  <c r="C293" i="1" s="1"/>
  <c r="E293" i="15" s="1"/>
  <c r="R293" i="15"/>
  <c r="I293" i="1" a="1"/>
  <c r="I293" i="1" s="1"/>
  <c r="N293" i="1" a="1"/>
  <c r="N293" i="1" s="1"/>
  <c r="S293" i="15" s="1"/>
  <c r="G294" i="1" a="1"/>
  <c r="G294" i="1" s="1"/>
  <c r="J294" i="15" s="1"/>
  <c r="J294" i="1" a="1"/>
  <c r="J294" i="1" s="1"/>
  <c r="M294" i="1"/>
  <c r="M294" i="15" s="1"/>
  <c r="N294" i="15" s="1" a="1"/>
  <c r="N294" i="15" s="1"/>
  <c r="C295" i="1" a="1"/>
  <c r="C295" i="1" s="1"/>
  <c r="E295" i="15" s="1"/>
  <c r="R295" i="15"/>
  <c r="I295" i="1" a="1"/>
  <c r="I295" i="1" s="1"/>
  <c r="N295" i="1" a="1"/>
  <c r="N295" i="1" s="1"/>
  <c r="S295" i="15" s="1"/>
  <c r="G296" i="1" a="1"/>
  <c r="G296" i="1" s="1"/>
  <c r="J296" i="15" s="1"/>
  <c r="J296" i="1" a="1"/>
  <c r="J296" i="1" s="1"/>
  <c r="F297" i="1" a="1"/>
  <c r="F297" i="1" s="1"/>
  <c r="R298" i="15"/>
  <c r="I298" i="1" a="1"/>
  <c r="I298" i="1" s="1"/>
  <c r="F300" i="1" a="1"/>
  <c r="F300" i="1" s="1"/>
  <c r="M300" i="1"/>
  <c r="M300" i="15" s="1"/>
  <c r="N300" i="15" s="1" a="1"/>
  <c r="N300" i="15" s="1"/>
  <c r="C301" i="1" a="1"/>
  <c r="C301" i="1" s="1"/>
  <c r="E301" i="15" s="1"/>
  <c r="R301" i="15"/>
  <c r="I301" i="1" a="1"/>
  <c r="I301" i="1" s="1"/>
  <c r="M301" i="1"/>
  <c r="M301" i="15" s="1"/>
  <c r="N301" i="15" s="1" a="1"/>
  <c r="N301" i="15" s="1"/>
  <c r="C302" i="1" a="1"/>
  <c r="C302" i="1" s="1"/>
  <c r="E302" i="15" s="1"/>
  <c r="N302" i="1" a="1"/>
  <c r="N302" i="1" s="1"/>
  <c r="S302" i="15" s="1"/>
  <c r="G303" i="1" a="1"/>
  <c r="G303" i="1" s="1"/>
  <c r="J303" i="15" s="1"/>
  <c r="J303" i="1" a="1"/>
  <c r="J303" i="1" s="1"/>
  <c r="M303" i="1"/>
  <c r="M303" i="15" s="1"/>
  <c r="N303" i="15" s="1" a="1"/>
  <c r="N303" i="15" s="1"/>
  <c r="C304" i="1" a="1"/>
  <c r="C304" i="1" s="1"/>
  <c r="E304" i="15" s="1"/>
  <c r="R304" i="15"/>
  <c r="I304" i="1" a="1"/>
  <c r="I304" i="1" s="1"/>
  <c r="G306" i="1" a="1"/>
  <c r="G306" i="1" s="1"/>
  <c r="J306" i="15" s="1"/>
  <c r="F307" i="1" a="1"/>
  <c r="F307" i="1" s="1"/>
  <c r="N308" i="1" a="1"/>
  <c r="N308" i="1" s="1"/>
  <c r="S308" i="15" s="1"/>
  <c r="F309" i="1" a="1"/>
  <c r="F309" i="1" s="1"/>
  <c r="J309" i="1" a="1"/>
  <c r="J309" i="1" s="1"/>
  <c r="M309" i="1"/>
  <c r="M309" i="15" s="1"/>
  <c r="N309" i="15" s="1" a="1"/>
  <c r="N309" i="15" s="1"/>
  <c r="C310" i="1" a="1"/>
  <c r="C310" i="1" s="1"/>
  <c r="E310" i="15" s="1"/>
  <c r="F310" i="1" a="1"/>
  <c r="F310" i="1" s="1"/>
  <c r="J310" i="1" a="1"/>
  <c r="J310" i="1" s="1"/>
  <c r="F271" i="1" a="1"/>
  <c r="F271" i="1" s="1"/>
  <c r="C272" i="1" a="1"/>
  <c r="C272" i="1" s="1"/>
  <c r="E272" i="15" s="1"/>
  <c r="R272" i="15"/>
  <c r="I272" i="1" a="1"/>
  <c r="I272" i="1" s="1"/>
  <c r="C273" i="1" a="1"/>
  <c r="C273" i="1" s="1"/>
  <c r="E273" i="15" s="1"/>
  <c r="G273" i="1" a="1"/>
  <c r="G273" i="1" s="1"/>
  <c r="J273" i="15" s="1"/>
  <c r="F274" i="1" a="1"/>
  <c r="F274" i="1" s="1"/>
  <c r="J274" i="1" a="1"/>
  <c r="J274" i="1" s="1"/>
  <c r="R275" i="15"/>
  <c r="I275" i="1" a="1"/>
  <c r="I275" i="1" s="1"/>
  <c r="M275" i="1"/>
  <c r="M275" i="15" s="1"/>
  <c r="N275" i="15" s="1" a="1"/>
  <c r="N275" i="15" s="1"/>
  <c r="F277" i="1" a="1"/>
  <c r="F277" i="1" s="1"/>
  <c r="J277" i="1" a="1"/>
  <c r="J277" i="1" s="1"/>
  <c r="N277" i="1" a="1"/>
  <c r="N277" i="1" s="1"/>
  <c r="S277" i="15" s="1"/>
  <c r="G278" i="1" a="1"/>
  <c r="G278" i="1" s="1"/>
  <c r="J278" i="15" s="1"/>
  <c r="J278" i="1" a="1"/>
  <c r="J278" i="1" s="1"/>
  <c r="M278" i="1"/>
  <c r="M278" i="15" s="1"/>
  <c r="N278" i="15" s="1" a="1"/>
  <c r="N278" i="15" s="1"/>
  <c r="C279" i="1" a="1"/>
  <c r="C279" i="1" s="1"/>
  <c r="E279" i="15" s="1"/>
  <c r="R279" i="15"/>
  <c r="J279" i="1" a="1"/>
  <c r="J279" i="1" s="1"/>
  <c r="N279" i="1" a="1"/>
  <c r="N279" i="1" s="1"/>
  <c r="S279" i="15" s="1"/>
  <c r="I280" i="1" a="1"/>
  <c r="I280" i="1" s="1"/>
  <c r="M280" i="1"/>
  <c r="M280" i="15" s="1"/>
  <c r="N280" i="15" s="1" a="1"/>
  <c r="N280" i="15" s="1"/>
  <c r="C281" i="1" a="1"/>
  <c r="C281" i="1" s="1"/>
  <c r="E281" i="15" s="1"/>
  <c r="R281" i="15"/>
  <c r="I281" i="1" a="1"/>
  <c r="I281" i="1" s="1"/>
  <c r="M281" i="1"/>
  <c r="M281" i="15" s="1"/>
  <c r="N281" i="15" s="1" a="1"/>
  <c r="N281" i="15" s="1"/>
  <c r="C282" i="1" a="1"/>
  <c r="C282" i="1" s="1"/>
  <c r="E282" i="15" s="1"/>
  <c r="R282" i="15"/>
  <c r="I282" i="1" a="1"/>
  <c r="I282" i="1" s="1"/>
  <c r="M282" i="1"/>
  <c r="M282" i="15" s="1"/>
  <c r="N282" i="15" s="1" a="1"/>
  <c r="N282" i="15" s="1"/>
  <c r="C283" i="1" a="1"/>
  <c r="C283" i="1" s="1"/>
  <c r="E283" i="15" s="1"/>
  <c r="N283" i="1" a="1"/>
  <c r="N283" i="1" s="1"/>
  <c r="S283" i="15" s="1"/>
  <c r="G284" i="1" a="1"/>
  <c r="G284" i="1" s="1"/>
  <c r="J284" i="15" s="1"/>
  <c r="J284" i="1" a="1"/>
  <c r="J284" i="1" s="1"/>
  <c r="M284" i="1"/>
  <c r="M284" i="15" s="1"/>
  <c r="N284" i="15" s="1" a="1"/>
  <c r="N284" i="15" s="1"/>
  <c r="C285" i="1" a="1"/>
  <c r="C285" i="1" s="1"/>
  <c r="E285" i="15" s="1"/>
  <c r="R285" i="15"/>
  <c r="I285" i="1" a="1"/>
  <c r="I285" i="1" s="1"/>
  <c r="G287" i="1" a="1"/>
  <c r="G287" i="1" s="1"/>
  <c r="J287" i="15" s="1"/>
  <c r="F288" i="1" a="1"/>
  <c r="F288" i="1" s="1"/>
  <c r="N289" i="1" a="1"/>
  <c r="N289" i="1" s="1"/>
  <c r="S289" i="15" s="1"/>
  <c r="G290" i="1" a="1"/>
  <c r="G290" i="1" s="1"/>
  <c r="J290" i="15" s="1"/>
  <c r="J290" i="1" a="1"/>
  <c r="J290" i="1" s="1"/>
  <c r="N290" i="1" a="1"/>
  <c r="N290" i="1" s="1"/>
  <c r="S290" i="15" s="1"/>
  <c r="F291" i="1" a="1"/>
  <c r="F291" i="1" s="1"/>
  <c r="J291" i="1" a="1"/>
  <c r="J291" i="1" s="1"/>
  <c r="M291" i="1"/>
  <c r="M291" i="15" s="1"/>
  <c r="N291" i="15" s="1" a="1"/>
  <c r="N291" i="15" s="1"/>
  <c r="C292" i="1" a="1"/>
  <c r="C292" i="1" s="1"/>
  <c r="E292" i="15" s="1"/>
  <c r="R292" i="15"/>
  <c r="I292" i="1" a="1"/>
  <c r="I292" i="1" s="1"/>
  <c r="F293" i="1" a="1"/>
  <c r="F293" i="1" s="1"/>
  <c r="J293" i="1" a="1"/>
  <c r="J293" i="1" s="1"/>
  <c r="F295" i="1" a="1"/>
  <c r="F295" i="1" s="1"/>
  <c r="N296" i="1" a="1"/>
  <c r="N296" i="1" s="1"/>
  <c r="S296" i="15" s="1"/>
  <c r="G297" i="1" a="1"/>
  <c r="G297" i="1" s="1"/>
  <c r="J297" i="15" s="1"/>
  <c r="J297" i="1" a="1"/>
  <c r="J297" i="1" s="1"/>
  <c r="N297" i="1" a="1"/>
  <c r="N297" i="1" s="1"/>
  <c r="S297" i="15" s="1"/>
  <c r="F298" i="1" a="1"/>
  <c r="F298" i="1" s="1"/>
  <c r="J298" i="1" a="1"/>
  <c r="J298" i="1" s="1"/>
  <c r="M298" i="1"/>
  <c r="M298" i="15" s="1"/>
  <c r="N298" i="15" s="1" a="1"/>
  <c r="N298" i="15" s="1"/>
  <c r="C299" i="1" a="1"/>
  <c r="C299" i="1" s="1"/>
  <c r="E299" i="15" s="1"/>
  <c r="R299" i="15"/>
  <c r="I299" i="1" a="1"/>
  <c r="I299" i="1" s="1"/>
  <c r="N299" i="1" a="1"/>
  <c r="N299" i="1" s="1"/>
  <c r="S299" i="15" s="1"/>
  <c r="G300" i="1" a="1"/>
  <c r="G300" i="1" s="1"/>
  <c r="J300" i="15" s="1"/>
  <c r="J300" i="1" a="1"/>
  <c r="J300" i="1" s="1"/>
  <c r="F301" i="1" a="1"/>
  <c r="F301" i="1" s="1"/>
  <c r="R302" i="15"/>
  <c r="I302" i="1" a="1"/>
  <c r="I302" i="1" s="1"/>
  <c r="F304" i="1" a="1"/>
  <c r="F304" i="1" s="1"/>
  <c r="M304" i="1"/>
  <c r="M304" i="15" s="1"/>
  <c r="N304" i="15" s="1" a="1"/>
  <c r="N304" i="15" s="1"/>
  <c r="C305" i="1" a="1"/>
  <c r="C305" i="1" s="1"/>
  <c r="E305" i="15" s="1"/>
  <c r="R305" i="15"/>
  <c r="I305" i="1" a="1"/>
  <c r="I305" i="1" s="1"/>
  <c r="M305" i="1"/>
  <c r="M305" i="15" s="1"/>
  <c r="N305" i="15" s="1" a="1"/>
  <c r="N305" i="15" s="1"/>
  <c r="C306" i="1" a="1"/>
  <c r="C306" i="1" s="1"/>
  <c r="E306" i="15" s="1"/>
  <c r="J270" i="1" a="1"/>
  <c r="J270" i="1" s="1"/>
  <c r="G271" i="1" a="1"/>
  <c r="G271" i="1" s="1"/>
  <c r="J271" i="15" s="1"/>
  <c r="M271" i="1"/>
  <c r="M271" i="15" s="1"/>
  <c r="N271" i="15" s="1" a="1"/>
  <c r="N271" i="15" s="1"/>
  <c r="F272" i="1" a="1"/>
  <c r="F272" i="1" s="1"/>
  <c r="M272" i="1"/>
  <c r="M272" i="15" s="1"/>
  <c r="N272" i="15" s="1" a="1"/>
  <c r="N272" i="15" s="1"/>
  <c r="G274" i="1" a="1"/>
  <c r="G274" i="1" s="1"/>
  <c r="J274" i="15" s="1"/>
  <c r="F275" i="1" a="1"/>
  <c r="F275" i="1" s="1"/>
  <c r="J275" i="1" a="1"/>
  <c r="J275" i="1" s="1"/>
  <c r="I276" i="1" a="1"/>
  <c r="I276" i="1" s="1"/>
  <c r="G277" i="1" a="1"/>
  <c r="G277" i="1" s="1"/>
  <c r="J277" i="15" s="1"/>
  <c r="F279" i="1" a="1"/>
  <c r="F279" i="1" s="1"/>
  <c r="R280" i="15"/>
  <c r="J280" i="1" a="1"/>
  <c r="J280" i="1" s="1"/>
  <c r="F281" i="1" a="1"/>
  <c r="F281" i="1" s="1"/>
  <c r="F282" i="1" a="1"/>
  <c r="F282" i="1" s="1"/>
  <c r="R283" i="15"/>
  <c r="I283" i="1" a="1"/>
  <c r="I283" i="1" s="1"/>
  <c r="F285" i="1" a="1"/>
  <c r="F285" i="1" s="1"/>
  <c r="M285" i="1"/>
  <c r="M285" i="15" s="1"/>
  <c r="N285" i="15" s="1" a="1"/>
  <c r="N285" i="15" s="1"/>
  <c r="C286" i="1" a="1"/>
  <c r="C286" i="1" s="1"/>
  <c r="E286" i="15" s="1"/>
  <c r="R286" i="15"/>
  <c r="I286" i="1" a="1"/>
  <c r="I286" i="1" s="1"/>
  <c r="M286" i="1"/>
  <c r="M286" i="15" s="1"/>
  <c r="N286" i="15" s="1" a="1"/>
  <c r="N286" i="15" s="1"/>
  <c r="C287" i="1" a="1"/>
  <c r="C287" i="1" s="1"/>
  <c r="E287" i="15" s="1"/>
  <c r="N287" i="1" a="1"/>
  <c r="N287" i="1" s="1"/>
  <c r="S287" i="15" s="1"/>
  <c r="G288" i="1" a="1"/>
  <c r="G288" i="1" s="1"/>
  <c r="J288" i="15" s="1"/>
  <c r="J288" i="1" a="1"/>
  <c r="J288" i="1" s="1"/>
  <c r="M288" i="1"/>
  <c r="M288" i="15" s="1"/>
  <c r="N288" i="15" s="1" a="1"/>
  <c r="N288" i="15" s="1"/>
  <c r="C289" i="1" a="1"/>
  <c r="C289" i="1" s="1"/>
  <c r="E289" i="15" s="1"/>
  <c r="R289" i="15"/>
  <c r="I289" i="1" a="1"/>
  <c r="I289" i="1" s="1"/>
  <c r="G291" i="1" a="1"/>
  <c r="G291" i="1" s="1"/>
  <c r="J291" i="15" s="1"/>
  <c r="F292" i="1" a="1"/>
  <c r="F292" i="1" s="1"/>
  <c r="N292" i="1" a="1"/>
  <c r="N292" i="1" s="1"/>
  <c r="S292" i="15" s="1"/>
  <c r="G293" i="1" a="1"/>
  <c r="G293" i="1" s="1"/>
  <c r="J293" i="15" s="1"/>
  <c r="M293" i="1"/>
  <c r="M293" i="15" s="1"/>
  <c r="N293" i="15" s="1" a="1"/>
  <c r="N293" i="15" s="1"/>
  <c r="R294" i="15"/>
  <c r="I294" i="1" a="1"/>
  <c r="I294" i="1" s="1"/>
  <c r="N294" i="1" a="1"/>
  <c r="N294" i="1" s="1"/>
  <c r="S294" i="15" s="1"/>
  <c r="G295" i="1" a="1"/>
  <c r="G295" i="1" s="1"/>
  <c r="J295" i="15" s="1"/>
  <c r="J295" i="1" a="1"/>
  <c r="J295" i="1" s="1"/>
  <c r="M295" i="1"/>
  <c r="M295" i="15" s="1"/>
  <c r="N295" i="15" s="1" a="1"/>
  <c r="N295" i="15" s="1"/>
  <c r="C296" i="1" a="1"/>
  <c r="C296" i="1" s="1"/>
  <c r="E296" i="15" s="1"/>
  <c r="R296" i="15"/>
  <c r="I296" i="1" a="1"/>
  <c r="I296" i="1" s="1"/>
  <c r="G298" i="1" a="1"/>
  <c r="G298" i="1" s="1"/>
  <c r="J298" i="15" s="1"/>
  <c r="F299" i="1" a="1"/>
  <c r="F299" i="1" s="1"/>
  <c r="N300" i="1" a="1"/>
  <c r="N300" i="1" s="1"/>
  <c r="S300" i="15" s="1"/>
  <c r="G301" i="1" a="1"/>
  <c r="G301" i="1" s="1"/>
  <c r="J301" i="15" s="1"/>
  <c r="J301" i="1" a="1"/>
  <c r="J301" i="1" s="1"/>
  <c r="N301" i="1" a="1"/>
  <c r="N301" i="1" s="1"/>
  <c r="S301" i="15" s="1"/>
  <c r="F302" i="1" a="1"/>
  <c r="F302" i="1" s="1"/>
  <c r="J302" i="1" a="1"/>
  <c r="J302" i="1" s="1"/>
  <c r="M302" i="1"/>
  <c r="M302" i="15" s="1"/>
  <c r="N302" i="15" s="1" a="1"/>
  <c r="N302" i="15" s="1"/>
  <c r="C303" i="1" a="1"/>
  <c r="C303" i="1" s="1"/>
  <c r="E303" i="15" s="1"/>
  <c r="R303" i="15"/>
  <c r="I303" i="1" a="1"/>
  <c r="I303" i="1" s="1"/>
  <c r="N303" i="1" a="1"/>
  <c r="N303" i="1" s="1"/>
  <c r="S303" i="15" s="1"/>
  <c r="G304" i="1" a="1"/>
  <c r="G304" i="1" s="1"/>
  <c r="J304" i="15" s="1"/>
  <c r="J304" i="1" a="1"/>
  <c r="J304" i="1" s="1"/>
  <c r="F305" i="1" a="1"/>
  <c r="F305" i="1" s="1"/>
  <c r="R306" i="15"/>
  <c r="I306" i="1" a="1"/>
  <c r="I306" i="1" s="1"/>
  <c r="F308" i="1" a="1"/>
  <c r="F308" i="1" s="1"/>
  <c r="M308" i="1"/>
  <c r="M308" i="15" s="1"/>
  <c r="N308" i="15" s="1" a="1"/>
  <c r="N308" i="15" s="1"/>
  <c r="C309" i="1" a="1"/>
  <c r="C309" i="1" s="1"/>
  <c r="E309" i="15" s="1"/>
  <c r="N309" i="1" a="1"/>
  <c r="N309" i="1" s="1"/>
  <c r="S309" i="15" s="1"/>
  <c r="G311" i="1" a="1"/>
  <c r="G311" i="1" s="1"/>
  <c r="J311" i="15" s="1"/>
  <c r="J311" i="1" a="1"/>
  <c r="J311" i="1" s="1"/>
  <c r="M311" i="1"/>
  <c r="M311" i="15" s="1"/>
  <c r="N311" i="15" s="1" a="1"/>
  <c r="N311" i="15" s="1"/>
  <c r="N312" i="1" a="1"/>
  <c r="N312" i="1" s="1"/>
  <c r="S312" i="15" s="1"/>
  <c r="G313" i="1" a="1"/>
  <c r="G313" i="1" s="1"/>
  <c r="J313" i="15" s="1"/>
  <c r="M314" i="1"/>
  <c r="M314" i="15" s="1"/>
  <c r="N314" i="15" s="1" a="1"/>
  <c r="N314" i="15" s="1"/>
  <c r="G316" i="1" a="1"/>
  <c r="G316" i="1" s="1"/>
  <c r="J316" i="15" s="1"/>
  <c r="N316" i="1" a="1"/>
  <c r="N316" i="1" s="1"/>
  <c r="S316" i="15" s="1"/>
  <c r="G317" i="1" a="1"/>
  <c r="G317" i="1" s="1"/>
  <c r="J317" i="15" s="1"/>
  <c r="N317" i="1" a="1"/>
  <c r="N317" i="1" s="1"/>
  <c r="S317" i="15" s="1"/>
  <c r="R319" i="15"/>
  <c r="I319" i="1" a="1"/>
  <c r="I319" i="1" s="1"/>
  <c r="J306" i="1" a="1"/>
  <c r="J306" i="1" s="1"/>
  <c r="C307" i="1" a="1"/>
  <c r="C307" i="1" s="1"/>
  <c r="E307" i="15" s="1"/>
  <c r="G307" i="1" a="1"/>
  <c r="G307" i="1" s="1"/>
  <c r="J307" i="15" s="1"/>
  <c r="C308" i="1" a="1"/>
  <c r="C308" i="1" s="1"/>
  <c r="E308" i="15" s="1"/>
  <c r="G308" i="1" a="1"/>
  <c r="G308" i="1" s="1"/>
  <c r="J308" i="15" s="1"/>
  <c r="R310" i="15"/>
  <c r="C311" i="1" a="1"/>
  <c r="C311" i="1" s="1"/>
  <c r="E311" i="15" s="1"/>
  <c r="F311" i="1" a="1"/>
  <c r="F311" i="1" s="1"/>
  <c r="F312" i="1" a="1"/>
  <c r="F312" i="1" s="1"/>
  <c r="J312" i="1" a="1"/>
  <c r="J312" i="1" s="1"/>
  <c r="C314" i="1" a="1"/>
  <c r="C314" i="1" s="1"/>
  <c r="E314" i="15" s="1"/>
  <c r="G314" i="1" a="1"/>
  <c r="G314" i="1" s="1"/>
  <c r="J314" i="15" s="1"/>
  <c r="G315" i="1" a="1"/>
  <c r="G315" i="1" s="1"/>
  <c r="J315" i="15" s="1"/>
  <c r="F316" i="1" a="1"/>
  <c r="F316" i="1" s="1"/>
  <c r="C317" i="1" a="1"/>
  <c r="C317" i="1" s="1"/>
  <c r="E317" i="15" s="1"/>
  <c r="J317" i="1" a="1"/>
  <c r="J317" i="1" s="1"/>
  <c r="R318" i="15"/>
  <c r="I318" i="1" a="1"/>
  <c r="I318" i="1" s="1"/>
  <c r="M319" i="1"/>
  <c r="M319" i="15" s="1"/>
  <c r="N319" i="15" s="1" a="1"/>
  <c r="N319" i="15" s="1"/>
  <c r="R320" i="15"/>
  <c r="N320" i="1" a="1"/>
  <c r="N320" i="1" s="1"/>
  <c r="S320" i="15" s="1"/>
  <c r="F321" i="1" a="1"/>
  <c r="F321" i="1" s="1"/>
  <c r="J321" i="1" a="1"/>
  <c r="J321" i="1" s="1"/>
  <c r="M321" i="1"/>
  <c r="M321" i="15" s="1"/>
  <c r="N321" i="15" s="1" a="1"/>
  <c r="N321" i="15" s="1"/>
  <c r="G322" i="1" a="1"/>
  <c r="G322" i="1" s="1"/>
  <c r="J322" i="15" s="1"/>
  <c r="J322" i="1" a="1"/>
  <c r="J322" i="1" s="1"/>
  <c r="M322" i="1"/>
  <c r="M322" i="15" s="1"/>
  <c r="N322" i="15" s="1" a="1"/>
  <c r="N322" i="15" s="1"/>
  <c r="G323" i="1" a="1"/>
  <c r="G323" i="1" s="1"/>
  <c r="J323" i="15" s="1"/>
  <c r="F324" i="1" a="1"/>
  <c r="F324" i="1" s="1"/>
  <c r="J324" i="1" a="1"/>
  <c r="J324" i="1" s="1"/>
  <c r="M324" i="1"/>
  <c r="M324" i="15" s="1"/>
  <c r="N324" i="15" s="1" a="1"/>
  <c r="N324" i="15" s="1"/>
  <c r="C325" i="1" a="1"/>
  <c r="C325" i="1" s="1"/>
  <c r="E325" i="15" s="1"/>
  <c r="F326" i="1" a="1"/>
  <c r="F326" i="1" s="1"/>
  <c r="J326" i="1" a="1"/>
  <c r="J326" i="1" s="1"/>
  <c r="M326" i="1"/>
  <c r="M326" i="15" s="1"/>
  <c r="N326" i="15" s="1" a="1"/>
  <c r="N326" i="15" s="1"/>
  <c r="C327" i="1" a="1"/>
  <c r="C327" i="1" s="1"/>
  <c r="E327" i="15" s="1"/>
  <c r="I327" i="1" a="1"/>
  <c r="I327" i="1" s="1"/>
  <c r="R328" i="15"/>
  <c r="N328" i="1" a="1"/>
  <c r="N328" i="1" s="1"/>
  <c r="S328" i="15" s="1"/>
  <c r="F329" i="1" a="1"/>
  <c r="F329" i="1" s="1"/>
  <c r="I329" i="1" a="1"/>
  <c r="I329" i="1" s="1"/>
  <c r="R330" i="15"/>
  <c r="I330" i="1" a="1"/>
  <c r="I330" i="1" s="1"/>
  <c r="M330" i="1"/>
  <c r="M330" i="15" s="1"/>
  <c r="N330" i="15" s="1" a="1"/>
  <c r="N330" i="15" s="1"/>
  <c r="C331" i="1" a="1"/>
  <c r="C331" i="1" s="1"/>
  <c r="E331" i="15" s="1"/>
  <c r="I331" i="1" a="1"/>
  <c r="I331" i="1" s="1"/>
  <c r="M331" i="1"/>
  <c r="M331" i="15" s="1"/>
  <c r="N331" i="15" s="1" a="1"/>
  <c r="N331" i="15" s="1"/>
  <c r="R332" i="15"/>
  <c r="R333" i="15"/>
  <c r="N333" i="1" a="1"/>
  <c r="N333" i="1" s="1"/>
  <c r="S333" i="15" s="1"/>
  <c r="G334" i="1" a="1"/>
  <c r="G334" i="1" s="1"/>
  <c r="J334" i="15" s="1"/>
  <c r="J334" i="1" a="1"/>
  <c r="J334" i="1" s="1"/>
  <c r="C335" i="1" a="1"/>
  <c r="C335" i="1" s="1"/>
  <c r="E335" i="15" s="1"/>
  <c r="F335" i="1" a="1"/>
  <c r="F335" i="1" s="1"/>
  <c r="I335" i="1" a="1"/>
  <c r="I335" i="1" s="1"/>
  <c r="R337" i="15"/>
  <c r="R338" i="15"/>
  <c r="I338" i="1" a="1"/>
  <c r="I338" i="1" s="1"/>
  <c r="M338" i="1"/>
  <c r="M338" i="15" s="1"/>
  <c r="N338" i="15" s="1" a="1"/>
  <c r="N338" i="15" s="1"/>
  <c r="R339" i="15"/>
  <c r="I339" i="1" a="1"/>
  <c r="I339" i="1" s="1"/>
  <c r="M339" i="1"/>
  <c r="M339" i="15" s="1"/>
  <c r="N339" i="15" s="1" a="1"/>
  <c r="N339" i="15" s="1"/>
  <c r="R340" i="15"/>
  <c r="F341" i="1" a="1"/>
  <c r="F341" i="1" s="1"/>
  <c r="I341" i="1" a="1"/>
  <c r="I341" i="1" s="1"/>
  <c r="M341" i="1"/>
  <c r="M341" i="15" s="1"/>
  <c r="N341" i="15" s="1" a="1"/>
  <c r="N341" i="15" s="1"/>
  <c r="R342" i="15"/>
  <c r="F343" i="1" a="1"/>
  <c r="F343" i="1" s="1"/>
  <c r="I343" i="1" a="1"/>
  <c r="I343" i="1" s="1"/>
  <c r="M343" i="1"/>
  <c r="M343" i="15" s="1"/>
  <c r="N343" i="15" s="1" a="1"/>
  <c r="N343" i="15" s="1"/>
  <c r="R344" i="15"/>
  <c r="F345" i="1" a="1"/>
  <c r="F345" i="1" s="1"/>
  <c r="I345" i="1" a="1"/>
  <c r="I345" i="1" s="1"/>
  <c r="M345" i="1"/>
  <c r="M345" i="15" s="1"/>
  <c r="N345" i="15" s="1" a="1"/>
  <c r="N345" i="15" s="1"/>
  <c r="R346" i="15"/>
  <c r="F347" i="1" a="1"/>
  <c r="F347" i="1" s="1"/>
  <c r="I347" i="1" a="1"/>
  <c r="I347" i="1" s="1"/>
  <c r="M347" i="1"/>
  <c r="M347" i="15" s="1"/>
  <c r="N347" i="15" s="1" a="1"/>
  <c r="N347" i="15" s="1"/>
  <c r="R348" i="15"/>
  <c r="F349" i="1" a="1"/>
  <c r="F349" i="1" s="1"/>
  <c r="I349" i="1" a="1"/>
  <c r="I349" i="1" s="1"/>
  <c r="M349" i="1"/>
  <c r="M349" i="15" s="1"/>
  <c r="N349" i="15" s="1" a="1"/>
  <c r="N349" i="15" s="1"/>
  <c r="M306" i="1"/>
  <c r="M306" i="15" s="1"/>
  <c r="N306" i="15" s="1" a="1"/>
  <c r="N306" i="15" s="1"/>
  <c r="M307" i="1"/>
  <c r="M307" i="15" s="1"/>
  <c r="N307" i="15" s="1" a="1"/>
  <c r="N307" i="15" s="1"/>
  <c r="I309" i="1" a="1"/>
  <c r="I309" i="1" s="1"/>
  <c r="G310" i="1" a="1"/>
  <c r="G310" i="1" s="1"/>
  <c r="J310" i="15" s="1"/>
  <c r="M310" i="1"/>
  <c r="M310" i="15" s="1"/>
  <c r="N310" i="15" s="1" a="1"/>
  <c r="N310" i="15" s="1"/>
  <c r="N311" i="1" a="1"/>
  <c r="N311" i="1" s="1"/>
  <c r="S311" i="15" s="1"/>
  <c r="G312" i="1" a="1"/>
  <c r="G312" i="1" s="1"/>
  <c r="J312" i="15" s="1"/>
  <c r="R313" i="15"/>
  <c r="I313" i="1" a="1"/>
  <c r="I313" i="1" s="1"/>
  <c r="M313" i="1"/>
  <c r="M313" i="15" s="1"/>
  <c r="N313" i="15" s="1" a="1"/>
  <c r="N313" i="15" s="1"/>
  <c r="C316" i="1" a="1"/>
  <c r="C316" i="1" s="1"/>
  <c r="E316" i="15" s="1"/>
  <c r="M316" i="1"/>
  <c r="M316" i="15" s="1"/>
  <c r="N316" i="15" s="1" a="1"/>
  <c r="N316" i="15" s="1"/>
  <c r="F317" i="1" a="1"/>
  <c r="F317" i="1" s="1"/>
  <c r="C318" i="1" a="1"/>
  <c r="C318" i="1" s="1"/>
  <c r="E318" i="15" s="1"/>
  <c r="F318" i="1" a="1"/>
  <c r="F318" i="1" s="1"/>
  <c r="J318" i="1" a="1"/>
  <c r="J318" i="1" s="1"/>
  <c r="N318" i="1" a="1"/>
  <c r="N318" i="1" s="1"/>
  <c r="S318" i="15" s="1"/>
  <c r="J319" i="1" a="1"/>
  <c r="J319" i="1" s="1"/>
  <c r="C320" i="1" a="1"/>
  <c r="C320" i="1" s="1"/>
  <c r="E320" i="15" s="1"/>
  <c r="F320" i="1" a="1"/>
  <c r="F320" i="1" s="1"/>
  <c r="I320" i="1" a="1"/>
  <c r="I320" i="1" s="1"/>
  <c r="G321" i="1" a="1"/>
  <c r="G321" i="1" s="1"/>
  <c r="J321" i="15" s="1"/>
  <c r="C322" i="1" a="1"/>
  <c r="C322" i="1" s="1"/>
  <c r="E322" i="15" s="1"/>
  <c r="R322" i="15"/>
  <c r="C323" i="1" a="1"/>
  <c r="C323" i="1" s="1"/>
  <c r="E323" i="15" s="1"/>
  <c r="R323" i="15"/>
  <c r="N323" i="1" a="1"/>
  <c r="N323" i="1" s="1"/>
  <c r="S323" i="15" s="1"/>
  <c r="G324" i="1" a="1"/>
  <c r="G324" i="1" s="1"/>
  <c r="J324" i="15" s="1"/>
  <c r="F325" i="1" a="1"/>
  <c r="F325" i="1" s="1"/>
  <c r="I325" i="1" a="1"/>
  <c r="I325" i="1" s="1"/>
  <c r="N325" i="1" a="1"/>
  <c r="N325" i="1" s="1"/>
  <c r="S325" i="15" s="1"/>
  <c r="G326" i="1" a="1"/>
  <c r="G326" i="1" s="1"/>
  <c r="J326" i="15" s="1"/>
  <c r="F327" i="1" a="1"/>
  <c r="F327" i="1" s="1"/>
  <c r="J327" i="1" a="1"/>
  <c r="J327" i="1" s="1"/>
  <c r="M327" i="1"/>
  <c r="M327" i="15" s="1"/>
  <c r="N327" i="15" s="1" a="1"/>
  <c r="N327" i="15" s="1"/>
  <c r="C328" i="1" a="1"/>
  <c r="C328" i="1" s="1"/>
  <c r="E328" i="15" s="1"/>
  <c r="F328" i="1" a="1"/>
  <c r="F328" i="1" s="1"/>
  <c r="I328" i="1" a="1"/>
  <c r="I328" i="1" s="1"/>
  <c r="G329" i="1" a="1"/>
  <c r="G329" i="1" s="1"/>
  <c r="J329" i="15" s="1"/>
  <c r="J329" i="1" a="1"/>
  <c r="J329" i="1" s="1"/>
  <c r="M329" i="1"/>
  <c r="M329" i="15" s="1"/>
  <c r="N329" i="15" s="1" a="1"/>
  <c r="N329" i="15" s="1"/>
  <c r="C330" i="1" a="1"/>
  <c r="C330" i="1" s="1"/>
  <c r="E330" i="15" s="1"/>
  <c r="F330" i="1" a="1"/>
  <c r="F330" i="1" s="1"/>
  <c r="J330" i="1" a="1"/>
  <c r="J330" i="1" s="1"/>
  <c r="F331" i="1" a="1"/>
  <c r="F331" i="1" s="1"/>
  <c r="J331" i="1" a="1"/>
  <c r="J331" i="1" s="1"/>
  <c r="C332" i="1" a="1"/>
  <c r="C332" i="1" s="1"/>
  <c r="E332" i="15" s="1"/>
  <c r="F332" i="1" a="1"/>
  <c r="F332" i="1" s="1"/>
  <c r="I332" i="1" a="1"/>
  <c r="I332" i="1" s="1"/>
  <c r="M332" i="1"/>
  <c r="M332" i="15" s="1"/>
  <c r="N332" i="15" s="1" a="1"/>
  <c r="N332" i="15" s="1"/>
  <c r="C333" i="1" a="1"/>
  <c r="C333" i="1" s="1"/>
  <c r="E333" i="15" s="1"/>
  <c r="F333" i="1" a="1"/>
  <c r="F333" i="1" s="1"/>
  <c r="I333" i="1" a="1"/>
  <c r="I333" i="1" s="1"/>
  <c r="M333" i="1"/>
  <c r="M333" i="15" s="1"/>
  <c r="N333" i="15" s="1" a="1"/>
  <c r="N333" i="15" s="1"/>
  <c r="R334" i="15"/>
  <c r="N334" i="1" a="1"/>
  <c r="N334" i="1" s="1"/>
  <c r="S334" i="15" s="1"/>
  <c r="G335" i="1" a="1"/>
  <c r="G335" i="1" s="1"/>
  <c r="J335" i="15" s="1"/>
  <c r="J335" i="1" a="1"/>
  <c r="J335" i="1" s="1"/>
  <c r="M335" i="1"/>
  <c r="M335" i="15" s="1"/>
  <c r="N335" i="15" s="1" a="1"/>
  <c r="N335" i="15" s="1"/>
  <c r="R336" i="15"/>
  <c r="I336" i="1" a="1"/>
  <c r="I336" i="1" s="1"/>
  <c r="M336" i="1"/>
  <c r="M336" i="15" s="1"/>
  <c r="N336" i="15" s="1" a="1"/>
  <c r="N336" i="15" s="1"/>
  <c r="C337" i="1" a="1"/>
  <c r="C337" i="1" s="1"/>
  <c r="E337" i="15" s="1"/>
  <c r="F337" i="1" a="1"/>
  <c r="F337" i="1" s="1"/>
  <c r="I337" i="1" a="1"/>
  <c r="I337" i="1" s="1"/>
  <c r="M337" i="1"/>
  <c r="M337" i="15" s="1"/>
  <c r="N337" i="15" s="1" a="1"/>
  <c r="N337" i="15" s="1"/>
  <c r="C338" i="1" a="1"/>
  <c r="C338" i="1" s="1"/>
  <c r="E338" i="15" s="1"/>
  <c r="F338" i="1" a="1"/>
  <c r="F338" i="1" s="1"/>
  <c r="J338" i="1" a="1"/>
  <c r="J338" i="1" s="1"/>
  <c r="C339" i="1" a="1"/>
  <c r="C339" i="1" s="1"/>
  <c r="E339" i="15" s="1"/>
  <c r="F339" i="1" a="1"/>
  <c r="F339" i="1" s="1"/>
  <c r="J339" i="1" a="1"/>
  <c r="J339" i="1" s="1"/>
  <c r="C340" i="1" a="1"/>
  <c r="C340" i="1" s="1"/>
  <c r="E340" i="15" s="1"/>
  <c r="N340" i="1" a="1"/>
  <c r="N340" i="1" s="1"/>
  <c r="S340" i="15" s="1"/>
  <c r="G341" i="1" a="1"/>
  <c r="G341" i="1" s="1"/>
  <c r="J341" i="15" s="1"/>
  <c r="J341" i="1" a="1"/>
  <c r="J341" i="1" s="1"/>
  <c r="C342" i="1" a="1"/>
  <c r="C342" i="1" s="1"/>
  <c r="E342" i="15" s="1"/>
  <c r="N342" i="1" a="1"/>
  <c r="N342" i="1" s="1"/>
  <c r="S342" i="15" s="1"/>
  <c r="G343" i="1" a="1"/>
  <c r="G343" i="1" s="1"/>
  <c r="J343" i="15" s="1"/>
  <c r="J343" i="1" a="1"/>
  <c r="J343" i="1" s="1"/>
  <c r="C344" i="1" a="1"/>
  <c r="C344" i="1" s="1"/>
  <c r="E344" i="15" s="1"/>
  <c r="N305" i="1" a="1"/>
  <c r="N305" i="1" s="1"/>
  <c r="S305" i="15" s="1"/>
  <c r="F306" i="1" a="1"/>
  <c r="F306" i="1" s="1"/>
  <c r="N306" i="1" a="1"/>
  <c r="N306" i="1" s="1"/>
  <c r="S306" i="15" s="1"/>
  <c r="I307" i="1" a="1"/>
  <c r="I307" i="1" s="1"/>
  <c r="N307" i="1" a="1"/>
  <c r="N307" i="1" s="1"/>
  <c r="S307" i="15" s="1"/>
  <c r="I308" i="1" a="1"/>
  <c r="I308" i="1" s="1"/>
  <c r="R309" i="15"/>
  <c r="N310" i="1" a="1"/>
  <c r="N310" i="1" s="1"/>
  <c r="S310" i="15" s="1"/>
  <c r="C313" i="1" a="1"/>
  <c r="C313" i="1" s="1"/>
  <c r="E313" i="15" s="1"/>
  <c r="J313" i="1" a="1"/>
  <c r="J313" i="1" s="1"/>
  <c r="N313" i="1" a="1"/>
  <c r="N313" i="1" s="1"/>
  <c r="S313" i="15" s="1"/>
  <c r="R314" i="15"/>
  <c r="I314" i="1" a="1"/>
  <c r="I314" i="1" s="1"/>
  <c r="C315" i="1" a="1"/>
  <c r="C315" i="1" s="1"/>
  <c r="E315" i="15" s="1"/>
  <c r="R315" i="15"/>
  <c r="I315" i="1" a="1"/>
  <c r="I315" i="1" s="1"/>
  <c r="M315" i="1"/>
  <c r="M315" i="15" s="1"/>
  <c r="N315" i="15" s="1" a="1"/>
  <c r="N315" i="15" s="1"/>
  <c r="I316" i="1" a="1"/>
  <c r="I316" i="1" s="1"/>
  <c r="M317" i="1"/>
  <c r="M317" i="15" s="1"/>
  <c r="N317" i="15" s="1" a="1"/>
  <c r="N317" i="15" s="1"/>
  <c r="G318" i="1" a="1"/>
  <c r="G318" i="1" s="1"/>
  <c r="J318" i="15" s="1"/>
  <c r="F319" i="1" a="1"/>
  <c r="F319" i="1" s="1"/>
  <c r="N319" i="1" a="1"/>
  <c r="N319" i="1" s="1"/>
  <c r="S319" i="15" s="1"/>
  <c r="M320" i="1"/>
  <c r="M320" i="15" s="1"/>
  <c r="N320" i="15" s="1" a="1"/>
  <c r="N320" i="15" s="1"/>
  <c r="F322" i="1" a="1"/>
  <c r="F322" i="1" s="1"/>
  <c r="I322" i="1" a="1"/>
  <c r="I322" i="1" s="1"/>
  <c r="N322" i="1" a="1"/>
  <c r="N322" i="1" s="1"/>
  <c r="S322" i="15" s="1"/>
  <c r="I323" i="1" a="1"/>
  <c r="I323" i="1" s="1"/>
  <c r="M323" i="1"/>
  <c r="M323" i="15" s="1"/>
  <c r="N323" i="15" s="1" a="1"/>
  <c r="N323" i="15" s="1"/>
  <c r="N324" i="1" a="1"/>
  <c r="N324" i="1" s="1"/>
  <c r="S324" i="15" s="1"/>
  <c r="G325" i="1" a="1"/>
  <c r="G325" i="1" s="1"/>
  <c r="J325" i="15" s="1"/>
  <c r="J325" i="1" a="1"/>
  <c r="J325" i="1" s="1"/>
  <c r="M325" i="1"/>
  <c r="M325" i="15" s="1"/>
  <c r="N325" i="15" s="1" a="1"/>
  <c r="N325" i="15" s="1"/>
  <c r="N326" i="1" a="1"/>
  <c r="N326" i="1" s="1"/>
  <c r="S326" i="15" s="1"/>
  <c r="G327" i="1" a="1"/>
  <c r="G327" i="1" s="1"/>
  <c r="J327" i="15" s="1"/>
  <c r="M328" i="1"/>
  <c r="M328" i="15" s="1"/>
  <c r="N328" i="15" s="1" a="1"/>
  <c r="N328" i="15" s="1"/>
  <c r="G330" i="1" a="1"/>
  <c r="G330" i="1" s="1"/>
  <c r="J330" i="15" s="1"/>
  <c r="N330" i="1" a="1"/>
  <c r="N330" i="1" s="1"/>
  <c r="S330" i="15" s="1"/>
  <c r="G331" i="1" a="1"/>
  <c r="G331" i="1" s="1"/>
  <c r="J331" i="15" s="1"/>
  <c r="J332" i="1" a="1"/>
  <c r="J332" i="1" s="1"/>
  <c r="G333" i="1" a="1"/>
  <c r="G333" i="1" s="1"/>
  <c r="J333" i="15" s="1"/>
  <c r="J333" i="1" a="1"/>
  <c r="J333" i="1" s="1"/>
  <c r="C334" i="1" a="1"/>
  <c r="C334" i="1" s="1"/>
  <c r="E334" i="15" s="1"/>
  <c r="F334" i="1" a="1"/>
  <c r="F334" i="1" s="1"/>
  <c r="I334" i="1" a="1"/>
  <c r="I334" i="1" s="1"/>
  <c r="C336" i="1" a="1"/>
  <c r="C336" i="1" s="1"/>
  <c r="E336" i="15" s="1"/>
  <c r="F336" i="1" a="1"/>
  <c r="F336" i="1" s="1"/>
  <c r="J336" i="1" a="1"/>
  <c r="J336" i="1" s="1"/>
  <c r="J337" i="1" a="1"/>
  <c r="J337" i="1" s="1"/>
  <c r="G338" i="1" a="1"/>
  <c r="G338" i="1" s="1"/>
  <c r="J338" i="15" s="1"/>
  <c r="G339" i="1" a="1"/>
  <c r="G339" i="1" s="1"/>
  <c r="J339" i="15" s="1"/>
  <c r="F340" i="1" a="1"/>
  <c r="F340" i="1" s="1"/>
  <c r="I340" i="1" a="1"/>
  <c r="I340" i="1" s="1"/>
  <c r="M340" i="1"/>
  <c r="M340" i="15" s="1"/>
  <c r="N340" i="15" s="1" a="1"/>
  <c r="N340" i="15" s="1"/>
  <c r="R341" i="15"/>
  <c r="F342" i="1" a="1"/>
  <c r="F342" i="1" s="1"/>
  <c r="I342" i="1" a="1"/>
  <c r="I342" i="1" s="1"/>
  <c r="M342" i="1"/>
  <c r="M342" i="15" s="1"/>
  <c r="N342" i="15" s="1" a="1"/>
  <c r="N342" i="15" s="1"/>
  <c r="R343" i="15"/>
  <c r="F344" i="1" a="1"/>
  <c r="F344" i="1" s="1"/>
  <c r="I344" i="1" a="1"/>
  <c r="I344" i="1" s="1"/>
  <c r="M344" i="1"/>
  <c r="M344" i="15" s="1"/>
  <c r="N344" i="15" s="1" a="1"/>
  <c r="N344" i="15" s="1"/>
  <c r="R345" i="15"/>
  <c r="F346" i="1" a="1"/>
  <c r="F346" i="1" s="1"/>
  <c r="I346" i="1" a="1"/>
  <c r="I346" i="1" s="1"/>
  <c r="M346" i="1"/>
  <c r="M346" i="15" s="1"/>
  <c r="N346" i="15" s="1" a="1"/>
  <c r="N346" i="15" s="1"/>
  <c r="R347" i="15"/>
  <c r="F348" i="1" a="1"/>
  <c r="F348" i="1" s="1"/>
  <c r="I348" i="1" a="1"/>
  <c r="I348" i="1" s="1"/>
  <c r="M348" i="1"/>
  <c r="M348" i="15" s="1"/>
  <c r="N348" i="15" s="1" a="1"/>
  <c r="N348" i="15" s="1"/>
  <c r="R349" i="15"/>
  <c r="F350" i="1" a="1"/>
  <c r="F350" i="1" s="1"/>
  <c r="I350" i="1" a="1"/>
  <c r="I350" i="1" s="1"/>
  <c r="M350" i="1"/>
  <c r="M350" i="15" s="1"/>
  <c r="N350" i="15" s="1" a="1"/>
  <c r="N350" i="15" s="1"/>
  <c r="R351" i="15"/>
  <c r="F352" i="1" a="1"/>
  <c r="F352" i="1" s="1"/>
  <c r="I352" i="1" a="1"/>
  <c r="I352" i="1" s="1"/>
  <c r="M352" i="1"/>
  <c r="M352" i="15" s="1"/>
  <c r="N352" i="15" s="1" a="1"/>
  <c r="N352" i="15" s="1"/>
  <c r="R353" i="15"/>
  <c r="F354" i="1" a="1"/>
  <c r="F354" i="1" s="1"/>
  <c r="I354" i="1" a="1"/>
  <c r="I354" i="1" s="1"/>
  <c r="M354" i="1"/>
  <c r="M354" i="15" s="1"/>
  <c r="N354" i="15" s="1" a="1"/>
  <c r="N354" i="15" s="1"/>
  <c r="R355" i="15"/>
  <c r="F356" i="1" a="1"/>
  <c r="F356" i="1" s="1"/>
  <c r="I356" i="1" a="1"/>
  <c r="I356" i="1" s="1"/>
  <c r="R307" i="15"/>
  <c r="J307" i="1" a="1"/>
  <c r="J307" i="1" s="1"/>
  <c r="R308" i="15"/>
  <c r="J308" i="1" a="1"/>
  <c r="J308" i="1" s="1"/>
  <c r="G309" i="1" a="1"/>
  <c r="G309" i="1" s="1"/>
  <c r="J309" i="15" s="1"/>
  <c r="I310" i="1" a="1"/>
  <c r="I310" i="1" s="1"/>
  <c r="R311" i="15"/>
  <c r="I311" i="1" a="1"/>
  <c r="I311" i="1" s="1"/>
  <c r="C312" i="1" a="1"/>
  <c r="C312" i="1" s="1"/>
  <c r="E312" i="15" s="1"/>
  <c r="R312" i="15"/>
  <c r="I312" i="1" a="1"/>
  <c r="I312" i="1" s="1"/>
  <c r="M312" i="1"/>
  <c r="M312" i="15" s="1"/>
  <c r="N312" i="15" s="1" a="1"/>
  <c r="N312" i="15" s="1"/>
  <c r="F313" i="1" a="1"/>
  <c r="F313" i="1" s="1"/>
  <c r="F314" i="1" a="1"/>
  <c r="F314" i="1" s="1"/>
  <c r="J314" i="1" a="1"/>
  <c r="J314" i="1" s="1"/>
  <c r="N314" i="1" a="1"/>
  <c r="N314" i="1" s="1"/>
  <c r="S314" i="15" s="1"/>
  <c r="F315" i="1" a="1"/>
  <c r="F315" i="1" s="1"/>
  <c r="J315" i="1" a="1"/>
  <c r="J315" i="1" s="1"/>
  <c r="N315" i="1" a="1"/>
  <c r="N315" i="1" s="1"/>
  <c r="S315" i="15" s="1"/>
  <c r="R316" i="15"/>
  <c r="J316" i="1" a="1"/>
  <c r="J316" i="1" s="1"/>
  <c r="R317" i="15"/>
  <c r="I317" i="1" a="1"/>
  <c r="I317" i="1" s="1"/>
  <c r="M318" i="1"/>
  <c r="M318" i="15" s="1"/>
  <c r="N318" i="15" s="1" a="1"/>
  <c r="N318" i="15" s="1"/>
  <c r="C319" i="1" a="1"/>
  <c r="C319" i="1" s="1"/>
  <c r="E319" i="15" s="1"/>
  <c r="G319" i="1" a="1"/>
  <c r="G319" i="1" s="1"/>
  <c r="J319" i="15" s="1"/>
  <c r="G320" i="1" a="1"/>
  <c r="G320" i="1" s="1"/>
  <c r="J320" i="15" s="1"/>
  <c r="J320" i="1" a="1"/>
  <c r="J320" i="1" s="1"/>
  <c r="C321" i="1" a="1"/>
  <c r="C321" i="1" s="1"/>
  <c r="E321" i="15" s="1"/>
  <c r="R321" i="15"/>
  <c r="I321" i="1" a="1"/>
  <c r="I321" i="1" s="1"/>
  <c r="N321" i="1" a="1"/>
  <c r="N321" i="1" s="1"/>
  <c r="S321" i="15" s="1"/>
  <c r="F323" i="1" a="1"/>
  <c r="F323" i="1" s="1"/>
  <c r="J323" i="1" a="1"/>
  <c r="J323" i="1" s="1"/>
  <c r="C324" i="1" a="1"/>
  <c r="C324" i="1" s="1"/>
  <c r="E324" i="15" s="1"/>
  <c r="R324" i="15"/>
  <c r="I324" i="1" a="1"/>
  <c r="I324" i="1" s="1"/>
  <c r="R325" i="15"/>
  <c r="C326" i="1" a="1"/>
  <c r="C326" i="1" s="1"/>
  <c r="E326" i="15" s="1"/>
  <c r="R326" i="15"/>
  <c r="I326" i="1" a="1"/>
  <c r="I326" i="1" s="1"/>
  <c r="R327" i="15"/>
  <c r="N327" i="1" a="1"/>
  <c r="N327" i="1" s="1"/>
  <c r="S327" i="15" s="1"/>
  <c r="G328" i="1" a="1"/>
  <c r="G328" i="1" s="1"/>
  <c r="J328" i="15" s="1"/>
  <c r="J328" i="1" a="1"/>
  <c r="J328" i="1" s="1"/>
  <c r="C329" i="1" a="1"/>
  <c r="C329" i="1" s="1"/>
  <c r="E329" i="15" s="1"/>
  <c r="R329" i="15"/>
  <c r="N329" i="1" a="1"/>
  <c r="N329" i="1" s="1"/>
  <c r="S329" i="15" s="1"/>
  <c r="R331" i="15"/>
  <c r="N331" i="1" a="1"/>
  <c r="N331" i="1" s="1"/>
  <c r="S331" i="15" s="1"/>
  <c r="G332" i="1" a="1"/>
  <c r="G332" i="1" s="1"/>
  <c r="J332" i="15" s="1"/>
  <c r="N332" i="1" a="1"/>
  <c r="N332" i="1" s="1"/>
  <c r="S332" i="15" s="1"/>
  <c r="M334" i="1"/>
  <c r="M334" i="15" s="1"/>
  <c r="N334" i="15" s="1" a="1"/>
  <c r="N334" i="15" s="1"/>
  <c r="R335" i="15"/>
  <c r="N335" i="1" a="1"/>
  <c r="N335" i="1" s="1"/>
  <c r="S335" i="15" s="1"/>
  <c r="G336" i="1" a="1"/>
  <c r="G336" i="1" s="1"/>
  <c r="J336" i="15" s="1"/>
  <c r="N336" i="1" a="1"/>
  <c r="N336" i="1" s="1"/>
  <c r="S336" i="15" s="1"/>
  <c r="G337" i="1" a="1"/>
  <c r="G337" i="1" s="1"/>
  <c r="J337" i="15" s="1"/>
  <c r="N337" i="1" a="1"/>
  <c r="N337" i="1" s="1"/>
  <c r="S337" i="15" s="1"/>
  <c r="N338" i="1" a="1"/>
  <c r="N338" i="1" s="1"/>
  <c r="S338" i="15" s="1"/>
  <c r="N339" i="1" a="1"/>
  <c r="N339" i="1" s="1"/>
  <c r="S339" i="15" s="1"/>
  <c r="G340" i="1" a="1"/>
  <c r="G340" i="1" s="1"/>
  <c r="J340" i="15" s="1"/>
  <c r="J340" i="1" a="1"/>
  <c r="J340" i="1" s="1"/>
  <c r="C341" i="1" a="1"/>
  <c r="C341" i="1" s="1"/>
  <c r="E341" i="15" s="1"/>
  <c r="N341" i="1" a="1"/>
  <c r="N341" i="1" s="1"/>
  <c r="S341" i="15" s="1"/>
  <c r="G342" i="1" a="1"/>
  <c r="G342" i="1" s="1"/>
  <c r="J342" i="15" s="1"/>
  <c r="J342" i="1" a="1"/>
  <c r="J342" i="1" s="1"/>
  <c r="C343" i="1" a="1"/>
  <c r="C343" i="1" s="1"/>
  <c r="E343" i="15" s="1"/>
  <c r="N343" i="1" a="1"/>
  <c r="N343" i="1" s="1"/>
  <c r="S343" i="15" s="1"/>
  <c r="G344" i="1" a="1"/>
  <c r="G344" i="1" s="1"/>
  <c r="J344" i="15" s="1"/>
  <c r="J344" i="1" a="1"/>
  <c r="J344" i="1" s="1"/>
  <c r="C345" i="1" a="1"/>
  <c r="C345" i="1" s="1"/>
  <c r="E345" i="15" s="1"/>
  <c r="N345" i="1" a="1"/>
  <c r="N345" i="1" s="1"/>
  <c r="S345" i="15" s="1"/>
  <c r="G346" i="1" a="1"/>
  <c r="G346" i="1" s="1"/>
  <c r="J346" i="15" s="1"/>
  <c r="J346" i="1" a="1"/>
  <c r="J346" i="1" s="1"/>
  <c r="C347" i="1" a="1"/>
  <c r="C347" i="1" s="1"/>
  <c r="E347" i="15" s="1"/>
  <c r="N347" i="1" a="1"/>
  <c r="N347" i="1" s="1"/>
  <c r="S347" i="15" s="1"/>
  <c r="G348" i="1" a="1"/>
  <c r="G348" i="1" s="1"/>
  <c r="J348" i="15" s="1"/>
  <c r="J348" i="1" a="1"/>
  <c r="J348" i="1" s="1"/>
  <c r="C349" i="1" a="1"/>
  <c r="C349" i="1" s="1"/>
  <c r="E349" i="15" s="1"/>
  <c r="N349" i="1" a="1"/>
  <c r="N349" i="1" s="1"/>
  <c r="S349" i="15" s="1"/>
  <c r="G350" i="1" a="1"/>
  <c r="G350" i="1" s="1"/>
  <c r="J350" i="15" s="1"/>
  <c r="J350" i="1" a="1"/>
  <c r="J350" i="1" s="1"/>
  <c r="C351" i="1" a="1"/>
  <c r="C351" i="1" s="1"/>
  <c r="E351" i="15" s="1"/>
  <c r="N351" i="1" a="1"/>
  <c r="N351" i="1" s="1"/>
  <c r="S351" i="15" s="1"/>
  <c r="G352" i="1" a="1"/>
  <c r="G352" i="1" s="1"/>
  <c r="J352" i="15" s="1"/>
  <c r="J352" i="1" a="1"/>
  <c r="J352" i="1" s="1"/>
  <c r="C353" i="1" a="1"/>
  <c r="C353" i="1" s="1"/>
  <c r="E353" i="15" s="1"/>
  <c r="N353" i="1" a="1"/>
  <c r="N353" i="1" s="1"/>
  <c r="S353" i="15" s="1"/>
  <c r="G354" i="1" a="1"/>
  <c r="G354" i="1" s="1"/>
  <c r="J354" i="15" s="1"/>
  <c r="J354" i="1" a="1"/>
  <c r="J354" i="1" s="1"/>
  <c r="J347" i="1" a="1"/>
  <c r="J347" i="1" s="1"/>
  <c r="N348" i="1" a="1"/>
  <c r="N348" i="1" s="1"/>
  <c r="S348" i="15" s="1"/>
  <c r="C350" i="1" a="1"/>
  <c r="C350" i="1" s="1"/>
  <c r="E350" i="15" s="1"/>
  <c r="I351" i="1" a="1"/>
  <c r="I351" i="1" s="1"/>
  <c r="R354" i="15"/>
  <c r="I355" i="1" a="1"/>
  <c r="I355" i="1" s="1"/>
  <c r="N356" i="1" a="1"/>
  <c r="N356" i="1" s="1"/>
  <c r="S356" i="15" s="1"/>
  <c r="G357" i="1" a="1"/>
  <c r="G357" i="1" s="1"/>
  <c r="J357" i="15" s="1"/>
  <c r="J357" i="1" a="1"/>
  <c r="J357" i="1" s="1"/>
  <c r="C358" i="1" a="1"/>
  <c r="C358" i="1" s="1"/>
  <c r="E358" i="15" s="1"/>
  <c r="N358" i="1" a="1"/>
  <c r="N358" i="1" s="1"/>
  <c r="S358" i="15" s="1"/>
  <c r="G359" i="1" a="1"/>
  <c r="G359" i="1" s="1"/>
  <c r="J359" i="15" s="1"/>
  <c r="J359" i="1" a="1"/>
  <c r="J359" i="1" s="1"/>
  <c r="C360" i="1" a="1"/>
  <c r="C360" i="1" s="1"/>
  <c r="E360" i="15" s="1"/>
  <c r="N360" i="1" a="1"/>
  <c r="N360" i="1" s="1"/>
  <c r="S360" i="15" s="1"/>
  <c r="G361" i="1" a="1"/>
  <c r="G361" i="1" s="1"/>
  <c r="J361" i="15" s="1"/>
  <c r="J361" i="1" a="1"/>
  <c r="J361" i="1" s="1"/>
  <c r="C362" i="1" a="1"/>
  <c r="C362" i="1" s="1"/>
  <c r="E362" i="15" s="1"/>
  <c r="N362" i="1" a="1"/>
  <c r="N362" i="1" s="1"/>
  <c r="S362" i="15" s="1"/>
  <c r="G363" i="1" a="1"/>
  <c r="G363" i="1" s="1"/>
  <c r="J363" i="15" s="1"/>
  <c r="J363" i="1" a="1"/>
  <c r="J363" i="1" s="1"/>
  <c r="C364" i="1" a="1"/>
  <c r="C364" i="1" s="1"/>
  <c r="E364" i="15" s="1"/>
  <c r="N364" i="1" a="1"/>
  <c r="N364" i="1" s="1"/>
  <c r="S364" i="15" s="1"/>
  <c r="G365" i="1" a="1"/>
  <c r="G365" i="1" s="1"/>
  <c r="J365" i="15" s="1"/>
  <c r="J365" i="1" a="1"/>
  <c r="J365" i="1" s="1"/>
  <c r="C366" i="1" a="1"/>
  <c r="C366" i="1" s="1"/>
  <c r="E366" i="15" s="1"/>
  <c r="N366" i="1" a="1"/>
  <c r="N366" i="1" s="1"/>
  <c r="S366" i="15" s="1"/>
  <c r="G367" i="1" a="1"/>
  <c r="G367" i="1" s="1"/>
  <c r="J367" i="15" s="1"/>
  <c r="J367" i="1" a="1"/>
  <c r="J367" i="1" s="1"/>
  <c r="C368" i="1" a="1"/>
  <c r="C368" i="1" s="1"/>
  <c r="E368" i="15" s="1"/>
  <c r="N368" i="1" a="1"/>
  <c r="N368" i="1" s="1"/>
  <c r="S368" i="15" s="1"/>
  <c r="G369" i="1" a="1"/>
  <c r="G369" i="1" s="1"/>
  <c r="J369" i="15" s="1"/>
  <c r="J369" i="1" a="1"/>
  <c r="J369" i="1" s="1"/>
  <c r="C370" i="1" a="1"/>
  <c r="C370" i="1" s="1"/>
  <c r="E370" i="15" s="1"/>
  <c r="N370" i="1" a="1"/>
  <c r="N370" i="1" s="1"/>
  <c r="S370" i="15" s="1"/>
  <c r="G371" i="1" a="1"/>
  <c r="G371" i="1" s="1"/>
  <c r="J371" i="15" s="1"/>
  <c r="J371" i="1" a="1"/>
  <c r="J371" i="1" s="1"/>
  <c r="C372" i="1" a="1"/>
  <c r="C372" i="1" s="1"/>
  <c r="E372" i="15" s="1"/>
  <c r="N372" i="1" a="1"/>
  <c r="N372" i="1" s="1"/>
  <c r="S372" i="15" s="1"/>
  <c r="G373" i="1" a="1"/>
  <c r="G373" i="1" s="1"/>
  <c r="J373" i="15" s="1"/>
  <c r="J373" i="1" a="1"/>
  <c r="J373" i="1" s="1"/>
  <c r="C374" i="1" a="1"/>
  <c r="C374" i="1" s="1"/>
  <c r="E374" i="15" s="1"/>
  <c r="N374" i="1" a="1"/>
  <c r="N374" i="1" s="1"/>
  <c r="S374" i="15" s="1"/>
  <c r="G375" i="1" a="1"/>
  <c r="G375" i="1" s="1"/>
  <c r="J375" i="15" s="1"/>
  <c r="J375" i="1" a="1"/>
  <c r="J375" i="1" s="1"/>
  <c r="C376" i="1" a="1"/>
  <c r="C376" i="1" s="1"/>
  <c r="E376" i="15" s="1"/>
  <c r="N376" i="1" a="1"/>
  <c r="N376" i="1" s="1"/>
  <c r="S376" i="15" s="1"/>
  <c r="G377" i="1" a="1"/>
  <c r="G377" i="1" s="1"/>
  <c r="J377" i="15" s="1"/>
  <c r="J377" i="1" a="1"/>
  <c r="J377" i="1" s="1"/>
  <c r="C378" i="1" a="1"/>
  <c r="C378" i="1" s="1"/>
  <c r="E378" i="15" s="1"/>
  <c r="N378" i="1" a="1"/>
  <c r="N378" i="1" s="1"/>
  <c r="S378" i="15" s="1"/>
  <c r="G379" i="1" a="1"/>
  <c r="G379" i="1" s="1"/>
  <c r="J379" i="15" s="1"/>
  <c r="J379" i="1" a="1"/>
  <c r="J379" i="1" s="1"/>
  <c r="C380" i="1" a="1"/>
  <c r="C380" i="1" s="1"/>
  <c r="E380" i="15" s="1"/>
  <c r="N380" i="1" a="1"/>
  <c r="N380" i="1" s="1"/>
  <c r="S380" i="15" s="1"/>
  <c r="G381" i="1" a="1"/>
  <c r="G381" i="1" s="1"/>
  <c r="J381" i="15" s="1"/>
  <c r="J381" i="1" a="1"/>
  <c r="J381" i="1" s="1"/>
  <c r="C382" i="1" a="1"/>
  <c r="C382" i="1" s="1"/>
  <c r="E382" i="15" s="1"/>
  <c r="N382" i="1" a="1"/>
  <c r="N382" i="1" s="1"/>
  <c r="S382" i="15" s="1"/>
  <c r="G383" i="1" a="1"/>
  <c r="G383" i="1" s="1"/>
  <c r="J383" i="15" s="1"/>
  <c r="J383" i="1" a="1"/>
  <c r="J383" i="1" s="1"/>
  <c r="C384" i="1" a="1"/>
  <c r="C384" i="1" s="1"/>
  <c r="E384" i="15" s="1"/>
  <c r="N384" i="1" a="1"/>
  <c r="N384" i="1" s="1"/>
  <c r="S384" i="15" s="1"/>
  <c r="G385" i="1" a="1"/>
  <c r="G385" i="1" s="1"/>
  <c r="J385" i="15" s="1"/>
  <c r="J385" i="1" a="1"/>
  <c r="J385" i="1" s="1"/>
  <c r="C386" i="1" a="1"/>
  <c r="C386" i="1" s="1"/>
  <c r="E386" i="15" s="1"/>
  <c r="L386" i="1" a="1"/>
  <c r="L386" i="1" s="1"/>
  <c r="N386" i="1" a="1"/>
  <c r="N386" i="1" s="1"/>
  <c r="S386" i="15" s="1"/>
  <c r="G387" i="1" a="1"/>
  <c r="G387" i="1" s="1"/>
  <c r="J387" i="15" s="1"/>
  <c r="J387" i="1" a="1"/>
  <c r="J387" i="1" s="1"/>
  <c r="C388" i="1" a="1"/>
  <c r="C388" i="1" s="1"/>
  <c r="E388" i="15" s="1"/>
  <c r="L388" i="1" a="1"/>
  <c r="L388" i="1" s="1"/>
  <c r="N388" i="1" a="1"/>
  <c r="N388" i="1" s="1"/>
  <c r="S388" i="15" s="1"/>
  <c r="F389" i="1" a="1"/>
  <c r="F389" i="1" s="1"/>
  <c r="M389" i="1"/>
  <c r="M389" i="15" s="1"/>
  <c r="N389" i="15" s="1" a="1"/>
  <c r="N389" i="15" s="1"/>
  <c r="C390" i="1" a="1"/>
  <c r="C390" i="1" s="1"/>
  <c r="E390" i="15" s="1"/>
  <c r="I390" i="1" a="1"/>
  <c r="I390" i="1" s="1"/>
  <c r="C392" i="1" a="1"/>
  <c r="C392" i="1" s="1"/>
  <c r="E392" i="15" s="1"/>
  <c r="F392" i="1" a="1"/>
  <c r="F392" i="1" s="1"/>
  <c r="J392" i="1" a="1"/>
  <c r="J392" i="1" s="1"/>
  <c r="G345" i="1" a="1"/>
  <c r="G345" i="1" s="1"/>
  <c r="J345" i="15" s="1"/>
  <c r="J349" i="1" a="1"/>
  <c r="J349" i="1" s="1"/>
  <c r="N350" i="1" a="1"/>
  <c r="N350" i="1" s="1"/>
  <c r="S350" i="15" s="1"/>
  <c r="F351" i="1" a="1"/>
  <c r="F351" i="1" s="1"/>
  <c r="J351" i="1" a="1"/>
  <c r="J351" i="1" s="1"/>
  <c r="C352" i="1" a="1"/>
  <c r="C352" i="1" s="1"/>
  <c r="E352" i="15" s="1"/>
  <c r="I353" i="1" a="1"/>
  <c r="I353" i="1" s="1"/>
  <c r="C355" i="1" a="1"/>
  <c r="C355" i="1" s="1"/>
  <c r="E355" i="15" s="1"/>
  <c r="F355" i="1" a="1"/>
  <c r="F355" i="1" s="1"/>
  <c r="J355" i="1" a="1"/>
  <c r="J355" i="1" s="1"/>
  <c r="N355" i="1" a="1"/>
  <c r="N355" i="1" s="1"/>
  <c r="S355" i="15" s="1"/>
  <c r="R356" i="15"/>
  <c r="M356" i="1"/>
  <c r="M356" i="15" s="1"/>
  <c r="N356" i="15" s="1" a="1"/>
  <c r="N356" i="15" s="1"/>
  <c r="R357" i="15"/>
  <c r="F358" i="1" a="1"/>
  <c r="F358" i="1" s="1"/>
  <c r="I358" i="1" a="1"/>
  <c r="I358" i="1" s="1"/>
  <c r="M358" i="1"/>
  <c r="M358" i="15" s="1"/>
  <c r="N358" i="15" s="1" a="1"/>
  <c r="N358" i="15" s="1"/>
  <c r="R359" i="15"/>
  <c r="F360" i="1" a="1"/>
  <c r="F360" i="1" s="1"/>
  <c r="I360" i="1" a="1"/>
  <c r="I360" i="1" s="1"/>
  <c r="M360" i="1"/>
  <c r="M360" i="15" s="1"/>
  <c r="N360" i="15" s="1" a="1"/>
  <c r="N360" i="15" s="1"/>
  <c r="R361" i="15"/>
  <c r="F362" i="1" a="1"/>
  <c r="F362" i="1" s="1"/>
  <c r="I362" i="1" a="1"/>
  <c r="I362" i="1" s="1"/>
  <c r="M362" i="1"/>
  <c r="M362" i="15" s="1"/>
  <c r="N362" i="15" s="1" a="1"/>
  <c r="N362" i="15" s="1"/>
  <c r="R363" i="15"/>
  <c r="F364" i="1" a="1"/>
  <c r="F364" i="1" s="1"/>
  <c r="I364" i="1" a="1"/>
  <c r="I364" i="1" s="1"/>
  <c r="M364" i="1"/>
  <c r="M364" i="15" s="1"/>
  <c r="N364" i="15" s="1" a="1"/>
  <c r="N364" i="15" s="1"/>
  <c r="R365" i="15"/>
  <c r="F366" i="1" a="1"/>
  <c r="F366" i="1" s="1"/>
  <c r="I366" i="1" a="1"/>
  <c r="I366" i="1" s="1"/>
  <c r="M366" i="1"/>
  <c r="M366" i="15" s="1"/>
  <c r="N366" i="15" s="1" a="1"/>
  <c r="N366" i="15" s="1"/>
  <c r="R367" i="15"/>
  <c r="F368" i="1" a="1"/>
  <c r="F368" i="1" s="1"/>
  <c r="I368" i="1" a="1"/>
  <c r="I368" i="1" s="1"/>
  <c r="M368" i="1"/>
  <c r="M368" i="15" s="1"/>
  <c r="N368" i="15" s="1" a="1"/>
  <c r="N368" i="15" s="1"/>
  <c r="R369" i="15"/>
  <c r="F370" i="1" a="1"/>
  <c r="F370" i="1" s="1"/>
  <c r="I370" i="1" a="1"/>
  <c r="I370" i="1" s="1"/>
  <c r="M370" i="1"/>
  <c r="M370" i="15" s="1"/>
  <c r="N370" i="15" s="1" a="1"/>
  <c r="N370" i="15" s="1"/>
  <c r="R371" i="15"/>
  <c r="F372" i="1" a="1"/>
  <c r="F372" i="1" s="1"/>
  <c r="I372" i="1" a="1"/>
  <c r="I372" i="1" s="1"/>
  <c r="M372" i="1"/>
  <c r="M372" i="15" s="1"/>
  <c r="N372" i="15" s="1" a="1"/>
  <c r="N372" i="15" s="1"/>
  <c r="R373" i="15"/>
  <c r="F374" i="1" a="1"/>
  <c r="F374" i="1" s="1"/>
  <c r="I374" i="1" a="1"/>
  <c r="I374" i="1" s="1"/>
  <c r="M374" i="1"/>
  <c r="M374" i="15" s="1"/>
  <c r="N374" i="15" s="1" a="1"/>
  <c r="N374" i="15" s="1"/>
  <c r="R375" i="15"/>
  <c r="F376" i="1" a="1"/>
  <c r="F376" i="1" s="1"/>
  <c r="I376" i="1" a="1"/>
  <c r="I376" i="1" s="1"/>
  <c r="M376" i="1"/>
  <c r="M376" i="15" s="1"/>
  <c r="N376" i="15" s="1" a="1"/>
  <c r="N376" i="15" s="1"/>
  <c r="R377" i="15"/>
  <c r="F378" i="1" a="1"/>
  <c r="F378" i="1" s="1"/>
  <c r="I378" i="1" a="1"/>
  <c r="I378" i="1" s="1"/>
  <c r="M378" i="1"/>
  <c r="M378" i="15" s="1"/>
  <c r="N378" i="15" s="1" a="1"/>
  <c r="N378" i="15" s="1"/>
  <c r="R379" i="15"/>
  <c r="F380" i="1" a="1"/>
  <c r="F380" i="1" s="1"/>
  <c r="I380" i="1" a="1"/>
  <c r="I380" i="1" s="1"/>
  <c r="M380" i="1"/>
  <c r="M380" i="15" s="1"/>
  <c r="N380" i="15" s="1" a="1"/>
  <c r="N380" i="15" s="1"/>
  <c r="R381" i="15"/>
  <c r="F382" i="1" a="1"/>
  <c r="F382" i="1" s="1"/>
  <c r="I382" i="1" a="1"/>
  <c r="I382" i="1" s="1"/>
  <c r="M382" i="1"/>
  <c r="M382" i="15" s="1"/>
  <c r="N382" i="15" s="1" a="1"/>
  <c r="N382" i="15" s="1"/>
  <c r="R383" i="15"/>
  <c r="F384" i="1" a="1"/>
  <c r="F384" i="1" s="1"/>
  <c r="I384" i="1" a="1"/>
  <c r="I384" i="1" s="1"/>
  <c r="M384" i="1"/>
  <c r="M384" i="15" s="1"/>
  <c r="N384" i="15" s="1" a="1"/>
  <c r="N384" i="15" s="1"/>
  <c r="R385" i="15"/>
  <c r="F386" i="1" a="1"/>
  <c r="F386" i="1" s="1"/>
  <c r="I386" i="1" a="1"/>
  <c r="I386" i="1" s="1"/>
  <c r="M386" i="1"/>
  <c r="M386" i="15" s="1"/>
  <c r="N386" i="15" s="1" a="1"/>
  <c r="N386" i="15" s="1"/>
  <c r="R387" i="15"/>
  <c r="F388" i="1" a="1"/>
  <c r="F388" i="1" s="1"/>
  <c r="I388" i="1" a="1"/>
  <c r="I388" i="1" s="1"/>
  <c r="M388" i="1"/>
  <c r="M388" i="15" s="1"/>
  <c r="N388" i="15" s="1" a="1"/>
  <c r="N388" i="15" s="1"/>
  <c r="G389" i="1" a="1"/>
  <c r="G389" i="1" s="1"/>
  <c r="J389" i="15" s="1"/>
  <c r="J389" i="1" a="1"/>
  <c r="J389" i="1" s="1"/>
  <c r="F390" i="1" a="1"/>
  <c r="F390" i="1" s="1"/>
  <c r="J390" i="1" a="1"/>
  <c r="J390" i="1" s="1"/>
  <c r="M390" i="1"/>
  <c r="M390" i="15" s="1"/>
  <c r="N390" i="15" s="1" a="1"/>
  <c r="N390" i="15" s="1"/>
  <c r="R391" i="15"/>
  <c r="G392" i="1" a="1"/>
  <c r="G392" i="1" s="1"/>
  <c r="J392" i="15" s="1"/>
  <c r="I393" i="1" a="1"/>
  <c r="I393" i="1" s="1"/>
  <c r="L393" i="1" a="1"/>
  <c r="L393" i="1" s="1"/>
  <c r="G394" i="1" a="1"/>
  <c r="G394" i="1" s="1"/>
  <c r="J394" i="15" s="1"/>
  <c r="C395" i="1" a="1"/>
  <c r="C395" i="1" s="1"/>
  <c r="E395" i="15" s="1"/>
  <c r="F395" i="1" a="1"/>
  <c r="F395" i="1" s="1"/>
  <c r="N344" i="1" a="1"/>
  <c r="N344" i="1" s="1"/>
  <c r="S344" i="15" s="1"/>
  <c r="C346" i="1" a="1"/>
  <c r="C346" i="1" s="1"/>
  <c r="E346" i="15" s="1"/>
  <c r="G347" i="1" a="1"/>
  <c r="G347" i="1" s="1"/>
  <c r="J347" i="15" s="1"/>
  <c r="R350" i="15"/>
  <c r="G351" i="1" a="1"/>
  <c r="G351" i="1" s="1"/>
  <c r="J351" i="15" s="1"/>
  <c r="M351" i="1"/>
  <c r="M351" i="15" s="1"/>
  <c r="N351" i="15" s="1" a="1"/>
  <c r="N351" i="15" s="1"/>
  <c r="N352" i="1" a="1"/>
  <c r="N352" i="1" s="1"/>
  <c r="S352" i="15" s="1"/>
  <c r="F353" i="1" a="1"/>
  <c r="F353" i="1" s="1"/>
  <c r="J353" i="1" a="1"/>
  <c r="J353" i="1" s="1"/>
  <c r="C354" i="1" a="1"/>
  <c r="C354" i="1" s="1"/>
  <c r="E354" i="15" s="1"/>
  <c r="G355" i="1" a="1"/>
  <c r="G355" i="1" s="1"/>
  <c r="J355" i="15" s="1"/>
  <c r="J356" i="1" a="1"/>
  <c r="J356" i="1" s="1"/>
  <c r="C357" i="1" a="1"/>
  <c r="C357" i="1" s="1"/>
  <c r="E357" i="15" s="1"/>
  <c r="N357" i="1" a="1"/>
  <c r="N357" i="1" s="1"/>
  <c r="S357" i="15" s="1"/>
  <c r="G358" i="1" a="1"/>
  <c r="G358" i="1" s="1"/>
  <c r="J358" i="15" s="1"/>
  <c r="J358" i="1" a="1"/>
  <c r="J358" i="1" s="1"/>
  <c r="C359" i="1" a="1"/>
  <c r="C359" i="1" s="1"/>
  <c r="E359" i="15" s="1"/>
  <c r="N359" i="1" a="1"/>
  <c r="N359" i="1" s="1"/>
  <c r="S359" i="15" s="1"/>
  <c r="G360" i="1" a="1"/>
  <c r="G360" i="1" s="1"/>
  <c r="J360" i="15" s="1"/>
  <c r="J360" i="1" a="1"/>
  <c r="J360" i="1" s="1"/>
  <c r="C361" i="1" a="1"/>
  <c r="C361" i="1" s="1"/>
  <c r="E361" i="15" s="1"/>
  <c r="N361" i="1" a="1"/>
  <c r="N361" i="1" s="1"/>
  <c r="S361" i="15" s="1"/>
  <c r="G362" i="1" a="1"/>
  <c r="G362" i="1" s="1"/>
  <c r="J362" i="15" s="1"/>
  <c r="J362" i="1" a="1"/>
  <c r="J362" i="1" s="1"/>
  <c r="C363" i="1" a="1"/>
  <c r="C363" i="1" s="1"/>
  <c r="E363" i="15" s="1"/>
  <c r="N363" i="1" a="1"/>
  <c r="N363" i="1" s="1"/>
  <c r="S363" i="15" s="1"/>
  <c r="G364" i="1" a="1"/>
  <c r="G364" i="1" s="1"/>
  <c r="J364" i="15" s="1"/>
  <c r="J364" i="1" a="1"/>
  <c r="J364" i="1" s="1"/>
  <c r="C365" i="1" a="1"/>
  <c r="C365" i="1" s="1"/>
  <c r="E365" i="15" s="1"/>
  <c r="N365" i="1" a="1"/>
  <c r="N365" i="1" s="1"/>
  <c r="S365" i="15" s="1"/>
  <c r="G366" i="1" a="1"/>
  <c r="G366" i="1" s="1"/>
  <c r="J366" i="15" s="1"/>
  <c r="J366" i="1" a="1"/>
  <c r="J366" i="1" s="1"/>
  <c r="C367" i="1" a="1"/>
  <c r="C367" i="1" s="1"/>
  <c r="E367" i="15" s="1"/>
  <c r="N367" i="1" a="1"/>
  <c r="N367" i="1" s="1"/>
  <c r="S367" i="15" s="1"/>
  <c r="G368" i="1" a="1"/>
  <c r="G368" i="1" s="1"/>
  <c r="J368" i="15" s="1"/>
  <c r="J368" i="1" a="1"/>
  <c r="J368" i="1" s="1"/>
  <c r="C369" i="1" a="1"/>
  <c r="C369" i="1" s="1"/>
  <c r="E369" i="15" s="1"/>
  <c r="N369" i="1" a="1"/>
  <c r="N369" i="1" s="1"/>
  <c r="S369" i="15" s="1"/>
  <c r="G370" i="1" a="1"/>
  <c r="G370" i="1" s="1"/>
  <c r="J370" i="15" s="1"/>
  <c r="J370" i="1" a="1"/>
  <c r="J370" i="1" s="1"/>
  <c r="C371" i="1" a="1"/>
  <c r="C371" i="1" s="1"/>
  <c r="E371" i="15" s="1"/>
  <c r="N371" i="1" a="1"/>
  <c r="N371" i="1" s="1"/>
  <c r="S371" i="15" s="1"/>
  <c r="G372" i="1" a="1"/>
  <c r="G372" i="1" s="1"/>
  <c r="J372" i="15" s="1"/>
  <c r="J372" i="1" a="1"/>
  <c r="J372" i="1" s="1"/>
  <c r="C373" i="1" a="1"/>
  <c r="C373" i="1" s="1"/>
  <c r="E373" i="15" s="1"/>
  <c r="N373" i="1" a="1"/>
  <c r="N373" i="1" s="1"/>
  <c r="S373" i="15" s="1"/>
  <c r="G374" i="1" a="1"/>
  <c r="G374" i="1" s="1"/>
  <c r="J374" i="15" s="1"/>
  <c r="J374" i="1" a="1"/>
  <c r="J374" i="1" s="1"/>
  <c r="C375" i="1" a="1"/>
  <c r="C375" i="1" s="1"/>
  <c r="E375" i="15" s="1"/>
  <c r="N375" i="1" a="1"/>
  <c r="N375" i="1" s="1"/>
  <c r="S375" i="15" s="1"/>
  <c r="G376" i="1" a="1"/>
  <c r="G376" i="1" s="1"/>
  <c r="J376" i="15" s="1"/>
  <c r="J376" i="1" a="1"/>
  <c r="J376" i="1" s="1"/>
  <c r="C377" i="1" a="1"/>
  <c r="C377" i="1" s="1"/>
  <c r="E377" i="15" s="1"/>
  <c r="N377" i="1" a="1"/>
  <c r="N377" i="1" s="1"/>
  <c r="S377" i="15" s="1"/>
  <c r="G378" i="1" a="1"/>
  <c r="G378" i="1" s="1"/>
  <c r="J378" i="15" s="1"/>
  <c r="J378" i="1" a="1"/>
  <c r="J378" i="1" s="1"/>
  <c r="C379" i="1" a="1"/>
  <c r="C379" i="1" s="1"/>
  <c r="E379" i="15" s="1"/>
  <c r="N379" i="1" a="1"/>
  <c r="N379" i="1" s="1"/>
  <c r="S379" i="15" s="1"/>
  <c r="G380" i="1" a="1"/>
  <c r="G380" i="1" s="1"/>
  <c r="J380" i="15" s="1"/>
  <c r="J380" i="1" a="1"/>
  <c r="J380" i="1" s="1"/>
  <c r="C381" i="1" a="1"/>
  <c r="C381" i="1" s="1"/>
  <c r="E381" i="15" s="1"/>
  <c r="N381" i="1" a="1"/>
  <c r="N381" i="1" s="1"/>
  <c r="S381" i="15" s="1"/>
  <c r="G382" i="1" a="1"/>
  <c r="G382" i="1" s="1"/>
  <c r="J382" i="15" s="1"/>
  <c r="J382" i="1" a="1"/>
  <c r="J382" i="1" s="1"/>
  <c r="C383" i="1" a="1"/>
  <c r="C383" i="1" s="1"/>
  <c r="E383" i="15" s="1"/>
  <c r="N383" i="1" a="1"/>
  <c r="N383" i="1" s="1"/>
  <c r="S383" i="15" s="1"/>
  <c r="G384" i="1" a="1"/>
  <c r="G384" i="1" s="1"/>
  <c r="J384" i="15" s="1"/>
  <c r="J384" i="1" a="1"/>
  <c r="J384" i="1" s="1"/>
  <c r="C385" i="1" a="1"/>
  <c r="C385" i="1" s="1"/>
  <c r="E385" i="15" s="1"/>
  <c r="N385" i="1" a="1"/>
  <c r="N385" i="1" s="1"/>
  <c r="S385" i="15" s="1"/>
  <c r="J345" i="1" a="1"/>
  <c r="J345" i="1" s="1"/>
  <c r="N346" i="1" a="1"/>
  <c r="N346" i="1" s="1"/>
  <c r="S346" i="15" s="1"/>
  <c r="C348" i="1" a="1"/>
  <c r="C348" i="1" s="1"/>
  <c r="E348" i="15" s="1"/>
  <c r="G349" i="1" a="1"/>
  <c r="G349" i="1" s="1"/>
  <c r="J349" i="15" s="1"/>
  <c r="R352" i="15"/>
  <c r="G353" i="1" a="1"/>
  <c r="G353" i="1" s="1"/>
  <c r="J353" i="15" s="1"/>
  <c r="M353" i="1"/>
  <c r="M353" i="15" s="1"/>
  <c r="N353" i="15" s="1" a="1"/>
  <c r="N353" i="15" s="1"/>
  <c r="N354" i="1" a="1"/>
  <c r="N354" i="1" s="1"/>
  <c r="S354" i="15" s="1"/>
  <c r="M355" i="1"/>
  <c r="M355" i="15" s="1"/>
  <c r="N355" i="15" s="1" a="1"/>
  <c r="N355" i="15" s="1"/>
  <c r="C356" i="1" a="1"/>
  <c r="C356" i="1" s="1"/>
  <c r="E356" i="15" s="1"/>
  <c r="G356" i="1" a="1"/>
  <c r="G356" i="1" s="1"/>
  <c r="J356" i="15" s="1"/>
  <c r="F357" i="1" a="1"/>
  <c r="F357" i="1" s="1"/>
  <c r="I357" i="1" a="1"/>
  <c r="I357" i="1" s="1"/>
  <c r="M357" i="1"/>
  <c r="M357" i="15" s="1"/>
  <c r="N357" i="15" s="1" a="1"/>
  <c r="N357" i="15" s="1"/>
  <c r="R358" i="15"/>
  <c r="F359" i="1" a="1"/>
  <c r="F359" i="1" s="1"/>
  <c r="I359" i="1" a="1"/>
  <c r="I359" i="1" s="1"/>
  <c r="M359" i="1"/>
  <c r="M359" i="15" s="1"/>
  <c r="N359" i="15" s="1" a="1"/>
  <c r="N359" i="15" s="1"/>
  <c r="R360" i="15"/>
  <c r="F361" i="1" a="1"/>
  <c r="F361" i="1" s="1"/>
  <c r="I361" i="1" a="1"/>
  <c r="I361" i="1" s="1"/>
  <c r="M361" i="1"/>
  <c r="M361" i="15" s="1"/>
  <c r="N361" i="15" s="1" a="1"/>
  <c r="N361" i="15" s="1"/>
  <c r="R362" i="15"/>
  <c r="F363" i="1" a="1"/>
  <c r="F363" i="1" s="1"/>
  <c r="I363" i="1" a="1"/>
  <c r="I363" i="1" s="1"/>
  <c r="M363" i="1"/>
  <c r="M363" i="15" s="1"/>
  <c r="N363" i="15" s="1" a="1"/>
  <c r="N363" i="15" s="1"/>
  <c r="R364" i="15"/>
  <c r="F365" i="1" a="1"/>
  <c r="F365" i="1" s="1"/>
  <c r="I365" i="1" a="1"/>
  <c r="I365" i="1" s="1"/>
  <c r="M365" i="1"/>
  <c r="M365" i="15" s="1"/>
  <c r="N365" i="15" s="1" a="1"/>
  <c r="N365" i="15" s="1"/>
  <c r="R366" i="15"/>
  <c r="F367" i="1" a="1"/>
  <c r="F367" i="1" s="1"/>
  <c r="I367" i="1" a="1"/>
  <c r="I367" i="1" s="1"/>
  <c r="M367" i="1"/>
  <c r="M367" i="15" s="1"/>
  <c r="N367" i="15" s="1" a="1"/>
  <c r="N367" i="15" s="1"/>
  <c r="R368" i="15"/>
  <c r="F369" i="1" a="1"/>
  <c r="F369" i="1" s="1"/>
  <c r="I369" i="1" a="1"/>
  <c r="I369" i="1" s="1"/>
  <c r="M369" i="1"/>
  <c r="M369" i="15" s="1"/>
  <c r="N369" i="15" s="1" a="1"/>
  <c r="N369" i="15" s="1"/>
  <c r="R370" i="15"/>
  <c r="F371" i="1" a="1"/>
  <c r="F371" i="1" s="1"/>
  <c r="I371" i="1" a="1"/>
  <c r="I371" i="1" s="1"/>
  <c r="M371" i="1"/>
  <c r="M371" i="15" s="1"/>
  <c r="N371" i="15" s="1" a="1"/>
  <c r="N371" i="15" s="1"/>
  <c r="R372" i="15"/>
  <c r="F373" i="1" a="1"/>
  <c r="F373" i="1" s="1"/>
  <c r="I373" i="1" a="1"/>
  <c r="I373" i="1" s="1"/>
  <c r="M373" i="1"/>
  <c r="M373" i="15" s="1"/>
  <c r="N373" i="15" s="1" a="1"/>
  <c r="N373" i="15" s="1"/>
  <c r="R374" i="15"/>
  <c r="F375" i="1" a="1"/>
  <c r="F375" i="1" s="1"/>
  <c r="I375" i="1" a="1"/>
  <c r="I375" i="1" s="1"/>
  <c r="M375" i="1"/>
  <c r="M375" i="15" s="1"/>
  <c r="N375" i="15" s="1" a="1"/>
  <c r="N375" i="15" s="1"/>
  <c r="R376" i="15"/>
  <c r="F377" i="1" a="1"/>
  <c r="F377" i="1" s="1"/>
  <c r="I377" i="1" a="1"/>
  <c r="I377" i="1" s="1"/>
  <c r="M377" i="1"/>
  <c r="M377" i="15" s="1"/>
  <c r="N377" i="15" s="1" a="1"/>
  <c r="N377" i="15" s="1"/>
  <c r="R378" i="15"/>
  <c r="F379" i="1" a="1"/>
  <c r="F379" i="1" s="1"/>
  <c r="I379" i="1" a="1"/>
  <c r="I379" i="1" s="1"/>
  <c r="M379" i="1"/>
  <c r="M379" i="15" s="1"/>
  <c r="N379" i="15" s="1" a="1"/>
  <c r="N379" i="15" s="1"/>
  <c r="R380" i="15"/>
  <c r="F381" i="1" a="1"/>
  <c r="F381" i="1" s="1"/>
  <c r="I381" i="1" a="1"/>
  <c r="I381" i="1" s="1"/>
  <c r="M381" i="1"/>
  <c r="M381" i="15" s="1"/>
  <c r="N381" i="15" s="1" a="1"/>
  <c r="N381" i="15" s="1"/>
  <c r="R382" i="15"/>
  <c r="F383" i="1" a="1"/>
  <c r="F383" i="1" s="1"/>
  <c r="I383" i="1" a="1"/>
  <c r="I383" i="1" s="1"/>
  <c r="M383" i="1"/>
  <c r="M383" i="15" s="1"/>
  <c r="N383" i="15" s="1" a="1"/>
  <c r="N383" i="15" s="1"/>
  <c r="R384" i="15"/>
  <c r="F385" i="1" a="1"/>
  <c r="F385" i="1" s="1"/>
  <c r="I385" i="1" a="1"/>
  <c r="I385" i="1" s="1"/>
  <c r="M385" i="1"/>
  <c r="M385" i="15" s="1"/>
  <c r="N385" i="15" s="1" a="1"/>
  <c r="N385" i="15" s="1"/>
  <c r="R386" i="15"/>
  <c r="F387" i="1" a="1"/>
  <c r="F387" i="1" s="1"/>
  <c r="I387" i="1" a="1"/>
  <c r="I387" i="1" s="1"/>
  <c r="M387" i="1"/>
  <c r="M387" i="15" s="1"/>
  <c r="N387" i="15" s="1" a="1"/>
  <c r="N387" i="15" s="1"/>
  <c r="R388" i="15"/>
  <c r="I389" i="1" a="1"/>
  <c r="I389" i="1" s="1"/>
  <c r="L389" i="1" a="1"/>
  <c r="L389" i="1" s="1"/>
  <c r="R390" i="15"/>
  <c r="L390" i="1" a="1"/>
  <c r="L390" i="1" s="1"/>
  <c r="N390" i="1" a="1"/>
  <c r="N390" i="1" s="1"/>
  <c r="S390" i="15" s="1"/>
  <c r="G391" i="1" a="1"/>
  <c r="G391" i="1" s="1"/>
  <c r="J391" i="15" s="1"/>
  <c r="J391" i="1" a="1"/>
  <c r="J391" i="1" s="1"/>
  <c r="M391" i="1"/>
  <c r="M391" i="15" s="1"/>
  <c r="N391" i="15" s="1" a="1"/>
  <c r="N391" i="15" s="1"/>
  <c r="R392" i="15"/>
  <c r="I392" i="1" a="1"/>
  <c r="I392" i="1" s="1"/>
  <c r="L392" i="1" a="1"/>
  <c r="L392" i="1" s="1"/>
  <c r="G393" i="1" a="1"/>
  <c r="G393" i="1" s="1"/>
  <c r="J393" i="15" s="1"/>
  <c r="J393" i="1" a="1"/>
  <c r="J393" i="1" s="1"/>
  <c r="F394" i="1" a="1"/>
  <c r="F394" i="1" s="1"/>
  <c r="I394" i="1" a="1"/>
  <c r="I394" i="1" s="1"/>
  <c r="C396" i="1" a="1"/>
  <c r="C396" i="1" s="1"/>
  <c r="E396" i="15" s="1"/>
  <c r="F396" i="1" a="1"/>
  <c r="F396" i="1" s="1"/>
  <c r="J396" i="1" a="1"/>
  <c r="J396" i="1" s="1"/>
  <c r="I397" i="1" a="1"/>
  <c r="I397" i="1" s="1"/>
  <c r="L397" i="1" a="1"/>
  <c r="L397" i="1" s="1"/>
  <c r="N397" i="1" a="1"/>
  <c r="N397" i="1" s="1"/>
  <c r="S397" i="15" s="1"/>
  <c r="L398" i="1" a="1"/>
  <c r="L398" i="1" s="1"/>
  <c r="N398" i="1" a="1"/>
  <c r="N398" i="1" s="1"/>
  <c r="S398" i="15" s="1"/>
  <c r="G400" i="1" a="1"/>
  <c r="G400" i="1" s="1"/>
  <c r="J400" i="15" s="1"/>
  <c r="C387" i="1" a="1"/>
  <c r="C387" i="1" s="1"/>
  <c r="E387" i="15" s="1"/>
  <c r="L387" i="1" a="1"/>
  <c r="L387" i="1" s="1"/>
  <c r="G388" i="1" a="1"/>
  <c r="G388" i="1" s="1"/>
  <c r="J388" i="15" s="1"/>
  <c r="F391" i="1" a="1"/>
  <c r="F391" i="1" s="1"/>
  <c r="N391" i="1" a="1"/>
  <c r="N391" i="1" s="1"/>
  <c r="S391" i="15" s="1"/>
  <c r="C393" i="1" a="1"/>
  <c r="C393" i="1" s="1"/>
  <c r="E393" i="15" s="1"/>
  <c r="F393" i="1" a="1"/>
  <c r="F393" i="1" s="1"/>
  <c r="M393" i="1"/>
  <c r="M393" i="15" s="1"/>
  <c r="N393" i="15" s="1" a="1"/>
  <c r="N393" i="15" s="1"/>
  <c r="N394" i="1" a="1"/>
  <c r="N394" i="1" s="1"/>
  <c r="S394" i="15" s="1"/>
  <c r="R395" i="15"/>
  <c r="J395" i="1" a="1"/>
  <c r="J395" i="1" s="1"/>
  <c r="I396" i="1" a="1"/>
  <c r="I396" i="1" s="1"/>
  <c r="N396" i="1" a="1"/>
  <c r="N396" i="1" s="1"/>
  <c r="S396" i="15" s="1"/>
  <c r="M397" i="1"/>
  <c r="M397" i="15" s="1"/>
  <c r="N397" i="15" s="1" a="1"/>
  <c r="N397" i="15" s="1"/>
  <c r="C398" i="1" a="1"/>
  <c r="C398" i="1" s="1"/>
  <c r="E398" i="15" s="1"/>
  <c r="F398" i="1" a="1"/>
  <c r="F398" i="1" s="1"/>
  <c r="J398" i="1" a="1"/>
  <c r="J398" i="1" s="1"/>
  <c r="G399" i="1" a="1"/>
  <c r="G399" i="1" s="1"/>
  <c r="J399" i="15" s="1"/>
  <c r="J399" i="1" a="1"/>
  <c r="J399" i="1" s="1"/>
  <c r="I400" i="1" a="1"/>
  <c r="I400" i="1" s="1"/>
  <c r="M400" i="1"/>
  <c r="M400" i="15" s="1"/>
  <c r="N400" i="15" s="1" a="1"/>
  <c r="N400" i="15" s="1"/>
  <c r="I401" i="1" a="1"/>
  <c r="I401" i="1" s="1"/>
  <c r="L401" i="1" a="1"/>
  <c r="L401" i="1" s="1"/>
  <c r="N401" i="1" a="1"/>
  <c r="N401" i="1" s="1"/>
  <c r="S401" i="15" s="1"/>
  <c r="L402" i="1" a="1"/>
  <c r="L402" i="1" s="1"/>
  <c r="G403" i="1" a="1"/>
  <c r="G403" i="1" s="1"/>
  <c r="J403" i="15" s="1"/>
  <c r="J403" i="1" a="1"/>
  <c r="J403" i="1" s="1"/>
  <c r="G404" i="1" a="1"/>
  <c r="G404" i="1" s="1"/>
  <c r="J404" i="15" s="1"/>
  <c r="G405" i="1" a="1"/>
  <c r="G405" i="1" s="1"/>
  <c r="J405" i="15" s="1"/>
  <c r="M405" i="1"/>
  <c r="M405" i="15" s="1"/>
  <c r="N405" i="15" s="1" a="1"/>
  <c r="N405" i="15" s="1"/>
  <c r="C406" i="1" a="1"/>
  <c r="C406" i="1" s="1"/>
  <c r="E406" i="15" s="1"/>
  <c r="R406" i="15"/>
  <c r="K406" i="1" a="1"/>
  <c r="K406" i="1" s="1"/>
  <c r="C407" i="1" a="1"/>
  <c r="C407" i="1" s="1"/>
  <c r="E407" i="15" s="1"/>
  <c r="F407" i="1" a="1"/>
  <c r="F407" i="1" s="1"/>
  <c r="L407" i="1" a="1"/>
  <c r="L407" i="1" s="1"/>
  <c r="N407" i="1" a="1"/>
  <c r="N407" i="1" s="1"/>
  <c r="S407" i="15" s="1"/>
  <c r="G408" i="1" a="1"/>
  <c r="G408" i="1" s="1"/>
  <c r="J408" i="15" s="1"/>
  <c r="K408" i="1" a="1"/>
  <c r="K408" i="1" s="1"/>
  <c r="N408" i="1" a="1"/>
  <c r="N408" i="1" s="1"/>
  <c r="S408" i="15" s="1"/>
  <c r="G409" i="1" a="1"/>
  <c r="G409" i="1" s="1"/>
  <c r="J409" i="15" s="1"/>
  <c r="K409" i="1" a="1"/>
  <c r="K409" i="1" s="1"/>
  <c r="N409" i="1" a="1"/>
  <c r="N409" i="1" s="1"/>
  <c r="S409" i="15" s="1"/>
  <c r="J410" i="1" a="1"/>
  <c r="J410" i="1" s="1"/>
  <c r="C411" i="1" a="1"/>
  <c r="C411" i="1" s="1"/>
  <c r="E411" i="15" s="1"/>
  <c r="F411" i="1" a="1"/>
  <c r="F411" i="1" s="1"/>
  <c r="I411" i="1" a="1"/>
  <c r="I411" i="1" s="1"/>
  <c r="M411" i="1"/>
  <c r="M411" i="15" s="1"/>
  <c r="N411" i="15" s="1" a="1"/>
  <c r="N411" i="15" s="1"/>
  <c r="R412" i="15"/>
  <c r="L412" i="1" a="1"/>
  <c r="L412" i="1" s="1"/>
  <c r="G413" i="1" a="1"/>
  <c r="G413" i="1" s="1"/>
  <c r="J413" i="15" s="1"/>
  <c r="K413" i="1" a="1"/>
  <c r="K413" i="1" s="1"/>
  <c r="N413" i="1" a="1"/>
  <c r="N413" i="1" s="1"/>
  <c r="S413" i="15" s="1"/>
  <c r="J414" i="1" a="1"/>
  <c r="J414" i="1" s="1"/>
  <c r="C415" i="1" a="1"/>
  <c r="C415" i="1" s="1"/>
  <c r="E415" i="15" s="1"/>
  <c r="F415" i="1" a="1"/>
  <c r="F415" i="1" s="1"/>
  <c r="I415" i="1" a="1"/>
  <c r="I415" i="1" s="1"/>
  <c r="M415" i="1"/>
  <c r="M415" i="15" s="1"/>
  <c r="N415" i="15" s="1" a="1"/>
  <c r="N415" i="15" s="1"/>
  <c r="R416" i="15"/>
  <c r="L416" i="1" a="1"/>
  <c r="L416" i="1" s="1"/>
  <c r="G417" i="1" a="1"/>
  <c r="G417" i="1" s="1"/>
  <c r="J417" i="15" s="1"/>
  <c r="K417" i="1" a="1"/>
  <c r="K417" i="1" s="1"/>
  <c r="N417" i="1" a="1"/>
  <c r="N417" i="1" s="1"/>
  <c r="S417" i="15" s="1"/>
  <c r="J418" i="1" a="1"/>
  <c r="J418" i="1" s="1"/>
  <c r="C419" i="1" a="1"/>
  <c r="C419" i="1" s="1"/>
  <c r="E419" i="15" s="1"/>
  <c r="F419" i="1" a="1"/>
  <c r="F419" i="1" s="1"/>
  <c r="I419" i="1" a="1"/>
  <c r="I419" i="1" s="1"/>
  <c r="M419" i="1"/>
  <c r="M419" i="15" s="1"/>
  <c r="N419" i="15" s="1" a="1"/>
  <c r="N419" i="15" s="1"/>
  <c r="R420" i="15"/>
  <c r="L420" i="1" a="1"/>
  <c r="L420" i="1" s="1"/>
  <c r="L421" i="1" a="1"/>
  <c r="L421" i="1" s="1"/>
  <c r="R422" i="15"/>
  <c r="I422" i="1" a="1"/>
  <c r="I422" i="1" s="1"/>
  <c r="M422" i="1"/>
  <c r="M422" i="15" s="1"/>
  <c r="N422" i="15" s="1" a="1"/>
  <c r="N422" i="15" s="1"/>
  <c r="C423" i="1" a="1"/>
  <c r="C423" i="1" s="1"/>
  <c r="E423" i="15" s="1"/>
  <c r="F423" i="1" a="1"/>
  <c r="F423" i="1" s="1"/>
  <c r="J423" i="1" a="1"/>
  <c r="J423" i="1" s="1"/>
  <c r="G424" i="1" a="1"/>
  <c r="G424" i="1" s="1"/>
  <c r="J424" i="15" s="1"/>
  <c r="K424" i="1" a="1"/>
  <c r="K424" i="1" s="1"/>
  <c r="N424" i="1" a="1"/>
  <c r="N424" i="1" s="1"/>
  <c r="S424" i="15" s="1"/>
  <c r="L425" i="1" a="1"/>
  <c r="L425" i="1" s="1"/>
  <c r="R426" i="15"/>
  <c r="I426" i="1" a="1"/>
  <c r="I426" i="1" s="1"/>
  <c r="M426" i="1"/>
  <c r="M426" i="15" s="1"/>
  <c r="N426" i="15" s="1" a="1"/>
  <c r="N426" i="15" s="1"/>
  <c r="C427" i="1" a="1"/>
  <c r="C427" i="1" s="1"/>
  <c r="E427" i="15" s="1"/>
  <c r="F427" i="1" a="1"/>
  <c r="F427" i="1" s="1"/>
  <c r="J427" i="1" a="1"/>
  <c r="J427" i="1" s="1"/>
  <c r="G428" i="1" a="1"/>
  <c r="G428" i="1" s="1"/>
  <c r="J428" i="15" s="1"/>
  <c r="K428" i="1" a="1"/>
  <c r="K428" i="1" s="1"/>
  <c r="N428" i="1" a="1"/>
  <c r="N428" i="1" s="1"/>
  <c r="S428" i="15" s="1"/>
  <c r="L429" i="1" a="1"/>
  <c r="L429" i="1" s="1"/>
  <c r="L430" i="1" a="1"/>
  <c r="L430" i="1" s="1"/>
  <c r="R431" i="15"/>
  <c r="L431" i="1" a="1"/>
  <c r="L431" i="1" s="1"/>
  <c r="L432" i="1" a="1"/>
  <c r="L432" i="1" s="1"/>
  <c r="R433" i="15"/>
  <c r="L433" i="1" a="1"/>
  <c r="L433" i="1" s="1"/>
  <c r="R434" i="15"/>
  <c r="I434" i="1" a="1"/>
  <c r="I434" i="1" s="1"/>
  <c r="M434" i="1"/>
  <c r="M434" i="15" s="1"/>
  <c r="N434" i="15" s="1" a="1"/>
  <c r="N434" i="15" s="1"/>
  <c r="C435" i="1" a="1"/>
  <c r="C435" i="1" s="1"/>
  <c r="E435" i="15" s="1"/>
  <c r="F435" i="1" a="1"/>
  <c r="F435" i="1" s="1"/>
  <c r="J435" i="1" a="1"/>
  <c r="J435" i="1" s="1"/>
  <c r="G436" i="1" a="1"/>
  <c r="G436" i="1" s="1"/>
  <c r="J436" i="15" s="1"/>
  <c r="K436" i="1" a="1"/>
  <c r="K436" i="1" s="1"/>
  <c r="K437" i="1" a="1"/>
  <c r="K437" i="1" s="1"/>
  <c r="R438" i="15"/>
  <c r="G438" i="1" a="1"/>
  <c r="G438" i="1" s="1"/>
  <c r="J438" i="15" s="1"/>
  <c r="J438" i="1" a="1"/>
  <c r="J438" i="1" s="1"/>
  <c r="R439" i="15"/>
  <c r="G439" i="1" a="1"/>
  <c r="G439" i="1" s="1"/>
  <c r="J439" i="15" s="1"/>
  <c r="J439" i="1" a="1"/>
  <c r="J439" i="1" s="1"/>
  <c r="R440" i="15"/>
  <c r="G440" i="1" a="1"/>
  <c r="G440" i="1" s="1"/>
  <c r="J440" i="15" s="1"/>
  <c r="J440" i="1" a="1"/>
  <c r="J440" i="1" s="1"/>
  <c r="R441" i="15"/>
  <c r="K441" i="1" a="1"/>
  <c r="K441" i="1" s="1"/>
  <c r="N441" i="1" a="1"/>
  <c r="N441" i="1" s="1"/>
  <c r="S441" i="15" s="1"/>
  <c r="G442" i="1" a="1"/>
  <c r="G442" i="1" s="1"/>
  <c r="J442" i="15" s="1"/>
  <c r="K442" i="1" a="1"/>
  <c r="K442" i="1" s="1"/>
  <c r="N442" i="1" a="1"/>
  <c r="N442" i="1" s="1"/>
  <c r="S442" i="15" s="1"/>
  <c r="L443" i="1" a="1"/>
  <c r="L443" i="1" s="1"/>
  <c r="R444" i="15"/>
  <c r="J386" i="1" a="1"/>
  <c r="J386" i="1" s="1"/>
  <c r="N387" i="1" a="1"/>
  <c r="N387" i="1" s="1"/>
  <c r="S387" i="15" s="1"/>
  <c r="C389" i="1" a="1"/>
  <c r="C389" i="1" s="1"/>
  <c r="E389" i="15" s="1"/>
  <c r="G390" i="1" a="1"/>
  <c r="G390" i="1" s="1"/>
  <c r="J390" i="15" s="1"/>
  <c r="M392" i="1"/>
  <c r="M392" i="15" s="1"/>
  <c r="N392" i="15" s="1" a="1"/>
  <c r="N392" i="15" s="1"/>
  <c r="N393" i="1" a="1"/>
  <c r="N393" i="1" s="1"/>
  <c r="S393" i="15" s="1"/>
  <c r="J394" i="1" a="1"/>
  <c r="J394" i="1" s="1"/>
  <c r="G395" i="1" a="1"/>
  <c r="G395" i="1" s="1"/>
  <c r="J395" i="15" s="1"/>
  <c r="N395" i="1" a="1"/>
  <c r="N395" i="1" s="1"/>
  <c r="S395" i="15" s="1"/>
  <c r="R396" i="15"/>
  <c r="R397" i="15"/>
  <c r="J397" i="1" a="1"/>
  <c r="J397" i="1" s="1"/>
  <c r="G398" i="1" a="1"/>
  <c r="G398" i="1" s="1"/>
  <c r="J398" i="15" s="1"/>
  <c r="N399" i="1" a="1"/>
  <c r="N399" i="1" s="1"/>
  <c r="S399" i="15" s="1"/>
  <c r="R400" i="15"/>
  <c r="J400" i="1" a="1"/>
  <c r="J400" i="1" s="1"/>
  <c r="N400" i="1" a="1"/>
  <c r="N400" i="1" s="1"/>
  <c r="S400" i="15" s="1"/>
  <c r="F401" i="1" a="1"/>
  <c r="F401" i="1" s="1"/>
  <c r="J401" i="1" a="1"/>
  <c r="J401" i="1" s="1"/>
  <c r="M401" i="1"/>
  <c r="M401" i="15" s="1"/>
  <c r="N401" i="15" s="1" a="1"/>
  <c r="N401" i="15" s="1"/>
  <c r="R402" i="15"/>
  <c r="I402" i="1" a="1"/>
  <c r="I402" i="1" s="1"/>
  <c r="M402" i="1"/>
  <c r="M402" i="15" s="1"/>
  <c r="N402" i="15" s="1" a="1"/>
  <c r="N402" i="15" s="1"/>
  <c r="C403" i="1" a="1"/>
  <c r="C403" i="1" s="1"/>
  <c r="E403" i="15" s="1"/>
  <c r="R403" i="15"/>
  <c r="N403" i="1" a="1"/>
  <c r="N403" i="1" s="1"/>
  <c r="S403" i="15" s="1"/>
  <c r="N404" i="1" a="1"/>
  <c r="N404" i="1" s="1"/>
  <c r="S404" i="15" s="1"/>
  <c r="J405" i="1" a="1"/>
  <c r="J405" i="1" s="1"/>
  <c r="F406" i="1" a="1"/>
  <c r="F406" i="1" s="1"/>
  <c r="I406" i="1" a="1"/>
  <c r="I406" i="1" s="1"/>
  <c r="L406" i="1" a="1"/>
  <c r="L406" i="1" s="1"/>
  <c r="N406" i="1" a="1"/>
  <c r="N406" i="1" s="1"/>
  <c r="S406" i="15" s="1"/>
  <c r="G407" i="1" a="1"/>
  <c r="G407" i="1" s="1"/>
  <c r="J407" i="15" s="1"/>
  <c r="J407" i="1" a="1"/>
  <c r="J407" i="1" s="1"/>
  <c r="M407" i="1"/>
  <c r="M407" i="15" s="1"/>
  <c r="N407" i="15" s="1" a="1"/>
  <c r="N407" i="15" s="1"/>
  <c r="R408" i="15"/>
  <c r="L408" i="1" a="1"/>
  <c r="L408" i="1" s="1"/>
  <c r="R409" i="15"/>
  <c r="L409" i="1" a="1"/>
  <c r="L409" i="1" s="1"/>
  <c r="G410" i="1" a="1"/>
  <c r="G410" i="1" s="1"/>
  <c r="J410" i="15" s="1"/>
  <c r="K410" i="1" a="1"/>
  <c r="K410" i="1" s="1"/>
  <c r="N410" i="1" a="1"/>
  <c r="N410" i="1" s="1"/>
  <c r="S410" i="15" s="1"/>
  <c r="J411" i="1" a="1"/>
  <c r="J411" i="1" s="1"/>
  <c r="C412" i="1" a="1"/>
  <c r="C412" i="1" s="1"/>
  <c r="E412" i="15" s="1"/>
  <c r="F412" i="1" a="1"/>
  <c r="F412" i="1" s="1"/>
  <c r="I412" i="1" a="1"/>
  <c r="I412" i="1" s="1"/>
  <c r="M412" i="1"/>
  <c r="M412" i="15" s="1"/>
  <c r="N412" i="15" s="1" a="1"/>
  <c r="N412" i="15" s="1"/>
  <c r="R413" i="15"/>
  <c r="L413" i="1" a="1"/>
  <c r="L413" i="1" s="1"/>
  <c r="G414" i="1" a="1"/>
  <c r="G414" i="1" s="1"/>
  <c r="J414" i="15" s="1"/>
  <c r="K414" i="1" a="1"/>
  <c r="K414" i="1" s="1"/>
  <c r="N414" i="1" a="1"/>
  <c r="N414" i="1" s="1"/>
  <c r="S414" i="15" s="1"/>
  <c r="J415" i="1" a="1"/>
  <c r="J415" i="1" s="1"/>
  <c r="C416" i="1" a="1"/>
  <c r="C416" i="1" s="1"/>
  <c r="E416" i="15" s="1"/>
  <c r="F416" i="1" a="1"/>
  <c r="F416" i="1" s="1"/>
  <c r="I416" i="1" a="1"/>
  <c r="I416" i="1" s="1"/>
  <c r="M416" i="1"/>
  <c r="M416" i="15" s="1"/>
  <c r="N416" i="15" s="1" a="1"/>
  <c r="N416" i="15" s="1"/>
  <c r="R417" i="15"/>
  <c r="L417" i="1" a="1"/>
  <c r="L417" i="1" s="1"/>
  <c r="G418" i="1" a="1"/>
  <c r="G418" i="1" s="1"/>
  <c r="J418" i="15" s="1"/>
  <c r="K418" i="1" a="1"/>
  <c r="K418" i="1" s="1"/>
  <c r="N418" i="1" a="1"/>
  <c r="N418" i="1" s="1"/>
  <c r="S418" i="15" s="1"/>
  <c r="J419" i="1" a="1"/>
  <c r="J419" i="1" s="1"/>
  <c r="C420" i="1" a="1"/>
  <c r="C420" i="1" s="1"/>
  <c r="E420" i="15" s="1"/>
  <c r="F420" i="1" a="1"/>
  <c r="F420" i="1" s="1"/>
  <c r="I420" i="1" a="1"/>
  <c r="I420" i="1" s="1"/>
  <c r="M420" i="1"/>
  <c r="M420" i="15" s="1"/>
  <c r="N420" i="15" s="1" a="1"/>
  <c r="N420" i="15" s="1"/>
  <c r="R421" i="15"/>
  <c r="I421" i="1" a="1"/>
  <c r="I421" i="1" s="1"/>
  <c r="M421" i="1"/>
  <c r="M421" i="15" s="1"/>
  <c r="N421" i="15" s="1" a="1"/>
  <c r="N421" i="15" s="1"/>
  <c r="C422" i="1" a="1"/>
  <c r="C422" i="1" s="1"/>
  <c r="E422" i="15" s="1"/>
  <c r="F422" i="1" a="1"/>
  <c r="F422" i="1" s="1"/>
  <c r="J422" i="1" a="1"/>
  <c r="J422" i="1" s="1"/>
  <c r="G423" i="1" a="1"/>
  <c r="G423" i="1" s="1"/>
  <c r="J423" i="15" s="1"/>
  <c r="K423" i="1" a="1"/>
  <c r="K423" i="1" s="1"/>
  <c r="N423" i="1" a="1"/>
  <c r="N423" i="1" s="1"/>
  <c r="S423" i="15" s="1"/>
  <c r="L424" i="1" a="1"/>
  <c r="L424" i="1" s="1"/>
  <c r="R425" i="15"/>
  <c r="I425" i="1" a="1"/>
  <c r="I425" i="1" s="1"/>
  <c r="M425" i="1"/>
  <c r="M425" i="15" s="1"/>
  <c r="N425" i="15" s="1" a="1"/>
  <c r="N425" i="15" s="1"/>
  <c r="C426" i="1" a="1"/>
  <c r="C426" i="1" s="1"/>
  <c r="E426" i="15" s="1"/>
  <c r="F426" i="1" a="1"/>
  <c r="F426" i="1" s="1"/>
  <c r="J426" i="1" a="1"/>
  <c r="J426" i="1" s="1"/>
  <c r="G427" i="1" a="1"/>
  <c r="G427" i="1" s="1"/>
  <c r="J427" i="15" s="1"/>
  <c r="K427" i="1" a="1"/>
  <c r="K427" i="1" s="1"/>
  <c r="N427" i="1" a="1"/>
  <c r="N427" i="1" s="1"/>
  <c r="S427" i="15" s="1"/>
  <c r="L428" i="1" a="1"/>
  <c r="L428" i="1" s="1"/>
  <c r="R429" i="15"/>
  <c r="I429" i="1" a="1"/>
  <c r="I429" i="1" s="1"/>
  <c r="M429" i="1"/>
  <c r="M429" i="15" s="1"/>
  <c r="N429" i="15" s="1" a="1"/>
  <c r="N429" i="15" s="1"/>
  <c r="R430" i="15"/>
  <c r="I430" i="1" a="1"/>
  <c r="I430" i="1" s="1"/>
  <c r="M430" i="1"/>
  <c r="M430" i="15" s="1"/>
  <c r="N430" i="15" s="1" a="1"/>
  <c r="N430" i="15" s="1"/>
  <c r="C431" i="1" a="1"/>
  <c r="C431" i="1" s="1"/>
  <c r="E431" i="15" s="1"/>
  <c r="F431" i="1" a="1"/>
  <c r="F431" i="1" s="1"/>
  <c r="I431" i="1" a="1"/>
  <c r="I431" i="1" s="1"/>
  <c r="M431" i="1"/>
  <c r="M431" i="15" s="1"/>
  <c r="N431" i="15" s="1" a="1"/>
  <c r="N431" i="15" s="1"/>
  <c r="R432" i="15"/>
  <c r="I432" i="1" a="1"/>
  <c r="I432" i="1" s="1"/>
  <c r="M432" i="1"/>
  <c r="M432" i="15" s="1"/>
  <c r="N432" i="15" s="1" a="1"/>
  <c r="N432" i="15" s="1"/>
  <c r="C433" i="1" a="1"/>
  <c r="C433" i="1" s="1"/>
  <c r="E433" i="15" s="1"/>
  <c r="F433" i="1" a="1"/>
  <c r="F433" i="1" s="1"/>
  <c r="I433" i="1" a="1"/>
  <c r="I433" i="1" s="1"/>
  <c r="M433" i="1"/>
  <c r="M433" i="15" s="1"/>
  <c r="N433" i="15" s="1" a="1"/>
  <c r="N433" i="15" s="1"/>
  <c r="C434" i="1" a="1"/>
  <c r="C434" i="1" s="1"/>
  <c r="E434" i="15" s="1"/>
  <c r="F434" i="1" a="1"/>
  <c r="F434" i="1" s="1"/>
  <c r="J434" i="1" a="1"/>
  <c r="J434" i="1" s="1"/>
  <c r="G435" i="1" a="1"/>
  <c r="G435" i="1" s="1"/>
  <c r="J435" i="15" s="1"/>
  <c r="K435" i="1" a="1"/>
  <c r="K435" i="1" s="1"/>
  <c r="N435" i="1" a="1"/>
  <c r="N435" i="1" s="1"/>
  <c r="S435" i="15" s="1"/>
  <c r="L436" i="1" a="1"/>
  <c r="L436" i="1" s="1"/>
  <c r="N436" i="1" a="1"/>
  <c r="N436" i="1" s="1"/>
  <c r="S436" i="15" s="1"/>
  <c r="F437" i="1" a="1"/>
  <c r="F437" i="1" s="1"/>
  <c r="C438" i="1" a="1"/>
  <c r="C438" i="1" s="1"/>
  <c r="E438" i="15" s="1"/>
  <c r="K438" i="1" a="1"/>
  <c r="K438" i="1" s="1"/>
  <c r="C439" i="1" a="1"/>
  <c r="C439" i="1" s="1"/>
  <c r="E439" i="15" s="1"/>
  <c r="K439" i="1" a="1"/>
  <c r="K439" i="1" s="1"/>
  <c r="C440" i="1" a="1"/>
  <c r="C440" i="1" s="1"/>
  <c r="E440" i="15" s="1"/>
  <c r="K440" i="1" a="1"/>
  <c r="K440" i="1" s="1"/>
  <c r="C441" i="1" a="1"/>
  <c r="C441" i="1" s="1"/>
  <c r="E441" i="15" s="1"/>
  <c r="L441" i="1" a="1"/>
  <c r="L441" i="1" s="1"/>
  <c r="L442" i="1" a="1"/>
  <c r="L442" i="1" s="1"/>
  <c r="R443" i="15"/>
  <c r="I443" i="1" a="1"/>
  <c r="I443" i="1" s="1"/>
  <c r="M443" i="1"/>
  <c r="M443" i="15" s="1"/>
  <c r="N443" i="15" s="1" a="1"/>
  <c r="N443" i="15" s="1"/>
  <c r="C444" i="1" a="1"/>
  <c r="C444" i="1" s="1"/>
  <c r="E444" i="15" s="1"/>
  <c r="F444" i="1" a="1"/>
  <c r="F444" i="1" s="1"/>
  <c r="J444" i="1" a="1"/>
  <c r="J444" i="1" s="1"/>
  <c r="G445" i="1" a="1"/>
  <c r="G445" i="1" s="1"/>
  <c r="J445" i="15" s="1"/>
  <c r="K445" i="1" a="1"/>
  <c r="K445" i="1" s="1"/>
  <c r="N445" i="1" a="1"/>
  <c r="N445" i="1" s="1"/>
  <c r="S445" i="15" s="1"/>
  <c r="L446" i="1" a="1"/>
  <c r="L446" i="1" s="1"/>
  <c r="R447" i="15"/>
  <c r="I447" i="1" a="1"/>
  <c r="I447" i="1" s="1"/>
  <c r="M447" i="1"/>
  <c r="M447" i="15" s="1"/>
  <c r="N447" i="15" s="1" a="1"/>
  <c r="N447" i="15" s="1"/>
  <c r="C448" i="1" a="1"/>
  <c r="C448" i="1" s="1"/>
  <c r="E448" i="15" s="1"/>
  <c r="F448" i="1" a="1"/>
  <c r="F448" i="1" s="1"/>
  <c r="J448" i="1" a="1"/>
  <c r="J448" i="1" s="1"/>
  <c r="G449" i="1" a="1"/>
  <c r="G449" i="1" s="1"/>
  <c r="J449" i="15" s="1"/>
  <c r="K449" i="1" a="1"/>
  <c r="K449" i="1" s="1"/>
  <c r="N449" i="1" a="1"/>
  <c r="N449" i="1" s="1"/>
  <c r="S449" i="15" s="1"/>
  <c r="L450" i="1" a="1"/>
  <c r="L450" i="1" s="1"/>
  <c r="J388" i="1" a="1"/>
  <c r="J388" i="1" s="1"/>
  <c r="N389" i="1" a="1"/>
  <c r="N389" i="1" s="1"/>
  <c r="S389" i="15" s="1"/>
  <c r="C391" i="1" a="1"/>
  <c r="C391" i="1" s="1"/>
  <c r="E391" i="15" s="1"/>
  <c r="I391" i="1" a="1"/>
  <c r="I391" i="1" s="1"/>
  <c r="N392" i="1" a="1"/>
  <c r="N392" i="1" s="1"/>
  <c r="S392" i="15" s="1"/>
  <c r="R394" i="15"/>
  <c r="L394" i="1" a="1"/>
  <c r="L394" i="1" s="1"/>
  <c r="L395" i="1" a="1"/>
  <c r="L395" i="1" s="1"/>
  <c r="G396" i="1" a="1"/>
  <c r="G396" i="1" s="1"/>
  <c r="J396" i="15" s="1"/>
  <c r="L396" i="1" a="1"/>
  <c r="L396" i="1" s="1"/>
  <c r="C397" i="1" a="1"/>
  <c r="C397" i="1" s="1"/>
  <c r="E397" i="15" s="1"/>
  <c r="F397" i="1" a="1"/>
  <c r="F397" i="1" s="1"/>
  <c r="R399" i="15"/>
  <c r="L399" i="1" a="1"/>
  <c r="L399" i="1" s="1"/>
  <c r="F400" i="1" a="1"/>
  <c r="F400" i="1" s="1"/>
  <c r="G401" i="1" a="1"/>
  <c r="G401" i="1" s="1"/>
  <c r="J401" i="15" s="1"/>
  <c r="C402" i="1" a="1"/>
  <c r="C402" i="1" s="1"/>
  <c r="E402" i="15" s="1"/>
  <c r="F402" i="1" a="1"/>
  <c r="F402" i="1" s="1"/>
  <c r="J402" i="1" a="1"/>
  <c r="J402" i="1" s="1"/>
  <c r="L403" i="1" a="1"/>
  <c r="L403" i="1" s="1"/>
  <c r="R404" i="15"/>
  <c r="I404" i="1" a="1"/>
  <c r="I404" i="1" s="1"/>
  <c r="L404" i="1" a="1"/>
  <c r="L404" i="1" s="1"/>
  <c r="R405" i="15"/>
  <c r="K405" i="1" a="1"/>
  <c r="K405" i="1" s="1"/>
  <c r="N405" i="1" a="1"/>
  <c r="N405" i="1" s="1"/>
  <c r="S405" i="15" s="1"/>
  <c r="J406" i="1" a="1"/>
  <c r="J406" i="1" s="1"/>
  <c r="K407" i="1" a="1"/>
  <c r="K407" i="1" s="1"/>
  <c r="C408" i="1" a="1"/>
  <c r="C408" i="1" s="1"/>
  <c r="E408" i="15" s="1"/>
  <c r="F408" i="1" a="1"/>
  <c r="F408" i="1" s="1"/>
  <c r="I408" i="1" a="1"/>
  <c r="I408" i="1" s="1"/>
  <c r="M408" i="1"/>
  <c r="M408" i="15" s="1"/>
  <c r="N408" i="15" s="1" a="1"/>
  <c r="N408" i="15" s="1"/>
  <c r="C409" i="1" a="1"/>
  <c r="C409" i="1" s="1"/>
  <c r="E409" i="15" s="1"/>
  <c r="I409" i="1" a="1"/>
  <c r="I409" i="1" s="1"/>
  <c r="M409" i="1"/>
  <c r="M409" i="15" s="1"/>
  <c r="N409" i="15" s="1" a="1"/>
  <c r="N409" i="15" s="1"/>
  <c r="R410" i="15"/>
  <c r="L410" i="1" a="1"/>
  <c r="L410" i="1" s="1"/>
  <c r="G411" i="1" a="1"/>
  <c r="G411" i="1" s="1"/>
  <c r="J411" i="15" s="1"/>
  <c r="K411" i="1" a="1"/>
  <c r="K411" i="1" s="1"/>
  <c r="N411" i="1" a="1"/>
  <c r="N411" i="1" s="1"/>
  <c r="S411" i="15" s="1"/>
  <c r="J412" i="1" a="1"/>
  <c r="J412" i="1" s="1"/>
  <c r="C413" i="1" a="1"/>
  <c r="C413" i="1" s="1"/>
  <c r="E413" i="15" s="1"/>
  <c r="F413" i="1" a="1"/>
  <c r="F413" i="1" s="1"/>
  <c r="I413" i="1" a="1"/>
  <c r="I413" i="1" s="1"/>
  <c r="M413" i="1"/>
  <c r="M413" i="15" s="1"/>
  <c r="N413" i="15" s="1" a="1"/>
  <c r="N413" i="15" s="1"/>
  <c r="R414" i="15"/>
  <c r="L414" i="1" a="1"/>
  <c r="L414" i="1" s="1"/>
  <c r="G415" i="1" a="1"/>
  <c r="G415" i="1" s="1"/>
  <c r="J415" i="15" s="1"/>
  <c r="K415" i="1" a="1"/>
  <c r="K415" i="1" s="1"/>
  <c r="N415" i="1" a="1"/>
  <c r="N415" i="1" s="1"/>
  <c r="S415" i="15" s="1"/>
  <c r="J416" i="1" a="1"/>
  <c r="J416" i="1" s="1"/>
  <c r="C417" i="1" a="1"/>
  <c r="C417" i="1" s="1"/>
  <c r="E417" i="15" s="1"/>
  <c r="F417" i="1" a="1"/>
  <c r="F417" i="1" s="1"/>
  <c r="I417" i="1" a="1"/>
  <c r="I417" i="1" s="1"/>
  <c r="M417" i="1"/>
  <c r="M417" i="15" s="1"/>
  <c r="N417" i="15" s="1" a="1"/>
  <c r="N417" i="15" s="1"/>
  <c r="R418" i="15"/>
  <c r="L418" i="1" a="1"/>
  <c r="L418" i="1" s="1"/>
  <c r="G419" i="1" a="1"/>
  <c r="G419" i="1" s="1"/>
  <c r="J419" i="15" s="1"/>
  <c r="K419" i="1" a="1"/>
  <c r="K419" i="1" s="1"/>
  <c r="N419" i="1" a="1"/>
  <c r="N419" i="1" s="1"/>
  <c r="S419" i="15" s="1"/>
  <c r="J420" i="1" a="1"/>
  <c r="J420" i="1" s="1"/>
  <c r="C421" i="1" a="1"/>
  <c r="C421" i="1" s="1"/>
  <c r="E421" i="15" s="1"/>
  <c r="F421" i="1" a="1"/>
  <c r="F421" i="1" s="1"/>
  <c r="J421" i="1" a="1"/>
  <c r="J421" i="1" s="1"/>
  <c r="G422" i="1" a="1"/>
  <c r="G422" i="1" s="1"/>
  <c r="J422" i="15" s="1"/>
  <c r="K422" i="1" a="1"/>
  <c r="K422" i="1" s="1"/>
  <c r="N422" i="1" a="1"/>
  <c r="N422" i="1" s="1"/>
  <c r="S422" i="15" s="1"/>
  <c r="L423" i="1" a="1"/>
  <c r="L423" i="1" s="1"/>
  <c r="R424" i="15"/>
  <c r="I424" i="1" a="1"/>
  <c r="I424" i="1" s="1"/>
  <c r="M424" i="1"/>
  <c r="M424" i="15" s="1"/>
  <c r="N424" i="15" s="1" a="1"/>
  <c r="N424" i="15" s="1"/>
  <c r="C425" i="1" a="1"/>
  <c r="C425" i="1" s="1"/>
  <c r="E425" i="15" s="1"/>
  <c r="F425" i="1" a="1"/>
  <c r="F425" i="1" s="1"/>
  <c r="J425" i="1" a="1"/>
  <c r="J425" i="1" s="1"/>
  <c r="G426" i="1" a="1"/>
  <c r="G426" i="1" s="1"/>
  <c r="J426" i="15" s="1"/>
  <c r="K426" i="1" a="1"/>
  <c r="K426" i="1" s="1"/>
  <c r="N426" i="1" a="1"/>
  <c r="N426" i="1" s="1"/>
  <c r="S426" i="15" s="1"/>
  <c r="L427" i="1" a="1"/>
  <c r="L427" i="1" s="1"/>
  <c r="R428" i="15"/>
  <c r="I428" i="1" a="1"/>
  <c r="I428" i="1" s="1"/>
  <c r="M428" i="1"/>
  <c r="M428" i="15" s="1"/>
  <c r="N428" i="15" s="1" a="1"/>
  <c r="N428" i="15" s="1"/>
  <c r="C429" i="1" a="1"/>
  <c r="C429" i="1" s="1"/>
  <c r="E429" i="15" s="1"/>
  <c r="F429" i="1" a="1"/>
  <c r="F429" i="1" s="1"/>
  <c r="J429" i="1" a="1"/>
  <c r="J429" i="1" s="1"/>
  <c r="C430" i="1" a="1"/>
  <c r="C430" i="1" s="1"/>
  <c r="E430" i="15" s="1"/>
  <c r="F430" i="1" a="1"/>
  <c r="F430" i="1" s="1"/>
  <c r="J430" i="1" a="1"/>
  <c r="J430" i="1" s="1"/>
  <c r="J431" i="1" a="1"/>
  <c r="J431" i="1" s="1"/>
  <c r="C432" i="1" a="1"/>
  <c r="C432" i="1" s="1"/>
  <c r="E432" i="15" s="1"/>
  <c r="F432" i="1" a="1"/>
  <c r="F432" i="1" s="1"/>
  <c r="J432" i="1" a="1"/>
  <c r="J432" i="1" s="1"/>
  <c r="J433" i="1" a="1"/>
  <c r="J433" i="1" s="1"/>
  <c r="G434" i="1" a="1"/>
  <c r="G434" i="1" s="1"/>
  <c r="J434" i="15" s="1"/>
  <c r="K434" i="1" a="1"/>
  <c r="K434" i="1" s="1"/>
  <c r="N434" i="1" a="1"/>
  <c r="N434" i="1" s="1"/>
  <c r="S434" i="15" s="1"/>
  <c r="L435" i="1" a="1"/>
  <c r="L435" i="1" s="1"/>
  <c r="R436" i="15"/>
  <c r="I436" i="1" a="1"/>
  <c r="I436" i="1" s="1"/>
  <c r="I437" i="1" a="1"/>
  <c r="I437" i="1" s="1"/>
  <c r="L437" i="1" a="1"/>
  <c r="L437" i="1" s="1"/>
  <c r="N437" i="1" a="1"/>
  <c r="N437" i="1" s="1"/>
  <c r="S437" i="15" s="1"/>
  <c r="F438" i="1" a="1"/>
  <c r="F438" i="1" s="1"/>
  <c r="L438" i="1" a="1"/>
  <c r="L438" i="1" s="1"/>
  <c r="N438" i="1" a="1"/>
  <c r="N438" i="1" s="1"/>
  <c r="S438" i="15" s="1"/>
  <c r="F439" i="1" a="1"/>
  <c r="F439" i="1" s="1"/>
  <c r="L439" i="1" a="1"/>
  <c r="L439" i="1" s="1"/>
  <c r="N439" i="1" a="1"/>
  <c r="N439" i="1" s="1"/>
  <c r="S439" i="15" s="1"/>
  <c r="F440" i="1" a="1"/>
  <c r="F440" i="1" s="1"/>
  <c r="L440" i="1" a="1"/>
  <c r="L440" i="1" s="1"/>
  <c r="N440" i="1" a="1"/>
  <c r="N440" i="1" s="1"/>
  <c r="S440" i="15" s="1"/>
  <c r="F441" i="1" a="1"/>
  <c r="F441" i="1" s="1"/>
  <c r="I441" i="1" a="1"/>
  <c r="I441" i="1" s="1"/>
  <c r="M441" i="1"/>
  <c r="M441" i="15" s="1"/>
  <c r="N441" i="15" s="1" a="1"/>
  <c r="N441" i="15" s="1"/>
  <c r="R442" i="15"/>
  <c r="I442" i="1" a="1"/>
  <c r="I442" i="1" s="1"/>
  <c r="M442" i="1"/>
  <c r="M442" i="15" s="1"/>
  <c r="N442" i="15" s="1" a="1"/>
  <c r="N442" i="15" s="1"/>
  <c r="C443" i="1" a="1"/>
  <c r="C443" i="1" s="1"/>
  <c r="E443" i="15" s="1"/>
  <c r="F443" i="1" a="1"/>
  <c r="F443" i="1" s="1"/>
  <c r="J443" i="1" a="1"/>
  <c r="J443" i="1" s="1"/>
  <c r="G444" i="1" a="1"/>
  <c r="G444" i="1" s="1"/>
  <c r="J444" i="15" s="1"/>
  <c r="K444" i="1" a="1"/>
  <c r="K444" i="1" s="1"/>
  <c r="N444" i="1" a="1"/>
  <c r="N444" i="1" s="1"/>
  <c r="S444" i="15" s="1"/>
  <c r="G386" i="1" a="1"/>
  <c r="G386" i="1" s="1"/>
  <c r="J386" i="15" s="1"/>
  <c r="R389" i="15"/>
  <c r="L391" i="1" a="1"/>
  <c r="L391" i="1" s="1"/>
  <c r="R393" i="15"/>
  <c r="C394" i="1" a="1"/>
  <c r="C394" i="1" s="1"/>
  <c r="E394" i="15" s="1"/>
  <c r="M394" i="1"/>
  <c r="M394" i="15" s="1"/>
  <c r="N394" i="15" s="1" a="1"/>
  <c r="N394" i="15" s="1"/>
  <c r="I395" i="1" a="1"/>
  <c r="I395" i="1" s="1"/>
  <c r="M395" i="1"/>
  <c r="M395" i="15" s="1"/>
  <c r="N395" i="15" s="1" a="1"/>
  <c r="N395" i="15" s="1"/>
  <c r="M396" i="1"/>
  <c r="M396" i="15" s="1"/>
  <c r="N396" i="15" s="1" a="1"/>
  <c r="N396" i="15" s="1"/>
  <c r="G397" i="1" a="1"/>
  <c r="G397" i="1" s="1"/>
  <c r="J397" i="15" s="1"/>
  <c r="R398" i="15"/>
  <c r="I398" i="1" a="1"/>
  <c r="I398" i="1" s="1"/>
  <c r="M398" i="1"/>
  <c r="M398" i="15" s="1"/>
  <c r="N398" i="15" s="1" a="1"/>
  <c r="N398" i="15" s="1"/>
  <c r="C399" i="1" a="1"/>
  <c r="C399" i="1" s="1"/>
  <c r="E399" i="15" s="1"/>
  <c r="F399" i="1" a="1"/>
  <c r="F399" i="1" s="1"/>
  <c r="I399" i="1" a="1"/>
  <c r="I399" i="1" s="1"/>
  <c r="M399" i="1"/>
  <c r="M399" i="15" s="1"/>
  <c r="N399" i="15" s="1" a="1"/>
  <c r="N399" i="15" s="1"/>
  <c r="C400" i="1" a="1"/>
  <c r="C400" i="1" s="1"/>
  <c r="E400" i="15" s="1"/>
  <c r="L400" i="1" a="1"/>
  <c r="L400" i="1" s="1"/>
  <c r="C401" i="1" a="1"/>
  <c r="C401" i="1" s="1"/>
  <c r="E401" i="15" s="1"/>
  <c r="R401" i="15"/>
  <c r="G402" i="1" a="1"/>
  <c r="G402" i="1" s="1"/>
  <c r="J402" i="15" s="1"/>
  <c r="N402" i="1" a="1"/>
  <c r="N402" i="1" s="1"/>
  <c r="S402" i="15" s="1"/>
  <c r="F403" i="1" a="1"/>
  <c r="F403" i="1" s="1"/>
  <c r="I403" i="1" a="1"/>
  <c r="I403" i="1" s="1"/>
  <c r="M403" i="1"/>
  <c r="M403" i="15" s="1"/>
  <c r="N403" i="15" s="1" a="1"/>
  <c r="N403" i="15" s="1"/>
  <c r="C404" i="1" a="1"/>
  <c r="C404" i="1" s="1"/>
  <c r="E404" i="15" s="1"/>
  <c r="F404" i="1" a="1"/>
  <c r="F404" i="1" s="1"/>
  <c r="J404" i="1" a="1"/>
  <c r="J404" i="1" s="1"/>
  <c r="M404" i="1"/>
  <c r="M404" i="15" s="1"/>
  <c r="N404" i="15" s="1" a="1"/>
  <c r="N404" i="15" s="1"/>
  <c r="C405" i="1" a="1"/>
  <c r="C405" i="1" s="1"/>
  <c r="E405" i="15" s="1"/>
  <c r="F405" i="1" a="1"/>
  <c r="F405" i="1" s="1"/>
  <c r="I405" i="1" a="1"/>
  <c r="I405" i="1" s="1"/>
  <c r="L405" i="1" a="1"/>
  <c r="L405" i="1" s="1"/>
  <c r="G406" i="1" a="1"/>
  <c r="G406" i="1" s="1"/>
  <c r="J406" i="15" s="1"/>
  <c r="M406" i="1"/>
  <c r="M406" i="15" s="1"/>
  <c r="N406" i="15" s="1" a="1"/>
  <c r="N406" i="15" s="1"/>
  <c r="R407" i="15"/>
  <c r="I407" i="1" a="1"/>
  <c r="I407" i="1" s="1"/>
  <c r="J408" i="1" a="1"/>
  <c r="J408" i="1" s="1"/>
  <c r="F409" i="1" a="1"/>
  <c r="F409" i="1" s="1"/>
  <c r="J409" i="1" a="1"/>
  <c r="J409" i="1" s="1"/>
  <c r="C410" i="1" a="1"/>
  <c r="C410" i="1" s="1"/>
  <c r="E410" i="15" s="1"/>
  <c r="F410" i="1" a="1"/>
  <c r="F410" i="1" s="1"/>
  <c r="I410" i="1" a="1"/>
  <c r="I410" i="1" s="1"/>
  <c r="M410" i="1"/>
  <c r="M410" i="15" s="1"/>
  <c r="N410" i="15" s="1" a="1"/>
  <c r="N410" i="15" s="1"/>
  <c r="R411" i="15"/>
  <c r="L411" i="1" a="1"/>
  <c r="L411" i="1" s="1"/>
  <c r="G412" i="1" a="1"/>
  <c r="G412" i="1" s="1"/>
  <c r="J412" i="15" s="1"/>
  <c r="K412" i="1" a="1"/>
  <c r="K412" i="1" s="1"/>
  <c r="N412" i="1" a="1"/>
  <c r="N412" i="1" s="1"/>
  <c r="S412" i="15" s="1"/>
  <c r="J413" i="1" a="1"/>
  <c r="J413" i="1" s="1"/>
  <c r="C414" i="1" a="1"/>
  <c r="C414" i="1" s="1"/>
  <c r="E414" i="15" s="1"/>
  <c r="F414" i="1" a="1"/>
  <c r="F414" i="1" s="1"/>
  <c r="I414" i="1" a="1"/>
  <c r="I414" i="1" s="1"/>
  <c r="M414" i="1"/>
  <c r="M414" i="15" s="1"/>
  <c r="N414" i="15" s="1" a="1"/>
  <c r="N414" i="15" s="1"/>
  <c r="R415" i="15"/>
  <c r="L415" i="1" a="1"/>
  <c r="L415" i="1" s="1"/>
  <c r="G416" i="1" a="1"/>
  <c r="G416" i="1" s="1"/>
  <c r="J416" i="15" s="1"/>
  <c r="K416" i="1" a="1"/>
  <c r="K416" i="1" s="1"/>
  <c r="N416" i="1" a="1"/>
  <c r="N416" i="1" s="1"/>
  <c r="S416" i="15" s="1"/>
  <c r="J417" i="1" a="1"/>
  <c r="J417" i="1" s="1"/>
  <c r="C418" i="1" a="1"/>
  <c r="C418" i="1" s="1"/>
  <c r="E418" i="15" s="1"/>
  <c r="F418" i="1" a="1"/>
  <c r="F418" i="1" s="1"/>
  <c r="I418" i="1" a="1"/>
  <c r="I418" i="1" s="1"/>
  <c r="M418" i="1"/>
  <c r="M418" i="15" s="1"/>
  <c r="N418" i="15" s="1" a="1"/>
  <c r="N418" i="15" s="1"/>
  <c r="R419" i="15"/>
  <c r="L419" i="1" a="1"/>
  <c r="L419" i="1" s="1"/>
  <c r="G420" i="1" a="1"/>
  <c r="G420" i="1" s="1"/>
  <c r="J420" i="15" s="1"/>
  <c r="K420" i="1" a="1"/>
  <c r="K420" i="1" s="1"/>
  <c r="N420" i="1" a="1"/>
  <c r="N420" i="1" s="1"/>
  <c r="S420" i="15" s="1"/>
  <c r="G421" i="1" a="1"/>
  <c r="G421" i="1" s="1"/>
  <c r="J421" i="15" s="1"/>
  <c r="K421" i="1" a="1"/>
  <c r="K421" i="1" s="1"/>
  <c r="N421" i="1" a="1"/>
  <c r="N421" i="1" s="1"/>
  <c r="S421" i="15" s="1"/>
  <c r="L422" i="1" a="1"/>
  <c r="L422" i="1" s="1"/>
  <c r="R423" i="15"/>
  <c r="I423" i="1" a="1"/>
  <c r="I423" i="1" s="1"/>
  <c r="M423" i="1"/>
  <c r="M423" i="15" s="1"/>
  <c r="N423" i="15" s="1" a="1"/>
  <c r="N423" i="15" s="1"/>
  <c r="C424" i="1" a="1"/>
  <c r="C424" i="1" s="1"/>
  <c r="E424" i="15" s="1"/>
  <c r="F424" i="1" a="1"/>
  <c r="F424" i="1" s="1"/>
  <c r="J424" i="1" a="1"/>
  <c r="J424" i="1" s="1"/>
  <c r="G425" i="1" a="1"/>
  <c r="G425" i="1" s="1"/>
  <c r="J425" i="15" s="1"/>
  <c r="K425" i="1" a="1"/>
  <c r="K425" i="1" s="1"/>
  <c r="N425" i="1" a="1"/>
  <c r="N425" i="1" s="1"/>
  <c r="S425" i="15" s="1"/>
  <c r="L426" i="1" a="1"/>
  <c r="L426" i="1" s="1"/>
  <c r="R427" i="15"/>
  <c r="I427" i="1" a="1"/>
  <c r="I427" i="1" s="1"/>
  <c r="M427" i="1"/>
  <c r="M427" i="15" s="1"/>
  <c r="N427" i="15" s="1" a="1"/>
  <c r="N427" i="15" s="1"/>
  <c r="C428" i="1" a="1"/>
  <c r="C428" i="1" s="1"/>
  <c r="E428" i="15" s="1"/>
  <c r="F428" i="1" a="1"/>
  <c r="F428" i="1" s="1"/>
  <c r="J428" i="1" a="1"/>
  <c r="J428" i="1" s="1"/>
  <c r="G429" i="1" a="1"/>
  <c r="G429" i="1" s="1"/>
  <c r="J429" i="15" s="1"/>
  <c r="K429" i="1" a="1"/>
  <c r="K429" i="1" s="1"/>
  <c r="N429" i="1" a="1"/>
  <c r="N429" i="1" s="1"/>
  <c r="S429" i="15" s="1"/>
  <c r="G430" i="1" a="1"/>
  <c r="G430" i="1" s="1"/>
  <c r="J430" i="15" s="1"/>
  <c r="K430" i="1" a="1"/>
  <c r="K430" i="1" s="1"/>
  <c r="N430" i="1" a="1"/>
  <c r="N430" i="1" s="1"/>
  <c r="S430" i="15" s="1"/>
  <c r="G431" i="1" a="1"/>
  <c r="G431" i="1" s="1"/>
  <c r="J431" i="15" s="1"/>
  <c r="K431" i="1" a="1"/>
  <c r="K431" i="1" s="1"/>
  <c r="N431" i="1" a="1"/>
  <c r="N431" i="1" s="1"/>
  <c r="S431" i="15" s="1"/>
  <c r="G432" i="1" a="1"/>
  <c r="G432" i="1" s="1"/>
  <c r="J432" i="15" s="1"/>
  <c r="K432" i="1" a="1"/>
  <c r="K432" i="1" s="1"/>
  <c r="N432" i="1" a="1"/>
  <c r="N432" i="1" s="1"/>
  <c r="S432" i="15" s="1"/>
  <c r="G433" i="1" a="1"/>
  <c r="G433" i="1" s="1"/>
  <c r="J433" i="15" s="1"/>
  <c r="K433" i="1" a="1"/>
  <c r="K433" i="1" s="1"/>
  <c r="N433" i="1" a="1"/>
  <c r="N433" i="1" s="1"/>
  <c r="S433" i="15" s="1"/>
  <c r="L434" i="1" a="1"/>
  <c r="L434" i="1" s="1"/>
  <c r="R435" i="15"/>
  <c r="I435" i="1" a="1"/>
  <c r="I435" i="1" s="1"/>
  <c r="M435" i="1"/>
  <c r="M435" i="15" s="1"/>
  <c r="N435" i="15" s="1" a="1"/>
  <c r="N435" i="15" s="1"/>
  <c r="C436" i="1" a="1"/>
  <c r="C436" i="1" s="1"/>
  <c r="E436" i="15" s="1"/>
  <c r="F436" i="1" a="1"/>
  <c r="F436" i="1" s="1"/>
  <c r="J436" i="1" a="1"/>
  <c r="J436" i="1" s="1"/>
  <c r="M436" i="1"/>
  <c r="M436" i="15" s="1"/>
  <c r="N436" i="15" s="1" a="1"/>
  <c r="N436" i="15" s="1"/>
  <c r="C437" i="1" a="1"/>
  <c r="C437" i="1" s="1"/>
  <c r="E437" i="15" s="1"/>
  <c r="R437" i="15"/>
  <c r="G437" i="1" a="1"/>
  <c r="G437" i="1" s="1"/>
  <c r="J437" i="15" s="1"/>
  <c r="J437" i="1" a="1"/>
  <c r="J437" i="1" s="1"/>
  <c r="M437" i="1"/>
  <c r="M437" i="15" s="1"/>
  <c r="N437" i="15" s="1" a="1"/>
  <c r="N437" i="15" s="1"/>
  <c r="I438" i="1" a="1"/>
  <c r="I438" i="1" s="1"/>
  <c r="M438" i="1"/>
  <c r="M438" i="15" s="1"/>
  <c r="N438" i="15" s="1" a="1"/>
  <c r="N438" i="15" s="1"/>
  <c r="I439" i="1" a="1"/>
  <c r="I439" i="1" s="1"/>
  <c r="M439" i="1"/>
  <c r="M439" i="15" s="1"/>
  <c r="N439" i="15" s="1" a="1"/>
  <c r="N439" i="15" s="1"/>
  <c r="I440" i="1" a="1"/>
  <c r="I440" i="1" s="1"/>
  <c r="M440" i="1"/>
  <c r="M440" i="15" s="1"/>
  <c r="N440" i="15" s="1" a="1"/>
  <c r="N440" i="15" s="1"/>
  <c r="G441" i="1" a="1"/>
  <c r="G441" i="1" s="1"/>
  <c r="J441" i="15" s="1"/>
  <c r="J441" i="1" a="1"/>
  <c r="J441" i="1" s="1"/>
  <c r="C442" i="1" a="1"/>
  <c r="C442" i="1" s="1"/>
  <c r="E442" i="15" s="1"/>
  <c r="F442" i="1" a="1"/>
  <c r="F442" i="1" s="1"/>
  <c r="J442" i="1" a="1"/>
  <c r="J442" i="1" s="1"/>
  <c r="G443" i="1" a="1"/>
  <c r="G443" i="1" s="1"/>
  <c r="J443" i="15" s="1"/>
  <c r="K443" i="1" a="1"/>
  <c r="K443" i="1" s="1"/>
  <c r="N443" i="1" a="1"/>
  <c r="N443" i="1" s="1"/>
  <c r="S443" i="15" s="1"/>
  <c r="L444" i="1" a="1"/>
  <c r="L444" i="1" s="1"/>
  <c r="R445" i="15"/>
  <c r="I445" i="1" a="1"/>
  <c r="I445" i="1" s="1"/>
  <c r="M445" i="1"/>
  <c r="M445" i="15" s="1"/>
  <c r="N445" i="15" s="1" a="1"/>
  <c r="N445" i="15" s="1"/>
  <c r="C446" i="1" a="1"/>
  <c r="C446" i="1" s="1"/>
  <c r="E446" i="15" s="1"/>
  <c r="F446" i="1" a="1"/>
  <c r="F446" i="1" s="1"/>
  <c r="J446" i="1" a="1"/>
  <c r="J446" i="1" s="1"/>
  <c r="G447" i="1" a="1"/>
  <c r="G447" i="1" s="1"/>
  <c r="J447" i="15" s="1"/>
  <c r="K447" i="1" a="1"/>
  <c r="K447" i="1" s="1"/>
  <c r="N447" i="1" a="1"/>
  <c r="N447" i="1" s="1"/>
  <c r="S447" i="15" s="1"/>
  <c r="L448" i="1" a="1"/>
  <c r="L448" i="1" s="1"/>
  <c r="R449" i="15"/>
  <c r="G446" i="1" a="1"/>
  <c r="G446" i="1" s="1"/>
  <c r="J446" i="15" s="1"/>
  <c r="M446" i="1"/>
  <c r="M446" i="15" s="1"/>
  <c r="N446" i="15" s="1" a="1"/>
  <c r="N446" i="15" s="1"/>
  <c r="L447" i="1" a="1"/>
  <c r="L447" i="1" s="1"/>
  <c r="I448" i="1" a="1"/>
  <c r="I448" i="1" s="1"/>
  <c r="M449" i="1"/>
  <c r="M449" i="15" s="1"/>
  <c r="N449" i="15" s="1" a="1"/>
  <c r="N449" i="15" s="1"/>
  <c r="G450" i="1" a="1"/>
  <c r="G450" i="1" s="1"/>
  <c r="J450" i="15" s="1"/>
  <c r="K450" i="1" a="1"/>
  <c r="K450" i="1" s="1"/>
  <c r="R451" i="15"/>
  <c r="I451" i="1" a="1"/>
  <c r="I451" i="1" s="1"/>
  <c r="M451" i="1"/>
  <c r="M451" i="15" s="1"/>
  <c r="N451" i="15" s="1" a="1"/>
  <c r="N451" i="15" s="1"/>
  <c r="C452" i="1" a="1"/>
  <c r="C452" i="1" s="1"/>
  <c r="E452" i="15" s="1"/>
  <c r="F452" i="1" a="1"/>
  <c r="F452" i="1" s="1"/>
  <c r="J452" i="1" a="1"/>
  <c r="J452" i="1" s="1"/>
  <c r="G453" i="1" a="1"/>
  <c r="G453" i="1" s="1"/>
  <c r="J453" i="15" s="1"/>
  <c r="K453" i="1" a="1"/>
  <c r="K453" i="1" s="1"/>
  <c r="N453" i="1" a="1"/>
  <c r="N453" i="1" s="1"/>
  <c r="S453" i="15" s="1"/>
  <c r="L454" i="1" a="1"/>
  <c r="L454" i="1" s="1"/>
  <c r="R455" i="15"/>
  <c r="I455" i="1" a="1"/>
  <c r="I455" i="1" s="1"/>
  <c r="M455" i="1"/>
  <c r="M455" i="15" s="1"/>
  <c r="N455" i="15" s="1" a="1"/>
  <c r="N455" i="15" s="1"/>
  <c r="C456" i="1" a="1"/>
  <c r="C456" i="1" s="1"/>
  <c r="E456" i="15" s="1"/>
  <c r="F456" i="1" a="1"/>
  <c r="F456" i="1" s="1"/>
  <c r="J456" i="1" a="1"/>
  <c r="J456" i="1" s="1"/>
  <c r="G457" i="1" a="1"/>
  <c r="G457" i="1" s="1"/>
  <c r="J457" i="15" s="1"/>
  <c r="K457" i="1" a="1"/>
  <c r="K457" i="1" s="1"/>
  <c r="N457" i="1" a="1"/>
  <c r="N457" i="1" s="1"/>
  <c r="S457" i="15" s="1"/>
  <c r="L458" i="1" a="1"/>
  <c r="L458" i="1" s="1"/>
  <c r="R459" i="15"/>
  <c r="I459" i="1" a="1"/>
  <c r="I459" i="1" s="1"/>
  <c r="M459" i="1"/>
  <c r="M459" i="15" s="1"/>
  <c r="N459" i="15" s="1" a="1"/>
  <c r="N459" i="15" s="1"/>
  <c r="C460" i="1" a="1"/>
  <c r="C460" i="1" s="1"/>
  <c r="E460" i="15" s="1"/>
  <c r="F460" i="1" a="1"/>
  <c r="F460" i="1" s="1"/>
  <c r="J460" i="1" a="1"/>
  <c r="J460" i="1" s="1"/>
  <c r="G461" i="1" a="1"/>
  <c r="G461" i="1" s="1"/>
  <c r="J461" i="15" s="1"/>
  <c r="K461" i="1" a="1"/>
  <c r="K461" i="1" s="1"/>
  <c r="N461" i="1" a="1"/>
  <c r="N461" i="1" s="1"/>
  <c r="S461" i="15" s="1"/>
  <c r="L462" i="1" a="1"/>
  <c r="L462" i="1" s="1"/>
  <c r="R463" i="15"/>
  <c r="I463" i="1" a="1"/>
  <c r="I463" i="1" s="1"/>
  <c r="M463" i="1"/>
  <c r="M463" i="15" s="1"/>
  <c r="N463" i="15" s="1" a="1"/>
  <c r="N463" i="15" s="1"/>
  <c r="C464" i="1" a="1"/>
  <c r="C464" i="1" s="1"/>
  <c r="E464" i="15" s="1"/>
  <c r="F464" i="1" a="1"/>
  <c r="F464" i="1" s="1"/>
  <c r="J464" i="1" a="1"/>
  <c r="J464" i="1" s="1"/>
  <c r="G465" i="1" a="1"/>
  <c r="G465" i="1" s="1"/>
  <c r="J465" i="15" s="1"/>
  <c r="K465" i="1" a="1"/>
  <c r="K465" i="1" s="1"/>
  <c r="N465" i="1" a="1"/>
  <c r="N465" i="1" s="1"/>
  <c r="S465" i="15" s="1"/>
  <c r="L466" i="1" a="1"/>
  <c r="L466" i="1" s="1"/>
  <c r="R467" i="15"/>
  <c r="I467" i="1" a="1"/>
  <c r="I467" i="1" s="1"/>
  <c r="M467" i="1"/>
  <c r="M467" i="15" s="1"/>
  <c r="N467" i="15" s="1" a="1"/>
  <c r="N467" i="15" s="1"/>
  <c r="C468" i="1" a="1"/>
  <c r="C468" i="1" s="1"/>
  <c r="E468" i="15" s="1"/>
  <c r="F468" i="1" a="1"/>
  <c r="F468" i="1" s="1"/>
  <c r="J468" i="1" a="1"/>
  <c r="J468" i="1" s="1"/>
  <c r="G469" i="1" a="1"/>
  <c r="G469" i="1" s="1"/>
  <c r="J469" i="15" s="1"/>
  <c r="K469" i="1" a="1"/>
  <c r="K469" i="1" s="1"/>
  <c r="N469" i="1" a="1"/>
  <c r="N469" i="1" s="1"/>
  <c r="S469" i="15" s="1"/>
  <c r="L470" i="1" a="1"/>
  <c r="L470" i="1" s="1"/>
  <c r="R471" i="15"/>
  <c r="I471" i="1" a="1"/>
  <c r="I471" i="1" s="1"/>
  <c r="M471" i="1"/>
  <c r="M471" i="15" s="1"/>
  <c r="N471" i="15" s="1" a="1"/>
  <c r="N471" i="15" s="1"/>
  <c r="C472" i="1" a="1"/>
  <c r="C472" i="1" s="1"/>
  <c r="E472" i="15" s="1"/>
  <c r="F472" i="1" a="1"/>
  <c r="F472" i="1" s="1"/>
  <c r="J472" i="1" a="1"/>
  <c r="J472" i="1" s="1"/>
  <c r="G473" i="1" a="1"/>
  <c r="G473" i="1" s="1"/>
  <c r="J473" i="15" s="1"/>
  <c r="K473" i="1" a="1"/>
  <c r="K473" i="1" s="1"/>
  <c r="N473" i="1" a="1"/>
  <c r="N473" i="1" s="1"/>
  <c r="S473" i="15" s="1"/>
  <c r="L474" i="1" a="1"/>
  <c r="L474" i="1" s="1"/>
  <c r="R475" i="15"/>
  <c r="I475" i="1" a="1"/>
  <c r="I475" i="1" s="1"/>
  <c r="M475" i="1"/>
  <c r="M475" i="15" s="1"/>
  <c r="N475" i="15" s="1" a="1"/>
  <c r="N475" i="15" s="1"/>
  <c r="C476" i="1" a="1"/>
  <c r="C476" i="1" s="1"/>
  <c r="E476" i="15" s="1"/>
  <c r="F476" i="1" a="1"/>
  <c r="F476" i="1" s="1"/>
  <c r="J476" i="1" a="1"/>
  <c r="J476" i="1" s="1"/>
  <c r="G477" i="1" a="1"/>
  <c r="G477" i="1" s="1"/>
  <c r="J477" i="15" s="1"/>
  <c r="K477" i="1" a="1"/>
  <c r="K477" i="1" s="1"/>
  <c r="N477" i="1" a="1"/>
  <c r="N477" i="1" s="1"/>
  <c r="S477" i="15" s="1"/>
  <c r="L478" i="1" a="1"/>
  <c r="L478" i="1" s="1"/>
  <c r="R479" i="15"/>
  <c r="I479" i="1" a="1"/>
  <c r="I479" i="1" s="1"/>
  <c r="M479" i="1"/>
  <c r="M479" i="15" s="1"/>
  <c r="N479" i="15" s="1" a="1"/>
  <c r="N479" i="15" s="1"/>
  <c r="C480" i="1" a="1"/>
  <c r="C480" i="1" s="1"/>
  <c r="E480" i="15" s="1"/>
  <c r="F480" i="1" a="1"/>
  <c r="F480" i="1" s="1"/>
  <c r="J480" i="1" a="1"/>
  <c r="J480" i="1" s="1"/>
  <c r="G481" i="1" a="1"/>
  <c r="G481" i="1" s="1"/>
  <c r="J481" i="15" s="1"/>
  <c r="K481" i="1" a="1"/>
  <c r="K481" i="1" s="1"/>
  <c r="N481" i="1" a="1"/>
  <c r="N481" i="1" s="1"/>
  <c r="S481" i="15" s="1"/>
  <c r="L482" i="1" a="1"/>
  <c r="L482" i="1" s="1"/>
  <c r="R483" i="15"/>
  <c r="I483" i="1" a="1"/>
  <c r="I483" i="1" s="1"/>
  <c r="M483" i="1"/>
  <c r="M483" i="15" s="1"/>
  <c r="N483" i="15" s="1" a="1"/>
  <c r="N483" i="15" s="1"/>
  <c r="C484" i="1" a="1"/>
  <c r="C484" i="1" s="1"/>
  <c r="E484" i="15" s="1"/>
  <c r="F484" i="1" a="1"/>
  <c r="F484" i="1" s="1"/>
  <c r="I484" i="1" a="1"/>
  <c r="I484" i="1" s="1"/>
  <c r="M484" i="1"/>
  <c r="M484" i="15" s="1"/>
  <c r="N484" i="15" s="1" a="1"/>
  <c r="N484" i="15" s="1"/>
  <c r="R485" i="15"/>
  <c r="I485" i="1" a="1"/>
  <c r="I485" i="1" s="1"/>
  <c r="M485" i="1"/>
  <c r="M485" i="15" s="1"/>
  <c r="N485" i="15" s="1" a="1"/>
  <c r="N485" i="15" s="1"/>
  <c r="C486" i="1" a="1"/>
  <c r="C486" i="1" s="1"/>
  <c r="E486" i="15" s="1"/>
  <c r="F486" i="1" a="1"/>
  <c r="F486" i="1" s="1"/>
  <c r="I486" i="1" a="1"/>
  <c r="I486" i="1" s="1"/>
  <c r="M486" i="1"/>
  <c r="M486" i="15" s="1"/>
  <c r="N486" i="15" s="1" a="1"/>
  <c r="N486" i="15" s="1"/>
  <c r="R487" i="15"/>
  <c r="I487" i="1" a="1"/>
  <c r="I487" i="1" s="1"/>
  <c r="M487" i="1"/>
  <c r="M487" i="15" s="1"/>
  <c r="N487" i="15" s="1" a="1"/>
  <c r="N487" i="15" s="1"/>
  <c r="C488" i="1" a="1"/>
  <c r="C488" i="1" s="1"/>
  <c r="E488" i="15" s="1"/>
  <c r="F488" i="1" a="1"/>
  <c r="F488" i="1" s="1"/>
  <c r="I488" i="1" a="1"/>
  <c r="I488" i="1" s="1"/>
  <c r="M488" i="1"/>
  <c r="M488" i="15" s="1"/>
  <c r="N488" i="15" s="1" a="1"/>
  <c r="N488" i="15" s="1"/>
  <c r="R489" i="15"/>
  <c r="I489" i="1" a="1"/>
  <c r="I489" i="1" s="1"/>
  <c r="M489" i="1"/>
  <c r="M489" i="15" s="1"/>
  <c r="N489" i="15" s="1" a="1"/>
  <c r="N489" i="15" s="1"/>
  <c r="R490" i="15"/>
  <c r="L490" i="1" a="1"/>
  <c r="L490" i="1" s="1"/>
  <c r="G491" i="1" a="1"/>
  <c r="G491" i="1" s="1"/>
  <c r="J491" i="15" s="1"/>
  <c r="K491" i="1" a="1"/>
  <c r="K491" i="1" s="1"/>
  <c r="N491" i="1" a="1"/>
  <c r="N491" i="1" s="1"/>
  <c r="S491" i="15" s="1"/>
  <c r="G492" i="1" a="1"/>
  <c r="G492" i="1" s="1"/>
  <c r="J492" i="15" s="1"/>
  <c r="K492" i="1" a="1"/>
  <c r="K492" i="1" s="1"/>
  <c r="N492" i="1" a="1"/>
  <c r="N492" i="1" s="1"/>
  <c r="S492" i="15" s="1"/>
  <c r="L493" i="1" a="1"/>
  <c r="L493" i="1" s="1"/>
  <c r="R494" i="15"/>
  <c r="I494" i="1" a="1"/>
  <c r="I494" i="1" s="1"/>
  <c r="M494" i="1"/>
  <c r="M494" i="15" s="1"/>
  <c r="N494" i="15" s="1" a="1"/>
  <c r="N494" i="15" s="1"/>
  <c r="C495" i="1" a="1"/>
  <c r="C495" i="1" s="1"/>
  <c r="E495" i="15" s="1"/>
  <c r="F495" i="1" a="1"/>
  <c r="F495" i="1" s="1"/>
  <c r="J495" i="1" a="1"/>
  <c r="J495" i="1" s="1"/>
  <c r="G496" i="1" a="1"/>
  <c r="G496" i="1" s="1"/>
  <c r="J496" i="15" s="1"/>
  <c r="K496" i="1" a="1"/>
  <c r="K496" i="1" s="1"/>
  <c r="N496" i="1" a="1"/>
  <c r="N496" i="1" s="1"/>
  <c r="S496" i="15" s="1"/>
  <c r="L497" i="1" a="1"/>
  <c r="L497" i="1" s="1"/>
  <c r="R498" i="15"/>
  <c r="I498" i="1" a="1"/>
  <c r="I498" i="1" s="1"/>
  <c r="M498" i="1"/>
  <c r="M498" i="15" s="1"/>
  <c r="N498" i="15" s="1" a="1"/>
  <c r="N498" i="15" s="1"/>
  <c r="C499" i="1" a="1"/>
  <c r="C499" i="1" s="1"/>
  <c r="E499" i="15" s="1"/>
  <c r="F499" i="1" a="1"/>
  <c r="F499" i="1" s="1"/>
  <c r="J499" i="1" a="1"/>
  <c r="J499" i="1" s="1"/>
  <c r="G500" i="1" a="1"/>
  <c r="G500" i="1" s="1"/>
  <c r="J500" i="15" s="1"/>
  <c r="K500" i="1" a="1"/>
  <c r="K500" i="1" s="1"/>
  <c r="N500" i="1" a="1"/>
  <c r="N500" i="1" s="1"/>
  <c r="S500" i="15" s="1"/>
  <c r="L501" i="1" a="1"/>
  <c r="L501" i="1" s="1"/>
  <c r="R502" i="15"/>
  <c r="I502" i="1" a="1"/>
  <c r="I502" i="1" s="1"/>
  <c r="M502" i="1"/>
  <c r="M502" i="15" s="1"/>
  <c r="N502" i="15" s="1" a="1"/>
  <c r="N502" i="15" s="1"/>
  <c r="C503" i="1" a="1"/>
  <c r="C503" i="1" s="1"/>
  <c r="E503" i="15" s="1"/>
  <c r="F503" i="1" a="1"/>
  <c r="F503" i="1" s="1"/>
  <c r="J503" i="1" a="1"/>
  <c r="J503" i="1" s="1"/>
  <c r="G504" i="1" a="1"/>
  <c r="G504" i="1" s="1"/>
  <c r="J504" i="15" s="1"/>
  <c r="K504" i="1" a="1"/>
  <c r="K504" i="1" s="1"/>
  <c r="N504" i="1" a="1"/>
  <c r="N504" i="1" s="1"/>
  <c r="S504" i="15" s="1"/>
  <c r="L505" i="1" a="1"/>
  <c r="L505" i="1" s="1"/>
  <c r="R506" i="15"/>
  <c r="I506" i="1" a="1"/>
  <c r="I506" i="1" s="1"/>
  <c r="M506" i="1"/>
  <c r="M506" i="15" s="1"/>
  <c r="N506" i="15" s="1" a="1"/>
  <c r="N506" i="15" s="1"/>
  <c r="C507" i="1" a="1"/>
  <c r="C507" i="1" s="1"/>
  <c r="E507" i="15" s="1"/>
  <c r="F507" i="1" a="1"/>
  <c r="F507" i="1" s="1"/>
  <c r="J507" i="1" a="1"/>
  <c r="J507" i="1" s="1"/>
  <c r="G508" i="1" a="1"/>
  <c r="G508" i="1" s="1"/>
  <c r="J508" i="15" s="1"/>
  <c r="K508" i="1" a="1"/>
  <c r="K508" i="1" s="1"/>
  <c r="N508" i="1" a="1"/>
  <c r="N508" i="1" s="1"/>
  <c r="S508" i="15" s="1"/>
  <c r="L509" i="1" a="1"/>
  <c r="L509" i="1" s="1"/>
  <c r="R510" i="15"/>
  <c r="I510" i="1" a="1"/>
  <c r="I510" i="1" s="1"/>
  <c r="M510" i="1"/>
  <c r="M510" i="15" s="1"/>
  <c r="N510" i="15" s="1" a="1"/>
  <c r="N510" i="15" s="1"/>
  <c r="C511" i="1" a="1"/>
  <c r="C511" i="1" s="1"/>
  <c r="E511" i="15" s="1"/>
  <c r="F511" i="1" a="1"/>
  <c r="F511" i="1" s="1"/>
  <c r="J511" i="1" a="1"/>
  <c r="J511" i="1" s="1"/>
  <c r="G512" i="1" a="1"/>
  <c r="G512" i="1" s="1"/>
  <c r="J512" i="15" s="1"/>
  <c r="K512" i="1" a="1"/>
  <c r="K512" i="1" s="1"/>
  <c r="N512" i="1" a="1"/>
  <c r="N512" i="1" s="1"/>
  <c r="S512" i="15" s="1"/>
  <c r="L513" i="1" a="1"/>
  <c r="L513" i="1" s="1"/>
  <c r="R514" i="15"/>
  <c r="I514" i="1" a="1"/>
  <c r="I514" i="1" s="1"/>
  <c r="M514" i="1"/>
  <c r="M514" i="15" s="1"/>
  <c r="N514" i="15" s="1" a="1"/>
  <c r="N514" i="15" s="1"/>
  <c r="C515" i="1" a="1"/>
  <c r="C515" i="1" s="1"/>
  <c r="E515" i="15" s="1"/>
  <c r="F515" i="1" a="1"/>
  <c r="F515" i="1" s="1"/>
  <c r="J515" i="1" a="1"/>
  <c r="J515" i="1" s="1"/>
  <c r="G516" i="1" a="1"/>
  <c r="G516" i="1" s="1"/>
  <c r="J516" i="15" s="1"/>
  <c r="K516" i="1" a="1"/>
  <c r="K516" i="1" s="1"/>
  <c r="N516" i="1" a="1"/>
  <c r="N516" i="1" s="1"/>
  <c r="S516" i="15" s="1"/>
  <c r="L517" i="1" a="1"/>
  <c r="L517" i="1" s="1"/>
  <c r="R518" i="15"/>
  <c r="I518" i="1" a="1"/>
  <c r="I518" i="1" s="1"/>
  <c r="M518" i="1"/>
  <c r="M518" i="15" s="1"/>
  <c r="N518" i="15" s="1" a="1"/>
  <c r="N518" i="15" s="1"/>
  <c r="C519" i="1" a="1"/>
  <c r="C519" i="1" s="1"/>
  <c r="E519" i="15" s="1"/>
  <c r="F519" i="1" a="1"/>
  <c r="F519" i="1" s="1"/>
  <c r="J519" i="1" a="1"/>
  <c r="J519" i="1" s="1"/>
  <c r="G520" i="1" a="1"/>
  <c r="G520" i="1" s="1"/>
  <c r="J520" i="15" s="1"/>
  <c r="K520" i="1" a="1"/>
  <c r="K520" i="1" s="1"/>
  <c r="N520" i="1" a="1"/>
  <c r="N520" i="1" s="1"/>
  <c r="S520" i="15" s="1"/>
  <c r="L521" i="1" a="1"/>
  <c r="L521" i="1" s="1"/>
  <c r="R522" i="15"/>
  <c r="I522" i="1" a="1"/>
  <c r="I522" i="1" s="1"/>
  <c r="M522" i="1"/>
  <c r="M522" i="15" s="1"/>
  <c r="N522" i="15" s="1" a="1"/>
  <c r="N522" i="15" s="1"/>
  <c r="C523" i="1" a="1"/>
  <c r="C523" i="1" s="1"/>
  <c r="E523" i="15" s="1"/>
  <c r="F523" i="1" a="1"/>
  <c r="F523" i="1" s="1"/>
  <c r="J523" i="1" a="1"/>
  <c r="J523" i="1" s="1"/>
  <c r="G524" i="1" a="1"/>
  <c r="G524" i="1" s="1"/>
  <c r="J524" i="15" s="1"/>
  <c r="K524" i="1" a="1"/>
  <c r="K524" i="1" s="1"/>
  <c r="N524" i="1" a="1"/>
  <c r="N524" i="1" s="1"/>
  <c r="S524" i="15" s="1"/>
  <c r="L525" i="1" a="1"/>
  <c r="L525" i="1" s="1"/>
  <c r="R526" i="15"/>
  <c r="I526" i="1" a="1"/>
  <c r="I526" i="1" s="1"/>
  <c r="M526" i="1"/>
  <c r="M526" i="15" s="1"/>
  <c r="N526" i="15" s="1" a="1"/>
  <c r="N526" i="15" s="1"/>
  <c r="C527" i="1" a="1"/>
  <c r="C527" i="1" s="1"/>
  <c r="E527" i="15" s="1"/>
  <c r="F527" i="1" a="1"/>
  <c r="F527" i="1" s="1"/>
  <c r="J527" i="1" a="1"/>
  <c r="J527" i="1" s="1"/>
  <c r="G528" i="1" a="1"/>
  <c r="G528" i="1" s="1"/>
  <c r="J528" i="15" s="1"/>
  <c r="K528" i="1" a="1"/>
  <c r="K528" i="1" s="1"/>
  <c r="N528" i="1" a="1"/>
  <c r="N528" i="1" s="1"/>
  <c r="S528" i="15" s="1"/>
  <c r="L529" i="1" a="1"/>
  <c r="L529" i="1" s="1"/>
  <c r="R530" i="15"/>
  <c r="I530" i="1" a="1"/>
  <c r="I530" i="1" s="1"/>
  <c r="M530" i="1"/>
  <c r="M530" i="15" s="1"/>
  <c r="N530" i="15" s="1" a="1"/>
  <c r="N530" i="15" s="1"/>
  <c r="C531" i="1" a="1"/>
  <c r="C531" i="1" s="1"/>
  <c r="E531" i="15" s="1"/>
  <c r="F531" i="1" a="1"/>
  <c r="F531" i="1" s="1"/>
  <c r="J531" i="1" a="1"/>
  <c r="J531" i="1" s="1"/>
  <c r="G532" i="1" a="1"/>
  <c r="G532" i="1" s="1"/>
  <c r="J532" i="15" s="1"/>
  <c r="K532" i="1" a="1"/>
  <c r="K532" i="1" s="1"/>
  <c r="N532" i="1" a="1"/>
  <c r="N532" i="1" s="1"/>
  <c r="S532" i="15" s="1"/>
  <c r="L533" i="1" a="1"/>
  <c r="L533" i="1" s="1"/>
  <c r="R534" i="15"/>
  <c r="I534" i="1" a="1"/>
  <c r="I534" i="1" s="1"/>
  <c r="M534" i="1"/>
  <c r="M534" i="15" s="1"/>
  <c r="N534" i="15" s="1" a="1"/>
  <c r="N534" i="15" s="1"/>
  <c r="C535" i="1" a="1"/>
  <c r="C535" i="1" s="1"/>
  <c r="E535" i="15" s="1"/>
  <c r="F535" i="1" a="1"/>
  <c r="F535" i="1" s="1"/>
  <c r="J535" i="1" a="1"/>
  <c r="J535" i="1" s="1"/>
  <c r="G536" i="1" a="1"/>
  <c r="G536" i="1" s="1"/>
  <c r="J536" i="15" s="1"/>
  <c r="K536" i="1" a="1"/>
  <c r="K536" i="1" s="1"/>
  <c r="N536" i="1" a="1"/>
  <c r="N536" i="1" s="1"/>
  <c r="S536" i="15" s="1"/>
  <c r="L537" i="1" a="1"/>
  <c r="L537" i="1" s="1"/>
  <c r="R538" i="15"/>
  <c r="I538" i="1" a="1"/>
  <c r="I538" i="1" s="1"/>
  <c r="M538" i="1"/>
  <c r="M538" i="15" s="1"/>
  <c r="N538" i="15" s="1" a="1"/>
  <c r="N538" i="15" s="1"/>
  <c r="C539" i="1" a="1"/>
  <c r="C539" i="1" s="1"/>
  <c r="E539" i="15" s="1"/>
  <c r="F539" i="1" a="1"/>
  <c r="F539" i="1" s="1"/>
  <c r="J539" i="1" a="1"/>
  <c r="J539" i="1" s="1"/>
  <c r="G540" i="1" a="1"/>
  <c r="G540" i="1" s="1"/>
  <c r="J540" i="15" s="1"/>
  <c r="K540" i="1" a="1"/>
  <c r="K540" i="1" s="1"/>
  <c r="N540" i="1" a="1"/>
  <c r="N540" i="1" s="1"/>
  <c r="S540" i="15" s="1"/>
  <c r="L541" i="1" a="1"/>
  <c r="L541" i="1" s="1"/>
  <c r="R542" i="15"/>
  <c r="I542" i="1" a="1"/>
  <c r="I542" i="1" s="1"/>
  <c r="M542" i="1"/>
  <c r="M542" i="15" s="1"/>
  <c r="N542" i="15" s="1" a="1"/>
  <c r="N542" i="15" s="1"/>
  <c r="C445" i="1" a="1"/>
  <c r="C445" i="1" s="1"/>
  <c r="E445" i="15" s="1"/>
  <c r="J445" i="1" a="1"/>
  <c r="J445" i="1" s="1"/>
  <c r="N446" i="1" a="1"/>
  <c r="N446" i="1" s="1"/>
  <c r="S446" i="15" s="1"/>
  <c r="F447" i="1" a="1"/>
  <c r="F447" i="1" s="1"/>
  <c r="R448" i="15"/>
  <c r="K448" i="1" a="1"/>
  <c r="K448" i="1" s="1"/>
  <c r="C449" i="1" a="1"/>
  <c r="C449" i="1" s="1"/>
  <c r="E449" i="15" s="1"/>
  <c r="I449" i="1" a="1"/>
  <c r="I449" i="1" s="1"/>
  <c r="M450" i="1"/>
  <c r="M450" i="15" s="1"/>
  <c r="N450" i="15" s="1" a="1"/>
  <c r="N450" i="15" s="1"/>
  <c r="C451" i="1" a="1"/>
  <c r="C451" i="1" s="1"/>
  <c r="E451" i="15" s="1"/>
  <c r="F451" i="1" a="1"/>
  <c r="F451" i="1" s="1"/>
  <c r="J451" i="1" a="1"/>
  <c r="J451" i="1" s="1"/>
  <c r="G452" i="1" a="1"/>
  <c r="G452" i="1" s="1"/>
  <c r="J452" i="15" s="1"/>
  <c r="K452" i="1" a="1"/>
  <c r="K452" i="1" s="1"/>
  <c r="N452" i="1" a="1"/>
  <c r="N452" i="1" s="1"/>
  <c r="S452" i="15" s="1"/>
  <c r="L453" i="1" a="1"/>
  <c r="L453" i="1" s="1"/>
  <c r="R454" i="15"/>
  <c r="I454" i="1" a="1"/>
  <c r="I454" i="1" s="1"/>
  <c r="M454" i="1"/>
  <c r="M454" i="15" s="1"/>
  <c r="N454" i="15" s="1" a="1"/>
  <c r="N454" i="15" s="1"/>
  <c r="C455" i="1" a="1"/>
  <c r="C455" i="1" s="1"/>
  <c r="E455" i="15" s="1"/>
  <c r="F455" i="1" a="1"/>
  <c r="F455" i="1" s="1"/>
  <c r="J455" i="1" a="1"/>
  <c r="J455" i="1" s="1"/>
  <c r="G456" i="1" a="1"/>
  <c r="G456" i="1" s="1"/>
  <c r="J456" i="15" s="1"/>
  <c r="K456" i="1" a="1"/>
  <c r="K456" i="1" s="1"/>
  <c r="N456" i="1" a="1"/>
  <c r="N456" i="1" s="1"/>
  <c r="S456" i="15" s="1"/>
  <c r="L457" i="1" a="1"/>
  <c r="L457" i="1" s="1"/>
  <c r="R458" i="15"/>
  <c r="I458" i="1" a="1"/>
  <c r="I458" i="1" s="1"/>
  <c r="M458" i="1"/>
  <c r="M458" i="15" s="1"/>
  <c r="N458" i="15" s="1" a="1"/>
  <c r="N458" i="15" s="1"/>
  <c r="C459" i="1" a="1"/>
  <c r="C459" i="1" s="1"/>
  <c r="E459" i="15" s="1"/>
  <c r="F459" i="1" a="1"/>
  <c r="F459" i="1" s="1"/>
  <c r="J459" i="1" a="1"/>
  <c r="J459" i="1" s="1"/>
  <c r="G460" i="1" a="1"/>
  <c r="G460" i="1" s="1"/>
  <c r="J460" i="15" s="1"/>
  <c r="K460" i="1" a="1"/>
  <c r="K460" i="1" s="1"/>
  <c r="N460" i="1" a="1"/>
  <c r="N460" i="1" s="1"/>
  <c r="S460" i="15" s="1"/>
  <c r="L461" i="1" a="1"/>
  <c r="L461" i="1" s="1"/>
  <c r="R462" i="15"/>
  <c r="I462" i="1" a="1"/>
  <c r="I462" i="1" s="1"/>
  <c r="M462" i="1"/>
  <c r="M462" i="15" s="1"/>
  <c r="N462" i="15" s="1" a="1"/>
  <c r="N462" i="15" s="1"/>
  <c r="C463" i="1" a="1"/>
  <c r="C463" i="1" s="1"/>
  <c r="E463" i="15" s="1"/>
  <c r="F463" i="1" a="1"/>
  <c r="F463" i="1" s="1"/>
  <c r="J463" i="1" a="1"/>
  <c r="J463" i="1" s="1"/>
  <c r="G464" i="1" a="1"/>
  <c r="G464" i="1" s="1"/>
  <c r="J464" i="15" s="1"/>
  <c r="K464" i="1" a="1"/>
  <c r="K464" i="1" s="1"/>
  <c r="N464" i="1" a="1"/>
  <c r="N464" i="1" s="1"/>
  <c r="S464" i="15" s="1"/>
  <c r="L465" i="1" a="1"/>
  <c r="L465" i="1" s="1"/>
  <c r="R466" i="15"/>
  <c r="I466" i="1" a="1"/>
  <c r="I466" i="1" s="1"/>
  <c r="M466" i="1"/>
  <c r="M466" i="15" s="1"/>
  <c r="N466" i="15" s="1" a="1"/>
  <c r="N466" i="15" s="1"/>
  <c r="C467" i="1" a="1"/>
  <c r="C467" i="1" s="1"/>
  <c r="E467" i="15" s="1"/>
  <c r="F467" i="1" a="1"/>
  <c r="F467" i="1" s="1"/>
  <c r="J467" i="1" a="1"/>
  <c r="J467" i="1" s="1"/>
  <c r="G468" i="1" a="1"/>
  <c r="G468" i="1" s="1"/>
  <c r="J468" i="15" s="1"/>
  <c r="K468" i="1" a="1"/>
  <c r="K468" i="1" s="1"/>
  <c r="N468" i="1" a="1"/>
  <c r="N468" i="1" s="1"/>
  <c r="S468" i="15" s="1"/>
  <c r="L469" i="1" a="1"/>
  <c r="L469" i="1" s="1"/>
  <c r="R470" i="15"/>
  <c r="I470" i="1" a="1"/>
  <c r="I470" i="1" s="1"/>
  <c r="M470" i="1"/>
  <c r="M470" i="15" s="1"/>
  <c r="N470" i="15" s="1" a="1"/>
  <c r="N470" i="15" s="1"/>
  <c r="C471" i="1" a="1"/>
  <c r="C471" i="1" s="1"/>
  <c r="E471" i="15" s="1"/>
  <c r="F471" i="1" a="1"/>
  <c r="F471" i="1" s="1"/>
  <c r="J471" i="1" a="1"/>
  <c r="J471" i="1" s="1"/>
  <c r="G472" i="1" a="1"/>
  <c r="G472" i="1" s="1"/>
  <c r="J472" i="15" s="1"/>
  <c r="K472" i="1" a="1"/>
  <c r="K472" i="1" s="1"/>
  <c r="N472" i="1" a="1"/>
  <c r="N472" i="1" s="1"/>
  <c r="S472" i="15" s="1"/>
  <c r="L473" i="1" a="1"/>
  <c r="L473" i="1" s="1"/>
  <c r="R474" i="15"/>
  <c r="I474" i="1" a="1"/>
  <c r="I474" i="1" s="1"/>
  <c r="M474" i="1"/>
  <c r="M474" i="15" s="1"/>
  <c r="N474" i="15" s="1" a="1"/>
  <c r="N474" i="15" s="1"/>
  <c r="C475" i="1" a="1"/>
  <c r="C475" i="1" s="1"/>
  <c r="E475" i="15" s="1"/>
  <c r="F475" i="1" a="1"/>
  <c r="F475" i="1" s="1"/>
  <c r="J475" i="1" a="1"/>
  <c r="J475" i="1" s="1"/>
  <c r="G476" i="1" a="1"/>
  <c r="G476" i="1" s="1"/>
  <c r="J476" i="15" s="1"/>
  <c r="K476" i="1" a="1"/>
  <c r="K476" i="1" s="1"/>
  <c r="N476" i="1" a="1"/>
  <c r="N476" i="1" s="1"/>
  <c r="S476" i="15" s="1"/>
  <c r="L477" i="1" a="1"/>
  <c r="L477" i="1" s="1"/>
  <c r="R478" i="15"/>
  <c r="I478" i="1" a="1"/>
  <c r="I478" i="1" s="1"/>
  <c r="M478" i="1"/>
  <c r="M478" i="15" s="1"/>
  <c r="N478" i="15" s="1" a="1"/>
  <c r="N478" i="15" s="1"/>
  <c r="C479" i="1" a="1"/>
  <c r="C479" i="1" s="1"/>
  <c r="E479" i="15" s="1"/>
  <c r="F479" i="1" a="1"/>
  <c r="F479" i="1" s="1"/>
  <c r="J479" i="1" a="1"/>
  <c r="J479" i="1" s="1"/>
  <c r="G480" i="1" a="1"/>
  <c r="G480" i="1" s="1"/>
  <c r="J480" i="15" s="1"/>
  <c r="K480" i="1" a="1"/>
  <c r="K480" i="1" s="1"/>
  <c r="N480" i="1" a="1"/>
  <c r="N480" i="1" s="1"/>
  <c r="S480" i="15" s="1"/>
  <c r="L481" i="1" a="1"/>
  <c r="L481" i="1" s="1"/>
  <c r="R482" i="15"/>
  <c r="I482" i="1" a="1"/>
  <c r="I482" i="1" s="1"/>
  <c r="M482" i="1"/>
  <c r="M482" i="15" s="1"/>
  <c r="N482" i="15" s="1" a="1"/>
  <c r="N482" i="15" s="1"/>
  <c r="C483" i="1" a="1"/>
  <c r="C483" i="1" s="1"/>
  <c r="E483" i="15" s="1"/>
  <c r="F483" i="1" a="1"/>
  <c r="F483" i="1" s="1"/>
  <c r="J483" i="1" a="1"/>
  <c r="J483" i="1" s="1"/>
  <c r="J484" i="1" a="1"/>
  <c r="J484" i="1" s="1"/>
  <c r="C485" i="1" a="1"/>
  <c r="C485" i="1" s="1"/>
  <c r="E485" i="15" s="1"/>
  <c r="F485" i="1" a="1"/>
  <c r="F485" i="1" s="1"/>
  <c r="J485" i="1" a="1"/>
  <c r="J485" i="1" s="1"/>
  <c r="J486" i="1" a="1"/>
  <c r="J486" i="1" s="1"/>
  <c r="C487" i="1" a="1"/>
  <c r="C487" i="1" s="1"/>
  <c r="E487" i="15" s="1"/>
  <c r="F487" i="1" a="1"/>
  <c r="F487" i="1" s="1"/>
  <c r="J487" i="1" a="1"/>
  <c r="J487" i="1" s="1"/>
  <c r="J488" i="1" a="1"/>
  <c r="J488" i="1" s="1"/>
  <c r="C489" i="1" a="1"/>
  <c r="C489" i="1" s="1"/>
  <c r="E489" i="15" s="1"/>
  <c r="F489" i="1" a="1"/>
  <c r="F489" i="1" s="1"/>
  <c r="J489" i="1" a="1"/>
  <c r="J489" i="1" s="1"/>
  <c r="C490" i="1" a="1"/>
  <c r="C490" i="1" s="1"/>
  <c r="E490" i="15" s="1"/>
  <c r="F490" i="1" a="1"/>
  <c r="F490" i="1" s="1"/>
  <c r="I490" i="1" a="1"/>
  <c r="I490" i="1" s="1"/>
  <c r="M490" i="1"/>
  <c r="M490" i="15" s="1"/>
  <c r="N490" i="15" s="1" a="1"/>
  <c r="N490" i="15" s="1"/>
  <c r="R491" i="15"/>
  <c r="L491" i="1" a="1"/>
  <c r="L491" i="1" s="1"/>
  <c r="L492" i="1" a="1"/>
  <c r="L492" i="1" s="1"/>
  <c r="R493" i="15"/>
  <c r="I493" i="1" a="1"/>
  <c r="I493" i="1" s="1"/>
  <c r="M493" i="1"/>
  <c r="M493" i="15" s="1"/>
  <c r="N493" i="15" s="1" a="1"/>
  <c r="N493" i="15" s="1"/>
  <c r="C494" i="1" a="1"/>
  <c r="C494" i="1" s="1"/>
  <c r="E494" i="15" s="1"/>
  <c r="F494" i="1" a="1"/>
  <c r="F494" i="1" s="1"/>
  <c r="J494" i="1" a="1"/>
  <c r="J494" i="1" s="1"/>
  <c r="G495" i="1" a="1"/>
  <c r="G495" i="1" s="1"/>
  <c r="J495" i="15" s="1"/>
  <c r="K495" i="1" a="1"/>
  <c r="K495" i="1" s="1"/>
  <c r="N495" i="1" a="1"/>
  <c r="N495" i="1" s="1"/>
  <c r="S495" i="15" s="1"/>
  <c r="L496" i="1" a="1"/>
  <c r="L496" i="1" s="1"/>
  <c r="R497" i="15"/>
  <c r="I497" i="1" a="1"/>
  <c r="I497" i="1" s="1"/>
  <c r="M497" i="1"/>
  <c r="M497" i="15" s="1"/>
  <c r="N497" i="15" s="1" a="1"/>
  <c r="N497" i="15" s="1"/>
  <c r="C498" i="1" a="1"/>
  <c r="C498" i="1" s="1"/>
  <c r="E498" i="15" s="1"/>
  <c r="F498" i="1" a="1"/>
  <c r="F498" i="1" s="1"/>
  <c r="J498" i="1" a="1"/>
  <c r="J498" i="1" s="1"/>
  <c r="G499" i="1" a="1"/>
  <c r="G499" i="1" s="1"/>
  <c r="J499" i="15" s="1"/>
  <c r="K499" i="1" a="1"/>
  <c r="K499" i="1" s="1"/>
  <c r="N499" i="1" a="1"/>
  <c r="N499" i="1" s="1"/>
  <c r="S499" i="15" s="1"/>
  <c r="L500" i="1" a="1"/>
  <c r="L500" i="1" s="1"/>
  <c r="R501" i="15"/>
  <c r="I501" i="1" a="1"/>
  <c r="I501" i="1" s="1"/>
  <c r="M501" i="1"/>
  <c r="M501" i="15" s="1"/>
  <c r="N501" i="15" s="1" a="1"/>
  <c r="N501" i="15" s="1"/>
  <c r="C502" i="1" a="1"/>
  <c r="C502" i="1" s="1"/>
  <c r="E502" i="15" s="1"/>
  <c r="F502" i="1" a="1"/>
  <c r="F502" i="1" s="1"/>
  <c r="J502" i="1" a="1"/>
  <c r="J502" i="1" s="1"/>
  <c r="G503" i="1" a="1"/>
  <c r="G503" i="1" s="1"/>
  <c r="J503" i="15" s="1"/>
  <c r="K503" i="1" a="1"/>
  <c r="K503" i="1" s="1"/>
  <c r="N503" i="1" a="1"/>
  <c r="N503" i="1" s="1"/>
  <c r="S503" i="15" s="1"/>
  <c r="L504" i="1" a="1"/>
  <c r="L504" i="1" s="1"/>
  <c r="R505" i="15"/>
  <c r="I505" i="1" a="1"/>
  <c r="I505" i="1" s="1"/>
  <c r="M505" i="1"/>
  <c r="M505" i="15" s="1"/>
  <c r="N505" i="15" s="1" a="1"/>
  <c r="N505" i="15" s="1"/>
  <c r="C506" i="1" a="1"/>
  <c r="C506" i="1" s="1"/>
  <c r="E506" i="15" s="1"/>
  <c r="F506" i="1" a="1"/>
  <c r="F506" i="1" s="1"/>
  <c r="J506" i="1" a="1"/>
  <c r="J506" i="1" s="1"/>
  <c r="G507" i="1" a="1"/>
  <c r="G507" i="1" s="1"/>
  <c r="J507" i="15" s="1"/>
  <c r="K507" i="1" a="1"/>
  <c r="K507" i="1" s="1"/>
  <c r="N507" i="1" a="1"/>
  <c r="N507" i="1" s="1"/>
  <c r="S507" i="15" s="1"/>
  <c r="L508" i="1" a="1"/>
  <c r="L508" i="1" s="1"/>
  <c r="R509" i="15"/>
  <c r="I509" i="1" a="1"/>
  <c r="I509" i="1" s="1"/>
  <c r="M509" i="1"/>
  <c r="M509" i="15" s="1"/>
  <c r="N509" i="15" s="1" a="1"/>
  <c r="N509" i="15" s="1"/>
  <c r="C510" i="1" a="1"/>
  <c r="C510" i="1" s="1"/>
  <c r="E510" i="15" s="1"/>
  <c r="F510" i="1" a="1"/>
  <c r="F510" i="1" s="1"/>
  <c r="J510" i="1" a="1"/>
  <c r="J510" i="1" s="1"/>
  <c r="G511" i="1" a="1"/>
  <c r="G511" i="1" s="1"/>
  <c r="J511" i="15" s="1"/>
  <c r="K511" i="1" a="1"/>
  <c r="K511" i="1" s="1"/>
  <c r="N511" i="1" a="1"/>
  <c r="N511" i="1" s="1"/>
  <c r="S511" i="15" s="1"/>
  <c r="L512" i="1" a="1"/>
  <c r="L512" i="1" s="1"/>
  <c r="R513" i="15"/>
  <c r="I513" i="1" a="1"/>
  <c r="I513" i="1" s="1"/>
  <c r="M513" i="1"/>
  <c r="M513" i="15" s="1"/>
  <c r="N513" i="15" s="1" a="1"/>
  <c r="N513" i="15" s="1"/>
  <c r="C514" i="1" a="1"/>
  <c r="C514" i="1" s="1"/>
  <c r="E514" i="15" s="1"/>
  <c r="F514" i="1" a="1"/>
  <c r="F514" i="1" s="1"/>
  <c r="J514" i="1" a="1"/>
  <c r="J514" i="1" s="1"/>
  <c r="G515" i="1" a="1"/>
  <c r="G515" i="1" s="1"/>
  <c r="J515" i="15" s="1"/>
  <c r="K515" i="1" a="1"/>
  <c r="K515" i="1" s="1"/>
  <c r="N515" i="1" a="1"/>
  <c r="N515" i="1" s="1"/>
  <c r="S515" i="15" s="1"/>
  <c r="L516" i="1" a="1"/>
  <c r="L516" i="1" s="1"/>
  <c r="R517" i="15"/>
  <c r="I517" i="1" a="1"/>
  <c r="I517" i="1" s="1"/>
  <c r="M517" i="1"/>
  <c r="M517" i="15" s="1"/>
  <c r="N517" i="15" s="1" a="1"/>
  <c r="N517" i="15" s="1"/>
  <c r="C518" i="1" a="1"/>
  <c r="C518" i="1" s="1"/>
  <c r="E518" i="15" s="1"/>
  <c r="F518" i="1" a="1"/>
  <c r="F518" i="1" s="1"/>
  <c r="J518" i="1" a="1"/>
  <c r="J518" i="1" s="1"/>
  <c r="G519" i="1" a="1"/>
  <c r="G519" i="1" s="1"/>
  <c r="J519" i="15" s="1"/>
  <c r="K519" i="1" a="1"/>
  <c r="K519" i="1" s="1"/>
  <c r="N519" i="1" a="1"/>
  <c r="N519" i="1" s="1"/>
  <c r="S519" i="15" s="1"/>
  <c r="L520" i="1" a="1"/>
  <c r="L520" i="1" s="1"/>
  <c r="R521" i="15"/>
  <c r="I521" i="1" a="1"/>
  <c r="I521" i="1" s="1"/>
  <c r="M521" i="1"/>
  <c r="M521" i="15" s="1"/>
  <c r="N521" i="15" s="1" a="1"/>
  <c r="N521" i="15" s="1"/>
  <c r="C522" i="1" a="1"/>
  <c r="C522" i="1" s="1"/>
  <c r="E522" i="15" s="1"/>
  <c r="F522" i="1" a="1"/>
  <c r="F522" i="1" s="1"/>
  <c r="J522" i="1" a="1"/>
  <c r="J522" i="1" s="1"/>
  <c r="G523" i="1" a="1"/>
  <c r="G523" i="1" s="1"/>
  <c r="J523" i="15" s="1"/>
  <c r="K523" i="1" a="1"/>
  <c r="K523" i="1" s="1"/>
  <c r="N523" i="1" a="1"/>
  <c r="N523" i="1" s="1"/>
  <c r="S523" i="15" s="1"/>
  <c r="L524" i="1" a="1"/>
  <c r="L524" i="1" s="1"/>
  <c r="R525" i="15"/>
  <c r="I525" i="1" a="1"/>
  <c r="I525" i="1" s="1"/>
  <c r="M525" i="1"/>
  <c r="M525" i="15" s="1"/>
  <c r="N525" i="15" s="1" a="1"/>
  <c r="N525" i="15" s="1"/>
  <c r="C526" i="1" a="1"/>
  <c r="C526" i="1" s="1"/>
  <c r="E526" i="15" s="1"/>
  <c r="F526" i="1" a="1"/>
  <c r="F526" i="1" s="1"/>
  <c r="J526" i="1" a="1"/>
  <c r="J526" i="1" s="1"/>
  <c r="G527" i="1" a="1"/>
  <c r="G527" i="1" s="1"/>
  <c r="J527" i="15" s="1"/>
  <c r="K527" i="1" a="1"/>
  <c r="K527" i="1" s="1"/>
  <c r="N527" i="1" a="1"/>
  <c r="N527" i="1" s="1"/>
  <c r="S527" i="15" s="1"/>
  <c r="L528" i="1" a="1"/>
  <c r="L528" i="1" s="1"/>
  <c r="R529" i="15"/>
  <c r="I529" i="1" a="1"/>
  <c r="I529" i="1" s="1"/>
  <c r="M529" i="1"/>
  <c r="M529" i="15" s="1"/>
  <c r="N529" i="15" s="1" a="1"/>
  <c r="N529" i="15" s="1"/>
  <c r="C530" i="1" a="1"/>
  <c r="C530" i="1" s="1"/>
  <c r="E530" i="15" s="1"/>
  <c r="F530" i="1" a="1"/>
  <c r="F530" i="1" s="1"/>
  <c r="J530" i="1" a="1"/>
  <c r="J530" i="1" s="1"/>
  <c r="G531" i="1" a="1"/>
  <c r="G531" i="1" s="1"/>
  <c r="J531" i="15" s="1"/>
  <c r="K531" i="1" a="1"/>
  <c r="K531" i="1" s="1"/>
  <c r="N531" i="1" a="1"/>
  <c r="N531" i="1" s="1"/>
  <c r="S531" i="15" s="1"/>
  <c r="L532" i="1" a="1"/>
  <c r="L532" i="1" s="1"/>
  <c r="R533" i="15"/>
  <c r="I533" i="1" a="1"/>
  <c r="I533" i="1" s="1"/>
  <c r="M533" i="1"/>
  <c r="M533" i="15" s="1"/>
  <c r="N533" i="15" s="1" a="1"/>
  <c r="N533" i="15" s="1"/>
  <c r="C534" i="1" a="1"/>
  <c r="C534" i="1" s="1"/>
  <c r="E534" i="15" s="1"/>
  <c r="F534" i="1" a="1"/>
  <c r="F534" i="1" s="1"/>
  <c r="J534" i="1" a="1"/>
  <c r="J534" i="1" s="1"/>
  <c r="G535" i="1" a="1"/>
  <c r="G535" i="1" s="1"/>
  <c r="J535" i="15" s="1"/>
  <c r="K535" i="1" a="1"/>
  <c r="K535" i="1" s="1"/>
  <c r="N535" i="1" a="1"/>
  <c r="N535" i="1" s="1"/>
  <c r="S535" i="15" s="1"/>
  <c r="L536" i="1" a="1"/>
  <c r="L536" i="1" s="1"/>
  <c r="R537" i="15"/>
  <c r="I537" i="1" a="1"/>
  <c r="I537" i="1" s="1"/>
  <c r="M537" i="1"/>
  <c r="M537" i="15" s="1"/>
  <c r="N537" i="15" s="1" a="1"/>
  <c r="N537" i="15" s="1"/>
  <c r="C538" i="1" a="1"/>
  <c r="C538" i="1" s="1"/>
  <c r="E538" i="15" s="1"/>
  <c r="F538" i="1" a="1"/>
  <c r="F538" i="1" s="1"/>
  <c r="J538" i="1" a="1"/>
  <c r="J538" i="1" s="1"/>
  <c r="G539" i="1" a="1"/>
  <c r="G539" i="1" s="1"/>
  <c r="J539" i="15" s="1"/>
  <c r="K539" i="1" a="1"/>
  <c r="K539" i="1" s="1"/>
  <c r="N539" i="1" a="1"/>
  <c r="N539" i="1" s="1"/>
  <c r="S539" i="15" s="1"/>
  <c r="L540" i="1" a="1"/>
  <c r="L540" i="1" s="1"/>
  <c r="R541" i="15"/>
  <c r="I541" i="1" a="1"/>
  <c r="I541" i="1" s="1"/>
  <c r="M541" i="1"/>
  <c r="M541" i="15" s="1"/>
  <c r="N541" i="15" s="1" a="1"/>
  <c r="N541" i="15" s="1"/>
  <c r="C542" i="1" a="1"/>
  <c r="C542" i="1" s="1"/>
  <c r="E542" i="15" s="1"/>
  <c r="F542" i="1" a="1"/>
  <c r="F542" i="1" s="1"/>
  <c r="J542" i="1" a="1"/>
  <c r="J542" i="1" s="1"/>
  <c r="C543" i="1" a="1"/>
  <c r="C543" i="1" s="1"/>
  <c r="E543" i="15" s="1"/>
  <c r="F543" i="1" a="1"/>
  <c r="F543" i="1" s="1"/>
  <c r="J543" i="1" a="1"/>
  <c r="J543" i="1" s="1"/>
  <c r="J544" i="1" a="1"/>
  <c r="J544" i="1" s="1"/>
  <c r="I444" i="1" a="1"/>
  <c r="I444" i="1" s="1"/>
  <c r="L445" i="1" a="1"/>
  <c r="L445" i="1" s="1"/>
  <c r="I446" i="1" a="1"/>
  <c r="I446" i="1" s="1"/>
  <c r="G448" i="1" a="1"/>
  <c r="G448" i="1" s="1"/>
  <c r="J448" i="15" s="1"/>
  <c r="M448" i="1"/>
  <c r="M448" i="15" s="1"/>
  <c r="N448" i="15" s="1" a="1"/>
  <c r="N448" i="15" s="1"/>
  <c r="J449" i="1" a="1"/>
  <c r="J449" i="1" s="1"/>
  <c r="R450" i="15"/>
  <c r="I450" i="1" a="1"/>
  <c r="I450" i="1" s="1"/>
  <c r="G451" i="1" a="1"/>
  <c r="G451" i="1" s="1"/>
  <c r="J451" i="15" s="1"/>
  <c r="K451" i="1" a="1"/>
  <c r="K451" i="1" s="1"/>
  <c r="N451" i="1" a="1"/>
  <c r="N451" i="1" s="1"/>
  <c r="S451" i="15" s="1"/>
  <c r="L452" i="1" a="1"/>
  <c r="L452" i="1" s="1"/>
  <c r="R453" i="15"/>
  <c r="I453" i="1" a="1"/>
  <c r="I453" i="1" s="1"/>
  <c r="M453" i="1"/>
  <c r="M453" i="15" s="1"/>
  <c r="N453" i="15" s="1" a="1"/>
  <c r="N453" i="15" s="1"/>
  <c r="C454" i="1" a="1"/>
  <c r="C454" i="1" s="1"/>
  <c r="E454" i="15" s="1"/>
  <c r="F454" i="1" a="1"/>
  <c r="F454" i="1" s="1"/>
  <c r="J454" i="1" a="1"/>
  <c r="J454" i="1" s="1"/>
  <c r="G455" i="1" a="1"/>
  <c r="G455" i="1" s="1"/>
  <c r="J455" i="15" s="1"/>
  <c r="K455" i="1" a="1"/>
  <c r="K455" i="1" s="1"/>
  <c r="N455" i="1" a="1"/>
  <c r="N455" i="1" s="1"/>
  <c r="S455" i="15" s="1"/>
  <c r="L456" i="1" a="1"/>
  <c r="L456" i="1" s="1"/>
  <c r="R457" i="15"/>
  <c r="I457" i="1" a="1"/>
  <c r="I457" i="1" s="1"/>
  <c r="M457" i="1"/>
  <c r="M457" i="15" s="1"/>
  <c r="N457" i="15" s="1" a="1"/>
  <c r="N457" i="15" s="1"/>
  <c r="C458" i="1" a="1"/>
  <c r="C458" i="1" s="1"/>
  <c r="E458" i="15" s="1"/>
  <c r="F458" i="1" a="1"/>
  <c r="F458" i="1" s="1"/>
  <c r="J458" i="1" a="1"/>
  <c r="J458" i="1" s="1"/>
  <c r="G459" i="1" a="1"/>
  <c r="G459" i="1" s="1"/>
  <c r="J459" i="15" s="1"/>
  <c r="K459" i="1" a="1"/>
  <c r="K459" i="1" s="1"/>
  <c r="N459" i="1" a="1"/>
  <c r="N459" i="1" s="1"/>
  <c r="S459" i="15" s="1"/>
  <c r="L460" i="1" a="1"/>
  <c r="L460" i="1" s="1"/>
  <c r="R461" i="15"/>
  <c r="I461" i="1" a="1"/>
  <c r="I461" i="1" s="1"/>
  <c r="M461" i="1"/>
  <c r="M461" i="15" s="1"/>
  <c r="N461" i="15" s="1" a="1"/>
  <c r="N461" i="15" s="1"/>
  <c r="C462" i="1" a="1"/>
  <c r="C462" i="1" s="1"/>
  <c r="E462" i="15" s="1"/>
  <c r="F462" i="1" a="1"/>
  <c r="F462" i="1" s="1"/>
  <c r="J462" i="1" a="1"/>
  <c r="J462" i="1" s="1"/>
  <c r="G463" i="1" a="1"/>
  <c r="G463" i="1" s="1"/>
  <c r="J463" i="15" s="1"/>
  <c r="K463" i="1" a="1"/>
  <c r="K463" i="1" s="1"/>
  <c r="N463" i="1" a="1"/>
  <c r="N463" i="1" s="1"/>
  <c r="S463" i="15" s="1"/>
  <c r="L464" i="1" a="1"/>
  <c r="L464" i="1" s="1"/>
  <c r="R465" i="15"/>
  <c r="I465" i="1" a="1"/>
  <c r="I465" i="1" s="1"/>
  <c r="M465" i="1"/>
  <c r="M465" i="15" s="1"/>
  <c r="N465" i="15" s="1" a="1"/>
  <c r="N465" i="15" s="1"/>
  <c r="C466" i="1" a="1"/>
  <c r="C466" i="1" s="1"/>
  <c r="E466" i="15" s="1"/>
  <c r="F466" i="1" a="1"/>
  <c r="F466" i="1" s="1"/>
  <c r="J466" i="1" a="1"/>
  <c r="J466" i="1" s="1"/>
  <c r="G467" i="1" a="1"/>
  <c r="G467" i="1" s="1"/>
  <c r="J467" i="15" s="1"/>
  <c r="K467" i="1" a="1"/>
  <c r="K467" i="1" s="1"/>
  <c r="N467" i="1" a="1"/>
  <c r="N467" i="1" s="1"/>
  <c r="S467" i="15" s="1"/>
  <c r="L468" i="1" a="1"/>
  <c r="L468" i="1" s="1"/>
  <c r="R469" i="15"/>
  <c r="I469" i="1" a="1"/>
  <c r="I469" i="1" s="1"/>
  <c r="M469" i="1"/>
  <c r="M469" i="15" s="1"/>
  <c r="N469" i="15" s="1" a="1"/>
  <c r="N469" i="15" s="1"/>
  <c r="C470" i="1" a="1"/>
  <c r="C470" i="1" s="1"/>
  <c r="E470" i="15" s="1"/>
  <c r="F470" i="1" a="1"/>
  <c r="F470" i="1" s="1"/>
  <c r="J470" i="1" a="1"/>
  <c r="J470" i="1" s="1"/>
  <c r="G471" i="1" a="1"/>
  <c r="G471" i="1" s="1"/>
  <c r="J471" i="15" s="1"/>
  <c r="K471" i="1" a="1"/>
  <c r="K471" i="1" s="1"/>
  <c r="N471" i="1" a="1"/>
  <c r="N471" i="1" s="1"/>
  <c r="S471" i="15" s="1"/>
  <c r="L472" i="1" a="1"/>
  <c r="L472" i="1" s="1"/>
  <c r="R473" i="15"/>
  <c r="I473" i="1" a="1"/>
  <c r="I473" i="1" s="1"/>
  <c r="M473" i="1"/>
  <c r="M473" i="15" s="1"/>
  <c r="N473" i="15" s="1" a="1"/>
  <c r="N473" i="15" s="1"/>
  <c r="C474" i="1" a="1"/>
  <c r="C474" i="1" s="1"/>
  <c r="E474" i="15" s="1"/>
  <c r="F474" i="1" a="1"/>
  <c r="F474" i="1" s="1"/>
  <c r="J474" i="1" a="1"/>
  <c r="J474" i="1" s="1"/>
  <c r="G475" i="1" a="1"/>
  <c r="G475" i="1" s="1"/>
  <c r="J475" i="15" s="1"/>
  <c r="K475" i="1" a="1"/>
  <c r="K475" i="1" s="1"/>
  <c r="N475" i="1" a="1"/>
  <c r="N475" i="1" s="1"/>
  <c r="S475" i="15" s="1"/>
  <c r="L476" i="1" a="1"/>
  <c r="L476" i="1" s="1"/>
  <c r="R477" i="15"/>
  <c r="I477" i="1" a="1"/>
  <c r="I477" i="1" s="1"/>
  <c r="M477" i="1"/>
  <c r="M477" i="15" s="1"/>
  <c r="N477" i="15" s="1" a="1"/>
  <c r="N477" i="15" s="1"/>
  <c r="C478" i="1" a="1"/>
  <c r="C478" i="1" s="1"/>
  <c r="E478" i="15" s="1"/>
  <c r="F478" i="1" a="1"/>
  <c r="F478" i="1" s="1"/>
  <c r="J478" i="1" a="1"/>
  <c r="J478" i="1" s="1"/>
  <c r="G479" i="1" a="1"/>
  <c r="G479" i="1" s="1"/>
  <c r="J479" i="15" s="1"/>
  <c r="K479" i="1" a="1"/>
  <c r="K479" i="1" s="1"/>
  <c r="N479" i="1" a="1"/>
  <c r="N479" i="1" s="1"/>
  <c r="S479" i="15" s="1"/>
  <c r="L480" i="1" a="1"/>
  <c r="L480" i="1" s="1"/>
  <c r="R481" i="15"/>
  <c r="I481" i="1" a="1"/>
  <c r="I481" i="1" s="1"/>
  <c r="M481" i="1"/>
  <c r="M481" i="15" s="1"/>
  <c r="N481" i="15" s="1" a="1"/>
  <c r="N481" i="15" s="1"/>
  <c r="C482" i="1" a="1"/>
  <c r="C482" i="1" s="1"/>
  <c r="E482" i="15" s="1"/>
  <c r="F482" i="1" a="1"/>
  <c r="F482" i="1" s="1"/>
  <c r="J482" i="1" a="1"/>
  <c r="J482" i="1" s="1"/>
  <c r="G483" i="1" a="1"/>
  <c r="G483" i="1" s="1"/>
  <c r="J483" i="15" s="1"/>
  <c r="K483" i="1" a="1"/>
  <c r="K483" i="1" s="1"/>
  <c r="N483" i="1" a="1"/>
  <c r="N483" i="1" s="1"/>
  <c r="S483" i="15" s="1"/>
  <c r="G484" i="1" a="1"/>
  <c r="G484" i="1" s="1"/>
  <c r="J484" i="15" s="1"/>
  <c r="K484" i="1" a="1"/>
  <c r="K484" i="1" s="1"/>
  <c r="N484" i="1" a="1"/>
  <c r="N484" i="1" s="1"/>
  <c r="S484" i="15" s="1"/>
  <c r="G485" i="1" a="1"/>
  <c r="G485" i="1" s="1"/>
  <c r="J485" i="15" s="1"/>
  <c r="K485" i="1" a="1"/>
  <c r="K485" i="1" s="1"/>
  <c r="N485" i="1" a="1"/>
  <c r="N485" i="1" s="1"/>
  <c r="S485" i="15" s="1"/>
  <c r="G486" i="1" a="1"/>
  <c r="G486" i="1" s="1"/>
  <c r="J486" i="15" s="1"/>
  <c r="K486" i="1" a="1"/>
  <c r="K486" i="1" s="1"/>
  <c r="N486" i="1" a="1"/>
  <c r="N486" i="1" s="1"/>
  <c r="S486" i="15" s="1"/>
  <c r="G487" i="1" a="1"/>
  <c r="G487" i="1" s="1"/>
  <c r="J487" i="15" s="1"/>
  <c r="K487" i="1" a="1"/>
  <c r="K487" i="1" s="1"/>
  <c r="N487" i="1" a="1"/>
  <c r="N487" i="1" s="1"/>
  <c r="S487" i="15" s="1"/>
  <c r="G488" i="1" a="1"/>
  <c r="G488" i="1" s="1"/>
  <c r="J488" i="15" s="1"/>
  <c r="K488" i="1" a="1"/>
  <c r="K488" i="1" s="1"/>
  <c r="N488" i="1" a="1"/>
  <c r="N488" i="1" s="1"/>
  <c r="S488" i="15" s="1"/>
  <c r="G489" i="1" a="1"/>
  <c r="G489" i="1" s="1"/>
  <c r="J489" i="15" s="1"/>
  <c r="K489" i="1" a="1"/>
  <c r="K489" i="1" s="1"/>
  <c r="N489" i="1" a="1"/>
  <c r="N489" i="1" s="1"/>
  <c r="S489" i="15" s="1"/>
  <c r="J490" i="1" a="1"/>
  <c r="J490" i="1" s="1"/>
  <c r="C491" i="1" a="1"/>
  <c r="C491" i="1" s="1"/>
  <c r="E491" i="15" s="1"/>
  <c r="F491" i="1" a="1"/>
  <c r="F491" i="1" s="1"/>
  <c r="I491" i="1" a="1"/>
  <c r="I491" i="1" s="1"/>
  <c r="M491" i="1"/>
  <c r="M491" i="15" s="1"/>
  <c r="N491" i="15" s="1" a="1"/>
  <c r="N491" i="15" s="1"/>
  <c r="R492" i="15"/>
  <c r="I492" i="1" a="1"/>
  <c r="I492" i="1" s="1"/>
  <c r="M492" i="1"/>
  <c r="M492" i="15" s="1"/>
  <c r="N492" i="15" s="1" a="1"/>
  <c r="N492" i="15" s="1"/>
  <c r="C493" i="1" a="1"/>
  <c r="C493" i="1" s="1"/>
  <c r="E493" i="15" s="1"/>
  <c r="F493" i="1" a="1"/>
  <c r="F493" i="1" s="1"/>
  <c r="J493" i="1" a="1"/>
  <c r="J493" i="1" s="1"/>
  <c r="G494" i="1" a="1"/>
  <c r="G494" i="1" s="1"/>
  <c r="J494" i="15" s="1"/>
  <c r="K494" i="1" a="1"/>
  <c r="K494" i="1" s="1"/>
  <c r="N494" i="1" a="1"/>
  <c r="N494" i="1" s="1"/>
  <c r="S494" i="15" s="1"/>
  <c r="L495" i="1" a="1"/>
  <c r="L495" i="1" s="1"/>
  <c r="R496" i="15"/>
  <c r="I496" i="1" a="1"/>
  <c r="I496" i="1" s="1"/>
  <c r="M496" i="1"/>
  <c r="M496" i="15" s="1"/>
  <c r="N496" i="15" s="1" a="1"/>
  <c r="N496" i="15" s="1"/>
  <c r="C497" i="1" a="1"/>
  <c r="C497" i="1" s="1"/>
  <c r="E497" i="15" s="1"/>
  <c r="F497" i="1" a="1"/>
  <c r="F497" i="1" s="1"/>
  <c r="J497" i="1" a="1"/>
  <c r="J497" i="1" s="1"/>
  <c r="G498" i="1" a="1"/>
  <c r="G498" i="1" s="1"/>
  <c r="J498" i="15" s="1"/>
  <c r="K498" i="1" a="1"/>
  <c r="K498" i="1" s="1"/>
  <c r="N498" i="1" a="1"/>
  <c r="N498" i="1" s="1"/>
  <c r="S498" i="15" s="1"/>
  <c r="L499" i="1" a="1"/>
  <c r="L499" i="1" s="1"/>
  <c r="R500" i="15"/>
  <c r="I500" i="1" a="1"/>
  <c r="I500" i="1" s="1"/>
  <c r="M500" i="1"/>
  <c r="M500" i="15" s="1"/>
  <c r="N500" i="15" s="1" a="1"/>
  <c r="N500" i="15" s="1"/>
  <c r="C501" i="1" a="1"/>
  <c r="C501" i="1" s="1"/>
  <c r="E501" i="15" s="1"/>
  <c r="F501" i="1" a="1"/>
  <c r="F501" i="1" s="1"/>
  <c r="J501" i="1" a="1"/>
  <c r="J501" i="1" s="1"/>
  <c r="G502" i="1" a="1"/>
  <c r="G502" i="1" s="1"/>
  <c r="J502" i="15" s="1"/>
  <c r="K502" i="1" a="1"/>
  <c r="K502" i="1" s="1"/>
  <c r="N502" i="1" a="1"/>
  <c r="N502" i="1" s="1"/>
  <c r="S502" i="15" s="1"/>
  <c r="L503" i="1" a="1"/>
  <c r="L503" i="1" s="1"/>
  <c r="R504" i="15"/>
  <c r="I504" i="1" a="1"/>
  <c r="I504" i="1" s="1"/>
  <c r="M504" i="1"/>
  <c r="M504" i="15" s="1"/>
  <c r="N504" i="15" s="1" a="1"/>
  <c r="N504" i="15" s="1"/>
  <c r="C505" i="1" a="1"/>
  <c r="C505" i="1" s="1"/>
  <c r="E505" i="15" s="1"/>
  <c r="F505" i="1" a="1"/>
  <c r="F505" i="1" s="1"/>
  <c r="J505" i="1" a="1"/>
  <c r="J505" i="1" s="1"/>
  <c r="G506" i="1" a="1"/>
  <c r="G506" i="1" s="1"/>
  <c r="J506" i="15" s="1"/>
  <c r="K506" i="1" a="1"/>
  <c r="K506" i="1" s="1"/>
  <c r="N506" i="1" a="1"/>
  <c r="N506" i="1" s="1"/>
  <c r="S506" i="15" s="1"/>
  <c r="L507" i="1" a="1"/>
  <c r="L507" i="1" s="1"/>
  <c r="R508" i="15"/>
  <c r="I508" i="1" a="1"/>
  <c r="I508" i="1" s="1"/>
  <c r="M508" i="1"/>
  <c r="M508" i="15" s="1"/>
  <c r="N508" i="15" s="1" a="1"/>
  <c r="N508" i="15" s="1"/>
  <c r="C509" i="1" a="1"/>
  <c r="C509" i="1" s="1"/>
  <c r="E509" i="15" s="1"/>
  <c r="F509" i="1" a="1"/>
  <c r="F509" i="1" s="1"/>
  <c r="J509" i="1" a="1"/>
  <c r="J509" i="1" s="1"/>
  <c r="G510" i="1" a="1"/>
  <c r="G510" i="1" s="1"/>
  <c r="J510" i="15" s="1"/>
  <c r="K510" i="1" a="1"/>
  <c r="K510" i="1" s="1"/>
  <c r="N510" i="1" a="1"/>
  <c r="N510" i="1" s="1"/>
  <c r="S510" i="15" s="1"/>
  <c r="L511" i="1" a="1"/>
  <c r="L511" i="1" s="1"/>
  <c r="R512" i="15"/>
  <c r="I512" i="1" a="1"/>
  <c r="I512" i="1" s="1"/>
  <c r="M512" i="1"/>
  <c r="M512" i="15" s="1"/>
  <c r="N512" i="15" s="1" a="1"/>
  <c r="N512" i="15" s="1"/>
  <c r="C513" i="1" a="1"/>
  <c r="C513" i="1" s="1"/>
  <c r="E513" i="15" s="1"/>
  <c r="F513" i="1" a="1"/>
  <c r="F513" i="1" s="1"/>
  <c r="J513" i="1" a="1"/>
  <c r="J513" i="1" s="1"/>
  <c r="G514" i="1" a="1"/>
  <c r="G514" i="1" s="1"/>
  <c r="J514" i="15" s="1"/>
  <c r="K514" i="1" a="1"/>
  <c r="K514" i="1" s="1"/>
  <c r="N514" i="1" a="1"/>
  <c r="N514" i="1" s="1"/>
  <c r="S514" i="15" s="1"/>
  <c r="L515" i="1" a="1"/>
  <c r="L515" i="1" s="1"/>
  <c r="R516" i="15"/>
  <c r="I516" i="1" a="1"/>
  <c r="I516" i="1" s="1"/>
  <c r="M516" i="1"/>
  <c r="M516" i="15" s="1"/>
  <c r="N516" i="15" s="1" a="1"/>
  <c r="N516" i="15" s="1"/>
  <c r="C517" i="1" a="1"/>
  <c r="C517" i="1" s="1"/>
  <c r="E517" i="15" s="1"/>
  <c r="F517" i="1" a="1"/>
  <c r="F517" i="1" s="1"/>
  <c r="J517" i="1" a="1"/>
  <c r="J517" i="1" s="1"/>
  <c r="G518" i="1" a="1"/>
  <c r="G518" i="1" s="1"/>
  <c r="J518" i="15" s="1"/>
  <c r="K518" i="1" a="1"/>
  <c r="K518" i="1" s="1"/>
  <c r="N518" i="1" a="1"/>
  <c r="N518" i="1" s="1"/>
  <c r="S518" i="15" s="1"/>
  <c r="L519" i="1" a="1"/>
  <c r="L519" i="1" s="1"/>
  <c r="R520" i="15"/>
  <c r="I520" i="1" a="1"/>
  <c r="I520" i="1" s="1"/>
  <c r="M520" i="1"/>
  <c r="M520" i="15" s="1"/>
  <c r="N520" i="15" s="1" a="1"/>
  <c r="N520" i="15" s="1"/>
  <c r="C521" i="1" a="1"/>
  <c r="C521" i="1" s="1"/>
  <c r="E521" i="15" s="1"/>
  <c r="F521" i="1" a="1"/>
  <c r="F521" i="1" s="1"/>
  <c r="J521" i="1" a="1"/>
  <c r="J521" i="1" s="1"/>
  <c r="G522" i="1" a="1"/>
  <c r="G522" i="1" s="1"/>
  <c r="J522" i="15" s="1"/>
  <c r="K522" i="1" a="1"/>
  <c r="K522" i="1" s="1"/>
  <c r="N522" i="1" a="1"/>
  <c r="N522" i="1" s="1"/>
  <c r="S522" i="15" s="1"/>
  <c r="L523" i="1" a="1"/>
  <c r="L523" i="1" s="1"/>
  <c r="R524" i="15"/>
  <c r="I524" i="1" a="1"/>
  <c r="I524" i="1" s="1"/>
  <c r="M524" i="1"/>
  <c r="M524" i="15" s="1"/>
  <c r="N524" i="15" s="1" a="1"/>
  <c r="N524" i="15" s="1"/>
  <c r="C525" i="1" a="1"/>
  <c r="C525" i="1" s="1"/>
  <c r="E525" i="15" s="1"/>
  <c r="F525" i="1" a="1"/>
  <c r="F525" i="1" s="1"/>
  <c r="J525" i="1" a="1"/>
  <c r="J525" i="1" s="1"/>
  <c r="G526" i="1" a="1"/>
  <c r="G526" i="1" s="1"/>
  <c r="J526" i="15" s="1"/>
  <c r="K526" i="1" a="1"/>
  <c r="K526" i="1" s="1"/>
  <c r="N526" i="1" a="1"/>
  <c r="N526" i="1" s="1"/>
  <c r="S526" i="15" s="1"/>
  <c r="L527" i="1" a="1"/>
  <c r="L527" i="1" s="1"/>
  <c r="R528" i="15"/>
  <c r="I528" i="1" a="1"/>
  <c r="I528" i="1" s="1"/>
  <c r="M528" i="1"/>
  <c r="M528" i="15" s="1"/>
  <c r="N528" i="15" s="1" a="1"/>
  <c r="N528" i="15" s="1"/>
  <c r="C529" i="1" a="1"/>
  <c r="C529" i="1" s="1"/>
  <c r="E529" i="15" s="1"/>
  <c r="F529" i="1" a="1"/>
  <c r="F529" i="1" s="1"/>
  <c r="J529" i="1" a="1"/>
  <c r="J529" i="1" s="1"/>
  <c r="G530" i="1" a="1"/>
  <c r="G530" i="1" s="1"/>
  <c r="J530" i="15" s="1"/>
  <c r="K530" i="1" a="1"/>
  <c r="K530" i="1" s="1"/>
  <c r="N530" i="1" a="1"/>
  <c r="N530" i="1" s="1"/>
  <c r="S530" i="15" s="1"/>
  <c r="L531" i="1" a="1"/>
  <c r="L531" i="1" s="1"/>
  <c r="R532" i="15"/>
  <c r="I532" i="1" a="1"/>
  <c r="I532" i="1" s="1"/>
  <c r="M532" i="1"/>
  <c r="M532" i="15" s="1"/>
  <c r="N532" i="15" s="1" a="1"/>
  <c r="N532" i="15" s="1"/>
  <c r="C533" i="1" a="1"/>
  <c r="C533" i="1" s="1"/>
  <c r="E533" i="15" s="1"/>
  <c r="F533" i="1" a="1"/>
  <c r="F533" i="1" s="1"/>
  <c r="J533" i="1" a="1"/>
  <c r="J533" i="1" s="1"/>
  <c r="G534" i="1" a="1"/>
  <c r="G534" i="1" s="1"/>
  <c r="J534" i="15" s="1"/>
  <c r="K534" i="1" a="1"/>
  <c r="K534" i="1" s="1"/>
  <c r="N534" i="1" a="1"/>
  <c r="N534" i="1" s="1"/>
  <c r="S534" i="15" s="1"/>
  <c r="L535" i="1" a="1"/>
  <c r="L535" i="1" s="1"/>
  <c r="R536" i="15"/>
  <c r="I536" i="1" a="1"/>
  <c r="I536" i="1" s="1"/>
  <c r="M536" i="1"/>
  <c r="M536" i="15" s="1"/>
  <c r="N536" i="15" s="1" a="1"/>
  <c r="N536" i="15" s="1"/>
  <c r="C537" i="1" a="1"/>
  <c r="C537" i="1" s="1"/>
  <c r="E537" i="15" s="1"/>
  <c r="F537" i="1" a="1"/>
  <c r="F537" i="1" s="1"/>
  <c r="J537" i="1" a="1"/>
  <c r="J537" i="1" s="1"/>
  <c r="G538" i="1" a="1"/>
  <c r="G538" i="1" s="1"/>
  <c r="J538" i="15" s="1"/>
  <c r="K538" i="1" a="1"/>
  <c r="K538" i="1" s="1"/>
  <c r="N538" i="1" a="1"/>
  <c r="N538" i="1" s="1"/>
  <c r="S538" i="15" s="1"/>
  <c r="L539" i="1" a="1"/>
  <c r="L539" i="1" s="1"/>
  <c r="R540" i="15"/>
  <c r="I540" i="1" a="1"/>
  <c r="I540" i="1" s="1"/>
  <c r="M540" i="1"/>
  <c r="M540" i="15" s="1"/>
  <c r="N540" i="15" s="1" a="1"/>
  <c r="N540" i="15" s="1"/>
  <c r="C541" i="1" a="1"/>
  <c r="C541" i="1" s="1"/>
  <c r="E541" i="15" s="1"/>
  <c r="F541" i="1" a="1"/>
  <c r="F541" i="1" s="1"/>
  <c r="J541" i="1" a="1"/>
  <c r="J541" i="1" s="1"/>
  <c r="G542" i="1" a="1"/>
  <c r="G542" i="1" s="1"/>
  <c r="J542" i="15" s="1"/>
  <c r="K542" i="1" a="1"/>
  <c r="K542" i="1" s="1"/>
  <c r="N542" i="1" a="1"/>
  <c r="N542" i="1" s="1"/>
  <c r="S542" i="15" s="1"/>
  <c r="G543" i="1" a="1"/>
  <c r="G543" i="1" s="1"/>
  <c r="J543" i="15" s="1"/>
  <c r="K543" i="1" a="1"/>
  <c r="K543" i="1" s="1"/>
  <c r="N543" i="1" a="1"/>
  <c r="N543" i="1" s="1"/>
  <c r="S543" i="15" s="1"/>
  <c r="G544" i="1" a="1"/>
  <c r="G544" i="1" s="1"/>
  <c r="J544" i="15" s="1"/>
  <c r="K544" i="1" a="1"/>
  <c r="K544" i="1" s="1"/>
  <c r="N544" i="1" a="1"/>
  <c r="N544" i="1" s="1"/>
  <c r="S544" i="15" s="1"/>
  <c r="G545" i="1" a="1"/>
  <c r="G545" i="1" s="1"/>
  <c r="J545" i="15" s="1"/>
  <c r="K545" i="1" a="1"/>
  <c r="K545" i="1" s="1"/>
  <c r="N545" i="1" a="1"/>
  <c r="N545" i="1" s="1"/>
  <c r="S545" i="15" s="1"/>
  <c r="G546" i="1" a="1"/>
  <c r="G546" i="1" s="1"/>
  <c r="J546" i="15" s="1"/>
  <c r="J546" i="1" a="1"/>
  <c r="J546" i="1" s="1"/>
  <c r="R547" i="15"/>
  <c r="G547" i="1" a="1"/>
  <c r="G547" i="1" s="1"/>
  <c r="J547" i="15" s="1"/>
  <c r="J547" i="1" a="1"/>
  <c r="J547" i="1" s="1"/>
  <c r="R548" i="15"/>
  <c r="G548" i="1" a="1"/>
  <c r="G548" i="1" s="1"/>
  <c r="J548" i="15" s="1"/>
  <c r="K548" i="1" a="1"/>
  <c r="K548" i="1" s="1"/>
  <c r="N548" i="1" a="1"/>
  <c r="N548" i="1" s="1"/>
  <c r="S548" i="15" s="1"/>
  <c r="G549" i="1" a="1"/>
  <c r="G549" i="1" s="1"/>
  <c r="J549" i="15" s="1"/>
  <c r="K549" i="1" a="1"/>
  <c r="K549" i="1" s="1"/>
  <c r="N549" i="1" a="1"/>
  <c r="N549" i="1" s="1"/>
  <c r="S549" i="15" s="1"/>
  <c r="L550" i="1" a="1"/>
  <c r="L550" i="1" s="1"/>
  <c r="R551" i="15"/>
  <c r="J552" i="1" a="1"/>
  <c r="J552" i="1" s="1"/>
  <c r="M552" i="1"/>
  <c r="M552" i="15" s="1"/>
  <c r="N552" i="15" s="1" a="1"/>
  <c r="N552" i="15" s="1"/>
  <c r="G553" i="1" a="1"/>
  <c r="G553" i="1" s="1"/>
  <c r="J553" i="15" s="1"/>
  <c r="M553" i="1"/>
  <c r="M553" i="15" s="1"/>
  <c r="N553" i="15" s="1" a="1"/>
  <c r="N553" i="15" s="1"/>
  <c r="R554" i="15"/>
  <c r="C555" i="1" a="1"/>
  <c r="C555" i="1" s="1"/>
  <c r="E555" i="15" s="1"/>
  <c r="F555" i="1" a="1"/>
  <c r="F555" i="1" s="1"/>
  <c r="M444" i="1"/>
  <c r="M444" i="15" s="1"/>
  <c r="N444" i="15" s="1" a="1"/>
  <c r="N444" i="15" s="1"/>
  <c r="F445" i="1" a="1"/>
  <c r="F445" i="1" s="1"/>
  <c r="R446" i="15"/>
  <c r="K446" i="1" a="1"/>
  <c r="K446" i="1" s="1"/>
  <c r="C447" i="1" a="1"/>
  <c r="C447" i="1" s="1"/>
  <c r="E447" i="15" s="1"/>
  <c r="J447" i="1" a="1"/>
  <c r="J447" i="1" s="1"/>
  <c r="N448" i="1" a="1"/>
  <c r="N448" i="1" s="1"/>
  <c r="S448" i="15" s="1"/>
  <c r="F449" i="1" a="1"/>
  <c r="F449" i="1" s="1"/>
  <c r="L449" i="1" a="1"/>
  <c r="L449" i="1" s="1"/>
  <c r="C450" i="1" a="1"/>
  <c r="C450" i="1" s="1"/>
  <c r="E450" i="15" s="1"/>
  <c r="F450" i="1" a="1"/>
  <c r="F450" i="1" s="1"/>
  <c r="J450" i="1" a="1"/>
  <c r="J450" i="1" s="1"/>
  <c r="N450" i="1" a="1"/>
  <c r="N450" i="1" s="1"/>
  <c r="S450" i="15" s="1"/>
  <c r="L451" i="1" a="1"/>
  <c r="L451" i="1" s="1"/>
  <c r="R452" i="15"/>
  <c r="I452" i="1" a="1"/>
  <c r="I452" i="1" s="1"/>
  <c r="M452" i="1"/>
  <c r="M452" i="15" s="1"/>
  <c r="N452" i="15" s="1" a="1"/>
  <c r="N452" i="15" s="1"/>
  <c r="C453" i="1" a="1"/>
  <c r="C453" i="1" s="1"/>
  <c r="E453" i="15" s="1"/>
  <c r="F453" i="1" a="1"/>
  <c r="F453" i="1" s="1"/>
  <c r="J453" i="1" a="1"/>
  <c r="J453" i="1" s="1"/>
  <c r="G454" i="1" a="1"/>
  <c r="G454" i="1" s="1"/>
  <c r="J454" i="15" s="1"/>
  <c r="K454" i="1" a="1"/>
  <c r="K454" i="1" s="1"/>
  <c r="N454" i="1" a="1"/>
  <c r="N454" i="1" s="1"/>
  <c r="S454" i="15" s="1"/>
  <c r="L455" i="1" a="1"/>
  <c r="L455" i="1" s="1"/>
  <c r="R456" i="15"/>
  <c r="I456" i="1" a="1"/>
  <c r="I456" i="1" s="1"/>
  <c r="M456" i="1"/>
  <c r="M456" i="15" s="1"/>
  <c r="N456" i="15" s="1" a="1"/>
  <c r="N456" i="15" s="1"/>
  <c r="C457" i="1" a="1"/>
  <c r="C457" i="1" s="1"/>
  <c r="E457" i="15" s="1"/>
  <c r="F457" i="1" a="1"/>
  <c r="F457" i="1" s="1"/>
  <c r="J457" i="1" a="1"/>
  <c r="J457" i="1" s="1"/>
  <c r="G458" i="1" a="1"/>
  <c r="G458" i="1" s="1"/>
  <c r="J458" i="15" s="1"/>
  <c r="K458" i="1" a="1"/>
  <c r="K458" i="1" s="1"/>
  <c r="N458" i="1" a="1"/>
  <c r="N458" i="1" s="1"/>
  <c r="S458" i="15" s="1"/>
  <c r="L459" i="1" a="1"/>
  <c r="L459" i="1" s="1"/>
  <c r="R460" i="15"/>
  <c r="I460" i="1" a="1"/>
  <c r="I460" i="1" s="1"/>
  <c r="M460" i="1"/>
  <c r="M460" i="15" s="1"/>
  <c r="N460" i="15" s="1" a="1"/>
  <c r="N460" i="15" s="1"/>
  <c r="C461" i="1" a="1"/>
  <c r="C461" i="1" s="1"/>
  <c r="E461" i="15" s="1"/>
  <c r="F461" i="1" a="1"/>
  <c r="F461" i="1" s="1"/>
  <c r="J461" i="1" a="1"/>
  <c r="J461" i="1" s="1"/>
  <c r="G462" i="1" a="1"/>
  <c r="G462" i="1" s="1"/>
  <c r="J462" i="15" s="1"/>
  <c r="K462" i="1" a="1"/>
  <c r="K462" i="1" s="1"/>
  <c r="N462" i="1" a="1"/>
  <c r="N462" i="1" s="1"/>
  <c r="S462" i="15" s="1"/>
  <c r="L463" i="1" a="1"/>
  <c r="L463" i="1" s="1"/>
  <c r="R464" i="15"/>
  <c r="I464" i="1" a="1"/>
  <c r="I464" i="1" s="1"/>
  <c r="M464" i="1"/>
  <c r="M464" i="15" s="1"/>
  <c r="N464" i="15" s="1" a="1"/>
  <c r="N464" i="15" s="1"/>
  <c r="C465" i="1" a="1"/>
  <c r="C465" i="1" s="1"/>
  <c r="E465" i="15" s="1"/>
  <c r="F465" i="1" a="1"/>
  <c r="F465" i="1" s="1"/>
  <c r="J465" i="1" a="1"/>
  <c r="J465" i="1" s="1"/>
  <c r="G466" i="1" a="1"/>
  <c r="G466" i="1" s="1"/>
  <c r="J466" i="15" s="1"/>
  <c r="K466" i="1" a="1"/>
  <c r="K466" i="1" s="1"/>
  <c r="N466" i="1" a="1"/>
  <c r="N466" i="1" s="1"/>
  <c r="S466" i="15" s="1"/>
  <c r="L467" i="1" a="1"/>
  <c r="L467" i="1" s="1"/>
  <c r="R468" i="15"/>
  <c r="I468" i="1" a="1"/>
  <c r="I468" i="1" s="1"/>
  <c r="M468" i="1"/>
  <c r="M468" i="15" s="1"/>
  <c r="N468" i="15" s="1" a="1"/>
  <c r="N468" i="15" s="1"/>
  <c r="C469" i="1" a="1"/>
  <c r="C469" i="1" s="1"/>
  <c r="E469" i="15" s="1"/>
  <c r="F469" i="1" a="1"/>
  <c r="F469" i="1" s="1"/>
  <c r="J469" i="1" a="1"/>
  <c r="J469" i="1" s="1"/>
  <c r="G470" i="1" a="1"/>
  <c r="G470" i="1" s="1"/>
  <c r="J470" i="15" s="1"/>
  <c r="K470" i="1" a="1"/>
  <c r="K470" i="1" s="1"/>
  <c r="N470" i="1" a="1"/>
  <c r="N470" i="1" s="1"/>
  <c r="S470" i="15" s="1"/>
  <c r="L471" i="1" a="1"/>
  <c r="L471" i="1" s="1"/>
  <c r="R472" i="15"/>
  <c r="I472" i="1" a="1"/>
  <c r="I472" i="1" s="1"/>
  <c r="M472" i="1"/>
  <c r="M472" i="15" s="1"/>
  <c r="N472" i="15" s="1" a="1"/>
  <c r="N472" i="15" s="1"/>
  <c r="C473" i="1" a="1"/>
  <c r="C473" i="1" s="1"/>
  <c r="E473" i="15" s="1"/>
  <c r="F473" i="1" a="1"/>
  <c r="F473" i="1" s="1"/>
  <c r="J473" i="1" a="1"/>
  <c r="J473" i="1" s="1"/>
  <c r="G474" i="1" a="1"/>
  <c r="G474" i="1" s="1"/>
  <c r="J474" i="15" s="1"/>
  <c r="K474" i="1" a="1"/>
  <c r="K474" i="1" s="1"/>
  <c r="N474" i="1" a="1"/>
  <c r="N474" i="1" s="1"/>
  <c r="S474" i="15" s="1"/>
  <c r="L475" i="1" a="1"/>
  <c r="L475" i="1" s="1"/>
  <c r="R476" i="15"/>
  <c r="I476" i="1" a="1"/>
  <c r="I476" i="1" s="1"/>
  <c r="M476" i="1"/>
  <c r="M476" i="15" s="1"/>
  <c r="N476" i="15" s="1" a="1"/>
  <c r="N476" i="15" s="1"/>
  <c r="C477" i="1" a="1"/>
  <c r="C477" i="1" s="1"/>
  <c r="E477" i="15" s="1"/>
  <c r="F477" i="1" a="1"/>
  <c r="F477" i="1" s="1"/>
  <c r="J477" i="1" a="1"/>
  <c r="J477" i="1" s="1"/>
  <c r="G478" i="1" a="1"/>
  <c r="G478" i="1" s="1"/>
  <c r="J478" i="15" s="1"/>
  <c r="K478" i="1" a="1"/>
  <c r="K478" i="1" s="1"/>
  <c r="N478" i="1" a="1"/>
  <c r="N478" i="1" s="1"/>
  <c r="S478" i="15" s="1"/>
  <c r="L479" i="1" a="1"/>
  <c r="L479" i="1" s="1"/>
  <c r="R480" i="15"/>
  <c r="I480" i="1" a="1"/>
  <c r="I480" i="1" s="1"/>
  <c r="M480" i="1"/>
  <c r="M480" i="15" s="1"/>
  <c r="N480" i="15" s="1" a="1"/>
  <c r="N480" i="15" s="1"/>
  <c r="C481" i="1" a="1"/>
  <c r="C481" i="1" s="1"/>
  <c r="E481" i="15" s="1"/>
  <c r="F481" i="1" a="1"/>
  <c r="F481" i="1" s="1"/>
  <c r="J481" i="1" a="1"/>
  <c r="J481" i="1" s="1"/>
  <c r="G482" i="1" a="1"/>
  <c r="G482" i="1" s="1"/>
  <c r="J482" i="15" s="1"/>
  <c r="K482" i="1" a="1"/>
  <c r="K482" i="1" s="1"/>
  <c r="N482" i="1" a="1"/>
  <c r="N482" i="1" s="1"/>
  <c r="S482" i="15" s="1"/>
  <c r="L483" i="1" a="1"/>
  <c r="L483" i="1" s="1"/>
  <c r="R484" i="15"/>
  <c r="L484" i="1" a="1"/>
  <c r="L484" i="1" s="1"/>
  <c r="L485" i="1" a="1"/>
  <c r="L485" i="1" s="1"/>
  <c r="R486" i="15"/>
  <c r="L486" i="1" a="1"/>
  <c r="L486" i="1" s="1"/>
  <c r="L487" i="1" a="1"/>
  <c r="L487" i="1" s="1"/>
  <c r="R488" i="15"/>
  <c r="L488" i="1" a="1"/>
  <c r="L488" i="1" s="1"/>
  <c r="L489" i="1" a="1"/>
  <c r="L489" i="1" s="1"/>
  <c r="G490" i="1" a="1"/>
  <c r="G490" i="1" s="1"/>
  <c r="J490" i="15" s="1"/>
  <c r="K490" i="1" a="1"/>
  <c r="K490" i="1" s="1"/>
  <c r="N490" i="1" a="1"/>
  <c r="N490" i="1" s="1"/>
  <c r="S490" i="15" s="1"/>
  <c r="J491" i="1" a="1"/>
  <c r="J491" i="1" s="1"/>
  <c r="C492" i="1" a="1"/>
  <c r="C492" i="1" s="1"/>
  <c r="E492" i="15" s="1"/>
  <c r="F492" i="1" a="1"/>
  <c r="F492" i="1" s="1"/>
  <c r="J492" i="1" a="1"/>
  <c r="J492" i="1" s="1"/>
  <c r="G493" i="1" a="1"/>
  <c r="G493" i="1" s="1"/>
  <c r="J493" i="15" s="1"/>
  <c r="K493" i="1" a="1"/>
  <c r="K493" i="1" s="1"/>
  <c r="N493" i="1" a="1"/>
  <c r="N493" i="1" s="1"/>
  <c r="S493" i="15" s="1"/>
  <c r="L494" i="1" a="1"/>
  <c r="L494" i="1" s="1"/>
  <c r="R495" i="15"/>
  <c r="I495" i="1" a="1"/>
  <c r="I495" i="1" s="1"/>
  <c r="M495" i="1"/>
  <c r="M495" i="15" s="1"/>
  <c r="N495" i="15" s="1" a="1"/>
  <c r="N495" i="15" s="1"/>
  <c r="C496" i="1" a="1"/>
  <c r="C496" i="1" s="1"/>
  <c r="E496" i="15" s="1"/>
  <c r="F496" i="1" a="1"/>
  <c r="F496" i="1" s="1"/>
  <c r="J496" i="1" a="1"/>
  <c r="J496" i="1" s="1"/>
  <c r="G497" i="1" a="1"/>
  <c r="G497" i="1" s="1"/>
  <c r="J497" i="15" s="1"/>
  <c r="K497" i="1" a="1"/>
  <c r="K497" i="1" s="1"/>
  <c r="N497" i="1" a="1"/>
  <c r="N497" i="1" s="1"/>
  <c r="S497" i="15" s="1"/>
  <c r="L498" i="1" a="1"/>
  <c r="L498" i="1" s="1"/>
  <c r="R499" i="15"/>
  <c r="I499" i="1" a="1"/>
  <c r="I499" i="1" s="1"/>
  <c r="M499" i="1"/>
  <c r="M499" i="15" s="1"/>
  <c r="N499" i="15" s="1" a="1"/>
  <c r="N499" i="15" s="1"/>
  <c r="C500" i="1" a="1"/>
  <c r="C500" i="1" s="1"/>
  <c r="E500" i="15" s="1"/>
  <c r="F500" i="1" a="1"/>
  <c r="F500" i="1" s="1"/>
  <c r="J500" i="1" a="1"/>
  <c r="J500" i="1" s="1"/>
  <c r="G501" i="1" a="1"/>
  <c r="G501" i="1" s="1"/>
  <c r="J501" i="15" s="1"/>
  <c r="K501" i="1" a="1"/>
  <c r="K501" i="1" s="1"/>
  <c r="N501" i="1" a="1"/>
  <c r="N501" i="1" s="1"/>
  <c r="S501" i="15" s="1"/>
  <c r="L502" i="1" a="1"/>
  <c r="L502" i="1" s="1"/>
  <c r="R503" i="15"/>
  <c r="I503" i="1" a="1"/>
  <c r="I503" i="1" s="1"/>
  <c r="M503" i="1"/>
  <c r="M503" i="15" s="1"/>
  <c r="N503" i="15" s="1" a="1"/>
  <c r="N503" i="15" s="1"/>
  <c r="C504" i="1" a="1"/>
  <c r="C504" i="1" s="1"/>
  <c r="E504" i="15" s="1"/>
  <c r="F504" i="1" a="1"/>
  <c r="F504" i="1" s="1"/>
  <c r="J504" i="1" a="1"/>
  <c r="J504" i="1" s="1"/>
  <c r="G505" i="1" a="1"/>
  <c r="G505" i="1" s="1"/>
  <c r="J505" i="15" s="1"/>
  <c r="K505" i="1" a="1"/>
  <c r="K505" i="1" s="1"/>
  <c r="N505" i="1" a="1"/>
  <c r="N505" i="1" s="1"/>
  <c r="S505" i="15" s="1"/>
  <c r="L506" i="1" a="1"/>
  <c r="L506" i="1" s="1"/>
  <c r="R507" i="15"/>
  <c r="I507" i="1" a="1"/>
  <c r="I507" i="1" s="1"/>
  <c r="M507" i="1"/>
  <c r="M507" i="15" s="1"/>
  <c r="N507" i="15" s="1" a="1"/>
  <c r="N507" i="15" s="1"/>
  <c r="C508" i="1" a="1"/>
  <c r="C508" i="1" s="1"/>
  <c r="E508" i="15" s="1"/>
  <c r="F508" i="1" a="1"/>
  <c r="F508" i="1" s="1"/>
  <c r="J508" i="1" a="1"/>
  <c r="J508" i="1" s="1"/>
  <c r="G509" i="1" a="1"/>
  <c r="G509" i="1" s="1"/>
  <c r="J509" i="15" s="1"/>
  <c r="K509" i="1" a="1"/>
  <c r="K509" i="1" s="1"/>
  <c r="N509" i="1" a="1"/>
  <c r="N509" i="1" s="1"/>
  <c r="S509" i="15" s="1"/>
  <c r="L510" i="1" a="1"/>
  <c r="L510" i="1" s="1"/>
  <c r="R511" i="15"/>
  <c r="I511" i="1" a="1"/>
  <c r="I511" i="1" s="1"/>
  <c r="M511" i="1"/>
  <c r="M511" i="15" s="1"/>
  <c r="N511" i="15" s="1" a="1"/>
  <c r="N511" i="15" s="1"/>
  <c r="C512" i="1" a="1"/>
  <c r="C512" i="1" s="1"/>
  <c r="E512" i="15" s="1"/>
  <c r="F512" i="1" a="1"/>
  <c r="F512" i="1" s="1"/>
  <c r="J512" i="1" a="1"/>
  <c r="J512" i="1" s="1"/>
  <c r="G513" i="1" a="1"/>
  <c r="G513" i="1" s="1"/>
  <c r="J513" i="15" s="1"/>
  <c r="K513" i="1" a="1"/>
  <c r="K513" i="1" s="1"/>
  <c r="N513" i="1" a="1"/>
  <c r="N513" i="1" s="1"/>
  <c r="S513" i="15" s="1"/>
  <c r="L514" i="1" a="1"/>
  <c r="L514" i="1" s="1"/>
  <c r="R515" i="15"/>
  <c r="I515" i="1" a="1"/>
  <c r="I515" i="1" s="1"/>
  <c r="M515" i="1"/>
  <c r="M515" i="15" s="1"/>
  <c r="N515" i="15" s="1" a="1"/>
  <c r="N515" i="15" s="1"/>
  <c r="C516" i="1" a="1"/>
  <c r="C516" i="1" s="1"/>
  <c r="E516" i="15" s="1"/>
  <c r="F516" i="1" a="1"/>
  <c r="F516" i="1" s="1"/>
  <c r="J516" i="1" a="1"/>
  <c r="J516" i="1" s="1"/>
  <c r="G517" i="1" a="1"/>
  <c r="G517" i="1" s="1"/>
  <c r="J517" i="15" s="1"/>
  <c r="K517" i="1" a="1"/>
  <c r="K517" i="1" s="1"/>
  <c r="N517" i="1" a="1"/>
  <c r="N517" i="1" s="1"/>
  <c r="S517" i="15" s="1"/>
  <c r="L518" i="1" a="1"/>
  <c r="L518" i="1" s="1"/>
  <c r="R519" i="15"/>
  <c r="I519" i="1" a="1"/>
  <c r="I519" i="1" s="1"/>
  <c r="M519" i="1"/>
  <c r="M519" i="15" s="1"/>
  <c r="N519" i="15" s="1" a="1"/>
  <c r="N519" i="15" s="1"/>
  <c r="C520" i="1" a="1"/>
  <c r="C520" i="1" s="1"/>
  <c r="E520" i="15" s="1"/>
  <c r="F520" i="1" a="1"/>
  <c r="F520" i="1" s="1"/>
  <c r="J520" i="1" a="1"/>
  <c r="J520" i="1" s="1"/>
  <c r="G521" i="1" a="1"/>
  <c r="G521" i="1" s="1"/>
  <c r="J521" i="15" s="1"/>
  <c r="K521" i="1" a="1"/>
  <c r="K521" i="1" s="1"/>
  <c r="N521" i="1" a="1"/>
  <c r="N521" i="1" s="1"/>
  <c r="S521" i="15" s="1"/>
  <c r="L522" i="1" a="1"/>
  <c r="L522" i="1" s="1"/>
  <c r="R523" i="15"/>
  <c r="I523" i="1" a="1"/>
  <c r="I523" i="1" s="1"/>
  <c r="M523" i="1"/>
  <c r="M523" i="15" s="1"/>
  <c r="N523" i="15" s="1" a="1"/>
  <c r="N523" i="15" s="1"/>
  <c r="C524" i="1" a="1"/>
  <c r="C524" i="1" s="1"/>
  <c r="E524" i="15" s="1"/>
  <c r="F524" i="1" a="1"/>
  <c r="F524" i="1" s="1"/>
  <c r="J524" i="1" a="1"/>
  <c r="J524" i="1" s="1"/>
  <c r="G525" i="1" a="1"/>
  <c r="G525" i="1" s="1"/>
  <c r="J525" i="15" s="1"/>
  <c r="K525" i="1" a="1"/>
  <c r="K525" i="1" s="1"/>
  <c r="N525" i="1" a="1"/>
  <c r="N525" i="1" s="1"/>
  <c r="S525" i="15" s="1"/>
  <c r="L526" i="1" a="1"/>
  <c r="L526" i="1" s="1"/>
  <c r="R527" i="15"/>
  <c r="I527" i="1" a="1"/>
  <c r="I527" i="1" s="1"/>
  <c r="M527" i="1"/>
  <c r="M527" i="15" s="1"/>
  <c r="N527" i="15" s="1" a="1"/>
  <c r="N527" i="15" s="1"/>
  <c r="C528" i="1" a="1"/>
  <c r="C528" i="1" s="1"/>
  <c r="E528" i="15" s="1"/>
  <c r="F528" i="1" a="1"/>
  <c r="F528" i="1" s="1"/>
  <c r="J528" i="1" a="1"/>
  <c r="J528" i="1" s="1"/>
  <c r="I529" i="15"/>
  <c r="G529" i="1" a="1"/>
  <c r="G529" i="1" s="1"/>
  <c r="J529" i="15" s="1"/>
  <c r="K529" i="1" a="1"/>
  <c r="K529" i="1" s="1"/>
  <c r="N529" i="1" a="1"/>
  <c r="N529" i="1" s="1"/>
  <c r="S529" i="15" s="1"/>
  <c r="L530" i="1" a="1"/>
  <c r="L530" i="1" s="1"/>
  <c r="R531" i="15"/>
  <c r="I531" i="1" a="1"/>
  <c r="I531" i="1" s="1"/>
  <c r="M531" i="1"/>
  <c r="M531" i="15" s="1"/>
  <c r="N531" i="15" s="1" a="1"/>
  <c r="N531" i="15" s="1"/>
  <c r="C532" i="1" a="1"/>
  <c r="C532" i="1" s="1"/>
  <c r="E532" i="15" s="1"/>
  <c r="F532" i="1" a="1"/>
  <c r="F532" i="1" s="1"/>
  <c r="J532" i="1" a="1"/>
  <c r="J532" i="1" s="1"/>
  <c r="G533" i="1" a="1"/>
  <c r="G533" i="1" s="1"/>
  <c r="J533" i="15" s="1"/>
  <c r="K533" i="1" a="1"/>
  <c r="K533" i="1" s="1"/>
  <c r="N533" i="1" a="1"/>
  <c r="N533" i="1" s="1"/>
  <c r="S533" i="15" s="1"/>
  <c r="L534" i="1" a="1"/>
  <c r="L534" i="1" s="1"/>
  <c r="R535" i="15"/>
  <c r="I535" i="1" a="1"/>
  <c r="I535" i="1" s="1"/>
  <c r="M535" i="1"/>
  <c r="M535" i="15" s="1"/>
  <c r="N535" i="15" s="1" a="1"/>
  <c r="N535" i="15" s="1"/>
  <c r="C536" i="1" a="1"/>
  <c r="C536" i="1" s="1"/>
  <c r="E536" i="15" s="1"/>
  <c r="F536" i="1" a="1"/>
  <c r="F536" i="1" s="1"/>
  <c r="J536" i="1" a="1"/>
  <c r="J536" i="1" s="1"/>
  <c r="G537" i="1" a="1"/>
  <c r="G537" i="1" s="1"/>
  <c r="J537" i="15" s="1"/>
  <c r="K537" i="1" a="1"/>
  <c r="K537" i="1" s="1"/>
  <c r="N537" i="1" a="1"/>
  <c r="N537" i="1" s="1"/>
  <c r="S537" i="15" s="1"/>
  <c r="L538" i="1" a="1"/>
  <c r="L538" i="1" s="1"/>
  <c r="R539" i="15"/>
  <c r="I539" i="1" a="1"/>
  <c r="I539" i="1" s="1"/>
  <c r="M539" i="1"/>
  <c r="M539" i="15" s="1"/>
  <c r="N539" i="15" s="1" a="1"/>
  <c r="N539" i="15" s="1"/>
  <c r="C540" i="1" a="1"/>
  <c r="C540" i="1" s="1"/>
  <c r="E540" i="15" s="1"/>
  <c r="F540" i="1" a="1"/>
  <c r="F540" i="1" s="1"/>
  <c r="J540" i="1" a="1"/>
  <c r="J540" i="1" s="1"/>
  <c r="G541" i="1" a="1"/>
  <c r="G541" i="1" s="1"/>
  <c r="J541" i="15" s="1"/>
  <c r="K541" i="1" a="1"/>
  <c r="K541" i="1" s="1"/>
  <c r="N541" i="1" a="1"/>
  <c r="N541" i="1" s="1"/>
  <c r="S541" i="15" s="1"/>
  <c r="L542" i="1" a="1"/>
  <c r="L542" i="1" s="1"/>
  <c r="L543" i="1" a="1"/>
  <c r="L543" i="1" s="1"/>
  <c r="R544" i="15"/>
  <c r="L544" i="1" a="1"/>
  <c r="L544" i="1" s="1"/>
  <c r="L545" i="1" a="1"/>
  <c r="L545" i="1" s="1"/>
  <c r="R546" i="15"/>
  <c r="K546" i="1" a="1"/>
  <c r="K546" i="1" s="1"/>
  <c r="C547" i="1" a="1"/>
  <c r="C547" i="1" s="1"/>
  <c r="E547" i="15" s="1"/>
  <c r="K547" i="1" a="1"/>
  <c r="K547" i="1" s="1"/>
  <c r="C548" i="1" a="1"/>
  <c r="C548" i="1" s="1"/>
  <c r="E548" i="15" s="1"/>
  <c r="L548" i="1" a="1"/>
  <c r="L548" i="1" s="1"/>
  <c r="L549" i="1" a="1"/>
  <c r="L549" i="1" s="1"/>
  <c r="F550" i="1" a="1"/>
  <c r="F550" i="1" s="1"/>
  <c r="I550" i="1" a="1"/>
  <c r="I550" i="1" s="1"/>
  <c r="M550" i="1"/>
  <c r="M550" i="15" s="1"/>
  <c r="N550" i="15" s="1" a="1"/>
  <c r="N550" i="15" s="1"/>
  <c r="C551" i="1" a="1"/>
  <c r="C551" i="1" s="1"/>
  <c r="E551" i="15" s="1"/>
  <c r="F551" i="1" a="1"/>
  <c r="F551" i="1" s="1"/>
  <c r="I551" i="1" a="1"/>
  <c r="I551" i="1" s="1"/>
  <c r="L551" i="1" a="1"/>
  <c r="L551" i="1" s="1"/>
  <c r="N551" i="1" a="1"/>
  <c r="N551" i="1" s="1"/>
  <c r="S551" i="15" s="1"/>
  <c r="G552" i="1" a="1"/>
  <c r="G552" i="1" s="1"/>
  <c r="J552" i="15" s="1"/>
  <c r="K552" i="1" a="1"/>
  <c r="K552" i="1" s="1"/>
  <c r="C553" i="1" a="1"/>
  <c r="C553" i="1" s="1"/>
  <c r="E553" i="15" s="1"/>
  <c r="R553" i="15"/>
  <c r="J553" i="1" a="1"/>
  <c r="J553" i="1" s="1"/>
  <c r="C554" i="1" a="1"/>
  <c r="C554" i="1" s="1"/>
  <c r="E554" i="15" s="1"/>
  <c r="K554" i="1" a="1"/>
  <c r="K554" i="1" s="1"/>
  <c r="N554" i="1" a="1"/>
  <c r="N554" i="1" s="1"/>
  <c r="S554" i="15" s="1"/>
  <c r="G555" i="1" a="1"/>
  <c r="G555" i="1" s="1"/>
  <c r="J555" i="15" s="1"/>
  <c r="J555" i="1" a="1"/>
  <c r="J555" i="1" s="1"/>
  <c r="G556" i="1" a="1"/>
  <c r="G556" i="1" s="1"/>
  <c r="J556" i="15" s="1"/>
  <c r="K556" i="1" a="1"/>
  <c r="K556" i="1" s="1"/>
  <c r="N556" i="1" a="1"/>
  <c r="N556" i="1" s="1"/>
  <c r="S556" i="15" s="1"/>
  <c r="L557" i="1" a="1"/>
  <c r="L557" i="1" s="1"/>
  <c r="R558" i="15"/>
  <c r="I558" i="1" a="1"/>
  <c r="I558" i="1" s="1"/>
  <c r="M558" i="1"/>
  <c r="M558" i="15" s="1"/>
  <c r="N558" i="15" s="1" a="1"/>
  <c r="N558" i="15" s="1"/>
  <c r="C559" i="1" a="1"/>
  <c r="C559" i="1" s="1"/>
  <c r="E559" i="15" s="1"/>
  <c r="F559" i="1" a="1"/>
  <c r="F559" i="1" s="1"/>
  <c r="I543" i="1" a="1"/>
  <c r="I543" i="1" s="1"/>
  <c r="M544" i="1"/>
  <c r="M544" i="15" s="1"/>
  <c r="N544" i="15" s="1" a="1"/>
  <c r="N544" i="15" s="1"/>
  <c r="R545" i="15"/>
  <c r="J545" i="1" a="1"/>
  <c r="J545" i="1" s="1"/>
  <c r="C546" i="1" a="1"/>
  <c r="C546" i="1" s="1"/>
  <c r="E546" i="15" s="1"/>
  <c r="M546" i="1"/>
  <c r="M546" i="15" s="1"/>
  <c r="N546" i="15" s="1" a="1"/>
  <c r="N546" i="15" s="1"/>
  <c r="N547" i="1" a="1"/>
  <c r="N547" i="1" s="1"/>
  <c r="S547" i="15" s="1"/>
  <c r="I548" i="1" a="1"/>
  <c r="I548" i="1" s="1"/>
  <c r="F549" i="1" a="1"/>
  <c r="F549" i="1" s="1"/>
  <c r="M549" i="1"/>
  <c r="M549" i="15" s="1"/>
  <c r="N549" i="15" s="1" a="1"/>
  <c r="N549" i="15" s="1"/>
  <c r="N550" i="1" a="1"/>
  <c r="N550" i="1" s="1"/>
  <c r="S550" i="15" s="1"/>
  <c r="K551" i="1" a="1"/>
  <c r="K551" i="1" s="1"/>
  <c r="C552" i="1" a="1"/>
  <c r="C552" i="1" s="1"/>
  <c r="E552" i="15" s="1"/>
  <c r="N553" i="1" a="1"/>
  <c r="N553" i="1" s="1"/>
  <c r="S553" i="15" s="1"/>
  <c r="I554" i="1" a="1"/>
  <c r="I554" i="1" s="1"/>
  <c r="L555" i="1" a="1"/>
  <c r="L555" i="1" s="1"/>
  <c r="C556" i="1" a="1"/>
  <c r="C556" i="1" s="1"/>
  <c r="E556" i="15" s="1"/>
  <c r="M556" i="1"/>
  <c r="M556" i="15" s="1"/>
  <c r="N556" i="15" s="1" a="1"/>
  <c r="N556" i="15" s="1"/>
  <c r="G557" i="1" a="1"/>
  <c r="G557" i="1" s="1"/>
  <c r="J557" i="15" s="1"/>
  <c r="K557" i="1" a="1"/>
  <c r="K557" i="1" s="1"/>
  <c r="F558" i="1" a="1"/>
  <c r="F558" i="1" s="1"/>
  <c r="K558" i="1" a="1"/>
  <c r="K558" i="1" s="1"/>
  <c r="G559" i="1" a="1"/>
  <c r="G559" i="1" s="1"/>
  <c r="J559" i="15" s="1"/>
  <c r="K559" i="1" a="1"/>
  <c r="K559" i="1" s="1"/>
  <c r="N559" i="1" a="1"/>
  <c r="N559" i="1" s="1"/>
  <c r="S559" i="15" s="1"/>
  <c r="L560" i="1" a="1"/>
  <c r="L560" i="1" s="1"/>
  <c r="R561" i="15"/>
  <c r="I561" i="1" a="1"/>
  <c r="I561" i="1" s="1"/>
  <c r="M561" i="1"/>
  <c r="M561" i="15" s="1"/>
  <c r="N561" i="15" s="1" a="1"/>
  <c r="N561" i="15" s="1"/>
  <c r="C562" i="1" a="1"/>
  <c r="C562" i="1" s="1"/>
  <c r="E562" i="15" s="1"/>
  <c r="F562" i="1" a="1"/>
  <c r="F562" i="1" s="1"/>
  <c r="J562" i="1" a="1"/>
  <c r="J562" i="1" s="1"/>
  <c r="G563" i="1" a="1"/>
  <c r="G563" i="1" s="1"/>
  <c r="J563" i="15" s="1"/>
  <c r="K563" i="1" a="1"/>
  <c r="K563" i="1" s="1"/>
  <c r="N563" i="1" a="1"/>
  <c r="N563" i="1" s="1"/>
  <c r="S563" i="15" s="1"/>
  <c r="L564" i="1" a="1"/>
  <c r="L564" i="1" s="1"/>
  <c r="R565" i="15"/>
  <c r="I565" i="1" a="1"/>
  <c r="I565" i="1" s="1"/>
  <c r="M565" i="1"/>
  <c r="M565" i="15" s="1"/>
  <c r="N565" i="15" s="1" a="1"/>
  <c r="N565" i="15" s="1"/>
  <c r="C566" i="1" a="1"/>
  <c r="C566" i="1" s="1"/>
  <c r="E566" i="15" s="1"/>
  <c r="F566" i="1" a="1"/>
  <c r="F566" i="1" s="1"/>
  <c r="J566" i="1" a="1"/>
  <c r="J566" i="1" s="1"/>
  <c r="G567" i="1" a="1"/>
  <c r="G567" i="1" s="1"/>
  <c r="J567" i="15" s="1"/>
  <c r="K567" i="1" a="1"/>
  <c r="K567" i="1" s="1"/>
  <c r="N567" i="1" a="1"/>
  <c r="N567" i="1" s="1"/>
  <c r="S567" i="15" s="1"/>
  <c r="L568" i="1" a="1"/>
  <c r="L568" i="1" s="1"/>
  <c r="R569" i="15"/>
  <c r="I569" i="1" a="1"/>
  <c r="I569" i="1" s="1"/>
  <c r="M569" i="1"/>
  <c r="M569" i="15" s="1"/>
  <c r="N569" i="15" s="1" a="1"/>
  <c r="N569" i="15" s="1"/>
  <c r="C570" i="1" a="1"/>
  <c r="C570" i="1" s="1"/>
  <c r="E570" i="15" s="1"/>
  <c r="F570" i="1" a="1"/>
  <c r="F570" i="1" s="1"/>
  <c r="J570" i="1" a="1"/>
  <c r="J570" i="1" s="1"/>
  <c r="G571" i="1" a="1"/>
  <c r="G571" i="1" s="1"/>
  <c r="J571" i="15" s="1"/>
  <c r="K571" i="1" a="1"/>
  <c r="K571" i="1" s="1"/>
  <c r="N571" i="1" a="1"/>
  <c r="N571" i="1" s="1"/>
  <c r="S571" i="15" s="1"/>
  <c r="L572" i="1" a="1"/>
  <c r="L572" i="1" s="1"/>
  <c r="R573" i="15"/>
  <c r="I573" i="1" a="1"/>
  <c r="I573" i="1" s="1"/>
  <c r="M573" i="1"/>
  <c r="M573" i="15" s="1"/>
  <c r="N573" i="15" s="1" a="1"/>
  <c r="N573" i="15" s="1"/>
  <c r="C574" i="1" a="1"/>
  <c r="C574" i="1" s="1"/>
  <c r="E574" i="15" s="1"/>
  <c r="F574" i="1" a="1"/>
  <c r="F574" i="1" s="1"/>
  <c r="J574" i="1" a="1"/>
  <c r="J574" i="1" s="1"/>
  <c r="G575" i="1" a="1"/>
  <c r="G575" i="1" s="1"/>
  <c r="J575" i="15" s="1"/>
  <c r="K575" i="1" a="1"/>
  <c r="K575" i="1" s="1"/>
  <c r="N575" i="1" a="1"/>
  <c r="N575" i="1" s="1"/>
  <c r="S575" i="15" s="1"/>
  <c r="L576" i="1" a="1"/>
  <c r="L576" i="1" s="1"/>
  <c r="R577" i="15"/>
  <c r="I577" i="1" a="1"/>
  <c r="I577" i="1" s="1"/>
  <c r="M577" i="1"/>
  <c r="M577" i="15" s="1"/>
  <c r="N577" i="15" s="1" a="1"/>
  <c r="N577" i="15" s="1"/>
  <c r="C578" i="1" a="1"/>
  <c r="C578" i="1" s="1"/>
  <c r="E578" i="15" s="1"/>
  <c r="F578" i="1" a="1"/>
  <c r="F578" i="1" s="1"/>
  <c r="J578" i="1" a="1"/>
  <c r="J578" i="1" s="1"/>
  <c r="G579" i="1" a="1"/>
  <c r="G579" i="1" s="1"/>
  <c r="J579" i="15" s="1"/>
  <c r="K579" i="1" a="1"/>
  <c r="K579" i="1" s="1"/>
  <c r="N579" i="1" a="1"/>
  <c r="N579" i="1" s="1"/>
  <c r="S579" i="15" s="1"/>
  <c r="L580" i="1" a="1"/>
  <c r="L580" i="1" s="1"/>
  <c r="R581" i="15"/>
  <c r="I581" i="1" a="1"/>
  <c r="I581" i="1" s="1"/>
  <c r="M581" i="1"/>
  <c r="M581" i="15" s="1"/>
  <c r="N581" i="15" s="1" a="1"/>
  <c r="N581" i="15" s="1"/>
  <c r="C582" i="1" a="1"/>
  <c r="C582" i="1" s="1"/>
  <c r="E582" i="15" s="1"/>
  <c r="F582" i="1" a="1"/>
  <c r="F582" i="1" s="1"/>
  <c r="J582" i="1" a="1"/>
  <c r="J582" i="1" s="1"/>
  <c r="G583" i="1" a="1"/>
  <c r="G583" i="1" s="1"/>
  <c r="J583" i="15" s="1"/>
  <c r="K583" i="1" a="1"/>
  <c r="K583" i="1" s="1"/>
  <c r="N583" i="1" a="1"/>
  <c r="N583" i="1" s="1"/>
  <c r="S583" i="15" s="1"/>
  <c r="L584" i="1" a="1"/>
  <c r="L584" i="1" s="1"/>
  <c r="R585" i="15"/>
  <c r="I585" i="1" a="1"/>
  <c r="I585" i="1" s="1"/>
  <c r="M585" i="1"/>
  <c r="M585" i="15" s="1"/>
  <c r="N585" i="15" s="1" a="1"/>
  <c r="N585" i="15" s="1"/>
  <c r="C586" i="1" a="1"/>
  <c r="C586" i="1" s="1"/>
  <c r="E586" i="15" s="1"/>
  <c r="F586" i="1" a="1"/>
  <c r="F586" i="1" s="1"/>
  <c r="J586" i="1" a="1"/>
  <c r="J586" i="1" s="1"/>
  <c r="G587" i="1" a="1"/>
  <c r="G587" i="1" s="1"/>
  <c r="J587" i="15" s="1"/>
  <c r="K587" i="1" a="1"/>
  <c r="K587" i="1" s="1"/>
  <c r="N587" i="1" a="1"/>
  <c r="N587" i="1" s="1"/>
  <c r="S587" i="15" s="1"/>
  <c r="L588" i="1" a="1"/>
  <c r="L588" i="1" s="1"/>
  <c r="R589" i="15"/>
  <c r="I589" i="1" a="1"/>
  <c r="I589" i="1" s="1"/>
  <c r="M589" i="1"/>
  <c r="M589" i="15" s="1"/>
  <c r="N589" i="15" s="1" a="1"/>
  <c r="N589" i="15" s="1"/>
  <c r="C590" i="1" a="1"/>
  <c r="C590" i="1" s="1"/>
  <c r="E590" i="15" s="1"/>
  <c r="F590" i="1" a="1"/>
  <c r="F590" i="1" s="1"/>
  <c r="J590" i="1" a="1"/>
  <c r="J590" i="1" s="1"/>
  <c r="G591" i="1" a="1"/>
  <c r="G591" i="1" s="1"/>
  <c r="J591" i="15" s="1"/>
  <c r="K591" i="1" a="1"/>
  <c r="K591" i="1" s="1"/>
  <c r="N591" i="1" a="1"/>
  <c r="N591" i="1" s="1"/>
  <c r="S591" i="15" s="1"/>
  <c r="L592" i="1" a="1"/>
  <c r="L592" i="1" s="1"/>
  <c r="R593" i="15"/>
  <c r="I593" i="1" a="1"/>
  <c r="I593" i="1" s="1"/>
  <c r="M593" i="1"/>
  <c r="M593" i="15" s="1"/>
  <c r="N593" i="15" s="1" a="1"/>
  <c r="N593" i="15" s="1"/>
  <c r="L594" i="1" a="1"/>
  <c r="L594" i="1" s="1"/>
  <c r="R595" i="15"/>
  <c r="I595" i="1" a="1"/>
  <c r="I595" i="1" s="1"/>
  <c r="L595" i="1" a="1"/>
  <c r="L595" i="1" s="1"/>
  <c r="N595" i="1" a="1"/>
  <c r="N595" i="1" s="1"/>
  <c r="S595" i="15" s="1"/>
  <c r="F596" i="1" a="1"/>
  <c r="F596" i="1" s="1"/>
  <c r="J596" i="1" a="1"/>
  <c r="J596" i="1" s="1"/>
  <c r="M596" i="1"/>
  <c r="M596" i="15" s="1"/>
  <c r="N596" i="15" s="1" a="1"/>
  <c r="N596" i="15" s="1"/>
  <c r="C597" i="1" a="1"/>
  <c r="C597" i="1" s="1"/>
  <c r="E597" i="15" s="1"/>
  <c r="R597" i="15"/>
  <c r="G597" i="1" a="1"/>
  <c r="G597" i="1" s="1"/>
  <c r="J597" i="15" s="1"/>
  <c r="J597" i="1" a="1"/>
  <c r="J597" i="1" s="1"/>
  <c r="F598" i="1" a="1"/>
  <c r="F598" i="1" s="1"/>
  <c r="L598" i="1" a="1"/>
  <c r="L598" i="1" s="1"/>
  <c r="N598" i="1" a="1"/>
  <c r="N598" i="1" s="1"/>
  <c r="S598" i="15" s="1"/>
  <c r="G599" i="1" a="1"/>
  <c r="G599" i="1" s="1"/>
  <c r="J599" i="15" s="1"/>
  <c r="J599" i="1" a="1"/>
  <c r="J599" i="1" s="1"/>
  <c r="G600" i="1" a="1"/>
  <c r="G600" i="1" s="1"/>
  <c r="J600" i="15" s="1"/>
  <c r="J600" i="1" a="1"/>
  <c r="J600" i="1" s="1"/>
  <c r="M600" i="1"/>
  <c r="M600" i="15" s="1"/>
  <c r="N600" i="15" s="1" a="1"/>
  <c r="N600" i="15" s="1"/>
  <c r="L601" i="1" a="1"/>
  <c r="L601" i="1" s="1"/>
  <c r="G602" i="1" a="1"/>
  <c r="G602" i="1" s="1"/>
  <c r="J602" i="15" s="1"/>
  <c r="K602" i="1" a="1"/>
  <c r="K602" i="1" s="1"/>
  <c r="N602" i="1" a="1"/>
  <c r="N602" i="1" s="1"/>
  <c r="S602" i="15" s="1"/>
  <c r="C604" i="1" a="1"/>
  <c r="C604" i="1" s="1"/>
  <c r="E604" i="15" s="1"/>
  <c r="I604" i="1" a="1"/>
  <c r="I604" i="1" s="1"/>
  <c r="J605" i="1" a="1"/>
  <c r="J605" i="1" s="1"/>
  <c r="C606" i="1" a="1"/>
  <c r="C606" i="1" s="1"/>
  <c r="E606" i="15" s="1"/>
  <c r="F606" i="1" a="1"/>
  <c r="F606" i="1" s="1"/>
  <c r="J606" i="1" a="1"/>
  <c r="J606" i="1" s="1"/>
  <c r="G607" i="1" a="1"/>
  <c r="G607" i="1" s="1"/>
  <c r="J607" i="15" s="1"/>
  <c r="J607" i="1" a="1"/>
  <c r="J607" i="1" s="1"/>
  <c r="C608" i="1" a="1"/>
  <c r="C608" i="1" s="1"/>
  <c r="E608" i="15" s="1"/>
  <c r="F608" i="1" a="1"/>
  <c r="F608" i="1" s="1"/>
  <c r="I608" i="1" a="1"/>
  <c r="I608" i="1" s="1"/>
  <c r="M608" i="1"/>
  <c r="M608" i="15" s="1"/>
  <c r="N608" i="15" s="1" a="1"/>
  <c r="N608" i="15" s="1"/>
  <c r="R609" i="15"/>
  <c r="L609" i="1" a="1"/>
  <c r="L609" i="1" s="1"/>
  <c r="R610" i="15"/>
  <c r="I610" i="1" a="1"/>
  <c r="I610" i="1" s="1"/>
  <c r="M610" i="1"/>
  <c r="M610" i="15" s="1"/>
  <c r="N610" i="15" s="1" a="1"/>
  <c r="N610" i="15" s="1"/>
  <c r="I611" i="1" a="1"/>
  <c r="I611" i="1" s="1"/>
  <c r="M611" i="1"/>
  <c r="M611" i="15" s="1"/>
  <c r="N611" i="15" s="1" a="1"/>
  <c r="N611" i="15" s="1"/>
  <c r="I612" i="1" a="1"/>
  <c r="I612" i="1" s="1"/>
  <c r="M612" i="1"/>
  <c r="M612" i="15" s="1"/>
  <c r="N612" i="15" s="1" a="1"/>
  <c r="N612" i="15" s="1"/>
  <c r="I613" i="1" a="1"/>
  <c r="I613" i="1" s="1"/>
  <c r="M613" i="1"/>
  <c r="M613" i="15" s="1"/>
  <c r="N613" i="15" s="1" a="1"/>
  <c r="N613" i="15" s="1"/>
  <c r="I614" i="1" a="1"/>
  <c r="I614" i="1" s="1"/>
  <c r="M614" i="1"/>
  <c r="M614" i="15" s="1"/>
  <c r="N614" i="15" s="1" a="1"/>
  <c r="N614" i="15" s="1"/>
  <c r="I615" i="1" a="1"/>
  <c r="I615" i="1" s="1"/>
  <c r="M615" i="1"/>
  <c r="M615" i="15" s="1"/>
  <c r="N615" i="15" s="1" a="1"/>
  <c r="N615" i="15" s="1"/>
  <c r="I616" i="1" a="1"/>
  <c r="I616" i="1" s="1"/>
  <c r="M616" i="1"/>
  <c r="M616" i="15" s="1"/>
  <c r="N616" i="15" s="1" a="1"/>
  <c r="N616" i="15" s="1"/>
  <c r="I617" i="1" a="1"/>
  <c r="I617" i="1" s="1"/>
  <c r="M617" i="1"/>
  <c r="M617" i="15" s="1"/>
  <c r="N617" i="15" s="1" a="1"/>
  <c r="N617" i="15" s="1"/>
  <c r="I618" i="1" a="1"/>
  <c r="I618" i="1" s="1"/>
  <c r="M618" i="1"/>
  <c r="M618" i="15" s="1"/>
  <c r="N618" i="15" s="1" a="1"/>
  <c r="N618" i="15" s="1"/>
  <c r="I619" i="1" a="1"/>
  <c r="I619" i="1" s="1"/>
  <c r="M619" i="1"/>
  <c r="M619" i="15" s="1"/>
  <c r="N619" i="15" s="1" a="1"/>
  <c r="N619" i="15" s="1"/>
  <c r="I620" i="1" a="1"/>
  <c r="I620" i="1" s="1"/>
  <c r="M620" i="1"/>
  <c r="M620" i="15" s="1"/>
  <c r="N620" i="15" s="1" a="1"/>
  <c r="N620" i="15" s="1"/>
  <c r="I621" i="1" a="1"/>
  <c r="I621" i="1" s="1"/>
  <c r="M621" i="1"/>
  <c r="M621" i="15" s="1"/>
  <c r="N621" i="15" s="1" a="1"/>
  <c r="N621" i="15" s="1"/>
  <c r="I622" i="1" a="1"/>
  <c r="I622" i="1" s="1"/>
  <c r="M622" i="1"/>
  <c r="M622" i="15" s="1"/>
  <c r="N622" i="15" s="1" a="1"/>
  <c r="N622" i="15" s="1"/>
  <c r="I623" i="1" a="1"/>
  <c r="I623" i="1" s="1"/>
  <c r="M623" i="1"/>
  <c r="M623" i="15" s="1"/>
  <c r="N623" i="15" s="1" a="1"/>
  <c r="N623" i="15" s="1"/>
  <c r="I624" i="1" a="1"/>
  <c r="I624" i="1" s="1"/>
  <c r="M624" i="1"/>
  <c r="M624" i="15" s="1"/>
  <c r="N624" i="15" s="1" a="1"/>
  <c r="N624" i="15" s="1"/>
  <c r="I625" i="1" a="1"/>
  <c r="I625" i="1" s="1"/>
  <c r="M625" i="1"/>
  <c r="M625" i="15" s="1"/>
  <c r="N625" i="15" s="1" a="1"/>
  <c r="N625" i="15" s="1"/>
  <c r="I626" i="1" a="1"/>
  <c r="I626" i="1" s="1"/>
  <c r="M626" i="1"/>
  <c r="M626" i="15" s="1"/>
  <c r="N626" i="15" s="1" a="1"/>
  <c r="N626" i="15" s="1"/>
  <c r="I627" i="1" a="1"/>
  <c r="I627" i="1" s="1"/>
  <c r="M627" i="1"/>
  <c r="M627" i="15" s="1"/>
  <c r="N627" i="15" s="1" a="1"/>
  <c r="N627" i="15" s="1"/>
  <c r="I628" i="1" a="1"/>
  <c r="I628" i="1" s="1"/>
  <c r="M628" i="1"/>
  <c r="M628" i="15" s="1"/>
  <c r="N628" i="15" s="1" a="1"/>
  <c r="N628" i="15" s="1"/>
  <c r="I629" i="1" a="1"/>
  <c r="I629" i="1" s="1"/>
  <c r="M629" i="1"/>
  <c r="M629" i="15" s="1"/>
  <c r="N629" i="15" s="1" a="1"/>
  <c r="N629" i="15" s="1"/>
  <c r="I630" i="1" a="1"/>
  <c r="I630" i="1" s="1"/>
  <c r="M630" i="1"/>
  <c r="M630" i="15" s="1"/>
  <c r="N630" i="15" s="1" a="1"/>
  <c r="N630" i="15" s="1"/>
  <c r="I631" i="1" a="1"/>
  <c r="I631" i="1" s="1"/>
  <c r="M631" i="1"/>
  <c r="M631" i="15" s="1"/>
  <c r="N631" i="15" s="1" a="1"/>
  <c r="N631" i="15" s="1"/>
  <c r="I632" i="1" a="1"/>
  <c r="I632" i="1" s="1"/>
  <c r="M632" i="1"/>
  <c r="M632" i="15" s="1"/>
  <c r="N632" i="15" s="1" a="1"/>
  <c r="N632" i="15" s="1"/>
  <c r="I633" i="1" a="1"/>
  <c r="I633" i="1" s="1"/>
  <c r="M633" i="1"/>
  <c r="M633" i="15" s="1"/>
  <c r="N633" i="15" s="1" a="1"/>
  <c r="N633" i="15" s="1"/>
  <c r="I634" i="1" a="1"/>
  <c r="I634" i="1" s="1"/>
  <c r="M634" i="1"/>
  <c r="M634" i="15" s="1"/>
  <c r="N634" i="15" s="1" a="1"/>
  <c r="N634" i="15" s="1"/>
  <c r="I635" i="1" a="1"/>
  <c r="I635" i="1" s="1"/>
  <c r="M635" i="1"/>
  <c r="M635" i="15" s="1"/>
  <c r="N635" i="15" s="1" a="1"/>
  <c r="N635" i="15" s="1"/>
  <c r="I636" i="1" a="1"/>
  <c r="I636" i="1" s="1"/>
  <c r="M636" i="1"/>
  <c r="M636" i="15" s="1"/>
  <c r="N636" i="15" s="1" a="1"/>
  <c r="N636" i="15" s="1"/>
  <c r="I637" i="1" a="1"/>
  <c r="I637" i="1" s="1"/>
  <c r="M637" i="1"/>
  <c r="M637" i="15" s="1"/>
  <c r="N637" i="15" s="1" a="1"/>
  <c r="N637" i="15" s="1"/>
  <c r="I638" i="1" a="1"/>
  <c r="I638" i="1" s="1"/>
  <c r="M638" i="1"/>
  <c r="M638" i="15" s="1"/>
  <c r="N638" i="15" s="1" a="1"/>
  <c r="N638" i="15" s="1"/>
  <c r="I639" i="1" a="1"/>
  <c r="I639" i="1" s="1"/>
  <c r="M639" i="1"/>
  <c r="M639" i="15" s="1"/>
  <c r="N639" i="15" s="1" a="1"/>
  <c r="N639" i="15" s="1"/>
  <c r="I640" i="1" a="1"/>
  <c r="I640" i="1" s="1"/>
  <c r="M640" i="1"/>
  <c r="M640" i="15" s="1"/>
  <c r="N640" i="15" s="1" a="1"/>
  <c r="N640" i="15" s="1"/>
  <c r="I641" i="1" a="1"/>
  <c r="I641" i="1" s="1"/>
  <c r="M641" i="1"/>
  <c r="M641" i="15" s="1"/>
  <c r="N641" i="15" s="1" a="1"/>
  <c r="N641" i="15" s="1"/>
  <c r="I642" i="1" a="1"/>
  <c r="I642" i="1" s="1"/>
  <c r="M642" i="1"/>
  <c r="M642" i="15" s="1"/>
  <c r="N642" i="15" s="1" a="1"/>
  <c r="N642" i="15" s="1"/>
  <c r="I643" i="1" a="1"/>
  <c r="I643" i="1" s="1"/>
  <c r="M643" i="1"/>
  <c r="M643" i="15" s="1"/>
  <c r="N643" i="15" s="1" a="1"/>
  <c r="N643" i="15" s="1"/>
  <c r="I644" i="1" a="1"/>
  <c r="I644" i="1" s="1"/>
  <c r="M543" i="1"/>
  <c r="M543" i="15" s="1"/>
  <c r="N543" i="15" s="1" a="1"/>
  <c r="N543" i="15" s="1"/>
  <c r="F544" i="1" a="1"/>
  <c r="F544" i="1" s="1"/>
  <c r="F545" i="1" a="1"/>
  <c r="F545" i="1" s="1"/>
  <c r="M545" i="1"/>
  <c r="M545" i="15" s="1"/>
  <c r="N545" i="15" s="1" a="1"/>
  <c r="N545" i="15" s="1"/>
  <c r="N546" i="1" a="1"/>
  <c r="N546" i="1" s="1"/>
  <c r="S546" i="15" s="1"/>
  <c r="I547" i="1" a="1"/>
  <c r="I547" i="1" s="1"/>
  <c r="F548" i="1" a="1"/>
  <c r="F548" i="1" s="1"/>
  <c r="J548" i="1" a="1"/>
  <c r="J548" i="1" s="1"/>
  <c r="C549" i="1" a="1"/>
  <c r="C549" i="1" s="1"/>
  <c r="E549" i="15" s="1"/>
  <c r="R550" i="15"/>
  <c r="J550" i="1" a="1"/>
  <c r="J550" i="1" s="1"/>
  <c r="G551" i="1" a="1"/>
  <c r="G551" i="1" s="1"/>
  <c r="J551" i="15" s="1"/>
  <c r="M551" i="1"/>
  <c r="M551" i="15" s="1"/>
  <c r="N551" i="15" s="1" a="1"/>
  <c r="N551" i="15" s="1"/>
  <c r="I552" i="1" a="1"/>
  <c r="I552" i="1" s="1"/>
  <c r="N552" i="1" a="1"/>
  <c r="N552" i="1" s="1"/>
  <c r="S552" i="15" s="1"/>
  <c r="I553" i="1" a="1"/>
  <c r="I553" i="1" s="1"/>
  <c r="F554" i="1" a="1"/>
  <c r="F554" i="1" s="1"/>
  <c r="J554" i="1" a="1"/>
  <c r="J554" i="1" s="1"/>
  <c r="I555" i="1" a="1"/>
  <c r="I555" i="1" s="1"/>
  <c r="M555" i="1"/>
  <c r="M555" i="15" s="1"/>
  <c r="N555" i="15" s="1" a="1"/>
  <c r="N555" i="15" s="1"/>
  <c r="I556" i="1" a="1"/>
  <c r="I556" i="1" s="1"/>
  <c r="M557" i="1"/>
  <c r="M557" i="15" s="1"/>
  <c r="N557" i="15" s="1" a="1"/>
  <c r="N557" i="15" s="1"/>
  <c r="C558" i="1" a="1"/>
  <c r="C558" i="1" s="1"/>
  <c r="E558" i="15" s="1"/>
  <c r="G558" i="1" a="1"/>
  <c r="G558" i="1" s="1"/>
  <c r="J558" i="15" s="1"/>
  <c r="L558" i="1" a="1"/>
  <c r="L558" i="1" s="1"/>
  <c r="L559" i="1" a="1"/>
  <c r="L559" i="1" s="1"/>
  <c r="R560" i="15"/>
  <c r="I560" i="1" a="1"/>
  <c r="I560" i="1" s="1"/>
  <c r="M560" i="1"/>
  <c r="M560" i="15" s="1"/>
  <c r="N560" i="15" s="1" a="1"/>
  <c r="N560" i="15" s="1"/>
  <c r="C561" i="1" a="1"/>
  <c r="C561" i="1" s="1"/>
  <c r="E561" i="15" s="1"/>
  <c r="F561" i="1" a="1"/>
  <c r="F561" i="1" s="1"/>
  <c r="J561" i="1" a="1"/>
  <c r="J561" i="1" s="1"/>
  <c r="G562" i="1" a="1"/>
  <c r="G562" i="1" s="1"/>
  <c r="J562" i="15" s="1"/>
  <c r="K562" i="1" a="1"/>
  <c r="K562" i="1" s="1"/>
  <c r="N562" i="1" a="1"/>
  <c r="N562" i="1" s="1"/>
  <c r="S562" i="15" s="1"/>
  <c r="L563" i="1" a="1"/>
  <c r="L563" i="1" s="1"/>
  <c r="R564" i="15"/>
  <c r="I564" i="1" a="1"/>
  <c r="I564" i="1" s="1"/>
  <c r="M564" i="1"/>
  <c r="M564" i="15" s="1"/>
  <c r="N564" i="15" s="1" a="1"/>
  <c r="N564" i="15" s="1"/>
  <c r="C565" i="1" a="1"/>
  <c r="C565" i="1" s="1"/>
  <c r="E565" i="15" s="1"/>
  <c r="F565" i="1" a="1"/>
  <c r="F565" i="1" s="1"/>
  <c r="J565" i="1" a="1"/>
  <c r="J565" i="1" s="1"/>
  <c r="G566" i="1" a="1"/>
  <c r="G566" i="1" s="1"/>
  <c r="J566" i="15" s="1"/>
  <c r="K566" i="1" a="1"/>
  <c r="K566" i="1" s="1"/>
  <c r="N566" i="1" a="1"/>
  <c r="N566" i="1" s="1"/>
  <c r="S566" i="15" s="1"/>
  <c r="L567" i="1" a="1"/>
  <c r="L567" i="1" s="1"/>
  <c r="R568" i="15"/>
  <c r="I568" i="1" a="1"/>
  <c r="I568" i="1" s="1"/>
  <c r="M568" i="1"/>
  <c r="M568" i="15" s="1"/>
  <c r="N568" i="15" s="1" a="1"/>
  <c r="N568" i="15" s="1"/>
  <c r="C569" i="1" a="1"/>
  <c r="C569" i="1" s="1"/>
  <c r="E569" i="15" s="1"/>
  <c r="F569" i="1" a="1"/>
  <c r="F569" i="1" s="1"/>
  <c r="J569" i="1" a="1"/>
  <c r="J569" i="1" s="1"/>
  <c r="G570" i="1" a="1"/>
  <c r="G570" i="1" s="1"/>
  <c r="J570" i="15" s="1"/>
  <c r="K570" i="1" a="1"/>
  <c r="K570" i="1" s="1"/>
  <c r="N570" i="1" a="1"/>
  <c r="N570" i="1" s="1"/>
  <c r="S570" i="15" s="1"/>
  <c r="L571" i="1" a="1"/>
  <c r="L571" i="1" s="1"/>
  <c r="R572" i="15"/>
  <c r="I572" i="1" a="1"/>
  <c r="I572" i="1" s="1"/>
  <c r="M572" i="1"/>
  <c r="M572" i="15" s="1"/>
  <c r="N572" i="15" s="1" a="1"/>
  <c r="N572" i="15" s="1"/>
  <c r="C573" i="1" a="1"/>
  <c r="C573" i="1" s="1"/>
  <c r="E573" i="15" s="1"/>
  <c r="F573" i="1" a="1"/>
  <c r="F573" i="1" s="1"/>
  <c r="J573" i="1" a="1"/>
  <c r="J573" i="1" s="1"/>
  <c r="G574" i="1" a="1"/>
  <c r="G574" i="1" s="1"/>
  <c r="J574" i="15" s="1"/>
  <c r="K574" i="1" a="1"/>
  <c r="K574" i="1" s="1"/>
  <c r="N574" i="1" a="1"/>
  <c r="N574" i="1" s="1"/>
  <c r="S574" i="15" s="1"/>
  <c r="L575" i="1" a="1"/>
  <c r="L575" i="1" s="1"/>
  <c r="R576" i="15"/>
  <c r="I576" i="1" a="1"/>
  <c r="I576" i="1" s="1"/>
  <c r="M576" i="1"/>
  <c r="M576" i="15" s="1"/>
  <c r="N576" i="15" s="1" a="1"/>
  <c r="N576" i="15" s="1"/>
  <c r="C577" i="1" a="1"/>
  <c r="C577" i="1" s="1"/>
  <c r="E577" i="15" s="1"/>
  <c r="F577" i="1" a="1"/>
  <c r="F577" i="1" s="1"/>
  <c r="J577" i="1" a="1"/>
  <c r="J577" i="1" s="1"/>
  <c r="G578" i="1" a="1"/>
  <c r="G578" i="1" s="1"/>
  <c r="J578" i="15" s="1"/>
  <c r="K578" i="1" a="1"/>
  <c r="K578" i="1" s="1"/>
  <c r="N578" i="1" a="1"/>
  <c r="N578" i="1" s="1"/>
  <c r="S578" i="15" s="1"/>
  <c r="L579" i="1" a="1"/>
  <c r="L579" i="1" s="1"/>
  <c r="R580" i="15"/>
  <c r="I580" i="1" a="1"/>
  <c r="I580" i="1" s="1"/>
  <c r="M580" i="1"/>
  <c r="M580" i="15" s="1"/>
  <c r="N580" i="15" s="1" a="1"/>
  <c r="N580" i="15" s="1"/>
  <c r="C581" i="1" a="1"/>
  <c r="C581" i="1" s="1"/>
  <c r="E581" i="15" s="1"/>
  <c r="F581" i="1" a="1"/>
  <c r="F581" i="1" s="1"/>
  <c r="J581" i="1" a="1"/>
  <c r="J581" i="1" s="1"/>
  <c r="G582" i="1" a="1"/>
  <c r="G582" i="1" s="1"/>
  <c r="J582" i="15" s="1"/>
  <c r="K582" i="1" a="1"/>
  <c r="K582" i="1" s="1"/>
  <c r="N582" i="1" a="1"/>
  <c r="N582" i="1" s="1"/>
  <c r="S582" i="15" s="1"/>
  <c r="L583" i="1" a="1"/>
  <c r="L583" i="1" s="1"/>
  <c r="R584" i="15"/>
  <c r="I584" i="1" a="1"/>
  <c r="I584" i="1" s="1"/>
  <c r="M584" i="1"/>
  <c r="M584" i="15" s="1"/>
  <c r="N584" i="15" s="1" a="1"/>
  <c r="N584" i="15" s="1"/>
  <c r="C585" i="1" a="1"/>
  <c r="C585" i="1" s="1"/>
  <c r="E585" i="15" s="1"/>
  <c r="F585" i="1" a="1"/>
  <c r="F585" i="1" s="1"/>
  <c r="J585" i="1" a="1"/>
  <c r="J585" i="1" s="1"/>
  <c r="G586" i="1" a="1"/>
  <c r="G586" i="1" s="1"/>
  <c r="J586" i="15" s="1"/>
  <c r="K586" i="1" a="1"/>
  <c r="K586" i="1" s="1"/>
  <c r="N586" i="1" a="1"/>
  <c r="N586" i="1" s="1"/>
  <c r="S586" i="15" s="1"/>
  <c r="L587" i="1" a="1"/>
  <c r="L587" i="1" s="1"/>
  <c r="R588" i="15"/>
  <c r="I588" i="1" a="1"/>
  <c r="I588" i="1" s="1"/>
  <c r="M588" i="1"/>
  <c r="M588" i="15" s="1"/>
  <c r="N588" i="15" s="1" a="1"/>
  <c r="N588" i="15" s="1"/>
  <c r="C589" i="1" a="1"/>
  <c r="C589" i="1" s="1"/>
  <c r="E589" i="15" s="1"/>
  <c r="F589" i="1" a="1"/>
  <c r="F589" i="1" s="1"/>
  <c r="J589" i="1" a="1"/>
  <c r="J589" i="1" s="1"/>
  <c r="G590" i="1" a="1"/>
  <c r="G590" i="1" s="1"/>
  <c r="J590" i="15" s="1"/>
  <c r="K590" i="1" a="1"/>
  <c r="K590" i="1" s="1"/>
  <c r="N590" i="1" a="1"/>
  <c r="N590" i="1" s="1"/>
  <c r="S590" i="15" s="1"/>
  <c r="L591" i="1" a="1"/>
  <c r="L591" i="1" s="1"/>
  <c r="R592" i="15"/>
  <c r="I592" i="1" a="1"/>
  <c r="I592" i="1" s="1"/>
  <c r="M592" i="1"/>
  <c r="M592" i="15" s="1"/>
  <c r="N592" i="15" s="1" a="1"/>
  <c r="N592" i="15" s="1"/>
  <c r="C593" i="1" a="1"/>
  <c r="C593" i="1" s="1"/>
  <c r="E593" i="15" s="1"/>
  <c r="F593" i="1" a="1"/>
  <c r="F593" i="1" s="1"/>
  <c r="J593" i="1" a="1"/>
  <c r="J593" i="1" s="1"/>
  <c r="C594" i="1" a="1"/>
  <c r="C594" i="1" s="1"/>
  <c r="E594" i="15" s="1"/>
  <c r="R594" i="15"/>
  <c r="I594" i="1" a="1"/>
  <c r="I594" i="1" s="1"/>
  <c r="M594" i="1"/>
  <c r="M594" i="15" s="1"/>
  <c r="N594" i="15" s="1" a="1"/>
  <c r="N594" i="15" s="1"/>
  <c r="C595" i="1" a="1"/>
  <c r="C595" i="1" s="1"/>
  <c r="E595" i="15" s="1"/>
  <c r="F595" i="1" a="1"/>
  <c r="F595" i="1" s="1"/>
  <c r="J595" i="1" a="1"/>
  <c r="J595" i="1" s="1"/>
  <c r="M595" i="1"/>
  <c r="M595" i="15" s="1"/>
  <c r="N595" i="15" s="1" a="1"/>
  <c r="N595" i="15" s="1"/>
  <c r="G596" i="1" a="1"/>
  <c r="G596" i="1" s="1"/>
  <c r="J596" i="15" s="1"/>
  <c r="K596" i="1" a="1"/>
  <c r="K596" i="1" s="1"/>
  <c r="K597" i="1" a="1"/>
  <c r="K597" i="1" s="1"/>
  <c r="N597" i="1" a="1"/>
  <c r="N597" i="1" s="1"/>
  <c r="S597" i="15" s="1"/>
  <c r="I598" i="1" a="1"/>
  <c r="I598" i="1" s="1"/>
  <c r="M598" i="1"/>
  <c r="M598" i="15" s="1"/>
  <c r="N598" i="15" s="1" a="1"/>
  <c r="N598" i="15" s="1"/>
  <c r="R599" i="15"/>
  <c r="K599" i="1" a="1"/>
  <c r="K599" i="1" s="1"/>
  <c r="N599" i="1" a="1"/>
  <c r="N599" i="1" s="1"/>
  <c r="S599" i="15" s="1"/>
  <c r="R601" i="15"/>
  <c r="I601" i="1" a="1"/>
  <c r="I601" i="1" s="1"/>
  <c r="M601" i="1"/>
  <c r="M601" i="15" s="1"/>
  <c r="N601" i="15" s="1" a="1"/>
  <c r="N601" i="15" s="1"/>
  <c r="L602" i="1" a="1"/>
  <c r="L602" i="1" s="1"/>
  <c r="R603" i="15"/>
  <c r="I603" i="1" a="1"/>
  <c r="I603" i="1" s="1"/>
  <c r="L603" i="1" a="1"/>
  <c r="L603" i="1" s="1"/>
  <c r="N603" i="1" a="1"/>
  <c r="N603" i="1" s="1"/>
  <c r="S603" i="15" s="1"/>
  <c r="F604" i="1" a="1"/>
  <c r="F604" i="1" s="1"/>
  <c r="J604" i="1" a="1"/>
  <c r="J604" i="1" s="1"/>
  <c r="M604" i="1"/>
  <c r="M604" i="15" s="1"/>
  <c r="N604" i="15" s="1" a="1"/>
  <c r="N604" i="15" s="1"/>
  <c r="C605" i="1" a="1"/>
  <c r="C605" i="1" s="1"/>
  <c r="E605" i="15" s="1"/>
  <c r="R605" i="15"/>
  <c r="G605" i="1" a="1"/>
  <c r="G605" i="1" s="1"/>
  <c r="J605" i="15" s="1"/>
  <c r="K605" i="1" a="1"/>
  <c r="K605" i="1" s="1"/>
  <c r="N605" i="1" a="1"/>
  <c r="N605" i="1" s="1"/>
  <c r="S605" i="15" s="1"/>
  <c r="G606" i="1" a="1"/>
  <c r="G606" i="1" s="1"/>
  <c r="J606" i="15" s="1"/>
  <c r="K606" i="1" a="1"/>
  <c r="K606" i="1" s="1"/>
  <c r="N606" i="1" a="1"/>
  <c r="N606" i="1" s="1"/>
  <c r="S606" i="15" s="1"/>
  <c r="K607" i="1" a="1"/>
  <c r="K607" i="1" s="1"/>
  <c r="J608" i="1" a="1"/>
  <c r="J608" i="1" s="1"/>
  <c r="C609" i="1" a="1"/>
  <c r="C609" i="1" s="1"/>
  <c r="E609" i="15" s="1"/>
  <c r="I609" i="1" a="1"/>
  <c r="I609" i="1" s="1"/>
  <c r="M609" i="1"/>
  <c r="M609" i="15" s="1"/>
  <c r="N609" i="15" s="1" a="1"/>
  <c r="N609" i="15" s="1"/>
  <c r="C610" i="1" a="1"/>
  <c r="C610" i="1" s="1"/>
  <c r="E610" i="15" s="1"/>
  <c r="F610" i="1" a="1"/>
  <c r="F610" i="1" s="1"/>
  <c r="J610" i="1" a="1"/>
  <c r="J610" i="1" s="1"/>
  <c r="R611" i="15"/>
  <c r="G611" i="1" a="1"/>
  <c r="G611" i="1" s="1"/>
  <c r="J611" i="15" s="1"/>
  <c r="J611" i="1" a="1"/>
  <c r="J611" i="1" s="1"/>
  <c r="R612" i="15"/>
  <c r="G612" i="1" a="1"/>
  <c r="G612" i="1" s="1"/>
  <c r="J612" i="15" s="1"/>
  <c r="J612" i="1" a="1"/>
  <c r="J612" i="1" s="1"/>
  <c r="R613" i="15"/>
  <c r="G613" i="1" a="1"/>
  <c r="G613" i="1" s="1"/>
  <c r="J613" i="15" s="1"/>
  <c r="J613" i="1" a="1"/>
  <c r="J613" i="1" s="1"/>
  <c r="R614" i="15"/>
  <c r="G614" i="1" a="1"/>
  <c r="G614" i="1" s="1"/>
  <c r="J614" i="15" s="1"/>
  <c r="J614" i="1" a="1"/>
  <c r="J614" i="1" s="1"/>
  <c r="R615" i="15"/>
  <c r="G615" i="1" a="1"/>
  <c r="G615" i="1" s="1"/>
  <c r="J615" i="15" s="1"/>
  <c r="J615" i="1" a="1"/>
  <c r="J615" i="1" s="1"/>
  <c r="R616" i="15"/>
  <c r="G616" i="1" a="1"/>
  <c r="G616" i="1" s="1"/>
  <c r="J616" i="15" s="1"/>
  <c r="J616" i="1" a="1"/>
  <c r="J616" i="1" s="1"/>
  <c r="R617" i="15"/>
  <c r="G617" i="1" a="1"/>
  <c r="G617" i="1" s="1"/>
  <c r="J617" i="15" s="1"/>
  <c r="J617" i="1" a="1"/>
  <c r="J617" i="1" s="1"/>
  <c r="R618" i="15"/>
  <c r="G618" i="1" a="1"/>
  <c r="G618" i="1" s="1"/>
  <c r="J618" i="15" s="1"/>
  <c r="J618" i="1" a="1"/>
  <c r="J618" i="1" s="1"/>
  <c r="R619" i="15"/>
  <c r="G619" i="1" a="1"/>
  <c r="G619" i="1" s="1"/>
  <c r="J619" i="15" s="1"/>
  <c r="J619" i="1" a="1"/>
  <c r="J619" i="1" s="1"/>
  <c r="R620" i="15"/>
  <c r="G620" i="1" a="1"/>
  <c r="G620" i="1" s="1"/>
  <c r="J620" i="15" s="1"/>
  <c r="J620" i="1" a="1"/>
  <c r="J620" i="1" s="1"/>
  <c r="R621" i="15"/>
  <c r="G621" i="1" a="1"/>
  <c r="G621" i="1" s="1"/>
  <c r="J621" i="15" s="1"/>
  <c r="J621" i="1" a="1"/>
  <c r="J621" i="1" s="1"/>
  <c r="R622" i="15"/>
  <c r="G622" i="1" a="1"/>
  <c r="G622" i="1" s="1"/>
  <c r="J622" i="15" s="1"/>
  <c r="J622" i="1" a="1"/>
  <c r="J622" i="1" s="1"/>
  <c r="R623" i="15"/>
  <c r="G623" i="1" a="1"/>
  <c r="G623" i="1" s="1"/>
  <c r="J623" i="15" s="1"/>
  <c r="J623" i="1" a="1"/>
  <c r="J623" i="1" s="1"/>
  <c r="R624" i="15"/>
  <c r="G624" i="1" a="1"/>
  <c r="G624" i="1" s="1"/>
  <c r="J624" i="15" s="1"/>
  <c r="J624" i="1" a="1"/>
  <c r="J624" i="1" s="1"/>
  <c r="R625" i="15"/>
  <c r="G625" i="1" a="1"/>
  <c r="G625" i="1" s="1"/>
  <c r="J625" i="15" s="1"/>
  <c r="J625" i="1" a="1"/>
  <c r="J625" i="1" s="1"/>
  <c r="R626" i="15"/>
  <c r="G626" i="1" a="1"/>
  <c r="G626" i="1" s="1"/>
  <c r="J626" i="15" s="1"/>
  <c r="J626" i="1" a="1"/>
  <c r="J626" i="1" s="1"/>
  <c r="R543" i="15"/>
  <c r="C545" i="1" a="1"/>
  <c r="C545" i="1" s="1"/>
  <c r="E545" i="15" s="1"/>
  <c r="I546" i="1" a="1"/>
  <c r="I546" i="1" s="1"/>
  <c r="F547" i="1" a="1"/>
  <c r="F547" i="1" s="1"/>
  <c r="L547" i="1" a="1"/>
  <c r="L547" i="1" s="1"/>
  <c r="M548" i="1"/>
  <c r="M548" i="15" s="1"/>
  <c r="N548" i="15" s="1" a="1"/>
  <c r="N548" i="15" s="1"/>
  <c r="I549" i="1" a="1"/>
  <c r="I549" i="1" s="1"/>
  <c r="G550" i="1" a="1"/>
  <c r="G550" i="1" s="1"/>
  <c r="J550" i="15" s="1"/>
  <c r="K550" i="1" a="1"/>
  <c r="K550" i="1" s="1"/>
  <c r="R552" i="15"/>
  <c r="L552" i="1" a="1"/>
  <c r="L552" i="1" s="1"/>
  <c r="K553" i="1" a="1"/>
  <c r="K553" i="1" s="1"/>
  <c r="G554" i="1" a="1"/>
  <c r="G554" i="1" s="1"/>
  <c r="J554" i="15" s="1"/>
  <c r="L554" i="1" a="1"/>
  <c r="L554" i="1" s="1"/>
  <c r="N555" i="1" a="1"/>
  <c r="N555" i="1" s="1"/>
  <c r="S555" i="15" s="1"/>
  <c r="R556" i="15"/>
  <c r="J556" i="1" a="1"/>
  <c r="J556" i="1" s="1"/>
  <c r="R557" i="15"/>
  <c r="I557" i="1" a="1"/>
  <c r="I557" i="1" s="1"/>
  <c r="I559" i="1" a="1"/>
  <c r="I559" i="1" s="1"/>
  <c r="M559" i="1"/>
  <c r="M559" i="15" s="1"/>
  <c r="N559" i="15" s="1" a="1"/>
  <c r="N559" i="15" s="1"/>
  <c r="C560" i="1" a="1"/>
  <c r="C560" i="1" s="1"/>
  <c r="E560" i="15" s="1"/>
  <c r="F560" i="1" a="1"/>
  <c r="F560" i="1" s="1"/>
  <c r="J560" i="1" a="1"/>
  <c r="J560" i="1" s="1"/>
  <c r="G561" i="1" a="1"/>
  <c r="G561" i="1" s="1"/>
  <c r="J561" i="15" s="1"/>
  <c r="K561" i="1" a="1"/>
  <c r="K561" i="1" s="1"/>
  <c r="N561" i="1" a="1"/>
  <c r="N561" i="1" s="1"/>
  <c r="S561" i="15" s="1"/>
  <c r="L562" i="1" a="1"/>
  <c r="L562" i="1" s="1"/>
  <c r="R563" i="15"/>
  <c r="I563" i="1" a="1"/>
  <c r="I563" i="1" s="1"/>
  <c r="M563" i="1"/>
  <c r="M563" i="15" s="1"/>
  <c r="N563" i="15" s="1" a="1"/>
  <c r="N563" i="15" s="1"/>
  <c r="C564" i="1" a="1"/>
  <c r="C564" i="1" s="1"/>
  <c r="E564" i="15" s="1"/>
  <c r="F564" i="1" a="1"/>
  <c r="F564" i="1" s="1"/>
  <c r="J564" i="1" a="1"/>
  <c r="J564" i="1" s="1"/>
  <c r="G565" i="1" a="1"/>
  <c r="G565" i="1" s="1"/>
  <c r="J565" i="15" s="1"/>
  <c r="K565" i="1" a="1"/>
  <c r="K565" i="1" s="1"/>
  <c r="N565" i="1" a="1"/>
  <c r="N565" i="1" s="1"/>
  <c r="S565" i="15" s="1"/>
  <c r="L566" i="1" a="1"/>
  <c r="L566" i="1" s="1"/>
  <c r="R567" i="15"/>
  <c r="I567" i="1" a="1"/>
  <c r="I567" i="1" s="1"/>
  <c r="M567" i="1"/>
  <c r="M567" i="15" s="1"/>
  <c r="N567" i="15" s="1" a="1"/>
  <c r="N567" i="15" s="1"/>
  <c r="C568" i="1" a="1"/>
  <c r="C568" i="1" s="1"/>
  <c r="E568" i="15" s="1"/>
  <c r="F568" i="1" a="1"/>
  <c r="F568" i="1" s="1"/>
  <c r="J568" i="1" a="1"/>
  <c r="J568" i="1" s="1"/>
  <c r="G569" i="1" a="1"/>
  <c r="G569" i="1" s="1"/>
  <c r="J569" i="15" s="1"/>
  <c r="K569" i="1" a="1"/>
  <c r="K569" i="1" s="1"/>
  <c r="N569" i="1" a="1"/>
  <c r="N569" i="1" s="1"/>
  <c r="S569" i="15" s="1"/>
  <c r="L570" i="1" a="1"/>
  <c r="L570" i="1" s="1"/>
  <c r="R571" i="15"/>
  <c r="I571" i="1" a="1"/>
  <c r="I571" i="1" s="1"/>
  <c r="M571" i="1"/>
  <c r="M571" i="15" s="1"/>
  <c r="N571" i="15" s="1" a="1"/>
  <c r="N571" i="15" s="1"/>
  <c r="C572" i="1" a="1"/>
  <c r="C572" i="1" s="1"/>
  <c r="E572" i="15" s="1"/>
  <c r="F572" i="1" a="1"/>
  <c r="F572" i="1" s="1"/>
  <c r="J572" i="1" a="1"/>
  <c r="J572" i="1" s="1"/>
  <c r="G573" i="1" a="1"/>
  <c r="G573" i="1" s="1"/>
  <c r="J573" i="15" s="1"/>
  <c r="K573" i="1" a="1"/>
  <c r="K573" i="1" s="1"/>
  <c r="N573" i="1" a="1"/>
  <c r="N573" i="1" s="1"/>
  <c r="S573" i="15" s="1"/>
  <c r="L574" i="1" a="1"/>
  <c r="L574" i="1" s="1"/>
  <c r="R575" i="15"/>
  <c r="I575" i="1" a="1"/>
  <c r="I575" i="1" s="1"/>
  <c r="M575" i="1"/>
  <c r="M575" i="15" s="1"/>
  <c r="N575" i="15" s="1" a="1"/>
  <c r="N575" i="15" s="1"/>
  <c r="C576" i="1" a="1"/>
  <c r="C576" i="1" s="1"/>
  <c r="E576" i="15" s="1"/>
  <c r="F576" i="1" a="1"/>
  <c r="F576" i="1" s="1"/>
  <c r="J576" i="1" a="1"/>
  <c r="J576" i="1" s="1"/>
  <c r="G577" i="1" a="1"/>
  <c r="G577" i="1" s="1"/>
  <c r="J577" i="15" s="1"/>
  <c r="K577" i="1" a="1"/>
  <c r="K577" i="1" s="1"/>
  <c r="N577" i="1" a="1"/>
  <c r="N577" i="1" s="1"/>
  <c r="S577" i="15" s="1"/>
  <c r="L578" i="1" a="1"/>
  <c r="L578" i="1" s="1"/>
  <c r="R579" i="15"/>
  <c r="I579" i="1" a="1"/>
  <c r="I579" i="1" s="1"/>
  <c r="M579" i="1"/>
  <c r="M579" i="15" s="1"/>
  <c r="N579" i="15" s="1" a="1"/>
  <c r="N579" i="15" s="1"/>
  <c r="C580" i="1" a="1"/>
  <c r="C580" i="1" s="1"/>
  <c r="E580" i="15" s="1"/>
  <c r="F580" i="1" a="1"/>
  <c r="F580" i="1" s="1"/>
  <c r="J580" i="1" a="1"/>
  <c r="J580" i="1" s="1"/>
  <c r="G581" i="1" a="1"/>
  <c r="G581" i="1" s="1"/>
  <c r="J581" i="15" s="1"/>
  <c r="K581" i="1" a="1"/>
  <c r="K581" i="1" s="1"/>
  <c r="N581" i="1" a="1"/>
  <c r="N581" i="1" s="1"/>
  <c r="S581" i="15" s="1"/>
  <c r="L582" i="1" a="1"/>
  <c r="L582" i="1" s="1"/>
  <c r="R583" i="15"/>
  <c r="I583" i="1" a="1"/>
  <c r="I583" i="1" s="1"/>
  <c r="M583" i="1"/>
  <c r="M583" i="15" s="1"/>
  <c r="N583" i="15" s="1" a="1"/>
  <c r="N583" i="15" s="1"/>
  <c r="C584" i="1" a="1"/>
  <c r="C584" i="1" s="1"/>
  <c r="E584" i="15" s="1"/>
  <c r="F584" i="1" a="1"/>
  <c r="F584" i="1" s="1"/>
  <c r="J584" i="1" a="1"/>
  <c r="J584" i="1" s="1"/>
  <c r="G585" i="1" a="1"/>
  <c r="G585" i="1" s="1"/>
  <c r="J585" i="15" s="1"/>
  <c r="K585" i="1" a="1"/>
  <c r="K585" i="1" s="1"/>
  <c r="N585" i="1" a="1"/>
  <c r="N585" i="1" s="1"/>
  <c r="S585" i="15" s="1"/>
  <c r="L586" i="1" a="1"/>
  <c r="L586" i="1" s="1"/>
  <c r="R587" i="15"/>
  <c r="I587" i="1" a="1"/>
  <c r="I587" i="1" s="1"/>
  <c r="M587" i="1"/>
  <c r="M587" i="15" s="1"/>
  <c r="N587" i="15" s="1" a="1"/>
  <c r="N587" i="15" s="1"/>
  <c r="C588" i="1" a="1"/>
  <c r="C588" i="1" s="1"/>
  <c r="E588" i="15" s="1"/>
  <c r="F588" i="1" a="1"/>
  <c r="F588" i="1" s="1"/>
  <c r="J588" i="1" a="1"/>
  <c r="J588" i="1" s="1"/>
  <c r="G589" i="1" a="1"/>
  <c r="G589" i="1" s="1"/>
  <c r="J589" i="15" s="1"/>
  <c r="K589" i="1" a="1"/>
  <c r="K589" i="1" s="1"/>
  <c r="N589" i="1" a="1"/>
  <c r="N589" i="1" s="1"/>
  <c r="S589" i="15" s="1"/>
  <c r="L590" i="1" a="1"/>
  <c r="L590" i="1" s="1"/>
  <c r="R591" i="15"/>
  <c r="I591" i="1" a="1"/>
  <c r="I591" i="1" s="1"/>
  <c r="M591" i="1"/>
  <c r="M591" i="15" s="1"/>
  <c r="N591" i="15" s="1" a="1"/>
  <c r="N591" i="15" s="1"/>
  <c r="C592" i="1" a="1"/>
  <c r="C592" i="1" s="1"/>
  <c r="E592" i="15" s="1"/>
  <c r="F592" i="1" a="1"/>
  <c r="F592" i="1" s="1"/>
  <c r="J592" i="1" a="1"/>
  <c r="J592" i="1" s="1"/>
  <c r="G593" i="1" a="1"/>
  <c r="G593" i="1" s="1"/>
  <c r="J593" i="15" s="1"/>
  <c r="K593" i="1" a="1"/>
  <c r="K593" i="1" s="1"/>
  <c r="N593" i="1" a="1"/>
  <c r="N593" i="1" s="1"/>
  <c r="S593" i="15" s="1"/>
  <c r="F594" i="1" a="1"/>
  <c r="F594" i="1" s="1"/>
  <c r="J594" i="1" a="1"/>
  <c r="J594" i="1" s="1"/>
  <c r="G595" i="1" a="1"/>
  <c r="G595" i="1" s="1"/>
  <c r="J595" i="15" s="1"/>
  <c r="K595" i="1" a="1"/>
  <c r="K595" i="1" s="1"/>
  <c r="R596" i="15"/>
  <c r="L596" i="1" a="1"/>
  <c r="L596" i="1" s="1"/>
  <c r="N596" i="1" a="1"/>
  <c r="N596" i="1" s="1"/>
  <c r="S596" i="15" s="1"/>
  <c r="F597" i="1" a="1"/>
  <c r="F597" i="1" s="1"/>
  <c r="L597" i="1" a="1"/>
  <c r="L597" i="1" s="1"/>
  <c r="R598" i="15"/>
  <c r="G598" i="1" a="1"/>
  <c r="G598" i="1" s="1"/>
  <c r="J598" i="15" s="1"/>
  <c r="J598" i="1" a="1"/>
  <c r="J598" i="1" s="1"/>
  <c r="C599" i="1" a="1"/>
  <c r="C599" i="1" s="1"/>
  <c r="E599" i="15" s="1"/>
  <c r="F599" i="1" a="1"/>
  <c r="F599" i="1" s="1"/>
  <c r="I599" i="1" a="1"/>
  <c r="I599" i="1" s="1"/>
  <c r="L599" i="1" a="1"/>
  <c r="L599" i="1" s="1"/>
  <c r="R600" i="15"/>
  <c r="K600" i="1" a="1"/>
  <c r="K600" i="1" s="1"/>
  <c r="C601" i="1" a="1"/>
  <c r="C601" i="1" s="1"/>
  <c r="E601" i="15" s="1"/>
  <c r="F601" i="1" a="1"/>
  <c r="F601" i="1" s="1"/>
  <c r="J601" i="1" a="1"/>
  <c r="J601" i="1" s="1"/>
  <c r="C602" i="1" a="1"/>
  <c r="C602" i="1" s="1"/>
  <c r="E602" i="15" s="1"/>
  <c r="R602" i="15"/>
  <c r="I602" i="1" a="1"/>
  <c r="I602" i="1" s="1"/>
  <c r="M602" i="1"/>
  <c r="M602" i="15" s="1"/>
  <c r="N602" i="15" s="1" a="1"/>
  <c r="N602" i="15" s="1"/>
  <c r="C603" i="1" a="1"/>
  <c r="C603" i="1" s="1"/>
  <c r="E603" i="15" s="1"/>
  <c r="F603" i="1" a="1"/>
  <c r="F603" i="1" s="1"/>
  <c r="J603" i="1" a="1"/>
  <c r="J603" i="1" s="1"/>
  <c r="M603" i="1"/>
  <c r="M603" i="15" s="1"/>
  <c r="N603" i="15" s="1" a="1"/>
  <c r="N603" i="15" s="1"/>
  <c r="G604" i="1" a="1"/>
  <c r="G604" i="1" s="1"/>
  <c r="J604" i="15" s="1"/>
  <c r="K604" i="1" a="1"/>
  <c r="K604" i="1" s="1"/>
  <c r="L605" i="1" a="1"/>
  <c r="L605" i="1" s="1"/>
  <c r="L606" i="1" a="1"/>
  <c r="L606" i="1" s="1"/>
  <c r="R607" i="15"/>
  <c r="L607" i="1" a="1"/>
  <c r="L607" i="1" s="1"/>
  <c r="N607" i="1" a="1"/>
  <c r="N607" i="1" s="1"/>
  <c r="S607" i="15" s="1"/>
  <c r="G608" i="1" a="1"/>
  <c r="G608" i="1" s="1"/>
  <c r="J608" i="15" s="1"/>
  <c r="K608" i="1" a="1"/>
  <c r="K608" i="1" s="1"/>
  <c r="N608" i="1" a="1"/>
  <c r="N608" i="1" s="1"/>
  <c r="S608" i="15" s="1"/>
  <c r="F609" i="1" a="1"/>
  <c r="F609" i="1" s="1"/>
  <c r="J609" i="1" a="1"/>
  <c r="J609" i="1" s="1"/>
  <c r="G610" i="1" a="1"/>
  <c r="G610" i="1" s="1"/>
  <c r="J610" i="15" s="1"/>
  <c r="K610" i="1" a="1"/>
  <c r="K610" i="1" s="1"/>
  <c r="C611" i="1" a="1"/>
  <c r="C611" i="1" s="1"/>
  <c r="E611" i="15" s="1"/>
  <c r="K611" i="1" a="1"/>
  <c r="K611" i="1" s="1"/>
  <c r="C612" i="1" a="1"/>
  <c r="C612" i="1" s="1"/>
  <c r="E612" i="15" s="1"/>
  <c r="K612" i="1" a="1"/>
  <c r="K612" i="1" s="1"/>
  <c r="C613" i="1" a="1"/>
  <c r="C613" i="1" s="1"/>
  <c r="E613" i="15" s="1"/>
  <c r="K613" i="1" a="1"/>
  <c r="K613" i="1" s="1"/>
  <c r="C614" i="1" a="1"/>
  <c r="C614" i="1" s="1"/>
  <c r="E614" i="15" s="1"/>
  <c r="K614" i="1" a="1"/>
  <c r="K614" i="1" s="1"/>
  <c r="C615" i="1" a="1"/>
  <c r="C615" i="1" s="1"/>
  <c r="E615" i="15" s="1"/>
  <c r="K615" i="1" a="1"/>
  <c r="K615" i="1" s="1"/>
  <c r="C616" i="1" a="1"/>
  <c r="C616" i="1" s="1"/>
  <c r="E616" i="15" s="1"/>
  <c r="K616" i="1" a="1"/>
  <c r="K616" i="1" s="1"/>
  <c r="C617" i="1" a="1"/>
  <c r="C617" i="1" s="1"/>
  <c r="E617" i="15" s="1"/>
  <c r="K617" i="1" a="1"/>
  <c r="K617" i="1" s="1"/>
  <c r="C618" i="1" a="1"/>
  <c r="C618" i="1" s="1"/>
  <c r="E618" i="15" s="1"/>
  <c r="K618" i="1" a="1"/>
  <c r="K618" i="1" s="1"/>
  <c r="C619" i="1" a="1"/>
  <c r="C619" i="1" s="1"/>
  <c r="E619" i="15" s="1"/>
  <c r="K619" i="1" a="1"/>
  <c r="K619" i="1" s="1"/>
  <c r="C620" i="1" a="1"/>
  <c r="C620" i="1" s="1"/>
  <c r="E620" i="15" s="1"/>
  <c r="K620" i="1" a="1"/>
  <c r="K620" i="1" s="1"/>
  <c r="C621" i="1" a="1"/>
  <c r="C621" i="1" s="1"/>
  <c r="E621" i="15" s="1"/>
  <c r="K621" i="1" a="1"/>
  <c r="K621" i="1" s="1"/>
  <c r="C622" i="1" a="1"/>
  <c r="C622" i="1" s="1"/>
  <c r="E622" i="15" s="1"/>
  <c r="K622" i="1" a="1"/>
  <c r="K622" i="1" s="1"/>
  <c r="C623" i="1" a="1"/>
  <c r="C623" i="1" s="1"/>
  <c r="E623" i="15" s="1"/>
  <c r="K623" i="1" a="1"/>
  <c r="K623" i="1" s="1"/>
  <c r="C624" i="1" a="1"/>
  <c r="C624" i="1" s="1"/>
  <c r="E624" i="15" s="1"/>
  <c r="K624" i="1" a="1"/>
  <c r="K624" i="1" s="1"/>
  <c r="C625" i="1" a="1"/>
  <c r="C625" i="1" s="1"/>
  <c r="E625" i="15" s="1"/>
  <c r="K625" i="1" a="1"/>
  <c r="K625" i="1" s="1"/>
  <c r="C626" i="1" a="1"/>
  <c r="C626" i="1" s="1"/>
  <c r="E626" i="15" s="1"/>
  <c r="K626" i="1" a="1"/>
  <c r="K626" i="1" s="1"/>
  <c r="C627" i="1" a="1"/>
  <c r="C627" i="1" s="1"/>
  <c r="E627" i="15" s="1"/>
  <c r="K627" i="1" a="1"/>
  <c r="K627" i="1" s="1"/>
  <c r="C628" i="1" a="1"/>
  <c r="C628" i="1" s="1"/>
  <c r="E628" i="15" s="1"/>
  <c r="K628" i="1" a="1"/>
  <c r="K628" i="1" s="1"/>
  <c r="C629" i="1" a="1"/>
  <c r="C629" i="1" s="1"/>
  <c r="E629" i="15" s="1"/>
  <c r="K629" i="1" a="1"/>
  <c r="K629" i="1" s="1"/>
  <c r="C630" i="1" a="1"/>
  <c r="C630" i="1" s="1"/>
  <c r="E630" i="15" s="1"/>
  <c r="K630" i="1" a="1"/>
  <c r="K630" i="1" s="1"/>
  <c r="C631" i="1" a="1"/>
  <c r="C631" i="1" s="1"/>
  <c r="E631" i="15" s="1"/>
  <c r="K631" i="1" a="1"/>
  <c r="K631" i="1" s="1"/>
  <c r="C632" i="1" a="1"/>
  <c r="C632" i="1" s="1"/>
  <c r="E632" i="15" s="1"/>
  <c r="K632" i="1" a="1"/>
  <c r="K632" i="1" s="1"/>
  <c r="C633" i="1" a="1"/>
  <c r="C633" i="1" s="1"/>
  <c r="E633" i="15" s="1"/>
  <c r="K633" i="1" a="1"/>
  <c r="K633" i="1" s="1"/>
  <c r="C634" i="1" a="1"/>
  <c r="C634" i="1" s="1"/>
  <c r="E634" i="15" s="1"/>
  <c r="K634" i="1" a="1"/>
  <c r="K634" i="1" s="1"/>
  <c r="C635" i="1" a="1"/>
  <c r="C635" i="1" s="1"/>
  <c r="E635" i="15" s="1"/>
  <c r="K635" i="1" a="1"/>
  <c r="K635" i="1" s="1"/>
  <c r="C636" i="1" a="1"/>
  <c r="C636" i="1" s="1"/>
  <c r="E636" i="15" s="1"/>
  <c r="K636" i="1" a="1"/>
  <c r="K636" i="1" s="1"/>
  <c r="C637" i="1" a="1"/>
  <c r="C637" i="1" s="1"/>
  <c r="E637" i="15" s="1"/>
  <c r="K637" i="1" a="1"/>
  <c r="K637" i="1" s="1"/>
  <c r="C638" i="1" a="1"/>
  <c r="C638" i="1" s="1"/>
  <c r="E638" i="15" s="1"/>
  <c r="K638" i="1" a="1"/>
  <c r="K638" i="1" s="1"/>
  <c r="C639" i="1" a="1"/>
  <c r="C639" i="1" s="1"/>
  <c r="E639" i="15" s="1"/>
  <c r="K639" i="1" a="1"/>
  <c r="K639" i="1" s="1"/>
  <c r="C640" i="1" a="1"/>
  <c r="C640" i="1" s="1"/>
  <c r="E640" i="15" s="1"/>
  <c r="C544" i="1" a="1"/>
  <c r="C544" i="1" s="1"/>
  <c r="E544" i="15" s="1"/>
  <c r="I544" i="1" a="1"/>
  <c r="I544" i="1" s="1"/>
  <c r="I545" i="1" a="1"/>
  <c r="I545" i="1" s="1"/>
  <c r="F546" i="1" a="1"/>
  <c r="F546" i="1" s="1"/>
  <c r="L546" i="1" a="1"/>
  <c r="L546" i="1" s="1"/>
  <c r="M547" i="1"/>
  <c r="M547" i="15" s="1"/>
  <c r="N547" i="15" s="1" a="1"/>
  <c r="N547" i="15" s="1"/>
  <c r="R549" i="15"/>
  <c r="J549" i="1" a="1"/>
  <c r="J549" i="1" s="1"/>
  <c r="C550" i="1" a="1"/>
  <c r="C550" i="1" s="1"/>
  <c r="E550" i="15" s="1"/>
  <c r="J551" i="1" a="1"/>
  <c r="J551" i="1" s="1"/>
  <c r="F552" i="1" a="1"/>
  <c r="F552" i="1" s="1"/>
  <c r="F553" i="1" a="1"/>
  <c r="F553" i="1" s="1"/>
  <c r="L553" i="1" a="1"/>
  <c r="L553" i="1" s="1"/>
  <c r="M554" i="1"/>
  <c r="M554" i="15" s="1"/>
  <c r="N554" i="15" s="1" a="1"/>
  <c r="N554" i="15" s="1"/>
  <c r="R555" i="15"/>
  <c r="K555" i="1" a="1"/>
  <c r="K555" i="1" s="1"/>
  <c r="F556" i="1" a="1"/>
  <c r="F556" i="1" s="1"/>
  <c r="L556" i="1" a="1"/>
  <c r="L556" i="1" s="1"/>
  <c r="C557" i="1" a="1"/>
  <c r="C557" i="1" s="1"/>
  <c r="E557" i="15" s="1"/>
  <c r="F557" i="1" a="1"/>
  <c r="F557" i="1" s="1"/>
  <c r="J557" i="1" a="1"/>
  <c r="J557" i="1" s="1"/>
  <c r="N557" i="1" a="1"/>
  <c r="N557" i="1" s="1"/>
  <c r="S557" i="15" s="1"/>
  <c r="J558" i="1" a="1"/>
  <c r="J558" i="1" s="1"/>
  <c r="N558" i="1" a="1"/>
  <c r="N558" i="1" s="1"/>
  <c r="S558" i="15" s="1"/>
  <c r="R559" i="15"/>
  <c r="J559" i="1" a="1"/>
  <c r="J559" i="1" s="1"/>
  <c r="G560" i="1" a="1"/>
  <c r="G560" i="1" s="1"/>
  <c r="J560" i="15" s="1"/>
  <c r="K560" i="1" a="1"/>
  <c r="K560" i="1" s="1"/>
  <c r="N560" i="1" a="1"/>
  <c r="N560" i="1" s="1"/>
  <c r="S560" i="15" s="1"/>
  <c r="L561" i="1" a="1"/>
  <c r="L561" i="1" s="1"/>
  <c r="R562" i="15"/>
  <c r="I562" i="1" a="1"/>
  <c r="I562" i="1" s="1"/>
  <c r="M562" i="1"/>
  <c r="M562" i="15" s="1"/>
  <c r="N562" i="15" s="1" a="1"/>
  <c r="N562" i="15" s="1"/>
  <c r="C563" i="1" a="1"/>
  <c r="C563" i="1" s="1"/>
  <c r="E563" i="15" s="1"/>
  <c r="F563" i="1" a="1"/>
  <c r="F563" i="1" s="1"/>
  <c r="J563" i="1" a="1"/>
  <c r="J563" i="1" s="1"/>
  <c r="G564" i="1" a="1"/>
  <c r="G564" i="1" s="1"/>
  <c r="J564" i="15" s="1"/>
  <c r="K564" i="1" a="1"/>
  <c r="K564" i="1" s="1"/>
  <c r="N564" i="1" a="1"/>
  <c r="N564" i="1" s="1"/>
  <c r="S564" i="15" s="1"/>
  <c r="L565" i="1" a="1"/>
  <c r="L565" i="1" s="1"/>
  <c r="R566" i="15"/>
  <c r="I566" i="1" a="1"/>
  <c r="I566" i="1" s="1"/>
  <c r="M566" i="1"/>
  <c r="M566" i="15" s="1"/>
  <c r="N566" i="15" s="1" a="1"/>
  <c r="N566" i="15" s="1"/>
  <c r="C567" i="1" a="1"/>
  <c r="C567" i="1" s="1"/>
  <c r="E567" i="15" s="1"/>
  <c r="F567" i="1" a="1"/>
  <c r="F567" i="1" s="1"/>
  <c r="J567" i="1" a="1"/>
  <c r="J567" i="1" s="1"/>
  <c r="G568" i="1" a="1"/>
  <c r="G568" i="1" s="1"/>
  <c r="J568" i="15" s="1"/>
  <c r="K568" i="1" a="1"/>
  <c r="K568" i="1" s="1"/>
  <c r="N568" i="1" a="1"/>
  <c r="N568" i="1" s="1"/>
  <c r="S568" i="15" s="1"/>
  <c r="L569" i="1" a="1"/>
  <c r="L569" i="1" s="1"/>
  <c r="R570" i="15"/>
  <c r="I570" i="1" a="1"/>
  <c r="I570" i="1" s="1"/>
  <c r="M570" i="1"/>
  <c r="M570" i="15" s="1"/>
  <c r="N570" i="15" s="1" a="1"/>
  <c r="N570" i="15" s="1"/>
  <c r="C571" i="1" a="1"/>
  <c r="C571" i="1" s="1"/>
  <c r="E571" i="15" s="1"/>
  <c r="F571" i="1" a="1"/>
  <c r="F571" i="1" s="1"/>
  <c r="J571" i="1" a="1"/>
  <c r="J571" i="1" s="1"/>
  <c r="G572" i="1" a="1"/>
  <c r="G572" i="1" s="1"/>
  <c r="J572" i="15" s="1"/>
  <c r="K572" i="1" a="1"/>
  <c r="K572" i="1" s="1"/>
  <c r="N572" i="1" a="1"/>
  <c r="N572" i="1" s="1"/>
  <c r="S572" i="15" s="1"/>
  <c r="L573" i="1" a="1"/>
  <c r="L573" i="1" s="1"/>
  <c r="R574" i="15"/>
  <c r="I574" i="1" a="1"/>
  <c r="I574" i="1" s="1"/>
  <c r="M574" i="1"/>
  <c r="M574" i="15" s="1"/>
  <c r="N574" i="15" s="1" a="1"/>
  <c r="N574" i="15" s="1"/>
  <c r="C575" i="1" a="1"/>
  <c r="C575" i="1" s="1"/>
  <c r="E575" i="15" s="1"/>
  <c r="F575" i="1" a="1"/>
  <c r="F575" i="1" s="1"/>
  <c r="J575" i="1" a="1"/>
  <c r="J575" i="1" s="1"/>
  <c r="G576" i="1" a="1"/>
  <c r="G576" i="1" s="1"/>
  <c r="J576" i="15" s="1"/>
  <c r="K576" i="1" a="1"/>
  <c r="K576" i="1" s="1"/>
  <c r="N576" i="1" a="1"/>
  <c r="N576" i="1" s="1"/>
  <c r="S576" i="15" s="1"/>
  <c r="L577" i="1" a="1"/>
  <c r="L577" i="1" s="1"/>
  <c r="R578" i="15"/>
  <c r="I578" i="1" a="1"/>
  <c r="I578" i="1" s="1"/>
  <c r="M578" i="1"/>
  <c r="M578" i="15" s="1"/>
  <c r="N578" i="15" s="1" a="1"/>
  <c r="N578" i="15" s="1"/>
  <c r="C579" i="1" a="1"/>
  <c r="C579" i="1" s="1"/>
  <c r="E579" i="15" s="1"/>
  <c r="F579" i="1" a="1"/>
  <c r="F579" i="1" s="1"/>
  <c r="J579" i="1" a="1"/>
  <c r="J579" i="1" s="1"/>
  <c r="G580" i="1" a="1"/>
  <c r="G580" i="1" s="1"/>
  <c r="J580" i="15" s="1"/>
  <c r="K580" i="1" a="1"/>
  <c r="K580" i="1" s="1"/>
  <c r="N580" i="1" a="1"/>
  <c r="N580" i="1" s="1"/>
  <c r="S580" i="15" s="1"/>
  <c r="L581" i="1" a="1"/>
  <c r="L581" i="1" s="1"/>
  <c r="R582" i="15"/>
  <c r="I582" i="1" a="1"/>
  <c r="I582" i="1" s="1"/>
  <c r="M582" i="1"/>
  <c r="M582" i="15" s="1"/>
  <c r="N582" i="15" s="1" a="1"/>
  <c r="N582" i="15" s="1"/>
  <c r="C583" i="1" a="1"/>
  <c r="C583" i="1" s="1"/>
  <c r="E583" i="15" s="1"/>
  <c r="F583" i="1" a="1"/>
  <c r="F583" i="1" s="1"/>
  <c r="J583" i="1" a="1"/>
  <c r="J583" i="1" s="1"/>
  <c r="G584" i="1" a="1"/>
  <c r="G584" i="1" s="1"/>
  <c r="J584" i="15" s="1"/>
  <c r="K584" i="1" a="1"/>
  <c r="K584" i="1" s="1"/>
  <c r="N584" i="1" a="1"/>
  <c r="N584" i="1" s="1"/>
  <c r="S584" i="15" s="1"/>
  <c r="L585" i="1" a="1"/>
  <c r="L585" i="1" s="1"/>
  <c r="R586" i="15"/>
  <c r="I586" i="1" a="1"/>
  <c r="I586" i="1" s="1"/>
  <c r="M586" i="1"/>
  <c r="M586" i="15" s="1"/>
  <c r="N586" i="15" s="1" a="1"/>
  <c r="N586" i="15" s="1"/>
  <c r="C587" i="1" a="1"/>
  <c r="C587" i="1" s="1"/>
  <c r="E587" i="15" s="1"/>
  <c r="F587" i="1" a="1"/>
  <c r="F587" i="1" s="1"/>
  <c r="J587" i="1" a="1"/>
  <c r="J587" i="1" s="1"/>
  <c r="G588" i="1" a="1"/>
  <c r="G588" i="1" s="1"/>
  <c r="J588" i="15" s="1"/>
  <c r="K588" i="1" a="1"/>
  <c r="K588" i="1" s="1"/>
  <c r="N588" i="1" a="1"/>
  <c r="N588" i="1" s="1"/>
  <c r="S588" i="15" s="1"/>
  <c r="L589" i="1" a="1"/>
  <c r="L589" i="1" s="1"/>
  <c r="R590" i="15"/>
  <c r="I590" i="1" a="1"/>
  <c r="I590" i="1" s="1"/>
  <c r="M590" i="1"/>
  <c r="M590" i="15" s="1"/>
  <c r="N590" i="15" s="1" a="1"/>
  <c r="N590" i="15" s="1"/>
  <c r="C591" i="1" a="1"/>
  <c r="C591" i="1" s="1"/>
  <c r="E591" i="15" s="1"/>
  <c r="F591" i="1" a="1"/>
  <c r="F591" i="1" s="1"/>
  <c r="J591" i="1" a="1"/>
  <c r="J591" i="1" s="1"/>
  <c r="G592" i="1" a="1"/>
  <c r="G592" i="1" s="1"/>
  <c r="J592" i="15" s="1"/>
  <c r="K592" i="1" a="1"/>
  <c r="K592" i="1" s="1"/>
  <c r="N592" i="1" a="1"/>
  <c r="N592" i="1" s="1"/>
  <c r="S592" i="15" s="1"/>
  <c r="L593" i="1" a="1"/>
  <c r="L593" i="1" s="1"/>
  <c r="G594" i="1" a="1"/>
  <c r="G594" i="1" s="1"/>
  <c r="J594" i="15" s="1"/>
  <c r="K594" i="1" a="1"/>
  <c r="K594" i="1" s="1"/>
  <c r="N594" i="1" a="1"/>
  <c r="N594" i="1" s="1"/>
  <c r="S594" i="15" s="1"/>
  <c r="C596" i="1" a="1"/>
  <c r="C596" i="1" s="1"/>
  <c r="E596" i="15" s="1"/>
  <c r="I596" i="1" a="1"/>
  <c r="I596" i="1" s="1"/>
  <c r="I597" i="1" a="1"/>
  <c r="I597" i="1" s="1"/>
  <c r="M597" i="1"/>
  <c r="M597" i="15" s="1"/>
  <c r="N597" i="15" s="1" a="1"/>
  <c r="N597" i="15" s="1"/>
  <c r="C598" i="1" a="1"/>
  <c r="C598" i="1" s="1"/>
  <c r="E598" i="15" s="1"/>
  <c r="K598" i="1" a="1"/>
  <c r="K598" i="1" s="1"/>
  <c r="M599" i="1"/>
  <c r="M599" i="15" s="1"/>
  <c r="N599" i="15" s="1" a="1"/>
  <c r="N599" i="15" s="1"/>
  <c r="C600" i="1" a="1"/>
  <c r="C600" i="1" s="1"/>
  <c r="E600" i="15" s="1"/>
  <c r="F600" i="1" a="1"/>
  <c r="F600" i="1" s="1"/>
  <c r="I600" i="1" a="1"/>
  <c r="I600" i="1" s="1"/>
  <c r="L600" i="1" a="1"/>
  <c r="L600" i="1" s="1"/>
  <c r="N600" i="1" a="1"/>
  <c r="N600" i="1" s="1"/>
  <c r="S600" i="15" s="1"/>
  <c r="G601" i="1" a="1"/>
  <c r="G601" i="1" s="1"/>
  <c r="J601" i="15" s="1"/>
  <c r="K601" i="1" a="1"/>
  <c r="K601" i="1" s="1"/>
  <c r="N601" i="1" a="1"/>
  <c r="N601" i="1" s="1"/>
  <c r="S601" i="15" s="1"/>
  <c r="F602" i="1" a="1"/>
  <c r="F602" i="1" s="1"/>
  <c r="J602" i="1" a="1"/>
  <c r="J602" i="1" s="1"/>
  <c r="G603" i="1" a="1"/>
  <c r="G603" i="1" s="1"/>
  <c r="J603" i="15" s="1"/>
  <c r="K603" i="1" a="1"/>
  <c r="K603" i="1" s="1"/>
  <c r="R604" i="15"/>
  <c r="L604" i="1" a="1"/>
  <c r="L604" i="1" s="1"/>
  <c r="N604" i="1" a="1"/>
  <c r="N604" i="1" s="1"/>
  <c r="S604" i="15" s="1"/>
  <c r="F605" i="1" a="1"/>
  <c r="F605" i="1" s="1"/>
  <c r="I605" i="1" a="1"/>
  <c r="I605" i="1" s="1"/>
  <c r="M605" i="1"/>
  <c r="M605" i="15" s="1"/>
  <c r="N605" i="15" s="1" a="1"/>
  <c r="N605" i="15" s="1"/>
  <c r="R606" i="15"/>
  <c r="I606" i="1" a="1"/>
  <c r="I606" i="1" s="1"/>
  <c r="M606" i="1"/>
  <c r="M606" i="15" s="1"/>
  <c r="N606" i="15" s="1" a="1"/>
  <c r="N606" i="15" s="1"/>
  <c r="C607" i="1" a="1"/>
  <c r="C607" i="1" s="1"/>
  <c r="E607" i="15" s="1"/>
  <c r="F607" i="1" a="1"/>
  <c r="F607" i="1" s="1"/>
  <c r="I607" i="1" a="1"/>
  <c r="I607" i="1" s="1"/>
  <c r="M607" i="1"/>
  <c r="M607" i="15" s="1"/>
  <c r="N607" i="15" s="1" a="1"/>
  <c r="N607" i="15" s="1"/>
  <c r="R608" i="15"/>
  <c r="L608" i="1" a="1"/>
  <c r="L608" i="1" s="1"/>
  <c r="G609" i="1" a="1"/>
  <c r="G609" i="1" s="1"/>
  <c r="J609" i="15" s="1"/>
  <c r="K609" i="1" a="1"/>
  <c r="K609" i="1" s="1"/>
  <c r="N609" i="1" a="1"/>
  <c r="N609" i="1" s="1"/>
  <c r="S609" i="15" s="1"/>
  <c r="L610" i="1" a="1"/>
  <c r="L610" i="1" s="1"/>
  <c r="N610" i="1" a="1"/>
  <c r="N610" i="1" s="1"/>
  <c r="S610" i="15" s="1"/>
  <c r="F611" i="1" a="1"/>
  <c r="F611" i="1" s="1"/>
  <c r="L611" i="1" a="1"/>
  <c r="L611" i="1" s="1"/>
  <c r="N611" i="1" a="1"/>
  <c r="N611" i="1" s="1"/>
  <c r="S611" i="15" s="1"/>
  <c r="F612" i="1" a="1"/>
  <c r="F612" i="1" s="1"/>
  <c r="L612" i="1" a="1"/>
  <c r="L612" i="1" s="1"/>
  <c r="N612" i="1" a="1"/>
  <c r="N612" i="1" s="1"/>
  <c r="S612" i="15" s="1"/>
  <c r="F613" i="1" a="1"/>
  <c r="F613" i="1" s="1"/>
  <c r="L613" i="1" a="1"/>
  <c r="L613" i="1" s="1"/>
  <c r="N613" i="1" a="1"/>
  <c r="N613" i="1" s="1"/>
  <c r="S613" i="15" s="1"/>
  <c r="F614" i="1" a="1"/>
  <c r="F614" i="1" s="1"/>
  <c r="L614" i="1" a="1"/>
  <c r="L614" i="1" s="1"/>
  <c r="N614" i="1" a="1"/>
  <c r="N614" i="1" s="1"/>
  <c r="S614" i="15" s="1"/>
  <c r="F615" i="1" a="1"/>
  <c r="F615" i="1" s="1"/>
  <c r="L615" i="1" a="1"/>
  <c r="L615" i="1" s="1"/>
  <c r="N615" i="1" a="1"/>
  <c r="N615" i="1" s="1"/>
  <c r="S615" i="15" s="1"/>
  <c r="F616" i="1" a="1"/>
  <c r="F616" i="1" s="1"/>
  <c r="L616" i="1" a="1"/>
  <c r="L616" i="1" s="1"/>
  <c r="N616" i="1" a="1"/>
  <c r="N616" i="1" s="1"/>
  <c r="S616" i="15" s="1"/>
  <c r="F617" i="1" a="1"/>
  <c r="F617" i="1" s="1"/>
  <c r="L617" i="1" a="1"/>
  <c r="L617" i="1" s="1"/>
  <c r="N617" i="1" a="1"/>
  <c r="N617" i="1" s="1"/>
  <c r="S617" i="15" s="1"/>
  <c r="F618" i="1" a="1"/>
  <c r="F618" i="1" s="1"/>
  <c r="L618" i="1" a="1"/>
  <c r="L618" i="1" s="1"/>
  <c r="N618" i="1" a="1"/>
  <c r="N618" i="1" s="1"/>
  <c r="S618" i="15" s="1"/>
  <c r="F619" i="1" a="1"/>
  <c r="F619" i="1" s="1"/>
  <c r="L619" i="1" a="1"/>
  <c r="L619" i="1" s="1"/>
  <c r="N619" i="1" a="1"/>
  <c r="N619" i="1" s="1"/>
  <c r="S619" i="15" s="1"/>
  <c r="F620" i="1" a="1"/>
  <c r="F620" i="1" s="1"/>
  <c r="L620" i="1" a="1"/>
  <c r="L620" i="1" s="1"/>
  <c r="N620" i="1" a="1"/>
  <c r="N620" i="1" s="1"/>
  <c r="S620" i="15" s="1"/>
  <c r="F621" i="1" a="1"/>
  <c r="F621" i="1" s="1"/>
  <c r="L621" i="1" a="1"/>
  <c r="L621" i="1" s="1"/>
  <c r="N621" i="1" a="1"/>
  <c r="N621" i="1" s="1"/>
  <c r="S621" i="15" s="1"/>
  <c r="F622" i="1" a="1"/>
  <c r="F622" i="1" s="1"/>
  <c r="L622" i="1" a="1"/>
  <c r="L622" i="1" s="1"/>
  <c r="N622" i="1" a="1"/>
  <c r="N622" i="1" s="1"/>
  <c r="S622" i="15" s="1"/>
  <c r="F623" i="1" a="1"/>
  <c r="F623" i="1" s="1"/>
  <c r="L623" i="1" a="1"/>
  <c r="L623" i="1" s="1"/>
  <c r="N623" i="1" a="1"/>
  <c r="N623" i="1" s="1"/>
  <c r="S623" i="15" s="1"/>
  <c r="F624" i="1" a="1"/>
  <c r="F624" i="1" s="1"/>
  <c r="L624" i="1" a="1"/>
  <c r="L624" i="1" s="1"/>
  <c r="N624" i="1" a="1"/>
  <c r="N624" i="1" s="1"/>
  <c r="S624" i="15" s="1"/>
  <c r="F625" i="1" a="1"/>
  <c r="F625" i="1" s="1"/>
  <c r="L625" i="1" a="1"/>
  <c r="L625" i="1" s="1"/>
  <c r="N625" i="1" a="1"/>
  <c r="N625" i="1" s="1"/>
  <c r="S625" i="15" s="1"/>
  <c r="F626" i="1" a="1"/>
  <c r="F626" i="1" s="1"/>
  <c r="L626" i="1" a="1"/>
  <c r="L626" i="1" s="1"/>
  <c r="N626" i="1" a="1"/>
  <c r="N626" i="1" s="1"/>
  <c r="S626" i="15" s="1"/>
  <c r="F627" i="1" a="1"/>
  <c r="F627" i="1" s="1"/>
  <c r="L627" i="1" a="1"/>
  <c r="L627" i="1" s="1"/>
  <c r="N627" i="1" a="1"/>
  <c r="N627" i="1" s="1"/>
  <c r="S627" i="15" s="1"/>
  <c r="F628" i="1" a="1"/>
  <c r="F628" i="1" s="1"/>
  <c r="L628" i="1" a="1"/>
  <c r="L628" i="1" s="1"/>
  <c r="N628" i="1" a="1"/>
  <c r="N628" i="1" s="1"/>
  <c r="S628" i="15" s="1"/>
  <c r="F629" i="1" a="1"/>
  <c r="F629" i="1" s="1"/>
  <c r="L629" i="1" a="1"/>
  <c r="L629" i="1" s="1"/>
  <c r="N629" i="1" a="1"/>
  <c r="N629" i="1" s="1"/>
  <c r="S629" i="15" s="1"/>
  <c r="F630" i="1" a="1"/>
  <c r="F630" i="1" s="1"/>
  <c r="L630" i="1" a="1"/>
  <c r="L630" i="1" s="1"/>
  <c r="N630" i="1" a="1"/>
  <c r="N630" i="1" s="1"/>
  <c r="S630" i="15" s="1"/>
  <c r="F631" i="1" a="1"/>
  <c r="F631" i="1" s="1"/>
  <c r="L631" i="1" a="1"/>
  <c r="L631" i="1" s="1"/>
  <c r="N631" i="1" a="1"/>
  <c r="N631" i="1" s="1"/>
  <c r="S631" i="15" s="1"/>
  <c r="F632" i="1" a="1"/>
  <c r="F632" i="1" s="1"/>
  <c r="L632" i="1" a="1"/>
  <c r="L632" i="1" s="1"/>
  <c r="N632" i="1" a="1"/>
  <c r="N632" i="1" s="1"/>
  <c r="S632" i="15" s="1"/>
  <c r="F633" i="1" a="1"/>
  <c r="F633" i="1" s="1"/>
  <c r="L633" i="1" a="1"/>
  <c r="L633" i="1" s="1"/>
  <c r="N633" i="1" a="1"/>
  <c r="N633" i="1" s="1"/>
  <c r="S633" i="15" s="1"/>
  <c r="F634" i="1" a="1"/>
  <c r="F634" i="1" s="1"/>
  <c r="G627" i="1" a="1"/>
  <c r="G627" i="1" s="1"/>
  <c r="J627" i="15" s="1"/>
  <c r="J629" i="1" a="1"/>
  <c r="J629" i="1" s="1"/>
  <c r="R630" i="15"/>
  <c r="G631" i="1" a="1"/>
  <c r="G631" i="1" s="1"/>
  <c r="J631" i="15" s="1"/>
  <c r="J633" i="1" a="1"/>
  <c r="J633" i="1" s="1"/>
  <c r="R634" i="15"/>
  <c r="L634" i="1" a="1"/>
  <c r="L634" i="1" s="1"/>
  <c r="G635" i="1" a="1"/>
  <c r="G635" i="1" s="1"/>
  <c r="J635" i="15" s="1"/>
  <c r="N636" i="1" a="1"/>
  <c r="N636" i="1" s="1"/>
  <c r="S636" i="15" s="1"/>
  <c r="R637" i="15"/>
  <c r="J637" i="1" a="1"/>
  <c r="J637" i="1" s="1"/>
  <c r="F638" i="1" a="1"/>
  <c r="F638" i="1" s="1"/>
  <c r="L638" i="1" a="1"/>
  <c r="L638" i="1" s="1"/>
  <c r="G639" i="1" a="1"/>
  <c r="G639" i="1" s="1"/>
  <c r="J639" i="15" s="1"/>
  <c r="G640" i="1" a="1"/>
  <c r="G640" i="1" s="1"/>
  <c r="J640" i="15" s="1"/>
  <c r="K640" i="1" a="1"/>
  <c r="K640" i="1" s="1"/>
  <c r="N640" i="1" a="1"/>
  <c r="N640" i="1" s="1"/>
  <c r="S640" i="15" s="1"/>
  <c r="G641" i="1" a="1"/>
  <c r="G641" i="1" s="1"/>
  <c r="J641" i="15" s="1"/>
  <c r="K641" i="1" a="1"/>
  <c r="K641" i="1" s="1"/>
  <c r="N641" i="1" a="1"/>
  <c r="N641" i="1" s="1"/>
  <c r="S641" i="15" s="1"/>
  <c r="G642" i="1" a="1"/>
  <c r="G642" i="1" s="1"/>
  <c r="J642" i="15" s="1"/>
  <c r="K642" i="1" a="1"/>
  <c r="K642" i="1" s="1"/>
  <c r="N642" i="1" a="1"/>
  <c r="N642" i="1" s="1"/>
  <c r="S642" i="15" s="1"/>
  <c r="G643" i="1" a="1"/>
  <c r="G643" i="1" s="1"/>
  <c r="J643" i="15" s="1"/>
  <c r="K643" i="1" a="1"/>
  <c r="K643" i="1" s="1"/>
  <c r="N643" i="1" a="1"/>
  <c r="N643" i="1" s="1"/>
  <c r="S643" i="15" s="1"/>
  <c r="G644" i="1" a="1"/>
  <c r="G644" i="1" s="1"/>
  <c r="J644" i="15" s="1"/>
  <c r="K644" i="1" a="1"/>
  <c r="K644" i="1" s="1"/>
  <c r="N644" i="1" a="1"/>
  <c r="N644" i="1" s="1"/>
  <c r="S644" i="15" s="1"/>
  <c r="J645" i="1" a="1"/>
  <c r="J645" i="1" s="1"/>
  <c r="C646" i="1" a="1"/>
  <c r="C646" i="1" s="1"/>
  <c r="E646" i="15" s="1"/>
  <c r="F646" i="1" a="1"/>
  <c r="F646" i="1" s="1"/>
  <c r="I646" i="1" a="1"/>
  <c r="I646" i="1" s="1"/>
  <c r="M646" i="1"/>
  <c r="M646" i="15" s="1"/>
  <c r="N646" i="15" s="1" a="1"/>
  <c r="N646" i="15" s="1"/>
  <c r="R647" i="15"/>
  <c r="L647" i="1" a="1"/>
  <c r="L647" i="1" s="1"/>
  <c r="G648" i="1" a="1"/>
  <c r="G648" i="1" s="1"/>
  <c r="J648" i="15" s="1"/>
  <c r="K648" i="1" a="1"/>
  <c r="K648" i="1" s="1"/>
  <c r="N648" i="1" a="1"/>
  <c r="N648" i="1" s="1"/>
  <c r="S648" i="15" s="1"/>
  <c r="J649" i="1" a="1"/>
  <c r="J649" i="1" s="1"/>
  <c r="C650" i="1" a="1"/>
  <c r="C650" i="1" s="1"/>
  <c r="E650" i="15" s="1"/>
  <c r="F650" i="1" a="1"/>
  <c r="F650" i="1" s="1"/>
  <c r="I650" i="1" a="1"/>
  <c r="I650" i="1" s="1"/>
  <c r="M650" i="1"/>
  <c r="M650" i="15" s="1"/>
  <c r="N650" i="15" s="1" a="1"/>
  <c r="N650" i="15" s="1"/>
  <c r="R651" i="15"/>
  <c r="L651" i="1" a="1"/>
  <c r="L651" i="1" s="1"/>
  <c r="G652" i="1" a="1"/>
  <c r="G652" i="1" s="1"/>
  <c r="J652" i="15" s="1"/>
  <c r="K652" i="1" a="1"/>
  <c r="K652" i="1" s="1"/>
  <c r="N652" i="1" a="1"/>
  <c r="N652" i="1" s="1"/>
  <c r="S652" i="15" s="1"/>
  <c r="J653" i="1" a="1"/>
  <c r="J653" i="1" s="1"/>
  <c r="C654" i="1" a="1"/>
  <c r="C654" i="1" s="1"/>
  <c r="E654" i="15" s="1"/>
  <c r="F654" i="1" a="1"/>
  <c r="F654" i="1" s="1"/>
  <c r="I654" i="1" a="1"/>
  <c r="I654" i="1" s="1"/>
  <c r="M654" i="1"/>
  <c r="M654" i="15" s="1"/>
  <c r="N654" i="15" s="1" a="1"/>
  <c r="N654" i="15" s="1"/>
  <c r="R655" i="15"/>
  <c r="L655" i="1" a="1"/>
  <c r="L655" i="1" s="1"/>
  <c r="N655" i="1" a="1"/>
  <c r="N655" i="1" s="1"/>
  <c r="S655" i="15" s="1"/>
  <c r="L656" i="1" a="1"/>
  <c r="L656" i="1" s="1"/>
  <c r="R657" i="15"/>
  <c r="I657" i="1" a="1"/>
  <c r="I657" i="1" s="1"/>
  <c r="K657" i="1" a="1"/>
  <c r="K657" i="1" s="1"/>
  <c r="M657" i="1"/>
  <c r="M657" i="15" s="1"/>
  <c r="N657" i="15" s="1" a="1"/>
  <c r="N657" i="15" s="1"/>
  <c r="C658" i="1" a="1"/>
  <c r="C658" i="1" s="1"/>
  <c r="E658" i="15" s="1"/>
  <c r="K658" i="1" a="1"/>
  <c r="K658" i="1" s="1"/>
  <c r="F659" i="1" a="1"/>
  <c r="F659" i="1" s="1"/>
  <c r="J659" i="1" a="1"/>
  <c r="J659" i="1" s="1"/>
  <c r="C660" i="1" a="1"/>
  <c r="C660" i="1" s="1"/>
  <c r="E660" i="15" s="1"/>
  <c r="G660" i="1" a="1"/>
  <c r="G660" i="1" s="1"/>
  <c r="J660" i="15" s="1"/>
  <c r="J660" i="1" a="1"/>
  <c r="J660" i="1" s="1"/>
  <c r="L660" i="1" a="1"/>
  <c r="L660" i="1" s="1"/>
  <c r="N660" i="1" a="1"/>
  <c r="N660" i="1" s="1"/>
  <c r="S660" i="15" s="1"/>
  <c r="N661" i="1" a="1"/>
  <c r="N661" i="1" s="1"/>
  <c r="S661" i="15" s="1"/>
  <c r="G662" i="1" a="1"/>
  <c r="G662" i="1" s="1"/>
  <c r="J662" i="15" s="1"/>
  <c r="M662" i="1"/>
  <c r="M662" i="15" s="1"/>
  <c r="N662" i="15" s="1" a="1"/>
  <c r="N662" i="15" s="1"/>
  <c r="R663" i="15"/>
  <c r="K663" i="1" a="1"/>
  <c r="K663" i="1" s="1"/>
  <c r="C664" i="1" a="1"/>
  <c r="C664" i="1" s="1"/>
  <c r="E664" i="15" s="1"/>
  <c r="R664" i="15"/>
  <c r="K664" i="1" a="1"/>
  <c r="K664" i="1" s="1"/>
  <c r="N664" i="1" a="1"/>
  <c r="N664" i="1" s="1"/>
  <c r="S664" i="15" s="1"/>
  <c r="F665" i="1" a="1"/>
  <c r="F665" i="1" s="1"/>
  <c r="L665" i="1" a="1"/>
  <c r="L665" i="1" s="1"/>
  <c r="G666" i="1" a="1"/>
  <c r="G666" i="1" s="1"/>
  <c r="J666" i="15" s="1"/>
  <c r="K666" i="1" a="1"/>
  <c r="K666" i="1" s="1"/>
  <c r="C667" i="1" a="1"/>
  <c r="C667" i="1" s="1"/>
  <c r="E667" i="15" s="1"/>
  <c r="F667" i="1" a="1"/>
  <c r="F667" i="1" s="1"/>
  <c r="I667" i="1" a="1"/>
  <c r="I667" i="1" s="1"/>
  <c r="L667" i="1" a="1"/>
  <c r="L667" i="1" s="1"/>
  <c r="N667" i="1" a="1"/>
  <c r="N667" i="1" s="1"/>
  <c r="S667" i="15" s="1"/>
  <c r="K668" i="1" a="1"/>
  <c r="K668" i="1" s="1"/>
  <c r="N668" i="1" a="1"/>
  <c r="N668" i="1" s="1"/>
  <c r="S668" i="15" s="1"/>
  <c r="F669" i="1" a="1"/>
  <c r="F669" i="1" s="1"/>
  <c r="I669" i="1" a="1"/>
  <c r="I669" i="1" s="1"/>
  <c r="L669" i="1" a="1"/>
  <c r="L669" i="1" s="1"/>
  <c r="G670" i="1" a="1"/>
  <c r="G670" i="1" s="1"/>
  <c r="J670" i="15" s="1"/>
  <c r="M670" i="1"/>
  <c r="M670" i="15" s="1"/>
  <c r="N670" i="15" s="1" a="1"/>
  <c r="N670" i="15" s="1"/>
  <c r="R671" i="15"/>
  <c r="K671" i="1" a="1"/>
  <c r="K671" i="1" s="1"/>
  <c r="C672" i="1" a="1"/>
  <c r="C672" i="1" s="1"/>
  <c r="E672" i="15" s="1"/>
  <c r="R672" i="15"/>
  <c r="K672" i="1" a="1"/>
  <c r="K672" i="1" s="1"/>
  <c r="I673" i="1" a="1"/>
  <c r="I673" i="1" s="1"/>
  <c r="G674" i="1" a="1"/>
  <c r="G674" i="1" s="1"/>
  <c r="J674" i="15" s="1"/>
  <c r="K674" i="1" a="1"/>
  <c r="K674" i="1" s="1"/>
  <c r="N674" i="1" a="1"/>
  <c r="N674" i="1" s="1"/>
  <c r="S674" i="15" s="1"/>
  <c r="K675" i="1" a="1"/>
  <c r="K675" i="1" s="1"/>
  <c r="C676" i="1" a="1"/>
  <c r="C676" i="1" s="1"/>
  <c r="E676" i="15" s="1"/>
  <c r="L676" i="1" a="1"/>
  <c r="L676" i="1" s="1"/>
  <c r="L677" i="1" a="1"/>
  <c r="L677" i="1" s="1"/>
  <c r="R678" i="15"/>
  <c r="I678" i="1" a="1"/>
  <c r="I678" i="1" s="1"/>
  <c r="M678" i="1"/>
  <c r="M678" i="15" s="1"/>
  <c r="N678" i="15" s="1" a="1"/>
  <c r="N678" i="15" s="1"/>
  <c r="C679" i="1" a="1"/>
  <c r="C679" i="1" s="1"/>
  <c r="E679" i="15" s="1"/>
  <c r="F679" i="1" a="1"/>
  <c r="F679" i="1" s="1"/>
  <c r="J679" i="1" a="1"/>
  <c r="J679" i="1" s="1"/>
  <c r="G680" i="1" a="1"/>
  <c r="G680" i="1" s="1"/>
  <c r="J680" i="15" s="1"/>
  <c r="K680" i="1" a="1"/>
  <c r="K680" i="1" s="1"/>
  <c r="N680" i="1" a="1"/>
  <c r="N680" i="1" s="1"/>
  <c r="S680" i="15" s="1"/>
  <c r="L681" i="1" a="1"/>
  <c r="L681" i="1" s="1"/>
  <c r="R682" i="15"/>
  <c r="I682" i="1" a="1"/>
  <c r="I682" i="1" s="1"/>
  <c r="M682" i="1"/>
  <c r="M682" i="15" s="1"/>
  <c r="N682" i="15" s="1" a="1"/>
  <c r="N682" i="15" s="1"/>
  <c r="C683" i="1" a="1"/>
  <c r="C683" i="1" s="1"/>
  <c r="E683" i="15" s="1"/>
  <c r="F683" i="1" a="1"/>
  <c r="F683" i="1" s="1"/>
  <c r="J683" i="1" a="1"/>
  <c r="J683" i="1" s="1"/>
  <c r="G684" i="1" a="1"/>
  <c r="G684" i="1" s="1"/>
  <c r="J684" i="15" s="1"/>
  <c r="K684" i="1" a="1"/>
  <c r="K684" i="1" s="1"/>
  <c r="N684" i="1" a="1"/>
  <c r="N684" i="1" s="1"/>
  <c r="S684" i="15" s="1"/>
  <c r="L685" i="1" a="1"/>
  <c r="L685" i="1" s="1"/>
  <c r="R686" i="15"/>
  <c r="I686" i="1" a="1"/>
  <c r="I686" i="1" s="1"/>
  <c r="M686" i="1"/>
  <c r="M686" i="15" s="1"/>
  <c r="N686" i="15" s="1" a="1"/>
  <c r="N686" i="15" s="1"/>
  <c r="C687" i="1" a="1"/>
  <c r="C687" i="1" s="1"/>
  <c r="E687" i="15" s="1"/>
  <c r="F687" i="1" a="1"/>
  <c r="F687" i="1" s="1"/>
  <c r="J687" i="1" a="1"/>
  <c r="J687" i="1" s="1"/>
  <c r="G688" i="1" a="1"/>
  <c r="G688" i="1" s="1"/>
  <c r="J688" i="15" s="1"/>
  <c r="K688" i="1" a="1"/>
  <c r="K688" i="1" s="1"/>
  <c r="N688" i="1" a="1"/>
  <c r="N688" i="1" s="1"/>
  <c r="S688" i="15" s="1"/>
  <c r="L689" i="1" a="1"/>
  <c r="L689" i="1" s="1"/>
  <c r="R690" i="15"/>
  <c r="I690" i="1" a="1"/>
  <c r="I690" i="1" s="1"/>
  <c r="M690" i="1"/>
  <c r="M690" i="15" s="1"/>
  <c r="N690" i="15" s="1" a="1"/>
  <c r="N690" i="15" s="1"/>
  <c r="C691" i="1" a="1"/>
  <c r="C691" i="1" s="1"/>
  <c r="E691" i="15" s="1"/>
  <c r="F691" i="1" a="1"/>
  <c r="F691" i="1" s="1"/>
  <c r="J691" i="1" a="1"/>
  <c r="J691" i="1" s="1"/>
  <c r="G692" i="1" a="1"/>
  <c r="G692" i="1" s="1"/>
  <c r="J692" i="15" s="1"/>
  <c r="K692" i="1" a="1"/>
  <c r="K692" i="1" s="1"/>
  <c r="N692" i="1" a="1"/>
  <c r="N692" i="1" s="1"/>
  <c r="S692" i="15" s="1"/>
  <c r="L693" i="1" a="1"/>
  <c r="L693" i="1" s="1"/>
  <c r="R694" i="15"/>
  <c r="I694" i="1" a="1"/>
  <c r="I694" i="1" s="1"/>
  <c r="M694" i="1"/>
  <c r="M694" i="15" s="1"/>
  <c r="N694" i="15" s="1" a="1"/>
  <c r="N694" i="15" s="1"/>
  <c r="C695" i="1" a="1"/>
  <c r="C695" i="1" s="1"/>
  <c r="E695" i="15" s="1"/>
  <c r="F695" i="1" a="1"/>
  <c r="F695" i="1" s="1"/>
  <c r="J695" i="1" a="1"/>
  <c r="J695" i="1" s="1"/>
  <c r="G696" i="1" a="1"/>
  <c r="G696" i="1" s="1"/>
  <c r="J696" i="15" s="1"/>
  <c r="K696" i="1" a="1"/>
  <c r="K696" i="1" s="1"/>
  <c r="N696" i="1" a="1"/>
  <c r="N696" i="1" s="1"/>
  <c r="S696" i="15" s="1"/>
  <c r="L697" i="1" a="1"/>
  <c r="L697" i="1" s="1"/>
  <c r="R698" i="15"/>
  <c r="I698" i="1" a="1"/>
  <c r="I698" i="1" s="1"/>
  <c r="M698" i="1"/>
  <c r="M698" i="15" s="1"/>
  <c r="N698" i="15" s="1" a="1"/>
  <c r="N698" i="15" s="1"/>
  <c r="C699" i="1" a="1"/>
  <c r="C699" i="1" s="1"/>
  <c r="E699" i="15" s="1"/>
  <c r="F699" i="1" a="1"/>
  <c r="F699" i="1" s="1"/>
  <c r="J699" i="1" a="1"/>
  <c r="J699" i="1" s="1"/>
  <c r="G700" i="1" a="1"/>
  <c r="G700" i="1" s="1"/>
  <c r="J700" i="15" s="1"/>
  <c r="K700" i="1" a="1"/>
  <c r="K700" i="1" s="1"/>
  <c r="N700" i="1" a="1"/>
  <c r="N700" i="1" s="1"/>
  <c r="S700" i="15" s="1"/>
  <c r="L701" i="1" a="1"/>
  <c r="L701" i="1" s="1"/>
  <c r="R702" i="15"/>
  <c r="I702" i="1" a="1"/>
  <c r="I702" i="1" s="1"/>
  <c r="M702" i="1"/>
  <c r="M702" i="15" s="1"/>
  <c r="N702" i="15" s="1" a="1"/>
  <c r="N702" i="15" s="1"/>
  <c r="C703" i="1" a="1"/>
  <c r="C703" i="1" s="1"/>
  <c r="E703" i="15" s="1"/>
  <c r="F703" i="1" a="1"/>
  <c r="F703" i="1" s="1"/>
  <c r="J703" i="1" a="1"/>
  <c r="J703" i="1" s="1"/>
  <c r="G704" i="1" a="1"/>
  <c r="G704" i="1" s="1"/>
  <c r="J704" i="15" s="1"/>
  <c r="K704" i="1" a="1"/>
  <c r="K704" i="1" s="1"/>
  <c r="N704" i="1" a="1"/>
  <c r="N704" i="1" s="1"/>
  <c r="S704" i="15" s="1"/>
  <c r="L705" i="1" a="1"/>
  <c r="L705" i="1" s="1"/>
  <c r="R706" i="15"/>
  <c r="I706" i="1" a="1"/>
  <c r="I706" i="1" s="1"/>
  <c r="M706" i="1"/>
  <c r="M706" i="15" s="1"/>
  <c r="N706" i="15" s="1" a="1"/>
  <c r="N706" i="15" s="1"/>
  <c r="R707" i="15"/>
  <c r="I707" i="1" a="1"/>
  <c r="I707" i="1" s="1"/>
  <c r="M707" i="1"/>
  <c r="M707" i="15" s="1"/>
  <c r="N707" i="15" s="1" a="1"/>
  <c r="N707" i="15" s="1"/>
  <c r="C708" i="1" a="1"/>
  <c r="C708" i="1" s="1"/>
  <c r="E708" i="15" s="1"/>
  <c r="F708" i="1" a="1"/>
  <c r="F708" i="1" s="1"/>
  <c r="I708" i="1" a="1"/>
  <c r="I708" i="1" s="1"/>
  <c r="M708" i="1"/>
  <c r="M708" i="15" s="1"/>
  <c r="N708" i="15" s="1" a="1"/>
  <c r="N708" i="15" s="1"/>
  <c r="R709" i="15"/>
  <c r="I709" i="1" a="1"/>
  <c r="I709" i="1" s="1"/>
  <c r="M709" i="1"/>
  <c r="M709" i="15" s="1"/>
  <c r="N709" i="15" s="1" a="1"/>
  <c r="N709" i="15" s="1"/>
  <c r="C710" i="1" a="1"/>
  <c r="C710" i="1" s="1"/>
  <c r="E710" i="15" s="1"/>
  <c r="F710" i="1" a="1"/>
  <c r="F710" i="1" s="1"/>
  <c r="I710" i="1" a="1"/>
  <c r="I710" i="1" s="1"/>
  <c r="M710" i="1"/>
  <c r="M710" i="15" s="1"/>
  <c r="N710" i="15" s="1" a="1"/>
  <c r="N710" i="15" s="1"/>
  <c r="R711" i="15"/>
  <c r="I711" i="1" a="1"/>
  <c r="I711" i="1" s="1"/>
  <c r="M711" i="1"/>
  <c r="M711" i="15" s="1"/>
  <c r="N711" i="15" s="1" a="1"/>
  <c r="N711" i="15" s="1"/>
  <c r="J628" i="1" a="1"/>
  <c r="J628" i="1" s="1"/>
  <c r="R629" i="15"/>
  <c r="G630" i="1" a="1"/>
  <c r="G630" i="1" s="1"/>
  <c r="J630" i="15" s="1"/>
  <c r="J632" i="1" a="1"/>
  <c r="J632" i="1" s="1"/>
  <c r="R633" i="15"/>
  <c r="G634" i="1" a="1"/>
  <c r="G634" i="1" s="1"/>
  <c r="J634" i="15" s="1"/>
  <c r="N635" i="1" a="1"/>
  <c r="N635" i="1" s="1"/>
  <c r="S635" i="15" s="1"/>
  <c r="R636" i="15"/>
  <c r="J636" i="1" a="1"/>
  <c r="J636" i="1" s="1"/>
  <c r="F637" i="1" a="1"/>
  <c r="F637" i="1" s="1"/>
  <c r="L637" i="1" a="1"/>
  <c r="L637" i="1" s="1"/>
  <c r="G638" i="1" a="1"/>
  <c r="G638" i="1" s="1"/>
  <c r="J638" i="15" s="1"/>
  <c r="N639" i="1" a="1"/>
  <c r="N639" i="1" s="1"/>
  <c r="S639" i="15" s="1"/>
  <c r="R640" i="15"/>
  <c r="L640" i="1" a="1"/>
  <c r="L640" i="1" s="1"/>
  <c r="R641" i="15"/>
  <c r="L641" i="1" a="1"/>
  <c r="L641" i="1" s="1"/>
  <c r="R642" i="15"/>
  <c r="L642" i="1" a="1"/>
  <c r="L642" i="1" s="1"/>
  <c r="R643" i="15"/>
  <c r="L643" i="1" a="1"/>
  <c r="L643" i="1" s="1"/>
  <c r="R644" i="15"/>
  <c r="L644" i="1" a="1"/>
  <c r="L644" i="1" s="1"/>
  <c r="G645" i="1" a="1"/>
  <c r="G645" i="1" s="1"/>
  <c r="J645" i="15" s="1"/>
  <c r="K645" i="1" a="1"/>
  <c r="K645" i="1" s="1"/>
  <c r="N645" i="1" a="1"/>
  <c r="N645" i="1" s="1"/>
  <c r="S645" i="15" s="1"/>
  <c r="J646" i="1" a="1"/>
  <c r="J646" i="1" s="1"/>
  <c r="C647" i="1" a="1"/>
  <c r="C647" i="1" s="1"/>
  <c r="E647" i="15" s="1"/>
  <c r="F647" i="1" a="1"/>
  <c r="F647" i="1" s="1"/>
  <c r="I647" i="1" a="1"/>
  <c r="I647" i="1" s="1"/>
  <c r="M647" i="1"/>
  <c r="M647" i="15" s="1"/>
  <c r="N647" i="15" s="1" a="1"/>
  <c r="N647" i="15" s="1"/>
  <c r="R648" i="15"/>
  <c r="L648" i="1" a="1"/>
  <c r="L648" i="1" s="1"/>
  <c r="G649" i="1" a="1"/>
  <c r="G649" i="1" s="1"/>
  <c r="J649" i="15" s="1"/>
  <c r="K649" i="1" a="1"/>
  <c r="K649" i="1" s="1"/>
  <c r="N649" i="1" a="1"/>
  <c r="N649" i="1" s="1"/>
  <c r="S649" i="15" s="1"/>
  <c r="J650" i="1" a="1"/>
  <c r="J650" i="1" s="1"/>
  <c r="C651" i="1" a="1"/>
  <c r="C651" i="1" s="1"/>
  <c r="E651" i="15" s="1"/>
  <c r="F651" i="1" a="1"/>
  <c r="F651" i="1" s="1"/>
  <c r="I651" i="1" a="1"/>
  <c r="I651" i="1" s="1"/>
  <c r="M651" i="1"/>
  <c r="M651" i="15" s="1"/>
  <c r="N651" i="15" s="1" a="1"/>
  <c r="N651" i="15" s="1"/>
  <c r="R652" i="15"/>
  <c r="L652" i="1" a="1"/>
  <c r="L652" i="1" s="1"/>
  <c r="G653" i="1" a="1"/>
  <c r="G653" i="1" s="1"/>
  <c r="J653" i="15" s="1"/>
  <c r="K653" i="1" a="1"/>
  <c r="K653" i="1" s="1"/>
  <c r="N653" i="1" a="1"/>
  <c r="N653" i="1" s="1"/>
  <c r="S653" i="15" s="1"/>
  <c r="J654" i="1" a="1"/>
  <c r="J654" i="1" s="1"/>
  <c r="C655" i="1" a="1"/>
  <c r="C655" i="1" s="1"/>
  <c r="E655" i="15" s="1"/>
  <c r="F655" i="1" a="1"/>
  <c r="F655" i="1" s="1"/>
  <c r="I655" i="1" a="1"/>
  <c r="I655" i="1" s="1"/>
  <c r="M655" i="1"/>
  <c r="M655" i="15" s="1"/>
  <c r="N655" i="15" s="1" a="1"/>
  <c r="N655" i="15" s="1"/>
  <c r="G656" i="1" a="1"/>
  <c r="G656" i="1" s="1"/>
  <c r="J656" i="15" s="1"/>
  <c r="J656" i="1" a="1"/>
  <c r="J656" i="1" s="1"/>
  <c r="M656" i="1"/>
  <c r="M656" i="15" s="1"/>
  <c r="N656" i="15" s="1" a="1"/>
  <c r="N656" i="15" s="1"/>
  <c r="C657" i="1" a="1"/>
  <c r="C657" i="1" s="1"/>
  <c r="E657" i="15" s="1"/>
  <c r="F657" i="1" a="1"/>
  <c r="F657" i="1" s="1"/>
  <c r="R658" i="15"/>
  <c r="I658" i="1" a="1"/>
  <c r="I658" i="1" s="1"/>
  <c r="L658" i="1" a="1"/>
  <c r="L658" i="1" s="1"/>
  <c r="N658" i="1" a="1"/>
  <c r="N658" i="1" s="1"/>
  <c r="S658" i="15" s="1"/>
  <c r="G659" i="1" a="1"/>
  <c r="G659" i="1" s="1"/>
  <c r="J659" i="15" s="1"/>
  <c r="K659" i="1" a="1"/>
  <c r="K659" i="1" s="1"/>
  <c r="R660" i="15"/>
  <c r="F661" i="1" a="1"/>
  <c r="F661" i="1" s="1"/>
  <c r="I661" i="1" a="1"/>
  <c r="I661" i="1" s="1"/>
  <c r="K661" i="1" a="1"/>
  <c r="K661" i="1" s="1"/>
  <c r="M661" i="1"/>
  <c r="M661" i="15" s="1"/>
  <c r="N661" i="15" s="1" a="1"/>
  <c r="N661" i="15" s="1"/>
  <c r="K662" i="1" a="1"/>
  <c r="K662" i="1" s="1"/>
  <c r="C663" i="1" a="1"/>
  <c r="C663" i="1" s="1"/>
  <c r="E663" i="15" s="1"/>
  <c r="F663" i="1" a="1"/>
  <c r="F663" i="1" s="1"/>
  <c r="I663" i="1" a="1"/>
  <c r="I663" i="1" s="1"/>
  <c r="F664" i="1" a="1"/>
  <c r="F664" i="1" s="1"/>
  <c r="I664" i="1" a="1"/>
  <c r="I664" i="1" s="1"/>
  <c r="L664" i="1" a="1"/>
  <c r="L664" i="1" s="1"/>
  <c r="G665" i="1" a="1"/>
  <c r="G665" i="1" s="1"/>
  <c r="J665" i="15" s="1"/>
  <c r="J665" i="1" a="1"/>
  <c r="J665" i="1" s="1"/>
  <c r="M665" i="1"/>
  <c r="M665" i="15" s="1"/>
  <c r="N665" i="15" s="1" a="1"/>
  <c r="N665" i="15" s="1"/>
  <c r="C666" i="1" a="1"/>
  <c r="C666" i="1" s="1"/>
  <c r="E666" i="15" s="1"/>
  <c r="R666" i="15"/>
  <c r="L666" i="1" a="1"/>
  <c r="L666" i="1" s="1"/>
  <c r="N666" i="1" a="1"/>
  <c r="N666" i="1" s="1"/>
  <c r="S666" i="15" s="1"/>
  <c r="G667" i="1" a="1"/>
  <c r="G667" i="1" s="1"/>
  <c r="J667" i="15" s="1"/>
  <c r="J667" i="1" a="1"/>
  <c r="J667" i="1" s="1"/>
  <c r="M667" i="1"/>
  <c r="M667" i="15" s="1"/>
  <c r="N667" i="15" s="1" a="1"/>
  <c r="N667" i="15" s="1"/>
  <c r="R668" i="15"/>
  <c r="I668" i="1" a="1"/>
  <c r="I668" i="1" s="1"/>
  <c r="L668" i="1" a="1"/>
  <c r="L668" i="1" s="1"/>
  <c r="G669" i="1" a="1"/>
  <c r="G669" i="1" s="1"/>
  <c r="J669" i="15" s="1"/>
  <c r="M669" i="1"/>
  <c r="M669" i="15" s="1"/>
  <c r="N669" i="15" s="1" a="1"/>
  <c r="N669" i="15" s="1"/>
  <c r="C670" i="1" a="1"/>
  <c r="C670" i="1" s="1"/>
  <c r="E670" i="15" s="1"/>
  <c r="R670" i="15"/>
  <c r="K670" i="1" a="1"/>
  <c r="K670" i="1" s="1"/>
  <c r="C671" i="1" a="1"/>
  <c r="C671" i="1" s="1"/>
  <c r="E671" i="15" s="1"/>
  <c r="F671" i="1" a="1"/>
  <c r="F671" i="1" s="1"/>
  <c r="I671" i="1" a="1"/>
  <c r="I671" i="1" s="1"/>
  <c r="F672" i="1" a="1"/>
  <c r="F672" i="1" s="1"/>
  <c r="I672" i="1" a="1"/>
  <c r="I672" i="1" s="1"/>
  <c r="L672" i="1" a="1"/>
  <c r="L672" i="1" s="1"/>
  <c r="N672" i="1" a="1"/>
  <c r="N672" i="1" s="1"/>
  <c r="S672" i="15" s="1"/>
  <c r="F673" i="1" a="1"/>
  <c r="F673" i="1" s="1"/>
  <c r="L673" i="1" a="1"/>
  <c r="L673" i="1" s="1"/>
  <c r="N673" i="1" a="1"/>
  <c r="N673" i="1" s="1"/>
  <c r="S673" i="15" s="1"/>
  <c r="L674" i="1" a="1"/>
  <c r="L674" i="1" s="1"/>
  <c r="R675" i="15"/>
  <c r="L675" i="1" a="1"/>
  <c r="L675" i="1" s="1"/>
  <c r="N675" i="1" a="1"/>
  <c r="N675" i="1" s="1"/>
  <c r="S675" i="15" s="1"/>
  <c r="F676" i="1" a="1"/>
  <c r="F676" i="1" s="1"/>
  <c r="I676" i="1" a="1"/>
  <c r="I676" i="1" s="1"/>
  <c r="M676" i="1"/>
  <c r="M676" i="15" s="1"/>
  <c r="N676" i="15" s="1" a="1"/>
  <c r="N676" i="15" s="1"/>
  <c r="R677" i="15"/>
  <c r="I677" i="1" a="1"/>
  <c r="I677" i="1" s="1"/>
  <c r="M677" i="1"/>
  <c r="M677" i="15" s="1"/>
  <c r="N677" i="15" s="1" a="1"/>
  <c r="N677" i="15" s="1"/>
  <c r="C678" i="1" a="1"/>
  <c r="C678" i="1" s="1"/>
  <c r="E678" i="15" s="1"/>
  <c r="F678" i="1" a="1"/>
  <c r="F678" i="1" s="1"/>
  <c r="J678" i="1" a="1"/>
  <c r="J678" i="1" s="1"/>
  <c r="G679" i="1" a="1"/>
  <c r="G679" i="1" s="1"/>
  <c r="J679" i="15" s="1"/>
  <c r="K679" i="1" a="1"/>
  <c r="K679" i="1" s="1"/>
  <c r="N679" i="1" a="1"/>
  <c r="N679" i="1" s="1"/>
  <c r="S679" i="15" s="1"/>
  <c r="L680" i="1" a="1"/>
  <c r="L680" i="1" s="1"/>
  <c r="R681" i="15"/>
  <c r="I681" i="1" a="1"/>
  <c r="I681" i="1" s="1"/>
  <c r="M681" i="1"/>
  <c r="M681" i="15" s="1"/>
  <c r="N681" i="15" s="1" a="1"/>
  <c r="N681" i="15" s="1"/>
  <c r="C682" i="1" a="1"/>
  <c r="C682" i="1" s="1"/>
  <c r="E682" i="15" s="1"/>
  <c r="F682" i="1" a="1"/>
  <c r="F682" i="1" s="1"/>
  <c r="J682" i="1" a="1"/>
  <c r="J682" i="1" s="1"/>
  <c r="G683" i="1" a="1"/>
  <c r="G683" i="1" s="1"/>
  <c r="J683" i="15" s="1"/>
  <c r="K683" i="1" a="1"/>
  <c r="K683" i="1" s="1"/>
  <c r="N683" i="1" a="1"/>
  <c r="N683" i="1" s="1"/>
  <c r="S683" i="15" s="1"/>
  <c r="L684" i="1" a="1"/>
  <c r="L684" i="1" s="1"/>
  <c r="R685" i="15"/>
  <c r="I685" i="1" a="1"/>
  <c r="I685" i="1" s="1"/>
  <c r="M685" i="1"/>
  <c r="M685" i="15" s="1"/>
  <c r="N685" i="15" s="1" a="1"/>
  <c r="N685" i="15" s="1"/>
  <c r="C686" i="1" a="1"/>
  <c r="C686" i="1" s="1"/>
  <c r="E686" i="15" s="1"/>
  <c r="F686" i="1" a="1"/>
  <c r="F686" i="1" s="1"/>
  <c r="J686" i="1" a="1"/>
  <c r="J686" i="1" s="1"/>
  <c r="G687" i="1" a="1"/>
  <c r="G687" i="1" s="1"/>
  <c r="J687" i="15" s="1"/>
  <c r="K687" i="1" a="1"/>
  <c r="K687" i="1" s="1"/>
  <c r="N687" i="1" a="1"/>
  <c r="N687" i="1" s="1"/>
  <c r="S687" i="15" s="1"/>
  <c r="L688" i="1" a="1"/>
  <c r="L688" i="1" s="1"/>
  <c r="R689" i="15"/>
  <c r="I689" i="1" a="1"/>
  <c r="I689" i="1" s="1"/>
  <c r="M689" i="1"/>
  <c r="M689" i="15" s="1"/>
  <c r="N689" i="15" s="1" a="1"/>
  <c r="N689" i="15" s="1"/>
  <c r="C690" i="1" a="1"/>
  <c r="C690" i="1" s="1"/>
  <c r="E690" i="15" s="1"/>
  <c r="F690" i="1" a="1"/>
  <c r="F690" i="1" s="1"/>
  <c r="J690" i="1" a="1"/>
  <c r="J690" i="1" s="1"/>
  <c r="G691" i="1" a="1"/>
  <c r="G691" i="1" s="1"/>
  <c r="J691" i="15" s="1"/>
  <c r="K691" i="1" a="1"/>
  <c r="K691" i="1" s="1"/>
  <c r="N691" i="1" a="1"/>
  <c r="N691" i="1" s="1"/>
  <c r="S691" i="15" s="1"/>
  <c r="L692" i="1" a="1"/>
  <c r="L692" i="1" s="1"/>
  <c r="R693" i="15"/>
  <c r="I693" i="1" a="1"/>
  <c r="I693" i="1" s="1"/>
  <c r="M693" i="1"/>
  <c r="M693" i="15" s="1"/>
  <c r="N693" i="15" s="1" a="1"/>
  <c r="N693" i="15" s="1"/>
  <c r="C694" i="1" a="1"/>
  <c r="C694" i="1" s="1"/>
  <c r="E694" i="15" s="1"/>
  <c r="F694" i="1" a="1"/>
  <c r="F694" i="1" s="1"/>
  <c r="J694" i="1" a="1"/>
  <c r="J694" i="1" s="1"/>
  <c r="G695" i="1" a="1"/>
  <c r="G695" i="1" s="1"/>
  <c r="J695" i="15" s="1"/>
  <c r="K695" i="1" a="1"/>
  <c r="K695" i="1" s="1"/>
  <c r="N695" i="1" a="1"/>
  <c r="N695" i="1" s="1"/>
  <c r="S695" i="15" s="1"/>
  <c r="L696" i="1" a="1"/>
  <c r="L696" i="1" s="1"/>
  <c r="R697" i="15"/>
  <c r="I697" i="1" a="1"/>
  <c r="I697" i="1" s="1"/>
  <c r="M697" i="1"/>
  <c r="M697" i="15" s="1"/>
  <c r="N697" i="15" s="1" a="1"/>
  <c r="N697" i="15" s="1"/>
  <c r="C698" i="1" a="1"/>
  <c r="C698" i="1" s="1"/>
  <c r="E698" i="15" s="1"/>
  <c r="F698" i="1" a="1"/>
  <c r="F698" i="1" s="1"/>
  <c r="J698" i="1" a="1"/>
  <c r="J698" i="1" s="1"/>
  <c r="G699" i="1" a="1"/>
  <c r="G699" i="1" s="1"/>
  <c r="J699" i="15" s="1"/>
  <c r="K699" i="1" a="1"/>
  <c r="K699" i="1" s="1"/>
  <c r="N699" i="1" a="1"/>
  <c r="N699" i="1" s="1"/>
  <c r="S699" i="15" s="1"/>
  <c r="L700" i="1" a="1"/>
  <c r="L700" i="1" s="1"/>
  <c r="R701" i="15"/>
  <c r="I701" i="1" a="1"/>
  <c r="I701" i="1" s="1"/>
  <c r="M701" i="1"/>
  <c r="M701" i="15" s="1"/>
  <c r="N701" i="15" s="1" a="1"/>
  <c r="N701" i="15" s="1"/>
  <c r="C702" i="1" a="1"/>
  <c r="C702" i="1" s="1"/>
  <c r="E702" i="15" s="1"/>
  <c r="F702" i="1" a="1"/>
  <c r="F702" i="1" s="1"/>
  <c r="J702" i="1" a="1"/>
  <c r="J702" i="1" s="1"/>
  <c r="G703" i="1" a="1"/>
  <c r="G703" i="1" s="1"/>
  <c r="J703" i="15" s="1"/>
  <c r="K703" i="1" a="1"/>
  <c r="K703" i="1" s="1"/>
  <c r="N703" i="1" a="1"/>
  <c r="N703" i="1" s="1"/>
  <c r="S703" i="15" s="1"/>
  <c r="L704" i="1" a="1"/>
  <c r="L704" i="1" s="1"/>
  <c r="R705" i="15"/>
  <c r="I705" i="1" a="1"/>
  <c r="I705" i="1" s="1"/>
  <c r="M705" i="1"/>
  <c r="M705" i="15" s="1"/>
  <c r="N705" i="15" s="1" a="1"/>
  <c r="N705" i="15" s="1"/>
  <c r="C706" i="1" a="1"/>
  <c r="C706" i="1" s="1"/>
  <c r="E706" i="15" s="1"/>
  <c r="F706" i="1" a="1"/>
  <c r="F706" i="1" s="1"/>
  <c r="J706" i="1" a="1"/>
  <c r="J706" i="1" s="1"/>
  <c r="C707" i="1" a="1"/>
  <c r="C707" i="1" s="1"/>
  <c r="E707" i="15" s="1"/>
  <c r="F707" i="1" a="1"/>
  <c r="F707" i="1" s="1"/>
  <c r="J707" i="1" a="1"/>
  <c r="J707" i="1" s="1"/>
  <c r="J708" i="1" a="1"/>
  <c r="J708" i="1" s="1"/>
  <c r="C709" i="1" a="1"/>
  <c r="C709" i="1" s="1"/>
  <c r="E709" i="15" s="1"/>
  <c r="F709" i="1" a="1"/>
  <c r="F709" i="1" s="1"/>
  <c r="J709" i="1" a="1"/>
  <c r="J709" i="1" s="1"/>
  <c r="J710" i="1" a="1"/>
  <c r="J710" i="1" s="1"/>
  <c r="C711" i="1" a="1"/>
  <c r="C711" i="1" s="1"/>
  <c r="E711" i="15" s="1"/>
  <c r="F711" i="1" a="1"/>
  <c r="F711" i="1" s="1"/>
  <c r="J711" i="1" a="1"/>
  <c r="J711" i="1" s="1"/>
  <c r="J627" i="1" a="1"/>
  <c r="J627" i="1" s="1"/>
  <c r="R628" i="15"/>
  <c r="G629" i="1" a="1"/>
  <c r="G629" i="1" s="1"/>
  <c r="J629" i="15" s="1"/>
  <c r="J631" i="1" a="1"/>
  <c r="J631" i="1" s="1"/>
  <c r="R632" i="15"/>
  <c r="G633" i="1" a="1"/>
  <c r="G633" i="1" s="1"/>
  <c r="J633" i="15" s="1"/>
  <c r="N634" i="1" a="1"/>
  <c r="N634" i="1" s="1"/>
  <c r="S634" i="15" s="1"/>
  <c r="R635" i="15"/>
  <c r="J635" i="1" a="1"/>
  <c r="J635" i="1" s="1"/>
  <c r="F636" i="1" a="1"/>
  <c r="F636" i="1" s="1"/>
  <c r="L636" i="1" a="1"/>
  <c r="L636" i="1" s="1"/>
  <c r="G637" i="1" a="1"/>
  <c r="G637" i="1" s="1"/>
  <c r="J637" i="15" s="1"/>
  <c r="N638" i="1" a="1"/>
  <c r="N638" i="1" s="1"/>
  <c r="S638" i="15" s="1"/>
  <c r="R639" i="15"/>
  <c r="J639" i="1" a="1"/>
  <c r="J639" i="1" s="1"/>
  <c r="C641" i="1" a="1"/>
  <c r="C641" i="1" s="1"/>
  <c r="E641" i="15" s="1"/>
  <c r="C642" i="1" a="1"/>
  <c r="C642" i="1" s="1"/>
  <c r="E642" i="15" s="1"/>
  <c r="C643" i="1" a="1"/>
  <c r="C643" i="1" s="1"/>
  <c r="E643" i="15" s="1"/>
  <c r="C644" i="1" a="1"/>
  <c r="C644" i="1" s="1"/>
  <c r="E644" i="15" s="1"/>
  <c r="M644" i="1"/>
  <c r="M644" i="15" s="1"/>
  <c r="N644" i="15" s="1" a="1"/>
  <c r="N644" i="15" s="1"/>
  <c r="R645" i="15"/>
  <c r="L645" i="1" a="1"/>
  <c r="L645" i="1" s="1"/>
  <c r="G646" i="1" a="1"/>
  <c r="G646" i="1" s="1"/>
  <c r="J646" i="15" s="1"/>
  <c r="K646" i="1" a="1"/>
  <c r="K646" i="1" s="1"/>
  <c r="N646" i="1" a="1"/>
  <c r="N646" i="1" s="1"/>
  <c r="S646" i="15" s="1"/>
  <c r="J647" i="1" a="1"/>
  <c r="J647" i="1" s="1"/>
  <c r="C648" i="1" a="1"/>
  <c r="C648" i="1" s="1"/>
  <c r="E648" i="15" s="1"/>
  <c r="F648" i="1" a="1"/>
  <c r="F648" i="1" s="1"/>
  <c r="I648" i="1" a="1"/>
  <c r="I648" i="1" s="1"/>
  <c r="M648" i="1"/>
  <c r="M648" i="15" s="1"/>
  <c r="N648" i="15" s="1" a="1"/>
  <c r="N648" i="15" s="1"/>
  <c r="R649" i="15"/>
  <c r="L649" i="1" a="1"/>
  <c r="L649" i="1" s="1"/>
  <c r="G650" i="1" a="1"/>
  <c r="G650" i="1" s="1"/>
  <c r="J650" i="15" s="1"/>
  <c r="K650" i="1" a="1"/>
  <c r="K650" i="1" s="1"/>
  <c r="N650" i="1" a="1"/>
  <c r="N650" i="1" s="1"/>
  <c r="S650" i="15" s="1"/>
  <c r="J651" i="1" a="1"/>
  <c r="J651" i="1" s="1"/>
  <c r="C652" i="1" a="1"/>
  <c r="C652" i="1" s="1"/>
  <c r="E652" i="15" s="1"/>
  <c r="F652" i="1" a="1"/>
  <c r="F652" i="1" s="1"/>
  <c r="I652" i="1" a="1"/>
  <c r="I652" i="1" s="1"/>
  <c r="M652" i="1"/>
  <c r="M652" i="15" s="1"/>
  <c r="N652" i="15" s="1" a="1"/>
  <c r="N652" i="15" s="1"/>
  <c r="R653" i="15"/>
  <c r="L653" i="1" a="1"/>
  <c r="L653" i="1" s="1"/>
  <c r="G654" i="1" a="1"/>
  <c r="G654" i="1" s="1"/>
  <c r="J654" i="15" s="1"/>
  <c r="K654" i="1" a="1"/>
  <c r="K654" i="1" s="1"/>
  <c r="N654" i="1" a="1"/>
  <c r="N654" i="1" s="1"/>
  <c r="S654" i="15" s="1"/>
  <c r="J655" i="1" a="1"/>
  <c r="J655" i="1" s="1"/>
  <c r="R656" i="15"/>
  <c r="K656" i="1" a="1"/>
  <c r="K656" i="1" s="1"/>
  <c r="G657" i="1" a="1"/>
  <c r="G657" i="1" s="1"/>
  <c r="J657" i="15" s="1"/>
  <c r="J657" i="1" a="1"/>
  <c r="J657" i="1" s="1"/>
  <c r="L657" i="1" a="1"/>
  <c r="L657" i="1" s="1"/>
  <c r="N657" i="1" a="1"/>
  <c r="N657" i="1" s="1"/>
  <c r="S657" i="15" s="1"/>
  <c r="F658" i="1" a="1"/>
  <c r="F658" i="1" s="1"/>
  <c r="J658" i="1" a="1"/>
  <c r="J658" i="1" s="1"/>
  <c r="R659" i="15"/>
  <c r="L659" i="1" a="1"/>
  <c r="L659" i="1" s="1"/>
  <c r="N659" i="1" a="1"/>
  <c r="N659" i="1" s="1"/>
  <c r="S659" i="15" s="1"/>
  <c r="F660" i="1" a="1"/>
  <c r="F660" i="1" s="1"/>
  <c r="I660" i="1" a="1"/>
  <c r="I660" i="1" s="1"/>
  <c r="K660" i="1" a="1"/>
  <c r="K660" i="1" s="1"/>
  <c r="M660" i="1"/>
  <c r="M660" i="15" s="1"/>
  <c r="N660" i="15" s="1" a="1"/>
  <c r="N660" i="15" s="1"/>
  <c r="G661" i="1" a="1"/>
  <c r="G661" i="1" s="1"/>
  <c r="J661" i="15" s="1"/>
  <c r="C662" i="1" a="1"/>
  <c r="C662" i="1" s="1"/>
  <c r="E662" i="15" s="1"/>
  <c r="R662" i="15"/>
  <c r="I662" i="1" a="1"/>
  <c r="I662" i="1" s="1"/>
  <c r="L662" i="1" a="1"/>
  <c r="L662" i="1" s="1"/>
  <c r="N662" i="1" a="1"/>
  <c r="N662" i="1" s="1"/>
  <c r="S662" i="15" s="1"/>
  <c r="G663" i="1" a="1"/>
  <c r="G663" i="1" s="1"/>
  <c r="J663" i="15" s="1"/>
  <c r="L663" i="1" a="1"/>
  <c r="L663" i="1" s="1"/>
  <c r="N663" i="1" a="1"/>
  <c r="N663" i="1" s="1"/>
  <c r="S663" i="15" s="1"/>
  <c r="J664" i="1" a="1"/>
  <c r="J664" i="1" s="1"/>
  <c r="M664" i="1"/>
  <c r="M664" i="15" s="1"/>
  <c r="N664" i="15" s="1" a="1"/>
  <c r="N664" i="15" s="1"/>
  <c r="C665" i="1" a="1"/>
  <c r="C665" i="1" s="1"/>
  <c r="E665" i="15" s="1"/>
  <c r="R665" i="15"/>
  <c r="K665" i="1" a="1"/>
  <c r="K665" i="1" s="1"/>
  <c r="F666" i="1" a="1"/>
  <c r="F666" i="1" s="1"/>
  <c r="I666" i="1" a="1"/>
  <c r="I666" i="1" s="1"/>
  <c r="K667" i="1" a="1"/>
  <c r="K667" i="1" s="1"/>
  <c r="C668" i="1" a="1"/>
  <c r="C668" i="1" s="1"/>
  <c r="E668" i="15" s="1"/>
  <c r="F668" i="1" a="1"/>
  <c r="F668" i="1" s="1"/>
  <c r="J668" i="1" a="1"/>
  <c r="J668" i="1" s="1"/>
  <c r="M668" i="1"/>
  <c r="M668" i="15" s="1"/>
  <c r="N668" i="15" s="1" a="1"/>
  <c r="N668" i="15" s="1"/>
  <c r="C669" i="1" a="1"/>
  <c r="C669" i="1" s="1"/>
  <c r="E669" i="15" s="1"/>
  <c r="R669" i="15"/>
  <c r="J669" i="1" a="1"/>
  <c r="J669" i="1" s="1"/>
  <c r="F670" i="1" a="1"/>
  <c r="F670" i="1" s="1"/>
  <c r="I670" i="1" a="1"/>
  <c r="I670" i="1" s="1"/>
  <c r="L670" i="1" a="1"/>
  <c r="L670" i="1" s="1"/>
  <c r="N670" i="1" a="1"/>
  <c r="N670" i="1" s="1"/>
  <c r="S670" i="15" s="1"/>
  <c r="G671" i="1" a="1"/>
  <c r="G671" i="1" s="1"/>
  <c r="J671" i="15" s="1"/>
  <c r="L671" i="1" a="1"/>
  <c r="L671" i="1" s="1"/>
  <c r="N671" i="1" a="1"/>
  <c r="N671" i="1" s="1"/>
  <c r="S671" i="15" s="1"/>
  <c r="J672" i="1" a="1"/>
  <c r="J672" i="1" s="1"/>
  <c r="G673" i="1" a="1"/>
  <c r="G673" i="1" s="1"/>
  <c r="J673" i="15" s="1"/>
  <c r="J673" i="1" a="1"/>
  <c r="J673" i="1" s="1"/>
  <c r="M673" i="1"/>
  <c r="M673" i="15" s="1"/>
  <c r="N673" i="15" s="1" a="1"/>
  <c r="N673" i="15" s="1"/>
  <c r="R674" i="15"/>
  <c r="I674" i="1" a="1"/>
  <c r="I674" i="1" s="1"/>
  <c r="M674" i="1"/>
  <c r="M674" i="15" s="1"/>
  <c r="N674" i="15" s="1" a="1"/>
  <c r="N674" i="15" s="1"/>
  <c r="C675" i="1" a="1"/>
  <c r="C675" i="1" s="1"/>
  <c r="E675" i="15" s="1"/>
  <c r="F675" i="1" a="1"/>
  <c r="F675" i="1" s="1"/>
  <c r="I675" i="1" a="1"/>
  <c r="I675" i="1" s="1"/>
  <c r="M675" i="1"/>
  <c r="M675" i="15" s="1"/>
  <c r="N675" i="15" s="1" a="1"/>
  <c r="N675" i="15" s="1"/>
  <c r="J676" i="1" a="1"/>
  <c r="J676" i="1" s="1"/>
  <c r="C677" i="1" a="1"/>
  <c r="C677" i="1" s="1"/>
  <c r="E677" i="15" s="1"/>
  <c r="F677" i="1" a="1"/>
  <c r="F677" i="1" s="1"/>
  <c r="J677" i="1" a="1"/>
  <c r="J677" i="1" s="1"/>
  <c r="G678" i="1" a="1"/>
  <c r="G678" i="1" s="1"/>
  <c r="J678" i="15" s="1"/>
  <c r="K678" i="1" a="1"/>
  <c r="K678" i="1" s="1"/>
  <c r="N678" i="1" a="1"/>
  <c r="N678" i="1" s="1"/>
  <c r="S678" i="15" s="1"/>
  <c r="L679" i="1" a="1"/>
  <c r="L679" i="1" s="1"/>
  <c r="R680" i="15"/>
  <c r="I680" i="1" a="1"/>
  <c r="I680" i="1" s="1"/>
  <c r="M680" i="1"/>
  <c r="M680" i="15" s="1"/>
  <c r="N680" i="15" s="1" a="1"/>
  <c r="N680" i="15" s="1"/>
  <c r="C681" i="1" a="1"/>
  <c r="C681" i="1" s="1"/>
  <c r="E681" i="15" s="1"/>
  <c r="F681" i="1" a="1"/>
  <c r="F681" i="1" s="1"/>
  <c r="J681" i="1" a="1"/>
  <c r="J681" i="1" s="1"/>
  <c r="G682" i="1" a="1"/>
  <c r="G682" i="1" s="1"/>
  <c r="J682" i="15" s="1"/>
  <c r="K682" i="1" a="1"/>
  <c r="K682" i="1" s="1"/>
  <c r="N682" i="1" a="1"/>
  <c r="N682" i="1" s="1"/>
  <c r="S682" i="15" s="1"/>
  <c r="L683" i="1" a="1"/>
  <c r="L683" i="1" s="1"/>
  <c r="R684" i="15"/>
  <c r="I684" i="1" a="1"/>
  <c r="I684" i="1" s="1"/>
  <c r="M684" i="1"/>
  <c r="M684" i="15" s="1"/>
  <c r="N684" i="15" s="1" a="1"/>
  <c r="N684" i="15" s="1"/>
  <c r="C685" i="1" a="1"/>
  <c r="C685" i="1" s="1"/>
  <c r="E685" i="15" s="1"/>
  <c r="F685" i="1" a="1"/>
  <c r="F685" i="1" s="1"/>
  <c r="J685" i="1" a="1"/>
  <c r="J685" i="1" s="1"/>
  <c r="G686" i="1" a="1"/>
  <c r="G686" i="1" s="1"/>
  <c r="J686" i="15" s="1"/>
  <c r="K686" i="1" a="1"/>
  <c r="K686" i="1" s="1"/>
  <c r="N686" i="1" a="1"/>
  <c r="N686" i="1" s="1"/>
  <c r="S686" i="15" s="1"/>
  <c r="L687" i="1" a="1"/>
  <c r="L687" i="1" s="1"/>
  <c r="R688" i="15"/>
  <c r="I688" i="1" a="1"/>
  <c r="I688" i="1" s="1"/>
  <c r="M688" i="1"/>
  <c r="M688" i="15" s="1"/>
  <c r="N688" i="15" s="1" a="1"/>
  <c r="N688" i="15" s="1"/>
  <c r="C689" i="1" a="1"/>
  <c r="C689" i="1" s="1"/>
  <c r="E689" i="15" s="1"/>
  <c r="F689" i="1" a="1"/>
  <c r="F689" i="1" s="1"/>
  <c r="J689" i="1" a="1"/>
  <c r="J689" i="1" s="1"/>
  <c r="G690" i="1" a="1"/>
  <c r="G690" i="1" s="1"/>
  <c r="J690" i="15" s="1"/>
  <c r="K690" i="1" a="1"/>
  <c r="K690" i="1" s="1"/>
  <c r="N690" i="1" a="1"/>
  <c r="N690" i="1" s="1"/>
  <c r="S690" i="15" s="1"/>
  <c r="L691" i="1" a="1"/>
  <c r="L691" i="1" s="1"/>
  <c r="R692" i="15"/>
  <c r="I692" i="1" a="1"/>
  <c r="I692" i="1" s="1"/>
  <c r="M692" i="1"/>
  <c r="M692" i="15" s="1"/>
  <c r="N692" i="15" s="1" a="1"/>
  <c r="N692" i="15" s="1"/>
  <c r="C693" i="1" a="1"/>
  <c r="C693" i="1" s="1"/>
  <c r="E693" i="15" s="1"/>
  <c r="F693" i="1" a="1"/>
  <c r="F693" i="1" s="1"/>
  <c r="J693" i="1" a="1"/>
  <c r="J693" i="1" s="1"/>
  <c r="G694" i="1" a="1"/>
  <c r="G694" i="1" s="1"/>
  <c r="J694" i="15" s="1"/>
  <c r="K694" i="1" a="1"/>
  <c r="K694" i="1" s="1"/>
  <c r="N694" i="1" a="1"/>
  <c r="N694" i="1" s="1"/>
  <c r="S694" i="15" s="1"/>
  <c r="L695" i="1" a="1"/>
  <c r="L695" i="1" s="1"/>
  <c r="R696" i="15"/>
  <c r="I696" i="1" a="1"/>
  <c r="I696" i="1" s="1"/>
  <c r="M696" i="1"/>
  <c r="M696" i="15" s="1"/>
  <c r="N696" i="15" s="1" a="1"/>
  <c r="N696" i="15" s="1"/>
  <c r="C697" i="1" a="1"/>
  <c r="C697" i="1" s="1"/>
  <c r="E697" i="15" s="1"/>
  <c r="F697" i="1" a="1"/>
  <c r="F697" i="1" s="1"/>
  <c r="J697" i="1" a="1"/>
  <c r="J697" i="1" s="1"/>
  <c r="G698" i="1" a="1"/>
  <c r="G698" i="1" s="1"/>
  <c r="J698" i="15" s="1"/>
  <c r="K698" i="1" a="1"/>
  <c r="K698" i="1" s="1"/>
  <c r="N698" i="1" a="1"/>
  <c r="N698" i="1" s="1"/>
  <c r="S698" i="15" s="1"/>
  <c r="L699" i="1" a="1"/>
  <c r="L699" i="1" s="1"/>
  <c r="R700" i="15"/>
  <c r="I700" i="1" a="1"/>
  <c r="I700" i="1" s="1"/>
  <c r="M700" i="1"/>
  <c r="M700" i="15" s="1"/>
  <c r="N700" i="15" s="1" a="1"/>
  <c r="N700" i="15" s="1"/>
  <c r="C701" i="1" a="1"/>
  <c r="C701" i="1" s="1"/>
  <c r="E701" i="15" s="1"/>
  <c r="F701" i="1" a="1"/>
  <c r="F701" i="1" s="1"/>
  <c r="J701" i="1" a="1"/>
  <c r="J701" i="1" s="1"/>
  <c r="G702" i="1" a="1"/>
  <c r="G702" i="1" s="1"/>
  <c r="J702" i="15" s="1"/>
  <c r="K702" i="1" a="1"/>
  <c r="K702" i="1" s="1"/>
  <c r="N702" i="1" a="1"/>
  <c r="N702" i="1" s="1"/>
  <c r="S702" i="15" s="1"/>
  <c r="L703" i="1" a="1"/>
  <c r="L703" i="1" s="1"/>
  <c r="R704" i="15"/>
  <c r="I704" i="1" a="1"/>
  <c r="I704" i="1" s="1"/>
  <c r="M704" i="1"/>
  <c r="M704" i="15" s="1"/>
  <c r="N704" i="15" s="1" a="1"/>
  <c r="N704" i="15" s="1"/>
  <c r="C705" i="1" a="1"/>
  <c r="C705" i="1" s="1"/>
  <c r="E705" i="15" s="1"/>
  <c r="F705" i="1" a="1"/>
  <c r="F705" i="1" s="1"/>
  <c r="J705" i="1" a="1"/>
  <c r="J705" i="1" s="1"/>
  <c r="G706" i="1" a="1"/>
  <c r="G706" i="1" s="1"/>
  <c r="J706" i="15" s="1"/>
  <c r="K706" i="1" a="1"/>
  <c r="K706" i="1" s="1"/>
  <c r="N706" i="1" a="1"/>
  <c r="N706" i="1" s="1"/>
  <c r="S706" i="15" s="1"/>
  <c r="G707" i="1" a="1"/>
  <c r="G707" i="1" s="1"/>
  <c r="J707" i="15" s="1"/>
  <c r="K707" i="1" a="1"/>
  <c r="K707" i="1" s="1"/>
  <c r="N707" i="1" a="1"/>
  <c r="N707" i="1" s="1"/>
  <c r="S707" i="15" s="1"/>
  <c r="G708" i="1" a="1"/>
  <c r="G708" i="1" s="1"/>
  <c r="J708" i="15" s="1"/>
  <c r="K708" i="1" a="1"/>
  <c r="K708" i="1" s="1"/>
  <c r="N708" i="1" a="1"/>
  <c r="N708" i="1" s="1"/>
  <c r="S708" i="15" s="1"/>
  <c r="G709" i="1" a="1"/>
  <c r="G709" i="1" s="1"/>
  <c r="J709" i="15" s="1"/>
  <c r="K709" i="1" a="1"/>
  <c r="K709" i="1" s="1"/>
  <c r="N709" i="1" a="1"/>
  <c r="N709" i="1" s="1"/>
  <c r="S709" i="15" s="1"/>
  <c r="G710" i="1" a="1"/>
  <c r="G710" i="1" s="1"/>
  <c r="J710" i="15" s="1"/>
  <c r="K710" i="1" a="1"/>
  <c r="K710" i="1" s="1"/>
  <c r="N710" i="1" a="1"/>
  <c r="N710" i="1" s="1"/>
  <c r="S710" i="15" s="1"/>
  <c r="G711" i="1" a="1"/>
  <c r="G711" i="1" s="1"/>
  <c r="J711" i="15" s="1"/>
  <c r="K711" i="1" a="1"/>
  <c r="K711" i="1" s="1"/>
  <c r="N711" i="1" a="1"/>
  <c r="N711" i="1" s="1"/>
  <c r="S711" i="15" s="1"/>
  <c r="R627" i="15"/>
  <c r="G628" i="1" a="1"/>
  <c r="G628" i="1" s="1"/>
  <c r="J628" i="15" s="1"/>
  <c r="J630" i="1" a="1"/>
  <c r="J630" i="1" s="1"/>
  <c r="R631" i="15"/>
  <c r="G632" i="1" a="1"/>
  <c r="G632" i="1" s="1"/>
  <c r="J632" i="15" s="1"/>
  <c r="J634" i="1" a="1"/>
  <c r="J634" i="1" s="1"/>
  <c r="F635" i="1" a="1"/>
  <c r="F635" i="1" s="1"/>
  <c r="L635" i="1" a="1"/>
  <c r="L635" i="1" s="1"/>
  <c r="G636" i="1" a="1"/>
  <c r="G636" i="1" s="1"/>
  <c r="J636" i="15" s="1"/>
  <c r="N637" i="1" a="1"/>
  <c r="N637" i="1" s="1"/>
  <c r="S637" i="15" s="1"/>
  <c r="R638" i="15"/>
  <c r="J638" i="1" a="1"/>
  <c r="J638" i="1" s="1"/>
  <c r="F639" i="1" a="1"/>
  <c r="F639" i="1" s="1"/>
  <c r="L639" i="1" a="1"/>
  <c r="L639" i="1" s="1"/>
  <c r="F640" i="1" a="1"/>
  <c r="F640" i="1" s="1"/>
  <c r="J640" i="1" a="1"/>
  <c r="J640" i="1" s="1"/>
  <c r="F641" i="1" a="1"/>
  <c r="F641" i="1" s="1"/>
  <c r="J641" i="1" a="1"/>
  <c r="J641" i="1" s="1"/>
  <c r="F642" i="1" a="1"/>
  <c r="F642" i="1" s="1"/>
  <c r="J642" i="1" a="1"/>
  <c r="J642" i="1" s="1"/>
  <c r="F643" i="1" a="1"/>
  <c r="F643" i="1" s="1"/>
  <c r="J643" i="1" a="1"/>
  <c r="J643" i="1" s="1"/>
  <c r="F644" i="1" a="1"/>
  <c r="F644" i="1" s="1"/>
  <c r="J644" i="1" a="1"/>
  <c r="J644" i="1" s="1"/>
  <c r="C645" i="1" a="1"/>
  <c r="C645" i="1" s="1"/>
  <c r="E645" i="15" s="1"/>
  <c r="F645" i="1" a="1"/>
  <c r="F645" i="1" s="1"/>
  <c r="I645" i="1" a="1"/>
  <c r="I645" i="1" s="1"/>
  <c r="M645" i="1"/>
  <c r="M645" i="15" s="1"/>
  <c r="N645" i="15" s="1" a="1"/>
  <c r="N645" i="15" s="1"/>
  <c r="R646" i="15"/>
  <c r="L646" i="1" a="1"/>
  <c r="L646" i="1" s="1"/>
  <c r="G647" i="1" a="1"/>
  <c r="G647" i="1" s="1"/>
  <c r="J647" i="15" s="1"/>
  <c r="K647" i="1" a="1"/>
  <c r="K647" i="1" s="1"/>
  <c r="N647" i="1" a="1"/>
  <c r="N647" i="1" s="1"/>
  <c r="S647" i="15" s="1"/>
  <c r="J648" i="1" a="1"/>
  <c r="J648" i="1" s="1"/>
  <c r="C649" i="1" a="1"/>
  <c r="C649" i="1" s="1"/>
  <c r="E649" i="15" s="1"/>
  <c r="F649" i="1" a="1"/>
  <c r="F649" i="1" s="1"/>
  <c r="I649" i="1" a="1"/>
  <c r="I649" i="1" s="1"/>
  <c r="M649" i="1"/>
  <c r="M649" i="15" s="1"/>
  <c r="N649" i="15" s="1" a="1"/>
  <c r="N649" i="15" s="1"/>
  <c r="R650" i="15"/>
  <c r="L650" i="1" a="1"/>
  <c r="L650" i="1" s="1"/>
  <c r="G651" i="1" a="1"/>
  <c r="G651" i="1" s="1"/>
  <c r="J651" i="15" s="1"/>
  <c r="K651" i="1" a="1"/>
  <c r="K651" i="1" s="1"/>
  <c r="N651" i="1" a="1"/>
  <c r="N651" i="1" s="1"/>
  <c r="S651" i="15" s="1"/>
  <c r="J652" i="1" a="1"/>
  <c r="J652" i="1" s="1"/>
  <c r="C653" i="1" a="1"/>
  <c r="C653" i="1" s="1"/>
  <c r="E653" i="15" s="1"/>
  <c r="F653" i="1" a="1"/>
  <c r="F653" i="1" s="1"/>
  <c r="I653" i="1" a="1"/>
  <c r="I653" i="1" s="1"/>
  <c r="M653" i="1"/>
  <c r="M653" i="15" s="1"/>
  <c r="N653" i="15" s="1" a="1"/>
  <c r="N653" i="15" s="1"/>
  <c r="R654" i="15"/>
  <c r="L654" i="1" a="1"/>
  <c r="L654" i="1" s="1"/>
  <c r="G655" i="1" a="1"/>
  <c r="G655" i="1" s="1"/>
  <c r="J655" i="15" s="1"/>
  <c r="K655" i="1" a="1"/>
  <c r="K655" i="1" s="1"/>
  <c r="C656" i="1" a="1"/>
  <c r="C656" i="1" s="1"/>
  <c r="E656" i="15" s="1"/>
  <c r="F656" i="1" a="1"/>
  <c r="F656" i="1" s="1"/>
  <c r="I656" i="1" a="1"/>
  <c r="I656" i="1" s="1"/>
  <c r="N656" i="1" a="1"/>
  <c r="N656" i="1" s="1"/>
  <c r="S656" i="15" s="1"/>
  <c r="G658" i="1" a="1"/>
  <c r="G658" i="1" s="1"/>
  <c r="J658" i="15" s="1"/>
  <c r="M658" i="1"/>
  <c r="M658" i="15" s="1"/>
  <c r="N658" i="15" s="1" a="1"/>
  <c r="N658" i="15" s="1"/>
  <c r="C659" i="1" a="1"/>
  <c r="C659" i="1" s="1"/>
  <c r="E659" i="15" s="1"/>
  <c r="I659" i="1" a="1"/>
  <c r="I659" i="1" s="1"/>
  <c r="M659" i="1"/>
  <c r="M659" i="15" s="1"/>
  <c r="N659" i="15" s="1" a="1"/>
  <c r="N659" i="15" s="1"/>
  <c r="C661" i="1" a="1"/>
  <c r="C661" i="1" s="1"/>
  <c r="E661" i="15" s="1"/>
  <c r="R661" i="15"/>
  <c r="J661" i="1" a="1"/>
  <c r="J661" i="1" s="1"/>
  <c r="L661" i="1" a="1"/>
  <c r="L661" i="1" s="1"/>
  <c r="F662" i="1" a="1"/>
  <c r="F662" i="1" s="1"/>
  <c r="J662" i="1" a="1"/>
  <c r="J662" i="1" s="1"/>
  <c r="J663" i="1" a="1"/>
  <c r="J663" i="1" s="1"/>
  <c r="M663" i="1"/>
  <c r="M663" i="15" s="1"/>
  <c r="N663" i="15" s="1" a="1"/>
  <c r="N663" i="15" s="1"/>
  <c r="G664" i="1" a="1"/>
  <c r="G664" i="1" s="1"/>
  <c r="J664" i="15" s="1"/>
  <c r="I665" i="1" a="1"/>
  <c r="I665" i="1" s="1"/>
  <c r="N665" i="1" a="1"/>
  <c r="N665" i="1" s="1"/>
  <c r="S665" i="15" s="1"/>
  <c r="J666" i="1" a="1"/>
  <c r="J666" i="1" s="1"/>
  <c r="M666" i="1"/>
  <c r="M666" i="15" s="1"/>
  <c r="N666" i="15" s="1" a="1"/>
  <c r="N666" i="15" s="1"/>
  <c r="R667" i="15"/>
  <c r="G668" i="1" a="1"/>
  <c r="G668" i="1" s="1"/>
  <c r="J668" i="15" s="1"/>
  <c r="K669" i="1" a="1"/>
  <c r="K669" i="1" s="1"/>
  <c r="N669" i="1" a="1"/>
  <c r="N669" i="1" s="1"/>
  <c r="S669" i="15" s="1"/>
  <c r="J670" i="1" a="1"/>
  <c r="J670" i="1" s="1"/>
  <c r="J671" i="1" a="1"/>
  <c r="J671" i="1" s="1"/>
  <c r="M671" i="1"/>
  <c r="M671" i="15" s="1"/>
  <c r="N671" i="15" s="1" a="1"/>
  <c r="N671" i="15" s="1"/>
  <c r="G672" i="1" a="1"/>
  <c r="G672" i="1" s="1"/>
  <c r="J672" i="15" s="1"/>
  <c r="M672" i="1"/>
  <c r="M672" i="15" s="1"/>
  <c r="N672" i="15" s="1" a="1"/>
  <c r="N672" i="15" s="1"/>
  <c r="C673" i="1" a="1"/>
  <c r="C673" i="1" s="1"/>
  <c r="E673" i="15" s="1"/>
  <c r="R673" i="15"/>
  <c r="K673" i="1" a="1"/>
  <c r="K673" i="1" s="1"/>
  <c r="C674" i="1" a="1"/>
  <c r="C674" i="1" s="1"/>
  <c r="E674" i="15" s="1"/>
  <c r="F674" i="1" a="1"/>
  <c r="F674" i="1" s="1"/>
  <c r="J674" i="1" a="1"/>
  <c r="J674" i="1" s="1"/>
  <c r="G675" i="1" a="1"/>
  <c r="G675" i="1" s="1"/>
  <c r="J675" i="15" s="1"/>
  <c r="J675" i="1" a="1"/>
  <c r="J675" i="1" s="1"/>
  <c r="R676" i="15"/>
  <c r="G676" i="1" a="1"/>
  <c r="G676" i="1" s="1"/>
  <c r="J676" i="15" s="1"/>
  <c r="K676" i="1" a="1"/>
  <c r="K676" i="1" s="1"/>
  <c r="N676" i="1" a="1"/>
  <c r="N676" i="1" s="1"/>
  <c r="S676" i="15" s="1"/>
  <c r="G677" i="1" a="1"/>
  <c r="G677" i="1" s="1"/>
  <c r="J677" i="15" s="1"/>
  <c r="K677" i="1" a="1"/>
  <c r="K677" i="1" s="1"/>
  <c r="N677" i="1" a="1"/>
  <c r="N677" i="1" s="1"/>
  <c r="S677" i="15" s="1"/>
  <c r="L678" i="1" a="1"/>
  <c r="L678" i="1" s="1"/>
  <c r="R679" i="15"/>
  <c r="I679" i="1" a="1"/>
  <c r="I679" i="1" s="1"/>
  <c r="M679" i="1"/>
  <c r="M679" i="15" s="1"/>
  <c r="N679" i="15" s="1" a="1"/>
  <c r="N679" i="15" s="1"/>
  <c r="C680" i="1" a="1"/>
  <c r="C680" i="1" s="1"/>
  <c r="E680" i="15" s="1"/>
  <c r="F680" i="1" a="1"/>
  <c r="F680" i="1" s="1"/>
  <c r="J680" i="1" a="1"/>
  <c r="J680" i="1" s="1"/>
  <c r="G681" i="1" a="1"/>
  <c r="G681" i="1" s="1"/>
  <c r="J681" i="15" s="1"/>
  <c r="K681" i="1" a="1"/>
  <c r="K681" i="1" s="1"/>
  <c r="N681" i="1" a="1"/>
  <c r="N681" i="1" s="1"/>
  <c r="S681" i="15" s="1"/>
  <c r="L682" i="1" a="1"/>
  <c r="L682" i="1" s="1"/>
  <c r="R683" i="15"/>
  <c r="I683" i="1" a="1"/>
  <c r="I683" i="1" s="1"/>
  <c r="M683" i="1"/>
  <c r="M683" i="15" s="1"/>
  <c r="N683" i="15" s="1" a="1"/>
  <c r="N683" i="15" s="1"/>
  <c r="C684" i="1" a="1"/>
  <c r="C684" i="1" s="1"/>
  <c r="E684" i="15" s="1"/>
  <c r="F684" i="1" a="1"/>
  <c r="F684" i="1" s="1"/>
  <c r="J684" i="1" a="1"/>
  <c r="J684" i="1" s="1"/>
  <c r="G685" i="1" a="1"/>
  <c r="G685" i="1" s="1"/>
  <c r="J685" i="15" s="1"/>
  <c r="K685" i="1" a="1"/>
  <c r="K685" i="1" s="1"/>
  <c r="N685" i="1" a="1"/>
  <c r="N685" i="1" s="1"/>
  <c r="S685" i="15" s="1"/>
  <c r="L686" i="1" a="1"/>
  <c r="L686" i="1" s="1"/>
  <c r="R687" i="15"/>
  <c r="I687" i="1" a="1"/>
  <c r="I687" i="1" s="1"/>
  <c r="M687" i="1"/>
  <c r="M687" i="15" s="1"/>
  <c r="N687" i="15" s="1" a="1"/>
  <c r="N687" i="15" s="1"/>
  <c r="C688" i="1" a="1"/>
  <c r="C688" i="1" s="1"/>
  <c r="E688" i="15" s="1"/>
  <c r="F688" i="1" a="1"/>
  <c r="F688" i="1" s="1"/>
  <c r="J688" i="1" a="1"/>
  <c r="J688" i="1" s="1"/>
  <c r="G689" i="1" a="1"/>
  <c r="G689" i="1" s="1"/>
  <c r="J689" i="15" s="1"/>
  <c r="K689" i="1" a="1"/>
  <c r="K689" i="1" s="1"/>
  <c r="N689" i="1" a="1"/>
  <c r="N689" i="1" s="1"/>
  <c r="S689" i="15" s="1"/>
  <c r="L690" i="1" a="1"/>
  <c r="L690" i="1" s="1"/>
  <c r="R691" i="15"/>
  <c r="I691" i="1" a="1"/>
  <c r="I691" i="1" s="1"/>
  <c r="M691" i="1"/>
  <c r="M691" i="15" s="1"/>
  <c r="N691" i="15" s="1" a="1"/>
  <c r="N691" i="15" s="1"/>
  <c r="C692" i="1" a="1"/>
  <c r="C692" i="1" s="1"/>
  <c r="E692" i="15" s="1"/>
  <c r="F692" i="1" a="1"/>
  <c r="F692" i="1" s="1"/>
  <c r="J692" i="1" a="1"/>
  <c r="J692" i="1" s="1"/>
  <c r="G693" i="1" a="1"/>
  <c r="G693" i="1" s="1"/>
  <c r="J693" i="15" s="1"/>
  <c r="K693" i="1" a="1"/>
  <c r="K693" i="1" s="1"/>
  <c r="N693" i="1" a="1"/>
  <c r="N693" i="1" s="1"/>
  <c r="S693" i="15" s="1"/>
  <c r="L694" i="1" a="1"/>
  <c r="L694" i="1" s="1"/>
  <c r="R695" i="15"/>
  <c r="I695" i="1" a="1"/>
  <c r="I695" i="1" s="1"/>
  <c r="M695" i="1"/>
  <c r="M695" i="15" s="1"/>
  <c r="N695" i="15" s="1" a="1"/>
  <c r="N695" i="15" s="1"/>
  <c r="C696" i="1" a="1"/>
  <c r="C696" i="1" s="1"/>
  <c r="E696" i="15" s="1"/>
  <c r="F696" i="1" a="1"/>
  <c r="F696" i="1" s="1"/>
  <c r="J696" i="1" a="1"/>
  <c r="J696" i="1" s="1"/>
  <c r="G697" i="1" a="1"/>
  <c r="G697" i="1" s="1"/>
  <c r="J697" i="15" s="1"/>
  <c r="K697" i="1" a="1"/>
  <c r="K697" i="1" s="1"/>
  <c r="N697" i="1" a="1"/>
  <c r="N697" i="1" s="1"/>
  <c r="S697" i="15" s="1"/>
  <c r="L698" i="1" a="1"/>
  <c r="L698" i="1" s="1"/>
  <c r="R699" i="15"/>
  <c r="I699" i="1" a="1"/>
  <c r="I699" i="1" s="1"/>
  <c r="M699" i="1"/>
  <c r="M699" i="15" s="1"/>
  <c r="N699" i="15" s="1" a="1"/>
  <c r="N699" i="15" s="1"/>
  <c r="C700" i="1" a="1"/>
  <c r="C700" i="1" s="1"/>
  <c r="E700" i="15" s="1"/>
  <c r="F700" i="1" a="1"/>
  <c r="F700" i="1" s="1"/>
  <c r="J700" i="1" a="1"/>
  <c r="J700" i="1" s="1"/>
  <c r="G701" i="1" a="1"/>
  <c r="G701" i="1" s="1"/>
  <c r="J701" i="15" s="1"/>
  <c r="K701" i="1" a="1"/>
  <c r="K701" i="1" s="1"/>
  <c r="N701" i="1" a="1"/>
  <c r="N701" i="1" s="1"/>
  <c r="S701" i="15" s="1"/>
  <c r="L702" i="1" a="1"/>
  <c r="L702" i="1" s="1"/>
  <c r="R703" i="15"/>
  <c r="I703" i="1" a="1"/>
  <c r="I703" i="1" s="1"/>
  <c r="M703" i="1"/>
  <c r="M703" i="15" s="1"/>
  <c r="N703" i="15" s="1" a="1"/>
  <c r="N703" i="15" s="1"/>
  <c r="C704" i="1" a="1"/>
  <c r="C704" i="1" s="1"/>
  <c r="E704" i="15" s="1"/>
  <c r="F704" i="1" a="1"/>
  <c r="F704" i="1" s="1"/>
  <c r="J704" i="1" a="1"/>
  <c r="J704" i="1" s="1"/>
  <c r="G705" i="1" a="1"/>
  <c r="G705" i="1" s="1"/>
  <c r="J705" i="15" s="1"/>
  <c r="K705" i="1" a="1"/>
  <c r="K705" i="1" s="1"/>
  <c r="N705" i="1" a="1"/>
  <c r="N705" i="1" s="1"/>
  <c r="S705" i="15" s="1"/>
  <c r="L706" i="1" a="1"/>
  <c r="L706" i="1" s="1"/>
  <c r="L707" i="1" a="1"/>
  <c r="L707" i="1" s="1"/>
  <c r="R708" i="15"/>
  <c r="L708" i="1" a="1"/>
  <c r="L708" i="1" s="1"/>
  <c r="L709" i="1" a="1"/>
  <c r="L709" i="1" s="1"/>
  <c r="R710" i="15"/>
  <c r="L710" i="1" a="1"/>
  <c r="L710" i="1" s="1"/>
  <c r="L711" i="1" a="1"/>
  <c r="L711" i="1" s="1"/>
  <c r="R52" i="4"/>
  <c r="T52" i="4" s="1" a="1"/>
  <c r="T52" i="4" s="1"/>
  <c r="U52" i="4" a="1"/>
  <c r="U52" i="4" s="1"/>
  <c r="R68" i="4"/>
  <c r="T68" i="4" s="1" a="1"/>
  <c r="T68" i="4" s="1"/>
  <c r="U68" i="4" a="1"/>
  <c r="U68" i="4" s="1"/>
  <c r="R119" i="4"/>
  <c r="T119" i="4" s="1" a="1"/>
  <c r="T119" i="4" s="1"/>
  <c r="U119" i="4" a="1"/>
  <c r="U119" i="4" s="1"/>
  <c r="R60" i="4"/>
  <c r="T60" i="4" s="1" a="1"/>
  <c r="T60" i="4" s="1"/>
  <c r="U60" i="4" a="1"/>
  <c r="U60" i="4" s="1"/>
  <c r="R95" i="4"/>
  <c r="T95" i="4" s="1" a="1"/>
  <c r="T95" i="4" s="1"/>
  <c r="U95" i="4" a="1"/>
  <c r="U95" i="4" s="1"/>
  <c r="I118" i="8"/>
  <c r="I140" i="8"/>
  <c r="I125" i="8"/>
  <c r="I147" i="8"/>
  <c r="I137" i="8"/>
  <c r="I105" i="8"/>
  <c r="I145" i="8"/>
  <c r="I107" i="8"/>
  <c r="I130" i="8"/>
  <c r="I117" i="8"/>
  <c r="M170" i="1"/>
  <c r="M170" i="15" s="1"/>
  <c r="N170" i="15" s="1" a="1"/>
  <c r="N170" i="15" s="1"/>
  <c r="M171" i="1"/>
  <c r="M171" i="15" s="1"/>
  <c r="N171" i="15" s="1" a="1"/>
  <c r="N171" i="15" s="1"/>
  <c r="I120" i="8"/>
  <c r="I119" i="8"/>
  <c r="I111" i="8"/>
  <c r="I143" i="8"/>
  <c r="I132" i="8"/>
  <c r="I144" i="8"/>
  <c r="I134" i="8"/>
  <c r="I131" i="8"/>
  <c r="I114" i="8"/>
  <c r="I148" i="8"/>
  <c r="I123" i="8"/>
  <c r="I136" i="8"/>
  <c r="I112" i="8"/>
  <c r="M169" i="1"/>
  <c r="M169" i="15" s="1"/>
  <c r="N169" i="15" s="1" a="1"/>
  <c r="N169" i="15" s="1"/>
  <c r="I121" i="8"/>
  <c r="I106" i="8"/>
  <c r="I129" i="8"/>
  <c r="N185" i="1" a="1"/>
  <c r="N185" i="1" s="1"/>
  <c r="S185" i="15" s="1"/>
  <c r="M172" i="1"/>
  <c r="M172" i="15" s="1"/>
  <c r="N172" i="15" s="1" a="1"/>
  <c r="N172" i="15" s="1"/>
  <c r="I115" i="8"/>
  <c r="I142" i="8"/>
  <c r="I124" i="8"/>
  <c r="I113" i="8"/>
  <c r="I149" i="8"/>
  <c r="I122" i="8"/>
  <c r="I116" i="8"/>
  <c r="I151" i="8"/>
  <c r="I110" i="8"/>
  <c r="I133" i="8"/>
  <c r="I104" i="8"/>
  <c r="I150" i="8"/>
  <c r="I127" i="8"/>
  <c r="I141" i="8"/>
  <c r="I139" i="8"/>
  <c r="I126" i="8"/>
  <c r="I128" i="8"/>
  <c r="I135" i="8"/>
  <c r="I108" i="8"/>
  <c r="I146" i="8"/>
  <c r="I109" i="8"/>
  <c r="I138" i="8"/>
  <c r="R174" i="15"/>
  <c r="M174" i="1"/>
  <c r="M174" i="15" s="1"/>
  <c r="N174" i="15" s="1" a="1"/>
  <c r="N174" i="15" s="1"/>
  <c r="R175" i="15"/>
  <c r="R176" i="15"/>
  <c r="C177" i="1" a="1"/>
  <c r="C177" i="1" s="1"/>
  <c r="E177" i="15" s="1"/>
  <c r="F177" i="1" a="1"/>
  <c r="F177" i="1" s="1"/>
  <c r="J180" i="1" a="1"/>
  <c r="J180" i="1" s="1"/>
  <c r="R182" i="15"/>
  <c r="G184" i="1" a="1"/>
  <c r="G184" i="1" s="1"/>
  <c r="J184" i="15" s="1"/>
  <c r="M184" i="1"/>
  <c r="M184" i="15" s="1"/>
  <c r="N184" i="15" s="1" a="1"/>
  <c r="N184" i="15" s="1"/>
  <c r="I186" i="1" a="1"/>
  <c r="I186" i="1" s="1"/>
  <c r="G174" i="1" a="1"/>
  <c r="G174" i="1" s="1"/>
  <c r="J174" i="15" s="1"/>
  <c r="F175" i="1" a="1"/>
  <c r="F175" i="1" s="1"/>
  <c r="F176" i="1" a="1"/>
  <c r="F176" i="1" s="1"/>
  <c r="G177" i="1" a="1"/>
  <c r="G177" i="1" s="1"/>
  <c r="J177" i="15" s="1"/>
  <c r="M177" i="1"/>
  <c r="M177" i="15" s="1"/>
  <c r="N177" i="15" s="1" a="1"/>
  <c r="N177" i="15" s="1"/>
  <c r="R178" i="15"/>
  <c r="R180" i="15"/>
  <c r="F182" i="1" a="1"/>
  <c r="F182" i="1" s="1"/>
  <c r="M182" i="1"/>
  <c r="M182" i="15" s="1"/>
  <c r="N182" i="15" s="1" a="1"/>
  <c r="N182" i="15" s="1"/>
  <c r="C184" i="1" a="1"/>
  <c r="C184" i="1" s="1"/>
  <c r="E184" i="15" s="1"/>
  <c r="I184" i="1" a="1"/>
  <c r="I184" i="1" s="1"/>
  <c r="I174" i="1" a="1"/>
  <c r="I174" i="1" s="1"/>
  <c r="J175" i="1" a="1"/>
  <c r="J175" i="1" s="1"/>
  <c r="C176" i="1" a="1"/>
  <c r="C176" i="1" s="1"/>
  <c r="E176" i="15" s="1"/>
  <c r="G176" i="1" a="1"/>
  <c r="G176" i="1" s="1"/>
  <c r="J176" i="15" s="1"/>
  <c r="M176" i="1"/>
  <c r="M176" i="15" s="1"/>
  <c r="N176" i="15" s="1" a="1"/>
  <c r="N176" i="15" s="1"/>
  <c r="I177" i="1" a="1"/>
  <c r="I177" i="1" s="1"/>
  <c r="G178" i="1" a="1"/>
  <c r="G178" i="1" s="1"/>
  <c r="J178" i="15" s="1"/>
  <c r="M178" i="1"/>
  <c r="M178" i="15" s="1"/>
  <c r="N178" i="15" s="1" a="1"/>
  <c r="N178" i="15" s="1"/>
  <c r="C180" i="1" a="1"/>
  <c r="C180" i="1" s="1"/>
  <c r="E180" i="15" s="1"/>
  <c r="F180" i="1" a="1"/>
  <c r="F180" i="1" s="1"/>
  <c r="M180" i="1"/>
  <c r="M180" i="15" s="1"/>
  <c r="N180" i="15" s="1" a="1"/>
  <c r="N180" i="15" s="1"/>
  <c r="C182" i="1" a="1"/>
  <c r="C182" i="1" s="1"/>
  <c r="E182" i="15" s="1"/>
  <c r="I182" i="1" a="1"/>
  <c r="I182" i="1" s="1"/>
  <c r="R186" i="15"/>
  <c r="I176" i="1" a="1"/>
  <c r="I176" i="1" s="1"/>
  <c r="R177" i="15"/>
  <c r="I178" i="1" a="1"/>
  <c r="I178" i="1" s="1"/>
  <c r="I180" i="1" a="1"/>
  <c r="I180" i="1" s="1"/>
  <c r="J182" i="1" a="1"/>
  <c r="J182" i="1" s="1"/>
  <c r="R184" i="15"/>
  <c r="G186" i="1" a="1"/>
  <c r="G186" i="1" s="1"/>
  <c r="J186" i="15" s="1"/>
  <c r="M186" i="1"/>
  <c r="M186" i="15" s="1"/>
  <c r="N186" i="15" s="1" a="1"/>
  <c r="N186" i="15" s="1"/>
  <c r="M173" i="1"/>
  <c r="M173" i="15" s="1"/>
  <c r="N173" i="15" s="1" a="1"/>
  <c r="N173" i="15" s="1"/>
  <c r="M179" i="1"/>
  <c r="M179" i="15" s="1"/>
  <c r="N179" i="15" s="1" a="1"/>
  <c r="N179" i="15" s="1"/>
  <c r="C170" i="1" a="1"/>
  <c r="C170" i="1" s="1"/>
  <c r="E170" i="15" s="1"/>
  <c r="G181" i="1" a="1"/>
  <c r="G181" i="1" s="1"/>
  <c r="J181" i="15" s="1"/>
  <c r="F168" i="1" a="1"/>
  <c r="F168" i="1" s="1"/>
  <c r="F181" i="1" a="1"/>
  <c r="F181" i="1" s="1"/>
  <c r="C179" i="1" a="1"/>
  <c r="C179" i="1" s="1"/>
  <c r="E179" i="15" s="1"/>
  <c r="F171" i="1" a="1"/>
  <c r="F171" i="1" s="1"/>
  <c r="R173" i="15"/>
  <c r="F166" i="1" a="1"/>
  <c r="F166" i="1" s="1"/>
  <c r="I165" i="1" a="1"/>
  <c r="I165" i="1" s="1"/>
  <c r="I169" i="1" a="1"/>
  <c r="I169" i="1" s="1"/>
  <c r="C178" i="1" a="1"/>
  <c r="C178" i="1" s="1"/>
  <c r="E178" i="15" s="1"/>
  <c r="I179" i="1" a="1"/>
  <c r="I179" i="1" s="1"/>
  <c r="R181" i="15"/>
  <c r="G182" i="1" a="1"/>
  <c r="G182" i="1" s="1"/>
  <c r="J182" i="15" s="1"/>
  <c r="M183" i="1"/>
  <c r="M183" i="15" s="1"/>
  <c r="N183" i="15" s="1" a="1"/>
  <c r="N183" i="15" s="1"/>
  <c r="J186" i="1" a="1"/>
  <c r="J186" i="1" s="1"/>
  <c r="C169" i="1" a="1"/>
  <c r="C169" i="1" s="1"/>
  <c r="E169" i="15" s="1"/>
  <c r="G173" i="1" a="1"/>
  <c r="G173" i="1" s="1"/>
  <c r="J173" i="15" s="1"/>
  <c r="C165" i="1" a="1"/>
  <c r="C165" i="1" s="1"/>
  <c r="E165" i="15" s="1"/>
  <c r="G163" i="1" a="1"/>
  <c r="G163" i="1" s="1"/>
  <c r="J163" i="15" s="1"/>
  <c r="M164" i="1"/>
  <c r="M164" i="15" s="1"/>
  <c r="N164" i="15" s="1" a="1"/>
  <c r="N164" i="15" s="1"/>
  <c r="R166" i="15"/>
  <c r="G167" i="1" a="1"/>
  <c r="G167" i="1" s="1"/>
  <c r="J167" i="15" s="1"/>
  <c r="M168" i="1"/>
  <c r="M168" i="15" s="1"/>
  <c r="N168" i="15" s="1" a="1"/>
  <c r="N168" i="15" s="1"/>
  <c r="R170" i="15"/>
  <c r="C174" i="1" a="1"/>
  <c r="C174" i="1" s="1"/>
  <c r="E174" i="15" s="1"/>
  <c r="F179" i="1" a="1"/>
  <c r="F179" i="1" s="1"/>
  <c r="J181" i="1" a="1"/>
  <c r="J181" i="1" s="1"/>
  <c r="C185" i="1" a="1"/>
  <c r="C185" i="1" s="1"/>
  <c r="E185" i="15" s="1"/>
  <c r="G185" i="1" a="1"/>
  <c r="G185" i="1" s="1"/>
  <c r="J185" i="15" s="1"/>
  <c r="F170" i="1" a="1"/>
  <c r="F170" i="1" s="1"/>
  <c r="I173" i="1" a="1"/>
  <c r="I173" i="1" s="1"/>
  <c r="C164" i="1" a="1"/>
  <c r="C164" i="1" s="1"/>
  <c r="E164" i="15" s="1"/>
  <c r="C168" i="1" a="1"/>
  <c r="C168" i="1" s="1"/>
  <c r="E168" i="15" s="1"/>
  <c r="R163" i="15"/>
  <c r="G164" i="1" a="1"/>
  <c r="G164" i="1" s="1"/>
  <c r="J164" i="15" s="1"/>
  <c r="R167" i="15"/>
  <c r="G168" i="1" a="1"/>
  <c r="G168" i="1" s="1"/>
  <c r="J168" i="15" s="1"/>
  <c r="R171" i="15"/>
  <c r="G172" i="1" a="1"/>
  <c r="G172" i="1" s="1"/>
  <c r="J172" i="15" s="1"/>
  <c r="C175" i="1" a="1"/>
  <c r="C175" i="1" s="1"/>
  <c r="E175" i="15" s="1"/>
  <c r="F178" i="1" a="1"/>
  <c r="F178" i="1" s="1"/>
  <c r="I181" i="1" a="1"/>
  <c r="I181" i="1" s="1"/>
  <c r="F169" i="1" a="1"/>
  <c r="F169" i="1" s="1"/>
  <c r="F165" i="1" a="1"/>
  <c r="F165" i="1" s="1"/>
  <c r="I166" i="1" a="1"/>
  <c r="I166" i="1" s="1"/>
  <c r="I170" i="1" a="1"/>
  <c r="I170" i="1" s="1"/>
  <c r="R172" i="15"/>
  <c r="F174" i="1" a="1"/>
  <c r="F174" i="1" s="1"/>
  <c r="J171" i="1" a="1"/>
  <c r="J171" i="1" s="1"/>
  <c r="J183" i="1" a="1"/>
  <c r="J183" i="1" s="1"/>
  <c r="R185" i="15"/>
  <c r="F185" i="1" a="1"/>
  <c r="F185" i="1" s="1"/>
  <c r="C183" i="1" a="1"/>
  <c r="C183" i="1" s="1"/>
  <c r="E183" i="15" s="1"/>
  <c r="M185" i="1"/>
  <c r="M185" i="15" s="1"/>
  <c r="N185" i="15" s="1" a="1"/>
  <c r="N185" i="15" s="1"/>
  <c r="F164" i="1" a="1"/>
  <c r="F164" i="1" s="1"/>
  <c r="C173" i="1" a="1"/>
  <c r="C173" i="1" s="1"/>
  <c r="E173" i="15" s="1"/>
  <c r="I163" i="1" a="1"/>
  <c r="I163" i="1" s="1"/>
  <c r="I167" i="1" a="1"/>
  <c r="I167" i="1" s="1"/>
  <c r="I171" i="1" a="1"/>
  <c r="I171" i="1" s="1"/>
  <c r="I175" i="1" a="1"/>
  <c r="I175" i="1" s="1"/>
  <c r="G180" i="1" a="1"/>
  <c r="G180" i="1" s="1"/>
  <c r="J180" i="15" s="1"/>
  <c r="M181" i="1"/>
  <c r="M181" i="15" s="1"/>
  <c r="N181" i="15" s="1" a="1"/>
  <c r="N181" i="15" s="1"/>
  <c r="R183" i="15"/>
  <c r="F184" i="1" a="1"/>
  <c r="F184" i="1" s="1"/>
  <c r="C186" i="1" a="1"/>
  <c r="C186" i="1" s="1"/>
  <c r="E186" i="15" s="1"/>
  <c r="C171" i="1" a="1"/>
  <c r="C171" i="1" s="1"/>
  <c r="E171" i="15" s="1"/>
  <c r="C163" i="1" a="1"/>
  <c r="C163" i="1" s="1"/>
  <c r="E163" i="15" s="1"/>
  <c r="C167" i="1" a="1"/>
  <c r="C167" i="1" s="1"/>
  <c r="E167" i="15" s="1"/>
  <c r="R164" i="15"/>
  <c r="G165" i="1" a="1"/>
  <c r="G165" i="1" s="1"/>
  <c r="J165" i="15" s="1"/>
  <c r="M166" i="1"/>
  <c r="M166" i="15" s="1"/>
  <c r="N166" i="15" s="1" a="1"/>
  <c r="N166" i="15" s="1"/>
  <c r="R168" i="15"/>
  <c r="G169" i="1" a="1"/>
  <c r="G169" i="1" s="1"/>
  <c r="J169" i="15" s="1"/>
  <c r="I172" i="1" a="1"/>
  <c r="I172" i="1" s="1"/>
  <c r="J174" i="1" a="1"/>
  <c r="J174" i="1" s="1"/>
  <c r="C172" i="1" a="1"/>
  <c r="C172" i="1" s="1"/>
  <c r="E172" i="15" s="1"/>
  <c r="C181" i="1" a="1"/>
  <c r="C181" i="1" s="1"/>
  <c r="E181" i="15" s="1"/>
  <c r="I185" i="1" a="1"/>
  <c r="I185" i="1" s="1"/>
  <c r="J185" i="1" a="1"/>
  <c r="J185" i="1" s="1"/>
  <c r="G179" i="1" a="1"/>
  <c r="G179" i="1" s="1"/>
  <c r="J179" i="15" s="1"/>
  <c r="F183" i="1" a="1"/>
  <c r="F183" i="1" s="1"/>
  <c r="G183" i="1" a="1"/>
  <c r="G183" i="1" s="1"/>
  <c r="J183" i="15" s="1"/>
  <c r="F172" i="1" a="1"/>
  <c r="F172" i="1" s="1"/>
  <c r="C166" i="1" a="1"/>
  <c r="C166" i="1" s="1"/>
  <c r="E166" i="15" s="1"/>
  <c r="F173" i="1" a="1"/>
  <c r="F173" i="1" s="1"/>
  <c r="M163" i="1"/>
  <c r="M163" i="15" s="1"/>
  <c r="N163" i="15" s="1" a="1"/>
  <c r="N163" i="15" s="1"/>
  <c r="R165" i="15"/>
  <c r="G166" i="1" a="1"/>
  <c r="G166" i="1" s="1"/>
  <c r="J166" i="15" s="1"/>
  <c r="R169" i="15"/>
  <c r="G170" i="1" a="1"/>
  <c r="G170" i="1" s="1"/>
  <c r="J170" i="15" s="1"/>
  <c r="M175" i="1"/>
  <c r="M175" i="15" s="1"/>
  <c r="N175" i="15" s="1" a="1"/>
  <c r="N175" i="15" s="1"/>
  <c r="R179" i="15"/>
  <c r="I183" i="1" a="1"/>
  <c r="I183" i="1" s="1"/>
  <c r="J184" i="1" a="1"/>
  <c r="J184" i="1" s="1"/>
  <c r="F186" i="1" a="1"/>
  <c r="F186" i="1" s="1"/>
  <c r="F163" i="1" a="1"/>
  <c r="F163" i="1" s="1"/>
  <c r="F167" i="1" a="1"/>
  <c r="F167" i="1" s="1"/>
  <c r="I164" i="1" a="1"/>
  <c r="I164" i="1" s="1"/>
  <c r="I168" i="1" a="1"/>
  <c r="I168" i="1" s="1"/>
  <c r="G171" i="1" a="1"/>
  <c r="G171" i="1" s="1"/>
  <c r="J171" i="15" s="1"/>
  <c r="G175" i="1" a="1"/>
  <c r="G175" i="1" s="1"/>
  <c r="J175" i="15" s="1"/>
  <c r="I26" i="1" a="1"/>
  <c r="I26" i="1" s="1"/>
  <c r="I27" i="1" a="1"/>
  <c r="I27" i="1" s="1"/>
  <c r="I28" i="1" a="1"/>
  <c r="I28" i="1" s="1"/>
  <c r="C49" i="1" a="1"/>
  <c r="C49" i="1" s="1"/>
  <c r="E49" i="15" s="1"/>
  <c r="C22" i="1" a="1"/>
  <c r="C22" i="1" s="1"/>
  <c r="E22" i="15" s="1"/>
  <c r="M50" i="15"/>
  <c r="N50" i="15" s="1" a="1"/>
  <c r="N50" i="15" s="1"/>
  <c r="M86" i="1"/>
  <c r="M86" i="15" s="1"/>
  <c r="N86" i="15" s="1" a="1"/>
  <c r="N86" i="15" s="1"/>
  <c r="M122" i="1"/>
  <c r="M122" i="15" s="1"/>
  <c r="N122" i="15" s="1" a="1"/>
  <c r="N122" i="15" s="1"/>
  <c r="M158" i="1"/>
  <c r="M158" i="15" s="1"/>
  <c r="N158" i="15" s="1" a="1"/>
  <c r="N158" i="15" s="1"/>
  <c r="M32" i="1"/>
  <c r="M32" i="15" s="1"/>
  <c r="N32" i="15" s="1" a="1"/>
  <c r="N32" i="15" s="1"/>
  <c r="M116" i="1"/>
  <c r="M116" i="15" s="1"/>
  <c r="N116" i="15" s="1" a="1"/>
  <c r="N116" i="15" s="1"/>
  <c r="M56" i="1"/>
  <c r="M56" i="15" s="1"/>
  <c r="N56" i="15" s="1" a="1"/>
  <c r="N56" i="15" s="1"/>
  <c r="M92" i="1"/>
  <c r="M92" i="15" s="1"/>
  <c r="N92" i="15" s="1" a="1"/>
  <c r="N92" i="15" s="1"/>
  <c r="M128" i="1"/>
  <c r="M128" i="15" s="1"/>
  <c r="N128" i="15" s="1" a="1"/>
  <c r="N128" i="15" s="1"/>
  <c r="M44" i="1"/>
  <c r="M44" i="15" s="1"/>
  <c r="N44" i="15" s="1" a="1"/>
  <c r="N44" i="15" s="1"/>
  <c r="M62" i="1"/>
  <c r="M62" i="15" s="1"/>
  <c r="N62" i="15" s="1" a="1"/>
  <c r="N62" i="15" s="1"/>
  <c r="M98" i="1"/>
  <c r="M98" i="15" s="1"/>
  <c r="N98" i="15" s="1" a="1"/>
  <c r="N98" i="15" s="1"/>
  <c r="M134" i="1"/>
  <c r="M134" i="15" s="1"/>
  <c r="N134" i="15" s="1" a="1"/>
  <c r="N134" i="15" s="1"/>
  <c r="M8" i="1"/>
  <c r="M8" i="15" s="1"/>
  <c r="N8" i="15" s="1" a="1"/>
  <c r="N8" i="15" s="1"/>
  <c r="M80" i="1"/>
  <c r="M80" i="15" s="1"/>
  <c r="N80" i="15" s="1" a="1"/>
  <c r="N80" i="15" s="1"/>
  <c r="M68" i="1"/>
  <c r="M68" i="15" s="1"/>
  <c r="N68" i="15" s="1" a="1"/>
  <c r="N68" i="15" s="1"/>
  <c r="M104" i="1"/>
  <c r="M104" i="15" s="1"/>
  <c r="N104" i="15" s="1" a="1"/>
  <c r="N104" i="15" s="1"/>
  <c r="M14" i="1"/>
  <c r="M14" i="15" s="1"/>
  <c r="N14" i="15" s="1" a="1"/>
  <c r="N14" i="15" s="1"/>
  <c r="M152" i="1"/>
  <c r="M152" i="15" s="1"/>
  <c r="N152" i="15" s="1" a="1"/>
  <c r="N152" i="15" s="1"/>
  <c r="M38" i="1"/>
  <c r="M38" i="15" s="1"/>
  <c r="N38" i="15" s="1" a="1"/>
  <c r="N38" i="15" s="1"/>
  <c r="M74" i="1"/>
  <c r="M74" i="15" s="1"/>
  <c r="N74" i="15" s="1" a="1"/>
  <c r="N74" i="15" s="1"/>
  <c r="M110" i="1"/>
  <c r="M110" i="15" s="1"/>
  <c r="N110" i="15" s="1" a="1"/>
  <c r="N110" i="15" s="1"/>
  <c r="M146" i="1"/>
  <c r="M146" i="15" s="1"/>
  <c r="N146" i="15" s="1" a="1"/>
  <c r="N146" i="15" s="1"/>
  <c r="M20" i="1"/>
  <c r="M20" i="15" s="1"/>
  <c r="N20" i="15" s="1" a="1"/>
  <c r="N20" i="15" s="1"/>
  <c r="M26" i="1"/>
  <c r="M26" i="15" s="1"/>
  <c r="N26" i="15" s="1" a="1"/>
  <c r="N26" i="15" s="1"/>
  <c r="M87" i="1"/>
  <c r="M87" i="15" s="1"/>
  <c r="N87" i="15" s="1" a="1"/>
  <c r="N87" i="15" s="1"/>
  <c r="M51" i="15"/>
  <c r="N51" i="15" s="1" a="1"/>
  <c r="N51" i="15" s="1"/>
  <c r="M15" i="1"/>
  <c r="M15" i="15" s="1"/>
  <c r="N15" i="15" s="1" a="1"/>
  <c r="N15" i="15" s="1"/>
  <c r="M70" i="1"/>
  <c r="M70" i="15" s="1"/>
  <c r="N70" i="15" s="1" a="1"/>
  <c r="N70" i="15" s="1"/>
  <c r="M25" i="1"/>
  <c r="M25" i="15" s="1"/>
  <c r="N25" i="15" s="1" a="1"/>
  <c r="N25" i="15" s="1"/>
  <c r="M151" i="1"/>
  <c r="M151" i="15" s="1"/>
  <c r="N151" i="15" s="1" a="1"/>
  <c r="N151" i="15" s="1"/>
  <c r="M115" i="1"/>
  <c r="M115" i="15" s="1"/>
  <c r="N115" i="15" s="1" a="1"/>
  <c r="N115" i="15" s="1"/>
  <c r="M73" i="1"/>
  <c r="M73" i="15" s="1"/>
  <c r="N73" i="15" s="1" a="1"/>
  <c r="N73" i="15" s="1"/>
  <c r="M37" i="1"/>
  <c r="M37" i="15" s="1"/>
  <c r="N37" i="15" s="1" a="1"/>
  <c r="N37" i="15" s="1"/>
  <c r="M12" i="1"/>
  <c r="M12" i="15" s="1"/>
  <c r="N12" i="15" s="1" a="1"/>
  <c r="N12" i="15" s="1"/>
  <c r="M138" i="1"/>
  <c r="M138" i="15" s="1"/>
  <c r="N138" i="15" s="1" a="1"/>
  <c r="N138" i="15" s="1"/>
  <c r="M54" i="1"/>
  <c r="M54" i="15" s="1"/>
  <c r="N54" i="15" s="1" a="1"/>
  <c r="N54" i="15" s="1"/>
  <c r="M23" i="1"/>
  <c r="M23" i="15" s="1"/>
  <c r="N23" i="15" s="1" a="1"/>
  <c r="N23" i="15" s="1"/>
  <c r="M149" i="1"/>
  <c r="M149" i="15" s="1"/>
  <c r="N149" i="15" s="1" a="1"/>
  <c r="N149" i="15" s="1"/>
  <c r="M77" i="1"/>
  <c r="M77" i="15" s="1"/>
  <c r="N77" i="15" s="1" a="1"/>
  <c r="N77" i="15" s="1"/>
  <c r="M41" i="1"/>
  <c r="M41" i="15" s="1"/>
  <c r="N41" i="15" s="1" a="1"/>
  <c r="N41" i="15" s="1"/>
  <c r="M148" i="1"/>
  <c r="M148" i="15" s="1"/>
  <c r="N148" i="15" s="1" a="1"/>
  <c r="N148" i="15" s="1"/>
  <c r="M21" i="1"/>
  <c r="M21" i="15" s="1"/>
  <c r="N21" i="15" s="1" a="1"/>
  <c r="N21" i="15" s="1"/>
  <c r="M135" i="1"/>
  <c r="M135" i="15" s="1"/>
  <c r="N135" i="15" s="1" a="1"/>
  <c r="N135" i="15" s="1"/>
  <c r="M75" i="1"/>
  <c r="M75" i="15" s="1"/>
  <c r="N75" i="15" s="1" a="1"/>
  <c r="N75" i="15" s="1"/>
  <c r="M81" i="1"/>
  <c r="M81" i="15" s="1"/>
  <c r="N81" i="15" s="1" a="1"/>
  <c r="N81" i="15" s="1"/>
  <c r="M45" i="1"/>
  <c r="M45" i="15" s="1"/>
  <c r="N45" i="15" s="1" a="1"/>
  <c r="N45" i="15" s="1"/>
  <c r="M9" i="1"/>
  <c r="M9" i="15" s="1"/>
  <c r="N9" i="15" s="1" a="1"/>
  <c r="N9" i="15" s="1"/>
  <c r="M100" i="1"/>
  <c r="M100" i="15" s="1"/>
  <c r="N100" i="15" s="1" a="1"/>
  <c r="N100" i="15" s="1"/>
  <c r="M52" i="1"/>
  <c r="M52" i="15" s="1"/>
  <c r="N52" i="15" s="1" a="1"/>
  <c r="N52" i="15" s="1"/>
  <c r="M19" i="1"/>
  <c r="M19" i="15" s="1"/>
  <c r="N19" i="15" s="1" a="1"/>
  <c r="N19" i="15" s="1"/>
  <c r="M145" i="1"/>
  <c r="M145" i="15" s="1"/>
  <c r="N145" i="15" s="1" a="1"/>
  <c r="N145" i="15" s="1"/>
  <c r="M109" i="1"/>
  <c r="M109" i="15" s="1"/>
  <c r="N109" i="15" s="1" a="1"/>
  <c r="N109" i="15" s="1"/>
  <c r="M67" i="1"/>
  <c r="M67" i="15" s="1"/>
  <c r="N67" i="15" s="1" a="1"/>
  <c r="N67" i="15" s="1"/>
  <c r="M6" i="1"/>
  <c r="M6" i="15" s="1"/>
  <c r="N6" i="15" s="1" a="1"/>
  <c r="N6" i="15" s="1"/>
  <c r="M132" i="1"/>
  <c r="M132" i="15" s="1"/>
  <c r="N132" i="15" s="1" a="1"/>
  <c r="N132" i="15" s="1"/>
  <c r="M84" i="1"/>
  <c r="M84" i="15" s="1"/>
  <c r="N84" i="15" s="1" a="1"/>
  <c r="N84" i="15" s="1"/>
  <c r="M48" i="15"/>
  <c r="N48" i="15" s="1" a="1"/>
  <c r="N48" i="15" s="1"/>
  <c r="M17" i="1"/>
  <c r="M17" i="15" s="1"/>
  <c r="N17" i="15" s="1" a="1"/>
  <c r="N17" i="15" s="1"/>
  <c r="M143" i="1"/>
  <c r="M143" i="15" s="1"/>
  <c r="N143" i="15" s="1" a="1"/>
  <c r="N143" i="15" s="1"/>
  <c r="M107" i="1"/>
  <c r="M107" i="15" s="1"/>
  <c r="N107" i="15" s="1" a="1"/>
  <c r="N107" i="15" s="1"/>
  <c r="M71" i="1"/>
  <c r="M71" i="15" s="1"/>
  <c r="N71" i="15" s="1" a="1"/>
  <c r="N71" i="15" s="1"/>
  <c r="M142" i="1"/>
  <c r="M142" i="15" s="1"/>
  <c r="N142" i="15" s="1" a="1"/>
  <c r="N142" i="15" s="1"/>
  <c r="M3" i="1"/>
  <c r="M3" i="15" s="1"/>
  <c r="N3" i="15" s="1" a="1"/>
  <c r="N3" i="15" s="1"/>
  <c r="M129" i="1"/>
  <c r="M129" i="15" s="1"/>
  <c r="N129" i="15" s="1" a="1"/>
  <c r="N129" i="15" s="1"/>
  <c r="M57" i="1"/>
  <c r="M57" i="15" s="1"/>
  <c r="N57" i="15" s="1" a="1"/>
  <c r="N57" i="15" s="1"/>
  <c r="M28" i="1"/>
  <c r="M28" i="15" s="1"/>
  <c r="N28" i="15" s="1" a="1"/>
  <c r="N28" i="15" s="1"/>
  <c r="M96" i="1"/>
  <c r="M96" i="15" s="1"/>
  <c r="N96" i="15" s="1" a="1"/>
  <c r="N96" i="15" s="1"/>
  <c r="M13" i="1"/>
  <c r="M13" i="15" s="1"/>
  <c r="N13" i="15" s="1" a="1"/>
  <c r="N13" i="15" s="1"/>
  <c r="M139" i="1"/>
  <c r="M139" i="15" s="1"/>
  <c r="N139" i="15" s="1" a="1"/>
  <c r="N139" i="15" s="1"/>
  <c r="M103" i="1"/>
  <c r="M103" i="15" s="1"/>
  <c r="N103" i="15" s="1" a="1"/>
  <c r="N103" i="15" s="1"/>
  <c r="M61" i="1"/>
  <c r="M61" i="15" s="1"/>
  <c r="N61" i="15" s="1" a="1"/>
  <c r="N61" i="15" s="1"/>
  <c r="M2" i="1"/>
  <c r="M2" i="15" s="1"/>
  <c r="N2" i="15" s="1" a="1"/>
  <c r="N2" i="15" s="1"/>
  <c r="M162" i="1"/>
  <c r="M162" i="15" s="1"/>
  <c r="N162" i="15" s="1" a="1"/>
  <c r="N162" i="15" s="1"/>
  <c r="M126" i="1"/>
  <c r="M126" i="15" s="1"/>
  <c r="N126" i="15" s="1" a="1"/>
  <c r="N126" i="15" s="1"/>
  <c r="M78" i="1"/>
  <c r="M78" i="15" s="1"/>
  <c r="N78" i="15" s="1" a="1"/>
  <c r="N78" i="15" s="1"/>
  <c r="M42" i="1"/>
  <c r="M42" i="15" s="1"/>
  <c r="N42" i="15" s="1" a="1"/>
  <c r="N42" i="15" s="1"/>
  <c r="M11" i="1"/>
  <c r="M11" i="15" s="1"/>
  <c r="N11" i="15" s="1" a="1"/>
  <c r="N11" i="15" s="1"/>
  <c r="M137" i="1"/>
  <c r="M137" i="15" s="1"/>
  <c r="N137" i="15" s="1" a="1"/>
  <c r="N137" i="15" s="1"/>
  <c r="M101" i="1"/>
  <c r="M101" i="15" s="1"/>
  <c r="N101" i="15" s="1" a="1"/>
  <c r="N101" i="15" s="1"/>
  <c r="M65" i="1"/>
  <c r="M65" i="15" s="1"/>
  <c r="N65" i="15" s="1" a="1"/>
  <c r="N65" i="15" s="1"/>
  <c r="M136" i="1"/>
  <c r="M136" i="15" s="1"/>
  <c r="N136" i="15" s="1" a="1"/>
  <c r="N136" i="15" s="1"/>
  <c r="M76" i="1"/>
  <c r="M76" i="15" s="1"/>
  <c r="N76" i="15" s="1" a="1"/>
  <c r="N76" i="15" s="1"/>
  <c r="M159" i="1"/>
  <c r="M159" i="15" s="1"/>
  <c r="N159" i="15" s="1" a="1"/>
  <c r="N159" i="15" s="1"/>
  <c r="M39" i="1"/>
  <c r="M39" i="15" s="1"/>
  <c r="N39" i="15" s="1" a="1"/>
  <c r="N39" i="15" s="1"/>
  <c r="M69" i="1"/>
  <c r="M69" i="15" s="1"/>
  <c r="N69" i="15" s="1" a="1"/>
  <c r="N69" i="15" s="1"/>
  <c r="M33" i="1"/>
  <c r="M33" i="15" s="1"/>
  <c r="N33" i="15" s="1" a="1"/>
  <c r="N33" i="15" s="1"/>
  <c r="M46" i="1"/>
  <c r="M46" i="15" s="1"/>
  <c r="N46" i="15" s="1" a="1"/>
  <c r="N46" i="15" s="1"/>
  <c r="M90" i="1"/>
  <c r="M90" i="15" s="1"/>
  <c r="N90" i="15" s="1" a="1"/>
  <c r="N90" i="15" s="1"/>
  <c r="M88" i="1"/>
  <c r="M88" i="15" s="1"/>
  <c r="N88" i="15" s="1" a="1"/>
  <c r="N88" i="15" s="1"/>
  <c r="M7" i="1"/>
  <c r="M7" i="15" s="1"/>
  <c r="N7" i="15" s="1" a="1"/>
  <c r="N7" i="15" s="1"/>
  <c r="M133" i="1"/>
  <c r="M133" i="15" s="1"/>
  <c r="N133" i="15" s="1" a="1"/>
  <c r="N133" i="15" s="1"/>
  <c r="M55" i="1"/>
  <c r="M55" i="15" s="1"/>
  <c r="N55" i="15" s="1" a="1"/>
  <c r="N55" i="15" s="1"/>
  <c r="M30" i="1"/>
  <c r="M30" i="15" s="1"/>
  <c r="N30" i="15" s="1" a="1"/>
  <c r="N30" i="15" s="1"/>
  <c r="M156" i="1"/>
  <c r="M156" i="15" s="1"/>
  <c r="N156" i="15" s="1" a="1"/>
  <c r="N156" i="15" s="1"/>
  <c r="M120" i="1"/>
  <c r="M120" i="15" s="1"/>
  <c r="N120" i="15" s="1" a="1"/>
  <c r="N120" i="15" s="1"/>
  <c r="M72" i="1"/>
  <c r="M72" i="15" s="1"/>
  <c r="N72" i="15" s="1" a="1"/>
  <c r="N72" i="15" s="1"/>
  <c r="M36" i="1"/>
  <c r="M36" i="15" s="1"/>
  <c r="N36" i="15" s="1" a="1"/>
  <c r="N36" i="15" s="1"/>
  <c r="M5" i="1"/>
  <c r="M5" i="15" s="1"/>
  <c r="N5" i="15" s="1" a="1"/>
  <c r="N5" i="15" s="1"/>
  <c r="M131" i="1"/>
  <c r="M131" i="15" s="1"/>
  <c r="N131" i="15" s="1" a="1"/>
  <c r="N131" i="15" s="1"/>
  <c r="M95" i="1"/>
  <c r="M95" i="15" s="1"/>
  <c r="N95" i="15" s="1" a="1"/>
  <c r="N95" i="15" s="1"/>
  <c r="M59" i="1"/>
  <c r="M59" i="15" s="1"/>
  <c r="N59" i="15" s="1" a="1"/>
  <c r="N59" i="15" s="1"/>
  <c r="M4" i="1"/>
  <c r="M4" i="15" s="1"/>
  <c r="N4" i="15" s="1" a="1"/>
  <c r="N4" i="15" s="1"/>
  <c r="M58" i="1"/>
  <c r="M58" i="15" s="1"/>
  <c r="N58" i="15" s="1" a="1"/>
  <c r="N58" i="15" s="1"/>
  <c r="M153" i="1"/>
  <c r="M153" i="15" s="1"/>
  <c r="N153" i="15" s="1" a="1"/>
  <c r="N153" i="15" s="1"/>
  <c r="M117" i="1"/>
  <c r="M117" i="15" s="1"/>
  <c r="N117" i="15" s="1" a="1"/>
  <c r="N117" i="15" s="1"/>
  <c r="M16" i="1"/>
  <c r="M16" i="15" s="1"/>
  <c r="N16" i="15" s="1" a="1"/>
  <c r="N16" i="15" s="1"/>
  <c r="M99" i="1"/>
  <c r="M99" i="15" s="1"/>
  <c r="N99" i="15" s="1" a="1"/>
  <c r="N99" i="15" s="1"/>
  <c r="M63" i="1"/>
  <c r="M63" i="15" s="1"/>
  <c r="N63" i="15" s="1" a="1"/>
  <c r="N63" i="15" s="1"/>
  <c r="M27" i="1"/>
  <c r="M27" i="15" s="1"/>
  <c r="N27" i="15" s="1" a="1"/>
  <c r="N27" i="15" s="1"/>
  <c r="M10" i="1"/>
  <c r="M10" i="15" s="1"/>
  <c r="N10" i="15" s="1" a="1"/>
  <c r="N10" i="15" s="1"/>
  <c r="M64" i="1"/>
  <c r="M64" i="15" s="1"/>
  <c r="N64" i="15" s="1" a="1"/>
  <c r="N64" i="15" s="1"/>
  <c r="M127" i="1"/>
  <c r="M127" i="15" s="1"/>
  <c r="N127" i="15" s="1" a="1"/>
  <c r="N127" i="15" s="1"/>
  <c r="M85" i="1"/>
  <c r="M85" i="15" s="1"/>
  <c r="N85" i="15" s="1" a="1"/>
  <c r="N85" i="15" s="1"/>
  <c r="M49" i="15"/>
  <c r="N49" i="15" s="1" a="1"/>
  <c r="N49" i="15" s="1"/>
  <c r="M24" i="1"/>
  <c r="M24" i="15" s="1"/>
  <c r="N24" i="15" s="1" a="1"/>
  <c r="N24" i="15" s="1"/>
  <c r="M150" i="1"/>
  <c r="M150" i="15" s="1"/>
  <c r="N150" i="15" s="1" a="1"/>
  <c r="N150" i="15" s="1"/>
  <c r="M114" i="1"/>
  <c r="M114" i="15" s="1"/>
  <c r="N114" i="15" s="1" a="1"/>
  <c r="N114" i="15" s="1"/>
  <c r="M66" i="1"/>
  <c r="M66" i="15" s="1"/>
  <c r="N66" i="15" s="1" a="1"/>
  <c r="N66" i="15" s="1"/>
  <c r="M35" i="1"/>
  <c r="M35" i="15" s="1"/>
  <c r="N35" i="15" s="1" a="1"/>
  <c r="N35" i="15" s="1"/>
  <c r="M161" i="1"/>
  <c r="M161" i="15" s="1"/>
  <c r="N161" i="15" s="1" a="1"/>
  <c r="N161" i="15" s="1"/>
  <c r="M125" i="1"/>
  <c r="M125" i="15" s="1"/>
  <c r="N125" i="15" s="1" a="1"/>
  <c r="N125" i="15" s="1"/>
  <c r="M89" i="1"/>
  <c r="M89" i="15" s="1"/>
  <c r="N89" i="15" s="1" a="1"/>
  <c r="N89" i="15" s="1"/>
  <c r="M53" i="1"/>
  <c r="M53" i="15" s="1"/>
  <c r="N53" i="15" s="1" a="1"/>
  <c r="N53" i="15" s="1"/>
  <c r="M124" i="1"/>
  <c r="M124" i="15" s="1"/>
  <c r="N124" i="15" s="1" a="1"/>
  <c r="N124" i="15" s="1"/>
  <c r="M40" i="1"/>
  <c r="M40" i="15" s="1"/>
  <c r="N40" i="15" s="1" a="1"/>
  <c r="N40" i="15" s="1"/>
  <c r="M147" i="1"/>
  <c r="M147" i="15" s="1"/>
  <c r="N147" i="15" s="1" a="1"/>
  <c r="N147" i="15" s="1"/>
  <c r="M111" i="1"/>
  <c r="M111" i="15" s="1"/>
  <c r="N111" i="15" s="1" a="1"/>
  <c r="N111" i="15" s="1"/>
  <c r="M82" i="1"/>
  <c r="M82" i="15" s="1"/>
  <c r="N82" i="15" s="1" a="1"/>
  <c r="N82" i="15" s="1"/>
  <c r="M97" i="1"/>
  <c r="M97" i="15" s="1"/>
  <c r="N97" i="15" s="1" a="1"/>
  <c r="N97" i="15" s="1"/>
  <c r="M94" i="1"/>
  <c r="M94" i="15" s="1"/>
  <c r="N94" i="15" s="1" a="1"/>
  <c r="N94" i="15" s="1"/>
  <c r="M34" i="1"/>
  <c r="M34" i="15" s="1"/>
  <c r="N34" i="15" s="1" a="1"/>
  <c r="N34" i="15" s="1"/>
  <c r="M31" i="1"/>
  <c r="M31" i="15" s="1"/>
  <c r="N31" i="15" s="1" a="1"/>
  <c r="N31" i="15" s="1"/>
  <c r="M121" i="1"/>
  <c r="M121" i="15" s="1"/>
  <c r="N121" i="15" s="1" a="1"/>
  <c r="N121" i="15" s="1"/>
  <c r="M79" i="1"/>
  <c r="M79" i="15" s="1"/>
  <c r="N79" i="15" s="1" a="1"/>
  <c r="N79" i="15" s="1"/>
  <c r="M43" i="1"/>
  <c r="M43" i="15" s="1"/>
  <c r="N43" i="15" s="1" a="1"/>
  <c r="N43" i="15" s="1"/>
  <c r="M18" i="1"/>
  <c r="M18" i="15" s="1"/>
  <c r="N18" i="15" s="1" a="1"/>
  <c r="N18" i="15" s="1"/>
  <c r="M144" i="1"/>
  <c r="M144" i="15" s="1"/>
  <c r="N144" i="15" s="1" a="1"/>
  <c r="N144" i="15" s="1"/>
  <c r="M108" i="1"/>
  <c r="M108" i="15" s="1"/>
  <c r="N108" i="15" s="1" a="1"/>
  <c r="N108" i="15" s="1"/>
  <c r="M60" i="1"/>
  <c r="M60" i="15" s="1"/>
  <c r="N60" i="15" s="1" a="1"/>
  <c r="N60" i="15" s="1"/>
  <c r="M29" i="1"/>
  <c r="M29" i="15" s="1"/>
  <c r="N29" i="15" s="1" a="1"/>
  <c r="N29" i="15" s="1"/>
  <c r="M155" i="1"/>
  <c r="M155" i="15" s="1"/>
  <c r="N155" i="15" s="1" a="1"/>
  <c r="N155" i="15" s="1"/>
  <c r="M119" i="1"/>
  <c r="M119" i="15" s="1"/>
  <c r="N119" i="15" s="1" a="1"/>
  <c r="N119" i="15" s="1"/>
  <c r="M83" i="1"/>
  <c r="M83" i="15" s="1"/>
  <c r="N83" i="15" s="1" a="1"/>
  <c r="N83" i="15" s="1"/>
  <c r="M47" i="1"/>
  <c r="M47" i="15" s="1"/>
  <c r="N47" i="15" s="1" a="1"/>
  <c r="N47" i="15" s="1"/>
  <c r="M154" i="1"/>
  <c r="M154" i="15" s="1"/>
  <c r="N154" i="15" s="1" a="1"/>
  <c r="N154" i="15" s="1"/>
  <c r="M118" i="1"/>
  <c r="M118" i="15" s="1"/>
  <c r="N118" i="15" s="1" a="1"/>
  <c r="N118" i="15" s="1"/>
  <c r="M105" i="1"/>
  <c r="M105" i="15" s="1"/>
  <c r="N105" i="15" s="1" a="1"/>
  <c r="N105" i="15" s="1"/>
  <c r="M22" i="1"/>
  <c r="M22" i="15" s="1"/>
  <c r="N22" i="15" s="1" a="1"/>
  <c r="N22" i="15" s="1"/>
  <c r="I108" i="4"/>
  <c r="I114" i="4"/>
  <c r="I119" i="4"/>
  <c r="I125" i="4"/>
  <c r="I131" i="4"/>
  <c r="J79" i="1" s="1" a="1"/>
  <c r="J79" i="1" s="1"/>
  <c r="I137" i="4"/>
  <c r="I143" i="4"/>
  <c r="I149" i="4"/>
  <c r="I155" i="4"/>
  <c r="I161" i="4"/>
  <c r="I167" i="4"/>
  <c r="I173" i="4"/>
  <c r="I179" i="4"/>
  <c r="I185" i="4"/>
  <c r="I191" i="4"/>
  <c r="I197" i="4"/>
  <c r="I203" i="4"/>
  <c r="I209" i="4"/>
  <c r="I215" i="4"/>
  <c r="I221" i="4"/>
  <c r="I227" i="4"/>
  <c r="I233" i="4"/>
  <c r="I239" i="4"/>
  <c r="I245" i="4"/>
  <c r="I251" i="4"/>
  <c r="I109" i="4"/>
  <c r="I111" i="4"/>
  <c r="I104" i="4"/>
  <c r="I115" i="4"/>
  <c r="I117" i="4"/>
  <c r="I120" i="4"/>
  <c r="J167" i="1" s="1" a="1"/>
  <c r="J167" i="1" s="1"/>
  <c r="I121" i="4"/>
  <c r="J59" i="1" s="1" a="1"/>
  <c r="J59" i="1" s="1"/>
  <c r="I123" i="4"/>
  <c r="I126" i="4"/>
  <c r="I127" i="4"/>
  <c r="J38" i="1" s="1" a="1"/>
  <c r="J38" i="1" s="1"/>
  <c r="I129" i="4"/>
  <c r="J37" i="1" s="1" a="1"/>
  <c r="J37" i="1" s="1"/>
  <c r="I132" i="4"/>
  <c r="I133" i="4"/>
  <c r="I135" i="4"/>
  <c r="I138" i="4"/>
  <c r="I139" i="4"/>
  <c r="I141" i="4"/>
  <c r="I144" i="4"/>
  <c r="I145" i="4"/>
  <c r="I147" i="4"/>
  <c r="I150" i="4"/>
  <c r="I151" i="4"/>
  <c r="I153" i="4"/>
  <c r="I156" i="4"/>
  <c r="I157" i="4"/>
  <c r="I159" i="4"/>
  <c r="I162" i="4"/>
  <c r="I163" i="4"/>
  <c r="I165" i="4"/>
  <c r="I168" i="4"/>
  <c r="I169" i="4"/>
  <c r="I171" i="4"/>
  <c r="I174" i="4"/>
  <c r="I175" i="4"/>
  <c r="I177" i="4"/>
  <c r="I180" i="4"/>
  <c r="I181" i="4"/>
  <c r="I183" i="4"/>
  <c r="I186" i="4"/>
  <c r="I187" i="4"/>
  <c r="I189" i="4"/>
  <c r="I192" i="4"/>
  <c r="I193" i="4"/>
  <c r="I195" i="4"/>
  <c r="I198" i="4"/>
  <c r="I199" i="4"/>
  <c r="I201" i="4"/>
  <c r="I204" i="4"/>
  <c r="I205" i="4"/>
  <c r="I207" i="4"/>
  <c r="I210" i="4"/>
  <c r="I211" i="4"/>
  <c r="I213" i="4"/>
  <c r="I216" i="4"/>
  <c r="I217" i="4"/>
  <c r="I219" i="4"/>
  <c r="I222" i="4"/>
  <c r="I223" i="4"/>
  <c r="I225" i="4"/>
  <c r="I228" i="4"/>
  <c r="I229" i="4"/>
  <c r="I231" i="4"/>
  <c r="I234" i="4"/>
  <c r="I235" i="4"/>
  <c r="I237" i="4"/>
  <c r="I240" i="4"/>
  <c r="I241" i="4"/>
  <c r="I243" i="4"/>
  <c r="I246" i="4"/>
  <c r="I247" i="4"/>
  <c r="I249" i="4"/>
  <c r="I252" i="4"/>
  <c r="I105" i="4"/>
  <c r="I112" i="4"/>
  <c r="I113" i="4"/>
  <c r="I116" i="4"/>
  <c r="I118" i="4"/>
  <c r="I122" i="4"/>
  <c r="I124" i="4"/>
  <c r="I128" i="4"/>
  <c r="J106" i="1" s="1" a="1"/>
  <c r="J106" i="1" s="1"/>
  <c r="I130" i="4"/>
  <c r="I134" i="4"/>
  <c r="I136" i="4"/>
  <c r="I140" i="4"/>
  <c r="J141" i="1" s="1" a="1"/>
  <c r="J141" i="1" s="1"/>
  <c r="I142" i="4"/>
  <c r="I146" i="4"/>
  <c r="I148" i="4"/>
  <c r="I152" i="4"/>
  <c r="I154" i="4"/>
  <c r="I158" i="4"/>
  <c r="I160" i="4"/>
  <c r="I164" i="4"/>
  <c r="I166" i="4"/>
  <c r="I170" i="4"/>
  <c r="I172" i="4"/>
  <c r="I176" i="4"/>
  <c r="I178" i="4"/>
  <c r="I182" i="4"/>
  <c r="I184" i="4"/>
  <c r="I188" i="4"/>
  <c r="I190" i="4"/>
  <c r="I194" i="4"/>
  <c r="I196" i="4"/>
  <c r="I200" i="4"/>
  <c r="I202" i="4"/>
  <c r="I206" i="4"/>
  <c r="I208" i="4"/>
  <c r="I212" i="4"/>
  <c r="I214" i="4"/>
  <c r="I218" i="4"/>
  <c r="I220" i="4"/>
  <c r="I224" i="4"/>
  <c r="I226" i="4"/>
  <c r="I230" i="4"/>
  <c r="I232" i="4"/>
  <c r="I236" i="4"/>
  <c r="I238" i="4"/>
  <c r="I242" i="4"/>
  <c r="I244" i="4"/>
  <c r="I248" i="4"/>
  <c r="I250" i="4"/>
  <c r="I107" i="4"/>
  <c r="I106" i="4"/>
  <c r="I110" i="4"/>
  <c r="B2" i="8"/>
  <c r="I87" i="8"/>
  <c r="I87" i="4" s="1"/>
  <c r="R71" i="15"/>
  <c r="R48" i="15"/>
  <c r="R85" i="15"/>
  <c r="R76" i="15"/>
  <c r="R31" i="15"/>
  <c r="R63" i="15"/>
  <c r="R68" i="15"/>
  <c r="R60" i="15"/>
  <c r="R18" i="15"/>
  <c r="I2" i="1" a="1"/>
  <c r="I2" i="1" s="1"/>
  <c r="R2" i="15"/>
  <c r="R52" i="15"/>
  <c r="R95" i="15"/>
  <c r="R19" i="15"/>
  <c r="R8" i="15"/>
  <c r="G11" i="1" a="1"/>
  <c r="G11" i="1" s="1"/>
  <c r="J11" i="15" s="1"/>
  <c r="R66" i="15"/>
  <c r="R98" i="15"/>
  <c r="R72" i="15"/>
  <c r="R92" i="15"/>
  <c r="R77" i="15"/>
  <c r="I8" i="1" a="1"/>
  <c r="I8" i="1" s="1"/>
  <c r="R22" i="15"/>
  <c r="R87" i="15"/>
  <c r="R89" i="15"/>
  <c r="R15" i="15"/>
  <c r="R29" i="15"/>
  <c r="R88" i="15"/>
  <c r="R51" i="15"/>
  <c r="R83" i="15"/>
  <c r="K3" i="1" a="1"/>
  <c r="K3" i="1" s="1"/>
  <c r="K6" i="1" a="1"/>
  <c r="K6" i="1" s="1"/>
  <c r="K9" i="1" a="1"/>
  <c r="K9" i="1" s="1"/>
  <c r="K12" i="1" a="1"/>
  <c r="K12" i="1" s="1"/>
  <c r="K15" i="1" a="1"/>
  <c r="K15" i="1" s="1"/>
  <c r="K18" i="1" a="1"/>
  <c r="K18" i="1" s="1"/>
  <c r="K21" i="1" a="1"/>
  <c r="K21" i="1" s="1"/>
  <c r="K24" i="1" a="1"/>
  <c r="K24" i="1" s="1"/>
  <c r="K27" i="1" a="1"/>
  <c r="K27" i="1" s="1"/>
  <c r="K30" i="1" a="1"/>
  <c r="K30" i="1" s="1"/>
  <c r="K36" i="1" a="1"/>
  <c r="K36" i="1" s="1"/>
  <c r="K5" i="1" a="1"/>
  <c r="K5" i="1" s="1"/>
  <c r="K11" i="1" a="1"/>
  <c r="K11" i="1" s="1"/>
  <c r="K14" i="1" a="1"/>
  <c r="K14" i="1" s="1"/>
  <c r="K17" i="1" a="1"/>
  <c r="K17" i="1" s="1"/>
  <c r="K20" i="1" a="1"/>
  <c r="K20" i="1" s="1"/>
  <c r="K23" i="1" a="1"/>
  <c r="K23" i="1" s="1"/>
  <c r="K26" i="1" a="1"/>
  <c r="K26" i="1" s="1"/>
  <c r="K29" i="1" a="1"/>
  <c r="K29" i="1" s="1"/>
  <c r="K32" i="1" a="1"/>
  <c r="K32" i="1" s="1"/>
  <c r="K35" i="1" a="1"/>
  <c r="K35" i="1" s="1"/>
  <c r="K38" i="1" a="1"/>
  <c r="K38" i="1" s="1"/>
  <c r="K40" i="1" a="1"/>
  <c r="K40" i="1" s="1"/>
  <c r="K43" i="1" a="1"/>
  <c r="K43" i="1" s="1"/>
  <c r="K46" i="1" a="1"/>
  <c r="K46" i="1" s="1"/>
  <c r="K49" i="1" a="1"/>
  <c r="K49" i="1" s="1"/>
  <c r="K10" i="1" a="1"/>
  <c r="K10" i="1" s="1"/>
  <c r="K19" i="1" a="1"/>
  <c r="K19" i="1" s="1"/>
  <c r="K28" i="1" a="1"/>
  <c r="K28" i="1" s="1"/>
  <c r="K37" i="1" a="1"/>
  <c r="K37" i="1" s="1"/>
  <c r="K16" i="1" a="1"/>
  <c r="K16" i="1" s="1"/>
  <c r="K25" i="1" a="1"/>
  <c r="K25" i="1" s="1"/>
  <c r="K34" i="1" a="1"/>
  <c r="K34" i="1" s="1"/>
  <c r="K39" i="1" a="1"/>
  <c r="K39" i="1" s="1"/>
  <c r="K42" i="1" a="1"/>
  <c r="K42" i="1" s="1"/>
  <c r="K45" i="1" a="1"/>
  <c r="K45" i="1" s="1"/>
  <c r="K48" i="1" a="1"/>
  <c r="K48" i="1" s="1"/>
  <c r="K51" i="1" a="1"/>
  <c r="K51" i="1" s="1"/>
  <c r="K54" i="1" a="1"/>
  <c r="K54" i="1" s="1"/>
  <c r="K60" i="1" a="1"/>
  <c r="K60" i="1" s="1"/>
  <c r="K63" i="1" a="1"/>
  <c r="K63" i="1" s="1"/>
  <c r="K66" i="1" a="1"/>
  <c r="K66" i="1" s="1"/>
  <c r="K69" i="1" a="1"/>
  <c r="K69" i="1" s="1"/>
  <c r="K72" i="1" a="1"/>
  <c r="K72" i="1" s="1"/>
  <c r="K75" i="1" a="1"/>
  <c r="K75" i="1" s="1"/>
  <c r="K78" i="1" a="1"/>
  <c r="K78" i="1" s="1"/>
  <c r="K13" i="1" a="1"/>
  <c r="K13" i="1" s="1"/>
  <c r="K55" i="1" a="1"/>
  <c r="K55" i="1" s="1"/>
  <c r="K61" i="1" a="1"/>
  <c r="K61" i="1" s="1"/>
  <c r="K67" i="1" a="1"/>
  <c r="K67" i="1" s="1"/>
  <c r="K73" i="1" a="1"/>
  <c r="K73" i="1" s="1"/>
  <c r="K79" i="1" a="1"/>
  <c r="K79" i="1" s="1"/>
  <c r="G4" i="1" a="1"/>
  <c r="G4" i="1" s="1"/>
  <c r="J4" i="15" s="1"/>
  <c r="G17" i="1" a="1"/>
  <c r="G17" i="1" s="1"/>
  <c r="J17" i="15" s="1"/>
  <c r="G23" i="1" a="1"/>
  <c r="G23" i="1" s="1"/>
  <c r="J23" i="15" s="1"/>
  <c r="G29" i="1" a="1"/>
  <c r="G29" i="1" s="1"/>
  <c r="J29" i="15" s="1"/>
  <c r="G35" i="1" a="1"/>
  <c r="G35" i="1" s="1"/>
  <c r="J35" i="15" s="1"/>
  <c r="G41" i="1" a="1"/>
  <c r="G41" i="1" s="1"/>
  <c r="J41" i="15" s="1"/>
  <c r="G47" i="1" a="1"/>
  <c r="G47" i="1" s="1"/>
  <c r="J47" i="15" s="1"/>
  <c r="G53" i="1" a="1"/>
  <c r="G53" i="1" s="1"/>
  <c r="J53" i="15" s="1"/>
  <c r="G59" i="1" a="1"/>
  <c r="G59" i="1" s="1"/>
  <c r="J59" i="15" s="1"/>
  <c r="G65" i="1" a="1"/>
  <c r="G65" i="1" s="1"/>
  <c r="J65" i="15" s="1"/>
  <c r="G71" i="1" a="1"/>
  <c r="G71" i="1" s="1"/>
  <c r="J71" i="15" s="1"/>
  <c r="G77" i="1" a="1"/>
  <c r="G77" i="1" s="1"/>
  <c r="J77" i="15" s="1"/>
  <c r="G83" i="1" a="1"/>
  <c r="G83" i="1" s="1"/>
  <c r="J83" i="15" s="1"/>
  <c r="G89" i="1" a="1"/>
  <c r="G89" i="1" s="1"/>
  <c r="J89" i="15" s="1"/>
  <c r="G95" i="1" a="1"/>
  <c r="G95" i="1" s="1"/>
  <c r="J95" i="15" s="1"/>
  <c r="G101" i="1" a="1"/>
  <c r="G101" i="1" s="1"/>
  <c r="J101" i="15" s="1"/>
  <c r="K41" i="1" a="1"/>
  <c r="K41" i="1" s="1"/>
  <c r="K50" i="1" a="1"/>
  <c r="K50" i="1" s="1"/>
  <c r="K56" i="1" a="1"/>
  <c r="K56" i="1" s="1"/>
  <c r="K62" i="1" a="1"/>
  <c r="K62" i="1" s="1"/>
  <c r="K68" i="1" a="1"/>
  <c r="K68" i="1" s="1"/>
  <c r="K74" i="1" a="1"/>
  <c r="K74" i="1" s="1"/>
  <c r="K80" i="1" a="1"/>
  <c r="K80" i="1" s="1"/>
  <c r="J40" i="1" a="1"/>
  <c r="J40" i="1" s="1"/>
  <c r="G12" i="1" a="1"/>
  <c r="G12" i="1" s="1"/>
  <c r="J12" i="15" s="1"/>
  <c r="G18" i="1" a="1"/>
  <c r="G18" i="1" s="1"/>
  <c r="J18" i="15" s="1"/>
  <c r="G24" i="1" a="1"/>
  <c r="G24" i="1" s="1"/>
  <c r="J24" i="15" s="1"/>
  <c r="G30" i="1" a="1"/>
  <c r="G30" i="1" s="1"/>
  <c r="J30" i="15" s="1"/>
  <c r="G36" i="1" a="1"/>
  <c r="G36" i="1" s="1"/>
  <c r="J36" i="15" s="1"/>
  <c r="G42" i="1" a="1"/>
  <c r="G42" i="1" s="1"/>
  <c r="J42" i="15" s="1"/>
  <c r="G48" i="1" a="1"/>
  <c r="G48" i="1" s="1"/>
  <c r="J48" i="15" s="1"/>
  <c r="G54" i="1" a="1"/>
  <c r="G54" i="1" s="1"/>
  <c r="J54" i="15" s="1"/>
  <c r="G60" i="1" a="1"/>
  <c r="G60" i="1" s="1"/>
  <c r="J60" i="15" s="1"/>
  <c r="G66" i="1" a="1"/>
  <c r="G66" i="1" s="1"/>
  <c r="J66" i="15" s="1"/>
  <c r="G72" i="1" a="1"/>
  <c r="G72" i="1" s="1"/>
  <c r="J72" i="15" s="1"/>
  <c r="G78" i="1" a="1"/>
  <c r="G78" i="1" s="1"/>
  <c r="J78" i="15" s="1"/>
  <c r="G84" i="1" a="1"/>
  <c r="G84" i="1" s="1"/>
  <c r="J84" i="15" s="1"/>
  <c r="G90" i="1" a="1"/>
  <c r="G90" i="1" s="1"/>
  <c r="J90" i="15" s="1"/>
  <c r="G96" i="1" a="1"/>
  <c r="G96" i="1" s="1"/>
  <c r="J96" i="15" s="1"/>
  <c r="K31" i="1" a="1"/>
  <c r="K31" i="1" s="1"/>
  <c r="J27" i="1" a="1"/>
  <c r="J27" i="1" s="1"/>
  <c r="G13" i="1" a="1"/>
  <c r="G13" i="1" s="1"/>
  <c r="J13" i="15" s="1"/>
  <c r="K44" i="1" a="1"/>
  <c r="K44" i="1" s="1"/>
  <c r="K52" i="1" a="1"/>
  <c r="K52" i="1" s="1"/>
  <c r="K58" i="1" a="1"/>
  <c r="K58" i="1" s="1"/>
  <c r="K64" i="1" a="1"/>
  <c r="K64" i="1" s="1"/>
  <c r="K70" i="1" a="1"/>
  <c r="K70" i="1" s="1"/>
  <c r="K76" i="1" a="1"/>
  <c r="K76" i="1" s="1"/>
  <c r="G14" i="1" a="1"/>
  <c r="G14" i="1" s="1"/>
  <c r="J14" i="15" s="1"/>
  <c r="G20" i="1" a="1"/>
  <c r="G20" i="1" s="1"/>
  <c r="J20" i="15" s="1"/>
  <c r="G26" i="1" a="1"/>
  <c r="G26" i="1" s="1"/>
  <c r="J26" i="15" s="1"/>
  <c r="G32" i="1" a="1"/>
  <c r="G32" i="1" s="1"/>
  <c r="J32" i="15" s="1"/>
  <c r="G38" i="1" a="1"/>
  <c r="G38" i="1" s="1"/>
  <c r="J38" i="15" s="1"/>
  <c r="G44" i="1" a="1"/>
  <c r="G44" i="1" s="1"/>
  <c r="J44" i="15" s="1"/>
  <c r="G50" i="1" a="1"/>
  <c r="G50" i="1" s="1"/>
  <c r="J50" i="15" s="1"/>
  <c r="G56" i="1" a="1"/>
  <c r="G56" i="1" s="1"/>
  <c r="J56" i="15" s="1"/>
  <c r="G62" i="1" a="1"/>
  <c r="G62" i="1" s="1"/>
  <c r="J62" i="15" s="1"/>
  <c r="G68" i="1" a="1"/>
  <c r="G68" i="1" s="1"/>
  <c r="J68" i="15" s="1"/>
  <c r="G74" i="1" a="1"/>
  <c r="G74" i="1" s="1"/>
  <c r="J74" i="15" s="1"/>
  <c r="G80" i="1" a="1"/>
  <c r="G80" i="1" s="1"/>
  <c r="J80" i="15" s="1"/>
  <c r="K53" i="1" a="1"/>
  <c r="K53" i="1" s="1"/>
  <c r="K59" i="1" a="1"/>
  <c r="K59" i="1" s="1"/>
  <c r="K65" i="1" a="1"/>
  <c r="K65" i="1" s="1"/>
  <c r="K71" i="1" a="1"/>
  <c r="K71" i="1" s="1"/>
  <c r="K77" i="1" a="1"/>
  <c r="K77" i="1" s="1"/>
  <c r="G15" i="1" a="1"/>
  <c r="G15" i="1" s="1"/>
  <c r="J15" i="15" s="1"/>
  <c r="G21" i="1" a="1"/>
  <c r="G21" i="1" s="1"/>
  <c r="J21" i="15" s="1"/>
  <c r="G27" i="1" a="1"/>
  <c r="G27" i="1" s="1"/>
  <c r="J27" i="15" s="1"/>
  <c r="G33" i="1" a="1"/>
  <c r="G33" i="1" s="1"/>
  <c r="J33" i="15" s="1"/>
  <c r="G39" i="1" a="1"/>
  <c r="G39" i="1" s="1"/>
  <c r="J39" i="15" s="1"/>
  <c r="G45" i="1" a="1"/>
  <c r="G45" i="1" s="1"/>
  <c r="J45" i="15" s="1"/>
  <c r="G51" i="1" a="1"/>
  <c r="G51" i="1" s="1"/>
  <c r="J51" i="15" s="1"/>
  <c r="G57" i="1" a="1"/>
  <c r="G57" i="1" s="1"/>
  <c r="J57" i="15" s="1"/>
  <c r="G63" i="1" a="1"/>
  <c r="G63" i="1" s="1"/>
  <c r="J63" i="15" s="1"/>
  <c r="G69" i="1" a="1"/>
  <c r="G69" i="1" s="1"/>
  <c r="J69" i="15" s="1"/>
  <c r="G75" i="1" a="1"/>
  <c r="G75" i="1" s="1"/>
  <c r="J75" i="15" s="1"/>
  <c r="G81" i="1" a="1"/>
  <c r="G81" i="1" s="1"/>
  <c r="J81" i="15" s="1"/>
  <c r="G87" i="1" a="1"/>
  <c r="G87" i="1" s="1"/>
  <c r="J87" i="15" s="1"/>
  <c r="G93" i="1" a="1"/>
  <c r="G93" i="1" s="1"/>
  <c r="J93" i="15" s="1"/>
  <c r="G99" i="1" a="1"/>
  <c r="G99" i="1" s="1"/>
  <c r="J99" i="15" s="1"/>
  <c r="G105" i="1" a="1"/>
  <c r="G105" i="1" s="1"/>
  <c r="J105" i="15" s="1"/>
  <c r="G111" i="1" a="1"/>
  <c r="G111" i="1" s="1"/>
  <c r="J111" i="15" s="1"/>
  <c r="G117" i="1" a="1"/>
  <c r="G117" i="1" s="1"/>
  <c r="J117" i="15" s="1"/>
  <c r="G123" i="1" a="1"/>
  <c r="G123" i="1" s="1"/>
  <c r="J123" i="15" s="1"/>
  <c r="G129" i="1" a="1"/>
  <c r="G129" i="1" s="1"/>
  <c r="J129" i="15" s="1"/>
  <c r="G135" i="1" a="1"/>
  <c r="G135" i="1" s="1"/>
  <c r="J135" i="15" s="1"/>
  <c r="G141" i="1" a="1"/>
  <c r="G141" i="1" s="1"/>
  <c r="J141" i="15" s="1"/>
  <c r="G147" i="1" a="1"/>
  <c r="G147" i="1" s="1"/>
  <c r="J147" i="15" s="1"/>
  <c r="G153" i="1" a="1"/>
  <c r="G153" i="1" s="1"/>
  <c r="J153" i="15" s="1"/>
  <c r="G159" i="1" a="1"/>
  <c r="G159" i="1" s="1"/>
  <c r="J159" i="15" s="1"/>
  <c r="G16" i="1" a="1"/>
  <c r="G16" i="1" s="1"/>
  <c r="J16" i="15" s="1"/>
  <c r="G34" i="1" a="1"/>
  <c r="G34" i="1" s="1"/>
  <c r="J34" i="15" s="1"/>
  <c r="G52" i="1" a="1"/>
  <c r="G52" i="1" s="1"/>
  <c r="J52" i="15" s="1"/>
  <c r="G70" i="1" a="1"/>
  <c r="G70" i="1" s="1"/>
  <c r="J70" i="15" s="1"/>
  <c r="G86" i="1" a="1"/>
  <c r="G86" i="1" s="1"/>
  <c r="J86" i="15" s="1"/>
  <c r="G98" i="1" a="1"/>
  <c r="G98" i="1" s="1"/>
  <c r="J98" i="15" s="1"/>
  <c r="G107" i="1" a="1"/>
  <c r="G107" i="1" s="1"/>
  <c r="J107" i="15" s="1"/>
  <c r="G114" i="1" a="1"/>
  <c r="G114" i="1" s="1"/>
  <c r="J114" i="15" s="1"/>
  <c r="G121" i="1" a="1"/>
  <c r="G121" i="1" s="1"/>
  <c r="J121" i="15" s="1"/>
  <c r="G128" i="1" a="1"/>
  <c r="G128" i="1" s="1"/>
  <c r="J128" i="15" s="1"/>
  <c r="G136" i="1" a="1"/>
  <c r="G136" i="1" s="1"/>
  <c r="J136" i="15" s="1"/>
  <c r="G143" i="1" a="1"/>
  <c r="G143" i="1" s="1"/>
  <c r="J143" i="15" s="1"/>
  <c r="G150" i="1" a="1"/>
  <c r="G150" i="1" s="1"/>
  <c r="J150" i="15" s="1"/>
  <c r="G157" i="1" a="1"/>
  <c r="G157" i="1" s="1"/>
  <c r="J157" i="15" s="1"/>
  <c r="F8" i="1" a="1"/>
  <c r="F8" i="1" s="1"/>
  <c r="F14" i="1" a="1"/>
  <c r="F14" i="1" s="1"/>
  <c r="F20" i="1" a="1"/>
  <c r="F20" i="1" s="1"/>
  <c r="F26" i="1" a="1"/>
  <c r="F26" i="1" s="1"/>
  <c r="F32" i="1" a="1"/>
  <c r="F32" i="1" s="1"/>
  <c r="F38" i="1" a="1"/>
  <c r="F38" i="1" s="1"/>
  <c r="F44" i="1" a="1"/>
  <c r="F44" i="1" s="1"/>
  <c r="F50" i="1" a="1"/>
  <c r="F50" i="1" s="1"/>
  <c r="F56" i="1" a="1"/>
  <c r="F56" i="1" s="1"/>
  <c r="F62" i="1" a="1"/>
  <c r="F62" i="1" s="1"/>
  <c r="F68" i="1" a="1"/>
  <c r="F68" i="1" s="1"/>
  <c r="F74" i="1" a="1"/>
  <c r="F74" i="1" s="1"/>
  <c r="F80" i="1" a="1"/>
  <c r="F80" i="1" s="1"/>
  <c r="F86" i="1" a="1"/>
  <c r="F86" i="1" s="1"/>
  <c r="F92" i="1" a="1"/>
  <c r="F92" i="1" s="1"/>
  <c r="F98" i="1" a="1"/>
  <c r="F98" i="1" s="1"/>
  <c r="F104" i="1" a="1"/>
  <c r="F104" i="1" s="1"/>
  <c r="F110" i="1" a="1"/>
  <c r="F110" i="1" s="1"/>
  <c r="F116" i="1" a="1"/>
  <c r="F116" i="1" s="1"/>
  <c r="F122" i="1" a="1"/>
  <c r="F122" i="1" s="1"/>
  <c r="F128" i="1" a="1"/>
  <c r="F128" i="1" s="1"/>
  <c r="F134" i="1" a="1"/>
  <c r="F134" i="1" s="1"/>
  <c r="F140" i="1" a="1"/>
  <c r="F140" i="1" s="1"/>
  <c r="F146" i="1" a="1"/>
  <c r="F146" i="1" s="1"/>
  <c r="F152" i="1" a="1"/>
  <c r="F152" i="1" s="1"/>
  <c r="F158" i="1" a="1"/>
  <c r="F158" i="1" s="1"/>
  <c r="R47" i="15"/>
  <c r="R56" i="15"/>
  <c r="R84" i="15"/>
  <c r="R108" i="15"/>
  <c r="R113" i="15"/>
  <c r="R117" i="15"/>
  <c r="R123" i="15"/>
  <c r="R127" i="15"/>
  <c r="R132" i="15"/>
  <c r="R146" i="15"/>
  <c r="R150" i="15"/>
  <c r="K47" i="1" a="1"/>
  <c r="K47" i="1" s="1"/>
  <c r="G19" i="1" a="1"/>
  <c r="G19" i="1" s="1"/>
  <c r="J19" i="15" s="1"/>
  <c r="G37" i="1" a="1"/>
  <c r="G37" i="1" s="1"/>
  <c r="J37" i="15" s="1"/>
  <c r="G55" i="1" a="1"/>
  <c r="G55" i="1" s="1"/>
  <c r="J55" i="15" s="1"/>
  <c r="G73" i="1" a="1"/>
  <c r="G73" i="1" s="1"/>
  <c r="J73" i="15" s="1"/>
  <c r="G88" i="1" a="1"/>
  <c r="G88" i="1" s="1"/>
  <c r="J88" i="15" s="1"/>
  <c r="G100" i="1" a="1"/>
  <c r="G100" i="1" s="1"/>
  <c r="J100" i="15" s="1"/>
  <c r="G108" i="1" a="1"/>
  <c r="G108" i="1" s="1"/>
  <c r="J108" i="15" s="1"/>
  <c r="G115" i="1" a="1"/>
  <c r="G115" i="1" s="1"/>
  <c r="J115" i="15" s="1"/>
  <c r="G122" i="1" a="1"/>
  <c r="G122" i="1" s="1"/>
  <c r="J122" i="15" s="1"/>
  <c r="G130" i="1" a="1"/>
  <c r="G130" i="1" s="1"/>
  <c r="J130" i="15" s="1"/>
  <c r="G137" i="1" a="1"/>
  <c r="G137" i="1" s="1"/>
  <c r="J137" i="15" s="1"/>
  <c r="G144" i="1" a="1"/>
  <c r="G144" i="1" s="1"/>
  <c r="J144" i="15" s="1"/>
  <c r="G151" i="1" a="1"/>
  <c r="G151" i="1" s="1"/>
  <c r="J151" i="15" s="1"/>
  <c r="G158" i="1" a="1"/>
  <c r="G158" i="1" s="1"/>
  <c r="J158" i="15" s="1"/>
  <c r="F3" i="1" a="1"/>
  <c r="F3" i="1" s="1"/>
  <c r="F9" i="1" a="1"/>
  <c r="F9" i="1" s="1"/>
  <c r="F15" i="1" a="1"/>
  <c r="F15" i="1" s="1"/>
  <c r="F21" i="1" a="1"/>
  <c r="F21" i="1" s="1"/>
  <c r="F27" i="1" a="1"/>
  <c r="F27" i="1" s="1"/>
  <c r="F33" i="1" a="1"/>
  <c r="F33" i="1" s="1"/>
  <c r="F39" i="1" a="1"/>
  <c r="F39" i="1" s="1"/>
  <c r="F45" i="1" a="1"/>
  <c r="F45" i="1" s="1"/>
  <c r="F51" i="1" a="1"/>
  <c r="F51" i="1" s="1"/>
  <c r="F57" i="1" a="1"/>
  <c r="F57" i="1" s="1"/>
  <c r="F63" i="1" a="1"/>
  <c r="F63" i="1" s="1"/>
  <c r="F69" i="1" a="1"/>
  <c r="F69" i="1" s="1"/>
  <c r="F75" i="1" a="1"/>
  <c r="F75" i="1" s="1"/>
  <c r="F81" i="1" a="1"/>
  <c r="F81" i="1" s="1"/>
  <c r="F87" i="1" a="1"/>
  <c r="F87" i="1" s="1"/>
  <c r="F93" i="1" a="1"/>
  <c r="F93" i="1" s="1"/>
  <c r="F99" i="1" a="1"/>
  <c r="F99" i="1" s="1"/>
  <c r="F105" i="1" a="1"/>
  <c r="F105" i="1" s="1"/>
  <c r="F111" i="1" a="1"/>
  <c r="F111" i="1" s="1"/>
  <c r="F117" i="1" a="1"/>
  <c r="F117" i="1" s="1"/>
  <c r="F123" i="1" a="1"/>
  <c r="F123" i="1" s="1"/>
  <c r="F129" i="1" a="1"/>
  <c r="F129" i="1" s="1"/>
  <c r="F135" i="1" a="1"/>
  <c r="F135" i="1" s="1"/>
  <c r="F141" i="1" a="1"/>
  <c r="F141" i="1" s="1"/>
  <c r="F147" i="1" a="1"/>
  <c r="F147" i="1" s="1"/>
  <c r="F153" i="1" a="1"/>
  <c r="F153" i="1" s="1"/>
  <c r="F159" i="1" a="1"/>
  <c r="F159" i="1" s="1"/>
  <c r="F2" i="1" a="1"/>
  <c r="F2" i="1" s="1"/>
  <c r="R3" i="15"/>
  <c r="R49" i="15"/>
  <c r="R64" i="15"/>
  <c r="R94" i="15"/>
  <c r="R109" i="15"/>
  <c r="R114" i="15"/>
  <c r="R118" i="15"/>
  <c r="R128" i="15"/>
  <c r="R133" i="15"/>
  <c r="R137" i="15"/>
  <c r="R142" i="15"/>
  <c r="R147" i="15"/>
  <c r="R151" i="15"/>
  <c r="R155" i="15"/>
  <c r="R160" i="15"/>
  <c r="K2" i="1" a="1"/>
  <c r="K2" i="1" s="1"/>
  <c r="G22" i="1" a="1"/>
  <c r="G22" i="1" s="1"/>
  <c r="J22" i="15" s="1"/>
  <c r="G40" i="1" a="1"/>
  <c r="G40" i="1" s="1"/>
  <c r="J40" i="15" s="1"/>
  <c r="G58" i="1" a="1"/>
  <c r="G58" i="1" s="1"/>
  <c r="J58" i="15" s="1"/>
  <c r="G76" i="1" a="1"/>
  <c r="G76" i="1" s="1"/>
  <c r="J76" i="15" s="1"/>
  <c r="G91" i="1" a="1"/>
  <c r="G91" i="1" s="1"/>
  <c r="J91" i="15" s="1"/>
  <c r="G102" i="1" a="1"/>
  <c r="G102" i="1" s="1"/>
  <c r="J102" i="15" s="1"/>
  <c r="G109" i="1" a="1"/>
  <c r="G109" i="1" s="1"/>
  <c r="J109" i="15" s="1"/>
  <c r="G116" i="1" a="1"/>
  <c r="G116" i="1" s="1"/>
  <c r="J116" i="15" s="1"/>
  <c r="G124" i="1" a="1"/>
  <c r="G124" i="1" s="1"/>
  <c r="J124" i="15" s="1"/>
  <c r="G131" i="1" a="1"/>
  <c r="G131" i="1" s="1"/>
  <c r="J131" i="15" s="1"/>
  <c r="G138" i="1" a="1"/>
  <c r="G138" i="1" s="1"/>
  <c r="J138" i="15" s="1"/>
  <c r="G145" i="1" a="1"/>
  <c r="G145" i="1" s="1"/>
  <c r="J145" i="15" s="1"/>
  <c r="G152" i="1" a="1"/>
  <c r="G152" i="1" s="1"/>
  <c r="J152" i="15" s="1"/>
  <c r="G160" i="1" a="1"/>
  <c r="G160" i="1" s="1"/>
  <c r="J160" i="15" s="1"/>
  <c r="G25" i="1" a="1"/>
  <c r="G25" i="1" s="1"/>
  <c r="J25" i="15" s="1"/>
  <c r="G43" i="1" a="1"/>
  <c r="G43" i="1" s="1"/>
  <c r="J43" i="15" s="1"/>
  <c r="G61" i="1" a="1"/>
  <c r="G61" i="1" s="1"/>
  <c r="J61" i="15" s="1"/>
  <c r="G79" i="1" a="1"/>
  <c r="G79" i="1" s="1"/>
  <c r="J79" i="15" s="1"/>
  <c r="G92" i="1" a="1"/>
  <c r="G92" i="1" s="1"/>
  <c r="J92" i="15" s="1"/>
  <c r="G103" i="1" a="1"/>
  <c r="G103" i="1" s="1"/>
  <c r="J103" i="15" s="1"/>
  <c r="G110" i="1" a="1"/>
  <c r="G110" i="1" s="1"/>
  <c r="J110" i="15" s="1"/>
  <c r="G118" i="1" a="1"/>
  <c r="G118" i="1" s="1"/>
  <c r="J118" i="15" s="1"/>
  <c r="G125" i="1" a="1"/>
  <c r="G125" i="1" s="1"/>
  <c r="J125" i="15" s="1"/>
  <c r="G132" i="1" a="1"/>
  <c r="G132" i="1" s="1"/>
  <c r="J132" i="15" s="1"/>
  <c r="G139" i="1" a="1"/>
  <c r="G139" i="1" s="1"/>
  <c r="J139" i="15" s="1"/>
  <c r="G146" i="1" a="1"/>
  <c r="G146" i="1" s="1"/>
  <c r="J146" i="15" s="1"/>
  <c r="G154" i="1" a="1"/>
  <c r="G154" i="1" s="1"/>
  <c r="J154" i="15" s="1"/>
  <c r="G161" i="1" a="1"/>
  <c r="G161" i="1" s="1"/>
  <c r="J161" i="15" s="1"/>
  <c r="F5" i="1" a="1"/>
  <c r="F5" i="1" s="1"/>
  <c r="F11" i="1" a="1"/>
  <c r="F11" i="1" s="1"/>
  <c r="F17" i="1" a="1"/>
  <c r="F17" i="1" s="1"/>
  <c r="F23" i="1" a="1"/>
  <c r="F23" i="1" s="1"/>
  <c r="F29" i="1" a="1"/>
  <c r="F29" i="1" s="1"/>
  <c r="F35" i="1" a="1"/>
  <c r="F35" i="1" s="1"/>
  <c r="F41" i="1" a="1"/>
  <c r="F41" i="1" s="1"/>
  <c r="F47" i="1" a="1"/>
  <c r="F47" i="1" s="1"/>
  <c r="F53" i="1" a="1"/>
  <c r="F53" i="1" s="1"/>
  <c r="F59" i="1" a="1"/>
  <c r="F59" i="1" s="1"/>
  <c r="F65" i="1" a="1"/>
  <c r="F65" i="1" s="1"/>
  <c r="F71" i="1" a="1"/>
  <c r="F71" i="1" s="1"/>
  <c r="F77" i="1" a="1"/>
  <c r="F77" i="1" s="1"/>
  <c r="F83" i="1" a="1"/>
  <c r="F83" i="1" s="1"/>
  <c r="F89" i="1" a="1"/>
  <c r="F89" i="1" s="1"/>
  <c r="F95" i="1" a="1"/>
  <c r="F95" i="1" s="1"/>
  <c r="F101" i="1" a="1"/>
  <c r="F101" i="1" s="1"/>
  <c r="F107" i="1" a="1"/>
  <c r="F107" i="1" s="1"/>
  <c r="F113" i="1" a="1"/>
  <c r="F113" i="1" s="1"/>
  <c r="F119" i="1" a="1"/>
  <c r="F119" i="1" s="1"/>
  <c r="F125" i="1" a="1"/>
  <c r="F125" i="1" s="1"/>
  <c r="F131" i="1" a="1"/>
  <c r="F131" i="1" s="1"/>
  <c r="F137" i="1" a="1"/>
  <c r="F137" i="1" s="1"/>
  <c r="F143" i="1" a="1"/>
  <c r="F143" i="1" s="1"/>
  <c r="F149" i="1" a="1"/>
  <c r="F149" i="1" s="1"/>
  <c r="F155" i="1" a="1"/>
  <c r="F155" i="1" s="1"/>
  <c r="F161" i="1" a="1"/>
  <c r="F161" i="1" s="1"/>
  <c r="R12" i="15"/>
  <c r="R54" i="15"/>
  <c r="R75" i="15"/>
  <c r="R106" i="15"/>
  <c r="R110" i="15"/>
  <c r="R115" i="15"/>
  <c r="R120" i="15"/>
  <c r="R130" i="15"/>
  <c r="R135" i="15"/>
  <c r="R139" i="15"/>
  <c r="R143" i="15"/>
  <c r="R148" i="15"/>
  <c r="R153" i="15"/>
  <c r="R157" i="15"/>
  <c r="R161" i="15"/>
  <c r="C6" i="1" a="1"/>
  <c r="C6" i="1" s="1"/>
  <c r="E6" i="15" s="1"/>
  <c r="G28" i="1" a="1"/>
  <c r="G28" i="1" s="1"/>
  <c r="J28" i="15" s="1"/>
  <c r="G46" i="1" a="1"/>
  <c r="G46" i="1" s="1"/>
  <c r="J46" i="15" s="1"/>
  <c r="G64" i="1" a="1"/>
  <c r="G64" i="1" s="1"/>
  <c r="J64" i="15" s="1"/>
  <c r="G82" i="1" a="1"/>
  <c r="G82" i="1" s="1"/>
  <c r="J82" i="15" s="1"/>
  <c r="G94" i="1" a="1"/>
  <c r="G94" i="1" s="1"/>
  <c r="J94" i="15" s="1"/>
  <c r="G104" i="1" a="1"/>
  <c r="G104" i="1" s="1"/>
  <c r="J104" i="15" s="1"/>
  <c r="G112" i="1" a="1"/>
  <c r="G112" i="1" s="1"/>
  <c r="J112" i="15" s="1"/>
  <c r="G119" i="1" a="1"/>
  <c r="G119" i="1" s="1"/>
  <c r="J119" i="15" s="1"/>
  <c r="G126" i="1" a="1"/>
  <c r="G126" i="1" s="1"/>
  <c r="J126" i="15" s="1"/>
  <c r="G133" i="1" a="1"/>
  <c r="G133" i="1" s="1"/>
  <c r="J133" i="15" s="1"/>
  <c r="G140" i="1" a="1"/>
  <c r="G140" i="1" s="1"/>
  <c r="J140" i="15" s="1"/>
  <c r="G148" i="1" a="1"/>
  <c r="G148" i="1" s="1"/>
  <c r="J148" i="15" s="1"/>
  <c r="G155" i="1" a="1"/>
  <c r="G155" i="1" s="1"/>
  <c r="J155" i="15" s="1"/>
  <c r="G162" i="1" a="1"/>
  <c r="G162" i="1" s="1"/>
  <c r="J162" i="15" s="1"/>
  <c r="F6" i="1" a="1"/>
  <c r="F6" i="1" s="1"/>
  <c r="F12" i="1" a="1"/>
  <c r="F12" i="1" s="1"/>
  <c r="F18" i="1" a="1"/>
  <c r="F18" i="1" s="1"/>
  <c r="F24" i="1" a="1"/>
  <c r="F24" i="1" s="1"/>
  <c r="F30" i="1" a="1"/>
  <c r="F30" i="1" s="1"/>
  <c r="F36" i="1" a="1"/>
  <c r="F36" i="1" s="1"/>
  <c r="F42" i="1" a="1"/>
  <c r="F42" i="1" s="1"/>
  <c r="F48" i="1" a="1"/>
  <c r="F48" i="1" s="1"/>
  <c r="F54" i="1" a="1"/>
  <c r="F54" i="1" s="1"/>
  <c r="F60" i="1" a="1"/>
  <c r="F60" i="1" s="1"/>
  <c r="F66" i="1" a="1"/>
  <c r="F66" i="1" s="1"/>
  <c r="F72" i="1" a="1"/>
  <c r="F72" i="1" s="1"/>
  <c r="F78" i="1" a="1"/>
  <c r="F78" i="1" s="1"/>
  <c r="F84" i="1" a="1"/>
  <c r="F84" i="1" s="1"/>
  <c r="F90" i="1" a="1"/>
  <c r="F90" i="1" s="1"/>
  <c r="F96" i="1" a="1"/>
  <c r="F96" i="1" s="1"/>
  <c r="F102" i="1" a="1"/>
  <c r="F102" i="1" s="1"/>
  <c r="F108" i="1" a="1"/>
  <c r="F108" i="1" s="1"/>
  <c r="F114" i="1" a="1"/>
  <c r="F114" i="1" s="1"/>
  <c r="F120" i="1" a="1"/>
  <c r="F120" i="1" s="1"/>
  <c r="F126" i="1" a="1"/>
  <c r="F126" i="1" s="1"/>
  <c r="F132" i="1" a="1"/>
  <c r="F132" i="1" s="1"/>
  <c r="F138" i="1" a="1"/>
  <c r="F138" i="1" s="1"/>
  <c r="F144" i="1" a="1"/>
  <c r="F144" i="1" s="1"/>
  <c r="F150" i="1" a="1"/>
  <c r="F150" i="1" s="1"/>
  <c r="F156" i="1" a="1"/>
  <c r="F156" i="1" s="1"/>
  <c r="F162" i="1" a="1"/>
  <c r="F162" i="1" s="1"/>
  <c r="R30" i="15"/>
  <c r="R55" i="15"/>
  <c r="R80" i="15"/>
  <c r="R111" i="15"/>
  <c r="R121" i="15"/>
  <c r="R125" i="15"/>
  <c r="R140" i="15"/>
  <c r="R144" i="15"/>
  <c r="R158" i="15"/>
  <c r="R162" i="15"/>
  <c r="G67" i="1" a="1"/>
  <c r="G67" i="1" s="1"/>
  <c r="J67" i="15" s="1"/>
  <c r="G127" i="1" a="1"/>
  <c r="G127" i="1" s="1"/>
  <c r="J127" i="15" s="1"/>
  <c r="F4" i="1" a="1"/>
  <c r="F4" i="1" s="1"/>
  <c r="F22" i="1" a="1"/>
  <c r="F22" i="1" s="1"/>
  <c r="F40" i="1" a="1"/>
  <c r="F40" i="1" s="1"/>
  <c r="F58" i="1" a="1"/>
  <c r="F58" i="1" s="1"/>
  <c r="F76" i="1" a="1"/>
  <c r="F76" i="1" s="1"/>
  <c r="F94" i="1" a="1"/>
  <c r="F94" i="1" s="1"/>
  <c r="F112" i="1" a="1"/>
  <c r="F112" i="1" s="1"/>
  <c r="F130" i="1" a="1"/>
  <c r="F130" i="1" s="1"/>
  <c r="F148" i="1" a="1"/>
  <c r="F148" i="1" s="1"/>
  <c r="R53" i="15"/>
  <c r="R124" i="15"/>
  <c r="R138" i="15"/>
  <c r="R152" i="15"/>
  <c r="I25" i="15"/>
  <c r="C18" i="1" a="1"/>
  <c r="C18" i="1" s="1"/>
  <c r="E18" i="15" s="1"/>
  <c r="C33" i="1" a="1"/>
  <c r="C33" i="1" s="1"/>
  <c r="E33" i="15" s="1"/>
  <c r="C48" i="1" a="1"/>
  <c r="C48" i="1" s="1"/>
  <c r="E48" i="15" s="1"/>
  <c r="C70" i="1" a="1"/>
  <c r="C70" i="1" s="1"/>
  <c r="E70" i="15" s="1"/>
  <c r="C88" i="1" a="1"/>
  <c r="C88" i="1" s="1"/>
  <c r="E88" i="15" s="1"/>
  <c r="C103" i="1" a="1"/>
  <c r="C103" i="1" s="1"/>
  <c r="E103" i="15" s="1"/>
  <c r="C120" i="1" a="1"/>
  <c r="C120" i="1" s="1"/>
  <c r="E120" i="15" s="1"/>
  <c r="C133" i="1" a="1"/>
  <c r="C133" i="1" s="1"/>
  <c r="E133" i="15" s="1"/>
  <c r="C148" i="1" a="1"/>
  <c r="C148" i="1" s="1"/>
  <c r="E148" i="15" s="1"/>
  <c r="G85" i="1" a="1"/>
  <c r="G85" i="1" s="1"/>
  <c r="J85" i="15" s="1"/>
  <c r="G134" i="1" a="1"/>
  <c r="G134" i="1" s="1"/>
  <c r="J134" i="15" s="1"/>
  <c r="F7" i="1" a="1"/>
  <c r="F7" i="1" s="1"/>
  <c r="F25" i="1" a="1"/>
  <c r="F25" i="1" s="1"/>
  <c r="F43" i="1" a="1"/>
  <c r="F43" i="1" s="1"/>
  <c r="F61" i="1" a="1"/>
  <c r="F61" i="1" s="1"/>
  <c r="F79" i="1" a="1"/>
  <c r="F79" i="1" s="1"/>
  <c r="F97" i="1" a="1"/>
  <c r="F97" i="1" s="1"/>
  <c r="F115" i="1" a="1"/>
  <c r="F115" i="1" s="1"/>
  <c r="F133" i="1" a="1"/>
  <c r="F133" i="1" s="1"/>
  <c r="F151" i="1" a="1"/>
  <c r="F151" i="1" s="1"/>
  <c r="R112" i="15"/>
  <c r="R126" i="15"/>
  <c r="R141" i="15"/>
  <c r="R154" i="15"/>
  <c r="C21" i="1" a="1"/>
  <c r="C21" i="1" s="1"/>
  <c r="E21" i="15" s="1"/>
  <c r="E52" i="15"/>
  <c r="C72" i="1" a="1"/>
  <c r="C72" i="1" s="1"/>
  <c r="E72" i="15" s="1"/>
  <c r="C90" i="1" a="1"/>
  <c r="C90" i="1" s="1"/>
  <c r="E90" i="15" s="1"/>
  <c r="C106" i="1" a="1"/>
  <c r="C106" i="1" s="1"/>
  <c r="E106" i="15" s="1"/>
  <c r="C121" i="1" a="1"/>
  <c r="C121" i="1" s="1"/>
  <c r="E121" i="15" s="1"/>
  <c r="C136" i="1" a="1"/>
  <c r="C136" i="1" s="1"/>
  <c r="E136" i="15" s="1"/>
  <c r="C150" i="1" a="1"/>
  <c r="C150" i="1" s="1"/>
  <c r="E150" i="15" s="1"/>
  <c r="C160" i="1" a="1"/>
  <c r="C160" i="1" s="1"/>
  <c r="E160" i="15" s="1"/>
  <c r="G97" i="1" a="1"/>
  <c r="G97" i="1" s="1"/>
  <c r="J97" i="15" s="1"/>
  <c r="G142" i="1" a="1"/>
  <c r="G142" i="1" s="1"/>
  <c r="J142" i="15" s="1"/>
  <c r="F10" i="1" a="1"/>
  <c r="F10" i="1" s="1"/>
  <c r="F28" i="1" a="1"/>
  <c r="F28" i="1" s="1"/>
  <c r="F46" i="1" a="1"/>
  <c r="F46" i="1" s="1"/>
  <c r="F64" i="1" a="1"/>
  <c r="F64" i="1" s="1"/>
  <c r="F82" i="1" a="1"/>
  <c r="F82" i="1" s="1"/>
  <c r="F100" i="1" a="1"/>
  <c r="F100" i="1" s="1"/>
  <c r="F118" i="1" a="1"/>
  <c r="F118" i="1" s="1"/>
  <c r="F136" i="1" a="1"/>
  <c r="F136" i="1" s="1"/>
  <c r="F154" i="1" a="1"/>
  <c r="F154" i="1" s="1"/>
  <c r="R65" i="15"/>
  <c r="R129" i="15"/>
  <c r="R156" i="15"/>
  <c r="C24" i="1" a="1"/>
  <c r="C24" i="1" s="1"/>
  <c r="E24" i="15" s="1"/>
  <c r="C34" i="1" a="1"/>
  <c r="C34" i="1" s="1"/>
  <c r="E34" i="15" s="1"/>
  <c r="E54" i="15"/>
  <c r="C76" i="1" a="1"/>
  <c r="C76" i="1" s="1"/>
  <c r="E76" i="15" s="1"/>
  <c r="C94" i="1" a="1"/>
  <c r="C94" i="1" s="1"/>
  <c r="E94" i="15" s="1"/>
  <c r="C108" i="1" a="1"/>
  <c r="C108" i="1" s="1"/>
  <c r="E108" i="15" s="1"/>
  <c r="C124" i="1" a="1"/>
  <c r="C124" i="1" s="1"/>
  <c r="E124" i="15" s="1"/>
  <c r="C138" i="1" a="1"/>
  <c r="C138" i="1" s="1"/>
  <c r="E138" i="15" s="1"/>
  <c r="C151" i="1" a="1"/>
  <c r="C151" i="1" s="1"/>
  <c r="E151" i="15" s="1"/>
  <c r="C162" i="1" a="1"/>
  <c r="C162" i="1" s="1"/>
  <c r="E162" i="15" s="1"/>
  <c r="G3" i="1" a="1"/>
  <c r="G3" i="1" s="1"/>
  <c r="J3" i="15" s="1"/>
  <c r="G106" i="1" a="1"/>
  <c r="G106" i="1" s="1"/>
  <c r="J106" i="15" s="1"/>
  <c r="G149" i="1" a="1"/>
  <c r="G149" i="1" s="1"/>
  <c r="J149" i="15" s="1"/>
  <c r="F13" i="1" a="1"/>
  <c r="F13" i="1" s="1"/>
  <c r="F31" i="1" a="1"/>
  <c r="F31" i="1" s="1"/>
  <c r="F49" i="1" a="1"/>
  <c r="F49" i="1" s="1"/>
  <c r="F67" i="1" a="1"/>
  <c r="F67" i="1" s="1"/>
  <c r="F85" i="1" a="1"/>
  <c r="F85" i="1" s="1"/>
  <c r="F103" i="1" a="1"/>
  <c r="F103" i="1" s="1"/>
  <c r="F121" i="1" a="1"/>
  <c r="F121" i="1" s="1"/>
  <c r="F139" i="1" a="1"/>
  <c r="F139" i="1" s="1"/>
  <c r="F157" i="1" a="1"/>
  <c r="F157" i="1" s="1"/>
  <c r="R81" i="15"/>
  <c r="R116" i="15"/>
  <c r="R131" i="15"/>
  <c r="R145" i="15"/>
  <c r="R159" i="15"/>
  <c r="C12" i="1" a="1"/>
  <c r="C12" i="1" s="1"/>
  <c r="E12" i="15" s="1"/>
  <c r="C36" i="1" a="1"/>
  <c r="C36" i="1" s="1"/>
  <c r="E36" i="15" s="1"/>
  <c r="C58" i="1" a="1"/>
  <c r="C58" i="1" s="1"/>
  <c r="E58" i="15" s="1"/>
  <c r="C78" i="1" a="1"/>
  <c r="C78" i="1" s="1"/>
  <c r="E78" i="15" s="1"/>
  <c r="C96" i="1" a="1"/>
  <c r="C96" i="1" s="1"/>
  <c r="E96" i="15" s="1"/>
  <c r="C112" i="1" a="1"/>
  <c r="C112" i="1" s="1"/>
  <c r="E112" i="15" s="1"/>
  <c r="C126" i="1" a="1"/>
  <c r="C126" i="1" s="1"/>
  <c r="E126" i="15" s="1"/>
  <c r="C139" i="1" a="1"/>
  <c r="C139" i="1" s="1"/>
  <c r="E139" i="15" s="1"/>
  <c r="C153" i="1" a="1"/>
  <c r="C153" i="1" s="1"/>
  <c r="E153" i="15" s="1"/>
  <c r="G31" i="1" a="1"/>
  <c r="G31" i="1" s="1"/>
  <c r="J31" i="15" s="1"/>
  <c r="G113" i="1" a="1"/>
  <c r="G113" i="1" s="1"/>
  <c r="J113" i="15" s="1"/>
  <c r="G156" i="1" a="1"/>
  <c r="G156" i="1" s="1"/>
  <c r="J156" i="15" s="1"/>
  <c r="F16" i="1" a="1"/>
  <c r="F16" i="1" s="1"/>
  <c r="F34" i="1" a="1"/>
  <c r="F34" i="1" s="1"/>
  <c r="F52" i="1" a="1"/>
  <c r="F52" i="1" s="1"/>
  <c r="F70" i="1" a="1"/>
  <c r="F70" i="1" s="1"/>
  <c r="F88" i="1" a="1"/>
  <c r="F88" i="1" s="1"/>
  <c r="F106" i="1" a="1"/>
  <c r="F106" i="1" s="1"/>
  <c r="F124" i="1" a="1"/>
  <c r="F124" i="1" s="1"/>
  <c r="F142" i="1" a="1"/>
  <c r="F142" i="1" s="1"/>
  <c r="F160" i="1" a="1"/>
  <c r="F160" i="1" s="1"/>
  <c r="R4" i="15"/>
  <c r="R103" i="15"/>
  <c r="R119" i="15"/>
  <c r="R134" i="15"/>
  <c r="C15" i="1" a="1"/>
  <c r="C15" i="1" s="1"/>
  <c r="E15" i="15" s="1"/>
  <c r="C27" i="1" a="1"/>
  <c r="C27" i="1" s="1"/>
  <c r="E27" i="15" s="1"/>
  <c r="C40" i="1" a="1"/>
  <c r="C40" i="1" s="1"/>
  <c r="E40" i="15" s="1"/>
  <c r="C60" i="1" a="1"/>
  <c r="C60" i="1" s="1"/>
  <c r="E60" i="15" s="1"/>
  <c r="C79" i="1" a="1"/>
  <c r="C79" i="1" s="1"/>
  <c r="E79" i="15" s="1"/>
  <c r="C97" i="1" a="1"/>
  <c r="C97" i="1" s="1"/>
  <c r="E97" i="15" s="1"/>
  <c r="C114" i="1" a="1"/>
  <c r="C114" i="1" s="1"/>
  <c r="E114" i="15" s="1"/>
  <c r="C130" i="1" a="1"/>
  <c r="C130" i="1" s="1"/>
  <c r="E130" i="15" s="1"/>
  <c r="C142" i="1" a="1"/>
  <c r="C142" i="1" s="1"/>
  <c r="E142" i="15" s="1"/>
  <c r="C154" i="1" a="1"/>
  <c r="C154" i="1" s="1"/>
  <c r="E154" i="15" s="1"/>
  <c r="C30" i="1" a="1"/>
  <c r="C30" i="1" s="1"/>
  <c r="E30" i="15" s="1"/>
  <c r="C42" i="1" a="1"/>
  <c r="C42" i="1" s="1"/>
  <c r="E42" i="15" s="1"/>
  <c r="C84" i="1" a="1"/>
  <c r="C84" i="1" s="1"/>
  <c r="E84" i="15" s="1"/>
  <c r="C102" i="1" a="1"/>
  <c r="C102" i="1" s="1"/>
  <c r="E102" i="15" s="1"/>
  <c r="C132" i="1" a="1"/>
  <c r="C132" i="1" s="1"/>
  <c r="E132" i="15" s="1"/>
  <c r="C156" i="1" a="1"/>
  <c r="C156" i="1" s="1"/>
  <c r="E156" i="15" s="1"/>
  <c r="G49" i="1" a="1"/>
  <c r="G49" i="1" s="1"/>
  <c r="J49" i="15" s="1"/>
  <c r="G120" i="1" a="1"/>
  <c r="G120" i="1" s="1"/>
  <c r="J120" i="15" s="1"/>
  <c r="F19" i="1" a="1"/>
  <c r="F19" i="1" s="1"/>
  <c r="F37" i="1" a="1"/>
  <c r="F37" i="1" s="1"/>
  <c r="F55" i="1" a="1"/>
  <c r="F55" i="1" s="1"/>
  <c r="F73" i="1" a="1"/>
  <c r="F73" i="1" s="1"/>
  <c r="F91" i="1" a="1"/>
  <c r="F91" i="1" s="1"/>
  <c r="F109" i="1" a="1"/>
  <c r="F109" i="1" s="1"/>
  <c r="F127" i="1" a="1"/>
  <c r="F127" i="1" s="1"/>
  <c r="F145" i="1" a="1"/>
  <c r="F145" i="1" s="1"/>
  <c r="R44" i="15"/>
  <c r="R107" i="15"/>
  <c r="R122" i="15"/>
  <c r="R136" i="15"/>
  <c r="R149" i="15"/>
  <c r="C66" i="1" a="1"/>
  <c r="C66" i="1" s="1"/>
  <c r="E66" i="15" s="1"/>
  <c r="C115" i="1" a="1"/>
  <c r="C115" i="1" s="1"/>
  <c r="E115" i="15" s="1"/>
  <c r="C144" i="1" a="1"/>
  <c r="C144" i="1" s="1"/>
  <c r="E144" i="15" s="1"/>
  <c r="G7" i="1" a="1"/>
  <c r="G7" i="1" s="1"/>
  <c r="J7" i="15" s="1"/>
  <c r="C28" i="1" a="1"/>
  <c r="C28" i="1" s="1"/>
  <c r="E28" i="15" s="1"/>
  <c r="C87" i="1" a="1"/>
  <c r="C87" i="1" s="1"/>
  <c r="E87" i="15" s="1"/>
  <c r="I150" i="1" a="1"/>
  <c r="I150" i="1" s="1"/>
  <c r="I132" i="1" a="1"/>
  <c r="I132" i="1" s="1"/>
  <c r="I114" i="1" a="1"/>
  <c r="I114" i="1" s="1"/>
  <c r="I96" i="1" a="1"/>
  <c r="I96" i="1" s="1"/>
  <c r="I78" i="1" a="1"/>
  <c r="I78" i="1" s="1"/>
  <c r="I60" i="1" a="1"/>
  <c r="I60" i="1" s="1"/>
  <c r="I42" i="1" a="1"/>
  <c r="I42" i="1" s="1"/>
  <c r="I24" i="1" a="1"/>
  <c r="I24" i="1" s="1"/>
  <c r="C157" i="1" a="1"/>
  <c r="C157" i="1" s="1"/>
  <c r="E157" i="15" s="1"/>
  <c r="C31" i="1" a="1"/>
  <c r="C31" i="1" s="1"/>
  <c r="E31" i="15" s="1"/>
  <c r="C5" i="1" a="1"/>
  <c r="C5" i="1" s="1"/>
  <c r="E5" i="15" s="1"/>
  <c r="C161" i="1" a="1"/>
  <c r="C161" i="1" s="1"/>
  <c r="E161" i="15" s="1"/>
  <c r="C149" i="1" a="1"/>
  <c r="C149" i="1" s="1"/>
  <c r="E149" i="15" s="1"/>
  <c r="C137" i="1" a="1"/>
  <c r="C137" i="1" s="1"/>
  <c r="E137" i="15" s="1"/>
  <c r="C125" i="1" a="1"/>
  <c r="C125" i="1" s="1"/>
  <c r="E125" i="15" s="1"/>
  <c r="C113" i="1" a="1"/>
  <c r="C113" i="1" s="1"/>
  <c r="E113" i="15" s="1"/>
  <c r="C101" i="1" a="1"/>
  <c r="C101" i="1" s="1"/>
  <c r="E101" i="15" s="1"/>
  <c r="C89" i="1" a="1"/>
  <c r="C89" i="1" s="1"/>
  <c r="E89" i="15" s="1"/>
  <c r="C77" i="1" a="1"/>
  <c r="C77" i="1" s="1"/>
  <c r="E77" i="15" s="1"/>
  <c r="C65" i="1" a="1"/>
  <c r="C65" i="1" s="1"/>
  <c r="E65" i="15" s="1"/>
  <c r="E53" i="15"/>
  <c r="C41" i="1" a="1"/>
  <c r="C41" i="1" s="1"/>
  <c r="E41" i="15" s="1"/>
  <c r="C29" i="1" a="1"/>
  <c r="C29" i="1" s="1"/>
  <c r="E29" i="15" s="1"/>
  <c r="C17" i="1" a="1"/>
  <c r="C17" i="1" s="1"/>
  <c r="E17" i="15" s="1"/>
  <c r="C67" i="1" a="1"/>
  <c r="C67" i="1" s="1"/>
  <c r="E67" i="15" s="1"/>
  <c r="I148" i="1" a="1"/>
  <c r="I148" i="1" s="1"/>
  <c r="I130" i="1" a="1"/>
  <c r="I130" i="1" s="1"/>
  <c r="I112" i="1" a="1"/>
  <c r="I112" i="1" s="1"/>
  <c r="I94" i="1" a="1"/>
  <c r="I94" i="1" s="1"/>
  <c r="I76" i="1" a="1"/>
  <c r="I76" i="1" s="1"/>
  <c r="I58" i="1" a="1"/>
  <c r="I58" i="1" s="1"/>
  <c r="I40" i="1" a="1"/>
  <c r="I40" i="1" s="1"/>
  <c r="C129" i="1" a="1"/>
  <c r="C129" i="1" s="1"/>
  <c r="E129" i="15" s="1"/>
  <c r="C111" i="1" a="1"/>
  <c r="C111" i="1" s="1"/>
  <c r="E111" i="15" s="1"/>
  <c r="I158" i="1" a="1"/>
  <c r="I158" i="1" s="1"/>
  <c r="I146" i="1" a="1"/>
  <c r="I146" i="1" s="1"/>
  <c r="I134" i="1" a="1"/>
  <c r="I134" i="1" s="1"/>
  <c r="I122" i="1" a="1"/>
  <c r="I122" i="1" s="1"/>
  <c r="I110" i="1" a="1"/>
  <c r="I110" i="1" s="1"/>
  <c r="I98" i="1" a="1"/>
  <c r="I98" i="1" s="1"/>
  <c r="I86" i="1" a="1"/>
  <c r="I86" i="1" s="1"/>
  <c r="I74" i="1" a="1"/>
  <c r="I74" i="1" s="1"/>
  <c r="I62" i="1" a="1"/>
  <c r="I62" i="1" s="1"/>
  <c r="I50" i="1" a="1"/>
  <c r="I50" i="1" s="1"/>
  <c r="I38" i="1" a="1"/>
  <c r="I38" i="1" s="1"/>
  <c r="I14" i="1" a="1"/>
  <c r="I14" i="1" s="1"/>
  <c r="C147" i="1" a="1"/>
  <c r="C147" i="1" s="1"/>
  <c r="E147" i="15" s="1"/>
  <c r="C64" i="1" a="1"/>
  <c r="C64" i="1" s="1"/>
  <c r="E64" i="15" s="1"/>
  <c r="G10" i="1" a="1"/>
  <c r="G10" i="1" s="1"/>
  <c r="J10" i="15" s="1"/>
  <c r="I147" i="1" a="1"/>
  <c r="I147" i="1" s="1"/>
  <c r="I129" i="1" a="1"/>
  <c r="I129" i="1" s="1"/>
  <c r="I111" i="1" a="1"/>
  <c r="I111" i="1" s="1"/>
  <c r="I93" i="1" a="1"/>
  <c r="I93" i="1" s="1"/>
  <c r="I75" i="1" a="1"/>
  <c r="I75" i="1" s="1"/>
  <c r="I57" i="1" a="1"/>
  <c r="I57" i="1" s="1"/>
  <c r="I39" i="1" a="1"/>
  <c r="I39" i="1" s="1"/>
  <c r="I151" i="1" a="1"/>
  <c r="I151" i="1" s="1"/>
  <c r="I133" i="1" a="1"/>
  <c r="I133" i="1" s="1"/>
  <c r="I115" i="1" a="1"/>
  <c r="I115" i="1" s="1"/>
  <c r="I97" i="1" a="1"/>
  <c r="I97" i="1" s="1"/>
  <c r="I79" i="1" a="1"/>
  <c r="I79" i="1" s="1"/>
  <c r="I61" i="1" a="1"/>
  <c r="I61" i="1" s="1"/>
  <c r="I43" i="1" a="1"/>
  <c r="I43" i="1" s="1"/>
  <c r="I25" i="1" a="1"/>
  <c r="I25" i="1" s="1"/>
  <c r="C145" i="1" a="1"/>
  <c r="C145" i="1" s="1"/>
  <c r="E145" i="15" s="1"/>
  <c r="E55" i="15"/>
  <c r="C9" i="1" a="1"/>
  <c r="C9" i="1" s="1"/>
  <c r="E9" i="15" s="1"/>
  <c r="C13" i="1" a="1"/>
  <c r="C13" i="1" s="1"/>
  <c r="E13" i="15" s="1"/>
  <c r="C63" i="1" a="1"/>
  <c r="C63" i="1" s="1"/>
  <c r="E63" i="15" s="1"/>
  <c r="C61" i="1" a="1"/>
  <c r="C61" i="1" s="1"/>
  <c r="E61" i="15" s="1"/>
  <c r="C75" i="1" a="1"/>
  <c r="C75" i="1" s="1"/>
  <c r="E75" i="15" s="1"/>
  <c r="C11" i="1" a="1"/>
  <c r="C11" i="1" s="1"/>
  <c r="E11" i="15" s="1"/>
  <c r="C158" i="1" a="1"/>
  <c r="C158" i="1" s="1"/>
  <c r="E158" i="15" s="1"/>
  <c r="C146" i="1" a="1"/>
  <c r="C146" i="1" s="1"/>
  <c r="E146" i="15" s="1"/>
  <c r="C134" i="1" a="1"/>
  <c r="C134" i="1" s="1"/>
  <c r="E134" i="15" s="1"/>
  <c r="C122" i="1" a="1"/>
  <c r="C122" i="1" s="1"/>
  <c r="E122" i="15" s="1"/>
  <c r="C110" i="1" a="1"/>
  <c r="C110" i="1" s="1"/>
  <c r="E110" i="15" s="1"/>
  <c r="C98" i="1" a="1"/>
  <c r="C98" i="1" s="1"/>
  <c r="E98" i="15" s="1"/>
  <c r="C86" i="1" a="1"/>
  <c r="C86" i="1" s="1"/>
  <c r="E86" i="15" s="1"/>
  <c r="C74" i="1" a="1"/>
  <c r="C74" i="1" s="1"/>
  <c r="E74" i="15" s="1"/>
  <c r="C62" i="1" a="1"/>
  <c r="C62" i="1" s="1"/>
  <c r="E62" i="15" s="1"/>
  <c r="E50" i="15"/>
  <c r="C38" i="1" a="1"/>
  <c r="C38" i="1" s="1"/>
  <c r="E38" i="15" s="1"/>
  <c r="C26" i="1" a="1"/>
  <c r="C26" i="1" s="1"/>
  <c r="E26" i="15" s="1"/>
  <c r="C14" i="1" a="1"/>
  <c r="C14" i="1" s="1"/>
  <c r="E14" i="15" s="1"/>
  <c r="C109" i="1" a="1"/>
  <c r="C109" i="1" s="1"/>
  <c r="E109" i="15" s="1"/>
  <c r="C37" i="1" a="1"/>
  <c r="C37" i="1" s="1"/>
  <c r="E37" i="15" s="1"/>
  <c r="I21" i="1" a="1"/>
  <c r="I21" i="1" s="1"/>
  <c r="I9" i="1" a="1"/>
  <c r="I9" i="1" s="1"/>
  <c r="C93" i="1" a="1"/>
  <c r="C93" i="1" s="1"/>
  <c r="E93" i="15" s="1"/>
  <c r="C141" i="1" a="1"/>
  <c r="C141" i="1" s="1"/>
  <c r="E141" i="15" s="1"/>
  <c r="E51" i="15"/>
  <c r="I162" i="1" a="1"/>
  <c r="I162" i="1" s="1"/>
  <c r="I144" i="1" a="1"/>
  <c r="I144" i="1" s="1"/>
  <c r="I126" i="1" a="1"/>
  <c r="I126" i="1" s="1"/>
  <c r="I108" i="1" a="1"/>
  <c r="I108" i="1" s="1"/>
  <c r="I90" i="1" a="1"/>
  <c r="I90" i="1" s="1"/>
  <c r="I72" i="1" a="1"/>
  <c r="I72" i="1" s="1"/>
  <c r="I54" i="1" a="1"/>
  <c r="I54" i="1" s="1"/>
  <c r="I36" i="1" a="1"/>
  <c r="I36" i="1" s="1"/>
  <c r="I18" i="1" a="1"/>
  <c r="I18" i="1" s="1"/>
  <c r="C3" i="1" a="1"/>
  <c r="C3" i="1" s="1"/>
  <c r="E3" i="15" s="1"/>
  <c r="C7" i="1" a="1"/>
  <c r="C7" i="1" s="1"/>
  <c r="E7" i="15" s="1"/>
  <c r="I155" i="1" a="1"/>
  <c r="I155" i="1" s="1"/>
  <c r="I143" i="1" a="1"/>
  <c r="I143" i="1" s="1"/>
  <c r="I131" i="1" a="1"/>
  <c r="I131" i="1" s="1"/>
  <c r="I119" i="1" a="1"/>
  <c r="I119" i="1" s="1"/>
  <c r="I107" i="1" a="1"/>
  <c r="I107" i="1" s="1"/>
  <c r="I95" i="1" a="1"/>
  <c r="I95" i="1" s="1"/>
  <c r="I83" i="1" a="1"/>
  <c r="I83" i="1" s="1"/>
  <c r="I71" i="1" a="1"/>
  <c r="I71" i="1" s="1"/>
  <c r="I59" i="1" a="1"/>
  <c r="I59" i="1" s="1"/>
  <c r="I47" i="1" a="1"/>
  <c r="I47" i="1" s="1"/>
  <c r="I35" i="1" a="1"/>
  <c r="I35" i="1" s="1"/>
  <c r="I23" i="1" a="1"/>
  <c r="I23" i="1" s="1"/>
  <c r="C135" i="1" a="1"/>
  <c r="C135" i="1" s="1"/>
  <c r="E135" i="15" s="1"/>
  <c r="I160" i="1" a="1"/>
  <c r="I160" i="1" s="1"/>
  <c r="I142" i="1" a="1"/>
  <c r="I142" i="1" s="1"/>
  <c r="I124" i="1" a="1"/>
  <c r="I124" i="1" s="1"/>
  <c r="I106" i="1" a="1"/>
  <c r="I106" i="1" s="1"/>
  <c r="I88" i="1" a="1"/>
  <c r="I88" i="1" s="1"/>
  <c r="I70" i="1" a="1"/>
  <c r="I70" i="1" s="1"/>
  <c r="I52" i="1" a="1"/>
  <c r="I52" i="1" s="1"/>
  <c r="I34" i="1" a="1"/>
  <c r="I34" i="1" s="1"/>
  <c r="I16" i="1" a="1"/>
  <c r="I16" i="1" s="1"/>
  <c r="E57" i="15"/>
  <c r="C25" i="1" a="1"/>
  <c r="C25" i="1" s="1"/>
  <c r="E25" i="15" s="1"/>
  <c r="C105" i="1" a="1"/>
  <c r="C105" i="1" s="1"/>
  <c r="E105" i="15" s="1"/>
  <c r="C118" i="1" a="1"/>
  <c r="C118" i="1" s="1"/>
  <c r="E118" i="15" s="1"/>
  <c r="I159" i="1" a="1"/>
  <c r="I159" i="1" s="1"/>
  <c r="I141" i="1" a="1"/>
  <c r="I141" i="1" s="1"/>
  <c r="I123" i="1" a="1"/>
  <c r="I123" i="1" s="1"/>
  <c r="I105" i="1" a="1"/>
  <c r="I105" i="1" s="1"/>
  <c r="I87" i="1" a="1"/>
  <c r="I87" i="1" s="1"/>
  <c r="I69" i="1" a="1"/>
  <c r="I69" i="1" s="1"/>
  <c r="I51" i="1" a="1"/>
  <c r="I51" i="1" s="1"/>
  <c r="I145" i="1" a="1"/>
  <c r="I145" i="1" s="1"/>
  <c r="I127" i="1" a="1"/>
  <c r="I127" i="1" s="1"/>
  <c r="I109" i="1" a="1"/>
  <c r="I109" i="1" s="1"/>
  <c r="I91" i="1" a="1"/>
  <c r="I91" i="1" s="1"/>
  <c r="I73" i="1" a="1"/>
  <c r="I73" i="1" s="1"/>
  <c r="I55" i="1" a="1"/>
  <c r="I55" i="1" s="1"/>
  <c r="I37" i="1" a="1"/>
  <c r="I37" i="1" s="1"/>
  <c r="I19" i="1" a="1"/>
  <c r="I19" i="1" s="1"/>
  <c r="C127" i="1" a="1"/>
  <c r="C127" i="1" s="1"/>
  <c r="E127" i="15" s="1"/>
  <c r="C19" i="1" a="1"/>
  <c r="C19" i="1" s="1"/>
  <c r="E19" i="15" s="1"/>
  <c r="C117" i="1" a="1"/>
  <c r="C117" i="1" s="1"/>
  <c r="E117" i="15" s="1"/>
  <c r="C155" i="1" a="1"/>
  <c r="C155" i="1" s="1"/>
  <c r="E155" i="15" s="1"/>
  <c r="C143" i="1" a="1"/>
  <c r="C143" i="1" s="1"/>
  <c r="E143" i="15" s="1"/>
  <c r="C131" i="1" a="1"/>
  <c r="C131" i="1" s="1"/>
  <c r="E131" i="15" s="1"/>
  <c r="C119" i="1" a="1"/>
  <c r="C119" i="1" s="1"/>
  <c r="E119" i="15" s="1"/>
  <c r="C107" i="1" a="1"/>
  <c r="C107" i="1" s="1"/>
  <c r="E107" i="15" s="1"/>
  <c r="C95" i="1" a="1"/>
  <c r="C95" i="1" s="1"/>
  <c r="E95" i="15" s="1"/>
  <c r="C83" i="1" a="1"/>
  <c r="C83" i="1" s="1"/>
  <c r="E83" i="15" s="1"/>
  <c r="C71" i="1" a="1"/>
  <c r="C71" i="1" s="1"/>
  <c r="E71" i="15" s="1"/>
  <c r="C59" i="1" a="1"/>
  <c r="C59" i="1" s="1"/>
  <c r="E59" i="15" s="1"/>
  <c r="C47" i="1" a="1"/>
  <c r="C47" i="1" s="1"/>
  <c r="E47" i="15" s="1"/>
  <c r="C35" i="1" a="1"/>
  <c r="C35" i="1" s="1"/>
  <c r="E35" i="15" s="1"/>
  <c r="C23" i="1" a="1"/>
  <c r="C23" i="1" s="1"/>
  <c r="E23" i="15" s="1"/>
  <c r="C99" i="1" a="1"/>
  <c r="C99" i="1" s="1"/>
  <c r="E99" i="15" s="1"/>
  <c r="I4" i="1" a="1"/>
  <c r="I4" i="1" s="1"/>
  <c r="C2" i="1" a="1"/>
  <c r="C2" i="1" s="1"/>
  <c r="E2" i="15" s="1"/>
  <c r="C43" i="1" a="1"/>
  <c r="C43" i="1" s="1"/>
  <c r="E43" i="15" s="1"/>
  <c r="C16" i="1" a="1"/>
  <c r="C16" i="1" s="1"/>
  <c r="E16" i="15" s="1"/>
  <c r="I152" i="1" a="1"/>
  <c r="I152" i="1" s="1"/>
  <c r="I140" i="1" a="1"/>
  <c r="I140" i="1" s="1"/>
  <c r="I128" i="1" a="1"/>
  <c r="I128" i="1" s="1"/>
  <c r="I116" i="1" a="1"/>
  <c r="I116" i="1" s="1"/>
  <c r="I104" i="1" a="1"/>
  <c r="I104" i="1" s="1"/>
  <c r="I92" i="1" a="1"/>
  <c r="I92" i="1" s="1"/>
  <c r="I80" i="1" a="1"/>
  <c r="I80" i="1" s="1"/>
  <c r="I68" i="1" a="1"/>
  <c r="I68" i="1" s="1"/>
  <c r="I56" i="1" a="1"/>
  <c r="I56" i="1" s="1"/>
  <c r="I44" i="1" a="1"/>
  <c r="I44" i="1" s="1"/>
  <c r="I32" i="1" a="1"/>
  <c r="I32" i="1" s="1"/>
  <c r="I20" i="1" a="1"/>
  <c r="I20" i="1" s="1"/>
  <c r="C10" i="1" a="1"/>
  <c r="C10" i="1" s="1"/>
  <c r="E10" i="15" s="1"/>
  <c r="C100" i="1" a="1"/>
  <c r="C100" i="1" s="1"/>
  <c r="E100" i="15" s="1"/>
  <c r="I33" i="1" a="1"/>
  <c r="I33" i="1" s="1"/>
  <c r="I15" i="1" a="1"/>
  <c r="I15" i="1" s="1"/>
  <c r="C82" i="1" a="1"/>
  <c r="C82" i="1" s="1"/>
  <c r="E82" i="15" s="1"/>
  <c r="I3" i="1" a="1"/>
  <c r="I3" i="1" s="1"/>
  <c r="C123" i="1" a="1"/>
  <c r="C123" i="1" s="1"/>
  <c r="E123" i="15" s="1"/>
  <c r="I156" i="1" a="1"/>
  <c r="I156" i="1" s="1"/>
  <c r="I138" i="1" a="1"/>
  <c r="I138" i="1" s="1"/>
  <c r="I120" i="1" a="1"/>
  <c r="I120" i="1" s="1"/>
  <c r="I102" i="1" a="1"/>
  <c r="I102" i="1" s="1"/>
  <c r="I84" i="1" a="1"/>
  <c r="I84" i="1" s="1"/>
  <c r="I66" i="1" a="1"/>
  <c r="I66" i="1" s="1"/>
  <c r="I48" i="1" a="1"/>
  <c r="I48" i="1" s="1"/>
  <c r="I30" i="1" a="1"/>
  <c r="I30" i="1" s="1"/>
  <c r="I12" i="1" a="1"/>
  <c r="I12" i="1" s="1"/>
  <c r="C85" i="1" a="1"/>
  <c r="C85" i="1" s="1"/>
  <c r="E85" i="15" s="1"/>
  <c r="I154" i="1" a="1"/>
  <c r="I154" i="1" s="1"/>
  <c r="I136" i="1" a="1"/>
  <c r="I136" i="1" s="1"/>
  <c r="I118" i="1" a="1"/>
  <c r="I118" i="1" s="1"/>
  <c r="I100" i="1" a="1"/>
  <c r="I100" i="1" s="1"/>
  <c r="I82" i="1" a="1"/>
  <c r="I82" i="1" s="1"/>
  <c r="I64" i="1" a="1"/>
  <c r="I64" i="1" s="1"/>
  <c r="I46" i="1" a="1"/>
  <c r="I46" i="1" s="1"/>
  <c r="C39" i="1" a="1"/>
  <c r="C39" i="1" s="1"/>
  <c r="E39" i="15" s="1"/>
  <c r="C152" i="1" a="1"/>
  <c r="C152" i="1" s="1"/>
  <c r="E152" i="15" s="1"/>
  <c r="C140" i="1" a="1"/>
  <c r="C140" i="1" s="1"/>
  <c r="E140" i="15" s="1"/>
  <c r="C128" i="1" a="1"/>
  <c r="C128" i="1" s="1"/>
  <c r="E128" i="15" s="1"/>
  <c r="C116" i="1" a="1"/>
  <c r="C116" i="1" s="1"/>
  <c r="E116" i="15" s="1"/>
  <c r="C104" i="1" a="1"/>
  <c r="C104" i="1" s="1"/>
  <c r="E104" i="15" s="1"/>
  <c r="C92" i="1" a="1"/>
  <c r="C92" i="1" s="1"/>
  <c r="E92" i="15" s="1"/>
  <c r="C80" i="1" a="1"/>
  <c r="C80" i="1" s="1"/>
  <c r="E80" i="15" s="1"/>
  <c r="C68" i="1" a="1"/>
  <c r="C68" i="1" s="1"/>
  <c r="E68" i="15" s="1"/>
  <c r="E56" i="15"/>
  <c r="C44" i="1" a="1"/>
  <c r="C44" i="1" s="1"/>
  <c r="E44" i="15" s="1"/>
  <c r="C32" i="1" a="1"/>
  <c r="C32" i="1" s="1"/>
  <c r="E32" i="15" s="1"/>
  <c r="C20" i="1" a="1"/>
  <c r="C20" i="1" s="1"/>
  <c r="E20" i="15" s="1"/>
  <c r="C4" i="1" a="1"/>
  <c r="C4" i="1" s="1"/>
  <c r="E4" i="15" s="1"/>
  <c r="C73" i="1" a="1"/>
  <c r="C73" i="1" s="1"/>
  <c r="E73" i="15" s="1"/>
  <c r="C46" i="1" a="1"/>
  <c r="C46" i="1" s="1"/>
  <c r="E46" i="15" s="1"/>
  <c r="I153" i="1" a="1"/>
  <c r="I153" i="1" s="1"/>
  <c r="I135" i="1" a="1"/>
  <c r="I135" i="1" s="1"/>
  <c r="I117" i="1" a="1"/>
  <c r="I117" i="1" s="1"/>
  <c r="I99" i="1" a="1"/>
  <c r="I99" i="1" s="1"/>
  <c r="I81" i="1" a="1"/>
  <c r="I81" i="1" s="1"/>
  <c r="I63" i="1" a="1"/>
  <c r="I63" i="1" s="1"/>
  <c r="I45" i="1" a="1"/>
  <c r="I45" i="1" s="1"/>
  <c r="I157" i="1" a="1"/>
  <c r="I157" i="1" s="1"/>
  <c r="I139" i="1" a="1"/>
  <c r="I139" i="1" s="1"/>
  <c r="I121" i="1" a="1"/>
  <c r="I121" i="1" s="1"/>
  <c r="I103" i="1" a="1"/>
  <c r="I103" i="1" s="1"/>
  <c r="I85" i="1" a="1"/>
  <c r="I85" i="1" s="1"/>
  <c r="I67" i="1" a="1"/>
  <c r="I67" i="1" s="1"/>
  <c r="I49" i="1" a="1"/>
  <c r="I49" i="1" s="1"/>
  <c r="I31" i="1" a="1"/>
  <c r="I31" i="1" s="1"/>
  <c r="I13" i="1" a="1"/>
  <c r="I13" i="1" s="1"/>
  <c r="C91" i="1" a="1"/>
  <c r="C91" i="1" s="1"/>
  <c r="E91" i="15" s="1"/>
  <c r="C45" i="1" a="1"/>
  <c r="C45" i="1" s="1"/>
  <c r="E45" i="15" s="1"/>
  <c r="I161" i="1" a="1"/>
  <c r="I161" i="1" s="1"/>
  <c r="I149" i="1" a="1"/>
  <c r="I149" i="1" s="1"/>
  <c r="I137" i="1" a="1"/>
  <c r="I137" i="1" s="1"/>
  <c r="I125" i="1" a="1"/>
  <c r="I125" i="1" s="1"/>
  <c r="I113" i="1" a="1"/>
  <c r="I113" i="1" s="1"/>
  <c r="I101" i="1" a="1"/>
  <c r="I101" i="1" s="1"/>
  <c r="I89" i="1" a="1"/>
  <c r="I89" i="1" s="1"/>
  <c r="I77" i="1" a="1"/>
  <c r="I77" i="1" s="1"/>
  <c r="I65" i="1" a="1"/>
  <c r="I65" i="1" s="1"/>
  <c r="I53" i="1" a="1"/>
  <c r="I53" i="1" s="1"/>
  <c r="I41" i="1" a="1"/>
  <c r="I41" i="1" s="1"/>
  <c r="I29" i="1" a="1"/>
  <c r="I29" i="1" s="1"/>
  <c r="I17" i="1" a="1"/>
  <c r="I17" i="1" s="1"/>
  <c r="C81" i="1" a="1"/>
  <c r="C81" i="1" s="1"/>
  <c r="E81" i="15" s="1"/>
  <c r="I22" i="1" a="1"/>
  <c r="I22" i="1" s="1"/>
  <c r="C159" i="1" a="1"/>
  <c r="C159" i="1" s="1"/>
  <c r="E159" i="15" s="1"/>
  <c r="C8" i="1" a="1"/>
  <c r="C8" i="1" s="1"/>
  <c r="E8" i="15" s="1"/>
  <c r="C69" i="1" a="1"/>
  <c r="C69" i="1" s="1"/>
  <c r="E69" i="15" s="1"/>
  <c r="R105" i="15"/>
  <c r="I10" i="1" a="1"/>
  <c r="I10" i="1" s="1"/>
  <c r="I7" i="1" a="1"/>
  <c r="I7" i="1" s="1"/>
  <c r="R9" i="15"/>
  <c r="G9" i="1" a="1"/>
  <c r="G9" i="1" s="1"/>
  <c r="J9" i="15" s="1"/>
  <c r="G6" i="1" a="1"/>
  <c r="G6" i="1" s="1"/>
  <c r="J6" i="15" s="1"/>
  <c r="R7" i="15"/>
  <c r="R10" i="15"/>
  <c r="R17" i="15"/>
  <c r="R34" i="15"/>
  <c r="R46" i="15"/>
  <c r="R86" i="15"/>
  <c r="R67" i="15"/>
  <c r="R11" i="15"/>
  <c r="R38" i="15"/>
  <c r="R90" i="15"/>
  <c r="R37" i="15"/>
  <c r="R26" i="15"/>
  <c r="R24" i="15"/>
  <c r="R35" i="15"/>
  <c r="R69" i="15"/>
  <c r="R5" i="15"/>
  <c r="R21" i="15"/>
  <c r="R16" i="15"/>
  <c r="R50" i="15"/>
  <c r="R25" i="15"/>
  <c r="G5" i="1" a="1"/>
  <c r="G5" i="1" s="1"/>
  <c r="J5" i="15" s="1"/>
  <c r="R45" i="15"/>
  <c r="R91" i="15"/>
  <c r="I5" i="1" a="1"/>
  <c r="I5" i="1" s="1"/>
  <c r="G2" i="1" a="1"/>
  <c r="G2" i="1" s="1"/>
  <c r="J2" i="15" s="1"/>
  <c r="R93" i="15"/>
  <c r="R100" i="15"/>
  <c r="R23" i="15"/>
  <c r="R6" i="15"/>
  <c r="R27" i="15"/>
  <c r="R39" i="15"/>
  <c r="R96" i="15"/>
  <c r="R36" i="15"/>
  <c r="G8" i="1" a="1"/>
  <c r="G8" i="1" s="1"/>
  <c r="J8" i="15" s="1"/>
  <c r="R20" i="15"/>
  <c r="R62" i="15"/>
  <c r="R33" i="15"/>
  <c r="R14" i="15"/>
  <c r="R57" i="15"/>
  <c r="R70" i="15"/>
  <c r="R42" i="15"/>
  <c r="R99" i="15"/>
  <c r="R43" i="15"/>
  <c r="I11" i="1" a="1"/>
  <c r="I11" i="1" s="1"/>
  <c r="R102" i="15"/>
  <c r="R28" i="15"/>
  <c r="R101" i="15"/>
  <c r="R41" i="15"/>
  <c r="R78" i="15"/>
  <c r="R32" i="15"/>
  <c r="R79" i="15"/>
  <c r="R82" i="15"/>
  <c r="R59" i="15"/>
  <c r="R58" i="15"/>
  <c r="R104" i="15"/>
  <c r="R74" i="15"/>
  <c r="I6" i="1" a="1"/>
  <c r="I6" i="1" s="1"/>
  <c r="R61" i="15"/>
  <c r="R40" i="15"/>
  <c r="R13" i="15"/>
  <c r="R97" i="15"/>
  <c r="R73" i="15"/>
  <c r="I44" i="8"/>
  <c r="I44" i="4" s="1"/>
  <c r="I84" i="8"/>
  <c r="I84" i="4" s="1"/>
  <c r="I56" i="8"/>
  <c r="I56" i="4" s="1"/>
  <c r="I58" i="8"/>
  <c r="I58" i="4" s="1"/>
  <c r="J172" i="1" s="1" a="1"/>
  <c r="J172" i="1" s="1"/>
  <c r="I21" i="8"/>
  <c r="I4" i="8"/>
  <c r="I27" i="8"/>
  <c r="I27" i="4" s="1"/>
  <c r="I74" i="8"/>
  <c r="I74" i="4" s="1"/>
  <c r="I22" i="8"/>
  <c r="I60" i="8"/>
  <c r="I60" i="4" s="1"/>
  <c r="I90" i="8"/>
  <c r="I90" i="4" s="1"/>
  <c r="J111" i="1" s="1" a="1"/>
  <c r="J111" i="1" s="1"/>
  <c r="I57" i="8"/>
  <c r="I57" i="4" s="1"/>
  <c r="I97" i="8"/>
  <c r="I97" i="4" s="1"/>
  <c r="I86" i="8"/>
  <c r="I86" i="4" s="1"/>
  <c r="J116" i="1" s="1" a="1"/>
  <c r="J116" i="1" s="1"/>
  <c r="I12" i="8"/>
  <c r="I12" i="4" s="1"/>
  <c r="J75" i="1" s="1" a="1"/>
  <c r="J75" i="1" s="1"/>
  <c r="I72" i="8"/>
  <c r="I72" i="4" s="1"/>
  <c r="I45" i="8"/>
  <c r="I45" i="4" s="1"/>
  <c r="I33" i="8"/>
  <c r="I33" i="4" s="1"/>
  <c r="I54" i="8"/>
  <c r="I54" i="4" s="1"/>
  <c r="I20" i="8"/>
  <c r="I18" i="8"/>
  <c r="I256" i="4"/>
  <c r="I255" i="4"/>
  <c r="I258" i="4"/>
  <c r="I253" i="4"/>
  <c r="I254" i="4"/>
  <c r="I257" i="4"/>
  <c r="I259" i="4"/>
  <c r="I260" i="4"/>
  <c r="I89" i="8"/>
  <c r="I73" i="8"/>
  <c r="I73" i="4" s="1"/>
  <c r="I103" i="8"/>
  <c r="I103" i="4" s="1"/>
  <c r="I100" i="8"/>
  <c r="I100" i="4" s="1"/>
  <c r="I53" i="8"/>
  <c r="I53" i="4" s="1"/>
  <c r="I7" i="8"/>
  <c r="I75" i="8"/>
  <c r="I75" i="4" s="1"/>
  <c r="I79" i="8"/>
  <c r="I79" i="4" s="1"/>
  <c r="J47" i="1" s="1" a="1"/>
  <c r="J47" i="1" s="1"/>
  <c r="I19" i="8"/>
  <c r="I19" i="4" s="1"/>
  <c r="J162" i="1" s="1" a="1"/>
  <c r="J162" i="1" s="1"/>
  <c r="I93" i="8"/>
  <c r="I93" i="4" s="1"/>
  <c r="I61" i="8"/>
  <c r="I61" i="4" s="1"/>
  <c r="I13" i="8"/>
  <c r="I83" i="8"/>
  <c r="I83" i="4" s="1"/>
  <c r="I8" i="8"/>
  <c r="I23" i="8"/>
  <c r="I11" i="8"/>
  <c r="I11" i="4" s="1"/>
  <c r="I96" i="8"/>
  <c r="I96" i="4" s="1"/>
  <c r="I91" i="8"/>
  <c r="I91" i="4" s="1"/>
  <c r="J101" i="1" s="1" a="1"/>
  <c r="J101" i="1" s="1"/>
  <c r="I29" i="8"/>
  <c r="I25" i="8"/>
  <c r="I25" i="4" s="1"/>
  <c r="I31" i="8"/>
  <c r="I52" i="8"/>
  <c r="I52" i="4" s="1"/>
  <c r="I39" i="8"/>
  <c r="I39" i="4" s="1"/>
  <c r="J119" i="1" s="1" a="1"/>
  <c r="J119" i="1" s="1"/>
  <c r="I34" i="8"/>
  <c r="I37" i="8"/>
  <c r="I65" i="8"/>
  <c r="I65" i="4" s="1"/>
  <c r="I63" i="8"/>
  <c r="I63" i="4" s="1"/>
  <c r="I66" i="8"/>
  <c r="I66" i="4" s="1"/>
  <c r="J49" i="1" s="1" a="1"/>
  <c r="J49" i="1" s="1"/>
  <c r="I99" i="8"/>
  <c r="I99" i="4" s="1"/>
  <c r="I64" i="8"/>
  <c r="I64" i="4" s="1"/>
  <c r="I98" i="8"/>
  <c r="I98" i="4" s="1"/>
  <c r="I69" i="8"/>
  <c r="I69" i="4" s="1"/>
  <c r="I15" i="8"/>
  <c r="I78" i="8"/>
  <c r="I78" i="4" s="1"/>
  <c r="I10" i="8"/>
  <c r="I10" i="4" s="1"/>
  <c r="I16" i="8"/>
  <c r="I46" i="8"/>
  <c r="I46" i="4" s="1"/>
  <c r="I26" i="8"/>
  <c r="I30" i="8"/>
  <c r="I95" i="8"/>
  <c r="I95" i="4" s="1"/>
  <c r="I88" i="8"/>
  <c r="I88" i="4" s="1"/>
  <c r="I70" i="8"/>
  <c r="I70" i="4" s="1"/>
  <c r="J126" i="1" s="1" a="1"/>
  <c r="J126" i="1" s="1"/>
  <c r="I82" i="8"/>
  <c r="I82" i="4" s="1"/>
  <c r="I9" i="8"/>
  <c r="I49" i="8"/>
  <c r="I49" i="4" s="1"/>
  <c r="I71" i="8"/>
  <c r="I71" i="4" s="1"/>
  <c r="I43" i="8"/>
  <c r="I43" i="4" s="1"/>
  <c r="J149" i="1" s="1" a="1"/>
  <c r="J149" i="1" s="1"/>
  <c r="I77" i="8"/>
  <c r="I77" i="4" s="1"/>
  <c r="J176" i="1" s="1" a="1"/>
  <c r="J176" i="1" s="1"/>
  <c r="I51" i="8"/>
  <c r="I51" i="4" s="1"/>
  <c r="J152" i="1" s="1" a="1"/>
  <c r="J152" i="1" s="1"/>
  <c r="I35" i="8"/>
  <c r="I81" i="8"/>
  <c r="I81" i="4" s="1"/>
  <c r="I55" i="8"/>
  <c r="I55" i="4" s="1"/>
  <c r="J140" i="1" s="1" a="1"/>
  <c r="J140" i="1" s="1"/>
  <c r="I50" i="8"/>
  <c r="I50" i="4" s="1"/>
  <c r="I38" i="8"/>
  <c r="I68" i="8"/>
  <c r="I68" i="4" s="1"/>
  <c r="I6" i="8"/>
  <c r="I101" i="8"/>
  <c r="I101" i="4" s="1"/>
  <c r="I59" i="8"/>
  <c r="I59" i="4" s="1"/>
  <c r="I42" i="8"/>
  <c r="I42" i="4" s="1"/>
  <c r="I41" i="8"/>
  <c r="I76" i="8"/>
  <c r="I76" i="4" s="1"/>
  <c r="I17" i="8"/>
  <c r="I24" i="8"/>
  <c r="I67" i="8"/>
  <c r="I67" i="4" s="1"/>
  <c r="J108" i="1" s="1" a="1"/>
  <c r="J108" i="1" s="1"/>
  <c r="I3" i="8"/>
  <c r="I47" i="8"/>
  <c r="I47" i="4" s="1"/>
  <c r="I92" i="8"/>
  <c r="I92" i="4" s="1"/>
  <c r="J177" i="1" s="1" a="1"/>
  <c r="J177" i="1" s="1"/>
  <c r="I80" i="8"/>
  <c r="I80" i="4" s="1"/>
  <c r="J133" i="1" s="1" a="1"/>
  <c r="J133" i="1" s="1"/>
  <c r="I40" i="8"/>
  <c r="I40" i="4" s="1"/>
  <c r="I28" i="8"/>
  <c r="I14" i="8"/>
  <c r="I62" i="8"/>
  <c r="I62" i="4" s="1"/>
  <c r="I102" i="8"/>
  <c r="I102" i="4" s="1"/>
  <c r="I5" i="8"/>
  <c r="I94" i="8"/>
  <c r="I94" i="4" s="1"/>
  <c r="I36" i="8"/>
  <c r="I85" i="8"/>
  <c r="I85" i="4" s="1"/>
  <c r="I48" i="8"/>
  <c r="I48" i="4" s="1"/>
  <c r="I32" i="8"/>
  <c r="J96" i="1" l="1" a="1"/>
  <c r="J96" i="1" s="1"/>
  <c r="L96" i="15" s="1"/>
  <c r="J88" i="1" a="1"/>
  <c r="J88" i="1" s="1"/>
  <c r="L88" i="15" s="1"/>
  <c r="J103" i="1" a="1"/>
  <c r="J103" i="1" s="1"/>
  <c r="L103" i="15" s="1"/>
  <c r="J135" i="1" a="1"/>
  <c r="J135" i="1" s="1"/>
  <c r="L135" i="15" s="1"/>
  <c r="J146" i="1" a="1"/>
  <c r="J146" i="1" s="1"/>
  <c r="L146" i="15" s="1"/>
  <c r="J127" i="1" a="1"/>
  <c r="J127" i="1" s="1"/>
  <c r="L127" i="15" s="1"/>
  <c r="J117" i="1" a="1"/>
  <c r="J117" i="1" s="1"/>
  <c r="L117" i="15" s="1"/>
  <c r="J102" i="1" a="1"/>
  <c r="J102" i="1" s="1"/>
  <c r="L102" i="15" s="1"/>
  <c r="J143" i="1" a="1"/>
  <c r="J143" i="1" s="1"/>
  <c r="L143" i="15" s="1"/>
  <c r="AD60" i="4"/>
  <c r="M167" i="1" s="1"/>
  <c r="M167" i="15" s="1"/>
  <c r="N167" i="15" s="1" a="1"/>
  <c r="N167" i="15" s="1"/>
  <c r="AD52" i="4"/>
  <c r="M113" i="1" s="1"/>
  <c r="M113" i="15" s="1"/>
  <c r="N113" i="15" s="1" a="1"/>
  <c r="N113" i="15" s="1"/>
  <c r="AD57" i="4"/>
  <c r="M112" i="1" s="1"/>
  <c r="M112" i="15" s="1"/>
  <c r="N112" i="15" s="1" a="1"/>
  <c r="N112" i="15" s="1"/>
  <c r="AD50" i="4"/>
  <c r="M102" i="1" s="1"/>
  <c r="M102" i="15" s="1"/>
  <c r="N102" i="15" s="1" a="1"/>
  <c r="N102" i="15" s="1"/>
  <c r="AD29" i="4"/>
  <c r="M130" i="1" s="1"/>
  <c r="M130" i="15" s="1"/>
  <c r="N130" i="15" s="1" a="1"/>
  <c r="N130" i="15" s="1"/>
  <c r="J173" i="1" a="1"/>
  <c r="J173" i="1" s="1"/>
  <c r="J165" i="1" a="1"/>
  <c r="J165" i="1" s="1"/>
  <c r="L165" i="15" s="1"/>
  <c r="J137" i="1" a="1"/>
  <c r="J137" i="1" s="1"/>
  <c r="L137" i="15" s="1"/>
  <c r="J156" i="1" a="1"/>
  <c r="J156" i="1" s="1"/>
  <c r="L156" i="15" s="1"/>
  <c r="J161" i="1" a="1"/>
  <c r="J161" i="1" s="1"/>
  <c r="L161" i="15" s="1"/>
  <c r="J84" i="1" a="1"/>
  <c r="J84" i="1" s="1"/>
  <c r="L84" i="15" s="1"/>
  <c r="J157" i="1" a="1"/>
  <c r="J157" i="1" s="1"/>
  <c r="L157" i="15" s="1"/>
  <c r="J147" i="1" a="1"/>
  <c r="J147" i="1" s="1"/>
  <c r="L147" i="15" s="1"/>
  <c r="J150" i="1" a="1"/>
  <c r="J150" i="1" s="1"/>
  <c r="L150" i="15" s="1"/>
  <c r="J179" i="1" a="1"/>
  <c r="J179" i="1" s="1"/>
  <c r="J41" i="1" a="1"/>
  <c r="J41" i="1" s="1"/>
  <c r="L41" i="15" s="1"/>
  <c r="J118" i="1" a="1"/>
  <c r="J118" i="1" s="1"/>
  <c r="L118" i="15" s="1"/>
  <c r="J131" i="1" a="1"/>
  <c r="J131" i="1" s="1"/>
  <c r="L131" i="15" s="1"/>
  <c r="J113" i="1" a="1"/>
  <c r="J113" i="1" s="1"/>
  <c r="L113" i="15" s="1"/>
  <c r="J120" i="1" a="1"/>
  <c r="J120" i="1" s="1"/>
  <c r="L120" i="15" s="1"/>
  <c r="J82" i="1" a="1"/>
  <c r="J82" i="1" s="1"/>
  <c r="L82" i="15" s="1"/>
  <c r="J168" i="1" a="1"/>
  <c r="J168" i="1" s="1"/>
  <c r="L168" i="15" s="1"/>
  <c r="J136" i="1" a="1"/>
  <c r="J136" i="1" s="1"/>
  <c r="L136" i="15" s="1"/>
  <c r="J129" i="1" a="1"/>
  <c r="J129" i="1" s="1"/>
  <c r="L129" i="15" s="1"/>
  <c r="J160" i="1" a="1"/>
  <c r="J160" i="1" s="1"/>
  <c r="J155" i="1" a="1"/>
  <c r="J155" i="1" s="1"/>
  <c r="L155" i="15" s="1"/>
  <c r="J138" i="1" a="1"/>
  <c r="J138" i="1" s="1"/>
  <c r="L138" i="15" s="1"/>
  <c r="J112" i="1" a="1"/>
  <c r="J112" i="1" s="1"/>
  <c r="J107" i="1" a="1"/>
  <c r="J107" i="1" s="1"/>
  <c r="L107" i="15" s="1"/>
  <c r="AD95" i="4"/>
  <c r="M140" i="1" s="1"/>
  <c r="M140" i="15" s="1"/>
  <c r="N140" i="15" s="1" a="1"/>
  <c r="N140" i="15" s="1"/>
  <c r="AD68" i="4"/>
  <c r="M106" i="1" s="1"/>
  <c r="M106" i="15" s="1"/>
  <c r="N106" i="15" s="1" a="1"/>
  <c r="N106" i="15" s="1"/>
  <c r="AD78" i="4"/>
  <c r="M93" i="1" s="1"/>
  <c r="M93" i="15" s="1"/>
  <c r="N93" i="15" s="1" a="1"/>
  <c r="N93" i="15" s="1"/>
  <c r="AD49" i="4"/>
  <c r="M165" i="1" s="1"/>
  <c r="M165" i="15" s="1"/>
  <c r="N165" i="15" s="1" a="1"/>
  <c r="N165" i="15" s="1"/>
  <c r="AD69" i="4"/>
  <c r="M160" i="1" s="1"/>
  <c r="M160" i="15" s="1"/>
  <c r="N160" i="15" s="1" a="1"/>
  <c r="N160" i="15" s="1"/>
  <c r="J170" i="1" a="1"/>
  <c r="J170" i="1" s="1"/>
  <c r="L170" i="15" s="1"/>
  <c r="J114" i="1" a="1"/>
  <c r="J114" i="1" s="1"/>
  <c r="L114" i="15" s="1"/>
  <c r="J142" i="1" a="1"/>
  <c r="J142" i="1" s="1"/>
  <c r="L142" i="15" s="1"/>
  <c r="J132" i="1" a="1"/>
  <c r="J132" i="1" s="1"/>
  <c r="L132" i="15" s="1"/>
  <c r="J87" i="1" a="1"/>
  <c r="J87" i="1" s="1"/>
  <c r="L87" i="15" s="1"/>
  <c r="J145" i="1" a="1"/>
  <c r="J145" i="1" s="1"/>
  <c r="L145" i="15" s="1"/>
  <c r="J83" i="1" a="1"/>
  <c r="J83" i="1" s="1"/>
  <c r="L83" i="15" s="1"/>
  <c r="J85" i="1" a="1"/>
  <c r="J85" i="1" s="1"/>
  <c r="L85" i="15" s="1"/>
  <c r="L671" i="15"/>
  <c r="L187" i="15"/>
  <c r="L668" i="15"/>
  <c r="L386" i="15"/>
  <c r="L242" i="15"/>
  <c r="L325" i="15"/>
  <c r="L280" i="15"/>
  <c r="L408" i="15"/>
  <c r="L328" i="15"/>
  <c r="L269" i="15"/>
  <c r="L221" i="15"/>
  <c r="L214" i="15"/>
  <c r="L558" i="15"/>
  <c r="L672" i="15"/>
  <c r="L658" i="15"/>
  <c r="L591" i="15"/>
  <c r="L587" i="15"/>
  <c r="L583" i="15"/>
  <c r="L579" i="15"/>
  <c r="L575" i="15"/>
  <c r="L571" i="15"/>
  <c r="L567" i="15"/>
  <c r="L563" i="15"/>
  <c r="L559" i="15"/>
  <c r="L437" i="15"/>
  <c r="L323" i="15"/>
  <c r="L260" i="15"/>
  <c r="L652" i="15"/>
  <c r="L648" i="15"/>
  <c r="L644" i="15"/>
  <c r="L642" i="15"/>
  <c r="L640" i="15"/>
  <c r="L602" i="15"/>
  <c r="L247" i="15"/>
  <c r="L628" i="15"/>
  <c r="L274" i="15"/>
  <c r="L248" i="15"/>
  <c r="L243" i="15"/>
  <c r="L244" i="15"/>
  <c r="L228" i="15"/>
  <c r="L201" i="15"/>
  <c r="L643" i="15"/>
  <c r="L664" i="15"/>
  <c r="L632" i="15"/>
  <c r="L629" i="15"/>
  <c r="L347" i="15"/>
  <c r="L308" i="15"/>
  <c r="L267" i="15"/>
  <c r="L249" i="15"/>
  <c r="L263" i="15"/>
  <c r="L238" i="15"/>
  <c r="L229" i="15"/>
  <c r="L237" i="15"/>
  <c r="L663" i="15"/>
  <c r="L557" i="15"/>
  <c r="L551" i="15"/>
  <c r="L633" i="15"/>
  <c r="L290" i="15"/>
  <c r="K4" i="1" a="1"/>
  <c r="K4" i="1" s="1"/>
  <c r="K8" i="1" a="1"/>
  <c r="K8" i="1" s="1"/>
  <c r="L387" i="15"/>
  <c r="L349" i="15"/>
  <c r="L351" i="15"/>
  <c r="L356" i="15"/>
  <c r="L360" i="15"/>
  <c r="L364" i="15"/>
  <c r="L368" i="15"/>
  <c r="L372" i="15"/>
  <c r="L376" i="15"/>
  <c r="L380" i="15"/>
  <c r="L384" i="15"/>
  <c r="L345" i="15"/>
  <c r="L398" i="15"/>
  <c r="L435" i="15"/>
  <c r="L402" i="15"/>
  <c r="L433" i="15"/>
  <c r="L443" i="15"/>
  <c r="L452" i="15"/>
  <c r="L456" i="15"/>
  <c r="L460" i="15"/>
  <c r="L464" i="15"/>
  <c r="L468" i="15"/>
  <c r="L472" i="15"/>
  <c r="L476" i="15"/>
  <c r="L480" i="15"/>
  <c r="L445" i="15"/>
  <c r="L544" i="15"/>
  <c r="L256" i="15"/>
  <c r="L265" i="15"/>
  <c r="L277" i="15"/>
  <c r="L279" i="15"/>
  <c r="L317" i="15"/>
  <c r="L326" i="15"/>
  <c r="L491" i="15"/>
  <c r="L492" i="15"/>
  <c r="L496" i="15"/>
  <c r="L500" i="15"/>
  <c r="L504" i="15"/>
  <c r="L508" i="15"/>
  <c r="L512" i="15"/>
  <c r="L516" i="15"/>
  <c r="L520" i="15"/>
  <c r="L524" i="15"/>
  <c r="L528" i="15"/>
  <c r="L532" i="15"/>
  <c r="L536" i="15"/>
  <c r="L540" i="15"/>
  <c r="L548" i="15"/>
  <c r="L601" i="15"/>
  <c r="L603" i="15"/>
  <c r="L549" i="15"/>
  <c r="L637" i="15"/>
  <c r="L646" i="15"/>
  <c r="L650" i="15"/>
  <c r="L654" i="15"/>
  <c r="L710" i="15"/>
  <c r="L711" i="15"/>
  <c r="L194" i="15"/>
  <c r="L240" i="15"/>
  <c r="L236" i="15"/>
  <c r="L255" i="15"/>
  <c r="L296" i="15"/>
  <c r="L303" i="15"/>
  <c r="L313" i="15"/>
  <c r="L198" i="15"/>
  <c r="L224" i="15"/>
  <c r="L234" i="15"/>
  <c r="L227" i="15"/>
  <c r="L223" i="15"/>
  <c r="L338" i="15"/>
  <c r="L180" i="15"/>
  <c r="L705" i="15"/>
  <c r="L701" i="15"/>
  <c r="L697" i="15"/>
  <c r="L693" i="15"/>
  <c r="L689" i="15"/>
  <c r="L685" i="15"/>
  <c r="L681" i="15"/>
  <c r="L677" i="15"/>
  <c r="L636" i="15"/>
  <c r="L449" i="15"/>
  <c r="L441" i="15"/>
  <c r="L428" i="15"/>
  <c r="L424" i="15"/>
  <c r="L353" i="15"/>
  <c r="L344" i="15"/>
  <c r="L340" i="15"/>
  <c r="L288" i="15"/>
  <c r="L309" i="15"/>
  <c r="L254" i="15"/>
  <c r="L208" i="15"/>
  <c r="L196" i="15"/>
  <c r="L661" i="15"/>
  <c r="L708" i="15"/>
  <c r="L590" i="15"/>
  <c r="L586" i="15"/>
  <c r="L582" i="15"/>
  <c r="L578" i="15"/>
  <c r="L574" i="15"/>
  <c r="L570" i="15"/>
  <c r="L566" i="15"/>
  <c r="L562" i="15"/>
  <c r="L481" i="15"/>
  <c r="L477" i="15"/>
  <c r="L473" i="15"/>
  <c r="L469" i="15"/>
  <c r="L465" i="15"/>
  <c r="L461" i="15"/>
  <c r="L457" i="15"/>
  <c r="L453" i="15"/>
  <c r="L450" i="15"/>
  <c r="L490" i="15"/>
  <c r="L436" i="15"/>
  <c r="L432" i="15"/>
  <c r="L431" i="15"/>
  <c r="L403" i="15"/>
  <c r="L350" i="15"/>
  <c r="L346" i="15"/>
  <c r="L342" i="15"/>
  <c r="L318" i="15"/>
  <c r="L301" i="15"/>
  <c r="L270" i="15"/>
  <c r="L297" i="15"/>
  <c r="L284" i="15"/>
  <c r="L258" i="15"/>
  <c r="L252" i="15"/>
  <c r="L230" i="15"/>
  <c r="L197" i="15"/>
  <c r="L655" i="15"/>
  <c r="L651" i="15"/>
  <c r="L647" i="15"/>
  <c r="L639" i="15"/>
  <c r="L635" i="15"/>
  <c r="L662" i="15"/>
  <c r="L703" i="15"/>
  <c r="L699" i="15"/>
  <c r="L695" i="15"/>
  <c r="L691" i="15"/>
  <c r="L687" i="15"/>
  <c r="L683" i="15"/>
  <c r="L679" i="15"/>
  <c r="L594" i="15"/>
  <c r="L592" i="15"/>
  <c r="L588" i="15"/>
  <c r="L584" i="15"/>
  <c r="L580" i="15"/>
  <c r="L576" i="15"/>
  <c r="L572" i="15"/>
  <c r="L568" i="15"/>
  <c r="L564" i="15"/>
  <c r="L560" i="15"/>
  <c r="L550" i="15"/>
  <c r="L553" i="15"/>
  <c r="L552" i="15"/>
  <c r="L541" i="15"/>
  <c r="L537" i="15"/>
  <c r="L533" i="15"/>
  <c r="L529" i="15"/>
  <c r="L525" i="15"/>
  <c r="L521" i="15"/>
  <c r="L517" i="15"/>
  <c r="L513" i="15"/>
  <c r="L509" i="15"/>
  <c r="L505" i="15"/>
  <c r="L501" i="15"/>
  <c r="L497" i="15"/>
  <c r="L493" i="15"/>
  <c r="L487" i="15"/>
  <c r="L486" i="15"/>
  <c r="L426" i="15"/>
  <c r="L422" i="15"/>
  <c r="L418" i="15"/>
  <c r="L414" i="15"/>
  <c r="L410" i="15"/>
  <c r="L399" i="15"/>
  <c r="L396" i="15"/>
  <c r="L383" i="15"/>
  <c r="L379" i="15"/>
  <c r="L375" i="15"/>
  <c r="L371" i="15"/>
  <c r="L367" i="15"/>
  <c r="L363" i="15"/>
  <c r="L359" i="15"/>
  <c r="L343" i="15"/>
  <c r="L339" i="15"/>
  <c r="L278" i="15"/>
  <c r="L294" i="15"/>
  <c r="L289" i="15"/>
  <c r="L287" i="15"/>
  <c r="L273" i="15"/>
  <c r="L276" i="15"/>
  <c r="L253" i="15"/>
  <c r="L251" i="15"/>
  <c r="L239" i="15"/>
  <c r="L213" i="15"/>
  <c r="L206" i="15"/>
  <c r="L203" i="15"/>
  <c r="L200" i="15"/>
  <c r="L666" i="15"/>
  <c r="L676" i="15"/>
  <c r="L670" i="15"/>
  <c r="L656" i="15"/>
  <c r="L609" i="15"/>
  <c r="L608" i="15"/>
  <c r="L595" i="15"/>
  <c r="L593" i="15"/>
  <c r="L589" i="15"/>
  <c r="L585" i="15"/>
  <c r="L581" i="15"/>
  <c r="L577" i="15"/>
  <c r="L573" i="15"/>
  <c r="L569" i="15"/>
  <c r="L565" i="15"/>
  <c r="L561" i="15"/>
  <c r="L554" i="15"/>
  <c r="L597" i="15"/>
  <c r="L555" i="15"/>
  <c r="L489" i="15"/>
  <c r="L488" i="15"/>
  <c r="L446" i="15"/>
  <c r="L442" i="15"/>
  <c r="L404" i="15"/>
  <c r="L407" i="15"/>
  <c r="L401" i="15"/>
  <c r="L400" i="15"/>
  <c r="L397" i="15"/>
  <c r="L393" i="15"/>
  <c r="L390" i="15"/>
  <c r="L389" i="15"/>
  <c r="L352" i="15"/>
  <c r="L348" i="15"/>
  <c r="L320" i="15"/>
  <c r="L315" i="15"/>
  <c r="L314" i="15"/>
  <c r="L336" i="15"/>
  <c r="L327" i="15"/>
  <c r="L319" i="15"/>
  <c r="L324" i="15"/>
  <c r="L321" i="15"/>
  <c r="L293" i="15"/>
  <c r="L310" i="15"/>
  <c r="L286" i="15"/>
  <c r="L299" i="15"/>
  <c r="L292" i="15"/>
  <c r="L285" i="15"/>
  <c r="L283" i="15"/>
  <c r="L272" i="15"/>
  <c r="L266" i="15"/>
  <c r="L262" i="15"/>
  <c r="L264" i="15"/>
  <c r="L257" i="15"/>
  <c r="L250" i="15"/>
  <c r="L245" i="15"/>
  <c r="L231" i="15"/>
  <c r="L241" i="15"/>
  <c r="L232" i="15"/>
  <c r="L657" i="15"/>
  <c r="L704" i="15"/>
  <c r="L700" i="15"/>
  <c r="L696" i="15"/>
  <c r="L692" i="15"/>
  <c r="L688" i="15"/>
  <c r="L684" i="15"/>
  <c r="L680" i="15"/>
  <c r="L675" i="15"/>
  <c r="L674" i="15"/>
  <c r="L641" i="15"/>
  <c r="L638" i="15"/>
  <c r="L634" i="15"/>
  <c r="L630" i="15"/>
  <c r="L673" i="15"/>
  <c r="L631" i="15"/>
  <c r="L627" i="15"/>
  <c r="L707" i="15"/>
  <c r="L706" i="15"/>
  <c r="L702" i="15"/>
  <c r="L698" i="15"/>
  <c r="L694" i="15"/>
  <c r="L690" i="15"/>
  <c r="L686" i="15"/>
  <c r="L682" i="15"/>
  <c r="L678" i="15"/>
  <c r="L667" i="15"/>
  <c r="L665" i="15"/>
  <c r="L660" i="15"/>
  <c r="L659" i="15"/>
  <c r="L653" i="15"/>
  <c r="L649" i="15"/>
  <c r="L645" i="15"/>
  <c r="L598" i="15"/>
  <c r="L556" i="15"/>
  <c r="L626" i="15"/>
  <c r="L625" i="15"/>
  <c r="L624" i="15"/>
  <c r="L623" i="15"/>
  <c r="L622" i="15"/>
  <c r="L621" i="15"/>
  <c r="L620" i="15"/>
  <c r="L619" i="15"/>
  <c r="L618" i="15"/>
  <c r="L617" i="15"/>
  <c r="L616" i="15"/>
  <c r="L615" i="15"/>
  <c r="L614" i="15"/>
  <c r="L613" i="15"/>
  <c r="L612" i="15"/>
  <c r="L611" i="15"/>
  <c r="L610" i="15"/>
  <c r="L604" i="15"/>
  <c r="L607" i="15"/>
  <c r="L606" i="15"/>
  <c r="L605" i="15"/>
  <c r="L600" i="15"/>
  <c r="L599" i="15"/>
  <c r="L596" i="15"/>
  <c r="L545" i="15"/>
  <c r="L447" i="15"/>
  <c r="L547" i="15"/>
  <c r="L546" i="15"/>
  <c r="L483" i="15"/>
  <c r="L479" i="15"/>
  <c r="L475" i="15"/>
  <c r="L471" i="15"/>
  <c r="L467" i="15"/>
  <c r="L463" i="15"/>
  <c r="L459" i="15"/>
  <c r="L455" i="15"/>
  <c r="L451" i="15"/>
  <c r="L539" i="15"/>
  <c r="L535" i="15"/>
  <c r="L531" i="15"/>
  <c r="L527" i="15"/>
  <c r="L523" i="15"/>
  <c r="L519" i="15"/>
  <c r="L515" i="15"/>
  <c r="L511" i="15"/>
  <c r="L507" i="15"/>
  <c r="L503" i="15"/>
  <c r="L499" i="15"/>
  <c r="L669" i="15"/>
  <c r="L709" i="15"/>
  <c r="L482" i="15"/>
  <c r="L478" i="15"/>
  <c r="L474" i="15"/>
  <c r="L470" i="15"/>
  <c r="L466" i="15"/>
  <c r="L462" i="15"/>
  <c r="L458" i="15"/>
  <c r="L454" i="15"/>
  <c r="L543" i="15"/>
  <c r="L542" i="15"/>
  <c r="L538" i="15"/>
  <c r="L534" i="15"/>
  <c r="L530" i="15"/>
  <c r="L526" i="15"/>
  <c r="L522" i="15"/>
  <c r="L518" i="15"/>
  <c r="L514" i="15"/>
  <c r="L510" i="15"/>
  <c r="L506" i="15"/>
  <c r="L502" i="15"/>
  <c r="L498" i="15"/>
  <c r="L494" i="15"/>
  <c r="L485" i="15"/>
  <c r="L484" i="15"/>
  <c r="L419" i="15"/>
  <c r="L415" i="15"/>
  <c r="L411" i="15"/>
  <c r="L394" i="15"/>
  <c r="L391" i="15"/>
  <c r="L354" i="15"/>
  <c r="L335" i="15"/>
  <c r="L291" i="15"/>
  <c r="L226" i="15"/>
  <c r="L216" i="15"/>
  <c r="L219" i="15"/>
  <c r="L218" i="15"/>
  <c r="L217" i="15"/>
  <c r="L215" i="15"/>
  <c r="L195" i="15"/>
  <c r="L207" i="15"/>
  <c r="L495" i="15"/>
  <c r="L417" i="15"/>
  <c r="L413" i="15"/>
  <c r="L409" i="15"/>
  <c r="L430" i="15"/>
  <c r="L429" i="15"/>
  <c r="L425" i="15"/>
  <c r="L421" i="15"/>
  <c r="L420" i="15"/>
  <c r="L416" i="15"/>
  <c r="L412" i="15"/>
  <c r="L406" i="15"/>
  <c r="L388" i="15"/>
  <c r="L448" i="15"/>
  <c r="L444" i="15"/>
  <c r="L434" i="15"/>
  <c r="L405" i="15"/>
  <c r="L440" i="15"/>
  <c r="L439" i="15"/>
  <c r="L438" i="15"/>
  <c r="L427" i="15"/>
  <c r="L423" i="15"/>
  <c r="L395" i="15"/>
  <c r="L382" i="15"/>
  <c r="L378" i="15"/>
  <c r="L374" i="15"/>
  <c r="L370" i="15"/>
  <c r="L366" i="15"/>
  <c r="L362" i="15"/>
  <c r="L358" i="15"/>
  <c r="L355" i="15"/>
  <c r="L392" i="15"/>
  <c r="L385" i="15"/>
  <c r="L381" i="15"/>
  <c r="L377" i="15"/>
  <c r="L373" i="15"/>
  <c r="L369" i="15"/>
  <c r="L365" i="15"/>
  <c r="L361" i="15"/>
  <c r="L357" i="15"/>
  <c r="L316" i="15"/>
  <c r="L307" i="15"/>
  <c r="L337" i="15"/>
  <c r="L333" i="15"/>
  <c r="L332" i="15"/>
  <c r="L341" i="15"/>
  <c r="L331" i="15"/>
  <c r="L330" i="15"/>
  <c r="L329" i="15"/>
  <c r="L334" i="15"/>
  <c r="L322" i="15"/>
  <c r="L312" i="15"/>
  <c r="L306" i="15"/>
  <c r="L311" i="15"/>
  <c r="L304" i="15"/>
  <c r="L302" i="15"/>
  <c r="L295" i="15"/>
  <c r="L275" i="15"/>
  <c r="L300" i="15"/>
  <c r="L298" i="15"/>
  <c r="L271" i="15"/>
  <c r="L305" i="15"/>
  <c r="L282" i="15"/>
  <c r="L281" i="15"/>
  <c r="L268" i="15"/>
  <c r="L261" i="15"/>
  <c r="L259" i="15"/>
  <c r="L246" i="15"/>
  <c r="L233" i="15"/>
  <c r="L222" i="15"/>
  <c r="L235" i="15"/>
  <c r="L225" i="15"/>
  <c r="L202" i="15"/>
  <c r="L212" i="15"/>
  <c r="L193" i="15"/>
  <c r="L220" i="15"/>
  <c r="L211" i="15"/>
  <c r="L210" i="15"/>
  <c r="L205" i="15"/>
  <c r="L188" i="15"/>
  <c r="L199" i="15"/>
  <c r="L192" i="15"/>
  <c r="L191" i="15"/>
  <c r="L190" i="15"/>
  <c r="L189" i="15"/>
  <c r="L209" i="15"/>
  <c r="L204" i="15"/>
  <c r="L176" i="15"/>
  <c r="J48" i="1" a="1"/>
  <c r="J48" i="1" s="1"/>
  <c r="L48" i="15" s="1"/>
  <c r="J53" i="1" a="1"/>
  <c r="J53" i="1" s="1"/>
  <c r="L53" i="15" s="1"/>
  <c r="J45" i="1" a="1"/>
  <c r="J45" i="1" s="1"/>
  <c r="L45" i="15" s="1"/>
  <c r="L177" i="15"/>
  <c r="L183" i="15"/>
  <c r="L186" i="15"/>
  <c r="J69" i="1" a="1"/>
  <c r="J69" i="1" s="1"/>
  <c r="L69" i="15" s="1"/>
  <c r="L182" i="15"/>
  <c r="L184" i="15"/>
  <c r="L174" i="15"/>
  <c r="L173" i="15"/>
  <c r="L175" i="15"/>
  <c r="L172" i="15"/>
  <c r="L179" i="15"/>
  <c r="L171" i="15"/>
  <c r="L181" i="15"/>
  <c r="J139" i="1" a="1"/>
  <c r="J139" i="1" s="1"/>
  <c r="L139" i="15" s="1"/>
  <c r="J110" i="1" a="1"/>
  <c r="J110" i="1" s="1"/>
  <c r="L110" i="15" s="1"/>
  <c r="L185" i="15"/>
  <c r="M123" i="1"/>
  <c r="M123" i="15" s="1"/>
  <c r="N123" i="15" s="1" a="1"/>
  <c r="N123" i="15" s="1"/>
  <c r="L116" i="15"/>
  <c r="L141" i="15"/>
  <c r="L140" i="15"/>
  <c r="L79" i="15"/>
  <c r="L162" i="15"/>
  <c r="L167" i="15"/>
  <c r="L119" i="15"/>
  <c r="L47" i="15"/>
  <c r="L106" i="15"/>
  <c r="L49" i="15"/>
  <c r="L108" i="15"/>
  <c r="L40" i="15"/>
  <c r="C2" i="8"/>
  <c r="F2" i="8" s="1"/>
  <c r="L75" i="15"/>
  <c r="L152" i="15"/>
  <c r="L111" i="15"/>
  <c r="L126" i="15"/>
  <c r="L38" i="15"/>
  <c r="L133" i="15"/>
  <c r="L27" i="15"/>
  <c r="L149" i="15"/>
  <c r="L101" i="15"/>
  <c r="L59" i="15"/>
  <c r="L160" i="15"/>
  <c r="L112" i="15"/>
  <c r="L37" i="15"/>
  <c r="K7" i="1" a="1"/>
  <c r="K7" i="1" s="1"/>
  <c r="K22" i="1" a="1"/>
  <c r="K22" i="1" s="1"/>
  <c r="J10" i="1" a="1"/>
  <c r="J10" i="1" s="1"/>
  <c r="L10" i="15" s="1"/>
  <c r="A2" i="13" a="1"/>
  <c r="E42" i="13"/>
  <c r="F43" i="13"/>
  <c r="B45" i="13"/>
  <c r="C46" i="13"/>
  <c r="D47" i="13"/>
  <c r="E48" i="13"/>
  <c r="F49" i="13"/>
  <c r="B51" i="13"/>
  <c r="C52" i="13"/>
  <c r="D53" i="13"/>
  <c r="E54" i="13"/>
  <c r="F55" i="13"/>
  <c r="B57" i="13"/>
  <c r="C58" i="13"/>
  <c r="D59" i="13"/>
  <c r="E60" i="13"/>
  <c r="F61" i="13"/>
  <c r="B63" i="13"/>
  <c r="C64" i="13"/>
  <c r="D65" i="13"/>
  <c r="E66" i="13"/>
  <c r="F67" i="13"/>
  <c r="B69" i="13"/>
  <c r="C70" i="13"/>
  <c r="D71" i="13"/>
  <c r="E72" i="13"/>
  <c r="F73" i="13"/>
  <c r="B75" i="13"/>
  <c r="C76" i="13"/>
  <c r="D77" i="13"/>
  <c r="E78" i="13"/>
  <c r="F79" i="13"/>
  <c r="B81" i="13"/>
  <c r="C82" i="13"/>
  <c r="F42" i="13"/>
  <c r="B44" i="13"/>
  <c r="C45" i="13"/>
  <c r="D46" i="13"/>
  <c r="E47" i="13"/>
  <c r="F48" i="13"/>
  <c r="B50" i="13"/>
  <c r="C51" i="13"/>
  <c r="D52" i="13"/>
  <c r="E53" i="13"/>
  <c r="F54" i="13"/>
  <c r="B56" i="13"/>
  <c r="C57" i="13"/>
  <c r="D58" i="13"/>
  <c r="E59" i="13"/>
  <c r="F60" i="13"/>
  <c r="B62" i="13"/>
  <c r="C63" i="13"/>
  <c r="D64" i="13"/>
  <c r="E65" i="13"/>
  <c r="F66" i="13"/>
  <c r="B68" i="13"/>
  <c r="C69" i="13"/>
  <c r="D70" i="13"/>
  <c r="E71" i="13"/>
  <c r="F72" i="13"/>
  <c r="B74" i="13"/>
  <c r="C75" i="13"/>
  <c r="D76" i="13"/>
  <c r="E77" i="13"/>
  <c r="F78" i="13"/>
  <c r="B80" i="13"/>
  <c r="C81" i="13"/>
  <c r="D82" i="13"/>
  <c r="B43" i="13"/>
  <c r="C44" i="13"/>
  <c r="D45" i="13"/>
  <c r="E46" i="13"/>
  <c r="F47" i="13"/>
  <c r="B49" i="13"/>
  <c r="C50" i="13"/>
  <c r="D51" i="13"/>
  <c r="E52" i="13"/>
  <c r="F53" i="13"/>
  <c r="B55" i="13"/>
  <c r="C56" i="13"/>
  <c r="D57" i="13"/>
  <c r="E58" i="13"/>
  <c r="F59" i="13"/>
  <c r="B61" i="13"/>
  <c r="C62" i="13"/>
  <c r="D63" i="13"/>
  <c r="E64" i="13"/>
  <c r="F65" i="13"/>
  <c r="B67" i="13"/>
  <c r="C68" i="13"/>
  <c r="D69" i="13"/>
  <c r="E70" i="13"/>
  <c r="F71" i="13"/>
  <c r="B42" i="13"/>
  <c r="C43" i="13"/>
  <c r="D44" i="13"/>
  <c r="E45" i="13"/>
  <c r="F46" i="13"/>
  <c r="B48" i="13"/>
  <c r="C49" i="13"/>
  <c r="D50" i="13"/>
  <c r="E51" i="13"/>
  <c r="F52" i="13"/>
  <c r="B54" i="13"/>
  <c r="C55" i="13"/>
  <c r="D56" i="13"/>
  <c r="E57" i="13"/>
  <c r="F58" i="13"/>
  <c r="B60" i="13"/>
  <c r="C61" i="13"/>
  <c r="D62" i="13"/>
  <c r="E63" i="13"/>
  <c r="F64" i="13"/>
  <c r="B66" i="13"/>
  <c r="C67" i="13"/>
  <c r="D68" i="13"/>
  <c r="E69" i="13"/>
  <c r="F70" i="13"/>
  <c r="B72" i="13"/>
  <c r="C73" i="13"/>
  <c r="D74" i="13"/>
  <c r="E75" i="13"/>
  <c r="F76" i="13"/>
  <c r="B78" i="13"/>
  <c r="C79" i="13"/>
  <c r="D80" i="13"/>
  <c r="E81" i="13"/>
  <c r="F82" i="13"/>
  <c r="D43" i="13"/>
  <c r="B47" i="13"/>
  <c r="E50" i="13"/>
  <c r="C54" i="13"/>
  <c r="F57" i="13"/>
  <c r="D61" i="13"/>
  <c r="B65" i="13"/>
  <c r="E68" i="13"/>
  <c r="C72" i="13"/>
  <c r="E74" i="13"/>
  <c r="B77" i="13"/>
  <c r="D79" i="13"/>
  <c r="F81" i="13"/>
  <c r="E43" i="13"/>
  <c r="C47" i="13"/>
  <c r="F50" i="13"/>
  <c r="D54" i="13"/>
  <c r="B58" i="13"/>
  <c r="E61" i="13"/>
  <c r="C65" i="13"/>
  <c r="F68" i="13"/>
  <c r="D72" i="13"/>
  <c r="F74" i="13"/>
  <c r="C77" i="13"/>
  <c r="E79" i="13"/>
  <c r="B82" i="13"/>
  <c r="E44" i="13"/>
  <c r="C48" i="13"/>
  <c r="F51" i="13"/>
  <c r="D55" i="13"/>
  <c r="B59" i="13"/>
  <c r="E62" i="13"/>
  <c r="C66" i="13"/>
  <c r="F69" i="13"/>
  <c r="B73" i="13"/>
  <c r="D75" i="13"/>
  <c r="F77" i="13"/>
  <c r="C80" i="13"/>
  <c r="E82" i="13"/>
  <c r="F44" i="13"/>
  <c r="D48" i="13"/>
  <c r="B52" i="13"/>
  <c r="E55" i="13"/>
  <c r="C59" i="13"/>
  <c r="F62" i="13"/>
  <c r="D66" i="13"/>
  <c r="B70" i="13"/>
  <c r="D73" i="13"/>
  <c r="F75" i="13"/>
  <c r="C78" i="13"/>
  <c r="E80" i="13"/>
  <c r="C42" i="13"/>
  <c r="F45" i="13"/>
  <c r="D49" i="13"/>
  <c r="B53" i="13"/>
  <c r="E56" i="13"/>
  <c r="C60" i="13"/>
  <c r="F63" i="13"/>
  <c r="D67" i="13"/>
  <c r="B71" i="13"/>
  <c r="E73" i="13"/>
  <c r="B76" i="13"/>
  <c r="D78" i="13"/>
  <c r="F80" i="13"/>
  <c r="D42" i="13"/>
  <c r="B46" i="13"/>
  <c r="E49" i="13"/>
  <c r="C53" i="13"/>
  <c r="F56" i="13"/>
  <c r="D60" i="13"/>
  <c r="B64" i="13"/>
  <c r="E67" i="13"/>
  <c r="C71" i="13"/>
  <c r="C74" i="13"/>
  <c r="E76" i="13"/>
  <c r="B79" i="13"/>
  <c r="D81" i="13"/>
  <c r="K33" i="1" a="1"/>
  <c r="K33" i="1" s="1"/>
  <c r="I29" i="4"/>
  <c r="J130" i="1" s="1" a="1"/>
  <c r="J130" i="1" s="1"/>
  <c r="L130" i="15" s="1"/>
  <c r="I13" i="4"/>
  <c r="J158" i="1" s="1" a="1"/>
  <c r="J158" i="1" s="1"/>
  <c r="L158" i="15" s="1"/>
  <c r="I20" i="4"/>
  <c r="J74" i="1" s="1" a="1"/>
  <c r="J74" i="1" s="1"/>
  <c r="L74" i="15" s="1"/>
  <c r="I4" i="4"/>
  <c r="I23" i="4"/>
  <c r="J159" i="1" s="1" a="1"/>
  <c r="J159" i="1" s="1"/>
  <c r="L159" i="15" s="1"/>
  <c r="I6" i="4"/>
  <c r="I7" i="4"/>
  <c r="J164" i="1" s="1" a="1"/>
  <c r="J164" i="1" s="1"/>
  <c r="L164" i="15" s="1"/>
  <c r="I14" i="4"/>
  <c r="K57" i="1" a="1"/>
  <c r="K57" i="1" s="1"/>
  <c r="I34" i="4"/>
  <c r="I17" i="4"/>
  <c r="J92" i="1" s="1" a="1"/>
  <c r="J92" i="1" s="1"/>
  <c r="L92" i="15" s="1"/>
  <c r="I36" i="4"/>
  <c r="I37" i="4"/>
  <c r="I8" i="4"/>
  <c r="I21" i="4"/>
  <c r="I28" i="4"/>
  <c r="J55" i="1" s="1" a="1"/>
  <c r="J55" i="1" s="1"/>
  <c r="L55" i="15" s="1"/>
  <c r="I30" i="4"/>
  <c r="J94" i="1" s="1" a="1"/>
  <c r="J94" i="1" s="1"/>
  <c r="L94" i="15" s="1"/>
  <c r="I31" i="4"/>
  <c r="J97" i="1" s="1" a="1"/>
  <c r="J97" i="1" s="1"/>
  <c r="L97" i="15" s="1"/>
  <c r="I38" i="4"/>
  <c r="J148" i="1" s="1" a="1"/>
  <c r="J148" i="1" s="1"/>
  <c r="L148" i="15" s="1"/>
  <c r="I15" i="4"/>
  <c r="I22" i="4"/>
  <c r="I41" i="4"/>
  <c r="J77" i="1" s="1" a="1"/>
  <c r="J77" i="1" s="1"/>
  <c r="L77" i="15" s="1"/>
  <c r="I5" i="4"/>
  <c r="J6" i="1" s="1" a="1"/>
  <c r="J6" i="1" s="1"/>
  <c r="L6" i="15" s="1"/>
  <c r="I24" i="4"/>
  <c r="J128" i="1" s="1" a="1"/>
  <c r="J128" i="1" s="1"/>
  <c r="L128" i="15" s="1"/>
  <c r="I32" i="4"/>
  <c r="I9" i="4"/>
  <c r="I16" i="4"/>
  <c r="J151" i="1" s="1" a="1"/>
  <c r="J151" i="1" s="1"/>
  <c r="L151" i="15" s="1"/>
  <c r="I35" i="4"/>
  <c r="I18" i="4"/>
  <c r="I26" i="4"/>
  <c r="J144" i="1" s="1" a="1"/>
  <c r="J144" i="1" s="1"/>
  <c r="L144" i="15" s="1"/>
  <c r="I3" i="4"/>
  <c r="J21" i="1" s="1" a="1"/>
  <c r="J21" i="1" s="1"/>
  <c r="L21" i="15" s="1"/>
  <c r="J3" i="1" a="1"/>
  <c r="J3" i="1" s="1"/>
  <c r="L3" i="15" s="1"/>
  <c r="J11" i="1" a="1"/>
  <c r="J11" i="1" s="1"/>
  <c r="L11" i="15" s="1"/>
  <c r="J2" i="1" a="1"/>
  <c r="J2" i="1" s="1"/>
  <c r="L2" i="15" s="1"/>
  <c r="D2" i="8"/>
  <c r="G2" i="8" s="1"/>
  <c r="E2" i="8"/>
  <c r="H2" i="8" s="1"/>
  <c r="J46" i="1" l="1" a="1"/>
  <c r="J46" i="1" s="1"/>
  <c r="L46" i="15" s="1"/>
  <c r="J178" i="1" a="1"/>
  <c r="J178" i="1" s="1"/>
  <c r="L178" i="15" s="1"/>
  <c r="J105" i="1" a="1"/>
  <c r="J105" i="1" s="1"/>
  <c r="L105" i="15" s="1"/>
  <c r="J64" i="1" a="1"/>
  <c r="J64" i="1" s="1"/>
  <c r="L64" i="15" s="1"/>
  <c r="J109" i="1" a="1"/>
  <c r="J109" i="1" s="1"/>
  <c r="L109" i="15" s="1"/>
  <c r="J98" i="1" a="1"/>
  <c r="J98" i="1" s="1"/>
  <c r="L98" i="15" s="1"/>
  <c r="J122" i="1" a="1"/>
  <c r="J122" i="1" s="1"/>
  <c r="L122" i="15" s="1"/>
  <c r="J89" i="1" a="1"/>
  <c r="J89" i="1" s="1"/>
  <c r="L89" i="15" s="1"/>
  <c r="J121" i="1" a="1"/>
  <c r="J121" i="1" s="1"/>
  <c r="L121" i="15" s="1"/>
  <c r="J91" i="1" a="1"/>
  <c r="J91" i="1" s="1"/>
  <c r="L91" i="15" s="1"/>
  <c r="J124" i="1" a="1"/>
  <c r="J124" i="1" s="1"/>
  <c r="L124" i="15" s="1"/>
  <c r="J134" i="1" a="1"/>
  <c r="J134" i="1" s="1"/>
  <c r="L134" i="15" s="1"/>
  <c r="J154" i="1" a="1"/>
  <c r="J154" i="1" s="1"/>
  <c r="L154" i="15" s="1"/>
  <c r="J153" i="1" a="1"/>
  <c r="J153" i="1" s="1"/>
  <c r="L153" i="15" s="1"/>
  <c r="J68" i="1" a="1"/>
  <c r="J68" i="1" s="1"/>
  <c r="L68" i="15" s="1"/>
  <c r="J14" i="1" a="1"/>
  <c r="J14" i="1" s="1"/>
  <c r="L14" i="15" s="1"/>
  <c r="J28" i="1" a="1"/>
  <c r="J28" i="1" s="1"/>
  <c r="L28" i="15" s="1"/>
  <c r="J61" i="1" a="1"/>
  <c r="J61" i="1" s="1"/>
  <c r="L61" i="15" s="1"/>
  <c r="J169" i="1" a="1"/>
  <c r="J169" i="1" s="1"/>
  <c r="L169" i="15" s="1"/>
  <c r="J56" i="1" a="1"/>
  <c r="J56" i="1" s="1"/>
  <c r="L56" i="15" s="1"/>
  <c r="J39" i="1" a="1"/>
  <c r="J39" i="1" s="1"/>
  <c r="L39" i="15" s="1"/>
  <c r="J80" i="1" a="1"/>
  <c r="J80" i="1" s="1"/>
  <c r="L80" i="15" s="1"/>
  <c r="J86" i="1" a="1"/>
  <c r="J86" i="1" s="1"/>
  <c r="L86" i="15" s="1"/>
  <c r="J16" i="1" a="1"/>
  <c r="J16" i="1" s="1"/>
  <c r="L16" i="15" s="1"/>
  <c r="J166" i="1" a="1"/>
  <c r="J166" i="1" s="1"/>
  <c r="L166" i="15" s="1"/>
  <c r="J12" i="1" a="1"/>
  <c r="J12" i="1" s="1"/>
  <c r="L12" i="15" s="1"/>
  <c r="J93" i="1" a="1"/>
  <c r="J93" i="1" s="1"/>
  <c r="L93" i="15" s="1"/>
  <c r="J73" i="1" a="1"/>
  <c r="J73" i="1" s="1"/>
  <c r="L73" i="15" s="1"/>
  <c r="J104" i="1" a="1"/>
  <c r="J104" i="1" s="1"/>
  <c r="L104" i="15" s="1"/>
  <c r="J13" i="1" a="1"/>
  <c r="J13" i="1" s="1"/>
  <c r="L13" i="15" s="1"/>
  <c r="J115" i="1" a="1"/>
  <c r="J115" i="1" s="1"/>
  <c r="L115" i="15" s="1"/>
  <c r="J50" i="1" a="1"/>
  <c r="J50" i="1" s="1"/>
  <c r="L50" i="15" s="1"/>
  <c r="J125" i="1" a="1"/>
  <c r="J125" i="1" s="1"/>
  <c r="L125" i="15" s="1"/>
  <c r="J76" i="1" a="1"/>
  <c r="J76" i="1" s="1"/>
  <c r="L76" i="15" s="1"/>
  <c r="J71" i="1" a="1"/>
  <c r="J71" i="1" s="1"/>
  <c r="L71" i="15" s="1"/>
  <c r="J163" i="1" a="1"/>
  <c r="J163" i="1" s="1"/>
  <c r="L163" i="15" s="1"/>
  <c r="J63" i="1" a="1"/>
  <c r="J63" i="1" s="1"/>
  <c r="L63" i="15" s="1"/>
  <c r="J90" i="1" a="1"/>
  <c r="J90" i="1" s="1"/>
  <c r="L90" i="15" s="1"/>
  <c r="J65" i="1" a="1"/>
  <c r="J65" i="1" s="1"/>
  <c r="L65" i="15" s="1"/>
  <c r="J95" i="1" a="1"/>
  <c r="J95" i="1" s="1"/>
  <c r="L95" i="15" s="1"/>
  <c r="J42" i="1" a="1"/>
  <c r="J42" i="1" s="1"/>
  <c r="L42" i="15" s="1"/>
  <c r="J100" i="1" a="1"/>
  <c r="J100" i="1" s="1"/>
  <c r="L100" i="15" s="1"/>
  <c r="J9" i="1" a="1"/>
  <c r="J9" i="1" s="1"/>
  <c r="L9" i="15" s="1"/>
  <c r="J52" i="1" a="1"/>
  <c r="J52" i="1" s="1"/>
  <c r="L52" i="15" s="1"/>
  <c r="J99" i="1" a="1"/>
  <c r="J99" i="1" s="1"/>
  <c r="L99" i="15" s="1"/>
  <c r="C34" i="13"/>
  <c r="C33" i="13"/>
  <c r="E41" i="13"/>
  <c r="C32" i="13"/>
  <c r="E40" i="13"/>
  <c r="C31" i="13"/>
  <c r="E39" i="13"/>
  <c r="C18" i="13"/>
  <c r="D18" i="13"/>
  <c r="B41" i="13"/>
  <c r="E37" i="13"/>
  <c r="B35" i="13"/>
  <c r="E31" i="13"/>
  <c r="B32" i="13"/>
  <c r="D40" i="13"/>
  <c r="B25" i="13"/>
  <c r="D39" i="13"/>
  <c r="D37" i="13"/>
  <c r="D34" i="13"/>
  <c r="D33" i="13"/>
  <c r="D32" i="13"/>
  <c r="D25" i="13"/>
  <c r="B22" i="13"/>
  <c r="D19" i="13"/>
  <c r="C41" i="13"/>
  <c r="E38" i="13"/>
  <c r="C35" i="13"/>
  <c r="B34" i="13"/>
  <c r="E35" i="13"/>
  <c r="E34" i="13"/>
  <c r="D20" i="13"/>
  <c r="E33" i="13"/>
  <c r="B29" i="13"/>
  <c r="E25" i="13"/>
  <c r="B23" i="13"/>
  <c r="E19" i="13"/>
  <c r="B17" i="13"/>
  <c r="B30" i="13"/>
  <c r="D38" i="13"/>
  <c r="D31" i="13"/>
  <c r="B40" i="13"/>
  <c r="D24" i="13"/>
  <c r="C24" i="13"/>
  <c r="D30" i="13"/>
  <c r="C30" i="13"/>
  <c r="D36" i="13"/>
  <c r="C36" i="13"/>
  <c r="C37" i="13"/>
  <c r="C25" i="13"/>
  <c r="C38" i="13"/>
  <c r="C39" i="13"/>
  <c r="E29" i="13"/>
  <c r="D41" i="13"/>
  <c r="B28" i="13"/>
  <c r="C17" i="13"/>
  <c r="E20" i="13"/>
  <c r="C23" i="13"/>
  <c r="E26" i="13"/>
  <c r="C29" i="13"/>
  <c r="E32" i="13"/>
  <c r="B36" i="13"/>
  <c r="E21" i="13"/>
  <c r="B37" i="13"/>
  <c r="B38" i="13"/>
  <c r="C21" i="13"/>
  <c r="C40" i="13"/>
  <c r="B33" i="13"/>
  <c r="B39" i="13"/>
  <c r="E36" i="13"/>
  <c r="D35" i="13"/>
  <c r="E18" i="13"/>
  <c r="C28" i="13"/>
  <c r="E23" i="13"/>
  <c r="B19" i="13"/>
  <c r="D27" i="13"/>
  <c r="D29" i="13"/>
  <c r="B26" i="13"/>
  <c r="C20" i="13"/>
  <c r="E28" i="13"/>
  <c r="B18" i="13"/>
  <c r="D26" i="13"/>
  <c r="E17" i="13"/>
  <c r="C27" i="13"/>
  <c r="D21" i="13"/>
  <c r="B31" i="13"/>
  <c r="C19" i="13"/>
  <c r="E27" i="13"/>
  <c r="B20" i="13"/>
  <c r="D28" i="13"/>
  <c r="E22" i="13"/>
  <c r="B24" i="13"/>
  <c r="C26" i="13"/>
  <c r="D22" i="13"/>
  <c r="B21" i="13"/>
  <c r="B27" i="13"/>
  <c r="E24" i="13"/>
  <c r="D23" i="13"/>
  <c r="E30" i="13"/>
  <c r="C22" i="13"/>
  <c r="D17" i="13"/>
  <c r="J8" i="1" a="1"/>
  <c r="J8" i="1" s="1"/>
  <c r="L8" i="15" s="1"/>
  <c r="J23" i="1" a="1"/>
  <c r="J23" i="1" s="1"/>
  <c r="L23" i="15" s="1"/>
  <c r="J25" i="1" a="1"/>
  <c r="J25" i="1" s="1"/>
  <c r="L25" i="15" s="1"/>
  <c r="J24" i="1" a="1"/>
  <c r="J24" i="1" s="1"/>
  <c r="L24" i="15" s="1"/>
  <c r="J44" i="1" a="1"/>
  <c r="J44" i="1" s="1"/>
  <c r="L44" i="15" s="1"/>
  <c r="J19" i="1" a="1"/>
  <c r="J19" i="1" s="1"/>
  <c r="L19" i="15" s="1"/>
  <c r="J51" i="1" a="1"/>
  <c r="J51" i="1" s="1"/>
  <c r="L51" i="15" s="1"/>
  <c r="J20" i="1" a="1"/>
  <c r="J20" i="1" s="1"/>
  <c r="L20" i="15" s="1"/>
  <c r="J54" i="1" a="1"/>
  <c r="J54" i="1" s="1"/>
  <c r="L54" i="15" s="1"/>
  <c r="J26" i="1" a="1"/>
  <c r="J26" i="1" s="1"/>
  <c r="L26" i="15" s="1"/>
  <c r="J58" i="1" a="1"/>
  <c r="J58" i="1" s="1"/>
  <c r="L58" i="15" s="1"/>
  <c r="J15" i="1" a="1"/>
  <c r="J15" i="1" s="1"/>
  <c r="L15" i="15" s="1"/>
  <c r="J5" i="1" a="1"/>
  <c r="J5" i="1" s="1"/>
  <c r="L5" i="15" s="1"/>
  <c r="J66" i="1" a="1"/>
  <c r="J66" i="1" s="1"/>
  <c r="L66" i="15" s="1"/>
  <c r="J17" i="1" a="1"/>
  <c r="J17" i="1" s="1"/>
  <c r="L17" i="15" s="1"/>
  <c r="J67" i="1" a="1"/>
  <c r="J67" i="1" s="1"/>
  <c r="L67" i="15" s="1"/>
  <c r="J18" i="1" a="1"/>
  <c r="J18" i="1" s="1"/>
  <c r="L18" i="15" s="1"/>
  <c r="A2" i="13"/>
  <c r="B3" i="13"/>
  <c r="C4" i="13"/>
  <c r="D5" i="13"/>
  <c r="E6" i="13"/>
  <c r="B9" i="13"/>
  <c r="C10" i="13"/>
  <c r="D11" i="13"/>
  <c r="E12" i="13"/>
  <c r="B15" i="13"/>
  <c r="C16" i="13"/>
  <c r="C3" i="13"/>
  <c r="D4" i="13"/>
  <c r="E5" i="13"/>
  <c r="B8" i="13"/>
  <c r="C9" i="13"/>
  <c r="D10" i="13"/>
  <c r="E11" i="13"/>
  <c r="B14" i="13"/>
  <c r="C15" i="13"/>
  <c r="D16" i="13"/>
  <c r="D3" i="13"/>
  <c r="E4" i="13"/>
  <c r="B7" i="13"/>
  <c r="C8" i="13"/>
  <c r="D9" i="13"/>
  <c r="E10" i="13"/>
  <c r="B13" i="13"/>
  <c r="C14" i="13"/>
  <c r="D15" i="13"/>
  <c r="E16" i="13"/>
  <c r="E3" i="13"/>
  <c r="B6" i="13"/>
  <c r="C7" i="13"/>
  <c r="D8" i="13"/>
  <c r="E9" i="13"/>
  <c r="B12" i="13"/>
  <c r="C13" i="13"/>
  <c r="D14" i="13"/>
  <c r="E15" i="13"/>
  <c r="D7" i="13"/>
  <c r="B11" i="13"/>
  <c r="E14" i="13"/>
  <c r="B4" i="13"/>
  <c r="E7" i="13"/>
  <c r="C11" i="13"/>
  <c r="B5" i="13"/>
  <c r="E8" i="13"/>
  <c r="C12" i="13"/>
  <c r="C5" i="13"/>
  <c r="D12" i="13"/>
  <c r="B16" i="13"/>
  <c r="C6" i="13"/>
  <c r="D13" i="13"/>
  <c r="D6" i="13"/>
  <c r="B10" i="13"/>
  <c r="E13" i="13"/>
  <c r="J72" i="1" a="1"/>
  <c r="J72" i="1" s="1"/>
  <c r="L72" i="15" s="1"/>
  <c r="J34" i="1" a="1"/>
  <c r="J34" i="1" s="1"/>
  <c r="L34" i="15" s="1"/>
  <c r="J78" i="1" a="1"/>
  <c r="J78" i="1" s="1"/>
  <c r="L78" i="15" s="1"/>
  <c r="J29" i="1" a="1"/>
  <c r="J29" i="1" s="1"/>
  <c r="L29" i="15" s="1"/>
  <c r="J81" i="1" a="1"/>
  <c r="J81" i="1" s="1"/>
  <c r="L81" i="15" s="1"/>
  <c r="J31" i="1" a="1"/>
  <c r="J31" i="1" s="1"/>
  <c r="L31" i="15" s="1"/>
  <c r="J60" i="1" a="1"/>
  <c r="J60" i="1" s="1"/>
  <c r="L60" i="15" s="1"/>
  <c r="J35" i="1" a="1"/>
  <c r="J35" i="1" s="1"/>
  <c r="L35" i="15" s="1"/>
  <c r="J70" i="1" a="1"/>
  <c r="J70" i="1" s="1"/>
  <c r="L70" i="15" s="1"/>
  <c r="J32" i="1" a="1"/>
  <c r="J32" i="1" s="1"/>
  <c r="L32" i="15" s="1"/>
  <c r="J43" i="1" a="1"/>
  <c r="J43" i="1" s="1"/>
  <c r="L43" i="15" s="1"/>
  <c r="J30" i="1" a="1"/>
  <c r="J30" i="1" s="1"/>
  <c r="L30" i="15" s="1"/>
  <c r="J62" i="1" a="1"/>
  <c r="J62" i="1" s="1"/>
  <c r="L62" i="15" s="1"/>
  <c r="J36" i="1" a="1"/>
  <c r="J36" i="1" s="1"/>
  <c r="L36" i="15" s="1"/>
  <c r="I2" i="8"/>
  <c r="I2" i="4" s="1"/>
  <c r="J7" i="1" l="1" a="1"/>
  <c r="J7" i="1" s="1"/>
  <c r="L7" i="15" s="1"/>
  <c r="J123" i="1" a="1"/>
  <c r="J123" i="1" s="1"/>
  <c r="L123" i="15" s="1"/>
  <c r="J33" i="1" a="1"/>
  <c r="J33" i="1" s="1"/>
  <c r="L33" i="15" s="1"/>
  <c r="J22" i="1" a="1"/>
  <c r="J22" i="1" s="1"/>
  <c r="L22" i="15" s="1"/>
  <c r="D2" i="13"/>
  <c r="C2" i="13"/>
  <c r="E2" i="13"/>
  <c r="B2" i="13"/>
  <c r="J4" i="1" a="1"/>
  <c r="J4" i="1" s="1"/>
  <c r="L4" i="15" s="1"/>
  <c r="J57" i="1" a="1"/>
  <c r="J57" i="1" s="1"/>
  <c r="L57" i="15" s="1"/>
  <c r="F28" i="13" l="1"/>
  <c r="F4" i="13"/>
  <c r="F34" i="13" l="1"/>
  <c r="F6" i="13"/>
  <c r="F5" i="13"/>
  <c r="F8" i="13"/>
  <c r="F7" i="13"/>
  <c r="J92" i="12"/>
  <c r="K81" i="12"/>
  <c r="J4" i="12"/>
  <c r="J52" i="12"/>
  <c r="H85" i="12"/>
  <c r="H433" i="12"/>
  <c r="J9" i="12"/>
  <c r="K4" i="12"/>
  <c r="J39" i="12"/>
  <c r="H60" i="12"/>
  <c r="J86" i="12"/>
  <c r="J97" i="12"/>
  <c r="J431" i="12"/>
  <c r="J63" i="12"/>
  <c r="K78" i="12"/>
  <c r="J6" i="12"/>
  <c r="J444" i="12"/>
  <c r="J430" i="12"/>
  <c r="H59" i="12"/>
  <c r="J441" i="12"/>
  <c r="J434" i="12"/>
  <c r="K51" i="12"/>
  <c r="H89" i="12"/>
  <c r="J44" i="12"/>
  <c r="K30" i="12"/>
  <c r="H40" i="12"/>
  <c r="H18" i="12"/>
  <c r="J82" i="12"/>
  <c r="K14" i="12"/>
  <c r="J440" i="12"/>
  <c r="H72" i="12"/>
  <c r="H75" i="12"/>
  <c r="J49" i="12"/>
  <c r="J23" i="12"/>
  <c r="K82" i="12"/>
  <c r="H84" i="12"/>
  <c r="J65" i="12"/>
  <c r="J25" i="12"/>
  <c r="K56" i="12"/>
  <c r="H33" i="12"/>
  <c r="H8" i="12"/>
  <c r="J57" i="12"/>
  <c r="H64" i="12"/>
  <c r="K48" i="12"/>
  <c r="H431" i="12"/>
  <c r="K73" i="12"/>
  <c r="H52" i="12"/>
  <c r="K75" i="12"/>
  <c r="K60" i="12"/>
  <c r="H73" i="12"/>
  <c r="H65" i="12"/>
  <c r="H82" i="12"/>
  <c r="J62" i="12"/>
  <c r="K13" i="12"/>
  <c r="J30" i="12"/>
  <c r="H55" i="12"/>
  <c r="K64" i="12"/>
  <c r="J64" i="12"/>
  <c r="K32" i="12"/>
  <c r="J38" i="12"/>
  <c r="H25" i="12"/>
  <c r="J21" i="12"/>
  <c r="J89" i="12"/>
  <c r="H428" i="12"/>
  <c r="K21" i="12"/>
  <c r="H10" i="12"/>
  <c r="K57" i="12"/>
  <c r="J15" i="12"/>
  <c r="H19" i="12"/>
  <c r="J55" i="12"/>
  <c r="K28" i="12"/>
  <c r="J48" i="12"/>
  <c r="K45" i="12"/>
  <c r="H90" i="12"/>
  <c r="H54" i="12"/>
  <c r="K40" i="12"/>
  <c r="J445" i="12"/>
  <c r="H47" i="12"/>
  <c r="J2" i="12"/>
  <c r="K68" i="12"/>
  <c r="J426" i="12"/>
  <c r="J36" i="12"/>
  <c r="J37" i="12"/>
  <c r="K61" i="12"/>
  <c r="H88" i="12"/>
  <c r="K24" i="12"/>
  <c r="J41" i="12"/>
  <c r="H86" i="12"/>
  <c r="K18" i="12"/>
  <c r="H71" i="12"/>
  <c r="K74" i="12"/>
  <c r="J438" i="12"/>
  <c r="H95" i="12"/>
  <c r="J35" i="12"/>
  <c r="K35" i="12"/>
  <c r="J428" i="12"/>
  <c r="K17" i="12"/>
  <c r="H67" i="12"/>
  <c r="H29" i="12"/>
  <c r="H39" i="12"/>
  <c r="J40" i="12"/>
  <c r="H426" i="12"/>
  <c r="K19" i="12"/>
  <c r="H69" i="12"/>
  <c r="J42" i="12"/>
  <c r="J8" i="12"/>
  <c r="J96" i="12"/>
  <c r="K58" i="12"/>
  <c r="K12" i="12"/>
  <c r="K77" i="12"/>
  <c r="J67" i="12"/>
  <c r="J17" i="12"/>
  <c r="J56" i="12"/>
  <c r="J79" i="12"/>
  <c r="J46" i="12"/>
  <c r="H66" i="12"/>
  <c r="H93" i="12"/>
  <c r="H12" i="12"/>
  <c r="H35" i="12"/>
  <c r="K54" i="12"/>
  <c r="J66" i="12"/>
  <c r="J51" i="12"/>
  <c r="H48" i="12"/>
  <c r="K42" i="12"/>
  <c r="K25" i="12"/>
  <c r="J61" i="12"/>
  <c r="H45" i="12"/>
  <c r="H16" i="12"/>
  <c r="K55" i="12"/>
  <c r="J33" i="12"/>
  <c r="K2" i="12"/>
  <c r="H97" i="12"/>
  <c r="K31" i="12"/>
  <c r="K41" i="12"/>
  <c r="H20" i="12"/>
  <c r="H57" i="12"/>
  <c r="H56" i="12"/>
  <c r="J5" i="12"/>
  <c r="H432" i="12"/>
  <c r="K39" i="12"/>
  <c r="J3" i="12"/>
  <c r="J424" i="12"/>
  <c r="K72" i="12"/>
  <c r="J80" i="12"/>
  <c r="H31" i="12"/>
  <c r="J13" i="12"/>
  <c r="H28" i="12"/>
  <c r="I428" i="12" l="1" a="1"/>
  <c r="I428" i="12" s="1"/>
  <c r="I426" i="12" a="1"/>
  <c r="I426" i="12" s="1"/>
  <c r="J72" i="12"/>
  <c r="J43" i="12"/>
  <c r="H91" i="12"/>
  <c r="K46" i="12"/>
  <c r="J425" i="12"/>
  <c r="H4" i="12"/>
  <c r="H49" i="12"/>
  <c r="K8" i="12"/>
  <c r="J10" i="12"/>
  <c r="K36" i="12"/>
  <c r="J442" i="12"/>
  <c r="J11" i="12"/>
  <c r="H62" i="12"/>
  <c r="J7" i="12"/>
  <c r="K10" i="12"/>
  <c r="H83" i="12"/>
  <c r="H87" i="12"/>
  <c r="J84" i="12"/>
  <c r="K20" i="12"/>
  <c r="J76" i="12"/>
  <c r="H6" i="12"/>
  <c r="H37" i="12"/>
  <c r="K37" i="12"/>
  <c r="H46" i="12"/>
  <c r="J427" i="12"/>
  <c r="J88" i="12"/>
  <c r="J71" i="12"/>
  <c r="H51" i="12"/>
  <c r="K59" i="12"/>
  <c r="J16" i="12"/>
  <c r="J58" i="12"/>
  <c r="H15" i="12"/>
  <c r="H436" i="12"/>
  <c r="H77" i="12"/>
  <c r="H70" i="12"/>
  <c r="H58" i="12"/>
  <c r="H53" i="12"/>
  <c r="K80" i="12"/>
  <c r="J60" i="12"/>
  <c r="H22" i="12"/>
  <c r="J12" i="12"/>
  <c r="H92" i="12"/>
  <c r="H430" i="12"/>
  <c r="H24" i="12"/>
  <c r="H23" i="12"/>
  <c r="J50" i="12"/>
  <c r="J93" i="12"/>
  <c r="J429" i="12"/>
  <c r="J22" i="12"/>
  <c r="H7" i="12"/>
  <c r="H42" i="12"/>
  <c r="K27" i="12"/>
  <c r="K50" i="12"/>
  <c r="H41" i="12"/>
  <c r="K79" i="12"/>
  <c r="J74" i="12"/>
  <c r="H68" i="12"/>
  <c r="J68" i="12"/>
  <c r="J54" i="12"/>
  <c r="J83" i="12"/>
  <c r="K43" i="12"/>
  <c r="J85" i="12"/>
  <c r="K76" i="12"/>
  <c r="J26" i="12"/>
  <c r="J70" i="12"/>
  <c r="K15" i="12"/>
  <c r="H43" i="12"/>
  <c r="K65" i="12"/>
  <c r="J77" i="12"/>
  <c r="K16" i="12"/>
  <c r="H13" i="12"/>
  <c r="H9" i="12"/>
  <c r="J69" i="12"/>
  <c r="H50" i="12"/>
  <c r="H5" i="12"/>
  <c r="K38" i="12"/>
  <c r="K47" i="12"/>
  <c r="K9" i="12"/>
  <c r="J435" i="12"/>
  <c r="H17" i="12"/>
  <c r="H2" i="12"/>
  <c r="K7" i="12"/>
  <c r="J439" i="12"/>
  <c r="H26" i="12"/>
  <c r="H78" i="12"/>
  <c r="K5" i="12"/>
  <c r="K34" i="12"/>
  <c r="K67" i="12"/>
  <c r="H14" i="12"/>
  <c r="H94" i="12"/>
  <c r="J81" i="12"/>
  <c r="J94" i="12"/>
  <c r="J14" i="12"/>
  <c r="J28" i="12"/>
  <c r="J20" i="12"/>
  <c r="H3" i="12"/>
  <c r="J45" i="12"/>
  <c r="K70" i="12"/>
  <c r="J433" i="12"/>
  <c r="K49" i="12"/>
  <c r="J446" i="12"/>
  <c r="J27" i="12"/>
  <c r="K3" i="12"/>
  <c r="H30" i="12"/>
  <c r="H74" i="12"/>
  <c r="K62" i="12"/>
  <c r="J24" i="12"/>
  <c r="H427" i="12"/>
  <c r="J18" i="12"/>
  <c r="K26" i="12"/>
  <c r="J73" i="12"/>
  <c r="J59" i="12"/>
  <c r="K44" i="12"/>
  <c r="K6" i="12"/>
  <c r="J98" i="12"/>
  <c r="J29" i="12"/>
  <c r="K63" i="12"/>
  <c r="J87" i="12"/>
  <c r="H76" i="12"/>
  <c r="H32" i="12"/>
  <c r="H429" i="12"/>
  <c r="H96" i="12"/>
  <c r="K66" i="12"/>
  <c r="H34" i="12"/>
  <c r="K33" i="12"/>
  <c r="H81" i="12"/>
  <c r="J47" i="12"/>
  <c r="H63" i="12"/>
  <c r="H435" i="12"/>
  <c r="K22" i="12"/>
  <c r="K71" i="12"/>
  <c r="J78" i="12"/>
  <c r="K69" i="12"/>
  <c r="J91" i="12"/>
  <c r="H434" i="12"/>
  <c r="H61" i="12"/>
  <c r="J90" i="12"/>
  <c r="K53" i="12"/>
  <c r="H21" i="12"/>
  <c r="K11" i="12"/>
  <c r="K29" i="12"/>
  <c r="J34" i="12"/>
  <c r="J32" i="12"/>
  <c r="J95" i="12"/>
  <c r="J437" i="12"/>
  <c r="H44" i="12"/>
  <c r="J432" i="12"/>
  <c r="H79" i="12"/>
  <c r="J31" i="12"/>
  <c r="H424" i="12"/>
  <c r="H27" i="12"/>
  <c r="K52" i="12"/>
  <c r="K23" i="12"/>
  <c r="J53" i="12"/>
  <c r="H425" i="12"/>
  <c r="H98" i="12"/>
  <c r="J436" i="12"/>
  <c r="J75" i="12"/>
  <c r="J19" i="12"/>
  <c r="I424" i="12" l="1" a="1"/>
  <c r="I424" i="12" s="1"/>
  <c r="I430" i="12" a="1"/>
  <c r="I430" i="12" s="1"/>
  <c r="I429" i="12" a="1"/>
  <c r="I429" i="12" s="1"/>
  <c r="I425" i="12" a="1"/>
  <c r="I425" i="12" s="1"/>
  <c r="I427" i="12" a="1"/>
  <c r="I427" i="12" s="1"/>
  <c r="H38" i="12"/>
  <c r="J443" i="12"/>
  <c r="H36" i="12"/>
  <c r="H11" i="12"/>
  <c r="H80" i="12"/>
  <c r="I38" i="12" l="1" a="1"/>
  <c r="I38" i="12" s="1"/>
  <c r="I36" i="12" a="1"/>
  <c r="I36" i="12" s="1"/>
  <c r="I80" i="12" a="1"/>
  <c r="I80" i="12" s="1"/>
  <c r="I11" i="12" a="1"/>
  <c r="I11" i="12" s="1"/>
  <c r="M22" i="12" a="1"/>
  <c r="M22" i="12" s="1"/>
  <c r="M66" i="12" a="1"/>
  <c r="M66" i="12" s="1"/>
  <c r="M27" i="12" a="1"/>
  <c r="M27" i="12" s="1"/>
  <c r="I14" i="12" a="1"/>
  <c r="I14" i="12" s="1"/>
  <c r="I51" i="12" a="1"/>
  <c r="I51" i="12" s="1"/>
  <c r="L12" i="12" a="1"/>
  <c r="L12" i="12" s="1"/>
  <c r="M62" i="12" a="1"/>
  <c r="M62" i="12" s="1"/>
  <c r="M70" i="12" a="1"/>
  <c r="M70" i="12" s="1"/>
  <c r="M89" i="12" a="1"/>
  <c r="M89" i="12" s="1"/>
  <c r="L19" i="12" a="1"/>
  <c r="L19" i="12" s="1"/>
  <c r="L59" i="12" a="1"/>
  <c r="L59" i="12" s="1"/>
  <c r="L71" i="12" a="1"/>
  <c r="L71" i="12" s="1"/>
  <c r="I17" i="12" a="1"/>
  <c r="I17" i="12" s="1"/>
  <c r="I9" i="12" a="1"/>
  <c r="I9" i="12" s="1"/>
  <c r="I21" i="12" a="1"/>
  <c r="I21" i="12" s="1"/>
  <c r="M76" i="12" a="1"/>
  <c r="M76" i="12" s="1"/>
  <c r="I46" i="12" a="1"/>
  <c r="I46" i="12" s="1"/>
  <c r="M91" i="12" a="1"/>
  <c r="M91" i="12" s="1"/>
  <c r="I91" i="12" a="1"/>
  <c r="I91" i="12" s="1"/>
  <c r="I37" i="12" a="1"/>
  <c r="I37" i="12" s="1"/>
  <c r="L74" i="12" a="1"/>
  <c r="L74" i="12" s="1"/>
  <c r="L87" i="12" a="1"/>
  <c r="L87" i="12" s="1"/>
  <c r="I98" i="12" a="1"/>
  <c r="I98" i="12" s="1"/>
  <c r="I81" i="12" a="1"/>
  <c r="I81" i="12" s="1"/>
  <c r="M26" i="12" a="1"/>
  <c r="M26" i="12" s="1"/>
  <c r="L53" i="12" a="1"/>
  <c r="L53" i="12" s="1"/>
  <c r="I83" i="12" a="1"/>
  <c r="I83" i="12" s="1"/>
  <c r="L14" i="12" a="1"/>
  <c r="L14" i="12" s="1"/>
  <c r="L93" i="12" a="1"/>
  <c r="L93" i="12" s="1"/>
  <c r="I26" i="12" a="1"/>
  <c r="I26" i="12" s="1"/>
  <c r="M8" i="12" a="1"/>
  <c r="M8" i="12" s="1"/>
  <c r="I43" i="12" a="1"/>
  <c r="I43" i="12" s="1"/>
  <c r="I79" i="12" a="1"/>
  <c r="I79" i="12" s="1"/>
  <c r="M5" i="12" a="1"/>
  <c r="M5" i="12" s="1"/>
  <c r="L43" i="12" a="1"/>
  <c r="L43" i="12" s="1"/>
  <c r="I96" i="12" a="1"/>
  <c r="I96" i="12" s="1"/>
  <c r="I42" i="12" a="1"/>
  <c r="I42" i="12" s="1"/>
  <c r="I70" i="12" a="1"/>
  <c r="I70" i="12" s="1"/>
  <c r="I5" i="12" a="1"/>
  <c r="I5" i="12" s="1"/>
  <c r="L76" i="12" a="1"/>
  <c r="L76" i="12" s="1"/>
  <c r="M85" i="12" a="1"/>
  <c r="M85" i="12" s="1"/>
  <c r="I74" i="12" a="1"/>
  <c r="I74" i="12" s="1"/>
  <c r="L45" i="12" a="1"/>
  <c r="L45" i="12" s="1"/>
  <c r="I53" i="12" a="1"/>
  <c r="I53" i="12" s="1"/>
  <c r="L91" i="12" a="1"/>
  <c r="L91" i="12" s="1"/>
  <c r="I6" i="12" a="1"/>
  <c r="I6" i="12" s="1"/>
  <c r="I62" i="12" a="1"/>
  <c r="I62" i="12" s="1"/>
  <c r="I13" i="12" a="1"/>
  <c r="I13" i="12" s="1"/>
  <c r="I4" i="12" a="1"/>
  <c r="I4" i="12" s="1"/>
  <c r="L90" i="12" a="1"/>
  <c r="L90" i="12" s="1"/>
  <c r="L83" i="12" a="1"/>
  <c r="L83" i="12" s="1"/>
  <c r="M69" i="12" a="1"/>
  <c r="M69" i="12" s="1"/>
  <c r="M79" i="12" a="1"/>
  <c r="M79" i="12" s="1"/>
  <c r="L72" i="12" a="1"/>
  <c r="L72" i="12" s="1"/>
  <c r="L73" i="12" a="1"/>
  <c r="L73" i="12" s="1"/>
  <c r="I87" i="12" a="1"/>
  <c r="I87" i="12" s="1"/>
  <c r="L18" i="12" a="1"/>
  <c r="L18" i="12" s="1"/>
  <c r="I22" i="12" a="1"/>
  <c r="I22" i="12" s="1"/>
  <c r="M86" i="12" a="1"/>
  <c r="M86" i="12" s="1"/>
  <c r="I27" i="12" a="1"/>
  <c r="I27" i="12" s="1"/>
  <c r="L94" i="12" a="1"/>
  <c r="L94" i="12" s="1"/>
  <c r="M6" i="12" a="1"/>
  <c r="M6" i="12" s="1"/>
  <c r="L32" i="12" a="1"/>
  <c r="L32" i="12" s="1"/>
  <c r="M87" i="12" a="1"/>
  <c r="M87" i="12" s="1"/>
  <c r="M29" i="12" a="1"/>
  <c r="M29" i="12" s="1"/>
  <c r="M15" i="12" a="1"/>
  <c r="M15" i="12" s="1"/>
  <c r="I78" i="12" a="1"/>
  <c r="I78" i="12" s="1"/>
  <c r="M33" i="12" a="1"/>
  <c r="M33" i="12" s="1"/>
  <c r="L54" i="12" a="1"/>
  <c r="L54" i="12" s="1"/>
  <c r="M88" i="12" a="1"/>
  <c r="M88" i="12" s="1"/>
  <c r="I7" i="12" a="1"/>
  <c r="I7" i="12" s="1"/>
  <c r="M67" i="12" a="1"/>
  <c r="M67" i="12" s="1"/>
  <c r="M49" i="12" a="1"/>
  <c r="M49" i="12" s="1"/>
  <c r="M99" i="12" a="1"/>
  <c r="M99" i="12" s="1"/>
  <c r="I30" i="12" a="1"/>
  <c r="I30" i="12" s="1"/>
  <c r="I3" i="12" a="1"/>
  <c r="I3" i="12" s="1"/>
  <c r="L31" i="12" a="1"/>
  <c r="L31" i="12" s="1"/>
  <c r="I24" i="12" a="1"/>
  <c r="I24" i="12" s="1"/>
  <c r="M9" i="12" a="1"/>
  <c r="M9" i="12" s="1"/>
  <c r="M16" i="12" a="1"/>
  <c r="M16" i="12" s="1"/>
  <c r="M53" i="12" a="1"/>
  <c r="M53" i="12" s="1"/>
  <c r="L85" i="12" a="1"/>
  <c r="L85" i="12" s="1"/>
  <c r="I50" i="12" a="1"/>
  <c r="I50" i="12" s="1"/>
  <c r="L78" i="12" a="1"/>
  <c r="L78" i="12" s="1"/>
  <c r="I92" i="12" a="1"/>
  <c r="I92" i="12" s="1"/>
  <c r="I41" i="12" a="1"/>
  <c r="I41" i="12" s="1"/>
  <c r="M63" i="12" a="1"/>
  <c r="M63" i="12" s="1"/>
  <c r="M37" i="12" a="1"/>
  <c r="M37" i="12" s="1"/>
  <c r="I68" i="12" a="1"/>
  <c r="I68" i="12" s="1"/>
  <c r="L84" i="12" a="1"/>
  <c r="L84" i="12" s="1"/>
  <c r="M10" i="12" a="1"/>
  <c r="M10" i="12" s="1"/>
  <c r="L81" i="12" a="1"/>
  <c r="L81" i="12" s="1"/>
  <c r="L50" i="12" a="1"/>
  <c r="L50" i="12" s="1"/>
  <c r="L60" i="12" a="1"/>
  <c r="L60" i="12" s="1"/>
  <c r="M7" i="12" a="1"/>
  <c r="M7" i="12" s="1"/>
  <c r="L95" i="12" a="1"/>
  <c r="L95" i="12" s="1"/>
  <c r="I49" i="12" a="1"/>
  <c r="I49" i="12" s="1"/>
  <c r="L70" i="12" a="1"/>
  <c r="L70" i="12" s="1"/>
  <c r="I77" i="12" a="1"/>
  <c r="I77" i="12" s="1"/>
  <c r="L10" i="12" a="1"/>
  <c r="L10" i="12" s="1"/>
  <c r="L58" i="12" a="1"/>
  <c r="L58" i="12" s="1"/>
  <c r="I63" i="12" a="1"/>
  <c r="I63" i="12" s="1"/>
  <c r="I32" i="12" a="1"/>
  <c r="I32" i="12" s="1"/>
  <c r="L22" i="12" a="1"/>
  <c r="L22" i="12" s="1"/>
  <c r="I61" i="12" a="1"/>
  <c r="I61" i="12" s="1"/>
  <c r="I34" i="12" a="1"/>
  <c r="I34" i="12" s="1"/>
  <c r="M59" i="12" a="1"/>
  <c r="M59" i="12" s="1"/>
  <c r="M3" i="12" a="1"/>
  <c r="M3" i="12" s="1"/>
  <c r="L20" i="12" a="1"/>
  <c r="L20" i="12" s="1"/>
  <c r="M98" i="12" a="1"/>
  <c r="M98" i="12" s="1"/>
  <c r="L7" i="12" a="1"/>
  <c r="L7" i="12" s="1"/>
  <c r="L98" i="12" a="1"/>
  <c r="L98" i="12" s="1"/>
  <c r="I15" i="12" a="1"/>
  <c r="I15" i="12" s="1"/>
  <c r="L11" i="12" a="1"/>
  <c r="L11" i="12" s="1"/>
  <c r="M47" i="12" a="1"/>
  <c r="M47" i="12" s="1"/>
  <c r="L77" i="12" a="1"/>
  <c r="L77" i="12" s="1"/>
  <c r="L88" i="12" a="1"/>
  <c r="L88" i="12" s="1"/>
  <c r="M44" i="12" a="1"/>
  <c r="M44" i="12" s="1"/>
  <c r="M71" i="12" a="1"/>
  <c r="M71" i="12" s="1"/>
  <c r="N71" i="12" s="1"/>
  <c r="L68" i="12" a="1"/>
  <c r="L68" i="12" s="1"/>
  <c r="M50" i="12" a="1"/>
  <c r="M50" i="12" s="1"/>
  <c r="L29" i="12" a="1"/>
  <c r="L29" i="12" s="1"/>
  <c r="M34" i="12" a="1"/>
  <c r="M34" i="12" s="1"/>
  <c r="L69" i="12" a="1"/>
  <c r="L69" i="12" s="1"/>
  <c r="L24" i="12" a="1"/>
  <c r="L24" i="12" s="1"/>
  <c r="M23" i="12" a="1"/>
  <c r="M23" i="12" s="1"/>
  <c r="M80" i="12" a="1"/>
  <c r="M80" i="12" s="1"/>
  <c r="I94" i="12" a="1"/>
  <c r="I94" i="12" s="1"/>
  <c r="M43" i="12" a="1"/>
  <c r="M43" i="12" s="1"/>
  <c r="L16" i="12" a="1"/>
  <c r="L16" i="12" s="1"/>
  <c r="I2" i="12" a="1"/>
  <c r="I2" i="12" s="1"/>
  <c r="T7" i="6" s="1"/>
  <c r="M36" i="12" a="1"/>
  <c r="M36" i="12" s="1"/>
  <c r="M11" i="12" a="1"/>
  <c r="M11" i="12" s="1"/>
  <c r="L26" i="12" a="1"/>
  <c r="L26" i="12" s="1"/>
  <c r="I23" i="12" a="1"/>
  <c r="I23" i="12" s="1"/>
  <c r="M52" i="12" a="1"/>
  <c r="M52" i="12" s="1"/>
  <c r="L75" i="12" a="1"/>
  <c r="L75" i="12" s="1"/>
  <c r="M90" i="12" a="1"/>
  <c r="M90" i="12" s="1"/>
  <c r="L47" i="12" a="1"/>
  <c r="L47" i="12" s="1"/>
  <c r="I76" i="12" a="1"/>
  <c r="I76" i="12" s="1"/>
  <c r="L34" i="12" a="1"/>
  <c r="L34" i="12" s="1"/>
  <c r="M20" i="12" a="1"/>
  <c r="M20" i="12" s="1"/>
  <c r="L27" i="12" a="1"/>
  <c r="L27" i="12" s="1"/>
  <c r="N27" i="12" s="1"/>
  <c r="L28" i="12" a="1"/>
  <c r="L28" i="12" s="1"/>
  <c r="I58" i="12" a="1"/>
  <c r="I58" i="12" s="1"/>
  <c r="M46" i="12" a="1"/>
  <c r="M46" i="12" s="1"/>
  <c r="I44" i="12" a="1"/>
  <c r="I44" i="12" s="1"/>
  <c r="M38" i="12" a="1"/>
  <c r="M38" i="12" s="1"/>
  <c r="M65" i="12" a="1"/>
  <c r="M65" i="12" s="1"/>
  <c r="L99" i="12" a="1"/>
  <c r="L99" i="12" s="1"/>
  <c r="M72" i="12" a="1"/>
  <c r="M72" i="12" s="1"/>
  <c r="L3" i="12" a="1"/>
  <c r="L3" i="12" s="1"/>
  <c r="M93" i="12" a="1"/>
  <c r="M93" i="12" s="1"/>
  <c r="I12" i="12" a="1"/>
  <c r="I12" i="12" s="1"/>
  <c r="M83" i="12" a="1"/>
  <c r="M83" i="12" s="1"/>
  <c r="N83" i="12" s="1"/>
  <c r="M28" i="12" a="1"/>
  <c r="M28" i="12" s="1"/>
  <c r="L51" i="12" a="1"/>
  <c r="L51" i="12" s="1"/>
  <c r="L40" i="12" a="1"/>
  <c r="L40" i="12" s="1"/>
  <c r="I31" i="12" a="1"/>
  <c r="I31" i="12" s="1"/>
  <c r="I28" i="12" a="1"/>
  <c r="I28" i="12" s="1"/>
  <c r="L33" i="12" a="1"/>
  <c r="L33" i="12" s="1"/>
  <c r="L61" i="12" a="1"/>
  <c r="L61" i="12" s="1"/>
  <c r="I10" i="12" a="1"/>
  <c r="I10" i="12" s="1"/>
  <c r="L35" i="12" a="1"/>
  <c r="L35" i="12" s="1"/>
  <c r="I64" i="12" a="1"/>
  <c r="I64" i="12" s="1"/>
  <c r="M95" i="12" a="1"/>
  <c r="M95" i="12" s="1"/>
  <c r="M12" i="12" a="1"/>
  <c r="M12" i="12" s="1"/>
  <c r="L96" i="12" a="1"/>
  <c r="L96" i="12" s="1"/>
  <c r="M60" i="12" a="1"/>
  <c r="M60" i="12" s="1"/>
  <c r="L48" i="12" a="1"/>
  <c r="L48" i="12" s="1"/>
  <c r="M18" i="12" a="1"/>
  <c r="M18" i="12" s="1"/>
  <c r="I88" i="12" a="1"/>
  <c r="I88" i="12" s="1"/>
  <c r="L62" i="12" a="1"/>
  <c r="L62" i="12" s="1"/>
  <c r="N62" i="12" s="1"/>
  <c r="I56" i="12" a="1"/>
  <c r="I56" i="12" s="1"/>
  <c r="L79" i="12" a="1"/>
  <c r="L79" i="12" s="1"/>
  <c r="I25" i="12" a="1"/>
  <c r="I25" i="12" s="1"/>
  <c r="M64" i="12" a="1"/>
  <c r="M64" i="12" s="1"/>
  <c r="L49" i="12" a="1"/>
  <c r="L49" i="12" s="1"/>
  <c r="M4" i="12" a="1"/>
  <c r="M4" i="12" s="1"/>
  <c r="M30" i="12" a="1"/>
  <c r="M30" i="12" s="1"/>
  <c r="I40" i="12" a="1"/>
  <c r="I40" i="12" s="1"/>
  <c r="L65" i="12" a="1"/>
  <c r="L65" i="12" s="1"/>
  <c r="M82" i="12" a="1"/>
  <c r="M82" i="12" s="1"/>
  <c r="L97" i="12" a="1"/>
  <c r="L97" i="12" s="1"/>
  <c r="I93" i="12" a="1"/>
  <c r="I93" i="12" s="1"/>
  <c r="L55" i="12" a="1"/>
  <c r="L55" i="12" s="1"/>
  <c r="L80" i="12" a="1"/>
  <c r="L80" i="12" s="1"/>
  <c r="M96" i="12" a="1"/>
  <c r="M96" i="12" s="1"/>
  <c r="L6" i="12" a="1"/>
  <c r="L6" i="12" s="1"/>
  <c r="L66" i="12" a="1"/>
  <c r="L66" i="12" s="1"/>
  <c r="M97" i="12" a="1"/>
  <c r="M97" i="12" s="1"/>
  <c r="I39" i="12" a="1"/>
  <c r="I39" i="12" s="1"/>
  <c r="M48" i="12" a="1"/>
  <c r="M48" i="12" s="1"/>
  <c r="I89" i="12" a="1"/>
  <c r="I89" i="12" s="1"/>
  <c r="M92" i="12" a="1"/>
  <c r="M92" i="12" s="1"/>
  <c r="M55" i="12" a="1"/>
  <c r="M55" i="12" s="1"/>
  <c r="M25" i="12" a="1"/>
  <c r="M25" i="12" s="1"/>
  <c r="I69" i="12" a="1"/>
  <c r="I69" i="12" s="1"/>
  <c r="M40" i="12" a="1"/>
  <c r="M40" i="12" s="1"/>
  <c r="M41" i="12" a="1"/>
  <c r="M41" i="12" s="1"/>
  <c r="M81" i="12" a="1"/>
  <c r="M81" i="12" s="1"/>
  <c r="L15" i="12" a="1"/>
  <c r="L15" i="12" s="1"/>
  <c r="M57" i="12" a="1"/>
  <c r="M57" i="12" s="1"/>
  <c r="M68" i="12" a="1"/>
  <c r="M68" i="12" s="1"/>
  <c r="M75" i="12" a="1"/>
  <c r="M75" i="12" s="1"/>
  <c r="I19" i="12" a="1"/>
  <c r="I19" i="12" s="1"/>
  <c r="I97" i="12" a="1"/>
  <c r="I97" i="12" s="1"/>
  <c r="L67" i="12" a="1"/>
  <c r="L67" i="12" s="1"/>
  <c r="M61" i="12" a="1"/>
  <c r="M61" i="12" s="1"/>
  <c r="I82" i="12" a="1"/>
  <c r="I82" i="12" s="1"/>
  <c r="I18" i="12" a="1"/>
  <c r="I18" i="12" s="1"/>
  <c r="I8" i="12" a="1"/>
  <c r="I8" i="12" s="1"/>
  <c r="I86" i="12" a="1"/>
  <c r="I86" i="12" s="1"/>
  <c r="I55" i="12" a="1"/>
  <c r="I55" i="12" s="1"/>
  <c r="I75" i="12" a="1"/>
  <c r="I75" i="12" s="1"/>
  <c r="L9" i="12" a="1"/>
  <c r="L9" i="12" s="1"/>
  <c r="L57" i="12" a="1"/>
  <c r="L57" i="12" s="1"/>
  <c r="M77" i="12" a="1"/>
  <c r="M77" i="12" s="1"/>
  <c r="M94" i="12" a="1"/>
  <c r="M94" i="12" s="1"/>
  <c r="L38" i="12" a="1"/>
  <c r="L38" i="12" s="1"/>
  <c r="N38" i="12" s="1"/>
  <c r="M39" i="12" a="1"/>
  <c r="M39" i="12" s="1"/>
  <c r="L86" i="12" a="1"/>
  <c r="L86" i="12" s="1"/>
  <c r="I66" i="12" a="1"/>
  <c r="I66" i="12" s="1"/>
  <c r="I95" i="12" a="1"/>
  <c r="I95" i="12" s="1"/>
  <c r="M74" i="12" a="1"/>
  <c r="M74" i="12" s="1"/>
  <c r="M78" i="12" a="1"/>
  <c r="M78" i="12" s="1"/>
  <c r="M54" i="12" a="1"/>
  <c r="M54" i="12" s="1"/>
  <c r="I29" i="12" a="1"/>
  <c r="I29" i="12" s="1"/>
  <c r="I99" i="12" a="1"/>
  <c r="I99" i="12" s="1"/>
  <c r="L4" i="12" a="1"/>
  <c r="L4" i="12" s="1"/>
  <c r="L89" i="12" a="1"/>
  <c r="L89" i="12" s="1"/>
  <c r="I59" i="12" a="1"/>
  <c r="I59" i="12" s="1"/>
  <c r="M42" i="12" a="1"/>
  <c r="M42" i="12" s="1"/>
  <c r="M19" i="12" a="1"/>
  <c r="M19" i="12" s="1"/>
  <c r="I54" i="12" a="1"/>
  <c r="I54" i="12" s="1"/>
  <c r="M17" i="12" a="1"/>
  <c r="M17" i="12" s="1"/>
  <c r="L25" i="12" a="1"/>
  <c r="L25" i="12" s="1"/>
  <c r="I16" i="12" a="1"/>
  <c r="I16" i="12" s="1"/>
  <c r="L8" i="12" a="1"/>
  <c r="L8" i="12" s="1"/>
  <c r="L2" i="12" a="1"/>
  <c r="L2" i="12" s="1"/>
  <c r="I52" i="12" a="1"/>
  <c r="I52" i="12" s="1"/>
  <c r="I20" i="12" a="1"/>
  <c r="I20" i="12" s="1"/>
  <c r="M84" i="12" a="1"/>
  <c r="M84" i="12" s="1"/>
  <c r="M51" i="12" a="1"/>
  <c r="M51" i="12" s="1"/>
  <c r="L13" i="12" a="1"/>
  <c r="L13" i="12" s="1"/>
  <c r="L37" i="12" a="1"/>
  <c r="L37" i="12" s="1"/>
  <c r="I65" i="12" a="1"/>
  <c r="I65" i="12" s="1"/>
  <c r="I57" i="12" a="1"/>
  <c r="I57" i="12" s="1"/>
  <c r="M21" i="12" a="1"/>
  <c r="M21" i="12" s="1"/>
  <c r="M2" i="12" a="1"/>
  <c r="M2" i="12" s="1"/>
  <c r="L41" i="12" a="1"/>
  <c r="L41" i="12" s="1"/>
  <c r="L30" i="12" a="1"/>
  <c r="L30" i="12" s="1"/>
  <c r="L5" i="12" a="1"/>
  <c r="L5" i="12" s="1"/>
  <c r="L17" i="12" a="1"/>
  <c r="L17" i="12" s="1"/>
  <c r="M58" i="12" a="1"/>
  <c r="M58" i="12" s="1"/>
  <c r="M32" i="12" a="1"/>
  <c r="M32" i="12" s="1"/>
  <c r="L23" i="12" a="1"/>
  <c r="L23" i="12" s="1"/>
  <c r="I60" i="12" a="1"/>
  <c r="I60" i="12" s="1"/>
  <c r="L46" i="12" a="1"/>
  <c r="L46" i="12" s="1"/>
  <c r="M56" i="12" a="1"/>
  <c r="M56" i="12" s="1"/>
  <c r="I84" i="12" a="1"/>
  <c r="I84" i="12" s="1"/>
  <c r="L63" i="12" a="1"/>
  <c r="L63" i="12" s="1"/>
  <c r="I35" i="12" a="1"/>
  <c r="I35" i="12" s="1"/>
  <c r="I67" i="12" a="1"/>
  <c r="I67" i="12" s="1"/>
  <c r="L44" i="12" a="1"/>
  <c r="L44" i="12" s="1"/>
  <c r="I71" i="12" a="1"/>
  <c r="I71" i="12" s="1"/>
  <c r="I48" i="12" a="1"/>
  <c r="I48" i="12" s="1"/>
  <c r="I90" i="12" a="1"/>
  <c r="I90" i="12" s="1"/>
  <c r="L92" i="12" a="1"/>
  <c r="L92" i="12" s="1"/>
  <c r="L82" i="12" a="1"/>
  <c r="L82" i="12" s="1"/>
  <c r="I45" i="12" a="1"/>
  <c r="I45" i="12" s="1"/>
  <c r="L42" i="12" a="1"/>
  <c r="L42" i="12" s="1"/>
  <c r="I47" i="12" a="1"/>
  <c r="I47" i="12" s="1"/>
  <c r="M73" i="12" a="1"/>
  <c r="M73" i="12" s="1"/>
  <c r="M35" i="12" a="1"/>
  <c r="M35" i="12" s="1"/>
  <c r="L21" i="12" a="1"/>
  <c r="L21" i="12" s="1"/>
  <c r="I33" i="12" a="1"/>
  <c r="I33" i="12" s="1"/>
  <c r="L36" i="12" a="1"/>
  <c r="L36" i="12" s="1"/>
  <c r="I73" i="12" a="1"/>
  <c r="I73" i="12" s="1"/>
  <c r="M14" i="12" a="1"/>
  <c r="M14" i="12" s="1"/>
  <c r="M31" i="12" a="1"/>
  <c r="M31" i="12" s="1"/>
  <c r="L52" i="12" a="1"/>
  <c r="L52" i="12" s="1"/>
  <c r="M24" i="12" a="1"/>
  <c r="M24" i="12" s="1"/>
  <c r="M13" i="12" a="1"/>
  <c r="M13" i="12" s="1"/>
  <c r="I72" i="12" a="1"/>
  <c r="I72" i="12" s="1"/>
  <c r="I85" i="12" a="1"/>
  <c r="I85" i="12" s="1"/>
  <c r="M45" i="12" a="1"/>
  <c r="M45" i="12" s="1"/>
  <c r="N45" i="12" s="1"/>
  <c r="L56" i="12" a="1"/>
  <c r="L56" i="12" s="1"/>
  <c r="L64" i="12" a="1"/>
  <c r="L64" i="12" s="1"/>
  <c r="L39" i="12" a="1"/>
  <c r="L39" i="12" s="1"/>
  <c r="N18" i="12"/>
  <c r="F2" i="13"/>
  <c r="F39" i="13"/>
  <c r="F40" i="13"/>
  <c r="F35" i="13"/>
  <c r="T14" i="6" l="1"/>
  <c r="T8" i="6"/>
  <c r="AE7" i="4"/>
  <c r="N66" i="12"/>
  <c r="AE87" i="4"/>
  <c r="AE89" i="4"/>
  <c r="T10" i="6"/>
  <c r="N22" i="12"/>
  <c r="N48" i="12"/>
  <c r="N56" i="12"/>
  <c r="N9" i="12"/>
  <c r="N70" i="12"/>
  <c r="N29" i="12"/>
  <c r="N69" i="12"/>
  <c r="N24" i="12"/>
  <c r="N67" i="12"/>
  <c r="N15" i="12"/>
  <c r="N86" i="12"/>
  <c r="N89" i="12"/>
  <c r="N85" i="12"/>
  <c r="N34" i="12"/>
  <c r="N79" i="12"/>
  <c r="N49" i="12"/>
  <c r="N80" i="12"/>
  <c r="N6" i="12"/>
  <c r="AE88" i="4"/>
  <c r="N4" i="12"/>
  <c r="N42" i="12"/>
  <c r="N25" i="12"/>
  <c r="N8" i="12"/>
  <c r="N84" i="12"/>
  <c r="N46" i="12"/>
  <c r="N36" i="12"/>
  <c r="N52" i="12"/>
  <c r="N16" i="12"/>
  <c r="N26" i="12"/>
  <c r="N99" i="12"/>
  <c r="N3" i="12"/>
  <c r="AE4" i="4"/>
  <c r="F13" i="13" s="1"/>
  <c r="N33" i="12"/>
  <c r="AE3" i="4"/>
  <c r="N37" i="12"/>
  <c r="N41" i="12"/>
  <c r="N30" i="12"/>
  <c r="N5" i="12"/>
  <c r="N23" i="12"/>
  <c r="N63" i="12"/>
  <c r="N44" i="12"/>
  <c r="N92" i="12"/>
  <c r="N82" i="12"/>
  <c r="N73" i="12"/>
  <c r="N64" i="12"/>
  <c r="N39" i="12"/>
  <c r="AE90" i="4"/>
  <c r="F11" i="13" s="1"/>
  <c r="AE92" i="4"/>
  <c r="AE91" i="4"/>
  <c r="AE93" i="4"/>
  <c r="N40" i="12"/>
  <c r="N53" i="12"/>
  <c r="N51" i="12"/>
  <c r="N50" i="12"/>
  <c r="N88" i="12"/>
  <c r="N91" i="12"/>
  <c r="N64" i="1" a="1"/>
  <c r="N64" i="1" s="1"/>
  <c r="S64" i="15" s="1"/>
  <c r="N21" i="12"/>
  <c r="N58" i="1" a="1"/>
  <c r="N58" i="1" s="1"/>
  <c r="S58" i="15" s="1"/>
  <c r="N68" i="1" a="1"/>
  <c r="N68" i="1" s="1"/>
  <c r="S68" i="15" s="1"/>
  <c r="N55" i="1" a="1"/>
  <c r="N55" i="1" s="1"/>
  <c r="S55" i="15" s="1"/>
  <c r="N15" i="1" a="1"/>
  <c r="N15" i="1" s="1"/>
  <c r="S15" i="15" s="1"/>
  <c r="N67" i="1" a="1"/>
  <c r="N67" i="1" s="1"/>
  <c r="S67" i="15" s="1"/>
  <c r="N65" i="1" a="1"/>
  <c r="N65" i="1" s="1"/>
  <c r="S65" i="15" s="1"/>
  <c r="N73" i="1" a="1"/>
  <c r="N73" i="1" s="1"/>
  <c r="S73" i="15" s="1"/>
  <c r="N66" i="1" a="1"/>
  <c r="N66" i="1" s="1"/>
  <c r="S66" i="15" s="1"/>
  <c r="N63" i="1" a="1"/>
  <c r="N63" i="1" s="1"/>
  <c r="S63" i="15" s="1"/>
  <c r="N71" i="1" a="1"/>
  <c r="N71" i="1" s="1"/>
  <c r="S71" i="15" s="1"/>
  <c r="N163" i="1" a="1"/>
  <c r="N163" i="1" s="1"/>
  <c r="S163" i="15" s="1"/>
  <c r="N17" i="12"/>
  <c r="N57" i="12"/>
  <c r="N76" i="12"/>
  <c r="N65" i="12"/>
  <c r="N61" i="12"/>
  <c r="N47" i="12"/>
  <c r="N11" i="12"/>
  <c r="N7" i="12"/>
  <c r="N10" i="12"/>
  <c r="N81" i="12"/>
  <c r="AE192" i="4"/>
  <c r="AE205" i="4"/>
  <c r="AE70" i="4"/>
  <c r="AE37" i="4"/>
  <c r="AE144" i="4"/>
  <c r="AE218" i="4"/>
  <c r="AE24" i="4"/>
  <c r="F18" i="13" s="1"/>
  <c r="AE229" i="4"/>
  <c r="AE62" i="4"/>
  <c r="AE184" i="4"/>
  <c r="AE51" i="4"/>
  <c r="F20" i="13" s="1"/>
  <c r="AE217" i="4"/>
  <c r="AE247" i="4"/>
  <c r="AE197" i="4"/>
  <c r="AE136" i="4"/>
  <c r="AE223" i="4"/>
  <c r="AE129" i="4"/>
  <c r="AE249" i="4"/>
  <c r="AE29" i="4"/>
  <c r="AE183" i="4"/>
  <c r="AE141" i="4"/>
  <c r="AE57" i="4"/>
  <c r="AE204" i="4"/>
  <c r="AE66" i="4"/>
  <c r="AE156" i="4"/>
  <c r="AE9" i="4"/>
  <c r="AE130" i="4"/>
  <c r="AE177" i="4"/>
  <c r="AE19" i="4"/>
  <c r="AE86" i="4"/>
  <c r="AE185" i="4"/>
  <c r="AE116" i="4"/>
  <c r="AE115" i="4"/>
  <c r="AE191" i="4"/>
  <c r="AE174" i="4"/>
  <c r="AE38" i="4"/>
  <c r="AE142" i="4"/>
  <c r="AE147" i="4"/>
  <c r="AE64" i="4"/>
  <c r="AE43" i="4"/>
  <c r="AE250" i="4"/>
  <c r="AE225" i="4"/>
  <c r="AE228" i="4"/>
  <c r="AE96" i="4"/>
  <c r="AE46" i="4"/>
  <c r="AE60" i="4"/>
  <c r="F25" i="13" s="1"/>
  <c r="AE128" i="4"/>
  <c r="AE198" i="4"/>
  <c r="AE81" i="4"/>
  <c r="AE238" i="4"/>
  <c r="AE22" i="4"/>
  <c r="AE11" i="4"/>
  <c r="AE150" i="4"/>
  <c r="AE152" i="4"/>
  <c r="F3" i="13"/>
  <c r="AE16" i="4"/>
  <c r="AE161" i="4"/>
  <c r="AE27" i="4"/>
  <c r="AE31" i="4"/>
  <c r="AE44" i="4"/>
  <c r="AE63" i="4"/>
  <c r="AE167" i="4"/>
  <c r="AE111" i="4"/>
  <c r="AE33" i="4"/>
  <c r="AE13" i="4"/>
  <c r="AE95" i="4"/>
  <c r="AE170" i="4"/>
  <c r="AE246" i="4"/>
  <c r="AE52" i="4"/>
  <c r="AE175" i="4"/>
  <c r="AE166" i="4"/>
  <c r="AE40" i="4"/>
  <c r="AE233" i="4"/>
  <c r="AE159" i="4"/>
  <c r="AE200" i="4"/>
  <c r="AE178" i="4"/>
  <c r="AE208" i="4"/>
  <c r="AE215" i="4"/>
  <c r="AE77" i="4"/>
  <c r="F31" i="13" s="1"/>
  <c r="AE97" i="4"/>
  <c r="AE39" i="4"/>
  <c r="AE75" i="4"/>
  <c r="AE227" i="4"/>
  <c r="AE54" i="4"/>
  <c r="AE14" i="4"/>
  <c r="AE78" i="4"/>
  <c r="AE32" i="4"/>
  <c r="AE122" i="4"/>
  <c r="AE58" i="4"/>
  <c r="AE244" i="4"/>
  <c r="AE202" i="4"/>
  <c r="AE160" i="4"/>
  <c r="AE123" i="4"/>
  <c r="AE195" i="4"/>
  <c r="AE155" i="4"/>
  <c r="AE98" i="4"/>
  <c r="AE252" i="4"/>
  <c r="AE121" i="4"/>
  <c r="AE203" i="4"/>
  <c r="AE220" i="4"/>
  <c r="AE67" i="4"/>
  <c r="AE237" i="4"/>
  <c r="AE55" i="4"/>
  <c r="AE137" i="4"/>
  <c r="AE190" i="4"/>
  <c r="AE149" i="4"/>
  <c r="AE120" i="4"/>
  <c r="AE76" i="4"/>
  <c r="AE138" i="4"/>
  <c r="AE226" i="4"/>
  <c r="AE187" i="4"/>
  <c r="AE34" i="4"/>
  <c r="AE180" i="4"/>
  <c r="AE165" i="4"/>
  <c r="AE48" i="4"/>
  <c r="AE245" i="4"/>
  <c r="AE219" i="4"/>
  <c r="AE214" i="4"/>
  <c r="AE231" i="4"/>
  <c r="AE61" i="4"/>
  <c r="AE243" i="4"/>
  <c r="AE73" i="4"/>
  <c r="AE30" i="4"/>
  <c r="AE224" i="4"/>
  <c r="AE84" i="4"/>
  <c r="AE126" i="4"/>
  <c r="AE164" i="4"/>
  <c r="AE45" i="4"/>
  <c r="AE65" i="4"/>
  <c r="F14" i="13" s="1"/>
  <c r="AE117" i="4"/>
  <c r="AE28" i="4"/>
  <c r="AE221" i="4"/>
  <c r="AE157" i="4"/>
  <c r="AE251" i="4"/>
  <c r="AE41" i="4"/>
  <c r="AE169" i="4"/>
  <c r="AE35" i="4"/>
  <c r="AE119" i="4"/>
  <c r="AE196" i="4"/>
  <c r="AE69" i="4"/>
  <c r="AE102" i="4"/>
  <c r="AE74" i="4"/>
  <c r="F12" i="13" s="1"/>
  <c r="AE134" i="4"/>
  <c r="AE216" i="4"/>
  <c r="AE145" i="4"/>
  <c r="AE206" i="4"/>
  <c r="AE235" i="4"/>
  <c r="AE103" i="4"/>
  <c r="AE146" i="4"/>
  <c r="AE112" i="4"/>
  <c r="AE114" i="4"/>
  <c r="AE210" i="4"/>
  <c r="AE168" i="4"/>
  <c r="AE68" i="4"/>
  <c r="AE158" i="4"/>
  <c r="AE26" i="4"/>
  <c r="AE12" i="4"/>
  <c r="F9" i="13" s="1"/>
  <c r="AE239" i="4"/>
  <c r="AE80" i="4"/>
  <c r="AE85" i="4"/>
  <c r="AE5" i="4"/>
  <c r="AE188" i="4"/>
  <c r="AE72" i="4"/>
  <c r="AE209" i="4"/>
  <c r="AE234" i="4"/>
  <c r="AE110" i="4"/>
  <c r="AE15" i="4"/>
  <c r="AE153" i="4"/>
  <c r="AE194" i="4"/>
  <c r="AE240" i="4"/>
  <c r="AE101" i="4"/>
  <c r="AE105" i="4"/>
  <c r="AE154" i="4"/>
  <c r="AE171" i="4"/>
  <c r="AE79" i="4"/>
  <c r="AE20" i="4"/>
  <c r="F30" i="13" s="1"/>
  <c r="AE236" i="4"/>
  <c r="AE213" i="4"/>
  <c r="AE242" i="4"/>
  <c r="AE59" i="4"/>
  <c r="AE232" i="4"/>
  <c r="AE189" i="4"/>
  <c r="AE99" i="4"/>
  <c r="AE131" i="4"/>
  <c r="AE212" i="4"/>
  <c r="AE132" i="4"/>
  <c r="AE207" i="4"/>
  <c r="AE127" i="4"/>
  <c r="AE199" i="4"/>
  <c r="AE10" i="4"/>
  <c r="F33" i="13" s="1"/>
  <c r="AE125" i="4"/>
  <c r="F17" i="13" s="1"/>
  <c r="AE82" i="4"/>
  <c r="AE17" i="4"/>
  <c r="AE18" i="4"/>
  <c r="AE118" i="4"/>
  <c r="AE109" i="4"/>
  <c r="AE181" i="4"/>
  <c r="AE140" i="4"/>
  <c r="AE106" i="4"/>
  <c r="AE6" i="4"/>
  <c r="AE176" i="4"/>
  <c r="AE163" i="4"/>
  <c r="AE25" i="4"/>
  <c r="AE100" i="4"/>
  <c r="AE71" i="4"/>
  <c r="AE42" i="4"/>
  <c r="F29" i="13" s="1"/>
  <c r="AE201" i="4"/>
  <c r="AE222" i="4"/>
  <c r="AE56" i="4"/>
  <c r="AE104" i="4"/>
  <c r="AE135" i="4"/>
  <c r="AE124" i="4"/>
  <c r="F37" i="13" s="1"/>
  <c r="AE139" i="4"/>
  <c r="AE133" i="4"/>
  <c r="F27" i="13" s="1"/>
  <c r="AE182" i="4"/>
  <c r="AE113" i="4"/>
  <c r="F36" i="13" s="1"/>
  <c r="AE151" i="4"/>
  <c r="AE162" i="4"/>
  <c r="AE173" i="4"/>
  <c r="AE23" i="4"/>
  <c r="AE49" i="4"/>
  <c r="AE179" i="4"/>
  <c r="AE53" i="4"/>
  <c r="AE50" i="4"/>
  <c r="AE248" i="4"/>
  <c r="AE143" i="4"/>
  <c r="AE148" i="4"/>
  <c r="F38" i="13" s="1"/>
  <c r="AE36" i="4"/>
  <c r="AE193" i="4"/>
  <c r="AE94" i="4"/>
  <c r="F10" i="13" s="1"/>
  <c r="AE107" i="4"/>
  <c r="AE241" i="4"/>
  <c r="AE47" i="4"/>
  <c r="AE21" i="4"/>
  <c r="AE230" i="4"/>
  <c r="AE172" i="4"/>
  <c r="AE8" i="4"/>
  <c r="AE108" i="4"/>
  <c r="AE211" i="4"/>
  <c r="AE83" i="4"/>
  <c r="AE186" i="4"/>
  <c r="N54" i="12"/>
  <c r="N43" i="12"/>
  <c r="AF43" i="4" s="1"/>
  <c r="N87" i="12"/>
  <c r="N19" i="12"/>
  <c r="N12" i="12"/>
  <c r="N13" i="12"/>
  <c r="N97" i="12"/>
  <c r="N35" i="12"/>
  <c r="N77" i="12"/>
  <c r="N95" i="12"/>
  <c r="N60" i="12"/>
  <c r="N32" i="12"/>
  <c r="N94" i="12"/>
  <c r="N93" i="12"/>
  <c r="N74" i="12"/>
  <c r="N2" i="12"/>
  <c r="N96" i="12"/>
  <c r="T39" i="6"/>
  <c r="T41" i="6"/>
  <c r="T37" i="6"/>
  <c r="T32" i="6"/>
  <c r="T24" i="6"/>
  <c r="T18" i="6"/>
  <c r="T16" i="6"/>
  <c r="T13" i="6"/>
  <c r="T4" i="6"/>
  <c r="T21" i="6"/>
  <c r="F21" i="13" s="1"/>
  <c r="T44" i="6"/>
  <c r="T40" i="6"/>
  <c r="T11" i="6"/>
  <c r="T25" i="6"/>
  <c r="T29" i="6"/>
  <c r="T23" i="6"/>
  <c r="F23" i="13" s="1"/>
  <c r="T28" i="6"/>
  <c r="T22" i="6"/>
  <c r="T3" i="6"/>
  <c r="T38" i="6"/>
  <c r="T43" i="6"/>
  <c r="T19" i="6"/>
  <c r="T17" i="6"/>
  <c r="T6" i="6"/>
  <c r="T20" i="6"/>
  <c r="T31" i="6"/>
  <c r="T26" i="6"/>
  <c r="T33" i="6"/>
  <c r="T36" i="6"/>
  <c r="T42" i="6"/>
  <c r="T35" i="6"/>
  <c r="T12" i="6"/>
  <c r="T15" i="6"/>
  <c r="T2" i="6"/>
  <c r="T5" i="6"/>
  <c r="T9" i="6"/>
  <c r="T27" i="6"/>
  <c r="T30" i="6"/>
  <c r="T100" i="6"/>
  <c r="T209" i="6"/>
  <c r="T318" i="6"/>
  <c r="T356" i="6"/>
  <c r="T369" i="6"/>
  <c r="T127" i="6"/>
  <c r="T342" i="6"/>
  <c r="T82" i="6"/>
  <c r="T231" i="6"/>
  <c r="T324" i="6"/>
  <c r="T373" i="6"/>
  <c r="T75" i="6"/>
  <c r="T345" i="6"/>
  <c r="T93" i="6"/>
  <c r="T181" i="6"/>
  <c r="T282" i="6"/>
  <c r="T311" i="6"/>
  <c r="T346" i="6"/>
  <c r="T161" i="6"/>
  <c r="T381" i="6"/>
  <c r="T88" i="6"/>
  <c r="T136" i="6"/>
  <c r="T214" i="6"/>
  <c r="T355" i="6"/>
  <c r="T52" i="6"/>
  <c r="T190" i="6"/>
  <c r="T186" i="6"/>
  <c r="T290" i="6"/>
  <c r="T248" i="6"/>
  <c r="T142" i="6"/>
  <c r="T108" i="6"/>
  <c r="T56" i="6"/>
  <c r="T302" i="6"/>
  <c r="T278" i="6"/>
  <c r="T157" i="6"/>
  <c r="T174" i="6"/>
  <c r="T359" i="6"/>
  <c r="T314" i="6"/>
  <c r="T296" i="6"/>
  <c r="T83" i="6"/>
  <c r="T156" i="6"/>
  <c r="T254" i="6"/>
  <c r="T274" i="6"/>
  <c r="T116" i="6"/>
  <c r="T266" i="6"/>
  <c r="T303" i="6"/>
  <c r="T66" i="6"/>
  <c r="T283" i="6"/>
  <c r="T228" i="6"/>
  <c r="T247" i="6"/>
  <c r="T350" i="6"/>
  <c r="T141" i="6"/>
  <c r="T353" i="6"/>
  <c r="T53" i="6"/>
  <c r="T107" i="6"/>
  <c r="T147" i="6"/>
  <c r="T167" i="6"/>
  <c r="T197" i="6"/>
  <c r="T218" i="6"/>
  <c r="T273" i="6"/>
  <c r="T323" i="6"/>
  <c r="T47" i="6"/>
  <c r="T98" i="6"/>
  <c r="T133" i="6"/>
  <c r="T194" i="6"/>
  <c r="T230" i="6"/>
  <c r="T280" i="6"/>
  <c r="T321" i="6"/>
  <c r="T331" i="6"/>
  <c r="T65" i="6"/>
  <c r="T151" i="6"/>
  <c r="T217" i="6"/>
  <c r="T261" i="6"/>
  <c r="T301" i="6"/>
  <c r="T361" i="6"/>
  <c r="T371" i="6"/>
  <c r="T57" i="6"/>
  <c r="T112" i="6"/>
  <c r="T139" i="6"/>
  <c r="T233" i="6"/>
  <c r="T269" i="6"/>
  <c r="T339" i="6"/>
  <c r="T377" i="6"/>
  <c r="T185" i="6"/>
  <c r="T73" i="6"/>
  <c r="AE2" i="4"/>
  <c r="T51" i="6"/>
  <c r="T121" i="6"/>
  <c r="T219" i="6"/>
  <c r="T319" i="6"/>
  <c r="T360" i="6"/>
  <c r="T375" i="6"/>
  <c r="T196" i="6"/>
  <c r="T61" i="6"/>
  <c r="T95" i="6"/>
  <c r="T232" i="6"/>
  <c r="T325" i="6"/>
  <c r="T374" i="6"/>
  <c r="T131" i="6"/>
  <c r="T387" i="6"/>
  <c r="T109" i="6"/>
  <c r="T184" i="6"/>
  <c r="T289" i="6"/>
  <c r="T330" i="6"/>
  <c r="T348" i="6"/>
  <c r="T207" i="6"/>
  <c r="T50" i="6"/>
  <c r="T89" i="6"/>
  <c r="T146" i="6"/>
  <c r="T227" i="6"/>
  <c r="T357" i="6"/>
  <c r="T59" i="6"/>
  <c r="T297" i="6"/>
  <c r="T114" i="6"/>
  <c r="T320" i="6"/>
  <c r="T260" i="6"/>
  <c r="T200" i="6"/>
  <c r="T168" i="6"/>
  <c r="T126" i="6"/>
  <c r="T250" i="6"/>
  <c r="T259" i="6"/>
  <c r="T138" i="6"/>
  <c r="T192" i="6"/>
  <c r="T267" i="6"/>
  <c r="T229" i="6"/>
  <c r="T272" i="6"/>
  <c r="T74" i="6"/>
  <c r="T132" i="6"/>
  <c r="T224" i="6"/>
  <c r="T362" i="6"/>
  <c r="T87" i="6"/>
  <c r="T187" i="6"/>
  <c r="T150" i="6"/>
  <c r="T204" i="6"/>
  <c r="T206" i="6"/>
  <c r="T335" i="6"/>
  <c r="T144" i="6"/>
  <c r="T262" i="6"/>
  <c r="T177" i="6"/>
  <c r="T264" i="6"/>
  <c r="T60" i="6"/>
  <c r="T117" i="6"/>
  <c r="T154" i="6"/>
  <c r="T173" i="6"/>
  <c r="T201" i="6"/>
  <c r="T221" i="6"/>
  <c r="T281" i="6"/>
  <c r="T332" i="6"/>
  <c r="T48" i="6"/>
  <c r="T113" i="6"/>
  <c r="T137" i="6"/>
  <c r="T202" i="6"/>
  <c r="T246" i="6"/>
  <c r="T294" i="6"/>
  <c r="T322" i="6"/>
  <c r="T333" i="6"/>
  <c r="T79" i="6"/>
  <c r="T166" i="6"/>
  <c r="T237" i="6"/>
  <c r="T285" i="6"/>
  <c r="T316" i="6"/>
  <c r="T364" i="6"/>
  <c r="T379" i="6"/>
  <c r="T92" i="6"/>
  <c r="T119" i="6"/>
  <c r="T191" i="6"/>
  <c r="T235" i="6"/>
  <c r="T275" i="6"/>
  <c r="T347" i="6"/>
  <c r="T149" i="6"/>
  <c r="T241" i="6"/>
  <c r="T91" i="6"/>
  <c r="T85" i="6"/>
  <c r="T148" i="6"/>
  <c r="T253" i="6"/>
  <c r="T326" i="6"/>
  <c r="T365" i="6"/>
  <c r="T378" i="6"/>
  <c r="T238" i="6"/>
  <c r="T76" i="6"/>
  <c r="T103" i="6"/>
  <c r="T249" i="6"/>
  <c r="T337" i="6"/>
  <c r="T382" i="6"/>
  <c r="T153" i="6"/>
  <c r="T55" i="6"/>
  <c r="T115" i="6"/>
  <c r="T199" i="6"/>
  <c r="T299" i="6"/>
  <c r="T338" i="6"/>
  <c r="T58" i="6"/>
  <c r="T352" i="6"/>
  <c r="T54" i="6"/>
  <c r="T110" i="6"/>
  <c r="T160" i="6"/>
  <c r="T239" i="6"/>
  <c r="T367" i="6"/>
  <c r="T99" i="6"/>
  <c r="T358" i="6"/>
  <c r="T63" i="6"/>
  <c r="T288" i="6"/>
  <c r="T236" i="6"/>
  <c r="T140" i="6"/>
  <c r="T216" i="6"/>
  <c r="T341" i="6"/>
  <c r="T208" i="6"/>
  <c r="T284" i="6"/>
  <c r="T180" i="6"/>
  <c r="T120" i="6"/>
  <c r="T286" i="6"/>
  <c r="T279" i="6"/>
  <c r="T86" i="6"/>
  <c r="T102" i="6"/>
  <c r="T212" i="6"/>
  <c r="T300" i="6"/>
  <c r="T193" i="6"/>
  <c r="T72" i="6"/>
  <c r="T183" i="6"/>
  <c r="T255" i="6"/>
  <c r="T243" i="6"/>
  <c r="T308" i="6"/>
  <c r="T271" i="6"/>
  <c r="T198" i="6"/>
  <c r="T242" i="6"/>
  <c r="T129" i="6"/>
  <c r="T306" i="6"/>
  <c r="T62" i="6"/>
  <c r="T123" i="6"/>
  <c r="T158" i="6"/>
  <c r="T179" i="6"/>
  <c r="T205" i="6"/>
  <c r="T251" i="6"/>
  <c r="T312" i="6"/>
  <c r="T334" i="6"/>
  <c r="T49" i="6"/>
  <c r="T124" i="6"/>
  <c r="T155" i="6"/>
  <c r="T215" i="6"/>
  <c r="T276" i="6"/>
  <c r="T315" i="6"/>
  <c r="T327" i="6"/>
  <c r="T45" i="6"/>
  <c r="T135" i="6"/>
  <c r="T176" i="6"/>
  <c r="T256" i="6"/>
  <c r="T292" i="6"/>
  <c r="T351" i="6"/>
  <c r="T366" i="6"/>
  <c r="T380" i="6"/>
  <c r="T94" i="6"/>
  <c r="T125" i="6"/>
  <c r="T203" i="6"/>
  <c r="T245" i="6"/>
  <c r="T287" i="6"/>
  <c r="T349" i="6"/>
  <c r="T165" i="6"/>
  <c r="T244" i="6"/>
  <c r="T106" i="6"/>
  <c r="T34" i="6"/>
  <c r="T97" i="6"/>
  <c r="T152" i="6"/>
  <c r="T258" i="6"/>
  <c r="T329" i="6"/>
  <c r="T368" i="6"/>
  <c r="T383" i="6"/>
  <c r="T305" i="6"/>
  <c r="T80" i="6"/>
  <c r="T122" i="6"/>
  <c r="T265" i="6"/>
  <c r="T340" i="6"/>
  <c r="T385" i="6"/>
  <c r="T195" i="6"/>
  <c r="T71" i="6"/>
  <c r="T159" i="6"/>
  <c r="T225" i="6"/>
  <c r="T304" i="6"/>
  <c r="T343" i="6"/>
  <c r="T90" i="6"/>
  <c r="T363" i="6"/>
  <c r="T69" i="6"/>
  <c r="T118" i="6"/>
  <c r="T169" i="6"/>
  <c r="T310" i="6"/>
  <c r="T386" i="6"/>
  <c r="T170" i="6"/>
  <c r="T372" i="6"/>
  <c r="T222" i="6"/>
  <c r="T172" i="6"/>
  <c r="T96" i="6"/>
  <c r="T84" i="6"/>
  <c r="T210" i="6"/>
  <c r="T307" i="6"/>
  <c r="T252" i="6"/>
  <c r="T270" i="6"/>
  <c r="T240" i="6"/>
  <c r="T291" i="6"/>
  <c r="T178" i="6"/>
  <c r="T182" i="6"/>
  <c r="T77" i="6"/>
  <c r="T234" i="6"/>
  <c r="T298" i="6"/>
  <c r="T223" i="6"/>
  <c r="T295" i="6"/>
  <c r="T162" i="6"/>
  <c r="T111" i="6"/>
  <c r="T81" i="6"/>
  <c r="T68" i="6"/>
  <c r="T105" i="6"/>
  <c r="T171" i="6"/>
  <c r="T344" i="6"/>
  <c r="T213" i="6"/>
  <c r="T78" i="6"/>
  <c r="T46" i="6"/>
  <c r="F41" i="13" s="1"/>
  <c r="T101" i="6"/>
  <c r="T128" i="6"/>
  <c r="T163" i="6"/>
  <c r="T189" i="6"/>
  <c r="T211" i="6"/>
  <c r="T263" i="6"/>
  <c r="T313" i="6"/>
  <c r="T336" i="6"/>
  <c r="T67" i="6"/>
  <c r="T130" i="6"/>
  <c r="T164" i="6"/>
  <c r="T226" i="6"/>
  <c r="T277" i="6"/>
  <c r="T317" i="6"/>
  <c r="T328" i="6"/>
  <c r="T64" i="6"/>
  <c r="T145" i="6"/>
  <c r="T188" i="6"/>
  <c r="T257" i="6"/>
  <c r="T293" i="6"/>
  <c r="T354" i="6"/>
  <c r="T370" i="6"/>
  <c r="T384" i="6"/>
  <c r="T104" i="6"/>
  <c r="T134" i="6"/>
  <c r="T220" i="6"/>
  <c r="T268" i="6"/>
  <c r="T309" i="6"/>
  <c r="T376" i="6"/>
  <c r="T175" i="6"/>
  <c r="T70" i="6"/>
  <c r="T143" i="6"/>
  <c r="N68" i="12"/>
  <c r="N72" i="12"/>
  <c r="N14" i="12"/>
  <c r="N55" i="12"/>
  <c r="AF22" i="4"/>
  <c r="N100" i="1" s="1" a="1"/>
  <c r="N100" i="1" s="1"/>
  <c r="S100" i="15" s="1"/>
  <c r="AF151" i="4"/>
  <c r="N28" i="12"/>
  <c r="N75" i="12"/>
  <c r="AF66" i="4" s="1"/>
  <c r="N98" i="12"/>
  <c r="N20" i="12"/>
  <c r="N58" i="12"/>
  <c r="AF51" i="4" s="1"/>
  <c r="N78" i="12"/>
  <c r="AF69" i="4" s="1"/>
  <c r="N61" i="1" s="1" a="1"/>
  <c r="N61" i="1" s="1"/>
  <c r="S61" i="15" s="1"/>
  <c r="N31" i="12"/>
  <c r="AF27" i="4" s="1"/>
  <c r="N90" i="12"/>
  <c r="AF80" i="4" s="1"/>
  <c r="N59" i="12"/>
  <c r="N76" i="1" a="1"/>
  <c r="N76" i="1" s="1"/>
  <c r="S76" i="15" s="1"/>
  <c r="N81" i="1" a="1"/>
  <c r="N81" i="1" s="1"/>
  <c r="S81" i="15" s="1"/>
  <c r="N75" i="1" a="1"/>
  <c r="N75" i="1" s="1"/>
  <c r="S75" i="15" s="1"/>
  <c r="N79" i="1" a="1"/>
  <c r="N79" i="1" s="1"/>
  <c r="S79" i="15" s="1"/>
  <c r="N78" i="1" a="1"/>
  <c r="N78" i="1" s="1"/>
  <c r="S78" i="15" s="1"/>
  <c r="N80" i="1" a="1"/>
  <c r="N80" i="1" s="1"/>
  <c r="S80" i="15" s="1"/>
  <c r="AF47" i="4" l="1"/>
  <c r="AF91" i="4"/>
  <c r="AF24" i="4"/>
  <c r="N54" i="1" s="1" a="1"/>
  <c r="N54" i="1" s="1"/>
  <c r="S54" i="15" s="1"/>
  <c r="N56" i="1" a="1"/>
  <c r="N56" i="1" s="1"/>
  <c r="S56" i="15" s="1"/>
  <c r="N152" i="1" a="1"/>
  <c r="N152" i="1" s="1"/>
  <c r="S152" i="15" s="1"/>
  <c r="AF48" i="4"/>
  <c r="N149" i="1" a="1"/>
  <c r="N149" i="1" s="1"/>
  <c r="S149" i="15" s="1"/>
  <c r="AF63" i="4"/>
  <c r="N70" i="1" s="1" a="1"/>
  <c r="N70" i="1" s="1"/>
  <c r="S70" i="15" s="1"/>
  <c r="AF59" i="4"/>
  <c r="N85" i="1" s="1" a="1"/>
  <c r="N85" i="1" s="1"/>
  <c r="S85" i="15" s="1"/>
  <c r="AF11" i="4"/>
  <c r="AF97" i="4"/>
  <c r="AF52" i="4"/>
  <c r="N14" i="1" s="1" a="1"/>
  <c r="N14" i="1" s="1"/>
  <c r="S14" i="15" s="1"/>
  <c r="AF16" i="4"/>
  <c r="AF44" i="4"/>
  <c r="N160" i="1" s="1" a="1"/>
  <c r="N160" i="1" s="1"/>
  <c r="S160" i="15" s="1"/>
  <c r="AF85" i="4"/>
  <c r="AF10" i="4"/>
  <c r="N74" i="1" s="1" a="1"/>
  <c r="N74" i="1" s="1"/>
  <c r="S74" i="15" s="1"/>
  <c r="AF65" i="4"/>
  <c r="AF68" i="4"/>
  <c r="N113" i="1" s="1" a="1"/>
  <c r="N113" i="1" s="1"/>
  <c r="S113" i="15" s="1"/>
  <c r="AF83" i="4"/>
  <c r="AF30" i="4"/>
  <c r="AF77" i="4"/>
  <c r="N69" i="1" s="1" a="1"/>
  <c r="N69" i="1" s="1"/>
  <c r="S69" i="15" s="1"/>
  <c r="AF71" i="4"/>
  <c r="AF84" i="4"/>
  <c r="AF87" i="4"/>
  <c r="AF102" i="4"/>
  <c r="AF8" i="4"/>
  <c r="AF86" i="4"/>
  <c r="AF36" i="4"/>
  <c r="N99" i="1" s="1" a="1"/>
  <c r="N99" i="1" s="1"/>
  <c r="S99" i="15" s="1"/>
  <c r="AF7" i="4"/>
  <c r="AF32" i="4"/>
  <c r="N95" i="1" s="1" a="1"/>
  <c r="N95" i="1" s="1"/>
  <c r="S95" i="15" s="1"/>
  <c r="AF35" i="4"/>
  <c r="AF78" i="4"/>
  <c r="AF81" i="4"/>
  <c r="AF17" i="4"/>
  <c r="AF14" i="4"/>
  <c r="AF50" i="4"/>
  <c r="AF67" i="4"/>
  <c r="N108" i="1" s="1" a="1"/>
  <c r="N108" i="1" s="1"/>
  <c r="S108" i="15" s="1"/>
  <c r="AF56" i="4"/>
  <c r="AF53" i="4"/>
  <c r="N132" i="1" s="1" a="1"/>
  <c r="N132" i="1" s="1"/>
  <c r="S132" i="15" s="1"/>
  <c r="AF40" i="4"/>
  <c r="N139" i="1" s="1" a="1"/>
  <c r="N139" i="1" s="1"/>
  <c r="S139" i="15" s="1"/>
  <c r="AF9" i="4"/>
  <c r="AF100" i="4"/>
  <c r="AF31" i="4"/>
  <c r="AF150" i="4"/>
  <c r="AF169" i="4"/>
  <c r="AF239" i="4"/>
  <c r="AF186" i="4"/>
  <c r="AF164" i="4"/>
  <c r="AF224" i="4"/>
  <c r="AF203" i="4"/>
  <c r="AF181" i="4"/>
  <c r="AF190" i="4"/>
  <c r="AF223" i="4"/>
  <c r="AF15" i="4"/>
  <c r="AF28" i="4"/>
  <c r="AF115" i="4"/>
  <c r="AF105" i="4"/>
  <c r="AF175" i="4"/>
  <c r="AF215" i="4"/>
  <c r="AF189" i="4"/>
  <c r="AF75" i="4"/>
  <c r="AF41" i="4"/>
  <c r="N77" i="1" s="1" a="1"/>
  <c r="N77" i="1" s="1"/>
  <c r="S77" i="15" s="1"/>
  <c r="AF117" i="4"/>
  <c r="AF132" i="4"/>
  <c r="AF120" i="4"/>
  <c r="AF126" i="4"/>
  <c r="N19" i="1" s="1" a="1"/>
  <c r="N19" i="1" s="1"/>
  <c r="S19" i="15" s="1"/>
  <c r="AF232" i="4"/>
  <c r="AF135" i="4"/>
  <c r="AF171" i="4"/>
  <c r="AF213" i="4"/>
  <c r="AF144" i="4"/>
  <c r="AF174" i="4"/>
  <c r="AF110" i="4"/>
  <c r="AF188" i="4"/>
  <c r="AF235" i="4"/>
  <c r="AF128" i="4"/>
  <c r="N106" i="1" s="1" a="1"/>
  <c r="N106" i="1" s="1"/>
  <c r="S106" i="15" s="1"/>
  <c r="AF218" i="4"/>
  <c r="AF191" i="4"/>
  <c r="AF116" i="4"/>
  <c r="N97" i="1" s="1" a="1"/>
  <c r="N97" i="1" s="1"/>
  <c r="S97" i="15" s="1"/>
  <c r="AF74" i="4"/>
  <c r="AF210" i="4"/>
  <c r="AF161" i="4"/>
  <c r="AF118" i="4"/>
  <c r="AF46" i="4"/>
  <c r="AF241" i="4"/>
  <c r="AF251" i="4"/>
  <c r="AF143" i="4"/>
  <c r="N57" i="1" s="1" a="1"/>
  <c r="N57" i="1" s="1"/>
  <c r="S57" i="15" s="1"/>
  <c r="AF12" i="4"/>
  <c r="AF157" i="4"/>
  <c r="AF168" i="4"/>
  <c r="AF154" i="4"/>
  <c r="AF33" i="4"/>
  <c r="N170" i="1" s="1" a="1"/>
  <c r="N170" i="1" s="1"/>
  <c r="S170" i="15" s="1"/>
  <c r="AF226" i="4"/>
  <c r="AF149" i="4"/>
  <c r="AF248" i="4"/>
  <c r="AF216" i="4"/>
  <c r="AF220" i="4"/>
  <c r="AF73" i="4"/>
  <c r="N146" i="1" s="1" a="1"/>
  <c r="N146" i="1" s="1"/>
  <c r="S146" i="15" s="1"/>
  <c r="AF109" i="4"/>
  <c r="AF211" i="4"/>
  <c r="AF114" i="4"/>
  <c r="AF217" i="4"/>
  <c r="AF64" i="4"/>
  <c r="AF21" i="4"/>
  <c r="AF111" i="4"/>
  <c r="AF173" i="4"/>
  <c r="AF89" i="4"/>
  <c r="AF72" i="4"/>
  <c r="AF146" i="4"/>
  <c r="N127" i="1" s="1" a="1"/>
  <c r="N127" i="1" s="1"/>
  <c r="S127" i="15" s="1"/>
  <c r="AF240" i="4"/>
  <c r="AF178" i="4"/>
  <c r="AF176" i="4"/>
  <c r="AF3" i="4"/>
  <c r="AF165" i="4"/>
  <c r="AF245" i="4"/>
  <c r="AF194" i="4"/>
  <c r="AF88" i="4"/>
  <c r="AF204" i="4"/>
  <c r="AF166" i="4"/>
  <c r="AF177" i="4"/>
  <c r="AF142" i="4"/>
  <c r="N120" i="1" s="1" a="1"/>
  <c r="N120" i="1" s="1"/>
  <c r="S120" i="15" s="1"/>
  <c r="AF103" i="4"/>
  <c r="N135" i="1" s="1" a="1"/>
  <c r="N135" i="1" s="1"/>
  <c r="S135" i="15" s="1"/>
  <c r="AF162" i="4"/>
  <c r="AF130" i="4"/>
  <c r="AF39" i="4"/>
  <c r="N119" i="1" s="1" a="1"/>
  <c r="N119" i="1" s="1"/>
  <c r="S119" i="15" s="1"/>
  <c r="AF247" i="4"/>
  <c r="AF163" i="4"/>
  <c r="AF29" i="4"/>
  <c r="AF26" i="4"/>
  <c r="N144" i="1" s="1" a="1"/>
  <c r="N144" i="1" s="1"/>
  <c r="S144" i="15" s="1"/>
  <c r="AF145" i="4"/>
  <c r="N143" i="1" s="1" a="1"/>
  <c r="N143" i="1" s="1"/>
  <c r="S143" i="15" s="1"/>
  <c r="AF221" i="4"/>
  <c r="AF49" i="4"/>
  <c r="AF160" i="4"/>
  <c r="AF148" i="4"/>
  <c r="AF13" i="4"/>
  <c r="AF206" i="4"/>
  <c r="AF209" i="4"/>
  <c r="AF37" i="4"/>
  <c r="AF234" i="4"/>
  <c r="AF124" i="4"/>
  <c r="AF6" i="4"/>
  <c r="AF82" i="4"/>
  <c r="N157" i="1" s="1" a="1"/>
  <c r="N157" i="1" s="1"/>
  <c r="S157" i="15" s="1"/>
  <c r="AF208" i="4"/>
  <c r="AF113" i="4"/>
  <c r="AF112" i="4"/>
  <c r="N137" i="1" s="1" a="1"/>
  <c r="N137" i="1" s="1"/>
  <c r="S137" i="15" s="1"/>
  <c r="AF246" i="4"/>
  <c r="AF212" i="4"/>
  <c r="AF98" i="4"/>
  <c r="N133" i="1" s="1" a="1"/>
  <c r="N133" i="1" s="1"/>
  <c r="S133" i="15" s="1"/>
  <c r="AF38" i="4"/>
  <c r="AF34" i="4"/>
  <c r="N109" i="1" s="1" a="1"/>
  <c r="N109" i="1" s="1"/>
  <c r="S109" i="15" s="1"/>
  <c r="AF205" i="4"/>
  <c r="AF62" i="4"/>
  <c r="N17" i="1" s="1" a="1"/>
  <c r="N17" i="1" s="1"/>
  <c r="S17" i="15" s="1"/>
  <c r="AF94" i="4"/>
  <c r="AF158" i="4"/>
  <c r="AF167" i="4"/>
  <c r="AF252" i="4"/>
  <c r="AF121" i="4"/>
  <c r="N59" i="1" s="1" a="1"/>
  <c r="N59" i="1" s="1"/>
  <c r="S59" i="15" s="1"/>
  <c r="AF58" i="4"/>
  <c r="AF79" i="4"/>
  <c r="AF119" i="4"/>
  <c r="AF201" i="4"/>
  <c r="AF140" i="4"/>
  <c r="AF244" i="4"/>
  <c r="AF19" i="4"/>
  <c r="N162" i="1" s="1" a="1"/>
  <c r="N162" i="1" s="1"/>
  <c r="S162" i="15" s="1"/>
  <c r="AF219" i="4"/>
  <c r="AF147" i="4"/>
  <c r="AF197" i="4"/>
  <c r="AF199" i="4"/>
  <c r="AF225" i="4"/>
  <c r="AF172" i="4"/>
  <c r="AF125" i="4"/>
  <c r="AF92" i="4"/>
  <c r="AF236" i="4"/>
  <c r="AF42" i="4"/>
  <c r="N171" i="1" s="1" a="1"/>
  <c r="N171" i="1" s="1"/>
  <c r="S171" i="15" s="1"/>
  <c r="AF76" i="4"/>
  <c r="N21" i="1" s="1" a="1"/>
  <c r="N21" i="1" s="1"/>
  <c r="S21" i="15" s="1"/>
  <c r="AF195" i="4"/>
  <c r="AF136" i="4"/>
  <c r="AF18" i="4"/>
  <c r="N91" i="1" s="1" a="1"/>
  <c r="N91" i="1" s="1"/>
  <c r="S91" i="15" s="1"/>
  <c r="AF25" i="4"/>
  <c r="AF54" i="4"/>
  <c r="AF159" i="4"/>
  <c r="AF193" i="4"/>
  <c r="AF229" i="4"/>
  <c r="AF227" i="4"/>
  <c r="AF57" i="4"/>
  <c r="N102" i="1" s="1" a="1"/>
  <c r="N102" i="1" s="1"/>
  <c r="S102" i="15" s="1"/>
  <c r="AF138" i="4"/>
  <c r="AF141" i="4"/>
  <c r="AF196" i="4"/>
  <c r="AF179" i="4"/>
  <c r="AF127" i="4"/>
  <c r="AF108" i="4"/>
  <c r="AF185" i="4"/>
  <c r="AF183" i="4"/>
  <c r="AF182" i="4"/>
  <c r="AF93" i="4"/>
  <c r="AF156" i="4"/>
  <c r="AF243" i="4"/>
  <c r="AF152" i="4"/>
  <c r="AF242" i="4"/>
  <c r="AF184" i="4"/>
  <c r="AF129" i="4"/>
  <c r="AF231" i="4"/>
  <c r="AF170" i="4"/>
  <c r="AF214" i="4"/>
  <c r="AF90" i="4"/>
  <c r="AF45" i="4"/>
  <c r="N112" i="1" s="1" a="1"/>
  <c r="N112" i="1" s="1"/>
  <c r="S112" i="15" s="1"/>
  <c r="AF101" i="4"/>
  <c r="N60" i="1" s="1" a="1"/>
  <c r="N60" i="1" s="1"/>
  <c r="S60" i="15" s="1"/>
  <c r="AF230" i="4"/>
  <c r="AF153" i="4"/>
  <c r="AF155" i="4"/>
  <c r="AF237" i="4"/>
  <c r="AF104" i="4"/>
  <c r="AF20" i="4"/>
  <c r="AF133" i="4"/>
  <c r="AF250" i="4"/>
  <c r="AF137" i="4"/>
  <c r="N72" i="1" s="1" a="1"/>
  <c r="N72" i="1" s="1"/>
  <c r="S72" i="15" s="1"/>
  <c r="AF202" i="4"/>
  <c r="AF187" i="4"/>
  <c r="AF95" i="4"/>
  <c r="N16" i="1" s="1" a="1"/>
  <c r="N16" i="1" s="1"/>
  <c r="S16" i="15" s="1"/>
  <c r="AF139" i="4"/>
  <c r="AF122" i="4"/>
  <c r="AF134" i="4"/>
  <c r="AF4" i="4"/>
  <c r="N18" i="1" s="1" a="1"/>
  <c r="N18" i="1" s="1"/>
  <c r="S18" i="15" s="1"/>
  <c r="AF107" i="4"/>
  <c r="N153" i="1" s="1" a="1"/>
  <c r="N153" i="1" s="1"/>
  <c r="S153" i="15" s="1"/>
  <c r="AF249" i="4"/>
  <c r="AF96" i="4"/>
  <c r="N114" i="1" s="1" a="1"/>
  <c r="N114" i="1" s="1"/>
  <c r="S114" i="15" s="1"/>
  <c r="AF60" i="4"/>
  <c r="N167" i="1" s="1" a="1"/>
  <c r="N167" i="1" s="1"/>
  <c r="S167" i="15" s="1"/>
  <c r="AF61" i="4"/>
  <c r="AF55" i="4"/>
  <c r="AF23" i="4"/>
  <c r="AF192" i="4"/>
  <c r="AF106" i="4"/>
  <c r="AF5" i="4"/>
  <c r="AF180" i="4"/>
  <c r="AF70" i="4"/>
  <c r="N126" i="1" s="1" a="1"/>
  <c r="N126" i="1" s="1"/>
  <c r="S126" i="15" s="1"/>
  <c r="AF222" i="4"/>
  <c r="AF233" i="4"/>
  <c r="AF207" i="4"/>
  <c r="AF198" i="4"/>
  <c r="AF131" i="4"/>
  <c r="AF228" i="4"/>
  <c r="AF123" i="4"/>
  <c r="AF200" i="4"/>
  <c r="AF238" i="4"/>
  <c r="AF99" i="4"/>
  <c r="N62" i="1" s="1" a="1"/>
  <c r="N62" i="1" s="1"/>
  <c r="S62" i="15" s="1"/>
  <c r="N164" i="1" a="1"/>
  <c r="N164" i="1" s="1"/>
  <c r="S164" i="15" s="1"/>
  <c r="N165" i="1" a="1"/>
  <c r="N165" i="1" s="1"/>
  <c r="S165" i="15" s="1"/>
  <c r="F26" i="13"/>
  <c r="F32" i="13"/>
  <c r="F24" i="13"/>
  <c r="F16" i="13"/>
  <c r="F22" i="13"/>
  <c r="F19" i="13"/>
  <c r="F15" i="13"/>
  <c r="U43" i="6"/>
  <c r="V43" i="6" s="1"/>
  <c r="U40" i="6"/>
  <c r="V40" i="6" s="1"/>
  <c r="U33" i="6"/>
  <c r="U18" i="6"/>
  <c r="U26" i="6"/>
  <c r="V26" i="6" s="1"/>
  <c r="U8" i="6"/>
  <c r="U32" i="6"/>
  <c r="U22" i="6"/>
  <c r="V22" i="6" s="1"/>
  <c r="U2" i="6"/>
  <c r="U16" i="6"/>
  <c r="U64" i="6"/>
  <c r="V64" i="6" s="1"/>
  <c r="U194" i="6"/>
  <c r="V194" i="6" s="1"/>
  <c r="U224" i="6"/>
  <c r="V224" i="6" s="1"/>
  <c r="U74" i="6"/>
  <c r="V74" i="6" s="1"/>
  <c r="U209" i="6"/>
  <c r="V209" i="6" s="1"/>
  <c r="U122" i="6"/>
  <c r="V122" i="6" s="1"/>
  <c r="U379" i="6"/>
  <c r="V379" i="6" s="1"/>
  <c r="U188" i="6"/>
  <c r="V188" i="6" s="1"/>
  <c r="U65" i="6"/>
  <c r="V65" i="6" s="1"/>
  <c r="U367" i="6"/>
  <c r="V367" i="6" s="1"/>
  <c r="U200" i="6"/>
  <c r="V200" i="6" s="1"/>
  <c r="U83" i="6"/>
  <c r="V83" i="6" s="1"/>
  <c r="U333" i="6"/>
  <c r="V333" i="6" s="1"/>
  <c r="U282" i="6"/>
  <c r="V282" i="6" s="1"/>
  <c r="U310" i="6"/>
  <c r="V310" i="6" s="1"/>
  <c r="U304" i="6"/>
  <c r="V304" i="6" s="1"/>
  <c r="U380" i="6"/>
  <c r="V380" i="6" s="1"/>
  <c r="U207" i="6"/>
  <c r="V207" i="6" s="1"/>
  <c r="U247" i="6"/>
  <c r="V247" i="6" s="1"/>
  <c r="U163" i="6"/>
  <c r="V163" i="6" s="1"/>
  <c r="U124" i="6"/>
  <c r="V124" i="6" s="1"/>
  <c r="U68" i="6"/>
  <c r="V68" i="6" s="1"/>
  <c r="U92" i="6"/>
  <c r="V92" i="6" s="1"/>
  <c r="U324" i="6"/>
  <c r="V324" i="6" s="1"/>
  <c r="U292" i="6"/>
  <c r="V292" i="6" s="1"/>
  <c r="U346" i="6"/>
  <c r="V346" i="6" s="1"/>
  <c r="U377" i="6"/>
  <c r="V377" i="6" s="1"/>
  <c r="U262" i="6"/>
  <c r="V262" i="6" s="1"/>
  <c r="U331" i="6"/>
  <c r="V331" i="6" s="1"/>
  <c r="U145" i="6"/>
  <c r="V145" i="6" s="1"/>
  <c r="U313" i="6"/>
  <c r="V313" i="6" s="1"/>
  <c r="U147" i="6"/>
  <c r="V147" i="6" s="1"/>
  <c r="U359" i="6"/>
  <c r="V359" i="6" s="1"/>
  <c r="U298" i="6"/>
  <c r="V298" i="6" s="1"/>
  <c r="U336" i="6"/>
  <c r="V336" i="6" s="1"/>
  <c r="U187" i="6"/>
  <c r="V187" i="6" s="1"/>
  <c r="U277" i="6"/>
  <c r="V277" i="6" s="1"/>
  <c r="U211" i="6"/>
  <c r="V211" i="6" s="1"/>
  <c r="U99" i="6"/>
  <c r="V99" i="6" s="1"/>
  <c r="U322" i="6"/>
  <c r="V322" i="6" s="1"/>
  <c r="U323" i="6"/>
  <c r="V323" i="6" s="1"/>
  <c r="U189" i="6"/>
  <c r="V189" i="6" s="1"/>
  <c r="U266" i="6"/>
  <c r="V266" i="6" s="1"/>
  <c r="U270" i="6"/>
  <c r="V270" i="6" s="1"/>
  <c r="U290" i="6"/>
  <c r="V290" i="6" s="1"/>
  <c r="U116" i="6"/>
  <c r="V116" i="6" s="1"/>
  <c r="U260" i="6"/>
  <c r="V260" i="6" s="1"/>
  <c r="U208" i="6"/>
  <c r="V208" i="6" s="1"/>
  <c r="U237" i="6"/>
  <c r="V237" i="6" s="1"/>
  <c r="U294" i="6"/>
  <c r="V294" i="6" s="1"/>
  <c r="U248" i="6"/>
  <c r="V248" i="6" s="1"/>
  <c r="U63" i="6"/>
  <c r="V63" i="6" s="1"/>
  <c r="U296" i="6"/>
  <c r="V296" i="6" s="1"/>
  <c r="U115" i="6"/>
  <c r="V115" i="6" s="1"/>
  <c r="U314" i="6"/>
  <c r="V314" i="6" s="1"/>
  <c r="U117" i="6"/>
  <c r="V117" i="6" s="1"/>
  <c r="U353" i="6"/>
  <c r="V353" i="6" s="1"/>
  <c r="U190" i="6"/>
  <c r="V190" i="6" s="1"/>
  <c r="U77" i="6"/>
  <c r="V77" i="6" s="1"/>
  <c r="U123" i="6"/>
  <c r="V123" i="6" s="1"/>
  <c r="U285" i="6"/>
  <c r="V285" i="6" s="1"/>
  <c r="U133" i="6"/>
  <c r="V133" i="6" s="1"/>
  <c r="U327" i="6"/>
  <c r="V327" i="6" s="1"/>
  <c r="U52" i="6"/>
  <c r="V52" i="6" s="1"/>
  <c r="U75" i="6"/>
  <c r="V75" i="6" s="1"/>
  <c r="U112" i="6"/>
  <c r="V112" i="6" s="1"/>
  <c r="U150" i="6"/>
  <c r="V150" i="6" s="1"/>
  <c r="U234" i="6"/>
  <c r="V234" i="6" s="1"/>
  <c r="U60" i="6"/>
  <c r="V60" i="6" s="1"/>
  <c r="U107" i="6"/>
  <c r="V107" i="6" s="1"/>
  <c r="U167" i="6"/>
  <c r="V167" i="6" s="1"/>
  <c r="U179" i="6"/>
  <c r="V179" i="6" s="1"/>
  <c r="U218" i="6"/>
  <c r="V218" i="6" s="1"/>
  <c r="U98" i="6"/>
  <c r="V98" i="6" s="1"/>
  <c r="U149" i="6"/>
  <c r="V149" i="6" s="1"/>
  <c r="U340" i="6"/>
  <c r="V340" i="6" s="1"/>
  <c r="U387" i="6"/>
  <c r="V387" i="6" s="1"/>
  <c r="U85" i="6"/>
  <c r="V85" i="6" s="1"/>
  <c r="U162" i="6"/>
  <c r="V162" i="6" s="1"/>
  <c r="U210" i="6"/>
  <c r="V210" i="6" s="1"/>
  <c r="U240" i="6"/>
  <c r="V240" i="6" s="1"/>
  <c r="U378" i="6"/>
  <c r="V378" i="6" s="1"/>
  <c r="U198" i="6"/>
  <c r="V198" i="6" s="1"/>
  <c r="U236" i="6"/>
  <c r="V236" i="6" s="1"/>
  <c r="U113" i="6"/>
  <c r="V113" i="6" s="1"/>
  <c r="U140" i="6"/>
  <c r="V140" i="6" s="1"/>
  <c r="U36" i="6"/>
  <c r="V36" i="6" s="1"/>
  <c r="U44" i="6"/>
  <c r="V44" i="6" s="1"/>
  <c r="U37" i="6"/>
  <c r="U10" i="6"/>
  <c r="U30" i="6"/>
  <c r="V30" i="6" s="1"/>
  <c r="U12" i="6"/>
  <c r="U5" i="6"/>
  <c r="N5" i="1" s="1" a="1"/>
  <c r="N5" i="1" s="1"/>
  <c r="S5" i="15" s="1"/>
  <c r="U3" i="6"/>
  <c r="U29" i="6"/>
  <c r="V29" i="6" s="1"/>
  <c r="U11" i="6"/>
  <c r="V11" i="6" s="1"/>
  <c r="U6" i="6"/>
  <c r="U66" i="6"/>
  <c r="V66" i="6" s="1"/>
  <c r="U230" i="6"/>
  <c r="V230" i="6" s="1"/>
  <c r="U373" i="6"/>
  <c r="V373" i="6" s="1"/>
  <c r="U100" i="6"/>
  <c r="V100" i="6" s="1"/>
  <c r="U365" i="6"/>
  <c r="V365" i="6" s="1"/>
  <c r="U180" i="6"/>
  <c r="V180" i="6" s="1"/>
  <c r="U56" i="6"/>
  <c r="V56" i="6" s="1"/>
  <c r="U376" i="6"/>
  <c r="V376" i="6" s="1"/>
  <c r="U88" i="6"/>
  <c r="V88" i="6" s="1"/>
  <c r="U49" i="6"/>
  <c r="V49" i="6" s="1"/>
  <c r="U349" i="6"/>
  <c r="V349" i="6" s="1"/>
  <c r="U89" i="6"/>
  <c r="V89" i="6" s="1"/>
  <c r="U347" i="6"/>
  <c r="V347" i="6" s="1"/>
  <c r="U281" i="6"/>
  <c r="V281" i="6" s="1"/>
  <c r="U326" i="6"/>
  <c r="V326" i="6" s="1"/>
  <c r="U244" i="6"/>
  <c r="V244" i="6" s="1"/>
  <c r="U302" i="6"/>
  <c r="V302" i="6" s="1"/>
  <c r="U229" i="6"/>
  <c r="V229" i="6" s="1"/>
  <c r="U284" i="6"/>
  <c r="V284" i="6" s="1"/>
  <c r="U273" i="6"/>
  <c r="V273" i="6" s="1"/>
  <c r="U109" i="6"/>
  <c r="V109" i="6" s="1"/>
  <c r="U213" i="6"/>
  <c r="V213" i="6" s="1"/>
  <c r="U135" i="6"/>
  <c r="V135" i="6" s="1"/>
  <c r="U293" i="6"/>
  <c r="V293" i="6" s="1"/>
  <c r="U225" i="6"/>
  <c r="V225" i="6" s="1"/>
  <c r="U337" i="6"/>
  <c r="V337" i="6" s="1"/>
  <c r="U362" i="6"/>
  <c r="V362" i="6" s="1"/>
  <c r="U193" i="6"/>
  <c r="V193" i="6" s="1"/>
  <c r="U220" i="6"/>
  <c r="V220" i="6" s="1"/>
  <c r="U90" i="6"/>
  <c r="V90" i="6" s="1"/>
  <c r="U256" i="6"/>
  <c r="V256" i="6" s="1"/>
  <c r="U321" i="6"/>
  <c r="V321" i="6" s="1"/>
  <c r="U352" i="6"/>
  <c r="V352" i="6" s="1"/>
  <c r="U271" i="6"/>
  <c r="V271" i="6" s="1"/>
  <c r="U283" i="6"/>
  <c r="V283" i="6" s="1"/>
  <c r="U328" i="6"/>
  <c r="V328" i="6" s="1"/>
  <c r="U249" i="6"/>
  <c r="V249" i="6" s="1"/>
  <c r="U103" i="6"/>
  <c r="V103" i="6" s="1"/>
  <c r="U78" i="6"/>
  <c r="V78" i="6" s="1"/>
  <c r="U231" i="6"/>
  <c r="V231" i="6" s="1"/>
  <c r="U299" i="6"/>
  <c r="V299" i="6" s="1"/>
  <c r="U72" i="6"/>
  <c r="V72" i="6" s="1"/>
  <c r="U178" i="6"/>
  <c r="V178" i="6" s="1"/>
  <c r="U251" i="6"/>
  <c r="V251" i="6" s="1"/>
  <c r="U223" i="6"/>
  <c r="V223" i="6" s="1"/>
  <c r="U81" i="6"/>
  <c r="V81" i="6" s="1"/>
  <c r="U142" i="6"/>
  <c r="V142" i="6" s="1"/>
  <c r="U339" i="6"/>
  <c r="V339" i="6" s="1"/>
  <c r="U121" i="6"/>
  <c r="V121" i="6" s="1"/>
  <c r="U246" i="6"/>
  <c r="V246" i="6" s="1"/>
  <c r="U183" i="6"/>
  <c r="V183" i="6" s="1"/>
  <c r="U316" i="6"/>
  <c r="V316" i="6" s="1"/>
  <c r="U141" i="6"/>
  <c r="V141" i="6" s="1"/>
  <c r="U264" i="6"/>
  <c r="V264" i="6" s="1"/>
  <c r="U97" i="6"/>
  <c r="V97" i="6" s="1"/>
  <c r="U172" i="6"/>
  <c r="V172" i="6" s="1"/>
  <c r="U320" i="6"/>
  <c r="V320" i="6" s="1"/>
  <c r="U175" i="6"/>
  <c r="V175" i="6" s="1"/>
  <c r="U80" i="6"/>
  <c r="V80" i="6" s="1"/>
  <c r="U343" i="6"/>
  <c r="V343" i="6" s="1"/>
  <c r="U289" i="6"/>
  <c r="V289" i="6" s="1"/>
  <c r="U139" i="6"/>
  <c r="V139" i="6" s="1"/>
  <c r="U205" i="6"/>
  <c r="V205" i="6" s="1"/>
  <c r="U61" i="6"/>
  <c r="V61" i="6" s="1"/>
  <c r="U76" i="6"/>
  <c r="V76" i="6" s="1"/>
  <c r="U120" i="6"/>
  <c r="V120" i="6" s="1"/>
  <c r="U185" i="6"/>
  <c r="V185" i="6" s="1"/>
  <c r="U238" i="6"/>
  <c r="V238" i="6" s="1"/>
  <c r="U62" i="6"/>
  <c r="V62" i="6" s="1"/>
  <c r="U128" i="6"/>
  <c r="V128" i="6" s="1"/>
  <c r="U168" i="6"/>
  <c r="V168" i="6" s="1"/>
  <c r="U186" i="6"/>
  <c r="V186" i="6" s="1"/>
  <c r="U221" i="6"/>
  <c r="V221" i="6" s="1"/>
  <c r="U114" i="6"/>
  <c r="V114" i="6" s="1"/>
  <c r="U192" i="6"/>
  <c r="V192" i="6" s="1"/>
  <c r="U363" i="6"/>
  <c r="V363" i="6" s="1"/>
  <c r="U51" i="6"/>
  <c r="V51" i="6" s="1"/>
  <c r="U110" i="6"/>
  <c r="V110" i="6" s="1"/>
  <c r="U164" i="6"/>
  <c r="V164" i="6" s="1"/>
  <c r="U216" i="6"/>
  <c r="V216" i="6" s="1"/>
  <c r="U356" i="6"/>
  <c r="V356" i="6" s="1"/>
  <c r="U385" i="6"/>
  <c r="V385" i="6" s="1"/>
  <c r="U203" i="6"/>
  <c r="V203" i="6" s="1"/>
  <c r="U57" i="6"/>
  <c r="V57" i="6" s="1"/>
  <c r="U119" i="6"/>
  <c r="V119" i="6" s="1"/>
  <c r="U46" i="6"/>
  <c r="U334" i="6"/>
  <c r="V334" i="6" s="1"/>
  <c r="U228" i="6"/>
  <c r="V228" i="6" s="1"/>
  <c r="U372" i="6"/>
  <c r="V372" i="6" s="1"/>
  <c r="U148" i="6"/>
  <c r="V148" i="6" s="1"/>
  <c r="U227" i="6"/>
  <c r="V227" i="6" s="1"/>
  <c r="U358" i="6"/>
  <c r="V358" i="6" s="1"/>
  <c r="U204" i="6"/>
  <c r="V204" i="6" s="1"/>
  <c r="U67" i="6"/>
  <c r="V67" i="6" s="1"/>
  <c r="AF2" i="4"/>
  <c r="U39" i="6"/>
  <c r="U35" i="6"/>
  <c r="U38" i="6"/>
  <c r="V38" i="6" s="1"/>
  <c r="U19" i="6"/>
  <c r="V19" i="6" s="1"/>
  <c r="U31" i="6"/>
  <c r="V31" i="6" s="1"/>
  <c r="U25" i="6"/>
  <c r="V25" i="6" s="1"/>
  <c r="U17" i="6"/>
  <c r="U23" i="6"/>
  <c r="U28" i="6"/>
  <c r="U15" i="6"/>
  <c r="V15" i="6" s="1"/>
  <c r="U14" i="6"/>
  <c r="V14" i="6" s="1"/>
  <c r="U45" i="6"/>
  <c r="V45" i="6" s="1"/>
  <c r="U138" i="6"/>
  <c r="V138" i="6" s="1"/>
  <c r="U108" i="6"/>
  <c r="V108" i="6" s="1"/>
  <c r="U382" i="6"/>
  <c r="V382" i="6" s="1"/>
  <c r="U152" i="6"/>
  <c r="V152" i="6" s="1"/>
  <c r="U375" i="6"/>
  <c r="V375" i="6" s="1"/>
  <c r="U232" i="6"/>
  <c r="V232" i="6" s="1"/>
  <c r="U131" i="6"/>
  <c r="V131" i="6" s="1"/>
  <c r="U50" i="6"/>
  <c r="V50" i="6" s="1"/>
  <c r="U137" i="6"/>
  <c r="V137" i="6" s="1"/>
  <c r="U55" i="6"/>
  <c r="V55" i="6" s="1"/>
  <c r="U366" i="6"/>
  <c r="V366" i="6" s="1"/>
  <c r="U146" i="6"/>
  <c r="V146" i="6" s="1"/>
  <c r="U364" i="6"/>
  <c r="V364" i="6" s="1"/>
  <c r="U219" i="6"/>
  <c r="V219" i="6" s="1"/>
  <c r="U287" i="6"/>
  <c r="V287" i="6" s="1"/>
  <c r="U153" i="6"/>
  <c r="V153" i="6" s="1"/>
  <c r="U250" i="6"/>
  <c r="V250" i="6" s="1"/>
  <c r="U345" i="6"/>
  <c r="V345" i="6" s="1"/>
  <c r="U297" i="6"/>
  <c r="V297" i="6" s="1"/>
  <c r="U154" i="6"/>
  <c r="V154" i="6" s="1"/>
  <c r="U84" i="6"/>
  <c r="V84" i="6" s="1"/>
  <c r="U301" i="6"/>
  <c r="V301" i="6" s="1"/>
  <c r="U275" i="6"/>
  <c r="V275" i="6" s="1"/>
  <c r="U300" i="6"/>
  <c r="V300" i="6" s="1"/>
  <c r="U291" i="6"/>
  <c r="V291" i="6" s="1"/>
  <c r="U350" i="6"/>
  <c r="V350" i="6" s="1"/>
  <c r="U335" i="6"/>
  <c r="V335" i="6" s="1"/>
  <c r="U360" i="6"/>
  <c r="V360" i="6" s="1"/>
  <c r="U279" i="6"/>
  <c r="V279" i="6" s="1"/>
  <c r="U245" i="6"/>
  <c r="V245" i="6" s="1"/>
  <c r="U305" i="6"/>
  <c r="V305" i="6" s="1"/>
  <c r="U269" i="6"/>
  <c r="V269" i="6" s="1"/>
  <c r="U371" i="6"/>
  <c r="V371" i="6" s="1"/>
  <c r="U254" i="6"/>
  <c r="V254" i="6" s="1"/>
  <c r="U274" i="6"/>
  <c r="V274" i="6" s="1"/>
  <c r="U295" i="6"/>
  <c r="V295" i="6" s="1"/>
  <c r="U261" i="6"/>
  <c r="V261" i="6" s="1"/>
  <c r="U94" i="6"/>
  <c r="V94" i="6" s="1"/>
  <c r="U87" i="6"/>
  <c r="V87" i="6" s="1"/>
  <c r="U195" i="6"/>
  <c r="V195" i="6" s="1"/>
  <c r="U317" i="6"/>
  <c r="V317" i="6" s="1"/>
  <c r="U386" i="6"/>
  <c r="V386" i="6" s="1"/>
  <c r="U351" i="6"/>
  <c r="V351" i="6" s="1"/>
  <c r="U315" i="6"/>
  <c r="V315" i="6" s="1"/>
  <c r="U201" i="6"/>
  <c r="V201" i="6" s="1"/>
  <c r="U329" i="6"/>
  <c r="V329" i="6" s="1"/>
  <c r="U96" i="6"/>
  <c r="V96" i="6" s="1"/>
  <c r="U182" i="6"/>
  <c r="V182" i="6" s="1"/>
  <c r="U129" i="6"/>
  <c r="V129" i="6" s="1"/>
  <c r="U341" i="6"/>
  <c r="V341" i="6" s="1"/>
  <c r="U217" i="6"/>
  <c r="V217" i="6" s="1"/>
  <c r="U268" i="6"/>
  <c r="V268" i="6" s="1"/>
  <c r="U265" i="6"/>
  <c r="V265" i="6" s="1"/>
  <c r="U311" i="6"/>
  <c r="V311" i="6" s="1"/>
  <c r="U288" i="6"/>
  <c r="V288" i="6" s="1"/>
  <c r="U212" i="6"/>
  <c r="V212" i="6" s="1"/>
  <c r="U357" i="6"/>
  <c r="V357" i="6" s="1"/>
  <c r="U105" i="6"/>
  <c r="V105" i="6" s="1"/>
  <c r="U71" i="6"/>
  <c r="V71" i="6" s="1"/>
  <c r="U348" i="6"/>
  <c r="V348" i="6" s="1"/>
  <c r="U253" i="6"/>
  <c r="V253" i="6" s="1"/>
  <c r="U106" i="6"/>
  <c r="V106" i="6" s="1"/>
  <c r="U199" i="6"/>
  <c r="V199" i="6" s="1"/>
  <c r="U69" i="6"/>
  <c r="V69" i="6" s="1"/>
  <c r="U79" i="6"/>
  <c r="V79" i="6" s="1"/>
  <c r="U136" i="6"/>
  <c r="V136" i="6" s="1"/>
  <c r="U214" i="6"/>
  <c r="V214" i="6" s="1"/>
  <c r="U101" i="6"/>
  <c r="V101" i="6" s="1"/>
  <c r="U144" i="6"/>
  <c r="V144" i="6" s="1"/>
  <c r="U173" i="6"/>
  <c r="V173" i="6" s="1"/>
  <c r="U197" i="6"/>
  <c r="V197" i="6" s="1"/>
  <c r="U126" i="6"/>
  <c r="V126" i="6" s="1"/>
  <c r="U59" i="6"/>
  <c r="V59" i="6" s="1"/>
  <c r="U184" i="6"/>
  <c r="V184" i="6" s="1"/>
  <c r="U156" i="6"/>
  <c r="V156" i="6" s="1"/>
  <c r="U125" i="6"/>
  <c r="V125" i="6" s="1"/>
  <c r="U42" i="6"/>
  <c r="V42" i="6" s="1"/>
  <c r="U41" i="6"/>
  <c r="U24" i="6"/>
  <c r="U4" i="6"/>
  <c r="U13" i="6"/>
  <c r="N23" i="1" s="1" a="1"/>
  <c r="N23" i="1" s="1"/>
  <c r="S23" i="15" s="1"/>
  <c r="U20" i="6"/>
  <c r="V20" i="6" s="1"/>
  <c r="U27" i="6"/>
  <c r="V27" i="6" s="1"/>
  <c r="U7" i="6"/>
  <c r="U9" i="6"/>
  <c r="U21" i="6"/>
  <c r="V21" i="6" s="1"/>
  <c r="U58" i="6"/>
  <c r="V58" i="6" s="1"/>
  <c r="U170" i="6"/>
  <c r="V170" i="6" s="1"/>
  <c r="U155" i="6"/>
  <c r="V155" i="6" s="1"/>
  <c r="U47" i="6"/>
  <c r="V47" i="6" s="1"/>
  <c r="U176" i="6"/>
  <c r="V176" i="6" s="1"/>
  <c r="U95" i="6"/>
  <c r="V95" i="6" s="1"/>
  <c r="U370" i="6"/>
  <c r="V370" i="6" s="1"/>
  <c r="U132" i="6"/>
  <c r="V132" i="6" s="1"/>
  <c r="U54" i="6"/>
  <c r="V54" i="6" s="1"/>
  <c r="U202" i="6"/>
  <c r="V202" i="6" s="1"/>
  <c r="U166" i="6"/>
  <c r="V166" i="6" s="1"/>
  <c r="U48" i="6"/>
  <c r="V48" i="6" s="1"/>
  <c r="U215" i="6"/>
  <c r="V215" i="6" s="1"/>
  <c r="U384" i="6"/>
  <c r="V384" i="6" s="1"/>
  <c r="U330" i="6"/>
  <c r="V330" i="6" s="1"/>
  <c r="U111" i="6"/>
  <c r="V111" i="6" s="1"/>
  <c r="U255" i="6"/>
  <c r="V255" i="6" s="1"/>
  <c r="U171" i="6"/>
  <c r="V171" i="6" s="1"/>
  <c r="U278" i="6"/>
  <c r="V278" i="6" s="1"/>
  <c r="U235" i="6"/>
  <c r="V235" i="6" s="1"/>
  <c r="U181" i="6"/>
  <c r="V181" i="6" s="1"/>
  <c r="U93" i="6"/>
  <c r="V93" i="6" s="1"/>
  <c r="U118" i="6"/>
  <c r="V118" i="6" s="1"/>
  <c r="U280" i="6"/>
  <c r="V280" i="6" s="1"/>
  <c r="U319" i="6"/>
  <c r="V319" i="6" s="1"/>
  <c r="U355" i="6"/>
  <c r="V355" i="6" s="1"/>
  <c r="U361" i="6"/>
  <c r="V361" i="6" s="1"/>
  <c r="U267" i="6"/>
  <c r="V267" i="6" s="1"/>
  <c r="U342" i="6"/>
  <c r="V342" i="6" s="1"/>
  <c r="U177" i="6"/>
  <c r="V177" i="6" s="1"/>
  <c r="U318" i="6"/>
  <c r="V318" i="6" s="1"/>
  <c r="U306" i="6"/>
  <c r="V306" i="6" s="1"/>
  <c r="U303" i="6"/>
  <c r="V303" i="6" s="1"/>
  <c r="U344" i="6"/>
  <c r="V344" i="6" s="1"/>
  <c r="U354" i="6"/>
  <c r="V354" i="6" s="1"/>
  <c r="U242" i="6"/>
  <c r="V242" i="6" s="1"/>
  <c r="U243" i="6"/>
  <c r="V243" i="6" s="1"/>
  <c r="U169" i="6"/>
  <c r="V169" i="6" s="1"/>
  <c r="U151" i="6"/>
  <c r="V151" i="6" s="1"/>
  <c r="U159" i="6"/>
  <c r="V159" i="6" s="1"/>
  <c r="U258" i="6"/>
  <c r="V258" i="6" s="1"/>
  <c r="U257" i="6"/>
  <c r="V257" i="6" s="1"/>
  <c r="U368" i="6"/>
  <c r="V368" i="6" s="1"/>
  <c r="U263" i="6"/>
  <c r="V263" i="6" s="1"/>
  <c r="U276" i="6"/>
  <c r="V276" i="6" s="1"/>
  <c r="U272" i="6"/>
  <c r="V272" i="6" s="1"/>
  <c r="U383" i="6"/>
  <c r="V383" i="6" s="1"/>
  <c r="U309" i="6"/>
  <c r="V309" i="6" s="1"/>
  <c r="U165" i="6"/>
  <c r="V165" i="6" s="1"/>
  <c r="U312" i="6"/>
  <c r="V312" i="6" s="1"/>
  <c r="U332" i="6"/>
  <c r="V332" i="6" s="1"/>
  <c r="U157" i="6"/>
  <c r="V157" i="6" s="1"/>
  <c r="U286" i="6"/>
  <c r="V286" i="6" s="1"/>
  <c r="U226" i="6"/>
  <c r="V226" i="6" s="1"/>
  <c r="U307" i="6"/>
  <c r="V307" i="6" s="1"/>
  <c r="U252" i="6"/>
  <c r="V252" i="6" s="1"/>
  <c r="U374" i="6"/>
  <c r="V374" i="6" s="1"/>
  <c r="U241" i="6"/>
  <c r="V241" i="6" s="1"/>
  <c r="U160" i="6"/>
  <c r="V160" i="6" s="1"/>
  <c r="U325" i="6"/>
  <c r="V325" i="6" s="1"/>
  <c r="U259" i="6"/>
  <c r="V259" i="6" s="1"/>
  <c r="U308" i="6"/>
  <c r="V308" i="6" s="1"/>
  <c r="U86" i="6"/>
  <c r="V86" i="6" s="1"/>
  <c r="U127" i="6"/>
  <c r="V127" i="6" s="1"/>
  <c r="U73" i="6"/>
  <c r="V73" i="6" s="1"/>
  <c r="U91" i="6"/>
  <c r="V91" i="6" s="1"/>
  <c r="U143" i="6"/>
  <c r="V143" i="6" s="1"/>
  <c r="U233" i="6"/>
  <c r="V233" i="6" s="1"/>
  <c r="U53" i="6"/>
  <c r="V53" i="6" s="1"/>
  <c r="U102" i="6"/>
  <c r="V102" i="6" s="1"/>
  <c r="U158" i="6"/>
  <c r="V158" i="6" s="1"/>
  <c r="U174" i="6"/>
  <c r="V174" i="6" s="1"/>
  <c r="U206" i="6"/>
  <c r="V206" i="6" s="1"/>
  <c r="U70" i="6"/>
  <c r="V70" i="6" s="1"/>
  <c r="U130" i="6"/>
  <c r="V130" i="6" s="1"/>
  <c r="U338" i="6"/>
  <c r="V338" i="6" s="1"/>
  <c r="U381" i="6"/>
  <c r="V381" i="6" s="1"/>
  <c r="U82" i="6"/>
  <c r="V82" i="6" s="1"/>
  <c r="U161" i="6"/>
  <c r="V161" i="6" s="1"/>
  <c r="U196" i="6"/>
  <c r="V196" i="6" s="1"/>
  <c r="U239" i="6"/>
  <c r="V239" i="6" s="1"/>
  <c r="U369" i="6"/>
  <c r="V369" i="6" s="1"/>
  <c r="U191" i="6"/>
  <c r="V191" i="6" s="1"/>
  <c r="U222" i="6"/>
  <c r="V222" i="6" s="1"/>
  <c r="U104" i="6"/>
  <c r="V104" i="6" s="1"/>
  <c r="U134" i="6"/>
  <c r="V134" i="6" s="1"/>
  <c r="U34" i="6"/>
  <c r="V34" i="6" s="1"/>
  <c r="N43" i="1" l="1" a="1"/>
  <c r="N43" i="1" s="1"/>
  <c r="S43" i="15" s="1"/>
  <c r="V41" i="6"/>
  <c r="N48" i="1" a="1"/>
  <c r="N48" i="1" s="1"/>
  <c r="S48" i="15" s="1"/>
  <c r="V37" i="6"/>
  <c r="N45" i="1" a="1"/>
  <c r="N45" i="1" s="1"/>
  <c r="S45" i="15" s="1"/>
  <c r="V33" i="6"/>
  <c r="N40" i="1" a="1"/>
  <c r="N40" i="1" s="1"/>
  <c r="S40" i="15" s="1"/>
  <c r="N32" i="1" a="1"/>
  <c r="N32" i="1" s="1"/>
  <c r="S32" i="15" s="1"/>
  <c r="N38" i="1" a="1"/>
  <c r="N38" i="1" s="1"/>
  <c r="S38" i="15" s="1"/>
  <c r="N36" i="1" a="1"/>
  <c r="N36" i="1" s="1"/>
  <c r="S36" i="15" s="1"/>
  <c r="V28" i="6"/>
  <c r="N35" i="1" a="1"/>
  <c r="N35" i="1" s="1"/>
  <c r="S35" i="15" s="1"/>
  <c r="V46" i="6"/>
  <c r="N53" i="1" a="1"/>
  <c r="N53" i="1" s="1"/>
  <c r="S53" i="15" s="1"/>
  <c r="V32" i="6"/>
  <c r="N39" i="1" a="1"/>
  <c r="N39" i="1" s="1"/>
  <c r="S39" i="15" s="1"/>
  <c r="N37" i="1" a="1"/>
  <c r="N37" i="1" s="1"/>
  <c r="S37" i="15" s="1"/>
  <c r="N2" i="1" a="1"/>
  <c r="N2" i="1" s="1"/>
  <c r="S2" i="15" s="1"/>
  <c r="N33" i="1" a="1"/>
  <c r="N33" i="1" s="1"/>
  <c r="S33" i="15" s="1"/>
  <c r="V23" i="6"/>
  <c r="N30" i="1" a="1"/>
  <c r="N30" i="1" s="1"/>
  <c r="S30" i="15" s="1"/>
  <c r="V35" i="6"/>
  <c r="N42" i="1" a="1"/>
  <c r="N42" i="1" s="1"/>
  <c r="S42" i="15" s="1"/>
  <c r="N7" i="1" a="1"/>
  <c r="N7" i="1" s="1"/>
  <c r="S7" i="15" s="1"/>
  <c r="V24" i="6"/>
  <c r="N31" i="1" a="1"/>
  <c r="N31" i="1" s="1"/>
  <c r="S31" i="15" s="1"/>
  <c r="V39" i="6"/>
  <c r="N44" i="1" a="1"/>
  <c r="N44" i="1" s="1"/>
  <c r="S44" i="15" s="1"/>
  <c r="N51" i="1" a="1"/>
  <c r="N51" i="1" s="1"/>
  <c r="S51" i="15" s="1"/>
  <c r="N34" i="1" a="1"/>
  <c r="N34" i="1" s="1"/>
  <c r="S34" i="15" s="1"/>
  <c r="N49" i="1" a="1"/>
  <c r="N49" i="1" s="1"/>
  <c r="S49" i="15" s="1"/>
  <c r="N46" i="1" a="1"/>
  <c r="N46" i="1" s="1"/>
  <c r="S46" i="15" s="1"/>
  <c r="N52" i="1" a="1"/>
  <c r="N52" i="1" s="1"/>
  <c r="S52" i="15" s="1"/>
  <c r="V16" i="6"/>
  <c r="N26" i="1" a="1"/>
  <c r="N26" i="1" s="1"/>
  <c r="S26" i="15" s="1"/>
  <c r="V18" i="6"/>
  <c r="N28" i="1" a="1"/>
  <c r="N28" i="1" s="1"/>
  <c r="S28" i="15" s="1"/>
  <c r="N6" i="1" a="1"/>
  <c r="N6" i="1" s="1"/>
  <c r="S6" i="15" s="1"/>
  <c r="N25" i="1" a="1"/>
  <c r="N25" i="1" s="1"/>
  <c r="S25" i="15" s="1"/>
  <c r="N24" i="1" a="1"/>
  <c r="N24" i="1" s="1"/>
  <c r="S24" i="15" s="1"/>
  <c r="V17" i="6"/>
  <c r="N27" i="1" a="1"/>
  <c r="N27" i="1" s="1"/>
  <c r="S27" i="15" s="1"/>
  <c r="N11" i="1" a="1"/>
  <c r="N11" i="1" s="1"/>
  <c r="S11" i="15" s="1"/>
  <c r="N29" i="1" a="1"/>
  <c r="N29" i="1" s="1"/>
  <c r="S29" i="15" s="1"/>
  <c r="N22" i="1" a="1"/>
  <c r="N22" i="1" s="1"/>
  <c r="S22" i="15" s="1"/>
  <c r="N4" i="1" a="1"/>
  <c r="N4" i="1" s="1"/>
  <c r="S4" i="15" s="1"/>
  <c r="N10" i="1" a="1"/>
  <c r="N10" i="1" s="1"/>
  <c r="S10" i="15" s="1"/>
  <c r="N121" i="1" a="1"/>
  <c r="N121" i="1" s="1"/>
  <c r="S121" i="15" s="1"/>
  <c r="N141" i="1" a="1"/>
  <c r="N141" i="1" s="1"/>
  <c r="S141" i="15" s="1"/>
  <c r="N142" i="1" a="1"/>
  <c r="N142" i="1" s="1"/>
  <c r="S142" i="15" s="1"/>
  <c r="N93" i="1" a="1"/>
  <c r="N93" i="1" s="1"/>
  <c r="S93" i="15" s="1"/>
  <c r="N94" i="1" a="1"/>
  <c r="N94" i="1" s="1"/>
  <c r="S94" i="15" s="1"/>
  <c r="N129" i="1" a="1"/>
  <c r="N129" i="1" s="1"/>
  <c r="S129" i="15" s="1"/>
  <c r="N105" i="1" a="1"/>
  <c r="N105" i="1" s="1"/>
  <c r="S105" i="15" s="1"/>
  <c r="N169" i="1" a="1"/>
  <c r="N169" i="1" s="1"/>
  <c r="S169" i="15" s="1"/>
  <c r="N161" i="1" a="1"/>
  <c r="N161" i="1" s="1"/>
  <c r="S161" i="15" s="1"/>
  <c r="N88" i="1" a="1"/>
  <c r="N88" i="1" s="1"/>
  <c r="S88" i="15" s="1"/>
  <c r="N147" i="1" a="1"/>
  <c r="N147" i="1" s="1"/>
  <c r="S147" i="15" s="1"/>
  <c r="N150" i="1" a="1"/>
  <c r="N150" i="1" s="1"/>
  <c r="S150" i="15" s="1"/>
  <c r="N156" i="1" a="1"/>
  <c r="N156" i="1" s="1"/>
  <c r="S156" i="15" s="1"/>
  <c r="N87" i="1" a="1"/>
  <c r="N87" i="1" s="1"/>
  <c r="S87" i="15" s="1"/>
  <c r="N172" i="1" a="1"/>
  <c r="N172" i="1" s="1"/>
  <c r="S172" i="15" s="1"/>
  <c r="N159" i="1" a="1"/>
  <c r="N159" i="1" s="1"/>
  <c r="S159" i="15" s="1"/>
  <c r="N92" i="1" a="1"/>
  <c r="N92" i="1" s="1"/>
  <c r="S92" i="15" s="1"/>
  <c r="N148" i="1" a="1"/>
  <c r="N148" i="1" s="1"/>
  <c r="S148" i="15" s="1"/>
  <c r="N173" i="1" a="1"/>
  <c r="N173" i="1" s="1"/>
  <c r="S173" i="15" s="1"/>
  <c r="N20" i="1" a="1"/>
  <c r="N20" i="1" s="1"/>
  <c r="S20" i="15" s="1"/>
  <c r="N116" i="1" a="1"/>
  <c r="N116" i="1" s="1"/>
  <c r="S116" i="15" s="1"/>
  <c r="N140" i="1" a="1"/>
  <c r="N140" i="1" s="1"/>
  <c r="S140" i="15" s="1"/>
  <c r="N13" i="1" a="1"/>
  <c r="N13" i="1" s="1"/>
  <c r="S13" i="15" s="1"/>
  <c r="N111" i="1" a="1"/>
  <c r="N111" i="1" s="1"/>
  <c r="S111" i="15" s="1"/>
  <c r="N138" i="1" a="1"/>
  <c r="N138" i="1" s="1"/>
  <c r="S138" i="15" s="1"/>
  <c r="N84" i="1" a="1"/>
  <c r="N84" i="1" s="1"/>
  <c r="S84" i="15" s="1"/>
  <c r="N103" i="1" a="1"/>
  <c r="N103" i="1" s="1"/>
  <c r="S103" i="15" s="1"/>
  <c r="N89" i="1" a="1"/>
  <c r="N89" i="1" s="1"/>
  <c r="S89" i="15" s="1"/>
  <c r="N166" i="1" a="1"/>
  <c r="N166" i="1" s="1"/>
  <c r="S166" i="15" s="1"/>
  <c r="N90" i="1" a="1"/>
  <c r="N90" i="1" s="1"/>
  <c r="S90" i="15" s="1"/>
  <c r="N41" i="1" a="1"/>
  <c r="N41" i="1" s="1"/>
  <c r="S41" i="15" s="1"/>
  <c r="N118" i="1" a="1"/>
  <c r="N118" i="1" s="1"/>
  <c r="S118" i="15" s="1"/>
  <c r="N117" i="1" a="1"/>
  <c r="N117" i="1" s="1"/>
  <c r="S117" i="15" s="1"/>
  <c r="N110" i="1" a="1"/>
  <c r="N110" i="1" s="1"/>
  <c r="S110" i="15" s="1"/>
  <c r="N134" i="1" a="1"/>
  <c r="N134" i="1" s="1"/>
  <c r="S134" i="15" s="1"/>
  <c r="N128" i="1" a="1"/>
  <c r="N128" i="1" s="1"/>
  <c r="S128" i="15" s="1"/>
  <c r="N82" i="1" a="1"/>
  <c r="N82" i="1" s="1"/>
  <c r="S82" i="15" s="1"/>
  <c r="N86" i="1" a="1"/>
  <c r="N86" i="1" s="1"/>
  <c r="S86" i="15" s="1"/>
  <c r="N151" i="1" a="1"/>
  <c r="N151" i="1" s="1"/>
  <c r="S151" i="15" s="1"/>
  <c r="N47" i="1" a="1"/>
  <c r="N47" i="1" s="1"/>
  <c r="S47" i="15" s="1"/>
  <c r="N168" i="1" a="1"/>
  <c r="N168" i="1" s="1"/>
  <c r="S168" i="15" s="1"/>
  <c r="N125" i="1" a="1"/>
  <c r="N125" i="1" s="1"/>
  <c r="S125" i="15" s="1"/>
  <c r="N158" i="1" a="1"/>
  <c r="N158" i="1" s="1"/>
  <c r="S158" i="15" s="1"/>
  <c r="N154" i="1" a="1"/>
  <c r="N154" i="1" s="1"/>
  <c r="S154" i="15" s="1"/>
  <c r="N96" i="1" a="1"/>
  <c r="N96" i="1" s="1"/>
  <c r="S96" i="15" s="1"/>
  <c r="N136" i="1" a="1"/>
  <c r="N136" i="1" s="1"/>
  <c r="S136" i="15" s="1"/>
  <c r="N124" i="1" a="1"/>
  <c r="N124" i="1" s="1"/>
  <c r="S124" i="15" s="1"/>
  <c r="N179" i="1" a="1"/>
  <c r="N179" i="1" s="1"/>
  <c r="S179" i="15" s="1"/>
  <c r="N145" i="1" a="1"/>
  <c r="N145" i="1" s="1"/>
  <c r="S145" i="15" s="1"/>
  <c r="N107" i="1" a="1"/>
  <c r="N107" i="1" s="1"/>
  <c r="S107" i="15" s="1"/>
  <c r="N131" i="1" a="1"/>
  <c r="N131" i="1" s="1"/>
  <c r="S131" i="15" s="1"/>
  <c r="N130" i="1" a="1"/>
  <c r="N130" i="1" s="1"/>
  <c r="S130" i="15" s="1"/>
  <c r="N98" i="1" a="1"/>
  <c r="N98" i="1" s="1"/>
  <c r="S98" i="15" s="1"/>
  <c r="N122" i="1" a="1"/>
  <c r="N122" i="1" s="1"/>
  <c r="S122" i="15" s="1"/>
  <c r="N115" i="1" a="1"/>
  <c r="N115" i="1" s="1"/>
  <c r="S115" i="15" s="1"/>
  <c r="N12" i="1" a="1"/>
  <c r="N12" i="1" s="1"/>
  <c r="S12" i="15" s="1"/>
  <c r="N83" i="1" a="1"/>
  <c r="N83" i="1" s="1"/>
  <c r="S83" i="15" s="1"/>
  <c r="N50" i="1" a="1"/>
  <c r="N50" i="1" s="1"/>
  <c r="S50" i="15" s="1"/>
  <c r="N104" i="1" a="1"/>
  <c r="N104" i="1" s="1"/>
  <c r="S104" i="15" s="1"/>
  <c r="N155" i="1" a="1"/>
  <c r="N155" i="1" s="1"/>
  <c r="S155" i="15" s="1"/>
  <c r="N101" i="1" a="1"/>
  <c r="N101" i="1" s="1"/>
  <c r="S101" i="15" s="1"/>
  <c r="N3" i="1" a="1"/>
  <c r="N3" i="1" s="1"/>
  <c r="S3" i="15" s="1"/>
  <c r="N9" i="1" a="1"/>
  <c r="N9" i="1" s="1"/>
  <c r="S9" i="15" s="1"/>
  <c r="N123" i="1" a="1"/>
  <c r="N123" i="1" s="1"/>
  <c r="S123" i="15" s="1"/>
  <c r="N8" i="1" a="1"/>
  <c r="N8" i="1" s="1"/>
  <c r="S8" i="15" s="1"/>
  <c r="V2" i="6"/>
  <c r="N174" i="1" a="1"/>
  <c r="N174" i="1" s="1"/>
  <c r="S174" i="15" s="1"/>
  <c r="V3" i="6"/>
  <c r="N175" i="1" a="1"/>
  <c r="N175" i="1" s="1"/>
  <c r="S175" i="15" s="1"/>
  <c r="V10" i="6"/>
  <c r="N184" i="1" a="1"/>
  <c r="N184" i="1" s="1"/>
  <c r="S184" i="15" s="1"/>
  <c r="V9" i="6"/>
  <c r="N186" i="1" a="1"/>
  <c r="N186" i="1" s="1"/>
  <c r="S186" i="15" s="1"/>
  <c r="V13" i="6"/>
  <c r="N183" i="1" a="1"/>
  <c r="N183" i="1" s="1"/>
  <c r="S183" i="15" s="1"/>
  <c r="V6" i="6"/>
  <c r="N178" i="1" a="1"/>
  <c r="N178" i="1" s="1"/>
  <c r="S178" i="15" s="1"/>
  <c r="V5" i="6"/>
  <c r="N177" i="1" a="1"/>
  <c r="N177" i="1" s="1"/>
  <c r="S177" i="15" s="1"/>
  <c r="V7" i="6"/>
  <c r="N180" i="1" a="1"/>
  <c r="N180" i="1" s="1"/>
  <c r="S180" i="15" s="1"/>
  <c r="V4" i="6"/>
  <c r="N176" i="1" a="1"/>
  <c r="N176" i="1" s="1"/>
  <c r="S176" i="15" s="1"/>
  <c r="V12" i="6"/>
  <c r="N181" i="1" a="1"/>
  <c r="N181" i="1" s="1"/>
  <c r="S181" i="15" s="1"/>
  <c r="V8" i="6"/>
  <c r="N182" i="1" a="1"/>
  <c r="N182" i="1" s="1"/>
  <c r="S182" i="1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<sst xmlns="http://schemas.openxmlformats.org/spreadsheetml/2006/main" count="1327" uniqueCount="775">
  <si>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</si>
  <si>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</si>
  <si>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</si>
  <si>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</si>
  <si>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</si>
  <si>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</si>
  <si>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</si>
  <si>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</si>
  <si>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</si>
  <si>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</si>
  <si>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</si>
  <si>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</si>
  <si>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</si>
  <si>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</si>
  <si>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</si>
  <si>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</si>
  <si>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</si>
  <si>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</si>
  <si>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</si>
  <si>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</si>
  <si>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</si>
  <si>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Mac reports</t>
  </si>
  <si>
    <t>CSV</t>
  </si>
  <si>
    <t>Business name</t>
  </si>
  <si>
    <t>System manufacturer</t>
  </si>
  <si>
    <t>System chassis type</t>
  </si>
  <si>
    <t>Custom 1</t>
  </si>
  <si>
    <t>Device Identifier</t>
  </si>
  <si>
    <t>Erasure state</t>
  </si>
  <si>
    <t>System serial</t>
  </si>
  <si>
    <t>System version</t>
  </si>
  <si>
    <t>System model</t>
  </si>
  <si>
    <t>CPU model</t>
  </si>
  <si>
    <t>Memory type</t>
  </si>
  <si>
    <t>Disk capacity</t>
  </si>
  <si>
    <t>Disk interface type</t>
  </si>
  <si>
    <t>Disk serial</t>
  </si>
  <si>
    <t>Disk model</t>
  </si>
  <si>
    <t>Erasure start time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</si>
  <si>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</si>
  <si>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</si>
  <si>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</si>
  <si>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</si>
  <si>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</si>
  <si>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</si>
  <si>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</si>
  <si>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</si>
  <si>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</si>
  <si>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</si>
  <si>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</si>
  <si>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</si>
  <si>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</si>
  <si>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</si>
  <si>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</si>
  <si>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מספר פרויקט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</si>
  <si>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</si>
  <si>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</si>
  <si>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</si>
  <si>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</si>
  <si>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</si>
  <si>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</si>
  <si>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</si>
  <si>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</si>
  <si>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</si>
  <si>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</si>
  <si>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</si>
  <si>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</si>
  <si>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</si>
  <si>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</si>
  <si>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</si>
  <si>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</si>
  <si>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</si>
  <si>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</si>
  <si>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MacBookPro16,3</t>
  </si>
  <si>
    <t>MacBookPro16,1</t>
  </si>
  <si>
    <t>MacBookPro15,4</t>
  </si>
  <si>
    <t>MacBookPro15,3</t>
  </si>
  <si>
    <t>MacBookPro15,2</t>
  </si>
  <si>
    <t>MacBookPro15,1</t>
  </si>
  <si>
    <t>MacBookPro14,3</t>
  </si>
  <si>
    <t>MacBookPro14,2</t>
  </si>
  <si>
    <t>MacBookPro14,1</t>
  </si>
  <si>
    <t>MacBookPro13,3</t>
  </si>
  <si>
    <t>MacBookPro13,2</t>
  </si>
  <si>
    <t>MacBookPro13,1</t>
  </si>
  <si>
    <t>MacBookPro12,1</t>
  </si>
  <si>
    <t>MacBookPro11,5</t>
  </si>
  <si>
    <t>MacBookPro11,4</t>
  </si>
  <si>
    <t>MacBookPro11,3</t>
  </si>
  <si>
    <t>MacBookPro11,2</t>
  </si>
  <si>
    <t>MacBookPro17,1</t>
  </si>
  <si>
    <t>MacBookPro18,2</t>
  </si>
  <si>
    <t>MacBookPro18,3</t>
  </si>
  <si>
    <t>MacBookPro18,4</t>
  </si>
  <si>
    <t>MacBookPro18,1</t>
  </si>
  <si>
    <t>Mac14,7</t>
  </si>
  <si>
    <t>Mac14,9</t>
  </si>
  <si>
    <t>Mac14,5</t>
  </si>
  <si>
    <t>Mac14,10</t>
  </si>
  <si>
    <t>Mac14,6</t>
  </si>
  <si>
    <t>Mac15,3</t>
  </si>
  <si>
    <t>Mac15,6</t>
  </si>
  <si>
    <t>Mac15,10</t>
  </si>
  <si>
    <t>Mac15,8</t>
  </si>
  <si>
    <t>Mac15,7</t>
  </si>
  <si>
    <t>Mac15,11</t>
  </si>
  <si>
    <t>Mac15,9</t>
  </si>
  <si>
    <t>MacBookAir7,1</t>
  </si>
  <si>
    <t>MacBookAir7,2</t>
  </si>
  <si>
    <t>A1466</t>
  </si>
  <si>
    <t>MacBookAir8,1</t>
  </si>
  <si>
    <t>MacBookAir8,2</t>
  </si>
  <si>
    <t>MacBookAir9,1</t>
  </si>
  <si>
    <t>MacBookAir10,1</t>
  </si>
  <si>
    <t>Mac14,2</t>
  </si>
  <si>
    <t>Mac14,15</t>
  </si>
  <si>
    <t>Mac15,12</t>
  </si>
  <si>
    <t>Mac15,13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</si>
  <si>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</si>
  <si>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</si>
  <si>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</si>
  <si>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</si>
  <si>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</si>
  <si>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</si>
  <si>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</si>
  <si>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</si>
  <si>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</si>
  <si>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</si>
  <si>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</si>
  <si>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</si>
  <si>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</si>
  <si>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</si>
  <si>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</si>
  <si>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</si>
  <si>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</si>
  <si>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</si>
  <si>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</si>
  <si>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</si>
  <si>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</si>
  <si>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</si>
  <si>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</si>
  <si>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</si>
  <si>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</si>
  <si>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</si>
  <si>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</si>
  <si>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</si>
  <si>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</si>
  <si>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</si>
  <si>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</si>
  <si>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</si>
  <si>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</si>
  <si>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</si>
  <si>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</si>
  <si>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</si>
  <si>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</si>
  <si>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</si>
  <si>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</si>
  <si>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</si>
  <si>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</si>
  <si>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</si>
  <si>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</si>
  <si>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</si>
  <si>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</si>
  <si>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</si>
  <si>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</si>
  <si>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</si>
  <si>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</si>
  <si>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</si>
  <si>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</si>
  <si>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</si>
  <si>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</si>
  <si>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</si>
  <si>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</si>
  <si>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</si>
  <si>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</si>
  <si>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</si>
  <si>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</si>
  <si>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</si>
  <si>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</si>
  <si>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</si>
  <si>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</si>
  <si>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</si>
  <si>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</si>
  <si>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</si>
  <si>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</si>
  <si>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</si>
  <si>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</si>
  <si>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</si>
  <si>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</si>
  <si>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</si>
  <si>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</si>
  <si>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</si>
  <si>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</si>
  <si>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</si>
  <si>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</si>
  <si>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</si>
  <si>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</si>
  <si>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</si>
  <si>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</si>
  <si>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</si>
  <si>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</si>
  <si>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</si>
  <si>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</si>
  <si>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</si>
  <si>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</si>
  <si>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</si>
  <si>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</si>
  <si>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</si>
  <si>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</si>
  <si>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</si>
  <si>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</si>
  <si>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</si>
  <si>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</si>
  <si>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</si>
  <si>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</si>
  <si>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</si>
  <si>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</si>
  <si>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</si>
  <si>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</si>
  <si>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</si>
  <si>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</si>
  <si>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</si>
  <si>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</si>
  <si>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</si>
  <si>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</si>
  <si>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</si>
  <si>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</si>
  <si>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</si>
  <si>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</si>
  <si>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</si>
  <si>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</si>
  <si>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</si>
  <si>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</si>
  <si>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</si>
  <si>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</si>
  <si>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</si>
  <si>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</si>
  <si>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</si>
  <si>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</si>
  <si>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</si>
  <si>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</si>
  <si>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</si>
  <si>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</si>
  <si>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</si>
  <si>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</si>
  <si>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</si>
  <si>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</si>
  <si>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</si>
  <si>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</si>
  <si>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</si>
  <si>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</si>
  <si>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</si>
  <si>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</si>
  <si>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</si>
  <si>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</si>
  <si>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</si>
  <si>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</si>
  <si>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</si>
  <si>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</si>
  <si>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</si>
  <si>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</si>
  <si>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</si>
  <si>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</si>
  <si>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</si>
  <si>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</si>
  <si>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</si>
  <si>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</si>
  <si>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</si>
  <si>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</si>
  <si>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</si>
  <si>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</si>
  <si>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</si>
  <si>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</si>
  <si>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</si>
  <si>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</si>
  <si>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</si>
  <si>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</si>
  <si>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</si>
  <si>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</si>
  <si>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</si>
  <si>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</si>
  <si>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RyzenPart</t>
  </si>
  <si>
    <t>UltraPart</t>
  </si>
  <si>
    <t>RyzenCode</t>
  </si>
  <si>
    <t>UltraCode</t>
  </si>
  <si>
    <t>CPU Original</t>
  </si>
  <si>
    <t>Ram Type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</si>
  <si>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</si>
  <si>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</si>
  <si>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</si>
  <si>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</si>
  <si>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</si>
  <si>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</si>
  <si>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</si>
  <si>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</si>
  <si>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</si>
  <si>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</si>
  <si>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</si>
  <si>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</si>
  <si>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</si>
  <si>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</si>
  <si>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</si>
  <si>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</si>
  <si>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</si>
  <si>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</si>
  <si>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</si>
  <si>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</si>
  <si>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</si>
  <si>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</si>
  <si>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</si>
  <si>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</si>
  <si>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</si>
  <si>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</si>
  <si>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</si>
  <si>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</si>
  <si>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</si>
  <si>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</si>
  <si>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</si>
  <si>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</si>
  <si>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</si>
  <si>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</si>
  <si>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</si>
  <si>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</si>
  <si>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</si>
  <si>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</si>
  <si>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</si>
  <si>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</si>
  <si>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</si>
  <si>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</si>
  <si>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</si>
  <si>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</si>
  <si>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</si>
  <si>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</si>
  <si>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</si>
  <si>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</si>
  <si>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</si>
  <si>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</si>
  <si>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</si>
  <si>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</si>
  <si>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</si>
  <si>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</si>
  <si>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</si>
  <si>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</si>
  <si>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</si>
  <si>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</si>
  <si>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</si>
  <si>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</si>
  <si>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</si>
  <si>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</si>
  <si>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</si>
  <si>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</si>
  <si>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</si>
  <si>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</si>
  <si>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</si>
  <si>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</si>
  <si>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</si>
  <si>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</si>
  <si>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</si>
  <si>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</si>
  <si>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</si>
  <si>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</si>
  <si>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</si>
  <si>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</si>
  <si>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</si>
  <si>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</si>
  <si>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</si>
  <si>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</si>
  <si>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</si>
  <si>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</si>
  <si>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</si>
  <si>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</si>
  <si>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</si>
  <si>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</si>
  <si>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</si>
  <si>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</si>
  <si>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</si>
  <si>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</si>
  <si>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</si>
  <si>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</si>
  <si>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</si>
  <si>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</si>
  <si>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</si>
  <si>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</si>
  <si>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</si>
  <si>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</si>
  <si>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</si>
  <si>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</si>
  <si>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</si>
  <si>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</si>
  <si>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</si>
  <si>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</si>
  <si>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</si>
  <si>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</si>
  <si>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</si>
  <si>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</si>
  <si>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</si>
  <si>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</si>
  <si>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</si>
  <si>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</si>
  <si>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</si>
  <si>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</si>
  <si>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</si>
  <si>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</si>
  <si>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</si>
  <si>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</si>
  <si>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</si>
  <si>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</si>
  <si>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</si>
  <si>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</si>
  <si>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</si>
  <si>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</si>
  <si>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</si>
  <si>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</si>
  <si>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</si>
  <si>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</si>
  <si>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</si>
  <si>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</si>
  <si>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</si>
  <si>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</si>
  <si>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</si>
  <si>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</si>
  <si>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</si>
  <si>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</si>
  <si>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</si>
  <si>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</si>
  <si>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</si>
  <si>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</si>
  <si>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</si>
  <si>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</si>
  <si>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</si>
  <si>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</si>
  <si>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</si>
  <si>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</si>
  <si>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</si>
  <si>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</si>
  <si>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</si>
  <si>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</si>
  <si>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</si>
  <si>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</si>
  <si>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</si>
  <si>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</si>
  <si>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</si>
  <si>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</si>
  <si>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</si>
  <si>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</si>
  <si>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</si>
  <si>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</si>
  <si>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</si>
  <si>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</si>
  <si>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</si>
  <si>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</si>
  <si>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</si>
  <si>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</si>
  <si>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</si>
  <si>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</si>
  <si>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</si>
  <si>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</si>
  <si>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</si>
  <si>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</si>
  <si>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</si>
  <si>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</si>
  <si>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</si>
  <si>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</si>
  <si>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</si>
  <si>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</si>
  <si>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</si>
  <si>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</si>
  <si>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</si>
  <si>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</si>
  <si>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</si>
  <si>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</si>
  <si>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</si>
  <si>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</si>
  <si>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</si>
  <si>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</si>
  <si>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</si>
  <si>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</si>
  <si>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</si>
  <si>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</si>
  <si>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</si>
  <si>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</si>
  <si>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</si>
  <si>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</si>
  <si>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Asset Tag</t>
  </si>
  <si>
    <t>Disk Capacity</t>
  </si>
  <si>
    <t>Wiping result</t>
  </si>
  <si>
    <t>Issue type</t>
  </si>
  <si>
    <t>Wiped</t>
  </si>
  <si>
    <t>Locked and Faulty</t>
  </si>
  <si>
    <t>Locked or Faulty</t>
  </si>
  <si>
    <t>Item Lookup</t>
  </si>
  <si>
    <t>ITEM</t>
  </si>
  <si>
    <t>Capacity</t>
  </si>
  <si>
    <t>Comment</t>
  </si>
  <si>
    <t>Comment2</t>
  </si>
  <si>
    <t>Comment3</t>
  </si>
  <si>
    <t>Comment4</t>
  </si>
  <si>
    <t>Comment5</t>
  </si>
  <si>
    <t>Comment6</t>
  </si>
  <si>
    <t>Comment7</t>
  </si>
  <si>
    <t>Comment8</t>
  </si>
  <si>
    <t>XXX</t>
  </si>
  <si>
    <t>Mac16,12</t>
  </si>
  <si>
    <t>Pro A2141</t>
  </si>
  <si>
    <t>Pro A2289</t>
  </si>
  <si>
    <t>Pro A2251</t>
  </si>
  <si>
    <t>Pro A2159</t>
  </si>
  <si>
    <t>Pro A1990</t>
  </si>
  <si>
    <t>Pro A1989</t>
  </si>
  <si>
    <t>Pro A1707</t>
  </si>
  <si>
    <t>Pro A1706</t>
  </si>
  <si>
    <t>Pro A1708</t>
  </si>
  <si>
    <t>Pro A1502</t>
  </si>
  <si>
    <t>Pro A1398</t>
  </si>
  <si>
    <t>Pro A2338</t>
  </si>
  <si>
    <t>Pro A2485</t>
  </si>
  <si>
    <t>Pro A2442</t>
  </si>
  <si>
    <t>Pro A2779</t>
  </si>
  <si>
    <t>Pro A2780</t>
  </si>
  <si>
    <t>Pro A3240</t>
  </si>
  <si>
    <t>Pro A2918</t>
  </si>
  <si>
    <t>Pro A2992</t>
  </si>
  <si>
    <t>Pro A2991</t>
  </si>
  <si>
    <t>Mac17,1</t>
  </si>
  <si>
    <t>Pro A3434</t>
  </si>
  <si>
    <t>Air A1465</t>
  </si>
  <si>
    <t>Air A1466</t>
  </si>
  <si>
    <t>Air A1932</t>
  </si>
  <si>
    <t>Air A2179</t>
  </si>
  <si>
    <t>Air A2337</t>
  </si>
  <si>
    <t>Air A2681</t>
  </si>
  <si>
    <t>Air A2941</t>
  </si>
  <si>
    <t>Air A3113</t>
  </si>
  <si>
    <t>Air A3114</t>
  </si>
  <si>
    <t>IntelPart</t>
  </si>
  <si>
    <t>IntelCode</t>
  </si>
  <si>
    <t>category</t>
  </si>
  <si>
    <t>code</t>
  </si>
  <si>
    <t>description</t>
  </si>
  <si>
    <t>ITAD description</t>
  </si>
  <si>
    <t>LPT001</t>
  </si>
  <si>
    <t>a/c adapter defect</t>
  </si>
  <si>
    <t>LPT002</t>
  </si>
  <si>
    <t>a/c adapter missing</t>
  </si>
  <si>
    <t>LPT010</t>
  </si>
  <si>
    <t>backlight defect</t>
  </si>
  <si>
    <t>LPT012</t>
  </si>
  <si>
    <t>badge missing</t>
  </si>
  <si>
    <t>LPT013</t>
  </si>
  <si>
    <t>battery bay defect</t>
  </si>
  <si>
    <t>LPT014</t>
  </si>
  <si>
    <t>battery defect</t>
  </si>
  <si>
    <t>Battery C,Battery D</t>
  </si>
  <si>
    <t>LPT016</t>
  </si>
  <si>
    <t>battery missing</t>
  </si>
  <si>
    <t>LPT018</t>
  </si>
  <si>
    <t>bezel defect</t>
  </si>
  <si>
    <t>LPT019</t>
  </si>
  <si>
    <t>bezel missing</t>
  </si>
  <si>
    <t>LPT020</t>
  </si>
  <si>
    <t>bios failure</t>
  </si>
  <si>
    <t>LPT027</t>
  </si>
  <si>
    <t>cable missing</t>
  </si>
  <si>
    <t>LPT030</t>
  </si>
  <si>
    <t>case cracked major</t>
  </si>
  <si>
    <t>LPT031</t>
  </si>
  <si>
    <t>case cracked minor</t>
  </si>
  <si>
    <t>LPT032</t>
  </si>
  <si>
    <t>case dent major</t>
  </si>
  <si>
    <t>Chassis damage C,Chassis damage D</t>
  </si>
  <si>
    <t>LPT033</t>
  </si>
  <si>
    <t>case dent minor</t>
  </si>
  <si>
    <t>Chassis damage B</t>
  </si>
  <si>
    <t>LPT034</t>
  </si>
  <si>
    <t>case discoloration</t>
  </si>
  <si>
    <t>Label marks B,Label marks C,Label marks D</t>
  </si>
  <si>
    <t>LPT037</t>
  </si>
  <si>
    <t>case scratched major</t>
  </si>
  <si>
    <t>LPT038</t>
  </si>
  <si>
    <t>case scratched minor</t>
  </si>
  <si>
    <t>LPT040</t>
  </si>
  <si>
    <t>charger entry point defect</t>
  </si>
  <si>
    <t>Charging port defect</t>
  </si>
  <si>
    <t>LPT041</t>
  </si>
  <si>
    <t>control panel defect</t>
  </si>
  <si>
    <t>LPT042</t>
  </si>
  <si>
    <t>control panel missing</t>
  </si>
  <si>
    <t>LPT043</t>
  </si>
  <si>
    <t>cover defect</t>
  </si>
  <si>
    <t>LPT044</t>
  </si>
  <si>
    <t>cover missing</t>
  </si>
  <si>
    <t>LPT046</t>
  </si>
  <si>
    <t>cpu missing</t>
  </si>
  <si>
    <t>LPT051</t>
  </si>
  <si>
    <t>display brigthness major</t>
  </si>
  <si>
    <t>LPT052</t>
  </si>
  <si>
    <t>display brigthness minor</t>
  </si>
  <si>
    <t>LPT053</t>
  </si>
  <si>
    <t>display burnt-in</t>
  </si>
  <si>
    <t>LPT054</t>
  </si>
  <si>
    <t>display coating major</t>
  </si>
  <si>
    <t>LPT055</t>
  </si>
  <si>
    <t>display coating minor</t>
  </si>
  <si>
    <t>LPT056</t>
  </si>
  <si>
    <t>display colour major</t>
  </si>
  <si>
    <t>Display C,Display D</t>
  </si>
  <si>
    <t>LPT057</t>
  </si>
  <si>
    <t>display colour minor</t>
  </si>
  <si>
    <t>Display B</t>
  </si>
  <si>
    <t>LPT058</t>
  </si>
  <si>
    <t>display cracked</t>
  </si>
  <si>
    <t>Broken screen</t>
  </si>
  <si>
    <t>LPT063</t>
  </si>
  <si>
    <t>display flickering</t>
  </si>
  <si>
    <t>LPT067</t>
  </si>
  <si>
    <t>display mark bright major</t>
  </si>
  <si>
    <t>LED spot C,LED spot D</t>
  </si>
  <si>
    <t>LPT068</t>
  </si>
  <si>
    <t>display mark bright minor</t>
  </si>
  <si>
    <t>LED spot B</t>
  </si>
  <si>
    <t>LPT069</t>
  </si>
  <si>
    <t>display mark dark major</t>
  </si>
  <si>
    <t>LPT070</t>
  </si>
  <si>
    <t>display mark dark minor</t>
  </si>
  <si>
    <t>LPT071</t>
  </si>
  <si>
    <t>display missing</t>
  </si>
  <si>
    <t>LPT072</t>
  </si>
  <si>
    <t>display pixel failure major</t>
  </si>
  <si>
    <t>Screen defect</t>
  </si>
  <si>
    <t>LPT073</t>
  </si>
  <si>
    <t>display pixel failure minor</t>
  </si>
  <si>
    <t>LPT074</t>
  </si>
  <si>
    <t>display pressure points major</t>
  </si>
  <si>
    <t>LPT075</t>
  </si>
  <si>
    <t>display pressure points minor</t>
  </si>
  <si>
    <t>LPT076</t>
  </si>
  <si>
    <t>display scratched major</t>
  </si>
  <si>
    <t>Screen scratches C,Screen scratches D</t>
  </si>
  <si>
    <t>LPT077</t>
  </si>
  <si>
    <t>display scratched minor</t>
  </si>
  <si>
    <t>Screen scratches B</t>
  </si>
  <si>
    <t>LPT078</t>
  </si>
  <si>
    <t>doa unspecified</t>
  </si>
  <si>
    <t>LPT083</t>
  </si>
  <si>
    <t>fan defect</t>
  </si>
  <si>
    <t>LPT084</t>
  </si>
  <si>
    <t>fan missing</t>
  </si>
  <si>
    <t>LPT090</t>
  </si>
  <si>
    <t>foreign keyboard</t>
  </si>
  <si>
    <t>US kb,Foreign kb</t>
  </si>
  <si>
    <t>LPT097</t>
  </si>
  <si>
    <t>data carrier adapter is missing</t>
  </si>
  <si>
    <t>LPT098</t>
  </si>
  <si>
    <t>data carrier defect</t>
  </si>
  <si>
    <t>LPT099</t>
  </si>
  <si>
    <t>data carrier frame defect</t>
  </si>
  <si>
    <t>LPT100</t>
  </si>
  <si>
    <t>data carrier frame missing</t>
  </si>
  <si>
    <t>LPT101</t>
  </si>
  <si>
    <t>data carrier missing</t>
  </si>
  <si>
    <t>LPT102</t>
  </si>
  <si>
    <t>hinge defect</t>
  </si>
  <si>
    <t>LPT104</t>
  </si>
  <si>
    <t>i/o ports defect</t>
  </si>
  <si>
    <t>LPT107</t>
  </si>
  <si>
    <t>keyboard defect</t>
  </si>
  <si>
    <t>Sticky kb</t>
  </si>
  <si>
    <t>LPT108</t>
  </si>
  <si>
    <t>keyboard keys missing</t>
  </si>
  <si>
    <t>LPT109</t>
  </si>
  <si>
    <t>keyboard missing</t>
  </si>
  <si>
    <t>LPT110</t>
  </si>
  <si>
    <t>keyboard worn out</t>
  </si>
  <si>
    <t>LPT115</t>
  </si>
  <si>
    <t>lid clip defect</t>
  </si>
  <si>
    <t>LPT116</t>
  </si>
  <si>
    <t>liquid damage</t>
  </si>
  <si>
    <t>LPT119</t>
  </si>
  <si>
    <t>locked - key missing</t>
  </si>
  <si>
    <t>LPT120</t>
  </si>
  <si>
    <t>mainboard defect</t>
  </si>
  <si>
    <t>bad MB</t>
  </si>
  <si>
    <t>LPT123</t>
  </si>
  <si>
    <t>memory defect</t>
  </si>
  <si>
    <t>LPT124</t>
  </si>
  <si>
    <t>memory missing</t>
  </si>
  <si>
    <t>LPT131</t>
  </si>
  <si>
    <t>no audit</t>
  </si>
  <si>
    <t>LPT133</t>
  </si>
  <si>
    <t>no picture</t>
  </si>
  <si>
    <t>LPT135</t>
  </si>
  <si>
    <t>non removable asset tag</t>
  </si>
  <si>
    <t>LPT136</t>
  </si>
  <si>
    <t>non removable asset tag sanded down</t>
  </si>
  <si>
    <t>LPT140</t>
  </si>
  <si>
    <t>oem sticker missing</t>
  </si>
  <si>
    <t>LPT141</t>
  </si>
  <si>
    <t>optical drive defect</t>
  </si>
  <si>
    <t>LPT142</t>
  </si>
  <si>
    <t>optical drive missing</t>
  </si>
  <si>
    <t>LPT144</t>
  </si>
  <si>
    <t>outdated</t>
  </si>
  <si>
    <t>LPT151</t>
  </si>
  <si>
    <t>password protected</t>
  </si>
  <si>
    <t>LPT169</t>
  </si>
  <si>
    <t>required docking defect</t>
  </si>
  <si>
    <t>LPT170</t>
  </si>
  <si>
    <t>required docking missing</t>
  </si>
  <si>
    <t>LPT172</t>
  </si>
  <si>
    <t>see remarks</t>
  </si>
  <si>
    <t>LPT182</t>
  </si>
  <si>
    <t>stripped</t>
  </si>
  <si>
    <t>LPT183</t>
  </si>
  <si>
    <t>stylus defect</t>
  </si>
  <si>
    <t>LPT184</t>
  </si>
  <si>
    <t>stylus missing</t>
  </si>
  <si>
    <t>LPT189</t>
  </si>
  <si>
    <t>touchpad defect</t>
  </si>
  <si>
    <t>TP defect</t>
  </si>
  <si>
    <t>LPT190</t>
  </si>
  <si>
    <t>touchpad faded</t>
  </si>
  <si>
    <t>TP discolored</t>
  </si>
  <si>
    <t>LPT191</t>
  </si>
  <si>
    <t>touchpad missing</t>
  </si>
  <si>
    <t>LPT192</t>
  </si>
  <si>
    <t>touchscreen defect</t>
  </si>
  <si>
    <t>LPT199</t>
  </si>
  <si>
    <t>webcam defect</t>
  </si>
  <si>
    <t>LPT201</t>
  </si>
  <si>
    <t>wifi defect</t>
  </si>
  <si>
    <t>LPT202</t>
  </si>
  <si>
    <t>wifi missing</t>
  </si>
  <si>
    <t>PTB Project No</t>
  </si>
  <si>
    <t>PTB Description</t>
  </si>
  <si>
    <t>Collection Date</t>
  </si>
  <si>
    <t>Item No</t>
  </si>
  <si>
    <t>Serial No</t>
  </si>
  <si>
    <t>Client asset tag</t>
  </si>
  <si>
    <t>3rd Party No / IMEI No</t>
  </si>
  <si>
    <t>Category</t>
  </si>
  <si>
    <t>Model No</t>
  </si>
  <si>
    <t>Purchase Description</t>
  </si>
  <si>
    <t>Diagnostic Codes</t>
  </si>
  <si>
    <t>Item Remark</t>
  </si>
  <si>
    <t>Grade</t>
  </si>
  <si>
    <t>Item Status</t>
  </si>
  <si>
    <t>Weight (kg)</t>
  </si>
  <si>
    <t>Blancco Result</t>
  </si>
  <si>
    <t>Additional data deletions (if yes provide qty)</t>
  </si>
  <si>
    <t>Proposed Purchase price</t>
  </si>
  <si>
    <t>Currency</t>
  </si>
  <si>
    <t>Failed</t>
  </si>
  <si>
    <t>Successful</t>
  </si>
  <si>
    <t>Broken chassis,Chassis broken</t>
  </si>
  <si>
    <t>Battery 1</t>
  </si>
  <si>
    <t>Battery 2</t>
  </si>
  <si>
    <t>Battery 1 %</t>
  </si>
  <si>
    <t>Battery 2 %</t>
  </si>
  <si>
    <t>XX</t>
  </si>
  <si>
    <t>Diagnostics + Locked or Faulty</t>
  </si>
  <si>
    <t>Total Memory</t>
  </si>
  <si>
    <t>16"</t>
  </si>
  <si>
    <t>13'</t>
  </si>
  <si>
    <t>13"</t>
  </si>
  <si>
    <t>15"</t>
  </si>
  <si>
    <t>14"</t>
  </si>
  <si>
    <t>11"</t>
  </si>
  <si>
    <t>27"</t>
  </si>
  <si>
    <t>21.5"</t>
  </si>
  <si>
    <t>Column1</t>
  </si>
  <si>
    <t>Disk Type</t>
  </si>
  <si>
    <t xml:space="preserve">Disk  </t>
  </si>
  <si>
    <t>SHRXXX</t>
  </si>
  <si>
    <t>Mac16,13</t>
  </si>
  <si>
    <t>Air A3241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</si>
</sst>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72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  <font>
      <b/>
      <sz val="8"/>
      <color rgb="FFFFFFFF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67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1" fontId="0" fillId="0" borderId="0" xfId="0" applyNumberFormat="1"/>
    <xf numFmtId="0" fontId="7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8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7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7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2" fillId="0" borderId="0" xfId="2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0" fillId="0" borderId="0" xfId="0" applyAlignment="1">
      <alignment horizontal="center"/>
    </xf>
    <xf numFmtId="0" fontId="11" fillId="6" borderId="6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  <xf numFmtId="0" fontId="3" fillId="7" borderId="2" xfId="0" applyFont="1" applyFill="1" applyBorder="1" applyAlignment="1">
      <alignment wrapText="1"/>
    </xf>
    <xf numFmtId="0" fontId="0" fillId="0" borderId="8" xfId="0" applyBorder="1"/>
    <xf numFmtId="0" fontId="0" fillId="0" borderId="9" xfId="0" applyBorder="1"/>
    <xf numFmtId="0" fontId="12" fillId="8" borderId="6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 wrapText="1"/>
    </xf>
    <xf numFmtId="0" fontId="3" fillId="8" borderId="7" xfId="0" applyFont="1" applyFill="1" applyBorder="1" applyAlignment="1">
      <alignment vertical="center" wrapText="1"/>
    </xf>
    <xf numFmtId="0" fontId="3" fillId="9" borderId="7" xfId="0" applyFont="1" applyFill="1" applyBorder="1" applyAlignment="1">
      <alignment vertical="center" wrapText="1"/>
    </xf>
    <xf numFmtId="0" fontId="12" fillId="8" borderId="7" xfId="0" applyFont="1" applyFill="1" applyBorder="1" applyAlignment="1">
      <alignment vertical="center" wrapText="1"/>
    </xf>
    <xf numFmtId="0" fontId="12" fillId="10" borderId="7" xfId="0" applyFont="1" applyFill="1" applyBorder="1" applyAlignment="1">
      <alignment horizontal="center" vertical="center" wrapText="1"/>
    </xf>
    <xf numFmtId="0" fontId="3" fillId="11" borderId="2" xfId="0" applyFont="1" applyFill="1" applyBorder="1" applyAlignment="1">
      <alignment vertical="center" wrapText="1"/>
    </xf>
    <xf numFmtId="0" fontId="10" fillId="0" borderId="8" xfId="0" applyFont="1" applyBorder="1"/>
    <xf numFmtId="0" fontId="10" fillId="0" borderId="8" xfId="0" applyFont="1" applyBorder="1" applyAlignment="1">
      <alignment wrapText="1"/>
    </xf>
    <xf numFmtId="49" fontId="0" fillId="0" borderId="8" xfId="0" applyNumberFormat="1" applyBorder="1"/>
    <xf numFmtId="0" fontId="0" fillId="3" borderId="0" xfId="0" applyFill="1" applyAlignment="1">
      <alignment horizontal="left"/>
    </xf>
    <xf numFmtId="0" fontId="0" fillId="12" borderId="8" xfId="0" applyFill="1" applyBorder="1"/>
    <xf numFmtId="0" fontId="0" fillId="12" borderId="0" xfId="0" applyFill="1"/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/>
    <xf numFmtId="0" fontId="1" fillId="13" borderId="11" xfId="1" applyFill="1" applyBorder="1" applyAlignment="1">
      <alignment horizontal="center" vertical="center"/>
    </xf>
    <xf numFmtId="0" fontId="1" fillId="13" borderId="12" xfId="1" applyFill="1" applyBorder="1" applyAlignment="1">
      <alignment horizontal="center" vertical="center"/>
    </xf>
    <xf numFmtId="0" fontId="0" fillId="13" borderId="13" xfId="0" applyFill="1" applyBorder="1"/>
    <xf numFmtId="0" fontId="1" fillId="14" borderId="8" xfId="1" applyFill="1" applyBorder="1" applyAlignment="1">
      <alignment horizontal="center" vertical="center"/>
    </xf>
    <xf numFmtId="49" fontId="1" fillId="14" borderId="8" xfId="1" applyNumberFormat="1" applyFill="1" applyBorder="1" applyAlignment="1">
      <alignment horizontal="center" vertical="center"/>
    </xf>
    <xf numFmtId="0" fontId="0" fillId="14" borderId="0" xfId="0" applyFill="1"/>
    <xf numFmtId="0" fontId="5" fillId="0" borderId="0" xfId="0" applyFont="1" applyAlignment="1">
      <alignment horizontal="center" vertical="top" textRotation="255"/>
    </xf>
    <xf numFmtId="0" fontId="6" fillId="0" borderId="0" xfId="0" applyFont="1" applyAlignment="1">
      <alignment horizontal="center" vertical="top" textRotation="255"/>
    </xf>
    <xf numFmtId="0" fontId="1" fillId="3" borderId="1" xfId="1" applyFill="1" applyAlignment="1">
      <alignment horizontal="center" vertical="center"/>
    </xf>
    <xf numFmtId="0" fontId="0" fillId="0" borderId="0" xfId="0" applyNumberFormat="1"/>
  </cellXfs>
  <cellStyles count="3">
    <cellStyle name="Explanatory Text" xfId="2" builtinId="53"/>
    <cellStyle name="Heading 2" xfId="1" builtinId="17"/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border outline="0">
        <left style="thick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" refreshedDate="46183.36924201389" createdVersion="8" refreshedVersion="8" minRefreshableVersion="3" recordCount="1000" xr:uid="{ED94AB4B-4EB7-4768-82BF-9E9AE399EFE7}">
  <cacheSource type="worksheet">
    <worksheetSource ref="A1:AB1048576" sheet="Disk_Pivot_Data"/>
  </cacheSource>
  <cacheFields count="28">
    <cacheField name="Business name" numFmtId="0">
      <sharedItems containsString="0" containsBlank="1" containsNumber="1" containsInteger="1" minValue="0" maxValue="0"/>
    </cacheField>
    <cacheField name="System manufacturer" numFmtId="0">
      <sharedItems containsString="0" containsBlank="1" containsNumber="1" containsInteger="1" minValue="0" maxValue="0"/>
    </cacheField>
    <cacheField name="System chassis type" numFmtId="0">
      <sharedItems containsString="0" containsBlank="1" containsNumber="1" containsInteger="1" minValue="0" maxValue="0"/>
    </cacheField>
    <cacheField name="Custom 1" numFmtId="0">
      <sharedItems containsString="0" containsBlank="1" containsNumber="1" containsInteger="1" minValue="0" maxValue="0"/>
    </cacheField>
    <cacheField name="Device Identifier" numFmtId="0">
      <sharedItems containsString="0" containsBlank="1" containsNumber="1" containsInteger="1" minValue="0" maxValue="0"/>
    </cacheField>
    <cacheField name="Erasure state" numFmtId="0">
      <sharedItems containsString="0" containsBlank="1" containsNumber="1" containsInteger="1" minValue="0" maxValue="0"/>
    </cacheField>
    <cacheField name="System serial" numFmtId="0">
      <sharedItems containsString="0" containsBlank="1" containsNumber="1" containsInteger="1" minValue="0" maxValue="0" count="2">
        <n v="0"/>
        <m/>
      </sharedItems>
    </cacheField>
    <cacheField name="System version" numFmtId="0">
      <sharedItems containsString="0" containsBlank="1" containsNumber="1" containsInteger="1" minValue="0" maxValue="0"/>
    </cacheField>
    <cacheField name="System model" numFmtId="0">
      <sharedItems containsString="0" containsBlank="1" containsNumber="1" containsInteger="1" minValue="0" maxValue="0"/>
    </cacheField>
    <cacheField name="Capacity" numFmtId="0">
      <sharedItems containsString="0" containsBlank="1" containsNumber="1" containsInteger="1" minValue="0" maxValue="0"/>
    </cacheField>
    <cacheField name="Comment" numFmtId="0">
      <sharedItems containsString="0" containsBlank="1" containsNumber="1" containsInteger="1" minValue="0" maxValue="0"/>
    </cacheField>
    <cacheField name="Comment2" numFmtId="0">
      <sharedItems containsString="0" containsBlank="1" containsNumber="1" containsInteger="1" minValue="0" maxValue="0"/>
    </cacheField>
    <cacheField name="Comment3" numFmtId="0">
      <sharedItems containsString="0" containsBlank="1" containsNumber="1" containsInteger="1" minValue="0" maxValue="0"/>
    </cacheField>
    <cacheField name="Comment4" numFmtId="0">
      <sharedItems containsString="0" containsBlank="1" containsNumber="1" containsInteger="1" minValue="0" maxValue="0"/>
    </cacheField>
    <cacheField name="Comment5" numFmtId="0">
      <sharedItems containsString="0" containsBlank="1" containsNumber="1" containsInteger="1" minValue="0" maxValue="0"/>
    </cacheField>
    <cacheField name="Comment6" numFmtId="0">
      <sharedItems containsString="0" containsBlank="1" containsNumber="1" containsInteger="1" minValue="0" maxValue="0"/>
    </cacheField>
    <cacheField name="Comment7" numFmtId="0">
      <sharedItems containsString="0" containsBlank="1" containsNumber="1" containsInteger="1" minValue="0" maxValue="0"/>
    </cacheField>
    <cacheField name="Comment8" numFmtId="0">
      <sharedItems containsString="0" containsBlank="1" containsNumber="1" containsInteger="1" minValue="0" maxValue="0"/>
    </cacheField>
    <cacheField name="CPU model" numFmtId="0">
      <sharedItems containsString="0" containsBlank="1" containsNumber="1" containsInteger="1" minValue="0" maxValue="0"/>
    </cacheField>
    <cacheField name="Total Memory" numFmtId="0">
      <sharedItems containsString="0" containsBlank="1" containsNumber="1" containsInteger="1" minValue="0" maxValue="0"/>
    </cacheField>
    <cacheField name="Memory type" numFmtId="0">
      <sharedItems containsString="0" containsBlank="1" containsNumber="1" containsInteger="1" minValue="0" maxValue="0"/>
    </cacheField>
    <cacheField name="Disk capacity" numFmtId="0">
      <sharedItems containsString="0" containsBlank="1" containsNumber="1" containsInteger="1" minValue="0" maxValue="0"/>
    </cacheField>
    <cacheField name="Disk interface type" numFmtId="0">
      <sharedItems containsString="0" containsBlank="1" containsNumber="1" containsInteger="1" minValue="0" maxValue="0"/>
    </cacheField>
    <cacheField name="Disk serial" numFmtId="0">
      <sharedItems containsString="0" containsBlank="1" containsNumber="1" containsInteger="1" minValue="0" maxValue="0"/>
    </cacheField>
    <cacheField name="Disk model" numFmtId="0">
      <sharedItems containsString="0" containsBlank="1" containsNumber="1" containsInteger="1" minValue="0" maxValue="0"/>
    </cacheField>
    <cacheField name="Erasure start time" numFmtId="0">
      <sharedItems containsString="0" containsBlank="1" containsNumber="1" containsInteger="1" minValue="0" maxValue="0"/>
    </cacheField>
    <cacheField name="Battery test comment" numFmtId="0">
      <sharedItems containsString="0" containsBlank="1" containsNumber="1" containsInteger="1" minValue="0" maxValue="0"/>
    </cacheField>
    <cacheField name="Successful / Failed" numFmtId="0">
      <sharedItems containsBlank="1" count="5">
        <s v=""/>
        <m/>
        <s v="Successful"/>
        <s v="Failed"/>
        <s v="Successful 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3"/>
  </r>
  <r>
    <m/>
    <m/>
    <m/>
    <m/>
    <m/>
    <m/>
    <x v="1"/>
    <m/>
    <m/>
    <m/>
    <m/>
    <m/>
    <m/>
    <m/>
    <m/>
    <m/>
    <m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7CD75-522A-4B22-9987-418AB6311BA6}" name="Pass/Fail" cacheId="6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D4" firstHeaderRow="1" firstDataRow="2" firstDataCol="1"/>
  <pivotFields count="28"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6">
        <item h="1" x="0"/>
        <item x="3"/>
        <item x="2"/>
        <item h="1" x="1"/>
        <item m="1" x="4"/>
        <item t="default"/>
      </items>
    </pivotField>
  </pivotFields>
  <rowFields count="1">
    <field x="6"/>
  </rowFields>
  <rowItems count="2">
    <i>
      <x/>
    </i>
    <i t="grand">
      <x/>
    </i>
  </rowItems>
  <colFields count="1">
    <field x="27"/>
  </colFields>
  <colItems count="3">
    <i>
      <x v="1"/>
    </i>
    <i>
      <x v="2"/>
    </i>
    <i t="grand">
      <x/>
    </i>
  </colItems>
  <dataFields count="1">
    <dataField name="Count of Successful / Failed" fld="2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G1048576" totalsRowShown="0" tableBorderDxfId="5">
  <autoFilter ref="D1:AG1048576" xr:uid="{29308B2E-F192-42B4-8523-53AD44BB76CD}"/>
  <tableColumns count="30">
    <tableColumn id="1" xr3:uid="{CA4A19EC-6339-4325-A6BC-133496FB2C2B}" name="Business name"/>
    <tableColumn id="2" xr3:uid="{E8939219-9533-4261-9B75-9E2EEAD29D82}" name="System manufacturer"/>
    <tableColumn id="3" xr3:uid="{CF1B9FB7-360A-441F-9794-6814816BBACC}" name="System chassis type"/>
    <tableColumn id="4" xr3:uid="{1CCD10D5-E1EB-4E59-8947-E2E611153631}" name="Custom 1"/>
    <tableColumn id="5" xr3:uid="{B2523AC3-1063-4191-AE8B-126221A9B0EE}" name="Device Identifier"/>
    <tableColumn id="6" xr3:uid="{1C96BB52-9FD7-4294-9A12-E4806761FA73}" name="Erasure state"/>
    <tableColumn id="7" xr3:uid="{1B4B9B8A-2393-4981-8F5F-201262948360}" name="System serial"/>
    <tableColumn id="8" xr3:uid="{F4AA606D-0AB3-452C-B903-16B8C5D35911}" name="System version"/>
    <tableColumn id="9" xr3:uid="{194EE924-59CC-4F8A-AA5B-D9BDEFE83D5B}" name="System model"/>
    <tableColumn id="10" xr3:uid="{7F7FE8DD-10D1-4C92-B90D-F8622A18C631}" name="Capacity"/>
    <tableColumn id="11" xr3:uid="{64E7313F-9764-4039-ACF2-C26A42FA7871}" name="Comment"/>
    <tableColumn id="12" xr3:uid="{F4945B93-6847-4A4C-891D-0CCA487E3C05}" name="Comment2"/>
    <tableColumn id="14" xr3:uid="{E1D7D404-EDA4-4347-901D-F1BE69507E44}" name="Comment3"/>
    <tableColumn id="15" xr3:uid="{277DC48B-A6F1-448E-AD2E-244326B1EE05}" name="Comment4"/>
    <tableColumn id="16" xr3:uid="{64567BD6-EB70-472D-8F5D-F45DE6897DA3}" name="Comment5"/>
    <tableColumn id="17" xr3:uid="{DE0C002B-64F3-4C56-A6CC-E2F99B41DD0F}" name="Comment6"/>
    <tableColumn id="19" xr3:uid="{1887D030-FA0F-451B-B129-80FEE6CFAA53}" name="Comment7"/>
    <tableColumn id="20" xr3:uid="{B946C031-7248-4A4E-B14A-6120F0C64983}" name="Comment8"/>
    <tableColumn id="22" xr3:uid="{DB98B945-3709-420E-924A-FFA918C4CDFC}" name="CPU model"/>
    <tableColumn id="23" xr3:uid="{D44E1F9F-981A-4F98-BD6C-E86E2C91E7D5}" name="Total Memory"/>
    <tableColumn id="24" xr3:uid="{00F92944-EE85-489C-9796-712BF730220F}" name="Memory type" dataDxfId="4"/>
    <tableColumn id="25" xr3:uid="{142BB3A2-A27E-40E2-B3D1-7BF1AA333550}" name="Disk capacity"/>
    <tableColumn id="26" xr3:uid="{3C512A73-D70A-427B-BD05-153BCFB5F7F3}" name="Disk interface type"/>
    <tableColumn id="27" xr3:uid="{1C7C5782-8831-4ECC-8367-7A6FCD2462BA}" name="Disk serial"/>
    <tableColumn id="28" xr3:uid="{2AEE377B-86E4-4F06-95D9-38854F86FA1E}" name="Disk model"/>
    <tableColumn id="29" xr3:uid="{F7E5595E-CE00-474F-8219-E0FA8B5B5CB9}" name="Erasure start time"/>
    <tableColumn id="30" xr3:uid="{80EED2BA-96AB-419E-80D9-28E14D0A4A90}" name="Battery test comment"/>
    <tableColumn id="13" xr3:uid="{BB5E493C-EAB2-44B4-B667-13B055EA9CC4}" name="Erasure technician"/>
    <tableColumn id="18" xr3:uid="{B2EFA05B-964D-4129-A960-A539CA32F6BB}" name="UUID"/>
    <tableColumn id="21" xr3:uid="{2876966C-DD6B-448D-9997-CCA1CE2DD7FA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EA0642-D003-44E0-B644-5798523C3892}" name="Table3" displayName="Table3" ref="A1:C2" totalsRowShown="0" dataDxfId="3">
  <autoFilter ref="A1:C2" xr:uid="{91EA0642-D003-44E0-B644-5798523C3892}"/>
  <tableColumns count="3">
    <tableColumn id="1" xr3:uid="{6E6F8EA8-FB6F-4A67-90FD-C7B6AFB035E4}" name="מספר פרויקט" dataDxfId="2"/>
    <tableColumn id="2" xr3:uid="{9C21112A-AE9D-46C7-9194-30F78707C528}" name="Item code" dataDxfId="1"/>
    <tableColumn id="3" xr3:uid="{D157A6C9-50AE-40BB-A385-BA3D5F36133C}" name="לקוח סופי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U1245"/>
  <sheetViews>
    <sheetView tabSelected="1" topLeftCell="B1" workbookViewId="0">
      <pane ySplit="1" topLeftCell="A2" activePane="bottomLeft" state="frozen"/>
      <selection pane="bottomLeft" activeCell="C11" sqref="C11"/>
    </sheetView>
  </sheetViews>
  <sheetFormatPr defaultRowHeight="15"/>
  <cols>
    <col min="1" max="1" width="9.42578125" style="2" hidden="1" customWidth="1"/>
    <col min="2" max="2" width="26" style="2" customWidth="1"/>
    <col min="3" max="3" width="18.7109375" style="2" customWidth="1"/>
    <col min="4" max="4" width="13" style="2" customWidth="1"/>
    <col min="5" max="5" width="8.140625" style="2" bestFit="1" customWidth="1"/>
    <col min="6" max="6" width="22" style="2" customWidth="1"/>
    <col min="7" max="7" width="28.42578125" style="2" customWidth="1"/>
    <col min="8" max="8" width="18.28515625" style="2" customWidth="1"/>
    <col min="9" max="9" width="20.7109375" style="2" customWidth="1"/>
    <col min="10" max="10" width="15.140625" style="2" customWidth="1"/>
    <col min="11" max="11" width="26.140625" style="2" customWidth="1"/>
    <col min="12" max="12" width="17.85546875" style="2" customWidth="1"/>
    <col min="13" max="13" width="71.85546875" style="2" customWidth="1"/>
    <col min="14" max="14" width="32.140625" style="2" bestFit="1" customWidth="1"/>
    <col min="15" max="15" width="18" style="2" bestFit="1" customWidth="1"/>
    <col min="16" max="16" width="17.140625" style="2" bestFit="1" customWidth="1"/>
    <col min="17" max="17" width="26.7109375" style="2" bestFit="1" customWidth="1"/>
    <col min="18" max="19" width="12.5703125" style="2" bestFit="1" customWidth="1"/>
    <col min="20" max="20" width="11.28515625" style="2" bestFit="1" customWidth="1"/>
    <col min="21" max="21" width="17.28515625" customWidth="1"/>
  </cols>
  <sheetData>
    <row r="1" spans="1:21" s="59" customFormat="1" ht="18" thickBot="1">
      <c r="A1" s="57" t="s">
        <v>490</v>
      </c>
      <c r="B1" s="58" t="s">
        <v>491</v>
      </c>
      <c r="C1" s="58" t="s">
        <v>57</v>
      </c>
      <c r="D1" s="58" t="s">
        <v>3</v>
      </c>
      <c r="E1" s="58" t="s">
        <v>2</v>
      </c>
      <c r="F1" s="58" t="s">
        <v>5</v>
      </c>
      <c r="G1" s="58" t="s">
        <v>6</v>
      </c>
      <c r="H1" s="58" t="s">
        <v>7</v>
      </c>
      <c r="I1" s="58" t="s">
        <v>8</v>
      </c>
      <c r="J1" s="58" t="s">
        <v>9</v>
      </c>
      <c r="K1" s="58" t="s">
        <v>10</v>
      </c>
      <c r="L1" s="58" t="s">
        <v>11</v>
      </c>
      <c r="M1" s="58" t="s">
        <v>12</v>
      </c>
      <c r="N1" s="58" t="s">
        <v>14</v>
      </c>
      <c r="O1" s="58" t="s">
        <v>15</v>
      </c>
      <c r="P1" s="58" t="s">
        <v>16</v>
      </c>
      <c r="Q1" s="58" t="s">
        <v>17</v>
      </c>
      <c r="R1" s="58" t="s">
        <v>18</v>
      </c>
      <c r="S1" s="58" t="s">
        <v>19</v>
      </c>
      <c r="T1" s="58" t="s">
        <v>20</v>
      </c>
      <c r="U1" s="58" t="s">
        <v>489</v>
      </c>
    </row>
    <row r="2" spans="1:21">
      <c r="A2" s="55" t="str">
        <f>_xlfn.TEXTJOIN("",TRUE,Input!$B$2,"0",ROW(My_Audit!A1))</f>
        <v>XX01</v>
      </c>
      <c r="B2" s="55" t="str">
        <f>_xlfn.TEXTJOIN("-",TRUE,"ITD",Input!$A$2,A2)</f>
        <v>ITD-SHRXXX-XX01</v>
      </c>
      <c r="C2" s="55" t="str" cm="1">
        <f t="array" ref="C2">IFERROR(_xlfn.LET(
_xlpm.CSVVal,_xlfn.XLOOKUP($A2,CSV!$A:$A,CSV!B:B,""),
_xlpm.MacVal,_xlfn.XLOOKUP($A2,Output_Mac!$A:$A,Output_Mac!B:B,""),
_xlpm.MyAuditVal,_xlfn.XLOOKUP($A2,My_Audit!$A:$A,My_Audit!B:B,""),
_xlfn.IFS(_xlpm.MyAuditVal&lt;&gt;"",UPPER(_xlpm.MyAuditVal),_xlpm.MacVal&lt;&gt;"",_xlpm.MacVal,_xlpm.CSVVal&lt;&gt;"",_xlpm.CSVVal
)),"")</f>
        <v/>
      </c>
      <c r="D2" s="55" t="str">
        <f>_xlfn.XLOOKUP(A2,My_Audit!A:A,My_Audit!D:D,"")&amp;""</f>
        <v/>
      </c>
      <c r="E2" s="55" t="str" cm="1">
        <f t="array" ref="E2">IFERROR(_xlfn.LET(
_xlpm.CSVVal,_xlfn.XLOOKUP($A2,CSV!$A:$A,CSV!D:D,""),
_xlpm.MacVal,_xlfn.XLOOKUP($A2,Output_Mac!$A:$A,Output_Mac!C:C,""),
_xlpm.MyAuditVal,_xlfn.XLOOKUP($A2,My_Audit!$A:$A,My_Audit!D:D,""),
_xlfn.IFS(_xlpm.MyAuditVal&lt;&gt;"",_xlpm.MyAuditVal,_xlpm.MacVal&lt;&gt;"",_xlpm.MacVal,_xlpm.CSVVal&lt;&gt;"",_xlpm.CSVVal
)),"")</f>
        <v/>
      </c>
      <c r="F2" s="55" t="str" cm="1">
        <f t="array" ref="F2">IFERROR(_xlfn.LET(
_xlpm.CSVVal,_xlfn.XLOOKUP($A2,CSV!$A:$A,CSV!E:E,""),
_xlpm.MacVal,_xlfn.XLOOKUP($A2,Output_Mac!$A:$A,Output_Mac!F:F,""),
_xlpm.MyAuditVal,_xlfn.XLOOKUP($A2,My_Audit!$A:$A,My_Audit!E:E,""),
_xlfn.IFS(_xlpm.MyAuditVal&lt;&gt;"",_xlpm.MyAuditVal,_xlpm.MacVal&lt;&gt;"",_xlpm.MacVal,_xlpm.CSVVal&lt;&gt;"",PROPER(_xlpm.CSVVal)
)),"")</f>
        <v/>
      </c>
      <c r="G2" s="55" t="str" cm="1">
        <f t="array" ref="G2">IFERROR(_xlfn.LET(
_xlpm.CSVVal,_xlfn.XLOOKUP($A2,CSV!$A:$A,CSV!F:F,""),
_xlpm.MacVal,_xlfn.XLOOKUP($A2,Output_Mac!$A:$A,Output_Mac!H:H,""),
_xlpm.MyAuditVal,_xlfn.XLOOKUP($A2,My_Audit!$A:$A,My_Audit!F:F,""),
_xlfn.IFS(_xlpm.MyAuditVal&lt;&gt;"",_xlpm.MyAuditVal,_xlpm.MacVal&lt;&gt;"",_xlpm.MacVal,_xlpm.CSVVal&lt;&gt;"",_xlpm.CSVVal
)),"")</f>
        <v/>
      </c>
      <c r="H2" s="55" t="str">
        <f>_xlfn.XLOOKUP(A2,Output_Mac!A:A,Output_Mac!I:I,"")</f>
        <v/>
      </c>
      <c r="I2" s="55" t="str" cm="1">
        <f t="array" ref="I2">IFERROR(_xlfn.LET(
_xlpm.CSVVal,_xlfn.XLOOKUP($A2,CSV!$A:$A,CSV!G:G,""),
_xlpm.MacVal,_xlfn.XLOOKUP($A2,Output_Mac!$A:$A,Output_Mac!J:J,""),
_xlpm.MyAuditVal,_xlfn.XLOOKUP($A2,My_Audit!$A:$A,My_Audit!H:H,""),
_xlfn.IFS(_xlpm.MyAuditVal&lt;&gt;"",UPPER(_xlpm.MyAuditVal),_xlpm.MacVal&lt;&gt;"",_xlpm.MacVal,_xlpm.CSVVal&lt;&gt;"",_xlpm.CSVVal
)),"")</f>
        <v/>
      </c>
      <c r="J2" s="55" t="str" cm="1">
        <f t="array" ref="J2">IFERROR(_xlfn.LET(
_xlpm.CSVVal,_xlfn.XLOOKUP($A2,CSV!$A:$A,CSV!I:I,""),
_xlpm.MacVal,_xlfn.XLOOKUP($A2,Output_Mac!$A:$A,Output_Mac!K:K,""),
_xlpm.MyAuditVal,_xlfn.XLOOKUP($A2,My_Audit!$A:$A,My_Audit!I:I,""),
_xlfn.IFS(_xlpm.MyAuditVal&lt;&gt;"",UPPER(_xlpm.MyAuditVal),_xlpm.MacVal&lt;&gt;"",_xlpm.MacVal,_xlpm.CSVVal&lt;&gt;"",_xlpm.CSVVal
)),"")</f>
        <v/>
      </c>
      <c r="K2" s="55" t="str" cm="1">
        <f t="array" ref="K2">IFERROR(_xlfn.LET(
_xlpm.CSVVal,_xlfn.XLOOKUP($A2,CSV!$A:$A,CSV!M:M,""),
_xlpm.MacVal,_xlfn.XLOOKUP($A2,Output_Mac!$A:$A,Output_Mac!L:L,""),
_xlpm.MyAuditVal,_xlfn.XLOOKUP($A2,My_Audit!$A:$A,My_Audit!J:J,""),
_xlfn.IFS(_xlpm.MyAuditVal&lt;&gt;"",UPPER(_xlpm.MyAuditVal),_xlpm.MacVal&lt;&gt;"",_xlpm.MacVal,_xlpm.CSVVal&lt;&gt;"",_xlpm.CSVVal
)),"")</f>
        <v/>
      </c>
      <c r="L2" s="55" t="str" cm="1">
        <f t="array" ref="L2">IFERROR(_xlfn.LET(
_xlpm.CSVVal,_xlfn.XLOOKUP($A2,CSV!$A:$A,CSV!P:P,""),
_xlpm.MacVal,_xlfn.XLOOKUP($A2,Output_Mac!$A:$A,Output_Mac!M:M,""),
_xlpm.MyAuditVal,_xlfn.XLOOKUP($A2,My_Audit!$A:$A,My_Audit!K:K,""),
_xlfn.IFS(_xlpm.MyAuditVal&lt;&gt;"",UPPER(_xlpm.MyAuditVal),_xlpm.MacVal&lt;&gt;"",_xlpm.MacVal,_xlpm.CSVVal&lt;&gt;"",_xlpm.CSVVal
)),"")</f>
        <v/>
      </c>
      <c r="M2" s="55" t="str">
        <f>_xlfn.LET(
    _xlpm.CSVVal, _xlfn.XLOOKUP($A2, CSV!$A:$A, CSV!AD:AD, ""),
    _xlpm.MacVal, _xlfn.XLOOKUP($A2, Output_Mac!$A:$A, Output_Mac!S:S, ""),
    _xlpm.MyAuditVal, _xlfn.XLOOKUP($A2, My_Audit!$A:$A, My_Audit!N:N, ""),
    _xlfn.TEXTJOIN(", ", TRUE, _xlpm.MyAuditVal, _xlpm.MacVal, _xlpm.CSVVal)
)</f>
        <v/>
      </c>
      <c r="N2" s="55" t="str" cm="1">
        <f t="array" ref="N2">IFERROR(_xlfn.LET(
_xlpm.CSVVal,_xlfn.XLOOKUP($A2,CSV!$A:$A,CSV!AF:AF,""),
_xlpm.MacVal,_xlfn.XLOOKUP($A2,Output_Mac!$A:$A,Output_Mac!U:U,""),
_xlpm.MyAuditVal,_xlfn.XLOOKUP($A2,My_Audit!$A:$A,My_Audit!O:O,""),
_xlfn.IFS(_xlpm.MyAuditVal&lt;&gt;"",UPPER(_xlpm.MyAuditVal),_xlpm.MacVal&lt;&gt;"",_xlpm.MacVal,_xlpm.CSVVal&lt;&gt;"",_xlpm.CSVVal
)),"")</f>
        <v/>
      </c>
      <c r="O2" s="55"/>
      <c r="P2" s="55"/>
      <c r="Q2" s="55"/>
      <c r="R2" s="55"/>
      <c r="S2" s="55"/>
      <c r="T2" s="55"/>
      <c r="U2" s="56" t="str">
        <f>_xlfn.LET(
    _xlpm.MacVal, _xlfn.XLOOKUP($A2, Output_Mac!$A:$A, Output_Mac!AB:AB, ""),
    _xlpm.MyAuditVal, _xlfn.XLOOKUP($A2, My_Audit!$A:$A, My_Audit!L:L, ""),
    _xlfn.TEXTJOIN(", ", TRUE, _xlpm.MyAuditVal, _xlpm.MacVal)
)</f>
        <v/>
      </c>
    </row>
    <row r="3" spans="1:21">
      <c r="A3" s="54" t="str">
        <f>_xlfn.TEXTJOIN("",TRUE,Input!$B$2,"0",ROW(My_Audit!A2))</f>
        <v>XX02</v>
      </c>
      <c r="B3" s="54" t="str">
        <f>_xlfn.TEXTJOIN("-",TRUE,"ITD",Input!$A$2,A3)</f>
        <v>ITD-SHRXXX-XX02</v>
      </c>
      <c r="C3" s="54" t="str" cm="1">
        <f t="array" ref="C3">IFERROR(_xlfn.LET(
_xlpm.CSVVal,_xlfn.XLOOKUP($A3,CSV!$A:$A,CSV!B:B,""),
_xlpm.MacVal,_xlfn.XLOOKUP($A3,Output_Mac!$A:$A,Output_Mac!B:B,""),
_xlpm.MyAuditVal,_xlfn.XLOOKUP($A3,My_Audit!$A:$A,My_Audit!B:B,""),
_xlfn.IFS(_xlpm.MyAuditVal&lt;&gt;"",UPPER(_xlpm.MyAuditVal),_xlpm.MacVal&lt;&gt;"",_xlpm.MacVal,_xlpm.CSVVal&lt;&gt;"",_xlpm.CSVVal
)),"")</f>
        <v/>
      </c>
      <c r="D3" s="55" t="str">
        <f>_xlfn.XLOOKUP(A3,My_Audit!A:A,My_Audit!D:D,"")&amp;""</f>
        <v/>
      </c>
      <c r="E3" s="55" t="str" cm="1">
        <f t="array" ref="E3">IFERROR(_xlfn.LET(
_xlpm.CSVVal,_xlfn.XLOOKUP($A3,CSV!$A:$A,CSV!D:D,""),
_xlpm.MacVal,_xlfn.XLOOKUP($A3,Output_Mac!$A:$A,Output_Mac!C:C,""),
_xlpm.MyAuditVal,_xlfn.XLOOKUP($A3,My_Audit!$A:$A,My_Audit!D:D,""),
_xlfn.IFS(_xlpm.MyAuditVal&lt;&gt;"",_xlpm.MyAuditVal,_xlpm.MacVal&lt;&gt;"",_xlpm.MacVal,_xlpm.CSVVal&lt;&gt;"",_xlpm.CSVVal
)),"")</f>
        <v/>
      </c>
      <c r="F3" s="54" t="str" cm="1">
        <f t="array" ref="F3">IFERROR(_xlfn.LET(
_xlpm.CSVVal,_xlfn.XLOOKUP($A3,CSV!$A:$A,CSV!E:E,""),
_xlpm.MacVal,_xlfn.XLOOKUP($A3,Output_Mac!$A:$A,Output_Mac!F:F,""),
_xlpm.MyAuditVal,_xlfn.XLOOKUP($A3,My_Audit!$A:$A,My_Audit!E:E,""),
_xlfn.IFS(_xlpm.MyAuditVal&lt;&gt;"",_xlpm.MyAuditVal,_xlpm.MacVal&lt;&gt;"",_xlpm.MacVal,_xlpm.CSVVal&lt;&gt;"",PROPER(_xlpm.CSVVal)
)),"")</f>
        <v/>
      </c>
      <c r="G3" s="54" t="str" cm="1">
        <f t="array" ref="G3">IFERROR(_xlfn.LET(
_xlpm.CSVVal,_xlfn.XLOOKUP($A3,CSV!$A:$A,CSV!F:F,""),
_xlpm.MacVal,_xlfn.XLOOKUP($A3,Output_Mac!$A:$A,Output_Mac!H:H,""),
_xlpm.MyAuditVal,_xlfn.XLOOKUP($A3,My_Audit!$A:$A,My_Audit!F:F,""),
_xlfn.IFS(_xlpm.MyAuditVal&lt;&gt;"",_xlpm.MyAuditVal,_xlpm.MacVal&lt;&gt;"",_xlpm.MacVal,_xlpm.CSVVal&lt;&gt;"",_xlpm.CSVVal
)),"")</f>
        <v/>
      </c>
      <c r="H3" s="54" t="str">
        <f>_xlfn.XLOOKUP(A3,Output_Mac!A:A,Output_Mac!I:I,"")</f>
        <v/>
      </c>
      <c r="I3" s="54" t="str" cm="1">
        <f t="array" ref="I3">IFERROR(_xlfn.LET(
_xlpm.CSVVal,_xlfn.XLOOKUP($A3,CSV!$A:$A,CSV!G:G,""),
_xlpm.MacVal,_xlfn.XLOOKUP($A3,Output_Mac!$A:$A,Output_Mac!J:J,""),
_xlpm.MyAuditVal,_xlfn.XLOOKUP($A3,My_Audit!$A:$A,My_Audit!H:H,""),
_xlfn.IFS(_xlpm.MyAuditVal&lt;&gt;"",UPPER(_xlpm.MyAuditVal),_xlpm.MacVal&lt;&gt;"",_xlpm.MacVal,_xlpm.CSVVal&lt;&gt;"",_xlpm.CSVVal
)),"")</f>
        <v/>
      </c>
      <c r="J3" s="54" t="str" cm="1">
        <f t="array" ref="J3">IFERROR(_xlfn.LET(
_xlpm.CSVVal,_xlfn.XLOOKUP($A3,CSV!$A:$A,CSV!I:I,""),
_xlpm.MacVal,_xlfn.XLOOKUP($A3,Output_Mac!$A:$A,Output_Mac!K:K,""),
_xlpm.MyAuditVal,_xlfn.XLOOKUP($A3,My_Audit!$A:$A,My_Audit!I:I,""),
_xlfn.IFS(_xlpm.MyAuditVal&lt;&gt;"",UPPER(_xlpm.MyAuditVal),_xlpm.MacVal&lt;&gt;"",_xlpm.MacVal,_xlpm.CSVVal&lt;&gt;"",_xlpm.CSVVal
)),"")</f>
        <v/>
      </c>
      <c r="K3" s="54" t="str" cm="1">
        <f t="array" ref="K3">IFERROR(_xlfn.LET(
_xlpm.CSVVal,_xlfn.XLOOKUP($A3,CSV!$A:$A,CSV!M:M,""),
_xlpm.MacVal,_xlfn.XLOOKUP($A3,Output_Mac!$A:$A,Output_Mac!L:L,""),
_xlpm.MyAuditVal,_xlfn.XLOOKUP($A3,My_Audit!$A:$A,My_Audit!J:J,""),
_xlfn.IFS(_xlpm.MyAuditVal&lt;&gt;"",UPPER(_xlpm.MyAuditVal),_xlpm.MacVal&lt;&gt;"",_xlpm.MacVal,_xlpm.CSVVal&lt;&gt;"",_xlpm.CSVVal
)),"")</f>
        <v/>
      </c>
      <c r="L3" s="55" t="str" cm="1">
        <f t="array" ref="L3">IFERROR(_xlfn.LET(
_xlpm.CSVVal,_xlfn.XLOOKUP($A3,CSV!$A:$A,CSV!P:P,""),
_xlpm.MacVal,_xlfn.XLOOKUP($A3,Output_Mac!$A:$A,Output_Mac!M:M,""),
_xlpm.MyAuditVal,_xlfn.XLOOKUP($A3,My_Audit!$A:$A,My_Audit!K:K,""),
_xlfn.IFS(_xlpm.MyAuditVal&lt;&gt;"",UPPER(_xlpm.MyAuditVal),_xlpm.MacVal&lt;&gt;"",_xlpm.MacVal,_xlpm.CSVVal&lt;&gt;"",_xlpm.CSVVal
)),"")</f>
        <v/>
      </c>
      <c r="M3" s="54" t="str">
        <f>_xlfn.LET(
    _xlpm.CSVVal, _xlfn.XLOOKUP($A3, CSV!$A:$A, CSV!AD:AD, ""),
    _xlpm.MacVal, _xlfn.XLOOKUP($A3, Output_Mac!$A:$A, Output_Mac!S:S, ""),
    _xlpm.MyAuditVal, _xlfn.XLOOKUP($A3, My_Audit!$A:$A, My_Audit!N:N, ""),
    _xlfn.TEXTJOIN(", ", TRUE, _xlpm.MyAuditVal, _xlpm.MacVal, _xlpm.CSVVal)
)</f>
        <v/>
      </c>
      <c r="N3" s="54" t="str" cm="1">
        <f t="array" ref="N3">IFERROR(_xlfn.LET(
_xlpm.CSVVal,_xlfn.XLOOKUP($A3,CSV!$A:$A,CSV!AF:AF,""),
_xlpm.MacVal,_xlfn.XLOOKUP($A3,Output_Mac!$A:$A,Output_Mac!U:U,""),
_xlpm.MyAuditVal,_xlfn.XLOOKUP($A3,My_Audit!$A:$A,My_Audit!O:O,""),
_xlfn.IFS(_xlpm.MyAuditVal&lt;&gt;"",UPPER(_xlpm.MyAuditVal),_xlpm.MacVal&lt;&gt;"",_xlpm.MacVal,_xlpm.CSVVal&lt;&gt;"",_xlpm.CSVVal
)),"")</f>
        <v/>
      </c>
      <c r="O3" s="54"/>
      <c r="P3" s="54"/>
      <c r="Q3" s="54"/>
      <c r="R3" s="54"/>
      <c r="S3" s="54"/>
      <c r="T3" s="54"/>
      <c r="U3" s="39" t="str">
        <f>_xlfn.LET(
    _xlpm.MacVal, _xlfn.XLOOKUP($A3, Output_Mac!$A:$A, Output_Mac!AB:AB, ""),
    _xlpm.MyAuditVal, _xlfn.XLOOKUP($A3, My_Audit!$A:$A, My_Audit!L:L, ""),
    _xlfn.TEXTJOIN(", ", TRUE, _xlpm.MyAuditVal, _xlpm.MacVal)
)</f>
        <v/>
      </c>
    </row>
    <row r="4" spans="1:21">
      <c r="A4" s="54" t="str">
        <f>_xlfn.TEXTJOIN("",TRUE,Input!$B$2,"0",ROW(My_Audit!A3))</f>
        <v>XX03</v>
      </c>
      <c r="B4" s="54" t="str">
        <f>_xlfn.TEXTJOIN("-",TRUE,"ITD",Input!$A$2,A4)</f>
        <v>ITD-SHRXXX-XX03</v>
      </c>
      <c r="C4" s="54" t="str" cm="1">
        <f t="array" ref="C4">IFERROR(_xlfn.LET(
_xlpm.CSVVal,_xlfn.XLOOKUP($A4,CSV!$A:$A,CSV!B:B,""),
_xlpm.MacVal,_xlfn.XLOOKUP($A4,Output_Mac!$A:$A,Output_Mac!B:B,""),
_xlpm.MyAuditVal,_xlfn.XLOOKUP($A4,My_Audit!$A:$A,My_Audit!B:B,""),
_xlfn.IFS(_xlpm.MyAuditVal&lt;&gt;"",UPPER(_xlpm.MyAuditVal),_xlpm.MacVal&lt;&gt;"",_xlpm.MacVal,_xlpm.CSVVal&lt;&gt;"",_xlpm.CSVVal
)),"")</f>
        <v/>
      </c>
      <c r="D4" s="55" t="str">
        <f>_xlfn.XLOOKUP(A4,My_Audit!A:A,My_Audit!D:D,"")&amp;""</f>
        <v/>
      </c>
      <c r="E4" s="55" t="str" cm="1">
        <f t="array" ref="E4">IFERROR(_xlfn.LET(
_xlpm.CSVVal,_xlfn.XLOOKUP($A4,CSV!$A:$A,CSV!D:D,""),
_xlpm.MacVal,_xlfn.XLOOKUP($A4,Output_Mac!$A:$A,Output_Mac!C:C,""),
_xlpm.MyAuditVal,_xlfn.XLOOKUP($A4,My_Audit!$A:$A,My_Audit!D:D,""),
_xlfn.IFS(_xlpm.MyAuditVal&lt;&gt;"",_xlpm.MyAuditVal,_xlpm.MacVal&lt;&gt;"",_xlpm.MacVal,_xlpm.CSVVal&lt;&gt;"",_xlpm.CSVVal
)),"")</f>
        <v/>
      </c>
      <c r="F4" s="54" t="str" cm="1">
        <f t="array" ref="F4">IFERROR(_xlfn.LET(
_xlpm.CSVVal,_xlfn.XLOOKUP($A4,CSV!$A:$A,CSV!E:E,""),
_xlpm.MacVal,_xlfn.XLOOKUP($A4,Output_Mac!$A:$A,Output_Mac!F:F,""),
_xlpm.MyAuditVal,_xlfn.XLOOKUP($A4,My_Audit!$A:$A,My_Audit!E:E,""),
_xlfn.IFS(_xlpm.MyAuditVal&lt;&gt;"",_xlpm.MyAuditVal,_xlpm.MacVal&lt;&gt;"",_xlpm.MacVal,_xlpm.CSVVal&lt;&gt;"",PROPER(_xlpm.CSVVal)
)),"")</f>
        <v/>
      </c>
      <c r="G4" s="54" t="str" cm="1">
        <f t="array" ref="G4">IFERROR(_xlfn.LET(
_xlpm.CSVVal,_xlfn.XLOOKUP($A4,CSV!$A:$A,CSV!F:F,""),
_xlpm.MacVal,_xlfn.XLOOKUP($A4,Output_Mac!$A:$A,Output_Mac!H:H,""),
_xlpm.MyAuditVal,_xlfn.XLOOKUP($A4,My_Audit!$A:$A,My_Audit!F:F,""),
_xlfn.IFS(_xlpm.MyAuditVal&lt;&gt;"",_xlpm.MyAuditVal,_xlpm.MacVal&lt;&gt;"",_xlpm.MacVal,_xlpm.CSVVal&lt;&gt;"",_xlpm.CSVVal
)),"")</f>
        <v/>
      </c>
      <c r="H4" s="54" t="str">
        <f>_xlfn.XLOOKUP(A4,Output_Mac!A:A,Output_Mac!I:I,"")</f>
        <v/>
      </c>
      <c r="I4" s="54" t="str" cm="1">
        <f t="array" ref="I4">IFERROR(_xlfn.LET(
_xlpm.CSVVal,_xlfn.XLOOKUP($A4,CSV!$A:$A,CSV!G:G,""),
_xlpm.MacVal,_xlfn.XLOOKUP($A4,Output_Mac!$A:$A,Output_Mac!J:J,""),
_xlpm.MyAuditVal,_xlfn.XLOOKUP($A4,My_Audit!$A:$A,My_Audit!H:H,""),
_xlfn.IFS(_xlpm.MyAuditVal&lt;&gt;"",UPPER(_xlpm.MyAuditVal),_xlpm.MacVal&lt;&gt;"",_xlpm.MacVal,_xlpm.CSVVal&lt;&gt;"",_xlpm.CSVVal
)),"")</f>
        <v/>
      </c>
      <c r="J4" s="54" t="str" cm="1">
        <f t="array" ref="J4">IFERROR(_xlfn.LET(
_xlpm.CSVVal,_xlfn.XLOOKUP($A4,CSV!$A:$A,CSV!I:I,""),
_xlpm.MacVal,_xlfn.XLOOKUP($A4,Output_Mac!$A:$A,Output_Mac!K:K,""),
_xlpm.MyAuditVal,_xlfn.XLOOKUP($A4,My_Audit!$A:$A,My_Audit!I:I,""),
_xlfn.IFS(_xlpm.MyAuditVal&lt;&gt;"",UPPER(_xlpm.MyAuditVal),_xlpm.MacVal&lt;&gt;"",_xlpm.MacVal,_xlpm.CSVVal&lt;&gt;"",_xlpm.CSVVal
)),"")</f>
        <v/>
      </c>
      <c r="K4" s="54" t="str" cm="1">
        <f t="array" ref="K4">IFERROR(_xlfn.LET(
_xlpm.CSVVal,_xlfn.XLOOKUP($A4,CSV!$A:$A,CSV!M:M,""),
_xlpm.MacVal,_xlfn.XLOOKUP($A4,Output_Mac!$A:$A,Output_Mac!L:L,""),
_xlpm.MyAuditVal,_xlfn.XLOOKUP($A4,My_Audit!$A:$A,My_Audit!J:J,""),
_xlfn.IFS(_xlpm.MyAuditVal&lt;&gt;"",UPPER(_xlpm.MyAuditVal),_xlpm.MacVal&lt;&gt;"",_xlpm.MacVal,_xlpm.CSVVal&lt;&gt;"",_xlpm.CSVVal
)),"")</f>
        <v/>
      </c>
      <c r="L4" s="55" t="str" cm="1">
        <f t="array" ref="L4">IFERROR(_xlfn.LET(
_xlpm.CSVVal,_xlfn.XLOOKUP($A4,CSV!$A:$A,CSV!P:P,""),
_xlpm.MacVal,_xlfn.XLOOKUP($A4,Output_Mac!$A:$A,Output_Mac!M:M,""),
_xlpm.MyAuditVal,_xlfn.XLOOKUP($A4,My_Audit!$A:$A,My_Audit!K:K,""),
_xlfn.IFS(_xlpm.MyAuditVal&lt;&gt;"",UPPER(_xlpm.MyAuditVal),_xlpm.MacVal&lt;&gt;"",_xlpm.MacVal,_xlpm.CSVVal&lt;&gt;"",_xlpm.CSVVal
)),"")</f>
        <v/>
      </c>
      <c r="M4" s="54" t="str">
        <f>_xlfn.LET(
    _xlpm.CSVVal, _xlfn.XLOOKUP($A4, CSV!$A:$A, CSV!AD:AD, ""),
    _xlpm.MacVal, _xlfn.XLOOKUP($A4, Output_Mac!$A:$A, Output_Mac!S:S, ""),
    _xlpm.MyAuditVal, _xlfn.XLOOKUP($A4, My_Audit!$A:$A, My_Audit!N:N, ""),
    _xlfn.TEXTJOIN(", ", TRUE, _xlpm.MyAuditVal, _xlpm.MacVal, _xlpm.CSVVal)
)</f>
        <v/>
      </c>
      <c r="N4" s="54" t="str" cm="1">
        <f t="array" ref="N4">IFERROR(_xlfn.LET(
_xlpm.CSVVal,_xlfn.XLOOKUP($A4,CSV!$A:$A,CSV!AF:AF,""),
_xlpm.MacVal,_xlfn.XLOOKUP($A4,Output_Mac!$A:$A,Output_Mac!U:U,""),
_xlpm.MyAuditVal,_xlfn.XLOOKUP($A4,My_Audit!$A:$A,My_Audit!O:O,""),
_xlfn.IFS(_xlpm.MyAuditVal&lt;&gt;"",UPPER(_xlpm.MyAuditVal),_xlpm.MacVal&lt;&gt;"",_xlpm.MacVal,_xlpm.CSVVal&lt;&gt;"",_xlpm.CSVVal
)),"")</f>
        <v/>
      </c>
      <c r="O4" s="54"/>
      <c r="P4" s="54"/>
      <c r="Q4" s="54"/>
      <c r="R4" s="54"/>
      <c r="S4" s="54"/>
      <c r="T4" s="54"/>
      <c r="U4" s="39" t="str">
        <f>_xlfn.LET(
    _xlpm.MacVal, _xlfn.XLOOKUP($A4, Output_Mac!$A:$A, Output_Mac!AB:AB, ""),
    _xlpm.MyAuditVal, _xlfn.XLOOKUP($A4, My_Audit!$A:$A, My_Audit!L:L, ""),
    _xlfn.TEXTJOIN(", ", TRUE, _xlpm.MyAuditVal, _xlpm.MacVal)
)</f>
        <v/>
      </c>
    </row>
    <row r="5" spans="1:21">
      <c r="A5" s="54" t="str">
        <f>_xlfn.TEXTJOIN("",TRUE,Input!$B$2,"0",ROW(My_Audit!A4))</f>
        <v>XX04</v>
      </c>
      <c r="B5" s="54" t="str">
        <f>_xlfn.TEXTJOIN("-",TRUE,"ITD",Input!$A$2,A5)</f>
        <v>ITD-SHRXXX-XX04</v>
      </c>
      <c r="C5" s="54" t="str" cm="1">
        <f t="array" ref="C5">IFERROR(_xlfn.LET(
_xlpm.CSVVal,_xlfn.XLOOKUP($A5,CSV!$A:$A,CSV!B:B,""),
_xlpm.MacVal,_xlfn.XLOOKUP($A5,Output_Mac!$A:$A,Output_Mac!B:B,""),
_xlpm.MyAuditVal,_xlfn.XLOOKUP($A5,My_Audit!$A:$A,My_Audit!B:B,""),
_xlfn.IFS(_xlpm.MyAuditVal&lt;&gt;"",UPPER(_xlpm.MyAuditVal),_xlpm.MacVal&lt;&gt;"",_xlpm.MacVal,_xlpm.CSVVal&lt;&gt;"",_xlpm.CSVVal
)),"")</f>
        <v/>
      </c>
      <c r="D5" s="55" t="str">
        <f>_xlfn.XLOOKUP(A5,My_Audit!A:A,My_Audit!D:D,"")&amp;""</f>
        <v/>
      </c>
      <c r="E5" s="55" t="str" cm="1">
        <f t="array" ref="E5">IFERROR(_xlfn.LET(
_xlpm.CSVVal,_xlfn.XLOOKUP($A5,CSV!$A:$A,CSV!D:D,""),
_xlpm.MacVal,_xlfn.XLOOKUP($A5,Output_Mac!$A:$A,Output_Mac!C:C,""),
_xlpm.MyAuditVal,_xlfn.XLOOKUP($A5,My_Audit!$A:$A,My_Audit!D:D,""),
_xlfn.IFS(_xlpm.MyAuditVal&lt;&gt;"",_xlpm.MyAuditVal,_xlpm.MacVal&lt;&gt;"",_xlpm.MacVal,_xlpm.CSVVal&lt;&gt;"",_xlpm.CSVVal
)),"")</f>
        <v/>
      </c>
      <c r="F5" s="54" t="str" cm="1">
        <f t="array" ref="F5">IFERROR(_xlfn.LET(
_xlpm.CSVVal,_xlfn.XLOOKUP($A5,CSV!$A:$A,CSV!E:E,""),
_xlpm.MacVal,_xlfn.XLOOKUP($A5,Output_Mac!$A:$A,Output_Mac!F:F,""),
_xlpm.MyAuditVal,_xlfn.XLOOKUP($A5,My_Audit!$A:$A,My_Audit!E:E,""),
_xlfn.IFS(_xlpm.MyAuditVal&lt;&gt;"",_xlpm.MyAuditVal,_xlpm.MacVal&lt;&gt;"",_xlpm.MacVal,_xlpm.CSVVal&lt;&gt;"",PROPER(_xlpm.CSVVal)
)),"")</f>
        <v/>
      </c>
      <c r="G5" s="54" t="str" cm="1">
        <f t="array" ref="G5">IFERROR(_xlfn.LET(
_xlpm.CSVVal,_xlfn.XLOOKUP($A5,CSV!$A:$A,CSV!F:F,""),
_xlpm.MacVal,_xlfn.XLOOKUP($A5,Output_Mac!$A:$A,Output_Mac!H:H,""),
_xlpm.MyAuditVal,_xlfn.XLOOKUP($A5,My_Audit!$A:$A,My_Audit!F:F,""),
_xlfn.IFS(_xlpm.MyAuditVal&lt;&gt;"",_xlpm.MyAuditVal,_xlpm.MacVal&lt;&gt;"",_xlpm.MacVal,_xlpm.CSVVal&lt;&gt;"",_xlpm.CSVVal
)),"")</f>
        <v/>
      </c>
      <c r="H5" s="54" t="str">
        <f>_xlfn.XLOOKUP(A5,Output_Mac!A:A,Output_Mac!I:I,"")</f>
        <v/>
      </c>
      <c r="I5" s="54" t="str" cm="1">
        <f t="array" ref="I5">IFERROR(_xlfn.LET(
_xlpm.CSVVal,_xlfn.XLOOKUP($A5,CSV!$A:$A,CSV!G:G,""),
_xlpm.MacVal,_xlfn.XLOOKUP($A5,Output_Mac!$A:$A,Output_Mac!J:J,""),
_xlpm.MyAuditVal,_xlfn.XLOOKUP($A5,My_Audit!$A:$A,My_Audit!H:H,""),
_xlfn.IFS(_xlpm.MyAuditVal&lt;&gt;"",UPPER(_xlpm.MyAuditVal),_xlpm.MacVal&lt;&gt;"",_xlpm.MacVal,_xlpm.CSVVal&lt;&gt;"",_xlpm.CSVVal
)),"")</f>
        <v/>
      </c>
      <c r="J5" s="54" t="str" cm="1">
        <f t="array" ref="J5">IFERROR(_xlfn.LET(
_xlpm.CSVVal,_xlfn.XLOOKUP($A5,CSV!$A:$A,CSV!I:I,""),
_xlpm.MacVal,_xlfn.XLOOKUP($A5,Output_Mac!$A:$A,Output_Mac!K:K,""),
_xlpm.MyAuditVal,_xlfn.XLOOKUP($A5,My_Audit!$A:$A,My_Audit!I:I,""),
_xlfn.IFS(_xlpm.MyAuditVal&lt;&gt;"",UPPER(_xlpm.MyAuditVal),_xlpm.MacVal&lt;&gt;"",_xlpm.MacVal,_xlpm.CSVVal&lt;&gt;"",_xlpm.CSVVal
)),"")</f>
        <v/>
      </c>
      <c r="K5" s="54" t="str" cm="1">
        <f t="array" ref="K5">IFERROR(_xlfn.LET(
_xlpm.CSVVal,_xlfn.XLOOKUP($A5,CSV!$A:$A,CSV!M:M,""),
_xlpm.MacVal,_xlfn.XLOOKUP($A5,Output_Mac!$A:$A,Output_Mac!L:L,""),
_xlpm.MyAuditVal,_xlfn.XLOOKUP($A5,My_Audit!$A:$A,My_Audit!J:J,""),
_xlfn.IFS(_xlpm.MyAuditVal&lt;&gt;"",UPPER(_xlpm.MyAuditVal),_xlpm.MacVal&lt;&gt;"",_xlpm.MacVal,_xlpm.CSVVal&lt;&gt;"",_xlpm.CSVVal
)),"")</f>
        <v/>
      </c>
      <c r="L5" s="55" t="str" cm="1">
        <f t="array" ref="L5">IFERROR(_xlfn.LET(
_xlpm.CSVVal,_xlfn.XLOOKUP($A5,CSV!$A:$A,CSV!P:P,""),
_xlpm.MacVal,_xlfn.XLOOKUP($A5,Output_Mac!$A:$A,Output_Mac!M:M,""),
_xlpm.MyAuditVal,_xlfn.XLOOKUP($A5,My_Audit!$A:$A,My_Audit!K:K,""),
_xlfn.IFS(_xlpm.MyAuditVal&lt;&gt;"",UPPER(_xlpm.MyAuditVal),_xlpm.MacVal&lt;&gt;"",_xlpm.MacVal,_xlpm.CSVVal&lt;&gt;"",_xlpm.CSVVal
)),"")</f>
        <v/>
      </c>
      <c r="M5" s="54" t="str">
        <f>_xlfn.LET(
    _xlpm.CSVVal, _xlfn.XLOOKUP($A5, CSV!$A:$A, CSV!AD:AD, ""),
    _xlpm.MacVal, _xlfn.XLOOKUP($A5, Output_Mac!$A:$A, Output_Mac!S:S, ""),
    _xlpm.MyAuditVal, _xlfn.XLOOKUP($A5, My_Audit!$A:$A, My_Audit!N:N, ""),
    _xlfn.TEXTJOIN(", ", TRUE, _xlpm.MyAuditVal, _xlpm.MacVal, _xlpm.CSVVal)
)</f>
        <v/>
      </c>
      <c r="N5" s="54" t="str" cm="1">
        <f t="array" ref="N5">IFERROR(_xlfn.LET(
_xlpm.CSVVal,_xlfn.XLOOKUP($A5,CSV!$A:$A,CSV!AF:AF,""),
_xlpm.MacVal,_xlfn.XLOOKUP($A5,Output_Mac!$A:$A,Output_Mac!U:U,""),
_xlpm.MyAuditVal,_xlfn.XLOOKUP($A5,My_Audit!$A:$A,My_Audit!O:O,""),
_xlfn.IFS(_xlpm.MyAuditVal&lt;&gt;"",UPPER(_xlpm.MyAuditVal),_xlpm.MacVal&lt;&gt;"",_xlpm.MacVal,_xlpm.CSVVal&lt;&gt;"",_xlpm.CSVVal
)),"")</f>
        <v/>
      </c>
      <c r="O5" s="54"/>
      <c r="P5" s="54"/>
      <c r="Q5" s="54"/>
      <c r="R5" s="54"/>
      <c r="S5" s="54"/>
      <c r="T5" s="54"/>
      <c r="U5" s="39" t="str">
        <f>_xlfn.LET(
    _xlpm.MacVal, _xlfn.XLOOKUP($A5, Output_Mac!$A:$A, Output_Mac!AB:AB, ""),
    _xlpm.MyAuditVal, _xlfn.XLOOKUP($A5, My_Audit!$A:$A, My_Audit!L:L, ""),
    _xlfn.TEXTJOIN(", ", TRUE, _xlpm.MyAuditVal, _xlpm.MacVal)
)</f>
        <v/>
      </c>
    </row>
    <row r="6" spans="1:21">
      <c r="A6" s="54" t="str">
        <f>_xlfn.TEXTJOIN("",TRUE,Input!$B$2,"0",ROW(My_Audit!A5))</f>
        <v>XX05</v>
      </c>
      <c r="B6" s="54" t="str">
        <f>_xlfn.TEXTJOIN("-",TRUE,"ITD",Input!$A$2,A6)</f>
        <v>ITD-SHRXXX-XX05</v>
      </c>
      <c r="C6" s="54" t="str" cm="1">
        <f t="array" ref="C6">IFERROR(_xlfn.LET(
_xlpm.CSVVal,_xlfn.XLOOKUP($A6,CSV!$A:$A,CSV!B:B,""),
_xlpm.MacVal,_xlfn.XLOOKUP($A6,Output_Mac!$A:$A,Output_Mac!B:B,""),
_xlpm.MyAuditVal,_xlfn.XLOOKUP($A6,My_Audit!$A:$A,My_Audit!B:B,""),
_xlfn.IFS(_xlpm.MyAuditVal&lt;&gt;"",UPPER(_xlpm.MyAuditVal),_xlpm.MacVal&lt;&gt;"",_xlpm.MacVal,_xlpm.CSVVal&lt;&gt;"",_xlpm.CSVVal
)),"")</f>
        <v/>
      </c>
      <c r="D6" s="55" t="str">
        <f>_xlfn.XLOOKUP(A6,My_Audit!A:A,My_Audit!D:D,"")&amp;""</f>
        <v/>
      </c>
      <c r="E6" s="55" t="str" cm="1">
        <f t="array" ref="E6">IFERROR(_xlfn.LET(
_xlpm.CSVVal,_xlfn.XLOOKUP($A6,CSV!$A:$A,CSV!D:D,""),
_xlpm.MacVal,_xlfn.XLOOKUP($A6,Output_Mac!$A:$A,Output_Mac!C:C,""),
_xlpm.MyAuditVal,_xlfn.XLOOKUP($A6,My_Audit!$A:$A,My_Audit!D:D,""),
_xlfn.IFS(_xlpm.MyAuditVal&lt;&gt;"",_xlpm.MyAuditVal,_xlpm.MacVal&lt;&gt;"",_xlpm.MacVal,_xlpm.CSVVal&lt;&gt;"",_xlpm.CSVVal
)),"")</f>
        <v/>
      </c>
      <c r="F6" s="54" t="str" cm="1">
        <f t="array" ref="F6">IFERROR(_xlfn.LET(
_xlpm.CSVVal,_xlfn.XLOOKUP($A6,CSV!$A:$A,CSV!E:E,""),
_xlpm.MacVal,_xlfn.XLOOKUP($A6,Output_Mac!$A:$A,Output_Mac!F:F,""),
_xlpm.MyAuditVal,_xlfn.XLOOKUP($A6,My_Audit!$A:$A,My_Audit!E:E,""),
_xlfn.IFS(_xlpm.MyAuditVal&lt;&gt;"",_xlpm.MyAuditVal,_xlpm.MacVal&lt;&gt;"",_xlpm.MacVal,_xlpm.CSVVal&lt;&gt;"",PROPER(_xlpm.CSVVal)
)),"")</f>
        <v/>
      </c>
      <c r="G6" s="54" t="str" cm="1">
        <f t="array" ref="G6">IFERROR(_xlfn.LET(
_xlpm.CSVVal,_xlfn.XLOOKUP($A6,CSV!$A:$A,CSV!F:F,""),
_xlpm.MacVal,_xlfn.XLOOKUP($A6,Output_Mac!$A:$A,Output_Mac!H:H,""),
_xlpm.MyAuditVal,_xlfn.XLOOKUP($A6,My_Audit!$A:$A,My_Audit!F:F,""),
_xlfn.IFS(_xlpm.MyAuditVal&lt;&gt;"",_xlpm.MyAuditVal,_xlpm.MacVal&lt;&gt;"",_xlpm.MacVal,_xlpm.CSVVal&lt;&gt;"",_xlpm.CSVVal
)),"")</f>
        <v/>
      </c>
      <c r="H6" s="54" t="str">
        <f>_xlfn.XLOOKUP(A6,Output_Mac!A:A,Output_Mac!I:I,"")</f>
        <v/>
      </c>
      <c r="I6" s="54" t="str" cm="1">
        <f t="array" ref="I6">IFERROR(_xlfn.LET(
_xlpm.CSVVal,_xlfn.XLOOKUP($A6,CSV!$A:$A,CSV!G:G,""),
_xlpm.MacVal,_xlfn.XLOOKUP($A6,Output_Mac!$A:$A,Output_Mac!J:J,""),
_xlpm.MyAuditVal,_xlfn.XLOOKUP($A6,My_Audit!$A:$A,My_Audit!H:H,""),
_xlfn.IFS(_xlpm.MyAuditVal&lt;&gt;"",UPPER(_xlpm.MyAuditVal),_xlpm.MacVal&lt;&gt;"",_xlpm.MacVal,_xlpm.CSVVal&lt;&gt;"",_xlpm.CSVVal
)),"")</f>
        <v/>
      </c>
      <c r="J6" s="54" t="str" cm="1">
        <f t="array" ref="J6">IFERROR(_xlfn.LET(
_xlpm.CSVVal,_xlfn.XLOOKUP($A6,CSV!$A:$A,CSV!I:I,""),
_xlpm.MacVal,_xlfn.XLOOKUP($A6,Output_Mac!$A:$A,Output_Mac!K:K,""),
_xlpm.MyAuditVal,_xlfn.XLOOKUP($A6,My_Audit!$A:$A,My_Audit!I:I,""),
_xlfn.IFS(_xlpm.MyAuditVal&lt;&gt;"",UPPER(_xlpm.MyAuditVal),_xlpm.MacVal&lt;&gt;"",_xlpm.MacVal,_xlpm.CSVVal&lt;&gt;"",_xlpm.CSVVal
)),"")</f>
        <v/>
      </c>
      <c r="K6" s="54" t="str" cm="1">
        <f t="array" ref="K6">IFERROR(_xlfn.LET(
_xlpm.CSVVal,_xlfn.XLOOKUP($A6,CSV!$A:$A,CSV!M:M,""),
_xlpm.MacVal,_xlfn.XLOOKUP($A6,Output_Mac!$A:$A,Output_Mac!L:L,""),
_xlpm.MyAuditVal,_xlfn.XLOOKUP($A6,My_Audit!$A:$A,My_Audit!J:J,""),
_xlfn.IFS(_xlpm.MyAuditVal&lt;&gt;"",UPPER(_xlpm.MyAuditVal),_xlpm.MacVal&lt;&gt;"",_xlpm.MacVal,_xlpm.CSVVal&lt;&gt;"",_xlpm.CSVVal
)),"")</f>
        <v/>
      </c>
      <c r="L6" s="55" t="str" cm="1">
        <f t="array" ref="L6">IFERROR(_xlfn.LET(
_xlpm.CSVVal,_xlfn.XLOOKUP($A6,CSV!$A:$A,CSV!P:P,""),
_xlpm.MacVal,_xlfn.XLOOKUP($A6,Output_Mac!$A:$A,Output_Mac!M:M,""),
_xlpm.MyAuditVal,_xlfn.XLOOKUP($A6,My_Audit!$A:$A,My_Audit!K:K,""),
_xlfn.IFS(_xlpm.MyAuditVal&lt;&gt;"",UPPER(_xlpm.MyAuditVal),_xlpm.MacVal&lt;&gt;"",_xlpm.MacVal,_xlpm.CSVVal&lt;&gt;"",_xlpm.CSVVal
)),"")</f>
        <v/>
      </c>
      <c r="M6" s="54" t="str">
        <f>_xlfn.LET(
    _xlpm.CSVVal, _xlfn.XLOOKUP($A6, CSV!$A:$A, CSV!AD:AD, ""),
    _xlpm.MacVal, _xlfn.XLOOKUP($A6, Output_Mac!$A:$A, Output_Mac!S:S, ""),
    _xlpm.MyAuditVal, _xlfn.XLOOKUP($A6, My_Audit!$A:$A, My_Audit!N:N, ""),
    _xlfn.TEXTJOIN(", ", TRUE, _xlpm.MyAuditVal, _xlpm.MacVal, _xlpm.CSVVal)
)</f>
        <v/>
      </c>
      <c r="N6" s="54" t="str" cm="1">
        <f t="array" ref="N6">IFERROR(_xlfn.LET(
_xlpm.CSVVal,_xlfn.XLOOKUP($A6,CSV!$A:$A,CSV!AF:AF,""),
_xlpm.MacVal,_xlfn.XLOOKUP($A6,Output_Mac!$A:$A,Output_Mac!U:U,""),
_xlpm.MyAuditVal,_xlfn.XLOOKUP($A6,My_Audit!$A:$A,My_Audit!O:O,""),
_xlfn.IFS(_xlpm.MyAuditVal&lt;&gt;"",UPPER(_xlpm.MyAuditVal),_xlpm.MacVal&lt;&gt;"",_xlpm.MacVal,_xlpm.CSVVal&lt;&gt;"",_xlpm.CSVVal
)),"")</f>
        <v/>
      </c>
      <c r="O6" s="54"/>
      <c r="P6" s="54"/>
      <c r="Q6" s="54"/>
      <c r="R6" s="54"/>
      <c r="S6" s="54"/>
      <c r="T6" s="54"/>
      <c r="U6" s="39" t="str">
        <f>_xlfn.LET(
    _xlpm.MacVal, _xlfn.XLOOKUP($A6, Output_Mac!$A:$A, Output_Mac!AB:AB, ""),
    _xlpm.MyAuditVal, _xlfn.XLOOKUP($A6, My_Audit!$A:$A, My_Audit!L:L, ""),
    _xlfn.TEXTJOIN(", ", TRUE, _xlpm.MyAuditVal, _xlpm.MacVal)
)</f>
        <v/>
      </c>
    </row>
    <row r="7" spans="1:21">
      <c r="A7" s="54" t="str">
        <f>_xlfn.TEXTJOIN("",TRUE,Input!$B$2,"0",ROW(My_Audit!A6))</f>
        <v>XX06</v>
      </c>
      <c r="B7" s="54" t="str">
        <f>_xlfn.TEXTJOIN("-",TRUE,"ITD",Input!$A$2,A7)</f>
        <v>ITD-SHRXXX-XX06</v>
      </c>
      <c r="C7" s="54" t="str" cm="1">
        <f t="array" ref="C7">IFERROR(_xlfn.LET(
_xlpm.CSVVal,_xlfn.XLOOKUP($A7,CSV!$A:$A,CSV!B:B,""),
_xlpm.MacVal,_xlfn.XLOOKUP($A7,Output_Mac!$A:$A,Output_Mac!B:B,""),
_xlpm.MyAuditVal,_xlfn.XLOOKUP($A7,My_Audit!$A:$A,My_Audit!B:B,""),
_xlfn.IFS(_xlpm.MyAuditVal&lt;&gt;"",UPPER(_xlpm.MyAuditVal),_xlpm.MacVal&lt;&gt;"",_xlpm.MacVal,_xlpm.CSVVal&lt;&gt;"",_xlpm.CSVVal
)),"")</f>
        <v/>
      </c>
      <c r="D7" s="55" t="str">
        <f>_xlfn.XLOOKUP(A7,My_Audit!A:A,My_Audit!D:D,"")&amp;""</f>
        <v/>
      </c>
      <c r="E7" s="55" t="str" cm="1">
        <f t="array" ref="E7">IFERROR(_xlfn.LET(
_xlpm.CSVVal,_xlfn.XLOOKUP($A7,CSV!$A:$A,CSV!D:D,""),
_xlpm.MacVal,_xlfn.XLOOKUP($A7,Output_Mac!$A:$A,Output_Mac!C:C,""),
_xlpm.MyAuditVal,_xlfn.XLOOKUP($A7,My_Audit!$A:$A,My_Audit!D:D,""),
_xlfn.IFS(_xlpm.MyAuditVal&lt;&gt;"",_xlpm.MyAuditVal,_xlpm.MacVal&lt;&gt;"",_xlpm.MacVal,_xlpm.CSVVal&lt;&gt;"",_xlpm.CSVVal
)),"")</f>
        <v/>
      </c>
      <c r="F7" s="54" t="str" cm="1">
        <f t="array" ref="F7">IFERROR(_xlfn.LET(
_xlpm.CSVVal,_xlfn.XLOOKUP($A7,CSV!$A:$A,CSV!E:E,""),
_xlpm.MacVal,_xlfn.XLOOKUP($A7,Output_Mac!$A:$A,Output_Mac!F:F,""),
_xlpm.MyAuditVal,_xlfn.XLOOKUP($A7,My_Audit!$A:$A,My_Audit!E:E,""),
_xlfn.IFS(_xlpm.MyAuditVal&lt;&gt;"",_xlpm.MyAuditVal,_xlpm.MacVal&lt;&gt;"",_xlpm.MacVal,_xlpm.CSVVal&lt;&gt;"",PROPER(_xlpm.CSVVal)
)),"")</f>
        <v/>
      </c>
      <c r="G7" s="54" t="str" cm="1">
        <f t="array" ref="G7">IFERROR(_xlfn.LET(
_xlpm.CSVVal,_xlfn.XLOOKUP($A7,CSV!$A:$A,CSV!F:F,""),
_xlpm.MacVal,_xlfn.XLOOKUP($A7,Output_Mac!$A:$A,Output_Mac!H:H,""),
_xlpm.MyAuditVal,_xlfn.XLOOKUP($A7,My_Audit!$A:$A,My_Audit!F:F,""),
_xlfn.IFS(_xlpm.MyAuditVal&lt;&gt;"",_xlpm.MyAuditVal,_xlpm.MacVal&lt;&gt;"",_xlpm.MacVal,_xlpm.CSVVal&lt;&gt;"",_xlpm.CSVVal
)),"")</f>
        <v/>
      </c>
      <c r="H7" s="54" t="str">
        <f>_xlfn.XLOOKUP(A7,Output_Mac!A:A,Output_Mac!I:I,"")</f>
        <v/>
      </c>
      <c r="I7" s="54" t="str" cm="1">
        <f t="array" ref="I7">IFERROR(_xlfn.LET(
_xlpm.CSVVal,_xlfn.XLOOKUP($A7,CSV!$A:$A,CSV!G:G,""),
_xlpm.MacVal,_xlfn.XLOOKUP($A7,Output_Mac!$A:$A,Output_Mac!J:J,""),
_xlpm.MyAuditVal,_xlfn.XLOOKUP($A7,My_Audit!$A:$A,My_Audit!H:H,""),
_xlfn.IFS(_xlpm.MyAuditVal&lt;&gt;"",UPPER(_xlpm.MyAuditVal),_xlpm.MacVal&lt;&gt;"",_xlpm.MacVal,_xlpm.CSVVal&lt;&gt;"",_xlpm.CSVVal
)),"")</f>
        <v/>
      </c>
      <c r="J7" s="54" t="str" cm="1">
        <f t="array" ref="J7">IFERROR(_xlfn.LET(
_xlpm.CSVVal,_xlfn.XLOOKUP($A7,CSV!$A:$A,CSV!I:I,""),
_xlpm.MacVal,_xlfn.XLOOKUP($A7,Output_Mac!$A:$A,Output_Mac!K:K,""),
_xlpm.MyAuditVal,_xlfn.XLOOKUP($A7,My_Audit!$A:$A,My_Audit!I:I,""),
_xlfn.IFS(_xlpm.MyAuditVal&lt;&gt;"",UPPER(_xlpm.MyAuditVal),_xlpm.MacVal&lt;&gt;"",_xlpm.MacVal,_xlpm.CSVVal&lt;&gt;"",_xlpm.CSVVal
)),"")</f>
        <v/>
      </c>
      <c r="K7" s="54" t="str" cm="1">
        <f t="array" ref="K7">IFERROR(_xlfn.LET(
_xlpm.CSVVal,_xlfn.XLOOKUP($A7,CSV!$A:$A,CSV!M:M,""),
_xlpm.MacVal,_xlfn.XLOOKUP($A7,Output_Mac!$A:$A,Output_Mac!L:L,""),
_xlpm.MyAuditVal,_xlfn.XLOOKUP($A7,My_Audit!$A:$A,My_Audit!J:J,""),
_xlfn.IFS(_xlpm.MyAuditVal&lt;&gt;"",UPPER(_xlpm.MyAuditVal),_xlpm.MacVal&lt;&gt;"",_xlpm.MacVal,_xlpm.CSVVal&lt;&gt;"",_xlpm.CSVVal
)),"")</f>
        <v/>
      </c>
      <c r="L7" s="55" t="str" cm="1">
        <f t="array" ref="L7">IFERROR(_xlfn.LET(
_xlpm.CSVVal,_xlfn.XLOOKUP($A7,CSV!$A:$A,CSV!P:P,""),
_xlpm.MacVal,_xlfn.XLOOKUP($A7,Output_Mac!$A:$A,Output_Mac!M:M,""),
_xlpm.MyAuditVal,_xlfn.XLOOKUP($A7,My_Audit!$A:$A,My_Audit!K:K,""),
_xlfn.IFS(_xlpm.MyAuditVal&lt;&gt;"",UPPER(_xlpm.MyAuditVal),_xlpm.MacVal&lt;&gt;"",_xlpm.MacVal,_xlpm.CSVVal&lt;&gt;"",_xlpm.CSVVal
)),"")</f>
        <v/>
      </c>
      <c r="M7" s="54" t="str">
        <f>_xlfn.LET(
    _xlpm.CSVVal, _xlfn.XLOOKUP($A7, CSV!$A:$A, CSV!AD:AD, ""),
    _xlpm.MacVal, _xlfn.XLOOKUP($A7, Output_Mac!$A:$A, Output_Mac!S:S, ""),
    _xlpm.MyAuditVal, _xlfn.XLOOKUP($A7, My_Audit!$A:$A, My_Audit!N:N, ""),
    _xlfn.TEXTJOIN(", ", TRUE, _xlpm.MyAuditVal, _xlpm.MacVal, _xlpm.CSVVal)
)</f>
        <v/>
      </c>
      <c r="N7" s="54" t="str" cm="1">
        <f t="array" ref="N7">IFERROR(_xlfn.LET(
_xlpm.CSVVal,_xlfn.XLOOKUP($A7,CSV!$A:$A,CSV!AF:AF,""),
_xlpm.MacVal,_xlfn.XLOOKUP($A7,Output_Mac!$A:$A,Output_Mac!U:U,""),
_xlpm.MyAuditVal,_xlfn.XLOOKUP($A7,My_Audit!$A:$A,My_Audit!O:O,""),
_xlfn.IFS(_xlpm.MyAuditVal&lt;&gt;"",UPPER(_xlpm.MyAuditVal),_xlpm.MacVal&lt;&gt;"",_xlpm.MacVal,_xlpm.CSVVal&lt;&gt;"",_xlpm.CSVVal
)),"")</f>
        <v/>
      </c>
      <c r="O7" s="54"/>
      <c r="P7" s="54"/>
      <c r="Q7" s="54"/>
      <c r="R7" s="54"/>
      <c r="S7" s="54"/>
      <c r="T7" s="54"/>
      <c r="U7" s="39" t="str">
        <f>_xlfn.LET(
    _xlpm.MacVal, _xlfn.XLOOKUP($A7, Output_Mac!$A:$A, Output_Mac!AB:AB, ""),
    _xlpm.MyAuditVal, _xlfn.XLOOKUP($A7, My_Audit!$A:$A, My_Audit!L:L, ""),
    _xlfn.TEXTJOIN(", ", TRUE, _xlpm.MyAuditVal, _xlpm.MacVal)
)</f>
        <v/>
      </c>
    </row>
    <row r="8" spans="1:21">
      <c r="A8" s="54" t="str">
        <f>_xlfn.TEXTJOIN("",TRUE,Input!$B$2,"0",ROW(My_Audit!A7))</f>
        <v>XX07</v>
      </c>
      <c r="B8" s="54" t="str">
        <f>_xlfn.TEXTJOIN("-",TRUE,"ITD",Input!$A$2,A8)</f>
        <v>ITD-SHRXXX-XX07</v>
      </c>
      <c r="C8" s="54" t="str" cm="1">
        <f t="array" ref="C8">IFERROR(_xlfn.LET(
_xlpm.CSVVal,_xlfn.XLOOKUP($A8,CSV!$A:$A,CSV!B:B,""),
_xlpm.MacVal,_xlfn.XLOOKUP($A8,Output_Mac!$A:$A,Output_Mac!B:B,""),
_xlpm.MyAuditVal,_xlfn.XLOOKUP($A8,My_Audit!$A:$A,My_Audit!B:B,""),
_xlfn.IFS(_xlpm.MyAuditVal&lt;&gt;"",UPPER(_xlpm.MyAuditVal),_xlpm.MacVal&lt;&gt;"",_xlpm.MacVal,_xlpm.CSVVal&lt;&gt;"",_xlpm.CSVVal
)),"")</f>
        <v/>
      </c>
      <c r="D8" s="55" t="str">
        <f>_xlfn.XLOOKUP(A8,My_Audit!A:A,My_Audit!D:D,"")&amp;""</f>
        <v/>
      </c>
      <c r="E8" s="55" t="str" cm="1">
        <f t="array" ref="E8">IFERROR(_xlfn.LET(
_xlpm.CSVVal,_xlfn.XLOOKUP($A8,CSV!$A:$A,CSV!D:D,""),
_xlpm.MacVal,_xlfn.XLOOKUP($A8,Output_Mac!$A:$A,Output_Mac!C:C,""),
_xlpm.MyAuditVal,_xlfn.XLOOKUP($A8,My_Audit!$A:$A,My_Audit!D:D,""),
_xlfn.IFS(_xlpm.MyAuditVal&lt;&gt;"",_xlpm.MyAuditVal,_xlpm.MacVal&lt;&gt;"",_xlpm.MacVal,_xlpm.CSVVal&lt;&gt;"",_xlpm.CSVVal
)),"")</f>
        <v/>
      </c>
      <c r="F8" s="54" t="str" cm="1">
        <f t="array" ref="F8">IFERROR(_xlfn.LET(
_xlpm.CSVVal,_xlfn.XLOOKUP($A8,CSV!$A:$A,CSV!E:E,""),
_xlpm.MacVal,_xlfn.XLOOKUP($A8,Output_Mac!$A:$A,Output_Mac!F:F,""),
_xlpm.MyAuditVal,_xlfn.XLOOKUP($A8,My_Audit!$A:$A,My_Audit!E:E,""),
_xlfn.IFS(_xlpm.MyAuditVal&lt;&gt;"",_xlpm.MyAuditVal,_xlpm.MacVal&lt;&gt;"",_xlpm.MacVal,_xlpm.CSVVal&lt;&gt;"",PROPER(_xlpm.CSVVal)
)),"")</f>
        <v/>
      </c>
      <c r="G8" s="54" t="str" cm="1">
        <f t="array" ref="G8">IFERROR(_xlfn.LET(
_xlpm.CSVVal,_xlfn.XLOOKUP($A8,CSV!$A:$A,CSV!F:F,""),
_xlpm.MacVal,_xlfn.XLOOKUP($A8,Output_Mac!$A:$A,Output_Mac!H:H,""),
_xlpm.MyAuditVal,_xlfn.XLOOKUP($A8,My_Audit!$A:$A,My_Audit!F:F,""),
_xlfn.IFS(_xlpm.MyAuditVal&lt;&gt;"",_xlpm.MyAuditVal,_xlpm.MacVal&lt;&gt;"",_xlpm.MacVal,_xlpm.CSVVal&lt;&gt;"",_xlpm.CSVVal
)),"")</f>
        <v/>
      </c>
      <c r="H8" s="54" t="str">
        <f>_xlfn.XLOOKUP(A8,Output_Mac!A:A,Output_Mac!I:I,"")</f>
        <v/>
      </c>
      <c r="I8" s="54" t="str" cm="1">
        <f t="array" ref="I8">IFERROR(_xlfn.LET(
_xlpm.CSVVal,_xlfn.XLOOKUP($A8,CSV!$A:$A,CSV!G:G,""),
_xlpm.MacVal,_xlfn.XLOOKUP($A8,Output_Mac!$A:$A,Output_Mac!J:J,""),
_xlpm.MyAuditVal,_xlfn.XLOOKUP($A8,My_Audit!$A:$A,My_Audit!H:H,""),
_xlfn.IFS(_xlpm.MyAuditVal&lt;&gt;"",UPPER(_xlpm.MyAuditVal),_xlpm.MacVal&lt;&gt;"",_xlpm.MacVal,_xlpm.CSVVal&lt;&gt;"",_xlpm.CSVVal
)),"")</f>
        <v/>
      </c>
      <c r="J8" s="54" t="str" cm="1">
        <f t="array" ref="J8">IFERROR(_xlfn.LET(
_xlpm.CSVVal,_xlfn.XLOOKUP($A8,CSV!$A:$A,CSV!I:I,""),
_xlpm.MacVal,_xlfn.XLOOKUP($A8,Output_Mac!$A:$A,Output_Mac!K:K,""),
_xlpm.MyAuditVal,_xlfn.XLOOKUP($A8,My_Audit!$A:$A,My_Audit!I:I,""),
_xlfn.IFS(_xlpm.MyAuditVal&lt;&gt;"",UPPER(_xlpm.MyAuditVal),_xlpm.MacVal&lt;&gt;"",_xlpm.MacVal,_xlpm.CSVVal&lt;&gt;"",_xlpm.CSVVal
)),"")</f>
        <v/>
      </c>
      <c r="K8" s="54" t="str" cm="1">
        <f t="array" ref="K8">IFERROR(_xlfn.LET(
_xlpm.CSVVal,_xlfn.XLOOKUP($A8,CSV!$A:$A,CSV!M:M,""),
_xlpm.MacVal,_xlfn.XLOOKUP($A8,Output_Mac!$A:$A,Output_Mac!L:L,""),
_xlpm.MyAuditVal,_xlfn.XLOOKUP($A8,My_Audit!$A:$A,My_Audit!J:J,""),
_xlfn.IFS(_xlpm.MyAuditVal&lt;&gt;"",UPPER(_xlpm.MyAuditVal),_xlpm.MacVal&lt;&gt;"",_xlpm.MacVal,_xlpm.CSVVal&lt;&gt;"",_xlpm.CSVVal
)),"")</f>
        <v/>
      </c>
      <c r="L8" s="55" t="str" cm="1">
        <f t="array" ref="L8">IFERROR(_xlfn.LET(
_xlpm.CSVVal,_xlfn.XLOOKUP($A8,CSV!$A:$A,CSV!P:P,""),
_xlpm.MacVal,_xlfn.XLOOKUP($A8,Output_Mac!$A:$A,Output_Mac!M:M,""),
_xlpm.MyAuditVal,_xlfn.XLOOKUP($A8,My_Audit!$A:$A,My_Audit!K:K,""),
_xlfn.IFS(_xlpm.MyAuditVal&lt;&gt;"",UPPER(_xlpm.MyAuditVal),_xlpm.MacVal&lt;&gt;"",_xlpm.MacVal,_xlpm.CSVVal&lt;&gt;"",_xlpm.CSVVal
)),"")</f>
        <v/>
      </c>
      <c r="M8" s="54" t="str">
        <f>_xlfn.LET(
    _xlpm.CSVVal, _xlfn.XLOOKUP($A8, CSV!$A:$A, CSV!AD:AD, ""),
    _xlpm.MacVal, _xlfn.XLOOKUP($A8, Output_Mac!$A:$A, Output_Mac!S:S, ""),
    _xlpm.MyAuditVal, _xlfn.XLOOKUP($A8, My_Audit!$A:$A, My_Audit!N:N, ""),
    _xlfn.TEXTJOIN(", ", TRUE, _xlpm.MyAuditVal, _xlpm.MacVal, _xlpm.CSVVal)
)</f>
        <v/>
      </c>
      <c r="N8" s="54" t="str" cm="1">
        <f t="array" ref="N8">IFERROR(_xlfn.LET(
_xlpm.CSVVal,_xlfn.XLOOKUP($A8,CSV!$A:$A,CSV!AF:AF,""),
_xlpm.MacVal,_xlfn.XLOOKUP($A8,Output_Mac!$A:$A,Output_Mac!U:U,""),
_xlpm.MyAuditVal,_xlfn.XLOOKUP($A8,My_Audit!$A:$A,My_Audit!O:O,""),
_xlfn.IFS(_xlpm.MyAuditVal&lt;&gt;"",UPPER(_xlpm.MyAuditVal),_xlpm.MacVal&lt;&gt;"",_xlpm.MacVal,_xlpm.CSVVal&lt;&gt;"",_xlpm.CSVVal
)),"")</f>
        <v/>
      </c>
      <c r="O8" s="54"/>
      <c r="P8" s="54"/>
      <c r="Q8" s="54"/>
      <c r="R8" s="54"/>
      <c r="S8" s="54"/>
      <c r="T8" s="54"/>
      <c r="U8" s="39" t="str">
        <f>_xlfn.LET(
    _xlpm.MacVal, _xlfn.XLOOKUP($A8, Output_Mac!$A:$A, Output_Mac!AB:AB, ""),
    _xlpm.MyAuditVal, _xlfn.XLOOKUP($A8, My_Audit!$A:$A, My_Audit!L:L, ""),
    _xlfn.TEXTJOIN(", ", TRUE, _xlpm.MyAuditVal, _xlpm.MacVal)
)</f>
        <v/>
      </c>
    </row>
    <row r="9" spans="1:21">
      <c r="A9" s="54" t="str">
        <f>_xlfn.TEXTJOIN("",TRUE,Input!$B$2,"0",ROW(My_Audit!A8))</f>
        <v>XX08</v>
      </c>
      <c r="B9" s="54" t="str">
        <f>_xlfn.TEXTJOIN("-",TRUE,"ITD",Input!$A$2,A9)</f>
        <v>ITD-SHRXXX-XX08</v>
      </c>
      <c r="C9" s="54" t="str" cm="1">
        <f t="array" ref="C9">IFERROR(_xlfn.LET(
_xlpm.CSVVal,_xlfn.XLOOKUP($A9,CSV!$A:$A,CSV!B:B,""),
_xlpm.MacVal,_xlfn.XLOOKUP($A9,Output_Mac!$A:$A,Output_Mac!B:B,""),
_xlpm.MyAuditVal,_xlfn.XLOOKUP($A9,My_Audit!$A:$A,My_Audit!B:B,""),
_xlfn.IFS(_xlpm.MyAuditVal&lt;&gt;"",UPPER(_xlpm.MyAuditVal),_xlpm.MacVal&lt;&gt;"",_xlpm.MacVal,_xlpm.CSVVal&lt;&gt;"",_xlpm.CSVVal
)),"")</f>
        <v/>
      </c>
      <c r="D9" s="55" t="str">
        <f>_xlfn.XLOOKUP(A9,My_Audit!A:A,My_Audit!D:D,"")&amp;""</f>
        <v/>
      </c>
      <c r="E9" s="55" t="str" cm="1">
        <f t="array" ref="E9">IFERROR(_xlfn.LET(
_xlpm.CSVVal,_xlfn.XLOOKUP($A9,CSV!$A:$A,CSV!D:D,""),
_xlpm.MacVal,_xlfn.XLOOKUP($A9,Output_Mac!$A:$A,Output_Mac!C:C,""),
_xlpm.MyAuditVal,_xlfn.XLOOKUP($A9,My_Audit!$A:$A,My_Audit!D:D,""),
_xlfn.IFS(_xlpm.MyAuditVal&lt;&gt;"",_xlpm.MyAuditVal,_xlpm.MacVal&lt;&gt;"",_xlpm.MacVal,_xlpm.CSVVal&lt;&gt;"",_xlpm.CSVVal
)),"")</f>
        <v/>
      </c>
      <c r="F9" s="54" t="str" cm="1">
        <f t="array" ref="F9">IFERROR(_xlfn.LET(
_xlpm.CSVVal,_xlfn.XLOOKUP($A9,CSV!$A:$A,CSV!E:E,""),
_xlpm.MacVal,_xlfn.XLOOKUP($A9,Output_Mac!$A:$A,Output_Mac!F:F,""),
_xlpm.MyAuditVal,_xlfn.XLOOKUP($A9,My_Audit!$A:$A,My_Audit!E:E,""),
_xlfn.IFS(_xlpm.MyAuditVal&lt;&gt;"",_xlpm.MyAuditVal,_xlpm.MacVal&lt;&gt;"",_xlpm.MacVal,_xlpm.CSVVal&lt;&gt;"",PROPER(_xlpm.CSVVal)
)),"")</f>
        <v/>
      </c>
      <c r="G9" s="54" t="str" cm="1">
        <f t="array" ref="G9">IFERROR(_xlfn.LET(
_xlpm.CSVVal,_xlfn.XLOOKUP($A9,CSV!$A:$A,CSV!F:F,""),
_xlpm.MacVal,_xlfn.XLOOKUP($A9,Output_Mac!$A:$A,Output_Mac!H:H,""),
_xlpm.MyAuditVal,_xlfn.XLOOKUP($A9,My_Audit!$A:$A,My_Audit!F:F,""),
_xlfn.IFS(_xlpm.MyAuditVal&lt;&gt;"",_xlpm.MyAuditVal,_xlpm.MacVal&lt;&gt;"",_xlpm.MacVal,_xlpm.CSVVal&lt;&gt;"",_xlpm.CSVVal
)),"")</f>
        <v/>
      </c>
      <c r="H9" s="54" t="str">
        <f>_xlfn.XLOOKUP(A9,Output_Mac!A:A,Output_Mac!I:I,"")</f>
        <v/>
      </c>
      <c r="I9" s="54" t="str" cm="1">
        <f t="array" ref="I9">IFERROR(_xlfn.LET(
_xlpm.CSVVal,_xlfn.XLOOKUP($A9,CSV!$A:$A,CSV!G:G,""),
_xlpm.MacVal,_xlfn.XLOOKUP($A9,Output_Mac!$A:$A,Output_Mac!J:J,""),
_xlpm.MyAuditVal,_xlfn.XLOOKUP($A9,My_Audit!$A:$A,My_Audit!H:H,""),
_xlfn.IFS(_xlpm.MyAuditVal&lt;&gt;"",UPPER(_xlpm.MyAuditVal),_xlpm.MacVal&lt;&gt;"",_xlpm.MacVal,_xlpm.CSVVal&lt;&gt;"",_xlpm.CSVVal
)),"")</f>
        <v/>
      </c>
      <c r="J9" s="54" t="str" cm="1">
        <f t="array" ref="J9">IFERROR(_xlfn.LET(
_xlpm.CSVVal,_xlfn.XLOOKUP($A9,CSV!$A:$A,CSV!I:I,""),
_xlpm.MacVal,_xlfn.XLOOKUP($A9,Output_Mac!$A:$A,Output_Mac!K:K,""),
_xlpm.MyAuditVal,_xlfn.XLOOKUP($A9,My_Audit!$A:$A,My_Audit!I:I,""),
_xlfn.IFS(_xlpm.MyAuditVal&lt;&gt;"",UPPER(_xlpm.MyAuditVal),_xlpm.MacVal&lt;&gt;"",_xlpm.MacVal,_xlpm.CSVVal&lt;&gt;"",_xlpm.CSVVal
)),"")</f>
        <v/>
      </c>
      <c r="K9" s="54" t="str" cm="1">
        <f t="array" ref="K9">IFERROR(_xlfn.LET(
_xlpm.CSVVal,_xlfn.XLOOKUP($A9,CSV!$A:$A,CSV!M:M,""),
_xlpm.MacVal,_xlfn.XLOOKUP($A9,Output_Mac!$A:$A,Output_Mac!L:L,""),
_xlpm.MyAuditVal,_xlfn.XLOOKUP($A9,My_Audit!$A:$A,My_Audit!J:J,""),
_xlfn.IFS(_xlpm.MyAuditVal&lt;&gt;"",UPPER(_xlpm.MyAuditVal),_xlpm.MacVal&lt;&gt;"",_xlpm.MacVal,_xlpm.CSVVal&lt;&gt;"",_xlpm.CSVVal
)),"")</f>
        <v/>
      </c>
      <c r="L9" s="55" t="str" cm="1">
        <f t="array" ref="L9">IFERROR(_xlfn.LET(
_xlpm.CSVVal,_xlfn.XLOOKUP($A9,CSV!$A:$A,CSV!P:P,""),
_xlpm.MacVal,_xlfn.XLOOKUP($A9,Output_Mac!$A:$A,Output_Mac!M:M,""),
_xlpm.MyAuditVal,_xlfn.XLOOKUP($A9,My_Audit!$A:$A,My_Audit!K:K,""),
_xlfn.IFS(_xlpm.MyAuditVal&lt;&gt;"",UPPER(_xlpm.MyAuditVal),_xlpm.MacVal&lt;&gt;"",_xlpm.MacVal,_xlpm.CSVVal&lt;&gt;"",_xlpm.CSVVal
)),"")</f>
        <v/>
      </c>
      <c r="M9" s="54" t="str">
        <f>_xlfn.LET(
    _xlpm.CSVVal, _xlfn.XLOOKUP($A9, CSV!$A:$A, CSV!AD:AD, ""),
    _xlpm.MacVal, _xlfn.XLOOKUP($A9, Output_Mac!$A:$A, Output_Mac!S:S, ""),
    _xlpm.MyAuditVal, _xlfn.XLOOKUP($A9, My_Audit!$A:$A, My_Audit!N:N, ""),
    _xlfn.TEXTJOIN(", ", TRUE, _xlpm.MyAuditVal, _xlpm.MacVal, _xlpm.CSVVal)
)</f>
        <v/>
      </c>
      <c r="N9" s="54" t="str" cm="1">
        <f t="array" ref="N9">IFERROR(_xlfn.LET(
_xlpm.CSVVal,_xlfn.XLOOKUP($A9,CSV!$A:$A,CSV!AF:AF,""),
_xlpm.MacVal,_xlfn.XLOOKUP($A9,Output_Mac!$A:$A,Output_Mac!U:U,""),
_xlpm.MyAuditVal,_xlfn.XLOOKUP($A9,My_Audit!$A:$A,My_Audit!O:O,""),
_xlfn.IFS(_xlpm.MyAuditVal&lt;&gt;"",UPPER(_xlpm.MyAuditVal),_xlpm.MacVal&lt;&gt;"",_xlpm.MacVal,_xlpm.CSVVal&lt;&gt;"",_xlpm.CSVVal
)),"")</f>
        <v/>
      </c>
      <c r="O9" s="54"/>
      <c r="P9" s="54"/>
      <c r="Q9" s="54"/>
      <c r="R9" s="54"/>
      <c r="S9" s="54"/>
      <c r="T9" s="54"/>
      <c r="U9" s="39" t="str">
        <f>_xlfn.LET(
    _xlpm.MacVal, _xlfn.XLOOKUP($A9, Output_Mac!$A:$A, Output_Mac!AB:AB, ""),
    _xlpm.MyAuditVal, _xlfn.XLOOKUP($A9, My_Audit!$A:$A, My_Audit!L:L, ""),
    _xlfn.TEXTJOIN(", ", TRUE, _xlpm.MyAuditVal, _xlpm.MacVal)
)</f>
        <v/>
      </c>
    </row>
    <row r="10" spans="1:21">
      <c r="A10" s="54" t="str">
        <f>_xlfn.TEXTJOIN("",TRUE,Input!$B$2,"0",ROW(My_Audit!A9))</f>
        <v>XX09</v>
      </c>
      <c r="B10" s="54" t="str">
        <f>_xlfn.TEXTJOIN("-",TRUE,"ITD",Input!$A$2,A10)</f>
        <v>ITD-SHRXXX-XX09</v>
      </c>
      <c r="C10" s="54" t="str" cm="1">
        <f t="array" ref="C10">IFERROR(_xlfn.LET(
_xlpm.CSVVal,_xlfn.XLOOKUP($A10,CSV!$A:$A,CSV!B:B,""),
_xlpm.MacVal,_xlfn.XLOOKUP($A10,Output_Mac!$A:$A,Output_Mac!B:B,""),
_xlpm.MyAuditVal,_xlfn.XLOOKUP($A10,My_Audit!$A:$A,My_Audit!B:B,""),
_xlfn.IFS(_xlpm.MyAuditVal&lt;&gt;"",UPPER(_xlpm.MyAuditVal),_xlpm.MacVal&lt;&gt;"",_xlpm.MacVal,_xlpm.CSVVal&lt;&gt;"",_xlpm.CSVVal
)),"")</f>
        <v/>
      </c>
      <c r="D10" s="55" t="str">
        <f>_xlfn.XLOOKUP(A10,My_Audit!A:A,My_Audit!D:D,"")&amp;""</f>
        <v/>
      </c>
      <c r="E10" s="55" t="str" cm="1">
        <f t="array" ref="E10">IFERROR(_xlfn.LET(
_xlpm.CSVVal,_xlfn.XLOOKUP($A10,CSV!$A:$A,CSV!D:D,""),
_xlpm.MacVal,_xlfn.XLOOKUP($A10,Output_Mac!$A:$A,Output_Mac!C:C,""),
_xlpm.MyAuditVal,_xlfn.XLOOKUP($A10,My_Audit!$A:$A,My_Audit!D:D,""),
_xlfn.IFS(_xlpm.MyAuditVal&lt;&gt;"",_xlpm.MyAuditVal,_xlpm.MacVal&lt;&gt;"",_xlpm.MacVal,_xlpm.CSVVal&lt;&gt;"",_xlpm.CSVVal
)),"")</f>
        <v/>
      </c>
      <c r="F10" s="54" t="str" cm="1">
        <f t="array" ref="F10">IFERROR(_xlfn.LET(
_xlpm.CSVVal,_xlfn.XLOOKUP($A10,CSV!$A:$A,CSV!E:E,""),
_xlpm.MacVal,_xlfn.XLOOKUP($A10,Output_Mac!$A:$A,Output_Mac!F:F,""),
_xlpm.MyAuditVal,_xlfn.XLOOKUP($A10,My_Audit!$A:$A,My_Audit!E:E,""),
_xlfn.IFS(_xlpm.MyAuditVal&lt;&gt;"",_xlpm.MyAuditVal,_xlpm.MacVal&lt;&gt;"",_xlpm.MacVal,_xlpm.CSVVal&lt;&gt;"",PROPER(_xlpm.CSVVal)
)),"")</f>
        <v/>
      </c>
      <c r="G10" s="54" t="str" cm="1">
        <f t="array" ref="G10">IFERROR(_xlfn.LET(
_xlpm.CSVVal,_xlfn.XLOOKUP($A10,CSV!$A:$A,CSV!F:F,""),
_xlpm.MacVal,_xlfn.XLOOKUP($A10,Output_Mac!$A:$A,Output_Mac!H:H,""),
_xlpm.MyAuditVal,_xlfn.XLOOKUP($A10,My_Audit!$A:$A,My_Audit!F:F,""),
_xlfn.IFS(_xlpm.MyAuditVal&lt;&gt;"",_xlpm.MyAuditVal,_xlpm.MacVal&lt;&gt;"",_xlpm.MacVal,_xlpm.CSVVal&lt;&gt;"",_xlpm.CSVVal
)),"")</f>
        <v/>
      </c>
      <c r="H10" s="54" t="str">
        <f>_xlfn.XLOOKUP(A10,Output_Mac!A:A,Output_Mac!I:I,"")</f>
        <v/>
      </c>
      <c r="I10" s="54" t="str" cm="1">
        <f t="array" ref="I10">IFERROR(_xlfn.LET(
_xlpm.CSVVal,_xlfn.XLOOKUP($A10,CSV!$A:$A,CSV!G:G,""),
_xlpm.MacVal,_xlfn.XLOOKUP($A10,Output_Mac!$A:$A,Output_Mac!J:J,""),
_xlpm.MyAuditVal,_xlfn.XLOOKUP($A10,My_Audit!$A:$A,My_Audit!H:H,""),
_xlfn.IFS(_xlpm.MyAuditVal&lt;&gt;"",UPPER(_xlpm.MyAuditVal),_xlpm.MacVal&lt;&gt;"",_xlpm.MacVal,_xlpm.CSVVal&lt;&gt;"",_xlpm.CSVVal
)),"")</f>
        <v/>
      </c>
      <c r="J10" s="54" t="str" cm="1">
        <f t="array" ref="J10">IFERROR(_xlfn.LET(
_xlpm.CSVVal,_xlfn.XLOOKUP($A10,CSV!$A:$A,CSV!I:I,""),
_xlpm.MacVal,_xlfn.XLOOKUP($A10,Output_Mac!$A:$A,Output_Mac!K:K,""),
_xlpm.MyAuditVal,_xlfn.XLOOKUP($A10,My_Audit!$A:$A,My_Audit!I:I,""),
_xlfn.IFS(_xlpm.MyAuditVal&lt;&gt;"",UPPER(_xlpm.MyAuditVal),_xlpm.MacVal&lt;&gt;"",_xlpm.MacVal,_xlpm.CSVVal&lt;&gt;"",_xlpm.CSVVal
)),"")</f>
        <v/>
      </c>
      <c r="K10" s="54" t="str" cm="1">
        <f t="array" ref="K10">IFERROR(_xlfn.LET(
_xlpm.CSVVal,_xlfn.XLOOKUP($A10,CSV!$A:$A,CSV!M:M,""),
_xlpm.MacVal,_xlfn.XLOOKUP($A10,Output_Mac!$A:$A,Output_Mac!L:L,""),
_xlpm.MyAuditVal,_xlfn.XLOOKUP($A10,My_Audit!$A:$A,My_Audit!J:J,""),
_xlfn.IFS(_xlpm.MyAuditVal&lt;&gt;"",UPPER(_xlpm.MyAuditVal),_xlpm.MacVal&lt;&gt;"",_xlpm.MacVal,_xlpm.CSVVal&lt;&gt;"",_xlpm.CSVVal
)),"")</f>
        <v/>
      </c>
      <c r="L10" s="55" t="str" cm="1">
        <f t="array" ref="L10">IFERROR(_xlfn.LET(
_xlpm.CSVVal,_xlfn.XLOOKUP($A10,CSV!$A:$A,CSV!P:P,""),
_xlpm.MacVal,_xlfn.XLOOKUP($A10,Output_Mac!$A:$A,Output_Mac!M:M,""),
_xlpm.MyAuditVal,_xlfn.XLOOKUP($A10,My_Audit!$A:$A,My_Audit!K:K,""),
_xlfn.IFS(_xlpm.MyAuditVal&lt;&gt;"",UPPER(_xlpm.MyAuditVal),_xlpm.MacVal&lt;&gt;"",_xlpm.MacVal,_xlpm.CSVVal&lt;&gt;"",_xlpm.CSVVal
)),"")</f>
        <v/>
      </c>
      <c r="M10" s="54" t="str">
        <f>_xlfn.LET(
    _xlpm.CSVVal, _xlfn.XLOOKUP($A10, CSV!$A:$A, CSV!AD:AD, ""),
    _xlpm.MacVal, _xlfn.XLOOKUP($A10, Output_Mac!$A:$A, Output_Mac!S:S, ""),
    _xlpm.MyAuditVal, _xlfn.XLOOKUP($A10, My_Audit!$A:$A, My_Audit!N:N, ""),
    _xlfn.TEXTJOIN(", ", TRUE, _xlpm.MyAuditVal, _xlpm.MacVal, _xlpm.CSVVal)
)</f>
        <v/>
      </c>
      <c r="N10" s="54" t="str" cm="1">
        <f t="array" ref="N10">IFERROR(_xlfn.LET(
_xlpm.CSVVal,_xlfn.XLOOKUP($A10,CSV!$A:$A,CSV!AF:AF,""),
_xlpm.MacVal,_xlfn.XLOOKUP($A10,Output_Mac!$A:$A,Output_Mac!U:U,""),
_xlpm.MyAuditVal,_xlfn.XLOOKUP($A10,My_Audit!$A:$A,My_Audit!O:O,""),
_xlfn.IFS(_xlpm.MyAuditVal&lt;&gt;"",UPPER(_xlpm.MyAuditVal),_xlpm.MacVal&lt;&gt;"",_xlpm.MacVal,_xlpm.CSVVal&lt;&gt;"",_xlpm.CSVVal
)),"")</f>
        <v/>
      </c>
      <c r="O10" s="54"/>
      <c r="P10" s="54"/>
      <c r="Q10" s="54"/>
      <c r="R10" s="54"/>
      <c r="S10" s="54"/>
      <c r="T10" s="54"/>
      <c r="U10" s="39" t="str">
        <f>_xlfn.LET(
    _xlpm.MacVal, _xlfn.XLOOKUP($A10, Output_Mac!$A:$A, Output_Mac!AB:AB, ""),
    _xlpm.MyAuditVal, _xlfn.XLOOKUP($A10, My_Audit!$A:$A, My_Audit!L:L, ""),
    _xlfn.TEXTJOIN(", ", TRUE, _xlpm.MyAuditVal, _xlpm.MacVal)
)</f>
        <v/>
      </c>
    </row>
    <row r="11" spans="1:21">
      <c r="A11" s="54" t="str">
        <f>_xlfn.TEXTJOIN("",TRUE,Input!$B$2,ROW(My_Audit!A10))</f>
        <v>XX10</v>
      </c>
      <c r="B11" s="54" t="str">
        <f>_xlfn.TEXTJOIN("-",TRUE,"ITD",Input!$A$2,A11)</f>
        <v>ITD-SHRXXX-XX10</v>
      </c>
      <c r="C11" s="54" t="str" cm="1">
        <f t="array" ref="C11">IFERROR(_xlfn.LET(
_xlpm.CSVVal,_xlfn.XLOOKUP($A11,CSV!$A:$A,CSV!B:B,""),
_xlpm.MacVal,_xlfn.XLOOKUP($A11,Output_Mac!$A:$A,Output_Mac!B:B,""),
_xlpm.MyAuditVal,_xlfn.XLOOKUP($A11,My_Audit!$A:$A,My_Audit!B:B,""),
_xlfn.IFS(_xlpm.MyAuditVal&lt;&gt;"",UPPER(_xlpm.MyAuditVal),_xlpm.MacVal&lt;&gt;"",_xlpm.MacVal,_xlpm.CSVVal&lt;&gt;"",_xlpm.CSVVal
)),"")</f>
        <v/>
      </c>
      <c r="D11" s="55" t="str">
        <f>_xlfn.XLOOKUP(A11,My_Audit!A:A,My_Audit!D:D,"")&amp;""</f>
        <v/>
      </c>
      <c r="E11" s="55" t="str" cm="1">
        <f t="array" ref="E11">IFERROR(_xlfn.LET(
_xlpm.CSVVal,_xlfn.XLOOKUP($A11,CSV!$A:$A,CSV!D:D,""),
_xlpm.MacVal,_xlfn.XLOOKUP($A11,Output_Mac!$A:$A,Output_Mac!C:C,""),
_xlpm.MyAuditVal,_xlfn.XLOOKUP($A11,My_Audit!$A:$A,My_Audit!D:D,""),
_xlfn.IFS(_xlpm.MyAuditVal&lt;&gt;"",_xlpm.MyAuditVal,_xlpm.MacVal&lt;&gt;"",_xlpm.MacVal,_xlpm.CSVVal&lt;&gt;"",_xlpm.CSVVal
)),"")</f>
        <v/>
      </c>
      <c r="F11" s="54" t="str" cm="1">
        <f t="array" ref="F11">IFERROR(_xlfn.LET(
_xlpm.CSVVal,_xlfn.XLOOKUP($A11,CSV!$A:$A,CSV!E:E,""),
_xlpm.MacVal,_xlfn.XLOOKUP($A11,Output_Mac!$A:$A,Output_Mac!F:F,""),
_xlpm.MyAuditVal,_xlfn.XLOOKUP($A11,My_Audit!$A:$A,My_Audit!E:E,""),
_xlfn.IFS(_xlpm.MyAuditVal&lt;&gt;"",_xlpm.MyAuditVal,_xlpm.MacVal&lt;&gt;"",_xlpm.MacVal,_xlpm.CSVVal&lt;&gt;"",PROPER(_xlpm.CSVVal)
)),"")</f>
        <v/>
      </c>
      <c r="G11" s="54" t="str" cm="1">
        <f t="array" ref="G11">IFERROR(_xlfn.LET(
_xlpm.CSVVal,_xlfn.XLOOKUP($A11,CSV!$A:$A,CSV!F:F,""),
_xlpm.MacVal,_xlfn.XLOOKUP($A11,Output_Mac!$A:$A,Output_Mac!H:H,""),
_xlpm.MyAuditVal,_xlfn.XLOOKUP($A11,My_Audit!$A:$A,My_Audit!F:F,""),
_xlfn.IFS(_xlpm.MyAuditVal&lt;&gt;"",_xlpm.MyAuditVal,_xlpm.MacVal&lt;&gt;"",_xlpm.MacVal,_xlpm.CSVVal&lt;&gt;"",_xlpm.CSVVal
)),"")</f>
        <v/>
      </c>
      <c r="H11" s="54" t="str">
        <f>_xlfn.XLOOKUP(A11,Output_Mac!A:A,Output_Mac!I:I,"")</f>
        <v/>
      </c>
      <c r="I11" s="54" t="str" cm="1">
        <f t="array" ref="I11">IFERROR(_xlfn.LET(
_xlpm.CSVVal,_xlfn.XLOOKUP($A11,CSV!$A:$A,CSV!G:G,""),
_xlpm.MacVal,_xlfn.XLOOKUP($A11,Output_Mac!$A:$A,Output_Mac!J:J,""),
_xlpm.MyAuditVal,_xlfn.XLOOKUP($A11,My_Audit!$A:$A,My_Audit!H:H,""),
_xlfn.IFS(_xlpm.MyAuditVal&lt;&gt;"",UPPER(_xlpm.MyAuditVal),_xlpm.MacVal&lt;&gt;"",_xlpm.MacVal,_xlpm.CSVVal&lt;&gt;"",_xlpm.CSVVal
)),"")</f>
        <v/>
      </c>
      <c r="J11" s="54" t="str" cm="1">
        <f t="array" ref="J11">IFERROR(_xlfn.LET(
_xlpm.CSVVal,_xlfn.XLOOKUP($A11,CSV!$A:$A,CSV!I:I,""),
_xlpm.MacVal,_xlfn.XLOOKUP($A11,Output_Mac!$A:$A,Output_Mac!K:K,""),
_xlpm.MyAuditVal,_xlfn.XLOOKUP($A11,My_Audit!$A:$A,My_Audit!I:I,""),
_xlfn.IFS(_xlpm.MyAuditVal&lt;&gt;"",UPPER(_xlpm.MyAuditVal),_xlpm.MacVal&lt;&gt;"",_xlpm.MacVal,_xlpm.CSVVal&lt;&gt;"",_xlpm.CSVVal
)),"")</f>
        <v/>
      </c>
      <c r="K11" s="54" t="str" cm="1">
        <f t="array" ref="K11">IFERROR(_xlfn.LET(
_xlpm.CSVVal,_xlfn.XLOOKUP($A11,CSV!$A:$A,CSV!M:M,""),
_xlpm.MacVal,_xlfn.XLOOKUP($A11,Output_Mac!$A:$A,Output_Mac!L:L,""),
_xlpm.MyAuditVal,_xlfn.XLOOKUP($A11,My_Audit!$A:$A,My_Audit!J:J,""),
_xlfn.IFS(_xlpm.MyAuditVal&lt;&gt;"",UPPER(_xlpm.MyAuditVal),_xlpm.MacVal&lt;&gt;"",_xlpm.MacVal,_xlpm.CSVVal&lt;&gt;"",_xlpm.CSVVal
)),"")</f>
        <v/>
      </c>
      <c r="L11" s="55" t="str" cm="1">
        <f t="array" ref="L11">IFERROR(_xlfn.LET(
_xlpm.CSVVal,_xlfn.XLOOKUP($A11,CSV!$A:$A,CSV!P:P,""),
_xlpm.MacVal,_xlfn.XLOOKUP($A11,Output_Mac!$A:$A,Output_Mac!M:M,""),
_xlpm.MyAuditVal,_xlfn.XLOOKUP($A11,My_Audit!$A:$A,My_Audit!K:K,""),
_xlfn.IFS(_xlpm.MyAuditVal&lt;&gt;"",UPPER(_xlpm.MyAuditVal),_xlpm.MacVal&lt;&gt;"",_xlpm.MacVal,_xlpm.CSVVal&lt;&gt;"",_xlpm.CSVVal
)),"")</f>
        <v/>
      </c>
      <c r="M11" s="54" t="str">
        <f>_xlfn.LET(
    _xlpm.CSVVal, _xlfn.XLOOKUP($A11, CSV!$A:$A, CSV!AD:AD, ""),
    _xlpm.MacVal, _xlfn.XLOOKUP($A11, Output_Mac!$A:$A, Output_Mac!S:S, ""),
    _xlpm.MyAuditVal, _xlfn.XLOOKUP($A11, My_Audit!$A:$A, My_Audit!N:N, ""),
    _xlfn.TEXTJOIN(", ", TRUE, _xlpm.MyAuditVal, _xlpm.MacVal, _xlpm.CSVVal)
)</f>
        <v/>
      </c>
      <c r="N11" s="54" t="str" cm="1">
        <f t="array" ref="N11">IFERROR(_xlfn.LET(
_xlpm.CSVVal,_xlfn.XLOOKUP($A11,CSV!$A:$A,CSV!AF:AF,""),
_xlpm.MacVal,_xlfn.XLOOKUP($A11,Output_Mac!$A:$A,Output_Mac!U:U,""),
_xlpm.MyAuditVal,_xlfn.XLOOKUP($A11,My_Audit!$A:$A,My_Audit!O:O,""),
_xlfn.IFS(_xlpm.MyAuditVal&lt;&gt;"",UPPER(_xlpm.MyAuditVal),_xlpm.MacVal&lt;&gt;"",_xlpm.MacVal,_xlpm.CSVVal&lt;&gt;"",_xlpm.CSVVal
)),"")</f>
        <v/>
      </c>
      <c r="O11" s="54"/>
      <c r="P11" s="54"/>
      <c r="Q11" s="54"/>
      <c r="R11" s="54"/>
      <c r="S11" s="54"/>
      <c r="T11" s="54"/>
      <c r="U11" s="39" t="str">
        <f>_xlfn.LET(
    _xlpm.MacVal, _xlfn.XLOOKUP($A11, Output_Mac!$A:$A, Output_Mac!AB:AB, ""),
    _xlpm.MyAuditVal, _xlfn.XLOOKUP($A11, My_Audit!$A:$A, My_Audit!L:L, ""),
    _xlfn.TEXTJOIN(", ", TRUE, _xlpm.MyAuditVal, _xlpm.MacVal)
)</f>
        <v/>
      </c>
    </row>
    <row r="12" spans="1:21">
      <c r="A12" s="54" t="str">
        <f>_xlfn.TEXTJOIN("",TRUE,Input!$B$2,ROW(My_Audit!A11))</f>
        <v>XX11</v>
      </c>
      <c r="B12" s="54" t="str">
        <f>_xlfn.TEXTJOIN("-",TRUE,"ITD",Input!$A$2,A12)</f>
        <v>ITD-SHRXXX-XX11</v>
      </c>
      <c r="C12" s="54" t="str" cm="1">
        <f t="array" ref="C12">IFERROR(_xlfn.LET(
_xlpm.CSVVal,_xlfn.XLOOKUP($A12,CSV!$A:$A,CSV!B:B,""),
_xlpm.MacVal,_xlfn.XLOOKUP($A12,Output_Mac!$A:$A,Output_Mac!B:B,""),
_xlpm.MyAuditVal,_xlfn.XLOOKUP($A12,My_Audit!$A:$A,My_Audit!B:B,""),
_xlfn.IFS(_xlpm.MyAuditVal&lt;&gt;"",UPPER(_xlpm.MyAuditVal),_xlpm.MacVal&lt;&gt;"",_xlpm.MacVal,_xlpm.CSVVal&lt;&gt;"",_xlpm.CSVVal
)),"")</f>
        <v/>
      </c>
      <c r="D12" s="55" t="str">
        <f>_xlfn.XLOOKUP(A12,My_Audit!A:A,My_Audit!D:D,"")&amp;""</f>
        <v/>
      </c>
      <c r="E12" s="55" t="str" cm="1">
        <f t="array" ref="E12">IFERROR(_xlfn.LET(
_xlpm.CSVVal,_xlfn.XLOOKUP($A12,CSV!$A:$A,CSV!D:D,""),
_xlpm.MacVal,_xlfn.XLOOKUP($A12,Output_Mac!$A:$A,Output_Mac!C:C,""),
_xlpm.MyAuditVal,_xlfn.XLOOKUP($A12,My_Audit!$A:$A,My_Audit!D:D,""),
_xlfn.IFS(_xlpm.MyAuditVal&lt;&gt;"",_xlpm.MyAuditVal,_xlpm.MacVal&lt;&gt;"",_xlpm.MacVal,_xlpm.CSVVal&lt;&gt;"",_xlpm.CSVVal
)),"")</f>
        <v/>
      </c>
      <c r="F12" s="54" t="str" cm="1">
        <f t="array" ref="F12">IFERROR(_xlfn.LET(
_xlpm.CSVVal,_xlfn.XLOOKUP($A12,CSV!$A:$A,CSV!E:E,""),
_xlpm.MacVal,_xlfn.XLOOKUP($A12,Output_Mac!$A:$A,Output_Mac!F:F,""),
_xlpm.MyAuditVal,_xlfn.XLOOKUP($A12,My_Audit!$A:$A,My_Audit!E:E,""),
_xlfn.IFS(_xlpm.MyAuditVal&lt;&gt;"",_xlpm.MyAuditVal,_xlpm.MacVal&lt;&gt;"",_xlpm.MacVal,_xlpm.CSVVal&lt;&gt;"",PROPER(_xlpm.CSVVal)
)),"")</f>
        <v/>
      </c>
      <c r="G12" s="54" t="str" cm="1">
        <f t="array" ref="G12">IFERROR(_xlfn.LET(
_xlpm.CSVVal,_xlfn.XLOOKUP($A12,CSV!$A:$A,CSV!F:F,""),
_xlpm.MacVal,_xlfn.XLOOKUP($A12,Output_Mac!$A:$A,Output_Mac!H:H,""),
_xlpm.MyAuditVal,_xlfn.XLOOKUP($A12,My_Audit!$A:$A,My_Audit!F:F,""),
_xlfn.IFS(_xlpm.MyAuditVal&lt;&gt;"",_xlpm.MyAuditVal,_xlpm.MacVal&lt;&gt;"",_xlpm.MacVal,_xlpm.CSVVal&lt;&gt;"",_xlpm.CSVVal
)),"")</f>
        <v/>
      </c>
      <c r="H12" s="54" t="str">
        <f>_xlfn.XLOOKUP(A12,Output_Mac!A:A,Output_Mac!I:I,"")</f>
        <v/>
      </c>
      <c r="I12" s="54" t="str" cm="1">
        <f t="array" ref="I12">IFERROR(_xlfn.LET(
_xlpm.CSVVal,_xlfn.XLOOKUP($A12,CSV!$A:$A,CSV!G:G,""),
_xlpm.MacVal,_xlfn.XLOOKUP($A12,Output_Mac!$A:$A,Output_Mac!J:J,""),
_xlpm.MyAuditVal,_xlfn.XLOOKUP($A12,My_Audit!$A:$A,My_Audit!H:H,""),
_xlfn.IFS(_xlpm.MyAuditVal&lt;&gt;"",UPPER(_xlpm.MyAuditVal),_xlpm.MacVal&lt;&gt;"",_xlpm.MacVal,_xlpm.CSVVal&lt;&gt;"",_xlpm.CSVVal
)),"")</f>
        <v/>
      </c>
      <c r="J12" s="54" t="str" cm="1">
        <f t="array" ref="J12">IFERROR(_xlfn.LET(
_xlpm.CSVVal,_xlfn.XLOOKUP($A12,CSV!$A:$A,CSV!I:I,""),
_xlpm.MacVal,_xlfn.XLOOKUP($A12,Output_Mac!$A:$A,Output_Mac!K:K,""),
_xlpm.MyAuditVal,_xlfn.XLOOKUP($A12,My_Audit!$A:$A,My_Audit!I:I,""),
_xlfn.IFS(_xlpm.MyAuditVal&lt;&gt;"",UPPER(_xlpm.MyAuditVal),_xlpm.MacVal&lt;&gt;"",_xlpm.MacVal,_xlpm.CSVVal&lt;&gt;"",_xlpm.CSVVal
)),"")</f>
        <v/>
      </c>
      <c r="K12" s="54" t="str" cm="1">
        <f t="array" ref="K12">IFERROR(_xlfn.LET(
_xlpm.CSVVal,_xlfn.XLOOKUP($A12,CSV!$A:$A,CSV!M:M,""),
_xlpm.MacVal,_xlfn.XLOOKUP($A12,Output_Mac!$A:$A,Output_Mac!L:L,""),
_xlpm.MyAuditVal,_xlfn.XLOOKUP($A12,My_Audit!$A:$A,My_Audit!J:J,""),
_xlfn.IFS(_xlpm.MyAuditVal&lt;&gt;"",UPPER(_xlpm.MyAuditVal),_xlpm.MacVal&lt;&gt;"",_xlpm.MacVal,_xlpm.CSVVal&lt;&gt;"",_xlpm.CSVVal
)),"")</f>
        <v/>
      </c>
      <c r="L12" s="55" t="str" cm="1">
        <f t="array" ref="L12">IFERROR(_xlfn.LET(
_xlpm.CSVVal,_xlfn.XLOOKUP($A12,CSV!$A:$A,CSV!P:P,""),
_xlpm.MacVal,_xlfn.XLOOKUP($A12,Output_Mac!$A:$A,Output_Mac!M:M,""),
_xlpm.MyAuditVal,_xlfn.XLOOKUP($A12,My_Audit!$A:$A,My_Audit!K:K,""),
_xlfn.IFS(_xlpm.MyAuditVal&lt;&gt;"",UPPER(_xlpm.MyAuditVal),_xlpm.MacVal&lt;&gt;"",_xlpm.MacVal,_xlpm.CSVVal&lt;&gt;"",_xlpm.CSVVal
)),"")</f>
        <v/>
      </c>
      <c r="M12" s="54" t="str">
        <f>_xlfn.LET(
    _xlpm.CSVVal, _xlfn.XLOOKUP($A12, CSV!$A:$A, CSV!AD:AD, ""),
    _xlpm.MacVal, _xlfn.XLOOKUP($A12, Output_Mac!$A:$A, Output_Mac!S:S, ""),
    _xlpm.MyAuditVal, _xlfn.XLOOKUP($A12, My_Audit!$A:$A, My_Audit!N:N, ""),
    _xlfn.TEXTJOIN(", ", TRUE, _xlpm.MyAuditVal, _xlpm.MacVal, _xlpm.CSVVal)
)</f>
        <v/>
      </c>
      <c r="N12" s="54" t="str" cm="1">
        <f t="array" ref="N12">IFERROR(_xlfn.LET(
_xlpm.CSVVal,_xlfn.XLOOKUP($A12,CSV!$A:$A,CSV!AF:AF,""),
_xlpm.MacVal,_xlfn.XLOOKUP($A12,Output_Mac!$A:$A,Output_Mac!U:U,""),
_xlpm.MyAuditVal,_xlfn.XLOOKUP($A12,My_Audit!$A:$A,My_Audit!O:O,""),
_xlfn.IFS(_xlpm.MyAuditVal&lt;&gt;"",UPPER(_xlpm.MyAuditVal),_xlpm.MacVal&lt;&gt;"",_xlpm.MacVal,_xlpm.CSVVal&lt;&gt;"",_xlpm.CSVVal
)),"")</f>
        <v/>
      </c>
      <c r="O12" s="54"/>
      <c r="P12" s="54"/>
      <c r="Q12" s="54"/>
      <c r="R12" s="54"/>
      <c r="S12" s="54"/>
      <c r="T12" s="54"/>
      <c r="U12" s="39" t="str">
        <f>_xlfn.LET(
    _xlpm.MacVal, _xlfn.XLOOKUP($A12, Output_Mac!$A:$A, Output_Mac!AB:AB, ""),
    _xlpm.MyAuditVal, _xlfn.XLOOKUP($A12, My_Audit!$A:$A, My_Audit!L:L, ""),
    _xlfn.TEXTJOIN(", ", TRUE, _xlpm.MyAuditVal, _xlpm.MacVal)
)</f>
        <v/>
      </c>
    </row>
    <row r="13" spans="1:21">
      <c r="A13" s="54" t="str">
        <f>_xlfn.TEXTJOIN("",TRUE,Input!$B$2,ROW(My_Audit!A12))</f>
        <v>XX12</v>
      </c>
      <c r="B13" s="54" t="str">
        <f>_xlfn.TEXTJOIN("-",TRUE,"ITD",Input!$A$2,A13)</f>
        <v>ITD-SHRXXX-XX12</v>
      </c>
      <c r="C13" s="54" t="str" cm="1">
        <f t="array" ref="C13">IFERROR(_xlfn.LET(
_xlpm.CSVVal,_xlfn.XLOOKUP($A13,CSV!$A:$A,CSV!B:B,""),
_xlpm.MacVal,_xlfn.XLOOKUP($A13,Output_Mac!$A:$A,Output_Mac!B:B,""),
_xlpm.MyAuditVal,_xlfn.XLOOKUP($A13,My_Audit!$A:$A,My_Audit!B:B,""),
_xlfn.IFS(_xlpm.MyAuditVal&lt;&gt;"",UPPER(_xlpm.MyAuditVal),_xlpm.MacVal&lt;&gt;"",_xlpm.MacVal,_xlpm.CSVVal&lt;&gt;"",_xlpm.CSVVal
)),"")</f>
        <v/>
      </c>
      <c r="D13" s="55" t="str">
        <f>_xlfn.XLOOKUP(A13,My_Audit!A:A,My_Audit!D:D,"")&amp;""</f>
        <v/>
      </c>
      <c r="E13" s="55" t="str" cm="1">
        <f t="array" ref="E13">IFERROR(_xlfn.LET(
_xlpm.CSVVal,_xlfn.XLOOKUP($A13,CSV!$A:$A,CSV!D:D,""),
_xlpm.MacVal,_xlfn.XLOOKUP($A13,Output_Mac!$A:$A,Output_Mac!C:C,""),
_xlpm.MyAuditVal,_xlfn.XLOOKUP($A13,My_Audit!$A:$A,My_Audit!D:D,""),
_xlfn.IFS(_xlpm.MyAuditVal&lt;&gt;"",_xlpm.MyAuditVal,_xlpm.MacVal&lt;&gt;"",_xlpm.MacVal,_xlpm.CSVVal&lt;&gt;"",_xlpm.CSVVal
)),"")</f>
        <v/>
      </c>
      <c r="F13" s="54" t="str" cm="1">
        <f t="array" ref="F13">IFERROR(_xlfn.LET(
_xlpm.CSVVal,_xlfn.XLOOKUP($A13,CSV!$A:$A,CSV!E:E,""),
_xlpm.MacVal,_xlfn.XLOOKUP($A13,Output_Mac!$A:$A,Output_Mac!F:F,""),
_xlpm.MyAuditVal,_xlfn.XLOOKUP($A13,My_Audit!$A:$A,My_Audit!E:E,""),
_xlfn.IFS(_xlpm.MyAuditVal&lt;&gt;"",_xlpm.MyAuditVal,_xlpm.MacVal&lt;&gt;"",_xlpm.MacVal,_xlpm.CSVVal&lt;&gt;"",PROPER(_xlpm.CSVVal)
)),"")</f>
        <v/>
      </c>
      <c r="G13" s="54" t="str" cm="1">
        <f t="array" ref="G13">IFERROR(_xlfn.LET(
_xlpm.CSVVal,_xlfn.XLOOKUP($A13,CSV!$A:$A,CSV!F:F,""),
_xlpm.MacVal,_xlfn.XLOOKUP($A13,Output_Mac!$A:$A,Output_Mac!H:H,""),
_xlpm.MyAuditVal,_xlfn.XLOOKUP($A13,My_Audit!$A:$A,My_Audit!F:F,""),
_xlfn.IFS(_xlpm.MyAuditVal&lt;&gt;"",_xlpm.MyAuditVal,_xlpm.MacVal&lt;&gt;"",_xlpm.MacVal,_xlpm.CSVVal&lt;&gt;"",_xlpm.CSVVal
)),"")</f>
        <v/>
      </c>
      <c r="H13" s="54" t="str">
        <f>_xlfn.XLOOKUP(A13,Output_Mac!A:A,Output_Mac!I:I,"")</f>
        <v/>
      </c>
      <c r="I13" s="54" t="str" cm="1">
        <f t="array" ref="I13">IFERROR(_xlfn.LET(
_xlpm.CSVVal,_xlfn.XLOOKUP($A13,CSV!$A:$A,CSV!G:G,""),
_xlpm.MacVal,_xlfn.XLOOKUP($A13,Output_Mac!$A:$A,Output_Mac!J:J,""),
_xlpm.MyAuditVal,_xlfn.XLOOKUP($A13,My_Audit!$A:$A,My_Audit!H:H,""),
_xlfn.IFS(_xlpm.MyAuditVal&lt;&gt;"",UPPER(_xlpm.MyAuditVal),_xlpm.MacVal&lt;&gt;"",_xlpm.MacVal,_xlpm.CSVVal&lt;&gt;"",_xlpm.CSVVal
)),"")</f>
        <v/>
      </c>
      <c r="J13" s="54" t="str" cm="1">
        <f t="array" ref="J13">IFERROR(_xlfn.LET(
_xlpm.CSVVal,_xlfn.XLOOKUP($A13,CSV!$A:$A,CSV!I:I,""),
_xlpm.MacVal,_xlfn.XLOOKUP($A13,Output_Mac!$A:$A,Output_Mac!K:K,""),
_xlpm.MyAuditVal,_xlfn.XLOOKUP($A13,My_Audit!$A:$A,My_Audit!I:I,""),
_xlfn.IFS(_xlpm.MyAuditVal&lt;&gt;"",UPPER(_xlpm.MyAuditVal),_xlpm.MacVal&lt;&gt;"",_xlpm.MacVal,_xlpm.CSVVal&lt;&gt;"",_xlpm.CSVVal
)),"")</f>
        <v/>
      </c>
      <c r="K13" s="54" t="str" cm="1">
        <f t="array" ref="K13">IFERROR(_xlfn.LET(
_xlpm.CSVVal,_xlfn.XLOOKUP($A13,CSV!$A:$A,CSV!M:M,""),
_xlpm.MacVal,_xlfn.XLOOKUP($A13,Output_Mac!$A:$A,Output_Mac!L:L,""),
_xlpm.MyAuditVal,_xlfn.XLOOKUP($A13,My_Audit!$A:$A,My_Audit!J:J,""),
_xlfn.IFS(_xlpm.MyAuditVal&lt;&gt;"",UPPER(_xlpm.MyAuditVal),_xlpm.MacVal&lt;&gt;"",_xlpm.MacVal,_xlpm.CSVVal&lt;&gt;"",_xlpm.CSVVal
)),"")</f>
        <v/>
      </c>
      <c r="L13" s="55" t="str" cm="1">
        <f t="array" ref="L13">IFERROR(_xlfn.LET(
_xlpm.CSVVal,_xlfn.XLOOKUP($A13,CSV!$A:$A,CSV!P:P,""),
_xlpm.MacVal,_xlfn.XLOOKUP($A13,Output_Mac!$A:$A,Output_Mac!M:M,""),
_xlpm.MyAuditVal,_xlfn.XLOOKUP($A13,My_Audit!$A:$A,My_Audit!K:K,""),
_xlfn.IFS(_xlpm.MyAuditVal&lt;&gt;"",UPPER(_xlpm.MyAuditVal),_xlpm.MacVal&lt;&gt;"",_xlpm.MacVal,_xlpm.CSVVal&lt;&gt;"",_xlpm.CSVVal
)),"")</f>
        <v/>
      </c>
      <c r="M13" s="54" t="str">
        <f>_xlfn.LET(
    _xlpm.CSVVal, _xlfn.XLOOKUP($A13, CSV!$A:$A, CSV!AD:AD, ""),
    _xlpm.MacVal, _xlfn.XLOOKUP($A13, Output_Mac!$A:$A, Output_Mac!S:S, ""),
    _xlpm.MyAuditVal, _xlfn.XLOOKUP($A13, My_Audit!$A:$A, My_Audit!N:N, ""),
    _xlfn.TEXTJOIN(", ", TRUE, _xlpm.MyAuditVal, _xlpm.MacVal, _xlpm.CSVVal)
)</f>
        <v/>
      </c>
      <c r="N13" s="54" t="str" cm="1">
        <f t="array" ref="N13">IFERROR(_xlfn.LET(
_xlpm.CSVVal,_xlfn.XLOOKUP($A13,CSV!$A:$A,CSV!AF:AF,""),
_xlpm.MacVal,_xlfn.XLOOKUP($A13,Output_Mac!$A:$A,Output_Mac!U:U,""),
_xlpm.MyAuditVal,_xlfn.XLOOKUP($A13,My_Audit!$A:$A,My_Audit!O:O,""),
_xlfn.IFS(_xlpm.MyAuditVal&lt;&gt;"",UPPER(_xlpm.MyAuditVal),_xlpm.MacVal&lt;&gt;"",_xlpm.MacVal,_xlpm.CSVVal&lt;&gt;"",_xlpm.CSVVal
)),"")</f>
        <v/>
      </c>
      <c r="O13" s="54"/>
      <c r="P13" s="54"/>
      <c r="Q13" s="54"/>
      <c r="R13" s="54"/>
      <c r="S13" s="54"/>
      <c r="T13" s="54"/>
      <c r="U13" s="39" t="str">
        <f>_xlfn.LET(
    _xlpm.MacVal, _xlfn.XLOOKUP($A13, Output_Mac!$A:$A, Output_Mac!AB:AB, ""),
    _xlpm.MyAuditVal, _xlfn.XLOOKUP($A13, My_Audit!$A:$A, My_Audit!L:L, ""),
    _xlfn.TEXTJOIN(", ", TRUE, _xlpm.MyAuditVal, _xlpm.MacVal)
)</f>
        <v/>
      </c>
    </row>
    <row r="14" spans="1:21">
      <c r="A14" s="54" t="str">
        <f>_xlfn.TEXTJOIN("",TRUE,Input!$B$2,ROW(My_Audit!A13))</f>
        <v>XX13</v>
      </c>
      <c r="B14" s="54" t="str">
        <f>_xlfn.TEXTJOIN("-",TRUE,"ITD",Input!$A$2,A14)</f>
        <v>ITD-SHRXXX-XX13</v>
      </c>
      <c r="C14" s="54" t="str" cm="1">
        <f t="array" ref="C14">IFERROR(_xlfn.LET(
_xlpm.CSVVal,_xlfn.XLOOKUP($A14,CSV!$A:$A,CSV!B:B,""),
_xlpm.MacVal,_xlfn.XLOOKUP($A14,Output_Mac!$A:$A,Output_Mac!B:B,""),
_xlpm.MyAuditVal,_xlfn.XLOOKUP($A14,My_Audit!$A:$A,My_Audit!B:B,""),
_xlfn.IFS(_xlpm.MyAuditVal&lt;&gt;"",UPPER(_xlpm.MyAuditVal),_xlpm.MacVal&lt;&gt;"",_xlpm.MacVal,_xlpm.CSVVal&lt;&gt;"",_xlpm.CSVVal
)),"")</f>
        <v/>
      </c>
      <c r="D14" s="55" t="str">
        <f>_xlfn.XLOOKUP(A14,My_Audit!A:A,My_Audit!D:D,"")&amp;""</f>
        <v/>
      </c>
      <c r="E14" s="55" t="str" cm="1">
        <f t="array" ref="E14">IFERROR(_xlfn.LET(
_xlpm.CSVVal,_xlfn.XLOOKUP($A14,CSV!$A:$A,CSV!D:D,""),
_xlpm.MacVal,_xlfn.XLOOKUP($A14,Output_Mac!$A:$A,Output_Mac!C:C,""),
_xlpm.MyAuditVal,_xlfn.XLOOKUP($A14,My_Audit!$A:$A,My_Audit!D:D,""),
_xlfn.IFS(_xlpm.MyAuditVal&lt;&gt;"",_xlpm.MyAuditVal,_xlpm.MacVal&lt;&gt;"",_xlpm.MacVal,_xlpm.CSVVal&lt;&gt;"",_xlpm.CSVVal
)),"")</f>
        <v/>
      </c>
      <c r="F14" s="54" t="str" cm="1">
        <f t="array" ref="F14">IFERROR(_xlfn.LET(
_xlpm.CSVVal,_xlfn.XLOOKUP($A14,CSV!$A:$A,CSV!E:E,""),
_xlpm.MacVal,_xlfn.XLOOKUP($A14,Output_Mac!$A:$A,Output_Mac!F:F,""),
_xlpm.MyAuditVal,_xlfn.XLOOKUP($A14,My_Audit!$A:$A,My_Audit!E:E,""),
_xlfn.IFS(_xlpm.MyAuditVal&lt;&gt;"",_xlpm.MyAuditVal,_xlpm.MacVal&lt;&gt;"",_xlpm.MacVal,_xlpm.CSVVal&lt;&gt;"",PROPER(_xlpm.CSVVal)
)),"")</f>
        <v/>
      </c>
      <c r="G14" s="54" t="str" cm="1">
        <f t="array" ref="G14">IFERROR(_xlfn.LET(
_xlpm.CSVVal,_xlfn.XLOOKUP($A14,CSV!$A:$A,CSV!F:F,""),
_xlpm.MacVal,_xlfn.XLOOKUP($A14,Output_Mac!$A:$A,Output_Mac!H:H,""),
_xlpm.MyAuditVal,_xlfn.XLOOKUP($A14,My_Audit!$A:$A,My_Audit!F:F,""),
_xlfn.IFS(_xlpm.MyAuditVal&lt;&gt;"",_xlpm.MyAuditVal,_xlpm.MacVal&lt;&gt;"",_xlpm.MacVal,_xlpm.CSVVal&lt;&gt;"",_xlpm.CSVVal
)),"")</f>
        <v/>
      </c>
      <c r="H14" s="54" t="str">
        <f>_xlfn.XLOOKUP(A14,Output_Mac!A:A,Output_Mac!I:I,"")</f>
        <v/>
      </c>
      <c r="I14" s="54" t="str" cm="1">
        <f t="array" ref="I14">IFERROR(_xlfn.LET(
_xlpm.CSVVal,_xlfn.XLOOKUP($A14,CSV!$A:$A,CSV!G:G,""),
_xlpm.MacVal,_xlfn.XLOOKUP($A14,Output_Mac!$A:$A,Output_Mac!J:J,""),
_xlpm.MyAuditVal,_xlfn.XLOOKUP($A14,My_Audit!$A:$A,My_Audit!H:H,""),
_xlfn.IFS(_xlpm.MyAuditVal&lt;&gt;"",UPPER(_xlpm.MyAuditVal),_xlpm.MacVal&lt;&gt;"",_xlpm.MacVal,_xlpm.CSVVal&lt;&gt;"",_xlpm.CSVVal
)),"")</f>
        <v/>
      </c>
      <c r="J14" s="54" t="str" cm="1">
        <f t="array" ref="J14">IFERROR(_xlfn.LET(
_xlpm.CSVVal,_xlfn.XLOOKUP($A14,CSV!$A:$A,CSV!I:I,""),
_xlpm.MacVal,_xlfn.XLOOKUP($A14,Output_Mac!$A:$A,Output_Mac!K:K,""),
_xlpm.MyAuditVal,_xlfn.XLOOKUP($A14,My_Audit!$A:$A,My_Audit!I:I,""),
_xlfn.IFS(_xlpm.MyAuditVal&lt;&gt;"",UPPER(_xlpm.MyAuditVal),_xlpm.MacVal&lt;&gt;"",_xlpm.MacVal,_xlpm.CSVVal&lt;&gt;"",_xlpm.CSVVal
)),"")</f>
        <v/>
      </c>
      <c r="K14" s="54" t="str" cm="1">
        <f t="array" ref="K14">IFERROR(_xlfn.LET(
_xlpm.CSVVal,_xlfn.XLOOKUP($A14,CSV!$A:$A,CSV!M:M,""),
_xlpm.MacVal,_xlfn.XLOOKUP($A14,Output_Mac!$A:$A,Output_Mac!L:L,""),
_xlpm.MyAuditVal,_xlfn.XLOOKUP($A14,My_Audit!$A:$A,My_Audit!J:J,""),
_xlfn.IFS(_xlpm.MyAuditVal&lt;&gt;"",UPPER(_xlpm.MyAuditVal),_xlpm.MacVal&lt;&gt;"",_xlpm.MacVal,_xlpm.CSVVal&lt;&gt;"",_xlpm.CSVVal
)),"")</f>
        <v/>
      </c>
      <c r="L14" s="55" t="str" cm="1">
        <f t="array" ref="L14">IFERROR(_xlfn.LET(
_xlpm.CSVVal,_xlfn.XLOOKUP($A14,CSV!$A:$A,CSV!P:P,""),
_xlpm.MacVal,_xlfn.XLOOKUP($A14,Output_Mac!$A:$A,Output_Mac!M:M,""),
_xlpm.MyAuditVal,_xlfn.XLOOKUP($A14,My_Audit!$A:$A,My_Audit!K:K,""),
_xlfn.IFS(_xlpm.MyAuditVal&lt;&gt;"",UPPER(_xlpm.MyAuditVal),_xlpm.MacVal&lt;&gt;"",_xlpm.MacVal,_xlpm.CSVVal&lt;&gt;"",_xlpm.CSVVal
)),"")</f>
        <v/>
      </c>
      <c r="M14" s="54" t="str">
        <f>_xlfn.LET(
    _xlpm.CSVVal, _xlfn.XLOOKUP($A14, CSV!$A:$A, CSV!AD:AD, ""),
    _xlpm.MacVal, _xlfn.XLOOKUP($A14, Output_Mac!$A:$A, Output_Mac!S:S, ""),
    _xlpm.MyAuditVal, _xlfn.XLOOKUP($A14, My_Audit!$A:$A, My_Audit!N:N, ""),
    _xlfn.TEXTJOIN(", ", TRUE, _xlpm.MyAuditVal, _xlpm.MacVal, _xlpm.CSVVal)
)</f>
        <v/>
      </c>
      <c r="N14" s="54" t="str" cm="1">
        <f t="array" ref="N14">IFERROR(_xlfn.LET(
_xlpm.CSVVal,_xlfn.XLOOKUP($A14,CSV!$A:$A,CSV!AF:AF,""),
_xlpm.MacVal,_xlfn.XLOOKUP($A14,Output_Mac!$A:$A,Output_Mac!U:U,""),
_xlpm.MyAuditVal,_xlfn.XLOOKUP($A14,My_Audit!$A:$A,My_Audit!O:O,""),
_xlfn.IFS(_xlpm.MyAuditVal&lt;&gt;"",UPPER(_xlpm.MyAuditVal),_xlpm.MacVal&lt;&gt;"",_xlpm.MacVal,_xlpm.CSVVal&lt;&gt;"",_xlpm.CSVVal
)),"")</f>
        <v/>
      </c>
      <c r="O14" s="54"/>
      <c r="P14" s="54"/>
      <c r="Q14" s="54"/>
      <c r="R14" s="54"/>
      <c r="S14" s="54"/>
      <c r="T14" s="54"/>
      <c r="U14" s="39" t="str">
        <f>_xlfn.LET(
    _xlpm.MacVal, _xlfn.XLOOKUP($A14, Output_Mac!$A:$A, Output_Mac!AB:AB, ""),
    _xlpm.MyAuditVal, _xlfn.XLOOKUP($A14, My_Audit!$A:$A, My_Audit!L:L, ""),
    _xlfn.TEXTJOIN(", ", TRUE, _xlpm.MyAuditVal, _xlpm.MacVal)
)</f>
        <v/>
      </c>
    </row>
    <row r="15" spans="1:21">
      <c r="A15" s="54" t="str">
        <f>_xlfn.TEXTJOIN("",TRUE,Input!$B$2,ROW(My_Audit!A14))</f>
        <v>XX14</v>
      </c>
      <c r="B15" s="54" t="str">
        <f>_xlfn.TEXTJOIN("-",TRUE,"ITD",Input!$A$2,A15)</f>
        <v>ITD-SHRXXX-XX14</v>
      </c>
      <c r="C15" s="54" t="str" cm="1">
        <f t="array" ref="C15">IFERROR(_xlfn.LET(
_xlpm.CSVVal,_xlfn.XLOOKUP($A15,CSV!$A:$A,CSV!B:B,""),
_xlpm.MacVal,_xlfn.XLOOKUP($A15,Output_Mac!$A:$A,Output_Mac!B:B,""),
_xlpm.MyAuditVal,_xlfn.XLOOKUP($A15,My_Audit!$A:$A,My_Audit!B:B,""),
_xlfn.IFS(_xlpm.MyAuditVal&lt;&gt;"",UPPER(_xlpm.MyAuditVal),_xlpm.MacVal&lt;&gt;"",_xlpm.MacVal,_xlpm.CSVVal&lt;&gt;"",_xlpm.CSVVal
)),"")</f>
        <v/>
      </c>
      <c r="D15" s="55" t="str">
        <f>_xlfn.XLOOKUP(A15,My_Audit!A:A,My_Audit!D:D,"")&amp;""</f>
        <v/>
      </c>
      <c r="E15" s="55" t="str" cm="1">
        <f t="array" ref="E15">IFERROR(_xlfn.LET(
_xlpm.CSVVal,_xlfn.XLOOKUP($A15,CSV!$A:$A,CSV!D:D,""),
_xlpm.MacVal,_xlfn.XLOOKUP($A15,Output_Mac!$A:$A,Output_Mac!C:C,""),
_xlpm.MyAuditVal,_xlfn.XLOOKUP($A15,My_Audit!$A:$A,My_Audit!D:D,""),
_xlfn.IFS(_xlpm.MyAuditVal&lt;&gt;"",_xlpm.MyAuditVal,_xlpm.MacVal&lt;&gt;"",_xlpm.MacVal,_xlpm.CSVVal&lt;&gt;"",_xlpm.CSVVal
)),"")</f>
        <v/>
      </c>
      <c r="F15" s="54" t="str" cm="1">
        <f t="array" ref="F15">IFERROR(_xlfn.LET(
_xlpm.CSVVal,_xlfn.XLOOKUP($A15,CSV!$A:$A,CSV!E:E,""),
_xlpm.MacVal,_xlfn.XLOOKUP($A15,Output_Mac!$A:$A,Output_Mac!F:F,""),
_xlpm.MyAuditVal,_xlfn.XLOOKUP($A15,My_Audit!$A:$A,My_Audit!E:E,""),
_xlfn.IFS(_xlpm.MyAuditVal&lt;&gt;"",_xlpm.MyAuditVal,_xlpm.MacVal&lt;&gt;"",_xlpm.MacVal,_xlpm.CSVVal&lt;&gt;"",PROPER(_xlpm.CSVVal)
)),"")</f>
        <v/>
      </c>
      <c r="G15" s="54" t="str" cm="1">
        <f t="array" ref="G15">IFERROR(_xlfn.LET(
_xlpm.CSVVal,_xlfn.XLOOKUP($A15,CSV!$A:$A,CSV!F:F,""),
_xlpm.MacVal,_xlfn.XLOOKUP($A15,Output_Mac!$A:$A,Output_Mac!H:H,""),
_xlpm.MyAuditVal,_xlfn.XLOOKUP($A15,My_Audit!$A:$A,My_Audit!F:F,""),
_xlfn.IFS(_xlpm.MyAuditVal&lt;&gt;"",_xlpm.MyAuditVal,_xlpm.MacVal&lt;&gt;"",_xlpm.MacVal,_xlpm.CSVVal&lt;&gt;"",_xlpm.CSVVal
)),"")</f>
        <v/>
      </c>
      <c r="H15" s="54" t="str">
        <f>_xlfn.XLOOKUP(A15,Output_Mac!A:A,Output_Mac!I:I,"")</f>
        <v/>
      </c>
      <c r="I15" s="54" t="str" cm="1">
        <f t="array" ref="I15">IFERROR(_xlfn.LET(
_xlpm.CSVVal,_xlfn.XLOOKUP($A15,CSV!$A:$A,CSV!G:G,""),
_xlpm.MacVal,_xlfn.XLOOKUP($A15,Output_Mac!$A:$A,Output_Mac!J:J,""),
_xlpm.MyAuditVal,_xlfn.XLOOKUP($A15,My_Audit!$A:$A,My_Audit!H:H,""),
_xlfn.IFS(_xlpm.MyAuditVal&lt;&gt;"",UPPER(_xlpm.MyAuditVal),_xlpm.MacVal&lt;&gt;"",_xlpm.MacVal,_xlpm.CSVVal&lt;&gt;"",_xlpm.CSVVal
)),"")</f>
        <v/>
      </c>
      <c r="J15" s="54" t="str" cm="1">
        <f t="array" ref="J15">IFERROR(_xlfn.LET(
_xlpm.CSVVal,_xlfn.XLOOKUP($A15,CSV!$A:$A,CSV!I:I,""),
_xlpm.MacVal,_xlfn.XLOOKUP($A15,Output_Mac!$A:$A,Output_Mac!K:K,""),
_xlpm.MyAuditVal,_xlfn.XLOOKUP($A15,My_Audit!$A:$A,My_Audit!I:I,""),
_xlfn.IFS(_xlpm.MyAuditVal&lt;&gt;"",UPPER(_xlpm.MyAuditVal),_xlpm.MacVal&lt;&gt;"",_xlpm.MacVal,_xlpm.CSVVal&lt;&gt;"",_xlpm.CSVVal
)),"")</f>
        <v/>
      </c>
      <c r="K15" s="54" t="str" cm="1">
        <f t="array" ref="K15">IFERROR(_xlfn.LET(
_xlpm.CSVVal,_xlfn.XLOOKUP($A15,CSV!$A:$A,CSV!M:M,""),
_xlpm.MacVal,_xlfn.XLOOKUP($A15,Output_Mac!$A:$A,Output_Mac!L:L,""),
_xlpm.MyAuditVal,_xlfn.XLOOKUP($A15,My_Audit!$A:$A,My_Audit!J:J,""),
_xlfn.IFS(_xlpm.MyAuditVal&lt;&gt;"",UPPER(_xlpm.MyAuditVal),_xlpm.MacVal&lt;&gt;"",_xlpm.MacVal,_xlpm.CSVVal&lt;&gt;"",_xlpm.CSVVal
)),"")</f>
        <v/>
      </c>
      <c r="L15" s="55" t="str" cm="1">
        <f t="array" ref="L15">IFERROR(_xlfn.LET(
_xlpm.CSVVal,_xlfn.XLOOKUP($A15,CSV!$A:$A,CSV!P:P,""),
_xlpm.MacVal,_xlfn.XLOOKUP($A15,Output_Mac!$A:$A,Output_Mac!M:M,""),
_xlpm.MyAuditVal,_xlfn.XLOOKUP($A15,My_Audit!$A:$A,My_Audit!K:K,""),
_xlfn.IFS(_xlpm.MyAuditVal&lt;&gt;"",UPPER(_xlpm.MyAuditVal),_xlpm.MacVal&lt;&gt;"",_xlpm.MacVal,_xlpm.CSVVal&lt;&gt;"",_xlpm.CSVVal
)),"")</f>
        <v/>
      </c>
      <c r="M15" s="54" t="str">
        <f>_xlfn.LET(
    _xlpm.CSVVal, _xlfn.XLOOKUP($A15, CSV!$A:$A, CSV!AD:AD, ""),
    _xlpm.MacVal, _xlfn.XLOOKUP($A15, Output_Mac!$A:$A, Output_Mac!S:S, ""),
    _xlpm.MyAuditVal, _xlfn.XLOOKUP($A15, My_Audit!$A:$A, My_Audit!N:N, ""),
    _xlfn.TEXTJOIN(", ", TRUE, _xlpm.MyAuditVal, _xlpm.MacVal, _xlpm.CSVVal)
)</f>
        <v/>
      </c>
      <c r="N15" s="54" t="str" cm="1">
        <f t="array" ref="N15">IFERROR(_xlfn.LET(
_xlpm.CSVVal,_xlfn.XLOOKUP($A15,CSV!$A:$A,CSV!AF:AF,""),
_xlpm.MacVal,_xlfn.XLOOKUP($A15,Output_Mac!$A:$A,Output_Mac!U:U,""),
_xlpm.MyAuditVal,_xlfn.XLOOKUP($A15,My_Audit!$A:$A,My_Audit!O:O,""),
_xlfn.IFS(_xlpm.MyAuditVal&lt;&gt;"",UPPER(_xlpm.MyAuditVal),_xlpm.MacVal&lt;&gt;"",_xlpm.MacVal,_xlpm.CSVVal&lt;&gt;"",_xlpm.CSVVal
)),"")</f>
        <v/>
      </c>
      <c r="O15" s="54"/>
      <c r="P15" s="54"/>
      <c r="Q15" s="54"/>
      <c r="R15" s="54"/>
      <c r="S15" s="54"/>
      <c r="T15" s="54"/>
      <c r="U15" s="39" t="str">
        <f>_xlfn.LET(
    _xlpm.MacVal, _xlfn.XLOOKUP($A15, Output_Mac!$A:$A, Output_Mac!AB:AB, ""),
    _xlpm.MyAuditVal, _xlfn.XLOOKUP($A15, My_Audit!$A:$A, My_Audit!L:L, ""),
    _xlfn.TEXTJOIN(", ", TRUE, _xlpm.MyAuditVal, _xlpm.MacVal)
)</f>
        <v/>
      </c>
    </row>
    <row r="16" spans="1:21">
      <c r="A16" s="54" t="str">
        <f>_xlfn.TEXTJOIN("",TRUE,Input!$B$2,ROW(My_Audit!A15))</f>
        <v>XX15</v>
      </c>
      <c r="B16" s="54" t="str">
        <f>_xlfn.TEXTJOIN("-",TRUE,"ITD",Input!$A$2,A16)</f>
        <v>ITD-SHRXXX-XX15</v>
      </c>
      <c r="C16" s="54" t="str" cm="1">
        <f t="array" ref="C16">IFERROR(_xlfn.LET(
_xlpm.CSVVal,_xlfn.XLOOKUP($A16,CSV!$A:$A,CSV!B:B,""),
_xlpm.MacVal,_xlfn.XLOOKUP($A16,Output_Mac!$A:$A,Output_Mac!B:B,""),
_xlpm.MyAuditVal,_xlfn.XLOOKUP($A16,My_Audit!$A:$A,My_Audit!B:B,""),
_xlfn.IFS(_xlpm.MyAuditVal&lt;&gt;"",UPPER(_xlpm.MyAuditVal),_xlpm.MacVal&lt;&gt;"",_xlpm.MacVal,_xlpm.CSVVal&lt;&gt;"",_xlpm.CSVVal
)),"")</f>
        <v/>
      </c>
      <c r="D16" s="55" t="str">
        <f>_xlfn.XLOOKUP(A16,My_Audit!A:A,My_Audit!D:D,"")&amp;""</f>
        <v/>
      </c>
      <c r="E16" s="55" t="str" cm="1">
        <f t="array" ref="E16">IFERROR(_xlfn.LET(
_xlpm.CSVVal,_xlfn.XLOOKUP($A16,CSV!$A:$A,CSV!D:D,""),
_xlpm.MacVal,_xlfn.XLOOKUP($A16,Output_Mac!$A:$A,Output_Mac!C:C,""),
_xlpm.MyAuditVal,_xlfn.XLOOKUP($A16,My_Audit!$A:$A,My_Audit!D:D,""),
_xlfn.IFS(_xlpm.MyAuditVal&lt;&gt;"",_xlpm.MyAuditVal,_xlpm.MacVal&lt;&gt;"",_xlpm.MacVal,_xlpm.CSVVal&lt;&gt;"",_xlpm.CSVVal
)),"")</f>
        <v/>
      </c>
      <c r="F16" s="54" t="str" cm="1">
        <f t="array" ref="F16">IFERROR(_xlfn.LET(
_xlpm.CSVVal,_xlfn.XLOOKUP($A16,CSV!$A:$A,CSV!E:E,""),
_xlpm.MacVal,_xlfn.XLOOKUP($A16,Output_Mac!$A:$A,Output_Mac!F:F,""),
_xlpm.MyAuditVal,_xlfn.XLOOKUP($A16,My_Audit!$A:$A,My_Audit!E:E,""),
_xlfn.IFS(_xlpm.MyAuditVal&lt;&gt;"",_xlpm.MyAuditVal,_xlpm.MacVal&lt;&gt;"",_xlpm.MacVal,_xlpm.CSVVal&lt;&gt;"",PROPER(_xlpm.CSVVal)
)),"")</f>
        <v/>
      </c>
      <c r="G16" s="54" t="str" cm="1">
        <f t="array" ref="G16">IFERROR(_xlfn.LET(
_xlpm.CSVVal,_xlfn.XLOOKUP($A16,CSV!$A:$A,CSV!F:F,""),
_xlpm.MacVal,_xlfn.XLOOKUP($A16,Output_Mac!$A:$A,Output_Mac!H:H,""),
_xlpm.MyAuditVal,_xlfn.XLOOKUP($A16,My_Audit!$A:$A,My_Audit!F:F,""),
_xlfn.IFS(_xlpm.MyAuditVal&lt;&gt;"",_xlpm.MyAuditVal,_xlpm.MacVal&lt;&gt;"",_xlpm.MacVal,_xlpm.CSVVal&lt;&gt;"",_xlpm.CSVVal
)),"")</f>
        <v/>
      </c>
      <c r="H16" s="54" t="str">
        <f>_xlfn.XLOOKUP(A16,Output_Mac!A:A,Output_Mac!I:I,"")</f>
        <v/>
      </c>
      <c r="I16" s="54" t="str" cm="1">
        <f t="array" ref="I16">IFERROR(_xlfn.LET(
_xlpm.CSVVal,_xlfn.XLOOKUP($A16,CSV!$A:$A,CSV!G:G,""),
_xlpm.MacVal,_xlfn.XLOOKUP($A16,Output_Mac!$A:$A,Output_Mac!J:J,""),
_xlpm.MyAuditVal,_xlfn.XLOOKUP($A16,My_Audit!$A:$A,My_Audit!H:H,""),
_xlfn.IFS(_xlpm.MyAuditVal&lt;&gt;"",UPPER(_xlpm.MyAuditVal),_xlpm.MacVal&lt;&gt;"",_xlpm.MacVal,_xlpm.CSVVal&lt;&gt;"",_xlpm.CSVVal
)),"")</f>
        <v/>
      </c>
      <c r="J16" s="54" t="str" cm="1">
        <f t="array" ref="J16">IFERROR(_xlfn.LET(
_xlpm.CSVVal,_xlfn.XLOOKUP($A16,CSV!$A:$A,CSV!I:I,""),
_xlpm.MacVal,_xlfn.XLOOKUP($A16,Output_Mac!$A:$A,Output_Mac!K:K,""),
_xlpm.MyAuditVal,_xlfn.XLOOKUP($A16,My_Audit!$A:$A,My_Audit!I:I,""),
_xlfn.IFS(_xlpm.MyAuditVal&lt;&gt;"",UPPER(_xlpm.MyAuditVal),_xlpm.MacVal&lt;&gt;"",_xlpm.MacVal,_xlpm.CSVVal&lt;&gt;"",_xlpm.CSVVal
)),"")</f>
        <v/>
      </c>
      <c r="K16" s="54" t="str" cm="1">
        <f t="array" ref="K16">IFERROR(_xlfn.LET(
_xlpm.CSVVal,_xlfn.XLOOKUP($A16,CSV!$A:$A,CSV!M:M,""),
_xlpm.MacVal,_xlfn.XLOOKUP($A16,Output_Mac!$A:$A,Output_Mac!L:L,""),
_xlpm.MyAuditVal,_xlfn.XLOOKUP($A16,My_Audit!$A:$A,My_Audit!J:J,""),
_xlfn.IFS(_xlpm.MyAuditVal&lt;&gt;"",UPPER(_xlpm.MyAuditVal),_xlpm.MacVal&lt;&gt;"",_xlpm.MacVal,_xlpm.CSVVal&lt;&gt;"",_xlpm.CSVVal
)),"")</f>
        <v/>
      </c>
      <c r="L16" s="55" t="str" cm="1">
        <f t="array" ref="L16">IFERROR(_xlfn.LET(
_xlpm.CSVVal,_xlfn.XLOOKUP($A16,CSV!$A:$A,CSV!P:P,""),
_xlpm.MacVal,_xlfn.XLOOKUP($A16,Output_Mac!$A:$A,Output_Mac!M:M,""),
_xlpm.MyAuditVal,_xlfn.XLOOKUP($A16,My_Audit!$A:$A,My_Audit!K:K,""),
_xlfn.IFS(_xlpm.MyAuditVal&lt;&gt;"",UPPER(_xlpm.MyAuditVal),_xlpm.MacVal&lt;&gt;"",_xlpm.MacVal,_xlpm.CSVVal&lt;&gt;"",_xlpm.CSVVal
)),"")</f>
        <v/>
      </c>
      <c r="M16" s="54" t="str">
        <f>_xlfn.LET(
    _xlpm.CSVVal, _xlfn.XLOOKUP($A16, CSV!$A:$A, CSV!AD:AD, ""),
    _xlpm.MacVal, _xlfn.XLOOKUP($A16, Output_Mac!$A:$A, Output_Mac!S:S, ""),
    _xlpm.MyAuditVal, _xlfn.XLOOKUP($A16, My_Audit!$A:$A, My_Audit!N:N, ""),
    _xlfn.TEXTJOIN(", ", TRUE, _xlpm.MyAuditVal, _xlpm.MacVal, _xlpm.CSVVal)
)</f>
        <v/>
      </c>
      <c r="N16" s="54" t="str" cm="1">
        <f t="array" ref="N16">IFERROR(_xlfn.LET(
_xlpm.CSVVal,_xlfn.XLOOKUP($A16,CSV!$A:$A,CSV!AF:AF,""),
_xlpm.MacVal,_xlfn.XLOOKUP($A16,Output_Mac!$A:$A,Output_Mac!U:U,""),
_xlpm.MyAuditVal,_xlfn.XLOOKUP($A16,My_Audit!$A:$A,My_Audit!O:O,""),
_xlfn.IFS(_xlpm.MyAuditVal&lt;&gt;"",UPPER(_xlpm.MyAuditVal),_xlpm.MacVal&lt;&gt;"",_xlpm.MacVal,_xlpm.CSVVal&lt;&gt;"",_xlpm.CSVVal
)),"")</f>
        <v/>
      </c>
      <c r="O16" s="54"/>
      <c r="P16" s="54"/>
      <c r="Q16" s="54"/>
      <c r="R16" s="54"/>
      <c r="S16" s="54"/>
      <c r="T16" s="54"/>
      <c r="U16" s="39" t="str">
        <f>_xlfn.LET(
    _xlpm.MacVal, _xlfn.XLOOKUP($A16, Output_Mac!$A:$A, Output_Mac!AB:AB, ""),
    _xlpm.MyAuditVal, _xlfn.XLOOKUP($A16, My_Audit!$A:$A, My_Audit!L:L, ""),
    _xlfn.TEXTJOIN(", ", TRUE, _xlpm.MyAuditVal, _xlpm.MacVal)
)</f>
        <v/>
      </c>
    </row>
    <row r="17" spans="1:21">
      <c r="A17" s="54" t="str">
        <f>_xlfn.TEXTJOIN("",TRUE,Input!$B$2,ROW(My_Audit!A16))</f>
        <v>XX16</v>
      </c>
      <c r="B17" s="54" t="str">
        <f>_xlfn.TEXTJOIN("-",TRUE,"ITD",Input!$A$2,A17)</f>
        <v>ITD-SHRXXX-XX16</v>
      </c>
      <c r="C17" s="54" t="str" cm="1">
        <f t="array" ref="C17">IFERROR(_xlfn.LET(
_xlpm.CSVVal,_xlfn.XLOOKUP($A17,CSV!$A:$A,CSV!B:B,""),
_xlpm.MacVal,_xlfn.XLOOKUP($A17,Output_Mac!$A:$A,Output_Mac!B:B,""),
_xlpm.MyAuditVal,_xlfn.XLOOKUP($A17,My_Audit!$A:$A,My_Audit!B:B,""),
_xlfn.IFS(_xlpm.MyAuditVal&lt;&gt;"",UPPER(_xlpm.MyAuditVal),_xlpm.MacVal&lt;&gt;"",_xlpm.MacVal,_xlpm.CSVVal&lt;&gt;"",_xlpm.CSVVal
)),"")</f>
        <v/>
      </c>
      <c r="D17" s="55" t="str">
        <f>_xlfn.XLOOKUP(A17,My_Audit!A:A,My_Audit!D:D,"")&amp;""</f>
        <v/>
      </c>
      <c r="E17" s="55" t="str" cm="1">
        <f t="array" ref="E17">IFERROR(_xlfn.LET(
_xlpm.CSVVal,_xlfn.XLOOKUP($A17,CSV!$A:$A,CSV!D:D,""),
_xlpm.MacVal,_xlfn.XLOOKUP($A17,Output_Mac!$A:$A,Output_Mac!C:C,""),
_xlpm.MyAuditVal,_xlfn.XLOOKUP($A17,My_Audit!$A:$A,My_Audit!D:D,""),
_xlfn.IFS(_xlpm.MyAuditVal&lt;&gt;"",_xlpm.MyAuditVal,_xlpm.MacVal&lt;&gt;"",_xlpm.MacVal,_xlpm.CSVVal&lt;&gt;"",_xlpm.CSVVal
)),"")</f>
        <v/>
      </c>
      <c r="F17" s="54" t="str" cm="1">
        <f t="array" ref="F17">IFERROR(_xlfn.LET(
_xlpm.CSVVal,_xlfn.XLOOKUP($A17,CSV!$A:$A,CSV!E:E,""),
_xlpm.MacVal,_xlfn.XLOOKUP($A17,Output_Mac!$A:$A,Output_Mac!F:F,""),
_xlpm.MyAuditVal,_xlfn.XLOOKUP($A17,My_Audit!$A:$A,My_Audit!E:E,""),
_xlfn.IFS(_xlpm.MyAuditVal&lt;&gt;"",_xlpm.MyAuditVal,_xlpm.MacVal&lt;&gt;"",_xlpm.MacVal,_xlpm.CSVVal&lt;&gt;"",PROPER(_xlpm.CSVVal)
)),"")</f>
        <v/>
      </c>
      <c r="G17" s="54" t="str" cm="1">
        <f t="array" ref="G17">IFERROR(_xlfn.LET(
_xlpm.CSVVal,_xlfn.XLOOKUP($A17,CSV!$A:$A,CSV!F:F,""),
_xlpm.MacVal,_xlfn.XLOOKUP($A17,Output_Mac!$A:$A,Output_Mac!H:H,""),
_xlpm.MyAuditVal,_xlfn.XLOOKUP($A17,My_Audit!$A:$A,My_Audit!F:F,""),
_xlfn.IFS(_xlpm.MyAuditVal&lt;&gt;"",_xlpm.MyAuditVal,_xlpm.MacVal&lt;&gt;"",_xlpm.MacVal,_xlpm.CSVVal&lt;&gt;"",_xlpm.CSVVal
)),"")</f>
        <v/>
      </c>
      <c r="H17" s="54" t="str">
        <f>_xlfn.XLOOKUP(A17,Output_Mac!A:A,Output_Mac!I:I,"")</f>
        <v/>
      </c>
      <c r="I17" s="54" t="str" cm="1">
        <f t="array" ref="I17">IFERROR(_xlfn.LET(
_xlpm.CSVVal,_xlfn.XLOOKUP($A17,CSV!$A:$A,CSV!G:G,""),
_xlpm.MacVal,_xlfn.XLOOKUP($A17,Output_Mac!$A:$A,Output_Mac!J:J,""),
_xlpm.MyAuditVal,_xlfn.XLOOKUP($A17,My_Audit!$A:$A,My_Audit!H:H,""),
_xlfn.IFS(_xlpm.MyAuditVal&lt;&gt;"",UPPER(_xlpm.MyAuditVal),_xlpm.MacVal&lt;&gt;"",_xlpm.MacVal,_xlpm.CSVVal&lt;&gt;"",_xlpm.CSVVal
)),"")</f>
        <v/>
      </c>
      <c r="J17" s="54" t="str" cm="1">
        <f t="array" ref="J17">IFERROR(_xlfn.LET(
_xlpm.CSVVal,_xlfn.XLOOKUP($A17,CSV!$A:$A,CSV!I:I,""),
_xlpm.MacVal,_xlfn.XLOOKUP($A17,Output_Mac!$A:$A,Output_Mac!K:K,""),
_xlpm.MyAuditVal,_xlfn.XLOOKUP($A17,My_Audit!$A:$A,My_Audit!I:I,""),
_xlfn.IFS(_xlpm.MyAuditVal&lt;&gt;"",UPPER(_xlpm.MyAuditVal),_xlpm.MacVal&lt;&gt;"",_xlpm.MacVal,_xlpm.CSVVal&lt;&gt;"",_xlpm.CSVVal
)),"")</f>
        <v/>
      </c>
      <c r="K17" s="54" t="str" cm="1">
        <f t="array" ref="K17">IFERROR(_xlfn.LET(
_xlpm.CSVVal,_xlfn.XLOOKUP($A17,CSV!$A:$A,CSV!M:M,""),
_xlpm.MacVal,_xlfn.XLOOKUP($A17,Output_Mac!$A:$A,Output_Mac!L:L,""),
_xlpm.MyAuditVal,_xlfn.XLOOKUP($A17,My_Audit!$A:$A,My_Audit!J:J,""),
_xlfn.IFS(_xlpm.MyAuditVal&lt;&gt;"",UPPER(_xlpm.MyAuditVal),_xlpm.MacVal&lt;&gt;"",_xlpm.MacVal,_xlpm.CSVVal&lt;&gt;"",_xlpm.CSVVal
)),"")</f>
        <v/>
      </c>
      <c r="L17" s="55" t="str" cm="1">
        <f t="array" ref="L17">IFERROR(_xlfn.LET(
_xlpm.CSVVal,_xlfn.XLOOKUP($A17,CSV!$A:$A,CSV!P:P,""),
_xlpm.MacVal,_xlfn.XLOOKUP($A17,Output_Mac!$A:$A,Output_Mac!M:M,""),
_xlpm.MyAuditVal,_xlfn.XLOOKUP($A17,My_Audit!$A:$A,My_Audit!K:K,""),
_xlfn.IFS(_xlpm.MyAuditVal&lt;&gt;"",UPPER(_xlpm.MyAuditVal),_xlpm.MacVal&lt;&gt;"",_xlpm.MacVal,_xlpm.CSVVal&lt;&gt;"",_xlpm.CSVVal
)),"")</f>
        <v/>
      </c>
      <c r="M17" s="54" t="str">
        <f>_xlfn.LET(
    _xlpm.CSVVal, _xlfn.XLOOKUP($A17, CSV!$A:$A, CSV!AD:AD, ""),
    _xlpm.MacVal, _xlfn.XLOOKUP($A17, Output_Mac!$A:$A, Output_Mac!S:S, ""),
    _xlpm.MyAuditVal, _xlfn.XLOOKUP($A17, My_Audit!$A:$A, My_Audit!N:N, ""),
    _xlfn.TEXTJOIN(", ", TRUE, _xlpm.MyAuditVal, _xlpm.MacVal, _xlpm.CSVVal)
)</f>
        <v/>
      </c>
      <c r="N17" s="54" t="str" cm="1">
        <f t="array" ref="N17">IFERROR(_xlfn.LET(
_xlpm.CSVVal,_xlfn.XLOOKUP($A17,CSV!$A:$A,CSV!AF:AF,""),
_xlpm.MacVal,_xlfn.XLOOKUP($A17,Output_Mac!$A:$A,Output_Mac!U:U,""),
_xlpm.MyAuditVal,_xlfn.XLOOKUP($A17,My_Audit!$A:$A,My_Audit!O:O,""),
_xlfn.IFS(_xlpm.MyAuditVal&lt;&gt;"",UPPER(_xlpm.MyAuditVal),_xlpm.MacVal&lt;&gt;"",_xlpm.MacVal,_xlpm.CSVVal&lt;&gt;"",_xlpm.CSVVal
)),"")</f>
        <v/>
      </c>
      <c r="O17" s="54"/>
      <c r="P17" s="54"/>
      <c r="Q17" s="54"/>
      <c r="R17" s="54"/>
      <c r="S17" s="54"/>
      <c r="T17" s="54"/>
      <c r="U17" s="39" t="str">
        <f>_xlfn.LET(
    _xlpm.MacVal, _xlfn.XLOOKUP($A17, Output_Mac!$A:$A, Output_Mac!AB:AB, ""),
    _xlpm.MyAuditVal, _xlfn.XLOOKUP($A17, My_Audit!$A:$A, My_Audit!L:L, ""),
    _xlfn.TEXTJOIN(", ", TRUE, _xlpm.MyAuditVal, _xlpm.MacVal)
)</f>
        <v/>
      </c>
    </row>
    <row r="18" spans="1:21">
      <c r="A18" s="54" t="str">
        <f>_xlfn.TEXTJOIN("",TRUE,Input!$B$2,ROW(My_Audit!A17))</f>
        <v>XX17</v>
      </c>
      <c r="B18" s="54" t="str">
        <f>_xlfn.TEXTJOIN("-",TRUE,"ITD",Input!$A$2,A18)</f>
        <v>ITD-SHRXXX-XX17</v>
      </c>
      <c r="C18" s="54" t="str" cm="1">
        <f t="array" ref="C18">IFERROR(_xlfn.LET(
_xlpm.CSVVal,_xlfn.XLOOKUP($A18,CSV!$A:$A,CSV!B:B,""),
_xlpm.MacVal,_xlfn.XLOOKUP($A18,Output_Mac!$A:$A,Output_Mac!B:B,""),
_xlpm.MyAuditVal,_xlfn.XLOOKUP($A18,My_Audit!$A:$A,My_Audit!B:B,""),
_xlfn.IFS(_xlpm.MyAuditVal&lt;&gt;"",UPPER(_xlpm.MyAuditVal),_xlpm.MacVal&lt;&gt;"",_xlpm.MacVal,_xlpm.CSVVal&lt;&gt;"",_xlpm.CSVVal
)),"")</f>
        <v/>
      </c>
      <c r="D18" s="55" t="str">
        <f>_xlfn.XLOOKUP(A18,My_Audit!A:A,My_Audit!D:D,"")&amp;""</f>
        <v/>
      </c>
      <c r="E18" s="55" t="str" cm="1">
        <f t="array" ref="E18">IFERROR(_xlfn.LET(
_xlpm.CSVVal,_xlfn.XLOOKUP($A18,CSV!$A:$A,CSV!D:D,""),
_xlpm.MacVal,_xlfn.XLOOKUP($A18,Output_Mac!$A:$A,Output_Mac!C:C,""),
_xlpm.MyAuditVal,_xlfn.XLOOKUP($A18,My_Audit!$A:$A,My_Audit!D:D,""),
_xlfn.IFS(_xlpm.MyAuditVal&lt;&gt;"",_xlpm.MyAuditVal,_xlpm.MacVal&lt;&gt;"",_xlpm.MacVal,_xlpm.CSVVal&lt;&gt;"",_xlpm.CSVVal
)),"")</f>
        <v/>
      </c>
      <c r="F18" s="54" t="str" cm="1">
        <f t="array" ref="F18">IFERROR(_xlfn.LET(
_xlpm.CSVVal,_xlfn.XLOOKUP($A18,CSV!$A:$A,CSV!E:E,""),
_xlpm.MacVal,_xlfn.XLOOKUP($A18,Output_Mac!$A:$A,Output_Mac!F:F,""),
_xlpm.MyAuditVal,_xlfn.XLOOKUP($A18,My_Audit!$A:$A,My_Audit!E:E,""),
_xlfn.IFS(_xlpm.MyAuditVal&lt;&gt;"",_xlpm.MyAuditVal,_xlpm.MacVal&lt;&gt;"",_xlpm.MacVal,_xlpm.CSVVal&lt;&gt;"",PROPER(_xlpm.CSVVal)
)),"")</f>
        <v/>
      </c>
      <c r="G18" s="54" t="str" cm="1">
        <f t="array" ref="G18">IFERROR(_xlfn.LET(
_xlpm.CSVVal,_xlfn.XLOOKUP($A18,CSV!$A:$A,CSV!F:F,""),
_xlpm.MacVal,_xlfn.XLOOKUP($A18,Output_Mac!$A:$A,Output_Mac!H:H,""),
_xlpm.MyAuditVal,_xlfn.XLOOKUP($A18,My_Audit!$A:$A,My_Audit!F:F,""),
_xlfn.IFS(_xlpm.MyAuditVal&lt;&gt;"",_xlpm.MyAuditVal,_xlpm.MacVal&lt;&gt;"",_xlpm.MacVal,_xlpm.CSVVal&lt;&gt;"",_xlpm.CSVVal
)),"")</f>
        <v/>
      </c>
      <c r="H18" s="54" t="str">
        <f>_xlfn.XLOOKUP(A18,Output_Mac!A:A,Output_Mac!I:I,"")</f>
        <v/>
      </c>
      <c r="I18" s="54" t="str" cm="1">
        <f t="array" ref="I18">IFERROR(_xlfn.LET(
_xlpm.CSVVal,_xlfn.XLOOKUP($A18,CSV!$A:$A,CSV!G:G,""),
_xlpm.MacVal,_xlfn.XLOOKUP($A18,Output_Mac!$A:$A,Output_Mac!J:J,""),
_xlpm.MyAuditVal,_xlfn.XLOOKUP($A18,My_Audit!$A:$A,My_Audit!H:H,""),
_xlfn.IFS(_xlpm.MyAuditVal&lt;&gt;"",UPPER(_xlpm.MyAuditVal),_xlpm.MacVal&lt;&gt;"",_xlpm.MacVal,_xlpm.CSVVal&lt;&gt;"",_xlpm.CSVVal
)),"")</f>
        <v/>
      </c>
      <c r="J18" s="54" t="str" cm="1">
        <f t="array" ref="J18">IFERROR(_xlfn.LET(
_xlpm.CSVVal,_xlfn.XLOOKUP($A18,CSV!$A:$A,CSV!I:I,""),
_xlpm.MacVal,_xlfn.XLOOKUP($A18,Output_Mac!$A:$A,Output_Mac!K:K,""),
_xlpm.MyAuditVal,_xlfn.XLOOKUP($A18,My_Audit!$A:$A,My_Audit!I:I,""),
_xlfn.IFS(_xlpm.MyAuditVal&lt;&gt;"",UPPER(_xlpm.MyAuditVal),_xlpm.MacVal&lt;&gt;"",_xlpm.MacVal,_xlpm.CSVVal&lt;&gt;"",_xlpm.CSVVal
)),"")</f>
        <v/>
      </c>
      <c r="K18" s="54" t="str" cm="1">
        <f t="array" ref="K18">IFERROR(_xlfn.LET(
_xlpm.CSVVal,_xlfn.XLOOKUP($A18,CSV!$A:$A,CSV!M:M,""),
_xlpm.MacVal,_xlfn.XLOOKUP($A18,Output_Mac!$A:$A,Output_Mac!L:L,""),
_xlpm.MyAuditVal,_xlfn.XLOOKUP($A18,My_Audit!$A:$A,My_Audit!J:J,""),
_xlfn.IFS(_xlpm.MyAuditVal&lt;&gt;"",UPPER(_xlpm.MyAuditVal),_xlpm.MacVal&lt;&gt;"",_xlpm.MacVal,_xlpm.CSVVal&lt;&gt;"",_xlpm.CSVVal
)),"")</f>
        <v/>
      </c>
      <c r="L18" s="55" t="str" cm="1">
        <f t="array" ref="L18">IFERROR(_xlfn.LET(
_xlpm.CSVVal,_xlfn.XLOOKUP($A18,CSV!$A:$A,CSV!P:P,""),
_xlpm.MacVal,_xlfn.XLOOKUP($A18,Output_Mac!$A:$A,Output_Mac!M:M,""),
_xlpm.MyAuditVal,_xlfn.XLOOKUP($A18,My_Audit!$A:$A,My_Audit!K:K,""),
_xlfn.IFS(_xlpm.MyAuditVal&lt;&gt;"",UPPER(_xlpm.MyAuditVal),_xlpm.MacVal&lt;&gt;"",_xlpm.MacVal,_xlpm.CSVVal&lt;&gt;"",_xlpm.CSVVal
)),"")</f>
        <v/>
      </c>
      <c r="M18" s="54" t="str">
        <f>_xlfn.LET(
    _xlpm.CSVVal, _xlfn.XLOOKUP($A18, CSV!$A:$A, CSV!AD:AD, ""),
    _xlpm.MacVal, _xlfn.XLOOKUP($A18, Output_Mac!$A:$A, Output_Mac!S:S, ""),
    _xlpm.MyAuditVal, _xlfn.XLOOKUP($A18, My_Audit!$A:$A, My_Audit!N:N, ""),
    _xlfn.TEXTJOIN(", ", TRUE, _xlpm.MyAuditVal, _xlpm.MacVal, _xlpm.CSVVal)
)</f>
        <v/>
      </c>
      <c r="N18" s="54" t="str" cm="1">
        <f t="array" ref="N18">IFERROR(_xlfn.LET(
_xlpm.CSVVal,_xlfn.XLOOKUP($A18,CSV!$A:$A,CSV!AF:AF,""),
_xlpm.MacVal,_xlfn.XLOOKUP($A18,Output_Mac!$A:$A,Output_Mac!U:U,""),
_xlpm.MyAuditVal,_xlfn.XLOOKUP($A18,My_Audit!$A:$A,My_Audit!O:O,""),
_xlfn.IFS(_xlpm.MyAuditVal&lt;&gt;"",UPPER(_xlpm.MyAuditVal),_xlpm.MacVal&lt;&gt;"",_xlpm.MacVal,_xlpm.CSVVal&lt;&gt;"",_xlpm.CSVVal
)),"")</f>
        <v/>
      </c>
      <c r="O18" s="54"/>
      <c r="P18" s="54"/>
      <c r="Q18" s="54"/>
      <c r="R18" s="54"/>
      <c r="S18" s="54"/>
      <c r="T18" s="54"/>
      <c r="U18" s="39" t="str">
        <f>_xlfn.LET(
    _xlpm.MacVal, _xlfn.XLOOKUP($A18, Output_Mac!$A:$A, Output_Mac!AB:AB, ""),
    _xlpm.MyAuditVal, _xlfn.XLOOKUP($A18, My_Audit!$A:$A, My_Audit!L:L, ""),
    _xlfn.TEXTJOIN(", ", TRUE, _xlpm.MyAuditVal, _xlpm.MacVal)
)</f>
        <v/>
      </c>
    </row>
    <row r="19" spans="1:21">
      <c r="A19" s="54" t="str">
        <f>_xlfn.TEXTJOIN("",TRUE,Input!$B$2,ROW(My_Audit!A18))</f>
        <v>XX18</v>
      </c>
      <c r="B19" s="54" t="str">
        <f>_xlfn.TEXTJOIN("-",TRUE,"ITD",Input!$A$2,A19)</f>
        <v>ITD-SHRXXX-XX18</v>
      </c>
      <c r="C19" s="54" t="str" cm="1">
        <f t="array" ref="C19">IFERROR(_xlfn.LET(
_xlpm.CSVVal,_xlfn.XLOOKUP($A19,CSV!$A:$A,CSV!B:B,""),
_xlpm.MacVal,_xlfn.XLOOKUP($A19,Output_Mac!$A:$A,Output_Mac!B:B,""),
_xlpm.MyAuditVal,_xlfn.XLOOKUP($A19,My_Audit!$A:$A,My_Audit!B:B,""),
_xlfn.IFS(_xlpm.MyAuditVal&lt;&gt;"",UPPER(_xlpm.MyAuditVal),_xlpm.MacVal&lt;&gt;"",_xlpm.MacVal,_xlpm.CSVVal&lt;&gt;"",_xlpm.CSVVal
)),"")</f>
        <v/>
      </c>
      <c r="D19" s="55" t="str">
        <f>_xlfn.XLOOKUP(A19,My_Audit!A:A,My_Audit!D:D,"")&amp;""</f>
        <v/>
      </c>
      <c r="E19" s="55" t="str" cm="1">
        <f t="array" ref="E19">IFERROR(_xlfn.LET(
_xlpm.CSVVal,_xlfn.XLOOKUP($A19,CSV!$A:$A,CSV!D:D,""),
_xlpm.MacVal,_xlfn.XLOOKUP($A19,Output_Mac!$A:$A,Output_Mac!C:C,""),
_xlpm.MyAuditVal,_xlfn.XLOOKUP($A19,My_Audit!$A:$A,My_Audit!D:D,""),
_xlfn.IFS(_xlpm.MyAuditVal&lt;&gt;"",_xlpm.MyAuditVal,_xlpm.MacVal&lt;&gt;"",_xlpm.MacVal,_xlpm.CSVVal&lt;&gt;"",_xlpm.CSVVal
)),"")</f>
        <v/>
      </c>
      <c r="F19" s="54" t="str" cm="1">
        <f t="array" ref="F19">IFERROR(_xlfn.LET(
_xlpm.CSVVal,_xlfn.XLOOKUP($A19,CSV!$A:$A,CSV!E:E,""),
_xlpm.MacVal,_xlfn.XLOOKUP($A19,Output_Mac!$A:$A,Output_Mac!F:F,""),
_xlpm.MyAuditVal,_xlfn.XLOOKUP($A19,My_Audit!$A:$A,My_Audit!E:E,""),
_xlfn.IFS(_xlpm.MyAuditVal&lt;&gt;"",_xlpm.MyAuditVal,_xlpm.MacVal&lt;&gt;"",_xlpm.MacVal,_xlpm.CSVVal&lt;&gt;"",PROPER(_xlpm.CSVVal)
)),"")</f>
        <v/>
      </c>
      <c r="G19" s="54" t="str" cm="1">
        <f t="array" ref="G19">IFERROR(_xlfn.LET(
_xlpm.CSVVal,_xlfn.XLOOKUP($A19,CSV!$A:$A,CSV!F:F,""),
_xlpm.MacVal,_xlfn.XLOOKUP($A19,Output_Mac!$A:$A,Output_Mac!H:H,""),
_xlpm.MyAuditVal,_xlfn.XLOOKUP($A19,My_Audit!$A:$A,My_Audit!F:F,""),
_xlfn.IFS(_xlpm.MyAuditVal&lt;&gt;"",_xlpm.MyAuditVal,_xlpm.MacVal&lt;&gt;"",_xlpm.MacVal,_xlpm.CSVVal&lt;&gt;"",_xlpm.CSVVal
)),"")</f>
        <v/>
      </c>
      <c r="H19" s="54" t="str">
        <f>_xlfn.XLOOKUP(A19,Output_Mac!A:A,Output_Mac!I:I,"")</f>
        <v/>
      </c>
      <c r="I19" s="54" t="str" cm="1">
        <f t="array" ref="I19">IFERROR(_xlfn.LET(
_xlpm.CSVVal,_xlfn.XLOOKUP($A19,CSV!$A:$A,CSV!G:G,""),
_xlpm.MacVal,_xlfn.XLOOKUP($A19,Output_Mac!$A:$A,Output_Mac!J:J,""),
_xlpm.MyAuditVal,_xlfn.XLOOKUP($A19,My_Audit!$A:$A,My_Audit!H:H,""),
_xlfn.IFS(_xlpm.MyAuditVal&lt;&gt;"",UPPER(_xlpm.MyAuditVal),_xlpm.MacVal&lt;&gt;"",_xlpm.MacVal,_xlpm.CSVVal&lt;&gt;"",_xlpm.CSVVal
)),"")</f>
        <v/>
      </c>
      <c r="J19" s="54" t="str" cm="1">
        <f t="array" ref="J19">IFERROR(_xlfn.LET(
_xlpm.CSVVal,_xlfn.XLOOKUP($A19,CSV!$A:$A,CSV!I:I,""),
_xlpm.MacVal,_xlfn.XLOOKUP($A19,Output_Mac!$A:$A,Output_Mac!K:K,""),
_xlpm.MyAuditVal,_xlfn.XLOOKUP($A19,My_Audit!$A:$A,My_Audit!I:I,""),
_xlfn.IFS(_xlpm.MyAuditVal&lt;&gt;"",UPPER(_xlpm.MyAuditVal),_xlpm.MacVal&lt;&gt;"",_xlpm.MacVal,_xlpm.CSVVal&lt;&gt;"",_xlpm.CSVVal
)),"")</f>
        <v/>
      </c>
      <c r="K19" s="54" t="str" cm="1">
        <f t="array" ref="K19">IFERROR(_xlfn.LET(
_xlpm.CSVVal,_xlfn.XLOOKUP($A19,CSV!$A:$A,CSV!M:M,""),
_xlpm.MacVal,_xlfn.XLOOKUP($A19,Output_Mac!$A:$A,Output_Mac!L:L,""),
_xlpm.MyAuditVal,_xlfn.XLOOKUP($A19,My_Audit!$A:$A,My_Audit!J:J,""),
_xlfn.IFS(_xlpm.MyAuditVal&lt;&gt;"",UPPER(_xlpm.MyAuditVal),_xlpm.MacVal&lt;&gt;"",_xlpm.MacVal,_xlpm.CSVVal&lt;&gt;"",_xlpm.CSVVal
)),"")</f>
        <v/>
      </c>
      <c r="L19" s="55" t="str" cm="1">
        <f t="array" ref="L19">IFERROR(_xlfn.LET(
_xlpm.CSVVal,_xlfn.XLOOKUP($A19,CSV!$A:$A,CSV!P:P,""),
_xlpm.MacVal,_xlfn.XLOOKUP($A19,Output_Mac!$A:$A,Output_Mac!M:M,""),
_xlpm.MyAuditVal,_xlfn.XLOOKUP($A19,My_Audit!$A:$A,My_Audit!K:K,""),
_xlfn.IFS(_xlpm.MyAuditVal&lt;&gt;"",UPPER(_xlpm.MyAuditVal),_xlpm.MacVal&lt;&gt;"",_xlpm.MacVal,_xlpm.CSVVal&lt;&gt;"",_xlpm.CSVVal
)),"")</f>
        <v/>
      </c>
      <c r="M19" s="54" t="str">
        <f>_xlfn.LET(
    _xlpm.CSVVal, _xlfn.XLOOKUP($A19, CSV!$A:$A, CSV!AD:AD, ""),
    _xlpm.MacVal, _xlfn.XLOOKUP($A19, Output_Mac!$A:$A, Output_Mac!S:S, ""),
    _xlpm.MyAuditVal, _xlfn.XLOOKUP($A19, My_Audit!$A:$A, My_Audit!N:N, ""),
    _xlfn.TEXTJOIN(", ", TRUE, _xlpm.MyAuditVal, _xlpm.MacVal, _xlpm.CSVVal)
)</f>
        <v/>
      </c>
      <c r="N19" s="54" t="str" cm="1">
        <f t="array" ref="N19">IFERROR(_xlfn.LET(
_xlpm.CSVVal,_xlfn.XLOOKUP($A19,CSV!$A:$A,CSV!AF:AF,""),
_xlpm.MacVal,_xlfn.XLOOKUP($A19,Output_Mac!$A:$A,Output_Mac!U:U,""),
_xlpm.MyAuditVal,_xlfn.XLOOKUP($A19,My_Audit!$A:$A,My_Audit!O:O,""),
_xlfn.IFS(_xlpm.MyAuditVal&lt;&gt;"",UPPER(_xlpm.MyAuditVal),_xlpm.MacVal&lt;&gt;"",_xlpm.MacVal,_xlpm.CSVVal&lt;&gt;"",_xlpm.CSVVal
)),"")</f>
        <v/>
      </c>
      <c r="O19" s="54"/>
      <c r="P19" s="54"/>
      <c r="Q19" s="54"/>
      <c r="R19" s="54"/>
      <c r="S19" s="54"/>
      <c r="T19" s="54"/>
      <c r="U19" s="39" t="str">
        <f>_xlfn.LET(
    _xlpm.MacVal, _xlfn.XLOOKUP($A19, Output_Mac!$A:$A, Output_Mac!AB:AB, ""),
    _xlpm.MyAuditVal, _xlfn.XLOOKUP($A19, My_Audit!$A:$A, My_Audit!L:L, ""),
    _xlfn.TEXTJOIN(", ", TRUE, _xlpm.MyAuditVal, _xlpm.MacVal)
)</f>
        <v/>
      </c>
    </row>
    <row r="20" spans="1:21">
      <c r="A20" s="54" t="str">
        <f>_xlfn.TEXTJOIN("",TRUE,Input!$B$2,ROW(My_Audit!A19))</f>
        <v>XX19</v>
      </c>
      <c r="B20" s="54" t="str">
        <f>_xlfn.TEXTJOIN("-",TRUE,"ITD",Input!$A$2,A20)</f>
        <v>ITD-SHRXXX-XX19</v>
      </c>
      <c r="C20" s="54" t="str" cm="1">
        <f t="array" ref="C20">IFERROR(_xlfn.LET(
_xlpm.CSVVal,_xlfn.XLOOKUP($A20,CSV!$A:$A,CSV!B:B,""),
_xlpm.MacVal,_xlfn.XLOOKUP($A20,Output_Mac!$A:$A,Output_Mac!B:B,""),
_xlpm.MyAuditVal,_xlfn.XLOOKUP($A20,My_Audit!$A:$A,My_Audit!B:B,""),
_xlfn.IFS(_xlpm.MyAuditVal&lt;&gt;"",UPPER(_xlpm.MyAuditVal),_xlpm.MacVal&lt;&gt;"",_xlpm.MacVal,_xlpm.CSVVal&lt;&gt;"",_xlpm.CSVVal
)),"")</f>
        <v/>
      </c>
      <c r="D20" s="55" t="str">
        <f>_xlfn.XLOOKUP(A20,My_Audit!A:A,My_Audit!D:D,"")&amp;""</f>
        <v/>
      </c>
      <c r="E20" s="55" t="str" cm="1">
        <f t="array" ref="E20">IFERROR(_xlfn.LET(
_xlpm.CSVVal,_xlfn.XLOOKUP($A20,CSV!$A:$A,CSV!D:D,""),
_xlpm.MacVal,_xlfn.XLOOKUP($A20,Output_Mac!$A:$A,Output_Mac!C:C,""),
_xlpm.MyAuditVal,_xlfn.XLOOKUP($A20,My_Audit!$A:$A,My_Audit!D:D,""),
_xlfn.IFS(_xlpm.MyAuditVal&lt;&gt;"",_xlpm.MyAuditVal,_xlpm.MacVal&lt;&gt;"",_xlpm.MacVal,_xlpm.CSVVal&lt;&gt;"",_xlpm.CSVVal
)),"")</f>
        <v/>
      </c>
      <c r="F20" s="54" t="str" cm="1">
        <f t="array" ref="F20">IFERROR(_xlfn.LET(
_xlpm.CSVVal,_xlfn.XLOOKUP($A20,CSV!$A:$A,CSV!E:E,""),
_xlpm.MacVal,_xlfn.XLOOKUP($A20,Output_Mac!$A:$A,Output_Mac!F:F,""),
_xlpm.MyAuditVal,_xlfn.XLOOKUP($A20,My_Audit!$A:$A,My_Audit!E:E,""),
_xlfn.IFS(_xlpm.MyAuditVal&lt;&gt;"",_xlpm.MyAuditVal,_xlpm.MacVal&lt;&gt;"",_xlpm.MacVal,_xlpm.CSVVal&lt;&gt;"",PROPER(_xlpm.CSVVal)
)),"")</f>
        <v/>
      </c>
      <c r="G20" s="54" t="str" cm="1">
        <f t="array" ref="G20">IFERROR(_xlfn.LET(
_xlpm.CSVVal,_xlfn.XLOOKUP($A20,CSV!$A:$A,CSV!F:F,""),
_xlpm.MacVal,_xlfn.XLOOKUP($A20,Output_Mac!$A:$A,Output_Mac!H:H,""),
_xlpm.MyAuditVal,_xlfn.XLOOKUP($A20,My_Audit!$A:$A,My_Audit!F:F,""),
_xlfn.IFS(_xlpm.MyAuditVal&lt;&gt;"",_xlpm.MyAuditVal,_xlpm.MacVal&lt;&gt;"",_xlpm.MacVal,_xlpm.CSVVal&lt;&gt;"",_xlpm.CSVVal
)),"")</f>
        <v/>
      </c>
      <c r="H20" s="54" t="str">
        <f>_xlfn.XLOOKUP(A20,Output_Mac!A:A,Output_Mac!I:I,"")</f>
        <v/>
      </c>
      <c r="I20" s="54" t="str" cm="1">
        <f t="array" ref="I20">IFERROR(_xlfn.LET(
_xlpm.CSVVal,_xlfn.XLOOKUP($A20,CSV!$A:$A,CSV!G:G,""),
_xlpm.MacVal,_xlfn.XLOOKUP($A20,Output_Mac!$A:$A,Output_Mac!J:J,""),
_xlpm.MyAuditVal,_xlfn.XLOOKUP($A20,My_Audit!$A:$A,My_Audit!H:H,""),
_xlfn.IFS(_xlpm.MyAuditVal&lt;&gt;"",UPPER(_xlpm.MyAuditVal),_xlpm.MacVal&lt;&gt;"",_xlpm.MacVal,_xlpm.CSVVal&lt;&gt;"",_xlpm.CSVVal
)),"")</f>
        <v/>
      </c>
      <c r="J20" s="54" t="str" cm="1">
        <f t="array" ref="J20">IFERROR(_xlfn.LET(
_xlpm.CSVVal,_xlfn.XLOOKUP($A20,CSV!$A:$A,CSV!I:I,""),
_xlpm.MacVal,_xlfn.XLOOKUP($A20,Output_Mac!$A:$A,Output_Mac!K:K,""),
_xlpm.MyAuditVal,_xlfn.XLOOKUP($A20,My_Audit!$A:$A,My_Audit!I:I,""),
_xlfn.IFS(_xlpm.MyAuditVal&lt;&gt;"",UPPER(_xlpm.MyAuditVal),_xlpm.MacVal&lt;&gt;"",_xlpm.MacVal,_xlpm.CSVVal&lt;&gt;"",_xlpm.CSVVal
)),"")</f>
        <v/>
      </c>
      <c r="K20" s="54" t="str" cm="1">
        <f t="array" ref="K20">IFERROR(_xlfn.LET(
_xlpm.CSVVal,_xlfn.XLOOKUP($A20,CSV!$A:$A,CSV!M:M,""),
_xlpm.MacVal,_xlfn.XLOOKUP($A20,Output_Mac!$A:$A,Output_Mac!L:L,""),
_xlpm.MyAuditVal,_xlfn.XLOOKUP($A20,My_Audit!$A:$A,My_Audit!J:J,""),
_xlfn.IFS(_xlpm.MyAuditVal&lt;&gt;"",UPPER(_xlpm.MyAuditVal),_xlpm.MacVal&lt;&gt;"",_xlpm.MacVal,_xlpm.CSVVal&lt;&gt;"",_xlpm.CSVVal
)),"")</f>
        <v/>
      </c>
      <c r="L20" s="55" t="str" cm="1">
        <f t="array" ref="L20">IFERROR(_xlfn.LET(
_xlpm.CSVVal,_xlfn.XLOOKUP($A20,CSV!$A:$A,CSV!P:P,""),
_xlpm.MacVal,_xlfn.XLOOKUP($A20,Output_Mac!$A:$A,Output_Mac!M:M,""),
_xlpm.MyAuditVal,_xlfn.XLOOKUP($A20,My_Audit!$A:$A,My_Audit!K:K,""),
_xlfn.IFS(_xlpm.MyAuditVal&lt;&gt;"",UPPER(_xlpm.MyAuditVal),_xlpm.MacVal&lt;&gt;"",_xlpm.MacVal,_xlpm.CSVVal&lt;&gt;"",_xlpm.CSVVal
)),"")</f>
        <v/>
      </c>
      <c r="M20" s="54" t="str">
        <f>_xlfn.LET(
    _xlpm.CSVVal, _xlfn.XLOOKUP($A20, CSV!$A:$A, CSV!AD:AD, ""),
    _xlpm.MacVal, _xlfn.XLOOKUP($A20, Output_Mac!$A:$A, Output_Mac!S:S, ""),
    _xlpm.MyAuditVal, _xlfn.XLOOKUP($A20, My_Audit!$A:$A, My_Audit!N:N, ""),
    _xlfn.TEXTJOIN(", ", TRUE, _xlpm.MyAuditVal, _xlpm.MacVal, _xlpm.CSVVal)
)</f>
        <v/>
      </c>
      <c r="N20" s="54" t="str" cm="1">
        <f t="array" ref="N20">IFERROR(_xlfn.LET(
_xlpm.CSVVal,_xlfn.XLOOKUP($A20,CSV!$A:$A,CSV!AF:AF,""),
_xlpm.MacVal,_xlfn.XLOOKUP($A20,Output_Mac!$A:$A,Output_Mac!U:U,""),
_xlpm.MyAuditVal,_xlfn.XLOOKUP($A20,My_Audit!$A:$A,My_Audit!O:O,""),
_xlfn.IFS(_xlpm.MyAuditVal&lt;&gt;"",UPPER(_xlpm.MyAuditVal),_xlpm.MacVal&lt;&gt;"",_xlpm.MacVal,_xlpm.CSVVal&lt;&gt;"",_xlpm.CSVVal
)),"")</f>
        <v/>
      </c>
      <c r="O20" s="54"/>
      <c r="P20" s="54"/>
      <c r="Q20" s="54"/>
      <c r="R20" s="54"/>
      <c r="S20" s="54"/>
      <c r="T20" s="54"/>
      <c r="U20" s="39" t="str">
        <f>_xlfn.LET(
    _xlpm.MacVal, _xlfn.XLOOKUP($A20, Output_Mac!$A:$A, Output_Mac!AB:AB, ""),
    _xlpm.MyAuditVal, _xlfn.XLOOKUP($A20, My_Audit!$A:$A, My_Audit!L:L, ""),
    _xlfn.TEXTJOIN(", ", TRUE, _xlpm.MyAuditVal, _xlpm.MacVal)
)</f>
        <v/>
      </c>
    </row>
    <row r="21" spans="1:21">
      <c r="A21" s="54" t="str">
        <f>_xlfn.TEXTJOIN("",TRUE,Input!$B$2,ROW(My_Audit!A20))</f>
        <v>XX20</v>
      </c>
      <c r="B21" s="54" t="str">
        <f>_xlfn.TEXTJOIN("-",TRUE,"ITD",Input!$A$2,A21)</f>
        <v>ITD-SHRXXX-XX20</v>
      </c>
      <c r="C21" s="54" t="str" cm="1">
        <f t="array" ref="C21">IFERROR(_xlfn.LET(
_xlpm.CSVVal,_xlfn.XLOOKUP($A21,CSV!$A:$A,CSV!B:B,""),
_xlpm.MacVal,_xlfn.XLOOKUP($A21,Output_Mac!$A:$A,Output_Mac!B:B,""),
_xlpm.MyAuditVal,_xlfn.XLOOKUP($A21,My_Audit!$A:$A,My_Audit!B:B,""),
_xlfn.IFS(_xlpm.MyAuditVal&lt;&gt;"",UPPER(_xlpm.MyAuditVal),_xlpm.MacVal&lt;&gt;"",_xlpm.MacVal,_xlpm.CSVVal&lt;&gt;"",_xlpm.CSVVal
)),"")</f>
        <v/>
      </c>
      <c r="D21" s="55" t="str">
        <f>_xlfn.XLOOKUP(A21,My_Audit!A:A,My_Audit!D:D,"")&amp;""</f>
        <v/>
      </c>
      <c r="E21" s="55" t="str" cm="1">
        <f t="array" ref="E21">IFERROR(_xlfn.LET(
_xlpm.CSVVal,_xlfn.XLOOKUP($A21,CSV!$A:$A,CSV!D:D,""),
_xlpm.MacVal,_xlfn.XLOOKUP($A21,Output_Mac!$A:$A,Output_Mac!C:C,""),
_xlpm.MyAuditVal,_xlfn.XLOOKUP($A21,My_Audit!$A:$A,My_Audit!D:D,""),
_xlfn.IFS(_xlpm.MyAuditVal&lt;&gt;"",_xlpm.MyAuditVal,_xlpm.MacVal&lt;&gt;"",_xlpm.MacVal,_xlpm.CSVVal&lt;&gt;"",_xlpm.CSVVal
)),"")</f>
        <v/>
      </c>
      <c r="F21" s="54" t="str" cm="1">
        <f t="array" ref="F21">IFERROR(_xlfn.LET(
_xlpm.CSVVal,_xlfn.XLOOKUP($A21,CSV!$A:$A,CSV!E:E,""),
_xlpm.MacVal,_xlfn.XLOOKUP($A21,Output_Mac!$A:$A,Output_Mac!F:F,""),
_xlpm.MyAuditVal,_xlfn.XLOOKUP($A21,My_Audit!$A:$A,My_Audit!E:E,""),
_xlfn.IFS(_xlpm.MyAuditVal&lt;&gt;"",_xlpm.MyAuditVal,_xlpm.MacVal&lt;&gt;"",_xlpm.MacVal,_xlpm.CSVVal&lt;&gt;"",PROPER(_xlpm.CSVVal)
)),"")</f>
        <v/>
      </c>
      <c r="G21" s="54" t="str" cm="1">
        <f t="array" ref="G21">IFERROR(_xlfn.LET(
_xlpm.CSVVal,_xlfn.XLOOKUP($A21,CSV!$A:$A,CSV!F:F,""),
_xlpm.MacVal,_xlfn.XLOOKUP($A21,Output_Mac!$A:$A,Output_Mac!H:H,""),
_xlpm.MyAuditVal,_xlfn.XLOOKUP($A21,My_Audit!$A:$A,My_Audit!F:F,""),
_xlfn.IFS(_xlpm.MyAuditVal&lt;&gt;"",_xlpm.MyAuditVal,_xlpm.MacVal&lt;&gt;"",_xlpm.MacVal,_xlpm.CSVVal&lt;&gt;"",_xlpm.CSVVal
)),"")</f>
        <v/>
      </c>
      <c r="H21" s="54" t="str">
        <f>_xlfn.XLOOKUP(A21,Output_Mac!A:A,Output_Mac!I:I,"")</f>
        <v/>
      </c>
      <c r="I21" s="54" t="str" cm="1">
        <f t="array" ref="I21">IFERROR(_xlfn.LET(
_xlpm.CSVVal,_xlfn.XLOOKUP($A21,CSV!$A:$A,CSV!G:G,""),
_xlpm.MacVal,_xlfn.XLOOKUP($A21,Output_Mac!$A:$A,Output_Mac!J:J,""),
_xlpm.MyAuditVal,_xlfn.XLOOKUP($A21,My_Audit!$A:$A,My_Audit!H:H,""),
_xlfn.IFS(_xlpm.MyAuditVal&lt;&gt;"",UPPER(_xlpm.MyAuditVal),_xlpm.MacVal&lt;&gt;"",_xlpm.MacVal,_xlpm.CSVVal&lt;&gt;"",_xlpm.CSVVal
)),"")</f>
        <v/>
      </c>
      <c r="J21" s="54" t="str" cm="1">
        <f t="array" ref="J21">IFERROR(_xlfn.LET(
_xlpm.CSVVal,_xlfn.XLOOKUP($A21,CSV!$A:$A,CSV!I:I,""),
_xlpm.MacVal,_xlfn.XLOOKUP($A21,Output_Mac!$A:$A,Output_Mac!K:K,""),
_xlpm.MyAuditVal,_xlfn.XLOOKUP($A21,My_Audit!$A:$A,My_Audit!I:I,""),
_xlfn.IFS(_xlpm.MyAuditVal&lt;&gt;"",UPPER(_xlpm.MyAuditVal),_xlpm.MacVal&lt;&gt;"",_xlpm.MacVal,_xlpm.CSVVal&lt;&gt;"",_xlpm.CSVVal
)),"")</f>
        <v/>
      </c>
      <c r="K21" s="54" t="str" cm="1">
        <f t="array" ref="K21">IFERROR(_xlfn.LET(
_xlpm.CSVVal,_xlfn.XLOOKUP($A21,CSV!$A:$A,CSV!M:M,""),
_xlpm.MacVal,_xlfn.XLOOKUP($A21,Output_Mac!$A:$A,Output_Mac!L:L,""),
_xlpm.MyAuditVal,_xlfn.XLOOKUP($A21,My_Audit!$A:$A,My_Audit!J:J,""),
_xlfn.IFS(_xlpm.MyAuditVal&lt;&gt;"",UPPER(_xlpm.MyAuditVal),_xlpm.MacVal&lt;&gt;"",_xlpm.MacVal,_xlpm.CSVVal&lt;&gt;"",_xlpm.CSVVal
)),"")</f>
        <v/>
      </c>
      <c r="L21" s="55" t="str" cm="1">
        <f t="array" ref="L21">IFERROR(_xlfn.LET(
_xlpm.CSVVal,_xlfn.XLOOKUP($A21,CSV!$A:$A,CSV!P:P,""),
_xlpm.MacVal,_xlfn.XLOOKUP($A21,Output_Mac!$A:$A,Output_Mac!M:M,""),
_xlpm.MyAuditVal,_xlfn.XLOOKUP($A21,My_Audit!$A:$A,My_Audit!K:K,""),
_xlfn.IFS(_xlpm.MyAuditVal&lt;&gt;"",UPPER(_xlpm.MyAuditVal),_xlpm.MacVal&lt;&gt;"",_xlpm.MacVal,_xlpm.CSVVal&lt;&gt;"",_xlpm.CSVVal
)),"")</f>
        <v/>
      </c>
      <c r="M21" s="54" t="str">
        <f>_xlfn.LET(
    _xlpm.CSVVal, _xlfn.XLOOKUP($A21, CSV!$A:$A, CSV!AD:AD, ""),
    _xlpm.MacVal, _xlfn.XLOOKUP($A21, Output_Mac!$A:$A, Output_Mac!S:S, ""),
    _xlpm.MyAuditVal, _xlfn.XLOOKUP($A21, My_Audit!$A:$A, My_Audit!N:N, ""),
    _xlfn.TEXTJOIN(", ", TRUE, _xlpm.MyAuditVal, _xlpm.MacVal, _xlpm.CSVVal)
)</f>
        <v/>
      </c>
      <c r="N21" s="54" t="str" cm="1">
        <f t="array" ref="N21">IFERROR(_xlfn.LET(
_xlpm.CSVVal,_xlfn.XLOOKUP($A21,CSV!$A:$A,CSV!AF:AF,""),
_xlpm.MacVal,_xlfn.XLOOKUP($A21,Output_Mac!$A:$A,Output_Mac!U:U,""),
_xlpm.MyAuditVal,_xlfn.XLOOKUP($A21,My_Audit!$A:$A,My_Audit!O:O,""),
_xlfn.IFS(_xlpm.MyAuditVal&lt;&gt;"",UPPER(_xlpm.MyAuditVal),_xlpm.MacVal&lt;&gt;"",_xlpm.MacVal,_xlpm.CSVVal&lt;&gt;"",_xlpm.CSVVal
)),"")</f>
        <v/>
      </c>
      <c r="O21" s="54"/>
      <c r="P21" s="54"/>
      <c r="Q21" s="54"/>
      <c r="R21" s="54"/>
      <c r="S21" s="54"/>
      <c r="T21" s="54"/>
      <c r="U21" s="39" t="str">
        <f>_xlfn.LET(
    _xlpm.MacVal, _xlfn.XLOOKUP($A21, Output_Mac!$A:$A, Output_Mac!AB:AB, ""),
    _xlpm.MyAuditVal, _xlfn.XLOOKUP($A21, My_Audit!$A:$A, My_Audit!L:L, ""),
    _xlfn.TEXTJOIN(", ", TRUE, _xlpm.MyAuditVal, _xlpm.MacVal)
)</f>
        <v/>
      </c>
    </row>
    <row r="22" spans="1:21">
      <c r="A22" s="54" t="str">
        <f>_xlfn.TEXTJOIN("",TRUE,Input!$B$2,ROW(My_Audit!A21))</f>
        <v>XX21</v>
      </c>
      <c r="B22" s="54" t="str">
        <f>_xlfn.TEXTJOIN("-",TRUE,"ITD",Input!$A$2,A22)</f>
        <v>ITD-SHRXXX-XX21</v>
      </c>
      <c r="C22" s="54" t="str" cm="1">
        <f t="array" ref="C22">IFERROR(_xlfn.LET(
_xlpm.CSVVal,_xlfn.XLOOKUP($A22,CSV!$A:$A,CSV!B:B,""),
_xlpm.MacVal,_xlfn.XLOOKUP($A22,Output_Mac!$A:$A,Output_Mac!B:B,""),
_xlpm.MyAuditVal,_xlfn.XLOOKUP($A22,My_Audit!$A:$A,My_Audit!B:B,""),
_xlfn.IFS(_xlpm.MyAuditVal&lt;&gt;"",UPPER(_xlpm.MyAuditVal),_xlpm.MacVal&lt;&gt;"",_xlpm.MacVal,_xlpm.CSVVal&lt;&gt;"",_xlpm.CSVVal
)),"")</f>
        <v/>
      </c>
      <c r="D22" s="55" t="str">
        <f>_xlfn.XLOOKUP(A22,My_Audit!A:A,My_Audit!D:D,"")&amp;""</f>
        <v/>
      </c>
      <c r="E22" s="55" t="str" cm="1">
        <f t="array" ref="E22">IFERROR(_xlfn.LET(
_xlpm.CSVVal,_xlfn.XLOOKUP($A22,CSV!$A:$A,CSV!D:D,""),
_xlpm.MacVal,_xlfn.XLOOKUP($A22,Output_Mac!$A:$A,Output_Mac!C:C,""),
_xlpm.MyAuditVal,_xlfn.XLOOKUP($A22,My_Audit!$A:$A,My_Audit!D:D,""),
_xlfn.IFS(_xlpm.MyAuditVal&lt;&gt;"",_xlpm.MyAuditVal,_xlpm.MacVal&lt;&gt;"",_xlpm.MacVal,_xlpm.CSVVal&lt;&gt;"",_xlpm.CSVVal
)),"")</f>
        <v/>
      </c>
      <c r="F22" s="54" t="str" cm="1">
        <f t="array" ref="F22">IFERROR(_xlfn.LET(
_xlpm.CSVVal,_xlfn.XLOOKUP($A22,CSV!$A:$A,CSV!E:E,""),
_xlpm.MacVal,_xlfn.XLOOKUP($A22,Output_Mac!$A:$A,Output_Mac!F:F,""),
_xlpm.MyAuditVal,_xlfn.XLOOKUP($A22,My_Audit!$A:$A,My_Audit!E:E,""),
_xlfn.IFS(_xlpm.MyAuditVal&lt;&gt;"",_xlpm.MyAuditVal,_xlpm.MacVal&lt;&gt;"",_xlpm.MacVal,_xlpm.CSVVal&lt;&gt;"",PROPER(_xlpm.CSVVal)
)),"")</f>
        <v/>
      </c>
      <c r="G22" s="54" t="str" cm="1">
        <f t="array" ref="G22">IFERROR(_xlfn.LET(
_xlpm.CSVVal,_xlfn.XLOOKUP($A22,CSV!$A:$A,CSV!F:F,""),
_xlpm.MacVal,_xlfn.XLOOKUP($A22,Output_Mac!$A:$A,Output_Mac!H:H,""),
_xlpm.MyAuditVal,_xlfn.XLOOKUP($A22,My_Audit!$A:$A,My_Audit!F:F,""),
_xlfn.IFS(_xlpm.MyAuditVal&lt;&gt;"",_xlpm.MyAuditVal,_xlpm.MacVal&lt;&gt;"",_xlpm.MacVal,_xlpm.CSVVal&lt;&gt;"",_xlpm.CSVVal
)),"")</f>
        <v/>
      </c>
      <c r="H22" s="54" t="str">
        <f>_xlfn.XLOOKUP(A22,Output_Mac!A:A,Output_Mac!I:I,"")</f>
        <v/>
      </c>
      <c r="I22" s="54" t="str" cm="1">
        <f t="array" ref="I22">IFERROR(_xlfn.LET(
_xlpm.CSVVal,_xlfn.XLOOKUP($A22,CSV!$A:$A,CSV!G:G,""),
_xlpm.MacVal,_xlfn.XLOOKUP($A22,Output_Mac!$A:$A,Output_Mac!J:J,""),
_xlpm.MyAuditVal,_xlfn.XLOOKUP($A22,My_Audit!$A:$A,My_Audit!H:H,""),
_xlfn.IFS(_xlpm.MyAuditVal&lt;&gt;"",UPPER(_xlpm.MyAuditVal),_xlpm.MacVal&lt;&gt;"",_xlpm.MacVal,_xlpm.CSVVal&lt;&gt;"",_xlpm.CSVVal
)),"")</f>
        <v/>
      </c>
      <c r="J22" s="54" t="str" cm="1">
        <f t="array" ref="J22">IFERROR(_xlfn.LET(
_xlpm.CSVVal,_xlfn.XLOOKUP($A22,CSV!$A:$A,CSV!I:I,""),
_xlpm.MacVal,_xlfn.XLOOKUP($A22,Output_Mac!$A:$A,Output_Mac!K:K,""),
_xlpm.MyAuditVal,_xlfn.XLOOKUP($A22,My_Audit!$A:$A,My_Audit!I:I,""),
_xlfn.IFS(_xlpm.MyAuditVal&lt;&gt;"",UPPER(_xlpm.MyAuditVal),_xlpm.MacVal&lt;&gt;"",_xlpm.MacVal,_xlpm.CSVVal&lt;&gt;"",_xlpm.CSVVal
)),"")</f>
        <v/>
      </c>
      <c r="K22" s="54" t="str" cm="1">
        <f t="array" ref="K22">IFERROR(_xlfn.LET(
_xlpm.CSVVal,_xlfn.XLOOKUP($A22,CSV!$A:$A,CSV!M:M,""),
_xlpm.MacVal,_xlfn.XLOOKUP($A22,Output_Mac!$A:$A,Output_Mac!L:L,""),
_xlpm.MyAuditVal,_xlfn.XLOOKUP($A22,My_Audit!$A:$A,My_Audit!J:J,""),
_xlfn.IFS(_xlpm.MyAuditVal&lt;&gt;"",UPPER(_xlpm.MyAuditVal),_xlpm.MacVal&lt;&gt;"",_xlpm.MacVal,_xlpm.CSVVal&lt;&gt;"",_xlpm.CSVVal
)),"")</f>
        <v/>
      </c>
      <c r="L22" s="55" t="str" cm="1">
        <f t="array" ref="L22">IFERROR(_xlfn.LET(
_xlpm.CSVVal,_xlfn.XLOOKUP($A22,CSV!$A:$A,CSV!P:P,""),
_xlpm.MacVal,_xlfn.XLOOKUP($A22,Output_Mac!$A:$A,Output_Mac!M:M,""),
_xlpm.MyAuditVal,_xlfn.XLOOKUP($A22,My_Audit!$A:$A,My_Audit!K:K,""),
_xlfn.IFS(_xlpm.MyAuditVal&lt;&gt;"",UPPER(_xlpm.MyAuditVal),_xlpm.MacVal&lt;&gt;"",_xlpm.MacVal,_xlpm.CSVVal&lt;&gt;"",_xlpm.CSVVal
)),"")</f>
        <v/>
      </c>
      <c r="M22" s="54" t="str">
        <f>_xlfn.LET(
    _xlpm.CSVVal, _xlfn.XLOOKUP($A22, CSV!$A:$A, CSV!AD:AD, ""),
    _xlpm.MacVal, _xlfn.XLOOKUP($A22, Output_Mac!$A:$A, Output_Mac!S:S, ""),
    _xlpm.MyAuditVal, _xlfn.XLOOKUP($A22, My_Audit!$A:$A, My_Audit!N:N, ""),
    _xlfn.TEXTJOIN(", ", TRUE, _xlpm.MyAuditVal, _xlpm.MacVal, _xlpm.CSVVal)
)</f>
        <v/>
      </c>
      <c r="N22" s="54" t="str" cm="1">
        <f t="array" ref="N22">IFERROR(_xlfn.LET(
_xlpm.CSVVal,_xlfn.XLOOKUP($A22,CSV!$A:$A,CSV!AF:AF,""),
_xlpm.MacVal,_xlfn.XLOOKUP($A22,Output_Mac!$A:$A,Output_Mac!U:U,""),
_xlpm.MyAuditVal,_xlfn.XLOOKUP($A22,My_Audit!$A:$A,My_Audit!O:O,""),
_xlfn.IFS(_xlpm.MyAuditVal&lt;&gt;"",UPPER(_xlpm.MyAuditVal),_xlpm.MacVal&lt;&gt;"",_xlpm.MacVal,_xlpm.CSVVal&lt;&gt;"",_xlpm.CSVVal
)),"")</f>
        <v/>
      </c>
      <c r="O22" s="54"/>
      <c r="P22" s="54"/>
      <c r="Q22" s="54"/>
      <c r="R22" s="54"/>
      <c r="S22" s="54"/>
      <c r="T22" s="54"/>
      <c r="U22" s="39" t="str">
        <f>_xlfn.LET(
    _xlpm.MacVal, _xlfn.XLOOKUP($A22, Output_Mac!$A:$A, Output_Mac!AB:AB, ""),
    _xlpm.MyAuditVal, _xlfn.XLOOKUP($A22, My_Audit!$A:$A, My_Audit!L:L, ""),
    _xlfn.TEXTJOIN(", ", TRUE, _xlpm.MyAuditVal, _xlpm.MacVal)
)</f>
        <v/>
      </c>
    </row>
    <row r="23" spans="1:21">
      <c r="A23" s="54" t="str">
        <f>_xlfn.TEXTJOIN("",TRUE,Input!$B$2,ROW(My_Audit!A22))</f>
        <v>XX22</v>
      </c>
      <c r="B23" s="54" t="str">
        <f>_xlfn.TEXTJOIN("-",TRUE,"ITD",Input!$A$2,A23)</f>
        <v>ITD-SHRXXX-XX22</v>
      </c>
      <c r="C23" s="54" t="str" cm="1">
        <f t="array" ref="C23">IFERROR(_xlfn.LET(
_xlpm.CSVVal,_xlfn.XLOOKUP($A23,CSV!$A:$A,CSV!B:B,""),
_xlpm.MacVal,_xlfn.XLOOKUP($A23,Output_Mac!$A:$A,Output_Mac!B:B,""),
_xlpm.MyAuditVal,_xlfn.XLOOKUP($A23,My_Audit!$A:$A,My_Audit!B:B,""),
_xlfn.IFS(_xlpm.MyAuditVal&lt;&gt;"",UPPER(_xlpm.MyAuditVal),_xlpm.MacVal&lt;&gt;"",_xlpm.MacVal,_xlpm.CSVVal&lt;&gt;"",_xlpm.CSVVal
)),"")</f>
        <v/>
      </c>
      <c r="D23" s="55" t="str">
        <f>_xlfn.XLOOKUP(A23,My_Audit!A:A,My_Audit!D:D,"")&amp;""</f>
        <v/>
      </c>
      <c r="E23" s="55" t="str" cm="1">
        <f t="array" ref="E23">IFERROR(_xlfn.LET(
_xlpm.CSVVal,_xlfn.XLOOKUP($A23,CSV!$A:$A,CSV!D:D,""),
_xlpm.MacVal,_xlfn.XLOOKUP($A23,Output_Mac!$A:$A,Output_Mac!C:C,""),
_xlpm.MyAuditVal,_xlfn.XLOOKUP($A23,My_Audit!$A:$A,My_Audit!D:D,""),
_xlfn.IFS(_xlpm.MyAuditVal&lt;&gt;"",_xlpm.MyAuditVal,_xlpm.MacVal&lt;&gt;"",_xlpm.MacVal,_xlpm.CSVVal&lt;&gt;"",_xlpm.CSVVal
)),"")</f>
        <v/>
      </c>
      <c r="F23" s="54" t="str" cm="1">
        <f t="array" ref="F23">IFERROR(_xlfn.LET(
_xlpm.CSVVal,_xlfn.XLOOKUP($A23,CSV!$A:$A,CSV!E:E,""),
_xlpm.MacVal,_xlfn.XLOOKUP($A23,Output_Mac!$A:$A,Output_Mac!F:F,""),
_xlpm.MyAuditVal,_xlfn.XLOOKUP($A23,My_Audit!$A:$A,My_Audit!E:E,""),
_xlfn.IFS(_xlpm.MyAuditVal&lt;&gt;"",_xlpm.MyAuditVal,_xlpm.MacVal&lt;&gt;"",_xlpm.MacVal,_xlpm.CSVVal&lt;&gt;"",PROPER(_xlpm.CSVVal)
)),"")</f>
        <v/>
      </c>
      <c r="G23" s="54" t="str" cm="1">
        <f t="array" ref="G23">IFERROR(_xlfn.LET(
_xlpm.CSVVal,_xlfn.XLOOKUP($A23,CSV!$A:$A,CSV!F:F,""),
_xlpm.MacVal,_xlfn.XLOOKUP($A23,Output_Mac!$A:$A,Output_Mac!H:H,""),
_xlpm.MyAuditVal,_xlfn.XLOOKUP($A23,My_Audit!$A:$A,My_Audit!F:F,""),
_xlfn.IFS(_xlpm.MyAuditVal&lt;&gt;"",_xlpm.MyAuditVal,_xlpm.MacVal&lt;&gt;"",_xlpm.MacVal,_xlpm.CSVVal&lt;&gt;"",_xlpm.CSVVal
)),"")</f>
        <v/>
      </c>
      <c r="H23" s="54" t="str">
        <f>_xlfn.XLOOKUP(A23,Output_Mac!A:A,Output_Mac!I:I,"")</f>
        <v/>
      </c>
      <c r="I23" s="54" t="str" cm="1">
        <f t="array" ref="I23">IFERROR(_xlfn.LET(
_xlpm.CSVVal,_xlfn.XLOOKUP($A23,CSV!$A:$A,CSV!G:G,""),
_xlpm.MacVal,_xlfn.XLOOKUP($A23,Output_Mac!$A:$A,Output_Mac!J:J,""),
_xlpm.MyAuditVal,_xlfn.XLOOKUP($A23,My_Audit!$A:$A,My_Audit!H:H,""),
_xlfn.IFS(_xlpm.MyAuditVal&lt;&gt;"",UPPER(_xlpm.MyAuditVal),_xlpm.MacVal&lt;&gt;"",_xlpm.MacVal,_xlpm.CSVVal&lt;&gt;"",_xlpm.CSVVal
)),"")</f>
        <v/>
      </c>
      <c r="J23" s="54" t="str" cm="1">
        <f t="array" ref="J23">IFERROR(_xlfn.LET(
_xlpm.CSVVal,_xlfn.XLOOKUP($A23,CSV!$A:$A,CSV!I:I,""),
_xlpm.MacVal,_xlfn.XLOOKUP($A23,Output_Mac!$A:$A,Output_Mac!K:K,""),
_xlpm.MyAuditVal,_xlfn.XLOOKUP($A23,My_Audit!$A:$A,My_Audit!I:I,""),
_xlfn.IFS(_xlpm.MyAuditVal&lt;&gt;"",UPPER(_xlpm.MyAuditVal),_xlpm.MacVal&lt;&gt;"",_xlpm.MacVal,_xlpm.CSVVal&lt;&gt;"",_xlpm.CSVVal
)),"")</f>
        <v/>
      </c>
      <c r="K23" s="54" t="str" cm="1">
        <f t="array" ref="K23">IFERROR(_xlfn.LET(
_xlpm.CSVVal,_xlfn.XLOOKUP($A23,CSV!$A:$A,CSV!M:M,""),
_xlpm.MacVal,_xlfn.XLOOKUP($A23,Output_Mac!$A:$A,Output_Mac!L:L,""),
_xlpm.MyAuditVal,_xlfn.XLOOKUP($A23,My_Audit!$A:$A,My_Audit!J:J,""),
_xlfn.IFS(_xlpm.MyAuditVal&lt;&gt;"",UPPER(_xlpm.MyAuditVal),_xlpm.MacVal&lt;&gt;"",_xlpm.MacVal,_xlpm.CSVVal&lt;&gt;"",_xlpm.CSVVal
)),"")</f>
        <v/>
      </c>
      <c r="L23" s="55" t="str" cm="1">
        <f t="array" ref="L23">IFERROR(_xlfn.LET(
_xlpm.CSVVal,_xlfn.XLOOKUP($A23,CSV!$A:$A,CSV!P:P,""),
_xlpm.MacVal,_xlfn.XLOOKUP($A23,Output_Mac!$A:$A,Output_Mac!M:M,""),
_xlpm.MyAuditVal,_xlfn.XLOOKUP($A23,My_Audit!$A:$A,My_Audit!K:K,""),
_xlfn.IFS(_xlpm.MyAuditVal&lt;&gt;"",UPPER(_xlpm.MyAuditVal),_xlpm.MacVal&lt;&gt;"",_xlpm.MacVal,_xlpm.CSVVal&lt;&gt;"",_xlpm.CSVVal
)),"")</f>
        <v/>
      </c>
      <c r="M23" s="54" t="str">
        <f>_xlfn.LET(
    _xlpm.CSVVal, _xlfn.XLOOKUP($A23, CSV!$A:$A, CSV!AD:AD, ""),
    _xlpm.MacVal, _xlfn.XLOOKUP($A23, Output_Mac!$A:$A, Output_Mac!S:S, ""),
    _xlpm.MyAuditVal, _xlfn.XLOOKUP($A23, My_Audit!$A:$A, My_Audit!N:N, ""),
    _xlfn.TEXTJOIN(", ", TRUE, _xlpm.MyAuditVal, _xlpm.MacVal, _xlpm.CSVVal)
)</f>
        <v/>
      </c>
      <c r="N23" s="54" t="str" cm="1">
        <f t="array" ref="N23">IFERROR(_xlfn.LET(
_xlpm.CSVVal,_xlfn.XLOOKUP($A23,CSV!$A:$A,CSV!AF:AF,""),
_xlpm.MacVal,_xlfn.XLOOKUP($A23,Output_Mac!$A:$A,Output_Mac!U:U,""),
_xlpm.MyAuditVal,_xlfn.XLOOKUP($A23,My_Audit!$A:$A,My_Audit!O:O,""),
_xlfn.IFS(_xlpm.MyAuditVal&lt;&gt;"",UPPER(_xlpm.MyAuditVal),_xlpm.MacVal&lt;&gt;"",_xlpm.MacVal,_xlpm.CSVVal&lt;&gt;"",_xlpm.CSVVal
)),"")</f>
        <v/>
      </c>
      <c r="O23" s="54"/>
      <c r="P23" s="54"/>
      <c r="Q23" s="54"/>
      <c r="R23" s="54"/>
      <c r="S23" s="54"/>
      <c r="T23" s="54"/>
      <c r="U23" s="39" t="str">
        <f>_xlfn.LET(
    _xlpm.MacVal, _xlfn.XLOOKUP($A23, Output_Mac!$A:$A, Output_Mac!AB:AB, ""),
    _xlpm.MyAuditVal, _xlfn.XLOOKUP($A23, My_Audit!$A:$A, My_Audit!L:L, ""),
    _xlfn.TEXTJOIN(", ", TRUE, _xlpm.MyAuditVal, _xlpm.MacVal)
)</f>
        <v/>
      </c>
    </row>
    <row r="24" spans="1:21">
      <c r="A24" s="54" t="str">
        <f>_xlfn.TEXTJOIN("",TRUE,Input!$B$2,ROW(My_Audit!A23))</f>
        <v>XX23</v>
      </c>
      <c r="B24" s="54" t="str">
        <f>_xlfn.TEXTJOIN("-",TRUE,"ITD",Input!$A$2,A24)</f>
        <v>ITD-SHRXXX-XX23</v>
      </c>
      <c r="C24" s="54" t="str" cm="1">
        <f t="array" ref="C24">IFERROR(_xlfn.LET(
_xlpm.CSVVal,_xlfn.XLOOKUP($A24,CSV!$A:$A,CSV!B:B,""),
_xlpm.MacVal,_xlfn.XLOOKUP($A24,Output_Mac!$A:$A,Output_Mac!B:B,""),
_xlpm.MyAuditVal,_xlfn.XLOOKUP($A24,My_Audit!$A:$A,My_Audit!B:B,""),
_xlfn.IFS(_xlpm.MyAuditVal&lt;&gt;"",UPPER(_xlpm.MyAuditVal),_xlpm.MacVal&lt;&gt;"",_xlpm.MacVal,_xlpm.CSVVal&lt;&gt;"",_xlpm.CSVVal
)),"")</f>
        <v/>
      </c>
      <c r="D24" s="55" t="str">
        <f>_xlfn.XLOOKUP(A24,My_Audit!A:A,My_Audit!D:D,"")&amp;""</f>
        <v/>
      </c>
      <c r="E24" s="55" t="str" cm="1">
        <f t="array" ref="E24">IFERROR(_xlfn.LET(
_xlpm.CSVVal,_xlfn.XLOOKUP($A24,CSV!$A:$A,CSV!D:D,""),
_xlpm.MacVal,_xlfn.XLOOKUP($A24,Output_Mac!$A:$A,Output_Mac!C:C,""),
_xlpm.MyAuditVal,_xlfn.XLOOKUP($A24,My_Audit!$A:$A,My_Audit!D:D,""),
_xlfn.IFS(_xlpm.MyAuditVal&lt;&gt;"",_xlpm.MyAuditVal,_xlpm.MacVal&lt;&gt;"",_xlpm.MacVal,_xlpm.CSVVal&lt;&gt;"",_xlpm.CSVVal
)),"")</f>
        <v/>
      </c>
      <c r="F24" s="54" t="str" cm="1">
        <f t="array" ref="F24">IFERROR(_xlfn.LET(
_xlpm.CSVVal,_xlfn.XLOOKUP($A24,CSV!$A:$A,CSV!E:E,""),
_xlpm.MacVal,_xlfn.XLOOKUP($A24,Output_Mac!$A:$A,Output_Mac!F:F,""),
_xlpm.MyAuditVal,_xlfn.XLOOKUP($A24,My_Audit!$A:$A,My_Audit!E:E,""),
_xlfn.IFS(_xlpm.MyAuditVal&lt;&gt;"",_xlpm.MyAuditVal,_xlpm.MacVal&lt;&gt;"",_xlpm.MacVal,_xlpm.CSVVal&lt;&gt;"",PROPER(_xlpm.CSVVal)
)),"")</f>
        <v/>
      </c>
      <c r="G24" s="54" t="str" cm="1">
        <f t="array" ref="G24">IFERROR(_xlfn.LET(
_xlpm.CSVVal,_xlfn.XLOOKUP($A24,CSV!$A:$A,CSV!F:F,""),
_xlpm.MacVal,_xlfn.XLOOKUP($A24,Output_Mac!$A:$A,Output_Mac!H:H,""),
_xlpm.MyAuditVal,_xlfn.XLOOKUP($A24,My_Audit!$A:$A,My_Audit!F:F,""),
_xlfn.IFS(_xlpm.MyAuditVal&lt;&gt;"",_xlpm.MyAuditVal,_xlpm.MacVal&lt;&gt;"",_xlpm.MacVal,_xlpm.CSVVal&lt;&gt;"",_xlpm.CSVVal
)),"")</f>
        <v/>
      </c>
      <c r="H24" s="54" t="str">
        <f>_xlfn.XLOOKUP(A24,Output_Mac!A:A,Output_Mac!I:I,"")</f>
        <v/>
      </c>
      <c r="I24" s="54" t="str" cm="1">
        <f t="array" ref="I24">IFERROR(_xlfn.LET(
_xlpm.CSVVal,_xlfn.XLOOKUP($A24,CSV!$A:$A,CSV!G:G,""),
_xlpm.MacVal,_xlfn.XLOOKUP($A24,Output_Mac!$A:$A,Output_Mac!J:J,""),
_xlpm.MyAuditVal,_xlfn.XLOOKUP($A24,My_Audit!$A:$A,My_Audit!H:H,""),
_xlfn.IFS(_xlpm.MyAuditVal&lt;&gt;"",UPPER(_xlpm.MyAuditVal),_xlpm.MacVal&lt;&gt;"",_xlpm.MacVal,_xlpm.CSVVal&lt;&gt;"",_xlpm.CSVVal
)),"")</f>
        <v/>
      </c>
      <c r="J24" s="54" t="str" cm="1">
        <f t="array" ref="J24">IFERROR(_xlfn.LET(
_xlpm.CSVVal,_xlfn.XLOOKUP($A24,CSV!$A:$A,CSV!I:I,""),
_xlpm.MacVal,_xlfn.XLOOKUP($A24,Output_Mac!$A:$A,Output_Mac!K:K,""),
_xlpm.MyAuditVal,_xlfn.XLOOKUP($A24,My_Audit!$A:$A,My_Audit!I:I,""),
_xlfn.IFS(_xlpm.MyAuditVal&lt;&gt;"",UPPER(_xlpm.MyAuditVal),_xlpm.MacVal&lt;&gt;"",_xlpm.MacVal,_xlpm.CSVVal&lt;&gt;"",_xlpm.CSVVal
)),"")</f>
        <v/>
      </c>
      <c r="K24" s="54" t="str" cm="1">
        <f t="array" ref="K24">IFERROR(_xlfn.LET(
_xlpm.CSVVal,_xlfn.XLOOKUP($A24,CSV!$A:$A,CSV!M:M,""),
_xlpm.MacVal,_xlfn.XLOOKUP($A24,Output_Mac!$A:$A,Output_Mac!L:L,""),
_xlpm.MyAuditVal,_xlfn.XLOOKUP($A24,My_Audit!$A:$A,My_Audit!J:J,""),
_xlfn.IFS(_xlpm.MyAuditVal&lt;&gt;"",UPPER(_xlpm.MyAuditVal),_xlpm.MacVal&lt;&gt;"",_xlpm.MacVal,_xlpm.CSVVal&lt;&gt;"",_xlpm.CSVVal
)),"")</f>
        <v/>
      </c>
      <c r="L24" s="55" t="str" cm="1">
        <f t="array" ref="L24">IFERROR(_xlfn.LET(
_xlpm.CSVVal,_xlfn.XLOOKUP($A24,CSV!$A:$A,CSV!P:P,""),
_xlpm.MacVal,_xlfn.XLOOKUP($A24,Output_Mac!$A:$A,Output_Mac!M:M,""),
_xlpm.MyAuditVal,_xlfn.XLOOKUP($A24,My_Audit!$A:$A,My_Audit!K:K,""),
_xlfn.IFS(_xlpm.MyAuditVal&lt;&gt;"",UPPER(_xlpm.MyAuditVal),_xlpm.MacVal&lt;&gt;"",_xlpm.MacVal,_xlpm.CSVVal&lt;&gt;"",_xlpm.CSVVal
)),"")</f>
        <v/>
      </c>
      <c r="M24" s="54" t="str">
        <f>_xlfn.LET(
    _xlpm.CSVVal, _xlfn.XLOOKUP($A24, CSV!$A:$A, CSV!AD:AD, ""),
    _xlpm.MacVal, _xlfn.XLOOKUP($A24, Output_Mac!$A:$A, Output_Mac!S:S, ""),
    _xlpm.MyAuditVal, _xlfn.XLOOKUP($A24, My_Audit!$A:$A, My_Audit!N:N, ""),
    _xlfn.TEXTJOIN(", ", TRUE, _xlpm.MyAuditVal, _xlpm.MacVal, _xlpm.CSVVal)
)</f>
        <v/>
      </c>
      <c r="N24" s="54" t="str" cm="1">
        <f t="array" ref="N24">IFERROR(_xlfn.LET(
_xlpm.CSVVal,_xlfn.XLOOKUP($A24,CSV!$A:$A,CSV!AF:AF,""),
_xlpm.MacVal,_xlfn.XLOOKUP($A24,Output_Mac!$A:$A,Output_Mac!U:U,""),
_xlpm.MyAuditVal,_xlfn.XLOOKUP($A24,My_Audit!$A:$A,My_Audit!O:O,""),
_xlfn.IFS(_xlpm.MyAuditVal&lt;&gt;"",UPPER(_xlpm.MyAuditVal),_xlpm.MacVal&lt;&gt;"",_xlpm.MacVal,_xlpm.CSVVal&lt;&gt;"",_xlpm.CSVVal
)),"")</f>
        <v/>
      </c>
      <c r="O24" s="54"/>
      <c r="P24" s="54"/>
      <c r="Q24" s="54"/>
      <c r="R24" s="54"/>
      <c r="S24" s="54"/>
      <c r="T24" s="54"/>
      <c r="U24" s="39" t="str">
        <f>_xlfn.LET(
    _xlpm.MacVal, _xlfn.XLOOKUP($A24, Output_Mac!$A:$A, Output_Mac!AB:AB, ""),
    _xlpm.MyAuditVal, _xlfn.XLOOKUP($A24, My_Audit!$A:$A, My_Audit!L:L, ""),
    _xlfn.TEXTJOIN(", ", TRUE, _xlpm.MyAuditVal, _xlpm.MacVal)
)</f>
        <v/>
      </c>
    </row>
    <row r="25" spans="1:21">
      <c r="A25" s="54" t="str">
        <f>_xlfn.TEXTJOIN("",TRUE,Input!$B$2,ROW(My_Audit!A24))</f>
        <v>XX24</v>
      </c>
      <c r="B25" s="54" t="str">
        <f>_xlfn.TEXTJOIN("-",TRUE,"ITD",Input!$A$2,A25)</f>
        <v>ITD-SHRXXX-XX24</v>
      </c>
      <c r="C25" s="54" t="str" cm="1">
        <f t="array" ref="C25">IFERROR(_xlfn.LET(
_xlpm.CSVVal,_xlfn.XLOOKUP($A25,CSV!$A:$A,CSV!B:B,""),
_xlpm.MacVal,_xlfn.XLOOKUP($A25,Output_Mac!$A:$A,Output_Mac!B:B,""),
_xlpm.MyAuditVal,_xlfn.XLOOKUP($A25,My_Audit!$A:$A,My_Audit!B:B,""),
_xlfn.IFS(_xlpm.MyAuditVal&lt;&gt;"",UPPER(_xlpm.MyAuditVal),_xlpm.MacVal&lt;&gt;"",_xlpm.MacVal,_xlpm.CSVVal&lt;&gt;"",_xlpm.CSVVal
)),"")</f>
        <v/>
      </c>
      <c r="D25" s="55" t="str">
        <f>_xlfn.XLOOKUP(A25,My_Audit!A:A,My_Audit!D:D,"")&amp;""</f>
        <v/>
      </c>
      <c r="E25" s="55" t="str" cm="1">
        <f t="array" ref="E25">IFERROR(_xlfn.LET(
_xlpm.CSVVal,_xlfn.XLOOKUP($A25,CSV!$A:$A,CSV!D:D,""),
_xlpm.MacVal,_xlfn.XLOOKUP($A25,Output_Mac!$A:$A,Output_Mac!C:C,""),
_xlpm.MyAuditVal,_xlfn.XLOOKUP($A25,My_Audit!$A:$A,My_Audit!D:D,""),
_xlfn.IFS(_xlpm.MyAuditVal&lt;&gt;"",_xlpm.MyAuditVal,_xlpm.MacVal&lt;&gt;"",_xlpm.MacVal,_xlpm.CSVVal&lt;&gt;"",_xlpm.CSVVal
)),"")</f>
        <v/>
      </c>
      <c r="F25" s="54" t="str" cm="1">
        <f t="array" ref="F25">IFERROR(_xlfn.LET(
_xlpm.CSVVal,_xlfn.XLOOKUP($A25,CSV!$A:$A,CSV!E:E,""),
_xlpm.MacVal,_xlfn.XLOOKUP($A25,Output_Mac!$A:$A,Output_Mac!F:F,""),
_xlpm.MyAuditVal,_xlfn.XLOOKUP($A25,My_Audit!$A:$A,My_Audit!E:E,""),
_xlfn.IFS(_xlpm.MyAuditVal&lt;&gt;"",_xlpm.MyAuditVal,_xlpm.MacVal&lt;&gt;"",_xlpm.MacVal,_xlpm.CSVVal&lt;&gt;"",PROPER(_xlpm.CSVVal)
)),"")</f>
        <v/>
      </c>
      <c r="G25" s="54" t="str" cm="1">
        <f t="array" ref="G25">IFERROR(_xlfn.LET(
_xlpm.CSVVal,_xlfn.XLOOKUP($A25,CSV!$A:$A,CSV!F:F,""),
_xlpm.MacVal,_xlfn.XLOOKUP($A25,Output_Mac!$A:$A,Output_Mac!H:H,""),
_xlpm.MyAuditVal,_xlfn.XLOOKUP($A25,My_Audit!$A:$A,My_Audit!F:F,""),
_xlfn.IFS(_xlpm.MyAuditVal&lt;&gt;"",_xlpm.MyAuditVal,_xlpm.MacVal&lt;&gt;"",_xlpm.MacVal,_xlpm.CSVVal&lt;&gt;"",_xlpm.CSVVal
)),"")</f>
        <v/>
      </c>
      <c r="H25" s="54" t="str">
        <f>_xlfn.XLOOKUP(A25,Output_Mac!A:A,Output_Mac!I:I,"")</f>
        <v/>
      </c>
      <c r="I25" s="54" t="str" cm="1">
        <f t="array" ref="I25">IFERROR(_xlfn.LET(
_xlpm.CSVVal,_xlfn.XLOOKUP($A25,CSV!$A:$A,CSV!G:G,""),
_xlpm.MacVal,_xlfn.XLOOKUP($A25,Output_Mac!$A:$A,Output_Mac!J:J,""),
_xlpm.MyAuditVal,_xlfn.XLOOKUP($A25,My_Audit!$A:$A,My_Audit!H:H,""),
_xlfn.IFS(_xlpm.MyAuditVal&lt;&gt;"",UPPER(_xlpm.MyAuditVal),_xlpm.MacVal&lt;&gt;"",_xlpm.MacVal,_xlpm.CSVVal&lt;&gt;"",_xlpm.CSVVal
)),"")</f>
        <v/>
      </c>
      <c r="J25" s="54" t="str" cm="1">
        <f t="array" ref="J25">IFERROR(_xlfn.LET(
_xlpm.CSVVal,_xlfn.XLOOKUP($A25,CSV!$A:$A,CSV!I:I,""),
_xlpm.MacVal,_xlfn.XLOOKUP($A25,Output_Mac!$A:$A,Output_Mac!K:K,""),
_xlpm.MyAuditVal,_xlfn.XLOOKUP($A25,My_Audit!$A:$A,My_Audit!I:I,""),
_xlfn.IFS(_xlpm.MyAuditVal&lt;&gt;"",UPPER(_xlpm.MyAuditVal),_xlpm.MacVal&lt;&gt;"",_xlpm.MacVal,_xlpm.CSVVal&lt;&gt;"",_xlpm.CSVVal
)),"")</f>
        <v/>
      </c>
      <c r="K25" s="54" t="str" cm="1">
        <f t="array" ref="K25">IFERROR(_xlfn.LET(
_xlpm.CSVVal,_xlfn.XLOOKUP($A25,CSV!$A:$A,CSV!M:M,""),
_xlpm.MacVal,_xlfn.XLOOKUP($A25,Output_Mac!$A:$A,Output_Mac!L:L,""),
_xlpm.MyAuditVal,_xlfn.XLOOKUP($A25,My_Audit!$A:$A,My_Audit!J:J,""),
_xlfn.IFS(_xlpm.MyAuditVal&lt;&gt;"",UPPER(_xlpm.MyAuditVal),_xlpm.MacVal&lt;&gt;"",_xlpm.MacVal,_xlpm.CSVVal&lt;&gt;"",_xlpm.CSVVal
)),"")</f>
        <v/>
      </c>
      <c r="L25" s="55" t="str" cm="1">
        <f t="array" ref="L25">IFERROR(_xlfn.LET(
_xlpm.CSVVal,_xlfn.XLOOKUP($A25,CSV!$A:$A,CSV!P:P,""),
_xlpm.MacVal,_xlfn.XLOOKUP($A25,Output_Mac!$A:$A,Output_Mac!M:M,""),
_xlpm.MyAuditVal,_xlfn.XLOOKUP($A25,My_Audit!$A:$A,My_Audit!K:K,""),
_xlfn.IFS(_xlpm.MyAuditVal&lt;&gt;"",UPPER(_xlpm.MyAuditVal),_xlpm.MacVal&lt;&gt;"",_xlpm.MacVal,_xlpm.CSVVal&lt;&gt;"",_xlpm.CSVVal
)),"")</f>
        <v/>
      </c>
      <c r="M25" s="54" t="str">
        <f>_xlfn.LET(
    _xlpm.CSVVal, _xlfn.XLOOKUP($A25, CSV!$A:$A, CSV!AD:AD, ""),
    _xlpm.MacVal, _xlfn.XLOOKUP($A25, Output_Mac!$A:$A, Output_Mac!S:S, ""),
    _xlpm.MyAuditVal, _xlfn.XLOOKUP($A25, My_Audit!$A:$A, My_Audit!N:N, ""),
    _xlfn.TEXTJOIN(", ", TRUE, _xlpm.MyAuditVal, _xlpm.MacVal, _xlpm.CSVVal)
)</f>
        <v/>
      </c>
      <c r="N25" s="54" t="str" cm="1">
        <f t="array" ref="N25">IFERROR(_xlfn.LET(
_xlpm.CSVVal,_xlfn.XLOOKUP($A25,CSV!$A:$A,CSV!AF:AF,""),
_xlpm.MacVal,_xlfn.XLOOKUP($A25,Output_Mac!$A:$A,Output_Mac!U:U,""),
_xlpm.MyAuditVal,_xlfn.XLOOKUP($A25,My_Audit!$A:$A,My_Audit!O:O,""),
_xlfn.IFS(_xlpm.MyAuditVal&lt;&gt;"",UPPER(_xlpm.MyAuditVal),_xlpm.MacVal&lt;&gt;"",_xlpm.MacVal,_xlpm.CSVVal&lt;&gt;"",_xlpm.CSVVal
)),"")</f>
        <v/>
      </c>
      <c r="O25" s="54"/>
      <c r="P25" s="54"/>
      <c r="Q25" s="54"/>
      <c r="R25" s="54"/>
      <c r="S25" s="54"/>
      <c r="T25" s="54"/>
      <c r="U25" s="39" t="str">
        <f>_xlfn.LET(
    _xlpm.MacVal, _xlfn.XLOOKUP($A25, Output_Mac!$A:$A, Output_Mac!AB:AB, ""),
    _xlpm.MyAuditVal, _xlfn.XLOOKUP($A25, My_Audit!$A:$A, My_Audit!L:L, ""),
    _xlfn.TEXTJOIN(", ", TRUE, _xlpm.MyAuditVal, _xlpm.MacVal)
)</f>
        <v/>
      </c>
    </row>
    <row r="26" spans="1:21">
      <c r="A26" s="54" t="str">
        <f>_xlfn.TEXTJOIN("",TRUE,Input!$B$2,ROW(My_Audit!A25))</f>
        <v>XX25</v>
      </c>
      <c r="B26" s="54" t="str">
        <f>_xlfn.TEXTJOIN("-",TRUE,"ITD",Input!$A$2,A26)</f>
        <v>ITD-SHRXXX-XX25</v>
      </c>
      <c r="C26" s="54" t="str" cm="1">
        <f t="array" ref="C26">IFERROR(_xlfn.LET(
_xlpm.CSVVal,_xlfn.XLOOKUP($A26,CSV!$A:$A,CSV!B:B,""),
_xlpm.MacVal,_xlfn.XLOOKUP($A26,Output_Mac!$A:$A,Output_Mac!B:B,""),
_xlpm.MyAuditVal,_xlfn.XLOOKUP($A26,My_Audit!$A:$A,My_Audit!B:B,""),
_xlfn.IFS(_xlpm.MyAuditVal&lt;&gt;"",UPPER(_xlpm.MyAuditVal),_xlpm.MacVal&lt;&gt;"",_xlpm.MacVal,_xlpm.CSVVal&lt;&gt;"",_xlpm.CSVVal
)),"")</f>
        <v/>
      </c>
      <c r="D26" s="55" t="str">
        <f>_xlfn.XLOOKUP(A26,My_Audit!A:A,My_Audit!D:D,"")&amp;""</f>
        <v/>
      </c>
      <c r="E26" s="55" t="str" cm="1">
        <f t="array" ref="E26">IFERROR(_xlfn.LET(
_xlpm.CSVVal,_xlfn.XLOOKUP($A26,CSV!$A:$A,CSV!D:D,""),
_xlpm.MacVal,_xlfn.XLOOKUP($A26,Output_Mac!$A:$A,Output_Mac!C:C,""),
_xlpm.MyAuditVal,_xlfn.XLOOKUP($A26,My_Audit!$A:$A,My_Audit!D:D,""),
_xlfn.IFS(_xlpm.MyAuditVal&lt;&gt;"",_xlpm.MyAuditVal,_xlpm.MacVal&lt;&gt;"",_xlpm.MacVal,_xlpm.CSVVal&lt;&gt;"",_xlpm.CSVVal
)),"")</f>
        <v/>
      </c>
      <c r="F26" s="54" t="str" cm="1">
        <f t="array" ref="F26">IFERROR(_xlfn.LET(
_xlpm.CSVVal,_xlfn.XLOOKUP($A26,CSV!$A:$A,CSV!E:E,""),
_xlpm.MacVal,_xlfn.XLOOKUP($A26,Output_Mac!$A:$A,Output_Mac!F:F,""),
_xlpm.MyAuditVal,_xlfn.XLOOKUP($A26,My_Audit!$A:$A,My_Audit!E:E,""),
_xlfn.IFS(_xlpm.MyAuditVal&lt;&gt;"",_xlpm.MyAuditVal,_xlpm.MacVal&lt;&gt;"",_xlpm.MacVal,_xlpm.CSVVal&lt;&gt;"",PROPER(_xlpm.CSVVal)
)),"")</f>
        <v/>
      </c>
      <c r="G26" s="54" t="str" cm="1">
        <f t="array" ref="G26">IFERROR(_xlfn.LET(
_xlpm.CSVVal,_xlfn.XLOOKUP($A26,CSV!$A:$A,CSV!F:F,""),
_xlpm.MacVal,_xlfn.XLOOKUP($A26,Output_Mac!$A:$A,Output_Mac!H:H,""),
_xlpm.MyAuditVal,_xlfn.XLOOKUP($A26,My_Audit!$A:$A,My_Audit!F:F,""),
_xlfn.IFS(_xlpm.MyAuditVal&lt;&gt;"",_xlpm.MyAuditVal,_xlpm.MacVal&lt;&gt;"",_xlpm.MacVal,_xlpm.CSVVal&lt;&gt;"",_xlpm.CSVVal
)),"")</f>
        <v/>
      </c>
      <c r="H26" s="54" t="str">
        <f>_xlfn.XLOOKUP(A26,Output_Mac!A:A,Output_Mac!I:I,"")</f>
        <v/>
      </c>
      <c r="I26" s="54" t="str" cm="1">
        <f t="array" ref="I26">IFERROR(_xlfn.LET(
_xlpm.CSVVal,_xlfn.XLOOKUP($A26,CSV!$A:$A,CSV!G:G,""),
_xlpm.MacVal,_xlfn.XLOOKUP($A26,Output_Mac!$A:$A,Output_Mac!J:J,""),
_xlpm.MyAuditVal,_xlfn.XLOOKUP($A26,My_Audit!$A:$A,My_Audit!H:H,""),
_xlfn.IFS(_xlpm.MyAuditVal&lt;&gt;"",UPPER(_xlpm.MyAuditVal),_xlpm.MacVal&lt;&gt;"",_xlpm.MacVal,_xlpm.CSVVal&lt;&gt;"",_xlpm.CSVVal
)),"")</f>
        <v/>
      </c>
      <c r="J26" s="54" t="str" cm="1">
        <f t="array" ref="J26">IFERROR(_xlfn.LET(
_xlpm.CSVVal,_xlfn.XLOOKUP($A26,CSV!$A:$A,CSV!I:I,""),
_xlpm.MacVal,_xlfn.XLOOKUP($A26,Output_Mac!$A:$A,Output_Mac!K:K,""),
_xlpm.MyAuditVal,_xlfn.XLOOKUP($A26,My_Audit!$A:$A,My_Audit!I:I,""),
_xlfn.IFS(_xlpm.MyAuditVal&lt;&gt;"",UPPER(_xlpm.MyAuditVal),_xlpm.MacVal&lt;&gt;"",_xlpm.MacVal,_xlpm.CSVVal&lt;&gt;"",_xlpm.CSVVal
)),"")</f>
        <v/>
      </c>
      <c r="K26" s="54" t="str" cm="1">
        <f t="array" ref="K26">IFERROR(_xlfn.LET(
_xlpm.CSVVal,_xlfn.XLOOKUP($A26,CSV!$A:$A,CSV!M:M,""),
_xlpm.MacVal,_xlfn.XLOOKUP($A26,Output_Mac!$A:$A,Output_Mac!L:L,""),
_xlpm.MyAuditVal,_xlfn.XLOOKUP($A26,My_Audit!$A:$A,My_Audit!J:J,""),
_xlfn.IFS(_xlpm.MyAuditVal&lt;&gt;"",UPPER(_xlpm.MyAuditVal),_xlpm.MacVal&lt;&gt;"",_xlpm.MacVal,_xlpm.CSVVal&lt;&gt;"",_xlpm.CSVVal
)),"")</f>
        <v/>
      </c>
      <c r="L26" s="55" t="str" cm="1">
        <f t="array" ref="L26">IFERROR(_xlfn.LET(
_xlpm.CSVVal,_xlfn.XLOOKUP($A26,CSV!$A:$A,CSV!P:P,""),
_xlpm.MacVal,_xlfn.XLOOKUP($A26,Output_Mac!$A:$A,Output_Mac!M:M,""),
_xlpm.MyAuditVal,_xlfn.XLOOKUP($A26,My_Audit!$A:$A,My_Audit!K:K,""),
_xlfn.IFS(_xlpm.MyAuditVal&lt;&gt;"",UPPER(_xlpm.MyAuditVal),_xlpm.MacVal&lt;&gt;"",_xlpm.MacVal,_xlpm.CSVVal&lt;&gt;"",_xlpm.CSVVal
)),"")</f>
        <v/>
      </c>
      <c r="M26" s="54" t="str">
        <f>_xlfn.LET(
    _xlpm.CSVVal, _xlfn.XLOOKUP($A26, CSV!$A:$A, CSV!AD:AD, ""),
    _xlpm.MacVal, _xlfn.XLOOKUP($A26, Output_Mac!$A:$A, Output_Mac!S:S, ""),
    _xlpm.MyAuditVal, _xlfn.XLOOKUP($A26, My_Audit!$A:$A, My_Audit!N:N, ""),
    _xlfn.TEXTJOIN(", ", TRUE, _xlpm.MyAuditVal, _xlpm.MacVal, _xlpm.CSVVal)
)</f>
        <v/>
      </c>
      <c r="N26" s="54" t="str" cm="1">
        <f t="array" ref="N26">IFERROR(_xlfn.LET(
_xlpm.CSVVal,_xlfn.XLOOKUP($A26,CSV!$A:$A,CSV!AF:AF,""),
_xlpm.MacVal,_xlfn.XLOOKUP($A26,Output_Mac!$A:$A,Output_Mac!U:U,""),
_xlpm.MyAuditVal,_xlfn.XLOOKUP($A26,My_Audit!$A:$A,My_Audit!O:O,""),
_xlfn.IFS(_xlpm.MyAuditVal&lt;&gt;"",UPPER(_xlpm.MyAuditVal),_xlpm.MacVal&lt;&gt;"",_xlpm.MacVal,_xlpm.CSVVal&lt;&gt;"",_xlpm.CSVVal
)),"")</f>
        <v/>
      </c>
      <c r="O26" s="54"/>
      <c r="P26" s="54"/>
      <c r="Q26" s="54"/>
      <c r="R26" s="54"/>
      <c r="S26" s="54"/>
      <c r="T26" s="54"/>
      <c r="U26" s="39" t="str">
        <f>_xlfn.LET(
    _xlpm.MacVal, _xlfn.XLOOKUP($A26, Output_Mac!$A:$A, Output_Mac!AB:AB, ""),
    _xlpm.MyAuditVal, _xlfn.XLOOKUP($A26, My_Audit!$A:$A, My_Audit!L:L, ""),
    _xlfn.TEXTJOIN(", ", TRUE, _xlpm.MyAuditVal, _xlpm.MacVal)
)</f>
        <v/>
      </c>
    </row>
    <row r="27" spans="1:21">
      <c r="A27" s="54" t="str">
        <f>_xlfn.TEXTJOIN("",TRUE,Input!$B$2,ROW(My_Audit!A26))</f>
        <v>XX26</v>
      </c>
      <c r="B27" s="54" t="str">
        <f>_xlfn.TEXTJOIN("-",TRUE,"ITD",Input!$A$2,A27)</f>
        <v>ITD-SHRXXX-XX26</v>
      </c>
      <c r="C27" s="54" t="str" cm="1">
        <f t="array" ref="C27">IFERROR(_xlfn.LET(
_xlpm.CSVVal,_xlfn.XLOOKUP($A27,CSV!$A:$A,CSV!B:B,""),
_xlpm.MacVal,_xlfn.XLOOKUP($A27,Output_Mac!$A:$A,Output_Mac!B:B,""),
_xlpm.MyAuditVal,_xlfn.XLOOKUP($A27,My_Audit!$A:$A,My_Audit!B:B,""),
_xlfn.IFS(_xlpm.MyAuditVal&lt;&gt;"",UPPER(_xlpm.MyAuditVal),_xlpm.MacVal&lt;&gt;"",_xlpm.MacVal,_xlpm.CSVVal&lt;&gt;"",_xlpm.CSVVal
)),"")</f>
        <v/>
      </c>
      <c r="D27" s="55" t="str">
        <f>_xlfn.XLOOKUP(A27,My_Audit!A:A,My_Audit!D:D,"")&amp;""</f>
        <v/>
      </c>
      <c r="E27" s="55" t="str" cm="1">
        <f t="array" ref="E27">IFERROR(_xlfn.LET(
_xlpm.CSVVal,_xlfn.XLOOKUP($A27,CSV!$A:$A,CSV!D:D,""),
_xlpm.MacVal,_xlfn.XLOOKUP($A27,Output_Mac!$A:$A,Output_Mac!C:C,""),
_xlpm.MyAuditVal,_xlfn.XLOOKUP($A27,My_Audit!$A:$A,My_Audit!D:D,""),
_xlfn.IFS(_xlpm.MyAuditVal&lt;&gt;"",_xlpm.MyAuditVal,_xlpm.MacVal&lt;&gt;"",_xlpm.MacVal,_xlpm.CSVVal&lt;&gt;"",_xlpm.CSVVal
)),"")</f>
        <v/>
      </c>
      <c r="F27" s="54" t="str" cm="1">
        <f t="array" ref="F27">IFERROR(_xlfn.LET(
_xlpm.CSVVal,_xlfn.XLOOKUP($A27,CSV!$A:$A,CSV!E:E,""),
_xlpm.MacVal,_xlfn.XLOOKUP($A27,Output_Mac!$A:$A,Output_Mac!F:F,""),
_xlpm.MyAuditVal,_xlfn.XLOOKUP($A27,My_Audit!$A:$A,My_Audit!E:E,""),
_xlfn.IFS(_xlpm.MyAuditVal&lt;&gt;"",_xlpm.MyAuditVal,_xlpm.MacVal&lt;&gt;"",_xlpm.MacVal,_xlpm.CSVVal&lt;&gt;"",PROPER(_xlpm.CSVVal)
)),"")</f>
        <v/>
      </c>
      <c r="G27" s="54" t="str" cm="1">
        <f t="array" ref="G27">IFERROR(_xlfn.LET(
_xlpm.CSVVal,_xlfn.XLOOKUP($A27,CSV!$A:$A,CSV!F:F,""),
_xlpm.MacVal,_xlfn.XLOOKUP($A27,Output_Mac!$A:$A,Output_Mac!H:H,""),
_xlpm.MyAuditVal,_xlfn.XLOOKUP($A27,My_Audit!$A:$A,My_Audit!F:F,""),
_xlfn.IFS(_xlpm.MyAuditVal&lt;&gt;"",_xlpm.MyAuditVal,_xlpm.MacVal&lt;&gt;"",_xlpm.MacVal,_xlpm.CSVVal&lt;&gt;"",_xlpm.CSVVal
)),"")</f>
        <v/>
      </c>
      <c r="H27" s="54" t="str">
        <f>_xlfn.XLOOKUP(A27,Output_Mac!A:A,Output_Mac!I:I,"")</f>
        <v/>
      </c>
      <c r="I27" s="54" t="str" cm="1">
        <f t="array" ref="I27">IFERROR(_xlfn.LET(
_xlpm.CSVVal,_xlfn.XLOOKUP($A27,CSV!$A:$A,CSV!G:G,""),
_xlpm.MacVal,_xlfn.XLOOKUP($A27,Output_Mac!$A:$A,Output_Mac!J:J,""),
_xlpm.MyAuditVal,_xlfn.XLOOKUP($A27,My_Audit!$A:$A,My_Audit!H:H,""),
_xlfn.IFS(_xlpm.MyAuditVal&lt;&gt;"",UPPER(_xlpm.MyAuditVal),_xlpm.MacVal&lt;&gt;"",_xlpm.MacVal,_xlpm.CSVVal&lt;&gt;"",_xlpm.CSVVal
)),"")</f>
        <v/>
      </c>
      <c r="J27" s="54" t="str" cm="1">
        <f t="array" ref="J27">IFERROR(_xlfn.LET(
_xlpm.CSVVal,_xlfn.XLOOKUP($A27,CSV!$A:$A,CSV!I:I,""),
_xlpm.MacVal,_xlfn.XLOOKUP($A27,Output_Mac!$A:$A,Output_Mac!K:K,""),
_xlpm.MyAuditVal,_xlfn.XLOOKUP($A27,My_Audit!$A:$A,My_Audit!I:I,""),
_xlfn.IFS(_xlpm.MyAuditVal&lt;&gt;"",UPPER(_xlpm.MyAuditVal),_xlpm.MacVal&lt;&gt;"",_xlpm.MacVal,_xlpm.CSVVal&lt;&gt;"",_xlpm.CSVVal
)),"")</f>
        <v/>
      </c>
      <c r="K27" s="54" t="str" cm="1">
        <f t="array" ref="K27">IFERROR(_xlfn.LET(
_xlpm.CSVVal,_xlfn.XLOOKUP($A27,CSV!$A:$A,CSV!M:M,""),
_xlpm.MacVal,_xlfn.XLOOKUP($A27,Output_Mac!$A:$A,Output_Mac!L:L,""),
_xlpm.MyAuditVal,_xlfn.XLOOKUP($A27,My_Audit!$A:$A,My_Audit!J:J,""),
_xlfn.IFS(_xlpm.MyAuditVal&lt;&gt;"",UPPER(_xlpm.MyAuditVal),_xlpm.MacVal&lt;&gt;"",_xlpm.MacVal,_xlpm.CSVVal&lt;&gt;"",_xlpm.CSVVal
)),"")</f>
        <v/>
      </c>
      <c r="L27" s="55" t="str" cm="1">
        <f t="array" ref="L27">IFERROR(_xlfn.LET(
_xlpm.CSVVal,_xlfn.XLOOKUP($A27,CSV!$A:$A,CSV!P:P,""),
_xlpm.MacVal,_xlfn.XLOOKUP($A27,Output_Mac!$A:$A,Output_Mac!M:M,""),
_xlpm.MyAuditVal,_xlfn.XLOOKUP($A27,My_Audit!$A:$A,My_Audit!K:K,""),
_xlfn.IFS(_xlpm.MyAuditVal&lt;&gt;"",UPPER(_xlpm.MyAuditVal),_xlpm.MacVal&lt;&gt;"",_xlpm.MacVal,_xlpm.CSVVal&lt;&gt;"",_xlpm.CSVVal
)),"")</f>
        <v/>
      </c>
      <c r="M27" s="54" t="str">
        <f>_xlfn.LET(
    _xlpm.CSVVal, _xlfn.XLOOKUP($A27, CSV!$A:$A, CSV!AD:AD, ""),
    _xlpm.MacVal, _xlfn.XLOOKUP($A27, Output_Mac!$A:$A, Output_Mac!S:S, ""),
    _xlpm.MyAuditVal, _xlfn.XLOOKUP($A27, My_Audit!$A:$A, My_Audit!N:N, ""),
    _xlfn.TEXTJOIN(", ", TRUE, _xlpm.MyAuditVal, _xlpm.MacVal, _xlpm.CSVVal)
)</f>
        <v/>
      </c>
      <c r="N27" s="54" t="str" cm="1">
        <f t="array" ref="N27">IFERROR(_xlfn.LET(
_xlpm.CSVVal,_xlfn.XLOOKUP($A27,CSV!$A:$A,CSV!AF:AF,""),
_xlpm.MacVal,_xlfn.XLOOKUP($A27,Output_Mac!$A:$A,Output_Mac!U:U,""),
_xlpm.MyAuditVal,_xlfn.XLOOKUP($A27,My_Audit!$A:$A,My_Audit!O:O,""),
_xlfn.IFS(_xlpm.MyAuditVal&lt;&gt;"",UPPER(_xlpm.MyAuditVal),_xlpm.MacVal&lt;&gt;"",_xlpm.MacVal,_xlpm.CSVVal&lt;&gt;"",_xlpm.CSVVal
)),"")</f>
        <v/>
      </c>
      <c r="O27" s="54"/>
      <c r="P27" s="54"/>
      <c r="Q27" s="54"/>
      <c r="R27" s="54"/>
      <c r="S27" s="54"/>
      <c r="T27" s="54"/>
      <c r="U27" s="39" t="str">
        <f>_xlfn.LET(
    _xlpm.MacVal, _xlfn.XLOOKUP($A27, Output_Mac!$A:$A, Output_Mac!AB:AB, ""),
    _xlpm.MyAuditVal, _xlfn.XLOOKUP($A27, My_Audit!$A:$A, My_Audit!L:L, ""),
    _xlfn.TEXTJOIN(", ", TRUE, _xlpm.MyAuditVal, _xlpm.MacVal)
)</f>
        <v/>
      </c>
    </row>
    <row r="28" spans="1:21">
      <c r="A28" s="54" t="str">
        <f>_xlfn.TEXTJOIN("",TRUE,Input!$B$2,ROW(My_Audit!A27))</f>
        <v>XX27</v>
      </c>
      <c r="B28" s="54" t="str">
        <f>_xlfn.TEXTJOIN("-",TRUE,"ITD",Input!$A$2,A28)</f>
        <v>ITD-SHRXXX-XX27</v>
      </c>
      <c r="C28" s="54" t="str" cm="1">
        <f t="array" ref="C28">IFERROR(_xlfn.LET(
_xlpm.CSVVal,_xlfn.XLOOKUP($A28,CSV!$A:$A,CSV!B:B,""),
_xlpm.MacVal,_xlfn.XLOOKUP($A28,Output_Mac!$A:$A,Output_Mac!B:B,""),
_xlpm.MyAuditVal,_xlfn.XLOOKUP($A28,My_Audit!$A:$A,My_Audit!B:B,""),
_xlfn.IFS(_xlpm.MyAuditVal&lt;&gt;"",UPPER(_xlpm.MyAuditVal),_xlpm.MacVal&lt;&gt;"",_xlpm.MacVal,_xlpm.CSVVal&lt;&gt;"",_xlpm.CSVVal
)),"")</f>
        <v/>
      </c>
      <c r="D28" s="55" t="str">
        <f>_xlfn.XLOOKUP(A28,My_Audit!A:A,My_Audit!D:D,"")&amp;""</f>
        <v/>
      </c>
      <c r="E28" s="55" t="str" cm="1">
        <f t="array" ref="E28">IFERROR(_xlfn.LET(
_xlpm.CSVVal,_xlfn.XLOOKUP($A28,CSV!$A:$A,CSV!D:D,""),
_xlpm.MacVal,_xlfn.XLOOKUP($A28,Output_Mac!$A:$A,Output_Mac!C:C,""),
_xlpm.MyAuditVal,_xlfn.XLOOKUP($A28,My_Audit!$A:$A,My_Audit!D:D,""),
_xlfn.IFS(_xlpm.MyAuditVal&lt;&gt;"",_xlpm.MyAuditVal,_xlpm.MacVal&lt;&gt;"",_xlpm.MacVal,_xlpm.CSVVal&lt;&gt;"",_xlpm.CSVVal
)),"")</f>
        <v/>
      </c>
      <c r="F28" s="54" t="str" cm="1">
        <f t="array" ref="F28">IFERROR(_xlfn.LET(
_xlpm.CSVVal,_xlfn.XLOOKUP($A28,CSV!$A:$A,CSV!E:E,""),
_xlpm.MacVal,_xlfn.XLOOKUP($A28,Output_Mac!$A:$A,Output_Mac!F:F,""),
_xlpm.MyAuditVal,_xlfn.XLOOKUP($A28,My_Audit!$A:$A,My_Audit!E:E,""),
_xlfn.IFS(_xlpm.MyAuditVal&lt;&gt;"",_xlpm.MyAuditVal,_xlpm.MacVal&lt;&gt;"",_xlpm.MacVal,_xlpm.CSVVal&lt;&gt;"",PROPER(_xlpm.CSVVal)
)),"")</f>
        <v/>
      </c>
      <c r="G28" s="54" t="str" cm="1">
        <f t="array" ref="G28">IFERROR(_xlfn.LET(
_xlpm.CSVVal,_xlfn.XLOOKUP($A28,CSV!$A:$A,CSV!F:F,""),
_xlpm.MacVal,_xlfn.XLOOKUP($A28,Output_Mac!$A:$A,Output_Mac!H:H,""),
_xlpm.MyAuditVal,_xlfn.XLOOKUP($A28,My_Audit!$A:$A,My_Audit!F:F,""),
_xlfn.IFS(_xlpm.MyAuditVal&lt;&gt;"",_xlpm.MyAuditVal,_xlpm.MacVal&lt;&gt;"",_xlpm.MacVal,_xlpm.CSVVal&lt;&gt;"",_xlpm.CSVVal
)),"")</f>
        <v/>
      </c>
      <c r="H28" s="54" t="str">
        <f>_xlfn.XLOOKUP(A28,Output_Mac!A:A,Output_Mac!I:I,"")</f>
        <v/>
      </c>
      <c r="I28" s="54" t="str" cm="1">
        <f t="array" ref="I28">IFERROR(_xlfn.LET(
_xlpm.CSVVal,_xlfn.XLOOKUP($A28,CSV!$A:$A,CSV!G:G,""),
_xlpm.MacVal,_xlfn.XLOOKUP($A28,Output_Mac!$A:$A,Output_Mac!J:J,""),
_xlpm.MyAuditVal,_xlfn.XLOOKUP($A28,My_Audit!$A:$A,My_Audit!H:H,""),
_xlfn.IFS(_xlpm.MyAuditVal&lt;&gt;"",UPPER(_xlpm.MyAuditVal),_xlpm.MacVal&lt;&gt;"",_xlpm.MacVal,_xlpm.CSVVal&lt;&gt;"",_xlpm.CSVVal
)),"")</f>
        <v/>
      </c>
      <c r="J28" s="54" t="str" cm="1">
        <f t="array" ref="J28">IFERROR(_xlfn.LET(
_xlpm.CSVVal,_xlfn.XLOOKUP($A28,CSV!$A:$A,CSV!I:I,""),
_xlpm.MacVal,_xlfn.XLOOKUP($A28,Output_Mac!$A:$A,Output_Mac!K:K,""),
_xlpm.MyAuditVal,_xlfn.XLOOKUP($A28,My_Audit!$A:$A,My_Audit!I:I,""),
_xlfn.IFS(_xlpm.MyAuditVal&lt;&gt;"",UPPER(_xlpm.MyAuditVal),_xlpm.MacVal&lt;&gt;"",_xlpm.MacVal,_xlpm.CSVVal&lt;&gt;"",_xlpm.CSVVal
)),"")</f>
        <v/>
      </c>
      <c r="K28" s="54" t="str" cm="1">
        <f t="array" ref="K28">IFERROR(_xlfn.LET(
_xlpm.CSVVal,_xlfn.XLOOKUP($A28,CSV!$A:$A,CSV!M:M,""),
_xlpm.MacVal,_xlfn.XLOOKUP($A28,Output_Mac!$A:$A,Output_Mac!L:L,""),
_xlpm.MyAuditVal,_xlfn.XLOOKUP($A28,My_Audit!$A:$A,My_Audit!J:J,""),
_xlfn.IFS(_xlpm.MyAuditVal&lt;&gt;"",UPPER(_xlpm.MyAuditVal),_xlpm.MacVal&lt;&gt;"",_xlpm.MacVal,_xlpm.CSVVal&lt;&gt;"",_xlpm.CSVVal
)),"")</f>
        <v/>
      </c>
      <c r="L28" s="55" t="str" cm="1">
        <f t="array" ref="L28">IFERROR(_xlfn.LET(
_xlpm.CSVVal,_xlfn.XLOOKUP($A28,CSV!$A:$A,CSV!P:P,""),
_xlpm.MacVal,_xlfn.XLOOKUP($A28,Output_Mac!$A:$A,Output_Mac!M:M,""),
_xlpm.MyAuditVal,_xlfn.XLOOKUP($A28,My_Audit!$A:$A,My_Audit!K:K,""),
_xlfn.IFS(_xlpm.MyAuditVal&lt;&gt;"",UPPER(_xlpm.MyAuditVal),_xlpm.MacVal&lt;&gt;"",_xlpm.MacVal,_xlpm.CSVVal&lt;&gt;"",_xlpm.CSVVal
)),"")</f>
        <v/>
      </c>
      <c r="M28" s="54" t="str">
        <f>_xlfn.LET(
    _xlpm.CSVVal, _xlfn.XLOOKUP($A28, CSV!$A:$A, CSV!AD:AD, ""),
    _xlpm.MacVal, _xlfn.XLOOKUP($A28, Output_Mac!$A:$A, Output_Mac!S:S, ""),
    _xlpm.MyAuditVal, _xlfn.XLOOKUP($A28, My_Audit!$A:$A, My_Audit!N:N, ""),
    _xlfn.TEXTJOIN(", ", TRUE, _xlpm.MyAuditVal, _xlpm.MacVal, _xlpm.CSVVal)
)</f>
        <v/>
      </c>
      <c r="N28" s="54" t="str" cm="1">
        <f t="array" ref="N28">IFERROR(_xlfn.LET(
_xlpm.CSVVal,_xlfn.XLOOKUP($A28,CSV!$A:$A,CSV!AF:AF,""),
_xlpm.MacVal,_xlfn.XLOOKUP($A28,Output_Mac!$A:$A,Output_Mac!U:U,""),
_xlpm.MyAuditVal,_xlfn.XLOOKUP($A28,My_Audit!$A:$A,My_Audit!O:O,""),
_xlfn.IFS(_xlpm.MyAuditVal&lt;&gt;"",UPPER(_xlpm.MyAuditVal),_xlpm.MacVal&lt;&gt;"",_xlpm.MacVal,_xlpm.CSVVal&lt;&gt;"",_xlpm.CSVVal
)),"")</f>
        <v/>
      </c>
      <c r="O28" s="54"/>
      <c r="P28" s="54"/>
      <c r="Q28" s="54"/>
      <c r="R28" s="54"/>
      <c r="S28" s="54"/>
      <c r="T28" s="54"/>
      <c r="U28" s="39" t="str">
        <f>_xlfn.LET(
    _xlpm.MacVal, _xlfn.XLOOKUP($A28, Output_Mac!$A:$A, Output_Mac!AB:AB, ""),
    _xlpm.MyAuditVal, _xlfn.XLOOKUP($A28, My_Audit!$A:$A, My_Audit!L:L, ""),
    _xlfn.TEXTJOIN(", ", TRUE, _xlpm.MyAuditVal, _xlpm.MacVal)
)</f>
        <v/>
      </c>
    </row>
    <row r="29" spans="1:21">
      <c r="A29" s="54" t="str">
        <f>_xlfn.TEXTJOIN("",TRUE,Input!$B$2,ROW(My_Audit!A28))</f>
        <v>XX28</v>
      </c>
      <c r="B29" s="54" t="str">
        <f>_xlfn.TEXTJOIN("-",TRUE,"ITD",Input!$A$2,A29)</f>
        <v>ITD-SHRXXX-XX28</v>
      </c>
      <c r="C29" s="54" t="str" cm="1">
        <f t="array" ref="C29">IFERROR(_xlfn.LET(
_xlpm.CSVVal,_xlfn.XLOOKUP($A29,CSV!$A:$A,CSV!B:B,""),
_xlpm.MacVal,_xlfn.XLOOKUP($A29,Output_Mac!$A:$A,Output_Mac!B:B,""),
_xlpm.MyAuditVal,_xlfn.XLOOKUP($A29,My_Audit!$A:$A,My_Audit!B:B,""),
_xlfn.IFS(_xlpm.MyAuditVal&lt;&gt;"",UPPER(_xlpm.MyAuditVal),_xlpm.MacVal&lt;&gt;"",_xlpm.MacVal,_xlpm.CSVVal&lt;&gt;"",_xlpm.CSVVal
)),"")</f>
        <v/>
      </c>
      <c r="D29" s="55" t="str">
        <f>_xlfn.XLOOKUP(A29,My_Audit!A:A,My_Audit!D:D,"")&amp;""</f>
        <v/>
      </c>
      <c r="E29" s="55" t="str" cm="1">
        <f t="array" ref="E29">IFERROR(_xlfn.LET(
_xlpm.CSVVal,_xlfn.XLOOKUP($A29,CSV!$A:$A,CSV!D:D,""),
_xlpm.MacVal,_xlfn.XLOOKUP($A29,Output_Mac!$A:$A,Output_Mac!C:C,""),
_xlpm.MyAuditVal,_xlfn.XLOOKUP($A29,My_Audit!$A:$A,My_Audit!D:D,""),
_xlfn.IFS(_xlpm.MyAuditVal&lt;&gt;"",_xlpm.MyAuditVal,_xlpm.MacVal&lt;&gt;"",_xlpm.MacVal,_xlpm.CSVVal&lt;&gt;"",_xlpm.CSVVal
)),"")</f>
        <v/>
      </c>
      <c r="F29" s="54" t="str" cm="1">
        <f t="array" ref="F29">IFERROR(_xlfn.LET(
_xlpm.CSVVal,_xlfn.XLOOKUP($A29,CSV!$A:$A,CSV!E:E,""),
_xlpm.MacVal,_xlfn.XLOOKUP($A29,Output_Mac!$A:$A,Output_Mac!F:F,""),
_xlpm.MyAuditVal,_xlfn.XLOOKUP($A29,My_Audit!$A:$A,My_Audit!E:E,""),
_xlfn.IFS(_xlpm.MyAuditVal&lt;&gt;"",_xlpm.MyAuditVal,_xlpm.MacVal&lt;&gt;"",_xlpm.MacVal,_xlpm.CSVVal&lt;&gt;"",PROPER(_xlpm.CSVVal)
)),"")</f>
        <v/>
      </c>
      <c r="G29" s="54" t="str" cm="1">
        <f t="array" ref="G29">IFERROR(_xlfn.LET(
_xlpm.CSVVal,_xlfn.XLOOKUP($A29,CSV!$A:$A,CSV!F:F,""),
_xlpm.MacVal,_xlfn.XLOOKUP($A29,Output_Mac!$A:$A,Output_Mac!H:H,""),
_xlpm.MyAuditVal,_xlfn.XLOOKUP($A29,My_Audit!$A:$A,My_Audit!F:F,""),
_xlfn.IFS(_xlpm.MyAuditVal&lt;&gt;"",_xlpm.MyAuditVal,_xlpm.MacVal&lt;&gt;"",_xlpm.MacVal,_xlpm.CSVVal&lt;&gt;"",_xlpm.CSVVal
)),"")</f>
        <v/>
      </c>
      <c r="H29" s="54" t="str">
        <f>_xlfn.XLOOKUP(A29,Output_Mac!A:A,Output_Mac!I:I,"")</f>
        <v/>
      </c>
      <c r="I29" s="54" t="str" cm="1">
        <f t="array" ref="I29">IFERROR(_xlfn.LET(
_xlpm.CSVVal,_xlfn.XLOOKUP($A29,CSV!$A:$A,CSV!G:G,""),
_xlpm.MacVal,_xlfn.XLOOKUP($A29,Output_Mac!$A:$A,Output_Mac!J:J,""),
_xlpm.MyAuditVal,_xlfn.XLOOKUP($A29,My_Audit!$A:$A,My_Audit!H:H,""),
_xlfn.IFS(_xlpm.MyAuditVal&lt;&gt;"",UPPER(_xlpm.MyAuditVal),_xlpm.MacVal&lt;&gt;"",_xlpm.MacVal,_xlpm.CSVVal&lt;&gt;"",_xlpm.CSVVal
)),"")</f>
        <v/>
      </c>
      <c r="J29" s="54" t="str" cm="1">
        <f t="array" ref="J29">IFERROR(_xlfn.LET(
_xlpm.CSVVal,_xlfn.XLOOKUP($A29,CSV!$A:$A,CSV!I:I,""),
_xlpm.MacVal,_xlfn.XLOOKUP($A29,Output_Mac!$A:$A,Output_Mac!K:K,""),
_xlpm.MyAuditVal,_xlfn.XLOOKUP($A29,My_Audit!$A:$A,My_Audit!I:I,""),
_xlfn.IFS(_xlpm.MyAuditVal&lt;&gt;"",UPPER(_xlpm.MyAuditVal),_xlpm.MacVal&lt;&gt;"",_xlpm.MacVal,_xlpm.CSVVal&lt;&gt;"",_xlpm.CSVVal
)),"")</f>
        <v/>
      </c>
      <c r="K29" s="54" t="str" cm="1">
        <f t="array" ref="K29">IFERROR(_xlfn.LET(
_xlpm.CSVVal,_xlfn.XLOOKUP($A29,CSV!$A:$A,CSV!M:M,""),
_xlpm.MacVal,_xlfn.XLOOKUP($A29,Output_Mac!$A:$A,Output_Mac!L:L,""),
_xlpm.MyAuditVal,_xlfn.XLOOKUP($A29,My_Audit!$A:$A,My_Audit!J:J,""),
_xlfn.IFS(_xlpm.MyAuditVal&lt;&gt;"",UPPER(_xlpm.MyAuditVal),_xlpm.MacVal&lt;&gt;"",_xlpm.MacVal,_xlpm.CSVVal&lt;&gt;"",_xlpm.CSVVal
)),"")</f>
        <v/>
      </c>
      <c r="L29" s="55" t="str" cm="1">
        <f t="array" ref="L29">IFERROR(_xlfn.LET(
_xlpm.CSVVal,_xlfn.XLOOKUP($A29,CSV!$A:$A,CSV!P:P,""),
_xlpm.MacVal,_xlfn.XLOOKUP($A29,Output_Mac!$A:$A,Output_Mac!M:M,""),
_xlpm.MyAuditVal,_xlfn.XLOOKUP($A29,My_Audit!$A:$A,My_Audit!K:K,""),
_xlfn.IFS(_xlpm.MyAuditVal&lt;&gt;"",UPPER(_xlpm.MyAuditVal),_xlpm.MacVal&lt;&gt;"",_xlpm.MacVal,_xlpm.CSVVal&lt;&gt;"",_xlpm.CSVVal
)),"")</f>
        <v/>
      </c>
      <c r="M29" s="54" t="str">
        <f>_xlfn.LET(
    _xlpm.CSVVal, _xlfn.XLOOKUP($A29, CSV!$A:$A, CSV!AD:AD, ""),
    _xlpm.MacVal, _xlfn.XLOOKUP($A29, Output_Mac!$A:$A, Output_Mac!S:S, ""),
    _xlpm.MyAuditVal, _xlfn.XLOOKUP($A29, My_Audit!$A:$A, My_Audit!N:N, ""),
    _xlfn.TEXTJOIN(", ", TRUE, _xlpm.MyAuditVal, _xlpm.MacVal, _xlpm.CSVVal)
)</f>
        <v/>
      </c>
      <c r="N29" s="54" t="str" cm="1">
        <f t="array" ref="N29">IFERROR(_xlfn.LET(
_xlpm.CSVVal,_xlfn.XLOOKUP($A29,CSV!$A:$A,CSV!AF:AF,""),
_xlpm.MacVal,_xlfn.XLOOKUP($A29,Output_Mac!$A:$A,Output_Mac!U:U,""),
_xlpm.MyAuditVal,_xlfn.XLOOKUP($A29,My_Audit!$A:$A,My_Audit!O:O,""),
_xlfn.IFS(_xlpm.MyAuditVal&lt;&gt;"",UPPER(_xlpm.MyAuditVal),_xlpm.MacVal&lt;&gt;"",_xlpm.MacVal,_xlpm.CSVVal&lt;&gt;"",_xlpm.CSVVal
)),"")</f>
        <v/>
      </c>
      <c r="O29" s="54"/>
      <c r="P29" s="54"/>
      <c r="Q29" s="54"/>
      <c r="R29" s="54"/>
      <c r="S29" s="54"/>
      <c r="T29" s="54"/>
      <c r="U29" s="39" t="str">
        <f>_xlfn.LET(
    _xlpm.MacVal, _xlfn.XLOOKUP($A29, Output_Mac!$A:$A, Output_Mac!AB:AB, ""),
    _xlpm.MyAuditVal, _xlfn.XLOOKUP($A29, My_Audit!$A:$A, My_Audit!L:L, ""),
    _xlfn.TEXTJOIN(", ", TRUE, _xlpm.MyAuditVal, _xlpm.MacVal)
)</f>
        <v/>
      </c>
    </row>
    <row r="30" spans="1:21">
      <c r="A30" s="54" t="str">
        <f>_xlfn.TEXTJOIN("",TRUE,Input!$B$2,ROW(My_Audit!A29))</f>
        <v>XX29</v>
      </c>
      <c r="B30" s="54" t="str">
        <f>_xlfn.TEXTJOIN("-",TRUE,"ITD",Input!$A$2,A30)</f>
        <v>ITD-SHRXXX-XX29</v>
      </c>
      <c r="C30" s="54" t="str" cm="1">
        <f t="array" ref="C30">IFERROR(_xlfn.LET(
_xlpm.CSVVal,_xlfn.XLOOKUP($A30,CSV!$A:$A,CSV!B:B,""),
_xlpm.MacVal,_xlfn.XLOOKUP($A30,Output_Mac!$A:$A,Output_Mac!B:B,""),
_xlpm.MyAuditVal,_xlfn.XLOOKUP($A30,My_Audit!$A:$A,My_Audit!B:B,""),
_xlfn.IFS(_xlpm.MyAuditVal&lt;&gt;"",UPPER(_xlpm.MyAuditVal),_xlpm.MacVal&lt;&gt;"",_xlpm.MacVal,_xlpm.CSVVal&lt;&gt;"",_xlpm.CSVVal
)),"")</f>
        <v/>
      </c>
      <c r="D30" s="55" t="str">
        <f>_xlfn.XLOOKUP(A30,My_Audit!A:A,My_Audit!D:D,"")&amp;""</f>
        <v/>
      </c>
      <c r="E30" s="55" t="str" cm="1">
        <f t="array" ref="E30">IFERROR(_xlfn.LET(
_xlpm.CSVVal,_xlfn.XLOOKUP($A30,CSV!$A:$A,CSV!D:D,""),
_xlpm.MacVal,_xlfn.XLOOKUP($A30,Output_Mac!$A:$A,Output_Mac!C:C,""),
_xlpm.MyAuditVal,_xlfn.XLOOKUP($A30,My_Audit!$A:$A,My_Audit!D:D,""),
_xlfn.IFS(_xlpm.MyAuditVal&lt;&gt;"",_xlpm.MyAuditVal,_xlpm.MacVal&lt;&gt;"",_xlpm.MacVal,_xlpm.CSVVal&lt;&gt;"",_xlpm.CSVVal
)),"")</f>
        <v/>
      </c>
      <c r="F30" s="54" t="str" cm="1">
        <f t="array" ref="F30">IFERROR(_xlfn.LET(
_xlpm.CSVVal,_xlfn.XLOOKUP($A30,CSV!$A:$A,CSV!E:E,""),
_xlpm.MacVal,_xlfn.XLOOKUP($A30,Output_Mac!$A:$A,Output_Mac!F:F,""),
_xlpm.MyAuditVal,_xlfn.XLOOKUP($A30,My_Audit!$A:$A,My_Audit!E:E,""),
_xlfn.IFS(_xlpm.MyAuditVal&lt;&gt;"",_xlpm.MyAuditVal,_xlpm.MacVal&lt;&gt;"",_xlpm.MacVal,_xlpm.CSVVal&lt;&gt;"",PROPER(_xlpm.CSVVal)
)),"")</f>
        <v/>
      </c>
      <c r="G30" s="54" t="str" cm="1">
        <f t="array" ref="G30">IFERROR(_xlfn.LET(
_xlpm.CSVVal,_xlfn.XLOOKUP($A30,CSV!$A:$A,CSV!F:F,""),
_xlpm.MacVal,_xlfn.XLOOKUP($A30,Output_Mac!$A:$A,Output_Mac!H:H,""),
_xlpm.MyAuditVal,_xlfn.XLOOKUP($A30,My_Audit!$A:$A,My_Audit!F:F,""),
_xlfn.IFS(_xlpm.MyAuditVal&lt;&gt;"",_xlpm.MyAuditVal,_xlpm.MacVal&lt;&gt;"",_xlpm.MacVal,_xlpm.CSVVal&lt;&gt;"",_xlpm.CSVVal
)),"")</f>
        <v/>
      </c>
      <c r="H30" s="54" t="str">
        <f>_xlfn.XLOOKUP(A30,Output_Mac!A:A,Output_Mac!I:I,"")</f>
        <v/>
      </c>
      <c r="I30" s="54" t="str" cm="1">
        <f t="array" ref="I30">IFERROR(_xlfn.LET(
_xlpm.CSVVal,_xlfn.XLOOKUP($A30,CSV!$A:$A,CSV!G:G,""),
_xlpm.MacVal,_xlfn.XLOOKUP($A30,Output_Mac!$A:$A,Output_Mac!J:J,""),
_xlpm.MyAuditVal,_xlfn.XLOOKUP($A30,My_Audit!$A:$A,My_Audit!H:H,""),
_xlfn.IFS(_xlpm.MyAuditVal&lt;&gt;"",UPPER(_xlpm.MyAuditVal),_xlpm.MacVal&lt;&gt;"",_xlpm.MacVal,_xlpm.CSVVal&lt;&gt;"",_xlpm.CSVVal
)),"")</f>
        <v/>
      </c>
      <c r="J30" s="54" t="str" cm="1">
        <f t="array" ref="J30">IFERROR(_xlfn.LET(
_xlpm.CSVVal,_xlfn.XLOOKUP($A30,CSV!$A:$A,CSV!I:I,""),
_xlpm.MacVal,_xlfn.XLOOKUP($A30,Output_Mac!$A:$A,Output_Mac!K:K,""),
_xlpm.MyAuditVal,_xlfn.XLOOKUP($A30,My_Audit!$A:$A,My_Audit!I:I,""),
_xlfn.IFS(_xlpm.MyAuditVal&lt;&gt;"",UPPER(_xlpm.MyAuditVal),_xlpm.MacVal&lt;&gt;"",_xlpm.MacVal,_xlpm.CSVVal&lt;&gt;"",_xlpm.CSVVal
)),"")</f>
        <v/>
      </c>
      <c r="K30" s="54" t="str" cm="1">
        <f t="array" ref="K30">IFERROR(_xlfn.LET(
_xlpm.CSVVal,_xlfn.XLOOKUP($A30,CSV!$A:$A,CSV!M:M,""),
_xlpm.MacVal,_xlfn.XLOOKUP($A30,Output_Mac!$A:$A,Output_Mac!L:L,""),
_xlpm.MyAuditVal,_xlfn.XLOOKUP($A30,My_Audit!$A:$A,My_Audit!J:J,""),
_xlfn.IFS(_xlpm.MyAuditVal&lt;&gt;"",UPPER(_xlpm.MyAuditVal),_xlpm.MacVal&lt;&gt;"",_xlpm.MacVal,_xlpm.CSVVal&lt;&gt;"",_xlpm.CSVVal
)),"")</f>
        <v/>
      </c>
      <c r="L30" s="55" t="str" cm="1">
        <f t="array" ref="L30">IFERROR(_xlfn.LET(
_xlpm.CSVVal,_xlfn.XLOOKUP($A30,CSV!$A:$A,CSV!P:P,""),
_xlpm.MacVal,_xlfn.XLOOKUP($A30,Output_Mac!$A:$A,Output_Mac!M:M,""),
_xlpm.MyAuditVal,_xlfn.XLOOKUP($A30,My_Audit!$A:$A,My_Audit!K:K,""),
_xlfn.IFS(_xlpm.MyAuditVal&lt;&gt;"",UPPER(_xlpm.MyAuditVal),_xlpm.MacVal&lt;&gt;"",_xlpm.MacVal,_xlpm.CSVVal&lt;&gt;"",_xlpm.CSVVal
)),"")</f>
        <v/>
      </c>
      <c r="M30" s="54" t="str">
        <f>_xlfn.LET(
    _xlpm.CSVVal, _xlfn.XLOOKUP($A30, CSV!$A:$A, CSV!AD:AD, ""),
    _xlpm.MacVal, _xlfn.XLOOKUP($A30, Output_Mac!$A:$A, Output_Mac!S:S, ""),
    _xlpm.MyAuditVal, _xlfn.XLOOKUP($A30, My_Audit!$A:$A, My_Audit!N:N, ""),
    _xlfn.TEXTJOIN(", ", TRUE, _xlpm.MyAuditVal, _xlpm.MacVal, _xlpm.CSVVal)
)</f>
        <v/>
      </c>
      <c r="N30" s="54" t="str" cm="1">
        <f t="array" ref="N30">IFERROR(_xlfn.LET(
_xlpm.CSVVal,_xlfn.XLOOKUP($A30,CSV!$A:$A,CSV!AF:AF,""),
_xlpm.MacVal,_xlfn.XLOOKUP($A30,Output_Mac!$A:$A,Output_Mac!U:U,""),
_xlpm.MyAuditVal,_xlfn.XLOOKUP($A30,My_Audit!$A:$A,My_Audit!O:O,""),
_xlfn.IFS(_xlpm.MyAuditVal&lt;&gt;"",UPPER(_xlpm.MyAuditVal),_xlpm.MacVal&lt;&gt;"",_xlpm.MacVal,_xlpm.CSVVal&lt;&gt;"",_xlpm.CSVVal
)),"")</f>
        <v/>
      </c>
      <c r="O30" s="54"/>
      <c r="P30" s="54"/>
      <c r="Q30" s="54"/>
      <c r="R30" s="54"/>
      <c r="S30" s="54"/>
      <c r="T30" s="54"/>
      <c r="U30" s="39" t="str">
        <f>_xlfn.LET(
    _xlpm.MacVal, _xlfn.XLOOKUP($A30, Output_Mac!$A:$A, Output_Mac!AB:AB, ""),
    _xlpm.MyAuditVal, _xlfn.XLOOKUP($A30, My_Audit!$A:$A, My_Audit!L:L, ""),
    _xlfn.TEXTJOIN(", ", TRUE, _xlpm.MyAuditVal, _xlpm.MacVal)
)</f>
        <v/>
      </c>
    </row>
    <row r="31" spans="1:21">
      <c r="A31" s="54" t="str">
        <f>_xlfn.TEXTJOIN("",TRUE,Input!$B$2,ROW(My_Audit!A30))</f>
        <v>XX30</v>
      </c>
      <c r="B31" s="54" t="str">
        <f>_xlfn.TEXTJOIN("-",TRUE,"ITD",Input!$A$2,A31)</f>
        <v>ITD-SHRXXX-XX30</v>
      </c>
      <c r="C31" s="54" t="str" cm="1">
        <f t="array" ref="C31">IFERROR(_xlfn.LET(
_xlpm.CSVVal,_xlfn.XLOOKUP($A31,CSV!$A:$A,CSV!B:B,""),
_xlpm.MacVal,_xlfn.XLOOKUP($A31,Output_Mac!$A:$A,Output_Mac!B:B,""),
_xlpm.MyAuditVal,_xlfn.XLOOKUP($A31,My_Audit!$A:$A,My_Audit!B:B,""),
_xlfn.IFS(_xlpm.MyAuditVal&lt;&gt;"",UPPER(_xlpm.MyAuditVal),_xlpm.MacVal&lt;&gt;"",_xlpm.MacVal,_xlpm.CSVVal&lt;&gt;"",_xlpm.CSVVal
)),"")</f>
        <v/>
      </c>
      <c r="D31" s="55" t="str">
        <f>_xlfn.XLOOKUP(A31,My_Audit!A:A,My_Audit!D:D,"")&amp;""</f>
        <v/>
      </c>
      <c r="E31" s="55" t="str" cm="1">
        <f t="array" ref="E31">IFERROR(_xlfn.LET(
_xlpm.CSVVal,_xlfn.XLOOKUP($A31,CSV!$A:$A,CSV!D:D,""),
_xlpm.MacVal,_xlfn.XLOOKUP($A31,Output_Mac!$A:$A,Output_Mac!C:C,""),
_xlpm.MyAuditVal,_xlfn.XLOOKUP($A31,My_Audit!$A:$A,My_Audit!D:D,""),
_xlfn.IFS(_xlpm.MyAuditVal&lt;&gt;"",_xlpm.MyAuditVal,_xlpm.MacVal&lt;&gt;"",_xlpm.MacVal,_xlpm.CSVVal&lt;&gt;"",_xlpm.CSVVal
)),"")</f>
        <v/>
      </c>
      <c r="F31" s="54" t="str" cm="1">
        <f t="array" ref="F31">IFERROR(_xlfn.LET(
_xlpm.CSVVal,_xlfn.XLOOKUP($A31,CSV!$A:$A,CSV!E:E,""),
_xlpm.MacVal,_xlfn.XLOOKUP($A31,Output_Mac!$A:$A,Output_Mac!F:F,""),
_xlpm.MyAuditVal,_xlfn.XLOOKUP($A31,My_Audit!$A:$A,My_Audit!E:E,""),
_xlfn.IFS(_xlpm.MyAuditVal&lt;&gt;"",_xlpm.MyAuditVal,_xlpm.MacVal&lt;&gt;"",_xlpm.MacVal,_xlpm.CSVVal&lt;&gt;"",PROPER(_xlpm.CSVVal)
)),"")</f>
        <v/>
      </c>
      <c r="G31" s="54" t="str" cm="1">
        <f t="array" ref="G31">IFERROR(_xlfn.LET(
_xlpm.CSVVal,_xlfn.XLOOKUP($A31,CSV!$A:$A,CSV!F:F,""),
_xlpm.MacVal,_xlfn.XLOOKUP($A31,Output_Mac!$A:$A,Output_Mac!H:H,""),
_xlpm.MyAuditVal,_xlfn.XLOOKUP($A31,My_Audit!$A:$A,My_Audit!F:F,""),
_xlfn.IFS(_xlpm.MyAuditVal&lt;&gt;"",_xlpm.MyAuditVal,_xlpm.MacVal&lt;&gt;"",_xlpm.MacVal,_xlpm.CSVVal&lt;&gt;"",_xlpm.CSVVal
)),"")</f>
        <v/>
      </c>
      <c r="H31" s="54" t="str">
        <f>_xlfn.XLOOKUP(A31,Output_Mac!A:A,Output_Mac!I:I,"")</f>
        <v/>
      </c>
      <c r="I31" s="54" t="str" cm="1">
        <f t="array" ref="I31">IFERROR(_xlfn.LET(
_xlpm.CSVVal,_xlfn.XLOOKUP($A31,CSV!$A:$A,CSV!G:G,""),
_xlpm.MacVal,_xlfn.XLOOKUP($A31,Output_Mac!$A:$A,Output_Mac!J:J,""),
_xlpm.MyAuditVal,_xlfn.XLOOKUP($A31,My_Audit!$A:$A,My_Audit!H:H,""),
_xlfn.IFS(_xlpm.MyAuditVal&lt;&gt;"",UPPER(_xlpm.MyAuditVal),_xlpm.MacVal&lt;&gt;"",_xlpm.MacVal,_xlpm.CSVVal&lt;&gt;"",_xlpm.CSVVal
)),"")</f>
        <v/>
      </c>
      <c r="J31" s="54" t="str" cm="1">
        <f t="array" ref="J31">IFERROR(_xlfn.LET(
_xlpm.CSVVal,_xlfn.XLOOKUP($A31,CSV!$A:$A,CSV!I:I,""),
_xlpm.MacVal,_xlfn.XLOOKUP($A31,Output_Mac!$A:$A,Output_Mac!K:K,""),
_xlpm.MyAuditVal,_xlfn.XLOOKUP($A31,My_Audit!$A:$A,My_Audit!I:I,""),
_xlfn.IFS(_xlpm.MyAuditVal&lt;&gt;"",UPPER(_xlpm.MyAuditVal),_xlpm.MacVal&lt;&gt;"",_xlpm.MacVal,_xlpm.CSVVal&lt;&gt;"",_xlpm.CSVVal
)),"")</f>
        <v/>
      </c>
      <c r="K31" s="54" t="str" cm="1">
        <f t="array" ref="K31">IFERROR(_xlfn.LET(
_xlpm.CSVVal,_xlfn.XLOOKUP($A31,CSV!$A:$A,CSV!M:M,""),
_xlpm.MacVal,_xlfn.XLOOKUP($A31,Output_Mac!$A:$A,Output_Mac!L:L,""),
_xlpm.MyAuditVal,_xlfn.XLOOKUP($A31,My_Audit!$A:$A,My_Audit!J:J,""),
_xlfn.IFS(_xlpm.MyAuditVal&lt;&gt;"",UPPER(_xlpm.MyAuditVal),_xlpm.MacVal&lt;&gt;"",_xlpm.MacVal,_xlpm.CSVVal&lt;&gt;"",_xlpm.CSVVal
)),"")</f>
        <v/>
      </c>
      <c r="L31" s="55" t="str" cm="1">
        <f t="array" ref="L31">IFERROR(_xlfn.LET(
_xlpm.CSVVal,_xlfn.XLOOKUP($A31,CSV!$A:$A,CSV!P:P,""),
_xlpm.MacVal,_xlfn.XLOOKUP($A31,Output_Mac!$A:$A,Output_Mac!M:M,""),
_xlpm.MyAuditVal,_xlfn.XLOOKUP($A31,My_Audit!$A:$A,My_Audit!K:K,""),
_xlfn.IFS(_xlpm.MyAuditVal&lt;&gt;"",UPPER(_xlpm.MyAuditVal),_xlpm.MacVal&lt;&gt;"",_xlpm.MacVal,_xlpm.CSVVal&lt;&gt;"",_xlpm.CSVVal
)),"")</f>
        <v/>
      </c>
      <c r="M31" s="54" t="str">
        <f>_xlfn.LET(
    _xlpm.CSVVal, _xlfn.XLOOKUP($A31, CSV!$A:$A, CSV!AD:AD, ""),
    _xlpm.MacVal, _xlfn.XLOOKUP($A31, Output_Mac!$A:$A, Output_Mac!S:S, ""),
    _xlpm.MyAuditVal, _xlfn.XLOOKUP($A31, My_Audit!$A:$A, My_Audit!N:N, ""),
    _xlfn.TEXTJOIN(", ", TRUE, _xlpm.MyAuditVal, _xlpm.MacVal, _xlpm.CSVVal)
)</f>
        <v/>
      </c>
      <c r="N31" s="54" t="str" cm="1">
        <f t="array" ref="N31">IFERROR(_xlfn.LET(
_xlpm.CSVVal,_xlfn.XLOOKUP($A31,CSV!$A:$A,CSV!AF:AF,""),
_xlpm.MacVal,_xlfn.XLOOKUP($A31,Output_Mac!$A:$A,Output_Mac!U:U,""),
_xlpm.MyAuditVal,_xlfn.XLOOKUP($A31,My_Audit!$A:$A,My_Audit!O:O,""),
_xlfn.IFS(_xlpm.MyAuditVal&lt;&gt;"",UPPER(_xlpm.MyAuditVal),_xlpm.MacVal&lt;&gt;"",_xlpm.MacVal,_xlpm.CSVVal&lt;&gt;"",_xlpm.CSVVal
)),"")</f>
        <v/>
      </c>
      <c r="O31" s="54"/>
      <c r="P31" s="54"/>
      <c r="Q31" s="54"/>
      <c r="R31" s="54"/>
      <c r="S31" s="54"/>
      <c r="T31" s="54"/>
      <c r="U31" s="39" t="str">
        <f>_xlfn.LET(
    _xlpm.MacVal, _xlfn.XLOOKUP($A31, Output_Mac!$A:$A, Output_Mac!AB:AB, ""),
    _xlpm.MyAuditVal, _xlfn.XLOOKUP($A31, My_Audit!$A:$A, My_Audit!L:L, ""),
    _xlfn.TEXTJOIN(", ", TRUE, _xlpm.MyAuditVal, _xlpm.MacVal)
)</f>
        <v/>
      </c>
    </row>
    <row r="32" spans="1:21">
      <c r="A32" s="54" t="str">
        <f>_xlfn.TEXTJOIN("",TRUE,Input!$B$2,ROW(My_Audit!A31))</f>
        <v>XX31</v>
      </c>
      <c r="B32" s="54" t="str">
        <f>_xlfn.TEXTJOIN("-",TRUE,"ITD",Input!$A$2,A32)</f>
        <v>ITD-SHRXXX-XX31</v>
      </c>
      <c r="C32" s="54" t="str" cm="1">
        <f t="array" ref="C32">IFERROR(_xlfn.LET(
_xlpm.CSVVal,_xlfn.XLOOKUP($A32,CSV!$A:$A,CSV!B:B,""),
_xlpm.MacVal,_xlfn.XLOOKUP($A32,Output_Mac!$A:$A,Output_Mac!B:B,""),
_xlpm.MyAuditVal,_xlfn.XLOOKUP($A32,My_Audit!$A:$A,My_Audit!B:B,""),
_xlfn.IFS(_xlpm.MyAuditVal&lt;&gt;"",UPPER(_xlpm.MyAuditVal),_xlpm.MacVal&lt;&gt;"",_xlpm.MacVal,_xlpm.CSVVal&lt;&gt;"",_xlpm.CSVVal
)),"")</f>
        <v/>
      </c>
      <c r="D32" s="55" t="str">
        <f>_xlfn.XLOOKUP(A32,My_Audit!A:A,My_Audit!D:D,"")&amp;""</f>
        <v/>
      </c>
      <c r="E32" s="55" t="str" cm="1">
        <f t="array" ref="E32">IFERROR(_xlfn.LET(
_xlpm.CSVVal,_xlfn.XLOOKUP($A32,CSV!$A:$A,CSV!D:D,""),
_xlpm.MacVal,_xlfn.XLOOKUP($A32,Output_Mac!$A:$A,Output_Mac!C:C,""),
_xlpm.MyAuditVal,_xlfn.XLOOKUP($A32,My_Audit!$A:$A,My_Audit!D:D,""),
_xlfn.IFS(_xlpm.MyAuditVal&lt;&gt;"",_xlpm.MyAuditVal,_xlpm.MacVal&lt;&gt;"",_xlpm.MacVal,_xlpm.CSVVal&lt;&gt;"",_xlpm.CSVVal
)),"")</f>
        <v/>
      </c>
      <c r="F32" s="54" t="str" cm="1">
        <f t="array" ref="F32">IFERROR(_xlfn.LET(
_xlpm.CSVVal,_xlfn.XLOOKUP($A32,CSV!$A:$A,CSV!E:E,""),
_xlpm.MacVal,_xlfn.XLOOKUP($A32,Output_Mac!$A:$A,Output_Mac!F:F,""),
_xlpm.MyAuditVal,_xlfn.XLOOKUP($A32,My_Audit!$A:$A,My_Audit!E:E,""),
_xlfn.IFS(_xlpm.MyAuditVal&lt;&gt;"",_xlpm.MyAuditVal,_xlpm.MacVal&lt;&gt;"",_xlpm.MacVal,_xlpm.CSVVal&lt;&gt;"",PROPER(_xlpm.CSVVal)
)),"")</f>
        <v/>
      </c>
      <c r="G32" s="54" t="str" cm="1">
        <f t="array" ref="G32">IFERROR(_xlfn.LET(
_xlpm.CSVVal,_xlfn.XLOOKUP($A32,CSV!$A:$A,CSV!F:F,""),
_xlpm.MacVal,_xlfn.XLOOKUP($A32,Output_Mac!$A:$A,Output_Mac!H:H,""),
_xlpm.MyAuditVal,_xlfn.XLOOKUP($A32,My_Audit!$A:$A,My_Audit!F:F,""),
_xlfn.IFS(_xlpm.MyAuditVal&lt;&gt;"",_xlpm.MyAuditVal,_xlpm.MacVal&lt;&gt;"",_xlpm.MacVal,_xlpm.CSVVal&lt;&gt;"",_xlpm.CSVVal
)),"")</f>
        <v/>
      </c>
      <c r="H32" s="54" t="str">
        <f>_xlfn.XLOOKUP(A32,Output_Mac!A:A,Output_Mac!I:I,"")</f>
        <v/>
      </c>
      <c r="I32" s="54" t="str" cm="1">
        <f t="array" ref="I32">IFERROR(_xlfn.LET(
_xlpm.CSVVal,_xlfn.XLOOKUP($A32,CSV!$A:$A,CSV!G:G,""),
_xlpm.MacVal,_xlfn.XLOOKUP($A32,Output_Mac!$A:$A,Output_Mac!J:J,""),
_xlpm.MyAuditVal,_xlfn.XLOOKUP($A32,My_Audit!$A:$A,My_Audit!H:H,""),
_xlfn.IFS(_xlpm.MyAuditVal&lt;&gt;"",UPPER(_xlpm.MyAuditVal),_xlpm.MacVal&lt;&gt;"",_xlpm.MacVal,_xlpm.CSVVal&lt;&gt;"",_xlpm.CSVVal
)),"")</f>
        <v/>
      </c>
      <c r="J32" s="54" t="str" cm="1">
        <f t="array" ref="J32">IFERROR(_xlfn.LET(
_xlpm.CSVVal,_xlfn.XLOOKUP($A32,CSV!$A:$A,CSV!I:I,""),
_xlpm.MacVal,_xlfn.XLOOKUP($A32,Output_Mac!$A:$A,Output_Mac!K:K,""),
_xlpm.MyAuditVal,_xlfn.XLOOKUP($A32,My_Audit!$A:$A,My_Audit!I:I,""),
_xlfn.IFS(_xlpm.MyAuditVal&lt;&gt;"",UPPER(_xlpm.MyAuditVal),_xlpm.MacVal&lt;&gt;"",_xlpm.MacVal,_xlpm.CSVVal&lt;&gt;"",_xlpm.CSVVal
)),"")</f>
        <v/>
      </c>
      <c r="K32" s="54" t="str" cm="1">
        <f t="array" ref="K32">IFERROR(_xlfn.LET(
_xlpm.CSVVal,_xlfn.XLOOKUP($A32,CSV!$A:$A,CSV!M:M,""),
_xlpm.MacVal,_xlfn.XLOOKUP($A32,Output_Mac!$A:$A,Output_Mac!L:L,""),
_xlpm.MyAuditVal,_xlfn.XLOOKUP($A32,My_Audit!$A:$A,My_Audit!J:J,""),
_xlfn.IFS(_xlpm.MyAuditVal&lt;&gt;"",UPPER(_xlpm.MyAuditVal),_xlpm.MacVal&lt;&gt;"",_xlpm.MacVal,_xlpm.CSVVal&lt;&gt;"",_xlpm.CSVVal
)),"")</f>
        <v/>
      </c>
      <c r="L32" s="55" t="str" cm="1">
        <f t="array" ref="L32">IFERROR(_xlfn.LET(
_xlpm.CSVVal,_xlfn.XLOOKUP($A32,CSV!$A:$A,CSV!P:P,""),
_xlpm.MacVal,_xlfn.XLOOKUP($A32,Output_Mac!$A:$A,Output_Mac!M:M,""),
_xlpm.MyAuditVal,_xlfn.XLOOKUP($A32,My_Audit!$A:$A,My_Audit!K:K,""),
_xlfn.IFS(_xlpm.MyAuditVal&lt;&gt;"",UPPER(_xlpm.MyAuditVal),_xlpm.MacVal&lt;&gt;"",_xlpm.MacVal,_xlpm.CSVVal&lt;&gt;"",_xlpm.CSVVal
)),"")</f>
        <v/>
      </c>
      <c r="M32" s="54" t="str">
        <f>_xlfn.LET(
    _xlpm.CSVVal, _xlfn.XLOOKUP($A32, CSV!$A:$A, CSV!AD:AD, ""),
    _xlpm.MacVal, _xlfn.XLOOKUP($A32, Output_Mac!$A:$A, Output_Mac!S:S, ""),
    _xlpm.MyAuditVal, _xlfn.XLOOKUP($A32, My_Audit!$A:$A, My_Audit!N:N, ""),
    _xlfn.TEXTJOIN(", ", TRUE, _xlpm.MyAuditVal, _xlpm.MacVal, _xlpm.CSVVal)
)</f>
        <v/>
      </c>
      <c r="N32" s="54" t="str" cm="1">
        <f t="array" ref="N32">IFERROR(_xlfn.LET(
_xlpm.CSVVal,_xlfn.XLOOKUP($A32,CSV!$A:$A,CSV!AF:AF,""),
_xlpm.MacVal,_xlfn.XLOOKUP($A32,Output_Mac!$A:$A,Output_Mac!U:U,""),
_xlpm.MyAuditVal,_xlfn.XLOOKUP($A32,My_Audit!$A:$A,My_Audit!O:O,""),
_xlfn.IFS(_xlpm.MyAuditVal&lt;&gt;"",UPPER(_xlpm.MyAuditVal),_xlpm.MacVal&lt;&gt;"",_xlpm.MacVal,_xlpm.CSVVal&lt;&gt;"",_xlpm.CSVVal
)),"")</f>
        <v/>
      </c>
      <c r="O32" s="54"/>
      <c r="P32" s="54"/>
      <c r="Q32" s="54"/>
      <c r="R32" s="54"/>
      <c r="S32" s="54"/>
      <c r="T32" s="54"/>
      <c r="U32" s="39" t="str">
        <f>_xlfn.LET(
    _xlpm.MacVal, _xlfn.XLOOKUP($A32, Output_Mac!$A:$A, Output_Mac!AB:AB, ""),
    _xlpm.MyAuditVal, _xlfn.XLOOKUP($A32, My_Audit!$A:$A, My_Audit!L:L, ""),
    _xlfn.TEXTJOIN(", ", TRUE, _xlpm.MyAuditVal, _xlpm.MacVal)
)</f>
        <v/>
      </c>
    </row>
    <row r="33" spans="1:21">
      <c r="A33" s="54" t="str">
        <f>_xlfn.TEXTJOIN("",TRUE,Input!$B$2,ROW(My_Audit!A32))</f>
        <v>XX32</v>
      </c>
      <c r="B33" s="54" t="str">
        <f>_xlfn.TEXTJOIN("-",TRUE,"ITD",Input!$A$2,A33)</f>
        <v>ITD-SHRXXX-XX32</v>
      </c>
      <c r="C33" s="54" t="str" cm="1">
        <f t="array" ref="C33">IFERROR(_xlfn.LET(
_xlpm.CSVVal,_xlfn.XLOOKUP($A33,CSV!$A:$A,CSV!B:B,""),
_xlpm.MacVal,_xlfn.XLOOKUP($A33,Output_Mac!$A:$A,Output_Mac!B:B,""),
_xlpm.MyAuditVal,_xlfn.XLOOKUP($A33,My_Audit!$A:$A,My_Audit!B:B,""),
_xlfn.IFS(_xlpm.MyAuditVal&lt;&gt;"",UPPER(_xlpm.MyAuditVal),_xlpm.MacVal&lt;&gt;"",_xlpm.MacVal,_xlpm.CSVVal&lt;&gt;"",_xlpm.CSVVal
)),"")</f>
        <v/>
      </c>
      <c r="D33" s="55" t="str">
        <f>_xlfn.XLOOKUP(A33,My_Audit!A:A,My_Audit!D:D,"")&amp;""</f>
        <v/>
      </c>
      <c r="E33" s="55" t="str" cm="1">
        <f t="array" ref="E33">IFERROR(_xlfn.LET(
_xlpm.CSVVal,_xlfn.XLOOKUP($A33,CSV!$A:$A,CSV!D:D,""),
_xlpm.MacVal,_xlfn.XLOOKUP($A33,Output_Mac!$A:$A,Output_Mac!C:C,""),
_xlpm.MyAuditVal,_xlfn.XLOOKUP($A33,My_Audit!$A:$A,My_Audit!D:D,""),
_xlfn.IFS(_xlpm.MyAuditVal&lt;&gt;"",_xlpm.MyAuditVal,_xlpm.MacVal&lt;&gt;"",_xlpm.MacVal,_xlpm.CSVVal&lt;&gt;"",_xlpm.CSVVal
)),"")</f>
        <v/>
      </c>
      <c r="F33" s="54" t="str" cm="1">
        <f t="array" ref="F33">IFERROR(_xlfn.LET(
_xlpm.CSVVal,_xlfn.XLOOKUP($A33,CSV!$A:$A,CSV!E:E,""),
_xlpm.MacVal,_xlfn.XLOOKUP($A33,Output_Mac!$A:$A,Output_Mac!F:F,""),
_xlpm.MyAuditVal,_xlfn.XLOOKUP($A33,My_Audit!$A:$A,My_Audit!E:E,""),
_xlfn.IFS(_xlpm.MyAuditVal&lt;&gt;"",_xlpm.MyAuditVal,_xlpm.MacVal&lt;&gt;"",_xlpm.MacVal,_xlpm.CSVVal&lt;&gt;"",PROPER(_xlpm.CSVVal)
)),"")</f>
        <v/>
      </c>
      <c r="G33" s="54" t="str" cm="1">
        <f t="array" ref="G33">IFERROR(_xlfn.LET(
_xlpm.CSVVal,_xlfn.XLOOKUP($A33,CSV!$A:$A,CSV!F:F,""),
_xlpm.MacVal,_xlfn.XLOOKUP($A33,Output_Mac!$A:$A,Output_Mac!H:H,""),
_xlpm.MyAuditVal,_xlfn.XLOOKUP($A33,My_Audit!$A:$A,My_Audit!F:F,""),
_xlfn.IFS(_xlpm.MyAuditVal&lt;&gt;"",_xlpm.MyAuditVal,_xlpm.MacVal&lt;&gt;"",_xlpm.MacVal,_xlpm.CSVVal&lt;&gt;"",_xlpm.CSVVal
)),"")</f>
        <v/>
      </c>
      <c r="H33" s="54" t="str">
        <f>_xlfn.XLOOKUP(A33,Output_Mac!A:A,Output_Mac!I:I,"")</f>
        <v/>
      </c>
      <c r="I33" s="54" t="str" cm="1">
        <f t="array" ref="I33">IFERROR(_xlfn.LET(
_xlpm.CSVVal,_xlfn.XLOOKUP($A33,CSV!$A:$A,CSV!G:G,""),
_xlpm.MacVal,_xlfn.XLOOKUP($A33,Output_Mac!$A:$A,Output_Mac!J:J,""),
_xlpm.MyAuditVal,_xlfn.XLOOKUP($A33,My_Audit!$A:$A,My_Audit!H:H,""),
_xlfn.IFS(_xlpm.MyAuditVal&lt;&gt;"",UPPER(_xlpm.MyAuditVal),_xlpm.MacVal&lt;&gt;"",_xlpm.MacVal,_xlpm.CSVVal&lt;&gt;"",_xlpm.CSVVal
)),"")</f>
        <v/>
      </c>
      <c r="J33" s="54" t="str" cm="1">
        <f t="array" ref="J33">IFERROR(_xlfn.LET(
_xlpm.CSVVal,_xlfn.XLOOKUP($A33,CSV!$A:$A,CSV!I:I,""),
_xlpm.MacVal,_xlfn.XLOOKUP($A33,Output_Mac!$A:$A,Output_Mac!K:K,""),
_xlpm.MyAuditVal,_xlfn.XLOOKUP($A33,My_Audit!$A:$A,My_Audit!I:I,""),
_xlfn.IFS(_xlpm.MyAuditVal&lt;&gt;"",UPPER(_xlpm.MyAuditVal),_xlpm.MacVal&lt;&gt;"",_xlpm.MacVal,_xlpm.CSVVal&lt;&gt;"",_xlpm.CSVVal
)),"")</f>
        <v/>
      </c>
      <c r="K33" s="54" t="str" cm="1">
        <f t="array" ref="K33">IFERROR(_xlfn.LET(
_xlpm.CSVVal,_xlfn.XLOOKUP($A33,CSV!$A:$A,CSV!M:M,""),
_xlpm.MacVal,_xlfn.XLOOKUP($A33,Output_Mac!$A:$A,Output_Mac!L:L,""),
_xlpm.MyAuditVal,_xlfn.XLOOKUP($A33,My_Audit!$A:$A,My_Audit!J:J,""),
_xlfn.IFS(_xlpm.MyAuditVal&lt;&gt;"",UPPER(_xlpm.MyAuditVal),_xlpm.MacVal&lt;&gt;"",_xlpm.MacVal,_xlpm.CSVVal&lt;&gt;"",_xlpm.CSVVal
)),"")</f>
        <v/>
      </c>
      <c r="L33" s="55" t="str" cm="1">
        <f t="array" ref="L33">IFERROR(_xlfn.LET(
_xlpm.CSVVal,_xlfn.XLOOKUP($A33,CSV!$A:$A,CSV!P:P,""),
_xlpm.MacVal,_xlfn.XLOOKUP($A33,Output_Mac!$A:$A,Output_Mac!M:M,""),
_xlpm.MyAuditVal,_xlfn.XLOOKUP($A33,My_Audit!$A:$A,My_Audit!K:K,""),
_xlfn.IFS(_xlpm.MyAuditVal&lt;&gt;"",UPPER(_xlpm.MyAuditVal),_xlpm.MacVal&lt;&gt;"",_xlpm.MacVal,_xlpm.CSVVal&lt;&gt;"",_xlpm.CSVVal
)),"")</f>
        <v/>
      </c>
      <c r="M33" s="54" t="str">
        <f>_xlfn.LET(
    _xlpm.CSVVal, _xlfn.XLOOKUP($A33, CSV!$A:$A, CSV!AD:AD, ""),
    _xlpm.MacVal, _xlfn.XLOOKUP($A33, Output_Mac!$A:$A, Output_Mac!S:S, ""),
    _xlpm.MyAuditVal, _xlfn.XLOOKUP($A33, My_Audit!$A:$A, My_Audit!N:N, ""),
    _xlfn.TEXTJOIN(", ", TRUE, _xlpm.MyAuditVal, _xlpm.MacVal, _xlpm.CSVVal)
)</f>
        <v/>
      </c>
      <c r="N33" s="54" t="str" cm="1">
        <f t="array" ref="N33">IFERROR(_xlfn.LET(
_xlpm.CSVVal,_xlfn.XLOOKUP($A33,CSV!$A:$A,CSV!AF:AF,""),
_xlpm.MacVal,_xlfn.XLOOKUP($A33,Output_Mac!$A:$A,Output_Mac!U:U,""),
_xlpm.MyAuditVal,_xlfn.XLOOKUP($A33,My_Audit!$A:$A,My_Audit!O:O,""),
_xlfn.IFS(_xlpm.MyAuditVal&lt;&gt;"",UPPER(_xlpm.MyAuditVal),_xlpm.MacVal&lt;&gt;"",_xlpm.MacVal,_xlpm.CSVVal&lt;&gt;"",_xlpm.CSVVal
)),"")</f>
        <v/>
      </c>
      <c r="O33" s="54"/>
      <c r="P33" s="54"/>
      <c r="Q33" s="54"/>
      <c r="R33" s="54"/>
      <c r="S33" s="54"/>
      <c r="T33" s="54"/>
      <c r="U33" s="39" t="str">
        <f>_xlfn.LET(
    _xlpm.MacVal, _xlfn.XLOOKUP($A33, Output_Mac!$A:$A, Output_Mac!AB:AB, ""),
    _xlpm.MyAuditVal, _xlfn.XLOOKUP($A33, My_Audit!$A:$A, My_Audit!L:L, ""),
    _xlfn.TEXTJOIN(", ", TRUE, _xlpm.MyAuditVal, _xlpm.MacVal)
)</f>
        <v/>
      </c>
    </row>
    <row r="34" spans="1:21">
      <c r="A34" s="54" t="str">
        <f>_xlfn.TEXTJOIN("",TRUE,Input!$B$2,ROW(My_Audit!A33))</f>
        <v>XX33</v>
      </c>
      <c r="B34" s="54" t="str">
        <f>_xlfn.TEXTJOIN("-",TRUE,"ITD",Input!$A$2,A34)</f>
        <v>ITD-SHRXXX-XX33</v>
      </c>
      <c r="C34" s="54" t="str" cm="1">
        <f t="array" ref="C34">IFERROR(_xlfn.LET(
_xlpm.CSVVal,_xlfn.XLOOKUP($A34,CSV!$A:$A,CSV!B:B,""),
_xlpm.MacVal,_xlfn.XLOOKUP($A34,Output_Mac!$A:$A,Output_Mac!B:B,""),
_xlpm.MyAuditVal,_xlfn.XLOOKUP($A34,My_Audit!$A:$A,My_Audit!B:B,""),
_xlfn.IFS(_xlpm.MyAuditVal&lt;&gt;"",UPPER(_xlpm.MyAuditVal),_xlpm.MacVal&lt;&gt;"",_xlpm.MacVal,_xlpm.CSVVal&lt;&gt;"",_xlpm.CSVVal
)),"")</f>
        <v/>
      </c>
      <c r="D34" s="55" t="str">
        <f>_xlfn.XLOOKUP(A34,My_Audit!A:A,My_Audit!D:D,"")&amp;""</f>
        <v/>
      </c>
      <c r="E34" s="55" t="str" cm="1">
        <f t="array" ref="E34">IFERROR(_xlfn.LET(
_xlpm.CSVVal,_xlfn.XLOOKUP($A34,CSV!$A:$A,CSV!D:D,""),
_xlpm.MacVal,_xlfn.XLOOKUP($A34,Output_Mac!$A:$A,Output_Mac!C:C,""),
_xlpm.MyAuditVal,_xlfn.XLOOKUP($A34,My_Audit!$A:$A,My_Audit!D:D,""),
_xlfn.IFS(_xlpm.MyAuditVal&lt;&gt;"",_xlpm.MyAuditVal,_xlpm.MacVal&lt;&gt;"",_xlpm.MacVal,_xlpm.CSVVal&lt;&gt;"",_xlpm.CSVVal
)),"")</f>
        <v/>
      </c>
      <c r="F34" s="54" t="str" cm="1">
        <f t="array" ref="F34">IFERROR(_xlfn.LET(
_xlpm.CSVVal,_xlfn.XLOOKUP($A34,CSV!$A:$A,CSV!E:E,""),
_xlpm.MacVal,_xlfn.XLOOKUP($A34,Output_Mac!$A:$A,Output_Mac!F:F,""),
_xlpm.MyAuditVal,_xlfn.XLOOKUP($A34,My_Audit!$A:$A,My_Audit!E:E,""),
_xlfn.IFS(_xlpm.MyAuditVal&lt;&gt;"",_xlpm.MyAuditVal,_xlpm.MacVal&lt;&gt;"",_xlpm.MacVal,_xlpm.CSVVal&lt;&gt;"",PROPER(_xlpm.CSVVal)
)),"")</f>
        <v/>
      </c>
      <c r="G34" s="54" t="str" cm="1">
        <f t="array" ref="G34">IFERROR(_xlfn.LET(
_xlpm.CSVVal,_xlfn.XLOOKUP($A34,CSV!$A:$A,CSV!F:F,""),
_xlpm.MacVal,_xlfn.XLOOKUP($A34,Output_Mac!$A:$A,Output_Mac!H:H,""),
_xlpm.MyAuditVal,_xlfn.XLOOKUP($A34,My_Audit!$A:$A,My_Audit!F:F,""),
_xlfn.IFS(_xlpm.MyAuditVal&lt;&gt;"",_xlpm.MyAuditVal,_xlpm.MacVal&lt;&gt;"",_xlpm.MacVal,_xlpm.CSVVal&lt;&gt;"",_xlpm.CSVVal
)),"")</f>
        <v/>
      </c>
      <c r="H34" s="54" t="str">
        <f>_xlfn.XLOOKUP(A34,Output_Mac!A:A,Output_Mac!I:I,"")</f>
        <v/>
      </c>
      <c r="I34" s="54" t="str" cm="1">
        <f t="array" ref="I34">IFERROR(_xlfn.LET(
_xlpm.CSVVal,_xlfn.XLOOKUP($A34,CSV!$A:$A,CSV!G:G,""),
_xlpm.MacVal,_xlfn.XLOOKUP($A34,Output_Mac!$A:$A,Output_Mac!J:J,""),
_xlpm.MyAuditVal,_xlfn.XLOOKUP($A34,My_Audit!$A:$A,My_Audit!H:H,""),
_xlfn.IFS(_xlpm.MyAuditVal&lt;&gt;"",UPPER(_xlpm.MyAuditVal),_xlpm.MacVal&lt;&gt;"",_xlpm.MacVal,_xlpm.CSVVal&lt;&gt;"",_xlpm.CSVVal
)),"")</f>
        <v/>
      </c>
      <c r="J34" s="54" t="str" cm="1">
        <f t="array" ref="J34">IFERROR(_xlfn.LET(
_xlpm.CSVVal,_xlfn.XLOOKUP($A34,CSV!$A:$A,CSV!I:I,""),
_xlpm.MacVal,_xlfn.XLOOKUP($A34,Output_Mac!$A:$A,Output_Mac!K:K,""),
_xlpm.MyAuditVal,_xlfn.XLOOKUP($A34,My_Audit!$A:$A,My_Audit!I:I,""),
_xlfn.IFS(_xlpm.MyAuditVal&lt;&gt;"",UPPER(_xlpm.MyAuditVal),_xlpm.MacVal&lt;&gt;"",_xlpm.MacVal,_xlpm.CSVVal&lt;&gt;"",_xlpm.CSVVal
)),"")</f>
        <v/>
      </c>
      <c r="K34" s="54" t="str" cm="1">
        <f t="array" ref="K34">IFERROR(_xlfn.LET(
_xlpm.CSVVal,_xlfn.XLOOKUP($A34,CSV!$A:$A,CSV!M:M,""),
_xlpm.MacVal,_xlfn.XLOOKUP($A34,Output_Mac!$A:$A,Output_Mac!L:L,""),
_xlpm.MyAuditVal,_xlfn.XLOOKUP($A34,My_Audit!$A:$A,My_Audit!J:J,""),
_xlfn.IFS(_xlpm.MyAuditVal&lt;&gt;"",UPPER(_xlpm.MyAuditVal),_xlpm.MacVal&lt;&gt;"",_xlpm.MacVal,_xlpm.CSVVal&lt;&gt;"",_xlpm.CSVVal
)),"")</f>
        <v/>
      </c>
      <c r="L34" s="55" t="str" cm="1">
        <f t="array" ref="L34">IFERROR(_xlfn.LET(
_xlpm.CSVVal,_xlfn.XLOOKUP($A34,CSV!$A:$A,CSV!P:P,""),
_xlpm.MacVal,_xlfn.XLOOKUP($A34,Output_Mac!$A:$A,Output_Mac!M:M,""),
_xlpm.MyAuditVal,_xlfn.XLOOKUP($A34,My_Audit!$A:$A,My_Audit!K:K,""),
_xlfn.IFS(_xlpm.MyAuditVal&lt;&gt;"",UPPER(_xlpm.MyAuditVal),_xlpm.MacVal&lt;&gt;"",_xlpm.MacVal,_xlpm.CSVVal&lt;&gt;"",_xlpm.CSVVal
)),"")</f>
        <v/>
      </c>
      <c r="M34" s="54" t="str">
        <f>_xlfn.LET(
    _xlpm.CSVVal, _xlfn.XLOOKUP($A34, CSV!$A:$A, CSV!AD:AD, ""),
    _xlpm.MacVal, _xlfn.XLOOKUP($A34, Output_Mac!$A:$A, Output_Mac!S:S, ""),
    _xlpm.MyAuditVal, _xlfn.XLOOKUP($A34, My_Audit!$A:$A, My_Audit!N:N, ""),
    _xlfn.TEXTJOIN(", ", TRUE, _xlpm.MyAuditVal, _xlpm.MacVal, _xlpm.CSVVal)
)</f>
        <v/>
      </c>
      <c r="N34" s="54" t="str" cm="1">
        <f t="array" ref="N34">IFERROR(_xlfn.LET(
_xlpm.CSVVal,_xlfn.XLOOKUP($A34,CSV!$A:$A,CSV!AF:AF,""),
_xlpm.MacVal,_xlfn.XLOOKUP($A34,Output_Mac!$A:$A,Output_Mac!U:U,""),
_xlpm.MyAuditVal,_xlfn.XLOOKUP($A34,My_Audit!$A:$A,My_Audit!O:O,""),
_xlfn.IFS(_xlpm.MyAuditVal&lt;&gt;"",UPPER(_xlpm.MyAuditVal),_xlpm.MacVal&lt;&gt;"",_xlpm.MacVal,_xlpm.CSVVal&lt;&gt;"",_xlpm.CSVVal
)),"")</f>
        <v/>
      </c>
      <c r="O34" s="54"/>
      <c r="P34" s="54"/>
      <c r="Q34" s="54"/>
      <c r="R34" s="54"/>
      <c r="S34" s="54"/>
      <c r="T34" s="54"/>
      <c r="U34" s="39" t="str">
        <f>_xlfn.LET(
    _xlpm.MacVal, _xlfn.XLOOKUP($A34, Output_Mac!$A:$A, Output_Mac!AB:AB, ""),
    _xlpm.MyAuditVal, _xlfn.XLOOKUP($A34, My_Audit!$A:$A, My_Audit!L:L, ""),
    _xlfn.TEXTJOIN(", ", TRUE, _xlpm.MyAuditVal, _xlpm.MacVal)
)</f>
        <v/>
      </c>
    </row>
    <row r="35" spans="1:21">
      <c r="A35" s="54" t="str">
        <f>_xlfn.TEXTJOIN("",TRUE,Input!$B$2,ROW(My_Audit!A34))</f>
        <v>XX34</v>
      </c>
      <c r="B35" s="54" t="str">
        <f>_xlfn.TEXTJOIN("-",TRUE,"ITD",Input!$A$2,A35)</f>
        <v>ITD-SHRXXX-XX34</v>
      </c>
      <c r="C35" s="54" t="str" cm="1">
        <f t="array" ref="C35">IFERROR(_xlfn.LET(
_xlpm.CSVVal,_xlfn.XLOOKUP($A35,CSV!$A:$A,CSV!B:B,""),
_xlpm.MacVal,_xlfn.XLOOKUP($A35,Output_Mac!$A:$A,Output_Mac!B:B,""),
_xlpm.MyAuditVal,_xlfn.XLOOKUP($A35,My_Audit!$A:$A,My_Audit!B:B,""),
_xlfn.IFS(_xlpm.MyAuditVal&lt;&gt;"",UPPER(_xlpm.MyAuditVal),_xlpm.MacVal&lt;&gt;"",_xlpm.MacVal,_xlpm.CSVVal&lt;&gt;"",_xlpm.CSVVal
)),"")</f>
        <v/>
      </c>
      <c r="D35" s="55" t="str">
        <f>_xlfn.XLOOKUP(A35,My_Audit!A:A,My_Audit!D:D,"")&amp;""</f>
        <v/>
      </c>
      <c r="E35" s="55" t="str" cm="1">
        <f t="array" ref="E35">IFERROR(_xlfn.LET(
_xlpm.CSVVal,_xlfn.XLOOKUP($A35,CSV!$A:$A,CSV!D:D,""),
_xlpm.MacVal,_xlfn.XLOOKUP($A35,Output_Mac!$A:$A,Output_Mac!C:C,""),
_xlpm.MyAuditVal,_xlfn.XLOOKUP($A35,My_Audit!$A:$A,My_Audit!D:D,""),
_xlfn.IFS(_xlpm.MyAuditVal&lt;&gt;"",_xlpm.MyAuditVal,_xlpm.MacVal&lt;&gt;"",_xlpm.MacVal,_xlpm.CSVVal&lt;&gt;"",_xlpm.CSVVal
)),"")</f>
        <v/>
      </c>
      <c r="F35" s="54" t="str" cm="1">
        <f t="array" ref="F35">IFERROR(_xlfn.LET(
_xlpm.CSVVal,_xlfn.XLOOKUP($A35,CSV!$A:$A,CSV!E:E,""),
_xlpm.MacVal,_xlfn.XLOOKUP($A35,Output_Mac!$A:$A,Output_Mac!F:F,""),
_xlpm.MyAuditVal,_xlfn.XLOOKUP($A35,My_Audit!$A:$A,My_Audit!E:E,""),
_xlfn.IFS(_xlpm.MyAuditVal&lt;&gt;"",_xlpm.MyAuditVal,_xlpm.MacVal&lt;&gt;"",_xlpm.MacVal,_xlpm.CSVVal&lt;&gt;"",PROPER(_xlpm.CSVVal)
)),"")</f>
        <v/>
      </c>
      <c r="G35" s="54" t="str" cm="1">
        <f t="array" ref="G35">IFERROR(_xlfn.LET(
_xlpm.CSVVal,_xlfn.XLOOKUP($A35,CSV!$A:$A,CSV!F:F,""),
_xlpm.MacVal,_xlfn.XLOOKUP($A35,Output_Mac!$A:$A,Output_Mac!H:H,""),
_xlpm.MyAuditVal,_xlfn.XLOOKUP($A35,My_Audit!$A:$A,My_Audit!F:F,""),
_xlfn.IFS(_xlpm.MyAuditVal&lt;&gt;"",_xlpm.MyAuditVal,_xlpm.MacVal&lt;&gt;"",_xlpm.MacVal,_xlpm.CSVVal&lt;&gt;"",_xlpm.CSVVal
)),"")</f>
        <v/>
      </c>
      <c r="H35" s="54" t="str">
        <f>_xlfn.XLOOKUP(A35,Output_Mac!A:A,Output_Mac!I:I,"")</f>
        <v/>
      </c>
      <c r="I35" s="54" t="str" cm="1">
        <f t="array" ref="I35">IFERROR(_xlfn.LET(
_xlpm.CSVVal,_xlfn.XLOOKUP($A35,CSV!$A:$A,CSV!G:G,""),
_xlpm.MacVal,_xlfn.XLOOKUP($A35,Output_Mac!$A:$A,Output_Mac!J:J,""),
_xlpm.MyAuditVal,_xlfn.XLOOKUP($A35,My_Audit!$A:$A,My_Audit!H:H,""),
_xlfn.IFS(_xlpm.MyAuditVal&lt;&gt;"",UPPER(_xlpm.MyAuditVal),_xlpm.MacVal&lt;&gt;"",_xlpm.MacVal,_xlpm.CSVVal&lt;&gt;"",_xlpm.CSVVal
)),"")</f>
        <v/>
      </c>
      <c r="J35" s="54" t="str" cm="1">
        <f t="array" ref="J35">IFERROR(_xlfn.LET(
_xlpm.CSVVal,_xlfn.XLOOKUP($A35,CSV!$A:$A,CSV!I:I,""),
_xlpm.MacVal,_xlfn.XLOOKUP($A35,Output_Mac!$A:$A,Output_Mac!K:K,""),
_xlpm.MyAuditVal,_xlfn.XLOOKUP($A35,My_Audit!$A:$A,My_Audit!I:I,""),
_xlfn.IFS(_xlpm.MyAuditVal&lt;&gt;"",UPPER(_xlpm.MyAuditVal),_xlpm.MacVal&lt;&gt;"",_xlpm.MacVal,_xlpm.CSVVal&lt;&gt;"",_xlpm.CSVVal
)),"")</f>
        <v/>
      </c>
      <c r="K35" s="54" t="str" cm="1">
        <f t="array" ref="K35">IFERROR(_xlfn.LET(
_xlpm.CSVVal,_xlfn.XLOOKUP($A35,CSV!$A:$A,CSV!M:M,""),
_xlpm.MacVal,_xlfn.XLOOKUP($A35,Output_Mac!$A:$A,Output_Mac!L:L,""),
_xlpm.MyAuditVal,_xlfn.XLOOKUP($A35,My_Audit!$A:$A,My_Audit!J:J,""),
_xlfn.IFS(_xlpm.MyAuditVal&lt;&gt;"",UPPER(_xlpm.MyAuditVal),_xlpm.MacVal&lt;&gt;"",_xlpm.MacVal,_xlpm.CSVVal&lt;&gt;"",_xlpm.CSVVal
)),"")</f>
        <v/>
      </c>
      <c r="L35" s="55" t="str" cm="1">
        <f t="array" ref="L35">IFERROR(_xlfn.LET(
_xlpm.CSVVal,_xlfn.XLOOKUP($A35,CSV!$A:$A,CSV!P:P,""),
_xlpm.MacVal,_xlfn.XLOOKUP($A35,Output_Mac!$A:$A,Output_Mac!M:M,""),
_xlpm.MyAuditVal,_xlfn.XLOOKUP($A35,My_Audit!$A:$A,My_Audit!K:K,""),
_xlfn.IFS(_xlpm.MyAuditVal&lt;&gt;"",UPPER(_xlpm.MyAuditVal),_xlpm.MacVal&lt;&gt;"",_xlpm.MacVal,_xlpm.CSVVal&lt;&gt;"",_xlpm.CSVVal
)),"")</f>
        <v/>
      </c>
      <c r="M35" s="54" t="str">
        <f>_xlfn.LET(
    _xlpm.CSVVal, _xlfn.XLOOKUP($A35, CSV!$A:$A, CSV!AD:AD, ""),
    _xlpm.MacVal, _xlfn.XLOOKUP($A35, Output_Mac!$A:$A, Output_Mac!S:S, ""),
    _xlpm.MyAuditVal, _xlfn.XLOOKUP($A35, My_Audit!$A:$A, My_Audit!N:N, ""),
    _xlfn.TEXTJOIN(", ", TRUE, _xlpm.MyAuditVal, _xlpm.MacVal, _xlpm.CSVVal)
)</f>
        <v/>
      </c>
      <c r="N35" s="54" t="str" cm="1">
        <f t="array" ref="N35">IFERROR(_xlfn.LET(
_xlpm.CSVVal,_xlfn.XLOOKUP($A35,CSV!$A:$A,CSV!AF:AF,""),
_xlpm.MacVal,_xlfn.XLOOKUP($A35,Output_Mac!$A:$A,Output_Mac!U:U,""),
_xlpm.MyAuditVal,_xlfn.XLOOKUP($A35,My_Audit!$A:$A,My_Audit!O:O,""),
_xlfn.IFS(_xlpm.MyAuditVal&lt;&gt;"",UPPER(_xlpm.MyAuditVal),_xlpm.MacVal&lt;&gt;"",_xlpm.MacVal,_xlpm.CSVVal&lt;&gt;"",_xlpm.CSVVal
)),"")</f>
        <v/>
      </c>
      <c r="O35" s="54"/>
      <c r="P35" s="54"/>
      <c r="Q35" s="54"/>
      <c r="R35" s="54"/>
      <c r="S35" s="54"/>
      <c r="T35" s="54"/>
      <c r="U35" s="39" t="str">
        <f>_xlfn.LET(
    _xlpm.MacVal, _xlfn.XLOOKUP($A35, Output_Mac!$A:$A, Output_Mac!AB:AB, ""),
    _xlpm.MyAuditVal, _xlfn.XLOOKUP($A35, My_Audit!$A:$A, My_Audit!L:L, ""),
    _xlfn.TEXTJOIN(", ", TRUE, _xlpm.MyAuditVal, _xlpm.MacVal)
)</f>
        <v/>
      </c>
    </row>
    <row r="36" spans="1:21">
      <c r="A36" s="54" t="str">
        <f>_xlfn.TEXTJOIN("",TRUE,Input!$B$2,ROW(My_Audit!A35))</f>
        <v>XX35</v>
      </c>
      <c r="B36" s="54" t="str">
        <f>_xlfn.TEXTJOIN("-",TRUE,"ITD",Input!$A$2,A36)</f>
        <v>ITD-SHRXXX-XX35</v>
      </c>
      <c r="C36" s="54" t="str" cm="1">
        <f t="array" ref="C36">IFERROR(_xlfn.LET(
_xlpm.CSVVal,_xlfn.XLOOKUP($A36,CSV!$A:$A,CSV!B:B,""),
_xlpm.MacVal,_xlfn.XLOOKUP($A36,Output_Mac!$A:$A,Output_Mac!B:B,""),
_xlpm.MyAuditVal,_xlfn.XLOOKUP($A36,My_Audit!$A:$A,My_Audit!B:B,""),
_xlfn.IFS(_xlpm.MyAuditVal&lt;&gt;"",UPPER(_xlpm.MyAuditVal),_xlpm.MacVal&lt;&gt;"",_xlpm.MacVal,_xlpm.CSVVal&lt;&gt;"",_xlpm.CSVVal
)),"")</f>
        <v/>
      </c>
      <c r="D36" s="55" t="str">
        <f>_xlfn.XLOOKUP(A36,My_Audit!A:A,My_Audit!D:D,"")&amp;""</f>
        <v/>
      </c>
      <c r="E36" s="55" t="str" cm="1">
        <f t="array" ref="E36">IFERROR(_xlfn.LET(
_xlpm.CSVVal,_xlfn.XLOOKUP($A36,CSV!$A:$A,CSV!D:D,""),
_xlpm.MacVal,_xlfn.XLOOKUP($A36,Output_Mac!$A:$A,Output_Mac!C:C,""),
_xlpm.MyAuditVal,_xlfn.XLOOKUP($A36,My_Audit!$A:$A,My_Audit!D:D,""),
_xlfn.IFS(_xlpm.MyAuditVal&lt;&gt;"",_xlpm.MyAuditVal,_xlpm.MacVal&lt;&gt;"",_xlpm.MacVal,_xlpm.CSVVal&lt;&gt;"",_xlpm.CSVVal
)),"")</f>
        <v/>
      </c>
      <c r="F36" s="54" t="str" cm="1">
        <f t="array" ref="F36">IFERROR(_xlfn.LET(
_xlpm.CSVVal,_xlfn.XLOOKUP($A36,CSV!$A:$A,CSV!E:E,""),
_xlpm.MacVal,_xlfn.XLOOKUP($A36,Output_Mac!$A:$A,Output_Mac!F:F,""),
_xlpm.MyAuditVal,_xlfn.XLOOKUP($A36,My_Audit!$A:$A,My_Audit!E:E,""),
_xlfn.IFS(_xlpm.MyAuditVal&lt;&gt;"",_xlpm.MyAuditVal,_xlpm.MacVal&lt;&gt;"",_xlpm.MacVal,_xlpm.CSVVal&lt;&gt;"",PROPER(_xlpm.CSVVal)
)),"")</f>
        <v/>
      </c>
      <c r="G36" s="54" t="str" cm="1">
        <f t="array" ref="G36">IFERROR(_xlfn.LET(
_xlpm.CSVVal,_xlfn.XLOOKUP($A36,CSV!$A:$A,CSV!F:F,""),
_xlpm.MacVal,_xlfn.XLOOKUP($A36,Output_Mac!$A:$A,Output_Mac!H:H,""),
_xlpm.MyAuditVal,_xlfn.XLOOKUP($A36,My_Audit!$A:$A,My_Audit!F:F,""),
_xlfn.IFS(_xlpm.MyAuditVal&lt;&gt;"",_xlpm.MyAuditVal,_xlpm.MacVal&lt;&gt;"",_xlpm.MacVal,_xlpm.CSVVal&lt;&gt;"",_xlpm.CSVVal
)),"")</f>
        <v/>
      </c>
      <c r="H36" s="54" t="str">
        <f>_xlfn.XLOOKUP(A36,Output_Mac!A:A,Output_Mac!I:I,"")</f>
        <v/>
      </c>
      <c r="I36" s="54" t="str" cm="1">
        <f t="array" ref="I36">IFERROR(_xlfn.LET(
_xlpm.CSVVal,_xlfn.XLOOKUP($A36,CSV!$A:$A,CSV!G:G,""),
_xlpm.MacVal,_xlfn.XLOOKUP($A36,Output_Mac!$A:$A,Output_Mac!J:J,""),
_xlpm.MyAuditVal,_xlfn.XLOOKUP($A36,My_Audit!$A:$A,My_Audit!H:H,""),
_xlfn.IFS(_xlpm.MyAuditVal&lt;&gt;"",UPPER(_xlpm.MyAuditVal),_xlpm.MacVal&lt;&gt;"",_xlpm.MacVal,_xlpm.CSVVal&lt;&gt;"",_xlpm.CSVVal
)),"")</f>
        <v/>
      </c>
      <c r="J36" s="54" t="str" cm="1">
        <f t="array" ref="J36">IFERROR(_xlfn.LET(
_xlpm.CSVVal,_xlfn.XLOOKUP($A36,CSV!$A:$A,CSV!I:I,""),
_xlpm.MacVal,_xlfn.XLOOKUP($A36,Output_Mac!$A:$A,Output_Mac!K:K,""),
_xlpm.MyAuditVal,_xlfn.XLOOKUP($A36,My_Audit!$A:$A,My_Audit!I:I,""),
_xlfn.IFS(_xlpm.MyAuditVal&lt;&gt;"",UPPER(_xlpm.MyAuditVal),_xlpm.MacVal&lt;&gt;"",_xlpm.MacVal,_xlpm.CSVVal&lt;&gt;"",_xlpm.CSVVal
)),"")</f>
        <v/>
      </c>
      <c r="K36" s="54" t="str" cm="1">
        <f t="array" ref="K36">IFERROR(_xlfn.LET(
_xlpm.CSVVal,_xlfn.XLOOKUP($A36,CSV!$A:$A,CSV!M:M,""),
_xlpm.MacVal,_xlfn.XLOOKUP($A36,Output_Mac!$A:$A,Output_Mac!L:L,""),
_xlpm.MyAuditVal,_xlfn.XLOOKUP($A36,My_Audit!$A:$A,My_Audit!J:J,""),
_xlfn.IFS(_xlpm.MyAuditVal&lt;&gt;"",UPPER(_xlpm.MyAuditVal),_xlpm.MacVal&lt;&gt;"",_xlpm.MacVal,_xlpm.CSVVal&lt;&gt;"",_xlpm.CSVVal
)),"")</f>
        <v/>
      </c>
      <c r="L36" s="55" t="str" cm="1">
        <f t="array" ref="L36">IFERROR(_xlfn.LET(
_xlpm.CSVVal,_xlfn.XLOOKUP($A36,CSV!$A:$A,CSV!P:P,""),
_xlpm.MacVal,_xlfn.XLOOKUP($A36,Output_Mac!$A:$A,Output_Mac!M:M,""),
_xlpm.MyAuditVal,_xlfn.XLOOKUP($A36,My_Audit!$A:$A,My_Audit!K:K,""),
_xlfn.IFS(_xlpm.MyAuditVal&lt;&gt;"",UPPER(_xlpm.MyAuditVal),_xlpm.MacVal&lt;&gt;"",_xlpm.MacVal,_xlpm.CSVVal&lt;&gt;"",_xlpm.CSVVal
)),"")</f>
        <v/>
      </c>
      <c r="M36" s="54" t="str">
        <f>_xlfn.LET(
    _xlpm.CSVVal, _xlfn.XLOOKUP($A36, CSV!$A:$A, CSV!AD:AD, ""),
    _xlpm.MacVal, _xlfn.XLOOKUP($A36, Output_Mac!$A:$A, Output_Mac!S:S, ""),
    _xlpm.MyAuditVal, _xlfn.XLOOKUP($A36, My_Audit!$A:$A, My_Audit!N:N, ""),
    _xlfn.TEXTJOIN(", ", TRUE, _xlpm.MyAuditVal, _xlpm.MacVal, _xlpm.CSVVal)
)</f>
        <v/>
      </c>
      <c r="N36" s="54" t="str" cm="1">
        <f t="array" ref="N36">IFERROR(_xlfn.LET(
_xlpm.CSVVal,_xlfn.XLOOKUP($A36,CSV!$A:$A,CSV!AF:AF,""),
_xlpm.MacVal,_xlfn.XLOOKUP($A36,Output_Mac!$A:$A,Output_Mac!U:U,""),
_xlpm.MyAuditVal,_xlfn.XLOOKUP($A36,My_Audit!$A:$A,My_Audit!O:O,""),
_xlfn.IFS(_xlpm.MyAuditVal&lt;&gt;"",UPPER(_xlpm.MyAuditVal),_xlpm.MacVal&lt;&gt;"",_xlpm.MacVal,_xlpm.CSVVal&lt;&gt;"",_xlpm.CSVVal
)),"")</f>
        <v/>
      </c>
      <c r="O36" s="54"/>
      <c r="P36" s="54"/>
      <c r="Q36" s="54"/>
      <c r="R36" s="54"/>
      <c r="S36" s="54"/>
      <c r="T36" s="54"/>
      <c r="U36" s="39" t="str">
        <f>_xlfn.LET(
    _xlpm.MacVal, _xlfn.XLOOKUP($A36, Output_Mac!$A:$A, Output_Mac!AB:AB, ""),
    _xlpm.MyAuditVal, _xlfn.XLOOKUP($A36, My_Audit!$A:$A, My_Audit!L:L, ""),
    _xlfn.TEXTJOIN(", ", TRUE, _xlpm.MyAuditVal, _xlpm.MacVal)
)</f>
        <v/>
      </c>
    </row>
    <row r="37" spans="1:21">
      <c r="A37" s="54" t="str">
        <f>_xlfn.TEXTJOIN("",TRUE,Input!$B$2,ROW(My_Audit!A36))</f>
        <v>XX36</v>
      </c>
      <c r="B37" s="54" t="str">
        <f>_xlfn.TEXTJOIN("-",TRUE,"ITD",Input!$A$2,A37)</f>
        <v>ITD-SHRXXX-XX36</v>
      </c>
      <c r="C37" s="54" t="str" cm="1">
        <f t="array" ref="C37">IFERROR(_xlfn.LET(
_xlpm.CSVVal,_xlfn.XLOOKUP($A37,CSV!$A:$A,CSV!B:B,""),
_xlpm.MacVal,_xlfn.XLOOKUP($A37,Output_Mac!$A:$A,Output_Mac!B:B,""),
_xlpm.MyAuditVal,_xlfn.XLOOKUP($A37,My_Audit!$A:$A,My_Audit!B:B,""),
_xlfn.IFS(_xlpm.MyAuditVal&lt;&gt;"",UPPER(_xlpm.MyAuditVal),_xlpm.MacVal&lt;&gt;"",_xlpm.MacVal,_xlpm.CSVVal&lt;&gt;"",_xlpm.CSVVal
)),"")</f>
        <v/>
      </c>
      <c r="D37" s="55" t="str">
        <f>_xlfn.XLOOKUP(A37,My_Audit!A:A,My_Audit!D:D,"")&amp;""</f>
        <v/>
      </c>
      <c r="E37" s="55" t="str" cm="1">
        <f t="array" ref="E37">IFERROR(_xlfn.LET(
_xlpm.CSVVal,_xlfn.XLOOKUP($A37,CSV!$A:$A,CSV!D:D,""),
_xlpm.MacVal,_xlfn.XLOOKUP($A37,Output_Mac!$A:$A,Output_Mac!C:C,""),
_xlpm.MyAuditVal,_xlfn.XLOOKUP($A37,My_Audit!$A:$A,My_Audit!D:D,""),
_xlfn.IFS(_xlpm.MyAuditVal&lt;&gt;"",_xlpm.MyAuditVal,_xlpm.MacVal&lt;&gt;"",_xlpm.MacVal,_xlpm.CSVVal&lt;&gt;"",_xlpm.CSVVal
)),"")</f>
        <v/>
      </c>
      <c r="F37" s="54" t="str" cm="1">
        <f t="array" ref="F37">IFERROR(_xlfn.LET(
_xlpm.CSVVal,_xlfn.XLOOKUP($A37,CSV!$A:$A,CSV!E:E,""),
_xlpm.MacVal,_xlfn.XLOOKUP($A37,Output_Mac!$A:$A,Output_Mac!F:F,""),
_xlpm.MyAuditVal,_xlfn.XLOOKUP($A37,My_Audit!$A:$A,My_Audit!E:E,""),
_xlfn.IFS(_xlpm.MyAuditVal&lt;&gt;"",_xlpm.MyAuditVal,_xlpm.MacVal&lt;&gt;"",_xlpm.MacVal,_xlpm.CSVVal&lt;&gt;"",PROPER(_xlpm.CSVVal)
)),"")</f>
        <v/>
      </c>
      <c r="G37" s="54" t="str" cm="1">
        <f t="array" ref="G37">IFERROR(_xlfn.LET(
_xlpm.CSVVal,_xlfn.XLOOKUP($A37,CSV!$A:$A,CSV!F:F,""),
_xlpm.MacVal,_xlfn.XLOOKUP($A37,Output_Mac!$A:$A,Output_Mac!H:H,""),
_xlpm.MyAuditVal,_xlfn.XLOOKUP($A37,My_Audit!$A:$A,My_Audit!F:F,""),
_xlfn.IFS(_xlpm.MyAuditVal&lt;&gt;"",_xlpm.MyAuditVal,_xlpm.MacVal&lt;&gt;"",_xlpm.MacVal,_xlpm.CSVVal&lt;&gt;"",_xlpm.CSVVal
)),"")</f>
        <v/>
      </c>
      <c r="H37" s="54" t="str">
        <f>_xlfn.XLOOKUP(A37,Output_Mac!A:A,Output_Mac!I:I,"")</f>
        <v/>
      </c>
      <c r="I37" s="54" t="str" cm="1">
        <f t="array" ref="I37">IFERROR(_xlfn.LET(
_xlpm.CSVVal,_xlfn.XLOOKUP($A37,CSV!$A:$A,CSV!G:G,""),
_xlpm.MacVal,_xlfn.XLOOKUP($A37,Output_Mac!$A:$A,Output_Mac!J:J,""),
_xlpm.MyAuditVal,_xlfn.XLOOKUP($A37,My_Audit!$A:$A,My_Audit!H:H,""),
_xlfn.IFS(_xlpm.MyAuditVal&lt;&gt;"",UPPER(_xlpm.MyAuditVal),_xlpm.MacVal&lt;&gt;"",_xlpm.MacVal,_xlpm.CSVVal&lt;&gt;"",_xlpm.CSVVal
)),"")</f>
        <v/>
      </c>
      <c r="J37" s="54" t="str" cm="1">
        <f t="array" ref="J37">IFERROR(_xlfn.LET(
_xlpm.CSVVal,_xlfn.XLOOKUP($A37,CSV!$A:$A,CSV!I:I,""),
_xlpm.MacVal,_xlfn.XLOOKUP($A37,Output_Mac!$A:$A,Output_Mac!K:K,""),
_xlpm.MyAuditVal,_xlfn.XLOOKUP($A37,My_Audit!$A:$A,My_Audit!I:I,""),
_xlfn.IFS(_xlpm.MyAuditVal&lt;&gt;"",UPPER(_xlpm.MyAuditVal),_xlpm.MacVal&lt;&gt;"",_xlpm.MacVal,_xlpm.CSVVal&lt;&gt;"",_xlpm.CSVVal
)),"")</f>
        <v/>
      </c>
      <c r="K37" s="54" t="str" cm="1">
        <f t="array" ref="K37">IFERROR(_xlfn.LET(
_xlpm.CSVVal,_xlfn.XLOOKUP($A37,CSV!$A:$A,CSV!M:M,""),
_xlpm.MacVal,_xlfn.XLOOKUP($A37,Output_Mac!$A:$A,Output_Mac!L:L,""),
_xlpm.MyAuditVal,_xlfn.XLOOKUP($A37,My_Audit!$A:$A,My_Audit!J:J,""),
_xlfn.IFS(_xlpm.MyAuditVal&lt;&gt;"",UPPER(_xlpm.MyAuditVal),_xlpm.MacVal&lt;&gt;"",_xlpm.MacVal,_xlpm.CSVVal&lt;&gt;"",_xlpm.CSVVal
)),"")</f>
        <v/>
      </c>
      <c r="L37" s="55" t="str" cm="1">
        <f t="array" ref="L37">IFERROR(_xlfn.LET(
_xlpm.CSVVal,_xlfn.XLOOKUP($A37,CSV!$A:$A,CSV!P:P,""),
_xlpm.MacVal,_xlfn.XLOOKUP($A37,Output_Mac!$A:$A,Output_Mac!M:M,""),
_xlpm.MyAuditVal,_xlfn.XLOOKUP($A37,My_Audit!$A:$A,My_Audit!K:K,""),
_xlfn.IFS(_xlpm.MyAuditVal&lt;&gt;"",UPPER(_xlpm.MyAuditVal),_xlpm.MacVal&lt;&gt;"",_xlpm.MacVal,_xlpm.CSVVal&lt;&gt;"",_xlpm.CSVVal
)),"")</f>
        <v/>
      </c>
      <c r="M37" s="54" t="str">
        <f>_xlfn.LET(
    _xlpm.CSVVal, _xlfn.XLOOKUP($A37, CSV!$A:$A, CSV!AD:AD, ""),
    _xlpm.MacVal, _xlfn.XLOOKUP($A37, Output_Mac!$A:$A, Output_Mac!S:S, ""),
    _xlpm.MyAuditVal, _xlfn.XLOOKUP($A37, My_Audit!$A:$A, My_Audit!N:N, ""),
    _xlfn.TEXTJOIN(", ", TRUE, _xlpm.MyAuditVal, _xlpm.MacVal, _xlpm.CSVVal)
)</f>
        <v/>
      </c>
      <c r="N37" s="54" t="str" cm="1">
        <f t="array" ref="N37">IFERROR(_xlfn.LET(
_xlpm.CSVVal,_xlfn.XLOOKUP($A37,CSV!$A:$A,CSV!AF:AF,""),
_xlpm.MacVal,_xlfn.XLOOKUP($A37,Output_Mac!$A:$A,Output_Mac!U:U,""),
_xlpm.MyAuditVal,_xlfn.XLOOKUP($A37,My_Audit!$A:$A,My_Audit!O:O,""),
_xlfn.IFS(_xlpm.MyAuditVal&lt;&gt;"",UPPER(_xlpm.MyAuditVal),_xlpm.MacVal&lt;&gt;"",_xlpm.MacVal,_xlpm.CSVVal&lt;&gt;"",_xlpm.CSVVal
)),"")</f>
        <v/>
      </c>
      <c r="O37" s="54"/>
      <c r="P37" s="54"/>
      <c r="Q37" s="54"/>
      <c r="R37" s="54"/>
      <c r="S37" s="54"/>
      <c r="T37" s="54"/>
      <c r="U37" s="39" t="str">
        <f>_xlfn.LET(
    _xlpm.MacVal, _xlfn.XLOOKUP($A37, Output_Mac!$A:$A, Output_Mac!AB:AB, ""),
    _xlpm.MyAuditVal, _xlfn.XLOOKUP($A37, My_Audit!$A:$A, My_Audit!L:L, ""),
    _xlfn.TEXTJOIN(", ", TRUE, _xlpm.MyAuditVal, _xlpm.MacVal)
)</f>
        <v/>
      </c>
    </row>
    <row r="38" spans="1:21">
      <c r="A38" s="54" t="str">
        <f>_xlfn.TEXTJOIN("",TRUE,Input!$B$2,ROW(My_Audit!A37))</f>
        <v>XX37</v>
      </c>
      <c r="B38" s="54" t="str">
        <f>_xlfn.TEXTJOIN("-",TRUE,"ITD",Input!$A$2,A38)</f>
        <v>ITD-SHRXXX-XX37</v>
      </c>
      <c r="C38" s="54" t="str" cm="1">
        <f t="array" ref="C38">IFERROR(_xlfn.LET(
_xlpm.CSVVal,_xlfn.XLOOKUP($A38,CSV!$A:$A,CSV!B:B,""),
_xlpm.MacVal,_xlfn.XLOOKUP($A38,Output_Mac!$A:$A,Output_Mac!B:B,""),
_xlpm.MyAuditVal,_xlfn.XLOOKUP($A38,My_Audit!$A:$A,My_Audit!B:B,""),
_xlfn.IFS(_xlpm.MyAuditVal&lt;&gt;"",UPPER(_xlpm.MyAuditVal),_xlpm.MacVal&lt;&gt;"",_xlpm.MacVal,_xlpm.CSVVal&lt;&gt;"",_xlpm.CSVVal
)),"")</f>
        <v/>
      </c>
      <c r="D38" s="55" t="str">
        <f>_xlfn.XLOOKUP(A38,My_Audit!A:A,My_Audit!D:D,"")&amp;""</f>
        <v/>
      </c>
      <c r="E38" s="55" t="str" cm="1">
        <f t="array" ref="E38">IFERROR(_xlfn.LET(
_xlpm.CSVVal,_xlfn.XLOOKUP($A38,CSV!$A:$A,CSV!D:D,""),
_xlpm.MacVal,_xlfn.XLOOKUP($A38,Output_Mac!$A:$A,Output_Mac!C:C,""),
_xlpm.MyAuditVal,_xlfn.XLOOKUP($A38,My_Audit!$A:$A,My_Audit!D:D,""),
_xlfn.IFS(_xlpm.MyAuditVal&lt;&gt;"",_xlpm.MyAuditVal,_xlpm.MacVal&lt;&gt;"",_xlpm.MacVal,_xlpm.CSVVal&lt;&gt;"",_xlpm.CSVVal
)),"")</f>
        <v/>
      </c>
      <c r="F38" s="54" t="str" cm="1">
        <f t="array" ref="F38">IFERROR(_xlfn.LET(
_xlpm.CSVVal,_xlfn.XLOOKUP($A38,CSV!$A:$A,CSV!E:E,""),
_xlpm.MacVal,_xlfn.XLOOKUP($A38,Output_Mac!$A:$A,Output_Mac!F:F,""),
_xlpm.MyAuditVal,_xlfn.XLOOKUP($A38,My_Audit!$A:$A,My_Audit!E:E,""),
_xlfn.IFS(_xlpm.MyAuditVal&lt;&gt;"",_xlpm.MyAuditVal,_xlpm.MacVal&lt;&gt;"",_xlpm.MacVal,_xlpm.CSVVal&lt;&gt;"",PROPER(_xlpm.CSVVal)
)),"")</f>
        <v/>
      </c>
      <c r="G38" s="54" t="str" cm="1">
        <f t="array" ref="G38">IFERROR(_xlfn.LET(
_xlpm.CSVVal,_xlfn.XLOOKUP($A38,CSV!$A:$A,CSV!F:F,""),
_xlpm.MacVal,_xlfn.XLOOKUP($A38,Output_Mac!$A:$A,Output_Mac!H:H,""),
_xlpm.MyAuditVal,_xlfn.XLOOKUP($A38,My_Audit!$A:$A,My_Audit!F:F,""),
_xlfn.IFS(_xlpm.MyAuditVal&lt;&gt;"",_xlpm.MyAuditVal,_xlpm.MacVal&lt;&gt;"",_xlpm.MacVal,_xlpm.CSVVal&lt;&gt;"",_xlpm.CSVVal
)),"")</f>
        <v/>
      </c>
      <c r="H38" s="54" t="str">
        <f>_xlfn.XLOOKUP(A38,Output_Mac!A:A,Output_Mac!I:I,"")</f>
        <v/>
      </c>
      <c r="I38" s="54" t="str" cm="1">
        <f t="array" ref="I38">IFERROR(_xlfn.LET(
_xlpm.CSVVal,_xlfn.XLOOKUP($A38,CSV!$A:$A,CSV!G:G,""),
_xlpm.MacVal,_xlfn.XLOOKUP($A38,Output_Mac!$A:$A,Output_Mac!J:J,""),
_xlpm.MyAuditVal,_xlfn.XLOOKUP($A38,My_Audit!$A:$A,My_Audit!H:H,""),
_xlfn.IFS(_xlpm.MyAuditVal&lt;&gt;"",UPPER(_xlpm.MyAuditVal),_xlpm.MacVal&lt;&gt;"",_xlpm.MacVal,_xlpm.CSVVal&lt;&gt;"",_xlpm.CSVVal
)),"")</f>
        <v/>
      </c>
      <c r="J38" s="54" t="str" cm="1">
        <f t="array" ref="J38">IFERROR(_xlfn.LET(
_xlpm.CSVVal,_xlfn.XLOOKUP($A38,CSV!$A:$A,CSV!I:I,""),
_xlpm.MacVal,_xlfn.XLOOKUP($A38,Output_Mac!$A:$A,Output_Mac!K:K,""),
_xlpm.MyAuditVal,_xlfn.XLOOKUP($A38,My_Audit!$A:$A,My_Audit!I:I,""),
_xlfn.IFS(_xlpm.MyAuditVal&lt;&gt;"",UPPER(_xlpm.MyAuditVal),_xlpm.MacVal&lt;&gt;"",_xlpm.MacVal,_xlpm.CSVVal&lt;&gt;"",_xlpm.CSVVal
)),"")</f>
        <v/>
      </c>
      <c r="K38" s="54" t="str" cm="1">
        <f t="array" ref="K38">IFERROR(_xlfn.LET(
_xlpm.CSVVal,_xlfn.XLOOKUP($A38,CSV!$A:$A,CSV!M:M,""),
_xlpm.MacVal,_xlfn.XLOOKUP($A38,Output_Mac!$A:$A,Output_Mac!L:L,""),
_xlpm.MyAuditVal,_xlfn.XLOOKUP($A38,My_Audit!$A:$A,My_Audit!J:J,""),
_xlfn.IFS(_xlpm.MyAuditVal&lt;&gt;"",UPPER(_xlpm.MyAuditVal),_xlpm.MacVal&lt;&gt;"",_xlpm.MacVal,_xlpm.CSVVal&lt;&gt;"",_xlpm.CSVVal
)),"")</f>
        <v/>
      </c>
      <c r="L38" s="55" t="str" cm="1">
        <f t="array" ref="L38">IFERROR(_xlfn.LET(
_xlpm.CSVVal,_xlfn.XLOOKUP($A38,CSV!$A:$A,CSV!P:P,""),
_xlpm.MacVal,_xlfn.XLOOKUP($A38,Output_Mac!$A:$A,Output_Mac!M:M,""),
_xlpm.MyAuditVal,_xlfn.XLOOKUP($A38,My_Audit!$A:$A,My_Audit!K:K,""),
_xlfn.IFS(_xlpm.MyAuditVal&lt;&gt;"",UPPER(_xlpm.MyAuditVal),_xlpm.MacVal&lt;&gt;"",_xlpm.MacVal,_xlpm.CSVVal&lt;&gt;"",_xlpm.CSVVal
)),"")</f>
        <v/>
      </c>
      <c r="M38" s="54" t="str">
        <f>_xlfn.LET(
    _xlpm.CSVVal, _xlfn.XLOOKUP($A38, CSV!$A:$A, CSV!AD:AD, ""),
    _xlpm.MacVal, _xlfn.XLOOKUP($A38, Output_Mac!$A:$A, Output_Mac!S:S, ""),
    _xlpm.MyAuditVal, _xlfn.XLOOKUP($A38, My_Audit!$A:$A, My_Audit!N:N, ""),
    _xlfn.TEXTJOIN(", ", TRUE, _xlpm.MyAuditVal, _xlpm.MacVal, _xlpm.CSVVal)
)</f>
        <v/>
      </c>
      <c r="N38" s="54" t="str" cm="1">
        <f t="array" ref="N38">IFERROR(_xlfn.LET(
_xlpm.CSVVal,_xlfn.XLOOKUP($A38,CSV!$A:$A,CSV!AF:AF,""),
_xlpm.MacVal,_xlfn.XLOOKUP($A38,Output_Mac!$A:$A,Output_Mac!U:U,""),
_xlpm.MyAuditVal,_xlfn.XLOOKUP($A38,My_Audit!$A:$A,My_Audit!O:O,""),
_xlfn.IFS(_xlpm.MyAuditVal&lt;&gt;"",UPPER(_xlpm.MyAuditVal),_xlpm.MacVal&lt;&gt;"",_xlpm.MacVal,_xlpm.CSVVal&lt;&gt;"",_xlpm.CSVVal
)),"")</f>
        <v/>
      </c>
      <c r="O38" s="54"/>
      <c r="P38" s="54"/>
      <c r="Q38" s="54"/>
      <c r="R38" s="54"/>
      <c r="S38" s="54"/>
      <c r="T38" s="54"/>
      <c r="U38" s="39" t="str">
        <f>_xlfn.LET(
    _xlpm.MacVal, _xlfn.XLOOKUP($A38, Output_Mac!$A:$A, Output_Mac!AB:AB, ""),
    _xlpm.MyAuditVal, _xlfn.XLOOKUP($A38, My_Audit!$A:$A, My_Audit!L:L, ""),
    _xlfn.TEXTJOIN(", ", TRUE, _xlpm.MyAuditVal, _xlpm.MacVal)
)</f>
        <v/>
      </c>
    </row>
    <row r="39" spans="1:21">
      <c r="A39" s="54" t="str">
        <f>_xlfn.TEXTJOIN("",TRUE,Input!$B$2,ROW(My_Audit!A38))</f>
        <v>XX38</v>
      </c>
      <c r="B39" s="54" t="str">
        <f>_xlfn.TEXTJOIN("-",TRUE,"ITD",Input!$A$2,A39)</f>
        <v>ITD-SHRXXX-XX38</v>
      </c>
      <c r="C39" s="54" t="str" cm="1">
        <f t="array" ref="C39">IFERROR(_xlfn.LET(
_xlpm.CSVVal,_xlfn.XLOOKUP($A39,CSV!$A:$A,CSV!B:B,""),
_xlpm.MacVal,_xlfn.XLOOKUP($A39,Output_Mac!$A:$A,Output_Mac!B:B,""),
_xlpm.MyAuditVal,_xlfn.XLOOKUP($A39,My_Audit!$A:$A,My_Audit!B:B,""),
_xlfn.IFS(_xlpm.MyAuditVal&lt;&gt;"",UPPER(_xlpm.MyAuditVal),_xlpm.MacVal&lt;&gt;"",_xlpm.MacVal,_xlpm.CSVVal&lt;&gt;"",_xlpm.CSVVal
)),"")</f>
        <v/>
      </c>
      <c r="D39" s="55" t="str">
        <f>_xlfn.XLOOKUP(A39,My_Audit!A:A,My_Audit!D:D,"")&amp;""</f>
        <v/>
      </c>
      <c r="E39" s="55" t="str" cm="1">
        <f t="array" ref="E39">IFERROR(_xlfn.LET(
_xlpm.CSVVal,_xlfn.XLOOKUP($A39,CSV!$A:$A,CSV!D:D,""),
_xlpm.MacVal,_xlfn.XLOOKUP($A39,Output_Mac!$A:$A,Output_Mac!C:C,""),
_xlpm.MyAuditVal,_xlfn.XLOOKUP($A39,My_Audit!$A:$A,My_Audit!D:D,""),
_xlfn.IFS(_xlpm.MyAuditVal&lt;&gt;"",_xlpm.MyAuditVal,_xlpm.MacVal&lt;&gt;"",_xlpm.MacVal,_xlpm.CSVVal&lt;&gt;"",_xlpm.CSVVal
)),"")</f>
        <v/>
      </c>
      <c r="F39" s="54" t="str" cm="1">
        <f t="array" ref="F39">IFERROR(_xlfn.LET(
_xlpm.CSVVal,_xlfn.XLOOKUP($A39,CSV!$A:$A,CSV!E:E,""),
_xlpm.MacVal,_xlfn.XLOOKUP($A39,Output_Mac!$A:$A,Output_Mac!F:F,""),
_xlpm.MyAuditVal,_xlfn.XLOOKUP($A39,My_Audit!$A:$A,My_Audit!E:E,""),
_xlfn.IFS(_xlpm.MyAuditVal&lt;&gt;"",_xlpm.MyAuditVal,_xlpm.MacVal&lt;&gt;"",_xlpm.MacVal,_xlpm.CSVVal&lt;&gt;"",PROPER(_xlpm.CSVVal)
)),"")</f>
        <v/>
      </c>
      <c r="G39" s="54" t="str" cm="1">
        <f t="array" ref="G39">IFERROR(_xlfn.LET(
_xlpm.CSVVal,_xlfn.XLOOKUP($A39,CSV!$A:$A,CSV!F:F,""),
_xlpm.MacVal,_xlfn.XLOOKUP($A39,Output_Mac!$A:$A,Output_Mac!H:H,""),
_xlpm.MyAuditVal,_xlfn.XLOOKUP($A39,My_Audit!$A:$A,My_Audit!F:F,""),
_xlfn.IFS(_xlpm.MyAuditVal&lt;&gt;"",_xlpm.MyAuditVal,_xlpm.MacVal&lt;&gt;"",_xlpm.MacVal,_xlpm.CSVVal&lt;&gt;"",_xlpm.CSVVal
)),"")</f>
        <v/>
      </c>
      <c r="H39" s="54" t="str">
        <f>_xlfn.XLOOKUP(A39,Output_Mac!A:A,Output_Mac!I:I,"")</f>
        <v/>
      </c>
      <c r="I39" s="54" t="str" cm="1">
        <f t="array" ref="I39">IFERROR(_xlfn.LET(
_xlpm.CSVVal,_xlfn.XLOOKUP($A39,CSV!$A:$A,CSV!G:G,""),
_xlpm.MacVal,_xlfn.XLOOKUP($A39,Output_Mac!$A:$A,Output_Mac!J:J,""),
_xlpm.MyAuditVal,_xlfn.XLOOKUP($A39,My_Audit!$A:$A,My_Audit!H:H,""),
_xlfn.IFS(_xlpm.MyAuditVal&lt;&gt;"",UPPER(_xlpm.MyAuditVal),_xlpm.MacVal&lt;&gt;"",_xlpm.MacVal,_xlpm.CSVVal&lt;&gt;"",_xlpm.CSVVal
)),"")</f>
        <v/>
      </c>
      <c r="J39" s="54" t="str" cm="1">
        <f t="array" ref="J39">IFERROR(_xlfn.LET(
_xlpm.CSVVal,_xlfn.XLOOKUP($A39,CSV!$A:$A,CSV!I:I,""),
_xlpm.MacVal,_xlfn.XLOOKUP($A39,Output_Mac!$A:$A,Output_Mac!K:K,""),
_xlpm.MyAuditVal,_xlfn.XLOOKUP($A39,My_Audit!$A:$A,My_Audit!I:I,""),
_xlfn.IFS(_xlpm.MyAuditVal&lt;&gt;"",UPPER(_xlpm.MyAuditVal),_xlpm.MacVal&lt;&gt;"",_xlpm.MacVal,_xlpm.CSVVal&lt;&gt;"",_xlpm.CSVVal
)),"")</f>
        <v/>
      </c>
      <c r="K39" s="54" t="str" cm="1">
        <f t="array" ref="K39">IFERROR(_xlfn.LET(
_xlpm.CSVVal,_xlfn.XLOOKUP($A39,CSV!$A:$A,CSV!M:M,""),
_xlpm.MacVal,_xlfn.XLOOKUP($A39,Output_Mac!$A:$A,Output_Mac!L:L,""),
_xlpm.MyAuditVal,_xlfn.XLOOKUP($A39,My_Audit!$A:$A,My_Audit!J:J,""),
_xlfn.IFS(_xlpm.MyAuditVal&lt;&gt;"",UPPER(_xlpm.MyAuditVal),_xlpm.MacVal&lt;&gt;"",_xlpm.MacVal,_xlpm.CSVVal&lt;&gt;"",_xlpm.CSVVal
)),"")</f>
        <v/>
      </c>
      <c r="L39" s="55" t="str" cm="1">
        <f t="array" ref="L39">IFERROR(_xlfn.LET(
_xlpm.CSVVal,_xlfn.XLOOKUP($A39,CSV!$A:$A,CSV!P:P,""),
_xlpm.MacVal,_xlfn.XLOOKUP($A39,Output_Mac!$A:$A,Output_Mac!M:M,""),
_xlpm.MyAuditVal,_xlfn.XLOOKUP($A39,My_Audit!$A:$A,My_Audit!K:K,""),
_xlfn.IFS(_xlpm.MyAuditVal&lt;&gt;"",UPPER(_xlpm.MyAuditVal),_xlpm.MacVal&lt;&gt;"",_xlpm.MacVal,_xlpm.CSVVal&lt;&gt;"",_xlpm.CSVVal
)),"")</f>
        <v/>
      </c>
      <c r="M39" s="54" t="str">
        <f>_xlfn.LET(
    _xlpm.CSVVal, _xlfn.XLOOKUP($A39, CSV!$A:$A, CSV!AD:AD, ""),
    _xlpm.MacVal, _xlfn.XLOOKUP($A39, Output_Mac!$A:$A, Output_Mac!S:S, ""),
    _xlpm.MyAuditVal, _xlfn.XLOOKUP($A39, My_Audit!$A:$A, My_Audit!N:N, ""),
    _xlfn.TEXTJOIN(", ", TRUE, _xlpm.MyAuditVal, _xlpm.MacVal, _xlpm.CSVVal)
)</f>
        <v/>
      </c>
      <c r="N39" s="54" t="str" cm="1">
        <f t="array" ref="N39">IFERROR(_xlfn.LET(
_xlpm.CSVVal,_xlfn.XLOOKUP($A39,CSV!$A:$A,CSV!AF:AF,""),
_xlpm.MacVal,_xlfn.XLOOKUP($A39,Output_Mac!$A:$A,Output_Mac!U:U,""),
_xlpm.MyAuditVal,_xlfn.XLOOKUP($A39,My_Audit!$A:$A,My_Audit!O:O,""),
_xlfn.IFS(_xlpm.MyAuditVal&lt;&gt;"",UPPER(_xlpm.MyAuditVal),_xlpm.MacVal&lt;&gt;"",_xlpm.MacVal,_xlpm.CSVVal&lt;&gt;"",_xlpm.CSVVal
)),"")</f>
        <v/>
      </c>
      <c r="O39" s="54"/>
      <c r="P39" s="54"/>
      <c r="Q39" s="54"/>
      <c r="R39" s="54"/>
      <c r="S39" s="54"/>
      <c r="T39" s="54"/>
      <c r="U39" s="39" t="str">
        <f>_xlfn.LET(
    _xlpm.MacVal, _xlfn.XLOOKUP($A39, Output_Mac!$A:$A, Output_Mac!AB:AB, ""),
    _xlpm.MyAuditVal, _xlfn.XLOOKUP($A39, My_Audit!$A:$A, My_Audit!L:L, ""),
    _xlfn.TEXTJOIN(", ", TRUE, _xlpm.MyAuditVal, _xlpm.MacVal)
)</f>
        <v/>
      </c>
    </row>
    <row r="40" spans="1:21">
      <c r="A40" s="54" t="str">
        <f>_xlfn.TEXTJOIN("",TRUE,Input!$B$2,ROW(My_Audit!A39))</f>
        <v>XX39</v>
      </c>
      <c r="B40" s="54" t="str">
        <f>_xlfn.TEXTJOIN("-",TRUE,"ITD",Input!$A$2,A40)</f>
        <v>ITD-SHRXXX-XX39</v>
      </c>
      <c r="C40" s="54" t="str" cm="1">
        <f t="array" ref="C40">IFERROR(_xlfn.LET(
_xlpm.CSVVal,_xlfn.XLOOKUP($A40,CSV!$A:$A,CSV!B:B,""),
_xlpm.MacVal,_xlfn.XLOOKUP($A40,Output_Mac!$A:$A,Output_Mac!B:B,""),
_xlpm.MyAuditVal,_xlfn.XLOOKUP($A40,My_Audit!$A:$A,My_Audit!B:B,""),
_xlfn.IFS(_xlpm.MyAuditVal&lt;&gt;"",UPPER(_xlpm.MyAuditVal),_xlpm.MacVal&lt;&gt;"",_xlpm.MacVal,_xlpm.CSVVal&lt;&gt;"",_xlpm.CSVVal
)),"")</f>
        <v/>
      </c>
      <c r="D40" s="55" t="str">
        <f>_xlfn.XLOOKUP(A40,My_Audit!A:A,My_Audit!D:D,"")&amp;""</f>
        <v/>
      </c>
      <c r="E40" s="55" t="str" cm="1">
        <f t="array" ref="E40">IFERROR(_xlfn.LET(
_xlpm.CSVVal,_xlfn.XLOOKUP($A40,CSV!$A:$A,CSV!D:D,""),
_xlpm.MacVal,_xlfn.XLOOKUP($A40,Output_Mac!$A:$A,Output_Mac!C:C,""),
_xlpm.MyAuditVal,_xlfn.XLOOKUP($A40,My_Audit!$A:$A,My_Audit!D:D,""),
_xlfn.IFS(_xlpm.MyAuditVal&lt;&gt;"",_xlpm.MyAuditVal,_xlpm.MacVal&lt;&gt;"",_xlpm.MacVal,_xlpm.CSVVal&lt;&gt;"",_xlpm.CSVVal
)),"")</f>
        <v/>
      </c>
      <c r="F40" s="54" t="str" cm="1">
        <f t="array" ref="F40">IFERROR(_xlfn.LET(
_xlpm.CSVVal,_xlfn.XLOOKUP($A40,CSV!$A:$A,CSV!E:E,""),
_xlpm.MacVal,_xlfn.XLOOKUP($A40,Output_Mac!$A:$A,Output_Mac!F:F,""),
_xlpm.MyAuditVal,_xlfn.XLOOKUP($A40,My_Audit!$A:$A,My_Audit!E:E,""),
_xlfn.IFS(_xlpm.MyAuditVal&lt;&gt;"",_xlpm.MyAuditVal,_xlpm.MacVal&lt;&gt;"",_xlpm.MacVal,_xlpm.CSVVal&lt;&gt;"",PROPER(_xlpm.CSVVal)
)),"")</f>
        <v/>
      </c>
      <c r="G40" s="54" t="str" cm="1">
        <f t="array" ref="G40">IFERROR(_xlfn.LET(
_xlpm.CSVVal,_xlfn.XLOOKUP($A40,CSV!$A:$A,CSV!F:F,""),
_xlpm.MacVal,_xlfn.XLOOKUP($A40,Output_Mac!$A:$A,Output_Mac!H:H,""),
_xlpm.MyAuditVal,_xlfn.XLOOKUP($A40,My_Audit!$A:$A,My_Audit!F:F,""),
_xlfn.IFS(_xlpm.MyAuditVal&lt;&gt;"",_xlpm.MyAuditVal,_xlpm.MacVal&lt;&gt;"",_xlpm.MacVal,_xlpm.CSVVal&lt;&gt;"",_xlpm.CSVVal
)),"")</f>
        <v/>
      </c>
      <c r="H40" s="54" t="str">
        <f>_xlfn.XLOOKUP(A40,Output_Mac!A:A,Output_Mac!I:I,"")</f>
        <v/>
      </c>
      <c r="I40" s="54" t="str" cm="1">
        <f t="array" ref="I40">IFERROR(_xlfn.LET(
_xlpm.CSVVal,_xlfn.XLOOKUP($A40,CSV!$A:$A,CSV!G:G,""),
_xlpm.MacVal,_xlfn.XLOOKUP($A40,Output_Mac!$A:$A,Output_Mac!J:J,""),
_xlpm.MyAuditVal,_xlfn.XLOOKUP($A40,My_Audit!$A:$A,My_Audit!H:H,""),
_xlfn.IFS(_xlpm.MyAuditVal&lt;&gt;"",UPPER(_xlpm.MyAuditVal),_xlpm.MacVal&lt;&gt;"",_xlpm.MacVal,_xlpm.CSVVal&lt;&gt;"",_xlpm.CSVVal
)),"")</f>
        <v/>
      </c>
      <c r="J40" s="54" t="str" cm="1">
        <f t="array" ref="J40">IFERROR(_xlfn.LET(
_xlpm.CSVVal,_xlfn.XLOOKUP($A40,CSV!$A:$A,CSV!I:I,""),
_xlpm.MacVal,_xlfn.XLOOKUP($A40,Output_Mac!$A:$A,Output_Mac!K:K,""),
_xlpm.MyAuditVal,_xlfn.XLOOKUP($A40,My_Audit!$A:$A,My_Audit!I:I,""),
_xlfn.IFS(_xlpm.MyAuditVal&lt;&gt;"",UPPER(_xlpm.MyAuditVal),_xlpm.MacVal&lt;&gt;"",_xlpm.MacVal,_xlpm.CSVVal&lt;&gt;"",_xlpm.CSVVal
)),"")</f>
        <v/>
      </c>
      <c r="K40" s="54" t="str" cm="1">
        <f t="array" ref="K40">IFERROR(_xlfn.LET(
_xlpm.CSVVal,_xlfn.XLOOKUP($A40,CSV!$A:$A,CSV!M:M,""),
_xlpm.MacVal,_xlfn.XLOOKUP($A40,Output_Mac!$A:$A,Output_Mac!L:L,""),
_xlpm.MyAuditVal,_xlfn.XLOOKUP($A40,My_Audit!$A:$A,My_Audit!J:J,""),
_xlfn.IFS(_xlpm.MyAuditVal&lt;&gt;"",UPPER(_xlpm.MyAuditVal),_xlpm.MacVal&lt;&gt;"",_xlpm.MacVal,_xlpm.CSVVal&lt;&gt;"",_xlpm.CSVVal
)),"")</f>
        <v/>
      </c>
      <c r="L40" s="55" t="str" cm="1">
        <f t="array" ref="L40">IFERROR(_xlfn.LET(
_xlpm.CSVVal,_xlfn.XLOOKUP($A40,CSV!$A:$A,CSV!P:P,""),
_xlpm.MacVal,_xlfn.XLOOKUP($A40,Output_Mac!$A:$A,Output_Mac!M:M,""),
_xlpm.MyAuditVal,_xlfn.XLOOKUP($A40,My_Audit!$A:$A,My_Audit!K:K,""),
_xlfn.IFS(_xlpm.MyAuditVal&lt;&gt;"",UPPER(_xlpm.MyAuditVal),_xlpm.MacVal&lt;&gt;"",_xlpm.MacVal,_xlpm.CSVVal&lt;&gt;"",_xlpm.CSVVal
)),"")</f>
        <v/>
      </c>
      <c r="M40" s="54" t="str">
        <f>_xlfn.LET(
    _xlpm.CSVVal, _xlfn.XLOOKUP($A40, CSV!$A:$A, CSV!AD:AD, ""),
    _xlpm.MacVal, _xlfn.XLOOKUP($A40, Output_Mac!$A:$A, Output_Mac!S:S, ""),
    _xlpm.MyAuditVal, _xlfn.XLOOKUP($A40, My_Audit!$A:$A, My_Audit!N:N, ""),
    _xlfn.TEXTJOIN(", ", TRUE, _xlpm.MyAuditVal, _xlpm.MacVal, _xlpm.CSVVal)
)</f>
        <v/>
      </c>
      <c r="N40" s="54" t="str" cm="1">
        <f t="array" ref="N40">IFERROR(_xlfn.LET(
_xlpm.CSVVal,_xlfn.XLOOKUP($A40,CSV!$A:$A,CSV!AF:AF,""),
_xlpm.MacVal,_xlfn.XLOOKUP($A40,Output_Mac!$A:$A,Output_Mac!U:U,""),
_xlpm.MyAuditVal,_xlfn.XLOOKUP($A40,My_Audit!$A:$A,My_Audit!O:O,""),
_xlfn.IFS(_xlpm.MyAuditVal&lt;&gt;"",UPPER(_xlpm.MyAuditVal),_xlpm.MacVal&lt;&gt;"",_xlpm.MacVal,_xlpm.CSVVal&lt;&gt;"",_xlpm.CSVVal
)),"")</f>
        <v/>
      </c>
      <c r="O40" s="54"/>
      <c r="P40" s="54"/>
      <c r="Q40" s="54"/>
      <c r="R40" s="54"/>
      <c r="S40" s="54"/>
      <c r="T40" s="54"/>
      <c r="U40" s="39" t="str">
        <f>_xlfn.LET(
    _xlpm.MacVal, _xlfn.XLOOKUP($A40, Output_Mac!$A:$A, Output_Mac!AB:AB, ""),
    _xlpm.MyAuditVal, _xlfn.XLOOKUP($A40, My_Audit!$A:$A, My_Audit!L:L, ""),
    _xlfn.TEXTJOIN(", ", TRUE, _xlpm.MyAuditVal, _xlpm.MacVal)
)</f>
        <v/>
      </c>
    </row>
    <row r="41" spans="1:21">
      <c r="A41" s="54" t="str">
        <f>_xlfn.TEXTJOIN("",TRUE,Input!$B$2,ROW(My_Audit!A40))</f>
        <v>XX40</v>
      </c>
      <c r="B41" s="54" t="str">
        <f>_xlfn.TEXTJOIN("-",TRUE,"ITD",Input!$A$2,A41)</f>
        <v>ITD-SHRXXX-XX40</v>
      </c>
      <c r="C41" s="54" t="str" cm="1">
        <f t="array" ref="C41">IFERROR(_xlfn.LET(
_xlpm.CSVVal,_xlfn.XLOOKUP($A41,CSV!$A:$A,CSV!B:B,""),
_xlpm.MacVal,_xlfn.XLOOKUP($A41,Output_Mac!$A:$A,Output_Mac!B:B,""),
_xlpm.MyAuditVal,_xlfn.XLOOKUP($A41,My_Audit!$A:$A,My_Audit!B:B,""),
_xlfn.IFS(_xlpm.MyAuditVal&lt;&gt;"",UPPER(_xlpm.MyAuditVal),_xlpm.MacVal&lt;&gt;"",_xlpm.MacVal,_xlpm.CSVVal&lt;&gt;"",_xlpm.CSVVal
)),"")</f>
        <v/>
      </c>
      <c r="D41" s="55" t="str">
        <f>_xlfn.XLOOKUP(A41,My_Audit!A:A,My_Audit!D:D,"")&amp;""</f>
        <v/>
      </c>
      <c r="E41" s="55" t="str" cm="1">
        <f t="array" ref="E41">IFERROR(_xlfn.LET(
_xlpm.CSVVal,_xlfn.XLOOKUP($A41,CSV!$A:$A,CSV!D:D,""),
_xlpm.MacVal,_xlfn.XLOOKUP($A41,Output_Mac!$A:$A,Output_Mac!C:C,""),
_xlpm.MyAuditVal,_xlfn.XLOOKUP($A41,My_Audit!$A:$A,My_Audit!D:D,""),
_xlfn.IFS(_xlpm.MyAuditVal&lt;&gt;"",_xlpm.MyAuditVal,_xlpm.MacVal&lt;&gt;"",_xlpm.MacVal,_xlpm.CSVVal&lt;&gt;"",_xlpm.CSVVal
)),"")</f>
        <v/>
      </c>
      <c r="F41" s="54" t="str" cm="1">
        <f t="array" ref="F41">IFERROR(_xlfn.LET(
_xlpm.CSVVal,_xlfn.XLOOKUP($A41,CSV!$A:$A,CSV!E:E,""),
_xlpm.MacVal,_xlfn.XLOOKUP($A41,Output_Mac!$A:$A,Output_Mac!F:F,""),
_xlpm.MyAuditVal,_xlfn.XLOOKUP($A41,My_Audit!$A:$A,My_Audit!E:E,""),
_xlfn.IFS(_xlpm.MyAuditVal&lt;&gt;"",_xlpm.MyAuditVal,_xlpm.MacVal&lt;&gt;"",_xlpm.MacVal,_xlpm.CSVVal&lt;&gt;"",PROPER(_xlpm.CSVVal)
)),"")</f>
        <v/>
      </c>
      <c r="G41" s="54" t="str" cm="1">
        <f t="array" ref="G41">IFERROR(_xlfn.LET(
_xlpm.CSVVal,_xlfn.XLOOKUP($A41,CSV!$A:$A,CSV!F:F,""),
_xlpm.MacVal,_xlfn.XLOOKUP($A41,Output_Mac!$A:$A,Output_Mac!H:H,""),
_xlpm.MyAuditVal,_xlfn.XLOOKUP($A41,My_Audit!$A:$A,My_Audit!F:F,""),
_xlfn.IFS(_xlpm.MyAuditVal&lt;&gt;"",_xlpm.MyAuditVal,_xlpm.MacVal&lt;&gt;"",_xlpm.MacVal,_xlpm.CSVVal&lt;&gt;"",_xlpm.CSVVal
)),"")</f>
        <v/>
      </c>
      <c r="H41" s="54" t="str">
        <f>_xlfn.XLOOKUP(A41,Output_Mac!A:A,Output_Mac!I:I,"")</f>
        <v/>
      </c>
      <c r="I41" s="54" t="str" cm="1">
        <f t="array" ref="I41">IFERROR(_xlfn.LET(
_xlpm.CSVVal,_xlfn.XLOOKUP($A41,CSV!$A:$A,CSV!G:G,""),
_xlpm.MacVal,_xlfn.XLOOKUP($A41,Output_Mac!$A:$A,Output_Mac!J:J,""),
_xlpm.MyAuditVal,_xlfn.XLOOKUP($A41,My_Audit!$A:$A,My_Audit!H:H,""),
_xlfn.IFS(_xlpm.MyAuditVal&lt;&gt;"",UPPER(_xlpm.MyAuditVal),_xlpm.MacVal&lt;&gt;"",_xlpm.MacVal,_xlpm.CSVVal&lt;&gt;"",_xlpm.CSVVal
)),"")</f>
        <v/>
      </c>
      <c r="J41" s="54" t="str" cm="1">
        <f t="array" ref="J41">IFERROR(_xlfn.LET(
_xlpm.CSVVal,_xlfn.XLOOKUP($A41,CSV!$A:$A,CSV!I:I,""),
_xlpm.MacVal,_xlfn.XLOOKUP($A41,Output_Mac!$A:$A,Output_Mac!K:K,""),
_xlpm.MyAuditVal,_xlfn.XLOOKUP($A41,My_Audit!$A:$A,My_Audit!I:I,""),
_xlfn.IFS(_xlpm.MyAuditVal&lt;&gt;"",UPPER(_xlpm.MyAuditVal),_xlpm.MacVal&lt;&gt;"",_xlpm.MacVal,_xlpm.CSVVal&lt;&gt;"",_xlpm.CSVVal
)),"")</f>
        <v/>
      </c>
      <c r="K41" s="54" t="str" cm="1">
        <f t="array" ref="K41">IFERROR(_xlfn.LET(
_xlpm.CSVVal,_xlfn.XLOOKUP($A41,CSV!$A:$A,CSV!M:M,""),
_xlpm.MacVal,_xlfn.XLOOKUP($A41,Output_Mac!$A:$A,Output_Mac!L:L,""),
_xlpm.MyAuditVal,_xlfn.XLOOKUP($A41,My_Audit!$A:$A,My_Audit!J:J,""),
_xlfn.IFS(_xlpm.MyAuditVal&lt;&gt;"",UPPER(_xlpm.MyAuditVal),_xlpm.MacVal&lt;&gt;"",_xlpm.MacVal,_xlpm.CSVVal&lt;&gt;"",_xlpm.CSVVal
)),"")</f>
        <v/>
      </c>
      <c r="L41" s="55" t="str" cm="1">
        <f t="array" ref="L41">IFERROR(_xlfn.LET(
_xlpm.CSVVal,_xlfn.XLOOKUP($A41,CSV!$A:$A,CSV!P:P,""),
_xlpm.MacVal,_xlfn.XLOOKUP($A41,Output_Mac!$A:$A,Output_Mac!M:M,""),
_xlpm.MyAuditVal,_xlfn.XLOOKUP($A41,My_Audit!$A:$A,My_Audit!K:K,""),
_xlfn.IFS(_xlpm.MyAuditVal&lt;&gt;"",UPPER(_xlpm.MyAuditVal),_xlpm.MacVal&lt;&gt;"",_xlpm.MacVal,_xlpm.CSVVal&lt;&gt;"",_xlpm.CSVVal
)),"")</f>
        <v/>
      </c>
      <c r="M41" s="54" t="str">
        <f>_xlfn.LET(
    _xlpm.CSVVal, _xlfn.XLOOKUP($A41, CSV!$A:$A, CSV!AD:AD, ""),
    _xlpm.MacVal, _xlfn.XLOOKUP($A41, Output_Mac!$A:$A, Output_Mac!S:S, ""),
    _xlpm.MyAuditVal, _xlfn.XLOOKUP($A41, My_Audit!$A:$A, My_Audit!N:N, ""),
    _xlfn.TEXTJOIN(", ", TRUE, _xlpm.MyAuditVal, _xlpm.MacVal, _xlpm.CSVVal)
)</f>
        <v/>
      </c>
      <c r="N41" s="54" t="str" cm="1">
        <f t="array" ref="N41">IFERROR(_xlfn.LET(
_xlpm.CSVVal,_xlfn.XLOOKUP($A41,CSV!$A:$A,CSV!AF:AF,""),
_xlpm.MacVal,_xlfn.XLOOKUP($A41,Output_Mac!$A:$A,Output_Mac!U:U,""),
_xlpm.MyAuditVal,_xlfn.XLOOKUP($A41,My_Audit!$A:$A,My_Audit!O:O,""),
_xlfn.IFS(_xlpm.MyAuditVal&lt;&gt;"",UPPER(_xlpm.MyAuditVal),_xlpm.MacVal&lt;&gt;"",_xlpm.MacVal,_xlpm.CSVVal&lt;&gt;"",_xlpm.CSVVal
)),"")</f>
        <v/>
      </c>
      <c r="O41" s="54"/>
      <c r="P41" s="54"/>
      <c r="Q41" s="54"/>
      <c r="R41" s="54"/>
      <c r="S41" s="54"/>
      <c r="T41" s="54"/>
      <c r="U41" s="39" t="str">
        <f>_xlfn.LET(
    _xlpm.MacVal, _xlfn.XLOOKUP($A41, Output_Mac!$A:$A, Output_Mac!AB:AB, ""),
    _xlpm.MyAuditVal, _xlfn.XLOOKUP($A41, My_Audit!$A:$A, My_Audit!L:L, ""),
    _xlfn.TEXTJOIN(", ", TRUE, _xlpm.MyAuditVal, _xlpm.MacVal)
)</f>
        <v/>
      </c>
    </row>
    <row r="42" spans="1:21">
      <c r="A42" s="54" t="str">
        <f>_xlfn.TEXTJOIN("",TRUE,Input!$B$2,ROW(My_Audit!A41))</f>
        <v>XX41</v>
      </c>
      <c r="B42" s="54" t="str">
        <f>_xlfn.TEXTJOIN("-",TRUE,"ITD",Input!$A$2,A42)</f>
        <v>ITD-SHRXXX-XX41</v>
      </c>
      <c r="C42" s="54" t="str" cm="1">
        <f t="array" ref="C42">IFERROR(_xlfn.LET(
_xlpm.CSVVal,_xlfn.XLOOKUP($A42,CSV!$A:$A,CSV!B:B,""),
_xlpm.MacVal,_xlfn.XLOOKUP($A42,Output_Mac!$A:$A,Output_Mac!B:B,""),
_xlpm.MyAuditVal,_xlfn.XLOOKUP($A42,My_Audit!$A:$A,My_Audit!B:B,""),
_xlfn.IFS(_xlpm.MyAuditVal&lt;&gt;"",UPPER(_xlpm.MyAuditVal),_xlpm.MacVal&lt;&gt;"",_xlpm.MacVal,_xlpm.CSVVal&lt;&gt;"",_xlpm.CSVVal
)),"")</f>
        <v/>
      </c>
      <c r="D42" s="55" t="str">
        <f>_xlfn.XLOOKUP(A42,My_Audit!A:A,My_Audit!D:D,"")&amp;""</f>
        <v/>
      </c>
      <c r="E42" s="55" t="str" cm="1">
        <f t="array" ref="E42">IFERROR(_xlfn.LET(
_xlpm.CSVVal,_xlfn.XLOOKUP($A42,CSV!$A:$A,CSV!D:D,""),
_xlpm.MacVal,_xlfn.XLOOKUP($A42,Output_Mac!$A:$A,Output_Mac!C:C,""),
_xlpm.MyAuditVal,_xlfn.XLOOKUP($A42,My_Audit!$A:$A,My_Audit!D:D,""),
_xlfn.IFS(_xlpm.MyAuditVal&lt;&gt;"",_xlpm.MyAuditVal,_xlpm.MacVal&lt;&gt;"",_xlpm.MacVal,_xlpm.CSVVal&lt;&gt;"",_xlpm.CSVVal
)),"")</f>
        <v/>
      </c>
      <c r="F42" s="54" t="str" cm="1">
        <f t="array" ref="F42">IFERROR(_xlfn.LET(
_xlpm.CSVVal,_xlfn.XLOOKUP($A42,CSV!$A:$A,CSV!E:E,""),
_xlpm.MacVal,_xlfn.XLOOKUP($A42,Output_Mac!$A:$A,Output_Mac!F:F,""),
_xlpm.MyAuditVal,_xlfn.XLOOKUP($A42,My_Audit!$A:$A,My_Audit!E:E,""),
_xlfn.IFS(_xlpm.MyAuditVal&lt;&gt;"",_xlpm.MyAuditVal,_xlpm.MacVal&lt;&gt;"",_xlpm.MacVal,_xlpm.CSVVal&lt;&gt;"",PROPER(_xlpm.CSVVal)
)),"")</f>
        <v/>
      </c>
      <c r="G42" s="54" t="str" cm="1">
        <f t="array" ref="G42">IFERROR(_xlfn.LET(
_xlpm.CSVVal,_xlfn.XLOOKUP($A42,CSV!$A:$A,CSV!F:F,""),
_xlpm.MacVal,_xlfn.XLOOKUP($A42,Output_Mac!$A:$A,Output_Mac!H:H,""),
_xlpm.MyAuditVal,_xlfn.XLOOKUP($A42,My_Audit!$A:$A,My_Audit!F:F,""),
_xlfn.IFS(_xlpm.MyAuditVal&lt;&gt;"",_xlpm.MyAuditVal,_xlpm.MacVal&lt;&gt;"",_xlpm.MacVal,_xlpm.CSVVal&lt;&gt;"",_xlpm.CSVVal
)),"")</f>
        <v/>
      </c>
      <c r="H42" s="54" t="str">
        <f>_xlfn.XLOOKUP(A42,Output_Mac!A:A,Output_Mac!I:I,"")</f>
        <v/>
      </c>
      <c r="I42" s="54" t="str" cm="1">
        <f t="array" ref="I42">IFERROR(_xlfn.LET(
_xlpm.CSVVal,_xlfn.XLOOKUP($A42,CSV!$A:$A,CSV!G:G,""),
_xlpm.MacVal,_xlfn.XLOOKUP($A42,Output_Mac!$A:$A,Output_Mac!J:J,""),
_xlpm.MyAuditVal,_xlfn.XLOOKUP($A42,My_Audit!$A:$A,My_Audit!H:H,""),
_xlfn.IFS(_xlpm.MyAuditVal&lt;&gt;"",UPPER(_xlpm.MyAuditVal),_xlpm.MacVal&lt;&gt;"",_xlpm.MacVal,_xlpm.CSVVal&lt;&gt;"",_xlpm.CSVVal
)),"")</f>
        <v/>
      </c>
      <c r="J42" s="54" t="str" cm="1">
        <f t="array" ref="J42">IFERROR(_xlfn.LET(
_xlpm.CSVVal,_xlfn.XLOOKUP($A42,CSV!$A:$A,CSV!I:I,""),
_xlpm.MacVal,_xlfn.XLOOKUP($A42,Output_Mac!$A:$A,Output_Mac!K:K,""),
_xlpm.MyAuditVal,_xlfn.XLOOKUP($A42,My_Audit!$A:$A,My_Audit!I:I,""),
_xlfn.IFS(_xlpm.MyAuditVal&lt;&gt;"",UPPER(_xlpm.MyAuditVal),_xlpm.MacVal&lt;&gt;"",_xlpm.MacVal,_xlpm.CSVVal&lt;&gt;"",_xlpm.CSVVal
)),"")</f>
        <v/>
      </c>
      <c r="K42" s="54" t="str" cm="1">
        <f t="array" ref="K42">IFERROR(_xlfn.LET(
_xlpm.CSVVal,_xlfn.XLOOKUP($A42,CSV!$A:$A,CSV!M:M,""),
_xlpm.MacVal,_xlfn.XLOOKUP($A42,Output_Mac!$A:$A,Output_Mac!L:L,""),
_xlpm.MyAuditVal,_xlfn.XLOOKUP($A42,My_Audit!$A:$A,My_Audit!J:J,""),
_xlfn.IFS(_xlpm.MyAuditVal&lt;&gt;"",UPPER(_xlpm.MyAuditVal),_xlpm.MacVal&lt;&gt;"",_xlpm.MacVal,_xlpm.CSVVal&lt;&gt;"",_xlpm.CSVVal
)),"")</f>
        <v/>
      </c>
      <c r="L42" s="55" t="str" cm="1">
        <f t="array" ref="L42">IFERROR(_xlfn.LET(
_xlpm.CSVVal,_xlfn.XLOOKUP($A42,CSV!$A:$A,CSV!P:P,""),
_xlpm.MacVal,_xlfn.XLOOKUP($A42,Output_Mac!$A:$A,Output_Mac!M:M,""),
_xlpm.MyAuditVal,_xlfn.XLOOKUP($A42,My_Audit!$A:$A,My_Audit!K:K,""),
_xlfn.IFS(_xlpm.MyAuditVal&lt;&gt;"",UPPER(_xlpm.MyAuditVal),_xlpm.MacVal&lt;&gt;"",_xlpm.MacVal,_xlpm.CSVVal&lt;&gt;"",_xlpm.CSVVal
)),"")</f>
        <v/>
      </c>
      <c r="M42" s="54" t="str">
        <f>_xlfn.LET(
    _xlpm.CSVVal, _xlfn.XLOOKUP($A42, CSV!$A:$A, CSV!AD:AD, ""),
    _xlpm.MacVal, _xlfn.XLOOKUP($A42, Output_Mac!$A:$A, Output_Mac!S:S, ""),
    _xlpm.MyAuditVal, _xlfn.XLOOKUP($A42, My_Audit!$A:$A, My_Audit!N:N, ""),
    _xlfn.TEXTJOIN(", ", TRUE, _xlpm.MyAuditVal, _xlpm.MacVal, _xlpm.CSVVal)
)</f>
        <v/>
      </c>
      <c r="N42" s="54" t="str" cm="1">
        <f t="array" ref="N42">IFERROR(_xlfn.LET(
_xlpm.CSVVal,_xlfn.XLOOKUP($A42,CSV!$A:$A,CSV!AF:AF,""),
_xlpm.MacVal,_xlfn.XLOOKUP($A42,Output_Mac!$A:$A,Output_Mac!U:U,""),
_xlpm.MyAuditVal,_xlfn.XLOOKUP($A42,My_Audit!$A:$A,My_Audit!O:O,""),
_xlfn.IFS(_xlpm.MyAuditVal&lt;&gt;"",UPPER(_xlpm.MyAuditVal),_xlpm.MacVal&lt;&gt;"",_xlpm.MacVal,_xlpm.CSVVal&lt;&gt;"",_xlpm.CSVVal
)),"")</f>
        <v/>
      </c>
      <c r="O42" s="54"/>
      <c r="P42" s="54"/>
      <c r="Q42" s="54"/>
      <c r="R42" s="54"/>
      <c r="S42" s="54"/>
      <c r="T42" s="54"/>
      <c r="U42" s="39" t="str">
        <f>_xlfn.LET(
    _xlpm.MacVal, _xlfn.XLOOKUP($A42, Output_Mac!$A:$A, Output_Mac!AB:AB, ""),
    _xlpm.MyAuditVal, _xlfn.XLOOKUP($A42, My_Audit!$A:$A, My_Audit!L:L, ""),
    _xlfn.TEXTJOIN(", ", TRUE, _xlpm.MyAuditVal, _xlpm.MacVal)
)</f>
        <v/>
      </c>
    </row>
    <row r="43" spans="1:21">
      <c r="A43" s="54" t="str">
        <f>_xlfn.TEXTJOIN("",TRUE,Input!$B$2,ROW(My_Audit!A42))</f>
        <v>XX42</v>
      </c>
      <c r="B43" s="54" t="str">
        <f>_xlfn.TEXTJOIN("-",TRUE,"ITD",Input!$A$2,A43)</f>
        <v>ITD-SHRXXX-XX42</v>
      </c>
      <c r="C43" s="54" t="str" cm="1">
        <f t="array" ref="C43">IFERROR(_xlfn.LET(
_xlpm.CSVVal,_xlfn.XLOOKUP($A43,CSV!$A:$A,CSV!B:B,""),
_xlpm.MacVal,_xlfn.XLOOKUP($A43,Output_Mac!$A:$A,Output_Mac!B:B,""),
_xlpm.MyAuditVal,_xlfn.XLOOKUP($A43,My_Audit!$A:$A,My_Audit!B:B,""),
_xlfn.IFS(_xlpm.MyAuditVal&lt;&gt;"",UPPER(_xlpm.MyAuditVal),_xlpm.MacVal&lt;&gt;"",_xlpm.MacVal,_xlpm.CSVVal&lt;&gt;"",_xlpm.CSVVal
)),"")</f>
        <v/>
      </c>
      <c r="D43" s="55" t="str">
        <f>_xlfn.XLOOKUP(A43,My_Audit!A:A,My_Audit!D:D,"")&amp;""</f>
        <v/>
      </c>
      <c r="E43" s="55" t="str" cm="1">
        <f t="array" ref="E43">IFERROR(_xlfn.LET(
_xlpm.CSVVal,_xlfn.XLOOKUP($A43,CSV!$A:$A,CSV!D:D,""),
_xlpm.MacVal,_xlfn.XLOOKUP($A43,Output_Mac!$A:$A,Output_Mac!C:C,""),
_xlpm.MyAuditVal,_xlfn.XLOOKUP($A43,My_Audit!$A:$A,My_Audit!D:D,""),
_xlfn.IFS(_xlpm.MyAuditVal&lt;&gt;"",_xlpm.MyAuditVal,_xlpm.MacVal&lt;&gt;"",_xlpm.MacVal,_xlpm.CSVVal&lt;&gt;"",_xlpm.CSVVal
)),"")</f>
        <v/>
      </c>
      <c r="F43" s="54" t="str" cm="1">
        <f t="array" ref="F43">IFERROR(_xlfn.LET(
_xlpm.CSVVal,_xlfn.XLOOKUP($A43,CSV!$A:$A,CSV!E:E,""),
_xlpm.MacVal,_xlfn.XLOOKUP($A43,Output_Mac!$A:$A,Output_Mac!F:F,""),
_xlpm.MyAuditVal,_xlfn.XLOOKUP($A43,My_Audit!$A:$A,My_Audit!E:E,""),
_xlfn.IFS(_xlpm.MyAuditVal&lt;&gt;"",_xlpm.MyAuditVal,_xlpm.MacVal&lt;&gt;"",_xlpm.MacVal,_xlpm.CSVVal&lt;&gt;"",PROPER(_xlpm.CSVVal)
)),"")</f>
        <v/>
      </c>
      <c r="G43" s="54" t="str" cm="1">
        <f t="array" ref="G43">IFERROR(_xlfn.LET(
_xlpm.CSVVal,_xlfn.XLOOKUP($A43,CSV!$A:$A,CSV!F:F,""),
_xlpm.MacVal,_xlfn.XLOOKUP($A43,Output_Mac!$A:$A,Output_Mac!H:H,""),
_xlpm.MyAuditVal,_xlfn.XLOOKUP($A43,My_Audit!$A:$A,My_Audit!F:F,""),
_xlfn.IFS(_xlpm.MyAuditVal&lt;&gt;"",_xlpm.MyAuditVal,_xlpm.MacVal&lt;&gt;"",_xlpm.MacVal,_xlpm.CSVVal&lt;&gt;"",_xlpm.CSVVal
)),"")</f>
        <v/>
      </c>
      <c r="H43" s="54" t="str">
        <f>_xlfn.XLOOKUP(A43,Output_Mac!A:A,Output_Mac!I:I,"")</f>
        <v/>
      </c>
      <c r="I43" s="54" t="str" cm="1">
        <f t="array" ref="I43">IFERROR(_xlfn.LET(
_xlpm.CSVVal,_xlfn.XLOOKUP($A43,CSV!$A:$A,CSV!G:G,""),
_xlpm.MacVal,_xlfn.XLOOKUP($A43,Output_Mac!$A:$A,Output_Mac!J:J,""),
_xlpm.MyAuditVal,_xlfn.XLOOKUP($A43,My_Audit!$A:$A,My_Audit!H:H,""),
_xlfn.IFS(_xlpm.MyAuditVal&lt;&gt;"",UPPER(_xlpm.MyAuditVal),_xlpm.MacVal&lt;&gt;"",_xlpm.MacVal,_xlpm.CSVVal&lt;&gt;"",_xlpm.CSVVal
)),"")</f>
        <v/>
      </c>
      <c r="J43" s="54" t="str" cm="1">
        <f t="array" ref="J43">IFERROR(_xlfn.LET(
_xlpm.CSVVal,_xlfn.XLOOKUP($A43,CSV!$A:$A,CSV!I:I,""),
_xlpm.MacVal,_xlfn.XLOOKUP($A43,Output_Mac!$A:$A,Output_Mac!K:K,""),
_xlpm.MyAuditVal,_xlfn.XLOOKUP($A43,My_Audit!$A:$A,My_Audit!I:I,""),
_xlfn.IFS(_xlpm.MyAuditVal&lt;&gt;"",UPPER(_xlpm.MyAuditVal),_xlpm.MacVal&lt;&gt;"",_xlpm.MacVal,_xlpm.CSVVal&lt;&gt;"",_xlpm.CSVVal
)),"")</f>
        <v/>
      </c>
      <c r="K43" s="54" t="str" cm="1">
        <f t="array" ref="K43">IFERROR(_xlfn.LET(
_xlpm.CSVVal,_xlfn.XLOOKUP($A43,CSV!$A:$A,CSV!M:M,""),
_xlpm.MacVal,_xlfn.XLOOKUP($A43,Output_Mac!$A:$A,Output_Mac!L:L,""),
_xlpm.MyAuditVal,_xlfn.XLOOKUP($A43,My_Audit!$A:$A,My_Audit!J:J,""),
_xlfn.IFS(_xlpm.MyAuditVal&lt;&gt;"",UPPER(_xlpm.MyAuditVal),_xlpm.MacVal&lt;&gt;"",_xlpm.MacVal,_xlpm.CSVVal&lt;&gt;"",_xlpm.CSVVal
)),"")</f>
        <v/>
      </c>
      <c r="L43" s="55" t="str" cm="1">
        <f t="array" ref="L43">IFERROR(_xlfn.LET(
_xlpm.CSVVal,_xlfn.XLOOKUP($A43,CSV!$A:$A,CSV!P:P,""),
_xlpm.MacVal,_xlfn.XLOOKUP($A43,Output_Mac!$A:$A,Output_Mac!M:M,""),
_xlpm.MyAuditVal,_xlfn.XLOOKUP($A43,My_Audit!$A:$A,My_Audit!K:K,""),
_xlfn.IFS(_xlpm.MyAuditVal&lt;&gt;"",UPPER(_xlpm.MyAuditVal),_xlpm.MacVal&lt;&gt;"",_xlpm.MacVal,_xlpm.CSVVal&lt;&gt;"",_xlpm.CSVVal
)),"")</f>
        <v/>
      </c>
      <c r="M43" s="54" t="str">
        <f>_xlfn.LET(
    _xlpm.CSVVal, _xlfn.XLOOKUP($A43, CSV!$A:$A, CSV!AD:AD, ""),
    _xlpm.MacVal, _xlfn.XLOOKUP($A43, Output_Mac!$A:$A, Output_Mac!S:S, ""),
    _xlpm.MyAuditVal, _xlfn.XLOOKUP($A43, My_Audit!$A:$A, My_Audit!N:N, ""),
    _xlfn.TEXTJOIN(", ", TRUE, _xlpm.MyAuditVal, _xlpm.MacVal, _xlpm.CSVVal)
)</f>
        <v/>
      </c>
      <c r="N43" s="54" t="str" cm="1">
        <f t="array" ref="N43">IFERROR(_xlfn.LET(
_xlpm.CSVVal,_xlfn.XLOOKUP($A43,CSV!$A:$A,CSV!AF:AF,""),
_xlpm.MacVal,_xlfn.XLOOKUP($A43,Output_Mac!$A:$A,Output_Mac!U:U,""),
_xlpm.MyAuditVal,_xlfn.XLOOKUP($A43,My_Audit!$A:$A,My_Audit!O:O,""),
_xlfn.IFS(_xlpm.MyAuditVal&lt;&gt;"",UPPER(_xlpm.MyAuditVal),_xlpm.MacVal&lt;&gt;"",_xlpm.MacVal,_xlpm.CSVVal&lt;&gt;"",_xlpm.CSVVal
)),"")</f>
        <v/>
      </c>
      <c r="O43" s="54"/>
      <c r="P43" s="54"/>
      <c r="Q43" s="54"/>
      <c r="R43" s="54"/>
      <c r="S43" s="54"/>
      <c r="T43" s="54"/>
      <c r="U43" s="39" t="str">
        <f>_xlfn.LET(
    _xlpm.MacVal, _xlfn.XLOOKUP($A43, Output_Mac!$A:$A, Output_Mac!AB:AB, ""),
    _xlpm.MyAuditVal, _xlfn.XLOOKUP($A43, My_Audit!$A:$A, My_Audit!L:L, ""),
    _xlfn.TEXTJOIN(", ", TRUE, _xlpm.MyAuditVal, _xlpm.MacVal)
)</f>
        <v/>
      </c>
    </row>
    <row r="44" spans="1:21">
      <c r="A44" s="54" t="str">
        <f>_xlfn.TEXTJOIN("",TRUE,Input!$B$2,ROW(My_Audit!A43))</f>
        <v>XX43</v>
      </c>
      <c r="B44" s="54" t="str">
        <f>_xlfn.TEXTJOIN("-",TRUE,"ITD",Input!$A$2,A44)</f>
        <v>ITD-SHRXXX-XX43</v>
      </c>
      <c r="C44" s="54" t="str" cm="1">
        <f t="array" ref="C44">IFERROR(_xlfn.LET(
_xlpm.CSVVal,_xlfn.XLOOKUP($A44,CSV!$A:$A,CSV!B:B,""),
_xlpm.MacVal,_xlfn.XLOOKUP($A44,Output_Mac!$A:$A,Output_Mac!B:B,""),
_xlpm.MyAuditVal,_xlfn.XLOOKUP($A44,My_Audit!$A:$A,My_Audit!B:B,""),
_xlfn.IFS(_xlpm.MyAuditVal&lt;&gt;"",UPPER(_xlpm.MyAuditVal),_xlpm.MacVal&lt;&gt;"",_xlpm.MacVal,_xlpm.CSVVal&lt;&gt;"",_xlpm.CSVVal
)),"")</f>
        <v/>
      </c>
      <c r="D44" s="55" t="str">
        <f>_xlfn.XLOOKUP(A44,My_Audit!A:A,My_Audit!D:D,"")&amp;""</f>
        <v/>
      </c>
      <c r="E44" s="55" t="str" cm="1">
        <f t="array" ref="E44">IFERROR(_xlfn.LET(
_xlpm.CSVVal,_xlfn.XLOOKUP($A44,CSV!$A:$A,CSV!D:D,""),
_xlpm.MacVal,_xlfn.XLOOKUP($A44,Output_Mac!$A:$A,Output_Mac!C:C,""),
_xlpm.MyAuditVal,_xlfn.XLOOKUP($A44,My_Audit!$A:$A,My_Audit!D:D,""),
_xlfn.IFS(_xlpm.MyAuditVal&lt;&gt;"",_xlpm.MyAuditVal,_xlpm.MacVal&lt;&gt;"",_xlpm.MacVal,_xlpm.CSVVal&lt;&gt;"",_xlpm.CSVVal
)),"")</f>
        <v/>
      </c>
      <c r="F44" s="54" t="str" cm="1">
        <f t="array" ref="F44">IFERROR(_xlfn.LET(
_xlpm.CSVVal,_xlfn.XLOOKUP($A44,CSV!$A:$A,CSV!E:E,""),
_xlpm.MacVal,_xlfn.XLOOKUP($A44,Output_Mac!$A:$A,Output_Mac!F:F,""),
_xlpm.MyAuditVal,_xlfn.XLOOKUP($A44,My_Audit!$A:$A,My_Audit!E:E,""),
_xlfn.IFS(_xlpm.MyAuditVal&lt;&gt;"",_xlpm.MyAuditVal,_xlpm.MacVal&lt;&gt;"",_xlpm.MacVal,_xlpm.CSVVal&lt;&gt;"",PROPER(_xlpm.CSVVal)
)),"")</f>
        <v/>
      </c>
      <c r="G44" s="54" t="str" cm="1">
        <f t="array" ref="G44">IFERROR(_xlfn.LET(
_xlpm.CSVVal,_xlfn.XLOOKUP($A44,CSV!$A:$A,CSV!F:F,""),
_xlpm.MacVal,_xlfn.XLOOKUP($A44,Output_Mac!$A:$A,Output_Mac!H:H,""),
_xlpm.MyAuditVal,_xlfn.XLOOKUP($A44,My_Audit!$A:$A,My_Audit!F:F,""),
_xlfn.IFS(_xlpm.MyAuditVal&lt;&gt;"",_xlpm.MyAuditVal,_xlpm.MacVal&lt;&gt;"",_xlpm.MacVal,_xlpm.CSVVal&lt;&gt;"",_xlpm.CSVVal
)),"")</f>
        <v/>
      </c>
      <c r="H44" s="54" t="str">
        <f>_xlfn.XLOOKUP(A44,Output_Mac!A:A,Output_Mac!I:I,"")</f>
        <v/>
      </c>
      <c r="I44" s="54" t="str" cm="1">
        <f t="array" ref="I44">IFERROR(_xlfn.LET(
_xlpm.CSVVal,_xlfn.XLOOKUP($A44,CSV!$A:$A,CSV!G:G,""),
_xlpm.MacVal,_xlfn.XLOOKUP($A44,Output_Mac!$A:$A,Output_Mac!J:J,""),
_xlpm.MyAuditVal,_xlfn.XLOOKUP($A44,My_Audit!$A:$A,My_Audit!H:H,""),
_xlfn.IFS(_xlpm.MyAuditVal&lt;&gt;"",UPPER(_xlpm.MyAuditVal),_xlpm.MacVal&lt;&gt;"",_xlpm.MacVal,_xlpm.CSVVal&lt;&gt;"",_xlpm.CSVVal
)),"")</f>
        <v/>
      </c>
      <c r="J44" s="54" t="str" cm="1">
        <f t="array" ref="J44">IFERROR(_xlfn.LET(
_xlpm.CSVVal,_xlfn.XLOOKUP($A44,CSV!$A:$A,CSV!I:I,""),
_xlpm.MacVal,_xlfn.XLOOKUP($A44,Output_Mac!$A:$A,Output_Mac!K:K,""),
_xlpm.MyAuditVal,_xlfn.XLOOKUP($A44,My_Audit!$A:$A,My_Audit!I:I,""),
_xlfn.IFS(_xlpm.MyAuditVal&lt;&gt;"",UPPER(_xlpm.MyAuditVal),_xlpm.MacVal&lt;&gt;"",_xlpm.MacVal,_xlpm.CSVVal&lt;&gt;"",_xlpm.CSVVal
)),"")</f>
        <v/>
      </c>
      <c r="K44" s="54" t="str" cm="1">
        <f t="array" ref="K44">IFERROR(_xlfn.LET(
_xlpm.CSVVal,_xlfn.XLOOKUP($A44,CSV!$A:$A,CSV!M:M,""),
_xlpm.MacVal,_xlfn.XLOOKUP($A44,Output_Mac!$A:$A,Output_Mac!L:L,""),
_xlpm.MyAuditVal,_xlfn.XLOOKUP($A44,My_Audit!$A:$A,My_Audit!J:J,""),
_xlfn.IFS(_xlpm.MyAuditVal&lt;&gt;"",UPPER(_xlpm.MyAuditVal),_xlpm.MacVal&lt;&gt;"",_xlpm.MacVal,_xlpm.CSVVal&lt;&gt;"",_xlpm.CSVVal
)),"")</f>
        <v/>
      </c>
      <c r="L44" s="55" t="str" cm="1">
        <f t="array" ref="L44">IFERROR(_xlfn.LET(
_xlpm.CSVVal,_xlfn.XLOOKUP($A44,CSV!$A:$A,CSV!P:P,""),
_xlpm.MacVal,_xlfn.XLOOKUP($A44,Output_Mac!$A:$A,Output_Mac!M:M,""),
_xlpm.MyAuditVal,_xlfn.XLOOKUP($A44,My_Audit!$A:$A,My_Audit!K:K,""),
_xlfn.IFS(_xlpm.MyAuditVal&lt;&gt;"",UPPER(_xlpm.MyAuditVal),_xlpm.MacVal&lt;&gt;"",_xlpm.MacVal,_xlpm.CSVVal&lt;&gt;"",_xlpm.CSVVal
)),"")</f>
        <v/>
      </c>
      <c r="M44" s="54" t="str">
        <f>_xlfn.LET(
    _xlpm.CSVVal, _xlfn.XLOOKUP($A44, CSV!$A:$A, CSV!AD:AD, ""),
    _xlpm.MacVal, _xlfn.XLOOKUP($A44, Output_Mac!$A:$A, Output_Mac!S:S, ""),
    _xlpm.MyAuditVal, _xlfn.XLOOKUP($A44, My_Audit!$A:$A, My_Audit!N:N, ""),
    _xlfn.TEXTJOIN(", ", TRUE, _xlpm.MyAuditVal, _xlpm.MacVal, _xlpm.CSVVal)
)</f>
        <v/>
      </c>
      <c r="N44" s="54" t="str" cm="1">
        <f t="array" ref="N44">IFERROR(_xlfn.LET(
_xlpm.CSVVal,_xlfn.XLOOKUP($A44,CSV!$A:$A,CSV!AF:AF,""),
_xlpm.MacVal,_xlfn.XLOOKUP($A44,Output_Mac!$A:$A,Output_Mac!U:U,""),
_xlpm.MyAuditVal,_xlfn.XLOOKUP($A44,My_Audit!$A:$A,My_Audit!O:O,""),
_xlfn.IFS(_xlpm.MyAuditVal&lt;&gt;"",UPPER(_xlpm.MyAuditVal),_xlpm.MacVal&lt;&gt;"",_xlpm.MacVal,_xlpm.CSVVal&lt;&gt;"",_xlpm.CSVVal
)),"")</f>
        <v/>
      </c>
      <c r="O44" s="54"/>
      <c r="P44" s="54"/>
      <c r="Q44" s="54"/>
      <c r="R44" s="54"/>
      <c r="S44" s="54"/>
      <c r="T44" s="54"/>
      <c r="U44" s="39" t="str">
        <f>_xlfn.LET(
    _xlpm.MacVal, _xlfn.XLOOKUP($A44, Output_Mac!$A:$A, Output_Mac!AB:AB, ""),
    _xlpm.MyAuditVal, _xlfn.XLOOKUP($A44, My_Audit!$A:$A, My_Audit!L:L, ""),
    _xlfn.TEXTJOIN(", ", TRUE, _xlpm.MyAuditVal, _xlpm.MacVal)
)</f>
        <v/>
      </c>
    </row>
    <row r="45" spans="1:21">
      <c r="A45" s="54" t="str">
        <f>_xlfn.TEXTJOIN("",TRUE,Input!$B$2,ROW(My_Audit!A44))</f>
        <v>XX44</v>
      </c>
      <c r="B45" s="54" t="str">
        <f>_xlfn.TEXTJOIN("-",TRUE,"ITD",Input!$A$2,A45)</f>
        <v>ITD-SHRXXX-XX44</v>
      </c>
      <c r="C45" s="54" t="str" cm="1">
        <f t="array" ref="C45">IFERROR(_xlfn.LET(
_xlpm.CSVVal,_xlfn.XLOOKUP($A45,CSV!$A:$A,CSV!B:B,""),
_xlpm.MacVal,_xlfn.XLOOKUP($A45,Output_Mac!$A:$A,Output_Mac!B:B,""),
_xlpm.MyAuditVal,_xlfn.XLOOKUP($A45,My_Audit!$A:$A,My_Audit!B:B,""),
_xlfn.IFS(_xlpm.MyAuditVal&lt;&gt;"",UPPER(_xlpm.MyAuditVal),_xlpm.MacVal&lt;&gt;"",_xlpm.MacVal,_xlpm.CSVVal&lt;&gt;"",_xlpm.CSVVal
)),"")</f>
        <v/>
      </c>
      <c r="D45" s="55" t="str">
        <f>_xlfn.XLOOKUP(A45,My_Audit!A:A,My_Audit!D:D,"")&amp;""</f>
        <v/>
      </c>
      <c r="E45" s="55" t="str" cm="1">
        <f t="array" ref="E45">IFERROR(_xlfn.LET(
_xlpm.CSVVal,_xlfn.XLOOKUP($A45,CSV!$A:$A,CSV!D:D,""),
_xlpm.MacVal,_xlfn.XLOOKUP($A45,Output_Mac!$A:$A,Output_Mac!C:C,""),
_xlpm.MyAuditVal,_xlfn.XLOOKUP($A45,My_Audit!$A:$A,My_Audit!D:D,""),
_xlfn.IFS(_xlpm.MyAuditVal&lt;&gt;"",_xlpm.MyAuditVal,_xlpm.MacVal&lt;&gt;"",_xlpm.MacVal,_xlpm.CSVVal&lt;&gt;"",_xlpm.CSVVal
)),"")</f>
        <v/>
      </c>
      <c r="F45" s="54" t="str" cm="1">
        <f t="array" ref="F45">IFERROR(_xlfn.LET(
_xlpm.CSVVal,_xlfn.XLOOKUP($A45,CSV!$A:$A,CSV!E:E,""),
_xlpm.MacVal,_xlfn.XLOOKUP($A45,Output_Mac!$A:$A,Output_Mac!F:F,""),
_xlpm.MyAuditVal,_xlfn.XLOOKUP($A45,My_Audit!$A:$A,My_Audit!E:E,""),
_xlfn.IFS(_xlpm.MyAuditVal&lt;&gt;"",_xlpm.MyAuditVal,_xlpm.MacVal&lt;&gt;"",_xlpm.MacVal,_xlpm.CSVVal&lt;&gt;"",PROPER(_xlpm.CSVVal)
)),"")</f>
        <v/>
      </c>
      <c r="G45" s="54" t="str" cm="1">
        <f t="array" ref="G45">IFERROR(_xlfn.LET(
_xlpm.CSVVal,_xlfn.XLOOKUP($A45,CSV!$A:$A,CSV!F:F,""),
_xlpm.MacVal,_xlfn.XLOOKUP($A45,Output_Mac!$A:$A,Output_Mac!H:H,""),
_xlpm.MyAuditVal,_xlfn.XLOOKUP($A45,My_Audit!$A:$A,My_Audit!F:F,""),
_xlfn.IFS(_xlpm.MyAuditVal&lt;&gt;"",_xlpm.MyAuditVal,_xlpm.MacVal&lt;&gt;"",_xlpm.MacVal,_xlpm.CSVVal&lt;&gt;"",_xlpm.CSVVal
)),"")</f>
        <v/>
      </c>
      <c r="H45" s="54" t="str">
        <f>_xlfn.XLOOKUP(A45,Output_Mac!A:A,Output_Mac!I:I,"")</f>
        <v/>
      </c>
      <c r="I45" s="54" t="str" cm="1">
        <f t="array" ref="I45">IFERROR(_xlfn.LET(
_xlpm.CSVVal,_xlfn.XLOOKUP($A45,CSV!$A:$A,CSV!G:G,""),
_xlpm.MacVal,_xlfn.XLOOKUP($A45,Output_Mac!$A:$A,Output_Mac!J:J,""),
_xlpm.MyAuditVal,_xlfn.XLOOKUP($A45,My_Audit!$A:$A,My_Audit!H:H,""),
_xlfn.IFS(_xlpm.MyAuditVal&lt;&gt;"",UPPER(_xlpm.MyAuditVal),_xlpm.MacVal&lt;&gt;"",_xlpm.MacVal,_xlpm.CSVVal&lt;&gt;"",_xlpm.CSVVal
)),"")</f>
        <v/>
      </c>
      <c r="J45" s="54" t="str" cm="1">
        <f t="array" ref="J45">IFERROR(_xlfn.LET(
_xlpm.CSVVal,_xlfn.XLOOKUP($A45,CSV!$A:$A,CSV!I:I,""),
_xlpm.MacVal,_xlfn.XLOOKUP($A45,Output_Mac!$A:$A,Output_Mac!K:K,""),
_xlpm.MyAuditVal,_xlfn.XLOOKUP($A45,My_Audit!$A:$A,My_Audit!I:I,""),
_xlfn.IFS(_xlpm.MyAuditVal&lt;&gt;"",UPPER(_xlpm.MyAuditVal),_xlpm.MacVal&lt;&gt;"",_xlpm.MacVal,_xlpm.CSVVal&lt;&gt;"",_xlpm.CSVVal
)),"")</f>
        <v/>
      </c>
      <c r="K45" s="54" t="str" cm="1">
        <f t="array" ref="K45">IFERROR(_xlfn.LET(
_xlpm.CSVVal,_xlfn.XLOOKUP($A45,CSV!$A:$A,CSV!M:M,""),
_xlpm.MacVal,_xlfn.XLOOKUP($A45,Output_Mac!$A:$A,Output_Mac!L:L,""),
_xlpm.MyAuditVal,_xlfn.XLOOKUP($A45,My_Audit!$A:$A,My_Audit!J:J,""),
_xlfn.IFS(_xlpm.MyAuditVal&lt;&gt;"",UPPER(_xlpm.MyAuditVal),_xlpm.MacVal&lt;&gt;"",_xlpm.MacVal,_xlpm.CSVVal&lt;&gt;"",_xlpm.CSVVal
)),"")</f>
        <v/>
      </c>
      <c r="L45" s="55" t="str" cm="1">
        <f t="array" ref="L45">IFERROR(_xlfn.LET(
_xlpm.CSVVal,_xlfn.XLOOKUP($A45,CSV!$A:$A,CSV!P:P,""),
_xlpm.MacVal,_xlfn.XLOOKUP($A45,Output_Mac!$A:$A,Output_Mac!M:M,""),
_xlpm.MyAuditVal,_xlfn.XLOOKUP($A45,My_Audit!$A:$A,My_Audit!K:K,""),
_xlfn.IFS(_xlpm.MyAuditVal&lt;&gt;"",UPPER(_xlpm.MyAuditVal),_xlpm.MacVal&lt;&gt;"",_xlpm.MacVal,_xlpm.CSVVal&lt;&gt;"",_xlpm.CSVVal
)),"")</f>
        <v/>
      </c>
      <c r="M45" s="54" t="str">
        <f>_xlfn.LET(
    _xlpm.CSVVal, _xlfn.XLOOKUP($A45, CSV!$A:$A, CSV!AD:AD, ""),
    _xlpm.MacVal, _xlfn.XLOOKUP($A45, Output_Mac!$A:$A, Output_Mac!S:S, ""),
    _xlpm.MyAuditVal, _xlfn.XLOOKUP($A45, My_Audit!$A:$A, My_Audit!N:N, ""),
    _xlfn.TEXTJOIN(", ", TRUE, _xlpm.MyAuditVal, _xlpm.MacVal, _xlpm.CSVVal)
)</f>
        <v/>
      </c>
      <c r="N45" s="54" t="str" cm="1">
        <f t="array" ref="N45">IFERROR(_xlfn.LET(
_xlpm.CSVVal,_xlfn.XLOOKUP($A45,CSV!$A:$A,CSV!AF:AF,""),
_xlpm.MacVal,_xlfn.XLOOKUP($A45,Output_Mac!$A:$A,Output_Mac!U:U,""),
_xlpm.MyAuditVal,_xlfn.XLOOKUP($A45,My_Audit!$A:$A,My_Audit!O:O,""),
_xlfn.IFS(_xlpm.MyAuditVal&lt;&gt;"",UPPER(_xlpm.MyAuditVal),_xlpm.MacVal&lt;&gt;"",_xlpm.MacVal,_xlpm.CSVVal&lt;&gt;"",_xlpm.CSVVal
)),"")</f>
        <v/>
      </c>
      <c r="O45" s="54"/>
      <c r="P45" s="54"/>
      <c r="Q45" s="54"/>
      <c r="R45" s="54"/>
      <c r="S45" s="54"/>
      <c r="T45" s="54"/>
      <c r="U45" s="39" t="str">
        <f>_xlfn.LET(
    _xlpm.MacVal, _xlfn.XLOOKUP($A45, Output_Mac!$A:$A, Output_Mac!AB:AB, ""),
    _xlpm.MyAuditVal, _xlfn.XLOOKUP($A45, My_Audit!$A:$A, My_Audit!L:L, ""),
    _xlfn.TEXTJOIN(", ", TRUE, _xlpm.MyAuditVal, _xlpm.MacVal)
)</f>
        <v/>
      </c>
    </row>
    <row r="46" spans="1:21">
      <c r="A46" s="54" t="str">
        <f>_xlfn.TEXTJOIN("",TRUE,Input!$B$2,ROW(My_Audit!A45))</f>
        <v>XX45</v>
      </c>
      <c r="B46" s="54" t="str">
        <f>_xlfn.TEXTJOIN("-",TRUE,"ITD",Input!$A$2,A46)</f>
        <v>ITD-SHRXXX-XX45</v>
      </c>
      <c r="C46" s="54" t="str" cm="1">
        <f t="array" ref="C46">IFERROR(_xlfn.LET(
_xlpm.CSVVal,_xlfn.XLOOKUP($A46,CSV!$A:$A,CSV!B:B,""),
_xlpm.MacVal,_xlfn.XLOOKUP($A46,Output_Mac!$A:$A,Output_Mac!B:B,""),
_xlpm.MyAuditVal,_xlfn.XLOOKUP($A46,My_Audit!$A:$A,My_Audit!B:B,""),
_xlfn.IFS(_xlpm.MyAuditVal&lt;&gt;"",UPPER(_xlpm.MyAuditVal),_xlpm.MacVal&lt;&gt;"",_xlpm.MacVal,_xlpm.CSVVal&lt;&gt;"",_xlpm.CSVVal
)),"")</f>
        <v/>
      </c>
      <c r="D46" s="55" t="str">
        <f>_xlfn.XLOOKUP(A46,My_Audit!A:A,My_Audit!D:D,"")&amp;""</f>
        <v/>
      </c>
      <c r="E46" s="55" t="str" cm="1">
        <f t="array" ref="E46">IFERROR(_xlfn.LET(
_xlpm.CSVVal,_xlfn.XLOOKUP($A46,CSV!$A:$A,CSV!D:D,""),
_xlpm.MacVal,_xlfn.XLOOKUP($A46,Output_Mac!$A:$A,Output_Mac!C:C,""),
_xlpm.MyAuditVal,_xlfn.XLOOKUP($A46,My_Audit!$A:$A,My_Audit!D:D,""),
_xlfn.IFS(_xlpm.MyAuditVal&lt;&gt;"",_xlpm.MyAuditVal,_xlpm.MacVal&lt;&gt;"",_xlpm.MacVal,_xlpm.CSVVal&lt;&gt;"",_xlpm.CSVVal
)),"")</f>
        <v/>
      </c>
      <c r="F46" s="54" t="str" cm="1">
        <f t="array" ref="F46">IFERROR(_xlfn.LET(
_xlpm.CSVVal,_xlfn.XLOOKUP($A46,CSV!$A:$A,CSV!E:E,""),
_xlpm.MacVal,_xlfn.XLOOKUP($A46,Output_Mac!$A:$A,Output_Mac!F:F,""),
_xlpm.MyAuditVal,_xlfn.XLOOKUP($A46,My_Audit!$A:$A,My_Audit!E:E,""),
_xlfn.IFS(_xlpm.MyAuditVal&lt;&gt;"",_xlpm.MyAuditVal,_xlpm.MacVal&lt;&gt;"",_xlpm.MacVal,_xlpm.CSVVal&lt;&gt;"",PROPER(_xlpm.CSVVal)
)),"")</f>
        <v/>
      </c>
      <c r="G46" s="54" t="str" cm="1">
        <f t="array" ref="G46">IFERROR(_xlfn.LET(
_xlpm.CSVVal,_xlfn.XLOOKUP($A46,CSV!$A:$A,CSV!F:F,""),
_xlpm.MacVal,_xlfn.XLOOKUP($A46,Output_Mac!$A:$A,Output_Mac!H:H,""),
_xlpm.MyAuditVal,_xlfn.XLOOKUP($A46,My_Audit!$A:$A,My_Audit!F:F,""),
_xlfn.IFS(_xlpm.MyAuditVal&lt;&gt;"",_xlpm.MyAuditVal,_xlpm.MacVal&lt;&gt;"",_xlpm.MacVal,_xlpm.CSVVal&lt;&gt;"",_xlpm.CSVVal
)),"")</f>
        <v/>
      </c>
      <c r="H46" s="54" t="str">
        <f>_xlfn.XLOOKUP(A46,Output_Mac!A:A,Output_Mac!I:I,"")</f>
        <v/>
      </c>
      <c r="I46" s="54" t="str" cm="1">
        <f t="array" ref="I46">IFERROR(_xlfn.LET(
_xlpm.CSVVal,_xlfn.XLOOKUP($A46,CSV!$A:$A,CSV!G:G,""),
_xlpm.MacVal,_xlfn.XLOOKUP($A46,Output_Mac!$A:$A,Output_Mac!J:J,""),
_xlpm.MyAuditVal,_xlfn.XLOOKUP($A46,My_Audit!$A:$A,My_Audit!H:H,""),
_xlfn.IFS(_xlpm.MyAuditVal&lt;&gt;"",UPPER(_xlpm.MyAuditVal),_xlpm.MacVal&lt;&gt;"",_xlpm.MacVal,_xlpm.CSVVal&lt;&gt;"",_xlpm.CSVVal
)),"")</f>
        <v/>
      </c>
      <c r="J46" s="54" t="str" cm="1">
        <f t="array" ref="J46">IFERROR(_xlfn.LET(
_xlpm.CSVVal,_xlfn.XLOOKUP($A46,CSV!$A:$A,CSV!I:I,""),
_xlpm.MacVal,_xlfn.XLOOKUP($A46,Output_Mac!$A:$A,Output_Mac!K:K,""),
_xlpm.MyAuditVal,_xlfn.XLOOKUP($A46,My_Audit!$A:$A,My_Audit!I:I,""),
_xlfn.IFS(_xlpm.MyAuditVal&lt;&gt;"",UPPER(_xlpm.MyAuditVal),_xlpm.MacVal&lt;&gt;"",_xlpm.MacVal,_xlpm.CSVVal&lt;&gt;"",_xlpm.CSVVal
)),"")</f>
        <v/>
      </c>
      <c r="K46" s="54" t="str" cm="1">
        <f t="array" ref="K46">IFERROR(_xlfn.LET(
_xlpm.CSVVal,_xlfn.XLOOKUP($A46,CSV!$A:$A,CSV!M:M,""),
_xlpm.MacVal,_xlfn.XLOOKUP($A46,Output_Mac!$A:$A,Output_Mac!L:L,""),
_xlpm.MyAuditVal,_xlfn.XLOOKUP($A46,My_Audit!$A:$A,My_Audit!J:J,""),
_xlfn.IFS(_xlpm.MyAuditVal&lt;&gt;"",UPPER(_xlpm.MyAuditVal),_xlpm.MacVal&lt;&gt;"",_xlpm.MacVal,_xlpm.CSVVal&lt;&gt;"",_xlpm.CSVVal
)),"")</f>
        <v/>
      </c>
      <c r="L46" s="55" t="str" cm="1">
        <f t="array" ref="L46">IFERROR(_xlfn.LET(
_xlpm.CSVVal,_xlfn.XLOOKUP($A46,CSV!$A:$A,CSV!P:P,""),
_xlpm.MacVal,_xlfn.XLOOKUP($A46,Output_Mac!$A:$A,Output_Mac!M:M,""),
_xlpm.MyAuditVal,_xlfn.XLOOKUP($A46,My_Audit!$A:$A,My_Audit!K:K,""),
_xlfn.IFS(_xlpm.MyAuditVal&lt;&gt;"",UPPER(_xlpm.MyAuditVal),_xlpm.MacVal&lt;&gt;"",_xlpm.MacVal,_xlpm.CSVVal&lt;&gt;"",_xlpm.CSVVal
)),"")</f>
        <v/>
      </c>
      <c r="M46" s="54" t="str">
        <f>_xlfn.LET(
    _xlpm.CSVVal, _xlfn.XLOOKUP($A46, CSV!$A:$A, CSV!AD:AD, ""),
    _xlpm.MacVal, _xlfn.XLOOKUP($A46, Output_Mac!$A:$A, Output_Mac!S:S, ""),
    _xlpm.MyAuditVal, _xlfn.XLOOKUP($A46, My_Audit!$A:$A, My_Audit!N:N, ""),
    _xlfn.TEXTJOIN(", ", TRUE, _xlpm.MyAuditVal, _xlpm.MacVal, _xlpm.CSVVal)
)</f>
        <v/>
      </c>
      <c r="N46" s="54" t="str" cm="1">
        <f t="array" ref="N46">IFERROR(_xlfn.LET(
_xlpm.CSVVal,_xlfn.XLOOKUP($A46,CSV!$A:$A,CSV!AF:AF,""),
_xlpm.MacVal,_xlfn.XLOOKUP($A46,Output_Mac!$A:$A,Output_Mac!U:U,""),
_xlpm.MyAuditVal,_xlfn.XLOOKUP($A46,My_Audit!$A:$A,My_Audit!O:O,""),
_xlfn.IFS(_xlpm.MyAuditVal&lt;&gt;"",UPPER(_xlpm.MyAuditVal),_xlpm.MacVal&lt;&gt;"",_xlpm.MacVal,_xlpm.CSVVal&lt;&gt;"",_xlpm.CSVVal
)),"")</f>
        <v/>
      </c>
      <c r="O46" s="54"/>
      <c r="P46" s="54"/>
      <c r="Q46" s="54"/>
      <c r="R46" s="54"/>
      <c r="S46" s="54"/>
      <c r="T46" s="54"/>
      <c r="U46" s="39" t="str">
        <f>_xlfn.LET(
    _xlpm.MacVal, _xlfn.XLOOKUP($A46, Output_Mac!$A:$A, Output_Mac!AB:AB, ""),
    _xlpm.MyAuditVal, _xlfn.XLOOKUP($A46, My_Audit!$A:$A, My_Audit!L:L, ""),
    _xlfn.TEXTJOIN(", ", TRUE, _xlpm.MyAuditVal, _xlpm.MacVal)
)</f>
        <v/>
      </c>
    </row>
    <row r="47" spans="1:21">
      <c r="A47" s="54" t="str">
        <f>_xlfn.TEXTJOIN("",TRUE,Input!$B$2,ROW(My_Audit!A46))</f>
        <v>XX46</v>
      </c>
      <c r="B47" s="54" t="str">
        <f>_xlfn.TEXTJOIN("-",TRUE,"ITD",Input!$A$2,A47)</f>
        <v>ITD-SHRXXX-XX46</v>
      </c>
      <c r="C47" s="54" t="str" cm="1">
        <f t="array" ref="C47">IFERROR(_xlfn.LET(
_xlpm.CSVVal,_xlfn.XLOOKUP($A47,CSV!$A:$A,CSV!B:B,""),
_xlpm.MacVal,_xlfn.XLOOKUP($A47,Output_Mac!$A:$A,Output_Mac!B:B,""),
_xlpm.MyAuditVal,_xlfn.XLOOKUP($A47,My_Audit!$A:$A,My_Audit!B:B,""),
_xlfn.IFS(_xlpm.MyAuditVal&lt;&gt;"",UPPER(_xlpm.MyAuditVal),_xlpm.MacVal&lt;&gt;"",_xlpm.MacVal,_xlpm.CSVVal&lt;&gt;"",_xlpm.CSVVal
)),"")</f>
        <v/>
      </c>
      <c r="D47" s="55" t="str">
        <f>_xlfn.XLOOKUP(A47,My_Audit!A:A,My_Audit!D:D,"")&amp;""</f>
        <v/>
      </c>
      <c r="E47" s="55" t="str" cm="1">
        <f t="array" ref="E47">IFERROR(_xlfn.LET(
_xlpm.CSVVal,_xlfn.XLOOKUP($A47,CSV!$A:$A,CSV!D:D,""),
_xlpm.MacVal,_xlfn.XLOOKUP($A47,Output_Mac!$A:$A,Output_Mac!C:C,""),
_xlpm.MyAuditVal,_xlfn.XLOOKUP($A47,My_Audit!$A:$A,My_Audit!D:D,""),
_xlfn.IFS(_xlpm.MyAuditVal&lt;&gt;"",_xlpm.MyAuditVal,_xlpm.MacVal&lt;&gt;"",_xlpm.MacVal,_xlpm.CSVVal&lt;&gt;"",_xlpm.CSVVal
)),"")</f>
        <v/>
      </c>
      <c r="F47" s="54" t="str" cm="1">
        <f t="array" ref="F47">IFERROR(_xlfn.LET(
_xlpm.CSVVal,_xlfn.XLOOKUP($A47,CSV!$A:$A,CSV!E:E,""),
_xlpm.MacVal,_xlfn.XLOOKUP($A47,Output_Mac!$A:$A,Output_Mac!F:F,""),
_xlpm.MyAuditVal,_xlfn.XLOOKUP($A47,My_Audit!$A:$A,My_Audit!E:E,""),
_xlfn.IFS(_xlpm.MyAuditVal&lt;&gt;"",_xlpm.MyAuditVal,_xlpm.MacVal&lt;&gt;"",_xlpm.MacVal,_xlpm.CSVVal&lt;&gt;"",PROPER(_xlpm.CSVVal)
)),"")</f>
        <v/>
      </c>
      <c r="G47" s="54" t="str" cm="1">
        <f t="array" ref="G47">IFERROR(_xlfn.LET(
_xlpm.CSVVal,_xlfn.XLOOKUP($A47,CSV!$A:$A,CSV!F:F,""),
_xlpm.MacVal,_xlfn.XLOOKUP($A47,Output_Mac!$A:$A,Output_Mac!H:H,""),
_xlpm.MyAuditVal,_xlfn.XLOOKUP($A47,My_Audit!$A:$A,My_Audit!F:F,""),
_xlfn.IFS(_xlpm.MyAuditVal&lt;&gt;"",_xlpm.MyAuditVal,_xlpm.MacVal&lt;&gt;"",_xlpm.MacVal,_xlpm.CSVVal&lt;&gt;"",_xlpm.CSVVal
)),"")</f>
        <v/>
      </c>
      <c r="H47" s="54" t="str">
        <f>_xlfn.XLOOKUP(A47,Output_Mac!A:A,Output_Mac!I:I,"")</f>
        <v/>
      </c>
      <c r="I47" s="54" t="str" cm="1">
        <f t="array" ref="I47">IFERROR(_xlfn.LET(
_xlpm.CSVVal,_xlfn.XLOOKUP($A47,CSV!$A:$A,CSV!G:G,""),
_xlpm.MacVal,_xlfn.XLOOKUP($A47,Output_Mac!$A:$A,Output_Mac!J:J,""),
_xlpm.MyAuditVal,_xlfn.XLOOKUP($A47,My_Audit!$A:$A,My_Audit!H:H,""),
_xlfn.IFS(_xlpm.MyAuditVal&lt;&gt;"",UPPER(_xlpm.MyAuditVal),_xlpm.MacVal&lt;&gt;"",_xlpm.MacVal,_xlpm.CSVVal&lt;&gt;"",_xlpm.CSVVal
)),"")</f>
        <v/>
      </c>
      <c r="J47" s="54" t="str" cm="1">
        <f t="array" ref="J47">IFERROR(_xlfn.LET(
_xlpm.CSVVal,_xlfn.XLOOKUP($A47,CSV!$A:$A,CSV!I:I,""),
_xlpm.MacVal,_xlfn.XLOOKUP($A47,Output_Mac!$A:$A,Output_Mac!K:K,""),
_xlpm.MyAuditVal,_xlfn.XLOOKUP($A47,My_Audit!$A:$A,My_Audit!I:I,""),
_xlfn.IFS(_xlpm.MyAuditVal&lt;&gt;"",UPPER(_xlpm.MyAuditVal),_xlpm.MacVal&lt;&gt;"",_xlpm.MacVal,_xlpm.CSVVal&lt;&gt;"",_xlpm.CSVVal
)),"")</f>
        <v/>
      </c>
      <c r="K47" s="54" t="str" cm="1">
        <f t="array" ref="K47">IFERROR(_xlfn.LET(
_xlpm.CSVVal,_xlfn.XLOOKUP($A47,CSV!$A:$A,CSV!M:M,""),
_xlpm.MacVal,_xlfn.XLOOKUP($A47,Output_Mac!$A:$A,Output_Mac!L:L,""),
_xlpm.MyAuditVal,_xlfn.XLOOKUP($A47,My_Audit!$A:$A,My_Audit!J:J,""),
_xlfn.IFS(_xlpm.MyAuditVal&lt;&gt;"",UPPER(_xlpm.MyAuditVal),_xlpm.MacVal&lt;&gt;"",_xlpm.MacVal,_xlpm.CSVVal&lt;&gt;"",_xlpm.CSVVal
)),"")</f>
        <v/>
      </c>
      <c r="L47" s="55" t="str" cm="1">
        <f t="array" ref="L47">IFERROR(_xlfn.LET(
_xlpm.CSVVal,_xlfn.XLOOKUP($A47,CSV!$A:$A,CSV!P:P,""),
_xlpm.MacVal,_xlfn.XLOOKUP($A47,Output_Mac!$A:$A,Output_Mac!M:M,""),
_xlpm.MyAuditVal,_xlfn.XLOOKUP($A47,My_Audit!$A:$A,My_Audit!K:K,""),
_xlfn.IFS(_xlpm.MyAuditVal&lt;&gt;"",UPPER(_xlpm.MyAuditVal),_xlpm.MacVal&lt;&gt;"",_xlpm.MacVal,_xlpm.CSVVal&lt;&gt;"",_xlpm.CSVVal
)),"")</f>
        <v/>
      </c>
      <c r="M47" s="54" t="str">
        <f>_xlfn.LET(
    _xlpm.CSVVal, _xlfn.XLOOKUP($A47, CSV!$A:$A, CSV!AD:AD, ""),
    _xlpm.MacVal, _xlfn.XLOOKUP($A47, Output_Mac!$A:$A, Output_Mac!S:S, ""),
    _xlpm.MyAuditVal, _xlfn.XLOOKUP($A47, My_Audit!$A:$A, My_Audit!N:N, ""),
    _xlfn.TEXTJOIN(", ", TRUE, _xlpm.MyAuditVal, _xlpm.MacVal, _xlpm.CSVVal)
)</f>
        <v/>
      </c>
      <c r="N47" s="54" t="str" cm="1">
        <f t="array" ref="N47">IFERROR(_xlfn.LET(
_xlpm.CSVVal,_xlfn.XLOOKUP($A47,CSV!$A:$A,CSV!AF:AF,""),
_xlpm.MacVal,_xlfn.XLOOKUP($A47,Output_Mac!$A:$A,Output_Mac!U:U,""),
_xlpm.MyAuditVal,_xlfn.XLOOKUP($A47,My_Audit!$A:$A,My_Audit!O:O,""),
_xlfn.IFS(_xlpm.MyAuditVal&lt;&gt;"",UPPER(_xlpm.MyAuditVal),_xlpm.MacVal&lt;&gt;"",_xlpm.MacVal,_xlpm.CSVVal&lt;&gt;"",_xlpm.CSVVal
)),"")</f>
        <v/>
      </c>
      <c r="O47" s="54"/>
      <c r="P47" s="54"/>
      <c r="Q47" s="54"/>
      <c r="R47" s="54"/>
      <c r="S47" s="54"/>
      <c r="T47" s="54"/>
      <c r="U47" s="39" t="str">
        <f>_xlfn.LET(
    _xlpm.MacVal, _xlfn.XLOOKUP($A47, Output_Mac!$A:$A, Output_Mac!AB:AB, ""),
    _xlpm.MyAuditVal, _xlfn.XLOOKUP($A47, My_Audit!$A:$A, My_Audit!L:L, ""),
    _xlfn.TEXTJOIN(", ", TRUE, _xlpm.MyAuditVal, _xlpm.MacVal)
)</f>
        <v/>
      </c>
    </row>
    <row r="48" spans="1:21">
      <c r="A48" s="54" t="str">
        <f>_xlfn.TEXTJOIN("",TRUE,Input!$B$2,ROW(My_Audit!A47))</f>
        <v>XX47</v>
      </c>
      <c r="B48" s="54" t="str">
        <f>_xlfn.TEXTJOIN("-",TRUE,"ITD",Input!$A$2,A48)</f>
        <v>ITD-SHRXXX-XX47</v>
      </c>
      <c r="C48" s="54" t="str" cm="1">
        <f t="array" ref="C48">IFERROR(_xlfn.LET(
_xlpm.CSVVal,_xlfn.XLOOKUP($A48,CSV!$A:$A,CSV!B:B,""),
_xlpm.MacVal,_xlfn.XLOOKUP($A48,Output_Mac!$A:$A,Output_Mac!B:B,""),
_xlpm.MyAuditVal,_xlfn.XLOOKUP($A48,My_Audit!$A:$A,My_Audit!B:B,""),
_xlfn.IFS(_xlpm.MyAuditVal&lt;&gt;"",UPPER(_xlpm.MyAuditVal),_xlpm.MacVal&lt;&gt;"",_xlpm.MacVal,_xlpm.CSVVal&lt;&gt;"",_xlpm.CSVVal
)),"")</f>
        <v/>
      </c>
      <c r="D48" s="55" t="str">
        <f>_xlfn.XLOOKUP(A48,My_Audit!A:A,My_Audit!D:D,"")&amp;""</f>
        <v/>
      </c>
      <c r="E48" s="55" t="str" cm="1">
        <f t="array" ref="E48">IFERROR(_xlfn.LET(
_xlpm.CSVVal,_xlfn.XLOOKUP($A48,CSV!$A:$A,CSV!D:D,""),
_xlpm.MacVal,_xlfn.XLOOKUP($A48,Output_Mac!$A:$A,Output_Mac!C:C,""),
_xlpm.MyAuditVal,_xlfn.XLOOKUP($A48,My_Audit!$A:$A,My_Audit!D:D,""),
_xlfn.IFS(_xlpm.MyAuditVal&lt;&gt;"",_xlpm.MyAuditVal,_xlpm.MacVal&lt;&gt;"",_xlpm.MacVal,_xlpm.CSVVal&lt;&gt;"",_xlpm.CSVVal
)),"")</f>
        <v/>
      </c>
      <c r="F48" s="54" t="str" cm="1">
        <f t="array" ref="F48">IFERROR(_xlfn.LET(
_xlpm.CSVVal,_xlfn.XLOOKUP($A48,CSV!$A:$A,CSV!E:E,""),
_xlpm.MacVal,_xlfn.XLOOKUP($A48,Output_Mac!$A:$A,Output_Mac!F:F,""),
_xlpm.MyAuditVal,_xlfn.XLOOKUP($A48,My_Audit!$A:$A,My_Audit!E:E,""),
_xlfn.IFS(_xlpm.MyAuditVal&lt;&gt;"",_xlpm.MyAuditVal,_xlpm.MacVal&lt;&gt;"",_xlpm.MacVal,_xlpm.CSVVal&lt;&gt;"",PROPER(_xlpm.CSVVal)
)),"")</f>
        <v/>
      </c>
      <c r="G48" s="54" t="str" cm="1">
        <f t="array" ref="G48">IFERROR(_xlfn.LET(
_xlpm.CSVVal,_xlfn.XLOOKUP($A48,CSV!$A:$A,CSV!F:F,""),
_xlpm.MacVal,_xlfn.XLOOKUP($A48,Output_Mac!$A:$A,Output_Mac!H:H,""),
_xlpm.MyAuditVal,_xlfn.XLOOKUP($A48,My_Audit!$A:$A,My_Audit!F:F,""),
_xlfn.IFS(_xlpm.MyAuditVal&lt;&gt;"",_xlpm.MyAuditVal,_xlpm.MacVal&lt;&gt;"",_xlpm.MacVal,_xlpm.CSVVal&lt;&gt;"",_xlpm.CSVVal
)),"")</f>
        <v/>
      </c>
      <c r="H48" s="54" t="str">
        <f>_xlfn.XLOOKUP(A48,Output_Mac!A:A,Output_Mac!I:I,"")</f>
        <v/>
      </c>
      <c r="I48" s="54" t="str" cm="1">
        <f t="array" ref="I48">IFERROR(_xlfn.LET(
_xlpm.CSVVal,_xlfn.XLOOKUP($A48,CSV!$A:$A,CSV!G:G,""),
_xlpm.MacVal,_xlfn.XLOOKUP($A48,Output_Mac!$A:$A,Output_Mac!J:J,""),
_xlpm.MyAuditVal,_xlfn.XLOOKUP($A48,My_Audit!$A:$A,My_Audit!H:H,""),
_xlfn.IFS(_xlpm.MyAuditVal&lt;&gt;"",UPPER(_xlpm.MyAuditVal),_xlpm.MacVal&lt;&gt;"",_xlpm.MacVal,_xlpm.CSVVal&lt;&gt;"",_xlpm.CSVVal
)),"")</f>
        <v/>
      </c>
      <c r="J48" s="54" t="str" cm="1">
        <f t="array" ref="J48">IFERROR(_xlfn.LET(
_xlpm.CSVVal,_xlfn.XLOOKUP($A48,CSV!$A:$A,CSV!I:I,""),
_xlpm.MacVal,_xlfn.XLOOKUP($A48,Output_Mac!$A:$A,Output_Mac!K:K,""),
_xlpm.MyAuditVal,_xlfn.XLOOKUP($A48,My_Audit!$A:$A,My_Audit!I:I,""),
_xlfn.IFS(_xlpm.MyAuditVal&lt;&gt;"",UPPER(_xlpm.MyAuditVal),_xlpm.MacVal&lt;&gt;"",_xlpm.MacVal,_xlpm.CSVVal&lt;&gt;"",_xlpm.CSVVal
)),"")</f>
        <v/>
      </c>
      <c r="K48" s="54" t="str" cm="1">
        <f t="array" ref="K48">IFERROR(_xlfn.LET(
_xlpm.CSVVal,_xlfn.XLOOKUP($A48,CSV!$A:$A,CSV!M:M,""),
_xlpm.MacVal,_xlfn.XLOOKUP($A48,Output_Mac!$A:$A,Output_Mac!L:L,""),
_xlpm.MyAuditVal,_xlfn.XLOOKUP($A48,My_Audit!$A:$A,My_Audit!J:J,""),
_xlfn.IFS(_xlpm.MyAuditVal&lt;&gt;"",UPPER(_xlpm.MyAuditVal),_xlpm.MacVal&lt;&gt;"",_xlpm.MacVal,_xlpm.CSVVal&lt;&gt;"",_xlpm.CSVVal
)),"")</f>
        <v/>
      </c>
      <c r="L48" s="55" t="str" cm="1">
        <f t="array" ref="L48">IFERROR(_xlfn.LET(
_xlpm.CSVVal,_xlfn.XLOOKUP($A48,CSV!$A:$A,CSV!P:P,""),
_xlpm.MacVal,_xlfn.XLOOKUP($A48,Output_Mac!$A:$A,Output_Mac!M:M,""),
_xlpm.MyAuditVal,_xlfn.XLOOKUP($A48,My_Audit!$A:$A,My_Audit!K:K,""),
_xlfn.IFS(_xlpm.MyAuditVal&lt;&gt;"",UPPER(_xlpm.MyAuditVal),_xlpm.MacVal&lt;&gt;"",_xlpm.MacVal,_xlpm.CSVVal&lt;&gt;"",_xlpm.CSVVal
)),"")</f>
        <v/>
      </c>
      <c r="M48" s="54" t="str">
        <f>_xlfn.LET(
    _xlpm.CSVVal, _xlfn.XLOOKUP($A48, CSV!$A:$A, CSV!AD:AD, ""),
    _xlpm.MacVal, _xlfn.XLOOKUP($A48, Output_Mac!$A:$A, Output_Mac!S:S, ""),
    _xlpm.MyAuditVal, _xlfn.XLOOKUP($A48, My_Audit!$A:$A, My_Audit!N:N, ""),
    _xlfn.TEXTJOIN(", ", TRUE, _xlpm.MyAuditVal, _xlpm.MacVal, _xlpm.CSVVal)
)</f>
        <v/>
      </c>
      <c r="N48" s="54" t="str" cm="1">
        <f t="array" ref="N48">IFERROR(_xlfn.LET(
_xlpm.CSVVal,_xlfn.XLOOKUP($A48,CSV!$A:$A,CSV!AF:AF,""),
_xlpm.MacVal,_xlfn.XLOOKUP($A48,Output_Mac!$A:$A,Output_Mac!U:U,""),
_xlpm.MyAuditVal,_xlfn.XLOOKUP($A48,My_Audit!$A:$A,My_Audit!O:O,""),
_xlfn.IFS(_xlpm.MyAuditVal&lt;&gt;"",UPPER(_xlpm.MyAuditVal),_xlpm.MacVal&lt;&gt;"",_xlpm.MacVal,_xlpm.CSVVal&lt;&gt;"",_xlpm.CSVVal
)),"")</f>
        <v/>
      </c>
      <c r="O48" s="54"/>
      <c r="P48" s="54"/>
      <c r="Q48" s="54"/>
      <c r="R48" s="54"/>
      <c r="S48" s="54"/>
      <c r="T48" s="54"/>
      <c r="U48" s="39" t="str">
        <f>_xlfn.LET(
    _xlpm.MacVal, _xlfn.XLOOKUP($A48, Output_Mac!$A:$A, Output_Mac!AB:AB, ""),
    _xlpm.MyAuditVal, _xlfn.XLOOKUP($A48, My_Audit!$A:$A, My_Audit!L:L, ""),
    _xlfn.TEXTJOIN(", ", TRUE, _xlpm.MyAuditVal, _xlpm.MacVal)
)</f>
        <v/>
      </c>
    </row>
    <row r="49" spans="1:21">
      <c r="A49" s="54" t="str">
        <f>_xlfn.TEXTJOIN("",TRUE,Input!$B$2,ROW(My_Audit!A48))</f>
        <v>XX48</v>
      </c>
      <c r="B49" s="54" t="str">
        <f>_xlfn.TEXTJOIN("-",TRUE,"ITD",Input!$A$2,A49)</f>
        <v>ITD-SHRXXX-XX48</v>
      </c>
      <c r="C49" s="54" t="str" cm="1">
        <f t="array" ref="C49">IFERROR(_xlfn.LET(
_xlpm.CSVVal,_xlfn.XLOOKUP($A49,CSV!$A:$A,CSV!B:B,""),
_xlpm.MacVal,_xlfn.XLOOKUP($A49,Output_Mac!$A:$A,Output_Mac!B:B,""),
_xlpm.MyAuditVal,_xlfn.XLOOKUP($A49,My_Audit!$A:$A,My_Audit!B:B,""),
_xlfn.IFS(_xlpm.MyAuditVal&lt;&gt;"",UPPER(_xlpm.MyAuditVal),_xlpm.MacVal&lt;&gt;"",_xlpm.MacVal,_xlpm.CSVVal&lt;&gt;"",_xlpm.CSVVal
)),"")</f>
        <v/>
      </c>
      <c r="D49" s="55" t="str">
        <f>_xlfn.XLOOKUP(A49,My_Audit!A:A,My_Audit!D:D,"")&amp;""</f>
        <v/>
      </c>
      <c r="E49" s="55" t="str" cm="1">
        <f t="array" ref="E49">IFERROR(_xlfn.LET(
_xlpm.CSVVal,_xlfn.XLOOKUP($A49,CSV!$A:$A,CSV!D:D,""),
_xlpm.MacVal,_xlfn.XLOOKUP($A49,Output_Mac!$A:$A,Output_Mac!C:C,""),
_xlpm.MyAuditVal,_xlfn.XLOOKUP($A49,My_Audit!$A:$A,My_Audit!D:D,""),
_xlfn.IFS(_xlpm.MyAuditVal&lt;&gt;"",_xlpm.MyAuditVal,_xlpm.MacVal&lt;&gt;"",_xlpm.MacVal,_xlpm.CSVVal&lt;&gt;"",_xlpm.CSVVal
)),"")</f>
        <v/>
      </c>
      <c r="F49" s="54" t="str" cm="1">
        <f t="array" ref="F49">IFERROR(_xlfn.LET(
_xlpm.CSVVal,_xlfn.XLOOKUP($A49,CSV!$A:$A,CSV!E:E,""),
_xlpm.MacVal,_xlfn.XLOOKUP($A49,Output_Mac!$A:$A,Output_Mac!F:F,""),
_xlpm.MyAuditVal,_xlfn.XLOOKUP($A49,My_Audit!$A:$A,My_Audit!E:E,""),
_xlfn.IFS(_xlpm.MyAuditVal&lt;&gt;"",_xlpm.MyAuditVal,_xlpm.MacVal&lt;&gt;"",_xlpm.MacVal,_xlpm.CSVVal&lt;&gt;"",PROPER(_xlpm.CSVVal)
)),"")</f>
        <v/>
      </c>
      <c r="G49" s="54" t="str" cm="1">
        <f t="array" ref="G49">IFERROR(_xlfn.LET(
_xlpm.CSVVal,_xlfn.XLOOKUP($A49,CSV!$A:$A,CSV!F:F,""),
_xlpm.MacVal,_xlfn.XLOOKUP($A49,Output_Mac!$A:$A,Output_Mac!H:H,""),
_xlpm.MyAuditVal,_xlfn.XLOOKUP($A49,My_Audit!$A:$A,My_Audit!F:F,""),
_xlfn.IFS(_xlpm.MyAuditVal&lt;&gt;"",_xlpm.MyAuditVal,_xlpm.MacVal&lt;&gt;"",_xlpm.MacVal,_xlpm.CSVVal&lt;&gt;"",_xlpm.CSVVal
)),"")</f>
        <v/>
      </c>
      <c r="H49" s="54" t="str">
        <f>_xlfn.XLOOKUP(A49,Output_Mac!A:A,Output_Mac!I:I,"")</f>
        <v/>
      </c>
      <c r="I49" s="54" t="str" cm="1">
        <f t="array" ref="I49">IFERROR(_xlfn.LET(
_xlpm.CSVVal,_xlfn.XLOOKUP($A49,CSV!$A:$A,CSV!G:G,""),
_xlpm.MacVal,_xlfn.XLOOKUP($A49,Output_Mac!$A:$A,Output_Mac!J:J,""),
_xlpm.MyAuditVal,_xlfn.XLOOKUP($A49,My_Audit!$A:$A,My_Audit!H:H,""),
_xlfn.IFS(_xlpm.MyAuditVal&lt;&gt;"",UPPER(_xlpm.MyAuditVal),_xlpm.MacVal&lt;&gt;"",_xlpm.MacVal,_xlpm.CSVVal&lt;&gt;"",_xlpm.CSVVal
)),"")</f>
        <v/>
      </c>
      <c r="J49" s="54" t="str" cm="1">
        <f t="array" ref="J49">IFERROR(_xlfn.LET(
_xlpm.CSVVal,_xlfn.XLOOKUP($A49,CSV!$A:$A,CSV!I:I,""),
_xlpm.MacVal,_xlfn.XLOOKUP($A49,Output_Mac!$A:$A,Output_Mac!K:K,""),
_xlpm.MyAuditVal,_xlfn.XLOOKUP($A49,My_Audit!$A:$A,My_Audit!I:I,""),
_xlfn.IFS(_xlpm.MyAuditVal&lt;&gt;"",UPPER(_xlpm.MyAuditVal),_xlpm.MacVal&lt;&gt;"",_xlpm.MacVal,_xlpm.CSVVal&lt;&gt;"",_xlpm.CSVVal
)),"")</f>
        <v/>
      </c>
      <c r="K49" s="54" t="str" cm="1">
        <f t="array" ref="K49">IFERROR(_xlfn.LET(
_xlpm.CSVVal,_xlfn.XLOOKUP($A49,CSV!$A:$A,CSV!M:M,""),
_xlpm.MacVal,_xlfn.XLOOKUP($A49,Output_Mac!$A:$A,Output_Mac!L:L,""),
_xlpm.MyAuditVal,_xlfn.XLOOKUP($A49,My_Audit!$A:$A,My_Audit!J:J,""),
_xlfn.IFS(_xlpm.MyAuditVal&lt;&gt;"",UPPER(_xlpm.MyAuditVal),_xlpm.MacVal&lt;&gt;"",_xlpm.MacVal,_xlpm.CSVVal&lt;&gt;"",_xlpm.CSVVal
)),"")</f>
        <v/>
      </c>
      <c r="L49" s="55" t="str" cm="1">
        <f t="array" ref="L49">IFERROR(_xlfn.LET(
_xlpm.CSVVal,_xlfn.XLOOKUP($A49,CSV!$A:$A,CSV!P:P,""),
_xlpm.MacVal,_xlfn.XLOOKUP($A49,Output_Mac!$A:$A,Output_Mac!M:M,""),
_xlpm.MyAuditVal,_xlfn.XLOOKUP($A49,My_Audit!$A:$A,My_Audit!K:K,""),
_xlfn.IFS(_xlpm.MyAuditVal&lt;&gt;"",UPPER(_xlpm.MyAuditVal),_xlpm.MacVal&lt;&gt;"",_xlpm.MacVal,_xlpm.CSVVal&lt;&gt;"",_xlpm.CSVVal
)),"")</f>
        <v/>
      </c>
      <c r="M49" s="54" t="str">
        <f>_xlfn.LET(
    _xlpm.CSVVal, _xlfn.XLOOKUP($A49, CSV!$A:$A, CSV!AD:AD, ""),
    _xlpm.MacVal, _xlfn.XLOOKUP($A49, Output_Mac!$A:$A, Output_Mac!S:S, ""),
    _xlpm.MyAuditVal, _xlfn.XLOOKUP($A49, My_Audit!$A:$A, My_Audit!N:N, ""),
    _xlfn.TEXTJOIN(", ", TRUE, _xlpm.MyAuditVal, _xlpm.MacVal, _xlpm.CSVVal)
)</f>
        <v/>
      </c>
      <c r="N49" s="54" t="str" cm="1">
        <f t="array" ref="N49">IFERROR(_xlfn.LET(
_xlpm.CSVVal,_xlfn.XLOOKUP($A49,CSV!$A:$A,CSV!AF:AF,""),
_xlpm.MacVal,_xlfn.XLOOKUP($A49,Output_Mac!$A:$A,Output_Mac!U:U,""),
_xlpm.MyAuditVal,_xlfn.XLOOKUP($A49,My_Audit!$A:$A,My_Audit!O:O,""),
_xlfn.IFS(_xlpm.MyAuditVal&lt;&gt;"",UPPER(_xlpm.MyAuditVal),_xlpm.MacVal&lt;&gt;"",_xlpm.MacVal,_xlpm.CSVVal&lt;&gt;"",_xlpm.CSVVal
)),"")</f>
        <v/>
      </c>
      <c r="O49" s="54"/>
      <c r="P49" s="54"/>
      <c r="Q49" s="54"/>
      <c r="R49" s="54"/>
      <c r="S49" s="54"/>
      <c r="T49" s="54"/>
      <c r="U49" s="39" t="str">
        <f>_xlfn.LET(
    _xlpm.MacVal, _xlfn.XLOOKUP($A49, Output_Mac!$A:$A, Output_Mac!AB:AB, ""),
    _xlpm.MyAuditVal, _xlfn.XLOOKUP($A49, My_Audit!$A:$A, My_Audit!L:L, ""),
    _xlfn.TEXTJOIN(", ", TRUE, _xlpm.MyAuditVal, _xlpm.MacVal)
)</f>
        <v/>
      </c>
    </row>
    <row r="50" spans="1:21">
      <c r="A50" s="54" t="str">
        <f>_xlfn.TEXTJOIN("",TRUE,Input!$B$2,ROW(My_Audit!A49))</f>
        <v>XX49</v>
      </c>
      <c r="B50" s="54" t="str">
        <f>_xlfn.TEXTJOIN("-",TRUE,"ITD",Input!$A$2,A50)</f>
        <v>ITD-SHRXXX-XX49</v>
      </c>
      <c r="C50" s="54" t="str" cm="1">
        <f t="array" ref="C50">IFERROR(_xlfn.LET(
_xlpm.CSVVal,_xlfn.XLOOKUP($A50,CSV!$A:$A,CSV!B:B,""),
_xlpm.MacVal,_xlfn.XLOOKUP($A50,Output_Mac!$A:$A,Output_Mac!B:B,""),
_xlpm.MyAuditVal,_xlfn.XLOOKUP($A50,My_Audit!$A:$A,My_Audit!B:B,""),
_xlfn.IFS(_xlpm.MyAuditVal&lt;&gt;"",UPPER(_xlpm.MyAuditVal),_xlpm.MacVal&lt;&gt;"",_xlpm.MacVal,_xlpm.CSVVal&lt;&gt;"",_xlpm.CSVVal
)),"")</f>
        <v/>
      </c>
      <c r="D50" s="55" t="str">
        <f>_xlfn.XLOOKUP(A50,My_Audit!A:A,My_Audit!D:D,"")&amp;""</f>
        <v/>
      </c>
      <c r="E50" s="55" t="str" cm="1">
        <f t="array" ref="E50">IFERROR(_xlfn.LET(
_xlpm.CSVVal,_xlfn.XLOOKUP($A50,CSV!$A:$A,CSV!D:D,""),
_xlpm.MacVal,_xlfn.XLOOKUP($A50,Output_Mac!$A:$A,Output_Mac!C:C,""),
_xlpm.MyAuditVal,_xlfn.XLOOKUP($A50,My_Audit!$A:$A,My_Audit!D:D,""),
_xlfn.IFS(_xlpm.MyAuditVal&lt;&gt;"",_xlpm.MyAuditVal,_xlpm.MacVal&lt;&gt;"",_xlpm.MacVal,_xlpm.CSVVal&lt;&gt;"",_xlpm.CSVVal
)),"")</f>
        <v/>
      </c>
      <c r="F50" s="54" t="str" cm="1">
        <f t="array" ref="F50">IFERROR(_xlfn.LET(
_xlpm.CSVVal,_xlfn.XLOOKUP($A50,CSV!$A:$A,CSV!E:E,""),
_xlpm.MacVal,_xlfn.XLOOKUP($A50,Output_Mac!$A:$A,Output_Mac!F:F,""),
_xlpm.MyAuditVal,_xlfn.XLOOKUP($A50,My_Audit!$A:$A,My_Audit!E:E,""),
_xlfn.IFS(_xlpm.MyAuditVal&lt;&gt;"",_xlpm.MyAuditVal,_xlpm.MacVal&lt;&gt;"",_xlpm.MacVal,_xlpm.CSVVal&lt;&gt;"",PROPER(_xlpm.CSVVal)
)),"")</f>
        <v/>
      </c>
      <c r="G50" s="54" t="str" cm="1">
        <f t="array" ref="G50">IFERROR(_xlfn.LET(
_xlpm.CSVVal,_xlfn.XLOOKUP($A50,CSV!$A:$A,CSV!F:F,""),
_xlpm.MacVal,_xlfn.XLOOKUP($A50,Output_Mac!$A:$A,Output_Mac!H:H,""),
_xlpm.MyAuditVal,_xlfn.XLOOKUP($A50,My_Audit!$A:$A,My_Audit!F:F,""),
_xlfn.IFS(_xlpm.MyAuditVal&lt;&gt;"",_xlpm.MyAuditVal,_xlpm.MacVal&lt;&gt;"",_xlpm.MacVal,_xlpm.CSVVal&lt;&gt;"",_xlpm.CSVVal
)),"")</f>
        <v/>
      </c>
      <c r="H50" s="54" t="str">
        <f>_xlfn.XLOOKUP(A50,Output_Mac!A:A,Output_Mac!I:I,"")</f>
        <v/>
      </c>
      <c r="I50" s="54" t="str" cm="1">
        <f t="array" ref="I50">IFERROR(_xlfn.LET(
_xlpm.CSVVal,_xlfn.XLOOKUP($A50,CSV!$A:$A,CSV!G:G,""),
_xlpm.MacVal,_xlfn.XLOOKUP($A50,Output_Mac!$A:$A,Output_Mac!J:J,""),
_xlpm.MyAuditVal,_xlfn.XLOOKUP($A50,My_Audit!$A:$A,My_Audit!H:H,""),
_xlfn.IFS(_xlpm.MyAuditVal&lt;&gt;"",UPPER(_xlpm.MyAuditVal),_xlpm.MacVal&lt;&gt;"",_xlpm.MacVal,_xlpm.CSVVal&lt;&gt;"",_xlpm.CSVVal
)),"")</f>
        <v/>
      </c>
      <c r="J50" s="54" t="str" cm="1">
        <f t="array" ref="J50">IFERROR(_xlfn.LET(
_xlpm.CSVVal,_xlfn.XLOOKUP($A50,CSV!$A:$A,CSV!I:I,""),
_xlpm.MacVal,_xlfn.XLOOKUP($A50,Output_Mac!$A:$A,Output_Mac!K:K,""),
_xlpm.MyAuditVal,_xlfn.XLOOKUP($A50,My_Audit!$A:$A,My_Audit!I:I,""),
_xlfn.IFS(_xlpm.MyAuditVal&lt;&gt;"",UPPER(_xlpm.MyAuditVal),_xlpm.MacVal&lt;&gt;"",_xlpm.MacVal,_xlpm.CSVVal&lt;&gt;"",_xlpm.CSVVal
)),"")</f>
        <v/>
      </c>
      <c r="K50" s="54" t="str" cm="1">
        <f t="array" ref="K50">IFERROR(_xlfn.LET(
_xlpm.CSVVal,_xlfn.XLOOKUP($A50,CSV!$A:$A,CSV!M:M,""),
_xlpm.MacVal,_xlfn.XLOOKUP($A50,Output_Mac!$A:$A,Output_Mac!L:L,""),
_xlpm.MyAuditVal,_xlfn.XLOOKUP($A50,My_Audit!$A:$A,My_Audit!J:J,""),
_xlfn.IFS(_xlpm.MyAuditVal&lt;&gt;"",UPPER(_xlpm.MyAuditVal),_xlpm.MacVal&lt;&gt;"",_xlpm.MacVal,_xlpm.CSVVal&lt;&gt;"",_xlpm.CSVVal
)),"")</f>
        <v/>
      </c>
      <c r="L50" s="55" t="str" cm="1">
        <f t="array" ref="L50">IFERROR(_xlfn.LET(
_xlpm.CSVVal,_xlfn.XLOOKUP($A50,CSV!$A:$A,CSV!P:P,""),
_xlpm.MacVal,_xlfn.XLOOKUP($A50,Output_Mac!$A:$A,Output_Mac!M:M,""),
_xlpm.MyAuditVal,_xlfn.XLOOKUP($A50,My_Audit!$A:$A,My_Audit!K:K,""),
_xlfn.IFS(_xlpm.MyAuditVal&lt;&gt;"",UPPER(_xlpm.MyAuditVal),_xlpm.MacVal&lt;&gt;"",_xlpm.MacVal,_xlpm.CSVVal&lt;&gt;"",_xlpm.CSVVal
)),"")</f>
        <v/>
      </c>
      <c r="M50" s="54" t="str">
        <f>_xlfn.LET(
    _xlpm.CSVVal, _xlfn.XLOOKUP($A50, CSV!$A:$A, CSV!AD:AD, ""),
    _xlpm.MacVal, _xlfn.XLOOKUP($A50, Output_Mac!$A:$A, Output_Mac!S:S, ""),
    _xlpm.MyAuditVal, _xlfn.XLOOKUP($A50, My_Audit!$A:$A, My_Audit!N:N, ""),
    _xlfn.TEXTJOIN(", ", TRUE, _xlpm.MyAuditVal, _xlpm.MacVal, _xlpm.CSVVal)
)</f>
        <v/>
      </c>
      <c r="N50" s="54" t="str" cm="1">
        <f t="array" ref="N50">IFERROR(_xlfn.LET(
_xlpm.CSVVal,_xlfn.XLOOKUP($A50,CSV!$A:$A,CSV!AF:AF,""),
_xlpm.MacVal,_xlfn.XLOOKUP($A50,Output_Mac!$A:$A,Output_Mac!U:U,""),
_xlpm.MyAuditVal,_xlfn.XLOOKUP($A50,My_Audit!$A:$A,My_Audit!O:O,""),
_xlfn.IFS(_xlpm.MyAuditVal&lt;&gt;"",UPPER(_xlpm.MyAuditVal),_xlpm.MacVal&lt;&gt;"",_xlpm.MacVal,_xlpm.CSVVal&lt;&gt;"",_xlpm.CSVVal
)),"")</f>
        <v/>
      </c>
      <c r="O50" s="54"/>
      <c r="P50" s="54"/>
      <c r="Q50" s="54"/>
      <c r="R50" s="54"/>
      <c r="S50" s="54"/>
      <c r="T50" s="54"/>
      <c r="U50" s="39" t="str">
        <f>_xlfn.LET(
    _xlpm.MacVal, _xlfn.XLOOKUP($A50, Output_Mac!$A:$A, Output_Mac!AB:AB, ""),
    _xlpm.MyAuditVal, _xlfn.XLOOKUP($A50, My_Audit!$A:$A, My_Audit!L:L, ""),
    _xlfn.TEXTJOIN(", ", TRUE, _xlpm.MyAuditVal, _xlpm.MacVal)
)</f>
        <v/>
      </c>
    </row>
    <row r="51" spans="1:21">
      <c r="A51" s="54" t="str">
        <f>_xlfn.TEXTJOIN("",TRUE,Input!$B$2,ROW(My_Audit!A50))</f>
        <v>XX50</v>
      </c>
      <c r="B51" s="54" t="str">
        <f>_xlfn.TEXTJOIN("-",TRUE,"ITD",Input!$A$2,A51)</f>
        <v>ITD-SHRXXX-XX50</v>
      </c>
      <c r="C51" s="54" t="str" cm="1">
        <f t="array" ref="C51">IFERROR(_xlfn.LET(
_xlpm.CSVVal,_xlfn.XLOOKUP($A51,CSV!$A:$A,CSV!B:B,""),
_xlpm.MacVal,_xlfn.XLOOKUP($A51,Output_Mac!$A:$A,Output_Mac!B:B,""),
_xlpm.MyAuditVal,_xlfn.XLOOKUP($A51,My_Audit!$A:$A,My_Audit!B:B,""),
_xlfn.IFS(_xlpm.MyAuditVal&lt;&gt;"",UPPER(_xlpm.MyAuditVal),_xlpm.MacVal&lt;&gt;"",_xlpm.MacVal,_xlpm.CSVVal&lt;&gt;"",_xlpm.CSVVal
)),"")</f>
        <v/>
      </c>
      <c r="D51" s="55" t="str">
        <f>_xlfn.XLOOKUP(A51,My_Audit!A:A,My_Audit!D:D,"")&amp;""</f>
        <v/>
      </c>
      <c r="E51" s="55" t="str" cm="1">
        <f t="array" ref="E51">IFERROR(_xlfn.LET(
_xlpm.CSVVal,_xlfn.XLOOKUP($A51,CSV!$A:$A,CSV!D:D,""),
_xlpm.MacVal,_xlfn.XLOOKUP($A51,Output_Mac!$A:$A,Output_Mac!C:C,""),
_xlpm.MyAuditVal,_xlfn.XLOOKUP($A51,My_Audit!$A:$A,My_Audit!D:D,""),
_xlfn.IFS(_xlpm.MyAuditVal&lt;&gt;"",_xlpm.MyAuditVal,_xlpm.MacVal&lt;&gt;"",_xlpm.MacVal,_xlpm.CSVVal&lt;&gt;"",_xlpm.CSVVal
)),"")</f>
        <v/>
      </c>
      <c r="F51" s="54" t="str" cm="1">
        <f t="array" ref="F51">IFERROR(_xlfn.LET(
_xlpm.CSVVal,_xlfn.XLOOKUP($A51,CSV!$A:$A,CSV!E:E,""),
_xlpm.MacVal,_xlfn.XLOOKUP($A51,Output_Mac!$A:$A,Output_Mac!F:F,""),
_xlpm.MyAuditVal,_xlfn.XLOOKUP($A51,My_Audit!$A:$A,My_Audit!E:E,""),
_xlfn.IFS(_xlpm.MyAuditVal&lt;&gt;"",_xlpm.MyAuditVal,_xlpm.MacVal&lt;&gt;"",_xlpm.MacVal,_xlpm.CSVVal&lt;&gt;"",PROPER(_xlpm.CSVVal)
)),"")</f>
        <v/>
      </c>
      <c r="G51" s="54" t="str" cm="1">
        <f t="array" ref="G51">IFERROR(_xlfn.LET(
_xlpm.CSVVal,_xlfn.XLOOKUP($A51,CSV!$A:$A,CSV!F:F,""),
_xlpm.MacVal,_xlfn.XLOOKUP($A51,Output_Mac!$A:$A,Output_Mac!H:H,""),
_xlpm.MyAuditVal,_xlfn.XLOOKUP($A51,My_Audit!$A:$A,My_Audit!F:F,""),
_xlfn.IFS(_xlpm.MyAuditVal&lt;&gt;"",_xlpm.MyAuditVal,_xlpm.MacVal&lt;&gt;"",_xlpm.MacVal,_xlpm.CSVVal&lt;&gt;"",_xlpm.CSVVal
)),"")</f>
        <v/>
      </c>
      <c r="H51" s="54" t="str">
        <f>_xlfn.XLOOKUP(A51,Output_Mac!A:A,Output_Mac!I:I,"")</f>
        <v/>
      </c>
      <c r="I51" s="54" t="str" cm="1">
        <f t="array" ref="I51">IFERROR(_xlfn.LET(
_xlpm.CSVVal,_xlfn.XLOOKUP($A51,CSV!$A:$A,CSV!G:G,""),
_xlpm.MacVal,_xlfn.XLOOKUP($A51,Output_Mac!$A:$A,Output_Mac!J:J,""),
_xlpm.MyAuditVal,_xlfn.XLOOKUP($A51,My_Audit!$A:$A,My_Audit!H:H,""),
_xlfn.IFS(_xlpm.MyAuditVal&lt;&gt;"",UPPER(_xlpm.MyAuditVal),_xlpm.MacVal&lt;&gt;"",_xlpm.MacVal,_xlpm.CSVVal&lt;&gt;"",_xlpm.CSVVal
)),"")</f>
        <v/>
      </c>
      <c r="J51" s="54" t="str" cm="1">
        <f t="array" ref="J51">IFERROR(_xlfn.LET(
_xlpm.CSVVal,_xlfn.XLOOKUP($A51,CSV!$A:$A,CSV!I:I,""),
_xlpm.MacVal,_xlfn.XLOOKUP($A51,Output_Mac!$A:$A,Output_Mac!K:K,""),
_xlpm.MyAuditVal,_xlfn.XLOOKUP($A51,My_Audit!$A:$A,My_Audit!I:I,""),
_xlfn.IFS(_xlpm.MyAuditVal&lt;&gt;"",UPPER(_xlpm.MyAuditVal),_xlpm.MacVal&lt;&gt;"",_xlpm.MacVal,_xlpm.CSVVal&lt;&gt;"",_xlpm.CSVVal
)),"")</f>
        <v/>
      </c>
      <c r="K51" s="54" t="str" cm="1">
        <f t="array" ref="K51">IFERROR(_xlfn.LET(
_xlpm.CSVVal,_xlfn.XLOOKUP($A51,CSV!$A:$A,CSV!M:M,""),
_xlpm.MacVal,_xlfn.XLOOKUP($A51,Output_Mac!$A:$A,Output_Mac!L:L,""),
_xlpm.MyAuditVal,_xlfn.XLOOKUP($A51,My_Audit!$A:$A,My_Audit!J:J,""),
_xlfn.IFS(_xlpm.MyAuditVal&lt;&gt;"",UPPER(_xlpm.MyAuditVal),_xlpm.MacVal&lt;&gt;"",_xlpm.MacVal,_xlpm.CSVVal&lt;&gt;"",_xlpm.CSVVal
)),"")</f>
        <v/>
      </c>
      <c r="L51" s="55" t="str" cm="1">
        <f t="array" ref="L51">IFERROR(_xlfn.LET(
_xlpm.CSVVal,_xlfn.XLOOKUP($A51,CSV!$A:$A,CSV!P:P,""),
_xlpm.MacVal,_xlfn.XLOOKUP($A51,Output_Mac!$A:$A,Output_Mac!M:M,""),
_xlpm.MyAuditVal,_xlfn.XLOOKUP($A51,My_Audit!$A:$A,My_Audit!K:K,""),
_xlfn.IFS(_xlpm.MyAuditVal&lt;&gt;"",UPPER(_xlpm.MyAuditVal),_xlpm.MacVal&lt;&gt;"",_xlpm.MacVal,_xlpm.CSVVal&lt;&gt;"",_xlpm.CSVVal
)),"")</f>
        <v/>
      </c>
      <c r="M51" s="54" t="str">
        <f>_xlfn.LET(
    _xlpm.CSVVal, _xlfn.XLOOKUP($A51, CSV!$A:$A, CSV!AD:AD, ""),
    _xlpm.MacVal, _xlfn.XLOOKUP($A51, Output_Mac!$A:$A, Output_Mac!S:S, ""),
    _xlpm.MyAuditVal, _xlfn.XLOOKUP($A51, My_Audit!$A:$A, My_Audit!N:N, ""),
    _xlfn.TEXTJOIN(", ", TRUE, _xlpm.MyAuditVal, _xlpm.MacVal, _xlpm.CSVVal)
)</f>
        <v/>
      </c>
      <c r="N51" s="54" t="str" cm="1">
        <f t="array" ref="N51">IFERROR(_xlfn.LET(
_xlpm.CSVVal,_xlfn.XLOOKUP($A51,CSV!$A:$A,CSV!AF:AF,""),
_xlpm.MacVal,_xlfn.XLOOKUP($A51,Output_Mac!$A:$A,Output_Mac!U:U,""),
_xlpm.MyAuditVal,_xlfn.XLOOKUP($A51,My_Audit!$A:$A,My_Audit!O:O,""),
_xlfn.IFS(_xlpm.MyAuditVal&lt;&gt;"",UPPER(_xlpm.MyAuditVal),_xlpm.MacVal&lt;&gt;"",_xlpm.MacVal,_xlpm.CSVVal&lt;&gt;"",_xlpm.CSVVal
)),"")</f>
        <v/>
      </c>
      <c r="O51" s="54"/>
      <c r="P51" s="54"/>
      <c r="Q51" s="54"/>
      <c r="R51" s="54"/>
      <c r="S51" s="54"/>
      <c r="T51" s="54"/>
      <c r="U51" s="39" t="str">
        <f>_xlfn.LET(
    _xlpm.MacVal, _xlfn.XLOOKUP($A51, Output_Mac!$A:$A, Output_Mac!AB:AB, ""),
    _xlpm.MyAuditVal, _xlfn.XLOOKUP($A51, My_Audit!$A:$A, My_Audit!L:L, ""),
    _xlfn.TEXTJOIN(", ", TRUE, _xlpm.MyAuditVal, _xlpm.MacVal)
)</f>
        <v/>
      </c>
    </row>
    <row r="52" spans="1:21">
      <c r="A52" s="54" t="str">
        <f>_xlfn.TEXTJOIN("",TRUE,Input!$B$2,ROW(My_Audit!A51))</f>
        <v>XX51</v>
      </c>
      <c r="B52" s="54" t="str">
        <f>_xlfn.TEXTJOIN("-",TRUE,"ITD",Input!$A$2,A52)</f>
        <v>ITD-SHRXXX-XX51</v>
      </c>
      <c r="C52" s="54" t="str" cm="1">
        <f t="array" ref="C52">IFERROR(_xlfn.LET(
_xlpm.CSVVal,_xlfn.XLOOKUP($A52,CSV!$A:$A,CSV!B:B,""),
_xlpm.MacVal,_xlfn.XLOOKUP($A52,Output_Mac!$A:$A,Output_Mac!B:B,""),
_xlpm.MyAuditVal,_xlfn.XLOOKUP($A52,My_Audit!$A:$A,My_Audit!B:B,""),
_xlfn.IFS(_xlpm.MyAuditVal&lt;&gt;"",UPPER(_xlpm.MyAuditVal),_xlpm.MacVal&lt;&gt;"",_xlpm.MacVal,_xlpm.CSVVal&lt;&gt;"",_xlpm.CSVVal
)),"")</f>
        <v/>
      </c>
      <c r="D52" s="55" t="str">
        <f>_xlfn.XLOOKUP(A52,My_Audit!A:A,My_Audit!D:D,"")&amp;""</f>
        <v/>
      </c>
      <c r="E52" s="55" t="str" cm="1">
        <f t="array" ref="E52">IFERROR(_xlfn.LET(
_xlpm.CSVVal,_xlfn.XLOOKUP($A52,CSV!$A:$A,CSV!D:D,""),
_xlpm.MacVal,_xlfn.XLOOKUP($A52,Output_Mac!$A:$A,Output_Mac!C:C,""),
_xlpm.MyAuditVal,_xlfn.XLOOKUP($A52,My_Audit!$A:$A,My_Audit!D:D,""),
_xlfn.IFS(_xlpm.MyAuditVal&lt;&gt;"",_xlpm.MyAuditVal,_xlpm.MacVal&lt;&gt;"",_xlpm.MacVal,_xlpm.CSVVal&lt;&gt;"",_xlpm.CSVVal
)),"")</f>
        <v/>
      </c>
      <c r="F52" s="54" t="str" cm="1">
        <f t="array" ref="F52">IFERROR(_xlfn.LET(
_xlpm.CSVVal,_xlfn.XLOOKUP($A52,CSV!$A:$A,CSV!E:E,""),
_xlpm.MacVal,_xlfn.XLOOKUP($A52,Output_Mac!$A:$A,Output_Mac!F:F,""),
_xlpm.MyAuditVal,_xlfn.XLOOKUP($A52,My_Audit!$A:$A,My_Audit!E:E,""),
_xlfn.IFS(_xlpm.MyAuditVal&lt;&gt;"",_xlpm.MyAuditVal,_xlpm.MacVal&lt;&gt;"",_xlpm.MacVal,_xlpm.CSVVal&lt;&gt;"",PROPER(_xlpm.CSVVal)
)),"")</f>
        <v/>
      </c>
      <c r="G52" s="54" t="str" cm="1">
        <f t="array" ref="G52">IFERROR(_xlfn.LET(
_xlpm.CSVVal,_xlfn.XLOOKUP($A52,CSV!$A:$A,CSV!F:F,""),
_xlpm.MacVal,_xlfn.XLOOKUP($A52,Output_Mac!$A:$A,Output_Mac!H:H,""),
_xlpm.MyAuditVal,_xlfn.XLOOKUP($A52,My_Audit!$A:$A,My_Audit!F:F,""),
_xlfn.IFS(_xlpm.MyAuditVal&lt;&gt;"",_xlpm.MyAuditVal,_xlpm.MacVal&lt;&gt;"",_xlpm.MacVal,_xlpm.CSVVal&lt;&gt;"",_xlpm.CSVVal
)),"")</f>
        <v/>
      </c>
      <c r="H52" s="54" t="str">
        <f>_xlfn.XLOOKUP(A52,Output_Mac!A:A,Output_Mac!I:I,"")</f>
        <v/>
      </c>
      <c r="I52" s="54" t="str" cm="1">
        <f t="array" ref="I52">IFERROR(_xlfn.LET(
_xlpm.CSVVal,_xlfn.XLOOKUP($A52,CSV!$A:$A,CSV!G:G,""),
_xlpm.MacVal,_xlfn.XLOOKUP($A52,Output_Mac!$A:$A,Output_Mac!J:J,""),
_xlpm.MyAuditVal,_xlfn.XLOOKUP($A52,My_Audit!$A:$A,My_Audit!H:H,""),
_xlfn.IFS(_xlpm.MyAuditVal&lt;&gt;"",UPPER(_xlpm.MyAuditVal),_xlpm.MacVal&lt;&gt;"",_xlpm.MacVal,_xlpm.CSVVal&lt;&gt;"",_xlpm.CSVVal
)),"")</f>
        <v/>
      </c>
      <c r="J52" s="54" t="str" cm="1">
        <f t="array" ref="J52">IFERROR(_xlfn.LET(
_xlpm.CSVVal,_xlfn.XLOOKUP($A52,CSV!$A:$A,CSV!I:I,""),
_xlpm.MacVal,_xlfn.XLOOKUP($A52,Output_Mac!$A:$A,Output_Mac!K:K,""),
_xlpm.MyAuditVal,_xlfn.XLOOKUP($A52,My_Audit!$A:$A,My_Audit!I:I,""),
_xlfn.IFS(_xlpm.MyAuditVal&lt;&gt;"",UPPER(_xlpm.MyAuditVal),_xlpm.MacVal&lt;&gt;"",_xlpm.MacVal,_xlpm.CSVVal&lt;&gt;"",_xlpm.CSVVal
)),"")</f>
        <v/>
      </c>
      <c r="K52" s="54" t="str" cm="1">
        <f t="array" ref="K52">IFERROR(_xlfn.LET(
_xlpm.CSVVal,_xlfn.XLOOKUP($A52,CSV!$A:$A,CSV!M:M,""),
_xlpm.MacVal,_xlfn.XLOOKUP($A52,Output_Mac!$A:$A,Output_Mac!L:L,""),
_xlpm.MyAuditVal,_xlfn.XLOOKUP($A52,My_Audit!$A:$A,My_Audit!J:J,""),
_xlfn.IFS(_xlpm.MyAuditVal&lt;&gt;"",UPPER(_xlpm.MyAuditVal),_xlpm.MacVal&lt;&gt;"",_xlpm.MacVal,_xlpm.CSVVal&lt;&gt;"",_xlpm.CSVVal
)),"")</f>
        <v/>
      </c>
      <c r="L52" s="55" t="str" cm="1">
        <f t="array" ref="L52">IFERROR(_xlfn.LET(
_xlpm.CSVVal,_xlfn.XLOOKUP($A52,CSV!$A:$A,CSV!P:P,""),
_xlpm.MacVal,_xlfn.XLOOKUP($A52,Output_Mac!$A:$A,Output_Mac!M:M,""),
_xlpm.MyAuditVal,_xlfn.XLOOKUP($A52,My_Audit!$A:$A,My_Audit!K:K,""),
_xlfn.IFS(_xlpm.MyAuditVal&lt;&gt;"",UPPER(_xlpm.MyAuditVal),_xlpm.MacVal&lt;&gt;"",_xlpm.MacVal,_xlpm.CSVVal&lt;&gt;"",_xlpm.CSVVal
)),"")</f>
        <v/>
      </c>
      <c r="M52" s="54" t="str">
        <f>_xlfn.LET(
    _xlpm.CSVVal, _xlfn.XLOOKUP($A52, CSV!$A:$A, CSV!AD:AD, ""),
    _xlpm.MacVal, _xlfn.XLOOKUP($A52, Output_Mac!$A:$A, Output_Mac!S:S, ""),
    _xlpm.MyAuditVal, _xlfn.XLOOKUP($A52, My_Audit!$A:$A, My_Audit!N:N, ""),
    _xlfn.TEXTJOIN(", ", TRUE, _xlpm.MyAuditVal, _xlpm.MacVal, _xlpm.CSVVal)
)</f>
        <v/>
      </c>
      <c r="N52" s="54" t="str" cm="1">
        <f t="array" ref="N52">IFERROR(_xlfn.LET(
_xlpm.CSVVal,_xlfn.XLOOKUP($A52,CSV!$A:$A,CSV!AF:AF,""),
_xlpm.MacVal,_xlfn.XLOOKUP($A52,Output_Mac!$A:$A,Output_Mac!U:U,""),
_xlpm.MyAuditVal,_xlfn.XLOOKUP($A52,My_Audit!$A:$A,My_Audit!O:O,""),
_xlfn.IFS(_xlpm.MyAuditVal&lt;&gt;"",UPPER(_xlpm.MyAuditVal),_xlpm.MacVal&lt;&gt;"",_xlpm.MacVal,_xlpm.CSVVal&lt;&gt;"",_xlpm.CSVVal
)),"")</f>
        <v/>
      </c>
      <c r="O52" s="54"/>
      <c r="P52" s="54"/>
      <c r="Q52" s="54"/>
      <c r="R52" s="54"/>
      <c r="S52" s="54"/>
      <c r="T52" s="54"/>
      <c r="U52" s="39" t="str">
        <f>_xlfn.LET(
    _xlpm.MacVal, _xlfn.XLOOKUP($A52, Output_Mac!$A:$A, Output_Mac!AB:AB, ""),
    _xlpm.MyAuditVal, _xlfn.XLOOKUP($A52, My_Audit!$A:$A, My_Audit!L:L, ""),
    _xlfn.TEXTJOIN(", ", TRUE, _xlpm.MyAuditVal, _xlpm.MacVal)
)</f>
        <v/>
      </c>
    </row>
    <row r="53" spans="1:21">
      <c r="A53" s="54" t="str">
        <f>_xlfn.TEXTJOIN("",TRUE,Input!$B$2,ROW(My_Audit!A52))</f>
        <v>XX52</v>
      </c>
      <c r="B53" s="54" t="str">
        <f>_xlfn.TEXTJOIN("-",TRUE,"ITD",Input!$A$2,A53)</f>
        <v>ITD-SHRXXX-XX52</v>
      </c>
      <c r="C53" s="54" t="str" cm="1">
        <f t="array" ref="C53">IFERROR(_xlfn.LET(
_xlpm.CSVVal,_xlfn.XLOOKUP($A53,CSV!$A:$A,CSV!B:B,""),
_xlpm.MacVal,_xlfn.XLOOKUP($A53,Output_Mac!$A:$A,Output_Mac!B:B,""),
_xlpm.MyAuditVal,_xlfn.XLOOKUP($A53,My_Audit!$A:$A,My_Audit!B:B,""),
_xlfn.IFS(_xlpm.MyAuditVal&lt;&gt;"",UPPER(_xlpm.MyAuditVal),_xlpm.MacVal&lt;&gt;"",_xlpm.MacVal,_xlpm.CSVVal&lt;&gt;"",_xlpm.CSVVal
)),"")</f>
        <v/>
      </c>
      <c r="D53" s="55" t="str">
        <f>_xlfn.XLOOKUP(A53,My_Audit!A:A,My_Audit!D:D,"")&amp;""</f>
        <v/>
      </c>
      <c r="E53" s="55" t="str" cm="1">
        <f t="array" ref="E53">IFERROR(_xlfn.LET(
_xlpm.CSVVal,_xlfn.XLOOKUP($A53,CSV!$A:$A,CSV!D:D,""),
_xlpm.MacVal,_xlfn.XLOOKUP($A53,Output_Mac!$A:$A,Output_Mac!C:C,""),
_xlpm.MyAuditVal,_xlfn.XLOOKUP($A53,My_Audit!$A:$A,My_Audit!D:D,""),
_xlfn.IFS(_xlpm.MyAuditVal&lt;&gt;"",_xlpm.MyAuditVal,_xlpm.MacVal&lt;&gt;"",_xlpm.MacVal,_xlpm.CSVVal&lt;&gt;"",_xlpm.CSVVal
)),"")</f>
        <v/>
      </c>
      <c r="F53" s="54" t="str" cm="1">
        <f t="array" ref="F53">IFERROR(_xlfn.LET(
_xlpm.CSVVal,_xlfn.XLOOKUP($A53,CSV!$A:$A,CSV!E:E,""),
_xlpm.MacVal,_xlfn.XLOOKUP($A53,Output_Mac!$A:$A,Output_Mac!F:F,""),
_xlpm.MyAuditVal,_xlfn.XLOOKUP($A53,My_Audit!$A:$A,My_Audit!E:E,""),
_xlfn.IFS(_xlpm.MyAuditVal&lt;&gt;"",_xlpm.MyAuditVal,_xlpm.MacVal&lt;&gt;"",_xlpm.MacVal,_xlpm.CSVVal&lt;&gt;"",PROPER(_xlpm.CSVVal)
)),"")</f>
        <v/>
      </c>
      <c r="G53" s="54" t="str" cm="1">
        <f t="array" ref="G53">IFERROR(_xlfn.LET(
_xlpm.CSVVal,_xlfn.XLOOKUP($A53,CSV!$A:$A,CSV!F:F,""),
_xlpm.MacVal,_xlfn.XLOOKUP($A53,Output_Mac!$A:$A,Output_Mac!H:H,""),
_xlpm.MyAuditVal,_xlfn.XLOOKUP($A53,My_Audit!$A:$A,My_Audit!F:F,""),
_xlfn.IFS(_xlpm.MyAuditVal&lt;&gt;"",_xlpm.MyAuditVal,_xlpm.MacVal&lt;&gt;"",_xlpm.MacVal,_xlpm.CSVVal&lt;&gt;"",_xlpm.CSVVal
)),"")</f>
        <v/>
      </c>
      <c r="H53" s="54" t="str">
        <f>_xlfn.XLOOKUP(A53,Output_Mac!A:A,Output_Mac!I:I,"")</f>
        <v/>
      </c>
      <c r="I53" s="54" t="str" cm="1">
        <f t="array" ref="I53">IFERROR(_xlfn.LET(
_xlpm.CSVVal,_xlfn.XLOOKUP($A53,CSV!$A:$A,CSV!G:G,""),
_xlpm.MacVal,_xlfn.XLOOKUP($A53,Output_Mac!$A:$A,Output_Mac!J:J,""),
_xlpm.MyAuditVal,_xlfn.XLOOKUP($A53,My_Audit!$A:$A,My_Audit!H:H,""),
_xlfn.IFS(_xlpm.MyAuditVal&lt;&gt;"",UPPER(_xlpm.MyAuditVal),_xlpm.MacVal&lt;&gt;"",_xlpm.MacVal,_xlpm.CSVVal&lt;&gt;"",_xlpm.CSVVal
)),"")</f>
        <v/>
      </c>
      <c r="J53" s="54" t="str" cm="1">
        <f t="array" ref="J53">IFERROR(_xlfn.LET(
_xlpm.CSVVal,_xlfn.XLOOKUP($A53,CSV!$A:$A,CSV!I:I,""),
_xlpm.MacVal,_xlfn.XLOOKUP($A53,Output_Mac!$A:$A,Output_Mac!K:K,""),
_xlpm.MyAuditVal,_xlfn.XLOOKUP($A53,My_Audit!$A:$A,My_Audit!I:I,""),
_xlfn.IFS(_xlpm.MyAuditVal&lt;&gt;"",UPPER(_xlpm.MyAuditVal),_xlpm.MacVal&lt;&gt;"",_xlpm.MacVal,_xlpm.CSVVal&lt;&gt;"",_xlpm.CSVVal
)),"")</f>
        <v/>
      </c>
      <c r="K53" s="54" t="str" cm="1">
        <f t="array" ref="K53">IFERROR(_xlfn.LET(
_xlpm.CSVVal,_xlfn.XLOOKUP($A53,CSV!$A:$A,CSV!M:M,""),
_xlpm.MacVal,_xlfn.XLOOKUP($A53,Output_Mac!$A:$A,Output_Mac!L:L,""),
_xlpm.MyAuditVal,_xlfn.XLOOKUP($A53,My_Audit!$A:$A,My_Audit!J:J,""),
_xlfn.IFS(_xlpm.MyAuditVal&lt;&gt;"",UPPER(_xlpm.MyAuditVal),_xlpm.MacVal&lt;&gt;"",_xlpm.MacVal,_xlpm.CSVVal&lt;&gt;"",_xlpm.CSVVal
)),"")</f>
        <v/>
      </c>
      <c r="L53" s="55" t="str" cm="1">
        <f t="array" ref="L53">IFERROR(_xlfn.LET(
_xlpm.CSVVal,_xlfn.XLOOKUP($A53,CSV!$A:$A,CSV!P:P,""),
_xlpm.MacVal,_xlfn.XLOOKUP($A53,Output_Mac!$A:$A,Output_Mac!M:M,""),
_xlpm.MyAuditVal,_xlfn.XLOOKUP($A53,My_Audit!$A:$A,My_Audit!K:K,""),
_xlfn.IFS(_xlpm.MyAuditVal&lt;&gt;"",UPPER(_xlpm.MyAuditVal),_xlpm.MacVal&lt;&gt;"",_xlpm.MacVal,_xlpm.CSVVal&lt;&gt;"",_xlpm.CSVVal
)),"")</f>
        <v/>
      </c>
      <c r="M53" s="54" t="str">
        <f>_xlfn.LET(
    _xlpm.CSVVal, _xlfn.XLOOKUP($A53, CSV!$A:$A, CSV!AD:AD, ""),
    _xlpm.MacVal, _xlfn.XLOOKUP($A53, Output_Mac!$A:$A, Output_Mac!S:S, ""),
    _xlpm.MyAuditVal, _xlfn.XLOOKUP($A53, My_Audit!$A:$A, My_Audit!N:N, ""),
    _xlfn.TEXTJOIN(", ", TRUE, _xlpm.MyAuditVal, _xlpm.MacVal, _xlpm.CSVVal)
)</f>
        <v/>
      </c>
      <c r="N53" s="54" t="str" cm="1">
        <f t="array" ref="N53">IFERROR(_xlfn.LET(
_xlpm.CSVVal,_xlfn.XLOOKUP($A53,CSV!$A:$A,CSV!AF:AF,""),
_xlpm.MacVal,_xlfn.XLOOKUP($A53,Output_Mac!$A:$A,Output_Mac!U:U,""),
_xlpm.MyAuditVal,_xlfn.XLOOKUP($A53,My_Audit!$A:$A,My_Audit!O:O,""),
_xlfn.IFS(_xlpm.MyAuditVal&lt;&gt;"",UPPER(_xlpm.MyAuditVal),_xlpm.MacVal&lt;&gt;"",_xlpm.MacVal,_xlpm.CSVVal&lt;&gt;"",_xlpm.CSVVal
)),"")</f>
        <v/>
      </c>
      <c r="O53" s="54"/>
      <c r="P53" s="54"/>
      <c r="Q53" s="54"/>
      <c r="R53" s="54"/>
      <c r="S53" s="54"/>
      <c r="T53" s="54"/>
      <c r="U53" s="39" t="str">
        <f>_xlfn.LET(
    _xlpm.MacVal, _xlfn.XLOOKUP($A53, Output_Mac!$A:$A, Output_Mac!AB:AB, ""),
    _xlpm.MyAuditVal, _xlfn.XLOOKUP($A53, My_Audit!$A:$A, My_Audit!L:L, ""),
    _xlfn.TEXTJOIN(", ", TRUE, _xlpm.MyAuditVal, _xlpm.MacVal)
)</f>
        <v/>
      </c>
    </row>
    <row r="54" spans="1:21">
      <c r="A54" s="54" t="str">
        <f>_xlfn.TEXTJOIN("",TRUE,Input!$B$2,ROW(My_Audit!A53))</f>
        <v>XX53</v>
      </c>
      <c r="B54" s="54" t="str">
        <f>_xlfn.TEXTJOIN("-",TRUE,"ITD",Input!$A$2,A54)</f>
        <v>ITD-SHRXXX-XX53</v>
      </c>
      <c r="C54" s="54" t="str" cm="1">
        <f t="array" ref="C54">IFERROR(_xlfn.LET(
_xlpm.CSVVal,_xlfn.XLOOKUP($A54,CSV!$A:$A,CSV!B:B,""),
_xlpm.MacVal,_xlfn.XLOOKUP($A54,Output_Mac!$A:$A,Output_Mac!B:B,""),
_xlpm.MyAuditVal,_xlfn.XLOOKUP($A54,My_Audit!$A:$A,My_Audit!B:B,""),
_xlfn.IFS(_xlpm.MyAuditVal&lt;&gt;"",UPPER(_xlpm.MyAuditVal),_xlpm.MacVal&lt;&gt;"",_xlpm.MacVal,_xlpm.CSVVal&lt;&gt;"",_xlpm.CSVVal
)),"")</f>
        <v/>
      </c>
      <c r="D54" s="55" t="str">
        <f>_xlfn.XLOOKUP(A54,My_Audit!A:A,My_Audit!D:D,"")&amp;""</f>
        <v/>
      </c>
      <c r="E54" s="55" t="str" cm="1">
        <f t="array" ref="E54">IFERROR(_xlfn.LET(
_xlpm.CSVVal,_xlfn.XLOOKUP($A54,CSV!$A:$A,CSV!D:D,""),
_xlpm.MacVal,_xlfn.XLOOKUP($A54,Output_Mac!$A:$A,Output_Mac!C:C,""),
_xlpm.MyAuditVal,_xlfn.XLOOKUP($A54,My_Audit!$A:$A,My_Audit!D:D,""),
_xlfn.IFS(_xlpm.MyAuditVal&lt;&gt;"",_xlpm.MyAuditVal,_xlpm.MacVal&lt;&gt;"",_xlpm.MacVal,_xlpm.CSVVal&lt;&gt;"",_xlpm.CSVVal
)),"")</f>
        <v/>
      </c>
      <c r="F54" s="54" t="str" cm="1">
        <f t="array" ref="F54">IFERROR(_xlfn.LET(
_xlpm.CSVVal,_xlfn.XLOOKUP($A54,CSV!$A:$A,CSV!E:E,""),
_xlpm.MacVal,_xlfn.XLOOKUP($A54,Output_Mac!$A:$A,Output_Mac!F:F,""),
_xlpm.MyAuditVal,_xlfn.XLOOKUP($A54,My_Audit!$A:$A,My_Audit!E:E,""),
_xlfn.IFS(_xlpm.MyAuditVal&lt;&gt;"",_xlpm.MyAuditVal,_xlpm.MacVal&lt;&gt;"",_xlpm.MacVal,_xlpm.CSVVal&lt;&gt;"",PROPER(_xlpm.CSVVal)
)),"")</f>
        <v/>
      </c>
      <c r="G54" s="54" t="str" cm="1">
        <f t="array" ref="G54">IFERROR(_xlfn.LET(
_xlpm.CSVVal,_xlfn.XLOOKUP($A54,CSV!$A:$A,CSV!F:F,""),
_xlpm.MacVal,_xlfn.XLOOKUP($A54,Output_Mac!$A:$A,Output_Mac!H:H,""),
_xlpm.MyAuditVal,_xlfn.XLOOKUP($A54,My_Audit!$A:$A,My_Audit!F:F,""),
_xlfn.IFS(_xlpm.MyAuditVal&lt;&gt;"",_xlpm.MyAuditVal,_xlpm.MacVal&lt;&gt;"",_xlpm.MacVal,_xlpm.CSVVal&lt;&gt;"",_xlpm.CSVVal
)),"")</f>
        <v/>
      </c>
      <c r="H54" s="54" t="str">
        <f>_xlfn.XLOOKUP(A54,Output_Mac!A:A,Output_Mac!I:I,"")</f>
        <v/>
      </c>
      <c r="I54" s="54" t="str" cm="1">
        <f t="array" ref="I54">IFERROR(_xlfn.LET(
_xlpm.CSVVal,_xlfn.XLOOKUP($A54,CSV!$A:$A,CSV!G:G,""),
_xlpm.MacVal,_xlfn.XLOOKUP($A54,Output_Mac!$A:$A,Output_Mac!J:J,""),
_xlpm.MyAuditVal,_xlfn.XLOOKUP($A54,My_Audit!$A:$A,My_Audit!H:H,""),
_xlfn.IFS(_xlpm.MyAuditVal&lt;&gt;"",UPPER(_xlpm.MyAuditVal),_xlpm.MacVal&lt;&gt;"",_xlpm.MacVal,_xlpm.CSVVal&lt;&gt;"",_xlpm.CSVVal
)),"")</f>
        <v/>
      </c>
      <c r="J54" s="54" t="str" cm="1">
        <f t="array" ref="J54">IFERROR(_xlfn.LET(
_xlpm.CSVVal,_xlfn.XLOOKUP($A54,CSV!$A:$A,CSV!I:I,""),
_xlpm.MacVal,_xlfn.XLOOKUP($A54,Output_Mac!$A:$A,Output_Mac!K:K,""),
_xlpm.MyAuditVal,_xlfn.XLOOKUP($A54,My_Audit!$A:$A,My_Audit!I:I,""),
_xlfn.IFS(_xlpm.MyAuditVal&lt;&gt;"",UPPER(_xlpm.MyAuditVal),_xlpm.MacVal&lt;&gt;"",_xlpm.MacVal,_xlpm.CSVVal&lt;&gt;"",_xlpm.CSVVal
)),"")</f>
        <v/>
      </c>
      <c r="K54" s="54" t="str" cm="1">
        <f t="array" ref="K54">IFERROR(_xlfn.LET(
_xlpm.CSVVal,_xlfn.XLOOKUP($A54,CSV!$A:$A,CSV!M:M,""),
_xlpm.MacVal,_xlfn.XLOOKUP($A54,Output_Mac!$A:$A,Output_Mac!L:L,""),
_xlpm.MyAuditVal,_xlfn.XLOOKUP($A54,My_Audit!$A:$A,My_Audit!J:J,""),
_xlfn.IFS(_xlpm.MyAuditVal&lt;&gt;"",UPPER(_xlpm.MyAuditVal),_xlpm.MacVal&lt;&gt;"",_xlpm.MacVal,_xlpm.CSVVal&lt;&gt;"",_xlpm.CSVVal
)),"")</f>
        <v/>
      </c>
      <c r="L54" s="55" t="str" cm="1">
        <f t="array" ref="L54">IFERROR(_xlfn.LET(
_xlpm.CSVVal,_xlfn.XLOOKUP($A54,CSV!$A:$A,CSV!P:P,""),
_xlpm.MacVal,_xlfn.XLOOKUP($A54,Output_Mac!$A:$A,Output_Mac!M:M,""),
_xlpm.MyAuditVal,_xlfn.XLOOKUP($A54,My_Audit!$A:$A,My_Audit!K:K,""),
_xlfn.IFS(_xlpm.MyAuditVal&lt;&gt;"",UPPER(_xlpm.MyAuditVal),_xlpm.MacVal&lt;&gt;"",_xlpm.MacVal,_xlpm.CSVVal&lt;&gt;"",_xlpm.CSVVal
)),"")</f>
        <v/>
      </c>
      <c r="M54" s="54" t="str">
        <f>_xlfn.LET(
    _xlpm.CSVVal, _xlfn.XLOOKUP($A54, CSV!$A:$A, CSV!AD:AD, ""),
    _xlpm.MacVal, _xlfn.XLOOKUP($A54, Output_Mac!$A:$A, Output_Mac!S:S, ""),
    _xlpm.MyAuditVal, _xlfn.XLOOKUP($A54, My_Audit!$A:$A, My_Audit!N:N, ""),
    _xlfn.TEXTJOIN(", ", TRUE, _xlpm.MyAuditVal, _xlpm.MacVal, _xlpm.CSVVal)
)</f>
        <v/>
      </c>
      <c r="N54" s="54" t="str" cm="1">
        <f t="array" ref="N54">IFERROR(_xlfn.LET(
_xlpm.CSVVal,_xlfn.XLOOKUP($A54,CSV!$A:$A,CSV!AF:AF,""),
_xlpm.MacVal,_xlfn.XLOOKUP($A54,Output_Mac!$A:$A,Output_Mac!U:U,""),
_xlpm.MyAuditVal,_xlfn.XLOOKUP($A54,My_Audit!$A:$A,My_Audit!O:O,""),
_xlfn.IFS(_xlpm.MyAuditVal&lt;&gt;"",UPPER(_xlpm.MyAuditVal),_xlpm.MacVal&lt;&gt;"",_xlpm.MacVal,_xlpm.CSVVal&lt;&gt;"",_xlpm.CSVVal
)),"")</f>
        <v/>
      </c>
      <c r="O54" s="54"/>
      <c r="P54" s="54"/>
      <c r="Q54" s="54"/>
      <c r="R54" s="54"/>
      <c r="S54" s="54"/>
      <c r="T54" s="54"/>
      <c r="U54" s="39" t="str">
        <f>_xlfn.LET(
    _xlpm.MacVal, _xlfn.XLOOKUP($A54, Output_Mac!$A:$A, Output_Mac!AB:AB, ""),
    _xlpm.MyAuditVal, _xlfn.XLOOKUP($A54, My_Audit!$A:$A, My_Audit!L:L, ""),
    _xlfn.TEXTJOIN(", ", TRUE, _xlpm.MyAuditVal, _xlpm.MacVal)
)</f>
        <v/>
      </c>
    </row>
    <row r="55" spans="1:21">
      <c r="A55" s="54" t="str">
        <f>_xlfn.TEXTJOIN("",TRUE,Input!$B$2,ROW(My_Audit!A54))</f>
        <v>XX54</v>
      </c>
      <c r="B55" s="54" t="str">
        <f>_xlfn.TEXTJOIN("-",TRUE,"ITD",Input!$A$2,A55)</f>
        <v>ITD-SHRXXX-XX54</v>
      </c>
      <c r="C55" s="54" t="str" cm="1">
        <f t="array" ref="C55">IFERROR(_xlfn.LET(
_xlpm.CSVVal,_xlfn.XLOOKUP($A55,CSV!$A:$A,CSV!B:B,""),
_xlpm.MacVal,_xlfn.XLOOKUP($A55,Output_Mac!$A:$A,Output_Mac!B:B,""),
_xlpm.MyAuditVal,_xlfn.XLOOKUP($A55,My_Audit!$A:$A,My_Audit!B:B,""),
_xlfn.IFS(_xlpm.MyAuditVal&lt;&gt;"",UPPER(_xlpm.MyAuditVal),_xlpm.MacVal&lt;&gt;"",_xlpm.MacVal,_xlpm.CSVVal&lt;&gt;"",_xlpm.CSVVal
)),"")</f>
        <v/>
      </c>
      <c r="D55" s="55" t="str">
        <f>_xlfn.XLOOKUP(A55,My_Audit!A:A,My_Audit!D:D,"")&amp;""</f>
        <v/>
      </c>
      <c r="E55" s="55" t="str" cm="1">
        <f t="array" ref="E55">IFERROR(_xlfn.LET(
_xlpm.CSVVal,_xlfn.XLOOKUP($A55,CSV!$A:$A,CSV!D:D,""),
_xlpm.MacVal,_xlfn.XLOOKUP($A55,Output_Mac!$A:$A,Output_Mac!C:C,""),
_xlpm.MyAuditVal,_xlfn.XLOOKUP($A55,My_Audit!$A:$A,My_Audit!D:D,""),
_xlfn.IFS(_xlpm.MyAuditVal&lt;&gt;"",_xlpm.MyAuditVal,_xlpm.MacVal&lt;&gt;"",_xlpm.MacVal,_xlpm.CSVVal&lt;&gt;"",_xlpm.CSVVal
)),"")</f>
        <v/>
      </c>
      <c r="F55" s="54" t="str" cm="1">
        <f t="array" ref="F55">IFERROR(_xlfn.LET(
_xlpm.CSVVal,_xlfn.XLOOKUP($A55,CSV!$A:$A,CSV!E:E,""),
_xlpm.MacVal,_xlfn.XLOOKUP($A55,Output_Mac!$A:$A,Output_Mac!F:F,""),
_xlpm.MyAuditVal,_xlfn.XLOOKUP($A55,My_Audit!$A:$A,My_Audit!E:E,""),
_xlfn.IFS(_xlpm.MyAuditVal&lt;&gt;"",_xlpm.MyAuditVal,_xlpm.MacVal&lt;&gt;"",_xlpm.MacVal,_xlpm.CSVVal&lt;&gt;"",PROPER(_xlpm.CSVVal)
)),"")</f>
        <v/>
      </c>
      <c r="G55" s="54" t="str" cm="1">
        <f t="array" ref="G55">IFERROR(_xlfn.LET(
_xlpm.CSVVal,_xlfn.XLOOKUP($A55,CSV!$A:$A,CSV!F:F,""),
_xlpm.MacVal,_xlfn.XLOOKUP($A55,Output_Mac!$A:$A,Output_Mac!H:H,""),
_xlpm.MyAuditVal,_xlfn.XLOOKUP($A55,My_Audit!$A:$A,My_Audit!F:F,""),
_xlfn.IFS(_xlpm.MyAuditVal&lt;&gt;"",_xlpm.MyAuditVal,_xlpm.MacVal&lt;&gt;"",_xlpm.MacVal,_xlpm.CSVVal&lt;&gt;"",_xlpm.CSVVal
)),"")</f>
        <v/>
      </c>
      <c r="H55" s="54" t="str">
        <f>_xlfn.XLOOKUP(A55,Output_Mac!A:A,Output_Mac!I:I,"")</f>
        <v/>
      </c>
      <c r="I55" s="54" t="str" cm="1">
        <f t="array" ref="I55">IFERROR(_xlfn.LET(
_xlpm.CSVVal,_xlfn.XLOOKUP($A55,CSV!$A:$A,CSV!G:G,""),
_xlpm.MacVal,_xlfn.XLOOKUP($A55,Output_Mac!$A:$A,Output_Mac!J:J,""),
_xlpm.MyAuditVal,_xlfn.XLOOKUP($A55,My_Audit!$A:$A,My_Audit!H:H,""),
_xlfn.IFS(_xlpm.MyAuditVal&lt;&gt;"",UPPER(_xlpm.MyAuditVal),_xlpm.MacVal&lt;&gt;"",_xlpm.MacVal,_xlpm.CSVVal&lt;&gt;"",_xlpm.CSVVal
)),"")</f>
        <v/>
      </c>
      <c r="J55" s="54" t="str" cm="1">
        <f t="array" ref="J55">IFERROR(_xlfn.LET(
_xlpm.CSVVal,_xlfn.XLOOKUP($A55,CSV!$A:$A,CSV!I:I,""),
_xlpm.MacVal,_xlfn.XLOOKUP($A55,Output_Mac!$A:$A,Output_Mac!K:K,""),
_xlpm.MyAuditVal,_xlfn.XLOOKUP($A55,My_Audit!$A:$A,My_Audit!I:I,""),
_xlfn.IFS(_xlpm.MyAuditVal&lt;&gt;"",UPPER(_xlpm.MyAuditVal),_xlpm.MacVal&lt;&gt;"",_xlpm.MacVal,_xlpm.CSVVal&lt;&gt;"",_xlpm.CSVVal
)),"")</f>
        <v/>
      </c>
      <c r="K55" s="54" t="str" cm="1">
        <f t="array" ref="K55">IFERROR(_xlfn.LET(
_xlpm.CSVVal,_xlfn.XLOOKUP($A55,CSV!$A:$A,CSV!M:M,""),
_xlpm.MacVal,_xlfn.XLOOKUP($A55,Output_Mac!$A:$A,Output_Mac!L:L,""),
_xlpm.MyAuditVal,_xlfn.XLOOKUP($A55,My_Audit!$A:$A,My_Audit!J:J,""),
_xlfn.IFS(_xlpm.MyAuditVal&lt;&gt;"",UPPER(_xlpm.MyAuditVal),_xlpm.MacVal&lt;&gt;"",_xlpm.MacVal,_xlpm.CSVVal&lt;&gt;"",_xlpm.CSVVal
)),"")</f>
        <v/>
      </c>
      <c r="L55" s="55" t="str" cm="1">
        <f t="array" ref="L55">IFERROR(_xlfn.LET(
_xlpm.CSVVal,_xlfn.XLOOKUP($A55,CSV!$A:$A,CSV!P:P,""),
_xlpm.MacVal,_xlfn.XLOOKUP($A55,Output_Mac!$A:$A,Output_Mac!M:M,""),
_xlpm.MyAuditVal,_xlfn.XLOOKUP($A55,My_Audit!$A:$A,My_Audit!K:K,""),
_xlfn.IFS(_xlpm.MyAuditVal&lt;&gt;"",UPPER(_xlpm.MyAuditVal),_xlpm.MacVal&lt;&gt;"",_xlpm.MacVal,_xlpm.CSVVal&lt;&gt;"",_xlpm.CSVVal
)),"")</f>
        <v/>
      </c>
      <c r="M55" s="54" t="str">
        <f>_xlfn.LET(
    _xlpm.CSVVal, _xlfn.XLOOKUP($A55, CSV!$A:$A, CSV!AD:AD, ""),
    _xlpm.MacVal, _xlfn.XLOOKUP($A55, Output_Mac!$A:$A, Output_Mac!S:S, ""),
    _xlpm.MyAuditVal, _xlfn.XLOOKUP($A55, My_Audit!$A:$A, My_Audit!N:N, ""),
    _xlfn.TEXTJOIN(", ", TRUE, _xlpm.MyAuditVal, _xlpm.MacVal, _xlpm.CSVVal)
)</f>
        <v/>
      </c>
      <c r="N55" s="54" t="str" cm="1">
        <f t="array" ref="N55">IFERROR(_xlfn.LET(
_xlpm.CSVVal,_xlfn.XLOOKUP($A55,CSV!$A:$A,CSV!AF:AF,""),
_xlpm.MacVal,_xlfn.XLOOKUP($A55,Output_Mac!$A:$A,Output_Mac!U:U,""),
_xlpm.MyAuditVal,_xlfn.XLOOKUP($A55,My_Audit!$A:$A,My_Audit!O:O,""),
_xlfn.IFS(_xlpm.MyAuditVal&lt;&gt;"",UPPER(_xlpm.MyAuditVal),_xlpm.MacVal&lt;&gt;"",_xlpm.MacVal,_xlpm.CSVVal&lt;&gt;"",_xlpm.CSVVal
)),"")</f>
        <v/>
      </c>
      <c r="O55" s="54"/>
      <c r="P55" s="54"/>
      <c r="Q55" s="54"/>
      <c r="R55" s="54"/>
      <c r="S55" s="54"/>
      <c r="T55" s="54"/>
      <c r="U55" s="39" t="str">
        <f>_xlfn.LET(
    _xlpm.MacVal, _xlfn.XLOOKUP($A55, Output_Mac!$A:$A, Output_Mac!AB:AB, ""),
    _xlpm.MyAuditVal, _xlfn.XLOOKUP($A55, My_Audit!$A:$A, My_Audit!L:L, ""),
    _xlfn.TEXTJOIN(", ", TRUE, _xlpm.MyAuditVal, _xlpm.MacVal)
)</f>
        <v/>
      </c>
    </row>
    <row r="56" spans="1:21">
      <c r="A56" s="54" t="str">
        <f>_xlfn.TEXTJOIN("",TRUE,Input!$B$2,ROW(My_Audit!A55))</f>
        <v>XX55</v>
      </c>
      <c r="B56" s="54" t="str">
        <f>_xlfn.TEXTJOIN("-",TRUE,"ITD",Input!$A$2,A56)</f>
        <v>ITD-SHRXXX-XX55</v>
      </c>
      <c r="C56" s="54" t="str" cm="1">
        <f t="array" ref="C56">IFERROR(_xlfn.LET(
_xlpm.CSVVal,_xlfn.XLOOKUP($A56,CSV!$A:$A,CSV!B:B,""),
_xlpm.MacVal,_xlfn.XLOOKUP($A56,Output_Mac!$A:$A,Output_Mac!B:B,""),
_xlpm.MyAuditVal,_xlfn.XLOOKUP($A56,My_Audit!$A:$A,My_Audit!B:B,""),
_xlfn.IFS(_xlpm.MyAuditVal&lt;&gt;"",UPPER(_xlpm.MyAuditVal),_xlpm.MacVal&lt;&gt;"",_xlpm.MacVal,_xlpm.CSVVal&lt;&gt;"",_xlpm.CSVVal
)),"")</f>
        <v/>
      </c>
      <c r="D56" s="55" t="str">
        <f>_xlfn.XLOOKUP(A56,My_Audit!A:A,My_Audit!D:D,"")&amp;""</f>
        <v/>
      </c>
      <c r="E56" s="55" t="str" cm="1">
        <f t="array" ref="E56">IFERROR(_xlfn.LET(
_xlpm.CSVVal,_xlfn.XLOOKUP($A56,CSV!$A:$A,CSV!D:D,""),
_xlpm.MacVal,_xlfn.XLOOKUP($A56,Output_Mac!$A:$A,Output_Mac!C:C,""),
_xlpm.MyAuditVal,_xlfn.XLOOKUP($A56,My_Audit!$A:$A,My_Audit!D:D,""),
_xlfn.IFS(_xlpm.MyAuditVal&lt;&gt;"",_xlpm.MyAuditVal,_xlpm.MacVal&lt;&gt;"",_xlpm.MacVal,_xlpm.CSVVal&lt;&gt;"",_xlpm.CSVVal
)),"")</f>
        <v/>
      </c>
      <c r="F56" s="54" t="str" cm="1">
        <f t="array" ref="F56">IFERROR(_xlfn.LET(
_xlpm.CSVVal,_xlfn.XLOOKUP($A56,CSV!$A:$A,CSV!E:E,""),
_xlpm.MacVal,_xlfn.XLOOKUP($A56,Output_Mac!$A:$A,Output_Mac!F:F,""),
_xlpm.MyAuditVal,_xlfn.XLOOKUP($A56,My_Audit!$A:$A,My_Audit!E:E,""),
_xlfn.IFS(_xlpm.MyAuditVal&lt;&gt;"",_xlpm.MyAuditVal,_xlpm.MacVal&lt;&gt;"",_xlpm.MacVal,_xlpm.CSVVal&lt;&gt;"",PROPER(_xlpm.CSVVal)
)),"")</f>
        <v/>
      </c>
      <c r="G56" s="54" t="str" cm="1">
        <f t="array" ref="G56">IFERROR(_xlfn.LET(
_xlpm.CSVVal,_xlfn.XLOOKUP($A56,CSV!$A:$A,CSV!F:F,""),
_xlpm.MacVal,_xlfn.XLOOKUP($A56,Output_Mac!$A:$A,Output_Mac!H:H,""),
_xlpm.MyAuditVal,_xlfn.XLOOKUP($A56,My_Audit!$A:$A,My_Audit!F:F,""),
_xlfn.IFS(_xlpm.MyAuditVal&lt;&gt;"",_xlpm.MyAuditVal,_xlpm.MacVal&lt;&gt;"",_xlpm.MacVal,_xlpm.CSVVal&lt;&gt;"",_xlpm.CSVVal
)),"")</f>
        <v/>
      </c>
      <c r="H56" s="54" t="str">
        <f>_xlfn.XLOOKUP(A56,Output_Mac!A:A,Output_Mac!I:I,"")</f>
        <v/>
      </c>
      <c r="I56" s="54" t="str" cm="1">
        <f t="array" ref="I56">IFERROR(_xlfn.LET(
_xlpm.CSVVal,_xlfn.XLOOKUP($A56,CSV!$A:$A,CSV!G:G,""),
_xlpm.MacVal,_xlfn.XLOOKUP($A56,Output_Mac!$A:$A,Output_Mac!J:J,""),
_xlpm.MyAuditVal,_xlfn.XLOOKUP($A56,My_Audit!$A:$A,My_Audit!H:H,""),
_xlfn.IFS(_xlpm.MyAuditVal&lt;&gt;"",UPPER(_xlpm.MyAuditVal),_xlpm.MacVal&lt;&gt;"",_xlpm.MacVal,_xlpm.CSVVal&lt;&gt;"",_xlpm.CSVVal
)),"")</f>
        <v/>
      </c>
      <c r="J56" s="54" t="str" cm="1">
        <f t="array" ref="J56">IFERROR(_xlfn.LET(
_xlpm.CSVVal,_xlfn.XLOOKUP($A56,CSV!$A:$A,CSV!I:I,""),
_xlpm.MacVal,_xlfn.XLOOKUP($A56,Output_Mac!$A:$A,Output_Mac!K:K,""),
_xlpm.MyAuditVal,_xlfn.XLOOKUP($A56,My_Audit!$A:$A,My_Audit!I:I,""),
_xlfn.IFS(_xlpm.MyAuditVal&lt;&gt;"",UPPER(_xlpm.MyAuditVal),_xlpm.MacVal&lt;&gt;"",_xlpm.MacVal,_xlpm.CSVVal&lt;&gt;"",_xlpm.CSVVal
)),"")</f>
        <v/>
      </c>
      <c r="K56" s="54" t="str" cm="1">
        <f t="array" ref="K56">IFERROR(_xlfn.LET(
_xlpm.CSVVal,_xlfn.XLOOKUP($A56,CSV!$A:$A,CSV!M:M,""),
_xlpm.MacVal,_xlfn.XLOOKUP($A56,Output_Mac!$A:$A,Output_Mac!L:L,""),
_xlpm.MyAuditVal,_xlfn.XLOOKUP($A56,My_Audit!$A:$A,My_Audit!J:J,""),
_xlfn.IFS(_xlpm.MyAuditVal&lt;&gt;"",UPPER(_xlpm.MyAuditVal),_xlpm.MacVal&lt;&gt;"",_xlpm.MacVal,_xlpm.CSVVal&lt;&gt;"",_xlpm.CSVVal
)),"")</f>
        <v/>
      </c>
      <c r="L56" s="55" t="str" cm="1">
        <f t="array" ref="L56">IFERROR(_xlfn.LET(
_xlpm.CSVVal,_xlfn.XLOOKUP($A56,CSV!$A:$A,CSV!P:P,""),
_xlpm.MacVal,_xlfn.XLOOKUP($A56,Output_Mac!$A:$A,Output_Mac!M:M,""),
_xlpm.MyAuditVal,_xlfn.XLOOKUP($A56,My_Audit!$A:$A,My_Audit!K:K,""),
_xlfn.IFS(_xlpm.MyAuditVal&lt;&gt;"",UPPER(_xlpm.MyAuditVal),_xlpm.MacVal&lt;&gt;"",_xlpm.MacVal,_xlpm.CSVVal&lt;&gt;"",_xlpm.CSVVal
)),"")</f>
        <v/>
      </c>
      <c r="M56" s="54" t="str">
        <f>_xlfn.LET(
    _xlpm.CSVVal, _xlfn.XLOOKUP($A56, CSV!$A:$A, CSV!AD:AD, ""),
    _xlpm.MacVal, _xlfn.XLOOKUP($A56, Output_Mac!$A:$A, Output_Mac!S:S, ""),
    _xlpm.MyAuditVal, _xlfn.XLOOKUP($A56, My_Audit!$A:$A, My_Audit!N:N, ""),
    _xlfn.TEXTJOIN(", ", TRUE, _xlpm.MyAuditVal, _xlpm.MacVal, _xlpm.CSVVal)
)</f>
        <v/>
      </c>
      <c r="N56" s="54" t="str" cm="1">
        <f t="array" ref="N56">IFERROR(_xlfn.LET(
_xlpm.CSVVal,_xlfn.XLOOKUP($A56,CSV!$A:$A,CSV!AF:AF,""),
_xlpm.MacVal,_xlfn.XLOOKUP($A56,Output_Mac!$A:$A,Output_Mac!U:U,""),
_xlpm.MyAuditVal,_xlfn.XLOOKUP($A56,My_Audit!$A:$A,My_Audit!O:O,""),
_xlfn.IFS(_xlpm.MyAuditVal&lt;&gt;"",UPPER(_xlpm.MyAuditVal),_xlpm.MacVal&lt;&gt;"",_xlpm.MacVal,_xlpm.CSVVal&lt;&gt;"",_xlpm.CSVVal
)),"")</f>
        <v/>
      </c>
      <c r="O56" s="54"/>
      <c r="P56" s="54"/>
      <c r="Q56" s="54"/>
      <c r="R56" s="54"/>
      <c r="S56" s="54"/>
      <c r="T56" s="54"/>
      <c r="U56" s="39" t="str">
        <f>_xlfn.LET(
    _xlpm.MacVal, _xlfn.XLOOKUP($A56, Output_Mac!$A:$A, Output_Mac!AB:AB, ""),
    _xlpm.MyAuditVal, _xlfn.XLOOKUP($A56, My_Audit!$A:$A, My_Audit!L:L, ""),
    _xlfn.TEXTJOIN(", ", TRUE, _xlpm.MyAuditVal, _xlpm.MacVal)
)</f>
        <v/>
      </c>
    </row>
    <row r="57" spans="1:21">
      <c r="A57" s="54" t="str">
        <f>_xlfn.TEXTJOIN("",TRUE,Input!$B$2,ROW(My_Audit!A56))</f>
        <v>XX56</v>
      </c>
      <c r="B57" s="54" t="str">
        <f>_xlfn.TEXTJOIN("-",TRUE,"ITD",Input!$A$2,A57)</f>
        <v>ITD-SHRXXX-XX56</v>
      </c>
      <c r="C57" s="54" t="str" cm="1">
        <f t="array" ref="C57">IFERROR(_xlfn.LET(
_xlpm.CSVVal,_xlfn.XLOOKUP($A57,CSV!$A:$A,CSV!B:B,""),
_xlpm.MacVal,_xlfn.XLOOKUP($A57,Output_Mac!$A:$A,Output_Mac!B:B,""),
_xlpm.MyAuditVal,_xlfn.XLOOKUP($A57,My_Audit!$A:$A,My_Audit!B:B,""),
_xlfn.IFS(_xlpm.MyAuditVal&lt;&gt;"",UPPER(_xlpm.MyAuditVal),_xlpm.MacVal&lt;&gt;"",_xlpm.MacVal,_xlpm.CSVVal&lt;&gt;"",_xlpm.CSVVal
)),"")</f>
        <v/>
      </c>
      <c r="D57" s="55" t="str">
        <f>_xlfn.XLOOKUP(A57,My_Audit!A:A,My_Audit!D:D,"")&amp;""</f>
        <v/>
      </c>
      <c r="E57" s="55" t="str" cm="1">
        <f t="array" ref="E57">IFERROR(_xlfn.LET(
_xlpm.CSVVal,_xlfn.XLOOKUP($A57,CSV!$A:$A,CSV!D:D,""),
_xlpm.MacVal,_xlfn.XLOOKUP($A57,Output_Mac!$A:$A,Output_Mac!C:C,""),
_xlpm.MyAuditVal,_xlfn.XLOOKUP($A57,My_Audit!$A:$A,My_Audit!D:D,""),
_xlfn.IFS(_xlpm.MyAuditVal&lt;&gt;"",_xlpm.MyAuditVal,_xlpm.MacVal&lt;&gt;"",_xlpm.MacVal,_xlpm.CSVVal&lt;&gt;"",_xlpm.CSVVal
)),"")</f>
        <v/>
      </c>
      <c r="F57" s="54" t="str" cm="1">
        <f t="array" ref="F57">IFERROR(_xlfn.LET(
_xlpm.CSVVal,_xlfn.XLOOKUP($A57,CSV!$A:$A,CSV!E:E,""),
_xlpm.MacVal,_xlfn.XLOOKUP($A57,Output_Mac!$A:$A,Output_Mac!F:F,""),
_xlpm.MyAuditVal,_xlfn.XLOOKUP($A57,My_Audit!$A:$A,My_Audit!E:E,""),
_xlfn.IFS(_xlpm.MyAuditVal&lt;&gt;"",_xlpm.MyAuditVal,_xlpm.MacVal&lt;&gt;"",_xlpm.MacVal,_xlpm.CSVVal&lt;&gt;"",PROPER(_xlpm.CSVVal)
)),"")</f>
        <v/>
      </c>
      <c r="G57" s="54" t="str" cm="1">
        <f t="array" ref="G57">IFERROR(_xlfn.LET(
_xlpm.CSVVal,_xlfn.XLOOKUP($A57,CSV!$A:$A,CSV!F:F,""),
_xlpm.MacVal,_xlfn.XLOOKUP($A57,Output_Mac!$A:$A,Output_Mac!H:H,""),
_xlpm.MyAuditVal,_xlfn.XLOOKUP($A57,My_Audit!$A:$A,My_Audit!F:F,""),
_xlfn.IFS(_xlpm.MyAuditVal&lt;&gt;"",_xlpm.MyAuditVal,_xlpm.MacVal&lt;&gt;"",_xlpm.MacVal,_xlpm.CSVVal&lt;&gt;"",_xlpm.CSVVal
)),"")</f>
        <v/>
      </c>
      <c r="H57" s="54" t="str">
        <f>_xlfn.XLOOKUP(A57,Output_Mac!A:A,Output_Mac!I:I,"")</f>
        <v/>
      </c>
      <c r="I57" s="54" t="str" cm="1">
        <f t="array" ref="I57">IFERROR(_xlfn.LET(
_xlpm.CSVVal,_xlfn.XLOOKUP($A57,CSV!$A:$A,CSV!G:G,""),
_xlpm.MacVal,_xlfn.XLOOKUP($A57,Output_Mac!$A:$A,Output_Mac!J:J,""),
_xlpm.MyAuditVal,_xlfn.XLOOKUP($A57,My_Audit!$A:$A,My_Audit!H:H,""),
_xlfn.IFS(_xlpm.MyAuditVal&lt;&gt;"",UPPER(_xlpm.MyAuditVal),_xlpm.MacVal&lt;&gt;"",_xlpm.MacVal,_xlpm.CSVVal&lt;&gt;"",_xlpm.CSVVal
)),"")</f>
        <v/>
      </c>
      <c r="J57" s="54" t="str" cm="1">
        <f t="array" ref="J57">IFERROR(_xlfn.LET(
_xlpm.CSVVal,_xlfn.XLOOKUP($A57,CSV!$A:$A,CSV!I:I,""),
_xlpm.MacVal,_xlfn.XLOOKUP($A57,Output_Mac!$A:$A,Output_Mac!K:K,""),
_xlpm.MyAuditVal,_xlfn.XLOOKUP($A57,My_Audit!$A:$A,My_Audit!I:I,""),
_xlfn.IFS(_xlpm.MyAuditVal&lt;&gt;"",UPPER(_xlpm.MyAuditVal),_xlpm.MacVal&lt;&gt;"",_xlpm.MacVal,_xlpm.CSVVal&lt;&gt;"",_xlpm.CSVVal
)),"")</f>
        <v/>
      </c>
      <c r="K57" s="54" t="str" cm="1">
        <f t="array" ref="K57">IFERROR(_xlfn.LET(
_xlpm.CSVVal,_xlfn.XLOOKUP($A57,CSV!$A:$A,CSV!M:M,""),
_xlpm.MacVal,_xlfn.XLOOKUP($A57,Output_Mac!$A:$A,Output_Mac!L:L,""),
_xlpm.MyAuditVal,_xlfn.XLOOKUP($A57,My_Audit!$A:$A,My_Audit!J:J,""),
_xlfn.IFS(_xlpm.MyAuditVal&lt;&gt;"",UPPER(_xlpm.MyAuditVal),_xlpm.MacVal&lt;&gt;"",_xlpm.MacVal,_xlpm.CSVVal&lt;&gt;"",_xlpm.CSVVal
)),"")</f>
        <v/>
      </c>
      <c r="L57" s="55" t="str" cm="1">
        <f t="array" ref="L57">IFERROR(_xlfn.LET(
_xlpm.CSVVal,_xlfn.XLOOKUP($A57,CSV!$A:$A,CSV!P:P,""),
_xlpm.MacVal,_xlfn.XLOOKUP($A57,Output_Mac!$A:$A,Output_Mac!M:M,""),
_xlpm.MyAuditVal,_xlfn.XLOOKUP($A57,My_Audit!$A:$A,My_Audit!K:K,""),
_xlfn.IFS(_xlpm.MyAuditVal&lt;&gt;"",UPPER(_xlpm.MyAuditVal),_xlpm.MacVal&lt;&gt;"",_xlpm.MacVal,_xlpm.CSVVal&lt;&gt;"",_xlpm.CSVVal
)),"")</f>
        <v/>
      </c>
      <c r="M57" s="54" t="str">
        <f>_xlfn.LET(
    _xlpm.CSVVal, _xlfn.XLOOKUP($A57, CSV!$A:$A, CSV!AD:AD, ""),
    _xlpm.MacVal, _xlfn.XLOOKUP($A57, Output_Mac!$A:$A, Output_Mac!S:S, ""),
    _xlpm.MyAuditVal, _xlfn.XLOOKUP($A57, My_Audit!$A:$A, My_Audit!N:N, ""),
    _xlfn.TEXTJOIN(", ", TRUE, _xlpm.MyAuditVal, _xlpm.MacVal, _xlpm.CSVVal)
)</f>
        <v/>
      </c>
      <c r="N57" s="54" t="str" cm="1">
        <f t="array" ref="N57">IFERROR(_xlfn.LET(
_xlpm.CSVVal,_xlfn.XLOOKUP($A57,CSV!$A:$A,CSV!AF:AF,""),
_xlpm.MacVal,_xlfn.XLOOKUP($A57,Output_Mac!$A:$A,Output_Mac!U:U,""),
_xlpm.MyAuditVal,_xlfn.XLOOKUP($A57,My_Audit!$A:$A,My_Audit!O:O,""),
_xlfn.IFS(_xlpm.MyAuditVal&lt;&gt;"",UPPER(_xlpm.MyAuditVal),_xlpm.MacVal&lt;&gt;"",_xlpm.MacVal,_xlpm.CSVVal&lt;&gt;"",_xlpm.CSVVal
)),"")</f>
        <v/>
      </c>
      <c r="O57" s="54"/>
      <c r="P57" s="54"/>
      <c r="Q57" s="54"/>
      <c r="R57" s="54"/>
      <c r="S57" s="54"/>
      <c r="T57" s="54"/>
      <c r="U57" s="39" t="str">
        <f>_xlfn.LET(
    _xlpm.MacVal, _xlfn.XLOOKUP($A57, Output_Mac!$A:$A, Output_Mac!AB:AB, ""),
    _xlpm.MyAuditVal, _xlfn.XLOOKUP($A57, My_Audit!$A:$A, My_Audit!L:L, ""),
    _xlfn.TEXTJOIN(", ", TRUE, _xlpm.MyAuditVal, _xlpm.MacVal)
)</f>
        <v/>
      </c>
    </row>
    <row r="58" spans="1:21">
      <c r="A58" s="54" t="str">
        <f>_xlfn.TEXTJOIN("",TRUE,Input!$B$2,ROW(My_Audit!A57))</f>
        <v>XX57</v>
      </c>
      <c r="B58" s="54" t="str">
        <f>_xlfn.TEXTJOIN("-",TRUE,"ITD",Input!$A$2,A58)</f>
        <v>ITD-SHRXXX-XX57</v>
      </c>
      <c r="C58" s="54" t="str" cm="1">
        <f t="array" ref="C58">IFERROR(_xlfn.LET(
_xlpm.CSVVal,_xlfn.XLOOKUP($A58,CSV!$A:$A,CSV!B:B,""),
_xlpm.MacVal,_xlfn.XLOOKUP($A58,Output_Mac!$A:$A,Output_Mac!B:B,""),
_xlpm.MyAuditVal,_xlfn.XLOOKUP($A58,My_Audit!$A:$A,My_Audit!B:B,""),
_xlfn.IFS(_xlpm.MyAuditVal&lt;&gt;"",UPPER(_xlpm.MyAuditVal),_xlpm.MacVal&lt;&gt;"",_xlpm.MacVal,_xlpm.CSVVal&lt;&gt;"",_xlpm.CSVVal
)),"")</f>
        <v/>
      </c>
      <c r="D58" s="55" t="str">
        <f>_xlfn.XLOOKUP(A58,My_Audit!A:A,My_Audit!D:D,"")&amp;""</f>
        <v/>
      </c>
      <c r="E58" s="55" t="str" cm="1">
        <f t="array" ref="E58">IFERROR(_xlfn.LET(
_xlpm.CSVVal,_xlfn.XLOOKUP($A58,CSV!$A:$A,CSV!D:D,""),
_xlpm.MacVal,_xlfn.XLOOKUP($A58,Output_Mac!$A:$A,Output_Mac!C:C,""),
_xlpm.MyAuditVal,_xlfn.XLOOKUP($A58,My_Audit!$A:$A,My_Audit!D:D,""),
_xlfn.IFS(_xlpm.MyAuditVal&lt;&gt;"",_xlpm.MyAuditVal,_xlpm.MacVal&lt;&gt;"",_xlpm.MacVal,_xlpm.CSVVal&lt;&gt;"",_xlpm.CSVVal
)),"")</f>
        <v/>
      </c>
      <c r="F58" s="54" t="str" cm="1">
        <f t="array" ref="F58">IFERROR(_xlfn.LET(
_xlpm.CSVVal,_xlfn.XLOOKUP($A58,CSV!$A:$A,CSV!E:E,""),
_xlpm.MacVal,_xlfn.XLOOKUP($A58,Output_Mac!$A:$A,Output_Mac!F:F,""),
_xlpm.MyAuditVal,_xlfn.XLOOKUP($A58,My_Audit!$A:$A,My_Audit!E:E,""),
_xlfn.IFS(_xlpm.MyAuditVal&lt;&gt;"",_xlpm.MyAuditVal,_xlpm.MacVal&lt;&gt;"",_xlpm.MacVal,_xlpm.CSVVal&lt;&gt;"",PROPER(_xlpm.CSVVal)
)),"")</f>
        <v/>
      </c>
      <c r="G58" s="54" t="str" cm="1">
        <f t="array" ref="G58">IFERROR(_xlfn.LET(
_xlpm.CSVVal,_xlfn.XLOOKUP($A58,CSV!$A:$A,CSV!F:F,""),
_xlpm.MacVal,_xlfn.XLOOKUP($A58,Output_Mac!$A:$A,Output_Mac!H:H,""),
_xlpm.MyAuditVal,_xlfn.XLOOKUP($A58,My_Audit!$A:$A,My_Audit!F:F,""),
_xlfn.IFS(_xlpm.MyAuditVal&lt;&gt;"",_xlpm.MyAuditVal,_xlpm.MacVal&lt;&gt;"",_xlpm.MacVal,_xlpm.CSVVal&lt;&gt;"",_xlpm.CSVVal
)),"")</f>
        <v/>
      </c>
      <c r="H58" s="54" t="str">
        <f>_xlfn.XLOOKUP(A58,Output_Mac!A:A,Output_Mac!I:I,"")</f>
        <v/>
      </c>
      <c r="I58" s="54" t="str" cm="1">
        <f t="array" ref="I58">IFERROR(_xlfn.LET(
_xlpm.CSVVal,_xlfn.XLOOKUP($A58,CSV!$A:$A,CSV!G:G,""),
_xlpm.MacVal,_xlfn.XLOOKUP($A58,Output_Mac!$A:$A,Output_Mac!J:J,""),
_xlpm.MyAuditVal,_xlfn.XLOOKUP($A58,My_Audit!$A:$A,My_Audit!H:H,""),
_xlfn.IFS(_xlpm.MyAuditVal&lt;&gt;"",UPPER(_xlpm.MyAuditVal),_xlpm.MacVal&lt;&gt;"",_xlpm.MacVal,_xlpm.CSVVal&lt;&gt;"",_xlpm.CSVVal
)),"")</f>
        <v/>
      </c>
      <c r="J58" s="54" t="str" cm="1">
        <f t="array" ref="J58">IFERROR(_xlfn.LET(
_xlpm.CSVVal,_xlfn.XLOOKUP($A58,CSV!$A:$A,CSV!I:I,""),
_xlpm.MacVal,_xlfn.XLOOKUP($A58,Output_Mac!$A:$A,Output_Mac!K:K,""),
_xlpm.MyAuditVal,_xlfn.XLOOKUP($A58,My_Audit!$A:$A,My_Audit!I:I,""),
_xlfn.IFS(_xlpm.MyAuditVal&lt;&gt;"",UPPER(_xlpm.MyAuditVal),_xlpm.MacVal&lt;&gt;"",_xlpm.MacVal,_xlpm.CSVVal&lt;&gt;"",_xlpm.CSVVal
)),"")</f>
        <v/>
      </c>
      <c r="K58" s="54" t="str" cm="1">
        <f t="array" ref="K58">IFERROR(_xlfn.LET(
_xlpm.CSVVal,_xlfn.XLOOKUP($A58,CSV!$A:$A,CSV!M:M,""),
_xlpm.MacVal,_xlfn.XLOOKUP($A58,Output_Mac!$A:$A,Output_Mac!L:L,""),
_xlpm.MyAuditVal,_xlfn.XLOOKUP($A58,My_Audit!$A:$A,My_Audit!J:J,""),
_xlfn.IFS(_xlpm.MyAuditVal&lt;&gt;"",UPPER(_xlpm.MyAuditVal),_xlpm.MacVal&lt;&gt;"",_xlpm.MacVal,_xlpm.CSVVal&lt;&gt;"",_xlpm.CSVVal
)),"")</f>
        <v/>
      </c>
      <c r="L58" s="55" t="str" cm="1">
        <f t="array" ref="L58">IFERROR(_xlfn.LET(
_xlpm.CSVVal,_xlfn.XLOOKUP($A58,CSV!$A:$A,CSV!P:P,""),
_xlpm.MacVal,_xlfn.XLOOKUP($A58,Output_Mac!$A:$A,Output_Mac!M:M,""),
_xlpm.MyAuditVal,_xlfn.XLOOKUP($A58,My_Audit!$A:$A,My_Audit!K:K,""),
_xlfn.IFS(_xlpm.MyAuditVal&lt;&gt;"",UPPER(_xlpm.MyAuditVal),_xlpm.MacVal&lt;&gt;"",_xlpm.MacVal,_xlpm.CSVVal&lt;&gt;"",_xlpm.CSVVal
)),"")</f>
        <v/>
      </c>
      <c r="M58" s="54" t="str">
        <f>_xlfn.LET(
    _xlpm.CSVVal, _xlfn.XLOOKUP($A58, CSV!$A:$A, CSV!AD:AD, ""),
    _xlpm.MacVal, _xlfn.XLOOKUP($A58, Output_Mac!$A:$A, Output_Mac!S:S, ""),
    _xlpm.MyAuditVal, _xlfn.XLOOKUP($A58, My_Audit!$A:$A, My_Audit!N:N, ""),
    _xlfn.TEXTJOIN(", ", TRUE, _xlpm.MyAuditVal, _xlpm.MacVal, _xlpm.CSVVal)
)</f>
        <v/>
      </c>
      <c r="N58" s="54" t="str" cm="1">
        <f t="array" ref="N58">IFERROR(_xlfn.LET(
_xlpm.CSVVal,_xlfn.XLOOKUP($A58,CSV!$A:$A,CSV!AF:AF,""),
_xlpm.MacVal,_xlfn.XLOOKUP($A58,Output_Mac!$A:$A,Output_Mac!U:U,""),
_xlpm.MyAuditVal,_xlfn.XLOOKUP($A58,My_Audit!$A:$A,My_Audit!O:O,""),
_xlfn.IFS(_xlpm.MyAuditVal&lt;&gt;"",UPPER(_xlpm.MyAuditVal),_xlpm.MacVal&lt;&gt;"",_xlpm.MacVal,_xlpm.CSVVal&lt;&gt;"",_xlpm.CSVVal
)),"")</f>
        <v/>
      </c>
      <c r="O58" s="54"/>
      <c r="P58" s="54"/>
      <c r="Q58" s="54"/>
      <c r="R58" s="54"/>
      <c r="S58" s="54"/>
      <c r="T58" s="54"/>
      <c r="U58" s="39" t="str">
        <f>_xlfn.LET(
    _xlpm.MacVal, _xlfn.XLOOKUP($A58, Output_Mac!$A:$A, Output_Mac!AB:AB, ""),
    _xlpm.MyAuditVal, _xlfn.XLOOKUP($A58, My_Audit!$A:$A, My_Audit!L:L, ""),
    _xlfn.TEXTJOIN(", ", TRUE, _xlpm.MyAuditVal, _xlpm.MacVal)
)</f>
        <v/>
      </c>
    </row>
    <row r="59" spans="1:21">
      <c r="A59" s="54" t="str">
        <f>_xlfn.TEXTJOIN("",TRUE,Input!$B$2,ROW(My_Audit!A58))</f>
        <v>XX58</v>
      </c>
      <c r="B59" s="54" t="str">
        <f>_xlfn.TEXTJOIN("-",TRUE,"ITD",Input!$A$2,A59)</f>
        <v>ITD-SHRXXX-XX58</v>
      </c>
      <c r="C59" s="54" t="str" cm="1">
        <f t="array" ref="C59">IFERROR(_xlfn.LET(
_xlpm.CSVVal,_xlfn.XLOOKUP($A59,CSV!$A:$A,CSV!B:B,""),
_xlpm.MacVal,_xlfn.XLOOKUP($A59,Output_Mac!$A:$A,Output_Mac!B:B,""),
_xlpm.MyAuditVal,_xlfn.XLOOKUP($A59,My_Audit!$A:$A,My_Audit!B:B,""),
_xlfn.IFS(_xlpm.MyAuditVal&lt;&gt;"",UPPER(_xlpm.MyAuditVal),_xlpm.MacVal&lt;&gt;"",_xlpm.MacVal,_xlpm.CSVVal&lt;&gt;"",_xlpm.CSVVal
)),"")</f>
        <v/>
      </c>
      <c r="D59" s="55" t="str">
        <f>_xlfn.XLOOKUP(A59,My_Audit!A:A,My_Audit!D:D,"")&amp;""</f>
        <v/>
      </c>
      <c r="E59" s="55" t="str" cm="1">
        <f t="array" ref="E59">IFERROR(_xlfn.LET(
_xlpm.CSVVal,_xlfn.XLOOKUP($A59,CSV!$A:$A,CSV!D:D,""),
_xlpm.MacVal,_xlfn.XLOOKUP($A59,Output_Mac!$A:$A,Output_Mac!C:C,""),
_xlpm.MyAuditVal,_xlfn.XLOOKUP($A59,My_Audit!$A:$A,My_Audit!D:D,""),
_xlfn.IFS(_xlpm.MyAuditVal&lt;&gt;"",_xlpm.MyAuditVal,_xlpm.MacVal&lt;&gt;"",_xlpm.MacVal,_xlpm.CSVVal&lt;&gt;"",_xlpm.CSVVal
)),"")</f>
        <v/>
      </c>
      <c r="F59" s="54" t="str" cm="1">
        <f t="array" ref="F59">IFERROR(_xlfn.LET(
_xlpm.CSVVal,_xlfn.XLOOKUP($A59,CSV!$A:$A,CSV!E:E,""),
_xlpm.MacVal,_xlfn.XLOOKUP($A59,Output_Mac!$A:$A,Output_Mac!F:F,""),
_xlpm.MyAuditVal,_xlfn.XLOOKUP($A59,My_Audit!$A:$A,My_Audit!E:E,""),
_xlfn.IFS(_xlpm.MyAuditVal&lt;&gt;"",_xlpm.MyAuditVal,_xlpm.MacVal&lt;&gt;"",_xlpm.MacVal,_xlpm.CSVVal&lt;&gt;"",PROPER(_xlpm.CSVVal)
)),"")</f>
        <v/>
      </c>
      <c r="G59" s="54" t="str" cm="1">
        <f t="array" ref="G59">IFERROR(_xlfn.LET(
_xlpm.CSVVal,_xlfn.XLOOKUP($A59,CSV!$A:$A,CSV!F:F,""),
_xlpm.MacVal,_xlfn.XLOOKUP($A59,Output_Mac!$A:$A,Output_Mac!H:H,""),
_xlpm.MyAuditVal,_xlfn.XLOOKUP($A59,My_Audit!$A:$A,My_Audit!F:F,""),
_xlfn.IFS(_xlpm.MyAuditVal&lt;&gt;"",_xlpm.MyAuditVal,_xlpm.MacVal&lt;&gt;"",_xlpm.MacVal,_xlpm.CSVVal&lt;&gt;"",_xlpm.CSVVal
)),"")</f>
        <v/>
      </c>
      <c r="H59" s="54" t="str">
        <f>_xlfn.XLOOKUP(A59,Output_Mac!A:A,Output_Mac!I:I,"")</f>
        <v/>
      </c>
      <c r="I59" s="54" t="str" cm="1">
        <f t="array" ref="I59">IFERROR(_xlfn.LET(
_xlpm.CSVVal,_xlfn.XLOOKUP($A59,CSV!$A:$A,CSV!G:G,""),
_xlpm.MacVal,_xlfn.XLOOKUP($A59,Output_Mac!$A:$A,Output_Mac!J:J,""),
_xlpm.MyAuditVal,_xlfn.XLOOKUP($A59,My_Audit!$A:$A,My_Audit!H:H,""),
_xlfn.IFS(_xlpm.MyAuditVal&lt;&gt;"",UPPER(_xlpm.MyAuditVal),_xlpm.MacVal&lt;&gt;"",_xlpm.MacVal,_xlpm.CSVVal&lt;&gt;"",_xlpm.CSVVal
)),"")</f>
        <v/>
      </c>
      <c r="J59" s="54" t="str" cm="1">
        <f t="array" ref="J59">IFERROR(_xlfn.LET(
_xlpm.CSVVal,_xlfn.XLOOKUP($A59,CSV!$A:$A,CSV!I:I,""),
_xlpm.MacVal,_xlfn.XLOOKUP($A59,Output_Mac!$A:$A,Output_Mac!K:K,""),
_xlpm.MyAuditVal,_xlfn.XLOOKUP($A59,My_Audit!$A:$A,My_Audit!I:I,""),
_xlfn.IFS(_xlpm.MyAuditVal&lt;&gt;"",UPPER(_xlpm.MyAuditVal),_xlpm.MacVal&lt;&gt;"",_xlpm.MacVal,_xlpm.CSVVal&lt;&gt;"",_xlpm.CSVVal
)),"")</f>
        <v/>
      </c>
      <c r="K59" s="54" t="str" cm="1">
        <f t="array" ref="K59">IFERROR(_xlfn.LET(
_xlpm.CSVVal,_xlfn.XLOOKUP($A59,CSV!$A:$A,CSV!M:M,""),
_xlpm.MacVal,_xlfn.XLOOKUP($A59,Output_Mac!$A:$A,Output_Mac!L:L,""),
_xlpm.MyAuditVal,_xlfn.XLOOKUP($A59,My_Audit!$A:$A,My_Audit!J:J,""),
_xlfn.IFS(_xlpm.MyAuditVal&lt;&gt;"",UPPER(_xlpm.MyAuditVal),_xlpm.MacVal&lt;&gt;"",_xlpm.MacVal,_xlpm.CSVVal&lt;&gt;"",_xlpm.CSVVal
)),"")</f>
        <v/>
      </c>
      <c r="L59" s="55" t="str" cm="1">
        <f t="array" ref="L59">IFERROR(_xlfn.LET(
_xlpm.CSVVal,_xlfn.XLOOKUP($A59,CSV!$A:$A,CSV!P:P,""),
_xlpm.MacVal,_xlfn.XLOOKUP($A59,Output_Mac!$A:$A,Output_Mac!M:M,""),
_xlpm.MyAuditVal,_xlfn.XLOOKUP($A59,My_Audit!$A:$A,My_Audit!K:K,""),
_xlfn.IFS(_xlpm.MyAuditVal&lt;&gt;"",UPPER(_xlpm.MyAuditVal),_xlpm.MacVal&lt;&gt;"",_xlpm.MacVal,_xlpm.CSVVal&lt;&gt;"",_xlpm.CSVVal
)),"")</f>
        <v/>
      </c>
      <c r="M59" s="54" t="str">
        <f>_xlfn.LET(
    _xlpm.CSVVal, _xlfn.XLOOKUP($A59, CSV!$A:$A, CSV!AD:AD, ""),
    _xlpm.MacVal, _xlfn.XLOOKUP($A59, Output_Mac!$A:$A, Output_Mac!S:S, ""),
    _xlpm.MyAuditVal, _xlfn.XLOOKUP($A59, My_Audit!$A:$A, My_Audit!N:N, ""),
    _xlfn.TEXTJOIN(", ", TRUE, _xlpm.MyAuditVal, _xlpm.MacVal, _xlpm.CSVVal)
)</f>
        <v/>
      </c>
      <c r="N59" s="54" t="str" cm="1">
        <f t="array" ref="N59">IFERROR(_xlfn.LET(
_xlpm.CSVVal,_xlfn.XLOOKUP($A59,CSV!$A:$A,CSV!AF:AF,""),
_xlpm.MacVal,_xlfn.XLOOKUP($A59,Output_Mac!$A:$A,Output_Mac!U:U,""),
_xlpm.MyAuditVal,_xlfn.XLOOKUP($A59,My_Audit!$A:$A,My_Audit!O:O,""),
_xlfn.IFS(_xlpm.MyAuditVal&lt;&gt;"",UPPER(_xlpm.MyAuditVal),_xlpm.MacVal&lt;&gt;"",_xlpm.MacVal,_xlpm.CSVVal&lt;&gt;"",_xlpm.CSVVal
)),"")</f>
        <v/>
      </c>
      <c r="O59" s="54"/>
      <c r="P59" s="54"/>
      <c r="Q59" s="54"/>
      <c r="R59" s="54"/>
      <c r="S59" s="54"/>
      <c r="T59" s="54"/>
      <c r="U59" s="39" t="str">
        <f>_xlfn.LET(
    _xlpm.MacVal, _xlfn.XLOOKUP($A59, Output_Mac!$A:$A, Output_Mac!AB:AB, ""),
    _xlpm.MyAuditVal, _xlfn.XLOOKUP($A59, My_Audit!$A:$A, My_Audit!L:L, ""),
    _xlfn.TEXTJOIN(", ", TRUE, _xlpm.MyAuditVal, _xlpm.MacVal)
)</f>
        <v/>
      </c>
    </row>
    <row r="60" spans="1:21">
      <c r="A60" s="54" t="str">
        <f>_xlfn.TEXTJOIN("",TRUE,Input!$B$2,ROW(My_Audit!A59))</f>
        <v>XX59</v>
      </c>
      <c r="B60" s="54" t="str">
        <f>_xlfn.TEXTJOIN("-",TRUE,"ITD",Input!$A$2,A60)</f>
        <v>ITD-SHRXXX-XX59</v>
      </c>
      <c r="C60" s="54" t="str" cm="1">
        <f t="array" ref="C60">IFERROR(_xlfn.LET(
_xlpm.CSVVal,_xlfn.XLOOKUP($A60,CSV!$A:$A,CSV!B:B,""),
_xlpm.MacVal,_xlfn.XLOOKUP($A60,Output_Mac!$A:$A,Output_Mac!B:B,""),
_xlpm.MyAuditVal,_xlfn.XLOOKUP($A60,My_Audit!$A:$A,My_Audit!B:B,""),
_xlfn.IFS(_xlpm.MyAuditVal&lt;&gt;"",UPPER(_xlpm.MyAuditVal),_xlpm.MacVal&lt;&gt;"",_xlpm.MacVal,_xlpm.CSVVal&lt;&gt;"",_xlpm.CSVVal
)),"")</f>
        <v/>
      </c>
      <c r="D60" s="55" t="str">
        <f>_xlfn.XLOOKUP(A60,My_Audit!A:A,My_Audit!D:D,"")&amp;""</f>
        <v/>
      </c>
      <c r="E60" s="55" t="str" cm="1">
        <f t="array" ref="E60">IFERROR(_xlfn.LET(
_xlpm.CSVVal,_xlfn.XLOOKUP($A60,CSV!$A:$A,CSV!D:D,""),
_xlpm.MacVal,_xlfn.XLOOKUP($A60,Output_Mac!$A:$A,Output_Mac!C:C,""),
_xlpm.MyAuditVal,_xlfn.XLOOKUP($A60,My_Audit!$A:$A,My_Audit!D:D,""),
_xlfn.IFS(_xlpm.MyAuditVal&lt;&gt;"",_xlpm.MyAuditVal,_xlpm.MacVal&lt;&gt;"",_xlpm.MacVal,_xlpm.CSVVal&lt;&gt;"",_xlpm.CSVVal
)),"")</f>
        <v/>
      </c>
      <c r="F60" s="54" t="str" cm="1">
        <f t="array" ref="F60">IFERROR(_xlfn.LET(
_xlpm.CSVVal,_xlfn.XLOOKUP($A60,CSV!$A:$A,CSV!E:E,""),
_xlpm.MacVal,_xlfn.XLOOKUP($A60,Output_Mac!$A:$A,Output_Mac!F:F,""),
_xlpm.MyAuditVal,_xlfn.XLOOKUP($A60,My_Audit!$A:$A,My_Audit!E:E,""),
_xlfn.IFS(_xlpm.MyAuditVal&lt;&gt;"",_xlpm.MyAuditVal,_xlpm.MacVal&lt;&gt;"",_xlpm.MacVal,_xlpm.CSVVal&lt;&gt;"",PROPER(_xlpm.CSVVal)
)),"")</f>
        <v/>
      </c>
      <c r="G60" s="54" t="str" cm="1">
        <f t="array" ref="G60">IFERROR(_xlfn.LET(
_xlpm.CSVVal,_xlfn.XLOOKUP($A60,CSV!$A:$A,CSV!F:F,""),
_xlpm.MacVal,_xlfn.XLOOKUP($A60,Output_Mac!$A:$A,Output_Mac!H:H,""),
_xlpm.MyAuditVal,_xlfn.XLOOKUP($A60,My_Audit!$A:$A,My_Audit!F:F,""),
_xlfn.IFS(_xlpm.MyAuditVal&lt;&gt;"",_xlpm.MyAuditVal,_xlpm.MacVal&lt;&gt;"",_xlpm.MacVal,_xlpm.CSVVal&lt;&gt;"",_xlpm.CSVVal
)),"")</f>
        <v/>
      </c>
      <c r="H60" s="54" t="str">
        <f>_xlfn.XLOOKUP(A60,Output_Mac!A:A,Output_Mac!I:I,"")</f>
        <v/>
      </c>
      <c r="I60" s="54" t="str" cm="1">
        <f t="array" ref="I60">IFERROR(_xlfn.LET(
_xlpm.CSVVal,_xlfn.XLOOKUP($A60,CSV!$A:$A,CSV!G:G,""),
_xlpm.MacVal,_xlfn.XLOOKUP($A60,Output_Mac!$A:$A,Output_Mac!J:J,""),
_xlpm.MyAuditVal,_xlfn.XLOOKUP($A60,My_Audit!$A:$A,My_Audit!H:H,""),
_xlfn.IFS(_xlpm.MyAuditVal&lt;&gt;"",UPPER(_xlpm.MyAuditVal),_xlpm.MacVal&lt;&gt;"",_xlpm.MacVal,_xlpm.CSVVal&lt;&gt;"",_xlpm.CSVVal
)),"")</f>
        <v/>
      </c>
      <c r="J60" s="54" t="str" cm="1">
        <f t="array" ref="J60">IFERROR(_xlfn.LET(
_xlpm.CSVVal,_xlfn.XLOOKUP($A60,CSV!$A:$A,CSV!I:I,""),
_xlpm.MacVal,_xlfn.XLOOKUP($A60,Output_Mac!$A:$A,Output_Mac!K:K,""),
_xlpm.MyAuditVal,_xlfn.XLOOKUP($A60,My_Audit!$A:$A,My_Audit!I:I,""),
_xlfn.IFS(_xlpm.MyAuditVal&lt;&gt;"",UPPER(_xlpm.MyAuditVal),_xlpm.MacVal&lt;&gt;"",_xlpm.MacVal,_xlpm.CSVVal&lt;&gt;"",_xlpm.CSVVal
)),"")</f>
        <v/>
      </c>
      <c r="K60" s="54" t="str" cm="1">
        <f t="array" ref="K60">IFERROR(_xlfn.LET(
_xlpm.CSVVal,_xlfn.XLOOKUP($A60,CSV!$A:$A,CSV!M:M,""),
_xlpm.MacVal,_xlfn.XLOOKUP($A60,Output_Mac!$A:$A,Output_Mac!L:L,""),
_xlpm.MyAuditVal,_xlfn.XLOOKUP($A60,My_Audit!$A:$A,My_Audit!J:J,""),
_xlfn.IFS(_xlpm.MyAuditVal&lt;&gt;"",UPPER(_xlpm.MyAuditVal),_xlpm.MacVal&lt;&gt;"",_xlpm.MacVal,_xlpm.CSVVal&lt;&gt;"",_xlpm.CSVVal
)),"")</f>
        <v/>
      </c>
      <c r="L60" s="55" t="str" cm="1">
        <f t="array" ref="L60">IFERROR(_xlfn.LET(
_xlpm.CSVVal,_xlfn.XLOOKUP($A60,CSV!$A:$A,CSV!P:P,""),
_xlpm.MacVal,_xlfn.XLOOKUP($A60,Output_Mac!$A:$A,Output_Mac!M:M,""),
_xlpm.MyAuditVal,_xlfn.XLOOKUP($A60,My_Audit!$A:$A,My_Audit!K:K,""),
_xlfn.IFS(_xlpm.MyAuditVal&lt;&gt;"",UPPER(_xlpm.MyAuditVal),_xlpm.MacVal&lt;&gt;"",_xlpm.MacVal,_xlpm.CSVVal&lt;&gt;"",_xlpm.CSVVal
)),"")</f>
        <v/>
      </c>
      <c r="M60" s="54" t="str">
        <f>_xlfn.LET(
    _xlpm.CSVVal, _xlfn.XLOOKUP($A60, CSV!$A:$A, CSV!AD:AD, ""),
    _xlpm.MacVal, _xlfn.XLOOKUP($A60, Output_Mac!$A:$A, Output_Mac!S:S, ""),
    _xlpm.MyAuditVal, _xlfn.XLOOKUP($A60, My_Audit!$A:$A, My_Audit!N:N, ""),
    _xlfn.TEXTJOIN(", ", TRUE, _xlpm.MyAuditVal, _xlpm.MacVal, _xlpm.CSVVal)
)</f>
        <v/>
      </c>
      <c r="N60" s="54" t="str" cm="1">
        <f t="array" ref="N60">IFERROR(_xlfn.LET(
_xlpm.CSVVal,_xlfn.XLOOKUP($A60,CSV!$A:$A,CSV!AF:AF,""),
_xlpm.MacVal,_xlfn.XLOOKUP($A60,Output_Mac!$A:$A,Output_Mac!U:U,""),
_xlpm.MyAuditVal,_xlfn.XLOOKUP($A60,My_Audit!$A:$A,My_Audit!O:O,""),
_xlfn.IFS(_xlpm.MyAuditVal&lt;&gt;"",UPPER(_xlpm.MyAuditVal),_xlpm.MacVal&lt;&gt;"",_xlpm.MacVal,_xlpm.CSVVal&lt;&gt;"",_xlpm.CSVVal
)),"")</f>
        <v/>
      </c>
      <c r="O60" s="54"/>
      <c r="P60" s="54"/>
      <c r="Q60" s="54"/>
      <c r="R60" s="54"/>
      <c r="S60" s="54"/>
      <c r="T60" s="54"/>
      <c r="U60" s="39" t="str">
        <f>_xlfn.LET(
    _xlpm.MacVal, _xlfn.XLOOKUP($A60, Output_Mac!$A:$A, Output_Mac!AB:AB, ""),
    _xlpm.MyAuditVal, _xlfn.XLOOKUP($A60, My_Audit!$A:$A, My_Audit!L:L, ""),
    _xlfn.TEXTJOIN(", ", TRUE, _xlpm.MyAuditVal, _xlpm.MacVal)
)</f>
        <v/>
      </c>
    </row>
    <row r="61" spans="1:21">
      <c r="A61" s="54" t="str">
        <f>_xlfn.TEXTJOIN("",TRUE,Input!$B$2,ROW(My_Audit!A60))</f>
        <v>XX60</v>
      </c>
      <c r="B61" s="54" t="str">
        <f>_xlfn.TEXTJOIN("-",TRUE,"ITD",Input!$A$2,A61)</f>
        <v>ITD-SHRXXX-XX60</v>
      </c>
      <c r="C61" s="54" t="str" cm="1">
        <f t="array" ref="C61">IFERROR(_xlfn.LET(
_xlpm.CSVVal,_xlfn.XLOOKUP($A61,CSV!$A:$A,CSV!B:B,""),
_xlpm.MacVal,_xlfn.XLOOKUP($A61,Output_Mac!$A:$A,Output_Mac!B:B,""),
_xlpm.MyAuditVal,_xlfn.XLOOKUP($A61,My_Audit!$A:$A,My_Audit!B:B,""),
_xlfn.IFS(_xlpm.MyAuditVal&lt;&gt;"",UPPER(_xlpm.MyAuditVal),_xlpm.MacVal&lt;&gt;"",_xlpm.MacVal,_xlpm.CSVVal&lt;&gt;"",_xlpm.CSVVal
)),"")</f>
        <v/>
      </c>
      <c r="D61" s="55" t="str">
        <f>_xlfn.XLOOKUP(A61,My_Audit!A:A,My_Audit!D:D,"")&amp;""</f>
        <v/>
      </c>
      <c r="E61" s="55" t="str" cm="1">
        <f t="array" ref="E61">IFERROR(_xlfn.LET(
_xlpm.CSVVal,_xlfn.XLOOKUP($A61,CSV!$A:$A,CSV!D:D,""),
_xlpm.MacVal,_xlfn.XLOOKUP($A61,Output_Mac!$A:$A,Output_Mac!C:C,""),
_xlpm.MyAuditVal,_xlfn.XLOOKUP($A61,My_Audit!$A:$A,My_Audit!D:D,""),
_xlfn.IFS(_xlpm.MyAuditVal&lt;&gt;"",_xlpm.MyAuditVal,_xlpm.MacVal&lt;&gt;"",_xlpm.MacVal,_xlpm.CSVVal&lt;&gt;"",_xlpm.CSVVal
)),"")</f>
        <v/>
      </c>
      <c r="F61" s="54" t="str" cm="1">
        <f t="array" ref="F61">IFERROR(_xlfn.LET(
_xlpm.CSVVal,_xlfn.XLOOKUP($A61,CSV!$A:$A,CSV!E:E,""),
_xlpm.MacVal,_xlfn.XLOOKUP($A61,Output_Mac!$A:$A,Output_Mac!F:F,""),
_xlpm.MyAuditVal,_xlfn.XLOOKUP($A61,My_Audit!$A:$A,My_Audit!E:E,""),
_xlfn.IFS(_xlpm.MyAuditVal&lt;&gt;"",_xlpm.MyAuditVal,_xlpm.MacVal&lt;&gt;"",_xlpm.MacVal,_xlpm.CSVVal&lt;&gt;"",PROPER(_xlpm.CSVVal)
)),"")</f>
        <v/>
      </c>
      <c r="G61" s="54" t="str" cm="1">
        <f t="array" ref="G61">IFERROR(_xlfn.LET(
_xlpm.CSVVal,_xlfn.XLOOKUP($A61,CSV!$A:$A,CSV!F:F,""),
_xlpm.MacVal,_xlfn.XLOOKUP($A61,Output_Mac!$A:$A,Output_Mac!H:H,""),
_xlpm.MyAuditVal,_xlfn.XLOOKUP($A61,My_Audit!$A:$A,My_Audit!F:F,""),
_xlfn.IFS(_xlpm.MyAuditVal&lt;&gt;"",_xlpm.MyAuditVal,_xlpm.MacVal&lt;&gt;"",_xlpm.MacVal,_xlpm.CSVVal&lt;&gt;"",_xlpm.CSVVal
)),"")</f>
        <v/>
      </c>
      <c r="H61" s="54" t="str">
        <f>_xlfn.XLOOKUP(A61,Output_Mac!A:A,Output_Mac!I:I,"")</f>
        <v/>
      </c>
      <c r="I61" s="54" t="str" cm="1">
        <f t="array" ref="I61">IFERROR(_xlfn.LET(
_xlpm.CSVVal,_xlfn.XLOOKUP($A61,CSV!$A:$A,CSV!G:G,""),
_xlpm.MacVal,_xlfn.XLOOKUP($A61,Output_Mac!$A:$A,Output_Mac!J:J,""),
_xlpm.MyAuditVal,_xlfn.XLOOKUP($A61,My_Audit!$A:$A,My_Audit!H:H,""),
_xlfn.IFS(_xlpm.MyAuditVal&lt;&gt;"",UPPER(_xlpm.MyAuditVal),_xlpm.MacVal&lt;&gt;"",_xlpm.MacVal,_xlpm.CSVVal&lt;&gt;"",_xlpm.CSVVal
)),"")</f>
        <v/>
      </c>
      <c r="J61" s="54" t="str" cm="1">
        <f t="array" ref="J61">IFERROR(_xlfn.LET(
_xlpm.CSVVal,_xlfn.XLOOKUP($A61,CSV!$A:$A,CSV!I:I,""),
_xlpm.MacVal,_xlfn.XLOOKUP($A61,Output_Mac!$A:$A,Output_Mac!K:K,""),
_xlpm.MyAuditVal,_xlfn.XLOOKUP($A61,My_Audit!$A:$A,My_Audit!I:I,""),
_xlfn.IFS(_xlpm.MyAuditVal&lt;&gt;"",UPPER(_xlpm.MyAuditVal),_xlpm.MacVal&lt;&gt;"",_xlpm.MacVal,_xlpm.CSVVal&lt;&gt;"",_xlpm.CSVVal
)),"")</f>
        <v/>
      </c>
      <c r="K61" s="54" t="str" cm="1">
        <f t="array" ref="K61">IFERROR(_xlfn.LET(
_xlpm.CSVVal,_xlfn.XLOOKUP($A61,CSV!$A:$A,CSV!M:M,""),
_xlpm.MacVal,_xlfn.XLOOKUP($A61,Output_Mac!$A:$A,Output_Mac!L:L,""),
_xlpm.MyAuditVal,_xlfn.XLOOKUP($A61,My_Audit!$A:$A,My_Audit!J:J,""),
_xlfn.IFS(_xlpm.MyAuditVal&lt;&gt;"",UPPER(_xlpm.MyAuditVal),_xlpm.MacVal&lt;&gt;"",_xlpm.MacVal,_xlpm.CSVVal&lt;&gt;"",_xlpm.CSVVal
)),"")</f>
        <v/>
      </c>
      <c r="L61" s="55" t="str" cm="1">
        <f t="array" ref="L61">IFERROR(_xlfn.LET(
_xlpm.CSVVal,_xlfn.XLOOKUP($A61,CSV!$A:$A,CSV!P:P,""),
_xlpm.MacVal,_xlfn.XLOOKUP($A61,Output_Mac!$A:$A,Output_Mac!M:M,""),
_xlpm.MyAuditVal,_xlfn.XLOOKUP($A61,My_Audit!$A:$A,My_Audit!K:K,""),
_xlfn.IFS(_xlpm.MyAuditVal&lt;&gt;"",UPPER(_xlpm.MyAuditVal),_xlpm.MacVal&lt;&gt;"",_xlpm.MacVal,_xlpm.CSVVal&lt;&gt;"",_xlpm.CSVVal
)),"")</f>
        <v/>
      </c>
      <c r="M61" s="54" t="str">
        <f>_xlfn.LET(
    _xlpm.CSVVal, _xlfn.XLOOKUP($A61, CSV!$A:$A, CSV!AD:AD, ""),
    _xlpm.MacVal, _xlfn.XLOOKUP($A61, Output_Mac!$A:$A, Output_Mac!S:S, ""),
    _xlpm.MyAuditVal, _xlfn.XLOOKUP($A61, My_Audit!$A:$A, My_Audit!N:N, ""),
    _xlfn.TEXTJOIN(", ", TRUE, _xlpm.MyAuditVal, _xlpm.MacVal, _xlpm.CSVVal)
)</f>
        <v/>
      </c>
      <c r="N61" s="54" t="str" cm="1">
        <f t="array" ref="N61">IFERROR(_xlfn.LET(
_xlpm.CSVVal,_xlfn.XLOOKUP($A61,CSV!$A:$A,CSV!AF:AF,""),
_xlpm.MacVal,_xlfn.XLOOKUP($A61,Output_Mac!$A:$A,Output_Mac!U:U,""),
_xlpm.MyAuditVal,_xlfn.XLOOKUP($A61,My_Audit!$A:$A,My_Audit!O:O,""),
_xlfn.IFS(_xlpm.MyAuditVal&lt;&gt;"",UPPER(_xlpm.MyAuditVal),_xlpm.MacVal&lt;&gt;"",_xlpm.MacVal,_xlpm.CSVVal&lt;&gt;"",_xlpm.CSVVal
)),"")</f>
        <v/>
      </c>
      <c r="O61" s="54"/>
      <c r="P61" s="54"/>
      <c r="Q61" s="54"/>
      <c r="R61" s="54"/>
      <c r="S61" s="54"/>
      <c r="T61" s="54"/>
      <c r="U61" s="39" t="str">
        <f>_xlfn.LET(
    _xlpm.MacVal, _xlfn.XLOOKUP($A61, Output_Mac!$A:$A, Output_Mac!AB:AB, ""),
    _xlpm.MyAuditVal, _xlfn.XLOOKUP($A61, My_Audit!$A:$A, My_Audit!L:L, ""),
    _xlfn.TEXTJOIN(", ", TRUE, _xlpm.MyAuditVal, _xlpm.MacVal)
)</f>
        <v/>
      </c>
    </row>
    <row r="62" spans="1:21">
      <c r="A62" s="54" t="str">
        <f>_xlfn.TEXTJOIN("",TRUE,Input!$B$2,ROW(My_Audit!A61))</f>
        <v>XX61</v>
      </c>
      <c r="B62" s="54" t="str">
        <f>_xlfn.TEXTJOIN("-",TRUE,"ITD",Input!$A$2,A62)</f>
        <v>ITD-SHRXXX-XX61</v>
      </c>
      <c r="C62" s="54" t="str" cm="1">
        <f t="array" ref="C62">IFERROR(_xlfn.LET(
_xlpm.CSVVal,_xlfn.XLOOKUP($A62,CSV!$A:$A,CSV!B:B,""),
_xlpm.MacVal,_xlfn.XLOOKUP($A62,Output_Mac!$A:$A,Output_Mac!B:B,""),
_xlpm.MyAuditVal,_xlfn.XLOOKUP($A62,My_Audit!$A:$A,My_Audit!B:B,""),
_xlfn.IFS(_xlpm.MyAuditVal&lt;&gt;"",UPPER(_xlpm.MyAuditVal),_xlpm.MacVal&lt;&gt;"",_xlpm.MacVal,_xlpm.CSVVal&lt;&gt;"",_xlpm.CSVVal
)),"")</f>
        <v/>
      </c>
      <c r="D62" s="55" t="str">
        <f>_xlfn.XLOOKUP(A62,My_Audit!A:A,My_Audit!D:D,"")&amp;""</f>
        <v/>
      </c>
      <c r="E62" s="55" t="str" cm="1">
        <f t="array" ref="E62">IFERROR(_xlfn.LET(
_xlpm.CSVVal,_xlfn.XLOOKUP($A62,CSV!$A:$A,CSV!D:D,""),
_xlpm.MacVal,_xlfn.XLOOKUP($A62,Output_Mac!$A:$A,Output_Mac!C:C,""),
_xlpm.MyAuditVal,_xlfn.XLOOKUP($A62,My_Audit!$A:$A,My_Audit!D:D,""),
_xlfn.IFS(_xlpm.MyAuditVal&lt;&gt;"",_xlpm.MyAuditVal,_xlpm.MacVal&lt;&gt;"",_xlpm.MacVal,_xlpm.CSVVal&lt;&gt;"",_xlpm.CSVVal
)),"")</f>
        <v/>
      </c>
      <c r="F62" s="54" t="str" cm="1">
        <f t="array" ref="F62">IFERROR(_xlfn.LET(
_xlpm.CSVVal,_xlfn.XLOOKUP($A62,CSV!$A:$A,CSV!E:E,""),
_xlpm.MacVal,_xlfn.XLOOKUP($A62,Output_Mac!$A:$A,Output_Mac!F:F,""),
_xlpm.MyAuditVal,_xlfn.XLOOKUP($A62,My_Audit!$A:$A,My_Audit!E:E,""),
_xlfn.IFS(_xlpm.MyAuditVal&lt;&gt;"",_xlpm.MyAuditVal,_xlpm.MacVal&lt;&gt;"",_xlpm.MacVal,_xlpm.CSVVal&lt;&gt;"",PROPER(_xlpm.CSVVal)
)),"")</f>
        <v/>
      </c>
      <c r="G62" s="54" t="str" cm="1">
        <f t="array" ref="G62">IFERROR(_xlfn.LET(
_xlpm.CSVVal,_xlfn.XLOOKUP($A62,CSV!$A:$A,CSV!F:F,""),
_xlpm.MacVal,_xlfn.XLOOKUP($A62,Output_Mac!$A:$A,Output_Mac!H:H,""),
_xlpm.MyAuditVal,_xlfn.XLOOKUP($A62,My_Audit!$A:$A,My_Audit!F:F,""),
_xlfn.IFS(_xlpm.MyAuditVal&lt;&gt;"",_xlpm.MyAuditVal,_xlpm.MacVal&lt;&gt;"",_xlpm.MacVal,_xlpm.CSVVal&lt;&gt;"",_xlpm.CSVVal
)),"")</f>
        <v/>
      </c>
      <c r="H62" s="54" t="str">
        <f>_xlfn.XLOOKUP(A62,Output_Mac!A:A,Output_Mac!I:I,"")</f>
        <v/>
      </c>
      <c r="I62" s="54" t="str" cm="1">
        <f t="array" ref="I62">IFERROR(_xlfn.LET(
_xlpm.CSVVal,_xlfn.XLOOKUP($A62,CSV!$A:$A,CSV!G:G,""),
_xlpm.MacVal,_xlfn.XLOOKUP($A62,Output_Mac!$A:$A,Output_Mac!J:J,""),
_xlpm.MyAuditVal,_xlfn.XLOOKUP($A62,My_Audit!$A:$A,My_Audit!H:H,""),
_xlfn.IFS(_xlpm.MyAuditVal&lt;&gt;"",UPPER(_xlpm.MyAuditVal),_xlpm.MacVal&lt;&gt;"",_xlpm.MacVal,_xlpm.CSVVal&lt;&gt;"",_xlpm.CSVVal
)),"")</f>
        <v/>
      </c>
      <c r="J62" s="54" t="str" cm="1">
        <f t="array" ref="J62">IFERROR(_xlfn.LET(
_xlpm.CSVVal,_xlfn.XLOOKUP($A62,CSV!$A:$A,CSV!I:I,""),
_xlpm.MacVal,_xlfn.XLOOKUP($A62,Output_Mac!$A:$A,Output_Mac!K:K,""),
_xlpm.MyAuditVal,_xlfn.XLOOKUP($A62,My_Audit!$A:$A,My_Audit!I:I,""),
_xlfn.IFS(_xlpm.MyAuditVal&lt;&gt;"",UPPER(_xlpm.MyAuditVal),_xlpm.MacVal&lt;&gt;"",_xlpm.MacVal,_xlpm.CSVVal&lt;&gt;"",_xlpm.CSVVal
)),"")</f>
        <v/>
      </c>
      <c r="K62" s="54" t="str" cm="1">
        <f t="array" ref="K62">IFERROR(_xlfn.LET(
_xlpm.CSVVal,_xlfn.XLOOKUP($A62,CSV!$A:$A,CSV!M:M,""),
_xlpm.MacVal,_xlfn.XLOOKUP($A62,Output_Mac!$A:$A,Output_Mac!L:L,""),
_xlpm.MyAuditVal,_xlfn.XLOOKUP($A62,My_Audit!$A:$A,My_Audit!J:J,""),
_xlfn.IFS(_xlpm.MyAuditVal&lt;&gt;"",UPPER(_xlpm.MyAuditVal),_xlpm.MacVal&lt;&gt;"",_xlpm.MacVal,_xlpm.CSVVal&lt;&gt;"",_xlpm.CSVVal
)),"")</f>
        <v/>
      </c>
      <c r="L62" s="55" t="str" cm="1">
        <f t="array" ref="L62">IFERROR(_xlfn.LET(
_xlpm.CSVVal,_xlfn.XLOOKUP($A62,CSV!$A:$A,CSV!P:P,""),
_xlpm.MacVal,_xlfn.XLOOKUP($A62,Output_Mac!$A:$A,Output_Mac!M:M,""),
_xlpm.MyAuditVal,_xlfn.XLOOKUP($A62,My_Audit!$A:$A,My_Audit!K:K,""),
_xlfn.IFS(_xlpm.MyAuditVal&lt;&gt;"",UPPER(_xlpm.MyAuditVal),_xlpm.MacVal&lt;&gt;"",_xlpm.MacVal,_xlpm.CSVVal&lt;&gt;"",_xlpm.CSVVal
)),"")</f>
        <v/>
      </c>
      <c r="M62" s="54" t="str">
        <f>_xlfn.LET(
    _xlpm.CSVVal, _xlfn.XLOOKUP($A62, CSV!$A:$A, CSV!AD:AD, ""),
    _xlpm.MacVal, _xlfn.XLOOKUP($A62, Output_Mac!$A:$A, Output_Mac!S:S, ""),
    _xlpm.MyAuditVal, _xlfn.XLOOKUP($A62, My_Audit!$A:$A, My_Audit!N:N, ""),
    _xlfn.TEXTJOIN(", ", TRUE, _xlpm.MyAuditVal, _xlpm.MacVal, _xlpm.CSVVal)
)</f>
        <v/>
      </c>
      <c r="N62" s="54" t="str" cm="1">
        <f t="array" ref="N62">IFERROR(_xlfn.LET(
_xlpm.CSVVal,_xlfn.XLOOKUP($A62,CSV!$A:$A,CSV!AF:AF,""),
_xlpm.MacVal,_xlfn.XLOOKUP($A62,Output_Mac!$A:$A,Output_Mac!U:U,""),
_xlpm.MyAuditVal,_xlfn.XLOOKUP($A62,My_Audit!$A:$A,My_Audit!O:O,""),
_xlfn.IFS(_xlpm.MyAuditVal&lt;&gt;"",UPPER(_xlpm.MyAuditVal),_xlpm.MacVal&lt;&gt;"",_xlpm.MacVal,_xlpm.CSVVal&lt;&gt;"",_xlpm.CSVVal
)),"")</f>
        <v/>
      </c>
      <c r="O62" s="54"/>
      <c r="P62" s="54"/>
      <c r="Q62" s="54"/>
      <c r="R62" s="54"/>
      <c r="S62" s="54"/>
      <c r="T62" s="54"/>
      <c r="U62" s="39" t="str">
        <f>_xlfn.LET(
    _xlpm.MacVal, _xlfn.XLOOKUP($A62, Output_Mac!$A:$A, Output_Mac!AB:AB, ""),
    _xlpm.MyAuditVal, _xlfn.XLOOKUP($A62, My_Audit!$A:$A, My_Audit!L:L, ""),
    _xlfn.TEXTJOIN(", ", TRUE, _xlpm.MyAuditVal, _xlpm.MacVal)
)</f>
        <v/>
      </c>
    </row>
    <row r="63" spans="1:21">
      <c r="A63" s="54" t="str">
        <f>_xlfn.TEXTJOIN("",TRUE,Input!$B$2,ROW(My_Audit!A62))</f>
        <v>XX62</v>
      </c>
      <c r="B63" s="54" t="str">
        <f>_xlfn.TEXTJOIN("-",TRUE,"ITD",Input!$A$2,A63)</f>
        <v>ITD-SHRXXX-XX62</v>
      </c>
      <c r="C63" s="54" t="str" cm="1">
        <f t="array" ref="C63">IFERROR(_xlfn.LET(
_xlpm.CSVVal,_xlfn.XLOOKUP($A63,CSV!$A:$A,CSV!B:B,""),
_xlpm.MacVal,_xlfn.XLOOKUP($A63,Output_Mac!$A:$A,Output_Mac!B:B,""),
_xlpm.MyAuditVal,_xlfn.XLOOKUP($A63,My_Audit!$A:$A,My_Audit!B:B,""),
_xlfn.IFS(_xlpm.MyAuditVal&lt;&gt;"",UPPER(_xlpm.MyAuditVal),_xlpm.MacVal&lt;&gt;"",_xlpm.MacVal,_xlpm.CSVVal&lt;&gt;"",_xlpm.CSVVal
)),"")</f>
        <v/>
      </c>
      <c r="D63" s="55" t="str">
        <f>_xlfn.XLOOKUP(A63,My_Audit!A:A,My_Audit!D:D,"")&amp;""</f>
        <v/>
      </c>
      <c r="E63" s="55" t="str" cm="1">
        <f t="array" ref="E63">IFERROR(_xlfn.LET(
_xlpm.CSVVal,_xlfn.XLOOKUP($A63,CSV!$A:$A,CSV!D:D,""),
_xlpm.MacVal,_xlfn.XLOOKUP($A63,Output_Mac!$A:$A,Output_Mac!C:C,""),
_xlpm.MyAuditVal,_xlfn.XLOOKUP($A63,My_Audit!$A:$A,My_Audit!D:D,""),
_xlfn.IFS(_xlpm.MyAuditVal&lt;&gt;"",_xlpm.MyAuditVal,_xlpm.MacVal&lt;&gt;"",_xlpm.MacVal,_xlpm.CSVVal&lt;&gt;"",_xlpm.CSVVal
)),"")</f>
        <v/>
      </c>
      <c r="F63" s="54" t="str" cm="1">
        <f t="array" ref="F63">IFERROR(_xlfn.LET(
_xlpm.CSVVal,_xlfn.XLOOKUP($A63,CSV!$A:$A,CSV!E:E,""),
_xlpm.MacVal,_xlfn.XLOOKUP($A63,Output_Mac!$A:$A,Output_Mac!F:F,""),
_xlpm.MyAuditVal,_xlfn.XLOOKUP($A63,My_Audit!$A:$A,My_Audit!E:E,""),
_xlfn.IFS(_xlpm.MyAuditVal&lt;&gt;"",_xlpm.MyAuditVal,_xlpm.MacVal&lt;&gt;"",_xlpm.MacVal,_xlpm.CSVVal&lt;&gt;"",PROPER(_xlpm.CSVVal)
)),"")</f>
        <v/>
      </c>
      <c r="G63" s="54" t="str" cm="1">
        <f t="array" ref="G63">IFERROR(_xlfn.LET(
_xlpm.CSVVal,_xlfn.XLOOKUP($A63,CSV!$A:$A,CSV!F:F,""),
_xlpm.MacVal,_xlfn.XLOOKUP($A63,Output_Mac!$A:$A,Output_Mac!H:H,""),
_xlpm.MyAuditVal,_xlfn.XLOOKUP($A63,My_Audit!$A:$A,My_Audit!F:F,""),
_xlfn.IFS(_xlpm.MyAuditVal&lt;&gt;"",_xlpm.MyAuditVal,_xlpm.MacVal&lt;&gt;"",_xlpm.MacVal,_xlpm.CSVVal&lt;&gt;"",_xlpm.CSVVal
)),"")</f>
        <v/>
      </c>
      <c r="H63" s="54" t="str">
        <f>_xlfn.XLOOKUP(A63,Output_Mac!A:A,Output_Mac!I:I,"")</f>
        <v/>
      </c>
      <c r="I63" s="54" t="str" cm="1">
        <f t="array" ref="I63">IFERROR(_xlfn.LET(
_xlpm.CSVVal,_xlfn.XLOOKUP($A63,CSV!$A:$A,CSV!G:G,""),
_xlpm.MacVal,_xlfn.XLOOKUP($A63,Output_Mac!$A:$A,Output_Mac!J:J,""),
_xlpm.MyAuditVal,_xlfn.XLOOKUP($A63,My_Audit!$A:$A,My_Audit!H:H,""),
_xlfn.IFS(_xlpm.MyAuditVal&lt;&gt;"",UPPER(_xlpm.MyAuditVal),_xlpm.MacVal&lt;&gt;"",_xlpm.MacVal,_xlpm.CSVVal&lt;&gt;"",_xlpm.CSVVal
)),"")</f>
        <v/>
      </c>
      <c r="J63" s="54" t="str" cm="1">
        <f t="array" ref="J63">IFERROR(_xlfn.LET(
_xlpm.CSVVal,_xlfn.XLOOKUP($A63,CSV!$A:$A,CSV!I:I,""),
_xlpm.MacVal,_xlfn.XLOOKUP($A63,Output_Mac!$A:$A,Output_Mac!K:K,""),
_xlpm.MyAuditVal,_xlfn.XLOOKUP($A63,My_Audit!$A:$A,My_Audit!I:I,""),
_xlfn.IFS(_xlpm.MyAuditVal&lt;&gt;"",UPPER(_xlpm.MyAuditVal),_xlpm.MacVal&lt;&gt;"",_xlpm.MacVal,_xlpm.CSVVal&lt;&gt;"",_xlpm.CSVVal
)),"")</f>
        <v/>
      </c>
      <c r="K63" s="54" t="str" cm="1">
        <f t="array" ref="K63">IFERROR(_xlfn.LET(
_xlpm.CSVVal,_xlfn.XLOOKUP($A63,CSV!$A:$A,CSV!M:M,""),
_xlpm.MacVal,_xlfn.XLOOKUP($A63,Output_Mac!$A:$A,Output_Mac!L:L,""),
_xlpm.MyAuditVal,_xlfn.XLOOKUP($A63,My_Audit!$A:$A,My_Audit!J:J,""),
_xlfn.IFS(_xlpm.MyAuditVal&lt;&gt;"",UPPER(_xlpm.MyAuditVal),_xlpm.MacVal&lt;&gt;"",_xlpm.MacVal,_xlpm.CSVVal&lt;&gt;"",_xlpm.CSVVal
)),"")</f>
        <v/>
      </c>
      <c r="L63" s="55" t="str" cm="1">
        <f t="array" ref="L63">IFERROR(_xlfn.LET(
_xlpm.CSVVal,_xlfn.XLOOKUP($A63,CSV!$A:$A,CSV!P:P,""),
_xlpm.MacVal,_xlfn.XLOOKUP($A63,Output_Mac!$A:$A,Output_Mac!M:M,""),
_xlpm.MyAuditVal,_xlfn.XLOOKUP($A63,My_Audit!$A:$A,My_Audit!K:K,""),
_xlfn.IFS(_xlpm.MyAuditVal&lt;&gt;"",UPPER(_xlpm.MyAuditVal),_xlpm.MacVal&lt;&gt;"",_xlpm.MacVal,_xlpm.CSVVal&lt;&gt;"",_xlpm.CSVVal
)),"")</f>
        <v/>
      </c>
      <c r="M63" s="54" t="str">
        <f>_xlfn.LET(
    _xlpm.CSVVal, _xlfn.XLOOKUP($A63, CSV!$A:$A, CSV!AD:AD, ""),
    _xlpm.MacVal, _xlfn.XLOOKUP($A63, Output_Mac!$A:$A, Output_Mac!S:S, ""),
    _xlpm.MyAuditVal, _xlfn.XLOOKUP($A63, My_Audit!$A:$A, My_Audit!N:N, ""),
    _xlfn.TEXTJOIN(", ", TRUE, _xlpm.MyAuditVal, _xlpm.MacVal, _xlpm.CSVVal)
)</f>
        <v/>
      </c>
      <c r="N63" s="54" t="str" cm="1">
        <f t="array" ref="N63">IFERROR(_xlfn.LET(
_xlpm.CSVVal,_xlfn.XLOOKUP($A63,CSV!$A:$A,CSV!AF:AF,""),
_xlpm.MacVal,_xlfn.XLOOKUP($A63,Output_Mac!$A:$A,Output_Mac!U:U,""),
_xlpm.MyAuditVal,_xlfn.XLOOKUP($A63,My_Audit!$A:$A,My_Audit!O:O,""),
_xlfn.IFS(_xlpm.MyAuditVal&lt;&gt;"",UPPER(_xlpm.MyAuditVal),_xlpm.MacVal&lt;&gt;"",_xlpm.MacVal,_xlpm.CSVVal&lt;&gt;"",_xlpm.CSVVal
)),"")</f>
        <v/>
      </c>
      <c r="O63" s="54"/>
      <c r="P63" s="54"/>
      <c r="Q63" s="54"/>
      <c r="R63" s="54"/>
      <c r="S63" s="54"/>
      <c r="T63" s="54"/>
      <c r="U63" s="39" t="str">
        <f>_xlfn.LET(
    _xlpm.MacVal, _xlfn.XLOOKUP($A63, Output_Mac!$A:$A, Output_Mac!AB:AB, ""),
    _xlpm.MyAuditVal, _xlfn.XLOOKUP($A63, My_Audit!$A:$A, My_Audit!L:L, ""),
    _xlfn.TEXTJOIN(", ", TRUE, _xlpm.MyAuditVal, _xlpm.MacVal)
)</f>
        <v/>
      </c>
    </row>
    <row r="64" spans="1:21">
      <c r="A64" s="54" t="str">
        <f>_xlfn.TEXTJOIN("",TRUE,Input!$B$2,ROW(My_Audit!A63))</f>
        <v>XX63</v>
      </c>
      <c r="B64" s="54" t="str">
        <f>_xlfn.TEXTJOIN("-",TRUE,"ITD",Input!$A$2,A64)</f>
        <v>ITD-SHRXXX-XX63</v>
      </c>
      <c r="C64" s="54" t="str" cm="1">
        <f t="array" ref="C64">IFERROR(_xlfn.LET(
_xlpm.CSVVal,_xlfn.XLOOKUP($A64,CSV!$A:$A,CSV!B:B,""),
_xlpm.MacVal,_xlfn.XLOOKUP($A64,Output_Mac!$A:$A,Output_Mac!B:B,""),
_xlpm.MyAuditVal,_xlfn.XLOOKUP($A64,My_Audit!$A:$A,My_Audit!B:B,""),
_xlfn.IFS(_xlpm.MyAuditVal&lt;&gt;"",UPPER(_xlpm.MyAuditVal),_xlpm.MacVal&lt;&gt;"",_xlpm.MacVal,_xlpm.CSVVal&lt;&gt;"",_xlpm.CSVVal
)),"")</f>
        <v/>
      </c>
      <c r="D64" s="55" t="str">
        <f>_xlfn.XLOOKUP(A64,My_Audit!A:A,My_Audit!D:D,"")&amp;""</f>
        <v/>
      </c>
      <c r="E64" s="55" t="str" cm="1">
        <f t="array" ref="E64">IFERROR(_xlfn.LET(
_xlpm.CSVVal,_xlfn.XLOOKUP($A64,CSV!$A:$A,CSV!D:D,""),
_xlpm.MacVal,_xlfn.XLOOKUP($A64,Output_Mac!$A:$A,Output_Mac!C:C,""),
_xlpm.MyAuditVal,_xlfn.XLOOKUP($A64,My_Audit!$A:$A,My_Audit!D:D,""),
_xlfn.IFS(_xlpm.MyAuditVal&lt;&gt;"",_xlpm.MyAuditVal,_xlpm.MacVal&lt;&gt;"",_xlpm.MacVal,_xlpm.CSVVal&lt;&gt;"",_xlpm.CSVVal
)),"")</f>
        <v/>
      </c>
      <c r="F64" s="54" t="str" cm="1">
        <f t="array" ref="F64">IFERROR(_xlfn.LET(
_xlpm.CSVVal,_xlfn.XLOOKUP($A64,CSV!$A:$A,CSV!E:E,""),
_xlpm.MacVal,_xlfn.XLOOKUP($A64,Output_Mac!$A:$A,Output_Mac!F:F,""),
_xlpm.MyAuditVal,_xlfn.XLOOKUP($A64,My_Audit!$A:$A,My_Audit!E:E,""),
_xlfn.IFS(_xlpm.MyAuditVal&lt;&gt;"",_xlpm.MyAuditVal,_xlpm.MacVal&lt;&gt;"",_xlpm.MacVal,_xlpm.CSVVal&lt;&gt;"",PROPER(_xlpm.CSVVal)
)),"")</f>
        <v/>
      </c>
      <c r="G64" s="54" t="str" cm="1">
        <f t="array" ref="G64">IFERROR(_xlfn.LET(
_xlpm.CSVVal,_xlfn.XLOOKUP($A64,CSV!$A:$A,CSV!F:F,""),
_xlpm.MacVal,_xlfn.XLOOKUP($A64,Output_Mac!$A:$A,Output_Mac!H:H,""),
_xlpm.MyAuditVal,_xlfn.XLOOKUP($A64,My_Audit!$A:$A,My_Audit!F:F,""),
_xlfn.IFS(_xlpm.MyAuditVal&lt;&gt;"",_xlpm.MyAuditVal,_xlpm.MacVal&lt;&gt;"",_xlpm.MacVal,_xlpm.CSVVal&lt;&gt;"",_xlpm.CSVVal
)),"")</f>
        <v/>
      </c>
      <c r="H64" s="54" t="str">
        <f>_xlfn.XLOOKUP(A64,Output_Mac!A:A,Output_Mac!I:I,"")</f>
        <v/>
      </c>
      <c r="I64" s="54" t="str" cm="1">
        <f t="array" ref="I64">IFERROR(_xlfn.LET(
_xlpm.CSVVal,_xlfn.XLOOKUP($A64,CSV!$A:$A,CSV!G:G,""),
_xlpm.MacVal,_xlfn.XLOOKUP($A64,Output_Mac!$A:$A,Output_Mac!J:J,""),
_xlpm.MyAuditVal,_xlfn.XLOOKUP($A64,My_Audit!$A:$A,My_Audit!H:H,""),
_xlfn.IFS(_xlpm.MyAuditVal&lt;&gt;"",UPPER(_xlpm.MyAuditVal),_xlpm.MacVal&lt;&gt;"",_xlpm.MacVal,_xlpm.CSVVal&lt;&gt;"",_xlpm.CSVVal
)),"")</f>
        <v/>
      </c>
      <c r="J64" s="54" t="str" cm="1">
        <f t="array" ref="J64">IFERROR(_xlfn.LET(
_xlpm.CSVVal,_xlfn.XLOOKUP($A64,CSV!$A:$A,CSV!I:I,""),
_xlpm.MacVal,_xlfn.XLOOKUP($A64,Output_Mac!$A:$A,Output_Mac!K:K,""),
_xlpm.MyAuditVal,_xlfn.XLOOKUP($A64,My_Audit!$A:$A,My_Audit!I:I,""),
_xlfn.IFS(_xlpm.MyAuditVal&lt;&gt;"",UPPER(_xlpm.MyAuditVal),_xlpm.MacVal&lt;&gt;"",_xlpm.MacVal,_xlpm.CSVVal&lt;&gt;"",_xlpm.CSVVal
)),"")</f>
        <v/>
      </c>
      <c r="K64" s="54" t="str" cm="1">
        <f t="array" ref="K64">IFERROR(_xlfn.LET(
_xlpm.CSVVal,_xlfn.XLOOKUP($A64,CSV!$A:$A,CSV!M:M,""),
_xlpm.MacVal,_xlfn.XLOOKUP($A64,Output_Mac!$A:$A,Output_Mac!L:L,""),
_xlpm.MyAuditVal,_xlfn.XLOOKUP($A64,My_Audit!$A:$A,My_Audit!J:J,""),
_xlfn.IFS(_xlpm.MyAuditVal&lt;&gt;"",UPPER(_xlpm.MyAuditVal),_xlpm.MacVal&lt;&gt;"",_xlpm.MacVal,_xlpm.CSVVal&lt;&gt;"",_xlpm.CSVVal
)),"")</f>
        <v/>
      </c>
      <c r="L64" s="55" t="str" cm="1">
        <f t="array" ref="L64">IFERROR(_xlfn.LET(
_xlpm.CSVVal,_xlfn.XLOOKUP($A64,CSV!$A:$A,CSV!P:P,""),
_xlpm.MacVal,_xlfn.XLOOKUP($A64,Output_Mac!$A:$A,Output_Mac!M:M,""),
_xlpm.MyAuditVal,_xlfn.XLOOKUP($A64,My_Audit!$A:$A,My_Audit!K:K,""),
_xlfn.IFS(_xlpm.MyAuditVal&lt;&gt;"",UPPER(_xlpm.MyAuditVal),_xlpm.MacVal&lt;&gt;"",_xlpm.MacVal,_xlpm.CSVVal&lt;&gt;"",_xlpm.CSVVal
)),"")</f>
        <v/>
      </c>
      <c r="M64" s="54" t="str">
        <f>_xlfn.LET(
    _xlpm.CSVVal, _xlfn.XLOOKUP($A64, CSV!$A:$A, CSV!AD:AD, ""),
    _xlpm.MacVal, _xlfn.XLOOKUP($A64, Output_Mac!$A:$A, Output_Mac!S:S, ""),
    _xlpm.MyAuditVal, _xlfn.XLOOKUP($A64, My_Audit!$A:$A, My_Audit!N:N, ""),
    _xlfn.TEXTJOIN(", ", TRUE, _xlpm.MyAuditVal, _xlpm.MacVal, _xlpm.CSVVal)
)</f>
        <v/>
      </c>
      <c r="N64" s="54" t="str" cm="1">
        <f t="array" ref="N64">IFERROR(_xlfn.LET(
_xlpm.CSVVal,_xlfn.XLOOKUP($A64,CSV!$A:$A,CSV!AF:AF,""),
_xlpm.MacVal,_xlfn.XLOOKUP($A64,Output_Mac!$A:$A,Output_Mac!U:U,""),
_xlpm.MyAuditVal,_xlfn.XLOOKUP($A64,My_Audit!$A:$A,My_Audit!O:O,""),
_xlfn.IFS(_xlpm.MyAuditVal&lt;&gt;"",UPPER(_xlpm.MyAuditVal),_xlpm.MacVal&lt;&gt;"",_xlpm.MacVal,_xlpm.CSVVal&lt;&gt;"",_xlpm.CSVVal
)),"")</f>
        <v/>
      </c>
      <c r="O64" s="54"/>
      <c r="P64" s="54"/>
      <c r="Q64" s="54"/>
      <c r="R64" s="54"/>
      <c r="S64" s="54"/>
      <c r="T64" s="54"/>
      <c r="U64" s="39" t="str">
        <f>_xlfn.LET(
    _xlpm.MacVal, _xlfn.XLOOKUP($A64, Output_Mac!$A:$A, Output_Mac!AB:AB, ""),
    _xlpm.MyAuditVal, _xlfn.XLOOKUP($A64, My_Audit!$A:$A, My_Audit!L:L, ""),
    _xlfn.TEXTJOIN(", ", TRUE, _xlpm.MyAuditVal, _xlpm.MacVal)
)</f>
        <v/>
      </c>
    </row>
    <row r="65" spans="1:21">
      <c r="A65" s="54" t="str">
        <f>_xlfn.TEXTJOIN("",TRUE,Input!$B$2,ROW(My_Audit!A64))</f>
        <v>XX64</v>
      </c>
      <c r="B65" s="54" t="str">
        <f>_xlfn.TEXTJOIN("-",TRUE,"ITD",Input!$A$2,A65)</f>
        <v>ITD-SHRXXX-XX64</v>
      </c>
      <c r="C65" s="54" t="str" cm="1">
        <f t="array" ref="C65">IFERROR(_xlfn.LET(
_xlpm.CSVVal,_xlfn.XLOOKUP($A65,CSV!$A:$A,CSV!B:B,""),
_xlpm.MacVal,_xlfn.XLOOKUP($A65,Output_Mac!$A:$A,Output_Mac!B:B,""),
_xlpm.MyAuditVal,_xlfn.XLOOKUP($A65,My_Audit!$A:$A,My_Audit!B:B,""),
_xlfn.IFS(_xlpm.MyAuditVal&lt;&gt;"",UPPER(_xlpm.MyAuditVal),_xlpm.MacVal&lt;&gt;"",_xlpm.MacVal,_xlpm.CSVVal&lt;&gt;"",_xlpm.CSVVal
)),"")</f>
        <v/>
      </c>
      <c r="D65" s="55" t="str">
        <f>_xlfn.XLOOKUP(A65,My_Audit!A:A,My_Audit!D:D,"")&amp;""</f>
        <v/>
      </c>
      <c r="E65" s="55" t="str" cm="1">
        <f t="array" ref="E65">IFERROR(_xlfn.LET(
_xlpm.CSVVal,_xlfn.XLOOKUP($A65,CSV!$A:$A,CSV!D:D,""),
_xlpm.MacVal,_xlfn.XLOOKUP($A65,Output_Mac!$A:$A,Output_Mac!C:C,""),
_xlpm.MyAuditVal,_xlfn.XLOOKUP($A65,My_Audit!$A:$A,My_Audit!D:D,""),
_xlfn.IFS(_xlpm.MyAuditVal&lt;&gt;"",_xlpm.MyAuditVal,_xlpm.MacVal&lt;&gt;"",_xlpm.MacVal,_xlpm.CSVVal&lt;&gt;"",_xlpm.CSVVal
)),"")</f>
        <v/>
      </c>
      <c r="F65" s="54" t="str" cm="1">
        <f t="array" ref="F65">IFERROR(_xlfn.LET(
_xlpm.CSVVal,_xlfn.XLOOKUP($A65,CSV!$A:$A,CSV!E:E,""),
_xlpm.MacVal,_xlfn.XLOOKUP($A65,Output_Mac!$A:$A,Output_Mac!F:F,""),
_xlpm.MyAuditVal,_xlfn.XLOOKUP($A65,My_Audit!$A:$A,My_Audit!E:E,""),
_xlfn.IFS(_xlpm.MyAuditVal&lt;&gt;"",_xlpm.MyAuditVal,_xlpm.MacVal&lt;&gt;"",_xlpm.MacVal,_xlpm.CSVVal&lt;&gt;"",PROPER(_xlpm.CSVVal)
)),"")</f>
        <v/>
      </c>
      <c r="G65" s="54" t="str" cm="1">
        <f t="array" ref="G65">IFERROR(_xlfn.LET(
_xlpm.CSVVal,_xlfn.XLOOKUP($A65,CSV!$A:$A,CSV!F:F,""),
_xlpm.MacVal,_xlfn.XLOOKUP($A65,Output_Mac!$A:$A,Output_Mac!H:H,""),
_xlpm.MyAuditVal,_xlfn.XLOOKUP($A65,My_Audit!$A:$A,My_Audit!F:F,""),
_xlfn.IFS(_xlpm.MyAuditVal&lt;&gt;"",_xlpm.MyAuditVal,_xlpm.MacVal&lt;&gt;"",_xlpm.MacVal,_xlpm.CSVVal&lt;&gt;"",_xlpm.CSVVal
)),"")</f>
        <v/>
      </c>
      <c r="H65" s="54" t="str">
        <f>_xlfn.XLOOKUP(A65,Output_Mac!A:A,Output_Mac!I:I,"")</f>
        <v/>
      </c>
      <c r="I65" s="54" t="str" cm="1">
        <f t="array" ref="I65">IFERROR(_xlfn.LET(
_xlpm.CSVVal,_xlfn.XLOOKUP($A65,CSV!$A:$A,CSV!G:G,""),
_xlpm.MacVal,_xlfn.XLOOKUP($A65,Output_Mac!$A:$A,Output_Mac!J:J,""),
_xlpm.MyAuditVal,_xlfn.XLOOKUP($A65,My_Audit!$A:$A,My_Audit!H:H,""),
_xlfn.IFS(_xlpm.MyAuditVal&lt;&gt;"",UPPER(_xlpm.MyAuditVal),_xlpm.MacVal&lt;&gt;"",_xlpm.MacVal,_xlpm.CSVVal&lt;&gt;"",_xlpm.CSVVal
)),"")</f>
        <v/>
      </c>
      <c r="J65" s="54" t="str" cm="1">
        <f t="array" ref="J65">IFERROR(_xlfn.LET(
_xlpm.CSVVal,_xlfn.XLOOKUP($A65,CSV!$A:$A,CSV!I:I,""),
_xlpm.MacVal,_xlfn.XLOOKUP($A65,Output_Mac!$A:$A,Output_Mac!K:K,""),
_xlpm.MyAuditVal,_xlfn.XLOOKUP($A65,My_Audit!$A:$A,My_Audit!I:I,""),
_xlfn.IFS(_xlpm.MyAuditVal&lt;&gt;"",UPPER(_xlpm.MyAuditVal),_xlpm.MacVal&lt;&gt;"",_xlpm.MacVal,_xlpm.CSVVal&lt;&gt;"",_xlpm.CSVVal
)),"")</f>
        <v/>
      </c>
      <c r="K65" s="54" t="str" cm="1">
        <f t="array" ref="K65">IFERROR(_xlfn.LET(
_xlpm.CSVVal,_xlfn.XLOOKUP($A65,CSV!$A:$A,CSV!M:M,""),
_xlpm.MacVal,_xlfn.XLOOKUP($A65,Output_Mac!$A:$A,Output_Mac!L:L,""),
_xlpm.MyAuditVal,_xlfn.XLOOKUP($A65,My_Audit!$A:$A,My_Audit!J:J,""),
_xlfn.IFS(_xlpm.MyAuditVal&lt;&gt;"",UPPER(_xlpm.MyAuditVal),_xlpm.MacVal&lt;&gt;"",_xlpm.MacVal,_xlpm.CSVVal&lt;&gt;"",_xlpm.CSVVal
)),"")</f>
        <v/>
      </c>
      <c r="L65" s="55" t="str" cm="1">
        <f t="array" ref="L65">IFERROR(_xlfn.LET(
_xlpm.CSVVal,_xlfn.XLOOKUP($A65,CSV!$A:$A,CSV!P:P,""),
_xlpm.MacVal,_xlfn.XLOOKUP($A65,Output_Mac!$A:$A,Output_Mac!M:M,""),
_xlpm.MyAuditVal,_xlfn.XLOOKUP($A65,My_Audit!$A:$A,My_Audit!K:K,""),
_xlfn.IFS(_xlpm.MyAuditVal&lt;&gt;"",UPPER(_xlpm.MyAuditVal),_xlpm.MacVal&lt;&gt;"",_xlpm.MacVal,_xlpm.CSVVal&lt;&gt;"",_xlpm.CSVVal
)),"")</f>
        <v/>
      </c>
      <c r="M65" s="54" t="str">
        <f>_xlfn.LET(
    _xlpm.CSVVal, _xlfn.XLOOKUP($A65, CSV!$A:$A, CSV!AD:AD, ""),
    _xlpm.MacVal, _xlfn.XLOOKUP($A65, Output_Mac!$A:$A, Output_Mac!S:S, ""),
    _xlpm.MyAuditVal, _xlfn.XLOOKUP($A65, My_Audit!$A:$A, My_Audit!N:N, ""),
    _xlfn.TEXTJOIN(", ", TRUE, _xlpm.MyAuditVal, _xlpm.MacVal, _xlpm.CSVVal)
)</f>
        <v/>
      </c>
      <c r="N65" s="54" t="str" cm="1">
        <f t="array" ref="N65">IFERROR(_xlfn.LET(
_xlpm.CSVVal,_xlfn.XLOOKUP($A65,CSV!$A:$A,CSV!AF:AF,""),
_xlpm.MacVal,_xlfn.XLOOKUP($A65,Output_Mac!$A:$A,Output_Mac!U:U,""),
_xlpm.MyAuditVal,_xlfn.XLOOKUP($A65,My_Audit!$A:$A,My_Audit!O:O,""),
_xlfn.IFS(_xlpm.MyAuditVal&lt;&gt;"",UPPER(_xlpm.MyAuditVal),_xlpm.MacVal&lt;&gt;"",_xlpm.MacVal,_xlpm.CSVVal&lt;&gt;"",_xlpm.CSVVal
)),"")</f>
        <v/>
      </c>
      <c r="O65" s="54"/>
      <c r="P65" s="54"/>
      <c r="Q65" s="54"/>
      <c r="R65" s="54"/>
      <c r="S65" s="54"/>
      <c r="T65" s="54"/>
      <c r="U65" s="39" t="str">
        <f>_xlfn.LET(
    _xlpm.MacVal, _xlfn.XLOOKUP($A65, Output_Mac!$A:$A, Output_Mac!AB:AB, ""),
    _xlpm.MyAuditVal, _xlfn.XLOOKUP($A65, My_Audit!$A:$A, My_Audit!L:L, ""),
    _xlfn.TEXTJOIN(", ", TRUE, _xlpm.MyAuditVal, _xlpm.MacVal)
)</f>
        <v/>
      </c>
    </row>
    <row r="66" spans="1:21">
      <c r="A66" s="54" t="str">
        <f>_xlfn.TEXTJOIN("",TRUE,Input!$B$2,ROW(My_Audit!A65))</f>
        <v>XX65</v>
      </c>
      <c r="B66" s="54" t="str">
        <f>_xlfn.TEXTJOIN("-",TRUE,"ITD",Input!$A$2,A66)</f>
        <v>ITD-SHRXXX-XX65</v>
      </c>
      <c r="C66" s="54" t="str" cm="1">
        <f t="array" ref="C66">IFERROR(_xlfn.LET(
_xlpm.CSVVal,_xlfn.XLOOKUP($A66,CSV!$A:$A,CSV!B:B,""),
_xlpm.MacVal,_xlfn.XLOOKUP($A66,Output_Mac!$A:$A,Output_Mac!B:B,""),
_xlpm.MyAuditVal,_xlfn.XLOOKUP($A66,My_Audit!$A:$A,My_Audit!B:B,""),
_xlfn.IFS(_xlpm.MyAuditVal&lt;&gt;"",UPPER(_xlpm.MyAuditVal),_xlpm.MacVal&lt;&gt;"",_xlpm.MacVal,_xlpm.CSVVal&lt;&gt;"",_xlpm.CSVVal
)),"")</f>
        <v/>
      </c>
      <c r="D66" s="55" t="str">
        <f>_xlfn.XLOOKUP(A66,My_Audit!A:A,My_Audit!D:D,"")&amp;""</f>
        <v/>
      </c>
      <c r="E66" s="55" t="str" cm="1">
        <f t="array" ref="E66">IFERROR(_xlfn.LET(
_xlpm.CSVVal,_xlfn.XLOOKUP($A66,CSV!$A:$A,CSV!D:D,""),
_xlpm.MacVal,_xlfn.XLOOKUP($A66,Output_Mac!$A:$A,Output_Mac!C:C,""),
_xlpm.MyAuditVal,_xlfn.XLOOKUP($A66,My_Audit!$A:$A,My_Audit!D:D,""),
_xlfn.IFS(_xlpm.MyAuditVal&lt;&gt;"",_xlpm.MyAuditVal,_xlpm.MacVal&lt;&gt;"",_xlpm.MacVal,_xlpm.CSVVal&lt;&gt;"",_xlpm.CSVVal
)),"")</f>
        <v/>
      </c>
      <c r="F66" s="54" t="str" cm="1">
        <f t="array" ref="F66">IFERROR(_xlfn.LET(
_xlpm.CSVVal,_xlfn.XLOOKUP($A66,CSV!$A:$A,CSV!E:E,""),
_xlpm.MacVal,_xlfn.XLOOKUP($A66,Output_Mac!$A:$A,Output_Mac!F:F,""),
_xlpm.MyAuditVal,_xlfn.XLOOKUP($A66,My_Audit!$A:$A,My_Audit!E:E,""),
_xlfn.IFS(_xlpm.MyAuditVal&lt;&gt;"",_xlpm.MyAuditVal,_xlpm.MacVal&lt;&gt;"",_xlpm.MacVal,_xlpm.CSVVal&lt;&gt;"",PROPER(_xlpm.CSVVal)
)),"")</f>
        <v/>
      </c>
      <c r="G66" s="54" t="str" cm="1">
        <f t="array" ref="G66">IFERROR(_xlfn.LET(
_xlpm.CSVVal,_xlfn.XLOOKUP($A66,CSV!$A:$A,CSV!F:F,""),
_xlpm.MacVal,_xlfn.XLOOKUP($A66,Output_Mac!$A:$A,Output_Mac!H:H,""),
_xlpm.MyAuditVal,_xlfn.XLOOKUP($A66,My_Audit!$A:$A,My_Audit!F:F,""),
_xlfn.IFS(_xlpm.MyAuditVal&lt;&gt;"",_xlpm.MyAuditVal,_xlpm.MacVal&lt;&gt;"",_xlpm.MacVal,_xlpm.CSVVal&lt;&gt;"",_xlpm.CSVVal
)),"")</f>
        <v/>
      </c>
      <c r="H66" s="54" t="str">
        <f>_xlfn.XLOOKUP(A66,Output_Mac!A:A,Output_Mac!I:I,"")</f>
        <v/>
      </c>
      <c r="I66" s="54" t="str" cm="1">
        <f t="array" ref="I66">IFERROR(_xlfn.LET(
_xlpm.CSVVal,_xlfn.XLOOKUP($A66,CSV!$A:$A,CSV!G:G,""),
_xlpm.MacVal,_xlfn.XLOOKUP($A66,Output_Mac!$A:$A,Output_Mac!J:J,""),
_xlpm.MyAuditVal,_xlfn.XLOOKUP($A66,My_Audit!$A:$A,My_Audit!H:H,""),
_xlfn.IFS(_xlpm.MyAuditVal&lt;&gt;"",UPPER(_xlpm.MyAuditVal),_xlpm.MacVal&lt;&gt;"",_xlpm.MacVal,_xlpm.CSVVal&lt;&gt;"",_xlpm.CSVVal
)),"")</f>
        <v/>
      </c>
      <c r="J66" s="54" t="str" cm="1">
        <f t="array" ref="J66">IFERROR(_xlfn.LET(
_xlpm.CSVVal,_xlfn.XLOOKUP($A66,CSV!$A:$A,CSV!I:I,""),
_xlpm.MacVal,_xlfn.XLOOKUP($A66,Output_Mac!$A:$A,Output_Mac!K:K,""),
_xlpm.MyAuditVal,_xlfn.XLOOKUP($A66,My_Audit!$A:$A,My_Audit!I:I,""),
_xlfn.IFS(_xlpm.MyAuditVal&lt;&gt;"",UPPER(_xlpm.MyAuditVal),_xlpm.MacVal&lt;&gt;"",_xlpm.MacVal,_xlpm.CSVVal&lt;&gt;"",_xlpm.CSVVal
)),"")</f>
        <v/>
      </c>
      <c r="K66" s="54" t="str" cm="1">
        <f t="array" ref="K66">IFERROR(_xlfn.LET(
_xlpm.CSVVal,_xlfn.XLOOKUP($A66,CSV!$A:$A,CSV!M:M,""),
_xlpm.MacVal,_xlfn.XLOOKUP($A66,Output_Mac!$A:$A,Output_Mac!L:L,""),
_xlpm.MyAuditVal,_xlfn.XLOOKUP($A66,My_Audit!$A:$A,My_Audit!J:J,""),
_xlfn.IFS(_xlpm.MyAuditVal&lt;&gt;"",UPPER(_xlpm.MyAuditVal),_xlpm.MacVal&lt;&gt;"",_xlpm.MacVal,_xlpm.CSVVal&lt;&gt;"",_xlpm.CSVVal
)),"")</f>
        <v/>
      </c>
      <c r="L66" s="55" t="str" cm="1">
        <f t="array" ref="L66">IFERROR(_xlfn.LET(
_xlpm.CSVVal,_xlfn.XLOOKUP($A66,CSV!$A:$A,CSV!P:P,""),
_xlpm.MacVal,_xlfn.XLOOKUP($A66,Output_Mac!$A:$A,Output_Mac!M:M,""),
_xlpm.MyAuditVal,_xlfn.XLOOKUP($A66,My_Audit!$A:$A,My_Audit!K:K,""),
_xlfn.IFS(_xlpm.MyAuditVal&lt;&gt;"",UPPER(_xlpm.MyAuditVal),_xlpm.MacVal&lt;&gt;"",_xlpm.MacVal,_xlpm.CSVVal&lt;&gt;"",_xlpm.CSVVal
)),"")</f>
        <v/>
      </c>
      <c r="M66" s="54" t="str">
        <f>_xlfn.LET(
    _xlpm.CSVVal, _xlfn.XLOOKUP($A66, CSV!$A:$A, CSV!AD:AD, ""),
    _xlpm.MacVal, _xlfn.XLOOKUP($A66, Output_Mac!$A:$A, Output_Mac!S:S, ""),
    _xlpm.MyAuditVal, _xlfn.XLOOKUP($A66, My_Audit!$A:$A, My_Audit!N:N, ""),
    _xlfn.TEXTJOIN(", ", TRUE, _xlpm.MyAuditVal, _xlpm.MacVal, _xlpm.CSVVal)
)</f>
        <v/>
      </c>
      <c r="N66" s="54" t="str" cm="1">
        <f t="array" ref="N66">IFERROR(_xlfn.LET(
_xlpm.CSVVal,_xlfn.XLOOKUP($A66,CSV!$A:$A,CSV!AF:AF,""),
_xlpm.MacVal,_xlfn.XLOOKUP($A66,Output_Mac!$A:$A,Output_Mac!U:U,""),
_xlpm.MyAuditVal,_xlfn.XLOOKUP($A66,My_Audit!$A:$A,My_Audit!O:O,""),
_xlfn.IFS(_xlpm.MyAuditVal&lt;&gt;"",UPPER(_xlpm.MyAuditVal),_xlpm.MacVal&lt;&gt;"",_xlpm.MacVal,_xlpm.CSVVal&lt;&gt;"",_xlpm.CSVVal
)),"")</f>
        <v/>
      </c>
      <c r="O66" s="54"/>
      <c r="P66" s="54"/>
      <c r="Q66" s="54"/>
      <c r="R66" s="54"/>
      <c r="S66" s="54"/>
      <c r="T66" s="54"/>
      <c r="U66" s="39" t="str">
        <f>_xlfn.LET(
    _xlpm.MacVal, _xlfn.XLOOKUP($A66, Output_Mac!$A:$A, Output_Mac!AB:AB, ""),
    _xlpm.MyAuditVal, _xlfn.XLOOKUP($A66, My_Audit!$A:$A, My_Audit!L:L, ""),
    _xlfn.TEXTJOIN(", ", TRUE, _xlpm.MyAuditVal, _xlpm.MacVal)
)</f>
        <v/>
      </c>
    </row>
    <row r="67" spans="1:21">
      <c r="A67" s="54" t="str">
        <f>_xlfn.TEXTJOIN("",TRUE,Input!$B$2,ROW(My_Audit!A66))</f>
        <v>XX66</v>
      </c>
      <c r="B67" s="54" t="str">
        <f>_xlfn.TEXTJOIN("-",TRUE,"ITD",Input!$A$2,A67)</f>
        <v>ITD-SHRXXX-XX66</v>
      </c>
      <c r="C67" s="54" t="str" cm="1">
        <f t="array" ref="C67">IFERROR(_xlfn.LET(
_xlpm.CSVVal,_xlfn.XLOOKUP($A67,CSV!$A:$A,CSV!B:B,""),
_xlpm.MacVal,_xlfn.XLOOKUP($A67,Output_Mac!$A:$A,Output_Mac!B:B,""),
_xlpm.MyAuditVal,_xlfn.XLOOKUP($A67,My_Audit!$A:$A,My_Audit!B:B,""),
_xlfn.IFS(_xlpm.MyAuditVal&lt;&gt;"",UPPER(_xlpm.MyAuditVal),_xlpm.MacVal&lt;&gt;"",_xlpm.MacVal,_xlpm.CSVVal&lt;&gt;"",_xlpm.CSVVal
)),"")</f>
        <v/>
      </c>
      <c r="D67" s="55" t="str">
        <f>_xlfn.XLOOKUP(A67,My_Audit!A:A,My_Audit!D:D,"")&amp;""</f>
        <v/>
      </c>
      <c r="E67" s="55" t="str" cm="1">
        <f t="array" ref="E67">IFERROR(_xlfn.LET(
_xlpm.CSVVal,_xlfn.XLOOKUP($A67,CSV!$A:$A,CSV!D:D,""),
_xlpm.MacVal,_xlfn.XLOOKUP($A67,Output_Mac!$A:$A,Output_Mac!C:C,""),
_xlpm.MyAuditVal,_xlfn.XLOOKUP($A67,My_Audit!$A:$A,My_Audit!D:D,""),
_xlfn.IFS(_xlpm.MyAuditVal&lt;&gt;"",_xlpm.MyAuditVal,_xlpm.MacVal&lt;&gt;"",_xlpm.MacVal,_xlpm.CSVVal&lt;&gt;"",_xlpm.CSVVal
)),"")</f>
        <v/>
      </c>
      <c r="F67" s="54" t="str" cm="1">
        <f t="array" ref="F67">IFERROR(_xlfn.LET(
_xlpm.CSVVal,_xlfn.XLOOKUP($A67,CSV!$A:$A,CSV!E:E,""),
_xlpm.MacVal,_xlfn.XLOOKUP($A67,Output_Mac!$A:$A,Output_Mac!F:F,""),
_xlpm.MyAuditVal,_xlfn.XLOOKUP($A67,My_Audit!$A:$A,My_Audit!E:E,""),
_xlfn.IFS(_xlpm.MyAuditVal&lt;&gt;"",_xlpm.MyAuditVal,_xlpm.MacVal&lt;&gt;"",_xlpm.MacVal,_xlpm.CSVVal&lt;&gt;"",PROPER(_xlpm.CSVVal)
)),"")</f>
        <v/>
      </c>
      <c r="G67" s="54" t="str" cm="1">
        <f t="array" ref="G67">IFERROR(_xlfn.LET(
_xlpm.CSVVal,_xlfn.XLOOKUP($A67,CSV!$A:$A,CSV!F:F,""),
_xlpm.MacVal,_xlfn.XLOOKUP($A67,Output_Mac!$A:$A,Output_Mac!H:H,""),
_xlpm.MyAuditVal,_xlfn.XLOOKUP($A67,My_Audit!$A:$A,My_Audit!F:F,""),
_xlfn.IFS(_xlpm.MyAuditVal&lt;&gt;"",_xlpm.MyAuditVal,_xlpm.MacVal&lt;&gt;"",_xlpm.MacVal,_xlpm.CSVVal&lt;&gt;"",_xlpm.CSVVal
)),"")</f>
        <v/>
      </c>
      <c r="H67" s="54" t="str">
        <f>_xlfn.XLOOKUP(A67,Output_Mac!A:A,Output_Mac!I:I,"")</f>
        <v/>
      </c>
      <c r="I67" s="54" t="str" cm="1">
        <f t="array" ref="I67">IFERROR(_xlfn.LET(
_xlpm.CSVVal,_xlfn.XLOOKUP($A67,CSV!$A:$A,CSV!G:G,""),
_xlpm.MacVal,_xlfn.XLOOKUP($A67,Output_Mac!$A:$A,Output_Mac!J:J,""),
_xlpm.MyAuditVal,_xlfn.XLOOKUP($A67,My_Audit!$A:$A,My_Audit!H:H,""),
_xlfn.IFS(_xlpm.MyAuditVal&lt;&gt;"",UPPER(_xlpm.MyAuditVal),_xlpm.MacVal&lt;&gt;"",_xlpm.MacVal,_xlpm.CSVVal&lt;&gt;"",_xlpm.CSVVal
)),"")</f>
        <v/>
      </c>
      <c r="J67" s="54" t="str" cm="1">
        <f t="array" ref="J67">IFERROR(_xlfn.LET(
_xlpm.CSVVal,_xlfn.XLOOKUP($A67,CSV!$A:$A,CSV!I:I,""),
_xlpm.MacVal,_xlfn.XLOOKUP($A67,Output_Mac!$A:$A,Output_Mac!K:K,""),
_xlpm.MyAuditVal,_xlfn.XLOOKUP($A67,My_Audit!$A:$A,My_Audit!I:I,""),
_xlfn.IFS(_xlpm.MyAuditVal&lt;&gt;"",UPPER(_xlpm.MyAuditVal),_xlpm.MacVal&lt;&gt;"",_xlpm.MacVal,_xlpm.CSVVal&lt;&gt;"",_xlpm.CSVVal
)),"")</f>
        <v/>
      </c>
      <c r="K67" s="54" t="str" cm="1">
        <f t="array" ref="K67">IFERROR(_xlfn.LET(
_xlpm.CSVVal,_xlfn.XLOOKUP($A67,CSV!$A:$A,CSV!M:M,""),
_xlpm.MacVal,_xlfn.XLOOKUP($A67,Output_Mac!$A:$A,Output_Mac!L:L,""),
_xlpm.MyAuditVal,_xlfn.XLOOKUP($A67,My_Audit!$A:$A,My_Audit!J:J,""),
_xlfn.IFS(_xlpm.MyAuditVal&lt;&gt;"",UPPER(_xlpm.MyAuditVal),_xlpm.MacVal&lt;&gt;"",_xlpm.MacVal,_xlpm.CSVVal&lt;&gt;"",_xlpm.CSVVal
)),"")</f>
        <v/>
      </c>
      <c r="L67" s="55" t="str" cm="1">
        <f t="array" ref="L67">IFERROR(_xlfn.LET(
_xlpm.CSVVal,_xlfn.XLOOKUP($A67,CSV!$A:$A,CSV!P:P,""),
_xlpm.MacVal,_xlfn.XLOOKUP($A67,Output_Mac!$A:$A,Output_Mac!M:M,""),
_xlpm.MyAuditVal,_xlfn.XLOOKUP($A67,My_Audit!$A:$A,My_Audit!K:K,""),
_xlfn.IFS(_xlpm.MyAuditVal&lt;&gt;"",UPPER(_xlpm.MyAuditVal),_xlpm.MacVal&lt;&gt;"",_xlpm.MacVal,_xlpm.CSVVal&lt;&gt;"",_xlpm.CSVVal
)),"")</f>
        <v/>
      </c>
      <c r="M67" s="54" t="str">
        <f>_xlfn.LET(
    _xlpm.CSVVal, _xlfn.XLOOKUP($A67, CSV!$A:$A, CSV!AD:AD, ""),
    _xlpm.MacVal, _xlfn.XLOOKUP($A67, Output_Mac!$A:$A, Output_Mac!S:S, ""),
    _xlpm.MyAuditVal, _xlfn.XLOOKUP($A67, My_Audit!$A:$A, My_Audit!N:N, ""),
    _xlfn.TEXTJOIN(", ", TRUE, _xlpm.MyAuditVal, _xlpm.MacVal, _xlpm.CSVVal)
)</f>
        <v/>
      </c>
      <c r="N67" s="54" t="str" cm="1">
        <f t="array" ref="N67">IFERROR(_xlfn.LET(
_xlpm.CSVVal,_xlfn.XLOOKUP($A67,CSV!$A:$A,CSV!AF:AF,""),
_xlpm.MacVal,_xlfn.XLOOKUP($A67,Output_Mac!$A:$A,Output_Mac!U:U,""),
_xlpm.MyAuditVal,_xlfn.XLOOKUP($A67,My_Audit!$A:$A,My_Audit!O:O,""),
_xlfn.IFS(_xlpm.MyAuditVal&lt;&gt;"",UPPER(_xlpm.MyAuditVal),_xlpm.MacVal&lt;&gt;"",_xlpm.MacVal,_xlpm.CSVVal&lt;&gt;"",_xlpm.CSVVal
)),"")</f>
        <v/>
      </c>
      <c r="O67" s="54"/>
      <c r="P67" s="54"/>
      <c r="Q67" s="54"/>
      <c r="R67" s="54"/>
      <c r="S67" s="54"/>
      <c r="T67" s="54"/>
      <c r="U67" s="39" t="str">
        <f>_xlfn.LET(
    _xlpm.MacVal, _xlfn.XLOOKUP($A67, Output_Mac!$A:$A, Output_Mac!AB:AB, ""),
    _xlpm.MyAuditVal, _xlfn.XLOOKUP($A67, My_Audit!$A:$A, My_Audit!L:L, ""),
    _xlfn.TEXTJOIN(", ", TRUE, _xlpm.MyAuditVal, _xlpm.MacVal)
)</f>
        <v/>
      </c>
    </row>
    <row r="68" spans="1:21">
      <c r="A68" s="54" t="str">
        <f>_xlfn.TEXTJOIN("",TRUE,Input!$B$2,ROW(My_Audit!A67))</f>
        <v>XX67</v>
      </c>
      <c r="B68" s="54" t="str">
        <f>_xlfn.TEXTJOIN("-",TRUE,"ITD",Input!$A$2,A68)</f>
        <v>ITD-SHRXXX-XX67</v>
      </c>
      <c r="C68" s="54" t="str" cm="1">
        <f t="array" ref="C68">IFERROR(_xlfn.LET(
_xlpm.CSVVal,_xlfn.XLOOKUP($A68,CSV!$A:$A,CSV!B:B,""),
_xlpm.MacVal,_xlfn.XLOOKUP($A68,Output_Mac!$A:$A,Output_Mac!B:B,""),
_xlpm.MyAuditVal,_xlfn.XLOOKUP($A68,My_Audit!$A:$A,My_Audit!B:B,""),
_xlfn.IFS(_xlpm.MyAuditVal&lt;&gt;"",UPPER(_xlpm.MyAuditVal),_xlpm.MacVal&lt;&gt;"",_xlpm.MacVal,_xlpm.CSVVal&lt;&gt;"",_xlpm.CSVVal
)),"")</f>
        <v/>
      </c>
      <c r="D68" s="55" t="str">
        <f>_xlfn.XLOOKUP(A68,My_Audit!A:A,My_Audit!D:D,"")&amp;""</f>
        <v/>
      </c>
      <c r="E68" s="55" t="str" cm="1">
        <f t="array" ref="E68">IFERROR(_xlfn.LET(
_xlpm.CSVVal,_xlfn.XLOOKUP($A68,CSV!$A:$A,CSV!D:D,""),
_xlpm.MacVal,_xlfn.XLOOKUP($A68,Output_Mac!$A:$A,Output_Mac!C:C,""),
_xlpm.MyAuditVal,_xlfn.XLOOKUP($A68,My_Audit!$A:$A,My_Audit!D:D,""),
_xlfn.IFS(_xlpm.MyAuditVal&lt;&gt;"",_xlpm.MyAuditVal,_xlpm.MacVal&lt;&gt;"",_xlpm.MacVal,_xlpm.CSVVal&lt;&gt;"",_xlpm.CSVVal
)),"")</f>
        <v/>
      </c>
      <c r="F68" s="54" t="str" cm="1">
        <f t="array" ref="F68">IFERROR(_xlfn.LET(
_xlpm.CSVVal,_xlfn.XLOOKUP($A68,CSV!$A:$A,CSV!E:E,""),
_xlpm.MacVal,_xlfn.XLOOKUP($A68,Output_Mac!$A:$A,Output_Mac!F:F,""),
_xlpm.MyAuditVal,_xlfn.XLOOKUP($A68,My_Audit!$A:$A,My_Audit!E:E,""),
_xlfn.IFS(_xlpm.MyAuditVal&lt;&gt;"",_xlpm.MyAuditVal,_xlpm.MacVal&lt;&gt;"",_xlpm.MacVal,_xlpm.CSVVal&lt;&gt;"",PROPER(_xlpm.CSVVal)
)),"")</f>
        <v/>
      </c>
      <c r="G68" s="54" t="str" cm="1">
        <f t="array" ref="G68">IFERROR(_xlfn.LET(
_xlpm.CSVVal,_xlfn.XLOOKUP($A68,CSV!$A:$A,CSV!F:F,""),
_xlpm.MacVal,_xlfn.XLOOKUP($A68,Output_Mac!$A:$A,Output_Mac!H:H,""),
_xlpm.MyAuditVal,_xlfn.XLOOKUP($A68,My_Audit!$A:$A,My_Audit!F:F,""),
_xlfn.IFS(_xlpm.MyAuditVal&lt;&gt;"",_xlpm.MyAuditVal,_xlpm.MacVal&lt;&gt;"",_xlpm.MacVal,_xlpm.CSVVal&lt;&gt;"",_xlpm.CSVVal
)),"")</f>
        <v/>
      </c>
      <c r="H68" s="54" t="str">
        <f>_xlfn.XLOOKUP(A68,Output_Mac!A:A,Output_Mac!I:I,"")</f>
        <v/>
      </c>
      <c r="I68" s="54" t="str" cm="1">
        <f t="array" ref="I68">IFERROR(_xlfn.LET(
_xlpm.CSVVal,_xlfn.XLOOKUP($A68,CSV!$A:$A,CSV!G:G,""),
_xlpm.MacVal,_xlfn.XLOOKUP($A68,Output_Mac!$A:$A,Output_Mac!J:J,""),
_xlpm.MyAuditVal,_xlfn.XLOOKUP($A68,My_Audit!$A:$A,My_Audit!H:H,""),
_xlfn.IFS(_xlpm.MyAuditVal&lt;&gt;"",UPPER(_xlpm.MyAuditVal),_xlpm.MacVal&lt;&gt;"",_xlpm.MacVal,_xlpm.CSVVal&lt;&gt;"",_xlpm.CSVVal
)),"")</f>
        <v/>
      </c>
      <c r="J68" s="54" t="str" cm="1">
        <f t="array" ref="J68">IFERROR(_xlfn.LET(
_xlpm.CSVVal,_xlfn.XLOOKUP($A68,CSV!$A:$A,CSV!I:I,""),
_xlpm.MacVal,_xlfn.XLOOKUP($A68,Output_Mac!$A:$A,Output_Mac!K:K,""),
_xlpm.MyAuditVal,_xlfn.XLOOKUP($A68,My_Audit!$A:$A,My_Audit!I:I,""),
_xlfn.IFS(_xlpm.MyAuditVal&lt;&gt;"",UPPER(_xlpm.MyAuditVal),_xlpm.MacVal&lt;&gt;"",_xlpm.MacVal,_xlpm.CSVVal&lt;&gt;"",_xlpm.CSVVal
)),"")</f>
        <v/>
      </c>
      <c r="K68" s="54" t="str" cm="1">
        <f t="array" ref="K68">IFERROR(_xlfn.LET(
_xlpm.CSVVal,_xlfn.XLOOKUP($A68,CSV!$A:$A,CSV!M:M,""),
_xlpm.MacVal,_xlfn.XLOOKUP($A68,Output_Mac!$A:$A,Output_Mac!L:L,""),
_xlpm.MyAuditVal,_xlfn.XLOOKUP($A68,My_Audit!$A:$A,My_Audit!J:J,""),
_xlfn.IFS(_xlpm.MyAuditVal&lt;&gt;"",UPPER(_xlpm.MyAuditVal),_xlpm.MacVal&lt;&gt;"",_xlpm.MacVal,_xlpm.CSVVal&lt;&gt;"",_xlpm.CSVVal
)),"")</f>
        <v/>
      </c>
      <c r="L68" s="55" t="str" cm="1">
        <f t="array" ref="L68">IFERROR(_xlfn.LET(
_xlpm.CSVVal,_xlfn.XLOOKUP($A68,CSV!$A:$A,CSV!P:P,""),
_xlpm.MacVal,_xlfn.XLOOKUP($A68,Output_Mac!$A:$A,Output_Mac!M:M,""),
_xlpm.MyAuditVal,_xlfn.XLOOKUP($A68,My_Audit!$A:$A,My_Audit!K:K,""),
_xlfn.IFS(_xlpm.MyAuditVal&lt;&gt;"",UPPER(_xlpm.MyAuditVal),_xlpm.MacVal&lt;&gt;"",_xlpm.MacVal,_xlpm.CSVVal&lt;&gt;"",_xlpm.CSVVal
)),"")</f>
        <v/>
      </c>
      <c r="M68" s="54" t="str">
        <f>_xlfn.LET(
    _xlpm.CSVVal, _xlfn.XLOOKUP($A68, CSV!$A:$A, CSV!AD:AD, ""),
    _xlpm.MacVal, _xlfn.XLOOKUP($A68, Output_Mac!$A:$A, Output_Mac!S:S, ""),
    _xlpm.MyAuditVal, _xlfn.XLOOKUP($A68, My_Audit!$A:$A, My_Audit!N:N, ""),
    _xlfn.TEXTJOIN(", ", TRUE, _xlpm.MyAuditVal, _xlpm.MacVal, _xlpm.CSVVal)
)</f>
        <v/>
      </c>
      <c r="N68" s="54" t="str" cm="1">
        <f t="array" ref="N68">IFERROR(_xlfn.LET(
_xlpm.CSVVal,_xlfn.XLOOKUP($A68,CSV!$A:$A,CSV!AF:AF,""),
_xlpm.MacVal,_xlfn.XLOOKUP($A68,Output_Mac!$A:$A,Output_Mac!U:U,""),
_xlpm.MyAuditVal,_xlfn.XLOOKUP($A68,My_Audit!$A:$A,My_Audit!O:O,""),
_xlfn.IFS(_xlpm.MyAuditVal&lt;&gt;"",UPPER(_xlpm.MyAuditVal),_xlpm.MacVal&lt;&gt;"",_xlpm.MacVal,_xlpm.CSVVal&lt;&gt;"",_xlpm.CSVVal
)),"")</f>
        <v/>
      </c>
      <c r="O68" s="54"/>
      <c r="P68" s="54"/>
      <c r="Q68" s="54"/>
      <c r="R68" s="54"/>
      <c r="S68" s="54"/>
      <c r="T68" s="54"/>
      <c r="U68" s="39" t="str">
        <f>_xlfn.LET(
    _xlpm.MacVal, _xlfn.XLOOKUP($A68, Output_Mac!$A:$A, Output_Mac!AB:AB, ""),
    _xlpm.MyAuditVal, _xlfn.XLOOKUP($A68, My_Audit!$A:$A, My_Audit!L:L, ""),
    _xlfn.TEXTJOIN(", ", TRUE, _xlpm.MyAuditVal, _xlpm.MacVal)
)</f>
        <v/>
      </c>
    </row>
    <row r="69" spans="1:21">
      <c r="A69" s="54" t="str">
        <f>_xlfn.TEXTJOIN("",TRUE,Input!$B$2,ROW(My_Audit!A68))</f>
        <v>XX68</v>
      </c>
      <c r="B69" s="54" t="str">
        <f>_xlfn.TEXTJOIN("-",TRUE,"ITD",Input!$A$2,A69)</f>
        <v>ITD-SHRXXX-XX68</v>
      </c>
      <c r="C69" s="54" t="str" cm="1">
        <f t="array" ref="C69">IFERROR(_xlfn.LET(
_xlpm.CSVVal,_xlfn.XLOOKUP($A69,CSV!$A:$A,CSV!B:B,""),
_xlpm.MacVal,_xlfn.XLOOKUP($A69,Output_Mac!$A:$A,Output_Mac!B:B,""),
_xlpm.MyAuditVal,_xlfn.XLOOKUP($A69,My_Audit!$A:$A,My_Audit!B:B,""),
_xlfn.IFS(_xlpm.MyAuditVal&lt;&gt;"",UPPER(_xlpm.MyAuditVal),_xlpm.MacVal&lt;&gt;"",_xlpm.MacVal,_xlpm.CSVVal&lt;&gt;"",_xlpm.CSVVal
)),"")</f>
        <v/>
      </c>
      <c r="D69" s="55" t="str">
        <f>_xlfn.XLOOKUP(A69,My_Audit!A:A,My_Audit!D:D,"")&amp;""</f>
        <v/>
      </c>
      <c r="E69" s="55" t="str" cm="1">
        <f t="array" ref="E69">IFERROR(_xlfn.LET(
_xlpm.CSVVal,_xlfn.XLOOKUP($A69,CSV!$A:$A,CSV!D:D,""),
_xlpm.MacVal,_xlfn.XLOOKUP($A69,Output_Mac!$A:$A,Output_Mac!C:C,""),
_xlpm.MyAuditVal,_xlfn.XLOOKUP($A69,My_Audit!$A:$A,My_Audit!D:D,""),
_xlfn.IFS(_xlpm.MyAuditVal&lt;&gt;"",_xlpm.MyAuditVal,_xlpm.MacVal&lt;&gt;"",_xlpm.MacVal,_xlpm.CSVVal&lt;&gt;"",_xlpm.CSVVal
)),"")</f>
        <v/>
      </c>
      <c r="F69" s="54" t="str" cm="1">
        <f t="array" ref="F69">IFERROR(_xlfn.LET(
_xlpm.CSVVal,_xlfn.XLOOKUP($A69,CSV!$A:$A,CSV!E:E,""),
_xlpm.MacVal,_xlfn.XLOOKUP($A69,Output_Mac!$A:$A,Output_Mac!F:F,""),
_xlpm.MyAuditVal,_xlfn.XLOOKUP($A69,My_Audit!$A:$A,My_Audit!E:E,""),
_xlfn.IFS(_xlpm.MyAuditVal&lt;&gt;"",_xlpm.MyAuditVal,_xlpm.MacVal&lt;&gt;"",_xlpm.MacVal,_xlpm.CSVVal&lt;&gt;"",PROPER(_xlpm.CSVVal)
)),"")</f>
        <v/>
      </c>
      <c r="G69" s="54" t="str" cm="1">
        <f t="array" ref="G69">IFERROR(_xlfn.LET(
_xlpm.CSVVal,_xlfn.XLOOKUP($A69,CSV!$A:$A,CSV!F:F,""),
_xlpm.MacVal,_xlfn.XLOOKUP($A69,Output_Mac!$A:$A,Output_Mac!H:H,""),
_xlpm.MyAuditVal,_xlfn.XLOOKUP($A69,My_Audit!$A:$A,My_Audit!F:F,""),
_xlfn.IFS(_xlpm.MyAuditVal&lt;&gt;"",_xlpm.MyAuditVal,_xlpm.MacVal&lt;&gt;"",_xlpm.MacVal,_xlpm.CSVVal&lt;&gt;"",_xlpm.CSVVal
)),"")</f>
        <v/>
      </c>
      <c r="H69" s="54" t="str">
        <f>_xlfn.XLOOKUP(A69,Output_Mac!A:A,Output_Mac!I:I,"")</f>
        <v/>
      </c>
      <c r="I69" s="54" t="str" cm="1">
        <f t="array" ref="I69">IFERROR(_xlfn.LET(
_xlpm.CSVVal,_xlfn.XLOOKUP($A69,CSV!$A:$A,CSV!G:G,""),
_xlpm.MacVal,_xlfn.XLOOKUP($A69,Output_Mac!$A:$A,Output_Mac!J:J,""),
_xlpm.MyAuditVal,_xlfn.XLOOKUP($A69,My_Audit!$A:$A,My_Audit!H:H,""),
_xlfn.IFS(_xlpm.MyAuditVal&lt;&gt;"",UPPER(_xlpm.MyAuditVal),_xlpm.MacVal&lt;&gt;"",_xlpm.MacVal,_xlpm.CSVVal&lt;&gt;"",_xlpm.CSVVal
)),"")</f>
        <v/>
      </c>
      <c r="J69" s="54" t="str" cm="1">
        <f t="array" ref="J69">IFERROR(_xlfn.LET(
_xlpm.CSVVal,_xlfn.XLOOKUP($A69,CSV!$A:$A,CSV!I:I,""),
_xlpm.MacVal,_xlfn.XLOOKUP($A69,Output_Mac!$A:$A,Output_Mac!K:K,""),
_xlpm.MyAuditVal,_xlfn.XLOOKUP($A69,My_Audit!$A:$A,My_Audit!I:I,""),
_xlfn.IFS(_xlpm.MyAuditVal&lt;&gt;"",UPPER(_xlpm.MyAuditVal),_xlpm.MacVal&lt;&gt;"",_xlpm.MacVal,_xlpm.CSVVal&lt;&gt;"",_xlpm.CSVVal
)),"")</f>
        <v/>
      </c>
      <c r="K69" s="54" t="str" cm="1">
        <f t="array" ref="K69">IFERROR(_xlfn.LET(
_xlpm.CSVVal,_xlfn.XLOOKUP($A69,CSV!$A:$A,CSV!M:M,""),
_xlpm.MacVal,_xlfn.XLOOKUP($A69,Output_Mac!$A:$A,Output_Mac!L:L,""),
_xlpm.MyAuditVal,_xlfn.XLOOKUP($A69,My_Audit!$A:$A,My_Audit!J:J,""),
_xlfn.IFS(_xlpm.MyAuditVal&lt;&gt;"",UPPER(_xlpm.MyAuditVal),_xlpm.MacVal&lt;&gt;"",_xlpm.MacVal,_xlpm.CSVVal&lt;&gt;"",_xlpm.CSVVal
)),"")</f>
        <v/>
      </c>
      <c r="L69" s="55" t="str" cm="1">
        <f t="array" ref="L69">IFERROR(_xlfn.LET(
_xlpm.CSVVal,_xlfn.XLOOKUP($A69,CSV!$A:$A,CSV!P:P,""),
_xlpm.MacVal,_xlfn.XLOOKUP($A69,Output_Mac!$A:$A,Output_Mac!M:M,""),
_xlpm.MyAuditVal,_xlfn.XLOOKUP($A69,My_Audit!$A:$A,My_Audit!K:K,""),
_xlfn.IFS(_xlpm.MyAuditVal&lt;&gt;"",UPPER(_xlpm.MyAuditVal),_xlpm.MacVal&lt;&gt;"",_xlpm.MacVal,_xlpm.CSVVal&lt;&gt;"",_xlpm.CSVVal
)),"")</f>
        <v/>
      </c>
      <c r="M69" s="54" t="str">
        <f>_xlfn.LET(
    _xlpm.CSVVal, _xlfn.XLOOKUP($A69, CSV!$A:$A, CSV!AD:AD, ""),
    _xlpm.MacVal, _xlfn.XLOOKUP($A69, Output_Mac!$A:$A, Output_Mac!S:S, ""),
    _xlpm.MyAuditVal, _xlfn.XLOOKUP($A69, My_Audit!$A:$A, My_Audit!N:N, ""),
    _xlfn.TEXTJOIN(", ", TRUE, _xlpm.MyAuditVal, _xlpm.MacVal, _xlpm.CSVVal)
)</f>
        <v/>
      </c>
      <c r="N69" s="54" t="str" cm="1">
        <f t="array" ref="N69">IFERROR(_xlfn.LET(
_xlpm.CSVVal,_xlfn.XLOOKUP($A69,CSV!$A:$A,CSV!AF:AF,""),
_xlpm.MacVal,_xlfn.XLOOKUP($A69,Output_Mac!$A:$A,Output_Mac!U:U,""),
_xlpm.MyAuditVal,_xlfn.XLOOKUP($A69,My_Audit!$A:$A,My_Audit!O:O,""),
_xlfn.IFS(_xlpm.MyAuditVal&lt;&gt;"",UPPER(_xlpm.MyAuditVal),_xlpm.MacVal&lt;&gt;"",_xlpm.MacVal,_xlpm.CSVVal&lt;&gt;"",_xlpm.CSVVal
)),"")</f>
        <v/>
      </c>
      <c r="O69" s="54"/>
      <c r="P69" s="54"/>
      <c r="Q69" s="54"/>
      <c r="R69" s="54"/>
      <c r="S69" s="54"/>
      <c r="T69" s="54"/>
      <c r="U69" s="39" t="str">
        <f>_xlfn.LET(
    _xlpm.MacVal, _xlfn.XLOOKUP($A69, Output_Mac!$A:$A, Output_Mac!AB:AB, ""),
    _xlpm.MyAuditVal, _xlfn.XLOOKUP($A69, My_Audit!$A:$A, My_Audit!L:L, ""),
    _xlfn.TEXTJOIN(", ", TRUE, _xlpm.MyAuditVal, _xlpm.MacVal)
)</f>
        <v/>
      </c>
    </row>
    <row r="70" spans="1:21">
      <c r="A70" s="54" t="str">
        <f>_xlfn.TEXTJOIN("",TRUE,Input!$B$2,ROW(My_Audit!A69))</f>
        <v>XX69</v>
      </c>
      <c r="B70" s="54" t="str">
        <f>_xlfn.TEXTJOIN("-",TRUE,"ITD",Input!$A$2,A70)</f>
        <v>ITD-SHRXXX-XX69</v>
      </c>
      <c r="C70" s="54" t="str" cm="1">
        <f t="array" ref="C70">IFERROR(_xlfn.LET(
_xlpm.CSVVal,_xlfn.XLOOKUP($A70,CSV!$A:$A,CSV!B:B,""),
_xlpm.MacVal,_xlfn.XLOOKUP($A70,Output_Mac!$A:$A,Output_Mac!B:B,""),
_xlpm.MyAuditVal,_xlfn.XLOOKUP($A70,My_Audit!$A:$A,My_Audit!B:B,""),
_xlfn.IFS(_xlpm.MyAuditVal&lt;&gt;"",UPPER(_xlpm.MyAuditVal),_xlpm.MacVal&lt;&gt;"",_xlpm.MacVal,_xlpm.CSVVal&lt;&gt;"",_xlpm.CSVVal
)),"")</f>
        <v/>
      </c>
      <c r="D70" s="55" t="str">
        <f>_xlfn.XLOOKUP(A70,My_Audit!A:A,My_Audit!D:D,"")&amp;""</f>
        <v/>
      </c>
      <c r="E70" s="55" t="str" cm="1">
        <f t="array" ref="E70">IFERROR(_xlfn.LET(
_xlpm.CSVVal,_xlfn.XLOOKUP($A70,CSV!$A:$A,CSV!D:D,""),
_xlpm.MacVal,_xlfn.XLOOKUP($A70,Output_Mac!$A:$A,Output_Mac!C:C,""),
_xlpm.MyAuditVal,_xlfn.XLOOKUP($A70,My_Audit!$A:$A,My_Audit!D:D,""),
_xlfn.IFS(_xlpm.MyAuditVal&lt;&gt;"",_xlpm.MyAuditVal,_xlpm.MacVal&lt;&gt;"",_xlpm.MacVal,_xlpm.CSVVal&lt;&gt;"",_xlpm.CSVVal
)),"")</f>
        <v/>
      </c>
      <c r="F70" s="54" t="str" cm="1">
        <f t="array" ref="F70">IFERROR(_xlfn.LET(
_xlpm.CSVVal,_xlfn.XLOOKUP($A70,CSV!$A:$A,CSV!E:E,""),
_xlpm.MacVal,_xlfn.XLOOKUP($A70,Output_Mac!$A:$A,Output_Mac!F:F,""),
_xlpm.MyAuditVal,_xlfn.XLOOKUP($A70,My_Audit!$A:$A,My_Audit!E:E,""),
_xlfn.IFS(_xlpm.MyAuditVal&lt;&gt;"",_xlpm.MyAuditVal,_xlpm.MacVal&lt;&gt;"",_xlpm.MacVal,_xlpm.CSVVal&lt;&gt;"",PROPER(_xlpm.CSVVal)
)),"")</f>
        <v/>
      </c>
      <c r="G70" s="54" t="str" cm="1">
        <f t="array" ref="G70">IFERROR(_xlfn.LET(
_xlpm.CSVVal,_xlfn.XLOOKUP($A70,CSV!$A:$A,CSV!F:F,""),
_xlpm.MacVal,_xlfn.XLOOKUP($A70,Output_Mac!$A:$A,Output_Mac!H:H,""),
_xlpm.MyAuditVal,_xlfn.XLOOKUP($A70,My_Audit!$A:$A,My_Audit!F:F,""),
_xlfn.IFS(_xlpm.MyAuditVal&lt;&gt;"",_xlpm.MyAuditVal,_xlpm.MacVal&lt;&gt;"",_xlpm.MacVal,_xlpm.CSVVal&lt;&gt;"",_xlpm.CSVVal
)),"")</f>
        <v/>
      </c>
      <c r="H70" s="54" t="str">
        <f>_xlfn.XLOOKUP(A70,Output_Mac!A:A,Output_Mac!I:I,"")</f>
        <v/>
      </c>
      <c r="I70" s="54" t="str" cm="1">
        <f t="array" ref="I70">IFERROR(_xlfn.LET(
_xlpm.CSVVal,_xlfn.XLOOKUP($A70,CSV!$A:$A,CSV!G:G,""),
_xlpm.MacVal,_xlfn.XLOOKUP($A70,Output_Mac!$A:$A,Output_Mac!J:J,""),
_xlpm.MyAuditVal,_xlfn.XLOOKUP($A70,My_Audit!$A:$A,My_Audit!H:H,""),
_xlfn.IFS(_xlpm.MyAuditVal&lt;&gt;"",UPPER(_xlpm.MyAuditVal),_xlpm.MacVal&lt;&gt;"",_xlpm.MacVal,_xlpm.CSVVal&lt;&gt;"",_xlpm.CSVVal
)),"")</f>
        <v/>
      </c>
      <c r="J70" s="54" t="str" cm="1">
        <f t="array" ref="J70">IFERROR(_xlfn.LET(
_xlpm.CSVVal,_xlfn.XLOOKUP($A70,CSV!$A:$A,CSV!I:I,""),
_xlpm.MacVal,_xlfn.XLOOKUP($A70,Output_Mac!$A:$A,Output_Mac!K:K,""),
_xlpm.MyAuditVal,_xlfn.XLOOKUP($A70,My_Audit!$A:$A,My_Audit!I:I,""),
_xlfn.IFS(_xlpm.MyAuditVal&lt;&gt;"",UPPER(_xlpm.MyAuditVal),_xlpm.MacVal&lt;&gt;"",_xlpm.MacVal,_xlpm.CSVVal&lt;&gt;"",_xlpm.CSVVal
)),"")</f>
        <v/>
      </c>
      <c r="K70" s="54" t="str" cm="1">
        <f t="array" ref="K70">IFERROR(_xlfn.LET(
_xlpm.CSVVal,_xlfn.XLOOKUP($A70,CSV!$A:$A,CSV!M:M,""),
_xlpm.MacVal,_xlfn.XLOOKUP($A70,Output_Mac!$A:$A,Output_Mac!L:L,""),
_xlpm.MyAuditVal,_xlfn.XLOOKUP($A70,My_Audit!$A:$A,My_Audit!J:J,""),
_xlfn.IFS(_xlpm.MyAuditVal&lt;&gt;"",UPPER(_xlpm.MyAuditVal),_xlpm.MacVal&lt;&gt;"",_xlpm.MacVal,_xlpm.CSVVal&lt;&gt;"",_xlpm.CSVVal
)),"")</f>
        <v/>
      </c>
      <c r="L70" s="55" t="str" cm="1">
        <f t="array" ref="L70">IFERROR(_xlfn.LET(
_xlpm.CSVVal,_xlfn.XLOOKUP($A70,CSV!$A:$A,CSV!P:P,""),
_xlpm.MacVal,_xlfn.XLOOKUP($A70,Output_Mac!$A:$A,Output_Mac!M:M,""),
_xlpm.MyAuditVal,_xlfn.XLOOKUP($A70,My_Audit!$A:$A,My_Audit!K:K,""),
_xlfn.IFS(_xlpm.MyAuditVal&lt;&gt;"",UPPER(_xlpm.MyAuditVal),_xlpm.MacVal&lt;&gt;"",_xlpm.MacVal,_xlpm.CSVVal&lt;&gt;"",_xlpm.CSVVal
)),"")</f>
        <v/>
      </c>
      <c r="M70" s="54" t="str">
        <f>_xlfn.LET(
    _xlpm.CSVVal, _xlfn.XLOOKUP($A70, CSV!$A:$A, CSV!AD:AD, ""),
    _xlpm.MacVal, _xlfn.XLOOKUP($A70, Output_Mac!$A:$A, Output_Mac!S:S, ""),
    _xlpm.MyAuditVal, _xlfn.XLOOKUP($A70, My_Audit!$A:$A, My_Audit!N:N, ""),
    _xlfn.TEXTJOIN(", ", TRUE, _xlpm.MyAuditVal, _xlpm.MacVal, _xlpm.CSVVal)
)</f>
        <v/>
      </c>
      <c r="N70" s="54" t="str" cm="1">
        <f t="array" ref="N70">IFERROR(_xlfn.LET(
_xlpm.CSVVal,_xlfn.XLOOKUP($A70,CSV!$A:$A,CSV!AF:AF,""),
_xlpm.MacVal,_xlfn.XLOOKUP($A70,Output_Mac!$A:$A,Output_Mac!U:U,""),
_xlpm.MyAuditVal,_xlfn.XLOOKUP($A70,My_Audit!$A:$A,My_Audit!O:O,""),
_xlfn.IFS(_xlpm.MyAuditVal&lt;&gt;"",UPPER(_xlpm.MyAuditVal),_xlpm.MacVal&lt;&gt;"",_xlpm.MacVal,_xlpm.CSVVal&lt;&gt;"",_xlpm.CSVVal
)),"")</f>
        <v/>
      </c>
      <c r="O70" s="54"/>
      <c r="P70" s="54"/>
      <c r="Q70" s="54"/>
      <c r="R70" s="54"/>
      <c r="S70" s="54"/>
      <c r="T70" s="54"/>
      <c r="U70" s="39" t="str">
        <f>_xlfn.LET(
    _xlpm.MacVal, _xlfn.XLOOKUP($A70, Output_Mac!$A:$A, Output_Mac!AB:AB, ""),
    _xlpm.MyAuditVal, _xlfn.XLOOKUP($A70, My_Audit!$A:$A, My_Audit!L:L, ""),
    _xlfn.TEXTJOIN(", ", TRUE, _xlpm.MyAuditVal, _xlpm.MacVal)
)</f>
        <v/>
      </c>
    </row>
    <row r="71" spans="1:21">
      <c r="A71" s="54" t="str">
        <f>_xlfn.TEXTJOIN("",TRUE,Input!$B$2,ROW(My_Audit!A70))</f>
        <v>XX70</v>
      </c>
      <c r="B71" s="54" t="str">
        <f>_xlfn.TEXTJOIN("-",TRUE,"ITD",Input!$A$2,A71)</f>
        <v>ITD-SHRXXX-XX70</v>
      </c>
      <c r="C71" s="54" t="str" cm="1">
        <f t="array" ref="C71">IFERROR(_xlfn.LET(
_xlpm.CSVVal,_xlfn.XLOOKUP($A71,CSV!$A:$A,CSV!B:B,""),
_xlpm.MacVal,_xlfn.XLOOKUP($A71,Output_Mac!$A:$A,Output_Mac!B:B,""),
_xlpm.MyAuditVal,_xlfn.XLOOKUP($A71,My_Audit!$A:$A,My_Audit!B:B,""),
_xlfn.IFS(_xlpm.MyAuditVal&lt;&gt;"",UPPER(_xlpm.MyAuditVal),_xlpm.MacVal&lt;&gt;"",_xlpm.MacVal,_xlpm.CSVVal&lt;&gt;"",_xlpm.CSVVal
)),"")</f>
        <v/>
      </c>
      <c r="D71" s="55" t="str">
        <f>_xlfn.XLOOKUP(A71,My_Audit!A:A,My_Audit!D:D,"")&amp;""</f>
        <v/>
      </c>
      <c r="E71" s="55" t="str" cm="1">
        <f t="array" ref="E71">IFERROR(_xlfn.LET(
_xlpm.CSVVal,_xlfn.XLOOKUP($A71,CSV!$A:$A,CSV!D:D,""),
_xlpm.MacVal,_xlfn.XLOOKUP($A71,Output_Mac!$A:$A,Output_Mac!C:C,""),
_xlpm.MyAuditVal,_xlfn.XLOOKUP($A71,My_Audit!$A:$A,My_Audit!D:D,""),
_xlfn.IFS(_xlpm.MyAuditVal&lt;&gt;"",_xlpm.MyAuditVal,_xlpm.MacVal&lt;&gt;"",_xlpm.MacVal,_xlpm.CSVVal&lt;&gt;"",_xlpm.CSVVal
)),"")</f>
        <v/>
      </c>
      <c r="F71" s="54" t="str" cm="1">
        <f t="array" ref="F71">IFERROR(_xlfn.LET(
_xlpm.CSVVal,_xlfn.XLOOKUP($A71,CSV!$A:$A,CSV!E:E,""),
_xlpm.MacVal,_xlfn.XLOOKUP($A71,Output_Mac!$A:$A,Output_Mac!F:F,""),
_xlpm.MyAuditVal,_xlfn.XLOOKUP($A71,My_Audit!$A:$A,My_Audit!E:E,""),
_xlfn.IFS(_xlpm.MyAuditVal&lt;&gt;"",_xlpm.MyAuditVal,_xlpm.MacVal&lt;&gt;"",_xlpm.MacVal,_xlpm.CSVVal&lt;&gt;"",PROPER(_xlpm.CSVVal)
)),"")</f>
        <v/>
      </c>
      <c r="G71" s="54" t="str" cm="1">
        <f t="array" ref="G71">IFERROR(_xlfn.LET(
_xlpm.CSVVal,_xlfn.XLOOKUP($A71,CSV!$A:$A,CSV!F:F,""),
_xlpm.MacVal,_xlfn.XLOOKUP($A71,Output_Mac!$A:$A,Output_Mac!H:H,""),
_xlpm.MyAuditVal,_xlfn.XLOOKUP($A71,My_Audit!$A:$A,My_Audit!F:F,""),
_xlfn.IFS(_xlpm.MyAuditVal&lt;&gt;"",_xlpm.MyAuditVal,_xlpm.MacVal&lt;&gt;"",_xlpm.MacVal,_xlpm.CSVVal&lt;&gt;"",_xlpm.CSVVal
)),"")</f>
        <v/>
      </c>
      <c r="H71" s="54" t="str">
        <f>_xlfn.XLOOKUP(A71,Output_Mac!A:A,Output_Mac!I:I,"")</f>
        <v/>
      </c>
      <c r="I71" s="54" t="str" cm="1">
        <f t="array" ref="I71">IFERROR(_xlfn.LET(
_xlpm.CSVVal,_xlfn.XLOOKUP($A71,CSV!$A:$A,CSV!G:G,""),
_xlpm.MacVal,_xlfn.XLOOKUP($A71,Output_Mac!$A:$A,Output_Mac!J:J,""),
_xlpm.MyAuditVal,_xlfn.XLOOKUP($A71,My_Audit!$A:$A,My_Audit!H:H,""),
_xlfn.IFS(_xlpm.MyAuditVal&lt;&gt;"",UPPER(_xlpm.MyAuditVal),_xlpm.MacVal&lt;&gt;"",_xlpm.MacVal,_xlpm.CSVVal&lt;&gt;"",_xlpm.CSVVal
)),"")</f>
        <v/>
      </c>
      <c r="J71" s="54" t="str" cm="1">
        <f t="array" ref="J71">IFERROR(_xlfn.LET(
_xlpm.CSVVal,_xlfn.XLOOKUP($A71,CSV!$A:$A,CSV!I:I,""),
_xlpm.MacVal,_xlfn.XLOOKUP($A71,Output_Mac!$A:$A,Output_Mac!K:K,""),
_xlpm.MyAuditVal,_xlfn.XLOOKUP($A71,My_Audit!$A:$A,My_Audit!I:I,""),
_xlfn.IFS(_xlpm.MyAuditVal&lt;&gt;"",UPPER(_xlpm.MyAuditVal),_xlpm.MacVal&lt;&gt;"",_xlpm.MacVal,_xlpm.CSVVal&lt;&gt;"",_xlpm.CSVVal
)),"")</f>
        <v/>
      </c>
      <c r="K71" s="54" t="str" cm="1">
        <f t="array" ref="K71">IFERROR(_xlfn.LET(
_xlpm.CSVVal,_xlfn.XLOOKUP($A71,CSV!$A:$A,CSV!M:M,""),
_xlpm.MacVal,_xlfn.XLOOKUP($A71,Output_Mac!$A:$A,Output_Mac!L:L,""),
_xlpm.MyAuditVal,_xlfn.XLOOKUP($A71,My_Audit!$A:$A,My_Audit!J:J,""),
_xlfn.IFS(_xlpm.MyAuditVal&lt;&gt;"",UPPER(_xlpm.MyAuditVal),_xlpm.MacVal&lt;&gt;"",_xlpm.MacVal,_xlpm.CSVVal&lt;&gt;"",_xlpm.CSVVal
)),"")</f>
        <v/>
      </c>
      <c r="L71" s="55" t="str" cm="1">
        <f t="array" ref="L71">IFERROR(_xlfn.LET(
_xlpm.CSVVal,_xlfn.XLOOKUP($A71,CSV!$A:$A,CSV!P:P,""),
_xlpm.MacVal,_xlfn.XLOOKUP($A71,Output_Mac!$A:$A,Output_Mac!M:M,""),
_xlpm.MyAuditVal,_xlfn.XLOOKUP($A71,My_Audit!$A:$A,My_Audit!K:K,""),
_xlfn.IFS(_xlpm.MyAuditVal&lt;&gt;"",UPPER(_xlpm.MyAuditVal),_xlpm.MacVal&lt;&gt;"",_xlpm.MacVal,_xlpm.CSVVal&lt;&gt;"",_xlpm.CSVVal
)),"")</f>
        <v/>
      </c>
      <c r="M71" s="54" t="str">
        <f>_xlfn.LET(
    _xlpm.CSVVal, _xlfn.XLOOKUP($A71, CSV!$A:$A, CSV!AD:AD, ""),
    _xlpm.MacVal, _xlfn.XLOOKUP($A71, Output_Mac!$A:$A, Output_Mac!S:S, ""),
    _xlpm.MyAuditVal, _xlfn.XLOOKUP($A71, My_Audit!$A:$A, My_Audit!N:N, ""),
    _xlfn.TEXTJOIN(", ", TRUE, _xlpm.MyAuditVal, _xlpm.MacVal, _xlpm.CSVVal)
)</f>
        <v/>
      </c>
      <c r="N71" s="54" t="str" cm="1">
        <f t="array" ref="N71">IFERROR(_xlfn.LET(
_xlpm.CSVVal,_xlfn.XLOOKUP($A71,CSV!$A:$A,CSV!AF:AF,""),
_xlpm.MacVal,_xlfn.XLOOKUP($A71,Output_Mac!$A:$A,Output_Mac!U:U,""),
_xlpm.MyAuditVal,_xlfn.XLOOKUP($A71,My_Audit!$A:$A,My_Audit!O:O,""),
_xlfn.IFS(_xlpm.MyAuditVal&lt;&gt;"",UPPER(_xlpm.MyAuditVal),_xlpm.MacVal&lt;&gt;"",_xlpm.MacVal,_xlpm.CSVVal&lt;&gt;"",_xlpm.CSVVal
)),"")</f>
        <v/>
      </c>
      <c r="O71" s="54"/>
      <c r="P71" s="54"/>
      <c r="Q71" s="54"/>
      <c r="R71" s="54"/>
      <c r="S71" s="54"/>
      <c r="T71" s="54"/>
      <c r="U71" s="39" t="str">
        <f>_xlfn.LET(
    _xlpm.MacVal, _xlfn.XLOOKUP($A71, Output_Mac!$A:$A, Output_Mac!AB:AB, ""),
    _xlpm.MyAuditVal, _xlfn.XLOOKUP($A71, My_Audit!$A:$A, My_Audit!L:L, ""),
    _xlfn.TEXTJOIN(", ", TRUE, _xlpm.MyAuditVal, _xlpm.MacVal)
)</f>
        <v/>
      </c>
    </row>
    <row r="72" spans="1:21">
      <c r="A72" s="54" t="str">
        <f>_xlfn.TEXTJOIN("",TRUE,Input!$B$2,ROW(My_Audit!A71))</f>
        <v>XX71</v>
      </c>
      <c r="B72" s="54" t="str">
        <f>_xlfn.TEXTJOIN("-",TRUE,"ITD",Input!$A$2,A72)</f>
        <v>ITD-SHRXXX-XX71</v>
      </c>
      <c r="C72" s="54" t="str" cm="1">
        <f t="array" ref="C72">IFERROR(_xlfn.LET(
_xlpm.CSVVal,_xlfn.XLOOKUP($A72,CSV!$A:$A,CSV!B:B,""),
_xlpm.MacVal,_xlfn.XLOOKUP($A72,Output_Mac!$A:$A,Output_Mac!B:B,""),
_xlpm.MyAuditVal,_xlfn.XLOOKUP($A72,My_Audit!$A:$A,My_Audit!B:B,""),
_xlfn.IFS(_xlpm.MyAuditVal&lt;&gt;"",UPPER(_xlpm.MyAuditVal),_xlpm.MacVal&lt;&gt;"",_xlpm.MacVal,_xlpm.CSVVal&lt;&gt;"",_xlpm.CSVVal
)),"")</f>
        <v/>
      </c>
      <c r="D72" s="55" t="str">
        <f>_xlfn.XLOOKUP(A72,My_Audit!A:A,My_Audit!D:D,"")&amp;""</f>
        <v/>
      </c>
      <c r="E72" s="55" t="str" cm="1">
        <f t="array" ref="E72">IFERROR(_xlfn.LET(
_xlpm.CSVVal,_xlfn.XLOOKUP($A72,CSV!$A:$A,CSV!D:D,""),
_xlpm.MacVal,_xlfn.XLOOKUP($A72,Output_Mac!$A:$A,Output_Mac!C:C,""),
_xlpm.MyAuditVal,_xlfn.XLOOKUP($A72,My_Audit!$A:$A,My_Audit!D:D,""),
_xlfn.IFS(_xlpm.MyAuditVal&lt;&gt;"",_xlpm.MyAuditVal,_xlpm.MacVal&lt;&gt;"",_xlpm.MacVal,_xlpm.CSVVal&lt;&gt;"",_xlpm.CSVVal
)),"")</f>
        <v/>
      </c>
      <c r="F72" s="54" t="str" cm="1">
        <f t="array" ref="F72">IFERROR(_xlfn.LET(
_xlpm.CSVVal,_xlfn.XLOOKUP($A72,CSV!$A:$A,CSV!E:E,""),
_xlpm.MacVal,_xlfn.XLOOKUP($A72,Output_Mac!$A:$A,Output_Mac!F:F,""),
_xlpm.MyAuditVal,_xlfn.XLOOKUP($A72,My_Audit!$A:$A,My_Audit!E:E,""),
_xlfn.IFS(_xlpm.MyAuditVal&lt;&gt;"",_xlpm.MyAuditVal,_xlpm.MacVal&lt;&gt;"",_xlpm.MacVal,_xlpm.CSVVal&lt;&gt;"",PROPER(_xlpm.CSVVal)
)),"")</f>
        <v/>
      </c>
      <c r="G72" s="54" t="str" cm="1">
        <f t="array" ref="G72">IFERROR(_xlfn.LET(
_xlpm.CSVVal,_xlfn.XLOOKUP($A72,CSV!$A:$A,CSV!F:F,""),
_xlpm.MacVal,_xlfn.XLOOKUP($A72,Output_Mac!$A:$A,Output_Mac!H:H,""),
_xlpm.MyAuditVal,_xlfn.XLOOKUP($A72,My_Audit!$A:$A,My_Audit!F:F,""),
_xlfn.IFS(_xlpm.MyAuditVal&lt;&gt;"",_xlpm.MyAuditVal,_xlpm.MacVal&lt;&gt;"",_xlpm.MacVal,_xlpm.CSVVal&lt;&gt;"",_xlpm.CSVVal
)),"")</f>
        <v/>
      </c>
      <c r="H72" s="54" t="str">
        <f>_xlfn.XLOOKUP(A72,Output_Mac!A:A,Output_Mac!I:I,"")</f>
        <v/>
      </c>
      <c r="I72" s="54" t="str" cm="1">
        <f t="array" ref="I72">IFERROR(_xlfn.LET(
_xlpm.CSVVal,_xlfn.XLOOKUP($A72,CSV!$A:$A,CSV!G:G,""),
_xlpm.MacVal,_xlfn.XLOOKUP($A72,Output_Mac!$A:$A,Output_Mac!J:J,""),
_xlpm.MyAuditVal,_xlfn.XLOOKUP($A72,My_Audit!$A:$A,My_Audit!H:H,""),
_xlfn.IFS(_xlpm.MyAuditVal&lt;&gt;"",UPPER(_xlpm.MyAuditVal),_xlpm.MacVal&lt;&gt;"",_xlpm.MacVal,_xlpm.CSVVal&lt;&gt;"",_xlpm.CSVVal
)),"")</f>
        <v/>
      </c>
      <c r="J72" s="54" t="str" cm="1">
        <f t="array" ref="J72">IFERROR(_xlfn.LET(
_xlpm.CSVVal,_xlfn.XLOOKUP($A72,CSV!$A:$A,CSV!I:I,""),
_xlpm.MacVal,_xlfn.XLOOKUP($A72,Output_Mac!$A:$A,Output_Mac!K:K,""),
_xlpm.MyAuditVal,_xlfn.XLOOKUP($A72,My_Audit!$A:$A,My_Audit!I:I,""),
_xlfn.IFS(_xlpm.MyAuditVal&lt;&gt;"",UPPER(_xlpm.MyAuditVal),_xlpm.MacVal&lt;&gt;"",_xlpm.MacVal,_xlpm.CSVVal&lt;&gt;"",_xlpm.CSVVal
)),"")</f>
        <v/>
      </c>
      <c r="K72" s="54" t="str" cm="1">
        <f t="array" ref="K72">IFERROR(_xlfn.LET(
_xlpm.CSVVal,_xlfn.XLOOKUP($A72,CSV!$A:$A,CSV!M:M,""),
_xlpm.MacVal,_xlfn.XLOOKUP($A72,Output_Mac!$A:$A,Output_Mac!L:L,""),
_xlpm.MyAuditVal,_xlfn.XLOOKUP($A72,My_Audit!$A:$A,My_Audit!J:J,""),
_xlfn.IFS(_xlpm.MyAuditVal&lt;&gt;"",UPPER(_xlpm.MyAuditVal),_xlpm.MacVal&lt;&gt;"",_xlpm.MacVal,_xlpm.CSVVal&lt;&gt;"",_xlpm.CSVVal
)),"")</f>
        <v/>
      </c>
      <c r="L72" s="55" t="str" cm="1">
        <f t="array" ref="L72">IFERROR(_xlfn.LET(
_xlpm.CSVVal,_xlfn.XLOOKUP($A72,CSV!$A:$A,CSV!P:P,""),
_xlpm.MacVal,_xlfn.XLOOKUP($A72,Output_Mac!$A:$A,Output_Mac!M:M,""),
_xlpm.MyAuditVal,_xlfn.XLOOKUP($A72,My_Audit!$A:$A,My_Audit!K:K,""),
_xlfn.IFS(_xlpm.MyAuditVal&lt;&gt;"",UPPER(_xlpm.MyAuditVal),_xlpm.MacVal&lt;&gt;"",_xlpm.MacVal,_xlpm.CSVVal&lt;&gt;"",_xlpm.CSVVal
)),"")</f>
        <v/>
      </c>
      <c r="M72" s="54" t="str">
        <f>_xlfn.LET(
    _xlpm.CSVVal, _xlfn.XLOOKUP($A72, CSV!$A:$A, CSV!AD:AD, ""),
    _xlpm.MacVal, _xlfn.XLOOKUP($A72, Output_Mac!$A:$A, Output_Mac!S:S, ""),
    _xlpm.MyAuditVal, _xlfn.XLOOKUP($A72, My_Audit!$A:$A, My_Audit!N:N, ""),
    _xlfn.TEXTJOIN(", ", TRUE, _xlpm.MyAuditVal, _xlpm.MacVal, _xlpm.CSVVal)
)</f>
        <v/>
      </c>
      <c r="N72" s="54" t="str" cm="1">
        <f t="array" ref="N72">IFERROR(_xlfn.LET(
_xlpm.CSVVal,_xlfn.XLOOKUP($A72,CSV!$A:$A,CSV!AF:AF,""),
_xlpm.MacVal,_xlfn.XLOOKUP($A72,Output_Mac!$A:$A,Output_Mac!U:U,""),
_xlpm.MyAuditVal,_xlfn.XLOOKUP($A72,My_Audit!$A:$A,My_Audit!O:O,""),
_xlfn.IFS(_xlpm.MyAuditVal&lt;&gt;"",UPPER(_xlpm.MyAuditVal),_xlpm.MacVal&lt;&gt;"",_xlpm.MacVal,_xlpm.CSVVal&lt;&gt;"",_xlpm.CSVVal
)),"")</f>
        <v/>
      </c>
      <c r="O72" s="54"/>
      <c r="P72" s="54"/>
      <c r="Q72" s="54"/>
      <c r="R72" s="54"/>
      <c r="S72" s="54"/>
      <c r="T72" s="54"/>
      <c r="U72" s="39" t="str">
        <f>_xlfn.LET(
    _xlpm.MacVal, _xlfn.XLOOKUP($A72, Output_Mac!$A:$A, Output_Mac!AB:AB, ""),
    _xlpm.MyAuditVal, _xlfn.XLOOKUP($A72, My_Audit!$A:$A, My_Audit!L:L, ""),
    _xlfn.TEXTJOIN(", ", TRUE, _xlpm.MyAuditVal, _xlpm.MacVal)
)</f>
        <v/>
      </c>
    </row>
    <row r="73" spans="1:21">
      <c r="A73" s="54" t="str">
        <f>_xlfn.TEXTJOIN("",TRUE,Input!$B$2,ROW(My_Audit!A72))</f>
        <v>XX72</v>
      </c>
      <c r="B73" s="54" t="str">
        <f>_xlfn.TEXTJOIN("-",TRUE,"ITD",Input!$A$2,A73)</f>
        <v>ITD-SHRXXX-XX72</v>
      </c>
      <c r="C73" s="54" t="str" cm="1">
        <f t="array" ref="C73">IFERROR(_xlfn.LET(
_xlpm.CSVVal,_xlfn.XLOOKUP($A73,CSV!$A:$A,CSV!B:B,""),
_xlpm.MacVal,_xlfn.XLOOKUP($A73,Output_Mac!$A:$A,Output_Mac!B:B,""),
_xlpm.MyAuditVal,_xlfn.XLOOKUP($A73,My_Audit!$A:$A,My_Audit!B:B,""),
_xlfn.IFS(_xlpm.MyAuditVal&lt;&gt;"",UPPER(_xlpm.MyAuditVal),_xlpm.MacVal&lt;&gt;"",_xlpm.MacVal,_xlpm.CSVVal&lt;&gt;"",_xlpm.CSVVal
)),"")</f>
        <v/>
      </c>
      <c r="D73" s="55" t="str">
        <f>_xlfn.XLOOKUP(A73,My_Audit!A:A,My_Audit!D:D,"")&amp;""</f>
        <v/>
      </c>
      <c r="E73" s="55" t="str" cm="1">
        <f t="array" ref="E73">IFERROR(_xlfn.LET(
_xlpm.CSVVal,_xlfn.XLOOKUP($A73,CSV!$A:$A,CSV!D:D,""),
_xlpm.MacVal,_xlfn.XLOOKUP($A73,Output_Mac!$A:$A,Output_Mac!C:C,""),
_xlpm.MyAuditVal,_xlfn.XLOOKUP($A73,My_Audit!$A:$A,My_Audit!D:D,""),
_xlfn.IFS(_xlpm.MyAuditVal&lt;&gt;"",_xlpm.MyAuditVal,_xlpm.MacVal&lt;&gt;"",_xlpm.MacVal,_xlpm.CSVVal&lt;&gt;"",_xlpm.CSVVal
)),"")</f>
        <v/>
      </c>
      <c r="F73" s="54" t="str" cm="1">
        <f t="array" ref="F73">IFERROR(_xlfn.LET(
_xlpm.CSVVal,_xlfn.XLOOKUP($A73,CSV!$A:$A,CSV!E:E,""),
_xlpm.MacVal,_xlfn.XLOOKUP($A73,Output_Mac!$A:$A,Output_Mac!F:F,""),
_xlpm.MyAuditVal,_xlfn.XLOOKUP($A73,My_Audit!$A:$A,My_Audit!E:E,""),
_xlfn.IFS(_xlpm.MyAuditVal&lt;&gt;"",_xlpm.MyAuditVal,_xlpm.MacVal&lt;&gt;"",_xlpm.MacVal,_xlpm.CSVVal&lt;&gt;"",PROPER(_xlpm.CSVVal)
)),"")</f>
        <v/>
      </c>
      <c r="G73" s="54" t="str" cm="1">
        <f t="array" ref="G73">IFERROR(_xlfn.LET(
_xlpm.CSVVal,_xlfn.XLOOKUP($A73,CSV!$A:$A,CSV!F:F,""),
_xlpm.MacVal,_xlfn.XLOOKUP($A73,Output_Mac!$A:$A,Output_Mac!H:H,""),
_xlpm.MyAuditVal,_xlfn.XLOOKUP($A73,My_Audit!$A:$A,My_Audit!F:F,""),
_xlfn.IFS(_xlpm.MyAuditVal&lt;&gt;"",_xlpm.MyAuditVal,_xlpm.MacVal&lt;&gt;"",_xlpm.MacVal,_xlpm.CSVVal&lt;&gt;"",_xlpm.CSVVal
)),"")</f>
        <v/>
      </c>
      <c r="H73" s="54" t="str">
        <f>_xlfn.XLOOKUP(A73,Output_Mac!A:A,Output_Mac!I:I,"")</f>
        <v/>
      </c>
      <c r="I73" s="54" t="str" cm="1">
        <f t="array" ref="I73">IFERROR(_xlfn.LET(
_xlpm.CSVVal,_xlfn.XLOOKUP($A73,CSV!$A:$A,CSV!G:G,""),
_xlpm.MacVal,_xlfn.XLOOKUP($A73,Output_Mac!$A:$A,Output_Mac!J:J,""),
_xlpm.MyAuditVal,_xlfn.XLOOKUP($A73,My_Audit!$A:$A,My_Audit!H:H,""),
_xlfn.IFS(_xlpm.MyAuditVal&lt;&gt;"",UPPER(_xlpm.MyAuditVal),_xlpm.MacVal&lt;&gt;"",_xlpm.MacVal,_xlpm.CSVVal&lt;&gt;"",_xlpm.CSVVal
)),"")</f>
        <v/>
      </c>
      <c r="J73" s="54" t="str" cm="1">
        <f t="array" ref="J73">IFERROR(_xlfn.LET(
_xlpm.CSVVal,_xlfn.XLOOKUP($A73,CSV!$A:$A,CSV!I:I,""),
_xlpm.MacVal,_xlfn.XLOOKUP($A73,Output_Mac!$A:$A,Output_Mac!K:K,""),
_xlpm.MyAuditVal,_xlfn.XLOOKUP($A73,My_Audit!$A:$A,My_Audit!I:I,""),
_xlfn.IFS(_xlpm.MyAuditVal&lt;&gt;"",UPPER(_xlpm.MyAuditVal),_xlpm.MacVal&lt;&gt;"",_xlpm.MacVal,_xlpm.CSVVal&lt;&gt;"",_xlpm.CSVVal
)),"")</f>
        <v/>
      </c>
      <c r="K73" s="54" t="str" cm="1">
        <f t="array" ref="K73">IFERROR(_xlfn.LET(
_xlpm.CSVVal,_xlfn.XLOOKUP($A73,CSV!$A:$A,CSV!M:M,""),
_xlpm.MacVal,_xlfn.XLOOKUP($A73,Output_Mac!$A:$A,Output_Mac!L:L,""),
_xlpm.MyAuditVal,_xlfn.XLOOKUP($A73,My_Audit!$A:$A,My_Audit!J:J,""),
_xlfn.IFS(_xlpm.MyAuditVal&lt;&gt;"",UPPER(_xlpm.MyAuditVal),_xlpm.MacVal&lt;&gt;"",_xlpm.MacVal,_xlpm.CSVVal&lt;&gt;"",_xlpm.CSVVal
)),"")</f>
        <v/>
      </c>
      <c r="L73" s="55" t="str" cm="1">
        <f t="array" ref="L73">IFERROR(_xlfn.LET(
_xlpm.CSVVal,_xlfn.XLOOKUP($A73,CSV!$A:$A,CSV!P:P,""),
_xlpm.MacVal,_xlfn.XLOOKUP($A73,Output_Mac!$A:$A,Output_Mac!M:M,""),
_xlpm.MyAuditVal,_xlfn.XLOOKUP($A73,My_Audit!$A:$A,My_Audit!K:K,""),
_xlfn.IFS(_xlpm.MyAuditVal&lt;&gt;"",UPPER(_xlpm.MyAuditVal),_xlpm.MacVal&lt;&gt;"",_xlpm.MacVal,_xlpm.CSVVal&lt;&gt;"",_xlpm.CSVVal
)),"")</f>
        <v/>
      </c>
      <c r="M73" s="54" t="str">
        <f>_xlfn.LET(
    _xlpm.CSVVal, _xlfn.XLOOKUP($A73, CSV!$A:$A, CSV!AD:AD, ""),
    _xlpm.MacVal, _xlfn.XLOOKUP($A73, Output_Mac!$A:$A, Output_Mac!S:S, ""),
    _xlpm.MyAuditVal, _xlfn.XLOOKUP($A73, My_Audit!$A:$A, My_Audit!N:N, ""),
    _xlfn.TEXTJOIN(", ", TRUE, _xlpm.MyAuditVal, _xlpm.MacVal, _xlpm.CSVVal)
)</f>
        <v/>
      </c>
      <c r="N73" s="54" t="str" cm="1">
        <f t="array" ref="N73">IFERROR(_xlfn.LET(
_xlpm.CSVVal,_xlfn.XLOOKUP($A73,CSV!$A:$A,CSV!AF:AF,""),
_xlpm.MacVal,_xlfn.XLOOKUP($A73,Output_Mac!$A:$A,Output_Mac!U:U,""),
_xlpm.MyAuditVal,_xlfn.XLOOKUP($A73,My_Audit!$A:$A,My_Audit!O:O,""),
_xlfn.IFS(_xlpm.MyAuditVal&lt;&gt;"",UPPER(_xlpm.MyAuditVal),_xlpm.MacVal&lt;&gt;"",_xlpm.MacVal,_xlpm.CSVVal&lt;&gt;"",_xlpm.CSVVal
)),"")</f>
        <v/>
      </c>
      <c r="O73" s="54"/>
      <c r="P73" s="54"/>
      <c r="Q73" s="54"/>
      <c r="R73" s="54"/>
      <c r="S73" s="54"/>
      <c r="T73" s="54"/>
      <c r="U73" s="39" t="str">
        <f>_xlfn.LET(
    _xlpm.MacVal, _xlfn.XLOOKUP($A73, Output_Mac!$A:$A, Output_Mac!AB:AB, ""),
    _xlpm.MyAuditVal, _xlfn.XLOOKUP($A73, My_Audit!$A:$A, My_Audit!L:L, ""),
    _xlfn.TEXTJOIN(", ", TRUE, _xlpm.MyAuditVal, _xlpm.MacVal)
)</f>
        <v/>
      </c>
    </row>
    <row r="74" spans="1:21">
      <c r="A74" s="54" t="str">
        <f>_xlfn.TEXTJOIN("",TRUE,Input!$B$2,ROW(My_Audit!A73))</f>
        <v>XX73</v>
      </c>
      <c r="B74" s="54" t="str">
        <f>_xlfn.TEXTJOIN("-",TRUE,"ITD",Input!$A$2,A74)</f>
        <v>ITD-SHRXXX-XX73</v>
      </c>
      <c r="C74" s="54" t="str" cm="1">
        <f t="array" ref="C74">IFERROR(_xlfn.LET(
_xlpm.CSVVal,_xlfn.XLOOKUP($A74,CSV!$A:$A,CSV!B:B,""),
_xlpm.MacVal,_xlfn.XLOOKUP($A74,Output_Mac!$A:$A,Output_Mac!B:B,""),
_xlpm.MyAuditVal,_xlfn.XLOOKUP($A74,My_Audit!$A:$A,My_Audit!B:B,""),
_xlfn.IFS(_xlpm.MyAuditVal&lt;&gt;"",UPPER(_xlpm.MyAuditVal),_xlpm.MacVal&lt;&gt;"",_xlpm.MacVal,_xlpm.CSVVal&lt;&gt;"",_xlpm.CSVVal
)),"")</f>
        <v/>
      </c>
      <c r="D74" s="55" t="str">
        <f>_xlfn.XLOOKUP(A74,My_Audit!A:A,My_Audit!D:D,"")&amp;""</f>
        <v/>
      </c>
      <c r="E74" s="55" t="str" cm="1">
        <f t="array" ref="E74">IFERROR(_xlfn.LET(
_xlpm.CSVVal,_xlfn.XLOOKUP($A74,CSV!$A:$A,CSV!D:D,""),
_xlpm.MacVal,_xlfn.XLOOKUP($A74,Output_Mac!$A:$A,Output_Mac!C:C,""),
_xlpm.MyAuditVal,_xlfn.XLOOKUP($A74,My_Audit!$A:$A,My_Audit!D:D,""),
_xlfn.IFS(_xlpm.MyAuditVal&lt;&gt;"",_xlpm.MyAuditVal,_xlpm.MacVal&lt;&gt;"",_xlpm.MacVal,_xlpm.CSVVal&lt;&gt;"",_xlpm.CSVVal
)),"")</f>
        <v/>
      </c>
      <c r="F74" s="54" t="str" cm="1">
        <f t="array" ref="F74">IFERROR(_xlfn.LET(
_xlpm.CSVVal,_xlfn.XLOOKUP($A74,CSV!$A:$A,CSV!E:E,""),
_xlpm.MacVal,_xlfn.XLOOKUP($A74,Output_Mac!$A:$A,Output_Mac!F:F,""),
_xlpm.MyAuditVal,_xlfn.XLOOKUP($A74,My_Audit!$A:$A,My_Audit!E:E,""),
_xlfn.IFS(_xlpm.MyAuditVal&lt;&gt;"",_xlpm.MyAuditVal,_xlpm.MacVal&lt;&gt;"",_xlpm.MacVal,_xlpm.CSVVal&lt;&gt;"",PROPER(_xlpm.CSVVal)
)),"")</f>
        <v/>
      </c>
      <c r="G74" s="54" t="str" cm="1">
        <f t="array" ref="G74">IFERROR(_xlfn.LET(
_xlpm.CSVVal,_xlfn.XLOOKUP($A74,CSV!$A:$A,CSV!F:F,""),
_xlpm.MacVal,_xlfn.XLOOKUP($A74,Output_Mac!$A:$A,Output_Mac!H:H,""),
_xlpm.MyAuditVal,_xlfn.XLOOKUP($A74,My_Audit!$A:$A,My_Audit!F:F,""),
_xlfn.IFS(_xlpm.MyAuditVal&lt;&gt;"",_xlpm.MyAuditVal,_xlpm.MacVal&lt;&gt;"",_xlpm.MacVal,_xlpm.CSVVal&lt;&gt;"",_xlpm.CSVVal
)),"")</f>
        <v/>
      </c>
      <c r="H74" s="54" t="str">
        <f>_xlfn.XLOOKUP(A74,Output_Mac!A:A,Output_Mac!I:I,"")</f>
        <v/>
      </c>
      <c r="I74" s="54" t="str" cm="1">
        <f t="array" ref="I74">IFERROR(_xlfn.LET(
_xlpm.CSVVal,_xlfn.XLOOKUP($A74,CSV!$A:$A,CSV!G:G,""),
_xlpm.MacVal,_xlfn.XLOOKUP($A74,Output_Mac!$A:$A,Output_Mac!J:J,""),
_xlpm.MyAuditVal,_xlfn.XLOOKUP($A74,My_Audit!$A:$A,My_Audit!H:H,""),
_xlfn.IFS(_xlpm.MyAuditVal&lt;&gt;"",UPPER(_xlpm.MyAuditVal),_xlpm.MacVal&lt;&gt;"",_xlpm.MacVal,_xlpm.CSVVal&lt;&gt;"",_xlpm.CSVVal
)),"")</f>
        <v/>
      </c>
      <c r="J74" s="54" t="str" cm="1">
        <f t="array" ref="J74">IFERROR(_xlfn.LET(
_xlpm.CSVVal,_xlfn.XLOOKUP($A74,CSV!$A:$A,CSV!I:I,""),
_xlpm.MacVal,_xlfn.XLOOKUP($A74,Output_Mac!$A:$A,Output_Mac!K:K,""),
_xlpm.MyAuditVal,_xlfn.XLOOKUP($A74,My_Audit!$A:$A,My_Audit!I:I,""),
_xlfn.IFS(_xlpm.MyAuditVal&lt;&gt;"",UPPER(_xlpm.MyAuditVal),_xlpm.MacVal&lt;&gt;"",_xlpm.MacVal,_xlpm.CSVVal&lt;&gt;"",_xlpm.CSVVal
)),"")</f>
        <v/>
      </c>
      <c r="K74" s="54" t="str" cm="1">
        <f t="array" ref="K74">IFERROR(_xlfn.LET(
_xlpm.CSVVal,_xlfn.XLOOKUP($A74,CSV!$A:$A,CSV!M:M,""),
_xlpm.MacVal,_xlfn.XLOOKUP($A74,Output_Mac!$A:$A,Output_Mac!L:L,""),
_xlpm.MyAuditVal,_xlfn.XLOOKUP($A74,My_Audit!$A:$A,My_Audit!J:J,""),
_xlfn.IFS(_xlpm.MyAuditVal&lt;&gt;"",UPPER(_xlpm.MyAuditVal),_xlpm.MacVal&lt;&gt;"",_xlpm.MacVal,_xlpm.CSVVal&lt;&gt;"",_xlpm.CSVVal
)),"")</f>
        <v/>
      </c>
      <c r="L74" s="55" t="str" cm="1">
        <f t="array" ref="L74">IFERROR(_xlfn.LET(
_xlpm.CSVVal,_xlfn.XLOOKUP($A74,CSV!$A:$A,CSV!P:P,""),
_xlpm.MacVal,_xlfn.XLOOKUP($A74,Output_Mac!$A:$A,Output_Mac!M:M,""),
_xlpm.MyAuditVal,_xlfn.XLOOKUP($A74,My_Audit!$A:$A,My_Audit!K:K,""),
_xlfn.IFS(_xlpm.MyAuditVal&lt;&gt;"",UPPER(_xlpm.MyAuditVal),_xlpm.MacVal&lt;&gt;"",_xlpm.MacVal,_xlpm.CSVVal&lt;&gt;"",_xlpm.CSVVal
)),"")</f>
        <v/>
      </c>
      <c r="M74" s="54" t="str">
        <f>_xlfn.LET(
    _xlpm.CSVVal, _xlfn.XLOOKUP($A74, CSV!$A:$A, CSV!AD:AD, ""),
    _xlpm.MacVal, _xlfn.XLOOKUP($A74, Output_Mac!$A:$A, Output_Mac!S:S, ""),
    _xlpm.MyAuditVal, _xlfn.XLOOKUP($A74, My_Audit!$A:$A, My_Audit!N:N, ""),
    _xlfn.TEXTJOIN(", ", TRUE, _xlpm.MyAuditVal, _xlpm.MacVal, _xlpm.CSVVal)
)</f>
        <v/>
      </c>
      <c r="N74" s="54" t="str" cm="1">
        <f t="array" ref="N74">IFERROR(_xlfn.LET(
_xlpm.CSVVal,_xlfn.XLOOKUP($A74,CSV!$A:$A,CSV!AF:AF,""),
_xlpm.MacVal,_xlfn.XLOOKUP($A74,Output_Mac!$A:$A,Output_Mac!U:U,""),
_xlpm.MyAuditVal,_xlfn.XLOOKUP($A74,My_Audit!$A:$A,My_Audit!O:O,""),
_xlfn.IFS(_xlpm.MyAuditVal&lt;&gt;"",UPPER(_xlpm.MyAuditVal),_xlpm.MacVal&lt;&gt;"",_xlpm.MacVal,_xlpm.CSVVal&lt;&gt;"",_xlpm.CSVVal
)),"")</f>
        <v/>
      </c>
      <c r="O74" s="54"/>
      <c r="P74" s="54"/>
      <c r="Q74" s="54"/>
      <c r="R74" s="54"/>
      <c r="S74" s="54"/>
      <c r="T74" s="54"/>
      <c r="U74" s="39" t="str">
        <f>_xlfn.LET(
    _xlpm.MacVal, _xlfn.XLOOKUP($A74, Output_Mac!$A:$A, Output_Mac!AB:AB, ""),
    _xlpm.MyAuditVal, _xlfn.XLOOKUP($A74, My_Audit!$A:$A, My_Audit!L:L, ""),
    _xlfn.TEXTJOIN(", ", TRUE, _xlpm.MyAuditVal, _xlpm.MacVal)
)</f>
        <v/>
      </c>
    </row>
    <row r="75" spans="1:21">
      <c r="A75" s="54" t="str">
        <f>_xlfn.TEXTJOIN("",TRUE,Input!$B$2,ROW(My_Audit!A74))</f>
        <v>XX74</v>
      </c>
      <c r="B75" s="54" t="str">
        <f>_xlfn.TEXTJOIN("-",TRUE,"ITD",Input!$A$2,A75)</f>
        <v>ITD-SHRXXX-XX74</v>
      </c>
      <c r="C75" s="54" t="str" cm="1">
        <f t="array" ref="C75">IFERROR(_xlfn.LET(
_xlpm.CSVVal,_xlfn.XLOOKUP($A75,CSV!$A:$A,CSV!B:B,""),
_xlpm.MacVal,_xlfn.XLOOKUP($A75,Output_Mac!$A:$A,Output_Mac!B:B,""),
_xlpm.MyAuditVal,_xlfn.XLOOKUP($A75,My_Audit!$A:$A,My_Audit!B:B,""),
_xlfn.IFS(_xlpm.MyAuditVal&lt;&gt;"",UPPER(_xlpm.MyAuditVal),_xlpm.MacVal&lt;&gt;"",_xlpm.MacVal,_xlpm.CSVVal&lt;&gt;"",_xlpm.CSVVal
)),"")</f>
        <v/>
      </c>
      <c r="D75" s="55" t="str">
        <f>_xlfn.XLOOKUP(A75,My_Audit!A:A,My_Audit!D:D,"")&amp;""</f>
        <v/>
      </c>
      <c r="E75" s="55" t="str" cm="1">
        <f t="array" ref="E75">IFERROR(_xlfn.LET(
_xlpm.CSVVal,_xlfn.XLOOKUP($A75,CSV!$A:$A,CSV!D:D,""),
_xlpm.MacVal,_xlfn.XLOOKUP($A75,Output_Mac!$A:$A,Output_Mac!C:C,""),
_xlpm.MyAuditVal,_xlfn.XLOOKUP($A75,My_Audit!$A:$A,My_Audit!D:D,""),
_xlfn.IFS(_xlpm.MyAuditVal&lt;&gt;"",_xlpm.MyAuditVal,_xlpm.MacVal&lt;&gt;"",_xlpm.MacVal,_xlpm.CSVVal&lt;&gt;"",_xlpm.CSVVal
)),"")</f>
        <v/>
      </c>
      <c r="F75" s="54" t="str" cm="1">
        <f t="array" ref="F75">IFERROR(_xlfn.LET(
_xlpm.CSVVal,_xlfn.XLOOKUP($A75,CSV!$A:$A,CSV!E:E,""),
_xlpm.MacVal,_xlfn.XLOOKUP($A75,Output_Mac!$A:$A,Output_Mac!F:F,""),
_xlpm.MyAuditVal,_xlfn.XLOOKUP($A75,My_Audit!$A:$A,My_Audit!E:E,""),
_xlfn.IFS(_xlpm.MyAuditVal&lt;&gt;"",_xlpm.MyAuditVal,_xlpm.MacVal&lt;&gt;"",_xlpm.MacVal,_xlpm.CSVVal&lt;&gt;"",PROPER(_xlpm.CSVVal)
)),"")</f>
        <v/>
      </c>
      <c r="G75" s="54" t="str" cm="1">
        <f t="array" ref="G75">IFERROR(_xlfn.LET(
_xlpm.CSVVal,_xlfn.XLOOKUP($A75,CSV!$A:$A,CSV!F:F,""),
_xlpm.MacVal,_xlfn.XLOOKUP($A75,Output_Mac!$A:$A,Output_Mac!H:H,""),
_xlpm.MyAuditVal,_xlfn.XLOOKUP($A75,My_Audit!$A:$A,My_Audit!F:F,""),
_xlfn.IFS(_xlpm.MyAuditVal&lt;&gt;"",_xlpm.MyAuditVal,_xlpm.MacVal&lt;&gt;"",_xlpm.MacVal,_xlpm.CSVVal&lt;&gt;"",_xlpm.CSVVal
)),"")</f>
        <v/>
      </c>
      <c r="H75" s="54" t="str">
        <f>_xlfn.XLOOKUP(A75,Output_Mac!A:A,Output_Mac!I:I,"")</f>
        <v/>
      </c>
      <c r="I75" s="54" t="str" cm="1">
        <f t="array" ref="I75">IFERROR(_xlfn.LET(
_xlpm.CSVVal,_xlfn.XLOOKUP($A75,CSV!$A:$A,CSV!G:G,""),
_xlpm.MacVal,_xlfn.XLOOKUP($A75,Output_Mac!$A:$A,Output_Mac!J:J,""),
_xlpm.MyAuditVal,_xlfn.XLOOKUP($A75,My_Audit!$A:$A,My_Audit!H:H,""),
_xlfn.IFS(_xlpm.MyAuditVal&lt;&gt;"",UPPER(_xlpm.MyAuditVal),_xlpm.MacVal&lt;&gt;"",_xlpm.MacVal,_xlpm.CSVVal&lt;&gt;"",_xlpm.CSVVal
)),"")</f>
        <v/>
      </c>
      <c r="J75" s="54" t="str" cm="1">
        <f t="array" ref="J75">IFERROR(_xlfn.LET(
_xlpm.CSVVal,_xlfn.XLOOKUP($A75,CSV!$A:$A,CSV!I:I,""),
_xlpm.MacVal,_xlfn.XLOOKUP($A75,Output_Mac!$A:$A,Output_Mac!K:K,""),
_xlpm.MyAuditVal,_xlfn.XLOOKUP($A75,My_Audit!$A:$A,My_Audit!I:I,""),
_xlfn.IFS(_xlpm.MyAuditVal&lt;&gt;"",UPPER(_xlpm.MyAuditVal),_xlpm.MacVal&lt;&gt;"",_xlpm.MacVal,_xlpm.CSVVal&lt;&gt;"",_xlpm.CSVVal
)),"")</f>
        <v/>
      </c>
      <c r="K75" s="54" t="str" cm="1">
        <f t="array" ref="K75">IFERROR(_xlfn.LET(
_xlpm.CSVVal,_xlfn.XLOOKUP($A75,CSV!$A:$A,CSV!M:M,""),
_xlpm.MacVal,_xlfn.XLOOKUP($A75,Output_Mac!$A:$A,Output_Mac!L:L,""),
_xlpm.MyAuditVal,_xlfn.XLOOKUP($A75,My_Audit!$A:$A,My_Audit!J:J,""),
_xlfn.IFS(_xlpm.MyAuditVal&lt;&gt;"",UPPER(_xlpm.MyAuditVal),_xlpm.MacVal&lt;&gt;"",_xlpm.MacVal,_xlpm.CSVVal&lt;&gt;"",_xlpm.CSVVal
)),"")</f>
        <v/>
      </c>
      <c r="L75" s="55" t="str" cm="1">
        <f t="array" ref="L75">IFERROR(_xlfn.LET(
_xlpm.CSVVal,_xlfn.XLOOKUP($A75,CSV!$A:$A,CSV!P:P,""),
_xlpm.MacVal,_xlfn.XLOOKUP($A75,Output_Mac!$A:$A,Output_Mac!M:M,""),
_xlpm.MyAuditVal,_xlfn.XLOOKUP($A75,My_Audit!$A:$A,My_Audit!K:K,""),
_xlfn.IFS(_xlpm.MyAuditVal&lt;&gt;"",UPPER(_xlpm.MyAuditVal),_xlpm.MacVal&lt;&gt;"",_xlpm.MacVal,_xlpm.CSVVal&lt;&gt;"",_xlpm.CSVVal
)),"")</f>
        <v/>
      </c>
      <c r="M75" s="54" t="str">
        <f>_xlfn.LET(
    _xlpm.CSVVal, _xlfn.XLOOKUP($A75, CSV!$A:$A, CSV!AD:AD, ""),
    _xlpm.MacVal, _xlfn.XLOOKUP($A75, Output_Mac!$A:$A, Output_Mac!S:S, ""),
    _xlpm.MyAuditVal, _xlfn.XLOOKUP($A75, My_Audit!$A:$A, My_Audit!N:N, ""),
    _xlfn.TEXTJOIN(", ", TRUE, _xlpm.MyAuditVal, _xlpm.MacVal, _xlpm.CSVVal)
)</f>
        <v/>
      </c>
      <c r="N75" s="54" t="str" cm="1">
        <f t="array" ref="N75">IFERROR(_xlfn.LET(
_xlpm.CSVVal,_xlfn.XLOOKUP($A75,CSV!$A:$A,CSV!AF:AF,""),
_xlpm.MacVal,_xlfn.XLOOKUP($A75,Output_Mac!$A:$A,Output_Mac!U:U,""),
_xlpm.MyAuditVal,_xlfn.XLOOKUP($A75,My_Audit!$A:$A,My_Audit!O:O,""),
_xlfn.IFS(_xlpm.MyAuditVal&lt;&gt;"",UPPER(_xlpm.MyAuditVal),_xlpm.MacVal&lt;&gt;"",_xlpm.MacVal,_xlpm.CSVVal&lt;&gt;"",_xlpm.CSVVal
)),"")</f>
        <v/>
      </c>
      <c r="O75" s="54"/>
      <c r="P75" s="54"/>
      <c r="Q75" s="54"/>
      <c r="R75" s="54"/>
      <c r="S75" s="54"/>
      <c r="T75" s="54"/>
      <c r="U75" s="39" t="str">
        <f>_xlfn.LET(
    _xlpm.MacVal, _xlfn.XLOOKUP($A75, Output_Mac!$A:$A, Output_Mac!AB:AB, ""),
    _xlpm.MyAuditVal, _xlfn.XLOOKUP($A75, My_Audit!$A:$A, My_Audit!L:L, ""),
    _xlfn.TEXTJOIN(", ", TRUE, _xlpm.MyAuditVal, _xlpm.MacVal)
)</f>
        <v/>
      </c>
    </row>
    <row r="76" spans="1:21">
      <c r="A76" s="54" t="str">
        <f>_xlfn.TEXTJOIN("",TRUE,Input!$B$2,ROW(My_Audit!A75))</f>
        <v>XX75</v>
      </c>
      <c r="B76" s="54" t="str">
        <f>_xlfn.TEXTJOIN("-",TRUE,"ITD",Input!$A$2,A76)</f>
        <v>ITD-SHRXXX-XX75</v>
      </c>
      <c r="C76" s="54" t="str" cm="1">
        <f t="array" ref="C76">IFERROR(_xlfn.LET(
_xlpm.CSVVal,_xlfn.XLOOKUP($A76,CSV!$A:$A,CSV!B:B,""),
_xlpm.MacVal,_xlfn.XLOOKUP($A76,Output_Mac!$A:$A,Output_Mac!B:B,""),
_xlpm.MyAuditVal,_xlfn.XLOOKUP($A76,My_Audit!$A:$A,My_Audit!B:B,""),
_xlfn.IFS(_xlpm.MyAuditVal&lt;&gt;"",UPPER(_xlpm.MyAuditVal),_xlpm.MacVal&lt;&gt;"",_xlpm.MacVal,_xlpm.CSVVal&lt;&gt;"",_xlpm.CSVVal
)),"")</f>
        <v/>
      </c>
      <c r="D76" s="55" t="str">
        <f>_xlfn.XLOOKUP(A76,My_Audit!A:A,My_Audit!D:D,"")&amp;""</f>
        <v/>
      </c>
      <c r="E76" s="55" t="str" cm="1">
        <f t="array" ref="E76">IFERROR(_xlfn.LET(
_xlpm.CSVVal,_xlfn.XLOOKUP($A76,CSV!$A:$A,CSV!D:D,""),
_xlpm.MacVal,_xlfn.XLOOKUP($A76,Output_Mac!$A:$A,Output_Mac!C:C,""),
_xlpm.MyAuditVal,_xlfn.XLOOKUP($A76,My_Audit!$A:$A,My_Audit!D:D,""),
_xlfn.IFS(_xlpm.MyAuditVal&lt;&gt;"",_xlpm.MyAuditVal,_xlpm.MacVal&lt;&gt;"",_xlpm.MacVal,_xlpm.CSVVal&lt;&gt;"",_xlpm.CSVVal
)),"")</f>
        <v/>
      </c>
      <c r="F76" s="54" t="str" cm="1">
        <f t="array" ref="F76">IFERROR(_xlfn.LET(
_xlpm.CSVVal,_xlfn.XLOOKUP($A76,CSV!$A:$A,CSV!E:E,""),
_xlpm.MacVal,_xlfn.XLOOKUP($A76,Output_Mac!$A:$A,Output_Mac!F:F,""),
_xlpm.MyAuditVal,_xlfn.XLOOKUP($A76,My_Audit!$A:$A,My_Audit!E:E,""),
_xlfn.IFS(_xlpm.MyAuditVal&lt;&gt;"",_xlpm.MyAuditVal,_xlpm.MacVal&lt;&gt;"",_xlpm.MacVal,_xlpm.CSVVal&lt;&gt;"",PROPER(_xlpm.CSVVal)
)),"")</f>
        <v/>
      </c>
      <c r="G76" s="54" t="str" cm="1">
        <f t="array" ref="G76">IFERROR(_xlfn.LET(
_xlpm.CSVVal,_xlfn.XLOOKUP($A76,CSV!$A:$A,CSV!F:F,""),
_xlpm.MacVal,_xlfn.XLOOKUP($A76,Output_Mac!$A:$A,Output_Mac!H:H,""),
_xlpm.MyAuditVal,_xlfn.XLOOKUP($A76,My_Audit!$A:$A,My_Audit!F:F,""),
_xlfn.IFS(_xlpm.MyAuditVal&lt;&gt;"",_xlpm.MyAuditVal,_xlpm.MacVal&lt;&gt;"",_xlpm.MacVal,_xlpm.CSVVal&lt;&gt;"",_xlpm.CSVVal
)),"")</f>
        <v/>
      </c>
      <c r="H76" s="54" t="str">
        <f>_xlfn.XLOOKUP(A76,Output_Mac!A:A,Output_Mac!I:I,"")</f>
        <v/>
      </c>
      <c r="I76" s="54" t="str" cm="1">
        <f t="array" ref="I76">IFERROR(_xlfn.LET(
_xlpm.CSVVal,_xlfn.XLOOKUP($A76,CSV!$A:$A,CSV!G:G,""),
_xlpm.MacVal,_xlfn.XLOOKUP($A76,Output_Mac!$A:$A,Output_Mac!J:J,""),
_xlpm.MyAuditVal,_xlfn.XLOOKUP($A76,My_Audit!$A:$A,My_Audit!H:H,""),
_xlfn.IFS(_xlpm.MyAuditVal&lt;&gt;"",UPPER(_xlpm.MyAuditVal),_xlpm.MacVal&lt;&gt;"",_xlpm.MacVal,_xlpm.CSVVal&lt;&gt;"",_xlpm.CSVVal
)),"")</f>
        <v/>
      </c>
      <c r="J76" s="54" t="str" cm="1">
        <f t="array" ref="J76">IFERROR(_xlfn.LET(
_xlpm.CSVVal,_xlfn.XLOOKUP($A76,CSV!$A:$A,CSV!I:I,""),
_xlpm.MacVal,_xlfn.XLOOKUP($A76,Output_Mac!$A:$A,Output_Mac!K:K,""),
_xlpm.MyAuditVal,_xlfn.XLOOKUP($A76,My_Audit!$A:$A,My_Audit!I:I,""),
_xlfn.IFS(_xlpm.MyAuditVal&lt;&gt;"",UPPER(_xlpm.MyAuditVal),_xlpm.MacVal&lt;&gt;"",_xlpm.MacVal,_xlpm.CSVVal&lt;&gt;"",_xlpm.CSVVal
)),"")</f>
        <v/>
      </c>
      <c r="K76" s="54" t="str" cm="1">
        <f t="array" ref="K76">IFERROR(_xlfn.LET(
_xlpm.CSVVal,_xlfn.XLOOKUP($A76,CSV!$A:$A,CSV!M:M,""),
_xlpm.MacVal,_xlfn.XLOOKUP($A76,Output_Mac!$A:$A,Output_Mac!L:L,""),
_xlpm.MyAuditVal,_xlfn.XLOOKUP($A76,My_Audit!$A:$A,My_Audit!J:J,""),
_xlfn.IFS(_xlpm.MyAuditVal&lt;&gt;"",UPPER(_xlpm.MyAuditVal),_xlpm.MacVal&lt;&gt;"",_xlpm.MacVal,_xlpm.CSVVal&lt;&gt;"",_xlpm.CSVVal
)),"")</f>
        <v/>
      </c>
      <c r="L76" s="55" t="str" cm="1">
        <f t="array" ref="L76">IFERROR(_xlfn.LET(
_xlpm.CSVVal,_xlfn.XLOOKUP($A76,CSV!$A:$A,CSV!P:P,""),
_xlpm.MacVal,_xlfn.XLOOKUP($A76,Output_Mac!$A:$A,Output_Mac!M:M,""),
_xlpm.MyAuditVal,_xlfn.XLOOKUP($A76,My_Audit!$A:$A,My_Audit!K:K,""),
_xlfn.IFS(_xlpm.MyAuditVal&lt;&gt;"",UPPER(_xlpm.MyAuditVal),_xlpm.MacVal&lt;&gt;"",_xlpm.MacVal,_xlpm.CSVVal&lt;&gt;"",_xlpm.CSVVal
)),"")</f>
        <v/>
      </c>
      <c r="M76" s="54" t="str">
        <f>_xlfn.LET(
    _xlpm.CSVVal, _xlfn.XLOOKUP($A76, CSV!$A:$A, CSV!AD:AD, ""),
    _xlpm.MacVal, _xlfn.XLOOKUP($A76, Output_Mac!$A:$A, Output_Mac!S:S, ""),
    _xlpm.MyAuditVal, _xlfn.XLOOKUP($A76, My_Audit!$A:$A, My_Audit!N:N, ""),
    _xlfn.TEXTJOIN(", ", TRUE, _xlpm.MyAuditVal, _xlpm.MacVal, _xlpm.CSVVal)
)</f>
        <v/>
      </c>
      <c r="N76" s="54" t="str" cm="1">
        <f t="array" ref="N76">IFERROR(_xlfn.LET(
_xlpm.CSVVal,_xlfn.XLOOKUP($A76,CSV!$A:$A,CSV!AF:AF,""),
_xlpm.MacVal,_xlfn.XLOOKUP($A76,Output_Mac!$A:$A,Output_Mac!U:U,""),
_xlpm.MyAuditVal,_xlfn.XLOOKUP($A76,My_Audit!$A:$A,My_Audit!O:O,""),
_xlfn.IFS(_xlpm.MyAuditVal&lt;&gt;"",UPPER(_xlpm.MyAuditVal),_xlpm.MacVal&lt;&gt;"",_xlpm.MacVal,_xlpm.CSVVal&lt;&gt;"",_xlpm.CSVVal
)),"")</f>
        <v/>
      </c>
      <c r="O76" s="54"/>
      <c r="P76" s="54"/>
      <c r="Q76" s="54"/>
      <c r="R76" s="54"/>
      <c r="S76" s="54"/>
      <c r="T76" s="54"/>
      <c r="U76" s="39" t="str">
        <f>_xlfn.LET(
    _xlpm.MacVal, _xlfn.XLOOKUP($A76, Output_Mac!$A:$A, Output_Mac!AB:AB, ""),
    _xlpm.MyAuditVal, _xlfn.XLOOKUP($A76, My_Audit!$A:$A, My_Audit!L:L, ""),
    _xlfn.TEXTJOIN(", ", TRUE, _xlpm.MyAuditVal, _xlpm.MacVal)
)</f>
        <v/>
      </c>
    </row>
    <row r="77" spans="1:21">
      <c r="A77" s="54" t="str">
        <f>_xlfn.TEXTJOIN("",TRUE,Input!$B$2,ROW(My_Audit!A76))</f>
        <v>XX76</v>
      </c>
      <c r="B77" s="54" t="str">
        <f>_xlfn.TEXTJOIN("-",TRUE,"ITD",Input!$A$2,A77)</f>
        <v>ITD-SHRXXX-XX76</v>
      </c>
      <c r="C77" s="54" t="str" cm="1">
        <f t="array" ref="C77">IFERROR(_xlfn.LET(
_xlpm.CSVVal,_xlfn.XLOOKUP($A77,CSV!$A:$A,CSV!B:B,""),
_xlpm.MacVal,_xlfn.XLOOKUP($A77,Output_Mac!$A:$A,Output_Mac!B:B,""),
_xlpm.MyAuditVal,_xlfn.XLOOKUP($A77,My_Audit!$A:$A,My_Audit!B:B,""),
_xlfn.IFS(_xlpm.MyAuditVal&lt;&gt;"",UPPER(_xlpm.MyAuditVal),_xlpm.MacVal&lt;&gt;"",_xlpm.MacVal,_xlpm.CSVVal&lt;&gt;"",_xlpm.CSVVal
)),"")</f>
        <v/>
      </c>
      <c r="D77" s="55" t="str">
        <f>_xlfn.XLOOKUP(A77,My_Audit!A:A,My_Audit!D:D,"")&amp;""</f>
        <v/>
      </c>
      <c r="E77" s="55" t="str" cm="1">
        <f t="array" ref="E77">IFERROR(_xlfn.LET(
_xlpm.CSVVal,_xlfn.XLOOKUP($A77,CSV!$A:$A,CSV!D:D,""),
_xlpm.MacVal,_xlfn.XLOOKUP($A77,Output_Mac!$A:$A,Output_Mac!C:C,""),
_xlpm.MyAuditVal,_xlfn.XLOOKUP($A77,My_Audit!$A:$A,My_Audit!D:D,""),
_xlfn.IFS(_xlpm.MyAuditVal&lt;&gt;"",_xlpm.MyAuditVal,_xlpm.MacVal&lt;&gt;"",_xlpm.MacVal,_xlpm.CSVVal&lt;&gt;"",_xlpm.CSVVal
)),"")</f>
        <v/>
      </c>
      <c r="F77" s="54" t="str" cm="1">
        <f t="array" ref="F77">IFERROR(_xlfn.LET(
_xlpm.CSVVal,_xlfn.XLOOKUP($A77,CSV!$A:$A,CSV!E:E,""),
_xlpm.MacVal,_xlfn.XLOOKUP($A77,Output_Mac!$A:$A,Output_Mac!F:F,""),
_xlpm.MyAuditVal,_xlfn.XLOOKUP($A77,My_Audit!$A:$A,My_Audit!E:E,""),
_xlfn.IFS(_xlpm.MyAuditVal&lt;&gt;"",_xlpm.MyAuditVal,_xlpm.MacVal&lt;&gt;"",_xlpm.MacVal,_xlpm.CSVVal&lt;&gt;"",PROPER(_xlpm.CSVVal)
)),"")</f>
        <v/>
      </c>
      <c r="G77" s="54" t="str" cm="1">
        <f t="array" ref="G77">IFERROR(_xlfn.LET(
_xlpm.CSVVal,_xlfn.XLOOKUP($A77,CSV!$A:$A,CSV!F:F,""),
_xlpm.MacVal,_xlfn.XLOOKUP($A77,Output_Mac!$A:$A,Output_Mac!H:H,""),
_xlpm.MyAuditVal,_xlfn.XLOOKUP($A77,My_Audit!$A:$A,My_Audit!F:F,""),
_xlfn.IFS(_xlpm.MyAuditVal&lt;&gt;"",_xlpm.MyAuditVal,_xlpm.MacVal&lt;&gt;"",_xlpm.MacVal,_xlpm.CSVVal&lt;&gt;"",_xlpm.CSVVal
)),"")</f>
        <v/>
      </c>
      <c r="H77" s="54" t="str">
        <f>_xlfn.XLOOKUP(A77,Output_Mac!A:A,Output_Mac!I:I,"")</f>
        <v/>
      </c>
      <c r="I77" s="54" t="str" cm="1">
        <f t="array" ref="I77">IFERROR(_xlfn.LET(
_xlpm.CSVVal,_xlfn.XLOOKUP($A77,CSV!$A:$A,CSV!G:G,""),
_xlpm.MacVal,_xlfn.XLOOKUP($A77,Output_Mac!$A:$A,Output_Mac!J:J,""),
_xlpm.MyAuditVal,_xlfn.XLOOKUP($A77,My_Audit!$A:$A,My_Audit!H:H,""),
_xlfn.IFS(_xlpm.MyAuditVal&lt;&gt;"",UPPER(_xlpm.MyAuditVal),_xlpm.MacVal&lt;&gt;"",_xlpm.MacVal,_xlpm.CSVVal&lt;&gt;"",_xlpm.CSVVal
)),"")</f>
        <v/>
      </c>
      <c r="J77" s="54" t="str" cm="1">
        <f t="array" ref="J77">IFERROR(_xlfn.LET(
_xlpm.CSVVal,_xlfn.XLOOKUP($A77,CSV!$A:$A,CSV!I:I,""),
_xlpm.MacVal,_xlfn.XLOOKUP($A77,Output_Mac!$A:$A,Output_Mac!K:K,""),
_xlpm.MyAuditVal,_xlfn.XLOOKUP($A77,My_Audit!$A:$A,My_Audit!I:I,""),
_xlfn.IFS(_xlpm.MyAuditVal&lt;&gt;"",UPPER(_xlpm.MyAuditVal),_xlpm.MacVal&lt;&gt;"",_xlpm.MacVal,_xlpm.CSVVal&lt;&gt;"",_xlpm.CSVVal
)),"")</f>
        <v/>
      </c>
      <c r="K77" s="54" t="str" cm="1">
        <f t="array" ref="K77">IFERROR(_xlfn.LET(
_xlpm.CSVVal,_xlfn.XLOOKUP($A77,CSV!$A:$A,CSV!M:M,""),
_xlpm.MacVal,_xlfn.XLOOKUP($A77,Output_Mac!$A:$A,Output_Mac!L:L,""),
_xlpm.MyAuditVal,_xlfn.XLOOKUP($A77,My_Audit!$A:$A,My_Audit!J:J,""),
_xlfn.IFS(_xlpm.MyAuditVal&lt;&gt;"",UPPER(_xlpm.MyAuditVal),_xlpm.MacVal&lt;&gt;"",_xlpm.MacVal,_xlpm.CSVVal&lt;&gt;"",_xlpm.CSVVal
)),"")</f>
        <v/>
      </c>
      <c r="L77" s="55" t="str" cm="1">
        <f t="array" ref="L77">IFERROR(_xlfn.LET(
_xlpm.CSVVal,_xlfn.XLOOKUP($A77,CSV!$A:$A,CSV!P:P,""),
_xlpm.MacVal,_xlfn.XLOOKUP($A77,Output_Mac!$A:$A,Output_Mac!M:M,""),
_xlpm.MyAuditVal,_xlfn.XLOOKUP($A77,My_Audit!$A:$A,My_Audit!K:K,""),
_xlfn.IFS(_xlpm.MyAuditVal&lt;&gt;"",UPPER(_xlpm.MyAuditVal),_xlpm.MacVal&lt;&gt;"",_xlpm.MacVal,_xlpm.CSVVal&lt;&gt;"",_xlpm.CSVVal
)),"")</f>
        <v/>
      </c>
      <c r="M77" s="54" t="str">
        <f>_xlfn.LET(
    _xlpm.CSVVal, _xlfn.XLOOKUP($A77, CSV!$A:$A, CSV!AD:AD, ""),
    _xlpm.MacVal, _xlfn.XLOOKUP($A77, Output_Mac!$A:$A, Output_Mac!S:S, ""),
    _xlpm.MyAuditVal, _xlfn.XLOOKUP($A77, My_Audit!$A:$A, My_Audit!N:N, ""),
    _xlfn.TEXTJOIN(", ", TRUE, _xlpm.MyAuditVal, _xlpm.MacVal, _xlpm.CSVVal)
)</f>
        <v/>
      </c>
      <c r="N77" s="54" t="str" cm="1">
        <f t="array" ref="N77">IFERROR(_xlfn.LET(
_xlpm.CSVVal,_xlfn.XLOOKUP($A77,CSV!$A:$A,CSV!AF:AF,""),
_xlpm.MacVal,_xlfn.XLOOKUP($A77,Output_Mac!$A:$A,Output_Mac!U:U,""),
_xlpm.MyAuditVal,_xlfn.XLOOKUP($A77,My_Audit!$A:$A,My_Audit!O:O,""),
_xlfn.IFS(_xlpm.MyAuditVal&lt;&gt;"",UPPER(_xlpm.MyAuditVal),_xlpm.MacVal&lt;&gt;"",_xlpm.MacVal,_xlpm.CSVVal&lt;&gt;"",_xlpm.CSVVal
)),"")</f>
        <v/>
      </c>
      <c r="O77" s="54"/>
      <c r="P77" s="54"/>
      <c r="Q77" s="54"/>
      <c r="R77" s="54"/>
      <c r="S77" s="54"/>
      <c r="T77" s="54"/>
      <c r="U77" s="39" t="str">
        <f>_xlfn.LET(
    _xlpm.MacVal, _xlfn.XLOOKUP($A77, Output_Mac!$A:$A, Output_Mac!AB:AB, ""),
    _xlpm.MyAuditVal, _xlfn.XLOOKUP($A77, My_Audit!$A:$A, My_Audit!L:L, ""),
    _xlfn.TEXTJOIN(", ", TRUE, _xlpm.MyAuditVal, _xlpm.MacVal)
)</f>
        <v/>
      </c>
    </row>
    <row r="78" spans="1:21">
      <c r="A78" s="54" t="str">
        <f>_xlfn.TEXTJOIN("",TRUE,Input!$B$2,ROW(My_Audit!A77))</f>
        <v>XX77</v>
      </c>
      <c r="B78" s="54" t="str">
        <f>_xlfn.TEXTJOIN("-",TRUE,"ITD",Input!$A$2,A78)</f>
        <v>ITD-SHRXXX-XX77</v>
      </c>
      <c r="C78" s="54" t="str" cm="1">
        <f t="array" ref="C78">IFERROR(_xlfn.LET(
_xlpm.CSVVal,_xlfn.XLOOKUP($A78,CSV!$A:$A,CSV!B:B,""),
_xlpm.MacVal,_xlfn.XLOOKUP($A78,Output_Mac!$A:$A,Output_Mac!B:B,""),
_xlpm.MyAuditVal,_xlfn.XLOOKUP($A78,My_Audit!$A:$A,My_Audit!B:B,""),
_xlfn.IFS(_xlpm.MyAuditVal&lt;&gt;"",UPPER(_xlpm.MyAuditVal),_xlpm.MacVal&lt;&gt;"",_xlpm.MacVal,_xlpm.CSVVal&lt;&gt;"",_xlpm.CSVVal
)),"")</f>
        <v/>
      </c>
      <c r="D78" s="55" t="str">
        <f>_xlfn.XLOOKUP(A78,My_Audit!A:A,My_Audit!D:D,"")&amp;""</f>
        <v/>
      </c>
      <c r="E78" s="55" t="str" cm="1">
        <f t="array" ref="E78">IFERROR(_xlfn.LET(
_xlpm.CSVVal,_xlfn.XLOOKUP($A78,CSV!$A:$A,CSV!D:D,""),
_xlpm.MacVal,_xlfn.XLOOKUP($A78,Output_Mac!$A:$A,Output_Mac!C:C,""),
_xlpm.MyAuditVal,_xlfn.XLOOKUP($A78,My_Audit!$A:$A,My_Audit!D:D,""),
_xlfn.IFS(_xlpm.MyAuditVal&lt;&gt;"",_xlpm.MyAuditVal,_xlpm.MacVal&lt;&gt;"",_xlpm.MacVal,_xlpm.CSVVal&lt;&gt;"",_xlpm.CSVVal
)),"")</f>
        <v/>
      </c>
      <c r="F78" s="54" t="str" cm="1">
        <f t="array" ref="F78">IFERROR(_xlfn.LET(
_xlpm.CSVVal,_xlfn.XLOOKUP($A78,CSV!$A:$A,CSV!E:E,""),
_xlpm.MacVal,_xlfn.XLOOKUP($A78,Output_Mac!$A:$A,Output_Mac!F:F,""),
_xlpm.MyAuditVal,_xlfn.XLOOKUP($A78,My_Audit!$A:$A,My_Audit!E:E,""),
_xlfn.IFS(_xlpm.MyAuditVal&lt;&gt;"",_xlpm.MyAuditVal,_xlpm.MacVal&lt;&gt;"",_xlpm.MacVal,_xlpm.CSVVal&lt;&gt;"",PROPER(_xlpm.CSVVal)
)),"")</f>
        <v/>
      </c>
      <c r="G78" s="54" t="str" cm="1">
        <f t="array" ref="G78">IFERROR(_xlfn.LET(
_xlpm.CSVVal,_xlfn.XLOOKUP($A78,CSV!$A:$A,CSV!F:F,""),
_xlpm.MacVal,_xlfn.XLOOKUP($A78,Output_Mac!$A:$A,Output_Mac!H:H,""),
_xlpm.MyAuditVal,_xlfn.XLOOKUP($A78,My_Audit!$A:$A,My_Audit!F:F,""),
_xlfn.IFS(_xlpm.MyAuditVal&lt;&gt;"",_xlpm.MyAuditVal,_xlpm.MacVal&lt;&gt;"",_xlpm.MacVal,_xlpm.CSVVal&lt;&gt;"",_xlpm.CSVVal
)),"")</f>
        <v/>
      </c>
      <c r="H78" s="54" t="str">
        <f>_xlfn.XLOOKUP(A78,Output_Mac!A:A,Output_Mac!I:I,"")</f>
        <v/>
      </c>
      <c r="I78" s="54" t="str" cm="1">
        <f t="array" ref="I78">IFERROR(_xlfn.LET(
_xlpm.CSVVal,_xlfn.XLOOKUP($A78,CSV!$A:$A,CSV!G:G,""),
_xlpm.MacVal,_xlfn.XLOOKUP($A78,Output_Mac!$A:$A,Output_Mac!J:J,""),
_xlpm.MyAuditVal,_xlfn.XLOOKUP($A78,My_Audit!$A:$A,My_Audit!H:H,""),
_xlfn.IFS(_xlpm.MyAuditVal&lt;&gt;"",UPPER(_xlpm.MyAuditVal),_xlpm.MacVal&lt;&gt;"",_xlpm.MacVal,_xlpm.CSVVal&lt;&gt;"",_xlpm.CSVVal
)),"")</f>
        <v/>
      </c>
      <c r="J78" s="54" t="str" cm="1">
        <f t="array" ref="J78">IFERROR(_xlfn.LET(
_xlpm.CSVVal,_xlfn.XLOOKUP($A78,CSV!$A:$A,CSV!I:I,""),
_xlpm.MacVal,_xlfn.XLOOKUP($A78,Output_Mac!$A:$A,Output_Mac!K:K,""),
_xlpm.MyAuditVal,_xlfn.XLOOKUP($A78,My_Audit!$A:$A,My_Audit!I:I,""),
_xlfn.IFS(_xlpm.MyAuditVal&lt;&gt;"",UPPER(_xlpm.MyAuditVal),_xlpm.MacVal&lt;&gt;"",_xlpm.MacVal,_xlpm.CSVVal&lt;&gt;"",_xlpm.CSVVal
)),"")</f>
        <v/>
      </c>
      <c r="K78" s="54" t="str" cm="1">
        <f t="array" ref="K78">IFERROR(_xlfn.LET(
_xlpm.CSVVal,_xlfn.XLOOKUP($A78,CSV!$A:$A,CSV!M:M,""),
_xlpm.MacVal,_xlfn.XLOOKUP($A78,Output_Mac!$A:$A,Output_Mac!L:L,""),
_xlpm.MyAuditVal,_xlfn.XLOOKUP($A78,My_Audit!$A:$A,My_Audit!J:J,""),
_xlfn.IFS(_xlpm.MyAuditVal&lt;&gt;"",UPPER(_xlpm.MyAuditVal),_xlpm.MacVal&lt;&gt;"",_xlpm.MacVal,_xlpm.CSVVal&lt;&gt;"",_xlpm.CSVVal
)),"")</f>
        <v/>
      </c>
      <c r="L78" s="55" t="str" cm="1">
        <f t="array" ref="L78">IFERROR(_xlfn.LET(
_xlpm.CSVVal,_xlfn.XLOOKUP($A78,CSV!$A:$A,CSV!P:P,""),
_xlpm.MacVal,_xlfn.XLOOKUP($A78,Output_Mac!$A:$A,Output_Mac!M:M,""),
_xlpm.MyAuditVal,_xlfn.XLOOKUP($A78,My_Audit!$A:$A,My_Audit!K:K,""),
_xlfn.IFS(_xlpm.MyAuditVal&lt;&gt;"",UPPER(_xlpm.MyAuditVal),_xlpm.MacVal&lt;&gt;"",_xlpm.MacVal,_xlpm.CSVVal&lt;&gt;"",_xlpm.CSVVal
)),"")</f>
        <v/>
      </c>
      <c r="M78" s="54" t="str">
        <f>_xlfn.LET(
    _xlpm.CSVVal, _xlfn.XLOOKUP($A78, CSV!$A:$A, CSV!AD:AD, ""),
    _xlpm.MacVal, _xlfn.XLOOKUP($A78, Output_Mac!$A:$A, Output_Mac!S:S, ""),
    _xlpm.MyAuditVal, _xlfn.XLOOKUP($A78, My_Audit!$A:$A, My_Audit!N:N, ""),
    _xlfn.TEXTJOIN(", ", TRUE, _xlpm.MyAuditVal, _xlpm.MacVal, _xlpm.CSVVal)
)</f>
        <v/>
      </c>
      <c r="N78" s="54" t="str" cm="1">
        <f t="array" ref="N78">IFERROR(_xlfn.LET(
_xlpm.CSVVal,_xlfn.XLOOKUP($A78,CSV!$A:$A,CSV!AF:AF,""),
_xlpm.MacVal,_xlfn.XLOOKUP($A78,Output_Mac!$A:$A,Output_Mac!U:U,""),
_xlpm.MyAuditVal,_xlfn.XLOOKUP($A78,My_Audit!$A:$A,My_Audit!O:O,""),
_xlfn.IFS(_xlpm.MyAuditVal&lt;&gt;"",UPPER(_xlpm.MyAuditVal),_xlpm.MacVal&lt;&gt;"",_xlpm.MacVal,_xlpm.CSVVal&lt;&gt;"",_xlpm.CSVVal
)),"")</f>
        <v/>
      </c>
      <c r="O78" s="54"/>
      <c r="P78" s="54"/>
      <c r="Q78" s="54"/>
      <c r="R78" s="54"/>
      <c r="S78" s="54"/>
      <c r="T78" s="54"/>
      <c r="U78" s="39" t="str">
        <f>_xlfn.LET(
    _xlpm.MacVal, _xlfn.XLOOKUP($A78, Output_Mac!$A:$A, Output_Mac!AB:AB, ""),
    _xlpm.MyAuditVal, _xlfn.XLOOKUP($A78, My_Audit!$A:$A, My_Audit!L:L, ""),
    _xlfn.TEXTJOIN(", ", TRUE, _xlpm.MyAuditVal, _xlpm.MacVal)
)</f>
        <v/>
      </c>
    </row>
    <row r="79" spans="1:21">
      <c r="A79" s="54" t="str">
        <f>_xlfn.TEXTJOIN("",TRUE,Input!$B$2,ROW(My_Audit!A78))</f>
        <v>XX78</v>
      </c>
      <c r="B79" s="54" t="str">
        <f>_xlfn.TEXTJOIN("-",TRUE,"ITD",Input!$A$2,A79)</f>
        <v>ITD-SHRXXX-XX78</v>
      </c>
      <c r="C79" s="54" t="str" cm="1">
        <f t="array" ref="C79">IFERROR(_xlfn.LET(
_xlpm.CSVVal,_xlfn.XLOOKUP($A79,CSV!$A:$A,CSV!B:B,""),
_xlpm.MacVal,_xlfn.XLOOKUP($A79,Output_Mac!$A:$A,Output_Mac!B:B,""),
_xlpm.MyAuditVal,_xlfn.XLOOKUP($A79,My_Audit!$A:$A,My_Audit!B:B,""),
_xlfn.IFS(_xlpm.MyAuditVal&lt;&gt;"",UPPER(_xlpm.MyAuditVal),_xlpm.MacVal&lt;&gt;"",_xlpm.MacVal,_xlpm.CSVVal&lt;&gt;"",_xlpm.CSVVal
)),"")</f>
        <v/>
      </c>
      <c r="D79" s="55" t="str">
        <f>_xlfn.XLOOKUP(A79,My_Audit!A:A,My_Audit!D:D,"")&amp;""</f>
        <v/>
      </c>
      <c r="E79" s="55" t="str" cm="1">
        <f t="array" ref="E79">IFERROR(_xlfn.LET(
_xlpm.CSVVal,_xlfn.XLOOKUP($A79,CSV!$A:$A,CSV!D:D,""),
_xlpm.MacVal,_xlfn.XLOOKUP($A79,Output_Mac!$A:$A,Output_Mac!C:C,""),
_xlpm.MyAuditVal,_xlfn.XLOOKUP($A79,My_Audit!$A:$A,My_Audit!D:D,""),
_xlfn.IFS(_xlpm.MyAuditVal&lt;&gt;"",_xlpm.MyAuditVal,_xlpm.MacVal&lt;&gt;"",_xlpm.MacVal,_xlpm.CSVVal&lt;&gt;"",_xlpm.CSVVal
)),"")</f>
        <v/>
      </c>
      <c r="F79" s="54" t="str" cm="1">
        <f t="array" ref="F79">IFERROR(_xlfn.LET(
_xlpm.CSVVal,_xlfn.XLOOKUP($A79,CSV!$A:$A,CSV!E:E,""),
_xlpm.MacVal,_xlfn.XLOOKUP($A79,Output_Mac!$A:$A,Output_Mac!F:F,""),
_xlpm.MyAuditVal,_xlfn.XLOOKUP($A79,My_Audit!$A:$A,My_Audit!E:E,""),
_xlfn.IFS(_xlpm.MyAuditVal&lt;&gt;"",_xlpm.MyAuditVal,_xlpm.MacVal&lt;&gt;"",_xlpm.MacVal,_xlpm.CSVVal&lt;&gt;"",PROPER(_xlpm.CSVVal)
)),"")</f>
        <v/>
      </c>
      <c r="G79" s="54" t="str" cm="1">
        <f t="array" ref="G79">IFERROR(_xlfn.LET(
_xlpm.CSVVal,_xlfn.XLOOKUP($A79,CSV!$A:$A,CSV!F:F,""),
_xlpm.MacVal,_xlfn.XLOOKUP($A79,Output_Mac!$A:$A,Output_Mac!H:H,""),
_xlpm.MyAuditVal,_xlfn.XLOOKUP($A79,My_Audit!$A:$A,My_Audit!F:F,""),
_xlfn.IFS(_xlpm.MyAuditVal&lt;&gt;"",_xlpm.MyAuditVal,_xlpm.MacVal&lt;&gt;"",_xlpm.MacVal,_xlpm.CSVVal&lt;&gt;"",_xlpm.CSVVal
)),"")</f>
        <v/>
      </c>
      <c r="H79" s="54" t="str">
        <f>_xlfn.XLOOKUP(A79,Output_Mac!A:A,Output_Mac!I:I,"")</f>
        <v/>
      </c>
      <c r="I79" s="54" t="str" cm="1">
        <f t="array" ref="I79">IFERROR(_xlfn.LET(
_xlpm.CSVVal,_xlfn.XLOOKUP($A79,CSV!$A:$A,CSV!G:G,""),
_xlpm.MacVal,_xlfn.XLOOKUP($A79,Output_Mac!$A:$A,Output_Mac!J:J,""),
_xlpm.MyAuditVal,_xlfn.XLOOKUP($A79,My_Audit!$A:$A,My_Audit!H:H,""),
_xlfn.IFS(_xlpm.MyAuditVal&lt;&gt;"",UPPER(_xlpm.MyAuditVal),_xlpm.MacVal&lt;&gt;"",_xlpm.MacVal,_xlpm.CSVVal&lt;&gt;"",_xlpm.CSVVal
)),"")</f>
        <v/>
      </c>
      <c r="J79" s="54" t="str" cm="1">
        <f t="array" ref="J79">IFERROR(_xlfn.LET(
_xlpm.CSVVal,_xlfn.XLOOKUP($A79,CSV!$A:$A,CSV!I:I,""),
_xlpm.MacVal,_xlfn.XLOOKUP($A79,Output_Mac!$A:$A,Output_Mac!K:K,""),
_xlpm.MyAuditVal,_xlfn.XLOOKUP($A79,My_Audit!$A:$A,My_Audit!I:I,""),
_xlfn.IFS(_xlpm.MyAuditVal&lt;&gt;"",UPPER(_xlpm.MyAuditVal),_xlpm.MacVal&lt;&gt;"",_xlpm.MacVal,_xlpm.CSVVal&lt;&gt;"",_xlpm.CSVVal
)),"")</f>
        <v/>
      </c>
      <c r="K79" s="54" t="str" cm="1">
        <f t="array" ref="K79">IFERROR(_xlfn.LET(
_xlpm.CSVVal,_xlfn.XLOOKUP($A79,CSV!$A:$A,CSV!M:M,""),
_xlpm.MacVal,_xlfn.XLOOKUP($A79,Output_Mac!$A:$A,Output_Mac!L:L,""),
_xlpm.MyAuditVal,_xlfn.XLOOKUP($A79,My_Audit!$A:$A,My_Audit!J:J,""),
_xlfn.IFS(_xlpm.MyAuditVal&lt;&gt;"",UPPER(_xlpm.MyAuditVal),_xlpm.MacVal&lt;&gt;"",_xlpm.MacVal,_xlpm.CSVVal&lt;&gt;"",_xlpm.CSVVal
)),"")</f>
        <v/>
      </c>
      <c r="L79" s="55" t="str" cm="1">
        <f t="array" ref="L79">IFERROR(_xlfn.LET(
_xlpm.CSVVal,_xlfn.XLOOKUP($A79,CSV!$A:$A,CSV!P:P,""),
_xlpm.MacVal,_xlfn.XLOOKUP($A79,Output_Mac!$A:$A,Output_Mac!M:M,""),
_xlpm.MyAuditVal,_xlfn.XLOOKUP($A79,My_Audit!$A:$A,My_Audit!K:K,""),
_xlfn.IFS(_xlpm.MyAuditVal&lt;&gt;"",UPPER(_xlpm.MyAuditVal),_xlpm.MacVal&lt;&gt;"",_xlpm.MacVal,_xlpm.CSVVal&lt;&gt;"",_xlpm.CSVVal
)),"")</f>
        <v/>
      </c>
      <c r="M79" s="54" t="str">
        <f>_xlfn.LET(
    _xlpm.CSVVal, _xlfn.XLOOKUP($A79, CSV!$A:$A, CSV!AD:AD, ""),
    _xlpm.MacVal, _xlfn.XLOOKUP($A79, Output_Mac!$A:$A, Output_Mac!S:S, ""),
    _xlpm.MyAuditVal, _xlfn.XLOOKUP($A79, My_Audit!$A:$A, My_Audit!N:N, ""),
    _xlfn.TEXTJOIN(", ", TRUE, _xlpm.MyAuditVal, _xlpm.MacVal, _xlpm.CSVVal)
)</f>
        <v/>
      </c>
      <c r="N79" s="54" t="str" cm="1">
        <f t="array" ref="N79">IFERROR(_xlfn.LET(
_xlpm.CSVVal,_xlfn.XLOOKUP($A79,CSV!$A:$A,CSV!AF:AF,""),
_xlpm.MacVal,_xlfn.XLOOKUP($A79,Output_Mac!$A:$A,Output_Mac!U:U,""),
_xlpm.MyAuditVal,_xlfn.XLOOKUP($A79,My_Audit!$A:$A,My_Audit!O:O,""),
_xlfn.IFS(_xlpm.MyAuditVal&lt;&gt;"",UPPER(_xlpm.MyAuditVal),_xlpm.MacVal&lt;&gt;"",_xlpm.MacVal,_xlpm.CSVVal&lt;&gt;"",_xlpm.CSVVal
)),"")</f>
        <v/>
      </c>
      <c r="O79" s="54"/>
      <c r="P79" s="54"/>
      <c r="Q79" s="54"/>
      <c r="R79" s="54"/>
      <c r="S79" s="54"/>
      <c r="T79" s="54"/>
      <c r="U79" s="39" t="str">
        <f>_xlfn.LET(
    _xlpm.MacVal, _xlfn.XLOOKUP($A79, Output_Mac!$A:$A, Output_Mac!AB:AB, ""),
    _xlpm.MyAuditVal, _xlfn.XLOOKUP($A79, My_Audit!$A:$A, My_Audit!L:L, ""),
    _xlfn.TEXTJOIN(", ", TRUE, _xlpm.MyAuditVal, _xlpm.MacVal)
)</f>
        <v/>
      </c>
    </row>
    <row r="80" spans="1:21">
      <c r="A80" s="54" t="str">
        <f>_xlfn.TEXTJOIN("",TRUE,Input!$B$2,ROW(My_Audit!A79))</f>
        <v>XX79</v>
      </c>
      <c r="B80" s="54" t="str">
        <f>_xlfn.TEXTJOIN("-",TRUE,"ITD",Input!$A$2,A80)</f>
        <v>ITD-SHRXXX-XX79</v>
      </c>
      <c r="C80" s="54" t="str" cm="1">
        <f t="array" ref="C80">IFERROR(_xlfn.LET(
_xlpm.CSVVal,_xlfn.XLOOKUP($A80,CSV!$A:$A,CSV!B:B,""),
_xlpm.MacVal,_xlfn.XLOOKUP($A80,Output_Mac!$A:$A,Output_Mac!B:B,""),
_xlpm.MyAuditVal,_xlfn.XLOOKUP($A80,My_Audit!$A:$A,My_Audit!B:B,""),
_xlfn.IFS(_xlpm.MyAuditVal&lt;&gt;"",UPPER(_xlpm.MyAuditVal),_xlpm.MacVal&lt;&gt;"",_xlpm.MacVal,_xlpm.CSVVal&lt;&gt;"",_xlpm.CSVVal
)),"")</f>
        <v/>
      </c>
      <c r="D80" s="55" t="str">
        <f>_xlfn.XLOOKUP(A80,My_Audit!A:A,My_Audit!D:D,"")&amp;""</f>
        <v/>
      </c>
      <c r="E80" s="55" t="str" cm="1">
        <f t="array" ref="E80">IFERROR(_xlfn.LET(
_xlpm.CSVVal,_xlfn.XLOOKUP($A80,CSV!$A:$A,CSV!D:D,""),
_xlpm.MacVal,_xlfn.XLOOKUP($A80,Output_Mac!$A:$A,Output_Mac!C:C,""),
_xlpm.MyAuditVal,_xlfn.XLOOKUP($A80,My_Audit!$A:$A,My_Audit!D:D,""),
_xlfn.IFS(_xlpm.MyAuditVal&lt;&gt;"",_xlpm.MyAuditVal,_xlpm.MacVal&lt;&gt;"",_xlpm.MacVal,_xlpm.CSVVal&lt;&gt;"",_xlpm.CSVVal
)),"")</f>
        <v/>
      </c>
      <c r="F80" s="54" t="str" cm="1">
        <f t="array" ref="F80">IFERROR(_xlfn.LET(
_xlpm.CSVVal,_xlfn.XLOOKUP($A80,CSV!$A:$A,CSV!E:E,""),
_xlpm.MacVal,_xlfn.XLOOKUP($A80,Output_Mac!$A:$A,Output_Mac!F:F,""),
_xlpm.MyAuditVal,_xlfn.XLOOKUP($A80,My_Audit!$A:$A,My_Audit!E:E,""),
_xlfn.IFS(_xlpm.MyAuditVal&lt;&gt;"",_xlpm.MyAuditVal,_xlpm.MacVal&lt;&gt;"",_xlpm.MacVal,_xlpm.CSVVal&lt;&gt;"",PROPER(_xlpm.CSVVal)
)),"")</f>
        <v/>
      </c>
      <c r="G80" s="54" t="str" cm="1">
        <f t="array" ref="G80">IFERROR(_xlfn.LET(
_xlpm.CSVVal,_xlfn.XLOOKUP($A80,CSV!$A:$A,CSV!F:F,""),
_xlpm.MacVal,_xlfn.XLOOKUP($A80,Output_Mac!$A:$A,Output_Mac!H:H,""),
_xlpm.MyAuditVal,_xlfn.XLOOKUP($A80,My_Audit!$A:$A,My_Audit!F:F,""),
_xlfn.IFS(_xlpm.MyAuditVal&lt;&gt;"",_xlpm.MyAuditVal,_xlpm.MacVal&lt;&gt;"",_xlpm.MacVal,_xlpm.CSVVal&lt;&gt;"",_xlpm.CSVVal
)),"")</f>
        <v/>
      </c>
      <c r="H80" s="54" t="str">
        <f>_xlfn.XLOOKUP(A80,Output_Mac!A:A,Output_Mac!I:I,"")</f>
        <v/>
      </c>
      <c r="I80" s="54" t="str" cm="1">
        <f t="array" ref="I80">IFERROR(_xlfn.LET(
_xlpm.CSVVal,_xlfn.XLOOKUP($A80,CSV!$A:$A,CSV!G:G,""),
_xlpm.MacVal,_xlfn.XLOOKUP($A80,Output_Mac!$A:$A,Output_Mac!J:J,""),
_xlpm.MyAuditVal,_xlfn.XLOOKUP($A80,My_Audit!$A:$A,My_Audit!H:H,""),
_xlfn.IFS(_xlpm.MyAuditVal&lt;&gt;"",UPPER(_xlpm.MyAuditVal),_xlpm.MacVal&lt;&gt;"",_xlpm.MacVal,_xlpm.CSVVal&lt;&gt;"",_xlpm.CSVVal
)),"")</f>
        <v/>
      </c>
      <c r="J80" s="54" t="str" cm="1">
        <f t="array" ref="J80">IFERROR(_xlfn.LET(
_xlpm.CSVVal,_xlfn.XLOOKUP($A80,CSV!$A:$A,CSV!I:I,""),
_xlpm.MacVal,_xlfn.XLOOKUP($A80,Output_Mac!$A:$A,Output_Mac!K:K,""),
_xlpm.MyAuditVal,_xlfn.XLOOKUP($A80,My_Audit!$A:$A,My_Audit!I:I,""),
_xlfn.IFS(_xlpm.MyAuditVal&lt;&gt;"",UPPER(_xlpm.MyAuditVal),_xlpm.MacVal&lt;&gt;"",_xlpm.MacVal,_xlpm.CSVVal&lt;&gt;"",_xlpm.CSVVal
)),"")</f>
        <v/>
      </c>
      <c r="K80" s="54" t="str" cm="1">
        <f t="array" ref="K80">IFERROR(_xlfn.LET(
_xlpm.CSVVal,_xlfn.XLOOKUP($A80,CSV!$A:$A,CSV!M:M,""),
_xlpm.MacVal,_xlfn.XLOOKUP($A80,Output_Mac!$A:$A,Output_Mac!L:L,""),
_xlpm.MyAuditVal,_xlfn.XLOOKUP($A80,My_Audit!$A:$A,My_Audit!J:J,""),
_xlfn.IFS(_xlpm.MyAuditVal&lt;&gt;"",UPPER(_xlpm.MyAuditVal),_xlpm.MacVal&lt;&gt;"",_xlpm.MacVal,_xlpm.CSVVal&lt;&gt;"",_xlpm.CSVVal
)),"")</f>
        <v/>
      </c>
      <c r="L80" s="55" t="str" cm="1">
        <f t="array" ref="L80">IFERROR(_xlfn.LET(
_xlpm.CSVVal,_xlfn.XLOOKUP($A80,CSV!$A:$A,CSV!P:P,""),
_xlpm.MacVal,_xlfn.XLOOKUP($A80,Output_Mac!$A:$A,Output_Mac!M:M,""),
_xlpm.MyAuditVal,_xlfn.XLOOKUP($A80,My_Audit!$A:$A,My_Audit!K:K,""),
_xlfn.IFS(_xlpm.MyAuditVal&lt;&gt;"",UPPER(_xlpm.MyAuditVal),_xlpm.MacVal&lt;&gt;"",_xlpm.MacVal,_xlpm.CSVVal&lt;&gt;"",_xlpm.CSVVal
)),"")</f>
        <v/>
      </c>
      <c r="M80" s="54" t="str">
        <f>_xlfn.LET(
    _xlpm.CSVVal, _xlfn.XLOOKUP($A80, CSV!$A:$A, CSV!AD:AD, ""),
    _xlpm.MacVal, _xlfn.XLOOKUP($A80, Output_Mac!$A:$A, Output_Mac!S:S, ""),
    _xlpm.MyAuditVal, _xlfn.XLOOKUP($A80, My_Audit!$A:$A, My_Audit!N:N, ""),
    _xlfn.TEXTJOIN(", ", TRUE, _xlpm.MyAuditVal, _xlpm.MacVal, _xlpm.CSVVal)
)</f>
        <v/>
      </c>
      <c r="N80" s="54" t="str" cm="1">
        <f t="array" ref="N80">IFERROR(_xlfn.LET(
_xlpm.CSVVal,_xlfn.XLOOKUP($A80,CSV!$A:$A,CSV!AF:AF,""),
_xlpm.MacVal,_xlfn.XLOOKUP($A80,Output_Mac!$A:$A,Output_Mac!U:U,""),
_xlpm.MyAuditVal,_xlfn.XLOOKUP($A80,My_Audit!$A:$A,My_Audit!O:O,""),
_xlfn.IFS(_xlpm.MyAuditVal&lt;&gt;"",UPPER(_xlpm.MyAuditVal),_xlpm.MacVal&lt;&gt;"",_xlpm.MacVal,_xlpm.CSVVal&lt;&gt;"",_xlpm.CSVVal
)),"")</f>
        <v/>
      </c>
      <c r="O80" s="54"/>
      <c r="P80" s="54"/>
      <c r="Q80" s="54"/>
      <c r="R80" s="54"/>
      <c r="S80" s="54"/>
      <c r="T80" s="54"/>
      <c r="U80" s="39" t="str">
        <f>_xlfn.LET(
    _xlpm.MacVal, _xlfn.XLOOKUP($A80, Output_Mac!$A:$A, Output_Mac!AB:AB, ""),
    _xlpm.MyAuditVal, _xlfn.XLOOKUP($A80, My_Audit!$A:$A, My_Audit!L:L, ""),
    _xlfn.TEXTJOIN(", ", TRUE, _xlpm.MyAuditVal, _xlpm.MacVal)
)</f>
        <v/>
      </c>
    </row>
    <row r="81" spans="1:21">
      <c r="A81" s="54" t="str">
        <f>_xlfn.TEXTJOIN("",TRUE,Input!$B$2,ROW(My_Audit!A80))</f>
        <v>XX80</v>
      </c>
      <c r="B81" s="54" t="str">
        <f>_xlfn.TEXTJOIN("-",TRUE,"ITD",Input!$A$2,A81)</f>
        <v>ITD-SHRXXX-XX80</v>
      </c>
      <c r="C81" s="54" t="str" cm="1">
        <f t="array" ref="C81">IFERROR(_xlfn.LET(
_xlpm.CSVVal,_xlfn.XLOOKUP($A81,CSV!$A:$A,CSV!B:B,""),
_xlpm.MacVal,_xlfn.XLOOKUP($A81,Output_Mac!$A:$A,Output_Mac!B:B,""),
_xlpm.MyAuditVal,_xlfn.XLOOKUP($A81,My_Audit!$A:$A,My_Audit!B:B,""),
_xlfn.IFS(_xlpm.MyAuditVal&lt;&gt;"",UPPER(_xlpm.MyAuditVal),_xlpm.MacVal&lt;&gt;"",_xlpm.MacVal,_xlpm.CSVVal&lt;&gt;"",_xlpm.CSVVal
)),"")</f>
        <v/>
      </c>
      <c r="D81" s="55" t="str">
        <f>_xlfn.XLOOKUP(A81,My_Audit!A:A,My_Audit!D:D,"")&amp;""</f>
        <v/>
      </c>
      <c r="E81" s="55" t="str" cm="1">
        <f t="array" ref="E81">IFERROR(_xlfn.LET(
_xlpm.CSVVal,_xlfn.XLOOKUP($A81,CSV!$A:$A,CSV!D:D,""),
_xlpm.MacVal,_xlfn.XLOOKUP($A81,Output_Mac!$A:$A,Output_Mac!C:C,""),
_xlpm.MyAuditVal,_xlfn.XLOOKUP($A81,My_Audit!$A:$A,My_Audit!D:D,""),
_xlfn.IFS(_xlpm.MyAuditVal&lt;&gt;"",_xlpm.MyAuditVal,_xlpm.MacVal&lt;&gt;"",_xlpm.MacVal,_xlpm.CSVVal&lt;&gt;"",_xlpm.CSVVal
)),"")</f>
        <v/>
      </c>
      <c r="F81" s="54" t="str" cm="1">
        <f t="array" ref="F81">IFERROR(_xlfn.LET(
_xlpm.CSVVal,_xlfn.XLOOKUP($A81,CSV!$A:$A,CSV!E:E,""),
_xlpm.MacVal,_xlfn.XLOOKUP($A81,Output_Mac!$A:$A,Output_Mac!F:F,""),
_xlpm.MyAuditVal,_xlfn.XLOOKUP($A81,My_Audit!$A:$A,My_Audit!E:E,""),
_xlfn.IFS(_xlpm.MyAuditVal&lt;&gt;"",_xlpm.MyAuditVal,_xlpm.MacVal&lt;&gt;"",_xlpm.MacVal,_xlpm.CSVVal&lt;&gt;"",PROPER(_xlpm.CSVVal)
)),"")</f>
        <v/>
      </c>
      <c r="G81" s="54" t="str" cm="1">
        <f t="array" ref="G81">IFERROR(_xlfn.LET(
_xlpm.CSVVal,_xlfn.XLOOKUP($A81,CSV!$A:$A,CSV!F:F,""),
_xlpm.MacVal,_xlfn.XLOOKUP($A81,Output_Mac!$A:$A,Output_Mac!H:H,""),
_xlpm.MyAuditVal,_xlfn.XLOOKUP($A81,My_Audit!$A:$A,My_Audit!F:F,""),
_xlfn.IFS(_xlpm.MyAuditVal&lt;&gt;"",_xlpm.MyAuditVal,_xlpm.MacVal&lt;&gt;"",_xlpm.MacVal,_xlpm.CSVVal&lt;&gt;"",_xlpm.CSVVal
)),"")</f>
        <v/>
      </c>
      <c r="H81" s="54" t="str">
        <f>_xlfn.XLOOKUP(A81,Output_Mac!A:A,Output_Mac!I:I,"")</f>
        <v/>
      </c>
      <c r="I81" s="54" t="str" cm="1">
        <f t="array" ref="I81">IFERROR(_xlfn.LET(
_xlpm.CSVVal,_xlfn.XLOOKUP($A81,CSV!$A:$A,CSV!G:G,""),
_xlpm.MacVal,_xlfn.XLOOKUP($A81,Output_Mac!$A:$A,Output_Mac!J:J,""),
_xlpm.MyAuditVal,_xlfn.XLOOKUP($A81,My_Audit!$A:$A,My_Audit!H:H,""),
_xlfn.IFS(_xlpm.MyAuditVal&lt;&gt;"",UPPER(_xlpm.MyAuditVal),_xlpm.MacVal&lt;&gt;"",_xlpm.MacVal,_xlpm.CSVVal&lt;&gt;"",_xlpm.CSVVal
)),"")</f>
        <v/>
      </c>
      <c r="J81" s="54" t="str" cm="1">
        <f t="array" ref="J81">IFERROR(_xlfn.LET(
_xlpm.CSVVal,_xlfn.XLOOKUP($A81,CSV!$A:$A,CSV!I:I,""),
_xlpm.MacVal,_xlfn.XLOOKUP($A81,Output_Mac!$A:$A,Output_Mac!K:K,""),
_xlpm.MyAuditVal,_xlfn.XLOOKUP($A81,My_Audit!$A:$A,My_Audit!I:I,""),
_xlfn.IFS(_xlpm.MyAuditVal&lt;&gt;"",UPPER(_xlpm.MyAuditVal),_xlpm.MacVal&lt;&gt;"",_xlpm.MacVal,_xlpm.CSVVal&lt;&gt;"",_xlpm.CSVVal
)),"")</f>
        <v/>
      </c>
      <c r="K81" s="54" t="str" cm="1">
        <f t="array" ref="K81">IFERROR(_xlfn.LET(
_xlpm.CSVVal,_xlfn.XLOOKUP($A81,CSV!$A:$A,CSV!M:M,""),
_xlpm.MacVal,_xlfn.XLOOKUP($A81,Output_Mac!$A:$A,Output_Mac!L:L,""),
_xlpm.MyAuditVal,_xlfn.XLOOKUP($A81,My_Audit!$A:$A,My_Audit!J:J,""),
_xlfn.IFS(_xlpm.MyAuditVal&lt;&gt;"",UPPER(_xlpm.MyAuditVal),_xlpm.MacVal&lt;&gt;"",_xlpm.MacVal,_xlpm.CSVVal&lt;&gt;"",_xlpm.CSVVal
)),"")</f>
        <v/>
      </c>
      <c r="L81" s="55" t="str" cm="1">
        <f t="array" ref="L81">IFERROR(_xlfn.LET(
_xlpm.CSVVal,_xlfn.XLOOKUP($A81,CSV!$A:$A,CSV!P:P,""),
_xlpm.MacVal,_xlfn.XLOOKUP($A81,Output_Mac!$A:$A,Output_Mac!M:M,""),
_xlpm.MyAuditVal,_xlfn.XLOOKUP($A81,My_Audit!$A:$A,My_Audit!K:K,""),
_xlfn.IFS(_xlpm.MyAuditVal&lt;&gt;"",UPPER(_xlpm.MyAuditVal),_xlpm.MacVal&lt;&gt;"",_xlpm.MacVal,_xlpm.CSVVal&lt;&gt;"",_xlpm.CSVVal
)),"")</f>
        <v/>
      </c>
      <c r="M81" s="54" t="str">
        <f>_xlfn.LET(
    _xlpm.CSVVal, _xlfn.XLOOKUP($A81, CSV!$A:$A, CSV!AD:AD, ""),
    _xlpm.MacVal, _xlfn.XLOOKUP($A81, Output_Mac!$A:$A, Output_Mac!S:S, ""),
    _xlpm.MyAuditVal, _xlfn.XLOOKUP($A81, My_Audit!$A:$A, My_Audit!N:N, ""),
    _xlfn.TEXTJOIN(", ", TRUE, _xlpm.MyAuditVal, _xlpm.MacVal, _xlpm.CSVVal)
)</f>
        <v/>
      </c>
      <c r="N81" s="54" t="str" cm="1">
        <f t="array" ref="N81">IFERROR(_xlfn.LET(
_xlpm.CSVVal,_xlfn.XLOOKUP($A81,CSV!$A:$A,CSV!AF:AF,""),
_xlpm.MacVal,_xlfn.XLOOKUP($A81,Output_Mac!$A:$A,Output_Mac!U:U,""),
_xlpm.MyAuditVal,_xlfn.XLOOKUP($A81,My_Audit!$A:$A,My_Audit!O:O,""),
_xlfn.IFS(_xlpm.MyAuditVal&lt;&gt;"",UPPER(_xlpm.MyAuditVal),_xlpm.MacVal&lt;&gt;"",_xlpm.MacVal,_xlpm.CSVVal&lt;&gt;"",_xlpm.CSVVal
)),"")</f>
        <v/>
      </c>
      <c r="O81" s="54"/>
      <c r="P81" s="54"/>
      <c r="Q81" s="54"/>
      <c r="R81" s="54"/>
      <c r="S81" s="54"/>
      <c r="T81" s="54"/>
      <c r="U81" s="39" t="str">
        <f>_xlfn.LET(
    _xlpm.MacVal, _xlfn.XLOOKUP($A81, Output_Mac!$A:$A, Output_Mac!AB:AB, ""),
    _xlpm.MyAuditVal, _xlfn.XLOOKUP($A81, My_Audit!$A:$A, My_Audit!L:L, ""),
    _xlfn.TEXTJOIN(", ", TRUE, _xlpm.MyAuditVal, _xlpm.MacVal)
)</f>
        <v/>
      </c>
    </row>
    <row r="82" spans="1:21">
      <c r="A82" s="54" t="str">
        <f>_xlfn.TEXTJOIN("",TRUE,Input!$B$2,ROW(My_Audit!A81))</f>
        <v>XX81</v>
      </c>
      <c r="B82" s="54" t="str">
        <f>_xlfn.TEXTJOIN("-",TRUE,"ITD",Input!$A$2,A82)</f>
        <v>ITD-SHRXXX-XX81</v>
      </c>
      <c r="C82" s="54" t="str" cm="1">
        <f t="array" ref="C82">IFERROR(_xlfn.LET(
_xlpm.CSVVal,_xlfn.XLOOKUP($A82,CSV!$A:$A,CSV!B:B,""),
_xlpm.MacVal,_xlfn.XLOOKUP($A82,Output_Mac!$A:$A,Output_Mac!B:B,""),
_xlpm.MyAuditVal,_xlfn.XLOOKUP($A82,My_Audit!$A:$A,My_Audit!B:B,""),
_xlfn.IFS(_xlpm.MyAuditVal&lt;&gt;"",UPPER(_xlpm.MyAuditVal),_xlpm.MacVal&lt;&gt;"",_xlpm.MacVal,_xlpm.CSVVal&lt;&gt;"",_xlpm.CSVVal
)),"")</f>
        <v/>
      </c>
      <c r="D82" s="55" t="str">
        <f>_xlfn.XLOOKUP(A82,My_Audit!A:A,My_Audit!D:D,"")&amp;""</f>
        <v/>
      </c>
      <c r="E82" s="55" t="str" cm="1">
        <f t="array" ref="E82">IFERROR(_xlfn.LET(
_xlpm.CSVVal,_xlfn.XLOOKUP($A82,CSV!$A:$A,CSV!D:D,""),
_xlpm.MacVal,_xlfn.XLOOKUP($A82,Output_Mac!$A:$A,Output_Mac!C:C,""),
_xlpm.MyAuditVal,_xlfn.XLOOKUP($A82,My_Audit!$A:$A,My_Audit!D:D,""),
_xlfn.IFS(_xlpm.MyAuditVal&lt;&gt;"",_xlpm.MyAuditVal,_xlpm.MacVal&lt;&gt;"",_xlpm.MacVal,_xlpm.CSVVal&lt;&gt;"",_xlpm.CSVVal
)),"")</f>
        <v/>
      </c>
      <c r="F82" s="54" t="str" cm="1">
        <f t="array" ref="F82">IFERROR(_xlfn.LET(
_xlpm.CSVVal,_xlfn.XLOOKUP($A82,CSV!$A:$A,CSV!E:E,""),
_xlpm.MacVal,_xlfn.XLOOKUP($A82,Output_Mac!$A:$A,Output_Mac!F:F,""),
_xlpm.MyAuditVal,_xlfn.XLOOKUP($A82,My_Audit!$A:$A,My_Audit!E:E,""),
_xlfn.IFS(_xlpm.MyAuditVal&lt;&gt;"",_xlpm.MyAuditVal,_xlpm.MacVal&lt;&gt;"",_xlpm.MacVal,_xlpm.CSVVal&lt;&gt;"",PROPER(_xlpm.CSVVal)
)),"")</f>
        <v/>
      </c>
      <c r="G82" s="54" t="str" cm="1">
        <f t="array" ref="G82">IFERROR(_xlfn.LET(
_xlpm.CSVVal,_xlfn.XLOOKUP($A82,CSV!$A:$A,CSV!F:F,""),
_xlpm.MacVal,_xlfn.XLOOKUP($A82,Output_Mac!$A:$A,Output_Mac!H:H,""),
_xlpm.MyAuditVal,_xlfn.XLOOKUP($A82,My_Audit!$A:$A,My_Audit!F:F,""),
_xlfn.IFS(_xlpm.MyAuditVal&lt;&gt;"",_xlpm.MyAuditVal,_xlpm.MacVal&lt;&gt;"",_xlpm.MacVal,_xlpm.CSVVal&lt;&gt;"",_xlpm.CSVVal
)),"")</f>
        <v/>
      </c>
      <c r="H82" s="54" t="str">
        <f>_xlfn.XLOOKUP(A82,Output_Mac!A:A,Output_Mac!I:I,"")</f>
        <v/>
      </c>
      <c r="I82" s="54" t="str" cm="1">
        <f t="array" ref="I82">IFERROR(_xlfn.LET(
_xlpm.CSVVal,_xlfn.XLOOKUP($A82,CSV!$A:$A,CSV!G:G,""),
_xlpm.MacVal,_xlfn.XLOOKUP($A82,Output_Mac!$A:$A,Output_Mac!J:J,""),
_xlpm.MyAuditVal,_xlfn.XLOOKUP($A82,My_Audit!$A:$A,My_Audit!H:H,""),
_xlfn.IFS(_xlpm.MyAuditVal&lt;&gt;"",UPPER(_xlpm.MyAuditVal),_xlpm.MacVal&lt;&gt;"",_xlpm.MacVal,_xlpm.CSVVal&lt;&gt;"",_xlpm.CSVVal
)),"")</f>
        <v/>
      </c>
      <c r="J82" s="54" t="str" cm="1">
        <f t="array" ref="J82">IFERROR(_xlfn.LET(
_xlpm.CSVVal,_xlfn.XLOOKUP($A82,CSV!$A:$A,CSV!I:I,""),
_xlpm.MacVal,_xlfn.XLOOKUP($A82,Output_Mac!$A:$A,Output_Mac!K:K,""),
_xlpm.MyAuditVal,_xlfn.XLOOKUP($A82,My_Audit!$A:$A,My_Audit!I:I,""),
_xlfn.IFS(_xlpm.MyAuditVal&lt;&gt;"",UPPER(_xlpm.MyAuditVal),_xlpm.MacVal&lt;&gt;"",_xlpm.MacVal,_xlpm.CSVVal&lt;&gt;"",_xlpm.CSVVal
)),"")</f>
        <v/>
      </c>
      <c r="K82" s="54" t="str" cm="1">
        <f t="array" ref="K82">IFERROR(_xlfn.LET(
_xlpm.CSVVal,_xlfn.XLOOKUP($A82,CSV!$A:$A,CSV!M:M,""),
_xlpm.MacVal,_xlfn.XLOOKUP($A82,Output_Mac!$A:$A,Output_Mac!L:L,""),
_xlpm.MyAuditVal,_xlfn.XLOOKUP($A82,My_Audit!$A:$A,My_Audit!J:J,""),
_xlfn.IFS(_xlpm.MyAuditVal&lt;&gt;"",UPPER(_xlpm.MyAuditVal),_xlpm.MacVal&lt;&gt;"",_xlpm.MacVal,_xlpm.CSVVal&lt;&gt;"",_xlpm.CSVVal
)),"")</f>
        <v/>
      </c>
      <c r="L82" s="55" t="str" cm="1">
        <f t="array" ref="L82">IFERROR(_xlfn.LET(
_xlpm.CSVVal,_xlfn.XLOOKUP($A82,CSV!$A:$A,CSV!P:P,""),
_xlpm.MacVal,_xlfn.XLOOKUP($A82,Output_Mac!$A:$A,Output_Mac!M:M,""),
_xlpm.MyAuditVal,_xlfn.XLOOKUP($A82,My_Audit!$A:$A,My_Audit!K:K,""),
_xlfn.IFS(_xlpm.MyAuditVal&lt;&gt;"",UPPER(_xlpm.MyAuditVal),_xlpm.MacVal&lt;&gt;"",_xlpm.MacVal,_xlpm.CSVVal&lt;&gt;"",_xlpm.CSVVal
)),"")</f>
        <v/>
      </c>
      <c r="M82" s="54" t="str">
        <f>_xlfn.LET(
    _xlpm.CSVVal, _xlfn.XLOOKUP($A82, CSV!$A:$A, CSV!AD:AD, ""),
    _xlpm.MacVal, _xlfn.XLOOKUP($A82, Output_Mac!$A:$A, Output_Mac!S:S, ""),
    _xlpm.MyAuditVal, _xlfn.XLOOKUP($A82, My_Audit!$A:$A, My_Audit!N:N, ""),
    _xlfn.TEXTJOIN(", ", TRUE, _xlpm.MyAuditVal, _xlpm.MacVal, _xlpm.CSVVal)
)</f>
        <v/>
      </c>
      <c r="N82" s="54" t="str" cm="1">
        <f t="array" ref="N82">IFERROR(_xlfn.LET(
_xlpm.CSVVal,_xlfn.XLOOKUP($A82,CSV!$A:$A,CSV!AF:AF,""),
_xlpm.MacVal,_xlfn.XLOOKUP($A82,Output_Mac!$A:$A,Output_Mac!U:U,""),
_xlpm.MyAuditVal,_xlfn.XLOOKUP($A82,My_Audit!$A:$A,My_Audit!O:O,""),
_xlfn.IFS(_xlpm.MyAuditVal&lt;&gt;"",UPPER(_xlpm.MyAuditVal),_xlpm.MacVal&lt;&gt;"",_xlpm.MacVal,_xlpm.CSVVal&lt;&gt;"",_xlpm.CSVVal
)),"")</f>
        <v/>
      </c>
      <c r="O82" s="54"/>
      <c r="P82" s="54"/>
      <c r="Q82" s="54"/>
      <c r="R82" s="54"/>
      <c r="S82" s="54"/>
      <c r="T82" s="54"/>
      <c r="U82" s="39" t="str">
        <f>_xlfn.LET(
    _xlpm.MacVal, _xlfn.XLOOKUP($A82, Output_Mac!$A:$A, Output_Mac!AB:AB, ""),
    _xlpm.MyAuditVal, _xlfn.XLOOKUP($A82, My_Audit!$A:$A, My_Audit!L:L, ""),
    _xlfn.TEXTJOIN(", ", TRUE, _xlpm.MyAuditVal, _xlpm.MacVal)
)</f>
        <v/>
      </c>
    </row>
    <row r="83" spans="1:21">
      <c r="A83" s="54" t="str">
        <f>_xlfn.TEXTJOIN("",TRUE,Input!$B$2,ROW(My_Audit!A82))</f>
        <v>XX82</v>
      </c>
      <c r="B83" s="54" t="str">
        <f>_xlfn.TEXTJOIN("-",TRUE,"ITD",Input!$A$2,A83)</f>
        <v>ITD-SHRXXX-XX82</v>
      </c>
      <c r="C83" s="54" t="str" cm="1">
        <f t="array" ref="C83">IFERROR(_xlfn.LET(
_xlpm.CSVVal,_xlfn.XLOOKUP($A83,CSV!$A:$A,CSV!B:B,""),
_xlpm.MacVal,_xlfn.XLOOKUP($A83,Output_Mac!$A:$A,Output_Mac!B:B,""),
_xlpm.MyAuditVal,_xlfn.XLOOKUP($A83,My_Audit!$A:$A,My_Audit!B:B,""),
_xlfn.IFS(_xlpm.MyAuditVal&lt;&gt;"",UPPER(_xlpm.MyAuditVal),_xlpm.MacVal&lt;&gt;"",_xlpm.MacVal,_xlpm.CSVVal&lt;&gt;"",_xlpm.CSVVal
)),"")</f>
        <v/>
      </c>
      <c r="D83" s="55" t="str">
        <f>_xlfn.XLOOKUP(A83,My_Audit!A:A,My_Audit!D:D,"")&amp;""</f>
        <v/>
      </c>
      <c r="E83" s="55" t="str" cm="1">
        <f t="array" ref="E83">IFERROR(_xlfn.LET(
_xlpm.CSVVal,_xlfn.XLOOKUP($A83,CSV!$A:$A,CSV!D:D,""),
_xlpm.MacVal,_xlfn.XLOOKUP($A83,Output_Mac!$A:$A,Output_Mac!C:C,""),
_xlpm.MyAuditVal,_xlfn.XLOOKUP($A83,My_Audit!$A:$A,My_Audit!D:D,""),
_xlfn.IFS(_xlpm.MyAuditVal&lt;&gt;"",_xlpm.MyAuditVal,_xlpm.MacVal&lt;&gt;"",_xlpm.MacVal,_xlpm.CSVVal&lt;&gt;"",_xlpm.CSVVal
)),"")</f>
        <v/>
      </c>
      <c r="F83" s="54" t="str" cm="1">
        <f t="array" ref="F83">IFERROR(_xlfn.LET(
_xlpm.CSVVal,_xlfn.XLOOKUP($A83,CSV!$A:$A,CSV!E:E,""),
_xlpm.MacVal,_xlfn.XLOOKUP($A83,Output_Mac!$A:$A,Output_Mac!F:F,""),
_xlpm.MyAuditVal,_xlfn.XLOOKUP($A83,My_Audit!$A:$A,My_Audit!E:E,""),
_xlfn.IFS(_xlpm.MyAuditVal&lt;&gt;"",_xlpm.MyAuditVal,_xlpm.MacVal&lt;&gt;"",_xlpm.MacVal,_xlpm.CSVVal&lt;&gt;"",PROPER(_xlpm.CSVVal)
)),"")</f>
        <v/>
      </c>
      <c r="G83" s="54" t="str" cm="1">
        <f t="array" ref="G83">IFERROR(_xlfn.LET(
_xlpm.CSVVal,_xlfn.XLOOKUP($A83,CSV!$A:$A,CSV!F:F,""),
_xlpm.MacVal,_xlfn.XLOOKUP($A83,Output_Mac!$A:$A,Output_Mac!H:H,""),
_xlpm.MyAuditVal,_xlfn.XLOOKUP($A83,My_Audit!$A:$A,My_Audit!F:F,""),
_xlfn.IFS(_xlpm.MyAuditVal&lt;&gt;"",_xlpm.MyAuditVal,_xlpm.MacVal&lt;&gt;"",_xlpm.MacVal,_xlpm.CSVVal&lt;&gt;"",_xlpm.CSVVal
)),"")</f>
        <v/>
      </c>
      <c r="H83" s="54" t="str">
        <f>_xlfn.XLOOKUP(A83,Output_Mac!A:A,Output_Mac!I:I,"")</f>
        <v/>
      </c>
      <c r="I83" s="54" t="str" cm="1">
        <f t="array" ref="I83">IFERROR(_xlfn.LET(
_xlpm.CSVVal,_xlfn.XLOOKUP($A83,CSV!$A:$A,CSV!G:G,""),
_xlpm.MacVal,_xlfn.XLOOKUP($A83,Output_Mac!$A:$A,Output_Mac!J:J,""),
_xlpm.MyAuditVal,_xlfn.XLOOKUP($A83,My_Audit!$A:$A,My_Audit!H:H,""),
_xlfn.IFS(_xlpm.MyAuditVal&lt;&gt;"",UPPER(_xlpm.MyAuditVal),_xlpm.MacVal&lt;&gt;"",_xlpm.MacVal,_xlpm.CSVVal&lt;&gt;"",_xlpm.CSVVal
)),"")</f>
        <v/>
      </c>
      <c r="J83" s="54" t="str" cm="1">
        <f t="array" ref="J83">IFERROR(_xlfn.LET(
_xlpm.CSVVal,_xlfn.XLOOKUP($A83,CSV!$A:$A,CSV!I:I,""),
_xlpm.MacVal,_xlfn.XLOOKUP($A83,Output_Mac!$A:$A,Output_Mac!K:K,""),
_xlpm.MyAuditVal,_xlfn.XLOOKUP($A83,My_Audit!$A:$A,My_Audit!I:I,""),
_xlfn.IFS(_xlpm.MyAuditVal&lt;&gt;"",UPPER(_xlpm.MyAuditVal),_xlpm.MacVal&lt;&gt;"",_xlpm.MacVal,_xlpm.CSVVal&lt;&gt;"",_xlpm.CSVVal
)),"")</f>
        <v/>
      </c>
      <c r="K83" s="54" t="str" cm="1">
        <f t="array" ref="K83">IFERROR(_xlfn.LET(
_xlpm.CSVVal,_xlfn.XLOOKUP($A83,CSV!$A:$A,CSV!M:M,""),
_xlpm.MacVal,_xlfn.XLOOKUP($A83,Output_Mac!$A:$A,Output_Mac!L:L,""),
_xlpm.MyAuditVal,_xlfn.XLOOKUP($A83,My_Audit!$A:$A,My_Audit!J:J,""),
_xlfn.IFS(_xlpm.MyAuditVal&lt;&gt;"",UPPER(_xlpm.MyAuditVal),_xlpm.MacVal&lt;&gt;"",_xlpm.MacVal,_xlpm.CSVVal&lt;&gt;"",_xlpm.CSVVal
)),"")</f>
        <v/>
      </c>
      <c r="L83" s="55" t="str" cm="1">
        <f t="array" ref="L83">IFERROR(_xlfn.LET(
_xlpm.CSVVal,_xlfn.XLOOKUP($A83,CSV!$A:$A,CSV!P:P,""),
_xlpm.MacVal,_xlfn.XLOOKUP($A83,Output_Mac!$A:$A,Output_Mac!M:M,""),
_xlpm.MyAuditVal,_xlfn.XLOOKUP($A83,My_Audit!$A:$A,My_Audit!K:K,""),
_xlfn.IFS(_xlpm.MyAuditVal&lt;&gt;"",UPPER(_xlpm.MyAuditVal),_xlpm.MacVal&lt;&gt;"",_xlpm.MacVal,_xlpm.CSVVal&lt;&gt;"",_xlpm.CSVVal
)),"")</f>
        <v/>
      </c>
      <c r="M83" s="54" t="str">
        <f>_xlfn.LET(
    _xlpm.CSVVal, _xlfn.XLOOKUP($A83, CSV!$A:$A, CSV!AD:AD, ""),
    _xlpm.MacVal, _xlfn.XLOOKUP($A83, Output_Mac!$A:$A, Output_Mac!S:S, ""),
    _xlpm.MyAuditVal, _xlfn.XLOOKUP($A83, My_Audit!$A:$A, My_Audit!N:N, ""),
    _xlfn.TEXTJOIN(", ", TRUE, _xlpm.MyAuditVal, _xlpm.MacVal, _xlpm.CSVVal)
)</f>
        <v/>
      </c>
      <c r="N83" s="54" t="str" cm="1">
        <f t="array" ref="N83">IFERROR(_xlfn.LET(
_xlpm.CSVVal,_xlfn.XLOOKUP($A83,CSV!$A:$A,CSV!AF:AF,""),
_xlpm.MacVal,_xlfn.XLOOKUP($A83,Output_Mac!$A:$A,Output_Mac!U:U,""),
_xlpm.MyAuditVal,_xlfn.XLOOKUP($A83,My_Audit!$A:$A,My_Audit!O:O,""),
_xlfn.IFS(_xlpm.MyAuditVal&lt;&gt;"",UPPER(_xlpm.MyAuditVal),_xlpm.MacVal&lt;&gt;"",_xlpm.MacVal,_xlpm.CSVVal&lt;&gt;"",_xlpm.CSVVal
)),"")</f>
        <v/>
      </c>
      <c r="O83" s="54"/>
      <c r="P83" s="54"/>
      <c r="Q83" s="54"/>
      <c r="R83" s="54"/>
      <c r="S83" s="54"/>
      <c r="T83" s="54"/>
      <c r="U83" s="39" t="str">
        <f>_xlfn.LET(
    _xlpm.MacVal, _xlfn.XLOOKUP($A83, Output_Mac!$A:$A, Output_Mac!AB:AB, ""),
    _xlpm.MyAuditVal, _xlfn.XLOOKUP($A83, My_Audit!$A:$A, My_Audit!L:L, ""),
    _xlfn.TEXTJOIN(", ", TRUE, _xlpm.MyAuditVal, _xlpm.MacVal)
)</f>
        <v/>
      </c>
    </row>
    <row r="84" spans="1:21">
      <c r="A84" s="54" t="str">
        <f>_xlfn.TEXTJOIN("",TRUE,Input!$B$2,ROW(My_Audit!A83))</f>
        <v>XX83</v>
      </c>
      <c r="B84" s="54" t="str">
        <f>_xlfn.TEXTJOIN("-",TRUE,"ITD",Input!$A$2,A84)</f>
        <v>ITD-SHRXXX-XX83</v>
      </c>
      <c r="C84" s="54" t="str" cm="1">
        <f t="array" ref="C84">IFERROR(_xlfn.LET(
_xlpm.CSVVal,_xlfn.XLOOKUP($A84,CSV!$A:$A,CSV!B:B,""),
_xlpm.MacVal,_xlfn.XLOOKUP($A84,Output_Mac!$A:$A,Output_Mac!B:B,""),
_xlpm.MyAuditVal,_xlfn.XLOOKUP($A84,My_Audit!$A:$A,My_Audit!B:B,""),
_xlfn.IFS(_xlpm.MyAuditVal&lt;&gt;"",UPPER(_xlpm.MyAuditVal),_xlpm.MacVal&lt;&gt;"",_xlpm.MacVal,_xlpm.CSVVal&lt;&gt;"",_xlpm.CSVVal
)),"")</f>
        <v/>
      </c>
      <c r="D84" s="55" t="str">
        <f>_xlfn.XLOOKUP(A84,My_Audit!A:A,My_Audit!D:D,"")&amp;""</f>
        <v/>
      </c>
      <c r="E84" s="55" t="str" cm="1">
        <f t="array" ref="E84">IFERROR(_xlfn.LET(
_xlpm.CSVVal,_xlfn.XLOOKUP($A84,CSV!$A:$A,CSV!D:D,""),
_xlpm.MacVal,_xlfn.XLOOKUP($A84,Output_Mac!$A:$A,Output_Mac!C:C,""),
_xlpm.MyAuditVal,_xlfn.XLOOKUP($A84,My_Audit!$A:$A,My_Audit!D:D,""),
_xlfn.IFS(_xlpm.MyAuditVal&lt;&gt;"",_xlpm.MyAuditVal,_xlpm.MacVal&lt;&gt;"",_xlpm.MacVal,_xlpm.CSVVal&lt;&gt;"",_xlpm.CSVVal
)),"")</f>
        <v/>
      </c>
      <c r="F84" s="54" t="str" cm="1">
        <f t="array" ref="F84">IFERROR(_xlfn.LET(
_xlpm.CSVVal,_xlfn.XLOOKUP($A84,CSV!$A:$A,CSV!E:E,""),
_xlpm.MacVal,_xlfn.XLOOKUP($A84,Output_Mac!$A:$A,Output_Mac!F:F,""),
_xlpm.MyAuditVal,_xlfn.XLOOKUP($A84,My_Audit!$A:$A,My_Audit!E:E,""),
_xlfn.IFS(_xlpm.MyAuditVal&lt;&gt;"",_xlpm.MyAuditVal,_xlpm.MacVal&lt;&gt;"",_xlpm.MacVal,_xlpm.CSVVal&lt;&gt;"",PROPER(_xlpm.CSVVal)
)),"")</f>
        <v/>
      </c>
      <c r="G84" s="54" t="str" cm="1">
        <f t="array" ref="G84">IFERROR(_xlfn.LET(
_xlpm.CSVVal,_xlfn.XLOOKUP($A84,CSV!$A:$A,CSV!F:F,""),
_xlpm.MacVal,_xlfn.XLOOKUP($A84,Output_Mac!$A:$A,Output_Mac!H:H,""),
_xlpm.MyAuditVal,_xlfn.XLOOKUP($A84,My_Audit!$A:$A,My_Audit!F:F,""),
_xlfn.IFS(_xlpm.MyAuditVal&lt;&gt;"",_xlpm.MyAuditVal,_xlpm.MacVal&lt;&gt;"",_xlpm.MacVal,_xlpm.CSVVal&lt;&gt;"",_xlpm.CSVVal
)),"")</f>
        <v/>
      </c>
      <c r="H84" s="54" t="str">
        <f>_xlfn.XLOOKUP(A84,Output_Mac!A:A,Output_Mac!I:I,"")</f>
        <v/>
      </c>
      <c r="I84" s="54" t="str" cm="1">
        <f t="array" ref="I84">IFERROR(_xlfn.LET(
_xlpm.CSVVal,_xlfn.XLOOKUP($A84,CSV!$A:$A,CSV!G:G,""),
_xlpm.MacVal,_xlfn.XLOOKUP($A84,Output_Mac!$A:$A,Output_Mac!J:J,""),
_xlpm.MyAuditVal,_xlfn.XLOOKUP($A84,My_Audit!$A:$A,My_Audit!H:H,""),
_xlfn.IFS(_xlpm.MyAuditVal&lt;&gt;"",UPPER(_xlpm.MyAuditVal),_xlpm.MacVal&lt;&gt;"",_xlpm.MacVal,_xlpm.CSVVal&lt;&gt;"",_xlpm.CSVVal
)),"")</f>
        <v/>
      </c>
      <c r="J84" s="54" t="str" cm="1">
        <f t="array" ref="J84">IFERROR(_xlfn.LET(
_xlpm.CSVVal,_xlfn.XLOOKUP($A84,CSV!$A:$A,CSV!I:I,""),
_xlpm.MacVal,_xlfn.XLOOKUP($A84,Output_Mac!$A:$A,Output_Mac!K:K,""),
_xlpm.MyAuditVal,_xlfn.XLOOKUP($A84,My_Audit!$A:$A,My_Audit!I:I,""),
_xlfn.IFS(_xlpm.MyAuditVal&lt;&gt;"",UPPER(_xlpm.MyAuditVal),_xlpm.MacVal&lt;&gt;"",_xlpm.MacVal,_xlpm.CSVVal&lt;&gt;"",_xlpm.CSVVal
)),"")</f>
        <v/>
      </c>
      <c r="K84" s="54" t="str" cm="1">
        <f t="array" ref="K84">IFERROR(_xlfn.LET(
_xlpm.CSVVal,_xlfn.XLOOKUP($A84,CSV!$A:$A,CSV!M:M,""),
_xlpm.MacVal,_xlfn.XLOOKUP($A84,Output_Mac!$A:$A,Output_Mac!L:L,""),
_xlpm.MyAuditVal,_xlfn.XLOOKUP($A84,My_Audit!$A:$A,My_Audit!J:J,""),
_xlfn.IFS(_xlpm.MyAuditVal&lt;&gt;"",UPPER(_xlpm.MyAuditVal),_xlpm.MacVal&lt;&gt;"",_xlpm.MacVal,_xlpm.CSVVal&lt;&gt;"",_xlpm.CSVVal
)),"")</f>
        <v/>
      </c>
      <c r="L84" s="55" t="str" cm="1">
        <f t="array" ref="L84">IFERROR(_xlfn.LET(
_xlpm.CSVVal,_xlfn.XLOOKUP($A84,CSV!$A:$A,CSV!P:P,""),
_xlpm.MacVal,_xlfn.XLOOKUP($A84,Output_Mac!$A:$A,Output_Mac!M:M,""),
_xlpm.MyAuditVal,_xlfn.XLOOKUP($A84,My_Audit!$A:$A,My_Audit!K:K,""),
_xlfn.IFS(_xlpm.MyAuditVal&lt;&gt;"",UPPER(_xlpm.MyAuditVal),_xlpm.MacVal&lt;&gt;"",_xlpm.MacVal,_xlpm.CSVVal&lt;&gt;"",_xlpm.CSVVal
)),"")</f>
        <v/>
      </c>
      <c r="M84" s="54" t="str">
        <f>_xlfn.LET(
    _xlpm.CSVVal, _xlfn.XLOOKUP($A84, CSV!$A:$A, CSV!AD:AD, ""),
    _xlpm.MacVal, _xlfn.XLOOKUP($A84, Output_Mac!$A:$A, Output_Mac!S:S, ""),
    _xlpm.MyAuditVal, _xlfn.XLOOKUP($A84, My_Audit!$A:$A, My_Audit!N:N, ""),
    _xlfn.TEXTJOIN(", ", TRUE, _xlpm.MyAuditVal, _xlpm.MacVal, _xlpm.CSVVal)
)</f>
        <v/>
      </c>
      <c r="N84" s="54" t="str" cm="1">
        <f t="array" ref="N84">IFERROR(_xlfn.LET(
_xlpm.CSVVal,_xlfn.XLOOKUP($A84,CSV!$A:$A,CSV!AF:AF,""),
_xlpm.MacVal,_xlfn.XLOOKUP($A84,Output_Mac!$A:$A,Output_Mac!U:U,""),
_xlpm.MyAuditVal,_xlfn.XLOOKUP($A84,My_Audit!$A:$A,My_Audit!O:O,""),
_xlfn.IFS(_xlpm.MyAuditVal&lt;&gt;"",UPPER(_xlpm.MyAuditVal),_xlpm.MacVal&lt;&gt;"",_xlpm.MacVal,_xlpm.CSVVal&lt;&gt;"",_xlpm.CSVVal
)),"")</f>
        <v/>
      </c>
      <c r="O84" s="54"/>
      <c r="P84" s="54"/>
      <c r="Q84" s="54"/>
      <c r="R84" s="54"/>
      <c r="S84" s="54"/>
      <c r="T84" s="54"/>
      <c r="U84" s="39" t="str">
        <f>_xlfn.LET(
    _xlpm.MacVal, _xlfn.XLOOKUP($A84, Output_Mac!$A:$A, Output_Mac!AB:AB, ""),
    _xlpm.MyAuditVal, _xlfn.XLOOKUP($A84, My_Audit!$A:$A, My_Audit!L:L, ""),
    _xlfn.TEXTJOIN(", ", TRUE, _xlpm.MyAuditVal, _xlpm.MacVal)
)</f>
        <v/>
      </c>
    </row>
    <row r="85" spans="1:21">
      <c r="A85" s="54" t="str">
        <f>_xlfn.TEXTJOIN("",TRUE,Input!$B$2,ROW(My_Audit!A84))</f>
        <v>XX84</v>
      </c>
      <c r="B85" s="54" t="str">
        <f>_xlfn.TEXTJOIN("-",TRUE,"ITD",Input!$A$2,A85)</f>
        <v>ITD-SHRXXX-XX84</v>
      </c>
      <c r="C85" s="54" t="str" cm="1">
        <f t="array" ref="C85">IFERROR(_xlfn.LET(
_xlpm.CSVVal,_xlfn.XLOOKUP($A85,CSV!$A:$A,CSV!B:B,""),
_xlpm.MacVal,_xlfn.XLOOKUP($A85,Output_Mac!$A:$A,Output_Mac!B:B,""),
_xlpm.MyAuditVal,_xlfn.XLOOKUP($A85,My_Audit!$A:$A,My_Audit!B:B,""),
_xlfn.IFS(_xlpm.MyAuditVal&lt;&gt;"",UPPER(_xlpm.MyAuditVal),_xlpm.MacVal&lt;&gt;"",_xlpm.MacVal,_xlpm.CSVVal&lt;&gt;"",_xlpm.CSVVal
)),"")</f>
        <v/>
      </c>
      <c r="D85" s="55" t="str">
        <f>_xlfn.XLOOKUP(A85,My_Audit!A:A,My_Audit!D:D,"")&amp;""</f>
        <v/>
      </c>
      <c r="E85" s="55" t="str" cm="1">
        <f t="array" ref="E85">IFERROR(_xlfn.LET(
_xlpm.CSVVal,_xlfn.XLOOKUP($A85,CSV!$A:$A,CSV!D:D,""),
_xlpm.MacVal,_xlfn.XLOOKUP($A85,Output_Mac!$A:$A,Output_Mac!C:C,""),
_xlpm.MyAuditVal,_xlfn.XLOOKUP($A85,My_Audit!$A:$A,My_Audit!D:D,""),
_xlfn.IFS(_xlpm.MyAuditVal&lt;&gt;"",_xlpm.MyAuditVal,_xlpm.MacVal&lt;&gt;"",_xlpm.MacVal,_xlpm.CSVVal&lt;&gt;"",_xlpm.CSVVal
)),"")</f>
        <v/>
      </c>
      <c r="F85" s="54" t="str" cm="1">
        <f t="array" ref="F85">IFERROR(_xlfn.LET(
_xlpm.CSVVal,_xlfn.XLOOKUP($A85,CSV!$A:$A,CSV!E:E,""),
_xlpm.MacVal,_xlfn.XLOOKUP($A85,Output_Mac!$A:$A,Output_Mac!F:F,""),
_xlpm.MyAuditVal,_xlfn.XLOOKUP($A85,My_Audit!$A:$A,My_Audit!E:E,""),
_xlfn.IFS(_xlpm.MyAuditVal&lt;&gt;"",_xlpm.MyAuditVal,_xlpm.MacVal&lt;&gt;"",_xlpm.MacVal,_xlpm.CSVVal&lt;&gt;"",PROPER(_xlpm.CSVVal)
)),"")</f>
        <v/>
      </c>
      <c r="G85" s="54" t="str" cm="1">
        <f t="array" ref="G85">IFERROR(_xlfn.LET(
_xlpm.CSVVal,_xlfn.XLOOKUP($A85,CSV!$A:$A,CSV!F:F,""),
_xlpm.MacVal,_xlfn.XLOOKUP($A85,Output_Mac!$A:$A,Output_Mac!H:H,""),
_xlpm.MyAuditVal,_xlfn.XLOOKUP($A85,My_Audit!$A:$A,My_Audit!F:F,""),
_xlfn.IFS(_xlpm.MyAuditVal&lt;&gt;"",_xlpm.MyAuditVal,_xlpm.MacVal&lt;&gt;"",_xlpm.MacVal,_xlpm.CSVVal&lt;&gt;"",_xlpm.CSVVal
)),"")</f>
        <v/>
      </c>
      <c r="H85" s="54" t="str">
        <f>_xlfn.XLOOKUP(A85,Output_Mac!A:A,Output_Mac!I:I,"")</f>
        <v/>
      </c>
      <c r="I85" s="54" t="str" cm="1">
        <f t="array" ref="I85">IFERROR(_xlfn.LET(
_xlpm.CSVVal,_xlfn.XLOOKUP($A85,CSV!$A:$A,CSV!G:G,""),
_xlpm.MacVal,_xlfn.XLOOKUP($A85,Output_Mac!$A:$A,Output_Mac!J:J,""),
_xlpm.MyAuditVal,_xlfn.XLOOKUP($A85,My_Audit!$A:$A,My_Audit!H:H,""),
_xlfn.IFS(_xlpm.MyAuditVal&lt;&gt;"",UPPER(_xlpm.MyAuditVal),_xlpm.MacVal&lt;&gt;"",_xlpm.MacVal,_xlpm.CSVVal&lt;&gt;"",_xlpm.CSVVal
)),"")</f>
        <v/>
      </c>
      <c r="J85" s="54" t="str" cm="1">
        <f t="array" ref="J85">IFERROR(_xlfn.LET(
_xlpm.CSVVal,_xlfn.XLOOKUP($A85,CSV!$A:$A,CSV!I:I,""),
_xlpm.MacVal,_xlfn.XLOOKUP($A85,Output_Mac!$A:$A,Output_Mac!K:K,""),
_xlpm.MyAuditVal,_xlfn.XLOOKUP($A85,My_Audit!$A:$A,My_Audit!I:I,""),
_xlfn.IFS(_xlpm.MyAuditVal&lt;&gt;"",UPPER(_xlpm.MyAuditVal),_xlpm.MacVal&lt;&gt;"",_xlpm.MacVal,_xlpm.CSVVal&lt;&gt;"",_xlpm.CSVVal
)),"")</f>
        <v/>
      </c>
      <c r="K85" s="54" t="str" cm="1">
        <f t="array" ref="K85">IFERROR(_xlfn.LET(
_xlpm.CSVVal,_xlfn.XLOOKUP($A85,CSV!$A:$A,CSV!M:M,""),
_xlpm.MacVal,_xlfn.XLOOKUP($A85,Output_Mac!$A:$A,Output_Mac!L:L,""),
_xlpm.MyAuditVal,_xlfn.XLOOKUP($A85,My_Audit!$A:$A,My_Audit!J:J,""),
_xlfn.IFS(_xlpm.MyAuditVal&lt;&gt;"",UPPER(_xlpm.MyAuditVal),_xlpm.MacVal&lt;&gt;"",_xlpm.MacVal,_xlpm.CSVVal&lt;&gt;"",_xlpm.CSVVal
)),"")</f>
        <v/>
      </c>
      <c r="L85" s="55" t="str" cm="1">
        <f t="array" ref="L85">IFERROR(_xlfn.LET(
_xlpm.CSVVal,_xlfn.XLOOKUP($A85,CSV!$A:$A,CSV!P:P,""),
_xlpm.MacVal,_xlfn.XLOOKUP($A85,Output_Mac!$A:$A,Output_Mac!M:M,""),
_xlpm.MyAuditVal,_xlfn.XLOOKUP($A85,My_Audit!$A:$A,My_Audit!K:K,""),
_xlfn.IFS(_xlpm.MyAuditVal&lt;&gt;"",UPPER(_xlpm.MyAuditVal),_xlpm.MacVal&lt;&gt;"",_xlpm.MacVal,_xlpm.CSVVal&lt;&gt;"",_xlpm.CSVVal
)),"")</f>
        <v/>
      </c>
      <c r="M85" s="54" t="str">
        <f>_xlfn.LET(
    _xlpm.CSVVal, _xlfn.XLOOKUP($A85, CSV!$A:$A, CSV!AD:AD, ""),
    _xlpm.MacVal, _xlfn.XLOOKUP($A85, Output_Mac!$A:$A, Output_Mac!S:S, ""),
    _xlpm.MyAuditVal, _xlfn.XLOOKUP($A85, My_Audit!$A:$A, My_Audit!N:N, ""),
    _xlfn.TEXTJOIN(", ", TRUE, _xlpm.MyAuditVal, _xlpm.MacVal, _xlpm.CSVVal)
)</f>
        <v/>
      </c>
      <c r="N85" s="54" t="str" cm="1">
        <f t="array" ref="N85">IFERROR(_xlfn.LET(
_xlpm.CSVVal,_xlfn.XLOOKUP($A85,CSV!$A:$A,CSV!AF:AF,""),
_xlpm.MacVal,_xlfn.XLOOKUP($A85,Output_Mac!$A:$A,Output_Mac!U:U,""),
_xlpm.MyAuditVal,_xlfn.XLOOKUP($A85,My_Audit!$A:$A,My_Audit!O:O,""),
_xlfn.IFS(_xlpm.MyAuditVal&lt;&gt;"",UPPER(_xlpm.MyAuditVal),_xlpm.MacVal&lt;&gt;"",_xlpm.MacVal,_xlpm.CSVVal&lt;&gt;"",_xlpm.CSVVal
)),"")</f>
        <v/>
      </c>
      <c r="O85" s="54"/>
      <c r="P85" s="54"/>
      <c r="Q85" s="54"/>
      <c r="R85" s="54"/>
      <c r="S85" s="54"/>
      <c r="T85" s="54"/>
      <c r="U85" s="39" t="str">
        <f>_xlfn.LET(
    _xlpm.MacVal, _xlfn.XLOOKUP($A85, Output_Mac!$A:$A, Output_Mac!AB:AB, ""),
    _xlpm.MyAuditVal, _xlfn.XLOOKUP($A85, My_Audit!$A:$A, My_Audit!L:L, ""),
    _xlfn.TEXTJOIN(", ", TRUE, _xlpm.MyAuditVal, _xlpm.MacVal)
)</f>
        <v/>
      </c>
    </row>
    <row r="86" spans="1:21">
      <c r="A86" s="54" t="str">
        <f>_xlfn.TEXTJOIN("",TRUE,Input!$B$2,ROW(My_Audit!A85))</f>
        <v>XX85</v>
      </c>
      <c r="B86" s="54" t="str">
        <f>_xlfn.TEXTJOIN("-",TRUE,"ITD",Input!$A$2,A86)</f>
        <v>ITD-SHRXXX-XX85</v>
      </c>
      <c r="C86" s="54" t="str" cm="1">
        <f t="array" ref="C86">IFERROR(_xlfn.LET(
_xlpm.CSVVal,_xlfn.XLOOKUP($A86,CSV!$A:$A,CSV!B:B,""),
_xlpm.MacVal,_xlfn.XLOOKUP($A86,Output_Mac!$A:$A,Output_Mac!B:B,""),
_xlpm.MyAuditVal,_xlfn.XLOOKUP($A86,My_Audit!$A:$A,My_Audit!B:B,""),
_xlfn.IFS(_xlpm.MyAuditVal&lt;&gt;"",UPPER(_xlpm.MyAuditVal),_xlpm.MacVal&lt;&gt;"",_xlpm.MacVal,_xlpm.CSVVal&lt;&gt;"",_xlpm.CSVVal
)),"")</f>
        <v/>
      </c>
      <c r="D86" s="55" t="str">
        <f>_xlfn.XLOOKUP(A86,My_Audit!A:A,My_Audit!D:D,"")&amp;""</f>
        <v/>
      </c>
      <c r="E86" s="55" t="str" cm="1">
        <f t="array" ref="E86">IFERROR(_xlfn.LET(
_xlpm.CSVVal,_xlfn.XLOOKUP($A86,CSV!$A:$A,CSV!D:D,""),
_xlpm.MacVal,_xlfn.XLOOKUP($A86,Output_Mac!$A:$A,Output_Mac!C:C,""),
_xlpm.MyAuditVal,_xlfn.XLOOKUP($A86,My_Audit!$A:$A,My_Audit!D:D,""),
_xlfn.IFS(_xlpm.MyAuditVal&lt;&gt;"",_xlpm.MyAuditVal,_xlpm.MacVal&lt;&gt;"",_xlpm.MacVal,_xlpm.CSVVal&lt;&gt;"",_xlpm.CSVVal
)),"")</f>
        <v/>
      </c>
      <c r="F86" s="54" t="str" cm="1">
        <f t="array" ref="F86">IFERROR(_xlfn.LET(
_xlpm.CSVVal,_xlfn.XLOOKUP($A86,CSV!$A:$A,CSV!E:E,""),
_xlpm.MacVal,_xlfn.XLOOKUP($A86,Output_Mac!$A:$A,Output_Mac!F:F,""),
_xlpm.MyAuditVal,_xlfn.XLOOKUP($A86,My_Audit!$A:$A,My_Audit!E:E,""),
_xlfn.IFS(_xlpm.MyAuditVal&lt;&gt;"",_xlpm.MyAuditVal,_xlpm.MacVal&lt;&gt;"",_xlpm.MacVal,_xlpm.CSVVal&lt;&gt;"",PROPER(_xlpm.CSVVal)
)),"")</f>
        <v/>
      </c>
      <c r="G86" s="54" t="str" cm="1">
        <f t="array" ref="G86">IFERROR(_xlfn.LET(
_xlpm.CSVVal,_xlfn.XLOOKUP($A86,CSV!$A:$A,CSV!F:F,""),
_xlpm.MacVal,_xlfn.XLOOKUP($A86,Output_Mac!$A:$A,Output_Mac!H:H,""),
_xlpm.MyAuditVal,_xlfn.XLOOKUP($A86,My_Audit!$A:$A,My_Audit!F:F,""),
_xlfn.IFS(_xlpm.MyAuditVal&lt;&gt;"",_xlpm.MyAuditVal,_xlpm.MacVal&lt;&gt;"",_xlpm.MacVal,_xlpm.CSVVal&lt;&gt;"",_xlpm.CSVVal
)),"")</f>
        <v/>
      </c>
      <c r="H86" s="54" t="str">
        <f>_xlfn.XLOOKUP(A86,Output_Mac!A:A,Output_Mac!I:I,"")</f>
        <v/>
      </c>
      <c r="I86" s="54" t="str" cm="1">
        <f t="array" ref="I86">IFERROR(_xlfn.LET(
_xlpm.CSVVal,_xlfn.XLOOKUP($A86,CSV!$A:$A,CSV!G:G,""),
_xlpm.MacVal,_xlfn.XLOOKUP($A86,Output_Mac!$A:$A,Output_Mac!J:J,""),
_xlpm.MyAuditVal,_xlfn.XLOOKUP($A86,My_Audit!$A:$A,My_Audit!H:H,""),
_xlfn.IFS(_xlpm.MyAuditVal&lt;&gt;"",UPPER(_xlpm.MyAuditVal),_xlpm.MacVal&lt;&gt;"",_xlpm.MacVal,_xlpm.CSVVal&lt;&gt;"",_xlpm.CSVVal
)),"")</f>
        <v/>
      </c>
      <c r="J86" s="54" t="str" cm="1">
        <f t="array" ref="J86">IFERROR(_xlfn.LET(
_xlpm.CSVVal,_xlfn.XLOOKUP($A86,CSV!$A:$A,CSV!I:I,""),
_xlpm.MacVal,_xlfn.XLOOKUP($A86,Output_Mac!$A:$A,Output_Mac!K:K,""),
_xlpm.MyAuditVal,_xlfn.XLOOKUP($A86,My_Audit!$A:$A,My_Audit!I:I,""),
_xlfn.IFS(_xlpm.MyAuditVal&lt;&gt;"",UPPER(_xlpm.MyAuditVal),_xlpm.MacVal&lt;&gt;"",_xlpm.MacVal,_xlpm.CSVVal&lt;&gt;"",_xlpm.CSVVal
)),"")</f>
        <v/>
      </c>
      <c r="K86" s="54" t="str" cm="1">
        <f t="array" ref="K86">IFERROR(_xlfn.LET(
_xlpm.CSVVal,_xlfn.XLOOKUP($A86,CSV!$A:$A,CSV!M:M,""),
_xlpm.MacVal,_xlfn.XLOOKUP($A86,Output_Mac!$A:$A,Output_Mac!L:L,""),
_xlpm.MyAuditVal,_xlfn.XLOOKUP($A86,My_Audit!$A:$A,My_Audit!J:J,""),
_xlfn.IFS(_xlpm.MyAuditVal&lt;&gt;"",UPPER(_xlpm.MyAuditVal),_xlpm.MacVal&lt;&gt;"",_xlpm.MacVal,_xlpm.CSVVal&lt;&gt;"",_xlpm.CSVVal
)),"")</f>
        <v/>
      </c>
      <c r="L86" s="55" t="str" cm="1">
        <f t="array" ref="L86">IFERROR(_xlfn.LET(
_xlpm.CSVVal,_xlfn.XLOOKUP($A86,CSV!$A:$A,CSV!P:P,""),
_xlpm.MacVal,_xlfn.XLOOKUP($A86,Output_Mac!$A:$A,Output_Mac!M:M,""),
_xlpm.MyAuditVal,_xlfn.XLOOKUP($A86,My_Audit!$A:$A,My_Audit!K:K,""),
_xlfn.IFS(_xlpm.MyAuditVal&lt;&gt;"",UPPER(_xlpm.MyAuditVal),_xlpm.MacVal&lt;&gt;"",_xlpm.MacVal,_xlpm.CSVVal&lt;&gt;"",_xlpm.CSVVal
)),"")</f>
        <v/>
      </c>
      <c r="M86" s="54" t="str">
        <f>_xlfn.LET(
    _xlpm.CSVVal, _xlfn.XLOOKUP($A86, CSV!$A:$A, CSV!AD:AD, ""),
    _xlpm.MacVal, _xlfn.XLOOKUP($A86, Output_Mac!$A:$A, Output_Mac!S:S, ""),
    _xlpm.MyAuditVal, _xlfn.XLOOKUP($A86, My_Audit!$A:$A, My_Audit!N:N, ""),
    _xlfn.TEXTJOIN(", ", TRUE, _xlpm.MyAuditVal, _xlpm.MacVal, _xlpm.CSVVal)
)</f>
        <v/>
      </c>
      <c r="N86" s="54" t="str" cm="1">
        <f t="array" ref="N86">IFERROR(_xlfn.LET(
_xlpm.CSVVal,_xlfn.XLOOKUP($A86,CSV!$A:$A,CSV!AF:AF,""),
_xlpm.MacVal,_xlfn.XLOOKUP($A86,Output_Mac!$A:$A,Output_Mac!U:U,""),
_xlpm.MyAuditVal,_xlfn.XLOOKUP($A86,My_Audit!$A:$A,My_Audit!O:O,""),
_xlfn.IFS(_xlpm.MyAuditVal&lt;&gt;"",UPPER(_xlpm.MyAuditVal),_xlpm.MacVal&lt;&gt;"",_xlpm.MacVal,_xlpm.CSVVal&lt;&gt;"",_xlpm.CSVVal
)),"")</f>
        <v/>
      </c>
      <c r="O86" s="54"/>
      <c r="P86" s="54"/>
      <c r="Q86" s="54"/>
      <c r="R86" s="54"/>
      <c r="S86" s="54"/>
      <c r="T86" s="54"/>
      <c r="U86" s="39" t="str">
        <f>_xlfn.LET(
    _xlpm.MacVal, _xlfn.XLOOKUP($A86, Output_Mac!$A:$A, Output_Mac!AB:AB, ""),
    _xlpm.MyAuditVal, _xlfn.XLOOKUP($A86, My_Audit!$A:$A, My_Audit!L:L, ""),
    _xlfn.TEXTJOIN(", ", TRUE, _xlpm.MyAuditVal, _xlpm.MacVal)
)</f>
        <v/>
      </c>
    </row>
    <row r="87" spans="1:21">
      <c r="A87" s="54" t="str">
        <f>_xlfn.TEXTJOIN("",TRUE,Input!$B$2,ROW(My_Audit!A86))</f>
        <v>XX86</v>
      </c>
      <c r="B87" s="54" t="str">
        <f>_xlfn.TEXTJOIN("-",TRUE,"ITD",Input!$A$2,A87)</f>
        <v>ITD-SHRXXX-XX86</v>
      </c>
      <c r="C87" s="54" t="str" cm="1">
        <f t="array" ref="C87">IFERROR(_xlfn.LET(
_xlpm.CSVVal,_xlfn.XLOOKUP($A87,CSV!$A:$A,CSV!B:B,""),
_xlpm.MacVal,_xlfn.XLOOKUP($A87,Output_Mac!$A:$A,Output_Mac!B:B,""),
_xlpm.MyAuditVal,_xlfn.XLOOKUP($A87,My_Audit!$A:$A,My_Audit!B:B,""),
_xlfn.IFS(_xlpm.MyAuditVal&lt;&gt;"",UPPER(_xlpm.MyAuditVal),_xlpm.MacVal&lt;&gt;"",_xlpm.MacVal,_xlpm.CSVVal&lt;&gt;"",_xlpm.CSVVal
)),"")</f>
        <v/>
      </c>
      <c r="D87" s="55" t="str">
        <f>_xlfn.XLOOKUP(A87,My_Audit!A:A,My_Audit!D:D,"")&amp;""</f>
        <v/>
      </c>
      <c r="E87" s="55" t="str" cm="1">
        <f t="array" ref="E87">IFERROR(_xlfn.LET(
_xlpm.CSVVal,_xlfn.XLOOKUP($A87,CSV!$A:$A,CSV!D:D,""),
_xlpm.MacVal,_xlfn.XLOOKUP($A87,Output_Mac!$A:$A,Output_Mac!C:C,""),
_xlpm.MyAuditVal,_xlfn.XLOOKUP($A87,My_Audit!$A:$A,My_Audit!D:D,""),
_xlfn.IFS(_xlpm.MyAuditVal&lt;&gt;"",_xlpm.MyAuditVal,_xlpm.MacVal&lt;&gt;"",_xlpm.MacVal,_xlpm.CSVVal&lt;&gt;"",_xlpm.CSVVal
)),"")</f>
        <v/>
      </c>
      <c r="F87" s="54" t="str" cm="1">
        <f t="array" ref="F87">IFERROR(_xlfn.LET(
_xlpm.CSVVal,_xlfn.XLOOKUP($A87,CSV!$A:$A,CSV!E:E,""),
_xlpm.MacVal,_xlfn.XLOOKUP($A87,Output_Mac!$A:$A,Output_Mac!F:F,""),
_xlpm.MyAuditVal,_xlfn.XLOOKUP($A87,My_Audit!$A:$A,My_Audit!E:E,""),
_xlfn.IFS(_xlpm.MyAuditVal&lt;&gt;"",_xlpm.MyAuditVal,_xlpm.MacVal&lt;&gt;"",_xlpm.MacVal,_xlpm.CSVVal&lt;&gt;"",PROPER(_xlpm.CSVVal)
)),"")</f>
        <v/>
      </c>
      <c r="G87" s="54" t="str" cm="1">
        <f t="array" ref="G87">IFERROR(_xlfn.LET(
_xlpm.CSVVal,_xlfn.XLOOKUP($A87,CSV!$A:$A,CSV!F:F,""),
_xlpm.MacVal,_xlfn.XLOOKUP($A87,Output_Mac!$A:$A,Output_Mac!H:H,""),
_xlpm.MyAuditVal,_xlfn.XLOOKUP($A87,My_Audit!$A:$A,My_Audit!F:F,""),
_xlfn.IFS(_xlpm.MyAuditVal&lt;&gt;"",_xlpm.MyAuditVal,_xlpm.MacVal&lt;&gt;"",_xlpm.MacVal,_xlpm.CSVVal&lt;&gt;"",_xlpm.CSVVal
)),"")</f>
        <v/>
      </c>
      <c r="H87" s="54" t="str">
        <f>_xlfn.XLOOKUP(A87,Output_Mac!A:A,Output_Mac!I:I,"")</f>
        <v/>
      </c>
      <c r="I87" s="54" t="str" cm="1">
        <f t="array" ref="I87">IFERROR(_xlfn.LET(
_xlpm.CSVVal,_xlfn.XLOOKUP($A87,CSV!$A:$A,CSV!G:G,""),
_xlpm.MacVal,_xlfn.XLOOKUP($A87,Output_Mac!$A:$A,Output_Mac!J:J,""),
_xlpm.MyAuditVal,_xlfn.XLOOKUP($A87,My_Audit!$A:$A,My_Audit!H:H,""),
_xlfn.IFS(_xlpm.MyAuditVal&lt;&gt;"",UPPER(_xlpm.MyAuditVal),_xlpm.MacVal&lt;&gt;"",_xlpm.MacVal,_xlpm.CSVVal&lt;&gt;"",_xlpm.CSVVal
)),"")</f>
        <v/>
      </c>
      <c r="J87" s="54" t="str" cm="1">
        <f t="array" ref="J87">IFERROR(_xlfn.LET(
_xlpm.CSVVal,_xlfn.XLOOKUP($A87,CSV!$A:$A,CSV!I:I,""),
_xlpm.MacVal,_xlfn.XLOOKUP($A87,Output_Mac!$A:$A,Output_Mac!K:K,""),
_xlpm.MyAuditVal,_xlfn.XLOOKUP($A87,My_Audit!$A:$A,My_Audit!I:I,""),
_xlfn.IFS(_xlpm.MyAuditVal&lt;&gt;"",UPPER(_xlpm.MyAuditVal),_xlpm.MacVal&lt;&gt;"",_xlpm.MacVal,_xlpm.CSVVal&lt;&gt;"",_xlpm.CSVVal
)),"")</f>
        <v/>
      </c>
      <c r="K87" s="54" t="str" cm="1">
        <f t="array" ref="K87">IFERROR(_xlfn.LET(
_xlpm.CSVVal,_xlfn.XLOOKUP($A87,CSV!$A:$A,CSV!M:M,""),
_xlpm.MacVal,_xlfn.XLOOKUP($A87,Output_Mac!$A:$A,Output_Mac!L:L,""),
_xlpm.MyAuditVal,_xlfn.XLOOKUP($A87,My_Audit!$A:$A,My_Audit!J:J,""),
_xlfn.IFS(_xlpm.MyAuditVal&lt;&gt;"",UPPER(_xlpm.MyAuditVal),_xlpm.MacVal&lt;&gt;"",_xlpm.MacVal,_xlpm.CSVVal&lt;&gt;"",_xlpm.CSVVal
)),"")</f>
        <v/>
      </c>
      <c r="L87" s="55" t="str" cm="1">
        <f t="array" ref="L87">IFERROR(_xlfn.LET(
_xlpm.CSVVal,_xlfn.XLOOKUP($A87,CSV!$A:$A,CSV!P:P,""),
_xlpm.MacVal,_xlfn.XLOOKUP($A87,Output_Mac!$A:$A,Output_Mac!M:M,""),
_xlpm.MyAuditVal,_xlfn.XLOOKUP($A87,My_Audit!$A:$A,My_Audit!K:K,""),
_xlfn.IFS(_xlpm.MyAuditVal&lt;&gt;"",UPPER(_xlpm.MyAuditVal),_xlpm.MacVal&lt;&gt;"",_xlpm.MacVal,_xlpm.CSVVal&lt;&gt;"",_xlpm.CSVVal
)),"")</f>
        <v/>
      </c>
      <c r="M87" s="54" t="str">
        <f>_xlfn.LET(
    _xlpm.CSVVal, _xlfn.XLOOKUP($A87, CSV!$A:$A, CSV!AD:AD, ""),
    _xlpm.MacVal, _xlfn.XLOOKUP($A87, Output_Mac!$A:$A, Output_Mac!S:S, ""),
    _xlpm.MyAuditVal, _xlfn.XLOOKUP($A87, My_Audit!$A:$A, My_Audit!N:N, ""),
    _xlfn.TEXTJOIN(", ", TRUE, _xlpm.MyAuditVal, _xlpm.MacVal, _xlpm.CSVVal)
)</f>
        <v/>
      </c>
      <c r="N87" s="54" t="str" cm="1">
        <f t="array" ref="N87">IFERROR(_xlfn.LET(
_xlpm.CSVVal,_xlfn.XLOOKUP($A87,CSV!$A:$A,CSV!AF:AF,""),
_xlpm.MacVal,_xlfn.XLOOKUP($A87,Output_Mac!$A:$A,Output_Mac!U:U,""),
_xlpm.MyAuditVal,_xlfn.XLOOKUP($A87,My_Audit!$A:$A,My_Audit!O:O,""),
_xlfn.IFS(_xlpm.MyAuditVal&lt;&gt;"",UPPER(_xlpm.MyAuditVal),_xlpm.MacVal&lt;&gt;"",_xlpm.MacVal,_xlpm.CSVVal&lt;&gt;"",_xlpm.CSVVal
)),"")</f>
        <v/>
      </c>
      <c r="O87" s="54"/>
      <c r="P87" s="54"/>
      <c r="Q87" s="54"/>
      <c r="R87" s="54"/>
      <c r="S87" s="54"/>
      <c r="T87" s="54"/>
      <c r="U87" s="39" t="str">
        <f>_xlfn.LET(
    _xlpm.MacVal, _xlfn.XLOOKUP($A87, Output_Mac!$A:$A, Output_Mac!AB:AB, ""),
    _xlpm.MyAuditVal, _xlfn.XLOOKUP($A87, My_Audit!$A:$A, My_Audit!L:L, ""),
    _xlfn.TEXTJOIN(", ", TRUE, _xlpm.MyAuditVal, _xlpm.MacVal)
)</f>
        <v/>
      </c>
    </row>
    <row r="88" spans="1:21">
      <c r="A88" s="54" t="str">
        <f>_xlfn.TEXTJOIN("",TRUE,Input!$B$2,ROW(My_Audit!A87))</f>
        <v>XX87</v>
      </c>
      <c r="B88" s="54" t="str">
        <f>_xlfn.TEXTJOIN("-",TRUE,"ITD",Input!$A$2,A88)</f>
        <v>ITD-SHRXXX-XX87</v>
      </c>
      <c r="C88" s="54" t="str" cm="1">
        <f t="array" ref="C88">IFERROR(_xlfn.LET(
_xlpm.CSVVal,_xlfn.XLOOKUP($A88,CSV!$A:$A,CSV!B:B,""),
_xlpm.MacVal,_xlfn.XLOOKUP($A88,Output_Mac!$A:$A,Output_Mac!B:B,""),
_xlpm.MyAuditVal,_xlfn.XLOOKUP($A88,My_Audit!$A:$A,My_Audit!B:B,""),
_xlfn.IFS(_xlpm.MyAuditVal&lt;&gt;"",UPPER(_xlpm.MyAuditVal),_xlpm.MacVal&lt;&gt;"",_xlpm.MacVal,_xlpm.CSVVal&lt;&gt;"",_xlpm.CSVVal
)),"")</f>
        <v/>
      </c>
      <c r="D88" s="55" t="str">
        <f>_xlfn.XLOOKUP(A88,My_Audit!A:A,My_Audit!D:D,"")&amp;""</f>
        <v/>
      </c>
      <c r="E88" s="55" t="str" cm="1">
        <f t="array" ref="E88">IFERROR(_xlfn.LET(
_xlpm.CSVVal,_xlfn.XLOOKUP($A88,CSV!$A:$A,CSV!D:D,""),
_xlpm.MacVal,_xlfn.XLOOKUP($A88,Output_Mac!$A:$A,Output_Mac!C:C,""),
_xlpm.MyAuditVal,_xlfn.XLOOKUP($A88,My_Audit!$A:$A,My_Audit!D:D,""),
_xlfn.IFS(_xlpm.MyAuditVal&lt;&gt;"",_xlpm.MyAuditVal,_xlpm.MacVal&lt;&gt;"",_xlpm.MacVal,_xlpm.CSVVal&lt;&gt;"",_xlpm.CSVVal
)),"")</f>
        <v/>
      </c>
      <c r="F88" s="54" t="str" cm="1">
        <f t="array" ref="F88">IFERROR(_xlfn.LET(
_xlpm.CSVVal,_xlfn.XLOOKUP($A88,CSV!$A:$A,CSV!E:E,""),
_xlpm.MacVal,_xlfn.XLOOKUP($A88,Output_Mac!$A:$A,Output_Mac!F:F,""),
_xlpm.MyAuditVal,_xlfn.XLOOKUP($A88,My_Audit!$A:$A,My_Audit!E:E,""),
_xlfn.IFS(_xlpm.MyAuditVal&lt;&gt;"",_xlpm.MyAuditVal,_xlpm.MacVal&lt;&gt;"",_xlpm.MacVal,_xlpm.CSVVal&lt;&gt;"",PROPER(_xlpm.CSVVal)
)),"")</f>
        <v/>
      </c>
      <c r="G88" s="54" t="str" cm="1">
        <f t="array" ref="G88">IFERROR(_xlfn.LET(
_xlpm.CSVVal,_xlfn.XLOOKUP($A88,CSV!$A:$A,CSV!F:F,""),
_xlpm.MacVal,_xlfn.XLOOKUP($A88,Output_Mac!$A:$A,Output_Mac!H:H,""),
_xlpm.MyAuditVal,_xlfn.XLOOKUP($A88,My_Audit!$A:$A,My_Audit!F:F,""),
_xlfn.IFS(_xlpm.MyAuditVal&lt;&gt;"",_xlpm.MyAuditVal,_xlpm.MacVal&lt;&gt;"",_xlpm.MacVal,_xlpm.CSVVal&lt;&gt;"",_xlpm.CSVVal
)),"")</f>
        <v/>
      </c>
      <c r="H88" s="54" t="str">
        <f>_xlfn.XLOOKUP(A88,Output_Mac!A:A,Output_Mac!I:I,"")</f>
        <v/>
      </c>
      <c r="I88" s="54" t="str" cm="1">
        <f t="array" ref="I88">IFERROR(_xlfn.LET(
_xlpm.CSVVal,_xlfn.XLOOKUP($A88,CSV!$A:$A,CSV!G:G,""),
_xlpm.MacVal,_xlfn.XLOOKUP($A88,Output_Mac!$A:$A,Output_Mac!J:J,""),
_xlpm.MyAuditVal,_xlfn.XLOOKUP($A88,My_Audit!$A:$A,My_Audit!H:H,""),
_xlfn.IFS(_xlpm.MyAuditVal&lt;&gt;"",UPPER(_xlpm.MyAuditVal),_xlpm.MacVal&lt;&gt;"",_xlpm.MacVal,_xlpm.CSVVal&lt;&gt;"",_xlpm.CSVVal
)),"")</f>
        <v/>
      </c>
      <c r="J88" s="54" t="str" cm="1">
        <f t="array" ref="J88">IFERROR(_xlfn.LET(
_xlpm.CSVVal,_xlfn.XLOOKUP($A88,CSV!$A:$A,CSV!I:I,""),
_xlpm.MacVal,_xlfn.XLOOKUP($A88,Output_Mac!$A:$A,Output_Mac!K:K,""),
_xlpm.MyAuditVal,_xlfn.XLOOKUP($A88,My_Audit!$A:$A,My_Audit!I:I,""),
_xlfn.IFS(_xlpm.MyAuditVal&lt;&gt;"",UPPER(_xlpm.MyAuditVal),_xlpm.MacVal&lt;&gt;"",_xlpm.MacVal,_xlpm.CSVVal&lt;&gt;"",_xlpm.CSVVal
)),"")</f>
        <v/>
      </c>
      <c r="K88" s="54" t="str" cm="1">
        <f t="array" ref="K88">IFERROR(_xlfn.LET(
_xlpm.CSVVal,_xlfn.XLOOKUP($A88,CSV!$A:$A,CSV!M:M,""),
_xlpm.MacVal,_xlfn.XLOOKUP($A88,Output_Mac!$A:$A,Output_Mac!L:L,""),
_xlpm.MyAuditVal,_xlfn.XLOOKUP($A88,My_Audit!$A:$A,My_Audit!J:J,""),
_xlfn.IFS(_xlpm.MyAuditVal&lt;&gt;"",UPPER(_xlpm.MyAuditVal),_xlpm.MacVal&lt;&gt;"",_xlpm.MacVal,_xlpm.CSVVal&lt;&gt;"",_xlpm.CSVVal
)),"")</f>
        <v/>
      </c>
      <c r="L88" s="55" t="str" cm="1">
        <f t="array" ref="L88">IFERROR(_xlfn.LET(
_xlpm.CSVVal,_xlfn.XLOOKUP($A88,CSV!$A:$A,CSV!P:P,""),
_xlpm.MacVal,_xlfn.XLOOKUP($A88,Output_Mac!$A:$A,Output_Mac!M:M,""),
_xlpm.MyAuditVal,_xlfn.XLOOKUP($A88,My_Audit!$A:$A,My_Audit!K:K,""),
_xlfn.IFS(_xlpm.MyAuditVal&lt;&gt;"",UPPER(_xlpm.MyAuditVal),_xlpm.MacVal&lt;&gt;"",_xlpm.MacVal,_xlpm.CSVVal&lt;&gt;"",_xlpm.CSVVal
)),"")</f>
        <v/>
      </c>
      <c r="M88" s="54" t="str">
        <f>_xlfn.LET(
    _xlpm.CSVVal, _xlfn.XLOOKUP($A88, CSV!$A:$A, CSV!AD:AD, ""),
    _xlpm.MacVal, _xlfn.XLOOKUP($A88, Output_Mac!$A:$A, Output_Mac!S:S, ""),
    _xlpm.MyAuditVal, _xlfn.XLOOKUP($A88, My_Audit!$A:$A, My_Audit!N:N, ""),
    _xlfn.TEXTJOIN(", ", TRUE, _xlpm.MyAuditVal, _xlpm.MacVal, _xlpm.CSVVal)
)</f>
        <v/>
      </c>
      <c r="N88" s="54" t="str" cm="1">
        <f t="array" ref="N88">IFERROR(_xlfn.LET(
_xlpm.CSVVal,_xlfn.XLOOKUP($A88,CSV!$A:$A,CSV!AF:AF,""),
_xlpm.MacVal,_xlfn.XLOOKUP($A88,Output_Mac!$A:$A,Output_Mac!U:U,""),
_xlpm.MyAuditVal,_xlfn.XLOOKUP($A88,My_Audit!$A:$A,My_Audit!O:O,""),
_xlfn.IFS(_xlpm.MyAuditVal&lt;&gt;"",UPPER(_xlpm.MyAuditVal),_xlpm.MacVal&lt;&gt;"",_xlpm.MacVal,_xlpm.CSVVal&lt;&gt;"",_xlpm.CSVVal
)),"")</f>
        <v/>
      </c>
      <c r="O88" s="54"/>
      <c r="P88" s="54"/>
      <c r="Q88" s="54"/>
      <c r="R88" s="54"/>
      <c r="S88" s="54"/>
      <c r="T88" s="54"/>
      <c r="U88" s="39" t="str">
        <f>_xlfn.LET(
    _xlpm.MacVal, _xlfn.XLOOKUP($A88, Output_Mac!$A:$A, Output_Mac!AB:AB, ""),
    _xlpm.MyAuditVal, _xlfn.XLOOKUP($A88, My_Audit!$A:$A, My_Audit!L:L, ""),
    _xlfn.TEXTJOIN(", ", TRUE, _xlpm.MyAuditVal, _xlpm.MacVal)
)</f>
        <v/>
      </c>
    </row>
    <row r="89" spans="1:21">
      <c r="A89" s="54" t="str">
        <f>_xlfn.TEXTJOIN("",TRUE,Input!$B$2,ROW(My_Audit!A88))</f>
        <v>XX88</v>
      </c>
      <c r="B89" s="54" t="str">
        <f>_xlfn.TEXTJOIN("-",TRUE,"ITD",Input!$A$2,A89)</f>
        <v>ITD-SHRXXX-XX88</v>
      </c>
      <c r="C89" s="54" t="str" cm="1">
        <f t="array" ref="C89">IFERROR(_xlfn.LET(
_xlpm.CSVVal,_xlfn.XLOOKUP($A89,CSV!$A:$A,CSV!B:B,""),
_xlpm.MacVal,_xlfn.XLOOKUP($A89,Output_Mac!$A:$A,Output_Mac!B:B,""),
_xlpm.MyAuditVal,_xlfn.XLOOKUP($A89,My_Audit!$A:$A,My_Audit!B:B,""),
_xlfn.IFS(_xlpm.MyAuditVal&lt;&gt;"",UPPER(_xlpm.MyAuditVal),_xlpm.MacVal&lt;&gt;"",_xlpm.MacVal,_xlpm.CSVVal&lt;&gt;"",_xlpm.CSVVal
)),"")</f>
        <v/>
      </c>
      <c r="D89" s="55" t="str">
        <f>_xlfn.XLOOKUP(A89,My_Audit!A:A,My_Audit!D:D,"")&amp;""</f>
        <v/>
      </c>
      <c r="E89" s="55" t="str" cm="1">
        <f t="array" ref="E89">IFERROR(_xlfn.LET(
_xlpm.CSVVal,_xlfn.XLOOKUP($A89,CSV!$A:$A,CSV!D:D,""),
_xlpm.MacVal,_xlfn.XLOOKUP($A89,Output_Mac!$A:$A,Output_Mac!C:C,""),
_xlpm.MyAuditVal,_xlfn.XLOOKUP($A89,My_Audit!$A:$A,My_Audit!D:D,""),
_xlfn.IFS(_xlpm.MyAuditVal&lt;&gt;"",_xlpm.MyAuditVal,_xlpm.MacVal&lt;&gt;"",_xlpm.MacVal,_xlpm.CSVVal&lt;&gt;"",_xlpm.CSVVal
)),"")</f>
        <v/>
      </c>
      <c r="F89" s="54" t="str" cm="1">
        <f t="array" ref="F89">IFERROR(_xlfn.LET(
_xlpm.CSVVal,_xlfn.XLOOKUP($A89,CSV!$A:$A,CSV!E:E,""),
_xlpm.MacVal,_xlfn.XLOOKUP($A89,Output_Mac!$A:$A,Output_Mac!F:F,""),
_xlpm.MyAuditVal,_xlfn.XLOOKUP($A89,My_Audit!$A:$A,My_Audit!E:E,""),
_xlfn.IFS(_xlpm.MyAuditVal&lt;&gt;"",_xlpm.MyAuditVal,_xlpm.MacVal&lt;&gt;"",_xlpm.MacVal,_xlpm.CSVVal&lt;&gt;"",PROPER(_xlpm.CSVVal)
)),"")</f>
        <v/>
      </c>
      <c r="G89" s="54" t="str" cm="1">
        <f t="array" ref="G89">IFERROR(_xlfn.LET(
_xlpm.CSVVal,_xlfn.XLOOKUP($A89,CSV!$A:$A,CSV!F:F,""),
_xlpm.MacVal,_xlfn.XLOOKUP($A89,Output_Mac!$A:$A,Output_Mac!H:H,""),
_xlpm.MyAuditVal,_xlfn.XLOOKUP($A89,My_Audit!$A:$A,My_Audit!F:F,""),
_xlfn.IFS(_xlpm.MyAuditVal&lt;&gt;"",_xlpm.MyAuditVal,_xlpm.MacVal&lt;&gt;"",_xlpm.MacVal,_xlpm.CSVVal&lt;&gt;"",_xlpm.CSVVal
)),"")</f>
        <v/>
      </c>
      <c r="H89" s="54" t="str">
        <f>_xlfn.XLOOKUP(A89,Output_Mac!A:A,Output_Mac!I:I,"")</f>
        <v/>
      </c>
      <c r="I89" s="54" t="str" cm="1">
        <f t="array" ref="I89">IFERROR(_xlfn.LET(
_xlpm.CSVVal,_xlfn.XLOOKUP($A89,CSV!$A:$A,CSV!G:G,""),
_xlpm.MacVal,_xlfn.XLOOKUP($A89,Output_Mac!$A:$A,Output_Mac!J:J,""),
_xlpm.MyAuditVal,_xlfn.XLOOKUP($A89,My_Audit!$A:$A,My_Audit!H:H,""),
_xlfn.IFS(_xlpm.MyAuditVal&lt;&gt;"",UPPER(_xlpm.MyAuditVal),_xlpm.MacVal&lt;&gt;"",_xlpm.MacVal,_xlpm.CSVVal&lt;&gt;"",_xlpm.CSVVal
)),"")</f>
        <v/>
      </c>
      <c r="J89" s="54" t="str" cm="1">
        <f t="array" ref="J89">IFERROR(_xlfn.LET(
_xlpm.CSVVal,_xlfn.XLOOKUP($A89,CSV!$A:$A,CSV!I:I,""),
_xlpm.MacVal,_xlfn.XLOOKUP($A89,Output_Mac!$A:$A,Output_Mac!K:K,""),
_xlpm.MyAuditVal,_xlfn.XLOOKUP($A89,My_Audit!$A:$A,My_Audit!I:I,""),
_xlfn.IFS(_xlpm.MyAuditVal&lt;&gt;"",UPPER(_xlpm.MyAuditVal),_xlpm.MacVal&lt;&gt;"",_xlpm.MacVal,_xlpm.CSVVal&lt;&gt;"",_xlpm.CSVVal
)),"")</f>
        <v/>
      </c>
      <c r="K89" s="54" t="str" cm="1">
        <f t="array" ref="K89">IFERROR(_xlfn.LET(
_xlpm.CSVVal,_xlfn.XLOOKUP($A89,CSV!$A:$A,CSV!M:M,""),
_xlpm.MacVal,_xlfn.XLOOKUP($A89,Output_Mac!$A:$A,Output_Mac!L:L,""),
_xlpm.MyAuditVal,_xlfn.XLOOKUP($A89,My_Audit!$A:$A,My_Audit!J:J,""),
_xlfn.IFS(_xlpm.MyAuditVal&lt;&gt;"",UPPER(_xlpm.MyAuditVal),_xlpm.MacVal&lt;&gt;"",_xlpm.MacVal,_xlpm.CSVVal&lt;&gt;"",_xlpm.CSVVal
)),"")</f>
        <v/>
      </c>
      <c r="L89" s="55" t="str" cm="1">
        <f t="array" ref="L89">IFERROR(_xlfn.LET(
_xlpm.CSVVal,_xlfn.XLOOKUP($A89,CSV!$A:$A,CSV!P:P,""),
_xlpm.MacVal,_xlfn.XLOOKUP($A89,Output_Mac!$A:$A,Output_Mac!M:M,""),
_xlpm.MyAuditVal,_xlfn.XLOOKUP($A89,My_Audit!$A:$A,My_Audit!K:K,""),
_xlfn.IFS(_xlpm.MyAuditVal&lt;&gt;"",UPPER(_xlpm.MyAuditVal),_xlpm.MacVal&lt;&gt;"",_xlpm.MacVal,_xlpm.CSVVal&lt;&gt;"",_xlpm.CSVVal
)),"")</f>
        <v/>
      </c>
      <c r="M89" s="54" t="str">
        <f>_xlfn.LET(
    _xlpm.CSVVal, _xlfn.XLOOKUP($A89, CSV!$A:$A, CSV!AD:AD, ""),
    _xlpm.MacVal, _xlfn.XLOOKUP($A89, Output_Mac!$A:$A, Output_Mac!S:S, ""),
    _xlpm.MyAuditVal, _xlfn.XLOOKUP($A89, My_Audit!$A:$A, My_Audit!N:N, ""),
    _xlfn.TEXTJOIN(", ", TRUE, _xlpm.MyAuditVal, _xlpm.MacVal, _xlpm.CSVVal)
)</f>
        <v/>
      </c>
      <c r="N89" s="54" t="str" cm="1">
        <f t="array" ref="N89">IFERROR(_xlfn.LET(
_xlpm.CSVVal,_xlfn.XLOOKUP($A89,CSV!$A:$A,CSV!AF:AF,""),
_xlpm.MacVal,_xlfn.XLOOKUP($A89,Output_Mac!$A:$A,Output_Mac!U:U,""),
_xlpm.MyAuditVal,_xlfn.XLOOKUP($A89,My_Audit!$A:$A,My_Audit!O:O,""),
_xlfn.IFS(_xlpm.MyAuditVal&lt;&gt;"",UPPER(_xlpm.MyAuditVal),_xlpm.MacVal&lt;&gt;"",_xlpm.MacVal,_xlpm.CSVVal&lt;&gt;"",_xlpm.CSVVal
)),"")</f>
        <v/>
      </c>
      <c r="O89" s="54"/>
      <c r="P89" s="54"/>
      <c r="Q89" s="54"/>
      <c r="R89" s="54"/>
      <c r="S89" s="54"/>
      <c r="T89" s="54"/>
      <c r="U89" s="39" t="str">
        <f>_xlfn.LET(
    _xlpm.MacVal, _xlfn.XLOOKUP($A89, Output_Mac!$A:$A, Output_Mac!AB:AB, ""),
    _xlpm.MyAuditVal, _xlfn.XLOOKUP($A89, My_Audit!$A:$A, My_Audit!L:L, ""),
    _xlfn.TEXTJOIN(", ", TRUE, _xlpm.MyAuditVal, _xlpm.MacVal)
)</f>
        <v/>
      </c>
    </row>
    <row r="90" spans="1:21">
      <c r="A90" s="54" t="str">
        <f>_xlfn.TEXTJOIN("",TRUE,Input!$B$2,ROW(My_Audit!A89))</f>
        <v>XX89</v>
      </c>
      <c r="B90" s="54" t="str">
        <f>_xlfn.TEXTJOIN("-",TRUE,"ITD",Input!$A$2,A90)</f>
        <v>ITD-SHRXXX-XX89</v>
      </c>
      <c r="C90" s="54" t="str" cm="1">
        <f t="array" ref="C90">IFERROR(_xlfn.LET(
_xlpm.CSVVal,_xlfn.XLOOKUP($A90,CSV!$A:$A,CSV!B:B,""),
_xlpm.MacVal,_xlfn.XLOOKUP($A90,Output_Mac!$A:$A,Output_Mac!B:B,""),
_xlpm.MyAuditVal,_xlfn.XLOOKUP($A90,My_Audit!$A:$A,My_Audit!B:B,""),
_xlfn.IFS(_xlpm.MyAuditVal&lt;&gt;"",UPPER(_xlpm.MyAuditVal),_xlpm.MacVal&lt;&gt;"",_xlpm.MacVal,_xlpm.CSVVal&lt;&gt;"",_xlpm.CSVVal
)),"")</f>
        <v/>
      </c>
      <c r="D90" s="55" t="str">
        <f>_xlfn.XLOOKUP(A90,My_Audit!A:A,My_Audit!D:D,"")&amp;""</f>
        <v/>
      </c>
      <c r="E90" s="55" t="str" cm="1">
        <f t="array" ref="E90">IFERROR(_xlfn.LET(
_xlpm.CSVVal,_xlfn.XLOOKUP($A90,CSV!$A:$A,CSV!D:D,""),
_xlpm.MacVal,_xlfn.XLOOKUP($A90,Output_Mac!$A:$A,Output_Mac!C:C,""),
_xlpm.MyAuditVal,_xlfn.XLOOKUP($A90,My_Audit!$A:$A,My_Audit!D:D,""),
_xlfn.IFS(_xlpm.MyAuditVal&lt;&gt;"",_xlpm.MyAuditVal,_xlpm.MacVal&lt;&gt;"",_xlpm.MacVal,_xlpm.CSVVal&lt;&gt;"",_xlpm.CSVVal
)),"")</f>
        <v/>
      </c>
      <c r="F90" s="54" t="str" cm="1">
        <f t="array" ref="F90">IFERROR(_xlfn.LET(
_xlpm.CSVVal,_xlfn.XLOOKUP($A90,CSV!$A:$A,CSV!E:E,""),
_xlpm.MacVal,_xlfn.XLOOKUP($A90,Output_Mac!$A:$A,Output_Mac!F:F,""),
_xlpm.MyAuditVal,_xlfn.XLOOKUP($A90,My_Audit!$A:$A,My_Audit!E:E,""),
_xlfn.IFS(_xlpm.MyAuditVal&lt;&gt;"",_xlpm.MyAuditVal,_xlpm.MacVal&lt;&gt;"",_xlpm.MacVal,_xlpm.CSVVal&lt;&gt;"",PROPER(_xlpm.CSVVal)
)),"")</f>
        <v/>
      </c>
      <c r="G90" s="54" t="str" cm="1">
        <f t="array" ref="G90">IFERROR(_xlfn.LET(
_xlpm.CSVVal,_xlfn.XLOOKUP($A90,CSV!$A:$A,CSV!F:F,""),
_xlpm.MacVal,_xlfn.XLOOKUP($A90,Output_Mac!$A:$A,Output_Mac!H:H,""),
_xlpm.MyAuditVal,_xlfn.XLOOKUP($A90,My_Audit!$A:$A,My_Audit!F:F,""),
_xlfn.IFS(_xlpm.MyAuditVal&lt;&gt;"",_xlpm.MyAuditVal,_xlpm.MacVal&lt;&gt;"",_xlpm.MacVal,_xlpm.CSVVal&lt;&gt;"",_xlpm.CSVVal
)),"")</f>
        <v/>
      </c>
      <c r="H90" s="54" t="str">
        <f>_xlfn.XLOOKUP(A90,Output_Mac!A:A,Output_Mac!I:I,"")</f>
        <v/>
      </c>
      <c r="I90" s="54" t="str" cm="1">
        <f t="array" ref="I90">IFERROR(_xlfn.LET(
_xlpm.CSVVal,_xlfn.XLOOKUP($A90,CSV!$A:$A,CSV!G:G,""),
_xlpm.MacVal,_xlfn.XLOOKUP($A90,Output_Mac!$A:$A,Output_Mac!J:J,""),
_xlpm.MyAuditVal,_xlfn.XLOOKUP($A90,My_Audit!$A:$A,My_Audit!H:H,""),
_xlfn.IFS(_xlpm.MyAuditVal&lt;&gt;"",UPPER(_xlpm.MyAuditVal),_xlpm.MacVal&lt;&gt;"",_xlpm.MacVal,_xlpm.CSVVal&lt;&gt;"",_xlpm.CSVVal
)),"")</f>
        <v/>
      </c>
      <c r="J90" s="54" t="str" cm="1">
        <f t="array" ref="J90">IFERROR(_xlfn.LET(
_xlpm.CSVVal,_xlfn.XLOOKUP($A90,CSV!$A:$A,CSV!I:I,""),
_xlpm.MacVal,_xlfn.XLOOKUP($A90,Output_Mac!$A:$A,Output_Mac!K:K,""),
_xlpm.MyAuditVal,_xlfn.XLOOKUP($A90,My_Audit!$A:$A,My_Audit!I:I,""),
_xlfn.IFS(_xlpm.MyAuditVal&lt;&gt;"",UPPER(_xlpm.MyAuditVal),_xlpm.MacVal&lt;&gt;"",_xlpm.MacVal,_xlpm.CSVVal&lt;&gt;"",_xlpm.CSVVal
)),"")</f>
        <v/>
      </c>
      <c r="K90" s="54" t="str" cm="1">
        <f t="array" ref="K90">IFERROR(_xlfn.LET(
_xlpm.CSVVal,_xlfn.XLOOKUP($A90,CSV!$A:$A,CSV!M:M,""),
_xlpm.MacVal,_xlfn.XLOOKUP($A90,Output_Mac!$A:$A,Output_Mac!L:L,""),
_xlpm.MyAuditVal,_xlfn.XLOOKUP($A90,My_Audit!$A:$A,My_Audit!J:J,""),
_xlfn.IFS(_xlpm.MyAuditVal&lt;&gt;"",UPPER(_xlpm.MyAuditVal),_xlpm.MacVal&lt;&gt;"",_xlpm.MacVal,_xlpm.CSVVal&lt;&gt;"",_xlpm.CSVVal
)),"")</f>
        <v/>
      </c>
      <c r="L90" s="55" t="str" cm="1">
        <f t="array" ref="L90">IFERROR(_xlfn.LET(
_xlpm.CSVVal,_xlfn.XLOOKUP($A90,CSV!$A:$A,CSV!P:P,""),
_xlpm.MacVal,_xlfn.XLOOKUP($A90,Output_Mac!$A:$A,Output_Mac!M:M,""),
_xlpm.MyAuditVal,_xlfn.XLOOKUP($A90,My_Audit!$A:$A,My_Audit!K:K,""),
_xlfn.IFS(_xlpm.MyAuditVal&lt;&gt;"",UPPER(_xlpm.MyAuditVal),_xlpm.MacVal&lt;&gt;"",_xlpm.MacVal,_xlpm.CSVVal&lt;&gt;"",_xlpm.CSVVal
)),"")</f>
        <v/>
      </c>
      <c r="M90" s="54" t="str">
        <f>_xlfn.LET(
    _xlpm.CSVVal, _xlfn.XLOOKUP($A90, CSV!$A:$A, CSV!AD:AD, ""),
    _xlpm.MacVal, _xlfn.XLOOKUP($A90, Output_Mac!$A:$A, Output_Mac!S:S, ""),
    _xlpm.MyAuditVal, _xlfn.XLOOKUP($A90, My_Audit!$A:$A, My_Audit!N:N, ""),
    _xlfn.TEXTJOIN(", ", TRUE, _xlpm.MyAuditVal, _xlpm.MacVal, _xlpm.CSVVal)
)</f>
        <v/>
      </c>
      <c r="N90" s="54" t="str" cm="1">
        <f t="array" ref="N90">IFERROR(_xlfn.LET(
_xlpm.CSVVal,_xlfn.XLOOKUP($A90,CSV!$A:$A,CSV!AF:AF,""),
_xlpm.MacVal,_xlfn.XLOOKUP($A90,Output_Mac!$A:$A,Output_Mac!U:U,""),
_xlpm.MyAuditVal,_xlfn.XLOOKUP($A90,My_Audit!$A:$A,My_Audit!O:O,""),
_xlfn.IFS(_xlpm.MyAuditVal&lt;&gt;"",UPPER(_xlpm.MyAuditVal),_xlpm.MacVal&lt;&gt;"",_xlpm.MacVal,_xlpm.CSVVal&lt;&gt;"",_xlpm.CSVVal
)),"")</f>
        <v/>
      </c>
      <c r="O90" s="54"/>
      <c r="P90" s="54"/>
      <c r="Q90" s="54"/>
      <c r="R90" s="54"/>
      <c r="S90" s="54"/>
      <c r="T90" s="54"/>
      <c r="U90" s="39" t="str">
        <f>_xlfn.LET(
    _xlpm.MacVal, _xlfn.XLOOKUP($A90, Output_Mac!$A:$A, Output_Mac!AB:AB, ""),
    _xlpm.MyAuditVal, _xlfn.XLOOKUP($A90, My_Audit!$A:$A, My_Audit!L:L, ""),
    _xlfn.TEXTJOIN(", ", TRUE, _xlpm.MyAuditVal, _xlpm.MacVal)
)</f>
        <v/>
      </c>
    </row>
    <row r="91" spans="1:21">
      <c r="A91" s="54" t="str">
        <f>_xlfn.TEXTJOIN("",TRUE,Input!$B$2,ROW(My_Audit!A90))</f>
        <v>XX90</v>
      </c>
      <c r="B91" s="54" t="str">
        <f>_xlfn.TEXTJOIN("-",TRUE,"ITD",Input!$A$2,A91)</f>
        <v>ITD-SHRXXX-XX90</v>
      </c>
      <c r="C91" s="54" t="str" cm="1">
        <f t="array" ref="C91">IFERROR(_xlfn.LET(
_xlpm.CSVVal,_xlfn.XLOOKUP($A91,CSV!$A:$A,CSV!B:B,""),
_xlpm.MacVal,_xlfn.XLOOKUP($A91,Output_Mac!$A:$A,Output_Mac!B:B,""),
_xlpm.MyAuditVal,_xlfn.XLOOKUP($A91,My_Audit!$A:$A,My_Audit!B:B,""),
_xlfn.IFS(_xlpm.MyAuditVal&lt;&gt;"",UPPER(_xlpm.MyAuditVal),_xlpm.MacVal&lt;&gt;"",_xlpm.MacVal,_xlpm.CSVVal&lt;&gt;"",_xlpm.CSVVal
)),"")</f>
        <v/>
      </c>
      <c r="D91" s="55" t="str">
        <f>_xlfn.XLOOKUP(A91,My_Audit!A:A,My_Audit!D:D,"")&amp;""</f>
        <v/>
      </c>
      <c r="E91" s="55" t="str" cm="1">
        <f t="array" ref="E91">IFERROR(_xlfn.LET(
_xlpm.CSVVal,_xlfn.XLOOKUP($A91,CSV!$A:$A,CSV!D:D,""),
_xlpm.MacVal,_xlfn.XLOOKUP($A91,Output_Mac!$A:$A,Output_Mac!C:C,""),
_xlpm.MyAuditVal,_xlfn.XLOOKUP($A91,My_Audit!$A:$A,My_Audit!D:D,""),
_xlfn.IFS(_xlpm.MyAuditVal&lt;&gt;"",_xlpm.MyAuditVal,_xlpm.MacVal&lt;&gt;"",_xlpm.MacVal,_xlpm.CSVVal&lt;&gt;"",_xlpm.CSVVal
)),"")</f>
        <v/>
      </c>
      <c r="F91" s="54" t="str" cm="1">
        <f t="array" ref="F91">IFERROR(_xlfn.LET(
_xlpm.CSVVal,_xlfn.XLOOKUP($A91,CSV!$A:$A,CSV!E:E,""),
_xlpm.MacVal,_xlfn.XLOOKUP($A91,Output_Mac!$A:$A,Output_Mac!F:F,""),
_xlpm.MyAuditVal,_xlfn.XLOOKUP($A91,My_Audit!$A:$A,My_Audit!E:E,""),
_xlfn.IFS(_xlpm.MyAuditVal&lt;&gt;"",_xlpm.MyAuditVal,_xlpm.MacVal&lt;&gt;"",_xlpm.MacVal,_xlpm.CSVVal&lt;&gt;"",PROPER(_xlpm.CSVVal)
)),"")</f>
        <v/>
      </c>
      <c r="G91" s="54" t="str" cm="1">
        <f t="array" ref="G91">IFERROR(_xlfn.LET(
_xlpm.CSVVal,_xlfn.XLOOKUP($A91,CSV!$A:$A,CSV!F:F,""),
_xlpm.MacVal,_xlfn.XLOOKUP($A91,Output_Mac!$A:$A,Output_Mac!H:H,""),
_xlpm.MyAuditVal,_xlfn.XLOOKUP($A91,My_Audit!$A:$A,My_Audit!F:F,""),
_xlfn.IFS(_xlpm.MyAuditVal&lt;&gt;"",_xlpm.MyAuditVal,_xlpm.MacVal&lt;&gt;"",_xlpm.MacVal,_xlpm.CSVVal&lt;&gt;"",_xlpm.CSVVal
)),"")</f>
        <v/>
      </c>
      <c r="H91" s="54" t="str">
        <f>_xlfn.XLOOKUP(A91,Output_Mac!A:A,Output_Mac!I:I,"")</f>
        <v/>
      </c>
      <c r="I91" s="54" t="str" cm="1">
        <f t="array" ref="I91">IFERROR(_xlfn.LET(
_xlpm.CSVVal,_xlfn.XLOOKUP($A91,CSV!$A:$A,CSV!G:G,""),
_xlpm.MacVal,_xlfn.XLOOKUP($A91,Output_Mac!$A:$A,Output_Mac!J:J,""),
_xlpm.MyAuditVal,_xlfn.XLOOKUP($A91,My_Audit!$A:$A,My_Audit!H:H,""),
_xlfn.IFS(_xlpm.MyAuditVal&lt;&gt;"",UPPER(_xlpm.MyAuditVal),_xlpm.MacVal&lt;&gt;"",_xlpm.MacVal,_xlpm.CSVVal&lt;&gt;"",_xlpm.CSVVal
)),"")</f>
        <v/>
      </c>
      <c r="J91" s="54" t="str" cm="1">
        <f t="array" ref="J91">IFERROR(_xlfn.LET(
_xlpm.CSVVal,_xlfn.XLOOKUP($A91,CSV!$A:$A,CSV!I:I,""),
_xlpm.MacVal,_xlfn.XLOOKUP($A91,Output_Mac!$A:$A,Output_Mac!K:K,""),
_xlpm.MyAuditVal,_xlfn.XLOOKUP($A91,My_Audit!$A:$A,My_Audit!I:I,""),
_xlfn.IFS(_xlpm.MyAuditVal&lt;&gt;"",UPPER(_xlpm.MyAuditVal),_xlpm.MacVal&lt;&gt;"",_xlpm.MacVal,_xlpm.CSVVal&lt;&gt;"",_xlpm.CSVVal
)),"")</f>
        <v/>
      </c>
      <c r="K91" s="54" t="str" cm="1">
        <f t="array" ref="K91">IFERROR(_xlfn.LET(
_xlpm.CSVVal,_xlfn.XLOOKUP($A91,CSV!$A:$A,CSV!M:M,""),
_xlpm.MacVal,_xlfn.XLOOKUP($A91,Output_Mac!$A:$A,Output_Mac!L:L,""),
_xlpm.MyAuditVal,_xlfn.XLOOKUP($A91,My_Audit!$A:$A,My_Audit!J:J,""),
_xlfn.IFS(_xlpm.MyAuditVal&lt;&gt;"",UPPER(_xlpm.MyAuditVal),_xlpm.MacVal&lt;&gt;"",_xlpm.MacVal,_xlpm.CSVVal&lt;&gt;"",_xlpm.CSVVal
)),"")</f>
        <v/>
      </c>
      <c r="L91" s="55" t="str" cm="1">
        <f t="array" ref="L91">IFERROR(_xlfn.LET(
_xlpm.CSVVal,_xlfn.XLOOKUP($A91,CSV!$A:$A,CSV!P:P,""),
_xlpm.MacVal,_xlfn.XLOOKUP($A91,Output_Mac!$A:$A,Output_Mac!M:M,""),
_xlpm.MyAuditVal,_xlfn.XLOOKUP($A91,My_Audit!$A:$A,My_Audit!K:K,""),
_xlfn.IFS(_xlpm.MyAuditVal&lt;&gt;"",UPPER(_xlpm.MyAuditVal),_xlpm.MacVal&lt;&gt;"",_xlpm.MacVal,_xlpm.CSVVal&lt;&gt;"",_xlpm.CSVVal
)),"")</f>
        <v/>
      </c>
      <c r="M91" s="54" t="str">
        <f>_xlfn.LET(
    _xlpm.CSVVal, _xlfn.XLOOKUP($A91, CSV!$A:$A, CSV!AD:AD, ""),
    _xlpm.MacVal, _xlfn.XLOOKUP($A91, Output_Mac!$A:$A, Output_Mac!S:S, ""),
    _xlpm.MyAuditVal, _xlfn.XLOOKUP($A91, My_Audit!$A:$A, My_Audit!N:N, ""),
    _xlfn.TEXTJOIN(", ", TRUE, _xlpm.MyAuditVal, _xlpm.MacVal, _xlpm.CSVVal)
)</f>
        <v/>
      </c>
      <c r="N91" s="54" t="str" cm="1">
        <f t="array" ref="N91">IFERROR(_xlfn.LET(
_xlpm.CSVVal,_xlfn.XLOOKUP($A91,CSV!$A:$A,CSV!AF:AF,""),
_xlpm.MacVal,_xlfn.XLOOKUP($A91,Output_Mac!$A:$A,Output_Mac!U:U,""),
_xlpm.MyAuditVal,_xlfn.XLOOKUP($A91,My_Audit!$A:$A,My_Audit!O:O,""),
_xlfn.IFS(_xlpm.MyAuditVal&lt;&gt;"",UPPER(_xlpm.MyAuditVal),_xlpm.MacVal&lt;&gt;"",_xlpm.MacVal,_xlpm.CSVVal&lt;&gt;"",_xlpm.CSVVal
)),"")</f>
        <v/>
      </c>
      <c r="O91" s="54"/>
      <c r="P91" s="54"/>
      <c r="Q91" s="54"/>
      <c r="R91" s="54"/>
      <c r="S91" s="54"/>
      <c r="T91" s="54"/>
      <c r="U91" s="39" t="str">
        <f>_xlfn.LET(
    _xlpm.MacVal, _xlfn.XLOOKUP($A91, Output_Mac!$A:$A, Output_Mac!AB:AB, ""),
    _xlpm.MyAuditVal, _xlfn.XLOOKUP($A91, My_Audit!$A:$A, My_Audit!L:L, ""),
    _xlfn.TEXTJOIN(", ", TRUE, _xlpm.MyAuditVal, _xlpm.MacVal)
)</f>
        <v/>
      </c>
    </row>
    <row r="92" spans="1:21">
      <c r="A92" s="54" t="str">
        <f>_xlfn.TEXTJOIN("",TRUE,Input!$B$2,ROW(My_Audit!A91))</f>
        <v>XX91</v>
      </c>
      <c r="B92" s="54" t="str">
        <f>_xlfn.TEXTJOIN("-",TRUE,"ITD",Input!$A$2,A92)</f>
        <v>ITD-SHRXXX-XX91</v>
      </c>
      <c r="C92" s="54" t="str" cm="1">
        <f t="array" ref="C92">IFERROR(_xlfn.LET(
_xlpm.CSVVal,_xlfn.XLOOKUP($A92,CSV!$A:$A,CSV!B:B,""),
_xlpm.MacVal,_xlfn.XLOOKUP($A92,Output_Mac!$A:$A,Output_Mac!B:B,""),
_xlpm.MyAuditVal,_xlfn.XLOOKUP($A92,My_Audit!$A:$A,My_Audit!B:B,""),
_xlfn.IFS(_xlpm.MyAuditVal&lt;&gt;"",UPPER(_xlpm.MyAuditVal),_xlpm.MacVal&lt;&gt;"",_xlpm.MacVal,_xlpm.CSVVal&lt;&gt;"",_xlpm.CSVVal
)),"")</f>
        <v/>
      </c>
      <c r="D92" s="55" t="str">
        <f>_xlfn.XLOOKUP(A92,My_Audit!A:A,My_Audit!D:D,"")&amp;""</f>
        <v/>
      </c>
      <c r="E92" s="55" t="str" cm="1">
        <f t="array" ref="E92">IFERROR(_xlfn.LET(
_xlpm.CSVVal,_xlfn.XLOOKUP($A92,CSV!$A:$A,CSV!D:D,""),
_xlpm.MacVal,_xlfn.XLOOKUP($A92,Output_Mac!$A:$A,Output_Mac!C:C,""),
_xlpm.MyAuditVal,_xlfn.XLOOKUP($A92,My_Audit!$A:$A,My_Audit!D:D,""),
_xlfn.IFS(_xlpm.MyAuditVal&lt;&gt;"",_xlpm.MyAuditVal,_xlpm.MacVal&lt;&gt;"",_xlpm.MacVal,_xlpm.CSVVal&lt;&gt;"",_xlpm.CSVVal
)),"")</f>
        <v/>
      </c>
      <c r="F92" s="54" t="str" cm="1">
        <f t="array" ref="F92">IFERROR(_xlfn.LET(
_xlpm.CSVVal,_xlfn.XLOOKUP($A92,CSV!$A:$A,CSV!E:E,""),
_xlpm.MacVal,_xlfn.XLOOKUP($A92,Output_Mac!$A:$A,Output_Mac!F:F,""),
_xlpm.MyAuditVal,_xlfn.XLOOKUP($A92,My_Audit!$A:$A,My_Audit!E:E,""),
_xlfn.IFS(_xlpm.MyAuditVal&lt;&gt;"",_xlpm.MyAuditVal,_xlpm.MacVal&lt;&gt;"",_xlpm.MacVal,_xlpm.CSVVal&lt;&gt;"",PROPER(_xlpm.CSVVal)
)),"")</f>
        <v/>
      </c>
      <c r="G92" s="54" t="str" cm="1">
        <f t="array" ref="G92">IFERROR(_xlfn.LET(
_xlpm.CSVVal,_xlfn.XLOOKUP($A92,CSV!$A:$A,CSV!F:F,""),
_xlpm.MacVal,_xlfn.XLOOKUP($A92,Output_Mac!$A:$A,Output_Mac!H:H,""),
_xlpm.MyAuditVal,_xlfn.XLOOKUP($A92,My_Audit!$A:$A,My_Audit!F:F,""),
_xlfn.IFS(_xlpm.MyAuditVal&lt;&gt;"",_xlpm.MyAuditVal,_xlpm.MacVal&lt;&gt;"",_xlpm.MacVal,_xlpm.CSVVal&lt;&gt;"",_xlpm.CSVVal
)),"")</f>
        <v/>
      </c>
      <c r="H92" s="54" t="str">
        <f>_xlfn.XLOOKUP(A92,Output_Mac!A:A,Output_Mac!I:I,"")</f>
        <v/>
      </c>
      <c r="I92" s="54" t="str" cm="1">
        <f t="array" ref="I92">IFERROR(_xlfn.LET(
_xlpm.CSVVal,_xlfn.XLOOKUP($A92,CSV!$A:$A,CSV!G:G,""),
_xlpm.MacVal,_xlfn.XLOOKUP($A92,Output_Mac!$A:$A,Output_Mac!J:J,""),
_xlpm.MyAuditVal,_xlfn.XLOOKUP($A92,My_Audit!$A:$A,My_Audit!H:H,""),
_xlfn.IFS(_xlpm.MyAuditVal&lt;&gt;"",UPPER(_xlpm.MyAuditVal),_xlpm.MacVal&lt;&gt;"",_xlpm.MacVal,_xlpm.CSVVal&lt;&gt;"",_xlpm.CSVVal
)),"")</f>
        <v/>
      </c>
      <c r="J92" s="54" t="str" cm="1">
        <f t="array" ref="J92">IFERROR(_xlfn.LET(
_xlpm.CSVVal,_xlfn.XLOOKUP($A92,CSV!$A:$A,CSV!I:I,""),
_xlpm.MacVal,_xlfn.XLOOKUP($A92,Output_Mac!$A:$A,Output_Mac!K:K,""),
_xlpm.MyAuditVal,_xlfn.XLOOKUP($A92,My_Audit!$A:$A,My_Audit!I:I,""),
_xlfn.IFS(_xlpm.MyAuditVal&lt;&gt;"",UPPER(_xlpm.MyAuditVal),_xlpm.MacVal&lt;&gt;"",_xlpm.MacVal,_xlpm.CSVVal&lt;&gt;"",_xlpm.CSVVal
)),"")</f>
        <v/>
      </c>
      <c r="K92" s="54" t="str" cm="1">
        <f t="array" ref="K92">IFERROR(_xlfn.LET(
_xlpm.CSVVal,_xlfn.XLOOKUP($A92,CSV!$A:$A,CSV!M:M,""),
_xlpm.MacVal,_xlfn.XLOOKUP($A92,Output_Mac!$A:$A,Output_Mac!L:L,""),
_xlpm.MyAuditVal,_xlfn.XLOOKUP($A92,My_Audit!$A:$A,My_Audit!J:J,""),
_xlfn.IFS(_xlpm.MyAuditVal&lt;&gt;"",UPPER(_xlpm.MyAuditVal),_xlpm.MacVal&lt;&gt;"",_xlpm.MacVal,_xlpm.CSVVal&lt;&gt;"",_xlpm.CSVVal
)),"")</f>
        <v/>
      </c>
      <c r="L92" s="55" t="str" cm="1">
        <f t="array" ref="L92">IFERROR(_xlfn.LET(
_xlpm.CSVVal,_xlfn.XLOOKUP($A92,CSV!$A:$A,CSV!P:P,""),
_xlpm.MacVal,_xlfn.XLOOKUP($A92,Output_Mac!$A:$A,Output_Mac!M:M,""),
_xlpm.MyAuditVal,_xlfn.XLOOKUP($A92,My_Audit!$A:$A,My_Audit!K:K,""),
_xlfn.IFS(_xlpm.MyAuditVal&lt;&gt;"",UPPER(_xlpm.MyAuditVal),_xlpm.MacVal&lt;&gt;"",_xlpm.MacVal,_xlpm.CSVVal&lt;&gt;"",_xlpm.CSVVal
)),"")</f>
        <v/>
      </c>
      <c r="M92" s="54" t="str">
        <f>_xlfn.LET(
    _xlpm.CSVVal, _xlfn.XLOOKUP($A92, CSV!$A:$A, CSV!AD:AD, ""),
    _xlpm.MacVal, _xlfn.XLOOKUP($A92, Output_Mac!$A:$A, Output_Mac!S:S, ""),
    _xlpm.MyAuditVal, _xlfn.XLOOKUP($A92, My_Audit!$A:$A, My_Audit!N:N, ""),
    _xlfn.TEXTJOIN(", ", TRUE, _xlpm.MyAuditVal, _xlpm.MacVal, _xlpm.CSVVal)
)</f>
        <v/>
      </c>
      <c r="N92" s="54" t="str" cm="1">
        <f t="array" ref="N92">IFERROR(_xlfn.LET(
_xlpm.CSVVal,_xlfn.XLOOKUP($A92,CSV!$A:$A,CSV!AF:AF,""),
_xlpm.MacVal,_xlfn.XLOOKUP($A92,Output_Mac!$A:$A,Output_Mac!U:U,""),
_xlpm.MyAuditVal,_xlfn.XLOOKUP($A92,My_Audit!$A:$A,My_Audit!O:O,""),
_xlfn.IFS(_xlpm.MyAuditVal&lt;&gt;"",UPPER(_xlpm.MyAuditVal),_xlpm.MacVal&lt;&gt;"",_xlpm.MacVal,_xlpm.CSVVal&lt;&gt;"",_xlpm.CSVVal
)),"")</f>
        <v/>
      </c>
      <c r="O92" s="54"/>
      <c r="P92" s="54"/>
      <c r="Q92" s="54"/>
      <c r="R92" s="54"/>
      <c r="S92" s="54"/>
      <c r="T92" s="54"/>
      <c r="U92" s="39" t="str">
        <f>_xlfn.LET(
    _xlpm.MacVal, _xlfn.XLOOKUP($A92, Output_Mac!$A:$A, Output_Mac!AB:AB, ""),
    _xlpm.MyAuditVal, _xlfn.XLOOKUP($A92, My_Audit!$A:$A, My_Audit!L:L, ""),
    _xlfn.TEXTJOIN(", ", TRUE, _xlpm.MyAuditVal, _xlpm.MacVal)
)</f>
        <v/>
      </c>
    </row>
    <row r="93" spans="1:21">
      <c r="A93" s="54" t="str">
        <f>_xlfn.TEXTJOIN("",TRUE,Input!$B$2,ROW(My_Audit!A92))</f>
        <v>XX92</v>
      </c>
      <c r="B93" s="54" t="str">
        <f>_xlfn.TEXTJOIN("-",TRUE,"ITD",Input!$A$2,A93)</f>
        <v>ITD-SHRXXX-XX92</v>
      </c>
      <c r="C93" s="54" t="str" cm="1">
        <f t="array" ref="C93">IFERROR(_xlfn.LET(
_xlpm.CSVVal,_xlfn.XLOOKUP($A93,CSV!$A:$A,CSV!B:B,""),
_xlpm.MacVal,_xlfn.XLOOKUP($A93,Output_Mac!$A:$A,Output_Mac!B:B,""),
_xlpm.MyAuditVal,_xlfn.XLOOKUP($A93,My_Audit!$A:$A,My_Audit!B:B,""),
_xlfn.IFS(_xlpm.MyAuditVal&lt;&gt;"",UPPER(_xlpm.MyAuditVal),_xlpm.MacVal&lt;&gt;"",_xlpm.MacVal,_xlpm.CSVVal&lt;&gt;"",_xlpm.CSVVal
)),"")</f>
        <v/>
      </c>
      <c r="D93" s="55" t="str">
        <f>_xlfn.XLOOKUP(A93,My_Audit!A:A,My_Audit!D:D,"")&amp;""</f>
        <v/>
      </c>
      <c r="E93" s="55" t="str" cm="1">
        <f t="array" ref="E93">IFERROR(_xlfn.LET(
_xlpm.CSVVal,_xlfn.XLOOKUP($A93,CSV!$A:$A,CSV!D:D,""),
_xlpm.MacVal,_xlfn.XLOOKUP($A93,Output_Mac!$A:$A,Output_Mac!C:C,""),
_xlpm.MyAuditVal,_xlfn.XLOOKUP($A93,My_Audit!$A:$A,My_Audit!D:D,""),
_xlfn.IFS(_xlpm.MyAuditVal&lt;&gt;"",_xlpm.MyAuditVal,_xlpm.MacVal&lt;&gt;"",_xlpm.MacVal,_xlpm.CSVVal&lt;&gt;"",_xlpm.CSVVal
)),"")</f>
        <v/>
      </c>
      <c r="F93" s="54" t="str" cm="1">
        <f t="array" ref="F93">IFERROR(_xlfn.LET(
_xlpm.CSVVal,_xlfn.XLOOKUP($A93,CSV!$A:$A,CSV!E:E,""),
_xlpm.MacVal,_xlfn.XLOOKUP($A93,Output_Mac!$A:$A,Output_Mac!F:F,""),
_xlpm.MyAuditVal,_xlfn.XLOOKUP($A93,My_Audit!$A:$A,My_Audit!E:E,""),
_xlfn.IFS(_xlpm.MyAuditVal&lt;&gt;"",_xlpm.MyAuditVal,_xlpm.MacVal&lt;&gt;"",_xlpm.MacVal,_xlpm.CSVVal&lt;&gt;"",PROPER(_xlpm.CSVVal)
)),"")</f>
        <v/>
      </c>
      <c r="G93" s="54" t="str" cm="1">
        <f t="array" ref="G93">IFERROR(_xlfn.LET(
_xlpm.CSVVal,_xlfn.XLOOKUP($A93,CSV!$A:$A,CSV!F:F,""),
_xlpm.MacVal,_xlfn.XLOOKUP($A93,Output_Mac!$A:$A,Output_Mac!H:H,""),
_xlpm.MyAuditVal,_xlfn.XLOOKUP($A93,My_Audit!$A:$A,My_Audit!F:F,""),
_xlfn.IFS(_xlpm.MyAuditVal&lt;&gt;"",_xlpm.MyAuditVal,_xlpm.MacVal&lt;&gt;"",_xlpm.MacVal,_xlpm.CSVVal&lt;&gt;"",_xlpm.CSVVal
)),"")</f>
        <v/>
      </c>
      <c r="H93" s="54" t="str">
        <f>_xlfn.XLOOKUP(A93,Output_Mac!A:A,Output_Mac!I:I,"")</f>
        <v/>
      </c>
      <c r="I93" s="54" t="str" cm="1">
        <f t="array" ref="I93">IFERROR(_xlfn.LET(
_xlpm.CSVVal,_xlfn.XLOOKUP($A93,CSV!$A:$A,CSV!G:G,""),
_xlpm.MacVal,_xlfn.XLOOKUP($A93,Output_Mac!$A:$A,Output_Mac!J:J,""),
_xlpm.MyAuditVal,_xlfn.XLOOKUP($A93,My_Audit!$A:$A,My_Audit!H:H,""),
_xlfn.IFS(_xlpm.MyAuditVal&lt;&gt;"",UPPER(_xlpm.MyAuditVal),_xlpm.MacVal&lt;&gt;"",_xlpm.MacVal,_xlpm.CSVVal&lt;&gt;"",_xlpm.CSVVal
)),"")</f>
        <v/>
      </c>
      <c r="J93" s="54" t="str" cm="1">
        <f t="array" ref="J93">IFERROR(_xlfn.LET(
_xlpm.CSVVal,_xlfn.XLOOKUP($A93,CSV!$A:$A,CSV!I:I,""),
_xlpm.MacVal,_xlfn.XLOOKUP($A93,Output_Mac!$A:$A,Output_Mac!K:K,""),
_xlpm.MyAuditVal,_xlfn.XLOOKUP($A93,My_Audit!$A:$A,My_Audit!I:I,""),
_xlfn.IFS(_xlpm.MyAuditVal&lt;&gt;"",UPPER(_xlpm.MyAuditVal),_xlpm.MacVal&lt;&gt;"",_xlpm.MacVal,_xlpm.CSVVal&lt;&gt;"",_xlpm.CSVVal
)),"")</f>
        <v/>
      </c>
      <c r="K93" s="54" t="str" cm="1">
        <f t="array" ref="K93">IFERROR(_xlfn.LET(
_xlpm.CSVVal,_xlfn.XLOOKUP($A93,CSV!$A:$A,CSV!M:M,""),
_xlpm.MacVal,_xlfn.XLOOKUP($A93,Output_Mac!$A:$A,Output_Mac!L:L,""),
_xlpm.MyAuditVal,_xlfn.XLOOKUP($A93,My_Audit!$A:$A,My_Audit!J:J,""),
_xlfn.IFS(_xlpm.MyAuditVal&lt;&gt;"",UPPER(_xlpm.MyAuditVal),_xlpm.MacVal&lt;&gt;"",_xlpm.MacVal,_xlpm.CSVVal&lt;&gt;"",_xlpm.CSVVal
)),"")</f>
        <v/>
      </c>
      <c r="L93" s="55" t="str" cm="1">
        <f t="array" ref="L93">IFERROR(_xlfn.LET(
_xlpm.CSVVal,_xlfn.XLOOKUP($A93,CSV!$A:$A,CSV!P:P,""),
_xlpm.MacVal,_xlfn.XLOOKUP($A93,Output_Mac!$A:$A,Output_Mac!M:M,""),
_xlpm.MyAuditVal,_xlfn.XLOOKUP($A93,My_Audit!$A:$A,My_Audit!K:K,""),
_xlfn.IFS(_xlpm.MyAuditVal&lt;&gt;"",UPPER(_xlpm.MyAuditVal),_xlpm.MacVal&lt;&gt;"",_xlpm.MacVal,_xlpm.CSVVal&lt;&gt;"",_xlpm.CSVVal
)),"")</f>
        <v/>
      </c>
      <c r="M93" s="54" t="str">
        <f>_xlfn.LET(
    _xlpm.CSVVal, _xlfn.XLOOKUP($A93, CSV!$A:$A, CSV!AD:AD, ""),
    _xlpm.MacVal, _xlfn.XLOOKUP($A93, Output_Mac!$A:$A, Output_Mac!S:S, ""),
    _xlpm.MyAuditVal, _xlfn.XLOOKUP($A93, My_Audit!$A:$A, My_Audit!N:N, ""),
    _xlfn.TEXTJOIN(", ", TRUE, _xlpm.MyAuditVal, _xlpm.MacVal, _xlpm.CSVVal)
)</f>
        <v/>
      </c>
      <c r="N93" s="54" t="str" cm="1">
        <f t="array" ref="N93">IFERROR(_xlfn.LET(
_xlpm.CSVVal,_xlfn.XLOOKUP($A93,CSV!$A:$A,CSV!AF:AF,""),
_xlpm.MacVal,_xlfn.XLOOKUP($A93,Output_Mac!$A:$A,Output_Mac!U:U,""),
_xlpm.MyAuditVal,_xlfn.XLOOKUP($A93,My_Audit!$A:$A,My_Audit!O:O,""),
_xlfn.IFS(_xlpm.MyAuditVal&lt;&gt;"",UPPER(_xlpm.MyAuditVal),_xlpm.MacVal&lt;&gt;"",_xlpm.MacVal,_xlpm.CSVVal&lt;&gt;"",_xlpm.CSVVal
)),"")</f>
        <v/>
      </c>
      <c r="O93" s="54"/>
      <c r="P93" s="54"/>
      <c r="Q93" s="54"/>
      <c r="R93" s="54"/>
      <c r="S93" s="54"/>
      <c r="T93" s="54"/>
      <c r="U93" s="39" t="str">
        <f>_xlfn.LET(
    _xlpm.MacVal, _xlfn.XLOOKUP($A93, Output_Mac!$A:$A, Output_Mac!AB:AB, ""),
    _xlpm.MyAuditVal, _xlfn.XLOOKUP($A93, My_Audit!$A:$A, My_Audit!L:L, ""),
    _xlfn.TEXTJOIN(", ", TRUE, _xlpm.MyAuditVal, _xlpm.MacVal)
)</f>
        <v/>
      </c>
    </row>
    <row r="94" spans="1:21">
      <c r="A94" s="54" t="str">
        <f>_xlfn.TEXTJOIN("",TRUE,Input!$B$2,ROW(My_Audit!A93))</f>
        <v>XX93</v>
      </c>
      <c r="B94" s="54" t="str">
        <f>_xlfn.TEXTJOIN("-",TRUE,"ITD",Input!$A$2,A94)</f>
        <v>ITD-SHRXXX-XX93</v>
      </c>
      <c r="C94" s="54" t="str" cm="1">
        <f t="array" ref="C94">IFERROR(_xlfn.LET(
_xlpm.CSVVal,_xlfn.XLOOKUP($A94,CSV!$A:$A,CSV!B:B,""),
_xlpm.MacVal,_xlfn.XLOOKUP($A94,Output_Mac!$A:$A,Output_Mac!B:B,""),
_xlpm.MyAuditVal,_xlfn.XLOOKUP($A94,My_Audit!$A:$A,My_Audit!B:B,""),
_xlfn.IFS(_xlpm.MyAuditVal&lt;&gt;"",UPPER(_xlpm.MyAuditVal),_xlpm.MacVal&lt;&gt;"",_xlpm.MacVal,_xlpm.CSVVal&lt;&gt;"",_xlpm.CSVVal
)),"")</f>
        <v/>
      </c>
      <c r="D94" s="55" t="str">
        <f>_xlfn.XLOOKUP(A94,My_Audit!A:A,My_Audit!D:D,"")&amp;""</f>
        <v/>
      </c>
      <c r="E94" s="55" t="str" cm="1">
        <f t="array" ref="E94">IFERROR(_xlfn.LET(
_xlpm.CSVVal,_xlfn.XLOOKUP($A94,CSV!$A:$A,CSV!D:D,""),
_xlpm.MacVal,_xlfn.XLOOKUP($A94,Output_Mac!$A:$A,Output_Mac!C:C,""),
_xlpm.MyAuditVal,_xlfn.XLOOKUP($A94,My_Audit!$A:$A,My_Audit!D:D,""),
_xlfn.IFS(_xlpm.MyAuditVal&lt;&gt;"",_xlpm.MyAuditVal,_xlpm.MacVal&lt;&gt;"",_xlpm.MacVal,_xlpm.CSVVal&lt;&gt;"",_xlpm.CSVVal
)),"")</f>
        <v/>
      </c>
      <c r="F94" s="54" t="str" cm="1">
        <f t="array" ref="F94">IFERROR(_xlfn.LET(
_xlpm.CSVVal,_xlfn.XLOOKUP($A94,CSV!$A:$A,CSV!E:E,""),
_xlpm.MacVal,_xlfn.XLOOKUP($A94,Output_Mac!$A:$A,Output_Mac!F:F,""),
_xlpm.MyAuditVal,_xlfn.XLOOKUP($A94,My_Audit!$A:$A,My_Audit!E:E,""),
_xlfn.IFS(_xlpm.MyAuditVal&lt;&gt;"",_xlpm.MyAuditVal,_xlpm.MacVal&lt;&gt;"",_xlpm.MacVal,_xlpm.CSVVal&lt;&gt;"",PROPER(_xlpm.CSVVal)
)),"")</f>
        <v/>
      </c>
      <c r="G94" s="54" t="str" cm="1">
        <f t="array" ref="G94">IFERROR(_xlfn.LET(
_xlpm.CSVVal,_xlfn.XLOOKUP($A94,CSV!$A:$A,CSV!F:F,""),
_xlpm.MacVal,_xlfn.XLOOKUP($A94,Output_Mac!$A:$A,Output_Mac!H:H,""),
_xlpm.MyAuditVal,_xlfn.XLOOKUP($A94,My_Audit!$A:$A,My_Audit!F:F,""),
_xlfn.IFS(_xlpm.MyAuditVal&lt;&gt;"",_xlpm.MyAuditVal,_xlpm.MacVal&lt;&gt;"",_xlpm.MacVal,_xlpm.CSVVal&lt;&gt;"",_xlpm.CSVVal
)),"")</f>
        <v/>
      </c>
      <c r="H94" s="54" t="str">
        <f>_xlfn.XLOOKUP(A94,Output_Mac!A:A,Output_Mac!I:I,"")</f>
        <v/>
      </c>
      <c r="I94" s="54" t="str" cm="1">
        <f t="array" ref="I94">IFERROR(_xlfn.LET(
_xlpm.CSVVal,_xlfn.XLOOKUP($A94,CSV!$A:$A,CSV!G:G,""),
_xlpm.MacVal,_xlfn.XLOOKUP($A94,Output_Mac!$A:$A,Output_Mac!J:J,""),
_xlpm.MyAuditVal,_xlfn.XLOOKUP($A94,My_Audit!$A:$A,My_Audit!H:H,""),
_xlfn.IFS(_xlpm.MyAuditVal&lt;&gt;"",UPPER(_xlpm.MyAuditVal),_xlpm.MacVal&lt;&gt;"",_xlpm.MacVal,_xlpm.CSVVal&lt;&gt;"",_xlpm.CSVVal
)),"")</f>
        <v/>
      </c>
      <c r="J94" s="54" t="str" cm="1">
        <f t="array" ref="J94">IFERROR(_xlfn.LET(
_xlpm.CSVVal,_xlfn.XLOOKUP($A94,CSV!$A:$A,CSV!I:I,""),
_xlpm.MacVal,_xlfn.XLOOKUP($A94,Output_Mac!$A:$A,Output_Mac!K:K,""),
_xlpm.MyAuditVal,_xlfn.XLOOKUP($A94,My_Audit!$A:$A,My_Audit!I:I,""),
_xlfn.IFS(_xlpm.MyAuditVal&lt;&gt;"",UPPER(_xlpm.MyAuditVal),_xlpm.MacVal&lt;&gt;"",_xlpm.MacVal,_xlpm.CSVVal&lt;&gt;"",_xlpm.CSVVal
)),"")</f>
        <v/>
      </c>
      <c r="K94" s="54" t="str" cm="1">
        <f t="array" ref="K94">IFERROR(_xlfn.LET(
_xlpm.CSVVal,_xlfn.XLOOKUP($A94,CSV!$A:$A,CSV!M:M,""),
_xlpm.MacVal,_xlfn.XLOOKUP($A94,Output_Mac!$A:$A,Output_Mac!L:L,""),
_xlpm.MyAuditVal,_xlfn.XLOOKUP($A94,My_Audit!$A:$A,My_Audit!J:J,""),
_xlfn.IFS(_xlpm.MyAuditVal&lt;&gt;"",UPPER(_xlpm.MyAuditVal),_xlpm.MacVal&lt;&gt;"",_xlpm.MacVal,_xlpm.CSVVal&lt;&gt;"",_xlpm.CSVVal
)),"")</f>
        <v/>
      </c>
      <c r="L94" s="55" t="str" cm="1">
        <f t="array" ref="L94">IFERROR(_xlfn.LET(
_xlpm.CSVVal,_xlfn.XLOOKUP($A94,CSV!$A:$A,CSV!P:P,""),
_xlpm.MacVal,_xlfn.XLOOKUP($A94,Output_Mac!$A:$A,Output_Mac!M:M,""),
_xlpm.MyAuditVal,_xlfn.XLOOKUP($A94,My_Audit!$A:$A,My_Audit!K:K,""),
_xlfn.IFS(_xlpm.MyAuditVal&lt;&gt;"",UPPER(_xlpm.MyAuditVal),_xlpm.MacVal&lt;&gt;"",_xlpm.MacVal,_xlpm.CSVVal&lt;&gt;"",_xlpm.CSVVal
)),"")</f>
        <v/>
      </c>
      <c r="M94" s="54" t="str">
        <f>_xlfn.LET(
    _xlpm.CSVVal, _xlfn.XLOOKUP($A94, CSV!$A:$A, CSV!AD:AD, ""),
    _xlpm.MacVal, _xlfn.XLOOKUP($A94, Output_Mac!$A:$A, Output_Mac!S:S, ""),
    _xlpm.MyAuditVal, _xlfn.XLOOKUP($A94, My_Audit!$A:$A, My_Audit!N:N, ""),
    _xlfn.TEXTJOIN(", ", TRUE, _xlpm.MyAuditVal, _xlpm.MacVal, _xlpm.CSVVal)
)</f>
        <v/>
      </c>
      <c r="N94" s="54" t="str" cm="1">
        <f t="array" ref="N94">IFERROR(_xlfn.LET(
_xlpm.CSVVal,_xlfn.XLOOKUP($A94,CSV!$A:$A,CSV!AF:AF,""),
_xlpm.MacVal,_xlfn.XLOOKUP($A94,Output_Mac!$A:$A,Output_Mac!U:U,""),
_xlpm.MyAuditVal,_xlfn.XLOOKUP($A94,My_Audit!$A:$A,My_Audit!O:O,""),
_xlfn.IFS(_xlpm.MyAuditVal&lt;&gt;"",UPPER(_xlpm.MyAuditVal),_xlpm.MacVal&lt;&gt;"",_xlpm.MacVal,_xlpm.CSVVal&lt;&gt;"",_xlpm.CSVVal
)),"")</f>
        <v/>
      </c>
      <c r="O94" s="54"/>
      <c r="P94" s="54"/>
      <c r="Q94" s="54"/>
      <c r="R94" s="54"/>
      <c r="S94" s="54"/>
      <c r="T94" s="54"/>
      <c r="U94" s="39" t="str">
        <f>_xlfn.LET(
    _xlpm.MacVal, _xlfn.XLOOKUP($A94, Output_Mac!$A:$A, Output_Mac!AB:AB, ""),
    _xlpm.MyAuditVal, _xlfn.XLOOKUP($A94, My_Audit!$A:$A, My_Audit!L:L, ""),
    _xlfn.TEXTJOIN(", ", TRUE, _xlpm.MyAuditVal, _xlpm.MacVal)
)</f>
        <v/>
      </c>
    </row>
    <row r="95" spans="1:21">
      <c r="A95" s="54" t="str">
        <f>_xlfn.TEXTJOIN("",TRUE,Input!$B$2,ROW(My_Audit!A94))</f>
        <v>XX94</v>
      </c>
      <c r="B95" s="54" t="str">
        <f>_xlfn.TEXTJOIN("-",TRUE,"ITD",Input!$A$2,A95)</f>
        <v>ITD-SHRXXX-XX94</v>
      </c>
      <c r="C95" s="54" t="str" cm="1">
        <f t="array" ref="C95">IFERROR(_xlfn.LET(
_xlpm.CSVVal,_xlfn.XLOOKUP($A95,CSV!$A:$A,CSV!B:B,""),
_xlpm.MacVal,_xlfn.XLOOKUP($A95,Output_Mac!$A:$A,Output_Mac!B:B,""),
_xlpm.MyAuditVal,_xlfn.XLOOKUP($A95,My_Audit!$A:$A,My_Audit!B:B,""),
_xlfn.IFS(_xlpm.MyAuditVal&lt;&gt;"",UPPER(_xlpm.MyAuditVal),_xlpm.MacVal&lt;&gt;"",_xlpm.MacVal,_xlpm.CSVVal&lt;&gt;"",_xlpm.CSVVal
)),"")</f>
        <v/>
      </c>
      <c r="D95" s="55" t="str">
        <f>_xlfn.XLOOKUP(A95,My_Audit!A:A,My_Audit!D:D,"")&amp;""</f>
        <v/>
      </c>
      <c r="E95" s="55" t="str" cm="1">
        <f t="array" ref="E95">IFERROR(_xlfn.LET(
_xlpm.CSVVal,_xlfn.XLOOKUP($A95,CSV!$A:$A,CSV!D:D,""),
_xlpm.MacVal,_xlfn.XLOOKUP($A95,Output_Mac!$A:$A,Output_Mac!C:C,""),
_xlpm.MyAuditVal,_xlfn.XLOOKUP($A95,My_Audit!$A:$A,My_Audit!D:D,""),
_xlfn.IFS(_xlpm.MyAuditVal&lt;&gt;"",_xlpm.MyAuditVal,_xlpm.MacVal&lt;&gt;"",_xlpm.MacVal,_xlpm.CSVVal&lt;&gt;"",_xlpm.CSVVal
)),"")</f>
        <v/>
      </c>
      <c r="F95" s="54" t="str" cm="1">
        <f t="array" ref="F95">IFERROR(_xlfn.LET(
_xlpm.CSVVal,_xlfn.XLOOKUP($A95,CSV!$A:$A,CSV!E:E,""),
_xlpm.MacVal,_xlfn.XLOOKUP($A95,Output_Mac!$A:$A,Output_Mac!F:F,""),
_xlpm.MyAuditVal,_xlfn.XLOOKUP($A95,My_Audit!$A:$A,My_Audit!E:E,""),
_xlfn.IFS(_xlpm.MyAuditVal&lt;&gt;"",_xlpm.MyAuditVal,_xlpm.MacVal&lt;&gt;"",_xlpm.MacVal,_xlpm.CSVVal&lt;&gt;"",PROPER(_xlpm.CSVVal)
)),"")</f>
        <v/>
      </c>
      <c r="G95" s="54" t="str" cm="1">
        <f t="array" ref="G95">IFERROR(_xlfn.LET(
_xlpm.CSVVal,_xlfn.XLOOKUP($A95,CSV!$A:$A,CSV!F:F,""),
_xlpm.MacVal,_xlfn.XLOOKUP($A95,Output_Mac!$A:$A,Output_Mac!H:H,""),
_xlpm.MyAuditVal,_xlfn.XLOOKUP($A95,My_Audit!$A:$A,My_Audit!F:F,""),
_xlfn.IFS(_xlpm.MyAuditVal&lt;&gt;"",_xlpm.MyAuditVal,_xlpm.MacVal&lt;&gt;"",_xlpm.MacVal,_xlpm.CSVVal&lt;&gt;"",_xlpm.CSVVal
)),"")</f>
        <v/>
      </c>
      <c r="H95" s="54" t="str">
        <f>_xlfn.XLOOKUP(A95,Output_Mac!A:A,Output_Mac!I:I,"")</f>
        <v/>
      </c>
      <c r="I95" s="54" t="str" cm="1">
        <f t="array" ref="I95">IFERROR(_xlfn.LET(
_xlpm.CSVVal,_xlfn.XLOOKUP($A95,CSV!$A:$A,CSV!G:G,""),
_xlpm.MacVal,_xlfn.XLOOKUP($A95,Output_Mac!$A:$A,Output_Mac!J:J,""),
_xlpm.MyAuditVal,_xlfn.XLOOKUP($A95,My_Audit!$A:$A,My_Audit!H:H,""),
_xlfn.IFS(_xlpm.MyAuditVal&lt;&gt;"",UPPER(_xlpm.MyAuditVal),_xlpm.MacVal&lt;&gt;"",_xlpm.MacVal,_xlpm.CSVVal&lt;&gt;"",_xlpm.CSVVal
)),"")</f>
        <v/>
      </c>
      <c r="J95" s="54" t="str" cm="1">
        <f t="array" ref="J95">IFERROR(_xlfn.LET(
_xlpm.CSVVal,_xlfn.XLOOKUP($A95,CSV!$A:$A,CSV!I:I,""),
_xlpm.MacVal,_xlfn.XLOOKUP($A95,Output_Mac!$A:$A,Output_Mac!K:K,""),
_xlpm.MyAuditVal,_xlfn.XLOOKUP($A95,My_Audit!$A:$A,My_Audit!I:I,""),
_xlfn.IFS(_xlpm.MyAuditVal&lt;&gt;"",UPPER(_xlpm.MyAuditVal),_xlpm.MacVal&lt;&gt;"",_xlpm.MacVal,_xlpm.CSVVal&lt;&gt;"",_xlpm.CSVVal
)),"")</f>
        <v/>
      </c>
      <c r="K95" s="54" t="str" cm="1">
        <f t="array" ref="K95">IFERROR(_xlfn.LET(
_xlpm.CSVVal,_xlfn.XLOOKUP($A95,CSV!$A:$A,CSV!M:M,""),
_xlpm.MacVal,_xlfn.XLOOKUP($A95,Output_Mac!$A:$A,Output_Mac!L:L,""),
_xlpm.MyAuditVal,_xlfn.XLOOKUP($A95,My_Audit!$A:$A,My_Audit!J:J,""),
_xlfn.IFS(_xlpm.MyAuditVal&lt;&gt;"",UPPER(_xlpm.MyAuditVal),_xlpm.MacVal&lt;&gt;"",_xlpm.MacVal,_xlpm.CSVVal&lt;&gt;"",_xlpm.CSVVal
)),"")</f>
        <v/>
      </c>
      <c r="L95" s="55" t="str" cm="1">
        <f t="array" ref="L95">IFERROR(_xlfn.LET(
_xlpm.CSVVal,_xlfn.XLOOKUP($A95,CSV!$A:$A,CSV!P:P,""),
_xlpm.MacVal,_xlfn.XLOOKUP($A95,Output_Mac!$A:$A,Output_Mac!M:M,""),
_xlpm.MyAuditVal,_xlfn.XLOOKUP($A95,My_Audit!$A:$A,My_Audit!K:K,""),
_xlfn.IFS(_xlpm.MyAuditVal&lt;&gt;"",UPPER(_xlpm.MyAuditVal),_xlpm.MacVal&lt;&gt;"",_xlpm.MacVal,_xlpm.CSVVal&lt;&gt;"",_xlpm.CSVVal
)),"")</f>
        <v/>
      </c>
      <c r="M95" s="54" t="str">
        <f>_xlfn.LET(
    _xlpm.CSVVal, _xlfn.XLOOKUP($A95, CSV!$A:$A, CSV!AD:AD, ""),
    _xlpm.MacVal, _xlfn.XLOOKUP($A95, Output_Mac!$A:$A, Output_Mac!S:S, ""),
    _xlpm.MyAuditVal, _xlfn.XLOOKUP($A95, My_Audit!$A:$A, My_Audit!N:N, ""),
    _xlfn.TEXTJOIN(", ", TRUE, _xlpm.MyAuditVal, _xlpm.MacVal, _xlpm.CSVVal)
)</f>
        <v/>
      </c>
      <c r="N95" s="54" t="str" cm="1">
        <f t="array" ref="N95">IFERROR(_xlfn.LET(
_xlpm.CSVVal,_xlfn.XLOOKUP($A95,CSV!$A:$A,CSV!AF:AF,""),
_xlpm.MacVal,_xlfn.XLOOKUP($A95,Output_Mac!$A:$A,Output_Mac!U:U,""),
_xlpm.MyAuditVal,_xlfn.XLOOKUP($A95,My_Audit!$A:$A,My_Audit!O:O,""),
_xlfn.IFS(_xlpm.MyAuditVal&lt;&gt;"",UPPER(_xlpm.MyAuditVal),_xlpm.MacVal&lt;&gt;"",_xlpm.MacVal,_xlpm.CSVVal&lt;&gt;"",_xlpm.CSVVal
)),"")</f>
        <v/>
      </c>
      <c r="O95" s="54"/>
      <c r="P95" s="54"/>
      <c r="Q95" s="54"/>
      <c r="R95" s="54"/>
      <c r="S95" s="54"/>
      <c r="T95" s="54"/>
      <c r="U95" s="39" t="str">
        <f>_xlfn.LET(
    _xlpm.MacVal, _xlfn.XLOOKUP($A95, Output_Mac!$A:$A, Output_Mac!AB:AB, ""),
    _xlpm.MyAuditVal, _xlfn.XLOOKUP($A95, My_Audit!$A:$A, My_Audit!L:L, ""),
    _xlfn.TEXTJOIN(", ", TRUE, _xlpm.MyAuditVal, _xlpm.MacVal)
)</f>
        <v/>
      </c>
    </row>
    <row r="96" spans="1:21">
      <c r="A96" s="54" t="str">
        <f>_xlfn.TEXTJOIN("",TRUE,Input!$B$2,ROW(My_Audit!A95))</f>
        <v>XX95</v>
      </c>
      <c r="B96" s="54" t="str">
        <f>_xlfn.TEXTJOIN("-",TRUE,"ITD",Input!$A$2,A96)</f>
        <v>ITD-SHRXXX-XX95</v>
      </c>
      <c r="C96" s="54" t="str" cm="1">
        <f t="array" ref="C96">IFERROR(_xlfn.LET(
_xlpm.CSVVal,_xlfn.XLOOKUP($A96,CSV!$A:$A,CSV!B:B,""),
_xlpm.MacVal,_xlfn.XLOOKUP($A96,Output_Mac!$A:$A,Output_Mac!B:B,""),
_xlpm.MyAuditVal,_xlfn.XLOOKUP($A96,My_Audit!$A:$A,My_Audit!B:B,""),
_xlfn.IFS(_xlpm.MyAuditVal&lt;&gt;"",UPPER(_xlpm.MyAuditVal),_xlpm.MacVal&lt;&gt;"",_xlpm.MacVal,_xlpm.CSVVal&lt;&gt;"",_xlpm.CSVVal
)),"")</f>
        <v/>
      </c>
      <c r="D96" s="55" t="str">
        <f>_xlfn.XLOOKUP(A96,My_Audit!A:A,My_Audit!D:D,"")&amp;""</f>
        <v/>
      </c>
      <c r="E96" s="55" t="str" cm="1">
        <f t="array" ref="E96">IFERROR(_xlfn.LET(
_xlpm.CSVVal,_xlfn.XLOOKUP($A96,CSV!$A:$A,CSV!D:D,""),
_xlpm.MacVal,_xlfn.XLOOKUP($A96,Output_Mac!$A:$A,Output_Mac!C:C,""),
_xlpm.MyAuditVal,_xlfn.XLOOKUP($A96,My_Audit!$A:$A,My_Audit!D:D,""),
_xlfn.IFS(_xlpm.MyAuditVal&lt;&gt;"",_xlpm.MyAuditVal,_xlpm.MacVal&lt;&gt;"",_xlpm.MacVal,_xlpm.CSVVal&lt;&gt;"",_xlpm.CSVVal
)),"")</f>
        <v/>
      </c>
      <c r="F96" s="54" t="str" cm="1">
        <f t="array" ref="F96">IFERROR(_xlfn.LET(
_xlpm.CSVVal,_xlfn.XLOOKUP($A96,CSV!$A:$A,CSV!E:E,""),
_xlpm.MacVal,_xlfn.XLOOKUP($A96,Output_Mac!$A:$A,Output_Mac!F:F,""),
_xlpm.MyAuditVal,_xlfn.XLOOKUP($A96,My_Audit!$A:$A,My_Audit!E:E,""),
_xlfn.IFS(_xlpm.MyAuditVal&lt;&gt;"",_xlpm.MyAuditVal,_xlpm.MacVal&lt;&gt;"",_xlpm.MacVal,_xlpm.CSVVal&lt;&gt;"",PROPER(_xlpm.CSVVal)
)),"")</f>
        <v/>
      </c>
      <c r="G96" s="54" t="str" cm="1">
        <f t="array" ref="G96">IFERROR(_xlfn.LET(
_xlpm.CSVVal,_xlfn.XLOOKUP($A96,CSV!$A:$A,CSV!F:F,""),
_xlpm.MacVal,_xlfn.XLOOKUP($A96,Output_Mac!$A:$A,Output_Mac!H:H,""),
_xlpm.MyAuditVal,_xlfn.XLOOKUP($A96,My_Audit!$A:$A,My_Audit!F:F,""),
_xlfn.IFS(_xlpm.MyAuditVal&lt;&gt;"",_xlpm.MyAuditVal,_xlpm.MacVal&lt;&gt;"",_xlpm.MacVal,_xlpm.CSVVal&lt;&gt;"",_xlpm.CSVVal
)),"")</f>
        <v/>
      </c>
      <c r="H96" s="54" t="str">
        <f>_xlfn.XLOOKUP(A96,Output_Mac!A:A,Output_Mac!I:I,"")</f>
        <v/>
      </c>
      <c r="I96" s="54" t="str" cm="1">
        <f t="array" ref="I96">IFERROR(_xlfn.LET(
_xlpm.CSVVal,_xlfn.XLOOKUP($A96,CSV!$A:$A,CSV!G:G,""),
_xlpm.MacVal,_xlfn.XLOOKUP($A96,Output_Mac!$A:$A,Output_Mac!J:J,""),
_xlpm.MyAuditVal,_xlfn.XLOOKUP($A96,My_Audit!$A:$A,My_Audit!H:H,""),
_xlfn.IFS(_xlpm.MyAuditVal&lt;&gt;"",UPPER(_xlpm.MyAuditVal),_xlpm.MacVal&lt;&gt;"",_xlpm.MacVal,_xlpm.CSVVal&lt;&gt;"",_xlpm.CSVVal
)),"")</f>
        <v/>
      </c>
      <c r="J96" s="54" t="str" cm="1">
        <f t="array" ref="J96">IFERROR(_xlfn.LET(
_xlpm.CSVVal,_xlfn.XLOOKUP($A96,CSV!$A:$A,CSV!I:I,""),
_xlpm.MacVal,_xlfn.XLOOKUP($A96,Output_Mac!$A:$A,Output_Mac!K:K,""),
_xlpm.MyAuditVal,_xlfn.XLOOKUP($A96,My_Audit!$A:$A,My_Audit!I:I,""),
_xlfn.IFS(_xlpm.MyAuditVal&lt;&gt;"",UPPER(_xlpm.MyAuditVal),_xlpm.MacVal&lt;&gt;"",_xlpm.MacVal,_xlpm.CSVVal&lt;&gt;"",_xlpm.CSVVal
)),"")</f>
        <v/>
      </c>
      <c r="K96" s="54" t="str" cm="1">
        <f t="array" ref="K96">IFERROR(_xlfn.LET(
_xlpm.CSVVal,_xlfn.XLOOKUP($A96,CSV!$A:$A,CSV!M:M,""),
_xlpm.MacVal,_xlfn.XLOOKUP($A96,Output_Mac!$A:$A,Output_Mac!L:L,""),
_xlpm.MyAuditVal,_xlfn.XLOOKUP($A96,My_Audit!$A:$A,My_Audit!J:J,""),
_xlfn.IFS(_xlpm.MyAuditVal&lt;&gt;"",UPPER(_xlpm.MyAuditVal),_xlpm.MacVal&lt;&gt;"",_xlpm.MacVal,_xlpm.CSVVal&lt;&gt;"",_xlpm.CSVVal
)),"")</f>
        <v/>
      </c>
      <c r="L96" s="55" t="str" cm="1">
        <f t="array" ref="L96">IFERROR(_xlfn.LET(
_xlpm.CSVVal,_xlfn.XLOOKUP($A96,CSV!$A:$A,CSV!P:P,""),
_xlpm.MacVal,_xlfn.XLOOKUP($A96,Output_Mac!$A:$A,Output_Mac!M:M,""),
_xlpm.MyAuditVal,_xlfn.XLOOKUP($A96,My_Audit!$A:$A,My_Audit!K:K,""),
_xlfn.IFS(_xlpm.MyAuditVal&lt;&gt;"",UPPER(_xlpm.MyAuditVal),_xlpm.MacVal&lt;&gt;"",_xlpm.MacVal,_xlpm.CSVVal&lt;&gt;"",_xlpm.CSVVal
)),"")</f>
        <v/>
      </c>
      <c r="M96" s="54" t="str">
        <f>_xlfn.LET(
    _xlpm.CSVVal, _xlfn.XLOOKUP($A96, CSV!$A:$A, CSV!AD:AD, ""),
    _xlpm.MacVal, _xlfn.XLOOKUP($A96, Output_Mac!$A:$A, Output_Mac!S:S, ""),
    _xlpm.MyAuditVal, _xlfn.XLOOKUP($A96, My_Audit!$A:$A, My_Audit!N:N, ""),
    _xlfn.TEXTJOIN(", ", TRUE, _xlpm.MyAuditVal, _xlpm.MacVal, _xlpm.CSVVal)
)</f>
        <v/>
      </c>
      <c r="N96" s="54" t="str" cm="1">
        <f t="array" ref="N96">IFERROR(_xlfn.LET(
_xlpm.CSVVal,_xlfn.XLOOKUP($A96,CSV!$A:$A,CSV!AF:AF,""),
_xlpm.MacVal,_xlfn.XLOOKUP($A96,Output_Mac!$A:$A,Output_Mac!U:U,""),
_xlpm.MyAuditVal,_xlfn.XLOOKUP($A96,My_Audit!$A:$A,My_Audit!O:O,""),
_xlfn.IFS(_xlpm.MyAuditVal&lt;&gt;"",UPPER(_xlpm.MyAuditVal),_xlpm.MacVal&lt;&gt;"",_xlpm.MacVal,_xlpm.CSVVal&lt;&gt;"",_xlpm.CSVVal
)),"")</f>
        <v/>
      </c>
      <c r="O96" s="54"/>
      <c r="P96" s="54"/>
      <c r="Q96" s="54"/>
      <c r="R96" s="54"/>
      <c r="S96" s="54"/>
      <c r="T96" s="54"/>
      <c r="U96" s="39" t="str">
        <f>_xlfn.LET(
    _xlpm.MacVal, _xlfn.XLOOKUP($A96, Output_Mac!$A:$A, Output_Mac!AB:AB, ""),
    _xlpm.MyAuditVal, _xlfn.XLOOKUP($A96, My_Audit!$A:$A, My_Audit!L:L, ""),
    _xlfn.TEXTJOIN(", ", TRUE, _xlpm.MyAuditVal, _xlpm.MacVal)
)</f>
        <v/>
      </c>
    </row>
    <row r="97" spans="1:21">
      <c r="A97" s="54" t="str">
        <f>_xlfn.TEXTJOIN("",TRUE,Input!$B$2,ROW(My_Audit!A96))</f>
        <v>XX96</v>
      </c>
      <c r="B97" s="54" t="str">
        <f>_xlfn.TEXTJOIN("-",TRUE,"ITD",Input!$A$2,A97)</f>
        <v>ITD-SHRXXX-XX96</v>
      </c>
      <c r="C97" s="54" t="str" cm="1">
        <f t="array" ref="C97">IFERROR(_xlfn.LET(
_xlpm.CSVVal,_xlfn.XLOOKUP($A97,CSV!$A:$A,CSV!B:B,""),
_xlpm.MacVal,_xlfn.XLOOKUP($A97,Output_Mac!$A:$A,Output_Mac!B:B,""),
_xlpm.MyAuditVal,_xlfn.XLOOKUP($A97,My_Audit!$A:$A,My_Audit!B:B,""),
_xlfn.IFS(_xlpm.MyAuditVal&lt;&gt;"",UPPER(_xlpm.MyAuditVal),_xlpm.MacVal&lt;&gt;"",_xlpm.MacVal,_xlpm.CSVVal&lt;&gt;"",_xlpm.CSVVal
)),"")</f>
        <v/>
      </c>
      <c r="D97" s="55" t="str">
        <f>_xlfn.XLOOKUP(A97,My_Audit!A:A,My_Audit!D:D,"")&amp;""</f>
        <v/>
      </c>
      <c r="E97" s="55" t="str" cm="1">
        <f t="array" ref="E97">IFERROR(_xlfn.LET(
_xlpm.CSVVal,_xlfn.XLOOKUP($A97,CSV!$A:$A,CSV!D:D,""),
_xlpm.MacVal,_xlfn.XLOOKUP($A97,Output_Mac!$A:$A,Output_Mac!C:C,""),
_xlpm.MyAuditVal,_xlfn.XLOOKUP($A97,My_Audit!$A:$A,My_Audit!D:D,""),
_xlfn.IFS(_xlpm.MyAuditVal&lt;&gt;"",_xlpm.MyAuditVal,_xlpm.MacVal&lt;&gt;"",_xlpm.MacVal,_xlpm.CSVVal&lt;&gt;"",_xlpm.CSVVal
)),"")</f>
        <v/>
      </c>
      <c r="F97" s="54" t="str" cm="1">
        <f t="array" ref="F97">IFERROR(_xlfn.LET(
_xlpm.CSVVal,_xlfn.XLOOKUP($A97,CSV!$A:$A,CSV!E:E,""),
_xlpm.MacVal,_xlfn.XLOOKUP($A97,Output_Mac!$A:$A,Output_Mac!F:F,""),
_xlpm.MyAuditVal,_xlfn.XLOOKUP($A97,My_Audit!$A:$A,My_Audit!E:E,""),
_xlfn.IFS(_xlpm.MyAuditVal&lt;&gt;"",_xlpm.MyAuditVal,_xlpm.MacVal&lt;&gt;"",_xlpm.MacVal,_xlpm.CSVVal&lt;&gt;"",PROPER(_xlpm.CSVVal)
)),"")</f>
        <v/>
      </c>
      <c r="G97" s="54" t="str" cm="1">
        <f t="array" ref="G97">IFERROR(_xlfn.LET(
_xlpm.CSVVal,_xlfn.XLOOKUP($A97,CSV!$A:$A,CSV!F:F,""),
_xlpm.MacVal,_xlfn.XLOOKUP($A97,Output_Mac!$A:$A,Output_Mac!H:H,""),
_xlpm.MyAuditVal,_xlfn.XLOOKUP($A97,My_Audit!$A:$A,My_Audit!F:F,""),
_xlfn.IFS(_xlpm.MyAuditVal&lt;&gt;"",_xlpm.MyAuditVal,_xlpm.MacVal&lt;&gt;"",_xlpm.MacVal,_xlpm.CSVVal&lt;&gt;"",_xlpm.CSVVal
)),"")</f>
        <v/>
      </c>
      <c r="H97" s="54" t="str">
        <f>_xlfn.XLOOKUP(A97,Output_Mac!A:A,Output_Mac!I:I,"")</f>
        <v/>
      </c>
      <c r="I97" s="54" t="str" cm="1">
        <f t="array" ref="I97">IFERROR(_xlfn.LET(
_xlpm.CSVVal,_xlfn.XLOOKUP($A97,CSV!$A:$A,CSV!G:G,""),
_xlpm.MacVal,_xlfn.XLOOKUP($A97,Output_Mac!$A:$A,Output_Mac!J:J,""),
_xlpm.MyAuditVal,_xlfn.XLOOKUP($A97,My_Audit!$A:$A,My_Audit!H:H,""),
_xlfn.IFS(_xlpm.MyAuditVal&lt;&gt;"",UPPER(_xlpm.MyAuditVal),_xlpm.MacVal&lt;&gt;"",_xlpm.MacVal,_xlpm.CSVVal&lt;&gt;"",_xlpm.CSVVal
)),"")</f>
        <v/>
      </c>
      <c r="J97" s="54" t="str" cm="1">
        <f t="array" ref="J97">IFERROR(_xlfn.LET(
_xlpm.CSVVal,_xlfn.XLOOKUP($A97,CSV!$A:$A,CSV!I:I,""),
_xlpm.MacVal,_xlfn.XLOOKUP($A97,Output_Mac!$A:$A,Output_Mac!K:K,""),
_xlpm.MyAuditVal,_xlfn.XLOOKUP($A97,My_Audit!$A:$A,My_Audit!I:I,""),
_xlfn.IFS(_xlpm.MyAuditVal&lt;&gt;"",UPPER(_xlpm.MyAuditVal),_xlpm.MacVal&lt;&gt;"",_xlpm.MacVal,_xlpm.CSVVal&lt;&gt;"",_xlpm.CSVVal
)),"")</f>
        <v/>
      </c>
      <c r="K97" s="54" t="str" cm="1">
        <f t="array" ref="K97">IFERROR(_xlfn.LET(
_xlpm.CSVVal,_xlfn.XLOOKUP($A97,CSV!$A:$A,CSV!M:M,""),
_xlpm.MacVal,_xlfn.XLOOKUP($A97,Output_Mac!$A:$A,Output_Mac!L:L,""),
_xlpm.MyAuditVal,_xlfn.XLOOKUP($A97,My_Audit!$A:$A,My_Audit!J:J,""),
_xlfn.IFS(_xlpm.MyAuditVal&lt;&gt;"",UPPER(_xlpm.MyAuditVal),_xlpm.MacVal&lt;&gt;"",_xlpm.MacVal,_xlpm.CSVVal&lt;&gt;"",_xlpm.CSVVal
)),"")</f>
        <v/>
      </c>
      <c r="L97" s="55" t="str" cm="1">
        <f t="array" ref="L97">IFERROR(_xlfn.LET(
_xlpm.CSVVal,_xlfn.XLOOKUP($A97,CSV!$A:$A,CSV!P:P,""),
_xlpm.MacVal,_xlfn.XLOOKUP($A97,Output_Mac!$A:$A,Output_Mac!M:M,""),
_xlpm.MyAuditVal,_xlfn.XLOOKUP($A97,My_Audit!$A:$A,My_Audit!K:K,""),
_xlfn.IFS(_xlpm.MyAuditVal&lt;&gt;"",UPPER(_xlpm.MyAuditVal),_xlpm.MacVal&lt;&gt;"",_xlpm.MacVal,_xlpm.CSVVal&lt;&gt;"",_xlpm.CSVVal
)),"")</f>
        <v/>
      </c>
      <c r="M97" s="54" t="str">
        <f>_xlfn.LET(
    _xlpm.CSVVal, _xlfn.XLOOKUP($A97, CSV!$A:$A, CSV!AD:AD, ""),
    _xlpm.MacVal, _xlfn.XLOOKUP($A97, Output_Mac!$A:$A, Output_Mac!S:S, ""),
    _xlpm.MyAuditVal, _xlfn.XLOOKUP($A97, My_Audit!$A:$A, My_Audit!N:N, ""),
    _xlfn.TEXTJOIN(", ", TRUE, _xlpm.MyAuditVal, _xlpm.MacVal, _xlpm.CSVVal)
)</f>
        <v/>
      </c>
      <c r="N97" s="54" t="str" cm="1">
        <f t="array" ref="N97">IFERROR(_xlfn.LET(
_xlpm.CSVVal,_xlfn.XLOOKUP($A97,CSV!$A:$A,CSV!AF:AF,""),
_xlpm.MacVal,_xlfn.XLOOKUP($A97,Output_Mac!$A:$A,Output_Mac!U:U,""),
_xlpm.MyAuditVal,_xlfn.XLOOKUP($A97,My_Audit!$A:$A,My_Audit!O:O,""),
_xlfn.IFS(_xlpm.MyAuditVal&lt;&gt;"",UPPER(_xlpm.MyAuditVal),_xlpm.MacVal&lt;&gt;"",_xlpm.MacVal,_xlpm.CSVVal&lt;&gt;"",_xlpm.CSVVal
)),"")</f>
        <v/>
      </c>
      <c r="O97" s="54"/>
      <c r="P97" s="54"/>
      <c r="Q97" s="54"/>
      <c r="R97" s="54"/>
      <c r="S97" s="54"/>
      <c r="T97" s="54"/>
      <c r="U97" s="39" t="str">
        <f>_xlfn.LET(
    _xlpm.MacVal, _xlfn.XLOOKUP($A97, Output_Mac!$A:$A, Output_Mac!AB:AB, ""),
    _xlpm.MyAuditVal, _xlfn.XLOOKUP($A97, My_Audit!$A:$A, My_Audit!L:L, ""),
    _xlfn.TEXTJOIN(", ", TRUE, _xlpm.MyAuditVal, _xlpm.MacVal)
)</f>
        <v/>
      </c>
    </row>
    <row r="98" spans="1:21">
      <c r="A98" s="54" t="str">
        <f>_xlfn.TEXTJOIN("",TRUE,Input!$B$2,ROW(My_Audit!A97))</f>
        <v>XX97</v>
      </c>
      <c r="B98" s="54" t="str">
        <f>_xlfn.TEXTJOIN("-",TRUE,"ITD",Input!$A$2,A98)</f>
        <v>ITD-SHRXXX-XX97</v>
      </c>
      <c r="C98" s="54" t="str" cm="1">
        <f t="array" ref="C98">IFERROR(_xlfn.LET(
_xlpm.CSVVal,_xlfn.XLOOKUP($A98,CSV!$A:$A,CSV!B:B,""),
_xlpm.MacVal,_xlfn.XLOOKUP($A98,Output_Mac!$A:$A,Output_Mac!B:B,""),
_xlpm.MyAuditVal,_xlfn.XLOOKUP($A98,My_Audit!$A:$A,My_Audit!B:B,""),
_xlfn.IFS(_xlpm.MyAuditVal&lt;&gt;"",UPPER(_xlpm.MyAuditVal),_xlpm.MacVal&lt;&gt;"",_xlpm.MacVal,_xlpm.CSVVal&lt;&gt;"",_xlpm.CSVVal
)),"")</f>
        <v/>
      </c>
      <c r="D98" s="55" t="str">
        <f>_xlfn.XLOOKUP(A98,My_Audit!A:A,My_Audit!D:D,"")&amp;""</f>
        <v/>
      </c>
      <c r="E98" s="55" t="str" cm="1">
        <f t="array" ref="E98">IFERROR(_xlfn.LET(
_xlpm.CSVVal,_xlfn.XLOOKUP($A98,CSV!$A:$A,CSV!D:D,""),
_xlpm.MacVal,_xlfn.XLOOKUP($A98,Output_Mac!$A:$A,Output_Mac!C:C,""),
_xlpm.MyAuditVal,_xlfn.XLOOKUP($A98,My_Audit!$A:$A,My_Audit!D:D,""),
_xlfn.IFS(_xlpm.MyAuditVal&lt;&gt;"",_xlpm.MyAuditVal,_xlpm.MacVal&lt;&gt;"",_xlpm.MacVal,_xlpm.CSVVal&lt;&gt;"",_xlpm.CSVVal
)),"")</f>
        <v/>
      </c>
      <c r="F98" s="54" t="str" cm="1">
        <f t="array" ref="F98">IFERROR(_xlfn.LET(
_xlpm.CSVVal,_xlfn.XLOOKUP($A98,CSV!$A:$A,CSV!E:E,""),
_xlpm.MacVal,_xlfn.XLOOKUP($A98,Output_Mac!$A:$A,Output_Mac!F:F,""),
_xlpm.MyAuditVal,_xlfn.XLOOKUP($A98,My_Audit!$A:$A,My_Audit!E:E,""),
_xlfn.IFS(_xlpm.MyAuditVal&lt;&gt;"",_xlpm.MyAuditVal,_xlpm.MacVal&lt;&gt;"",_xlpm.MacVal,_xlpm.CSVVal&lt;&gt;"",PROPER(_xlpm.CSVVal)
)),"")</f>
        <v/>
      </c>
      <c r="G98" s="54" t="str" cm="1">
        <f t="array" ref="G98">IFERROR(_xlfn.LET(
_xlpm.CSVVal,_xlfn.XLOOKUP($A98,CSV!$A:$A,CSV!F:F,""),
_xlpm.MacVal,_xlfn.XLOOKUP($A98,Output_Mac!$A:$A,Output_Mac!H:H,""),
_xlpm.MyAuditVal,_xlfn.XLOOKUP($A98,My_Audit!$A:$A,My_Audit!F:F,""),
_xlfn.IFS(_xlpm.MyAuditVal&lt;&gt;"",_xlpm.MyAuditVal,_xlpm.MacVal&lt;&gt;"",_xlpm.MacVal,_xlpm.CSVVal&lt;&gt;"",_xlpm.CSVVal
)),"")</f>
        <v/>
      </c>
      <c r="H98" s="54" t="str">
        <f>_xlfn.XLOOKUP(A98,Output_Mac!A:A,Output_Mac!I:I,"")</f>
        <v/>
      </c>
      <c r="I98" s="54" t="str" cm="1">
        <f t="array" ref="I98">IFERROR(_xlfn.LET(
_xlpm.CSVVal,_xlfn.XLOOKUP($A98,CSV!$A:$A,CSV!G:G,""),
_xlpm.MacVal,_xlfn.XLOOKUP($A98,Output_Mac!$A:$A,Output_Mac!J:J,""),
_xlpm.MyAuditVal,_xlfn.XLOOKUP($A98,My_Audit!$A:$A,My_Audit!H:H,""),
_xlfn.IFS(_xlpm.MyAuditVal&lt;&gt;"",UPPER(_xlpm.MyAuditVal),_xlpm.MacVal&lt;&gt;"",_xlpm.MacVal,_xlpm.CSVVal&lt;&gt;"",_xlpm.CSVVal
)),"")</f>
        <v/>
      </c>
      <c r="J98" s="54" t="str" cm="1">
        <f t="array" ref="J98">IFERROR(_xlfn.LET(
_xlpm.CSVVal,_xlfn.XLOOKUP($A98,CSV!$A:$A,CSV!I:I,""),
_xlpm.MacVal,_xlfn.XLOOKUP($A98,Output_Mac!$A:$A,Output_Mac!K:K,""),
_xlpm.MyAuditVal,_xlfn.XLOOKUP($A98,My_Audit!$A:$A,My_Audit!I:I,""),
_xlfn.IFS(_xlpm.MyAuditVal&lt;&gt;"",UPPER(_xlpm.MyAuditVal),_xlpm.MacVal&lt;&gt;"",_xlpm.MacVal,_xlpm.CSVVal&lt;&gt;"",_xlpm.CSVVal
)),"")</f>
        <v/>
      </c>
      <c r="K98" s="54" t="str" cm="1">
        <f t="array" ref="K98">IFERROR(_xlfn.LET(
_xlpm.CSVVal,_xlfn.XLOOKUP($A98,CSV!$A:$A,CSV!M:M,""),
_xlpm.MacVal,_xlfn.XLOOKUP($A98,Output_Mac!$A:$A,Output_Mac!L:L,""),
_xlpm.MyAuditVal,_xlfn.XLOOKUP($A98,My_Audit!$A:$A,My_Audit!J:J,""),
_xlfn.IFS(_xlpm.MyAuditVal&lt;&gt;"",UPPER(_xlpm.MyAuditVal),_xlpm.MacVal&lt;&gt;"",_xlpm.MacVal,_xlpm.CSVVal&lt;&gt;"",_xlpm.CSVVal
)),"")</f>
        <v/>
      </c>
      <c r="L98" s="55" t="str" cm="1">
        <f t="array" ref="L98">IFERROR(_xlfn.LET(
_xlpm.CSVVal,_xlfn.XLOOKUP($A98,CSV!$A:$A,CSV!P:P,""),
_xlpm.MacVal,_xlfn.XLOOKUP($A98,Output_Mac!$A:$A,Output_Mac!M:M,""),
_xlpm.MyAuditVal,_xlfn.XLOOKUP($A98,My_Audit!$A:$A,My_Audit!K:K,""),
_xlfn.IFS(_xlpm.MyAuditVal&lt;&gt;"",UPPER(_xlpm.MyAuditVal),_xlpm.MacVal&lt;&gt;"",_xlpm.MacVal,_xlpm.CSVVal&lt;&gt;"",_xlpm.CSVVal
)),"")</f>
        <v/>
      </c>
      <c r="M98" s="54" t="str">
        <f>_xlfn.LET(
    _xlpm.CSVVal, _xlfn.XLOOKUP($A98, CSV!$A:$A, CSV!AD:AD, ""),
    _xlpm.MacVal, _xlfn.XLOOKUP($A98, Output_Mac!$A:$A, Output_Mac!S:S, ""),
    _xlpm.MyAuditVal, _xlfn.XLOOKUP($A98, My_Audit!$A:$A, My_Audit!N:N, ""),
    _xlfn.TEXTJOIN(", ", TRUE, _xlpm.MyAuditVal, _xlpm.MacVal, _xlpm.CSVVal)
)</f>
        <v/>
      </c>
      <c r="N98" s="54" t="str" cm="1">
        <f t="array" ref="N98">IFERROR(_xlfn.LET(
_xlpm.CSVVal,_xlfn.XLOOKUP($A98,CSV!$A:$A,CSV!AF:AF,""),
_xlpm.MacVal,_xlfn.XLOOKUP($A98,Output_Mac!$A:$A,Output_Mac!U:U,""),
_xlpm.MyAuditVal,_xlfn.XLOOKUP($A98,My_Audit!$A:$A,My_Audit!O:O,""),
_xlfn.IFS(_xlpm.MyAuditVal&lt;&gt;"",UPPER(_xlpm.MyAuditVal),_xlpm.MacVal&lt;&gt;"",_xlpm.MacVal,_xlpm.CSVVal&lt;&gt;"",_xlpm.CSVVal
)),"")</f>
        <v/>
      </c>
      <c r="O98" s="54"/>
      <c r="P98" s="54"/>
      <c r="Q98" s="54"/>
      <c r="R98" s="54"/>
      <c r="S98" s="54"/>
      <c r="T98" s="54"/>
      <c r="U98" s="39" t="str">
        <f>_xlfn.LET(
    _xlpm.MacVal, _xlfn.XLOOKUP($A98, Output_Mac!$A:$A, Output_Mac!AB:AB, ""),
    _xlpm.MyAuditVal, _xlfn.XLOOKUP($A98, My_Audit!$A:$A, My_Audit!L:L, ""),
    _xlfn.TEXTJOIN(", ", TRUE, _xlpm.MyAuditVal, _xlpm.MacVal)
)</f>
        <v/>
      </c>
    </row>
    <row r="99" spans="1:21">
      <c r="A99" s="54" t="str">
        <f>_xlfn.TEXTJOIN("",TRUE,Input!$B$2,ROW(My_Audit!A98))</f>
        <v>XX98</v>
      </c>
      <c r="B99" s="54" t="str">
        <f>_xlfn.TEXTJOIN("-",TRUE,"ITD",Input!$A$2,A99)</f>
        <v>ITD-SHRXXX-XX98</v>
      </c>
      <c r="C99" s="54" t="str" cm="1">
        <f t="array" ref="C99">IFERROR(_xlfn.LET(
_xlpm.CSVVal,_xlfn.XLOOKUP($A99,CSV!$A:$A,CSV!B:B,""),
_xlpm.MacVal,_xlfn.XLOOKUP($A99,Output_Mac!$A:$A,Output_Mac!B:B,""),
_xlpm.MyAuditVal,_xlfn.XLOOKUP($A99,My_Audit!$A:$A,My_Audit!B:B,""),
_xlfn.IFS(_xlpm.MyAuditVal&lt;&gt;"",UPPER(_xlpm.MyAuditVal),_xlpm.MacVal&lt;&gt;"",_xlpm.MacVal,_xlpm.CSVVal&lt;&gt;"",_xlpm.CSVVal
)),"")</f>
        <v/>
      </c>
      <c r="D99" s="55" t="str">
        <f>_xlfn.XLOOKUP(A99,My_Audit!A:A,My_Audit!D:D,"")&amp;""</f>
        <v/>
      </c>
      <c r="E99" s="55" t="str" cm="1">
        <f t="array" ref="E99">IFERROR(_xlfn.LET(
_xlpm.CSVVal,_xlfn.XLOOKUP($A99,CSV!$A:$A,CSV!D:D,""),
_xlpm.MacVal,_xlfn.XLOOKUP($A99,Output_Mac!$A:$A,Output_Mac!C:C,""),
_xlpm.MyAuditVal,_xlfn.XLOOKUP($A99,My_Audit!$A:$A,My_Audit!D:D,""),
_xlfn.IFS(_xlpm.MyAuditVal&lt;&gt;"",_xlpm.MyAuditVal,_xlpm.MacVal&lt;&gt;"",_xlpm.MacVal,_xlpm.CSVVal&lt;&gt;"",_xlpm.CSVVal
)),"")</f>
        <v/>
      </c>
      <c r="F99" s="54" t="str" cm="1">
        <f t="array" ref="F99">IFERROR(_xlfn.LET(
_xlpm.CSVVal,_xlfn.XLOOKUP($A99,CSV!$A:$A,CSV!E:E,""),
_xlpm.MacVal,_xlfn.XLOOKUP($A99,Output_Mac!$A:$A,Output_Mac!F:F,""),
_xlpm.MyAuditVal,_xlfn.XLOOKUP($A99,My_Audit!$A:$A,My_Audit!E:E,""),
_xlfn.IFS(_xlpm.MyAuditVal&lt;&gt;"",_xlpm.MyAuditVal,_xlpm.MacVal&lt;&gt;"",_xlpm.MacVal,_xlpm.CSVVal&lt;&gt;"",PROPER(_xlpm.CSVVal)
)),"")</f>
        <v/>
      </c>
      <c r="G99" s="54" t="str" cm="1">
        <f t="array" ref="G99">IFERROR(_xlfn.LET(
_xlpm.CSVVal,_xlfn.XLOOKUP($A99,CSV!$A:$A,CSV!F:F,""),
_xlpm.MacVal,_xlfn.XLOOKUP($A99,Output_Mac!$A:$A,Output_Mac!H:H,""),
_xlpm.MyAuditVal,_xlfn.XLOOKUP($A99,My_Audit!$A:$A,My_Audit!F:F,""),
_xlfn.IFS(_xlpm.MyAuditVal&lt;&gt;"",_xlpm.MyAuditVal,_xlpm.MacVal&lt;&gt;"",_xlpm.MacVal,_xlpm.CSVVal&lt;&gt;"",_xlpm.CSVVal
)),"")</f>
        <v/>
      </c>
      <c r="H99" s="54" t="str">
        <f>_xlfn.XLOOKUP(A99,Output_Mac!A:A,Output_Mac!I:I,"")</f>
        <v/>
      </c>
      <c r="I99" s="54" t="str" cm="1">
        <f t="array" ref="I99">IFERROR(_xlfn.LET(
_xlpm.CSVVal,_xlfn.XLOOKUP($A99,CSV!$A:$A,CSV!G:G,""),
_xlpm.MacVal,_xlfn.XLOOKUP($A99,Output_Mac!$A:$A,Output_Mac!J:J,""),
_xlpm.MyAuditVal,_xlfn.XLOOKUP($A99,My_Audit!$A:$A,My_Audit!H:H,""),
_xlfn.IFS(_xlpm.MyAuditVal&lt;&gt;"",UPPER(_xlpm.MyAuditVal),_xlpm.MacVal&lt;&gt;"",_xlpm.MacVal,_xlpm.CSVVal&lt;&gt;"",_xlpm.CSVVal
)),"")</f>
        <v/>
      </c>
      <c r="J99" s="54" t="str" cm="1">
        <f t="array" ref="J99">IFERROR(_xlfn.LET(
_xlpm.CSVVal,_xlfn.XLOOKUP($A99,CSV!$A:$A,CSV!I:I,""),
_xlpm.MacVal,_xlfn.XLOOKUP($A99,Output_Mac!$A:$A,Output_Mac!K:K,""),
_xlpm.MyAuditVal,_xlfn.XLOOKUP($A99,My_Audit!$A:$A,My_Audit!I:I,""),
_xlfn.IFS(_xlpm.MyAuditVal&lt;&gt;"",UPPER(_xlpm.MyAuditVal),_xlpm.MacVal&lt;&gt;"",_xlpm.MacVal,_xlpm.CSVVal&lt;&gt;"",_xlpm.CSVVal
)),"")</f>
        <v/>
      </c>
      <c r="K99" s="54" t="str" cm="1">
        <f t="array" ref="K99">IFERROR(_xlfn.LET(
_xlpm.CSVVal,_xlfn.XLOOKUP($A99,CSV!$A:$A,CSV!M:M,""),
_xlpm.MacVal,_xlfn.XLOOKUP($A99,Output_Mac!$A:$A,Output_Mac!L:L,""),
_xlpm.MyAuditVal,_xlfn.XLOOKUP($A99,My_Audit!$A:$A,My_Audit!J:J,""),
_xlfn.IFS(_xlpm.MyAuditVal&lt;&gt;"",UPPER(_xlpm.MyAuditVal),_xlpm.MacVal&lt;&gt;"",_xlpm.MacVal,_xlpm.CSVVal&lt;&gt;"",_xlpm.CSVVal
)),"")</f>
        <v/>
      </c>
      <c r="L99" s="55" t="str" cm="1">
        <f t="array" ref="L99">IFERROR(_xlfn.LET(
_xlpm.CSVVal,_xlfn.XLOOKUP($A99,CSV!$A:$A,CSV!P:P,""),
_xlpm.MacVal,_xlfn.XLOOKUP($A99,Output_Mac!$A:$A,Output_Mac!M:M,""),
_xlpm.MyAuditVal,_xlfn.XLOOKUP($A99,My_Audit!$A:$A,My_Audit!K:K,""),
_xlfn.IFS(_xlpm.MyAuditVal&lt;&gt;"",UPPER(_xlpm.MyAuditVal),_xlpm.MacVal&lt;&gt;"",_xlpm.MacVal,_xlpm.CSVVal&lt;&gt;"",_xlpm.CSVVal
)),"")</f>
        <v/>
      </c>
      <c r="M99" s="54" t="str">
        <f>_xlfn.LET(
    _xlpm.CSVVal, _xlfn.XLOOKUP($A99, CSV!$A:$A, CSV!AD:AD, ""),
    _xlpm.MacVal, _xlfn.XLOOKUP($A99, Output_Mac!$A:$A, Output_Mac!S:S, ""),
    _xlpm.MyAuditVal, _xlfn.XLOOKUP($A99, My_Audit!$A:$A, My_Audit!N:N, ""),
    _xlfn.TEXTJOIN(", ", TRUE, _xlpm.MyAuditVal, _xlpm.MacVal, _xlpm.CSVVal)
)</f>
        <v/>
      </c>
      <c r="N99" s="54" t="str" cm="1">
        <f t="array" ref="N99">IFERROR(_xlfn.LET(
_xlpm.CSVVal,_xlfn.XLOOKUP($A99,CSV!$A:$A,CSV!AF:AF,""),
_xlpm.MacVal,_xlfn.XLOOKUP($A99,Output_Mac!$A:$A,Output_Mac!U:U,""),
_xlpm.MyAuditVal,_xlfn.XLOOKUP($A99,My_Audit!$A:$A,My_Audit!O:O,""),
_xlfn.IFS(_xlpm.MyAuditVal&lt;&gt;"",UPPER(_xlpm.MyAuditVal),_xlpm.MacVal&lt;&gt;"",_xlpm.MacVal,_xlpm.CSVVal&lt;&gt;"",_xlpm.CSVVal
)),"")</f>
        <v/>
      </c>
      <c r="O99" s="54"/>
      <c r="P99" s="54"/>
      <c r="Q99" s="54"/>
      <c r="R99" s="54"/>
      <c r="S99" s="54"/>
      <c r="T99" s="54"/>
      <c r="U99" s="39" t="str">
        <f>_xlfn.LET(
    _xlpm.MacVal, _xlfn.XLOOKUP($A99, Output_Mac!$A:$A, Output_Mac!AB:AB, ""),
    _xlpm.MyAuditVal, _xlfn.XLOOKUP($A99, My_Audit!$A:$A, My_Audit!L:L, ""),
    _xlfn.TEXTJOIN(", ", TRUE, _xlpm.MyAuditVal, _xlpm.MacVal)
)</f>
        <v/>
      </c>
    </row>
    <row r="100" spans="1:21">
      <c r="A100" s="54" t="str">
        <f>_xlfn.TEXTJOIN("",TRUE,Input!$B$2,ROW(My_Audit!A99))</f>
        <v>XX99</v>
      </c>
      <c r="B100" s="54" t="str">
        <f>_xlfn.TEXTJOIN("-",TRUE,"ITD",Input!$A$2,A100)</f>
        <v>ITD-SHRXXX-XX99</v>
      </c>
      <c r="C100" s="54" t="str" cm="1">
        <f t="array" ref="C100">IFERROR(_xlfn.LET(
_xlpm.CSVVal,_xlfn.XLOOKUP($A100,CSV!$A:$A,CSV!B:B,""),
_xlpm.MacVal,_xlfn.XLOOKUP($A100,Output_Mac!$A:$A,Output_Mac!B:B,""),
_xlpm.MyAuditVal,_xlfn.XLOOKUP($A100,My_Audit!$A:$A,My_Audit!B:B,""),
_xlfn.IFS(_xlpm.MyAuditVal&lt;&gt;"",UPPER(_xlpm.MyAuditVal),_xlpm.MacVal&lt;&gt;"",_xlpm.MacVal,_xlpm.CSVVal&lt;&gt;"",_xlpm.CSVVal
)),"")</f>
        <v/>
      </c>
      <c r="D100" s="55" t="str">
        <f>_xlfn.XLOOKUP(A100,My_Audit!A:A,My_Audit!D:D,"")&amp;""</f>
        <v/>
      </c>
      <c r="E100" s="55" t="str" cm="1">
        <f t="array" ref="E100">IFERROR(_xlfn.LET(
_xlpm.CSVVal,_xlfn.XLOOKUP($A100,CSV!$A:$A,CSV!D:D,""),
_xlpm.MacVal,_xlfn.XLOOKUP($A100,Output_Mac!$A:$A,Output_Mac!C:C,""),
_xlpm.MyAuditVal,_xlfn.XLOOKUP($A100,My_Audit!$A:$A,My_Audit!D:D,""),
_xlfn.IFS(_xlpm.MyAuditVal&lt;&gt;"",_xlpm.MyAuditVal,_xlpm.MacVal&lt;&gt;"",_xlpm.MacVal,_xlpm.CSVVal&lt;&gt;"",_xlpm.CSVVal
)),"")</f>
        <v/>
      </c>
      <c r="F100" s="54" t="str" cm="1">
        <f t="array" ref="F100">IFERROR(_xlfn.LET(
_xlpm.CSVVal,_xlfn.XLOOKUP($A100,CSV!$A:$A,CSV!E:E,""),
_xlpm.MacVal,_xlfn.XLOOKUP($A100,Output_Mac!$A:$A,Output_Mac!F:F,""),
_xlpm.MyAuditVal,_xlfn.XLOOKUP($A100,My_Audit!$A:$A,My_Audit!E:E,""),
_xlfn.IFS(_xlpm.MyAuditVal&lt;&gt;"",_xlpm.MyAuditVal,_xlpm.MacVal&lt;&gt;"",_xlpm.MacVal,_xlpm.CSVVal&lt;&gt;"",PROPER(_xlpm.CSVVal)
)),"")</f>
        <v/>
      </c>
      <c r="G100" s="54" t="str" cm="1">
        <f t="array" ref="G100">IFERROR(_xlfn.LET(
_xlpm.CSVVal,_xlfn.XLOOKUP($A100,CSV!$A:$A,CSV!F:F,""),
_xlpm.MacVal,_xlfn.XLOOKUP($A100,Output_Mac!$A:$A,Output_Mac!H:H,""),
_xlpm.MyAuditVal,_xlfn.XLOOKUP($A100,My_Audit!$A:$A,My_Audit!F:F,""),
_xlfn.IFS(_xlpm.MyAuditVal&lt;&gt;"",_xlpm.MyAuditVal,_xlpm.MacVal&lt;&gt;"",_xlpm.MacVal,_xlpm.CSVVal&lt;&gt;"",_xlpm.CSVVal
)),"")</f>
        <v/>
      </c>
      <c r="H100" s="54" t="str">
        <f>_xlfn.XLOOKUP(A100,Output_Mac!A:A,Output_Mac!I:I,"")</f>
        <v/>
      </c>
      <c r="I100" s="54" t="str" cm="1">
        <f t="array" ref="I100">IFERROR(_xlfn.LET(
_xlpm.CSVVal,_xlfn.XLOOKUP($A100,CSV!$A:$A,CSV!G:G,""),
_xlpm.MacVal,_xlfn.XLOOKUP($A100,Output_Mac!$A:$A,Output_Mac!J:J,""),
_xlpm.MyAuditVal,_xlfn.XLOOKUP($A100,My_Audit!$A:$A,My_Audit!H:H,""),
_xlfn.IFS(_xlpm.MyAuditVal&lt;&gt;"",UPPER(_xlpm.MyAuditVal),_xlpm.MacVal&lt;&gt;"",_xlpm.MacVal,_xlpm.CSVVal&lt;&gt;"",_xlpm.CSVVal
)),"")</f>
        <v/>
      </c>
      <c r="J100" s="54" t="str" cm="1">
        <f t="array" ref="J100">IFERROR(_xlfn.LET(
_xlpm.CSVVal,_xlfn.XLOOKUP($A100,CSV!$A:$A,CSV!I:I,""),
_xlpm.MacVal,_xlfn.XLOOKUP($A100,Output_Mac!$A:$A,Output_Mac!K:K,""),
_xlpm.MyAuditVal,_xlfn.XLOOKUP($A100,My_Audit!$A:$A,My_Audit!I:I,""),
_xlfn.IFS(_xlpm.MyAuditVal&lt;&gt;"",UPPER(_xlpm.MyAuditVal),_xlpm.MacVal&lt;&gt;"",_xlpm.MacVal,_xlpm.CSVVal&lt;&gt;"",_xlpm.CSVVal
)),"")</f>
        <v/>
      </c>
      <c r="K100" s="54" t="str" cm="1">
        <f t="array" ref="K100">IFERROR(_xlfn.LET(
_xlpm.CSVVal,_xlfn.XLOOKUP($A100,CSV!$A:$A,CSV!M:M,""),
_xlpm.MacVal,_xlfn.XLOOKUP($A100,Output_Mac!$A:$A,Output_Mac!L:L,""),
_xlpm.MyAuditVal,_xlfn.XLOOKUP($A100,My_Audit!$A:$A,My_Audit!J:J,""),
_xlfn.IFS(_xlpm.MyAuditVal&lt;&gt;"",UPPER(_xlpm.MyAuditVal),_xlpm.MacVal&lt;&gt;"",_xlpm.MacVal,_xlpm.CSVVal&lt;&gt;"",_xlpm.CSVVal
)),"")</f>
        <v/>
      </c>
      <c r="L100" s="55" t="str" cm="1">
        <f t="array" ref="L100">IFERROR(_xlfn.LET(
_xlpm.CSVVal,_xlfn.XLOOKUP($A100,CSV!$A:$A,CSV!P:P,""),
_xlpm.MacVal,_xlfn.XLOOKUP($A100,Output_Mac!$A:$A,Output_Mac!M:M,""),
_xlpm.MyAuditVal,_xlfn.XLOOKUP($A100,My_Audit!$A:$A,My_Audit!K:K,""),
_xlfn.IFS(_xlpm.MyAuditVal&lt;&gt;"",UPPER(_xlpm.MyAuditVal),_xlpm.MacVal&lt;&gt;"",_xlpm.MacVal,_xlpm.CSVVal&lt;&gt;"",_xlpm.CSVVal
)),"")</f>
        <v/>
      </c>
      <c r="M100" s="54" t="str">
        <f>_xlfn.LET(
    _xlpm.CSVVal, _xlfn.XLOOKUP($A100, CSV!$A:$A, CSV!AD:AD, ""),
    _xlpm.MacVal, _xlfn.XLOOKUP($A100, Output_Mac!$A:$A, Output_Mac!S:S, ""),
    _xlpm.MyAuditVal, _xlfn.XLOOKUP($A100, My_Audit!$A:$A, My_Audit!N:N, ""),
    _xlfn.TEXTJOIN(", ", TRUE, _xlpm.MyAuditVal, _xlpm.MacVal, _xlpm.CSVVal)
)</f>
        <v/>
      </c>
      <c r="N100" s="54" t="str" cm="1">
        <f t="array" ref="N100">IFERROR(_xlfn.LET(
_xlpm.CSVVal,_xlfn.XLOOKUP($A100,CSV!$A:$A,CSV!AF:AF,""),
_xlpm.MacVal,_xlfn.XLOOKUP($A100,Output_Mac!$A:$A,Output_Mac!U:U,""),
_xlpm.MyAuditVal,_xlfn.XLOOKUP($A100,My_Audit!$A:$A,My_Audit!O:O,""),
_xlfn.IFS(_xlpm.MyAuditVal&lt;&gt;"",UPPER(_xlpm.MyAuditVal),_xlpm.MacVal&lt;&gt;"",_xlpm.MacVal,_xlpm.CSVVal&lt;&gt;"",_xlpm.CSVVal
)),"")</f>
        <v/>
      </c>
      <c r="O100" s="54"/>
      <c r="P100" s="54"/>
      <c r="Q100" s="54"/>
      <c r="R100" s="54"/>
      <c r="S100" s="54"/>
      <c r="T100" s="54"/>
      <c r="U100" s="39" t="str">
        <f>_xlfn.LET(
    _xlpm.MacVal, _xlfn.XLOOKUP($A100, Output_Mac!$A:$A, Output_Mac!AB:AB, ""),
    _xlpm.MyAuditVal, _xlfn.XLOOKUP($A100, My_Audit!$A:$A, My_Audit!L:L, ""),
    _xlfn.TEXTJOIN(", ", TRUE, _xlpm.MyAuditVal, _xlpm.MacVal)
)</f>
        <v/>
      </c>
    </row>
    <row r="101" spans="1:21">
      <c r="A101" s="54" t="str">
        <f>_xlfn.TEXTJOIN("",TRUE,Input!$B$2,ROW(My_Audit!A100))</f>
        <v>XX100</v>
      </c>
      <c r="B101" s="54" t="str">
        <f>_xlfn.TEXTJOIN("-",TRUE,"ITD",Input!$A$2,A101)</f>
        <v>ITD-SHRXXX-XX100</v>
      </c>
      <c r="C101" s="54" t="str" cm="1">
        <f t="array" ref="C101">IFERROR(_xlfn.LET(
_xlpm.CSVVal,_xlfn.XLOOKUP($A101,CSV!$A:$A,CSV!B:B,""),
_xlpm.MacVal,_xlfn.XLOOKUP($A101,Output_Mac!$A:$A,Output_Mac!B:B,""),
_xlpm.MyAuditVal,_xlfn.XLOOKUP($A101,My_Audit!$A:$A,My_Audit!B:B,""),
_xlfn.IFS(_xlpm.MyAuditVal&lt;&gt;"",UPPER(_xlpm.MyAuditVal),_xlpm.MacVal&lt;&gt;"",_xlpm.MacVal,_xlpm.CSVVal&lt;&gt;"",_xlpm.CSVVal
)),"")</f>
        <v/>
      </c>
      <c r="D101" s="55" t="str">
        <f>_xlfn.XLOOKUP(A101,My_Audit!A:A,My_Audit!D:D,"")&amp;""</f>
        <v/>
      </c>
      <c r="E101" s="55" t="str" cm="1">
        <f t="array" ref="E101">IFERROR(_xlfn.LET(
_xlpm.CSVVal,_xlfn.XLOOKUP($A101,CSV!$A:$A,CSV!D:D,""),
_xlpm.MacVal,_xlfn.XLOOKUP($A101,Output_Mac!$A:$A,Output_Mac!C:C,""),
_xlpm.MyAuditVal,_xlfn.XLOOKUP($A101,My_Audit!$A:$A,My_Audit!D:D,""),
_xlfn.IFS(_xlpm.MyAuditVal&lt;&gt;"",_xlpm.MyAuditVal,_xlpm.MacVal&lt;&gt;"",_xlpm.MacVal,_xlpm.CSVVal&lt;&gt;"",_xlpm.CSVVal
)),"")</f>
        <v/>
      </c>
      <c r="F101" s="54" t="str" cm="1">
        <f t="array" ref="F101">IFERROR(_xlfn.LET(
_xlpm.CSVVal,_xlfn.XLOOKUP($A101,CSV!$A:$A,CSV!E:E,""),
_xlpm.MacVal,_xlfn.XLOOKUP($A101,Output_Mac!$A:$A,Output_Mac!F:F,""),
_xlpm.MyAuditVal,_xlfn.XLOOKUP($A101,My_Audit!$A:$A,My_Audit!E:E,""),
_xlfn.IFS(_xlpm.MyAuditVal&lt;&gt;"",_xlpm.MyAuditVal,_xlpm.MacVal&lt;&gt;"",_xlpm.MacVal,_xlpm.CSVVal&lt;&gt;"",PROPER(_xlpm.CSVVal)
)),"")</f>
        <v/>
      </c>
      <c r="G101" s="54" t="str" cm="1">
        <f t="array" ref="G101">IFERROR(_xlfn.LET(
_xlpm.CSVVal,_xlfn.XLOOKUP($A101,CSV!$A:$A,CSV!F:F,""),
_xlpm.MacVal,_xlfn.XLOOKUP($A101,Output_Mac!$A:$A,Output_Mac!H:H,""),
_xlpm.MyAuditVal,_xlfn.XLOOKUP($A101,My_Audit!$A:$A,My_Audit!F:F,""),
_xlfn.IFS(_xlpm.MyAuditVal&lt;&gt;"",_xlpm.MyAuditVal,_xlpm.MacVal&lt;&gt;"",_xlpm.MacVal,_xlpm.CSVVal&lt;&gt;"",_xlpm.CSVVal
)),"")</f>
        <v/>
      </c>
      <c r="H101" s="54" t="str">
        <f>_xlfn.XLOOKUP(A101,Output_Mac!A:A,Output_Mac!I:I,"")</f>
        <v/>
      </c>
      <c r="I101" s="54" t="str" cm="1">
        <f t="array" ref="I101">IFERROR(_xlfn.LET(
_xlpm.CSVVal,_xlfn.XLOOKUP($A101,CSV!$A:$A,CSV!G:G,""),
_xlpm.MacVal,_xlfn.XLOOKUP($A101,Output_Mac!$A:$A,Output_Mac!J:J,""),
_xlpm.MyAuditVal,_xlfn.XLOOKUP($A101,My_Audit!$A:$A,My_Audit!H:H,""),
_xlfn.IFS(_xlpm.MyAuditVal&lt;&gt;"",UPPER(_xlpm.MyAuditVal),_xlpm.MacVal&lt;&gt;"",_xlpm.MacVal,_xlpm.CSVVal&lt;&gt;"",_xlpm.CSVVal
)),"")</f>
        <v/>
      </c>
      <c r="J101" s="54" t="str" cm="1">
        <f t="array" ref="J101">IFERROR(_xlfn.LET(
_xlpm.CSVVal,_xlfn.XLOOKUP($A101,CSV!$A:$A,CSV!I:I,""),
_xlpm.MacVal,_xlfn.XLOOKUP($A101,Output_Mac!$A:$A,Output_Mac!K:K,""),
_xlpm.MyAuditVal,_xlfn.XLOOKUP($A101,My_Audit!$A:$A,My_Audit!I:I,""),
_xlfn.IFS(_xlpm.MyAuditVal&lt;&gt;"",UPPER(_xlpm.MyAuditVal),_xlpm.MacVal&lt;&gt;"",_xlpm.MacVal,_xlpm.CSVVal&lt;&gt;"",_xlpm.CSVVal
)),"")</f>
        <v/>
      </c>
      <c r="K101" s="54" t="str" cm="1">
        <f t="array" ref="K101">IFERROR(_xlfn.LET(
_xlpm.CSVVal,_xlfn.XLOOKUP($A101,CSV!$A:$A,CSV!M:M,""),
_xlpm.MacVal,_xlfn.XLOOKUP($A101,Output_Mac!$A:$A,Output_Mac!L:L,""),
_xlpm.MyAuditVal,_xlfn.XLOOKUP($A101,My_Audit!$A:$A,My_Audit!J:J,""),
_xlfn.IFS(_xlpm.MyAuditVal&lt;&gt;"",UPPER(_xlpm.MyAuditVal),_xlpm.MacVal&lt;&gt;"",_xlpm.MacVal,_xlpm.CSVVal&lt;&gt;"",_xlpm.CSVVal
)),"")</f>
        <v/>
      </c>
      <c r="L101" s="55" t="str" cm="1">
        <f t="array" ref="L101">IFERROR(_xlfn.LET(
_xlpm.CSVVal,_xlfn.XLOOKUP($A101,CSV!$A:$A,CSV!P:P,""),
_xlpm.MacVal,_xlfn.XLOOKUP($A101,Output_Mac!$A:$A,Output_Mac!M:M,""),
_xlpm.MyAuditVal,_xlfn.XLOOKUP($A101,My_Audit!$A:$A,My_Audit!K:K,""),
_xlfn.IFS(_xlpm.MyAuditVal&lt;&gt;"",UPPER(_xlpm.MyAuditVal),_xlpm.MacVal&lt;&gt;"",_xlpm.MacVal,_xlpm.CSVVal&lt;&gt;"",_xlpm.CSVVal
)),"")</f>
        <v/>
      </c>
      <c r="M101" s="54" t="str">
        <f>_xlfn.LET(
    _xlpm.CSVVal, _xlfn.XLOOKUP($A101, CSV!$A:$A, CSV!AD:AD, ""),
    _xlpm.MacVal, _xlfn.XLOOKUP($A101, Output_Mac!$A:$A, Output_Mac!S:S, ""),
    _xlpm.MyAuditVal, _xlfn.XLOOKUP($A101, My_Audit!$A:$A, My_Audit!N:N, ""),
    _xlfn.TEXTJOIN(", ", TRUE, _xlpm.MyAuditVal, _xlpm.MacVal, _xlpm.CSVVal)
)</f>
        <v/>
      </c>
      <c r="N101" s="54" t="str" cm="1">
        <f t="array" ref="N101">IFERROR(_xlfn.LET(
_xlpm.CSVVal,_xlfn.XLOOKUP($A101,CSV!$A:$A,CSV!AF:AF,""),
_xlpm.MacVal,_xlfn.XLOOKUP($A101,Output_Mac!$A:$A,Output_Mac!U:U,""),
_xlpm.MyAuditVal,_xlfn.XLOOKUP($A101,My_Audit!$A:$A,My_Audit!O:O,""),
_xlfn.IFS(_xlpm.MyAuditVal&lt;&gt;"",UPPER(_xlpm.MyAuditVal),_xlpm.MacVal&lt;&gt;"",_xlpm.MacVal,_xlpm.CSVVal&lt;&gt;"",_xlpm.CSVVal
)),"")</f>
        <v/>
      </c>
      <c r="O101" s="54"/>
      <c r="P101" s="54"/>
      <c r="Q101" s="54"/>
      <c r="R101" s="54"/>
      <c r="S101" s="54"/>
      <c r="T101" s="54"/>
      <c r="U101" s="39" t="str">
        <f>_xlfn.LET(
    _xlpm.MacVal, _xlfn.XLOOKUP($A101, Output_Mac!$A:$A, Output_Mac!AB:AB, ""),
    _xlpm.MyAuditVal, _xlfn.XLOOKUP($A101, My_Audit!$A:$A, My_Audit!L:L, ""),
    _xlfn.TEXTJOIN(", ", TRUE, _xlpm.MyAuditVal, _xlpm.MacVal)
)</f>
        <v/>
      </c>
    </row>
    <row r="102" spans="1:21">
      <c r="A102" s="54" t="str">
        <f>_xlfn.TEXTJOIN("",TRUE,Input!$B$2,ROW(My_Audit!A101))</f>
        <v>XX101</v>
      </c>
      <c r="B102" s="54" t="str">
        <f>_xlfn.TEXTJOIN("-",TRUE,"ITD",Input!$A$2,A102)</f>
        <v>ITD-SHRXXX-XX101</v>
      </c>
      <c r="C102" s="54" t="str" cm="1">
        <f t="array" ref="C102">IFERROR(_xlfn.LET(
_xlpm.CSVVal,_xlfn.XLOOKUP($A102,CSV!$A:$A,CSV!B:B,""),
_xlpm.MacVal,_xlfn.XLOOKUP($A102,Output_Mac!$A:$A,Output_Mac!B:B,""),
_xlpm.MyAuditVal,_xlfn.XLOOKUP($A102,My_Audit!$A:$A,My_Audit!B:B,""),
_xlfn.IFS(_xlpm.MyAuditVal&lt;&gt;"",UPPER(_xlpm.MyAuditVal),_xlpm.MacVal&lt;&gt;"",_xlpm.MacVal,_xlpm.CSVVal&lt;&gt;"",_xlpm.CSVVal
)),"")</f>
        <v/>
      </c>
      <c r="D102" s="55" t="str">
        <f>_xlfn.XLOOKUP(A102,My_Audit!A:A,My_Audit!D:D,"")&amp;""</f>
        <v/>
      </c>
      <c r="E102" s="55" t="str" cm="1">
        <f t="array" ref="E102">IFERROR(_xlfn.LET(
_xlpm.CSVVal,_xlfn.XLOOKUP($A102,CSV!$A:$A,CSV!D:D,""),
_xlpm.MacVal,_xlfn.XLOOKUP($A102,Output_Mac!$A:$A,Output_Mac!C:C,""),
_xlpm.MyAuditVal,_xlfn.XLOOKUP($A102,My_Audit!$A:$A,My_Audit!D:D,""),
_xlfn.IFS(_xlpm.MyAuditVal&lt;&gt;"",_xlpm.MyAuditVal,_xlpm.MacVal&lt;&gt;"",_xlpm.MacVal,_xlpm.CSVVal&lt;&gt;"",_xlpm.CSVVal
)),"")</f>
        <v/>
      </c>
      <c r="F102" s="54" t="str" cm="1">
        <f t="array" ref="F102">IFERROR(_xlfn.LET(
_xlpm.CSVVal,_xlfn.XLOOKUP($A102,CSV!$A:$A,CSV!E:E,""),
_xlpm.MacVal,_xlfn.XLOOKUP($A102,Output_Mac!$A:$A,Output_Mac!F:F,""),
_xlpm.MyAuditVal,_xlfn.XLOOKUP($A102,My_Audit!$A:$A,My_Audit!E:E,""),
_xlfn.IFS(_xlpm.MyAuditVal&lt;&gt;"",_xlpm.MyAuditVal,_xlpm.MacVal&lt;&gt;"",_xlpm.MacVal,_xlpm.CSVVal&lt;&gt;"",PROPER(_xlpm.CSVVal)
)),"")</f>
        <v/>
      </c>
      <c r="G102" s="54" t="str" cm="1">
        <f t="array" ref="G102">IFERROR(_xlfn.LET(
_xlpm.CSVVal,_xlfn.XLOOKUP($A102,CSV!$A:$A,CSV!F:F,""),
_xlpm.MacVal,_xlfn.XLOOKUP($A102,Output_Mac!$A:$A,Output_Mac!H:H,""),
_xlpm.MyAuditVal,_xlfn.XLOOKUP($A102,My_Audit!$A:$A,My_Audit!F:F,""),
_xlfn.IFS(_xlpm.MyAuditVal&lt;&gt;"",_xlpm.MyAuditVal,_xlpm.MacVal&lt;&gt;"",_xlpm.MacVal,_xlpm.CSVVal&lt;&gt;"",_xlpm.CSVVal
)),"")</f>
        <v/>
      </c>
      <c r="H102" s="54" t="str">
        <f>_xlfn.XLOOKUP(A102,Output_Mac!A:A,Output_Mac!I:I,"")</f>
        <v/>
      </c>
      <c r="I102" s="54" t="str" cm="1">
        <f t="array" ref="I102">IFERROR(_xlfn.LET(
_xlpm.CSVVal,_xlfn.XLOOKUP($A102,CSV!$A:$A,CSV!G:G,""),
_xlpm.MacVal,_xlfn.XLOOKUP($A102,Output_Mac!$A:$A,Output_Mac!J:J,""),
_xlpm.MyAuditVal,_xlfn.XLOOKUP($A102,My_Audit!$A:$A,My_Audit!H:H,""),
_xlfn.IFS(_xlpm.MyAuditVal&lt;&gt;"",UPPER(_xlpm.MyAuditVal),_xlpm.MacVal&lt;&gt;"",_xlpm.MacVal,_xlpm.CSVVal&lt;&gt;"",_xlpm.CSVVal
)),"")</f>
        <v/>
      </c>
      <c r="J102" s="54" t="str" cm="1">
        <f t="array" ref="J102">IFERROR(_xlfn.LET(
_xlpm.CSVVal,_xlfn.XLOOKUP($A102,CSV!$A:$A,CSV!I:I,""),
_xlpm.MacVal,_xlfn.XLOOKUP($A102,Output_Mac!$A:$A,Output_Mac!K:K,""),
_xlpm.MyAuditVal,_xlfn.XLOOKUP($A102,My_Audit!$A:$A,My_Audit!I:I,""),
_xlfn.IFS(_xlpm.MyAuditVal&lt;&gt;"",UPPER(_xlpm.MyAuditVal),_xlpm.MacVal&lt;&gt;"",_xlpm.MacVal,_xlpm.CSVVal&lt;&gt;"",_xlpm.CSVVal
)),"")</f>
        <v/>
      </c>
      <c r="K102" s="54" t="str" cm="1">
        <f t="array" ref="K102">IFERROR(_xlfn.LET(
_xlpm.CSVVal,_xlfn.XLOOKUP($A102,CSV!$A:$A,CSV!M:M,""),
_xlpm.MacVal,_xlfn.XLOOKUP($A102,Output_Mac!$A:$A,Output_Mac!L:L,""),
_xlpm.MyAuditVal,_xlfn.XLOOKUP($A102,My_Audit!$A:$A,My_Audit!J:J,""),
_xlfn.IFS(_xlpm.MyAuditVal&lt;&gt;"",UPPER(_xlpm.MyAuditVal),_xlpm.MacVal&lt;&gt;"",_xlpm.MacVal,_xlpm.CSVVal&lt;&gt;"",_xlpm.CSVVal
)),"")</f>
        <v/>
      </c>
      <c r="L102" s="55" t="str" cm="1">
        <f t="array" ref="L102">IFERROR(_xlfn.LET(
_xlpm.CSVVal,_xlfn.XLOOKUP($A102,CSV!$A:$A,CSV!P:P,""),
_xlpm.MacVal,_xlfn.XLOOKUP($A102,Output_Mac!$A:$A,Output_Mac!M:M,""),
_xlpm.MyAuditVal,_xlfn.XLOOKUP($A102,My_Audit!$A:$A,My_Audit!K:K,""),
_xlfn.IFS(_xlpm.MyAuditVal&lt;&gt;"",UPPER(_xlpm.MyAuditVal),_xlpm.MacVal&lt;&gt;"",_xlpm.MacVal,_xlpm.CSVVal&lt;&gt;"",_xlpm.CSVVal
)),"")</f>
        <v/>
      </c>
      <c r="M102" s="54" t="str">
        <f>_xlfn.LET(
    _xlpm.CSVVal, _xlfn.XLOOKUP($A102, CSV!$A:$A, CSV!AD:AD, ""),
    _xlpm.MacVal, _xlfn.XLOOKUP($A102, Output_Mac!$A:$A, Output_Mac!S:S, ""),
    _xlpm.MyAuditVal, _xlfn.XLOOKUP($A102, My_Audit!$A:$A, My_Audit!N:N, ""),
    _xlfn.TEXTJOIN(", ", TRUE, _xlpm.MyAuditVal, _xlpm.MacVal, _xlpm.CSVVal)
)</f>
        <v/>
      </c>
      <c r="N102" s="54" t="str" cm="1">
        <f t="array" ref="N102">IFERROR(_xlfn.LET(
_xlpm.CSVVal,_xlfn.XLOOKUP($A102,CSV!$A:$A,CSV!AF:AF,""),
_xlpm.MacVal,_xlfn.XLOOKUP($A102,Output_Mac!$A:$A,Output_Mac!U:U,""),
_xlpm.MyAuditVal,_xlfn.XLOOKUP($A102,My_Audit!$A:$A,My_Audit!O:O,""),
_xlfn.IFS(_xlpm.MyAuditVal&lt;&gt;"",UPPER(_xlpm.MyAuditVal),_xlpm.MacVal&lt;&gt;"",_xlpm.MacVal,_xlpm.CSVVal&lt;&gt;"",_xlpm.CSVVal
)),"")</f>
        <v/>
      </c>
      <c r="O102" s="54"/>
      <c r="P102" s="54"/>
      <c r="Q102" s="54"/>
      <c r="R102" s="54"/>
      <c r="S102" s="54"/>
      <c r="T102" s="54"/>
      <c r="U102" s="39" t="str">
        <f>_xlfn.LET(
    _xlpm.MacVal, _xlfn.XLOOKUP($A102, Output_Mac!$A:$A, Output_Mac!AB:AB, ""),
    _xlpm.MyAuditVal, _xlfn.XLOOKUP($A102, My_Audit!$A:$A, My_Audit!L:L, ""),
    _xlfn.TEXTJOIN(", ", TRUE, _xlpm.MyAuditVal, _xlpm.MacVal)
)</f>
        <v/>
      </c>
    </row>
    <row r="103" spans="1:21">
      <c r="A103" s="54" t="str">
        <f>_xlfn.TEXTJOIN("",TRUE,Input!$B$2,ROW(My_Audit!A102))</f>
        <v>XX102</v>
      </c>
      <c r="B103" s="54" t="str">
        <f>_xlfn.TEXTJOIN("-",TRUE,"ITD",Input!$A$2,A103)</f>
        <v>ITD-SHRXXX-XX102</v>
      </c>
      <c r="C103" s="54" t="str" cm="1">
        <f t="array" ref="C103">IFERROR(_xlfn.LET(
_xlpm.CSVVal,_xlfn.XLOOKUP($A103,CSV!$A:$A,CSV!B:B,""),
_xlpm.MacVal,_xlfn.XLOOKUP($A103,Output_Mac!$A:$A,Output_Mac!B:B,""),
_xlpm.MyAuditVal,_xlfn.XLOOKUP($A103,My_Audit!$A:$A,My_Audit!B:B,""),
_xlfn.IFS(_xlpm.MyAuditVal&lt;&gt;"",UPPER(_xlpm.MyAuditVal),_xlpm.MacVal&lt;&gt;"",_xlpm.MacVal,_xlpm.CSVVal&lt;&gt;"",_xlpm.CSVVal
)),"")</f>
        <v/>
      </c>
      <c r="D103" s="55" t="str">
        <f>_xlfn.XLOOKUP(A103,My_Audit!A:A,My_Audit!D:D,"")&amp;""</f>
        <v/>
      </c>
      <c r="E103" s="55" t="str" cm="1">
        <f t="array" ref="E103">IFERROR(_xlfn.LET(
_xlpm.CSVVal,_xlfn.XLOOKUP($A103,CSV!$A:$A,CSV!D:D,""),
_xlpm.MacVal,_xlfn.XLOOKUP($A103,Output_Mac!$A:$A,Output_Mac!C:C,""),
_xlpm.MyAuditVal,_xlfn.XLOOKUP($A103,My_Audit!$A:$A,My_Audit!D:D,""),
_xlfn.IFS(_xlpm.MyAuditVal&lt;&gt;"",_xlpm.MyAuditVal,_xlpm.MacVal&lt;&gt;"",_xlpm.MacVal,_xlpm.CSVVal&lt;&gt;"",_xlpm.CSVVal
)),"")</f>
        <v/>
      </c>
      <c r="F103" s="54" t="str" cm="1">
        <f t="array" ref="F103">IFERROR(_xlfn.LET(
_xlpm.CSVVal,_xlfn.XLOOKUP($A103,CSV!$A:$A,CSV!E:E,""),
_xlpm.MacVal,_xlfn.XLOOKUP($A103,Output_Mac!$A:$A,Output_Mac!F:F,""),
_xlpm.MyAuditVal,_xlfn.XLOOKUP($A103,My_Audit!$A:$A,My_Audit!E:E,""),
_xlfn.IFS(_xlpm.MyAuditVal&lt;&gt;"",_xlpm.MyAuditVal,_xlpm.MacVal&lt;&gt;"",_xlpm.MacVal,_xlpm.CSVVal&lt;&gt;"",PROPER(_xlpm.CSVVal)
)),"")</f>
        <v/>
      </c>
      <c r="G103" s="54" t="str" cm="1">
        <f t="array" ref="G103">IFERROR(_xlfn.LET(
_xlpm.CSVVal,_xlfn.XLOOKUP($A103,CSV!$A:$A,CSV!F:F,""),
_xlpm.MacVal,_xlfn.XLOOKUP($A103,Output_Mac!$A:$A,Output_Mac!H:H,""),
_xlpm.MyAuditVal,_xlfn.XLOOKUP($A103,My_Audit!$A:$A,My_Audit!F:F,""),
_xlfn.IFS(_xlpm.MyAuditVal&lt;&gt;"",_xlpm.MyAuditVal,_xlpm.MacVal&lt;&gt;"",_xlpm.MacVal,_xlpm.CSVVal&lt;&gt;"",_xlpm.CSVVal
)),"")</f>
        <v/>
      </c>
      <c r="H103" s="54" t="str">
        <f>_xlfn.XLOOKUP(A103,Output_Mac!A:A,Output_Mac!I:I,"")</f>
        <v/>
      </c>
      <c r="I103" s="54" t="str" cm="1">
        <f t="array" ref="I103">IFERROR(_xlfn.LET(
_xlpm.CSVVal,_xlfn.XLOOKUP($A103,CSV!$A:$A,CSV!G:G,""),
_xlpm.MacVal,_xlfn.XLOOKUP($A103,Output_Mac!$A:$A,Output_Mac!J:J,""),
_xlpm.MyAuditVal,_xlfn.XLOOKUP($A103,My_Audit!$A:$A,My_Audit!H:H,""),
_xlfn.IFS(_xlpm.MyAuditVal&lt;&gt;"",UPPER(_xlpm.MyAuditVal),_xlpm.MacVal&lt;&gt;"",_xlpm.MacVal,_xlpm.CSVVal&lt;&gt;"",_xlpm.CSVVal
)),"")</f>
        <v/>
      </c>
      <c r="J103" s="54" t="str" cm="1">
        <f t="array" ref="J103">IFERROR(_xlfn.LET(
_xlpm.CSVVal,_xlfn.XLOOKUP($A103,CSV!$A:$A,CSV!I:I,""),
_xlpm.MacVal,_xlfn.XLOOKUP($A103,Output_Mac!$A:$A,Output_Mac!K:K,""),
_xlpm.MyAuditVal,_xlfn.XLOOKUP($A103,My_Audit!$A:$A,My_Audit!I:I,""),
_xlfn.IFS(_xlpm.MyAuditVal&lt;&gt;"",UPPER(_xlpm.MyAuditVal),_xlpm.MacVal&lt;&gt;"",_xlpm.MacVal,_xlpm.CSVVal&lt;&gt;"",_xlpm.CSVVal
)),"")</f>
        <v/>
      </c>
      <c r="K103" s="54" t="str" cm="1">
        <f t="array" ref="K103">IFERROR(_xlfn.LET(
_xlpm.CSVVal,_xlfn.XLOOKUP($A103,CSV!$A:$A,CSV!M:M,""),
_xlpm.MacVal,_xlfn.XLOOKUP($A103,Output_Mac!$A:$A,Output_Mac!L:L,""),
_xlpm.MyAuditVal,_xlfn.XLOOKUP($A103,My_Audit!$A:$A,My_Audit!J:J,""),
_xlfn.IFS(_xlpm.MyAuditVal&lt;&gt;"",UPPER(_xlpm.MyAuditVal),_xlpm.MacVal&lt;&gt;"",_xlpm.MacVal,_xlpm.CSVVal&lt;&gt;"",_xlpm.CSVVal
)),"")</f>
        <v/>
      </c>
      <c r="L103" s="55" t="str" cm="1">
        <f t="array" ref="L103">IFERROR(_xlfn.LET(
_xlpm.CSVVal,_xlfn.XLOOKUP($A103,CSV!$A:$A,CSV!P:P,""),
_xlpm.MacVal,_xlfn.XLOOKUP($A103,Output_Mac!$A:$A,Output_Mac!M:M,""),
_xlpm.MyAuditVal,_xlfn.XLOOKUP($A103,My_Audit!$A:$A,My_Audit!K:K,""),
_xlfn.IFS(_xlpm.MyAuditVal&lt;&gt;"",UPPER(_xlpm.MyAuditVal),_xlpm.MacVal&lt;&gt;"",_xlpm.MacVal,_xlpm.CSVVal&lt;&gt;"",_xlpm.CSVVal
)),"")</f>
        <v/>
      </c>
      <c r="M103" s="54" t="str">
        <f>_xlfn.LET(
    _xlpm.CSVVal, _xlfn.XLOOKUP($A103, CSV!$A:$A, CSV!AD:AD, ""),
    _xlpm.MacVal, _xlfn.XLOOKUP($A103, Output_Mac!$A:$A, Output_Mac!S:S, ""),
    _xlpm.MyAuditVal, _xlfn.XLOOKUP($A103, My_Audit!$A:$A, My_Audit!N:N, ""),
    _xlfn.TEXTJOIN(", ", TRUE, _xlpm.MyAuditVal, _xlpm.MacVal, _xlpm.CSVVal)
)</f>
        <v/>
      </c>
      <c r="N103" s="54" t="str" cm="1">
        <f t="array" ref="N103">IFERROR(_xlfn.LET(
_xlpm.CSVVal,_xlfn.XLOOKUP($A103,CSV!$A:$A,CSV!AF:AF,""),
_xlpm.MacVal,_xlfn.XLOOKUP($A103,Output_Mac!$A:$A,Output_Mac!U:U,""),
_xlpm.MyAuditVal,_xlfn.XLOOKUP($A103,My_Audit!$A:$A,My_Audit!O:O,""),
_xlfn.IFS(_xlpm.MyAuditVal&lt;&gt;"",UPPER(_xlpm.MyAuditVal),_xlpm.MacVal&lt;&gt;"",_xlpm.MacVal,_xlpm.CSVVal&lt;&gt;"",_xlpm.CSVVal
)),"")</f>
        <v/>
      </c>
      <c r="O103" s="54"/>
      <c r="P103" s="54"/>
      <c r="Q103" s="54"/>
      <c r="R103" s="54"/>
      <c r="S103" s="54"/>
      <c r="T103" s="54"/>
      <c r="U103" s="39" t="str">
        <f>_xlfn.LET(
    _xlpm.MacVal, _xlfn.XLOOKUP($A103, Output_Mac!$A:$A, Output_Mac!AB:AB, ""),
    _xlpm.MyAuditVal, _xlfn.XLOOKUP($A103, My_Audit!$A:$A, My_Audit!L:L, ""),
    _xlfn.TEXTJOIN(", ", TRUE, _xlpm.MyAuditVal, _xlpm.MacVal)
)</f>
        <v/>
      </c>
    </row>
    <row r="104" spans="1:21">
      <c r="A104" s="54" t="str">
        <f>_xlfn.TEXTJOIN("",TRUE,Input!$B$2,ROW(My_Audit!A103))</f>
        <v>XX103</v>
      </c>
      <c r="B104" s="54" t="str">
        <f>_xlfn.TEXTJOIN("-",TRUE,"ITD",Input!$A$2,A104)</f>
        <v>ITD-SHRXXX-XX103</v>
      </c>
      <c r="C104" s="54" t="str" cm="1">
        <f t="array" ref="C104">IFERROR(_xlfn.LET(
_xlpm.CSVVal,_xlfn.XLOOKUP($A104,CSV!$A:$A,CSV!B:B,""),
_xlpm.MacVal,_xlfn.XLOOKUP($A104,Output_Mac!$A:$A,Output_Mac!B:B,""),
_xlpm.MyAuditVal,_xlfn.XLOOKUP($A104,My_Audit!$A:$A,My_Audit!B:B,""),
_xlfn.IFS(_xlpm.MyAuditVal&lt;&gt;"",UPPER(_xlpm.MyAuditVal),_xlpm.MacVal&lt;&gt;"",_xlpm.MacVal,_xlpm.CSVVal&lt;&gt;"",_xlpm.CSVVal
)),"")</f>
        <v/>
      </c>
      <c r="D104" s="55" t="str">
        <f>_xlfn.XLOOKUP(A104,My_Audit!A:A,My_Audit!D:D,"")&amp;""</f>
        <v/>
      </c>
      <c r="E104" s="55" t="str" cm="1">
        <f t="array" ref="E104">IFERROR(_xlfn.LET(
_xlpm.CSVVal,_xlfn.XLOOKUP($A104,CSV!$A:$A,CSV!D:D,""),
_xlpm.MacVal,_xlfn.XLOOKUP($A104,Output_Mac!$A:$A,Output_Mac!C:C,""),
_xlpm.MyAuditVal,_xlfn.XLOOKUP($A104,My_Audit!$A:$A,My_Audit!D:D,""),
_xlfn.IFS(_xlpm.MyAuditVal&lt;&gt;"",_xlpm.MyAuditVal,_xlpm.MacVal&lt;&gt;"",_xlpm.MacVal,_xlpm.CSVVal&lt;&gt;"",_xlpm.CSVVal
)),"")</f>
        <v/>
      </c>
      <c r="F104" s="54" t="str" cm="1">
        <f t="array" ref="F104">IFERROR(_xlfn.LET(
_xlpm.CSVVal,_xlfn.XLOOKUP($A104,CSV!$A:$A,CSV!E:E,""),
_xlpm.MacVal,_xlfn.XLOOKUP($A104,Output_Mac!$A:$A,Output_Mac!F:F,""),
_xlpm.MyAuditVal,_xlfn.XLOOKUP($A104,My_Audit!$A:$A,My_Audit!E:E,""),
_xlfn.IFS(_xlpm.MyAuditVal&lt;&gt;"",_xlpm.MyAuditVal,_xlpm.MacVal&lt;&gt;"",_xlpm.MacVal,_xlpm.CSVVal&lt;&gt;"",PROPER(_xlpm.CSVVal)
)),"")</f>
        <v/>
      </c>
      <c r="G104" s="54" t="str" cm="1">
        <f t="array" ref="G104">IFERROR(_xlfn.LET(
_xlpm.CSVVal,_xlfn.XLOOKUP($A104,CSV!$A:$A,CSV!F:F,""),
_xlpm.MacVal,_xlfn.XLOOKUP($A104,Output_Mac!$A:$A,Output_Mac!H:H,""),
_xlpm.MyAuditVal,_xlfn.XLOOKUP($A104,My_Audit!$A:$A,My_Audit!F:F,""),
_xlfn.IFS(_xlpm.MyAuditVal&lt;&gt;"",_xlpm.MyAuditVal,_xlpm.MacVal&lt;&gt;"",_xlpm.MacVal,_xlpm.CSVVal&lt;&gt;"",_xlpm.CSVVal
)),"")</f>
        <v/>
      </c>
      <c r="H104" s="54" t="str">
        <f>_xlfn.XLOOKUP(A104,Output_Mac!A:A,Output_Mac!I:I,"")</f>
        <v/>
      </c>
      <c r="I104" s="54" t="str" cm="1">
        <f t="array" ref="I104">IFERROR(_xlfn.LET(
_xlpm.CSVVal,_xlfn.XLOOKUP($A104,CSV!$A:$A,CSV!G:G,""),
_xlpm.MacVal,_xlfn.XLOOKUP($A104,Output_Mac!$A:$A,Output_Mac!J:J,""),
_xlpm.MyAuditVal,_xlfn.XLOOKUP($A104,My_Audit!$A:$A,My_Audit!H:H,""),
_xlfn.IFS(_xlpm.MyAuditVal&lt;&gt;"",UPPER(_xlpm.MyAuditVal),_xlpm.MacVal&lt;&gt;"",_xlpm.MacVal,_xlpm.CSVVal&lt;&gt;"",_xlpm.CSVVal
)),"")</f>
        <v/>
      </c>
      <c r="J104" s="54" t="str" cm="1">
        <f t="array" ref="J104">IFERROR(_xlfn.LET(
_xlpm.CSVVal,_xlfn.XLOOKUP($A104,CSV!$A:$A,CSV!I:I,""),
_xlpm.MacVal,_xlfn.XLOOKUP($A104,Output_Mac!$A:$A,Output_Mac!K:K,""),
_xlpm.MyAuditVal,_xlfn.XLOOKUP($A104,My_Audit!$A:$A,My_Audit!I:I,""),
_xlfn.IFS(_xlpm.MyAuditVal&lt;&gt;"",UPPER(_xlpm.MyAuditVal),_xlpm.MacVal&lt;&gt;"",_xlpm.MacVal,_xlpm.CSVVal&lt;&gt;"",_xlpm.CSVVal
)),"")</f>
        <v/>
      </c>
      <c r="K104" s="54" t="str" cm="1">
        <f t="array" ref="K104">IFERROR(_xlfn.LET(
_xlpm.CSVVal,_xlfn.XLOOKUP($A104,CSV!$A:$A,CSV!M:M,""),
_xlpm.MacVal,_xlfn.XLOOKUP($A104,Output_Mac!$A:$A,Output_Mac!L:L,""),
_xlpm.MyAuditVal,_xlfn.XLOOKUP($A104,My_Audit!$A:$A,My_Audit!J:J,""),
_xlfn.IFS(_xlpm.MyAuditVal&lt;&gt;"",UPPER(_xlpm.MyAuditVal),_xlpm.MacVal&lt;&gt;"",_xlpm.MacVal,_xlpm.CSVVal&lt;&gt;"",_xlpm.CSVVal
)),"")</f>
        <v/>
      </c>
      <c r="L104" s="55" t="str" cm="1">
        <f t="array" ref="L104">IFERROR(_xlfn.LET(
_xlpm.CSVVal,_xlfn.XLOOKUP($A104,CSV!$A:$A,CSV!P:P,""),
_xlpm.MacVal,_xlfn.XLOOKUP($A104,Output_Mac!$A:$A,Output_Mac!M:M,""),
_xlpm.MyAuditVal,_xlfn.XLOOKUP($A104,My_Audit!$A:$A,My_Audit!K:K,""),
_xlfn.IFS(_xlpm.MyAuditVal&lt;&gt;"",UPPER(_xlpm.MyAuditVal),_xlpm.MacVal&lt;&gt;"",_xlpm.MacVal,_xlpm.CSVVal&lt;&gt;"",_xlpm.CSVVal
)),"")</f>
        <v/>
      </c>
      <c r="M104" s="54" t="str">
        <f>_xlfn.LET(
    _xlpm.CSVVal, _xlfn.XLOOKUP($A104, CSV!$A:$A, CSV!AD:AD, ""),
    _xlpm.MacVal, _xlfn.XLOOKUP($A104, Output_Mac!$A:$A, Output_Mac!S:S, ""),
    _xlpm.MyAuditVal, _xlfn.XLOOKUP($A104, My_Audit!$A:$A, My_Audit!N:N, ""),
    _xlfn.TEXTJOIN(", ", TRUE, _xlpm.MyAuditVal, _xlpm.MacVal, _xlpm.CSVVal)
)</f>
        <v/>
      </c>
      <c r="N104" s="54" t="str" cm="1">
        <f t="array" ref="N104">IFERROR(_xlfn.LET(
_xlpm.CSVVal,_xlfn.XLOOKUP($A104,CSV!$A:$A,CSV!AF:AF,""),
_xlpm.MacVal,_xlfn.XLOOKUP($A104,Output_Mac!$A:$A,Output_Mac!U:U,""),
_xlpm.MyAuditVal,_xlfn.XLOOKUP($A104,My_Audit!$A:$A,My_Audit!O:O,""),
_xlfn.IFS(_xlpm.MyAuditVal&lt;&gt;"",UPPER(_xlpm.MyAuditVal),_xlpm.MacVal&lt;&gt;"",_xlpm.MacVal,_xlpm.CSVVal&lt;&gt;"",_xlpm.CSVVal
)),"")</f>
        <v/>
      </c>
      <c r="O104" s="54"/>
      <c r="P104" s="54"/>
      <c r="Q104" s="54"/>
      <c r="R104" s="54"/>
      <c r="S104" s="54"/>
      <c r="T104" s="54"/>
      <c r="U104" s="39" t="str">
        <f>_xlfn.LET(
    _xlpm.MacVal, _xlfn.XLOOKUP($A104, Output_Mac!$A:$A, Output_Mac!AB:AB, ""),
    _xlpm.MyAuditVal, _xlfn.XLOOKUP($A104, My_Audit!$A:$A, My_Audit!L:L, ""),
    _xlfn.TEXTJOIN(", ", TRUE, _xlpm.MyAuditVal, _xlpm.MacVal)
)</f>
        <v/>
      </c>
    </row>
    <row r="105" spans="1:21">
      <c r="A105" s="54" t="str">
        <f>_xlfn.TEXTJOIN("",TRUE,Input!$B$2,ROW(My_Audit!A104))</f>
        <v>XX104</v>
      </c>
      <c r="B105" s="54" t="str">
        <f>_xlfn.TEXTJOIN("-",TRUE,"ITD",Input!$A$2,A105)</f>
        <v>ITD-SHRXXX-XX104</v>
      </c>
      <c r="C105" s="54" t="str" cm="1">
        <f t="array" ref="C105">IFERROR(_xlfn.LET(
_xlpm.CSVVal,_xlfn.XLOOKUP($A105,CSV!$A:$A,CSV!B:B,""),
_xlpm.MacVal,_xlfn.XLOOKUP($A105,Output_Mac!$A:$A,Output_Mac!B:B,""),
_xlpm.MyAuditVal,_xlfn.XLOOKUP($A105,My_Audit!$A:$A,My_Audit!B:B,""),
_xlfn.IFS(_xlpm.MyAuditVal&lt;&gt;"",UPPER(_xlpm.MyAuditVal),_xlpm.MacVal&lt;&gt;"",_xlpm.MacVal,_xlpm.CSVVal&lt;&gt;"",_xlpm.CSVVal
)),"")</f>
        <v/>
      </c>
      <c r="D105" s="55" t="str">
        <f>_xlfn.XLOOKUP(A105,My_Audit!A:A,My_Audit!D:D,"")&amp;""</f>
        <v/>
      </c>
      <c r="E105" s="55" t="str" cm="1">
        <f t="array" ref="E105">IFERROR(_xlfn.LET(
_xlpm.CSVVal,_xlfn.XLOOKUP($A105,CSV!$A:$A,CSV!D:D,""),
_xlpm.MacVal,_xlfn.XLOOKUP($A105,Output_Mac!$A:$A,Output_Mac!C:C,""),
_xlpm.MyAuditVal,_xlfn.XLOOKUP($A105,My_Audit!$A:$A,My_Audit!D:D,""),
_xlfn.IFS(_xlpm.MyAuditVal&lt;&gt;"",_xlpm.MyAuditVal,_xlpm.MacVal&lt;&gt;"",_xlpm.MacVal,_xlpm.CSVVal&lt;&gt;"",_xlpm.CSVVal
)),"")</f>
        <v/>
      </c>
      <c r="F105" s="54" t="str" cm="1">
        <f t="array" ref="F105">IFERROR(_xlfn.LET(
_xlpm.CSVVal,_xlfn.XLOOKUP($A105,CSV!$A:$A,CSV!E:E,""),
_xlpm.MacVal,_xlfn.XLOOKUP($A105,Output_Mac!$A:$A,Output_Mac!F:F,""),
_xlpm.MyAuditVal,_xlfn.XLOOKUP($A105,My_Audit!$A:$A,My_Audit!E:E,""),
_xlfn.IFS(_xlpm.MyAuditVal&lt;&gt;"",_xlpm.MyAuditVal,_xlpm.MacVal&lt;&gt;"",_xlpm.MacVal,_xlpm.CSVVal&lt;&gt;"",PROPER(_xlpm.CSVVal)
)),"")</f>
        <v/>
      </c>
      <c r="G105" s="54" t="str" cm="1">
        <f t="array" ref="G105">IFERROR(_xlfn.LET(
_xlpm.CSVVal,_xlfn.XLOOKUP($A105,CSV!$A:$A,CSV!F:F,""),
_xlpm.MacVal,_xlfn.XLOOKUP($A105,Output_Mac!$A:$A,Output_Mac!H:H,""),
_xlpm.MyAuditVal,_xlfn.XLOOKUP($A105,My_Audit!$A:$A,My_Audit!F:F,""),
_xlfn.IFS(_xlpm.MyAuditVal&lt;&gt;"",_xlpm.MyAuditVal,_xlpm.MacVal&lt;&gt;"",_xlpm.MacVal,_xlpm.CSVVal&lt;&gt;"",_xlpm.CSVVal
)),"")</f>
        <v/>
      </c>
      <c r="H105" s="54" t="str">
        <f>_xlfn.XLOOKUP(A105,Output_Mac!A:A,Output_Mac!I:I,"")</f>
        <v/>
      </c>
      <c r="I105" s="54" t="str" cm="1">
        <f t="array" ref="I105">IFERROR(_xlfn.LET(
_xlpm.CSVVal,_xlfn.XLOOKUP($A105,CSV!$A:$A,CSV!G:G,""),
_xlpm.MacVal,_xlfn.XLOOKUP($A105,Output_Mac!$A:$A,Output_Mac!J:J,""),
_xlpm.MyAuditVal,_xlfn.XLOOKUP($A105,My_Audit!$A:$A,My_Audit!H:H,""),
_xlfn.IFS(_xlpm.MyAuditVal&lt;&gt;"",UPPER(_xlpm.MyAuditVal),_xlpm.MacVal&lt;&gt;"",_xlpm.MacVal,_xlpm.CSVVal&lt;&gt;"",_xlpm.CSVVal
)),"")</f>
        <v/>
      </c>
      <c r="J105" s="54" t="str" cm="1">
        <f t="array" ref="J105">IFERROR(_xlfn.LET(
_xlpm.CSVVal,_xlfn.XLOOKUP($A105,CSV!$A:$A,CSV!I:I,""),
_xlpm.MacVal,_xlfn.XLOOKUP($A105,Output_Mac!$A:$A,Output_Mac!K:K,""),
_xlpm.MyAuditVal,_xlfn.XLOOKUP($A105,My_Audit!$A:$A,My_Audit!I:I,""),
_xlfn.IFS(_xlpm.MyAuditVal&lt;&gt;"",UPPER(_xlpm.MyAuditVal),_xlpm.MacVal&lt;&gt;"",_xlpm.MacVal,_xlpm.CSVVal&lt;&gt;"",_xlpm.CSVVal
)),"")</f>
        <v/>
      </c>
      <c r="K105" s="54" t="str" cm="1">
        <f t="array" ref="K105">IFERROR(_xlfn.LET(
_xlpm.CSVVal,_xlfn.XLOOKUP($A105,CSV!$A:$A,CSV!M:M,""),
_xlpm.MacVal,_xlfn.XLOOKUP($A105,Output_Mac!$A:$A,Output_Mac!L:L,""),
_xlpm.MyAuditVal,_xlfn.XLOOKUP($A105,My_Audit!$A:$A,My_Audit!J:J,""),
_xlfn.IFS(_xlpm.MyAuditVal&lt;&gt;"",UPPER(_xlpm.MyAuditVal),_xlpm.MacVal&lt;&gt;"",_xlpm.MacVal,_xlpm.CSVVal&lt;&gt;"",_xlpm.CSVVal
)),"")</f>
        <v/>
      </c>
      <c r="L105" s="55" t="str" cm="1">
        <f t="array" ref="L105">IFERROR(_xlfn.LET(
_xlpm.CSVVal,_xlfn.XLOOKUP($A105,CSV!$A:$A,CSV!P:P,""),
_xlpm.MacVal,_xlfn.XLOOKUP($A105,Output_Mac!$A:$A,Output_Mac!M:M,""),
_xlpm.MyAuditVal,_xlfn.XLOOKUP($A105,My_Audit!$A:$A,My_Audit!K:K,""),
_xlfn.IFS(_xlpm.MyAuditVal&lt;&gt;"",UPPER(_xlpm.MyAuditVal),_xlpm.MacVal&lt;&gt;"",_xlpm.MacVal,_xlpm.CSVVal&lt;&gt;"",_xlpm.CSVVal
)),"")</f>
        <v/>
      </c>
      <c r="M105" s="54" t="str">
        <f>_xlfn.LET(
    _xlpm.CSVVal, _xlfn.XLOOKUP($A105, CSV!$A:$A, CSV!AD:AD, ""),
    _xlpm.MacVal, _xlfn.XLOOKUP($A105, Output_Mac!$A:$A, Output_Mac!S:S, ""),
    _xlpm.MyAuditVal, _xlfn.XLOOKUP($A105, My_Audit!$A:$A, My_Audit!N:N, ""),
    _xlfn.TEXTJOIN(", ", TRUE, _xlpm.MyAuditVal, _xlpm.MacVal, _xlpm.CSVVal)
)</f>
        <v/>
      </c>
      <c r="N105" s="54" t="str" cm="1">
        <f t="array" ref="N105">IFERROR(_xlfn.LET(
_xlpm.CSVVal,_xlfn.XLOOKUP($A105,CSV!$A:$A,CSV!AF:AF,""),
_xlpm.MacVal,_xlfn.XLOOKUP($A105,Output_Mac!$A:$A,Output_Mac!U:U,""),
_xlpm.MyAuditVal,_xlfn.XLOOKUP($A105,My_Audit!$A:$A,My_Audit!O:O,""),
_xlfn.IFS(_xlpm.MyAuditVal&lt;&gt;"",UPPER(_xlpm.MyAuditVal),_xlpm.MacVal&lt;&gt;"",_xlpm.MacVal,_xlpm.CSVVal&lt;&gt;"",_xlpm.CSVVal
)),"")</f>
        <v/>
      </c>
      <c r="O105" s="54"/>
      <c r="P105" s="54"/>
      <c r="Q105" s="54"/>
      <c r="R105" s="54"/>
      <c r="S105" s="54"/>
      <c r="T105" s="54"/>
      <c r="U105" s="39" t="str">
        <f>_xlfn.LET(
    _xlpm.MacVal, _xlfn.XLOOKUP($A105, Output_Mac!$A:$A, Output_Mac!AB:AB, ""),
    _xlpm.MyAuditVal, _xlfn.XLOOKUP($A105, My_Audit!$A:$A, My_Audit!L:L, ""),
    _xlfn.TEXTJOIN(", ", TRUE, _xlpm.MyAuditVal, _xlpm.MacVal)
)</f>
        <v/>
      </c>
    </row>
    <row r="106" spans="1:21">
      <c r="A106" s="54" t="str">
        <f>_xlfn.TEXTJOIN("",TRUE,Input!$B$2,ROW(My_Audit!A105))</f>
        <v>XX105</v>
      </c>
      <c r="B106" s="54" t="str">
        <f>_xlfn.TEXTJOIN("-",TRUE,"ITD",Input!$A$2,A106)</f>
        <v>ITD-SHRXXX-XX105</v>
      </c>
      <c r="C106" s="54" t="str" cm="1">
        <f t="array" ref="C106">IFERROR(_xlfn.LET(
_xlpm.CSVVal,_xlfn.XLOOKUP($A106,CSV!$A:$A,CSV!B:B,""),
_xlpm.MacVal,_xlfn.XLOOKUP($A106,Output_Mac!$A:$A,Output_Mac!B:B,""),
_xlpm.MyAuditVal,_xlfn.XLOOKUP($A106,My_Audit!$A:$A,My_Audit!B:B,""),
_xlfn.IFS(_xlpm.MyAuditVal&lt;&gt;"",UPPER(_xlpm.MyAuditVal),_xlpm.MacVal&lt;&gt;"",_xlpm.MacVal,_xlpm.CSVVal&lt;&gt;"",_xlpm.CSVVal
)),"")</f>
        <v/>
      </c>
      <c r="D106" s="55" t="str">
        <f>_xlfn.XLOOKUP(A106,My_Audit!A:A,My_Audit!D:D,"")&amp;""</f>
        <v/>
      </c>
      <c r="E106" s="55" t="str" cm="1">
        <f t="array" ref="E106">IFERROR(_xlfn.LET(
_xlpm.CSVVal,_xlfn.XLOOKUP($A106,CSV!$A:$A,CSV!D:D,""),
_xlpm.MacVal,_xlfn.XLOOKUP($A106,Output_Mac!$A:$A,Output_Mac!C:C,""),
_xlpm.MyAuditVal,_xlfn.XLOOKUP($A106,My_Audit!$A:$A,My_Audit!D:D,""),
_xlfn.IFS(_xlpm.MyAuditVal&lt;&gt;"",_xlpm.MyAuditVal,_xlpm.MacVal&lt;&gt;"",_xlpm.MacVal,_xlpm.CSVVal&lt;&gt;"",_xlpm.CSVVal
)),"")</f>
        <v/>
      </c>
      <c r="F106" s="54" t="str" cm="1">
        <f t="array" ref="F106">IFERROR(_xlfn.LET(
_xlpm.CSVVal,_xlfn.XLOOKUP($A106,CSV!$A:$A,CSV!E:E,""),
_xlpm.MacVal,_xlfn.XLOOKUP($A106,Output_Mac!$A:$A,Output_Mac!F:F,""),
_xlpm.MyAuditVal,_xlfn.XLOOKUP($A106,My_Audit!$A:$A,My_Audit!E:E,""),
_xlfn.IFS(_xlpm.MyAuditVal&lt;&gt;"",_xlpm.MyAuditVal,_xlpm.MacVal&lt;&gt;"",_xlpm.MacVal,_xlpm.CSVVal&lt;&gt;"",PROPER(_xlpm.CSVVal)
)),"")</f>
        <v/>
      </c>
      <c r="G106" s="54" t="str" cm="1">
        <f t="array" ref="G106">IFERROR(_xlfn.LET(
_xlpm.CSVVal,_xlfn.XLOOKUP($A106,CSV!$A:$A,CSV!F:F,""),
_xlpm.MacVal,_xlfn.XLOOKUP($A106,Output_Mac!$A:$A,Output_Mac!H:H,""),
_xlpm.MyAuditVal,_xlfn.XLOOKUP($A106,My_Audit!$A:$A,My_Audit!F:F,""),
_xlfn.IFS(_xlpm.MyAuditVal&lt;&gt;"",_xlpm.MyAuditVal,_xlpm.MacVal&lt;&gt;"",_xlpm.MacVal,_xlpm.CSVVal&lt;&gt;"",_xlpm.CSVVal
)),"")</f>
        <v/>
      </c>
      <c r="H106" s="54" t="str">
        <f>_xlfn.XLOOKUP(A106,Output_Mac!A:A,Output_Mac!I:I,"")</f>
        <v/>
      </c>
      <c r="I106" s="54" t="str" cm="1">
        <f t="array" ref="I106">IFERROR(_xlfn.LET(
_xlpm.CSVVal,_xlfn.XLOOKUP($A106,CSV!$A:$A,CSV!G:G,""),
_xlpm.MacVal,_xlfn.XLOOKUP($A106,Output_Mac!$A:$A,Output_Mac!J:J,""),
_xlpm.MyAuditVal,_xlfn.XLOOKUP($A106,My_Audit!$A:$A,My_Audit!H:H,""),
_xlfn.IFS(_xlpm.MyAuditVal&lt;&gt;"",UPPER(_xlpm.MyAuditVal),_xlpm.MacVal&lt;&gt;"",_xlpm.MacVal,_xlpm.CSVVal&lt;&gt;"",_xlpm.CSVVal
)),"")</f>
        <v/>
      </c>
      <c r="J106" s="54" t="str" cm="1">
        <f t="array" ref="J106">IFERROR(_xlfn.LET(
_xlpm.CSVVal,_xlfn.XLOOKUP($A106,CSV!$A:$A,CSV!I:I,""),
_xlpm.MacVal,_xlfn.XLOOKUP($A106,Output_Mac!$A:$A,Output_Mac!K:K,""),
_xlpm.MyAuditVal,_xlfn.XLOOKUP($A106,My_Audit!$A:$A,My_Audit!I:I,""),
_xlfn.IFS(_xlpm.MyAuditVal&lt;&gt;"",UPPER(_xlpm.MyAuditVal),_xlpm.MacVal&lt;&gt;"",_xlpm.MacVal,_xlpm.CSVVal&lt;&gt;"",_xlpm.CSVVal
)),"")</f>
        <v/>
      </c>
      <c r="K106" s="54" t="str" cm="1">
        <f t="array" ref="K106">IFERROR(_xlfn.LET(
_xlpm.CSVVal,_xlfn.XLOOKUP($A106,CSV!$A:$A,CSV!M:M,""),
_xlpm.MacVal,_xlfn.XLOOKUP($A106,Output_Mac!$A:$A,Output_Mac!L:L,""),
_xlpm.MyAuditVal,_xlfn.XLOOKUP($A106,My_Audit!$A:$A,My_Audit!J:J,""),
_xlfn.IFS(_xlpm.MyAuditVal&lt;&gt;"",UPPER(_xlpm.MyAuditVal),_xlpm.MacVal&lt;&gt;"",_xlpm.MacVal,_xlpm.CSVVal&lt;&gt;"",_xlpm.CSVVal
)),"")</f>
        <v/>
      </c>
      <c r="L106" s="55" t="str" cm="1">
        <f t="array" ref="L106">IFERROR(_xlfn.LET(
_xlpm.CSVVal,_xlfn.XLOOKUP($A106,CSV!$A:$A,CSV!P:P,""),
_xlpm.MacVal,_xlfn.XLOOKUP($A106,Output_Mac!$A:$A,Output_Mac!M:M,""),
_xlpm.MyAuditVal,_xlfn.XLOOKUP($A106,My_Audit!$A:$A,My_Audit!K:K,""),
_xlfn.IFS(_xlpm.MyAuditVal&lt;&gt;"",UPPER(_xlpm.MyAuditVal),_xlpm.MacVal&lt;&gt;"",_xlpm.MacVal,_xlpm.CSVVal&lt;&gt;"",_xlpm.CSVVal
)),"")</f>
        <v/>
      </c>
      <c r="M106" s="54" t="str">
        <f>_xlfn.LET(
    _xlpm.CSVVal, _xlfn.XLOOKUP($A106, CSV!$A:$A, CSV!AD:AD, ""),
    _xlpm.MacVal, _xlfn.XLOOKUP($A106, Output_Mac!$A:$A, Output_Mac!S:S, ""),
    _xlpm.MyAuditVal, _xlfn.XLOOKUP($A106, My_Audit!$A:$A, My_Audit!N:N, ""),
    _xlfn.TEXTJOIN(", ", TRUE, _xlpm.MyAuditVal, _xlpm.MacVal, _xlpm.CSVVal)
)</f>
        <v/>
      </c>
      <c r="N106" s="54" t="str" cm="1">
        <f t="array" ref="N106">IFERROR(_xlfn.LET(
_xlpm.CSVVal,_xlfn.XLOOKUP($A106,CSV!$A:$A,CSV!AF:AF,""),
_xlpm.MacVal,_xlfn.XLOOKUP($A106,Output_Mac!$A:$A,Output_Mac!U:U,""),
_xlpm.MyAuditVal,_xlfn.XLOOKUP($A106,My_Audit!$A:$A,My_Audit!O:O,""),
_xlfn.IFS(_xlpm.MyAuditVal&lt;&gt;"",UPPER(_xlpm.MyAuditVal),_xlpm.MacVal&lt;&gt;"",_xlpm.MacVal,_xlpm.CSVVal&lt;&gt;"",_xlpm.CSVVal
)),"")</f>
        <v/>
      </c>
      <c r="O106" s="54"/>
      <c r="P106" s="54"/>
      <c r="Q106" s="54"/>
      <c r="R106" s="54"/>
      <c r="S106" s="54"/>
      <c r="T106" s="54"/>
      <c r="U106" s="39" t="str">
        <f>_xlfn.LET(
    _xlpm.MacVal, _xlfn.XLOOKUP($A106, Output_Mac!$A:$A, Output_Mac!AB:AB, ""),
    _xlpm.MyAuditVal, _xlfn.XLOOKUP($A106, My_Audit!$A:$A, My_Audit!L:L, ""),
    _xlfn.TEXTJOIN(", ", TRUE, _xlpm.MyAuditVal, _xlpm.MacVal)
)</f>
        <v/>
      </c>
    </row>
    <row r="107" spans="1:21">
      <c r="A107" s="54" t="str">
        <f>_xlfn.TEXTJOIN("",TRUE,Input!$B$2,ROW(My_Audit!A106))</f>
        <v>XX106</v>
      </c>
      <c r="B107" s="54" t="str">
        <f>_xlfn.TEXTJOIN("-",TRUE,"ITD",Input!$A$2,A107)</f>
        <v>ITD-SHRXXX-XX106</v>
      </c>
      <c r="C107" s="54" t="str" cm="1">
        <f t="array" ref="C107">IFERROR(_xlfn.LET(
_xlpm.CSVVal,_xlfn.XLOOKUP($A107,CSV!$A:$A,CSV!B:B,""),
_xlpm.MacVal,_xlfn.XLOOKUP($A107,Output_Mac!$A:$A,Output_Mac!B:B,""),
_xlpm.MyAuditVal,_xlfn.XLOOKUP($A107,My_Audit!$A:$A,My_Audit!B:B,""),
_xlfn.IFS(_xlpm.MyAuditVal&lt;&gt;"",UPPER(_xlpm.MyAuditVal),_xlpm.MacVal&lt;&gt;"",_xlpm.MacVal,_xlpm.CSVVal&lt;&gt;"",_xlpm.CSVVal
)),"")</f>
        <v/>
      </c>
      <c r="D107" s="55" t="str">
        <f>_xlfn.XLOOKUP(A107,My_Audit!A:A,My_Audit!D:D,"")&amp;""</f>
        <v/>
      </c>
      <c r="E107" s="55" t="str" cm="1">
        <f t="array" ref="E107">IFERROR(_xlfn.LET(
_xlpm.CSVVal,_xlfn.XLOOKUP($A107,CSV!$A:$A,CSV!D:D,""),
_xlpm.MacVal,_xlfn.XLOOKUP($A107,Output_Mac!$A:$A,Output_Mac!C:C,""),
_xlpm.MyAuditVal,_xlfn.XLOOKUP($A107,My_Audit!$A:$A,My_Audit!D:D,""),
_xlfn.IFS(_xlpm.MyAuditVal&lt;&gt;"",_xlpm.MyAuditVal,_xlpm.MacVal&lt;&gt;"",_xlpm.MacVal,_xlpm.CSVVal&lt;&gt;"",_xlpm.CSVVal
)),"")</f>
        <v/>
      </c>
      <c r="F107" s="54" t="str" cm="1">
        <f t="array" ref="F107">IFERROR(_xlfn.LET(
_xlpm.CSVVal,_xlfn.XLOOKUP($A107,CSV!$A:$A,CSV!E:E,""),
_xlpm.MacVal,_xlfn.XLOOKUP($A107,Output_Mac!$A:$A,Output_Mac!F:F,""),
_xlpm.MyAuditVal,_xlfn.XLOOKUP($A107,My_Audit!$A:$A,My_Audit!E:E,""),
_xlfn.IFS(_xlpm.MyAuditVal&lt;&gt;"",_xlpm.MyAuditVal,_xlpm.MacVal&lt;&gt;"",_xlpm.MacVal,_xlpm.CSVVal&lt;&gt;"",PROPER(_xlpm.CSVVal)
)),"")</f>
        <v/>
      </c>
      <c r="G107" s="54" t="str" cm="1">
        <f t="array" ref="G107">IFERROR(_xlfn.LET(
_xlpm.CSVVal,_xlfn.XLOOKUP($A107,CSV!$A:$A,CSV!F:F,""),
_xlpm.MacVal,_xlfn.XLOOKUP($A107,Output_Mac!$A:$A,Output_Mac!H:H,""),
_xlpm.MyAuditVal,_xlfn.XLOOKUP($A107,My_Audit!$A:$A,My_Audit!F:F,""),
_xlfn.IFS(_xlpm.MyAuditVal&lt;&gt;"",_xlpm.MyAuditVal,_xlpm.MacVal&lt;&gt;"",_xlpm.MacVal,_xlpm.CSVVal&lt;&gt;"",_xlpm.CSVVal
)),"")</f>
        <v/>
      </c>
      <c r="H107" s="54" t="str">
        <f>_xlfn.XLOOKUP(A107,Output_Mac!A:A,Output_Mac!I:I,"")</f>
        <v/>
      </c>
      <c r="I107" s="54" t="str" cm="1">
        <f t="array" ref="I107">IFERROR(_xlfn.LET(
_xlpm.CSVVal,_xlfn.XLOOKUP($A107,CSV!$A:$A,CSV!G:G,""),
_xlpm.MacVal,_xlfn.XLOOKUP($A107,Output_Mac!$A:$A,Output_Mac!J:J,""),
_xlpm.MyAuditVal,_xlfn.XLOOKUP($A107,My_Audit!$A:$A,My_Audit!H:H,""),
_xlfn.IFS(_xlpm.MyAuditVal&lt;&gt;"",UPPER(_xlpm.MyAuditVal),_xlpm.MacVal&lt;&gt;"",_xlpm.MacVal,_xlpm.CSVVal&lt;&gt;"",_xlpm.CSVVal
)),"")</f>
        <v/>
      </c>
      <c r="J107" s="54" t="str" cm="1">
        <f t="array" ref="J107">IFERROR(_xlfn.LET(
_xlpm.CSVVal,_xlfn.XLOOKUP($A107,CSV!$A:$A,CSV!I:I,""),
_xlpm.MacVal,_xlfn.XLOOKUP($A107,Output_Mac!$A:$A,Output_Mac!K:K,""),
_xlpm.MyAuditVal,_xlfn.XLOOKUP($A107,My_Audit!$A:$A,My_Audit!I:I,""),
_xlfn.IFS(_xlpm.MyAuditVal&lt;&gt;"",UPPER(_xlpm.MyAuditVal),_xlpm.MacVal&lt;&gt;"",_xlpm.MacVal,_xlpm.CSVVal&lt;&gt;"",_xlpm.CSVVal
)),"")</f>
        <v/>
      </c>
      <c r="K107" s="54" t="str" cm="1">
        <f t="array" ref="K107">IFERROR(_xlfn.LET(
_xlpm.CSVVal,_xlfn.XLOOKUP($A107,CSV!$A:$A,CSV!M:M,""),
_xlpm.MacVal,_xlfn.XLOOKUP($A107,Output_Mac!$A:$A,Output_Mac!L:L,""),
_xlpm.MyAuditVal,_xlfn.XLOOKUP($A107,My_Audit!$A:$A,My_Audit!J:J,""),
_xlfn.IFS(_xlpm.MyAuditVal&lt;&gt;"",UPPER(_xlpm.MyAuditVal),_xlpm.MacVal&lt;&gt;"",_xlpm.MacVal,_xlpm.CSVVal&lt;&gt;"",_xlpm.CSVVal
)),"")</f>
        <v/>
      </c>
      <c r="L107" s="55" t="str" cm="1">
        <f t="array" ref="L107">IFERROR(_xlfn.LET(
_xlpm.CSVVal,_xlfn.XLOOKUP($A107,CSV!$A:$A,CSV!P:P,""),
_xlpm.MacVal,_xlfn.XLOOKUP($A107,Output_Mac!$A:$A,Output_Mac!M:M,""),
_xlpm.MyAuditVal,_xlfn.XLOOKUP($A107,My_Audit!$A:$A,My_Audit!K:K,""),
_xlfn.IFS(_xlpm.MyAuditVal&lt;&gt;"",UPPER(_xlpm.MyAuditVal),_xlpm.MacVal&lt;&gt;"",_xlpm.MacVal,_xlpm.CSVVal&lt;&gt;"",_xlpm.CSVVal
)),"")</f>
        <v/>
      </c>
      <c r="M107" s="54" t="str">
        <f>_xlfn.LET(
    _xlpm.CSVVal, _xlfn.XLOOKUP($A107, CSV!$A:$A, CSV!AD:AD, ""),
    _xlpm.MacVal, _xlfn.XLOOKUP($A107, Output_Mac!$A:$A, Output_Mac!S:S, ""),
    _xlpm.MyAuditVal, _xlfn.XLOOKUP($A107, My_Audit!$A:$A, My_Audit!N:N, ""),
    _xlfn.TEXTJOIN(", ", TRUE, _xlpm.MyAuditVal, _xlpm.MacVal, _xlpm.CSVVal)
)</f>
        <v/>
      </c>
      <c r="N107" s="54" t="str" cm="1">
        <f t="array" ref="N107">IFERROR(_xlfn.LET(
_xlpm.CSVVal,_xlfn.XLOOKUP($A107,CSV!$A:$A,CSV!AF:AF,""),
_xlpm.MacVal,_xlfn.XLOOKUP($A107,Output_Mac!$A:$A,Output_Mac!U:U,""),
_xlpm.MyAuditVal,_xlfn.XLOOKUP($A107,My_Audit!$A:$A,My_Audit!O:O,""),
_xlfn.IFS(_xlpm.MyAuditVal&lt;&gt;"",UPPER(_xlpm.MyAuditVal),_xlpm.MacVal&lt;&gt;"",_xlpm.MacVal,_xlpm.CSVVal&lt;&gt;"",_xlpm.CSVVal
)),"")</f>
        <v/>
      </c>
      <c r="O107" s="54"/>
      <c r="P107" s="54"/>
      <c r="Q107" s="54"/>
      <c r="R107" s="54"/>
      <c r="S107" s="54"/>
      <c r="T107" s="54"/>
      <c r="U107" s="39" t="str">
        <f>_xlfn.LET(
    _xlpm.MacVal, _xlfn.XLOOKUP($A107, Output_Mac!$A:$A, Output_Mac!AB:AB, ""),
    _xlpm.MyAuditVal, _xlfn.XLOOKUP($A107, My_Audit!$A:$A, My_Audit!L:L, ""),
    _xlfn.TEXTJOIN(", ", TRUE, _xlpm.MyAuditVal, _xlpm.MacVal)
)</f>
        <v/>
      </c>
    </row>
    <row r="108" spans="1:21">
      <c r="A108" s="54" t="str">
        <f>_xlfn.TEXTJOIN("",TRUE,Input!$B$2,ROW(My_Audit!A107))</f>
        <v>XX107</v>
      </c>
      <c r="B108" s="54" t="str">
        <f>_xlfn.TEXTJOIN("-",TRUE,"ITD",Input!$A$2,A108)</f>
        <v>ITD-SHRXXX-XX107</v>
      </c>
      <c r="C108" s="54" t="str" cm="1">
        <f t="array" ref="C108">IFERROR(_xlfn.LET(
_xlpm.CSVVal,_xlfn.XLOOKUP($A108,CSV!$A:$A,CSV!B:B,""),
_xlpm.MacVal,_xlfn.XLOOKUP($A108,Output_Mac!$A:$A,Output_Mac!B:B,""),
_xlpm.MyAuditVal,_xlfn.XLOOKUP($A108,My_Audit!$A:$A,My_Audit!B:B,""),
_xlfn.IFS(_xlpm.MyAuditVal&lt;&gt;"",UPPER(_xlpm.MyAuditVal),_xlpm.MacVal&lt;&gt;"",_xlpm.MacVal,_xlpm.CSVVal&lt;&gt;"",_xlpm.CSVVal
)),"")</f>
        <v/>
      </c>
      <c r="D108" s="55" t="str">
        <f>_xlfn.XLOOKUP(A108,My_Audit!A:A,My_Audit!D:D,"")&amp;""</f>
        <v/>
      </c>
      <c r="E108" s="55" t="str" cm="1">
        <f t="array" ref="E108">IFERROR(_xlfn.LET(
_xlpm.CSVVal,_xlfn.XLOOKUP($A108,CSV!$A:$A,CSV!D:D,""),
_xlpm.MacVal,_xlfn.XLOOKUP($A108,Output_Mac!$A:$A,Output_Mac!C:C,""),
_xlpm.MyAuditVal,_xlfn.XLOOKUP($A108,My_Audit!$A:$A,My_Audit!D:D,""),
_xlfn.IFS(_xlpm.MyAuditVal&lt;&gt;"",_xlpm.MyAuditVal,_xlpm.MacVal&lt;&gt;"",_xlpm.MacVal,_xlpm.CSVVal&lt;&gt;"",_xlpm.CSVVal
)),"")</f>
        <v/>
      </c>
      <c r="F108" s="54" t="str" cm="1">
        <f t="array" ref="F108">IFERROR(_xlfn.LET(
_xlpm.CSVVal,_xlfn.XLOOKUP($A108,CSV!$A:$A,CSV!E:E,""),
_xlpm.MacVal,_xlfn.XLOOKUP($A108,Output_Mac!$A:$A,Output_Mac!F:F,""),
_xlpm.MyAuditVal,_xlfn.XLOOKUP($A108,My_Audit!$A:$A,My_Audit!E:E,""),
_xlfn.IFS(_xlpm.MyAuditVal&lt;&gt;"",_xlpm.MyAuditVal,_xlpm.MacVal&lt;&gt;"",_xlpm.MacVal,_xlpm.CSVVal&lt;&gt;"",PROPER(_xlpm.CSVVal)
)),"")</f>
        <v/>
      </c>
      <c r="G108" s="54" t="str" cm="1">
        <f t="array" ref="G108">IFERROR(_xlfn.LET(
_xlpm.CSVVal,_xlfn.XLOOKUP($A108,CSV!$A:$A,CSV!F:F,""),
_xlpm.MacVal,_xlfn.XLOOKUP($A108,Output_Mac!$A:$A,Output_Mac!H:H,""),
_xlpm.MyAuditVal,_xlfn.XLOOKUP($A108,My_Audit!$A:$A,My_Audit!F:F,""),
_xlfn.IFS(_xlpm.MyAuditVal&lt;&gt;"",_xlpm.MyAuditVal,_xlpm.MacVal&lt;&gt;"",_xlpm.MacVal,_xlpm.CSVVal&lt;&gt;"",_xlpm.CSVVal
)),"")</f>
        <v/>
      </c>
      <c r="H108" s="54" t="str">
        <f>_xlfn.XLOOKUP(A108,Output_Mac!A:A,Output_Mac!I:I,"")</f>
        <v/>
      </c>
      <c r="I108" s="54" t="str" cm="1">
        <f t="array" ref="I108">IFERROR(_xlfn.LET(
_xlpm.CSVVal,_xlfn.XLOOKUP($A108,CSV!$A:$A,CSV!G:G,""),
_xlpm.MacVal,_xlfn.XLOOKUP($A108,Output_Mac!$A:$A,Output_Mac!J:J,""),
_xlpm.MyAuditVal,_xlfn.XLOOKUP($A108,My_Audit!$A:$A,My_Audit!H:H,""),
_xlfn.IFS(_xlpm.MyAuditVal&lt;&gt;"",UPPER(_xlpm.MyAuditVal),_xlpm.MacVal&lt;&gt;"",_xlpm.MacVal,_xlpm.CSVVal&lt;&gt;"",_xlpm.CSVVal
)),"")</f>
        <v/>
      </c>
      <c r="J108" s="54" t="str" cm="1">
        <f t="array" ref="J108">IFERROR(_xlfn.LET(
_xlpm.CSVVal,_xlfn.XLOOKUP($A108,CSV!$A:$A,CSV!I:I,""),
_xlpm.MacVal,_xlfn.XLOOKUP($A108,Output_Mac!$A:$A,Output_Mac!K:K,""),
_xlpm.MyAuditVal,_xlfn.XLOOKUP($A108,My_Audit!$A:$A,My_Audit!I:I,""),
_xlfn.IFS(_xlpm.MyAuditVal&lt;&gt;"",UPPER(_xlpm.MyAuditVal),_xlpm.MacVal&lt;&gt;"",_xlpm.MacVal,_xlpm.CSVVal&lt;&gt;"",_xlpm.CSVVal
)),"")</f>
        <v/>
      </c>
      <c r="K108" s="54" t="str" cm="1">
        <f t="array" ref="K108">IFERROR(_xlfn.LET(
_xlpm.CSVVal,_xlfn.XLOOKUP($A108,CSV!$A:$A,CSV!M:M,""),
_xlpm.MacVal,_xlfn.XLOOKUP($A108,Output_Mac!$A:$A,Output_Mac!L:L,""),
_xlpm.MyAuditVal,_xlfn.XLOOKUP($A108,My_Audit!$A:$A,My_Audit!J:J,""),
_xlfn.IFS(_xlpm.MyAuditVal&lt;&gt;"",UPPER(_xlpm.MyAuditVal),_xlpm.MacVal&lt;&gt;"",_xlpm.MacVal,_xlpm.CSVVal&lt;&gt;"",_xlpm.CSVVal
)),"")</f>
        <v/>
      </c>
      <c r="L108" s="55" t="str" cm="1">
        <f t="array" ref="L108">IFERROR(_xlfn.LET(
_xlpm.CSVVal,_xlfn.XLOOKUP($A108,CSV!$A:$A,CSV!P:P,""),
_xlpm.MacVal,_xlfn.XLOOKUP($A108,Output_Mac!$A:$A,Output_Mac!M:M,""),
_xlpm.MyAuditVal,_xlfn.XLOOKUP($A108,My_Audit!$A:$A,My_Audit!K:K,""),
_xlfn.IFS(_xlpm.MyAuditVal&lt;&gt;"",UPPER(_xlpm.MyAuditVal),_xlpm.MacVal&lt;&gt;"",_xlpm.MacVal,_xlpm.CSVVal&lt;&gt;"",_xlpm.CSVVal
)),"")</f>
        <v/>
      </c>
      <c r="M108" s="54" t="str">
        <f>_xlfn.LET(
    _xlpm.CSVVal, _xlfn.XLOOKUP($A108, CSV!$A:$A, CSV!AD:AD, ""),
    _xlpm.MacVal, _xlfn.XLOOKUP($A108, Output_Mac!$A:$A, Output_Mac!S:S, ""),
    _xlpm.MyAuditVal, _xlfn.XLOOKUP($A108, My_Audit!$A:$A, My_Audit!N:N, ""),
    _xlfn.TEXTJOIN(", ", TRUE, _xlpm.MyAuditVal, _xlpm.MacVal, _xlpm.CSVVal)
)</f>
        <v/>
      </c>
      <c r="N108" s="54" t="str" cm="1">
        <f t="array" ref="N108">IFERROR(_xlfn.LET(
_xlpm.CSVVal,_xlfn.XLOOKUP($A108,CSV!$A:$A,CSV!AF:AF,""),
_xlpm.MacVal,_xlfn.XLOOKUP($A108,Output_Mac!$A:$A,Output_Mac!U:U,""),
_xlpm.MyAuditVal,_xlfn.XLOOKUP($A108,My_Audit!$A:$A,My_Audit!O:O,""),
_xlfn.IFS(_xlpm.MyAuditVal&lt;&gt;"",UPPER(_xlpm.MyAuditVal),_xlpm.MacVal&lt;&gt;"",_xlpm.MacVal,_xlpm.CSVVal&lt;&gt;"",_xlpm.CSVVal
)),"")</f>
        <v/>
      </c>
      <c r="O108" s="54"/>
      <c r="P108" s="54"/>
      <c r="Q108" s="54"/>
      <c r="R108" s="54"/>
      <c r="S108" s="54"/>
      <c r="T108" s="54"/>
      <c r="U108" s="39" t="str">
        <f>_xlfn.LET(
    _xlpm.MacVal, _xlfn.XLOOKUP($A108, Output_Mac!$A:$A, Output_Mac!AB:AB, ""),
    _xlpm.MyAuditVal, _xlfn.XLOOKUP($A108, My_Audit!$A:$A, My_Audit!L:L, ""),
    _xlfn.TEXTJOIN(", ", TRUE, _xlpm.MyAuditVal, _xlpm.MacVal)
)</f>
        <v/>
      </c>
    </row>
    <row r="109" spans="1:21">
      <c r="A109" s="54" t="str">
        <f>_xlfn.TEXTJOIN("",TRUE,Input!$B$2,ROW(My_Audit!A108))</f>
        <v>XX108</v>
      </c>
      <c r="B109" s="54" t="str">
        <f>_xlfn.TEXTJOIN("-",TRUE,"ITD",Input!$A$2,A109)</f>
        <v>ITD-SHRXXX-XX108</v>
      </c>
      <c r="C109" s="54" t="str" cm="1">
        <f t="array" ref="C109">IFERROR(_xlfn.LET(
_xlpm.CSVVal,_xlfn.XLOOKUP($A109,CSV!$A:$A,CSV!B:B,""),
_xlpm.MacVal,_xlfn.XLOOKUP($A109,Output_Mac!$A:$A,Output_Mac!B:B,""),
_xlpm.MyAuditVal,_xlfn.XLOOKUP($A109,My_Audit!$A:$A,My_Audit!B:B,""),
_xlfn.IFS(_xlpm.MyAuditVal&lt;&gt;"",UPPER(_xlpm.MyAuditVal),_xlpm.MacVal&lt;&gt;"",_xlpm.MacVal,_xlpm.CSVVal&lt;&gt;"",_xlpm.CSVVal
)),"")</f>
        <v/>
      </c>
      <c r="D109" s="55" t="str">
        <f>_xlfn.XLOOKUP(A109,My_Audit!A:A,My_Audit!D:D,"")&amp;""</f>
        <v/>
      </c>
      <c r="E109" s="55" t="str" cm="1">
        <f t="array" ref="E109">IFERROR(_xlfn.LET(
_xlpm.CSVVal,_xlfn.XLOOKUP($A109,CSV!$A:$A,CSV!D:D,""),
_xlpm.MacVal,_xlfn.XLOOKUP($A109,Output_Mac!$A:$A,Output_Mac!C:C,""),
_xlpm.MyAuditVal,_xlfn.XLOOKUP($A109,My_Audit!$A:$A,My_Audit!D:D,""),
_xlfn.IFS(_xlpm.MyAuditVal&lt;&gt;"",_xlpm.MyAuditVal,_xlpm.MacVal&lt;&gt;"",_xlpm.MacVal,_xlpm.CSVVal&lt;&gt;"",_xlpm.CSVVal
)),"")</f>
        <v/>
      </c>
      <c r="F109" s="54" t="str" cm="1">
        <f t="array" ref="F109">IFERROR(_xlfn.LET(
_xlpm.CSVVal,_xlfn.XLOOKUP($A109,CSV!$A:$A,CSV!E:E,""),
_xlpm.MacVal,_xlfn.XLOOKUP($A109,Output_Mac!$A:$A,Output_Mac!F:F,""),
_xlpm.MyAuditVal,_xlfn.XLOOKUP($A109,My_Audit!$A:$A,My_Audit!E:E,""),
_xlfn.IFS(_xlpm.MyAuditVal&lt;&gt;"",_xlpm.MyAuditVal,_xlpm.MacVal&lt;&gt;"",_xlpm.MacVal,_xlpm.CSVVal&lt;&gt;"",PROPER(_xlpm.CSVVal)
)),"")</f>
        <v/>
      </c>
      <c r="G109" s="54" t="str" cm="1">
        <f t="array" ref="G109">IFERROR(_xlfn.LET(
_xlpm.CSVVal,_xlfn.XLOOKUP($A109,CSV!$A:$A,CSV!F:F,""),
_xlpm.MacVal,_xlfn.XLOOKUP($A109,Output_Mac!$A:$A,Output_Mac!H:H,""),
_xlpm.MyAuditVal,_xlfn.XLOOKUP($A109,My_Audit!$A:$A,My_Audit!F:F,""),
_xlfn.IFS(_xlpm.MyAuditVal&lt;&gt;"",_xlpm.MyAuditVal,_xlpm.MacVal&lt;&gt;"",_xlpm.MacVal,_xlpm.CSVVal&lt;&gt;"",_xlpm.CSVVal
)),"")</f>
        <v/>
      </c>
      <c r="H109" s="54" t="str">
        <f>_xlfn.XLOOKUP(A109,Output_Mac!A:A,Output_Mac!I:I,"")</f>
        <v/>
      </c>
      <c r="I109" s="54" t="str" cm="1">
        <f t="array" ref="I109">IFERROR(_xlfn.LET(
_xlpm.CSVVal,_xlfn.XLOOKUP($A109,CSV!$A:$A,CSV!G:G,""),
_xlpm.MacVal,_xlfn.XLOOKUP($A109,Output_Mac!$A:$A,Output_Mac!J:J,""),
_xlpm.MyAuditVal,_xlfn.XLOOKUP($A109,My_Audit!$A:$A,My_Audit!H:H,""),
_xlfn.IFS(_xlpm.MyAuditVal&lt;&gt;"",UPPER(_xlpm.MyAuditVal),_xlpm.MacVal&lt;&gt;"",_xlpm.MacVal,_xlpm.CSVVal&lt;&gt;"",_xlpm.CSVVal
)),"")</f>
        <v/>
      </c>
      <c r="J109" s="54" t="str" cm="1">
        <f t="array" ref="J109">IFERROR(_xlfn.LET(
_xlpm.CSVVal,_xlfn.XLOOKUP($A109,CSV!$A:$A,CSV!I:I,""),
_xlpm.MacVal,_xlfn.XLOOKUP($A109,Output_Mac!$A:$A,Output_Mac!K:K,""),
_xlpm.MyAuditVal,_xlfn.XLOOKUP($A109,My_Audit!$A:$A,My_Audit!I:I,""),
_xlfn.IFS(_xlpm.MyAuditVal&lt;&gt;"",UPPER(_xlpm.MyAuditVal),_xlpm.MacVal&lt;&gt;"",_xlpm.MacVal,_xlpm.CSVVal&lt;&gt;"",_xlpm.CSVVal
)),"")</f>
        <v/>
      </c>
      <c r="K109" s="54" t="str" cm="1">
        <f t="array" ref="K109">IFERROR(_xlfn.LET(
_xlpm.CSVVal,_xlfn.XLOOKUP($A109,CSV!$A:$A,CSV!M:M,""),
_xlpm.MacVal,_xlfn.XLOOKUP($A109,Output_Mac!$A:$A,Output_Mac!L:L,""),
_xlpm.MyAuditVal,_xlfn.XLOOKUP($A109,My_Audit!$A:$A,My_Audit!J:J,""),
_xlfn.IFS(_xlpm.MyAuditVal&lt;&gt;"",UPPER(_xlpm.MyAuditVal),_xlpm.MacVal&lt;&gt;"",_xlpm.MacVal,_xlpm.CSVVal&lt;&gt;"",_xlpm.CSVVal
)),"")</f>
        <v/>
      </c>
      <c r="L109" s="55" t="str" cm="1">
        <f t="array" ref="L109">IFERROR(_xlfn.LET(
_xlpm.CSVVal,_xlfn.XLOOKUP($A109,CSV!$A:$A,CSV!P:P,""),
_xlpm.MacVal,_xlfn.XLOOKUP($A109,Output_Mac!$A:$A,Output_Mac!M:M,""),
_xlpm.MyAuditVal,_xlfn.XLOOKUP($A109,My_Audit!$A:$A,My_Audit!K:K,""),
_xlfn.IFS(_xlpm.MyAuditVal&lt;&gt;"",UPPER(_xlpm.MyAuditVal),_xlpm.MacVal&lt;&gt;"",_xlpm.MacVal,_xlpm.CSVVal&lt;&gt;"",_xlpm.CSVVal
)),"")</f>
        <v/>
      </c>
      <c r="M109" s="54" t="str">
        <f>_xlfn.LET(
    _xlpm.CSVVal, _xlfn.XLOOKUP($A109, CSV!$A:$A, CSV!AD:AD, ""),
    _xlpm.MacVal, _xlfn.XLOOKUP($A109, Output_Mac!$A:$A, Output_Mac!S:S, ""),
    _xlpm.MyAuditVal, _xlfn.XLOOKUP($A109, My_Audit!$A:$A, My_Audit!N:N, ""),
    _xlfn.TEXTJOIN(", ", TRUE, _xlpm.MyAuditVal, _xlpm.MacVal, _xlpm.CSVVal)
)</f>
        <v/>
      </c>
      <c r="N109" s="54" t="str" cm="1">
        <f t="array" ref="N109">IFERROR(_xlfn.LET(
_xlpm.CSVVal,_xlfn.XLOOKUP($A109,CSV!$A:$A,CSV!AF:AF,""),
_xlpm.MacVal,_xlfn.XLOOKUP($A109,Output_Mac!$A:$A,Output_Mac!U:U,""),
_xlpm.MyAuditVal,_xlfn.XLOOKUP($A109,My_Audit!$A:$A,My_Audit!O:O,""),
_xlfn.IFS(_xlpm.MyAuditVal&lt;&gt;"",UPPER(_xlpm.MyAuditVal),_xlpm.MacVal&lt;&gt;"",_xlpm.MacVal,_xlpm.CSVVal&lt;&gt;"",_xlpm.CSVVal
)),"")</f>
        <v/>
      </c>
      <c r="O109" s="54"/>
      <c r="P109" s="54"/>
      <c r="Q109" s="54"/>
      <c r="R109" s="54"/>
      <c r="S109" s="54"/>
      <c r="T109" s="54"/>
      <c r="U109" s="39" t="str">
        <f>_xlfn.LET(
    _xlpm.MacVal, _xlfn.XLOOKUP($A109, Output_Mac!$A:$A, Output_Mac!AB:AB, ""),
    _xlpm.MyAuditVal, _xlfn.XLOOKUP($A109, My_Audit!$A:$A, My_Audit!L:L, ""),
    _xlfn.TEXTJOIN(", ", TRUE, _xlpm.MyAuditVal, _xlpm.MacVal)
)</f>
        <v/>
      </c>
    </row>
    <row r="110" spans="1:21">
      <c r="A110" s="54" t="str">
        <f>_xlfn.TEXTJOIN("",TRUE,Input!$B$2,ROW(My_Audit!A109))</f>
        <v>XX109</v>
      </c>
      <c r="B110" s="54" t="str">
        <f>_xlfn.TEXTJOIN("-",TRUE,"ITD",Input!$A$2,A110)</f>
        <v>ITD-SHRXXX-XX109</v>
      </c>
      <c r="C110" s="54" t="str" cm="1">
        <f t="array" ref="C110">IFERROR(_xlfn.LET(
_xlpm.CSVVal,_xlfn.XLOOKUP($A110,CSV!$A:$A,CSV!B:B,""),
_xlpm.MacVal,_xlfn.XLOOKUP($A110,Output_Mac!$A:$A,Output_Mac!B:B,""),
_xlpm.MyAuditVal,_xlfn.XLOOKUP($A110,My_Audit!$A:$A,My_Audit!B:B,""),
_xlfn.IFS(_xlpm.MyAuditVal&lt;&gt;"",UPPER(_xlpm.MyAuditVal),_xlpm.MacVal&lt;&gt;"",_xlpm.MacVal,_xlpm.CSVVal&lt;&gt;"",_xlpm.CSVVal
)),"")</f>
        <v/>
      </c>
      <c r="D110" s="55" t="str">
        <f>_xlfn.XLOOKUP(A110,My_Audit!A:A,My_Audit!D:D,"")&amp;""</f>
        <v/>
      </c>
      <c r="E110" s="55" t="str" cm="1">
        <f t="array" ref="E110">IFERROR(_xlfn.LET(
_xlpm.CSVVal,_xlfn.XLOOKUP($A110,CSV!$A:$A,CSV!D:D,""),
_xlpm.MacVal,_xlfn.XLOOKUP($A110,Output_Mac!$A:$A,Output_Mac!C:C,""),
_xlpm.MyAuditVal,_xlfn.XLOOKUP($A110,My_Audit!$A:$A,My_Audit!D:D,""),
_xlfn.IFS(_xlpm.MyAuditVal&lt;&gt;"",_xlpm.MyAuditVal,_xlpm.MacVal&lt;&gt;"",_xlpm.MacVal,_xlpm.CSVVal&lt;&gt;"",_xlpm.CSVVal
)),"")</f>
        <v/>
      </c>
      <c r="F110" s="54" t="str" cm="1">
        <f t="array" ref="F110">IFERROR(_xlfn.LET(
_xlpm.CSVVal,_xlfn.XLOOKUP($A110,CSV!$A:$A,CSV!E:E,""),
_xlpm.MacVal,_xlfn.XLOOKUP($A110,Output_Mac!$A:$A,Output_Mac!F:F,""),
_xlpm.MyAuditVal,_xlfn.XLOOKUP($A110,My_Audit!$A:$A,My_Audit!E:E,""),
_xlfn.IFS(_xlpm.MyAuditVal&lt;&gt;"",_xlpm.MyAuditVal,_xlpm.MacVal&lt;&gt;"",_xlpm.MacVal,_xlpm.CSVVal&lt;&gt;"",PROPER(_xlpm.CSVVal)
)),"")</f>
        <v/>
      </c>
      <c r="G110" s="54" t="str" cm="1">
        <f t="array" ref="G110">IFERROR(_xlfn.LET(
_xlpm.CSVVal,_xlfn.XLOOKUP($A110,CSV!$A:$A,CSV!F:F,""),
_xlpm.MacVal,_xlfn.XLOOKUP($A110,Output_Mac!$A:$A,Output_Mac!H:H,""),
_xlpm.MyAuditVal,_xlfn.XLOOKUP($A110,My_Audit!$A:$A,My_Audit!F:F,""),
_xlfn.IFS(_xlpm.MyAuditVal&lt;&gt;"",_xlpm.MyAuditVal,_xlpm.MacVal&lt;&gt;"",_xlpm.MacVal,_xlpm.CSVVal&lt;&gt;"",_xlpm.CSVVal
)),"")</f>
        <v/>
      </c>
      <c r="H110" s="54" t="str">
        <f>_xlfn.XLOOKUP(A110,Output_Mac!A:A,Output_Mac!I:I,"")</f>
        <v/>
      </c>
      <c r="I110" s="54" t="str" cm="1">
        <f t="array" ref="I110">IFERROR(_xlfn.LET(
_xlpm.CSVVal,_xlfn.XLOOKUP($A110,CSV!$A:$A,CSV!G:G,""),
_xlpm.MacVal,_xlfn.XLOOKUP($A110,Output_Mac!$A:$A,Output_Mac!J:J,""),
_xlpm.MyAuditVal,_xlfn.XLOOKUP($A110,My_Audit!$A:$A,My_Audit!H:H,""),
_xlfn.IFS(_xlpm.MyAuditVal&lt;&gt;"",UPPER(_xlpm.MyAuditVal),_xlpm.MacVal&lt;&gt;"",_xlpm.MacVal,_xlpm.CSVVal&lt;&gt;"",_xlpm.CSVVal
)),"")</f>
        <v/>
      </c>
      <c r="J110" s="54" t="str" cm="1">
        <f t="array" ref="J110">IFERROR(_xlfn.LET(
_xlpm.CSVVal,_xlfn.XLOOKUP($A110,CSV!$A:$A,CSV!I:I,""),
_xlpm.MacVal,_xlfn.XLOOKUP($A110,Output_Mac!$A:$A,Output_Mac!K:K,""),
_xlpm.MyAuditVal,_xlfn.XLOOKUP($A110,My_Audit!$A:$A,My_Audit!I:I,""),
_xlfn.IFS(_xlpm.MyAuditVal&lt;&gt;"",UPPER(_xlpm.MyAuditVal),_xlpm.MacVal&lt;&gt;"",_xlpm.MacVal,_xlpm.CSVVal&lt;&gt;"",_xlpm.CSVVal
)),"")</f>
        <v/>
      </c>
      <c r="K110" s="54" t="str" cm="1">
        <f t="array" ref="K110">IFERROR(_xlfn.LET(
_xlpm.CSVVal,_xlfn.XLOOKUP($A110,CSV!$A:$A,CSV!M:M,""),
_xlpm.MacVal,_xlfn.XLOOKUP($A110,Output_Mac!$A:$A,Output_Mac!L:L,""),
_xlpm.MyAuditVal,_xlfn.XLOOKUP($A110,My_Audit!$A:$A,My_Audit!J:J,""),
_xlfn.IFS(_xlpm.MyAuditVal&lt;&gt;"",UPPER(_xlpm.MyAuditVal),_xlpm.MacVal&lt;&gt;"",_xlpm.MacVal,_xlpm.CSVVal&lt;&gt;"",_xlpm.CSVVal
)),"")</f>
        <v/>
      </c>
      <c r="L110" s="55" t="str" cm="1">
        <f t="array" ref="L110">IFERROR(_xlfn.LET(
_xlpm.CSVVal,_xlfn.XLOOKUP($A110,CSV!$A:$A,CSV!P:P,""),
_xlpm.MacVal,_xlfn.XLOOKUP($A110,Output_Mac!$A:$A,Output_Mac!M:M,""),
_xlpm.MyAuditVal,_xlfn.XLOOKUP($A110,My_Audit!$A:$A,My_Audit!K:K,""),
_xlfn.IFS(_xlpm.MyAuditVal&lt;&gt;"",UPPER(_xlpm.MyAuditVal),_xlpm.MacVal&lt;&gt;"",_xlpm.MacVal,_xlpm.CSVVal&lt;&gt;"",_xlpm.CSVVal
)),"")</f>
        <v/>
      </c>
      <c r="M110" s="54" t="str">
        <f>_xlfn.LET(
    _xlpm.CSVVal, _xlfn.XLOOKUP($A110, CSV!$A:$A, CSV!AD:AD, ""),
    _xlpm.MacVal, _xlfn.XLOOKUP($A110, Output_Mac!$A:$A, Output_Mac!S:S, ""),
    _xlpm.MyAuditVal, _xlfn.XLOOKUP($A110, My_Audit!$A:$A, My_Audit!N:N, ""),
    _xlfn.TEXTJOIN(", ", TRUE, _xlpm.MyAuditVal, _xlpm.MacVal, _xlpm.CSVVal)
)</f>
        <v/>
      </c>
      <c r="N110" s="54" t="str" cm="1">
        <f t="array" ref="N110">IFERROR(_xlfn.LET(
_xlpm.CSVVal,_xlfn.XLOOKUP($A110,CSV!$A:$A,CSV!AF:AF,""),
_xlpm.MacVal,_xlfn.XLOOKUP($A110,Output_Mac!$A:$A,Output_Mac!U:U,""),
_xlpm.MyAuditVal,_xlfn.XLOOKUP($A110,My_Audit!$A:$A,My_Audit!O:O,""),
_xlfn.IFS(_xlpm.MyAuditVal&lt;&gt;"",UPPER(_xlpm.MyAuditVal),_xlpm.MacVal&lt;&gt;"",_xlpm.MacVal,_xlpm.CSVVal&lt;&gt;"",_xlpm.CSVVal
)),"")</f>
        <v/>
      </c>
      <c r="O110" s="54"/>
      <c r="P110" s="54"/>
      <c r="Q110" s="54"/>
      <c r="R110" s="54"/>
      <c r="S110" s="54"/>
      <c r="T110" s="54"/>
      <c r="U110" s="39" t="str">
        <f>_xlfn.LET(
    _xlpm.MacVal, _xlfn.XLOOKUP($A110, Output_Mac!$A:$A, Output_Mac!AB:AB, ""),
    _xlpm.MyAuditVal, _xlfn.XLOOKUP($A110, My_Audit!$A:$A, My_Audit!L:L, ""),
    _xlfn.TEXTJOIN(", ", TRUE, _xlpm.MyAuditVal, _xlpm.MacVal)
)</f>
        <v/>
      </c>
    </row>
    <row r="111" spans="1:21">
      <c r="A111" s="54" t="str">
        <f>_xlfn.TEXTJOIN("",TRUE,Input!$B$2,ROW(My_Audit!A110))</f>
        <v>XX110</v>
      </c>
      <c r="B111" s="54" t="str">
        <f>_xlfn.TEXTJOIN("-",TRUE,"ITD",Input!$A$2,A111)</f>
        <v>ITD-SHRXXX-XX110</v>
      </c>
      <c r="C111" s="54" t="str" cm="1">
        <f t="array" ref="C111">IFERROR(_xlfn.LET(
_xlpm.CSVVal,_xlfn.XLOOKUP($A111,CSV!$A:$A,CSV!B:B,""),
_xlpm.MacVal,_xlfn.XLOOKUP($A111,Output_Mac!$A:$A,Output_Mac!B:B,""),
_xlpm.MyAuditVal,_xlfn.XLOOKUP($A111,My_Audit!$A:$A,My_Audit!B:B,""),
_xlfn.IFS(_xlpm.MyAuditVal&lt;&gt;"",UPPER(_xlpm.MyAuditVal),_xlpm.MacVal&lt;&gt;"",_xlpm.MacVal,_xlpm.CSVVal&lt;&gt;"",_xlpm.CSVVal
)),"")</f>
        <v/>
      </c>
      <c r="D111" s="55" t="str">
        <f>_xlfn.XLOOKUP(A111,My_Audit!A:A,My_Audit!D:D,"")&amp;""</f>
        <v/>
      </c>
      <c r="E111" s="55" t="str" cm="1">
        <f t="array" ref="E111">IFERROR(_xlfn.LET(
_xlpm.CSVVal,_xlfn.XLOOKUP($A111,CSV!$A:$A,CSV!D:D,""),
_xlpm.MacVal,_xlfn.XLOOKUP($A111,Output_Mac!$A:$A,Output_Mac!C:C,""),
_xlpm.MyAuditVal,_xlfn.XLOOKUP($A111,My_Audit!$A:$A,My_Audit!D:D,""),
_xlfn.IFS(_xlpm.MyAuditVal&lt;&gt;"",_xlpm.MyAuditVal,_xlpm.MacVal&lt;&gt;"",_xlpm.MacVal,_xlpm.CSVVal&lt;&gt;"",_xlpm.CSVVal
)),"")</f>
        <v/>
      </c>
      <c r="F111" s="54" t="str" cm="1">
        <f t="array" ref="F111">IFERROR(_xlfn.LET(
_xlpm.CSVVal,_xlfn.XLOOKUP($A111,CSV!$A:$A,CSV!E:E,""),
_xlpm.MacVal,_xlfn.XLOOKUP($A111,Output_Mac!$A:$A,Output_Mac!F:F,""),
_xlpm.MyAuditVal,_xlfn.XLOOKUP($A111,My_Audit!$A:$A,My_Audit!E:E,""),
_xlfn.IFS(_xlpm.MyAuditVal&lt;&gt;"",_xlpm.MyAuditVal,_xlpm.MacVal&lt;&gt;"",_xlpm.MacVal,_xlpm.CSVVal&lt;&gt;"",PROPER(_xlpm.CSVVal)
)),"")</f>
        <v/>
      </c>
      <c r="G111" s="54" t="str" cm="1">
        <f t="array" ref="G111">IFERROR(_xlfn.LET(
_xlpm.CSVVal,_xlfn.XLOOKUP($A111,CSV!$A:$A,CSV!F:F,""),
_xlpm.MacVal,_xlfn.XLOOKUP($A111,Output_Mac!$A:$A,Output_Mac!H:H,""),
_xlpm.MyAuditVal,_xlfn.XLOOKUP($A111,My_Audit!$A:$A,My_Audit!F:F,""),
_xlfn.IFS(_xlpm.MyAuditVal&lt;&gt;"",_xlpm.MyAuditVal,_xlpm.MacVal&lt;&gt;"",_xlpm.MacVal,_xlpm.CSVVal&lt;&gt;"",_xlpm.CSVVal
)),"")</f>
        <v/>
      </c>
      <c r="H111" s="54" t="str">
        <f>_xlfn.XLOOKUP(A111,Output_Mac!A:A,Output_Mac!I:I,"")</f>
        <v/>
      </c>
      <c r="I111" s="54" t="str" cm="1">
        <f t="array" ref="I111">IFERROR(_xlfn.LET(
_xlpm.CSVVal,_xlfn.XLOOKUP($A111,CSV!$A:$A,CSV!G:G,""),
_xlpm.MacVal,_xlfn.XLOOKUP($A111,Output_Mac!$A:$A,Output_Mac!J:J,""),
_xlpm.MyAuditVal,_xlfn.XLOOKUP($A111,My_Audit!$A:$A,My_Audit!H:H,""),
_xlfn.IFS(_xlpm.MyAuditVal&lt;&gt;"",UPPER(_xlpm.MyAuditVal),_xlpm.MacVal&lt;&gt;"",_xlpm.MacVal,_xlpm.CSVVal&lt;&gt;"",_xlpm.CSVVal
)),"")</f>
        <v/>
      </c>
      <c r="J111" s="54" t="str" cm="1">
        <f t="array" ref="J111">IFERROR(_xlfn.LET(
_xlpm.CSVVal,_xlfn.XLOOKUP($A111,CSV!$A:$A,CSV!I:I,""),
_xlpm.MacVal,_xlfn.XLOOKUP($A111,Output_Mac!$A:$A,Output_Mac!K:K,""),
_xlpm.MyAuditVal,_xlfn.XLOOKUP($A111,My_Audit!$A:$A,My_Audit!I:I,""),
_xlfn.IFS(_xlpm.MyAuditVal&lt;&gt;"",UPPER(_xlpm.MyAuditVal),_xlpm.MacVal&lt;&gt;"",_xlpm.MacVal,_xlpm.CSVVal&lt;&gt;"",_xlpm.CSVVal
)),"")</f>
        <v/>
      </c>
      <c r="K111" s="54" t="str" cm="1">
        <f t="array" ref="K111">IFERROR(_xlfn.LET(
_xlpm.CSVVal,_xlfn.XLOOKUP($A111,CSV!$A:$A,CSV!M:M,""),
_xlpm.MacVal,_xlfn.XLOOKUP($A111,Output_Mac!$A:$A,Output_Mac!L:L,""),
_xlpm.MyAuditVal,_xlfn.XLOOKUP($A111,My_Audit!$A:$A,My_Audit!J:J,""),
_xlfn.IFS(_xlpm.MyAuditVal&lt;&gt;"",UPPER(_xlpm.MyAuditVal),_xlpm.MacVal&lt;&gt;"",_xlpm.MacVal,_xlpm.CSVVal&lt;&gt;"",_xlpm.CSVVal
)),"")</f>
        <v/>
      </c>
      <c r="L111" s="55" t="str" cm="1">
        <f t="array" ref="L111">IFERROR(_xlfn.LET(
_xlpm.CSVVal,_xlfn.XLOOKUP($A111,CSV!$A:$A,CSV!P:P,""),
_xlpm.MacVal,_xlfn.XLOOKUP($A111,Output_Mac!$A:$A,Output_Mac!M:M,""),
_xlpm.MyAuditVal,_xlfn.XLOOKUP($A111,My_Audit!$A:$A,My_Audit!K:K,""),
_xlfn.IFS(_xlpm.MyAuditVal&lt;&gt;"",UPPER(_xlpm.MyAuditVal),_xlpm.MacVal&lt;&gt;"",_xlpm.MacVal,_xlpm.CSVVal&lt;&gt;"",_xlpm.CSVVal
)),"")</f>
        <v/>
      </c>
      <c r="M111" s="54" t="str">
        <f>_xlfn.LET(
    _xlpm.CSVVal, _xlfn.XLOOKUP($A111, CSV!$A:$A, CSV!AD:AD, ""),
    _xlpm.MacVal, _xlfn.XLOOKUP($A111, Output_Mac!$A:$A, Output_Mac!S:S, ""),
    _xlpm.MyAuditVal, _xlfn.XLOOKUP($A111, My_Audit!$A:$A, My_Audit!N:N, ""),
    _xlfn.TEXTJOIN(", ", TRUE, _xlpm.MyAuditVal, _xlpm.MacVal, _xlpm.CSVVal)
)</f>
        <v/>
      </c>
      <c r="N111" s="54" t="str" cm="1">
        <f t="array" ref="N111">IFERROR(_xlfn.LET(
_xlpm.CSVVal,_xlfn.XLOOKUP($A111,CSV!$A:$A,CSV!AF:AF,""),
_xlpm.MacVal,_xlfn.XLOOKUP($A111,Output_Mac!$A:$A,Output_Mac!U:U,""),
_xlpm.MyAuditVal,_xlfn.XLOOKUP($A111,My_Audit!$A:$A,My_Audit!O:O,""),
_xlfn.IFS(_xlpm.MyAuditVal&lt;&gt;"",UPPER(_xlpm.MyAuditVal),_xlpm.MacVal&lt;&gt;"",_xlpm.MacVal,_xlpm.CSVVal&lt;&gt;"",_xlpm.CSVVal
)),"")</f>
        <v/>
      </c>
      <c r="O111" s="54"/>
      <c r="P111" s="54"/>
      <c r="Q111" s="54"/>
      <c r="R111" s="54"/>
      <c r="S111" s="54"/>
      <c r="T111" s="54"/>
      <c r="U111" s="39" t="str">
        <f>_xlfn.LET(
    _xlpm.MacVal, _xlfn.XLOOKUP($A111, Output_Mac!$A:$A, Output_Mac!AB:AB, ""),
    _xlpm.MyAuditVal, _xlfn.XLOOKUP($A111, My_Audit!$A:$A, My_Audit!L:L, ""),
    _xlfn.TEXTJOIN(", ", TRUE, _xlpm.MyAuditVal, _xlpm.MacVal)
)</f>
        <v/>
      </c>
    </row>
    <row r="112" spans="1:21">
      <c r="A112" s="54" t="str">
        <f>_xlfn.TEXTJOIN("",TRUE,Input!$B$2,ROW(My_Audit!A111))</f>
        <v>XX111</v>
      </c>
      <c r="B112" s="54" t="str">
        <f>_xlfn.TEXTJOIN("-",TRUE,"ITD",Input!$A$2,A112)</f>
        <v>ITD-SHRXXX-XX111</v>
      </c>
      <c r="C112" s="54" t="str" cm="1">
        <f t="array" ref="C112">IFERROR(_xlfn.LET(
_xlpm.CSVVal,_xlfn.XLOOKUP($A112,CSV!$A:$A,CSV!B:B,""),
_xlpm.MacVal,_xlfn.XLOOKUP($A112,Output_Mac!$A:$A,Output_Mac!B:B,""),
_xlpm.MyAuditVal,_xlfn.XLOOKUP($A112,My_Audit!$A:$A,My_Audit!B:B,""),
_xlfn.IFS(_xlpm.MyAuditVal&lt;&gt;"",UPPER(_xlpm.MyAuditVal),_xlpm.MacVal&lt;&gt;"",_xlpm.MacVal,_xlpm.CSVVal&lt;&gt;"",_xlpm.CSVVal
)),"")</f>
        <v/>
      </c>
      <c r="D112" s="55" t="str">
        <f>_xlfn.XLOOKUP(A112,My_Audit!A:A,My_Audit!D:D,"")&amp;""</f>
        <v/>
      </c>
      <c r="E112" s="55" t="str" cm="1">
        <f t="array" ref="E112">IFERROR(_xlfn.LET(
_xlpm.CSVVal,_xlfn.XLOOKUP($A112,CSV!$A:$A,CSV!D:D,""),
_xlpm.MacVal,_xlfn.XLOOKUP($A112,Output_Mac!$A:$A,Output_Mac!C:C,""),
_xlpm.MyAuditVal,_xlfn.XLOOKUP($A112,My_Audit!$A:$A,My_Audit!D:D,""),
_xlfn.IFS(_xlpm.MyAuditVal&lt;&gt;"",_xlpm.MyAuditVal,_xlpm.MacVal&lt;&gt;"",_xlpm.MacVal,_xlpm.CSVVal&lt;&gt;"",_xlpm.CSVVal
)),"")</f>
        <v/>
      </c>
      <c r="F112" s="54" t="str" cm="1">
        <f t="array" ref="F112">IFERROR(_xlfn.LET(
_xlpm.CSVVal,_xlfn.XLOOKUP($A112,CSV!$A:$A,CSV!E:E,""),
_xlpm.MacVal,_xlfn.XLOOKUP($A112,Output_Mac!$A:$A,Output_Mac!F:F,""),
_xlpm.MyAuditVal,_xlfn.XLOOKUP($A112,My_Audit!$A:$A,My_Audit!E:E,""),
_xlfn.IFS(_xlpm.MyAuditVal&lt;&gt;"",_xlpm.MyAuditVal,_xlpm.MacVal&lt;&gt;"",_xlpm.MacVal,_xlpm.CSVVal&lt;&gt;"",PROPER(_xlpm.CSVVal)
)),"")</f>
        <v/>
      </c>
      <c r="G112" s="54" t="str" cm="1">
        <f t="array" ref="G112">IFERROR(_xlfn.LET(
_xlpm.CSVVal,_xlfn.XLOOKUP($A112,CSV!$A:$A,CSV!F:F,""),
_xlpm.MacVal,_xlfn.XLOOKUP($A112,Output_Mac!$A:$A,Output_Mac!H:H,""),
_xlpm.MyAuditVal,_xlfn.XLOOKUP($A112,My_Audit!$A:$A,My_Audit!F:F,""),
_xlfn.IFS(_xlpm.MyAuditVal&lt;&gt;"",_xlpm.MyAuditVal,_xlpm.MacVal&lt;&gt;"",_xlpm.MacVal,_xlpm.CSVVal&lt;&gt;"",_xlpm.CSVVal
)),"")</f>
        <v/>
      </c>
      <c r="H112" s="54" t="str">
        <f>_xlfn.XLOOKUP(A112,Output_Mac!A:A,Output_Mac!I:I,"")</f>
        <v/>
      </c>
      <c r="I112" s="54" t="str" cm="1">
        <f t="array" ref="I112">IFERROR(_xlfn.LET(
_xlpm.CSVVal,_xlfn.XLOOKUP($A112,CSV!$A:$A,CSV!G:G,""),
_xlpm.MacVal,_xlfn.XLOOKUP($A112,Output_Mac!$A:$A,Output_Mac!J:J,""),
_xlpm.MyAuditVal,_xlfn.XLOOKUP($A112,My_Audit!$A:$A,My_Audit!H:H,""),
_xlfn.IFS(_xlpm.MyAuditVal&lt;&gt;"",UPPER(_xlpm.MyAuditVal),_xlpm.MacVal&lt;&gt;"",_xlpm.MacVal,_xlpm.CSVVal&lt;&gt;"",_xlpm.CSVVal
)),"")</f>
        <v/>
      </c>
      <c r="J112" s="54" t="str" cm="1">
        <f t="array" ref="J112">IFERROR(_xlfn.LET(
_xlpm.CSVVal,_xlfn.XLOOKUP($A112,CSV!$A:$A,CSV!I:I,""),
_xlpm.MacVal,_xlfn.XLOOKUP($A112,Output_Mac!$A:$A,Output_Mac!K:K,""),
_xlpm.MyAuditVal,_xlfn.XLOOKUP($A112,My_Audit!$A:$A,My_Audit!I:I,""),
_xlfn.IFS(_xlpm.MyAuditVal&lt;&gt;"",UPPER(_xlpm.MyAuditVal),_xlpm.MacVal&lt;&gt;"",_xlpm.MacVal,_xlpm.CSVVal&lt;&gt;"",_xlpm.CSVVal
)),"")</f>
        <v/>
      </c>
      <c r="K112" s="54" t="str" cm="1">
        <f t="array" ref="K112">IFERROR(_xlfn.LET(
_xlpm.CSVVal,_xlfn.XLOOKUP($A112,CSV!$A:$A,CSV!M:M,""),
_xlpm.MacVal,_xlfn.XLOOKUP($A112,Output_Mac!$A:$A,Output_Mac!L:L,""),
_xlpm.MyAuditVal,_xlfn.XLOOKUP($A112,My_Audit!$A:$A,My_Audit!J:J,""),
_xlfn.IFS(_xlpm.MyAuditVal&lt;&gt;"",UPPER(_xlpm.MyAuditVal),_xlpm.MacVal&lt;&gt;"",_xlpm.MacVal,_xlpm.CSVVal&lt;&gt;"",_xlpm.CSVVal
)),"")</f>
        <v/>
      </c>
      <c r="L112" s="55" t="str" cm="1">
        <f t="array" ref="L112">IFERROR(_xlfn.LET(
_xlpm.CSVVal,_xlfn.XLOOKUP($A112,CSV!$A:$A,CSV!P:P,""),
_xlpm.MacVal,_xlfn.XLOOKUP($A112,Output_Mac!$A:$A,Output_Mac!M:M,""),
_xlpm.MyAuditVal,_xlfn.XLOOKUP($A112,My_Audit!$A:$A,My_Audit!K:K,""),
_xlfn.IFS(_xlpm.MyAuditVal&lt;&gt;"",UPPER(_xlpm.MyAuditVal),_xlpm.MacVal&lt;&gt;"",_xlpm.MacVal,_xlpm.CSVVal&lt;&gt;"",_xlpm.CSVVal
)),"")</f>
        <v/>
      </c>
      <c r="M112" s="54" t="str">
        <f>_xlfn.LET(
    _xlpm.CSVVal, _xlfn.XLOOKUP($A112, CSV!$A:$A, CSV!AD:AD, ""),
    _xlpm.MacVal, _xlfn.XLOOKUP($A112, Output_Mac!$A:$A, Output_Mac!S:S, ""),
    _xlpm.MyAuditVal, _xlfn.XLOOKUP($A112, My_Audit!$A:$A, My_Audit!N:N, ""),
    _xlfn.TEXTJOIN(", ", TRUE, _xlpm.MyAuditVal, _xlpm.MacVal, _xlpm.CSVVal)
)</f>
        <v/>
      </c>
      <c r="N112" s="54" t="str" cm="1">
        <f t="array" ref="N112">IFERROR(_xlfn.LET(
_xlpm.CSVVal,_xlfn.XLOOKUP($A112,CSV!$A:$A,CSV!AF:AF,""),
_xlpm.MacVal,_xlfn.XLOOKUP($A112,Output_Mac!$A:$A,Output_Mac!U:U,""),
_xlpm.MyAuditVal,_xlfn.XLOOKUP($A112,My_Audit!$A:$A,My_Audit!O:O,""),
_xlfn.IFS(_xlpm.MyAuditVal&lt;&gt;"",UPPER(_xlpm.MyAuditVal),_xlpm.MacVal&lt;&gt;"",_xlpm.MacVal,_xlpm.CSVVal&lt;&gt;"",_xlpm.CSVVal
)),"")</f>
        <v/>
      </c>
      <c r="O112" s="54"/>
      <c r="P112" s="54"/>
      <c r="Q112" s="54"/>
      <c r="R112" s="54"/>
      <c r="S112" s="54"/>
      <c r="T112" s="54"/>
      <c r="U112" s="39" t="str">
        <f>_xlfn.LET(
    _xlpm.MacVal, _xlfn.XLOOKUP($A112, Output_Mac!$A:$A, Output_Mac!AB:AB, ""),
    _xlpm.MyAuditVal, _xlfn.XLOOKUP($A112, My_Audit!$A:$A, My_Audit!L:L, ""),
    _xlfn.TEXTJOIN(", ", TRUE, _xlpm.MyAuditVal, _xlpm.MacVal)
)</f>
        <v/>
      </c>
    </row>
    <row r="113" spans="1:21">
      <c r="A113" s="54" t="str">
        <f>_xlfn.TEXTJOIN("",TRUE,Input!$B$2,ROW(My_Audit!A112))</f>
        <v>XX112</v>
      </c>
      <c r="B113" s="54" t="str">
        <f>_xlfn.TEXTJOIN("-",TRUE,"ITD",Input!$A$2,A113)</f>
        <v>ITD-SHRXXX-XX112</v>
      </c>
      <c r="C113" s="54" t="str" cm="1">
        <f t="array" ref="C113">IFERROR(_xlfn.LET(
_xlpm.CSVVal,_xlfn.XLOOKUP($A113,CSV!$A:$A,CSV!B:B,""),
_xlpm.MacVal,_xlfn.XLOOKUP($A113,Output_Mac!$A:$A,Output_Mac!B:B,""),
_xlpm.MyAuditVal,_xlfn.XLOOKUP($A113,My_Audit!$A:$A,My_Audit!B:B,""),
_xlfn.IFS(_xlpm.MyAuditVal&lt;&gt;"",UPPER(_xlpm.MyAuditVal),_xlpm.MacVal&lt;&gt;"",_xlpm.MacVal,_xlpm.CSVVal&lt;&gt;"",_xlpm.CSVVal
)),"")</f>
        <v/>
      </c>
      <c r="D113" s="55" t="str">
        <f>_xlfn.XLOOKUP(A113,My_Audit!A:A,My_Audit!D:D,"")&amp;""</f>
        <v/>
      </c>
      <c r="E113" s="55" t="str" cm="1">
        <f t="array" ref="E113">IFERROR(_xlfn.LET(
_xlpm.CSVVal,_xlfn.XLOOKUP($A113,CSV!$A:$A,CSV!D:D,""),
_xlpm.MacVal,_xlfn.XLOOKUP($A113,Output_Mac!$A:$A,Output_Mac!C:C,""),
_xlpm.MyAuditVal,_xlfn.XLOOKUP($A113,My_Audit!$A:$A,My_Audit!D:D,""),
_xlfn.IFS(_xlpm.MyAuditVal&lt;&gt;"",_xlpm.MyAuditVal,_xlpm.MacVal&lt;&gt;"",_xlpm.MacVal,_xlpm.CSVVal&lt;&gt;"",_xlpm.CSVVal
)),"")</f>
        <v/>
      </c>
      <c r="F113" s="54" t="str" cm="1">
        <f t="array" ref="F113">IFERROR(_xlfn.LET(
_xlpm.CSVVal,_xlfn.XLOOKUP($A113,CSV!$A:$A,CSV!E:E,""),
_xlpm.MacVal,_xlfn.XLOOKUP($A113,Output_Mac!$A:$A,Output_Mac!F:F,""),
_xlpm.MyAuditVal,_xlfn.XLOOKUP($A113,My_Audit!$A:$A,My_Audit!E:E,""),
_xlfn.IFS(_xlpm.MyAuditVal&lt;&gt;"",_xlpm.MyAuditVal,_xlpm.MacVal&lt;&gt;"",_xlpm.MacVal,_xlpm.CSVVal&lt;&gt;"",PROPER(_xlpm.CSVVal)
)),"")</f>
        <v/>
      </c>
      <c r="G113" s="54" t="str" cm="1">
        <f t="array" ref="G113">IFERROR(_xlfn.LET(
_xlpm.CSVVal,_xlfn.XLOOKUP($A113,CSV!$A:$A,CSV!F:F,""),
_xlpm.MacVal,_xlfn.XLOOKUP($A113,Output_Mac!$A:$A,Output_Mac!H:H,""),
_xlpm.MyAuditVal,_xlfn.XLOOKUP($A113,My_Audit!$A:$A,My_Audit!F:F,""),
_xlfn.IFS(_xlpm.MyAuditVal&lt;&gt;"",_xlpm.MyAuditVal,_xlpm.MacVal&lt;&gt;"",_xlpm.MacVal,_xlpm.CSVVal&lt;&gt;"",_xlpm.CSVVal
)),"")</f>
        <v/>
      </c>
      <c r="H113" s="54" t="str">
        <f>_xlfn.XLOOKUP(A113,Output_Mac!A:A,Output_Mac!I:I,"")</f>
        <v/>
      </c>
      <c r="I113" s="54" t="str" cm="1">
        <f t="array" ref="I113">IFERROR(_xlfn.LET(
_xlpm.CSVVal,_xlfn.XLOOKUP($A113,CSV!$A:$A,CSV!G:G,""),
_xlpm.MacVal,_xlfn.XLOOKUP($A113,Output_Mac!$A:$A,Output_Mac!J:J,""),
_xlpm.MyAuditVal,_xlfn.XLOOKUP($A113,My_Audit!$A:$A,My_Audit!H:H,""),
_xlfn.IFS(_xlpm.MyAuditVal&lt;&gt;"",UPPER(_xlpm.MyAuditVal),_xlpm.MacVal&lt;&gt;"",_xlpm.MacVal,_xlpm.CSVVal&lt;&gt;"",_xlpm.CSVVal
)),"")</f>
        <v/>
      </c>
      <c r="J113" s="54" t="str" cm="1">
        <f t="array" ref="J113">IFERROR(_xlfn.LET(
_xlpm.CSVVal,_xlfn.XLOOKUP($A113,CSV!$A:$A,CSV!I:I,""),
_xlpm.MacVal,_xlfn.XLOOKUP($A113,Output_Mac!$A:$A,Output_Mac!K:K,""),
_xlpm.MyAuditVal,_xlfn.XLOOKUP($A113,My_Audit!$A:$A,My_Audit!I:I,""),
_xlfn.IFS(_xlpm.MyAuditVal&lt;&gt;"",UPPER(_xlpm.MyAuditVal),_xlpm.MacVal&lt;&gt;"",_xlpm.MacVal,_xlpm.CSVVal&lt;&gt;"",_xlpm.CSVVal
)),"")</f>
        <v/>
      </c>
      <c r="K113" s="54" t="str" cm="1">
        <f t="array" ref="K113">IFERROR(_xlfn.LET(
_xlpm.CSVVal,_xlfn.XLOOKUP($A113,CSV!$A:$A,CSV!M:M,""),
_xlpm.MacVal,_xlfn.XLOOKUP($A113,Output_Mac!$A:$A,Output_Mac!L:L,""),
_xlpm.MyAuditVal,_xlfn.XLOOKUP($A113,My_Audit!$A:$A,My_Audit!J:J,""),
_xlfn.IFS(_xlpm.MyAuditVal&lt;&gt;"",UPPER(_xlpm.MyAuditVal),_xlpm.MacVal&lt;&gt;"",_xlpm.MacVal,_xlpm.CSVVal&lt;&gt;"",_xlpm.CSVVal
)),"")</f>
        <v/>
      </c>
      <c r="L113" s="55" t="str" cm="1">
        <f t="array" ref="L113">IFERROR(_xlfn.LET(
_xlpm.CSVVal,_xlfn.XLOOKUP($A113,CSV!$A:$A,CSV!P:P,""),
_xlpm.MacVal,_xlfn.XLOOKUP($A113,Output_Mac!$A:$A,Output_Mac!M:M,""),
_xlpm.MyAuditVal,_xlfn.XLOOKUP($A113,My_Audit!$A:$A,My_Audit!K:K,""),
_xlfn.IFS(_xlpm.MyAuditVal&lt;&gt;"",UPPER(_xlpm.MyAuditVal),_xlpm.MacVal&lt;&gt;"",_xlpm.MacVal,_xlpm.CSVVal&lt;&gt;"",_xlpm.CSVVal
)),"")</f>
        <v/>
      </c>
      <c r="M113" s="54" t="str">
        <f>_xlfn.LET(
    _xlpm.CSVVal, _xlfn.XLOOKUP($A113, CSV!$A:$A, CSV!AD:AD, ""),
    _xlpm.MacVal, _xlfn.XLOOKUP($A113, Output_Mac!$A:$A, Output_Mac!S:S, ""),
    _xlpm.MyAuditVal, _xlfn.XLOOKUP($A113, My_Audit!$A:$A, My_Audit!N:N, ""),
    _xlfn.TEXTJOIN(", ", TRUE, _xlpm.MyAuditVal, _xlpm.MacVal, _xlpm.CSVVal)
)</f>
        <v/>
      </c>
      <c r="N113" s="54" t="str" cm="1">
        <f t="array" ref="N113">IFERROR(_xlfn.LET(
_xlpm.CSVVal,_xlfn.XLOOKUP($A113,CSV!$A:$A,CSV!AF:AF,""),
_xlpm.MacVal,_xlfn.XLOOKUP($A113,Output_Mac!$A:$A,Output_Mac!U:U,""),
_xlpm.MyAuditVal,_xlfn.XLOOKUP($A113,My_Audit!$A:$A,My_Audit!O:O,""),
_xlfn.IFS(_xlpm.MyAuditVal&lt;&gt;"",UPPER(_xlpm.MyAuditVal),_xlpm.MacVal&lt;&gt;"",_xlpm.MacVal,_xlpm.CSVVal&lt;&gt;"",_xlpm.CSVVal
)),"")</f>
        <v/>
      </c>
      <c r="O113" s="54"/>
      <c r="P113" s="54"/>
      <c r="Q113" s="54"/>
      <c r="R113" s="54"/>
      <c r="S113" s="54"/>
      <c r="T113" s="54"/>
      <c r="U113" s="39" t="str">
        <f>_xlfn.LET(
    _xlpm.MacVal, _xlfn.XLOOKUP($A113, Output_Mac!$A:$A, Output_Mac!AB:AB, ""),
    _xlpm.MyAuditVal, _xlfn.XLOOKUP($A113, My_Audit!$A:$A, My_Audit!L:L, ""),
    _xlfn.TEXTJOIN(", ", TRUE, _xlpm.MyAuditVal, _xlpm.MacVal)
)</f>
        <v/>
      </c>
    </row>
    <row r="114" spans="1:21">
      <c r="A114" s="54" t="str">
        <f>_xlfn.TEXTJOIN("",TRUE,Input!$B$2,ROW(My_Audit!A113))</f>
        <v>XX113</v>
      </c>
      <c r="B114" s="54" t="str">
        <f>_xlfn.TEXTJOIN("-",TRUE,"ITD",Input!$A$2,A114)</f>
        <v>ITD-SHRXXX-XX113</v>
      </c>
      <c r="C114" s="54" t="str" cm="1">
        <f t="array" ref="C114">IFERROR(_xlfn.LET(
_xlpm.CSVVal,_xlfn.XLOOKUP($A114,CSV!$A:$A,CSV!B:B,""),
_xlpm.MacVal,_xlfn.XLOOKUP($A114,Output_Mac!$A:$A,Output_Mac!B:B,""),
_xlpm.MyAuditVal,_xlfn.XLOOKUP($A114,My_Audit!$A:$A,My_Audit!B:B,""),
_xlfn.IFS(_xlpm.MyAuditVal&lt;&gt;"",UPPER(_xlpm.MyAuditVal),_xlpm.MacVal&lt;&gt;"",_xlpm.MacVal,_xlpm.CSVVal&lt;&gt;"",_xlpm.CSVVal
)),"")</f>
        <v/>
      </c>
      <c r="D114" s="55" t="str">
        <f>_xlfn.XLOOKUP(A114,My_Audit!A:A,My_Audit!D:D,"")&amp;""</f>
        <v/>
      </c>
      <c r="E114" s="55" t="str" cm="1">
        <f t="array" ref="E114">IFERROR(_xlfn.LET(
_xlpm.CSVVal,_xlfn.XLOOKUP($A114,CSV!$A:$A,CSV!D:D,""),
_xlpm.MacVal,_xlfn.XLOOKUP($A114,Output_Mac!$A:$A,Output_Mac!C:C,""),
_xlpm.MyAuditVal,_xlfn.XLOOKUP($A114,My_Audit!$A:$A,My_Audit!D:D,""),
_xlfn.IFS(_xlpm.MyAuditVal&lt;&gt;"",_xlpm.MyAuditVal,_xlpm.MacVal&lt;&gt;"",_xlpm.MacVal,_xlpm.CSVVal&lt;&gt;"",_xlpm.CSVVal
)),"")</f>
        <v/>
      </c>
      <c r="F114" s="54" t="str" cm="1">
        <f t="array" ref="F114">IFERROR(_xlfn.LET(
_xlpm.CSVVal,_xlfn.XLOOKUP($A114,CSV!$A:$A,CSV!E:E,""),
_xlpm.MacVal,_xlfn.XLOOKUP($A114,Output_Mac!$A:$A,Output_Mac!F:F,""),
_xlpm.MyAuditVal,_xlfn.XLOOKUP($A114,My_Audit!$A:$A,My_Audit!E:E,""),
_xlfn.IFS(_xlpm.MyAuditVal&lt;&gt;"",_xlpm.MyAuditVal,_xlpm.MacVal&lt;&gt;"",_xlpm.MacVal,_xlpm.CSVVal&lt;&gt;"",PROPER(_xlpm.CSVVal)
)),"")</f>
        <v/>
      </c>
      <c r="G114" s="54" t="str" cm="1">
        <f t="array" ref="G114">IFERROR(_xlfn.LET(
_xlpm.CSVVal,_xlfn.XLOOKUP($A114,CSV!$A:$A,CSV!F:F,""),
_xlpm.MacVal,_xlfn.XLOOKUP($A114,Output_Mac!$A:$A,Output_Mac!H:H,""),
_xlpm.MyAuditVal,_xlfn.XLOOKUP($A114,My_Audit!$A:$A,My_Audit!F:F,""),
_xlfn.IFS(_xlpm.MyAuditVal&lt;&gt;"",_xlpm.MyAuditVal,_xlpm.MacVal&lt;&gt;"",_xlpm.MacVal,_xlpm.CSVVal&lt;&gt;"",_xlpm.CSVVal
)),"")</f>
        <v/>
      </c>
      <c r="H114" s="54" t="str">
        <f>_xlfn.XLOOKUP(A114,Output_Mac!A:A,Output_Mac!I:I,"")</f>
        <v/>
      </c>
      <c r="I114" s="54" t="str" cm="1">
        <f t="array" ref="I114">IFERROR(_xlfn.LET(
_xlpm.CSVVal,_xlfn.XLOOKUP($A114,CSV!$A:$A,CSV!G:G,""),
_xlpm.MacVal,_xlfn.XLOOKUP($A114,Output_Mac!$A:$A,Output_Mac!J:J,""),
_xlpm.MyAuditVal,_xlfn.XLOOKUP($A114,My_Audit!$A:$A,My_Audit!H:H,""),
_xlfn.IFS(_xlpm.MyAuditVal&lt;&gt;"",UPPER(_xlpm.MyAuditVal),_xlpm.MacVal&lt;&gt;"",_xlpm.MacVal,_xlpm.CSVVal&lt;&gt;"",_xlpm.CSVVal
)),"")</f>
        <v/>
      </c>
      <c r="J114" s="54" t="str" cm="1">
        <f t="array" ref="J114">IFERROR(_xlfn.LET(
_xlpm.CSVVal,_xlfn.XLOOKUP($A114,CSV!$A:$A,CSV!I:I,""),
_xlpm.MacVal,_xlfn.XLOOKUP($A114,Output_Mac!$A:$A,Output_Mac!K:K,""),
_xlpm.MyAuditVal,_xlfn.XLOOKUP($A114,My_Audit!$A:$A,My_Audit!I:I,""),
_xlfn.IFS(_xlpm.MyAuditVal&lt;&gt;"",UPPER(_xlpm.MyAuditVal),_xlpm.MacVal&lt;&gt;"",_xlpm.MacVal,_xlpm.CSVVal&lt;&gt;"",_xlpm.CSVVal
)),"")</f>
        <v/>
      </c>
      <c r="K114" s="54" t="str" cm="1">
        <f t="array" ref="K114">IFERROR(_xlfn.LET(
_xlpm.CSVVal,_xlfn.XLOOKUP($A114,CSV!$A:$A,CSV!M:M,""),
_xlpm.MacVal,_xlfn.XLOOKUP($A114,Output_Mac!$A:$A,Output_Mac!L:L,""),
_xlpm.MyAuditVal,_xlfn.XLOOKUP($A114,My_Audit!$A:$A,My_Audit!J:J,""),
_xlfn.IFS(_xlpm.MyAuditVal&lt;&gt;"",UPPER(_xlpm.MyAuditVal),_xlpm.MacVal&lt;&gt;"",_xlpm.MacVal,_xlpm.CSVVal&lt;&gt;"",_xlpm.CSVVal
)),"")</f>
        <v/>
      </c>
      <c r="L114" s="55" t="str" cm="1">
        <f t="array" ref="L114">IFERROR(_xlfn.LET(
_xlpm.CSVVal,_xlfn.XLOOKUP($A114,CSV!$A:$A,CSV!P:P,""),
_xlpm.MacVal,_xlfn.XLOOKUP($A114,Output_Mac!$A:$A,Output_Mac!M:M,""),
_xlpm.MyAuditVal,_xlfn.XLOOKUP($A114,My_Audit!$A:$A,My_Audit!K:K,""),
_xlfn.IFS(_xlpm.MyAuditVal&lt;&gt;"",UPPER(_xlpm.MyAuditVal),_xlpm.MacVal&lt;&gt;"",_xlpm.MacVal,_xlpm.CSVVal&lt;&gt;"",_xlpm.CSVVal
)),"")</f>
        <v/>
      </c>
      <c r="M114" s="54" t="str">
        <f>_xlfn.LET(
    _xlpm.CSVVal, _xlfn.XLOOKUP($A114, CSV!$A:$A, CSV!AD:AD, ""),
    _xlpm.MacVal, _xlfn.XLOOKUP($A114, Output_Mac!$A:$A, Output_Mac!S:S, ""),
    _xlpm.MyAuditVal, _xlfn.XLOOKUP($A114, My_Audit!$A:$A, My_Audit!N:N, ""),
    _xlfn.TEXTJOIN(", ", TRUE, _xlpm.MyAuditVal, _xlpm.MacVal, _xlpm.CSVVal)
)</f>
        <v/>
      </c>
      <c r="N114" s="54" t="str" cm="1">
        <f t="array" ref="N114">IFERROR(_xlfn.LET(
_xlpm.CSVVal,_xlfn.XLOOKUP($A114,CSV!$A:$A,CSV!AF:AF,""),
_xlpm.MacVal,_xlfn.XLOOKUP($A114,Output_Mac!$A:$A,Output_Mac!U:U,""),
_xlpm.MyAuditVal,_xlfn.XLOOKUP($A114,My_Audit!$A:$A,My_Audit!O:O,""),
_xlfn.IFS(_xlpm.MyAuditVal&lt;&gt;"",UPPER(_xlpm.MyAuditVal),_xlpm.MacVal&lt;&gt;"",_xlpm.MacVal,_xlpm.CSVVal&lt;&gt;"",_xlpm.CSVVal
)),"")</f>
        <v/>
      </c>
      <c r="O114" s="54"/>
      <c r="P114" s="54"/>
      <c r="Q114" s="54"/>
      <c r="R114" s="54"/>
      <c r="S114" s="54"/>
      <c r="T114" s="54"/>
      <c r="U114" s="39" t="str">
        <f>_xlfn.LET(
    _xlpm.MacVal, _xlfn.XLOOKUP($A114, Output_Mac!$A:$A, Output_Mac!AB:AB, ""),
    _xlpm.MyAuditVal, _xlfn.XLOOKUP($A114, My_Audit!$A:$A, My_Audit!L:L, ""),
    _xlfn.TEXTJOIN(", ", TRUE, _xlpm.MyAuditVal, _xlpm.MacVal)
)</f>
        <v/>
      </c>
    </row>
    <row r="115" spans="1:21">
      <c r="A115" s="54" t="str">
        <f>_xlfn.TEXTJOIN("",TRUE,Input!$B$2,ROW(My_Audit!A114))</f>
        <v>XX114</v>
      </c>
      <c r="B115" s="54" t="str">
        <f>_xlfn.TEXTJOIN("-",TRUE,"ITD",Input!$A$2,A115)</f>
        <v>ITD-SHRXXX-XX114</v>
      </c>
      <c r="C115" s="54" t="str" cm="1">
        <f t="array" ref="C115">IFERROR(_xlfn.LET(
_xlpm.CSVVal,_xlfn.XLOOKUP($A115,CSV!$A:$A,CSV!B:B,""),
_xlpm.MacVal,_xlfn.XLOOKUP($A115,Output_Mac!$A:$A,Output_Mac!B:B,""),
_xlpm.MyAuditVal,_xlfn.XLOOKUP($A115,My_Audit!$A:$A,My_Audit!B:B,""),
_xlfn.IFS(_xlpm.MyAuditVal&lt;&gt;"",UPPER(_xlpm.MyAuditVal),_xlpm.MacVal&lt;&gt;"",_xlpm.MacVal,_xlpm.CSVVal&lt;&gt;"",_xlpm.CSVVal
)),"")</f>
        <v/>
      </c>
      <c r="D115" s="55" t="str">
        <f>_xlfn.XLOOKUP(A115,My_Audit!A:A,My_Audit!D:D,"")&amp;""</f>
        <v/>
      </c>
      <c r="E115" s="55" t="str" cm="1">
        <f t="array" ref="E115">IFERROR(_xlfn.LET(
_xlpm.CSVVal,_xlfn.XLOOKUP($A115,CSV!$A:$A,CSV!D:D,""),
_xlpm.MacVal,_xlfn.XLOOKUP($A115,Output_Mac!$A:$A,Output_Mac!C:C,""),
_xlpm.MyAuditVal,_xlfn.XLOOKUP($A115,My_Audit!$A:$A,My_Audit!D:D,""),
_xlfn.IFS(_xlpm.MyAuditVal&lt;&gt;"",_xlpm.MyAuditVal,_xlpm.MacVal&lt;&gt;"",_xlpm.MacVal,_xlpm.CSVVal&lt;&gt;"",_xlpm.CSVVal
)),"")</f>
        <v/>
      </c>
      <c r="F115" s="54" t="str" cm="1">
        <f t="array" ref="F115">IFERROR(_xlfn.LET(
_xlpm.CSVVal,_xlfn.XLOOKUP($A115,CSV!$A:$A,CSV!E:E,""),
_xlpm.MacVal,_xlfn.XLOOKUP($A115,Output_Mac!$A:$A,Output_Mac!F:F,""),
_xlpm.MyAuditVal,_xlfn.XLOOKUP($A115,My_Audit!$A:$A,My_Audit!E:E,""),
_xlfn.IFS(_xlpm.MyAuditVal&lt;&gt;"",_xlpm.MyAuditVal,_xlpm.MacVal&lt;&gt;"",_xlpm.MacVal,_xlpm.CSVVal&lt;&gt;"",PROPER(_xlpm.CSVVal)
)),"")</f>
        <v/>
      </c>
      <c r="G115" s="54" t="str" cm="1">
        <f t="array" ref="G115">IFERROR(_xlfn.LET(
_xlpm.CSVVal,_xlfn.XLOOKUP($A115,CSV!$A:$A,CSV!F:F,""),
_xlpm.MacVal,_xlfn.XLOOKUP($A115,Output_Mac!$A:$A,Output_Mac!H:H,""),
_xlpm.MyAuditVal,_xlfn.XLOOKUP($A115,My_Audit!$A:$A,My_Audit!F:F,""),
_xlfn.IFS(_xlpm.MyAuditVal&lt;&gt;"",_xlpm.MyAuditVal,_xlpm.MacVal&lt;&gt;"",_xlpm.MacVal,_xlpm.CSVVal&lt;&gt;"",_xlpm.CSVVal
)),"")</f>
        <v/>
      </c>
      <c r="H115" s="54" t="str">
        <f>_xlfn.XLOOKUP(A115,Output_Mac!A:A,Output_Mac!I:I,"")</f>
        <v/>
      </c>
      <c r="I115" s="54" t="str" cm="1">
        <f t="array" ref="I115">IFERROR(_xlfn.LET(
_xlpm.CSVVal,_xlfn.XLOOKUP($A115,CSV!$A:$A,CSV!G:G,""),
_xlpm.MacVal,_xlfn.XLOOKUP($A115,Output_Mac!$A:$A,Output_Mac!J:J,""),
_xlpm.MyAuditVal,_xlfn.XLOOKUP($A115,My_Audit!$A:$A,My_Audit!H:H,""),
_xlfn.IFS(_xlpm.MyAuditVal&lt;&gt;"",UPPER(_xlpm.MyAuditVal),_xlpm.MacVal&lt;&gt;"",_xlpm.MacVal,_xlpm.CSVVal&lt;&gt;"",_xlpm.CSVVal
)),"")</f>
        <v/>
      </c>
      <c r="J115" s="54" t="str" cm="1">
        <f t="array" ref="J115">IFERROR(_xlfn.LET(
_xlpm.CSVVal,_xlfn.XLOOKUP($A115,CSV!$A:$A,CSV!I:I,""),
_xlpm.MacVal,_xlfn.XLOOKUP($A115,Output_Mac!$A:$A,Output_Mac!K:K,""),
_xlpm.MyAuditVal,_xlfn.XLOOKUP($A115,My_Audit!$A:$A,My_Audit!I:I,""),
_xlfn.IFS(_xlpm.MyAuditVal&lt;&gt;"",UPPER(_xlpm.MyAuditVal),_xlpm.MacVal&lt;&gt;"",_xlpm.MacVal,_xlpm.CSVVal&lt;&gt;"",_xlpm.CSVVal
)),"")</f>
        <v/>
      </c>
      <c r="K115" s="54" t="str" cm="1">
        <f t="array" ref="K115">IFERROR(_xlfn.LET(
_xlpm.CSVVal,_xlfn.XLOOKUP($A115,CSV!$A:$A,CSV!M:M,""),
_xlpm.MacVal,_xlfn.XLOOKUP($A115,Output_Mac!$A:$A,Output_Mac!L:L,""),
_xlpm.MyAuditVal,_xlfn.XLOOKUP($A115,My_Audit!$A:$A,My_Audit!J:J,""),
_xlfn.IFS(_xlpm.MyAuditVal&lt;&gt;"",UPPER(_xlpm.MyAuditVal),_xlpm.MacVal&lt;&gt;"",_xlpm.MacVal,_xlpm.CSVVal&lt;&gt;"",_xlpm.CSVVal
)),"")</f>
        <v/>
      </c>
      <c r="L115" s="55" t="str" cm="1">
        <f t="array" ref="L115">IFERROR(_xlfn.LET(
_xlpm.CSVVal,_xlfn.XLOOKUP($A115,CSV!$A:$A,CSV!P:P,""),
_xlpm.MacVal,_xlfn.XLOOKUP($A115,Output_Mac!$A:$A,Output_Mac!M:M,""),
_xlpm.MyAuditVal,_xlfn.XLOOKUP($A115,My_Audit!$A:$A,My_Audit!K:K,""),
_xlfn.IFS(_xlpm.MyAuditVal&lt;&gt;"",UPPER(_xlpm.MyAuditVal),_xlpm.MacVal&lt;&gt;"",_xlpm.MacVal,_xlpm.CSVVal&lt;&gt;"",_xlpm.CSVVal
)),"")</f>
        <v/>
      </c>
      <c r="M115" s="54" t="str">
        <f>_xlfn.LET(
    _xlpm.CSVVal, _xlfn.XLOOKUP($A115, CSV!$A:$A, CSV!AD:AD, ""),
    _xlpm.MacVal, _xlfn.XLOOKUP($A115, Output_Mac!$A:$A, Output_Mac!S:S, ""),
    _xlpm.MyAuditVal, _xlfn.XLOOKUP($A115, My_Audit!$A:$A, My_Audit!N:N, ""),
    _xlfn.TEXTJOIN(", ", TRUE, _xlpm.MyAuditVal, _xlpm.MacVal, _xlpm.CSVVal)
)</f>
        <v/>
      </c>
      <c r="N115" s="54" t="str" cm="1">
        <f t="array" ref="N115">IFERROR(_xlfn.LET(
_xlpm.CSVVal,_xlfn.XLOOKUP($A115,CSV!$A:$A,CSV!AF:AF,""),
_xlpm.MacVal,_xlfn.XLOOKUP($A115,Output_Mac!$A:$A,Output_Mac!U:U,""),
_xlpm.MyAuditVal,_xlfn.XLOOKUP($A115,My_Audit!$A:$A,My_Audit!O:O,""),
_xlfn.IFS(_xlpm.MyAuditVal&lt;&gt;"",UPPER(_xlpm.MyAuditVal),_xlpm.MacVal&lt;&gt;"",_xlpm.MacVal,_xlpm.CSVVal&lt;&gt;"",_xlpm.CSVVal
)),"")</f>
        <v/>
      </c>
      <c r="O115" s="54"/>
      <c r="P115" s="54"/>
      <c r="Q115" s="54"/>
      <c r="R115" s="54"/>
      <c r="S115" s="54"/>
      <c r="T115" s="54"/>
      <c r="U115" s="39" t="str">
        <f>_xlfn.LET(
    _xlpm.MacVal, _xlfn.XLOOKUP($A115, Output_Mac!$A:$A, Output_Mac!AB:AB, ""),
    _xlpm.MyAuditVal, _xlfn.XLOOKUP($A115, My_Audit!$A:$A, My_Audit!L:L, ""),
    _xlfn.TEXTJOIN(", ", TRUE, _xlpm.MyAuditVal, _xlpm.MacVal)
)</f>
        <v/>
      </c>
    </row>
    <row r="116" spans="1:21">
      <c r="A116" s="54" t="str">
        <f>_xlfn.TEXTJOIN("",TRUE,Input!$B$2,ROW(My_Audit!A115))</f>
        <v>XX115</v>
      </c>
      <c r="B116" s="54" t="str">
        <f>_xlfn.TEXTJOIN("-",TRUE,"ITD",Input!$A$2,A116)</f>
        <v>ITD-SHRXXX-XX115</v>
      </c>
      <c r="C116" s="54" t="str" cm="1">
        <f t="array" ref="C116">IFERROR(_xlfn.LET(
_xlpm.CSVVal,_xlfn.XLOOKUP($A116,CSV!$A:$A,CSV!B:B,""),
_xlpm.MacVal,_xlfn.XLOOKUP($A116,Output_Mac!$A:$A,Output_Mac!B:B,""),
_xlpm.MyAuditVal,_xlfn.XLOOKUP($A116,My_Audit!$A:$A,My_Audit!B:B,""),
_xlfn.IFS(_xlpm.MyAuditVal&lt;&gt;"",UPPER(_xlpm.MyAuditVal),_xlpm.MacVal&lt;&gt;"",_xlpm.MacVal,_xlpm.CSVVal&lt;&gt;"",_xlpm.CSVVal
)),"")</f>
        <v/>
      </c>
      <c r="D116" s="55" t="str">
        <f>_xlfn.XLOOKUP(A116,My_Audit!A:A,My_Audit!D:D,"")&amp;""</f>
        <v/>
      </c>
      <c r="E116" s="55" t="str" cm="1">
        <f t="array" ref="E116">IFERROR(_xlfn.LET(
_xlpm.CSVVal,_xlfn.XLOOKUP($A116,CSV!$A:$A,CSV!D:D,""),
_xlpm.MacVal,_xlfn.XLOOKUP($A116,Output_Mac!$A:$A,Output_Mac!C:C,""),
_xlpm.MyAuditVal,_xlfn.XLOOKUP($A116,My_Audit!$A:$A,My_Audit!D:D,""),
_xlfn.IFS(_xlpm.MyAuditVal&lt;&gt;"",_xlpm.MyAuditVal,_xlpm.MacVal&lt;&gt;"",_xlpm.MacVal,_xlpm.CSVVal&lt;&gt;"",_xlpm.CSVVal
)),"")</f>
        <v/>
      </c>
      <c r="F116" s="54" t="str" cm="1">
        <f t="array" ref="F116">IFERROR(_xlfn.LET(
_xlpm.CSVVal,_xlfn.XLOOKUP($A116,CSV!$A:$A,CSV!E:E,""),
_xlpm.MacVal,_xlfn.XLOOKUP($A116,Output_Mac!$A:$A,Output_Mac!F:F,""),
_xlpm.MyAuditVal,_xlfn.XLOOKUP($A116,My_Audit!$A:$A,My_Audit!E:E,""),
_xlfn.IFS(_xlpm.MyAuditVal&lt;&gt;"",_xlpm.MyAuditVal,_xlpm.MacVal&lt;&gt;"",_xlpm.MacVal,_xlpm.CSVVal&lt;&gt;"",PROPER(_xlpm.CSVVal)
)),"")</f>
        <v/>
      </c>
      <c r="G116" s="54" t="str" cm="1">
        <f t="array" ref="G116">IFERROR(_xlfn.LET(
_xlpm.CSVVal,_xlfn.XLOOKUP($A116,CSV!$A:$A,CSV!F:F,""),
_xlpm.MacVal,_xlfn.XLOOKUP($A116,Output_Mac!$A:$A,Output_Mac!H:H,""),
_xlpm.MyAuditVal,_xlfn.XLOOKUP($A116,My_Audit!$A:$A,My_Audit!F:F,""),
_xlfn.IFS(_xlpm.MyAuditVal&lt;&gt;"",_xlpm.MyAuditVal,_xlpm.MacVal&lt;&gt;"",_xlpm.MacVal,_xlpm.CSVVal&lt;&gt;"",_xlpm.CSVVal
)),"")</f>
        <v/>
      </c>
      <c r="H116" s="54" t="str">
        <f>_xlfn.XLOOKUP(A116,Output_Mac!A:A,Output_Mac!I:I,"")</f>
        <v/>
      </c>
      <c r="I116" s="54" t="str" cm="1">
        <f t="array" ref="I116">IFERROR(_xlfn.LET(
_xlpm.CSVVal,_xlfn.XLOOKUP($A116,CSV!$A:$A,CSV!G:G,""),
_xlpm.MacVal,_xlfn.XLOOKUP($A116,Output_Mac!$A:$A,Output_Mac!J:J,""),
_xlpm.MyAuditVal,_xlfn.XLOOKUP($A116,My_Audit!$A:$A,My_Audit!H:H,""),
_xlfn.IFS(_xlpm.MyAuditVal&lt;&gt;"",UPPER(_xlpm.MyAuditVal),_xlpm.MacVal&lt;&gt;"",_xlpm.MacVal,_xlpm.CSVVal&lt;&gt;"",_xlpm.CSVVal
)),"")</f>
        <v/>
      </c>
      <c r="J116" s="54" t="str" cm="1">
        <f t="array" ref="J116">IFERROR(_xlfn.LET(
_xlpm.CSVVal,_xlfn.XLOOKUP($A116,CSV!$A:$A,CSV!I:I,""),
_xlpm.MacVal,_xlfn.XLOOKUP($A116,Output_Mac!$A:$A,Output_Mac!K:K,""),
_xlpm.MyAuditVal,_xlfn.XLOOKUP($A116,My_Audit!$A:$A,My_Audit!I:I,""),
_xlfn.IFS(_xlpm.MyAuditVal&lt;&gt;"",UPPER(_xlpm.MyAuditVal),_xlpm.MacVal&lt;&gt;"",_xlpm.MacVal,_xlpm.CSVVal&lt;&gt;"",_xlpm.CSVVal
)),"")</f>
        <v/>
      </c>
      <c r="K116" s="54" t="str" cm="1">
        <f t="array" ref="K116">IFERROR(_xlfn.LET(
_xlpm.CSVVal,_xlfn.XLOOKUP($A116,CSV!$A:$A,CSV!M:M,""),
_xlpm.MacVal,_xlfn.XLOOKUP($A116,Output_Mac!$A:$A,Output_Mac!L:L,""),
_xlpm.MyAuditVal,_xlfn.XLOOKUP($A116,My_Audit!$A:$A,My_Audit!J:J,""),
_xlfn.IFS(_xlpm.MyAuditVal&lt;&gt;"",UPPER(_xlpm.MyAuditVal),_xlpm.MacVal&lt;&gt;"",_xlpm.MacVal,_xlpm.CSVVal&lt;&gt;"",_xlpm.CSVVal
)),"")</f>
        <v/>
      </c>
      <c r="L116" s="55" t="str" cm="1">
        <f t="array" ref="L116">IFERROR(_xlfn.LET(
_xlpm.CSVVal,_xlfn.XLOOKUP($A116,CSV!$A:$A,CSV!P:P,""),
_xlpm.MacVal,_xlfn.XLOOKUP($A116,Output_Mac!$A:$A,Output_Mac!M:M,""),
_xlpm.MyAuditVal,_xlfn.XLOOKUP($A116,My_Audit!$A:$A,My_Audit!K:K,""),
_xlfn.IFS(_xlpm.MyAuditVal&lt;&gt;"",UPPER(_xlpm.MyAuditVal),_xlpm.MacVal&lt;&gt;"",_xlpm.MacVal,_xlpm.CSVVal&lt;&gt;"",_xlpm.CSVVal
)),"")</f>
        <v/>
      </c>
      <c r="M116" s="54" t="str">
        <f>_xlfn.LET(
    _xlpm.CSVVal, _xlfn.XLOOKUP($A116, CSV!$A:$A, CSV!AD:AD, ""),
    _xlpm.MacVal, _xlfn.XLOOKUP($A116, Output_Mac!$A:$A, Output_Mac!S:S, ""),
    _xlpm.MyAuditVal, _xlfn.XLOOKUP($A116, My_Audit!$A:$A, My_Audit!N:N, ""),
    _xlfn.TEXTJOIN(", ", TRUE, _xlpm.MyAuditVal, _xlpm.MacVal, _xlpm.CSVVal)
)</f>
        <v/>
      </c>
      <c r="N116" s="54" t="str" cm="1">
        <f t="array" ref="N116">IFERROR(_xlfn.LET(
_xlpm.CSVVal,_xlfn.XLOOKUP($A116,CSV!$A:$A,CSV!AF:AF,""),
_xlpm.MacVal,_xlfn.XLOOKUP($A116,Output_Mac!$A:$A,Output_Mac!U:U,""),
_xlpm.MyAuditVal,_xlfn.XLOOKUP($A116,My_Audit!$A:$A,My_Audit!O:O,""),
_xlfn.IFS(_xlpm.MyAuditVal&lt;&gt;"",UPPER(_xlpm.MyAuditVal),_xlpm.MacVal&lt;&gt;"",_xlpm.MacVal,_xlpm.CSVVal&lt;&gt;"",_xlpm.CSVVal
)),"")</f>
        <v/>
      </c>
      <c r="O116" s="54"/>
      <c r="P116" s="54"/>
      <c r="Q116" s="54"/>
      <c r="R116" s="54"/>
      <c r="S116" s="54"/>
      <c r="T116" s="54"/>
      <c r="U116" s="39" t="str">
        <f>_xlfn.LET(
    _xlpm.MacVal, _xlfn.XLOOKUP($A116, Output_Mac!$A:$A, Output_Mac!AB:AB, ""),
    _xlpm.MyAuditVal, _xlfn.XLOOKUP($A116, My_Audit!$A:$A, My_Audit!L:L, ""),
    _xlfn.TEXTJOIN(", ", TRUE, _xlpm.MyAuditVal, _xlpm.MacVal)
)</f>
        <v/>
      </c>
    </row>
    <row r="117" spans="1:21">
      <c r="A117" s="54" t="str">
        <f>_xlfn.TEXTJOIN("",TRUE,Input!$B$2,ROW(My_Audit!A116))</f>
        <v>XX116</v>
      </c>
      <c r="B117" s="54" t="str">
        <f>_xlfn.TEXTJOIN("-",TRUE,"ITD",Input!$A$2,A117)</f>
        <v>ITD-SHRXXX-XX116</v>
      </c>
      <c r="C117" s="54" t="str" cm="1">
        <f t="array" ref="C117">IFERROR(_xlfn.LET(
_xlpm.CSVVal,_xlfn.XLOOKUP($A117,CSV!$A:$A,CSV!B:B,""),
_xlpm.MacVal,_xlfn.XLOOKUP($A117,Output_Mac!$A:$A,Output_Mac!B:B,""),
_xlpm.MyAuditVal,_xlfn.XLOOKUP($A117,My_Audit!$A:$A,My_Audit!B:B,""),
_xlfn.IFS(_xlpm.MyAuditVal&lt;&gt;"",UPPER(_xlpm.MyAuditVal),_xlpm.MacVal&lt;&gt;"",_xlpm.MacVal,_xlpm.CSVVal&lt;&gt;"",_xlpm.CSVVal
)),"")</f>
        <v/>
      </c>
      <c r="D117" s="55" t="str">
        <f>_xlfn.XLOOKUP(A117,My_Audit!A:A,My_Audit!D:D,"")&amp;""</f>
        <v/>
      </c>
      <c r="E117" s="55" t="str" cm="1">
        <f t="array" ref="E117">IFERROR(_xlfn.LET(
_xlpm.CSVVal,_xlfn.XLOOKUP($A117,CSV!$A:$A,CSV!D:D,""),
_xlpm.MacVal,_xlfn.XLOOKUP($A117,Output_Mac!$A:$A,Output_Mac!C:C,""),
_xlpm.MyAuditVal,_xlfn.XLOOKUP($A117,My_Audit!$A:$A,My_Audit!D:D,""),
_xlfn.IFS(_xlpm.MyAuditVal&lt;&gt;"",_xlpm.MyAuditVal,_xlpm.MacVal&lt;&gt;"",_xlpm.MacVal,_xlpm.CSVVal&lt;&gt;"",_xlpm.CSVVal
)),"")</f>
        <v/>
      </c>
      <c r="F117" s="54" t="str" cm="1">
        <f t="array" ref="F117">IFERROR(_xlfn.LET(
_xlpm.CSVVal,_xlfn.XLOOKUP($A117,CSV!$A:$A,CSV!E:E,""),
_xlpm.MacVal,_xlfn.XLOOKUP($A117,Output_Mac!$A:$A,Output_Mac!F:F,""),
_xlpm.MyAuditVal,_xlfn.XLOOKUP($A117,My_Audit!$A:$A,My_Audit!E:E,""),
_xlfn.IFS(_xlpm.MyAuditVal&lt;&gt;"",_xlpm.MyAuditVal,_xlpm.MacVal&lt;&gt;"",_xlpm.MacVal,_xlpm.CSVVal&lt;&gt;"",PROPER(_xlpm.CSVVal)
)),"")</f>
        <v/>
      </c>
      <c r="G117" s="54" t="str" cm="1">
        <f t="array" ref="G117">IFERROR(_xlfn.LET(
_xlpm.CSVVal,_xlfn.XLOOKUP($A117,CSV!$A:$A,CSV!F:F,""),
_xlpm.MacVal,_xlfn.XLOOKUP($A117,Output_Mac!$A:$A,Output_Mac!H:H,""),
_xlpm.MyAuditVal,_xlfn.XLOOKUP($A117,My_Audit!$A:$A,My_Audit!F:F,""),
_xlfn.IFS(_xlpm.MyAuditVal&lt;&gt;"",_xlpm.MyAuditVal,_xlpm.MacVal&lt;&gt;"",_xlpm.MacVal,_xlpm.CSVVal&lt;&gt;"",_xlpm.CSVVal
)),"")</f>
        <v/>
      </c>
      <c r="H117" s="54" t="str">
        <f>_xlfn.XLOOKUP(A117,Output_Mac!A:A,Output_Mac!I:I,"")</f>
        <v/>
      </c>
      <c r="I117" s="54" t="str" cm="1">
        <f t="array" ref="I117">IFERROR(_xlfn.LET(
_xlpm.CSVVal,_xlfn.XLOOKUP($A117,CSV!$A:$A,CSV!G:G,""),
_xlpm.MacVal,_xlfn.XLOOKUP($A117,Output_Mac!$A:$A,Output_Mac!J:J,""),
_xlpm.MyAuditVal,_xlfn.XLOOKUP($A117,My_Audit!$A:$A,My_Audit!H:H,""),
_xlfn.IFS(_xlpm.MyAuditVal&lt;&gt;"",UPPER(_xlpm.MyAuditVal),_xlpm.MacVal&lt;&gt;"",_xlpm.MacVal,_xlpm.CSVVal&lt;&gt;"",_xlpm.CSVVal
)),"")</f>
        <v/>
      </c>
      <c r="J117" s="54" t="str" cm="1">
        <f t="array" ref="J117">IFERROR(_xlfn.LET(
_xlpm.CSVVal,_xlfn.XLOOKUP($A117,CSV!$A:$A,CSV!I:I,""),
_xlpm.MacVal,_xlfn.XLOOKUP($A117,Output_Mac!$A:$A,Output_Mac!K:K,""),
_xlpm.MyAuditVal,_xlfn.XLOOKUP($A117,My_Audit!$A:$A,My_Audit!I:I,""),
_xlfn.IFS(_xlpm.MyAuditVal&lt;&gt;"",UPPER(_xlpm.MyAuditVal),_xlpm.MacVal&lt;&gt;"",_xlpm.MacVal,_xlpm.CSVVal&lt;&gt;"",_xlpm.CSVVal
)),"")</f>
        <v/>
      </c>
      <c r="K117" s="54" t="str" cm="1">
        <f t="array" ref="K117">IFERROR(_xlfn.LET(
_xlpm.CSVVal,_xlfn.XLOOKUP($A117,CSV!$A:$A,CSV!M:M,""),
_xlpm.MacVal,_xlfn.XLOOKUP($A117,Output_Mac!$A:$A,Output_Mac!L:L,""),
_xlpm.MyAuditVal,_xlfn.XLOOKUP($A117,My_Audit!$A:$A,My_Audit!J:J,""),
_xlfn.IFS(_xlpm.MyAuditVal&lt;&gt;"",UPPER(_xlpm.MyAuditVal),_xlpm.MacVal&lt;&gt;"",_xlpm.MacVal,_xlpm.CSVVal&lt;&gt;"",_xlpm.CSVVal
)),"")</f>
        <v/>
      </c>
      <c r="L117" s="55" t="str" cm="1">
        <f t="array" ref="L117">IFERROR(_xlfn.LET(
_xlpm.CSVVal,_xlfn.XLOOKUP($A117,CSV!$A:$A,CSV!P:P,""),
_xlpm.MacVal,_xlfn.XLOOKUP($A117,Output_Mac!$A:$A,Output_Mac!M:M,""),
_xlpm.MyAuditVal,_xlfn.XLOOKUP($A117,My_Audit!$A:$A,My_Audit!K:K,""),
_xlfn.IFS(_xlpm.MyAuditVal&lt;&gt;"",UPPER(_xlpm.MyAuditVal),_xlpm.MacVal&lt;&gt;"",_xlpm.MacVal,_xlpm.CSVVal&lt;&gt;"",_xlpm.CSVVal
)),"")</f>
        <v/>
      </c>
      <c r="M117" s="54" t="str">
        <f>_xlfn.LET(
    _xlpm.CSVVal, _xlfn.XLOOKUP($A117, CSV!$A:$A, CSV!AD:AD, ""),
    _xlpm.MacVal, _xlfn.XLOOKUP($A117, Output_Mac!$A:$A, Output_Mac!S:S, ""),
    _xlpm.MyAuditVal, _xlfn.XLOOKUP($A117, My_Audit!$A:$A, My_Audit!N:N, ""),
    _xlfn.TEXTJOIN(", ", TRUE, _xlpm.MyAuditVal, _xlpm.MacVal, _xlpm.CSVVal)
)</f>
        <v/>
      </c>
      <c r="N117" s="54" t="str" cm="1">
        <f t="array" ref="N117">IFERROR(_xlfn.LET(
_xlpm.CSVVal,_xlfn.XLOOKUP($A117,CSV!$A:$A,CSV!AF:AF,""),
_xlpm.MacVal,_xlfn.XLOOKUP($A117,Output_Mac!$A:$A,Output_Mac!U:U,""),
_xlpm.MyAuditVal,_xlfn.XLOOKUP($A117,My_Audit!$A:$A,My_Audit!O:O,""),
_xlfn.IFS(_xlpm.MyAuditVal&lt;&gt;"",UPPER(_xlpm.MyAuditVal),_xlpm.MacVal&lt;&gt;"",_xlpm.MacVal,_xlpm.CSVVal&lt;&gt;"",_xlpm.CSVVal
)),"")</f>
        <v/>
      </c>
      <c r="O117" s="54"/>
      <c r="P117" s="54"/>
      <c r="Q117" s="54"/>
      <c r="R117" s="54"/>
      <c r="S117" s="54"/>
      <c r="T117" s="54"/>
      <c r="U117" s="39" t="str">
        <f>_xlfn.LET(
    _xlpm.MacVal, _xlfn.XLOOKUP($A117, Output_Mac!$A:$A, Output_Mac!AB:AB, ""),
    _xlpm.MyAuditVal, _xlfn.XLOOKUP($A117, My_Audit!$A:$A, My_Audit!L:L, ""),
    _xlfn.TEXTJOIN(", ", TRUE, _xlpm.MyAuditVal, _xlpm.MacVal)
)</f>
        <v/>
      </c>
    </row>
    <row r="118" spans="1:21">
      <c r="A118" s="54" t="str">
        <f>_xlfn.TEXTJOIN("",TRUE,Input!$B$2,ROW(My_Audit!A117))</f>
        <v>XX117</v>
      </c>
      <c r="B118" s="54" t="str">
        <f>_xlfn.TEXTJOIN("-",TRUE,"ITD",Input!$A$2,A118)</f>
        <v>ITD-SHRXXX-XX117</v>
      </c>
      <c r="C118" s="54" t="str" cm="1">
        <f t="array" ref="C118">IFERROR(_xlfn.LET(
_xlpm.CSVVal,_xlfn.XLOOKUP($A118,CSV!$A:$A,CSV!B:B,""),
_xlpm.MacVal,_xlfn.XLOOKUP($A118,Output_Mac!$A:$A,Output_Mac!B:B,""),
_xlpm.MyAuditVal,_xlfn.XLOOKUP($A118,My_Audit!$A:$A,My_Audit!B:B,""),
_xlfn.IFS(_xlpm.MyAuditVal&lt;&gt;"",UPPER(_xlpm.MyAuditVal),_xlpm.MacVal&lt;&gt;"",_xlpm.MacVal,_xlpm.CSVVal&lt;&gt;"",_xlpm.CSVVal
)),"")</f>
        <v/>
      </c>
      <c r="D118" s="55" t="str">
        <f>_xlfn.XLOOKUP(A118,My_Audit!A:A,My_Audit!D:D,"")&amp;""</f>
        <v/>
      </c>
      <c r="E118" s="55" t="str" cm="1">
        <f t="array" ref="E118">IFERROR(_xlfn.LET(
_xlpm.CSVVal,_xlfn.XLOOKUP($A118,CSV!$A:$A,CSV!D:D,""),
_xlpm.MacVal,_xlfn.XLOOKUP($A118,Output_Mac!$A:$A,Output_Mac!C:C,""),
_xlpm.MyAuditVal,_xlfn.XLOOKUP($A118,My_Audit!$A:$A,My_Audit!D:D,""),
_xlfn.IFS(_xlpm.MyAuditVal&lt;&gt;"",_xlpm.MyAuditVal,_xlpm.MacVal&lt;&gt;"",_xlpm.MacVal,_xlpm.CSVVal&lt;&gt;"",_xlpm.CSVVal
)),"")</f>
        <v/>
      </c>
      <c r="F118" s="54" t="str" cm="1">
        <f t="array" ref="F118">IFERROR(_xlfn.LET(
_xlpm.CSVVal,_xlfn.XLOOKUP($A118,CSV!$A:$A,CSV!E:E,""),
_xlpm.MacVal,_xlfn.XLOOKUP($A118,Output_Mac!$A:$A,Output_Mac!F:F,""),
_xlpm.MyAuditVal,_xlfn.XLOOKUP($A118,My_Audit!$A:$A,My_Audit!E:E,""),
_xlfn.IFS(_xlpm.MyAuditVal&lt;&gt;"",_xlpm.MyAuditVal,_xlpm.MacVal&lt;&gt;"",_xlpm.MacVal,_xlpm.CSVVal&lt;&gt;"",PROPER(_xlpm.CSVVal)
)),"")</f>
        <v/>
      </c>
      <c r="G118" s="54" t="str" cm="1">
        <f t="array" ref="G118">IFERROR(_xlfn.LET(
_xlpm.CSVVal,_xlfn.XLOOKUP($A118,CSV!$A:$A,CSV!F:F,""),
_xlpm.MacVal,_xlfn.XLOOKUP($A118,Output_Mac!$A:$A,Output_Mac!H:H,""),
_xlpm.MyAuditVal,_xlfn.XLOOKUP($A118,My_Audit!$A:$A,My_Audit!F:F,""),
_xlfn.IFS(_xlpm.MyAuditVal&lt;&gt;"",_xlpm.MyAuditVal,_xlpm.MacVal&lt;&gt;"",_xlpm.MacVal,_xlpm.CSVVal&lt;&gt;"",_xlpm.CSVVal
)),"")</f>
        <v/>
      </c>
      <c r="H118" s="54" t="str">
        <f>_xlfn.XLOOKUP(A118,Output_Mac!A:A,Output_Mac!I:I,"")</f>
        <v/>
      </c>
      <c r="I118" s="54" t="str" cm="1">
        <f t="array" ref="I118">IFERROR(_xlfn.LET(
_xlpm.CSVVal,_xlfn.XLOOKUP($A118,CSV!$A:$A,CSV!G:G,""),
_xlpm.MacVal,_xlfn.XLOOKUP($A118,Output_Mac!$A:$A,Output_Mac!J:J,""),
_xlpm.MyAuditVal,_xlfn.XLOOKUP($A118,My_Audit!$A:$A,My_Audit!H:H,""),
_xlfn.IFS(_xlpm.MyAuditVal&lt;&gt;"",UPPER(_xlpm.MyAuditVal),_xlpm.MacVal&lt;&gt;"",_xlpm.MacVal,_xlpm.CSVVal&lt;&gt;"",_xlpm.CSVVal
)),"")</f>
        <v/>
      </c>
      <c r="J118" s="54" t="str" cm="1">
        <f t="array" ref="J118">IFERROR(_xlfn.LET(
_xlpm.CSVVal,_xlfn.XLOOKUP($A118,CSV!$A:$A,CSV!I:I,""),
_xlpm.MacVal,_xlfn.XLOOKUP($A118,Output_Mac!$A:$A,Output_Mac!K:K,""),
_xlpm.MyAuditVal,_xlfn.XLOOKUP($A118,My_Audit!$A:$A,My_Audit!I:I,""),
_xlfn.IFS(_xlpm.MyAuditVal&lt;&gt;"",UPPER(_xlpm.MyAuditVal),_xlpm.MacVal&lt;&gt;"",_xlpm.MacVal,_xlpm.CSVVal&lt;&gt;"",_xlpm.CSVVal
)),"")</f>
        <v/>
      </c>
      <c r="K118" s="54" t="str" cm="1">
        <f t="array" ref="K118">IFERROR(_xlfn.LET(
_xlpm.CSVVal,_xlfn.XLOOKUP($A118,CSV!$A:$A,CSV!M:M,""),
_xlpm.MacVal,_xlfn.XLOOKUP($A118,Output_Mac!$A:$A,Output_Mac!L:L,""),
_xlpm.MyAuditVal,_xlfn.XLOOKUP($A118,My_Audit!$A:$A,My_Audit!J:J,""),
_xlfn.IFS(_xlpm.MyAuditVal&lt;&gt;"",UPPER(_xlpm.MyAuditVal),_xlpm.MacVal&lt;&gt;"",_xlpm.MacVal,_xlpm.CSVVal&lt;&gt;"",_xlpm.CSVVal
)),"")</f>
        <v/>
      </c>
      <c r="L118" s="55" t="str" cm="1">
        <f t="array" ref="L118">IFERROR(_xlfn.LET(
_xlpm.CSVVal,_xlfn.XLOOKUP($A118,CSV!$A:$A,CSV!P:P,""),
_xlpm.MacVal,_xlfn.XLOOKUP($A118,Output_Mac!$A:$A,Output_Mac!M:M,""),
_xlpm.MyAuditVal,_xlfn.XLOOKUP($A118,My_Audit!$A:$A,My_Audit!K:K,""),
_xlfn.IFS(_xlpm.MyAuditVal&lt;&gt;"",UPPER(_xlpm.MyAuditVal),_xlpm.MacVal&lt;&gt;"",_xlpm.MacVal,_xlpm.CSVVal&lt;&gt;"",_xlpm.CSVVal
)),"")</f>
        <v/>
      </c>
      <c r="M118" s="54" t="str">
        <f>_xlfn.LET(
    _xlpm.CSVVal, _xlfn.XLOOKUP($A118, CSV!$A:$A, CSV!AD:AD, ""),
    _xlpm.MacVal, _xlfn.XLOOKUP($A118, Output_Mac!$A:$A, Output_Mac!S:S, ""),
    _xlpm.MyAuditVal, _xlfn.XLOOKUP($A118, My_Audit!$A:$A, My_Audit!N:N, ""),
    _xlfn.TEXTJOIN(", ", TRUE, _xlpm.MyAuditVal, _xlpm.MacVal, _xlpm.CSVVal)
)</f>
        <v/>
      </c>
      <c r="N118" s="54" t="str" cm="1">
        <f t="array" ref="N118">IFERROR(_xlfn.LET(
_xlpm.CSVVal,_xlfn.XLOOKUP($A118,CSV!$A:$A,CSV!AF:AF,""),
_xlpm.MacVal,_xlfn.XLOOKUP($A118,Output_Mac!$A:$A,Output_Mac!U:U,""),
_xlpm.MyAuditVal,_xlfn.XLOOKUP($A118,My_Audit!$A:$A,My_Audit!O:O,""),
_xlfn.IFS(_xlpm.MyAuditVal&lt;&gt;"",UPPER(_xlpm.MyAuditVal),_xlpm.MacVal&lt;&gt;"",_xlpm.MacVal,_xlpm.CSVVal&lt;&gt;"",_xlpm.CSVVal
)),"")</f>
        <v/>
      </c>
      <c r="O118" s="54"/>
      <c r="P118" s="54"/>
      <c r="Q118" s="54"/>
      <c r="R118" s="54"/>
      <c r="S118" s="54"/>
      <c r="T118" s="54"/>
      <c r="U118" s="39" t="str">
        <f>_xlfn.LET(
    _xlpm.MacVal, _xlfn.XLOOKUP($A118, Output_Mac!$A:$A, Output_Mac!AB:AB, ""),
    _xlpm.MyAuditVal, _xlfn.XLOOKUP($A118, My_Audit!$A:$A, My_Audit!L:L, ""),
    _xlfn.TEXTJOIN(", ", TRUE, _xlpm.MyAuditVal, _xlpm.MacVal)
)</f>
        <v/>
      </c>
    </row>
    <row r="119" spans="1:21">
      <c r="A119" s="54" t="str">
        <f>_xlfn.TEXTJOIN("",TRUE,Input!$B$2,ROW(My_Audit!A118))</f>
        <v>XX118</v>
      </c>
      <c r="B119" s="54" t="str">
        <f>_xlfn.TEXTJOIN("-",TRUE,"ITD",Input!$A$2,A119)</f>
        <v>ITD-SHRXXX-XX118</v>
      </c>
      <c r="C119" s="54" t="str" cm="1">
        <f t="array" ref="C119">IFERROR(_xlfn.LET(
_xlpm.CSVVal,_xlfn.XLOOKUP($A119,CSV!$A:$A,CSV!B:B,""),
_xlpm.MacVal,_xlfn.XLOOKUP($A119,Output_Mac!$A:$A,Output_Mac!B:B,""),
_xlpm.MyAuditVal,_xlfn.XLOOKUP($A119,My_Audit!$A:$A,My_Audit!B:B,""),
_xlfn.IFS(_xlpm.MyAuditVal&lt;&gt;"",UPPER(_xlpm.MyAuditVal),_xlpm.MacVal&lt;&gt;"",_xlpm.MacVal,_xlpm.CSVVal&lt;&gt;"",_xlpm.CSVVal
)),"")</f>
        <v/>
      </c>
      <c r="D119" s="55" t="str">
        <f>_xlfn.XLOOKUP(A119,My_Audit!A:A,My_Audit!D:D,"")&amp;""</f>
        <v/>
      </c>
      <c r="E119" s="55" t="str" cm="1">
        <f t="array" ref="E119">IFERROR(_xlfn.LET(
_xlpm.CSVVal,_xlfn.XLOOKUP($A119,CSV!$A:$A,CSV!D:D,""),
_xlpm.MacVal,_xlfn.XLOOKUP($A119,Output_Mac!$A:$A,Output_Mac!C:C,""),
_xlpm.MyAuditVal,_xlfn.XLOOKUP($A119,My_Audit!$A:$A,My_Audit!D:D,""),
_xlfn.IFS(_xlpm.MyAuditVal&lt;&gt;"",_xlpm.MyAuditVal,_xlpm.MacVal&lt;&gt;"",_xlpm.MacVal,_xlpm.CSVVal&lt;&gt;"",_xlpm.CSVVal
)),"")</f>
        <v/>
      </c>
      <c r="F119" s="54" t="str" cm="1">
        <f t="array" ref="F119">IFERROR(_xlfn.LET(
_xlpm.CSVVal,_xlfn.XLOOKUP($A119,CSV!$A:$A,CSV!E:E,""),
_xlpm.MacVal,_xlfn.XLOOKUP($A119,Output_Mac!$A:$A,Output_Mac!F:F,""),
_xlpm.MyAuditVal,_xlfn.XLOOKUP($A119,My_Audit!$A:$A,My_Audit!E:E,""),
_xlfn.IFS(_xlpm.MyAuditVal&lt;&gt;"",_xlpm.MyAuditVal,_xlpm.MacVal&lt;&gt;"",_xlpm.MacVal,_xlpm.CSVVal&lt;&gt;"",PROPER(_xlpm.CSVVal)
)),"")</f>
        <v/>
      </c>
      <c r="G119" s="54" t="str" cm="1">
        <f t="array" ref="G119">IFERROR(_xlfn.LET(
_xlpm.CSVVal,_xlfn.XLOOKUP($A119,CSV!$A:$A,CSV!F:F,""),
_xlpm.MacVal,_xlfn.XLOOKUP($A119,Output_Mac!$A:$A,Output_Mac!H:H,""),
_xlpm.MyAuditVal,_xlfn.XLOOKUP($A119,My_Audit!$A:$A,My_Audit!F:F,""),
_xlfn.IFS(_xlpm.MyAuditVal&lt;&gt;"",_xlpm.MyAuditVal,_xlpm.MacVal&lt;&gt;"",_xlpm.MacVal,_xlpm.CSVVal&lt;&gt;"",_xlpm.CSVVal
)),"")</f>
        <v/>
      </c>
      <c r="H119" s="54" t="str">
        <f>_xlfn.XLOOKUP(A119,Output_Mac!A:A,Output_Mac!I:I,"")</f>
        <v/>
      </c>
      <c r="I119" s="54" t="str" cm="1">
        <f t="array" ref="I119">IFERROR(_xlfn.LET(
_xlpm.CSVVal,_xlfn.XLOOKUP($A119,CSV!$A:$A,CSV!G:G,""),
_xlpm.MacVal,_xlfn.XLOOKUP($A119,Output_Mac!$A:$A,Output_Mac!J:J,""),
_xlpm.MyAuditVal,_xlfn.XLOOKUP($A119,My_Audit!$A:$A,My_Audit!H:H,""),
_xlfn.IFS(_xlpm.MyAuditVal&lt;&gt;"",UPPER(_xlpm.MyAuditVal),_xlpm.MacVal&lt;&gt;"",_xlpm.MacVal,_xlpm.CSVVal&lt;&gt;"",_xlpm.CSVVal
)),"")</f>
        <v/>
      </c>
      <c r="J119" s="54" t="str" cm="1">
        <f t="array" ref="J119">IFERROR(_xlfn.LET(
_xlpm.CSVVal,_xlfn.XLOOKUP($A119,CSV!$A:$A,CSV!I:I,""),
_xlpm.MacVal,_xlfn.XLOOKUP($A119,Output_Mac!$A:$A,Output_Mac!K:K,""),
_xlpm.MyAuditVal,_xlfn.XLOOKUP($A119,My_Audit!$A:$A,My_Audit!I:I,""),
_xlfn.IFS(_xlpm.MyAuditVal&lt;&gt;"",UPPER(_xlpm.MyAuditVal),_xlpm.MacVal&lt;&gt;"",_xlpm.MacVal,_xlpm.CSVVal&lt;&gt;"",_xlpm.CSVVal
)),"")</f>
        <v/>
      </c>
      <c r="K119" s="54" t="str" cm="1">
        <f t="array" ref="K119">IFERROR(_xlfn.LET(
_xlpm.CSVVal,_xlfn.XLOOKUP($A119,CSV!$A:$A,CSV!M:M,""),
_xlpm.MacVal,_xlfn.XLOOKUP($A119,Output_Mac!$A:$A,Output_Mac!L:L,""),
_xlpm.MyAuditVal,_xlfn.XLOOKUP($A119,My_Audit!$A:$A,My_Audit!J:J,""),
_xlfn.IFS(_xlpm.MyAuditVal&lt;&gt;"",UPPER(_xlpm.MyAuditVal),_xlpm.MacVal&lt;&gt;"",_xlpm.MacVal,_xlpm.CSVVal&lt;&gt;"",_xlpm.CSVVal
)),"")</f>
        <v/>
      </c>
      <c r="L119" s="55" t="str" cm="1">
        <f t="array" ref="L119">IFERROR(_xlfn.LET(
_xlpm.CSVVal,_xlfn.XLOOKUP($A119,CSV!$A:$A,CSV!P:P,""),
_xlpm.MacVal,_xlfn.XLOOKUP($A119,Output_Mac!$A:$A,Output_Mac!M:M,""),
_xlpm.MyAuditVal,_xlfn.XLOOKUP($A119,My_Audit!$A:$A,My_Audit!K:K,""),
_xlfn.IFS(_xlpm.MyAuditVal&lt;&gt;"",UPPER(_xlpm.MyAuditVal),_xlpm.MacVal&lt;&gt;"",_xlpm.MacVal,_xlpm.CSVVal&lt;&gt;"",_xlpm.CSVVal
)),"")</f>
        <v/>
      </c>
      <c r="M119" s="54" t="str">
        <f>_xlfn.LET(
    _xlpm.CSVVal, _xlfn.XLOOKUP($A119, CSV!$A:$A, CSV!AD:AD, ""),
    _xlpm.MacVal, _xlfn.XLOOKUP($A119, Output_Mac!$A:$A, Output_Mac!S:S, ""),
    _xlpm.MyAuditVal, _xlfn.XLOOKUP($A119, My_Audit!$A:$A, My_Audit!N:N, ""),
    _xlfn.TEXTJOIN(", ", TRUE, _xlpm.MyAuditVal, _xlpm.MacVal, _xlpm.CSVVal)
)</f>
        <v/>
      </c>
      <c r="N119" s="54" t="str" cm="1">
        <f t="array" ref="N119">IFERROR(_xlfn.LET(
_xlpm.CSVVal,_xlfn.XLOOKUP($A119,CSV!$A:$A,CSV!AF:AF,""),
_xlpm.MacVal,_xlfn.XLOOKUP($A119,Output_Mac!$A:$A,Output_Mac!U:U,""),
_xlpm.MyAuditVal,_xlfn.XLOOKUP($A119,My_Audit!$A:$A,My_Audit!O:O,""),
_xlfn.IFS(_xlpm.MyAuditVal&lt;&gt;"",UPPER(_xlpm.MyAuditVal),_xlpm.MacVal&lt;&gt;"",_xlpm.MacVal,_xlpm.CSVVal&lt;&gt;"",_xlpm.CSVVal
)),"")</f>
        <v/>
      </c>
      <c r="O119" s="54"/>
      <c r="P119" s="54"/>
      <c r="Q119" s="54"/>
      <c r="R119" s="54"/>
      <c r="S119" s="54"/>
      <c r="T119" s="54"/>
      <c r="U119" s="39" t="str">
        <f>_xlfn.LET(
    _xlpm.MacVal, _xlfn.XLOOKUP($A119, Output_Mac!$A:$A, Output_Mac!AB:AB, ""),
    _xlpm.MyAuditVal, _xlfn.XLOOKUP($A119, My_Audit!$A:$A, My_Audit!L:L, ""),
    _xlfn.TEXTJOIN(", ", TRUE, _xlpm.MyAuditVal, _xlpm.MacVal)
)</f>
        <v/>
      </c>
    </row>
    <row r="120" spans="1:21">
      <c r="A120" s="54" t="str">
        <f>_xlfn.TEXTJOIN("",TRUE,Input!$B$2,ROW(My_Audit!A119))</f>
        <v>XX119</v>
      </c>
      <c r="B120" s="54" t="str">
        <f>_xlfn.TEXTJOIN("-",TRUE,"ITD",Input!$A$2,A120)</f>
        <v>ITD-SHRXXX-XX119</v>
      </c>
      <c r="C120" s="54" t="str" cm="1">
        <f t="array" ref="C120">IFERROR(_xlfn.LET(
_xlpm.CSVVal,_xlfn.XLOOKUP($A120,CSV!$A:$A,CSV!B:B,""),
_xlpm.MacVal,_xlfn.XLOOKUP($A120,Output_Mac!$A:$A,Output_Mac!B:B,""),
_xlpm.MyAuditVal,_xlfn.XLOOKUP($A120,My_Audit!$A:$A,My_Audit!B:B,""),
_xlfn.IFS(_xlpm.MyAuditVal&lt;&gt;"",UPPER(_xlpm.MyAuditVal),_xlpm.MacVal&lt;&gt;"",_xlpm.MacVal,_xlpm.CSVVal&lt;&gt;"",_xlpm.CSVVal
)),"")</f>
        <v/>
      </c>
      <c r="D120" s="55" t="str">
        <f>_xlfn.XLOOKUP(A120,My_Audit!A:A,My_Audit!D:D,"")&amp;""</f>
        <v/>
      </c>
      <c r="E120" s="55" t="str" cm="1">
        <f t="array" ref="E120">IFERROR(_xlfn.LET(
_xlpm.CSVVal,_xlfn.XLOOKUP($A120,CSV!$A:$A,CSV!D:D,""),
_xlpm.MacVal,_xlfn.XLOOKUP($A120,Output_Mac!$A:$A,Output_Mac!C:C,""),
_xlpm.MyAuditVal,_xlfn.XLOOKUP($A120,My_Audit!$A:$A,My_Audit!D:D,""),
_xlfn.IFS(_xlpm.MyAuditVal&lt;&gt;"",_xlpm.MyAuditVal,_xlpm.MacVal&lt;&gt;"",_xlpm.MacVal,_xlpm.CSVVal&lt;&gt;"",_xlpm.CSVVal
)),"")</f>
        <v/>
      </c>
      <c r="F120" s="54" t="str" cm="1">
        <f t="array" ref="F120">IFERROR(_xlfn.LET(
_xlpm.CSVVal,_xlfn.XLOOKUP($A120,CSV!$A:$A,CSV!E:E,""),
_xlpm.MacVal,_xlfn.XLOOKUP($A120,Output_Mac!$A:$A,Output_Mac!F:F,""),
_xlpm.MyAuditVal,_xlfn.XLOOKUP($A120,My_Audit!$A:$A,My_Audit!E:E,""),
_xlfn.IFS(_xlpm.MyAuditVal&lt;&gt;"",_xlpm.MyAuditVal,_xlpm.MacVal&lt;&gt;"",_xlpm.MacVal,_xlpm.CSVVal&lt;&gt;"",PROPER(_xlpm.CSVVal)
)),"")</f>
        <v/>
      </c>
      <c r="G120" s="54" t="str" cm="1">
        <f t="array" ref="G120">IFERROR(_xlfn.LET(
_xlpm.CSVVal,_xlfn.XLOOKUP($A120,CSV!$A:$A,CSV!F:F,""),
_xlpm.MacVal,_xlfn.XLOOKUP($A120,Output_Mac!$A:$A,Output_Mac!H:H,""),
_xlpm.MyAuditVal,_xlfn.XLOOKUP($A120,My_Audit!$A:$A,My_Audit!F:F,""),
_xlfn.IFS(_xlpm.MyAuditVal&lt;&gt;"",_xlpm.MyAuditVal,_xlpm.MacVal&lt;&gt;"",_xlpm.MacVal,_xlpm.CSVVal&lt;&gt;"",_xlpm.CSVVal
)),"")</f>
        <v/>
      </c>
      <c r="H120" s="54" t="str">
        <f>_xlfn.XLOOKUP(A120,Output_Mac!A:A,Output_Mac!I:I,"")</f>
        <v/>
      </c>
      <c r="I120" s="54" t="str" cm="1">
        <f t="array" ref="I120">IFERROR(_xlfn.LET(
_xlpm.CSVVal,_xlfn.XLOOKUP($A120,CSV!$A:$A,CSV!G:G,""),
_xlpm.MacVal,_xlfn.XLOOKUP($A120,Output_Mac!$A:$A,Output_Mac!J:J,""),
_xlpm.MyAuditVal,_xlfn.XLOOKUP($A120,My_Audit!$A:$A,My_Audit!H:H,""),
_xlfn.IFS(_xlpm.MyAuditVal&lt;&gt;"",UPPER(_xlpm.MyAuditVal),_xlpm.MacVal&lt;&gt;"",_xlpm.MacVal,_xlpm.CSVVal&lt;&gt;"",_xlpm.CSVVal
)),"")</f>
        <v/>
      </c>
      <c r="J120" s="54" t="str" cm="1">
        <f t="array" ref="J120">IFERROR(_xlfn.LET(
_xlpm.CSVVal,_xlfn.XLOOKUP($A120,CSV!$A:$A,CSV!I:I,""),
_xlpm.MacVal,_xlfn.XLOOKUP($A120,Output_Mac!$A:$A,Output_Mac!K:K,""),
_xlpm.MyAuditVal,_xlfn.XLOOKUP($A120,My_Audit!$A:$A,My_Audit!I:I,""),
_xlfn.IFS(_xlpm.MyAuditVal&lt;&gt;"",UPPER(_xlpm.MyAuditVal),_xlpm.MacVal&lt;&gt;"",_xlpm.MacVal,_xlpm.CSVVal&lt;&gt;"",_xlpm.CSVVal
)),"")</f>
        <v/>
      </c>
      <c r="K120" s="54" t="str" cm="1">
        <f t="array" ref="K120">IFERROR(_xlfn.LET(
_xlpm.CSVVal,_xlfn.XLOOKUP($A120,CSV!$A:$A,CSV!M:M,""),
_xlpm.MacVal,_xlfn.XLOOKUP($A120,Output_Mac!$A:$A,Output_Mac!L:L,""),
_xlpm.MyAuditVal,_xlfn.XLOOKUP($A120,My_Audit!$A:$A,My_Audit!J:J,""),
_xlfn.IFS(_xlpm.MyAuditVal&lt;&gt;"",UPPER(_xlpm.MyAuditVal),_xlpm.MacVal&lt;&gt;"",_xlpm.MacVal,_xlpm.CSVVal&lt;&gt;"",_xlpm.CSVVal
)),"")</f>
        <v/>
      </c>
      <c r="L120" s="55" t="str" cm="1">
        <f t="array" ref="L120">IFERROR(_xlfn.LET(
_xlpm.CSVVal,_xlfn.XLOOKUP($A120,CSV!$A:$A,CSV!P:P,""),
_xlpm.MacVal,_xlfn.XLOOKUP($A120,Output_Mac!$A:$A,Output_Mac!M:M,""),
_xlpm.MyAuditVal,_xlfn.XLOOKUP($A120,My_Audit!$A:$A,My_Audit!K:K,""),
_xlfn.IFS(_xlpm.MyAuditVal&lt;&gt;"",UPPER(_xlpm.MyAuditVal),_xlpm.MacVal&lt;&gt;"",_xlpm.MacVal,_xlpm.CSVVal&lt;&gt;"",_xlpm.CSVVal
)),"")</f>
        <v/>
      </c>
      <c r="M120" s="54" t="str">
        <f>_xlfn.LET(
    _xlpm.CSVVal, _xlfn.XLOOKUP($A120, CSV!$A:$A, CSV!AD:AD, ""),
    _xlpm.MacVal, _xlfn.XLOOKUP($A120, Output_Mac!$A:$A, Output_Mac!S:S, ""),
    _xlpm.MyAuditVal, _xlfn.XLOOKUP($A120, My_Audit!$A:$A, My_Audit!N:N, ""),
    _xlfn.TEXTJOIN(", ", TRUE, _xlpm.MyAuditVal, _xlpm.MacVal, _xlpm.CSVVal)
)</f>
        <v/>
      </c>
      <c r="N120" s="54" t="str" cm="1">
        <f t="array" ref="N120">IFERROR(_xlfn.LET(
_xlpm.CSVVal,_xlfn.XLOOKUP($A120,CSV!$A:$A,CSV!AF:AF,""),
_xlpm.MacVal,_xlfn.XLOOKUP($A120,Output_Mac!$A:$A,Output_Mac!U:U,""),
_xlpm.MyAuditVal,_xlfn.XLOOKUP($A120,My_Audit!$A:$A,My_Audit!O:O,""),
_xlfn.IFS(_xlpm.MyAuditVal&lt;&gt;"",UPPER(_xlpm.MyAuditVal),_xlpm.MacVal&lt;&gt;"",_xlpm.MacVal,_xlpm.CSVVal&lt;&gt;"",_xlpm.CSVVal
)),"")</f>
        <v/>
      </c>
      <c r="O120" s="54"/>
      <c r="P120" s="54"/>
      <c r="Q120" s="54"/>
      <c r="R120" s="54"/>
      <c r="S120" s="54"/>
      <c r="T120" s="54"/>
      <c r="U120" s="39" t="str">
        <f>_xlfn.LET(
    _xlpm.MacVal, _xlfn.XLOOKUP($A120, Output_Mac!$A:$A, Output_Mac!AB:AB, ""),
    _xlpm.MyAuditVal, _xlfn.XLOOKUP($A120, My_Audit!$A:$A, My_Audit!L:L, ""),
    _xlfn.TEXTJOIN(", ", TRUE, _xlpm.MyAuditVal, _xlpm.MacVal)
)</f>
        <v/>
      </c>
    </row>
    <row r="121" spans="1:21">
      <c r="A121" s="54" t="str">
        <f>_xlfn.TEXTJOIN("",TRUE,Input!$B$2,ROW(My_Audit!A120))</f>
        <v>XX120</v>
      </c>
      <c r="B121" s="54" t="str">
        <f>_xlfn.TEXTJOIN("-",TRUE,"ITD",Input!$A$2,A121)</f>
        <v>ITD-SHRXXX-XX120</v>
      </c>
      <c r="C121" s="54" t="str" cm="1">
        <f t="array" ref="C121">IFERROR(_xlfn.LET(
_xlpm.CSVVal,_xlfn.XLOOKUP($A121,CSV!$A:$A,CSV!B:B,""),
_xlpm.MacVal,_xlfn.XLOOKUP($A121,Output_Mac!$A:$A,Output_Mac!B:B,""),
_xlpm.MyAuditVal,_xlfn.XLOOKUP($A121,My_Audit!$A:$A,My_Audit!B:B,""),
_xlfn.IFS(_xlpm.MyAuditVal&lt;&gt;"",UPPER(_xlpm.MyAuditVal),_xlpm.MacVal&lt;&gt;"",_xlpm.MacVal,_xlpm.CSVVal&lt;&gt;"",_xlpm.CSVVal
)),"")</f>
        <v/>
      </c>
      <c r="D121" s="55" t="str">
        <f>_xlfn.XLOOKUP(A121,My_Audit!A:A,My_Audit!D:D,"")&amp;""</f>
        <v/>
      </c>
      <c r="E121" s="55" t="str" cm="1">
        <f t="array" ref="E121">IFERROR(_xlfn.LET(
_xlpm.CSVVal,_xlfn.XLOOKUP($A121,CSV!$A:$A,CSV!D:D,""),
_xlpm.MacVal,_xlfn.XLOOKUP($A121,Output_Mac!$A:$A,Output_Mac!C:C,""),
_xlpm.MyAuditVal,_xlfn.XLOOKUP($A121,My_Audit!$A:$A,My_Audit!D:D,""),
_xlfn.IFS(_xlpm.MyAuditVal&lt;&gt;"",_xlpm.MyAuditVal,_xlpm.MacVal&lt;&gt;"",_xlpm.MacVal,_xlpm.CSVVal&lt;&gt;"",_xlpm.CSVVal
)),"")</f>
        <v/>
      </c>
      <c r="F121" s="54" t="str" cm="1">
        <f t="array" ref="F121">IFERROR(_xlfn.LET(
_xlpm.CSVVal,_xlfn.XLOOKUP($A121,CSV!$A:$A,CSV!E:E,""),
_xlpm.MacVal,_xlfn.XLOOKUP($A121,Output_Mac!$A:$A,Output_Mac!F:F,""),
_xlpm.MyAuditVal,_xlfn.XLOOKUP($A121,My_Audit!$A:$A,My_Audit!E:E,""),
_xlfn.IFS(_xlpm.MyAuditVal&lt;&gt;"",_xlpm.MyAuditVal,_xlpm.MacVal&lt;&gt;"",_xlpm.MacVal,_xlpm.CSVVal&lt;&gt;"",PROPER(_xlpm.CSVVal)
)),"")</f>
        <v/>
      </c>
      <c r="G121" s="54" t="str" cm="1">
        <f t="array" ref="G121">IFERROR(_xlfn.LET(
_xlpm.CSVVal,_xlfn.XLOOKUP($A121,CSV!$A:$A,CSV!F:F,""),
_xlpm.MacVal,_xlfn.XLOOKUP($A121,Output_Mac!$A:$A,Output_Mac!H:H,""),
_xlpm.MyAuditVal,_xlfn.XLOOKUP($A121,My_Audit!$A:$A,My_Audit!F:F,""),
_xlfn.IFS(_xlpm.MyAuditVal&lt;&gt;"",_xlpm.MyAuditVal,_xlpm.MacVal&lt;&gt;"",_xlpm.MacVal,_xlpm.CSVVal&lt;&gt;"",_xlpm.CSVVal
)),"")</f>
        <v/>
      </c>
      <c r="H121" s="54" t="str">
        <f>_xlfn.XLOOKUP(A121,Output_Mac!A:A,Output_Mac!I:I,"")</f>
        <v/>
      </c>
      <c r="I121" s="54" t="str" cm="1">
        <f t="array" ref="I121">IFERROR(_xlfn.LET(
_xlpm.CSVVal,_xlfn.XLOOKUP($A121,CSV!$A:$A,CSV!G:G,""),
_xlpm.MacVal,_xlfn.XLOOKUP($A121,Output_Mac!$A:$A,Output_Mac!J:J,""),
_xlpm.MyAuditVal,_xlfn.XLOOKUP($A121,My_Audit!$A:$A,My_Audit!H:H,""),
_xlfn.IFS(_xlpm.MyAuditVal&lt;&gt;"",UPPER(_xlpm.MyAuditVal),_xlpm.MacVal&lt;&gt;"",_xlpm.MacVal,_xlpm.CSVVal&lt;&gt;"",_xlpm.CSVVal
)),"")</f>
        <v/>
      </c>
      <c r="J121" s="54" t="str" cm="1">
        <f t="array" ref="J121">IFERROR(_xlfn.LET(
_xlpm.CSVVal,_xlfn.XLOOKUP($A121,CSV!$A:$A,CSV!I:I,""),
_xlpm.MacVal,_xlfn.XLOOKUP($A121,Output_Mac!$A:$A,Output_Mac!K:K,""),
_xlpm.MyAuditVal,_xlfn.XLOOKUP($A121,My_Audit!$A:$A,My_Audit!I:I,""),
_xlfn.IFS(_xlpm.MyAuditVal&lt;&gt;"",UPPER(_xlpm.MyAuditVal),_xlpm.MacVal&lt;&gt;"",_xlpm.MacVal,_xlpm.CSVVal&lt;&gt;"",_xlpm.CSVVal
)),"")</f>
        <v/>
      </c>
      <c r="K121" s="54" t="str" cm="1">
        <f t="array" ref="K121">IFERROR(_xlfn.LET(
_xlpm.CSVVal,_xlfn.XLOOKUP($A121,CSV!$A:$A,CSV!M:M,""),
_xlpm.MacVal,_xlfn.XLOOKUP($A121,Output_Mac!$A:$A,Output_Mac!L:L,""),
_xlpm.MyAuditVal,_xlfn.XLOOKUP($A121,My_Audit!$A:$A,My_Audit!J:J,""),
_xlfn.IFS(_xlpm.MyAuditVal&lt;&gt;"",UPPER(_xlpm.MyAuditVal),_xlpm.MacVal&lt;&gt;"",_xlpm.MacVal,_xlpm.CSVVal&lt;&gt;"",_xlpm.CSVVal
)),"")</f>
        <v/>
      </c>
      <c r="L121" s="55" t="str" cm="1">
        <f t="array" ref="L121">IFERROR(_xlfn.LET(
_xlpm.CSVVal,_xlfn.XLOOKUP($A121,CSV!$A:$A,CSV!P:P,""),
_xlpm.MacVal,_xlfn.XLOOKUP($A121,Output_Mac!$A:$A,Output_Mac!M:M,""),
_xlpm.MyAuditVal,_xlfn.XLOOKUP($A121,My_Audit!$A:$A,My_Audit!K:K,""),
_xlfn.IFS(_xlpm.MyAuditVal&lt;&gt;"",UPPER(_xlpm.MyAuditVal),_xlpm.MacVal&lt;&gt;"",_xlpm.MacVal,_xlpm.CSVVal&lt;&gt;"",_xlpm.CSVVal
)),"")</f>
        <v/>
      </c>
      <c r="M121" s="54" t="str">
        <f>_xlfn.LET(
    _xlpm.CSVVal, _xlfn.XLOOKUP($A121, CSV!$A:$A, CSV!AD:AD, ""),
    _xlpm.MacVal, _xlfn.XLOOKUP($A121, Output_Mac!$A:$A, Output_Mac!S:S, ""),
    _xlpm.MyAuditVal, _xlfn.XLOOKUP($A121, My_Audit!$A:$A, My_Audit!N:N, ""),
    _xlfn.TEXTJOIN(", ", TRUE, _xlpm.MyAuditVal, _xlpm.MacVal, _xlpm.CSVVal)
)</f>
        <v/>
      </c>
      <c r="N121" s="54" t="str" cm="1">
        <f t="array" ref="N121">IFERROR(_xlfn.LET(
_xlpm.CSVVal,_xlfn.XLOOKUP($A121,CSV!$A:$A,CSV!AF:AF,""),
_xlpm.MacVal,_xlfn.XLOOKUP($A121,Output_Mac!$A:$A,Output_Mac!U:U,""),
_xlpm.MyAuditVal,_xlfn.XLOOKUP($A121,My_Audit!$A:$A,My_Audit!O:O,""),
_xlfn.IFS(_xlpm.MyAuditVal&lt;&gt;"",UPPER(_xlpm.MyAuditVal),_xlpm.MacVal&lt;&gt;"",_xlpm.MacVal,_xlpm.CSVVal&lt;&gt;"",_xlpm.CSVVal
)),"")</f>
        <v/>
      </c>
      <c r="O121" s="54"/>
      <c r="P121" s="54"/>
      <c r="Q121" s="54"/>
      <c r="R121" s="54"/>
      <c r="S121" s="54"/>
      <c r="T121" s="54"/>
      <c r="U121" s="39" t="str">
        <f>_xlfn.LET(
    _xlpm.MacVal, _xlfn.XLOOKUP($A121, Output_Mac!$A:$A, Output_Mac!AB:AB, ""),
    _xlpm.MyAuditVal, _xlfn.XLOOKUP($A121, My_Audit!$A:$A, My_Audit!L:L, ""),
    _xlfn.TEXTJOIN(", ", TRUE, _xlpm.MyAuditVal, _xlpm.MacVal)
)</f>
        <v/>
      </c>
    </row>
    <row r="122" spans="1:21">
      <c r="A122" s="54" t="str">
        <f>_xlfn.TEXTJOIN("",TRUE,Input!$B$2,ROW(My_Audit!A121))</f>
        <v>XX121</v>
      </c>
      <c r="B122" s="54" t="str">
        <f>_xlfn.TEXTJOIN("-",TRUE,"ITD",Input!$A$2,A122)</f>
        <v>ITD-SHRXXX-XX121</v>
      </c>
      <c r="C122" s="54" t="str" cm="1">
        <f t="array" ref="C122">IFERROR(_xlfn.LET(
_xlpm.CSVVal,_xlfn.XLOOKUP($A122,CSV!$A:$A,CSV!B:B,""),
_xlpm.MacVal,_xlfn.XLOOKUP($A122,Output_Mac!$A:$A,Output_Mac!B:B,""),
_xlpm.MyAuditVal,_xlfn.XLOOKUP($A122,My_Audit!$A:$A,My_Audit!B:B,""),
_xlfn.IFS(_xlpm.MyAuditVal&lt;&gt;"",UPPER(_xlpm.MyAuditVal),_xlpm.MacVal&lt;&gt;"",_xlpm.MacVal,_xlpm.CSVVal&lt;&gt;"",_xlpm.CSVVal
)),"")</f>
        <v/>
      </c>
      <c r="D122" s="55" t="str">
        <f>_xlfn.XLOOKUP(A122,My_Audit!A:A,My_Audit!D:D,"")&amp;""</f>
        <v/>
      </c>
      <c r="E122" s="55" t="str" cm="1">
        <f t="array" ref="E122">IFERROR(_xlfn.LET(
_xlpm.CSVVal,_xlfn.XLOOKUP($A122,CSV!$A:$A,CSV!D:D,""),
_xlpm.MacVal,_xlfn.XLOOKUP($A122,Output_Mac!$A:$A,Output_Mac!C:C,""),
_xlpm.MyAuditVal,_xlfn.XLOOKUP($A122,My_Audit!$A:$A,My_Audit!D:D,""),
_xlfn.IFS(_xlpm.MyAuditVal&lt;&gt;"",_xlpm.MyAuditVal,_xlpm.MacVal&lt;&gt;"",_xlpm.MacVal,_xlpm.CSVVal&lt;&gt;"",_xlpm.CSVVal
)),"")</f>
        <v/>
      </c>
      <c r="F122" s="54" t="str" cm="1">
        <f t="array" ref="F122">IFERROR(_xlfn.LET(
_xlpm.CSVVal,_xlfn.XLOOKUP($A122,CSV!$A:$A,CSV!E:E,""),
_xlpm.MacVal,_xlfn.XLOOKUP($A122,Output_Mac!$A:$A,Output_Mac!F:F,""),
_xlpm.MyAuditVal,_xlfn.XLOOKUP($A122,My_Audit!$A:$A,My_Audit!E:E,""),
_xlfn.IFS(_xlpm.MyAuditVal&lt;&gt;"",_xlpm.MyAuditVal,_xlpm.MacVal&lt;&gt;"",_xlpm.MacVal,_xlpm.CSVVal&lt;&gt;"",PROPER(_xlpm.CSVVal)
)),"")</f>
        <v/>
      </c>
      <c r="G122" s="54" t="str" cm="1">
        <f t="array" ref="G122">IFERROR(_xlfn.LET(
_xlpm.CSVVal,_xlfn.XLOOKUP($A122,CSV!$A:$A,CSV!F:F,""),
_xlpm.MacVal,_xlfn.XLOOKUP($A122,Output_Mac!$A:$A,Output_Mac!H:H,""),
_xlpm.MyAuditVal,_xlfn.XLOOKUP($A122,My_Audit!$A:$A,My_Audit!F:F,""),
_xlfn.IFS(_xlpm.MyAuditVal&lt;&gt;"",_xlpm.MyAuditVal,_xlpm.MacVal&lt;&gt;"",_xlpm.MacVal,_xlpm.CSVVal&lt;&gt;"",_xlpm.CSVVal
)),"")</f>
        <v/>
      </c>
      <c r="H122" s="54" t="str">
        <f>_xlfn.XLOOKUP(A122,Output_Mac!A:A,Output_Mac!I:I,"")</f>
        <v/>
      </c>
      <c r="I122" s="54" t="str" cm="1">
        <f t="array" ref="I122">IFERROR(_xlfn.LET(
_xlpm.CSVVal,_xlfn.XLOOKUP($A122,CSV!$A:$A,CSV!G:G,""),
_xlpm.MacVal,_xlfn.XLOOKUP($A122,Output_Mac!$A:$A,Output_Mac!J:J,""),
_xlpm.MyAuditVal,_xlfn.XLOOKUP($A122,My_Audit!$A:$A,My_Audit!H:H,""),
_xlfn.IFS(_xlpm.MyAuditVal&lt;&gt;"",UPPER(_xlpm.MyAuditVal),_xlpm.MacVal&lt;&gt;"",_xlpm.MacVal,_xlpm.CSVVal&lt;&gt;"",_xlpm.CSVVal
)),"")</f>
        <v/>
      </c>
      <c r="J122" s="54" t="str" cm="1">
        <f t="array" ref="J122">IFERROR(_xlfn.LET(
_xlpm.CSVVal,_xlfn.XLOOKUP($A122,CSV!$A:$A,CSV!I:I,""),
_xlpm.MacVal,_xlfn.XLOOKUP($A122,Output_Mac!$A:$A,Output_Mac!K:K,""),
_xlpm.MyAuditVal,_xlfn.XLOOKUP($A122,My_Audit!$A:$A,My_Audit!I:I,""),
_xlfn.IFS(_xlpm.MyAuditVal&lt;&gt;"",UPPER(_xlpm.MyAuditVal),_xlpm.MacVal&lt;&gt;"",_xlpm.MacVal,_xlpm.CSVVal&lt;&gt;"",_xlpm.CSVVal
)),"")</f>
        <v/>
      </c>
      <c r="K122" s="54" t="str" cm="1">
        <f t="array" ref="K122">IFERROR(_xlfn.LET(
_xlpm.CSVVal,_xlfn.XLOOKUP($A122,CSV!$A:$A,CSV!M:M,""),
_xlpm.MacVal,_xlfn.XLOOKUP($A122,Output_Mac!$A:$A,Output_Mac!L:L,""),
_xlpm.MyAuditVal,_xlfn.XLOOKUP($A122,My_Audit!$A:$A,My_Audit!J:J,""),
_xlfn.IFS(_xlpm.MyAuditVal&lt;&gt;"",UPPER(_xlpm.MyAuditVal),_xlpm.MacVal&lt;&gt;"",_xlpm.MacVal,_xlpm.CSVVal&lt;&gt;"",_xlpm.CSVVal
)),"")</f>
        <v/>
      </c>
      <c r="L122" s="55" t="str" cm="1">
        <f t="array" ref="L122">IFERROR(_xlfn.LET(
_xlpm.CSVVal,_xlfn.XLOOKUP($A122,CSV!$A:$A,CSV!P:P,""),
_xlpm.MacVal,_xlfn.XLOOKUP($A122,Output_Mac!$A:$A,Output_Mac!M:M,""),
_xlpm.MyAuditVal,_xlfn.XLOOKUP($A122,My_Audit!$A:$A,My_Audit!K:K,""),
_xlfn.IFS(_xlpm.MyAuditVal&lt;&gt;"",UPPER(_xlpm.MyAuditVal),_xlpm.MacVal&lt;&gt;"",_xlpm.MacVal,_xlpm.CSVVal&lt;&gt;"",_xlpm.CSVVal
)),"")</f>
        <v/>
      </c>
      <c r="M122" s="54" t="str">
        <f>_xlfn.LET(
    _xlpm.CSVVal, _xlfn.XLOOKUP($A122, CSV!$A:$A, CSV!AD:AD, ""),
    _xlpm.MacVal, _xlfn.XLOOKUP($A122, Output_Mac!$A:$A, Output_Mac!S:S, ""),
    _xlpm.MyAuditVal, _xlfn.XLOOKUP($A122, My_Audit!$A:$A, My_Audit!N:N, ""),
    _xlfn.TEXTJOIN(", ", TRUE, _xlpm.MyAuditVal, _xlpm.MacVal, _xlpm.CSVVal)
)</f>
        <v/>
      </c>
      <c r="N122" s="54" t="str" cm="1">
        <f t="array" ref="N122">IFERROR(_xlfn.LET(
_xlpm.CSVVal,_xlfn.XLOOKUP($A122,CSV!$A:$A,CSV!AF:AF,""),
_xlpm.MacVal,_xlfn.XLOOKUP($A122,Output_Mac!$A:$A,Output_Mac!U:U,""),
_xlpm.MyAuditVal,_xlfn.XLOOKUP($A122,My_Audit!$A:$A,My_Audit!O:O,""),
_xlfn.IFS(_xlpm.MyAuditVal&lt;&gt;"",UPPER(_xlpm.MyAuditVal),_xlpm.MacVal&lt;&gt;"",_xlpm.MacVal,_xlpm.CSVVal&lt;&gt;"",_xlpm.CSVVal
)),"")</f>
        <v/>
      </c>
      <c r="O122" s="54"/>
      <c r="P122" s="54"/>
      <c r="Q122" s="54"/>
      <c r="R122" s="54"/>
      <c r="S122" s="54"/>
      <c r="T122" s="54"/>
      <c r="U122" s="39" t="str">
        <f>_xlfn.LET(
    _xlpm.MacVal, _xlfn.XLOOKUP($A122, Output_Mac!$A:$A, Output_Mac!AB:AB, ""),
    _xlpm.MyAuditVal, _xlfn.XLOOKUP($A122, My_Audit!$A:$A, My_Audit!L:L, ""),
    _xlfn.TEXTJOIN(", ", TRUE, _xlpm.MyAuditVal, _xlpm.MacVal)
)</f>
        <v/>
      </c>
    </row>
    <row r="123" spans="1:21">
      <c r="A123" s="54" t="str">
        <f>_xlfn.TEXTJOIN("",TRUE,Input!$B$2,ROW(My_Audit!A122))</f>
        <v>XX122</v>
      </c>
      <c r="B123" s="54" t="str">
        <f>_xlfn.TEXTJOIN("-",TRUE,"ITD",Input!$A$2,A123)</f>
        <v>ITD-SHRXXX-XX122</v>
      </c>
      <c r="C123" s="54" t="str" cm="1">
        <f t="array" ref="C123">IFERROR(_xlfn.LET(
_xlpm.CSVVal,_xlfn.XLOOKUP($A123,CSV!$A:$A,CSV!B:B,""),
_xlpm.MacVal,_xlfn.XLOOKUP($A123,Output_Mac!$A:$A,Output_Mac!B:B,""),
_xlpm.MyAuditVal,_xlfn.XLOOKUP($A123,My_Audit!$A:$A,My_Audit!B:B,""),
_xlfn.IFS(_xlpm.MyAuditVal&lt;&gt;"",UPPER(_xlpm.MyAuditVal),_xlpm.MacVal&lt;&gt;"",_xlpm.MacVal,_xlpm.CSVVal&lt;&gt;"",_xlpm.CSVVal
)),"")</f>
        <v/>
      </c>
      <c r="D123" s="55" t="str">
        <f>_xlfn.XLOOKUP(A123,My_Audit!A:A,My_Audit!D:D,"")&amp;""</f>
        <v/>
      </c>
      <c r="E123" s="55" t="str" cm="1">
        <f t="array" ref="E123">IFERROR(_xlfn.LET(
_xlpm.CSVVal,_xlfn.XLOOKUP($A123,CSV!$A:$A,CSV!D:D,""),
_xlpm.MacVal,_xlfn.XLOOKUP($A123,Output_Mac!$A:$A,Output_Mac!C:C,""),
_xlpm.MyAuditVal,_xlfn.XLOOKUP($A123,My_Audit!$A:$A,My_Audit!D:D,""),
_xlfn.IFS(_xlpm.MyAuditVal&lt;&gt;"",_xlpm.MyAuditVal,_xlpm.MacVal&lt;&gt;"",_xlpm.MacVal,_xlpm.CSVVal&lt;&gt;"",_xlpm.CSVVal
)),"")</f>
        <v/>
      </c>
      <c r="F123" s="54" t="str" cm="1">
        <f t="array" ref="F123">IFERROR(_xlfn.LET(
_xlpm.CSVVal,_xlfn.XLOOKUP($A123,CSV!$A:$A,CSV!E:E,""),
_xlpm.MacVal,_xlfn.XLOOKUP($A123,Output_Mac!$A:$A,Output_Mac!F:F,""),
_xlpm.MyAuditVal,_xlfn.XLOOKUP($A123,My_Audit!$A:$A,My_Audit!E:E,""),
_xlfn.IFS(_xlpm.MyAuditVal&lt;&gt;"",_xlpm.MyAuditVal,_xlpm.MacVal&lt;&gt;"",_xlpm.MacVal,_xlpm.CSVVal&lt;&gt;"",PROPER(_xlpm.CSVVal)
)),"")</f>
        <v/>
      </c>
      <c r="G123" s="54" t="str" cm="1">
        <f t="array" ref="G123">IFERROR(_xlfn.LET(
_xlpm.CSVVal,_xlfn.XLOOKUP($A123,CSV!$A:$A,CSV!F:F,""),
_xlpm.MacVal,_xlfn.XLOOKUP($A123,Output_Mac!$A:$A,Output_Mac!H:H,""),
_xlpm.MyAuditVal,_xlfn.XLOOKUP($A123,My_Audit!$A:$A,My_Audit!F:F,""),
_xlfn.IFS(_xlpm.MyAuditVal&lt;&gt;"",_xlpm.MyAuditVal,_xlpm.MacVal&lt;&gt;"",_xlpm.MacVal,_xlpm.CSVVal&lt;&gt;"",_xlpm.CSVVal
)),"")</f>
        <v/>
      </c>
      <c r="H123" s="54" t="str">
        <f>_xlfn.XLOOKUP(A123,Output_Mac!A:A,Output_Mac!I:I,"")</f>
        <v/>
      </c>
      <c r="I123" s="54" t="str" cm="1">
        <f t="array" ref="I123">IFERROR(_xlfn.LET(
_xlpm.CSVVal,_xlfn.XLOOKUP($A123,CSV!$A:$A,CSV!G:G,""),
_xlpm.MacVal,_xlfn.XLOOKUP($A123,Output_Mac!$A:$A,Output_Mac!J:J,""),
_xlpm.MyAuditVal,_xlfn.XLOOKUP($A123,My_Audit!$A:$A,My_Audit!H:H,""),
_xlfn.IFS(_xlpm.MyAuditVal&lt;&gt;"",UPPER(_xlpm.MyAuditVal),_xlpm.MacVal&lt;&gt;"",_xlpm.MacVal,_xlpm.CSVVal&lt;&gt;"",_xlpm.CSVVal
)),"")</f>
        <v/>
      </c>
      <c r="J123" s="54" t="str" cm="1">
        <f t="array" ref="J123">IFERROR(_xlfn.LET(
_xlpm.CSVVal,_xlfn.XLOOKUP($A123,CSV!$A:$A,CSV!I:I,""),
_xlpm.MacVal,_xlfn.XLOOKUP($A123,Output_Mac!$A:$A,Output_Mac!K:K,""),
_xlpm.MyAuditVal,_xlfn.XLOOKUP($A123,My_Audit!$A:$A,My_Audit!I:I,""),
_xlfn.IFS(_xlpm.MyAuditVal&lt;&gt;"",UPPER(_xlpm.MyAuditVal),_xlpm.MacVal&lt;&gt;"",_xlpm.MacVal,_xlpm.CSVVal&lt;&gt;"",_xlpm.CSVVal
)),"")</f>
        <v/>
      </c>
      <c r="K123" s="54" t="str" cm="1">
        <f t="array" ref="K123">IFERROR(_xlfn.LET(
_xlpm.CSVVal,_xlfn.XLOOKUP($A123,CSV!$A:$A,CSV!M:M,""),
_xlpm.MacVal,_xlfn.XLOOKUP($A123,Output_Mac!$A:$A,Output_Mac!L:L,""),
_xlpm.MyAuditVal,_xlfn.XLOOKUP($A123,My_Audit!$A:$A,My_Audit!J:J,""),
_xlfn.IFS(_xlpm.MyAuditVal&lt;&gt;"",UPPER(_xlpm.MyAuditVal),_xlpm.MacVal&lt;&gt;"",_xlpm.MacVal,_xlpm.CSVVal&lt;&gt;"",_xlpm.CSVVal
)),"")</f>
        <v/>
      </c>
      <c r="L123" s="55" t="str" cm="1">
        <f t="array" ref="L123">IFERROR(_xlfn.LET(
_xlpm.CSVVal,_xlfn.XLOOKUP($A123,CSV!$A:$A,CSV!P:P,""),
_xlpm.MacVal,_xlfn.XLOOKUP($A123,Output_Mac!$A:$A,Output_Mac!M:M,""),
_xlpm.MyAuditVal,_xlfn.XLOOKUP($A123,My_Audit!$A:$A,My_Audit!K:K,""),
_xlfn.IFS(_xlpm.MyAuditVal&lt;&gt;"",UPPER(_xlpm.MyAuditVal),_xlpm.MacVal&lt;&gt;"",_xlpm.MacVal,_xlpm.CSVVal&lt;&gt;"",_xlpm.CSVVal
)),"")</f>
        <v/>
      </c>
      <c r="M123" s="54" t="str">
        <f>_xlfn.LET(
    _xlpm.CSVVal, _xlfn.XLOOKUP($A123, CSV!$A:$A, CSV!AD:AD, ""),
    _xlpm.MacVal, _xlfn.XLOOKUP($A123, Output_Mac!$A:$A, Output_Mac!S:S, ""),
    _xlpm.MyAuditVal, _xlfn.XLOOKUP($A123, My_Audit!$A:$A, My_Audit!N:N, ""),
    _xlfn.TEXTJOIN(", ", TRUE, _xlpm.MyAuditVal, _xlpm.MacVal, _xlpm.CSVVal)
)</f>
        <v/>
      </c>
      <c r="N123" s="54" t="str" cm="1">
        <f t="array" ref="N123">IFERROR(_xlfn.LET(
_xlpm.CSVVal,_xlfn.XLOOKUP($A123,CSV!$A:$A,CSV!AF:AF,""),
_xlpm.MacVal,_xlfn.XLOOKUP($A123,Output_Mac!$A:$A,Output_Mac!U:U,""),
_xlpm.MyAuditVal,_xlfn.XLOOKUP($A123,My_Audit!$A:$A,My_Audit!O:O,""),
_xlfn.IFS(_xlpm.MyAuditVal&lt;&gt;"",UPPER(_xlpm.MyAuditVal),_xlpm.MacVal&lt;&gt;"",_xlpm.MacVal,_xlpm.CSVVal&lt;&gt;"",_xlpm.CSVVal
)),"")</f>
        <v/>
      </c>
      <c r="O123" s="54"/>
      <c r="P123" s="54"/>
      <c r="Q123" s="54"/>
      <c r="R123" s="54"/>
      <c r="S123" s="54"/>
      <c r="T123" s="54"/>
      <c r="U123" s="39" t="str">
        <f>_xlfn.LET(
    _xlpm.MacVal, _xlfn.XLOOKUP($A123, Output_Mac!$A:$A, Output_Mac!AB:AB, ""),
    _xlpm.MyAuditVal, _xlfn.XLOOKUP($A123, My_Audit!$A:$A, My_Audit!L:L, ""),
    _xlfn.TEXTJOIN(", ", TRUE, _xlpm.MyAuditVal, _xlpm.MacVal)
)</f>
        <v/>
      </c>
    </row>
    <row r="124" spans="1:21">
      <c r="A124" s="54" t="str">
        <f>_xlfn.TEXTJOIN("",TRUE,Input!$B$2,ROW(My_Audit!A123))</f>
        <v>XX123</v>
      </c>
      <c r="B124" s="54" t="str">
        <f>_xlfn.TEXTJOIN("-",TRUE,"ITD",Input!$A$2,A124)</f>
        <v>ITD-SHRXXX-XX123</v>
      </c>
      <c r="C124" s="54" t="str" cm="1">
        <f t="array" ref="C124">IFERROR(_xlfn.LET(
_xlpm.CSVVal,_xlfn.XLOOKUP($A124,CSV!$A:$A,CSV!B:B,""),
_xlpm.MacVal,_xlfn.XLOOKUP($A124,Output_Mac!$A:$A,Output_Mac!B:B,""),
_xlpm.MyAuditVal,_xlfn.XLOOKUP($A124,My_Audit!$A:$A,My_Audit!B:B,""),
_xlfn.IFS(_xlpm.MyAuditVal&lt;&gt;"",UPPER(_xlpm.MyAuditVal),_xlpm.MacVal&lt;&gt;"",_xlpm.MacVal,_xlpm.CSVVal&lt;&gt;"",_xlpm.CSVVal
)),"")</f>
        <v/>
      </c>
      <c r="D124" s="55" t="str">
        <f>_xlfn.XLOOKUP(A124,My_Audit!A:A,My_Audit!D:D,"")&amp;""</f>
        <v/>
      </c>
      <c r="E124" s="55" t="str" cm="1">
        <f t="array" ref="E124">IFERROR(_xlfn.LET(
_xlpm.CSVVal,_xlfn.XLOOKUP($A124,CSV!$A:$A,CSV!D:D,""),
_xlpm.MacVal,_xlfn.XLOOKUP($A124,Output_Mac!$A:$A,Output_Mac!C:C,""),
_xlpm.MyAuditVal,_xlfn.XLOOKUP($A124,My_Audit!$A:$A,My_Audit!D:D,""),
_xlfn.IFS(_xlpm.MyAuditVal&lt;&gt;"",_xlpm.MyAuditVal,_xlpm.MacVal&lt;&gt;"",_xlpm.MacVal,_xlpm.CSVVal&lt;&gt;"",_xlpm.CSVVal
)),"")</f>
        <v/>
      </c>
      <c r="F124" s="54" t="str" cm="1">
        <f t="array" ref="F124">IFERROR(_xlfn.LET(
_xlpm.CSVVal,_xlfn.XLOOKUP($A124,CSV!$A:$A,CSV!E:E,""),
_xlpm.MacVal,_xlfn.XLOOKUP($A124,Output_Mac!$A:$A,Output_Mac!F:F,""),
_xlpm.MyAuditVal,_xlfn.XLOOKUP($A124,My_Audit!$A:$A,My_Audit!E:E,""),
_xlfn.IFS(_xlpm.MyAuditVal&lt;&gt;"",_xlpm.MyAuditVal,_xlpm.MacVal&lt;&gt;"",_xlpm.MacVal,_xlpm.CSVVal&lt;&gt;"",PROPER(_xlpm.CSVVal)
)),"")</f>
        <v/>
      </c>
      <c r="G124" s="54" t="str" cm="1">
        <f t="array" ref="G124">IFERROR(_xlfn.LET(
_xlpm.CSVVal,_xlfn.XLOOKUP($A124,CSV!$A:$A,CSV!F:F,""),
_xlpm.MacVal,_xlfn.XLOOKUP($A124,Output_Mac!$A:$A,Output_Mac!H:H,""),
_xlpm.MyAuditVal,_xlfn.XLOOKUP($A124,My_Audit!$A:$A,My_Audit!F:F,""),
_xlfn.IFS(_xlpm.MyAuditVal&lt;&gt;"",_xlpm.MyAuditVal,_xlpm.MacVal&lt;&gt;"",_xlpm.MacVal,_xlpm.CSVVal&lt;&gt;"",_xlpm.CSVVal
)),"")</f>
        <v/>
      </c>
      <c r="H124" s="54" t="str">
        <f>_xlfn.XLOOKUP(A124,Output_Mac!A:A,Output_Mac!I:I,"")</f>
        <v/>
      </c>
      <c r="I124" s="54" t="str" cm="1">
        <f t="array" ref="I124">IFERROR(_xlfn.LET(
_xlpm.CSVVal,_xlfn.XLOOKUP($A124,CSV!$A:$A,CSV!G:G,""),
_xlpm.MacVal,_xlfn.XLOOKUP($A124,Output_Mac!$A:$A,Output_Mac!J:J,""),
_xlpm.MyAuditVal,_xlfn.XLOOKUP($A124,My_Audit!$A:$A,My_Audit!H:H,""),
_xlfn.IFS(_xlpm.MyAuditVal&lt;&gt;"",UPPER(_xlpm.MyAuditVal),_xlpm.MacVal&lt;&gt;"",_xlpm.MacVal,_xlpm.CSVVal&lt;&gt;"",_xlpm.CSVVal
)),"")</f>
        <v/>
      </c>
      <c r="J124" s="54" t="str" cm="1">
        <f t="array" ref="J124">IFERROR(_xlfn.LET(
_xlpm.CSVVal,_xlfn.XLOOKUP($A124,CSV!$A:$A,CSV!I:I,""),
_xlpm.MacVal,_xlfn.XLOOKUP($A124,Output_Mac!$A:$A,Output_Mac!K:K,""),
_xlpm.MyAuditVal,_xlfn.XLOOKUP($A124,My_Audit!$A:$A,My_Audit!I:I,""),
_xlfn.IFS(_xlpm.MyAuditVal&lt;&gt;"",UPPER(_xlpm.MyAuditVal),_xlpm.MacVal&lt;&gt;"",_xlpm.MacVal,_xlpm.CSVVal&lt;&gt;"",_xlpm.CSVVal
)),"")</f>
        <v/>
      </c>
      <c r="K124" s="54" t="str" cm="1">
        <f t="array" ref="K124">IFERROR(_xlfn.LET(
_xlpm.CSVVal,_xlfn.XLOOKUP($A124,CSV!$A:$A,CSV!M:M,""),
_xlpm.MacVal,_xlfn.XLOOKUP($A124,Output_Mac!$A:$A,Output_Mac!L:L,""),
_xlpm.MyAuditVal,_xlfn.XLOOKUP($A124,My_Audit!$A:$A,My_Audit!J:J,""),
_xlfn.IFS(_xlpm.MyAuditVal&lt;&gt;"",UPPER(_xlpm.MyAuditVal),_xlpm.MacVal&lt;&gt;"",_xlpm.MacVal,_xlpm.CSVVal&lt;&gt;"",_xlpm.CSVVal
)),"")</f>
        <v/>
      </c>
      <c r="L124" s="55" t="str" cm="1">
        <f t="array" ref="L124">IFERROR(_xlfn.LET(
_xlpm.CSVVal,_xlfn.XLOOKUP($A124,CSV!$A:$A,CSV!P:P,""),
_xlpm.MacVal,_xlfn.XLOOKUP($A124,Output_Mac!$A:$A,Output_Mac!M:M,""),
_xlpm.MyAuditVal,_xlfn.XLOOKUP($A124,My_Audit!$A:$A,My_Audit!K:K,""),
_xlfn.IFS(_xlpm.MyAuditVal&lt;&gt;"",UPPER(_xlpm.MyAuditVal),_xlpm.MacVal&lt;&gt;"",_xlpm.MacVal,_xlpm.CSVVal&lt;&gt;"",_xlpm.CSVVal
)),"")</f>
        <v/>
      </c>
      <c r="M124" s="54" t="str">
        <f>_xlfn.LET(
    _xlpm.CSVVal, _xlfn.XLOOKUP($A124, CSV!$A:$A, CSV!AD:AD, ""),
    _xlpm.MacVal, _xlfn.XLOOKUP($A124, Output_Mac!$A:$A, Output_Mac!S:S, ""),
    _xlpm.MyAuditVal, _xlfn.XLOOKUP($A124, My_Audit!$A:$A, My_Audit!N:N, ""),
    _xlfn.TEXTJOIN(", ", TRUE, _xlpm.MyAuditVal, _xlpm.MacVal, _xlpm.CSVVal)
)</f>
        <v/>
      </c>
      <c r="N124" s="54" t="str" cm="1">
        <f t="array" ref="N124">IFERROR(_xlfn.LET(
_xlpm.CSVVal,_xlfn.XLOOKUP($A124,CSV!$A:$A,CSV!AF:AF,""),
_xlpm.MacVal,_xlfn.XLOOKUP($A124,Output_Mac!$A:$A,Output_Mac!U:U,""),
_xlpm.MyAuditVal,_xlfn.XLOOKUP($A124,My_Audit!$A:$A,My_Audit!O:O,""),
_xlfn.IFS(_xlpm.MyAuditVal&lt;&gt;"",UPPER(_xlpm.MyAuditVal),_xlpm.MacVal&lt;&gt;"",_xlpm.MacVal,_xlpm.CSVVal&lt;&gt;"",_xlpm.CSVVal
)),"")</f>
        <v/>
      </c>
      <c r="O124" s="54"/>
      <c r="P124" s="54"/>
      <c r="Q124" s="54"/>
      <c r="R124" s="54"/>
      <c r="S124" s="54"/>
      <c r="T124" s="54"/>
      <c r="U124" s="39" t="str">
        <f>_xlfn.LET(
    _xlpm.MacVal, _xlfn.XLOOKUP($A124, Output_Mac!$A:$A, Output_Mac!AB:AB, ""),
    _xlpm.MyAuditVal, _xlfn.XLOOKUP($A124, My_Audit!$A:$A, My_Audit!L:L, ""),
    _xlfn.TEXTJOIN(", ", TRUE, _xlpm.MyAuditVal, _xlpm.MacVal)
)</f>
        <v/>
      </c>
    </row>
    <row r="125" spans="1:21">
      <c r="A125" s="54" t="str">
        <f>_xlfn.TEXTJOIN("",TRUE,Input!$B$2,ROW(My_Audit!A124))</f>
        <v>XX124</v>
      </c>
      <c r="B125" s="54" t="str">
        <f>_xlfn.TEXTJOIN("-",TRUE,"ITD",Input!$A$2,A125)</f>
        <v>ITD-SHRXXX-XX124</v>
      </c>
      <c r="C125" s="54" t="str" cm="1">
        <f t="array" ref="C125">IFERROR(_xlfn.LET(
_xlpm.CSVVal,_xlfn.XLOOKUP($A125,CSV!$A:$A,CSV!B:B,""),
_xlpm.MacVal,_xlfn.XLOOKUP($A125,Output_Mac!$A:$A,Output_Mac!B:B,""),
_xlpm.MyAuditVal,_xlfn.XLOOKUP($A125,My_Audit!$A:$A,My_Audit!B:B,""),
_xlfn.IFS(_xlpm.MyAuditVal&lt;&gt;"",UPPER(_xlpm.MyAuditVal),_xlpm.MacVal&lt;&gt;"",_xlpm.MacVal,_xlpm.CSVVal&lt;&gt;"",_xlpm.CSVVal
)),"")</f>
        <v/>
      </c>
      <c r="D125" s="55" t="str">
        <f>_xlfn.XLOOKUP(A125,My_Audit!A:A,My_Audit!D:D,"")&amp;""</f>
        <v/>
      </c>
      <c r="E125" s="55" t="str" cm="1">
        <f t="array" ref="E125">IFERROR(_xlfn.LET(
_xlpm.CSVVal,_xlfn.XLOOKUP($A125,CSV!$A:$A,CSV!D:D,""),
_xlpm.MacVal,_xlfn.XLOOKUP($A125,Output_Mac!$A:$A,Output_Mac!C:C,""),
_xlpm.MyAuditVal,_xlfn.XLOOKUP($A125,My_Audit!$A:$A,My_Audit!D:D,""),
_xlfn.IFS(_xlpm.MyAuditVal&lt;&gt;"",_xlpm.MyAuditVal,_xlpm.MacVal&lt;&gt;"",_xlpm.MacVal,_xlpm.CSVVal&lt;&gt;"",_xlpm.CSVVal
)),"")</f>
        <v/>
      </c>
      <c r="F125" s="54" t="str" cm="1">
        <f t="array" ref="F125">IFERROR(_xlfn.LET(
_xlpm.CSVVal,_xlfn.XLOOKUP($A125,CSV!$A:$A,CSV!E:E,""),
_xlpm.MacVal,_xlfn.XLOOKUP($A125,Output_Mac!$A:$A,Output_Mac!F:F,""),
_xlpm.MyAuditVal,_xlfn.XLOOKUP($A125,My_Audit!$A:$A,My_Audit!E:E,""),
_xlfn.IFS(_xlpm.MyAuditVal&lt;&gt;"",_xlpm.MyAuditVal,_xlpm.MacVal&lt;&gt;"",_xlpm.MacVal,_xlpm.CSVVal&lt;&gt;"",PROPER(_xlpm.CSVVal)
)),"")</f>
        <v/>
      </c>
      <c r="G125" s="54" t="str" cm="1">
        <f t="array" ref="G125">IFERROR(_xlfn.LET(
_xlpm.CSVVal,_xlfn.XLOOKUP($A125,CSV!$A:$A,CSV!F:F,""),
_xlpm.MacVal,_xlfn.XLOOKUP($A125,Output_Mac!$A:$A,Output_Mac!H:H,""),
_xlpm.MyAuditVal,_xlfn.XLOOKUP($A125,My_Audit!$A:$A,My_Audit!F:F,""),
_xlfn.IFS(_xlpm.MyAuditVal&lt;&gt;"",_xlpm.MyAuditVal,_xlpm.MacVal&lt;&gt;"",_xlpm.MacVal,_xlpm.CSVVal&lt;&gt;"",_xlpm.CSVVal
)),"")</f>
        <v/>
      </c>
      <c r="H125" s="54" t="str">
        <f>_xlfn.XLOOKUP(A125,Output_Mac!A:A,Output_Mac!I:I,"")</f>
        <v/>
      </c>
      <c r="I125" s="54" t="str" cm="1">
        <f t="array" ref="I125">IFERROR(_xlfn.LET(
_xlpm.CSVVal,_xlfn.XLOOKUP($A125,CSV!$A:$A,CSV!G:G,""),
_xlpm.MacVal,_xlfn.XLOOKUP($A125,Output_Mac!$A:$A,Output_Mac!J:J,""),
_xlpm.MyAuditVal,_xlfn.XLOOKUP($A125,My_Audit!$A:$A,My_Audit!H:H,""),
_xlfn.IFS(_xlpm.MyAuditVal&lt;&gt;"",UPPER(_xlpm.MyAuditVal),_xlpm.MacVal&lt;&gt;"",_xlpm.MacVal,_xlpm.CSVVal&lt;&gt;"",_xlpm.CSVVal
)),"")</f>
        <v/>
      </c>
      <c r="J125" s="54" t="str" cm="1">
        <f t="array" ref="J125">IFERROR(_xlfn.LET(
_xlpm.CSVVal,_xlfn.XLOOKUP($A125,CSV!$A:$A,CSV!I:I,""),
_xlpm.MacVal,_xlfn.XLOOKUP($A125,Output_Mac!$A:$A,Output_Mac!K:K,""),
_xlpm.MyAuditVal,_xlfn.XLOOKUP($A125,My_Audit!$A:$A,My_Audit!I:I,""),
_xlfn.IFS(_xlpm.MyAuditVal&lt;&gt;"",UPPER(_xlpm.MyAuditVal),_xlpm.MacVal&lt;&gt;"",_xlpm.MacVal,_xlpm.CSVVal&lt;&gt;"",_xlpm.CSVVal
)),"")</f>
        <v/>
      </c>
      <c r="K125" s="54" t="str" cm="1">
        <f t="array" ref="K125">IFERROR(_xlfn.LET(
_xlpm.CSVVal,_xlfn.XLOOKUP($A125,CSV!$A:$A,CSV!M:M,""),
_xlpm.MacVal,_xlfn.XLOOKUP($A125,Output_Mac!$A:$A,Output_Mac!L:L,""),
_xlpm.MyAuditVal,_xlfn.XLOOKUP($A125,My_Audit!$A:$A,My_Audit!J:J,""),
_xlfn.IFS(_xlpm.MyAuditVal&lt;&gt;"",UPPER(_xlpm.MyAuditVal),_xlpm.MacVal&lt;&gt;"",_xlpm.MacVal,_xlpm.CSVVal&lt;&gt;"",_xlpm.CSVVal
)),"")</f>
        <v/>
      </c>
      <c r="L125" s="55" t="str" cm="1">
        <f t="array" ref="L125">IFERROR(_xlfn.LET(
_xlpm.CSVVal,_xlfn.XLOOKUP($A125,CSV!$A:$A,CSV!P:P,""),
_xlpm.MacVal,_xlfn.XLOOKUP($A125,Output_Mac!$A:$A,Output_Mac!M:M,""),
_xlpm.MyAuditVal,_xlfn.XLOOKUP($A125,My_Audit!$A:$A,My_Audit!K:K,""),
_xlfn.IFS(_xlpm.MyAuditVal&lt;&gt;"",UPPER(_xlpm.MyAuditVal),_xlpm.MacVal&lt;&gt;"",_xlpm.MacVal,_xlpm.CSVVal&lt;&gt;"",_xlpm.CSVVal
)),"")</f>
        <v/>
      </c>
      <c r="M125" s="54" t="str">
        <f>_xlfn.LET(
    _xlpm.CSVVal, _xlfn.XLOOKUP($A125, CSV!$A:$A, CSV!AD:AD, ""),
    _xlpm.MacVal, _xlfn.XLOOKUP($A125, Output_Mac!$A:$A, Output_Mac!S:S, ""),
    _xlpm.MyAuditVal, _xlfn.XLOOKUP($A125, My_Audit!$A:$A, My_Audit!N:N, ""),
    _xlfn.TEXTJOIN(", ", TRUE, _xlpm.MyAuditVal, _xlpm.MacVal, _xlpm.CSVVal)
)</f>
        <v/>
      </c>
      <c r="N125" s="54" t="str" cm="1">
        <f t="array" ref="N125">IFERROR(_xlfn.LET(
_xlpm.CSVVal,_xlfn.XLOOKUP($A125,CSV!$A:$A,CSV!AF:AF,""),
_xlpm.MacVal,_xlfn.XLOOKUP($A125,Output_Mac!$A:$A,Output_Mac!U:U,""),
_xlpm.MyAuditVal,_xlfn.XLOOKUP($A125,My_Audit!$A:$A,My_Audit!O:O,""),
_xlfn.IFS(_xlpm.MyAuditVal&lt;&gt;"",UPPER(_xlpm.MyAuditVal),_xlpm.MacVal&lt;&gt;"",_xlpm.MacVal,_xlpm.CSVVal&lt;&gt;"",_xlpm.CSVVal
)),"")</f>
        <v/>
      </c>
      <c r="O125" s="54"/>
      <c r="P125" s="54"/>
      <c r="Q125" s="54"/>
      <c r="R125" s="54"/>
      <c r="S125" s="54"/>
      <c r="T125" s="54"/>
      <c r="U125" s="39" t="str">
        <f>_xlfn.LET(
    _xlpm.MacVal, _xlfn.XLOOKUP($A125, Output_Mac!$A:$A, Output_Mac!AB:AB, ""),
    _xlpm.MyAuditVal, _xlfn.XLOOKUP($A125, My_Audit!$A:$A, My_Audit!L:L, ""),
    _xlfn.TEXTJOIN(", ", TRUE, _xlpm.MyAuditVal, _xlpm.MacVal)
)</f>
        <v/>
      </c>
    </row>
    <row r="126" spans="1:21">
      <c r="A126" s="54" t="str">
        <f>_xlfn.TEXTJOIN("",TRUE,Input!$B$2,ROW(My_Audit!A125))</f>
        <v>XX125</v>
      </c>
      <c r="B126" s="54" t="str">
        <f>_xlfn.TEXTJOIN("-",TRUE,"ITD",Input!$A$2,A126)</f>
        <v>ITD-SHRXXX-XX125</v>
      </c>
      <c r="C126" s="54" t="str" cm="1">
        <f t="array" ref="C126">IFERROR(_xlfn.LET(
_xlpm.CSVVal,_xlfn.XLOOKUP($A126,CSV!$A:$A,CSV!B:B,""),
_xlpm.MacVal,_xlfn.XLOOKUP($A126,Output_Mac!$A:$A,Output_Mac!B:B,""),
_xlpm.MyAuditVal,_xlfn.XLOOKUP($A126,My_Audit!$A:$A,My_Audit!B:B,""),
_xlfn.IFS(_xlpm.MyAuditVal&lt;&gt;"",UPPER(_xlpm.MyAuditVal),_xlpm.MacVal&lt;&gt;"",_xlpm.MacVal,_xlpm.CSVVal&lt;&gt;"",_xlpm.CSVVal
)),"")</f>
        <v/>
      </c>
      <c r="D126" s="55" t="str">
        <f>_xlfn.XLOOKUP(A126,My_Audit!A:A,My_Audit!D:D,"")&amp;""</f>
        <v/>
      </c>
      <c r="E126" s="55" t="str" cm="1">
        <f t="array" ref="E126">IFERROR(_xlfn.LET(
_xlpm.CSVVal,_xlfn.XLOOKUP($A126,CSV!$A:$A,CSV!D:D,""),
_xlpm.MacVal,_xlfn.XLOOKUP($A126,Output_Mac!$A:$A,Output_Mac!C:C,""),
_xlpm.MyAuditVal,_xlfn.XLOOKUP($A126,My_Audit!$A:$A,My_Audit!D:D,""),
_xlfn.IFS(_xlpm.MyAuditVal&lt;&gt;"",_xlpm.MyAuditVal,_xlpm.MacVal&lt;&gt;"",_xlpm.MacVal,_xlpm.CSVVal&lt;&gt;"",_xlpm.CSVVal
)),"")</f>
        <v/>
      </c>
      <c r="F126" s="54" t="str" cm="1">
        <f t="array" ref="F126">IFERROR(_xlfn.LET(
_xlpm.CSVVal,_xlfn.XLOOKUP($A126,CSV!$A:$A,CSV!E:E,""),
_xlpm.MacVal,_xlfn.XLOOKUP($A126,Output_Mac!$A:$A,Output_Mac!F:F,""),
_xlpm.MyAuditVal,_xlfn.XLOOKUP($A126,My_Audit!$A:$A,My_Audit!E:E,""),
_xlfn.IFS(_xlpm.MyAuditVal&lt;&gt;"",_xlpm.MyAuditVal,_xlpm.MacVal&lt;&gt;"",_xlpm.MacVal,_xlpm.CSVVal&lt;&gt;"",PROPER(_xlpm.CSVVal)
)),"")</f>
        <v/>
      </c>
      <c r="G126" s="54" t="str" cm="1">
        <f t="array" ref="G126">IFERROR(_xlfn.LET(
_xlpm.CSVVal,_xlfn.XLOOKUP($A126,CSV!$A:$A,CSV!F:F,""),
_xlpm.MacVal,_xlfn.XLOOKUP($A126,Output_Mac!$A:$A,Output_Mac!H:H,""),
_xlpm.MyAuditVal,_xlfn.XLOOKUP($A126,My_Audit!$A:$A,My_Audit!F:F,""),
_xlfn.IFS(_xlpm.MyAuditVal&lt;&gt;"",_xlpm.MyAuditVal,_xlpm.MacVal&lt;&gt;"",_xlpm.MacVal,_xlpm.CSVVal&lt;&gt;"",_xlpm.CSVVal
)),"")</f>
        <v/>
      </c>
      <c r="H126" s="54" t="str">
        <f>_xlfn.XLOOKUP(A126,Output_Mac!A:A,Output_Mac!I:I,"")</f>
        <v/>
      </c>
      <c r="I126" s="54" t="str" cm="1">
        <f t="array" ref="I126">IFERROR(_xlfn.LET(
_xlpm.CSVVal,_xlfn.XLOOKUP($A126,CSV!$A:$A,CSV!G:G,""),
_xlpm.MacVal,_xlfn.XLOOKUP($A126,Output_Mac!$A:$A,Output_Mac!J:J,""),
_xlpm.MyAuditVal,_xlfn.XLOOKUP($A126,My_Audit!$A:$A,My_Audit!H:H,""),
_xlfn.IFS(_xlpm.MyAuditVal&lt;&gt;"",UPPER(_xlpm.MyAuditVal),_xlpm.MacVal&lt;&gt;"",_xlpm.MacVal,_xlpm.CSVVal&lt;&gt;"",_xlpm.CSVVal
)),"")</f>
        <v/>
      </c>
      <c r="J126" s="54" t="str" cm="1">
        <f t="array" ref="J126">IFERROR(_xlfn.LET(
_xlpm.CSVVal,_xlfn.XLOOKUP($A126,CSV!$A:$A,CSV!I:I,""),
_xlpm.MacVal,_xlfn.XLOOKUP($A126,Output_Mac!$A:$A,Output_Mac!K:K,""),
_xlpm.MyAuditVal,_xlfn.XLOOKUP($A126,My_Audit!$A:$A,My_Audit!I:I,""),
_xlfn.IFS(_xlpm.MyAuditVal&lt;&gt;"",UPPER(_xlpm.MyAuditVal),_xlpm.MacVal&lt;&gt;"",_xlpm.MacVal,_xlpm.CSVVal&lt;&gt;"",_xlpm.CSVVal
)),"")</f>
        <v/>
      </c>
      <c r="K126" s="54" t="str" cm="1">
        <f t="array" ref="K126">IFERROR(_xlfn.LET(
_xlpm.CSVVal,_xlfn.XLOOKUP($A126,CSV!$A:$A,CSV!M:M,""),
_xlpm.MacVal,_xlfn.XLOOKUP($A126,Output_Mac!$A:$A,Output_Mac!L:L,""),
_xlpm.MyAuditVal,_xlfn.XLOOKUP($A126,My_Audit!$A:$A,My_Audit!J:J,""),
_xlfn.IFS(_xlpm.MyAuditVal&lt;&gt;"",UPPER(_xlpm.MyAuditVal),_xlpm.MacVal&lt;&gt;"",_xlpm.MacVal,_xlpm.CSVVal&lt;&gt;"",_xlpm.CSVVal
)),"")</f>
        <v/>
      </c>
      <c r="L126" s="55" t="str" cm="1">
        <f t="array" ref="L126">IFERROR(_xlfn.LET(
_xlpm.CSVVal,_xlfn.XLOOKUP($A126,CSV!$A:$A,CSV!P:P,""),
_xlpm.MacVal,_xlfn.XLOOKUP($A126,Output_Mac!$A:$A,Output_Mac!M:M,""),
_xlpm.MyAuditVal,_xlfn.XLOOKUP($A126,My_Audit!$A:$A,My_Audit!K:K,""),
_xlfn.IFS(_xlpm.MyAuditVal&lt;&gt;"",UPPER(_xlpm.MyAuditVal),_xlpm.MacVal&lt;&gt;"",_xlpm.MacVal,_xlpm.CSVVal&lt;&gt;"",_xlpm.CSVVal
)),"")</f>
        <v/>
      </c>
      <c r="M126" s="54" t="str">
        <f>_xlfn.LET(
    _xlpm.CSVVal, _xlfn.XLOOKUP($A126, CSV!$A:$A, CSV!AD:AD, ""),
    _xlpm.MacVal, _xlfn.XLOOKUP($A126, Output_Mac!$A:$A, Output_Mac!S:S, ""),
    _xlpm.MyAuditVal, _xlfn.XLOOKUP($A126, My_Audit!$A:$A, My_Audit!N:N, ""),
    _xlfn.TEXTJOIN(", ", TRUE, _xlpm.MyAuditVal, _xlpm.MacVal, _xlpm.CSVVal)
)</f>
        <v/>
      </c>
      <c r="N126" s="54" t="str" cm="1">
        <f t="array" ref="N126">IFERROR(_xlfn.LET(
_xlpm.CSVVal,_xlfn.XLOOKUP($A126,CSV!$A:$A,CSV!AF:AF,""),
_xlpm.MacVal,_xlfn.XLOOKUP($A126,Output_Mac!$A:$A,Output_Mac!U:U,""),
_xlpm.MyAuditVal,_xlfn.XLOOKUP($A126,My_Audit!$A:$A,My_Audit!O:O,""),
_xlfn.IFS(_xlpm.MyAuditVal&lt;&gt;"",UPPER(_xlpm.MyAuditVal),_xlpm.MacVal&lt;&gt;"",_xlpm.MacVal,_xlpm.CSVVal&lt;&gt;"",_xlpm.CSVVal
)),"")</f>
        <v/>
      </c>
      <c r="O126" s="54"/>
      <c r="P126" s="54"/>
      <c r="Q126" s="54"/>
      <c r="R126" s="54"/>
      <c r="S126" s="54"/>
      <c r="T126" s="54"/>
      <c r="U126" s="39" t="str">
        <f>_xlfn.LET(
    _xlpm.MacVal, _xlfn.XLOOKUP($A126, Output_Mac!$A:$A, Output_Mac!AB:AB, ""),
    _xlpm.MyAuditVal, _xlfn.XLOOKUP($A126, My_Audit!$A:$A, My_Audit!L:L, ""),
    _xlfn.TEXTJOIN(", ", TRUE, _xlpm.MyAuditVal, _xlpm.MacVal)
)</f>
        <v/>
      </c>
    </row>
    <row r="127" spans="1:21">
      <c r="A127" s="54" t="str">
        <f>_xlfn.TEXTJOIN("",TRUE,Input!$B$2,ROW(My_Audit!A126))</f>
        <v>XX126</v>
      </c>
      <c r="B127" s="54" t="str">
        <f>_xlfn.TEXTJOIN("-",TRUE,"ITD",Input!$A$2,A127)</f>
        <v>ITD-SHRXXX-XX126</v>
      </c>
      <c r="C127" s="54" t="str" cm="1">
        <f t="array" ref="C127">IFERROR(_xlfn.LET(
_xlpm.CSVVal,_xlfn.XLOOKUP($A127,CSV!$A:$A,CSV!B:B,""),
_xlpm.MacVal,_xlfn.XLOOKUP($A127,Output_Mac!$A:$A,Output_Mac!B:B,""),
_xlpm.MyAuditVal,_xlfn.XLOOKUP($A127,My_Audit!$A:$A,My_Audit!B:B,""),
_xlfn.IFS(_xlpm.MyAuditVal&lt;&gt;"",UPPER(_xlpm.MyAuditVal),_xlpm.MacVal&lt;&gt;"",_xlpm.MacVal,_xlpm.CSVVal&lt;&gt;"",_xlpm.CSVVal
)),"")</f>
        <v/>
      </c>
      <c r="D127" s="55" t="str">
        <f>_xlfn.XLOOKUP(A127,My_Audit!A:A,My_Audit!D:D,"")&amp;""</f>
        <v/>
      </c>
      <c r="E127" s="55" t="str" cm="1">
        <f t="array" ref="E127">IFERROR(_xlfn.LET(
_xlpm.CSVVal,_xlfn.XLOOKUP($A127,CSV!$A:$A,CSV!D:D,""),
_xlpm.MacVal,_xlfn.XLOOKUP($A127,Output_Mac!$A:$A,Output_Mac!C:C,""),
_xlpm.MyAuditVal,_xlfn.XLOOKUP($A127,My_Audit!$A:$A,My_Audit!D:D,""),
_xlfn.IFS(_xlpm.MyAuditVal&lt;&gt;"",_xlpm.MyAuditVal,_xlpm.MacVal&lt;&gt;"",_xlpm.MacVal,_xlpm.CSVVal&lt;&gt;"",_xlpm.CSVVal
)),"")</f>
        <v/>
      </c>
      <c r="F127" s="54" t="str" cm="1">
        <f t="array" ref="F127">IFERROR(_xlfn.LET(
_xlpm.CSVVal,_xlfn.XLOOKUP($A127,CSV!$A:$A,CSV!E:E,""),
_xlpm.MacVal,_xlfn.XLOOKUP($A127,Output_Mac!$A:$A,Output_Mac!F:F,""),
_xlpm.MyAuditVal,_xlfn.XLOOKUP($A127,My_Audit!$A:$A,My_Audit!E:E,""),
_xlfn.IFS(_xlpm.MyAuditVal&lt;&gt;"",_xlpm.MyAuditVal,_xlpm.MacVal&lt;&gt;"",_xlpm.MacVal,_xlpm.CSVVal&lt;&gt;"",PROPER(_xlpm.CSVVal)
)),"")</f>
        <v/>
      </c>
      <c r="G127" s="54" t="str" cm="1">
        <f t="array" ref="G127">IFERROR(_xlfn.LET(
_xlpm.CSVVal,_xlfn.XLOOKUP($A127,CSV!$A:$A,CSV!F:F,""),
_xlpm.MacVal,_xlfn.XLOOKUP($A127,Output_Mac!$A:$A,Output_Mac!H:H,""),
_xlpm.MyAuditVal,_xlfn.XLOOKUP($A127,My_Audit!$A:$A,My_Audit!F:F,""),
_xlfn.IFS(_xlpm.MyAuditVal&lt;&gt;"",_xlpm.MyAuditVal,_xlpm.MacVal&lt;&gt;"",_xlpm.MacVal,_xlpm.CSVVal&lt;&gt;"",_xlpm.CSVVal
)),"")</f>
        <v/>
      </c>
      <c r="H127" s="54" t="str">
        <f>_xlfn.XLOOKUP(A127,Output_Mac!A:A,Output_Mac!I:I,"")</f>
        <v/>
      </c>
      <c r="I127" s="54" t="str" cm="1">
        <f t="array" ref="I127">IFERROR(_xlfn.LET(
_xlpm.CSVVal,_xlfn.XLOOKUP($A127,CSV!$A:$A,CSV!G:G,""),
_xlpm.MacVal,_xlfn.XLOOKUP($A127,Output_Mac!$A:$A,Output_Mac!J:J,""),
_xlpm.MyAuditVal,_xlfn.XLOOKUP($A127,My_Audit!$A:$A,My_Audit!H:H,""),
_xlfn.IFS(_xlpm.MyAuditVal&lt;&gt;"",UPPER(_xlpm.MyAuditVal),_xlpm.MacVal&lt;&gt;"",_xlpm.MacVal,_xlpm.CSVVal&lt;&gt;"",_xlpm.CSVVal
)),"")</f>
        <v/>
      </c>
      <c r="J127" s="54" t="str" cm="1">
        <f t="array" ref="J127">IFERROR(_xlfn.LET(
_xlpm.CSVVal,_xlfn.XLOOKUP($A127,CSV!$A:$A,CSV!I:I,""),
_xlpm.MacVal,_xlfn.XLOOKUP($A127,Output_Mac!$A:$A,Output_Mac!K:K,""),
_xlpm.MyAuditVal,_xlfn.XLOOKUP($A127,My_Audit!$A:$A,My_Audit!I:I,""),
_xlfn.IFS(_xlpm.MyAuditVal&lt;&gt;"",UPPER(_xlpm.MyAuditVal),_xlpm.MacVal&lt;&gt;"",_xlpm.MacVal,_xlpm.CSVVal&lt;&gt;"",_xlpm.CSVVal
)),"")</f>
        <v/>
      </c>
      <c r="K127" s="54" t="str" cm="1">
        <f t="array" ref="K127">IFERROR(_xlfn.LET(
_xlpm.CSVVal,_xlfn.XLOOKUP($A127,CSV!$A:$A,CSV!M:M,""),
_xlpm.MacVal,_xlfn.XLOOKUP($A127,Output_Mac!$A:$A,Output_Mac!L:L,""),
_xlpm.MyAuditVal,_xlfn.XLOOKUP($A127,My_Audit!$A:$A,My_Audit!J:J,""),
_xlfn.IFS(_xlpm.MyAuditVal&lt;&gt;"",UPPER(_xlpm.MyAuditVal),_xlpm.MacVal&lt;&gt;"",_xlpm.MacVal,_xlpm.CSVVal&lt;&gt;"",_xlpm.CSVVal
)),"")</f>
        <v/>
      </c>
      <c r="L127" s="55" t="str" cm="1">
        <f t="array" ref="L127">IFERROR(_xlfn.LET(
_xlpm.CSVVal,_xlfn.XLOOKUP($A127,CSV!$A:$A,CSV!P:P,""),
_xlpm.MacVal,_xlfn.XLOOKUP($A127,Output_Mac!$A:$A,Output_Mac!M:M,""),
_xlpm.MyAuditVal,_xlfn.XLOOKUP($A127,My_Audit!$A:$A,My_Audit!K:K,""),
_xlfn.IFS(_xlpm.MyAuditVal&lt;&gt;"",UPPER(_xlpm.MyAuditVal),_xlpm.MacVal&lt;&gt;"",_xlpm.MacVal,_xlpm.CSVVal&lt;&gt;"",_xlpm.CSVVal
)),"")</f>
        <v/>
      </c>
      <c r="M127" s="54" t="str">
        <f>_xlfn.LET(
    _xlpm.CSVVal, _xlfn.XLOOKUP($A127, CSV!$A:$A, CSV!AD:AD, ""),
    _xlpm.MacVal, _xlfn.XLOOKUP($A127, Output_Mac!$A:$A, Output_Mac!S:S, ""),
    _xlpm.MyAuditVal, _xlfn.XLOOKUP($A127, My_Audit!$A:$A, My_Audit!N:N, ""),
    _xlfn.TEXTJOIN(", ", TRUE, _xlpm.MyAuditVal, _xlpm.MacVal, _xlpm.CSVVal)
)</f>
        <v/>
      </c>
      <c r="N127" s="54" t="str" cm="1">
        <f t="array" ref="N127">IFERROR(_xlfn.LET(
_xlpm.CSVVal,_xlfn.XLOOKUP($A127,CSV!$A:$A,CSV!AF:AF,""),
_xlpm.MacVal,_xlfn.XLOOKUP($A127,Output_Mac!$A:$A,Output_Mac!U:U,""),
_xlpm.MyAuditVal,_xlfn.XLOOKUP($A127,My_Audit!$A:$A,My_Audit!O:O,""),
_xlfn.IFS(_xlpm.MyAuditVal&lt;&gt;"",UPPER(_xlpm.MyAuditVal),_xlpm.MacVal&lt;&gt;"",_xlpm.MacVal,_xlpm.CSVVal&lt;&gt;"",_xlpm.CSVVal
)),"")</f>
        <v/>
      </c>
      <c r="O127" s="54"/>
      <c r="P127" s="54"/>
      <c r="Q127" s="54"/>
      <c r="R127" s="54"/>
      <c r="S127" s="54"/>
      <c r="T127" s="54"/>
      <c r="U127" s="39" t="str">
        <f>_xlfn.LET(
    _xlpm.MacVal, _xlfn.XLOOKUP($A127, Output_Mac!$A:$A, Output_Mac!AB:AB, ""),
    _xlpm.MyAuditVal, _xlfn.XLOOKUP($A127, My_Audit!$A:$A, My_Audit!L:L, ""),
    _xlfn.TEXTJOIN(", ", TRUE, _xlpm.MyAuditVal, _xlpm.MacVal)
)</f>
        <v/>
      </c>
    </row>
    <row r="128" spans="1:21">
      <c r="A128" s="54" t="str">
        <f>_xlfn.TEXTJOIN("",TRUE,Input!$B$2,ROW(My_Audit!A127))</f>
        <v>XX127</v>
      </c>
      <c r="B128" s="54" t="str">
        <f>_xlfn.TEXTJOIN("-",TRUE,"ITD",Input!$A$2,A128)</f>
        <v>ITD-SHRXXX-XX127</v>
      </c>
      <c r="C128" s="54" t="str" cm="1">
        <f t="array" ref="C128">IFERROR(_xlfn.LET(
_xlpm.CSVVal,_xlfn.XLOOKUP($A128,CSV!$A:$A,CSV!B:B,""),
_xlpm.MacVal,_xlfn.XLOOKUP($A128,Output_Mac!$A:$A,Output_Mac!B:B,""),
_xlpm.MyAuditVal,_xlfn.XLOOKUP($A128,My_Audit!$A:$A,My_Audit!B:B,""),
_xlfn.IFS(_xlpm.MyAuditVal&lt;&gt;"",UPPER(_xlpm.MyAuditVal),_xlpm.MacVal&lt;&gt;"",_xlpm.MacVal,_xlpm.CSVVal&lt;&gt;"",_xlpm.CSVVal
)),"")</f>
        <v/>
      </c>
      <c r="D128" s="55" t="str">
        <f>_xlfn.XLOOKUP(A128,My_Audit!A:A,My_Audit!D:D,"")&amp;""</f>
        <v/>
      </c>
      <c r="E128" s="55" t="str" cm="1">
        <f t="array" ref="E128">IFERROR(_xlfn.LET(
_xlpm.CSVVal,_xlfn.XLOOKUP($A128,CSV!$A:$A,CSV!D:D,""),
_xlpm.MacVal,_xlfn.XLOOKUP($A128,Output_Mac!$A:$A,Output_Mac!C:C,""),
_xlpm.MyAuditVal,_xlfn.XLOOKUP($A128,My_Audit!$A:$A,My_Audit!D:D,""),
_xlfn.IFS(_xlpm.MyAuditVal&lt;&gt;"",_xlpm.MyAuditVal,_xlpm.MacVal&lt;&gt;"",_xlpm.MacVal,_xlpm.CSVVal&lt;&gt;"",_xlpm.CSVVal
)),"")</f>
        <v/>
      </c>
      <c r="F128" s="54" t="str" cm="1">
        <f t="array" ref="F128">IFERROR(_xlfn.LET(
_xlpm.CSVVal,_xlfn.XLOOKUP($A128,CSV!$A:$A,CSV!E:E,""),
_xlpm.MacVal,_xlfn.XLOOKUP($A128,Output_Mac!$A:$A,Output_Mac!F:F,""),
_xlpm.MyAuditVal,_xlfn.XLOOKUP($A128,My_Audit!$A:$A,My_Audit!E:E,""),
_xlfn.IFS(_xlpm.MyAuditVal&lt;&gt;"",_xlpm.MyAuditVal,_xlpm.MacVal&lt;&gt;"",_xlpm.MacVal,_xlpm.CSVVal&lt;&gt;"",PROPER(_xlpm.CSVVal)
)),"")</f>
        <v/>
      </c>
      <c r="G128" s="54" t="str" cm="1">
        <f t="array" ref="G128">IFERROR(_xlfn.LET(
_xlpm.CSVVal,_xlfn.XLOOKUP($A128,CSV!$A:$A,CSV!F:F,""),
_xlpm.MacVal,_xlfn.XLOOKUP($A128,Output_Mac!$A:$A,Output_Mac!H:H,""),
_xlpm.MyAuditVal,_xlfn.XLOOKUP($A128,My_Audit!$A:$A,My_Audit!F:F,""),
_xlfn.IFS(_xlpm.MyAuditVal&lt;&gt;"",_xlpm.MyAuditVal,_xlpm.MacVal&lt;&gt;"",_xlpm.MacVal,_xlpm.CSVVal&lt;&gt;"",_xlpm.CSVVal
)),"")</f>
        <v/>
      </c>
      <c r="H128" s="54" t="str">
        <f>_xlfn.XLOOKUP(A128,Output_Mac!A:A,Output_Mac!I:I,"")</f>
        <v/>
      </c>
      <c r="I128" s="54" t="str" cm="1">
        <f t="array" ref="I128">IFERROR(_xlfn.LET(
_xlpm.CSVVal,_xlfn.XLOOKUP($A128,CSV!$A:$A,CSV!G:G,""),
_xlpm.MacVal,_xlfn.XLOOKUP($A128,Output_Mac!$A:$A,Output_Mac!J:J,""),
_xlpm.MyAuditVal,_xlfn.XLOOKUP($A128,My_Audit!$A:$A,My_Audit!H:H,""),
_xlfn.IFS(_xlpm.MyAuditVal&lt;&gt;"",UPPER(_xlpm.MyAuditVal),_xlpm.MacVal&lt;&gt;"",_xlpm.MacVal,_xlpm.CSVVal&lt;&gt;"",_xlpm.CSVVal
)),"")</f>
        <v/>
      </c>
      <c r="J128" s="54" t="str" cm="1">
        <f t="array" ref="J128">IFERROR(_xlfn.LET(
_xlpm.CSVVal,_xlfn.XLOOKUP($A128,CSV!$A:$A,CSV!I:I,""),
_xlpm.MacVal,_xlfn.XLOOKUP($A128,Output_Mac!$A:$A,Output_Mac!K:K,""),
_xlpm.MyAuditVal,_xlfn.XLOOKUP($A128,My_Audit!$A:$A,My_Audit!I:I,""),
_xlfn.IFS(_xlpm.MyAuditVal&lt;&gt;"",UPPER(_xlpm.MyAuditVal),_xlpm.MacVal&lt;&gt;"",_xlpm.MacVal,_xlpm.CSVVal&lt;&gt;"",_xlpm.CSVVal
)),"")</f>
        <v/>
      </c>
      <c r="K128" s="54" t="str" cm="1">
        <f t="array" ref="K128">IFERROR(_xlfn.LET(
_xlpm.CSVVal,_xlfn.XLOOKUP($A128,CSV!$A:$A,CSV!M:M,""),
_xlpm.MacVal,_xlfn.XLOOKUP($A128,Output_Mac!$A:$A,Output_Mac!L:L,""),
_xlpm.MyAuditVal,_xlfn.XLOOKUP($A128,My_Audit!$A:$A,My_Audit!J:J,""),
_xlfn.IFS(_xlpm.MyAuditVal&lt;&gt;"",UPPER(_xlpm.MyAuditVal),_xlpm.MacVal&lt;&gt;"",_xlpm.MacVal,_xlpm.CSVVal&lt;&gt;"",_xlpm.CSVVal
)),"")</f>
        <v/>
      </c>
      <c r="L128" s="55" t="str" cm="1">
        <f t="array" ref="L128">IFERROR(_xlfn.LET(
_xlpm.CSVVal,_xlfn.XLOOKUP($A128,CSV!$A:$A,CSV!P:P,""),
_xlpm.MacVal,_xlfn.XLOOKUP($A128,Output_Mac!$A:$A,Output_Mac!M:M,""),
_xlpm.MyAuditVal,_xlfn.XLOOKUP($A128,My_Audit!$A:$A,My_Audit!K:K,""),
_xlfn.IFS(_xlpm.MyAuditVal&lt;&gt;"",UPPER(_xlpm.MyAuditVal),_xlpm.MacVal&lt;&gt;"",_xlpm.MacVal,_xlpm.CSVVal&lt;&gt;"",_xlpm.CSVVal
)),"")</f>
        <v/>
      </c>
      <c r="M128" s="54" t="str">
        <f>_xlfn.LET(
    _xlpm.CSVVal, _xlfn.XLOOKUP($A128, CSV!$A:$A, CSV!AD:AD, ""),
    _xlpm.MacVal, _xlfn.XLOOKUP($A128, Output_Mac!$A:$A, Output_Mac!S:S, ""),
    _xlpm.MyAuditVal, _xlfn.XLOOKUP($A128, My_Audit!$A:$A, My_Audit!N:N, ""),
    _xlfn.TEXTJOIN(", ", TRUE, _xlpm.MyAuditVal, _xlpm.MacVal, _xlpm.CSVVal)
)</f>
        <v/>
      </c>
      <c r="N128" s="54" t="str" cm="1">
        <f t="array" ref="N128">IFERROR(_xlfn.LET(
_xlpm.CSVVal,_xlfn.XLOOKUP($A128,CSV!$A:$A,CSV!AF:AF,""),
_xlpm.MacVal,_xlfn.XLOOKUP($A128,Output_Mac!$A:$A,Output_Mac!U:U,""),
_xlpm.MyAuditVal,_xlfn.XLOOKUP($A128,My_Audit!$A:$A,My_Audit!O:O,""),
_xlfn.IFS(_xlpm.MyAuditVal&lt;&gt;"",UPPER(_xlpm.MyAuditVal),_xlpm.MacVal&lt;&gt;"",_xlpm.MacVal,_xlpm.CSVVal&lt;&gt;"",_xlpm.CSVVal
)),"")</f>
        <v/>
      </c>
      <c r="O128" s="54"/>
      <c r="P128" s="54"/>
      <c r="Q128" s="54"/>
      <c r="R128" s="54"/>
      <c r="S128" s="54"/>
      <c r="T128" s="54"/>
      <c r="U128" s="39" t="str">
        <f>_xlfn.LET(
    _xlpm.MacVal, _xlfn.XLOOKUP($A128, Output_Mac!$A:$A, Output_Mac!AB:AB, ""),
    _xlpm.MyAuditVal, _xlfn.XLOOKUP($A128, My_Audit!$A:$A, My_Audit!L:L, ""),
    _xlfn.TEXTJOIN(", ", TRUE, _xlpm.MyAuditVal, _xlpm.MacVal)
)</f>
        <v/>
      </c>
    </row>
    <row r="129" spans="1:21">
      <c r="A129" s="54" t="str">
        <f>_xlfn.TEXTJOIN("",TRUE,Input!$B$2,ROW(My_Audit!A128))</f>
        <v>XX128</v>
      </c>
      <c r="B129" s="54" t="str">
        <f>_xlfn.TEXTJOIN("-",TRUE,"ITD",Input!$A$2,A129)</f>
        <v>ITD-SHRXXX-XX128</v>
      </c>
      <c r="C129" s="54" t="str" cm="1">
        <f t="array" ref="C129">IFERROR(_xlfn.LET(
_xlpm.CSVVal,_xlfn.XLOOKUP($A129,CSV!$A:$A,CSV!B:B,""),
_xlpm.MacVal,_xlfn.XLOOKUP($A129,Output_Mac!$A:$A,Output_Mac!B:B,""),
_xlpm.MyAuditVal,_xlfn.XLOOKUP($A129,My_Audit!$A:$A,My_Audit!B:B,""),
_xlfn.IFS(_xlpm.MyAuditVal&lt;&gt;"",UPPER(_xlpm.MyAuditVal),_xlpm.MacVal&lt;&gt;"",_xlpm.MacVal,_xlpm.CSVVal&lt;&gt;"",_xlpm.CSVVal
)),"")</f>
        <v/>
      </c>
      <c r="D129" s="55" t="str">
        <f>_xlfn.XLOOKUP(A129,My_Audit!A:A,My_Audit!D:D,"")&amp;""</f>
        <v/>
      </c>
      <c r="E129" s="55" t="str" cm="1">
        <f t="array" ref="E129">IFERROR(_xlfn.LET(
_xlpm.CSVVal,_xlfn.XLOOKUP($A129,CSV!$A:$A,CSV!D:D,""),
_xlpm.MacVal,_xlfn.XLOOKUP($A129,Output_Mac!$A:$A,Output_Mac!C:C,""),
_xlpm.MyAuditVal,_xlfn.XLOOKUP($A129,My_Audit!$A:$A,My_Audit!D:D,""),
_xlfn.IFS(_xlpm.MyAuditVal&lt;&gt;"",_xlpm.MyAuditVal,_xlpm.MacVal&lt;&gt;"",_xlpm.MacVal,_xlpm.CSVVal&lt;&gt;"",_xlpm.CSVVal
)),"")</f>
        <v/>
      </c>
      <c r="F129" s="54" t="str" cm="1">
        <f t="array" ref="F129">IFERROR(_xlfn.LET(
_xlpm.CSVVal,_xlfn.XLOOKUP($A129,CSV!$A:$A,CSV!E:E,""),
_xlpm.MacVal,_xlfn.XLOOKUP($A129,Output_Mac!$A:$A,Output_Mac!F:F,""),
_xlpm.MyAuditVal,_xlfn.XLOOKUP($A129,My_Audit!$A:$A,My_Audit!E:E,""),
_xlfn.IFS(_xlpm.MyAuditVal&lt;&gt;"",_xlpm.MyAuditVal,_xlpm.MacVal&lt;&gt;"",_xlpm.MacVal,_xlpm.CSVVal&lt;&gt;"",PROPER(_xlpm.CSVVal)
)),"")</f>
        <v/>
      </c>
      <c r="G129" s="54" t="str" cm="1">
        <f t="array" ref="G129">IFERROR(_xlfn.LET(
_xlpm.CSVVal,_xlfn.XLOOKUP($A129,CSV!$A:$A,CSV!F:F,""),
_xlpm.MacVal,_xlfn.XLOOKUP($A129,Output_Mac!$A:$A,Output_Mac!H:H,""),
_xlpm.MyAuditVal,_xlfn.XLOOKUP($A129,My_Audit!$A:$A,My_Audit!F:F,""),
_xlfn.IFS(_xlpm.MyAuditVal&lt;&gt;"",_xlpm.MyAuditVal,_xlpm.MacVal&lt;&gt;"",_xlpm.MacVal,_xlpm.CSVVal&lt;&gt;"",_xlpm.CSVVal
)),"")</f>
        <v/>
      </c>
      <c r="H129" s="54" t="str">
        <f>_xlfn.XLOOKUP(A129,Output_Mac!A:A,Output_Mac!I:I,"")</f>
        <v/>
      </c>
      <c r="I129" s="54" t="str" cm="1">
        <f t="array" ref="I129">IFERROR(_xlfn.LET(
_xlpm.CSVVal,_xlfn.XLOOKUP($A129,CSV!$A:$A,CSV!G:G,""),
_xlpm.MacVal,_xlfn.XLOOKUP($A129,Output_Mac!$A:$A,Output_Mac!J:J,""),
_xlpm.MyAuditVal,_xlfn.XLOOKUP($A129,My_Audit!$A:$A,My_Audit!H:H,""),
_xlfn.IFS(_xlpm.MyAuditVal&lt;&gt;"",UPPER(_xlpm.MyAuditVal),_xlpm.MacVal&lt;&gt;"",_xlpm.MacVal,_xlpm.CSVVal&lt;&gt;"",_xlpm.CSVVal
)),"")</f>
        <v/>
      </c>
      <c r="J129" s="54" t="str" cm="1">
        <f t="array" ref="J129">IFERROR(_xlfn.LET(
_xlpm.CSVVal,_xlfn.XLOOKUP($A129,CSV!$A:$A,CSV!I:I,""),
_xlpm.MacVal,_xlfn.XLOOKUP($A129,Output_Mac!$A:$A,Output_Mac!K:K,""),
_xlpm.MyAuditVal,_xlfn.XLOOKUP($A129,My_Audit!$A:$A,My_Audit!I:I,""),
_xlfn.IFS(_xlpm.MyAuditVal&lt;&gt;"",UPPER(_xlpm.MyAuditVal),_xlpm.MacVal&lt;&gt;"",_xlpm.MacVal,_xlpm.CSVVal&lt;&gt;"",_xlpm.CSVVal
)),"")</f>
        <v/>
      </c>
      <c r="K129" s="54" t="str" cm="1">
        <f t="array" ref="K129">IFERROR(_xlfn.LET(
_xlpm.CSVVal,_xlfn.XLOOKUP($A129,CSV!$A:$A,CSV!M:M,""),
_xlpm.MacVal,_xlfn.XLOOKUP($A129,Output_Mac!$A:$A,Output_Mac!L:L,""),
_xlpm.MyAuditVal,_xlfn.XLOOKUP($A129,My_Audit!$A:$A,My_Audit!J:J,""),
_xlfn.IFS(_xlpm.MyAuditVal&lt;&gt;"",UPPER(_xlpm.MyAuditVal),_xlpm.MacVal&lt;&gt;"",_xlpm.MacVal,_xlpm.CSVVal&lt;&gt;"",_xlpm.CSVVal
)),"")</f>
        <v/>
      </c>
      <c r="L129" s="55" t="str" cm="1">
        <f t="array" ref="L129">IFERROR(_xlfn.LET(
_xlpm.CSVVal,_xlfn.XLOOKUP($A129,CSV!$A:$A,CSV!P:P,""),
_xlpm.MacVal,_xlfn.XLOOKUP($A129,Output_Mac!$A:$A,Output_Mac!M:M,""),
_xlpm.MyAuditVal,_xlfn.XLOOKUP($A129,My_Audit!$A:$A,My_Audit!K:K,""),
_xlfn.IFS(_xlpm.MyAuditVal&lt;&gt;"",UPPER(_xlpm.MyAuditVal),_xlpm.MacVal&lt;&gt;"",_xlpm.MacVal,_xlpm.CSVVal&lt;&gt;"",_xlpm.CSVVal
)),"")</f>
        <v/>
      </c>
      <c r="M129" s="54" t="str">
        <f>_xlfn.LET(
    _xlpm.CSVVal, _xlfn.XLOOKUP($A129, CSV!$A:$A, CSV!AD:AD, ""),
    _xlpm.MacVal, _xlfn.XLOOKUP($A129, Output_Mac!$A:$A, Output_Mac!S:S, ""),
    _xlpm.MyAuditVal, _xlfn.XLOOKUP($A129, My_Audit!$A:$A, My_Audit!N:N, ""),
    _xlfn.TEXTJOIN(", ", TRUE, _xlpm.MyAuditVal, _xlpm.MacVal, _xlpm.CSVVal)
)</f>
        <v/>
      </c>
      <c r="N129" s="54" t="str" cm="1">
        <f t="array" ref="N129">IFERROR(_xlfn.LET(
_xlpm.CSVVal,_xlfn.XLOOKUP($A129,CSV!$A:$A,CSV!AF:AF,""),
_xlpm.MacVal,_xlfn.XLOOKUP($A129,Output_Mac!$A:$A,Output_Mac!U:U,""),
_xlpm.MyAuditVal,_xlfn.XLOOKUP($A129,My_Audit!$A:$A,My_Audit!O:O,""),
_xlfn.IFS(_xlpm.MyAuditVal&lt;&gt;"",UPPER(_xlpm.MyAuditVal),_xlpm.MacVal&lt;&gt;"",_xlpm.MacVal,_xlpm.CSVVal&lt;&gt;"",_xlpm.CSVVal
)),"")</f>
        <v/>
      </c>
      <c r="O129" s="54"/>
      <c r="P129" s="54"/>
      <c r="Q129" s="54"/>
      <c r="R129" s="54"/>
      <c r="S129" s="54"/>
      <c r="T129" s="54"/>
      <c r="U129" s="39" t="str">
        <f>_xlfn.LET(
    _xlpm.MacVal, _xlfn.XLOOKUP($A129, Output_Mac!$A:$A, Output_Mac!AB:AB, ""),
    _xlpm.MyAuditVal, _xlfn.XLOOKUP($A129, My_Audit!$A:$A, My_Audit!L:L, ""),
    _xlfn.TEXTJOIN(", ", TRUE, _xlpm.MyAuditVal, _xlpm.MacVal)
)</f>
        <v/>
      </c>
    </row>
    <row r="130" spans="1:21">
      <c r="A130" s="54" t="str">
        <f>_xlfn.TEXTJOIN("",TRUE,Input!$B$2,ROW(My_Audit!A129))</f>
        <v>XX129</v>
      </c>
      <c r="B130" s="54" t="str">
        <f>_xlfn.TEXTJOIN("-",TRUE,"ITD",Input!$A$2,A130)</f>
        <v>ITD-SHRXXX-XX129</v>
      </c>
      <c r="C130" s="54" t="str" cm="1">
        <f t="array" ref="C130">IFERROR(_xlfn.LET(
_xlpm.CSVVal,_xlfn.XLOOKUP($A130,CSV!$A:$A,CSV!B:B,""),
_xlpm.MacVal,_xlfn.XLOOKUP($A130,Output_Mac!$A:$A,Output_Mac!B:B,""),
_xlpm.MyAuditVal,_xlfn.XLOOKUP($A130,My_Audit!$A:$A,My_Audit!B:B,""),
_xlfn.IFS(_xlpm.MyAuditVal&lt;&gt;"",UPPER(_xlpm.MyAuditVal),_xlpm.MacVal&lt;&gt;"",_xlpm.MacVal,_xlpm.CSVVal&lt;&gt;"",_xlpm.CSVVal
)),"")</f>
        <v/>
      </c>
      <c r="D130" s="55" t="str">
        <f>_xlfn.XLOOKUP(A130,My_Audit!A:A,My_Audit!D:D,"")&amp;""</f>
        <v/>
      </c>
      <c r="E130" s="55" t="str" cm="1">
        <f t="array" ref="E130">IFERROR(_xlfn.LET(
_xlpm.CSVVal,_xlfn.XLOOKUP($A130,CSV!$A:$A,CSV!D:D,""),
_xlpm.MacVal,_xlfn.XLOOKUP($A130,Output_Mac!$A:$A,Output_Mac!C:C,""),
_xlpm.MyAuditVal,_xlfn.XLOOKUP($A130,My_Audit!$A:$A,My_Audit!D:D,""),
_xlfn.IFS(_xlpm.MyAuditVal&lt;&gt;"",_xlpm.MyAuditVal,_xlpm.MacVal&lt;&gt;"",_xlpm.MacVal,_xlpm.CSVVal&lt;&gt;"",_xlpm.CSVVal
)),"")</f>
        <v/>
      </c>
      <c r="F130" s="54" t="str" cm="1">
        <f t="array" ref="F130">IFERROR(_xlfn.LET(
_xlpm.CSVVal,_xlfn.XLOOKUP($A130,CSV!$A:$A,CSV!E:E,""),
_xlpm.MacVal,_xlfn.XLOOKUP($A130,Output_Mac!$A:$A,Output_Mac!F:F,""),
_xlpm.MyAuditVal,_xlfn.XLOOKUP($A130,My_Audit!$A:$A,My_Audit!E:E,""),
_xlfn.IFS(_xlpm.MyAuditVal&lt;&gt;"",_xlpm.MyAuditVal,_xlpm.MacVal&lt;&gt;"",_xlpm.MacVal,_xlpm.CSVVal&lt;&gt;"",PROPER(_xlpm.CSVVal)
)),"")</f>
        <v/>
      </c>
      <c r="G130" s="54" t="str" cm="1">
        <f t="array" ref="G130">IFERROR(_xlfn.LET(
_xlpm.CSVVal,_xlfn.XLOOKUP($A130,CSV!$A:$A,CSV!F:F,""),
_xlpm.MacVal,_xlfn.XLOOKUP($A130,Output_Mac!$A:$A,Output_Mac!H:H,""),
_xlpm.MyAuditVal,_xlfn.XLOOKUP($A130,My_Audit!$A:$A,My_Audit!F:F,""),
_xlfn.IFS(_xlpm.MyAuditVal&lt;&gt;"",_xlpm.MyAuditVal,_xlpm.MacVal&lt;&gt;"",_xlpm.MacVal,_xlpm.CSVVal&lt;&gt;"",_xlpm.CSVVal
)),"")</f>
        <v/>
      </c>
      <c r="H130" s="54" t="str">
        <f>_xlfn.XLOOKUP(A130,Output_Mac!A:A,Output_Mac!I:I,"")</f>
        <v/>
      </c>
      <c r="I130" s="54" t="str" cm="1">
        <f t="array" ref="I130">IFERROR(_xlfn.LET(
_xlpm.CSVVal,_xlfn.XLOOKUP($A130,CSV!$A:$A,CSV!G:G,""),
_xlpm.MacVal,_xlfn.XLOOKUP($A130,Output_Mac!$A:$A,Output_Mac!J:J,""),
_xlpm.MyAuditVal,_xlfn.XLOOKUP($A130,My_Audit!$A:$A,My_Audit!H:H,""),
_xlfn.IFS(_xlpm.MyAuditVal&lt;&gt;"",UPPER(_xlpm.MyAuditVal),_xlpm.MacVal&lt;&gt;"",_xlpm.MacVal,_xlpm.CSVVal&lt;&gt;"",_xlpm.CSVVal
)),"")</f>
        <v/>
      </c>
      <c r="J130" s="54" t="str" cm="1">
        <f t="array" ref="J130">IFERROR(_xlfn.LET(
_xlpm.CSVVal,_xlfn.XLOOKUP($A130,CSV!$A:$A,CSV!I:I,""),
_xlpm.MacVal,_xlfn.XLOOKUP($A130,Output_Mac!$A:$A,Output_Mac!K:K,""),
_xlpm.MyAuditVal,_xlfn.XLOOKUP($A130,My_Audit!$A:$A,My_Audit!I:I,""),
_xlfn.IFS(_xlpm.MyAuditVal&lt;&gt;"",UPPER(_xlpm.MyAuditVal),_xlpm.MacVal&lt;&gt;"",_xlpm.MacVal,_xlpm.CSVVal&lt;&gt;"",_xlpm.CSVVal
)),"")</f>
        <v/>
      </c>
      <c r="K130" s="54" t="str" cm="1">
        <f t="array" ref="K130">IFERROR(_xlfn.LET(
_xlpm.CSVVal,_xlfn.XLOOKUP($A130,CSV!$A:$A,CSV!M:M,""),
_xlpm.MacVal,_xlfn.XLOOKUP($A130,Output_Mac!$A:$A,Output_Mac!L:L,""),
_xlpm.MyAuditVal,_xlfn.XLOOKUP($A130,My_Audit!$A:$A,My_Audit!J:J,""),
_xlfn.IFS(_xlpm.MyAuditVal&lt;&gt;"",UPPER(_xlpm.MyAuditVal),_xlpm.MacVal&lt;&gt;"",_xlpm.MacVal,_xlpm.CSVVal&lt;&gt;"",_xlpm.CSVVal
)),"")</f>
        <v/>
      </c>
      <c r="L130" s="55" t="str" cm="1">
        <f t="array" ref="L130">IFERROR(_xlfn.LET(
_xlpm.CSVVal,_xlfn.XLOOKUP($A130,CSV!$A:$A,CSV!P:P,""),
_xlpm.MacVal,_xlfn.XLOOKUP($A130,Output_Mac!$A:$A,Output_Mac!M:M,""),
_xlpm.MyAuditVal,_xlfn.XLOOKUP($A130,My_Audit!$A:$A,My_Audit!K:K,""),
_xlfn.IFS(_xlpm.MyAuditVal&lt;&gt;"",UPPER(_xlpm.MyAuditVal),_xlpm.MacVal&lt;&gt;"",_xlpm.MacVal,_xlpm.CSVVal&lt;&gt;"",_xlpm.CSVVal
)),"")</f>
        <v/>
      </c>
      <c r="M130" s="54" t="str">
        <f>_xlfn.LET(
    _xlpm.CSVVal, _xlfn.XLOOKUP($A130, CSV!$A:$A, CSV!AD:AD, ""),
    _xlpm.MacVal, _xlfn.XLOOKUP($A130, Output_Mac!$A:$A, Output_Mac!S:S, ""),
    _xlpm.MyAuditVal, _xlfn.XLOOKUP($A130, My_Audit!$A:$A, My_Audit!N:N, ""),
    _xlfn.TEXTJOIN(", ", TRUE, _xlpm.MyAuditVal, _xlpm.MacVal, _xlpm.CSVVal)
)</f>
        <v/>
      </c>
      <c r="N130" s="54" t="str" cm="1">
        <f t="array" ref="N130">IFERROR(_xlfn.LET(
_xlpm.CSVVal,_xlfn.XLOOKUP($A130,CSV!$A:$A,CSV!AF:AF,""),
_xlpm.MacVal,_xlfn.XLOOKUP($A130,Output_Mac!$A:$A,Output_Mac!U:U,""),
_xlpm.MyAuditVal,_xlfn.XLOOKUP($A130,My_Audit!$A:$A,My_Audit!O:O,""),
_xlfn.IFS(_xlpm.MyAuditVal&lt;&gt;"",UPPER(_xlpm.MyAuditVal),_xlpm.MacVal&lt;&gt;"",_xlpm.MacVal,_xlpm.CSVVal&lt;&gt;"",_xlpm.CSVVal
)),"")</f>
        <v/>
      </c>
      <c r="O130" s="54"/>
      <c r="P130" s="54"/>
      <c r="Q130" s="54"/>
      <c r="R130" s="54"/>
      <c r="S130" s="54"/>
      <c r="T130" s="54"/>
      <c r="U130" s="39" t="str">
        <f>_xlfn.LET(
    _xlpm.MacVal, _xlfn.XLOOKUP($A130, Output_Mac!$A:$A, Output_Mac!AB:AB, ""),
    _xlpm.MyAuditVal, _xlfn.XLOOKUP($A130, My_Audit!$A:$A, My_Audit!L:L, ""),
    _xlfn.TEXTJOIN(", ", TRUE, _xlpm.MyAuditVal, _xlpm.MacVal)
)</f>
        <v/>
      </c>
    </row>
    <row r="131" spans="1:21">
      <c r="A131" s="54" t="str">
        <f>_xlfn.TEXTJOIN("",TRUE,Input!$B$2,ROW(My_Audit!A130))</f>
        <v>XX130</v>
      </c>
      <c r="B131" s="54" t="str">
        <f>_xlfn.TEXTJOIN("-",TRUE,"ITD",Input!$A$2,A131)</f>
        <v>ITD-SHRXXX-XX130</v>
      </c>
      <c r="C131" s="54" t="str" cm="1">
        <f t="array" ref="C131">IFERROR(_xlfn.LET(
_xlpm.CSVVal,_xlfn.XLOOKUP($A131,CSV!$A:$A,CSV!B:B,""),
_xlpm.MacVal,_xlfn.XLOOKUP($A131,Output_Mac!$A:$A,Output_Mac!B:B,""),
_xlpm.MyAuditVal,_xlfn.XLOOKUP($A131,My_Audit!$A:$A,My_Audit!B:B,""),
_xlfn.IFS(_xlpm.MyAuditVal&lt;&gt;"",UPPER(_xlpm.MyAuditVal),_xlpm.MacVal&lt;&gt;"",_xlpm.MacVal,_xlpm.CSVVal&lt;&gt;"",_xlpm.CSVVal
)),"")</f>
        <v/>
      </c>
      <c r="D131" s="55" t="str">
        <f>_xlfn.XLOOKUP(A131,My_Audit!A:A,My_Audit!D:D,"")&amp;""</f>
        <v/>
      </c>
      <c r="E131" s="55" t="str" cm="1">
        <f t="array" ref="E131">IFERROR(_xlfn.LET(
_xlpm.CSVVal,_xlfn.XLOOKUP($A131,CSV!$A:$A,CSV!D:D,""),
_xlpm.MacVal,_xlfn.XLOOKUP($A131,Output_Mac!$A:$A,Output_Mac!C:C,""),
_xlpm.MyAuditVal,_xlfn.XLOOKUP($A131,My_Audit!$A:$A,My_Audit!D:D,""),
_xlfn.IFS(_xlpm.MyAuditVal&lt;&gt;"",_xlpm.MyAuditVal,_xlpm.MacVal&lt;&gt;"",_xlpm.MacVal,_xlpm.CSVVal&lt;&gt;"",_xlpm.CSVVal
)),"")</f>
        <v/>
      </c>
      <c r="F131" s="54" t="str" cm="1">
        <f t="array" ref="F131">IFERROR(_xlfn.LET(
_xlpm.CSVVal,_xlfn.XLOOKUP($A131,CSV!$A:$A,CSV!E:E,""),
_xlpm.MacVal,_xlfn.XLOOKUP($A131,Output_Mac!$A:$A,Output_Mac!F:F,""),
_xlpm.MyAuditVal,_xlfn.XLOOKUP($A131,My_Audit!$A:$A,My_Audit!E:E,""),
_xlfn.IFS(_xlpm.MyAuditVal&lt;&gt;"",_xlpm.MyAuditVal,_xlpm.MacVal&lt;&gt;"",_xlpm.MacVal,_xlpm.CSVVal&lt;&gt;"",PROPER(_xlpm.CSVVal)
)),"")</f>
        <v/>
      </c>
      <c r="G131" s="54" t="str" cm="1">
        <f t="array" ref="G131">IFERROR(_xlfn.LET(
_xlpm.CSVVal,_xlfn.XLOOKUP($A131,CSV!$A:$A,CSV!F:F,""),
_xlpm.MacVal,_xlfn.XLOOKUP($A131,Output_Mac!$A:$A,Output_Mac!H:H,""),
_xlpm.MyAuditVal,_xlfn.XLOOKUP($A131,My_Audit!$A:$A,My_Audit!F:F,""),
_xlfn.IFS(_xlpm.MyAuditVal&lt;&gt;"",_xlpm.MyAuditVal,_xlpm.MacVal&lt;&gt;"",_xlpm.MacVal,_xlpm.CSVVal&lt;&gt;"",_xlpm.CSVVal
)),"")</f>
        <v/>
      </c>
      <c r="H131" s="54" t="str">
        <f>_xlfn.XLOOKUP(A131,Output_Mac!A:A,Output_Mac!I:I,"")</f>
        <v/>
      </c>
      <c r="I131" s="54" t="str" cm="1">
        <f t="array" ref="I131">IFERROR(_xlfn.LET(
_xlpm.CSVVal,_xlfn.XLOOKUP($A131,CSV!$A:$A,CSV!G:G,""),
_xlpm.MacVal,_xlfn.XLOOKUP($A131,Output_Mac!$A:$A,Output_Mac!J:J,""),
_xlpm.MyAuditVal,_xlfn.XLOOKUP($A131,My_Audit!$A:$A,My_Audit!H:H,""),
_xlfn.IFS(_xlpm.MyAuditVal&lt;&gt;"",UPPER(_xlpm.MyAuditVal),_xlpm.MacVal&lt;&gt;"",_xlpm.MacVal,_xlpm.CSVVal&lt;&gt;"",_xlpm.CSVVal
)),"")</f>
        <v/>
      </c>
      <c r="J131" s="54" t="str" cm="1">
        <f t="array" ref="J131">IFERROR(_xlfn.LET(
_xlpm.CSVVal,_xlfn.XLOOKUP($A131,CSV!$A:$A,CSV!I:I,""),
_xlpm.MacVal,_xlfn.XLOOKUP($A131,Output_Mac!$A:$A,Output_Mac!K:K,""),
_xlpm.MyAuditVal,_xlfn.XLOOKUP($A131,My_Audit!$A:$A,My_Audit!I:I,""),
_xlfn.IFS(_xlpm.MyAuditVal&lt;&gt;"",UPPER(_xlpm.MyAuditVal),_xlpm.MacVal&lt;&gt;"",_xlpm.MacVal,_xlpm.CSVVal&lt;&gt;"",_xlpm.CSVVal
)),"")</f>
        <v/>
      </c>
      <c r="K131" s="54" t="str" cm="1">
        <f t="array" ref="K131">IFERROR(_xlfn.LET(
_xlpm.CSVVal,_xlfn.XLOOKUP($A131,CSV!$A:$A,CSV!M:M,""),
_xlpm.MacVal,_xlfn.XLOOKUP($A131,Output_Mac!$A:$A,Output_Mac!L:L,""),
_xlpm.MyAuditVal,_xlfn.XLOOKUP($A131,My_Audit!$A:$A,My_Audit!J:J,""),
_xlfn.IFS(_xlpm.MyAuditVal&lt;&gt;"",UPPER(_xlpm.MyAuditVal),_xlpm.MacVal&lt;&gt;"",_xlpm.MacVal,_xlpm.CSVVal&lt;&gt;"",_xlpm.CSVVal
)),"")</f>
        <v/>
      </c>
      <c r="L131" s="55" t="str" cm="1">
        <f t="array" ref="L131">IFERROR(_xlfn.LET(
_xlpm.CSVVal,_xlfn.XLOOKUP($A131,CSV!$A:$A,CSV!P:P,""),
_xlpm.MacVal,_xlfn.XLOOKUP($A131,Output_Mac!$A:$A,Output_Mac!M:M,""),
_xlpm.MyAuditVal,_xlfn.XLOOKUP($A131,My_Audit!$A:$A,My_Audit!K:K,""),
_xlfn.IFS(_xlpm.MyAuditVal&lt;&gt;"",UPPER(_xlpm.MyAuditVal),_xlpm.MacVal&lt;&gt;"",_xlpm.MacVal,_xlpm.CSVVal&lt;&gt;"",_xlpm.CSVVal
)),"")</f>
        <v/>
      </c>
      <c r="M131" s="54" t="str">
        <f>_xlfn.LET(
    _xlpm.CSVVal, _xlfn.XLOOKUP($A131, CSV!$A:$A, CSV!AD:AD, ""),
    _xlpm.MacVal, _xlfn.XLOOKUP($A131, Output_Mac!$A:$A, Output_Mac!S:S, ""),
    _xlpm.MyAuditVal, _xlfn.XLOOKUP($A131, My_Audit!$A:$A, My_Audit!N:N, ""),
    _xlfn.TEXTJOIN(", ", TRUE, _xlpm.MyAuditVal, _xlpm.MacVal, _xlpm.CSVVal)
)</f>
        <v/>
      </c>
      <c r="N131" s="54" t="str" cm="1">
        <f t="array" ref="N131">IFERROR(_xlfn.LET(
_xlpm.CSVVal,_xlfn.XLOOKUP($A131,CSV!$A:$A,CSV!AF:AF,""),
_xlpm.MacVal,_xlfn.XLOOKUP($A131,Output_Mac!$A:$A,Output_Mac!U:U,""),
_xlpm.MyAuditVal,_xlfn.XLOOKUP($A131,My_Audit!$A:$A,My_Audit!O:O,""),
_xlfn.IFS(_xlpm.MyAuditVal&lt;&gt;"",UPPER(_xlpm.MyAuditVal),_xlpm.MacVal&lt;&gt;"",_xlpm.MacVal,_xlpm.CSVVal&lt;&gt;"",_xlpm.CSVVal
)),"")</f>
        <v/>
      </c>
      <c r="O131" s="54"/>
      <c r="P131" s="54"/>
      <c r="Q131" s="54"/>
      <c r="R131" s="54"/>
      <c r="S131" s="54"/>
      <c r="T131" s="54"/>
      <c r="U131" s="39" t="str">
        <f>_xlfn.LET(
    _xlpm.MacVal, _xlfn.XLOOKUP($A131, Output_Mac!$A:$A, Output_Mac!AB:AB, ""),
    _xlpm.MyAuditVal, _xlfn.XLOOKUP($A131, My_Audit!$A:$A, My_Audit!L:L, ""),
    _xlfn.TEXTJOIN(", ", TRUE, _xlpm.MyAuditVal, _xlpm.MacVal)
)</f>
        <v/>
      </c>
    </row>
    <row r="132" spans="1:21">
      <c r="A132" s="54" t="str">
        <f>_xlfn.TEXTJOIN("",TRUE,Input!$B$2,ROW(My_Audit!A131))</f>
        <v>XX131</v>
      </c>
      <c r="B132" s="54" t="str">
        <f>_xlfn.TEXTJOIN("-",TRUE,"ITD",Input!$A$2,A132)</f>
        <v>ITD-SHRXXX-XX131</v>
      </c>
      <c r="C132" s="54" t="str" cm="1">
        <f t="array" ref="C132">IFERROR(_xlfn.LET(
_xlpm.CSVVal,_xlfn.XLOOKUP($A132,CSV!$A:$A,CSV!B:B,""),
_xlpm.MacVal,_xlfn.XLOOKUP($A132,Output_Mac!$A:$A,Output_Mac!B:B,""),
_xlpm.MyAuditVal,_xlfn.XLOOKUP($A132,My_Audit!$A:$A,My_Audit!B:B,""),
_xlfn.IFS(_xlpm.MyAuditVal&lt;&gt;"",UPPER(_xlpm.MyAuditVal),_xlpm.MacVal&lt;&gt;"",_xlpm.MacVal,_xlpm.CSVVal&lt;&gt;"",_xlpm.CSVVal
)),"")</f>
        <v/>
      </c>
      <c r="D132" s="55" t="str">
        <f>_xlfn.XLOOKUP(A132,My_Audit!A:A,My_Audit!D:D,"")&amp;""</f>
        <v/>
      </c>
      <c r="E132" s="55" t="str" cm="1">
        <f t="array" ref="E132">IFERROR(_xlfn.LET(
_xlpm.CSVVal,_xlfn.XLOOKUP($A132,CSV!$A:$A,CSV!D:D,""),
_xlpm.MacVal,_xlfn.XLOOKUP($A132,Output_Mac!$A:$A,Output_Mac!C:C,""),
_xlpm.MyAuditVal,_xlfn.XLOOKUP($A132,My_Audit!$A:$A,My_Audit!D:D,""),
_xlfn.IFS(_xlpm.MyAuditVal&lt;&gt;"",_xlpm.MyAuditVal,_xlpm.MacVal&lt;&gt;"",_xlpm.MacVal,_xlpm.CSVVal&lt;&gt;"",_xlpm.CSVVal
)),"")</f>
        <v/>
      </c>
      <c r="F132" s="54" t="str" cm="1">
        <f t="array" ref="F132">IFERROR(_xlfn.LET(
_xlpm.CSVVal,_xlfn.XLOOKUP($A132,CSV!$A:$A,CSV!E:E,""),
_xlpm.MacVal,_xlfn.XLOOKUP($A132,Output_Mac!$A:$A,Output_Mac!F:F,""),
_xlpm.MyAuditVal,_xlfn.XLOOKUP($A132,My_Audit!$A:$A,My_Audit!E:E,""),
_xlfn.IFS(_xlpm.MyAuditVal&lt;&gt;"",_xlpm.MyAuditVal,_xlpm.MacVal&lt;&gt;"",_xlpm.MacVal,_xlpm.CSVVal&lt;&gt;"",PROPER(_xlpm.CSVVal)
)),"")</f>
        <v/>
      </c>
      <c r="G132" s="54" t="str" cm="1">
        <f t="array" ref="G132">IFERROR(_xlfn.LET(
_xlpm.CSVVal,_xlfn.XLOOKUP($A132,CSV!$A:$A,CSV!F:F,""),
_xlpm.MacVal,_xlfn.XLOOKUP($A132,Output_Mac!$A:$A,Output_Mac!H:H,""),
_xlpm.MyAuditVal,_xlfn.XLOOKUP($A132,My_Audit!$A:$A,My_Audit!F:F,""),
_xlfn.IFS(_xlpm.MyAuditVal&lt;&gt;"",_xlpm.MyAuditVal,_xlpm.MacVal&lt;&gt;"",_xlpm.MacVal,_xlpm.CSVVal&lt;&gt;"",_xlpm.CSVVal
)),"")</f>
        <v/>
      </c>
      <c r="H132" s="54" t="str">
        <f>_xlfn.XLOOKUP(A132,Output_Mac!A:A,Output_Mac!I:I,"")</f>
        <v/>
      </c>
      <c r="I132" s="54" t="str" cm="1">
        <f t="array" ref="I132">IFERROR(_xlfn.LET(
_xlpm.CSVVal,_xlfn.XLOOKUP($A132,CSV!$A:$A,CSV!G:G,""),
_xlpm.MacVal,_xlfn.XLOOKUP($A132,Output_Mac!$A:$A,Output_Mac!J:J,""),
_xlpm.MyAuditVal,_xlfn.XLOOKUP($A132,My_Audit!$A:$A,My_Audit!H:H,""),
_xlfn.IFS(_xlpm.MyAuditVal&lt;&gt;"",UPPER(_xlpm.MyAuditVal),_xlpm.MacVal&lt;&gt;"",_xlpm.MacVal,_xlpm.CSVVal&lt;&gt;"",_xlpm.CSVVal
)),"")</f>
        <v/>
      </c>
      <c r="J132" s="54" t="str" cm="1">
        <f t="array" ref="J132">IFERROR(_xlfn.LET(
_xlpm.CSVVal,_xlfn.XLOOKUP($A132,CSV!$A:$A,CSV!I:I,""),
_xlpm.MacVal,_xlfn.XLOOKUP($A132,Output_Mac!$A:$A,Output_Mac!K:K,""),
_xlpm.MyAuditVal,_xlfn.XLOOKUP($A132,My_Audit!$A:$A,My_Audit!I:I,""),
_xlfn.IFS(_xlpm.MyAuditVal&lt;&gt;"",UPPER(_xlpm.MyAuditVal),_xlpm.MacVal&lt;&gt;"",_xlpm.MacVal,_xlpm.CSVVal&lt;&gt;"",_xlpm.CSVVal
)),"")</f>
        <v/>
      </c>
      <c r="K132" s="54" t="str" cm="1">
        <f t="array" ref="K132">IFERROR(_xlfn.LET(
_xlpm.CSVVal,_xlfn.XLOOKUP($A132,CSV!$A:$A,CSV!M:M,""),
_xlpm.MacVal,_xlfn.XLOOKUP($A132,Output_Mac!$A:$A,Output_Mac!L:L,""),
_xlpm.MyAuditVal,_xlfn.XLOOKUP($A132,My_Audit!$A:$A,My_Audit!J:J,""),
_xlfn.IFS(_xlpm.MyAuditVal&lt;&gt;"",UPPER(_xlpm.MyAuditVal),_xlpm.MacVal&lt;&gt;"",_xlpm.MacVal,_xlpm.CSVVal&lt;&gt;"",_xlpm.CSVVal
)),"")</f>
        <v/>
      </c>
      <c r="L132" s="55" t="str" cm="1">
        <f t="array" ref="L132">IFERROR(_xlfn.LET(
_xlpm.CSVVal,_xlfn.XLOOKUP($A132,CSV!$A:$A,CSV!P:P,""),
_xlpm.MacVal,_xlfn.XLOOKUP($A132,Output_Mac!$A:$A,Output_Mac!M:M,""),
_xlpm.MyAuditVal,_xlfn.XLOOKUP($A132,My_Audit!$A:$A,My_Audit!K:K,""),
_xlfn.IFS(_xlpm.MyAuditVal&lt;&gt;"",UPPER(_xlpm.MyAuditVal),_xlpm.MacVal&lt;&gt;"",_xlpm.MacVal,_xlpm.CSVVal&lt;&gt;"",_xlpm.CSVVal
)),"")</f>
        <v/>
      </c>
      <c r="M132" s="54" t="str">
        <f>_xlfn.LET(
    _xlpm.CSVVal, _xlfn.XLOOKUP($A132, CSV!$A:$A, CSV!AD:AD, ""),
    _xlpm.MacVal, _xlfn.XLOOKUP($A132, Output_Mac!$A:$A, Output_Mac!S:S, ""),
    _xlpm.MyAuditVal, _xlfn.XLOOKUP($A132, My_Audit!$A:$A, My_Audit!N:N, ""),
    _xlfn.TEXTJOIN(", ", TRUE, _xlpm.MyAuditVal, _xlpm.MacVal, _xlpm.CSVVal)
)</f>
        <v/>
      </c>
      <c r="N132" s="54" t="str" cm="1">
        <f t="array" ref="N132">IFERROR(_xlfn.LET(
_xlpm.CSVVal,_xlfn.XLOOKUP($A132,CSV!$A:$A,CSV!AF:AF,""),
_xlpm.MacVal,_xlfn.XLOOKUP($A132,Output_Mac!$A:$A,Output_Mac!U:U,""),
_xlpm.MyAuditVal,_xlfn.XLOOKUP($A132,My_Audit!$A:$A,My_Audit!O:O,""),
_xlfn.IFS(_xlpm.MyAuditVal&lt;&gt;"",UPPER(_xlpm.MyAuditVal),_xlpm.MacVal&lt;&gt;"",_xlpm.MacVal,_xlpm.CSVVal&lt;&gt;"",_xlpm.CSVVal
)),"")</f>
        <v/>
      </c>
      <c r="O132" s="54"/>
      <c r="P132" s="54"/>
      <c r="Q132" s="54"/>
      <c r="R132" s="54"/>
      <c r="S132" s="54"/>
      <c r="T132" s="54"/>
      <c r="U132" s="39" t="str">
        <f>_xlfn.LET(
    _xlpm.MacVal, _xlfn.XLOOKUP($A132, Output_Mac!$A:$A, Output_Mac!AB:AB, ""),
    _xlpm.MyAuditVal, _xlfn.XLOOKUP($A132, My_Audit!$A:$A, My_Audit!L:L, ""),
    _xlfn.TEXTJOIN(", ", TRUE, _xlpm.MyAuditVal, _xlpm.MacVal)
)</f>
        <v/>
      </c>
    </row>
    <row r="133" spans="1:21">
      <c r="A133" s="54" t="str">
        <f>_xlfn.TEXTJOIN("",TRUE,Input!$B$2,ROW(My_Audit!A132))</f>
        <v>XX132</v>
      </c>
      <c r="B133" s="54" t="str">
        <f>_xlfn.TEXTJOIN("-",TRUE,"ITD",Input!$A$2,A133)</f>
        <v>ITD-SHRXXX-XX132</v>
      </c>
      <c r="C133" s="54" t="str" cm="1">
        <f t="array" ref="C133">IFERROR(_xlfn.LET(
_xlpm.CSVVal,_xlfn.XLOOKUP($A133,CSV!$A:$A,CSV!B:B,""),
_xlpm.MacVal,_xlfn.XLOOKUP($A133,Output_Mac!$A:$A,Output_Mac!B:B,""),
_xlpm.MyAuditVal,_xlfn.XLOOKUP($A133,My_Audit!$A:$A,My_Audit!B:B,""),
_xlfn.IFS(_xlpm.MyAuditVal&lt;&gt;"",UPPER(_xlpm.MyAuditVal),_xlpm.MacVal&lt;&gt;"",_xlpm.MacVal,_xlpm.CSVVal&lt;&gt;"",_xlpm.CSVVal
)),"")</f>
        <v/>
      </c>
      <c r="D133" s="55" t="str">
        <f>_xlfn.XLOOKUP(A133,My_Audit!A:A,My_Audit!D:D,"")&amp;""</f>
        <v/>
      </c>
      <c r="E133" s="55" t="str" cm="1">
        <f t="array" ref="E133">IFERROR(_xlfn.LET(
_xlpm.CSVVal,_xlfn.XLOOKUP($A133,CSV!$A:$A,CSV!D:D,""),
_xlpm.MacVal,_xlfn.XLOOKUP($A133,Output_Mac!$A:$A,Output_Mac!C:C,""),
_xlpm.MyAuditVal,_xlfn.XLOOKUP($A133,My_Audit!$A:$A,My_Audit!D:D,""),
_xlfn.IFS(_xlpm.MyAuditVal&lt;&gt;"",_xlpm.MyAuditVal,_xlpm.MacVal&lt;&gt;"",_xlpm.MacVal,_xlpm.CSVVal&lt;&gt;"",_xlpm.CSVVal
)),"")</f>
        <v/>
      </c>
      <c r="F133" s="54" t="str" cm="1">
        <f t="array" ref="F133">IFERROR(_xlfn.LET(
_xlpm.CSVVal,_xlfn.XLOOKUP($A133,CSV!$A:$A,CSV!E:E,""),
_xlpm.MacVal,_xlfn.XLOOKUP($A133,Output_Mac!$A:$A,Output_Mac!F:F,""),
_xlpm.MyAuditVal,_xlfn.XLOOKUP($A133,My_Audit!$A:$A,My_Audit!E:E,""),
_xlfn.IFS(_xlpm.MyAuditVal&lt;&gt;"",_xlpm.MyAuditVal,_xlpm.MacVal&lt;&gt;"",_xlpm.MacVal,_xlpm.CSVVal&lt;&gt;"",PROPER(_xlpm.CSVVal)
)),"")</f>
        <v/>
      </c>
      <c r="G133" s="54" t="str" cm="1">
        <f t="array" ref="G133">IFERROR(_xlfn.LET(
_xlpm.CSVVal,_xlfn.XLOOKUP($A133,CSV!$A:$A,CSV!F:F,""),
_xlpm.MacVal,_xlfn.XLOOKUP($A133,Output_Mac!$A:$A,Output_Mac!H:H,""),
_xlpm.MyAuditVal,_xlfn.XLOOKUP($A133,My_Audit!$A:$A,My_Audit!F:F,""),
_xlfn.IFS(_xlpm.MyAuditVal&lt;&gt;"",_xlpm.MyAuditVal,_xlpm.MacVal&lt;&gt;"",_xlpm.MacVal,_xlpm.CSVVal&lt;&gt;"",_xlpm.CSVVal
)),"")</f>
        <v/>
      </c>
      <c r="H133" s="54" t="str">
        <f>_xlfn.XLOOKUP(A133,Output_Mac!A:A,Output_Mac!I:I,"")</f>
        <v/>
      </c>
      <c r="I133" s="54" t="str" cm="1">
        <f t="array" ref="I133">IFERROR(_xlfn.LET(
_xlpm.CSVVal,_xlfn.XLOOKUP($A133,CSV!$A:$A,CSV!G:G,""),
_xlpm.MacVal,_xlfn.XLOOKUP($A133,Output_Mac!$A:$A,Output_Mac!J:J,""),
_xlpm.MyAuditVal,_xlfn.XLOOKUP($A133,My_Audit!$A:$A,My_Audit!H:H,""),
_xlfn.IFS(_xlpm.MyAuditVal&lt;&gt;"",UPPER(_xlpm.MyAuditVal),_xlpm.MacVal&lt;&gt;"",_xlpm.MacVal,_xlpm.CSVVal&lt;&gt;"",_xlpm.CSVVal
)),"")</f>
        <v/>
      </c>
      <c r="J133" s="54" t="str" cm="1">
        <f t="array" ref="J133">IFERROR(_xlfn.LET(
_xlpm.CSVVal,_xlfn.XLOOKUP($A133,CSV!$A:$A,CSV!I:I,""),
_xlpm.MacVal,_xlfn.XLOOKUP($A133,Output_Mac!$A:$A,Output_Mac!K:K,""),
_xlpm.MyAuditVal,_xlfn.XLOOKUP($A133,My_Audit!$A:$A,My_Audit!I:I,""),
_xlfn.IFS(_xlpm.MyAuditVal&lt;&gt;"",UPPER(_xlpm.MyAuditVal),_xlpm.MacVal&lt;&gt;"",_xlpm.MacVal,_xlpm.CSVVal&lt;&gt;"",_xlpm.CSVVal
)),"")</f>
        <v/>
      </c>
      <c r="K133" s="54" t="str" cm="1">
        <f t="array" ref="K133">IFERROR(_xlfn.LET(
_xlpm.CSVVal,_xlfn.XLOOKUP($A133,CSV!$A:$A,CSV!M:M,""),
_xlpm.MacVal,_xlfn.XLOOKUP($A133,Output_Mac!$A:$A,Output_Mac!L:L,""),
_xlpm.MyAuditVal,_xlfn.XLOOKUP($A133,My_Audit!$A:$A,My_Audit!J:J,""),
_xlfn.IFS(_xlpm.MyAuditVal&lt;&gt;"",UPPER(_xlpm.MyAuditVal),_xlpm.MacVal&lt;&gt;"",_xlpm.MacVal,_xlpm.CSVVal&lt;&gt;"",_xlpm.CSVVal
)),"")</f>
        <v/>
      </c>
      <c r="L133" s="55" t="str" cm="1">
        <f t="array" ref="L133">IFERROR(_xlfn.LET(
_xlpm.CSVVal,_xlfn.XLOOKUP($A133,CSV!$A:$A,CSV!P:P,""),
_xlpm.MacVal,_xlfn.XLOOKUP($A133,Output_Mac!$A:$A,Output_Mac!M:M,""),
_xlpm.MyAuditVal,_xlfn.XLOOKUP($A133,My_Audit!$A:$A,My_Audit!K:K,""),
_xlfn.IFS(_xlpm.MyAuditVal&lt;&gt;"",UPPER(_xlpm.MyAuditVal),_xlpm.MacVal&lt;&gt;"",_xlpm.MacVal,_xlpm.CSVVal&lt;&gt;"",_xlpm.CSVVal
)),"")</f>
        <v/>
      </c>
      <c r="M133" s="54" t="str">
        <f>_xlfn.LET(
    _xlpm.CSVVal, _xlfn.XLOOKUP($A133, CSV!$A:$A, CSV!AD:AD, ""),
    _xlpm.MacVal, _xlfn.XLOOKUP($A133, Output_Mac!$A:$A, Output_Mac!S:S, ""),
    _xlpm.MyAuditVal, _xlfn.XLOOKUP($A133, My_Audit!$A:$A, My_Audit!N:N, ""),
    _xlfn.TEXTJOIN(", ", TRUE, _xlpm.MyAuditVal, _xlpm.MacVal, _xlpm.CSVVal)
)</f>
        <v/>
      </c>
      <c r="N133" s="54" t="str" cm="1">
        <f t="array" ref="N133">IFERROR(_xlfn.LET(
_xlpm.CSVVal,_xlfn.XLOOKUP($A133,CSV!$A:$A,CSV!AF:AF,""),
_xlpm.MacVal,_xlfn.XLOOKUP($A133,Output_Mac!$A:$A,Output_Mac!U:U,""),
_xlpm.MyAuditVal,_xlfn.XLOOKUP($A133,My_Audit!$A:$A,My_Audit!O:O,""),
_xlfn.IFS(_xlpm.MyAuditVal&lt;&gt;"",UPPER(_xlpm.MyAuditVal),_xlpm.MacVal&lt;&gt;"",_xlpm.MacVal,_xlpm.CSVVal&lt;&gt;"",_xlpm.CSVVal
)),"")</f>
        <v/>
      </c>
      <c r="O133" s="54"/>
      <c r="P133" s="54"/>
      <c r="Q133" s="54"/>
      <c r="R133" s="54"/>
      <c r="S133" s="54"/>
      <c r="T133" s="54"/>
      <c r="U133" s="39" t="str">
        <f>_xlfn.LET(
    _xlpm.MacVal, _xlfn.XLOOKUP($A133, Output_Mac!$A:$A, Output_Mac!AB:AB, ""),
    _xlpm.MyAuditVal, _xlfn.XLOOKUP($A133, My_Audit!$A:$A, My_Audit!L:L, ""),
    _xlfn.TEXTJOIN(", ", TRUE, _xlpm.MyAuditVal, _xlpm.MacVal)
)</f>
        <v/>
      </c>
    </row>
    <row r="134" spans="1:21">
      <c r="A134" s="54" t="str">
        <f>_xlfn.TEXTJOIN("",TRUE,Input!$B$2,ROW(My_Audit!A133))</f>
        <v>XX133</v>
      </c>
      <c r="B134" s="54" t="str">
        <f>_xlfn.TEXTJOIN("-",TRUE,"ITD",Input!$A$2,A134)</f>
        <v>ITD-SHRXXX-XX133</v>
      </c>
      <c r="C134" s="54" t="str" cm="1">
        <f t="array" ref="C134">IFERROR(_xlfn.LET(
_xlpm.CSVVal,_xlfn.XLOOKUP($A134,CSV!$A:$A,CSV!B:B,""),
_xlpm.MacVal,_xlfn.XLOOKUP($A134,Output_Mac!$A:$A,Output_Mac!B:B,""),
_xlpm.MyAuditVal,_xlfn.XLOOKUP($A134,My_Audit!$A:$A,My_Audit!B:B,""),
_xlfn.IFS(_xlpm.MyAuditVal&lt;&gt;"",UPPER(_xlpm.MyAuditVal),_xlpm.MacVal&lt;&gt;"",_xlpm.MacVal,_xlpm.CSVVal&lt;&gt;"",_xlpm.CSVVal
)),"")</f>
        <v/>
      </c>
      <c r="D134" s="55" t="str">
        <f>_xlfn.XLOOKUP(A134,My_Audit!A:A,My_Audit!D:D,"")&amp;""</f>
        <v/>
      </c>
      <c r="E134" s="55" t="str" cm="1">
        <f t="array" ref="E134">IFERROR(_xlfn.LET(
_xlpm.CSVVal,_xlfn.XLOOKUP($A134,CSV!$A:$A,CSV!D:D,""),
_xlpm.MacVal,_xlfn.XLOOKUP($A134,Output_Mac!$A:$A,Output_Mac!C:C,""),
_xlpm.MyAuditVal,_xlfn.XLOOKUP($A134,My_Audit!$A:$A,My_Audit!D:D,""),
_xlfn.IFS(_xlpm.MyAuditVal&lt;&gt;"",_xlpm.MyAuditVal,_xlpm.MacVal&lt;&gt;"",_xlpm.MacVal,_xlpm.CSVVal&lt;&gt;"",_xlpm.CSVVal
)),"")</f>
        <v/>
      </c>
      <c r="F134" s="54" t="str" cm="1">
        <f t="array" ref="F134">IFERROR(_xlfn.LET(
_xlpm.CSVVal,_xlfn.XLOOKUP($A134,CSV!$A:$A,CSV!E:E,""),
_xlpm.MacVal,_xlfn.XLOOKUP($A134,Output_Mac!$A:$A,Output_Mac!F:F,""),
_xlpm.MyAuditVal,_xlfn.XLOOKUP($A134,My_Audit!$A:$A,My_Audit!E:E,""),
_xlfn.IFS(_xlpm.MyAuditVal&lt;&gt;"",_xlpm.MyAuditVal,_xlpm.MacVal&lt;&gt;"",_xlpm.MacVal,_xlpm.CSVVal&lt;&gt;"",PROPER(_xlpm.CSVVal)
)),"")</f>
        <v/>
      </c>
      <c r="G134" s="54" t="str" cm="1">
        <f t="array" ref="G134">IFERROR(_xlfn.LET(
_xlpm.CSVVal,_xlfn.XLOOKUP($A134,CSV!$A:$A,CSV!F:F,""),
_xlpm.MacVal,_xlfn.XLOOKUP($A134,Output_Mac!$A:$A,Output_Mac!H:H,""),
_xlpm.MyAuditVal,_xlfn.XLOOKUP($A134,My_Audit!$A:$A,My_Audit!F:F,""),
_xlfn.IFS(_xlpm.MyAuditVal&lt;&gt;"",_xlpm.MyAuditVal,_xlpm.MacVal&lt;&gt;"",_xlpm.MacVal,_xlpm.CSVVal&lt;&gt;"",_xlpm.CSVVal
)),"")</f>
        <v/>
      </c>
      <c r="H134" s="54" t="str">
        <f>_xlfn.XLOOKUP(A134,Output_Mac!A:A,Output_Mac!I:I,"")</f>
        <v/>
      </c>
      <c r="I134" s="54" t="str" cm="1">
        <f t="array" ref="I134">IFERROR(_xlfn.LET(
_xlpm.CSVVal,_xlfn.XLOOKUP($A134,CSV!$A:$A,CSV!G:G,""),
_xlpm.MacVal,_xlfn.XLOOKUP($A134,Output_Mac!$A:$A,Output_Mac!J:J,""),
_xlpm.MyAuditVal,_xlfn.XLOOKUP($A134,My_Audit!$A:$A,My_Audit!H:H,""),
_xlfn.IFS(_xlpm.MyAuditVal&lt;&gt;"",UPPER(_xlpm.MyAuditVal),_xlpm.MacVal&lt;&gt;"",_xlpm.MacVal,_xlpm.CSVVal&lt;&gt;"",_xlpm.CSVVal
)),"")</f>
        <v/>
      </c>
      <c r="J134" s="54" t="str" cm="1">
        <f t="array" ref="J134">IFERROR(_xlfn.LET(
_xlpm.CSVVal,_xlfn.XLOOKUP($A134,CSV!$A:$A,CSV!I:I,""),
_xlpm.MacVal,_xlfn.XLOOKUP($A134,Output_Mac!$A:$A,Output_Mac!K:K,""),
_xlpm.MyAuditVal,_xlfn.XLOOKUP($A134,My_Audit!$A:$A,My_Audit!I:I,""),
_xlfn.IFS(_xlpm.MyAuditVal&lt;&gt;"",UPPER(_xlpm.MyAuditVal),_xlpm.MacVal&lt;&gt;"",_xlpm.MacVal,_xlpm.CSVVal&lt;&gt;"",_xlpm.CSVVal
)),"")</f>
        <v/>
      </c>
      <c r="K134" s="54" t="str" cm="1">
        <f t="array" ref="K134">IFERROR(_xlfn.LET(
_xlpm.CSVVal,_xlfn.XLOOKUP($A134,CSV!$A:$A,CSV!M:M,""),
_xlpm.MacVal,_xlfn.XLOOKUP($A134,Output_Mac!$A:$A,Output_Mac!L:L,""),
_xlpm.MyAuditVal,_xlfn.XLOOKUP($A134,My_Audit!$A:$A,My_Audit!J:J,""),
_xlfn.IFS(_xlpm.MyAuditVal&lt;&gt;"",UPPER(_xlpm.MyAuditVal),_xlpm.MacVal&lt;&gt;"",_xlpm.MacVal,_xlpm.CSVVal&lt;&gt;"",_xlpm.CSVVal
)),"")</f>
        <v/>
      </c>
      <c r="L134" s="55" t="str" cm="1">
        <f t="array" ref="L134">IFERROR(_xlfn.LET(
_xlpm.CSVVal,_xlfn.XLOOKUP($A134,CSV!$A:$A,CSV!P:P,""),
_xlpm.MacVal,_xlfn.XLOOKUP($A134,Output_Mac!$A:$A,Output_Mac!M:M,""),
_xlpm.MyAuditVal,_xlfn.XLOOKUP($A134,My_Audit!$A:$A,My_Audit!K:K,""),
_xlfn.IFS(_xlpm.MyAuditVal&lt;&gt;"",UPPER(_xlpm.MyAuditVal),_xlpm.MacVal&lt;&gt;"",_xlpm.MacVal,_xlpm.CSVVal&lt;&gt;"",_xlpm.CSVVal
)),"")</f>
        <v/>
      </c>
      <c r="M134" s="54" t="str">
        <f>_xlfn.LET(
    _xlpm.CSVVal, _xlfn.XLOOKUP($A134, CSV!$A:$A, CSV!AD:AD, ""),
    _xlpm.MacVal, _xlfn.XLOOKUP($A134, Output_Mac!$A:$A, Output_Mac!S:S, ""),
    _xlpm.MyAuditVal, _xlfn.XLOOKUP($A134, My_Audit!$A:$A, My_Audit!N:N, ""),
    _xlfn.TEXTJOIN(", ", TRUE, _xlpm.MyAuditVal, _xlpm.MacVal, _xlpm.CSVVal)
)</f>
        <v/>
      </c>
      <c r="N134" s="54" t="str" cm="1">
        <f t="array" ref="N134">IFERROR(_xlfn.LET(
_xlpm.CSVVal,_xlfn.XLOOKUP($A134,CSV!$A:$A,CSV!AF:AF,""),
_xlpm.MacVal,_xlfn.XLOOKUP($A134,Output_Mac!$A:$A,Output_Mac!U:U,""),
_xlpm.MyAuditVal,_xlfn.XLOOKUP($A134,My_Audit!$A:$A,My_Audit!O:O,""),
_xlfn.IFS(_xlpm.MyAuditVal&lt;&gt;"",UPPER(_xlpm.MyAuditVal),_xlpm.MacVal&lt;&gt;"",_xlpm.MacVal,_xlpm.CSVVal&lt;&gt;"",_xlpm.CSVVal
)),"")</f>
        <v/>
      </c>
      <c r="O134" s="54"/>
      <c r="P134" s="54"/>
      <c r="Q134" s="54"/>
      <c r="R134" s="54"/>
      <c r="S134" s="54"/>
      <c r="T134" s="54"/>
      <c r="U134" s="39" t="str">
        <f>_xlfn.LET(
    _xlpm.MacVal, _xlfn.XLOOKUP($A134, Output_Mac!$A:$A, Output_Mac!AB:AB, ""),
    _xlpm.MyAuditVal, _xlfn.XLOOKUP($A134, My_Audit!$A:$A, My_Audit!L:L, ""),
    _xlfn.TEXTJOIN(", ", TRUE, _xlpm.MyAuditVal, _xlpm.MacVal)
)</f>
        <v/>
      </c>
    </row>
    <row r="135" spans="1:21">
      <c r="A135" s="54" t="str">
        <f>_xlfn.TEXTJOIN("",TRUE,Input!$B$2,ROW(My_Audit!A134))</f>
        <v>XX134</v>
      </c>
      <c r="B135" s="54" t="str">
        <f>_xlfn.TEXTJOIN("-",TRUE,"ITD",Input!$A$2,A135)</f>
        <v>ITD-SHRXXX-XX134</v>
      </c>
      <c r="C135" s="54" t="str" cm="1">
        <f t="array" ref="C135">IFERROR(_xlfn.LET(
_xlpm.CSVVal,_xlfn.XLOOKUP($A135,CSV!$A:$A,CSV!B:B,""),
_xlpm.MacVal,_xlfn.XLOOKUP($A135,Output_Mac!$A:$A,Output_Mac!B:B,""),
_xlpm.MyAuditVal,_xlfn.XLOOKUP($A135,My_Audit!$A:$A,My_Audit!B:B,""),
_xlfn.IFS(_xlpm.MyAuditVal&lt;&gt;"",UPPER(_xlpm.MyAuditVal),_xlpm.MacVal&lt;&gt;"",_xlpm.MacVal,_xlpm.CSVVal&lt;&gt;"",_xlpm.CSVVal
)),"")</f>
        <v/>
      </c>
      <c r="D135" s="55" t="str">
        <f>_xlfn.XLOOKUP(A135,My_Audit!A:A,My_Audit!D:D,"")&amp;""</f>
        <v/>
      </c>
      <c r="E135" s="55" t="str" cm="1">
        <f t="array" ref="E135">IFERROR(_xlfn.LET(
_xlpm.CSVVal,_xlfn.XLOOKUP($A135,CSV!$A:$A,CSV!D:D,""),
_xlpm.MacVal,_xlfn.XLOOKUP($A135,Output_Mac!$A:$A,Output_Mac!C:C,""),
_xlpm.MyAuditVal,_xlfn.XLOOKUP($A135,My_Audit!$A:$A,My_Audit!D:D,""),
_xlfn.IFS(_xlpm.MyAuditVal&lt;&gt;"",_xlpm.MyAuditVal,_xlpm.MacVal&lt;&gt;"",_xlpm.MacVal,_xlpm.CSVVal&lt;&gt;"",_xlpm.CSVVal
)),"")</f>
        <v/>
      </c>
      <c r="F135" s="54" t="str" cm="1">
        <f t="array" ref="F135">IFERROR(_xlfn.LET(
_xlpm.CSVVal,_xlfn.XLOOKUP($A135,CSV!$A:$A,CSV!E:E,""),
_xlpm.MacVal,_xlfn.XLOOKUP($A135,Output_Mac!$A:$A,Output_Mac!F:F,""),
_xlpm.MyAuditVal,_xlfn.XLOOKUP($A135,My_Audit!$A:$A,My_Audit!E:E,""),
_xlfn.IFS(_xlpm.MyAuditVal&lt;&gt;"",_xlpm.MyAuditVal,_xlpm.MacVal&lt;&gt;"",_xlpm.MacVal,_xlpm.CSVVal&lt;&gt;"",PROPER(_xlpm.CSVVal)
)),"")</f>
        <v/>
      </c>
      <c r="G135" s="54" t="str" cm="1">
        <f t="array" ref="G135">IFERROR(_xlfn.LET(
_xlpm.CSVVal,_xlfn.XLOOKUP($A135,CSV!$A:$A,CSV!F:F,""),
_xlpm.MacVal,_xlfn.XLOOKUP($A135,Output_Mac!$A:$A,Output_Mac!H:H,""),
_xlpm.MyAuditVal,_xlfn.XLOOKUP($A135,My_Audit!$A:$A,My_Audit!F:F,""),
_xlfn.IFS(_xlpm.MyAuditVal&lt;&gt;"",_xlpm.MyAuditVal,_xlpm.MacVal&lt;&gt;"",_xlpm.MacVal,_xlpm.CSVVal&lt;&gt;"",_xlpm.CSVVal
)),"")</f>
        <v/>
      </c>
      <c r="H135" s="54" t="str">
        <f>_xlfn.XLOOKUP(A135,Output_Mac!A:A,Output_Mac!I:I,"")</f>
        <v/>
      </c>
      <c r="I135" s="54" t="str" cm="1">
        <f t="array" ref="I135">IFERROR(_xlfn.LET(
_xlpm.CSVVal,_xlfn.XLOOKUP($A135,CSV!$A:$A,CSV!G:G,""),
_xlpm.MacVal,_xlfn.XLOOKUP($A135,Output_Mac!$A:$A,Output_Mac!J:J,""),
_xlpm.MyAuditVal,_xlfn.XLOOKUP($A135,My_Audit!$A:$A,My_Audit!H:H,""),
_xlfn.IFS(_xlpm.MyAuditVal&lt;&gt;"",UPPER(_xlpm.MyAuditVal),_xlpm.MacVal&lt;&gt;"",_xlpm.MacVal,_xlpm.CSVVal&lt;&gt;"",_xlpm.CSVVal
)),"")</f>
        <v/>
      </c>
      <c r="J135" s="54" t="str" cm="1">
        <f t="array" ref="J135">IFERROR(_xlfn.LET(
_xlpm.CSVVal,_xlfn.XLOOKUP($A135,CSV!$A:$A,CSV!I:I,""),
_xlpm.MacVal,_xlfn.XLOOKUP($A135,Output_Mac!$A:$A,Output_Mac!K:K,""),
_xlpm.MyAuditVal,_xlfn.XLOOKUP($A135,My_Audit!$A:$A,My_Audit!I:I,""),
_xlfn.IFS(_xlpm.MyAuditVal&lt;&gt;"",UPPER(_xlpm.MyAuditVal),_xlpm.MacVal&lt;&gt;"",_xlpm.MacVal,_xlpm.CSVVal&lt;&gt;"",_xlpm.CSVVal
)),"")</f>
        <v/>
      </c>
      <c r="K135" s="54" t="str" cm="1">
        <f t="array" ref="K135">IFERROR(_xlfn.LET(
_xlpm.CSVVal,_xlfn.XLOOKUP($A135,CSV!$A:$A,CSV!M:M,""),
_xlpm.MacVal,_xlfn.XLOOKUP($A135,Output_Mac!$A:$A,Output_Mac!L:L,""),
_xlpm.MyAuditVal,_xlfn.XLOOKUP($A135,My_Audit!$A:$A,My_Audit!J:J,""),
_xlfn.IFS(_xlpm.MyAuditVal&lt;&gt;"",UPPER(_xlpm.MyAuditVal),_xlpm.MacVal&lt;&gt;"",_xlpm.MacVal,_xlpm.CSVVal&lt;&gt;"",_xlpm.CSVVal
)),"")</f>
        <v/>
      </c>
      <c r="L135" s="55" t="str" cm="1">
        <f t="array" ref="L135">IFERROR(_xlfn.LET(
_xlpm.CSVVal,_xlfn.XLOOKUP($A135,CSV!$A:$A,CSV!P:P,""),
_xlpm.MacVal,_xlfn.XLOOKUP($A135,Output_Mac!$A:$A,Output_Mac!M:M,""),
_xlpm.MyAuditVal,_xlfn.XLOOKUP($A135,My_Audit!$A:$A,My_Audit!K:K,""),
_xlfn.IFS(_xlpm.MyAuditVal&lt;&gt;"",UPPER(_xlpm.MyAuditVal),_xlpm.MacVal&lt;&gt;"",_xlpm.MacVal,_xlpm.CSVVal&lt;&gt;"",_xlpm.CSVVal
)),"")</f>
        <v/>
      </c>
      <c r="M135" s="54" t="str">
        <f>_xlfn.LET(
    _xlpm.CSVVal, _xlfn.XLOOKUP($A135, CSV!$A:$A, CSV!AD:AD, ""),
    _xlpm.MacVal, _xlfn.XLOOKUP($A135, Output_Mac!$A:$A, Output_Mac!S:S, ""),
    _xlpm.MyAuditVal, _xlfn.XLOOKUP($A135, My_Audit!$A:$A, My_Audit!N:N, ""),
    _xlfn.TEXTJOIN(", ", TRUE, _xlpm.MyAuditVal, _xlpm.MacVal, _xlpm.CSVVal)
)</f>
        <v/>
      </c>
      <c r="N135" s="54" t="str" cm="1">
        <f t="array" ref="N135">IFERROR(_xlfn.LET(
_xlpm.CSVVal,_xlfn.XLOOKUP($A135,CSV!$A:$A,CSV!AF:AF,""),
_xlpm.MacVal,_xlfn.XLOOKUP($A135,Output_Mac!$A:$A,Output_Mac!U:U,""),
_xlpm.MyAuditVal,_xlfn.XLOOKUP($A135,My_Audit!$A:$A,My_Audit!O:O,""),
_xlfn.IFS(_xlpm.MyAuditVal&lt;&gt;"",UPPER(_xlpm.MyAuditVal),_xlpm.MacVal&lt;&gt;"",_xlpm.MacVal,_xlpm.CSVVal&lt;&gt;"",_xlpm.CSVVal
)),"")</f>
        <v/>
      </c>
      <c r="O135" s="54"/>
      <c r="P135" s="54"/>
      <c r="Q135" s="54"/>
      <c r="R135" s="54"/>
      <c r="S135" s="54"/>
      <c r="T135" s="54"/>
      <c r="U135" s="39" t="str">
        <f>_xlfn.LET(
    _xlpm.MacVal, _xlfn.XLOOKUP($A135, Output_Mac!$A:$A, Output_Mac!AB:AB, ""),
    _xlpm.MyAuditVal, _xlfn.XLOOKUP($A135, My_Audit!$A:$A, My_Audit!L:L, ""),
    _xlfn.TEXTJOIN(", ", TRUE, _xlpm.MyAuditVal, _xlpm.MacVal)
)</f>
        <v/>
      </c>
    </row>
    <row r="136" spans="1:21">
      <c r="A136" s="54" t="str">
        <f>_xlfn.TEXTJOIN("",TRUE,Input!$B$2,ROW(My_Audit!A135))</f>
        <v>XX135</v>
      </c>
      <c r="B136" s="54" t="str">
        <f>_xlfn.TEXTJOIN("-",TRUE,"ITD",Input!$A$2,A136)</f>
        <v>ITD-SHRXXX-XX135</v>
      </c>
      <c r="C136" s="54" t="str" cm="1">
        <f t="array" ref="C136">IFERROR(_xlfn.LET(
_xlpm.CSVVal,_xlfn.XLOOKUP($A136,CSV!$A:$A,CSV!B:B,""),
_xlpm.MacVal,_xlfn.XLOOKUP($A136,Output_Mac!$A:$A,Output_Mac!B:B,""),
_xlpm.MyAuditVal,_xlfn.XLOOKUP($A136,My_Audit!$A:$A,My_Audit!B:B,""),
_xlfn.IFS(_xlpm.MyAuditVal&lt;&gt;"",UPPER(_xlpm.MyAuditVal),_xlpm.MacVal&lt;&gt;"",_xlpm.MacVal,_xlpm.CSVVal&lt;&gt;"",_xlpm.CSVVal
)),"")</f>
        <v/>
      </c>
      <c r="D136" s="55" t="str">
        <f>_xlfn.XLOOKUP(A136,My_Audit!A:A,My_Audit!D:D,"")&amp;""</f>
        <v/>
      </c>
      <c r="E136" s="55" t="str" cm="1">
        <f t="array" ref="E136">IFERROR(_xlfn.LET(
_xlpm.CSVVal,_xlfn.XLOOKUP($A136,CSV!$A:$A,CSV!D:D,""),
_xlpm.MacVal,_xlfn.XLOOKUP($A136,Output_Mac!$A:$A,Output_Mac!C:C,""),
_xlpm.MyAuditVal,_xlfn.XLOOKUP($A136,My_Audit!$A:$A,My_Audit!D:D,""),
_xlfn.IFS(_xlpm.MyAuditVal&lt;&gt;"",_xlpm.MyAuditVal,_xlpm.MacVal&lt;&gt;"",_xlpm.MacVal,_xlpm.CSVVal&lt;&gt;"",_xlpm.CSVVal
)),"")</f>
        <v/>
      </c>
      <c r="F136" s="54" t="str" cm="1">
        <f t="array" ref="F136">IFERROR(_xlfn.LET(
_xlpm.CSVVal,_xlfn.XLOOKUP($A136,CSV!$A:$A,CSV!E:E,""),
_xlpm.MacVal,_xlfn.XLOOKUP($A136,Output_Mac!$A:$A,Output_Mac!F:F,""),
_xlpm.MyAuditVal,_xlfn.XLOOKUP($A136,My_Audit!$A:$A,My_Audit!E:E,""),
_xlfn.IFS(_xlpm.MyAuditVal&lt;&gt;"",_xlpm.MyAuditVal,_xlpm.MacVal&lt;&gt;"",_xlpm.MacVal,_xlpm.CSVVal&lt;&gt;"",PROPER(_xlpm.CSVVal)
)),"")</f>
        <v/>
      </c>
      <c r="G136" s="54" t="str" cm="1">
        <f t="array" ref="G136">IFERROR(_xlfn.LET(
_xlpm.CSVVal,_xlfn.XLOOKUP($A136,CSV!$A:$A,CSV!F:F,""),
_xlpm.MacVal,_xlfn.XLOOKUP($A136,Output_Mac!$A:$A,Output_Mac!H:H,""),
_xlpm.MyAuditVal,_xlfn.XLOOKUP($A136,My_Audit!$A:$A,My_Audit!F:F,""),
_xlfn.IFS(_xlpm.MyAuditVal&lt;&gt;"",_xlpm.MyAuditVal,_xlpm.MacVal&lt;&gt;"",_xlpm.MacVal,_xlpm.CSVVal&lt;&gt;"",_xlpm.CSVVal
)),"")</f>
        <v/>
      </c>
      <c r="H136" s="54" t="str">
        <f>_xlfn.XLOOKUP(A136,Output_Mac!A:A,Output_Mac!I:I,"")</f>
        <v/>
      </c>
      <c r="I136" s="54" t="str" cm="1">
        <f t="array" ref="I136">IFERROR(_xlfn.LET(
_xlpm.CSVVal,_xlfn.XLOOKUP($A136,CSV!$A:$A,CSV!G:G,""),
_xlpm.MacVal,_xlfn.XLOOKUP($A136,Output_Mac!$A:$A,Output_Mac!J:J,""),
_xlpm.MyAuditVal,_xlfn.XLOOKUP($A136,My_Audit!$A:$A,My_Audit!H:H,""),
_xlfn.IFS(_xlpm.MyAuditVal&lt;&gt;"",UPPER(_xlpm.MyAuditVal),_xlpm.MacVal&lt;&gt;"",_xlpm.MacVal,_xlpm.CSVVal&lt;&gt;"",_xlpm.CSVVal
)),"")</f>
        <v/>
      </c>
      <c r="J136" s="54" t="str" cm="1">
        <f t="array" ref="J136">IFERROR(_xlfn.LET(
_xlpm.CSVVal,_xlfn.XLOOKUP($A136,CSV!$A:$A,CSV!I:I,""),
_xlpm.MacVal,_xlfn.XLOOKUP($A136,Output_Mac!$A:$A,Output_Mac!K:K,""),
_xlpm.MyAuditVal,_xlfn.XLOOKUP($A136,My_Audit!$A:$A,My_Audit!I:I,""),
_xlfn.IFS(_xlpm.MyAuditVal&lt;&gt;"",UPPER(_xlpm.MyAuditVal),_xlpm.MacVal&lt;&gt;"",_xlpm.MacVal,_xlpm.CSVVal&lt;&gt;"",_xlpm.CSVVal
)),"")</f>
        <v/>
      </c>
      <c r="K136" s="54" t="str" cm="1">
        <f t="array" ref="K136">IFERROR(_xlfn.LET(
_xlpm.CSVVal,_xlfn.XLOOKUP($A136,CSV!$A:$A,CSV!M:M,""),
_xlpm.MacVal,_xlfn.XLOOKUP($A136,Output_Mac!$A:$A,Output_Mac!L:L,""),
_xlpm.MyAuditVal,_xlfn.XLOOKUP($A136,My_Audit!$A:$A,My_Audit!J:J,""),
_xlfn.IFS(_xlpm.MyAuditVal&lt;&gt;"",UPPER(_xlpm.MyAuditVal),_xlpm.MacVal&lt;&gt;"",_xlpm.MacVal,_xlpm.CSVVal&lt;&gt;"",_xlpm.CSVVal
)),"")</f>
        <v/>
      </c>
      <c r="L136" s="55" t="str" cm="1">
        <f t="array" ref="L136">IFERROR(_xlfn.LET(
_xlpm.CSVVal,_xlfn.XLOOKUP($A136,CSV!$A:$A,CSV!P:P,""),
_xlpm.MacVal,_xlfn.XLOOKUP($A136,Output_Mac!$A:$A,Output_Mac!M:M,""),
_xlpm.MyAuditVal,_xlfn.XLOOKUP($A136,My_Audit!$A:$A,My_Audit!K:K,""),
_xlfn.IFS(_xlpm.MyAuditVal&lt;&gt;"",UPPER(_xlpm.MyAuditVal),_xlpm.MacVal&lt;&gt;"",_xlpm.MacVal,_xlpm.CSVVal&lt;&gt;"",_xlpm.CSVVal
)),"")</f>
        <v/>
      </c>
      <c r="M136" s="54" t="str">
        <f>_xlfn.LET(
    _xlpm.CSVVal, _xlfn.XLOOKUP($A136, CSV!$A:$A, CSV!AD:AD, ""),
    _xlpm.MacVal, _xlfn.XLOOKUP($A136, Output_Mac!$A:$A, Output_Mac!S:S, ""),
    _xlpm.MyAuditVal, _xlfn.XLOOKUP($A136, My_Audit!$A:$A, My_Audit!N:N, ""),
    _xlfn.TEXTJOIN(", ", TRUE, _xlpm.MyAuditVal, _xlpm.MacVal, _xlpm.CSVVal)
)</f>
        <v/>
      </c>
      <c r="N136" s="54" t="str" cm="1">
        <f t="array" ref="N136">IFERROR(_xlfn.LET(
_xlpm.CSVVal,_xlfn.XLOOKUP($A136,CSV!$A:$A,CSV!AF:AF,""),
_xlpm.MacVal,_xlfn.XLOOKUP($A136,Output_Mac!$A:$A,Output_Mac!U:U,""),
_xlpm.MyAuditVal,_xlfn.XLOOKUP($A136,My_Audit!$A:$A,My_Audit!O:O,""),
_xlfn.IFS(_xlpm.MyAuditVal&lt;&gt;"",UPPER(_xlpm.MyAuditVal),_xlpm.MacVal&lt;&gt;"",_xlpm.MacVal,_xlpm.CSVVal&lt;&gt;"",_xlpm.CSVVal
)),"")</f>
        <v/>
      </c>
      <c r="O136" s="54"/>
      <c r="P136" s="54"/>
      <c r="Q136" s="54"/>
      <c r="R136" s="54"/>
      <c r="S136" s="54"/>
      <c r="T136" s="54"/>
      <c r="U136" s="39" t="str">
        <f>_xlfn.LET(
    _xlpm.MacVal, _xlfn.XLOOKUP($A136, Output_Mac!$A:$A, Output_Mac!AB:AB, ""),
    _xlpm.MyAuditVal, _xlfn.XLOOKUP($A136, My_Audit!$A:$A, My_Audit!L:L, ""),
    _xlfn.TEXTJOIN(", ", TRUE, _xlpm.MyAuditVal, _xlpm.MacVal)
)</f>
        <v/>
      </c>
    </row>
    <row r="137" spans="1:21">
      <c r="A137" s="54" t="str">
        <f>_xlfn.TEXTJOIN("",TRUE,Input!$B$2,ROW(My_Audit!A136))</f>
        <v>XX136</v>
      </c>
      <c r="B137" s="54" t="str">
        <f>_xlfn.TEXTJOIN("-",TRUE,"ITD",Input!$A$2,A137)</f>
        <v>ITD-SHRXXX-XX136</v>
      </c>
      <c r="C137" s="54" t="str" cm="1">
        <f t="array" ref="C137">IFERROR(_xlfn.LET(
_xlpm.CSVVal,_xlfn.XLOOKUP($A137,CSV!$A:$A,CSV!B:B,""),
_xlpm.MacVal,_xlfn.XLOOKUP($A137,Output_Mac!$A:$A,Output_Mac!B:B,""),
_xlpm.MyAuditVal,_xlfn.XLOOKUP($A137,My_Audit!$A:$A,My_Audit!B:B,""),
_xlfn.IFS(_xlpm.MyAuditVal&lt;&gt;"",UPPER(_xlpm.MyAuditVal),_xlpm.MacVal&lt;&gt;"",_xlpm.MacVal,_xlpm.CSVVal&lt;&gt;"",_xlpm.CSVVal
)),"")</f>
        <v/>
      </c>
      <c r="D137" s="55" t="str">
        <f>_xlfn.XLOOKUP(A137,My_Audit!A:A,My_Audit!D:D,"")&amp;""</f>
        <v/>
      </c>
      <c r="E137" s="55" t="str" cm="1">
        <f t="array" ref="E137">IFERROR(_xlfn.LET(
_xlpm.CSVVal,_xlfn.XLOOKUP($A137,CSV!$A:$A,CSV!D:D,""),
_xlpm.MacVal,_xlfn.XLOOKUP($A137,Output_Mac!$A:$A,Output_Mac!C:C,""),
_xlpm.MyAuditVal,_xlfn.XLOOKUP($A137,My_Audit!$A:$A,My_Audit!D:D,""),
_xlfn.IFS(_xlpm.MyAuditVal&lt;&gt;"",_xlpm.MyAuditVal,_xlpm.MacVal&lt;&gt;"",_xlpm.MacVal,_xlpm.CSVVal&lt;&gt;"",_xlpm.CSVVal
)),"")</f>
        <v/>
      </c>
      <c r="F137" s="54" t="str" cm="1">
        <f t="array" ref="F137">IFERROR(_xlfn.LET(
_xlpm.CSVVal,_xlfn.XLOOKUP($A137,CSV!$A:$A,CSV!E:E,""),
_xlpm.MacVal,_xlfn.XLOOKUP($A137,Output_Mac!$A:$A,Output_Mac!F:F,""),
_xlpm.MyAuditVal,_xlfn.XLOOKUP($A137,My_Audit!$A:$A,My_Audit!E:E,""),
_xlfn.IFS(_xlpm.MyAuditVal&lt;&gt;"",_xlpm.MyAuditVal,_xlpm.MacVal&lt;&gt;"",_xlpm.MacVal,_xlpm.CSVVal&lt;&gt;"",PROPER(_xlpm.CSVVal)
)),"")</f>
        <v/>
      </c>
      <c r="G137" s="54" t="str" cm="1">
        <f t="array" ref="G137">IFERROR(_xlfn.LET(
_xlpm.CSVVal,_xlfn.XLOOKUP($A137,CSV!$A:$A,CSV!F:F,""),
_xlpm.MacVal,_xlfn.XLOOKUP($A137,Output_Mac!$A:$A,Output_Mac!H:H,""),
_xlpm.MyAuditVal,_xlfn.XLOOKUP($A137,My_Audit!$A:$A,My_Audit!F:F,""),
_xlfn.IFS(_xlpm.MyAuditVal&lt;&gt;"",_xlpm.MyAuditVal,_xlpm.MacVal&lt;&gt;"",_xlpm.MacVal,_xlpm.CSVVal&lt;&gt;"",_xlpm.CSVVal
)),"")</f>
        <v/>
      </c>
      <c r="H137" s="54" t="str">
        <f>_xlfn.XLOOKUP(A137,Output_Mac!A:A,Output_Mac!I:I,"")</f>
        <v/>
      </c>
      <c r="I137" s="54" t="str" cm="1">
        <f t="array" ref="I137">IFERROR(_xlfn.LET(
_xlpm.CSVVal,_xlfn.XLOOKUP($A137,CSV!$A:$A,CSV!G:G,""),
_xlpm.MacVal,_xlfn.XLOOKUP($A137,Output_Mac!$A:$A,Output_Mac!J:J,""),
_xlpm.MyAuditVal,_xlfn.XLOOKUP($A137,My_Audit!$A:$A,My_Audit!H:H,""),
_xlfn.IFS(_xlpm.MyAuditVal&lt;&gt;"",UPPER(_xlpm.MyAuditVal),_xlpm.MacVal&lt;&gt;"",_xlpm.MacVal,_xlpm.CSVVal&lt;&gt;"",_xlpm.CSVVal
)),"")</f>
        <v/>
      </c>
      <c r="J137" s="54" t="str" cm="1">
        <f t="array" ref="J137">IFERROR(_xlfn.LET(
_xlpm.CSVVal,_xlfn.XLOOKUP($A137,CSV!$A:$A,CSV!I:I,""),
_xlpm.MacVal,_xlfn.XLOOKUP($A137,Output_Mac!$A:$A,Output_Mac!K:K,""),
_xlpm.MyAuditVal,_xlfn.XLOOKUP($A137,My_Audit!$A:$A,My_Audit!I:I,""),
_xlfn.IFS(_xlpm.MyAuditVal&lt;&gt;"",UPPER(_xlpm.MyAuditVal),_xlpm.MacVal&lt;&gt;"",_xlpm.MacVal,_xlpm.CSVVal&lt;&gt;"",_xlpm.CSVVal
)),"")</f>
        <v/>
      </c>
      <c r="K137" s="54" t="str" cm="1">
        <f t="array" ref="K137">IFERROR(_xlfn.LET(
_xlpm.CSVVal,_xlfn.XLOOKUP($A137,CSV!$A:$A,CSV!M:M,""),
_xlpm.MacVal,_xlfn.XLOOKUP($A137,Output_Mac!$A:$A,Output_Mac!L:L,""),
_xlpm.MyAuditVal,_xlfn.XLOOKUP($A137,My_Audit!$A:$A,My_Audit!J:J,""),
_xlfn.IFS(_xlpm.MyAuditVal&lt;&gt;"",UPPER(_xlpm.MyAuditVal),_xlpm.MacVal&lt;&gt;"",_xlpm.MacVal,_xlpm.CSVVal&lt;&gt;"",_xlpm.CSVVal
)),"")</f>
        <v/>
      </c>
      <c r="L137" s="55" t="str" cm="1">
        <f t="array" ref="L137">IFERROR(_xlfn.LET(
_xlpm.CSVVal,_xlfn.XLOOKUP($A137,CSV!$A:$A,CSV!P:P,""),
_xlpm.MacVal,_xlfn.XLOOKUP($A137,Output_Mac!$A:$A,Output_Mac!M:M,""),
_xlpm.MyAuditVal,_xlfn.XLOOKUP($A137,My_Audit!$A:$A,My_Audit!K:K,""),
_xlfn.IFS(_xlpm.MyAuditVal&lt;&gt;"",UPPER(_xlpm.MyAuditVal),_xlpm.MacVal&lt;&gt;"",_xlpm.MacVal,_xlpm.CSVVal&lt;&gt;"",_xlpm.CSVVal
)),"")</f>
        <v/>
      </c>
      <c r="M137" s="54" t="str">
        <f>_xlfn.LET(
    _xlpm.CSVVal, _xlfn.XLOOKUP($A137, CSV!$A:$A, CSV!AD:AD, ""),
    _xlpm.MacVal, _xlfn.XLOOKUP($A137, Output_Mac!$A:$A, Output_Mac!S:S, ""),
    _xlpm.MyAuditVal, _xlfn.XLOOKUP($A137, My_Audit!$A:$A, My_Audit!N:N, ""),
    _xlfn.TEXTJOIN(", ", TRUE, _xlpm.MyAuditVal, _xlpm.MacVal, _xlpm.CSVVal)
)</f>
        <v/>
      </c>
      <c r="N137" s="54" t="str" cm="1">
        <f t="array" ref="N137">IFERROR(_xlfn.LET(
_xlpm.CSVVal,_xlfn.XLOOKUP($A137,CSV!$A:$A,CSV!AF:AF,""),
_xlpm.MacVal,_xlfn.XLOOKUP($A137,Output_Mac!$A:$A,Output_Mac!U:U,""),
_xlpm.MyAuditVal,_xlfn.XLOOKUP($A137,My_Audit!$A:$A,My_Audit!O:O,""),
_xlfn.IFS(_xlpm.MyAuditVal&lt;&gt;"",UPPER(_xlpm.MyAuditVal),_xlpm.MacVal&lt;&gt;"",_xlpm.MacVal,_xlpm.CSVVal&lt;&gt;"",_xlpm.CSVVal
)),"")</f>
        <v/>
      </c>
      <c r="O137" s="54"/>
      <c r="P137" s="54"/>
      <c r="Q137" s="54"/>
      <c r="R137" s="54"/>
      <c r="S137" s="54"/>
      <c r="T137" s="54"/>
      <c r="U137" s="39" t="str">
        <f>_xlfn.LET(
    _xlpm.MacVal, _xlfn.XLOOKUP($A137, Output_Mac!$A:$A, Output_Mac!AB:AB, ""),
    _xlpm.MyAuditVal, _xlfn.XLOOKUP($A137, My_Audit!$A:$A, My_Audit!L:L, ""),
    _xlfn.TEXTJOIN(", ", TRUE, _xlpm.MyAuditVal, _xlpm.MacVal)
)</f>
        <v/>
      </c>
    </row>
    <row r="138" spans="1:21">
      <c r="A138" s="54" t="str">
        <f>_xlfn.TEXTJOIN("",TRUE,Input!$B$2,ROW(My_Audit!A137))</f>
        <v>XX137</v>
      </c>
      <c r="B138" s="54" t="str">
        <f>_xlfn.TEXTJOIN("-",TRUE,"ITD",Input!$A$2,A138)</f>
        <v>ITD-SHRXXX-XX137</v>
      </c>
      <c r="C138" s="54" t="str" cm="1">
        <f t="array" ref="C138">IFERROR(_xlfn.LET(
_xlpm.CSVVal,_xlfn.XLOOKUP($A138,CSV!$A:$A,CSV!B:B,""),
_xlpm.MacVal,_xlfn.XLOOKUP($A138,Output_Mac!$A:$A,Output_Mac!B:B,""),
_xlpm.MyAuditVal,_xlfn.XLOOKUP($A138,My_Audit!$A:$A,My_Audit!B:B,""),
_xlfn.IFS(_xlpm.MyAuditVal&lt;&gt;"",UPPER(_xlpm.MyAuditVal),_xlpm.MacVal&lt;&gt;"",_xlpm.MacVal,_xlpm.CSVVal&lt;&gt;"",_xlpm.CSVVal
)),"")</f>
        <v/>
      </c>
      <c r="D138" s="55" t="str">
        <f>_xlfn.XLOOKUP(A138,My_Audit!A:A,My_Audit!D:D,"")&amp;""</f>
        <v/>
      </c>
      <c r="E138" s="55" t="str" cm="1">
        <f t="array" ref="E138">IFERROR(_xlfn.LET(
_xlpm.CSVVal,_xlfn.XLOOKUP($A138,CSV!$A:$A,CSV!D:D,""),
_xlpm.MacVal,_xlfn.XLOOKUP($A138,Output_Mac!$A:$A,Output_Mac!C:C,""),
_xlpm.MyAuditVal,_xlfn.XLOOKUP($A138,My_Audit!$A:$A,My_Audit!D:D,""),
_xlfn.IFS(_xlpm.MyAuditVal&lt;&gt;"",_xlpm.MyAuditVal,_xlpm.MacVal&lt;&gt;"",_xlpm.MacVal,_xlpm.CSVVal&lt;&gt;"",_xlpm.CSVVal
)),"")</f>
        <v/>
      </c>
      <c r="F138" s="54" t="str" cm="1">
        <f t="array" ref="F138">IFERROR(_xlfn.LET(
_xlpm.CSVVal,_xlfn.XLOOKUP($A138,CSV!$A:$A,CSV!E:E,""),
_xlpm.MacVal,_xlfn.XLOOKUP($A138,Output_Mac!$A:$A,Output_Mac!F:F,""),
_xlpm.MyAuditVal,_xlfn.XLOOKUP($A138,My_Audit!$A:$A,My_Audit!E:E,""),
_xlfn.IFS(_xlpm.MyAuditVal&lt;&gt;"",_xlpm.MyAuditVal,_xlpm.MacVal&lt;&gt;"",_xlpm.MacVal,_xlpm.CSVVal&lt;&gt;"",PROPER(_xlpm.CSVVal)
)),"")</f>
        <v/>
      </c>
      <c r="G138" s="54" t="str" cm="1">
        <f t="array" ref="G138">IFERROR(_xlfn.LET(
_xlpm.CSVVal,_xlfn.XLOOKUP($A138,CSV!$A:$A,CSV!F:F,""),
_xlpm.MacVal,_xlfn.XLOOKUP($A138,Output_Mac!$A:$A,Output_Mac!H:H,""),
_xlpm.MyAuditVal,_xlfn.XLOOKUP($A138,My_Audit!$A:$A,My_Audit!F:F,""),
_xlfn.IFS(_xlpm.MyAuditVal&lt;&gt;"",_xlpm.MyAuditVal,_xlpm.MacVal&lt;&gt;"",_xlpm.MacVal,_xlpm.CSVVal&lt;&gt;"",_xlpm.CSVVal
)),"")</f>
        <v/>
      </c>
      <c r="H138" s="54" t="str">
        <f>_xlfn.XLOOKUP(A138,Output_Mac!A:A,Output_Mac!I:I,"")</f>
        <v/>
      </c>
      <c r="I138" s="54" t="str" cm="1">
        <f t="array" ref="I138">IFERROR(_xlfn.LET(
_xlpm.CSVVal,_xlfn.XLOOKUP($A138,CSV!$A:$A,CSV!G:G,""),
_xlpm.MacVal,_xlfn.XLOOKUP($A138,Output_Mac!$A:$A,Output_Mac!J:J,""),
_xlpm.MyAuditVal,_xlfn.XLOOKUP($A138,My_Audit!$A:$A,My_Audit!H:H,""),
_xlfn.IFS(_xlpm.MyAuditVal&lt;&gt;"",UPPER(_xlpm.MyAuditVal),_xlpm.MacVal&lt;&gt;"",_xlpm.MacVal,_xlpm.CSVVal&lt;&gt;"",_xlpm.CSVVal
)),"")</f>
        <v/>
      </c>
      <c r="J138" s="54" t="str" cm="1">
        <f t="array" ref="J138">IFERROR(_xlfn.LET(
_xlpm.CSVVal,_xlfn.XLOOKUP($A138,CSV!$A:$A,CSV!I:I,""),
_xlpm.MacVal,_xlfn.XLOOKUP($A138,Output_Mac!$A:$A,Output_Mac!K:K,""),
_xlpm.MyAuditVal,_xlfn.XLOOKUP($A138,My_Audit!$A:$A,My_Audit!I:I,""),
_xlfn.IFS(_xlpm.MyAuditVal&lt;&gt;"",UPPER(_xlpm.MyAuditVal),_xlpm.MacVal&lt;&gt;"",_xlpm.MacVal,_xlpm.CSVVal&lt;&gt;"",_xlpm.CSVVal
)),"")</f>
        <v/>
      </c>
      <c r="K138" s="54" t="str" cm="1">
        <f t="array" ref="K138">IFERROR(_xlfn.LET(
_xlpm.CSVVal,_xlfn.XLOOKUP($A138,CSV!$A:$A,CSV!M:M,""),
_xlpm.MacVal,_xlfn.XLOOKUP($A138,Output_Mac!$A:$A,Output_Mac!L:L,""),
_xlpm.MyAuditVal,_xlfn.XLOOKUP($A138,My_Audit!$A:$A,My_Audit!J:J,""),
_xlfn.IFS(_xlpm.MyAuditVal&lt;&gt;"",UPPER(_xlpm.MyAuditVal),_xlpm.MacVal&lt;&gt;"",_xlpm.MacVal,_xlpm.CSVVal&lt;&gt;"",_xlpm.CSVVal
)),"")</f>
        <v/>
      </c>
      <c r="L138" s="55" t="str" cm="1">
        <f t="array" ref="L138">IFERROR(_xlfn.LET(
_xlpm.CSVVal,_xlfn.XLOOKUP($A138,CSV!$A:$A,CSV!P:P,""),
_xlpm.MacVal,_xlfn.XLOOKUP($A138,Output_Mac!$A:$A,Output_Mac!M:M,""),
_xlpm.MyAuditVal,_xlfn.XLOOKUP($A138,My_Audit!$A:$A,My_Audit!K:K,""),
_xlfn.IFS(_xlpm.MyAuditVal&lt;&gt;"",UPPER(_xlpm.MyAuditVal),_xlpm.MacVal&lt;&gt;"",_xlpm.MacVal,_xlpm.CSVVal&lt;&gt;"",_xlpm.CSVVal
)),"")</f>
        <v/>
      </c>
      <c r="M138" s="54" t="str">
        <f>_xlfn.LET(
    _xlpm.CSVVal, _xlfn.XLOOKUP($A138, CSV!$A:$A, CSV!AD:AD, ""),
    _xlpm.MacVal, _xlfn.XLOOKUP($A138, Output_Mac!$A:$A, Output_Mac!S:S, ""),
    _xlpm.MyAuditVal, _xlfn.XLOOKUP($A138, My_Audit!$A:$A, My_Audit!N:N, ""),
    _xlfn.TEXTJOIN(", ", TRUE, _xlpm.MyAuditVal, _xlpm.MacVal, _xlpm.CSVVal)
)</f>
        <v/>
      </c>
      <c r="N138" s="54" t="str" cm="1">
        <f t="array" ref="N138">IFERROR(_xlfn.LET(
_xlpm.CSVVal,_xlfn.XLOOKUP($A138,CSV!$A:$A,CSV!AF:AF,""),
_xlpm.MacVal,_xlfn.XLOOKUP($A138,Output_Mac!$A:$A,Output_Mac!U:U,""),
_xlpm.MyAuditVal,_xlfn.XLOOKUP($A138,My_Audit!$A:$A,My_Audit!O:O,""),
_xlfn.IFS(_xlpm.MyAuditVal&lt;&gt;"",UPPER(_xlpm.MyAuditVal),_xlpm.MacVal&lt;&gt;"",_xlpm.MacVal,_xlpm.CSVVal&lt;&gt;"",_xlpm.CSVVal
)),"")</f>
        <v/>
      </c>
      <c r="O138" s="54"/>
      <c r="P138" s="54"/>
      <c r="Q138" s="54"/>
      <c r="R138" s="54"/>
      <c r="S138" s="54"/>
      <c r="T138" s="54"/>
      <c r="U138" s="39" t="str">
        <f>_xlfn.LET(
    _xlpm.MacVal, _xlfn.XLOOKUP($A138, Output_Mac!$A:$A, Output_Mac!AB:AB, ""),
    _xlpm.MyAuditVal, _xlfn.XLOOKUP($A138, My_Audit!$A:$A, My_Audit!L:L, ""),
    _xlfn.TEXTJOIN(", ", TRUE, _xlpm.MyAuditVal, _xlpm.MacVal)
)</f>
        <v/>
      </c>
    </row>
    <row r="139" spans="1:21">
      <c r="A139" s="54" t="str">
        <f>_xlfn.TEXTJOIN("",TRUE,Input!$B$2,ROW(My_Audit!A138))</f>
        <v>XX138</v>
      </c>
      <c r="B139" s="54" t="str">
        <f>_xlfn.TEXTJOIN("-",TRUE,"ITD",Input!$A$2,A139)</f>
        <v>ITD-SHRXXX-XX138</v>
      </c>
      <c r="C139" s="54" t="str" cm="1">
        <f t="array" ref="C139">IFERROR(_xlfn.LET(
_xlpm.CSVVal,_xlfn.XLOOKUP($A139,CSV!$A:$A,CSV!B:B,""),
_xlpm.MacVal,_xlfn.XLOOKUP($A139,Output_Mac!$A:$A,Output_Mac!B:B,""),
_xlpm.MyAuditVal,_xlfn.XLOOKUP($A139,My_Audit!$A:$A,My_Audit!B:B,""),
_xlfn.IFS(_xlpm.MyAuditVal&lt;&gt;"",UPPER(_xlpm.MyAuditVal),_xlpm.MacVal&lt;&gt;"",_xlpm.MacVal,_xlpm.CSVVal&lt;&gt;"",_xlpm.CSVVal
)),"")</f>
        <v/>
      </c>
      <c r="D139" s="55" t="str">
        <f>_xlfn.XLOOKUP(A139,My_Audit!A:A,My_Audit!D:D,"")&amp;""</f>
        <v/>
      </c>
      <c r="E139" s="55" t="str" cm="1">
        <f t="array" ref="E139">IFERROR(_xlfn.LET(
_xlpm.CSVVal,_xlfn.XLOOKUP($A139,CSV!$A:$A,CSV!D:D,""),
_xlpm.MacVal,_xlfn.XLOOKUP($A139,Output_Mac!$A:$A,Output_Mac!C:C,""),
_xlpm.MyAuditVal,_xlfn.XLOOKUP($A139,My_Audit!$A:$A,My_Audit!D:D,""),
_xlfn.IFS(_xlpm.MyAuditVal&lt;&gt;"",_xlpm.MyAuditVal,_xlpm.MacVal&lt;&gt;"",_xlpm.MacVal,_xlpm.CSVVal&lt;&gt;"",_xlpm.CSVVal
)),"")</f>
        <v/>
      </c>
      <c r="F139" s="54" t="str" cm="1">
        <f t="array" ref="F139">IFERROR(_xlfn.LET(
_xlpm.CSVVal,_xlfn.XLOOKUP($A139,CSV!$A:$A,CSV!E:E,""),
_xlpm.MacVal,_xlfn.XLOOKUP($A139,Output_Mac!$A:$A,Output_Mac!F:F,""),
_xlpm.MyAuditVal,_xlfn.XLOOKUP($A139,My_Audit!$A:$A,My_Audit!E:E,""),
_xlfn.IFS(_xlpm.MyAuditVal&lt;&gt;"",_xlpm.MyAuditVal,_xlpm.MacVal&lt;&gt;"",_xlpm.MacVal,_xlpm.CSVVal&lt;&gt;"",PROPER(_xlpm.CSVVal)
)),"")</f>
        <v/>
      </c>
      <c r="G139" s="54" t="str" cm="1">
        <f t="array" ref="G139">IFERROR(_xlfn.LET(
_xlpm.CSVVal,_xlfn.XLOOKUP($A139,CSV!$A:$A,CSV!F:F,""),
_xlpm.MacVal,_xlfn.XLOOKUP($A139,Output_Mac!$A:$A,Output_Mac!H:H,""),
_xlpm.MyAuditVal,_xlfn.XLOOKUP($A139,My_Audit!$A:$A,My_Audit!F:F,""),
_xlfn.IFS(_xlpm.MyAuditVal&lt;&gt;"",_xlpm.MyAuditVal,_xlpm.MacVal&lt;&gt;"",_xlpm.MacVal,_xlpm.CSVVal&lt;&gt;"",_xlpm.CSVVal
)),"")</f>
        <v/>
      </c>
      <c r="H139" s="54" t="str">
        <f>_xlfn.XLOOKUP(A139,Output_Mac!A:A,Output_Mac!I:I,"")</f>
        <v/>
      </c>
      <c r="I139" s="54" t="str" cm="1">
        <f t="array" ref="I139">IFERROR(_xlfn.LET(
_xlpm.CSVVal,_xlfn.XLOOKUP($A139,CSV!$A:$A,CSV!G:G,""),
_xlpm.MacVal,_xlfn.XLOOKUP($A139,Output_Mac!$A:$A,Output_Mac!J:J,""),
_xlpm.MyAuditVal,_xlfn.XLOOKUP($A139,My_Audit!$A:$A,My_Audit!H:H,""),
_xlfn.IFS(_xlpm.MyAuditVal&lt;&gt;"",UPPER(_xlpm.MyAuditVal),_xlpm.MacVal&lt;&gt;"",_xlpm.MacVal,_xlpm.CSVVal&lt;&gt;"",_xlpm.CSVVal
)),"")</f>
        <v/>
      </c>
      <c r="J139" s="54" t="str" cm="1">
        <f t="array" ref="J139">IFERROR(_xlfn.LET(
_xlpm.CSVVal,_xlfn.XLOOKUP($A139,CSV!$A:$A,CSV!I:I,""),
_xlpm.MacVal,_xlfn.XLOOKUP($A139,Output_Mac!$A:$A,Output_Mac!K:K,""),
_xlpm.MyAuditVal,_xlfn.XLOOKUP($A139,My_Audit!$A:$A,My_Audit!I:I,""),
_xlfn.IFS(_xlpm.MyAuditVal&lt;&gt;"",UPPER(_xlpm.MyAuditVal),_xlpm.MacVal&lt;&gt;"",_xlpm.MacVal,_xlpm.CSVVal&lt;&gt;"",_xlpm.CSVVal
)),"")</f>
        <v/>
      </c>
      <c r="K139" s="54" t="str" cm="1">
        <f t="array" ref="K139">IFERROR(_xlfn.LET(
_xlpm.CSVVal,_xlfn.XLOOKUP($A139,CSV!$A:$A,CSV!M:M,""),
_xlpm.MacVal,_xlfn.XLOOKUP($A139,Output_Mac!$A:$A,Output_Mac!L:L,""),
_xlpm.MyAuditVal,_xlfn.XLOOKUP($A139,My_Audit!$A:$A,My_Audit!J:J,""),
_xlfn.IFS(_xlpm.MyAuditVal&lt;&gt;"",UPPER(_xlpm.MyAuditVal),_xlpm.MacVal&lt;&gt;"",_xlpm.MacVal,_xlpm.CSVVal&lt;&gt;"",_xlpm.CSVVal
)),"")</f>
        <v/>
      </c>
      <c r="L139" s="55" t="str" cm="1">
        <f t="array" ref="L139">IFERROR(_xlfn.LET(
_xlpm.CSVVal,_xlfn.XLOOKUP($A139,CSV!$A:$A,CSV!P:P,""),
_xlpm.MacVal,_xlfn.XLOOKUP($A139,Output_Mac!$A:$A,Output_Mac!M:M,""),
_xlpm.MyAuditVal,_xlfn.XLOOKUP($A139,My_Audit!$A:$A,My_Audit!K:K,""),
_xlfn.IFS(_xlpm.MyAuditVal&lt;&gt;"",UPPER(_xlpm.MyAuditVal),_xlpm.MacVal&lt;&gt;"",_xlpm.MacVal,_xlpm.CSVVal&lt;&gt;"",_xlpm.CSVVal
)),"")</f>
        <v/>
      </c>
      <c r="M139" s="54" t="str">
        <f>_xlfn.LET(
    _xlpm.CSVVal, _xlfn.XLOOKUP($A139, CSV!$A:$A, CSV!AD:AD, ""),
    _xlpm.MacVal, _xlfn.XLOOKUP($A139, Output_Mac!$A:$A, Output_Mac!S:S, ""),
    _xlpm.MyAuditVal, _xlfn.XLOOKUP($A139, My_Audit!$A:$A, My_Audit!N:N, ""),
    _xlfn.TEXTJOIN(", ", TRUE, _xlpm.MyAuditVal, _xlpm.MacVal, _xlpm.CSVVal)
)</f>
        <v/>
      </c>
      <c r="N139" s="54" t="str" cm="1">
        <f t="array" ref="N139">IFERROR(_xlfn.LET(
_xlpm.CSVVal,_xlfn.XLOOKUP($A139,CSV!$A:$A,CSV!AF:AF,""),
_xlpm.MacVal,_xlfn.XLOOKUP($A139,Output_Mac!$A:$A,Output_Mac!U:U,""),
_xlpm.MyAuditVal,_xlfn.XLOOKUP($A139,My_Audit!$A:$A,My_Audit!O:O,""),
_xlfn.IFS(_xlpm.MyAuditVal&lt;&gt;"",UPPER(_xlpm.MyAuditVal),_xlpm.MacVal&lt;&gt;"",_xlpm.MacVal,_xlpm.CSVVal&lt;&gt;"",_xlpm.CSVVal
)),"")</f>
        <v/>
      </c>
      <c r="O139" s="54"/>
      <c r="P139" s="54"/>
      <c r="Q139" s="54"/>
      <c r="R139" s="54"/>
      <c r="S139" s="54"/>
      <c r="T139" s="54"/>
      <c r="U139" s="39" t="str">
        <f>_xlfn.LET(
    _xlpm.MacVal, _xlfn.XLOOKUP($A139, Output_Mac!$A:$A, Output_Mac!AB:AB, ""),
    _xlpm.MyAuditVal, _xlfn.XLOOKUP($A139, My_Audit!$A:$A, My_Audit!L:L, ""),
    _xlfn.TEXTJOIN(", ", TRUE, _xlpm.MyAuditVal, _xlpm.MacVal)
)</f>
        <v/>
      </c>
    </row>
    <row r="140" spans="1:21">
      <c r="A140" s="54" t="str">
        <f>_xlfn.TEXTJOIN("",TRUE,Input!$B$2,ROW(My_Audit!A139))</f>
        <v>XX139</v>
      </c>
      <c r="B140" s="54" t="str">
        <f>_xlfn.TEXTJOIN("-",TRUE,"ITD",Input!$A$2,A140)</f>
        <v>ITD-SHRXXX-XX139</v>
      </c>
      <c r="C140" s="54" t="str" cm="1">
        <f t="array" ref="C140">IFERROR(_xlfn.LET(
_xlpm.CSVVal,_xlfn.XLOOKUP($A140,CSV!$A:$A,CSV!B:B,""),
_xlpm.MacVal,_xlfn.XLOOKUP($A140,Output_Mac!$A:$A,Output_Mac!B:B,""),
_xlpm.MyAuditVal,_xlfn.XLOOKUP($A140,My_Audit!$A:$A,My_Audit!B:B,""),
_xlfn.IFS(_xlpm.MyAuditVal&lt;&gt;"",UPPER(_xlpm.MyAuditVal),_xlpm.MacVal&lt;&gt;"",_xlpm.MacVal,_xlpm.CSVVal&lt;&gt;"",_xlpm.CSVVal
)),"")</f>
        <v/>
      </c>
      <c r="D140" s="55" t="str">
        <f>_xlfn.XLOOKUP(A140,My_Audit!A:A,My_Audit!D:D,"")&amp;""</f>
        <v/>
      </c>
      <c r="E140" s="55" t="str" cm="1">
        <f t="array" ref="E140">IFERROR(_xlfn.LET(
_xlpm.CSVVal,_xlfn.XLOOKUP($A140,CSV!$A:$A,CSV!D:D,""),
_xlpm.MacVal,_xlfn.XLOOKUP($A140,Output_Mac!$A:$A,Output_Mac!C:C,""),
_xlpm.MyAuditVal,_xlfn.XLOOKUP($A140,My_Audit!$A:$A,My_Audit!D:D,""),
_xlfn.IFS(_xlpm.MyAuditVal&lt;&gt;"",_xlpm.MyAuditVal,_xlpm.MacVal&lt;&gt;"",_xlpm.MacVal,_xlpm.CSVVal&lt;&gt;"",_xlpm.CSVVal
)),"")</f>
        <v/>
      </c>
      <c r="F140" s="54" t="str" cm="1">
        <f t="array" ref="F140">IFERROR(_xlfn.LET(
_xlpm.CSVVal,_xlfn.XLOOKUP($A140,CSV!$A:$A,CSV!E:E,""),
_xlpm.MacVal,_xlfn.XLOOKUP($A140,Output_Mac!$A:$A,Output_Mac!F:F,""),
_xlpm.MyAuditVal,_xlfn.XLOOKUP($A140,My_Audit!$A:$A,My_Audit!E:E,""),
_xlfn.IFS(_xlpm.MyAuditVal&lt;&gt;"",_xlpm.MyAuditVal,_xlpm.MacVal&lt;&gt;"",_xlpm.MacVal,_xlpm.CSVVal&lt;&gt;"",PROPER(_xlpm.CSVVal)
)),"")</f>
        <v/>
      </c>
      <c r="G140" s="54" t="str" cm="1">
        <f t="array" ref="G140">IFERROR(_xlfn.LET(
_xlpm.CSVVal,_xlfn.XLOOKUP($A140,CSV!$A:$A,CSV!F:F,""),
_xlpm.MacVal,_xlfn.XLOOKUP($A140,Output_Mac!$A:$A,Output_Mac!H:H,""),
_xlpm.MyAuditVal,_xlfn.XLOOKUP($A140,My_Audit!$A:$A,My_Audit!F:F,""),
_xlfn.IFS(_xlpm.MyAuditVal&lt;&gt;"",_xlpm.MyAuditVal,_xlpm.MacVal&lt;&gt;"",_xlpm.MacVal,_xlpm.CSVVal&lt;&gt;"",_xlpm.CSVVal
)),"")</f>
        <v/>
      </c>
      <c r="H140" s="54" t="str">
        <f>_xlfn.XLOOKUP(A140,Output_Mac!A:A,Output_Mac!I:I,"")</f>
        <v/>
      </c>
      <c r="I140" s="54" t="str" cm="1">
        <f t="array" ref="I140">IFERROR(_xlfn.LET(
_xlpm.CSVVal,_xlfn.XLOOKUP($A140,CSV!$A:$A,CSV!G:G,""),
_xlpm.MacVal,_xlfn.XLOOKUP($A140,Output_Mac!$A:$A,Output_Mac!J:J,""),
_xlpm.MyAuditVal,_xlfn.XLOOKUP($A140,My_Audit!$A:$A,My_Audit!H:H,""),
_xlfn.IFS(_xlpm.MyAuditVal&lt;&gt;"",UPPER(_xlpm.MyAuditVal),_xlpm.MacVal&lt;&gt;"",_xlpm.MacVal,_xlpm.CSVVal&lt;&gt;"",_xlpm.CSVVal
)),"")</f>
        <v/>
      </c>
      <c r="J140" s="54" t="str" cm="1">
        <f t="array" ref="J140">IFERROR(_xlfn.LET(
_xlpm.CSVVal,_xlfn.XLOOKUP($A140,CSV!$A:$A,CSV!I:I,""),
_xlpm.MacVal,_xlfn.XLOOKUP($A140,Output_Mac!$A:$A,Output_Mac!K:K,""),
_xlpm.MyAuditVal,_xlfn.XLOOKUP($A140,My_Audit!$A:$A,My_Audit!I:I,""),
_xlfn.IFS(_xlpm.MyAuditVal&lt;&gt;"",UPPER(_xlpm.MyAuditVal),_xlpm.MacVal&lt;&gt;"",_xlpm.MacVal,_xlpm.CSVVal&lt;&gt;"",_xlpm.CSVVal
)),"")</f>
        <v/>
      </c>
      <c r="K140" s="54" t="str" cm="1">
        <f t="array" ref="K140">IFERROR(_xlfn.LET(
_xlpm.CSVVal,_xlfn.XLOOKUP($A140,CSV!$A:$A,CSV!M:M,""),
_xlpm.MacVal,_xlfn.XLOOKUP($A140,Output_Mac!$A:$A,Output_Mac!L:L,""),
_xlpm.MyAuditVal,_xlfn.XLOOKUP($A140,My_Audit!$A:$A,My_Audit!J:J,""),
_xlfn.IFS(_xlpm.MyAuditVal&lt;&gt;"",UPPER(_xlpm.MyAuditVal),_xlpm.MacVal&lt;&gt;"",_xlpm.MacVal,_xlpm.CSVVal&lt;&gt;"",_xlpm.CSVVal
)),"")</f>
        <v/>
      </c>
      <c r="L140" s="55" t="str" cm="1">
        <f t="array" ref="L140">IFERROR(_xlfn.LET(
_xlpm.CSVVal,_xlfn.XLOOKUP($A140,CSV!$A:$A,CSV!P:P,""),
_xlpm.MacVal,_xlfn.XLOOKUP($A140,Output_Mac!$A:$A,Output_Mac!M:M,""),
_xlpm.MyAuditVal,_xlfn.XLOOKUP($A140,My_Audit!$A:$A,My_Audit!K:K,""),
_xlfn.IFS(_xlpm.MyAuditVal&lt;&gt;"",UPPER(_xlpm.MyAuditVal),_xlpm.MacVal&lt;&gt;"",_xlpm.MacVal,_xlpm.CSVVal&lt;&gt;"",_xlpm.CSVVal
)),"")</f>
        <v/>
      </c>
      <c r="M140" s="54" t="str">
        <f>_xlfn.LET(
    _xlpm.CSVVal, _xlfn.XLOOKUP($A140, CSV!$A:$A, CSV!AD:AD, ""),
    _xlpm.MacVal, _xlfn.XLOOKUP($A140, Output_Mac!$A:$A, Output_Mac!S:S, ""),
    _xlpm.MyAuditVal, _xlfn.XLOOKUP($A140, My_Audit!$A:$A, My_Audit!N:N, ""),
    _xlfn.TEXTJOIN(", ", TRUE, _xlpm.MyAuditVal, _xlpm.MacVal, _xlpm.CSVVal)
)</f>
        <v/>
      </c>
      <c r="N140" s="54" t="str" cm="1">
        <f t="array" ref="N140">IFERROR(_xlfn.LET(
_xlpm.CSVVal,_xlfn.XLOOKUP($A140,CSV!$A:$A,CSV!AF:AF,""),
_xlpm.MacVal,_xlfn.XLOOKUP($A140,Output_Mac!$A:$A,Output_Mac!U:U,""),
_xlpm.MyAuditVal,_xlfn.XLOOKUP($A140,My_Audit!$A:$A,My_Audit!O:O,""),
_xlfn.IFS(_xlpm.MyAuditVal&lt;&gt;"",UPPER(_xlpm.MyAuditVal),_xlpm.MacVal&lt;&gt;"",_xlpm.MacVal,_xlpm.CSVVal&lt;&gt;"",_xlpm.CSVVal
)),"")</f>
        <v/>
      </c>
      <c r="O140" s="54"/>
      <c r="P140" s="54"/>
      <c r="Q140" s="54"/>
      <c r="R140" s="54"/>
      <c r="S140" s="54"/>
      <c r="T140" s="54"/>
      <c r="U140" s="39" t="str">
        <f>_xlfn.LET(
    _xlpm.MacVal, _xlfn.XLOOKUP($A140, Output_Mac!$A:$A, Output_Mac!AB:AB, ""),
    _xlpm.MyAuditVal, _xlfn.XLOOKUP($A140, My_Audit!$A:$A, My_Audit!L:L, ""),
    _xlfn.TEXTJOIN(", ", TRUE, _xlpm.MyAuditVal, _xlpm.MacVal)
)</f>
        <v/>
      </c>
    </row>
    <row r="141" spans="1:21">
      <c r="A141" s="54" t="str">
        <f>_xlfn.TEXTJOIN("",TRUE,Input!$B$2,ROW(My_Audit!A140))</f>
        <v>XX140</v>
      </c>
      <c r="B141" s="54" t="str">
        <f>_xlfn.TEXTJOIN("-",TRUE,"ITD",Input!$A$2,A141)</f>
        <v>ITD-SHRXXX-XX140</v>
      </c>
      <c r="C141" s="54" t="str" cm="1">
        <f t="array" ref="C141">IFERROR(_xlfn.LET(
_xlpm.CSVVal,_xlfn.XLOOKUP($A141,CSV!$A:$A,CSV!B:B,""),
_xlpm.MacVal,_xlfn.XLOOKUP($A141,Output_Mac!$A:$A,Output_Mac!B:B,""),
_xlpm.MyAuditVal,_xlfn.XLOOKUP($A141,My_Audit!$A:$A,My_Audit!B:B,""),
_xlfn.IFS(_xlpm.MyAuditVal&lt;&gt;"",UPPER(_xlpm.MyAuditVal),_xlpm.MacVal&lt;&gt;"",_xlpm.MacVal,_xlpm.CSVVal&lt;&gt;"",_xlpm.CSVVal
)),"")</f>
        <v/>
      </c>
      <c r="D141" s="55" t="str">
        <f>_xlfn.XLOOKUP(A141,My_Audit!A:A,My_Audit!D:D,"")&amp;""</f>
        <v/>
      </c>
      <c r="E141" s="55" t="str" cm="1">
        <f t="array" ref="E141">IFERROR(_xlfn.LET(
_xlpm.CSVVal,_xlfn.XLOOKUP($A141,CSV!$A:$A,CSV!D:D,""),
_xlpm.MacVal,_xlfn.XLOOKUP($A141,Output_Mac!$A:$A,Output_Mac!C:C,""),
_xlpm.MyAuditVal,_xlfn.XLOOKUP($A141,My_Audit!$A:$A,My_Audit!D:D,""),
_xlfn.IFS(_xlpm.MyAuditVal&lt;&gt;"",_xlpm.MyAuditVal,_xlpm.MacVal&lt;&gt;"",_xlpm.MacVal,_xlpm.CSVVal&lt;&gt;"",_xlpm.CSVVal
)),"")</f>
        <v/>
      </c>
      <c r="F141" s="54" t="str" cm="1">
        <f t="array" ref="F141">IFERROR(_xlfn.LET(
_xlpm.CSVVal,_xlfn.XLOOKUP($A141,CSV!$A:$A,CSV!E:E,""),
_xlpm.MacVal,_xlfn.XLOOKUP($A141,Output_Mac!$A:$A,Output_Mac!F:F,""),
_xlpm.MyAuditVal,_xlfn.XLOOKUP($A141,My_Audit!$A:$A,My_Audit!E:E,""),
_xlfn.IFS(_xlpm.MyAuditVal&lt;&gt;"",_xlpm.MyAuditVal,_xlpm.MacVal&lt;&gt;"",_xlpm.MacVal,_xlpm.CSVVal&lt;&gt;"",PROPER(_xlpm.CSVVal)
)),"")</f>
        <v/>
      </c>
      <c r="G141" s="54" t="str" cm="1">
        <f t="array" ref="G141">IFERROR(_xlfn.LET(
_xlpm.CSVVal,_xlfn.XLOOKUP($A141,CSV!$A:$A,CSV!F:F,""),
_xlpm.MacVal,_xlfn.XLOOKUP($A141,Output_Mac!$A:$A,Output_Mac!H:H,""),
_xlpm.MyAuditVal,_xlfn.XLOOKUP($A141,My_Audit!$A:$A,My_Audit!F:F,""),
_xlfn.IFS(_xlpm.MyAuditVal&lt;&gt;"",_xlpm.MyAuditVal,_xlpm.MacVal&lt;&gt;"",_xlpm.MacVal,_xlpm.CSVVal&lt;&gt;"",_xlpm.CSVVal
)),"")</f>
        <v/>
      </c>
      <c r="H141" s="54" t="str">
        <f>_xlfn.XLOOKUP(A141,Output_Mac!A:A,Output_Mac!I:I,"")</f>
        <v/>
      </c>
      <c r="I141" s="54" t="str" cm="1">
        <f t="array" ref="I141">IFERROR(_xlfn.LET(
_xlpm.CSVVal,_xlfn.XLOOKUP($A141,CSV!$A:$A,CSV!G:G,""),
_xlpm.MacVal,_xlfn.XLOOKUP($A141,Output_Mac!$A:$A,Output_Mac!J:J,""),
_xlpm.MyAuditVal,_xlfn.XLOOKUP($A141,My_Audit!$A:$A,My_Audit!H:H,""),
_xlfn.IFS(_xlpm.MyAuditVal&lt;&gt;"",UPPER(_xlpm.MyAuditVal),_xlpm.MacVal&lt;&gt;"",_xlpm.MacVal,_xlpm.CSVVal&lt;&gt;"",_xlpm.CSVVal
)),"")</f>
        <v/>
      </c>
      <c r="J141" s="54" t="str" cm="1">
        <f t="array" ref="J141">IFERROR(_xlfn.LET(
_xlpm.CSVVal,_xlfn.XLOOKUP($A141,CSV!$A:$A,CSV!I:I,""),
_xlpm.MacVal,_xlfn.XLOOKUP($A141,Output_Mac!$A:$A,Output_Mac!K:K,""),
_xlpm.MyAuditVal,_xlfn.XLOOKUP($A141,My_Audit!$A:$A,My_Audit!I:I,""),
_xlfn.IFS(_xlpm.MyAuditVal&lt;&gt;"",UPPER(_xlpm.MyAuditVal),_xlpm.MacVal&lt;&gt;"",_xlpm.MacVal,_xlpm.CSVVal&lt;&gt;"",_xlpm.CSVVal
)),"")</f>
        <v/>
      </c>
      <c r="K141" s="54" t="str" cm="1">
        <f t="array" ref="K141">IFERROR(_xlfn.LET(
_xlpm.CSVVal,_xlfn.XLOOKUP($A141,CSV!$A:$A,CSV!M:M,""),
_xlpm.MacVal,_xlfn.XLOOKUP($A141,Output_Mac!$A:$A,Output_Mac!L:L,""),
_xlpm.MyAuditVal,_xlfn.XLOOKUP($A141,My_Audit!$A:$A,My_Audit!J:J,""),
_xlfn.IFS(_xlpm.MyAuditVal&lt;&gt;"",UPPER(_xlpm.MyAuditVal),_xlpm.MacVal&lt;&gt;"",_xlpm.MacVal,_xlpm.CSVVal&lt;&gt;"",_xlpm.CSVVal
)),"")</f>
        <v/>
      </c>
      <c r="L141" s="55" t="str" cm="1">
        <f t="array" ref="L141">IFERROR(_xlfn.LET(
_xlpm.CSVVal,_xlfn.XLOOKUP($A141,CSV!$A:$A,CSV!P:P,""),
_xlpm.MacVal,_xlfn.XLOOKUP($A141,Output_Mac!$A:$A,Output_Mac!M:M,""),
_xlpm.MyAuditVal,_xlfn.XLOOKUP($A141,My_Audit!$A:$A,My_Audit!K:K,""),
_xlfn.IFS(_xlpm.MyAuditVal&lt;&gt;"",UPPER(_xlpm.MyAuditVal),_xlpm.MacVal&lt;&gt;"",_xlpm.MacVal,_xlpm.CSVVal&lt;&gt;"",_xlpm.CSVVal
)),"")</f>
        <v/>
      </c>
      <c r="M141" s="54" t="str">
        <f>_xlfn.LET(
    _xlpm.CSVVal, _xlfn.XLOOKUP($A141, CSV!$A:$A, CSV!AD:AD, ""),
    _xlpm.MacVal, _xlfn.XLOOKUP($A141, Output_Mac!$A:$A, Output_Mac!S:S, ""),
    _xlpm.MyAuditVal, _xlfn.XLOOKUP($A141, My_Audit!$A:$A, My_Audit!N:N, ""),
    _xlfn.TEXTJOIN(", ", TRUE, _xlpm.MyAuditVal, _xlpm.MacVal, _xlpm.CSVVal)
)</f>
        <v/>
      </c>
      <c r="N141" s="54" t="str" cm="1">
        <f t="array" ref="N141">IFERROR(_xlfn.LET(
_xlpm.CSVVal,_xlfn.XLOOKUP($A141,CSV!$A:$A,CSV!AF:AF,""),
_xlpm.MacVal,_xlfn.XLOOKUP($A141,Output_Mac!$A:$A,Output_Mac!U:U,""),
_xlpm.MyAuditVal,_xlfn.XLOOKUP($A141,My_Audit!$A:$A,My_Audit!O:O,""),
_xlfn.IFS(_xlpm.MyAuditVal&lt;&gt;"",UPPER(_xlpm.MyAuditVal),_xlpm.MacVal&lt;&gt;"",_xlpm.MacVal,_xlpm.CSVVal&lt;&gt;"",_xlpm.CSVVal
)),"")</f>
        <v/>
      </c>
      <c r="O141" s="54"/>
      <c r="P141" s="54"/>
      <c r="Q141" s="54"/>
      <c r="R141" s="54"/>
      <c r="S141" s="54"/>
      <c r="T141" s="54"/>
      <c r="U141" s="39" t="str">
        <f>_xlfn.LET(
    _xlpm.MacVal, _xlfn.XLOOKUP($A141, Output_Mac!$A:$A, Output_Mac!AB:AB, ""),
    _xlpm.MyAuditVal, _xlfn.XLOOKUP($A141, My_Audit!$A:$A, My_Audit!L:L, ""),
    _xlfn.TEXTJOIN(", ", TRUE, _xlpm.MyAuditVal, _xlpm.MacVal)
)</f>
        <v/>
      </c>
    </row>
    <row r="142" spans="1:21">
      <c r="A142" s="54" t="str">
        <f>_xlfn.TEXTJOIN("",TRUE,Input!$B$2,ROW(My_Audit!A141))</f>
        <v>XX141</v>
      </c>
      <c r="B142" s="54" t="str">
        <f>_xlfn.TEXTJOIN("-",TRUE,"ITD",Input!$A$2,A142)</f>
        <v>ITD-SHRXXX-XX141</v>
      </c>
      <c r="C142" s="54" t="str" cm="1">
        <f t="array" ref="C142">IFERROR(_xlfn.LET(
_xlpm.CSVVal,_xlfn.XLOOKUP($A142,CSV!$A:$A,CSV!B:B,""),
_xlpm.MacVal,_xlfn.XLOOKUP($A142,Output_Mac!$A:$A,Output_Mac!B:B,""),
_xlpm.MyAuditVal,_xlfn.XLOOKUP($A142,My_Audit!$A:$A,My_Audit!B:B,""),
_xlfn.IFS(_xlpm.MyAuditVal&lt;&gt;"",UPPER(_xlpm.MyAuditVal),_xlpm.MacVal&lt;&gt;"",_xlpm.MacVal,_xlpm.CSVVal&lt;&gt;"",_xlpm.CSVVal
)),"")</f>
        <v/>
      </c>
      <c r="D142" s="55" t="str">
        <f>_xlfn.XLOOKUP(A142,My_Audit!A:A,My_Audit!D:D,"")&amp;""</f>
        <v/>
      </c>
      <c r="E142" s="55" t="str" cm="1">
        <f t="array" ref="E142">IFERROR(_xlfn.LET(
_xlpm.CSVVal,_xlfn.XLOOKUP($A142,CSV!$A:$A,CSV!D:D,""),
_xlpm.MacVal,_xlfn.XLOOKUP($A142,Output_Mac!$A:$A,Output_Mac!C:C,""),
_xlpm.MyAuditVal,_xlfn.XLOOKUP($A142,My_Audit!$A:$A,My_Audit!D:D,""),
_xlfn.IFS(_xlpm.MyAuditVal&lt;&gt;"",_xlpm.MyAuditVal,_xlpm.MacVal&lt;&gt;"",_xlpm.MacVal,_xlpm.CSVVal&lt;&gt;"",_xlpm.CSVVal
)),"")</f>
        <v/>
      </c>
      <c r="F142" s="54" t="str" cm="1">
        <f t="array" ref="F142">IFERROR(_xlfn.LET(
_xlpm.CSVVal,_xlfn.XLOOKUP($A142,CSV!$A:$A,CSV!E:E,""),
_xlpm.MacVal,_xlfn.XLOOKUP($A142,Output_Mac!$A:$A,Output_Mac!F:F,""),
_xlpm.MyAuditVal,_xlfn.XLOOKUP($A142,My_Audit!$A:$A,My_Audit!E:E,""),
_xlfn.IFS(_xlpm.MyAuditVal&lt;&gt;"",_xlpm.MyAuditVal,_xlpm.MacVal&lt;&gt;"",_xlpm.MacVal,_xlpm.CSVVal&lt;&gt;"",PROPER(_xlpm.CSVVal)
)),"")</f>
        <v/>
      </c>
      <c r="G142" s="54" t="str" cm="1">
        <f t="array" ref="G142">IFERROR(_xlfn.LET(
_xlpm.CSVVal,_xlfn.XLOOKUP($A142,CSV!$A:$A,CSV!F:F,""),
_xlpm.MacVal,_xlfn.XLOOKUP($A142,Output_Mac!$A:$A,Output_Mac!H:H,""),
_xlpm.MyAuditVal,_xlfn.XLOOKUP($A142,My_Audit!$A:$A,My_Audit!F:F,""),
_xlfn.IFS(_xlpm.MyAuditVal&lt;&gt;"",_xlpm.MyAuditVal,_xlpm.MacVal&lt;&gt;"",_xlpm.MacVal,_xlpm.CSVVal&lt;&gt;"",_xlpm.CSVVal
)),"")</f>
        <v/>
      </c>
      <c r="H142" s="54" t="str">
        <f>_xlfn.XLOOKUP(A142,Output_Mac!A:A,Output_Mac!I:I,"")</f>
        <v/>
      </c>
      <c r="I142" s="54" t="str" cm="1">
        <f t="array" ref="I142">IFERROR(_xlfn.LET(
_xlpm.CSVVal,_xlfn.XLOOKUP($A142,CSV!$A:$A,CSV!G:G,""),
_xlpm.MacVal,_xlfn.XLOOKUP($A142,Output_Mac!$A:$A,Output_Mac!J:J,""),
_xlpm.MyAuditVal,_xlfn.XLOOKUP($A142,My_Audit!$A:$A,My_Audit!H:H,""),
_xlfn.IFS(_xlpm.MyAuditVal&lt;&gt;"",UPPER(_xlpm.MyAuditVal),_xlpm.MacVal&lt;&gt;"",_xlpm.MacVal,_xlpm.CSVVal&lt;&gt;"",_xlpm.CSVVal
)),"")</f>
        <v/>
      </c>
      <c r="J142" s="54" t="str" cm="1">
        <f t="array" ref="J142">IFERROR(_xlfn.LET(
_xlpm.CSVVal,_xlfn.XLOOKUP($A142,CSV!$A:$A,CSV!I:I,""),
_xlpm.MacVal,_xlfn.XLOOKUP($A142,Output_Mac!$A:$A,Output_Mac!K:K,""),
_xlpm.MyAuditVal,_xlfn.XLOOKUP($A142,My_Audit!$A:$A,My_Audit!I:I,""),
_xlfn.IFS(_xlpm.MyAuditVal&lt;&gt;"",UPPER(_xlpm.MyAuditVal),_xlpm.MacVal&lt;&gt;"",_xlpm.MacVal,_xlpm.CSVVal&lt;&gt;"",_xlpm.CSVVal
)),"")</f>
        <v/>
      </c>
      <c r="K142" s="54" t="str" cm="1">
        <f t="array" ref="K142">IFERROR(_xlfn.LET(
_xlpm.CSVVal,_xlfn.XLOOKUP($A142,CSV!$A:$A,CSV!M:M,""),
_xlpm.MacVal,_xlfn.XLOOKUP($A142,Output_Mac!$A:$A,Output_Mac!L:L,""),
_xlpm.MyAuditVal,_xlfn.XLOOKUP($A142,My_Audit!$A:$A,My_Audit!J:J,""),
_xlfn.IFS(_xlpm.MyAuditVal&lt;&gt;"",UPPER(_xlpm.MyAuditVal),_xlpm.MacVal&lt;&gt;"",_xlpm.MacVal,_xlpm.CSVVal&lt;&gt;"",_xlpm.CSVVal
)),"")</f>
        <v/>
      </c>
      <c r="L142" s="55" t="str" cm="1">
        <f t="array" ref="L142">IFERROR(_xlfn.LET(
_xlpm.CSVVal,_xlfn.XLOOKUP($A142,CSV!$A:$A,CSV!P:P,""),
_xlpm.MacVal,_xlfn.XLOOKUP($A142,Output_Mac!$A:$A,Output_Mac!M:M,""),
_xlpm.MyAuditVal,_xlfn.XLOOKUP($A142,My_Audit!$A:$A,My_Audit!K:K,""),
_xlfn.IFS(_xlpm.MyAuditVal&lt;&gt;"",UPPER(_xlpm.MyAuditVal),_xlpm.MacVal&lt;&gt;"",_xlpm.MacVal,_xlpm.CSVVal&lt;&gt;"",_xlpm.CSVVal
)),"")</f>
        <v/>
      </c>
      <c r="M142" s="54" t="str">
        <f>_xlfn.LET(
    _xlpm.CSVVal, _xlfn.XLOOKUP($A142, CSV!$A:$A, CSV!AD:AD, ""),
    _xlpm.MacVal, _xlfn.XLOOKUP($A142, Output_Mac!$A:$A, Output_Mac!S:S, ""),
    _xlpm.MyAuditVal, _xlfn.XLOOKUP($A142, My_Audit!$A:$A, My_Audit!N:N, ""),
    _xlfn.TEXTJOIN(", ", TRUE, _xlpm.MyAuditVal, _xlpm.MacVal, _xlpm.CSVVal)
)</f>
        <v/>
      </c>
      <c r="N142" s="54" t="str" cm="1">
        <f t="array" ref="N142">IFERROR(_xlfn.LET(
_xlpm.CSVVal,_xlfn.XLOOKUP($A142,CSV!$A:$A,CSV!AF:AF,""),
_xlpm.MacVal,_xlfn.XLOOKUP($A142,Output_Mac!$A:$A,Output_Mac!U:U,""),
_xlpm.MyAuditVal,_xlfn.XLOOKUP($A142,My_Audit!$A:$A,My_Audit!O:O,""),
_xlfn.IFS(_xlpm.MyAuditVal&lt;&gt;"",UPPER(_xlpm.MyAuditVal),_xlpm.MacVal&lt;&gt;"",_xlpm.MacVal,_xlpm.CSVVal&lt;&gt;"",_xlpm.CSVVal
)),"")</f>
        <v/>
      </c>
      <c r="O142" s="54"/>
      <c r="P142" s="54"/>
      <c r="Q142" s="54"/>
      <c r="R142" s="54"/>
      <c r="S142" s="54"/>
      <c r="T142" s="54"/>
      <c r="U142" s="39" t="str">
        <f>_xlfn.LET(
    _xlpm.MacVal, _xlfn.XLOOKUP($A142, Output_Mac!$A:$A, Output_Mac!AB:AB, ""),
    _xlpm.MyAuditVal, _xlfn.XLOOKUP($A142, My_Audit!$A:$A, My_Audit!L:L, ""),
    _xlfn.TEXTJOIN(", ", TRUE, _xlpm.MyAuditVal, _xlpm.MacVal)
)</f>
        <v/>
      </c>
    </row>
    <row r="143" spans="1:21">
      <c r="A143" s="54" t="str">
        <f>_xlfn.TEXTJOIN("",TRUE,Input!$B$2,ROW(My_Audit!A142))</f>
        <v>XX142</v>
      </c>
      <c r="B143" s="54" t="str">
        <f>_xlfn.TEXTJOIN("-",TRUE,"ITD",Input!$A$2,A143)</f>
        <v>ITD-SHRXXX-XX142</v>
      </c>
      <c r="C143" s="54" t="str" cm="1">
        <f t="array" ref="C143">IFERROR(_xlfn.LET(
_xlpm.CSVVal,_xlfn.XLOOKUP($A143,CSV!$A:$A,CSV!B:B,""),
_xlpm.MacVal,_xlfn.XLOOKUP($A143,Output_Mac!$A:$A,Output_Mac!B:B,""),
_xlpm.MyAuditVal,_xlfn.XLOOKUP($A143,My_Audit!$A:$A,My_Audit!B:B,""),
_xlfn.IFS(_xlpm.MyAuditVal&lt;&gt;"",UPPER(_xlpm.MyAuditVal),_xlpm.MacVal&lt;&gt;"",_xlpm.MacVal,_xlpm.CSVVal&lt;&gt;"",_xlpm.CSVVal
)),"")</f>
        <v/>
      </c>
      <c r="D143" s="55" t="str">
        <f>_xlfn.XLOOKUP(A143,My_Audit!A:A,My_Audit!D:D,"")&amp;""</f>
        <v/>
      </c>
      <c r="E143" s="55" t="str" cm="1">
        <f t="array" ref="E143">IFERROR(_xlfn.LET(
_xlpm.CSVVal,_xlfn.XLOOKUP($A143,CSV!$A:$A,CSV!D:D,""),
_xlpm.MacVal,_xlfn.XLOOKUP($A143,Output_Mac!$A:$A,Output_Mac!C:C,""),
_xlpm.MyAuditVal,_xlfn.XLOOKUP($A143,My_Audit!$A:$A,My_Audit!D:D,""),
_xlfn.IFS(_xlpm.MyAuditVal&lt;&gt;"",_xlpm.MyAuditVal,_xlpm.MacVal&lt;&gt;"",_xlpm.MacVal,_xlpm.CSVVal&lt;&gt;"",_xlpm.CSVVal
)),"")</f>
        <v/>
      </c>
      <c r="F143" s="54" t="str" cm="1">
        <f t="array" ref="F143">IFERROR(_xlfn.LET(
_xlpm.CSVVal,_xlfn.XLOOKUP($A143,CSV!$A:$A,CSV!E:E,""),
_xlpm.MacVal,_xlfn.XLOOKUP($A143,Output_Mac!$A:$A,Output_Mac!F:F,""),
_xlpm.MyAuditVal,_xlfn.XLOOKUP($A143,My_Audit!$A:$A,My_Audit!E:E,""),
_xlfn.IFS(_xlpm.MyAuditVal&lt;&gt;"",_xlpm.MyAuditVal,_xlpm.MacVal&lt;&gt;"",_xlpm.MacVal,_xlpm.CSVVal&lt;&gt;"",PROPER(_xlpm.CSVVal)
)),"")</f>
        <v/>
      </c>
      <c r="G143" s="54" t="str" cm="1">
        <f t="array" ref="G143">IFERROR(_xlfn.LET(
_xlpm.CSVVal,_xlfn.XLOOKUP($A143,CSV!$A:$A,CSV!F:F,""),
_xlpm.MacVal,_xlfn.XLOOKUP($A143,Output_Mac!$A:$A,Output_Mac!H:H,""),
_xlpm.MyAuditVal,_xlfn.XLOOKUP($A143,My_Audit!$A:$A,My_Audit!F:F,""),
_xlfn.IFS(_xlpm.MyAuditVal&lt;&gt;"",_xlpm.MyAuditVal,_xlpm.MacVal&lt;&gt;"",_xlpm.MacVal,_xlpm.CSVVal&lt;&gt;"",_xlpm.CSVVal
)),"")</f>
        <v/>
      </c>
      <c r="H143" s="54" t="str">
        <f>_xlfn.XLOOKUP(A143,Output_Mac!A:A,Output_Mac!I:I,"")</f>
        <v/>
      </c>
      <c r="I143" s="54" t="str" cm="1">
        <f t="array" ref="I143">IFERROR(_xlfn.LET(
_xlpm.CSVVal,_xlfn.XLOOKUP($A143,CSV!$A:$A,CSV!G:G,""),
_xlpm.MacVal,_xlfn.XLOOKUP($A143,Output_Mac!$A:$A,Output_Mac!J:J,""),
_xlpm.MyAuditVal,_xlfn.XLOOKUP($A143,My_Audit!$A:$A,My_Audit!H:H,""),
_xlfn.IFS(_xlpm.MyAuditVal&lt;&gt;"",UPPER(_xlpm.MyAuditVal),_xlpm.MacVal&lt;&gt;"",_xlpm.MacVal,_xlpm.CSVVal&lt;&gt;"",_xlpm.CSVVal
)),"")</f>
        <v/>
      </c>
      <c r="J143" s="54" t="str" cm="1">
        <f t="array" ref="J143">IFERROR(_xlfn.LET(
_xlpm.CSVVal,_xlfn.XLOOKUP($A143,CSV!$A:$A,CSV!I:I,""),
_xlpm.MacVal,_xlfn.XLOOKUP($A143,Output_Mac!$A:$A,Output_Mac!K:K,""),
_xlpm.MyAuditVal,_xlfn.XLOOKUP($A143,My_Audit!$A:$A,My_Audit!I:I,""),
_xlfn.IFS(_xlpm.MyAuditVal&lt;&gt;"",UPPER(_xlpm.MyAuditVal),_xlpm.MacVal&lt;&gt;"",_xlpm.MacVal,_xlpm.CSVVal&lt;&gt;"",_xlpm.CSVVal
)),"")</f>
        <v/>
      </c>
      <c r="K143" s="54" t="str" cm="1">
        <f t="array" ref="K143">IFERROR(_xlfn.LET(
_xlpm.CSVVal,_xlfn.XLOOKUP($A143,CSV!$A:$A,CSV!M:M,""),
_xlpm.MacVal,_xlfn.XLOOKUP($A143,Output_Mac!$A:$A,Output_Mac!L:L,""),
_xlpm.MyAuditVal,_xlfn.XLOOKUP($A143,My_Audit!$A:$A,My_Audit!J:J,""),
_xlfn.IFS(_xlpm.MyAuditVal&lt;&gt;"",UPPER(_xlpm.MyAuditVal),_xlpm.MacVal&lt;&gt;"",_xlpm.MacVal,_xlpm.CSVVal&lt;&gt;"",_xlpm.CSVVal
)),"")</f>
        <v/>
      </c>
      <c r="L143" s="55" t="str" cm="1">
        <f t="array" ref="L143">IFERROR(_xlfn.LET(
_xlpm.CSVVal,_xlfn.XLOOKUP($A143,CSV!$A:$A,CSV!P:P,""),
_xlpm.MacVal,_xlfn.XLOOKUP($A143,Output_Mac!$A:$A,Output_Mac!M:M,""),
_xlpm.MyAuditVal,_xlfn.XLOOKUP($A143,My_Audit!$A:$A,My_Audit!K:K,""),
_xlfn.IFS(_xlpm.MyAuditVal&lt;&gt;"",UPPER(_xlpm.MyAuditVal),_xlpm.MacVal&lt;&gt;"",_xlpm.MacVal,_xlpm.CSVVal&lt;&gt;"",_xlpm.CSVVal
)),"")</f>
        <v/>
      </c>
      <c r="M143" s="54" t="str">
        <f>_xlfn.LET(
    _xlpm.CSVVal, _xlfn.XLOOKUP($A143, CSV!$A:$A, CSV!AD:AD, ""),
    _xlpm.MacVal, _xlfn.XLOOKUP($A143, Output_Mac!$A:$A, Output_Mac!S:S, ""),
    _xlpm.MyAuditVal, _xlfn.XLOOKUP($A143, My_Audit!$A:$A, My_Audit!N:N, ""),
    _xlfn.TEXTJOIN(", ", TRUE, _xlpm.MyAuditVal, _xlpm.MacVal, _xlpm.CSVVal)
)</f>
        <v/>
      </c>
      <c r="N143" s="54" t="str" cm="1">
        <f t="array" ref="N143">IFERROR(_xlfn.LET(
_xlpm.CSVVal,_xlfn.XLOOKUP($A143,CSV!$A:$A,CSV!AF:AF,""),
_xlpm.MacVal,_xlfn.XLOOKUP($A143,Output_Mac!$A:$A,Output_Mac!U:U,""),
_xlpm.MyAuditVal,_xlfn.XLOOKUP($A143,My_Audit!$A:$A,My_Audit!O:O,""),
_xlfn.IFS(_xlpm.MyAuditVal&lt;&gt;"",UPPER(_xlpm.MyAuditVal),_xlpm.MacVal&lt;&gt;"",_xlpm.MacVal,_xlpm.CSVVal&lt;&gt;"",_xlpm.CSVVal
)),"")</f>
        <v/>
      </c>
      <c r="O143" s="54"/>
      <c r="P143" s="54"/>
      <c r="Q143" s="54"/>
      <c r="R143" s="54"/>
      <c r="S143" s="54"/>
      <c r="T143" s="54"/>
      <c r="U143" s="39" t="str">
        <f>_xlfn.LET(
    _xlpm.MacVal, _xlfn.XLOOKUP($A143, Output_Mac!$A:$A, Output_Mac!AB:AB, ""),
    _xlpm.MyAuditVal, _xlfn.XLOOKUP($A143, My_Audit!$A:$A, My_Audit!L:L, ""),
    _xlfn.TEXTJOIN(", ", TRUE, _xlpm.MyAuditVal, _xlpm.MacVal)
)</f>
        <v/>
      </c>
    </row>
    <row r="144" spans="1:21">
      <c r="A144" s="54" t="str">
        <f>_xlfn.TEXTJOIN("",TRUE,Input!$B$2,ROW(My_Audit!A143))</f>
        <v>XX143</v>
      </c>
      <c r="B144" s="54" t="str">
        <f>_xlfn.TEXTJOIN("-",TRUE,"ITD",Input!$A$2,A144)</f>
        <v>ITD-SHRXXX-XX143</v>
      </c>
      <c r="C144" s="54" t="str" cm="1">
        <f t="array" ref="C144">IFERROR(_xlfn.LET(
_xlpm.CSVVal,_xlfn.XLOOKUP($A144,CSV!$A:$A,CSV!B:B,""),
_xlpm.MacVal,_xlfn.XLOOKUP($A144,Output_Mac!$A:$A,Output_Mac!B:B,""),
_xlpm.MyAuditVal,_xlfn.XLOOKUP($A144,My_Audit!$A:$A,My_Audit!B:B,""),
_xlfn.IFS(_xlpm.MyAuditVal&lt;&gt;"",UPPER(_xlpm.MyAuditVal),_xlpm.MacVal&lt;&gt;"",_xlpm.MacVal,_xlpm.CSVVal&lt;&gt;"",_xlpm.CSVVal
)),"")</f>
        <v/>
      </c>
      <c r="D144" s="55" t="str">
        <f>_xlfn.XLOOKUP(A144,My_Audit!A:A,My_Audit!D:D,"")&amp;""</f>
        <v/>
      </c>
      <c r="E144" s="55" t="str" cm="1">
        <f t="array" ref="E144">IFERROR(_xlfn.LET(
_xlpm.CSVVal,_xlfn.XLOOKUP($A144,CSV!$A:$A,CSV!D:D,""),
_xlpm.MacVal,_xlfn.XLOOKUP($A144,Output_Mac!$A:$A,Output_Mac!C:C,""),
_xlpm.MyAuditVal,_xlfn.XLOOKUP($A144,My_Audit!$A:$A,My_Audit!D:D,""),
_xlfn.IFS(_xlpm.MyAuditVal&lt;&gt;"",_xlpm.MyAuditVal,_xlpm.MacVal&lt;&gt;"",_xlpm.MacVal,_xlpm.CSVVal&lt;&gt;"",_xlpm.CSVVal
)),"")</f>
        <v/>
      </c>
      <c r="F144" s="54" t="str" cm="1">
        <f t="array" ref="F144">IFERROR(_xlfn.LET(
_xlpm.CSVVal,_xlfn.XLOOKUP($A144,CSV!$A:$A,CSV!E:E,""),
_xlpm.MacVal,_xlfn.XLOOKUP($A144,Output_Mac!$A:$A,Output_Mac!F:F,""),
_xlpm.MyAuditVal,_xlfn.XLOOKUP($A144,My_Audit!$A:$A,My_Audit!E:E,""),
_xlfn.IFS(_xlpm.MyAuditVal&lt;&gt;"",_xlpm.MyAuditVal,_xlpm.MacVal&lt;&gt;"",_xlpm.MacVal,_xlpm.CSVVal&lt;&gt;"",PROPER(_xlpm.CSVVal)
)),"")</f>
        <v/>
      </c>
      <c r="G144" s="54" t="str" cm="1">
        <f t="array" ref="G144">IFERROR(_xlfn.LET(
_xlpm.CSVVal,_xlfn.XLOOKUP($A144,CSV!$A:$A,CSV!F:F,""),
_xlpm.MacVal,_xlfn.XLOOKUP($A144,Output_Mac!$A:$A,Output_Mac!H:H,""),
_xlpm.MyAuditVal,_xlfn.XLOOKUP($A144,My_Audit!$A:$A,My_Audit!F:F,""),
_xlfn.IFS(_xlpm.MyAuditVal&lt;&gt;"",_xlpm.MyAuditVal,_xlpm.MacVal&lt;&gt;"",_xlpm.MacVal,_xlpm.CSVVal&lt;&gt;"",_xlpm.CSVVal
)),"")</f>
        <v/>
      </c>
      <c r="H144" s="54" t="str">
        <f>_xlfn.XLOOKUP(A144,Output_Mac!A:A,Output_Mac!I:I,"")</f>
        <v/>
      </c>
      <c r="I144" s="54" t="str" cm="1">
        <f t="array" ref="I144">IFERROR(_xlfn.LET(
_xlpm.CSVVal,_xlfn.XLOOKUP($A144,CSV!$A:$A,CSV!G:G,""),
_xlpm.MacVal,_xlfn.XLOOKUP($A144,Output_Mac!$A:$A,Output_Mac!J:J,""),
_xlpm.MyAuditVal,_xlfn.XLOOKUP($A144,My_Audit!$A:$A,My_Audit!H:H,""),
_xlfn.IFS(_xlpm.MyAuditVal&lt;&gt;"",UPPER(_xlpm.MyAuditVal),_xlpm.MacVal&lt;&gt;"",_xlpm.MacVal,_xlpm.CSVVal&lt;&gt;"",_xlpm.CSVVal
)),"")</f>
        <v/>
      </c>
      <c r="J144" s="54" t="str" cm="1">
        <f t="array" ref="J144">IFERROR(_xlfn.LET(
_xlpm.CSVVal,_xlfn.XLOOKUP($A144,CSV!$A:$A,CSV!I:I,""),
_xlpm.MacVal,_xlfn.XLOOKUP($A144,Output_Mac!$A:$A,Output_Mac!K:K,""),
_xlpm.MyAuditVal,_xlfn.XLOOKUP($A144,My_Audit!$A:$A,My_Audit!I:I,""),
_xlfn.IFS(_xlpm.MyAuditVal&lt;&gt;"",UPPER(_xlpm.MyAuditVal),_xlpm.MacVal&lt;&gt;"",_xlpm.MacVal,_xlpm.CSVVal&lt;&gt;"",_xlpm.CSVVal
)),"")</f>
        <v/>
      </c>
      <c r="K144" s="54" t="str" cm="1">
        <f t="array" ref="K144">IFERROR(_xlfn.LET(
_xlpm.CSVVal,_xlfn.XLOOKUP($A144,CSV!$A:$A,CSV!M:M,""),
_xlpm.MacVal,_xlfn.XLOOKUP($A144,Output_Mac!$A:$A,Output_Mac!L:L,""),
_xlpm.MyAuditVal,_xlfn.XLOOKUP($A144,My_Audit!$A:$A,My_Audit!J:J,""),
_xlfn.IFS(_xlpm.MyAuditVal&lt;&gt;"",UPPER(_xlpm.MyAuditVal),_xlpm.MacVal&lt;&gt;"",_xlpm.MacVal,_xlpm.CSVVal&lt;&gt;"",_xlpm.CSVVal
)),"")</f>
        <v/>
      </c>
      <c r="L144" s="55" t="str" cm="1">
        <f t="array" ref="L144">IFERROR(_xlfn.LET(
_xlpm.CSVVal,_xlfn.XLOOKUP($A144,CSV!$A:$A,CSV!P:P,""),
_xlpm.MacVal,_xlfn.XLOOKUP($A144,Output_Mac!$A:$A,Output_Mac!M:M,""),
_xlpm.MyAuditVal,_xlfn.XLOOKUP($A144,My_Audit!$A:$A,My_Audit!K:K,""),
_xlfn.IFS(_xlpm.MyAuditVal&lt;&gt;"",UPPER(_xlpm.MyAuditVal),_xlpm.MacVal&lt;&gt;"",_xlpm.MacVal,_xlpm.CSVVal&lt;&gt;"",_xlpm.CSVVal
)),"")</f>
        <v/>
      </c>
      <c r="M144" s="54" t="str">
        <f>_xlfn.LET(
    _xlpm.CSVVal, _xlfn.XLOOKUP($A144, CSV!$A:$A, CSV!AD:AD, ""),
    _xlpm.MacVal, _xlfn.XLOOKUP($A144, Output_Mac!$A:$A, Output_Mac!S:S, ""),
    _xlpm.MyAuditVal, _xlfn.XLOOKUP($A144, My_Audit!$A:$A, My_Audit!N:N, ""),
    _xlfn.TEXTJOIN(", ", TRUE, _xlpm.MyAuditVal, _xlpm.MacVal, _xlpm.CSVVal)
)</f>
        <v/>
      </c>
      <c r="N144" s="54" t="str" cm="1">
        <f t="array" ref="N144">IFERROR(_xlfn.LET(
_xlpm.CSVVal,_xlfn.XLOOKUP($A144,CSV!$A:$A,CSV!AF:AF,""),
_xlpm.MacVal,_xlfn.XLOOKUP($A144,Output_Mac!$A:$A,Output_Mac!U:U,""),
_xlpm.MyAuditVal,_xlfn.XLOOKUP($A144,My_Audit!$A:$A,My_Audit!O:O,""),
_xlfn.IFS(_xlpm.MyAuditVal&lt;&gt;"",UPPER(_xlpm.MyAuditVal),_xlpm.MacVal&lt;&gt;"",_xlpm.MacVal,_xlpm.CSVVal&lt;&gt;"",_xlpm.CSVVal
)),"")</f>
        <v/>
      </c>
      <c r="O144" s="54"/>
      <c r="P144" s="54"/>
      <c r="Q144" s="54"/>
      <c r="R144" s="54"/>
      <c r="S144" s="54"/>
      <c r="T144" s="54"/>
      <c r="U144" s="39" t="str">
        <f>_xlfn.LET(
    _xlpm.MacVal, _xlfn.XLOOKUP($A144, Output_Mac!$A:$A, Output_Mac!AB:AB, ""),
    _xlpm.MyAuditVal, _xlfn.XLOOKUP($A144, My_Audit!$A:$A, My_Audit!L:L, ""),
    _xlfn.TEXTJOIN(", ", TRUE, _xlpm.MyAuditVal, _xlpm.MacVal)
)</f>
        <v/>
      </c>
    </row>
    <row r="145" spans="1:21">
      <c r="A145" s="54" t="str">
        <f>_xlfn.TEXTJOIN("",TRUE,Input!$B$2,ROW(My_Audit!A144))</f>
        <v>XX144</v>
      </c>
      <c r="B145" s="54" t="str">
        <f>_xlfn.TEXTJOIN("-",TRUE,"ITD",Input!$A$2,A145)</f>
        <v>ITD-SHRXXX-XX144</v>
      </c>
      <c r="C145" s="54" t="str" cm="1">
        <f t="array" ref="C145">IFERROR(_xlfn.LET(
_xlpm.CSVVal,_xlfn.XLOOKUP($A145,CSV!$A:$A,CSV!B:B,""),
_xlpm.MacVal,_xlfn.XLOOKUP($A145,Output_Mac!$A:$A,Output_Mac!B:B,""),
_xlpm.MyAuditVal,_xlfn.XLOOKUP($A145,My_Audit!$A:$A,My_Audit!B:B,""),
_xlfn.IFS(_xlpm.MyAuditVal&lt;&gt;"",UPPER(_xlpm.MyAuditVal),_xlpm.MacVal&lt;&gt;"",_xlpm.MacVal,_xlpm.CSVVal&lt;&gt;"",_xlpm.CSVVal
)),"")</f>
        <v/>
      </c>
      <c r="D145" s="55" t="str">
        <f>_xlfn.XLOOKUP(A145,My_Audit!A:A,My_Audit!D:D,"")&amp;""</f>
        <v/>
      </c>
      <c r="E145" s="55" t="str" cm="1">
        <f t="array" ref="E145">IFERROR(_xlfn.LET(
_xlpm.CSVVal,_xlfn.XLOOKUP($A145,CSV!$A:$A,CSV!D:D,""),
_xlpm.MacVal,_xlfn.XLOOKUP($A145,Output_Mac!$A:$A,Output_Mac!C:C,""),
_xlpm.MyAuditVal,_xlfn.XLOOKUP($A145,My_Audit!$A:$A,My_Audit!D:D,""),
_xlfn.IFS(_xlpm.MyAuditVal&lt;&gt;"",_xlpm.MyAuditVal,_xlpm.MacVal&lt;&gt;"",_xlpm.MacVal,_xlpm.CSVVal&lt;&gt;"",_xlpm.CSVVal
)),"")</f>
        <v/>
      </c>
      <c r="F145" s="54" t="str" cm="1">
        <f t="array" ref="F145">IFERROR(_xlfn.LET(
_xlpm.CSVVal,_xlfn.XLOOKUP($A145,CSV!$A:$A,CSV!E:E,""),
_xlpm.MacVal,_xlfn.XLOOKUP($A145,Output_Mac!$A:$A,Output_Mac!F:F,""),
_xlpm.MyAuditVal,_xlfn.XLOOKUP($A145,My_Audit!$A:$A,My_Audit!E:E,""),
_xlfn.IFS(_xlpm.MyAuditVal&lt;&gt;"",_xlpm.MyAuditVal,_xlpm.MacVal&lt;&gt;"",_xlpm.MacVal,_xlpm.CSVVal&lt;&gt;"",PROPER(_xlpm.CSVVal)
)),"")</f>
        <v/>
      </c>
      <c r="G145" s="54" t="str" cm="1">
        <f t="array" ref="G145">IFERROR(_xlfn.LET(
_xlpm.CSVVal,_xlfn.XLOOKUP($A145,CSV!$A:$A,CSV!F:F,""),
_xlpm.MacVal,_xlfn.XLOOKUP($A145,Output_Mac!$A:$A,Output_Mac!H:H,""),
_xlpm.MyAuditVal,_xlfn.XLOOKUP($A145,My_Audit!$A:$A,My_Audit!F:F,""),
_xlfn.IFS(_xlpm.MyAuditVal&lt;&gt;"",_xlpm.MyAuditVal,_xlpm.MacVal&lt;&gt;"",_xlpm.MacVal,_xlpm.CSVVal&lt;&gt;"",_xlpm.CSVVal
)),"")</f>
        <v/>
      </c>
      <c r="H145" s="54" t="str">
        <f>_xlfn.XLOOKUP(A145,Output_Mac!A:A,Output_Mac!I:I,"")</f>
        <v/>
      </c>
      <c r="I145" s="54" t="str" cm="1">
        <f t="array" ref="I145">IFERROR(_xlfn.LET(
_xlpm.CSVVal,_xlfn.XLOOKUP($A145,CSV!$A:$A,CSV!G:G,""),
_xlpm.MacVal,_xlfn.XLOOKUP($A145,Output_Mac!$A:$A,Output_Mac!J:J,""),
_xlpm.MyAuditVal,_xlfn.XLOOKUP($A145,My_Audit!$A:$A,My_Audit!H:H,""),
_xlfn.IFS(_xlpm.MyAuditVal&lt;&gt;"",UPPER(_xlpm.MyAuditVal),_xlpm.MacVal&lt;&gt;"",_xlpm.MacVal,_xlpm.CSVVal&lt;&gt;"",_xlpm.CSVVal
)),"")</f>
        <v/>
      </c>
      <c r="J145" s="54" t="str" cm="1">
        <f t="array" ref="J145">IFERROR(_xlfn.LET(
_xlpm.CSVVal,_xlfn.XLOOKUP($A145,CSV!$A:$A,CSV!I:I,""),
_xlpm.MacVal,_xlfn.XLOOKUP($A145,Output_Mac!$A:$A,Output_Mac!K:K,""),
_xlpm.MyAuditVal,_xlfn.XLOOKUP($A145,My_Audit!$A:$A,My_Audit!I:I,""),
_xlfn.IFS(_xlpm.MyAuditVal&lt;&gt;"",UPPER(_xlpm.MyAuditVal),_xlpm.MacVal&lt;&gt;"",_xlpm.MacVal,_xlpm.CSVVal&lt;&gt;"",_xlpm.CSVVal
)),"")</f>
        <v/>
      </c>
      <c r="K145" s="54" t="str" cm="1">
        <f t="array" ref="K145">IFERROR(_xlfn.LET(
_xlpm.CSVVal,_xlfn.XLOOKUP($A145,CSV!$A:$A,CSV!M:M,""),
_xlpm.MacVal,_xlfn.XLOOKUP($A145,Output_Mac!$A:$A,Output_Mac!L:L,""),
_xlpm.MyAuditVal,_xlfn.XLOOKUP($A145,My_Audit!$A:$A,My_Audit!J:J,""),
_xlfn.IFS(_xlpm.MyAuditVal&lt;&gt;"",UPPER(_xlpm.MyAuditVal),_xlpm.MacVal&lt;&gt;"",_xlpm.MacVal,_xlpm.CSVVal&lt;&gt;"",_xlpm.CSVVal
)),"")</f>
        <v/>
      </c>
      <c r="L145" s="55" t="str" cm="1">
        <f t="array" ref="L145">IFERROR(_xlfn.LET(
_xlpm.CSVVal,_xlfn.XLOOKUP($A145,CSV!$A:$A,CSV!P:P,""),
_xlpm.MacVal,_xlfn.XLOOKUP($A145,Output_Mac!$A:$A,Output_Mac!M:M,""),
_xlpm.MyAuditVal,_xlfn.XLOOKUP($A145,My_Audit!$A:$A,My_Audit!K:K,""),
_xlfn.IFS(_xlpm.MyAuditVal&lt;&gt;"",UPPER(_xlpm.MyAuditVal),_xlpm.MacVal&lt;&gt;"",_xlpm.MacVal,_xlpm.CSVVal&lt;&gt;"",_xlpm.CSVVal
)),"")</f>
        <v/>
      </c>
      <c r="M145" s="54" t="str">
        <f>_xlfn.LET(
    _xlpm.CSVVal, _xlfn.XLOOKUP($A145, CSV!$A:$A, CSV!AD:AD, ""),
    _xlpm.MacVal, _xlfn.XLOOKUP($A145, Output_Mac!$A:$A, Output_Mac!S:S, ""),
    _xlpm.MyAuditVal, _xlfn.XLOOKUP($A145, My_Audit!$A:$A, My_Audit!N:N, ""),
    _xlfn.TEXTJOIN(", ", TRUE, _xlpm.MyAuditVal, _xlpm.MacVal, _xlpm.CSVVal)
)</f>
        <v/>
      </c>
      <c r="N145" s="54" t="str" cm="1">
        <f t="array" ref="N145">IFERROR(_xlfn.LET(
_xlpm.CSVVal,_xlfn.XLOOKUP($A145,CSV!$A:$A,CSV!AF:AF,""),
_xlpm.MacVal,_xlfn.XLOOKUP($A145,Output_Mac!$A:$A,Output_Mac!U:U,""),
_xlpm.MyAuditVal,_xlfn.XLOOKUP($A145,My_Audit!$A:$A,My_Audit!O:O,""),
_xlfn.IFS(_xlpm.MyAuditVal&lt;&gt;"",UPPER(_xlpm.MyAuditVal),_xlpm.MacVal&lt;&gt;"",_xlpm.MacVal,_xlpm.CSVVal&lt;&gt;"",_xlpm.CSVVal
)),"")</f>
        <v/>
      </c>
      <c r="O145" s="54"/>
      <c r="P145" s="54"/>
      <c r="Q145" s="54"/>
      <c r="R145" s="54"/>
      <c r="S145" s="54"/>
      <c r="T145" s="54"/>
      <c r="U145" s="39" t="str">
        <f>_xlfn.LET(
    _xlpm.MacVal, _xlfn.XLOOKUP($A145, Output_Mac!$A:$A, Output_Mac!AB:AB, ""),
    _xlpm.MyAuditVal, _xlfn.XLOOKUP($A145, My_Audit!$A:$A, My_Audit!L:L, ""),
    _xlfn.TEXTJOIN(", ", TRUE, _xlpm.MyAuditVal, _xlpm.MacVal)
)</f>
        <v/>
      </c>
    </row>
    <row r="146" spans="1:21">
      <c r="A146" s="54" t="str">
        <f>_xlfn.TEXTJOIN("",TRUE,Input!$B$2,ROW(My_Audit!A145))</f>
        <v>XX145</v>
      </c>
      <c r="B146" s="54" t="str">
        <f>_xlfn.TEXTJOIN("-",TRUE,"ITD",Input!$A$2,A146)</f>
        <v>ITD-SHRXXX-XX145</v>
      </c>
      <c r="C146" s="54" t="str" cm="1">
        <f t="array" ref="C146">IFERROR(_xlfn.LET(
_xlpm.CSVVal,_xlfn.XLOOKUP($A146,CSV!$A:$A,CSV!B:B,""),
_xlpm.MacVal,_xlfn.XLOOKUP($A146,Output_Mac!$A:$A,Output_Mac!B:B,""),
_xlpm.MyAuditVal,_xlfn.XLOOKUP($A146,My_Audit!$A:$A,My_Audit!B:B,""),
_xlfn.IFS(_xlpm.MyAuditVal&lt;&gt;"",UPPER(_xlpm.MyAuditVal),_xlpm.MacVal&lt;&gt;"",_xlpm.MacVal,_xlpm.CSVVal&lt;&gt;"",_xlpm.CSVVal
)),"")</f>
        <v/>
      </c>
      <c r="D146" s="55" t="str">
        <f>_xlfn.XLOOKUP(A146,My_Audit!A:A,My_Audit!D:D,"")&amp;""</f>
        <v/>
      </c>
      <c r="E146" s="55" t="str" cm="1">
        <f t="array" ref="E146">IFERROR(_xlfn.LET(
_xlpm.CSVVal,_xlfn.XLOOKUP($A146,CSV!$A:$A,CSV!D:D,""),
_xlpm.MacVal,_xlfn.XLOOKUP($A146,Output_Mac!$A:$A,Output_Mac!C:C,""),
_xlpm.MyAuditVal,_xlfn.XLOOKUP($A146,My_Audit!$A:$A,My_Audit!D:D,""),
_xlfn.IFS(_xlpm.MyAuditVal&lt;&gt;"",_xlpm.MyAuditVal,_xlpm.MacVal&lt;&gt;"",_xlpm.MacVal,_xlpm.CSVVal&lt;&gt;"",_xlpm.CSVVal
)),"")</f>
        <v/>
      </c>
      <c r="F146" s="54" t="str" cm="1">
        <f t="array" ref="F146">IFERROR(_xlfn.LET(
_xlpm.CSVVal,_xlfn.XLOOKUP($A146,CSV!$A:$A,CSV!E:E,""),
_xlpm.MacVal,_xlfn.XLOOKUP($A146,Output_Mac!$A:$A,Output_Mac!F:F,""),
_xlpm.MyAuditVal,_xlfn.XLOOKUP($A146,My_Audit!$A:$A,My_Audit!E:E,""),
_xlfn.IFS(_xlpm.MyAuditVal&lt;&gt;"",_xlpm.MyAuditVal,_xlpm.MacVal&lt;&gt;"",_xlpm.MacVal,_xlpm.CSVVal&lt;&gt;"",PROPER(_xlpm.CSVVal)
)),"")</f>
        <v/>
      </c>
      <c r="G146" s="54" t="str" cm="1">
        <f t="array" ref="G146">IFERROR(_xlfn.LET(
_xlpm.CSVVal,_xlfn.XLOOKUP($A146,CSV!$A:$A,CSV!F:F,""),
_xlpm.MacVal,_xlfn.XLOOKUP($A146,Output_Mac!$A:$A,Output_Mac!H:H,""),
_xlpm.MyAuditVal,_xlfn.XLOOKUP($A146,My_Audit!$A:$A,My_Audit!F:F,""),
_xlfn.IFS(_xlpm.MyAuditVal&lt;&gt;"",_xlpm.MyAuditVal,_xlpm.MacVal&lt;&gt;"",_xlpm.MacVal,_xlpm.CSVVal&lt;&gt;"",_xlpm.CSVVal
)),"")</f>
        <v/>
      </c>
      <c r="H146" s="54" t="str">
        <f>_xlfn.XLOOKUP(A146,Output_Mac!A:A,Output_Mac!I:I,"")</f>
        <v/>
      </c>
      <c r="I146" s="54" t="str" cm="1">
        <f t="array" ref="I146">IFERROR(_xlfn.LET(
_xlpm.CSVVal,_xlfn.XLOOKUP($A146,CSV!$A:$A,CSV!G:G,""),
_xlpm.MacVal,_xlfn.XLOOKUP($A146,Output_Mac!$A:$A,Output_Mac!J:J,""),
_xlpm.MyAuditVal,_xlfn.XLOOKUP($A146,My_Audit!$A:$A,My_Audit!H:H,""),
_xlfn.IFS(_xlpm.MyAuditVal&lt;&gt;"",UPPER(_xlpm.MyAuditVal),_xlpm.MacVal&lt;&gt;"",_xlpm.MacVal,_xlpm.CSVVal&lt;&gt;"",_xlpm.CSVVal
)),"")</f>
        <v/>
      </c>
      <c r="J146" s="54" t="str" cm="1">
        <f t="array" ref="J146">IFERROR(_xlfn.LET(
_xlpm.CSVVal,_xlfn.XLOOKUP($A146,CSV!$A:$A,CSV!I:I,""),
_xlpm.MacVal,_xlfn.XLOOKUP($A146,Output_Mac!$A:$A,Output_Mac!K:K,""),
_xlpm.MyAuditVal,_xlfn.XLOOKUP($A146,My_Audit!$A:$A,My_Audit!I:I,""),
_xlfn.IFS(_xlpm.MyAuditVal&lt;&gt;"",UPPER(_xlpm.MyAuditVal),_xlpm.MacVal&lt;&gt;"",_xlpm.MacVal,_xlpm.CSVVal&lt;&gt;"",_xlpm.CSVVal
)),"")</f>
        <v/>
      </c>
      <c r="K146" s="54" t="str" cm="1">
        <f t="array" ref="K146">IFERROR(_xlfn.LET(
_xlpm.CSVVal,_xlfn.XLOOKUP($A146,CSV!$A:$A,CSV!M:M,""),
_xlpm.MacVal,_xlfn.XLOOKUP($A146,Output_Mac!$A:$A,Output_Mac!L:L,""),
_xlpm.MyAuditVal,_xlfn.XLOOKUP($A146,My_Audit!$A:$A,My_Audit!J:J,""),
_xlfn.IFS(_xlpm.MyAuditVal&lt;&gt;"",UPPER(_xlpm.MyAuditVal),_xlpm.MacVal&lt;&gt;"",_xlpm.MacVal,_xlpm.CSVVal&lt;&gt;"",_xlpm.CSVVal
)),"")</f>
        <v/>
      </c>
      <c r="L146" s="55" t="str" cm="1">
        <f t="array" ref="L146">IFERROR(_xlfn.LET(
_xlpm.CSVVal,_xlfn.XLOOKUP($A146,CSV!$A:$A,CSV!P:P,""),
_xlpm.MacVal,_xlfn.XLOOKUP($A146,Output_Mac!$A:$A,Output_Mac!M:M,""),
_xlpm.MyAuditVal,_xlfn.XLOOKUP($A146,My_Audit!$A:$A,My_Audit!K:K,""),
_xlfn.IFS(_xlpm.MyAuditVal&lt;&gt;"",UPPER(_xlpm.MyAuditVal),_xlpm.MacVal&lt;&gt;"",_xlpm.MacVal,_xlpm.CSVVal&lt;&gt;"",_xlpm.CSVVal
)),"")</f>
        <v/>
      </c>
      <c r="M146" s="54" t="str">
        <f>_xlfn.LET(
    _xlpm.CSVVal, _xlfn.XLOOKUP($A146, CSV!$A:$A, CSV!AD:AD, ""),
    _xlpm.MacVal, _xlfn.XLOOKUP($A146, Output_Mac!$A:$A, Output_Mac!S:S, ""),
    _xlpm.MyAuditVal, _xlfn.XLOOKUP($A146, My_Audit!$A:$A, My_Audit!N:N, ""),
    _xlfn.TEXTJOIN(", ", TRUE, _xlpm.MyAuditVal, _xlpm.MacVal, _xlpm.CSVVal)
)</f>
        <v/>
      </c>
      <c r="N146" s="54" t="str" cm="1">
        <f t="array" ref="N146">IFERROR(_xlfn.LET(
_xlpm.CSVVal,_xlfn.XLOOKUP($A146,CSV!$A:$A,CSV!AF:AF,""),
_xlpm.MacVal,_xlfn.XLOOKUP($A146,Output_Mac!$A:$A,Output_Mac!U:U,""),
_xlpm.MyAuditVal,_xlfn.XLOOKUP($A146,My_Audit!$A:$A,My_Audit!O:O,""),
_xlfn.IFS(_xlpm.MyAuditVal&lt;&gt;"",UPPER(_xlpm.MyAuditVal),_xlpm.MacVal&lt;&gt;"",_xlpm.MacVal,_xlpm.CSVVal&lt;&gt;"",_xlpm.CSVVal
)),"")</f>
        <v/>
      </c>
      <c r="O146" s="54"/>
      <c r="P146" s="54"/>
      <c r="Q146" s="54"/>
      <c r="R146" s="54"/>
      <c r="S146" s="54"/>
      <c r="T146" s="54"/>
      <c r="U146" s="39" t="str">
        <f>_xlfn.LET(
    _xlpm.MacVal, _xlfn.XLOOKUP($A146, Output_Mac!$A:$A, Output_Mac!AB:AB, ""),
    _xlpm.MyAuditVal, _xlfn.XLOOKUP($A146, My_Audit!$A:$A, My_Audit!L:L, ""),
    _xlfn.TEXTJOIN(", ", TRUE, _xlpm.MyAuditVal, _xlpm.MacVal)
)</f>
        <v/>
      </c>
    </row>
    <row r="147" spans="1:21">
      <c r="A147" s="54" t="str">
        <f>_xlfn.TEXTJOIN("",TRUE,Input!$B$2,ROW(My_Audit!A146))</f>
        <v>XX146</v>
      </c>
      <c r="B147" s="54" t="str">
        <f>_xlfn.TEXTJOIN("-",TRUE,"ITD",Input!$A$2,A147)</f>
        <v>ITD-SHRXXX-XX146</v>
      </c>
      <c r="C147" s="54" t="str" cm="1">
        <f t="array" ref="C147">IFERROR(_xlfn.LET(
_xlpm.CSVVal,_xlfn.XLOOKUP($A147,CSV!$A:$A,CSV!B:B,""),
_xlpm.MacVal,_xlfn.XLOOKUP($A147,Output_Mac!$A:$A,Output_Mac!B:B,""),
_xlpm.MyAuditVal,_xlfn.XLOOKUP($A147,My_Audit!$A:$A,My_Audit!B:B,""),
_xlfn.IFS(_xlpm.MyAuditVal&lt;&gt;"",UPPER(_xlpm.MyAuditVal),_xlpm.MacVal&lt;&gt;"",_xlpm.MacVal,_xlpm.CSVVal&lt;&gt;"",_xlpm.CSVVal
)),"")</f>
        <v/>
      </c>
      <c r="D147" s="55" t="str">
        <f>_xlfn.XLOOKUP(A147,My_Audit!A:A,My_Audit!D:D,"")&amp;""</f>
        <v/>
      </c>
      <c r="E147" s="55" t="str" cm="1">
        <f t="array" ref="E147">IFERROR(_xlfn.LET(
_xlpm.CSVVal,_xlfn.XLOOKUP($A147,CSV!$A:$A,CSV!D:D,""),
_xlpm.MacVal,_xlfn.XLOOKUP($A147,Output_Mac!$A:$A,Output_Mac!C:C,""),
_xlpm.MyAuditVal,_xlfn.XLOOKUP($A147,My_Audit!$A:$A,My_Audit!D:D,""),
_xlfn.IFS(_xlpm.MyAuditVal&lt;&gt;"",_xlpm.MyAuditVal,_xlpm.MacVal&lt;&gt;"",_xlpm.MacVal,_xlpm.CSVVal&lt;&gt;"",_xlpm.CSVVal
)),"")</f>
        <v/>
      </c>
      <c r="F147" s="54" t="str" cm="1">
        <f t="array" ref="F147">IFERROR(_xlfn.LET(
_xlpm.CSVVal,_xlfn.XLOOKUP($A147,CSV!$A:$A,CSV!E:E,""),
_xlpm.MacVal,_xlfn.XLOOKUP($A147,Output_Mac!$A:$A,Output_Mac!F:F,""),
_xlpm.MyAuditVal,_xlfn.XLOOKUP($A147,My_Audit!$A:$A,My_Audit!E:E,""),
_xlfn.IFS(_xlpm.MyAuditVal&lt;&gt;"",_xlpm.MyAuditVal,_xlpm.MacVal&lt;&gt;"",_xlpm.MacVal,_xlpm.CSVVal&lt;&gt;"",PROPER(_xlpm.CSVVal)
)),"")</f>
        <v/>
      </c>
      <c r="G147" s="54" t="str" cm="1">
        <f t="array" ref="G147">IFERROR(_xlfn.LET(
_xlpm.CSVVal,_xlfn.XLOOKUP($A147,CSV!$A:$A,CSV!F:F,""),
_xlpm.MacVal,_xlfn.XLOOKUP($A147,Output_Mac!$A:$A,Output_Mac!H:H,""),
_xlpm.MyAuditVal,_xlfn.XLOOKUP($A147,My_Audit!$A:$A,My_Audit!F:F,""),
_xlfn.IFS(_xlpm.MyAuditVal&lt;&gt;"",_xlpm.MyAuditVal,_xlpm.MacVal&lt;&gt;"",_xlpm.MacVal,_xlpm.CSVVal&lt;&gt;"",_xlpm.CSVVal
)),"")</f>
        <v/>
      </c>
      <c r="H147" s="54" t="str">
        <f>_xlfn.XLOOKUP(A147,Output_Mac!A:A,Output_Mac!I:I,"")</f>
        <v/>
      </c>
      <c r="I147" s="54" t="str" cm="1">
        <f t="array" ref="I147">IFERROR(_xlfn.LET(
_xlpm.CSVVal,_xlfn.XLOOKUP($A147,CSV!$A:$A,CSV!G:G,""),
_xlpm.MacVal,_xlfn.XLOOKUP($A147,Output_Mac!$A:$A,Output_Mac!J:J,""),
_xlpm.MyAuditVal,_xlfn.XLOOKUP($A147,My_Audit!$A:$A,My_Audit!H:H,""),
_xlfn.IFS(_xlpm.MyAuditVal&lt;&gt;"",UPPER(_xlpm.MyAuditVal),_xlpm.MacVal&lt;&gt;"",_xlpm.MacVal,_xlpm.CSVVal&lt;&gt;"",_xlpm.CSVVal
)),"")</f>
        <v/>
      </c>
      <c r="J147" s="54" t="str" cm="1">
        <f t="array" ref="J147">IFERROR(_xlfn.LET(
_xlpm.CSVVal,_xlfn.XLOOKUP($A147,CSV!$A:$A,CSV!I:I,""),
_xlpm.MacVal,_xlfn.XLOOKUP($A147,Output_Mac!$A:$A,Output_Mac!K:K,""),
_xlpm.MyAuditVal,_xlfn.XLOOKUP($A147,My_Audit!$A:$A,My_Audit!I:I,""),
_xlfn.IFS(_xlpm.MyAuditVal&lt;&gt;"",UPPER(_xlpm.MyAuditVal),_xlpm.MacVal&lt;&gt;"",_xlpm.MacVal,_xlpm.CSVVal&lt;&gt;"",_xlpm.CSVVal
)),"")</f>
        <v/>
      </c>
      <c r="K147" s="54" t="str" cm="1">
        <f t="array" ref="K147">IFERROR(_xlfn.LET(
_xlpm.CSVVal,_xlfn.XLOOKUP($A147,CSV!$A:$A,CSV!M:M,""),
_xlpm.MacVal,_xlfn.XLOOKUP($A147,Output_Mac!$A:$A,Output_Mac!L:L,""),
_xlpm.MyAuditVal,_xlfn.XLOOKUP($A147,My_Audit!$A:$A,My_Audit!J:J,""),
_xlfn.IFS(_xlpm.MyAuditVal&lt;&gt;"",UPPER(_xlpm.MyAuditVal),_xlpm.MacVal&lt;&gt;"",_xlpm.MacVal,_xlpm.CSVVal&lt;&gt;"",_xlpm.CSVVal
)),"")</f>
        <v/>
      </c>
      <c r="L147" s="55" t="str" cm="1">
        <f t="array" ref="L147">IFERROR(_xlfn.LET(
_xlpm.CSVVal,_xlfn.XLOOKUP($A147,CSV!$A:$A,CSV!P:P,""),
_xlpm.MacVal,_xlfn.XLOOKUP($A147,Output_Mac!$A:$A,Output_Mac!M:M,""),
_xlpm.MyAuditVal,_xlfn.XLOOKUP($A147,My_Audit!$A:$A,My_Audit!K:K,""),
_xlfn.IFS(_xlpm.MyAuditVal&lt;&gt;"",UPPER(_xlpm.MyAuditVal),_xlpm.MacVal&lt;&gt;"",_xlpm.MacVal,_xlpm.CSVVal&lt;&gt;"",_xlpm.CSVVal
)),"")</f>
        <v/>
      </c>
      <c r="M147" s="54" t="str">
        <f>_xlfn.LET(
    _xlpm.CSVVal, _xlfn.XLOOKUP($A147, CSV!$A:$A, CSV!AD:AD, ""),
    _xlpm.MacVal, _xlfn.XLOOKUP($A147, Output_Mac!$A:$A, Output_Mac!S:S, ""),
    _xlpm.MyAuditVal, _xlfn.XLOOKUP($A147, My_Audit!$A:$A, My_Audit!N:N, ""),
    _xlfn.TEXTJOIN(", ", TRUE, _xlpm.MyAuditVal, _xlpm.MacVal, _xlpm.CSVVal)
)</f>
        <v/>
      </c>
      <c r="N147" s="54" t="str" cm="1">
        <f t="array" ref="N147">IFERROR(_xlfn.LET(
_xlpm.CSVVal,_xlfn.XLOOKUP($A147,CSV!$A:$A,CSV!AF:AF,""),
_xlpm.MacVal,_xlfn.XLOOKUP($A147,Output_Mac!$A:$A,Output_Mac!U:U,""),
_xlpm.MyAuditVal,_xlfn.XLOOKUP($A147,My_Audit!$A:$A,My_Audit!O:O,""),
_xlfn.IFS(_xlpm.MyAuditVal&lt;&gt;"",UPPER(_xlpm.MyAuditVal),_xlpm.MacVal&lt;&gt;"",_xlpm.MacVal,_xlpm.CSVVal&lt;&gt;"",_xlpm.CSVVal
)),"")</f>
        <v/>
      </c>
      <c r="O147" s="54"/>
      <c r="P147" s="54"/>
      <c r="Q147" s="54"/>
      <c r="R147" s="54"/>
      <c r="S147" s="54"/>
      <c r="T147" s="54"/>
      <c r="U147" s="39" t="str">
        <f>_xlfn.LET(
    _xlpm.MacVal, _xlfn.XLOOKUP($A147, Output_Mac!$A:$A, Output_Mac!AB:AB, ""),
    _xlpm.MyAuditVal, _xlfn.XLOOKUP($A147, My_Audit!$A:$A, My_Audit!L:L, ""),
    _xlfn.TEXTJOIN(", ", TRUE, _xlpm.MyAuditVal, _xlpm.MacVal)
)</f>
        <v/>
      </c>
    </row>
    <row r="148" spans="1:21">
      <c r="A148" s="54" t="str">
        <f>_xlfn.TEXTJOIN("",TRUE,Input!$B$2,ROW(My_Audit!A147))</f>
        <v>XX147</v>
      </c>
      <c r="B148" s="54" t="str">
        <f>_xlfn.TEXTJOIN("-",TRUE,"ITD",Input!$A$2,A148)</f>
        <v>ITD-SHRXXX-XX147</v>
      </c>
      <c r="C148" s="54" t="str" cm="1">
        <f t="array" ref="C148">IFERROR(_xlfn.LET(
_xlpm.CSVVal,_xlfn.XLOOKUP($A148,CSV!$A:$A,CSV!B:B,""),
_xlpm.MacVal,_xlfn.XLOOKUP($A148,Output_Mac!$A:$A,Output_Mac!B:B,""),
_xlpm.MyAuditVal,_xlfn.XLOOKUP($A148,My_Audit!$A:$A,My_Audit!B:B,""),
_xlfn.IFS(_xlpm.MyAuditVal&lt;&gt;"",UPPER(_xlpm.MyAuditVal),_xlpm.MacVal&lt;&gt;"",_xlpm.MacVal,_xlpm.CSVVal&lt;&gt;"",_xlpm.CSVVal
)),"")</f>
        <v/>
      </c>
      <c r="D148" s="55" t="str">
        <f>_xlfn.XLOOKUP(A148,My_Audit!A:A,My_Audit!D:D,"")&amp;""</f>
        <v/>
      </c>
      <c r="E148" s="55" t="str" cm="1">
        <f t="array" ref="E148">IFERROR(_xlfn.LET(
_xlpm.CSVVal,_xlfn.XLOOKUP($A148,CSV!$A:$A,CSV!D:D,""),
_xlpm.MacVal,_xlfn.XLOOKUP($A148,Output_Mac!$A:$A,Output_Mac!C:C,""),
_xlpm.MyAuditVal,_xlfn.XLOOKUP($A148,My_Audit!$A:$A,My_Audit!D:D,""),
_xlfn.IFS(_xlpm.MyAuditVal&lt;&gt;"",_xlpm.MyAuditVal,_xlpm.MacVal&lt;&gt;"",_xlpm.MacVal,_xlpm.CSVVal&lt;&gt;"",_xlpm.CSVVal
)),"")</f>
        <v/>
      </c>
      <c r="F148" s="54" t="str" cm="1">
        <f t="array" ref="F148">IFERROR(_xlfn.LET(
_xlpm.CSVVal,_xlfn.XLOOKUP($A148,CSV!$A:$A,CSV!E:E,""),
_xlpm.MacVal,_xlfn.XLOOKUP($A148,Output_Mac!$A:$A,Output_Mac!F:F,""),
_xlpm.MyAuditVal,_xlfn.XLOOKUP($A148,My_Audit!$A:$A,My_Audit!E:E,""),
_xlfn.IFS(_xlpm.MyAuditVal&lt;&gt;"",_xlpm.MyAuditVal,_xlpm.MacVal&lt;&gt;"",_xlpm.MacVal,_xlpm.CSVVal&lt;&gt;"",PROPER(_xlpm.CSVVal)
)),"")</f>
        <v/>
      </c>
      <c r="G148" s="54" t="str" cm="1">
        <f t="array" ref="G148">IFERROR(_xlfn.LET(
_xlpm.CSVVal,_xlfn.XLOOKUP($A148,CSV!$A:$A,CSV!F:F,""),
_xlpm.MacVal,_xlfn.XLOOKUP($A148,Output_Mac!$A:$A,Output_Mac!H:H,""),
_xlpm.MyAuditVal,_xlfn.XLOOKUP($A148,My_Audit!$A:$A,My_Audit!F:F,""),
_xlfn.IFS(_xlpm.MyAuditVal&lt;&gt;"",_xlpm.MyAuditVal,_xlpm.MacVal&lt;&gt;"",_xlpm.MacVal,_xlpm.CSVVal&lt;&gt;"",_xlpm.CSVVal
)),"")</f>
        <v/>
      </c>
      <c r="H148" s="54" t="str">
        <f>_xlfn.XLOOKUP(A148,Output_Mac!A:A,Output_Mac!I:I,"")</f>
        <v/>
      </c>
      <c r="I148" s="54" t="str" cm="1">
        <f t="array" ref="I148">IFERROR(_xlfn.LET(
_xlpm.CSVVal,_xlfn.XLOOKUP($A148,CSV!$A:$A,CSV!G:G,""),
_xlpm.MacVal,_xlfn.XLOOKUP($A148,Output_Mac!$A:$A,Output_Mac!J:J,""),
_xlpm.MyAuditVal,_xlfn.XLOOKUP($A148,My_Audit!$A:$A,My_Audit!H:H,""),
_xlfn.IFS(_xlpm.MyAuditVal&lt;&gt;"",UPPER(_xlpm.MyAuditVal),_xlpm.MacVal&lt;&gt;"",_xlpm.MacVal,_xlpm.CSVVal&lt;&gt;"",_xlpm.CSVVal
)),"")</f>
        <v/>
      </c>
      <c r="J148" s="54" t="str" cm="1">
        <f t="array" ref="J148">IFERROR(_xlfn.LET(
_xlpm.CSVVal,_xlfn.XLOOKUP($A148,CSV!$A:$A,CSV!I:I,""),
_xlpm.MacVal,_xlfn.XLOOKUP($A148,Output_Mac!$A:$A,Output_Mac!K:K,""),
_xlpm.MyAuditVal,_xlfn.XLOOKUP($A148,My_Audit!$A:$A,My_Audit!I:I,""),
_xlfn.IFS(_xlpm.MyAuditVal&lt;&gt;"",UPPER(_xlpm.MyAuditVal),_xlpm.MacVal&lt;&gt;"",_xlpm.MacVal,_xlpm.CSVVal&lt;&gt;"",_xlpm.CSVVal
)),"")</f>
        <v/>
      </c>
      <c r="K148" s="54" t="str" cm="1">
        <f t="array" ref="K148">IFERROR(_xlfn.LET(
_xlpm.CSVVal,_xlfn.XLOOKUP($A148,CSV!$A:$A,CSV!M:M,""),
_xlpm.MacVal,_xlfn.XLOOKUP($A148,Output_Mac!$A:$A,Output_Mac!L:L,""),
_xlpm.MyAuditVal,_xlfn.XLOOKUP($A148,My_Audit!$A:$A,My_Audit!J:J,""),
_xlfn.IFS(_xlpm.MyAuditVal&lt;&gt;"",UPPER(_xlpm.MyAuditVal),_xlpm.MacVal&lt;&gt;"",_xlpm.MacVal,_xlpm.CSVVal&lt;&gt;"",_xlpm.CSVVal
)),"")</f>
        <v/>
      </c>
      <c r="L148" s="55" t="str" cm="1">
        <f t="array" ref="L148">IFERROR(_xlfn.LET(
_xlpm.CSVVal,_xlfn.XLOOKUP($A148,CSV!$A:$A,CSV!P:P,""),
_xlpm.MacVal,_xlfn.XLOOKUP($A148,Output_Mac!$A:$A,Output_Mac!M:M,""),
_xlpm.MyAuditVal,_xlfn.XLOOKUP($A148,My_Audit!$A:$A,My_Audit!K:K,""),
_xlfn.IFS(_xlpm.MyAuditVal&lt;&gt;"",UPPER(_xlpm.MyAuditVal),_xlpm.MacVal&lt;&gt;"",_xlpm.MacVal,_xlpm.CSVVal&lt;&gt;"",_xlpm.CSVVal
)),"")</f>
        <v/>
      </c>
      <c r="M148" s="54" t="str">
        <f>_xlfn.LET(
    _xlpm.CSVVal, _xlfn.XLOOKUP($A148, CSV!$A:$A, CSV!AD:AD, ""),
    _xlpm.MacVal, _xlfn.XLOOKUP($A148, Output_Mac!$A:$A, Output_Mac!S:S, ""),
    _xlpm.MyAuditVal, _xlfn.XLOOKUP($A148, My_Audit!$A:$A, My_Audit!N:N, ""),
    _xlfn.TEXTJOIN(", ", TRUE, _xlpm.MyAuditVal, _xlpm.MacVal, _xlpm.CSVVal)
)</f>
        <v/>
      </c>
      <c r="N148" s="54" t="str" cm="1">
        <f t="array" ref="N148">IFERROR(_xlfn.LET(
_xlpm.CSVVal,_xlfn.XLOOKUP($A148,CSV!$A:$A,CSV!AF:AF,""),
_xlpm.MacVal,_xlfn.XLOOKUP($A148,Output_Mac!$A:$A,Output_Mac!U:U,""),
_xlpm.MyAuditVal,_xlfn.XLOOKUP($A148,My_Audit!$A:$A,My_Audit!O:O,""),
_xlfn.IFS(_xlpm.MyAuditVal&lt;&gt;"",UPPER(_xlpm.MyAuditVal),_xlpm.MacVal&lt;&gt;"",_xlpm.MacVal,_xlpm.CSVVal&lt;&gt;"",_xlpm.CSVVal
)),"")</f>
        <v/>
      </c>
      <c r="O148" s="54"/>
      <c r="P148" s="54"/>
      <c r="Q148" s="54"/>
      <c r="R148" s="54"/>
      <c r="S148" s="54"/>
      <c r="T148" s="54"/>
      <c r="U148" s="39" t="str">
        <f>_xlfn.LET(
    _xlpm.MacVal, _xlfn.XLOOKUP($A148, Output_Mac!$A:$A, Output_Mac!AB:AB, ""),
    _xlpm.MyAuditVal, _xlfn.XLOOKUP($A148, My_Audit!$A:$A, My_Audit!L:L, ""),
    _xlfn.TEXTJOIN(", ", TRUE, _xlpm.MyAuditVal, _xlpm.MacVal)
)</f>
        <v/>
      </c>
    </row>
    <row r="149" spans="1:21">
      <c r="A149" s="54" t="str">
        <f>_xlfn.TEXTJOIN("",TRUE,Input!$B$2,ROW(My_Audit!A148))</f>
        <v>XX148</v>
      </c>
      <c r="B149" s="54" t="str">
        <f>_xlfn.TEXTJOIN("-",TRUE,"ITD",Input!$A$2,A149)</f>
        <v>ITD-SHRXXX-XX148</v>
      </c>
      <c r="C149" s="54" t="str" cm="1">
        <f t="array" ref="C149">IFERROR(_xlfn.LET(
_xlpm.CSVVal,_xlfn.XLOOKUP($A149,CSV!$A:$A,CSV!B:B,""),
_xlpm.MacVal,_xlfn.XLOOKUP($A149,Output_Mac!$A:$A,Output_Mac!B:B,""),
_xlpm.MyAuditVal,_xlfn.XLOOKUP($A149,My_Audit!$A:$A,My_Audit!B:B,""),
_xlfn.IFS(_xlpm.MyAuditVal&lt;&gt;"",UPPER(_xlpm.MyAuditVal),_xlpm.MacVal&lt;&gt;"",_xlpm.MacVal,_xlpm.CSVVal&lt;&gt;"",_xlpm.CSVVal
)),"")</f>
        <v/>
      </c>
      <c r="D149" s="55" t="str">
        <f>_xlfn.XLOOKUP(A149,My_Audit!A:A,My_Audit!D:D,"")&amp;""</f>
        <v/>
      </c>
      <c r="E149" s="55" t="str" cm="1">
        <f t="array" ref="E149">IFERROR(_xlfn.LET(
_xlpm.CSVVal,_xlfn.XLOOKUP($A149,CSV!$A:$A,CSV!D:D,""),
_xlpm.MacVal,_xlfn.XLOOKUP($A149,Output_Mac!$A:$A,Output_Mac!C:C,""),
_xlpm.MyAuditVal,_xlfn.XLOOKUP($A149,My_Audit!$A:$A,My_Audit!D:D,""),
_xlfn.IFS(_xlpm.MyAuditVal&lt;&gt;"",_xlpm.MyAuditVal,_xlpm.MacVal&lt;&gt;"",_xlpm.MacVal,_xlpm.CSVVal&lt;&gt;"",_xlpm.CSVVal
)),"")</f>
        <v/>
      </c>
      <c r="F149" s="54" t="str" cm="1">
        <f t="array" ref="F149">IFERROR(_xlfn.LET(
_xlpm.CSVVal,_xlfn.XLOOKUP($A149,CSV!$A:$A,CSV!E:E,""),
_xlpm.MacVal,_xlfn.XLOOKUP($A149,Output_Mac!$A:$A,Output_Mac!F:F,""),
_xlpm.MyAuditVal,_xlfn.XLOOKUP($A149,My_Audit!$A:$A,My_Audit!E:E,""),
_xlfn.IFS(_xlpm.MyAuditVal&lt;&gt;"",_xlpm.MyAuditVal,_xlpm.MacVal&lt;&gt;"",_xlpm.MacVal,_xlpm.CSVVal&lt;&gt;"",PROPER(_xlpm.CSVVal)
)),"")</f>
        <v/>
      </c>
      <c r="G149" s="54" t="str" cm="1">
        <f t="array" ref="G149">IFERROR(_xlfn.LET(
_xlpm.CSVVal,_xlfn.XLOOKUP($A149,CSV!$A:$A,CSV!F:F,""),
_xlpm.MacVal,_xlfn.XLOOKUP($A149,Output_Mac!$A:$A,Output_Mac!H:H,""),
_xlpm.MyAuditVal,_xlfn.XLOOKUP($A149,My_Audit!$A:$A,My_Audit!F:F,""),
_xlfn.IFS(_xlpm.MyAuditVal&lt;&gt;"",_xlpm.MyAuditVal,_xlpm.MacVal&lt;&gt;"",_xlpm.MacVal,_xlpm.CSVVal&lt;&gt;"",_xlpm.CSVVal
)),"")</f>
        <v/>
      </c>
      <c r="H149" s="54" t="str">
        <f>_xlfn.XLOOKUP(A149,Output_Mac!A:A,Output_Mac!I:I,"")</f>
        <v/>
      </c>
      <c r="I149" s="54" t="str" cm="1">
        <f t="array" ref="I149">IFERROR(_xlfn.LET(
_xlpm.CSVVal,_xlfn.XLOOKUP($A149,CSV!$A:$A,CSV!G:G,""),
_xlpm.MacVal,_xlfn.XLOOKUP($A149,Output_Mac!$A:$A,Output_Mac!J:J,""),
_xlpm.MyAuditVal,_xlfn.XLOOKUP($A149,My_Audit!$A:$A,My_Audit!H:H,""),
_xlfn.IFS(_xlpm.MyAuditVal&lt;&gt;"",UPPER(_xlpm.MyAuditVal),_xlpm.MacVal&lt;&gt;"",_xlpm.MacVal,_xlpm.CSVVal&lt;&gt;"",_xlpm.CSVVal
)),"")</f>
        <v/>
      </c>
      <c r="J149" s="54" t="str" cm="1">
        <f t="array" ref="J149">IFERROR(_xlfn.LET(
_xlpm.CSVVal,_xlfn.XLOOKUP($A149,CSV!$A:$A,CSV!I:I,""),
_xlpm.MacVal,_xlfn.XLOOKUP($A149,Output_Mac!$A:$A,Output_Mac!K:K,""),
_xlpm.MyAuditVal,_xlfn.XLOOKUP($A149,My_Audit!$A:$A,My_Audit!I:I,""),
_xlfn.IFS(_xlpm.MyAuditVal&lt;&gt;"",UPPER(_xlpm.MyAuditVal),_xlpm.MacVal&lt;&gt;"",_xlpm.MacVal,_xlpm.CSVVal&lt;&gt;"",_xlpm.CSVVal
)),"")</f>
        <v/>
      </c>
      <c r="K149" s="54" t="str" cm="1">
        <f t="array" ref="K149">IFERROR(_xlfn.LET(
_xlpm.CSVVal,_xlfn.XLOOKUP($A149,CSV!$A:$A,CSV!M:M,""),
_xlpm.MacVal,_xlfn.XLOOKUP($A149,Output_Mac!$A:$A,Output_Mac!L:L,""),
_xlpm.MyAuditVal,_xlfn.XLOOKUP($A149,My_Audit!$A:$A,My_Audit!J:J,""),
_xlfn.IFS(_xlpm.MyAuditVal&lt;&gt;"",UPPER(_xlpm.MyAuditVal),_xlpm.MacVal&lt;&gt;"",_xlpm.MacVal,_xlpm.CSVVal&lt;&gt;"",_xlpm.CSVVal
)),"")</f>
        <v/>
      </c>
      <c r="L149" s="55" t="str" cm="1">
        <f t="array" ref="L149">IFERROR(_xlfn.LET(
_xlpm.CSVVal,_xlfn.XLOOKUP($A149,CSV!$A:$A,CSV!P:P,""),
_xlpm.MacVal,_xlfn.XLOOKUP($A149,Output_Mac!$A:$A,Output_Mac!M:M,""),
_xlpm.MyAuditVal,_xlfn.XLOOKUP($A149,My_Audit!$A:$A,My_Audit!K:K,""),
_xlfn.IFS(_xlpm.MyAuditVal&lt;&gt;"",UPPER(_xlpm.MyAuditVal),_xlpm.MacVal&lt;&gt;"",_xlpm.MacVal,_xlpm.CSVVal&lt;&gt;"",_xlpm.CSVVal
)),"")</f>
        <v/>
      </c>
      <c r="M149" s="54" t="str">
        <f>_xlfn.LET(
    _xlpm.CSVVal, _xlfn.XLOOKUP($A149, CSV!$A:$A, CSV!AD:AD, ""),
    _xlpm.MacVal, _xlfn.XLOOKUP($A149, Output_Mac!$A:$A, Output_Mac!S:S, ""),
    _xlpm.MyAuditVal, _xlfn.XLOOKUP($A149, My_Audit!$A:$A, My_Audit!N:N, ""),
    _xlfn.TEXTJOIN(", ", TRUE, _xlpm.MyAuditVal, _xlpm.MacVal, _xlpm.CSVVal)
)</f>
        <v/>
      </c>
      <c r="N149" s="54" t="str" cm="1">
        <f t="array" ref="N149">IFERROR(_xlfn.LET(
_xlpm.CSVVal,_xlfn.XLOOKUP($A149,CSV!$A:$A,CSV!AF:AF,""),
_xlpm.MacVal,_xlfn.XLOOKUP($A149,Output_Mac!$A:$A,Output_Mac!U:U,""),
_xlpm.MyAuditVal,_xlfn.XLOOKUP($A149,My_Audit!$A:$A,My_Audit!O:O,""),
_xlfn.IFS(_xlpm.MyAuditVal&lt;&gt;"",UPPER(_xlpm.MyAuditVal),_xlpm.MacVal&lt;&gt;"",_xlpm.MacVal,_xlpm.CSVVal&lt;&gt;"",_xlpm.CSVVal
)),"")</f>
        <v/>
      </c>
      <c r="O149" s="54"/>
      <c r="P149" s="54"/>
      <c r="Q149" s="54"/>
      <c r="R149" s="54"/>
      <c r="S149" s="54"/>
      <c r="T149" s="54"/>
      <c r="U149" s="39" t="str">
        <f>_xlfn.LET(
    _xlpm.MacVal, _xlfn.XLOOKUP($A149, Output_Mac!$A:$A, Output_Mac!AB:AB, ""),
    _xlpm.MyAuditVal, _xlfn.XLOOKUP($A149, My_Audit!$A:$A, My_Audit!L:L, ""),
    _xlfn.TEXTJOIN(", ", TRUE, _xlpm.MyAuditVal, _xlpm.MacVal)
)</f>
        <v/>
      </c>
    </row>
    <row r="150" spans="1:21">
      <c r="A150" s="54" t="str">
        <f>_xlfn.TEXTJOIN("",TRUE,Input!$B$2,ROW(My_Audit!A149))</f>
        <v>XX149</v>
      </c>
      <c r="B150" s="54" t="str">
        <f>_xlfn.TEXTJOIN("-",TRUE,"ITD",Input!$A$2,A150)</f>
        <v>ITD-SHRXXX-XX149</v>
      </c>
      <c r="C150" s="54" t="str" cm="1">
        <f t="array" ref="C150">IFERROR(_xlfn.LET(
_xlpm.CSVVal,_xlfn.XLOOKUP($A150,CSV!$A:$A,CSV!B:B,""),
_xlpm.MacVal,_xlfn.XLOOKUP($A150,Output_Mac!$A:$A,Output_Mac!B:B,""),
_xlpm.MyAuditVal,_xlfn.XLOOKUP($A150,My_Audit!$A:$A,My_Audit!B:B,""),
_xlfn.IFS(_xlpm.MyAuditVal&lt;&gt;"",UPPER(_xlpm.MyAuditVal),_xlpm.MacVal&lt;&gt;"",_xlpm.MacVal,_xlpm.CSVVal&lt;&gt;"",_xlpm.CSVVal
)),"")</f>
        <v/>
      </c>
      <c r="D150" s="55" t="str">
        <f>_xlfn.XLOOKUP(A150,My_Audit!A:A,My_Audit!D:D,"")&amp;""</f>
        <v/>
      </c>
      <c r="E150" s="55" t="str" cm="1">
        <f t="array" ref="E150">IFERROR(_xlfn.LET(
_xlpm.CSVVal,_xlfn.XLOOKUP($A150,CSV!$A:$A,CSV!D:D,""),
_xlpm.MacVal,_xlfn.XLOOKUP($A150,Output_Mac!$A:$A,Output_Mac!C:C,""),
_xlpm.MyAuditVal,_xlfn.XLOOKUP($A150,My_Audit!$A:$A,My_Audit!D:D,""),
_xlfn.IFS(_xlpm.MyAuditVal&lt;&gt;"",_xlpm.MyAuditVal,_xlpm.MacVal&lt;&gt;"",_xlpm.MacVal,_xlpm.CSVVal&lt;&gt;"",_xlpm.CSVVal
)),"")</f>
        <v/>
      </c>
      <c r="F150" s="54" t="str" cm="1">
        <f t="array" ref="F150">IFERROR(_xlfn.LET(
_xlpm.CSVVal,_xlfn.XLOOKUP($A150,CSV!$A:$A,CSV!E:E,""),
_xlpm.MacVal,_xlfn.XLOOKUP($A150,Output_Mac!$A:$A,Output_Mac!F:F,""),
_xlpm.MyAuditVal,_xlfn.XLOOKUP($A150,My_Audit!$A:$A,My_Audit!E:E,""),
_xlfn.IFS(_xlpm.MyAuditVal&lt;&gt;"",_xlpm.MyAuditVal,_xlpm.MacVal&lt;&gt;"",_xlpm.MacVal,_xlpm.CSVVal&lt;&gt;"",PROPER(_xlpm.CSVVal)
)),"")</f>
        <v/>
      </c>
      <c r="G150" s="54" t="str" cm="1">
        <f t="array" ref="G150">IFERROR(_xlfn.LET(
_xlpm.CSVVal,_xlfn.XLOOKUP($A150,CSV!$A:$A,CSV!F:F,""),
_xlpm.MacVal,_xlfn.XLOOKUP($A150,Output_Mac!$A:$A,Output_Mac!H:H,""),
_xlpm.MyAuditVal,_xlfn.XLOOKUP($A150,My_Audit!$A:$A,My_Audit!F:F,""),
_xlfn.IFS(_xlpm.MyAuditVal&lt;&gt;"",_xlpm.MyAuditVal,_xlpm.MacVal&lt;&gt;"",_xlpm.MacVal,_xlpm.CSVVal&lt;&gt;"",_xlpm.CSVVal
)),"")</f>
        <v/>
      </c>
      <c r="H150" s="54" t="str">
        <f>_xlfn.XLOOKUP(A150,Output_Mac!A:A,Output_Mac!I:I,"")</f>
        <v/>
      </c>
      <c r="I150" s="54" t="str" cm="1">
        <f t="array" ref="I150">IFERROR(_xlfn.LET(
_xlpm.CSVVal,_xlfn.XLOOKUP($A150,CSV!$A:$A,CSV!G:G,""),
_xlpm.MacVal,_xlfn.XLOOKUP($A150,Output_Mac!$A:$A,Output_Mac!J:J,""),
_xlpm.MyAuditVal,_xlfn.XLOOKUP($A150,My_Audit!$A:$A,My_Audit!H:H,""),
_xlfn.IFS(_xlpm.MyAuditVal&lt;&gt;"",UPPER(_xlpm.MyAuditVal),_xlpm.MacVal&lt;&gt;"",_xlpm.MacVal,_xlpm.CSVVal&lt;&gt;"",_xlpm.CSVVal
)),"")</f>
        <v/>
      </c>
      <c r="J150" s="54" t="str" cm="1">
        <f t="array" ref="J150">IFERROR(_xlfn.LET(
_xlpm.CSVVal,_xlfn.XLOOKUP($A150,CSV!$A:$A,CSV!I:I,""),
_xlpm.MacVal,_xlfn.XLOOKUP($A150,Output_Mac!$A:$A,Output_Mac!K:K,""),
_xlpm.MyAuditVal,_xlfn.XLOOKUP($A150,My_Audit!$A:$A,My_Audit!I:I,""),
_xlfn.IFS(_xlpm.MyAuditVal&lt;&gt;"",UPPER(_xlpm.MyAuditVal),_xlpm.MacVal&lt;&gt;"",_xlpm.MacVal,_xlpm.CSVVal&lt;&gt;"",_xlpm.CSVVal
)),"")</f>
        <v/>
      </c>
      <c r="K150" s="54" t="str" cm="1">
        <f t="array" ref="K150">IFERROR(_xlfn.LET(
_xlpm.CSVVal,_xlfn.XLOOKUP($A150,CSV!$A:$A,CSV!M:M,""),
_xlpm.MacVal,_xlfn.XLOOKUP($A150,Output_Mac!$A:$A,Output_Mac!L:L,""),
_xlpm.MyAuditVal,_xlfn.XLOOKUP($A150,My_Audit!$A:$A,My_Audit!J:J,""),
_xlfn.IFS(_xlpm.MyAuditVal&lt;&gt;"",UPPER(_xlpm.MyAuditVal),_xlpm.MacVal&lt;&gt;"",_xlpm.MacVal,_xlpm.CSVVal&lt;&gt;"",_xlpm.CSVVal
)),"")</f>
        <v/>
      </c>
      <c r="L150" s="55" t="str" cm="1">
        <f t="array" ref="L150">IFERROR(_xlfn.LET(
_xlpm.CSVVal,_xlfn.XLOOKUP($A150,CSV!$A:$A,CSV!P:P,""),
_xlpm.MacVal,_xlfn.XLOOKUP($A150,Output_Mac!$A:$A,Output_Mac!M:M,""),
_xlpm.MyAuditVal,_xlfn.XLOOKUP($A150,My_Audit!$A:$A,My_Audit!K:K,""),
_xlfn.IFS(_xlpm.MyAuditVal&lt;&gt;"",UPPER(_xlpm.MyAuditVal),_xlpm.MacVal&lt;&gt;"",_xlpm.MacVal,_xlpm.CSVVal&lt;&gt;"",_xlpm.CSVVal
)),"")</f>
        <v/>
      </c>
      <c r="M150" s="54" t="str">
        <f>_xlfn.LET(
    _xlpm.CSVVal, _xlfn.XLOOKUP($A150, CSV!$A:$A, CSV!AD:AD, ""),
    _xlpm.MacVal, _xlfn.XLOOKUP($A150, Output_Mac!$A:$A, Output_Mac!S:S, ""),
    _xlpm.MyAuditVal, _xlfn.XLOOKUP($A150, My_Audit!$A:$A, My_Audit!N:N, ""),
    _xlfn.TEXTJOIN(", ", TRUE, _xlpm.MyAuditVal, _xlpm.MacVal, _xlpm.CSVVal)
)</f>
        <v/>
      </c>
      <c r="N150" s="54" t="str" cm="1">
        <f t="array" ref="N150">IFERROR(_xlfn.LET(
_xlpm.CSVVal,_xlfn.XLOOKUP($A150,CSV!$A:$A,CSV!AF:AF,""),
_xlpm.MacVal,_xlfn.XLOOKUP($A150,Output_Mac!$A:$A,Output_Mac!U:U,""),
_xlpm.MyAuditVal,_xlfn.XLOOKUP($A150,My_Audit!$A:$A,My_Audit!O:O,""),
_xlfn.IFS(_xlpm.MyAuditVal&lt;&gt;"",UPPER(_xlpm.MyAuditVal),_xlpm.MacVal&lt;&gt;"",_xlpm.MacVal,_xlpm.CSVVal&lt;&gt;"",_xlpm.CSVVal
)),"")</f>
        <v/>
      </c>
      <c r="O150" s="54"/>
      <c r="P150" s="54"/>
      <c r="Q150" s="54"/>
      <c r="R150" s="54"/>
      <c r="S150" s="54"/>
      <c r="T150" s="54"/>
      <c r="U150" s="39" t="str">
        <f>_xlfn.LET(
    _xlpm.MacVal, _xlfn.XLOOKUP($A150, Output_Mac!$A:$A, Output_Mac!AB:AB, ""),
    _xlpm.MyAuditVal, _xlfn.XLOOKUP($A150, My_Audit!$A:$A, My_Audit!L:L, ""),
    _xlfn.TEXTJOIN(", ", TRUE, _xlpm.MyAuditVal, _xlpm.MacVal)
)</f>
        <v/>
      </c>
    </row>
    <row r="151" spans="1:21">
      <c r="A151" s="54" t="str">
        <f>_xlfn.TEXTJOIN("",TRUE,Input!$B$2,ROW(My_Audit!A150))</f>
        <v>XX150</v>
      </c>
      <c r="B151" s="54" t="str">
        <f>_xlfn.TEXTJOIN("-",TRUE,"ITD",Input!$A$2,A151)</f>
        <v>ITD-SHRXXX-XX150</v>
      </c>
      <c r="C151" s="54" t="str" cm="1">
        <f t="array" ref="C151">IFERROR(_xlfn.LET(
_xlpm.CSVVal,_xlfn.XLOOKUP($A151,CSV!$A:$A,CSV!B:B,""),
_xlpm.MacVal,_xlfn.XLOOKUP($A151,Output_Mac!$A:$A,Output_Mac!B:B,""),
_xlpm.MyAuditVal,_xlfn.XLOOKUP($A151,My_Audit!$A:$A,My_Audit!B:B,""),
_xlfn.IFS(_xlpm.MyAuditVal&lt;&gt;"",UPPER(_xlpm.MyAuditVal),_xlpm.MacVal&lt;&gt;"",_xlpm.MacVal,_xlpm.CSVVal&lt;&gt;"",_xlpm.CSVVal
)),"")</f>
        <v/>
      </c>
      <c r="D151" s="55" t="str">
        <f>_xlfn.XLOOKUP(A151,My_Audit!A:A,My_Audit!D:D,"")&amp;""</f>
        <v/>
      </c>
      <c r="E151" s="55" t="str" cm="1">
        <f t="array" ref="E151">IFERROR(_xlfn.LET(
_xlpm.CSVVal,_xlfn.XLOOKUP($A151,CSV!$A:$A,CSV!D:D,""),
_xlpm.MacVal,_xlfn.XLOOKUP($A151,Output_Mac!$A:$A,Output_Mac!C:C,""),
_xlpm.MyAuditVal,_xlfn.XLOOKUP($A151,My_Audit!$A:$A,My_Audit!D:D,""),
_xlfn.IFS(_xlpm.MyAuditVal&lt;&gt;"",_xlpm.MyAuditVal,_xlpm.MacVal&lt;&gt;"",_xlpm.MacVal,_xlpm.CSVVal&lt;&gt;"",_xlpm.CSVVal
)),"")</f>
        <v/>
      </c>
      <c r="F151" s="54" t="str" cm="1">
        <f t="array" ref="F151">IFERROR(_xlfn.LET(
_xlpm.CSVVal,_xlfn.XLOOKUP($A151,CSV!$A:$A,CSV!E:E,""),
_xlpm.MacVal,_xlfn.XLOOKUP($A151,Output_Mac!$A:$A,Output_Mac!F:F,""),
_xlpm.MyAuditVal,_xlfn.XLOOKUP($A151,My_Audit!$A:$A,My_Audit!E:E,""),
_xlfn.IFS(_xlpm.MyAuditVal&lt;&gt;"",_xlpm.MyAuditVal,_xlpm.MacVal&lt;&gt;"",_xlpm.MacVal,_xlpm.CSVVal&lt;&gt;"",PROPER(_xlpm.CSVVal)
)),"")</f>
        <v/>
      </c>
      <c r="G151" s="54" t="str" cm="1">
        <f t="array" ref="G151">IFERROR(_xlfn.LET(
_xlpm.CSVVal,_xlfn.XLOOKUP($A151,CSV!$A:$A,CSV!F:F,""),
_xlpm.MacVal,_xlfn.XLOOKUP($A151,Output_Mac!$A:$A,Output_Mac!H:H,""),
_xlpm.MyAuditVal,_xlfn.XLOOKUP($A151,My_Audit!$A:$A,My_Audit!F:F,""),
_xlfn.IFS(_xlpm.MyAuditVal&lt;&gt;"",_xlpm.MyAuditVal,_xlpm.MacVal&lt;&gt;"",_xlpm.MacVal,_xlpm.CSVVal&lt;&gt;"",_xlpm.CSVVal
)),"")</f>
        <v/>
      </c>
      <c r="H151" s="54" t="str">
        <f>_xlfn.XLOOKUP(A151,Output_Mac!A:A,Output_Mac!I:I,"")</f>
        <v/>
      </c>
      <c r="I151" s="54" t="str" cm="1">
        <f t="array" ref="I151">IFERROR(_xlfn.LET(
_xlpm.CSVVal,_xlfn.XLOOKUP($A151,CSV!$A:$A,CSV!G:G,""),
_xlpm.MacVal,_xlfn.XLOOKUP($A151,Output_Mac!$A:$A,Output_Mac!J:J,""),
_xlpm.MyAuditVal,_xlfn.XLOOKUP($A151,My_Audit!$A:$A,My_Audit!H:H,""),
_xlfn.IFS(_xlpm.MyAuditVal&lt;&gt;"",UPPER(_xlpm.MyAuditVal),_xlpm.MacVal&lt;&gt;"",_xlpm.MacVal,_xlpm.CSVVal&lt;&gt;"",_xlpm.CSVVal
)),"")</f>
        <v/>
      </c>
      <c r="J151" s="54" t="str" cm="1">
        <f t="array" ref="J151">IFERROR(_xlfn.LET(
_xlpm.CSVVal,_xlfn.XLOOKUP($A151,CSV!$A:$A,CSV!I:I,""),
_xlpm.MacVal,_xlfn.XLOOKUP($A151,Output_Mac!$A:$A,Output_Mac!K:K,""),
_xlpm.MyAuditVal,_xlfn.XLOOKUP($A151,My_Audit!$A:$A,My_Audit!I:I,""),
_xlfn.IFS(_xlpm.MyAuditVal&lt;&gt;"",UPPER(_xlpm.MyAuditVal),_xlpm.MacVal&lt;&gt;"",_xlpm.MacVal,_xlpm.CSVVal&lt;&gt;"",_xlpm.CSVVal
)),"")</f>
        <v/>
      </c>
      <c r="K151" s="54" t="str" cm="1">
        <f t="array" ref="K151">IFERROR(_xlfn.LET(
_xlpm.CSVVal,_xlfn.XLOOKUP($A151,CSV!$A:$A,CSV!M:M,""),
_xlpm.MacVal,_xlfn.XLOOKUP($A151,Output_Mac!$A:$A,Output_Mac!L:L,""),
_xlpm.MyAuditVal,_xlfn.XLOOKUP($A151,My_Audit!$A:$A,My_Audit!J:J,""),
_xlfn.IFS(_xlpm.MyAuditVal&lt;&gt;"",UPPER(_xlpm.MyAuditVal),_xlpm.MacVal&lt;&gt;"",_xlpm.MacVal,_xlpm.CSVVal&lt;&gt;"",_xlpm.CSVVal
)),"")</f>
        <v/>
      </c>
      <c r="L151" s="55" t="str" cm="1">
        <f t="array" ref="L151">IFERROR(_xlfn.LET(
_xlpm.CSVVal,_xlfn.XLOOKUP($A151,CSV!$A:$A,CSV!P:P,""),
_xlpm.MacVal,_xlfn.XLOOKUP($A151,Output_Mac!$A:$A,Output_Mac!M:M,""),
_xlpm.MyAuditVal,_xlfn.XLOOKUP($A151,My_Audit!$A:$A,My_Audit!K:K,""),
_xlfn.IFS(_xlpm.MyAuditVal&lt;&gt;"",UPPER(_xlpm.MyAuditVal),_xlpm.MacVal&lt;&gt;"",_xlpm.MacVal,_xlpm.CSVVal&lt;&gt;"",_xlpm.CSVVal
)),"")</f>
        <v/>
      </c>
      <c r="M151" s="54" t="str">
        <f>_xlfn.LET(
    _xlpm.CSVVal, _xlfn.XLOOKUP($A151, CSV!$A:$A, CSV!AD:AD, ""),
    _xlpm.MacVal, _xlfn.XLOOKUP($A151, Output_Mac!$A:$A, Output_Mac!S:S, ""),
    _xlpm.MyAuditVal, _xlfn.XLOOKUP($A151, My_Audit!$A:$A, My_Audit!N:N, ""),
    _xlfn.TEXTJOIN(", ", TRUE, _xlpm.MyAuditVal, _xlpm.MacVal, _xlpm.CSVVal)
)</f>
        <v/>
      </c>
      <c r="N151" s="54" t="str" cm="1">
        <f t="array" ref="N151">IFERROR(_xlfn.LET(
_xlpm.CSVVal,_xlfn.XLOOKUP($A151,CSV!$A:$A,CSV!AF:AF,""),
_xlpm.MacVal,_xlfn.XLOOKUP($A151,Output_Mac!$A:$A,Output_Mac!U:U,""),
_xlpm.MyAuditVal,_xlfn.XLOOKUP($A151,My_Audit!$A:$A,My_Audit!O:O,""),
_xlfn.IFS(_xlpm.MyAuditVal&lt;&gt;"",UPPER(_xlpm.MyAuditVal),_xlpm.MacVal&lt;&gt;"",_xlpm.MacVal,_xlpm.CSVVal&lt;&gt;"",_xlpm.CSVVal
)),"")</f>
        <v/>
      </c>
      <c r="O151" s="54"/>
      <c r="P151" s="54"/>
      <c r="Q151" s="54"/>
      <c r="R151" s="54"/>
      <c r="S151" s="54"/>
      <c r="T151" s="54"/>
      <c r="U151" s="39" t="str">
        <f>_xlfn.LET(
    _xlpm.MacVal, _xlfn.XLOOKUP($A151, Output_Mac!$A:$A, Output_Mac!AB:AB, ""),
    _xlpm.MyAuditVal, _xlfn.XLOOKUP($A151, My_Audit!$A:$A, My_Audit!L:L, ""),
    _xlfn.TEXTJOIN(", ", TRUE, _xlpm.MyAuditVal, _xlpm.MacVal)
)</f>
        <v/>
      </c>
    </row>
    <row r="152" spans="1:21">
      <c r="A152" s="54" t="str">
        <f>_xlfn.TEXTJOIN("",TRUE,Input!$B$2,ROW(My_Audit!A151))</f>
        <v>XX151</v>
      </c>
      <c r="B152" s="54" t="str">
        <f>_xlfn.TEXTJOIN("-",TRUE,"ITD",Input!$A$2,A152)</f>
        <v>ITD-SHRXXX-XX151</v>
      </c>
      <c r="C152" s="54" t="str" cm="1">
        <f t="array" ref="C152">IFERROR(_xlfn.LET(
_xlpm.CSVVal,_xlfn.XLOOKUP($A152,CSV!$A:$A,CSV!B:B,""),
_xlpm.MacVal,_xlfn.XLOOKUP($A152,Output_Mac!$A:$A,Output_Mac!B:B,""),
_xlpm.MyAuditVal,_xlfn.XLOOKUP($A152,My_Audit!$A:$A,My_Audit!B:B,""),
_xlfn.IFS(_xlpm.MyAuditVal&lt;&gt;"",UPPER(_xlpm.MyAuditVal),_xlpm.MacVal&lt;&gt;"",_xlpm.MacVal,_xlpm.CSVVal&lt;&gt;"",_xlpm.CSVVal
)),"")</f>
        <v/>
      </c>
      <c r="D152" s="55" t="str">
        <f>_xlfn.XLOOKUP(A152,My_Audit!A:A,My_Audit!D:D,"")&amp;""</f>
        <v/>
      </c>
      <c r="E152" s="55" t="str" cm="1">
        <f t="array" ref="E152">IFERROR(_xlfn.LET(
_xlpm.CSVVal,_xlfn.XLOOKUP($A152,CSV!$A:$A,CSV!D:D,""),
_xlpm.MacVal,_xlfn.XLOOKUP($A152,Output_Mac!$A:$A,Output_Mac!C:C,""),
_xlpm.MyAuditVal,_xlfn.XLOOKUP($A152,My_Audit!$A:$A,My_Audit!D:D,""),
_xlfn.IFS(_xlpm.MyAuditVal&lt;&gt;"",_xlpm.MyAuditVal,_xlpm.MacVal&lt;&gt;"",_xlpm.MacVal,_xlpm.CSVVal&lt;&gt;"",_xlpm.CSVVal
)),"")</f>
        <v/>
      </c>
      <c r="F152" s="54" t="str" cm="1">
        <f t="array" ref="F152">IFERROR(_xlfn.LET(
_xlpm.CSVVal,_xlfn.XLOOKUP($A152,CSV!$A:$A,CSV!E:E,""),
_xlpm.MacVal,_xlfn.XLOOKUP($A152,Output_Mac!$A:$A,Output_Mac!F:F,""),
_xlpm.MyAuditVal,_xlfn.XLOOKUP($A152,My_Audit!$A:$A,My_Audit!E:E,""),
_xlfn.IFS(_xlpm.MyAuditVal&lt;&gt;"",_xlpm.MyAuditVal,_xlpm.MacVal&lt;&gt;"",_xlpm.MacVal,_xlpm.CSVVal&lt;&gt;"",PROPER(_xlpm.CSVVal)
)),"")</f>
        <v/>
      </c>
      <c r="G152" s="54" t="str" cm="1">
        <f t="array" ref="G152">IFERROR(_xlfn.LET(
_xlpm.CSVVal,_xlfn.XLOOKUP($A152,CSV!$A:$A,CSV!F:F,""),
_xlpm.MacVal,_xlfn.XLOOKUP($A152,Output_Mac!$A:$A,Output_Mac!H:H,""),
_xlpm.MyAuditVal,_xlfn.XLOOKUP($A152,My_Audit!$A:$A,My_Audit!F:F,""),
_xlfn.IFS(_xlpm.MyAuditVal&lt;&gt;"",_xlpm.MyAuditVal,_xlpm.MacVal&lt;&gt;"",_xlpm.MacVal,_xlpm.CSVVal&lt;&gt;"",_xlpm.CSVVal
)),"")</f>
        <v/>
      </c>
      <c r="H152" s="54" t="str">
        <f>_xlfn.XLOOKUP(A152,Output_Mac!A:A,Output_Mac!I:I,"")</f>
        <v/>
      </c>
      <c r="I152" s="54" t="str" cm="1">
        <f t="array" ref="I152">IFERROR(_xlfn.LET(
_xlpm.CSVVal,_xlfn.XLOOKUP($A152,CSV!$A:$A,CSV!G:G,""),
_xlpm.MacVal,_xlfn.XLOOKUP($A152,Output_Mac!$A:$A,Output_Mac!J:J,""),
_xlpm.MyAuditVal,_xlfn.XLOOKUP($A152,My_Audit!$A:$A,My_Audit!H:H,""),
_xlfn.IFS(_xlpm.MyAuditVal&lt;&gt;"",UPPER(_xlpm.MyAuditVal),_xlpm.MacVal&lt;&gt;"",_xlpm.MacVal,_xlpm.CSVVal&lt;&gt;"",_xlpm.CSVVal
)),"")</f>
        <v/>
      </c>
      <c r="J152" s="54" t="str" cm="1">
        <f t="array" ref="J152">IFERROR(_xlfn.LET(
_xlpm.CSVVal,_xlfn.XLOOKUP($A152,CSV!$A:$A,CSV!I:I,""),
_xlpm.MacVal,_xlfn.XLOOKUP($A152,Output_Mac!$A:$A,Output_Mac!K:K,""),
_xlpm.MyAuditVal,_xlfn.XLOOKUP($A152,My_Audit!$A:$A,My_Audit!I:I,""),
_xlfn.IFS(_xlpm.MyAuditVal&lt;&gt;"",UPPER(_xlpm.MyAuditVal),_xlpm.MacVal&lt;&gt;"",_xlpm.MacVal,_xlpm.CSVVal&lt;&gt;"",_xlpm.CSVVal
)),"")</f>
        <v/>
      </c>
      <c r="K152" s="54" t="str" cm="1">
        <f t="array" ref="K152">IFERROR(_xlfn.LET(
_xlpm.CSVVal,_xlfn.XLOOKUP($A152,CSV!$A:$A,CSV!M:M,""),
_xlpm.MacVal,_xlfn.XLOOKUP($A152,Output_Mac!$A:$A,Output_Mac!L:L,""),
_xlpm.MyAuditVal,_xlfn.XLOOKUP($A152,My_Audit!$A:$A,My_Audit!J:J,""),
_xlfn.IFS(_xlpm.MyAuditVal&lt;&gt;"",UPPER(_xlpm.MyAuditVal),_xlpm.MacVal&lt;&gt;"",_xlpm.MacVal,_xlpm.CSVVal&lt;&gt;"",_xlpm.CSVVal
)),"")</f>
        <v/>
      </c>
      <c r="L152" s="55" t="str" cm="1">
        <f t="array" ref="L152">IFERROR(_xlfn.LET(
_xlpm.CSVVal,_xlfn.XLOOKUP($A152,CSV!$A:$A,CSV!P:P,""),
_xlpm.MacVal,_xlfn.XLOOKUP($A152,Output_Mac!$A:$A,Output_Mac!M:M,""),
_xlpm.MyAuditVal,_xlfn.XLOOKUP($A152,My_Audit!$A:$A,My_Audit!K:K,""),
_xlfn.IFS(_xlpm.MyAuditVal&lt;&gt;"",UPPER(_xlpm.MyAuditVal),_xlpm.MacVal&lt;&gt;"",_xlpm.MacVal,_xlpm.CSVVal&lt;&gt;"",_xlpm.CSVVal
)),"")</f>
        <v/>
      </c>
      <c r="M152" s="54" t="str">
        <f>_xlfn.LET(
    _xlpm.CSVVal, _xlfn.XLOOKUP($A152, CSV!$A:$A, CSV!AD:AD, ""),
    _xlpm.MacVal, _xlfn.XLOOKUP($A152, Output_Mac!$A:$A, Output_Mac!S:S, ""),
    _xlpm.MyAuditVal, _xlfn.XLOOKUP($A152, My_Audit!$A:$A, My_Audit!N:N, ""),
    _xlfn.TEXTJOIN(", ", TRUE, _xlpm.MyAuditVal, _xlpm.MacVal, _xlpm.CSVVal)
)</f>
        <v/>
      </c>
      <c r="N152" s="54" t="str" cm="1">
        <f t="array" ref="N152">IFERROR(_xlfn.LET(
_xlpm.CSVVal,_xlfn.XLOOKUP($A152,CSV!$A:$A,CSV!AF:AF,""),
_xlpm.MacVal,_xlfn.XLOOKUP($A152,Output_Mac!$A:$A,Output_Mac!U:U,""),
_xlpm.MyAuditVal,_xlfn.XLOOKUP($A152,My_Audit!$A:$A,My_Audit!O:O,""),
_xlfn.IFS(_xlpm.MyAuditVal&lt;&gt;"",UPPER(_xlpm.MyAuditVal),_xlpm.MacVal&lt;&gt;"",_xlpm.MacVal,_xlpm.CSVVal&lt;&gt;"",_xlpm.CSVVal
)),"")</f>
        <v/>
      </c>
      <c r="O152" s="54"/>
      <c r="P152" s="54"/>
      <c r="Q152" s="54"/>
      <c r="R152" s="54"/>
      <c r="S152" s="54"/>
      <c r="T152" s="54"/>
      <c r="U152" s="39" t="str">
        <f>_xlfn.LET(
    _xlpm.MacVal, _xlfn.XLOOKUP($A152, Output_Mac!$A:$A, Output_Mac!AB:AB, ""),
    _xlpm.MyAuditVal, _xlfn.XLOOKUP($A152, My_Audit!$A:$A, My_Audit!L:L, ""),
    _xlfn.TEXTJOIN(", ", TRUE, _xlpm.MyAuditVal, _xlpm.MacVal)
)</f>
        <v/>
      </c>
    </row>
    <row r="153" spans="1:21">
      <c r="A153" s="54" t="str">
        <f>_xlfn.TEXTJOIN("",TRUE,Input!$B$2,ROW(My_Audit!A152))</f>
        <v>XX152</v>
      </c>
      <c r="B153" s="54" t="str">
        <f>_xlfn.TEXTJOIN("-",TRUE,"ITD",Input!$A$2,A153)</f>
        <v>ITD-SHRXXX-XX152</v>
      </c>
      <c r="C153" s="54" t="str" cm="1">
        <f t="array" ref="C153">IFERROR(_xlfn.LET(
_xlpm.CSVVal,_xlfn.XLOOKUP($A153,CSV!$A:$A,CSV!B:B,""),
_xlpm.MacVal,_xlfn.XLOOKUP($A153,Output_Mac!$A:$A,Output_Mac!B:B,""),
_xlpm.MyAuditVal,_xlfn.XLOOKUP($A153,My_Audit!$A:$A,My_Audit!B:B,""),
_xlfn.IFS(_xlpm.MyAuditVal&lt;&gt;"",UPPER(_xlpm.MyAuditVal),_xlpm.MacVal&lt;&gt;"",_xlpm.MacVal,_xlpm.CSVVal&lt;&gt;"",_xlpm.CSVVal
)),"")</f>
        <v/>
      </c>
      <c r="D153" s="55" t="str">
        <f>_xlfn.XLOOKUP(A153,My_Audit!A:A,My_Audit!D:D,"")&amp;""</f>
        <v/>
      </c>
      <c r="E153" s="55" t="str" cm="1">
        <f t="array" ref="E153">IFERROR(_xlfn.LET(
_xlpm.CSVVal,_xlfn.XLOOKUP($A153,CSV!$A:$A,CSV!D:D,""),
_xlpm.MacVal,_xlfn.XLOOKUP($A153,Output_Mac!$A:$A,Output_Mac!C:C,""),
_xlpm.MyAuditVal,_xlfn.XLOOKUP($A153,My_Audit!$A:$A,My_Audit!D:D,""),
_xlfn.IFS(_xlpm.MyAuditVal&lt;&gt;"",_xlpm.MyAuditVal,_xlpm.MacVal&lt;&gt;"",_xlpm.MacVal,_xlpm.CSVVal&lt;&gt;"",_xlpm.CSVVal
)),"")</f>
        <v/>
      </c>
      <c r="F153" s="54" t="str" cm="1">
        <f t="array" ref="F153">IFERROR(_xlfn.LET(
_xlpm.CSVVal,_xlfn.XLOOKUP($A153,CSV!$A:$A,CSV!E:E,""),
_xlpm.MacVal,_xlfn.XLOOKUP($A153,Output_Mac!$A:$A,Output_Mac!F:F,""),
_xlpm.MyAuditVal,_xlfn.XLOOKUP($A153,My_Audit!$A:$A,My_Audit!E:E,""),
_xlfn.IFS(_xlpm.MyAuditVal&lt;&gt;"",_xlpm.MyAuditVal,_xlpm.MacVal&lt;&gt;"",_xlpm.MacVal,_xlpm.CSVVal&lt;&gt;"",PROPER(_xlpm.CSVVal)
)),"")</f>
        <v/>
      </c>
      <c r="G153" s="54" t="str" cm="1">
        <f t="array" ref="G153">IFERROR(_xlfn.LET(
_xlpm.CSVVal,_xlfn.XLOOKUP($A153,CSV!$A:$A,CSV!F:F,""),
_xlpm.MacVal,_xlfn.XLOOKUP($A153,Output_Mac!$A:$A,Output_Mac!H:H,""),
_xlpm.MyAuditVal,_xlfn.XLOOKUP($A153,My_Audit!$A:$A,My_Audit!F:F,""),
_xlfn.IFS(_xlpm.MyAuditVal&lt;&gt;"",_xlpm.MyAuditVal,_xlpm.MacVal&lt;&gt;"",_xlpm.MacVal,_xlpm.CSVVal&lt;&gt;"",_xlpm.CSVVal
)),"")</f>
        <v/>
      </c>
      <c r="H153" s="54" t="str">
        <f>_xlfn.XLOOKUP(A153,Output_Mac!A:A,Output_Mac!I:I,"")</f>
        <v/>
      </c>
      <c r="I153" s="54" t="str" cm="1">
        <f t="array" ref="I153">IFERROR(_xlfn.LET(
_xlpm.CSVVal,_xlfn.XLOOKUP($A153,CSV!$A:$A,CSV!G:G,""),
_xlpm.MacVal,_xlfn.XLOOKUP($A153,Output_Mac!$A:$A,Output_Mac!J:J,""),
_xlpm.MyAuditVal,_xlfn.XLOOKUP($A153,My_Audit!$A:$A,My_Audit!H:H,""),
_xlfn.IFS(_xlpm.MyAuditVal&lt;&gt;"",UPPER(_xlpm.MyAuditVal),_xlpm.MacVal&lt;&gt;"",_xlpm.MacVal,_xlpm.CSVVal&lt;&gt;"",_xlpm.CSVVal
)),"")</f>
        <v/>
      </c>
      <c r="J153" s="54" t="str" cm="1">
        <f t="array" ref="J153">IFERROR(_xlfn.LET(
_xlpm.CSVVal,_xlfn.XLOOKUP($A153,CSV!$A:$A,CSV!I:I,""),
_xlpm.MacVal,_xlfn.XLOOKUP($A153,Output_Mac!$A:$A,Output_Mac!K:K,""),
_xlpm.MyAuditVal,_xlfn.XLOOKUP($A153,My_Audit!$A:$A,My_Audit!I:I,""),
_xlfn.IFS(_xlpm.MyAuditVal&lt;&gt;"",UPPER(_xlpm.MyAuditVal),_xlpm.MacVal&lt;&gt;"",_xlpm.MacVal,_xlpm.CSVVal&lt;&gt;"",_xlpm.CSVVal
)),"")</f>
        <v/>
      </c>
      <c r="K153" s="54" t="str" cm="1">
        <f t="array" ref="K153">IFERROR(_xlfn.LET(
_xlpm.CSVVal,_xlfn.XLOOKUP($A153,CSV!$A:$A,CSV!M:M,""),
_xlpm.MacVal,_xlfn.XLOOKUP($A153,Output_Mac!$A:$A,Output_Mac!L:L,""),
_xlpm.MyAuditVal,_xlfn.XLOOKUP($A153,My_Audit!$A:$A,My_Audit!J:J,""),
_xlfn.IFS(_xlpm.MyAuditVal&lt;&gt;"",UPPER(_xlpm.MyAuditVal),_xlpm.MacVal&lt;&gt;"",_xlpm.MacVal,_xlpm.CSVVal&lt;&gt;"",_xlpm.CSVVal
)),"")</f>
        <v/>
      </c>
      <c r="L153" s="55" t="str" cm="1">
        <f t="array" ref="L153">IFERROR(_xlfn.LET(
_xlpm.CSVVal,_xlfn.XLOOKUP($A153,CSV!$A:$A,CSV!P:P,""),
_xlpm.MacVal,_xlfn.XLOOKUP($A153,Output_Mac!$A:$A,Output_Mac!M:M,""),
_xlpm.MyAuditVal,_xlfn.XLOOKUP($A153,My_Audit!$A:$A,My_Audit!K:K,""),
_xlfn.IFS(_xlpm.MyAuditVal&lt;&gt;"",UPPER(_xlpm.MyAuditVal),_xlpm.MacVal&lt;&gt;"",_xlpm.MacVal,_xlpm.CSVVal&lt;&gt;"",_xlpm.CSVVal
)),"")</f>
        <v/>
      </c>
      <c r="M153" s="54" t="str">
        <f>_xlfn.LET(
    _xlpm.CSVVal, _xlfn.XLOOKUP($A153, CSV!$A:$A, CSV!AD:AD, ""),
    _xlpm.MacVal, _xlfn.XLOOKUP($A153, Output_Mac!$A:$A, Output_Mac!S:S, ""),
    _xlpm.MyAuditVal, _xlfn.XLOOKUP($A153, My_Audit!$A:$A, My_Audit!N:N, ""),
    _xlfn.TEXTJOIN(", ", TRUE, _xlpm.MyAuditVal, _xlpm.MacVal, _xlpm.CSVVal)
)</f>
        <v/>
      </c>
      <c r="N153" s="54" t="str" cm="1">
        <f t="array" ref="N153">IFERROR(_xlfn.LET(
_xlpm.CSVVal,_xlfn.XLOOKUP($A153,CSV!$A:$A,CSV!AF:AF,""),
_xlpm.MacVal,_xlfn.XLOOKUP($A153,Output_Mac!$A:$A,Output_Mac!U:U,""),
_xlpm.MyAuditVal,_xlfn.XLOOKUP($A153,My_Audit!$A:$A,My_Audit!O:O,""),
_xlfn.IFS(_xlpm.MyAuditVal&lt;&gt;"",UPPER(_xlpm.MyAuditVal),_xlpm.MacVal&lt;&gt;"",_xlpm.MacVal,_xlpm.CSVVal&lt;&gt;"",_xlpm.CSVVal
)),"")</f>
        <v/>
      </c>
      <c r="O153" s="54"/>
      <c r="P153" s="54"/>
      <c r="Q153" s="54"/>
      <c r="R153" s="54"/>
      <c r="S153" s="54"/>
      <c r="T153" s="54"/>
      <c r="U153" s="39" t="str">
        <f>_xlfn.LET(
    _xlpm.MacVal, _xlfn.XLOOKUP($A153, Output_Mac!$A:$A, Output_Mac!AB:AB, ""),
    _xlpm.MyAuditVal, _xlfn.XLOOKUP($A153, My_Audit!$A:$A, My_Audit!L:L, ""),
    _xlfn.TEXTJOIN(", ", TRUE, _xlpm.MyAuditVal, _xlpm.MacVal)
)</f>
        <v/>
      </c>
    </row>
    <row r="154" spans="1:21">
      <c r="A154" s="54" t="str">
        <f>_xlfn.TEXTJOIN("",TRUE,Input!$B$2,ROW(My_Audit!A153))</f>
        <v>XX153</v>
      </c>
      <c r="B154" s="54" t="str">
        <f>_xlfn.TEXTJOIN("-",TRUE,"ITD",Input!$A$2,A154)</f>
        <v>ITD-SHRXXX-XX153</v>
      </c>
      <c r="C154" s="54" t="str" cm="1">
        <f t="array" ref="C154">IFERROR(_xlfn.LET(
_xlpm.CSVVal,_xlfn.XLOOKUP($A154,CSV!$A:$A,CSV!B:B,""),
_xlpm.MacVal,_xlfn.XLOOKUP($A154,Output_Mac!$A:$A,Output_Mac!B:B,""),
_xlpm.MyAuditVal,_xlfn.XLOOKUP($A154,My_Audit!$A:$A,My_Audit!B:B,""),
_xlfn.IFS(_xlpm.MyAuditVal&lt;&gt;"",UPPER(_xlpm.MyAuditVal),_xlpm.MacVal&lt;&gt;"",_xlpm.MacVal,_xlpm.CSVVal&lt;&gt;"",_xlpm.CSVVal
)),"")</f>
        <v/>
      </c>
      <c r="D154" s="55" t="str">
        <f>_xlfn.XLOOKUP(A154,My_Audit!A:A,My_Audit!D:D,"")&amp;""</f>
        <v/>
      </c>
      <c r="E154" s="55" t="str" cm="1">
        <f t="array" ref="E154">IFERROR(_xlfn.LET(
_xlpm.CSVVal,_xlfn.XLOOKUP($A154,CSV!$A:$A,CSV!D:D,""),
_xlpm.MacVal,_xlfn.XLOOKUP($A154,Output_Mac!$A:$A,Output_Mac!C:C,""),
_xlpm.MyAuditVal,_xlfn.XLOOKUP($A154,My_Audit!$A:$A,My_Audit!D:D,""),
_xlfn.IFS(_xlpm.MyAuditVal&lt;&gt;"",_xlpm.MyAuditVal,_xlpm.MacVal&lt;&gt;"",_xlpm.MacVal,_xlpm.CSVVal&lt;&gt;"",_xlpm.CSVVal
)),"")</f>
        <v/>
      </c>
      <c r="F154" s="54" t="str" cm="1">
        <f t="array" ref="F154">IFERROR(_xlfn.LET(
_xlpm.CSVVal,_xlfn.XLOOKUP($A154,CSV!$A:$A,CSV!E:E,""),
_xlpm.MacVal,_xlfn.XLOOKUP($A154,Output_Mac!$A:$A,Output_Mac!F:F,""),
_xlpm.MyAuditVal,_xlfn.XLOOKUP($A154,My_Audit!$A:$A,My_Audit!E:E,""),
_xlfn.IFS(_xlpm.MyAuditVal&lt;&gt;"",_xlpm.MyAuditVal,_xlpm.MacVal&lt;&gt;"",_xlpm.MacVal,_xlpm.CSVVal&lt;&gt;"",PROPER(_xlpm.CSVVal)
)),"")</f>
        <v/>
      </c>
      <c r="G154" s="54" t="str" cm="1">
        <f t="array" ref="G154">IFERROR(_xlfn.LET(
_xlpm.CSVVal,_xlfn.XLOOKUP($A154,CSV!$A:$A,CSV!F:F,""),
_xlpm.MacVal,_xlfn.XLOOKUP($A154,Output_Mac!$A:$A,Output_Mac!H:H,""),
_xlpm.MyAuditVal,_xlfn.XLOOKUP($A154,My_Audit!$A:$A,My_Audit!F:F,""),
_xlfn.IFS(_xlpm.MyAuditVal&lt;&gt;"",_xlpm.MyAuditVal,_xlpm.MacVal&lt;&gt;"",_xlpm.MacVal,_xlpm.CSVVal&lt;&gt;"",_xlpm.CSVVal
)),"")</f>
        <v/>
      </c>
      <c r="H154" s="54" t="str">
        <f>_xlfn.XLOOKUP(A154,Output_Mac!A:A,Output_Mac!I:I,"")</f>
        <v/>
      </c>
      <c r="I154" s="54" t="str" cm="1">
        <f t="array" ref="I154">IFERROR(_xlfn.LET(
_xlpm.CSVVal,_xlfn.XLOOKUP($A154,CSV!$A:$A,CSV!G:G,""),
_xlpm.MacVal,_xlfn.XLOOKUP($A154,Output_Mac!$A:$A,Output_Mac!J:J,""),
_xlpm.MyAuditVal,_xlfn.XLOOKUP($A154,My_Audit!$A:$A,My_Audit!H:H,""),
_xlfn.IFS(_xlpm.MyAuditVal&lt;&gt;"",UPPER(_xlpm.MyAuditVal),_xlpm.MacVal&lt;&gt;"",_xlpm.MacVal,_xlpm.CSVVal&lt;&gt;"",_xlpm.CSVVal
)),"")</f>
        <v/>
      </c>
      <c r="J154" s="54" t="str" cm="1">
        <f t="array" ref="J154">IFERROR(_xlfn.LET(
_xlpm.CSVVal,_xlfn.XLOOKUP($A154,CSV!$A:$A,CSV!I:I,""),
_xlpm.MacVal,_xlfn.XLOOKUP($A154,Output_Mac!$A:$A,Output_Mac!K:K,""),
_xlpm.MyAuditVal,_xlfn.XLOOKUP($A154,My_Audit!$A:$A,My_Audit!I:I,""),
_xlfn.IFS(_xlpm.MyAuditVal&lt;&gt;"",UPPER(_xlpm.MyAuditVal),_xlpm.MacVal&lt;&gt;"",_xlpm.MacVal,_xlpm.CSVVal&lt;&gt;"",_xlpm.CSVVal
)),"")</f>
        <v/>
      </c>
      <c r="K154" s="54" t="str" cm="1">
        <f t="array" ref="K154">IFERROR(_xlfn.LET(
_xlpm.CSVVal,_xlfn.XLOOKUP($A154,CSV!$A:$A,CSV!M:M,""),
_xlpm.MacVal,_xlfn.XLOOKUP($A154,Output_Mac!$A:$A,Output_Mac!L:L,""),
_xlpm.MyAuditVal,_xlfn.XLOOKUP($A154,My_Audit!$A:$A,My_Audit!J:J,""),
_xlfn.IFS(_xlpm.MyAuditVal&lt;&gt;"",UPPER(_xlpm.MyAuditVal),_xlpm.MacVal&lt;&gt;"",_xlpm.MacVal,_xlpm.CSVVal&lt;&gt;"",_xlpm.CSVVal
)),"")</f>
        <v/>
      </c>
      <c r="L154" s="55" t="str" cm="1">
        <f t="array" ref="L154">IFERROR(_xlfn.LET(
_xlpm.CSVVal,_xlfn.XLOOKUP($A154,CSV!$A:$A,CSV!P:P,""),
_xlpm.MacVal,_xlfn.XLOOKUP($A154,Output_Mac!$A:$A,Output_Mac!M:M,""),
_xlpm.MyAuditVal,_xlfn.XLOOKUP($A154,My_Audit!$A:$A,My_Audit!K:K,""),
_xlfn.IFS(_xlpm.MyAuditVal&lt;&gt;"",UPPER(_xlpm.MyAuditVal),_xlpm.MacVal&lt;&gt;"",_xlpm.MacVal,_xlpm.CSVVal&lt;&gt;"",_xlpm.CSVVal
)),"")</f>
        <v/>
      </c>
      <c r="M154" s="54" t="str">
        <f>_xlfn.LET(
    _xlpm.CSVVal, _xlfn.XLOOKUP($A154, CSV!$A:$A, CSV!AD:AD, ""),
    _xlpm.MacVal, _xlfn.XLOOKUP($A154, Output_Mac!$A:$A, Output_Mac!S:S, ""),
    _xlpm.MyAuditVal, _xlfn.XLOOKUP($A154, My_Audit!$A:$A, My_Audit!N:N, ""),
    _xlfn.TEXTJOIN(", ", TRUE, _xlpm.MyAuditVal, _xlpm.MacVal, _xlpm.CSVVal)
)</f>
        <v/>
      </c>
      <c r="N154" s="54" t="str" cm="1">
        <f t="array" ref="N154">IFERROR(_xlfn.LET(
_xlpm.CSVVal,_xlfn.XLOOKUP($A154,CSV!$A:$A,CSV!AF:AF,""),
_xlpm.MacVal,_xlfn.XLOOKUP($A154,Output_Mac!$A:$A,Output_Mac!U:U,""),
_xlpm.MyAuditVal,_xlfn.XLOOKUP($A154,My_Audit!$A:$A,My_Audit!O:O,""),
_xlfn.IFS(_xlpm.MyAuditVal&lt;&gt;"",UPPER(_xlpm.MyAuditVal),_xlpm.MacVal&lt;&gt;"",_xlpm.MacVal,_xlpm.CSVVal&lt;&gt;"",_xlpm.CSVVal
)),"")</f>
        <v/>
      </c>
      <c r="O154" s="54"/>
      <c r="P154" s="54"/>
      <c r="Q154" s="54"/>
      <c r="R154" s="54"/>
      <c r="S154" s="54"/>
      <c r="T154" s="54"/>
      <c r="U154" s="39" t="str">
        <f>_xlfn.LET(
    _xlpm.MacVal, _xlfn.XLOOKUP($A154, Output_Mac!$A:$A, Output_Mac!AB:AB, ""),
    _xlpm.MyAuditVal, _xlfn.XLOOKUP($A154, My_Audit!$A:$A, My_Audit!L:L, ""),
    _xlfn.TEXTJOIN(", ", TRUE, _xlpm.MyAuditVal, _xlpm.MacVal)
)</f>
        <v/>
      </c>
    </row>
    <row r="155" spans="1:21">
      <c r="A155" s="54" t="str">
        <f>_xlfn.TEXTJOIN("",TRUE,Input!$B$2,ROW(My_Audit!A154))</f>
        <v>XX154</v>
      </c>
      <c r="B155" s="54" t="str">
        <f>_xlfn.TEXTJOIN("-",TRUE,"ITD",Input!$A$2,A155)</f>
        <v>ITD-SHRXXX-XX154</v>
      </c>
      <c r="C155" s="54" t="str" cm="1">
        <f t="array" ref="C155">IFERROR(_xlfn.LET(
_xlpm.CSVVal,_xlfn.XLOOKUP($A155,CSV!$A:$A,CSV!B:B,""),
_xlpm.MacVal,_xlfn.XLOOKUP($A155,Output_Mac!$A:$A,Output_Mac!B:B,""),
_xlpm.MyAuditVal,_xlfn.XLOOKUP($A155,My_Audit!$A:$A,My_Audit!B:B,""),
_xlfn.IFS(_xlpm.MyAuditVal&lt;&gt;"",UPPER(_xlpm.MyAuditVal),_xlpm.MacVal&lt;&gt;"",_xlpm.MacVal,_xlpm.CSVVal&lt;&gt;"",_xlpm.CSVVal
)),"")</f>
        <v/>
      </c>
      <c r="D155" s="55" t="str">
        <f>_xlfn.XLOOKUP(A155,My_Audit!A:A,My_Audit!D:D,"")&amp;""</f>
        <v/>
      </c>
      <c r="E155" s="55" t="str" cm="1">
        <f t="array" ref="E155">IFERROR(_xlfn.LET(
_xlpm.CSVVal,_xlfn.XLOOKUP($A155,CSV!$A:$A,CSV!D:D,""),
_xlpm.MacVal,_xlfn.XLOOKUP($A155,Output_Mac!$A:$A,Output_Mac!C:C,""),
_xlpm.MyAuditVal,_xlfn.XLOOKUP($A155,My_Audit!$A:$A,My_Audit!D:D,""),
_xlfn.IFS(_xlpm.MyAuditVal&lt;&gt;"",_xlpm.MyAuditVal,_xlpm.MacVal&lt;&gt;"",_xlpm.MacVal,_xlpm.CSVVal&lt;&gt;"",_xlpm.CSVVal
)),"")</f>
        <v/>
      </c>
      <c r="F155" s="54" t="str" cm="1">
        <f t="array" ref="F155">IFERROR(_xlfn.LET(
_xlpm.CSVVal,_xlfn.XLOOKUP($A155,CSV!$A:$A,CSV!E:E,""),
_xlpm.MacVal,_xlfn.XLOOKUP($A155,Output_Mac!$A:$A,Output_Mac!F:F,""),
_xlpm.MyAuditVal,_xlfn.XLOOKUP($A155,My_Audit!$A:$A,My_Audit!E:E,""),
_xlfn.IFS(_xlpm.MyAuditVal&lt;&gt;"",_xlpm.MyAuditVal,_xlpm.MacVal&lt;&gt;"",_xlpm.MacVal,_xlpm.CSVVal&lt;&gt;"",PROPER(_xlpm.CSVVal)
)),"")</f>
        <v/>
      </c>
      <c r="G155" s="54" t="str" cm="1">
        <f t="array" ref="G155">IFERROR(_xlfn.LET(
_xlpm.CSVVal,_xlfn.XLOOKUP($A155,CSV!$A:$A,CSV!F:F,""),
_xlpm.MacVal,_xlfn.XLOOKUP($A155,Output_Mac!$A:$A,Output_Mac!H:H,""),
_xlpm.MyAuditVal,_xlfn.XLOOKUP($A155,My_Audit!$A:$A,My_Audit!F:F,""),
_xlfn.IFS(_xlpm.MyAuditVal&lt;&gt;"",_xlpm.MyAuditVal,_xlpm.MacVal&lt;&gt;"",_xlpm.MacVal,_xlpm.CSVVal&lt;&gt;"",_xlpm.CSVVal
)),"")</f>
        <v/>
      </c>
      <c r="H155" s="54" t="str">
        <f>_xlfn.XLOOKUP(A155,Output_Mac!A:A,Output_Mac!I:I,"")</f>
        <v/>
      </c>
      <c r="I155" s="54" t="str" cm="1">
        <f t="array" ref="I155">IFERROR(_xlfn.LET(
_xlpm.CSVVal,_xlfn.XLOOKUP($A155,CSV!$A:$A,CSV!G:G,""),
_xlpm.MacVal,_xlfn.XLOOKUP($A155,Output_Mac!$A:$A,Output_Mac!J:J,""),
_xlpm.MyAuditVal,_xlfn.XLOOKUP($A155,My_Audit!$A:$A,My_Audit!H:H,""),
_xlfn.IFS(_xlpm.MyAuditVal&lt;&gt;"",UPPER(_xlpm.MyAuditVal),_xlpm.MacVal&lt;&gt;"",_xlpm.MacVal,_xlpm.CSVVal&lt;&gt;"",_xlpm.CSVVal
)),"")</f>
        <v/>
      </c>
      <c r="J155" s="54" t="str" cm="1">
        <f t="array" ref="J155">IFERROR(_xlfn.LET(
_xlpm.CSVVal,_xlfn.XLOOKUP($A155,CSV!$A:$A,CSV!I:I,""),
_xlpm.MacVal,_xlfn.XLOOKUP($A155,Output_Mac!$A:$A,Output_Mac!K:K,""),
_xlpm.MyAuditVal,_xlfn.XLOOKUP($A155,My_Audit!$A:$A,My_Audit!I:I,""),
_xlfn.IFS(_xlpm.MyAuditVal&lt;&gt;"",UPPER(_xlpm.MyAuditVal),_xlpm.MacVal&lt;&gt;"",_xlpm.MacVal,_xlpm.CSVVal&lt;&gt;"",_xlpm.CSVVal
)),"")</f>
        <v/>
      </c>
      <c r="K155" s="54" t="str" cm="1">
        <f t="array" ref="K155">IFERROR(_xlfn.LET(
_xlpm.CSVVal,_xlfn.XLOOKUP($A155,CSV!$A:$A,CSV!M:M,""),
_xlpm.MacVal,_xlfn.XLOOKUP($A155,Output_Mac!$A:$A,Output_Mac!L:L,""),
_xlpm.MyAuditVal,_xlfn.XLOOKUP($A155,My_Audit!$A:$A,My_Audit!J:J,""),
_xlfn.IFS(_xlpm.MyAuditVal&lt;&gt;"",UPPER(_xlpm.MyAuditVal),_xlpm.MacVal&lt;&gt;"",_xlpm.MacVal,_xlpm.CSVVal&lt;&gt;"",_xlpm.CSVVal
)),"")</f>
        <v/>
      </c>
      <c r="L155" s="55" t="str" cm="1">
        <f t="array" ref="L155">IFERROR(_xlfn.LET(
_xlpm.CSVVal,_xlfn.XLOOKUP($A155,CSV!$A:$A,CSV!P:P,""),
_xlpm.MacVal,_xlfn.XLOOKUP($A155,Output_Mac!$A:$A,Output_Mac!M:M,""),
_xlpm.MyAuditVal,_xlfn.XLOOKUP($A155,My_Audit!$A:$A,My_Audit!K:K,""),
_xlfn.IFS(_xlpm.MyAuditVal&lt;&gt;"",UPPER(_xlpm.MyAuditVal),_xlpm.MacVal&lt;&gt;"",_xlpm.MacVal,_xlpm.CSVVal&lt;&gt;"",_xlpm.CSVVal
)),"")</f>
        <v/>
      </c>
      <c r="M155" s="54" t="str">
        <f>_xlfn.LET(
    _xlpm.CSVVal, _xlfn.XLOOKUP($A155, CSV!$A:$A, CSV!AD:AD, ""),
    _xlpm.MacVal, _xlfn.XLOOKUP($A155, Output_Mac!$A:$A, Output_Mac!S:S, ""),
    _xlpm.MyAuditVal, _xlfn.XLOOKUP($A155, My_Audit!$A:$A, My_Audit!N:N, ""),
    _xlfn.TEXTJOIN(", ", TRUE, _xlpm.MyAuditVal, _xlpm.MacVal, _xlpm.CSVVal)
)</f>
        <v/>
      </c>
      <c r="N155" s="54" t="str" cm="1">
        <f t="array" ref="N155">IFERROR(_xlfn.LET(
_xlpm.CSVVal,_xlfn.XLOOKUP($A155,CSV!$A:$A,CSV!AF:AF,""),
_xlpm.MacVal,_xlfn.XLOOKUP($A155,Output_Mac!$A:$A,Output_Mac!U:U,""),
_xlpm.MyAuditVal,_xlfn.XLOOKUP($A155,My_Audit!$A:$A,My_Audit!O:O,""),
_xlfn.IFS(_xlpm.MyAuditVal&lt;&gt;"",UPPER(_xlpm.MyAuditVal),_xlpm.MacVal&lt;&gt;"",_xlpm.MacVal,_xlpm.CSVVal&lt;&gt;"",_xlpm.CSVVal
)),"")</f>
        <v/>
      </c>
      <c r="O155" s="54"/>
      <c r="P155" s="54"/>
      <c r="Q155" s="54"/>
      <c r="R155" s="54"/>
      <c r="S155" s="54"/>
      <c r="T155" s="54"/>
      <c r="U155" s="39" t="str">
        <f>_xlfn.LET(
    _xlpm.MacVal, _xlfn.XLOOKUP($A155, Output_Mac!$A:$A, Output_Mac!AB:AB, ""),
    _xlpm.MyAuditVal, _xlfn.XLOOKUP($A155, My_Audit!$A:$A, My_Audit!L:L, ""),
    _xlfn.TEXTJOIN(", ", TRUE, _xlpm.MyAuditVal, _xlpm.MacVal)
)</f>
        <v/>
      </c>
    </row>
    <row r="156" spans="1:21">
      <c r="A156" s="54" t="str">
        <f>_xlfn.TEXTJOIN("",TRUE,Input!$B$2,ROW(My_Audit!A155))</f>
        <v>XX155</v>
      </c>
      <c r="B156" s="54" t="str">
        <f>_xlfn.TEXTJOIN("-",TRUE,"ITD",Input!$A$2,A156)</f>
        <v>ITD-SHRXXX-XX155</v>
      </c>
      <c r="C156" s="54" t="str" cm="1">
        <f t="array" ref="C156">IFERROR(_xlfn.LET(
_xlpm.CSVVal,_xlfn.XLOOKUP($A156,CSV!$A:$A,CSV!B:B,""),
_xlpm.MacVal,_xlfn.XLOOKUP($A156,Output_Mac!$A:$A,Output_Mac!B:B,""),
_xlpm.MyAuditVal,_xlfn.XLOOKUP($A156,My_Audit!$A:$A,My_Audit!B:B,""),
_xlfn.IFS(_xlpm.MyAuditVal&lt;&gt;"",UPPER(_xlpm.MyAuditVal),_xlpm.MacVal&lt;&gt;"",_xlpm.MacVal,_xlpm.CSVVal&lt;&gt;"",_xlpm.CSVVal
)),"")</f>
        <v/>
      </c>
      <c r="D156" s="55" t="str">
        <f>_xlfn.XLOOKUP(A156,My_Audit!A:A,My_Audit!D:D,"")&amp;""</f>
        <v/>
      </c>
      <c r="E156" s="55" t="str" cm="1">
        <f t="array" ref="E156">IFERROR(_xlfn.LET(
_xlpm.CSVVal,_xlfn.XLOOKUP($A156,CSV!$A:$A,CSV!D:D,""),
_xlpm.MacVal,_xlfn.XLOOKUP($A156,Output_Mac!$A:$A,Output_Mac!C:C,""),
_xlpm.MyAuditVal,_xlfn.XLOOKUP($A156,My_Audit!$A:$A,My_Audit!D:D,""),
_xlfn.IFS(_xlpm.MyAuditVal&lt;&gt;"",_xlpm.MyAuditVal,_xlpm.MacVal&lt;&gt;"",_xlpm.MacVal,_xlpm.CSVVal&lt;&gt;"",_xlpm.CSVVal
)),"")</f>
        <v/>
      </c>
      <c r="F156" s="54" t="str" cm="1">
        <f t="array" ref="F156">IFERROR(_xlfn.LET(
_xlpm.CSVVal,_xlfn.XLOOKUP($A156,CSV!$A:$A,CSV!E:E,""),
_xlpm.MacVal,_xlfn.XLOOKUP($A156,Output_Mac!$A:$A,Output_Mac!F:F,""),
_xlpm.MyAuditVal,_xlfn.XLOOKUP($A156,My_Audit!$A:$A,My_Audit!E:E,""),
_xlfn.IFS(_xlpm.MyAuditVal&lt;&gt;"",_xlpm.MyAuditVal,_xlpm.MacVal&lt;&gt;"",_xlpm.MacVal,_xlpm.CSVVal&lt;&gt;"",PROPER(_xlpm.CSVVal)
)),"")</f>
        <v/>
      </c>
      <c r="G156" s="54" t="str" cm="1">
        <f t="array" ref="G156">IFERROR(_xlfn.LET(
_xlpm.CSVVal,_xlfn.XLOOKUP($A156,CSV!$A:$A,CSV!F:F,""),
_xlpm.MacVal,_xlfn.XLOOKUP($A156,Output_Mac!$A:$A,Output_Mac!H:H,""),
_xlpm.MyAuditVal,_xlfn.XLOOKUP($A156,My_Audit!$A:$A,My_Audit!F:F,""),
_xlfn.IFS(_xlpm.MyAuditVal&lt;&gt;"",_xlpm.MyAuditVal,_xlpm.MacVal&lt;&gt;"",_xlpm.MacVal,_xlpm.CSVVal&lt;&gt;"",_xlpm.CSVVal
)),"")</f>
        <v/>
      </c>
      <c r="H156" s="54" t="str">
        <f>_xlfn.XLOOKUP(A156,Output_Mac!A:A,Output_Mac!I:I,"")</f>
        <v/>
      </c>
      <c r="I156" s="54" t="str" cm="1">
        <f t="array" ref="I156">IFERROR(_xlfn.LET(
_xlpm.CSVVal,_xlfn.XLOOKUP($A156,CSV!$A:$A,CSV!G:G,""),
_xlpm.MacVal,_xlfn.XLOOKUP($A156,Output_Mac!$A:$A,Output_Mac!J:J,""),
_xlpm.MyAuditVal,_xlfn.XLOOKUP($A156,My_Audit!$A:$A,My_Audit!H:H,""),
_xlfn.IFS(_xlpm.MyAuditVal&lt;&gt;"",UPPER(_xlpm.MyAuditVal),_xlpm.MacVal&lt;&gt;"",_xlpm.MacVal,_xlpm.CSVVal&lt;&gt;"",_xlpm.CSVVal
)),"")</f>
        <v/>
      </c>
      <c r="J156" s="54" t="str" cm="1">
        <f t="array" ref="J156">IFERROR(_xlfn.LET(
_xlpm.CSVVal,_xlfn.XLOOKUP($A156,CSV!$A:$A,CSV!I:I,""),
_xlpm.MacVal,_xlfn.XLOOKUP($A156,Output_Mac!$A:$A,Output_Mac!K:K,""),
_xlpm.MyAuditVal,_xlfn.XLOOKUP($A156,My_Audit!$A:$A,My_Audit!I:I,""),
_xlfn.IFS(_xlpm.MyAuditVal&lt;&gt;"",UPPER(_xlpm.MyAuditVal),_xlpm.MacVal&lt;&gt;"",_xlpm.MacVal,_xlpm.CSVVal&lt;&gt;"",_xlpm.CSVVal
)),"")</f>
        <v/>
      </c>
      <c r="K156" s="54" t="str" cm="1">
        <f t="array" ref="K156">IFERROR(_xlfn.LET(
_xlpm.CSVVal,_xlfn.XLOOKUP($A156,CSV!$A:$A,CSV!M:M,""),
_xlpm.MacVal,_xlfn.XLOOKUP($A156,Output_Mac!$A:$A,Output_Mac!L:L,""),
_xlpm.MyAuditVal,_xlfn.XLOOKUP($A156,My_Audit!$A:$A,My_Audit!J:J,""),
_xlfn.IFS(_xlpm.MyAuditVal&lt;&gt;"",UPPER(_xlpm.MyAuditVal),_xlpm.MacVal&lt;&gt;"",_xlpm.MacVal,_xlpm.CSVVal&lt;&gt;"",_xlpm.CSVVal
)),"")</f>
        <v/>
      </c>
      <c r="L156" s="55" t="str" cm="1">
        <f t="array" ref="L156">IFERROR(_xlfn.LET(
_xlpm.CSVVal,_xlfn.XLOOKUP($A156,CSV!$A:$A,CSV!P:P,""),
_xlpm.MacVal,_xlfn.XLOOKUP($A156,Output_Mac!$A:$A,Output_Mac!M:M,""),
_xlpm.MyAuditVal,_xlfn.XLOOKUP($A156,My_Audit!$A:$A,My_Audit!K:K,""),
_xlfn.IFS(_xlpm.MyAuditVal&lt;&gt;"",UPPER(_xlpm.MyAuditVal),_xlpm.MacVal&lt;&gt;"",_xlpm.MacVal,_xlpm.CSVVal&lt;&gt;"",_xlpm.CSVVal
)),"")</f>
        <v/>
      </c>
      <c r="M156" s="54" t="str">
        <f>_xlfn.LET(
    _xlpm.CSVVal, _xlfn.XLOOKUP($A156, CSV!$A:$A, CSV!AD:AD, ""),
    _xlpm.MacVal, _xlfn.XLOOKUP($A156, Output_Mac!$A:$A, Output_Mac!S:S, ""),
    _xlpm.MyAuditVal, _xlfn.XLOOKUP($A156, My_Audit!$A:$A, My_Audit!N:N, ""),
    _xlfn.TEXTJOIN(", ", TRUE, _xlpm.MyAuditVal, _xlpm.MacVal, _xlpm.CSVVal)
)</f>
        <v/>
      </c>
      <c r="N156" s="54" t="str" cm="1">
        <f t="array" ref="N156">IFERROR(_xlfn.LET(
_xlpm.CSVVal,_xlfn.XLOOKUP($A156,CSV!$A:$A,CSV!AF:AF,""),
_xlpm.MacVal,_xlfn.XLOOKUP($A156,Output_Mac!$A:$A,Output_Mac!U:U,""),
_xlpm.MyAuditVal,_xlfn.XLOOKUP($A156,My_Audit!$A:$A,My_Audit!O:O,""),
_xlfn.IFS(_xlpm.MyAuditVal&lt;&gt;"",UPPER(_xlpm.MyAuditVal),_xlpm.MacVal&lt;&gt;"",_xlpm.MacVal,_xlpm.CSVVal&lt;&gt;"",_xlpm.CSVVal
)),"")</f>
        <v/>
      </c>
      <c r="O156" s="54"/>
      <c r="P156" s="54"/>
      <c r="Q156" s="54"/>
      <c r="R156" s="54"/>
      <c r="S156" s="54"/>
      <c r="T156" s="54"/>
      <c r="U156" s="39" t="str">
        <f>_xlfn.LET(
    _xlpm.MacVal, _xlfn.XLOOKUP($A156, Output_Mac!$A:$A, Output_Mac!AB:AB, ""),
    _xlpm.MyAuditVal, _xlfn.XLOOKUP($A156, My_Audit!$A:$A, My_Audit!L:L, ""),
    _xlfn.TEXTJOIN(", ", TRUE, _xlpm.MyAuditVal, _xlpm.MacVal)
)</f>
        <v/>
      </c>
    </row>
    <row r="157" spans="1:21">
      <c r="A157" s="54" t="str">
        <f>_xlfn.TEXTJOIN("",TRUE,Input!$B$2,ROW(My_Audit!A156))</f>
        <v>XX156</v>
      </c>
      <c r="B157" s="54" t="str">
        <f>_xlfn.TEXTJOIN("-",TRUE,"ITD",Input!$A$2,A157)</f>
        <v>ITD-SHRXXX-XX156</v>
      </c>
      <c r="C157" s="54" t="str" cm="1">
        <f t="array" ref="C157">IFERROR(_xlfn.LET(
_xlpm.CSVVal,_xlfn.XLOOKUP($A157,CSV!$A:$A,CSV!B:B,""),
_xlpm.MacVal,_xlfn.XLOOKUP($A157,Output_Mac!$A:$A,Output_Mac!B:B,""),
_xlpm.MyAuditVal,_xlfn.XLOOKUP($A157,My_Audit!$A:$A,My_Audit!B:B,""),
_xlfn.IFS(_xlpm.MyAuditVal&lt;&gt;"",UPPER(_xlpm.MyAuditVal),_xlpm.MacVal&lt;&gt;"",_xlpm.MacVal,_xlpm.CSVVal&lt;&gt;"",_xlpm.CSVVal
)),"")</f>
        <v/>
      </c>
      <c r="D157" s="55" t="str">
        <f>_xlfn.XLOOKUP(A157,My_Audit!A:A,My_Audit!D:D,"")&amp;""</f>
        <v/>
      </c>
      <c r="E157" s="55" t="str" cm="1">
        <f t="array" ref="E157">IFERROR(_xlfn.LET(
_xlpm.CSVVal,_xlfn.XLOOKUP($A157,CSV!$A:$A,CSV!D:D,""),
_xlpm.MacVal,_xlfn.XLOOKUP($A157,Output_Mac!$A:$A,Output_Mac!C:C,""),
_xlpm.MyAuditVal,_xlfn.XLOOKUP($A157,My_Audit!$A:$A,My_Audit!D:D,""),
_xlfn.IFS(_xlpm.MyAuditVal&lt;&gt;"",_xlpm.MyAuditVal,_xlpm.MacVal&lt;&gt;"",_xlpm.MacVal,_xlpm.CSVVal&lt;&gt;"",_xlpm.CSVVal
)),"")</f>
        <v/>
      </c>
      <c r="F157" s="54" t="str" cm="1">
        <f t="array" ref="F157">IFERROR(_xlfn.LET(
_xlpm.CSVVal,_xlfn.XLOOKUP($A157,CSV!$A:$A,CSV!E:E,""),
_xlpm.MacVal,_xlfn.XLOOKUP($A157,Output_Mac!$A:$A,Output_Mac!F:F,""),
_xlpm.MyAuditVal,_xlfn.XLOOKUP($A157,My_Audit!$A:$A,My_Audit!E:E,""),
_xlfn.IFS(_xlpm.MyAuditVal&lt;&gt;"",_xlpm.MyAuditVal,_xlpm.MacVal&lt;&gt;"",_xlpm.MacVal,_xlpm.CSVVal&lt;&gt;"",PROPER(_xlpm.CSVVal)
)),"")</f>
        <v/>
      </c>
      <c r="G157" s="54" t="str" cm="1">
        <f t="array" ref="G157">IFERROR(_xlfn.LET(
_xlpm.CSVVal,_xlfn.XLOOKUP($A157,CSV!$A:$A,CSV!F:F,""),
_xlpm.MacVal,_xlfn.XLOOKUP($A157,Output_Mac!$A:$A,Output_Mac!H:H,""),
_xlpm.MyAuditVal,_xlfn.XLOOKUP($A157,My_Audit!$A:$A,My_Audit!F:F,""),
_xlfn.IFS(_xlpm.MyAuditVal&lt;&gt;"",_xlpm.MyAuditVal,_xlpm.MacVal&lt;&gt;"",_xlpm.MacVal,_xlpm.CSVVal&lt;&gt;"",_xlpm.CSVVal
)),"")</f>
        <v/>
      </c>
      <c r="H157" s="54" t="str">
        <f>_xlfn.XLOOKUP(A157,Output_Mac!A:A,Output_Mac!I:I,"")</f>
        <v/>
      </c>
      <c r="I157" s="54" t="str" cm="1">
        <f t="array" ref="I157">IFERROR(_xlfn.LET(
_xlpm.CSVVal,_xlfn.XLOOKUP($A157,CSV!$A:$A,CSV!G:G,""),
_xlpm.MacVal,_xlfn.XLOOKUP($A157,Output_Mac!$A:$A,Output_Mac!J:J,""),
_xlpm.MyAuditVal,_xlfn.XLOOKUP($A157,My_Audit!$A:$A,My_Audit!H:H,""),
_xlfn.IFS(_xlpm.MyAuditVal&lt;&gt;"",UPPER(_xlpm.MyAuditVal),_xlpm.MacVal&lt;&gt;"",_xlpm.MacVal,_xlpm.CSVVal&lt;&gt;"",_xlpm.CSVVal
)),"")</f>
        <v/>
      </c>
      <c r="J157" s="54" t="str" cm="1">
        <f t="array" ref="J157">IFERROR(_xlfn.LET(
_xlpm.CSVVal,_xlfn.XLOOKUP($A157,CSV!$A:$A,CSV!I:I,""),
_xlpm.MacVal,_xlfn.XLOOKUP($A157,Output_Mac!$A:$A,Output_Mac!K:K,""),
_xlpm.MyAuditVal,_xlfn.XLOOKUP($A157,My_Audit!$A:$A,My_Audit!I:I,""),
_xlfn.IFS(_xlpm.MyAuditVal&lt;&gt;"",UPPER(_xlpm.MyAuditVal),_xlpm.MacVal&lt;&gt;"",_xlpm.MacVal,_xlpm.CSVVal&lt;&gt;"",_xlpm.CSVVal
)),"")</f>
        <v/>
      </c>
      <c r="K157" s="54" t="str" cm="1">
        <f t="array" ref="K157">IFERROR(_xlfn.LET(
_xlpm.CSVVal,_xlfn.XLOOKUP($A157,CSV!$A:$A,CSV!M:M,""),
_xlpm.MacVal,_xlfn.XLOOKUP($A157,Output_Mac!$A:$A,Output_Mac!L:L,""),
_xlpm.MyAuditVal,_xlfn.XLOOKUP($A157,My_Audit!$A:$A,My_Audit!J:J,""),
_xlfn.IFS(_xlpm.MyAuditVal&lt;&gt;"",UPPER(_xlpm.MyAuditVal),_xlpm.MacVal&lt;&gt;"",_xlpm.MacVal,_xlpm.CSVVal&lt;&gt;"",_xlpm.CSVVal
)),"")</f>
        <v/>
      </c>
      <c r="L157" s="55" t="str" cm="1">
        <f t="array" ref="L157">IFERROR(_xlfn.LET(
_xlpm.CSVVal,_xlfn.XLOOKUP($A157,CSV!$A:$A,CSV!P:P,""),
_xlpm.MacVal,_xlfn.XLOOKUP($A157,Output_Mac!$A:$A,Output_Mac!M:M,""),
_xlpm.MyAuditVal,_xlfn.XLOOKUP($A157,My_Audit!$A:$A,My_Audit!K:K,""),
_xlfn.IFS(_xlpm.MyAuditVal&lt;&gt;"",UPPER(_xlpm.MyAuditVal),_xlpm.MacVal&lt;&gt;"",_xlpm.MacVal,_xlpm.CSVVal&lt;&gt;"",_xlpm.CSVVal
)),"")</f>
        <v/>
      </c>
      <c r="M157" s="54" t="str">
        <f>_xlfn.LET(
    _xlpm.CSVVal, _xlfn.XLOOKUP($A157, CSV!$A:$A, CSV!AD:AD, ""),
    _xlpm.MacVal, _xlfn.XLOOKUP($A157, Output_Mac!$A:$A, Output_Mac!S:S, ""),
    _xlpm.MyAuditVal, _xlfn.XLOOKUP($A157, My_Audit!$A:$A, My_Audit!N:N, ""),
    _xlfn.TEXTJOIN(", ", TRUE, _xlpm.MyAuditVal, _xlpm.MacVal, _xlpm.CSVVal)
)</f>
        <v/>
      </c>
      <c r="N157" s="54" t="str" cm="1">
        <f t="array" ref="N157">IFERROR(_xlfn.LET(
_xlpm.CSVVal,_xlfn.XLOOKUP($A157,CSV!$A:$A,CSV!AF:AF,""),
_xlpm.MacVal,_xlfn.XLOOKUP($A157,Output_Mac!$A:$A,Output_Mac!U:U,""),
_xlpm.MyAuditVal,_xlfn.XLOOKUP($A157,My_Audit!$A:$A,My_Audit!O:O,""),
_xlfn.IFS(_xlpm.MyAuditVal&lt;&gt;"",UPPER(_xlpm.MyAuditVal),_xlpm.MacVal&lt;&gt;"",_xlpm.MacVal,_xlpm.CSVVal&lt;&gt;"",_xlpm.CSVVal
)),"")</f>
        <v/>
      </c>
      <c r="O157" s="54"/>
      <c r="P157" s="54"/>
      <c r="Q157" s="54"/>
      <c r="R157" s="54"/>
      <c r="S157" s="54"/>
      <c r="T157" s="54"/>
      <c r="U157" s="39" t="str">
        <f>_xlfn.LET(
    _xlpm.MacVal, _xlfn.XLOOKUP($A157, Output_Mac!$A:$A, Output_Mac!AB:AB, ""),
    _xlpm.MyAuditVal, _xlfn.XLOOKUP($A157, My_Audit!$A:$A, My_Audit!L:L, ""),
    _xlfn.TEXTJOIN(", ", TRUE, _xlpm.MyAuditVal, _xlpm.MacVal)
)</f>
        <v/>
      </c>
    </row>
    <row r="158" spans="1:21">
      <c r="A158" s="54" t="str">
        <f>_xlfn.TEXTJOIN("",TRUE,Input!$B$2,ROW(My_Audit!A157))</f>
        <v>XX157</v>
      </c>
      <c r="B158" s="54" t="str">
        <f>_xlfn.TEXTJOIN("-",TRUE,"ITD",Input!$A$2,A158)</f>
        <v>ITD-SHRXXX-XX157</v>
      </c>
      <c r="C158" s="54" t="str" cm="1">
        <f t="array" ref="C158">IFERROR(_xlfn.LET(
_xlpm.CSVVal,_xlfn.XLOOKUP($A158,CSV!$A:$A,CSV!B:B,""),
_xlpm.MacVal,_xlfn.XLOOKUP($A158,Output_Mac!$A:$A,Output_Mac!B:B,""),
_xlpm.MyAuditVal,_xlfn.XLOOKUP($A158,My_Audit!$A:$A,My_Audit!B:B,""),
_xlfn.IFS(_xlpm.MyAuditVal&lt;&gt;"",UPPER(_xlpm.MyAuditVal),_xlpm.MacVal&lt;&gt;"",_xlpm.MacVal,_xlpm.CSVVal&lt;&gt;"",_xlpm.CSVVal
)),"")</f>
        <v/>
      </c>
      <c r="D158" s="55" t="str">
        <f>_xlfn.XLOOKUP(A158,My_Audit!A:A,My_Audit!D:D,"")&amp;""</f>
        <v/>
      </c>
      <c r="E158" s="55" t="str" cm="1">
        <f t="array" ref="E158">IFERROR(_xlfn.LET(
_xlpm.CSVVal,_xlfn.XLOOKUP($A158,CSV!$A:$A,CSV!D:D,""),
_xlpm.MacVal,_xlfn.XLOOKUP($A158,Output_Mac!$A:$A,Output_Mac!C:C,""),
_xlpm.MyAuditVal,_xlfn.XLOOKUP($A158,My_Audit!$A:$A,My_Audit!D:D,""),
_xlfn.IFS(_xlpm.MyAuditVal&lt;&gt;"",_xlpm.MyAuditVal,_xlpm.MacVal&lt;&gt;"",_xlpm.MacVal,_xlpm.CSVVal&lt;&gt;"",_xlpm.CSVVal
)),"")</f>
        <v/>
      </c>
      <c r="F158" s="54" t="str" cm="1">
        <f t="array" ref="F158">IFERROR(_xlfn.LET(
_xlpm.CSVVal,_xlfn.XLOOKUP($A158,CSV!$A:$A,CSV!E:E,""),
_xlpm.MacVal,_xlfn.XLOOKUP($A158,Output_Mac!$A:$A,Output_Mac!F:F,""),
_xlpm.MyAuditVal,_xlfn.XLOOKUP($A158,My_Audit!$A:$A,My_Audit!E:E,""),
_xlfn.IFS(_xlpm.MyAuditVal&lt;&gt;"",_xlpm.MyAuditVal,_xlpm.MacVal&lt;&gt;"",_xlpm.MacVal,_xlpm.CSVVal&lt;&gt;"",PROPER(_xlpm.CSVVal)
)),"")</f>
        <v/>
      </c>
      <c r="G158" s="54" t="str" cm="1">
        <f t="array" ref="G158">IFERROR(_xlfn.LET(
_xlpm.CSVVal,_xlfn.XLOOKUP($A158,CSV!$A:$A,CSV!F:F,""),
_xlpm.MacVal,_xlfn.XLOOKUP($A158,Output_Mac!$A:$A,Output_Mac!H:H,""),
_xlpm.MyAuditVal,_xlfn.XLOOKUP($A158,My_Audit!$A:$A,My_Audit!F:F,""),
_xlfn.IFS(_xlpm.MyAuditVal&lt;&gt;"",_xlpm.MyAuditVal,_xlpm.MacVal&lt;&gt;"",_xlpm.MacVal,_xlpm.CSVVal&lt;&gt;"",_xlpm.CSVVal
)),"")</f>
        <v/>
      </c>
      <c r="H158" s="54" t="str">
        <f>_xlfn.XLOOKUP(A158,Output_Mac!A:A,Output_Mac!I:I,"")</f>
        <v/>
      </c>
      <c r="I158" s="54" t="str" cm="1">
        <f t="array" ref="I158">IFERROR(_xlfn.LET(
_xlpm.CSVVal,_xlfn.XLOOKUP($A158,CSV!$A:$A,CSV!G:G,""),
_xlpm.MacVal,_xlfn.XLOOKUP($A158,Output_Mac!$A:$A,Output_Mac!J:J,""),
_xlpm.MyAuditVal,_xlfn.XLOOKUP($A158,My_Audit!$A:$A,My_Audit!H:H,""),
_xlfn.IFS(_xlpm.MyAuditVal&lt;&gt;"",UPPER(_xlpm.MyAuditVal),_xlpm.MacVal&lt;&gt;"",_xlpm.MacVal,_xlpm.CSVVal&lt;&gt;"",_xlpm.CSVVal
)),"")</f>
        <v/>
      </c>
      <c r="J158" s="54" t="str" cm="1">
        <f t="array" ref="J158">IFERROR(_xlfn.LET(
_xlpm.CSVVal,_xlfn.XLOOKUP($A158,CSV!$A:$A,CSV!I:I,""),
_xlpm.MacVal,_xlfn.XLOOKUP($A158,Output_Mac!$A:$A,Output_Mac!K:K,""),
_xlpm.MyAuditVal,_xlfn.XLOOKUP($A158,My_Audit!$A:$A,My_Audit!I:I,""),
_xlfn.IFS(_xlpm.MyAuditVal&lt;&gt;"",UPPER(_xlpm.MyAuditVal),_xlpm.MacVal&lt;&gt;"",_xlpm.MacVal,_xlpm.CSVVal&lt;&gt;"",_xlpm.CSVVal
)),"")</f>
        <v/>
      </c>
      <c r="K158" s="54" t="str" cm="1">
        <f t="array" ref="K158">IFERROR(_xlfn.LET(
_xlpm.CSVVal,_xlfn.XLOOKUP($A158,CSV!$A:$A,CSV!M:M,""),
_xlpm.MacVal,_xlfn.XLOOKUP($A158,Output_Mac!$A:$A,Output_Mac!L:L,""),
_xlpm.MyAuditVal,_xlfn.XLOOKUP($A158,My_Audit!$A:$A,My_Audit!J:J,""),
_xlfn.IFS(_xlpm.MyAuditVal&lt;&gt;"",UPPER(_xlpm.MyAuditVal),_xlpm.MacVal&lt;&gt;"",_xlpm.MacVal,_xlpm.CSVVal&lt;&gt;"",_xlpm.CSVVal
)),"")</f>
        <v/>
      </c>
      <c r="L158" s="55" t="str" cm="1">
        <f t="array" ref="L158">IFERROR(_xlfn.LET(
_xlpm.CSVVal,_xlfn.XLOOKUP($A158,CSV!$A:$A,CSV!P:P,""),
_xlpm.MacVal,_xlfn.XLOOKUP($A158,Output_Mac!$A:$A,Output_Mac!M:M,""),
_xlpm.MyAuditVal,_xlfn.XLOOKUP($A158,My_Audit!$A:$A,My_Audit!K:K,""),
_xlfn.IFS(_xlpm.MyAuditVal&lt;&gt;"",UPPER(_xlpm.MyAuditVal),_xlpm.MacVal&lt;&gt;"",_xlpm.MacVal,_xlpm.CSVVal&lt;&gt;"",_xlpm.CSVVal
)),"")</f>
        <v/>
      </c>
      <c r="M158" s="54" t="str">
        <f>_xlfn.LET(
    _xlpm.CSVVal, _xlfn.XLOOKUP($A158, CSV!$A:$A, CSV!AD:AD, ""),
    _xlpm.MacVal, _xlfn.XLOOKUP($A158, Output_Mac!$A:$A, Output_Mac!S:S, ""),
    _xlpm.MyAuditVal, _xlfn.XLOOKUP($A158, My_Audit!$A:$A, My_Audit!N:N, ""),
    _xlfn.TEXTJOIN(", ", TRUE, _xlpm.MyAuditVal, _xlpm.MacVal, _xlpm.CSVVal)
)</f>
        <v/>
      </c>
      <c r="N158" s="54" t="str" cm="1">
        <f t="array" ref="N158">IFERROR(_xlfn.LET(
_xlpm.CSVVal,_xlfn.XLOOKUP($A158,CSV!$A:$A,CSV!AF:AF,""),
_xlpm.MacVal,_xlfn.XLOOKUP($A158,Output_Mac!$A:$A,Output_Mac!U:U,""),
_xlpm.MyAuditVal,_xlfn.XLOOKUP($A158,My_Audit!$A:$A,My_Audit!O:O,""),
_xlfn.IFS(_xlpm.MyAuditVal&lt;&gt;"",UPPER(_xlpm.MyAuditVal),_xlpm.MacVal&lt;&gt;"",_xlpm.MacVal,_xlpm.CSVVal&lt;&gt;"",_xlpm.CSVVal
)),"")</f>
        <v/>
      </c>
      <c r="O158" s="54"/>
      <c r="P158" s="54"/>
      <c r="Q158" s="54"/>
      <c r="R158" s="54"/>
      <c r="S158" s="54"/>
      <c r="T158" s="54"/>
      <c r="U158" s="39" t="str">
        <f>_xlfn.LET(
    _xlpm.MacVal, _xlfn.XLOOKUP($A158, Output_Mac!$A:$A, Output_Mac!AB:AB, ""),
    _xlpm.MyAuditVal, _xlfn.XLOOKUP($A158, My_Audit!$A:$A, My_Audit!L:L, ""),
    _xlfn.TEXTJOIN(", ", TRUE, _xlpm.MyAuditVal, _xlpm.MacVal)
)</f>
        <v/>
      </c>
    </row>
    <row r="159" spans="1:21">
      <c r="A159" s="54" t="str">
        <f>_xlfn.TEXTJOIN("",TRUE,Input!$B$2,ROW(My_Audit!A158))</f>
        <v>XX158</v>
      </c>
      <c r="B159" s="54" t="str">
        <f>_xlfn.TEXTJOIN("-",TRUE,"ITD",Input!$A$2,A159)</f>
        <v>ITD-SHRXXX-XX158</v>
      </c>
      <c r="C159" s="54" t="str" cm="1">
        <f t="array" ref="C159">IFERROR(_xlfn.LET(
_xlpm.CSVVal,_xlfn.XLOOKUP($A159,CSV!$A:$A,CSV!B:B,""),
_xlpm.MacVal,_xlfn.XLOOKUP($A159,Output_Mac!$A:$A,Output_Mac!B:B,""),
_xlpm.MyAuditVal,_xlfn.XLOOKUP($A159,My_Audit!$A:$A,My_Audit!B:B,""),
_xlfn.IFS(_xlpm.MyAuditVal&lt;&gt;"",UPPER(_xlpm.MyAuditVal),_xlpm.MacVal&lt;&gt;"",_xlpm.MacVal,_xlpm.CSVVal&lt;&gt;"",_xlpm.CSVVal
)),"")</f>
        <v/>
      </c>
      <c r="D159" s="55" t="str">
        <f>_xlfn.XLOOKUP(A159,My_Audit!A:A,My_Audit!D:D,"")&amp;""</f>
        <v/>
      </c>
      <c r="E159" s="55" t="str" cm="1">
        <f t="array" ref="E159">IFERROR(_xlfn.LET(
_xlpm.CSVVal,_xlfn.XLOOKUP($A159,CSV!$A:$A,CSV!D:D,""),
_xlpm.MacVal,_xlfn.XLOOKUP($A159,Output_Mac!$A:$A,Output_Mac!C:C,""),
_xlpm.MyAuditVal,_xlfn.XLOOKUP($A159,My_Audit!$A:$A,My_Audit!D:D,""),
_xlfn.IFS(_xlpm.MyAuditVal&lt;&gt;"",_xlpm.MyAuditVal,_xlpm.MacVal&lt;&gt;"",_xlpm.MacVal,_xlpm.CSVVal&lt;&gt;"",_xlpm.CSVVal
)),"")</f>
        <v/>
      </c>
      <c r="F159" s="54" t="str" cm="1">
        <f t="array" ref="F159">IFERROR(_xlfn.LET(
_xlpm.CSVVal,_xlfn.XLOOKUP($A159,CSV!$A:$A,CSV!E:E,""),
_xlpm.MacVal,_xlfn.XLOOKUP($A159,Output_Mac!$A:$A,Output_Mac!F:F,""),
_xlpm.MyAuditVal,_xlfn.XLOOKUP($A159,My_Audit!$A:$A,My_Audit!E:E,""),
_xlfn.IFS(_xlpm.MyAuditVal&lt;&gt;"",_xlpm.MyAuditVal,_xlpm.MacVal&lt;&gt;"",_xlpm.MacVal,_xlpm.CSVVal&lt;&gt;"",PROPER(_xlpm.CSVVal)
)),"")</f>
        <v/>
      </c>
      <c r="G159" s="54" t="str" cm="1">
        <f t="array" ref="G159">IFERROR(_xlfn.LET(
_xlpm.CSVVal,_xlfn.XLOOKUP($A159,CSV!$A:$A,CSV!F:F,""),
_xlpm.MacVal,_xlfn.XLOOKUP($A159,Output_Mac!$A:$A,Output_Mac!H:H,""),
_xlpm.MyAuditVal,_xlfn.XLOOKUP($A159,My_Audit!$A:$A,My_Audit!F:F,""),
_xlfn.IFS(_xlpm.MyAuditVal&lt;&gt;"",_xlpm.MyAuditVal,_xlpm.MacVal&lt;&gt;"",_xlpm.MacVal,_xlpm.CSVVal&lt;&gt;"",_xlpm.CSVVal
)),"")</f>
        <v/>
      </c>
      <c r="H159" s="54" t="str">
        <f>_xlfn.XLOOKUP(A159,Output_Mac!A:A,Output_Mac!I:I,"")</f>
        <v/>
      </c>
      <c r="I159" s="54" t="str" cm="1">
        <f t="array" ref="I159">IFERROR(_xlfn.LET(
_xlpm.CSVVal,_xlfn.XLOOKUP($A159,CSV!$A:$A,CSV!G:G,""),
_xlpm.MacVal,_xlfn.XLOOKUP($A159,Output_Mac!$A:$A,Output_Mac!J:J,""),
_xlpm.MyAuditVal,_xlfn.XLOOKUP($A159,My_Audit!$A:$A,My_Audit!H:H,""),
_xlfn.IFS(_xlpm.MyAuditVal&lt;&gt;"",UPPER(_xlpm.MyAuditVal),_xlpm.MacVal&lt;&gt;"",_xlpm.MacVal,_xlpm.CSVVal&lt;&gt;"",_xlpm.CSVVal
)),"")</f>
        <v/>
      </c>
      <c r="J159" s="54" t="str" cm="1">
        <f t="array" ref="J159">IFERROR(_xlfn.LET(
_xlpm.CSVVal,_xlfn.XLOOKUP($A159,CSV!$A:$A,CSV!I:I,""),
_xlpm.MacVal,_xlfn.XLOOKUP($A159,Output_Mac!$A:$A,Output_Mac!K:K,""),
_xlpm.MyAuditVal,_xlfn.XLOOKUP($A159,My_Audit!$A:$A,My_Audit!I:I,""),
_xlfn.IFS(_xlpm.MyAuditVal&lt;&gt;"",UPPER(_xlpm.MyAuditVal),_xlpm.MacVal&lt;&gt;"",_xlpm.MacVal,_xlpm.CSVVal&lt;&gt;"",_xlpm.CSVVal
)),"")</f>
        <v/>
      </c>
      <c r="K159" s="54" t="str" cm="1">
        <f t="array" ref="K159">IFERROR(_xlfn.LET(
_xlpm.CSVVal,_xlfn.XLOOKUP($A159,CSV!$A:$A,CSV!M:M,""),
_xlpm.MacVal,_xlfn.XLOOKUP($A159,Output_Mac!$A:$A,Output_Mac!L:L,""),
_xlpm.MyAuditVal,_xlfn.XLOOKUP($A159,My_Audit!$A:$A,My_Audit!J:J,""),
_xlfn.IFS(_xlpm.MyAuditVal&lt;&gt;"",UPPER(_xlpm.MyAuditVal),_xlpm.MacVal&lt;&gt;"",_xlpm.MacVal,_xlpm.CSVVal&lt;&gt;"",_xlpm.CSVVal
)),"")</f>
        <v/>
      </c>
      <c r="L159" s="55" t="str" cm="1">
        <f t="array" ref="L159">IFERROR(_xlfn.LET(
_xlpm.CSVVal,_xlfn.XLOOKUP($A159,CSV!$A:$A,CSV!P:P,""),
_xlpm.MacVal,_xlfn.XLOOKUP($A159,Output_Mac!$A:$A,Output_Mac!M:M,""),
_xlpm.MyAuditVal,_xlfn.XLOOKUP($A159,My_Audit!$A:$A,My_Audit!K:K,""),
_xlfn.IFS(_xlpm.MyAuditVal&lt;&gt;"",UPPER(_xlpm.MyAuditVal),_xlpm.MacVal&lt;&gt;"",_xlpm.MacVal,_xlpm.CSVVal&lt;&gt;"",_xlpm.CSVVal
)),"")</f>
        <v/>
      </c>
      <c r="M159" s="54" t="str">
        <f>_xlfn.LET(
    _xlpm.CSVVal, _xlfn.XLOOKUP($A159, CSV!$A:$A, CSV!AD:AD, ""),
    _xlpm.MacVal, _xlfn.XLOOKUP($A159, Output_Mac!$A:$A, Output_Mac!S:S, ""),
    _xlpm.MyAuditVal, _xlfn.XLOOKUP($A159, My_Audit!$A:$A, My_Audit!N:N, ""),
    _xlfn.TEXTJOIN(", ", TRUE, _xlpm.MyAuditVal, _xlpm.MacVal, _xlpm.CSVVal)
)</f>
        <v/>
      </c>
      <c r="N159" s="54" t="str" cm="1">
        <f t="array" ref="N159">IFERROR(_xlfn.LET(
_xlpm.CSVVal,_xlfn.XLOOKUP($A159,CSV!$A:$A,CSV!AF:AF,""),
_xlpm.MacVal,_xlfn.XLOOKUP($A159,Output_Mac!$A:$A,Output_Mac!U:U,""),
_xlpm.MyAuditVal,_xlfn.XLOOKUP($A159,My_Audit!$A:$A,My_Audit!O:O,""),
_xlfn.IFS(_xlpm.MyAuditVal&lt;&gt;"",UPPER(_xlpm.MyAuditVal),_xlpm.MacVal&lt;&gt;"",_xlpm.MacVal,_xlpm.CSVVal&lt;&gt;"",_xlpm.CSVVal
)),"")</f>
        <v/>
      </c>
      <c r="O159" s="54"/>
      <c r="P159" s="54"/>
      <c r="Q159" s="54"/>
      <c r="R159" s="54"/>
      <c r="S159" s="54"/>
      <c r="T159" s="54"/>
      <c r="U159" s="39" t="str">
        <f>_xlfn.LET(
    _xlpm.MacVal, _xlfn.XLOOKUP($A159, Output_Mac!$A:$A, Output_Mac!AB:AB, ""),
    _xlpm.MyAuditVal, _xlfn.XLOOKUP($A159, My_Audit!$A:$A, My_Audit!L:L, ""),
    _xlfn.TEXTJOIN(", ", TRUE, _xlpm.MyAuditVal, _xlpm.MacVal)
)</f>
        <v/>
      </c>
    </row>
    <row r="160" spans="1:21">
      <c r="A160" s="54" t="str">
        <f>_xlfn.TEXTJOIN("",TRUE,Input!$B$2,ROW(My_Audit!A159))</f>
        <v>XX159</v>
      </c>
      <c r="B160" s="54" t="str">
        <f>_xlfn.TEXTJOIN("-",TRUE,"ITD",Input!$A$2,A160)</f>
        <v>ITD-SHRXXX-XX159</v>
      </c>
      <c r="C160" s="54" t="str" cm="1">
        <f t="array" ref="C160">IFERROR(_xlfn.LET(
_xlpm.CSVVal,_xlfn.XLOOKUP($A160,CSV!$A:$A,CSV!B:B,""),
_xlpm.MacVal,_xlfn.XLOOKUP($A160,Output_Mac!$A:$A,Output_Mac!B:B,""),
_xlpm.MyAuditVal,_xlfn.XLOOKUP($A160,My_Audit!$A:$A,My_Audit!B:B,""),
_xlfn.IFS(_xlpm.MyAuditVal&lt;&gt;"",UPPER(_xlpm.MyAuditVal),_xlpm.MacVal&lt;&gt;"",_xlpm.MacVal,_xlpm.CSVVal&lt;&gt;"",_xlpm.CSVVal
)),"")</f>
        <v/>
      </c>
      <c r="D160" s="55" t="str">
        <f>_xlfn.XLOOKUP(A160,My_Audit!A:A,My_Audit!D:D,"")&amp;""</f>
        <v/>
      </c>
      <c r="E160" s="55" t="str" cm="1">
        <f t="array" ref="E160">IFERROR(_xlfn.LET(
_xlpm.CSVVal,_xlfn.XLOOKUP($A160,CSV!$A:$A,CSV!D:D,""),
_xlpm.MacVal,_xlfn.XLOOKUP($A160,Output_Mac!$A:$A,Output_Mac!C:C,""),
_xlpm.MyAuditVal,_xlfn.XLOOKUP($A160,My_Audit!$A:$A,My_Audit!D:D,""),
_xlfn.IFS(_xlpm.MyAuditVal&lt;&gt;"",_xlpm.MyAuditVal,_xlpm.MacVal&lt;&gt;"",_xlpm.MacVal,_xlpm.CSVVal&lt;&gt;"",_xlpm.CSVVal
)),"")</f>
        <v/>
      </c>
      <c r="F160" s="54" t="str" cm="1">
        <f t="array" ref="F160">IFERROR(_xlfn.LET(
_xlpm.CSVVal,_xlfn.XLOOKUP($A160,CSV!$A:$A,CSV!E:E,""),
_xlpm.MacVal,_xlfn.XLOOKUP($A160,Output_Mac!$A:$A,Output_Mac!F:F,""),
_xlpm.MyAuditVal,_xlfn.XLOOKUP($A160,My_Audit!$A:$A,My_Audit!E:E,""),
_xlfn.IFS(_xlpm.MyAuditVal&lt;&gt;"",_xlpm.MyAuditVal,_xlpm.MacVal&lt;&gt;"",_xlpm.MacVal,_xlpm.CSVVal&lt;&gt;"",PROPER(_xlpm.CSVVal)
)),"")</f>
        <v/>
      </c>
      <c r="G160" s="54" t="str" cm="1">
        <f t="array" ref="G160">IFERROR(_xlfn.LET(
_xlpm.CSVVal,_xlfn.XLOOKUP($A160,CSV!$A:$A,CSV!F:F,""),
_xlpm.MacVal,_xlfn.XLOOKUP($A160,Output_Mac!$A:$A,Output_Mac!H:H,""),
_xlpm.MyAuditVal,_xlfn.XLOOKUP($A160,My_Audit!$A:$A,My_Audit!F:F,""),
_xlfn.IFS(_xlpm.MyAuditVal&lt;&gt;"",_xlpm.MyAuditVal,_xlpm.MacVal&lt;&gt;"",_xlpm.MacVal,_xlpm.CSVVal&lt;&gt;"",_xlpm.CSVVal
)),"")</f>
        <v/>
      </c>
      <c r="H160" s="54" t="str">
        <f>_xlfn.XLOOKUP(A160,Output_Mac!A:A,Output_Mac!I:I,"")</f>
        <v/>
      </c>
      <c r="I160" s="54" t="str" cm="1">
        <f t="array" ref="I160">IFERROR(_xlfn.LET(
_xlpm.CSVVal,_xlfn.XLOOKUP($A160,CSV!$A:$A,CSV!G:G,""),
_xlpm.MacVal,_xlfn.XLOOKUP($A160,Output_Mac!$A:$A,Output_Mac!J:J,""),
_xlpm.MyAuditVal,_xlfn.XLOOKUP($A160,My_Audit!$A:$A,My_Audit!H:H,""),
_xlfn.IFS(_xlpm.MyAuditVal&lt;&gt;"",UPPER(_xlpm.MyAuditVal),_xlpm.MacVal&lt;&gt;"",_xlpm.MacVal,_xlpm.CSVVal&lt;&gt;"",_xlpm.CSVVal
)),"")</f>
        <v/>
      </c>
      <c r="J160" s="54" t="str" cm="1">
        <f t="array" ref="J160">IFERROR(_xlfn.LET(
_xlpm.CSVVal,_xlfn.XLOOKUP($A160,CSV!$A:$A,CSV!I:I,""),
_xlpm.MacVal,_xlfn.XLOOKUP($A160,Output_Mac!$A:$A,Output_Mac!K:K,""),
_xlpm.MyAuditVal,_xlfn.XLOOKUP($A160,My_Audit!$A:$A,My_Audit!I:I,""),
_xlfn.IFS(_xlpm.MyAuditVal&lt;&gt;"",UPPER(_xlpm.MyAuditVal),_xlpm.MacVal&lt;&gt;"",_xlpm.MacVal,_xlpm.CSVVal&lt;&gt;"",_xlpm.CSVVal
)),"")</f>
        <v/>
      </c>
      <c r="K160" s="54" t="str" cm="1">
        <f t="array" ref="K160">IFERROR(_xlfn.LET(
_xlpm.CSVVal,_xlfn.XLOOKUP($A160,CSV!$A:$A,CSV!M:M,""),
_xlpm.MacVal,_xlfn.XLOOKUP($A160,Output_Mac!$A:$A,Output_Mac!L:L,""),
_xlpm.MyAuditVal,_xlfn.XLOOKUP($A160,My_Audit!$A:$A,My_Audit!J:J,""),
_xlfn.IFS(_xlpm.MyAuditVal&lt;&gt;"",UPPER(_xlpm.MyAuditVal),_xlpm.MacVal&lt;&gt;"",_xlpm.MacVal,_xlpm.CSVVal&lt;&gt;"",_xlpm.CSVVal
)),"")</f>
        <v/>
      </c>
      <c r="L160" s="55" t="str" cm="1">
        <f t="array" ref="L160">IFERROR(_xlfn.LET(
_xlpm.CSVVal,_xlfn.XLOOKUP($A160,CSV!$A:$A,CSV!P:P,""),
_xlpm.MacVal,_xlfn.XLOOKUP($A160,Output_Mac!$A:$A,Output_Mac!M:M,""),
_xlpm.MyAuditVal,_xlfn.XLOOKUP($A160,My_Audit!$A:$A,My_Audit!K:K,""),
_xlfn.IFS(_xlpm.MyAuditVal&lt;&gt;"",UPPER(_xlpm.MyAuditVal),_xlpm.MacVal&lt;&gt;"",_xlpm.MacVal,_xlpm.CSVVal&lt;&gt;"",_xlpm.CSVVal
)),"")</f>
        <v/>
      </c>
      <c r="M160" s="54" t="str">
        <f>_xlfn.LET(
    _xlpm.CSVVal, _xlfn.XLOOKUP($A160, CSV!$A:$A, CSV!AD:AD, ""),
    _xlpm.MacVal, _xlfn.XLOOKUP($A160, Output_Mac!$A:$A, Output_Mac!S:S, ""),
    _xlpm.MyAuditVal, _xlfn.XLOOKUP($A160, My_Audit!$A:$A, My_Audit!N:N, ""),
    _xlfn.TEXTJOIN(", ", TRUE, _xlpm.MyAuditVal, _xlpm.MacVal, _xlpm.CSVVal)
)</f>
        <v/>
      </c>
      <c r="N160" s="54" t="str" cm="1">
        <f t="array" ref="N160">IFERROR(_xlfn.LET(
_xlpm.CSVVal,_xlfn.XLOOKUP($A160,CSV!$A:$A,CSV!AF:AF,""),
_xlpm.MacVal,_xlfn.XLOOKUP($A160,Output_Mac!$A:$A,Output_Mac!U:U,""),
_xlpm.MyAuditVal,_xlfn.XLOOKUP($A160,My_Audit!$A:$A,My_Audit!O:O,""),
_xlfn.IFS(_xlpm.MyAuditVal&lt;&gt;"",UPPER(_xlpm.MyAuditVal),_xlpm.MacVal&lt;&gt;"",_xlpm.MacVal,_xlpm.CSVVal&lt;&gt;"",_xlpm.CSVVal
)),"")</f>
        <v/>
      </c>
      <c r="O160" s="54"/>
      <c r="P160" s="54"/>
      <c r="Q160" s="54"/>
      <c r="R160" s="54"/>
      <c r="S160" s="54"/>
      <c r="T160" s="54"/>
      <c r="U160" s="39" t="str">
        <f>_xlfn.LET(
    _xlpm.MacVal, _xlfn.XLOOKUP($A160, Output_Mac!$A:$A, Output_Mac!AB:AB, ""),
    _xlpm.MyAuditVal, _xlfn.XLOOKUP($A160, My_Audit!$A:$A, My_Audit!L:L, ""),
    _xlfn.TEXTJOIN(", ", TRUE, _xlpm.MyAuditVal, _xlpm.MacVal)
)</f>
        <v/>
      </c>
    </row>
    <row r="161" spans="1:21">
      <c r="A161" s="54" t="str">
        <f>_xlfn.TEXTJOIN("",TRUE,Input!$B$2,ROW(My_Audit!A160))</f>
        <v>XX160</v>
      </c>
      <c r="B161" s="54" t="str">
        <f>_xlfn.TEXTJOIN("-",TRUE,"ITD",Input!$A$2,A161)</f>
        <v>ITD-SHRXXX-XX160</v>
      </c>
      <c r="C161" s="54" t="str" cm="1">
        <f t="array" ref="C161">IFERROR(_xlfn.LET(
_xlpm.CSVVal,_xlfn.XLOOKUP($A161,CSV!$A:$A,CSV!B:B,""),
_xlpm.MacVal,_xlfn.XLOOKUP($A161,Output_Mac!$A:$A,Output_Mac!B:B,""),
_xlpm.MyAuditVal,_xlfn.XLOOKUP($A161,My_Audit!$A:$A,My_Audit!B:B,""),
_xlfn.IFS(_xlpm.MyAuditVal&lt;&gt;"",UPPER(_xlpm.MyAuditVal),_xlpm.MacVal&lt;&gt;"",_xlpm.MacVal,_xlpm.CSVVal&lt;&gt;"",_xlpm.CSVVal
)),"")</f>
        <v/>
      </c>
      <c r="D161" s="55" t="str">
        <f>_xlfn.XLOOKUP(A161,My_Audit!A:A,My_Audit!D:D,"")&amp;""</f>
        <v/>
      </c>
      <c r="E161" s="55" t="str" cm="1">
        <f t="array" ref="E161">IFERROR(_xlfn.LET(
_xlpm.CSVVal,_xlfn.XLOOKUP($A161,CSV!$A:$A,CSV!D:D,""),
_xlpm.MacVal,_xlfn.XLOOKUP($A161,Output_Mac!$A:$A,Output_Mac!C:C,""),
_xlpm.MyAuditVal,_xlfn.XLOOKUP($A161,My_Audit!$A:$A,My_Audit!D:D,""),
_xlfn.IFS(_xlpm.MyAuditVal&lt;&gt;"",_xlpm.MyAuditVal,_xlpm.MacVal&lt;&gt;"",_xlpm.MacVal,_xlpm.CSVVal&lt;&gt;"",_xlpm.CSVVal
)),"")</f>
        <v/>
      </c>
      <c r="F161" s="54" t="str" cm="1">
        <f t="array" ref="F161">IFERROR(_xlfn.LET(
_xlpm.CSVVal,_xlfn.XLOOKUP($A161,CSV!$A:$A,CSV!E:E,""),
_xlpm.MacVal,_xlfn.XLOOKUP($A161,Output_Mac!$A:$A,Output_Mac!F:F,""),
_xlpm.MyAuditVal,_xlfn.XLOOKUP($A161,My_Audit!$A:$A,My_Audit!E:E,""),
_xlfn.IFS(_xlpm.MyAuditVal&lt;&gt;"",_xlpm.MyAuditVal,_xlpm.MacVal&lt;&gt;"",_xlpm.MacVal,_xlpm.CSVVal&lt;&gt;"",PROPER(_xlpm.CSVVal)
)),"")</f>
        <v/>
      </c>
      <c r="G161" s="54" t="str" cm="1">
        <f t="array" ref="G161">IFERROR(_xlfn.LET(
_xlpm.CSVVal,_xlfn.XLOOKUP($A161,CSV!$A:$A,CSV!F:F,""),
_xlpm.MacVal,_xlfn.XLOOKUP($A161,Output_Mac!$A:$A,Output_Mac!H:H,""),
_xlpm.MyAuditVal,_xlfn.XLOOKUP($A161,My_Audit!$A:$A,My_Audit!F:F,""),
_xlfn.IFS(_xlpm.MyAuditVal&lt;&gt;"",_xlpm.MyAuditVal,_xlpm.MacVal&lt;&gt;"",_xlpm.MacVal,_xlpm.CSVVal&lt;&gt;"",_xlpm.CSVVal
)),"")</f>
        <v/>
      </c>
      <c r="H161" s="54" t="str">
        <f>_xlfn.XLOOKUP(A161,Output_Mac!A:A,Output_Mac!I:I,"")</f>
        <v/>
      </c>
      <c r="I161" s="54" t="str" cm="1">
        <f t="array" ref="I161">IFERROR(_xlfn.LET(
_xlpm.CSVVal,_xlfn.XLOOKUP($A161,CSV!$A:$A,CSV!G:G,""),
_xlpm.MacVal,_xlfn.XLOOKUP($A161,Output_Mac!$A:$A,Output_Mac!J:J,""),
_xlpm.MyAuditVal,_xlfn.XLOOKUP($A161,My_Audit!$A:$A,My_Audit!H:H,""),
_xlfn.IFS(_xlpm.MyAuditVal&lt;&gt;"",UPPER(_xlpm.MyAuditVal),_xlpm.MacVal&lt;&gt;"",_xlpm.MacVal,_xlpm.CSVVal&lt;&gt;"",_xlpm.CSVVal
)),"")</f>
        <v/>
      </c>
      <c r="J161" s="54" t="str" cm="1">
        <f t="array" ref="J161">IFERROR(_xlfn.LET(
_xlpm.CSVVal,_xlfn.XLOOKUP($A161,CSV!$A:$A,CSV!I:I,""),
_xlpm.MacVal,_xlfn.XLOOKUP($A161,Output_Mac!$A:$A,Output_Mac!K:K,""),
_xlpm.MyAuditVal,_xlfn.XLOOKUP($A161,My_Audit!$A:$A,My_Audit!I:I,""),
_xlfn.IFS(_xlpm.MyAuditVal&lt;&gt;"",UPPER(_xlpm.MyAuditVal),_xlpm.MacVal&lt;&gt;"",_xlpm.MacVal,_xlpm.CSVVal&lt;&gt;"",_xlpm.CSVVal
)),"")</f>
        <v/>
      </c>
      <c r="K161" s="54" t="str" cm="1">
        <f t="array" ref="K161">IFERROR(_xlfn.LET(
_xlpm.CSVVal,_xlfn.XLOOKUP($A161,CSV!$A:$A,CSV!M:M,""),
_xlpm.MacVal,_xlfn.XLOOKUP($A161,Output_Mac!$A:$A,Output_Mac!L:L,""),
_xlpm.MyAuditVal,_xlfn.XLOOKUP($A161,My_Audit!$A:$A,My_Audit!J:J,""),
_xlfn.IFS(_xlpm.MyAuditVal&lt;&gt;"",UPPER(_xlpm.MyAuditVal),_xlpm.MacVal&lt;&gt;"",_xlpm.MacVal,_xlpm.CSVVal&lt;&gt;"",_xlpm.CSVVal
)),"")</f>
        <v/>
      </c>
      <c r="L161" s="55" t="str" cm="1">
        <f t="array" ref="L161">IFERROR(_xlfn.LET(
_xlpm.CSVVal,_xlfn.XLOOKUP($A161,CSV!$A:$A,CSV!P:P,""),
_xlpm.MacVal,_xlfn.XLOOKUP($A161,Output_Mac!$A:$A,Output_Mac!M:M,""),
_xlpm.MyAuditVal,_xlfn.XLOOKUP($A161,My_Audit!$A:$A,My_Audit!K:K,""),
_xlfn.IFS(_xlpm.MyAuditVal&lt;&gt;"",UPPER(_xlpm.MyAuditVal),_xlpm.MacVal&lt;&gt;"",_xlpm.MacVal,_xlpm.CSVVal&lt;&gt;"",_xlpm.CSVVal
)),"")</f>
        <v/>
      </c>
      <c r="M161" s="54" t="str">
        <f>_xlfn.LET(
    _xlpm.CSVVal, _xlfn.XLOOKUP($A161, CSV!$A:$A, CSV!AD:AD, ""),
    _xlpm.MacVal, _xlfn.XLOOKUP($A161, Output_Mac!$A:$A, Output_Mac!S:S, ""),
    _xlpm.MyAuditVal, _xlfn.XLOOKUP($A161, My_Audit!$A:$A, My_Audit!N:N, ""),
    _xlfn.TEXTJOIN(", ", TRUE, _xlpm.MyAuditVal, _xlpm.MacVal, _xlpm.CSVVal)
)</f>
        <v/>
      </c>
      <c r="N161" s="54" t="str" cm="1">
        <f t="array" ref="N161">IFERROR(_xlfn.LET(
_xlpm.CSVVal,_xlfn.XLOOKUP($A161,CSV!$A:$A,CSV!AF:AF,""),
_xlpm.MacVal,_xlfn.XLOOKUP($A161,Output_Mac!$A:$A,Output_Mac!U:U,""),
_xlpm.MyAuditVal,_xlfn.XLOOKUP($A161,My_Audit!$A:$A,My_Audit!O:O,""),
_xlfn.IFS(_xlpm.MyAuditVal&lt;&gt;"",UPPER(_xlpm.MyAuditVal),_xlpm.MacVal&lt;&gt;"",_xlpm.MacVal,_xlpm.CSVVal&lt;&gt;"",_xlpm.CSVVal
)),"")</f>
        <v/>
      </c>
      <c r="O161" s="54"/>
      <c r="P161" s="54"/>
      <c r="Q161" s="54"/>
      <c r="R161" s="54"/>
      <c r="S161" s="54"/>
      <c r="T161" s="54"/>
      <c r="U161" s="39" t="str">
        <f>_xlfn.LET(
    _xlpm.MacVal, _xlfn.XLOOKUP($A161, Output_Mac!$A:$A, Output_Mac!AB:AB, ""),
    _xlpm.MyAuditVal, _xlfn.XLOOKUP($A161, My_Audit!$A:$A, My_Audit!L:L, ""),
    _xlfn.TEXTJOIN(", ", TRUE, _xlpm.MyAuditVal, _xlpm.MacVal)
)</f>
        <v/>
      </c>
    </row>
    <row r="162" spans="1:21">
      <c r="A162" s="54" t="str">
        <f>_xlfn.TEXTJOIN("",TRUE,Input!$B$2,ROW(My_Audit!A161))</f>
        <v>XX161</v>
      </c>
      <c r="B162" s="54" t="str">
        <f>_xlfn.TEXTJOIN("-",TRUE,"ITD",Input!$A$2,A162)</f>
        <v>ITD-SHRXXX-XX161</v>
      </c>
      <c r="C162" s="54" t="str" cm="1">
        <f t="array" ref="C162">IFERROR(_xlfn.LET(
_xlpm.CSVVal,_xlfn.XLOOKUP($A162,CSV!$A:$A,CSV!B:B,""),
_xlpm.MacVal,_xlfn.XLOOKUP($A162,Output_Mac!$A:$A,Output_Mac!B:B,""),
_xlpm.MyAuditVal,_xlfn.XLOOKUP($A162,My_Audit!$A:$A,My_Audit!B:B,""),
_xlfn.IFS(_xlpm.MyAuditVal&lt;&gt;"",UPPER(_xlpm.MyAuditVal),_xlpm.MacVal&lt;&gt;"",_xlpm.MacVal,_xlpm.CSVVal&lt;&gt;"",_xlpm.CSVVal
)),"")</f>
        <v/>
      </c>
      <c r="D162" s="55" t="str">
        <f>_xlfn.XLOOKUP(A162,My_Audit!A:A,My_Audit!D:D,"")&amp;""</f>
        <v/>
      </c>
      <c r="E162" s="55" t="str" cm="1">
        <f t="array" ref="E162">IFERROR(_xlfn.LET(
_xlpm.CSVVal,_xlfn.XLOOKUP($A162,CSV!$A:$A,CSV!D:D,""),
_xlpm.MacVal,_xlfn.XLOOKUP($A162,Output_Mac!$A:$A,Output_Mac!C:C,""),
_xlpm.MyAuditVal,_xlfn.XLOOKUP($A162,My_Audit!$A:$A,My_Audit!D:D,""),
_xlfn.IFS(_xlpm.MyAuditVal&lt;&gt;"",_xlpm.MyAuditVal,_xlpm.MacVal&lt;&gt;"",_xlpm.MacVal,_xlpm.CSVVal&lt;&gt;"",_xlpm.CSVVal
)),"")</f>
        <v/>
      </c>
      <c r="F162" s="54" t="str" cm="1">
        <f t="array" ref="F162">IFERROR(_xlfn.LET(
_xlpm.CSVVal,_xlfn.XLOOKUP($A162,CSV!$A:$A,CSV!E:E,""),
_xlpm.MacVal,_xlfn.XLOOKUP($A162,Output_Mac!$A:$A,Output_Mac!F:F,""),
_xlpm.MyAuditVal,_xlfn.XLOOKUP($A162,My_Audit!$A:$A,My_Audit!E:E,""),
_xlfn.IFS(_xlpm.MyAuditVal&lt;&gt;"",_xlpm.MyAuditVal,_xlpm.MacVal&lt;&gt;"",_xlpm.MacVal,_xlpm.CSVVal&lt;&gt;"",PROPER(_xlpm.CSVVal)
)),"")</f>
        <v/>
      </c>
      <c r="G162" s="54" t="str" cm="1">
        <f t="array" ref="G162">IFERROR(_xlfn.LET(
_xlpm.CSVVal,_xlfn.XLOOKUP($A162,CSV!$A:$A,CSV!F:F,""),
_xlpm.MacVal,_xlfn.XLOOKUP($A162,Output_Mac!$A:$A,Output_Mac!H:H,""),
_xlpm.MyAuditVal,_xlfn.XLOOKUP($A162,My_Audit!$A:$A,My_Audit!F:F,""),
_xlfn.IFS(_xlpm.MyAuditVal&lt;&gt;"",_xlpm.MyAuditVal,_xlpm.MacVal&lt;&gt;"",_xlpm.MacVal,_xlpm.CSVVal&lt;&gt;"",_xlpm.CSVVal
)),"")</f>
        <v/>
      </c>
      <c r="H162" s="54" t="str">
        <f>_xlfn.XLOOKUP(A162,Output_Mac!A:A,Output_Mac!I:I,"")</f>
        <v/>
      </c>
      <c r="I162" s="54" t="str" cm="1">
        <f t="array" ref="I162">IFERROR(_xlfn.LET(
_xlpm.CSVVal,_xlfn.XLOOKUP($A162,CSV!$A:$A,CSV!G:G,""),
_xlpm.MacVal,_xlfn.XLOOKUP($A162,Output_Mac!$A:$A,Output_Mac!J:J,""),
_xlpm.MyAuditVal,_xlfn.XLOOKUP($A162,My_Audit!$A:$A,My_Audit!H:H,""),
_xlfn.IFS(_xlpm.MyAuditVal&lt;&gt;"",UPPER(_xlpm.MyAuditVal),_xlpm.MacVal&lt;&gt;"",_xlpm.MacVal,_xlpm.CSVVal&lt;&gt;"",_xlpm.CSVVal
)),"")</f>
        <v/>
      </c>
      <c r="J162" s="54" t="str" cm="1">
        <f t="array" ref="J162">IFERROR(_xlfn.LET(
_xlpm.CSVVal,_xlfn.XLOOKUP($A162,CSV!$A:$A,CSV!I:I,""),
_xlpm.MacVal,_xlfn.XLOOKUP($A162,Output_Mac!$A:$A,Output_Mac!K:K,""),
_xlpm.MyAuditVal,_xlfn.XLOOKUP($A162,My_Audit!$A:$A,My_Audit!I:I,""),
_xlfn.IFS(_xlpm.MyAuditVal&lt;&gt;"",UPPER(_xlpm.MyAuditVal),_xlpm.MacVal&lt;&gt;"",_xlpm.MacVal,_xlpm.CSVVal&lt;&gt;"",_xlpm.CSVVal
)),"")</f>
        <v/>
      </c>
      <c r="K162" s="54" t="str" cm="1">
        <f t="array" ref="K162">IFERROR(_xlfn.LET(
_xlpm.CSVVal,_xlfn.XLOOKUP($A162,CSV!$A:$A,CSV!M:M,""),
_xlpm.MacVal,_xlfn.XLOOKUP($A162,Output_Mac!$A:$A,Output_Mac!L:L,""),
_xlpm.MyAuditVal,_xlfn.XLOOKUP($A162,My_Audit!$A:$A,My_Audit!J:J,""),
_xlfn.IFS(_xlpm.MyAuditVal&lt;&gt;"",UPPER(_xlpm.MyAuditVal),_xlpm.MacVal&lt;&gt;"",_xlpm.MacVal,_xlpm.CSVVal&lt;&gt;"",_xlpm.CSVVal
)),"")</f>
        <v/>
      </c>
      <c r="L162" s="55" t="str" cm="1">
        <f t="array" ref="L162">IFERROR(_xlfn.LET(
_xlpm.CSVVal,_xlfn.XLOOKUP($A162,CSV!$A:$A,CSV!P:P,""),
_xlpm.MacVal,_xlfn.XLOOKUP($A162,Output_Mac!$A:$A,Output_Mac!M:M,""),
_xlpm.MyAuditVal,_xlfn.XLOOKUP($A162,My_Audit!$A:$A,My_Audit!K:K,""),
_xlfn.IFS(_xlpm.MyAuditVal&lt;&gt;"",UPPER(_xlpm.MyAuditVal),_xlpm.MacVal&lt;&gt;"",_xlpm.MacVal,_xlpm.CSVVal&lt;&gt;"",_xlpm.CSVVal
)),"")</f>
        <v/>
      </c>
      <c r="M162" s="54" t="str">
        <f>_xlfn.LET(
    _xlpm.CSVVal, _xlfn.XLOOKUP($A162, CSV!$A:$A, CSV!AD:AD, ""),
    _xlpm.MacVal, _xlfn.XLOOKUP($A162, Output_Mac!$A:$A, Output_Mac!S:S, ""),
    _xlpm.MyAuditVal, _xlfn.XLOOKUP($A162, My_Audit!$A:$A, My_Audit!N:N, ""),
    _xlfn.TEXTJOIN(", ", TRUE, _xlpm.MyAuditVal, _xlpm.MacVal, _xlpm.CSVVal)
)</f>
        <v/>
      </c>
      <c r="N162" s="54" t="str" cm="1">
        <f t="array" ref="N162">IFERROR(_xlfn.LET(
_xlpm.CSVVal,_xlfn.XLOOKUP($A162,CSV!$A:$A,CSV!AF:AF,""),
_xlpm.MacVal,_xlfn.XLOOKUP($A162,Output_Mac!$A:$A,Output_Mac!U:U,""),
_xlpm.MyAuditVal,_xlfn.XLOOKUP($A162,My_Audit!$A:$A,My_Audit!O:O,""),
_xlfn.IFS(_xlpm.MyAuditVal&lt;&gt;"",UPPER(_xlpm.MyAuditVal),_xlpm.MacVal&lt;&gt;"",_xlpm.MacVal,_xlpm.CSVVal&lt;&gt;"",_xlpm.CSVVal
)),"")</f>
        <v/>
      </c>
      <c r="O162" s="54"/>
      <c r="P162" s="54"/>
      <c r="Q162" s="54"/>
      <c r="R162" s="54"/>
      <c r="S162" s="54"/>
      <c r="T162" s="54"/>
      <c r="U162" s="39" t="str">
        <f>_xlfn.LET(
    _xlpm.MacVal, _xlfn.XLOOKUP($A162, Output_Mac!$A:$A, Output_Mac!AB:AB, ""),
    _xlpm.MyAuditVal, _xlfn.XLOOKUP($A162, My_Audit!$A:$A, My_Audit!L:L, ""),
    _xlfn.TEXTJOIN(", ", TRUE, _xlpm.MyAuditVal, _xlpm.MacVal)
)</f>
        <v/>
      </c>
    </row>
    <row r="163" spans="1:21">
      <c r="A163" s="54" t="str">
        <f>_xlfn.TEXTJOIN("",TRUE,Input!$B$2,ROW(My_Audit!A162))</f>
        <v>XX162</v>
      </c>
      <c r="B163" s="54" t="str">
        <f>_xlfn.TEXTJOIN("-",TRUE,"ITD",Input!$A$2,A163)</f>
        <v>ITD-SHRXXX-XX162</v>
      </c>
      <c r="C163" s="54" t="str" cm="1">
        <f t="array" ref="C163">IFERROR(_xlfn.LET(
_xlpm.CSVVal,_xlfn.XLOOKUP($A163,CSV!$A:$A,CSV!B:B,""),
_xlpm.MacVal,_xlfn.XLOOKUP($A163,Output_Mac!$A:$A,Output_Mac!B:B,""),
_xlpm.MyAuditVal,_xlfn.XLOOKUP($A163,My_Audit!$A:$A,My_Audit!B:B,""),
_xlfn.IFS(_xlpm.MyAuditVal&lt;&gt;"",UPPER(_xlpm.MyAuditVal),_xlpm.MacVal&lt;&gt;"",_xlpm.MacVal,_xlpm.CSVVal&lt;&gt;"",_xlpm.CSVVal
)),"")</f>
        <v/>
      </c>
      <c r="D163" s="55" t="str">
        <f>_xlfn.XLOOKUP(A163,My_Audit!A:A,My_Audit!D:D,"")&amp;""</f>
        <v/>
      </c>
      <c r="E163" s="55" t="str" cm="1">
        <f t="array" ref="E163">IFERROR(_xlfn.LET(
_xlpm.CSVVal,_xlfn.XLOOKUP($A163,CSV!$A:$A,CSV!D:D,""),
_xlpm.MacVal,_xlfn.XLOOKUP($A163,Output_Mac!$A:$A,Output_Mac!C:C,""),
_xlpm.MyAuditVal,_xlfn.XLOOKUP($A163,My_Audit!$A:$A,My_Audit!D:D,""),
_xlfn.IFS(_xlpm.MyAuditVal&lt;&gt;"",_xlpm.MyAuditVal,_xlpm.MacVal&lt;&gt;"",_xlpm.MacVal,_xlpm.CSVVal&lt;&gt;"",_xlpm.CSVVal
)),"")</f>
        <v/>
      </c>
      <c r="F163" s="54" t="str" cm="1">
        <f t="array" ref="F163">IFERROR(_xlfn.LET(
_xlpm.CSVVal,_xlfn.XLOOKUP($A163,CSV!$A:$A,CSV!E:E,""),
_xlpm.MacVal,_xlfn.XLOOKUP($A163,Output_Mac!$A:$A,Output_Mac!F:F,""),
_xlpm.MyAuditVal,_xlfn.XLOOKUP($A163,My_Audit!$A:$A,My_Audit!E:E,""),
_xlfn.IFS(_xlpm.MyAuditVal&lt;&gt;"",_xlpm.MyAuditVal,_xlpm.MacVal&lt;&gt;"",_xlpm.MacVal,_xlpm.CSVVal&lt;&gt;"",PROPER(_xlpm.CSVVal)
)),"")</f>
        <v/>
      </c>
      <c r="G163" s="54" t="str" cm="1">
        <f t="array" ref="G163">IFERROR(_xlfn.LET(
_xlpm.CSVVal,_xlfn.XLOOKUP($A163,CSV!$A:$A,CSV!F:F,""),
_xlpm.MacVal,_xlfn.XLOOKUP($A163,Output_Mac!$A:$A,Output_Mac!H:H,""),
_xlpm.MyAuditVal,_xlfn.XLOOKUP($A163,My_Audit!$A:$A,My_Audit!F:F,""),
_xlfn.IFS(_xlpm.MyAuditVal&lt;&gt;"",_xlpm.MyAuditVal,_xlpm.MacVal&lt;&gt;"",_xlpm.MacVal,_xlpm.CSVVal&lt;&gt;"",_xlpm.CSVVal
)),"")</f>
        <v/>
      </c>
      <c r="H163" s="54" t="str">
        <f>_xlfn.XLOOKUP(A163,Output_Mac!A:A,Output_Mac!I:I,"")</f>
        <v/>
      </c>
      <c r="I163" s="54" t="str" cm="1">
        <f t="array" ref="I163">IFERROR(_xlfn.LET(
_xlpm.CSVVal,_xlfn.XLOOKUP($A163,CSV!$A:$A,CSV!G:G,""),
_xlpm.MacVal,_xlfn.XLOOKUP($A163,Output_Mac!$A:$A,Output_Mac!J:J,""),
_xlpm.MyAuditVal,_xlfn.XLOOKUP($A163,My_Audit!$A:$A,My_Audit!H:H,""),
_xlfn.IFS(_xlpm.MyAuditVal&lt;&gt;"",UPPER(_xlpm.MyAuditVal),_xlpm.MacVal&lt;&gt;"",_xlpm.MacVal,_xlpm.CSVVal&lt;&gt;"",_xlpm.CSVVal
)),"")</f>
        <v/>
      </c>
      <c r="J163" s="54" t="str" cm="1">
        <f t="array" ref="J163">IFERROR(_xlfn.LET(
_xlpm.CSVVal,_xlfn.XLOOKUP($A163,CSV!$A:$A,CSV!I:I,""),
_xlpm.MacVal,_xlfn.XLOOKUP($A163,Output_Mac!$A:$A,Output_Mac!K:K,""),
_xlpm.MyAuditVal,_xlfn.XLOOKUP($A163,My_Audit!$A:$A,My_Audit!I:I,""),
_xlfn.IFS(_xlpm.MyAuditVal&lt;&gt;"",UPPER(_xlpm.MyAuditVal),_xlpm.MacVal&lt;&gt;"",_xlpm.MacVal,_xlpm.CSVVal&lt;&gt;"",_xlpm.CSVVal
)),"")</f>
        <v/>
      </c>
      <c r="K163" s="54" t="str" cm="1">
        <f t="array" ref="K163">IFERROR(_xlfn.LET(
_xlpm.CSVVal,_xlfn.XLOOKUP($A163,CSV!$A:$A,CSV!M:M,""),
_xlpm.MacVal,_xlfn.XLOOKUP($A163,Output_Mac!$A:$A,Output_Mac!L:L,""),
_xlpm.MyAuditVal,_xlfn.XLOOKUP($A163,My_Audit!$A:$A,My_Audit!J:J,""),
_xlfn.IFS(_xlpm.MyAuditVal&lt;&gt;"",UPPER(_xlpm.MyAuditVal),_xlpm.MacVal&lt;&gt;"",_xlpm.MacVal,_xlpm.CSVVal&lt;&gt;"",_xlpm.CSVVal
)),"")</f>
        <v/>
      </c>
      <c r="L163" s="55" t="str" cm="1">
        <f t="array" ref="L163">IFERROR(_xlfn.LET(
_xlpm.CSVVal,_xlfn.XLOOKUP($A163,CSV!$A:$A,CSV!P:P,""),
_xlpm.MacVal,_xlfn.XLOOKUP($A163,Output_Mac!$A:$A,Output_Mac!M:M,""),
_xlpm.MyAuditVal,_xlfn.XLOOKUP($A163,My_Audit!$A:$A,My_Audit!K:K,""),
_xlfn.IFS(_xlpm.MyAuditVal&lt;&gt;"",UPPER(_xlpm.MyAuditVal),_xlpm.MacVal&lt;&gt;"",_xlpm.MacVal,_xlpm.CSVVal&lt;&gt;"",_xlpm.CSVVal
)),"")</f>
        <v/>
      </c>
      <c r="M163" s="54" t="str">
        <f>_xlfn.LET(
    _xlpm.CSVVal, _xlfn.XLOOKUP($A163, CSV!$A:$A, CSV!AD:AD, ""),
    _xlpm.MacVal, _xlfn.XLOOKUP($A163, Output_Mac!$A:$A, Output_Mac!S:S, ""),
    _xlpm.MyAuditVal, _xlfn.XLOOKUP($A163, My_Audit!$A:$A, My_Audit!N:N, ""),
    _xlfn.TEXTJOIN(", ", TRUE, _xlpm.MyAuditVal, _xlpm.MacVal, _xlpm.CSVVal)
)</f>
        <v/>
      </c>
      <c r="N163" s="54" t="str" cm="1">
        <f t="array" ref="N163">IFERROR(_xlfn.LET(
_xlpm.CSVVal,_xlfn.XLOOKUP($A163,CSV!$A:$A,CSV!AF:AF,""),
_xlpm.MacVal,_xlfn.XLOOKUP($A163,Output_Mac!$A:$A,Output_Mac!U:U,""),
_xlpm.MyAuditVal,_xlfn.XLOOKUP($A163,My_Audit!$A:$A,My_Audit!O:O,""),
_xlfn.IFS(_xlpm.MyAuditVal&lt;&gt;"",UPPER(_xlpm.MyAuditVal),_xlpm.MacVal&lt;&gt;"",_xlpm.MacVal,_xlpm.CSVVal&lt;&gt;"",_xlpm.CSVVal
)),"")</f>
        <v/>
      </c>
      <c r="O163" s="54"/>
      <c r="P163" s="54"/>
      <c r="Q163" s="54"/>
      <c r="R163" s="54"/>
      <c r="S163" s="54"/>
      <c r="T163" s="54"/>
      <c r="U163" s="39" t="str">
        <f>_xlfn.LET(
    _xlpm.MacVal, _xlfn.XLOOKUP($A163, Output_Mac!$A:$A, Output_Mac!AB:AB, ""),
    _xlpm.MyAuditVal, _xlfn.XLOOKUP($A163, My_Audit!$A:$A, My_Audit!L:L, ""),
    _xlfn.TEXTJOIN(", ", TRUE, _xlpm.MyAuditVal, _xlpm.MacVal)
)</f>
        <v/>
      </c>
    </row>
    <row r="164" spans="1:21">
      <c r="A164" s="54" t="str">
        <f>_xlfn.TEXTJOIN("",TRUE,Input!$B$2,ROW(My_Audit!A163))</f>
        <v>XX163</v>
      </c>
      <c r="B164" s="54" t="str">
        <f>_xlfn.TEXTJOIN("-",TRUE,"ITD",Input!$A$2,A164)</f>
        <v>ITD-SHRXXX-XX163</v>
      </c>
      <c r="C164" s="54" t="str" cm="1">
        <f t="array" ref="C164">IFERROR(_xlfn.LET(
_xlpm.CSVVal,_xlfn.XLOOKUP($A164,CSV!$A:$A,CSV!B:B,""),
_xlpm.MacVal,_xlfn.XLOOKUP($A164,Output_Mac!$A:$A,Output_Mac!B:B,""),
_xlpm.MyAuditVal,_xlfn.XLOOKUP($A164,My_Audit!$A:$A,My_Audit!B:B,""),
_xlfn.IFS(_xlpm.MyAuditVal&lt;&gt;"",UPPER(_xlpm.MyAuditVal),_xlpm.MacVal&lt;&gt;"",_xlpm.MacVal,_xlpm.CSVVal&lt;&gt;"",_xlpm.CSVVal
)),"")</f>
        <v/>
      </c>
      <c r="D164" s="55" t="str">
        <f>_xlfn.XLOOKUP(A164,My_Audit!A:A,My_Audit!D:D,"")&amp;""</f>
        <v/>
      </c>
      <c r="E164" s="55" t="str" cm="1">
        <f t="array" ref="E164">IFERROR(_xlfn.LET(
_xlpm.CSVVal,_xlfn.XLOOKUP($A164,CSV!$A:$A,CSV!D:D,""),
_xlpm.MacVal,_xlfn.XLOOKUP($A164,Output_Mac!$A:$A,Output_Mac!C:C,""),
_xlpm.MyAuditVal,_xlfn.XLOOKUP($A164,My_Audit!$A:$A,My_Audit!D:D,""),
_xlfn.IFS(_xlpm.MyAuditVal&lt;&gt;"",_xlpm.MyAuditVal,_xlpm.MacVal&lt;&gt;"",_xlpm.MacVal,_xlpm.CSVVal&lt;&gt;"",_xlpm.CSVVal
)),"")</f>
        <v/>
      </c>
      <c r="F164" s="54" t="str" cm="1">
        <f t="array" ref="F164">IFERROR(_xlfn.LET(
_xlpm.CSVVal,_xlfn.XLOOKUP($A164,CSV!$A:$A,CSV!E:E,""),
_xlpm.MacVal,_xlfn.XLOOKUP($A164,Output_Mac!$A:$A,Output_Mac!F:F,""),
_xlpm.MyAuditVal,_xlfn.XLOOKUP($A164,My_Audit!$A:$A,My_Audit!E:E,""),
_xlfn.IFS(_xlpm.MyAuditVal&lt;&gt;"",_xlpm.MyAuditVal,_xlpm.MacVal&lt;&gt;"",_xlpm.MacVal,_xlpm.CSVVal&lt;&gt;"",PROPER(_xlpm.CSVVal)
)),"")</f>
        <v/>
      </c>
      <c r="G164" s="54" t="str" cm="1">
        <f t="array" ref="G164">IFERROR(_xlfn.LET(
_xlpm.CSVVal,_xlfn.XLOOKUP($A164,CSV!$A:$A,CSV!F:F,""),
_xlpm.MacVal,_xlfn.XLOOKUP($A164,Output_Mac!$A:$A,Output_Mac!H:H,""),
_xlpm.MyAuditVal,_xlfn.XLOOKUP($A164,My_Audit!$A:$A,My_Audit!F:F,""),
_xlfn.IFS(_xlpm.MyAuditVal&lt;&gt;"",_xlpm.MyAuditVal,_xlpm.MacVal&lt;&gt;"",_xlpm.MacVal,_xlpm.CSVVal&lt;&gt;"",_xlpm.CSVVal
)),"")</f>
        <v/>
      </c>
      <c r="H164" s="54" t="str">
        <f>_xlfn.XLOOKUP(A164,Output_Mac!A:A,Output_Mac!I:I,"")</f>
        <v/>
      </c>
      <c r="I164" s="54" t="str" cm="1">
        <f t="array" ref="I164">IFERROR(_xlfn.LET(
_xlpm.CSVVal,_xlfn.XLOOKUP($A164,CSV!$A:$A,CSV!G:G,""),
_xlpm.MacVal,_xlfn.XLOOKUP($A164,Output_Mac!$A:$A,Output_Mac!J:J,""),
_xlpm.MyAuditVal,_xlfn.XLOOKUP($A164,My_Audit!$A:$A,My_Audit!H:H,""),
_xlfn.IFS(_xlpm.MyAuditVal&lt;&gt;"",UPPER(_xlpm.MyAuditVal),_xlpm.MacVal&lt;&gt;"",_xlpm.MacVal,_xlpm.CSVVal&lt;&gt;"",_xlpm.CSVVal
)),"")</f>
        <v/>
      </c>
      <c r="J164" s="54" t="str" cm="1">
        <f t="array" ref="J164">IFERROR(_xlfn.LET(
_xlpm.CSVVal,_xlfn.XLOOKUP($A164,CSV!$A:$A,CSV!I:I,""),
_xlpm.MacVal,_xlfn.XLOOKUP($A164,Output_Mac!$A:$A,Output_Mac!K:K,""),
_xlpm.MyAuditVal,_xlfn.XLOOKUP($A164,My_Audit!$A:$A,My_Audit!I:I,""),
_xlfn.IFS(_xlpm.MyAuditVal&lt;&gt;"",UPPER(_xlpm.MyAuditVal),_xlpm.MacVal&lt;&gt;"",_xlpm.MacVal,_xlpm.CSVVal&lt;&gt;"",_xlpm.CSVVal
)),"")</f>
        <v/>
      </c>
      <c r="K164" s="54" t="str" cm="1">
        <f t="array" ref="K164">IFERROR(_xlfn.LET(
_xlpm.CSVVal,_xlfn.XLOOKUP($A164,CSV!$A:$A,CSV!M:M,""),
_xlpm.MacVal,_xlfn.XLOOKUP($A164,Output_Mac!$A:$A,Output_Mac!L:L,""),
_xlpm.MyAuditVal,_xlfn.XLOOKUP($A164,My_Audit!$A:$A,My_Audit!J:J,""),
_xlfn.IFS(_xlpm.MyAuditVal&lt;&gt;"",UPPER(_xlpm.MyAuditVal),_xlpm.MacVal&lt;&gt;"",_xlpm.MacVal,_xlpm.CSVVal&lt;&gt;"",_xlpm.CSVVal
)),"")</f>
        <v/>
      </c>
      <c r="L164" s="55" t="str" cm="1">
        <f t="array" ref="L164">IFERROR(_xlfn.LET(
_xlpm.CSVVal,_xlfn.XLOOKUP($A164,CSV!$A:$A,CSV!P:P,""),
_xlpm.MacVal,_xlfn.XLOOKUP($A164,Output_Mac!$A:$A,Output_Mac!M:M,""),
_xlpm.MyAuditVal,_xlfn.XLOOKUP($A164,My_Audit!$A:$A,My_Audit!K:K,""),
_xlfn.IFS(_xlpm.MyAuditVal&lt;&gt;"",UPPER(_xlpm.MyAuditVal),_xlpm.MacVal&lt;&gt;"",_xlpm.MacVal,_xlpm.CSVVal&lt;&gt;"",_xlpm.CSVVal
)),"")</f>
        <v/>
      </c>
      <c r="M164" s="54" t="str">
        <f>_xlfn.LET(
    _xlpm.CSVVal, _xlfn.XLOOKUP($A164, CSV!$A:$A, CSV!AD:AD, ""),
    _xlpm.MacVal, _xlfn.XLOOKUP($A164, Output_Mac!$A:$A, Output_Mac!S:S, ""),
    _xlpm.MyAuditVal, _xlfn.XLOOKUP($A164, My_Audit!$A:$A, My_Audit!N:N, ""),
    _xlfn.TEXTJOIN(", ", TRUE, _xlpm.MyAuditVal, _xlpm.MacVal, _xlpm.CSVVal)
)</f>
        <v/>
      </c>
      <c r="N164" s="54" t="str" cm="1">
        <f t="array" ref="N164">IFERROR(_xlfn.LET(
_xlpm.CSVVal,_xlfn.XLOOKUP($A164,CSV!$A:$A,CSV!AF:AF,""),
_xlpm.MacVal,_xlfn.XLOOKUP($A164,Output_Mac!$A:$A,Output_Mac!U:U,""),
_xlpm.MyAuditVal,_xlfn.XLOOKUP($A164,My_Audit!$A:$A,My_Audit!O:O,""),
_xlfn.IFS(_xlpm.MyAuditVal&lt;&gt;"",UPPER(_xlpm.MyAuditVal),_xlpm.MacVal&lt;&gt;"",_xlpm.MacVal,_xlpm.CSVVal&lt;&gt;"",_xlpm.CSVVal
)),"")</f>
        <v/>
      </c>
      <c r="O164" s="54"/>
      <c r="P164" s="54"/>
      <c r="Q164" s="54"/>
      <c r="R164" s="54"/>
      <c r="S164" s="54"/>
      <c r="T164" s="54"/>
      <c r="U164" s="39" t="str">
        <f>_xlfn.LET(
    _xlpm.MacVal, _xlfn.XLOOKUP($A164, Output_Mac!$A:$A, Output_Mac!AB:AB, ""),
    _xlpm.MyAuditVal, _xlfn.XLOOKUP($A164, My_Audit!$A:$A, My_Audit!L:L, ""),
    _xlfn.TEXTJOIN(", ", TRUE, _xlpm.MyAuditVal, _xlpm.MacVal)
)</f>
        <v/>
      </c>
    </row>
    <row r="165" spans="1:21">
      <c r="A165" s="54" t="str">
        <f>_xlfn.TEXTJOIN("",TRUE,Input!$B$2,ROW(My_Audit!A164))</f>
        <v>XX164</v>
      </c>
      <c r="B165" s="54" t="str">
        <f>_xlfn.TEXTJOIN("-",TRUE,"ITD",Input!$A$2,A165)</f>
        <v>ITD-SHRXXX-XX164</v>
      </c>
      <c r="C165" s="54" t="str" cm="1">
        <f t="array" ref="C165">IFERROR(_xlfn.LET(
_xlpm.CSVVal,_xlfn.XLOOKUP($A165,CSV!$A:$A,CSV!B:B,""),
_xlpm.MacVal,_xlfn.XLOOKUP($A165,Output_Mac!$A:$A,Output_Mac!B:B,""),
_xlpm.MyAuditVal,_xlfn.XLOOKUP($A165,My_Audit!$A:$A,My_Audit!B:B,""),
_xlfn.IFS(_xlpm.MyAuditVal&lt;&gt;"",UPPER(_xlpm.MyAuditVal),_xlpm.MacVal&lt;&gt;"",_xlpm.MacVal,_xlpm.CSVVal&lt;&gt;"",_xlpm.CSVVal
)),"")</f>
        <v/>
      </c>
      <c r="D165" s="55" t="str">
        <f>_xlfn.XLOOKUP(A165,My_Audit!A:A,My_Audit!D:D,"")&amp;""</f>
        <v/>
      </c>
      <c r="E165" s="55" t="str" cm="1">
        <f t="array" ref="E165">IFERROR(_xlfn.LET(
_xlpm.CSVVal,_xlfn.XLOOKUP($A165,CSV!$A:$A,CSV!D:D,""),
_xlpm.MacVal,_xlfn.XLOOKUP($A165,Output_Mac!$A:$A,Output_Mac!C:C,""),
_xlpm.MyAuditVal,_xlfn.XLOOKUP($A165,My_Audit!$A:$A,My_Audit!D:D,""),
_xlfn.IFS(_xlpm.MyAuditVal&lt;&gt;"",_xlpm.MyAuditVal,_xlpm.MacVal&lt;&gt;"",_xlpm.MacVal,_xlpm.CSVVal&lt;&gt;"",_xlpm.CSVVal
)),"")</f>
        <v/>
      </c>
      <c r="F165" s="54" t="str" cm="1">
        <f t="array" ref="F165">IFERROR(_xlfn.LET(
_xlpm.CSVVal,_xlfn.XLOOKUP($A165,CSV!$A:$A,CSV!E:E,""),
_xlpm.MacVal,_xlfn.XLOOKUP($A165,Output_Mac!$A:$A,Output_Mac!F:F,""),
_xlpm.MyAuditVal,_xlfn.XLOOKUP($A165,My_Audit!$A:$A,My_Audit!E:E,""),
_xlfn.IFS(_xlpm.MyAuditVal&lt;&gt;"",_xlpm.MyAuditVal,_xlpm.MacVal&lt;&gt;"",_xlpm.MacVal,_xlpm.CSVVal&lt;&gt;"",PROPER(_xlpm.CSVVal)
)),"")</f>
        <v/>
      </c>
      <c r="G165" s="54" t="str" cm="1">
        <f t="array" ref="G165">IFERROR(_xlfn.LET(
_xlpm.CSVVal,_xlfn.XLOOKUP($A165,CSV!$A:$A,CSV!F:F,""),
_xlpm.MacVal,_xlfn.XLOOKUP($A165,Output_Mac!$A:$A,Output_Mac!H:H,""),
_xlpm.MyAuditVal,_xlfn.XLOOKUP($A165,My_Audit!$A:$A,My_Audit!F:F,""),
_xlfn.IFS(_xlpm.MyAuditVal&lt;&gt;"",_xlpm.MyAuditVal,_xlpm.MacVal&lt;&gt;"",_xlpm.MacVal,_xlpm.CSVVal&lt;&gt;"",_xlpm.CSVVal
)),"")</f>
        <v/>
      </c>
      <c r="H165" s="54" t="str">
        <f>_xlfn.XLOOKUP(A165,Output_Mac!A:A,Output_Mac!I:I,"")</f>
        <v/>
      </c>
      <c r="I165" s="54" t="str" cm="1">
        <f t="array" ref="I165">IFERROR(_xlfn.LET(
_xlpm.CSVVal,_xlfn.XLOOKUP($A165,CSV!$A:$A,CSV!G:G,""),
_xlpm.MacVal,_xlfn.XLOOKUP($A165,Output_Mac!$A:$A,Output_Mac!J:J,""),
_xlpm.MyAuditVal,_xlfn.XLOOKUP($A165,My_Audit!$A:$A,My_Audit!H:H,""),
_xlfn.IFS(_xlpm.MyAuditVal&lt;&gt;"",UPPER(_xlpm.MyAuditVal),_xlpm.MacVal&lt;&gt;"",_xlpm.MacVal,_xlpm.CSVVal&lt;&gt;"",_xlpm.CSVVal
)),"")</f>
        <v/>
      </c>
      <c r="J165" s="54" t="str" cm="1">
        <f t="array" ref="J165">IFERROR(_xlfn.LET(
_xlpm.CSVVal,_xlfn.XLOOKUP($A165,CSV!$A:$A,CSV!I:I,""),
_xlpm.MacVal,_xlfn.XLOOKUP($A165,Output_Mac!$A:$A,Output_Mac!K:K,""),
_xlpm.MyAuditVal,_xlfn.XLOOKUP($A165,My_Audit!$A:$A,My_Audit!I:I,""),
_xlfn.IFS(_xlpm.MyAuditVal&lt;&gt;"",UPPER(_xlpm.MyAuditVal),_xlpm.MacVal&lt;&gt;"",_xlpm.MacVal,_xlpm.CSVVal&lt;&gt;"",_xlpm.CSVVal
)),"")</f>
        <v/>
      </c>
      <c r="K165" s="54" t="str" cm="1">
        <f t="array" ref="K165">IFERROR(_xlfn.LET(
_xlpm.CSVVal,_xlfn.XLOOKUP($A165,CSV!$A:$A,CSV!M:M,""),
_xlpm.MacVal,_xlfn.XLOOKUP($A165,Output_Mac!$A:$A,Output_Mac!L:L,""),
_xlpm.MyAuditVal,_xlfn.XLOOKUP($A165,My_Audit!$A:$A,My_Audit!J:J,""),
_xlfn.IFS(_xlpm.MyAuditVal&lt;&gt;"",UPPER(_xlpm.MyAuditVal),_xlpm.MacVal&lt;&gt;"",_xlpm.MacVal,_xlpm.CSVVal&lt;&gt;"",_xlpm.CSVVal
)),"")</f>
        <v/>
      </c>
      <c r="L165" s="55" t="str" cm="1">
        <f t="array" ref="L165">IFERROR(_xlfn.LET(
_xlpm.CSVVal,_xlfn.XLOOKUP($A165,CSV!$A:$A,CSV!P:P,""),
_xlpm.MacVal,_xlfn.XLOOKUP($A165,Output_Mac!$A:$A,Output_Mac!M:M,""),
_xlpm.MyAuditVal,_xlfn.XLOOKUP($A165,My_Audit!$A:$A,My_Audit!K:K,""),
_xlfn.IFS(_xlpm.MyAuditVal&lt;&gt;"",UPPER(_xlpm.MyAuditVal),_xlpm.MacVal&lt;&gt;"",_xlpm.MacVal,_xlpm.CSVVal&lt;&gt;"",_xlpm.CSVVal
)),"")</f>
        <v/>
      </c>
      <c r="M165" s="54" t="str">
        <f>_xlfn.LET(
    _xlpm.CSVVal, _xlfn.XLOOKUP($A165, CSV!$A:$A, CSV!AD:AD, ""),
    _xlpm.MacVal, _xlfn.XLOOKUP($A165, Output_Mac!$A:$A, Output_Mac!S:S, ""),
    _xlpm.MyAuditVal, _xlfn.XLOOKUP($A165, My_Audit!$A:$A, My_Audit!N:N, ""),
    _xlfn.TEXTJOIN(", ", TRUE, _xlpm.MyAuditVal, _xlpm.MacVal, _xlpm.CSVVal)
)</f>
        <v/>
      </c>
      <c r="N165" s="54" t="str" cm="1">
        <f t="array" ref="N165">IFERROR(_xlfn.LET(
_xlpm.CSVVal,_xlfn.XLOOKUP($A165,CSV!$A:$A,CSV!AF:AF,""),
_xlpm.MacVal,_xlfn.XLOOKUP($A165,Output_Mac!$A:$A,Output_Mac!U:U,""),
_xlpm.MyAuditVal,_xlfn.XLOOKUP($A165,My_Audit!$A:$A,My_Audit!O:O,""),
_xlfn.IFS(_xlpm.MyAuditVal&lt;&gt;"",UPPER(_xlpm.MyAuditVal),_xlpm.MacVal&lt;&gt;"",_xlpm.MacVal,_xlpm.CSVVal&lt;&gt;"",_xlpm.CSVVal
)),"")</f>
        <v/>
      </c>
      <c r="O165" s="54"/>
      <c r="P165" s="54"/>
      <c r="Q165" s="54"/>
      <c r="R165" s="54"/>
      <c r="S165" s="54"/>
      <c r="T165" s="54"/>
      <c r="U165" s="39" t="str">
        <f>_xlfn.LET(
    _xlpm.MacVal, _xlfn.XLOOKUP($A165, Output_Mac!$A:$A, Output_Mac!AB:AB, ""),
    _xlpm.MyAuditVal, _xlfn.XLOOKUP($A165, My_Audit!$A:$A, My_Audit!L:L, ""),
    _xlfn.TEXTJOIN(", ", TRUE, _xlpm.MyAuditVal, _xlpm.MacVal)
)</f>
        <v/>
      </c>
    </row>
    <row r="166" spans="1:21">
      <c r="A166" s="54" t="str">
        <f>_xlfn.TEXTJOIN("",TRUE,Input!$B$2,ROW(My_Audit!A165))</f>
        <v>XX165</v>
      </c>
      <c r="B166" s="54" t="str">
        <f>_xlfn.TEXTJOIN("-",TRUE,"ITD",Input!$A$2,A166)</f>
        <v>ITD-SHRXXX-XX165</v>
      </c>
      <c r="C166" s="54" t="str" cm="1">
        <f t="array" ref="C166">IFERROR(_xlfn.LET(
_xlpm.CSVVal,_xlfn.XLOOKUP($A166,CSV!$A:$A,CSV!B:B,""),
_xlpm.MacVal,_xlfn.XLOOKUP($A166,Output_Mac!$A:$A,Output_Mac!B:B,""),
_xlpm.MyAuditVal,_xlfn.XLOOKUP($A166,My_Audit!$A:$A,My_Audit!B:B,""),
_xlfn.IFS(_xlpm.MyAuditVal&lt;&gt;"",UPPER(_xlpm.MyAuditVal),_xlpm.MacVal&lt;&gt;"",_xlpm.MacVal,_xlpm.CSVVal&lt;&gt;"",_xlpm.CSVVal
)),"")</f>
        <v/>
      </c>
      <c r="D166" s="55" t="str">
        <f>_xlfn.XLOOKUP(A166,My_Audit!A:A,My_Audit!D:D,"")&amp;""</f>
        <v/>
      </c>
      <c r="E166" s="55" t="str" cm="1">
        <f t="array" ref="E166">IFERROR(_xlfn.LET(
_xlpm.CSVVal,_xlfn.XLOOKUP($A166,CSV!$A:$A,CSV!D:D,""),
_xlpm.MacVal,_xlfn.XLOOKUP($A166,Output_Mac!$A:$A,Output_Mac!C:C,""),
_xlpm.MyAuditVal,_xlfn.XLOOKUP($A166,My_Audit!$A:$A,My_Audit!D:D,""),
_xlfn.IFS(_xlpm.MyAuditVal&lt;&gt;"",_xlpm.MyAuditVal,_xlpm.MacVal&lt;&gt;"",_xlpm.MacVal,_xlpm.CSVVal&lt;&gt;"",_xlpm.CSVVal
)),"")</f>
        <v/>
      </c>
      <c r="F166" s="54" t="str" cm="1">
        <f t="array" ref="F166">IFERROR(_xlfn.LET(
_xlpm.CSVVal,_xlfn.XLOOKUP($A166,CSV!$A:$A,CSV!E:E,""),
_xlpm.MacVal,_xlfn.XLOOKUP($A166,Output_Mac!$A:$A,Output_Mac!F:F,""),
_xlpm.MyAuditVal,_xlfn.XLOOKUP($A166,My_Audit!$A:$A,My_Audit!E:E,""),
_xlfn.IFS(_xlpm.MyAuditVal&lt;&gt;"",_xlpm.MyAuditVal,_xlpm.MacVal&lt;&gt;"",_xlpm.MacVal,_xlpm.CSVVal&lt;&gt;"",PROPER(_xlpm.CSVVal)
)),"")</f>
        <v/>
      </c>
      <c r="G166" s="54" t="str" cm="1">
        <f t="array" ref="G166">IFERROR(_xlfn.LET(
_xlpm.CSVVal,_xlfn.XLOOKUP($A166,CSV!$A:$A,CSV!F:F,""),
_xlpm.MacVal,_xlfn.XLOOKUP($A166,Output_Mac!$A:$A,Output_Mac!H:H,""),
_xlpm.MyAuditVal,_xlfn.XLOOKUP($A166,My_Audit!$A:$A,My_Audit!F:F,""),
_xlfn.IFS(_xlpm.MyAuditVal&lt;&gt;"",_xlpm.MyAuditVal,_xlpm.MacVal&lt;&gt;"",_xlpm.MacVal,_xlpm.CSVVal&lt;&gt;"",_xlpm.CSVVal
)),"")</f>
        <v/>
      </c>
      <c r="H166" s="54" t="str">
        <f>_xlfn.XLOOKUP(A166,Output_Mac!A:A,Output_Mac!I:I,"")</f>
        <v/>
      </c>
      <c r="I166" s="54" t="str" cm="1">
        <f t="array" ref="I166">IFERROR(_xlfn.LET(
_xlpm.CSVVal,_xlfn.XLOOKUP($A166,CSV!$A:$A,CSV!G:G,""),
_xlpm.MacVal,_xlfn.XLOOKUP($A166,Output_Mac!$A:$A,Output_Mac!J:J,""),
_xlpm.MyAuditVal,_xlfn.XLOOKUP($A166,My_Audit!$A:$A,My_Audit!H:H,""),
_xlfn.IFS(_xlpm.MyAuditVal&lt;&gt;"",UPPER(_xlpm.MyAuditVal),_xlpm.MacVal&lt;&gt;"",_xlpm.MacVal,_xlpm.CSVVal&lt;&gt;"",_xlpm.CSVVal
)),"")</f>
        <v/>
      </c>
      <c r="J166" s="54" t="str" cm="1">
        <f t="array" ref="J166">IFERROR(_xlfn.LET(
_xlpm.CSVVal,_xlfn.XLOOKUP($A166,CSV!$A:$A,CSV!I:I,""),
_xlpm.MacVal,_xlfn.XLOOKUP($A166,Output_Mac!$A:$A,Output_Mac!K:K,""),
_xlpm.MyAuditVal,_xlfn.XLOOKUP($A166,My_Audit!$A:$A,My_Audit!I:I,""),
_xlfn.IFS(_xlpm.MyAuditVal&lt;&gt;"",UPPER(_xlpm.MyAuditVal),_xlpm.MacVal&lt;&gt;"",_xlpm.MacVal,_xlpm.CSVVal&lt;&gt;"",_xlpm.CSVVal
)),"")</f>
        <v/>
      </c>
      <c r="K166" s="54" t="str" cm="1">
        <f t="array" ref="K166">IFERROR(_xlfn.LET(
_xlpm.CSVVal,_xlfn.XLOOKUP($A166,CSV!$A:$A,CSV!M:M,""),
_xlpm.MacVal,_xlfn.XLOOKUP($A166,Output_Mac!$A:$A,Output_Mac!L:L,""),
_xlpm.MyAuditVal,_xlfn.XLOOKUP($A166,My_Audit!$A:$A,My_Audit!J:J,""),
_xlfn.IFS(_xlpm.MyAuditVal&lt;&gt;"",UPPER(_xlpm.MyAuditVal),_xlpm.MacVal&lt;&gt;"",_xlpm.MacVal,_xlpm.CSVVal&lt;&gt;"",_xlpm.CSVVal
)),"")</f>
        <v/>
      </c>
      <c r="L166" s="55" t="str" cm="1">
        <f t="array" ref="L166">IFERROR(_xlfn.LET(
_xlpm.CSVVal,_xlfn.XLOOKUP($A166,CSV!$A:$A,CSV!P:P,""),
_xlpm.MacVal,_xlfn.XLOOKUP($A166,Output_Mac!$A:$A,Output_Mac!M:M,""),
_xlpm.MyAuditVal,_xlfn.XLOOKUP($A166,My_Audit!$A:$A,My_Audit!K:K,""),
_xlfn.IFS(_xlpm.MyAuditVal&lt;&gt;"",UPPER(_xlpm.MyAuditVal),_xlpm.MacVal&lt;&gt;"",_xlpm.MacVal,_xlpm.CSVVal&lt;&gt;"",_xlpm.CSVVal
)),"")</f>
        <v/>
      </c>
      <c r="M166" s="54" t="str">
        <f>_xlfn.LET(
    _xlpm.CSVVal, _xlfn.XLOOKUP($A166, CSV!$A:$A, CSV!AD:AD, ""),
    _xlpm.MacVal, _xlfn.XLOOKUP($A166, Output_Mac!$A:$A, Output_Mac!S:S, ""),
    _xlpm.MyAuditVal, _xlfn.XLOOKUP($A166, My_Audit!$A:$A, My_Audit!N:N, ""),
    _xlfn.TEXTJOIN(", ", TRUE, _xlpm.MyAuditVal, _xlpm.MacVal, _xlpm.CSVVal)
)</f>
        <v/>
      </c>
      <c r="N166" s="54" t="str" cm="1">
        <f t="array" ref="N166">IFERROR(_xlfn.LET(
_xlpm.CSVVal,_xlfn.XLOOKUP($A166,CSV!$A:$A,CSV!AF:AF,""),
_xlpm.MacVal,_xlfn.XLOOKUP($A166,Output_Mac!$A:$A,Output_Mac!U:U,""),
_xlpm.MyAuditVal,_xlfn.XLOOKUP($A166,My_Audit!$A:$A,My_Audit!O:O,""),
_xlfn.IFS(_xlpm.MyAuditVal&lt;&gt;"",UPPER(_xlpm.MyAuditVal),_xlpm.MacVal&lt;&gt;"",_xlpm.MacVal,_xlpm.CSVVal&lt;&gt;"",_xlpm.CSVVal
)),"")</f>
        <v/>
      </c>
      <c r="O166" s="54"/>
      <c r="P166" s="54"/>
      <c r="Q166" s="54"/>
      <c r="R166" s="54"/>
      <c r="S166" s="54"/>
      <c r="T166" s="54"/>
      <c r="U166" s="39" t="str">
        <f>_xlfn.LET(
    _xlpm.MacVal, _xlfn.XLOOKUP($A166, Output_Mac!$A:$A, Output_Mac!AB:AB, ""),
    _xlpm.MyAuditVal, _xlfn.XLOOKUP($A166, My_Audit!$A:$A, My_Audit!L:L, ""),
    _xlfn.TEXTJOIN(", ", TRUE, _xlpm.MyAuditVal, _xlpm.MacVal)
)</f>
        <v/>
      </c>
    </row>
    <row r="167" spans="1:21">
      <c r="A167" s="54" t="str">
        <f>_xlfn.TEXTJOIN("",TRUE,Input!$B$2,ROW(My_Audit!A166))</f>
        <v>XX166</v>
      </c>
      <c r="B167" s="54" t="str">
        <f>_xlfn.TEXTJOIN("-",TRUE,"ITD",Input!$A$2,A167)</f>
        <v>ITD-SHRXXX-XX166</v>
      </c>
      <c r="C167" s="54" t="str" cm="1">
        <f t="array" ref="C167">IFERROR(_xlfn.LET(
_xlpm.CSVVal,_xlfn.XLOOKUP($A167,CSV!$A:$A,CSV!B:B,""),
_xlpm.MacVal,_xlfn.XLOOKUP($A167,Output_Mac!$A:$A,Output_Mac!B:B,""),
_xlpm.MyAuditVal,_xlfn.XLOOKUP($A167,My_Audit!$A:$A,My_Audit!B:B,""),
_xlfn.IFS(_xlpm.MyAuditVal&lt;&gt;"",UPPER(_xlpm.MyAuditVal),_xlpm.MacVal&lt;&gt;"",_xlpm.MacVal,_xlpm.CSVVal&lt;&gt;"",_xlpm.CSVVal
)),"")</f>
        <v/>
      </c>
      <c r="D167" s="55" t="str">
        <f>_xlfn.XLOOKUP(A167,My_Audit!A:A,My_Audit!D:D,"")&amp;""</f>
        <v/>
      </c>
      <c r="E167" s="55" t="str" cm="1">
        <f t="array" ref="E167">IFERROR(_xlfn.LET(
_xlpm.CSVVal,_xlfn.XLOOKUP($A167,CSV!$A:$A,CSV!D:D,""),
_xlpm.MacVal,_xlfn.XLOOKUP($A167,Output_Mac!$A:$A,Output_Mac!C:C,""),
_xlpm.MyAuditVal,_xlfn.XLOOKUP($A167,My_Audit!$A:$A,My_Audit!D:D,""),
_xlfn.IFS(_xlpm.MyAuditVal&lt;&gt;"",_xlpm.MyAuditVal,_xlpm.MacVal&lt;&gt;"",_xlpm.MacVal,_xlpm.CSVVal&lt;&gt;"",_xlpm.CSVVal
)),"")</f>
        <v/>
      </c>
      <c r="F167" s="54" t="str" cm="1">
        <f t="array" ref="F167">IFERROR(_xlfn.LET(
_xlpm.CSVVal,_xlfn.XLOOKUP($A167,CSV!$A:$A,CSV!E:E,""),
_xlpm.MacVal,_xlfn.XLOOKUP($A167,Output_Mac!$A:$A,Output_Mac!F:F,""),
_xlpm.MyAuditVal,_xlfn.XLOOKUP($A167,My_Audit!$A:$A,My_Audit!E:E,""),
_xlfn.IFS(_xlpm.MyAuditVal&lt;&gt;"",_xlpm.MyAuditVal,_xlpm.MacVal&lt;&gt;"",_xlpm.MacVal,_xlpm.CSVVal&lt;&gt;"",PROPER(_xlpm.CSVVal)
)),"")</f>
        <v/>
      </c>
      <c r="G167" s="54" t="str" cm="1">
        <f t="array" ref="G167">IFERROR(_xlfn.LET(
_xlpm.CSVVal,_xlfn.XLOOKUP($A167,CSV!$A:$A,CSV!F:F,""),
_xlpm.MacVal,_xlfn.XLOOKUP($A167,Output_Mac!$A:$A,Output_Mac!H:H,""),
_xlpm.MyAuditVal,_xlfn.XLOOKUP($A167,My_Audit!$A:$A,My_Audit!F:F,""),
_xlfn.IFS(_xlpm.MyAuditVal&lt;&gt;"",_xlpm.MyAuditVal,_xlpm.MacVal&lt;&gt;"",_xlpm.MacVal,_xlpm.CSVVal&lt;&gt;"",_xlpm.CSVVal
)),"")</f>
        <v/>
      </c>
      <c r="H167" s="54" t="str">
        <f>_xlfn.XLOOKUP(A167,Output_Mac!A:A,Output_Mac!I:I,"")</f>
        <v/>
      </c>
      <c r="I167" s="54" t="str" cm="1">
        <f t="array" ref="I167">IFERROR(_xlfn.LET(
_xlpm.CSVVal,_xlfn.XLOOKUP($A167,CSV!$A:$A,CSV!G:G,""),
_xlpm.MacVal,_xlfn.XLOOKUP($A167,Output_Mac!$A:$A,Output_Mac!J:J,""),
_xlpm.MyAuditVal,_xlfn.XLOOKUP($A167,My_Audit!$A:$A,My_Audit!H:H,""),
_xlfn.IFS(_xlpm.MyAuditVal&lt;&gt;"",UPPER(_xlpm.MyAuditVal),_xlpm.MacVal&lt;&gt;"",_xlpm.MacVal,_xlpm.CSVVal&lt;&gt;"",_xlpm.CSVVal
)),"")</f>
        <v/>
      </c>
      <c r="J167" s="54" t="str" cm="1">
        <f t="array" ref="J167">IFERROR(_xlfn.LET(
_xlpm.CSVVal,_xlfn.XLOOKUP($A167,CSV!$A:$A,CSV!I:I,""),
_xlpm.MacVal,_xlfn.XLOOKUP($A167,Output_Mac!$A:$A,Output_Mac!K:K,""),
_xlpm.MyAuditVal,_xlfn.XLOOKUP($A167,My_Audit!$A:$A,My_Audit!I:I,""),
_xlfn.IFS(_xlpm.MyAuditVal&lt;&gt;"",UPPER(_xlpm.MyAuditVal),_xlpm.MacVal&lt;&gt;"",_xlpm.MacVal,_xlpm.CSVVal&lt;&gt;"",_xlpm.CSVVal
)),"")</f>
        <v/>
      </c>
      <c r="K167" s="54" t="str" cm="1">
        <f t="array" ref="K167">IFERROR(_xlfn.LET(
_xlpm.CSVVal,_xlfn.XLOOKUP($A167,CSV!$A:$A,CSV!M:M,""),
_xlpm.MacVal,_xlfn.XLOOKUP($A167,Output_Mac!$A:$A,Output_Mac!L:L,""),
_xlpm.MyAuditVal,_xlfn.XLOOKUP($A167,My_Audit!$A:$A,My_Audit!J:J,""),
_xlfn.IFS(_xlpm.MyAuditVal&lt;&gt;"",UPPER(_xlpm.MyAuditVal),_xlpm.MacVal&lt;&gt;"",_xlpm.MacVal,_xlpm.CSVVal&lt;&gt;"",_xlpm.CSVVal
)),"")</f>
        <v/>
      </c>
      <c r="L167" s="55" t="str" cm="1">
        <f t="array" ref="L167">IFERROR(_xlfn.LET(
_xlpm.CSVVal,_xlfn.XLOOKUP($A167,CSV!$A:$A,CSV!P:P,""),
_xlpm.MacVal,_xlfn.XLOOKUP($A167,Output_Mac!$A:$A,Output_Mac!M:M,""),
_xlpm.MyAuditVal,_xlfn.XLOOKUP($A167,My_Audit!$A:$A,My_Audit!K:K,""),
_xlfn.IFS(_xlpm.MyAuditVal&lt;&gt;"",UPPER(_xlpm.MyAuditVal),_xlpm.MacVal&lt;&gt;"",_xlpm.MacVal,_xlpm.CSVVal&lt;&gt;"",_xlpm.CSVVal
)),"")</f>
        <v/>
      </c>
      <c r="M167" s="54" t="str">
        <f>_xlfn.LET(
    _xlpm.CSVVal, _xlfn.XLOOKUP($A167, CSV!$A:$A, CSV!AD:AD, ""),
    _xlpm.MacVal, _xlfn.XLOOKUP($A167, Output_Mac!$A:$A, Output_Mac!S:S, ""),
    _xlpm.MyAuditVal, _xlfn.XLOOKUP($A167, My_Audit!$A:$A, My_Audit!N:N, ""),
    _xlfn.TEXTJOIN(", ", TRUE, _xlpm.MyAuditVal, _xlpm.MacVal, _xlpm.CSVVal)
)</f>
        <v/>
      </c>
      <c r="N167" s="54" t="str" cm="1">
        <f t="array" ref="N167">IFERROR(_xlfn.LET(
_xlpm.CSVVal,_xlfn.XLOOKUP($A167,CSV!$A:$A,CSV!AF:AF,""),
_xlpm.MacVal,_xlfn.XLOOKUP($A167,Output_Mac!$A:$A,Output_Mac!U:U,""),
_xlpm.MyAuditVal,_xlfn.XLOOKUP($A167,My_Audit!$A:$A,My_Audit!O:O,""),
_xlfn.IFS(_xlpm.MyAuditVal&lt;&gt;"",UPPER(_xlpm.MyAuditVal),_xlpm.MacVal&lt;&gt;"",_xlpm.MacVal,_xlpm.CSVVal&lt;&gt;"",_xlpm.CSVVal
)),"")</f>
        <v/>
      </c>
      <c r="O167" s="54"/>
      <c r="P167" s="54"/>
      <c r="Q167" s="54"/>
      <c r="R167" s="54"/>
      <c r="S167" s="54"/>
      <c r="T167" s="54"/>
      <c r="U167" s="39"/>
    </row>
    <row r="168" spans="1:21">
      <c r="A168" s="54" t="str">
        <f>_xlfn.TEXTJOIN("",TRUE,Input!$B$2,ROW(My_Audit!A167))</f>
        <v>XX167</v>
      </c>
      <c r="B168" s="54" t="str">
        <f>_xlfn.TEXTJOIN("-",TRUE,"ITD",Input!$A$2,A168)</f>
        <v>ITD-SHRXXX-XX167</v>
      </c>
      <c r="C168" s="54" t="str" cm="1">
        <f t="array" ref="C168">IFERROR(_xlfn.LET(
_xlpm.CSVVal,_xlfn.XLOOKUP($A168,CSV!$A:$A,CSV!B:B,""),
_xlpm.MacVal,_xlfn.XLOOKUP($A168,Output_Mac!$A:$A,Output_Mac!B:B,""),
_xlpm.MyAuditVal,_xlfn.XLOOKUP($A168,My_Audit!$A:$A,My_Audit!B:B,""),
_xlfn.IFS(_xlpm.MyAuditVal&lt;&gt;"",UPPER(_xlpm.MyAuditVal),_xlpm.MacVal&lt;&gt;"",_xlpm.MacVal,_xlpm.CSVVal&lt;&gt;"",_xlpm.CSVVal
)),"")</f>
        <v/>
      </c>
      <c r="D168" s="55" t="str">
        <f>_xlfn.XLOOKUP(A168,My_Audit!A:A,My_Audit!D:D,"")&amp;""</f>
        <v/>
      </c>
      <c r="E168" s="55" t="str" cm="1">
        <f t="array" ref="E168">IFERROR(_xlfn.LET(
_xlpm.CSVVal,_xlfn.XLOOKUP($A168,CSV!$A:$A,CSV!D:D,""),
_xlpm.MacVal,_xlfn.XLOOKUP($A168,Output_Mac!$A:$A,Output_Mac!C:C,""),
_xlpm.MyAuditVal,_xlfn.XLOOKUP($A168,My_Audit!$A:$A,My_Audit!D:D,""),
_xlfn.IFS(_xlpm.MyAuditVal&lt;&gt;"",_xlpm.MyAuditVal,_xlpm.MacVal&lt;&gt;"",_xlpm.MacVal,_xlpm.CSVVal&lt;&gt;"",_xlpm.CSVVal
)),"")</f>
        <v/>
      </c>
      <c r="F168" s="54" t="str" cm="1">
        <f t="array" ref="F168">IFERROR(_xlfn.LET(
_xlpm.CSVVal,_xlfn.XLOOKUP($A168,CSV!$A:$A,CSV!E:E,""),
_xlpm.MacVal,_xlfn.XLOOKUP($A168,Output_Mac!$A:$A,Output_Mac!F:F,""),
_xlpm.MyAuditVal,_xlfn.XLOOKUP($A168,My_Audit!$A:$A,My_Audit!E:E,""),
_xlfn.IFS(_xlpm.MyAuditVal&lt;&gt;"",_xlpm.MyAuditVal,_xlpm.MacVal&lt;&gt;"",_xlpm.MacVal,_xlpm.CSVVal&lt;&gt;"",PROPER(_xlpm.CSVVal)
)),"")</f>
        <v/>
      </c>
      <c r="G168" s="54" t="str" cm="1">
        <f t="array" ref="G168">IFERROR(_xlfn.LET(
_xlpm.CSVVal,_xlfn.XLOOKUP($A168,CSV!$A:$A,CSV!F:F,""),
_xlpm.MacVal,_xlfn.XLOOKUP($A168,Output_Mac!$A:$A,Output_Mac!H:H,""),
_xlpm.MyAuditVal,_xlfn.XLOOKUP($A168,My_Audit!$A:$A,My_Audit!F:F,""),
_xlfn.IFS(_xlpm.MyAuditVal&lt;&gt;"",_xlpm.MyAuditVal,_xlpm.MacVal&lt;&gt;"",_xlpm.MacVal,_xlpm.CSVVal&lt;&gt;"",_xlpm.CSVVal
)),"")</f>
        <v/>
      </c>
      <c r="H168" s="54" t="str">
        <f>_xlfn.XLOOKUP(A168,Output_Mac!A:A,Output_Mac!I:I,"")</f>
        <v/>
      </c>
      <c r="I168" s="54" t="str" cm="1">
        <f t="array" ref="I168">IFERROR(_xlfn.LET(
_xlpm.CSVVal,_xlfn.XLOOKUP($A168,CSV!$A:$A,CSV!G:G,""),
_xlpm.MacVal,_xlfn.XLOOKUP($A168,Output_Mac!$A:$A,Output_Mac!J:J,""),
_xlpm.MyAuditVal,_xlfn.XLOOKUP($A168,My_Audit!$A:$A,My_Audit!H:H,""),
_xlfn.IFS(_xlpm.MyAuditVal&lt;&gt;"",UPPER(_xlpm.MyAuditVal),_xlpm.MacVal&lt;&gt;"",_xlpm.MacVal,_xlpm.CSVVal&lt;&gt;"",_xlpm.CSVVal
)),"")</f>
        <v/>
      </c>
      <c r="J168" s="54" t="str" cm="1">
        <f t="array" ref="J168">IFERROR(_xlfn.LET(
_xlpm.CSVVal,_xlfn.XLOOKUP($A168,CSV!$A:$A,CSV!I:I,""),
_xlpm.MacVal,_xlfn.XLOOKUP($A168,Output_Mac!$A:$A,Output_Mac!K:K,""),
_xlpm.MyAuditVal,_xlfn.XLOOKUP($A168,My_Audit!$A:$A,My_Audit!I:I,""),
_xlfn.IFS(_xlpm.MyAuditVal&lt;&gt;"",UPPER(_xlpm.MyAuditVal),_xlpm.MacVal&lt;&gt;"",_xlpm.MacVal,_xlpm.CSVVal&lt;&gt;"",_xlpm.CSVVal
)),"")</f>
        <v/>
      </c>
      <c r="K168" s="54" t="str" cm="1">
        <f t="array" ref="K168">IFERROR(_xlfn.LET(
_xlpm.CSVVal,_xlfn.XLOOKUP($A168,CSV!$A:$A,CSV!M:M,""),
_xlpm.MacVal,_xlfn.XLOOKUP($A168,Output_Mac!$A:$A,Output_Mac!L:L,""),
_xlpm.MyAuditVal,_xlfn.XLOOKUP($A168,My_Audit!$A:$A,My_Audit!J:J,""),
_xlfn.IFS(_xlpm.MyAuditVal&lt;&gt;"",UPPER(_xlpm.MyAuditVal),_xlpm.MacVal&lt;&gt;"",_xlpm.MacVal,_xlpm.CSVVal&lt;&gt;"",_xlpm.CSVVal
)),"")</f>
        <v/>
      </c>
      <c r="L168" s="55" t="str" cm="1">
        <f t="array" ref="L168">IFERROR(_xlfn.LET(
_xlpm.CSVVal,_xlfn.XLOOKUP($A168,CSV!$A:$A,CSV!P:P,""),
_xlpm.MacVal,_xlfn.XLOOKUP($A168,Output_Mac!$A:$A,Output_Mac!M:M,""),
_xlpm.MyAuditVal,_xlfn.XLOOKUP($A168,My_Audit!$A:$A,My_Audit!K:K,""),
_xlfn.IFS(_xlpm.MyAuditVal&lt;&gt;"",UPPER(_xlpm.MyAuditVal),_xlpm.MacVal&lt;&gt;"",_xlpm.MacVal,_xlpm.CSVVal&lt;&gt;"",_xlpm.CSVVal
)),"")</f>
        <v/>
      </c>
      <c r="M168" s="54" t="str">
        <f>_xlfn.LET(
    _xlpm.CSVVal, _xlfn.XLOOKUP($A168, CSV!$A:$A, CSV!AD:AD, ""),
    _xlpm.MacVal, _xlfn.XLOOKUP($A168, Output_Mac!$A:$A, Output_Mac!S:S, ""),
    _xlpm.MyAuditVal, _xlfn.XLOOKUP($A168, My_Audit!$A:$A, My_Audit!N:N, ""),
    _xlfn.TEXTJOIN(", ", TRUE, _xlpm.MyAuditVal, _xlpm.MacVal, _xlpm.CSVVal)
)</f>
        <v/>
      </c>
      <c r="N168" s="54" t="str" cm="1">
        <f t="array" ref="N168">IFERROR(_xlfn.LET(
_xlpm.CSVVal,_xlfn.XLOOKUP($A168,CSV!$A:$A,CSV!AF:AF,""),
_xlpm.MacVal,_xlfn.XLOOKUP($A168,Output_Mac!$A:$A,Output_Mac!U:U,""),
_xlpm.MyAuditVal,_xlfn.XLOOKUP($A168,My_Audit!$A:$A,My_Audit!O:O,""),
_xlfn.IFS(_xlpm.MyAuditVal&lt;&gt;"",UPPER(_xlpm.MyAuditVal),_xlpm.MacVal&lt;&gt;"",_xlpm.MacVal,_xlpm.CSVVal&lt;&gt;"",_xlpm.CSVVal
)),"")</f>
        <v/>
      </c>
      <c r="O168" s="54"/>
      <c r="P168" s="54"/>
      <c r="Q168" s="54"/>
      <c r="R168" s="54"/>
      <c r="S168" s="54"/>
      <c r="T168" s="54"/>
      <c r="U168" s="39"/>
    </row>
    <row r="169" spans="1:21">
      <c r="A169" s="54" t="str">
        <f>_xlfn.TEXTJOIN("",TRUE,Input!$B$2,ROW(My_Audit!A168))</f>
        <v>XX168</v>
      </c>
      <c r="B169" s="54" t="str">
        <f>_xlfn.TEXTJOIN("-",TRUE,"ITD",Input!$A$2,A169)</f>
        <v>ITD-SHRXXX-XX168</v>
      </c>
      <c r="C169" s="54" t="str" cm="1">
        <f t="array" ref="C169">IFERROR(_xlfn.LET(
_xlpm.CSVVal,_xlfn.XLOOKUP($A169,CSV!$A:$A,CSV!B:B,""),
_xlpm.MacVal,_xlfn.XLOOKUP($A169,Output_Mac!$A:$A,Output_Mac!B:B,""),
_xlpm.MyAuditVal,_xlfn.XLOOKUP($A169,My_Audit!$A:$A,My_Audit!B:B,""),
_xlfn.IFS(_xlpm.MyAuditVal&lt;&gt;"",UPPER(_xlpm.MyAuditVal),_xlpm.MacVal&lt;&gt;"",_xlpm.MacVal,_xlpm.CSVVal&lt;&gt;"",_xlpm.CSVVal
)),"")</f>
        <v/>
      </c>
      <c r="D169" s="55" t="str">
        <f>_xlfn.XLOOKUP(A169,My_Audit!A:A,My_Audit!D:D,"")&amp;""</f>
        <v/>
      </c>
      <c r="E169" s="55" t="str" cm="1">
        <f t="array" ref="E169">IFERROR(_xlfn.LET(
_xlpm.CSVVal,_xlfn.XLOOKUP($A169,CSV!$A:$A,CSV!D:D,""),
_xlpm.MacVal,_xlfn.XLOOKUP($A169,Output_Mac!$A:$A,Output_Mac!C:C,""),
_xlpm.MyAuditVal,_xlfn.XLOOKUP($A169,My_Audit!$A:$A,My_Audit!D:D,""),
_xlfn.IFS(_xlpm.MyAuditVal&lt;&gt;"",_xlpm.MyAuditVal,_xlpm.MacVal&lt;&gt;"",_xlpm.MacVal,_xlpm.CSVVal&lt;&gt;"",_xlpm.CSVVal
)),"")</f>
        <v/>
      </c>
      <c r="F169" s="54" t="str" cm="1">
        <f t="array" ref="F169">IFERROR(_xlfn.LET(
_xlpm.CSVVal,_xlfn.XLOOKUP($A169,CSV!$A:$A,CSV!E:E,""),
_xlpm.MacVal,_xlfn.XLOOKUP($A169,Output_Mac!$A:$A,Output_Mac!F:F,""),
_xlpm.MyAuditVal,_xlfn.XLOOKUP($A169,My_Audit!$A:$A,My_Audit!E:E,""),
_xlfn.IFS(_xlpm.MyAuditVal&lt;&gt;"",_xlpm.MyAuditVal,_xlpm.MacVal&lt;&gt;"",_xlpm.MacVal,_xlpm.CSVVal&lt;&gt;"",PROPER(_xlpm.CSVVal)
)),"")</f>
        <v/>
      </c>
      <c r="G169" s="54" t="str" cm="1">
        <f t="array" ref="G169">IFERROR(_xlfn.LET(
_xlpm.CSVVal,_xlfn.XLOOKUP($A169,CSV!$A:$A,CSV!F:F,""),
_xlpm.MacVal,_xlfn.XLOOKUP($A169,Output_Mac!$A:$A,Output_Mac!H:H,""),
_xlpm.MyAuditVal,_xlfn.XLOOKUP($A169,My_Audit!$A:$A,My_Audit!F:F,""),
_xlfn.IFS(_xlpm.MyAuditVal&lt;&gt;"",_xlpm.MyAuditVal,_xlpm.MacVal&lt;&gt;"",_xlpm.MacVal,_xlpm.CSVVal&lt;&gt;"",_xlpm.CSVVal
)),"")</f>
        <v/>
      </c>
      <c r="H169" s="54" t="str">
        <f>_xlfn.XLOOKUP(A169,Output_Mac!A:A,Output_Mac!I:I,"")</f>
        <v/>
      </c>
      <c r="I169" s="54" t="str" cm="1">
        <f t="array" ref="I169">IFERROR(_xlfn.LET(
_xlpm.CSVVal,_xlfn.XLOOKUP($A169,CSV!$A:$A,CSV!G:G,""),
_xlpm.MacVal,_xlfn.XLOOKUP($A169,Output_Mac!$A:$A,Output_Mac!J:J,""),
_xlpm.MyAuditVal,_xlfn.XLOOKUP($A169,My_Audit!$A:$A,My_Audit!H:H,""),
_xlfn.IFS(_xlpm.MyAuditVal&lt;&gt;"",UPPER(_xlpm.MyAuditVal),_xlpm.MacVal&lt;&gt;"",_xlpm.MacVal,_xlpm.CSVVal&lt;&gt;"",_xlpm.CSVVal
)),"")</f>
        <v/>
      </c>
      <c r="J169" s="54" t="str" cm="1">
        <f t="array" ref="J169">IFERROR(_xlfn.LET(
_xlpm.CSVVal,_xlfn.XLOOKUP($A169,CSV!$A:$A,CSV!I:I,""),
_xlpm.MacVal,_xlfn.XLOOKUP($A169,Output_Mac!$A:$A,Output_Mac!K:K,""),
_xlpm.MyAuditVal,_xlfn.XLOOKUP($A169,My_Audit!$A:$A,My_Audit!I:I,""),
_xlfn.IFS(_xlpm.MyAuditVal&lt;&gt;"",UPPER(_xlpm.MyAuditVal),_xlpm.MacVal&lt;&gt;"",_xlpm.MacVal,_xlpm.CSVVal&lt;&gt;"",_xlpm.CSVVal
)),"")</f>
        <v/>
      </c>
      <c r="K169" s="54" t="str" cm="1">
        <f t="array" ref="K169">IFERROR(_xlfn.LET(
_xlpm.CSVVal,_xlfn.XLOOKUP($A169,CSV!$A:$A,CSV!M:M,""),
_xlpm.MacVal,_xlfn.XLOOKUP($A169,Output_Mac!$A:$A,Output_Mac!L:L,""),
_xlpm.MyAuditVal,_xlfn.XLOOKUP($A169,My_Audit!$A:$A,My_Audit!J:J,""),
_xlfn.IFS(_xlpm.MyAuditVal&lt;&gt;"",UPPER(_xlpm.MyAuditVal),_xlpm.MacVal&lt;&gt;"",_xlpm.MacVal,_xlpm.CSVVal&lt;&gt;"",_xlpm.CSVVal
)),"")</f>
        <v/>
      </c>
      <c r="L169" s="55" t="str" cm="1">
        <f t="array" ref="L169">IFERROR(_xlfn.LET(
_xlpm.CSVVal,_xlfn.XLOOKUP($A169,CSV!$A:$A,CSV!P:P,""),
_xlpm.MacVal,_xlfn.XLOOKUP($A169,Output_Mac!$A:$A,Output_Mac!M:M,""),
_xlpm.MyAuditVal,_xlfn.XLOOKUP($A169,My_Audit!$A:$A,My_Audit!K:K,""),
_xlfn.IFS(_xlpm.MyAuditVal&lt;&gt;"",UPPER(_xlpm.MyAuditVal),_xlpm.MacVal&lt;&gt;"",_xlpm.MacVal,_xlpm.CSVVal&lt;&gt;"",_xlpm.CSVVal
)),"")</f>
        <v/>
      </c>
      <c r="M169" s="54" t="str">
        <f>_xlfn.LET(
    _xlpm.CSVVal, _xlfn.XLOOKUP($A169, CSV!$A:$A, CSV!AD:AD, ""),
    _xlpm.MacVal, _xlfn.XLOOKUP($A169, Output_Mac!$A:$A, Output_Mac!S:S, ""),
    _xlpm.MyAuditVal, _xlfn.XLOOKUP($A169, My_Audit!$A:$A, My_Audit!N:N, ""),
    _xlfn.TEXTJOIN(", ", TRUE, _xlpm.MyAuditVal, _xlpm.MacVal, _xlpm.CSVVal)
)</f>
        <v/>
      </c>
      <c r="N169" s="54" t="str" cm="1">
        <f t="array" ref="N169">IFERROR(_xlfn.LET(
_xlpm.CSVVal,_xlfn.XLOOKUP($A169,CSV!$A:$A,CSV!AF:AF,""),
_xlpm.MacVal,_xlfn.XLOOKUP($A169,Output_Mac!$A:$A,Output_Mac!U:U,""),
_xlpm.MyAuditVal,_xlfn.XLOOKUP($A169,My_Audit!$A:$A,My_Audit!O:O,""),
_xlfn.IFS(_xlpm.MyAuditVal&lt;&gt;"",UPPER(_xlpm.MyAuditVal),_xlpm.MacVal&lt;&gt;"",_xlpm.MacVal,_xlpm.CSVVal&lt;&gt;"",_xlpm.CSVVal
)),"")</f>
        <v/>
      </c>
      <c r="O169" s="54"/>
      <c r="P169" s="54"/>
      <c r="Q169" s="54"/>
      <c r="R169" s="54"/>
      <c r="S169" s="54"/>
      <c r="T169" s="54"/>
      <c r="U169" s="39"/>
    </row>
    <row r="170" spans="1:21">
      <c r="A170" s="54" t="str">
        <f>_xlfn.TEXTJOIN("",TRUE,Input!$B$2,ROW(My_Audit!A169))</f>
        <v>XX169</v>
      </c>
      <c r="B170" s="54" t="str">
        <f>_xlfn.TEXTJOIN("-",TRUE,"ITD",Input!$A$2,A170)</f>
        <v>ITD-SHRXXX-XX169</v>
      </c>
      <c r="C170" s="54" t="str" cm="1">
        <f t="array" ref="C170">IFERROR(_xlfn.LET(
_xlpm.CSVVal,_xlfn.XLOOKUP($A170,CSV!$A:$A,CSV!B:B,""),
_xlpm.MacVal,_xlfn.XLOOKUP($A170,Output_Mac!$A:$A,Output_Mac!B:B,""),
_xlpm.MyAuditVal,_xlfn.XLOOKUP($A170,My_Audit!$A:$A,My_Audit!B:B,""),
_xlfn.IFS(_xlpm.MyAuditVal&lt;&gt;"",UPPER(_xlpm.MyAuditVal),_xlpm.MacVal&lt;&gt;"",_xlpm.MacVal,_xlpm.CSVVal&lt;&gt;"",_xlpm.CSVVal
)),"")</f>
        <v/>
      </c>
      <c r="D170" s="55" t="str">
        <f>_xlfn.XLOOKUP(A170,My_Audit!A:A,My_Audit!D:D,"")&amp;""</f>
        <v/>
      </c>
      <c r="E170" s="55" t="str" cm="1">
        <f t="array" ref="E170">IFERROR(_xlfn.LET(
_xlpm.CSVVal,_xlfn.XLOOKUP($A170,CSV!$A:$A,CSV!D:D,""),
_xlpm.MacVal,_xlfn.XLOOKUP($A170,Output_Mac!$A:$A,Output_Mac!C:C,""),
_xlpm.MyAuditVal,_xlfn.XLOOKUP($A170,My_Audit!$A:$A,My_Audit!D:D,""),
_xlfn.IFS(_xlpm.MyAuditVal&lt;&gt;"",_xlpm.MyAuditVal,_xlpm.MacVal&lt;&gt;"",_xlpm.MacVal,_xlpm.CSVVal&lt;&gt;"",_xlpm.CSVVal
)),"")</f>
        <v/>
      </c>
      <c r="F170" s="54" t="str" cm="1">
        <f t="array" ref="F170">IFERROR(_xlfn.LET(
_xlpm.CSVVal,_xlfn.XLOOKUP($A170,CSV!$A:$A,CSV!E:E,""),
_xlpm.MacVal,_xlfn.XLOOKUP($A170,Output_Mac!$A:$A,Output_Mac!F:F,""),
_xlpm.MyAuditVal,_xlfn.XLOOKUP($A170,My_Audit!$A:$A,My_Audit!E:E,""),
_xlfn.IFS(_xlpm.MyAuditVal&lt;&gt;"",_xlpm.MyAuditVal,_xlpm.MacVal&lt;&gt;"",_xlpm.MacVal,_xlpm.CSVVal&lt;&gt;"",PROPER(_xlpm.CSVVal)
)),"")</f>
        <v/>
      </c>
      <c r="G170" s="54" t="str" cm="1">
        <f t="array" ref="G170">IFERROR(_xlfn.LET(
_xlpm.CSVVal,_xlfn.XLOOKUP($A170,CSV!$A:$A,CSV!F:F,""),
_xlpm.MacVal,_xlfn.XLOOKUP($A170,Output_Mac!$A:$A,Output_Mac!H:H,""),
_xlpm.MyAuditVal,_xlfn.XLOOKUP($A170,My_Audit!$A:$A,My_Audit!F:F,""),
_xlfn.IFS(_xlpm.MyAuditVal&lt;&gt;"",_xlpm.MyAuditVal,_xlpm.MacVal&lt;&gt;"",_xlpm.MacVal,_xlpm.CSVVal&lt;&gt;"",_xlpm.CSVVal
)),"")</f>
        <v/>
      </c>
      <c r="H170" s="54" t="str">
        <f>_xlfn.XLOOKUP(A170,Output_Mac!A:A,Output_Mac!I:I,"")</f>
        <v/>
      </c>
      <c r="I170" s="54" t="str" cm="1">
        <f t="array" ref="I170">IFERROR(_xlfn.LET(
_xlpm.CSVVal,_xlfn.XLOOKUP($A170,CSV!$A:$A,CSV!G:G,""),
_xlpm.MacVal,_xlfn.XLOOKUP($A170,Output_Mac!$A:$A,Output_Mac!J:J,""),
_xlpm.MyAuditVal,_xlfn.XLOOKUP($A170,My_Audit!$A:$A,My_Audit!H:H,""),
_xlfn.IFS(_xlpm.MyAuditVal&lt;&gt;"",UPPER(_xlpm.MyAuditVal),_xlpm.MacVal&lt;&gt;"",_xlpm.MacVal,_xlpm.CSVVal&lt;&gt;"",_xlpm.CSVVal
)),"")</f>
        <v/>
      </c>
      <c r="J170" s="54" t="str" cm="1">
        <f t="array" ref="J170">IFERROR(_xlfn.LET(
_xlpm.CSVVal,_xlfn.XLOOKUP($A170,CSV!$A:$A,CSV!I:I,""),
_xlpm.MacVal,_xlfn.XLOOKUP($A170,Output_Mac!$A:$A,Output_Mac!K:K,""),
_xlpm.MyAuditVal,_xlfn.XLOOKUP($A170,My_Audit!$A:$A,My_Audit!I:I,""),
_xlfn.IFS(_xlpm.MyAuditVal&lt;&gt;"",UPPER(_xlpm.MyAuditVal),_xlpm.MacVal&lt;&gt;"",_xlpm.MacVal,_xlpm.CSVVal&lt;&gt;"",_xlpm.CSVVal
)),"")</f>
        <v/>
      </c>
      <c r="K170" s="54" t="str" cm="1">
        <f t="array" ref="K170">IFERROR(_xlfn.LET(
_xlpm.CSVVal,_xlfn.XLOOKUP($A170,CSV!$A:$A,CSV!M:M,""),
_xlpm.MacVal,_xlfn.XLOOKUP($A170,Output_Mac!$A:$A,Output_Mac!L:L,""),
_xlpm.MyAuditVal,_xlfn.XLOOKUP($A170,My_Audit!$A:$A,My_Audit!J:J,""),
_xlfn.IFS(_xlpm.MyAuditVal&lt;&gt;"",UPPER(_xlpm.MyAuditVal),_xlpm.MacVal&lt;&gt;"",_xlpm.MacVal,_xlpm.CSVVal&lt;&gt;"",_xlpm.CSVVal
)),"")</f>
        <v/>
      </c>
      <c r="L170" s="55" t="str" cm="1">
        <f t="array" ref="L170">IFERROR(_xlfn.LET(
_xlpm.CSVVal,_xlfn.XLOOKUP($A170,CSV!$A:$A,CSV!P:P,""),
_xlpm.MacVal,_xlfn.XLOOKUP($A170,Output_Mac!$A:$A,Output_Mac!M:M,""),
_xlpm.MyAuditVal,_xlfn.XLOOKUP($A170,My_Audit!$A:$A,My_Audit!K:K,""),
_xlfn.IFS(_xlpm.MyAuditVal&lt;&gt;"",UPPER(_xlpm.MyAuditVal),_xlpm.MacVal&lt;&gt;"",_xlpm.MacVal,_xlpm.CSVVal&lt;&gt;"",_xlpm.CSVVal
)),"")</f>
        <v/>
      </c>
      <c r="M170" s="54" t="str">
        <f>_xlfn.LET(
    _xlpm.CSVVal, _xlfn.XLOOKUP($A170, CSV!$A:$A, CSV!AD:AD, ""),
    _xlpm.MacVal, _xlfn.XLOOKUP($A170, Output_Mac!$A:$A, Output_Mac!S:S, ""),
    _xlpm.MyAuditVal, _xlfn.XLOOKUP($A170, My_Audit!$A:$A, My_Audit!N:N, ""),
    _xlfn.TEXTJOIN(", ", TRUE, _xlpm.MyAuditVal, _xlpm.MacVal, _xlpm.CSVVal)
)</f>
        <v/>
      </c>
      <c r="N170" s="54" t="str" cm="1">
        <f t="array" ref="N170">IFERROR(_xlfn.LET(
_xlpm.CSVVal,_xlfn.XLOOKUP($A170,CSV!$A:$A,CSV!AF:AF,""),
_xlpm.MacVal,_xlfn.XLOOKUP($A170,Output_Mac!$A:$A,Output_Mac!U:U,""),
_xlpm.MyAuditVal,_xlfn.XLOOKUP($A170,My_Audit!$A:$A,My_Audit!O:O,""),
_xlfn.IFS(_xlpm.MyAuditVal&lt;&gt;"",UPPER(_xlpm.MyAuditVal),_xlpm.MacVal&lt;&gt;"",_xlpm.MacVal,_xlpm.CSVVal&lt;&gt;"",_xlpm.CSVVal
)),"")</f>
        <v/>
      </c>
      <c r="O170" s="54"/>
      <c r="P170" s="54"/>
      <c r="Q170" s="54"/>
      <c r="R170" s="54"/>
      <c r="S170" s="54"/>
      <c r="T170" s="54"/>
      <c r="U170" s="39"/>
    </row>
    <row r="171" spans="1:21">
      <c r="A171" s="54" t="str">
        <f>_xlfn.TEXTJOIN("",TRUE,Input!$B$2,ROW(My_Audit!A170))</f>
        <v>XX170</v>
      </c>
      <c r="B171" s="54" t="str">
        <f>_xlfn.TEXTJOIN("-",TRUE,"ITD",Input!$A$2,A171)</f>
        <v>ITD-SHRXXX-XX170</v>
      </c>
      <c r="C171" s="54" t="str" cm="1">
        <f t="array" ref="C171">IFERROR(_xlfn.LET(
_xlpm.CSVVal,_xlfn.XLOOKUP($A171,CSV!$A:$A,CSV!B:B,""),
_xlpm.MacVal,_xlfn.XLOOKUP($A171,Output_Mac!$A:$A,Output_Mac!B:B,""),
_xlpm.MyAuditVal,_xlfn.XLOOKUP($A171,My_Audit!$A:$A,My_Audit!B:B,""),
_xlfn.IFS(_xlpm.MyAuditVal&lt;&gt;"",UPPER(_xlpm.MyAuditVal),_xlpm.MacVal&lt;&gt;"",_xlpm.MacVal,_xlpm.CSVVal&lt;&gt;"",_xlpm.CSVVal
)),"")</f>
        <v/>
      </c>
      <c r="D171" s="55" t="str">
        <f>_xlfn.XLOOKUP(A171,My_Audit!A:A,My_Audit!D:D,"")&amp;""</f>
        <v/>
      </c>
      <c r="E171" s="55" t="str" cm="1">
        <f t="array" ref="E171">IFERROR(_xlfn.LET(
_xlpm.CSVVal,_xlfn.XLOOKUP($A171,CSV!$A:$A,CSV!D:D,""),
_xlpm.MacVal,_xlfn.XLOOKUP($A171,Output_Mac!$A:$A,Output_Mac!C:C,""),
_xlpm.MyAuditVal,_xlfn.XLOOKUP($A171,My_Audit!$A:$A,My_Audit!D:D,""),
_xlfn.IFS(_xlpm.MyAuditVal&lt;&gt;"",_xlpm.MyAuditVal,_xlpm.MacVal&lt;&gt;"",_xlpm.MacVal,_xlpm.CSVVal&lt;&gt;"",_xlpm.CSVVal
)),"")</f>
        <v/>
      </c>
      <c r="F171" s="54" t="str" cm="1">
        <f t="array" ref="F171">IFERROR(_xlfn.LET(
_xlpm.CSVVal,_xlfn.XLOOKUP($A171,CSV!$A:$A,CSV!E:E,""),
_xlpm.MacVal,_xlfn.XLOOKUP($A171,Output_Mac!$A:$A,Output_Mac!F:F,""),
_xlpm.MyAuditVal,_xlfn.XLOOKUP($A171,My_Audit!$A:$A,My_Audit!E:E,""),
_xlfn.IFS(_xlpm.MyAuditVal&lt;&gt;"",_xlpm.MyAuditVal,_xlpm.MacVal&lt;&gt;"",_xlpm.MacVal,_xlpm.CSVVal&lt;&gt;"",PROPER(_xlpm.CSVVal)
)),"")</f>
        <v/>
      </c>
      <c r="G171" s="54" t="str" cm="1">
        <f t="array" ref="G171">IFERROR(_xlfn.LET(
_xlpm.CSVVal,_xlfn.XLOOKUP($A171,CSV!$A:$A,CSV!F:F,""),
_xlpm.MacVal,_xlfn.XLOOKUP($A171,Output_Mac!$A:$A,Output_Mac!H:H,""),
_xlpm.MyAuditVal,_xlfn.XLOOKUP($A171,My_Audit!$A:$A,My_Audit!F:F,""),
_xlfn.IFS(_xlpm.MyAuditVal&lt;&gt;"",_xlpm.MyAuditVal,_xlpm.MacVal&lt;&gt;"",_xlpm.MacVal,_xlpm.CSVVal&lt;&gt;"",_xlpm.CSVVal
)),"")</f>
        <v/>
      </c>
      <c r="H171" s="54" t="str">
        <f>_xlfn.XLOOKUP(A171,Output_Mac!A:A,Output_Mac!I:I,"")</f>
        <v/>
      </c>
      <c r="I171" s="54" t="str" cm="1">
        <f t="array" ref="I171">IFERROR(_xlfn.LET(
_xlpm.CSVVal,_xlfn.XLOOKUP($A171,CSV!$A:$A,CSV!G:G,""),
_xlpm.MacVal,_xlfn.XLOOKUP($A171,Output_Mac!$A:$A,Output_Mac!J:J,""),
_xlpm.MyAuditVal,_xlfn.XLOOKUP($A171,My_Audit!$A:$A,My_Audit!H:H,""),
_xlfn.IFS(_xlpm.MyAuditVal&lt;&gt;"",UPPER(_xlpm.MyAuditVal),_xlpm.MacVal&lt;&gt;"",_xlpm.MacVal,_xlpm.CSVVal&lt;&gt;"",_xlpm.CSVVal
)),"")</f>
        <v/>
      </c>
      <c r="J171" s="54" t="str" cm="1">
        <f t="array" ref="J171">IFERROR(_xlfn.LET(
_xlpm.CSVVal,_xlfn.XLOOKUP($A171,CSV!$A:$A,CSV!I:I,""),
_xlpm.MacVal,_xlfn.XLOOKUP($A171,Output_Mac!$A:$A,Output_Mac!K:K,""),
_xlpm.MyAuditVal,_xlfn.XLOOKUP($A171,My_Audit!$A:$A,My_Audit!I:I,""),
_xlfn.IFS(_xlpm.MyAuditVal&lt;&gt;"",UPPER(_xlpm.MyAuditVal),_xlpm.MacVal&lt;&gt;"",_xlpm.MacVal,_xlpm.CSVVal&lt;&gt;"",_xlpm.CSVVal
)),"")</f>
        <v/>
      </c>
      <c r="K171" s="54" t="str" cm="1">
        <f t="array" ref="K171">IFERROR(_xlfn.LET(
_xlpm.CSVVal,_xlfn.XLOOKUP($A171,CSV!$A:$A,CSV!M:M,""),
_xlpm.MacVal,_xlfn.XLOOKUP($A171,Output_Mac!$A:$A,Output_Mac!L:L,""),
_xlpm.MyAuditVal,_xlfn.XLOOKUP($A171,My_Audit!$A:$A,My_Audit!J:J,""),
_xlfn.IFS(_xlpm.MyAuditVal&lt;&gt;"",UPPER(_xlpm.MyAuditVal),_xlpm.MacVal&lt;&gt;"",_xlpm.MacVal,_xlpm.CSVVal&lt;&gt;"",_xlpm.CSVVal
)),"")</f>
        <v/>
      </c>
      <c r="L171" s="55" t="str" cm="1">
        <f t="array" ref="L171">IFERROR(_xlfn.LET(
_xlpm.CSVVal,_xlfn.XLOOKUP($A171,CSV!$A:$A,CSV!P:P,""),
_xlpm.MacVal,_xlfn.XLOOKUP($A171,Output_Mac!$A:$A,Output_Mac!M:M,""),
_xlpm.MyAuditVal,_xlfn.XLOOKUP($A171,My_Audit!$A:$A,My_Audit!K:K,""),
_xlfn.IFS(_xlpm.MyAuditVal&lt;&gt;"",UPPER(_xlpm.MyAuditVal),_xlpm.MacVal&lt;&gt;"",_xlpm.MacVal,_xlpm.CSVVal&lt;&gt;"",_xlpm.CSVVal
)),"")</f>
        <v/>
      </c>
      <c r="M171" s="54" t="str">
        <f>_xlfn.LET(
    _xlpm.CSVVal, _xlfn.XLOOKUP($A171, CSV!$A:$A, CSV!AD:AD, ""),
    _xlpm.MacVal, _xlfn.XLOOKUP($A171, Output_Mac!$A:$A, Output_Mac!S:S, ""),
    _xlpm.MyAuditVal, _xlfn.XLOOKUP($A171, My_Audit!$A:$A, My_Audit!N:N, ""),
    _xlfn.TEXTJOIN(", ", TRUE, _xlpm.MyAuditVal, _xlpm.MacVal, _xlpm.CSVVal)
)</f>
        <v/>
      </c>
      <c r="N171" s="54" t="str" cm="1">
        <f t="array" ref="N171">IFERROR(_xlfn.LET(
_xlpm.CSVVal,_xlfn.XLOOKUP($A171,CSV!$A:$A,CSV!AF:AF,""),
_xlpm.MacVal,_xlfn.XLOOKUP($A171,Output_Mac!$A:$A,Output_Mac!U:U,""),
_xlpm.MyAuditVal,_xlfn.XLOOKUP($A171,My_Audit!$A:$A,My_Audit!O:O,""),
_xlfn.IFS(_xlpm.MyAuditVal&lt;&gt;"",UPPER(_xlpm.MyAuditVal),_xlpm.MacVal&lt;&gt;"",_xlpm.MacVal,_xlpm.CSVVal&lt;&gt;"",_xlpm.CSVVal
)),"")</f>
        <v/>
      </c>
      <c r="O171" s="54"/>
      <c r="P171" s="54"/>
      <c r="Q171" s="54"/>
      <c r="R171" s="54"/>
      <c r="S171" s="54"/>
      <c r="T171" s="54"/>
      <c r="U171" s="39"/>
    </row>
    <row r="172" spans="1:21">
      <c r="A172" s="54" t="str">
        <f>_xlfn.TEXTJOIN("",TRUE,Input!$B$2,ROW(My_Audit!A171))</f>
        <v>XX171</v>
      </c>
      <c r="B172" s="54" t="str">
        <f>_xlfn.TEXTJOIN("-",TRUE,"ITD",Input!$A$2,A172)</f>
        <v>ITD-SHRXXX-XX171</v>
      </c>
      <c r="C172" s="54" t="str" cm="1">
        <f t="array" ref="C172">IFERROR(_xlfn.LET(
_xlpm.CSVVal,_xlfn.XLOOKUP($A172,CSV!$A:$A,CSV!B:B,""),
_xlpm.MacVal,_xlfn.XLOOKUP($A172,Output_Mac!$A:$A,Output_Mac!B:B,""),
_xlpm.MyAuditVal,_xlfn.XLOOKUP($A172,My_Audit!$A:$A,My_Audit!B:B,""),
_xlfn.IFS(_xlpm.MyAuditVal&lt;&gt;"",UPPER(_xlpm.MyAuditVal),_xlpm.MacVal&lt;&gt;"",_xlpm.MacVal,_xlpm.CSVVal&lt;&gt;"",_xlpm.CSVVal
)),"")</f>
        <v/>
      </c>
      <c r="D172" s="55" t="str">
        <f>_xlfn.XLOOKUP(A172,My_Audit!A:A,My_Audit!D:D,"")&amp;""</f>
        <v/>
      </c>
      <c r="E172" s="55" t="str" cm="1">
        <f t="array" ref="E172">IFERROR(_xlfn.LET(
_xlpm.CSVVal,_xlfn.XLOOKUP($A172,CSV!$A:$A,CSV!D:D,""),
_xlpm.MacVal,_xlfn.XLOOKUP($A172,Output_Mac!$A:$A,Output_Mac!C:C,""),
_xlpm.MyAuditVal,_xlfn.XLOOKUP($A172,My_Audit!$A:$A,My_Audit!D:D,""),
_xlfn.IFS(_xlpm.MyAuditVal&lt;&gt;"",_xlpm.MyAuditVal,_xlpm.MacVal&lt;&gt;"",_xlpm.MacVal,_xlpm.CSVVal&lt;&gt;"",_xlpm.CSVVal
)),"")</f>
        <v/>
      </c>
      <c r="F172" s="54" t="str" cm="1">
        <f t="array" ref="F172">IFERROR(_xlfn.LET(
_xlpm.CSVVal,_xlfn.XLOOKUP($A172,CSV!$A:$A,CSV!E:E,""),
_xlpm.MacVal,_xlfn.XLOOKUP($A172,Output_Mac!$A:$A,Output_Mac!F:F,""),
_xlpm.MyAuditVal,_xlfn.XLOOKUP($A172,My_Audit!$A:$A,My_Audit!E:E,""),
_xlfn.IFS(_xlpm.MyAuditVal&lt;&gt;"",_xlpm.MyAuditVal,_xlpm.MacVal&lt;&gt;"",_xlpm.MacVal,_xlpm.CSVVal&lt;&gt;"",PROPER(_xlpm.CSVVal)
)),"")</f>
        <v/>
      </c>
      <c r="G172" s="54" t="str" cm="1">
        <f t="array" ref="G172">IFERROR(_xlfn.LET(
_xlpm.CSVVal,_xlfn.XLOOKUP($A172,CSV!$A:$A,CSV!F:F,""),
_xlpm.MacVal,_xlfn.XLOOKUP($A172,Output_Mac!$A:$A,Output_Mac!H:H,""),
_xlpm.MyAuditVal,_xlfn.XLOOKUP($A172,My_Audit!$A:$A,My_Audit!F:F,""),
_xlfn.IFS(_xlpm.MyAuditVal&lt;&gt;"",_xlpm.MyAuditVal,_xlpm.MacVal&lt;&gt;"",_xlpm.MacVal,_xlpm.CSVVal&lt;&gt;"",_xlpm.CSVVal
)),"")</f>
        <v/>
      </c>
      <c r="H172" s="54" t="str">
        <f>_xlfn.XLOOKUP(A172,Output_Mac!A:A,Output_Mac!I:I,"")</f>
        <v/>
      </c>
      <c r="I172" s="54" t="str" cm="1">
        <f t="array" ref="I172">IFERROR(_xlfn.LET(
_xlpm.CSVVal,_xlfn.XLOOKUP($A172,CSV!$A:$A,CSV!G:G,""),
_xlpm.MacVal,_xlfn.XLOOKUP($A172,Output_Mac!$A:$A,Output_Mac!J:J,""),
_xlpm.MyAuditVal,_xlfn.XLOOKUP($A172,My_Audit!$A:$A,My_Audit!H:H,""),
_xlfn.IFS(_xlpm.MyAuditVal&lt;&gt;"",UPPER(_xlpm.MyAuditVal),_xlpm.MacVal&lt;&gt;"",_xlpm.MacVal,_xlpm.CSVVal&lt;&gt;"",_xlpm.CSVVal
)),"")</f>
        <v/>
      </c>
      <c r="J172" s="54" t="str" cm="1">
        <f t="array" ref="J172">IFERROR(_xlfn.LET(
_xlpm.CSVVal,_xlfn.XLOOKUP($A172,CSV!$A:$A,CSV!I:I,""),
_xlpm.MacVal,_xlfn.XLOOKUP($A172,Output_Mac!$A:$A,Output_Mac!K:K,""),
_xlpm.MyAuditVal,_xlfn.XLOOKUP($A172,My_Audit!$A:$A,My_Audit!I:I,""),
_xlfn.IFS(_xlpm.MyAuditVal&lt;&gt;"",UPPER(_xlpm.MyAuditVal),_xlpm.MacVal&lt;&gt;"",_xlpm.MacVal,_xlpm.CSVVal&lt;&gt;"",_xlpm.CSVVal
)),"")</f>
        <v/>
      </c>
      <c r="K172" s="54" t="str" cm="1">
        <f t="array" ref="K172">IFERROR(_xlfn.LET(
_xlpm.CSVVal,_xlfn.XLOOKUP($A172,CSV!$A:$A,CSV!M:M,""),
_xlpm.MacVal,_xlfn.XLOOKUP($A172,Output_Mac!$A:$A,Output_Mac!L:L,""),
_xlpm.MyAuditVal,_xlfn.XLOOKUP($A172,My_Audit!$A:$A,My_Audit!J:J,""),
_xlfn.IFS(_xlpm.MyAuditVal&lt;&gt;"",UPPER(_xlpm.MyAuditVal),_xlpm.MacVal&lt;&gt;"",_xlpm.MacVal,_xlpm.CSVVal&lt;&gt;"",_xlpm.CSVVal
)),"")</f>
        <v/>
      </c>
      <c r="L172" s="55" t="str" cm="1">
        <f t="array" ref="L172">IFERROR(_xlfn.LET(
_xlpm.CSVVal,_xlfn.XLOOKUP($A172,CSV!$A:$A,CSV!P:P,""),
_xlpm.MacVal,_xlfn.XLOOKUP($A172,Output_Mac!$A:$A,Output_Mac!M:M,""),
_xlpm.MyAuditVal,_xlfn.XLOOKUP($A172,My_Audit!$A:$A,My_Audit!K:K,""),
_xlfn.IFS(_xlpm.MyAuditVal&lt;&gt;"",UPPER(_xlpm.MyAuditVal),_xlpm.MacVal&lt;&gt;"",_xlpm.MacVal,_xlpm.CSVVal&lt;&gt;"",_xlpm.CSVVal
)),"")</f>
        <v/>
      </c>
      <c r="M172" s="54" t="str">
        <f>_xlfn.LET(
    _xlpm.CSVVal, _xlfn.XLOOKUP($A172, CSV!$A:$A, CSV!AD:AD, ""),
    _xlpm.MacVal, _xlfn.XLOOKUP($A172, Output_Mac!$A:$A, Output_Mac!S:S, ""),
    _xlpm.MyAuditVal, _xlfn.XLOOKUP($A172, My_Audit!$A:$A, My_Audit!N:N, ""),
    _xlfn.TEXTJOIN(", ", TRUE, _xlpm.MyAuditVal, _xlpm.MacVal, _xlpm.CSVVal)
)</f>
        <v/>
      </c>
      <c r="N172" s="54" t="str" cm="1">
        <f t="array" ref="N172">IFERROR(_xlfn.LET(
_xlpm.CSVVal,_xlfn.XLOOKUP($A172,CSV!$A:$A,CSV!AF:AF,""),
_xlpm.MacVal,_xlfn.XLOOKUP($A172,Output_Mac!$A:$A,Output_Mac!U:U,""),
_xlpm.MyAuditVal,_xlfn.XLOOKUP($A172,My_Audit!$A:$A,My_Audit!O:O,""),
_xlfn.IFS(_xlpm.MyAuditVal&lt;&gt;"",UPPER(_xlpm.MyAuditVal),_xlpm.MacVal&lt;&gt;"",_xlpm.MacVal,_xlpm.CSVVal&lt;&gt;"",_xlpm.CSVVal
)),"")</f>
        <v/>
      </c>
      <c r="O172" s="54"/>
      <c r="P172" s="54"/>
      <c r="Q172" s="54"/>
      <c r="R172" s="54"/>
      <c r="S172" s="54"/>
      <c r="T172" s="54"/>
      <c r="U172" s="39"/>
    </row>
    <row r="173" spans="1:21">
      <c r="A173" s="54" t="str">
        <f>_xlfn.TEXTJOIN("",TRUE,Input!$B$2,ROW(My_Audit!A172))</f>
        <v>XX172</v>
      </c>
      <c r="B173" s="54" t="str">
        <f>_xlfn.TEXTJOIN("-",TRUE,"ITD",Input!$A$2,A173)</f>
        <v>ITD-SHRXXX-XX172</v>
      </c>
      <c r="C173" s="54" t="str" cm="1">
        <f t="array" ref="C173">IFERROR(_xlfn.LET(
_xlpm.CSVVal,_xlfn.XLOOKUP($A173,CSV!$A:$A,CSV!B:B,""),
_xlpm.MacVal,_xlfn.XLOOKUP($A173,Output_Mac!$A:$A,Output_Mac!B:B,""),
_xlpm.MyAuditVal,_xlfn.XLOOKUP($A173,My_Audit!$A:$A,My_Audit!B:B,""),
_xlfn.IFS(_xlpm.MyAuditVal&lt;&gt;"",UPPER(_xlpm.MyAuditVal),_xlpm.MacVal&lt;&gt;"",_xlpm.MacVal,_xlpm.CSVVal&lt;&gt;"",_xlpm.CSVVal
)),"")</f>
        <v/>
      </c>
      <c r="D173" s="55" t="str">
        <f>_xlfn.XLOOKUP(A173,My_Audit!A:A,My_Audit!D:D,"")&amp;""</f>
        <v/>
      </c>
      <c r="E173" s="55" t="str" cm="1">
        <f t="array" ref="E173">IFERROR(_xlfn.LET(
_xlpm.CSVVal,_xlfn.XLOOKUP($A173,CSV!$A:$A,CSV!D:D,""),
_xlpm.MacVal,_xlfn.XLOOKUP($A173,Output_Mac!$A:$A,Output_Mac!C:C,""),
_xlpm.MyAuditVal,_xlfn.XLOOKUP($A173,My_Audit!$A:$A,My_Audit!D:D,""),
_xlfn.IFS(_xlpm.MyAuditVal&lt;&gt;"",_xlpm.MyAuditVal,_xlpm.MacVal&lt;&gt;"",_xlpm.MacVal,_xlpm.CSVVal&lt;&gt;"",_xlpm.CSVVal
)),"")</f>
        <v/>
      </c>
      <c r="F173" s="54" t="str" cm="1">
        <f t="array" ref="F173">IFERROR(_xlfn.LET(
_xlpm.CSVVal,_xlfn.XLOOKUP($A173,CSV!$A:$A,CSV!E:E,""),
_xlpm.MacVal,_xlfn.XLOOKUP($A173,Output_Mac!$A:$A,Output_Mac!F:F,""),
_xlpm.MyAuditVal,_xlfn.XLOOKUP($A173,My_Audit!$A:$A,My_Audit!E:E,""),
_xlfn.IFS(_xlpm.MyAuditVal&lt;&gt;"",_xlpm.MyAuditVal,_xlpm.MacVal&lt;&gt;"",_xlpm.MacVal,_xlpm.CSVVal&lt;&gt;"",PROPER(_xlpm.CSVVal)
)),"")</f>
        <v/>
      </c>
      <c r="G173" s="54" t="str" cm="1">
        <f t="array" ref="G173">IFERROR(_xlfn.LET(
_xlpm.CSVVal,_xlfn.XLOOKUP($A173,CSV!$A:$A,CSV!F:F,""),
_xlpm.MacVal,_xlfn.XLOOKUP($A173,Output_Mac!$A:$A,Output_Mac!H:H,""),
_xlpm.MyAuditVal,_xlfn.XLOOKUP($A173,My_Audit!$A:$A,My_Audit!F:F,""),
_xlfn.IFS(_xlpm.MyAuditVal&lt;&gt;"",_xlpm.MyAuditVal,_xlpm.MacVal&lt;&gt;"",_xlpm.MacVal,_xlpm.CSVVal&lt;&gt;"",_xlpm.CSVVal
)),"")</f>
        <v/>
      </c>
      <c r="H173" s="54" t="str">
        <f>_xlfn.XLOOKUP(A173,Output_Mac!A:A,Output_Mac!I:I,"")</f>
        <v/>
      </c>
      <c r="I173" s="54" t="str" cm="1">
        <f t="array" ref="I173">IFERROR(_xlfn.LET(
_xlpm.CSVVal,_xlfn.XLOOKUP($A173,CSV!$A:$A,CSV!G:G,""),
_xlpm.MacVal,_xlfn.XLOOKUP($A173,Output_Mac!$A:$A,Output_Mac!J:J,""),
_xlpm.MyAuditVal,_xlfn.XLOOKUP($A173,My_Audit!$A:$A,My_Audit!H:H,""),
_xlfn.IFS(_xlpm.MyAuditVal&lt;&gt;"",UPPER(_xlpm.MyAuditVal),_xlpm.MacVal&lt;&gt;"",_xlpm.MacVal,_xlpm.CSVVal&lt;&gt;"",_xlpm.CSVVal
)),"")</f>
        <v/>
      </c>
      <c r="J173" s="54" t="str" cm="1">
        <f t="array" ref="J173">IFERROR(_xlfn.LET(
_xlpm.CSVVal,_xlfn.XLOOKUP($A173,CSV!$A:$A,CSV!I:I,""),
_xlpm.MacVal,_xlfn.XLOOKUP($A173,Output_Mac!$A:$A,Output_Mac!K:K,""),
_xlpm.MyAuditVal,_xlfn.XLOOKUP($A173,My_Audit!$A:$A,My_Audit!I:I,""),
_xlfn.IFS(_xlpm.MyAuditVal&lt;&gt;"",UPPER(_xlpm.MyAuditVal),_xlpm.MacVal&lt;&gt;"",_xlpm.MacVal,_xlpm.CSVVal&lt;&gt;"",_xlpm.CSVVal
)),"")</f>
        <v/>
      </c>
      <c r="K173" s="54" t="str" cm="1">
        <f t="array" ref="K173">IFERROR(_xlfn.LET(
_xlpm.CSVVal,_xlfn.XLOOKUP($A173,CSV!$A:$A,CSV!M:M,""),
_xlpm.MacVal,_xlfn.XLOOKUP($A173,Output_Mac!$A:$A,Output_Mac!L:L,""),
_xlpm.MyAuditVal,_xlfn.XLOOKUP($A173,My_Audit!$A:$A,My_Audit!J:J,""),
_xlfn.IFS(_xlpm.MyAuditVal&lt;&gt;"",UPPER(_xlpm.MyAuditVal),_xlpm.MacVal&lt;&gt;"",_xlpm.MacVal,_xlpm.CSVVal&lt;&gt;"",_xlpm.CSVVal
)),"")</f>
        <v/>
      </c>
      <c r="L173" s="55" t="str" cm="1">
        <f t="array" ref="L173">IFERROR(_xlfn.LET(
_xlpm.CSVVal,_xlfn.XLOOKUP($A173,CSV!$A:$A,CSV!P:P,""),
_xlpm.MacVal,_xlfn.XLOOKUP($A173,Output_Mac!$A:$A,Output_Mac!M:M,""),
_xlpm.MyAuditVal,_xlfn.XLOOKUP($A173,My_Audit!$A:$A,My_Audit!K:K,""),
_xlfn.IFS(_xlpm.MyAuditVal&lt;&gt;"",UPPER(_xlpm.MyAuditVal),_xlpm.MacVal&lt;&gt;"",_xlpm.MacVal,_xlpm.CSVVal&lt;&gt;"",_xlpm.CSVVal
)),"")</f>
        <v/>
      </c>
      <c r="M173" s="54" t="str">
        <f>_xlfn.LET(
    _xlpm.CSVVal, _xlfn.XLOOKUP($A173, CSV!$A:$A, CSV!AD:AD, ""),
    _xlpm.MacVal, _xlfn.XLOOKUP($A173, Output_Mac!$A:$A, Output_Mac!S:S, ""),
    _xlpm.MyAuditVal, _xlfn.XLOOKUP($A173, My_Audit!$A:$A, My_Audit!N:N, ""),
    _xlfn.TEXTJOIN(", ", TRUE, _xlpm.MyAuditVal, _xlpm.MacVal, _xlpm.CSVVal)
)</f>
        <v/>
      </c>
      <c r="N173" s="54" t="str" cm="1">
        <f t="array" ref="N173">IFERROR(_xlfn.LET(
_xlpm.CSVVal,_xlfn.XLOOKUP($A173,CSV!$A:$A,CSV!AF:AF,""),
_xlpm.MacVal,_xlfn.XLOOKUP($A173,Output_Mac!$A:$A,Output_Mac!U:U,""),
_xlpm.MyAuditVal,_xlfn.XLOOKUP($A173,My_Audit!$A:$A,My_Audit!O:O,""),
_xlfn.IFS(_xlpm.MyAuditVal&lt;&gt;"",UPPER(_xlpm.MyAuditVal),_xlpm.MacVal&lt;&gt;"",_xlpm.MacVal,_xlpm.CSVVal&lt;&gt;"",_xlpm.CSVVal
)),"")</f>
        <v/>
      </c>
      <c r="O173" s="54"/>
      <c r="P173" s="54"/>
      <c r="Q173" s="54"/>
      <c r="R173" s="54"/>
      <c r="S173" s="54"/>
      <c r="T173" s="54"/>
      <c r="U173" s="39"/>
    </row>
    <row r="174" spans="1:21">
      <c r="A174" s="54" t="str">
        <f>_xlfn.TEXTJOIN("",TRUE,Input!$B$2,ROW(My_Audit!A173))</f>
        <v>XX173</v>
      </c>
      <c r="B174" s="54" t="str">
        <f>_xlfn.TEXTJOIN("-",TRUE,"ITD",Input!$A$2,A174)</f>
        <v>ITD-SHRXXX-XX173</v>
      </c>
      <c r="C174" s="54" t="str" cm="1">
        <f t="array" ref="C174">IFERROR(_xlfn.LET(
_xlpm.CSVVal,_xlfn.XLOOKUP($A174,CSV!$A:$A,CSV!B:B,""),
_xlpm.MacVal,_xlfn.XLOOKUP($A174,Output_Mac!$A:$A,Output_Mac!B:B,""),
_xlpm.MyAuditVal,_xlfn.XLOOKUP($A174,My_Audit!$A:$A,My_Audit!B:B,""),
_xlfn.IFS(_xlpm.MyAuditVal&lt;&gt;"",UPPER(_xlpm.MyAuditVal),_xlpm.MacVal&lt;&gt;"",_xlpm.MacVal,_xlpm.CSVVal&lt;&gt;"",_xlpm.CSVVal
)),"")</f>
        <v/>
      </c>
      <c r="D174" s="55" t="str">
        <f>_xlfn.XLOOKUP(A174,My_Audit!A:A,My_Audit!D:D,"")&amp;""</f>
        <v/>
      </c>
      <c r="E174" s="55" t="str" cm="1">
        <f t="array" ref="E174">IFERROR(_xlfn.LET(
_xlpm.CSVVal,_xlfn.XLOOKUP($A174,CSV!$A:$A,CSV!D:D,""),
_xlpm.MacVal,_xlfn.XLOOKUP($A174,Output_Mac!$A:$A,Output_Mac!C:C,""),
_xlpm.MyAuditVal,_xlfn.XLOOKUP($A174,My_Audit!$A:$A,My_Audit!D:D,""),
_xlfn.IFS(_xlpm.MyAuditVal&lt;&gt;"",_xlpm.MyAuditVal,_xlpm.MacVal&lt;&gt;"",_xlpm.MacVal,_xlpm.CSVVal&lt;&gt;"",_xlpm.CSVVal
)),"")</f>
        <v/>
      </c>
      <c r="F174" s="54" t="str" cm="1">
        <f t="array" ref="F174">IFERROR(_xlfn.LET(
_xlpm.CSVVal,_xlfn.XLOOKUP($A174,CSV!$A:$A,CSV!E:E,""),
_xlpm.MacVal,_xlfn.XLOOKUP($A174,Output_Mac!$A:$A,Output_Mac!F:F,""),
_xlpm.MyAuditVal,_xlfn.XLOOKUP($A174,My_Audit!$A:$A,My_Audit!E:E,""),
_xlfn.IFS(_xlpm.MyAuditVal&lt;&gt;"",_xlpm.MyAuditVal,_xlpm.MacVal&lt;&gt;"",_xlpm.MacVal,_xlpm.CSVVal&lt;&gt;"",PROPER(_xlpm.CSVVal)
)),"")</f>
        <v/>
      </c>
      <c r="G174" s="54" t="str" cm="1">
        <f t="array" ref="G174">IFERROR(_xlfn.LET(
_xlpm.CSVVal,_xlfn.XLOOKUP($A174,CSV!$A:$A,CSV!F:F,""),
_xlpm.MacVal,_xlfn.XLOOKUP($A174,Output_Mac!$A:$A,Output_Mac!H:H,""),
_xlpm.MyAuditVal,_xlfn.XLOOKUP($A174,My_Audit!$A:$A,My_Audit!F:F,""),
_xlfn.IFS(_xlpm.MyAuditVal&lt;&gt;"",_xlpm.MyAuditVal,_xlpm.MacVal&lt;&gt;"",_xlpm.MacVal,_xlpm.CSVVal&lt;&gt;"",_xlpm.CSVVal
)),"")</f>
        <v/>
      </c>
      <c r="H174" s="54" t="str">
        <f>_xlfn.XLOOKUP(A174,Output_Mac!A:A,Output_Mac!I:I,"")</f>
        <v/>
      </c>
      <c r="I174" s="54" t="str" cm="1">
        <f t="array" ref="I174">IFERROR(_xlfn.LET(
_xlpm.CSVVal,_xlfn.XLOOKUP($A174,CSV!$A:$A,CSV!G:G,""),
_xlpm.MacVal,_xlfn.XLOOKUP($A174,Output_Mac!$A:$A,Output_Mac!J:J,""),
_xlpm.MyAuditVal,_xlfn.XLOOKUP($A174,My_Audit!$A:$A,My_Audit!H:H,""),
_xlfn.IFS(_xlpm.MyAuditVal&lt;&gt;"",UPPER(_xlpm.MyAuditVal),_xlpm.MacVal&lt;&gt;"",_xlpm.MacVal,_xlpm.CSVVal&lt;&gt;"",_xlpm.CSVVal
)),"")</f>
        <v/>
      </c>
      <c r="J174" s="54" t="str" cm="1">
        <f t="array" ref="J174">IFERROR(_xlfn.LET(
_xlpm.CSVVal,_xlfn.XLOOKUP($A174,CSV!$A:$A,CSV!I:I,""),
_xlpm.MacVal,_xlfn.XLOOKUP($A174,Output_Mac!$A:$A,Output_Mac!K:K,""),
_xlpm.MyAuditVal,_xlfn.XLOOKUP($A174,My_Audit!$A:$A,My_Audit!I:I,""),
_xlfn.IFS(_xlpm.MyAuditVal&lt;&gt;"",UPPER(_xlpm.MyAuditVal),_xlpm.MacVal&lt;&gt;"",_xlpm.MacVal,_xlpm.CSVVal&lt;&gt;"",_xlpm.CSVVal
)),"")</f>
        <v/>
      </c>
      <c r="K174" s="54" t="str" cm="1">
        <f t="array" ref="K174">IFERROR(_xlfn.LET(
_xlpm.CSVVal,_xlfn.XLOOKUP($A174,CSV!$A:$A,CSV!M:M,""),
_xlpm.MacVal,_xlfn.XLOOKUP($A174,Output_Mac!$A:$A,Output_Mac!L:L,""),
_xlpm.MyAuditVal,_xlfn.XLOOKUP($A174,My_Audit!$A:$A,My_Audit!J:J,""),
_xlfn.IFS(_xlpm.MyAuditVal&lt;&gt;"",UPPER(_xlpm.MyAuditVal),_xlpm.MacVal&lt;&gt;"",_xlpm.MacVal,_xlpm.CSVVal&lt;&gt;"",_xlpm.CSVVal
)),"")</f>
        <v/>
      </c>
      <c r="L174" s="55" t="str" cm="1">
        <f t="array" ref="L174">IFERROR(_xlfn.LET(
_xlpm.CSVVal,_xlfn.XLOOKUP($A174,CSV!$A:$A,CSV!P:P,""),
_xlpm.MacVal,_xlfn.XLOOKUP($A174,Output_Mac!$A:$A,Output_Mac!M:M,""),
_xlpm.MyAuditVal,_xlfn.XLOOKUP($A174,My_Audit!$A:$A,My_Audit!K:K,""),
_xlfn.IFS(_xlpm.MyAuditVal&lt;&gt;"",UPPER(_xlpm.MyAuditVal),_xlpm.MacVal&lt;&gt;"",_xlpm.MacVal,_xlpm.CSVVal&lt;&gt;"",_xlpm.CSVVal
)),"")</f>
        <v/>
      </c>
      <c r="M174" s="54" t="str">
        <f>_xlfn.LET(
    _xlpm.CSVVal, _xlfn.XLOOKUP($A174, CSV!$A:$A, CSV!AD:AD, ""),
    _xlpm.MacVal, _xlfn.XLOOKUP($A174, Output_Mac!$A:$A, Output_Mac!S:S, ""),
    _xlpm.MyAuditVal, _xlfn.XLOOKUP($A174, My_Audit!$A:$A, My_Audit!N:N, ""),
    _xlfn.TEXTJOIN(", ", TRUE, _xlpm.MyAuditVal, _xlpm.MacVal, _xlpm.CSVVal)
)</f>
        <v/>
      </c>
      <c r="N174" s="54" t="str" cm="1">
        <f t="array" ref="N174">IFERROR(_xlfn.LET(
_xlpm.CSVVal,_xlfn.XLOOKUP($A174,CSV!$A:$A,CSV!AF:AF,""),
_xlpm.MacVal,_xlfn.XLOOKUP($A174,Output_Mac!$A:$A,Output_Mac!U:U,""),
_xlpm.MyAuditVal,_xlfn.XLOOKUP($A174,My_Audit!$A:$A,My_Audit!O:O,""),
_xlfn.IFS(_xlpm.MyAuditVal&lt;&gt;"",UPPER(_xlpm.MyAuditVal),_xlpm.MacVal&lt;&gt;"",_xlpm.MacVal,_xlpm.CSVVal&lt;&gt;"",_xlpm.CSVVal
)),"")</f>
        <v/>
      </c>
      <c r="O174" s="54"/>
      <c r="P174" s="54"/>
      <c r="Q174" s="54"/>
      <c r="R174" s="54"/>
      <c r="S174" s="54"/>
      <c r="T174" s="54"/>
      <c r="U174" s="39"/>
    </row>
    <row r="175" spans="1:21">
      <c r="A175" s="54" t="str">
        <f>_xlfn.TEXTJOIN("",TRUE,Input!$B$2,ROW(My_Audit!A174))</f>
        <v>XX174</v>
      </c>
      <c r="B175" s="54" t="str">
        <f>_xlfn.TEXTJOIN("-",TRUE,"ITD",Input!$A$2,A175)</f>
        <v>ITD-SHRXXX-XX174</v>
      </c>
      <c r="C175" s="54" t="str" cm="1">
        <f t="array" ref="C175">IFERROR(_xlfn.LET(
_xlpm.CSVVal,_xlfn.XLOOKUP($A175,CSV!$A:$A,CSV!B:B,""),
_xlpm.MacVal,_xlfn.XLOOKUP($A175,Output_Mac!$A:$A,Output_Mac!B:B,""),
_xlpm.MyAuditVal,_xlfn.XLOOKUP($A175,My_Audit!$A:$A,My_Audit!B:B,""),
_xlfn.IFS(_xlpm.MyAuditVal&lt;&gt;"",UPPER(_xlpm.MyAuditVal),_xlpm.MacVal&lt;&gt;"",_xlpm.MacVal,_xlpm.CSVVal&lt;&gt;"",_xlpm.CSVVal
)),"")</f>
        <v/>
      </c>
      <c r="D175" s="55" t="str">
        <f>_xlfn.XLOOKUP(A175,My_Audit!A:A,My_Audit!D:D,"")&amp;""</f>
        <v/>
      </c>
      <c r="E175" s="55" t="str" cm="1">
        <f t="array" ref="E175">IFERROR(_xlfn.LET(
_xlpm.CSVVal,_xlfn.XLOOKUP($A175,CSV!$A:$A,CSV!D:D,""),
_xlpm.MacVal,_xlfn.XLOOKUP($A175,Output_Mac!$A:$A,Output_Mac!C:C,""),
_xlpm.MyAuditVal,_xlfn.XLOOKUP($A175,My_Audit!$A:$A,My_Audit!D:D,""),
_xlfn.IFS(_xlpm.MyAuditVal&lt;&gt;"",_xlpm.MyAuditVal,_xlpm.MacVal&lt;&gt;"",_xlpm.MacVal,_xlpm.CSVVal&lt;&gt;"",_xlpm.CSVVal
)),"")</f>
        <v/>
      </c>
      <c r="F175" s="54" t="str" cm="1">
        <f t="array" ref="F175">IFERROR(_xlfn.LET(
_xlpm.CSVVal,_xlfn.XLOOKUP($A175,CSV!$A:$A,CSV!E:E,""),
_xlpm.MacVal,_xlfn.XLOOKUP($A175,Output_Mac!$A:$A,Output_Mac!F:F,""),
_xlpm.MyAuditVal,_xlfn.XLOOKUP($A175,My_Audit!$A:$A,My_Audit!E:E,""),
_xlfn.IFS(_xlpm.MyAuditVal&lt;&gt;"",_xlpm.MyAuditVal,_xlpm.MacVal&lt;&gt;"",_xlpm.MacVal,_xlpm.CSVVal&lt;&gt;"",PROPER(_xlpm.CSVVal)
)),"")</f>
        <v/>
      </c>
      <c r="G175" s="54" t="str" cm="1">
        <f t="array" ref="G175">IFERROR(_xlfn.LET(
_xlpm.CSVVal,_xlfn.XLOOKUP($A175,CSV!$A:$A,CSV!F:F,""),
_xlpm.MacVal,_xlfn.XLOOKUP($A175,Output_Mac!$A:$A,Output_Mac!H:H,""),
_xlpm.MyAuditVal,_xlfn.XLOOKUP($A175,My_Audit!$A:$A,My_Audit!F:F,""),
_xlfn.IFS(_xlpm.MyAuditVal&lt;&gt;"",_xlpm.MyAuditVal,_xlpm.MacVal&lt;&gt;"",_xlpm.MacVal,_xlpm.CSVVal&lt;&gt;"",_xlpm.CSVVal
)),"")</f>
        <v/>
      </c>
      <c r="H175" s="54" t="str">
        <f>_xlfn.XLOOKUP(A175,Output_Mac!A:A,Output_Mac!I:I,"")</f>
        <v/>
      </c>
      <c r="I175" s="54" t="str" cm="1">
        <f t="array" ref="I175">IFERROR(_xlfn.LET(
_xlpm.CSVVal,_xlfn.XLOOKUP($A175,CSV!$A:$A,CSV!G:G,""),
_xlpm.MacVal,_xlfn.XLOOKUP($A175,Output_Mac!$A:$A,Output_Mac!J:J,""),
_xlpm.MyAuditVal,_xlfn.XLOOKUP($A175,My_Audit!$A:$A,My_Audit!H:H,""),
_xlfn.IFS(_xlpm.MyAuditVal&lt;&gt;"",UPPER(_xlpm.MyAuditVal),_xlpm.MacVal&lt;&gt;"",_xlpm.MacVal,_xlpm.CSVVal&lt;&gt;"",_xlpm.CSVVal
)),"")</f>
        <v/>
      </c>
      <c r="J175" s="54" t="str" cm="1">
        <f t="array" ref="J175">IFERROR(_xlfn.LET(
_xlpm.CSVVal,_xlfn.XLOOKUP($A175,CSV!$A:$A,CSV!I:I,""),
_xlpm.MacVal,_xlfn.XLOOKUP($A175,Output_Mac!$A:$A,Output_Mac!K:K,""),
_xlpm.MyAuditVal,_xlfn.XLOOKUP($A175,My_Audit!$A:$A,My_Audit!I:I,""),
_xlfn.IFS(_xlpm.MyAuditVal&lt;&gt;"",UPPER(_xlpm.MyAuditVal),_xlpm.MacVal&lt;&gt;"",_xlpm.MacVal,_xlpm.CSVVal&lt;&gt;"",_xlpm.CSVVal
)),"")</f>
        <v/>
      </c>
      <c r="K175" s="54" t="str" cm="1">
        <f t="array" ref="K175">IFERROR(_xlfn.LET(
_xlpm.CSVVal,_xlfn.XLOOKUP($A175,CSV!$A:$A,CSV!M:M,""),
_xlpm.MacVal,_xlfn.XLOOKUP($A175,Output_Mac!$A:$A,Output_Mac!L:L,""),
_xlpm.MyAuditVal,_xlfn.XLOOKUP($A175,My_Audit!$A:$A,My_Audit!J:J,""),
_xlfn.IFS(_xlpm.MyAuditVal&lt;&gt;"",UPPER(_xlpm.MyAuditVal),_xlpm.MacVal&lt;&gt;"",_xlpm.MacVal,_xlpm.CSVVal&lt;&gt;"",_xlpm.CSVVal
)),"")</f>
        <v/>
      </c>
      <c r="L175" s="55" t="str" cm="1">
        <f t="array" ref="L175">IFERROR(_xlfn.LET(
_xlpm.CSVVal,_xlfn.XLOOKUP($A175,CSV!$A:$A,CSV!P:P,""),
_xlpm.MacVal,_xlfn.XLOOKUP($A175,Output_Mac!$A:$A,Output_Mac!M:M,""),
_xlpm.MyAuditVal,_xlfn.XLOOKUP($A175,My_Audit!$A:$A,My_Audit!K:K,""),
_xlfn.IFS(_xlpm.MyAuditVal&lt;&gt;"",UPPER(_xlpm.MyAuditVal),_xlpm.MacVal&lt;&gt;"",_xlpm.MacVal,_xlpm.CSVVal&lt;&gt;"",_xlpm.CSVVal
)),"")</f>
        <v/>
      </c>
      <c r="M175" s="54" t="str">
        <f>_xlfn.LET(
    _xlpm.CSVVal, _xlfn.XLOOKUP($A175, CSV!$A:$A, CSV!AD:AD, ""),
    _xlpm.MacVal, _xlfn.XLOOKUP($A175, Output_Mac!$A:$A, Output_Mac!S:S, ""),
    _xlpm.MyAuditVal, _xlfn.XLOOKUP($A175, My_Audit!$A:$A, My_Audit!N:N, ""),
    _xlfn.TEXTJOIN(", ", TRUE, _xlpm.MyAuditVal, _xlpm.MacVal, _xlpm.CSVVal)
)</f>
        <v/>
      </c>
      <c r="N175" s="54" t="str" cm="1">
        <f t="array" ref="N175">IFERROR(_xlfn.LET(
_xlpm.CSVVal,_xlfn.XLOOKUP($A175,CSV!$A:$A,CSV!AF:AF,""),
_xlpm.MacVal,_xlfn.XLOOKUP($A175,Output_Mac!$A:$A,Output_Mac!U:U,""),
_xlpm.MyAuditVal,_xlfn.XLOOKUP($A175,My_Audit!$A:$A,My_Audit!O:O,""),
_xlfn.IFS(_xlpm.MyAuditVal&lt;&gt;"",UPPER(_xlpm.MyAuditVal),_xlpm.MacVal&lt;&gt;"",_xlpm.MacVal,_xlpm.CSVVal&lt;&gt;"",_xlpm.CSVVal
)),"")</f>
        <v/>
      </c>
      <c r="O175" s="54"/>
      <c r="P175" s="54"/>
      <c r="Q175" s="54"/>
      <c r="R175" s="54"/>
      <c r="S175" s="54"/>
      <c r="T175" s="54"/>
      <c r="U175" s="39"/>
    </row>
    <row r="176" spans="1:21">
      <c r="A176" s="54" t="str">
        <f>_xlfn.TEXTJOIN("",TRUE,Input!$B$2,ROW(My_Audit!A175))</f>
        <v>XX175</v>
      </c>
      <c r="B176" s="54" t="str">
        <f>_xlfn.TEXTJOIN("-",TRUE,"ITD",Input!$A$2,A176)</f>
        <v>ITD-SHRXXX-XX175</v>
      </c>
      <c r="C176" s="54" t="str" cm="1">
        <f t="array" ref="C176">IFERROR(_xlfn.LET(
_xlpm.CSVVal,_xlfn.XLOOKUP($A176,CSV!$A:$A,CSV!B:B,""),
_xlpm.MacVal,_xlfn.XLOOKUP($A176,Output_Mac!$A:$A,Output_Mac!B:B,""),
_xlpm.MyAuditVal,_xlfn.XLOOKUP($A176,My_Audit!$A:$A,My_Audit!B:B,""),
_xlfn.IFS(_xlpm.MyAuditVal&lt;&gt;"",UPPER(_xlpm.MyAuditVal),_xlpm.MacVal&lt;&gt;"",_xlpm.MacVal,_xlpm.CSVVal&lt;&gt;"",_xlpm.CSVVal
)),"")</f>
        <v/>
      </c>
      <c r="D176" s="55" t="str">
        <f>_xlfn.XLOOKUP(A176,My_Audit!A:A,My_Audit!D:D,"")&amp;""</f>
        <v/>
      </c>
      <c r="E176" s="55" t="str" cm="1">
        <f t="array" ref="E176">IFERROR(_xlfn.LET(
_xlpm.CSVVal,_xlfn.XLOOKUP($A176,CSV!$A:$A,CSV!D:D,""),
_xlpm.MacVal,_xlfn.XLOOKUP($A176,Output_Mac!$A:$A,Output_Mac!C:C,""),
_xlpm.MyAuditVal,_xlfn.XLOOKUP($A176,My_Audit!$A:$A,My_Audit!D:D,""),
_xlfn.IFS(_xlpm.MyAuditVal&lt;&gt;"",_xlpm.MyAuditVal,_xlpm.MacVal&lt;&gt;"",_xlpm.MacVal,_xlpm.CSVVal&lt;&gt;"",_xlpm.CSVVal
)),"")</f>
        <v/>
      </c>
      <c r="F176" s="54" t="str" cm="1">
        <f t="array" ref="F176">IFERROR(_xlfn.LET(
_xlpm.CSVVal,_xlfn.XLOOKUP($A176,CSV!$A:$A,CSV!E:E,""),
_xlpm.MacVal,_xlfn.XLOOKUP($A176,Output_Mac!$A:$A,Output_Mac!F:F,""),
_xlpm.MyAuditVal,_xlfn.XLOOKUP($A176,My_Audit!$A:$A,My_Audit!E:E,""),
_xlfn.IFS(_xlpm.MyAuditVal&lt;&gt;"",_xlpm.MyAuditVal,_xlpm.MacVal&lt;&gt;"",_xlpm.MacVal,_xlpm.CSVVal&lt;&gt;"",PROPER(_xlpm.CSVVal)
)),"")</f>
        <v/>
      </c>
      <c r="G176" s="54" t="str" cm="1">
        <f t="array" ref="G176">IFERROR(_xlfn.LET(
_xlpm.CSVVal,_xlfn.XLOOKUP($A176,CSV!$A:$A,CSV!F:F,""),
_xlpm.MacVal,_xlfn.XLOOKUP($A176,Output_Mac!$A:$A,Output_Mac!H:H,""),
_xlpm.MyAuditVal,_xlfn.XLOOKUP($A176,My_Audit!$A:$A,My_Audit!F:F,""),
_xlfn.IFS(_xlpm.MyAuditVal&lt;&gt;"",_xlpm.MyAuditVal,_xlpm.MacVal&lt;&gt;"",_xlpm.MacVal,_xlpm.CSVVal&lt;&gt;"",_xlpm.CSVVal
)),"")</f>
        <v/>
      </c>
      <c r="H176" s="54" t="str">
        <f>_xlfn.XLOOKUP(A176,Output_Mac!A:A,Output_Mac!I:I,"")</f>
        <v/>
      </c>
      <c r="I176" s="54" t="str" cm="1">
        <f t="array" ref="I176">IFERROR(_xlfn.LET(
_xlpm.CSVVal,_xlfn.XLOOKUP($A176,CSV!$A:$A,CSV!G:G,""),
_xlpm.MacVal,_xlfn.XLOOKUP($A176,Output_Mac!$A:$A,Output_Mac!J:J,""),
_xlpm.MyAuditVal,_xlfn.XLOOKUP($A176,My_Audit!$A:$A,My_Audit!H:H,""),
_xlfn.IFS(_xlpm.MyAuditVal&lt;&gt;"",UPPER(_xlpm.MyAuditVal),_xlpm.MacVal&lt;&gt;"",_xlpm.MacVal,_xlpm.CSVVal&lt;&gt;"",_xlpm.CSVVal
)),"")</f>
        <v/>
      </c>
      <c r="J176" s="54" t="str" cm="1">
        <f t="array" ref="J176">IFERROR(_xlfn.LET(
_xlpm.CSVVal,_xlfn.XLOOKUP($A176,CSV!$A:$A,CSV!I:I,""),
_xlpm.MacVal,_xlfn.XLOOKUP($A176,Output_Mac!$A:$A,Output_Mac!K:K,""),
_xlpm.MyAuditVal,_xlfn.XLOOKUP($A176,My_Audit!$A:$A,My_Audit!I:I,""),
_xlfn.IFS(_xlpm.MyAuditVal&lt;&gt;"",UPPER(_xlpm.MyAuditVal),_xlpm.MacVal&lt;&gt;"",_xlpm.MacVal,_xlpm.CSVVal&lt;&gt;"",_xlpm.CSVVal
)),"")</f>
        <v/>
      </c>
      <c r="K176" s="54" t="str" cm="1">
        <f t="array" ref="K176">IFERROR(_xlfn.LET(
_xlpm.CSVVal,_xlfn.XLOOKUP($A176,CSV!$A:$A,CSV!M:M,""),
_xlpm.MacVal,_xlfn.XLOOKUP($A176,Output_Mac!$A:$A,Output_Mac!L:L,""),
_xlpm.MyAuditVal,_xlfn.XLOOKUP($A176,My_Audit!$A:$A,My_Audit!J:J,""),
_xlfn.IFS(_xlpm.MyAuditVal&lt;&gt;"",UPPER(_xlpm.MyAuditVal),_xlpm.MacVal&lt;&gt;"",_xlpm.MacVal,_xlpm.CSVVal&lt;&gt;"",_xlpm.CSVVal
)),"")</f>
        <v/>
      </c>
      <c r="L176" s="55" t="str" cm="1">
        <f t="array" ref="L176">IFERROR(_xlfn.LET(
_xlpm.CSVVal,_xlfn.XLOOKUP($A176,CSV!$A:$A,CSV!P:P,""),
_xlpm.MacVal,_xlfn.XLOOKUP($A176,Output_Mac!$A:$A,Output_Mac!M:M,""),
_xlpm.MyAuditVal,_xlfn.XLOOKUP($A176,My_Audit!$A:$A,My_Audit!K:K,""),
_xlfn.IFS(_xlpm.MyAuditVal&lt;&gt;"",UPPER(_xlpm.MyAuditVal),_xlpm.MacVal&lt;&gt;"",_xlpm.MacVal,_xlpm.CSVVal&lt;&gt;"",_xlpm.CSVVal
)),"")</f>
        <v/>
      </c>
      <c r="M176" s="54" t="str">
        <f>_xlfn.LET(
    _xlpm.CSVVal, _xlfn.XLOOKUP($A176, CSV!$A:$A, CSV!AD:AD, ""),
    _xlpm.MacVal, _xlfn.XLOOKUP($A176, Output_Mac!$A:$A, Output_Mac!S:S, ""),
    _xlpm.MyAuditVal, _xlfn.XLOOKUP($A176, My_Audit!$A:$A, My_Audit!N:N, ""),
    _xlfn.TEXTJOIN(", ", TRUE, _xlpm.MyAuditVal, _xlpm.MacVal, _xlpm.CSVVal)
)</f>
        <v/>
      </c>
      <c r="N176" s="54" t="str" cm="1">
        <f t="array" ref="N176">IFERROR(_xlfn.LET(
_xlpm.CSVVal,_xlfn.XLOOKUP($A176,CSV!$A:$A,CSV!AF:AF,""),
_xlpm.MacVal,_xlfn.XLOOKUP($A176,Output_Mac!$A:$A,Output_Mac!U:U,""),
_xlpm.MyAuditVal,_xlfn.XLOOKUP($A176,My_Audit!$A:$A,My_Audit!O:O,""),
_xlfn.IFS(_xlpm.MyAuditVal&lt;&gt;"",UPPER(_xlpm.MyAuditVal),_xlpm.MacVal&lt;&gt;"",_xlpm.MacVal,_xlpm.CSVVal&lt;&gt;"",_xlpm.CSVVal
)),"")</f>
        <v/>
      </c>
      <c r="O176" s="54"/>
      <c r="P176" s="54"/>
      <c r="Q176" s="54"/>
      <c r="R176" s="54"/>
      <c r="S176" s="54"/>
      <c r="T176" s="54"/>
      <c r="U176" s="39"/>
    </row>
    <row r="177" spans="1:21">
      <c r="A177" s="54" t="str">
        <f>_xlfn.TEXTJOIN("",TRUE,Input!$B$2,ROW(My_Audit!A176))</f>
        <v>XX176</v>
      </c>
      <c r="B177" s="54" t="str">
        <f>_xlfn.TEXTJOIN("-",TRUE,"ITD",Input!$A$2,A177)</f>
        <v>ITD-SHRXXX-XX176</v>
      </c>
      <c r="C177" s="54" t="str" cm="1">
        <f t="array" ref="C177">IFERROR(_xlfn.LET(
_xlpm.CSVVal,_xlfn.XLOOKUP($A177,CSV!$A:$A,CSV!B:B,""),
_xlpm.MacVal,_xlfn.XLOOKUP($A177,Output_Mac!$A:$A,Output_Mac!B:B,""),
_xlpm.MyAuditVal,_xlfn.XLOOKUP($A177,My_Audit!$A:$A,My_Audit!B:B,""),
_xlfn.IFS(_xlpm.MyAuditVal&lt;&gt;"",UPPER(_xlpm.MyAuditVal),_xlpm.MacVal&lt;&gt;"",_xlpm.MacVal,_xlpm.CSVVal&lt;&gt;"",_xlpm.CSVVal
)),"")</f>
        <v/>
      </c>
      <c r="D177" s="55" t="str">
        <f>_xlfn.XLOOKUP(A177,My_Audit!A:A,My_Audit!D:D,"")&amp;""</f>
        <v/>
      </c>
      <c r="E177" s="55" t="str" cm="1">
        <f t="array" ref="E177">IFERROR(_xlfn.LET(
_xlpm.CSVVal,_xlfn.XLOOKUP($A177,CSV!$A:$A,CSV!D:D,""),
_xlpm.MacVal,_xlfn.XLOOKUP($A177,Output_Mac!$A:$A,Output_Mac!C:C,""),
_xlpm.MyAuditVal,_xlfn.XLOOKUP($A177,My_Audit!$A:$A,My_Audit!D:D,""),
_xlfn.IFS(_xlpm.MyAuditVal&lt;&gt;"",_xlpm.MyAuditVal,_xlpm.MacVal&lt;&gt;"",_xlpm.MacVal,_xlpm.CSVVal&lt;&gt;"",_xlpm.CSVVal
)),"")</f>
        <v/>
      </c>
      <c r="F177" s="54" t="str" cm="1">
        <f t="array" ref="F177">IFERROR(_xlfn.LET(
_xlpm.CSVVal,_xlfn.XLOOKUP($A177,CSV!$A:$A,CSV!E:E,""),
_xlpm.MacVal,_xlfn.XLOOKUP($A177,Output_Mac!$A:$A,Output_Mac!F:F,""),
_xlpm.MyAuditVal,_xlfn.XLOOKUP($A177,My_Audit!$A:$A,My_Audit!E:E,""),
_xlfn.IFS(_xlpm.MyAuditVal&lt;&gt;"",_xlpm.MyAuditVal,_xlpm.MacVal&lt;&gt;"",_xlpm.MacVal,_xlpm.CSVVal&lt;&gt;"",PROPER(_xlpm.CSVVal)
)),"")</f>
        <v/>
      </c>
      <c r="G177" s="54" t="str" cm="1">
        <f t="array" ref="G177">IFERROR(_xlfn.LET(
_xlpm.CSVVal,_xlfn.XLOOKUP($A177,CSV!$A:$A,CSV!F:F,""),
_xlpm.MacVal,_xlfn.XLOOKUP($A177,Output_Mac!$A:$A,Output_Mac!H:H,""),
_xlpm.MyAuditVal,_xlfn.XLOOKUP($A177,My_Audit!$A:$A,My_Audit!F:F,""),
_xlfn.IFS(_xlpm.MyAuditVal&lt;&gt;"",_xlpm.MyAuditVal,_xlpm.MacVal&lt;&gt;"",_xlpm.MacVal,_xlpm.CSVVal&lt;&gt;"",_xlpm.CSVVal
)),"")</f>
        <v/>
      </c>
      <c r="H177" s="54" t="str">
        <f>_xlfn.XLOOKUP(A177,Output_Mac!A:A,Output_Mac!I:I,"")</f>
        <v/>
      </c>
      <c r="I177" s="54" t="str" cm="1">
        <f t="array" ref="I177">IFERROR(_xlfn.LET(
_xlpm.CSVVal,_xlfn.XLOOKUP($A177,CSV!$A:$A,CSV!G:G,""),
_xlpm.MacVal,_xlfn.XLOOKUP($A177,Output_Mac!$A:$A,Output_Mac!J:J,""),
_xlpm.MyAuditVal,_xlfn.XLOOKUP($A177,My_Audit!$A:$A,My_Audit!H:H,""),
_xlfn.IFS(_xlpm.MyAuditVal&lt;&gt;"",UPPER(_xlpm.MyAuditVal),_xlpm.MacVal&lt;&gt;"",_xlpm.MacVal,_xlpm.CSVVal&lt;&gt;"",_xlpm.CSVVal
)),"")</f>
        <v/>
      </c>
      <c r="J177" s="54" t="str" cm="1">
        <f t="array" ref="J177">IFERROR(_xlfn.LET(
_xlpm.CSVVal,_xlfn.XLOOKUP($A177,CSV!$A:$A,CSV!I:I,""),
_xlpm.MacVal,_xlfn.XLOOKUP($A177,Output_Mac!$A:$A,Output_Mac!K:K,""),
_xlpm.MyAuditVal,_xlfn.XLOOKUP($A177,My_Audit!$A:$A,My_Audit!I:I,""),
_xlfn.IFS(_xlpm.MyAuditVal&lt;&gt;"",UPPER(_xlpm.MyAuditVal),_xlpm.MacVal&lt;&gt;"",_xlpm.MacVal,_xlpm.CSVVal&lt;&gt;"",_xlpm.CSVVal
)),"")</f>
        <v/>
      </c>
      <c r="K177" s="54" t="str" cm="1">
        <f t="array" ref="K177">IFERROR(_xlfn.LET(
_xlpm.CSVVal,_xlfn.XLOOKUP($A177,CSV!$A:$A,CSV!M:M,""),
_xlpm.MacVal,_xlfn.XLOOKUP($A177,Output_Mac!$A:$A,Output_Mac!L:L,""),
_xlpm.MyAuditVal,_xlfn.XLOOKUP($A177,My_Audit!$A:$A,My_Audit!J:J,""),
_xlfn.IFS(_xlpm.MyAuditVal&lt;&gt;"",UPPER(_xlpm.MyAuditVal),_xlpm.MacVal&lt;&gt;"",_xlpm.MacVal,_xlpm.CSVVal&lt;&gt;"",_xlpm.CSVVal
)),"")</f>
        <v/>
      </c>
      <c r="L177" s="55" t="str" cm="1">
        <f t="array" ref="L177">IFERROR(_xlfn.LET(
_xlpm.CSVVal,_xlfn.XLOOKUP($A177,CSV!$A:$A,CSV!P:P,""),
_xlpm.MacVal,_xlfn.XLOOKUP($A177,Output_Mac!$A:$A,Output_Mac!M:M,""),
_xlpm.MyAuditVal,_xlfn.XLOOKUP($A177,My_Audit!$A:$A,My_Audit!K:K,""),
_xlfn.IFS(_xlpm.MyAuditVal&lt;&gt;"",UPPER(_xlpm.MyAuditVal),_xlpm.MacVal&lt;&gt;"",_xlpm.MacVal,_xlpm.CSVVal&lt;&gt;"",_xlpm.CSVVal
)),"")</f>
        <v/>
      </c>
      <c r="M177" s="54" t="str">
        <f>_xlfn.LET(
    _xlpm.CSVVal, _xlfn.XLOOKUP($A177, CSV!$A:$A, CSV!AD:AD, ""),
    _xlpm.MacVal, _xlfn.XLOOKUP($A177, Output_Mac!$A:$A, Output_Mac!S:S, ""),
    _xlpm.MyAuditVal, _xlfn.XLOOKUP($A177, My_Audit!$A:$A, My_Audit!N:N, ""),
    _xlfn.TEXTJOIN(", ", TRUE, _xlpm.MyAuditVal, _xlpm.MacVal, _xlpm.CSVVal)
)</f>
        <v/>
      </c>
      <c r="N177" s="54" t="str" cm="1">
        <f t="array" ref="N177">IFERROR(_xlfn.LET(
_xlpm.CSVVal,_xlfn.XLOOKUP($A177,CSV!$A:$A,CSV!AF:AF,""),
_xlpm.MacVal,_xlfn.XLOOKUP($A177,Output_Mac!$A:$A,Output_Mac!U:U,""),
_xlpm.MyAuditVal,_xlfn.XLOOKUP($A177,My_Audit!$A:$A,My_Audit!O:O,""),
_xlfn.IFS(_xlpm.MyAuditVal&lt;&gt;"",UPPER(_xlpm.MyAuditVal),_xlpm.MacVal&lt;&gt;"",_xlpm.MacVal,_xlpm.CSVVal&lt;&gt;"",_xlpm.CSVVal
)),"")</f>
        <v/>
      </c>
      <c r="O177" s="54"/>
      <c r="P177" s="54"/>
      <c r="Q177" s="54"/>
      <c r="R177" s="54"/>
      <c r="S177" s="54"/>
      <c r="T177" s="54"/>
      <c r="U177" s="39"/>
    </row>
    <row r="178" spans="1:21">
      <c r="A178" s="54" t="str">
        <f>_xlfn.TEXTJOIN("",TRUE,Input!$B$2,ROW(My_Audit!A177))</f>
        <v>XX177</v>
      </c>
      <c r="B178" s="54" t="str">
        <f>_xlfn.TEXTJOIN("-",TRUE,"ITD",Input!$A$2,A178)</f>
        <v>ITD-SHRXXX-XX177</v>
      </c>
      <c r="C178" s="54" t="str" cm="1">
        <f t="array" ref="C178">IFERROR(_xlfn.LET(
_xlpm.CSVVal,_xlfn.XLOOKUP($A178,CSV!$A:$A,CSV!B:B,""),
_xlpm.MacVal,_xlfn.XLOOKUP($A178,Output_Mac!$A:$A,Output_Mac!B:B,""),
_xlpm.MyAuditVal,_xlfn.XLOOKUP($A178,My_Audit!$A:$A,My_Audit!B:B,""),
_xlfn.IFS(_xlpm.MyAuditVal&lt;&gt;"",UPPER(_xlpm.MyAuditVal),_xlpm.MacVal&lt;&gt;"",_xlpm.MacVal,_xlpm.CSVVal&lt;&gt;"",_xlpm.CSVVal
)),"")</f>
        <v/>
      </c>
      <c r="D178" s="55" t="str">
        <f>_xlfn.XLOOKUP(A178,My_Audit!A:A,My_Audit!D:D,"")&amp;""</f>
        <v/>
      </c>
      <c r="E178" s="55" t="str" cm="1">
        <f t="array" ref="E178">IFERROR(_xlfn.LET(
_xlpm.CSVVal,_xlfn.XLOOKUP($A178,CSV!$A:$A,CSV!D:D,""),
_xlpm.MacVal,_xlfn.XLOOKUP($A178,Output_Mac!$A:$A,Output_Mac!C:C,""),
_xlpm.MyAuditVal,_xlfn.XLOOKUP($A178,My_Audit!$A:$A,My_Audit!D:D,""),
_xlfn.IFS(_xlpm.MyAuditVal&lt;&gt;"",_xlpm.MyAuditVal,_xlpm.MacVal&lt;&gt;"",_xlpm.MacVal,_xlpm.CSVVal&lt;&gt;"",_xlpm.CSVVal
)),"")</f>
        <v/>
      </c>
      <c r="F178" s="54" t="str" cm="1">
        <f t="array" ref="F178">IFERROR(_xlfn.LET(
_xlpm.CSVVal,_xlfn.XLOOKUP($A178,CSV!$A:$A,CSV!E:E,""),
_xlpm.MacVal,_xlfn.XLOOKUP($A178,Output_Mac!$A:$A,Output_Mac!F:F,""),
_xlpm.MyAuditVal,_xlfn.XLOOKUP($A178,My_Audit!$A:$A,My_Audit!E:E,""),
_xlfn.IFS(_xlpm.MyAuditVal&lt;&gt;"",_xlpm.MyAuditVal,_xlpm.MacVal&lt;&gt;"",_xlpm.MacVal,_xlpm.CSVVal&lt;&gt;"",PROPER(_xlpm.CSVVal)
)),"")</f>
        <v/>
      </c>
      <c r="G178" s="54" t="str" cm="1">
        <f t="array" ref="G178">IFERROR(_xlfn.LET(
_xlpm.CSVVal,_xlfn.XLOOKUP($A178,CSV!$A:$A,CSV!F:F,""),
_xlpm.MacVal,_xlfn.XLOOKUP($A178,Output_Mac!$A:$A,Output_Mac!H:H,""),
_xlpm.MyAuditVal,_xlfn.XLOOKUP($A178,My_Audit!$A:$A,My_Audit!F:F,""),
_xlfn.IFS(_xlpm.MyAuditVal&lt;&gt;"",_xlpm.MyAuditVal,_xlpm.MacVal&lt;&gt;"",_xlpm.MacVal,_xlpm.CSVVal&lt;&gt;"",_xlpm.CSVVal
)),"")</f>
        <v/>
      </c>
      <c r="H178" s="54" t="str">
        <f>_xlfn.XLOOKUP(A178,Output_Mac!A:A,Output_Mac!I:I,"")</f>
        <v/>
      </c>
      <c r="I178" s="54" t="str" cm="1">
        <f t="array" ref="I178">IFERROR(_xlfn.LET(
_xlpm.CSVVal,_xlfn.XLOOKUP($A178,CSV!$A:$A,CSV!G:G,""),
_xlpm.MacVal,_xlfn.XLOOKUP($A178,Output_Mac!$A:$A,Output_Mac!J:J,""),
_xlpm.MyAuditVal,_xlfn.XLOOKUP($A178,My_Audit!$A:$A,My_Audit!H:H,""),
_xlfn.IFS(_xlpm.MyAuditVal&lt;&gt;"",UPPER(_xlpm.MyAuditVal),_xlpm.MacVal&lt;&gt;"",_xlpm.MacVal,_xlpm.CSVVal&lt;&gt;"",_xlpm.CSVVal
)),"")</f>
        <v/>
      </c>
      <c r="J178" s="54" t="str" cm="1">
        <f t="array" ref="J178">IFERROR(_xlfn.LET(
_xlpm.CSVVal,_xlfn.XLOOKUP($A178,CSV!$A:$A,CSV!I:I,""),
_xlpm.MacVal,_xlfn.XLOOKUP($A178,Output_Mac!$A:$A,Output_Mac!K:K,""),
_xlpm.MyAuditVal,_xlfn.XLOOKUP($A178,My_Audit!$A:$A,My_Audit!I:I,""),
_xlfn.IFS(_xlpm.MyAuditVal&lt;&gt;"",UPPER(_xlpm.MyAuditVal),_xlpm.MacVal&lt;&gt;"",_xlpm.MacVal,_xlpm.CSVVal&lt;&gt;"",_xlpm.CSVVal
)),"")</f>
        <v/>
      </c>
      <c r="K178" s="54" t="str" cm="1">
        <f t="array" ref="K178">IFERROR(_xlfn.LET(
_xlpm.CSVVal,_xlfn.XLOOKUP($A178,CSV!$A:$A,CSV!M:M,""),
_xlpm.MacVal,_xlfn.XLOOKUP($A178,Output_Mac!$A:$A,Output_Mac!L:L,""),
_xlpm.MyAuditVal,_xlfn.XLOOKUP($A178,My_Audit!$A:$A,My_Audit!J:J,""),
_xlfn.IFS(_xlpm.MyAuditVal&lt;&gt;"",UPPER(_xlpm.MyAuditVal),_xlpm.MacVal&lt;&gt;"",_xlpm.MacVal,_xlpm.CSVVal&lt;&gt;"",_xlpm.CSVVal
)),"")</f>
        <v/>
      </c>
      <c r="L178" s="55" t="str" cm="1">
        <f t="array" ref="L178">IFERROR(_xlfn.LET(
_xlpm.CSVVal,_xlfn.XLOOKUP($A178,CSV!$A:$A,CSV!P:P,""),
_xlpm.MacVal,_xlfn.XLOOKUP($A178,Output_Mac!$A:$A,Output_Mac!M:M,""),
_xlpm.MyAuditVal,_xlfn.XLOOKUP($A178,My_Audit!$A:$A,My_Audit!K:K,""),
_xlfn.IFS(_xlpm.MyAuditVal&lt;&gt;"",UPPER(_xlpm.MyAuditVal),_xlpm.MacVal&lt;&gt;"",_xlpm.MacVal,_xlpm.CSVVal&lt;&gt;"",_xlpm.CSVVal
)),"")</f>
        <v/>
      </c>
      <c r="M178" s="54" t="str">
        <f>_xlfn.LET(
    _xlpm.CSVVal, _xlfn.XLOOKUP($A178, CSV!$A:$A, CSV!AD:AD, ""),
    _xlpm.MacVal, _xlfn.XLOOKUP($A178, Output_Mac!$A:$A, Output_Mac!S:S, ""),
    _xlpm.MyAuditVal, _xlfn.XLOOKUP($A178, My_Audit!$A:$A, My_Audit!N:N, ""),
    _xlfn.TEXTJOIN(", ", TRUE, _xlpm.MyAuditVal, _xlpm.MacVal, _xlpm.CSVVal)
)</f>
        <v/>
      </c>
      <c r="N178" s="54" t="str" cm="1">
        <f t="array" ref="N178">IFERROR(_xlfn.LET(
_xlpm.CSVVal,_xlfn.XLOOKUP($A178,CSV!$A:$A,CSV!AF:AF,""),
_xlpm.MacVal,_xlfn.XLOOKUP($A178,Output_Mac!$A:$A,Output_Mac!U:U,""),
_xlpm.MyAuditVal,_xlfn.XLOOKUP($A178,My_Audit!$A:$A,My_Audit!O:O,""),
_xlfn.IFS(_xlpm.MyAuditVal&lt;&gt;"",UPPER(_xlpm.MyAuditVal),_xlpm.MacVal&lt;&gt;"",_xlpm.MacVal,_xlpm.CSVVal&lt;&gt;"",_xlpm.CSVVal
)),"")</f>
        <v/>
      </c>
      <c r="O178" s="54"/>
      <c r="P178" s="54"/>
      <c r="Q178" s="54"/>
      <c r="R178" s="54"/>
      <c r="S178" s="54"/>
      <c r="T178" s="54"/>
      <c r="U178" s="39"/>
    </row>
    <row r="179" spans="1:21">
      <c r="A179" s="54" t="str">
        <f>_xlfn.TEXTJOIN("",TRUE,Input!$B$2,ROW(My_Audit!A178))</f>
        <v>XX178</v>
      </c>
      <c r="B179" s="54" t="str">
        <f>_xlfn.TEXTJOIN("-",TRUE,"ITD",Input!$A$2,A179)</f>
        <v>ITD-SHRXXX-XX178</v>
      </c>
      <c r="C179" s="54" t="str" cm="1">
        <f t="array" ref="C179">IFERROR(_xlfn.LET(
_xlpm.CSVVal,_xlfn.XLOOKUP($A179,CSV!$A:$A,CSV!B:B,""),
_xlpm.MacVal,_xlfn.XLOOKUP($A179,Output_Mac!$A:$A,Output_Mac!B:B,""),
_xlpm.MyAuditVal,_xlfn.XLOOKUP($A179,My_Audit!$A:$A,My_Audit!B:B,""),
_xlfn.IFS(_xlpm.MyAuditVal&lt;&gt;"",UPPER(_xlpm.MyAuditVal),_xlpm.MacVal&lt;&gt;"",_xlpm.MacVal,_xlpm.CSVVal&lt;&gt;"",_xlpm.CSVVal
)),"")</f>
        <v/>
      </c>
      <c r="D179" s="55" t="str">
        <f>_xlfn.XLOOKUP(A179,My_Audit!A:A,My_Audit!D:D,"")&amp;""</f>
        <v/>
      </c>
      <c r="E179" s="55" t="str" cm="1">
        <f t="array" ref="E179">IFERROR(_xlfn.LET(
_xlpm.CSVVal,_xlfn.XLOOKUP($A179,CSV!$A:$A,CSV!D:D,""),
_xlpm.MacVal,_xlfn.XLOOKUP($A179,Output_Mac!$A:$A,Output_Mac!C:C,""),
_xlpm.MyAuditVal,_xlfn.XLOOKUP($A179,My_Audit!$A:$A,My_Audit!D:D,""),
_xlfn.IFS(_xlpm.MyAuditVal&lt;&gt;"",_xlpm.MyAuditVal,_xlpm.MacVal&lt;&gt;"",_xlpm.MacVal,_xlpm.CSVVal&lt;&gt;"",_xlpm.CSVVal
)),"")</f>
        <v/>
      </c>
      <c r="F179" s="54" t="str" cm="1">
        <f t="array" ref="F179">IFERROR(_xlfn.LET(
_xlpm.CSVVal,_xlfn.XLOOKUP($A179,CSV!$A:$A,CSV!E:E,""),
_xlpm.MacVal,_xlfn.XLOOKUP($A179,Output_Mac!$A:$A,Output_Mac!F:F,""),
_xlpm.MyAuditVal,_xlfn.XLOOKUP($A179,My_Audit!$A:$A,My_Audit!E:E,""),
_xlfn.IFS(_xlpm.MyAuditVal&lt;&gt;"",_xlpm.MyAuditVal,_xlpm.MacVal&lt;&gt;"",_xlpm.MacVal,_xlpm.CSVVal&lt;&gt;"",PROPER(_xlpm.CSVVal)
)),"")</f>
        <v/>
      </c>
      <c r="G179" s="54" t="str" cm="1">
        <f t="array" ref="G179">IFERROR(_xlfn.LET(
_xlpm.CSVVal,_xlfn.XLOOKUP($A179,CSV!$A:$A,CSV!F:F,""),
_xlpm.MacVal,_xlfn.XLOOKUP($A179,Output_Mac!$A:$A,Output_Mac!H:H,""),
_xlpm.MyAuditVal,_xlfn.XLOOKUP($A179,My_Audit!$A:$A,My_Audit!F:F,""),
_xlfn.IFS(_xlpm.MyAuditVal&lt;&gt;"",_xlpm.MyAuditVal,_xlpm.MacVal&lt;&gt;"",_xlpm.MacVal,_xlpm.CSVVal&lt;&gt;"",_xlpm.CSVVal
)),"")</f>
        <v/>
      </c>
      <c r="H179" s="54" t="str">
        <f>_xlfn.XLOOKUP(A179,Output_Mac!A:A,Output_Mac!I:I,"")</f>
        <v/>
      </c>
      <c r="I179" s="54" t="str" cm="1">
        <f t="array" ref="I179">IFERROR(_xlfn.LET(
_xlpm.CSVVal,_xlfn.XLOOKUP($A179,CSV!$A:$A,CSV!G:G,""),
_xlpm.MacVal,_xlfn.XLOOKUP($A179,Output_Mac!$A:$A,Output_Mac!J:J,""),
_xlpm.MyAuditVal,_xlfn.XLOOKUP($A179,My_Audit!$A:$A,My_Audit!H:H,""),
_xlfn.IFS(_xlpm.MyAuditVal&lt;&gt;"",UPPER(_xlpm.MyAuditVal),_xlpm.MacVal&lt;&gt;"",_xlpm.MacVal,_xlpm.CSVVal&lt;&gt;"",_xlpm.CSVVal
)),"")</f>
        <v/>
      </c>
      <c r="J179" s="54" t="str" cm="1">
        <f t="array" ref="J179">IFERROR(_xlfn.LET(
_xlpm.CSVVal,_xlfn.XLOOKUP($A179,CSV!$A:$A,CSV!I:I,""),
_xlpm.MacVal,_xlfn.XLOOKUP($A179,Output_Mac!$A:$A,Output_Mac!K:K,""),
_xlpm.MyAuditVal,_xlfn.XLOOKUP($A179,My_Audit!$A:$A,My_Audit!I:I,""),
_xlfn.IFS(_xlpm.MyAuditVal&lt;&gt;"",UPPER(_xlpm.MyAuditVal),_xlpm.MacVal&lt;&gt;"",_xlpm.MacVal,_xlpm.CSVVal&lt;&gt;"",_xlpm.CSVVal
)),"")</f>
        <v/>
      </c>
      <c r="K179" s="54" t="str" cm="1">
        <f t="array" ref="K179">IFERROR(_xlfn.LET(
_xlpm.CSVVal,_xlfn.XLOOKUP($A179,CSV!$A:$A,CSV!M:M,""),
_xlpm.MacVal,_xlfn.XLOOKUP($A179,Output_Mac!$A:$A,Output_Mac!L:L,""),
_xlpm.MyAuditVal,_xlfn.XLOOKUP($A179,My_Audit!$A:$A,My_Audit!J:J,""),
_xlfn.IFS(_xlpm.MyAuditVal&lt;&gt;"",UPPER(_xlpm.MyAuditVal),_xlpm.MacVal&lt;&gt;"",_xlpm.MacVal,_xlpm.CSVVal&lt;&gt;"",_xlpm.CSVVal
)),"")</f>
        <v/>
      </c>
      <c r="L179" s="55" t="str" cm="1">
        <f t="array" ref="L179">IFERROR(_xlfn.LET(
_xlpm.CSVVal,_xlfn.XLOOKUP($A179,CSV!$A:$A,CSV!P:P,""),
_xlpm.MacVal,_xlfn.XLOOKUP($A179,Output_Mac!$A:$A,Output_Mac!M:M,""),
_xlpm.MyAuditVal,_xlfn.XLOOKUP($A179,My_Audit!$A:$A,My_Audit!K:K,""),
_xlfn.IFS(_xlpm.MyAuditVal&lt;&gt;"",UPPER(_xlpm.MyAuditVal),_xlpm.MacVal&lt;&gt;"",_xlpm.MacVal,_xlpm.CSVVal&lt;&gt;"",_xlpm.CSVVal
)),"")</f>
        <v/>
      </c>
      <c r="M179" s="54" t="str">
        <f>_xlfn.LET(
    _xlpm.CSVVal, _xlfn.XLOOKUP($A179, CSV!$A:$A, CSV!AD:AD, ""),
    _xlpm.MacVal, _xlfn.XLOOKUP($A179, Output_Mac!$A:$A, Output_Mac!S:S, ""),
    _xlpm.MyAuditVal, _xlfn.XLOOKUP($A179, My_Audit!$A:$A, My_Audit!N:N, ""),
    _xlfn.TEXTJOIN(", ", TRUE, _xlpm.MyAuditVal, _xlpm.MacVal, _xlpm.CSVVal)
)</f>
        <v/>
      </c>
      <c r="N179" s="54" t="str" cm="1">
        <f t="array" ref="N179">IFERROR(_xlfn.LET(
_xlpm.CSVVal,_xlfn.XLOOKUP($A179,CSV!$A:$A,CSV!AF:AF,""),
_xlpm.MacVal,_xlfn.XLOOKUP($A179,Output_Mac!$A:$A,Output_Mac!U:U,""),
_xlpm.MyAuditVal,_xlfn.XLOOKUP($A179,My_Audit!$A:$A,My_Audit!O:O,""),
_xlfn.IFS(_xlpm.MyAuditVal&lt;&gt;"",UPPER(_xlpm.MyAuditVal),_xlpm.MacVal&lt;&gt;"",_xlpm.MacVal,_xlpm.CSVVal&lt;&gt;"",_xlpm.CSVVal
)),"")</f>
        <v/>
      </c>
      <c r="O179" s="54"/>
      <c r="P179" s="54"/>
      <c r="Q179" s="54"/>
      <c r="R179" s="54"/>
      <c r="S179" s="54"/>
      <c r="T179" s="54"/>
      <c r="U179" s="39"/>
    </row>
    <row r="180" spans="1:21">
      <c r="A180" s="54" t="str">
        <f>_xlfn.TEXTJOIN("",TRUE,Input!$B$2,ROW(My_Audit!A179))</f>
        <v>XX179</v>
      </c>
      <c r="B180" s="54" t="str">
        <f>_xlfn.TEXTJOIN("-",TRUE,"ITD",Input!$A$2,A180)</f>
        <v>ITD-SHRXXX-XX179</v>
      </c>
      <c r="C180" s="54" t="str" cm="1">
        <f t="array" ref="C180">IFERROR(_xlfn.LET(
_xlpm.CSVVal,_xlfn.XLOOKUP($A180,CSV!$A:$A,CSV!B:B,""),
_xlpm.MacVal,_xlfn.XLOOKUP($A180,Output_Mac!$A:$A,Output_Mac!B:B,""),
_xlpm.MyAuditVal,_xlfn.XLOOKUP($A180,My_Audit!$A:$A,My_Audit!B:B,""),
_xlfn.IFS(_xlpm.MyAuditVal&lt;&gt;"",UPPER(_xlpm.MyAuditVal),_xlpm.MacVal&lt;&gt;"",_xlpm.MacVal,_xlpm.CSVVal&lt;&gt;"",_xlpm.CSVVal
)),"")</f>
        <v/>
      </c>
      <c r="D180" s="55" t="str">
        <f>_xlfn.XLOOKUP(A180,My_Audit!A:A,My_Audit!D:D,"")&amp;""</f>
        <v/>
      </c>
      <c r="E180" s="55" t="str" cm="1">
        <f t="array" ref="E180">IFERROR(_xlfn.LET(
_xlpm.CSVVal,_xlfn.XLOOKUP($A180,CSV!$A:$A,CSV!D:D,""),
_xlpm.MacVal,_xlfn.XLOOKUP($A180,Output_Mac!$A:$A,Output_Mac!C:C,""),
_xlpm.MyAuditVal,_xlfn.XLOOKUP($A180,My_Audit!$A:$A,My_Audit!D:D,""),
_xlfn.IFS(_xlpm.MyAuditVal&lt;&gt;"",_xlpm.MyAuditVal,_xlpm.MacVal&lt;&gt;"",_xlpm.MacVal,_xlpm.CSVVal&lt;&gt;"",_xlpm.CSVVal
)),"")</f>
        <v/>
      </c>
      <c r="F180" s="54" t="str" cm="1">
        <f t="array" ref="F180">IFERROR(_xlfn.LET(
_xlpm.CSVVal,_xlfn.XLOOKUP($A180,CSV!$A:$A,CSV!E:E,""),
_xlpm.MacVal,_xlfn.XLOOKUP($A180,Output_Mac!$A:$A,Output_Mac!F:F,""),
_xlpm.MyAuditVal,_xlfn.XLOOKUP($A180,My_Audit!$A:$A,My_Audit!E:E,""),
_xlfn.IFS(_xlpm.MyAuditVal&lt;&gt;"",_xlpm.MyAuditVal,_xlpm.MacVal&lt;&gt;"",_xlpm.MacVal,_xlpm.CSVVal&lt;&gt;"",PROPER(_xlpm.CSVVal)
)),"")</f>
        <v/>
      </c>
      <c r="G180" s="54" t="str" cm="1">
        <f t="array" ref="G180">IFERROR(_xlfn.LET(
_xlpm.CSVVal,_xlfn.XLOOKUP($A180,CSV!$A:$A,CSV!F:F,""),
_xlpm.MacVal,_xlfn.XLOOKUP($A180,Output_Mac!$A:$A,Output_Mac!H:H,""),
_xlpm.MyAuditVal,_xlfn.XLOOKUP($A180,My_Audit!$A:$A,My_Audit!F:F,""),
_xlfn.IFS(_xlpm.MyAuditVal&lt;&gt;"",_xlpm.MyAuditVal,_xlpm.MacVal&lt;&gt;"",_xlpm.MacVal,_xlpm.CSVVal&lt;&gt;"",_xlpm.CSVVal
)),"")</f>
        <v/>
      </c>
      <c r="H180" s="54" t="str">
        <f>_xlfn.XLOOKUP(A180,Output_Mac!A:A,Output_Mac!I:I,"")</f>
        <v/>
      </c>
      <c r="I180" s="54" t="str" cm="1">
        <f t="array" ref="I180">IFERROR(_xlfn.LET(
_xlpm.CSVVal,_xlfn.XLOOKUP($A180,CSV!$A:$A,CSV!G:G,""),
_xlpm.MacVal,_xlfn.XLOOKUP($A180,Output_Mac!$A:$A,Output_Mac!J:J,""),
_xlpm.MyAuditVal,_xlfn.XLOOKUP($A180,My_Audit!$A:$A,My_Audit!H:H,""),
_xlfn.IFS(_xlpm.MyAuditVal&lt;&gt;"",UPPER(_xlpm.MyAuditVal),_xlpm.MacVal&lt;&gt;"",_xlpm.MacVal,_xlpm.CSVVal&lt;&gt;"",_xlpm.CSVVal
)),"")</f>
        <v/>
      </c>
      <c r="J180" s="54" t="str" cm="1">
        <f t="array" ref="J180">IFERROR(_xlfn.LET(
_xlpm.CSVVal,_xlfn.XLOOKUP($A180,CSV!$A:$A,CSV!I:I,""),
_xlpm.MacVal,_xlfn.XLOOKUP($A180,Output_Mac!$A:$A,Output_Mac!K:K,""),
_xlpm.MyAuditVal,_xlfn.XLOOKUP($A180,My_Audit!$A:$A,My_Audit!I:I,""),
_xlfn.IFS(_xlpm.MyAuditVal&lt;&gt;"",UPPER(_xlpm.MyAuditVal),_xlpm.MacVal&lt;&gt;"",_xlpm.MacVal,_xlpm.CSVVal&lt;&gt;"",_xlpm.CSVVal
)),"")</f>
        <v/>
      </c>
      <c r="K180" s="54" t="str" cm="1">
        <f t="array" ref="K180">IFERROR(_xlfn.LET(
_xlpm.CSVVal,_xlfn.XLOOKUP($A180,CSV!$A:$A,CSV!M:M,""),
_xlpm.MacVal,_xlfn.XLOOKUP($A180,Output_Mac!$A:$A,Output_Mac!L:L,""),
_xlpm.MyAuditVal,_xlfn.XLOOKUP($A180,My_Audit!$A:$A,My_Audit!J:J,""),
_xlfn.IFS(_xlpm.MyAuditVal&lt;&gt;"",UPPER(_xlpm.MyAuditVal),_xlpm.MacVal&lt;&gt;"",_xlpm.MacVal,_xlpm.CSVVal&lt;&gt;"",_xlpm.CSVVal
)),"")</f>
        <v/>
      </c>
      <c r="L180" s="55" t="str" cm="1">
        <f t="array" ref="L180">IFERROR(_xlfn.LET(
_xlpm.CSVVal,_xlfn.XLOOKUP($A180,CSV!$A:$A,CSV!P:P,""),
_xlpm.MacVal,_xlfn.XLOOKUP($A180,Output_Mac!$A:$A,Output_Mac!M:M,""),
_xlpm.MyAuditVal,_xlfn.XLOOKUP($A180,My_Audit!$A:$A,My_Audit!K:K,""),
_xlfn.IFS(_xlpm.MyAuditVal&lt;&gt;"",UPPER(_xlpm.MyAuditVal),_xlpm.MacVal&lt;&gt;"",_xlpm.MacVal,_xlpm.CSVVal&lt;&gt;"",_xlpm.CSVVal
)),"")</f>
        <v/>
      </c>
      <c r="M180" s="54" t="str">
        <f>_xlfn.LET(
    _xlpm.CSVVal, _xlfn.XLOOKUP($A180, CSV!$A:$A, CSV!AD:AD, ""),
    _xlpm.MacVal, _xlfn.XLOOKUP($A180, Output_Mac!$A:$A, Output_Mac!S:S, ""),
    _xlpm.MyAuditVal, _xlfn.XLOOKUP($A180, My_Audit!$A:$A, My_Audit!N:N, ""),
    _xlfn.TEXTJOIN(", ", TRUE, _xlpm.MyAuditVal, _xlpm.MacVal, _xlpm.CSVVal)
)</f>
        <v/>
      </c>
      <c r="N180" s="54" t="str" cm="1">
        <f t="array" ref="N180">IFERROR(_xlfn.LET(
_xlpm.CSVVal,_xlfn.XLOOKUP($A180,CSV!$A:$A,CSV!AF:AF,""),
_xlpm.MacVal,_xlfn.XLOOKUP($A180,Output_Mac!$A:$A,Output_Mac!U:U,""),
_xlpm.MyAuditVal,_xlfn.XLOOKUP($A180,My_Audit!$A:$A,My_Audit!O:O,""),
_xlfn.IFS(_xlpm.MyAuditVal&lt;&gt;"",UPPER(_xlpm.MyAuditVal),_xlpm.MacVal&lt;&gt;"",_xlpm.MacVal,_xlpm.CSVVal&lt;&gt;"",_xlpm.CSVVal
)),"")</f>
        <v/>
      </c>
      <c r="O180" s="54"/>
      <c r="P180" s="54"/>
      <c r="Q180" s="54"/>
      <c r="R180" s="54"/>
      <c r="S180" s="54"/>
      <c r="T180" s="54"/>
      <c r="U180" s="39"/>
    </row>
    <row r="181" spans="1:21">
      <c r="A181" s="54" t="str">
        <f>_xlfn.TEXTJOIN("",TRUE,Input!$B$2,ROW(My_Audit!A180))</f>
        <v>XX180</v>
      </c>
      <c r="B181" s="54" t="str">
        <f>_xlfn.TEXTJOIN("-",TRUE,"ITD",Input!$A$2,A181)</f>
        <v>ITD-SHRXXX-XX180</v>
      </c>
      <c r="C181" s="54" t="str" cm="1">
        <f t="array" ref="C181">IFERROR(_xlfn.LET(
_xlpm.CSVVal,_xlfn.XLOOKUP($A181,CSV!$A:$A,CSV!B:B,""),
_xlpm.MacVal,_xlfn.XLOOKUP($A181,Output_Mac!$A:$A,Output_Mac!B:B,""),
_xlpm.MyAuditVal,_xlfn.XLOOKUP($A181,My_Audit!$A:$A,My_Audit!B:B,""),
_xlfn.IFS(_xlpm.MyAuditVal&lt;&gt;"",UPPER(_xlpm.MyAuditVal),_xlpm.MacVal&lt;&gt;"",_xlpm.MacVal,_xlpm.CSVVal&lt;&gt;"",_xlpm.CSVVal
)),"")</f>
        <v/>
      </c>
      <c r="D181" s="55" t="str">
        <f>_xlfn.XLOOKUP(A181,My_Audit!A:A,My_Audit!D:D,"")&amp;""</f>
        <v/>
      </c>
      <c r="E181" s="55" t="str" cm="1">
        <f t="array" ref="E181">IFERROR(_xlfn.LET(
_xlpm.CSVVal,_xlfn.XLOOKUP($A181,CSV!$A:$A,CSV!D:D,""),
_xlpm.MacVal,_xlfn.XLOOKUP($A181,Output_Mac!$A:$A,Output_Mac!C:C,""),
_xlpm.MyAuditVal,_xlfn.XLOOKUP($A181,My_Audit!$A:$A,My_Audit!D:D,""),
_xlfn.IFS(_xlpm.MyAuditVal&lt;&gt;"",_xlpm.MyAuditVal,_xlpm.MacVal&lt;&gt;"",_xlpm.MacVal,_xlpm.CSVVal&lt;&gt;"",_xlpm.CSVVal
)),"")</f>
        <v/>
      </c>
      <c r="F181" s="54" t="str" cm="1">
        <f t="array" ref="F181">IFERROR(_xlfn.LET(
_xlpm.CSVVal,_xlfn.XLOOKUP($A181,CSV!$A:$A,CSV!E:E,""),
_xlpm.MacVal,_xlfn.XLOOKUP($A181,Output_Mac!$A:$A,Output_Mac!F:F,""),
_xlpm.MyAuditVal,_xlfn.XLOOKUP($A181,My_Audit!$A:$A,My_Audit!E:E,""),
_xlfn.IFS(_xlpm.MyAuditVal&lt;&gt;"",_xlpm.MyAuditVal,_xlpm.MacVal&lt;&gt;"",_xlpm.MacVal,_xlpm.CSVVal&lt;&gt;"",PROPER(_xlpm.CSVVal)
)),"")</f>
        <v/>
      </c>
      <c r="G181" s="54" t="str" cm="1">
        <f t="array" ref="G181">IFERROR(_xlfn.LET(
_xlpm.CSVVal,_xlfn.XLOOKUP($A181,CSV!$A:$A,CSV!F:F,""),
_xlpm.MacVal,_xlfn.XLOOKUP($A181,Output_Mac!$A:$A,Output_Mac!H:H,""),
_xlpm.MyAuditVal,_xlfn.XLOOKUP($A181,My_Audit!$A:$A,My_Audit!F:F,""),
_xlfn.IFS(_xlpm.MyAuditVal&lt;&gt;"",_xlpm.MyAuditVal,_xlpm.MacVal&lt;&gt;"",_xlpm.MacVal,_xlpm.CSVVal&lt;&gt;"",_xlpm.CSVVal
)),"")</f>
        <v/>
      </c>
      <c r="H181" s="54" t="str">
        <f>_xlfn.XLOOKUP(A181,Output_Mac!A:A,Output_Mac!I:I,"")</f>
        <v/>
      </c>
      <c r="I181" s="54" t="str" cm="1">
        <f t="array" ref="I181">IFERROR(_xlfn.LET(
_xlpm.CSVVal,_xlfn.XLOOKUP($A181,CSV!$A:$A,CSV!G:G,""),
_xlpm.MacVal,_xlfn.XLOOKUP($A181,Output_Mac!$A:$A,Output_Mac!J:J,""),
_xlpm.MyAuditVal,_xlfn.XLOOKUP($A181,My_Audit!$A:$A,My_Audit!H:H,""),
_xlfn.IFS(_xlpm.MyAuditVal&lt;&gt;"",UPPER(_xlpm.MyAuditVal),_xlpm.MacVal&lt;&gt;"",_xlpm.MacVal,_xlpm.CSVVal&lt;&gt;"",_xlpm.CSVVal
)),"")</f>
        <v/>
      </c>
      <c r="J181" s="54" t="str" cm="1">
        <f t="array" ref="J181">IFERROR(_xlfn.LET(
_xlpm.CSVVal,_xlfn.XLOOKUP($A181,CSV!$A:$A,CSV!I:I,""),
_xlpm.MacVal,_xlfn.XLOOKUP($A181,Output_Mac!$A:$A,Output_Mac!K:K,""),
_xlpm.MyAuditVal,_xlfn.XLOOKUP($A181,My_Audit!$A:$A,My_Audit!I:I,""),
_xlfn.IFS(_xlpm.MyAuditVal&lt;&gt;"",UPPER(_xlpm.MyAuditVal),_xlpm.MacVal&lt;&gt;"",_xlpm.MacVal,_xlpm.CSVVal&lt;&gt;"",_xlpm.CSVVal
)),"")</f>
        <v/>
      </c>
      <c r="K181" s="54" t="str" cm="1">
        <f t="array" ref="K181">IFERROR(_xlfn.LET(
_xlpm.CSVVal,_xlfn.XLOOKUP($A181,CSV!$A:$A,CSV!M:M,""),
_xlpm.MacVal,_xlfn.XLOOKUP($A181,Output_Mac!$A:$A,Output_Mac!L:L,""),
_xlpm.MyAuditVal,_xlfn.XLOOKUP($A181,My_Audit!$A:$A,My_Audit!J:J,""),
_xlfn.IFS(_xlpm.MyAuditVal&lt;&gt;"",UPPER(_xlpm.MyAuditVal),_xlpm.MacVal&lt;&gt;"",_xlpm.MacVal,_xlpm.CSVVal&lt;&gt;"",_xlpm.CSVVal
)),"")</f>
        <v/>
      </c>
      <c r="L181" s="55" t="str" cm="1">
        <f t="array" ref="L181">IFERROR(_xlfn.LET(
_xlpm.CSVVal,_xlfn.XLOOKUP($A181,CSV!$A:$A,CSV!P:P,""),
_xlpm.MacVal,_xlfn.XLOOKUP($A181,Output_Mac!$A:$A,Output_Mac!M:M,""),
_xlpm.MyAuditVal,_xlfn.XLOOKUP($A181,My_Audit!$A:$A,My_Audit!K:K,""),
_xlfn.IFS(_xlpm.MyAuditVal&lt;&gt;"",UPPER(_xlpm.MyAuditVal),_xlpm.MacVal&lt;&gt;"",_xlpm.MacVal,_xlpm.CSVVal&lt;&gt;"",_xlpm.CSVVal
)),"")</f>
        <v/>
      </c>
      <c r="M181" s="54" t="str">
        <f>_xlfn.LET(
    _xlpm.CSVVal, _xlfn.XLOOKUP($A181, CSV!$A:$A, CSV!AD:AD, ""),
    _xlpm.MacVal, _xlfn.XLOOKUP($A181, Output_Mac!$A:$A, Output_Mac!S:S, ""),
    _xlpm.MyAuditVal, _xlfn.XLOOKUP($A181, My_Audit!$A:$A, My_Audit!N:N, ""),
    _xlfn.TEXTJOIN(", ", TRUE, _xlpm.MyAuditVal, _xlpm.MacVal, _xlpm.CSVVal)
)</f>
        <v/>
      </c>
      <c r="N181" s="54" t="str" cm="1">
        <f t="array" ref="N181">IFERROR(_xlfn.LET(
_xlpm.CSVVal,_xlfn.XLOOKUP($A181,CSV!$A:$A,CSV!AF:AF,""),
_xlpm.MacVal,_xlfn.XLOOKUP($A181,Output_Mac!$A:$A,Output_Mac!U:U,""),
_xlpm.MyAuditVal,_xlfn.XLOOKUP($A181,My_Audit!$A:$A,My_Audit!O:O,""),
_xlfn.IFS(_xlpm.MyAuditVal&lt;&gt;"",UPPER(_xlpm.MyAuditVal),_xlpm.MacVal&lt;&gt;"",_xlpm.MacVal,_xlpm.CSVVal&lt;&gt;"",_xlpm.CSVVal
)),"")</f>
        <v/>
      </c>
      <c r="O181" s="54"/>
      <c r="P181" s="54"/>
      <c r="Q181" s="54"/>
      <c r="R181" s="54"/>
      <c r="S181" s="54"/>
      <c r="T181" s="54"/>
      <c r="U181" s="39"/>
    </row>
    <row r="182" spans="1:21">
      <c r="A182" s="54" t="str">
        <f>_xlfn.TEXTJOIN("",TRUE,Input!$B$2,ROW(My_Audit!A181))</f>
        <v>XX181</v>
      </c>
      <c r="B182" s="54" t="str">
        <f>_xlfn.TEXTJOIN("-",TRUE,"ITD",Input!$A$2,A182)</f>
        <v>ITD-SHRXXX-XX181</v>
      </c>
      <c r="C182" s="54" t="str" cm="1">
        <f t="array" ref="C182">IFERROR(_xlfn.LET(
_xlpm.CSVVal,_xlfn.XLOOKUP($A182,CSV!$A:$A,CSV!B:B,""),
_xlpm.MacVal,_xlfn.XLOOKUP($A182,Output_Mac!$A:$A,Output_Mac!B:B,""),
_xlpm.MyAuditVal,_xlfn.XLOOKUP($A182,My_Audit!$A:$A,My_Audit!B:B,""),
_xlfn.IFS(_xlpm.MyAuditVal&lt;&gt;"",UPPER(_xlpm.MyAuditVal),_xlpm.MacVal&lt;&gt;"",_xlpm.MacVal,_xlpm.CSVVal&lt;&gt;"",_xlpm.CSVVal
)),"")</f>
        <v/>
      </c>
      <c r="D182" s="55" t="str">
        <f>_xlfn.XLOOKUP(A182,My_Audit!A:A,My_Audit!D:D,"")&amp;""</f>
        <v/>
      </c>
      <c r="E182" s="55" t="str" cm="1">
        <f t="array" ref="E182">IFERROR(_xlfn.LET(
_xlpm.CSVVal,_xlfn.XLOOKUP($A182,CSV!$A:$A,CSV!D:D,""),
_xlpm.MacVal,_xlfn.XLOOKUP($A182,Output_Mac!$A:$A,Output_Mac!C:C,""),
_xlpm.MyAuditVal,_xlfn.XLOOKUP($A182,My_Audit!$A:$A,My_Audit!D:D,""),
_xlfn.IFS(_xlpm.MyAuditVal&lt;&gt;"",_xlpm.MyAuditVal,_xlpm.MacVal&lt;&gt;"",_xlpm.MacVal,_xlpm.CSVVal&lt;&gt;"",_xlpm.CSVVal
)),"")</f>
        <v/>
      </c>
      <c r="F182" s="54" t="str" cm="1">
        <f t="array" ref="F182">IFERROR(_xlfn.LET(
_xlpm.CSVVal,_xlfn.XLOOKUP($A182,CSV!$A:$A,CSV!E:E,""),
_xlpm.MacVal,_xlfn.XLOOKUP($A182,Output_Mac!$A:$A,Output_Mac!F:F,""),
_xlpm.MyAuditVal,_xlfn.XLOOKUP($A182,My_Audit!$A:$A,My_Audit!E:E,""),
_xlfn.IFS(_xlpm.MyAuditVal&lt;&gt;"",_xlpm.MyAuditVal,_xlpm.MacVal&lt;&gt;"",_xlpm.MacVal,_xlpm.CSVVal&lt;&gt;"",PROPER(_xlpm.CSVVal)
)),"")</f>
        <v/>
      </c>
      <c r="G182" s="54" t="str" cm="1">
        <f t="array" ref="G182">IFERROR(_xlfn.LET(
_xlpm.CSVVal,_xlfn.XLOOKUP($A182,CSV!$A:$A,CSV!F:F,""),
_xlpm.MacVal,_xlfn.XLOOKUP($A182,Output_Mac!$A:$A,Output_Mac!H:H,""),
_xlpm.MyAuditVal,_xlfn.XLOOKUP($A182,My_Audit!$A:$A,My_Audit!F:F,""),
_xlfn.IFS(_xlpm.MyAuditVal&lt;&gt;"",_xlpm.MyAuditVal,_xlpm.MacVal&lt;&gt;"",_xlpm.MacVal,_xlpm.CSVVal&lt;&gt;"",_xlpm.CSVVal
)),"")</f>
        <v/>
      </c>
      <c r="H182" s="54" t="str">
        <f>_xlfn.XLOOKUP(A182,Output_Mac!A:A,Output_Mac!I:I,"")</f>
        <v/>
      </c>
      <c r="I182" s="54" t="str" cm="1">
        <f t="array" ref="I182">IFERROR(_xlfn.LET(
_xlpm.CSVVal,_xlfn.XLOOKUP($A182,CSV!$A:$A,CSV!G:G,""),
_xlpm.MacVal,_xlfn.XLOOKUP($A182,Output_Mac!$A:$A,Output_Mac!J:J,""),
_xlpm.MyAuditVal,_xlfn.XLOOKUP($A182,My_Audit!$A:$A,My_Audit!H:H,""),
_xlfn.IFS(_xlpm.MyAuditVal&lt;&gt;"",UPPER(_xlpm.MyAuditVal),_xlpm.MacVal&lt;&gt;"",_xlpm.MacVal,_xlpm.CSVVal&lt;&gt;"",_xlpm.CSVVal
)),"")</f>
        <v/>
      </c>
      <c r="J182" s="54" t="str" cm="1">
        <f t="array" ref="J182">IFERROR(_xlfn.LET(
_xlpm.CSVVal,_xlfn.XLOOKUP($A182,CSV!$A:$A,CSV!I:I,""),
_xlpm.MacVal,_xlfn.XLOOKUP($A182,Output_Mac!$A:$A,Output_Mac!K:K,""),
_xlpm.MyAuditVal,_xlfn.XLOOKUP($A182,My_Audit!$A:$A,My_Audit!I:I,""),
_xlfn.IFS(_xlpm.MyAuditVal&lt;&gt;"",UPPER(_xlpm.MyAuditVal),_xlpm.MacVal&lt;&gt;"",_xlpm.MacVal,_xlpm.CSVVal&lt;&gt;"",_xlpm.CSVVal
)),"")</f>
        <v/>
      </c>
      <c r="K182" s="54" t="str" cm="1">
        <f t="array" ref="K182">IFERROR(_xlfn.LET(
_xlpm.CSVVal,_xlfn.XLOOKUP($A182,CSV!$A:$A,CSV!M:M,""),
_xlpm.MacVal,_xlfn.XLOOKUP($A182,Output_Mac!$A:$A,Output_Mac!L:L,""),
_xlpm.MyAuditVal,_xlfn.XLOOKUP($A182,My_Audit!$A:$A,My_Audit!J:J,""),
_xlfn.IFS(_xlpm.MyAuditVal&lt;&gt;"",UPPER(_xlpm.MyAuditVal),_xlpm.MacVal&lt;&gt;"",_xlpm.MacVal,_xlpm.CSVVal&lt;&gt;"",_xlpm.CSVVal
)),"")</f>
        <v/>
      </c>
      <c r="L182" s="55" t="str" cm="1">
        <f t="array" ref="L182">IFERROR(_xlfn.LET(
_xlpm.CSVVal,_xlfn.XLOOKUP($A182,CSV!$A:$A,CSV!P:P,""),
_xlpm.MacVal,_xlfn.XLOOKUP($A182,Output_Mac!$A:$A,Output_Mac!M:M,""),
_xlpm.MyAuditVal,_xlfn.XLOOKUP($A182,My_Audit!$A:$A,My_Audit!K:K,""),
_xlfn.IFS(_xlpm.MyAuditVal&lt;&gt;"",UPPER(_xlpm.MyAuditVal),_xlpm.MacVal&lt;&gt;"",_xlpm.MacVal,_xlpm.CSVVal&lt;&gt;"",_xlpm.CSVVal
)),"")</f>
        <v/>
      </c>
      <c r="M182" s="54" t="str">
        <f>_xlfn.LET(
    _xlpm.CSVVal, _xlfn.XLOOKUP($A182, CSV!$A:$A, CSV!AD:AD, ""),
    _xlpm.MacVal, _xlfn.XLOOKUP($A182, Output_Mac!$A:$A, Output_Mac!S:S, ""),
    _xlpm.MyAuditVal, _xlfn.XLOOKUP($A182, My_Audit!$A:$A, My_Audit!N:N, ""),
    _xlfn.TEXTJOIN(", ", TRUE, _xlpm.MyAuditVal, _xlpm.MacVal, _xlpm.CSVVal)
)</f>
        <v/>
      </c>
      <c r="N182" s="54" t="str" cm="1">
        <f t="array" ref="N182">IFERROR(_xlfn.LET(
_xlpm.CSVVal,_xlfn.XLOOKUP($A182,CSV!$A:$A,CSV!AF:AF,""),
_xlpm.MacVal,_xlfn.XLOOKUP($A182,Output_Mac!$A:$A,Output_Mac!U:U,""),
_xlpm.MyAuditVal,_xlfn.XLOOKUP($A182,My_Audit!$A:$A,My_Audit!O:O,""),
_xlfn.IFS(_xlpm.MyAuditVal&lt;&gt;"",UPPER(_xlpm.MyAuditVal),_xlpm.MacVal&lt;&gt;"",_xlpm.MacVal,_xlpm.CSVVal&lt;&gt;"",_xlpm.CSVVal
)),"")</f>
        <v/>
      </c>
      <c r="O182" s="54"/>
      <c r="P182" s="54"/>
      <c r="Q182" s="54"/>
      <c r="R182" s="54"/>
      <c r="S182" s="54"/>
      <c r="T182" s="54"/>
      <c r="U182" s="39"/>
    </row>
    <row r="183" spans="1:21">
      <c r="A183" s="54" t="str">
        <f>_xlfn.TEXTJOIN("",TRUE,Input!$B$2,ROW(My_Audit!A182))</f>
        <v>XX182</v>
      </c>
      <c r="B183" s="54" t="str">
        <f>_xlfn.TEXTJOIN("-",TRUE,"ITD",Input!$A$2,A183)</f>
        <v>ITD-SHRXXX-XX182</v>
      </c>
      <c r="C183" s="54" t="str" cm="1">
        <f t="array" ref="C183">IFERROR(_xlfn.LET(
_xlpm.CSVVal,_xlfn.XLOOKUP($A183,CSV!$A:$A,CSV!B:B,""),
_xlpm.MacVal,_xlfn.XLOOKUP($A183,Output_Mac!$A:$A,Output_Mac!B:B,""),
_xlpm.MyAuditVal,_xlfn.XLOOKUP($A183,My_Audit!$A:$A,My_Audit!B:B,""),
_xlfn.IFS(_xlpm.MyAuditVal&lt;&gt;"",UPPER(_xlpm.MyAuditVal),_xlpm.MacVal&lt;&gt;"",_xlpm.MacVal,_xlpm.CSVVal&lt;&gt;"",_xlpm.CSVVal
)),"")</f>
        <v/>
      </c>
      <c r="D183" s="55" t="str">
        <f>_xlfn.XLOOKUP(A183,My_Audit!A:A,My_Audit!D:D,"")&amp;""</f>
        <v/>
      </c>
      <c r="E183" s="55" t="str" cm="1">
        <f t="array" ref="E183">IFERROR(_xlfn.LET(
_xlpm.CSVVal,_xlfn.XLOOKUP($A183,CSV!$A:$A,CSV!D:D,""),
_xlpm.MacVal,_xlfn.XLOOKUP($A183,Output_Mac!$A:$A,Output_Mac!C:C,""),
_xlpm.MyAuditVal,_xlfn.XLOOKUP($A183,My_Audit!$A:$A,My_Audit!D:D,""),
_xlfn.IFS(_xlpm.MyAuditVal&lt;&gt;"",_xlpm.MyAuditVal,_xlpm.MacVal&lt;&gt;"",_xlpm.MacVal,_xlpm.CSVVal&lt;&gt;"",_xlpm.CSVVal
)),"")</f>
        <v/>
      </c>
      <c r="F183" s="54" t="str" cm="1">
        <f t="array" ref="F183">IFERROR(_xlfn.LET(
_xlpm.CSVVal,_xlfn.XLOOKUP($A183,CSV!$A:$A,CSV!E:E,""),
_xlpm.MacVal,_xlfn.XLOOKUP($A183,Output_Mac!$A:$A,Output_Mac!F:F,""),
_xlpm.MyAuditVal,_xlfn.XLOOKUP($A183,My_Audit!$A:$A,My_Audit!E:E,""),
_xlfn.IFS(_xlpm.MyAuditVal&lt;&gt;"",_xlpm.MyAuditVal,_xlpm.MacVal&lt;&gt;"",_xlpm.MacVal,_xlpm.CSVVal&lt;&gt;"",PROPER(_xlpm.CSVVal)
)),"")</f>
        <v/>
      </c>
      <c r="G183" s="54" t="str" cm="1">
        <f t="array" ref="G183">IFERROR(_xlfn.LET(
_xlpm.CSVVal,_xlfn.XLOOKUP($A183,CSV!$A:$A,CSV!F:F,""),
_xlpm.MacVal,_xlfn.XLOOKUP($A183,Output_Mac!$A:$A,Output_Mac!H:H,""),
_xlpm.MyAuditVal,_xlfn.XLOOKUP($A183,My_Audit!$A:$A,My_Audit!F:F,""),
_xlfn.IFS(_xlpm.MyAuditVal&lt;&gt;"",_xlpm.MyAuditVal,_xlpm.MacVal&lt;&gt;"",_xlpm.MacVal,_xlpm.CSVVal&lt;&gt;"",_xlpm.CSVVal
)),"")</f>
        <v/>
      </c>
      <c r="H183" s="54" t="str">
        <f>_xlfn.XLOOKUP(A183,Output_Mac!A:A,Output_Mac!I:I,"")</f>
        <v/>
      </c>
      <c r="I183" s="54" t="str" cm="1">
        <f t="array" ref="I183">IFERROR(_xlfn.LET(
_xlpm.CSVVal,_xlfn.XLOOKUP($A183,CSV!$A:$A,CSV!G:G,""),
_xlpm.MacVal,_xlfn.XLOOKUP($A183,Output_Mac!$A:$A,Output_Mac!J:J,""),
_xlpm.MyAuditVal,_xlfn.XLOOKUP($A183,My_Audit!$A:$A,My_Audit!H:H,""),
_xlfn.IFS(_xlpm.MyAuditVal&lt;&gt;"",UPPER(_xlpm.MyAuditVal),_xlpm.MacVal&lt;&gt;"",_xlpm.MacVal,_xlpm.CSVVal&lt;&gt;"",_xlpm.CSVVal
)),"")</f>
        <v/>
      </c>
      <c r="J183" s="54" t="str" cm="1">
        <f t="array" ref="J183">IFERROR(_xlfn.LET(
_xlpm.CSVVal,_xlfn.XLOOKUP($A183,CSV!$A:$A,CSV!I:I,""),
_xlpm.MacVal,_xlfn.XLOOKUP($A183,Output_Mac!$A:$A,Output_Mac!K:K,""),
_xlpm.MyAuditVal,_xlfn.XLOOKUP($A183,My_Audit!$A:$A,My_Audit!I:I,""),
_xlfn.IFS(_xlpm.MyAuditVal&lt;&gt;"",UPPER(_xlpm.MyAuditVal),_xlpm.MacVal&lt;&gt;"",_xlpm.MacVal,_xlpm.CSVVal&lt;&gt;"",_xlpm.CSVVal
)),"")</f>
        <v/>
      </c>
      <c r="K183" s="54" t="str" cm="1">
        <f t="array" ref="K183">IFERROR(_xlfn.LET(
_xlpm.CSVVal,_xlfn.XLOOKUP($A183,CSV!$A:$A,CSV!M:M,""),
_xlpm.MacVal,_xlfn.XLOOKUP($A183,Output_Mac!$A:$A,Output_Mac!L:L,""),
_xlpm.MyAuditVal,_xlfn.XLOOKUP($A183,My_Audit!$A:$A,My_Audit!J:J,""),
_xlfn.IFS(_xlpm.MyAuditVal&lt;&gt;"",UPPER(_xlpm.MyAuditVal),_xlpm.MacVal&lt;&gt;"",_xlpm.MacVal,_xlpm.CSVVal&lt;&gt;"",_xlpm.CSVVal
)),"")</f>
        <v/>
      </c>
      <c r="L183" s="55" t="str" cm="1">
        <f t="array" ref="L183">IFERROR(_xlfn.LET(
_xlpm.CSVVal,_xlfn.XLOOKUP($A183,CSV!$A:$A,CSV!P:P,""),
_xlpm.MacVal,_xlfn.XLOOKUP($A183,Output_Mac!$A:$A,Output_Mac!M:M,""),
_xlpm.MyAuditVal,_xlfn.XLOOKUP($A183,My_Audit!$A:$A,My_Audit!K:K,""),
_xlfn.IFS(_xlpm.MyAuditVal&lt;&gt;"",UPPER(_xlpm.MyAuditVal),_xlpm.MacVal&lt;&gt;"",_xlpm.MacVal,_xlpm.CSVVal&lt;&gt;"",_xlpm.CSVVal
)),"")</f>
        <v/>
      </c>
      <c r="M183" s="54" t="str">
        <f>_xlfn.LET(
    _xlpm.CSVVal, _xlfn.XLOOKUP($A183, CSV!$A:$A, CSV!AD:AD, ""),
    _xlpm.MacVal, _xlfn.XLOOKUP($A183, Output_Mac!$A:$A, Output_Mac!S:S, ""),
    _xlpm.MyAuditVal, _xlfn.XLOOKUP($A183, My_Audit!$A:$A, My_Audit!N:N, ""),
    _xlfn.TEXTJOIN(", ", TRUE, _xlpm.MyAuditVal, _xlpm.MacVal, _xlpm.CSVVal)
)</f>
        <v/>
      </c>
      <c r="N183" s="54" t="str" cm="1">
        <f t="array" ref="N183">IFERROR(_xlfn.LET(
_xlpm.CSVVal,_xlfn.XLOOKUP($A183,CSV!$A:$A,CSV!AF:AF,""),
_xlpm.MacVal,_xlfn.XLOOKUP($A183,Output_Mac!$A:$A,Output_Mac!U:U,""),
_xlpm.MyAuditVal,_xlfn.XLOOKUP($A183,My_Audit!$A:$A,My_Audit!O:O,""),
_xlfn.IFS(_xlpm.MyAuditVal&lt;&gt;"",UPPER(_xlpm.MyAuditVal),_xlpm.MacVal&lt;&gt;"",_xlpm.MacVal,_xlpm.CSVVal&lt;&gt;"",_xlpm.CSVVal
)),"")</f>
        <v/>
      </c>
      <c r="O183" s="54"/>
      <c r="P183" s="54"/>
      <c r="Q183" s="54"/>
      <c r="R183" s="54"/>
      <c r="S183" s="54"/>
      <c r="T183" s="54"/>
      <c r="U183" s="39"/>
    </row>
    <row r="184" spans="1:21">
      <c r="A184" s="54" t="str">
        <f>_xlfn.TEXTJOIN("",TRUE,Input!$B$2,ROW(My_Audit!A183))</f>
        <v>XX183</v>
      </c>
      <c r="B184" s="54" t="str">
        <f>_xlfn.TEXTJOIN("-",TRUE,"ITD",Input!$A$2,A184)</f>
        <v>ITD-SHRXXX-XX183</v>
      </c>
      <c r="C184" s="54" t="str" cm="1">
        <f t="array" ref="C184">IFERROR(_xlfn.LET(
_xlpm.CSVVal,_xlfn.XLOOKUP($A184,CSV!$A:$A,CSV!B:B,""),
_xlpm.MacVal,_xlfn.XLOOKUP($A184,Output_Mac!$A:$A,Output_Mac!B:B,""),
_xlpm.MyAuditVal,_xlfn.XLOOKUP($A184,My_Audit!$A:$A,My_Audit!B:B,""),
_xlfn.IFS(_xlpm.MyAuditVal&lt;&gt;"",UPPER(_xlpm.MyAuditVal),_xlpm.MacVal&lt;&gt;"",_xlpm.MacVal,_xlpm.CSVVal&lt;&gt;"",_xlpm.CSVVal
)),"")</f>
        <v/>
      </c>
      <c r="D184" s="55" t="str">
        <f>_xlfn.XLOOKUP(A184,My_Audit!A:A,My_Audit!D:D,"")&amp;""</f>
        <v/>
      </c>
      <c r="E184" s="55" t="str" cm="1">
        <f t="array" ref="E184">IFERROR(_xlfn.LET(
_xlpm.CSVVal,_xlfn.XLOOKUP($A184,CSV!$A:$A,CSV!D:D,""),
_xlpm.MacVal,_xlfn.XLOOKUP($A184,Output_Mac!$A:$A,Output_Mac!C:C,""),
_xlpm.MyAuditVal,_xlfn.XLOOKUP($A184,My_Audit!$A:$A,My_Audit!D:D,""),
_xlfn.IFS(_xlpm.MyAuditVal&lt;&gt;"",_xlpm.MyAuditVal,_xlpm.MacVal&lt;&gt;"",_xlpm.MacVal,_xlpm.CSVVal&lt;&gt;"",_xlpm.CSVVal
)),"")</f>
        <v/>
      </c>
      <c r="F184" s="54" t="str" cm="1">
        <f t="array" ref="F184">IFERROR(_xlfn.LET(
_xlpm.CSVVal,_xlfn.XLOOKUP($A184,CSV!$A:$A,CSV!E:E,""),
_xlpm.MacVal,_xlfn.XLOOKUP($A184,Output_Mac!$A:$A,Output_Mac!F:F,""),
_xlpm.MyAuditVal,_xlfn.XLOOKUP($A184,My_Audit!$A:$A,My_Audit!E:E,""),
_xlfn.IFS(_xlpm.MyAuditVal&lt;&gt;"",_xlpm.MyAuditVal,_xlpm.MacVal&lt;&gt;"",_xlpm.MacVal,_xlpm.CSVVal&lt;&gt;"",PROPER(_xlpm.CSVVal)
)),"")</f>
        <v/>
      </c>
      <c r="G184" s="54" t="str" cm="1">
        <f t="array" ref="G184">IFERROR(_xlfn.LET(
_xlpm.CSVVal,_xlfn.XLOOKUP($A184,CSV!$A:$A,CSV!F:F,""),
_xlpm.MacVal,_xlfn.XLOOKUP($A184,Output_Mac!$A:$A,Output_Mac!H:H,""),
_xlpm.MyAuditVal,_xlfn.XLOOKUP($A184,My_Audit!$A:$A,My_Audit!F:F,""),
_xlfn.IFS(_xlpm.MyAuditVal&lt;&gt;"",_xlpm.MyAuditVal,_xlpm.MacVal&lt;&gt;"",_xlpm.MacVal,_xlpm.CSVVal&lt;&gt;"",_xlpm.CSVVal
)),"")</f>
        <v/>
      </c>
      <c r="H184" s="54" t="str">
        <f>_xlfn.XLOOKUP(A184,Output_Mac!A:A,Output_Mac!I:I,"")</f>
        <v/>
      </c>
      <c r="I184" s="54" t="str" cm="1">
        <f t="array" ref="I184">IFERROR(_xlfn.LET(
_xlpm.CSVVal,_xlfn.XLOOKUP($A184,CSV!$A:$A,CSV!G:G,""),
_xlpm.MacVal,_xlfn.XLOOKUP($A184,Output_Mac!$A:$A,Output_Mac!J:J,""),
_xlpm.MyAuditVal,_xlfn.XLOOKUP($A184,My_Audit!$A:$A,My_Audit!H:H,""),
_xlfn.IFS(_xlpm.MyAuditVal&lt;&gt;"",UPPER(_xlpm.MyAuditVal),_xlpm.MacVal&lt;&gt;"",_xlpm.MacVal,_xlpm.CSVVal&lt;&gt;"",_xlpm.CSVVal
)),"")</f>
        <v/>
      </c>
      <c r="J184" s="54" t="str" cm="1">
        <f t="array" ref="J184">IFERROR(_xlfn.LET(
_xlpm.CSVVal,_xlfn.XLOOKUP($A184,CSV!$A:$A,CSV!I:I,""),
_xlpm.MacVal,_xlfn.XLOOKUP($A184,Output_Mac!$A:$A,Output_Mac!K:K,""),
_xlpm.MyAuditVal,_xlfn.XLOOKUP($A184,My_Audit!$A:$A,My_Audit!I:I,""),
_xlfn.IFS(_xlpm.MyAuditVal&lt;&gt;"",UPPER(_xlpm.MyAuditVal),_xlpm.MacVal&lt;&gt;"",_xlpm.MacVal,_xlpm.CSVVal&lt;&gt;"",_xlpm.CSVVal
)),"")</f>
        <v/>
      </c>
      <c r="K184" s="54" t="str" cm="1">
        <f t="array" ref="K184">IFERROR(_xlfn.LET(
_xlpm.CSVVal,_xlfn.XLOOKUP($A184,CSV!$A:$A,CSV!M:M,""),
_xlpm.MacVal,_xlfn.XLOOKUP($A184,Output_Mac!$A:$A,Output_Mac!L:L,""),
_xlpm.MyAuditVal,_xlfn.XLOOKUP($A184,My_Audit!$A:$A,My_Audit!J:J,""),
_xlfn.IFS(_xlpm.MyAuditVal&lt;&gt;"",UPPER(_xlpm.MyAuditVal),_xlpm.MacVal&lt;&gt;"",_xlpm.MacVal,_xlpm.CSVVal&lt;&gt;"",_xlpm.CSVVal
)),"")</f>
        <v/>
      </c>
      <c r="L184" s="55" t="str" cm="1">
        <f t="array" ref="L184">IFERROR(_xlfn.LET(
_xlpm.CSVVal,_xlfn.XLOOKUP($A184,CSV!$A:$A,CSV!P:P,""),
_xlpm.MacVal,_xlfn.XLOOKUP($A184,Output_Mac!$A:$A,Output_Mac!M:M,""),
_xlpm.MyAuditVal,_xlfn.XLOOKUP($A184,My_Audit!$A:$A,My_Audit!K:K,""),
_xlfn.IFS(_xlpm.MyAuditVal&lt;&gt;"",UPPER(_xlpm.MyAuditVal),_xlpm.MacVal&lt;&gt;"",_xlpm.MacVal,_xlpm.CSVVal&lt;&gt;"",_xlpm.CSVVal
)),"")</f>
        <v/>
      </c>
      <c r="M184" s="54" t="str">
        <f>_xlfn.LET(
    _xlpm.CSVVal, _xlfn.XLOOKUP($A184, CSV!$A:$A, CSV!AD:AD, ""),
    _xlpm.MacVal, _xlfn.XLOOKUP($A184, Output_Mac!$A:$A, Output_Mac!S:S, ""),
    _xlpm.MyAuditVal, _xlfn.XLOOKUP($A184, My_Audit!$A:$A, My_Audit!N:N, ""),
    _xlfn.TEXTJOIN(", ", TRUE, _xlpm.MyAuditVal, _xlpm.MacVal, _xlpm.CSVVal)
)</f>
        <v/>
      </c>
      <c r="N184" s="54" t="str" cm="1">
        <f t="array" ref="N184">IFERROR(_xlfn.LET(
_xlpm.CSVVal,_xlfn.XLOOKUP($A184,CSV!$A:$A,CSV!AF:AF,""),
_xlpm.MacVal,_xlfn.XLOOKUP($A184,Output_Mac!$A:$A,Output_Mac!U:U,""),
_xlpm.MyAuditVal,_xlfn.XLOOKUP($A184,My_Audit!$A:$A,My_Audit!O:O,""),
_xlfn.IFS(_xlpm.MyAuditVal&lt;&gt;"",UPPER(_xlpm.MyAuditVal),_xlpm.MacVal&lt;&gt;"",_xlpm.MacVal,_xlpm.CSVVal&lt;&gt;"",_xlpm.CSVVal
)),"")</f>
        <v/>
      </c>
      <c r="O184" s="54"/>
      <c r="P184" s="54"/>
      <c r="Q184" s="54"/>
      <c r="R184" s="54"/>
      <c r="S184" s="54"/>
      <c r="T184" s="54"/>
      <c r="U184" s="39"/>
    </row>
    <row r="185" spans="1:21">
      <c r="A185" s="54" t="str">
        <f>_xlfn.TEXTJOIN("",TRUE,Input!$B$2,ROW(My_Audit!A184))</f>
        <v>XX184</v>
      </c>
      <c r="B185" s="54" t="str">
        <f>_xlfn.TEXTJOIN("-",TRUE,"ITD",Input!$A$2,A185)</f>
        <v>ITD-SHRXXX-XX184</v>
      </c>
      <c r="C185" s="54" t="str" cm="1">
        <f t="array" ref="C185">IFERROR(_xlfn.LET(
_xlpm.CSVVal,_xlfn.XLOOKUP($A185,CSV!$A:$A,CSV!B:B,""),
_xlpm.MacVal,_xlfn.XLOOKUP($A185,Output_Mac!$A:$A,Output_Mac!B:B,""),
_xlpm.MyAuditVal,_xlfn.XLOOKUP($A185,My_Audit!$A:$A,My_Audit!B:B,""),
_xlfn.IFS(_xlpm.MyAuditVal&lt;&gt;"",UPPER(_xlpm.MyAuditVal),_xlpm.MacVal&lt;&gt;"",_xlpm.MacVal,_xlpm.CSVVal&lt;&gt;"",_xlpm.CSVVal
)),"")</f>
        <v/>
      </c>
      <c r="D185" s="55" t="str">
        <f>_xlfn.XLOOKUP(A185,My_Audit!A:A,My_Audit!D:D,"")&amp;""</f>
        <v/>
      </c>
      <c r="E185" s="55" t="str" cm="1">
        <f t="array" ref="E185">IFERROR(_xlfn.LET(
_xlpm.CSVVal,_xlfn.XLOOKUP($A185,CSV!$A:$A,CSV!D:D,""),
_xlpm.MacVal,_xlfn.XLOOKUP($A185,Output_Mac!$A:$A,Output_Mac!C:C,""),
_xlpm.MyAuditVal,_xlfn.XLOOKUP($A185,My_Audit!$A:$A,My_Audit!D:D,""),
_xlfn.IFS(_xlpm.MyAuditVal&lt;&gt;"",_xlpm.MyAuditVal,_xlpm.MacVal&lt;&gt;"",_xlpm.MacVal,_xlpm.CSVVal&lt;&gt;"",_xlpm.CSVVal
)),"")</f>
        <v/>
      </c>
      <c r="F185" s="54" t="str" cm="1">
        <f t="array" ref="F185">IFERROR(_xlfn.LET(
_xlpm.CSVVal,_xlfn.XLOOKUP($A185,CSV!$A:$A,CSV!E:E,""),
_xlpm.MacVal,_xlfn.XLOOKUP($A185,Output_Mac!$A:$A,Output_Mac!F:F,""),
_xlpm.MyAuditVal,_xlfn.XLOOKUP($A185,My_Audit!$A:$A,My_Audit!E:E,""),
_xlfn.IFS(_xlpm.MyAuditVal&lt;&gt;"",_xlpm.MyAuditVal,_xlpm.MacVal&lt;&gt;"",_xlpm.MacVal,_xlpm.CSVVal&lt;&gt;"",PROPER(_xlpm.CSVVal)
)),"")</f>
        <v/>
      </c>
      <c r="G185" s="54" t="str" cm="1">
        <f t="array" ref="G185">IFERROR(_xlfn.LET(
_xlpm.CSVVal,_xlfn.XLOOKUP($A185,CSV!$A:$A,CSV!F:F,""),
_xlpm.MacVal,_xlfn.XLOOKUP($A185,Output_Mac!$A:$A,Output_Mac!H:H,""),
_xlpm.MyAuditVal,_xlfn.XLOOKUP($A185,My_Audit!$A:$A,My_Audit!F:F,""),
_xlfn.IFS(_xlpm.MyAuditVal&lt;&gt;"",_xlpm.MyAuditVal,_xlpm.MacVal&lt;&gt;"",_xlpm.MacVal,_xlpm.CSVVal&lt;&gt;"",_xlpm.CSVVal
)),"")</f>
        <v/>
      </c>
      <c r="H185" s="54" t="str">
        <f>_xlfn.XLOOKUP(A185,Output_Mac!A:A,Output_Mac!I:I,"")</f>
        <v/>
      </c>
      <c r="I185" s="54" t="str" cm="1">
        <f t="array" ref="I185">IFERROR(_xlfn.LET(
_xlpm.CSVVal,_xlfn.XLOOKUP($A185,CSV!$A:$A,CSV!G:G,""),
_xlpm.MacVal,_xlfn.XLOOKUP($A185,Output_Mac!$A:$A,Output_Mac!J:J,""),
_xlpm.MyAuditVal,_xlfn.XLOOKUP($A185,My_Audit!$A:$A,My_Audit!H:H,""),
_xlfn.IFS(_xlpm.MyAuditVal&lt;&gt;"",UPPER(_xlpm.MyAuditVal),_xlpm.MacVal&lt;&gt;"",_xlpm.MacVal,_xlpm.CSVVal&lt;&gt;"",_xlpm.CSVVal
)),"")</f>
        <v/>
      </c>
      <c r="J185" s="54" t="str" cm="1">
        <f t="array" ref="J185">IFERROR(_xlfn.LET(
_xlpm.CSVVal,_xlfn.XLOOKUP($A185,CSV!$A:$A,CSV!I:I,""),
_xlpm.MacVal,_xlfn.XLOOKUP($A185,Output_Mac!$A:$A,Output_Mac!K:K,""),
_xlpm.MyAuditVal,_xlfn.XLOOKUP($A185,My_Audit!$A:$A,My_Audit!I:I,""),
_xlfn.IFS(_xlpm.MyAuditVal&lt;&gt;"",UPPER(_xlpm.MyAuditVal),_xlpm.MacVal&lt;&gt;"",_xlpm.MacVal,_xlpm.CSVVal&lt;&gt;"",_xlpm.CSVVal
)),"")</f>
        <v/>
      </c>
      <c r="K185" s="54" t="str" cm="1">
        <f t="array" ref="K185">IFERROR(_xlfn.LET(
_xlpm.CSVVal,_xlfn.XLOOKUP($A185,CSV!$A:$A,CSV!M:M,""),
_xlpm.MacVal,_xlfn.XLOOKUP($A185,Output_Mac!$A:$A,Output_Mac!L:L,""),
_xlpm.MyAuditVal,_xlfn.XLOOKUP($A185,My_Audit!$A:$A,My_Audit!J:J,""),
_xlfn.IFS(_xlpm.MyAuditVal&lt;&gt;"",UPPER(_xlpm.MyAuditVal),_xlpm.MacVal&lt;&gt;"",_xlpm.MacVal,_xlpm.CSVVal&lt;&gt;"",_xlpm.CSVVal
)),"")</f>
        <v/>
      </c>
      <c r="L185" s="55" t="str" cm="1">
        <f t="array" ref="L185">IFERROR(_xlfn.LET(
_xlpm.CSVVal,_xlfn.XLOOKUP($A185,CSV!$A:$A,CSV!P:P,""),
_xlpm.MacVal,_xlfn.XLOOKUP($A185,Output_Mac!$A:$A,Output_Mac!M:M,""),
_xlpm.MyAuditVal,_xlfn.XLOOKUP($A185,My_Audit!$A:$A,My_Audit!K:K,""),
_xlfn.IFS(_xlpm.MyAuditVal&lt;&gt;"",UPPER(_xlpm.MyAuditVal),_xlpm.MacVal&lt;&gt;"",_xlpm.MacVal,_xlpm.CSVVal&lt;&gt;"",_xlpm.CSVVal
)),"")</f>
        <v/>
      </c>
      <c r="M185" s="54" t="str">
        <f>_xlfn.LET(
    _xlpm.CSVVal, _xlfn.XLOOKUP($A185, CSV!$A:$A, CSV!AD:AD, ""),
    _xlpm.MacVal, _xlfn.XLOOKUP($A185, Output_Mac!$A:$A, Output_Mac!S:S, ""),
    _xlpm.MyAuditVal, _xlfn.XLOOKUP($A185, My_Audit!$A:$A, My_Audit!N:N, ""),
    _xlfn.TEXTJOIN(", ", TRUE, _xlpm.MyAuditVal, _xlpm.MacVal, _xlpm.CSVVal)
)</f>
        <v/>
      </c>
      <c r="N185" s="54" t="str" cm="1">
        <f t="array" ref="N185">IFERROR(_xlfn.LET(
_xlpm.CSVVal,_xlfn.XLOOKUP($A185,CSV!$A:$A,CSV!AF:AF,""),
_xlpm.MacVal,_xlfn.XLOOKUP($A185,Output_Mac!$A:$A,Output_Mac!U:U,""),
_xlpm.MyAuditVal,_xlfn.XLOOKUP($A185,My_Audit!$A:$A,My_Audit!O:O,""),
_xlfn.IFS(_xlpm.MyAuditVal&lt;&gt;"",UPPER(_xlpm.MyAuditVal),_xlpm.MacVal&lt;&gt;"",_xlpm.MacVal,_xlpm.CSVVal&lt;&gt;"",_xlpm.CSVVal
)),"")</f>
        <v/>
      </c>
      <c r="O185" s="54"/>
      <c r="P185" s="54"/>
      <c r="Q185" s="54"/>
      <c r="R185" s="54"/>
      <c r="S185" s="54"/>
      <c r="T185" s="54"/>
      <c r="U185" s="39"/>
    </row>
    <row r="186" spans="1:21">
      <c r="A186" s="54" t="str">
        <f>_xlfn.TEXTJOIN("",TRUE,Input!$B$2,ROW(My_Audit!A185))</f>
        <v>XX185</v>
      </c>
      <c r="B186" s="54" t="str">
        <f>_xlfn.TEXTJOIN("-",TRUE,"ITD",Input!$A$2,A186)</f>
        <v>ITD-SHRXXX-XX185</v>
      </c>
      <c r="C186" s="54" t="str" cm="1">
        <f t="array" ref="C186">IFERROR(_xlfn.LET(
_xlpm.CSVVal,_xlfn.XLOOKUP($A186,CSV!$A:$A,CSV!B:B,""),
_xlpm.MacVal,_xlfn.XLOOKUP($A186,Output_Mac!$A:$A,Output_Mac!B:B,""),
_xlpm.MyAuditVal,_xlfn.XLOOKUP($A186,My_Audit!$A:$A,My_Audit!B:B,""),
_xlfn.IFS(_xlpm.MyAuditVal&lt;&gt;"",UPPER(_xlpm.MyAuditVal),_xlpm.MacVal&lt;&gt;"",_xlpm.MacVal,_xlpm.CSVVal&lt;&gt;"",_xlpm.CSVVal
)),"")</f>
        <v/>
      </c>
      <c r="D186" s="55" t="str">
        <f>_xlfn.XLOOKUP(A186,My_Audit!A:A,My_Audit!D:D,"")&amp;""</f>
        <v/>
      </c>
      <c r="E186" s="55" t="str" cm="1">
        <f t="array" ref="E186">IFERROR(_xlfn.LET(
_xlpm.CSVVal,_xlfn.XLOOKUP($A186,CSV!$A:$A,CSV!D:D,""),
_xlpm.MacVal,_xlfn.XLOOKUP($A186,Output_Mac!$A:$A,Output_Mac!C:C,""),
_xlpm.MyAuditVal,_xlfn.XLOOKUP($A186,My_Audit!$A:$A,My_Audit!D:D,""),
_xlfn.IFS(_xlpm.MyAuditVal&lt;&gt;"",_xlpm.MyAuditVal,_xlpm.MacVal&lt;&gt;"",_xlpm.MacVal,_xlpm.CSVVal&lt;&gt;"",_xlpm.CSVVal
)),"")</f>
        <v/>
      </c>
      <c r="F186" s="54" t="str" cm="1">
        <f t="array" ref="F186">IFERROR(_xlfn.LET(
_xlpm.CSVVal,_xlfn.XLOOKUP($A186,CSV!$A:$A,CSV!E:E,""),
_xlpm.MacVal,_xlfn.XLOOKUP($A186,Output_Mac!$A:$A,Output_Mac!F:F,""),
_xlpm.MyAuditVal,_xlfn.XLOOKUP($A186,My_Audit!$A:$A,My_Audit!E:E,""),
_xlfn.IFS(_xlpm.MyAuditVal&lt;&gt;"",_xlpm.MyAuditVal,_xlpm.MacVal&lt;&gt;"",_xlpm.MacVal,_xlpm.CSVVal&lt;&gt;"",PROPER(_xlpm.CSVVal)
)),"")</f>
        <v/>
      </c>
      <c r="G186" s="54" t="str" cm="1">
        <f t="array" ref="G186">IFERROR(_xlfn.LET(
_xlpm.CSVVal,_xlfn.XLOOKUP($A186,CSV!$A:$A,CSV!F:F,""),
_xlpm.MacVal,_xlfn.XLOOKUP($A186,Output_Mac!$A:$A,Output_Mac!H:H,""),
_xlpm.MyAuditVal,_xlfn.XLOOKUP($A186,My_Audit!$A:$A,My_Audit!F:F,""),
_xlfn.IFS(_xlpm.MyAuditVal&lt;&gt;"",_xlpm.MyAuditVal,_xlpm.MacVal&lt;&gt;"",_xlpm.MacVal,_xlpm.CSVVal&lt;&gt;"",_xlpm.CSVVal
)),"")</f>
        <v/>
      </c>
      <c r="H186" s="54" t="str">
        <f>_xlfn.XLOOKUP(A186,Output_Mac!A:A,Output_Mac!I:I,"")</f>
        <v/>
      </c>
      <c r="I186" s="54" t="str" cm="1">
        <f t="array" ref="I186">IFERROR(_xlfn.LET(
_xlpm.CSVVal,_xlfn.XLOOKUP($A186,CSV!$A:$A,CSV!G:G,""),
_xlpm.MacVal,_xlfn.XLOOKUP($A186,Output_Mac!$A:$A,Output_Mac!J:J,""),
_xlpm.MyAuditVal,_xlfn.XLOOKUP($A186,My_Audit!$A:$A,My_Audit!H:H,""),
_xlfn.IFS(_xlpm.MyAuditVal&lt;&gt;"",UPPER(_xlpm.MyAuditVal),_xlpm.MacVal&lt;&gt;"",_xlpm.MacVal,_xlpm.CSVVal&lt;&gt;"",_xlpm.CSVVal
)),"")</f>
        <v/>
      </c>
      <c r="J186" s="54" t="str" cm="1">
        <f t="array" ref="J186">IFERROR(_xlfn.LET(
_xlpm.CSVVal,_xlfn.XLOOKUP($A186,CSV!$A:$A,CSV!I:I,""),
_xlpm.MacVal,_xlfn.XLOOKUP($A186,Output_Mac!$A:$A,Output_Mac!K:K,""),
_xlpm.MyAuditVal,_xlfn.XLOOKUP($A186,My_Audit!$A:$A,My_Audit!I:I,""),
_xlfn.IFS(_xlpm.MyAuditVal&lt;&gt;"",UPPER(_xlpm.MyAuditVal),_xlpm.MacVal&lt;&gt;"",_xlpm.MacVal,_xlpm.CSVVal&lt;&gt;"",_xlpm.CSVVal
)),"")</f>
        <v/>
      </c>
      <c r="K186" s="54" t="str" cm="1">
        <f t="array" ref="K186">IFERROR(_xlfn.LET(
_xlpm.CSVVal,_xlfn.XLOOKUP($A186,CSV!$A:$A,CSV!M:M,""),
_xlpm.MacVal,_xlfn.XLOOKUP($A186,Output_Mac!$A:$A,Output_Mac!L:L,""),
_xlpm.MyAuditVal,_xlfn.XLOOKUP($A186,My_Audit!$A:$A,My_Audit!J:J,""),
_xlfn.IFS(_xlpm.MyAuditVal&lt;&gt;"",UPPER(_xlpm.MyAuditVal),_xlpm.MacVal&lt;&gt;"",_xlpm.MacVal,_xlpm.CSVVal&lt;&gt;"",_xlpm.CSVVal
)),"")</f>
        <v/>
      </c>
      <c r="L186" s="55" t="str" cm="1">
        <f t="array" ref="L186">IFERROR(_xlfn.LET(
_xlpm.CSVVal,_xlfn.XLOOKUP($A186,CSV!$A:$A,CSV!P:P,""),
_xlpm.MacVal,_xlfn.XLOOKUP($A186,Output_Mac!$A:$A,Output_Mac!M:M,""),
_xlpm.MyAuditVal,_xlfn.XLOOKUP($A186,My_Audit!$A:$A,My_Audit!K:K,""),
_xlfn.IFS(_xlpm.MyAuditVal&lt;&gt;"",UPPER(_xlpm.MyAuditVal),_xlpm.MacVal&lt;&gt;"",_xlpm.MacVal,_xlpm.CSVVal&lt;&gt;"",_xlpm.CSVVal
)),"")</f>
        <v/>
      </c>
      <c r="M186" s="54" t="str">
        <f>_xlfn.LET(
    _xlpm.CSVVal, _xlfn.XLOOKUP($A186, CSV!$A:$A, CSV!AD:AD, ""),
    _xlpm.MacVal, _xlfn.XLOOKUP($A186, Output_Mac!$A:$A, Output_Mac!S:S, ""),
    _xlpm.MyAuditVal, _xlfn.XLOOKUP($A186, My_Audit!$A:$A, My_Audit!N:N, ""),
    _xlfn.TEXTJOIN(", ", TRUE, _xlpm.MyAuditVal, _xlpm.MacVal, _xlpm.CSVVal)
)</f>
        <v/>
      </c>
      <c r="N186" s="54" t="str" cm="1">
        <f t="array" ref="N186">IFERROR(_xlfn.LET(
_xlpm.CSVVal,_xlfn.XLOOKUP($A186,CSV!$A:$A,CSV!AF:AF,""),
_xlpm.MacVal,_xlfn.XLOOKUP($A186,Output_Mac!$A:$A,Output_Mac!U:U,""),
_xlpm.MyAuditVal,_xlfn.XLOOKUP($A186,My_Audit!$A:$A,My_Audit!O:O,""),
_xlfn.IFS(_xlpm.MyAuditVal&lt;&gt;"",UPPER(_xlpm.MyAuditVal),_xlpm.MacVal&lt;&gt;"",_xlpm.MacVal,_xlpm.CSVVal&lt;&gt;"",_xlpm.CSVVal
)),"")</f>
        <v/>
      </c>
      <c r="O186" s="54"/>
      <c r="P186" s="54"/>
      <c r="Q186" s="54"/>
      <c r="R186" s="54"/>
      <c r="S186" s="54"/>
      <c r="T186" s="54"/>
      <c r="U186" s="39"/>
    </row>
    <row r="187" spans="1:21">
      <c r="A187" s="54" t="str">
        <f>_xlfn.TEXTJOIN("",TRUE,Input!$B$2,ROW(My_Audit!A186))</f>
        <v>XX186</v>
      </c>
      <c r="B187" s="54" t="str">
        <f>_xlfn.TEXTJOIN("-",TRUE,"ITD",Input!$A$2,A187)</f>
        <v>ITD-SHRXXX-XX186</v>
      </c>
      <c r="C187" s="54" t="str" cm="1">
        <f t="array" ref="C187">IFERROR(_xlfn.LET(
_xlpm.CSVVal,_xlfn.XLOOKUP($A187,CSV!$A:$A,CSV!B:B,""),
_xlpm.MacVal,_xlfn.XLOOKUP($A187,Output_Mac!$A:$A,Output_Mac!B:B,""),
_xlpm.MyAuditVal,_xlfn.XLOOKUP($A187,My_Audit!$A:$A,My_Audit!B:B,""),
_xlfn.IFS(_xlpm.MyAuditVal&lt;&gt;"",UPPER(_xlpm.MyAuditVal),_xlpm.MacVal&lt;&gt;"",_xlpm.MacVal,_xlpm.CSVVal&lt;&gt;"",_xlpm.CSVVal
)),"")</f>
        <v/>
      </c>
      <c r="D187" s="55" t="str">
        <f>_xlfn.XLOOKUP(A187,My_Audit!A:A,My_Audit!D:D,"")&amp;""</f>
        <v/>
      </c>
      <c r="E187" s="55" t="str" cm="1">
        <f t="array" ref="E187">IFERROR(_xlfn.LET(
_xlpm.CSVVal,_xlfn.XLOOKUP($A187,CSV!$A:$A,CSV!D:D,""),
_xlpm.MacVal,_xlfn.XLOOKUP($A187,Output_Mac!$A:$A,Output_Mac!C:C,""),
_xlpm.MyAuditVal,_xlfn.XLOOKUP($A187,My_Audit!$A:$A,My_Audit!D:D,""),
_xlfn.IFS(_xlpm.MyAuditVal&lt;&gt;"",_xlpm.MyAuditVal,_xlpm.MacVal&lt;&gt;"",_xlpm.MacVal,_xlpm.CSVVal&lt;&gt;"",_xlpm.CSVVal
)),"")</f>
        <v/>
      </c>
      <c r="F187" s="54" t="str" cm="1">
        <f t="array" ref="F187">IFERROR(_xlfn.LET(
_xlpm.CSVVal,_xlfn.XLOOKUP($A187,CSV!$A:$A,CSV!E:E,""),
_xlpm.MacVal,_xlfn.XLOOKUP($A187,Output_Mac!$A:$A,Output_Mac!F:F,""),
_xlpm.MyAuditVal,_xlfn.XLOOKUP($A187,My_Audit!$A:$A,My_Audit!E:E,""),
_xlfn.IFS(_xlpm.MyAuditVal&lt;&gt;"",_xlpm.MyAuditVal,_xlpm.MacVal&lt;&gt;"",_xlpm.MacVal,_xlpm.CSVVal&lt;&gt;"",PROPER(_xlpm.CSVVal)
)),"")</f>
        <v/>
      </c>
      <c r="G187" s="54" t="str" cm="1">
        <f t="array" ref="G187">IFERROR(_xlfn.LET(
_xlpm.CSVVal,_xlfn.XLOOKUP($A187,CSV!$A:$A,CSV!F:F,""),
_xlpm.MacVal,_xlfn.XLOOKUP($A187,Output_Mac!$A:$A,Output_Mac!H:H,""),
_xlpm.MyAuditVal,_xlfn.XLOOKUP($A187,My_Audit!$A:$A,My_Audit!F:F,""),
_xlfn.IFS(_xlpm.MyAuditVal&lt;&gt;"",_xlpm.MyAuditVal,_xlpm.MacVal&lt;&gt;"",_xlpm.MacVal,_xlpm.CSVVal&lt;&gt;"",_xlpm.CSVVal
)),"")</f>
        <v/>
      </c>
      <c r="H187" s="54" t="str">
        <f>_xlfn.XLOOKUP(A187,Output_Mac!A:A,Output_Mac!I:I,"")</f>
        <v/>
      </c>
      <c r="I187" s="54" t="str" cm="1">
        <f t="array" ref="I187">IFERROR(_xlfn.LET(
_xlpm.CSVVal,_xlfn.XLOOKUP($A187,CSV!$A:$A,CSV!G:G,""),
_xlpm.MacVal,_xlfn.XLOOKUP($A187,Output_Mac!$A:$A,Output_Mac!J:J,""),
_xlpm.MyAuditVal,_xlfn.XLOOKUP($A187,My_Audit!$A:$A,My_Audit!H:H,""),
_xlfn.IFS(_xlpm.MyAuditVal&lt;&gt;"",UPPER(_xlpm.MyAuditVal),_xlpm.MacVal&lt;&gt;"",_xlpm.MacVal,_xlpm.CSVVal&lt;&gt;"",_xlpm.CSVVal
)),"")</f>
        <v/>
      </c>
      <c r="J187" s="54" t="str" cm="1">
        <f t="array" ref="J187">IFERROR(_xlfn.LET(
_xlpm.CSVVal,_xlfn.XLOOKUP($A187,CSV!$A:$A,CSV!I:I,""),
_xlpm.MacVal,_xlfn.XLOOKUP($A187,Output_Mac!$A:$A,Output_Mac!K:K,""),
_xlpm.MyAuditVal,_xlfn.XLOOKUP($A187,My_Audit!$A:$A,My_Audit!I:I,""),
_xlfn.IFS(_xlpm.MyAuditVal&lt;&gt;"",UPPER(_xlpm.MyAuditVal),_xlpm.MacVal&lt;&gt;"",_xlpm.MacVal,_xlpm.CSVVal&lt;&gt;"",_xlpm.CSVVal
)),"")</f>
        <v/>
      </c>
      <c r="K187" s="54" t="str" cm="1">
        <f t="array" ref="K187">IFERROR(_xlfn.LET(
_xlpm.CSVVal,_xlfn.XLOOKUP($A187,CSV!$A:$A,CSV!M:M,""),
_xlpm.MacVal,_xlfn.XLOOKUP($A187,Output_Mac!$A:$A,Output_Mac!L:L,""),
_xlpm.MyAuditVal,_xlfn.XLOOKUP($A187,My_Audit!$A:$A,My_Audit!J:J,""),
_xlfn.IFS(_xlpm.MyAuditVal&lt;&gt;"",UPPER(_xlpm.MyAuditVal),_xlpm.MacVal&lt;&gt;"",_xlpm.MacVal,_xlpm.CSVVal&lt;&gt;"",_xlpm.CSVVal
)),"")</f>
        <v/>
      </c>
      <c r="L187" s="55" t="str" cm="1">
        <f t="array" ref="L187">IFERROR(_xlfn.LET(
_xlpm.CSVVal,_xlfn.XLOOKUP($A187,CSV!$A:$A,CSV!P:P,""),
_xlpm.MacVal,_xlfn.XLOOKUP($A187,Output_Mac!$A:$A,Output_Mac!M:M,""),
_xlpm.MyAuditVal,_xlfn.XLOOKUP($A187,My_Audit!$A:$A,My_Audit!K:K,""),
_xlfn.IFS(_xlpm.MyAuditVal&lt;&gt;"",UPPER(_xlpm.MyAuditVal),_xlpm.MacVal&lt;&gt;"",_xlpm.MacVal,_xlpm.CSVVal&lt;&gt;"",_xlpm.CSVVal
)),"")</f>
        <v/>
      </c>
      <c r="M187" s="54" t="str">
        <f>_xlfn.LET(
    _xlpm.CSVVal, _xlfn.XLOOKUP($A187, CSV!$A:$A, CSV!AD:AD, ""),
    _xlpm.MacVal, _xlfn.XLOOKUP($A187, Output_Mac!$A:$A, Output_Mac!S:S, ""),
    _xlpm.MyAuditVal, _xlfn.XLOOKUP($A187, My_Audit!$A:$A, My_Audit!N:N, ""),
    _xlfn.TEXTJOIN(", ", TRUE, _xlpm.MyAuditVal, _xlpm.MacVal, _xlpm.CSVVal)
)</f>
        <v/>
      </c>
      <c r="N187" s="54" t="str" cm="1">
        <f t="array" ref="N187">IFERROR(_xlfn.LET(
_xlpm.CSVVal,_xlfn.XLOOKUP($A187,CSV!$A:$A,CSV!AF:AF,""),
_xlpm.MacVal,_xlfn.XLOOKUP($A187,Output_Mac!$A:$A,Output_Mac!U:U,""),
_xlpm.MyAuditVal,_xlfn.XLOOKUP($A187,My_Audit!$A:$A,My_Audit!O:O,""),
_xlfn.IFS(_xlpm.MyAuditVal&lt;&gt;"",UPPER(_xlpm.MyAuditVal),_xlpm.MacVal&lt;&gt;"",_xlpm.MacVal,_xlpm.CSVVal&lt;&gt;"",_xlpm.CSVVal
)),"")</f>
        <v/>
      </c>
      <c r="O187" s="54"/>
      <c r="P187" s="54"/>
      <c r="Q187" s="54"/>
      <c r="R187" s="54"/>
      <c r="S187" s="54"/>
      <c r="T187" s="54"/>
      <c r="U187" s="39"/>
    </row>
    <row r="188" spans="1:21">
      <c r="A188" s="54" t="str">
        <f>_xlfn.TEXTJOIN("",TRUE,Input!$B$2,ROW(My_Audit!A187))</f>
        <v>XX187</v>
      </c>
      <c r="B188" s="54" t="str">
        <f>_xlfn.TEXTJOIN("-",TRUE,"ITD",Input!$A$2,A188)</f>
        <v>ITD-SHRXXX-XX187</v>
      </c>
      <c r="C188" s="54" t="str" cm="1">
        <f t="array" ref="C188">IFERROR(_xlfn.LET(
_xlpm.CSVVal,_xlfn.XLOOKUP($A188,CSV!$A:$A,CSV!B:B,""),
_xlpm.MacVal,_xlfn.XLOOKUP($A188,Output_Mac!$A:$A,Output_Mac!B:B,""),
_xlpm.MyAuditVal,_xlfn.XLOOKUP($A188,My_Audit!$A:$A,My_Audit!B:B,""),
_xlfn.IFS(_xlpm.MyAuditVal&lt;&gt;"",UPPER(_xlpm.MyAuditVal),_xlpm.MacVal&lt;&gt;"",_xlpm.MacVal,_xlpm.CSVVal&lt;&gt;"",_xlpm.CSVVal
)),"")</f>
        <v/>
      </c>
      <c r="D188" s="55" t="str">
        <f>_xlfn.XLOOKUP(A188,My_Audit!A:A,My_Audit!D:D,"")&amp;""</f>
        <v/>
      </c>
      <c r="E188" s="55" t="str" cm="1">
        <f t="array" ref="E188">IFERROR(_xlfn.LET(
_xlpm.CSVVal,_xlfn.XLOOKUP($A188,CSV!$A:$A,CSV!D:D,""),
_xlpm.MacVal,_xlfn.XLOOKUP($A188,Output_Mac!$A:$A,Output_Mac!C:C,""),
_xlpm.MyAuditVal,_xlfn.XLOOKUP($A188,My_Audit!$A:$A,My_Audit!D:D,""),
_xlfn.IFS(_xlpm.MyAuditVal&lt;&gt;"",_xlpm.MyAuditVal,_xlpm.MacVal&lt;&gt;"",_xlpm.MacVal,_xlpm.CSVVal&lt;&gt;"",_xlpm.CSVVal
)),"")</f>
        <v/>
      </c>
      <c r="F188" s="54" t="str" cm="1">
        <f t="array" ref="F188">IFERROR(_xlfn.LET(
_xlpm.CSVVal,_xlfn.XLOOKUP($A188,CSV!$A:$A,CSV!E:E,""),
_xlpm.MacVal,_xlfn.XLOOKUP($A188,Output_Mac!$A:$A,Output_Mac!F:F,""),
_xlpm.MyAuditVal,_xlfn.XLOOKUP($A188,My_Audit!$A:$A,My_Audit!E:E,""),
_xlfn.IFS(_xlpm.MyAuditVal&lt;&gt;"",_xlpm.MyAuditVal,_xlpm.MacVal&lt;&gt;"",_xlpm.MacVal,_xlpm.CSVVal&lt;&gt;"",PROPER(_xlpm.CSVVal)
)),"")</f>
        <v/>
      </c>
      <c r="G188" s="54" t="str" cm="1">
        <f t="array" ref="G188">IFERROR(_xlfn.LET(
_xlpm.CSVVal,_xlfn.XLOOKUP($A188,CSV!$A:$A,CSV!F:F,""),
_xlpm.MacVal,_xlfn.XLOOKUP($A188,Output_Mac!$A:$A,Output_Mac!H:H,""),
_xlpm.MyAuditVal,_xlfn.XLOOKUP($A188,My_Audit!$A:$A,My_Audit!F:F,""),
_xlfn.IFS(_xlpm.MyAuditVal&lt;&gt;"",_xlpm.MyAuditVal,_xlpm.MacVal&lt;&gt;"",_xlpm.MacVal,_xlpm.CSVVal&lt;&gt;"",_xlpm.CSVVal
)),"")</f>
        <v/>
      </c>
      <c r="H188" s="54" t="str">
        <f>_xlfn.XLOOKUP(A188,Output_Mac!A:A,Output_Mac!I:I,"")</f>
        <v/>
      </c>
      <c r="I188" s="54" t="str" cm="1">
        <f t="array" ref="I188">IFERROR(_xlfn.LET(
_xlpm.CSVVal,_xlfn.XLOOKUP($A188,CSV!$A:$A,CSV!G:G,""),
_xlpm.MacVal,_xlfn.XLOOKUP($A188,Output_Mac!$A:$A,Output_Mac!J:J,""),
_xlpm.MyAuditVal,_xlfn.XLOOKUP($A188,My_Audit!$A:$A,My_Audit!H:H,""),
_xlfn.IFS(_xlpm.MyAuditVal&lt;&gt;"",UPPER(_xlpm.MyAuditVal),_xlpm.MacVal&lt;&gt;"",_xlpm.MacVal,_xlpm.CSVVal&lt;&gt;"",_xlpm.CSVVal
)),"")</f>
        <v/>
      </c>
      <c r="J188" s="54" t="str" cm="1">
        <f t="array" ref="J188">IFERROR(_xlfn.LET(
_xlpm.CSVVal,_xlfn.XLOOKUP($A188,CSV!$A:$A,CSV!I:I,""),
_xlpm.MacVal,_xlfn.XLOOKUP($A188,Output_Mac!$A:$A,Output_Mac!K:K,""),
_xlpm.MyAuditVal,_xlfn.XLOOKUP($A188,My_Audit!$A:$A,My_Audit!I:I,""),
_xlfn.IFS(_xlpm.MyAuditVal&lt;&gt;"",UPPER(_xlpm.MyAuditVal),_xlpm.MacVal&lt;&gt;"",_xlpm.MacVal,_xlpm.CSVVal&lt;&gt;"",_xlpm.CSVVal
)),"")</f>
        <v/>
      </c>
      <c r="K188" s="54" t="str" cm="1">
        <f t="array" ref="K188">IFERROR(_xlfn.LET(
_xlpm.CSVVal,_xlfn.XLOOKUP($A188,CSV!$A:$A,CSV!M:M,""),
_xlpm.MacVal,_xlfn.XLOOKUP($A188,Output_Mac!$A:$A,Output_Mac!L:L,""),
_xlpm.MyAuditVal,_xlfn.XLOOKUP($A188,My_Audit!$A:$A,My_Audit!J:J,""),
_xlfn.IFS(_xlpm.MyAuditVal&lt;&gt;"",UPPER(_xlpm.MyAuditVal),_xlpm.MacVal&lt;&gt;"",_xlpm.MacVal,_xlpm.CSVVal&lt;&gt;"",_xlpm.CSVVal
)),"")</f>
        <v/>
      </c>
      <c r="L188" s="55" t="str" cm="1">
        <f t="array" ref="L188">IFERROR(_xlfn.LET(
_xlpm.CSVVal,_xlfn.XLOOKUP($A188,CSV!$A:$A,CSV!P:P,""),
_xlpm.MacVal,_xlfn.XLOOKUP($A188,Output_Mac!$A:$A,Output_Mac!M:M,""),
_xlpm.MyAuditVal,_xlfn.XLOOKUP($A188,My_Audit!$A:$A,My_Audit!K:K,""),
_xlfn.IFS(_xlpm.MyAuditVal&lt;&gt;"",UPPER(_xlpm.MyAuditVal),_xlpm.MacVal&lt;&gt;"",_xlpm.MacVal,_xlpm.CSVVal&lt;&gt;"",_xlpm.CSVVal
)),"")</f>
        <v/>
      </c>
      <c r="M188" s="54" t="str">
        <f>_xlfn.LET(
    _xlpm.CSVVal, _xlfn.XLOOKUP($A188, CSV!$A:$A, CSV!AD:AD, ""),
    _xlpm.MacVal, _xlfn.XLOOKUP($A188, Output_Mac!$A:$A, Output_Mac!S:S, ""),
    _xlpm.MyAuditVal, _xlfn.XLOOKUP($A188, My_Audit!$A:$A, My_Audit!N:N, ""),
    _xlfn.TEXTJOIN(", ", TRUE, _xlpm.MyAuditVal, _xlpm.MacVal, _xlpm.CSVVal)
)</f>
        <v/>
      </c>
      <c r="N188" s="54" t="str" cm="1">
        <f t="array" ref="N188">IFERROR(_xlfn.LET(
_xlpm.CSVVal,_xlfn.XLOOKUP($A188,CSV!$A:$A,CSV!AF:AF,""),
_xlpm.MacVal,_xlfn.XLOOKUP($A188,Output_Mac!$A:$A,Output_Mac!U:U,""),
_xlpm.MyAuditVal,_xlfn.XLOOKUP($A188,My_Audit!$A:$A,My_Audit!O:O,""),
_xlfn.IFS(_xlpm.MyAuditVal&lt;&gt;"",UPPER(_xlpm.MyAuditVal),_xlpm.MacVal&lt;&gt;"",_xlpm.MacVal,_xlpm.CSVVal&lt;&gt;"",_xlpm.CSVVal
)),"")</f>
        <v/>
      </c>
      <c r="O188" s="54"/>
      <c r="P188" s="54"/>
      <c r="Q188" s="54"/>
      <c r="R188" s="54"/>
      <c r="S188" s="54"/>
      <c r="T188" s="54"/>
      <c r="U188" s="39"/>
    </row>
    <row r="189" spans="1:21">
      <c r="A189" s="54" t="str">
        <f>_xlfn.TEXTJOIN("",TRUE,Input!$B$2,ROW(My_Audit!A188))</f>
        <v>XX188</v>
      </c>
      <c r="B189" s="54" t="str">
        <f>_xlfn.TEXTJOIN("-",TRUE,"ITD",Input!$A$2,A189)</f>
        <v>ITD-SHRXXX-XX188</v>
      </c>
      <c r="C189" s="54" t="str" cm="1">
        <f t="array" ref="C189">IFERROR(_xlfn.LET(
_xlpm.CSVVal,_xlfn.XLOOKUP($A189,CSV!$A:$A,CSV!B:B,""),
_xlpm.MacVal,_xlfn.XLOOKUP($A189,Output_Mac!$A:$A,Output_Mac!B:B,""),
_xlpm.MyAuditVal,_xlfn.XLOOKUP($A189,My_Audit!$A:$A,My_Audit!B:B,""),
_xlfn.IFS(_xlpm.MyAuditVal&lt;&gt;"",UPPER(_xlpm.MyAuditVal),_xlpm.MacVal&lt;&gt;"",_xlpm.MacVal,_xlpm.CSVVal&lt;&gt;"",_xlpm.CSVVal
)),"")</f>
        <v/>
      </c>
      <c r="D189" s="55" t="str">
        <f>_xlfn.XLOOKUP(A189,My_Audit!A:A,My_Audit!D:D,"")&amp;""</f>
        <v/>
      </c>
      <c r="E189" s="55" t="str" cm="1">
        <f t="array" ref="E189">IFERROR(_xlfn.LET(
_xlpm.CSVVal,_xlfn.XLOOKUP($A189,CSV!$A:$A,CSV!D:D,""),
_xlpm.MacVal,_xlfn.XLOOKUP($A189,Output_Mac!$A:$A,Output_Mac!C:C,""),
_xlpm.MyAuditVal,_xlfn.XLOOKUP($A189,My_Audit!$A:$A,My_Audit!D:D,""),
_xlfn.IFS(_xlpm.MyAuditVal&lt;&gt;"",_xlpm.MyAuditVal,_xlpm.MacVal&lt;&gt;"",_xlpm.MacVal,_xlpm.CSVVal&lt;&gt;"",_xlpm.CSVVal
)),"")</f>
        <v/>
      </c>
      <c r="F189" s="54" t="str" cm="1">
        <f t="array" ref="F189">IFERROR(_xlfn.LET(
_xlpm.CSVVal,_xlfn.XLOOKUP($A189,CSV!$A:$A,CSV!E:E,""),
_xlpm.MacVal,_xlfn.XLOOKUP($A189,Output_Mac!$A:$A,Output_Mac!F:F,""),
_xlpm.MyAuditVal,_xlfn.XLOOKUP($A189,My_Audit!$A:$A,My_Audit!E:E,""),
_xlfn.IFS(_xlpm.MyAuditVal&lt;&gt;"",_xlpm.MyAuditVal,_xlpm.MacVal&lt;&gt;"",_xlpm.MacVal,_xlpm.CSVVal&lt;&gt;"",PROPER(_xlpm.CSVVal)
)),"")</f>
        <v/>
      </c>
      <c r="G189" s="54" t="str" cm="1">
        <f t="array" ref="G189">IFERROR(_xlfn.LET(
_xlpm.CSVVal,_xlfn.XLOOKUP($A189,CSV!$A:$A,CSV!F:F,""),
_xlpm.MacVal,_xlfn.XLOOKUP($A189,Output_Mac!$A:$A,Output_Mac!H:H,""),
_xlpm.MyAuditVal,_xlfn.XLOOKUP($A189,My_Audit!$A:$A,My_Audit!F:F,""),
_xlfn.IFS(_xlpm.MyAuditVal&lt;&gt;"",_xlpm.MyAuditVal,_xlpm.MacVal&lt;&gt;"",_xlpm.MacVal,_xlpm.CSVVal&lt;&gt;"",_xlpm.CSVVal
)),"")</f>
        <v/>
      </c>
      <c r="H189" s="54" t="str">
        <f>_xlfn.XLOOKUP(A189,Output_Mac!A:A,Output_Mac!I:I,"")</f>
        <v/>
      </c>
      <c r="I189" s="54" t="str" cm="1">
        <f t="array" ref="I189">IFERROR(_xlfn.LET(
_xlpm.CSVVal,_xlfn.XLOOKUP($A189,CSV!$A:$A,CSV!G:G,""),
_xlpm.MacVal,_xlfn.XLOOKUP($A189,Output_Mac!$A:$A,Output_Mac!J:J,""),
_xlpm.MyAuditVal,_xlfn.XLOOKUP($A189,My_Audit!$A:$A,My_Audit!H:H,""),
_xlfn.IFS(_xlpm.MyAuditVal&lt;&gt;"",UPPER(_xlpm.MyAuditVal),_xlpm.MacVal&lt;&gt;"",_xlpm.MacVal,_xlpm.CSVVal&lt;&gt;"",_xlpm.CSVVal
)),"")</f>
        <v/>
      </c>
      <c r="J189" s="54" t="str" cm="1">
        <f t="array" ref="J189">IFERROR(_xlfn.LET(
_xlpm.CSVVal,_xlfn.XLOOKUP($A189,CSV!$A:$A,CSV!I:I,""),
_xlpm.MacVal,_xlfn.XLOOKUP($A189,Output_Mac!$A:$A,Output_Mac!K:K,""),
_xlpm.MyAuditVal,_xlfn.XLOOKUP($A189,My_Audit!$A:$A,My_Audit!I:I,""),
_xlfn.IFS(_xlpm.MyAuditVal&lt;&gt;"",UPPER(_xlpm.MyAuditVal),_xlpm.MacVal&lt;&gt;"",_xlpm.MacVal,_xlpm.CSVVal&lt;&gt;"",_xlpm.CSVVal
)),"")</f>
        <v/>
      </c>
      <c r="K189" s="54" t="str" cm="1">
        <f t="array" ref="K189">IFERROR(_xlfn.LET(
_xlpm.CSVVal,_xlfn.XLOOKUP($A189,CSV!$A:$A,CSV!M:M,""),
_xlpm.MacVal,_xlfn.XLOOKUP($A189,Output_Mac!$A:$A,Output_Mac!L:L,""),
_xlpm.MyAuditVal,_xlfn.XLOOKUP($A189,My_Audit!$A:$A,My_Audit!J:J,""),
_xlfn.IFS(_xlpm.MyAuditVal&lt;&gt;"",UPPER(_xlpm.MyAuditVal),_xlpm.MacVal&lt;&gt;"",_xlpm.MacVal,_xlpm.CSVVal&lt;&gt;"",_xlpm.CSVVal
)),"")</f>
        <v/>
      </c>
      <c r="L189" s="55" t="str" cm="1">
        <f t="array" ref="L189">IFERROR(_xlfn.LET(
_xlpm.CSVVal,_xlfn.XLOOKUP($A189,CSV!$A:$A,CSV!P:P,""),
_xlpm.MacVal,_xlfn.XLOOKUP($A189,Output_Mac!$A:$A,Output_Mac!M:M,""),
_xlpm.MyAuditVal,_xlfn.XLOOKUP($A189,My_Audit!$A:$A,My_Audit!K:K,""),
_xlfn.IFS(_xlpm.MyAuditVal&lt;&gt;"",UPPER(_xlpm.MyAuditVal),_xlpm.MacVal&lt;&gt;"",_xlpm.MacVal,_xlpm.CSVVal&lt;&gt;"",_xlpm.CSVVal
)),"")</f>
        <v/>
      </c>
      <c r="M189" s="54" t="str">
        <f>_xlfn.LET(
    _xlpm.CSVVal, _xlfn.XLOOKUP($A189, CSV!$A:$A, CSV!AD:AD, ""),
    _xlpm.MacVal, _xlfn.XLOOKUP($A189, Output_Mac!$A:$A, Output_Mac!S:S, ""),
    _xlpm.MyAuditVal, _xlfn.XLOOKUP($A189, My_Audit!$A:$A, My_Audit!N:N, ""),
    _xlfn.TEXTJOIN(", ", TRUE, _xlpm.MyAuditVal, _xlpm.MacVal, _xlpm.CSVVal)
)</f>
        <v/>
      </c>
      <c r="N189" s="54" t="str" cm="1">
        <f t="array" ref="N189">IFERROR(_xlfn.LET(
_xlpm.CSVVal,_xlfn.XLOOKUP($A189,CSV!$A:$A,CSV!AF:AF,""),
_xlpm.MacVal,_xlfn.XLOOKUP($A189,Output_Mac!$A:$A,Output_Mac!U:U,""),
_xlpm.MyAuditVal,_xlfn.XLOOKUP($A189,My_Audit!$A:$A,My_Audit!O:O,""),
_xlfn.IFS(_xlpm.MyAuditVal&lt;&gt;"",UPPER(_xlpm.MyAuditVal),_xlpm.MacVal&lt;&gt;"",_xlpm.MacVal,_xlpm.CSVVal&lt;&gt;"",_xlpm.CSVVal
)),"")</f>
        <v/>
      </c>
      <c r="O189" s="54"/>
      <c r="P189" s="54"/>
      <c r="Q189" s="54"/>
      <c r="R189" s="54"/>
      <c r="S189" s="54"/>
      <c r="T189" s="54"/>
      <c r="U189" s="39"/>
    </row>
    <row r="190" spans="1:21">
      <c r="A190" s="54" t="str">
        <f>_xlfn.TEXTJOIN("",TRUE,Input!$B$2,ROW(My_Audit!A189))</f>
        <v>XX189</v>
      </c>
      <c r="B190" s="54" t="str">
        <f>_xlfn.TEXTJOIN("-",TRUE,"ITD",Input!$A$2,A190)</f>
        <v>ITD-SHRXXX-XX189</v>
      </c>
      <c r="C190" s="54" t="str" cm="1">
        <f t="array" ref="C190">IFERROR(_xlfn.LET(
_xlpm.CSVVal,_xlfn.XLOOKUP($A190,CSV!$A:$A,CSV!B:B,""),
_xlpm.MacVal,_xlfn.XLOOKUP($A190,Output_Mac!$A:$A,Output_Mac!B:B,""),
_xlpm.MyAuditVal,_xlfn.XLOOKUP($A190,My_Audit!$A:$A,My_Audit!B:B,""),
_xlfn.IFS(_xlpm.MyAuditVal&lt;&gt;"",UPPER(_xlpm.MyAuditVal),_xlpm.MacVal&lt;&gt;"",_xlpm.MacVal,_xlpm.CSVVal&lt;&gt;"",_xlpm.CSVVal
)),"")</f>
        <v/>
      </c>
      <c r="D190" s="55" t="str">
        <f>_xlfn.XLOOKUP(A190,My_Audit!A:A,My_Audit!D:D,"")&amp;""</f>
        <v/>
      </c>
      <c r="E190" s="55" t="str" cm="1">
        <f t="array" ref="E190">IFERROR(_xlfn.LET(
_xlpm.CSVVal,_xlfn.XLOOKUP($A190,CSV!$A:$A,CSV!D:D,""),
_xlpm.MacVal,_xlfn.XLOOKUP($A190,Output_Mac!$A:$A,Output_Mac!C:C,""),
_xlpm.MyAuditVal,_xlfn.XLOOKUP($A190,My_Audit!$A:$A,My_Audit!D:D,""),
_xlfn.IFS(_xlpm.MyAuditVal&lt;&gt;"",_xlpm.MyAuditVal,_xlpm.MacVal&lt;&gt;"",_xlpm.MacVal,_xlpm.CSVVal&lt;&gt;"",_xlpm.CSVVal
)),"")</f>
        <v/>
      </c>
      <c r="F190" s="54" t="str" cm="1">
        <f t="array" ref="F190">IFERROR(_xlfn.LET(
_xlpm.CSVVal,_xlfn.XLOOKUP($A190,CSV!$A:$A,CSV!E:E,""),
_xlpm.MacVal,_xlfn.XLOOKUP($A190,Output_Mac!$A:$A,Output_Mac!F:F,""),
_xlpm.MyAuditVal,_xlfn.XLOOKUP($A190,My_Audit!$A:$A,My_Audit!E:E,""),
_xlfn.IFS(_xlpm.MyAuditVal&lt;&gt;"",_xlpm.MyAuditVal,_xlpm.MacVal&lt;&gt;"",_xlpm.MacVal,_xlpm.CSVVal&lt;&gt;"",PROPER(_xlpm.CSVVal)
)),"")</f>
        <v/>
      </c>
      <c r="G190" s="54" t="str" cm="1">
        <f t="array" ref="G190">IFERROR(_xlfn.LET(
_xlpm.CSVVal,_xlfn.XLOOKUP($A190,CSV!$A:$A,CSV!F:F,""),
_xlpm.MacVal,_xlfn.XLOOKUP($A190,Output_Mac!$A:$A,Output_Mac!H:H,""),
_xlpm.MyAuditVal,_xlfn.XLOOKUP($A190,My_Audit!$A:$A,My_Audit!F:F,""),
_xlfn.IFS(_xlpm.MyAuditVal&lt;&gt;"",_xlpm.MyAuditVal,_xlpm.MacVal&lt;&gt;"",_xlpm.MacVal,_xlpm.CSVVal&lt;&gt;"",_xlpm.CSVVal
)),"")</f>
        <v/>
      </c>
      <c r="H190" s="54" t="str">
        <f>_xlfn.XLOOKUP(A190,Output_Mac!A:A,Output_Mac!I:I,"")</f>
        <v/>
      </c>
      <c r="I190" s="54" t="str" cm="1">
        <f t="array" ref="I190">IFERROR(_xlfn.LET(
_xlpm.CSVVal,_xlfn.XLOOKUP($A190,CSV!$A:$A,CSV!G:G,""),
_xlpm.MacVal,_xlfn.XLOOKUP($A190,Output_Mac!$A:$A,Output_Mac!J:J,""),
_xlpm.MyAuditVal,_xlfn.XLOOKUP($A190,My_Audit!$A:$A,My_Audit!H:H,""),
_xlfn.IFS(_xlpm.MyAuditVal&lt;&gt;"",UPPER(_xlpm.MyAuditVal),_xlpm.MacVal&lt;&gt;"",_xlpm.MacVal,_xlpm.CSVVal&lt;&gt;"",_xlpm.CSVVal
)),"")</f>
        <v/>
      </c>
      <c r="J190" s="54" t="str" cm="1">
        <f t="array" ref="J190">IFERROR(_xlfn.LET(
_xlpm.CSVVal,_xlfn.XLOOKUP($A190,CSV!$A:$A,CSV!I:I,""),
_xlpm.MacVal,_xlfn.XLOOKUP($A190,Output_Mac!$A:$A,Output_Mac!K:K,""),
_xlpm.MyAuditVal,_xlfn.XLOOKUP($A190,My_Audit!$A:$A,My_Audit!I:I,""),
_xlfn.IFS(_xlpm.MyAuditVal&lt;&gt;"",UPPER(_xlpm.MyAuditVal),_xlpm.MacVal&lt;&gt;"",_xlpm.MacVal,_xlpm.CSVVal&lt;&gt;"",_xlpm.CSVVal
)),"")</f>
        <v/>
      </c>
      <c r="K190" s="54" t="str" cm="1">
        <f t="array" ref="K190">IFERROR(_xlfn.LET(
_xlpm.CSVVal,_xlfn.XLOOKUP($A190,CSV!$A:$A,CSV!M:M,""),
_xlpm.MacVal,_xlfn.XLOOKUP($A190,Output_Mac!$A:$A,Output_Mac!L:L,""),
_xlpm.MyAuditVal,_xlfn.XLOOKUP($A190,My_Audit!$A:$A,My_Audit!J:J,""),
_xlfn.IFS(_xlpm.MyAuditVal&lt;&gt;"",UPPER(_xlpm.MyAuditVal),_xlpm.MacVal&lt;&gt;"",_xlpm.MacVal,_xlpm.CSVVal&lt;&gt;"",_xlpm.CSVVal
)),"")</f>
        <v/>
      </c>
      <c r="L190" s="55" t="str" cm="1">
        <f t="array" ref="L190">IFERROR(_xlfn.LET(
_xlpm.CSVVal,_xlfn.XLOOKUP($A190,CSV!$A:$A,CSV!P:P,""),
_xlpm.MacVal,_xlfn.XLOOKUP($A190,Output_Mac!$A:$A,Output_Mac!M:M,""),
_xlpm.MyAuditVal,_xlfn.XLOOKUP($A190,My_Audit!$A:$A,My_Audit!K:K,""),
_xlfn.IFS(_xlpm.MyAuditVal&lt;&gt;"",UPPER(_xlpm.MyAuditVal),_xlpm.MacVal&lt;&gt;"",_xlpm.MacVal,_xlpm.CSVVal&lt;&gt;"",_xlpm.CSVVal
)),"")</f>
        <v/>
      </c>
      <c r="M190" s="54" t="str">
        <f>_xlfn.LET(
    _xlpm.CSVVal, _xlfn.XLOOKUP($A190, CSV!$A:$A, CSV!AD:AD, ""),
    _xlpm.MacVal, _xlfn.XLOOKUP($A190, Output_Mac!$A:$A, Output_Mac!S:S, ""),
    _xlpm.MyAuditVal, _xlfn.XLOOKUP($A190, My_Audit!$A:$A, My_Audit!N:N, ""),
    _xlfn.TEXTJOIN(", ", TRUE, _xlpm.MyAuditVal, _xlpm.MacVal, _xlpm.CSVVal)
)</f>
        <v/>
      </c>
      <c r="N190" s="54" t="str" cm="1">
        <f t="array" ref="N190">IFERROR(_xlfn.LET(
_xlpm.CSVVal,_xlfn.XLOOKUP($A190,CSV!$A:$A,CSV!AF:AF,""),
_xlpm.MacVal,_xlfn.XLOOKUP($A190,Output_Mac!$A:$A,Output_Mac!U:U,""),
_xlpm.MyAuditVal,_xlfn.XLOOKUP($A190,My_Audit!$A:$A,My_Audit!O:O,""),
_xlfn.IFS(_xlpm.MyAuditVal&lt;&gt;"",UPPER(_xlpm.MyAuditVal),_xlpm.MacVal&lt;&gt;"",_xlpm.MacVal,_xlpm.CSVVal&lt;&gt;"",_xlpm.CSVVal
)),"")</f>
        <v/>
      </c>
      <c r="O190" s="54"/>
      <c r="P190" s="54"/>
      <c r="Q190" s="54"/>
      <c r="R190" s="54"/>
      <c r="S190" s="54"/>
      <c r="T190" s="54"/>
      <c r="U190" s="39"/>
    </row>
    <row r="191" spans="1:21">
      <c r="A191" s="54" t="str">
        <f>_xlfn.TEXTJOIN("",TRUE,Input!$B$2,ROW(My_Audit!A190))</f>
        <v>XX190</v>
      </c>
      <c r="B191" s="54" t="str">
        <f>_xlfn.TEXTJOIN("-",TRUE,"ITD",Input!$A$2,A191)</f>
        <v>ITD-SHRXXX-XX190</v>
      </c>
      <c r="C191" s="54" t="str" cm="1">
        <f t="array" ref="C191">IFERROR(_xlfn.LET(
_xlpm.CSVVal,_xlfn.XLOOKUP($A191,CSV!$A:$A,CSV!B:B,""),
_xlpm.MacVal,_xlfn.XLOOKUP($A191,Output_Mac!$A:$A,Output_Mac!B:B,""),
_xlpm.MyAuditVal,_xlfn.XLOOKUP($A191,My_Audit!$A:$A,My_Audit!B:B,""),
_xlfn.IFS(_xlpm.MyAuditVal&lt;&gt;"",UPPER(_xlpm.MyAuditVal),_xlpm.MacVal&lt;&gt;"",_xlpm.MacVal,_xlpm.CSVVal&lt;&gt;"",_xlpm.CSVVal
)),"")</f>
        <v/>
      </c>
      <c r="D191" s="55" t="str">
        <f>_xlfn.XLOOKUP(A191,My_Audit!A:A,My_Audit!D:D,"")&amp;""</f>
        <v/>
      </c>
      <c r="E191" s="55" t="str" cm="1">
        <f t="array" ref="E191">IFERROR(_xlfn.LET(
_xlpm.CSVVal,_xlfn.XLOOKUP($A191,CSV!$A:$A,CSV!D:D,""),
_xlpm.MacVal,_xlfn.XLOOKUP($A191,Output_Mac!$A:$A,Output_Mac!C:C,""),
_xlpm.MyAuditVal,_xlfn.XLOOKUP($A191,My_Audit!$A:$A,My_Audit!D:D,""),
_xlfn.IFS(_xlpm.MyAuditVal&lt;&gt;"",_xlpm.MyAuditVal,_xlpm.MacVal&lt;&gt;"",_xlpm.MacVal,_xlpm.CSVVal&lt;&gt;"",_xlpm.CSVVal
)),"")</f>
        <v/>
      </c>
      <c r="F191" s="54" t="str" cm="1">
        <f t="array" ref="F191">IFERROR(_xlfn.LET(
_xlpm.CSVVal,_xlfn.XLOOKUP($A191,CSV!$A:$A,CSV!E:E,""),
_xlpm.MacVal,_xlfn.XLOOKUP($A191,Output_Mac!$A:$A,Output_Mac!F:F,""),
_xlpm.MyAuditVal,_xlfn.XLOOKUP($A191,My_Audit!$A:$A,My_Audit!E:E,""),
_xlfn.IFS(_xlpm.MyAuditVal&lt;&gt;"",_xlpm.MyAuditVal,_xlpm.MacVal&lt;&gt;"",_xlpm.MacVal,_xlpm.CSVVal&lt;&gt;"",PROPER(_xlpm.CSVVal)
)),"")</f>
        <v/>
      </c>
      <c r="G191" s="54" t="str" cm="1">
        <f t="array" ref="G191">IFERROR(_xlfn.LET(
_xlpm.CSVVal,_xlfn.XLOOKUP($A191,CSV!$A:$A,CSV!F:F,""),
_xlpm.MacVal,_xlfn.XLOOKUP($A191,Output_Mac!$A:$A,Output_Mac!H:H,""),
_xlpm.MyAuditVal,_xlfn.XLOOKUP($A191,My_Audit!$A:$A,My_Audit!F:F,""),
_xlfn.IFS(_xlpm.MyAuditVal&lt;&gt;"",_xlpm.MyAuditVal,_xlpm.MacVal&lt;&gt;"",_xlpm.MacVal,_xlpm.CSVVal&lt;&gt;"",_xlpm.CSVVal
)),"")</f>
        <v/>
      </c>
      <c r="H191" s="54" t="str">
        <f>_xlfn.XLOOKUP(A191,Output_Mac!A:A,Output_Mac!I:I,"")</f>
        <v/>
      </c>
      <c r="I191" s="54" t="str" cm="1">
        <f t="array" ref="I191">IFERROR(_xlfn.LET(
_xlpm.CSVVal,_xlfn.XLOOKUP($A191,CSV!$A:$A,CSV!G:G,""),
_xlpm.MacVal,_xlfn.XLOOKUP($A191,Output_Mac!$A:$A,Output_Mac!J:J,""),
_xlpm.MyAuditVal,_xlfn.XLOOKUP($A191,My_Audit!$A:$A,My_Audit!H:H,""),
_xlfn.IFS(_xlpm.MyAuditVal&lt;&gt;"",UPPER(_xlpm.MyAuditVal),_xlpm.MacVal&lt;&gt;"",_xlpm.MacVal,_xlpm.CSVVal&lt;&gt;"",_xlpm.CSVVal
)),"")</f>
        <v/>
      </c>
      <c r="J191" s="54" t="str" cm="1">
        <f t="array" ref="J191">IFERROR(_xlfn.LET(
_xlpm.CSVVal,_xlfn.XLOOKUP($A191,CSV!$A:$A,CSV!I:I,""),
_xlpm.MacVal,_xlfn.XLOOKUP($A191,Output_Mac!$A:$A,Output_Mac!K:K,""),
_xlpm.MyAuditVal,_xlfn.XLOOKUP($A191,My_Audit!$A:$A,My_Audit!I:I,""),
_xlfn.IFS(_xlpm.MyAuditVal&lt;&gt;"",UPPER(_xlpm.MyAuditVal),_xlpm.MacVal&lt;&gt;"",_xlpm.MacVal,_xlpm.CSVVal&lt;&gt;"",_xlpm.CSVVal
)),"")</f>
        <v/>
      </c>
      <c r="K191" s="54" t="str" cm="1">
        <f t="array" ref="K191">IFERROR(_xlfn.LET(
_xlpm.CSVVal,_xlfn.XLOOKUP($A191,CSV!$A:$A,CSV!M:M,""),
_xlpm.MacVal,_xlfn.XLOOKUP($A191,Output_Mac!$A:$A,Output_Mac!L:L,""),
_xlpm.MyAuditVal,_xlfn.XLOOKUP($A191,My_Audit!$A:$A,My_Audit!J:J,""),
_xlfn.IFS(_xlpm.MyAuditVal&lt;&gt;"",UPPER(_xlpm.MyAuditVal),_xlpm.MacVal&lt;&gt;"",_xlpm.MacVal,_xlpm.CSVVal&lt;&gt;"",_xlpm.CSVVal
)),"")</f>
        <v/>
      </c>
      <c r="L191" s="55" t="str" cm="1">
        <f t="array" ref="L191">IFERROR(_xlfn.LET(
_xlpm.CSVVal,_xlfn.XLOOKUP($A191,CSV!$A:$A,CSV!P:P,""),
_xlpm.MacVal,_xlfn.XLOOKUP($A191,Output_Mac!$A:$A,Output_Mac!M:M,""),
_xlpm.MyAuditVal,_xlfn.XLOOKUP($A191,My_Audit!$A:$A,My_Audit!K:K,""),
_xlfn.IFS(_xlpm.MyAuditVal&lt;&gt;"",UPPER(_xlpm.MyAuditVal),_xlpm.MacVal&lt;&gt;"",_xlpm.MacVal,_xlpm.CSVVal&lt;&gt;"",_xlpm.CSVVal
)),"")</f>
        <v/>
      </c>
      <c r="M191" s="54" t="str">
        <f>_xlfn.LET(
    _xlpm.CSVVal, _xlfn.XLOOKUP($A191, CSV!$A:$A, CSV!AD:AD, ""),
    _xlpm.MacVal, _xlfn.XLOOKUP($A191, Output_Mac!$A:$A, Output_Mac!S:S, ""),
    _xlpm.MyAuditVal, _xlfn.XLOOKUP($A191, My_Audit!$A:$A, My_Audit!N:N, ""),
    _xlfn.TEXTJOIN(", ", TRUE, _xlpm.MyAuditVal, _xlpm.MacVal, _xlpm.CSVVal)
)</f>
        <v/>
      </c>
      <c r="N191" s="54" t="str" cm="1">
        <f t="array" ref="N191">IFERROR(_xlfn.LET(
_xlpm.CSVVal,_xlfn.XLOOKUP($A191,CSV!$A:$A,CSV!AF:AF,""),
_xlpm.MacVal,_xlfn.XLOOKUP($A191,Output_Mac!$A:$A,Output_Mac!U:U,""),
_xlpm.MyAuditVal,_xlfn.XLOOKUP($A191,My_Audit!$A:$A,My_Audit!O:O,""),
_xlfn.IFS(_xlpm.MyAuditVal&lt;&gt;"",UPPER(_xlpm.MyAuditVal),_xlpm.MacVal&lt;&gt;"",_xlpm.MacVal,_xlpm.CSVVal&lt;&gt;"",_xlpm.CSVVal
)),"")</f>
        <v/>
      </c>
      <c r="O191" s="54"/>
      <c r="P191" s="54"/>
      <c r="Q191" s="54"/>
      <c r="R191" s="54"/>
      <c r="S191" s="54"/>
      <c r="T191" s="54"/>
      <c r="U191" s="39"/>
    </row>
    <row r="192" spans="1:21">
      <c r="A192" s="54" t="str">
        <f>_xlfn.TEXTJOIN("",TRUE,Input!$B$2,ROW(My_Audit!A191))</f>
        <v>XX191</v>
      </c>
      <c r="B192" s="54" t="str">
        <f>_xlfn.TEXTJOIN("-",TRUE,"ITD",Input!$A$2,A192)</f>
        <v>ITD-SHRXXX-XX191</v>
      </c>
      <c r="C192" s="54" t="str" cm="1">
        <f t="array" ref="C192">IFERROR(_xlfn.LET(
_xlpm.CSVVal,_xlfn.XLOOKUP($A192,CSV!$A:$A,CSV!B:B,""),
_xlpm.MacVal,_xlfn.XLOOKUP($A192,Output_Mac!$A:$A,Output_Mac!B:B,""),
_xlpm.MyAuditVal,_xlfn.XLOOKUP($A192,My_Audit!$A:$A,My_Audit!B:B,""),
_xlfn.IFS(_xlpm.MyAuditVal&lt;&gt;"",UPPER(_xlpm.MyAuditVal),_xlpm.MacVal&lt;&gt;"",_xlpm.MacVal,_xlpm.CSVVal&lt;&gt;"",_xlpm.CSVVal
)),"")</f>
        <v/>
      </c>
      <c r="D192" s="55" t="str">
        <f>_xlfn.XLOOKUP(A192,My_Audit!A:A,My_Audit!D:D,"")&amp;""</f>
        <v/>
      </c>
      <c r="E192" s="55" t="str" cm="1">
        <f t="array" ref="E192">IFERROR(_xlfn.LET(
_xlpm.CSVVal,_xlfn.XLOOKUP($A192,CSV!$A:$A,CSV!D:D,""),
_xlpm.MacVal,_xlfn.XLOOKUP($A192,Output_Mac!$A:$A,Output_Mac!C:C,""),
_xlpm.MyAuditVal,_xlfn.XLOOKUP($A192,My_Audit!$A:$A,My_Audit!D:D,""),
_xlfn.IFS(_xlpm.MyAuditVal&lt;&gt;"",_xlpm.MyAuditVal,_xlpm.MacVal&lt;&gt;"",_xlpm.MacVal,_xlpm.CSVVal&lt;&gt;"",_xlpm.CSVVal
)),"")</f>
        <v/>
      </c>
      <c r="F192" s="54" t="str" cm="1">
        <f t="array" ref="F192">IFERROR(_xlfn.LET(
_xlpm.CSVVal,_xlfn.XLOOKUP($A192,CSV!$A:$A,CSV!E:E,""),
_xlpm.MacVal,_xlfn.XLOOKUP($A192,Output_Mac!$A:$A,Output_Mac!F:F,""),
_xlpm.MyAuditVal,_xlfn.XLOOKUP($A192,My_Audit!$A:$A,My_Audit!E:E,""),
_xlfn.IFS(_xlpm.MyAuditVal&lt;&gt;"",_xlpm.MyAuditVal,_xlpm.MacVal&lt;&gt;"",_xlpm.MacVal,_xlpm.CSVVal&lt;&gt;"",PROPER(_xlpm.CSVVal)
)),"")</f>
        <v/>
      </c>
      <c r="G192" s="54" t="str" cm="1">
        <f t="array" ref="G192">IFERROR(_xlfn.LET(
_xlpm.CSVVal,_xlfn.XLOOKUP($A192,CSV!$A:$A,CSV!F:F,""),
_xlpm.MacVal,_xlfn.XLOOKUP($A192,Output_Mac!$A:$A,Output_Mac!H:H,""),
_xlpm.MyAuditVal,_xlfn.XLOOKUP($A192,My_Audit!$A:$A,My_Audit!F:F,""),
_xlfn.IFS(_xlpm.MyAuditVal&lt;&gt;"",_xlpm.MyAuditVal,_xlpm.MacVal&lt;&gt;"",_xlpm.MacVal,_xlpm.CSVVal&lt;&gt;"",_xlpm.CSVVal
)),"")</f>
        <v/>
      </c>
      <c r="H192" s="54" t="str">
        <f>_xlfn.XLOOKUP(A192,Output_Mac!A:A,Output_Mac!I:I,"")</f>
        <v/>
      </c>
      <c r="I192" s="54" t="str" cm="1">
        <f t="array" ref="I192">IFERROR(_xlfn.LET(
_xlpm.CSVVal,_xlfn.XLOOKUP($A192,CSV!$A:$A,CSV!G:G,""),
_xlpm.MacVal,_xlfn.XLOOKUP($A192,Output_Mac!$A:$A,Output_Mac!J:J,""),
_xlpm.MyAuditVal,_xlfn.XLOOKUP($A192,My_Audit!$A:$A,My_Audit!H:H,""),
_xlfn.IFS(_xlpm.MyAuditVal&lt;&gt;"",UPPER(_xlpm.MyAuditVal),_xlpm.MacVal&lt;&gt;"",_xlpm.MacVal,_xlpm.CSVVal&lt;&gt;"",_xlpm.CSVVal
)),"")</f>
        <v/>
      </c>
      <c r="J192" s="54" t="str" cm="1">
        <f t="array" ref="J192">IFERROR(_xlfn.LET(
_xlpm.CSVVal,_xlfn.XLOOKUP($A192,CSV!$A:$A,CSV!I:I,""),
_xlpm.MacVal,_xlfn.XLOOKUP($A192,Output_Mac!$A:$A,Output_Mac!K:K,""),
_xlpm.MyAuditVal,_xlfn.XLOOKUP($A192,My_Audit!$A:$A,My_Audit!I:I,""),
_xlfn.IFS(_xlpm.MyAuditVal&lt;&gt;"",UPPER(_xlpm.MyAuditVal),_xlpm.MacVal&lt;&gt;"",_xlpm.MacVal,_xlpm.CSVVal&lt;&gt;"",_xlpm.CSVVal
)),"")</f>
        <v/>
      </c>
      <c r="K192" s="54" t="str" cm="1">
        <f t="array" ref="K192">IFERROR(_xlfn.LET(
_xlpm.CSVVal,_xlfn.XLOOKUP($A192,CSV!$A:$A,CSV!M:M,""),
_xlpm.MacVal,_xlfn.XLOOKUP($A192,Output_Mac!$A:$A,Output_Mac!L:L,""),
_xlpm.MyAuditVal,_xlfn.XLOOKUP($A192,My_Audit!$A:$A,My_Audit!J:J,""),
_xlfn.IFS(_xlpm.MyAuditVal&lt;&gt;"",UPPER(_xlpm.MyAuditVal),_xlpm.MacVal&lt;&gt;"",_xlpm.MacVal,_xlpm.CSVVal&lt;&gt;"",_xlpm.CSVVal
)),"")</f>
        <v/>
      </c>
      <c r="L192" s="55" t="str" cm="1">
        <f t="array" ref="L192">IFERROR(_xlfn.LET(
_xlpm.CSVVal,_xlfn.XLOOKUP($A192,CSV!$A:$A,CSV!P:P,""),
_xlpm.MacVal,_xlfn.XLOOKUP($A192,Output_Mac!$A:$A,Output_Mac!M:M,""),
_xlpm.MyAuditVal,_xlfn.XLOOKUP($A192,My_Audit!$A:$A,My_Audit!K:K,""),
_xlfn.IFS(_xlpm.MyAuditVal&lt;&gt;"",UPPER(_xlpm.MyAuditVal),_xlpm.MacVal&lt;&gt;"",_xlpm.MacVal,_xlpm.CSVVal&lt;&gt;"",_xlpm.CSVVal
)),"")</f>
        <v/>
      </c>
      <c r="M192" s="54" t="str">
        <f>_xlfn.LET(
    _xlpm.CSVVal, _xlfn.XLOOKUP($A192, CSV!$A:$A, CSV!AD:AD, ""),
    _xlpm.MacVal, _xlfn.XLOOKUP($A192, Output_Mac!$A:$A, Output_Mac!S:S, ""),
    _xlpm.MyAuditVal, _xlfn.XLOOKUP($A192, My_Audit!$A:$A, My_Audit!N:N, ""),
    _xlfn.TEXTJOIN(", ", TRUE, _xlpm.MyAuditVal, _xlpm.MacVal, _xlpm.CSVVal)
)</f>
        <v/>
      </c>
      <c r="N192" s="54" t="str" cm="1">
        <f t="array" ref="N192">IFERROR(_xlfn.LET(
_xlpm.CSVVal,_xlfn.XLOOKUP($A192,CSV!$A:$A,CSV!AF:AF,""),
_xlpm.MacVal,_xlfn.XLOOKUP($A192,Output_Mac!$A:$A,Output_Mac!U:U,""),
_xlpm.MyAuditVal,_xlfn.XLOOKUP($A192,My_Audit!$A:$A,My_Audit!O:O,""),
_xlfn.IFS(_xlpm.MyAuditVal&lt;&gt;"",UPPER(_xlpm.MyAuditVal),_xlpm.MacVal&lt;&gt;"",_xlpm.MacVal,_xlpm.CSVVal&lt;&gt;"",_xlpm.CSVVal
)),"")</f>
        <v/>
      </c>
      <c r="O192" s="54"/>
      <c r="P192" s="54"/>
      <c r="Q192" s="54"/>
      <c r="R192" s="54"/>
      <c r="S192" s="54"/>
      <c r="T192" s="54"/>
      <c r="U192" s="39"/>
    </row>
    <row r="193" spans="1:21">
      <c r="A193" s="54" t="str">
        <f>_xlfn.TEXTJOIN("",TRUE,Input!$B$2,ROW(My_Audit!A192))</f>
        <v>XX192</v>
      </c>
      <c r="B193" s="54" t="str">
        <f>_xlfn.TEXTJOIN("-",TRUE,"ITD",Input!$A$2,A193)</f>
        <v>ITD-SHRXXX-XX192</v>
      </c>
      <c r="C193" s="54" t="str" cm="1">
        <f t="array" ref="C193">IFERROR(_xlfn.LET(
_xlpm.CSVVal,_xlfn.XLOOKUP($A193,CSV!$A:$A,CSV!B:B,""),
_xlpm.MacVal,_xlfn.XLOOKUP($A193,Output_Mac!$A:$A,Output_Mac!B:B,""),
_xlpm.MyAuditVal,_xlfn.XLOOKUP($A193,My_Audit!$A:$A,My_Audit!B:B,""),
_xlfn.IFS(_xlpm.MyAuditVal&lt;&gt;"",UPPER(_xlpm.MyAuditVal),_xlpm.MacVal&lt;&gt;"",_xlpm.MacVal,_xlpm.CSVVal&lt;&gt;"",_xlpm.CSVVal
)),"")</f>
        <v/>
      </c>
      <c r="D193" s="55" t="str">
        <f>_xlfn.XLOOKUP(A193,My_Audit!A:A,My_Audit!D:D,"")&amp;""</f>
        <v/>
      </c>
      <c r="E193" s="55" t="str" cm="1">
        <f t="array" ref="E193">IFERROR(_xlfn.LET(
_xlpm.CSVVal,_xlfn.XLOOKUP($A193,CSV!$A:$A,CSV!D:D,""),
_xlpm.MacVal,_xlfn.XLOOKUP($A193,Output_Mac!$A:$A,Output_Mac!C:C,""),
_xlpm.MyAuditVal,_xlfn.XLOOKUP($A193,My_Audit!$A:$A,My_Audit!D:D,""),
_xlfn.IFS(_xlpm.MyAuditVal&lt;&gt;"",_xlpm.MyAuditVal,_xlpm.MacVal&lt;&gt;"",_xlpm.MacVal,_xlpm.CSVVal&lt;&gt;"",_xlpm.CSVVal
)),"")</f>
        <v/>
      </c>
      <c r="F193" s="54" t="str" cm="1">
        <f t="array" ref="F193">IFERROR(_xlfn.LET(
_xlpm.CSVVal,_xlfn.XLOOKUP($A193,CSV!$A:$A,CSV!E:E,""),
_xlpm.MacVal,_xlfn.XLOOKUP($A193,Output_Mac!$A:$A,Output_Mac!F:F,""),
_xlpm.MyAuditVal,_xlfn.XLOOKUP($A193,My_Audit!$A:$A,My_Audit!E:E,""),
_xlfn.IFS(_xlpm.MyAuditVal&lt;&gt;"",_xlpm.MyAuditVal,_xlpm.MacVal&lt;&gt;"",_xlpm.MacVal,_xlpm.CSVVal&lt;&gt;"",PROPER(_xlpm.CSVVal)
)),"")</f>
        <v/>
      </c>
      <c r="G193" s="54" t="str" cm="1">
        <f t="array" ref="G193">IFERROR(_xlfn.LET(
_xlpm.CSVVal,_xlfn.XLOOKUP($A193,CSV!$A:$A,CSV!F:F,""),
_xlpm.MacVal,_xlfn.XLOOKUP($A193,Output_Mac!$A:$A,Output_Mac!H:H,""),
_xlpm.MyAuditVal,_xlfn.XLOOKUP($A193,My_Audit!$A:$A,My_Audit!F:F,""),
_xlfn.IFS(_xlpm.MyAuditVal&lt;&gt;"",_xlpm.MyAuditVal,_xlpm.MacVal&lt;&gt;"",_xlpm.MacVal,_xlpm.CSVVal&lt;&gt;"",_xlpm.CSVVal
)),"")</f>
        <v/>
      </c>
      <c r="H193" s="54" t="str">
        <f>_xlfn.XLOOKUP(A193,Output_Mac!A:A,Output_Mac!I:I,"")</f>
        <v/>
      </c>
      <c r="I193" s="54" t="str" cm="1">
        <f t="array" ref="I193">IFERROR(_xlfn.LET(
_xlpm.CSVVal,_xlfn.XLOOKUP($A193,CSV!$A:$A,CSV!G:G,""),
_xlpm.MacVal,_xlfn.XLOOKUP($A193,Output_Mac!$A:$A,Output_Mac!J:J,""),
_xlpm.MyAuditVal,_xlfn.XLOOKUP($A193,My_Audit!$A:$A,My_Audit!H:H,""),
_xlfn.IFS(_xlpm.MyAuditVal&lt;&gt;"",UPPER(_xlpm.MyAuditVal),_xlpm.MacVal&lt;&gt;"",_xlpm.MacVal,_xlpm.CSVVal&lt;&gt;"",_xlpm.CSVVal
)),"")</f>
        <v/>
      </c>
      <c r="J193" s="54" t="str" cm="1">
        <f t="array" ref="J193">IFERROR(_xlfn.LET(
_xlpm.CSVVal,_xlfn.XLOOKUP($A193,CSV!$A:$A,CSV!I:I,""),
_xlpm.MacVal,_xlfn.XLOOKUP($A193,Output_Mac!$A:$A,Output_Mac!K:K,""),
_xlpm.MyAuditVal,_xlfn.XLOOKUP($A193,My_Audit!$A:$A,My_Audit!I:I,""),
_xlfn.IFS(_xlpm.MyAuditVal&lt;&gt;"",UPPER(_xlpm.MyAuditVal),_xlpm.MacVal&lt;&gt;"",_xlpm.MacVal,_xlpm.CSVVal&lt;&gt;"",_xlpm.CSVVal
)),"")</f>
        <v/>
      </c>
      <c r="K193" s="54" t="str" cm="1">
        <f t="array" ref="K193">IFERROR(_xlfn.LET(
_xlpm.CSVVal,_xlfn.XLOOKUP($A193,CSV!$A:$A,CSV!M:M,""),
_xlpm.MacVal,_xlfn.XLOOKUP($A193,Output_Mac!$A:$A,Output_Mac!L:L,""),
_xlpm.MyAuditVal,_xlfn.XLOOKUP($A193,My_Audit!$A:$A,My_Audit!J:J,""),
_xlfn.IFS(_xlpm.MyAuditVal&lt;&gt;"",UPPER(_xlpm.MyAuditVal),_xlpm.MacVal&lt;&gt;"",_xlpm.MacVal,_xlpm.CSVVal&lt;&gt;"",_xlpm.CSVVal
)),"")</f>
        <v/>
      </c>
      <c r="L193" s="55" t="str" cm="1">
        <f t="array" ref="L193">IFERROR(_xlfn.LET(
_xlpm.CSVVal,_xlfn.XLOOKUP($A193,CSV!$A:$A,CSV!P:P,""),
_xlpm.MacVal,_xlfn.XLOOKUP($A193,Output_Mac!$A:$A,Output_Mac!M:M,""),
_xlpm.MyAuditVal,_xlfn.XLOOKUP($A193,My_Audit!$A:$A,My_Audit!K:K,""),
_xlfn.IFS(_xlpm.MyAuditVal&lt;&gt;"",UPPER(_xlpm.MyAuditVal),_xlpm.MacVal&lt;&gt;"",_xlpm.MacVal,_xlpm.CSVVal&lt;&gt;"",_xlpm.CSVVal
)),"")</f>
        <v/>
      </c>
      <c r="M193" s="54" t="str">
        <f>_xlfn.LET(
    _xlpm.CSVVal, _xlfn.XLOOKUP($A193, CSV!$A:$A, CSV!AD:AD, ""),
    _xlpm.MacVal, _xlfn.XLOOKUP($A193, Output_Mac!$A:$A, Output_Mac!S:S, ""),
    _xlpm.MyAuditVal, _xlfn.XLOOKUP($A193, My_Audit!$A:$A, My_Audit!N:N, ""),
    _xlfn.TEXTJOIN(", ", TRUE, _xlpm.MyAuditVal, _xlpm.MacVal, _xlpm.CSVVal)
)</f>
        <v/>
      </c>
      <c r="N193" s="54" t="str" cm="1">
        <f t="array" ref="N193">IFERROR(_xlfn.LET(
_xlpm.CSVVal,_xlfn.XLOOKUP($A193,CSV!$A:$A,CSV!AF:AF,""),
_xlpm.MacVal,_xlfn.XLOOKUP($A193,Output_Mac!$A:$A,Output_Mac!U:U,""),
_xlpm.MyAuditVal,_xlfn.XLOOKUP($A193,My_Audit!$A:$A,My_Audit!O:O,""),
_xlfn.IFS(_xlpm.MyAuditVal&lt;&gt;"",UPPER(_xlpm.MyAuditVal),_xlpm.MacVal&lt;&gt;"",_xlpm.MacVal,_xlpm.CSVVal&lt;&gt;"",_xlpm.CSVVal
)),"")</f>
        <v/>
      </c>
      <c r="O193" s="54"/>
      <c r="P193" s="54"/>
      <c r="Q193" s="54"/>
      <c r="R193" s="54"/>
      <c r="S193" s="54"/>
      <c r="T193" s="54"/>
      <c r="U193" s="39"/>
    </row>
    <row r="194" spans="1:21">
      <c r="A194" s="54" t="str">
        <f>_xlfn.TEXTJOIN("",TRUE,Input!$B$2,ROW(My_Audit!A193))</f>
        <v>XX193</v>
      </c>
      <c r="B194" s="54" t="str">
        <f>_xlfn.TEXTJOIN("-",TRUE,"ITD",Input!$A$2,A194)</f>
        <v>ITD-SHRXXX-XX193</v>
      </c>
      <c r="C194" s="54" t="str" cm="1">
        <f t="array" ref="C194">IFERROR(_xlfn.LET(
_xlpm.CSVVal,_xlfn.XLOOKUP($A194,CSV!$A:$A,CSV!B:B,""),
_xlpm.MacVal,_xlfn.XLOOKUP($A194,Output_Mac!$A:$A,Output_Mac!B:B,""),
_xlpm.MyAuditVal,_xlfn.XLOOKUP($A194,My_Audit!$A:$A,My_Audit!B:B,""),
_xlfn.IFS(_xlpm.MyAuditVal&lt;&gt;"",UPPER(_xlpm.MyAuditVal),_xlpm.MacVal&lt;&gt;"",_xlpm.MacVal,_xlpm.CSVVal&lt;&gt;"",_xlpm.CSVVal
)),"")</f>
        <v/>
      </c>
      <c r="D194" s="55" t="str">
        <f>_xlfn.XLOOKUP(A194,My_Audit!A:A,My_Audit!D:D,"")&amp;""</f>
        <v/>
      </c>
      <c r="E194" s="55" t="str" cm="1">
        <f t="array" ref="E194">IFERROR(_xlfn.LET(
_xlpm.CSVVal,_xlfn.XLOOKUP($A194,CSV!$A:$A,CSV!D:D,""),
_xlpm.MacVal,_xlfn.XLOOKUP($A194,Output_Mac!$A:$A,Output_Mac!C:C,""),
_xlpm.MyAuditVal,_xlfn.XLOOKUP($A194,My_Audit!$A:$A,My_Audit!D:D,""),
_xlfn.IFS(_xlpm.MyAuditVal&lt;&gt;"",_xlpm.MyAuditVal,_xlpm.MacVal&lt;&gt;"",_xlpm.MacVal,_xlpm.CSVVal&lt;&gt;"",_xlpm.CSVVal
)),"")</f>
        <v/>
      </c>
      <c r="F194" s="54" t="str" cm="1">
        <f t="array" ref="F194">IFERROR(_xlfn.LET(
_xlpm.CSVVal,_xlfn.XLOOKUP($A194,CSV!$A:$A,CSV!E:E,""),
_xlpm.MacVal,_xlfn.XLOOKUP($A194,Output_Mac!$A:$A,Output_Mac!F:F,""),
_xlpm.MyAuditVal,_xlfn.XLOOKUP($A194,My_Audit!$A:$A,My_Audit!E:E,""),
_xlfn.IFS(_xlpm.MyAuditVal&lt;&gt;"",_xlpm.MyAuditVal,_xlpm.MacVal&lt;&gt;"",_xlpm.MacVal,_xlpm.CSVVal&lt;&gt;"",PROPER(_xlpm.CSVVal)
)),"")</f>
        <v/>
      </c>
      <c r="G194" s="54" t="str" cm="1">
        <f t="array" ref="G194">IFERROR(_xlfn.LET(
_xlpm.CSVVal,_xlfn.XLOOKUP($A194,CSV!$A:$A,CSV!F:F,""),
_xlpm.MacVal,_xlfn.XLOOKUP($A194,Output_Mac!$A:$A,Output_Mac!H:H,""),
_xlpm.MyAuditVal,_xlfn.XLOOKUP($A194,My_Audit!$A:$A,My_Audit!F:F,""),
_xlfn.IFS(_xlpm.MyAuditVal&lt;&gt;"",_xlpm.MyAuditVal,_xlpm.MacVal&lt;&gt;"",_xlpm.MacVal,_xlpm.CSVVal&lt;&gt;"",_xlpm.CSVVal
)),"")</f>
        <v/>
      </c>
      <c r="H194" s="54" t="str">
        <f>_xlfn.XLOOKUP(A194,Output_Mac!A:A,Output_Mac!I:I,"")</f>
        <v/>
      </c>
      <c r="I194" s="54" t="str" cm="1">
        <f t="array" ref="I194">IFERROR(_xlfn.LET(
_xlpm.CSVVal,_xlfn.XLOOKUP($A194,CSV!$A:$A,CSV!G:G,""),
_xlpm.MacVal,_xlfn.XLOOKUP($A194,Output_Mac!$A:$A,Output_Mac!J:J,""),
_xlpm.MyAuditVal,_xlfn.XLOOKUP($A194,My_Audit!$A:$A,My_Audit!H:H,""),
_xlfn.IFS(_xlpm.MyAuditVal&lt;&gt;"",UPPER(_xlpm.MyAuditVal),_xlpm.MacVal&lt;&gt;"",_xlpm.MacVal,_xlpm.CSVVal&lt;&gt;"",_xlpm.CSVVal
)),"")</f>
        <v/>
      </c>
      <c r="J194" s="54" t="str" cm="1">
        <f t="array" ref="J194">IFERROR(_xlfn.LET(
_xlpm.CSVVal,_xlfn.XLOOKUP($A194,CSV!$A:$A,CSV!I:I,""),
_xlpm.MacVal,_xlfn.XLOOKUP($A194,Output_Mac!$A:$A,Output_Mac!K:K,""),
_xlpm.MyAuditVal,_xlfn.XLOOKUP($A194,My_Audit!$A:$A,My_Audit!I:I,""),
_xlfn.IFS(_xlpm.MyAuditVal&lt;&gt;"",UPPER(_xlpm.MyAuditVal),_xlpm.MacVal&lt;&gt;"",_xlpm.MacVal,_xlpm.CSVVal&lt;&gt;"",_xlpm.CSVVal
)),"")</f>
        <v/>
      </c>
      <c r="K194" s="54" t="str" cm="1">
        <f t="array" ref="K194">IFERROR(_xlfn.LET(
_xlpm.CSVVal,_xlfn.XLOOKUP($A194,CSV!$A:$A,CSV!M:M,""),
_xlpm.MacVal,_xlfn.XLOOKUP($A194,Output_Mac!$A:$A,Output_Mac!L:L,""),
_xlpm.MyAuditVal,_xlfn.XLOOKUP($A194,My_Audit!$A:$A,My_Audit!J:J,""),
_xlfn.IFS(_xlpm.MyAuditVal&lt;&gt;"",UPPER(_xlpm.MyAuditVal),_xlpm.MacVal&lt;&gt;"",_xlpm.MacVal,_xlpm.CSVVal&lt;&gt;"",_xlpm.CSVVal
)),"")</f>
        <v/>
      </c>
      <c r="L194" s="55" t="str" cm="1">
        <f t="array" ref="L194">IFERROR(_xlfn.LET(
_xlpm.CSVVal,_xlfn.XLOOKUP($A194,CSV!$A:$A,CSV!P:P,""),
_xlpm.MacVal,_xlfn.XLOOKUP($A194,Output_Mac!$A:$A,Output_Mac!M:M,""),
_xlpm.MyAuditVal,_xlfn.XLOOKUP($A194,My_Audit!$A:$A,My_Audit!K:K,""),
_xlfn.IFS(_xlpm.MyAuditVal&lt;&gt;"",UPPER(_xlpm.MyAuditVal),_xlpm.MacVal&lt;&gt;"",_xlpm.MacVal,_xlpm.CSVVal&lt;&gt;"",_xlpm.CSVVal
)),"")</f>
        <v/>
      </c>
      <c r="M194" s="54" t="str">
        <f>_xlfn.LET(
    _xlpm.CSVVal, _xlfn.XLOOKUP($A194, CSV!$A:$A, CSV!AD:AD, ""),
    _xlpm.MacVal, _xlfn.XLOOKUP($A194, Output_Mac!$A:$A, Output_Mac!S:S, ""),
    _xlpm.MyAuditVal, _xlfn.XLOOKUP($A194, My_Audit!$A:$A, My_Audit!N:N, ""),
    _xlfn.TEXTJOIN(", ", TRUE, _xlpm.MyAuditVal, _xlpm.MacVal, _xlpm.CSVVal)
)</f>
        <v/>
      </c>
      <c r="N194" s="54" t="str" cm="1">
        <f t="array" ref="N194">IFERROR(_xlfn.LET(
_xlpm.CSVVal,_xlfn.XLOOKUP($A194,CSV!$A:$A,CSV!AF:AF,""),
_xlpm.MacVal,_xlfn.XLOOKUP($A194,Output_Mac!$A:$A,Output_Mac!U:U,""),
_xlpm.MyAuditVal,_xlfn.XLOOKUP($A194,My_Audit!$A:$A,My_Audit!O:O,""),
_xlfn.IFS(_xlpm.MyAuditVal&lt;&gt;"",UPPER(_xlpm.MyAuditVal),_xlpm.MacVal&lt;&gt;"",_xlpm.MacVal,_xlpm.CSVVal&lt;&gt;"",_xlpm.CSVVal
)),"")</f>
        <v/>
      </c>
      <c r="O194" s="54"/>
      <c r="P194" s="54"/>
      <c r="Q194" s="54"/>
      <c r="R194" s="54"/>
      <c r="S194" s="54"/>
      <c r="T194" s="54"/>
      <c r="U194" s="39"/>
    </row>
    <row r="195" spans="1:21">
      <c r="A195" s="54" t="str">
        <f>_xlfn.TEXTJOIN("",TRUE,Input!$B$2,ROW(My_Audit!A194))</f>
        <v>XX194</v>
      </c>
      <c r="B195" s="54" t="str">
        <f>_xlfn.TEXTJOIN("-",TRUE,"ITD",Input!$A$2,A195)</f>
        <v>ITD-SHRXXX-XX194</v>
      </c>
      <c r="C195" s="54" t="str" cm="1">
        <f t="array" ref="C195">IFERROR(_xlfn.LET(
_xlpm.CSVVal,_xlfn.XLOOKUP($A195,CSV!$A:$A,CSV!B:B,""),
_xlpm.MacVal,_xlfn.XLOOKUP($A195,Output_Mac!$A:$A,Output_Mac!B:B,""),
_xlpm.MyAuditVal,_xlfn.XLOOKUP($A195,My_Audit!$A:$A,My_Audit!B:B,""),
_xlfn.IFS(_xlpm.MyAuditVal&lt;&gt;"",UPPER(_xlpm.MyAuditVal),_xlpm.MacVal&lt;&gt;"",_xlpm.MacVal,_xlpm.CSVVal&lt;&gt;"",_xlpm.CSVVal
)),"")</f>
        <v/>
      </c>
      <c r="D195" s="55" t="str">
        <f>_xlfn.XLOOKUP(A195,My_Audit!A:A,My_Audit!D:D,"")&amp;""</f>
        <v/>
      </c>
      <c r="E195" s="55" t="str" cm="1">
        <f t="array" ref="E195">IFERROR(_xlfn.LET(
_xlpm.CSVVal,_xlfn.XLOOKUP($A195,CSV!$A:$A,CSV!D:D,""),
_xlpm.MacVal,_xlfn.XLOOKUP($A195,Output_Mac!$A:$A,Output_Mac!C:C,""),
_xlpm.MyAuditVal,_xlfn.XLOOKUP($A195,My_Audit!$A:$A,My_Audit!D:D,""),
_xlfn.IFS(_xlpm.MyAuditVal&lt;&gt;"",_xlpm.MyAuditVal,_xlpm.MacVal&lt;&gt;"",_xlpm.MacVal,_xlpm.CSVVal&lt;&gt;"",_xlpm.CSVVal
)),"")</f>
        <v/>
      </c>
      <c r="F195" s="54" t="str" cm="1">
        <f t="array" ref="F195">IFERROR(_xlfn.LET(
_xlpm.CSVVal,_xlfn.XLOOKUP($A195,CSV!$A:$A,CSV!E:E,""),
_xlpm.MacVal,_xlfn.XLOOKUP($A195,Output_Mac!$A:$A,Output_Mac!F:F,""),
_xlpm.MyAuditVal,_xlfn.XLOOKUP($A195,My_Audit!$A:$A,My_Audit!E:E,""),
_xlfn.IFS(_xlpm.MyAuditVal&lt;&gt;"",_xlpm.MyAuditVal,_xlpm.MacVal&lt;&gt;"",_xlpm.MacVal,_xlpm.CSVVal&lt;&gt;"",PROPER(_xlpm.CSVVal)
)),"")</f>
        <v/>
      </c>
      <c r="G195" s="54" t="str" cm="1">
        <f t="array" ref="G195">IFERROR(_xlfn.LET(
_xlpm.CSVVal,_xlfn.XLOOKUP($A195,CSV!$A:$A,CSV!F:F,""),
_xlpm.MacVal,_xlfn.XLOOKUP($A195,Output_Mac!$A:$A,Output_Mac!H:H,""),
_xlpm.MyAuditVal,_xlfn.XLOOKUP($A195,My_Audit!$A:$A,My_Audit!F:F,""),
_xlfn.IFS(_xlpm.MyAuditVal&lt;&gt;"",_xlpm.MyAuditVal,_xlpm.MacVal&lt;&gt;"",_xlpm.MacVal,_xlpm.CSVVal&lt;&gt;"",_xlpm.CSVVal
)),"")</f>
        <v/>
      </c>
      <c r="H195" s="54" t="str">
        <f>_xlfn.XLOOKUP(A195,Output_Mac!A:A,Output_Mac!I:I,"")</f>
        <v/>
      </c>
      <c r="I195" s="54" t="str" cm="1">
        <f t="array" ref="I195">IFERROR(_xlfn.LET(
_xlpm.CSVVal,_xlfn.XLOOKUP($A195,CSV!$A:$A,CSV!G:G,""),
_xlpm.MacVal,_xlfn.XLOOKUP($A195,Output_Mac!$A:$A,Output_Mac!J:J,""),
_xlpm.MyAuditVal,_xlfn.XLOOKUP($A195,My_Audit!$A:$A,My_Audit!H:H,""),
_xlfn.IFS(_xlpm.MyAuditVal&lt;&gt;"",UPPER(_xlpm.MyAuditVal),_xlpm.MacVal&lt;&gt;"",_xlpm.MacVal,_xlpm.CSVVal&lt;&gt;"",_xlpm.CSVVal
)),"")</f>
        <v/>
      </c>
      <c r="J195" s="54" t="str" cm="1">
        <f t="array" ref="J195">IFERROR(_xlfn.LET(
_xlpm.CSVVal,_xlfn.XLOOKUP($A195,CSV!$A:$A,CSV!I:I,""),
_xlpm.MacVal,_xlfn.XLOOKUP($A195,Output_Mac!$A:$A,Output_Mac!K:K,""),
_xlpm.MyAuditVal,_xlfn.XLOOKUP($A195,My_Audit!$A:$A,My_Audit!I:I,""),
_xlfn.IFS(_xlpm.MyAuditVal&lt;&gt;"",UPPER(_xlpm.MyAuditVal),_xlpm.MacVal&lt;&gt;"",_xlpm.MacVal,_xlpm.CSVVal&lt;&gt;"",_xlpm.CSVVal
)),"")</f>
        <v/>
      </c>
      <c r="K195" s="54" t="str" cm="1">
        <f t="array" ref="K195">IFERROR(_xlfn.LET(
_xlpm.CSVVal,_xlfn.XLOOKUP($A195,CSV!$A:$A,CSV!M:M,""),
_xlpm.MacVal,_xlfn.XLOOKUP($A195,Output_Mac!$A:$A,Output_Mac!L:L,""),
_xlpm.MyAuditVal,_xlfn.XLOOKUP($A195,My_Audit!$A:$A,My_Audit!J:J,""),
_xlfn.IFS(_xlpm.MyAuditVal&lt;&gt;"",UPPER(_xlpm.MyAuditVal),_xlpm.MacVal&lt;&gt;"",_xlpm.MacVal,_xlpm.CSVVal&lt;&gt;"",_xlpm.CSVVal
)),"")</f>
        <v/>
      </c>
      <c r="L195" s="55" t="str" cm="1">
        <f t="array" ref="L195">IFERROR(_xlfn.LET(
_xlpm.CSVVal,_xlfn.XLOOKUP($A195,CSV!$A:$A,CSV!P:P,""),
_xlpm.MacVal,_xlfn.XLOOKUP($A195,Output_Mac!$A:$A,Output_Mac!M:M,""),
_xlpm.MyAuditVal,_xlfn.XLOOKUP($A195,My_Audit!$A:$A,My_Audit!K:K,""),
_xlfn.IFS(_xlpm.MyAuditVal&lt;&gt;"",UPPER(_xlpm.MyAuditVal),_xlpm.MacVal&lt;&gt;"",_xlpm.MacVal,_xlpm.CSVVal&lt;&gt;"",_xlpm.CSVVal
)),"")</f>
        <v/>
      </c>
      <c r="M195" s="54" t="str">
        <f>_xlfn.LET(
    _xlpm.CSVVal, _xlfn.XLOOKUP($A195, CSV!$A:$A, CSV!AD:AD, ""),
    _xlpm.MacVal, _xlfn.XLOOKUP($A195, Output_Mac!$A:$A, Output_Mac!S:S, ""),
    _xlpm.MyAuditVal, _xlfn.XLOOKUP($A195, My_Audit!$A:$A, My_Audit!N:N, ""),
    _xlfn.TEXTJOIN(", ", TRUE, _xlpm.MyAuditVal, _xlpm.MacVal, _xlpm.CSVVal)
)</f>
        <v/>
      </c>
      <c r="N195" s="54" t="str" cm="1">
        <f t="array" ref="N195">IFERROR(_xlfn.LET(
_xlpm.CSVVal,_xlfn.XLOOKUP($A195,CSV!$A:$A,CSV!AF:AF,""),
_xlpm.MacVal,_xlfn.XLOOKUP($A195,Output_Mac!$A:$A,Output_Mac!U:U,""),
_xlpm.MyAuditVal,_xlfn.XLOOKUP($A195,My_Audit!$A:$A,My_Audit!O:O,""),
_xlfn.IFS(_xlpm.MyAuditVal&lt;&gt;"",UPPER(_xlpm.MyAuditVal),_xlpm.MacVal&lt;&gt;"",_xlpm.MacVal,_xlpm.CSVVal&lt;&gt;"",_xlpm.CSVVal
)),"")</f>
        <v/>
      </c>
      <c r="O195" s="54"/>
      <c r="P195" s="54"/>
      <c r="Q195" s="54"/>
      <c r="R195" s="54"/>
      <c r="S195" s="54"/>
      <c r="T195" s="54"/>
      <c r="U195" s="39"/>
    </row>
    <row r="196" spans="1:21">
      <c r="A196" s="54" t="str">
        <f>_xlfn.TEXTJOIN("",TRUE,Input!$B$2,ROW(My_Audit!A195))</f>
        <v>XX195</v>
      </c>
      <c r="B196" s="54" t="str">
        <f>_xlfn.TEXTJOIN("-",TRUE,"ITD",Input!$A$2,A196)</f>
        <v>ITD-SHRXXX-XX195</v>
      </c>
      <c r="C196" s="54" t="str" cm="1">
        <f t="array" ref="C196">IFERROR(_xlfn.LET(
_xlpm.CSVVal,_xlfn.XLOOKUP($A196,CSV!$A:$A,CSV!B:B,""),
_xlpm.MacVal,_xlfn.XLOOKUP($A196,Output_Mac!$A:$A,Output_Mac!B:B,""),
_xlpm.MyAuditVal,_xlfn.XLOOKUP($A196,My_Audit!$A:$A,My_Audit!B:B,""),
_xlfn.IFS(_xlpm.MyAuditVal&lt;&gt;"",UPPER(_xlpm.MyAuditVal),_xlpm.MacVal&lt;&gt;"",_xlpm.MacVal,_xlpm.CSVVal&lt;&gt;"",_xlpm.CSVVal
)),"")</f>
        <v/>
      </c>
      <c r="D196" s="55" t="str">
        <f>_xlfn.XLOOKUP(A196,My_Audit!A:A,My_Audit!D:D,"")&amp;""</f>
        <v/>
      </c>
      <c r="E196" s="55" t="str" cm="1">
        <f t="array" ref="E196">IFERROR(_xlfn.LET(
_xlpm.CSVVal,_xlfn.XLOOKUP($A196,CSV!$A:$A,CSV!D:D,""),
_xlpm.MacVal,_xlfn.XLOOKUP($A196,Output_Mac!$A:$A,Output_Mac!C:C,""),
_xlpm.MyAuditVal,_xlfn.XLOOKUP($A196,My_Audit!$A:$A,My_Audit!D:D,""),
_xlfn.IFS(_xlpm.MyAuditVal&lt;&gt;"",_xlpm.MyAuditVal,_xlpm.MacVal&lt;&gt;"",_xlpm.MacVal,_xlpm.CSVVal&lt;&gt;"",_xlpm.CSVVal
)),"")</f>
        <v/>
      </c>
      <c r="F196" s="54" t="str" cm="1">
        <f t="array" ref="F196">IFERROR(_xlfn.LET(
_xlpm.CSVVal,_xlfn.XLOOKUP($A196,CSV!$A:$A,CSV!E:E,""),
_xlpm.MacVal,_xlfn.XLOOKUP($A196,Output_Mac!$A:$A,Output_Mac!F:F,""),
_xlpm.MyAuditVal,_xlfn.XLOOKUP($A196,My_Audit!$A:$A,My_Audit!E:E,""),
_xlfn.IFS(_xlpm.MyAuditVal&lt;&gt;"",_xlpm.MyAuditVal,_xlpm.MacVal&lt;&gt;"",_xlpm.MacVal,_xlpm.CSVVal&lt;&gt;"",PROPER(_xlpm.CSVVal)
)),"")</f>
        <v/>
      </c>
      <c r="G196" s="54" t="str" cm="1">
        <f t="array" ref="G196">IFERROR(_xlfn.LET(
_xlpm.CSVVal,_xlfn.XLOOKUP($A196,CSV!$A:$A,CSV!F:F,""),
_xlpm.MacVal,_xlfn.XLOOKUP($A196,Output_Mac!$A:$A,Output_Mac!H:H,""),
_xlpm.MyAuditVal,_xlfn.XLOOKUP($A196,My_Audit!$A:$A,My_Audit!F:F,""),
_xlfn.IFS(_xlpm.MyAuditVal&lt;&gt;"",_xlpm.MyAuditVal,_xlpm.MacVal&lt;&gt;"",_xlpm.MacVal,_xlpm.CSVVal&lt;&gt;"",_xlpm.CSVVal
)),"")</f>
        <v/>
      </c>
      <c r="H196" s="54" t="str">
        <f>_xlfn.XLOOKUP(A196,Output_Mac!A:A,Output_Mac!I:I,"")</f>
        <v/>
      </c>
      <c r="I196" s="54" t="str" cm="1">
        <f t="array" ref="I196">IFERROR(_xlfn.LET(
_xlpm.CSVVal,_xlfn.XLOOKUP($A196,CSV!$A:$A,CSV!G:G,""),
_xlpm.MacVal,_xlfn.XLOOKUP($A196,Output_Mac!$A:$A,Output_Mac!J:J,""),
_xlpm.MyAuditVal,_xlfn.XLOOKUP($A196,My_Audit!$A:$A,My_Audit!H:H,""),
_xlfn.IFS(_xlpm.MyAuditVal&lt;&gt;"",UPPER(_xlpm.MyAuditVal),_xlpm.MacVal&lt;&gt;"",_xlpm.MacVal,_xlpm.CSVVal&lt;&gt;"",_xlpm.CSVVal
)),"")</f>
        <v/>
      </c>
      <c r="J196" s="54" t="str" cm="1">
        <f t="array" ref="J196">IFERROR(_xlfn.LET(
_xlpm.CSVVal,_xlfn.XLOOKUP($A196,CSV!$A:$A,CSV!I:I,""),
_xlpm.MacVal,_xlfn.XLOOKUP($A196,Output_Mac!$A:$A,Output_Mac!K:K,""),
_xlpm.MyAuditVal,_xlfn.XLOOKUP($A196,My_Audit!$A:$A,My_Audit!I:I,""),
_xlfn.IFS(_xlpm.MyAuditVal&lt;&gt;"",UPPER(_xlpm.MyAuditVal),_xlpm.MacVal&lt;&gt;"",_xlpm.MacVal,_xlpm.CSVVal&lt;&gt;"",_xlpm.CSVVal
)),"")</f>
        <v/>
      </c>
      <c r="K196" s="54" t="str" cm="1">
        <f t="array" ref="K196">IFERROR(_xlfn.LET(
_xlpm.CSVVal,_xlfn.XLOOKUP($A196,CSV!$A:$A,CSV!M:M,""),
_xlpm.MacVal,_xlfn.XLOOKUP($A196,Output_Mac!$A:$A,Output_Mac!L:L,""),
_xlpm.MyAuditVal,_xlfn.XLOOKUP($A196,My_Audit!$A:$A,My_Audit!J:J,""),
_xlfn.IFS(_xlpm.MyAuditVal&lt;&gt;"",UPPER(_xlpm.MyAuditVal),_xlpm.MacVal&lt;&gt;"",_xlpm.MacVal,_xlpm.CSVVal&lt;&gt;"",_xlpm.CSVVal
)),"")</f>
        <v/>
      </c>
      <c r="L196" s="55" t="str" cm="1">
        <f t="array" ref="L196">IFERROR(_xlfn.LET(
_xlpm.CSVVal,_xlfn.XLOOKUP($A196,CSV!$A:$A,CSV!P:P,""),
_xlpm.MacVal,_xlfn.XLOOKUP($A196,Output_Mac!$A:$A,Output_Mac!M:M,""),
_xlpm.MyAuditVal,_xlfn.XLOOKUP($A196,My_Audit!$A:$A,My_Audit!K:K,""),
_xlfn.IFS(_xlpm.MyAuditVal&lt;&gt;"",UPPER(_xlpm.MyAuditVal),_xlpm.MacVal&lt;&gt;"",_xlpm.MacVal,_xlpm.CSVVal&lt;&gt;"",_xlpm.CSVVal
)),"")</f>
        <v/>
      </c>
      <c r="M196" s="54" t="str">
        <f>_xlfn.LET(
    _xlpm.CSVVal, _xlfn.XLOOKUP($A196, CSV!$A:$A, CSV!AD:AD, ""),
    _xlpm.MacVal, _xlfn.XLOOKUP($A196, Output_Mac!$A:$A, Output_Mac!S:S, ""),
    _xlpm.MyAuditVal, _xlfn.XLOOKUP($A196, My_Audit!$A:$A, My_Audit!N:N, ""),
    _xlfn.TEXTJOIN(", ", TRUE, _xlpm.MyAuditVal, _xlpm.MacVal, _xlpm.CSVVal)
)</f>
        <v/>
      </c>
      <c r="N196" s="54" t="str" cm="1">
        <f t="array" ref="N196">IFERROR(_xlfn.LET(
_xlpm.CSVVal,_xlfn.XLOOKUP($A196,CSV!$A:$A,CSV!AF:AF,""),
_xlpm.MacVal,_xlfn.XLOOKUP($A196,Output_Mac!$A:$A,Output_Mac!U:U,""),
_xlpm.MyAuditVal,_xlfn.XLOOKUP($A196,My_Audit!$A:$A,My_Audit!O:O,""),
_xlfn.IFS(_xlpm.MyAuditVal&lt;&gt;"",UPPER(_xlpm.MyAuditVal),_xlpm.MacVal&lt;&gt;"",_xlpm.MacVal,_xlpm.CSVVal&lt;&gt;"",_xlpm.CSVVal
)),"")</f>
        <v/>
      </c>
      <c r="O196" s="54"/>
      <c r="P196" s="54"/>
      <c r="Q196" s="54"/>
      <c r="R196" s="54"/>
      <c r="S196" s="54"/>
      <c r="T196" s="54"/>
      <c r="U196" s="39"/>
    </row>
    <row r="197" spans="1:21">
      <c r="A197" s="54" t="str">
        <f>_xlfn.TEXTJOIN("",TRUE,Input!$B$2,ROW(My_Audit!A196))</f>
        <v>XX196</v>
      </c>
      <c r="B197" s="54" t="str">
        <f>_xlfn.TEXTJOIN("-",TRUE,"ITD",Input!$A$2,A197)</f>
        <v>ITD-SHRXXX-XX196</v>
      </c>
      <c r="C197" s="54" t="str" cm="1">
        <f t="array" ref="C197">IFERROR(_xlfn.LET(
_xlpm.CSVVal,_xlfn.XLOOKUP($A197,CSV!$A:$A,CSV!B:B,""),
_xlpm.MacVal,_xlfn.XLOOKUP($A197,Output_Mac!$A:$A,Output_Mac!B:B,""),
_xlpm.MyAuditVal,_xlfn.XLOOKUP($A197,My_Audit!$A:$A,My_Audit!B:B,""),
_xlfn.IFS(_xlpm.MyAuditVal&lt;&gt;"",UPPER(_xlpm.MyAuditVal),_xlpm.MacVal&lt;&gt;"",_xlpm.MacVal,_xlpm.CSVVal&lt;&gt;"",_xlpm.CSVVal
)),"")</f>
        <v/>
      </c>
      <c r="D197" s="55" t="str">
        <f>_xlfn.XLOOKUP(A197,My_Audit!A:A,My_Audit!D:D,"")&amp;""</f>
        <v/>
      </c>
      <c r="E197" s="55" t="str" cm="1">
        <f t="array" ref="E197">IFERROR(_xlfn.LET(
_xlpm.CSVVal,_xlfn.XLOOKUP($A197,CSV!$A:$A,CSV!D:D,""),
_xlpm.MacVal,_xlfn.XLOOKUP($A197,Output_Mac!$A:$A,Output_Mac!C:C,""),
_xlpm.MyAuditVal,_xlfn.XLOOKUP($A197,My_Audit!$A:$A,My_Audit!D:D,""),
_xlfn.IFS(_xlpm.MyAuditVal&lt;&gt;"",_xlpm.MyAuditVal,_xlpm.MacVal&lt;&gt;"",_xlpm.MacVal,_xlpm.CSVVal&lt;&gt;"",_xlpm.CSVVal
)),"")</f>
        <v/>
      </c>
      <c r="F197" s="54" t="str" cm="1">
        <f t="array" ref="F197">IFERROR(_xlfn.LET(
_xlpm.CSVVal,_xlfn.XLOOKUP($A197,CSV!$A:$A,CSV!E:E,""),
_xlpm.MacVal,_xlfn.XLOOKUP($A197,Output_Mac!$A:$A,Output_Mac!F:F,""),
_xlpm.MyAuditVal,_xlfn.XLOOKUP($A197,My_Audit!$A:$A,My_Audit!E:E,""),
_xlfn.IFS(_xlpm.MyAuditVal&lt;&gt;"",_xlpm.MyAuditVal,_xlpm.MacVal&lt;&gt;"",_xlpm.MacVal,_xlpm.CSVVal&lt;&gt;"",PROPER(_xlpm.CSVVal)
)),"")</f>
        <v/>
      </c>
      <c r="G197" s="54" t="str" cm="1">
        <f t="array" ref="G197">IFERROR(_xlfn.LET(
_xlpm.CSVVal,_xlfn.XLOOKUP($A197,CSV!$A:$A,CSV!F:F,""),
_xlpm.MacVal,_xlfn.XLOOKUP($A197,Output_Mac!$A:$A,Output_Mac!H:H,""),
_xlpm.MyAuditVal,_xlfn.XLOOKUP($A197,My_Audit!$A:$A,My_Audit!F:F,""),
_xlfn.IFS(_xlpm.MyAuditVal&lt;&gt;"",_xlpm.MyAuditVal,_xlpm.MacVal&lt;&gt;"",_xlpm.MacVal,_xlpm.CSVVal&lt;&gt;"",_xlpm.CSVVal
)),"")</f>
        <v/>
      </c>
      <c r="H197" s="54" t="str">
        <f>_xlfn.XLOOKUP(A197,Output_Mac!A:A,Output_Mac!I:I,"")</f>
        <v/>
      </c>
      <c r="I197" s="54" t="str" cm="1">
        <f t="array" ref="I197">IFERROR(_xlfn.LET(
_xlpm.CSVVal,_xlfn.XLOOKUP($A197,CSV!$A:$A,CSV!G:G,""),
_xlpm.MacVal,_xlfn.XLOOKUP($A197,Output_Mac!$A:$A,Output_Mac!J:J,""),
_xlpm.MyAuditVal,_xlfn.XLOOKUP($A197,My_Audit!$A:$A,My_Audit!H:H,""),
_xlfn.IFS(_xlpm.MyAuditVal&lt;&gt;"",UPPER(_xlpm.MyAuditVal),_xlpm.MacVal&lt;&gt;"",_xlpm.MacVal,_xlpm.CSVVal&lt;&gt;"",_xlpm.CSVVal
)),"")</f>
        <v/>
      </c>
      <c r="J197" s="54" t="str" cm="1">
        <f t="array" ref="J197">IFERROR(_xlfn.LET(
_xlpm.CSVVal,_xlfn.XLOOKUP($A197,CSV!$A:$A,CSV!I:I,""),
_xlpm.MacVal,_xlfn.XLOOKUP($A197,Output_Mac!$A:$A,Output_Mac!K:K,""),
_xlpm.MyAuditVal,_xlfn.XLOOKUP($A197,My_Audit!$A:$A,My_Audit!I:I,""),
_xlfn.IFS(_xlpm.MyAuditVal&lt;&gt;"",UPPER(_xlpm.MyAuditVal),_xlpm.MacVal&lt;&gt;"",_xlpm.MacVal,_xlpm.CSVVal&lt;&gt;"",_xlpm.CSVVal
)),"")</f>
        <v/>
      </c>
      <c r="K197" s="54" t="str" cm="1">
        <f t="array" ref="K197">IFERROR(_xlfn.LET(
_xlpm.CSVVal,_xlfn.XLOOKUP($A197,CSV!$A:$A,CSV!M:M,""),
_xlpm.MacVal,_xlfn.XLOOKUP($A197,Output_Mac!$A:$A,Output_Mac!L:L,""),
_xlpm.MyAuditVal,_xlfn.XLOOKUP($A197,My_Audit!$A:$A,My_Audit!J:J,""),
_xlfn.IFS(_xlpm.MyAuditVal&lt;&gt;"",UPPER(_xlpm.MyAuditVal),_xlpm.MacVal&lt;&gt;"",_xlpm.MacVal,_xlpm.CSVVal&lt;&gt;"",_xlpm.CSVVal
)),"")</f>
        <v/>
      </c>
      <c r="L197" s="55" t="str" cm="1">
        <f t="array" ref="L197">IFERROR(_xlfn.LET(
_xlpm.CSVVal,_xlfn.XLOOKUP($A197,CSV!$A:$A,CSV!P:P,""),
_xlpm.MacVal,_xlfn.XLOOKUP($A197,Output_Mac!$A:$A,Output_Mac!M:M,""),
_xlpm.MyAuditVal,_xlfn.XLOOKUP($A197,My_Audit!$A:$A,My_Audit!K:K,""),
_xlfn.IFS(_xlpm.MyAuditVal&lt;&gt;"",UPPER(_xlpm.MyAuditVal),_xlpm.MacVal&lt;&gt;"",_xlpm.MacVal,_xlpm.CSVVal&lt;&gt;"",_xlpm.CSVVal
)),"")</f>
        <v/>
      </c>
      <c r="M197" s="54" t="str">
        <f>_xlfn.LET(
    _xlpm.CSVVal, _xlfn.XLOOKUP($A197, CSV!$A:$A, CSV!AD:AD, ""),
    _xlpm.MacVal, _xlfn.XLOOKUP($A197, Output_Mac!$A:$A, Output_Mac!S:S, ""),
    _xlpm.MyAuditVal, _xlfn.XLOOKUP($A197, My_Audit!$A:$A, My_Audit!N:N, ""),
    _xlfn.TEXTJOIN(", ", TRUE, _xlpm.MyAuditVal, _xlpm.MacVal, _xlpm.CSVVal)
)</f>
        <v/>
      </c>
      <c r="N197" s="54" t="str" cm="1">
        <f t="array" ref="N197">IFERROR(_xlfn.LET(
_xlpm.CSVVal,_xlfn.XLOOKUP($A197,CSV!$A:$A,CSV!AF:AF,""),
_xlpm.MacVal,_xlfn.XLOOKUP($A197,Output_Mac!$A:$A,Output_Mac!U:U,""),
_xlpm.MyAuditVal,_xlfn.XLOOKUP($A197,My_Audit!$A:$A,My_Audit!O:O,""),
_xlfn.IFS(_xlpm.MyAuditVal&lt;&gt;"",UPPER(_xlpm.MyAuditVal),_xlpm.MacVal&lt;&gt;"",_xlpm.MacVal,_xlpm.CSVVal&lt;&gt;"",_xlpm.CSVVal
)),"")</f>
        <v/>
      </c>
      <c r="O197" s="54"/>
      <c r="P197" s="54"/>
      <c r="Q197" s="54"/>
      <c r="R197" s="54"/>
      <c r="S197" s="54"/>
      <c r="T197" s="54"/>
      <c r="U197" s="39"/>
    </row>
    <row r="198" spans="1:21">
      <c r="A198" s="54" t="str">
        <f>_xlfn.TEXTJOIN("",TRUE,Input!$B$2,ROW(My_Audit!A197))</f>
        <v>XX197</v>
      </c>
      <c r="B198" s="54" t="str">
        <f>_xlfn.TEXTJOIN("-",TRUE,"ITD",Input!$A$2,A198)</f>
        <v>ITD-SHRXXX-XX197</v>
      </c>
      <c r="C198" s="54" t="str" cm="1">
        <f t="array" ref="C198">IFERROR(_xlfn.LET(
_xlpm.CSVVal,_xlfn.XLOOKUP($A198,CSV!$A:$A,CSV!B:B,""),
_xlpm.MacVal,_xlfn.XLOOKUP($A198,Output_Mac!$A:$A,Output_Mac!B:B,""),
_xlpm.MyAuditVal,_xlfn.XLOOKUP($A198,My_Audit!$A:$A,My_Audit!B:B,""),
_xlfn.IFS(_xlpm.MyAuditVal&lt;&gt;"",UPPER(_xlpm.MyAuditVal),_xlpm.MacVal&lt;&gt;"",_xlpm.MacVal,_xlpm.CSVVal&lt;&gt;"",_xlpm.CSVVal
)),"")</f>
        <v/>
      </c>
      <c r="D198" s="55" t="str">
        <f>_xlfn.XLOOKUP(A198,My_Audit!A:A,My_Audit!D:D,"")&amp;""</f>
        <v/>
      </c>
      <c r="E198" s="55" t="str" cm="1">
        <f t="array" ref="E198">IFERROR(_xlfn.LET(
_xlpm.CSVVal,_xlfn.XLOOKUP($A198,CSV!$A:$A,CSV!D:D,""),
_xlpm.MacVal,_xlfn.XLOOKUP($A198,Output_Mac!$A:$A,Output_Mac!C:C,""),
_xlpm.MyAuditVal,_xlfn.XLOOKUP($A198,My_Audit!$A:$A,My_Audit!D:D,""),
_xlfn.IFS(_xlpm.MyAuditVal&lt;&gt;"",_xlpm.MyAuditVal,_xlpm.MacVal&lt;&gt;"",_xlpm.MacVal,_xlpm.CSVVal&lt;&gt;"",_xlpm.CSVVal
)),"")</f>
        <v/>
      </c>
      <c r="F198" s="54" t="str" cm="1">
        <f t="array" ref="F198">IFERROR(_xlfn.LET(
_xlpm.CSVVal,_xlfn.XLOOKUP($A198,CSV!$A:$A,CSV!E:E,""),
_xlpm.MacVal,_xlfn.XLOOKUP($A198,Output_Mac!$A:$A,Output_Mac!F:F,""),
_xlpm.MyAuditVal,_xlfn.XLOOKUP($A198,My_Audit!$A:$A,My_Audit!E:E,""),
_xlfn.IFS(_xlpm.MyAuditVal&lt;&gt;"",_xlpm.MyAuditVal,_xlpm.MacVal&lt;&gt;"",_xlpm.MacVal,_xlpm.CSVVal&lt;&gt;"",PROPER(_xlpm.CSVVal)
)),"")</f>
        <v/>
      </c>
      <c r="G198" s="54" t="str" cm="1">
        <f t="array" ref="G198">IFERROR(_xlfn.LET(
_xlpm.CSVVal,_xlfn.XLOOKUP($A198,CSV!$A:$A,CSV!F:F,""),
_xlpm.MacVal,_xlfn.XLOOKUP($A198,Output_Mac!$A:$A,Output_Mac!H:H,""),
_xlpm.MyAuditVal,_xlfn.XLOOKUP($A198,My_Audit!$A:$A,My_Audit!F:F,""),
_xlfn.IFS(_xlpm.MyAuditVal&lt;&gt;"",_xlpm.MyAuditVal,_xlpm.MacVal&lt;&gt;"",_xlpm.MacVal,_xlpm.CSVVal&lt;&gt;"",_xlpm.CSVVal
)),"")</f>
        <v/>
      </c>
      <c r="H198" s="54" t="str">
        <f>_xlfn.XLOOKUP(A198,Output_Mac!A:A,Output_Mac!I:I,"")</f>
        <v/>
      </c>
      <c r="I198" s="54" t="str" cm="1">
        <f t="array" ref="I198">IFERROR(_xlfn.LET(
_xlpm.CSVVal,_xlfn.XLOOKUP($A198,CSV!$A:$A,CSV!G:G,""),
_xlpm.MacVal,_xlfn.XLOOKUP($A198,Output_Mac!$A:$A,Output_Mac!J:J,""),
_xlpm.MyAuditVal,_xlfn.XLOOKUP($A198,My_Audit!$A:$A,My_Audit!H:H,""),
_xlfn.IFS(_xlpm.MyAuditVal&lt;&gt;"",UPPER(_xlpm.MyAuditVal),_xlpm.MacVal&lt;&gt;"",_xlpm.MacVal,_xlpm.CSVVal&lt;&gt;"",_xlpm.CSVVal
)),"")</f>
        <v/>
      </c>
      <c r="J198" s="54" t="str" cm="1">
        <f t="array" ref="J198">IFERROR(_xlfn.LET(
_xlpm.CSVVal,_xlfn.XLOOKUP($A198,CSV!$A:$A,CSV!I:I,""),
_xlpm.MacVal,_xlfn.XLOOKUP($A198,Output_Mac!$A:$A,Output_Mac!K:K,""),
_xlpm.MyAuditVal,_xlfn.XLOOKUP($A198,My_Audit!$A:$A,My_Audit!I:I,""),
_xlfn.IFS(_xlpm.MyAuditVal&lt;&gt;"",UPPER(_xlpm.MyAuditVal),_xlpm.MacVal&lt;&gt;"",_xlpm.MacVal,_xlpm.CSVVal&lt;&gt;"",_xlpm.CSVVal
)),"")</f>
        <v/>
      </c>
      <c r="K198" s="54" t="str" cm="1">
        <f t="array" ref="K198">IFERROR(_xlfn.LET(
_xlpm.CSVVal,_xlfn.XLOOKUP($A198,CSV!$A:$A,CSV!M:M,""),
_xlpm.MacVal,_xlfn.XLOOKUP($A198,Output_Mac!$A:$A,Output_Mac!L:L,""),
_xlpm.MyAuditVal,_xlfn.XLOOKUP($A198,My_Audit!$A:$A,My_Audit!J:J,""),
_xlfn.IFS(_xlpm.MyAuditVal&lt;&gt;"",UPPER(_xlpm.MyAuditVal),_xlpm.MacVal&lt;&gt;"",_xlpm.MacVal,_xlpm.CSVVal&lt;&gt;"",_xlpm.CSVVal
)),"")</f>
        <v/>
      </c>
      <c r="L198" s="55" t="str" cm="1">
        <f t="array" ref="L198">IFERROR(_xlfn.LET(
_xlpm.CSVVal,_xlfn.XLOOKUP($A198,CSV!$A:$A,CSV!P:P,""),
_xlpm.MacVal,_xlfn.XLOOKUP($A198,Output_Mac!$A:$A,Output_Mac!M:M,""),
_xlpm.MyAuditVal,_xlfn.XLOOKUP($A198,My_Audit!$A:$A,My_Audit!K:K,""),
_xlfn.IFS(_xlpm.MyAuditVal&lt;&gt;"",UPPER(_xlpm.MyAuditVal),_xlpm.MacVal&lt;&gt;"",_xlpm.MacVal,_xlpm.CSVVal&lt;&gt;"",_xlpm.CSVVal
)),"")</f>
        <v/>
      </c>
      <c r="M198" s="54" t="str">
        <f>_xlfn.LET(
    _xlpm.CSVVal, _xlfn.XLOOKUP($A198, CSV!$A:$A, CSV!AD:AD, ""),
    _xlpm.MacVal, _xlfn.XLOOKUP($A198, Output_Mac!$A:$A, Output_Mac!S:S, ""),
    _xlpm.MyAuditVal, _xlfn.XLOOKUP($A198, My_Audit!$A:$A, My_Audit!N:N, ""),
    _xlfn.TEXTJOIN(", ", TRUE, _xlpm.MyAuditVal, _xlpm.MacVal, _xlpm.CSVVal)
)</f>
        <v/>
      </c>
      <c r="N198" s="54" t="str" cm="1">
        <f t="array" ref="N198">IFERROR(_xlfn.LET(
_xlpm.CSVVal,_xlfn.XLOOKUP($A198,CSV!$A:$A,CSV!AF:AF,""),
_xlpm.MacVal,_xlfn.XLOOKUP($A198,Output_Mac!$A:$A,Output_Mac!U:U,""),
_xlpm.MyAuditVal,_xlfn.XLOOKUP($A198,My_Audit!$A:$A,My_Audit!O:O,""),
_xlfn.IFS(_xlpm.MyAuditVal&lt;&gt;"",UPPER(_xlpm.MyAuditVal),_xlpm.MacVal&lt;&gt;"",_xlpm.MacVal,_xlpm.CSVVal&lt;&gt;"",_xlpm.CSVVal
)),"")</f>
        <v/>
      </c>
      <c r="O198" s="54"/>
      <c r="P198" s="54"/>
      <c r="Q198" s="54"/>
      <c r="R198" s="54"/>
      <c r="S198" s="54"/>
      <c r="T198" s="54"/>
      <c r="U198" s="39"/>
    </row>
    <row r="199" spans="1:21">
      <c r="A199" s="54" t="str">
        <f>_xlfn.TEXTJOIN("",TRUE,Input!$B$2,ROW(My_Audit!A198))</f>
        <v>XX198</v>
      </c>
      <c r="B199" s="54" t="str">
        <f>_xlfn.TEXTJOIN("-",TRUE,"ITD",Input!$A$2,A199)</f>
        <v>ITD-SHRXXX-XX198</v>
      </c>
      <c r="C199" s="54" t="str" cm="1">
        <f t="array" ref="C199">IFERROR(_xlfn.LET(
_xlpm.CSVVal,_xlfn.XLOOKUP($A199,CSV!$A:$A,CSV!B:B,""),
_xlpm.MacVal,_xlfn.XLOOKUP($A199,Output_Mac!$A:$A,Output_Mac!B:B,""),
_xlpm.MyAuditVal,_xlfn.XLOOKUP($A199,My_Audit!$A:$A,My_Audit!B:B,""),
_xlfn.IFS(_xlpm.MyAuditVal&lt;&gt;"",UPPER(_xlpm.MyAuditVal),_xlpm.MacVal&lt;&gt;"",_xlpm.MacVal,_xlpm.CSVVal&lt;&gt;"",_xlpm.CSVVal
)),"")</f>
        <v/>
      </c>
      <c r="D199" s="55" t="str">
        <f>_xlfn.XLOOKUP(A199,My_Audit!A:A,My_Audit!D:D,"")&amp;""</f>
        <v/>
      </c>
      <c r="E199" s="55" t="str" cm="1">
        <f t="array" ref="E199">IFERROR(_xlfn.LET(
_xlpm.CSVVal,_xlfn.XLOOKUP($A199,CSV!$A:$A,CSV!D:D,""),
_xlpm.MacVal,_xlfn.XLOOKUP($A199,Output_Mac!$A:$A,Output_Mac!C:C,""),
_xlpm.MyAuditVal,_xlfn.XLOOKUP($A199,My_Audit!$A:$A,My_Audit!D:D,""),
_xlfn.IFS(_xlpm.MyAuditVal&lt;&gt;"",_xlpm.MyAuditVal,_xlpm.MacVal&lt;&gt;"",_xlpm.MacVal,_xlpm.CSVVal&lt;&gt;"",_xlpm.CSVVal
)),"")</f>
        <v/>
      </c>
      <c r="F199" s="54" t="str" cm="1">
        <f t="array" ref="F199">IFERROR(_xlfn.LET(
_xlpm.CSVVal,_xlfn.XLOOKUP($A199,CSV!$A:$A,CSV!E:E,""),
_xlpm.MacVal,_xlfn.XLOOKUP($A199,Output_Mac!$A:$A,Output_Mac!F:F,""),
_xlpm.MyAuditVal,_xlfn.XLOOKUP($A199,My_Audit!$A:$A,My_Audit!E:E,""),
_xlfn.IFS(_xlpm.MyAuditVal&lt;&gt;"",_xlpm.MyAuditVal,_xlpm.MacVal&lt;&gt;"",_xlpm.MacVal,_xlpm.CSVVal&lt;&gt;"",PROPER(_xlpm.CSVVal)
)),"")</f>
        <v/>
      </c>
      <c r="G199" s="54" t="str" cm="1">
        <f t="array" ref="G199">IFERROR(_xlfn.LET(
_xlpm.CSVVal,_xlfn.XLOOKUP($A199,CSV!$A:$A,CSV!F:F,""),
_xlpm.MacVal,_xlfn.XLOOKUP($A199,Output_Mac!$A:$A,Output_Mac!H:H,""),
_xlpm.MyAuditVal,_xlfn.XLOOKUP($A199,My_Audit!$A:$A,My_Audit!F:F,""),
_xlfn.IFS(_xlpm.MyAuditVal&lt;&gt;"",_xlpm.MyAuditVal,_xlpm.MacVal&lt;&gt;"",_xlpm.MacVal,_xlpm.CSVVal&lt;&gt;"",_xlpm.CSVVal
)),"")</f>
        <v/>
      </c>
      <c r="H199" s="54" t="str">
        <f>_xlfn.XLOOKUP(A199,Output_Mac!A:A,Output_Mac!I:I,"")</f>
        <v/>
      </c>
      <c r="I199" s="54" t="str" cm="1">
        <f t="array" ref="I199">IFERROR(_xlfn.LET(
_xlpm.CSVVal,_xlfn.XLOOKUP($A199,CSV!$A:$A,CSV!G:G,""),
_xlpm.MacVal,_xlfn.XLOOKUP($A199,Output_Mac!$A:$A,Output_Mac!J:J,""),
_xlpm.MyAuditVal,_xlfn.XLOOKUP($A199,My_Audit!$A:$A,My_Audit!H:H,""),
_xlfn.IFS(_xlpm.MyAuditVal&lt;&gt;"",UPPER(_xlpm.MyAuditVal),_xlpm.MacVal&lt;&gt;"",_xlpm.MacVal,_xlpm.CSVVal&lt;&gt;"",_xlpm.CSVVal
)),"")</f>
        <v/>
      </c>
      <c r="J199" s="54" t="str" cm="1">
        <f t="array" ref="J199">IFERROR(_xlfn.LET(
_xlpm.CSVVal,_xlfn.XLOOKUP($A199,CSV!$A:$A,CSV!I:I,""),
_xlpm.MacVal,_xlfn.XLOOKUP($A199,Output_Mac!$A:$A,Output_Mac!K:K,""),
_xlpm.MyAuditVal,_xlfn.XLOOKUP($A199,My_Audit!$A:$A,My_Audit!I:I,""),
_xlfn.IFS(_xlpm.MyAuditVal&lt;&gt;"",UPPER(_xlpm.MyAuditVal),_xlpm.MacVal&lt;&gt;"",_xlpm.MacVal,_xlpm.CSVVal&lt;&gt;"",_xlpm.CSVVal
)),"")</f>
        <v/>
      </c>
      <c r="K199" s="54" t="str" cm="1">
        <f t="array" ref="K199">IFERROR(_xlfn.LET(
_xlpm.CSVVal,_xlfn.XLOOKUP($A199,CSV!$A:$A,CSV!M:M,""),
_xlpm.MacVal,_xlfn.XLOOKUP($A199,Output_Mac!$A:$A,Output_Mac!L:L,""),
_xlpm.MyAuditVal,_xlfn.XLOOKUP($A199,My_Audit!$A:$A,My_Audit!J:J,""),
_xlfn.IFS(_xlpm.MyAuditVal&lt;&gt;"",UPPER(_xlpm.MyAuditVal),_xlpm.MacVal&lt;&gt;"",_xlpm.MacVal,_xlpm.CSVVal&lt;&gt;"",_xlpm.CSVVal
)),"")</f>
        <v/>
      </c>
      <c r="L199" s="55" t="str" cm="1">
        <f t="array" ref="L199">IFERROR(_xlfn.LET(
_xlpm.CSVVal,_xlfn.XLOOKUP($A199,CSV!$A:$A,CSV!P:P,""),
_xlpm.MacVal,_xlfn.XLOOKUP($A199,Output_Mac!$A:$A,Output_Mac!M:M,""),
_xlpm.MyAuditVal,_xlfn.XLOOKUP($A199,My_Audit!$A:$A,My_Audit!K:K,""),
_xlfn.IFS(_xlpm.MyAuditVal&lt;&gt;"",UPPER(_xlpm.MyAuditVal),_xlpm.MacVal&lt;&gt;"",_xlpm.MacVal,_xlpm.CSVVal&lt;&gt;"",_xlpm.CSVVal
)),"")</f>
        <v/>
      </c>
      <c r="M199" s="54" t="str">
        <f>_xlfn.LET(
    _xlpm.CSVVal, _xlfn.XLOOKUP($A199, CSV!$A:$A, CSV!AD:AD, ""),
    _xlpm.MacVal, _xlfn.XLOOKUP($A199, Output_Mac!$A:$A, Output_Mac!S:S, ""),
    _xlpm.MyAuditVal, _xlfn.XLOOKUP($A199, My_Audit!$A:$A, My_Audit!N:N, ""),
    _xlfn.TEXTJOIN(", ", TRUE, _xlpm.MyAuditVal, _xlpm.MacVal, _xlpm.CSVVal)
)</f>
        <v/>
      </c>
      <c r="N199" s="54" t="str" cm="1">
        <f t="array" ref="N199">IFERROR(_xlfn.LET(
_xlpm.CSVVal,_xlfn.XLOOKUP($A199,CSV!$A:$A,CSV!AF:AF,""),
_xlpm.MacVal,_xlfn.XLOOKUP($A199,Output_Mac!$A:$A,Output_Mac!U:U,""),
_xlpm.MyAuditVal,_xlfn.XLOOKUP($A199,My_Audit!$A:$A,My_Audit!O:O,""),
_xlfn.IFS(_xlpm.MyAuditVal&lt;&gt;"",UPPER(_xlpm.MyAuditVal),_xlpm.MacVal&lt;&gt;"",_xlpm.MacVal,_xlpm.CSVVal&lt;&gt;"",_xlpm.CSVVal
)),"")</f>
        <v/>
      </c>
      <c r="O199" s="54"/>
      <c r="P199" s="54"/>
      <c r="Q199" s="54"/>
      <c r="R199" s="54"/>
      <c r="S199" s="54"/>
      <c r="T199" s="54"/>
      <c r="U199" s="39"/>
    </row>
    <row r="200" spans="1:21">
      <c r="A200" s="54" t="str">
        <f>_xlfn.TEXTJOIN("",TRUE,Input!$B$2,ROW(My_Audit!A199))</f>
        <v>XX199</v>
      </c>
      <c r="B200" s="54" t="str">
        <f>_xlfn.TEXTJOIN("-",TRUE,"ITD",Input!$A$2,A200)</f>
        <v>ITD-SHRXXX-XX199</v>
      </c>
      <c r="C200" s="54" t="str" cm="1">
        <f t="array" ref="C200">IFERROR(_xlfn.LET(
_xlpm.CSVVal,_xlfn.XLOOKUP($A200,CSV!$A:$A,CSV!B:B,""),
_xlpm.MacVal,_xlfn.XLOOKUP($A200,Output_Mac!$A:$A,Output_Mac!B:B,""),
_xlpm.MyAuditVal,_xlfn.XLOOKUP($A200,My_Audit!$A:$A,My_Audit!B:B,""),
_xlfn.IFS(_xlpm.MyAuditVal&lt;&gt;"",UPPER(_xlpm.MyAuditVal),_xlpm.MacVal&lt;&gt;"",_xlpm.MacVal,_xlpm.CSVVal&lt;&gt;"",_xlpm.CSVVal
)),"")</f>
        <v/>
      </c>
      <c r="D200" s="55" t="str">
        <f>_xlfn.XLOOKUP(A200,My_Audit!A:A,My_Audit!D:D,"")&amp;""</f>
        <v/>
      </c>
      <c r="E200" s="55" t="str" cm="1">
        <f t="array" ref="E200">IFERROR(_xlfn.LET(
_xlpm.CSVVal,_xlfn.XLOOKUP($A200,CSV!$A:$A,CSV!D:D,""),
_xlpm.MacVal,_xlfn.XLOOKUP($A200,Output_Mac!$A:$A,Output_Mac!C:C,""),
_xlpm.MyAuditVal,_xlfn.XLOOKUP($A200,My_Audit!$A:$A,My_Audit!D:D,""),
_xlfn.IFS(_xlpm.MyAuditVal&lt;&gt;"",_xlpm.MyAuditVal,_xlpm.MacVal&lt;&gt;"",_xlpm.MacVal,_xlpm.CSVVal&lt;&gt;"",_xlpm.CSVVal
)),"")</f>
        <v/>
      </c>
      <c r="F200" s="54" t="str" cm="1">
        <f t="array" ref="F200">IFERROR(_xlfn.LET(
_xlpm.CSVVal,_xlfn.XLOOKUP($A200,CSV!$A:$A,CSV!E:E,""),
_xlpm.MacVal,_xlfn.XLOOKUP($A200,Output_Mac!$A:$A,Output_Mac!F:F,""),
_xlpm.MyAuditVal,_xlfn.XLOOKUP($A200,My_Audit!$A:$A,My_Audit!E:E,""),
_xlfn.IFS(_xlpm.MyAuditVal&lt;&gt;"",_xlpm.MyAuditVal,_xlpm.MacVal&lt;&gt;"",_xlpm.MacVal,_xlpm.CSVVal&lt;&gt;"",PROPER(_xlpm.CSVVal)
)),"")</f>
        <v/>
      </c>
      <c r="G200" s="54" t="str" cm="1">
        <f t="array" ref="G200">IFERROR(_xlfn.LET(
_xlpm.CSVVal,_xlfn.XLOOKUP($A200,CSV!$A:$A,CSV!F:F,""),
_xlpm.MacVal,_xlfn.XLOOKUP($A200,Output_Mac!$A:$A,Output_Mac!H:H,""),
_xlpm.MyAuditVal,_xlfn.XLOOKUP($A200,My_Audit!$A:$A,My_Audit!F:F,""),
_xlfn.IFS(_xlpm.MyAuditVal&lt;&gt;"",_xlpm.MyAuditVal,_xlpm.MacVal&lt;&gt;"",_xlpm.MacVal,_xlpm.CSVVal&lt;&gt;"",_xlpm.CSVVal
)),"")</f>
        <v/>
      </c>
      <c r="H200" s="54" t="str">
        <f>_xlfn.XLOOKUP(A200,Output_Mac!A:A,Output_Mac!I:I,"")</f>
        <v/>
      </c>
      <c r="I200" s="54" t="str" cm="1">
        <f t="array" ref="I200">IFERROR(_xlfn.LET(
_xlpm.CSVVal,_xlfn.XLOOKUP($A200,CSV!$A:$A,CSV!G:G,""),
_xlpm.MacVal,_xlfn.XLOOKUP($A200,Output_Mac!$A:$A,Output_Mac!J:J,""),
_xlpm.MyAuditVal,_xlfn.XLOOKUP($A200,My_Audit!$A:$A,My_Audit!H:H,""),
_xlfn.IFS(_xlpm.MyAuditVal&lt;&gt;"",UPPER(_xlpm.MyAuditVal),_xlpm.MacVal&lt;&gt;"",_xlpm.MacVal,_xlpm.CSVVal&lt;&gt;"",_xlpm.CSVVal
)),"")</f>
        <v/>
      </c>
      <c r="J200" s="54" t="str" cm="1">
        <f t="array" ref="J200">IFERROR(_xlfn.LET(
_xlpm.CSVVal,_xlfn.XLOOKUP($A200,CSV!$A:$A,CSV!I:I,""),
_xlpm.MacVal,_xlfn.XLOOKUP($A200,Output_Mac!$A:$A,Output_Mac!K:K,""),
_xlpm.MyAuditVal,_xlfn.XLOOKUP($A200,My_Audit!$A:$A,My_Audit!I:I,""),
_xlfn.IFS(_xlpm.MyAuditVal&lt;&gt;"",UPPER(_xlpm.MyAuditVal),_xlpm.MacVal&lt;&gt;"",_xlpm.MacVal,_xlpm.CSVVal&lt;&gt;"",_xlpm.CSVVal
)),"")</f>
        <v/>
      </c>
      <c r="K200" s="54" t="str" cm="1">
        <f t="array" ref="K200">IFERROR(_xlfn.LET(
_xlpm.CSVVal,_xlfn.XLOOKUP($A200,CSV!$A:$A,CSV!M:M,""),
_xlpm.MacVal,_xlfn.XLOOKUP($A200,Output_Mac!$A:$A,Output_Mac!L:L,""),
_xlpm.MyAuditVal,_xlfn.XLOOKUP($A200,My_Audit!$A:$A,My_Audit!J:J,""),
_xlfn.IFS(_xlpm.MyAuditVal&lt;&gt;"",UPPER(_xlpm.MyAuditVal),_xlpm.MacVal&lt;&gt;"",_xlpm.MacVal,_xlpm.CSVVal&lt;&gt;"",_xlpm.CSVVal
)),"")</f>
        <v/>
      </c>
      <c r="L200" s="55" t="str" cm="1">
        <f t="array" ref="L200">IFERROR(_xlfn.LET(
_xlpm.CSVVal,_xlfn.XLOOKUP($A200,CSV!$A:$A,CSV!P:P,""),
_xlpm.MacVal,_xlfn.XLOOKUP($A200,Output_Mac!$A:$A,Output_Mac!M:M,""),
_xlpm.MyAuditVal,_xlfn.XLOOKUP($A200,My_Audit!$A:$A,My_Audit!K:K,""),
_xlfn.IFS(_xlpm.MyAuditVal&lt;&gt;"",UPPER(_xlpm.MyAuditVal),_xlpm.MacVal&lt;&gt;"",_xlpm.MacVal,_xlpm.CSVVal&lt;&gt;"",_xlpm.CSVVal
)),"")</f>
        <v/>
      </c>
      <c r="M200" s="54" t="str">
        <f>_xlfn.LET(
    _xlpm.CSVVal, _xlfn.XLOOKUP($A200, CSV!$A:$A, CSV!AD:AD, ""),
    _xlpm.MacVal, _xlfn.XLOOKUP($A200, Output_Mac!$A:$A, Output_Mac!S:S, ""),
    _xlpm.MyAuditVal, _xlfn.XLOOKUP($A200, My_Audit!$A:$A, My_Audit!N:N, ""),
    _xlfn.TEXTJOIN(", ", TRUE, _xlpm.MyAuditVal, _xlpm.MacVal, _xlpm.CSVVal)
)</f>
        <v/>
      </c>
      <c r="N200" s="54" t="str" cm="1">
        <f t="array" ref="N200">IFERROR(_xlfn.LET(
_xlpm.CSVVal,_xlfn.XLOOKUP($A200,CSV!$A:$A,CSV!AF:AF,""),
_xlpm.MacVal,_xlfn.XLOOKUP($A200,Output_Mac!$A:$A,Output_Mac!U:U,""),
_xlpm.MyAuditVal,_xlfn.XLOOKUP($A200,My_Audit!$A:$A,My_Audit!O:O,""),
_xlfn.IFS(_xlpm.MyAuditVal&lt;&gt;"",UPPER(_xlpm.MyAuditVal),_xlpm.MacVal&lt;&gt;"",_xlpm.MacVal,_xlpm.CSVVal&lt;&gt;"",_xlpm.CSVVal
)),"")</f>
        <v/>
      </c>
      <c r="O200" s="54"/>
      <c r="P200" s="54"/>
      <c r="Q200" s="54"/>
      <c r="R200" s="54"/>
      <c r="S200" s="54"/>
      <c r="T200" s="54"/>
      <c r="U200" s="39"/>
    </row>
    <row r="201" spans="1:21">
      <c r="A201" s="54" t="str">
        <f>_xlfn.TEXTJOIN("",TRUE,Input!$B$2,ROW(My_Audit!A200))</f>
        <v>XX200</v>
      </c>
      <c r="B201" s="54" t="str">
        <f>_xlfn.TEXTJOIN("-",TRUE,"ITD",Input!$A$2,A201)</f>
        <v>ITD-SHRXXX-XX200</v>
      </c>
      <c r="C201" s="54" t="str" cm="1">
        <f t="array" ref="C201">IFERROR(_xlfn.LET(
_xlpm.CSVVal,_xlfn.XLOOKUP($A201,CSV!$A:$A,CSV!B:B,""),
_xlpm.MacVal,_xlfn.XLOOKUP($A201,Output_Mac!$A:$A,Output_Mac!B:B,""),
_xlpm.MyAuditVal,_xlfn.XLOOKUP($A201,My_Audit!$A:$A,My_Audit!B:B,""),
_xlfn.IFS(_xlpm.MyAuditVal&lt;&gt;"",UPPER(_xlpm.MyAuditVal),_xlpm.MacVal&lt;&gt;"",_xlpm.MacVal,_xlpm.CSVVal&lt;&gt;"",_xlpm.CSVVal
)),"")</f>
        <v/>
      </c>
      <c r="D201" s="55" t="str">
        <f>_xlfn.XLOOKUP(A201,My_Audit!A:A,My_Audit!D:D,"")&amp;""</f>
        <v/>
      </c>
      <c r="E201" s="55" t="str" cm="1">
        <f t="array" ref="E201">IFERROR(_xlfn.LET(
_xlpm.CSVVal,_xlfn.XLOOKUP($A201,CSV!$A:$A,CSV!D:D,""),
_xlpm.MacVal,_xlfn.XLOOKUP($A201,Output_Mac!$A:$A,Output_Mac!C:C,""),
_xlpm.MyAuditVal,_xlfn.XLOOKUP($A201,My_Audit!$A:$A,My_Audit!D:D,""),
_xlfn.IFS(_xlpm.MyAuditVal&lt;&gt;"",_xlpm.MyAuditVal,_xlpm.MacVal&lt;&gt;"",_xlpm.MacVal,_xlpm.CSVVal&lt;&gt;"",_xlpm.CSVVal
)),"")</f>
        <v/>
      </c>
      <c r="F201" s="54" t="str" cm="1">
        <f t="array" ref="F201">IFERROR(_xlfn.LET(
_xlpm.CSVVal,_xlfn.XLOOKUP($A201,CSV!$A:$A,CSV!E:E,""),
_xlpm.MacVal,_xlfn.XLOOKUP($A201,Output_Mac!$A:$A,Output_Mac!F:F,""),
_xlpm.MyAuditVal,_xlfn.XLOOKUP($A201,My_Audit!$A:$A,My_Audit!E:E,""),
_xlfn.IFS(_xlpm.MyAuditVal&lt;&gt;"",_xlpm.MyAuditVal,_xlpm.MacVal&lt;&gt;"",_xlpm.MacVal,_xlpm.CSVVal&lt;&gt;"",PROPER(_xlpm.CSVVal)
)),"")</f>
        <v/>
      </c>
      <c r="G201" s="54" t="str" cm="1">
        <f t="array" ref="G201">IFERROR(_xlfn.LET(
_xlpm.CSVVal,_xlfn.XLOOKUP($A201,CSV!$A:$A,CSV!F:F,""),
_xlpm.MacVal,_xlfn.XLOOKUP($A201,Output_Mac!$A:$A,Output_Mac!H:H,""),
_xlpm.MyAuditVal,_xlfn.XLOOKUP($A201,My_Audit!$A:$A,My_Audit!F:F,""),
_xlfn.IFS(_xlpm.MyAuditVal&lt;&gt;"",_xlpm.MyAuditVal,_xlpm.MacVal&lt;&gt;"",_xlpm.MacVal,_xlpm.CSVVal&lt;&gt;"",_xlpm.CSVVal
)),"")</f>
        <v/>
      </c>
      <c r="H201" s="54" t="str">
        <f>_xlfn.XLOOKUP(A201,Output_Mac!A:A,Output_Mac!I:I,"")</f>
        <v/>
      </c>
      <c r="I201" s="54" t="str" cm="1">
        <f t="array" ref="I201">IFERROR(_xlfn.LET(
_xlpm.CSVVal,_xlfn.XLOOKUP($A201,CSV!$A:$A,CSV!G:G,""),
_xlpm.MacVal,_xlfn.XLOOKUP($A201,Output_Mac!$A:$A,Output_Mac!J:J,""),
_xlpm.MyAuditVal,_xlfn.XLOOKUP($A201,My_Audit!$A:$A,My_Audit!H:H,""),
_xlfn.IFS(_xlpm.MyAuditVal&lt;&gt;"",UPPER(_xlpm.MyAuditVal),_xlpm.MacVal&lt;&gt;"",_xlpm.MacVal,_xlpm.CSVVal&lt;&gt;"",_xlpm.CSVVal
)),"")</f>
        <v/>
      </c>
      <c r="J201" s="54" t="str" cm="1">
        <f t="array" ref="J201">IFERROR(_xlfn.LET(
_xlpm.CSVVal,_xlfn.XLOOKUP($A201,CSV!$A:$A,CSV!I:I,""),
_xlpm.MacVal,_xlfn.XLOOKUP($A201,Output_Mac!$A:$A,Output_Mac!K:K,""),
_xlpm.MyAuditVal,_xlfn.XLOOKUP($A201,My_Audit!$A:$A,My_Audit!I:I,""),
_xlfn.IFS(_xlpm.MyAuditVal&lt;&gt;"",UPPER(_xlpm.MyAuditVal),_xlpm.MacVal&lt;&gt;"",_xlpm.MacVal,_xlpm.CSVVal&lt;&gt;"",_xlpm.CSVVal
)),"")</f>
        <v/>
      </c>
      <c r="K201" s="54" t="str" cm="1">
        <f t="array" ref="K201">IFERROR(_xlfn.LET(
_xlpm.CSVVal,_xlfn.XLOOKUP($A201,CSV!$A:$A,CSV!M:M,""),
_xlpm.MacVal,_xlfn.XLOOKUP($A201,Output_Mac!$A:$A,Output_Mac!L:L,""),
_xlpm.MyAuditVal,_xlfn.XLOOKUP($A201,My_Audit!$A:$A,My_Audit!J:J,""),
_xlfn.IFS(_xlpm.MyAuditVal&lt;&gt;"",UPPER(_xlpm.MyAuditVal),_xlpm.MacVal&lt;&gt;"",_xlpm.MacVal,_xlpm.CSVVal&lt;&gt;"",_xlpm.CSVVal
)),"")</f>
        <v/>
      </c>
      <c r="L201" s="55" t="str" cm="1">
        <f t="array" ref="L201">IFERROR(_xlfn.LET(
_xlpm.CSVVal,_xlfn.XLOOKUP($A201,CSV!$A:$A,CSV!P:P,""),
_xlpm.MacVal,_xlfn.XLOOKUP($A201,Output_Mac!$A:$A,Output_Mac!M:M,""),
_xlpm.MyAuditVal,_xlfn.XLOOKUP($A201,My_Audit!$A:$A,My_Audit!K:K,""),
_xlfn.IFS(_xlpm.MyAuditVal&lt;&gt;"",UPPER(_xlpm.MyAuditVal),_xlpm.MacVal&lt;&gt;"",_xlpm.MacVal,_xlpm.CSVVal&lt;&gt;"",_xlpm.CSVVal
)),"")</f>
        <v/>
      </c>
      <c r="M201" s="54" t="str">
        <f>_xlfn.LET(
    _xlpm.CSVVal, _xlfn.XLOOKUP($A201, CSV!$A:$A, CSV!AD:AD, ""),
    _xlpm.MacVal, _xlfn.XLOOKUP($A201, Output_Mac!$A:$A, Output_Mac!S:S, ""),
    _xlpm.MyAuditVal, _xlfn.XLOOKUP($A201, My_Audit!$A:$A, My_Audit!N:N, ""),
    _xlfn.TEXTJOIN(", ", TRUE, _xlpm.MyAuditVal, _xlpm.MacVal, _xlpm.CSVVal)
)</f>
        <v/>
      </c>
      <c r="N201" s="54" t="str" cm="1">
        <f t="array" ref="N201">IFERROR(_xlfn.LET(
_xlpm.CSVVal,_xlfn.XLOOKUP($A201,CSV!$A:$A,CSV!AF:AF,""),
_xlpm.MacVal,_xlfn.XLOOKUP($A201,Output_Mac!$A:$A,Output_Mac!U:U,""),
_xlpm.MyAuditVal,_xlfn.XLOOKUP($A201,My_Audit!$A:$A,My_Audit!O:O,""),
_xlfn.IFS(_xlpm.MyAuditVal&lt;&gt;"",UPPER(_xlpm.MyAuditVal),_xlpm.MacVal&lt;&gt;"",_xlpm.MacVal,_xlpm.CSVVal&lt;&gt;"",_xlpm.CSVVal
)),"")</f>
        <v/>
      </c>
      <c r="O201" s="54"/>
      <c r="P201" s="54"/>
      <c r="Q201" s="54"/>
      <c r="R201" s="54"/>
      <c r="S201" s="54"/>
      <c r="T201" s="54"/>
      <c r="U201" s="39"/>
    </row>
    <row r="202" spans="1:21">
      <c r="A202" s="54" t="str">
        <f>_xlfn.TEXTJOIN("",TRUE,Input!$B$2,ROW(My_Audit!A201))</f>
        <v>XX201</v>
      </c>
      <c r="B202" s="54" t="str">
        <f>_xlfn.TEXTJOIN("-",TRUE,"ITD",Input!$A$2,A202)</f>
        <v>ITD-SHRXXX-XX201</v>
      </c>
      <c r="C202" s="54" t="str" cm="1">
        <f t="array" ref="C202">IFERROR(_xlfn.LET(
_xlpm.CSVVal,_xlfn.XLOOKUP($A202,CSV!$A:$A,CSV!B:B,""),
_xlpm.MacVal,_xlfn.XLOOKUP($A202,Output_Mac!$A:$A,Output_Mac!B:B,""),
_xlpm.MyAuditVal,_xlfn.XLOOKUP($A202,My_Audit!$A:$A,My_Audit!B:B,""),
_xlfn.IFS(_xlpm.MyAuditVal&lt;&gt;"",UPPER(_xlpm.MyAuditVal),_xlpm.MacVal&lt;&gt;"",_xlpm.MacVal,_xlpm.CSVVal&lt;&gt;"",_xlpm.CSVVal
)),"")</f>
        <v/>
      </c>
      <c r="D202" s="55" t="str">
        <f>_xlfn.XLOOKUP(A202,My_Audit!A:A,My_Audit!D:D,"")&amp;""</f>
        <v/>
      </c>
      <c r="E202" s="55" t="str" cm="1">
        <f t="array" ref="E202">IFERROR(_xlfn.LET(
_xlpm.CSVVal,_xlfn.XLOOKUP($A202,CSV!$A:$A,CSV!D:D,""),
_xlpm.MacVal,_xlfn.XLOOKUP($A202,Output_Mac!$A:$A,Output_Mac!C:C,""),
_xlpm.MyAuditVal,_xlfn.XLOOKUP($A202,My_Audit!$A:$A,My_Audit!D:D,""),
_xlfn.IFS(_xlpm.MyAuditVal&lt;&gt;"",_xlpm.MyAuditVal,_xlpm.MacVal&lt;&gt;"",_xlpm.MacVal,_xlpm.CSVVal&lt;&gt;"",_xlpm.CSVVal
)),"")</f>
        <v/>
      </c>
      <c r="F202" s="54" t="str" cm="1">
        <f t="array" ref="F202">IFERROR(_xlfn.LET(
_xlpm.CSVVal,_xlfn.XLOOKUP($A202,CSV!$A:$A,CSV!E:E,""),
_xlpm.MacVal,_xlfn.XLOOKUP($A202,Output_Mac!$A:$A,Output_Mac!F:F,""),
_xlpm.MyAuditVal,_xlfn.XLOOKUP($A202,My_Audit!$A:$A,My_Audit!E:E,""),
_xlfn.IFS(_xlpm.MyAuditVal&lt;&gt;"",_xlpm.MyAuditVal,_xlpm.MacVal&lt;&gt;"",_xlpm.MacVal,_xlpm.CSVVal&lt;&gt;"",PROPER(_xlpm.CSVVal)
)),"")</f>
        <v/>
      </c>
      <c r="G202" s="54" t="str" cm="1">
        <f t="array" ref="G202">IFERROR(_xlfn.LET(
_xlpm.CSVVal,_xlfn.XLOOKUP($A202,CSV!$A:$A,CSV!F:F,""),
_xlpm.MacVal,_xlfn.XLOOKUP($A202,Output_Mac!$A:$A,Output_Mac!H:H,""),
_xlpm.MyAuditVal,_xlfn.XLOOKUP($A202,My_Audit!$A:$A,My_Audit!F:F,""),
_xlfn.IFS(_xlpm.MyAuditVal&lt;&gt;"",_xlpm.MyAuditVal,_xlpm.MacVal&lt;&gt;"",_xlpm.MacVal,_xlpm.CSVVal&lt;&gt;"",_xlpm.CSVVal
)),"")</f>
        <v/>
      </c>
      <c r="H202" s="54" t="str">
        <f>_xlfn.XLOOKUP(A202,Output_Mac!A:A,Output_Mac!I:I,"")</f>
        <v/>
      </c>
      <c r="I202" s="54" t="str" cm="1">
        <f t="array" ref="I202">IFERROR(_xlfn.LET(
_xlpm.CSVVal,_xlfn.XLOOKUP($A202,CSV!$A:$A,CSV!G:G,""),
_xlpm.MacVal,_xlfn.XLOOKUP($A202,Output_Mac!$A:$A,Output_Mac!J:J,""),
_xlpm.MyAuditVal,_xlfn.XLOOKUP($A202,My_Audit!$A:$A,My_Audit!H:H,""),
_xlfn.IFS(_xlpm.MyAuditVal&lt;&gt;"",UPPER(_xlpm.MyAuditVal),_xlpm.MacVal&lt;&gt;"",_xlpm.MacVal,_xlpm.CSVVal&lt;&gt;"",_xlpm.CSVVal
)),"")</f>
        <v/>
      </c>
      <c r="J202" s="54" t="str" cm="1">
        <f t="array" ref="J202">IFERROR(_xlfn.LET(
_xlpm.CSVVal,_xlfn.XLOOKUP($A202,CSV!$A:$A,CSV!I:I,""),
_xlpm.MacVal,_xlfn.XLOOKUP($A202,Output_Mac!$A:$A,Output_Mac!K:K,""),
_xlpm.MyAuditVal,_xlfn.XLOOKUP($A202,My_Audit!$A:$A,My_Audit!I:I,""),
_xlfn.IFS(_xlpm.MyAuditVal&lt;&gt;"",UPPER(_xlpm.MyAuditVal),_xlpm.MacVal&lt;&gt;"",_xlpm.MacVal,_xlpm.CSVVal&lt;&gt;"",_xlpm.CSVVal
)),"")</f>
        <v/>
      </c>
      <c r="K202" s="54" t="str" cm="1">
        <f t="array" ref="K202">IFERROR(_xlfn.LET(
_xlpm.CSVVal,_xlfn.XLOOKUP($A202,CSV!$A:$A,CSV!M:M,""),
_xlpm.MacVal,_xlfn.XLOOKUP($A202,Output_Mac!$A:$A,Output_Mac!L:L,""),
_xlpm.MyAuditVal,_xlfn.XLOOKUP($A202,My_Audit!$A:$A,My_Audit!J:J,""),
_xlfn.IFS(_xlpm.MyAuditVal&lt;&gt;"",UPPER(_xlpm.MyAuditVal),_xlpm.MacVal&lt;&gt;"",_xlpm.MacVal,_xlpm.CSVVal&lt;&gt;"",_xlpm.CSVVal
)),"")</f>
        <v/>
      </c>
      <c r="L202" s="55" t="str" cm="1">
        <f t="array" ref="L202">IFERROR(_xlfn.LET(
_xlpm.CSVVal,_xlfn.XLOOKUP($A202,CSV!$A:$A,CSV!P:P,""),
_xlpm.MacVal,_xlfn.XLOOKUP($A202,Output_Mac!$A:$A,Output_Mac!M:M,""),
_xlpm.MyAuditVal,_xlfn.XLOOKUP($A202,My_Audit!$A:$A,My_Audit!K:K,""),
_xlfn.IFS(_xlpm.MyAuditVal&lt;&gt;"",UPPER(_xlpm.MyAuditVal),_xlpm.MacVal&lt;&gt;"",_xlpm.MacVal,_xlpm.CSVVal&lt;&gt;"",_xlpm.CSVVal
)),"")</f>
        <v/>
      </c>
      <c r="M202" s="54" t="str">
        <f>_xlfn.LET(
    _xlpm.CSVVal, _xlfn.XLOOKUP($A202, CSV!$A:$A, CSV!AD:AD, ""),
    _xlpm.MacVal, _xlfn.XLOOKUP($A202, Output_Mac!$A:$A, Output_Mac!S:S, ""),
    _xlpm.MyAuditVal, _xlfn.XLOOKUP($A202, My_Audit!$A:$A, My_Audit!N:N, ""),
    _xlfn.TEXTJOIN(", ", TRUE, _xlpm.MyAuditVal, _xlpm.MacVal, _xlpm.CSVVal)
)</f>
        <v/>
      </c>
      <c r="N202" s="54" t="str" cm="1">
        <f t="array" ref="N202">IFERROR(_xlfn.LET(
_xlpm.CSVVal,_xlfn.XLOOKUP($A202,CSV!$A:$A,CSV!AF:AF,""),
_xlpm.MacVal,_xlfn.XLOOKUP($A202,Output_Mac!$A:$A,Output_Mac!U:U,""),
_xlpm.MyAuditVal,_xlfn.XLOOKUP($A202,My_Audit!$A:$A,My_Audit!O:O,""),
_xlfn.IFS(_xlpm.MyAuditVal&lt;&gt;"",UPPER(_xlpm.MyAuditVal),_xlpm.MacVal&lt;&gt;"",_xlpm.MacVal,_xlpm.CSVVal&lt;&gt;"",_xlpm.CSVVal
)),"")</f>
        <v/>
      </c>
      <c r="O202" s="54"/>
      <c r="P202" s="54"/>
      <c r="Q202" s="54"/>
      <c r="R202" s="54"/>
      <c r="S202" s="54"/>
      <c r="T202" s="54"/>
      <c r="U202" s="39"/>
    </row>
    <row r="203" spans="1:21">
      <c r="A203" s="54" t="str">
        <f>_xlfn.TEXTJOIN("",TRUE,Input!$B$2,ROW(My_Audit!A202))</f>
        <v>XX202</v>
      </c>
      <c r="B203" s="54" t="str">
        <f>_xlfn.TEXTJOIN("-",TRUE,"ITD",Input!$A$2,A203)</f>
        <v>ITD-SHRXXX-XX202</v>
      </c>
      <c r="C203" s="54" t="str" cm="1">
        <f t="array" ref="C203">IFERROR(_xlfn.LET(
_xlpm.CSVVal,_xlfn.XLOOKUP($A203,CSV!$A:$A,CSV!B:B,""),
_xlpm.MacVal,_xlfn.XLOOKUP($A203,Output_Mac!$A:$A,Output_Mac!B:B,""),
_xlpm.MyAuditVal,_xlfn.XLOOKUP($A203,My_Audit!$A:$A,My_Audit!B:B,""),
_xlfn.IFS(_xlpm.MyAuditVal&lt;&gt;"",UPPER(_xlpm.MyAuditVal),_xlpm.MacVal&lt;&gt;"",_xlpm.MacVal,_xlpm.CSVVal&lt;&gt;"",_xlpm.CSVVal
)),"")</f>
        <v/>
      </c>
      <c r="D203" s="55" t="str">
        <f>_xlfn.XLOOKUP(A203,My_Audit!A:A,My_Audit!D:D,"")&amp;""</f>
        <v/>
      </c>
      <c r="E203" s="55" t="str" cm="1">
        <f t="array" ref="E203">IFERROR(_xlfn.LET(
_xlpm.CSVVal,_xlfn.XLOOKUP($A203,CSV!$A:$A,CSV!D:D,""),
_xlpm.MacVal,_xlfn.XLOOKUP($A203,Output_Mac!$A:$A,Output_Mac!C:C,""),
_xlpm.MyAuditVal,_xlfn.XLOOKUP($A203,My_Audit!$A:$A,My_Audit!D:D,""),
_xlfn.IFS(_xlpm.MyAuditVal&lt;&gt;"",_xlpm.MyAuditVal,_xlpm.MacVal&lt;&gt;"",_xlpm.MacVal,_xlpm.CSVVal&lt;&gt;"",_xlpm.CSVVal
)),"")</f>
        <v/>
      </c>
      <c r="F203" s="54" t="str" cm="1">
        <f t="array" ref="F203">IFERROR(_xlfn.LET(
_xlpm.CSVVal,_xlfn.XLOOKUP($A203,CSV!$A:$A,CSV!E:E,""),
_xlpm.MacVal,_xlfn.XLOOKUP($A203,Output_Mac!$A:$A,Output_Mac!F:F,""),
_xlpm.MyAuditVal,_xlfn.XLOOKUP($A203,My_Audit!$A:$A,My_Audit!E:E,""),
_xlfn.IFS(_xlpm.MyAuditVal&lt;&gt;"",_xlpm.MyAuditVal,_xlpm.MacVal&lt;&gt;"",_xlpm.MacVal,_xlpm.CSVVal&lt;&gt;"",PROPER(_xlpm.CSVVal)
)),"")</f>
        <v/>
      </c>
      <c r="G203" s="54" t="str" cm="1">
        <f t="array" ref="G203">IFERROR(_xlfn.LET(
_xlpm.CSVVal,_xlfn.XLOOKUP($A203,CSV!$A:$A,CSV!F:F,""),
_xlpm.MacVal,_xlfn.XLOOKUP($A203,Output_Mac!$A:$A,Output_Mac!H:H,""),
_xlpm.MyAuditVal,_xlfn.XLOOKUP($A203,My_Audit!$A:$A,My_Audit!F:F,""),
_xlfn.IFS(_xlpm.MyAuditVal&lt;&gt;"",_xlpm.MyAuditVal,_xlpm.MacVal&lt;&gt;"",_xlpm.MacVal,_xlpm.CSVVal&lt;&gt;"",_xlpm.CSVVal
)),"")</f>
        <v/>
      </c>
      <c r="H203" s="54" t="str">
        <f>_xlfn.XLOOKUP(A203,Output_Mac!A:A,Output_Mac!I:I,"")</f>
        <v/>
      </c>
      <c r="I203" s="54" t="str" cm="1">
        <f t="array" ref="I203">IFERROR(_xlfn.LET(
_xlpm.CSVVal,_xlfn.XLOOKUP($A203,CSV!$A:$A,CSV!G:G,""),
_xlpm.MacVal,_xlfn.XLOOKUP($A203,Output_Mac!$A:$A,Output_Mac!J:J,""),
_xlpm.MyAuditVal,_xlfn.XLOOKUP($A203,My_Audit!$A:$A,My_Audit!H:H,""),
_xlfn.IFS(_xlpm.MyAuditVal&lt;&gt;"",UPPER(_xlpm.MyAuditVal),_xlpm.MacVal&lt;&gt;"",_xlpm.MacVal,_xlpm.CSVVal&lt;&gt;"",_xlpm.CSVVal
)),"")</f>
        <v/>
      </c>
      <c r="J203" s="54" t="str" cm="1">
        <f t="array" ref="J203">IFERROR(_xlfn.LET(
_xlpm.CSVVal,_xlfn.XLOOKUP($A203,CSV!$A:$A,CSV!I:I,""),
_xlpm.MacVal,_xlfn.XLOOKUP($A203,Output_Mac!$A:$A,Output_Mac!K:K,""),
_xlpm.MyAuditVal,_xlfn.XLOOKUP($A203,My_Audit!$A:$A,My_Audit!I:I,""),
_xlfn.IFS(_xlpm.MyAuditVal&lt;&gt;"",UPPER(_xlpm.MyAuditVal),_xlpm.MacVal&lt;&gt;"",_xlpm.MacVal,_xlpm.CSVVal&lt;&gt;"",_xlpm.CSVVal
)),"")</f>
        <v/>
      </c>
      <c r="K203" s="54" t="str" cm="1">
        <f t="array" ref="K203">IFERROR(_xlfn.LET(
_xlpm.CSVVal,_xlfn.XLOOKUP($A203,CSV!$A:$A,CSV!M:M,""),
_xlpm.MacVal,_xlfn.XLOOKUP($A203,Output_Mac!$A:$A,Output_Mac!L:L,""),
_xlpm.MyAuditVal,_xlfn.XLOOKUP($A203,My_Audit!$A:$A,My_Audit!J:J,""),
_xlfn.IFS(_xlpm.MyAuditVal&lt;&gt;"",UPPER(_xlpm.MyAuditVal),_xlpm.MacVal&lt;&gt;"",_xlpm.MacVal,_xlpm.CSVVal&lt;&gt;"",_xlpm.CSVVal
)),"")</f>
        <v/>
      </c>
      <c r="L203" s="55" t="str" cm="1">
        <f t="array" ref="L203">IFERROR(_xlfn.LET(
_xlpm.CSVVal,_xlfn.XLOOKUP($A203,CSV!$A:$A,CSV!P:P,""),
_xlpm.MacVal,_xlfn.XLOOKUP($A203,Output_Mac!$A:$A,Output_Mac!M:M,""),
_xlpm.MyAuditVal,_xlfn.XLOOKUP($A203,My_Audit!$A:$A,My_Audit!K:K,""),
_xlfn.IFS(_xlpm.MyAuditVal&lt;&gt;"",UPPER(_xlpm.MyAuditVal),_xlpm.MacVal&lt;&gt;"",_xlpm.MacVal,_xlpm.CSVVal&lt;&gt;"",_xlpm.CSVVal
)),"")</f>
        <v/>
      </c>
      <c r="M203" s="54" t="str">
        <f>_xlfn.LET(
    _xlpm.CSVVal, _xlfn.XLOOKUP($A203, CSV!$A:$A, CSV!AD:AD, ""),
    _xlpm.MacVal, _xlfn.XLOOKUP($A203, Output_Mac!$A:$A, Output_Mac!S:S, ""),
    _xlpm.MyAuditVal, _xlfn.XLOOKUP($A203, My_Audit!$A:$A, My_Audit!N:N, ""),
    _xlfn.TEXTJOIN(", ", TRUE, _xlpm.MyAuditVal, _xlpm.MacVal, _xlpm.CSVVal)
)</f>
        <v/>
      </c>
      <c r="N203" s="54" t="str" cm="1">
        <f t="array" ref="N203">IFERROR(_xlfn.LET(
_xlpm.CSVVal,_xlfn.XLOOKUP($A203,CSV!$A:$A,CSV!AF:AF,""),
_xlpm.MacVal,_xlfn.XLOOKUP($A203,Output_Mac!$A:$A,Output_Mac!U:U,""),
_xlpm.MyAuditVal,_xlfn.XLOOKUP($A203,My_Audit!$A:$A,My_Audit!O:O,""),
_xlfn.IFS(_xlpm.MyAuditVal&lt;&gt;"",UPPER(_xlpm.MyAuditVal),_xlpm.MacVal&lt;&gt;"",_xlpm.MacVal,_xlpm.CSVVal&lt;&gt;"",_xlpm.CSVVal
)),"")</f>
        <v/>
      </c>
      <c r="O203" s="54"/>
      <c r="P203" s="54"/>
      <c r="Q203" s="54"/>
      <c r="R203" s="54"/>
      <c r="S203" s="54"/>
      <c r="T203" s="54"/>
      <c r="U203" s="39"/>
    </row>
    <row r="204" spans="1:21">
      <c r="A204" s="54" t="str">
        <f>_xlfn.TEXTJOIN("",TRUE,Input!$B$2,ROW(My_Audit!A203))</f>
        <v>XX203</v>
      </c>
      <c r="B204" s="54" t="str">
        <f>_xlfn.TEXTJOIN("-",TRUE,"ITD",Input!$A$2,A204)</f>
        <v>ITD-SHRXXX-XX203</v>
      </c>
      <c r="C204" s="54" t="str" cm="1">
        <f t="array" ref="C204">IFERROR(_xlfn.LET(
_xlpm.CSVVal,_xlfn.XLOOKUP($A204,CSV!$A:$A,CSV!B:B,""),
_xlpm.MacVal,_xlfn.XLOOKUP($A204,Output_Mac!$A:$A,Output_Mac!B:B,""),
_xlpm.MyAuditVal,_xlfn.XLOOKUP($A204,My_Audit!$A:$A,My_Audit!B:B,""),
_xlfn.IFS(_xlpm.MyAuditVal&lt;&gt;"",UPPER(_xlpm.MyAuditVal),_xlpm.MacVal&lt;&gt;"",_xlpm.MacVal,_xlpm.CSVVal&lt;&gt;"",_xlpm.CSVVal
)),"")</f>
        <v/>
      </c>
      <c r="D204" s="55" t="str">
        <f>_xlfn.XLOOKUP(A204,My_Audit!A:A,My_Audit!D:D,"")&amp;""</f>
        <v/>
      </c>
      <c r="E204" s="55" t="str" cm="1">
        <f t="array" ref="E204">IFERROR(_xlfn.LET(
_xlpm.CSVVal,_xlfn.XLOOKUP($A204,CSV!$A:$A,CSV!D:D,""),
_xlpm.MacVal,_xlfn.XLOOKUP($A204,Output_Mac!$A:$A,Output_Mac!C:C,""),
_xlpm.MyAuditVal,_xlfn.XLOOKUP($A204,My_Audit!$A:$A,My_Audit!D:D,""),
_xlfn.IFS(_xlpm.MyAuditVal&lt;&gt;"",_xlpm.MyAuditVal,_xlpm.MacVal&lt;&gt;"",_xlpm.MacVal,_xlpm.CSVVal&lt;&gt;"",_xlpm.CSVVal
)),"")</f>
        <v/>
      </c>
      <c r="F204" s="54" t="str" cm="1">
        <f t="array" ref="F204">IFERROR(_xlfn.LET(
_xlpm.CSVVal,_xlfn.XLOOKUP($A204,CSV!$A:$A,CSV!E:E,""),
_xlpm.MacVal,_xlfn.XLOOKUP($A204,Output_Mac!$A:$A,Output_Mac!F:F,""),
_xlpm.MyAuditVal,_xlfn.XLOOKUP($A204,My_Audit!$A:$A,My_Audit!E:E,""),
_xlfn.IFS(_xlpm.MyAuditVal&lt;&gt;"",_xlpm.MyAuditVal,_xlpm.MacVal&lt;&gt;"",_xlpm.MacVal,_xlpm.CSVVal&lt;&gt;"",PROPER(_xlpm.CSVVal)
)),"")</f>
        <v/>
      </c>
      <c r="G204" s="54" t="str" cm="1">
        <f t="array" ref="G204">IFERROR(_xlfn.LET(
_xlpm.CSVVal,_xlfn.XLOOKUP($A204,CSV!$A:$A,CSV!F:F,""),
_xlpm.MacVal,_xlfn.XLOOKUP($A204,Output_Mac!$A:$A,Output_Mac!H:H,""),
_xlpm.MyAuditVal,_xlfn.XLOOKUP($A204,My_Audit!$A:$A,My_Audit!F:F,""),
_xlfn.IFS(_xlpm.MyAuditVal&lt;&gt;"",_xlpm.MyAuditVal,_xlpm.MacVal&lt;&gt;"",_xlpm.MacVal,_xlpm.CSVVal&lt;&gt;"",_xlpm.CSVVal
)),"")</f>
        <v/>
      </c>
      <c r="H204" s="54" t="str">
        <f>_xlfn.XLOOKUP(A204,Output_Mac!A:A,Output_Mac!I:I,"")</f>
        <v/>
      </c>
      <c r="I204" s="54" t="str" cm="1">
        <f t="array" ref="I204">IFERROR(_xlfn.LET(
_xlpm.CSVVal,_xlfn.XLOOKUP($A204,CSV!$A:$A,CSV!G:G,""),
_xlpm.MacVal,_xlfn.XLOOKUP($A204,Output_Mac!$A:$A,Output_Mac!J:J,""),
_xlpm.MyAuditVal,_xlfn.XLOOKUP($A204,My_Audit!$A:$A,My_Audit!H:H,""),
_xlfn.IFS(_xlpm.MyAuditVal&lt;&gt;"",UPPER(_xlpm.MyAuditVal),_xlpm.MacVal&lt;&gt;"",_xlpm.MacVal,_xlpm.CSVVal&lt;&gt;"",_xlpm.CSVVal
)),"")</f>
        <v/>
      </c>
      <c r="J204" s="54" t="str" cm="1">
        <f t="array" ref="J204">IFERROR(_xlfn.LET(
_xlpm.CSVVal,_xlfn.XLOOKUP($A204,CSV!$A:$A,CSV!I:I,""),
_xlpm.MacVal,_xlfn.XLOOKUP($A204,Output_Mac!$A:$A,Output_Mac!K:K,""),
_xlpm.MyAuditVal,_xlfn.XLOOKUP($A204,My_Audit!$A:$A,My_Audit!I:I,""),
_xlfn.IFS(_xlpm.MyAuditVal&lt;&gt;"",UPPER(_xlpm.MyAuditVal),_xlpm.MacVal&lt;&gt;"",_xlpm.MacVal,_xlpm.CSVVal&lt;&gt;"",_xlpm.CSVVal
)),"")</f>
        <v/>
      </c>
      <c r="K204" s="54" t="str" cm="1">
        <f t="array" ref="K204">IFERROR(_xlfn.LET(
_xlpm.CSVVal,_xlfn.XLOOKUP($A204,CSV!$A:$A,CSV!M:M,""),
_xlpm.MacVal,_xlfn.XLOOKUP($A204,Output_Mac!$A:$A,Output_Mac!L:L,""),
_xlpm.MyAuditVal,_xlfn.XLOOKUP($A204,My_Audit!$A:$A,My_Audit!J:J,""),
_xlfn.IFS(_xlpm.MyAuditVal&lt;&gt;"",UPPER(_xlpm.MyAuditVal),_xlpm.MacVal&lt;&gt;"",_xlpm.MacVal,_xlpm.CSVVal&lt;&gt;"",_xlpm.CSVVal
)),"")</f>
        <v/>
      </c>
      <c r="L204" s="55" t="str" cm="1">
        <f t="array" ref="L204">IFERROR(_xlfn.LET(
_xlpm.CSVVal,_xlfn.XLOOKUP($A204,CSV!$A:$A,CSV!P:P,""),
_xlpm.MacVal,_xlfn.XLOOKUP($A204,Output_Mac!$A:$A,Output_Mac!M:M,""),
_xlpm.MyAuditVal,_xlfn.XLOOKUP($A204,My_Audit!$A:$A,My_Audit!K:K,""),
_xlfn.IFS(_xlpm.MyAuditVal&lt;&gt;"",UPPER(_xlpm.MyAuditVal),_xlpm.MacVal&lt;&gt;"",_xlpm.MacVal,_xlpm.CSVVal&lt;&gt;"",_xlpm.CSVVal
)),"")</f>
        <v/>
      </c>
      <c r="M204" s="54" t="str">
        <f>_xlfn.LET(
    _xlpm.CSVVal, _xlfn.XLOOKUP($A204, CSV!$A:$A, CSV!AD:AD, ""),
    _xlpm.MacVal, _xlfn.XLOOKUP($A204, Output_Mac!$A:$A, Output_Mac!S:S, ""),
    _xlpm.MyAuditVal, _xlfn.XLOOKUP($A204, My_Audit!$A:$A, My_Audit!N:N, ""),
    _xlfn.TEXTJOIN(", ", TRUE, _xlpm.MyAuditVal, _xlpm.MacVal, _xlpm.CSVVal)
)</f>
        <v/>
      </c>
      <c r="N204" s="54" t="str" cm="1">
        <f t="array" ref="N204">IFERROR(_xlfn.LET(
_xlpm.CSVVal,_xlfn.XLOOKUP($A204,CSV!$A:$A,CSV!AF:AF,""),
_xlpm.MacVal,_xlfn.XLOOKUP($A204,Output_Mac!$A:$A,Output_Mac!U:U,""),
_xlpm.MyAuditVal,_xlfn.XLOOKUP($A204,My_Audit!$A:$A,My_Audit!O:O,""),
_xlfn.IFS(_xlpm.MyAuditVal&lt;&gt;"",UPPER(_xlpm.MyAuditVal),_xlpm.MacVal&lt;&gt;"",_xlpm.MacVal,_xlpm.CSVVal&lt;&gt;"",_xlpm.CSVVal
)),"")</f>
        <v/>
      </c>
      <c r="O204" s="54"/>
      <c r="P204" s="54"/>
      <c r="Q204" s="54"/>
      <c r="R204" s="54"/>
      <c r="S204" s="54"/>
      <c r="T204" s="54"/>
      <c r="U204" s="39"/>
    </row>
    <row r="205" spans="1:21">
      <c r="A205" s="54" t="str">
        <f>_xlfn.TEXTJOIN("",TRUE,Input!$B$2,ROW(My_Audit!A204))</f>
        <v>XX204</v>
      </c>
      <c r="B205" s="54" t="str">
        <f>_xlfn.TEXTJOIN("-",TRUE,"ITD",Input!$A$2,A205)</f>
        <v>ITD-SHRXXX-XX204</v>
      </c>
      <c r="C205" s="54" t="str" cm="1">
        <f t="array" ref="C205">IFERROR(_xlfn.LET(
_xlpm.CSVVal,_xlfn.XLOOKUP($A205,CSV!$A:$A,CSV!B:B,""),
_xlpm.MacVal,_xlfn.XLOOKUP($A205,Output_Mac!$A:$A,Output_Mac!B:B,""),
_xlpm.MyAuditVal,_xlfn.XLOOKUP($A205,My_Audit!$A:$A,My_Audit!B:B,""),
_xlfn.IFS(_xlpm.MyAuditVal&lt;&gt;"",UPPER(_xlpm.MyAuditVal),_xlpm.MacVal&lt;&gt;"",_xlpm.MacVal,_xlpm.CSVVal&lt;&gt;"",_xlpm.CSVVal
)),"")</f>
        <v/>
      </c>
      <c r="D205" s="55" t="str">
        <f>_xlfn.XLOOKUP(A205,My_Audit!A:A,My_Audit!D:D,"")&amp;""</f>
        <v/>
      </c>
      <c r="E205" s="55" t="str" cm="1">
        <f t="array" ref="E205">IFERROR(_xlfn.LET(
_xlpm.CSVVal,_xlfn.XLOOKUP($A205,CSV!$A:$A,CSV!D:D,""),
_xlpm.MacVal,_xlfn.XLOOKUP($A205,Output_Mac!$A:$A,Output_Mac!C:C,""),
_xlpm.MyAuditVal,_xlfn.XLOOKUP($A205,My_Audit!$A:$A,My_Audit!D:D,""),
_xlfn.IFS(_xlpm.MyAuditVal&lt;&gt;"",_xlpm.MyAuditVal,_xlpm.MacVal&lt;&gt;"",_xlpm.MacVal,_xlpm.CSVVal&lt;&gt;"",_xlpm.CSVVal
)),"")</f>
        <v/>
      </c>
      <c r="F205" s="54" t="str" cm="1">
        <f t="array" ref="F205">IFERROR(_xlfn.LET(
_xlpm.CSVVal,_xlfn.XLOOKUP($A205,CSV!$A:$A,CSV!E:E,""),
_xlpm.MacVal,_xlfn.XLOOKUP($A205,Output_Mac!$A:$A,Output_Mac!F:F,""),
_xlpm.MyAuditVal,_xlfn.XLOOKUP($A205,My_Audit!$A:$A,My_Audit!E:E,""),
_xlfn.IFS(_xlpm.MyAuditVal&lt;&gt;"",_xlpm.MyAuditVal,_xlpm.MacVal&lt;&gt;"",_xlpm.MacVal,_xlpm.CSVVal&lt;&gt;"",PROPER(_xlpm.CSVVal)
)),"")</f>
        <v/>
      </c>
      <c r="G205" s="54" t="str" cm="1">
        <f t="array" ref="G205">IFERROR(_xlfn.LET(
_xlpm.CSVVal,_xlfn.XLOOKUP($A205,CSV!$A:$A,CSV!F:F,""),
_xlpm.MacVal,_xlfn.XLOOKUP($A205,Output_Mac!$A:$A,Output_Mac!H:H,""),
_xlpm.MyAuditVal,_xlfn.XLOOKUP($A205,My_Audit!$A:$A,My_Audit!F:F,""),
_xlfn.IFS(_xlpm.MyAuditVal&lt;&gt;"",_xlpm.MyAuditVal,_xlpm.MacVal&lt;&gt;"",_xlpm.MacVal,_xlpm.CSVVal&lt;&gt;"",_xlpm.CSVVal
)),"")</f>
        <v/>
      </c>
      <c r="H205" s="54" t="str">
        <f>_xlfn.XLOOKUP(A205,Output_Mac!A:A,Output_Mac!I:I,"")</f>
        <v/>
      </c>
      <c r="I205" s="54" t="str" cm="1">
        <f t="array" ref="I205">IFERROR(_xlfn.LET(
_xlpm.CSVVal,_xlfn.XLOOKUP($A205,CSV!$A:$A,CSV!G:G,""),
_xlpm.MacVal,_xlfn.XLOOKUP($A205,Output_Mac!$A:$A,Output_Mac!J:J,""),
_xlpm.MyAuditVal,_xlfn.XLOOKUP($A205,My_Audit!$A:$A,My_Audit!H:H,""),
_xlfn.IFS(_xlpm.MyAuditVal&lt;&gt;"",UPPER(_xlpm.MyAuditVal),_xlpm.MacVal&lt;&gt;"",_xlpm.MacVal,_xlpm.CSVVal&lt;&gt;"",_xlpm.CSVVal
)),"")</f>
        <v/>
      </c>
      <c r="J205" s="54" t="str" cm="1">
        <f t="array" ref="J205">IFERROR(_xlfn.LET(
_xlpm.CSVVal,_xlfn.XLOOKUP($A205,CSV!$A:$A,CSV!I:I,""),
_xlpm.MacVal,_xlfn.XLOOKUP($A205,Output_Mac!$A:$A,Output_Mac!K:K,""),
_xlpm.MyAuditVal,_xlfn.XLOOKUP($A205,My_Audit!$A:$A,My_Audit!I:I,""),
_xlfn.IFS(_xlpm.MyAuditVal&lt;&gt;"",UPPER(_xlpm.MyAuditVal),_xlpm.MacVal&lt;&gt;"",_xlpm.MacVal,_xlpm.CSVVal&lt;&gt;"",_xlpm.CSVVal
)),"")</f>
        <v/>
      </c>
      <c r="K205" s="54" t="str" cm="1">
        <f t="array" ref="K205">IFERROR(_xlfn.LET(
_xlpm.CSVVal,_xlfn.XLOOKUP($A205,CSV!$A:$A,CSV!M:M,""),
_xlpm.MacVal,_xlfn.XLOOKUP($A205,Output_Mac!$A:$A,Output_Mac!L:L,""),
_xlpm.MyAuditVal,_xlfn.XLOOKUP($A205,My_Audit!$A:$A,My_Audit!J:J,""),
_xlfn.IFS(_xlpm.MyAuditVal&lt;&gt;"",UPPER(_xlpm.MyAuditVal),_xlpm.MacVal&lt;&gt;"",_xlpm.MacVal,_xlpm.CSVVal&lt;&gt;"",_xlpm.CSVVal
)),"")</f>
        <v/>
      </c>
      <c r="L205" s="55" t="str" cm="1">
        <f t="array" ref="L205">IFERROR(_xlfn.LET(
_xlpm.CSVVal,_xlfn.XLOOKUP($A205,CSV!$A:$A,CSV!P:P,""),
_xlpm.MacVal,_xlfn.XLOOKUP($A205,Output_Mac!$A:$A,Output_Mac!M:M,""),
_xlpm.MyAuditVal,_xlfn.XLOOKUP($A205,My_Audit!$A:$A,My_Audit!K:K,""),
_xlfn.IFS(_xlpm.MyAuditVal&lt;&gt;"",UPPER(_xlpm.MyAuditVal),_xlpm.MacVal&lt;&gt;"",_xlpm.MacVal,_xlpm.CSVVal&lt;&gt;"",_xlpm.CSVVal
)),"")</f>
        <v/>
      </c>
      <c r="M205" s="54" t="str">
        <f>_xlfn.LET(
    _xlpm.CSVVal, _xlfn.XLOOKUP($A205, CSV!$A:$A, CSV!AD:AD, ""),
    _xlpm.MacVal, _xlfn.XLOOKUP($A205, Output_Mac!$A:$A, Output_Mac!S:S, ""),
    _xlpm.MyAuditVal, _xlfn.XLOOKUP($A205, My_Audit!$A:$A, My_Audit!N:N, ""),
    _xlfn.TEXTJOIN(", ", TRUE, _xlpm.MyAuditVal, _xlpm.MacVal, _xlpm.CSVVal)
)</f>
        <v/>
      </c>
      <c r="N205" s="54" t="str" cm="1">
        <f t="array" ref="N205">IFERROR(_xlfn.LET(
_xlpm.CSVVal,_xlfn.XLOOKUP($A205,CSV!$A:$A,CSV!AF:AF,""),
_xlpm.MacVal,_xlfn.XLOOKUP($A205,Output_Mac!$A:$A,Output_Mac!U:U,""),
_xlpm.MyAuditVal,_xlfn.XLOOKUP($A205,My_Audit!$A:$A,My_Audit!O:O,""),
_xlfn.IFS(_xlpm.MyAuditVal&lt;&gt;"",UPPER(_xlpm.MyAuditVal),_xlpm.MacVal&lt;&gt;"",_xlpm.MacVal,_xlpm.CSVVal&lt;&gt;"",_xlpm.CSVVal
)),"")</f>
        <v/>
      </c>
      <c r="O205" s="54"/>
      <c r="P205" s="54"/>
      <c r="Q205" s="54"/>
      <c r="R205" s="54"/>
      <c r="S205" s="54"/>
      <c r="T205" s="54"/>
      <c r="U205" s="39"/>
    </row>
    <row r="206" spans="1:21">
      <c r="A206" s="54" t="str">
        <f>_xlfn.TEXTJOIN("",TRUE,Input!$B$2,ROW(My_Audit!A205))</f>
        <v>XX205</v>
      </c>
      <c r="B206" s="54" t="str">
        <f>_xlfn.TEXTJOIN("-",TRUE,"ITD",Input!$A$2,A206)</f>
        <v>ITD-SHRXXX-XX205</v>
      </c>
      <c r="C206" s="54" t="str" cm="1">
        <f t="array" ref="C206">IFERROR(_xlfn.LET(
_xlpm.CSVVal,_xlfn.XLOOKUP($A206,CSV!$A:$A,CSV!B:B,""),
_xlpm.MacVal,_xlfn.XLOOKUP($A206,Output_Mac!$A:$A,Output_Mac!B:B,""),
_xlpm.MyAuditVal,_xlfn.XLOOKUP($A206,My_Audit!$A:$A,My_Audit!B:B,""),
_xlfn.IFS(_xlpm.MyAuditVal&lt;&gt;"",UPPER(_xlpm.MyAuditVal),_xlpm.MacVal&lt;&gt;"",_xlpm.MacVal,_xlpm.CSVVal&lt;&gt;"",_xlpm.CSVVal
)),"")</f>
        <v/>
      </c>
      <c r="D206" s="55" t="str">
        <f>_xlfn.XLOOKUP(A206,My_Audit!A:A,My_Audit!D:D,"")&amp;""</f>
        <v/>
      </c>
      <c r="E206" s="55" t="str" cm="1">
        <f t="array" ref="E206">IFERROR(_xlfn.LET(
_xlpm.CSVVal,_xlfn.XLOOKUP($A206,CSV!$A:$A,CSV!D:D,""),
_xlpm.MacVal,_xlfn.XLOOKUP($A206,Output_Mac!$A:$A,Output_Mac!C:C,""),
_xlpm.MyAuditVal,_xlfn.XLOOKUP($A206,My_Audit!$A:$A,My_Audit!D:D,""),
_xlfn.IFS(_xlpm.MyAuditVal&lt;&gt;"",_xlpm.MyAuditVal,_xlpm.MacVal&lt;&gt;"",_xlpm.MacVal,_xlpm.CSVVal&lt;&gt;"",_xlpm.CSVVal
)),"")</f>
        <v/>
      </c>
      <c r="F206" s="54" t="str" cm="1">
        <f t="array" ref="F206">IFERROR(_xlfn.LET(
_xlpm.CSVVal,_xlfn.XLOOKUP($A206,CSV!$A:$A,CSV!E:E,""),
_xlpm.MacVal,_xlfn.XLOOKUP($A206,Output_Mac!$A:$A,Output_Mac!F:F,""),
_xlpm.MyAuditVal,_xlfn.XLOOKUP($A206,My_Audit!$A:$A,My_Audit!E:E,""),
_xlfn.IFS(_xlpm.MyAuditVal&lt;&gt;"",_xlpm.MyAuditVal,_xlpm.MacVal&lt;&gt;"",_xlpm.MacVal,_xlpm.CSVVal&lt;&gt;"",PROPER(_xlpm.CSVVal)
)),"")</f>
        <v/>
      </c>
      <c r="G206" s="54" t="str" cm="1">
        <f t="array" ref="G206">IFERROR(_xlfn.LET(
_xlpm.CSVVal,_xlfn.XLOOKUP($A206,CSV!$A:$A,CSV!F:F,""),
_xlpm.MacVal,_xlfn.XLOOKUP($A206,Output_Mac!$A:$A,Output_Mac!H:H,""),
_xlpm.MyAuditVal,_xlfn.XLOOKUP($A206,My_Audit!$A:$A,My_Audit!F:F,""),
_xlfn.IFS(_xlpm.MyAuditVal&lt;&gt;"",_xlpm.MyAuditVal,_xlpm.MacVal&lt;&gt;"",_xlpm.MacVal,_xlpm.CSVVal&lt;&gt;"",_xlpm.CSVVal
)),"")</f>
        <v/>
      </c>
      <c r="H206" s="54" t="str">
        <f>_xlfn.XLOOKUP(A206,Output_Mac!A:A,Output_Mac!I:I,"")</f>
        <v/>
      </c>
      <c r="I206" s="54" t="str" cm="1">
        <f t="array" ref="I206">IFERROR(_xlfn.LET(
_xlpm.CSVVal,_xlfn.XLOOKUP($A206,CSV!$A:$A,CSV!G:G,""),
_xlpm.MacVal,_xlfn.XLOOKUP($A206,Output_Mac!$A:$A,Output_Mac!J:J,""),
_xlpm.MyAuditVal,_xlfn.XLOOKUP($A206,My_Audit!$A:$A,My_Audit!H:H,""),
_xlfn.IFS(_xlpm.MyAuditVal&lt;&gt;"",UPPER(_xlpm.MyAuditVal),_xlpm.MacVal&lt;&gt;"",_xlpm.MacVal,_xlpm.CSVVal&lt;&gt;"",_xlpm.CSVVal
)),"")</f>
        <v/>
      </c>
      <c r="J206" s="54" t="str" cm="1">
        <f t="array" ref="J206">IFERROR(_xlfn.LET(
_xlpm.CSVVal,_xlfn.XLOOKUP($A206,CSV!$A:$A,CSV!I:I,""),
_xlpm.MacVal,_xlfn.XLOOKUP($A206,Output_Mac!$A:$A,Output_Mac!K:K,""),
_xlpm.MyAuditVal,_xlfn.XLOOKUP($A206,My_Audit!$A:$A,My_Audit!I:I,""),
_xlfn.IFS(_xlpm.MyAuditVal&lt;&gt;"",UPPER(_xlpm.MyAuditVal),_xlpm.MacVal&lt;&gt;"",_xlpm.MacVal,_xlpm.CSVVal&lt;&gt;"",_xlpm.CSVVal
)),"")</f>
        <v/>
      </c>
      <c r="K206" s="54" t="str" cm="1">
        <f t="array" ref="K206">IFERROR(_xlfn.LET(
_xlpm.CSVVal,_xlfn.XLOOKUP($A206,CSV!$A:$A,CSV!M:M,""),
_xlpm.MacVal,_xlfn.XLOOKUP($A206,Output_Mac!$A:$A,Output_Mac!L:L,""),
_xlpm.MyAuditVal,_xlfn.XLOOKUP($A206,My_Audit!$A:$A,My_Audit!J:J,""),
_xlfn.IFS(_xlpm.MyAuditVal&lt;&gt;"",UPPER(_xlpm.MyAuditVal),_xlpm.MacVal&lt;&gt;"",_xlpm.MacVal,_xlpm.CSVVal&lt;&gt;"",_xlpm.CSVVal
)),"")</f>
        <v/>
      </c>
      <c r="L206" s="55" t="str" cm="1">
        <f t="array" ref="L206">IFERROR(_xlfn.LET(
_xlpm.CSVVal,_xlfn.XLOOKUP($A206,CSV!$A:$A,CSV!P:P,""),
_xlpm.MacVal,_xlfn.XLOOKUP($A206,Output_Mac!$A:$A,Output_Mac!M:M,""),
_xlpm.MyAuditVal,_xlfn.XLOOKUP($A206,My_Audit!$A:$A,My_Audit!K:K,""),
_xlfn.IFS(_xlpm.MyAuditVal&lt;&gt;"",UPPER(_xlpm.MyAuditVal),_xlpm.MacVal&lt;&gt;"",_xlpm.MacVal,_xlpm.CSVVal&lt;&gt;"",_xlpm.CSVVal
)),"")</f>
        <v/>
      </c>
      <c r="M206" s="54" t="str">
        <f>_xlfn.LET(
    _xlpm.CSVVal, _xlfn.XLOOKUP($A206, CSV!$A:$A, CSV!AD:AD, ""),
    _xlpm.MacVal, _xlfn.XLOOKUP($A206, Output_Mac!$A:$A, Output_Mac!S:S, ""),
    _xlpm.MyAuditVal, _xlfn.XLOOKUP($A206, My_Audit!$A:$A, My_Audit!N:N, ""),
    _xlfn.TEXTJOIN(", ", TRUE, _xlpm.MyAuditVal, _xlpm.MacVal, _xlpm.CSVVal)
)</f>
        <v/>
      </c>
      <c r="N206" s="54" t="str" cm="1">
        <f t="array" ref="N206">IFERROR(_xlfn.LET(
_xlpm.CSVVal,_xlfn.XLOOKUP($A206,CSV!$A:$A,CSV!AF:AF,""),
_xlpm.MacVal,_xlfn.XLOOKUP($A206,Output_Mac!$A:$A,Output_Mac!U:U,""),
_xlpm.MyAuditVal,_xlfn.XLOOKUP($A206,My_Audit!$A:$A,My_Audit!O:O,""),
_xlfn.IFS(_xlpm.MyAuditVal&lt;&gt;"",UPPER(_xlpm.MyAuditVal),_xlpm.MacVal&lt;&gt;"",_xlpm.MacVal,_xlpm.CSVVal&lt;&gt;"",_xlpm.CSVVal
)),"")</f>
        <v/>
      </c>
      <c r="O206" s="54"/>
      <c r="P206" s="54"/>
      <c r="Q206" s="54"/>
      <c r="R206" s="54"/>
      <c r="S206" s="54"/>
      <c r="T206" s="54"/>
      <c r="U206" s="39"/>
    </row>
    <row r="207" spans="1:21">
      <c r="A207" s="54" t="str">
        <f>_xlfn.TEXTJOIN("",TRUE,Input!$B$2,ROW(My_Audit!A206))</f>
        <v>XX206</v>
      </c>
      <c r="B207" s="54" t="str">
        <f>_xlfn.TEXTJOIN("-",TRUE,"ITD",Input!$A$2,A207)</f>
        <v>ITD-SHRXXX-XX206</v>
      </c>
      <c r="C207" s="54" t="str" cm="1">
        <f t="array" ref="C207">IFERROR(_xlfn.LET(
_xlpm.CSVVal,_xlfn.XLOOKUP($A207,CSV!$A:$A,CSV!B:B,""),
_xlpm.MacVal,_xlfn.XLOOKUP($A207,Output_Mac!$A:$A,Output_Mac!B:B,""),
_xlpm.MyAuditVal,_xlfn.XLOOKUP($A207,My_Audit!$A:$A,My_Audit!B:B,""),
_xlfn.IFS(_xlpm.MyAuditVal&lt;&gt;"",UPPER(_xlpm.MyAuditVal),_xlpm.MacVal&lt;&gt;"",_xlpm.MacVal,_xlpm.CSVVal&lt;&gt;"",_xlpm.CSVVal
)),"")</f>
        <v/>
      </c>
      <c r="D207" s="55" t="str">
        <f>_xlfn.XLOOKUP(A207,My_Audit!A:A,My_Audit!D:D,"")&amp;""</f>
        <v/>
      </c>
      <c r="E207" s="55" t="str" cm="1">
        <f t="array" ref="E207">IFERROR(_xlfn.LET(
_xlpm.CSVVal,_xlfn.XLOOKUP($A207,CSV!$A:$A,CSV!D:D,""),
_xlpm.MacVal,_xlfn.XLOOKUP($A207,Output_Mac!$A:$A,Output_Mac!C:C,""),
_xlpm.MyAuditVal,_xlfn.XLOOKUP($A207,My_Audit!$A:$A,My_Audit!D:D,""),
_xlfn.IFS(_xlpm.MyAuditVal&lt;&gt;"",_xlpm.MyAuditVal,_xlpm.MacVal&lt;&gt;"",_xlpm.MacVal,_xlpm.CSVVal&lt;&gt;"",_xlpm.CSVVal
)),"")</f>
        <v/>
      </c>
      <c r="F207" s="54" t="str" cm="1">
        <f t="array" ref="F207">IFERROR(_xlfn.LET(
_xlpm.CSVVal,_xlfn.XLOOKUP($A207,CSV!$A:$A,CSV!E:E,""),
_xlpm.MacVal,_xlfn.XLOOKUP($A207,Output_Mac!$A:$A,Output_Mac!F:F,""),
_xlpm.MyAuditVal,_xlfn.XLOOKUP($A207,My_Audit!$A:$A,My_Audit!E:E,""),
_xlfn.IFS(_xlpm.MyAuditVal&lt;&gt;"",_xlpm.MyAuditVal,_xlpm.MacVal&lt;&gt;"",_xlpm.MacVal,_xlpm.CSVVal&lt;&gt;"",PROPER(_xlpm.CSVVal)
)),"")</f>
        <v/>
      </c>
      <c r="G207" s="54" t="str" cm="1">
        <f t="array" ref="G207">IFERROR(_xlfn.LET(
_xlpm.CSVVal,_xlfn.XLOOKUP($A207,CSV!$A:$A,CSV!F:F,""),
_xlpm.MacVal,_xlfn.XLOOKUP($A207,Output_Mac!$A:$A,Output_Mac!H:H,""),
_xlpm.MyAuditVal,_xlfn.XLOOKUP($A207,My_Audit!$A:$A,My_Audit!F:F,""),
_xlfn.IFS(_xlpm.MyAuditVal&lt;&gt;"",_xlpm.MyAuditVal,_xlpm.MacVal&lt;&gt;"",_xlpm.MacVal,_xlpm.CSVVal&lt;&gt;"",_xlpm.CSVVal
)),"")</f>
        <v/>
      </c>
      <c r="H207" s="54" t="str">
        <f>_xlfn.XLOOKUP(A207,Output_Mac!A:A,Output_Mac!I:I,"")</f>
        <v/>
      </c>
      <c r="I207" s="54" t="str" cm="1">
        <f t="array" ref="I207">IFERROR(_xlfn.LET(
_xlpm.CSVVal,_xlfn.XLOOKUP($A207,CSV!$A:$A,CSV!G:G,""),
_xlpm.MacVal,_xlfn.XLOOKUP($A207,Output_Mac!$A:$A,Output_Mac!J:J,""),
_xlpm.MyAuditVal,_xlfn.XLOOKUP($A207,My_Audit!$A:$A,My_Audit!H:H,""),
_xlfn.IFS(_xlpm.MyAuditVal&lt;&gt;"",UPPER(_xlpm.MyAuditVal),_xlpm.MacVal&lt;&gt;"",_xlpm.MacVal,_xlpm.CSVVal&lt;&gt;"",_xlpm.CSVVal
)),"")</f>
        <v/>
      </c>
      <c r="J207" s="54" t="str" cm="1">
        <f t="array" ref="J207">IFERROR(_xlfn.LET(
_xlpm.CSVVal,_xlfn.XLOOKUP($A207,CSV!$A:$A,CSV!I:I,""),
_xlpm.MacVal,_xlfn.XLOOKUP($A207,Output_Mac!$A:$A,Output_Mac!K:K,""),
_xlpm.MyAuditVal,_xlfn.XLOOKUP($A207,My_Audit!$A:$A,My_Audit!I:I,""),
_xlfn.IFS(_xlpm.MyAuditVal&lt;&gt;"",UPPER(_xlpm.MyAuditVal),_xlpm.MacVal&lt;&gt;"",_xlpm.MacVal,_xlpm.CSVVal&lt;&gt;"",_xlpm.CSVVal
)),"")</f>
        <v/>
      </c>
      <c r="K207" s="54" t="str" cm="1">
        <f t="array" ref="K207">IFERROR(_xlfn.LET(
_xlpm.CSVVal,_xlfn.XLOOKUP($A207,CSV!$A:$A,CSV!M:M,""),
_xlpm.MacVal,_xlfn.XLOOKUP($A207,Output_Mac!$A:$A,Output_Mac!L:L,""),
_xlpm.MyAuditVal,_xlfn.XLOOKUP($A207,My_Audit!$A:$A,My_Audit!J:J,""),
_xlfn.IFS(_xlpm.MyAuditVal&lt;&gt;"",UPPER(_xlpm.MyAuditVal),_xlpm.MacVal&lt;&gt;"",_xlpm.MacVal,_xlpm.CSVVal&lt;&gt;"",_xlpm.CSVVal
)),"")</f>
        <v/>
      </c>
      <c r="L207" s="55" t="str" cm="1">
        <f t="array" ref="L207">IFERROR(_xlfn.LET(
_xlpm.CSVVal,_xlfn.XLOOKUP($A207,CSV!$A:$A,CSV!P:P,""),
_xlpm.MacVal,_xlfn.XLOOKUP($A207,Output_Mac!$A:$A,Output_Mac!M:M,""),
_xlpm.MyAuditVal,_xlfn.XLOOKUP($A207,My_Audit!$A:$A,My_Audit!K:K,""),
_xlfn.IFS(_xlpm.MyAuditVal&lt;&gt;"",UPPER(_xlpm.MyAuditVal),_xlpm.MacVal&lt;&gt;"",_xlpm.MacVal,_xlpm.CSVVal&lt;&gt;"",_xlpm.CSVVal
)),"")</f>
        <v/>
      </c>
      <c r="M207" s="54" t="str">
        <f>_xlfn.LET(
    _xlpm.CSVVal, _xlfn.XLOOKUP($A207, CSV!$A:$A, CSV!AD:AD, ""),
    _xlpm.MacVal, _xlfn.XLOOKUP($A207, Output_Mac!$A:$A, Output_Mac!S:S, ""),
    _xlpm.MyAuditVal, _xlfn.XLOOKUP($A207, My_Audit!$A:$A, My_Audit!N:N, ""),
    _xlfn.TEXTJOIN(", ", TRUE, _xlpm.MyAuditVal, _xlpm.MacVal, _xlpm.CSVVal)
)</f>
        <v/>
      </c>
      <c r="N207" s="54" t="str" cm="1">
        <f t="array" ref="N207">IFERROR(_xlfn.LET(
_xlpm.CSVVal,_xlfn.XLOOKUP($A207,CSV!$A:$A,CSV!AF:AF,""),
_xlpm.MacVal,_xlfn.XLOOKUP($A207,Output_Mac!$A:$A,Output_Mac!U:U,""),
_xlpm.MyAuditVal,_xlfn.XLOOKUP($A207,My_Audit!$A:$A,My_Audit!O:O,""),
_xlfn.IFS(_xlpm.MyAuditVal&lt;&gt;"",UPPER(_xlpm.MyAuditVal),_xlpm.MacVal&lt;&gt;"",_xlpm.MacVal,_xlpm.CSVVal&lt;&gt;"",_xlpm.CSVVal
)),"")</f>
        <v/>
      </c>
      <c r="O207" s="54"/>
      <c r="P207" s="54"/>
      <c r="Q207" s="54"/>
      <c r="R207" s="54"/>
      <c r="S207" s="54"/>
      <c r="T207" s="54"/>
      <c r="U207" s="39"/>
    </row>
    <row r="208" spans="1:21">
      <c r="A208" s="54" t="str">
        <f>_xlfn.TEXTJOIN("",TRUE,Input!$B$2,ROW(My_Audit!A207))</f>
        <v>XX207</v>
      </c>
      <c r="B208" s="54" t="str">
        <f>_xlfn.TEXTJOIN("-",TRUE,"ITD",Input!$A$2,A208)</f>
        <v>ITD-SHRXXX-XX207</v>
      </c>
      <c r="C208" s="54" t="str" cm="1">
        <f t="array" ref="C208">IFERROR(_xlfn.LET(
_xlpm.CSVVal,_xlfn.XLOOKUP($A208,CSV!$A:$A,CSV!B:B,""),
_xlpm.MacVal,_xlfn.XLOOKUP($A208,Output_Mac!$A:$A,Output_Mac!B:B,""),
_xlpm.MyAuditVal,_xlfn.XLOOKUP($A208,My_Audit!$A:$A,My_Audit!B:B,""),
_xlfn.IFS(_xlpm.MyAuditVal&lt;&gt;"",UPPER(_xlpm.MyAuditVal),_xlpm.MacVal&lt;&gt;"",_xlpm.MacVal,_xlpm.CSVVal&lt;&gt;"",_xlpm.CSVVal
)),"")</f>
        <v/>
      </c>
      <c r="D208" s="55" t="str">
        <f>_xlfn.XLOOKUP(A208,My_Audit!A:A,My_Audit!D:D,"")&amp;""</f>
        <v/>
      </c>
      <c r="E208" s="55" t="str" cm="1">
        <f t="array" ref="E208">IFERROR(_xlfn.LET(
_xlpm.CSVVal,_xlfn.XLOOKUP($A208,CSV!$A:$A,CSV!D:D,""),
_xlpm.MacVal,_xlfn.XLOOKUP($A208,Output_Mac!$A:$A,Output_Mac!C:C,""),
_xlpm.MyAuditVal,_xlfn.XLOOKUP($A208,My_Audit!$A:$A,My_Audit!D:D,""),
_xlfn.IFS(_xlpm.MyAuditVal&lt;&gt;"",_xlpm.MyAuditVal,_xlpm.MacVal&lt;&gt;"",_xlpm.MacVal,_xlpm.CSVVal&lt;&gt;"",_xlpm.CSVVal
)),"")</f>
        <v/>
      </c>
      <c r="F208" s="54" t="str" cm="1">
        <f t="array" ref="F208">IFERROR(_xlfn.LET(
_xlpm.CSVVal,_xlfn.XLOOKUP($A208,CSV!$A:$A,CSV!E:E,""),
_xlpm.MacVal,_xlfn.XLOOKUP($A208,Output_Mac!$A:$A,Output_Mac!F:F,""),
_xlpm.MyAuditVal,_xlfn.XLOOKUP($A208,My_Audit!$A:$A,My_Audit!E:E,""),
_xlfn.IFS(_xlpm.MyAuditVal&lt;&gt;"",_xlpm.MyAuditVal,_xlpm.MacVal&lt;&gt;"",_xlpm.MacVal,_xlpm.CSVVal&lt;&gt;"",PROPER(_xlpm.CSVVal)
)),"")</f>
        <v/>
      </c>
      <c r="G208" s="54" t="str" cm="1">
        <f t="array" ref="G208">IFERROR(_xlfn.LET(
_xlpm.CSVVal,_xlfn.XLOOKUP($A208,CSV!$A:$A,CSV!F:F,""),
_xlpm.MacVal,_xlfn.XLOOKUP($A208,Output_Mac!$A:$A,Output_Mac!H:H,""),
_xlpm.MyAuditVal,_xlfn.XLOOKUP($A208,My_Audit!$A:$A,My_Audit!F:F,""),
_xlfn.IFS(_xlpm.MyAuditVal&lt;&gt;"",_xlpm.MyAuditVal,_xlpm.MacVal&lt;&gt;"",_xlpm.MacVal,_xlpm.CSVVal&lt;&gt;"",_xlpm.CSVVal
)),"")</f>
        <v/>
      </c>
      <c r="H208" s="54" t="str">
        <f>_xlfn.XLOOKUP(A208,Output_Mac!A:A,Output_Mac!I:I,"")</f>
        <v/>
      </c>
      <c r="I208" s="54" t="str" cm="1">
        <f t="array" ref="I208">IFERROR(_xlfn.LET(
_xlpm.CSVVal,_xlfn.XLOOKUP($A208,CSV!$A:$A,CSV!G:G,""),
_xlpm.MacVal,_xlfn.XLOOKUP($A208,Output_Mac!$A:$A,Output_Mac!J:J,""),
_xlpm.MyAuditVal,_xlfn.XLOOKUP($A208,My_Audit!$A:$A,My_Audit!H:H,""),
_xlfn.IFS(_xlpm.MyAuditVal&lt;&gt;"",UPPER(_xlpm.MyAuditVal),_xlpm.MacVal&lt;&gt;"",_xlpm.MacVal,_xlpm.CSVVal&lt;&gt;"",_xlpm.CSVVal
)),"")</f>
        <v/>
      </c>
      <c r="J208" s="54" t="str" cm="1">
        <f t="array" ref="J208">IFERROR(_xlfn.LET(
_xlpm.CSVVal,_xlfn.XLOOKUP($A208,CSV!$A:$A,CSV!I:I,""),
_xlpm.MacVal,_xlfn.XLOOKUP($A208,Output_Mac!$A:$A,Output_Mac!K:K,""),
_xlpm.MyAuditVal,_xlfn.XLOOKUP($A208,My_Audit!$A:$A,My_Audit!I:I,""),
_xlfn.IFS(_xlpm.MyAuditVal&lt;&gt;"",UPPER(_xlpm.MyAuditVal),_xlpm.MacVal&lt;&gt;"",_xlpm.MacVal,_xlpm.CSVVal&lt;&gt;"",_xlpm.CSVVal
)),"")</f>
        <v/>
      </c>
      <c r="K208" s="54" t="str" cm="1">
        <f t="array" ref="K208">IFERROR(_xlfn.LET(
_xlpm.CSVVal,_xlfn.XLOOKUP($A208,CSV!$A:$A,CSV!M:M,""),
_xlpm.MacVal,_xlfn.XLOOKUP($A208,Output_Mac!$A:$A,Output_Mac!L:L,""),
_xlpm.MyAuditVal,_xlfn.XLOOKUP($A208,My_Audit!$A:$A,My_Audit!J:J,""),
_xlfn.IFS(_xlpm.MyAuditVal&lt;&gt;"",UPPER(_xlpm.MyAuditVal),_xlpm.MacVal&lt;&gt;"",_xlpm.MacVal,_xlpm.CSVVal&lt;&gt;"",_xlpm.CSVVal
)),"")</f>
        <v/>
      </c>
      <c r="L208" s="55" t="str" cm="1">
        <f t="array" ref="L208">IFERROR(_xlfn.LET(
_xlpm.CSVVal,_xlfn.XLOOKUP($A208,CSV!$A:$A,CSV!P:P,""),
_xlpm.MacVal,_xlfn.XLOOKUP($A208,Output_Mac!$A:$A,Output_Mac!M:M,""),
_xlpm.MyAuditVal,_xlfn.XLOOKUP($A208,My_Audit!$A:$A,My_Audit!K:K,""),
_xlfn.IFS(_xlpm.MyAuditVal&lt;&gt;"",UPPER(_xlpm.MyAuditVal),_xlpm.MacVal&lt;&gt;"",_xlpm.MacVal,_xlpm.CSVVal&lt;&gt;"",_xlpm.CSVVal
)),"")</f>
        <v/>
      </c>
      <c r="M208" s="54" t="str">
        <f>_xlfn.LET(
    _xlpm.CSVVal, _xlfn.XLOOKUP($A208, CSV!$A:$A, CSV!AD:AD, ""),
    _xlpm.MacVal, _xlfn.XLOOKUP($A208, Output_Mac!$A:$A, Output_Mac!S:S, ""),
    _xlpm.MyAuditVal, _xlfn.XLOOKUP($A208, My_Audit!$A:$A, My_Audit!N:N, ""),
    _xlfn.TEXTJOIN(", ", TRUE, _xlpm.MyAuditVal, _xlpm.MacVal, _xlpm.CSVVal)
)</f>
        <v/>
      </c>
      <c r="N208" s="54" t="str" cm="1">
        <f t="array" ref="N208">IFERROR(_xlfn.LET(
_xlpm.CSVVal,_xlfn.XLOOKUP($A208,CSV!$A:$A,CSV!AF:AF,""),
_xlpm.MacVal,_xlfn.XLOOKUP($A208,Output_Mac!$A:$A,Output_Mac!U:U,""),
_xlpm.MyAuditVal,_xlfn.XLOOKUP($A208,My_Audit!$A:$A,My_Audit!O:O,""),
_xlfn.IFS(_xlpm.MyAuditVal&lt;&gt;"",UPPER(_xlpm.MyAuditVal),_xlpm.MacVal&lt;&gt;"",_xlpm.MacVal,_xlpm.CSVVal&lt;&gt;"",_xlpm.CSVVal
)),"")</f>
        <v/>
      </c>
      <c r="O208" s="54"/>
      <c r="P208" s="54"/>
      <c r="Q208" s="54"/>
      <c r="R208" s="54"/>
      <c r="S208" s="54"/>
      <c r="T208" s="54"/>
      <c r="U208" s="39"/>
    </row>
    <row r="209" spans="1:21">
      <c r="A209" s="54" t="str">
        <f>_xlfn.TEXTJOIN("",TRUE,Input!$B$2,ROW(My_Audit!A208))</f>
        <v>XX208</v>
      </c>
      <c r="B209" s="54" t="str">
        <f>_xlfn.TEXTJOIN("-",TRUE,"ITD",Input!$A$2,A209)</f>
        <v>ITD-SHRXXX-XX208</v>
      </c>
      <c r="C209" s="54" t="str" cm="1">
        <f t="array" ref="C209">IFERROR(_xlfn.LET(
_xlpm.CSVVal,_xlfn.XLOOKUP($A209,CSV!$A:$A,CSV!B:B,""),
_xlpm.MacVal,_xlfn.XLOOKUP($A209,Output_Mac!$A:$A,Output_Mac!B:B,""),
_xlpm.MyAuditVal,_xlfn.XLOOKUP($A209,My_Audit!$A:$A,My_Audit!B:B,""),
_xlfn.IFS(_xlpm.MyAuditVal&lt;&gt;"",UPPER(_xlpm.MyAuditVal),_xlpm.MacVal&lt;&gt;"",_xlpm.MacVal,_xlpm.CSVVal&lt;&gt;"",_xlpm.CSVVal
)),"")</f>
        <v/>
      </c>
      <c r="D209" s="55" t="str">
        <f>_xlfn.XLOOKUP(A209,My_Audit!A:A,My_Audit!D:D,"")&amp;""</f>
        <v/>
      </c>
      <c r="E209" s="55" t="str" cm="1">
        <f t="array" ref="E209">IFERROR(_xlfn.LET(
_xlpm.CSVVal,_xlfn.XLOOKUP($A209,CSV!$A:$A,CSV!D:D,""),
_xlpm.MacVal,_xlfn.XLOOKUP($A209,Output_Mac!$A:$A,Output_Mac!C:C,""),
_xlpm.MyAuditVal,_xlfn.XLOOKUP($A209,My_Audit!$A:$A,My_Audit!D:D,""),
_xlfn.IFS(_xlpm.MyAuditVal&lt;&gt;"",_xlpm.MyAuditVal,_xlpm.MacVal&lt;&gt;"",_xlpm.MacVal,_xlpm.CSVVal&lt;&gt;"",_xlpm.CSVVal
)),"")</f>
        <v/>
      </c>
      <c r="F209" s="54" t="str" cm="1">
        <f t="array" ref="F209">IFERROR(_xlfn.LET(
_xlpm.CSVVal,_xlfn.XLOOKUP($A209,CSV!$A:$A,CSV!E:E,""),
_xlpm.MacVal,_xlfn.XLOOKUP($A209,Output_Mac!$A:$A,Output_Mac!F:F,""),
_xlpm.MyAuditVal,_xlfn.XLOOKUP($A209,My_Audit!$A:$A,My_Audit!E:E,""),
_xlfn.IFS(_xlpm.MyAuditVal&lt;&gt;"",_xlpm.MyAuditVal,_xlpm.MacVal&lt;&gt;"",_xlpm.MacVal,_xlpm.CSVVal&lt;&gt;"",PROPER(_xlpm.CSVVal)
)),"")</f>
        <v/>
      </c>
      <c r="G209" s="54" t="str" cm="1">
        <f t="array" ref="G209">IFERROR(_xlfn.LET(
_xlpm.CSVVal,_xlfn.XLOOKUP($A209,CSV!$A:$A,CSV!F:F,""),
_xlpm.MacVal,_xlfn.XLOOKUP($A209,Output_Mac!$A:$A,Output_Mac!H:H,""),
_xlpm.MyAuditVal,_xlfn.XLOOKUP($A209,My_Audit!$A:$A,My_Audit!F:F,""),
_xlfn.IFS(_xlpm.MyAuditVal&lt;&gt;"",_xlpm.MyAuditVal,_xlpm.MacVal&lt;&gt;"",_xlpm.MacVal,_xlpm.CSVVal&lt;&gt;"",_xlpm.CSVVal
)),"")</f>
        <v/>
      </c>
      <c r="H209" s="54" t="str">
        <f>_xlfn.XLOOKUP(A209,Output_Mac!A:A,Output_Mac!I:I,"")</f>
        <v/>
      </c>
      <c r="I209" s="54" t="str" cm="1">
        <f t="array" ref="I209">IFERROR(_xlfn.LET(
_xlpm.CSVVal,_xlfn.XLOOKUP($A209,CSV!$A:$A,CSV!G:G,""),
_xlpm.MacVal,_xlfn.XLOOKUP($A209,Output_Mac!$A:$A,Output_Mac!J:J,""),
_xlpm.MyAuditVal,_xlfn.XLOOKUP($A209,My_Audit!$A:$A,My_Audit!H:H,""),
_xlfn.IFS(_xlpm.MyAuditVal&lt;&gt;"",UPPER(_xlpm.MyAuditVal),_xlpm.MacVal&lt;&gt;"",_xlpm.MacVal,_xlpm.CSVVal&lt;&gt;"",_xlpm.CSVVal
)),"")</f>
        <v/>
      </c>
      <c r="J209" s="54" t="str" cm="1">
        <f t="array" ref="J209">IFERROR(_xlfn.LET(
_xlpm.CSVVal,_xlfn.XLOOKUP($A209,CSV!$A:$A,CSV!I:I,""),
_xlpm.MacVal,_xlfn.XLOOKUP($A209,Output_Mac!$A:$A,Output_Mac!K:K,""),
_xlpm.MyAuditVal,_xlfn.XLOOKUP($A209,My_Audit!$A:$A,My_Audit!I:I,""),
_xlfn.IFS(_xlpm.MyAuditVal&lt;&gt;"",UPPER(_xlpm.MyAuditVal),_xlpm.MacVal&lt;&gt;"",_xlpm.MacVal,_xlpm.CSVVal&lt;&gt;"",_xlpm.CSVVal
)),"")</f>
        <v/>
      </c>
      <c r="K209" s="54" t="str" cm="1">
        <f t="array" ref="K209">IFERROR(_xlfn.LET(
_xlpm.CSVVal,_xlfn.XLOOKUP($A209,CSV!$A:$A,CSV!M:M,""),
_xlpm.MacVal,_xlfn.XLOOKUP($A209,Output_Mac!$A:$A,Output_Mac!L:L,""),
_xlpm.MyAuditVal,_xlfn.XLOOKUP($A209,My_Audit!$A:$A,My_Audit!J:J,""),
_xlfn.IFS(_xlpm.MyAuditVal&lt;&gt;"",UPPER(_xlpm.MyAuditVal),_xlpm.MacVal&lt;&gt;"",_xlpm.MacVal,_xlpm.CSVVal&lt;&gt;"",_xlpm.CSVVal
)),"")</f>
        <v/>
      </c>
      <c r="L209" s="55" t="str" cm="1">
        <f t="array" ref="L209">IFERROR(_xlfn.LET(
_xlpm.CSVVal,_xlfn.XLOOKUP($A209,CSV!$A:$A,CSV!P:P,""),
_xlpm.MacVal,_xlfn.XLOOKUP($A209,Output_Mac!$A:$A,Output_Mac!M:M,""),
_xlpm.MyAuditVal,_xlfn.XLOOKUP($A209,My_Audit!$A:$A,My_Audit!K:K,""),
_xlfn.IFS(_xlpm.MyAuditVal&lt;&gt;"",UPPER(_xlpm.MyAuditVal),_xlpm.MacVal&lt;&gt;"",_xlpm.MacVal,_xlpm.CSVVal&lt;&gt;"",_xlpm.CSVVal
)),"")</f>
        <v/>
      </c>
      <c r="M209" s="54" t="str">
        <f>_xlfn.LET(
    _xlpm.CSVVal, _xlfn.XLOOKUP($A209, CSV!$A:$A, CSV!AD:AD, ""),
    _xlpm.MacVal, _xlfn.XLOOKUP($A209, Output_Mac!$A:$A, Output_Mac!S:S, ""),
    _xlpm.MyAuditVal, _xlfn.XLOOKUP($A209, My_Audit!$A:$A, My_Audit!N:N, ""),
    _xlfn.TEXTJOIN(", ", TRUE, _xlpm.MyAuditVal, _xlpm.MacVal, _xlpm.CSVVal)
)</f>
        <v/>
      </c>
      <c r="N209" s="54" t="str" cm="1">
        <f t="array" ref="N209">IFERROR(_xlfn.LET(
_xlpm.CSVVal,_xlfn.XLOOKUP($A209,CSV!$A:$A,CSV!AF:AF,""),
_xlpm.MacVal,_xlfn.XLOOKUP($A209,Output_Mac!$A:$A,Output_Mac!U:U,""),
_xlpm.MyAuditVal,_xlfn.XLOOKUP($A209,My_Audit!$A:$A,My_Audit!O:O,""),
_xlfn.IFS(_xlpm.MyAuditVal&lt;&gt;"",UPPER(_xlpm.MyAuditVal),_xlpm.MacVal&lt;&gt;"",_xlpm.MacVal,_xlpm.CSVVal&lt;&gt;"",_xlpm.CSVVal
)),"")</f>
        <v/>
      </c>
      <c r="O209" s="54"/>
      <c r="P209" s="54"/>
      <c r="Q209" s="54"/>
      <c r="R209" s="54"/>
      <c r="S209" s="54"/>
      <c r="T209" s="54"/>
      <c r="U209" s="39"/>
    </row>
    <row r="210" spans="1:21">
      <c r="A210" s="54" t="str">
        <f>_xlfn.TEXTJOIN("",TRUE,Input!$B$2,ROW(My_Audit!A209))</f>
        <v>XX209</v>
      </c>
      <c r="B210" s="54" t="str">
        <f>_xlfn.TEXTJOIN("-",TRUE,"ITD",Input!$A$2,A210)</f>
        <v>ITD-SHRXXX-XX209</v>
      </c>
      <c r="C210" s="54" t="str" cm="1">
        <f t="array" ref="C210">IFERROR(_xlfn.LET(
_xlpm.CSVVal,_xlfn.XLOOKUP($A210,CSV!$A:$A,CSV!B:B,""),
_xlpm.MacVal,_xlfn.XLOOKUP($A210,Output_Mac!$A:$A,Output_Mac!B:B,""),
_xlpm.MyAuditVal,_xlfn.XLOOKUP($A210,My_Audit!$A:$A,My_Audit!B:B,""),
_xlfn.IFS(_xlpm.MyAuditVal&lt;&gt;"",UPPER(_xlpm.MyAuditVal),_xlpm.MacVal&lt;&gt;"",_xlpm.MacVal,_xlpm.CSVVal&lt;&gt;"",_xlpm.CSVVal
)),"")</f>
        <v/>
      </c>
      <c r="D210" s="55" t="str">
        <f>_xlfn.XLOOKUP(A210,My_Audit!A:A,My_Audit!D:D,"")&amp;""</f>
        <v/>
      </c>
      <c r="E210" s="55" t="str" cm="1">
        <f t="array" ref="E210">IFERROR(_xlfn.LET(
_xlpm.CSVVal,_xlfn.XLOOKUP($A210,CSV!$A:$A,CSV!D:D,""),
_xlpm.MacVal,_xlfn.XLOOKUP($A210,Output_Mac!$A:$A,Output_Mac!C:C,""),
_xlpm.MyAuditVal,_xlfn.XLOOKUP($A210,My_Audit!$A:$A,My_Audit!D:D,""),
_xlfn.IFS(_xlpm.MyAuditVal&lt;&gt;"",_xlpm.MyAuditVal,_xlpm.MacVal&lt;&gt;"",_xlpm.MacVal,_xlpm.CSVVal&lt;&gt;"",_xlpm.CSVVal
)),"")</f>
        <v/>
      </c>
      <c r="F210" s="54" t="str" cm="1">
        <f t="array" ref="F210">IFERROR(_xlfn.LET(
_xlpm.CSVVal,_xlfn.XLOOKUP($A210,CSV!$A:$A,CSV!E:E,""),
_xlpm.MacVal,_xlfn.XLOOKUP($A210,Output_Mac!$A:$A,Output_Mac!F:F,""),
_xlpm.MyAuditVal,_xlfn.XLOOKUP($A210,My_Audit!$A:$A,My_Audit!E:E,""),
_xlfn.IFS(_xlpm.MyAuditVal&lt;&gt;"",_xlpm.MyAuditVal,_xlpm.MacVal&lt;&gt;"",_xlpm.MacVal,_xlpm.CSVVal&lt;&gt;"",PROPER(_xlpm.CSVVal)
)),"")</f>
        <v/>
      </c>
      <c r="G210" s="54" t="str" cm="1">
        <f t="array" ref="G210">IFERROR(_xlfn.LET(
_xlpm.CSVVal,_xlfn.XLOOKUP($A210,CSV!$A:$A,CSV!F:F,""),
_xlpm.MacVal,_xlfn.XLOOKUP($A210,Output_Mac!$A:$A,Output_Mac!H:H,""),
_xlpm.MyAuditVal,_xlfn.XLOOKUP($A210,My_Audit!$A:$A,My_Audit!F:F,""),
_xlfn.IFS(_xlpm.MyAuditVal&lt;&gt;"",_xlpm.MyAuditVal,_xlpm.MacVal&lt;&gt;"",_xlpm.MacVal,_xlpm.CSVVal&lt;&gt;"",_xlpm.CSVVal
)),"")</f>
        <v/>
      </c>
      <c r="H210" s="54" t="str">
        <f>_xlfn.XLOOKUP(A210,Output_Mac!A:A,Output_Mac!I:I,"")</f>
        <v/>
      </c>
      <c r="I210" s="54" t="str" cm="1">
        <f t="array" ref="I210">IFERROR(_xlfn.LET(
_xlpm.CSVVal,_xlfn.XLOOKUP($A210,CSV!$A:$A,CSV!G:G,""),
_xlpm.MacVal,_xlfn.XLOOKUP($A210,Output_Mac!$A:$A,Output_Mac!J:J,""),
_xlpm.MyAuditVal,_xlfn.XLOOKUP($A210,My_Audit!$A:$A,My_Audit!H:H,""),
_xlfn.IFS(_xlpm.MyAuditVal&lt;&gt;"",UPPER(_xlpm.MyAuditVal),_xlpm.MacVal&lt;&gt;"",_xlpm.MacVal,_xlpm.CSVVal&lt;&gt;"",_xlpm.CSVVal
)),"")</f>
        <v/>
      </c>
      <c r="J210" s="54" t="str" cm="1">
        <f t="array" ref="J210">IFERROR(_xlfn.LET(
_xlpm.CSVVal,_xlfn.XLOOKUP($A210,CSV!$A:$A,CSV!I:I,""),
_xlpm.MacVal,_xlfn.XLOOKUP($A210,Output_Mac!$A:$A,Output_Mac!K:K,""),
_xlpm.MyAuditVal,_xlfn.XLOOKUP($A210,My_Audit!$A:$A,My_Audit!I:I,""),
_xlfn.IFS(_xlpm.MyAuditVal&lt;&gt;"",UPPER(_xlpm.MyAuditVal),_xlpm.MacVal&lt;&gt;"",_xlpm.MacVal,_xlpm.CSVVal&lt;&gt;"",_xlpm.CSVVal
)),"")</f>
        <v/>
      </c>
      <c r="K210" s="54" t="str" cm="1">
        <f t="array" ref="K210">IFERROR(_xlfn.LET(
_xlpm.CSVVal,_xlfn.XLOOKUP($A210,CSV!$A:$A,CSV!M:M,""),
_xlpm.MacVal,_xlfn.XLOOKUP($A210,Output_Mac!$A:$A,Output_Mac!L:L,""),
_xlpm.MyAuditVal,_xlfn.XLOOKUP($A210,My_Audit!$A:$A,My_Audit!J:J,""),
_xlfn.IFS(_xlpm.MyAuditVal&lt;&gt;"",UPPER(_xlpm.MyAuditVal),_xlpm.MacVal&lt;&gt;"",_xlpm.MacVal,_xlpm.CSVVal&lt;&gt;"",_xlpm.CSVVal
)),"")</f>
        <v/>
      </c>
      <c r="L210" s="55" t="str" cm="1">
        <f t="array" ref="L210">IFERROR(_xlfn.LET(
_xlpm.CSVVal,_xlfn.XLOOKUP($A210,CSV!$A:$A,CSV!P:P,""),
_xlpm.MacVal,_xlfn.XLOOKUP($A210,Output_Mac!$A:$A,Output_Mac!M:M,""),
_xlpm.MyAuditVal,_xlfn.XLOOKUP($A210,My_Audit!$A:$A,My_Audit!K:K,""),
_xlfn.IFS(_xlpm.MyAuditVal&lt;&gt;"",UPPER(_xlpm.MyAuditVal),_xlpm.MacVal&lt;&gt;"",_xlpm.MacVal,_xlpm.CSVVal&lt;&gt;"",_xlpm.CSVVal
)),"")</f>
        <v/>
      </c>
      <c r="M210" s="54" t="str">
        <f>_xlfn.LET(
    _xlpm.CSVVal, _xlfn.XLOOKUP($A210, CSV!$A:$A, CSV!AD:AD, ""),
    _xlpm.MacVal, _xlfn.XLOOKUP($A210, Output_Mac!$A:$A, Output_Mac!S:S, ""),
    _xlpm.MyAuditVal, _xlfn.XLOOKUP($A210, My_Audit!$A:$A, My_Audit!N:N, ""),
    _xlfn.TEXTJOIN(", ", TRUE, _xlpm.MyAuditVal, _xlpm.MacVal, _xlpm.CSVVal)
)</f>
        <v/>
      </c>
      <c r="N210" s="54" t="str" cm="1">
        <f t="array" ref="N210">IFERROR(_xlfn.LET(
_xlpm.CSVVal,_xlfn.XLOOKUP($A210,CSV!$A:$A,CSV!AF:AF,""),
_xlpm.MacVal,_xlfn.XLOOKUP($A210,Output_Mac!$A:$A,Output_Mac!U:U,""),
_xlpm.MyAuditVal,_xlfn.XLOOKUP($A210,My_Audit!$A:$A,My_Audit!O:O,""),
_xlfn.IFS(_xlpm.MyAuditVal&lt;&gt;"",UPPER(_xlpm.MyAuditVal),_xlpm.MacVal&lt;&gt;"",_xlpm.MacVal,_xlpm.CSVVal&lt;&gt;"",_xlpm.CSVVal
)),"")</f>
        <v/>
      </c>
      <c r="O210" s="54"/>
      <c r="P210" s="54"/>
      <c r="Q210" s="54"/>
      <c r="R210" s="54"/>
      <c r="S210" s="54"/>
      <c r="T210" s="54"/>
      <c r="U210" s="39"/>
    </row>
    <row r="211" spans="1:21">
      <c r="A211" s="54" t="str">
        <f>_xlfn.TEXTJOIN("",TRUE,Input!$B$2,ROW(My_Audit!A210))</f>
        <v>XX210</v>
      </c>
      <c r="B211" s="54" t="str">
        <f>_xlfn.TEXTJOIN("-",TRUE,"ITD",Input!$A$2,A211)</f>
        <v>ITD-SHRXXX-XX210</v>
      </c>
      <c r="C211" s="54" t="str" cm="1">
        <f t="array" ref="C211">IFERROR(_xlfn.LET(
_xlpm.CSVVal,_xlfn.XLOOKUP($A211,CSV!$A:$A,CSV!B:B,""),
_xlpm.MacVal,_xlfn.XLOOKUP($A211,Output_Mac!$A:$A,Output_Mac!B:B,""),
_xlpm.MyAuditVal,_xlfn.XLOOKUP($A211,My_Audit!$A:$A,My_Audit!B:B,""),
_xlfn.IFS(_xlpm.MyAuditVal&lt;&gt;"",UPPER(_xlpm.MyAuditVal),_xlpm.MacVal&lt;&gt;"",_xlpm.MacVal,_xlpm.CSVVal&lt;&gt;"",_xlpm.CSVVal
)),"")</f>
        <v/>
      </c>
      <c r="D211" s="55" t="str">
        <f>_xlfn.XLOOKUP(A211,My_Audit!A:A,My_Audit!D:D,"")&amp;""</f>
        <v/>
      </c>
      <c r="E211" s="55" t="str" cm="1">
        <f t="array" ref="E211">IFERROR(_xlfn.LET(
_xlpm.CSVVal,_xlfn.XLOOKUP($A211,CSV!$A:$A,CSV!D:D,""),
_xlpm.MacVal,_xlfn.XLOOKUP($A211,Output_Mac!$A:$A,Output_Mac!C:C,""),
_xlpm.MyAuditVal,_xlfn.XLOOKUP($A211,My_Audit!$A:$A,My_Audit!D:D,""),
_xlfn.IFS(_xlpm.MyAuditVal&lt;&gt;"",_xlpm.MyAuditVal,_xlpm.MacVal&lt;&gt;"",_xlpm.MacVal,_xlpm.CSVVal&lt;&gt;"",_xlpm.CSVVal
)),"")</f>
        <v/>
      </c>
      <c r="F211" s="54" t="str" cm="1">
        <f t="array" ref="F211">IFERROR(_xlfn.LET(
_xlpm.CSVVal,_xlfn.XLOOKUP($A211,CSV!$A:$A,CSV!E:E,""),
_xlpm.MacVal,_xlfn.XLOOKUP($A211,Output_Mac!$A:$A,Output_Mac!F:F,""),
_xlpm.MyAuditVal,_xlfn.XLOOKUP($A211,My_Audit!$A:$A,My_Audit!E:E,""),
_xlfn.IFS(_xlpm.MyAuditVal&lt;&gt;"",_xlpm.MyAuditVal,_xlpm.MacVal&lt;&gt;"",_xlpm.MacVal,_xlpm.CSVVal&lt;&gt;"",PROPER(_xlpm.CSVVal)
)),"")</f>
        <v/>
      </c>
      <c r="G211" s="54" t="str" cm="1">
        <f t="array" ref="G211">IFERROR(_xlfn.LET(
_xlpm.CSVVal,_xlfn.XLOOKUP($A211,CSV!$A:$A,CSV!F:F,""),
_xlpm.MacVal,_xlfn.XLOOKUP($A211,Output_Mac!$A:$A,Output_Mac!H:H,""),
_xlpm.MyAuditVal,_xlfn.XLOOKUP($A211,My_Audit!$A:$A,My_Audit!F:F,""),
_xlfn.IFS(_xlpm.MyAuditVal&lt;&gt;"",_xlpm.MyAuditVal,_xlpm.MacVal&lt;&gt;"",_xlpm.MacVal,_xlpm.CSVVal&lt;&gt;"",_xlpm.CSVVal
)),"")</f>
        <v/>
      </c>
      <c r="H211" s="54" t="str">
        <f>_xlfn.XLOOKUP(A211,Output_Mac!A:A,Output_Mac!I:I,"")</f>
        <v/>
      </c>
      <c r="I211" s="54" t="str" cm="1">
        <f t="array" ref="I211">IFERROR(_xlfn.LET(
_xlpm.CSVVal,_xlfn.XLOOKUP($A211,CSV!$A:$A,CSV!G:G,""),
_xlpm.MacVal,_xlfn.XLOOKUP($A211,Output_Mac!$A:$A,Output_Mac!J:J,""),
_xlpm.MyAuditVal,_xlfn.XLOOKUP($A211,My_Audit!$A:$A,My_Audit!H:H,""),
_xlfn.IFS(_xlpm.MyAuditVal&lt;&gt;"",UPPER(_xlpm.MyAuditVal),_xlpm.MacVal&lt;&gt;"",_xlpm.MacVal,_xlpm.CSVVal&lt;&gt;"",_xlpm.CSVVal
)),"")</f>
        <v/>
      </c>
      <c r="J211" s="54" t="str" cm="1">
        <f t="array" ref="J211">IFERROR(_xlfn.LET(
_xlpm.CSVVal,_xlfn.XLOOKUP($A211,CSV!$A:$A,CSV!I:I,""),
_xlpm.MacVal,_xlfn.XLOOKUP($A211,Output_Mac!$A:$A,Output_Mac!K:K,""),
_xlpm.MyAuditVal,_xlfn.XLOOKUP($A211,My_Audit!$A:$A,My_Audit!I:I,""),
_xlfn.IFS(_xlpm.MyAuditVal&lt;&gt;"",UPPER(_xlpm.MyAuditVal),_xlpm.MacVal&lt;&gt;"",_xlpm.MacVal,_xlpm.CSVVal&lt;&gt;"",_xlpm.CSVVal
)),"")</f>
        <v/>
      </c>
      <c r="K211" s="54" t="str" cm="1">
        <f t="array" ref="K211">IFERROR(_xlfn.LET(
_xlpm.CSVVal,_xlfn.XLOOKUP($A211,CSV!$A:$A,CSV!M:M,""),
_xlpm.MacVal,_xlfn.XLOOKUP($A211,Output_Mac!$A:$A,Output_Mac!L:L,""),
_xlpm.MyAuditVal,_xlfn.XLOOKUP($A211,My_Audit!$A:$A,My_Audit!J:J,""),
_xlfn.IFS(_xlpm.MyAuditVal&lt;&gt;"",UPPER(_xlpm.MyAuditVal),_xlpm.MacVal&lt;&gt;"",_xlpm.MacVal,_xlpm.CSVVal&lt;&gt;"",_xlpm.CSVVal
)),"")</f>
        <v/>
      </c>
      <c r="L211" s="55" t="str" cm="1">
        <f t="array" ref="L211">IFERROR(_xlfn.LET(
_xlpm.CSVVal,_xlfn.XLOOKUP($A211,CSV!$A:$A,CSV!P:P,""),
_xlpm.MacVal,_xlfn.XLOOKUP($A211,Output_Mac!$A:$A,Output_Mac!M:M,""),
_xlpm.MyAuditVal,_xlfn.XLOOKUP($A211,My_Audit!$A:$A,My_Audit!K:K,""),
_xlfn.IFS(_xlpm.MyAuditVal&lt;&gt;"",UPPER(_xlpm.MyAuditVal),_xlpm.MacVal&lt;&gt;"",_xlpm.MacVal,_xlpm.CSVVal&lt;&gt;"",_xlpm.CSVVal
)),"")</f>
        <v/>
      </c>
      <c r="M211" s="54" t="str">
        <f>_xlfn.LET(
    _xlpm.CSVVal, _xlfn.XLOOKUP($A211, CSV!$A:$A, CSV!AD:AD, ""),
    _xlpm.MacVal, _xlfn.XLOOKUP($A211, Output_Mac!$A:$A, Output_Mac!S:S, ""),
    _xlpm.MyAuditVal, _xlfn.XLOOKUP($A211, My_Audit!$A:$A, My_Audit!N:N, ""),
    _xlfn.TEXTJOIN(", ", TRUE, _xlpm.MyAuditVal, _xlpm.MacVal, _xlpm.CSVVal)
)</f>
        <v/>
      </c>
      <c r="N211" s="54" t="str" cm="1">
        <f t="array" ref="N211">IFERROR(_xlfn.LET(
_xlpm.CSVVal,_xlfn.XLOOKUP($A211,CSV!$A:$A,CSV!AF:AF,""),
_xlpm.MacVal,_xlfn.XLOOKUP($A211,Output_Mac!$A:$A,Output_Mac!U:U,""),
_xlpm.MyAuditVal,_xlfn.XLOOKUP($A211,My_Audit!$A:$A,My_Audit!O:O,""),
_xlfn.IFS(_xlpm.MyAuditVal&lt;&gt;"",UPPER(_xlpm.MyAuditVal),_xlpm.MacVal&lt;&gt;"",_xlpm.MacVal,_xlpm.CSVVal&lt;&gt;"",_xlpm.CSVVal
)),"")</f>
        <v/>
      </c>
      <c r="O211" s="54"/>
      <c r="P211" s="54"/>
      <c r="Q211" s="54"/>
      <c r="R211" s="54"/>
      <c r="S211" s="54"/>
      <c r="T211" s="54"/>
      <c r="U211" s="39"/>
    </row>
    <row r="212" spans="1:21">
      <c r="A212" s="54" t="str">
        <f>_xlfn.TEXTJOIN("",TRUE,Input!$B$2,ROW(My_Audit!A211))</f>
        <v>XX211</v>
      </c>
      <c r="B212" s="54" t="str">
        <f>_xlfn.TEXTJOIN("-",TRUE,"ITD",Input!$A$2,A212)</f>
        <v>ITD-SHRXXX-XX211</v>
      </c>
      <c r="C212" s="54" t="str" cm="1">
        <f t="array" ref="C212">IFERROR(_xlfn.LET(
_xlpm.CSVVal,_xlfn.XLOOKUP($A212,CSV!$A:$A,CSV!B:B,""),
_xlpm.MacVal,_xlfn.XLOOKUP($A212,Output_Mac!$A:$A,Output_Mac!B:B,""),
_xlpm.MyAuditVal,_xlfn.XLOOKUP($A212,My_Audit!$A:$A,My_Audit!B:B,""),
_xlfn.IFS(_xlpm.MyAuditVal&lt;&gt;"",UPPER(_xlpm.MyAuditVal),_xlpm.MacVal&lt;&gt;"",_xlpm.MacVal,_xlpm.CSVVal&lt;&gt;"",_xlpm.CSVVal
)),"")</f>
        <v/>
      </c>
      <c r="D212" s="55" t="str">
        <f>_xlfn.XLOOKUP(A212,My_Audit!A:A,My_Audit!D:D,"")&amp;""</f>
        <v/>
      </c>
      <c r="E212" s="55" t="str" cm="1">
        <f t="array" ref="E212">IFERROR(_xlfn.LET(
_xlpm.CSVVal,_xlfn.XLOOKUP($A212,CSV!$A:$A,CSV!D:D,""),
_xlpm.MacVal,_xlfn.XLOOKUP($A212,Output_Mac!$A:$A,Output_Mac!C:C,""),
_xlpm.MyAuditVal,_xlfn.XLOOKUP($A212,My_Audit!$A:$A,My_Audit!D:D,""),
_xlfn.IFS(_xlpm.MyAuditVal&lt;&gt;"",_xlpm.MyAuditVal,_xlpm.MacVal&lt;&gt;"",_xlpm.MacVal,_xlpm.CSVVal&lt;&gt;"",_xlpm.CSVVal
)),"")</f>
        <v/>
      </c>
      <c r="F212" s="54" t="str" cm="1">
        <f t="array" ref="F212">IFERROR(_xlfn.LET(
_xlpm.CSVVal,_xlfn.XLOOKUP($A212,CSV!$A:$A,CSV!E:E,""),
_xlpm.MacVal,_xlfn.XLOOKUP($A212,Output_Mac!$A:$A,Output_Mac!F:F,""),
_xlpm.MyAuditVal,_xlfn.XLOOKUP($A212,My_Audit!$A:$A,My_Audit!E:E,""),
_xlfn.IFS(_xlpm.MyAuditVal&lt;&gt;"",_xlpm.MyAuditVal,_xlpm.MacVal&lt;&gt;"",_xlpm.MacVal,_xlpm.CSVVal&lt;&gt;"",PROPER(_xlpm.CSVVal)
)),"")</f>
        <v/>
      </c>
      <c r="G212" s="54" t="str" cm="1">
        <f t="array" ref="G212">IFERROR(_xlfn.LET(
_xlpm.CSVVal,_xlfn.XLOOKUP($A212,CSV!$A:$A,CSV!F:F,""),
_xlpm.MacVal,_xlfn.XLOOKUP($A212,Output_Mac!$A:$A,Output_Mac!H:H,""),
_xlpm.MyAuditVal,_xlfn.XLOOKUP($A212,My_Audit!$A:$A,My_Audit!F:F,""),
_xlfn.IFS(_xlpm.MyAuditVal&lt;&gt;"",_xlpm.MyAuditVal,_xlpm.MacVal&lt;&gt;"",_xlpm.MacVal,_xlpm.CSVVal&lt;&gt;"",_xlpm.CSVVal
)),"")</f>
        <v/>
      </c>
      <c r="H212" s="54" t="str">
        <f>_xlfn.XLOOKUP(A212,Output_Mac!A:A,Output_Mac!I:I,"")</f>
        <v/>
      </c>
      <c r="I212" s="54" t="str" cm="1">
        <f t="array" ref="I212">IFERROR(_xlfn.LET(
_xlpm.CSVVal,_xlfn.XLOOKUP($A212,CSV!$A:$A,CSV!G:G,""),
_xlpm.MacVal,_xlfn.XLOOKUP($A212,Output_Mac!$A:$A,Output_Mac!J:J,""),
_xlpm.MyAuditVal,_xlfn.XLOOKUP($A212,My_Audit!$A:$A,My_Audit!H:H,""),
_xlfn.IFS(_xlpm.MyAuditVal&lt;&gt;"",UPPER(_xlpm.MyAuditVal),_xlpm.MacVal&lt;&gt;"",_xlpm.MacVal,_xlpm.CSVVal&lt;&gt;"",_xlpm.CSVVal
)),"")</f>
        <v/>
      </c>
      <c r="J212" s="54" t="str" cm="1">
        <f t="array" ref="J212">IFERROR(_xlfn.LET(
_xlpm.CSVVal,_xlfn.XLOOKUP($A212,CSV!$A:$A,CSV!I:I,""),
_xlpm.MacVal,_xlfn.XLOOKUP($A212,Output_Mac!$A:$A,Output_Mac!K:K,""),
_xlpm.MyAuditVal,_xlfn.XLOOKUP($A212,My_Audit!$A:$A,My_Audit!I:I,""),
_xlfn.IFS(_xlpm.MyAuditVal&lt;&gt;"",UPPER(_xlpm.MyAuditVal),_xlpm.MacVal&lt;&gt;"",_xlpm.MacVal,_xlpm.CSVVal&lt;&gt;"",_xlpm.CSVVal
)),"")</f>
        <v/>
      </c>
      <c r="K212" s="54" t="str" cm="1">
        <f t="array" ref="K212">IFERROR(_xlfn.LET(
_xlpm.CSVVal,_xlfn.XLOOKUP($A212,CSV!$A:$A,CSV!M:M,""),
_xlpm.MacVal,_xlfn.XLOOKUP($A212,Output_Mac!$A:$A,Output_Mac!L:L,""),
_xlpm.MyAuditVal,_xlfn.XLOOKUP($A212,My_Audit!$A:$A,My_Audit!J:J,""),
_xlfn.IFS(_xlpm.MyAuditVal&lt;&gt;"",UPPER(_xlpm.MyAuditVal),_xlpm.MacVal&lt;&gt;"",_xlpm.MacVal,_xlpm.CSVVal&lt;&gt;"",_xlpm.CSVVal
)),"")</f>
        <v/>
      </c>
      <c r="L212" s="55" t="str" cm="1">
        <f t="array" ref="L212">IFERROR(_xlfn.LET(
_xlpm.CSVVal,_xlfn.XLOOKUP($A212,CSV!$A:$A,CSV!P:P,""),
_xlpm.MacVal,_xlfn.XLOOKUP($A212,Output_Mac!$A:$A,Output_Mac!M:M,""),
_xlpm.MyAuditVal,_xlfn.XLOOKUP($A212,My_Audit!$A:$A,My_Audit!K:K,""),
_xlfn.IFS(_xlpm.MyAuditVal&lt;&gt;"",UPPER(_xlpm.MyAuditVal),_xlpm.MacVal&lt;&gt;"",_xlpm.MacVal,_xlpm.CSVVal&lt;&gt;"",_xlpm.CSVVal
)),"")</f>
        <v/>
      </c>
      <c r="M212" s="54" t="str">
        <f>_xlfn.LET(
    _xlpm.CSVVal, _xlfn.XLOOKUP($A212, CSV!$A:$A, CSV!AD:AD, ""),
    _xlpm.MacVal, _xlfn.XLOOKUP($A212, Output_Mac!$A:$A, Output_Mac!S:S, ""),
    _xlpm.MyAuditVal, _xlfn.XLOOKUP($A212, My_Audit!$A:$A, My_Audit!N:N, ""),
    _xlfn.TEXTJOIN(", ", TRUE, _xlpm.MyAuditVal, _xlpm.MacVal, _xlpm.CSVVal)
)</f>
        <v/>
      </c>
      <c r="N212" s="54" t="str" cm="1">
        <f t="array" ref="N212">IFERROR(_xlfn.LET(
_xlpm.CSVVal,_xlfn.XLOOKUP($A212,CSV!$A:$A,CSV!AF:AF,""),
_xlpm.MacVal,_xlfn.XLOOKUP($A212,Output_Mac!$A:$A,Output_Mac!U:U,""),
_xlpm.MyAuditVal,_xlfn.XLOOKUP($A212,My_Audit!$A:$A,My_Audit!O:O,""),
_xlfn.IFS(_xlpm.MyAuditVal&lt;&gt;"",UPPER(_xlpm.MyAuditVal),_xlpm.MacVal&lt;&gt;"",_xlpm.MacVal,_xlpm.CSVVal&lt;&gt;"",_xlpm.CSVVal
)),"")</f>
        <v/>
      </c>
      <c r="O212" s="54"/>
      <c r="P212" s="54"/>
      <c r="Q212" s="54"/>
      <c r="R212" s="54"/>
      <c r="S212" s="54"/>
      <c r="T212" s="54"/>
      <c r="U212" s="39"/>
    </row>
    <row r="213" spans="1:21">
      <c r="A213" s="54" t="str">
        <f>_xlfn.TEXTJOIN("",TRUE,Input!$B$2,ROW(My_Audit!A212))</f>
        <v>XX212</v>
      </c>
      <c r="B213" s="54" t="str">
        <f>_xlfn.TEXTJOIN("-",TRUE,"ITD",Input!$A$2,A213)</f>
        <v>ITD-SHRXXX-XX212</v>
      </c>
      <c r="C213" s="54" t="str" cm="1">
        <f t="array" ref="C213">IFERROR(_xlfn.LET(
_xlpm.CSVVal,_xlfn.XLOOKUP($A213,CSV!$A:$A,CSV!B:B,""),
_xlpm.MacVal,_xlfn.XLOOKUP($A213,Output_Mac!$A:$A,Output_Mac!B:B,""),
_xlpm.MyAuditVal,_xlfn.XLOOKUP($A213,My_Audit!$A:$A,My_Audit!B:B,""),
_xlfn.IFS(_xlpm.MyAuditVal&lt;&gt;"",UPPER(_xlpm.MyAuditVal),_xlpm.MacVal&lt;&gt;"",_xlpm.MacVal,_xlpm.CSVVal&lt;&gt;"",_xlpm.CSVVal
)),"")</f>
        <v/>
      </c>
      <c r="D213" s="55" t="str">
        <f>_xlfn.XLOOKUP(A213,My_Audit!A:A,My_Audit!D:D,"")&amp;""</f>
        <v/>
      </c>
      <c r="E213" s="55" t="str" cm="1">
        <f t="array" ref="E213">IFERROR(_xlfn.LET(
_xlpm.CSVVal,_xlfn.XLOOKUP($A213,CSV!$A:$A,CSV!D:D,""),
_xlpm.MacVal,_xlfn.XLOOKUP($A213,Output_Mac!$A:$A,Output_Mac!C:C,""),
_xlpm.MyAuditVal,_xlfn.XLOOKUP($A213,My_Audit!$A:$A,My_Audit!D:D,""),
_xlfn.IFS(_xlpm.MyAuditVal&lt;&gt;"",_xlpm.MyAuditVal,_xlpm.MacVal&lt;&gt;"",_xlpm.MacVal,_xlpm.CSVVal&lt;&gt;"",_xlpm.CSVVal
)),"")</f>
        <v/>
      </c>
      <c r="F213" s="54" t="str" cm="1">
        <f t="array" ref="F213">IFERROR(_xlfn.LET(
_xlpm.CSVVal,_xlfn.XLOOKUP($A213,CSV!$A:$A,CSV!E:E,""),
_xlpm.MacVal,_xlfn.XLOOKUP($A213,Output_Mac!$A:$A,Output_Mac!F:F,""),
_xlpm.MyAuditVal,_xlfn.XLOOKUP($A213,My_Audit!$A:$A,My_Audit!E:E,""),
_xlfn.IFS(_xlpm.MyAuditVal&lt;&gt;"",_xlpm.MyAuditVal,_xlpm.MacVal&lt;&gt;"",_xlpm.MacVal,_xlpm.CSVVal&lt;&gt;"",PROPER(_xlpm.CSVVal)
)),"")</f>
        <v/>
      </c>
      <c r="G213" s="54" t="str" cm="1">
        <f t="array" ref="G213">IFERROR(_xlfn.LET(
_xlpm.CSVVal,_xlfn.XLOOKUP($A213,CSV!$A:$A,CSV!F:F,""),
_xlpm.MacVal,_xlfn.XLOOKUP($A213,Output_Mac!$A:$A,Output_Mac!H:H,""),
_xlpm.MyAuditVal,_xlfn.XLOOKUP($A213,My_Audit!$A:$A,My_Audit!F:F,""),
_xlfn.IFS(_xlpm.MyAuditVal&lt;&gt;"",_xlpm.MyAuditVal,_xlpm.MacVal&lt;&gt;"",_xlpm.MacVal,_xlpm.CSVVal&lt;&gt;"",_xlpm.CSVVal
)),"")</f>
        <v/>
      </c>
      <c r="H213" s="54" t="str">
        <f>_xlfn.XLOOKUP(A213,Output_Mac!A:A,Output_Mac!I:I,"")</f>
        <v/>
      </c>
      <c r="I213" s="54" t="str" cm="1">
        <f t="array" ref="I213">IFERROR(_xlfn.LET(
_xlpm.CSVVal,_xlfn.XLOOKUP($A213,CSV!$A:$A,CSV!G:G,""),
_xlpm.MacVal,_xlfn.XLOOKUP($A213,Output_Mac!$A:$A,Output_Mac!J:J,""),
_xlpm.MyAuditVal,_xlfn.XLOOKUP($A213,My_Audit!$A:$A,My_Audit!H:H,""),
_xlfn.IFS(_xlpm.MyAuditVal&lt;&gt;"",UPPER(_xlpm.MyAuditVal),_xlpm.MacVal&lt;&gt;"",_xlpm.MacVal,_xlpm.CSVVal&lt;&gt;"",_xlpm.CSVVal
)),"")</f>
        <v/>
      </c>
      <c r="J213" s="54" t="str" cm="1">
        <f t="array" ref="J213">IFERROR(_xlfn.LET(
_xlpm.CSVVal,_xlfn.XLOOKUP($A213,CSV!$A:$A,CSV!I:I,""),
_xlpm.MacVal,_xlfn.XLOOKUP($A213,Output_Mac!$A:$A,Output_Mac!K:K,""),
_xlpm.MyAuditVal,_xlfn.XLOOKUP($A213,My_Audit!$A:$A,My_Audit!I:I,""),
_xlfn.IFS(_xlpm.MyAuditVal&lt;&gt;"",UPPER(_xlpm.MyAuditVal),_xlpm.MacVal&lt;&gt;"",_xlpm.MacVal,_xlpm.CSVVal&lt;&gt;"",_xlpm.CSVVal
)),"")</f>
        <v/>
      </c>
      <c r="K213" s="54" t="str" cm="1">
        <f t="array" ref="K213">IFERROR(_xlfn.LET(
_xlpm.CSVVal,_xlfn.XLOOKUP($A213,CSV!$A:$A,CSV!M:M,""),
_xlpm.MacVal,_xlfn.XLOOKUP($A213,Output_Mac!$A:$A,Output_Mac!L:L,""),
_xlpm.MyAuditVal,_xlfn.XLOOKUP($A213,My_Audit!$A:$A,My_Audit!J:J,""),
_xlfn.IFS(_xlpm.MyAuditVal&lt;&gt;"",UPPER(_xlpm.MyAuditVal),_xlpm.MacVal&lt;&gt;"",_xlpm.MacVal,_xlpm.CSVVal&lt;&gt;"",_xlpm.CSVVal
)),"")</f>
        <v/>
      </c>
      <c r="L213" s="55" t="str" cm="1">
        <f t="array" ref="L213">IFERROR(_xlfn.LET(
_xlpm.CSVVal,_xlfn.XLOOKUP($A213,CSV!$A:$A,CSV!P:P,""),
_xlpm.MacVal,_xlfn.XLOOKUP($A213,Output_Mac!$A:$A,Output_Mac!M:M,""),
_xlpm.MyAuditVal,_xlfn.XLOOKUP($A213,My_Audit!$A:$A,My_Audit!K:K,""),
_xlfn.IFS(_xlpm.MyAuditVal&lt;&gt;"",UPPER(_xlpm.MyAuditVal),_xlpm.MacVal&lt;&gt;"",_xlpm.MacVal,_xlpm.CSVVal&lt;&gt;"",_xlpm.CSVVal
)),"")</f>
        <v/>
      </c>
      <c r="M213" s="54" t="str">
        <f>_xlfn.LET(
    _xlpm.CSVVal, _xlfn.XLOOKUP($A213, CSV!$A:$A, CSV!AD:AD, ""),
    _xlpm.MacVal, _xlfn.XLOOKUP($A213, Output_Mac!$A:$A, Output_Mac!S:S, ""),
    _xlpm.MyAuditVal, _xlfn.XLOOKUP($A213, My_Audit!$A:$A, My_Audit!N:N, ""),
    _xlfn.TEXTJOIN(", ", TRUE, _xlpm.MyAuditVal, _xlpm.MacVal, _xlpm.CSVVal)
)</f>
        <v/>
      </c>
      <c r="N213" s="54" t="str" cm="1">
        <f t="array" ref="N213">IFERROR(_xlfn.LET(
_xlpm.CSVVal,_xlfn.XLOOKUP($A213,CSV!$A:$A,CSV!AF:AF,""),
_xlpm.MacVal,_xlfn.XLOOKUP($A213,Output_Mac!$A:$A,Output_Mac!U:U,""),
_xlpm.MyAuditVal,_xlfn.XLOOKUP($A213,My_Audit!$A:$A,My_Audit!O:O,""),
_xlfn.IFS(_xlpm.MyAuditVal&lt;&gt;"",UPPER(_xlpm.MyAuditVal),_xlpm.MacVal&lt;&gt;"",_xlpm.MacVal,_xlpm.CSVVal&lt;&gt;"",_xlpm.CSVVal
)),"")</f>
        <v/>
      </c>
      <c r="O213" s="54"/>
      <c r="P213" s="54"/>
      <c r="Q213" s="54"/>
      <c r="R213" s="54"/>
      <c r="S213" s="54"/>
      <c r="T213" s="54"/>
      <c r="U213" s="39"/>
    </row>
    <row r="214" spans="1:21">
      <c r="A214" s="54" t="str">
        <f>_xlfn.TEXTJOIN("",TRUE,Input!$B$2,ROW(My_Audit!A213))</f>
        <v>XX213</v>
      </c>
      <c r="B214" s="54" t="str">
        <f>_xlfn.TEXTJOIN("-",TRUE,"ITD",Input!$A$2,A214)</f>
        <v>ITD-SHRXXX-XX213</v>
      </c>
      <c r="C214" s="54" t="str" cm="1">
        <f t="array" ref="C214">IFERROR(_xlfn.LET(
_xlpm.CSVVal,_xlfn.XLOOKUP($A214,CSV!$A:$A,CSV!B:B,""),
_xlpm.MacVal,_xlfn.XLOOKUP($A214,Output_Mac!$A:$A,Output_Mac!B:B,""),
_xlpm.MyAuditVal,_xlfn.XLOOKUP($A214,My_Audit!$A:$A,My_Audit!B:B,""),
_xlfn.IFS(_xlpm.MyAuditVal&lt;&gt;"",UPPER(_xlpm.MyAuditVal),_xlpm.MacVal&lt;&gt;"",_xlpm.MacVal,_xlpm.CSVVal&lt;&gt;"",_xlpm.CSVVal
)),"")</f>
        <v/>
      </c>
      <c r="D214" s="55" t="str">
        <f>_xlfn.XLOOKUP(A214,My_Audit!A:A,My_Audit!D:D,"")&amp;""</f>
        <v/>
      </c>
      <c r="E214" s="55" t="str" cm="1">
        <f t="array" ref="E214">IFERROR(_xlfn.LET(
_xlpm.CSVVal,_xlfn.XLOOKUP($A214,CSV!$A:$A,CSV!D:D,""),
_xlpm.MacVal,_xlfn.XLOOKUP($A214,Output_Mac!$A:$A,Output_Mac!C:C,""),
_xlpm.MyAuditVal,_xlfn.XLOOKUP($A214,My_Audit!$A:$A,My_Audit!D:D,""),
_xlfn.IFS(_xlpm.MyAuditVal&lt;&gt;"",_xlpm.MyAuditVal,_xlpm.MacVal&lt;&gt;"",_xlpm.MacVal,_xlpm.CSVVal&lt;&gt;"",_xlpm.CSVVal
)),"")</f>
        <v/>
      </c>
      <c r="F214" s="54" t="str" cm="1">
        <f t="array" ref="F214">IFERROR(_xlfn.LET(
_xlpm.CSVVal,_xlfn.XLOOKUP($A214,CSV!$A:$A,CSV!E:E,""),
_xlpm.MacVal,_xlfn.XLOOKUP($A214,Output_Mac!$A:$A,Output_Mac!F:F,""),
_xlpm.MyAuditVal,_xlfn.XLOOKUP($A214,My_Audit!$A:$A,My_Audit!E:E,""),
_xlfn.IFS(_xlpm.MyAuditVal&lt;&gt;"",_xlpm.MyAuditVal,_xlpm.MacVal&lt;&gt;"",_xlpm.MacVal,_xlpm.CSVVal&lt;&gt;"",PROPER(_xlpm.CSVVal)
)),"")</f>
        <v/>
      </c>
      <c r="G214" s="54" t="str" cm="1">
        <f t="array" ref="G214">IFERROR(_xlfn.LET(
_xlpm.CSVVal,_xlfn.XLOOKUP($A214,CSV!$A:$A,CSV!F:F,""),
_xlpm.MacVal,_xlfn.XLOOKUP($A214,Output_Mac!$A:$A,Output_Mac!H:H,""),
_xlpm.MyAuditVal,_xlfn.XLOOKUP($A214,My_Audit!$A:$A,My_Audit!F:F,""),
_xlfn.IFS(_xlpm.MyAuditVal&lt;&gt;"",_xlpm.MyAuditVal,_xlpm.MacVal&lt;&gt;"",_xlpm.MacVal,_xlpm.CSVVal&lt;&gt;"",_xlpm.CSVVal
)),"")</f>
        <v/>
      </c>
      <c r="H214" s="54" t="str">
        <f>_xlfn.XLOOKUP(A214,Output_Mac!A:A,Output_Mac!I:I,"")</f>
        <v/>
      </c>
      <c r="I214" s="54" t="str" cm="1">
        <f t="array" ref="I214">IFERROR(_xlfn.LET(
_xlpm.CSVVal,_xlfn.XLOOKUP($A214,CSV!$A:$A,CSV!G:G,""),
_xlpm.MacVal,_xlfn.XLOOKUP($A214,Output_Mac!$A:$A,Output_Mac!J:J,""),
_xlpm.MyAuditVal,_xlfn.XLOOKUP($A214,My_Audit!$A:$A,My_Audit!H:H,""),
_xlfn.IFS(_xlpm.MyAuditVal&lt;&gt;"",UPPER(_xlpm.MyAuditVal),_xlpm.MacVal&lt;&gt;"",_xlpm.MacVal,_xlpm.CSVVal&lt;&gt;"",_xlpm.CSVVal
)),"")</f>
        <v/>
      </c>
      <c r="J214" s="54" t="str" cm="1">
        <f t="array" ref="J214">IFERROR(_xlfn.LET(
_xlpm.CSVVal,_xlfn.XLOOKUP($A214,CSV!$A:$A,CSV!I:I,""),
_xlpm.MacVal,_xlfn.XLOOKUP($A214,Output_Mac!$A:$A,Output_Mac!K:K,""),
_xlpm.MyAuditVal,_xlfn.XLOOKUP($A214,My_Audit!$A:$A,My_Audit!I:I,""),
_xlfn.IFS(_xlpm.MyAuditVal&lt;&gt;"",UPPER(_xlpm.MyAuditVal),_xlpm.MacVal&lt;&gt;"",_xlpm.MacVal,_xlpm.CSVVal&lt;&gt;"",_xlpm.CSVVal
)),"")</f>
        <v/>
      </c>
      <c r="K214" s="54" t="str" cm="1">
        <f t="array" ref="K214">IFERROR(_xlfn.LET(
_xlpm.CSVVal,_xlfn.XLOOKUP($A214,CSV!$A:$A,CSV!M:M,""),
_xlpm.MacVal,_xlfn.XLOOKUP($A214,Output_Mac!$A:$A,Output_Mac!L:L,""),
_xlpm.MyAuditVal,_xlfn.XLOOKUP($A214,My_Audit!$A:$A,My_Audit!J:J,""),
_xlfn.IFS(_xlpm.MyAuditVal&lt;&gt;"",UPPER(_xlpm.MyAuditVal),_xlpm.MacVal&lt;&gt;"",_xlpm.MacVal,_xlpm.CSVVal&lt;&gt;"",_xlpm.CSVVal
)),"")</f>
        <v/>
      </c>
      <c r="L214" s="55" t="str" cm="1">
        <f t="array" ref="L214">IFERROR(_xlfn.LET(
_xlpm.CSVVal,_xlfn.XLOOKUP($A214,CSV!$A:$A,CSV!P:P,""),
_xlpm.MacVal,_xlfn.XLOOKUP($A214,Output_Mac!$A:$A,Output_Mac!M:M,""),
_xlpm.MyAuditVal,_xlfn.XLOOKUP($A214,My_Audit!$A:$A,My_Audit!K:K,""),
_xlfn.IFS(_xlpm.MyAuditVal&lt;&gt;"",UPPER(_xlpm.MyAuditVal),_xlpm.MacVal&lt;&gt;"",_xlpm.MacVal,_xlpm.CSVVal&lt;&gt;"",_xlpm.CSVVal
)),"")</f>
        <v/>
      </c>
      <c r="M214" s="54" t="str">
        <f>_xlfn.LET(
    _xlpm.CSVVal, _xlfn.XLOOKUP($A214, CSV!$A:$A, CSV!AD:AD, ""),
    _xlpm.MacVal, _xlfn.XLOOKUP($A214, Output_Mac!$A:$A, Output_Mac!S:S, ""),
    _xlpm.MyAuditVal, _xlfn.XLOOKUP($A214, My_Audit!$A:$A, My_Audit!N:N, ""),
    _xlfn.TEXTJOIN(", ", TRUE, _xlpm.MyAuditVal, _xlpm.MacVal, _xlpm.CSVVal)
)</f>
        <v/>
      </c>
      <c r="N214" s="54" t="str" cm="1">
        <f t="array" ref="N214">IFERROR(_xlfn.LET(
_xlpm.CSVVal,_xlfn.XLOOKUP($A214,CSV!$A:$A,CSV!AF:AF,""),
_xlpm.MacVal,_xlfn.XLOOKUP($A214,Output_Mac!$A:$A,Output_Mac!U:U,""),
_xlpm.MyAuditVal,_xlfn.XLOOKUP($A214,My_Audit!$A:$A,My_Audit!O:O,""),
_xlfn.IFS(_xlpm.MyAuditVal&lt;&gt;"",UPPER(_xlpm.MyAuditVal),_xlpm.MacVal&lt;&gt;"",_xlpm.MacVal,_xlpm.CSVVal&lt;&gt;"",_xlpm.CSVVal
)),"")</f>
        <v/>
      </c>
      <c r="O214" s="54"/>
      <c r="P214" s="54"/>
      <c r="Q214" s="54"/>
      <c r="R214" s="54"/>
      <c r="S214" s="54"/>
      <c r="T214" s="54"/>
      <c r="U214" s="39"/>
    </row>
    <row r="215" spans="1:21">
      <c r="A215" s="54" t="str">
        <f>_xlfn.TEXTJOIN("",TRUE,Input!$B$2,ROW(My_Audit!A214))</f>
        <v>XX214</v>
      </c>
      <c r="B215" s="54" t="str">
        <f>_xlfn.TEXTJOIN("-",TRUE,"ITD",Input!$A$2,A215)</f>
        <v>ITD-SHRXXX-XX214</v>
      </c>
      <c r="C215" s="54" t="str" cm="1">
        <f t="array" ref="C215">IFERROR(_xlfn.LET(
_xlpm.CSVVal,_xlfn.XLOOKUP($A215,CSV!$A:$A,CSV!B:B,""),
_xlpm.MacVal,_xlfn.XLOOKUP($A215,Output_Mac!$A:$A,Output_Mac!B:B,""),
_xlpm.MyAuditVal,_xlfn.XLOOKUP($A215,My_Audit!$A:$A,My_Audit!B:B,""),
_xlfn.IFS(_xlpm.MyAuditVal&lt;&gt;"",UPPER(_xlpm.MyAuditVal),_xlpm.MacVal&lt;&gt;"",_xlpm.MacVal,_xlpm.CSVVal&lt;&gt;"",_xlpm.CSVVal
)),"")</f>
        <v/>
      </c>
      <c r="D215" s="55" t="str">
        <f>_xlfn.XLOOKUP(A215,My_Audit!A:A,My_Audit!D:D,"")&amp;""</f>
        <v/>
      </c>
      <c r="E215" s="55" t="str" cm="1">
        <f t="array" ref="E215">IFERROR(_xlfn.LET(
_xlpm.CSVVal,_xlfn.XLOOKUP($A215,CSV!$A:$A,CSV!D:D,""),
_xlpm.MacVal,_xlfn.XLOOKUP($A215,Output_Mac!$A:$A,Output_Mac!C:C,""),
_xlpm.MyAuditVal,_xlfn.XLOOKUP($A215,My_Audit!$A:$A,My_Audit!D:D,""),
_xlfn.IFS(_xlpm.MyAuditVal&lt;&gt;"",_xlpm.MyAuditVal,_xlpm.MacVal&lt;&gt;"",_xlpm.MacVal,_xlpm.CSVVal&lt;&gt;"",_xlpm.CSVVal
)),"")</f>
        <v/>
      </c>
      <c r="F215" s="54" t="str" cm="1">
        <f t="array" ref="F215">IFERROR(_xlfn.LET(
_xlpm.CSVVal,_xlfn.XLOOKUP($A215,CSV!$A:$A,CSV!E:E,""),
_xlpm.MacVal,_xlfn.XLOOKUP($A215,Output_Mac!$A:$A,Output_Mac!F:F,""),
_xlpm.MyAuditVal,_xlfn.XLOOKUP($A215,My_Audit!$A:$A,My_Audit!E:E,""),
_xlfn.IFS(_xlpm.MyAuditVal&lt;&gt;"",_xlpm.MyAuditVal,_xlpm.MacVal&lt;&gt;"",_xlpm.MacVal,_xlpm.CSVVal&lt;&gt;"",PROPER(_xlpm.CSVVal)
)),"")</f>
        <v/>
      </c>
      <c r="G215" s="54" t="str" cm="1">
        <f t="array" ref="G215">IFERROR(_xlfn.LET(
_xlpm.CSVVal,_xlfn.XLOOKUP($A215,CSV!$A:$A,CSV!F:F,""),
_xlpm.MacVal,_xlfn.XLOOKUP($A215,Output_Mac!$A:$A,Output_Mac!H:H,""),
_xlpm.MyAuditVal,_xlfn.XLOOKUP($A215,My_Audit!$A:$A,My_Audit!F:F,""),
_xlfn.IFS(_xlpm.MyAuditVal&lt;&gt;"",_xlpm.MyAuditVal,_xlpm.MacVal&lt;&gt;"",_xlpm.MacVal,_xlpm.CSVVal&lt;&gt;"",_xlpm.CSVVal
)),"")</f>
        <v/>
      </c>
      <c r="H215" s="54" t="str">
        <f>_xlfn.XLOOKUP(A215,Output_Mac!A:A,Output_Mac!I:I,"")</f>
        <v/>
      </c>
      <c r="I215" s="54" t="str" cm="1">
        <f t="array" ref="I215">IFERROR(_xlfn.LET(
_xlpm.CSVVal,_xlfn.XLOOKUP($A215,CSV!$A:$A,CSV!G:G,""),
_xlpm.MacVal,_xlfn.XLOOKUP($A215,Output_Mac!$A:$A,Output_Mac!J:J,""),
_xlpm.MyAuditVal,_xlfn.XLOOKUP($A215,My_Audit!$A:$A,My_Audit!H:H,""),
_xlfn.IFS(_xlpm.MyAuditVal&lt;&gt;"",UPPER(_xlpm.MyAuditVal),_xlpm.MacVal&lt;&gt;"",_xlpm.MacVal,_xlpm.CSVVal&lt;&gt;"",_xlpm.CSVVal
)),"")</f>
        <v/>
      </c>
      <c r="J215" s="54" t="str" cm="1">
        <f t="array" ref="J215">IFERROR(_xlfn.LET(
_xlpm.CSVVal,_xlfn.XLOOKUP($A215,CSV!$A:$A,CSV!I:I,""),
_xlpm.MacVal,_xlfn.XLOOKUP($A215,Output_Mac!$A:$A,Output_Mac!K:K,""),
_xlpm.MyAuditVal,_xlfn.XLOOKUP($A215,My_Audit!$A:$A,My_Audit!I:I,""),
_xlfn.IFS(_xlpm.MyAuditVal&lt;&gt;"",UPPER(_xlpm.MyAuditVal),_xlpm.MacVal&lt;&gt;"",_xlpm.MacVal,_xlpm.CSVVal&lt;&gt;"",_xlpm.CSVVal
)),"")</f>
        <v/>
      </c>
      <c r="K215" s="54" t="str" cm="1">
        <f t="array" ref="K215">IFERROR(_xlfn.LET(
_xlpm.CSVVal,_xlfn.XLOOKUP($A215,CSV!$A:$A,CSV!M:M,""),
_xlpm.MacVal,_xlfn.XLOOKUP($A215,Output_Mac!$A:$A,Output_Mac!L:L,""),
_xlpm.MyAuditVal,_xlfn.XLOOKUP($A215,My_Audit!$A:$A,My_Audit!J:J,""),
_xlfn.IFS(_xlpm.MyAuditVal&lt;&gt;"",UPPER(_xlpm.MyAuditVal),_xlpm.MacVal&lt;&gt;"",_xlpm.MacVal,_xlpm.CSVVal&lt;&gt;"",_xlpm.CSVVal
)),"")</f>
        <v/>
      </c>
      <c r="L215" s="55" t="str" cm="1">
        <f t="array" ref="L215">IFERROR(_xlfn.LET(
_xlpm.CSVVal,_xlfn.XLOOKUP($A215,CSV!$A:$A,CSV!P:P,""),
_xlpm.MacVal,_xlfn.XLOOKUP($A215,Output_Mac!$A:$A,Output_Mac!M:M,""),
_xlpm.MyAuditVal,_xlfn.XLOOKUP($A215,My_Audit!$A:$A,My_Audit!K:K,""),
_xlfn.IFS(_xlpm.MyAuditVal&lt;&gt;"",UPPER(_xlpm.MyAuditVal),_xlpm.MacVal&lt;&gt;"",_xlpm.MacVal,_xlpm.CSVVal&lt;&gt;"",_xlpm.CSVVal
)),"")</f>
        <v/>
      </c>
      <c r="M215" s="54" t="str">
        <f>_xlfn.LET(
    _xlpm.CSVVal, _xlfn.XLOOKUP($A215, CSV!$A:$A, CSV!AD:AD, ""),
    _xlpm.MacVal, _xlfn.XLOOKUP($A215, Output_Mac!$A:$A, Output_Mac!S:S, ""),
    _xlpm.MyAuditVal, _xlfn.XLOOKUP($A215, My_Audit!$A:$A, My_Audit!N:N, ""),
    _xlfn.TEXTJOIN(", ", TRUE, _xlpm.MyAuditVal, _xlpm.MacVal, _xlpm.CSVVal)
)</f>
        <v/>
      </c>
      <c r="N215" s="54" t="str" cm="1">
        <f t="array" ref="N215">IFERROR(_xlfn.LET(
_xlpm.CSVVal,_xlfn.XLOOKUP($A215,CSV!$A:$A,CSV!AF:AF,""),
_xlpm.MacVal,_xlfn.XLOOKUP($A215,Output_Mac!$A:$A,Output_Mac!U:U,""),
_xlpm.MyAuditVal,_xlfn.XLOOKUP($A215,My_Audit!$A:$A,My_Audit!O:O,""),
_xlfn.IFS(_xlpm.MyAuditVal&lt;&gt;"",UPPER(_xlpm.MyAuditVal),_xlpm.MacVal&lt;&gt;"",_xlpm.MacVal,_xlpm.CSVVal&lt;&gt;"",_xlpm.CSVVal
)),"")</f>
        <v/>
      </c>
      <c r="O215" s="54"/>
      <c r="P215" s="54"/>
      <c r="Q215" s="54"/>
      <c r="R215" s="54"/>
      <c r="S215" s="54"/>
      <c r="T215" s="54"/>
      <c r="U215" s="39"/>
    </row>
    <row r="216" spans="1:21">
      <c r="A216" s="54" t="str">
        <f>_xlfn.TEXTJOIN("",TRUE,Input!$B$2,ROW(My_Audit!A215))</f>
        <v>XX215</v>
      </c>
      <c r="B216" s="54" t="str">
        <f>_xlfn.TEXTJOIN("-",TRUE,"ITD",Input!$A$2,A216)</f>
        <v>ITD-SHRXXX-XX215</v>
      </c>
      <c r="C216" s="54" t="str" cm="1">
        <f t="array" ref="C216">IFERROR(_xlfn.LET(
_xlpm.CSVVal,_xlfn.XLOOKUP($A216,CSV!$A:$A,CSV!B:B,""),
_xlpm.MacVal,_xlfn.XLOOKUP($A216,Output_Mac!$A:$A,Output_Mac!B:B,""),
_xlpm.MyAuditVal,_xlfn.XLOOKUP($A216,My_Audit!$A:$A,My_Audit!B:B,""),
_xlfn.IFS(_xlpm.MyAuditVal&lt;&gt;"",UPPER(_xlpm.MyAuditVal),_xlpm.MacVal&lt;&gt;"",_xlpm.MacVal,_xlpm.CSVVal&lt;&gt;"",_xlpm.CSVVal
)),"")</f>
        <v/>
      </c>
      <c r="D216" s="55" t="str">
        <f>_xlfn.XLOOKUP(A216,My_Audit!A:A,My_Audit!D:D,"")&amp;""</f>
        <v/>
      </c>
      <c r="E216" s="55" t="str" cm="1">
        <f t="array" ref="E216">IFERROR(_xlfn.LET(
_xlpm.CSVVal,_xlfn.XLOOKUP($A216,CSV!$A:$A,CSV!D:D,""),
_xlpm.MacVal,_xlfn.XLOOKUP($A216,Output_Mac!$A:$A,Output_Mac!C:C,""),
_xlpm.MyAuditVal,_xlfn.XLOOKUP($A216,My_Audit!$A:$A,My_Audit!D:D,""),
_xlfn.IFS(_xlpm.MyAuditVal&lt;&gt;"",_xlpm.MyAuditVal,_xlpm.MacVal&lt;&gt;"",_xlpm.MacVal,_xlpm.CSVVal&lt;&gt;"",_xlpm.CSVVal
)),"")</f>
        <v/>
      </c>
      <c r="F216" s="54" t="str" cm="1">
        <f t="array" ref="F216">IFERROR(_xlfn.LET(
_xlpm.CSVVal,_xlfn.XLOOKUP($A216,CSV!$A:$A,CSV!E:E,""),
_xlpm.MacVal,_xlfn.XLOOKUP($A216,Output_Mac!$A:$A,Output_Mac!F:F,""),
_xlpm.MyAuditVal,_xlfn.XLOOKUP($A216,My_Audit!$A:$A,My_Audit!E:E,""),
_xlfn.IFS(_xlpm.MyAuditVal&lt;&gt;"",_xlpm.MyAuditVal,_xlpm.MacVal&lt;&gt;"",_xlpm.MacVal,_xlpm.CSVVal&lt;&gt;"",PROPER(_xlpm.CSVVal)
)),"")</f>
        <v/>
      </c>
      <c r="G216" s="54" t="str" cm="1">
        <f t="array" ref="G216">IFERROR(_xlfn.LET(
_xlpm.CSVVal,_xlfn.XLOOKUP($A216,CSV!$A:$A,CSV!F:F,""),
_xlpm.MacVal,_xlfn.XLOOKUP($A216,Output_Mac!$A:$A,Output_Mac!H:H,""),
_xlpm.MyAuditVal,_xlfn.XLOOKUP($A216,My_Audit!$A:$A,My_Audit!F:F,""),
_xlfn.IFS(_xlpm.MyAuditVal&lt;&gt;"",_xlpm.MyAuditVal,_xlpm.MacVal&lt;&gt;"",_xlpm.MacVal,_xlpm.CSVVal&lt;&gt;"",_xlpm.CSVVal
)),"")</f>
        <v/>
      </c>
      <c r="H216" s="54" t="str">
        <f>_xlfn.XLOOKUP(A216,Output_Mac!A:A,Output_Mac!I:I,"")</f>
        <v/>
      </c>
      <c r="I216" s="54" t="str" cm="1">
        <f t="array" ref="I216">IFERROR(_xlfn.LET(
_xlpm.CSVVal,_xlfn.XLOOKUP($A216,CSV!$A:$A,CSV!G:G,""),
_xlpm.MacVal,_xlfn.XLOOKUP($A216,Output_Mac!$A:$A,Output_Mac!J:J,""),
_xlpm.MyAuditVal,_xlfn.XLOOKUP($A216,My_Audit!$A:$A,My_Audit!H:H,""),
_xlfn.IFS(_xlpm.MyAuditVal&lt;&gt;"",UPPER(_xlpm.MyAuditVal),_xlpm.MacVal&lt;&gt;"",_xlpm.MacVal,_xlpm.CSVVal&lt;&gt;"",_xlpm.CSVVal
)),"")</f>
        <v/>
      </c>
      <c r="J216" s="54" t="str" cm="1">
        <f t="array" ref="J216">IFERROR(_xlfn.LET(
_xlpm.CSVVal,_xlfn.XLOOKUP($A216,CSV!$A:$A,CSV!I:I,""),
_xlpm.MacVal,_xlfn.XLOOKUP($A216,Output_Mac!$A:$A,Output_Mac!K:K,""),
_xlpm.MyAuditVal,_xlfn.XLOOKUP($A216,My_Audit!$A:$A,My_Audit!I:I,""),
_xlfn.IFS(_xlpm.MyAuditVal&lt;&gt;"",UPPER(_xlpm.MyAuditVal),_xlpm.MacVal&lt;&gt;"",_xlpm.MacVal,_xlpm.CSVVal&lt;&gt;"",_xlpm.CSVVal
)),"")</f>
        <v/>
      </c>
      <c r="K216" s="54" t="str" cm="1">
        <f t="array" ref="K216">IFERROR(_xlfn.LET(
_xlpm.CSVVal,_xlfn.XLOOKUP($A216,CSV!$A:$A,CSV!M:M,""),
_xlpm.MacVal,_xlfn.XLOOKUP($A216,Output_Mac!$A:$A,Output_Mac!L:L,""),
_xlpm.MyAuditVal,_xlfn.XLOOKUP($A216,My_Audit!$A:$A,My_Audit!J:J,""),
_xlfn.IFS(_xlpm.MyAuditVal&lt;&gt;"",UPPER(_xlpm.MyAuditVal),_xlpm.MacVal&lt;&gt;"",_xlpm.MacVal,_xlpm.CSVVal&lt;&gt;"",_xlpm.CSVVal
)),"")</f>
        <v/>
      </c>
      <c r="L216" s="55" t="str" cm="1">
        <f t="array" ref="L216">IFERROR(_xlfn.LET(
_xlpm.CSVVal,_xlfn.XLOOKUP($A216,CSV!$A:$A,CSV!P:P,""),
_xlpm.MacVal,_xlfn.XLOOKUP($A216,Output_Mac!$A:$A,Output_Mac!M:M,""),
_xlpm.MyAuditVal,_xlfn.XLOOKUP($A216,My_Audit!$A:$A,My_Audit!K:K,""),
_xlfn.IFS(_xlpm.MyAuditVal&lt;&gt;"",UPPER(_xlpm.MyAuditVal),_xlpm.MacVal&lt;&gt;"",_xlpm.MacVal,_xlpm.CSVVal&lt;&gt;"",_xlpm.CSVVal
)),"")</f>
        <v/>
      </c>
      <c r="M216" s="54" t="str">
        <f>_xlfn.LET(
    _xlpm.CSVVal, _xlfn.XLOOKUP($A216, CSV!$A:$A, CSV!AD:AD, ""),
    _xlpm.MacVal, _xlfn.XLOOKUP($A216, Output_Mac!$A:$A, Output_Mac!S:S, ""),
    _xlpm.MyAuditVal, _xlfn.XLOOKUP($A216, My_Audit!$A:$A, My_Audit!N:N, ""),
    _xlfn.TEXTJOIN(", ", TRUE, _xlpm.MyAuditVal, _xlpm.MacVal, _xlpm.CSVVal)
)</f>
        <v/>
      </c>
      <c r="N216" s="54" t="str" cm="1">
        <f t="array" ref="N216">IFERROR(_xlfn.LET(
_xlpm.CSVVal,_xlfn.XLOOKUP($A216,CSV!$A:$A,CSV!AF:AF,""),
_xlpm.MacVal,_xlfn.XLOOKUP($A216,Output_Mac!$A:$A,Output_Mac!U:U,""),
_xlpm.MyAuditVal,_xlfn.XLOOKUP($A216,My_Audit!$A:$A,My_Audit!O:O,""),
_xlfn.IFS(_xlpm.MyAuditVal&lt;&gt;"",UPPER(_xlpm.MyAuditVal),_xlpm.MacVal&lt;&gt;"",_xlpm.MacVal,_xlpm.CSVVal&lt;&gt;"",_xlpm.CSVVal
)),"")</f>
        <v/>
      </c>
      <c r="O216" s="54"/>
      <c r="P216" s="54"/>
      <c r="Q216" s="54"/>
      <c r="R216" s="54"/>
      <c r="S216" s="54"/>
      <c r="T216" s="54"/>
      <c r="U216" s="39"/>
    </row>
    <row r="217" spans="1:21">
      <c r="A217" s="54" t="str">
        <f>_xlfn.TEXTJOIN("",TRUE,Input!$B$2,ROW(My_Audit!A216))</f>
        <v>XX216</v>
      </c>
      <c r="B217" s="54" t="str">
        <f>_xlfn.TEXTJOIN("-",TRUE,"ITD",Input!$A$2,A217)</f>
        <v>ITD-SHRXXX-XX216</v>
      </c>
      <c r="C217" s="54" t="str" cm="1">
        <f t="array" ref="C217">IFERROR(_xlfn.LET(
_xlpm.CSVVal,_xlfn.XLOOKUP($A217,CSV!$A:$A,CSV!B:B,""),
_xlpm.MacVal,_xlfn.XLOOKUP($A217,Output_Mac!$A:$A,Output_Mac!B:B,""),
_xlpm.MyAuditVal,_xlfn.XLOOKUP($A217,My_Audit!$A:$A,My_Audit!B:B,""),
_xlfn.IFS(_xlpm.MyAuditVal&lt;&gt;"",UPPER(_xlpm.MyAuditVal),_xlpm.MacVal&lt;&gt;"",_xlpm.MacVal,_xlpm.CSVVal&lt;&gt;"",_xlpm.CSVVal
)),"")</f>
        <v/>
      </c>
      <c r="D217" s="55" t="str">
        <f>_xlfn.XLOOKUP(A217,My_Audit!A:A,My_Audit!D:D,"")&amp;""</f>
        <v/>
      </c>
      <c r="E217" s="55" t="str" cm="1">
        <f t="array" ref="E217">IFERROR(_xlfn.LET(
_xlpm.CSVVal,_xlfn.XLOOKUP($A217,CSV!$A:$A,CSV!D:D,""),
_xlpm.MacVal,_xlfn.XLOOKUP($A217,Output_Mac!$A:$A,Output_Mac!C:C,""),
_xlpm.MyAuditVal,_xlfn.XLOOKUP($A217,My_Audit!$A:$A,My_Audit!D:D,""),
_xlfn.IFS(_xlpm.MyAuditVal&lt;&gt;"",_xlpm.MyAuditVal,_xlpm.MacVal&lt;&gt;"",_xlpm.MacVal,_xlpm.CSVVal&lt;&gt;"",_xlpm.CSVVal
)),"")</f>
        <v/>
      </c>
      <c r="F217" s="54" t="str" cm="1">
        <f t="array" ref="F217">IFERROR(_xlfn.LET(
_xlpm.CSVVal,_xlfn.XLOOKUP($A217,CSV!$A:$A,CSV!E:E,""),
_xlpm.MacVal,_xlfn.XLOOKUP($A217,Output_Mac!$A:$A,Output_Mac!F:F,""),
_xlpm.MyAuditVal,_xlfn.XLOOKUP($A217,My_Audit!$A:$A,My_Audit!E:E,""),
_xlfn.IFS(_xlpm.MyAuditVal&lt;&gt;"",_xlpm.MyAuditVal,_xlpm.MacVal&lt;&gt;"",_xlpm.MacVal,_xlpm.CSVVal&lt;&gt;"",PROPER(_xlpm.CSVVal)
)),"")</f>
        <v/>
      </c>
      <c r="G217" s="54" t="str" cm="1">
        <f t="array" ref="G217">IFERROR(_xlfn.LET(
_xlpm.CSVVal,_xlfn.XLOOKUP($A217,CSV!$A:$A,CSV!F:F,""),
_xlpm.MacVal,_xlfn.XLOOKUP($A217,Output_Mac!$A:$A,Output_Mac!H:H,""),
_xlpm.MyAuditVal,_xlfn.XLOOKUP($A217,My_Audit!$A:$A,My_Audit!F:F,""),
_xlfn.IFS(_xlpm.MyAuditVal&lt;&gt;"",_xlpm.MyAuditVal,_xlpm.MacVal&lt;&gt;"",_xlpm.MacVal,_xlpm.CSVVal&lt;&gt;"",_xlpm.CSVVal
)),"")</f>
        <v/>
      </c>
      <c r="H217" s="54" t="str">
        <f>_xlfn.XLOOKUP(A217,Output_Mac!A:A,Output_Mac!I:I,"")</f>
        <v/>
      </c>
      <c r="I217" s="54" t="str" cm="1">
        <f t="array" ref="I217">IFERROR(_xlfn.LET(
_xlpm.CSVVal,_xlfn.XLOOKUP($A217,CSV!$A:$A,CSV!G:G,""),
_xlpm.MacVal,_xlfn.XLOOKUP($A217,Output_Mac!$A:$A,Output_Mac!J:J,""),
_xlpm.MyAuditVal,_xlfn.XLOOKUP($A217,My_Audit!$A:$A,My_Audit!H:H,""),
_xlfn.IFS(_xlpm.MyAuditVal&lt;&gt;"",UPPER(_xlpm.MyAuditVal),_xlpm.MacVal&lt;&gt;"",_xlpm.MacVal,_xlpm.CSVVal&lt;&gt;"",_xlpm.CSVVal
)),"")</f>
        <v/>
      </c>
      <c r="J217" s="54" t="str" cm="1">
        <f t="array" ref="J217">IFERROR(_xlfn.LET(
_xlpm.CSVVal,_xlfn.XLOOKUP($A217,CSV!$A:$A,CSV!I:I,""),
_xlpm.MacVal,_xlfn.XLOOKUP($A217,Output_Mac!$A:$A,Output_Mac!K:K,""),
_xlpm.MyAuditVal,_xlfn.XLOOKUP($A217,My_Audit!$A:$A,My_Audit!I:I,""),
_xlfn.IFS(_xlpm.MyAuditVal&lt;&gt;"",UPPER(_xlpm.MyAuditVal),_xlpm.MacVal&lt;&gt;"",_xlpm.MacVal,_xlpm.CSVVal&lt;&gt;"",_xlpm.CSVVal
)),"")</f>
        <v/>
      </c>
      <c r="K217" s="54" t="str" cm="1">
        <f t="array" ref="K217">IFERROR(_xlfn.LET(
_xlpm.CSVVal,_xlfn.XLOOKUP($A217,CSV!$A:$A,CSV!M:M,""),
_xlpm.MacVal,_xlfn.XLOOKUP($A217,Output_Mac!$A:$A,Output_Mac!L:L,""),
_xlpm.MyAuditVal,_xlfn.XLOOKUP($A217,My_Audit!$A:$A,My_Audit!J:J,""),
_xlfn.IFS(_xlpm.MyAuditVal&lt;&gt;"",UPPER(_xlpm.MyAuditVal),_xlpm.MacVal&lt;&gt;"",_xlpm.MacVal,_xlpm.CSVVal&lt;&gt;"",_xlpm.CSVVal
)),"")</f>
        <v/>
      </c>
      <c r="L217" s="55" t="str" cm="1">
        <f t="array" ref="L217">IFERROR(_xlfn.LET(
_xlpm.CSVVal,_xlfn.XLOOKUP($A217,CSV!$A:$A,CSV!P:P,""),
_xlpm.MacVal,_xlfn.XLOOKUP($A217,Output_Mac!$A:$A,Output_Mac!M:M,""),
_xlpm.MyAuditVal,_xlfn.XLOOKUP($A217,My_Audit!$A:$A,My_Audit!K:K,""),
_xlfn.IFS(_xlpm.MyAuditVal&lt;&gt;"",UPPER(_xlpm.MyAuditVal),_xlpm.MacVal&lt;&gt;"",_xlpm.MacVal,_xlpm.CSVVal&lt;&gt;"",_xlpm.CSVVal
)),"")</f>
        <v/>
      </c>
      <c r="M217" s="54" t="str">
        <f>_xlfn.LET(
    _xlpm.CSVVal, _xlfn.XLOOKUP($A217, CSV!$A:$A, CSV!AD:AD, ""),
    _xlpm.MacVal, _xlfn.XLOOKUP($A217, Output_Mac!$A:$A, Output_Mac!S:S, ""),
    _xlpm.MyAuditVal, _xlfn.XLOOKUP($A217, My_Audit!$A:$A, My_Audit!N:N, ""),
    _xlfn.TEXTJOIN(", ", TRUE, _xlpm.MyAuditVal, _xlpm.MacVal, _xlpm.CSVVal)
)</f>
        <v/>
      </c>
      <c r="N217" s="54" t="str" cm="1">
        <f t="array" ref="N217">IFERROR(_xlfn.LET(
_xlpm.CSVVal,_xlfn.XLOOKUP($A217,CSV!$A:$A,CSV!AF:AF,""),
_xlpm.MacVal,_xlfn.XLOOKUP($A217,Output_Mac!$A:$A,Output_Mac!U:U,""),
_xlpm.MyAuditVal,_xlfn.XLOOKUP($A217,My_Audit!$A:$A,My_Audit!O:O,""),
_xlfn.IFS(_xlpm.MyAuditVal&lt;&gt;"",UPPER(_xlpm.MyAuditVal),_xlpm.MacVal&lt;&gt;"",_xlpm.MacVal,_xlpm.CSVVal&lt;&gt;"",_xlpm.CSVVal
)),"")</f>
        <v/>
      </c>
      <c r="O217" s="54"/>
      <c r="P217" s="54"/>
      <c r="Q217" s="54"/>
      <c r="R217" s="54"/>
      <c r="S217" s="54"/>
      <c r="T217" s="54"/>
      <c r="U217" s="39"/>
    </row>
    <row r="218" spans="1:21">
      <c r="A218" s="54" t="str">
        <f>_xlfn.TEXTJOIN("",TRUE,Input!$B$2,ROW(My_Audit!A217))</f>
        <v>XX217</v>
      </c>
      <c r="B218" s="54" t="str">
        <f>_xlfn.TEXTJOIN("-",TRUE,"ITD",Input!$A$2,A218)</f>
        <v>ITD-SHRXXX-XX217</v>
      </c>
      <c r="C218" s="54" t="str" cm="1">
        <f t="array" ref="C218">IFERROR(_xlfn.LET(
_xlpm.CSVVal,_xlfn.XLOOKUP($A218,CSV!$A:$A,CSV!B:B,""),
_xlpm.MacVal,_xlfn.XLOOKUP($A218,Output_Mac!$A:$A,Output_Mac!B:B,""),
_xlpm.MyAuditVal,_xlfn.XLOOKUP($A218,My_Audit!$A:$A,My_Audit!B:B,""),
_xlfn.IFS(_xlpm.MyAuditVal&lt;&gt;"",UPPER(_xlpm.MyAuditVal),_xlpm.MacVal&lt;&gt;"",_xlpm.MacVal,_xlpm.CSVVal&lt;&gt;"",_xlpm.CSVVal
)),"")</f>
        <v/>
      </c>
      <c r="D218" s="55" t="str">
        <f>_xlfn.XLOOKUP(A218,My_Audit!A:A,My_Audit!D:D,"")&amp;""</f>
        <v/>
      </c>
      <c r="E218" s="55" t="str" cm="1">
        <f t="array" ref="E218">IFERROR(_xlfn.LET(
_xlpm.CSVVal,_xlfn.XLOOKUP($A218,CSV!$A:$A,CSV!D:D,""),
_xlpm.MacVal,_xlfn.XLOOKUP($A218,Output_Mac!$A:$A,Output_Mac!C:C,""),
_xlpm.MyAuditVal,_xlfn.XLOOKUP($A218,My_Audit!$A:$A,My_Audit!D:D,""),
_xlfn.IFS(_xlpm.MyAuditVal&lt;&gt;"",_xlpm.MyAuditVal,_xlpm.MacVal&lt;&gt;"",_xlpm.MacVal,_xlpm.CSVVal&lt;&gt;"",_xlpm.CSVVal
)),"")</f>
        <v/>
      </c>
      <c r="F218" s="54" t="str" cm="1">
        <f t="array" ref="F218">IFERROR(_xlfn.LET(
_xlpm.CSVVal,_xlfn.XLOOKUP($A218,CSV!$A:$A,CSV!E:E,""),
_xlpm.MacVal,_xlfn.XLOOKUP($A218,Output_Mac!$A:$A,Output_Mac!F:F,""),
_xlpm.MyAuditVal,_xlfn.XLOOKUP($A218,My_Audit!$A:$A,My_Audit!E:E,""),
_xlfn.IFS(_xlpm.MyAuditVal&lt;&gt;"",_xlpm.MyAuditVal,_xlpm.MacVal&lt;&gt;"",_xlpm.MacVal,_xlpm.CSVVal&lt;&gt;"",PROPER(_xlpm.CSVVal)
)),"")</f>
        <v/>
      </c>
      <c r="G218" s="54" t="str" cm="1">
        <f t="array" ref="G218">IFERROR(_xlfn.LET(
_xlpm.CSVVal,_xlfn.XLOOKUP($A218,CSV!$A:$A,CSV!F:F,""),
_xlpm.MacVal,_xlfn.XLOOKUP($A218,Output_Mac!$A:$A,Output_Mac!H:H,""),
_xlpm.MyAuditVal,_xlfn.XLOOKUP($A218,My_Audit!$A:$A,My_Audit!F:F,""),
_xlfn.IFS(_xlpm.MyAuditVal&lt;&gt;"",_xlpm.MyAuditVal,_xlpm.MacVal&lt;&gt;"",_xlpm.MacVal,_xlpm.CSVVal&lt;&gt;"",_xlpm.CSVVal
)),"")</f>
        <v/>
      </c>
      <c r="H218" s="54" t="str">
        <f>_xlfn.XLOOKUP(A218,Output_Mac!A:A,Output_Mac!I:I,"")</f>
        <v/>
      </c>
      <c r="I218" s="54" t="str" cm="1">
        <f t="array" ref="I218">IFERROR(_xlfn.LET(
_xlpm.CSVVal,_xlfn.XLOOKUP($A218,CSV!$A:$A,CSV!G:G,""),
_xlpm.MacVal,_xlfn.XLOOKUP($A218,Output_Mac!$A:$A,Output_Mac!J:J,""),
_xlpm.MyAuditVal,_xlfn.XLOOKUP($A218,My_Audit!$A:$A,My_Audit!H:H,""),
_xlfn.IFS(_xlpm.MyAuditVal&lt;&gt;"",UPPER(_xlpm.MyAuditVal),_xlpm.MacVal&lt;&gt;"",_xlpm.MacVal,_xlpm.CSVVal&lt;&gt;"",_xlpm.CSVVal
)),"")</f>
        <v/>
      </c>
      <c r="J218" s="54" t="str" cm="1">
        <f t="array" ref="J218">IFERROR(_xlfn.LET(
_xlpm.CSVVal,_xlfn.XLOOKUP($A218,CSV!$A:$A,CSV!I:I,""),
_xlpm.MacVal,_xlfn.XLOOKUP($A218,Output_Mac!$A:$A,Output_Mac!K:K,""),
_xlpm.MyAuditVal,_xlfn.XLOOKUP($A218,My_Audit!$A:$A,My_Audit!I:I,""),
_xlfn.IFS(_xlpm.MyAuditVal&lt;&gt;"",UPPER(_xlpm.MyAuditVal),_xlpm.MacVal&lt;&gt;"",_xlpm.MacVal,_xlpm.CSVVal&lt;&gt;"",_xlpm.CSVVal
)),"")</f>
        <v/>
      </c>
      <c r="K218" s="54" t="str" cm="1">
        <f t="array" ref="K218">IFERROR(_xlfn.LET(
_xlpm.CSVVal,_xlfn.XLOOKUP($A218,CSV!$A:$A,CSV!M:M,""),
_xlpm.MacVal,_xlfn.XLOOKUP($A218,Output_Mac!$A:$A,Output_Mac!L:L,""),
_xlpm.MyAuditVal,_xlfn.XLOOKUP($A218,My_Audit!$A:$A,My_Audit!J:J,""),
_xlfn.IFS(_xlpm.MyAuditVal&lt;&gt;"",UPPER(_xlpm.MyAuditVal),_xlpm.MacVal&lt;&gt;"",_xlpm.MacVal,_xlpm.CSVVal&lt;&gt;"",_xlpm.CSVVal
)),"")</f>
        <v/>
      </c>
      <c r="L218" s="55" t="str" cm="1">
        <f t="array" ref="L218">IFERROR(_xlfn.LET(
_xlpm.CSVVal,_xlfn.XLOOKUP($A218,CSV!$A:$A,CSV!P:P,""),
_xlpm.MacVal,_xlfn.XLOOKUP($A218,Output_Mac!$A:$A,Output_Mac!M:M,""),
_xlpm.MyAuditVal,_xlfn.XLOOKUP($A218,My_Audit!$A:$A,My_Audit!K:K,""),
_xlfn.IFS(_xlpm.MyAuditVal&lt;&gt;"",UPPER(_xlpm.MyAuditVal),_xlpm.MacVal&lt;&gt;"",_xlpm.MacVal,_xlpm.CSVVal&lt;&gt;"",_xlpm.CSVVal
)),"")</f>
        <v/>
      </c>
      <c r="M218" s="54" t="str">
        <f>_xlfn.LET(
    _xlpm.CSVVal, _xlfn.XLOOKUP($A218, CSV!$A:$A, CSV!AD:AD, ""),
    _xlpm.MacVal, _xlfn.XLOOKUP($A218, Output_Mac!$A:$A, Output_Mac!S:S, ""),
    _xlpm.MyAuditVal, _xlfn.XLOOKUP($A218, My_Audit!$A:$A, My_Audit!N:N, ""),
    _xlfn.TEXTJOIN(", ", TRUE, _xlpm.MyAuditVal, _xlpm.MacVal, _xlpm.CSVVal)
)</f>
        <v/>
      </c>
      <c r="N218" s="54" t="str" cm="1">
        <f t="array" ref="N218">IFERROR(_xlfn.LET(
_xlpm.CSVVal,_xlfn.XLOOKUP($A218,CSV!$A:$A,CSV!AF:AF,""),
_xlpm.MacVal,_xlfn.XLOOKUP($A218,Output_Mac!$A:$A,Output_Mac!U:U,""),
_xlpm.MyAuditVal,_xlfn.XLOOKUP($A218,My_Audit!$A:$A,My_Audit!O:O,""),
_xlfn.IFS(_xlpm.MyAuditVal&lt;&gt;"",UPPER(_xlpm.MyAuditVal),_xlpm.MacVal&lt;&gt;"",_xlpm.MacVal,_xlpm.CSVVal&lt;&gt;"",_xlpm.CSVVal
)),"")</f>
        <v/>
      </c>
      <c r="O218" s="54"/>
      <c r="P218" s="54"/>
      <c r="Q218" s="54"/>
      <c r="R218" s="54"/>
      <c r="S218" s="54"/>
      <c r="T218" s="54"/>
      <c r="U218" s="39"/>
    </row>
    <row r="219" spans="1:21">
      <c r="A219" s="54" t="str">
        <f>_xlfn.TEXTJOIN("",TRUE,Input!$B$2,ROW(My_Audit!A218))</f>
        <v>XX218</v>
      </c>
      <c r="B219" s="54" t="str">
        <f>_xlfn.TEXTJOIN("-",TRUE,"ITD",Input!$A$2,A219)</f>
        <v>ITD-SHRXXX-XX218</v>
      </c>
      <c r="C219" s="54" t="str" cm="1">
        <f t="array" ref="C219">IFERROR(_xlfn.LET(
_xlpm.CSVVal,_xlfn.XLOOKUP($A219,CSV!$A:$A,CSV!B:B,""),
_xlpm.MacVal,_xlfn.XLOOKUP($A219,Output_Mac!$A:$A,Output_Mac!B:B,""),
_xlpm.MyAuditVal,_xlfn.XLOOKUP($A219,My_Audit!$A:$A,My_Audit!B:B,""),
_xlfn.IFS(_xlpm.MyAuditVal&lt;&gt;"",UPPER(_xlpm.MyAuditVal),_xlpm.MacVal&lt;&gt;"",_xlpm.MacVal,_xlpm.CSVVal&lt;&gt;"",_xlpm.CSVVal
)),"")</f>
        <v/>
      </c>
      <c r="D219" s="55" t="str">
        <f>_xlfn.XLOOKUP(A219,My_Audit!A:A,My_Audit!D:D,"")&amp;""</f>
        <v/>
      </c>
      <c r="E219" s="55" t="str" cm="1">
        <f t="array" ref="E219">IFERROR(_xlfn.LET(
_xlpm.CSVVal,_xlfn.XLOOKUP($A219,CSV!$A:$A,CSV!D:D,""),
_xlpm.MacVal,_xlfn.XLOOKUP($A219,Output_Mac!$A:$A,Output_Mac!C:C,""),
_xlpm.MyAuditVal,_xlfn.XLOOKUP($A219,My_Audit!$A:$A,My_Audit!D:D,""),
_xlfn.IFS(_xlpm.MyAuditVal&lt;&gt;"",_xlpm.MyAuditVal,_xlpm.MacVal&lt;&gt;"",_xlpm.MacVal,_xlpm.CSVVal&lt;&gt;"",_xlpm.CSVVal
)),"")</f>
        <v/>
      </c>
      <c r="F219" s="54" t="str" cm="1">
        <f t="array" ref="F219">IFERROR(_xlfn.LET(
_xlpm.CSVVal,_xlfn.XLOOKUP($A219,CSV!$A:$A,CSV!E:E,""),
_xlpm.MacVal,_xlfn.XLOOKUP($A219,Output_Mac!$A:$A,Output_Mac!F:F,""),
_xlpm.MyAuditVal,_xlfn.XLOOKUP($A219,My_Audit!$A:$A,My_Audit!E:E,""),
_xlfn.IFS(_xlpm.MyAuditVal&lt;&gt;"",_xlpm.MyAuditVal,_xlpm.MacVal&lt;&gt;"",_xlpm.MacVal,_xlpm.CSVVal&lt;&gt;"",PROPER(_xlpm.CSVVal)
)),"")</f>
        <v/>
      </c>
      <c r="G219" s="54" t="str" cm="1">
        <f t="array" ref="G219">IFERROR(_xlfn.LET(
_xlpm.CSVVal,_xlfn.XLOOKUP($A219,CSV!$A:$A,CSV!F:F,""),
_xlpm.MacVal,_xlfn.XLOOKUP($A219,Output_Mac!$A:$A,Output_Mac!H:H,""),
_xlpm.MyAuditVal,_xlfn.XLOOKUP($A219,My_Audit!$A:$A,My_Audit!F:F,""),
_xlfn.IFS(_xlpm.MyAuditVal&lt;&gt;"",_xlpm.MyAuditVal,_xlpm.MacVal&lt;&gt;"",_xlpm.MacVal,_xlpm.CSVVal&lt;&gt;"",_xlpm.CSVVal
)),"")</f>
        <v/>
      </c>
      <c r="H219" s="54" t="str">
        <f>_xlfn.XLOOKUP(A219,Output_Mac!A:A,Output_Mac!I:I,"")</f>
        <v/>
      </c>
      <c r="I219" s="54" t="str" cm="1">
        <f t="array" ref="I219">IFERROR(_xlfn.LET(
_xlpm.CSVVal,_xlfn.XLOOKUP($A219,CSV!$A:$A,CSV!G:G,""),
_xlpm.MacVal,_xlfn.XLOOKUP($A219,Output_Mac!$A:$A,Output_Mac!J:J,""),
_xlpm.MyAuditVal,_xlfn.XLOOKUP($A219,My_Audit!$A:$A,My_Audit!H:H,""),
_xlfn.IFS(_xlpm.MyAuditVal&lt;&gt;"",UPPER(_xlpm.MyAuditVal),_xlpm.MacVal&lt;&gt;"",_xlpm.MacVal,_xlpm.CSVVal&lt;&gt;"",_xlpm.CSVVal
)),"")</f>
        <v/>
      </c>
      <c r="J219" s="54" t="str" cm="1">
        <f t="array" ref="J219">IFERROR(_xlfn.LET(
_xlpm.CSVVal,_xlfn.XLOOKUP($A219,CSV!$A:$A,CSV!I:I,""),
_xlpm.MacVal,_xlfn.XLOOKUP($A219,Output_Mac!$A:$A,Output_Mac!K:K,""),
_xlpm.MyAuditVal,_xlfn.XLOOKUP($A219,My_Audit!$A:$A,My_Audit!I:I,""),
_xlfn.IFS(_xlpm.MyAuditVal&lt;&gt;"",UPPER(_xlpm.MyAuditVal),_xlpm.MacVal&lt;&gt;"",_xlpm.MacVal,_xlpm.CSVVal&lt;&gt;"",_xlpm.CSVVal
)),"")</f>
        <v/>
      </c>
      <c r="K219" s="54" t="str" cm="1">
        <f t="array" ref="K219">IFERROR(_xlfn.LET(
_xlpm.CSVVal,_xlfn.XLOOKUP($A219,CSV!$A:$A,CSV!M:M,""),
_xlpm.MacVal,_xlfn.XLOOKUP($A219,Output_Mac!$A:$A,Output_Mac!L:L,""),
_xlpm.MyAuditVal,_xlfn.XLOOKUP($A219,My_Audit!$A:$A,My_Audit!J:J,""),
_xlfn.IFS(_xlpm.MyAuditVal&lt;&gt;"",UPPER(_xlpm.MyAuditVal),_xlpm.MacVal&lt;&gt;"",_xlpm.MacVal,_xlpm.CSVVal&lt;&gt;"",_xlpm.CSVVal
)),"")</f>
        <v/>
      </c>
      <c r="L219" s="55" t="str" cm="1">
        <f t="array" ref="L219">IFERROR(_xlfn.LET(
_xlpm.CSVVal,_xlfn.XLOOKUP($A219,CSV!$A:$A,CSV!P:P,""),
_xlpm.MacVal,_xlfn.XLOOKUP($A219,Output_Mac!$A:$A,Output_Mac!M:M,""),
_xlpm.MyAuditVal,_xlfn.XLOOKUP($A219,My_Audit!$A:$A,My_Audit!K:K,""),
_xlfn.IFS(_xlpm.MyAuditVal&lt;&gt;"",UPPER(_xlpm.MyAuditVal),_xlpm.MacVal&lt;&gt;"",_xlpm.MacVal,_xlpm.CSVVal&lt;&gt;"",_xlpm.CSVVal
)),"")</f>
        <v/>
      </c>
      <c r="M219" s="54" t="str">
        <f>_xlfn.LET(
    _xlpm.CSVVal, _xlfn.XLOOKUP($A219, CSV!$A:$A, CSV!AD:AD, ""),
    _xlpm.MacVal, _xlfn.XLOOKUP($A219, Output_Mac!$A:$A, Output_Mac!S:S, ""),
    _xlpm.MyAuditVal, _xlfn.XLOOKUP($A219, My_Audit!$A:$A, My_Audit!N:N, ""),
    _xlfn.TEXTJOIN(", ", TRUE, _xlpm.MyAuditVal, _xlpm.MacVal, _xlpm.CSVVal)
)</f>
        <v/>
      </c>
      <c r="N219" s="54" t="str" cm="1">
        <f t="array" ref="N219">IFERROR(_xlfn.LET(
_xlpm.CSVVal,_xlfn.XLOOKUP($A219,CSV!$A:$A,CSV!AF:AF,""),
_xlpm.MacVal,_xlfn.XLOOKUP($A219,Output_Mac!$A:$A,Output_Mac!U:U,""),
_xlpm.MyAuditVal,_xlfn.XLOOKUP($A219,My_Audit!$A:$A,My_Audit!O:O,""),
_xlfn.IFS(_xlpm.MyAuditVal&lt;&gt;"",UPPER(_xlpm.MyAuditVal),_xlpm.MacVal&lt;&gt;"",_xlpm.MacVal,_xlpm.CSVVal&lt;&gt;"",_xlpm.CSVVal
)),"")</f>
        <v/>
      </c>
      <c r="O219" s="54"/>
      <c r="P219" s="54"/>
      <c r="Q219" s="54"/>
      <c r="R219" s="54"/>
      <c r="S219" s="54"/>
      <c r="T219" s="54"/>
      <c r="U219" s="39"/>
    </row>
    <row r="220" spans="1:21">
      <c r="A220" s="54" t="str">
        <f>_xlfn.TEXTJOIN("",TRUE,Input!$B$2,ROW(My_Audit!A219))</f>
        <v>XX219</v>
      </c>
      <c r="B220" s="54" t="str">
        <f>_xlfn.TEXTJOIN("-",TRUE,"ITD",Input!$A$2,A220)</f>
        <v>ITD-SHRXXX-XX219</v>
      </c>
      <c r="C220" s="54" t="str" cm="1">
        <f t="array" ref="C220">IFERROR(_xlfn.LET(
_xlpm.CSVVal,_xlfn.XLOOKUP($A220,CSV!$A:$A,CSV!B:B,""),
_xlpm.MacVal,_xlfn.XLOOKUP($A220,Output_Mac!$A:$A,Output_Mac!B:B,""),
_xlpm.MyAuditVal,_xlfn.XLOOKUP($A220,My_Audit!$A:$A,My_Audit!B:B,""),
_xlfn.IFS(_xlpm.MyAuditVal&lt;&gt;"",UPPER(_xlpm.MyAuditVal),_xlpm.MacVal&lt;&gt;"",_xlpm.MacVal,_xlpm.CSVVal&lt;&gt;"",_xlpm.CSVVal
)),"")</f>
        <v/>
      </c>
      <c r="D220" s="55" t="str">
        <f>_xlfn.XLOOKUP(A220,My_Audit!A:A,My_Audit!D:D,"")&amp;""</f>
        <v/>
      </c>
      <c r="E220" s="55" t="str" cm="1">
        <f t="array" ref="E220">IFERROR(_xlfn.LET(
_xlpm.CSVVal,_xlfn.XLOOKUP($A220,CSV!$A:$A,CSV!D:D,""),
_xlpm.MacVal,_xlfn.XLOOKUP($A220,Output_Mac!$A:$A,Output_Mac!C:C,""),
_xlpm.MyAuditVal,_xlfn.XLOOKUP($A220,My_Audit!$A:$A,My_Audit!D:D,""),
_xlfn.IFS(_xlpm.MyAuditVal&lt;&gt;"",_xlpm.MyAuditVal,_xlpm.MacVal&lt;&gt;"",_xlpm.MacVal,_xlpm.CSVVal&lt;&gt;"",_xlpm.CSVVal
)),"")</f>
        <v/>
      </c>
      <c r="F220" s="54" t="str" cm="1">
        <f t="array" ref="F220">IFERROR(_xlfn.LET(
_xlpm.CSVVal,_xlfn.XLOOKUP($A220,CSV!$A:$A,CSV!E:E,""),
_xlpm.MacVal,_xlfn.XLOOKUP($A220,Output_Mac!$A:$A,Output_Mac!F:F,""),
_xlpm.MyAuditVal,_xlfn.XLOOKUP($A220,My_Audit!$A:$A,My_Audit!E:E,""),
_xlfn.IFS(_xlpm.MyAuditVal&lt;&gt;"",_xlpm.MyAuditVal,_xlpm.MacVal&lt;&gt;"",_xlpm.MacVal,_xlpm.CSVVal&lt;&gt;"",PROPER(_xlpm.CSVVal)
)),"")</f>
        <v/>
      </c>
      <c r="G220" s="54" t="str" cm="1">
        <f t="array" ref="G220">IFERROR(_xlfn.LET(
_xlpm.CSVVal,_xlfn.XLOOKUP($A220,CSV!$A:$A,CSV!F:F,""),
_xlpm.MacVal,_xlfn.XLOOKUP($A220,Output_Mac!$A:$A,Output_Mac!H:H,""),
_xlpm.MyAuditVal,_xlfn.XLOOKUP($A220,My_Audit!$A:$A,My_Audit!F:F,""),
_xlfn.IFS(_xlpm.MyAuditVal&lt;&gt;"",_xlpm.MyAuditVal,_xlpm.MacVal&lt;&gt;"",_xlpm.MacVal,_xlpm.CSVVal&lt;&gt;"",_xlpm.CSVVal
)),"")</f>
        <v/>
      </c>
      <c r="H220" s="54" t="str">
        <f>_xlfn.XLOOKUP(A220,Output_Mac!A:A,Output_Mac!I:I,"")</f>
        <v/>
      </c>
      <c r="I220" s="54" t="str" cm="1">
        <f t="array" ref="I220">IFERROR(_xlfn.LET(
_xlpm.CSVVal,_xlfn.XLOOKUP($A220,CSV!$A:$A,CSV!G:G,""),
_xlpm.MacVal,_xlfn.XLOOKUP($A220,Output_Mac!$A:$A,Output_Mac!J:J,""),
_xlpm.MyAuditVal,_xlfn.XLOOKUP($A220,My_Audit!$A:$A,My_Audit!H:H,""),
_xlfn.IFS(_xlpm.MyAuditVal&lt;&gt;"",UPPER(_xlpm.MyAuditVal),_xlpm.MacVal&lt;&gt;"",_xlpm.MacVal,_xlpm.CSVVal&lt;&gt;"",_xlpm.CSVVal
)),"")</f>
        <v/>
      </c>
      <c r="J220" s="54" t="str" cm="1">
        <f t="array" ref="J220">IFERROR(_xlfn.LET(
_xlpm.CSVVal,_xlfn.XLOOKUP($A220,CSV!$A:$A,CSV!I:I,""),
_xlpm.MacVal,_xlfn.XLOOKUP($A220,Output_Mac!$A:$A,Output_Mac!K:K,""),
_xlpm.MyAuditVal,_xlfn.XLOOKUP($A220,My_Audit!$A:$A,My_Audit!I:I,""),
_xlfn.IFS(_xlpm.MyAuditVal&lt;&gt;"",UPPER(_xlpm.MyAuditVal),_xlpm.MacVal&lt;&gt;"",_xlpm.MacVal,_xlpm.CSVVal&lt;&gt;"",_xlpm.CSVVal
)),"")</f>
        <v/>
      </c>
      <c r="K220" s="54" t="str" cm="1">
        <f t="array" ref="K220">IFERROR(_xlfn.LET(
_xlpm.CSVVal,_xlfn.XLOOKUP($A220,CSV!$A:$A,CSV!M:M,""),
_xlpm.MacVal,_xlfn.XLOOKUP($A220,Output_Mac!$A:$A,Output_Mac!L:L,""),
_xlpm.MyAuditVal,_xlfn.XLOOKUP($A220,My_Audit!$A:$A,My_Audit!J:J,""),
_xlfn.IFS(_xlpm.MyAuditVal&lt;&gt;"",UPPER(_xlpm.MyAuditVal),_xlpm.MacVal&lt;&gt;"",_xlpm.MacVal,_xlpm.CSVVal&lt;&gt;"",_xlpm.CSVVal
)),"")</f>
        <v/>
      </c>
      <c r="L220" s="55" t="str" cm="1">
        <f t="array" ref="L220">IFERROR(_xlfn.LET(
_xlpm.CSVVal,_xlfn.XLOOKUP($A220,CSV!$A:$A,CSV!P:P,""),
_xlpm.MacVal,_xlfn.XLOOKUP($A220,Output_Mac!$A:$A,Output_Mac!M:M,""),
_xlpm.MyAuditVal,_xlfn.XLOOKUP($A220,My_Audit!$A:$A,My_Audit!K:K,""),
_xlfn.IFS(_xlpm.MyAuditVal&lt;&gt;"",UPPER(_xlpm.MyAuditVal),_xlpm.MacVal&lt;&gt;"",_xlpm.MacVal,_xlpm.CSVVal&lt;&gt;"",_xlpm.CSVVal
)),"")</f>
        <v/>
      </c>
      <c r="M220" s="54" t="str">
        <f>_xlfn.LET(
    _xlpm.CSVVal, _xlfn.XLOOKUP($A220, CSV!$A:$A, CSV!AD:AD, ""),
    _xlpm.MacVal, _xlfn.XLOOKUP($A220, Output_Mac!$A:$A, Output_Mac!S:S, ""),
    _xlpm.MyAuditVal, _xlfn.XLOOKUP($A220, My_Audit!$A:$A, My_Audit!N:N, ""),
    _xlfn.TEXTJOIN(", ", TRUE, _xlpm.MyAuditVal, _xlpm.MacVal, _xlpm.CSVVal)
)</f>
        <v/>
      </c>
      <c r="N220" s="54" t="str" cm="1">
        <f t="array" ref="N220">IFERROR(_xlfn.LET(
_xlpm.CSVVal,_xlfn.XLOOKUP($A220,CSV!$A:$A,CSV!AF:AF,""),
_xlpm.MacVal,_xlfn.XLOOKUP($A220,Output_Mac!$A:$A,Output_Mac!U:U,""),
_xlpm.MyAuditVal,_xlfn.XLOOKUP($A220,My_Audit!$A:$A,My_Audit!O:O,""),
_xlfn.IFS(_xlpm.MyAuditVal&lt;&gt;"",UPPER(_xlpm.MyAuditVal),_xlpm.MacVal&lt;&gt;"",_xlpm.MacVal,_xlpm.CSVVal&lt;&gt;"",_xlpm.CSVVal
)),"")</f>
        <v/>
      </c>
      <c r="O220" s="54"/>
      <c r="P220" s="54"/>
      <c r="Q220" s="54"/>
      <c r="R220" s="54"/>
      <c r="S220" s="54"/>
      <c r="T220" s="54"/>
      <c r="U220" s="39"/>
    </row>
    <row r="221" spans="1:21">
      <c r="A221" s="54" t="str">
        <f>_xlfn.TEXTJOIN("",TRUE,Input!$B$2,ROW(My_Audit!A220))</f>
        <v>XX220</v>
      </c>
      <c r="B221" s="54" t="str">
        <f>_xlfn.TEXTJOIN("-",TRUE,"ITD",Input!$A$2,A221)</f>
        <v>ITD-SHRXXX-XX220</v>
      </c>
      <c r="C221" s="54" t="str" cm="1">
        <f t="array" ref="C221">IFERROR(_xlfn.LET(
_xlpm.CSVVal,_xlfn.XLOOKUP($A221,CSV!$A:$A,CSV!B:B,""),
_xlpm.MacVal,_xlfn.XLOOKUP($A221,Output_Mac!$A:$A,Output_Mac!B:B,""),
_xlpm.MyAuditVal,_xlfn.XLOOKUP($A221,My_Audit!$A:$A,My_Audit!B:B,""),
_xlfn.IFS(_xlpm.MyAuditVal&lt;&gt;"",UPPER(_xlpm.MyAuditVal),_xlpm.MacVal&lt;&gt;"",_xlpm.MacVal,_xlpm.CSVVal&lt;&gt;"",_xlpm.CSVVal
)),"")</f>
        <v/>
      </c>
      <c r="D221" s="55" t="str">
        <f>_xlfn.XLOOKUP(A221,My_Audit!A:A,My_Audit!D:D,"")&amp;""</f>
        <v/>
      </c>
      <c r="E221" s="55" t="str" cm="1">
        <f t="array" ref="E221">IFERROR(_xlfn.LET(
_xlpm.CSVVal,_xlfn.XLOOKUP($A221,CSV!$A:$A,CSV!D:D,""),
_xlpm.MacVal,_xlfn.XLOOKUP($A221,Output_Mac!$A:$A,Output_Mac!C:C,""),
_xlpm.MyAuditVal,_xlfn.XLOOKUP($A221,My_Audit!$A:$A,My_Audit!D:D,""),
_xlfn.IFS(_xlpm.MyAuditVal&lt;&gt;"",_xlpm.MyAuditVal,_xlpm.MacVal&lt;&gt;"",_xlpm.MacVal,_xlpm.CSVVal&lt;&gt;"",_xlpm.CSVVal
)),"")</f>
        <v/>
      </c>
      <c r="F221" s="54" t="str" cm="1">
        <f t="array" ref="F221">IFERROR(_xlfn.LET(
_xlpm.CSVVal,_xlfn.XLOOKUP($A221,CSV!$A:$A,CSV!E:E,""),
_xlpm.MacVal,_xlfn.XLOOKUP($A221,Output_Mac!$A:$A,Output_Mac!F:F,""),
_xlpm.MyAuditVal,_xlfn.XLOOKUP($A221,My_Audit!$A:$A,My_Audit!E:E,""),
_xlfn.IFS(_xlpm.MyAuditVal&lt;&gt;"",_xlpm.MyAuditVal,_xlpm.MacVal&lt;&gt;"",_xlpm.MacVal,_xlpm.CSVVal&lt;&gt;"",PROPER(_xlpm.CSVVal)
)),"")</f>
        <v/>
      </c>
      <c r="G221" s="54" t="str" cm="1">
        <f t="array" ref="G221">IFERROR(_xlfn.LET(
_xlpm.CSVVal,_xlfn.XLOOKUP($A221,CSV!$A:$A,CSV!F:F,""),
_xlpm.MacVal,_xlfn.XLOOKUP($A221,Output_Mac!$A:$A,Output_Mac!H:H,""),
_xlpm.MyAuditVal,_xlfn.XLOOKUP($A221,My_Audit!$A:$A,My_Audit!F:F,""),
_xlfn.IFS(_xlpm.MyAuditVal&lt;&gt;"",_xlpm.MyAuditVal,_xlpm.MacVal&lt;&gt;"",_xlpm.MacVal,_xlpm.CSVVal&lt;&gt;"",_xlpm.CSVVal
)),"")</f>
        <v/>
      </c>
      <c r="H221" s="54" t="str">
        <f>_xlfn.XLOOKUP(A221,Output_Mac!A:A,Output_Mac!I:I,"")</f>
        <v/>
      </c>
      <c r="I221" s="54" t="str" cm="1">
        <f t="array" ref="I221">IFERROR(_xlfn.LET(
_xlpm.CSVVal,_xlfn.XLOOKUP($A221,CSV!$A:$A,CSV!G:G,""),
_xlpm.MacVal,_xlfn.XLOOKUP($A221,Output_Mac!$A:$A,Output_Mac!J:J,""),
_xlpm.MyAuditVal,_xlfn.XLOOKUP($A221,My_Audit!$A:$A,My_Audit!H:H,""),
_xlfn.IFS(_xlpm.MyAuditVal&lt;&gt;"",UPPER(_xlpm.MyAuditVal),_xlpm.MacVal&lt;&gt;"",_xlpm.MacVal,_xlpm.CSVVal&lt;&gt;"",_xlpm.CSVVal
)),"")</f>
        <v/>
      </c>
      <c r="J221" s="54" t="str" cm="1">
        <f t="array" ref="J221">IFERROR(_xlfn.LET(
_xlpm.CSVVal,_xlfn.XLOOKUP($A221,CSV!$A:$A,CSV!I:I,""),
_xlpm.MacVal,_xlfn.XLOOKUP($A221,Output_Mac!$A:$A,Output_Mac!K:K,""),
_xlpm.MyAuditVal,_xlfn.XLOOKUP($A221,My_Audit!$A:$A,My_Audit!I:I,""),
_xlfn.IFS(_xlpm.MyAuditVal&lt;&gt;"",UPPER(_xlpm.MyAuditVal),_xlpm.MacVal&lt;&gt;"",_xlpm.MacVal,_xlpm.CSVVal&lt;&gt;"",_xlpm.CSVVal
)),"")</f>
        <v/>
      </c>
      <c r="K221" s="54" t="str" cm="1">
        <f t="array" ref="K221">IFERROR(_xlfn.LET(
_xlpm.CSVVal,_xlfn.XLOOKUP($A221,CSV!$A:$A,CSV!M:M,""),
_xlpm.MacVal,_xlfn.XLOOKUP($A221,Output_Mac!$A:$A,Output_Mac!L:L,""),
_xlpm.MyAuditVal,_xlfn.XLOOKUP($A221,My_Audit!$A:$A,My_Audit!J:J,""),
_xlfn.IFS(_xlpm.MyAuditVal&lt;&gt;"",UPPER(_xlpm.MyAuditVal),_xlpm.MacVal&lt;&gt;"",_xlpm.MacVal,_xlpm.CSVVal&lt;&gt;"",_xlpm.CSVVal
)),"")</f>
        <v/>
      </c>
      <c r="L221" s="55" t="str" cm="1">
        <f t="array" ref="L221">IFERROR(_xlfn.LET(
_xlpm.CSVVal,_xlfn.XLOOKUP($A221,CSV!$A:$A,CSV!P:P,""),
_xlpm.MacVal,_xlfn.XLOOKUP($A221,Output_Mac!$A:$A,Output_Mac!M:M,""),
_xlpm.MyAuditVal,_xlfn.XLOOKUP($A221,My_Audit!$A:$A,My_Audit!K:K,""),
_xlfn.IFS(_xlpm.MyAuditVal&lt;&gt;"",UPPER(_xlpm.MyAuditVal),_xlpm.MacVal&lt;&gt;"",_xlpm.MacVal,_xlpm.CSVVal&lt;&gt;"",_xlpm.CSVVal
)),"")</f>
        <v/>
      </c>
      <c r="M221" s="54" t="str">
        <f>_xlfn.LET(
    _xlpm.CSVVal, _xlfn.XLOOKUP($A221, CSV!$A:$A, CSV!AD:AD, ""),
    _xlpm.MacVal, _xlfn.XLOOKUP($A221, Output_Mac!$A:$A, Output_Mac!S:S, ""),
    _xlpm.MyAuditVal, _xlfn.XLOOKUP($A221, My_Audit!$A:$A, My_Audit!N:N, ""),
    _xlfn.TEXTJOIN(", ", TRUE, _xlpm.MyAuditVal, _xlpm.MacVal, _xlpm.CSVVal)
)</f>
        <v/>
      </c>
      <c r="N221" s="54" t="str" cm="1">
        <f t="array" ref="N221">IFERROR(_xlfn.LET(
_xlpm.CSVVal,_xlfn.XLOOKUP($A221,CSV!$A:$A,CSV!AF:AF,""),
_xlpm.MacVal,_xlfn.XLOOKUP($A221,Output_Mac!$A:$A,Output_Mac!U:U,""),
_xlpm.MyAuditVal,_xlfn.XLOOKUP($A221,My_Audit!$A:$A,My_Audit!O:O,""),
_xlfn.IFS(_xlpm.MyAuditVal&lt;&gt;"",UPPER(_xlpm.MyAuditVal),_xlpm.MacVal&lt;&gt;"",_xlpm.MacVal,_xlpm.CSVVal&lt;&gt;"",_xlpm.CSVVal
)),"")</f>
        <v/>
      </c>
      <c r="O221" s="54"/>
      <c r="P221" s="54"/>
      <c r="Q221" s="54"/>
      <c r="R221" s="54"/>
      <c r="S221" s="54"/>
      <c r="T221" s="54"/>
      <c r="U221" s="39"/>
    </row>
    <row r="222" spans="1:21">
      <c r="A222" s="54" t="str">
        <f>_xlfn.TEXTJOIN("",TRUE,Input!$B$2,ROW(My_Audit!A221))</f>
        <v>XX221</v>
      </c>
      <c r="B222" s="54" t="str">
        <f>_xlfn.TEXTJOIN("-",TRUE,"ITD",Input!$A$2,A222)</f>
        <v>ITD-SHRXXX-XX221</v>
      </c>
      <c r="C222" s="54" t="str" cm="1">
        <f t="array" ref="C222">IFERROR(_xlfn.LET(
_xlpm.CSVVal,_xlfn.XLOOKUP($A222,CSV!$A:$A,CSV!B:B,""),
_xlpm.MacVal,_xlfn.XLOOKUP($A222,Output_Mac!$A:$A,Output_Mac!B:B,""),
_xlpm.MyAuditVal,_xlfn.XLOOKUP($A222,My_Audit!$A:$A,My_Audit!B:B,""),
_xlfn.IFS(_xlpm.MyAuditVal&lt;&gt;"",UPPER(_xlpm.MyAuditVal),_xlpm.MacVal&lt;&gt;"",_xlpm.MacVal,_xlpm.CSVVal&lt;&gt;"",_xlpm.CSVVal
)),"")</f>
        <v/>
      </c>
      <c r="D222" s="55" t="str">
        <f>_xlfn.XLOOKUP(A222,My_Audit!A:A,My_Audit!D:D,"")&amp;""</f>
        <v/>
      </c>
      <c r="E222" s="55" t="str" cm="1">
        <f t="array" ref="E222">IFERROR(_xlfn.LET(
_xlpm.CSVVal,_xlfn.XLOOKUP($A222,CSV!$A:$A,CSV!D:D,""),
_xlpm.MacVal,_xlfn.XLOOKUP($A222,Output_Mac!$A:$A,Output_Mac!C:C,""),
_xlpm.MyAuditVal,_xlfn.XLOOKUP($A222,My_Audit!$A:$A,My_Audit!D:D,""),
_xlfn.IFS(_xlpm.MyAuditVal&lt;&gt;"",_xlpm.MyAuditVal,_xlpm.MacVal&lt;&gt;"",_xlpm.MacVal,_xlpm.CSVVal&lt;&gt;"",_xlpm.CSVVal
)),"")</f>
        <v/>
      </c>
      <c r="F222" s="54" t="str" cm="1">
        <f t="array" ref="F222">IFERROR(_xlfn.LET(
_xlpm.CSVVal,_xlfn.XLOOKUP($A222,CSV!$A:$A,CSV!E:E,""),
_xlpm.MacVal,_xlfn.XLOOKUP($A222,Output_Mac!$A:$A,Output_Mac!F:F,""),
_xlpm.MyAuditVal,_xlfn.XLOOKUP($A222,My_Audit!$A:$A,My_Audit!E:E,""),
_xlfn.IFS(_xlpm.MyAuditVal&lt;&gt;"",_xlpm.MyAuditVal,_xlpm.MacVal&lt;&gt;"",_xlpm.MacVal,_xlpm.CSVVal&lt;&gt;"",PROPER(_xlpm.CSVVal)
)),"")</f>
        <v/>
      </c>
      <c r="G222" s="54" t="str" cm="1">
        <f t="array" ref="G222">IFERROR(_xlfn.LET(
_xlpm.CSVVal,_xlfn.XLOOKUP($A222,CSV!$A:$A,CSV!F:F,""),
_xlpm.MacVal,_xlfn.XLOOKUP($A222,Output_Mac!$A:$A,Output_Mac!H:H,""),
_xlpm.MyAuditVal,_xlfn.XLOOKUP($A222,My_Audit!$A:$A,My_Audit!F:F,""),
_xlfn.IFS(_xlpm.MyAuditVal&lt;&gt;"",_xlpm.MyAuditVal,_xlpm.MacVal&lt;&gt;"",_xlpm.MacVal,_xlpm.CSVVal&lt;&gt;"",_xlpm.CSVVal
)),"")</f>
        <v/>
      </c>
      <c r="H222" s="54" t="str">
        <f>_xlfn.XLOOKUP(A222,Output_Mac!A:A,Output_Mac!I:I,"")</f>
        <v/>
      </c>
      <c r="I222" s="54" t="str" cm="1">
        <f t="array" ref="I222">IFERROR(_xlfn.LET(
_xlpm.CSVVal,_xlfn.XLOOKUP($A222,CSV!$A:$A,CSV!G:G,""),
_xlpm.MacVal,_xlfn.XLOOKUP($A222,Output_Mac!$A:$A,Output_Mac!J:J,""),
_xlpm.MyAuditVal,_xlfn.XLOOKUP($A222,My_Audit!$A:$A,My_Audit!H:H,""),
_xlfn.IFS(_xlpm.MyAuditVal&lt;&gt;"",UPPER(_xlpm.MyAuditVal),_xlpm.MacVal&lt;&gt;"",_xlpm.MacVal,_xlpm.CSVVal&lt;&gt;"",_xlpm.CSVVal
)),"")</f>
        <v/>
      </c>
      <c r="J222" s="54" t="str" cm="1">
        <f t="array" ref="J222">IFERROR(_xlfn.LET(
_xlpm.CSVVal,_xlfn.XLOOKUP($A222,CSV!$A:$A,CSV!I:I,""),
_xlpm.MacVal,_xlfn.XLOOKUP($A222,Output_Mac!$A:$A,Output_Mac!K:K,""),
_xlpm.MyAuditVal,_xlfn.XLOOKUP($A222,My_Audit!$A:$A,My_Audit!I:I,""),
_xlfn.IFS(_xlpm.MyAuditVal&lt;&gt;"",UPPER(_xlpm.MyAuditVal),_xlpm.MacVal&lt;&gt;"",_xlpm.MacVal,_xlpm.CSVVal&lt;&gt;"",_xlpm.CSVVal
)),"")</f>
        <v/>
      </c>
      <c r="K222" s="54" t="str" cm="1">
        <f t="array" ref="K222">IFERROR(_xlfn.LET(
_xlpm.CSVVal,_xlfn.XLOOKUP($A222,CSV!$A:$A,CSV!M:M,""),
_xlpm.MacVal,_xlfn.XLOOKUP($A222,Output_Mac!$A:$A,Output_Mac!L:L,""),
_xlpm.MyAuditVal,_xlfn.XLOOKUP($A222,My_Audit!$A:$A,My_Audit!J:J,""),
_xlfn.IFS(_xlpm.MyAuditVal&lt;&gt;"",UPPER(_xlpm.MyAuditVal),_xlpm.MacVal&lt;&gt;"",_xlpm.MacVal,_xlpm.CSVVal&lt;&gt;"",_xlpm.CSVVal
)),"")</f>
        <v/>
      </c>
      <c r="L222" s="55" t="str" cm="1">
        <f t="array" ref="L222">IFERROR(_xlfn.LET(
_xlpm.CSVVal,_xlfn.XLOOKUP($A222,CSV!$A:$A,CSV!P:P,""),
_xlpm.MacVal,_xlfn.XLOOKUP($A222,Output_Mac!$A:$A,Output_Mac!M:M,""),
_xlpm.MyAuditVal,_xlfn.XLOOKUP($A222,My_Audit!$A:$A,My_Audit!K:K,""),
_xlfn.IFS(_xlpm.MyAuditVal&lt;&gt;"",UPPER(_xlpm.MyAuditVal),_xlpm.MacVal&lt;&gt;"",_xlpm.MacVal,_xlpm.CSVVal&lt;&gt;"",_xlpm.CSVVal
)),"")</f>
        <v/>
      </c>
      <c r="M222" s="54" t="str">
        <f>_xlfn.LET(
    _xlpm.CSVVal, _xlfn.XLOOKUP($A222, CSV!$A:$A, CSV!AD:AD, ""),
    _xlpm.MacVal, _xlfn.XLOOKUP($A222, Output_Mac!$A:$A, Output_Mac!S:S, ""),
    _xlpm.MyAuditVal, _xlfn.XLOOKUP($A222, My_Audit!$A:$A, My_Audit!N:N, ""),
    _xlfn.TEXTJOIN(", ", TRUE, _xlpm.MyAuditVal, _xlpm.MacVal, _xlpm.CSVVal)
)</f>
        <v/>
      </c>
      <c r="N222" s="54" t="str" cm="1">
        <f t="array" ref="N222">IFERROR(_xlfn.LET(
_xlpm.CSVVal,_xlfn.XLOOKUP($A222,CSV!$A:$A,CSV!AF:AF,""),
_xlpm.MacVal,_xlfn.XLOOKUP($A222,Output_Mac!$A:$A,Output_Mac!U:U,""),
_xlpm.MyAuditVal,_xlfn.XLOOKUP($A222,My_Audit!$A:$A,My_Audit!O:O,""),
_xlfn.IFS(_xlpm.MyAuditVal&lt;&gt;"",UPPER(_xlpm.MyAuditVal),_xlpm.MacVal&lt;&gt;"",_xlpm.MacVal,_xlpm.CSVVal&lt;&gt;"",_xlpm.CSVVal
)),"")</f>
        <v/>
      </c>
      <c r="O222" s="54"/>
      <c r="P222" s="54"/>
      <c r="Q222" s="54"/>
      <c r="R222" s="54"/>
      <c r="S222" s="54"/>
      <c r="T222" s="54"/>
      <c r="U222" s="39"/>
    </row>
    <row r="223" spans="1:21">
      <c r="A223" s="54" t="str">
        <f>_xlfn.TEXTJOIN("",TRUE,Input!$B$2,ROW(My_Audit!A222))</f>
        <v>XX222</v>
      </c>
      <c r="B223" s="54" t="str">
        <f>_xlfn.TEXTJOIN("-",TRUE,"ITD",Input!$A$2,A223)</f>
        <v>ITD-SHRXXX-XX222</v>
      </c>
      <c r="C223" s="54" t="str" cm="1">
        <f t="array" ref="C223">IFERROR(_xlfn.LET(
_xlpm.CSVVal,_xlfn.XLOOKUP($A223,CSV!$A:$A,CSV!B:B,""),
_xlpm.MacVal,_xlfn.XLOOKUP($A223,Output_Mac!$A:$A,Output_Mac!B:B,""),
_xlpm.MyAuditVal,_xlfn.XLOOKUP($A223,My_Audit!$A:$A,My_Audit!B:B,""),
_xlfn.IFS(_xlpm.MyAuditVal&lt;&gt;"",UPPER(_xlpm.MyAuditVal),_xlpm.MacVal&lt;&gt;"",_xlpm.MacVal,_xlpm.CSVVal&lt;&gt;"",_xlpm.CSVVal
)),"")</f>
        <v/>
      </c>
      <c r="D223" s="55" t="str">
        <f>_xlfn.XLOOKUP(A223,My_Audit!A:A,My_Audit!D:D,"")&amp;""</f>
        <v/>
      </c>
      <c r="E223" s="55" t="str" cm="1">
        <f t="array" ref="E223">IFERROR(_xlfn.LET(
_xlpm.CSVVal,_xlfn.XLOOKUP($A223,CSV!$A:$A,CSV!D:D,""),
_xlpm.MacVal,_xlfn.XLOOKUP($A223,Output_Mac!$A:$A,Output_Mac!C:C,""),
_xlpm.MyAuditVal,_xlfn.XLOOKUP($A223,My_Audit!$A:$A,My_Audit!D:D,""),
_xlfn.IFS(_xlpm.MyAuditVal&lt;&gt;"",_xlpm.MyAuditVal,_xlpm.MacVal&lt;&gt;"",_xlpm.MacVal,_xlpm.CSVVal&lt;&gt;"",_xlpm.CSVVal
)),"")</f>
        <v/>
      </c>
      <c r="F223" s="54" t="str" cm="1">
        <f t="array" ref="F223">IFERROR(_xlfn.LET(
_xlpm.CSVVal,_xlfn.XLOOKUP($A223,CSV!$A:$A,CSV!E:E,""),
_xlpm.MacVal,_xlfn.XLOOKUP($A223,Output_Mac!$A:$A,Output_Mac!F:F,""),
_xlpm.MyAuditVal,_xlfn.XLOOKUP($A223,My_Audit!$A:$A,My_Audit!E:E,""),
_xlfn.IFS(_xlpm.MyAuditVal&lt;&gt;"",_xlpm.MyAuditVal,_xlpm.MacVal&lt;&gt;"",_xlpm.MacVal,_xlpm.CSVVal&lt;&gt;"",PROPER(_xlpm.CSVVal)
)),"")</f>
        <v/>
      </c>
      <c r="G223" s="54" t="str" cm="1">
        <f t="array" ref="G223">IFERROR(_xlfn.LET(
_xlpm.CSVVal,_xlfn.XLOOKUP($A223,CSV!$A:$A,CSV!F:F,""),
_xlpm.MacVal,_xlfn.XLOOKUP($A223,Output_Mac!$A:$A,Output_Mac!H:H,""),
_xlpm.MyAuditVal,_xlfn.XLOOKUP($A223,My_Audit!$A:$A,My_Audit!F:F,""),
_xlfn.IFS(_xlpm.MyAuditVal&lt;&gt;"",_xlpm.MyAuditVal,_xlpm.MacVal&lt;&gt;"",_xlpm.MacVal,_xlpm.CSVVal&lt;&gt;"",_xlpm.CSVVal
)),"")</f>
        <v/>
      </c>
      <c r="H223" s="54" t="str">
        <f>_xlfn.XLOOKUP(A223,Output_Mac!A:A,Output_Mac!I:I,"")</f>
        <v/>
      </c>
      <c r="I223" s="54" t="str" cm="1">
        <f t="array" ref="I223">IFERROR(_xlfn.LET(
_xlpm.CSVVal,_xlfn.XLOOKUP($A223,CSV!$A:$A,CSV!G:G,""),
_xlpm.MacVal,_xlfn.XLOOKUP($A223,Output_Mac!$A:$A,Output_Mac!J:J,""),
_xlpm.MyAuditVal,_xlfn.XLOOKUP($A223,My_Audit!$A:$A,My_Audit!H:H,""),
_xlfn.IFS(_xlpm.MyAuditVal&lt;&gt;"",UPPER(_xlpm.MyAuditVal),_xlpm.MacVal&lt;&gt;"",_xlpm.MacVal,_xlpm.CSVVal&lt;&gt;"",_xlpm.CSVVal
)),"")</f>
        <v/>
      </c>
      <c r="J223" s="54" t="str" cm="1">
        <f t="array" ref="J223">IFERROR(_xlfn.LET(
_xlpm.CSVVal,_xlfn.XLOOKUP($A223,CSV!$A:$A,CSV!I:I,""),
_xlpm.MacVal,_xlfn.XLOOKUP($A223,Output_Mac!$A:$A,Output_Mac!K:K,""),
_xlpm.MyAuditVal,_xlfn.XLOOKUP($A223,My_Audit!$A:$A,My_Audit!I:I,""),
_xlfn.IFS(_xlpm.MyAuditVal&lt;&gt;"",UPPER(_xlpm.MyAuditVal),_xlpm.MacVal&lt;&gt;"",_xlpm.MacVal,_xlpm.CSVVal&lt;&gt;"",_xlpm.CSVVal
)),"")</f>
        <v/>
      </c>
      <c r="K223" s="54" t="str" cm="1">
        <f t="array" ref="K223">IFERROR(_xlfn.LET(
_xlpm.CSVVal,_xlfn.XLOOKUP($A223,CSV!$A:$A,CSV!M:M,""),
_xlpm.MacVal,_xlfn.XLOOKUP($A223,Output_Mac!$A:$A,Output_Mac!L:L,""),
_xlpm.MyAuditVal,_xlfn.XLOOKUP($A223,My_Audit!$A:$A,My_Audit!J:J,""),
_xlfn.IFS(_xlpm.MyAuditVal&lt;&gt;"",UPPER(_xlpm.MyAuditVal),_xlpm.MacVal&lt;&gt;"",_xlpm.MacVal,_xlpm.CSVVal&lt;&gt;"",_xlpm.CSVVal
)),"")</f>
        <v/>
      </c>
      <c r="L223" s="55" t="str" cm="1">
        <f t="array" ref="L223">IFERROR(_xlfn.LET(
_xlpm.CSVVal,_xlfn.XLOOKUP($A223,CSV!$A:$A,CSV!P:P,""),
_xlpm.MacVal,_xlfn.XLOOKUP($A223,Output_Mac!$A:$A,Output_Mac!M:M,""),
_xlpm.MyAuditVal,_xlfn.XLOOKUP($A223,My_Audit!$A:$A,My_Audit!K:K,""),
_xlfn.IFS(_xlpm.MyAuditVal&lt;&gt;"",UPPER(_xlpm.MyAuditVal),_xlpm.MacVal&lt;&gt;"",_xlpm.MacVal,_xlpm.CSVVal&lt;&gt;"",_xlpm.CSVVal
)),"")</f>
        <v/>
      </c>
      <c r="M223" s="54" t="str">
        <f>_xlfn.LET(
    _xlpm.CSVVal, _xlfn.XLOOKUP($A223, CSV!$A:$A, CSV!AD:AD, ""),
    _xlpm.MacVal, _xlfn.XLOOKUP($A223, Output_Mac!$A:$A, Output_Mac!S:S, ""),
    _xlpm.MyAuditVal, _xlfn.XLOOKUP($A223, My_Audit!$A:$A, My_Audit!N:N, ""),
    _xlfn.TEXTJOIN(", ", TRUE, _xlpm.MyAuditVal, _xlpm.MacVal, _xlpm.CSVVal)
)</f>
        <v/>
      </c>
      <c r="N223" s="54" t="str" cm="1">
        <f t="array" ref="N223">IFERROR(_xlfn.LET(
_xlpm.CSVVal,_xlfn.XLOOKUP($A223,CSV!$A:$A,CSV!AF:AF,""),
_xlpm.MacVal,_xlfn.XLOOKUP($A223,Output_Mac!$A:$A,Output_Mac!U:U,""),
_xlpm.MyAuditVal,_xlfn.XLOOKUP($A223,My_Audit!$A:$A,My_Audit!O:O,""),
_xlfn.IFS(_xlpm.MyAuditVal&lt;&gt;"",UPPER(_xlpm.MyAuditVal),_xlpm.MacVal&lt;&gt;"",_xlpm.MacVal,_xlpm.CSVVal&lt;&gt;"",_xlpm.CSVVal
)),"")</f>
        <v/>
      </c>
      <c r="O223" s="54"/>
      <c r="P223" s="54"/>
      <c r="Q223" s="54"/>
      <c r="R223" s="54"/>
      <c r="S223" s="54"/>
      <c r="T223" s="54"/>
      <c r="U223" s="39"/>
    </row>
    <row r="224" spans="1:21">
      <c r="A224" s="54" t="str">
        <f>_xlfn.TEXTJOIN("",TRUE,Input!$B$2,ROW(My_Audit!A223))</f>
        <v>XX223</v>
      </c>
      <c r="B224" s="54" t="str">
        <f>_xlfn.TEXTJOIN("-",TRUE,"ITD",Input!$A$2,A224)</f>
        <v>ITD-SHRXXX-XX223</v>
      </c>
      <c r="C224" s="54" t="str" cm="1">
        <f t="array" ref="C224">IFERROR(_xlfn.LET(
_xlpm.CSVVal,_xlfn.XLOOKUP($A224,CSV!$A:$A,CSV!B:B,""),
_xlpm.MacVal,_xlfn.XLOOKUP($A224,Output_Mac!$A:$A,Output_Mac!B:B,""),
_xlpm.MyAuditVal,_xlfn.XLOOKUP($A224,My_Audit!$A:$A,My_Audit!B:B,""),
_xlfn.IFS(_xlpm.MyAuditVal&lt;&gt;"",UPPER(_xlpm.MyAuditVal),_xlpm.MacVal&lt;&gt;"",_xlpm.MacVal,_xlpm.CSVVal&lt;&gt;"",_xlpm.CSVVal
)),"")</f>
        <v/>
      </c>
      <c r="D224" s="55" t="str">
        <f>_xlfn.XLOOKUP(A224,My_Audit!A:A,My_Audit!D:D,"")&amp;""</f>
        <v/>
      </c>
      <c r="E224" s="55" t="str" cm="1">
        <f t="array" ref="E224">IFERROR(_xlfn.LET(
_xlpm.CSVVal,_xlfn.XLOOKUP($A224,CSV!$A:$A,CSV!D:D,""),
_xlpm.MacVal,_xlfn.XLOOKUP($A224,Output_Mac!$A:$A,Output_Mac!C:C,""),
_xlpm.MyAuditVal,_xlfn.XLOOKUP($A224,My_Audit!$A:$A,My_Audit!D:D,""),
_xlfn.IFS(_xlpm.MyAuditVal&lt;&gt;"",_xlpm.MyAuditVal,_xlpm.MacVal&lt;&gt;"",_xlpm.MacVal,_xlpm.CSVVal&lt;&gt;"",_xlpm.CSVVal
)),"")</f>
        <v/>
      </c>
      <c r="F224" s="54" t="str" cm="1">
        <f t="array" ref="F224">IFERROR(_xlfn.LET(
_xlpm.CSVVal,_xlfn.XLOOKUP($A224,CSV!$A:$A,CSV!E:E,""),
_xlpm.MacVal,_xlfn.XLOOKUP($A224,Output_Mac!$A:$A,Output_Mac!F:F,""),
_xlpm.MyAuditVal,_xlfn.XLOOKUP($A224,My_Audit!$A:$A,My_Audit!E:E,""),
_xlfn.IFS(_xlpm.MyAuditVal&lt;&gt;"",_xlpm.MyAuditVal,_xlpm.MacVal&lt;&gt;"",_xlpm.MacVal,_xlpm.CSVVal&lt;&gt;"",PROPER(_xlpm.CSVVal)
)),"")</f>
        <v/>
      </c>
      <c r="G224" s="54" t="str" cm="1">
        <f t="array" ref="G224">IFERROR(_xlfn.LET(
_xlpm.CSVVal,_xlfn.XLOOKUP($A224,CSV!$A:$A,CSV!F:F,""),
_xlpm.MacVal,_xlfn.XLOOKUP($A224,Output_Mac!$A:$A,Output_Mac!H:H,""),
_xlpm.MyAuditVal,_xlfn.XLOOKUP($A224,My_Audit!$A:$A,My_Audit!F:F,""),
_xlfn.IFS(_xlpm.MyAuditVal&lt;&gt;"",_xlpm.MyAuditVal,_xlpm.MacVal&lt;&gt;"",_xlpm.MacVal,_xlpm.CSVVal&lt;&gt;"",_xlpm.CSVVal
)),"")</f>
        <v/>
      </c>
      <c r="H224" s="54" t="str">
        <f>_xlfn.XLOOKUP(A224,Output_Mac!A:A,Output_Mac!I:I,"")</f>
        <v/>
      </c>
      <c r="I224" s="54" t="str" cm="1">
        <f t="array" ref="I224">IFERROR(_xlfn.LET(
_xlpm.CSVVal,_xlfn.XLOOKUP($A224,CSV!$A:$A,CSV!G:G,""),
_xlpm.MacVal,_xlfn.XLOOKUP($A224,Output_Mac!$A:$A,Output_Mac!J:J,""),
_xlpm.MyAuditVal,_xlfn.XLOOKUP($A224,My_Audit!$A:$A,My_Audit!H:H,""),
_xlfn.IFS(_xlpm.MyAuditVal&lt;&gt;"",UPPER(_xlpm.MyAuditVal),_xlpm.MacVal&lt;&gt;"",_xlpm.MacVal,_xlpm.CSVVal&lt;&gt;"",_xlpm.CSVVal
)),"")</f>
        <v/>
      </c>
      <c r="J224" s="54" t="str" cm="1">
        <f t="array" ref="J224">IFERROR(_xlfn.LET(
_xlpm.CSVVal,_xlfn.XLOOKUP($A224,CSV!$A:$A,CSV!I:I,""),
_xlpm.MacVal,_xlfn.XLOOKUP($A224,Output_Mac!$A:$A,Output_Mac!K:K,""),
_xlpm.MyAuditVal,_xlfn.XLOOKUP($A224,My_Audit!$A:$A,My_Audit!I:I,""),
_xlfn.IFS(_xlpm.MyAuditVal&lt;&gt;"",UPPER(_xlpm.MyAuditVal),_xlpm.MacVal&lt;&gt;"",_xlpm.MacVal,_xlpm.CSVVal&lt;&gt;"",_xlpm.CSVVal
)),"")</f>
        <v/>
      </c>
      <c r="K224" s="54" t="str" cm="1">
        <f t="array" ref="K224">IFERROR(_xlfn.LET(
_xlpm.CSVVal,_xlfn.XLOOKUP($A224,CSV!$A:$A,CSV!M:M,""),
_xlpm.MacVal,_xlfn.XLOOKUP($A224,Output_Mac!$A:$A,Output_Mac!L:L,""),
_xlpm.MyAuditVal,_xlfn.XLOOKUP($A224,My_Audit!$A:$A,My_Audit!J:J,""),
_xlfn.IFS(_xlpm.MyAuditVal&lt;&gt;"",UPPER(_xlpm.MyAuditVal),_xlpm.MacVal&lt;&gt;"",_xlpm.MacVal,_xlpm.CSVVal&lt;&gt;"",_xlpm.CSVVal
)),"")</f>
        <v/>
      </c>
      <c r="L224" s="55" t="str" cm="1">
        <f t="array" ref="L224">IFERROR(_xlfn.LET(
_xlpm.CSVVal,_xlfn.XLOOKUP($A224,CSV!$A:$A,CSV!P:P,""),
_xlpm.MacVal,_xlfn.XLOOKUP($A224,Output_Mac!$A:$A,Output_Mac!M:M,""),
_xlpm.MyAuditVal,_xlfn.XLOOKUP($A224,My_Audit!$A:$A,My_Audit!K:K,""),
_xlfn.IFS(_xlpm.MyAuditVal&lt;&gt;"",UPPER(_xlpm.MyAuditVal),_xlpm.MacVal&lt;&gt;"",_xlpm.MacVal,_xlpm.CSVVal&lt;&gt;"",_xlpm.CSVVal
)),"")</f>
        <v/>
      </c>
      <c r="M224" s="54" t="str">
        <f>_xlfn.LET(
    _xlpm.CSVVal, _xlfn.XLOOKUP($A224, CSV!$A:$A, CSV!AD:AD, ""),
    _xlpm.MacVal, _xlfn.XLOOKUP($A224, Output_Mac!$A:$A, Output_Mac!S:S, ""),
    _xlpm.MyAuditVal, _xlfn.XLOOKUP($A224, My_Audit!$A:$A, My_Audit!N:N, ""),
    _xlfn.TEXTJOIN(", ", TRUE, _xlpm.MyAuditVal, _xlpm.MacVal, _xlpm.CSVVal)
)</f>
        <v/>
      </c>
      <c r="N224" s="54" t="str" cm="1">
        <f t="array" ref="N224">IFERROR(_xlfn.LET(
_xlpm.CSVVal,_xlfn.XLOOKUP($A224,CSV!$A:$A,CSV!AF:AF,""),
_xlpm.MacVal,_xlfn.XLOOKUP($A224,Output_Mac!$A:$A,Output_Mac!U:U,""),
_xlpm.MyAuditVal,_xlfn.XLOOKUP($A224,My_Audit!$A:$A,My_Audit!O:O,""),
_xlfn.IFS(_xlpm.MyAuditVal&lt;&gt;"",UPPER(_xlpm.MyAuditVal),_xlpm.MacVal&lt;&gt;"",_xlpm.MacVal,_xlpm.CSVVal&lt;&gt;"",_xlpm.CSVVal
)),"")</f>
        <v/>
      </c>
      <c r="O224" s="54"/>
      <c r="P224" s="54"/>
      <c r="Q224" s="54"/>
      <c r="R224" s="54"/>
      <c r="S224" s="54"/>
      <c r="T224" s="54"/>
      <c r="U224" s="39"/>
    </row>
    <row r="225" spans="1:21">
      <c r="A225" s="54" t="str">
        <f>_xlfn.TEXTJOIN("",TRUE,Input!$B$2,ROW(My_Audit!A224))</f>
        <v>XX224</v>
      </c>
      <c r="B225" s="54" t="str">
        <f>_xlfn.TEXTJOIN("-",TRUE,"ITD",Input!$A$2,A225)</f>
        <v>ITD-SHRXXX-XX224</v>
      </c>
      <c r="C225" s="54" t="str" cm="1">
        <f t="array" ref="C225">IFERROR(_xlfn.LET(
_xlpm.CSVVal,_xlfn.XLOOKUP($A225,CSV!$A:$A,CSV!B:B,""),
_xlpm.MacVal,_xlfn.XLOOKUP($A225,Output_Mac!$A:$A,Output_Mac!B:B,""),
_xlpm.MyAuditVal,_xlfn.XLOOKUP($A225,My_Audit!$A:$A,My_Audit!B:B,""),
_xlfn.IFS(_xlpm.MyAuditVal&lt;&gt;"",UPPER(_xlpm.MyAuditVal),_xlpm.MacVal&lt;&gt;"",_xlpm.MacVal,_xlpm.CSVVal&lt;&gt;"",_xlpm.CSVVal
)),"")</f>
        <v/>
      </c>
      <c r="D225" s="55" t="str">
        <f>_xlfn.XLOOKUP(A225,My_Audit!A:A,My_Audit!D:D,"")&amp;""</f>
        <v/>
      </c>
      <c r="E225" s="55" t="str" cm="1">
        <f t="array" ref="E225">IFERROR(_xlfn.LET(
_xlpm.CSVVal,_xlfn.XLOOKUP($A225,CSV!$A:$A,CSV!D:D,""),
_xlpm.MacVal,_xlfn.XLOOKUP($A225,Output_Mac!$A:$A,Output_Mac!C:C,""),
_xlpm.MyAuditVal,_xlfn.XLOOKUP($A225,My_Audit!$A:$A,My_Audit!D:D,""),
_xlfn.IFS(_xlpm.MyAuditVal&lt;&gt;"",_xlpm.MyAuditVal,_xlpm.MacVal&lt;&gt;"",_xlpm.MacVal,_xlpm.CSVVal&lt;&gt;"",_xlpm.CSVVal
)),"")</f>
        <v/>
      </c>
      <c r="F225" s="54" t="str" cm="1">
        <f t="array" ref="F225">IFERROR(_xlfn.LET(
_xlpm.CSVVal,_xlfn.XLOOKUP($A225,CSV!$A:$A,CSV!E:E,""),
_xlpm.MacVal,_xlfn.XLOOKUP($A225,Output_Mac!$A:$A,Output_Mac!F:F,""),
_xlpm.MyAuditVal,_xlfn.XLOOKUP($A225,My_Audit!$A:$A,My_Audit!E:E,""),
_xlfn.IFS(_xlpm.MyAuditVal&lt;&gt;"",_xlpm.MyAuditVal,_xlpm.MacVal&lt;&gt;"",_xlpm.MacVal,_xlpm.CSVVal&lt;&gt;"",PROPER(_xlpm.CSVVal)
)),"")</f>
        <v/>
      </c>
      <c r="G225" s="54" t="str" cm="1">
        <f t="array" ref="G225">IFERROR(_xlfn.LET(
_xlpm.CSVVal,_xlfn.XLOOKUP($A225,CSV!$A:$A,CSV!F:F,""),
_xlpm.MacVal,_xlfn.XLOOKUP($A225,Output_Mac!$A:$A,Output_Mac!H:H,""),
_xlpm.MyAuditVal,_xlfn.XLOOKUP($A225,My_Audit!$A:$A,My_Audit!F:F,""),
_xlfn.IFS(_xlpm.MyAuditVal&lt;&gt;"",_xlpm.MyAuditVal,_xlpm.MacVal&lt;&gt;"",_xlpm.MacVal,_xlpm.CSVVal&lt;&gt;"",_xlpm.CSVVal
)),"")</f>
        <v/>
      </c>
      <c r="H225" s="54" t="str">
        <f>_xlfn.XLOOKUP(A225,Output_Mac!A:A,Output_Mac!I:I,"")</f>
        <v/>
      </c>
      <c r="I225" s="54" t="str" cm="1">
        <f t="array" ref="I225">IFERROR(_xlfn.LET(
_xlpm.CSVVal,_xlfn.XLOOKUP($A225,CSV!$A:$A,CSV!G:G,""),
_xlpm.MacVal,_xlfn.XLOOKUP($A225,Output_Mac!$A:$A,Output_Mac!J:J,""),
_xlpm.MyAuditVal,_xlfn.XLOOKUP($A225,My_Audit!$A:$A,My_Audit!H:H,""),
_xlfn.IFS(_xlpm.MyAuditVal&lt;&gt;"",UPPER(_xlpm.MyAuditVal),_xlpm.MacVal&lt;&gt;"",_xlpm.MacVal,_xlpm.CSVVal&lt;&gt;"",_xlpm.CSVVal
)),"")</f>
        <v/>
      </c>
      <c r="J225" s="54" t="str" cm="1">
        <f t="array" ref="J225">IFERROR(_xlfn.LET(
_xlpm.CSVVal,_xlfn.XLOOKUP($A225,CSV!$A:$A,CSV!I:I,""),
_xlpm.MacVal,_xlfn.XLOOKUP($A225,Output_Mac!$A:$A,Output_Mac!K:K,""),
_xlpm.MyAuditVal,_xlfn.XLOOKUP($A225,My_Audit!$A:$A,My_Audit!I:I,""),
_xlfn.IFS(_xlpm.MyAuditVal&lt;&gt;"",UPPER(_xlpm.MyAuditVal),_xlpm.MacVal&lt;&gt;"",_xlpm.MacVal,_xlpm.CSVVal&lt;&gt;"",_xlpm.CSVVal
)),"")</f>
        <v/>
      </c>
      <c r="K225" s="54" t="str" cm="1">
        <f t="array" ref="K225">IFERROR(_xlfn.LET(
_xlpm.CSVVal,_xlfn.XLOOKUP($A225,CSV!$A:$A,CSV!M:M,""),
_xlpm.MacVal,_xlfn.XLOOKUP($A225,Output_Mac!$A:$A,Output_Mac!L:L,""),
_xlpm.MyAuditVal,_xlfn.XLOOKUP($A225,My_Audit!$A:$A,My_Audit!J:J,""),
_xlfn.IFS(_xlpm.MyAuditVal&lt;&gt;"",UPPER(_xlpm.MyAuditVal),_xlpm.MacVal&lt;&gt;"",_xlpm.MacVal,_xlpm.CSVVal&lt;&gt;"",_xlpm.CSVVal
)),"")</f>
        <v/>
      </c>
      <c r="L225" s="55" t="str" cm="1">
        <f t="array" ref="L225">IFERROR(_xlfn.LET(
_xlpm.CSVVal,_xlfn.XLOOKUP($A225,CSV!$A:$A,CSV!P:P,""),
_xlpm.MacVal,_xlfn.XLOOKUP($A225,Output_Mac!$A:$A,Output_Mac!M:M,""),
_xlpm.MyAuditVal,_xlfn.XLOOKUP($A225,My_Audit!$A:$A,My_Audit!K:K,""),
_xlfn.IFS(_xlpm.MyAuditVal&lt;&gt;"",UPPER(_xlpm.MyAuditVal),_xlpm.MacVal&lt;&gt;"",_xlpm.MacVal,_xlpm.CSVVal&lt;&gt;"",_xlpm.CSVVal
)),"")</f>
        <v/>
      </c>
      <c r="M225" s="54" t="str">
        <f>_xlfn.LET(
    _xlpm.CSVVal, _xlfn.XLOOKUP($A225, CSV!$A:$A, CSV!AD:AD, ""),
    _xlpm.MacVal, _xlfn.XLOOKUP($A225, Output_Mac!$A:$A, Output_Mac!S:S, ""),
    _xlpm.MyAuditVal, _xlfn.XLOOKUP($A225, My_Audit!$A:$A, My_Audit!N:N, ""),
    _xlfn.TEXTJOIN(", ", TRUE, _xlpm.MyAuditVal, _xlpm.MacVal, _xlpm.CSVVal)
)</f>
        <v/>
      </c>
      <c r="N225" s="54" t="str" cm="1">
        <f t="array" ref="N225">IFERROR(_xlfn.LET(
_xlpm.CSVVal,_xlfn.XLOOKUP($A225,CSV!$A:$A,CSV!AF:AF,""),
_xlpm.MacVal,_xlfn.XLOOKUP($A225,Output_Mac!$A:$A,Output_Mac!U:U,""),
_xlpm.MyAuditVal,_xlfn.XLOOKUP($A225,My_Audit!$A:$A,My_Audit!O:O,""),
_xlfn.IFS(_xlpm.MyAuditVal&lt;&gt;"",UPPER(_xlpm.MyAuditVal),_xlpm.MacVal&lt;&gt;"",_xlpm.MacVal,_xlpm.CSVVal&lt;&gt;"",_xlpm.CSVVal
)),"")</f>
        <v/>
      </c>
      <c r="O225" s="54"/>
      <c r="P225" s="54"/>
      <c r="Q225" s="54"/>
      <c r="R225" s="54"/>
      <c r="S225" s="54"/>
      <c r="T225" s="54"/>
      <c r="U225" s="39"/>
    </row>
    <row r="226" spans="1:21">
      <c r="A226" s="54" t="str">
        <f>_xlfn.TEXTJOIN("",TRUE,Input!$B$2,ROW(My_Audit!A225))</f>
        <v>XX225</v>
      </c>
      <c r="B226" s="54" t="str">
        <f>_xlfn.TEXTJOIN("-",TRUE,"ITD",Input!$A$2,A226)</f>
        <v>ITD-SHRXXX-XX225</v>
      </c>
      <c r="C226" s="54" t="str" cm="1">
        <f t="array" ref="C226">IFERROR(_xlfn.LET(
_xlpm.CSVVal,_xlfn.XLOOKUP($A226,CSV!$A:$A,CSV!B:B,""),
_xlpm.MacVal,_xlfn.XLOOKUP($A226,Output_Mac!$A:$A,Output_Mac!B:B,""),
_xlpm.MyAuditVal,_xlfn.XLOOKUP($A226,My_Audit!$A:$A,My_Audit!B:B,""),
_xlfn.IFS(_xlpm.MyAuditVal&lt;&gt;"",UPPER(_xlpm.MyAuditVal),_xlpm.MacVal&lt;&gt;"",_xlpm.MacVal,_xlpm.CSVVal&lt;&gt;"",_xlpm.CSVVal
)),"")</f>
        <v/>
      </c>
      <c r="D226" s="55" t="str">
        <f>_xlfn.XLOOKUP(A226,My_Audit!A:A,My_Audit!D:D,"")&amp;""</f>
        <v/>
      </c>
      <c r="E226" s="55" t="str" cm="1">
        <f t="array" ref="E226">IFERROR(_xlfn.LET(
_xlpm.CSVVal,_xlfn.XLOOKUP($A226,CSV!$A:$A,CSV!D:D,""),
_xlpm.MacVal,_xlfn.XLOOKUP($A226,Output_Mac!$A:$A,Output_Mac!C:C,""),
_xlpm.MyAuditVal,_xlfn.XLOOKUP($A226,My_Audit!$A:$A,My_Audit!D:D,""),
_xlfn.IFS(_xlpm.MyAuditVal&lt;&gt;"",_xlpm.MyAuditVal,_xlpm.MacVal&lt;&gt;"",_xlpm.MacVal,_xlpm.CSVVal&lt;&gt;"",_xlpm.CSVVal
)),"")</f>
        <v/>
      </c>
      <c r="F226" s="54" t="str" cm="1">
        <f t="array" ref="F226">IFERROR(_xlfn.LET(
_xlpm.CSVVal,_xlfn.XLOOKUP($A226,CSV!$A:$A,CSV!E:E,""),
_xlpm.MacVal,_xlfn.XLOOKUP($A226,Output_Mac!$A:$A,Output_Mac!F:F,""),
_xlpm.MyAuditVal,_xlfn.XLOOKUP($A226,My_Audit!$A:$A,My_Audit!E:E,""),
_xlfn.IFS(_xlpm.MyAuditVal&lt;&gt;"",_xlpm.MyAuditVal,_xlpm.MacVal&lt;&gt;"",_xlpm.MacVal,_xlpm.CSVVal&lt;&gt;"",PROPER(_xlpm.CSVVal)
)),"")</f>
        <v/>
      </c>
      <c r="G226" s="54" t="str" cm="1">
        <f t="array" ref="G226">IFERROR(_xlfn.LET(
_xlpm.CSVVal,_xlfn.XLOOKUP($A226,CSV!$A:$A,CSV!F:F,""),
_xlpm.MacVal,_xlfn.XLOOKUP($A226,Output_Mac!$A:$A,Output_Mac!H:H,""),
_xlpm.MyAuditVal,_xlfn.XLOOKUP($A226,My_Audit!$A:$A,My_Audit!F:F,""),
_xlfn.IFS(_xlpm.MyAuditVal&lt;&gt;"",_xlpm.MyAuditVal,_xlpm.MacVal&lt;&gt;"",_xlpm.MacVal,_xlpm.CSVVal&lt;&gt;"",_xlpm.CSVVal
)),"")</f>
        <v/>
      </c>
      <c r="H226" s="54" t="str">
        <f>_xlfn.XLOOKUP(A226,Output_Mac!A:A,Output_Mac!I:I,"")</f>
        <v/>
      </c>
      <c r="I226" s="54" t="str" cm="1">
        <f t="array" ref="I226">IFERROR(_xlfn.LET(
_xlpm.CSVVal,_xlfn.XLOOKUP($A226,CSV!$A:$A,CSV!G:G,""),
_xlpm.MacVal,_xlfn.XLOOKUP($A226,Output_Mac!$A:$A,Output_Mac!J:J,""),
_xlpm.MyAuditVal,_xlfn.XLOOKUP($A226,My_Audit!$A:$A,My_Audit!H:H,""),
_xlfn.IFS(_xlpm.MyAuditVal&lt;&gt;"",UPPER(_xlpm.MyAuditVal),_xlpm.MacVal&lt;&gt;"",_xlpm.MacVal,_xlpm.CSVVal&lt;&gt;"",_xlpm.CSVVal
)),"")</f>
        <v/>
      </c>
      <c r="J226" s="54" t="str" cm="1">
        <f t="array" ref="J226">IFERROR(_xlfn.LET(
_xlpm.CSVVal,_xlfn.XLOOKUP($A226,CSV!$A:$A,CSV!I:I,""),
_xlpm.MacVal,_xlfn.XLOOKUP($A226,Output_Mac!$A:$A,Output_Mac!K:K,""),
_xlpm.MyAuditVal,_xlfn.XLOOKUP($A226,My_Audit!$A:$A,My_Audit!I:I,""),
_xlfn.IFS(_xlpm.MyAuditVal&lt;&gt;"",UPPER(_xlpm.MyAuditVal),_xlpm.MacVal&lt;&gt;"",_xlpm.MacVal,_xlpm.CSVVal&lt;&gt;"",_xlpm.CSVVal
)),"")</f>
        <v/>
      </c>
      <c r="K226" s="54" t="str" cm="1">
        <f t="array" ref="K226">IFERROR(_xlfn.LET(
_xlpm.CSVVal,_xlfn.XLOOKUP($A226,CSV!$A:$A,CSV!M:M,""),
_xlpm.MacVal,_xlfn.XLOOKUP($A226,Output_Mac!$A:$A,Output_Mac!L:L,""),
_xlpm.MyAuditVal,_xlfn.XLOOKUP($A226,My_Audit!$A:$A,My_Audit!J:J,""),
_xlfn.IFS(_xlpm.MyAuditVal&lt;&gt;"",UPPER(_xlpm.MyAuditVal),_xlpm.MacVal&lt;&gt;"",_xlpm.MacVal,_xlpm.CSVVal&lt;&gt;"",_xlpm.CSVVal
)),"")</f>
        <v/>
      </c>
      <c r="L226" s="55" t="str" cm="1">
        <f t="array" ref="L226">IFERROR(_xlfn.LET(
_xlpm.CSVVal,_xlfn.XLOOKUP($A226,CSV!$A:$A,CSV!P:P,""),
_xlpm.MacVal,_xlfn.XLOOKUP($A226,Output_Mac!$A:$A,Output_Mac!M:M,""),
_xlpm.MyAuditVal,_xlfn.XLOOKUP($A226,My_Audit!$A:$A,My_Audit!K:K,""),
_xlfn.IFS(_xlpm.MyAuditVal&lt;&gt;"",UPPER(_xlpm.MyAuditVal),_xlpm.MacVal&lt;&gt;"",_xlpm.MacVal,_xlpm.CSVVal&lt;&gt;"",_xlpm.CSVVal
)),"")</f>
        <v/>
      </c>
      <c r="M226" s="54" t="str">
        <f>_xlfn.LET(
    _xlpm.CSVVal, _xlfn.XLOOKUP($A226, CSV!$A:$A, CSV!AD:AD, ""),
    _xlpm.MacVal, _xlfn.XLOOKUP($A226, Output_Mac!$A:$A, Output_Mac!S:S, ""),
    _xlpm.MyAuditVal, _xlfn.XLOOKUP($A226, My_Audit!$A:$A, My_Audit!N:N, ""),
    _xlfn.TEXTJOIN(", ", TRUE, _xlpm.MyAuditVal, _xlpm.MacVal, _xlpm.CSVVal)
)</f>
        <v/>
      </c>
      <c r="N226" s="54" t="str" cm="1">
        <f t="array" ref="N226">IFERROR(_xlfn.LET(
_xlpm.CSVVal,_xlfn.XLOOKUP($A226,CSV!$A:$A,CSV!AF:AF,""),
_xlpm.MacVal,_xlfn.XLOOKUP($A226,Output_Mac!$A:$A,Output_Mac!U:U,""),
_xlpm.MyAuditVal,_xlfn.XLOOKUP($A226,My_Audit!$A:$A,My_Audit!O:O,""),
_xlfn.IFS(_xlpm.MyAuditVal&lt;&gt;"",UPPER(_xlpm.MyAuditVal),_xlpm.MacVal&lt;&gt;"",_xlpm.MacVal,_xlpm.CSVVal&lt;&gt;"",_xlpm.CSVVal
)),"")</f>
        <v/>
      </c>
      <c r="O226" s="54"/>
      <c r="P226" s="54"/>
      <c r="Q226" s="54"/>
      <c r="R226" s="54"/>
      <c r="S226" s="54"/>
      <c r="T226" s="54"/>
      <c r="U226" s="39"/>
    </row>
    <row r="227" spans="1:21">
      <c r="A227" s="54" t="str">
        <f>_xlfn.TEXTJOIN("",TRUE,Input!$B$2,ROW(My_Audit!A226))</f>
        <v>XX226</v>
      </c>
      <c r="B227" s="54" t="str">
        <f>_xlfn.TEXTJOIN("-",TRUE,"ITD",Input!$A$2,A227)</f>
        <v>ITD-SHRXXX-XX226</v>
      </c>
      <c r="C227" s="54" t="str" cm="1">
        <f t="array" ref="C227">IFERROR(_xlfn.LET(
_xlpm.CSVVal,_xlfn.XLOOKUP($A227,CSV!$A:$A,CSV!B:B,""),
_xlpm.MacVal,_xlfn.XLOOKUP($A227,Output_Mac!$A:$A,Output_Mac!B:B,""),
_xlpm.MyAuditVal,_xlfn.XLOOKUP($A227,My_Audit!$A:$A,My_Audit!B:B,""),
_xlfn.IFS(_xlpm.MyAuditVal&lt;&gt;"",UPPER(_xlpm.MyAuditVal),_xlpm.MacVal&lt;&gt;"",_xlpm.MacVal,_xlpm.CSVVal&lt;&gt;"",_xlpm.CSVVal
)),"")</f>
        <v/>
      </c>
      <c r="D227" s="55" t="str">
        <f>_xlfn.XLOOKUP(A227,My_Audit!A:A,My_Audit!D:D,"")&amp;""</f>
        <v/>
      </c>
      <c r="E227" s="55" t="str" cm="1">
        <f t="array" ref="E227">IFERROR(_xlfn.LET(
_xlpm.CSVVal,_xlfn.XLOOKUP($A227,CSV!$A:$A,CSV!D:D,""),
_xlpm.MacVal,_xlfn.XLOOKUP($A227,Output_Mac!$A:$A,Output_Mac!C:C,""),
_xlpm.MyAuditVal,_xlfn.XLOOKUP($A227,My_Audit!$A:$A,My_Audit!D:D,""),
_xlfn.IFS(_xlpm.MyAuditVal&lt;&gt;"",_xlpm.MyAuditVal,_xlpm.MacVal&lt;&gt;"",_xlpm.MacVal,_xlpm.CSVVal&lt;&gt;"",_xlpm.CSVVal
)),"")</f>
        <v/>
      </c>
      <c r="F227" s="54" t="str" cm="1">
        <f t="array" ref="F227">IFERROR(_xlfn.LET(
_xlpm.CSVVal,_xlfn.XLOOKUP($A227,CSV!$A:$A,CSV!E:E,""),
_xlpm.MacVal,_xlfn.XLOOKUP($A227,Output_Mac!$A:$A,Output_Mac!F:F,""),
_xlpm.MyAuditVal,_xlfn.XLOOKUP($A227,My_Audit!$A:$A,My_Audit!E:E,""),
_xlfn.IFS(_xlpm.MyAuditVal&lt;&gt;"",_xlpm.MyAuditVal,_xlpm.MacVal&lt;&gt;"",_xlpm.MacVal,_xlpm.CSVVal&lt;&gt;"",PROPER(_xlpm.CSVVal)
)),"")</f>
        <v/>
      </c>
      <c r="G227" s="54" t="str" cm="1">
        <f t="array" ref="G227">IFERROR(_xlfn.LET(
_xlpm.CSVVal,_xlfn.XLOOKUP($A227,CSV!$A:$A,CSV!F:F,""),
_xlpm.MacVal,_xlfn.XLOOKUP($A227,Output_Mac!$A:$A,Output_Mac!H:H,""),
_xlpm.MyAuditVal,_xlfn.XLOOKUP($A227,My_Audit!$A:$A,My_Audit!F:F,""),
_xlfn.IFS(_xlpm.MyAuditVal&lt;&gt;"",_xlpm.MyAuditVal,_xlpm.MacVal&lt;&gt;"",_xlpm.MacVal,_xlpm.CSVVal&lt;&gt;"",_xlpm.CSVVal
)),"")</f>
        <v/>
      </c>
      <c r="H227" s="54" t="str">
        <f>_xlfn.XLOOKUP(A227,Output_Mac!A:A,Output_Mac!I:I,"")</f>
        <v/>
      </c>
      <c r="I227" s="54" t="str" cm="1">
        <f t="array" ref="I227">IFERROR(_xlfn.LET(
_xlpm.CSVVal,_xlfn.XLOOKUP($A227,CSV!$A:$A,CSV!G:G,""),
_xlpm.MacVal,_xlfn.XLOOKUP($A227,Output_Mac!$A:$A,Output_Mac!J:J,""),
_xlpm.MyAuditVal,_xlfn.XLOOKUP($A227,My_Audit!$A:$A,My_Audit!H:H,""),
_xlfn.IFS(_xlpm.MyAuditVal&lt;&gt;"",UPPER(_xlpm.MyAuditVal),_xlpm.MacVal&lt;&gt;"",_xlpm.MacVal,_xlpm.CSVVal&lt;&gt;"",_xlpm.CSVVal
)),"")</f>
        <v/>
      </c>
      <c r="J227" s="54" t="str" cm="1">
        <f t="array" ref="J227">IFERROR(_xlfn.LET(
_xlpm.CSVVal,_xlfn.XLOOKUP($A227,CSV!$A:$A,CSV!I:I,""),
_xlpm.MacVal,_xlfn.XLOOKUP($A227,Output_Mac!$A:$A,Output_Mac!K:K,""),
_xlpm.MyAuditVal,_xlfn.XLOOKUP($A227,My_Audit!$A:$A,My_Audit!I:I,""),
_xlfn.IFS(_xlpm.MyAuditVal&lt;&gt;"",UPPER(_xlpm.MyAuditVal),_xlpm.MacVal&lt;&gt;"",_xlpm.MacVal,_xlpm.CSVVal&lt;&gt;"",_xlpm.CSVVal
)),"")</f>
        <v/>
      </c>
      <c r="K227" s="54" t="str" cm="1">
        <f t="array" ref="K227">IFERROR(_xlfn.LET(
_xlpm.CSVVal,_xlfn.XLOOKUP($A227,CSV!$A:$A,CSV!M:M,""),
_xlpm.MacVal,_xlfn.XLOOKUP($A227,Output_Mac!$A:$A,Output_Mac!L:L,""),
_xlpm.MyAuditVal,_xlfn.XLOOKUP($A227,My_Audit!$A:$A,My_Audit!J:J,""),
_xlfn.IFS(_xlpm.MyAuditVal&lt;&gt;"",UPPER(_xlpm.MyAuditVal),_xlpm.MacVal&lt;&gt;"",_xlpm.MacVal,_xlpm.CSVVal&lt;&gt;"",_xlpm.CSVVal
)),"")</f>
        <v/>
      </c>
      <c r="L227" s="55" t="str" cm="1">
        <f t="array" ref="L227">IFERROR(_xlfn.LET(
_xlpm.CSVVal,_xlfn.XLOOKUP($A227,CSV!$A:$A,CSV!P:P,""),
_xlpm.MacVal,_xlfn.XLOOKUP($A227,Output_Mac!$A:$A,Output_Mac!M:M,""),
_xlpm.MyAuditVal,_xlfn.XLOOKUP($A227,My_Audit!$A:$A,My_Audit!K:K,""),
_xlfn.IFS(_xlpm.MyAuditVal&lt;&gt;"",UPPER(_xlpm.MyAuditVal),_xlpm.MacVal&lt;&gt;"",_xlpm.MacVal,_xlpm.CSVVal&lt;&gt;"",_xlpm.CSVVal
)),"")</f>
        <v/>
      </c>
      <c r="M227" s="54" t="str">
        <f>_xlfn.LET(
    _xlpm.CSVVal, _xlfn.XLOOKUP($A227, CSV!$A:$A, CSV!AD:AD, ""),
    _xlpm.MacVal, _xlfn.XLOOKUP($A227, Output_Mac!$A:$A, Output_Mac!S:S, ""),
    _xlpm.MyAuditVal, _xlfn.XLOOKUP($A227, My_Audit!$A:$A, My_Audit!N:N, ""),
    _xlfn.TEXTJOIN(", ", TRUE, _xlpm.MyAuditVal, _xlpm.MacVal, _xlpm.CSVVal)
)</f>
        <v/>
      </c>
      <c r="N227" s="54" t="str" cm="1">
        <f t="array" ref="N227">IFERROR(_xlfn.LET(
_xlpm.CSVVal,_xlfn.XLOOKUP($A227,CSV!$A:$A,CSV!AF:AF,""),
_xlpm.MacVal,_xlfn.XLOOKUP($A227,Output_Mac!$A:$A,Output_Mac!U:U,""),
_xlpm.MyAuditVal,_xlfn.XLOOKUP($A227,My_Audit!$A:$A,My_Audit!O:O,""),
_xlfn.IFS(_xlpm.MyAuditVal&lt;&gt;"",UPPER(_xlpm.MyAuditVal),_xlpm.MacVal&lt;&gt;"",_xlpm.MacVal,_xlpm.CSVVal&lt;&gt;"",_xlpm.CSVVal
)),"")</f>
        <v/>
      </c>
      <c r="O227" s="54"/>
      <c r="P227" s="54"/>
      <c r="Q227" s="54"/>
      <c r="R227" s="54"/>
      <c r="S227" s="54"/>
      <c r="T227" s="54"/>
      <c r="U227" s="39"/>
    </row>
    <row r="228" spans="1:21">
      <c r="A228" s="54" t="str">
        <f>_xlfn.TEXTJOIN("",TRUE,Input!$B$2,ROW(My_Audit!A227))</f>
        <v>XX227</v>
      </c>
      <c r="B228" s="54" t="str">
        <f>_xlfn.TEXTJOIN("-",TRUE,"ITD",Input!$A$2,A228)</f>
        <v>ITD-SHRXXX-XX227</v>
      </c>
      <c r="C228" s="54" t="str" cm="1">
        <f t="array" ref="C228">IFERROR(_xlfn.LET(
_xlpm.CSVVal,_xlfn.XLOOKUP($A228,CSV!$A:$A,CSV!B:B,""),
_xlpm.MacVal,_xlfn.XLOOKUP($A228,Output_Mac!$A:$A,Output_Mac!B:B,""),
_xlpm.MyAuditVal,_xlfn.XLOOKUP($A228,My_Audit!$A:$A,My_Audit!B:B,""),
_xlfn.IFS(_xlpm.MyAuditVal&lt;&gt;"",UPPER(_xlpm.MyAuditVal),_xlpm.MacVal&lt;&gt;"",_xlpm.MacVal,_xlpm.CSVVal&lt;&gt;"",_xlpm.CSVVal
)),"")</f>
        <v/>
      </c>
      <c r="D228" s="55" t="str">
        <f>_xlfn.XLOOKUP(A228,My_Audit!A:A,My_Audit!D:D,"")&amp;""</f>
        <v/>
      </c>
      <c r="E228" s="55" t="str" cm="1">
        <f t="array" ref="E228">IFERROR(_xlfn.LET(
_xlpm.CSVVal,_xlfn.XLOOKUP($A228,CSV!$A:$A,CSV!D:D,""),
_xlpm.MacVal,_xlfn.XLOOKUP($A228,Output_Mac!$A:$A,Output_Mac!C:C,""),
_xlpm.MyAuditVal,_xlfn.XLOOKUP($A228,My_Audit!$A:$A,My_Audit!D:D,""),
_xlfn.IFS(_xlpm.MyAuditVal&lt;&gt;"",_xlpm.MyAuditVal,_xlpm.MacVal&lt;&gt;"",_xlpm.MacVal,_xlpm.CSVVal&lt;&gt;"",_xlpm.CSVVal
)),"")</f>
        <v/>
      </c>
      <c r="F228" s="54" t="str" cm="1">
        <f t="array" ref="F228">IFERROR(_xlfn.LET(
_xlpm.CSVVal,_xlfn.XLOOKUP($A228,CSV!$A:$A,CSV!E:E,""),
_xlpm.MacVal,_xlfn.XLOOKUP($A228,Output_Mac!$A:$A,Output_Mac!F:F,""),
_xlpm.MyAuditVal,_xlfn.XLOOKUP($A228,My_Audit!$A:$A,My_Audit!E:E,""),
_xlfn.IFS(_xlpm.MyAuditVal&lt;&gt;"",_xlpm.MyAuditVal,_xlpm.MacVal&lt;&gt;"",_xlpm.MacVal,_xlpm.CSVVal&lt;&gt;"",PROPER(_xlpm.CSVVal)
)),"")</f>
        <v/>
      </c>
      <c r="G228" s="54" t="str" cm="1">
        <f t="array" ref="G228">IFERROR(_xlfn.LET(
_xlpm.CSVVal,_xlfn.XLOOKUP($A228,CSV!$A:$A,CSV!F:F,""),
_xlpm.MacVal,_xlfn.XLOOKUP($A228,Output_Mac!$A:$A,Output_Mac!H:H,""),
_xlpm.MyAuditVal,_xlfn.XLOOKUP($A228,My_Audit!$A:$A,My_Audit!F:F,""),
_xlfn.IFS(_xlpm.MyAuditVal&lt;&gt;"",_xlpm.MyAuditVal,_xlpm.MacVal&lt;&gt;"",_xlpm.MacVal,_xlpm.CSVVal&lt;&gt;"",_xlpm.CSVVal
)),"")</f>
        <v/>
      </c>
      <c r="H228" s="54" t="str">
        <f>_xlfn.XLOOKUP(A228,Output_Mac!A:A,Output_Mac!I:I,"")</f>
        <v/>
      </c>
      <c r="I228" s="54" t="str" cm="1">
        <f t="array" ref="I228">IFERROR(_xlfn.LET(
_xlpm.CSVVal,_xlfn.XLOOKUP($A228,CSV!$A:$A,CSV!G:G,""),
_xlpm.MacVal,_xlfn.XLOOKUP($A228,Output_Mac!$A:$A,Output_Mac!J:J,""),
_xlpm.MyAuditVal,_xlfn.XLOOKUP($A228,My_Audit!$A:$A,My_Audit!H:H,""),
_xlfn.IFS(_xlpm.MyAuditVal&lt;&gt;"",UPPER(_xlpm.MyAuditVal),_xlpm.MacVal&lt;&gt;"",_xlpm.MacVal,_xlpm.CSVVal&lt;&gt;"",_xlpm.CSVVal
)),"")</f>
        <v/>
      </c>
      <c r="J228" s="54" t="str" cm="1">
        <f t="array" ref="J228">IFERROR(_xlfn.LET(
_xlpm.CSVVal,_xlfn.XLOOKUP($A228,CSV!$A:$A,CSV!I:I,""),
_xlpm.MacVal,_xlfn.XLOOKUP($A228,Output_Mac!$A:$A,Output_Mac!K:K,""),
_xlpm.MyAuditVal,_xlfn.XLOOKUP($A228,My_Audit!$A:$A,My_Audit!I:I,""),
_xlfn.IFS(_xlpm.MyAuditVal&lt;&gt;"",UPPER(_xlpm.MyAuditVal),_xlpm.MacVal&lt;&gt;"",_xlpm.MacVal,_xlpm.CSVVal&lt;&gt;"",_xlpm.CSVVal
)),"")</f>
        <v/>
      </c>
      <c r="K228" s="54" t="str" cm="1">
        <f t="array" ref="K228">IFERROR(_xlfn.LET(
_xlpm.CSVVal,_xlfn.XLOOKUP($A228,CSV!$A:$A,CSV!M:M,""),
_xlpm.MacVal,_xlfn.XLOOKUP($A228,Output_Mac!$A:$A,Output_Mac!L:L,""),
_xlpm.MyAuditVal,_xlfn.XLOOKUP($A228,My_Audit!$A:$A,My_Audit!J:J,""),
_xlfn.IFS(_xlpm.MyAuditVal&lt;&gt;"",UPPER(_xlpm.MyAuditVal),_xlpm.MacVal&lt;&gt;"",_xlpm.MacVal,_xlpm.CSVVal&lt;&gt;"",_xlpm.CSVVal
)),"")</f>
        <v/>
      </c>
      <c r="L228" s="55" t="str" cm="1">
        <f t="array" ref="L228">IFERROR(_xlfn.LET(
_xlpm.CSVVal,_xlfn.XLOOKUP($A228,CSV!$A:$A,CSV!P:P,""),
_xlpm.MacVal,_xlfn.XLOOKUP($A228,Output_Mac!$A:$A,Output_Mac!M:M,""),
_xlpm.MyAuditVal,_xlfn.XLOOKUP($A228,My_Audit!$A:$A,My_Audit!K:K,""),
_xlfn.IFS(_xlpm.MyAuditVal&lt;&gt;"",UPPER(_xlpm.MyAuditVal),_xlpm.MacVal&lt;&gt;"",_xlpm.MacVal,_xlpm.CSVVal&lt;&gt;"",_xlpm.CSVVal
)),"")</f>
        <v/>
      </c>
      <c r="M228" s="54" t="str">
        <f>_xlfn.LET(
    _xlpm.CSVVal, _xlfn.XLOOKUP($A228, CSV!$A:$A, CSV!AD:AD, ""),
    _xlpm.MacVal, _xlfn.XLOOKUP($A228, Output_Mac!$A:$A, Output_Mac!S:S, ""),
    _xlpm.MyAuditVal, _xlfn.XLOOKUP($A228, My_Audit!$A:$A, My_Audit!N:N, ""),
    _xlfn.TEXTJOIN(", ", TRUE, _xlpm.MyAuditVal, _xlpm.MacVal, _xlpm.CSVVal)
)</f>
        <v/>
      </c>
      <c r="N228" s="54" t="str" cm="1">
        <f t="array" ref="N228">IFERROR(_xlfn.LET(
_xlpm.CSVVal,_xlfn.XLOOKUP($A228,CSV!$A:$A,CSV!AF:AF,""),
_xlpm.MacVal,_xlfn.XLOOKUP($A228,Output_Mac!$A:$A,Output_Mac!U:U,""),
_xlpm.MyAuditVal,_xlfn.XLOOKUP($A228,My_Audit!$A:$A,My_Audit!O:O,""),
_xlfn.IFS(_xlpm.MyAuditVal&lt;&gt;"",UPPER(_xlpm.MyAuditVal),_xlpm.MacVal&lt;&gt;"",_xlpm.MacVal,_xlpm.CSVVal&lt;&gt;"",_xlpm.CSVVal
)),"")</f>
        <v/>
      </c>
      <c r="O228" s="54"/>
      <c r="P228" s="54"/>
      <c r="Q228" s="54"/>
      <c r="R228" s="54"/>
      <c r="S228" s="54"/>
      <c r="T228" s="54"/>
      <c r="U228" s="39"/>
    </row>
    <row r="229" spans="1:21">
      <c r="A229" s="54" t="str">
        <f>_xlfn.TEXTJOIN("",TRUE,Input!$B$2,ROW(My_Audit!A228))</f>
        <v>XX228</v>
      </c>
      <c r="B229" s="54" t="str">
        <f>_xlfn.TEXTJOIN("-",TRUE,"ITD",Input!$A$2,A229)</f>
        <v>ITD-SHRXXX-XX228</v>
      </c>
      <c r="C229" s="54" t="str" cm="1">
        <f t="array" ref="C229">IFERROR(_xlfn.LET(
_xlpm.CSVVal,_xlfn.XLOOKUP($A229,CSV!$A:$A,CSV!B:B,""),
_xlpm.MacVal,_xlfn.XLOOKUP($A229,Output_Mac!$A:$A,Output_Mac!B:B,""),
_xlpm.MyAuditVal,_xlfn.XLOOKUP($A229,My_Audit!$A:$A,My_Audit!B:B,""),
_xlfn.IFS(_xlpm.MyAuditVal&lt;&gt;"",UPPER(_xlpm.MyAuditVal),_xlpm.MacVal&lt;&gt;"",_xlpm.MacVal,_xlpm.CSVVal&lt;&gt;"",_xlpm.CSVVal
)),"")</f>
        <v/>
      </c>
      <c r="D229" s="55" t="str">
        <f>_xlfn.XLOOKUP(A229,My_Audit!A:A,My_Audit!D:D,"")&amp;""</f>
        <v/>
      </c>
      <c r="E229" s="55" t="str" cm="1">
        <f t="array" ref="E229">IFERROR(_xlfn.LET(
_xlpm.CSVVal,_xlfn.XLOOKUP($A229,CSV!$A:$A,CSV!D:D,""),
_xlpm.MacVal,_xlfn.XLOOKUP($A229,Output_Mac!$A:$A,Output_Mac!C:C,""),
_xlpm.MyAuditVal,_xlfn.XLOOKUP($A229,My_Audit!$A:$A,My_Audit!D:D,""),
_xlfn.IFS(_xlpm.MyAuditVal&lt;&gt;"",_xlpm.MyAuditVal,_xlpm.MacVal&lt;&gt;"",_xlpm.MacVal,_xlpm.CSVVal&lt;&gt;"",_xlpm.CSVVal
)),"")</f>
        <v/>
      </c>
      <c r="F229" s="54" t="str" cm="1">
        <f t="array" ref="F229">IFERROR(_xlfn.LET(
_xlpm.CSVVal,_xlfn.XLOOKUP($A229,CSV!$A:$A,CSV!E:E,""),
_xlpm.MacVal,_xlfn.XLOOKUP($A229,Output_Mac!$A:$A,Output_Mac!F:F,""),
_xlpm.MyAuditVal,_xlfn.XLOOKUP($A229,My_Audit!$A:$A,My_Audit!E:E,""),
_xlfn.IFS(_xlpm.MyAuditVal&lt;&gt;"",_xlpm.MyAuditVal,_xlpm.MacVal&lt;&gt;"",_xlpm.MacVal,_xlpm.CSVVal&lt;&gt;"",PROPER(_xlpm.CSVVal)
)),"")</f>
        <v/>
      </c>
      <c r="G229" s="54" t="str" cm="1">
        <f t="array" ref="G229">IFERROR(_xlfn.LET(
_xlpm.CSVVal,_xlfn.XLOOKUP($A229,CSV!$A:$A,CSV!F:F,""),
_xlpm.MacVal,_xlfn.XLOOKUP($A229,Output_Mac!$A:$A,Output_Mac!H:H,""),
_xlpm.MyAuditVal,_xlfn.XLOOKUP($A229,My_Audit!$A:$A,My_Audit!F:F,""),
_xlfn.IFS(_xlpm.MyAuditVal&lt;&gt;"",_xlpm.MyAuditVal,_xlpm.MacVal&lt;&gt;"",_xlpm.MacVal,_xlpm.CSVVal&lt;&gt;"",_xlpm.CSVVal
)),"")</f>
        <v/>
      </c>
      <c r="H229" s="54" t="str">
        <f>_xlfn.XLOOKUP(A229,Output_Mac!A:A,Output_Mac!I:I,"")</f>
        <v/>
      </c>
      <c r="I229" s="54" t="str" cm="1">
        <f t="array" ref="I229">IFERROR(_xlfn.LET(
_xlpm.CSVVal,_xlfn.XLOOKUP($A229,CSV!$A:$A,CSV!G:G,""),
_xlpm.MacVal,_xlfn.XLOOKUP($A229,Output_Mac!$A:$A,Output_Mac!J:J,""),
_xlpm.MyAuditVal,_xlfn.XLOOKUP($A229,My_Audit!$A:$A,My_Audit!H:H,""),
_xlfn.IFS(_xlpm.MyAuditVal&lt;&gt;"",UPPER(_xlpm.MyAuditVal),_xlpm.MacVal&lt;&gt;"",_xlpm.MacVal,_xlpm.CSVVal&lt;&gt;"",_xlpm.CSVVal
)),"")</f>
        <v/>
      </c>
      <c r="J229" s="54" t="str" cm="1">
        <f t="array" ref="J229">IFERROR(_xlfn.LET(
_xlpm.CSVVal,_xlfn.XLOOKUP($A229,CSV!$A:$A,CSV!I:I,""),
_xlpm.MacVal,_xlfn.XLOOKUP($A229,Output_Mac!$A:$A,Output_Mac!K:K,""),
_xlpm.MyAuditVal,_xlfn.XLOOKUP($A229,My_Audit!$A:$A,My_Audit!I:I,""),
_xlfn.IFS(_xlpm.MyAuditVal&lt;&gt;"",UPPER(_xlpm.MyAuditVal),_xlpm.MacVal&lt;&gt;"",_xlpm.MacVal,_xlpm.CSVVal&lt;&gt;"",_xlpm.CSVVal
)),"")</f>
        <v/>
      </c>
      <c r="K229" s="54" t="str" cm="1">
        <f t="array" ref="K229">IFERROR(_xlfn.LET(
_xlpm.CSVVal,_xlfn.XLOOKUP($A229,CSV!$A:$A,CSV!M:M,""),
_xlpm.MacVal,_xlfn.XLOOKUP($A229,Output_Mac!$A:$A,Output_Mac!L:L,""),
_xlpm.MyAuditVal,_xlfn.XLOOKUP($A229,My_Audit!$A:$A,My_Audit!J:J,""),
_xlfn.IFS(_xlpm.MyAuditVal&lt;&gt;"",UPPER(_xlpm.MyAuditVal),_xlpm.MacVal&lt;&gt;"",_xlpm.MacVal,_xlpm.CSVVal&lt;&gt;"",_xlpm.CSVVal
)),"")</f>
        <v/>
      </c>
      <c r="L229" s="55" t="str" cm="1">
        <f t="array" ref="L229">IFERROR(_xlfn.LET(
_xlpm.CSVVal,_xlfn.XLOOKUP($A229,CSV!$A:$A,CSV!P:P,""),
_xlpm.MacVal,_xlfn.XLOOKUP($A229,Output_Mac!$A:$A,Output_Mac!M:M,""),
_xlpm.MyAuditVal,_xlfn.XLOOKUP($A229,My_Audit!$A:$A,My_Audit!K:K,""),
_xlfn.IFS(_xlpm.MyAuditVal&lt;&gt;"",UPPER(_xlpm.MyAuditVal),_xlpm.MacVal&lt;&gt;"",_xlpm.MacVal,_xlpm.CSVVal&lt;&gt;"",_xlpm.CSVVal
)),"")</f>
        <v/>
      </c>
      <c r="M229" s="54" t="str">
        <f>_xlfn.LET(
    _xlpm.CSVVal, _xlfn.XLOOKUP($A229, CSV!$A:$A, CSV!AD:AD, ""),
    _xlpm.MacVal, _xlfn.XLOOKUP($A229, Output_Mac!$A:$A, Output_Mac!S:S, ""),
    _xlpm.MyAuditVal, _xlfn.XLOOKUP($A229, My_Audit!$A:$A, My_Audit!N:N, ""),
    _xlfn.TEXTJOIN(", ", TRUE, _xlpm.MyAuditVal, _xlpm.MacVal, _xlpm.CSVVal)
)</f>
        <v/>
      </c>
      <c r="N229" s="54" t="str" cm="1">
        <f t="array" ref="N229">IFERROR(_xlfn.LET(
_xlpm.CSVVal,_xlfn.XLOOKUP($A229,CSV!$A:$A,CSV!AF:AF,""),
_xlpm.MacVal,_xlfn.XLOOKUP($A229,Output_Mac!$A:$A,Output_Mac!U:U,""),
_xlpm.MyAuditVal,_xlfn.XLOOKUP($A229,My_Audit!$A:$A,My_Audit!O:O,""),
_xlfn.IFS(_xlpm.MyAuditVal&lt;&gt;"",UPPER(_xlpm.MyAuditVal),_xlpm.MacVal&lt;&gt;"",_xlpm.MacVal,_xlpm.CSVVal&lt;&gt;"",_xlpm.CSVVal
)),"")</f>
        <v/>
      </c>
      <c r="O229" s="54"/>
      <c r="P229" s="54"/>
      <c r="Q229" s="54"/>
      <c r="R229" s="54"/>
      <c r="S229" s="54"/>
      <c r="T229" s="54"/>
      <c r="U229" s="39"/>
    </row>
    <row r="230" spans="1:21">
      <c r="A230" s="54" t="str">
        <f>_xlfn.TEXTJOIN("",TRUE,Input!$B$2,ROW(My_Audit!A229))</f>
        <v>XX229</v>
      </c>
      <c r="B230" s="54" t="str">
        <f>_xlfn.TEXTJOIN("-",TRUE,"ITD",Input!$A$2,A230)</f>
        <v>ITD-SHRXXX-XX229</v>
      </c>
      <c r="C230" s="54" t="str" cm="1">
        <f t="array" ref="C230">IFERROR(_xlfn.LET(
_xlpm.CSVVal,_xlfn.XLOOKUP($A230,CSV!$A:$A,CSV!B:B,""),
_xlpm.MacVal,_xlfn.XLOOKUP($A230,Output_Mac!$A:$A,Output_Mac!B:B,""),
_xlpm.MyAuditVal,_xlfn.XLOOKUP($A230,My_Audit!$A:$A,My_Audit!B:B,""),
_xlfn.IFS(_xlpm.MyAuditVal&lt;&gt;"",UPPER(_xlpm.MyAuditVal),_xlpm.MacVal&lt;&gt;"",_xlpm.MacVal,_xlpm.CSVVal&lt;&gt;"",_xlpm.CSVVal
)),"")</f>
        <v/>
      </c>
      <c r="D230" s="55" t="str">
        <f>_xlfn.XLOOKUP(A230,My_Audit!A:A,My_Audit!D:D,"")&amp;""</f>
        <v/>
      </c>
      <c r="E230" s="55" t="str" cm="1">
        <f t="array" ref="E230">IFERROR(_xlfn.LET(
_xlpm.CSVVal,_xlfn.XLOOKUP($A230,CSV!$A:$A,CSV!D:D,""),
_xlpm.MacVal,_xlfn.XLOOKUP($A230,Output_Mac!$A:$A,Output_Mac!C:C,""),
_xlpm.MyAuditVal,_xlfn.XLOOKUP($A230,My_Audit!$A:$A,My_Audit!D:D,""),
_xlfn.IFS(_xlpm.MyAuditVal&lt;&gt;"",_xlpm.MyAuditVal,_xlpm.MacVal&lt;&gt;"",_xlpm.MacVal,_xlpm.CSVVal&lt;&gt;"",_xlpm.CSVVal
)),"")</f>
        <v/>
      </c>
      <c r="F230" s="54" t="str" cm="1">
        <f t="array" ref="F230">IFERROR(_xlfn.LET(
_xlpm.CSVVal,_xlfn.XLOOKUP($A230,CSV!$A:$A,CSV!E:E,""),
_xlpm.MacVal,_xlfn.XLOOKUP($A230,Output_Mac!$A:$A,Output_Mac!F:F,""),
_xlpm.MyAuditVal,_xlfn.XLOOKUP($A230,My_Audit!$A:$A,My_Audit!E:E,""),
_xlfn.IFS(_xlpm.MyAuditVal&lt;&gt;"",_xlpm.MyAuditVal,_xlpm.MacVal&lt;&gt;"",_xlpm.MacVal,_xlpm.CSVVal&lt;&gt;"",PROPER(_xlpm.CSVVal)
)),"")</f>
        <v/>
      </c>
      <c r="G230" s="54" t="str" cm="1">
        <f t="array" ref="G230">IFERROR(_xlfn.LET(
_xlpm.CSVVal,_xlfn.XLOOKUP($A230,CSV!$A:$A,CSV!F:F,""),
_xlpm.MacVal,_xlfn.XLOOKUP($A230,Output_Mac!$A:$A,Output_Mac!H:H,""),
_xlpm.MyAuditVal,_xlfn.XLOOKUP($A230,My_Audit!$A:$A,My_Audit!F:F,""),
_xlfn.IFS(_xlpm.MyAuditVal&lt;&gt;"",_xlpm.MyAuditVal,_xlpm.MacVal&lt;&gt;"",_xlpm.MacVal,_xlpm.CSVVal&lt;&gt;"",_xlpm.CSVVal
)),"")</f>
        <v/>
      </c>
      <c r="H230" s="54" t="str">
        <f>_xlfn.XLOOKUP(A230,Output_Mac!A:A,Output_Mac!I:I,"")</f>
        <v/>
      </c>
      <c r="I230" s="54" t="str" cm="1">
        <f t="array" ref="I230">IFERROR(_xlfn.LET(
_xlpm.CSVVal,_xlfn.XLOOKUP($A230,CSV!$A:$A,CSV!G:G,""),
_xlpm.MacVal,_xlfn.XLOOKUP($A230,Output_Mac!$A:$A,Output_Mac!J:J,""),
_xlpm.MyAuditVal,_xlfn.XLOOKUP($A230,My_Audit!$A:$A,My_Audit!H:H,""),
_xlfn.IFS(_xlpm.MyAuditVal&lt;&gt;"",UPPER(_xlpm.MyAuditVal),_xlpm.MacVal&lt;&gt;"",_xlpm.MacVal,_xlpm.CSVVal&lt;&gt;"",_xlpm.CSVVal
)),"")</f>
        <v/>
      </c>
      <c r="J230" s="54" t="str" cm="1">
        <f t="array" ref="J230">IFERROR(_xlfn.LET(
_xlpm.CSVVal,_xlfn.XLOOKUP($A230,CSV!$A:$A,CSV!I:I,""),
_xlpm.MacVal,_xlfn.XLOOKUP($A230,Output_Mac!$A:$A,Output_Mac!K:K,""),
_xlpm.MyAuditVal,_xlfn.XLOOKUP($A230,My_Audit!$A:$A,My_Audit!I:I,""),
_xlfn.IFS(_xlpm.MyAuditVal&lt;&gt;"",UPPER(_xlpm.MyAuditVal),_xlpm.MacVal&lt;&gt;"",_xlpm.MacVal,_xlpm.CSVVal&lt;&gt;"",_xlpm.CSVVal
)),"")</f>
        <v/>
      </c>
      <c r="K230" s="54" t="str" cm="1">
        <f t="array" ref="K230">IFERROR(_xlfn.LET(
_xlpm.CSVVal,_xlfn.XLOOKUP($A230,CSV!$A:$A,CSV!M:M,""),
_xlpm.MacVal,_xlfn.XLOOKUP($A230,Output_Mac!$A:$A,Output_Mac!L:L,""),
_xlpm.MyAuditVal,_xlfn.XLOOKUP($A230,My_Audit!$A:$A,My_Audit!J:J,""),
_xlfn.IFS(_xlpm.MyAuditVal&lt;&gt;"",UPPER(_xlpm.MyAuditVal),_xlpm.MacVal&lt;&gt;"",_xlpm.MacVal,_xlpm.CSVVal&lt;&gt;"",_xlpm.CSVVal
)),"")</f>
        <v/>
      </c>
      <c r="L230" s="55" t="str" cm="1">
        <f t="array" ref="L230">IFERROR(_xlfn.LET(
_xlpm.CSVVal,_xlfn.XLOOKUP($A230,CSV!$A:$A,CSV!P:P,""),
_xlpm.MacVal,_xlfn.XLOOKUP($A230,Output_Mac!$A:$A,Output_Mac!M:M,""),
_xlpm.MyAuditVal,_xlfn.XLOOKUP($A230,My_Audit!$A:$A,My_Audit!K:K,""),
_xlfn.IFS(_xlpm.MyAuditVal&lt;&gt;"",UPPER(_xlpm.MyAuditVal),_xlpm.MacVal&lt;&gt;"",_xlpm.MacVal,_xlpm.CSVVal&lt;&gt;"",_xlpm.CSVVal
)),"")</f>
        <v/>
      </c>
      <c r="M230" s="54" t="str">
        <f>_xlfn.LET(
    _xlpm.CSVVal, _xlfn.XLOOKUP($A230, CSV!$A:$A, CSV!AD:AD, ""),
    _xlpm.MacVal, _xlfn.XLOOKUP($A230, Output_Mac!$A:$A, Output_Mac!S:S, ""),
    _xlpm.MyAuditVal, _xlfn.XLOOKUP($A230, My_Audit!$A:$A, My_Audit!N:N, ""),
    _xlfn.TEXTJOIN(", ", TRUE, _xlpm.MyAuditVal, _xlpm.MacVal, _xlpm.CSVVal)
)</f>
        <v/>
      </c>
      <c r="N230" s="54" t="str" cm="1">
        <f t="array" ref="N230">IFERROR(_xlfn.LET(
_xlpm.CSVVal,_xlfn.XLOOKUP($A230,CSV!$A:$A,CSV!AF:AF,""),
_xlpm.MacVal,_xlfn.XLOOKUP($A230,Output_Mac!$A:$A,Output_Mac!U:U,""),
_xlpm.MyAuditVal,_xlfn.XLOOKUP($A230,My_Audit!$A:$A,My_Audit!O:O,""),
_xlfn.IFS(_xlpm.MyAuditVal&lt;&gt;"",UPPER(_xlpm.MyAuditVal),_xlpm.MacVal&lt;&gt;"",_xlpm.MacVal,_xlpm.CSVVal&lt;&gt;"",_xlpm.CSVVal
)),"")</f>
        <v/>
      </c>
      <c r="O230" s="54"/>
      <c r="P230" s="54"/>
      <c r="Q230" s="54"/>
      <c r="R230" s="54"/>
      <c r="S230" s="54"/>
      <c r="T230" s="54"/>
      <c r="U230" s="39"/>
    </row>
    <row r="231" spans="1:21">
      <c r="A231" s="54" t="str">
        <f>_xlfn.TEXTJOIN("",TRUE,Input!$B$2,ROW(My_Audit!A230))</f>
        <v>XX230</v>
      </c>
      <c r="B231" s="54" t="str">
        <f>_xlfn.TEXTJOIN("-",TRUE,"ITD",Input!$A$2,A231)</f>
        <v>ITD-SHRXXX-XX230</v>
      </c>
      <c r="C231" s="54" t="str" cm="1">
        <f t="array" ref="C231">IFERROR(_xlfn.LET(
_xlpm.CSVVal,_xlfn.XLOOKUP($A231,CSV!$A:$A,CSV!B:B,""),
_xlpm.MacVal,_xlfn.XLOOKUP($A231,Output_Mac!$A:$A,Output_Mac!B:B,""),
_xlpm.MyAuditVal,_xlfn.XLOOKUP($A231,My_Audit!$A:$A,My_Audit!B:B,""),
_xlfn.IFS(_xlpm.MyAuditVal&lt;&gt;"",UPPER(_xlpm.MyAuditVal),_xlpm.MacVal&lt;&gt;"",_xlpm.MacVal,_xlpm.CSVVal&lt;&gt;"",_xlpm.CSVVal
)),"")</f>
        <v/>
      </c>
      <c r="D231" s="55" t="str">
        <f>_xlfn.XLOOKUP(A231,My_Audit!A:A,My_Audit!D:D,"")&amp;""</f>
        <v/>
      </c>
      <c r="E231" s="55" t="str" cm="1">
        <f t="array" ref="E231">IFERROR(_xlfn.LET(
_xlpm.CSVVal,_xlfn.XLOOKUP($A231,CSV!$A:$A,CSV!D:D,""),
_xlpm.MacVal,_xlfn.XLOOKUP($A231,Output_Mac!$A:$A,Output_Mac!C:C,""),
_xlpm.MyAuditVal,_xlfn.XLOOKUP($A231,My_Audit!$A:$A,My_Audit!D:D,""),
_xlfn.IFS(_xlpm.MyAuditVal&lt;&gt;"",_xlpm.MyAuditVal,_xlpm.MacVal&lt;&gt;"",_xlpm.MacVal,_xlpm.CSVVal&lt;&gt;"",_xlpm.CSVVal
)),"")</f>
        <v/>
      </c>
      <c r="F231" s="54" t="str" cm="1">
        <f t="array" ref="F231">IFERROR(_xlfn.LET(
_xlpm.CSVVal,_xlfn.XLOOKUP($A231,CSV!$A:$A,CSV!E:E,""),
_xlpm.MacVal,_xlfn.XLOOKUP($A231,Output_Mac!$A:$A,Output_Mac!F:F,""),
_xlpm.MyAuditVal,_xlfn.XLOOKUP($A231,My_Audit!$A:$A,My_Audit!E:E,""),
_xlfn.IFS(_xlpm.MyAuditVal&lt;&gt;"",_xlpm.MyAuditVal,_xlpm.MacVal&lt;&gt;"",_xlpm.MacVal,_xlpm.CSVVal&lt;&gt;"",PROPER(_xlpm.CSVVal)
)),"")</f>
        <v/>
      </c>
      <c r="G231" s="54" t="str" cm="1">
        <f t="array" ref="G231">IFERROR(_xlfn.LET(
_xlpm.CSVVal,_xlfn.XLOOKUP($A231,CSV!$A:$A,CSV!F:F,""),
_xlpm.MacVal,_xlfn.XLOOKUP($A231,Output_Mac!$A:$A,Output_Mac!H:H,""),
_xlpm.MyAuditVal,_xlfn.XLOOKUP($A231,My_Audit!$A:$A,My_Audit!F:F,""),
_xlfn.IFS(_xlpm.MyAuditVal&lt;&gt;"",_xlpm.MyAuditVal,_xlpm.MacVal&lt;&gt;"",_xlpm.MacVal,_xlpm.CSVVal&lt;&gt;"",_xlpm.CSVVal
)),"")</f>
        <v/>
      </c>
      <c r="H231" s="54" t="str">
        <f>_xlfn.XLOOKUP(A231,Output_Mac!A:A,Output_Mac!I:I,"")</f>
        <v/>
      </c>
      <c r="I231" s="54" t="str" cm="1">
        <f t="array" ref="I231">IFERROR(_xlfn.LET(
_xlpm.CSVVal,_xlfn.XLOOKUP($A231,CSV!$A:$A,CSV!G:G,""),
_xlpm.MacVal,_xlfn.XLOOKUP($A231,Output_Mac!$A:$A,Output_Mac!J:J,""),
_xlpm.MyAuditVal,_xlfn.XLOOKUP($A231,My_Audit!$A:$A,My_Audit!H:H,""),
_xlfn.IFS(_xlpm.MyAuditVal&lt;&gt;"",UPPER(_xlpm.MyAuditVal),_xlpm.MacVal&lt;&gt;"",_xlpm.MacVal,_xlpm.CSVVal&lt;&gt;"",_xlpm.CSVVal
)),"")</f>
        <v/>
      </c>
      <c r="J231" s="54" t="str" cm="1">
        <f t="array" ref="J231">IFERROR(_xlfn.LET(
_xlpm.CSVVal,_xlfn.XLOOKUP($A231,CSV!$A:$A,CSV!I:I,""),
_xlpm.MacVal,_xlfn.XLOOKUP($A231,Output_Mac!$A:$A,Output_Mac!K:K,""),
_xlpm.MyAuditVal,_xlfn.XLOOKUP($A231,My_Audit!$A:$A,My_Audit!I:I,""),
_xlfn.IFS(_xlpm.MyAuditVal&lt;&gt;"",UPPER(_xlpm.MyAuditVal),_xlpm.MacVal&lt;&gt;"",_xlpm.MacVal,_xlpm.CSVVal&lt;&gt;"",_xlpm.CSVVal
)),"")</f>
        <v/>
      </c>
      <c r="K231" s="54" t="str" cm="1">
        <f t="array" ref="K231">IFERROR(_xlfn.LET(
_xlpm.CSVVal,_xlfn.XLOOKUP($A231,CSV!$A:$A,CSV!M:M,""),
_xlpm.MacVal,_xlfn.XLOOKUP($A231,Output_Mac!$A:$A,Output_Mac!L:L,""),
_xlpm.MyAuditVal,_xlfn.XLOOKUP($A231,My_Audit!$A:$A,My_Audit!J:J,""),
_xlfn.IFS(_xlpm.MyAuditVal&lt;&gt;"",UPPER(_xlpm.MyAuditVal),_xlpm.MacVal&lt;&gt;"",_xlpm.MacVal,_xlpm.CSVVal&lt;&gt;"",_xlpm.CSVVal
)),"")</f>
        <v/>
      </c>
      <c r="L231" s="55" t="str" cm="1">
        <f t="array" ref="L231">IFERROR(_xlfn.LET(
_xlpm.CSVVal,_xlfn.XLOOKUP($A231,CSV!$A:$A,CSV!P:P,""),
_xlpm.MacVal,_xlfn.XLOOKUP($A231,Output_Mac!$A:$A,Output_Mac!M:M,""),
_xlpm.MyAuditVal,_xlfn.XLOOKUP($A231,My_Audit!$A:$A,My_Audit!K:K,""),
_xlfn.IFS(_xlpm.MyAuditVal&lt;&gt;"",UPPER(_xlpm.MyAuditVal),_xlpm.MacVal&lt;&gt;"",_xlpm.MacVal,_xlpm.CSVVal&lt;&gt;"",_xlpm.CSVVal
)),"")</f>
        <v/>
      </c>
      <c r="M231" s="54" t="str">
        <f>_xlfn.LET(
    _xlpm.CSVVal, _xlfn.XLOOKUP($A231, CSV!$A:$A, CSV!AD:AD, ""),
    _xlpm.MacVal, _xlfn.XLOOKUP($A231, Output_Mac!$A:$A, Output_Mac!S:S, ""),
    _xlpm.MyAuditVal, _xlfn.XLOOKUP($A231, My_Audit!$A:$A, My_Audit!N:N, ""),
    _xlfn.TEXTJOIN(", ", TRUE, _xlpm.MyAuditVal, _xlpm.MacVal, _xlpm.CSVVal)
)</f>
        <v/>
      </c>
      <c r="N231" s="54" t="str" cm="1">
        <f t="array" ref="N231">IFERROR(_xlfn.LET(
_xlpm.CSVVal,_xlfn.XLOOKUP($A231,CSV!$A:$A,CSV!AF:AF,""),
_xlpm.MacVal,_xlfn.XLOOKUP($A231,Output_Mac!$A:$A,Output_Mac!U:U,""),
_xlpm.MyAuditVal,_xlfn.XLOOKUP($A231,My_Audit!$A:$A,My_Audit!O:O,""),
_xlfn.IFS(_xlpm.MyAuditVal&lt;&gt;"",UPPER(_xlpm.MyAuditVal),_xlpm.MacVal&lt;&gt;"",_xlpm.MacVal,_xlpm.CSVVal&lt;&gt;"",_xlpm.CSVVal
)),"")</f>
        <v/>
      </c>
      <c r="O231" s="54"/>
      <c r="P231" s="54"/>
      <c r="Q231" s="54"/>
      <c r="R231" s="54"/>
      <c r="S231" s="54"/>
      <c r="T231" s="54"/>
      <c r="U231" s="39"/>
    </row>
    <row r="232" spans="1:21">
      <c r="A232" s="54" t="str">
        <f>_xlfn.TEXTJOIN("",TRUE,Input!$B$2,ROW(My_Audit!A231))</f>
        <v>XX231</v>
      </c>
      <c r="B232" s="54" t="str">
        <f>_xlfn.TEXTJOIN("-",TRUE,"ITD",Input!$A$2,A232)</f>
        <v>ITD-SHRXXX-XX231</v>
      </c>
      <c r="C232" s="54" t="str" cm="1">
        <f t="array" ref="C232">IFERROR(_xlfn.LET(
_xlpm.CSVVal,_xlfn.XLOOKUP($A232,CSV!$A:$A,CSV!B:B,""),
_xlpm.MacVal,_xlfn.XLOOKUP($A232,Output_Mac!$A:$A,Output_Mac!B:B,""),
_xlpm.MyAuditVal,_xlfn.XLOOKUP($A232,My_Audit!$A:$A,My_Audit!B:B,""),
_xlfn.IFS(_xlpm.MyAuditVal&lt;&gt;"",UPPER(_xlpm.MyAuditVal),_xlpm.MacVal&lt;&gt;"",_xlpm.MacVal,_xlpm.CSVVal&lt;&gt;"",_xlpm.CSVVal
)),"")</f>
        <v/>
      </c>
      <c r="D232" s="55" t="str">
        <f>_xlfn.XLOOKUP(A232,My_Audit!A:A,My_Audit!D:D,"")&amp;""</f>
        <v/>
      </c>
      <c r="E232" s="55" t="str" cm="1">
        <f t="array" ref="E232">IFERROR(_xlfn.LET(
_xlpm.CSVVal,_xlfn.XLOOKUP($A232,CSV!$A:$A,CSV!D:D,""),
_xlpm.MacVal,_xlfn.XLOOKUP($A232,Output_Mac!$A:$A,Output_Mac!C:C,""),
_xlpm.MyAuditVal,_xlfn.XLOOKUP($A232,My_Audit!$A:$A,My_Audit!D:D,""),
_xlfn.IFS(_xlpm.MyAuditVal&lt;&gt;"",_xlpm.MyAuditVal,_xlpm.MacVal&lt;&gt;"",_xlpm.MacVal,_xlpm.CSVVal&lt;&gt;"",_xlpm.CSVVal
)),"")</f>
        <v/>
      </c>
      <c r="F232" s="54" t="str" cm="1">
        <f t="array" ref="F232">IFERROR(_xlfn.LET(
_xlpm.CSVVal,_xlfn.XLOOKUP($A232,CSV!$A:$A,CSV!E:E,""),
_xlpm.MacVal,_xlfn.XLOOKUP($A232,Output_Mac!$A:$A,Output_Mac!F:F,""),
_xlpm.MyAuditVal,_xlfn.XLOOKUP($A232,My_Audit!$A:$A,My_Audit!E:E,""),
_xlfn.IFS(_xlpm.MyAuditVal&lt;&gt;"",_xlpm.MyAuditVal,_xlpm.MacVal&lt;&gt;"",_xlpm.MacVal,_xlpm.CSVVal&lt;&gt;"",PROPER(_xlpm.CSVVal)
)),"")</f>
        <v/>
      </c>
      <c r="G232" s="54" t="str" cm="1">
        <f t="array" ref="G232">IFERROR(_xlfn.LET(
_xlpm.CSVVal,_xlfn.XLOOKUP($A232,CSV!$A:$A,CSV!F:F,""),
_xlpm.MacVal,_xlfn.XLOOKUP($A232,Output_Mac!$A:$A,Output_Mac!H:H,""),
_xlpm.MyAuditVal,_xlfn.XLOOKUP($A232,My_Audit!$A:$A,My_Audit!F:F,""),
_xlfn.IFS(_xlpm.MyAuditVal&lt;&gt;"",_xlpm.MyAuditVal,_xlpm.MacVal&lt;&gt;"",_xlpm.MacVal,_xlpm.CSVVal&lt;&gt;"",_xlpm.CSVVal
)),"")</f>
        <v/>
      </c>
      <c r="H232" s="54" t="str">
        <f>_xlfn.XLOOKUP(A232,Output_Mac!A:A,Output_Mac!I:I,"")</f>
        <v/>
      </c>
      <c r="I232" s="54" t="str" cm="1">
        <f t="array" ref="I232">IFERROR(_xlfn.LET(
_xlpm.CSVVal,_xlfn.XLOOKUP($A232,CSV!$A:$A,CSV!G:G,""),
_xlpm.MacVal,_xlfn.XLOOKUP($A232,Output_Mac!$A:$A,Output_Mac!J:J,""),
_xlpm.MyAuditVal,_xlfn.XLOOKUP($A232,My_Audit!$A:$A,My_Audit!H:H,""),
_xlfn.IFS(_xlpm.MyAuditVal&lt;&gt;"",UPPER(_xlpm.MyAuditVal),_xlpm.MacVal&lt;&gt;"",_xlpm.MacVal,_xlpm.CSVVal&lt;&gt;"",_xlpm.CSVVal
)),"")</f>
        <v/>
      </c>
      <c r="J232" s="54" t="str" cm="1">
        <f t="array" ref="J232">IFERROR(_xlfn.LET(
_xlpm.CSVVal,_xlfn.XLOOKUP($A232,CSV!$A:$A,CSV!I:I,""),
_xlpm.MacVal,_xlfn.XLOOKUP($A232,Output_Mac!$A:$A,Output_Mac!K:K,""),
_xlpm.MyAuditVal,_xlfn.XLOOKUP($A232,My_Audit!$A:$A,My_Audit!I:I,""),
_xlfn.IFS(_xlpm.MyAuditVal&lt;&gt;"",UPPER(_xlpm.MyAuditVal),_xlpm.MacVal&lt;&gt;"",_xlpm.MacVal,_xlpm.CSVVal&lt;&gt;"",_xlpm.CSVVal
)),"")</f>
        <v/>
      </c>
      <c r="K232" s="54" t="str" cm="1">
        <f t="array" ref="K232">IFERROR(_xlfn.LET(
_xlpm.CSVVal,_xlfn.XLOOKUP($A232,CSV!$A:$A,CSV!M:M,""),
_xlpm.MacVal,_xlfn.XLOOKUP($A232,Output_Mac!$A:$A,Output_Mac!L:L,""),
_xlpm.MyAuditVal,_xlfn.XLOOKUP($A232,My_Audit!$A:$A,My_Audit!J:J,""),
_xlfn.IFS(_xlpm.MyAuditVal&lt;&gt;"",UPPER(_xlpm.MyAuditVal),_xlpm.MacVal&lt;&gt;"",_xlpm.MacVal,_xlpm.CSVVal&lt;&gt;"",_xlpm.CSVVal
)),"")</f>
        <v/>
      </c>
      <c r="L232" s="55" t="str" cm="1">
        <f t="array" ref="L232">IFERROR(_xlfn.LET(
_xlpm.CSVVal,_xlfn.XLOOKUP($A232,CSV!$A:$A,CSV!P:P,""),
_xlpm.MacVal,_xlfn.XLOOKUP($A232,Output_Mac!$A:$A,Output_Mac!M:M,""),
_xlpm.MyAuditVal,_xlfn.XLOOKUP($A232,My_Audit!$A:$A,My_Audit!K:K,""),
_xlfn.IFS(_xlpm.MyAuditVal&lt;&gt;"",UPPER(_xlpm.MyAuditVal),_xlpm.MacVal&lt;&gt;"",_xlpm.MacVal,_xlpm.CSVVal&lt;&gt;"",_xlpm.CSVVal
)),"")</f>
        <v/>
      </c>
      <c r="M232" s="54" t="str">
        <f>_xlfn.LET(
    _xlpm.CSVVal, _xlfn.XLOOKUP($A232, CSV!$A:$A, CSV!AD:AD, ""),
    _xlpm.MacVal, _xlfn.XLOOKUP($A232, Output_Mac!$A:$A, Output_Mac!S:S, ""),
    _xlpm.MyAuditVal, _xlfn.XLOOKUP($A232, My_Audit!$A:$A, My_Audit!N:N, ""),
    _xlfn.TEXTJOIN(", ", TRUE, _xlpm.MyAuditVal, _xlpm.MacVal, _xlpm.CSVVal)
)</f>
        <v/>
      </c>
      <c r="N232" s="54" t="str" cm="1">
        <f t="array" ref="N232">IFERROR(_xlfn.LET(
_xlpm.CSVVal,_xlfn.XLOOKUP($A232,CSV!$A:$A,CSV!AF:AF,""),
_xlpm.MacVal,_xlfn.XLOOKUP($A232,Output_Mac!$A:$A,Output_Mac!U:U,""),
_xlpm.MyAuditVal,_xlfn.XLOOKUP($A232,My_Audit!$A:$A,My_Audit!O:O,""),
_xlfn.IFS(_xlpm.MyAuditVal&lt;&gt;"",UPPER(_xlpm.MyAuditVal),_xlpm.MacVal&lt;&gt;"",_xlpm.MacVal,_xlpm.CSVVal&lt;&gt;"",_xlpm.CSVVal
)),"")</f>
        <v/>
      </c>
      <c r="O232" s="54"/>
      <c r="P232" s="54"/>
      <c r="Q232" s="54"/>
      <c r="R232" s="54"/>
      <c r="S232" s="54"/>
      <c r="T232" s="54"/>
      <c r="U232" s="39"/>
    </row>
    <row r="233" spans="1:21">
      <c r="A233" s="54" t="str">
        <f>_xlfn.TEXTJOIN("",TRUE,Input!$B$2,ROW(My_Audit!A232))</f>
        <v>XX232</v>
      </c>
      <c r="B233" s="54" t="str">
        <f>_xlfn.TEXTJOIN("-",TRUE,"ITD",Input!$A$2,A233)</f>
        <v>ITD-SHRXXX-XX232</v>
      </c>
      <c r="C233" s="54" t="str" cm="1">
        <f t="array" ref="C233">IFERROR(_xlfn.LET(
_xlpm.CSVVal,_xlfn.XLOOKUP($A233,CSV!$A:$A,CSV!B:B,""),
_xlpm.MacVal,_xlfn.XLOOKUP($A233,Output_Mac!$A:$A,Output_Mac!B:B,""),
_xlpm.MyAuditVal,_xlfn.XLOOKUP($A233,My_Audit!$A:$A,My_Audit!B:B,""),
_xlfn.IFS(_xlpm.MyAuditVal&lt;&gt;"",UPPER(_xlpm.MyAuditVal),_xlpm.MacVal&lt;&gt;"",_xlpm.MacVal,_xlpm.CSVVal&lt;&gt;"",_xlpm.CSVVal
)),"")</f>
        <v/>
      </c>
      <c r="D233" s="55" t="str">
        <f>_xlfn.XLOOKUP(A233,My_Audit!A:A,My_Audit!D:D,"")&amp;""</f>
        <v/>
      </c>
      <c r="E233" s="55" t="str" cm="1">
        <f t="array" ref="E233">IFERROR(_xlfn.LET(
_xlpm.CSVVal,_xlfn.XLOOKUP($A233,CSV!$A:$A,CSV!D:D,""),
_xlpm.MacVal,_xlfn.XLOOKUP($A233,Output_Mac!$A:$A,Output_Mac!C:C,""),
_xlpm.MyAuditVal,_xlfn.XLOOKUP($A233,My_Audit!$A:$A,My_Audit!D:D,""),
_xlfn.IFS(_xlpm.MyAuditVal&lt;&gt;"",_xlpm.MyAuditVal,_xlpm.MacVal&lt;&gt;"",_xlpm.MacVal,_xlpm.CSVVal&lt;&gt;"",_xlpm.CSVVal
)),"")</f>
        <v/>
      </c>
      <c r="F233" s="54" t="str" cm="1">
        <f t="array" ref="F233">IFERROR(_xlfn.LET(
_xlpm.CSVVal,_xlfn.XLOOKUP($A233,CSV!$A:$A,CSV!E:E,""),
_xlpm.MacVal,_xlfn.XLOOKUP($A233,Output_Mac!$A:$A,Output_Mac!F:F,""),
_xlpm.MyAuditVal,_xlfn.XLOOKUP($A233,My_Audit!$A:$A,My_Audit!E:E,""),
_xlfn.IFS(_xlpm.MyAuditVal&lt;&gt;"",_xlpm.MyAuditVal,_xlpm.MacVal&lt;&gt;"",_xlpm.MacVal,_xlpm.CSVVal&lt;&gt;"",PROPER(_xlpm.CSVVal)
)),"")</f>
        <v/>
      </c>
      <c r="G233" s="54" t="str" cm="1">
        <f t="array" ref="G233">IFERROR(_xlfn.LET(
_xlpm.CSVVal,_xlfn.XLOOKUP($A233,CSV!$A:$A,CSV!F:F,""),
_xlpm.MacVal,_xlfn.XLOOKUP($A233,Output_Mac!$A:$A,Output_Mac!H:H,""),
_xlpm.MyAuditVal,_xlfn.XLOOKUP($A233,My_Audit!$A:$A,My_Audit!F:F,""),
_xlfn.IFS(_xlpm.MyAuditVal&lt;&gt;"",_xlpm.MyAuditVal,_xlpm.MacVal&lt;&gt;"",_xlpm.MacVal,_xlpm.CSVVal&lt;&gt;"",_xlpm.CSVVal
)),"")</f>
        <v/>
      </c>
      <c r="H233" s="54" t="str">
        <f>_xlfn.XLOOKUP(A233,Output_Mac!A:A,Output_Mac!I:I,"")</f>
        <v/>
      </c>
      <c r="I233" s="54" t="str" cm="1">
        <f t="array" ref="I233">IFERROR(_xlfn.LET(
_xlpm.CSVVal,_xlfn.XLOOKUP($A233,CSV!$A:$A,CSV!G:G,""),
_xlpm.MacVal,_xlfn.XLOOKUP($A233,Output_Mac!$A:$A,Output_Mac!J:J,""),
_xlpm.MyAuditVal,_xlfn.XLOOKUP($A233,My_Audit!$A:$A,My_Audit!H:H,""),
_xlfn.IFS(_xlpm.MyAuditVal&lt;&gt;"",UPPER(_xlpm.MyAuditVal),_xlpm.MacVal&lt;&gt;"",_xlpm.MacVal,_xlpm.CSVVal&lt;&gt;"",_xlpm.CSVVal
)),"")</f>
        <v/>
      </c>
      <c r="J233" s="54" t="str" cm="1">
        <f t="array" ref="J233">IFERROR(_xlfn.LET(
_xlpm.CSVVal,_xlfn.XLOOKUP($A233,CSV!$A:$A,CSV!I:I,""),
_xlpm.MacVal,_xlfn.XLOOKUP($A233,Output_Mac!$A:$A,Output_Mac!K:K,""),
_xlpm.MyAuditVal,_xlfn.XLOOKUP($A233,My_Audit!$A:$A,My_Audit!I:I,""),
_xlfn.IFS(_xlpm.MyAuditVal&lt;&gt;"",UPPER(_xlpm.MyAuditVal),_xlpm.MacVal&lt;&gt;"",_xlpm.MacVal,_xlpm.CSVVal&lt;&gt;"",_xlpm.CSVVal
)),"")</f>
        <v/>
      </c>
      <c r="K233" s="54" t="str" cm="1">
        <f t="array" ref="K233">IFERROR(_xlfn.LET(
_xlpm.CSVVal,_xlfn.XLOOKUP($A233,CSV!$A:$A,CSV!M:M,""),
_xlpm.MacVal,_xlfn.XLOOKUP($A233,Output_Mac!$A:$A,Output_Mac!L:L,""),
_xlpm.MyAuditVal,_xlfn.XLOOKUP($A233,My_Audit!$A:$A,My_Audit!J:J,""),
_xlfn.IFS(_xlpm.MyAuditVal&lt;&gt;"",UPPER(_xlpm.MyAuditVal),_xlpm.MacVal&lt;&gt;"",_xlpm.MacVal,_xlpm.CSVVal&lt;&gt;"",_xlpm.CSVVal
)),"")</f>
        <v/>
      </c>
      <c r="L233" s="55" t="str" cm="1">
        <f t="array" ref="L233">IFERROR(_xlfn.LET(
_xlpm.CSVVal,_xlfn.XLOOKUP($A233,CSV!$A:$A,CSV!P:P,""),
_xlpm.MacVal,_xlfn.XLOOKUP($A233,Output_Mac!$A:$A,Output_Mac!M:M,""),
_xlpm.MyAuditVal,_xlfn.XLOOKUP($A233,My_Audit!$A:$A,My_Audit!K:K,""),
_xlfn.IFS(_xlpm.MyAuditVal&lt;&gt;"",UPPER(_xlpm.MyAuditVal),_xlpm.MacVal&lt;&gt;"",_xlpm.MacVal,_xlpm.CSVVal&lt;&gt;"",_xlpm.CSVVal
)),"")</f>
        <v/>
      </c>
      <c r="M233" s="54" t="str">
        <f>_xlfn.LET(
    _xlpm.CSVVal, _xlfn.XLOOKUP($A233, CSV!$A:$A, CSV!AD:AD, ""),
    _xlpm.MacVal, _xlfn.XLOOKUP($A233, Output_Mac!$A:$A, Output_Mac!S:S, ""),
    _xlpm.MyAuditVal, _xlfn.XLOOKUP($A233, My_Audit!$A:$A, My_Audit!N:N, ""),
    _xlfn.TEXTJOIN(", ", TRUE, _xlpm.MyAuditVal, _xlpm.MacVal, _xlpm.CSVVal)
)</f>
        <v/>
      </c>
      <c r="N233" s="54" t="str" cm="1">
        <f t="array" ref="N233">IFERROR(_xlfn.LET(
_xlpm.CSVVal,_xlfn.XLOOKUP($A233,CSV!$A:$A,CSV!AF:AF,""),
_xlpm.MacVal,_xlfn.XLOOKUP($A233,Output_Mac!$A:$A,Output_Mac!U:U,""),
_xlpm.MyAuditVal,_xlfn.XLOOKUP($A233,My_Audit!$A:$A,My_Audit!O:O,""),
_xlfn.IFS(_xlpm.MyAuditVal&lt;&gt;"",UPPER(_xlpm.MyAuditVal),_xlpm.MacVal&lt;&gt;"",_xlpm.MacVal,_xlpm.CSVVal&lt;&gt;"",_xlpm.CSVVal
)),"")</f>
        <v/>
      </c>
      <c r="O233" s="54"/>
      <c r="P233" s="54"/>
      <c r="Q233" s="54"/>
      <c r="R233" s="54"/>
      <c r="S233" s="54"/>
      <c r="T233" s="54"/>
      <c r="U233" s="39"/>
    </row>
    <row r="234" spans="1:21">
      <c r="A234" s="54" t="str">
        <f>_xlfn.TEXTJOIN("",TRUE,Input!$B$2,ROW(My_Audit!A233))</f>
        <v>XX233</v>
      </c>
      <c r="B234" s="54" t="str">
        <f>_xlfn.TEXTJOIN("-",TRUE,"ITD",Input!$A$2,A234)</f>
        <v>ITD-SHRXXX-XX233</v>
      </c>
      <c r="C234" s="54" t="str" cm="1">
        <f t="array" ref="C234">IFERROR(_xlfn.LET(
_xlpm.CSVVal,_xlfn.XLOOKUP($A234,CSV!$A:$A,CSV!B:B,""),
_xlpm.MacVal,_xlfn.XLOOKUP($A234,Output_Mac!$A:$A,Output_Mac!B:B,""),
_xlpm.MyAuditVal,_xlfn.XLOOKUP($A234,My_Audit!$A:$A,My_Audit!B:B,""),
_xlfn.IFS(_xlpm.MyAuditVal&lt;&gt;"",UPPER(_xlpm.MyAuditVal),_xlpm.MacVal&lt;&gt;"",_xlpm.MacVal,_xlpm.CSVVal&lt;&gt;"",_xlpm.CSVVal
)),"")</f>
        <v/>
      </c>
      <c r="D234" s="55" t="str">
        <f>_xlfn.XLOOKUP(A234,My_Audit!A:A,My_Audit!D:D,"")&amp;""</f>
        <v/>
      </c>
      <c r="E234" s="55" t="str" cm="1">
        <f t="array" ref="E234">IFERROR(_xlfn.LET(
_xlpm.CSVVal,_xlfn.XLOOKUP($A234,CSV!$A:$A,CSV!D:D,""),
_xlpm.MacVal,_xlfn.XLOOKUP($A234,Output_Mac!$A:$A,Output_Mac!C:C,""),
_xlpm.MyAuditVal,_xlfn.XLOOKUP($A234,My_Audit!$A:$A,My_Audit!D:D,""),
_xlfn.IFS(_xlpm.MyAuditVal&lt;&gt;"",_xlpm.MyAuditVal,_xlpm.MacVal&lt;&gt;"",_xlpm.MacVal,_xlpm.CSVVal&lt;&gt;"",_xlpm.CSVVal
)),"")</f>
        <v/>
      </c>
      <c r="F234" s="54" t="str" cm="1">
        <f t="array" ref="F234">IFERROR(_xlfn.LET(
_xlpm.CSVVal,_xlfn.XLOOKUP($A234,CSV!$A:$A,CSV!E:E,""),
_xlpm.MacVal,_xlfn.XLOOKUP($A234,Output_Mac!$A:$A,Output_Mac!F:F,""),
_xlpm.MyAuditVal,_xlfn.XLOOKUP($A234,My_Audit!$A:$A,My_Audit!E:E,""),
_xlfn.IFS(_xlpm.MyAuditVal&lt;&gt;"",_xlpm.MyAuditVal,_xlpm.MacVal&lt;&gt;"",_xlpm.MacVal,_xlpm.CSVVal&lt;&gt;"",PROPER(_xlpm.CSVVal)
)),"")</f>
        <v/>
      </c>
      <c r="G234" s="54" t="str" cm="1">
        <f t="array" ref="G234">IFERROR(_xlfn.LET(
_xlpm.CSVVal,_xlfn.XLOOKUP($A234,CSV!$A:$A,CSV!F:F,""),
_xlpm.MacVal,_xlfn.XLOOKUP($A234,Output_Mac!$A:$A,Output_Mac!H:H,""),
_xlpm.MyAuditVal,_xlfn.XLOOKUP($A234,My_Audit!$A:$A,My_Audit!F:F,""),
_xlfn.IFS(_xlpm.MyAuditVal&lt;&gt;"",_xlpm.MyAuditVal,_xlpm.MacVal&lt;&gt;"",_xlpm.MacVal,_xlpm.CSVVal&lt;&gt;"",_xlpm.CSVVal
)),"")</f>
        <v/>
      </c>
      <c r="H234" s="54" t="str">
        <f>_xlfn.XLOOKUP(A234,Output_Mac!A:A,Output_Mac!I:I,"")</f>
        <v/>
      </c>
      <c r="I234" s="54" t="str" cm="1">
        <f t="array" ref="I234">IFERROR(_xlfn.LET(
_xlpm.CSVVal,_xlfn.XLOOKUP($A234,CSV!$A:$A,CSV!G:G,""),
_xlpm.MacVal,_xlfn.XLOOKUP($A234,Output_Mac!$A:$A,Output_Mac!J:J,""),
_xlpm.MyAuditVal,_xlfn.XLOOKUP($A234,My_Audit!$A:$A,My_Audit!H:H,""),
_xlfn.IFS(_xlpm.MyAuditVal&lt;&gt;"",UPPER(_xlpm.MyAuditVal),_xlpm.MacVal&lt;&gt;"",_xlpm.MacVal,_xlpm.CSVVal&lt;&gt;"",_xlpm.CSVVal
)),"")</f>
        <v/>
      </c>
      <c r="J234" s="54" t="str" cm="1">
        <f t="array" ref="J234">IFERROR(_xlfn.LET(
_xlpm.CSVVal,_xlfn.XLOOKUP($A234,CSV!$A:$A,CSV!I:I,""),
_xlpm.MacVal,_xlfn.XLOOKUP($A234,Output_Mac!$A:$A,Output_Mac!K:K,""),
_xlpm.MyAuditVal,_xlfn.XLOOKUP($A234,My_Audit!$A:$A,My_Audit!I:I,""),
_xlfn.IFS(_xlpm.MyAuditVal&lt;&gt;"",UPPER(_xlpm.MyAuditVal),_xlpm.MacVal&lt;&gt;"",_xlpm.MacVal,_xlpm.CSVVal&lt;&gt;"",_xlpm.CSVVal
)),"")</f>
        <v/>
      </c>
      <c r="K234" s="54" t="str" cm="1">
        <f t="array" ref="K234">IFERROR(_xlfn.LET(
_xlpm.CSVVal,_xlfn.XLOOKUP($A234,CSV!$A:$A,CSV!M:M,""),
_xlpm.MacVal,_xlfn.XLOOKUP($A234,Output_Mac!$A:$A,Output_Mac!L:L,""),
_xlpm.MyAuditVal,_xlfn.XLOOKUP($A234,My_Audit!$A:$A,My_Audit!J:J,""),
_xlfn.IFS(_xlpm.MyAuditVal&lt;&gt;"",UPPER(_xlpm.MyAuditVal),_xlpm.MacVal&lt;&gt;"",_xlpm.MacVal,_xlpm.CSVVal&lt;&gt;"",_xlpm.CSVVal
)),"")</f>
        <v/>
      </c>
      <c r="L234" s="55" t="str" cm="1">
        <f t="array" ref="L234">IFERROR(_xlfn.LET(
_xlpm.CSVVal,_xlfn.XLOOKUP($A234,CSV!$A:$A,CSV!P:P,""),
_xlpm.MacVal,_xlfn.XLOOKUP($A234,Output_Mac!$A:$A,Output_Mac!M:M,""),
_xlpm.MyAuditVal,_xlfn.XLOOKUP($A234,My_Audit!$A:$A,My_Audit!K:K,""),
_xlfn.IFS(_xlpm.MyAuditVal&lt;&gt;"",UPPER(_xlpm.MyAuditVal),_xlpm.MacVal&lt;&gt;"",_xlpm.MacVal,_xlpm.CSVVal&lt;&gt;"",_xlpm.CSVVal
)),"")</f>
        <v/>
      </c>
      <c r="M234" s="54" t="str">
        <f>_xlfn.LET(
    _xlpm.CSVVal, _xlfn.XLOOKUP($A234, CSV!$A:$A, CSV!AD:AD, ""),
    _xlpm.MacVal, _xlfn.XLOOKUP($A234, Output_Mac!$A:$A, Output_Mac!S:S, ""),
    _xlpm.MyAuditVal, _xlfn.XLOOKUP($A234, My_Audit!$A:$A, My_Audit!N:N, ""),
    _xlfn.TEXTJOIN(", ", TRUE, _xlpm.MyAuditVal, _xlpm.MacVal, _xlpm.CSVVal)
)</f>
        <v/>
      </c>
      <c r="N234" s="54" t="str" cm="1">
        <f t="array" ref="N234">IFERROR(_xlfn.LET(
_xlpm.CSVVal,_xlfn.XLOOKUP($A234,CSV!$A:$A,CSV!AF:AF,""),
_xlpm.MacVal,_xlfn.XLOOKUP($A234,Output_Mac!$A:$A,Output_Mac!U:U,""),
_xlpm.MyAuditVal,_xlfn.XLOOKUP($A234,My_Audit!$A:$A,My_Audit!O:O,""),
_xlfn.IFS(_xlpm.MyAuditVal&lt;&gt;"",UPPER(_xlpm.MyAuditVal),_xlpm.MacVal&lt;&gt;"",_xlpm.MacVal,_xlpm.CSVVal&lt;&gt;"",_xlpm.CSVVal
)),"")</f>
        <v/>
      </c>
      <c r="O234" s="54"/>
      <c r="P234" s="54"/>
      <c r="Q234" s="54"/>
      <c r="R234" s="54"/>
      <c r="S234" s="54"/>
      <c r="T234" s="54"/>
      <c r="U234" s="39"/>
    </row>
    <row r="235" spans="1:21">
      <c r="A235" s="54" t="str">
        <f>_xlfn.TEXTJOIN("",TRUE,Input!$B$2,ROW(My_Audit!A234))</f>
        <v>XX234</v>
      </c>
      <c r="B235" s="54" t="str">
        <f>_xlfn.TEXTJOIN("-",TRUE,"ITD",Input!$A$2,A235)</f>
        <v>ITD-SHRXXX-XX234</v>
      </c>
      <c r="C235" s="54" t="str" cm="1">
        <f t="array" ref="C235">IFERROR(_xlfn.LET(
_xlpm.CSVVal,_xlfn.XLOOKUP($A235,CSV!$A:$A,CSV!B:B,""),
_xlpm.MacVal,_xlfn.XLOOKUP($A235,Output_Mac!$A:$A,Output_Mac!B:B,""),
_xlpm.MyAuditVal,_xlfn.XLOOKUP($A235,My_Audit!$A:$A,My_Audit!B:B,""),
_xlfn.IFS(_xlpm.MyAuditVal&lt;&gt;"",UPPER(_xlpm.MyAuditVal),_xlpm.MacVal&lt;&gt;"",_xlpm.MacVal,_xlpm.CSVVal&lt;&gt;"",_xlpm.CSVVal
)),"")</f>
        <v/>
      </c>
      <c r="D235" s="55" t="str">
        <f>_xlfn.XLOOKUP(A235,My_Audit!A:A,My_Audit!D:D,"")&amp;""</f>
        <v/>
      </c>
      <c r="E235" s="55" t="str" cm="1">
        <f t="array" ref="E235">IFERROR(_xlfn.LET(
_xlpm.CSVVal,_xlfn.XLOOKUP($A235,CSV!$A:$A,CSV!D:D,""),
_xlpm.MacVal,_xlfn.XLOOKUP($A235,Output_Mac!$A:$A,Output_Mac!C:C,""),
_xlpm.MyAuditVal,_xlfn.XLOOKUP($A235,My_Audit!$A:$A,My_Audit!D:D,""),
_xlfn.IFS(_xlpm.MyAuditVal&lt;&gt;"",_xlpm.MyAuditVal,_xlpm.MacVal&lt;&gt;"",_xlpm.MacVal,_xlpm.CSVVal&lt;&gt;"",_xlpm.CSVVal
)),"")</f>
        <v/>
      </c>
      <c r="F235" s="54" t="str" cm="1">
        <f t="array" ref="F235">IFERROR(_xlfn.LET(
_xlpm.CSVVal,_xlfn.XLOOKUP($A235,CSV!$A:$A,CSV!E:E,""),
_xlpm.MacVal,_xlfn.XLOOKUP($A235,Output_Mac!$A:$A,Output_Mac!F:F,""),
_xlpm.MyAuditVal,_xlfn.XLOOKUP($A235,My_Audit!$A:$A,My_Audit!E:E,""),
_xlfn.IFS(_xlpm.MyAuditVal&lt;&gt;"",_xlpm.MyAuditVal,_xlpm.MacVal&lt;&gt;"",_xlpm.MacVal,_xlpm.CSVVal&lt;&gt;"",PROPER(_xlpm.CSVVal)
)),"")</f>
        <v/>
      </c>
      <c r="G235" s="54" t="str" cm="1">
        <f t="array" ref="G235">IFERROR(_xlfn.LET(
_xlpm.CSVVal,_xlfn.XLOOKUP($A235,CSV!$A:$A,CSV!F:F,""),
_xlpm.MacVal,_xlfn.XLOOKUP($A235,Output_Mac!$A:$A,Output_Mac!H:H,""),
_xlpm.MyAuditVal,_xlfn.XLOOKUP($A235,My_Audit!$A:$A,My_Audit!F:F,""),
_xlfn.IFS(_xlpm.MyAuditVal&lt;&gt;"",_xlpm.MyAuditVal,_xlpm.MacVal&lt;&gt;"",_xlpm.MacVal,_xlpm.CSVVal&lt;&gt;"",_xlpm.CSVVal
)),"")</f>
        <v/>
      </c>
      <c r="H235" s="54" t="str">
        <f>_xlfn.XLOOKUP(A235,Output_Mac!A:A,Output_Mac!I:I,"")</f>
        <v/>
      </c>
      <c r="I235" s="54" t="str" cm="1">
        <f t="array" ref="I235">IFERROR(_xlfn.LET(
_xlpm.CSVVal,_xlfn.XLOOKUP($A235,CSV!$A:$A,CSV!G:G,""),
_xlpm.MacVal,_xlfn.XLOOKUP($A235,Output_Mac!$A:$A,Output_Mac!J:J,""),
_xlpm.MyAuditVal,_xlfn.XLOOKUP($A235,My_Audit!$A:$A,My_Audit!H:H,""),
_xlfn.IFS(_xlpm.MyAuditVal&lt;&gt;"",UPPER(_xlpm.MyAuditVal),_xlpm.MacVal&lt;&gt;"",_xlpm.MacVal,_xlpm.CSVVal&lt;&gt;"",_xlpm.CSVVal
)),"")</f>
        <v/>
      </c>
      <c r="J235" s="54" t="str" cm="1">
        <f t="array" ref="J235">IFERROR(_xlfn.LET(
_xlpm.CSVVal,_xlfn.XLOOKUP($A235,CSV!$A:$A,CSV!I:I,""),
_xlpm.MacVal,_xlfn.XLOOKUP($A235,Output_Mac!$A:$A,Output_Mac!K:K,""),
_xlpm.MyAuditVal,_xlfn.XLOOKUP($A235,My_Audit!$A:$A,My_Audit!I:I,""),
_xlfn.IFS(_xlpm.MyAuditVal&lt;&gt;"",UPPER(_xlpm.MyAuditVal),_xlpm.MacVal&lt;&gt;"",_xlpm.MacVal,_xlpm.CSVVal&lt;&gt;"",_xlpm.CSVVal
)),"")</f>
        <v/>
      </c>
      <c r="K235" s="54" t="str" cm="1">
        <f t="array" ref="K235">IFERROR(_xlfn.LET(
_xlpm.CSVVal,_xlfn.XLOOKUP($A235,CSV!$A:$A,CSV!M:M,""),
_xlpm.MacVal,_xlfn.XLOOKUP($A235,Output_Mac!$A:$A,Output_Mac!L:L,""),
_xlpm.MyAuditVal,_xlfn.XLOOKUP($A235,My_Audit!$A:$A,My_Audit!J:J,""),
_xlfn.IFS(_xlpm.MyAuditVal&lt;&gt;"",UPPER(_xlpm.MyAuditVal),_xlpm.MacVal&lt;&gt;"",_xlpm.MacVal,_xlpm.CSVVal&lt;&gt;"",_xlpm.CSVVal
)),"")</f>
        <v/>
      </c>
      <c r="L235" s="55" t="str" cm="1">
        <f t="array" ref="L235">IFERROR(_xlfn.LET(
_xlpm.CSVVal,_xlfn.XLOOKUP($A235,CSV!$A:$A,CSV!P:P,""),
_xlpm.MacVal,_xlfn.XLOOKUP($A235,Output_Mac!$A:$A,Output_Mac!M:M,""),
_xlpm.MyAuditVal,_xlfn.XLOOKUP($A235,My_Audit!$A:$A,My_Audit!K:K,""),
_xlfn.IFS(_xlpm.MyAuditVal&lt;&gt;"",UPPER(_xlpm.MyAuditVal),_xlpm.MacVal&lt;&gt;"",_xlpm.MacVal,_xlpm.CSVVal&lt;&gt;"",_xlpm.CSVVal
)),"")</f>
        <v/>
      </c>
      <c r="M235" s="54" t="str">
        <f>_xlfn.LET(
    _xlpm.CSVVal, _xlfn.XLOOKUP($A235, CSV!$A:$A, CSV!AD:AD, ""),
    _xlpm.MacVal, _xlfn.XLOOKUP($A235, Output_Mac!$A:$A, Output_Mac!S:S, ""),
    _xlpm.MyAuditVal, _xlfn.XLOOKUP($A235, My_Audit!$A:$A, My_Audit!N:N, ""),
    _xlfn.TEXTJOIN(", ", TRUE, _xlpm.MyAuditVal, _xlpm.MacVal, _xlpm.CSVVal)
)</f>
        <v/>
      </c>
      <c r="N235" s="54" t="str" cm="1">
        <f t="array" ref="N235">IFERROR(_xlfn.LET(
_xlpm.CSVVal,_xlfn.XLOOKUP($A235,CSV!$A:$A,CSV!AF:AF,""),
_xlpm.MacVal,_xlfn.XLOOKUP($A235,Output_Mac!$A:$A,Output_Mac!U:U,""),
_xlpm.MyAuditVal,_xlfn.XLOOKUP($A235,My_Audit!$A:$A,My_Audit!O:O,""),
_xlfn.IFS(_xlpm.MyAuditVal&lt;&gt;"",UPPER(_xlpm.MyAuditVal),_xlpm.MacVal&lt;&gt;"",_xlpm.MacVal,_xlpm.CSVVal&lt;&gt;"",_xlpm.CSVVal
)),"")</f>
        <v/>
      </c>
      <c r="O235" s="54"/>
      <c r="P235" s="54"/>
      <c r="Q235" s="54"/>
      <c r="R235" s="54"/>
      <c r="S235" s="54"/>
      <c r="T235" s="54"/>
      <c r="U235" s="39"/>
    </row>
    <row r="236" spans="1:21">
      <c r="A236" s="54" t="str">
        <f>_xlfn.TEXTJOIN("",TRUE,Input!$B$2,ROW(My_Audit!A235))</f>
        <v>XX235</v>
      </c>
      <c r="B236" s="54" t="str">
        <f>_xlfn.TEXTJOIN("-",TRUE,"ITD",Input!$A$2,A236)</f>
        <v>ITD-SHRXXX-XX235</v>
      </c>
      <c r="C236" s="54" t="str" cm="1">
        <f t="array" ref="C236">IFERROR(_xlfn.LET(
_xlpm.CSVVal,_xlfn.XLOOKUP($A236,CSV!$A:$A,CSV!B:B,""),
_xlpm.MacVal,_xlfn.XLOOKUP($A236,Output_Mac!$A:$A,Output_Mac!B:B,""),
_xlpm.MyAuditVal,_xlfn.XLOOKUP($A236,My_Audit!$A:$A,My_Audit!B:B,""),
_xlfn.IFS(_xlpm.MyAuditVal&lt;&gt;"",UPPER(_xlpm.MyAuditVal),_xlpm.MacVal&lt;&gt;"",_xlpm.MacVal,_xlpm.CSVVal&lt;&gt;"",_xlpm.CSVVal
)),"")</f>
        <v/>
      </c>
      <c r="D236" s="55" t="str">
        <f>_xlfn.XLOOKUP(A236,My_Audit!A:A,My_Audit!D:D,"")&amp;""</f>
        <v/>
      </c>
      <c r="E236" s="55" t="str" cm="1">
        <f t="array" ref="E236">IFERROR(_xlfn.LET(
_xlpm.CSVVal,_xlfn.XLOOKUP($A236,CSV!$A:$A,CSV!D:D,""),
_xlpm.MacVal,_xlfn.XLOOKUP($A236,Output_Mac!$A:$A,Output_Mac!C:C,""),
_xlpm.MyAuditVal,_xlfn.XLOOKUP($A236,My_Audit!$A:$A,My_Audit!D:D,""),
_xlfn.IFS(_xlpm.MyAuditVal&lt;&gt;"",_xlpm.MyAuditVal,_xlpm.MacVal&lt;&gt;"",_xlpm.MacVal,_xlpm.CSVVal&lt;&gt;"",_xlpm.CSVVal
)),"")</f>
        <v/>
      </c>
      <c r="F236" s="54" t="str" cm="1">
        <f t="array" ref="F236">IFERROR(_xlfn.LET(
_xlpm.CSVVal,_xlfn.XLOOKUP($A236,CSV!$A:$A,CSV!E:E,""),
_xlpm.MacVal,_xlfn.XLOOKUP($A236,Output_Mac!$A:$A,Output_Mac!F:F,""),
_xlpm.MyAuditVal,_xlfn.XLOOKUP($A236,My_Audit!$A:$A,My_Audit!E:E,""),
_xlfn.IFS(_xlpm.MyAuditVal&lt;&gt;"",_xlpm.MyAuditVal,_xlpm.MacVal&lt;&gt;"",_xlpm.MacVal,_xlpm.CSVVal&lt;&gt;"",PROPER(_xlpm.CSVVal)
)),"")</f>
        <v/>
      </c>
      <c r="G236" s="54" t="str" cm="1">
        <f t="array" ref="G236">IFERROR(_xlfn.LET(
_xlpm.CSVVal,_xlfn.XLOOKUP($A236,CSV!$A:$A,CSV!F:F,""),
_xlpm.MacVal,_xlfn.XLOOKUP($A236,Output_Mac!$A:$A,Output_Mac!H:H,""),
_xlpm.MyAuditVal,_xlfn.XLOOKUP($A236,My_Audit!$A:$A,My_Audit!F:F,""),
_xlfn.IFS(_xlpm.MyAuditVal&lt;&gt;"",_xlpm.MyAuditVal,_xlpm.MacVal&lt;&gt;"",_xlpm.MacVal,_xlpm.CSVVal&lt;&gt;"",_xlpm.CSVVal
)),"")</f>
        <v/>
      </c>
      <c r="H236" s="54" t="str">
        <f>_xlfn.XLOOKUP(A236,Output_Mac!A:A,Output_Mac!I:I,"")</f>
        <v/>
      </c>
      <c r="I236" s="54" t="str" cm="1">
        <f t="array" ref="I236">IFERROR(_xlfn.LET(
_xlpm.CSVVal,_xlfn.XLOOKUP($A236,CSV!$A:$A,CSV!G:G,""),
_xlpm.MacVal,_xlfn.XLOOKUP($A236,Output_Mac!$A:$A,Output_Mac!J:J,""),
_xlpm.MyAuditVal,_xlfn.XLOOKUP($A236,My_Audit!$A:$A,My_Audit!H:H,""),
_xlfn.IFS(_xlpm.MyAuditVal&lt;&gt;"",UPPER(_xlpm.MyAuditVal),_xlpm.MacVal&lt;&gt;"",_xlpm.MacVal,_xlpm.CSVVal&lt;&gt;"",_xlpm.CSVVal
)),"")</f>
        <v/>
      </c>
      <c r="J236" s="54" t="str" cm="1">
        <f t="array" ref="J236">IFERROR(_xlfn.LET(
_xlpm.CSVVal,_xlfn.XLOOKUP($A236,CSV!$A:$A,CSV!I:I,""),
_xlpm.MacVal,_xlfn.XLOOKUP($A236,Output_Mac!$A:$A,Output_Mac!K:K,""),
_xlpm.MyAuditVal,_xlfn.XLOOKUP($A236,My_Audit!$A:$A,My_Audit!I:I,""),
_xlfn.IFS(_xlpm.MyAuditVal&lt;&gt;"",UPPER(_xlpm.MyAuditVal),_xlpm.MacVal&lt;&gt;"",_xlpm.MacVal,_xlpm.CSVVal&lt;&gt;"",_xlpm.CSVVal
)),"")</f>
        <v/>
      </c>
      <c r="K236" s="54" t="str" cm="1">
        <f t="array" ref="K236">IFERROR(_xlfn.LET(
_xlpm.CSVVal,_xlfn.XLOOKUP($A236,CSV!$A:$A,CSV!M:M,""),
_xlpm.MacVal,_xlfn.XLOOKUP($A236,Output_Mac!$A:$A,Output_Mac!L:L,""),
_xlpm.MyAuditVal,_xlfn.XLOOKUP($A236,My_Audit!$A:$A,My_Audit!J:J,""),
_xlfn.IFS(_xlpm.MyAuditVal&lt;&gt;"",UPPER(_xlpm.MyAuditVal),_xlpm.MacVal&lt;&gt;"",_xlpm.MacVal,_xlpm.CSVVal&lt;&gt;"",_xlpm.CSVVal
)),"")</f>
        <v/>
      </c>
      <c r="L236" s="55" t="str" cm="1">
        <f t="array" ref="L236">IFERROR(_xlfn.LET(
_xlpm.CSVVal,_xlfn.XLOOKUP($A236,CSV!$A:$A,CSV!P:P,""),
_xlpm.MacVal,_xlfn.XLOOKUP($A236,Output_Mac!$A:$A,Output_Mac!M:M,""),
_xlpm.MyAuditVal,_xlfn.XLOOKUP($A236,My_Audit!$A:$A,My_Audit!K:K,""),
_xlfn.IFS(_xlpm.MyAuditVal&lt;&gt;"",UPPER(_xlpm.MyAuditVal),_xlpm.MacVal&lt;&gt;"",_xlpm.MacVal,_xlpm.CSVVal&lt;&gt;"",_xlpm.CSVVal
)),"")</f>
        <v/>
      </c>
      <c r="M236" s="54" t="str">
        <f>_xlfn.LET(
    _xlpm.CSVVal, _xlfn.XLOOKUP($A236, CSV!$A:$A, CSV!AD:AD, ""),
    _xlpm.MacVal, _xlfn.XLOOKUP($A236, Output_Mac!$A:$A, Output_Mac!S:S, ""),
    _xlpm.MyAuditVal, _xlfn.XLOOKUP($A236, My_Audit!$A:$A, My_Audit!N:N, ""),
    _xlfn.TEXTJOIN(", ", TRUE, _xlpm.MyAuditVal, _xlpm.MacVal, _xlpm.CSVVal)
)</f>
        <v/>
      </c>
      <c r="N236" s="54" t="str" cm="1">
        <f t="array" ref="N236">IFERROR(_xlfn.LET(
_xlpm.CSVVal,_xlfn.XLOOKUP($A236,CSV!$A:$A,CSV!AF:AF,""),
_xlpm.MacVal,_xlfn.XLOOKUP($A236,Output_Mac!$A:$A,Output_Mac!U:U,""),
_xlpm.MyAuditVal,_xlfn.XLOOKUP($A236,My_Audit!$A:$A,My_Audit!O:O,""),
_xlfn.IFS(_xlpm.MyAuditVal&lt;&gt;"",UPPER(_xlpm.MyAuditVal),_xlpm.MacVal&lt;&gt;"",_xlpm.MacVal,_xlpm.CSVVal&lt;&gt;"",_xlpm.CSVVal
)),"")</f>
        <v/>
      </c>
      <c r="O236" s="54"/>
      <c r="P236" s="54"/>
      <c r="Q236" s="54"/>
      <c r="R236" s="54"/>
      <c r="S236" s="54"/>
      <c r="T236" s="54"/>
      <c r="U236" s="39"/>
    </row>
    <row r="237" spans="1:21">
      <c r="A237" s="54" t="str">
        <f>_xlfn.TEXTJOIN("",TRUE,Input!$B$2,ROW(My_Audit!A236))</f>
        <v>XX236</v>
      </c>
      <c r="B237" s="54" t="str">
        <f>_xlfn.TEXTJOIN("-",TRUE,"ITD",Input!$A$2,A237)</f>
        <v>ITD-SHRXXX-XX236</v>
      </c>
      <c r="C237" s="54" t="str" cm="1">
        <f t="array" ref="C237">IFERROR(_xlfn.LET(
_xlpm.CSVVal,_xlfn.XLOOKUP($A237,CSV!$A:$A,CSV!B:B,""),
_xlpm.MacVal,_xlfn.XLOOKUP($A237,Output_Mac!$A:$A,Output_Mac!B:B,""),
_xlpm.MyAuditVal,_xlfn.XLOOKUP($A237,My_Audit!$A:$A,My_Audit!B:B,""),
_xlfn.IFS(_xlpm.MyAuditVal&lt;&gt;"",UPPER(_xlpm.MyAuditVal),_xlpm.MacVal&lt;&gt;"",_xlpm.MacVal,_xlpm.CSVVal&lt;&gt;"",_xlpm.CSVVal
)),"")</f>
        <v/>
      </c>
      <c r="D237" s="55" t="str">
        <f>_xlfn.XLOOKUP(A237,My_Audit!A:A,My_Audit!D:D,"")&amp;""</f>
        <v/>
      </c>
      <c r="E237" s="55" t="str" cm="1">
        <f t="array" ref="E237">IFERROR(_xlfn.LET(
_xlpm.CSVVal,_xlfn.XLOOKUP($A237,CSV!$A:$A,CSV!D:D,""),
_xlpm.MacVal,_xlfn.XLOOKUP($A237,Output_Mac!$A:$A,Output_Mac!C:C,""),
_xlpm.MyAuditVal,_xlfn.XLOOKUP($A237,My_Audit!$A:$A,My_Audit!D:D,""),
_xlfn.IFS(_xlpm.MyAuditVal&lt;&gt;"",_xlpm.MyAuditVal,_xlpm.MacVal&lt;&gt;"",_xlpm.MacVal,_xlpm.CSVVal&lt;&gt;"",_xlpm.CSVVal
)),"")</f>
        <v/>
      </c>
      <c r="F237" s="54" t="str" cm="1">
        <f t="array" ref="F237">IFERROR(_xlfn.LET(
_xlpm.CSVVal,_xlfn.XLOOKUP($A237,CSV!$A:$A,CSV!E:E,""),
_xlpm.MacVal,_xlfn.XLOOKUP($A237,Output_Mac!$A:$A,Output_Mac!F:F,""),
_xlpm.MyAuditVal,_xlfn.XLOOKUP($A237,My_Audit!$A:$A,My_Audit!E:E,""),
_xlfn.IFS(_xlpm.MyAuditVal&lt;&gt;"",_xlpm.MyAuditVal,_xlpm.MacVal&lt;&gt;"",_xlpm.MacVal,_xlpm.CSVVal&lt;&gt;"",PROPER(_xlpm.CSVVal)
)),"")</f>
        <v/>
      </c>
      <c r="G237" s="54" t="str" cm="1">
        <f t="array" ref="G237">IFERROR(_xlfn.LET(
_xlpm.CSVVal,_xlfn.XLOOKUP($A237,CSV!$A:$A,CSV!F:F,""),
_xlpm.MacVal,_xlfn.XLOOKUP($A237,Output_Mac!$A:$A,Output_Mac!H:H,""),
_xlpm.MyAuditVal,_xlfn.XLOOKUP($A237,My_Audit!$A:$A,My_Audit!F:F,""),
_xlfn.IFS(_xlpm.MyAuditVal&lt;&gt;"",_xlpm.MyAuditVal,_xlpm.MacVal&lt;&gt;"",_xlpm.MacVal,_xlpm.CSVVal&lt;&gt;"",_xlpm.CSVVal
)),"")</f>
        <v/>
      </c>
      <c r="H237" s="54" t="str">
        <f>_xlfn.XLOOKUP(A237,Output_Mac!A:A,Output_Mac!I:I,"")</f>
        <v/>
      </c>
      <c r="I237" s="54" t="str" cm="1">
        <f t="array" ref="I237">IFERROR(_xlfn.LET(
_xlpm.CSVVal,_xlfn.XLOOKUP($A237,CSV!$A:$A,CSV!G:G,""),
_xlpm.MacVal,_xlfn.XLOOKUP($A237,Output_Mac!$A:$A,Output_Mac!J:J,""),
_xlpm.MyAuditVal,_xlfn.XLOOKUP($A237,My_Audit!$A:$A,My_Audit!H:H,""),
_xlfn.IFS(_xlpm.MyAuditVal&lt;&gt;"",UPPER(_xlpm.MyAuditVal),_xlpm.MacVal&lt;&gt;"",_xlpm.MacVal,_xlpm.CSVVal&lt;&gt;"",_xlpm.CSVVal
)),"")</f>
        <v/>
      </c>
      <c r="J237" s="54" t="str" cm="1">
        <f t="array" ref="J237">IFERROR(_xlfn.LET(
_xlpm.CSVVal,_xlfn.XLOOKUP($A237,CSV!$A:$A,CSV!I:I,""),
_xlpm.MacVal,_xlfn.XLOOKUP($A237,Output_Mac!$A:$A,Output_Mac!K:K,""),
_xlpm.MyAuditVal,_xlfn.XLOOKUP($A237,My_Audit!$A:$A,My_Audit!I:I,""),
_xlfn.IFS(_xlpm.MyAuditVal&lt;&gt;"",UPPER(_xlpm.MyAuditVal),_xlpm.MacVal&lt;&gt;"",_xlpm.MacVal,_xlpm.CSVVal&lt;&gt;"",_xlpm.CSVVal
)),"")</f>
        <v/>
      </c>
      <c r="K237" s="54" t="str" cm="1">
        <f t="array" ref="K237">IFERROR(_xlfn.LET(
_xlpm.CSVVal,_xlfn.XLOOKUP($A237,CSV!$A:$A,CSV!M:M,""),
_xlpm.MacVal,_xlfn.XLOOKUP($A237,Output_Mac!$A:$A,Output_Mac!L:L,""),
_xlpm.MyAuditVal,_xlfn.XLOOKUP($A237,My_Audit!$A:$A,My_Audit!J:J,""),
_xlfn.IFS(_xlpm.MyAuditVal&lt;&gt;"",UPPER(_xlpm.MyAuditVal),_xlpm.MacVal&lt;&gt;"",_xlpm.MacVal,_xlpm.CSVVal&lt;&gt;"",_xlpm.CSVVal
)),"")</f>
        <v/>
      </c>
      <c r="L237" s="55" t="str" cm="1">
        <f t="array" ref="L237">IFERROR(_xlfn.LET(
_xlpm.CSVVal,_xlfn.XLOOKUP($A237,CSV!$A:$A,CSV!P:P,""),
_xlpm.MacVal,_xlfn.XLOOKUP($A237,Output_Mac!$A:$A,Output_Mac!M:M,""),
_xlpm.MyAuditVal,_xlfn.XLOOKUP($A237,My_Audit!$A:$A,My_Audit!K:K,""),
_xlfn.IFS(_xlpm.MyAuditVal&lt;&gt;"",UPPER(_xlpm.MyAuditVal),_xlpm.MacVal&lt;&gt;"",_xlpm.MacVal,_xlpm.CSVVal&lt;&gt;"",_xlpm.CSVVal
)),"")</f>
        <v/>
      </c>
      <c r="M237" s="54" t="str">
        <f>_xlfn.LET(
    _xlpm.CSVVal, _xlfn.XLOOKUP($A237, CSV!$A:$A, CSV!AD:AD, ""),
    _xlpm.MacVal, _xlfn.XLOOKUP($A237, Output_Mac!$A:$A, Output_Mac!S:S, ""),
    _xlpm.MyAuditVal, _xlfn.XLOOKUP($A237, My_Audit!$A:$A, My_Audit!N:N, ""),
    _xlfn.TEXTJOIN(", ", TRUE, _xlpm.MyAuditVal, _xlpm.MacVal, _xlpm.CSVVal)
)</f>
        <v/>
      </c>
      <c r="N237" s="54" t="str" cm="1">
        <f t="array" ref="N237">IFERROR(_xlfn.LET(
_xlpm.CSVVal,_xlfn.XLOOKUP($A237,CSV!$A:$A,CSV!AF:AF,""),
_xlpm.MacVal,_xlfn.XLOOKUP($A237,Output_Mac!$A:$A,Output_Mac!U:U,""),
_xlpm.MyAuditVal,_xlfn.XLOOKUP($A237,My_Audit!$A:$A,My_Audit!O:O,""),
_xlfn.IFS(_xlpm.MyAuditVal&lt;&gt;"",UPPER(_xlpm.MyAuditVal),_xlpm.MacVal&lt;&gt;"",_xlpm.MacVal,_xlpm.CSVVal&lt;&gt;"",_xlpm.CSVVal
)),"")</f>
        <v/>
      </c>
      <c r="O237" s="54"/>
      <c r="P237" s="54"/>
      <c r="Q237" s="54"/>
      <c r="R237" s="54"/>
      <c r="S237" s="54"/>
      <c r="T237" s="54"/>
      <c r="U237" s="39"/>
    </row>
    <row r="238" spans="1:21">
      <c r="A238" s="54" t="str">
        <f>_xlfn.TEXTJOIN("",TRUE,Input!$B$2,ROW(My_Audit!A237))</f>
        <v>XX237</v>
      </c>
      <c r="B238" s="54" t="str">
        <f>_xlfn.TEXTJOIN("-",TRUE,"ITD",Input!$A$2,A238)</f>
        <v>ITD-SHRXXX-XX237</v>
      </c>
      <c r="C238" s="54" t="str" cm="1">
        <f t="array" ref="C238">IFERROR(_xlfn.LET(
_xlpm.CSVVal,_xlfn.XLOOKUP($A238,CSV!$A:$A,CSV!B:B,""),
_xlpm.MacVal,_xlfn.XLOOKUP($A238,Output_Mac!$A:$A,Output_Mac!B:B,""),
_xlpm.MyAuditVal,_xlfn.XLOOKUP($A238,My_Audit!$A:$A,My_Audit!B:B,""),
_xlfn.IFS(_xlpm.MyAuditVal&lt;&gt;"",UPPER(_xlpm.MyAuditVal),_xlpm.MacVal&lt;&gt;"",_xlpm.MacVal,_xlpm.CSVVal&lt;&gt;"",_xlpm.CSVVal
)),"")</f>
        <v/>
      </c>
      <c r="D238" s="55" t="str">
        <f>_xlfn.XLOOKUP(A238,My_Audit!A:A,My_Audit!D:D,"")&amp;""</f>
        <v/>
      </c>
      <c r="E238" s="55" t="str" cm="1">
        <f t="array" ref="E238">IFERROR(_xlfn.LET(
_xlpm.CSVVal,_xlfn.XLOOKUP($A238,CSV!$A:$A,CSV!D:D,""),
_xlpm.MacVal,_xlfn.XLOOKUP($A238,Output_Mac!$A:$A,Output_Mac!C:C,""),
_xlpm.MyAuditVal,_xlfn.XLOOKUP($A238,My_Audit!$A:$A,My_Audit!D:D,""),
_xlfn.IFS(_xlpm.MyAuditVal&lt;&gt;"",_xlpm.MyAuditVal,_xlpm.MacVal&lt;&gt;"",_xlpm.MacVal,_xlpm.CSVVal&lt;&gt;"",_xlpm.CSVVal
)),"")</f>
        <v/>
      </c>
      <c r="F238" s="54" t="str" cm="1">
        <f t="array" ref="F238">IFERROR(_xlfn.LET(
_xlpm.CSVVal,_xlfn.XLOOKUP($A238,CSV!$A:$A,CSV!E:E,""),
_xlpm.MacVal,_xlfn.XLOOKUP($A238,Output_Mac!$A:$A,Output_Mac!F:F,""),
_xlpm.MyAuditVal,_xlfn.XLOOKUP($A238,My_Audit!$A:$A,My_Audit!E:E,""),
_xlfn.IFS(_xlpm.MyAuditVal&lt;&gt;"",_xlpm.MyAuditVal,_xlpm.MacVal&lt;&gt;"",_xlpm.MacVal,_xlpm.CSVVal&lt;&gt;"",PROPER(_xlpm.CSVVal)
)),"")</f>
        <v/>
      </c>
      <c r="G238" s="54" t="str" cm="1">
        <f t="array" ref="G238">IFERROR(_xlfn.LET(
_xlpm.CSVVal,_xlfn.XLOOKUP($A238,CSV!$A:$A,CSV!F:F,""),
_xlpm.MacVal,_xlfn.XLOOKUP($A238,Output_Mac!$A:$A,Output_Mac!H:H,""),
_xlpm.MyAuditVal,_xlfn.XLOOKUP($A238,My_Audit!$A:$A,My_Audit!F:F,""),
_xlfn.IFS(_xlpm.MyAuditVal&lt;&gt;"",_xlpm.MyAuditVal,_xlpm.MacVal&lt;&gt;"",_xlpm.MacVal,_xlpm.CSVVal&lt;&gt;"",_xlpm.CSVVal
)),"")</f>
        <v/>
      </c>
      <c r="H238" s="54" t="str">
        <f>_xlfn.XLOOKUP(A238,Output_Mac!A:A,Output_Mac!I:I,"")</f>
        <v/>
      </c>
      <c r="I238" s="54" t="str" cm="1">
        <f t="array" ref="I238">IFERROR(_xlfn.LET(
_xlpm.CSVVal,_xlfn.XLOOKUP($A238,CSV!$A:$A,CSV!G:G,""),
_xlpm.MacVal,_xlfn.XLOOKUP($A238,Output_Mac!$A:$A,Output_Mac!J:J,""),
_xlpm.MyAuditVal,_xlfn.XLOOKUP($A238,My_Audit!$A:$A,My_Audit!H:H,""),
_xlfn.IFS(_xlpm.MyAuditVal&lt;&gt;"",UPPER(_xlpm.MyAuditVal),_xlpm.MacVal&lt;&gt;"",_xlpm.MacVal,_xlpm.CSVVal&lt;&gt;"",_xlpm.CSVVal
)),"")</f>
        <v/>
      </c>
      <c r="J238" s="54" t="str" cm="1">
        <f t="array" ref="J238">IFERROR(_xlfn.LET(
_xlpm.CSVVal,_xlfn.XLOOKUP($A238,CSV!$A:$A,CSV!I:I,""),
_xlpm.MacVal,_xlfn.XLOOKUP($A238,Output_Mac!$A:$A,Output_Mac!K:K,""),
_xlpm.MyAuditVal,_xlfn.XLOOKUP($A238,My_Audit!$A:$A,My_Audit!I:I,""),
_xlfn.IFS(_xlpm.MyAuditVal&lt;&gt;"",UPPER(_xlpm.MyAuditVal),_xlpm.MacVal&lt;&gt;"",_xlpm.MacVal,_xlpm.CSVVal&lt;&gt;"",_xlpm.CSVVal
)),"")</f>
        <v/>
      </c>
      <c r="K238" s="54" t="str" cm="1">
        <f t="array" ref="K238">IFERROR(_xlfn.LET(
_xlpm.CSVVal,_xlfn.XLOOKUP($A238,CSV!$A:$A,CSV!M:M,""),
_xlpm.MacVal,_xlfn.XLOOKUP($A238,Output_Mac!$A:$A,Output_Mac!L:L,""),
_xlpm.MyAuditVal,_xlfn.XLOOKUP($A238,My_Audit!$A:$A,My_Audit!J:J,""),
_xlfn.IFS(_xlpm.MyAuditVal&lt;&gt;"",UPPER(_xlpm.MyAuditVal),_xlpm.MacVal&lt;&gt;"",_xlpm.MacVal,_xlpm.CSVVal&lt;&gt;"",_xlpm.CSVVal
)),"")</f>
        <v/>
      </c>
      <c r="L238" s="55" t="str" cm="1">
        <f t="array" ref="L238">IFERROR(_xlfn.LET(
_xlpm.CSVVal,_xlfn.XLOOKUP($A238,CSV!$A:$A,CSV!P:P,""),
_xlpm.MacVal,_xlfn.XLOOKUP($A238,Output_Mac!$A:$A,Output_Mac!M:M,""),
_xlpm.MyAuditVal,_xlfn.XLOOKUP($A238,My_Audit!$A:$A,My_Audit!K:K,""),
_xlfn.IFS(_xlpm.MyAuditVal&lt;&gt;"",UPPER(_xlpm.MyAuditVal),_xlpm.MacVal&lt;&gt;"",_xlpm.MacVal,_xlpm.CSVVal&lt;&gt;"",_xlpm.CSVVal
)),"")</f>
        <v/>
      </c>
      <c r="M238" s="54" t="str">
        <f>_xlfn.LET(
    _xlpm.CSVVal, _xlfn.XLOOKUP($A238, CSV!$A:$A, CSV!AD:AD, ""),
    _xlpm.MacVal, _xlfn.XLOOKUP($A238, Output_Mac!$A:$A, Output_Mac!S:S, ""),
    _xlpm.MyAuditVal, _xlfn.XLOOKUP($A238, My_Audit!$A:$A, My_Audit!N:N, ""),
    _xlfn.TEXTJOIN(", ", TRUE, _xlpm.MyAuditVal, _xlpm.MacVal, _xlpm.CSVVal)
)</f>
        <v/>
      </c>
      <c r="N238" s="54" t="str" cm="1">
        <f t="array" ref="N238">IFERROR(_xlfn.LET(
_xlpm.CSVVal,_xlfn.XLOOKUP($A238,CSV!$A:$A,CSV!AF:AF,""),
_xlpm.MacVal,_xlfn.XLOOKUP($A238,Output_Mac!$A:$A,Output_Mac!U:U,""),
_xlpm.MyAuditVal,_xlfn.XLOOKUP($A238,My_Audit!$A:$A,My_Audit!O:O,""),
_xlfn.IFS(_xlpm.MyAuditVal&lt;&gt;"",UPPER(_xlpm.MyAuditVal),_xlpm.MacVal&lt;&gt;"",_xlpm.MacVal,_xlpm.CSVVal&lt;&gt;"",_xlpm.CSVVal
)),"")</f>
        <v/>
      </c>
      <c r="O238" s="54"/>
      <c r="P238" s="54"/>
      <c r="Q238" s="54"/>
      <c r="R238" s="54"/>
      <c r="S238" s="54"/>
      <c r="T238" s="54"/>
      <c r="U238" s="39"/>
    </row>
    <row r="239" spans="1:21">
      <c r="A239" s="54" t="str">
        <f>_xlfn.TEXTJOIN("",TRUE,Input!$B$2,ROW(My_Audit!A238))</f>
        <v>XX238</v>
      </c>
      <c r="B239" s="54" t="str">
        <f>_xlfn.TEXTJOIN("-",TRUE,"ITD",Input!$A$2,A239)</f>
        <v>ITD-SHRXXX-XX238</v>
      </c>
      <c r="C239" s="54" t="str" cm="1">
        <f t="array" ref="C239">IFERROR(_xlfn.LET(
_xlpm.CSVVal,_xlfn.XLOOKUP($A239,CSV!$A:$A,CSV!B:B,""),
_xlpm.MacVal,_xlfn.XLOOKUP($A239,Output_Mac!$A:$A,Output_Mac!B:B,""),
_xlpm.MyAuditVal,_xlfn.XLOOKUP($A239,My_Audit!$A:$A,My_Audit!B:B,""),
_xlfn.IFS(_xlpm.MyAuditVal&lt;&gt;"",UPPER(_xlpm.MyAuditVal),_xlpm.MacVal&lt;&gt;"",_xlpm.MacVal,_xlpm.CSVVal&lt;&gt;"",_xlpm.CSVVal
)),"")</f>
        <v/>
      </c>
      <c r="D239" s="55" t="str">
        <f>_xlfn.XLOOKUP(A239,My_Audit!A:A,My_Audit!D:D,"")&amp;""</f>
        <v/>
      </c>
      <c r="E239" s="55" t="str" cm="1">
        <f t="array" ref="E239">IFERROR(_xlfn.LET(
_xlpm.CSVVal,_xlfn.XLOOKUP($A239,CSV!$A:$A,CSV!D:D,""),
_xlpm.MacVal,_xlfn.XLOOKUP($A239,Output_Mac!$A:$A,Output_Mac!C:C,""),
_xlpm.MyAuditVal,_xlfn.XLOOKUP($A239,My_Audit!$A:$A,My_Audit!D:D,""),
_xlfn.IFS(_xlpm.MyAuditVal&lt;&gt;"",_xlpm.MyAuditVal,_xlpm.MacVal&lt;&gt;"",_xlpm.MacVal,_xlpm.CSVVal&lt;&gt;"",_xlpm.CSVVal
)),"")</f>
        <v/>
      </c>
      <c r="F239" s="54" t="str" cm="1">
        <f t="array" ref="F239">IFERROR(_xlfn.LET(
_xlpm.CSVVal,_xlfn.XLOOKUP($A239,CSV!$A:$A,CSV!E:E,""),
_xlpm.MacVal,_xlfn.XLOOKUP($A239,Output_Mac!$A:$A,Output_Mac!F:F,""),
_xlpm.MyAuditVal,_xlfn.XLOOKUP($A239,My_Audit!$A:$A,My_Audit!E:E,""),
_xlfn.IFS(_xlpm.MyAuditVal&lt;&gt;"",_xlpm.MyAuditVal,_xlpm.MacVal&lt;&gt;"",_xlpm.MacVal,_xlpm.CSVVal&lt;&gt;"",PROPER(_xlpm.CSVVal)
)),"")</f>
        <v/>
      </c>
      <c r="G239" s="54" t="str" cm="1">
        <f t="array" ref="G239">IFERROR(_xlfn.LET(
_xlpm.CSVVal,_xlfn.XLOOKUP($A239,CSV!$A:$A,CSV!F:F,""),
_xlpm.MacVal,_xlfn.XLOOKUP($A239,Output_Mac!$A:$A,Output_Mac!H:H,""),
_xlpm.MyAuditVal,_xlfn.XLOOKUP($A239,My_Audit!$A:$A,My_Audit!F:F,""),
_xlfn.IFS(_xlpm.MyAuditVal&lt;&gt;"",_xlpm.MyAuditVal,_xlpm.MacVal&lt;&gt;"",_xlpm.MacVal,_xlpm.CSVVal&lt;&gt;"",_xlpm.CSVVal
)),"")</f>
        <v/>
      </c>
      <c r="H239" s="54" t="str">
        <f>_xlfn.XLOOKUP(A239,Output_Mac!A:A,Output_Mac!I:I,"")</f>
        <v/>
      </c>
      <c r="I239" s="54" t="str" cm="1">
        <f t="array" ref="I239">IFERROR(_xlfn.LET(
_xlpm.CSVVal,_xlfn.XLOOKUP($A239,CSV!$A:$A,CSV!G:G,""),
_xlpm.MacVal,_xlfn.XLOOKUP($A239,Output_Mac!$A:$A,Output_Mac!J:J,""),
_xlpm.MyAuditVal,_xlfn.XLOOKUP($A239,My_Audit!$A:$A,My_Audit!H:H,""),
_xlfn.IFS(_xlpm.MyAuditVal&lt;&gt;"",UPPER(_xlpm.MyAuditVal),_xlpm.MacVal&lt;&gt;"",_xlpm.MacVal,_xlpm.CSVVal&lt;&gt;"",_xlpm.CSVVal
)),"")</f>
        <v/>
      </c>
      <c r="J239" s="54" t="str" cm="1">
        <f t="array" ref="J239">IFERROR(_xlfn.LET(
_xlpm.CSVVal,_xlfn.XLOOKUP($A239,CSV!$A:$A,CSV!I:I,""),
_xlpm.MacVal,_xlfn.XLOOKUP($A239,Output_Mac!$A:$A,Output_Mac!K:K,""),
_xlpm.MyAuditVal,_xlfn.XLOOKUP($A239,My_Audit!$A:$A,My_Audit!I:I,""),
_xlfn.IFS(_xlpm.MyAuditVal&lt;&gt;"",UPPER(_xlpm.MyAuditVal),_xlpm.MacVal&lt;&gt;"",_xlpm.MacVal,_xlpm.CSVVal&lt;&gt;"",_xlpm.CSVVal
)),"")</f>
        <v/>
      </c>
      <c r="K239" s="54" t="str" cm="1">
        <f t="array" ref="K239">IFERROR(_xlfn.LET(
_xlpm.CSVVal,_xlfn.XLOOKUP($A239,CSV!$A:$A,CSV!M:M,""),
_xlpm.MacVal,_xlfn.XLOOKUP($A239,Output_Mac!$A:$A,Output_Mac!L:L,""),
_xlpm.MyAuditVal,_xlfn.XLOOKUP($A239,My_Audit!$A:$A,My_Audit!J:J,""),
_xlfn.IFS(_xlpm.MyAuditVal&lt;&gt;"",UPPER(_xlpm.MyAuditVal),_xlpm.MacVal&lt;&gt;"",_xlpm.MacVal,_xlpm.CSVVal&lt;&gt;"",_xlpm.CSVVal
)),"")</f>
        <v/>
      </c>
      <c r="L239" s="55" t="str" cm="1">
        <f t="array" ref="L239">IFERROR(_xlfn.LET(
_xlpm.CSVVal,_xlfn.XLOOKUP($A239,CSV!$A:$A,CSV!P:P,""),
_xlpm.MacVal,_xlfn.XLOOKUP($A239,Output_Mac!$A:$A,Output_Mac!M:M,""),
_xlpm.MyAuditVal,_xlfn.XLOOKUP($A239,My_Audit!$A:$A,My_Audit!K:K,""),
_xlfn.IFS(_xlpm.MyAuditVal&lt;&gt;"",UPPER(_xlpm.MyAuditVal),_xlpm.MacVal&lt;&gt;"",_xlpm.MacVal,_xlpm.CSVVal&lt;&gt;"",_xlpm.CSVVal
)),"")</f>
        <v/>
      </c>
      <c r="M239" s="54" t="str">
        <f>_xlfn.LET(
    _xlpm.CSVVal, _xlfn.XLOOKUP($A239, CSV!$A:$A, CSV!AD:AD, ""),
    _xlpm.MacVal, _xlfn.XLOOKUP($A239, Output_Mac!$A:$A, Output_Mac!S:S, ""),
    _xlpm.MyAuditVal, _xlfn.XLOOKUP($A239, My_Audit!$A:$A, My_Audit!N:N, ""),
    _xlfn.TEXTJOIN(", ", TRUE, _xlpm.MyAuditVal, _xlpm.MacVal, _xlpm.CSVVal)
)</f>
        <v/>
      </c>
      <c r="N239" s="54" t="str" cm="1">
        <f t="array" ref="N239">IFERROR(_xlfn.LET(
_xlpm.CSVVal,_xlfn.XLOOKUP($A239,CSV!$A:$A,CSV!AF:AF,""),
_xlpm.MacVal,_xlfn.XLOOKUP($A239,Output_Mac!$A:$A,Output_Mac!U:U,""),
_xlpm.MyAuditVal,_xlfn.XLOOKUP($A239,My_Audit!$A:$A,My_Audit!O:O,""),
_xlfn.IFS(_xlpm.MyAuditVal&lt;&gt;"",UPPER(_xlpm.MyAuditVal),_xlpm.MacVal&lt;&gt;"",_xlpm.MacVal,_xlpm.CSVVal&lt;&gt;"",_xlpm.CSVVal
)),"")</f>
        <v/>
      </c>
      <c r="O239" s="54"/>
      <c r="P239" s="54"/>
      <c r="Q239" s="54"/>
      <c r="R239" s="54"/>
      <c r="S239" s="54"/>
      <c r="T239" s="54"/>
      <c r="U239" s="39"/>
    </row>
    <row r="240" spans="1:21">
      <c r="A240" s="54" t="str">
        <f>_xlfn.TEXTJOIN("",TRUE,Input!$B$2,ROW(My_Audit!A239))</f>
        <v>XX239</v>
      </c>
      <c r="B240" s="54" t="str">
        <f>_xlfn.TEXTJOIN("-",TRUE,"ITD",Input!$A$2,A240)</f>
        <v>ITD-SHRXXX-XX239</v>
      </c>
      <c r="C240" s="54" t="str" cm="1">
        <f t="array" ref="C240">IFERROR(_xlfn.LET(
_xlpm.CSVVal,_xlfn.XLOOKUP($A240,CSV!$A:$A,CSV!B:B,""),
_xlpm.MacVal,_xlfn.XLOOKUP($A240,Output_Mac!$A:$A,Output_Mac!B:B,""),
_xlpm.MyAuditVal,_xlfn.XLOOKUP($A240,My_Audit!$A:$A,My_Audit!B:B,""),
_xlfn.IFS(_xlpm.MyAuditVal&lt;&gt;"",UPPER(_xlpm.MyAuditVal),_xlpm.MacVal&lt;&gt;"",_xlpm.MacVal,_xlpm.CSVVal&lt;&gt;"",_xlpm.CSVVal
)),"")</f>
        <v/>
      </c>
      <c r="D240" s="55" t="str">
        <f>_xlfn.XLOOKUP(A240,My_Audit!A:A,My_Audit!D:D,"")&amp;""</f>
        <v/>
      </c>
      <c r="E240" s="55" t="str" cm="1">
        <f t="array" ref="E240">IFERROR(_xlfn.LET(
_xlpm.CSVVal,_xlfn.XLOOKUP($A240,CSV!$A:$A,CSV!D:D,""),
_xlpm.MacVal,_xlfn.XLOOKUP($A240,Output_Mac!$A:$A,Output_Mac!C:C,""),
_xlpm.MyAuditVal,_xlfn.XLOOKUP($A240,My_Audit!$A:$A,My_Audit!D:D,""),
_xlfn.IFS(_xlpm.MyAuditVal&lt;&gt;"",_xlpm.MyAuditVal,_xlpm.MacVal&lt;&gt;"",_xlpm.MacVal,_xlpm.CSVVal&lt;&gt;"",_xlpm.CSVVal
)),"")</f>
        <v/>
      </c>
      <c r="F240" s="54" t="str" cm="1">
        <f t="array" ref="F240">IFERROR(_xlfn.LET(
_xlpm.CSVVal,_xlfn.XLOOKUP($A240,CSV!$A:$A,CSV!E:E,""),
_xlpm.MacVal,_xlfn.XLOOKUP($A240,Output_Mac!$A:$A,Output_Mac!F:F,""),
_xlpm.MyAuditVal,_xlfn.XLOOKUP($A240,My_Audit!$A:$A,My_Audit!E:E,""),
_xlfn.IFS(_xlpm.MyAuditVal&lt;&gt;"",_xlpm.MyAuditVal,_xlpm.MacVal&lt;&gt;"",_xlpm.MacVal,_xlpm.CSVVal&lt;&gt;"",PROPER(_xlpm.CSVVal)
)),"")</f>
        <v/>
      </c>
      <c r="G240" s="54" t="str" cm="1">
        <f t="array" ref="G240">IFERROR(_xlfn.LET(
_xlpm.CSVVal,_xlfn.XLOOKUP($A240,CSV!$A:$A,CSV!F:F,""),
_xlpm.MacVal,_xlfn.XLOOKUP($A240,Output_Mac!$A:$A,Output_Mac!H:H,""),
_xlpm.MyAuditVal,_xlfn.XLOOKUP($A240,My_Audit!$A:$A,My_Audit!F:F,""),
_xlfn.IFS(_xlpm.MyAuditVal&lt;&gt;"",_xlpm.MyAuditVal,_xlpm.MacVal&lt;&gt;"",_xlpm.MacVal,_xlpm.CSVVal&lt;&gt;"",_xlpm.CSVVal
)),"")</f>
        <v/>
      </c>
      <c r="H240" s="54" t="str">
        <f>_xlfn.XLOOKUP(A240,Output_Mac!A:A,Output_Mac!I:I,"")</f>
        <v/>
      </c>
      <c r="I240" s="54" t="str" cm="1">
        <f t="array" ref="I240">IFERROR(_xlfn.LET(
_xlpm.CSVVal,_xlfn.XLOOKUP($A240,CSV!$A:$A,CSV!G:G,""),
_xlpm.MacVal,_xlfn.XLOOKUP($A240,Output_Mac!$A:$A,Output_Mac!J:J,""),
_xlpm.MyAuditVal,_xlfn.XLOOKUP($A240,My_Audit!$A:$A,My_Audit!H:H,""),
_xlfn.IFS(_xlpm.MyAuditVal&lt;&gt;"",UPPER(_xlpm.MyAuditVal),_xlpm.MacVal&lt;&gt;"",_xlpm.MacVal,_xlpm.CSVVal&lt;&gt;"",_xlpm.CSVVal
)),"")</f>
        <v/>
      </c>
      <c r="J240" s="54" t="str" cm="1">
        <f t="array" ref="J240">IFERROR(_xlfn.LET(
_xlpm.CSVVal,_xlfn.XLOOKUP($A240,CSV!$A:$A,CSV!I:I,""),
_xlpm.MacVal,_xlfn.XLOOKUP($A240,Output_Mac!$A:$A,Output_Mac!K:K,""),
_xlpm.MyAuditVal,_xlfn.XLOOKUP($A240,My_Audit!$A:$A,My_Audit!I:I,""),
_xlfn.IFS(_xlpm.MyAuditVal&lt;&gt;"",UPPER(_xlpm.MyAuditVal),_xlpm.MacVal&lt;&gt;"",_xlpm.MacVal,_xlpm.CSVVal&lt;&gt;"",_xlpm.CSVVal
)),"")</f>
        <v/>
      </c>
      <c r="K240" s="54" t="str" cm="1">
        <f t="array" ref="K240">IFERROR(_xlfn.LET(
_xlpm.CSVVal,_xlfn.XLOOKUP($A240,CSV!$A:$A,CSV!M:M,""),
_xlpm.MacVal,_xlfn.XLOOKUP($A240,Output_Mac!$A:$A,Output_Mac!L:L,""),
_xlpm.MyAuditVal,_xlfn.XLOOKUP($A240,My_Audit!$A:$A,My_Audit!J:J,""),
_xlfn.IFS(_xlpm.MyAuditVal&lt;&gt;"",UPPER(_xlpm.MyAuditVal),_xlpm.MacVal&lt;&gt;"",_xlpm.MacVal,_xlpm.CSVVal&lt;&gt;"",_xlpm.CSVVal
)),"")</f>
        <v/>
      </c>
      <c r="L240" s="55" t="str" cm="1">
        <f t="array" ref="L240">IFERROR(_xlfn.LET(
_xlpm.CSVVal,_xlfn.XLOOKUP($A240,CSV!$A:$A,CSV!P:P,""),
_xlpm.MacVal,_xlfn.XLOOKUP($A240,Output_Mac!$A:$A,Output_Mac!M:M,""),
_xlpm.MyAuditVal,_xlfn.XLOOKUP($A240,My_Audit!$A:$A,My_Audit!K:K,""),
_xlfn.IFS(_xlpm.MyAuditVal&lt;&gt;"",UPPER(_xlpm.MyAuditVal),_xlpm.MacVal&lt;&gt;"",_xlpm.MacVal,_xlpm.CSVVal&lt;&gt;"",_xlpm.CSVVal
)),"")</f>
        <v/>
      </c>
      <c r="M240" s="54" t="str">
        <f>_xlfn.LET(
    _xlpm.CSVVal, _xlfn.XLOOKUP($A240, CSV!$A:$A, CSV!AD:AD, ""),
    _xlpm.MacVal, _xlfn.XLOOKUP($A240, Output_Mac!$A:$A, Output_Mac!S:S, ""),
    _xlpm.MyAuditVal, _xlfn.XLOOKUP($A240, My_Audit!$A:$A, My_Audit!N:N, ""),
    _xlfn.TEXTJOIN(", ", TRUE, _xlpm.MyAuditVal, _xlpm.MacVal, _xlpm.CSVVal)
)</f>
        <v/>
      </c>
      <c r="N240" s="54" t="str" cm="1">
        <f t="array" ref="N240">IFERROR(_xlfn.LET(
_xlpm.CSVVal,_xlfn.XLOOKUP($A240,CSV!$A:$A,CSV!AF:AF,""),
_xlpm.MacVal,_xlfn.XLOOKUP($A240,Output_Mac!$A:$A,Output_Mac!U:U,""),
_xlpm.MyAuditVal,_xlfn.XLOOKUP($A240,My_Audit!$A:$A,My_Audit!O:O,""),
_xlfn.IFS(_xlpm.MyAuditVal&lt;&gt;"",UPPER(_xlpm.MyAuditVal),_xlpm.MacVal&lt;&gt;"",_xlpm.MacVal,_xlpm.CSVVal&lt;&gt;"",_xlpm.CSVVal
)),"")</f>
        <v/>
      </c>
      <c r="O240" s="54"/>
      <c r="P240" s="54"/>
      <c r="Q240" s="54"/>
      <c r="R240" s="54"/>
      <c r="S240" s="54"/>
      <c r="T240" s="54"/>
      <c r="U240" s="39"/>
    </row>
    <row r="241" spans="1:21">
      <c r="A241" s="54" t="str">
        <f>_xlfn.TEXTJOIN("",TRUE,Input!$B$2,ROW(My_Audit!A240))</f>
        <v>XX240</v>
      </c>
      <c r="B241" s="54" t="str">
        <f>_xlfn.TEXTJOIN("-",TRUE,"ITD",Input!$A$2,A241)</f>
        <v>ITD-SHRXXX-XX240</v>
      </c>
      <c r="C241" s="54" t="str" cm="1">
        <f t="array" ref="C241">IFERROR(_xlfn.LET(
_xlpm.CSVVal,_xlfn.XLOOKUP($A241,CSV!$A:$A,CSV!B:B,""),
_xlpm.MacVal,_xlfn.XLOOKUP($A241,Output_Mac!$A:$A,Output_Mac!B:B,""),
_xlpm.MyAuditVal,_xlfn.XLOOKUP($A241,My_Audit!$A:$A,My_Audit!B:B,""),
_xlfn.IFS(_xlpm.MyAuditVal&lt;&gt;"",UPPER(_xlpm.MyAuditVal),_xlpm.MacVal&lt;&gt;"",_xlpm.MacVal,_xlpm.CSVVal&lt;&gt;"",_xlpm.CSVVal
)),"")</f>
        <v/>
      </c>
      <c r="D241" s="55" t="str">
        <f>_xlfn.XLOOKUP(A241,My_Audit!A:A,My_Audit!D:D,"")&amp;""</f>
        <v/>
      </c>
      <c r="E241" s="55" t="str" cm="1">
        <f t="array" ref="E241">IFERROR(_xlfn.LET(
_xlpm.CSVVal,_xlfn.XLOOKUP($A241,CSV!$A:$A,CSV!D:D,""),
_xlpm.MacVal,_xlfn.XLOOKUP($A241,Output_Mac!$A:$A,Output_Mac!C:C,""),
_xlpm.MyAuditVal,_xlfn.XLOOKUP($A241,My_Audit!$A:$A,My_Audit!D:D,""),
_xlfn.IFS(_xlpm.MyAuditVal&lt;&gt;"",_xlpm.MyAuditVal,_xlpm.MacVal&lt;&gt;"",_xlpm.MacVal,_xlpm.CSVVal&lt;&gt;"",_xlpm.CSVVal
)),"")</f>
        <v/>
      </c>
      <c r="F241" s="54" t="str" cm="1">
        <f t="array" ref="F241">IFERROR(_xlfn.LET(
_xlpm.CSVVal,_xlfn.XLOOKUP($A241,CSV!$A:$A,CSV!E:E,""),
_xlpm.MacVal,_xlfn.XLOOKUP($A241,Output_Mac!$A:$A,Output_Mac!F:F,""),
_xlpm.MyAuditVal,_xlfn.XLOOKUP($A241,My_Audit!$A:$A,My_Audit!E:E,""),
_xlfn.IFS(_xlpm.MyAuditVal&lt;&gt;"",_xlpm.MyAuditVal,_xlpm.MacVal&lt;&gt;"",_xlpm.MacVal,_xlpm.CSVVal&lt;&gt;"",PROPER(_xlpm.CSVVal)
)),"")</f>
        <v/>
      </c>
      <c r="G241" s="54" t="str" cm="1">
        <f t="array" ref="G241">IFERROR(_xlfn.LET(
_xlpm.CSVVal,_xlfn.XLOOKUP($A241,CSV!$A:$A,CSV!F:F,""),
_xlpm.MacVal,_xlfn.XLOOKUP($A241,Output_Mac!$A:$A,Output_Mac!H:H,""),
_xlpm.MyAuditVal,_xlfn.XLOOKUP($A241,My_Audit!$A:$A,My_Audit!F:F,""),
_xlfn.IFS(_xlpm.MyAuditVal&lt;&gt;"",_xlpm.MyAuditVal,_xlpm.MacVal&lt;&gt;"",_xlpm.MacVal,_xlpm.CSVVal&lt;&gt;"",_xlpm.CSVVal
)),"")</f>
        <v/>
      </c>
      <c r="H241" s="54" t="str">
        <f>_xlfn.XLOOKUP(A241,Output_Mac!A:A,Output_Mac!I:I,"")</f>
        <v/>
      </c>
      <c r="I241" s="54" t="str" cm="1">
        <f t="array" ref="I241">IFERROR(_xlfn.LET(
_xlpm.CSVVal,_xlfn.XLOOKUP($A241,CSV!$A:$A,CSV!G:G,""),
_xlpm.MacVal,_xlfn.XLOOKUP($A241,Output_Mac!$A:$A,Output_Mac!J:J,""),
_xlpm.MyAuditVal,_xlfn.XLOOKUP($A241,My_Audit!$A:$A,My_Audit!H:H,""),
_xlfn.IFS(_xlpm.MyAuditVal&lt;&gt;"",UPPER(_xlpm.MyAuditVal),_xlpm.MacVal&lt;&gt;"",_xlpm.MacVal,_xlpm.CSVVal&lt;&gt;"",_xlpm.CSVVal
)),"")</f>
        <v/>
      </c>
      <c r="J241" s="54" t="str" cm="1">
        <f t="array" ref="J241">IFERROR(_xlfn.LET(
_xlpm.CSVVal,_xlfn.XLOOKUP($A241,CSV!$A:$A,CSV!I:I,""),
_xlpm.MacVal,_xlfn.XLOOKUP($A241,Output_Mac!$A:$A,Output_Mac!K:K,""),
_xlpm.MyAuditVal,_xlfn.XLOOKUP($A241,My_Audit!$A:$A,My_Audit!I:I,""),
_xlfn.IFS(_xlpm.MyAuditVal&lt;&gt;"",UPPER(_xlpm.MyAuditVal),_xlpm.MacVal&lt;&gt;"",_xlpm.MacVal,_xlpm.CSVVal&lt;&gt;"",_xlpm.CSVVal
)),"")</f>
        <v/>
      </c>
      <c r="K241" s="54" t="str" cm="1">
        <f t="array" ref="K241">IFERROR(_xlfn.LET(
_xlpm.CSVVal,_xlfn.XLOOKUP($A241,CSV!$A:$A,CSV!M:M,""),
_xlpm.MacVal,_xlfn.XLOOKUP($A241,Output_Mac!$A:$A,Output_Mac!L:L,""),
_xlpm.MyAuditVal,_xlfn.XLOOKUP($A241,My_Audit!$A:$A,My_Audit!J:J,""),
_xlfn.IFS(_xlpm.MyAuditVal&lt;&gt;"",UPPER(_xlpm.MyAuditVal),_xlpm.MacVal&lt;&gt;"",_xlpm.MacVal,_xlpm.CSVVal&lt;&gt;"",_xlpm.CSVVal
)),"")</f>
        <v/>
      </c>
      <c r="L241" s="55" t="str" cm="1">
        <f t="array" ref="L241">IFERROR(_xlfn.LET(
_xlpm.CSVVal,_xlfn.XLOOKUP($A241,CSV!$A:$A,CSV!P:P,""),
_xlpm.MacVal,_xlfn.XLOOKUP($A241,Output_Mac!$A:$A,Output_Mac!M:M,""),
_xlpm.MyAuditVal,_xlfn.XLOOKUP($A241,My_Audit!$A:$A,My_Audit!K:K,""),
_xlfn.IFS(_xlpm.MyAuditVal&lt;&gt;"",UPPER(_xlpm.MyAuditVal),_xlpm.MacVal&lt;&gt;"",_xlpm.MacVal,_xlpm.CSVVal&lt;&gt;"",_xlpm.CSVVal
)),"")</f>
        <v/>
      </c>
      <c r="M241" s="54" t="str">
        <f>_xlfn.LET(
    _xlpm.CSVVal, _xlfn.XLOOKUP($A241, CSV!$A:$A, CSV!AD:AD, ""),
    _xlpm.MacVal, _xlfn.XLOOKUP($A241, Output_Mac!$A:$A, Output_Mac!S:S, ""),
    _xlpm.MyAuditVal, _xlfn.XLOOKUP($A241, My_Audit!$A:$A, My_Audit!N:N, ""),
    _xlfn.TEXTJOIN(", ", TRUE, _xlpm.MyAuditVal, _xlpm.MacVal, _xlpm.CSVVal)
)</f>
        <v/>
      </c>
      <c r="N241" s="54" t="str" cm="1">
        <f t="array" ref="N241">IFERROR(_xlfn.LET(
_xlpm.CSVVal,_xlfn.XLOOKUP($A241,CSV!$A:$A,CSV!AF:AF,""),
_xlpm.MacVal,_xlfn.XLOOKUP($A241,Output_Mac!$A:$A,Output_Mac!U:U,""),
_xlpm.MyAuditVal,_xlfn.XLOOKUP($A241,My_Audit!$A:$A,My_Audit!O:O,""),
_xlfn.IFS(_xlpm.MyAuditVal&lt;&gt;"",UPPER(_xlpm.MyAuditVal),_xlpm.MacVal&lt;&gt;"",_xlpm.MacVal,_xlpm.CSVVal&lt;&gt;"",_xlpm.CSVVal
)),"")</f>
        <v/>
      </c>
      <c r="O241" s="54"/>
      <c r="P241" s="54"/>
      <c r="Q241" s="54"/>
      <c r="R241" s="54"/>
      <c r="S241" s="54"/>
      <c r="T241" s="54"/>
      <c r="U241" s="39"/>
    </row>
    <row r="242" spans="1:21">
      <c r="A242" s="54" t="str">
        <f>_xlfn.TEXTJOIN("",TRUE,Input!$B$2,ROW(My_Audit!A241))</f>
        <v>XX241</v>
      </c>
      <c r="B242" s="54" t="str">
        <f>_xlfn.TEXTJOIN("-",TRUE,"ITD",Input!$A$2,A242)</f>
        <v>ITD-SHRXXX-XX241</v>
      </c>
      <c r="C242" s="54" t="str" cm="1">
        <f t="array" ref="C242">IFERROR(_xlfn.LET(
_xlpm.CSVVal,_xlfn.XLOOKUP($A242,CSV!$A:$A,CSV!B:B,""),
_xlpm.MacVal,_xlfn.XLOOKUP($A242,Output_Mac!$A:$A,Output_Mac!B:B,""),
_xlpm.MyAuditVal,_xlfn.XLOOKUP($A242,My_Audit!$A:$A,My_Audit!B:B,""),
_xlfn.IFS(_xlpm.MyAuditVal&lt;&gt;"",UPPER(_xlpm.MyAuditVal),_xlpm.MacVal&lt;&gt;"",_xlpm.MacVal,_xlpm.CSVVal&lt;&gt;"",_xlpm.CSVVal
)),"")</f>
        <v/>
      </c>
      <c r="D242" s="55" t="str">
        <f>_xlfn.XLOOKUP(A242,My_Audit!A:A,My_Audit!D:D,"")&amp;""</f>
        <v/>
      </c>
      <c r="E242" s="55" t="str" cm="1">
        <f t="array" ref="E242">IFERROR(_xlfn.LET(
_xlpm.CSVVal,_xlfn.XLOOKUP($A242,CSV!$A:$A,CSV!D:D,""),
_xlpm.MacVal,_xlfn.XLOOKUP($A242,Output_Mac!$A:$A,Output_Mac!C:C,""),
_xlpm.MyAuditVal,_xlfn.XLOOKUP($A242,My_Audit!$A:$A,My_Audit!D:D,""),
_xlfn.IFS(_xlpm.MyAuditVal&lt;&gt;"",_xlpm.MyAuditVal,_xlpm.MacVal&lt;&gt;"",_xlpm.MacVal,_xlpm.CSVVal&lt;&gt;"",_xlpm.CSVVal
)),"")</f>
        <v/>
      </c>
      <c r="F242" s="54" t="str" cm="1">
        <f t="array" ref="F242">IFERROR(_xlfn.LET(
_xlpm.CSVVal,_xlfn.XLOOKUP($A242,CSV!$A:$A,CSV!E:E,""),
_xlpm.MacVal,_xlfn.XLOOKUP($A242,Output_Mac!$A:$A,Output_Mac!F:F,""),
_xlpm.MyAuditVal,_xlfn.XLOOKUP($A242,My_Audit!$A:$A,My_Audit!E:E,""),
_xlfn.IFS(_xlpm.MyAuditVal&lt;&gt;"",_xlpm.MyAuditVal,_xlpm.MacVal&lt;&gt;"",_xlpm.MacVal,_xlpm.CSVVal&lt;&gt;"",PROPER(_xlpm.CSVVal)
)),"")</f>
        <v/>
      </c>
      <c r="G242" s="54" t="str" cm="1">
        <f t="array" ref="G242">IFERROR(_xlfn.LET(
_xlpm.CSVVal,_xlfn.XLOOKUP($A242,CSV!$A:$A,CSV!F:F,""),
_xlpm.MacVal,_xlfn.XLOOKUP($A242,Output_Mac!$A:$A,Output_Mac!H:H,""),
_xlpm.MyAuditVal,_xlfn.XLOOKUP($A242,My_Audit!$A:$A,My_Audit!F:F,""),
_xlfn.IFS(_xlpm.MyAuditVal&lt;&gt;"",_xlpm.MyAuditVal,_xlpm.MacVal&lt;&gt;"",_xlpm.MacVal,_xlpm.CSVVal&lt;&gt;"",_xlpm.CSVVal
)),"")</f>
        <v/>
      </c>
      <c r="H242" s="54" t="str">
        <f>_xlfn.XLOOKUP(A242,Output_Mac!A:A,Output_Mac!I:I,"")</f>
        <v/>
      </c>
      <c r="I242" s="54" t="str" cm="1">
        <f t="array" ref="I242">IFERROR(_xlfn.LET(
_xlpm.CSVVal,_xlfn.XLOOKUP($A242,CSV!$A:$A,CSV!G:G,""),
_xlpm.MacVal,_xlfn.XLOOKUP($A242,Output_Mac!$A:$A,Output_Mac!J:J,""),
_xlpm.MyAuditVal,_xlfn.XLOOKUP($A242,My_Audit!$A:$A,My_Audit!H:H,""),
_xlfn.IFS(_xlpm.MyAuditVal&lt;&gt;"",UPPER(_xlpm.MyAuditVal),_xlpm.MacVal&lt;&gt;"",_xlpm.MacVal,_xlpm.CSVVal&lt;&gt;"",_xlpm.CSVVal
)),"")</f>
        <v/>
      </c>
      <c r="J242" s="54" t="str" cm="1">
        <f t="array" ref="J242">IFERROR(_xlfn.LET(
_xlpm.CSVVal,_xlfn.XLOOKUP($A242,CSV!$A:$A,CSV!I:I,""),
_xlpm.MacVal,_xlfn.XLOOKUP($A242,Output_Mac!$A:$A,Output_Mac!K:K,""),
_xlpm.MyAuditVal,_xlfn.XLOOKUP($A242,My_Audit!$A:$A,My_Audit!I:I,""),
_xlfn.IFS(_xlpm.MyAuditVal&lt;&gt;"",UPPER(_xlpm.MyAuditVal),_xlpm.MacVal&lt;&gt;"",_xlpm.MacVal,_xlpm.CSVVal&lt;&gt;"",_xlpm.CSVVal
)),"")</f>
        <v/>
      </c>
      <c r="K242" s="54" t="str" cm="1">
        <f t="array" ref="K242">IFERROR(_xlfn.LET(
_xlpm.CSVVal,_xlfn.XLOOKUP($A242,CSV!$A:$A,CSV!M:M,""),
_xlpm.MacVal,_xlfn.XLOOKUP($A242,Output_Mac!$A:$A,Output_Mac!L:L,""),
_xlpm.MyAuditVal,_xlfn.XLOOKUP($A242,My_Audit!$A:$A,My_Audit!J:J,""),
_xlfn.IFS(_xlpm.MyAuditVal&lt;&gt;"",UPPER(_xlpm.MyAuditVal),_xlpm.MacVal&lt;&gt;"",_xlpm.MacVal,_xlpm.CSVVal&lt;&gt;"",_xlpm.CSVVal
)),"")</f>
        <v/>
      </c>
      <c r="L242" s="55" t="str" cm="1">
        <f t="array" ref="L242">IFERROR(_xlfn.LET(
_xlpm.CSVVal,_xlfn.XLOOKUP($A242,CSV!$A:$A,CSV!P:P,""),
_xlpm.MacVal,_xlfn.XLOOKUP($A242,Output_Mac!$A:$A,Output_Mac!M:M,""),
_xlpm.MyAuditVal,_xlfn.XLOOKUP($A242,My_Audit!$A:$A,My_Audit!K:K,""),
_xlfn.IFS(_xlpm.MyAuditVal&lt;&gt;"",UPPER(_xlpm.MyAuditVal),_xlpm.MacVal&lt;&gt;"",_xlpm.MacVal,_xlpm.CSVVal&lt;&gt;"",_xlpm.CSVVal
)),"")</f>
        <v/>
      </c>
      <c r="M242" s="54" t="str">
        <f>_xlfn.LET(
    _xlpm.CSVVal, _xlfn.XLOOKUP($A242, CSV!$A:$A, CSV!AD:AD, ""),
    _xlpm.MacVal, _xlfn.XLOOKUP($A242, Output_Mac!$A:$A, Output_Mac!S:S, ""),
    _xlpm.MyAuditVal, _xlfn.XLOOKUP($A242, My_Audit!$A:$A, My_Audit!N:N, ""),
    _xlfn.TEXTJOIN(", ", TRUE, _xlpm.MyAuditVal, _xlpm.MacVal, _xlpm.CSVVal)
)</f>
        <v/>
      </c>
      <c r="N242" s="54" t="str" cm="1">
        <f t="array" ref="N242">IFERROR(_xlfn.LET(
_xlpm.CSVVal,_xlfn.XLOOKUP($A242,CSV!$A:$A,CSV!AF:AF,""),
_xlpm.MacVal,_xlfn.XLOOKUP($A242,Output_Mac!$A:$A,Output_Mac!U:U,""),
_xlpm.MyAuditVal,_xlfn.XLOOKUP($A242,My_Audit!$A:$A,My_Audit!O:O,""),
_xlfn.IFS(_xlpm.MyAuditVal&lt;&gt;"",UPPER(_xlpm.MyAuditVal),_xlpm.MacVal&lt;&gt;"",_xlpm.MacVal,_xlpm.CSVVal&lt;&gt;"",_xlpm.CSVVal
)),"")</f>
        <v/>
      </c>
      <c r="O242" s="54"/>
      <c r="P242" s="54"/>
      <c r="Q242" s="54"/>
      <c r="R242" s="54"/>
      <c r="S242" s="54"/>
      <c r="T242" s="54"/>
      <c r="U242" s="39"/>
    </row>
    <row r="243" spans="1:21">
      <c r="A243" s="54" t="str">
        <f>_xlfn.TEXTJOIN("",TRUE,Input!$B$2,ROW(My_Audit!A242))</f>
        <v>XX242</v>
      </c>
      <c r="B243" s="54" t="str">
        <f>_xlfn.TEXTJOIN("-",TRUE,"ITD",Input!$A$2,A243)</f>
        <v>ITD-SHRXXX-XX242</v>
      </c>
      <c r="C243" s="54" t="str" cm="1">
        <f t="array" ref="C243">IFERROR(_xlfn.LET(
_xlpm.CSVVal,_xlfn.XLOOKUP($A243,CSV!$A:$A,CSV!B:B,""),
_xlpm.MacVal,_xlfn.XLOOKUP($A243,Output_Mac!$A:$A,Output_Mac!B:B,""),
_xlpm.MyAuditVal,_xlfn.XLOOKUP($A243,My_Audit!$A:$A,My_Audit!B:B,""),
_xlfn.IFS(_xlpm.MyAuditVal&lt;&gt;"",UPPER(_xlpm.MyAuditVal),_xlpm.MacVal&lt;&gt;"",_xlpm.MacVal,_xlpm.CSVVal&lt;&gt;"",_xlpm.CSVVal
)),"")</f>
        <v/>
      </c>
      <c r="D243" s="55" t="str">
        <f>_xlfn.XLOOKUP(A243,My_Audit!A:A,My_Audit!D:D,"")&amp;""</f>
        <v/>
      </c>
      <c r="E243" s="55" t="str" cm="1">
        <f t="array" ref="E243">IFERROR(_xlfn.LET(
_xlpm.CSVVal,_xlfn.XLOOKUP($A243,CSV!$A:$A,CSV!D:D,""),
_xlpm.MacVal,_xlfn.XLOOKUP($A243,Output_Mac!$A:$A,Output_Mac!C:C,""),
_xlpm.MyAuditVal,_xlfn.XLOOKUP($A243,My_Audit!$A:$A,My_Audit!D:D,""),
_xlfn.IFS(_xlpm.MyAuditVal&lt;&gt;"",_xlpm.MyAuditVal,_xlpm.MacVal&lt;&gt;"",_xlpm.MacVal,_xlpm.CSVVal&lt;&gt;"",_xlpm.CSVVal
)),"")</f>
        <v/>
      </c>
      <c r="F243" s="54" t="str" cm="1">
        <f t="array" ref="F243">IFERROR(_xlfn.LET(
_xlpm.CSVVal,_xlfn.XLOOKUP($A243,CSV!$A:$A,CSV!E:E,""),
_xlpm.MacVal,_xlfn.XLOOKUP($A243,Output_Mac!$A:$A,Output_Mac!F:F,""),
_xlpm.MyAuditVal,_xlfn.XLOOKUP($A243,My_Audit!$A:$A,My_Audit!E:E,""),
_xlfn.IFS(_xlpm.MyAuditVal&lt;&gt;"",_xlpm.MyAuditVal,_xlpm.MacVal&lt;&gt;"",_xlpm.MacVal,_xlpm.CSVVal&lt;&gt;"",PROPER(_xlpm.CSVVal)
)),"")</f>
        <v/>
      </c>
      <c r="G243" s="54" t="str" cm="1">
        <f t="array" ref="G243">IFERROR(_xlfn.LET(
_xlpm.CSVVal,_xlfn.XLOOKUP($A243,CSV!$A:$A,CSV!F:F,""),
_xlpm.MacVal,_xlfn.XLOOKUP($A243,Output_Mac!$A:$A,Output_Mac!H:H,""),
_xlpm.MyAuditVal,_xlfn.XLOOKUP($A243,My_Audit!$A:$A,My_Audit!F:F,""),
_xlfn.IFS(_xlpm.MyAuditVal&lt;&gt;"",_xlpm.MyAuditVal,_xlpm.MacVal&lt;&gt;"",_xlpm.MacVal,_xlpm.CSVVal&lt;&gt;"",_xlpm.CSVVal
)),"")</f>
        <v/>
      </c>
      <c r="H243" s="54" t="str">
        <f>_xlfn.XLOOKUP(A243,Output_Mac!A:A,Output_Mac!I:I,"")</f>
        <v/>
      </c>
      <c r="I243" s="54" t="str" cm="1">
        <f t="array" ref="I243">IFERROR(_xlfn.LET(
_xlpm.CSVVal,_xlfn.XLOOKUP($A243,CSV!$A:$A,CSV!G:G,""),
_xlpm.MacVal,_xlfn.XLOOKUP($A243,Output_Mac!$A:$A,Output_Mac!J:J,""),
_xlpm.MyAuditVal,_xlfn.XLOOKUP($A243,My_Audit!$A:$A,My_Audit!H:H,""),
_xlfn.IFS(_xlpm.MyAuditVal&lt;&gt;"",UPPER(_xlpm.MyAuditVal),_xlpm.MacVal&lt;&gt;"",_xlpm.MacVal,_xlpm.CSVVal&lt;&gt;"",_xlpm.CSVVal
)),"")</f>
        <v/>
      </c>
      <c r="J243" s="54" t="str" cm="1">
        <f t="array" ref="J243">IFERROR(_xlfn.LET(
_xlpm.CSVVal,_xlfn.XLOOKUP($A243,CSV!$A:$A,CSV!I:I,""),
_xlpm.MacVal,_xlfn.XLOOKUP($A243,Output_Mac!$A:$A,Output_Mac!K:K,""),
_xlpm.MyAuditVal,_xlfn.XLOOKUP($A243,My_Audit!$A:$A,My_Audit!I:I,""),
_xlfn.IFS(_xlpm.MyAuditVal&lt;&gt;"",UPPER(_xlpm.MyAuditVal),_xlpm.MacVal&lt;&gt;"",_xlpm.MacVal,_xlpm.CSVVal&lt;&gt;"",_xlpm.CSVVal
)),"")</f>
        <v/>
      </c>
      <c r="K243" s="54" t="str" cm="1">
        <f t="array" ref="K243">IFERROR(_xlfn.LET(
_xlpm.CSVVal,_xlfn.XLOOKUP($A243,CSV!$A:$A,CSV!M:M,""),
_xlpm.MacVal,_xlfn.XLOOKUP($A243,Output_Mac!$A:$A,Output_Mac!L:L,""),
_xlpm.MyAuditVal,_xlfn.XLOOKUP($A243,My_Audit!$A:$A,My_Audit!J:J,""),
_xlfn.IFS(_xlpm.MyAuditVal&lt;&gt;"",UPPER(_xlpm.MyAuditVal),_xlpm.MacVal&lt;&gt;"",_xlpm.MacVal,_xlpm.CSVVal&lt;&gt;"",_xlpm.CSVVal
)),"")</f>
        <v/>
      </c>
      <c r="L243" s="55" t="str" cm="1">
        <f t="array" ref="L243">IFERROR(_xlfn.LET(
_xlpm.CSVVal,_xlfn.XLOOKUP($A243,CSV!$A:$A,CSV!P:P,""),
_xlpm.MacVal,_xlfn.XLOOKUP($A243,Output_Mac!$A:$A,Output_Mac!M:M,""),
_xlpm.MyAuditVal,_xlfn.XLOOKUP($A243,My_Audit!$A:$A,My_Audit!K:K,""),
_xlfn.IFS(_xlpm.MyAuditVal&lt;&gt;"",UPPER(_xlpm.MyAuditVal),_xlpm.MacVal&lt;&gt;"",_xlpm.MacVal,_xlpm.CSVVal&lt;&gt;"",_xlpm.CSVVal
)),"")</f>
        <v/>
      </c>
      <c r="M243" s="54" t="str">
        <f>_xlfn.LET(
    _xlpm.CSVVal, _xlfn.XLOOKUP($A243, CSV!$A:$A, CSV!AD:AD, ""),
    _xlpm.MacVal, _xlfn.XLOOKUP($A243, Output_Mac!$A:$A, Output_Mac!S:S, ""),
    _xlpm.MyAuditVal, _xlfn.XLOOKUP($A243, My_Audit!$A:$A, My_Audit!N:N, ""),
    _xlfn.TEXTJOIN(", ", TRUE, _xlpm.MyAuditVal, _xlpm.MacVal, _xlpm.CSVVal)
)</f>
        <v/>
      </c>
      <c r="N243" s="54" t="str" cm="1">
        <f t="array" ref="N243">IFERROR(_xlfn.LET(
_xlpm.CSVVal,_xlfn.XLOOKUP($A243,CSV!$A:$A,CSV!AF:AF,""),
_xlpm.MacVal,_xlfn.XLOOKUP($A243,Output_Mac!$A:$A,Output_Mac!U:U,""),
_xlpm.MyAuditVal,_xlfn.XLOOKUP($A243,My_Audit!$A:$A,My_Audit!O:O,""),
_xlfn.IFS(_xlpm.MyAuditVal&lt;&gt;"",UPPER(_xlpm.MyAuditVal),_xlpm.MacVal&lt;&gt;"",_xlpm.MacVal,_xlpm.CSVVal&lt;&gt;"",_xlpm.CSVVal
)),"")</f>
        <v/>
      </c>
      <c r="O243" s="54"/>
      <c r="P243" s="54"/>
      <c r="Q243" s="54"/>
      <c r="R243" s="54"/>
      <c r="S243" s="54"/>
      <c r="T243" s="54"/>
      <c r="U243" s="39"/>
    </row>
    <row r="244" spans="1:21">
      <c r="A244" s="54" t="str">
        <f>_xlfn.TEXTJOIN("",TRUE,Input!$B$2,ROW(My_Audit!A243))</f>
        <v>XX243</v>
      </c>
      <c r="B244" s="54" t="str">
        <f>_xlfn.TEXTJOIN("-",TRUE,"ITD",Input!$A$2,A244)</f>
        <v>ITD-SHRXXX-XX243</v>
      </c>
      <c r="C244" s="54" t="str" cm="1">
        <f t="array" ref="C244">IFERROR(_xlfn.LET(
_xlpm.CSVVal,_xlfn.XLOOKUP($A244,CSV!$A:$A,CSV!B:B,""),
_xlpm.MacVal,_xlfn.XLOOKUP($A244,Output_Mac!$A:$A,Output_Mac!B:B,""),
_xlpm.MyAuditVal,_xlfn.XLOOKUP($A244,My_Audit!$A:$A,My_Audit!B:B,""),
_xlfn.IFS(_xlpm.MyAuditVal&lt;&gt;"",UPPER(_xlpm.MyAuditVal),_xlpm.MacVal&lt;&gt;"",_xlpm.MacVal,_xlpm.CSVVal&lt;&gt;"",_xlpm.CSVVal
)),"")</f>
        <v/>
      </c>
      <c r="D244" s="55" t="str">
        <f>_xlfn.XLOOKUP(A244,My_Audit!A:A,My_Audit!D:D,"")&amp;""</f>
        <v/>
      </c>
      <c r="E244" s="55" t="str" cm="1">
        <f t="array" ref="E244">IFERROR(_xlfn.LET(
_xlpm.CSVVal,_xlfn.XLOOKUP($A244,CSV!$A:$A,CSV!D:D,""),
_xlpm.MacVal,_xlfn.XLOOKUP($A244,Output_Mac!$A:$A,Output_Mac!C:C,""),
_xlpm.MyAuditVal,_xlfn.XLOOKUP($A244,My_Audit!$A:$A,My_Audit!D:D,""),
_xlfn.IFS(_xlpm.MyAuditVal&lt;&gt;"",_xlpm.MyAuditVal,_xlpm.MacVal&lt;&gt;"",_xlpm.MacVal,_xlpm.CSVVal&lt;&gt;"",_xlpm.CSVVal
)),"")</f>
        <v/>
      </c>
      <c r="F244" s="54" t="str" cm="1">
        <f t="array" ref="F244">IFERROR(_xlfn.LET(
_xlpm.CSVVal,_xlfn.XLOOKUP($A244,CSV!$A:$A,CSV!E:E,""),
_xlpm.MacVal,_xlfn.XLOOKUP($A244,Output_Mac!$A:$A,Output_Mac!F:F,""),
_xlpm.MyAuditVal,_xlfn.XLOOKUP($A244,My_Audit!$A:$A,My_Audit!E:E,""),
_xlfn.IFS(_xlpm.MyAuditVal&lt;&gt;"",_xlpm.MyAuditVal,_xlpm.MacVal&lt;&gt;"",_xlpm.MacVal,_xlpm.CSVVal&lt;&gt;"",PROPER(_xlpm.CSVVal)
)),"")</f>
        <v/>
      </c>
      <c r="G244" s="54" t="str" cm="1">
        <f t="array" ref="G244">IFERROR(_xlfn.LET(
_xlpm.CSVVal,_xlfn.XLOOKUP($A244,CSV!$A:$A,CSV!F:F,""),
_xlpm.MacVal,_xlfn.XLOOKUP($A244,Output_Mac!$A:$A,Output_Mac!H:H,""),
_xlpm.MyAuditVal,_xlfn.XLOOKUP($A244,My_Audit!$A:$A,My_Audit!F:F,""),
_xlfn.IFS(_xlpm.MyAuditVal&lt;&gt;"",_xlpm.MyAuditVal,_xlpm.MacVal&lt;&gt;"",_xlpm.MacVal,_xlpm.CSVVal&lt;&gt;"",_xlpm.CSVVal
)),"")</f>
        <v/>
      </c>
      <c r="H244" s="54" t="str">
        <f>_xlfn.XLOOKUP(A244,Output_Mac!A:A,Output_Mac!I:I,"")</f>
        <v/>
      </c>
      <c r="I244" s="54" t="str" cm="1">
        <f t="array" ref="I244">IFERROR(_xlfn.LET(
_xlpm.CSVVal,_xlfn.XLOOKUP($A244,CSV!$A:$A,CSV!G:G,""),
_xlpm.MacVal,_xlfn.XLOOKUP($A244,Output_Mac!$A:$A,Output_Mac!J:J,""),
_xlpm.MyAuditVal,_xlfn.XLOOKUP($A244,My_Audit!$A:$A,My_Audit!H:H,""),
_xlfn.IFS(_xlpm.MyAuditVal&lt;&gt;"",UPPER(_xlpm.MyAuditVal),_xlpm.MacVal&lt;&gt;"",_xlpm.MacVal,_xlpm.CSVVal&lt;&gt;"",_xlpm.CSVVal
)),"")</f>
        <v/>
      </c>
      <c r="J244" s="54" t="str" cm="1">
        <f t="array" ref="J244">IFERROR(_xlfn.LET(
_xlpm.CSVVal,_xlfn.XLOOKUP($A244,CSV!$A:$A,CSV!I:I,""),
_xlpm.MacVal,_xlfn.XLOOKUP($A244,Output_Mac!$A:$A,Output_Mac!K:K,""),
_xlpm.MyAuditVal,_xlfn.XLOOKUP($A244,My_Audit!$A:$A,My_Audit!I:I,""),
_xlfn.IFS(_xlpm.MyAuditVal&lt;&gt;"",UPPER(_xlpm.MyAuditVal),_xlpm.MacVal&lt;&gt;"",_xlpm.MacVal,_xlpm.CSVVal&lt;&gt;"",_xlpm.CSVVal
)),"")</f>
        <v/>
      </c>
      <c r="K244" s="54" t="str" cm="1">
        <f t="array" ref="K244">IFERROR(_xlfn.LET(
_xlpm.CSVVal,_xlfn.XLOOKUP($A244,CSV!$A:$A,CSV!M:M,""),
_xlpm.MacVal,_xlfn.XLOOKUP($A244,Output_Mac!$A:$A,Output_Mac!L:L,""),
_xlpm.MyAuditVal,_xlfn.XLOOKUP($A244,My_Audit!$A:$A,My_Audit!J:J,""),
_xlfn.IFS(_xlpm.MyAuditVal&lt;&gt;"",UPPER(_xlpm.MyAuditVal),_xlpm.MacVal&lt;&gt;"",_xlpm.MacVal,_xlpm.CSVVal&lt;&gt;"",_xlpm.CSVVal
)),"")</f>
        <v/>
      </c>
      <c r="L244" s="55" t="str" cm="1">
        <f t="array" ref="L244">IFERROR(_xlfn.LET(
_xlpm.CSVVal,_xlfn.XLOOKUP($A244,CSV!$A:$A,CSV!P:P,""),
_xlpm.MacVal,_xlfn.XLOOKUP($A244,Output_Mac!$A:$A,Output_Mac!M:M,""),
_xlpm.MyAuditVal,_xlfn.XLOOKUP($A244,My_Audit!$A:$A,My_Audit!K:K,""),
_xlfn.IFS(_xlpm.MyAuditVal&lt;&gt;"",UPPER(_xlpm.MyAuditVal),_xlpm.MacVal&lt;&gt;"",_xlpm.MacVal,_xlpm.CSVVal&lt;&gt;"",_xlpm.CSVVal
)),"")</f>
        <v/>
      </c>
      <c r="M244" s="54" t="str">
        <f>_xlfn.LET(
    _xlpm.CSVVal, _xlfn.XLOOKUP($A244, CSV!$A:$A, CSV!AD:AD, ""),
    _xlpm.MacVal, _xlfn.XLOOKUP($A244, Output_Mac!$A:$A, Output_Mac!S:S, ""),
    _xlpm.MyAuditVal, _xlfn.XLOOKUP($A244, My_Audit!$A:$A, My_Audit!N:N, ""),
    _xlfn.TEXTJOIN(", ", TRUE, _xlpm.MyAuditVal, _xlpm.MacVal, _xlpm.CSVVal)
)</f>
        <v/>
      </c>
      <c r="N244" s="54" t="str" cm="1">
        <f t="array" ref="N244">IFERROR(_xlfn.LET(
_xlpm.CSVVal,_xlfn.XLOOKUP($A244,CSV!$A:$A,CSV!AF:AF,""),
_xlpm.MacVal,_xlfn.XLOOKUP($A244,Output_Mac!$A:$A,Output_Mac!U:U,""),
_xlpm.MyAuditVal,_xlfn.XLOOKUP($A244,My_Audit!$A:$A,My_Audit!O:O,""),
_xlfn.IFS(_xlpm.MyAuditVal&lt;&gt;"",UPPER(_xlpm.MyAuditVal),_xlpm.MacVal&lt;&gt;"",_xlpm.MacVal,_xlpm.CSVVal&lt;&gt;"",_xlpm.CSVVal
)),"")</f>
        <v/>
      </c>
      <c r="O244" s="54"/>
      <c r="P244" s="54"/>
      <c r="Q244" s="54"/>
      <c r="R244" s="54"/>
      <c r="S244" s="54"/>
      <c r="T244" s="54"/>
      <c r="U244" s="39"/>
    </row>
    <row r="245" spans="1:21">
      <c r="A245" s="54" t="str">
        <f>_xlfn.TEXTJOIN("",TRUE,Input!$B$2,ROW(My_Audit!A244))</f>
        <v>XX244</v>
      </c>
      <c r="B245" s="54" t="str">
        <f>_xlfn.TEXTJOIN("-",TRUE,"ITD",Input!$A$2,A245)</f>
        <v>ITD-SHRXXX-XX244</v>
      </c>
      <c r="C245" s="54" t="str" cm="1">
        <f t="array" ref="C245">IFERROR(_xlfn.LET(
_xlpm.CSVVal,_xlfn.XLOOKUP($A245,CSV!$A:$A,CSV!B:B,""),
_xlpm.MacVal,_xlfn.XLOOKUP($A245,Output_Mac!$A:$A,Output_Mac!B:B,""),
_xlpm.MyAuditVal,_xlfn.XLOOKUP($A245,My_Audit!$A:$A,My_Audit!B:B,""),
_xlfn.IFS(_xlpm.MyAuditVal&lt;&gt;"",UPPER(_xlpm.MyAuditVal),_xlpm.MacVal&lt;&gt;"",_xlpm.MacVal,_xlpm.CSVVal&lt;&gt;"",_xlpm.CSVVal
)),"")</f>
        <v/>
      </c>
      <c r="D245" s="55" t="str">
        <f>_xlfn.XLOOKUP(A245,My_Audit!A:A,My_Audit!D:D,"")&amp;""</f>
        <v/>
      </c>
      <c r="E245" s="55" t="str" cm="1">
        <f t="array" ref="E245">IFERROR(_xlfn.LET(
_xlpm.CSVVal,_xlfn.XLOOKUP($A245,CSV!$A:$A,CSV!D:D,""),
_xlpm.MacVal,_xlfn.XLOOKUP($A245,Output_Mac!$A:$A,Output_Mac!C:C,""),
_xlpm.MyAuditVal,_xlfn.XLOOKUP($A245,My_Audit!$A:$A,My_Audit!D:D,""),
_xlfn.IFS(_xlpm.MyAuditVal&lt;&gt;"",_xlpm.MyAuditVal,_xlpm.MacVal&lt;&gt;"",_xlpm.MacVal,_xlpm.CSVVal&lt;&gt;"",_xlpm.CSVVal
)),"")</f>
        <v/>
      </c>
      <c r="F245" s="54" t="str" cm="1">
        <f t="array" ref="F245">IFERROR(_xlfn.LET(
_xlpm.CSVVal,_xlfn.XLOOKUP($A245,CSV!$A:$A,CSV!E:E,""),
_xlpm.MacVal,_xlfn.XLOOKUP($A245,Output_Mac!$A:$A,Output_Mac!F:F,""),
_xlpm.MyAuditVal,_xlfn.XLOOKUP($A245,My_Audit!$A:$A,My_Audit!E:E,""),
_xlfn.IFS(_xlpm.MyAuditVal&lt;&gt;"",_xlpm.MyAuditVal,_xlpm.MacVal&lt;&gt;"",_xlpm.MacVal,_xlpm.CSVVal&lt;&gt;"",PROPER(_xlpm.CSVVal)
)),"")</f>
        <v/>
      </c>
      <c r="G245" s="54" t="str" cm="1">
        <f t="array" ref="G245">IFERROR(_xlfn.LET(
_xlpm.CSVVal,_xlfn.XLOOKUP($A245,CSV!$A:$A,CSV!F:F,""),
_xlpm.MacVal,_xlfn.XLOOKUP($A245,Output_Mac!$A:$A,Output_Mac!H:H,""),
_xlpm.MyAuditVal,_xlfn.XLOOKUP($A245,My_Audit!$A:$A,My_Audit!F:F,""),
_xlfn.IFS(_xlpm.MyAuditVal&lt;&gt;"",_xlpm.MyAuditVal,_xlpm.MacVal&lt;&gt;"",_xlpm.MacVal,_xlpm.CSVVal&lt;&gt;"",_xlpm.CSVVal
)),"")</f>
        <v/>
      </c>
      <c r="H245" s="54" t="str">
        <f>_xlfn.XLOOKUP(A245,Output_Mac!A:A,Output_Mac!I:I,"")</f>
        <v/>
      </c>
      <c r="I245" s="54" t="str" cm="1">
        <f t="array" ref="I245">IFERROR(_xlfn.LET(
_xlpm.CSVVal,_xlfn.XLOOKUP($A245,CSV!$A:$A,CSV!G:G,""),
_xlpm.MacVal,_xlfn.XLOOKUP($A245,Output_Mac!$A:$A,Output_Mac!J:J,""),
_xlpm.MyAuditVal,_xlfn.XLOOKUP($A245,My_Audit!$A:$A,My_Audit!H:H,""),
_xlfn.IFS(_xlpm.MyAuditVal&lt;&gt;"",UPPER(_xlpm.MyAuditVal),_xlpm.MacVal&lt;&gt;"",_xlpm.MacVal,_xlpm.CSVVal&lt;&gt;"",_xlpm.CSVVal
)),"")</f>
        <v/>
      </c>
      <c r="J245" s="54" t="str" cm="1">
        <f t="array" ref="J245">IFERROR(_xlfn.LET(
_xlpm.CSVVal,_xlfn.XLOOKUP($A245,CSV!$A:$A,CSV!I:I,""),
_xlpm.MacVal,_xlfn.XLOOKUP($A245,Output_Mac!$A:$A,Output_Mac!K:K,""),
_xlpm.MyAuditVal,_xlfn.XLOOKUP($A245,My_Audit!$A:$A,My_Audit!I:I,""),
_xlfn.IFS(_xlpm.MyAuditVal&lt;&gt;"",UPPER(_xlpm.MyAuditVal),_xlpm.MacVal&lt;&gt;"",_xlpm.MacVal,_xlpm.CSVVal&lt;&gt;"",_xlpm.CSVVal
)),"")</f>
        <v/>
      </c>
      <c r="K245" s="54" t="str" cm="1">
        <f t="array" ref="K245">IFERROR(_xlfn.LET(
_xlpm.CSVVal,_xlfn.XLOOKUP($A245,CSV!$A:$A,CSV!M:M,""),
_xlpm.MacVal,_xlfn.XLOOKUP($A245,Output_Mac!$A:$A,Output_Mac!L:L,""),
_xlpm.MyAuditVal,_xlfn.XLOOKUP($A245,My_Audit!$A:$A,My_Audit!J:J,""),
_xlfn.IFS(_xlpm.MyAuditVal&lt;&gt;"",UPPER(_xlpm.MyAuditVal),_xlpm.MacVal&lt;&gt;"",_xlpm.MacVal,_xlpm.CSVVal&lt;&gt;"",_xlpm.CSVVal
)),"")</f>
        <v/>
      </c>
      <c r="L245" s="55" t="str" cm="1">
        <f t="array" ref="L245">IFERROR(_xlfn.LET(
_xlpm.CSVVal,_xlfn.XLOOKUP($A245,CSV!$A:$A,CSV!P:P,""),
_xlpm.MacVal,_xlfn.XLOOKUP($A245,Output_Mac!$A:$A,Output_Mac!M:M,""),
_xlpm.MyAuditVal,_xlfn.XLOOKUP($A245,My_Audit!$A:$A,My_Audit!K:K,""),
_xlfn.IFS(_xlpm.MyAuditVal&lt;&gt;"",UPPER(_xlpm.MyAuditVal),_xlpm.MacVal&lt;&gt;"",_xlpm.MacVal,_xlpm.CSVVal&lt;&gt;"",_xlpm.CSVVal
)),"")</f>
        <v/>
      </c>
      <c r="M245" s="54" t="str">
        <f>_xlfn.LET(
    _xlpm.CSVVal, _xlfn.XLOOKUP($A245, CSV!$A:$A, CSV!AD:AD, ""),
    _xlpm.MacVal, _xlfn.XLOOKUP($A245, Output_Mac!$A:$A, Output_Mac!S:S, ""),
    _xlpm.MyAuditVal, _xlfn.XLOOKUP($A245, My_Audit!$A:$A, My_Audit!N:N, ""),
    _xlfn.TEXTJOIN(", ", TRUE, _xlpm.MyAuditVal, _xlpm.MacVal, _xlpm.CSVVal)
)</f>
        <v/>
      </c>
      <c r="N245" s="54" t="str" cm="1">
        <f t="array" ref="N245">IFERROR(_xlfn.LET(
_xlpm.CSVVal,_xlfn.XLOOKUP($A245,CSV!$A:$A,CSV!AF:AF,""),
_xlpm.MacVal,_xlfn.XLOOKUP($A245,Output_Mac!$A:$A,Output_Mac!U:U,""),
_xlpm.MyAuditVal,_xlfn.XLOOKUP($A245,My_Audit!$A:$A,My_Audit!O:O,""),
_xlfn.IFS(_xlpm.MyAuditVal&lt;&gt;"",UPPER(_xlpm.MyAuditVal),_xlpm.MacVal&lt;&gt;"",_xlpm.MacVal,_xlpm.CSVVal&lt;&gt;"",_xlpm.CSVVal
)),"")</f>
        <v/>
      </c>
      <c r="O245" s="54"/>
      <c r="P245" s="54"/>
      <c r="Q245" s="54"/>
      <c r="R245" s="54"/>
      <c r="S245" s="54"/>
      <c r="T245" s="54"/>
      <c r="U245" s="39"/>
    </row>
    <row r="246" spans="1:21">
      <c r="A246" s="54" t="str">
        <f>_xlfn.TEXTJOIN("",TRUE,Input!$B$2,ROW(My_Audit!A245))</f>
        <v>XX245</v>
      </c>
      <c r="B246" s="54" t="str">
        <f>_xlfn.TEXTJOIN("-",TRUE,"ITD",Input!$A$2,A246)</f>
        <v>ITD-SHRXXX-XX245</v>
      </c>
      <c r="C246" s="54" t="str" cm="1">
        <f t="array" ref="C246">IFERROR(_xlfn.LET(
_xlpm.CSVVal,_xlfn.XLOOKUP($A246,CSV!$A:$A,CSV!B:B,""),
_xlpm.MacVal,_xlfn.XLOOKUP($A246,Output_Mac!$A:$A,Output_Mac!B:B,""),
_xlpm.MyAuditVal,_xlfn.XLOOKUP($A246,My_Audit!$A:$A,My_Audit!B:B,""),
_xlfn.IFS(_xlpm.MyAuditVal&lt;&gt;"",UPPER(_xlpm.MyAuditVal),_xlpm.MacVal&lt;&gt;"",_xlpm.MacVal,_xlpm.CSVVal&lt;&gt;"",_xlpm.CSVVal
)),"")</f>
        <v/>
      </c>
      <c r="D246" s="55" t="str">
        <f>_xlfn.XLOOKUP(A246,My_Audit!A:A,My_Audit!D:D,"")&amp;""</f>
        <v/>
      </c>
      <c r="E246" s="55" t="str" cm="1">
        <f t="array" ref="E246">IFERROR(_xlfn.LET(
_xlpm.CSVVal,_xlfn.XLOOKUP($A246,CSV!$A:$A,CSV!D:D,""),
_xlpm.MacVal,_xlfn.XLOOKUP($A246,Output_Mac!$A:$A,Output_Mac!C:C,""),
_xlpm.MyAuditVal,_xlfn.XLOOKUP($A246,My_Audit!$A:$A,My_Audit!D:D,""),
_xlfn.IFS(_xlpm.MyAuditVal&lt;&gt;"",_xlpm.MyAuditVal,_xlpm.MacVal&lt;&gt;"",_xlpm.MacVal,_xlpm.CSVVal&lt;&gt;"",_xlpm.CSVVal
)),"")</f>
        <v/>
      </c>
      <c r="F246" s="54" t="str" cm="1">
        <f t="array" ref="F246">IFERROR(_xlfn.LET(
_xlpm.CSVVal,_xlfn.XLOOKUP($A246,CSV!$A:$A,CSV!E:E,""),
_xlpm.MacVal,_xlfn.XLOOKUP($A246,Output_Mac!$A:$A,Output_Mac!F:F,""),
_xlpm.MyAuditVal,_xlfn.XLOOKUP($A246,My_Audit!$A:$A,My_Audit!E:E,""),
_xlfn.IFS(_xlpm.MyAuditVal&lt;&gt;"",_xlpm.MyAuditVal,_xlpm.MacVal&lt;&gt;"",_xlpm.MacVal,_xlpm.CSVVal&lt;&gt;"",PROPER(_xlpm.CSVVal)
)),"")</f>
        <v/>
      </c>
      <c r="G246" s="54" t="str" cm="1">
        <f t="array" ref="G246">IFERROR(_xlfn.LET(
_xlpm.CSVVal,_xlfn.XLOOKUP($A246,CSV!$A:$A,CSV!F:F,""),
_xlpm.MacVal,_xlfn.XLOOKUP($A246,Output_Mac!$A:$A,Output_Mac!H:H,""),
_xlpm.MyAuditVal,_xlfn.XLOOKUP($A246,My_Audit!$A:$A,My_Audit!F:F,""),
_xlfn.IFS(_xlpm.MyAuditVal&lt;&gt;"",_xlpm.MyAuditVal,_xlpm.MacVal&lt;&gt;"",_xlpm.MacVal,_xlpm.CSVVal&lt;&gt;"",_xlpm.CSVVal
)),"")</f>
        <v/>
      </c>
      <c r="H246" s="54" t="str">
        <f>_xlfn.XLOOKUP(A246,Output_Mac!A:A,Output_Mac!I:I,"")</f>
        <v/>
      </c>
      <c r="I246" s="54" t="str" cm="1">
        <f t="array" ref="I246">IFERROR(_xlfn.LET(
_xlpm.CSVVal,_xlfn.XLOOKUP($A246,CSV!$A:$A,CSV!G:G,""),
_xlpm.MacVal,_xlfn.XLOOKUP($A246,Output_Mac!$A:$A,Output_Mac!J:J,""),
_xlpm.MyAuditVal,_xlfn.XLOOKUP($A246,My_Audit!$A:$A,My_Audit!H:H,""),
_xlfn.IFS(_xlpm.MyAuditVal&lt;&gt;"",UPPER(_xlpm.MyAuditVal),_xlpm.MacVal&lt;&gt;"",_xlpm.MacVal,_xlpm.CSVVal&lt;&gt;"",_xlpm.CSVVal
)),"")</f>
        <v/>
      </c>
      <c r="J246" s="54" t="str" cm="1">
        <f t="array" ref="J246">IFERROR(_xlfn.LET(
_xlpm.CSVVal,_xlfn.XLOOKUP($A246,CSV!$A:$A,CSV!I:I,""),
_xlpm.MacVal,_xlfn.XLOOKUP($A246,Output_Mac!$A:$A,Output_Mac!K:K,""),
_xlpm.MyAuditVal,_xlfn.XLOOKUP($A246,My_Audit!$A:$A,My_Audit!I:I,""),
_xlfn.IFS(_xlpm.MyAuditVal&lt;&gt;"",UPPER(_xlpm.MyAuditVal),_xlpm.MacVal&lt;&gt;"",_xlpm.MacVal,_xlpm.CSVVal&lt;&gt;"",_xlpm.CSVVal
)),"")</f>
        <v/>
      </c>
      <c r="K246" s="54" t="str" cm="1">
        <f t="array" ref="K246">IFERROR(_xlfn.LET(
_xlpm.CSVVal,_xlfn.XLOOKUP($A246,CSV!$A:$A,CSV!M:M,""),
_xlpm.MacVal,_xlfn.XLOOKUP($A246,Output_Mac!$A:$A,Output_Mac!L:L,""),
_xlpm.MyAuditVal,_xlfn.XLOOKUP($A246,My_Audit!$A:$A,My_Audit!J:J,""),
_xlfn.IFS(_xlpm.MyAuditVal&lt;&gt;"",UPPER(_xlpm.MyAuditVal),_xlpm.MacVal&lt;&gt;"",_xlpm.MacVal,_xlpm.CSVVal&lt;&gt;"",_xlpm.CSVVal
)),"")</f>
        <v/>
      </c>
      <c r="L246" s="55" t="str" cm="1">
        <f t="array" ref="L246">IFERROR(_xlfn.LET(
_xlpm.CSVVal,_xlfn.XLOOKUP($A246,CSV!$A:$A,CSV!P:P,""),
_xlpm.MacVal,_xlfn.XLOOKUP($A246,Output_Mac!$A:$A,Output_Mac!M:M,""),
_xlpm.MyAuditVal,_xlfn.XLOOKUP($A246,My_Audit!$A:$A,My_Audit!K:K,""),
_xlfn.IFS(_xlpm.MyAuditVal&lt;&gt;"",UPPER(_xlpm.MyAuditVal),_xlpm.MacVal&lt;&gt;"",_xlpm.MacVal,_xlpm.CSVVal&lt;&gt;"",_xlpm.CSVVal
)),"")</f>
        <v/>
      </c>
      <c r="M246" s="54" t="str">
        <f>_xlfn.LET(
    _xlpm.CSVVal, _xlfn.XLOOKUP($A246, CSV!$A:$A, CSV!AD:AD, ""),
    _xlpm.MacVal, _xlfn.XLOOKUP($A246, Output_Mac!$A:$A, Output_Mac!S:S, ""),
    _xlpm.MyAuditVal, _xlfn.XLOOKUP($A246, My_Audit!$A:$A, My_Audit!N:N, ""),
    _xlfn.TEXTJOIN(", ", TRUE, _xlpm.MyAuditVal, _xlpm.MacVal, _xlpm.CSVVal)
)</f>
        <v/>
      </c>
      <c r="N246" s="54" t="str" cm="1">
        <f t="array" ref="N246">IFERROR(_xlfn.LET(
_xlpm.CSVVal,_xlfn.XLOOKUP($A246,CSV!$A:$A,CSV!AF:AF,""),
_xlpm.MacVal,_xlfn.XLOOKUP($A246,Output_Mac!$A:$A,Output_Mac!U:U,""),
_xlpm.MyAuditVal,_xlfn.XLOOKUP($A246,My_Audit!$A:$A,My_Audit!O:O,""),
_xlfn.IFS(_xlpm.MyAuditVal&lt;&gt;"",UPPER(_xlpm.MyAuditVal),_xlpm.MacVal&lt;&gt;"",_xlpm.MacVal,_xlpm.CSVVal&lt;&gt;"",_xlpm.CSVVal
)),"")</f>
        <v/>
      </c>
      <c r="O246" s="54"/>
      <c r="P246" s="54"/>
      <c r="Q246" s="54"/>
      <c r="R246" s="54"/>
      <c r="S246" s="54"/>
      <c r="T246" s="54"/>
      <c r="U246" s="39"/>
    </row>
    <row r="247" spans="1:21">
      <c r="A247" s="54" t="str">
        <f>_xlfn.TEXTJOIN("",TRUE,Input!$B$2,ROW(My_Audit!A246))</f>
        <v>XX246</v>
      </c>
      <c r="B247" s="54" t="str">
        <f>_xlfn.TEXTJOIN("-",TRUE,"ITD",Input!$A$2,A247)</f>
        <v>ITD-SHRXXX-XX246</v>
      </c>
      <c r="C247" s="54" t="str" cm="1">
        <f t="array" ref="C247">IFERROR(_xlfn.LET(
_xlpm.CSVVal,_xlfn.XLOOKUP($A247,CSV!$A:$A,CSV!B:B,""),
_xlpm.MacVal,_xlfn.XLOOKUP($A247,Output_Mac!$A:$A,Output_Mac!B:B,""),
_xlpm.MyAuditVal,_xlfn.XLOOKUP($A247,My_Audit!$A:$A,My_Audit!B:B,""),
_xlfn.IFS(_xlpm.MyAuditVal&lt;&gt;"",UPPER(_xlpm.MyAuditVal),_xlpm.MacVal&lt;&gt;"",_xlpm.MacVal,_xlpm.CSVVal&lt;&gt;"",_xlpm.CSVVal
)),"")</f>
        <v/>
      </c>
      <c r="D247" s="55" t="str">
        <f>_xlfn.XLOOKUP(A247,My_Audit!A:A,My_Audit!D:D,"")&amp;""</f>
        <v/>
      </c>
      <c r="E247" s="55" t="str" cm="1">
        <f t="array" ref="E247">IFERROR(_xlfn.LET(
_xlpm.CSVVal,_xlfn.XLOOKUP($A247,CSV!$A:$A,CSV!D:D,""),
_xlpm.MacVal,_xlfn.XLOOKUP($A247,Output_Mac!$A:$A,Output_Mac!C:C,""),
_xlpm.MyAuditVal,_xlfn.XLOOKUP($A247,My_Audit!$A:$A,My_Audit!D:D,""),
_xlfn.IFS(_xlpm.MyAuditVal&lt;&gt;"",_xlpm.MyAuditVal,_xlpm.MacVal&lt;&gt;"",_xlpm.MacVal,_xlpm.CSVVal&lt;&gt;"",_xlpm.CSVVal
)),"")</f>
        <v/>
      </c>
      <c r="F247" s="54" t="str" cm="1">
        <f t="array" ref="F247">IFERROR(_xlfn.LET(
_xlpm.CSVVal,_xlfn.XLOOKUP($A247,CSV!$A:$A,CSV!E:E,""),
_xlpm.MacVal,_xlfn.XLOOKUP($A247,Output_Mac!$A:$A,Output_Mac!F:F,""),
_xlpm.MyAuditVal,_xlfn.XLOOKUP($A247,My_Audit!$A:$A,My_Audit!E:E,""),
_xlfn.IFS(_xlpm.MyAuditVal&lt;&gt;"",_xlpm.MyAuditVal,_xlpm.MacVal&lt;&gt;"",_xlpm.MacVal,_xlpm.CSVVal&lt;&gt;"",PROPER(_xlpm.CSVVal)
)),"")</f>
        <v/>
      </c>
      <c r="G247" s="54" t="str" cm="1">
        <f t="array" ref="G247">IFERROR(_xlfn.LET(
_xlpm.CSVVal,_xlfn.XLOOKUP($A247,CSV!$A:$A,CSV!F:F,""),
_xlpm.MacVal,_xlfn.XLOOKUP($A247,Output_Mac!$A:$A,Output_Mac!H:H,""),
_xlpm.MyAuditVal,_xlfn.XLOOKUP($A247,My_Audit!$A:$A,My_Audit!F:F,""),
_xlfn.IFS(_xlpm.MyAuditVal&lt;&gt;"",_xlpm.MyAuditVal,_xlpm.MacVal&lt;&gt;"",_xlpm.MacVal,_xlpm.CSVVal&lt;&gt;"",_xlpm.CSVVal
)),"")</f>
        <v/>
      </c>
      <c r="H247" s="54" t="str">
        <f>_xlfn.XLOOKUP(A247,Output_Mac!A:A,Output_Mac!I:I,"")</f>
        <v/>
      </c>
      <c r="I247" s="54" t="str" cm="1">
        <f t="array" ref="I247">IFERROR(_xlfn.LET(
_xlpm.CSVVal,_xlfn.XLOOKUP($A247,CSV!$A:$A,CSV!G:G,""),
_xlpm.MacVal,_xlfn.XLOOKUP($A247,Output_Mac!$A:$A,Output_Mac!J:J,""),
_xlpm.MyAuditVal,_xlfn.XLOOKUP($A247,My_Audit!$A:$A,My_Audit!H:H,""),
_xlfn.IFS(_xlpm.MyAuditVal&lt;&gt;"",UPPER(_xlpm.MyAuditVal),_xlpm.MacVal&lt;&gt;"",_xlpm.MacVal,_xlpm.CSVVal&lt;&gt;"",_xlpm.CSVVal
)),"")</f>
        <v/>
      </c>
      <c r="J247" s="54" t="str" cm="1">
        <f t="array" ref="J247">IFERROR(_xlfn.LET(
_xlpm.CSVVal,_xlfn.XLOOKUP($A247,CSV!$A:$A,CSV!I:I,""),
_xlpm.MacVal,_xlfn.XLOOKUP($A247,Output_Mac!$A:$A,Output_Mac!K:K,""),
_xlpm.MyAuditVal,_xlfn.XLOOKUP($A247,My_Audit!$A:$A,My_Audit!I:I,""),
_xlfn.IFS(_xlpm.MyAuditVal&lt;&gt;"",UPPER(_xlpm.MyAuditVal),_xlpm.MacVal&lt;&gt;"",_xlpm.MacVal,_xlpm.CSVVal&lt;&gt;"",_xlpm.CSVVal
)),"")</f>
        <v/>
      </c>
      <c r="K247" s="54" t="str" cm="1">
        <f t="array" ref="K247">IFERROR(_xlfn.LET(
_xlpm.CSVVal,_xlfn.XLOOKUP($A247,CSV!$A:$A,CSV!M:M,""),
_xlpm.MacVal,_xlfn.XLOOKUP($A247,Output_Mac!$A:$A,Output_Mac!L:L,""),
_xlpm.MyAuditVal,_xlfn.XLOOKUP($A247,My_Audit!$A:$A,My_Audit!J:J,""),
_xlfn.IFS(_xlpm.MyAuditVal&lt;&gt;"",UPPER(_xlpm.MyAuditVal),_xlpm.MacVal&lt;&gt;"",_xlpm.MacVal,_xlpm.CSVVal&lt;&gt;"",_xlpm.CSVVal
)),"")</f>
        <v/>
      </c>
      <c r="L247" s="55" t="str" cm="1">
        <f t="array" ref="L247">IFERROR(_xlfn.LET(
_xlpm.CSVVal,_xlfn.XLOOKUP($A247,CSV!$A:$A,CSV!P:P,""),
_xlpm.MacVal,_xlfn.XLOOKUP($A247,Output_Mac!$A:$A,Output_Mac!M:M,""),
_xlpm.MyAuditVal,_xlfn.XLOOKUP($A247,My_Audit!$A:$A,My_Audit!K:K,""),
_xlfn.IFS(_xlpm.MyAuditVal&lt;&gt;"",UPPER(_xlpm.MyAuditVal),_xlpm.MacVal&lt;&gt;"",_xlpm.MacVal,_xlpm.CSVVal&lt;&gt;"",_xlpm.CSVVal
)),"")</f>
        <v/>
      </c>
      <c r="M247" s="54" t="str">
        <f>_xlfn.LET(
    _xlpm.CSVVal, _xlfn.XLOOKUP($A247, CSV!$A:$A, CSV!AD:AD, ""),
    _xlpm.MacVal, _xlfn.XLOOKUP($A247, Output_Mac!$A:$A, Output_Mac!S:S, ""),
    _xlpm.MyAuditVal, _xlfn.XLOOKUP($A247, My_Audit!$A:$A, My_Audit!N:N, ""),
    _xlfn.TEXTJOIN(", ", TRUE, _xlpm.MyAuditVal, _xlpm.MacVal, _xlpm.CSVVal)
)</f>
        <v/>
      </c>
      <c r="N247" s="54" t="str" cm="1">
        <f t="array" ref="N247">IFERROR(_xlfn.LET(
_xlpm.CSVVal,_xlfn.XLOOKUP($A247,CSV!$A:$A,CSV!AF:AF,""),
_xlpm.MacVal,_xlfn.XLOOKUP($A247,Output_Mac!$A:$A,Output_Mac!U:U,""),
_xlpm.MyAuditVal,_xlfn.XLOOKUP($A247,My_Audit!$A:$A,My_Audit!O:O,""),
_xlfn.IFS(_xlpm.MyAuditVal&lt;&gt;"",UPPER(_xlpm.MyAuditVal),_xlpm.MacVal&lt;&gt;"",_xlpm.MacVal,_xlpm.CSVVal&lt;&gt;"",_xlpm.CSVVal
)),"")</f>
        <v/>
      </c>
      <c r="O247" s="54"/>
      <c r="P247" s="54"/>
      <c r="Q247" s="54"/>
      <c r="R247" s="54"/>
      <c r="S247" s="54"/>
      <c r="T247" s="54"/>
      <c r="U247" s="39"/>
    </row>
    <row r="248" spans="1:21">
      <c r="A248" s="54" t="str">
        <f>_xlfn.TEXTJOIN("",TRUE,Input!$B$2,ROW(My_Audit!A247))</f>
        <v>XX247</v>
      </c>
      <c r="B248" s="54" t="str">
        <f>_xlfn.TEXTJOIN("-",TRUE,"ITD",Input!$A$2,A248)</f>
        <v>ITD-SHRXXX-XX247</v>
      </c>
      <c r="C248" s="54" t="str" cm="1">
        <f t="array" ref="C248">IFERROR(_xlfn.LET(
_xlpm.CSVVal,_xlfn.XLOOKUP($A248,CSV!$A:$A,CSV!B:B,""),
_xlpm.MacVal,_xlfn.XLOOKUP($A248,Output_Mac!$A:$A,Output_Mac!B:B,""),
_xlpm.MyAuditVal,_xlfn.XLOOKUP($A248,My_Audit!$A:$A,My_Audit!B:B,""),
_xlfn.IFS(_xlpm.MyAuditVal&lt;&gt;"",UPPER(_xlpm.MyAuditVal),_xlpm.MacVal&lt;&gt;"",_xlpm.MacVal,_xlpm.CSVVal&lt;&gt;"",_xlpm.CSVVal
)),"")</f>
        <v/>
      </c>
      <c r="D248" s="55" t="str">
        <f>_xlfn.XLOOKUP(A248,My_Audit!A:A,My_Audit!D:D,"")&amp;""</f>
        <v/>
      </c>
      <c r="E248" s="55" t="str" cm="1">
        <f t="array" ref="E248">IFERROR(_xlfn.LET(
_xlpm.CSVVal,_xlfn.XLOOKUP($A248,CSV!$A:$A,CSV!D:D,""),
_xlpm.MacVal,_xlfn.XLOOKUP($A248,Output_Mac!$A:$A,Output_Mac!C:C,""),
_xlpm.MyAuditVal,_xlfn.XLOOKUP($A248,My_Audit!$A:$A,My_Audit!D:D,""),
_xlfn.IFS(_xlpm.MyAuditVal&lt;&gt;"",_xlpm.MyAuditVal,_xlpm.MacVal&lt;&gt;"",_xlpm.MacVal,_xlpm.CSVVal&lt;&gt;"",_xlpm.CSVVal
)),"")</f>
        <v/>
      </c>
      <c r="F248" s="54" t="str" cm="1">
        <f t="array" ref="F248">IFERROR(_xlfn.LET(
_xlpm.CSVVal,_xlfn.XLOOKUP($A248,CSV!$A:$A,CSV!E:E,""),
_xlpm.MacVal,_xlfn.XLOOKUP($A248,Output_Mac!$A:$A,Output_Mac!F:F,""),
_xlpm.MyAuditVal,_xlfn.XLOOKUP($A248,My_Audit!$A:$A,My_Audit!E:E,""),
_xlfn.IFS(_xlpm.MyAuditVal&lt;&gt;"",_xlpm.MyAuditVal,_xlpm.MacVal&lt;&gt;"",_xlpm.MacVal,_xlpm.CSVVal&lt;&gt;"",PROPER(_xlpm.CSVVal)
)),"")</f>
        <v/>
      </c>
      <c r="G248" s="54" t="str" cm="1">
        <f t="array" ref="G248">IFERROR(_xlfn.LET(
_xlpm.CSVVal,_xlfn.XLOOKUP($A248,CSV!$A:$A,CSV!F:F,""),
_xlpm.MacVal,_xlfn.XLOOKUP($A248,Output_Mac!$A:$A,Output_Mac!H:H,""),
_xlpm.MyAuditVal,_xlfn.XLOOKUP($A248,My_Audit!$A:$A,My_Audit!F:F,""),
_xlfn.IFS(_xlpm.MyAuditVal&lt;&gt;"",_xlpm.MyAuditVal,_xlpm.MacVal&lt;&gt;"",_xlpm.MacVal,_xlpm.CSVVal&lt;&gt;"",_xlpm.CSVVal
)),"")</f>
        <v/>
      </c>
      <c r="H248" s="54" t="str">
        <f>_xlfn.XLOOKUP(A248,Output_Mac!A:A,Output_Mac!I:I,"")</f>
        <v/>
      </c>
      <c r="I248" s="54" t="str" cm="1">
        <f t="array" ref="I248">IFERROR(_xlfn.LET(
_xlpm.CSVVal,_xlfn.XLOOKUP($A248,CSV!$A:$A,CSV!G:G,""),
_xlpm.MacVal,_xlfn.XLOOKUP($A248,Output_Mac!$A:$A,Output_Mac!J:J,""),
_xlpm.MyAuditVal,_xlfn.XLOOKUP($A248,My_Audit!$A:$A,My_Audit!H:H,""),
_xlfn.IFS(_xlpm.MyAuditVal&lt;&gt;"",UPPER(_xlpm.MyAuditVal),_xlpm.MacVal&lt;&gt;"",_xlpm.MacVal,_xlpm.CSVVal&lt;&gt;"",_xlpm.CSVVal
)),"")</f>
        <v/>
      </c>
      <c r="J248" s="54" t="str" cm="1">
        <f t="array" ref="J248">IFERROR(_xlfn.LET(
_xlpm.CSVVal,_xlfn.XLOOKUP($A248,CSV!$A:$A,CSV!I:I,""),
_xlpm.MacVal,_xlfn.XLOOKUP($A248,Output_Mac!$A:$A,Output_Mac!K:K,""),
_xlpm.MyAuditVal,_xlfn.XLOOKUP($A248,My_Audit!$A:$A,My_Audit!I:I,""),
_xlfn.IFS(_xlpm.MyAuditVal&lt;&gt;"",UPPER(_xlpm.MyAuditVal),_xlpm.MacVal&lt;&gt;"",_xlpm.MacVal,_xlpm.CSVVal&lt;&gt;"",_xlpm.CSVVal
)),"")</f>
        <v/>
      </c>
      <c r="K248" s="54" t="str" cm="1">
        <f t="array" ref="K248">IFERROR(_xlfn.LET(
_xlpm.CSVVal,_xlfn.XLOOKUP($A248,CSV!$A:$A,CSV!M:M,""),
_xlpm.MacVal,_xlfn.XLOOKUP($A248,Output_Mac!$A:$A,Output_Mac!L:L,""),
_xlpm.MyAuditVal,_xlfn.XLOOKUP($A248,My_Audit!$A:$A,My_Audit!J:J,""),
_xlfn.IFS(_xlpm.MyAuditVal&lt;&gt;"",UPPER(_xlpm.MyAuditVal),_xlpm.MacVal&lt;&gt;"",_xlpm.MacVal,_xlpm.CSVVal&lt;&gt;"",_xlpm.CSVVal
)),"")</f>
        <v/>
      </c>
      <c r="L248" s="55" t="str" cm="1">
        <f t="array" ref="L248">IFERROR(_xlfn.LET(
_xlpm.CSVVal,_xlfn.XLOOKUP($A248,CSV!$A:$A,CSV!P:P,""),
_xlpm.MacVal,_xlfn.XLOOKUP($A248,Output_Mac!$A:$A,Output_Mac!M:M,""),
_xlpm.MyAuditVal,_xlfn.XLOOKUP($A248,My_Audit!$A:$A,My_Audit!K:K,""),
_xlfn.IFS(_xlpm.MyAuditVal&lt;&gt;"",UPPER(_xlpm.MyAuditVal),_xlpm.MacVal&lt;&gt;"",_xlpm.MacVal,_xlpm.CSVVal&lt;&gt;"",_xlpm.CSVVal
)),"")</f>
        <v/>
      </c>
      <c r="M248" s="54" t="str">
        <f>_xlfn.LET(
    _xlpm.CSVVal, _xlfn.XLOOKUP($A248, CSV!$A:$A, CSV!AD:AD, ""),
    _xlpm.MacVal, _xlfn.XLOOKUP($A248, Output_Mac!$A:$A, Output_Mac!S:S, ""),
    _xlpm.MyAuditVal, _xlfn.XLOOKUP($A248, My_Audit!$A:$A, My_Audit!N:N, ""),
    _xlfn.TEXTJOIN(", ", TRUE, _xlpm.MyAuditVal, _xlpm.MacVal, _xlpm.CSVVal)
)</f>
        <v/>
      </c>
      <c r="N248" s="54" t="str" cm="1">
        <f t="array" ref="N248">IFERROR(_xlfn.LET(
_xlpm.CSVVal,_xlfn.XLOOKUP($A248,CSV!$A:$A,CSV!AF:AF,""),
_xlpm.MacVal,_xlfn.XLOOKUP($A248,Output_Mac!$A:$A,Output_Mac!U:U,""),
_xlpm.MyAuditVal,_xlfn.XLOOKUP($A248,My_Audit!$A:$A,My_Audit!O:O,""),
_xlfn.IFS(_xlpm.MyAuditVal&lt;&gt;"",UPPER(_xlpm.MyAuditVal),_xlpm.MacVal&lt;&gt;"",_xlpm.MacVal,_xlpm.CSVVal&lt;&gt;"",_xlpm.CSVVal
)),"")</f>
        <v/>
      </c>
      <c r="O248" s="54"/>
      <c r="P248" s="54"/>
      <c r="Q248" s="54"/>
      <c r="R248" s="54"/>
      <c r="S248" s="54"/>
      <c r="T248" s="54"/>
      <c r="U248" s="39"/>
    </row>
    <row r="249" spans="1:21">
      <c r="A249" s="54" t="str">
        <f>_xlfn.TEXTJOIN("",TRUE,Input!$B$2,ROW(My_Audit!A248))</f>
        <v>XX248</v>
      </c>
      <c r="B249" s="54" t="str">
        <f>_xlfn.TEXTJOIN("-",TRUE,"ITD",Input!$A$2,A249)</f>
        <v>ITD-SHRXXX-XX248</v>
      </c>
      <c r="C249" s="54" t="str" cm="1">
        <f t="array" ref="C249">IFERROR(_xlfn.LET(
_xlpm.CSVVal,_xlfn.XLOOKUP($A249,CSV!$A:$A,CSV!B:B,""),
_xlpm.MacVal,_xlfn.XLOOKUP($A249,Output_Mac!$A:$A,Output_Mac!B:B,""),
_xlpm.MyAuditVal,_xlfn.XLOOKUP($A249,My_Audit!$A:$A,My_Audit!B:B,""),
_xlfn.IFS(_xlpm.MyAuditVal&lt;&gt;"",UPPER(_xlpm.MyAuditVal),_xlpm.MacVal&lt;&gt;"",_xlpm.MacVal,_xlpm.CSVVal&lt;&gt;"",_xlpm.CSVVal
)),"")</f>
        <v/>
      </c>
      <c r="D249" s="55" t="str">
        <f>_xlfn.XLOOKUP(A249,My_Audit!A:A,My_Audit!D:D,"")&amp;""</f>
        <v/>
      </c>
      <c r="E249" s="55" t="str" cm="1">
        <f t="array" ref="E249">IFERROR(_xlfn.LET(
_xlpm.CSVVal,_xlfn.XLOOKUP($A249,CSV!$A:$A,CSV!D:D,""),
_xlpm.MacVal,_xlfn.XLOOKUP($A249,Output_Mac!$A:$A,Output_Mac!C:C,""),
_xlpm.MyAuditVal,_xlfn.XLOOKUP($A249,My_Audit!$A:$A,My_Audit!D:D,""),
_xlfn.IFS(_xlpm.MyAuditVal&lt;&gt;"",_xlpm.MyAuditVal,_xlpm.MacVal&lt;&gt;"",_xlpm.MacVal,_xlpm.CSVVal&lt;&gt;"",_xlpm.CSVVal
)),"")</f>
        <v/>
      </c>
      <c r="F249" s="54" t="str" cm="1">
        <f t="array" ref="F249">IFERROR(_xlfn.LET(
_xlpm.CSVVal,_xlfn.XLOOKUP($A249,CSV!$A:$A,CSV!E:E,""),
_xlpm.MacVal,_xlfn.XLOOKUP($A249,Output_Mac!$A:$A,Output_Mac!F:F,""),
_xlpm.MyAuditVal,_xlfn.XLOOKUP($A249,My_Audit!$A:$A,My_Audit!E:E,""),
_xlfn.IFS(_xlpm.MyAuditVal&lt;&gt;"",_xlpm.MyAuditVal,_xlpm.MacVal&lt;&gt;"",_xlpm.MacVal,_xlpm.CSVVal&lt;&gt;"",PROPER(_xlpm.CSVVal)
)),"")</f>
        <v/>
      </c>
      <c r="G249" s="54" t="str" cm="1">
        <f t="array" ref="G249">IFERROR(_xlfn.LET(
_xlpm.CSVVal,_xlfn.XLOOKUP($A249,CSV!$A:$A,CSV!F:F,""),
_xlpm.MacVal,_xlfn.XLOOKUP($A249,Output_Mac!$A:$A,Output_Mac!H:H,""),
_xlpm.MyAuditVal,_xlfn.XLOOKUP($A249,My_Audit!$A:$A,My_Audit!F:F,""),
_xlfn.IFS(_xlpm.MyAuditVal&lt;&gt;"",_xlpm.MyAuditVal,_xlpm.MacVal&lt;&gt;"",_xlpm.MacVal,_xlpm.CSVVal&lt;&gt;"",_xlpm.CSVVal
)),"")</f>
        <v/>
      </c>
      <c r="H249" s="54" t="str">
        <f>_xlfn.XLOOKUP(A249,Output_Mac!A:A,Output_Mac!I:I,"")</f>
        <v/>
      </c>
      <c r="I249" s="54" t="str" cm="1">
        <f t="array" ref="I249">IFERROR(_xlfn.LET(
_xlpm.CSVVal,_xlfn.XLOOKUP($A249,CSV!$A:$A,CSV!G:G,""),
_xlpm.MacVal,_xlfn.XLOOKUP($A249,Output_Mac!$A:$A,Output_Mac!J:J,""),
_xlpm.MyAuditVal,_xlfn.XLOOKUP($A249,My_Audit!$A:$A,My_Audit!H:H,""),
_xlfn.IFS(_xlpm.MyAuditVal&lt;&gt;"",UPPER(_xlpm.MyAuditVal),_xlpm.MacVal&lt;&gt;"",_xlpm.MacVal,_xlpm.CSVVal&lt;&gt;"",_xlpm.CSVVal
)),"")</f>
        <v/>
      </c>
      <c r="J249" s="54" t="str" cm="1">
        <f t="array" ref="J249">IFERROR(_xlfn.LET(
_xlpm.CSVVal,_xlfn.XLOOKUP($A249,CSV!$A:$A,CSV!I:I,""),
_xlpm.MacVal,_xlfn.XLOOKUP($A249,Output_Mac!$A:$A,Output_Mac!K:K,""),
_xlpm.MyAuditVal,_xlfn.XLOOKUP($A249,My_Audit!$A:$A,My_Audit!I:I,""),
_xlfn.IFS(_xlpm.MyAuditVal&lt;&gt;"",UPPER(_xlpm.MyAuditVal),_xlpm.MacVal&lt;&gt;"",_xlpm.MacVal,_xlpm.CSVVal&lt;&gt;"",_xlpm.CSVVal
)),"")</f>
        <v/>
      </c>
      <c r="K249" s="54" t="str" cm="1">
        <f t="array" ref="K249">IFERROR(_xlfn.LET(
_xlpm.CSVVal,_xlfn.XLOOKUP($A249,CSV!$A:$A,CSV!M:M,""),
_xlpm.MacVal,_xlfn.XLOOKUP($A249,Output_Mac!$A:$A,Output_Mac!L:L,""),
_xlpm.MyAuditVal,_xlfn.XLOOKUP($A249,My_Audit!$A:$A,My_Audit!J:J,""),
_xlfn.IFS(_xlpm.MyAuditVal&lt;&gt;"",UPPER(_xlpm.MyAuditVal),_xlpm.MacVal&lt;&gt;"",_xlpm.MacVal,_xlpm.CSVVal&lt;&gt;"",_xlpm.CSVVal
)),"")</f>
        <v/>
      </c>
      <c r="L249" s="55" t="str" cm="1">
        <f t="array" ref="L249">IFERROR(_xlfn.LET(
_xlpm.CSVVal,_xlfn.XLOOKUP($A249,CSV!$A:$A,CSV!P:P,""),
_xlpm.MacVal,_xlfn.XLOOKUP($A249,Output_Mac!$A:$A,Output_Mac!M:M,""),
_xlpm.MyAuditVal,_xlfn.XLOOKUP($A249,My_Audit!$A:$A,My_Audit!K:K,""),
_xlfn.IFS(_xlpm.MyAuditVal&lt;&gt;"",UPPER(_xlpm.MyAuditVal),_xlpm.MacVal&lt;&gt;"",_xlpm.MacVal,_xlpm.CSVVal&lt;&gt;"",_xlpm.CSVVal
)),"")</f>
        <v/>
      </c>
      <c r="M249" s="54" t="str">
        <f>_xlfn.LET(
    _xlpm.CSVVal, _xlfn.XLOOKUP($A249, CSV!$A:$A, CSV!AD:AD, ""),
    _xlpm.MacVal, _xlfn.XLOOKUP($A249, Output_Mac!$A:$A, Output_Mac!S:S, ""),
    _xlpm.MyAuditVal, _xlfn.XLOOKUP($A249, My_Audit!$A:$A, My_Audit!N:N, ""),
    _xlfn.TEXTJOIN(", ", TRUE, _xlpm.MyAuditVal, _xlpm.MacVal, _xlpm.CSVVal)
)</f>
        <v/>
      </c>
      <c r="N249" s="54" t="str" cm="1">
        <f t="array" ref="N249">IFERROR(_xlfn.LET(
_xlpm.CSVVal,_xlfn.XLOOKUP($A249,CSV!$A:$A,CSV!AF:AF,""),
_xlpm.MacVal,_xlfn.XLOOKUP($A249,Output_Mac!$A:$A,Output_Mac!U:U,""),
_xlpm.MyAuditVal,_xlfn.XLOOKUP($A249,My_Audit!$A:$A,My_Audit!O:O,""),
_xlfn.IFS(_xlpm.MyAuditVal&lt;&gt;"",UPPER(_xlpm.MyAuditVal),_xlpm.MacVal&lt;&gt;"",_xlpm.MacVal,_xlpm.CSVVal&lt;&gt;"",_xlpm.CSVVal
)),"")</f>
        <v/>
      </c>
      <c r="O249" s="54"/>
      <c r="P249" s="54"/>
      <c r="Q249" s="54"/>
      <c r="R249" s="54"/>
      <c r="S249" s="54"/>
      <c r="T249" s="54"/>
      <c r="U249" s="39"/>
    </row>
    <row r="250" spans="1:21">
      <c r="A250" s="54" t="str">
        <f>_xlfn.TEXTJOIN("",TRUE,Input!$B$2,ROW(My_Audit!A249))</f>
        <v>XX249</v>
      </c>
      <c r="B250" s="54" t="str">
        <f>_xlfn.TEXTJOIN("-",TRUE,"ITD",Input!$A$2,A250)</f>
        <v>ITD-SHRXXX-XX249</v>
      </c>
      <c r="C250" s="54" t="str" cm="1">
        <f t="array" ref="C250">IFERROR(_xlfn.LET(
_xlpm.CSVVal,_xlfn.XLOOKUP($A250,CSV!$A:$A,CSV!B:B,""),
_xlpm.MacVal,_xlfn.XLOOKUP($A250,Output_Mac!$A:$A,Output_Mac!B:B,""),
_xlpm.MyAuditVal,_xlfn.XLOOKUP($A250,My_Audit!$A:$A,My_Audit!B:B,""),
_xlfn.IFS(_xlpm.MyAuditVal&lt;&gt;"",UPPER(_xlpm.MyAuditVal),_xlpm.MacVal&lt;&gt;"",_xlpm.MacVal,_xlpm.CSVVal&lt;&gt;"",_xlpm.CSVVal
)),"")</f>
        <v/>
      </c>
      <c r="D250" s="55" t="str">
        <f>_xlfn.XLOOKUP(A250,My_Audit!A:A,My_Audit!D:D,"")&amp;""</f>
        <v/>
      </c>
      <c r="E250" s="55" t="str" cm="1">
        <f t="array" ref="E250">IFERROR(_xlfn.LET(
_xlpm.CSVVal,_xlfn.XLOOKUP($A250,CSV!$A:$A,CSV!D:D,""),
_xlpm.MacVal,_xlfn.XLOOKUP($A250,Output_Mac!$A:$A,Output_Mac!C:C,""),
_xlpm.MyAuditVal,_xlfn.XLOOKUP($A250,My_Audit!$A:$A,My_Audit!D:D,""),
_xlfn.IFS(_xlpm.MyAuditVal&lt;&gt;"",_xlpm.MyAuditVal,_xlpm.MacVal&lt;&gt;"",_xlpm.MacVal,_xlpm.CSVVal&lt;&gt;"",_xlpm.CSVVal
)),"")</f>
        <v/>
      </c>
      <c r="F250" s="54" t="str" cm="1">
        <f t="array" ref="F250">IFERROR(_xlfn.LET(
_xlpm.CSVVal,_xlfn.XLOOKUP($A250,CSV!$A:$A,CSV!E:E,""),
_xlpm.MacVal,_xlfn.XLOOKUP($A250,Output_Mac!$A:$A,Output_Mac!F:F,""),
_xlpm.MyAuditVal,_xlfn.XLOOKUP($A250,My_Audit!$A:$A,My_Audit!E:E,""),
_xlfn.IFS(_xlpm.MyAuditVal&lt;&gt;"",_xlpm.MyAuditVal,_xlpm.MacVal&lt;&gt;"",_xlpm.MacVal,_xlpm.CSVVal&lt;&gt;"",PROPER(_xlpm.CSVVal)
)),"")</f>
        <v/>
      </c>
      <c r="G250" s="54" t="str" cm="1">
        <f t="array" ref="G250">IFERROR(_xlfn.LET(
_xlpm.CSVVal,_xlfn.XLOOKUP($A250,CSV!$A:$A,CSV!F:F,""),
_xlpm.MacVal,_xlfn.XLOOKUP($A250,Output_Mac!$A:$A,Output_Mac!H:H,""),
_xlpm.MyAuditVal,_xlfn.XLOOKUP($A250,My_Audit!$A:$A,My_Audit!F:F,""),
_xlfn.IFS(_xlpm.MyAuditVal&lt;&gt;"",_xlpm.MyAuditVal,_xlpm.MacVal&lt;&gt;"",_xlpm.MacVal,_xlpm.CSVVal&lt;&gt;"",_xlpm.CSVVal
)),"")</f>
        <v/>
      </c>
      <c r="H250" s="54" t="str">
        <f>_xlfn.XLOOKUP(A250,Output_Mac!A:A,Output_Mac!I:I,"")</f>
        <v/>
      </c>
      <c r="I250" s="54" t="str" cm="1">
        <f t="array" ref="I250">IFERROR(_xlfn.LET(
_xlpm.CSVVal,_xlfn.XLOOKUP($A250,CSV!$A:$A,CSV!G:G,""),
_xlpm.MacVal,_xlfn.XLOOKUP($A250,Output_Mac!$A:$A,Output_Mac!J:J,""),
_xlpm.MyAuditVal,_xlfn.XLOOKUP($A250,My_Audit!$A:$A,My_Audit!H:H,""),
_xlfn.IFS(_xlpm.MyAuditVal&lt;&gt;"",UPPER(_xlpm.MyAuditVal),_xlpm.MacVal&lt;&gt;"",_xlpm.MacVal,_xlpm.CSVVal&lt;&gt;"",_xlpm.CSVVal
)),"")</f>
        <v/>
      </c>
      <c r="J250" s="54" t="str" cm="1">
        <f t="array" ref="J250">IFERROR(_xlfn.LET(
_xlpm.CSVVal,_xlfn.XLOOKUP($A250,CSV!$A:$A,CSV!I:I,""),
_xlpm.MacVal,_xlfn.XLOOKUP($A250,Output_Mac!$A:$A,Output_Mac!K:K,""),
_xlpm.MyAuditVal,_xlfn.XLOOKUP($A250,My_Audit!$A:$A,My_Audit!I:I,""),
_xlfn.IFS(_xlpm.MyAuditVal&lt;&gt;"",UPPER(_xlpm.MyAuditVal),_xlpm.MacVal&lt;&gt;"",_xlpm.MacVal,_xlpm.CSVVal&lt;&gt;"",_xlpm.CSVVal
)),"")</f>
        <v/>
      </c>
      <c r="K250" s="54" t="str" cm="1">
        <f t="array" ref="K250">IFERROR(_xlfn.LET(
_xlpm.CSVVal,_xlfn.XLOOKUP($A250,CSV!$A:$A,CSV!M:M,""),
_xlpm.MacVal,_xlfn.XLOOKUP($A250,Output_Mac!$A:$A,Output_Mac!L:L,""),
_xlpm.MyAuditVal,_xlfn.XLOOKUP($A250,My_Audit!$A:$A,My_Audit!J:J,""),
_xlfn.IFS(_xlpm.MyAuditVal&lt;&gt;"",UPPER(_xlpm.MyAuditVal),_xlpm.MacVal&lt;&gt;"",_xlpm.MacVal,_xlpm.CSVVal&lt;&gt;"",_xlpm.CSVVal
)),"")</f>
        <v/>
      </c>
      <c r="L250" s="55" t="str" cm="1">
        <f t="array" ref="L250">IFERROR(_xlfn.LET(
_xlpm.CSVVal,_xlfn.XLOOKUP($A250,CSV!$A:$A,CSV!P:P,""),
_xlpm.MacVal,_xlfn.XLOOKUP($A250,Output_Mac!$A:$A,Output_Mac!M:M,""),
_xlpm.MyAuditVal,_xlfn.XLOOKUP($A250,My_Audit!$A:$A,My_Audit!K:K,""),
_xlfn.IFS(_xlpm.MyAuditVal&lt;&gt;"",UPPER(_xlpm.MyAuditVal),_xlpm.MacVal&lt;&gt;"",_xlpm.MacVal,_xlpm.CSVVal&lt;&gt;"",_xlpm.CSVVal
)),"")</f>
        <v/>
      </c>
      <c r="M250" s="54" t="str">
        <f>_xlfn.LET(
    _xlpm.CSVVal, _xlfn.XLOOKUP($A250, CSV!$A:$A, CSV!AD:AD, ""),
    _xlpm.MacVal, _xlfn.XLOOKUP($A250, Output_Mac!$A:$A, Output_Mac!S:S, ""),
    _xlpm.MyAuditVal, _xlfn.XLOOKUP($A250, My_Audit!$A:$A, My_Audit!N:N, ""),
    _xlfn.TEXTJOIN(", ", TRUE, _xlpm.MyAuditVal, _xlpm.MacVal, _xlpm.CSVVal)
)</f>
        <v/>
      </c>
      <c r="N250" s="54" t="str" cm="1">
        <f t="array" ref="N250">IFERROR(_xlfn.LET(
_xlpm.CSVVal,_xlfn.XLOOKUP($A250,CSV!$A:$A,CSV!AF:AF,""),
_xlpm.MacVal,_xlfn.XLOOKUP($A250,Output_Mac!$A:$A,Output_Mac!U:U,""),
_xlpm.MyAuditVal,_xlfn.XLOOKUP($A250,My_Audit!$A:$A,My_Audit!O:O,""),
_xlfn.IFS(_xlpm.MyAuditVal&lt;&gt;"",UPPER(_xlpm.MyAuditVal),_xlpm.MacVal&lt;&gt;"",_xlpm.MacVal,_xlpm.CSVVal&lt;&gt;"",_xlpm.CSVVal
)),"")</f>
        <v/>
      </c>
      <c r="O250" s="54"/>
      <c r="P250" s="54"/>
      <c r="Q250" s="54"/>
      <c r="R250" s="54"/>
      <c r="S250" s="54"/>
      <c r="T250" s="54"/>
      <c r="U250" s="39"/>
    </row>
    <row r="251" spans="1:21">
      <c r="A251" s="54" t="str">
        <f>_xlfn.TEXTJOIN("",TRUE,Input!$B$2,ROW(My_Audit!A250))</f>
        <v>XX250</v>
      </c>
      <c r="B251" s="54" t="str">
        <f>_xlfn.TEXTJOIN("-",TRUE,"ITD",Input!$A$2,A251)</f>
        <v>ITD-SHRXXX-XX250</v>
      </c>
      <c r="C251" s="54" t="str" cm="1">
        <f t="array" ref="C251">IFERROR(_xlfn.LET(
_xlpm.CSVVal,_xlfn.XLOOKUP($A251,CSV!$A:$A,CSV!B:B,""),
_xlpm.MacVal,_xlfn.XLOOKUP($A251,Output_Mac!$A:$A,Output_Mac!B:B,""),
_xlpm.MyAuditVal,_xlfn.XLOOKUP($A251,My_Audit!$A:$A,My_Audit!B:B,""),
_xlfn.IFS(_xlpm.MyAuditVal&lt;&gt;"",UPPER(_xlpm.MyAuditVal),_xlpm.MacVal&lt;&gt;"",_xlpm.MacVal,_xlpm.CSVVal&lt;&gt;"",_xlpm.CSVVal
)),"")</f>
        <v/>
      </c>
      <c r="D251" s="55" t="str">
        <f>_xlfn.XLOOKUP(A251,My_Audit!A:A,My_Audit!D:D,"")&amp;""</f>
        <v/>
      </c>
      <c r="E251" s="55" t="str" cm="1">
        <f t="array" ref="E251">IFERROR(_xlfn.LET(
_xlpm.CSVVal,_xlfn.XLOOKUP($A251,CSV!$A:$A,CSV!D:D,""),
_xlpm.MacVal,_xlfn.XLOOKUP($A251,Output_Mac!$A:$A,Output_Mac!C:C,""),
_xlpm.MyAuditVal,_xlfn.XLOOKUP($A251,My_Audit!$A:$A,My_Audit!D:D,""),
_xlfn.IFS(_xlpm.MyAuditVal&lt;&gt;"",_xlpm.MyAuditVal,_xlpm.MacVal&lt;&gt;"",_xlpm.MacVal,_xlpm.CSVVal&lt;&gt;"",_xlpm.CSVVal
)),"")</f>
        <v/>
      </c>
      <c r="F251" s="54" t="str" cm="1">
        <f t="array" ref="F251">IFERROR(_xlfn.LET(
_xlpm.CSVVal,_xlfn.XLOOKUP($A251,CSV!$A:$A,CSV!E:E,""),
_xlpm.MacVal,_xlfn.XLOOKUP($A251,Output_Mac!$A:$A,Output_Mac!F:F,""),
_xlpm.MyAuditVal,_xlfn.XLOOKUP($A251,My_Audit!$A:$A,My_Audit!E:E,""),
_xlfn.IFS(_xlpm.MyAuditVal&lt;&gt;"",_xlpm.MyAuditVal,_xlpm.MacVal&lt;&gt;"",_xlpm.MacVal,_xlpm.CSVVal&lt;&gt;"",PROPER(_xlpm.CSVVal)
)),"")</f>
        <v/>
      </c>
      <c r="G251" s="54" t="str" cm="1">
        <f t="array" ref="G251">IFERROR(_xlfn.LET(
_xlpm.CSVVal,_xlfn.XLOOKUP($A251,CSV!$A:$A,CSV!F:F,""),
_xlpm.MacVal,_xlfn.XLOOKUP($A251,Output_Mac!$A:$A,Output_Mac!H:H,""),
_xlpm.MyAuditVal,_xlfn.XLOOKUP($A251,My_Audit!$A:$A,My_Audit!F:F,""),
_xlfn.IFS(_xlpm.MyAuditVal&lt;&gt;"",_xlpm.MyAuditVal,_xlpm.MacVal&lt;&gt;"",_xlpm.MacVal,_xlpm.CSVVal&lt;&gt;"",_xlpm.CSVVal
)),"")</f>
        <v/>
      </c>
      <c r="H251" s="54" t="str">
        <f>_xlfn.XLOOKUP(A251,Output_Mac!A:A,Output_Mac!I:I,"")</f>
        <v/>
      </c>
      <c r="I251" s="54" t="str" cm="1">
        <f t="array" ref="I251">IFERROR(_xlfn.LET(
_xlpm.CSVVal,_xlfn.XLOOKUP($A251,CSV!$A:$A,CSV!G:G,""),
_xlpm.MacVal,_xlfn.XLOOKUP($A251,Output_Mac!$A:$A,Output_Mac!J:J,""),
_xlpm.MyAuditVal,_xlfn.XLOOKUP($A251,My_Audit!$A:$A,My_Audit!H:H,""),
_xlfn.IFS(_xlpm.MyAuditVal&lt;&gt;"",UPPER(_xlpm.MyAuditVal),_xlpm.MacVal&lt;&gt;"",_xlpm.MacVal,_xlpm.CSVVal&lt;&gt;"",_xlpm.CSVVal
)),"")</f>
        <v/>
      </c>
      <c r="J251" s="54" t="str" cm="1">
        <f t="array" ref="J251">IFERROR(_xlfn.LET(
_xlpm.CSVVal,_xlfn.XLOOKUP($A251,CSV!$A:$A,CSV!I:I,""),
_xlpm.MacVal,_xlfn.XLOOKUP($A251,Output_Mac!$A:$A,Output_Mac!K:K,""),
_xlpm.MyAuditVal,_xlfn.XLOOKUP($A251,My_Audit!$A:$A,My_Audit!I:I,""),
_xlfn.IFS(_xlpm.MyAuditVal&lt;&gt;"",UPPER(_xlpm.MyAuditVal),_xlpm.MacVal&lt;&gt;"",_xlpm.MacVal,_xlpm.CSVVal&lt;&gt;"",_xlpm.CSVVal
)),"")</f>
        <v/>
      </c>
      <c r="K251" s="54" t="str" cm="1">
        <f t="array" ref="K251">IFERROR(_xlfn.LET(
_xlpm.CSVVal,_xlfn.XLOOKUP($A251,CSV!$A:$A,CSV!M:M,""),
_xlpm.MacVal,_xlfn.XLOOKUP($A251,Output_Mac!$A:$A,Output_Mac!L:L,""),
_xlpm.MyAuditVal,_xlfn.XLOOKUP($A251,My_Audit!$A:$A,My_Audit!J:J,""),
_xlfn.IFS(_xlpm.MyAuditVal&lt;&gt;"",UPPER(_xlpm.MyAuditVal),_xlpm.MacVal&lt;&gt;"",_xlpm.MacVal,_xlpm.CSVVal&lt;&gt;"",_xlpm.CSVVal
)),"")</f>
        <v/>
      </c>
      <c r="L251" s="55" t="str" cm="1">
        <f t="array" ref="L251">IFERROR(_xlfn.LET(
_xlpm.CSVVal,_xlfn.XLOOKUP($A251,CSV!$A:$A,CSV!P:P,""),
_xlpm.MacVal,_xlfn.XLOOKUP($A251,Output_Mac!$A:$A,Output_Mac!M:M,""),
_xlpm.MyAuditVal,_xlfn.XLOOKUP($A251,My_Audit!$A:$A,My_Audit!K:K,""),
_xlfn.IFS(_xlpm.MyAuditVal&lt;&gt;"",UPPER(_xlpm.MyAuditVal),_xlpm.MacVal&lt;&gt;"",_xlpm.MacVal,_xlpm.CSVVal&lt;&gt;"",_xlpm.CSVVal
)),"")</f>
        <v/>
      </c>
      <c r="M251" s="54" t="str">
        <f>_xlfn.LET(
    _xlpm.CSVVal, _xlfn.XLOOKUP($A251, CSV!$A:$A, CSV!AD:AD, ""),
    _xlpm.MacVal, _xlfn.XLOOKUP($A251, Output_Mac!$A:$A, Output_Mac!S:S, ""),
    _xlpm.MyAuditVal, _xlfn.XLOOKUP($A251, My_Audit!$A:$A, My_Audit!N:N, ""),
    _xlfn.TEXTJOIN(", ", TRUE, _xlpm.MyAuditVal, _xlpm.MacVal, _xlpm.CSVVal)
)</f>
        <v/>
      </c>
      <c r="N251" s="54" t="str" cm="1">
        <f t="array" ref="N251">IFERROR(_xlfn.LET(
_xlpm.CSVVal,_xlfn.XLOOKUP($A251,CSV!$A:$A,CSV!AF:AF,""),
_xlpm.MacVal,_xlfn.XLOOKUP($A251,Output_Mac!$A:$A,Output_Mac!U:U,""),
_xlpm.MyAuditVal,_xlfn.XLOOKUP($A251,My_Audit!$A:$A,My_Audit!O:O,""),
_xlfn.IFS(_xlpm.MyAuditVal&lt;&gt;"",UPPER(_xlpm.MyAuditVal),_xlpm.MacVal&lt;&gt;"",_xlpm.MacVal,_xlpm.CSVVal&lt;&gt;"",_xlpm.CSVVal
)),"")</f>
        <v/>
      </c>
      <c r="O251" s="54"/>
      <c r="P251" s="54"/>
      <c r="Q251" s="54"/>
      <c r="R251" s="54"/>
      <c r="S251" s="54"/>
      <c r="T251" s="54"/>
      <c r="U251" s="39"/>
    </row>
    <row r="252" spans="1:21">
      <c r="A252" s="54" t="str">
        <f>_xlfn.TEXTJOIN("",TRUE,Input!$B$2,ROW(My_Audit!A251))</f>
        <v>XX251</v>
      </c>
      <c r="B252" s="54" t="str">
        <f>_xlfn.TEXTJOIN("-",TRUE,"ITD",Input!$A$2,A252)</f>
        <v>ITD-SHRXXX-XX251</v>
      </c>
      <c r="C252" s="54" t="str" cm="1">
        <f t="array" ref="C252">IFERROR(_xlfn.LET(
_xlpm.CSVVal,_xlfn.XLOOKUP($A252,CSV!$A:$A,CSV!B:B,""),
_xlpm.MacVal,_xlfn.XLOOKUP($A252,Output_Mac!$A:$A,Output_Mac!B:B,""),
_xlpm.MyAuditVal,_xlfn.XLOOKUP($A252,My_Audit!$A:$A,My_Audit!B:B,""),
_xlfn.IFS(_xlpm.MyAuditVal&lt;&gt;"",UPPER(_xlpm.MyAuditVal),_xlpm.MacVal&lt;&gt;"",_xlpm.MacVal,_xlpm.CSVVal&lt;&gt;"",_xlpm.CSVVal
)),"")</f>
        <v/>
      </c>
      <c r="D252" s="55" t="str">
        <f>_xlfn.XLOOKUP(A252,My_Audit!A:A,My_Audit!D:D,"")&amp;""</f>
        <v/>
      </c>
      <c r="E252" s="55" t="str" cm="1">
        <f t="array" ref="E252">IFERROR(_xlfn.LET(
_xlpm.CSVVal,_xlfn.XLOOKUP($A252,CSV!$A:$A,CSV!D:D,""),
_xlpm.MacVal,_xlfn.XLOOKUP($A252,Output_Mac!$A:$A,Output_Mac!C:C,""),
_xlpm.MyAuditVal,_xlfn.XLOOKUP($A252,My_Audit!$A:$A,My_Audit!D:D,""),
_xlfn.IFS(_xlpm.MyAuditVal&lt;&gt;"",_xlpm.MyAuditVal,_xlpm.MacVal&lt;&gt;"",_xlpm.MacVal,_xlpm.CSVVal&lt;&gt;"",_xlpm.CSVVal
)),"")</f>
        <v/>
      </c>
      <c r="F252" s="54" t="str" cm="1">
        <f t="array" ref="F252">IFERROR(_xlfn.LET(
_xlpm.CSVVal,_xlfn.XLOOKUP($A252,CSV!$A:$A,CSV!E:E,""),
_xlpm.MacVal,_xlfn.XLOOKUP($A252,Output_Mac!$A:$A,Output_Mac!F:F,""),
_xlpm.MyAuditVal,_xlfn.XLOOKUP($A252,My_Audit!$A:$A,My_Audit!E:E,""),
_xlfn.IFS(_xlpm.MyAuditVal&lt;&gt;"",_xlpm.MyAuditVal,_xlpm.MacVal&lt;&gt;"",_xlpm.MacVal,_xlpm.CSVVal&lt;&gt;"",PROPER(_xlpm.CSVVal)
)),"")</f>
        <v/>
      </c>
      <c r="G252" s="54" t="str" cm="1">
        <f t="array" ref="G252">IFERROR(_xlfn.LET(
_xlpm.CSVVal,_xlfn.XLOOKUP($A252,CSV!$A:$A,CSV!F:F,""),
_xlpm.MacVal,_xlfn.XLOOKUP($A252,Output_Mac!$A:$A,Output_Mac!H:H,""),
_xlpm.MyAuditVal,_xlfn.XLOOKUP($A252,My_Audit!$A:$A,My_Audit!F:F,""),
_xlfn.IFS(_xlpm.MyAuditVal&lt;&gt;"",_xlpm.MyAuditVal,_xlpm.MacVal&lt;&gt;"",_xlpm.MacVal,_xlpm.CSVVal&lt;&gt;"",_xlpm.CSVVal
)),"")</f>
        <v/>
      </c>
      <c r="H252" s="54" t="str">
        <f>_xlfn.XLOOKUP(A252,Output_Mac!A:A,Output_Mac!I:I,"")</f>
        <v/>
      </c>
      <c r="I252" s="54" t="str" cm="1">
        <f t="array" ref="I252">IFERROR(_xlfn.LET(
_xlpm.CSVVal,_xlfn.XLOOKUP($A252,CSV!$A:$A,CSV!G:G,""),
_xlpm.MacVal,_xlfn.XLOOKUP($A252,Output_Mac!$A:$A,Output_Mac!J:J,""),
_xlpm.MyAuditVal,_xlfn.XLOOKUP($A252,My_Audit!$A:$A,My_Audit!H:H,""),
_xlfn.IFS(_xlpm.MyAuditVal&lt;&gt;"",UPPER(_xlpm.MyAuditVal),_xlpm.MacVal&lt;&gt;"",_xlpm.MacVal,_xlpm.CSVVal&lt;&gt;"",_xlpm.CSVVal
)),"")</f>
        <v/>
      </c>
      <c r="J252" s="54" t="str" cm="1">
        <f t="array" ref="J252">IFERROR(_xlfn.LET(
_xlpm.CSVVal,_xlfn.XLOOKUP($A252,CSV!$A:$A,CSV!I:I,""),
_xlpm.MacVal,_xlfn.XLOOKUP($A252,Output_Mac!$A:$A,Output_Mac!K:K,""),
_xlpm.MyAuditVal,_xlfn.XLOOKUP($A252,My_Audit!$A:$A,My_Audit!I:I,""),
_xlfn.IFS(_xlpm.MyAuditVal&lt;&gt;"",UPPER(_xlpm.MyAuditVal),_xlpm.MacVal&lt;&gt;"",_xlpm.MacVal,_xlpm.CSVVal&lt;&gt;"",_xlpm.CSVVal
)),"")</f>
        <v/>
      </c>
      <c r="K252" s="54" t="str" cm="1">
        <f t="array" ref="K252">IFERROR(_xlfn.LET(
_xlpm.CSVVal,_xlfn.XLOOKUP($A252,CSV!$A:$A,CSV!M:M,""),
_xlpm.MacVal,_xlfn.XLOOKUP($A252,Output_Mac!$A:$A,Output_Mac!L:L,""),
_xlpm.MyAuditVal,_xlfn.XLOOKUP($A252,My_Audit!$A:$A,My_Audit!J:J,""),
_xlfn.IFS(_xlpm.MyAuditVal&lt;&gt;"",UPPER(_xlpm.MyAuditVal),_xlpm.MacVal&lt;&gt;"",_xlpm.MacVal,_xlpm.CSVVal&lt;&gt;"",_xlpm.CSVVal
)),"")</f>
        <v/>
      </c>
      <c r="L252" s="55" t="str" cm="1">
        <f t="array" ref="L252">IFERROR(_xlfn.LET(
_xlpm.CSVVal,_xlfn.XLOOKUP($A252,CSV!$A:$A,CSV!P:P,""),
_xlpm.MacVal,_xlfn.XLOOKUP($A252,Output_Mac!$A:$A,Output_Mac!M:M,""),
_xlpm.MyAuditVal,_xlfn.XLOOKUP($A252,My_Audit!$A:$A,My_Audit!K:K,""),
_xlfn.IFS(_xlpm.MyAuditVal&lt;&gt;"",UPPER(_xlpm.MyAuditVal),_xlpm.MacVal&lt;&gt;"",_xlpm.MacVal,_xlpm.CSVVal&lt;&gt;"",_xlpm.CSVVal
)),"")</f>
        <v/>
      </c>
      <c r="M252" s="54" t="str">
        <f>_xlfn.LET(
    _xlpm.CSVVal, _xlfn.XLOOKUP($A252, CSV!$A:$A, CSV!AD:AD, ""),
    _xlpm.MacVal, _xlfn.XLOOKUP($A252, Output_Mac!$A:$A, Output_Mac!S:S, ""),
    _xlpm.MyAuditVal, _xlfn.XLOOKUP($A252, My_Audit!$A:$A, My_Audit!N:N, ""),
    _xlfn.TEXTJOIN(", ", TRUE, _xlpm.MyAuditVal, _xlpm.MacVal, _xlpm.CSVVal)
)</f>
        <v/>
      </c>
      <c r="N252" s="54" t="str" cm="1">
        <f t="array" ref="N252">IFERROR(_xlfn.LET(
_xlpm.CSVVal,_xlfn.XLOOKUP($A252,CSV!$A:$A,CSV!AF:AF,""),
_xlpm.MacVal,_xlfn.XLOOKUP($A252,Output_Mac!$A:$A,Output_Mac!U:U,""),
_xlpm.MyAuditVal,_xlfn.XLOOKUP($A252,My_Audit!$A:$A,My_Audit!O:O,""),
_xlfn.IFS(_xlpm.MyAuditVal&lt;&gt;"",UPPER(_xlpm.MyAuditVal),_xlpm.MacVal&lt;&gt;"",_xlpm.MacVal,_xlpm.CSVVal&lt;&gt;"",_xlpm.CSVVal
)),"")</f>
        <v/>
      </c>
      <c r="O252" s="54"/>
      <c r="P252" s="54"/>
      <c r="Q252" s="54"/>
      <c r="R252" s="54"/>
      <c r="S252" s="54"/>
      <c r="T252" s="54"/>
      <c r="U252" s="39"/>
    </row>
    <row r="253" spans="1:21">
      <c r="A253" s="54" t="str">
        <f>_xlfn.TEXTJOIN("",TRUE,Input!$B$2,ROW(My_Audit!A252))</f>
        <v>XX252</v>
      </c>
      <c r="B253" s="54" t="str">
        <f>_xlfn.TEXTJOIN("-",TRUE,"ITD",Input!$A$2,A253)</f>
        <v>ITD-SHRXXX-XX252</v>
      </c>
      <c r="C253" s="54" t="str" cm="1">
        <f t="array" ref="C253">IFERROR(_xlfn.LET(
_xlpm.CSVVal,_xlfn.XLOOKUP($A253,CSV!$A:$A,CSV!B:B,""),
_xlpm.MacVal,_xlfn.XLOOKUP($A253,Output_Mac!$A:$A,Output_Mac!B:B,""),
_xlpm.MyAuditVal,_xlfn.XLOOKUP($A253,My_Audit!$A:$A,My_Audit!B:B,""),
_xlfn.IFS(_xlpm.MyAuditVal&lt;&gt;"",UPPER(_xlpm.MyAuditVal),_xlpm.MacVal&lt;&gt;"",_xlpm.MacVal,_xlpm.CSVVal&lt;&gt;"",_xlpm.CSVVal
)),"")</f>
        <v/>
      </c>
      <c r="D253" s="55" t="str">
        <f>_xlfn.XLOOKUP(A253,My_Audit!A:A,My_Audit!D:D,"")&amp;""</f>
        <v/>
      </c>
      <c r="E253" s="55" t="str" cm="1">
        <f t="array" ref="E253">IFERROR(_xlfn.LET(
_xlpm.CSVVal,_xlfn.XLOOKUP($A253,CSV!$A:$A,CSV!D:D,""),
_xlpm.MacVal,_xlfn.XLOOKUP($A253,Output_Mac!$A:$A,Output_Mac!C:C,""),
_xlpm.MyAuditVal,_xlfn.XLOOKUP($A253,My_Audit!$A:$A,My_Audit!D:D,""),
_xlfn.IFS(_xlpm.MyAuditVal&lt;&gt;"",_xlpm.MyAuditVal,_xlpm.MacVal&lt;&gt;"",_xlpm.MacVal,_xlpm.CSVVal&lt;&gt;"",_xlpm.CSVVal
)),"")</f>
        <v/>
      </c>
      <c r="F253" s="54" t="str" cm="1">
        <f t="array" ref="F253">IFERROR(_xlfn.LET(
_xlpm.CSVVal,_xlfn.XLOOKUP($A253,CSV!$A:$A,CSV!E:E,""),
_xlpm.MacVal,_xlfn.XLOOKUP($A253,Output_Mac!$A:$A,Output_Mac!F:F,""),
_xlpm.MyAuditVal,_xlfn.XLOOKUP($A253,My_Audit!$A:$A,My_Audit!E:E,""),
_xlfn.IFS(_xlpm.MyAuditVal&lt;&gt;"",_xlpm.MyAuditVal,_xlpm.MacVal&lt;&gt;"",_xlpm.MacVal,_xlpm.CSVVal&lt;&gt;"",PROPER(_xlpm.CSVVal)
)),"")</f>
        <v/>
      </c>
      <c r="G253" s="54" t="str" cm="1">
        <f t="array" ref="G253">IFERROR(_xlfn.LET(
_xlpm.CSVVal,_xlfn.XLOOKUP($A253,CSV!$A:$A,CSV!F:F,""),
_xlpm.MacVal,_xlfn.XLOOKUP($A253,Output_Mac!$A:$A,Output_Mac!H:H,""),
_xlpm.MyAuditVal,_xlfn.XLOOKUP($A253,My_Audit!$A:$A,My_Audit!F:F,""),
_xlfn.IFS(_xlpm.MyAuditVal&lt;&gt;"",_xlpm.MyAuditVal,_xlpm.MacVal&lt;&gt;"",_xlpm.MacVal,_xlpm.CSVVal&lt;&gt;"",_xlpm.CSVVal
)),"")</f>
        <v/>
      </c>
      <c r="H253" s="54" t="str">
        <f>_xlfn.XLOOKUP(A253,Output_Mac!A:A,Output_Mac!I:I,"")</f>
        <v/>
      </c>
      <c r="I253" s="54" t="str" cm="1">
        <f t="array" ref="I253">IFERROR(_xlfn.LET(
_xlpm.CSVVal,_xlfn.XLOOKUP($A253,CSV!$A:$A,CSV!G:G,""),
_xlpm.MacVal,_xlfn.XLOOKUP($A253,Output_Mac!$A:$A,Output_Mac!J:J,""),
_xlpm.MyAuditVal,_xlfn.XLOOKUP($A253,My_Audit!$A:$A,My_Audit!H:H,""),
_xlfn.IFS(_xlpm.MyAuditVal&lt;&gt;"",UPPER(_xlpm.MyAuditVal),_xlpm.MacVal&lt;&gt;"",_xlpm.MacVal,_xlpm.CSVVal&lt;&gt;"",_xlpm.CSVVal
)),"")</f>
        <v/>
      </c>
      <c r="J253" s="54" t="str" cm="1">
        <f t="array" ref="J253">IFERROR(_xlfn.LET(
_xlpm.CSVVal,_xlfn.XLOOKUP($A253,CSV!$A:$A,CSV!I:I,""),
_xlpm.MacVal,_xlfn.XLOOKUP($A253,Output_Mac!$A:$A,Output_Mac!K:K,""),
_xlpm.MyAuditVal,_xlfn.XLOOKUP($A253,My_Audit!$A:$A,My_Audit!I:I,""),
_xlfn.IFS(_xlpm.MyAuditVal&lt;&gt;"",UPPER(_xlpm.MyAuditVal),_xlpm.MacVal&lt;&gt;"",_xlpm.MacVal,_xlpm.CSVVal&lt;&gt;"",_xlpm.CSVVal
)),"")</f>
        <v/>
      </c>
      <c r="K253" s="54" t="str" cm="1">
        <f t="array" ref="K253">IFERROR(_xlfn.LET(
_xlpm.CSVVal,_xlfn.XLOOKUP($A253,CSV!$A:$A,CSV!M:M,""),
_xlpm.MacVal,_xlfn.XLOOKUP($A253,Output_Mac!$A:$A,Output_Mac!L:L,""),
_xlpm.MyAuditVal,_xlfn.XLOOKUP($A253,My_Audit!$A:$A,My_Audit!J:J,""),
_xlfn.IFS(_xlpm.MyAuditVal&lt;&gt;"",UPPER(_xlpm.MyAuditVal),_xlpm.MacVal&lt;&gt;"",_xlpm.MacVal,_xlpm.CSVVal&lt;&gt;"",_xlpm.CSVVal
)),"")</f>
        <v/>
      </c>
      <c r="L253" s="55" t="str" cm="1">
        <f t="array" ref="L253">IFERROR(_xlfn.LET(
_xlpm.CSVVal,_xlfn.XLOOKUP($A253,CSV!$A:$A,CSV!P:P,""),
_xlpm.MacVal,_xlfn.XLOOKUP($A253,Output_Mac!$A:$A,Output_Mac!M:M,""),
_xlpm.MyAuditVal,_xlfn.XLOOKUP($A253,My_Audit!$A:$A,My_Audit!K:K,""),
_xlfn.IFS(_xlpm.MyAuditVal&lt;&gt;"",UPPER(_xlpm.MyAuditVal),_xlpm.MacVal&lt;&gt;"",_xlpm.MacVal,_xlpm.CSVVal&lt;&gt;"",_xlpm.CSVVal
)),"")</f>
        <v/>
      </c>
      <c r="M253" s="54" t="str">
        <f>_xlfn.LET(
    _xlpm.CSVVal, _xlfn.XLOOKUP($A253, CSV!$A:$A, CSV!AD:AD, ""),
    _xlpm.MacVal, _xlfn.XLOOKUP($A253, Output_Mac!$A:$A, Output_Mac!S:S, ""),
    _xlpm.MyAuditVal, _xlfn.XLOOKUP($A253, My_Audit!$A:$A, My_Audit!N:N, ""),
    _xlfn.TEXTJOIN(", ", TRUE, _xlpm.MyAuditVal, _xlpm.MacVal, _xlpm.CSVVal)
)</f>
        <v/>
      </c>
      <c r="N253" s="54" t="str" cm="1">
        <f t="array" ref="N253">IFERROR(_xlfn.LET(
_xlpm.CSVVal,_xlfn.XLOOKUP($A253,CSV!$A:$A,CSV!AF:AF,""),
_xlpm.MacVal,_xlfn.XLOOKUP($A253,Output_Mac!$A:$A,Output_Mac!U:U,""),
_xlpm.MyAuditVal,_xlfn.XLOOKUP($A253,My_Audit!$A:$A,My_Audit!O:O,""),
_xlfn.IFS(_xlpm.MyAuditVal&lt;&gt;"",UPPER(_xlpm.MyAuditVal),_xlpm.MacVal&lt;&gt;"",_xlpm.MacVal,_xlpm.CSVVal&lt;&gt;"",_xlpm.CSVVal
)),"")</f>
        <v/>
      </c>
      <c r="O253" s="54"/>
      <c r="P253" s="54"/>
      <c r="Q253" s="54"/>
      <c r="R253" s="54"/>
      <c r="S253" s="54"/>
      <c r="T253" s="54"/>
      <c r="U253" s="39"/>
    </row>
    <row r="254" spans="1:21">
      <c r="A254" s="54" t="str">
        <f>_xlfn.TEXTJOIN("",TRUE,Input!$B$2,ROW(My_Audit!A253))</f>
        <v>XX253</v>
      </c>
      <c r="B254" s="54" t="str">
        <f>_xlfn.TEXTJOIN("-",TRUE,"ITD",Input!$A$2,A254)</f>
        <v>ITD-SHRXXX-XX253</v>
      </c>
      <c r="C254" s="54" t="str" cm="1">
        <f t="array" ref="C254">IFERROR(_xlfn.LET(
_xlpm.CSVVal,_xlfn.XLOOKUP($A254,CSV!$A:$A,CSV!B:B,""),
_xlpm.MacVal,_xlfn.XLOOKUP($A254,Output_Mac!$A:$A,Output_Mac!B:B,""),
_xlpm.MyAuditVal,_xlfn.XLOOKUP($A254,My_Audit!$A:$A,My_Audit!B:B,""),
_xlfn.IFS(_xlpm.MyAuditVal&lt;&gt;"",UPPER(_xlpm.MyAuditVal),_xlpm.MacVal&lt;&gt;"",_xlpm.MacVal,_xlpm.CSVVal&lt;&gt;"",_xlpm.CSVVal
)),"")</f>
        <v/>
      </c>
      <c r="D254" s="55" t="str">
        <f>_xlfn.XLOOKUP(A254,My_Audit!A:A,My_Audit!D:D,"")&amp;""</f>
        <v/>
      </c>
      <c r="E254" s="55" t="str" cm="1">
        <f t="array" ref="E254">IFERROR(_xlfn.LET(
_xlpm.CSVVal,_xlfn.XLOOKUP($A254,CSV!$A:$A,CSV!D:D,""),
_xlpm.MacVal,_xlfn.XLOOKUP($A254,Output_Mac!$A:$A,Output_Mac!C:C,""),
_xlpm.MyAuditVal,_xlfn.XLOOKUP($A254,My_Audit!$A:$A,My_Audit!D:D,""),
_xlfn.IFS(_xlpm.MyAuditVal&lt;&gt;"",_xlpm.MyAuditVal,_xlpm.MacVal&lt;&gt;"",_xlpm.MacVal,_xlpm.CSVVal&lt;&gt;"",_xlpm.CSVVal
)),"")</f>
        <v/>
      </c>
      <c r="F254" s="54" t="str" cm="1">
        <f t="array" ref="F254">IFERROR(_xlfn.LET(
_xlpm.CSVVal,_xlfn.XLOOKUP($A254,CSV!$A:$A,CSV!E:E,""),
_xlpm.MacVal,_xlfn.XLOOKUP($A254,Output_Mac!$A:$A,Output_Mac!F:F,""),
_xlpm.MyAuditVal,_xlfn.XLOOKUP($A254,My_Audit!$A:$A,My_Audit!E:E,""),
_xlfn.IFS(_xlpm.MyAuditVal&lt;&gt;"",_xlpm.MyAuditVal,_xlpm.MacVal&lt;&gt;"",_xlpm.MacVal,_xlpm.CSVVal&lt;&gt;"",PROPER(_xlpm.CSVVal)
)),"")</f>
        <v/>
      </c>
      <c r="G254" s="54" t="str" cm="1">
        <f t="array" ref="G254">IFERROR(_xlfn.LET(
_xlpm.CSVVal,_xlfn.XLOOKUP($A254,CSV!$A:$A,CSV!F:F,""),
_xlpm.MacVal,_xlfn.XLOOKUP($A254,Output_Mac!$A:$A,Output_Mac!H:H,""),
_xlpm.MyAuditVal,_xlfn.XLOOKUP($A254,My_Audit!$A:$A,My_Audit!F:F,""),
_xlfn.IFS(_xlpm.MyAuditVal&lt;&gt;"",_xlpm.MyAuditVal,_xlpm.MacVal&lt;&gt;"",_xlpm.MacVal,_xlpm.CSVVal&lt;&gt;"",_xlpm.CSVVal
)),"")</f>
        <v/>
      </c>
      <c r="H254" s="54" t="str">
        <f>_xlfn.XLOOKUP(A254,Output_Mac!A:A,Output_Mac!I:I,"")</f>
        <v/>
      </c>
      <c r="I254" s="54" t="str" cm="1">
        <f t="array" ref="I254">IFERROR(_xlfn.LET(
_xlpm.CSVVal,_xlfn.XLOOKUP($A254,CSV!$A:$A,CSV!G:G,""),
_xlpm.MacVal,_xlfn.XLOOKUP($A254,Output_Mac!$A:$A,Output_Mac!J:J,""),
_xlpm.MyAuditVal,_xlfn.XLOOKUP($A254,My_Audit!$A:$A,My_Audit!H:H,""),
_xlfn.IFS(_xlpm.MyAuditVal&lt;&gt;"",UPPER(_xlpm.MyAuditVal),_xlpm.MacVal&lt;&gt;"",_xlpm.MacVal,_xlpm.CSVVal&lt;&gt;"",_xlpm.CSVVal
)),"")</f>
        <v/>
      </c>
      <c r="J254" s="54" t="str" cm="1">
        <f t="array" ref="J254">IFERROR(_xlfn.LET(
_xlpm.CSVVal,_xlfn.XLOOKUP($A254,CSV!$A:$A,CSV!I:I,""),
_xlpm.MacVal,_xlfn.XLOOKUP($A254,Output_Mac!$A:$A,Output_Mac!K:K,""),
_xlpm.MyAuditVal,_xlfn.XLOOKUP($A254,My_Audit!$A:$A,My_Audit!I:I,""),
_xlfn.IFS(_xlpm.MyAuditVal&lt;&gt;"",UPPER(_xlpm.MyAuditVal),_xlpm.MacVal&lt;&gt;"",_xlpm.MacVal,_xlpm.CSVVal&lt;&gt;"",_xlpm.CSVVal
)),"")</f>
        <v/>
      </c>
      <c r="K254" s="54" t="str" cm="1">
        <f t="array" ref="K254">IFERROR(_xlfn.LET(
_xlpm.CSVVal,_xlfn.XLOOKUP($A254,CSV!$A:$A,CSV!M:M,""),
_xlpm.MacVal,_xlfn.XLOOKUP($A254,Output_Mac!$A:$A,Output_Mac!L:L,""),
_xlpm.MyAuditVal,_xlfn.XLOOKUP($A254,My_Audit!$A:$A,My_Audit!J:J,""),
_xlfn.IFS(_xlpm.MyAuditVal&lt;&gt;"",UPPER(_xlpm.MyAuditVal),_xlpm.MacVal&lt;&gt;"",_xlpm.MacVal,_xlpm.CSVVal&lt;&gt;"",_xlpm.CSVVal
)),"")</f>
        <v/>
      </c>
      <c r="L254" s="55" t="str" cm="1">
        <f t="array" ref="L254">IFERROR(_xlfn.LET(
_xlpm.CSVVal,_xlfn.XLOOKUP($A254,CSV!$A:$A,CSV!P:P,""),
_xlpm.MacVal,_xlfn.XLOOKUP($A254,Output_Mac!$A:$A,Output_Mac!M:M,""),
_xlpm.MyAuditVal,_xlfn.XLOOKUP($A254,My_Audit!$A:$A,My_Audit!K:K,""),
_xlfn.IFS(_xlpm.MyAuditVal&lt;&gt;"",UPPER(_xlpm.MyAuditVal),_xlpm.MacVal&lt;&gt;"",_xlpm.MacVal,_xlpm.CSVVal&lt;&gt;"",_xlpm.CSVVal
)),"")</f>
        <v/>
      </c>
      <c r="M254" s="54" t="str">
        <f>_xlfn.LET(
    _xlpm.CSVVal, _xlfn.XLOOKUP($A254, CSV!$A:$A, CSV!AD:AD, ""),
    _xlpm.MacVal, _xlfn.XLOOKUP($A254, Output_Mac!$A:$A, Output_Mac!S:S, ""),
    _xlpm.MyAuditVal, _xlfn.XLOOKUP($A254, My_Audit!$A:$A, My_Audit!N:N, ""),
    _xlfn.TEXTJOIN(", ", TRUE, _xlpm.MyAuditVal, _xlpm.MacVal, _xlpm.CSVVal)
)</f>
        <v/>
      </c>
      <c r="N254" s="54" t="str" cm="1">
        <f t="array" ref="N254">IFERROR(_xlfn.LET(
_xlpm.CSVVal,_xlfn.XLOOKUP($A254,CSV!$A:$A,CSV!AF:AF,""),
_xlpm.MacVal,_xlfn.XLOOKUP($A254,Output_Mac!$A:$A,Output_Mac!U:U,""),
_xlpm.MyAuditVal,_xlfn.XLOOKUP($A254,My_Audit!$A:$A,My_Audit!O:O,""),
_xlfn.IFS(_xlpm.MyAuditVal&lt;&gt;"",UPPER(_xlpm.MyAuditVal),_xlpm.MacVal&lt;&gt;"",_xlpm.MacVal,_xlpm.CSVVal&lt;&gt;"",_xlpm.CSVVal
)),"")</f>
        <v/>
      </c>
      <c r="O254" s="54"/>
      <c r="P254" s="54"/>
      <c r="Q254" s="54"/>
      <c r="R254" s="54"/>
      <c r="S254" s="54"/>
      <c r="T254" s="54"/>
      <c r="U254" s="39"/>
    </row>
    <row r="255" spans="1:21">
      <c r="A255" s="54" t="str">
        <f>_xlfn.TEXTJOIN("",TRUE,Input!$B$2,ROW(My_Audit!A254))</f>
        <v>XX254</v>
      </c>
      <c r="B255" s="54" t="str">
        <f>_xlfn.TEXTJOIN("-",TRUE,"ITD",Input!$A$2,A255)</f>
        <v>ITD-SHRXXX-XX254</v>
      </c>
      <c r="C255" s="54" t="str" cm="1">
        <f t="array" ref="C255">IFERROR(_xlfn.LET(
_xlpm.CSVVal,_xlfn.XLOOKUP($A255,CSV!$A:$A,CSV!B:B,""),
_xlpm.MacVal,_xlfn.XLOOKUP($A255,Output_Mac!$A:$A,Output_Mac!B:B,""),
_xlpm.MyAuditVal,_xlfn.XLOOKUP($A255,My_Audit!$A:$A,My_Audit!B:B,""),
_xlfn.IFS(_xlpm.MyAuditVal&lt;&gt;"",UPPER(_xlpm.MyAuditVal),_xlpm.MacVal&lt;&gt;"",_xlpm.MacVal,_xlpm.CSVVal&lt;&gt;"",_xlpm.CSVVal
)),"")</f>
        <v/>
      </c>
      <c r="D255" s="55" t="str">
        <f>_xlfn.XLOOKUP(A255,My_Audit!A:A,My_Audit!D:D,"")&amp;""</f>
        <v/>
      </c>
      <c r="E255" s="55" t="str" cm="1">
        <f t="array" ref="E255">IFERROR(_xlfn.LET(
_xlpm.CSVVal,_xlfn.XLOOKUP($A255,CSV!$A:$A,CSV!D:D,""),
_xlpm.MacVal,_xlfn.XLOOKUP($A255,Output_Mac!$A:$A,Output_Mac!C:C,""),
_xlpm.MyAuditVal,_xlfn.XLOOKUP($A255,My_Audit!$A:$A,My_Audit!D:D,""),
_xlfn.IFS(_xlpm.MyAuditVal&lt;&gt;"",_xlpm.MyAuditVal,_xlpm.MacVal&lt;&gt;"",_xlpm.MacVal,_xlpm.CSVVal&lt;&gt;"",_xlpm.CSVVal
)),"")</f>
        <v/>
      </c>
      <c r="F255" s="54" t="str" cm="1">
        <f t="array" ref="F255">IFERROR(_xlfn.LET(
_xlpm.CSVVal,_xlfn.XLOOKUP($A255,CSV!$A:$A,CSV!E:E,""),
_xlpm.MacVal,_xlfn.XLOOKUP($A255,Output_Mac!$A:$A,Output_Mac!F:F,""),
_xlpm.MyAuditVal,_xlfn.XLOOKUP($A255,My_Audit!$A:$A,My_Audit!E:E,""),
_xlfn.IFS(_xlpm.MyAuditVal&lt;&gt;"",_xlpm.MyAuditVal,_xlpm.MacVal&lt;&gt;"",_xlpm.MacVal,_xlpm.CSVVal&lt;&gt;"",PROPER(_xlpm.CSVVal)
)),"")</f>
        <v/>
      </c>
      <c r="G255" s="54" t="str" cm="1">
        <f t="array" ref="G255">IFERROR(_xlfn.LET(
_xlpm.CSVVal,_xlfn.XLOOKUP($A255,CSV!$A:$A,CSV!F:F,""),
_xlpm.MacVal,_xlfn.XLOOKUP($A255,Output_Mac!$A:$A,Output_Mac!H:H,""),
_xlpm.MyAuditVal,_xlfn.XLOOKUP($A255,My_Audit!$A:$A,My_Audit!F:F,""),
_xlfn.IFS(_xlpm.MyAuditVal&lt;&gt;"",_xlpm.MyAuditVal,_xlpm.MacVal&lt;&gt;"",_xlpm.MacVal,_xlpm.CSVVal&lt;&gt;"",_xlpm.CSVVal
)),"")</f>
        <v/>
      </c>
      <c r="H255" s="54" t="str">
        <f>_xlfn.XLOOKUP(A255,Output_Mac!A:A,Output_Mac!I:I,"")</f>
        <v/>
      </c>
      <c r="I255" s="54" t="str" cm="1">
        <f t="array" ref="I255">IFERROR(_xlfn.LET(
_xlpm.CSVVal,_xlfn.XLOOKUP($A255,CSV!$A:$A,CSV!G:G,""),
_xlpm.MacVal,_xlfn.XLOOKUP($A255,Output_Mac!$A:$A,Output_Mac!J:J,""),
_xlpm.MyAuditVal,_xlfn.XLOOKUP($A255,My_Audit!$A:$A,My_Audit!H:H,""),
_xlfn.IFS(_xlpm.MyAuditVal&lt;&gt;"",UPPER(_xlpm.MyAuditVal),_xlpm.MacVal&lt;&gt;"",_xlpm.MacVal,_xlpm.CSVVal&lt;&gt;"",_xlpm.CSVVal
)),"")</f>
        <v/>
      </c>
      <c r="J255" s="54" t="str" cm="1">
        <f t="array" ref="J255">IFERROR(_xlfn.LET(
_xlpm.CSVVal,_xlfn.XLOOKUP($A255,CSV!$A:$A,CSV!I:I,""),
_xlpm.MacVal,_xlfn.XLOOKUP($A255,Output_Mac!$A:$A,Output_Mac!K:K,""),
_xlpm.MyAuditVal,_xlfn.XLOOKUP($A255,My_Audit!$A:$A,My_Audit!I:I,""),
_xlfn.IFS(_xlpm.MyAuditVal&lt;&gt;"",UPPER(_xlpm.MyAuditVal),_xlpm.MacVal&lt;&gt;"",_xlpm.MacVal,_xlpm.CSVVal&lt;&gt;"",_xlpm.CSVVal
)),"")</f>
        <v/>
      </c>
      <c r="K255" s="54" t="str" cm="1">
        <f t="array" ref="K255">IFERROR(_xlfn.LET(
_xlpm.CSVVal,_xlfn.XLOOKUP($A255,CSV!$A:$A,CSV!M:M,""),
_xlpm.MacVal,_xlfn.XLOOKUP($A255,Output_Mac!$A:$A,Output_Mac!L:L,""),
_xlpm.MyAuditVal,_xlfn.XLOOKUP($A255,My_Audit!$A:$A,My_Audit!J:J,""),
_xlfn.IFS(_xlpm.MyAuditVal&lt;&gt;"",UPPER(_xlpm.MyAuditVal),_xlpm.MacVal&lt;&gt;"",_xlpm.MacVal,_xlpm.CSVVal&lt;&gt;"",_xlpm.CSVVal
)),"")</f>
        <v/>
      </c>
      <c r="L255" s="55" t="str" cm="1">
        <f t="array" ref="L255">IFERROR(_xlfn.LET(
_xlpm.CSVVal,_xlfn.XLOOKUP($A255,CSV!$A:$A,CSV!P:P,""),
_xlpm.MacVal,_xlfn.XLOOKUP($A255,Output_Mac!$A:$A,Output_Mac!M:M,""),
_xlpm.MyAuditVal,_xlfn.XLOOKUP($A255,My_Audit!$A:$A,My_Audit!K:K,""),
_xlfn.IFS(_xlpm.MyAuditVal&lt;&gt;"",UPPER(_xlpm.MyAuditVal),_xlpm.MacVal&lt;&gt;"",_xlpm.MacVal,_xlpm.CSVVal&lt;&gt;"",_xlpm.CSVVal
)),"")</f>
        <v/>
      </c>
      <c r="M255" s="54" t="str">
        <f>_xlfn.LET(
    _xlpm.CSVVal, _xlfn.XLOOKUP($A255, CSV!$A:$A, CSV!AD:AD, ""),
    _xlpm.MacVal, _xlfn.XLOOKUP($A255, Output_Mac!$A:$A, Output_Mac!S:S, ""),
    _xlpm.MyAuditVal, _xlfn.XLOOKUP($A255, My_Audit!$A:$A, My_Audit!N:N, ""),
    _xlfn.TEXTJOIN(", ", TRUE, _xlpm.MyAuditVal, _xlpm.MacVal, _xlpm.CSVVal)
)</f>
        <v/>
      </c>
      <c r="N255" s="54" t="str" cm="1">
        <f t="array" ref="N255">IFERROR(_xlfn.LET(
_xlpm.CSVVal,_xlfn.XLOOKUP($A255,CSV!$A:$A,CSV!AF:AF,""),
_xlpm.MacVal,_xlfn.XLOOKUP($A255,Output_Mac!$A:$A,Output_Mac!U:U,""),
_xlpm.MyAuditVal,_xlfn.XLOOKUP($A255,My_Audit!$A:$A,My_Audit!O:O,""),
_xlfn.IFS(_xlpm.MyAuditVal&lt;&gt;"",UPPER(_xlpm.MyAuditVal),_xlpm.MacVal&lt;&gt;"",_xlpm.MacVal,_xlpm.CSVVal&lt;&gt;"",_xlpm.CSVVal
)),"")</f>
        <v/>
      </c>
      <c r="O255" s="54"/>
      <c r="P255" s="54"/>
      <c r="Q255" s="54"/>
      <c r="R255" s="54"/>
      <c r="S255" s="54"/>
      <c r="T255" s="54"/>
      <c r="U255" s="39"/>
    </row>
    <row r="256" spans="1:21">
      <c r="A256" s="54" t="str">
        <f>_xlfn.TEXTJOIN("",TRUE,Input!$B$2,ROW(My_Audit!A255))</f>
        <v>XX255</v>
      </c>
      <c r="B256" s="54" t="str">
        <f>_xlfn.TEXTJOIN("-",TRUE,"ITD",Input!$A$2,A256)</f>
        <v>ITD-SHRXXX-XX255</v>
      </c>
      <c r="C256" s="54" t="str" cm="1">
        <f t="array" ref="C256">IFERROR(_xlfn.LET(
_xlpm.CSVVal,_xlfn.XLOOKUP($A256,CSV!$A:$A,CSV!B:B,""),
_xlpm.MacVal,_xlfn.XLOOKUP($A256,Output_Mac!$A:$A,Output_Mac!B:B,""),
_xlpm.MyAuditVal,_xlfn.XLOOKUP($A256,My_Audit!$A:$A,My_Audit!B:B,""),
_xlfn.IFS(_xlpm.MyAuditVal&lt;&gt;"",UPPER(_xlpm.MyAuditVal),_xlpm.MacVal&lt;&gt;"",_xlpm.MacVal,_xlpm.CSVVal&lt;&gt;"",_xlpm.CSVVal
)),"")</f>
        <v/>
      </c>
      <c r="D256" s="55" t="str">
        <f>_xlfn.XLOOKUP(A256,My_Audit!A:A,My_Audit!D:D,"")&amp;""</f>
        <v/>
      </c>
      <c r="E256" s="55" t="str" cm="1">
        <f t="array" ref="E256">IFERROR(_xlfn.LET(
_xlpm.CSVVal,_xlfn.XLOOKUP($A256,CSV!$A:$A,CSV!D:D,""),
_xlpm.MacVal,_xlfn.XLOOKUP($A256,Output_Mac!$A:$A,Output_Mac!C:C,""),
_xlpm.MyAuditVal,_xlfn.XLOOKUP($A256,My_Audit!$A:$A,My_Audit!D:D,""),
_xlfn.IFS(_xlpm.MyAuditVal&lt;&gt;"",_xlpm.MyAuditVal,_xlpm.MacVal&lt;&gt;"",_xlpm.MacVal,_xlpm.CSVVal&lt;&gt;"",_xlpm.CSVVal
)),"")</f>
        <v/>
      </c>
      <c r="F256" s="54" t="str" cm="1">
        <f t="array" ref="F256">IFERROR(_xlfn.LET(
_xlpm.CSVVal,_xlfn.XLOOKUP($A256,CSV!$A:$A,CSV!E:E,""),
_xlpm.MacVal,_xlfn.XLOOKUP($A256,Output_Mac!$A:$A,Output_Mac!F:F,""),
_xlpm.MyAuditVal,_xlfn.XLOOKUP($A256,My_Audit!$A:$A,My_Audit!E:E,""),
_xlfn.IFS(_xlpm.MyAuditVal&lt;&gt;"",_xlpm.MyAuditVal,_xlpm.MacVal&lt;&gt;"",_xlpm.MacVal,_xlpm.CSVVal&lt;&gt;"",PROPER(_xlpm.CSVVal)
)),"")</f>
        <v/>
      </c>
      <c r="G256" s="54" t="str" cm="1">
        <f t="array" ref="G256">IFERROR(_xlfn.LET(
_xlpm.CSVVal,_xlfn.XLOOKUP($A256,CSV!$A:$A,CSV!F:F,""),
_xlpm.MacVal,_xlfn.XLOOKUP($A256,Output_Mac!$A:$A,Output_Mac!H:H,""),
_xlpm.MyAuditVal,_xlfn.XLOOKUP($A256,My_Audit!$A:$A,My_Audit!F:F,""),
_xlfn.IFS(_xlpm.MyAuditVal&lt;&gt;"",_xlpm.MyAuditVal,_xlpm.MacVal&lt;&gt;"",_xlpm.MacVal,_xlpm.CSVVal&lt;&gt;"",_xlpm.CSVVal
)),"")</f>
        <v/>
      </c>
      <c r="H256" s="54" t="str">
        <f>_xlfn.XLOOKUP(A256,Output_Mac!A:A,Output_Mac!I:I,"")</f>
        <v/>
      </c>
      <c r="I256" s="54" t="str" cm="1">
        <f t="array" ref="I256">IFERROR(_xlfn.LET(
_xlpm.CSVVal,_xlfn.XLOOKUP($A256,CSV!$A:$A,CSV!G:G,""),
_xlpm.MacVal,_xlfn.XLOOKUP($A256,Output_Mac!$A:$A,Output_Mac!J:J,""),
_xlpm.MyAuditVal,_xlfn.XLOOKUP($A256,My_Audit!$A:$A,My_Audit!H:H,""),
_xlfn.IFS(_xlpm.MyAuditVal&lt;&gt;"",UPPER(_xlpm.MyAuditVal),_xlpm.MacVal&lt;&gt;"",_xlpm.MacVal,_xlpm.CSVVal&lt;&gt;"",_xlpm.CSVVal
)),"")</f>
        <v/>
      </c>
      <c r="J256" s="54" t="str" cm="1">
        <f t="array" ref="J256">IFERROR(_xlfn.LET(
_xlpm.CSVVal,_xlfn.XLOOKUP($A256,CSV!$A:$A,CSV!I:I,""),
_xlpm.MacVal,_xlfn.XLOOKUP($A256,Output_Mac!$A:$A,Output_Mac!K:K,""),
_xlpm.MyAuditVal,_xlfn.XLOOKUP($A256,My_Audit!$A:$A,My_Audit!I:I,""),
_xlfn.IFS(_xlpm.MyAuditVal&lt;&gt;"",UPPER(_xlpm.MyAuditVal),_xlpm.MacVal&lt;&gt;"",_xlpm.MacVal,_xlpm.CSVVal&lt;&gt;"",_xlpm.CSVVal
)),"")</f>
        <v/>
      </c>
      <c r="K256" s="54" t="str" cm="1">
        <f t="array" ref="K256">IFERROR(_xlfn.LET(
_xlpm.CSVVal,_xlfn.XLOOKUP($A256,CSV!$A:$A,CSV!M:M,""),
_xlpm.MacVal,_xlfn.XLOOKUP($A256,Output_Mac!$A:$A,Output_Mac!L:L,""),
_xlpm.MyAuditVal,_xlfn.XLOOKUP($A256,My_Audit!$A:$A,My_Audit!J:J,""),
_xlfn.IFS(_xlpm.MyAuditVal&lt;&gt;"",UPPER(_xlpm.MyAuditVal),_xlpm.MacVal&lt;&gt;"",_xlpm.MacVal,_xlpm.CSVVal&lt;&gt;"",_xlpm.CSVVal
)),"")</f>
        <v/>
      </c>
      <c r="L256" s="55" t="str" cm="1">
        <f t="array" ref="L256">IFERROR(_xlfn.LET(
_xlpm.CSVVal,_xlfn.XLOOKUP($A256,CSV!$A:$A,CSV!P:P,""),
_xlpm.MacVal,_xlfn.XLOOKUP($A256,Output_Mac!$A:$A,Output_Mac!M:M,""),
_xlpm.MyAuditVal,_xlfn.XLOOKUP($A256,My_Audit!$A:$A,My_Audit!K:K,""),
_xlfn.IFS(_xlpm.MyAuditVal&lt;&gt;"",UPPER(_xlpm.MyAuditVal),_xlpm.MacVal&lt;&gt;"",_xlpm.MacVal,_xlpm.CSVVal&lt;&gt;"",_xlpm.CSVVal
)),"")</f>
        <v/>
      </c>
      <c r="M256" s="54" t="str">
        <f>_xlfn.LET(
    _xlpm.CSVVal, _xlfn.XLOOKUP($A256, CSV!$A:$A, CSV!AD:AD, ""),
    _xlpm.MacVal, _xlfn.XLOOKUP($A256, Output_Mac!$A:$A, Output_Mac!S:S, ""),
    _xlpm.MyAuditVal, _xlfn.XLOOKUP($A256, My_Audit!$A:$A, My_Audit!N:N, ""),
    _xlfn.TEXTJOIN(", ", TRUE, _xlpm.MyAuditVal, _xlpm.MacVal, _xlpm.CSVVal)
)</f>
        <v/>
      </c>
      <c r="N256" s="54" t="str" cm="1">
        <f t="array" ref="N256">IFERROR(_xlfn.LET(
_xlpm.CSVVal,_xlfn.XLOOKUP($A256,CSV!$A:$A,CSV!AF:AF,""),
_xlpm.MacVal,_xlfn.XLOOKUP($A256,Output_Mac!$A:$A,Output_Mac!U:U,""),
_xlpm.MyAuditVal,_xlfn.XLOOKUP($A256,My_Audit!$A:$A,My_Audit!O:O,""),
_xlfn.IFS(_xlpm.MyAuditVal&lt;&gt;"",UPPER(_xlpm.MyAuditVal),_xlpm.MacVal&lt;&gt;"",_xlpm.MacVal,_xlpm.CSVVal&lt;&gt;"",_xlpm.CSVVal
)),"")</f>
        <v/>
      </c>
      <c r="O256" s="54"/>
      <c r="P256" s="54"/>
      <c r="Q256" s="54"/>
      <c r="R256" s="54"/>
      <c r="S256" s="54"/>
      <c r="T256" s="54"/>
      <c r="U256" s="39"/>
    </row>
    <row r="257" spans="1:21">
      <c r="A257" s="54" t="str">
        <f>_xlfn.TEXTJOIN("",TRUE,Input!$B$2,ROW(My_Audit!A256))</f>
        <v>XX256</v>
      </c>
      <c r="B257" s="54" t="str">
        <f>_xlfn.TEXTJOIN("-",TRUE,"ITD",Input!$A$2,A257)</f>
        <v>ITD-SHRXXX-XX256</v>
      </c>
      <c r="C257" s="54" t="str" cm="1">
        <f t="array" ref="C257">IFERROR(_xlfn.LET(
_xlpm.CSVVal,_xlfn.XLOOKUP($A257,CSV!$A:$A,CSV!B:B,""),
_xlpm.MacVal,_xlfn.XLOOKUP($A257,Output_Mac!$A:$A,Output_Mac!B:B,""),
_xlpm.MyAuditVal,_xlfn.XLOOKUP($A257,My_Audit!$A:$A,My_Audit!B:B,""),
_xlfn.IFS(_xlpm.MyAuditVal&lt;&gt;"",UPPER(_xlpm.MyAuditVal),_xlpm.MacVal&lt;&gt;"",_xlpm.MacVal,_xlpm.CSVVal&lt;&gt;"",_xlpm.CSVVal
)),"")</f>
        <v/>
      </c>
      <c r="D257" s="55" t="str">
        <f>_xlfn.XLOOKUP(A257,My_Audit!A:A,My_Audit!D:D,"")&amp;""</f>
        <v/>
      </c>
      <c r="E257" s="55" t="str" cm="1">
        <f t="array" ref="E257">IFERROR(_xlfn.LET(
_xlpm.CSVVal,_xlfn.XLOOKUP($A257,CSV!$A:$A,CSV!D:D,""),
_xlpm.MacVal,_xlfn.XLOOKUP($A257,Output_Mac!$A:$A,Output_Mac!C:C,""),
_xlpm.MyAuditVal,_xlfn.XLOOKUP($A257,My_Audit!$A:$A,My_Audit!D:D,""),
_xlfn.IFS(_xlpm.MyAuditVal&lt;&gt;"",_xlpm.MyAuditVal,_xlpm.MacVal&lt;&gt;"",_xlpm.MacVal,_xlpm.CSVVal&lt;&gt;"",_xlpm.CSVVal
)),"")</f>
        <v/>
      </c>
      <c r="F257" s="54" t="str" cm="1">
        <f t="array" ref="F257">IFERROR(_xlfn.LET(
_xlpm.CSVVal,_xlfn.XLOOKUP($A257,CSV!$A:$A,CSV!E:E,""),
_xlpm.MacVal,_xlfn.XLOOKUP($A257,Output_Mac!$A:$A,Output_Mac!F:F,""),
_xlpm.MyAuditVal,_xlfn.XLOOKUP($A257,My_Audit!$A:$A,My_Audit!E:E,""),
_xlfn.IFS(_xlpm.MyAuditVal&lt;&gt;"",_xlpm.MyAuditVal,_xlpm.MacVal&lt;&gt;"",_xlpm.MacVal,_xlpm.CSVVal&lt;&gt;"",PROPER(_xlpm.CSVVal)
)),"")</f>
        <v/>
      </c>
      <c r="G257" s="54" t="str" cm="1">
        <f t="array" ref="G257">IFERROR(_xlfn.LET(
_xlpm.CSVVal,_xlfn.XLOOKUP($A257,CSV!$A:$A,CSV!F:F,""),
_xlpm.MacVal,_xlfn.XLOOKUP($A257,Output_Mac!$A:$A,Output_Mac!H:H,""),
_xlpm.MyAuditVal,_xlfn.XLOOKUP($A257,My_Audit!$A:$A,My_Audit!F:F,""),
_xlfn.IFS(_xlpm.MyAuditVal&lt;&gt;"",_xlpm.MyAuditVal,_xlpm.MacVal&lt;&gt;"",_xlpm.MacVal,_xlpm.CSVVal&lt;&gt;"",_xlpm.CSVVal
)),"")</f>
        <v/>
      </c>
      <c r="H257" s="54" t="str">
        <f>_xlfn.XLOOKUP(A257,Output_Mac!A:A,Output_Mac!I:I,"")</f>
        <v/>
      </c>
      <c r="I257" s="54" t="str" cm="1">
        <f t="array" ref="I257">IFERROR(_xlfn.LET(
_xlpm.CSVVal,_xlfn.XLOOKUP($A257,CSV!$A:$A,CSV!G:G,""),
_xlpm.MacVal,_xlfn.XLOOKUP($A257,Output_Mac!$A:$A,Output_Mac!J:J,""),
_xlpm.MyAuditVal,_xlfn.XLOOKUP($A257,My_Audit!$A:$A,My_Audit!H:H,""),
_xlfn.IFS(_xlpm.MyAuditVal&lt;&gt;"",UPPER(_xlpm.MyAuditVal),_xlpm.MacVal&lt;&gt;"",_xlpm.MacVal,_xlpm.CSVVal&lt;&gt;"",_xlpm.CSVVal
)),"")</f>
        <v/>
      </c>
      <c r="J257" s="54" t="str" cm="1">
        <f t="array" ref="J257">IFERROR(_xlfn.LET(
_xlpm.CSVVal,_xlfn.XLOOKUP($A257,CSV!$A:$A,CSV!I:I,""),
_xlpm.MacVal,_xlfn.XLOOKUP($A257,Output_Mac!$A:$A,Output_Mac!K:K,""),
_xlpm.MyAuditVal,_xlfn.XLOOKUP($A257,My_Audit!$A:$A,My_Audit!I:I,""),
_xlfn.IFS(_xlpm.MyAuditVal&lt;&gt;"",UPPER(_xlpm.MyAuditVal),_xlpm.MacVal&lt;&gt;"",_xlpm.MacVal,_xlpm.CSVVal&lt;&gt;"",_xlpm.CSVVal
)),"")</f>
        <v/>
      </c>
      <c r="K257" s="54" t="str" cm="1">
        <f t="array" ref="K257">IFERROR(_xlfn.LET(
_xlpm.CSVVal,_xlfn.XLOOKUP($A257,CSV!$A:$A,CSV!M:M,""),
_xlpm.MacVal,_xlfn.XLOOKUP($A257,Output_Mac!$A:$A,Output_Mac!L:L,""),
_xlpm.MyAuditVal,_xlfn.XLOOKUP($A257,My_Audit!$A:$A,My_Audit!J:J,""),
_xlfn.IFS(_xlpm.MyAuditVal&lt;&gt;"",UPPER(_xlpm.MyAuditVal),_xlpm.MacVal&lt;&gt;"",_xlpm.MacVal,_xlpm.CSVVal&lt;&gt;"",_xlpm.CSVVal
)),"")</f>
        <v/>
      </c>
      <c r="L257" s="55" t="str" cm="1">
        <f t="array" ref="L257">IFERROR(_xlfn.LET(
_xlpm.CSVVal,_xlfn.XLOOKUP($A257,CSV!$A:$A,CSV!P:P,""),
_xlpm.MacVal,_xlfn.XLOOKUP($A257,Output_Mac!$A:$A,Output_Mac!M:M,""),
_xlpm.MyAuditVal,_xlfn.XLOOKUP($A257,My_Audit!$A:$A,My_Audit!K:K,""),
_xlfn.IFS(_xlpm.MyAuditVal&lt;&gt;"",UPPER(_xlpm.MyAuditVal),_xlpm.MacVal&lt;&gt;"",_xlpm.MacVal,_xlpm.CSVVal&lt;&gt;"",_xlpm.CSVVal
)),"")</f>
        <v/>
      </c>
      <c r="M257" s="54" t="str">
        <f>_xlfn.LET(
    _xlpm.CSVVal, _xlfn.XLOOKUP($A257, CSV!$A:$A, CSV!AD:AD, ""),
    _xlpm.MacVal, _xlfn.XLOOKUP($A257, Output_Mac!$A:$A, Output_Mac!S:S, ""),
    _xlpm.MyAuditVal, _xlfn.XLOOKUP($A257, My_Audit!$A:$A, My_Audit!N:N, ""),
    _xlfn.TEXTJOIN(", ", TRUE, _xlpm.MyAuditVal, _xlpm.MacVal, _xlpm.CSVVal)
)</f>
        <v/>
      </c>
      <c r="N257" s="54" t="str" cm="1">
        <f t="array" ref="N257">IFERROR(_xlfn.LET(
_xlpm.CSVVal,_xlfn.XLOOKUP($A257,CSV!$A:$A,CSV!AF:AF,""),
_xlpm.MacVal,_xlfn.XLOOKUP($A257,Output_Mac!$A:$A,Output_Mac!U:U,""),
_xlpm.MyAuditVal,_xlfn.XLOOKUP($A257,My_Audit!$A:$A,My_Audit!O:O,""),
_xlfn.IFS(_xlpm.MyAuditVal&lt;&gt;"",UPPER(_xlpm.MyAuditVal),_xlpm.MacVal&lt;&gt;"",_xlpm.MacVal,_xlpm.CSVVal&lt;&gt;"",_xlpm.CSVVal
)),"")</f>
        <v/>
      </c>
      <c r="O257" s="54"/>
      <c r="P257" s="54"/>
      <c r="Q257" s="54"/>
      <c r="R257" s="54"/>
      <c r="S257" s="54"/>
      <c r="T257" s="54"/>
      <c r="U257" s="39"/>
    </row>
    <row r="258" spans="1:21">
      <c r="A258" s="54" t="str">
        <f>_xlfn.TEXTJOIN("",TRUE,Input!$B$2,ROW(My_Audit!A257))</f>
        <v>XX257</v>
      </c>
      <c r="B258" s="54" t="str">
        <f>_xlfn.TEXTJOIN("-",TRUE,"ITD",Input!$A$2,A258)</f>
        <v>ITD-SHRXXX-XX257</v>
      </c>
      <c r="C258" s="54" t="str" cm="1">
        <f t="array" ref="C258">IFERROR(_xlfn.LET(
_xlpm.CSVVal,_xlfn.XLOOKUP($A258,CSV!$A:$A,CSV!B:B,""),
_xlpm.MacVal,_xlfn.XLOOKUP($A258,Output_Mac!$A:$A,Output_Mac!B:B,""),
_xlpm.MyAuditVal,_xlfn.XLOOKUP($A258,My_Audit!$A:$A,My_Audit!B:B,""),
_xlfn.IFS(_xlpm.MyAuditVal&lt;&gt;"",UPPER(_xlpm.MyAuditVal),_xlpm.MacVal&lt;&gt;"",_xlpm.MacVal,_xlpm.CSVVal&lt;&gt;"",_xlpm.CSVVal
)),"")</f>
        <v/>
      </c>
      <c r="D258" s="55" t="str">
        <f>_xlfn.XLOOKUP(A258,My_Audit!A:A,My_Audit!D:D,"")&amp;""</f>
        <v/>
      </c>
      <c r="E258" s="55" t="str" cm="1">
        <f t="array" ref="E258">IFERROR(_xlfn.LET(
_xlpm.CSVVal,_xlfn.XLOOKUP($A258,CSV!$A:$A,CSV!D:D,""),
_xlpm.MacVal,_xlfn.XLOOKUP($A258,Output_Mac!$A:$A,Output_Mac!C:C,""),
_xlpm.MyAuditVal,_xlfn.XLOOKUP($A258,My_Audit!$A:$A,My_Audit!D:D,""),
_xlfn.IFS(_xlpm.MyAuditVal&lt;&gt;"",_xlpm.MyAuditVal,_xlpm.MacVal&lt;&gt;"",_xlpm.MacVal,_xlpm.CSVVal&lt;&gt;"",_xlpm.CSVVal
)),"")</f>
        <v/>
      </c>
      <c r="F258" s="54" t="str" cm="1">
        <f t="array" ref="F258">IFERROR(_xlfn.LET(
_xlpm.CSVVal,_xlfn.XLOOKUP($A258,CSV!$A:$A,CSV!E:E,""),
_xlpm.MacVal,_xlfn.XLOOKUP($A258,Output_Mac!$A:$A,Output_Mac!F:F,""),
_xlpm.MyAuditVal,_xlfn.XLOOKUP($A258,My_Audit!$A:$A,My_Audit!E:E,""),
_xlfn.IFS(_xlpm.MyAuditVal&lt;&gt;"",_xlpm.MyAuditVal,_xlpm.MacVal&lt;&gt;"",_xlpm.MacVal,_xlpm.CSVVal&lt;&gt;"",PROPER(_xlpm.CSVVal)
)),"")</f>
        <v/>
      </c>
      <c r="G258" s="54" t="str" cm="1">
        <f t="array" ref="G258">IFERROR(_xlfn.LET(
_xlpm.CSVVal,_xlfn.XLOOKUP($A258,CSV!$A:$A,CSV!F:F,""),
_xlpm.MacVal,_xlfn.XLOOKUP($A258,Output_Mac!$A:$A,Output_Mac!H:H,""),
_xlpm.MyAuditVal,_xlfn.XLOOKUP($A258,My_Audit!$A:$A,My_Audit!F:F,""),
_xlfn.IFS(_xlpm.MyAuditVal&lt;&gt;"",_xlpm.MyAuditVal,_xlpm.MacVal&lt;&gt;"",_xlpm.MacVal,_xlpm.CSVVal&lt;&gt;"",_xlpm.CSVVal
)),"")</f>
        <v/>
      </c>
      <c r="H258" s="54" t="str">
        <f>_xlfn.XLOOKUP(A258,Output_Mac!A:A,Output_Mac!I:I,"")</f>
        <v/>
      </c>
      <c r="I258" s="54" t="str" cm="1">
        <f t="array" ref="I258">IFERROR(_xlfn.LET(
_xlpm.CSVVal,_xlfn.XLOOKUP($A258,CSV!$A:$A,CSV!G:G,""),
_xlpm.MacVal,_xlfn.XLOOKUP($A258,Output_Mac!$A:$A,Output_Mac!J:J,""),
_xlpm.MyAuditVal,_xlfn.XLOOKUP($A258,My_Audit!$A:$A,My_Audit!H:H,""),
_xlfn.IFS(_xlpm.MyAuditVal&lt;&gt;"",UPPER(_xlpm.MyAuditVal),_xlpm.MacVal&lt;&gt;"",_xlpm.MacVal,_xlpm.CSVVal&lt;&gt;"",_xlpm.CSVVal
)),"")</f>
        <v/>
      </c>
      <c r="J258" s="54" t="str" cm="1">
        <f t="array" ref="J258">IFERROR(_xlfn.LET(
_xlpm.CSVVal,_xlfn.XLOOKUP($A258,CSV!$A:$A,CSV!I:I,""),
_xlpm.MacVal,_xlfn.XLOOKUP($A258,Output_Mac!$A:$A,Output_Mac!K:K,""),
_xlpm.MyAuditVal,_xlfn.XLOOKUP($A258,My_Audit!$A:$A,My_Audit!I:I,""),
_xlfn.IFS(_xlpm.MyAuditVal&lt;&gt;"",UPPER(_xlpm.MyAuditVal),_xlpm.MacVal&lt;&gt;"",_xlpm.MacVal,_xlpm.CSVVal&lt;&gt;"",_xlpm.CSVVal
)),"")</f>
        <v/>
      </c>
      <c r="K258" s="54" t="str" cm="1">
        <f t="array" ref="K258">IFERROR(_xlfn.LET(
_xlpm.CSVVal,_xlfn.XLOOKUP($A258,CSV!$A:$A,CSV!M:M,""),
_xlpm.MacVal,_xlfn.XLOOKUP($A258,Output_Mac!$A:$A,Output_Mac!L:L,""),
_xlpm.MyAuditVal,_xlfn.XLOOKUP($A258,My_Audit!$A:$A,My_Audit!J:J,""),
_xlfn.IFS(_xlpm.MyAuditVal&lt;&gt;"",UPPER(_xlpm.MyAuditVal),_xlpm.MacVal&lt;&gt;"",_xlpm.MacVal,_xlpm.CSVVal&lt;&gt;"",_xlpm.CSVVal
)),"")</f>
        <v/>
      </c>
      <c r="L258" s="55" t="str" cm="1">
        <f t="array" ref="L258">IFERROR(_xlfn.LET(
_xlpm.CSVVal,_xlfn.XLOOKUP($A258,CSV!$A:$A,CSV!P:P,""),
_xlpm.MacVal,_xlfn.XLOOKUP($A258,Output_Mac!$A:$A,Output_Mac!M:M,""),
_xlpm.MyAuditVal,_xlfn.XLOOKUP($A258,My_Audit!$A:$A,My_Audit!K:K,""),
_xlfn.IFS(_xlpm.MyAuditVal&lt;&gt;"",UPPER(_xlpm.MyAuditVal),_xlpm.MacVal&lt;&gt;"",_xlpm.MacVal,_xlpm.CSVVal&lt;&gt;"",_xlpm.CSVVal
)),"")</f>
        <v/>
      </c>
      <c r="M258" s="54" t="str">
        <f>_xlfn.LET(
    _xlpm.CSVVal, _xlfn.XLOOKUP($A258, CSV!$A:$A, CSV!AD:AD, ""),
    _xlpm.MacVal, _xlfn.XLOOKUP($A258, Output_Mac!$A:$A, Output_Mac!S:S, ""),
    _xlpm.MyAuditVal, _xlfn.XLOOKUP($A258, My_Audit!$A:$A, My_Audit!N:N, ""),
    _xlfn.TEXTJOIN(", ", TRUE, _xlpm.MyAuditVal, _xlpm.MacVal, _xlpm.CSVVal)
)</f>
        <v/>
      </c>
      <c r="N258" s="54" t="str" cm="1">
        <f t="array" ref="N258">IFERROR(_xlfn.LET(
_xlpm.CSVVal,_xlfn.XLOOKUP($A258,CSV!$A:$A,CSV!AF:AF,""),
_xlpm.MacVal,_xlfn.XLOOKUP($A258,Output_Mac!$A:$A,Output_Mac!U:U,""),
_xlpm.MyAuditVal,_xlfn.XLOOKUP($A258,My_Audit!$A:$A,My_Audit!O:O,""),
_xlfn.IFS(_xlpm.MyAuditVal&lt;&gt;"",UPPER(_xlpm.MyAuditVal),_xlpm.MacVal&lt;&gt;"",_xlpm.MacVal,_xlpm.CSVVal&lt;&gt;"",_xlpm.CSVVal
)),"")</f>
        <v/>
      </c>
      <c r="O258" s="54"/>
      <c r="P258" s="54"/>
      <c r="Q258" s="54"/>
      <c r="R258" s="54"/>
      <c r="S258" s="54"/>
      <c r="T258" s="54"/>
      <c r="U258" s="39"/>
    </row>
    <row r="259" spans="1:21">
      <c r="A259" s="54" t="str">
        <f>_xlfn.TEXTJOIN("",TRUE,Input!$B$2,ROW(My_Audit!A258))</f>
        <v>XX258</v>
      </c>
      <c r="B259" s="54" t="str">
        <f>_xlfn.TEXTJOIN("-",TRUE,"ITD",Input!$A$2,A259)</f>
        <v>ITD-SHRXXX-XX258</v>
      </c>
      <c r="C259" s="54" t="str" cm="1">
        <f t="array" ref="C259">IFERROR(_xlfn.LET(
_xlpm.CSVVal,_xlfn.XLOOKUP($A259,CSV!$A:$A,CSV!B:B,""),
_xlpm.MacVal,_xlfn.XLOOKUP($A259,Output_Mac!$A:$A,Output_Mac!B:B,""),
_xlpm.MyAuditVal,_xlfn.XLOOKUP($A259,My_Audit!$A:$A,My_Audit!B:B,""),
_xlfn.IFS(_xlpm.MyAuditVal&lt;&gt;"",UPPER(_xlpm.MyAuditVal),_xlpm.MacVal&lt;&gt;"",_xlpm.MacVal,_xlpm.CSVVal&lt;&gt;"",_xlpm.CSVVal
)),"")</f>
        <v/>
      </c>
      <c r="D259" s="55" t="str">
        <f>_xlfn.XLOOKUP(A259,My_Audit!A:A,My_Audit!D:D,"")&amp;""</f>
        <v/>
      </c>
      <c r="E259" s="55" t="str" cm="1">
        <f t="array" ref="E259">IFERROR(_xlfn.LET(
_xlpm.CSVVal,_xlfn.XLOOKUP($A259,CSV!$A:$A,CSV!D:D,""),
_xlpm.MacVal,_xlfn.XLOOKUP($A259,Output_Mac!$A:$A,Output_Mac!C:C,""),
_xlpm.MyAuditVal,_xlfn.XLOOKUP($A259,My_Audit!$A:$A,My_Audit!D:D,""),
_xlfn.IFS(_xlpm.MyAuditVal&lt;&gt;"",_xlpm.MyAuditVal,_xlpm.MacVal&lt;&gt;"",_xlpm.MacVal,_xlpm.CSVVal&lt;&gt;"",_xlpm.CSVVal
)),"")</f>
        <v/>
      </c>
      <c r="F259" s="54" t="str" cm="1">
        <f t="array" ref="F259">IFERROR(_xlfn.LET(
_xlpm.CSVVal,_xlfn.XLOOKUP($A259,CSV!$A:$A,CSV!E:E,""),
_xlpm.MacVal,_xlfn.XLOOKUP($A259,Output_Mac!$A:$A,Output_Mac!F:F,""),
_xlpm.MyAuditVal,_xlfn.XLOOKUP($A259,My_Audit!$A:$A,My_Audit!E:E,""),
_xlfn.IFS(_xlpm.MyAuditVal&lt;&gt;"",_xlpm.MyAuditVal,_xlpm.MacVal&lt;&gt;"",_xlpm.MacVal,_xlpm.CSVVal&lt;&gt;"",PROPER(_xlpm.CSVVal)
)),"")</f>
        <v/>
      </c>
      <c r="G259" s="54" t="str" cm="1">
        <f t="array" ref="G259">IFERROR(_xlfn.LET(
_xlpm.CSVVal,_xlfn.XLOOKUP($A259,CSV!$A:$A,CSV!F:F,""),
_xlpm.MacVal,_xlfn.XLOOKUP($A259,Output_Mac!$A:$A,Output_Mac!H:H,""),
_xlpm.MyAuditVal,_xlfn.XLOOKUP($A259,My_Audit!$A:$A,My_Audit!F:F,""),
_xlfn.IFS(_xlpm.MyAuditVal&lt;&gt;"",_xlpm.MyAuditVal,_xlpm.MacVal&lt;&gt;"",_xlpm.MacVal,_xlpm.CSVVal&lt;&gt;"",_xlpm.CSVVal
)),"")</f>
        <v/>
      </c>
      <c r="H259" s="54" t="str">
        <f>_xlfn.XLOOKUP(A259,Output_Mac!A:A,Output_Mac!I:I,"")</f>
        <v/>
      </c>
      <c r="I259" s="54" t="str" cm="1">
        <f t="array" ref="I259">IFERROR(_xlfn.LET(
_xlpm.CSVVal,_xlfn.XLOOKUP($A259,CSV!$A:$A,CSV!G:G,""),
_xlpm.MacVal,_xlfn.XLOOKUP($A259,Output_Mac!$A:$A,Output_Mac!J:J,""),
_xlpm.MyAuditVal,_xlfn.XLOOKUP($A259,My_Audit!$A:$A,My_Audit!H:H,""),
_xlfn.IFS(_xlpm.MyAuditVal&lt;&gt;"",UPPER(_xlpm.MyAuditVal),_xlpm.MacVal&lt;&gt;"",_xlpm.MacVal,_xlpm.CSVVal&lt;&gt;"",_xlpm.CSVVal
)),"")</f>
        <v/>
      </c>
      <c r="J259" s="54" t="str" cm="1">
        <f t="array" ref="J259">IFERROR(_xlfn.LET(
_xlpm.CSVVal,_xlfn.XLOOKUP($A259,CSV!$A:$A,CSV!I:I,""),
_xlpm.MacVal,_xlfn.XLOOKUP($A259,Output_Mac!$A:$A,Output_Mac!K:K,""),
_xlpm.MyAuditVal,_xlfn.XLOOKUP($A259,My_Audit!$A:$A,My_Audit!I:I,""),
_xlfn.IFS(_xlpm.MyAuditVal&lt;&gt;"",UPPER(_xlpm.MyAuditVal),_xlpm.MacVal&lt;&gt;"",_xlpm.MacVal,_xlpm.CSVVal&lt;&gt;"",_xlpm.CSVVal
)),"")</f>
        <v/>
      </c>
      <c r="K259" s="54" t="str" cm="1">
        <f t="array" ref="K259">IFERROR(_xlfn.LET(
_xlpm.CSVVal,_xlfn.XLOOKUP($A259,CSV!$A:$A,CSV!M:M,""),
_xlpm.MacVal,_xlfn.XLOOKUP($A259,Output_Mac!$A:$A,Output_Mac!L:L,""),
_xlpm.MyAuditVal,_xlfn.XLOOKUP($A259,My_Audit!$A:$A,My_Audit!J:J,""),
_xlfn.IFS(_xlpm.MyAuditVal&lt;&gt;"",UPPER(_xlpm.MyAuditVal),_xlpm.MacVal&lt;&gt;"",_xlpm.MacVal,_xlpm.CSVVal&lt;&gt;"",_xlpm.CSVVal
)),"")</f>
        <v/>
      </c>
      <c r="L259" s="55" t="str" cm="1">
        <f t="array" ref="L259">IFERROR(_xlfn.LET(
_xlpm.CSVVal,_xlfn.XLOOKUP($A259,CSV!$A:$A,CSV!P:P,""),
_xlpm.MacVal,_xlfn.XLOOKUP($A259,Output_Mac!$A:$A,Output_Mac!M:M,""),
_xlpm.MyAuditVal,_xlfn.XLOOKUP($A259,My_Audit!$A:$A,My_Audit!K:K,""),
_xlfn.IFS(_xlpm.MyAuditVal&lt;&gt;"",UPPER(_xlpm.MyAuditVal),_xlpm.MacVal&lt;&gt;"",_xlpm.MacVal,_xlpm.CSVVal&lt;&gt;"",_xlpm.CSVVal
)),"")</f>
        <v/>
      </c>
      <c r="M259" s="54" t="str">
        <f>_xlfn.LET(
    _xlpm.CSVVal, _xlfn.XLOOKUP($A259, CSV!$A:$A, CSV!AD:AD, ""),
    _xlpm.MacVal, _xlfn.XLOOKUP($A259, Output_Mac!$A:$A, Output_Mac!S:S, ""),
    _xlpm.MyAuditVal, _xlfn.XLOOKUP($A259, My_Audit!$A:$A, My_Audit!N:N, ""),
    _xlfn.TEXTJOIN(", ", TRUE, _xlpm.MyAuditVal, _xlpm.MacVal, _xlpm.CSVVal)
)</f>
        <v/>
      </c>
      <c r="N259" s="54" t="str" cm="1">
        <f t="array" ref="N259">IFERROR(_xlfn.LET(
_xlpm.CSVVal,_xlfn.XLOOKUP($A259,CSV!$A:$A,CSV!AF:AF,""),
_xlpm.MacVal,_xlfn.XLOOKUP($A259,Output_Mac!$A:$A,Output_Mac!U:U,""),
_xlpm.MyAuditVal,_xlfn.XLOOKUP($A259,My_Audit!$A:$A,My_Audit!O:O,""),
_xlfn.IFS(_xlpm.MyAuditVal&lt;&gt;"",UPPER(_xlpm.MyAuditVal),_xlpm.MacVal&lt;&gt;"",_xlpm.MacVal,_xlpm.CSVVal&lt;&gt;"",_xlpm.CSVVal
)),"")</f>
        <v/>
      </c>
      <c r="O259" s="54"/>
      <c r="P259" s="54"/>
      <c r="Q259" s="54"/>
      <c r="R259" s="54"/>
      <c r="S259" s="54"/>
      <c r="T259" s="54"/>
      <c r="U259" s="39"/>
    </row>
    <row r="260" spans="1:21">
      <c r="A260" s="54" t="str">
        <f>_xlfn.TEXTJOIN("",TRUE,Input!$B$2,ROW(My_Audit!A259))</f>
        <v>XX259</v>
      </c>
      <c r="B260" s="54" t="str">
        <f>_xlfn.TEXTJOIN("-",TRUE,"ITD",Input!$A$2,A260)</f>
        <v>ITD-SHRXXX-XX259</v>
      </c>
      <c r="C260" s="54" t="str" cm="1">
        <f t="array" ref="C260">IFERROR(_xlfn.LET(
_xlpm.CSVVal,_xlfn.XLOOKUP($A260,CSV!$A:$A,CSV!B:B,""),
_xlpm.MacVal,_xlfn.XLOOKUP($A260,Output_Mac!$A:$A,Output_Mac!B:B,""),
_xlpm.MyAuditVal,_xlfn.XLOOKUP($A260,My_Audit!$A:$A,My_Audit!B:B,""),
_xlfn.IFS(_xlpm.MyAuditVal&lt;&gt;"",UPPER(_xlpm.MyAuditVal),_xlpm.MacVal&lt;&gt;"",_xlpm.MacVal,_xlpm.CSVVal&lt;&gt;"",_xlpm.CSVVal
)),"")</f>
        <v/>
      </c>
      <c r="D260" s="55" t="str">
        <f>_xlfn.XLOOKUP(A260,My_Audit!A:A,My_Audit!D:D,"")&amp;""</f>
        <v/>
      </c>
      <c r="E260" s="55" t="str" cm="1">
        <f t="array" ref="E260">IFERROR(_xlfn.LET(
_xlpm.CSVVal,_xlfn.XLOOKUP($A260,CSV!$A:$A,CSV!D:D,""),
_xlpm.MacVal,_xlfn.XLOOKUP($A260,Output_Mac!$A:$A,Output_Mac!C:C,""),
_xlpm.MyAuditVal,_xlfn.XLOOKUP($A260,My_Audit!$A:$A,My_Audit!D:D,""),
_xlfn.IFS(_xlpm.MyAuditVal&lt;&gt;"",_xlpm.MyAuditVal,_xlpm.MacVal&lt;&gt;"",_xlpm.MacVal,_xlpm.CSVVal&lt;&gt;"",_xlpm.CSVVal
)),"")</f>
        <v/>
      </c>
      <c r="F260" s="54" t="str" cm="1">
        <f t="array" ref="F260">IFERROR(_xlfn.LET(
_xlpm.CSVVal,_xlfn.XLOOKUP($A260,CSV!$A:$A,CSV!E:E,""),
_xlpm.MacVal,_xlfn.XLOOKUP($A260,Output_Mac!$A:$A,Output_Mac!F:F,""),
_xlpm.MyAuditVal,_xlfn.XLOOKUP($A260,My_Audit!$A:$A,My_Audit!E:E,""),
_xlfn.IFS(_xlpm.MyAuditVal&lt;&gt;"",_xlpm.MyAuditVal,_xlpm.MacVal&lt;&gt;"",_xlpm.MacVal,_xlpm.CSVVal&lt;&gt;"",PROPER(_xlpm.CSVVal)
)),"")</f>
        <v/>
      </c>
      <c r="G260" s="54" t="str" cm="1">
        <f t="array" ref="G260">IFERROR(_xlfn.LET(
_xlpm.CSVVal,_xlfn.XLOOKUP($A260,CSV!$A:$A,CSV!F:F,""),
_xlpm.MacVal,_xlfn.XLOOKUP($A260,Output_Mac!$A:$A,Output_Mac!H:H,""),
_xlpm.MyAuditVal,_xlfn.XLOOKUP($A260,My_Audit!$A:$A,My_Audit!F:F,""),
_xlfn.IFS(_xlpm.MyAuditVal&lt;&gt;"",_xlpm.MyAuditVal,_xlpm.MacVal&lt;&gt;"",_xlpm.MacVal,_xlpm.CSVVal&lt;&gt;"",_xlpm.CSVVal
)),"")</f>
        <v/>
      </c>
      <c r="H260" s="54" t="str">
        <f>_xlfn.XLOOKUP(A260,Output_Mac!A:A,Output_Mac!I:I,"")</f>
        <v/>
      </c>
      <c r="I260" s="54" t="str" cm="1">
        <f t="array" ref="I260">IFERROR(_xlfn.LET(
_xlpm.CSVVal,_xlfn.XLOOKUP($A260,CSV!$A:$A,CSV!G:G,""),
_xlpm.MacVal,_xlfn.XLOOKUP($A260,Output_Mac!$A:$A,Output_Mac!J:J,""),
_xlpm.MyAuditVal,_xlfn.XLOOKUP($A260,My_Audit!$A:$A,My_Audit!H:H,""),
_xlfn.IFS(_xlpm.MyAuditVal&lt;&gt;"",UPPER(_xlpm.MyAuditVal),_xlpm.MacVal&lt;&gt;"",_xlpm.MacVal,_xlpm.CSVVal&lt;&gt;"",_xlpm.CSVVal
)),"")</f>
        <v/>
      </c>
      <c r="J260" s="54" t="str" cm="1">
        <f t="array" ref="J260">IFERROR(_xlfn.LET(
_xlpm.CSVVal,_xlfn.XLOOKUP($A260,CSV!$A:$A,CSV!I:I,""),
_xlpm.MacVal,_xlfn.XLOOKUP($A260,Output_Mac!$A:$A,Output_Mac!K:K,""),
_xlpm.MyAuditVal,_xlfn.XLOOKUP($A260,My_Audit!$A:$A,My_Audit!I:I,""),
_xlfn.IFS(_xlpm.MyAuditVal&lt;&gt;"",UPPER(_xlpm.MyAuditVal),_xlpm.MacVal&lt;&gt;"",_xlpm.MacVal,_xlpm.CSVVal&lt;&gt;"",_xlpm.CSVVal
)),"")</f>
        <v/>
      </c>
      <c r="K260" s="54" t="str" cm="1">
        <f t="array" ref="K260">IFERROR(_xlfn.LET(
_xlpm.CSVVal,_xlfn.XLOOKUP($A260,CSV!$A:$A,CSV!M:M,""),
_xlpm.MacVal,_xlfn.XLOOKUP($A260,Output_Mac!$A:$A,Output_Mac!L:L,""),
_xlpm.MyAuditVal,_xlfn.XLOOKUP($A260,My_Audit!$A:$A,My_Audit!J:J,""),
_xlfn.IFS(_xlpm.MyAuditVal&lt;&gt;"",UPPER(_xlpm.MyAuditVal),_xlpm.MacVal&lt;&gt;"",_xlpm.MacVal,_xlpm.CSVVal&lt;&gt;"",_xlpm.CSVVal
)),"")</f>
        <v/>
      </c>
      <c r="L260" s="55" t="str" cm="1">
        <f t="array" ref="L260">IFERROR(_xlfn.LET(
_xlpm.CSVVal,_xlfn.XLOOKUP($A260,CSV!$A:$A,CSV!P:P,""),
_xlpm.MacVal,_xlfn.XLOOKUP($A260,Output_Mac!$A:$A,Output_Mac!M:M,""),
_xlpm.MyAuditVal,_xlfn.XLOOKUP($A260,My_Audit!$A:$A,My_Audit!K:K,""),
_xlfn.IFS(_xlpm.MyAuditVal&lt;&gt;"",UPPER(_xlpm.MyAuditVal),_xlpm.MacVal&lt;&gt;"",_xlpm.MacVal,_xlpm.CSVVal&lt;&gt;"",_xlpm.CSVVal
)),"")</f>
        <v/>
      </c>
      <c r="M260" s="54" t="str">
        <f>_xlfn.LET(
    _xlpm.CSVVal, _xlfn.XLOOKUP($A260, CSV!$A:$A, CSV!AD:AD, ""),
    _xlpm.MacVal, _xlfn.XLOOKUP($A260, Output_Mac!$A:$A, Output_Mac!S:S, ""),
    _xlpm.MyAuditVal, _xlfn.XLOOKUP($A260, My_Audit!$A:$A, My_Audit!N:N, ""),
    _xlfn.TEXTJOIN(", ", TRUE, _xlpm.MyAuditVal, _xlpm.MacVal, _xlpm.CSVVal)
)</f>
        <v/>
      </c>
      <c r="N260" s="54" t="str" cm="1">
        <f t="array" ref="N260">IFERROR(_xlfn.LET(
_xlpm.CSVVal,_xlfn.XLOOKUP($A260,CSV!$A:$A,CSV!AF:AF,""),
_xlpm.MacVal,_xlfn.XLOOKUP($A260,Output_Mac!$A:$A,Output_Mac!U:U,""),
_xlpm.MyAuditVal,_xlfn.XLOOKUP($A260,My_Audit!$A:$A,My_Audit!O:O,""),
_xlfn.IFS(_xlpm.MyAuditVal&lt;&gt;"",UPPER(_xlpm.MyAuditVal),_xlpm.MacVal&lt;&gt;"",_xlpm.MacVal,_xlpm.CSVVal&lt;&gt;"",_xlpm.CSVVal
)),"")</f>
        <v/>
      </c>
      <c r="O260" s="54"/>
      <c r="P260" s="54"/>
      <c r="Q260" s="54"/>
      <c r="R260" s="54"/>
      <c r="S260" s="54"/>
      <c r="T260" s="54"/>
      <c r="U260" s="39"/>
    </row>
    <row r="261" spans="1:21">
      <c r="A261" s="54" t="str">
        <f>_xlfn.TEXTJOIN("",TRUE,Input!$B$2,ROW(My_Audit!A260))</f>
        <v>XX260</v>
      </c>
      <c r="B261" s="54" t="str">
        <f>_xlfn.TEXTJOIN("-",TRUE,"ITD",Input!$A$2,A261)</f>
        <v>ITD-SHRXXX-XX260</v>
      </c>
      <c r="C261" s="54" t="str" cm="1">
        <f t="array" ref="C261">IFERROR(_xlfn.LET(
_xlpm.CSVVal,_xlfn.XLOOKUP($A261,CSV!$A:$A,CSV!B:B,""),
_xlpm.MacVal,_xlfn.XLOOKUP($A261,Output_Mac!$A:$A,Output_Mac!B:B,""),
_xlpm.MyAuditVal,_xlfn.XLOOKUP($A261,My_Audit!$A:$A,My_Audit!B:B,""),
_xlfn.IFS(_xlpm.MyAuditVal&lt;&gt;"",UPPER(_xlpm.MyAuditVal),_xlpm.MacVal&lt;&gt;"",_xlpm.MacVal,_xlpm.CSVVal&lt;&gt;"",_xlpm.CSVVal
)),"")</f>
        <v/>
      </c>
      <c r="D261" s="55" t="str">
        <f>_xlfn.XLOOKUP(A261,My_Audit!A:A,My_Audit!D:D,"")&amp;""</f>
        <v/>
      </c>
      <c r="E261" s="55" t="str" cm="1">
        <f t="array" ref="E261">IFERROR(_xlfn.LET(
_xlpm.CSVVal,_xlfn.XLOOKUP($A261,CSV!$A:$A,CSV!D:D,""),
_xlpm.MacVal,_xlfn.XLOOKUP($A261,Output_Mac!$A:$A,Output_Mac!C:C,""),
_xlpm.MyAuditVal,_xlfn.XLOOKUP($A261,My_Audit!$A:$A,My_Audit!D:D,""),
_xlfn.IFS(_xlpm.MyAuditVal&lt;&gt;"",_xlpm.MyAuditVal,_xlpm.MacVal&lt;&gt;"",_xlpm.MacVal,_xlpm.CSVVal&lt;&gt;"",_xlpm.CSVVal
)),"")</f>
        <v/>
      </c>
      <c r="F261" s="54" t="str" cm="1">
        <f t="array" ref="F261">IFERROR(_xlfn.LET(
_xlpm.CSVVal,_xlfn.XLOOKUP($A261,CSV!$A:$A,CSV!E:E,""),
_xlpm.MacVal,_xlfn.XLOOKUP($A261,Output_Mac!$A:$A,Output_Mac!F:F,""),
_xlpm.MyAuditVal,_xlfn.XLOOKUP($A261,My_Audit!$A:$A,My_Audit!E:E,""),
_xlfn.IFS(_xlpm.MyAuditVal&lt;&gt;"",_xlpm.MyAuditVal,_xlpm.MacVal&lt;&gt;"",_xlpm.MacVal,_xlpm.CSVVal&lt;&gt;"",PROPER(_xlpm.CSVVal)
)),"")</f>
        <v/>
      </c>
      <c r="G261" s="54" t="str" cm="1">
        <f t="array" ref="G261">IFERROR(_xlfn.LET(
_xlpm.CSVVal,_xlfn.XLOOKUP($A261,CSV!$A:$A,CSV!F:F,""),
_xlpm.MacVal,_xlfn.XLOOKUP($A261,Output_Mac!$A:$A,Output_Mac!H:H,""),
_xlpm.MyAuditVal,_xlfn.XLOOKUP($A261,My_Audit!$A:$A,My_Audit!F:F,""),
_xlfn.IFS(_xlpm.MyAuditVal&lt;&gt;"",_xlpm.MyAuditVal,_xlpm.MacVal&lt;&gt;"",_xlpm.MacVal,_xlpm.CSVVal&lt;&gt;"",_xlpm.CSVVal
)),"")</f>
        <v/>
      </c>
      <c r="H261" s="54" t="str">
        <f>_xlfn.XLOOKUP(A261,Output_Mac!A:A,Output_Mac!I:I,"")</f>
        <v/>
      </c>
      <c r="I261" s="54" t="str" cm="1">
        <f t="array" ref="I261">IFERROR(_xlfn.LET(
_xlpm.CSVVal,_xlfn.XLOOKUP($A261,CSV!$A:$A,CSV!G:G,""),
_xlpm.MacVal,_xlfn.XLOOKUP($A261,Output_Mac!$A:$A,Output_Mac!J:J,""),
_xlpm.MyAuditVal,_xlfn.XLOOKUP($A261,My_Audit!$A:$A,My_Audit!H:H,""),
_xlfn.IFS(_xlpm.MyAuditVal&lt;&gt;"",UPPER(_xlpm.MyAuditVal),_xlpm.MacVal&lt;&gt;"",_xlpm.MacVal,_xlpm.CSVVal&lt;&gt;"",_xlpm.CSVVal
)),"")</f>
        <v/>
      </c>
      <c r="J261" s="54" t="str" cm="1">
        <f t="array" ref="J261">IFERROR(_xlfn.LET(
_xlpm.CSVVal,_xlfn.XLOOKUP($A261,CSV!$A:$A,CSV!I:I,""),
_xlpm.MacVal,_xlfn.XLOOKUP($A261,Output_Mac!$A:$A,Output_Mac!K:K,""),
_xlpm.MyAuditVal,_xlfn.XLOOKUP($A261,My_Audit!$A:$A,My_Audit!I:I,""),
_xlfn.IFS(_xlpm.MyAuditVal&lt;&gt;"",UPPER(_xlpm.MyAuditVal),_xlpm.MacVal&lt;&gt;"",_xlpm.MacVal,_xlpm.CSVVal&lt;&gt;"",_xlpm.CSVVal
)),"")</f>
        <v/>
      </c>
      <c r="K261" s="54" t="str" cm="1">
        <f t="array" ref="K261">IFERROR(_xlfn.LET(
_xlpm.CSVVal,_xlfn.XLOOKUP($A261,CSV!$A:$A,CSV!M:M,""),
_xlpm.MacVal,_xlfn.XLOOKUP($A261,Output_Mac!$A:$A,Output_Mac!L:L,""),
_xlpm.MyAuditVal,_xlfn.XLOOKUP($A261,My_Audit!$A:$A,My_Audit!J:J,""),
_xlfn.IFS(_xlpm.MyAuditVal&lt;&gt;"",UPPER(_xlpm.MyAuditVal),_xlpm.MacVal&lt;&gt;"",_xlpm.MacVal,_xlpm.CSVVal&lt;&gt;"",_xlpm.CSVVal
)),"")</f>
        <v/>
      </c>
      <c r="L261" s="55" t="str" cm="1">
        <f t="array" ref="L261">IFERROR(_xlfn.LET(
_xlpm.CSVVal,_xlfn.XLOOKUP($A261,CSV!$A:$A,CSV!P:P,""),
_xlpm.MacVal,_xlfn.XLOOKUP($A261,Output_Mac!$A:$A,Output_Mac!M:M,""),
_xlpm.MyAuditVal,_xlfn.XLOOKUP($A261,My_Audit!$A:$A,My_Audit!K:K,""),
_xlfn.IFS(_xlpm.MyAuditVal&lt;&gt;"",UPPER(_xlpm.MyAuditVal),_xlpm.MacVal&lt;&gt;"",_xlpm.MacVal,_xlpm.CSVVal&lt;&gt;"",_xlpm.CSVVal
)),"")</f>
        <v/>
      </c>
      <c r="M261" s="54" t="str">
        <f>_xlfn.LET(
    _xlpm.CSVVal, _xlfn.XLOOKUP($A261, CSV!$A:$A, CSV!AD:AD, ""),
    _xlpm.MacVal, _xlfn.XLOOKUP($A261, Output_Mac!$A:$A, Output_Mac!S:S, ""),
    _xlpm.MyAuditVal, _xlfn.XLOOKUP($A261, My_Audit!$A:$A, My_Audit!N:N, ""),
    _xlfn.TEXTJOIN(", ", TRUE, _xlpm.MyAuditVal, _xlpm.MacVal, _xlpm.CSVVal)
)</f>
        <v/>
      </c>
      <c r="N261" s="54" t="str" cm="1">
        <f t="array" ref="N261">IFERROR(_xlfn.LET(
_xlpm.CSVVal,_xlfn.XLOOKUP($A261,CSV!$A:$A,CSV!AF:AF,""),
_xlpm.MacVal,_xlfn.XLOOKUP($A261,Output_Mac!$A:$A,Output_Mac!U:U,""),
_xlpm.MyAuditVal,_xlfn.XLOOKUP($A261,My_Audit!$A:$A,My_Audit!O:O,""),
_xlfn.IFS(_xlpm.MyAuditVal&lt;&gt;"",UPPER(_xlpm.MyAuditVal),_xlpm.MacVal&lt;&gt;"",_xlpm.MacVal,_xlpm.CSVVal&lt;&gt;"",_xlpm.CSVVal
)),"")</f>
        <v/>
      </c>
      <c r="O261" s="54"/>
      <c r="P261" s="54"/>
      <c r="Q261" s="54"/>
      <c r="R261" s="54"/>
      <c r="S261" s="54"/>
      <c r="T261" s="54"/>
      <c r="U261" s="39"/>
    </row>
    <row r="262" spans="1:21">
      <c r="A262" s="54" t="str">
        <f>_xlfn.TEXTJOIN("",TRUE,Input!$B$2,ROW(My_Audit!A261))</f>
        <v>XX261</v>
      </c>
      <c r="B262" s="54" t="str">
        <f>_xlfn.TEXTJOIN("-",TRUE,"ITD",Input!$A$2,A262)</f>
        <v>ITD-SHRXXX-XX261</v>
      </c>
      <c r="C262" s="54" t="str" cm="1">
        <f t="array" ref="C262">IFERROR(_xlfn.LET(
_xlpm.CSVVal,_xlfn.XLOOKUP($A262,CSV!$A:$A,CSV!B:B,""),
_xlpm.MacVal,_xlfn.XLOOKUP($A262,Output_Mac!$A:$A,Output_Mac!B:B,""),
_xlpm.MyAuditVal,_xlfn.XLOOKUP($A262,My_Audit!$A:$A,My_Audit!B:B,""),
_xlfn.IFS(_xlpm.MyAuditVal&lt;&gt;"",UPPER(_xlpm.MyAuditVal),_xlpm.MacVal&lt;&gt;"",_xlpm.MacVal,_xlpm.CSVVal&lt;&gt;"",_xlpm.CSVVal
)),"")</f>
        <v/>
      </c>
      <c r="D262" s="55" t="str">
        <f>_xlfn.XLOOKUP(A262,My_Audit!A:A,My_Audit!D:D,"")&amp;""</f>
        <v/>
      </c>
      <c r="E262" s="55" t="str" cm="1">
        <f t="array" ref="E262">IFERROR(_xlfn.LET(
_xlpm.CSVVal,_xlfn.XLOOKUP($A262,CSV!$A:$A,CSV!D:D,""),
_xlpm.MacVal,_xlfn.XLOOKUP($A262,Output_Mac!$A:$A,Output_Mac!C:C,""),
_xlpm.MyAuditVal,_xlfn.XLOOKUP($A262,My_Audit!$A:$A,My_Audit!D:D,""),
_xlfn.IFS(_xlpm.MyAuditVal&lt;&gt;"",_xlpm.MyAuditVal,_xlpm.MacVal&lt;&gt;"",_xlpm.MacVal,_xlpm.CSVVal&lt;&gt;"",_xlpm.CSVVal
)),"")</f>
        <v/>
      </c>
      <c r="F262" s="54" t="str" cm="1">
        <f t="array" ref="F262">IFERROR(_xlfn.LET(
_xlpm.CSVVal,_xlfn.XLOOKUP($A262,CSV!$A:$A,CSV!E:E,""),
_xlpm.MacVal,_xlfn.XLOOKUP($A262,Output_Mac!$A:$A,Output_Mac!F:F,""),
_xlpm.MyAuditVal,_xlfn.XLOOKUP($A262,My_Audit!$A:$A,My_Audit!E:E,""),
_xlfn.IFS(_xlpm.MyAuditVal&lt;&gt;"",_xlpm.MyAuditVal,_xlpm.MacVal&lt;&gt;"",_xlpm.MacVal,_xlpm.CSVVal&lt;&gt;"",PROPER(_xlpm.CSVVal)
)),"")</f>
        <v/>
      </c>
      <c r="G262" s="54" t="str" cm="1">
        <f t="array" ref="G262">IFERROR(_xlfn.LET(
_xlpm.CSVVal,_xlfn.XLOOKUP($A262,CSV!$A:$A,CSV!F:F,""),
_xlpm.MacVal,_xlfn.XLOOKUP($A262,Output_Mac!$A:$A,Output_Mac!H:H,""),
_xlpm.MyAuditVal,_xlfn.XLOOKUP($A262,My_Audit!$A:$A,My_Audit!F:F,""),
_xlfn.IFS(_xlpm.MyAuditVal&lt;&gt;"",_xlpm.MyAuditVal,_xlpm.MacVal&lt;&gt;"",_xlpm.MacVal,_xlpm.CSVVal&lt;&gt;"",_xlpm.CSVVal
)),"")</f>
        <v/>
      </c>
      <c r="H262" s="54" t="str">
        <f>_xlfn.XLOOKUP(A262,Output_Mac!A:A,Output_Mac!I:I,"")</f>
        <v/>
      </c>
      <c r="I262" s="54" t="str" cm="1">
        <f t="array" ref="I262">IFERROR(_xlfn.LET(
_xlpm.CSVVal,_xlfn.XLOOKUP($A262,CSV!$A:$A,CSV!G:G,""),
_xlpm.MacVal,_xlfn.XLOOKUP($A262,Output_Mac!$A:$A,Output_Mac!J:J,""),
_xlpm.MyAuditVal,_xlfn.XLOOKUP($A262,My_Audit!$A:$A,My_Audit!H:H,""),
_xlfn.IFS(_xlpm.MyAuditVal&lt;&gt;"",UPPER(_xlpm.MyAuditVal),_xlpm.MacVal&lt;&gt;"",_xlpm.MacVal,_xlpm.CSVVal&lt;&gt;"",_xlpm.CSVVal
)),"")</f>
        <v/>
      </c>
      <c r="J262" s="54" t="str" cm="1">
        <f t="array" ref="J262">IFERROR(_xlfn.LET(
_xlpm.CSVVal,_xlfn.XLOOKUP($A262,CSV!$A:$A,CSV!I:I,""),
_xlpm.MacVal,_xlfn.XLOOKUP($A262,Output_Mac!$A:$A,Output_Mac!K:K,""),
_xlpm.MyAuditVal,_xlfn.XLOOKUP($A262,My_Audit!$A:$A,My_Audit!I:I,""),
_xlfn.IFS(_xlpm.MyAuditVal&lt;&gt;"",UPPER(_xlpm.MyAuditVal),_xlpm.MacVal&lt;&gt;"",_xlpm.MacVal,_xlpm.CSVVal&lt;&gt;"",_xlpm.CSVVal
)),"")</f>
        <v/>
      </c>
      <c r="K262" s="54" t="str" cm="1">
        <f t="array" ref="K262">IFERROR(_xlfn.LET(
_xlpm.CSVVal,_xlfn.XLOOKUP($A262,CSV!$A:$A,CSV!M:M,""),
_xlpm.MacVal,_xlfn.XLOOKUP($A262,Output_Mac!$A:$A,Output_Mac!L:L,""),
_xlpm.MyAuditVal,_xlfn.XLOOKUP($A262,My_Audit!$A:$A,My_Audit!J:J,""),
_xlfn.IFS(_xlpm.MyAuditVal&lt;&gt;"",UPPER(_xlpm.MyAuditVal),_xlpm.MacVal&lt;&gt;"",_xlpm.MacVal,_xlpm.CSVVal&lt;&gt;"",_xlpm.CSVVal
)),"")</f>
        <v/>
      </c>
      <c r="L262" s="55" t="str" cm="1">
        <f t="array" ref="L262">IFERROR(_xlfn.LET(
_xlpm.CSVVal,_xlfn.XLOOKUP($A262,CSV!$A:$A,CSV!P:P,""),
_xlpm.MacVal,_xlfn.XLOOKUP($A262,Output_Mac!$A:$A,Output_Mac!M:M,""),
_xlpm.MyAuditVal,_xlfn.XLOOKUP($A262,My_Audit!$A:$A,My_Audit!K:K,""),
_xlfn.IFS(_xlpm.MyAuditVal&lt;&gt;"",UPPER(_xlpm.MyAuditVal),_xlpm.MacVal&lt;&gt;"",_xlpm.MacVal,_xlpm.CSVVal&lt;&gt;"",_xlpm.CSVVal
)),"")</f>
        <v/>
      </c>
      <c r="M262" s="54" t="str">
        <f>_xlfn.LET(
    _xlpm.CSVVal, _xlfn.XLOOKUP($A262, CSV!$A:$A, CSV!AD:AD, ""),
    _xlpm.MacVal, _xlfn.XLOOKUP($A262, Output_Mac!$A:$A, Output_Mac!S:S, ""),
    _xlpm.MyAuditVal, _xlfn.XLOOKUP($A262, My_Audit!$A:$A, My_Audit!N:N, ""),
    _xlfn.TEXTJOIN(", ", TRUE, _xlpm.MyAuditVal, _xlpm.MacVal, _xlpm.CSVVal)
)</f>
        <v/>
      </c>
      <c r="N262" s="54" t="str" cm="1">
        <f t="array" ref="N262">IFERROR(_xlfn.LET(
_xlpm.CSVVal,_xlfn.XLOOKUP($A262,CSV!$A:$A,CSV!AF:AF,""),
_xlpm.MacVal,_xlfn.XLOOKUP($A262,Output_Mac!$A:$A,Output_Mac!U:U,""),
_xlpm.MyAuditVal,_xlfn.XLOOKUP($A262,My_Audit!$A:$A,My_Audit!O:O,""),
_xlfn.IFS(_xlpm.MyAuditVal&lt;&gt;"",UPPER(_xlpm.MyAuditVal),_xlpm.MacVal&lt;&gt;"",_xlpm.MacVal,_xlpm.CSVVal&lt;&gt;"",_xlpm.CSVVal
)),"")</f>
        <v/>
      </c>
      <c r="O262" s="54"/>
      <c r="P262" s="54"/>
      <c r="Q262" s="54"/>
      <c r="R262" s="54"/>
      <c r="S262" s="54"/>
      <c r="T262" s="54"/>
      <c r="U262" s="39"/>
    </row>
    <row r="263" spans="1:21">
      <c r="A263" s="54" t="str">
        <f>_xlfn.TEXTJOIN("",TRUE,Input!$B$2,ROW(My_Audit!A262))</f>
        <v>XX262</v>
      </c>
      <c r="B263" s="54" t="str">
        <f>_xlfn.TEXTJOIN("-",TRUE,"ITD",Input!$A$2,A263)</f>
        <v>ITD-SHRXXX-XX262</v>
      </c>
      <c r="C263" s="54" t="str" cm="1">
        <f t="array" ref="C263">IFERROR(_xlfn.LET(
_xlpm.CSVVal,_xlfn.XLOOKUP($A263,CSV!$A:$A,CSV!B:B,""),
_xlpm.MacVal,_xlfn.XLOOKUP($A263,Output_Mac!$A:$A,Output_Mac!B:B,""),
_xlpm.MyAuditVal,_xlfn.XLOOKUP($A263,My_Audit!$A:$A,My_Audit!B:B,""),
_xlfn.IFS(_xlpm.MyAuditVal&lt;&gt;"",UPPER(_xlpm.MyAuditVal),_xlpm.MacVal&lt;&gt;"",_xlpm.MacVal,_xlpm.CSVVal&lt;&gt;"",_xlpm.CSVVal
)),"")</f>
        <v/>
      </c>
      <c r="D263" s="55" t="str">
        <f>_xlfn.XLOOKUP(A263,My_Audit!A:A,My_Audit!D:D,"")&amp;""</f>
        <v/>
      </c>
      <c r="E263" s="55" t="str" cm="1">
        <f t="array" ref="E263">IFERROR(_xlfn.LET(
_xlpm.CSVVal,_xlfn.XLOOKUP($A263,CSV!$A:$A,CSV!D:D,""),
_xlpm.MacVal,_xlfn.XLOOKUP($A263,Output_Mac!$A:$A,Output_Mac!C:C,""),
_xlpm.MyAuditVal,_xlfn.XLOOKUP($A263,My_Audit!$A:$A,My_Audit!D:D,""),
_xlfn.IFS(_xlpm.MyAuditVal&lt;&gt;"",_xlpm.MyAuditVal,_xlpm.MacVal&lt;&gt;"",_xlpm.MacVal,_xlpm.CSVVal&lt;&gt;"",_xlpm.CSVVal
)),"")</f>
        <v/>
      </c>
      <c r="F263" s="54" t="str" cm="1">
        <f t="array" ref="F263">IFERROR(_xlfn.LET(
_xlpm.CSVVal,_xlfn.XLOOKUP($A263,CSV!$A:$A,CSV!E:E,""),
_xlpm.MacVal,_xlfn.XLOOKUP($A263,Output_Mac!$A:$A,Output_Mac!F:F,""),
_xlpm.MyAuditVal,_xlfn.XLOOKUP($A263,My_Audit!$A:$A,My_Audit!E:E,""),
_xlfn.IFS(_xlpm.MyAuditVal&lt;&gt;"",_xlpm.MyAuditVal,_xlpm.MacVal&lt;&gt;"",_xlpm.MacVal,_xlpm.CSVVal&lt;&gt;"",PROPER(_xlpm.CSVVal)
)),"")</f>
        <v/>
      </c>
      <c r="G263" s="54" t="str" cm="1">
        <f t="array" ref="G263">IFERROR(_xlfn.LET(
_xlpm.CSVVal,_xlfn.XLOOKUP($A263,CSV!$A:$A,CSV!F:F,""),
_xlpm.MacVal,_xlfn.XLOOKUP($A263,Output_Mac!$A:$A,Output_Mac!H:H,""),
_xlpm.MyAuditVal,_xlfn.XLOOKUP($A263,My_Audit!$A:$A,My_Audit!F:F,""),
_xlfn.IFS(_xlpm.MyAuditVal&lt;&gt;"",_xlpm.MyAuditVal,_xlpm.MacVal&lt;&gt;"",_xlpm.MacVal,_xlpm.CSVVal&lt;&gt;"",_xlpm.CSVVal
)),"")</f>
        <v/>
      </c>
      <c r="H263" s="54" t="str">
        <f>_xlfn.XLOOKUP(A263,Output_Mac!A:A,Output_Mac!I:I,"")</f>
        <v/>
      </c>
      <c r="I263" s="54" t="str" cm="1">
        <f t="array" ref="I263">IFERROR(_xlfn.LET(
_xlpm.CSVVal,_xlfn.XLOOKUP($A263,CSV!$A:$A,CSV!G:G,""),
_xlpm.MacVal,_xlfn.XLOOKUP($A263,Output_Mac!$A:$A,Output_Mac!J:J,""),
_xlpm.MyAuditVal,_xlfn.XLOOKUP($A263,My_Audit!$A:$A,My_Audit!H:H,""),
_xlfn.IFS(_xlpm.MyAuditVal&lt;&gt;"",UPPER(_xlpm.MyAuditVal),_xlpm.MacVal&lt;&gt;"",_xlpm.MacVal,_xlpm.CSVVal&lt;&gt;"",_xlpm.CSVVal
)),"")</f>
        <v/>
      </c>
      <c r="J263" s="54" t="str" cm="1">
        <f t="array" ref="J263">IFERROR(_xlfn.LET(
_xlpm.CSVVal,_xlfn.XLOOKUP($A263,CSV!$A:$A,CSV!I:I,""),
_xlpm.MacVal,_xlfn.XLOOKUP($A263,Output_Mac!$A:$A,Output_Mac!K:K,""),
_xlpm.MyAuditVal,_xlfn.XLOOKUP($A263,My_Audit!$A:$A,My_Audit!I:I,""),
_xlfn.IFS(_xlpm.MyAuditVal&lt;&gt;"",UPPER(_xlpm.MyAuditVal),_xlpm.MacVal&lt;&gt;"",_xlpm.MacVal,_xlpm.CSVVal&lt;&gt;"",_xlpm.CSVVal
)),"")</f>
        <v/>
      </c>
      <c r="K263" s="54" t="str" cm="1">
        <f t="array" ref="K263">IFERROR(_xlfn.LET(
_xlpm.CSVVal,_xlfn.XLOOKUP($A263,CSV!$A:$A,CSV!M:M,""),
_xlpm.MacVal,_xlfn.XLOOKUP($A263,Output_Mac!$A:$A,Output_Mac!L:L,""),
_xlpm.MyAuditVal,_xlfn.XLOOKUP($A263,My_Audit!$A:$A,My_Audit!J:J,""),
_xlfn.IFS(_xlpm.MyAuditVal&lt;&gt;"",UPPER(_xlpm.MyAuditVal),_xlpm.MacVal&lt;&gt;"",_xlpm.MacVal,_xlpm.CSVVal&lt;&gt;"",_xlpm.CSVVal
)),"")</f>
        <v/>
      </c>
      <c r="L263" s="55" t="str" cm="1">
        <f t="array" ref="L263">IFERROR(_xlfn.LET(
_xlpm.CSVVal,_xlfn.XLOOKUP($A263,CSV!$A:$A,CSV!P:P,""),
_xlpm.MacVal,_xlfn.XLOOKUP($A263,Output_Mac!$A:$A,Output_Mac!M:M,""),
_xlpm.MyAuditVal,_xlfn.XLOOKUP($A263,My_Audit!$A:$A,My_Audit!K:K,""),
_xlfn.IFS(_xlpm.MyAuditVal&lt;&gt;"",UPPER(_xlpm.MyAuditVal),_xlpm.MacVal&lt;&gt;"",_xlpm.MacVal,_xlpm.CSVVal&lt;&gt;"",_xlpm.CSVVal
)),"")</f>
        <v/>
      </c>
      <c r="M263" s="54" t="str">
        <f>_xlfn.LET(
    _xlpm.CSVVal, _xlfn.XLOOKUP($A263, CSV!$A:$A, CSV!AD:AD, ""),
    _xlpm.MacVal, _xlfn.XLOOKUP($A263, Output_Mac!$A:$A, Output_Mac!S:S, ""),
    _xlpm.MyAuditVal, _xlfn.XLOOKUP($A263, My_Audit!$A:$A, My_Audit!N:N, ""),
    _xlfn.TEXTJOIN(", ", TRUE, _xlpm.MyAuditVal, _xlpm.MacVal, _xlpm.CSVVal)
)</f>
        <v/>
      </c>
      <c r="N263" s="54" t="str" cm="1">
        <f t="array" ref="N263">IFERROR(_xlfn.LET(
_xlpm.CSVVal,_xlfn.XLOOKUP($A263,CSV!$A:$A,CSV!AF:AF,""),
_xlpm.MacVal,_xlfn.XLOOKUP($A263,Output_Mac!$A:$A,Output_Mac!U:U,""),
_xlpm.MyAuditVal,_xlfn.XLOOKUP($A263,My_Audit!$A:$A,My_Audit!O:O,""),
_xlfn.IFS(_xlpm.MyAuditVal&lt;&gt;"",UPPER(_xlpm.MyAuditVal),_xlpm.MacVal&lt;&gt;"",_xlpm.MacVal,_xlpm.CSVVal&lt;&gt;"",_xlpm.CSVVal
)),"")</f>
        <v/>
      </c>
      <c r="O263" s="54"/>
      <c r="P263" s="54"/>
      <c r="Q263" s="54"/>
      <c r="R263" s="54"/>
      <c r="S263" s="54"/>
      <c r="T263" s="54"/>
      <c r="U263" s="39"/>
    </row>
    <row r="264" spans="1:21">
      <c r="A264" s="54" t="str">
        <f>_xlfn.TEXTJOIN("",TRUE,Input!$B$2,ROW(My_Audit!A263))</f>
        <v>XX263</v>
      </c>
      <c r="B264" s="54" t="str">
        <f>_xlfn.TEXTJOIN("-",TRUE,"ITD",Input!$A$2,A264)</f>
        <v>ITD-SHRXXX-XX263</v>
      </c>
      <c r="C264" s="54" t="str" cm="1">
        <f t="array" ref="C264">IFERROR(_xlfn.LET(
_xlpm.CSVVal,_xlfn.XLOOKUP($A264,CSV!$A:$A,CSV!B:B,""),
_xlpm.MacVal,_xlfn.XLOOKUP($A264,Output_Mac!$A:$A,Output_Mac!B:B,""),
_xlpm.MyAuditVal,_xlfn.XLOOKUP($A264,My_Audit!$A:$A,My_Audit!B:B,""),
_xlfn.IFS(_xlpm.MyAuditVal&lt;&gt;"",UPPER(_xlpm.MyAuditVal),_xlpm.MacVal&lt;&gt;"",_xlpm.MacVal,_xlpm.CSVVal&lt;&gt;"",_xlpm.CSVVal
)),"")</f>
        <v/>
      </c>
      <c r="D264" s="55" t="str">
        <f>_xlfn.XLOOKUP(A264,My_Audit!A:A,My_Audit!D:D,"")&amp;""</f>
        <v/>
      </c>
      <c r="E264" s="55" t="str" cm="1">
        <f t="array" ref="E264">IFERROR(_xlfn.LET(
_xlpm.CSVVal,_xlfn.XLOOKUP($A264,CSV!$A:$A,CSV!D:D,""),
_xlpm.MacVal,_xlfn.XLOOKUP($A264,Output_Mac!$A:$A,Output_Mac!C:C,""),
_xlpm.MyAuditVal,_xlfn.XLOOKUP($A264,My_Audit!$A:$A,My_Audit!D:D,""),
_xlfn.IFS(_xlpm.MyAuditVal&lt;&gt;"",_xlpm.MyAuditVal,_xlpm.MacVal&lt;&gt;"",_xlpm.MacVal,_xlpm.CSVVal&lt;&gt;"",_xlpm.CSVVal
)),"")</f>
        <v/>
      </c>
      <c r="F264" s="54" t="str" cm="1">
        <f t="array" ref="F264">IFERROR(_xlfn.LET(
_xlpm.CSVVal,_xlfn.XLOOKUP($A264,CSV!$A:$A,CSV!E:E,""),
_xlpm.MacVal,_xlfn.XLOOKUP($A264,Output_Mac!$A:$A,Output_Mac!F:F,""),
_xlpm.MyAuditVal,_xlfn.XLOOKUP($A264,My_Audit!$A:$A,My_Audit!E:E,""),
_xlfn.IFS(_xlpm.MyAuditVal&lt;&gt;"",_xlpm.MyAuditVal,_xlpm.MacVal&lt;&gt;"",_xlpm.MacVal,_xlpm.CSVVal&lt;&gt;"",PROPER(_xlpm.CSVVal)
)),"")</f>
        <v/>
      </c>
      <c r="G264" s="54" t="str" cm="1">
        <f t="array" ref="G264">IFERROR(_xlfn.LET(
_xlpm.CSVVal,_xlfn.XLOOKUP($A264,CSV!$A:$A,CSV!F:F,""),
_xlpm.MacVal,_xlfn.XLOOKUP($A264,Output_Mac!$A:$A,Output_Mac!H:H,""),
_xlpm.MyAuditVal,_xlfn.XLOOKUP($A264,My_Audit!$A:$A,My_Audit!F:F,""),
_xlfn.IFS(_xlpm.MyAuditVal&lt;&gt;"",_xlpm.MyAuditVal,_xlpm.MacVal&lt;&gt;"",_xlpm.MacVal,_xlpm.CSVVal&lt;&gt;"",_xlpm.CSVVal
)),"")</f>
        <v/>
      </c>
      <c r="H264" s="54" t="str">
        <f>_xlfn.XLOOKUP(A264,Output_Mac!A:A,Output_Mac!I:I,"")</f>
        <v/>
      </c>
      <c r="I264" s="54" t="str" cm="1">
        <f t="array" ref="I264">IFERROR(_xlfn.LET(
_xlpm.CSVVal,_xlfn.XLOOKUP($A264,CSV!$A:$A,CSV!G:G,""),
_xlpm.MacVal,_xlfn.XLOOKUP($A264,Output_Mac!$A:$A,Output_Mac!J:J,""),
_xlpm.MyAuditVal,_xlfn.XLOOKUP($A264,My_Audit!$A:$A,My_Audit!H:H,""),
_xlfn.IFS(_xlpm.MyAuditVal&lt;&gt;"",UPPER(_xlpm.MyAuditVal),_xlpm.MacVal&lt;&gt;"",_xlpm.MacVal,_xlpm.CSVVal&lt;&gt;"",_xlpm.CSVVal
)),"")</f>
        <v/>
      </c>
      <c r="J264" s="54" t="str" cm="1">
        <f t="array" ref="J264">IFERROR(_xlfn.LET(
_xlpm.CSVVal,_xlfn.XLOOKUP($A264,CSV!$A:$A,CSV!I:I,""),
_xlpm.MacVal,_xlfn.XLOOKUP($A264,Output_Mac!$A:$A,Output_Mac!K:K,""),
_xlpm.MyAuditVal,_xlfn.XLOOKUP($A264,My_Audit!$A:$A,My_Audit!I:I,""),
_xlfn.IFS(_xlpm.MyAuditVal&lt;&gt;"",UPPER(_xlpm.MyAuditVal),_xlpm.MacVal&lt;&gt;"",_xlpm.MacVal,_xlpm.CSVVal&lt;&gt;"",_xlpm.CSVVal
)),"")</f>
        <v/>
      </c>
      <c r="K264" s="54" t="str" cm="1">
        <f t="array" ref="K264">IFERROR(_xlfn.LET(
_xlpm.CSVVal,_xlfn.XLOOKUP($A264,CSV!$A:$A,CSV!M:M,""),
_xlpm.MacVal,_xlfn.XLOOKUP($A264,Output_Mac!$A:$A,Output_Mac!L:L,""),
_xlpm.MyAuditVal,_xlfn.XLOOKUP($A264,My_Audit!$A:$A,My_Audit!J:J,""),
_xlfn.IFS(_xlpm.MyAuditVal&lt;&gt;"",UPPER(_xlpm.MyAuditVal),_xlpm.MacVal&lt;&gt;"",_xlpm.MacVal,_xlpm.CSVVal&lt;&gt;"",_xlpm.CSVVal
)),"")</f>
        <v/>
      </c>
      <c r="L264" s="55" t="str" cm="1">
        <f t="array" ref="L264">IFERROR(_xlfn.LET(
_xlpm.CSVVal,_xlfn.XLOOKUP($A264,CSV!$A:$A,CSV!P:P,""),
_xlpm.MacVal,_xlfn.XLOOKUP($A264,Output_Mac!$A:$A,Output_Mac!M:M,""),
_xlpm.MyAuditVal,_xlfn.XLOOKUP($A264,My_Audit!$A:$A,My_Audit!K:K,""),
_xlfn.IFS(_xlpm.MyAuditVal&lt;&gt;"",UPPER(_xlpm.MyAuditVal),_xlpm.MacVal&lt;&gt;"",_xlpm.MacVal,_xlpm.CSVVal&lt;&gt;"",_xlpm.CSVVal
)),"")</f>
        <v/>
      </c>
      <c r="M264" s="54" t="str">
        <f>_xlfn.LET(
    _xlpm.CSVVal, _xlfn.XLOOKUP($A264, CSV!$A:$A, CSV!AD:AD, ""),
    _xlpm.MacVal, _xlfn.XLOOKUP($A264, Output_Mac!$A:$A, Output_Mac!S:S, ""),
    _xlpm.MyAuditVal, _xlfn.XLOOKUP($A264, My_Audit!$A:$A, My_Audit!N:N, ""),
    _xlfn.TEXTJOIN(", ", TRUE, _xlpm.MyAuditVal, _xlpm.MacVal, _xlpm.CSVVal)
)</f>
        <v/>
      </c>
      <c r="N264" s="54" t="str" cm="1">
        <f t="array" ref="N264">IFERROR(_xlfn.LET(
_xlpm.CSVVal,_xlfn.XLOOKUP($A264,CSV!$A:$A,CSV!AF:AF,""),
_xlpm.MacVal,_xlfn.XLOOKUP($A264,Output_Mac!$A:$A,Output_Mac!U:U,""),
_xlpm.MyAuditVal,_xlfn.XLOOKUP($A264,My_Audit!$A:$A,My_Audit!O:O,""),
_xlfn.IFS(_xlpm.MyAuditVal&lt;&gt;"",UPPER(_xlpm.MyAuditVal),_xlpm.MacVal&lt;&gt;"",_xlpm.MacVal,_xlpm.CSVVal&lt;&gt;"",_xlpm.CSVVal
)),"")</f>
        <v/>
      </c>
      <c r="O264" s="54"/>
      <c r="P264" s="54"/>
      <c r="Q264" s="54"/>
      <c r="R264" s="54"/>
      <c r="S264" s="54"/>
      <c r="T264" s="54"/>
      <c r="U264" s="39"/>
    </row>
    <row r="265" spans="1:21">
      <c r="A265" s="54" t="str">
        <f>_xlfn.TEXTJOIN("",TRUE,Input!$B$2,ROW(My_Audit!A264))</f>
        <v>XX264</v>
      </c>
      <c r="B265" s="54" t="str">
        <f>_xlfn.TEXTJOIN("-",TRUE,"ITD",Input!$A$2,A265)</f>
        <v>ITD-SHRXXX-XX264</v>
      </c>
      <c r="C265" s="54" t="str" cm="1">
        <f t="array" ref="C265">IFERROR(_xlfn.LET(
_xlpm.CSVVal,_xlfn.XLOOKUP($A265,CSV!$A:$A,CSV!B:B,""),
_xlpm.MacVal,_xlfn.XLOOKUP($A265,Output_Mac!$A:$A,Output_Mac!B:B,""),
_xlpm.MyAuditVal,_xlfn.XLOOKUP($A265,My_Audit!$A:$A,My_Audit!B:B,""),
_xlfn.IFS(_xlpm.MyAuditVal&lt;&gt;"",UPPER(_xlpm.MyAuditVal),_xlpm.MacVal&lt;&gt;"",_xlpm.MacVal,_xlpm.CSVVal&lt;&gt;"",_xlpm.CSVVal
)),"")</f>
        <v/>
      </c>
      <c r="D265" s="55" t="str">
        <f>_xlfn.XLOOKUP(A265,My_Audit!A:A,My_Audit!D:D,"")&amp;""</f>
        <v/>
      </c>
      <c r="E265" s="55" t="str" cm="1">
        <f t="array" ref="E265">IFERROR(_xlfn.LET(
_xlpm.CSVVal,_xlfn.XLOOKUP($A265,CSV!$A:$A,CSV!D:D,""),
_xlpm.MacVal,_xlfn.XLOOKUP($A265,Output_Mac!$A:$A,Output_Mac!C:C,""),
_xlpm.MyAuditVal,_xlfn.XLOOKUP($A265,My_Audit!$A:$A,My_Audit!D:D,""),
_xlfn.IFS(_xlpm.MyAuditVal&lt;&gt;"",_xlpm.MyAuditVal,_xlpm.MacVal&lt;&gt;"",_xlpm.MacVal,_xlpm.CSVVal&lt;&gt;"",_xlpm.CSVVal
)),"")</f>
        <v/>
      </c>
      <c r="F265" s="54" t="str" cm="1">
        <f t="array" ref="F265">IFERROR(_xlfn.LET(
_xlpm.CSVVal,_xlfn.XLOOKUP($A265,CSV!$A:$A,CSV!E:E,""),
_xlpm.MacVal,_xlfn.XLOOKUP($A265,Output_Mac!$A:$A,Output_Mac!F:F,""),
_xlpm.MyAuditVal,_xlfn.XLOOKUP($A265,My_Audit!$A:$A,My_Audit!E:E,""),
_xlfn.IFS(_xlpm.MyAuditVal&lt;&gt;"",_xlpm.MyAuditVal,_xlpm.MacVal&lt;&gt;"",_xlpm.MacVal,_xlpm.CSVVal&lt;&gt;"",PROPER(_xlpm.CSVVal)
)),"")</f>
        <v/>
      </c>
      <c r="G265" s="54" t="str" cm="1">
        <f t="array" ref="G265">IFERROR(_xlfn.LET(
_xlpm.CSVVal,_xlfn.XLOOKUP($A265,CSV!$A:$A,CSV!F:F,""),
_xlpm.MacVal,_xlfn.XLOOKUP($A265,Output_Mac!$A:$A,Output_Mac!H:H,""),
_xlpm.MyAuditVal,_xlfn.XLOOKUP($A265,My_Audit!$A:$A,My_Audit!F:F,""),
_xlfn.IFS(_xlpm.MyAuditVal&lt;&gt;"",_xlpm.MyAuditVal,_xlpm.MacVal&lt;&gt;"",_xlpm.MacVal,_xlpm.CSVVal&lt;&gt;"",_xlpm.CSVVal
)),"")</f>
        <v/>
      </c>
      <c r="H265" s="54" t="str">
        <f>_xlfn.XLOOKUP(A265,Output_Mac!A:A,Output_Mac!I:I,"")</f>
        <v/>
      </c>
      <c r="I265" s="54" t="str" cm="1">
        <f t="array" ref="I265">IFERROR(_xlfn.LET(
_xlpm.CSVVal,_xlfn.XLOOKUP($A265,CSV!$A:$A,CSV!G:G,""),
_xlpm.MacVal,_xlfn.XLOOKUP($A265,Output_Mac!$A:$A,Output_Mac!J:J,""),
_xlpm.MyAuditVal,_xlfn.XLOOKUP($A265,My_Audit!$A:$A,My_Audit!H:H,""),
_xlfn.IFS(_xlpm.MyAuditVal&lt;&gt;"",UPPER(_xlpm.MyAuditVal),_xlpm.MacVal&lt;&gt;"",_xlpm.MacVal,_xlpm.CSVVal&lt;&gt;"",_xlpm.CSVVal
)),"")</f>
        <v/>
      </c>
      <c r="J265" s="54" t="str" cm="1">
        <f t="array" ref="J265">IFERROR(_xlfn.LET(
_xlpm.CSVVal,_xlfn.XLOOKUP($A265,CSV!$A:$A,CSV!I:I,""),
_xlpm.MacVal,_xlfn.XLOOKUP($A265,Output_Mac!$A:$A,Output_Mac!K:K,""),
_xlpm.MyAuditVal,_xlfn.XLOOKUP($A265,My_Audit!$A:$A,My_Audit!I:I,""),
_xlfn.IFS(_xlpm.MyAuditVal&lt;&gt;"",UPPER(_xlpm.MyAuditVal),_xlpm.MacVal&lt;&gt;"",_xlpm.MacVal,_xlpm.CSVVal&lt;&gt;"",_xlpm.CSVVal
)),"")</f>
        <v/>
      </c>
      <c r="K265" s="54" t="str" cm="1">
        <f t="array" ref="K265">IFERROR(_xlfn.LET(
_xlpm.CSVVal,_xlfn.XLOOKUP($A265,CSV!$A:$A,CSV!M:M,""),
_xlpm.MacVal,_xlfn.XLOOKUP($A265,Output_Mac!$A:$A,Output_Mac!L:L,""),
_xlpm.MyAuditVal,_xlfn.XLOOKUP($A265,My_Audit!$A:$A,My_Audit!J:J,""),
_xlfn.IFS(_xlpm.MyAuditVal&lt;&gt;"",UPPER(_xlpm.MyAuditVal),_xlpm.MacVal&lt;&gt;"",_xlpm.MacVal,_xlpm.CSVVal&lt;&gt;"",_xlpm.CSVVal
)),"")</f>
        <v/>
      </c>
      <c r="L265" s="55" t="str" cm="1">
        <f t="array" ref="L265">IFERROR(_xlfn.LET(
_xlpm.CSVVal,_xlfn.XLOOKUP($A265,CSV!$A:$A,CSV!P:P,""),
_xlpm.MacVal,_xlfn.XLOOKUP($A265,Output_Mac!$A:$A,Output_Mac!M:M,""),
_xlpm.MyAuditVal,_xlfn.XLOOKUP($A265,My_Audit!$A:$A,My_Audit!K:K,""),
_xlfn.IFS(_xlpm.MyAuditVal&lt;&gt;"",UPPER(_xlpm.MyAuditVal),_xlpm.MacVal&lt;&gt;"",_xlpm.MacVal,_xlpm.CSVVal&lt;&gt;"",_xlpm.CSVVal
)),"")</f>
        <v/>
      </c>
      <c r="M265" s="54" t="str">
        <f>_xlfn.LET(
    _xlpm.CSVVal, _xlfn.XLOOKUP($A265, CSV!$A:$A, CSV!AD:AD, ""),
    _xlpm.MacVal, _xlfn.XLOOKUP($A265, Output_Mac!$A:$A, Output_Mac!S:S, ""),
    _xlpm.MyAuditVal, _xlfn.XLOOKUP($A265, My_Audit!$A:$A, My_Audit!N:N, ""),
    _xlfn.TEXTJOIN(", ", TRUE, _xlpm.MyAuditVal, _xlpm.MacVal, _xlpm.CSVVal)
)</f>
        <v/>
      </c>
      <c r="N265" s="54" t="str" cm="1">
        <f t="array" ref="N265">IFERROR(_xlfn.LET(
_xlpm.CSVVal,_xlfn.XLOOKUP($A265,CSV!$A:$A,CSV!AF:AF,""),
_xlpm.MacVal,_xlfn.XLOOKUP($A265,Output_Mac!$A:$A,Output_Mac!U:U,""),
_xlpm.MyAuditVal,_xlfn.XLOOKUP($A265,My_Audit!$A:$A,My_Audit!O:O,""),
_xlfn.IFS(_xlpm.MyAuditVal&lt;&gt;"",UPPER(_xlpm.MyAuditVal),_xlpm.MacVal&lt;&gt;"",_xlpm.MacVal,_xlpm.CSVVal&lt;&gt;"",_xlpm.CSVVal
)),"")</f>
        <v/>
      </c>
      <c r="O265" s="54"/>
      <c r="P265" s="54"/>
      <c r="Q265" s="54"/>
      <c r="R265" s="54"/>
      <c r="S265" s="54"/>
      <c r="T265" s="54"/>
      <c r="U265" s="39"/>
    </row>
    <row r="266" spans="1:21">
      <c r="A266" s="54" t="str">
        <f>_xlfn.TEXTJOIN("",TRUE,Input!$B$2,ROW(My_Audit!A265))</f>
        <v>XX265</v>
      </c>
      <c r="B266" s="54" t="str">
        <f>_xlfn.TEXTJOIN("-",TRUE,"ITD",Input!$A$2,A266)</f>
        <v>ITD-SHRXXX-XX265</v>
      </c>
      <c r="C266" s="54" t="str" cm="1">
        <f t="array" ref="C266">IFERROR(_xlfn.LET(
_xlpm.CSVVal,_xlfn.XLOOKUP($A266,CSV!$A:$A,CSV!B:B,""),
_xlpm.MacVal,_xlfn.XLOOKUP($A266,Output_Mac!$A:$A,Output_Mac!B:B,""),
_xlpm.MyAuditVal,_xlfn.XLOOKUP($A266,My_Audit!$A:$A,My_Audit!B:B,""),
_xlfn.IFS(_xlpm.MyAuditVal&lt;&gt;"",UPPER(_xlpm.MyAuditVal),_xlpm.MacVal&lt;&gt;"",_xlpm.MacVal,_xlpm.CSVVal&lt;&gt;"",_xlpm.CSVVal
)),"")</f>
        <v/>
      </c>
      <c r="D266" s="55" t="str">
        <f>_xlfn.XLOOKUP(A266,My_Audit!A:A,My_Audit!D:D,"")&amp;""</f>
        <v/>
      </c>
      <c r="E266" s="55" t="str" cm="1">
        <f t="array" ref="E266">IFERROR(_xlfn.LET(
_xlpm.CSVVal,_xlfn.XLOOKUP($A266,CSV!$A:$A,CSV!D:D,""),
_xlpm.MacVal,_xlfn.XLOOKUP($A266,Output_Mac!$A:$A,Output_Mac!C:C,""),
_xlpm.MyAuditVal,_xlfn.XLOOKUP($A266,My_Audit!$A:$A,My_Audit!D:D,""),
_xlfn.IFS(_xlpm.MyAuditVal&lt;&gt;"",_xlpm.MyAuditVal,_xlpm.MacVal&lt;&gt;"",_xlpm.MacVal,_xlpm.CSVVal&lt;&gt;"",_xlpm.CSVVal
)),"")</f>
        <v/>
      </c>
      <c r="F266" s="54" t="str" cm="1">
        <f t="array" ref="F266">IFERROR(_xlfn.LET(
_xlpm.CSVVal,_xlfn.XLOOKUP($A266,CSV!$A:$A,CSV!E:E,""),
_xlpm.MacVal,_xlfn.XLOOKUP($A266,Output_Mac!$A:$A,Output_Mac!F:F,""),
_xlpm.MyAuditVal,_xlfn.XLOOKUP($A266,My_Audit!$A:$A,My_Audit!E:E,""),
_xlfn.IFS(_xlpm.MyAuditVal&lt;&gt;"",_xlpm.MyAuditVal,_xlpm.MacVal&lt;&gt;"",_xlpm.MacVal,_xlpm.CSVVal&lt;&gt;"",PROPER(_xlpm.CSVVal)
)),"")</f>
        <v/>
      </c>
      <c r="G266" s="54" t="str" cm="1">
        <f t="array" ref="G266">IFERROR(_xlfn.LET(
_xlpm.CSVVal,_xlfn.XLOOKUP($A266,CSV!$A:$A,CSV!F:F,""),
_xlpm.MacVal,_xlfn.XLOOKUP($A266,Output_Mac!$A:$A,Output_Mac!H:H,""),
_xlpm.MyAuditVal,_xlfn.XLOOKUP($A266,My_Audit!$A:$A,My_Audit!F:F,""),
_xlfn.IFS(_xlpm.MyAuditVal&lt;&gt;"",_xlpm.MyAuditVal,_xlpm.MacVal&lt;&gt;"",_xlpm.MacVal,_xlpm.CSVVal&lt;&gt;"",_xlpm.CSVVal
)),"")</f>
        <v/>
      </c>
      <c r="H266" s="54" t="str">
        <f>_xlfn.XLOOKUP(A266,Output_Mac!A:A,Output_Mac!I:I,"")</f>
        <v/>
      </c>
      <c r="I266" s="54" t="str" cm="1">
        <f t="array" ref="I266">IFERROR(_xlfn.LET(
_xlpm.CSVVal,_xlfn.XLOOKUP($A266,CSV!$A:$A,CSV!G:G,""),
_xlpm.MacVal,_xlfn.XLOOKUP($A266,Output_Mac!$A:$A,Output_Mac!J:J,""),
_xlpm.MyAuditVal,_xlfn.XLOOKUP($A266,My_Audit!$A:$A,My_Audit!H:H,""),
_xlfn.IFS(_xlpm.MyAuditVal&lt;&gt;"",UPPER(_xlpm.MyAuditVal),_xlpm.MacVal&lt;&gt;"",_xlpm.MacVal,_xlpm.CSVVal&lt;&gt;"",_xlpm.CSVVal
)),"")</f>
        <v/>
      </c>
      <c r="J266" s="54" t="str" cm="1">
        <f t="array" ref="J266">IFERROR(_xlfn.LET(
_xlpm.CSVVal,_xlfn.XLOOKUP($A266,CSV!$A:$A,CSV!I:I,""),
_xlpm.MacVal,_xlfn.XLOOKUP($A266,Output_Mac!$A:$A,Output_Mac!K:K,""),
_xlpm.MyAuditVal,_xlfn.XLOOKUP($A266,My_Audit!$A:$A,My_Audit!I:I,""),
_xlfn.IFS(_xlpm.MyAuditVal&lt;&gt;"",UPPER(_xlpm.MyAuditVal),_xlpm.MacVal&lt;&gt;"",_xlpm.MacVal,_xlpm.CSVVal&lt;&gt;"",_xlpm.CSVVal
)),"")</f>
        <v/>
      </c>
      <c r="K266" s="54" t="str" cm="1">
        <f t="array" ref="K266">IFERROR(_xlfn.LET(
_xlpm.CSVVal,_xlfn.XLOOKUP($A266,CSV!$A:$A,CSV!M:M,""),
_xlpm.MacVal,_xlfn.XLOOKUP($A266,Output_Mac!$A:$A,Output_Mac!L:L,""),
_xlpm.MyAuditVal,_xlfn.XLOOKUP($A266,My_Audit!$A:$A,My_Audit!J:J,""),
_xlfn.IFS(_xlpm.MyAuditVal&lt;&gt;"",UPPER(_xlpm.MyAuditVal),_xlpm.MacVal&lt;&gt;"",_xlpm.MacVal,_xlpm.CSVVal&lt;&gt;"",_xlpm.CSVVal
)),"")</f>
        <v/>
      </c>
      <c r="L266" s="55" t="str" cm="1">
        <f t="array" ref="L266">IFERROR(_xlfn.LET(
_xlpm.CSVVal,_xlfn.XLOOKUP($A266,CSV!$A:$A,CSV!P:P,""),
_xlpm.MacVal,_xlfn.XLOOKUP($A266,Output_Mac!$A:$A,Output_Mac!M:M,""),
_xlpm.MyAuditVal,_xlfn.XLOOKUP($A266,My_Audit!$A:$A,My_Audit!K:K,""),
_xlfn.IFS(_xlpm.MyAuditVal&lt;&gt;"",UPPER(_xlpm.MyAuditVal),_xlpm.MacVal&lt;&gt;"",_xlpm.MacVal,_xlpm.CSVVal&lt;&gt;"",_xlpm.CSVVal
)),"")</f>
        <v/>
      </c>
      <c r="M266" s="54" t="str">
        <f>_xlfn.LET(
    _xlpm.CSVVal, _xlfn.XLOOKUP($A266, CSV!$A:$A, CSV!AD:AD, ""),
    _xlpm.MacVal, _xlfn.XLOOKUP($A266, Output_Mac!$A:$A, Output_Mac!S:S, ""),
    _xlpm.MyAuditVal, _xlfn.XLOOKUP($A266, My_Audit!$A:$A, My_Audit!N:N, ""),
    _xlfn.TEXTJOIN(", ", TRUE, _xlpm.MyAuditVal, _xlpm.MacVal, _xlpm.CSVVal)
)</f>
        <v/>
      </c>
      <c r="N266" s="54" t="str" cm="1">
        <f t="array" ref="N266">IFERROR(_xlfn.LET(
_xlpm.CSVVal,_xlfn.XLOOKUP($A266,CSV!$A:$A,CSV!AF:AF,""),
_xlpm.MacVal,_xlfn.XLOOKUP($A266,Output_Mac!$A:$A,Output_Mac!U:U,""),
_xlpm.MyAuditVal,_xlfn.XLOOKUP($A266,My_Audit!$A:$A,My_Audit!O:O,""),
_xlfn.IFS(_xlpm.MyAuditVal&lt;&gt;"",UPPER(_xlpm.MyAuditVal),_xlpm.MacVal&lt;&gt;"",_xlpm.MacVal,_xlpm.CSVVal&lt;&gt;"",_xlpm.CSVVal
)),"")</f>
        <v/>
      </c>
      <c r="O266" s="54"/>
      <c r="P266" s="54"/>
      <c r="Q266" s="54"/>
      <c r="R266" s="54"/>
      <c r="S266" s="54"/>
      <c r="T266" s="54"/>
      <c r="U266" s="39"/>
    </row>
    <row r="267" spans="1:21">
      <c r="A267" s="54" t="str">
        <f>_xlfn.TEXTJOIN("",TRUE,Input!$B$2,ROW(My_Audit!A266))</f>
        <v>XX266</v>
      </c>
      <c r="B267" s="54" t="str">
        <f>_xlfn.TEXTJOIN("-",TRUE,"ITD",Input!$A$2,A267)</f>
        <v>ITD-SHRXXX-XX266</v>
      </c>
      <c r="C267" s="54" t="str" cm="1">
        <f t="array" ref="C267">IFERROR(_xlfn.LET(
_xlpm.CSVVal,_xlfn.XLOOKUP($A267,CSV!$A:$A,CSV!B:B,""),
_xlpm.MacVal,_xlfn.XLOOKUP($A267,Output_Mac!$A:$A,Output_Mac!B:B,""),
_xlpm.MyAuditVal,_xlfn.XLOOKUP($A267,My_Audit!$A:$A,My_Audit!B:B,""),
_xlfn.IFS(_xlpm.MyAuditVal&lt;&gt;"",UPPER(_xlpm.MyAuditVal),_xlpm.MacVal&lt;&gt;"",_xlpm.MacVal,_xlpm.CSVVal&lt;&gt;"",_xlpm.CSVVal
)),"")</f>
        <v/>
      </c>
      <c r="D267" s="55" t="str">
        <f>_xlfn.XLOOKUP(A267,My_Audit!A:A,My_Audit!D:D,"")&amp;""</f>
        <v/>
      </c>
      <c r="E267" s="55" t="str" cm="1">
        <f t="array" ref="E267">IFERROR(_xlfn.LET(
_xlpm.CSVVal,_xlfn.XLOOKUP($A267,CSV!$A:$A,CSV!D:D,""),
_xlpm.MacVal,_xlfn.XLOOKUP($A267,Output_Mac!$A:$A,Output_Mac!C:C,""),
_xlpm.MyAuditVal,_xlfn.XLOOKUP($A267,My_Audit!$A:$A,My_Audit!D:D,""),
_xlfn.IFS(_xlpm.MyAuditVal&lt;&gt;"",_xlpm.MyAuditVal,_xlpm.MacVal&lt;&gt;"",_xlpm.MacVal,_xlpm.CSVVal&lt;&gt;"",_xlpm.CSVVal
)),"")</f>
        <v/>
      </c>
      <c r="F267" s="54" t="str" cm="1">
        <f t="array" ref="F267">IFERROR(_xlfn.LET(
_xlpm.CSVVal,_xlfn.XLOOKUP($A267,CSV!$A:$A,CSV!E:E,""),
_xlpm.MacVal,_xlfn.XLOOKUP($A267,Output_Mac!$A:$A,Output_Mac!F:F,""),
_xlpm.MyAuditVal,_xlfn.XLOOKUP($A267,My_Audit!$A:$A,My_Audit!E:E,""),
_xlfn.IFS(_xlpm.MyAuditVal&lt;&gt;"",_xlpm.MyAuditVal,_xlpm.MacVal&lt;&gt;"",_xlpm.MacVal,_xlpm.CSVVal&lt;&gt;"",PROPER(_xlpm.CSVVal)
)),"")</f>
        <v/>
      </c>
      <c r="G267" s="54" t="str" cm="1">
        <f t="array" ref="G267">IFERROR(_xlfn.LET(
_xlpm.CSVVal,_xlfn.XLOOKUP($A267,CSV!$A:$A,CSV!F:F,""),
_xlpm.MacVal,_xlfn.XLOOKUP($A267,Output_Mac!$A:$A,Output_Mac!H:H,""),
_xlpm.MyAuditVal,_xlfn.XLOOKUP($A267,My_Audit!$A:$A,My_Audit!F:F,""),
_xlfn.IFS(_xlpm.MyAuditVal&lt;&gt;"",_xlpm.MyAuditVal,_xlpm.MacVal&lt;&gt;"",_xlpm.MacVal,_xlpm.CSVVal&lt;&gt;"",_xlpm.CSVVal
)),"")</f>
        <v/>
      </c>
      <c r="H267" s="54" t="str">
        <f>_xlfn.XLOOKUP(A267,Output_Mac!A:A,Output_Mac!I:I,"")</f>
        <v/>
      </c>
      <c r="I267" s="54" t="str" cm="1">
        <f t="array" ref="I267">IFERROR(_xlfn.LET(
_xlpm.CSVVal,_xlfn.XLOOKUP($A267,CSV!$A:$A,CSV!G:G,""),
_xlpm.MacVal,_xlfn.XLOOKUP($A267,Output_Mac!$A:$A,Output_Mac!J:J,""),
_xlpm.MyAuditVal,_xlfn.XLOOKUP($A267,My_Audit!$A:$A,My_Audit!H:H,""),
_xlfn.IFS(_xlpm.MyAuditVal&lt;&gt;"",UPPER(_xlpm.MyAuditVal),_xlpm.MacVal&lt;&gt;"",_xlpm.MacVal,_xlpm.CSVVal&lt;&gt;"",_xlpm.CSVVal
)),"")</f>
        <v/>
      </c>
      <c r="J267" s="54" t="str" cm="1">
        <f t="array" ref="J267">IFERROR(_xlfn.LET(
_xlpm.CSVVal,_xlfn.XLOOKUP($A267,CSV!$A:$A,CSV!I:I,""),
_xlpm.MacVal,_xlfn.XLOOKUP($A267,Output_Mac!$A:$A,Output_Mac!K:K,""),
_xlpm.MyAuditVal,_xlfn.XLOOKUP($A267,My_Audit!$A:$A,My_Audit!I:I,""),
_xlfn.IFS(_xlpm.MyAuditVal&lt;&gt;"",UPPER(_xlpm.MyAuditVal),_xlpm.MacVal&lt;&gt;"",_xlpm.MacVal,_xlpm.CSVVal&lt;&gt;"",_xlpm.CSVVal
)),"")</f>
        <v/>
      </c>
      <c r="K267" s="54" t="str" cm="1">
        <f t="array" ref="K267">IFERROR(_xlfn.LET(
_xlpm.CSVVal,_xlfn.XLOOKUP($A267,CSV!$A:$A,CSV!M:M,""),
_xlpm.MacVal,_xlfn.XLOOKUP($A267,Output_Mac!$A:$A,Output_Mac!L:L,""),
_xlpm.MyAuditVal,_xlfn.XLOOKUP($A267,My_Audit!$A:$A,My_Audit!J:J,""),
_xlfn.IFS(_xlpm.MyAuditVal&lt;&gt;"",UPPER(_xlpm.MyAuditVal),_xlpm.MacVal&lt;&gt;"",_xlpm.MacVal,_xlpm.CSVVal&lt;&gt;"",_xlpm.CSVVal
)),"")</f>
        <v/>
      </c>
      <c r="L267" s="55" t="str" cm="1">
        <f t="array" ref="L267">IFERROR(_xlfn.LET(
_xlpm.CSVVal,_xlfn.XLOOKUP($A267,CSV!$A:$A,CSV!P:P,""),
_xlpm.MacVal,_xlfn.XLOOKUP($A267,Output_Mac!$A:$A,Output_Mac!M:M,""),
_xlpm.MyAuditVal,_xlfn.XLOOKUP($A267,My_Audit!$A:$A,My_Audit!K:K,""),
_xlfn.IFS(_xlpm.MyAuditVal&lt;&gt;"",UPPER(_xlpm.MyAuditVal),_xlpm.MacVal&lt;&gt;"",_xlpm.MacVal,_xlpm.CSVVal&lt;&gt;"",_xlpm.CSVVal
)),"")</f>
        <v/>
      </c>
      <c r="M267" s="54" t="str">
        <f>_xlfn.LET(
    _xlpm.CSVVal, _xlfn.XLOOKUP($A267, CSV!$A:$A, CSV!AD:AD, ""),
    _xlpm.MacVal, _xlfn.XLOOKUP($A267, Output_Mac!$A:$A, Output_Mac!S:S, ""),
    _xlpm.MyAuditVal, _xlfn.XLOOKUP($A267, My_Audit!$A:$A, My_Audit!N:N, ""),
    _xlfn.TEXTJOIN(", ", TRUE, _xlpm.MyAuditVal, _xlpm.MacVal, _xlpm.CSVVal)
)</f>
        <v/>
      </c>
      <c r="N267" s="54" t="str" cm="1">
        <f t="array" ref="N267">IFERROR(_xlfn.LET(
_xlpm.CSVVal,_xlfn.XLOOKUP($A267,CSV!$A:$A,CSV!AF:AF,""),
_xlpm.MacVal,_xlfn.XLOOKUP($A267,Output_Mac!$A:$A,Output_Mac!U:U,""),
_xlpm.MyAuditVal,_xlfn.XLOOKUP($A267,My_Audit!$A:$A,My_Audit!O:O,""),
_xlfn.IFS(_xlpm.MyAuditVal&lt;&gt;"",UPPER(_xlpm.MyAuditVal),_xlpm.MacVal&lt;&gt;"",_xlpm.MacVal,_xlpm.CSVVal&lt;&gt;"",_xlpm.CSVVal
)),"")</f>
        <v/>
      </c>
      <c r="O267" s="54"/>
      <c r="P267" s="54"/>
      <c r="Q267" s="54"/>
      <c r="R267" s="54"/>
      <c r="S267" s="54"/>
      <c r="T267" s="54"/>
      <c r="U267" s="39"/>
    </row>
    <row r="268" spans="1:21">
      <c r="A268" s="54" t="str">
        <f>_xlfn.TEXTJOIN("",TRUE,Input!$B$2,ROW(My_Audit!A267))</f>
        <v>XX267</v>
      </c>
      <c r="B268" s="54" t="str">
        <f>_xlfn.TEXTJOIN("-",TRUE,"ITD",Input!$A$2,A268)</f>
        <v>ITD-SHRXXX-XX267</v>
      </c>
      <c r="C268" s="54" t="str" cm="1">
        <f t="array" ref="C268">IFERROR(_xlfn.LET(
_xlpm.CSVVal,_xlfn.XLOOKUP($A268,CSV!$A:$A,CSV!B:B,""),
_xlpm.MacVal,_xlfn.XLOOKUP($A268,Output_Mac!$A:$A,Output_Mac!B:B,""),
_xlpm.MyAuditVal,_xlfn.XLOOKUP($A268,My_Audit!$A:$A,My_Audit!B:B,""),
_xlfn.IFS(_xlpm.MyAuditVal&lt;&gt;"",UPPER(_xlpm.MyAuditVal),_xlpm.MacVal&lt;&gt;"",_xlpm.MacVal,_xlpm.CSVVal&lt;&gt;"",_xlpm.CSVVal
)),"")</f>
        <v/>
      </c>
      <c r="D268" s="55" t="str">
        <f>_xlfn.XLOOKUP(A268,My_Audit!A:A,My_Audit!D:D,"")&amp;""</f>
        <v/>
      </c>
      <c r="E268" s="55" t="str" cm="1">
        <f t="array" ref="E268">IFERROR(_xlfn.LET(
_xlpm.CSVVal,_xlfn.XLOOKUP($A268,CSV!$A:$A,CSV!D:D,""),
_xlpm.MacVal,_xlfn.XLOOKUP($A268,Output_Mac!$A:$A,Output_Mac!C:C,""),
_xlpm.MyAuditVal,_xlfn.XLOOKUP($A268,My_Audit!$A:$A,My_Audit!D:D,""),
_xlfn.IFS(_xlpm.MyAuditVal&lt;&gt;"",_xlpm.MyAuditVal,_xlpm.MacVal&lt;&gt;"",_xlpm.MacVal,_xlpm.CSVVal&lt;&gt;"",_xlpm.CSVVal
)),"")</f>
        <v/>
      </c>
      <c r="F268" s="54" t="str" cm="1">
        <f t="array" ref="F268">IFERROR(_xlfn.LET(
_xlpm.CSVVal,_xlfn.XLOOKUP($A268,CSV!$A:$A,CSV!E:E,""),
_xlpm.MacVal,_xlfn.XLOOKUP($A268,Output_Mac!$A:$A,Output_Mac!F:F,""),
_xlpm.MyAuditVal,_xlfn.XLOOKUP($A268,My_Audit!$A:$A,My_Audit!E:E,""),
_xlfn.IFS(_xlpm.MyAuditVal&lt;&gt;"",_xlpm.MyAuditVal,_xlpm.MacVal&lt;&gt;"",_xlpm.MacVal,_xlpm.CSVVal&lt;&gt;"",PROPER(_xlpm.CSVVal)
)),"")</f>
        <v/>
      </c>
      <c r="G268" s="54" t="str" cm="1">
        <f t="array" ref="G268">IFERROR(_xlfn.LET(
_xlpm.CSVVal,_xlfn.XLOOKUP($A268,CSV!$A:$A,CSV!F:F,""),
_xlpm.MacVal,_xlfn.XLOOKUP($A268,Output_Mac!$A:$A,Output_Mac!H:H,""),
_xlpm.MyAuditVal,_xlfn.XLOOKUP($A268,My_Audit!$A:$A,My_Audit!F:F,""),
_xlfn.IFS(_xlpm.MyAuditVal&lt;&gt;"",_xlpm.MyAuditVal,_xlpm.MacVal&lt;&gt;"",_xlpm.MacVal,_xlpm.CSVVal&lt;&gt;"",_xlpm.CSVVal
)),"")</f>
        <v/>
      </c>
      <c r="H268" s="54" t="str">
        <f>_xlfn.XLOOKUP(A268,Output_Mac!A:A,Output_Mac!I:I,"")</f>
        <v/>
      </c>
      <c r="I268" s="54" t="str" cm="1">
        <f t="array" ref="I268">IFERROR(_xlfn.LET(
_xlpm.CSVVal,_xlfn.XLOOKUP($A268,CSV!$A:$A,CSV!G:G,""),
_xlpm.MacVal,_xlfn.XLOOKUP($A268,Output_Mac!$A:$A,Output_Mac!J:J,""),
_xlpm.MyAuditVal,_xlfn.XLOOKUP($A268,My_Audit!$A:$A,My_Audit!H:H,""),
_xlfn.IFS(_xlpm.MyAuditVal&lt;&gt;"",UPPER(_xlpm.MyAuditVal),_xlpm.MacVal&lt;&gt;"",_xlpm.MacVal,_xlpm.CSVVal&lt;&gt;"",_xlpm.CSVVal
)),"")</f>
        <v/>
      </c>
      <c r="J268" s="54" t="str" cm="1">
        <f t="array" ref="J268">IFERROR(_xlfn.LET(
_xlpm.CSVVal,_xlfn.XLOOKUP($A268,CSV!$A:$A,CSV!I:I,""),
_xlpm.MacVal,_xlfn.XLOOKUP($A268,Output_Mac!$A:$A,Output_Mac!K:K,""),
_xlpm.MyAuditVal,_xlfn.XLOOKUP($A268,My_Audit!$A:$A,My_Audit!I:I,""),
_xlfn.IFS(_xlpm.MyAuditVal&lt;&gt;"",UPPER(_xlpm.MyAuditVal),_xlpm.MacVal&lt;&gt;"",_xlpm.MacVal,_xlpm.CSVVal&lt;&gt;"",_xlpm.CSVVal
)),"")</f>
        <v/>
      </c>
      <c r="K268" s="54" t="str" cm="1">
        <f t="array" ref="K268">IFERROR(_xlfn.LET(
_xlpm.CSVVal,_xlfn.XLOOKUP($A268,CSV!$A:$A,CSV!M:M,""),
_xlpm.MacVal,_xlfn.XLOOKUP($A268,Output_Mac!$A:$A,Output_Mac!L:L,""),
_xlpm.MyAuditVal,_xlfn.XLOOKUP($A268,My_Audit!$A:$A,My_Audit!J:J,""),
_xlfn.IFS(_xlpm.MyAuditVal&lt;&gt;"",UPPER(_xlpm.MyAuditVal),_xlpm.MacVal&lt;&gt;"",_xlpm.MacVal,_xlpm.CSVVal&lt;&gt;"",_xlpm.CSVVal
)),"")</f>
        <v/>
      </c>
      <c r="L268" s="55" t="str" cm="1">
        <f t="array" ref="L268">IFERROR(_xlfn.LET(
_xlpm.CSVVal,_xlfn.XLOOKUP($A268,CSV!$A:$A,CSV!P:P,""),
_xlpm.MacVal,_xlfn.XLOOKUP($A268,Output_Mac!$A:$A,Output_Mac!M:M,""),
_xlpm.MyAuditVal,_xlfn.XLOOKUP($A268,My_Audit!$A:$A,My_Audit!K:K,""),
_xlfn.IFS(_xlpm.MyAuditVal&lt;&gt;"",UPPER(_xlpm.MyAuditVal),_xlpm.MacVal&lt;&gt;"",_xlpm.MacVal,_xlpm.CSVVal&lt;&gt;"",_xlpm.CSVVal
)),"")</f>
        <v/>
      </c>
      <c r="M268" s="54" t="str">
        <f>_xlfn.LET(
    _xlpm.CSVVal, _xlfn.XLOOKUP($A268, CSV!$A:$A, CSV!AD:AD, ""),
    _xlpm.MacVal, _xlfn.XLOOKUP($A268, Output_Mac!$A:$A, Output_Mac!S:S, ""),
    _xlpm.MyAuditVal, _xlfn.XLOOKUP($A268, My_Audit!$A:$A, My_Audit!N:N, ""),
    _xlfn.TEXTJOIN(", ", TRUE, _xlpm.MyAuditVal, _xlpm.MacVal, _xlpm.CSVVal)
)</f>
        <v/>
      </c>
      <c r="N268" s="54" t="str" cm="1">
        <f t="array" ref="N268">IFERROR(_xlfn.LET(
_xlpm.CSVVal,_xlfn.XLOOKUP($A268,CSV!$A:$A,CSV!AF:AF,""),
_xlpm.MacVal,_xlfn.XLOOKUP($A268,Output_Mac!$A:$A,Output_Mac!U:U,""),
_xlpm.MyAuditVal,_xlfn.XLOOKUP($A268,My_Audit!$A:$A,My_Audit!O:O,""),
_xlfn.IFS(_xlpm.MyAuditVal&lt;&gt;"",UPPER(_xlpm.MyAuditVal),_xlpm.MacVal&lt;&gt;"",_xlpm.MacVal,_xlpm.CSVVal&lt;&gt;"",_xlpm.CSVVal
)),"")</f>
        <v/>
      </c>
      <c r="O268" s="54"/>
      <c r="P268" s="54"/>
      <c r="Q268" s="54"/>
      <c r="R268" s="54"/>
      <c r="S268" s="54"/>
      <c r="T268" s="54"/>
      <c r="U268" s="39"/>
    </row>
    <row r="269" spans="1:21">
      <c r="A269" s="54" t="str">
        <f>_xlfn.TEXTJOIN("",TRUE,Input!$B$2,ROW(My_Audit!A268))</f>
        <v>XX268</v>
      </c>
      <c r="B269" s="54" t="str">
        <f>_xlfn.TEXTJOIN("-",TRUE,"ITD",Input!$A$2,A269)</f>
        <v>ITD-SHRXXX-XX268</v>
      </c>
      <c r="C269" s="54" t="str" cm="1">
        <f t="array" ref="C269">IFERROR(_xlfn.LET(
_xlpm.CSVVal,_xlfn.XLOOKUP($A269,CSV!$A:$A,CSV!B:B,""),
_xlpm.MacVal,_xlfn.XLOOKUP($A269,Output_Mac!$A:$A,Output_Mac!B:B,""),
_xlpm.MyAuditVal,_xlfn.XLOOKUP($A269,My_Audit!$A:$A,My_Audit!B:B,""),
_xlfn.IFS(_xlpm.MyAuditVal&lt;&gt;"",UPPER(_xlpm.MyAuditVal),_xlpm.MacVal&lt;&gt;"",_xlpm.MacVal,_xlpm.CSVVal&lt;&gt;"",_xlpm.CSVVal
)),"")</f>
        <v/>
      </c>
      <c r="D269" s="55" t="str">
        <f>_xlfn.XLOOKUP(A269,My_Audit!A:A,My_Audit!D:D,"")&amp;""</f>
        <v/>
      </c>
      <c r="E269" s="55" t="str" cm="1">
        <f t="array" ref="E269">IFERROR(_xlfn.LET(
_xlpm.CSVVal,_xlfn.XLOOKUP($A269,CSV!$A:$A,CSV!D:D,""),
_xlpm.MacVal,_xlfn.XLOOKUP($A269,Output_Mac!$A:$A,Output_Mac!C:C,""),
_xlpm.MyAuditVal,_xlfn.XLOOKUP($A269,My_Audit!$A:$A,My_Audit!D:D,""),
_xlfn.IFS(_xlpm.MyAuditVal&lt;&gt;"",_xlpm.MyAuditVal,_xlpm.MacVal&lt;&gt;"",_xlpm.MacVal,_xlpm.CSVVal&lt;&gt;"",_xlpm.CSVVal
)),"")</f>
        <v/>
      </c>
      <c r="F269" s="54" t="str" cm="1">
        <f t="array" ref="F269">IFERROR(_xlfn.LET(
_xlpm.CSVVal,_xlfn.XLOOKUP($A269,CSV!$A:$A,CSV!E:E,""),
_xlpm.MacVal,_xlfn.XLOOKUP($A269,Output_Mac!$A:$A,Output_Mac!F:F,""),
_xlpm.MyAuditVal,_xlfn.XLOOKUP($A269,My_Audit!$A:$A,My_Audit!E:E,""),
_xlfn.IFS(_xlpm.MyAuditVal&lt;&gt;"",_xlpm.MyAuditVal,_xlpm.MacVal&lt;&gt;"",_xlpm.MacVal,_xlpm.CSVVal&lt;&gt;"",PROPER(_xlpm.CSVVal)
)),"")</f>
        <v/>
      </c>
      <c r="G269" s="54" t="str" cm="1">
        <f t="array" ref="G269">IFERROR(_xlfn.LET(
_xlpm.CSVVal,_xlfn.XLOOKUP($A269,CSV!$A:$A,CSV!F:F,""),
_xlpm.MacVal,_xlfn.XLOOKUP($A269,Output_Mac!$A:$A,Output_Mac!H:H,""),
_xlpm.MyAuditVal,_xlfn.XLOOKUP($A269,My_Audit!$A:$A,My_Audit!F:F,""),
_xlfn.IFS(_xlpm.MyAuditVal&lt;&gt;"",_xlpm.MyAuditVal,_xlpm.MacVal&lt;&gt;"",_xlpm.MacVal,_xlpm.CSVVal&lt;&gt;"",_xlpm.CSVVal
)),"")</f>
        <v/>
      </c>
      <c r="H269" s="54" t="str">
        <f>_xlfn.XLOOKUP(A269,Output_Mac!A:A,Output_Mac!I:I,"")</f>
        <v/>
      </c>
      <c r="I269" s="54" t="str" cm="1">
        <f t="array" ref="I269">IFERROR(_xlfn.LET(
_xlpm.CSVVal,_xlfn.XLOOKUP($A269,CSV!$A:$A,CSV!G:G,""),
_xlpm.MacVal,_xlfn.XLOOKUP($A269,Output_Mac!$A:$A,Output_Mac!J:J,""),
_xlpm.MyAuditVal,_xlfn.XLOOKUP($A269,My_Audit!$A:$A,My_Audit!H:H,""),
_xlfn.IFS(_xlpm.MyAuditVal&lt;&gt;"",UPPER(_xlpm.MyAuditVal),_xlpm.MacVal&lt;&gt;"",_xlpm.MacVal,_xlpm.CSVVal&lt;&gt;"",_xlpm.CSVVal
)),"")</f>
        <v/>
      </c>
      <c r="J269" s="54" t="str" cm="1">
        <f t="array" ref="J269">IFERROR(_xlfn.LET(
_xlpm.CSVVal,_xlfn.XLOOKUP($A269,CSV!$A:$A,CSV!I:I,""),
_xlpm.MacVal,_xlfn.XLOOKUP($A269,Output_Mac!$A:$A,Output_Mac!K:K,""),
_xlpm.MyAuditVal,_xlfn.XLOOKUP($A269,My_Audit!$A:$A,My_Audit!I:I,""),
_xlfn.IFS(_xlpm.MyAuditVal&lt;&gt;"",UPPER(_xlpm.MyAuditVal),_xlpm.MacVal&lt;&gt;"",_xlpm.MacVal,_xlpm.CSVVal&lt;&gt;"",_xlpm.CSVVal
)),"")</f>
        <v/>
      </c>
      <c r="K269" s="54" t="str" cm="1">
        <f t="array" ref="K269">IFERROR(_xlfn.LET(
_xlpm.CSVVal,_xlfn.XLOOKUP($A269,CSV!$A:$A,CSV!M:M,""),
_xlpm.MacVal,_xlfn.XLOOKUP($A269,Output_Mac!$A:$A,Output_Mac!L:L,""),
_xlpm.MyAuditVal,_xlfn.XLOOKUP($A269,My_Audit!$A:$A,My_Audit!J:J,""),
_xlfn.IFS(_xlpm.MyAuditVal&lt;&gt;"",UPPER(_xlpm.MyAuditVal),_xlpm.MacVal&lt;&gt;"",_xlpm.MacVal,_xlpm.CSVVal&lt;&gt;"",_xlpm.CSVVal
)),"")</f>
        <v/>
      </c>
      <c r="L269" s="55" t="str" cm="1">
        <f t="array" ref="L269">IFERROR(_xlfn.LET(
_xlpm.CSVVal,_xlfn.XLOOKUP($A269,CSV!$A:$A,CSV!P:P,""),
_xlpm.MacVal,_xlfn.XLOOKUP($A269,Output_Mac!$A:$A,Output_Mac!M:M,""),
_xlpm.MyAuditVal,_xlfn.XLOOKUP($A269,My_Audit!$A:$A,My_Audit!K:K,""),
_xlfn.IFS(_xlpm.MyAuditVal&lt;&gt;"",UPPER(_xlpm.MyAuditVal),_xlpm.MacVal&lt;&gt;"",_xlpm.MacVal,_xlpm.CSVVal&lt;&gt;"",_xlpm.CSVVal
)),"")</f>
        <v/>
      </c>
      <c r="M269" s="54" t="str">
        <f>_xlfn.LET(
    _xlpm.CSVVal, _xlfn.XLOOKUP($A269, CSV!$A:$A, CSV!AD:AD, ""),
    _xlpm.MacVal, _xlfn.XLOOKUP($A269, Output_Mac!$A:$A, Output_Mac!S:S, ""),
    _xlpm.MyAuditVal, _xlfn.XLOOKUP($A269, My_Audit!$A:$A, My_Audit!N:N, ""),
    _xlfn.TEXTJOIN(", ", TRUE, _xlpm.MyAuditVal, _xlpm.MacVal, _xlpm.CSVVal)
)</f>
        <v/>
      </c>
      <c r="N269" s="54" t="str" cm="1">
        <f t="array" ref="N269">IFERROR(_xlfn.LET(
_xlpm.CSVVal,_xlfn.XLOOKUP($A269,CSV!$A:$A,CSV!AF:AF,""),
_xlpm.MacVal,_xlfn.XLOOKUP($A269,Output_Mac!$A:$A,Output_Mac!U:U,""),
_xlpm.MyAuditVal,_xlfn.XLOOKUP($A269,My_Audit!$A:$A,My_Audit!O:O,""),
_xlfn.IFS(_xlpm.MyAuditVal&lt;&gt;"",UPPER(_xlpm.MyAuditVal),_xlpm.MacVal&lt;&gt;"",_xlpm.MacVal,_xlpm.CSVVal&lt;&gt;"",_xlpm.CSVVal
)),"")</f>
        <v/>
      </c>
      <c r="O269" s="54"/>
      <c r="P269" s="54"/>
      <c r="Q269" s="54"/>
      <c r="R269" s="54"/>
      <c r="S269" s="54"/>
      <c r="T269" s="54"/>
      <c r="U269" s="39"/>
    </row>
    <row r="270" spans="1:21">
      <c r="A270" s="54" t="str">
        <f>_xlfn.TEXTJOIN("",TRUE,Input!$B$2,ROW(My_Audit!A269))</f>
        <v>XX269</v>
      </c>
      <c r="B270" s="54" t="str">
        <f>_xlfn.TEXTJOIN("-",TRUE,"ITD",Input!$A$2,A270)</f>
        <v>ITD-SHRXXX-XX269</v>
      </c>
      <c r="C270" s="54" t="str" cm="1">
        <f t="array" ref="C270">IFERROR(_xlfn.LET(
_xlpm.CSVVal,_xlfn.XLOOKUP($A270,CSV!$A:$A,CSV!B:B,""),
_xlpm.MacVal,_xlfn.XLOOKUP($A270,Output_Mac!$A:$A,Output_Mac!B:B,""),
_xlpm.MyAuditVal,_xlfn.XLOOKUP($A270,My_Audit!$A:$A,My_Audit!B:B,""),
_xlfn.IFS(_xlpm.MyAuditVal&lt;&gt;"",UPPER(_xlpm.MyAuditVal),_xlpm.MacVal&lt;&gt;"",_xlpm.MacVal,_xlpm.CSVVal&lt;&gt;"",_xlpm.CSVVal
)),"")</f>
        <v/>
      </c>
      <c r="D270" s="55" t="str">
        <f>_xlfn.XLOOKUP(A270,My_Audit!A:A,My_Audit!D:D,"")&amp;""</f>
        <v/>
      </c>
      <c r="E270" s="55" t="str" cm="1">
        <f t="array" ref="E270">IFERROR(_xlfn.LET(
_xlpm.CSVVal,_xlfn.XLOOKUP($A270,CSV!$A:$A,CSV!D:D,""),
_xlpm.MacVal,_xlfn.XLOOKUP($A270,Output_Mac!$A:$A,Output_Mac!C:C,""),
_xlpm.MyAuditVal,_xlfn.XLOOKUP($A270,My_Audit!$A:$A,My_Audit!D:D,""),
_xlfn.IFS(_xlpm.MyAuditVal&lt;&gt;"",_xlpm.MyAuditVal,_xlpm.MacVal&lt;&gt;"",_xlpm.MacVal,_xlpm.CSVVal&lt;&gt;"",_xlpm.CSVVal
)),"")</f>
        <v/>
      </c>
      <c r="F270" s="54" t="str" cm="1">
        <f t="array" ref="F270">IFERROR(_xlfn.LET(
_xlpm.CSVVal,_xlfn.XLOOKUP($A270,CSV!$A:$A,CSV!E:E,""),
_xlpm.MacVal,_xlfn.XLOOKUP($A270,Output_Mac!$A:$A,Output_Mac!F:F,""),
_xlpm.MyAuditVal,_xlfn.XLOOKUP($A270,My_Audit!$A:$A,My_Audit!E:E,""),
_xlfn.IFS(_xlpm.MyAuditVal&lt;&gt;"",_xlpm.MyAuditVal,_xlpm.MacVal&lt;&gt;"",_xlpm.MacVal,_xlpm.CSVVal&lt;&gt;"",PROPER(_xlpm.CSVVal)
)),"")</f>
        <v/>
      </c>
      <c r="G270" s="54" t="str" cm="1">
        <f t="array" ref="G270">IFERROR(_xlfn.LET(
_xlpm.CSVVal,_xlfn.XLOOKUP($A270,CSV!$A:$A,CSV!F:F,""),
_xlpm.MacVal,_xlfn.XLOOKUP($A270,Output_Mac!$A:$A,Output_Mac!H:H,""),
_xlpm.MyAuditVal,_xlfn.XLOOKUP($A270,My_Audit!$A:$A,My_Audit!F:F,""),
_xlfn.IFS(_xlpm.MyAuditVal&lt;&gt;"",_xlpm.MyAuditVal,_xlpm.MacVal&lt;&gt;"",_xlpm.MacVal,_xlpm.CSVVal&lt;&gt;"",_xlpm.CSVVal
)),"")</f>
        <v/>
      </c>
      <c r="H270" s="54" t="str">
        <f>_xlfn.XLOOKUP(A270,Output_Mac!A:A,Output_Mac!I:I,"")</f>
        <v/>
      </c>
      <c r="I270" s="54" t="str" cm="1">
        <f t="array" ref="I270">IFERROR(_xlfn.LET(
_xlpm.CSVVal,_xlfn.XLOOKUP($A270,CSV!$A:$A,CSV!G:G,""),
_xlpm.MacVal,_xlfn.XLOOKUP($A270,Output_Mac!$A:$A,Output_Mac!J:J,""),
_xlpm.MyAuditVal,_xlfn.XLOOKUP($A270,My_Audit!$A:$A,My_Audit!H:H,""),
_xlfn.IFS(_xlpm.MyAuditVal&lt;&gt;"",UPPER(_xlpm.MyAuditVal),_xlpm.MacVal&lt;&gt;"",_xlpm.MacVal,_xlpm.CSVVal&lt;&gt;"",_xlpm.CSVVal
)),"")</f>
        <v/>
      </c>
      <c r="J270" s="54" t="str" cm="1">
        <f t="array" ref="J270">IFERROR(_xlfn.LET(
_xlpm.CSVVal,_xlfn.XLOOKUP($A270,CSV!$A:$A,CSV!I:I,""),
_xlpm.MacVal,_xlfn.XLOOKUP($A270,Output_Mac!$A:$A,Output_Mac!K:K,""),
_xlpm.MyAuditVal,_xlfn.XLOOKUP($A270,My_Audit!$A:$A,My_Audit!I:I,""),
_xlfn.IFS(_xlpm.MyAuditVal&lt;&gt;"",UPPER(_xlpm.MyAuditVal),_xlpm.MacVal&lt;&gt;"",_xlpm.MacVal,_xlpm.CSVVal&lt;&gt;"",_xlpm.CSVVal
)),"")</f>
        <v/>
      </c>
      <c r="K270" s="54" t="str" cm="1">
        <f t="array" ref="K270">IFERROR(_xlfn.LET(
_xlpm.CSVVal,_xlfn.XLOOKUP($A270,CSV!$A:$A,CSV!M:M,""),
_xlpm.MacVal,_xlfn.XLOOKUP($A270,Output_Mac!$A:$A,Output_Mac!L:L,""),
_xlpm.MyAuditVal,_xlfn.XLOOKUP($A270,My_Audit!$A:$A,My_Audit!J:J,""),
_xlfn.IFS(_xlpm.MyAuditVal&lt;&gt;"",UPPER(_xlpm.MyAuditVal),_xlpm.MacVal&lt;&gt;"",_xlpm.MacVal,_xlpm.CSVVal&lt;&gt;"",_xlpm.CSVVal
)),"")</f>
        <v/>
      </c>
      <c r="L270" s="55" t="str" cm="1">
        <f t="array" ref="L270">IFERROR(_xlfn.LET(
_xlpm.CSVVal,_xlfn.XLOOKUP($A270,CSV!$A:$A,CSV!P:P,""),
_xlpm.MacVal,_xlfn.XLOOKUP($A270,Output_Mac!$A:$A,Output_Mac!M:M,""),
_xlpm.MyAuditVal,_xlfn.XLOOKUP($A270,My_Audit!$A:$A,My_Audit!K:K,""),
_xlfn.IFS(_xlpm.MyAuditVal&lt;&gt;"",UPPER(_xlpm.MyAuditVal),_xlpm.MacVal&lt;&gt;"",_xlpm.MacVal,_xlpm.CSVVal&lt;&gt;"",_xlpm.CSVVal
)),"")</f>
        <v/>
      </c>
      <c r="M270" s="54" t="str">
        <f>_xlfn.LET(
    _xlpm.CSVVal, _xlfn.XLOOKUP($A270, CSV!$A:$A, CSV!AD:AD, ""),
    _xlpm.MacVal, _xlfn.XLOOKUP($A270, Output_Mac!$A:$A, Output_Mac!S:S, ""),
    _xlpm.MyAuditVal, _xlfn.XLOOKUP($A270, My_Audit!$A:$A, My_Audit!N:N, ""),
    _xlfn.TEXTJOIN(", ", TRUE, _xlpm.MyAuditVal, _xlpm.MacVal, _xlpm.CSVVal)
)</f>
        <v/>
      </c>
      <c r="N270" s="54" t="str" cm="1">
        <f t="array" ref="N270">IFERROR(_xlfn.LET(
_xlpm.CSVVal,_xlfn.XLOOKUP($A270,CSV!$A:$A,CSV!AF:AF,""),
_xlpm.MacVal,_xlfn.XLOOKUP($A270,Output_Mac!$A:$A,Output_Mac!U:U,""),
_xlpm.MyAuditVal,_xlfn.XLOOKUP($A270,My_Audit!$A:$A,My_Audit!O:O,""),
_xlfn.IFS(_xlpm.MyAuditVal&lt;&gt;"",UPPER(_xlpm.MyAuditVal),_xlpm.MacVal&lt;&gt;"",_xlpm.MacVal,_xlpm.CSVVal&lt;&gt;"",_xlpm.CSVVal
)),"")</f>
        <v/>
      </c>
      <c r="O270" s="54"/>
      <c r="P270" s="54"/>
      <c r="Q270" s="54"/>
      <c r="R270" s="54"/>
      <c r="S270" s="54"/>
      <c r="T270" s="54"/>
      <c r="U270" s="39"/>
    </row>
    <row r="271" spans="1:21">
      <c r="A271" s="54" t="str">
        <f>_xlfn.TEXTJOIN("",TRUE,Input!$B$2,ROW(My_Audit!A270))</f>
        <v>XX270</v>
      </c>
      <c r="B271" s="54" t="str">
        <f>_xlfn.TEXTJOIN("-",TRUE,"ITD",Input!$A$2,A271)</f>
        <v>ITD-SHRXXX-XX270</v>
      </c>
      <c r="C271" s="54" t="str" cm="1">
        <f t="array" ref="C271">IFERROR(_xlfn.LET(
_xlpm.CSVVal,_xlfn.XLOOKUP($A271,CSV!$A:$A,CSV!B:B,""),
_xlpm.MacVal,_xlfn.XLOOKUP($A271,Output_Mac!$A:$A,Output_Mac!B:B,""),
_xlpm.MyAuditVal,_xlfn.XLOOKUP($A271,My_Audit!$A:$A,My_Audit!B:B,""),
_xlfn.IFS(_xlpm.MyAuditVal&lt;&gt;"",UPPER(_xlpm.MyAuditVal),_xlpm.MacVal&lt;&gt;"",_xlpm.MacVal,_xlpm.CSVVal&lt;&gt;"",_xlpm.CSVVal
)),"")</f>
        <v/>
      </c>
      <c r="D271" s="55" t="str">
        <f>_xlfn.XLOOKUP(A271,My_Audit!A:A,My_Audit!D:D,"")&amp;""</f>
        <v/>
      </c>
      <c r="E271" s="55" t="str" cm="1">
        <f t="array" ref="E271">IFERROR(_xlfn.LET(
_xlpm.CSVVal,_xlfn.XLOOKUP($A271,CSV!$A:$A,CSV!D:D,""),
_xlpm.MacVal,_xlfn.XLOOKUP($A271,Output_Mac!$A:$A,Output_Mac!C:C,""),
_xlpm.MyAuditVal,_xlfn.XLOOKUP($A271,My_Audit!$A:$A,My_Audit!D:D,""),
_xlfn.IFS(_xlpm.MyAuditVal&lt;&gt;"",_xlpm.MyAuditVal,_xlpm.MacVal&lt;&gt;"",_xlpm.MacVal,_xlpm.CSVVal&lt;&gt;"",_xlpm.CSVVal
)),"")</f>
        <v/>
      </c>
      <c r="F271" s="54" t="str" cm="1">
        <f t="array" ref="F271">IFERROR(_xlfn.LET(
_xlpm.CSVVal,_xlfn.XLOOKUP($A271,CSV!$A:$A,CSV!E:E,""),
_xlpm.MacVal,_xlfn.XLOOKUP($A271,Output_Mac!$A:$A,Output_Mac!F:F,""),
_xlpm.MyAuditVal,_xlfn.XLOOKUP($A271,My_Audit!$A:$A,My_Audit!E:E,""),
_xlfn.IFS(_xlpm.MyAuditVal&lt;&gt;"",_xlpm.MyAuditVal,_xlpm.MacVal&lt;&gt;"",_xlpm.MacVal,_xlpm.CSVVal&lt;&gt;"",PROPER(_xlpm.CSVVal)
)),"")</f>
        <v/>
      </c>
      <c r="G271" s="54" t="str" cm="1">
        <f t="array" ref="G271">IFERROR(_xlfn.LET(
_xlpm.CSVVal,_xlfn.XLOOKUP($A271,CSV!$A:$A,CSV!F:F,""),
_xlpm.MacVal,_xlfn.XLOOKUP($A271,Output_Mac!$A:$A,Output_Mac!H:H,""),
_xlpm.MyAuditVal,_xlfn.XLOOKUP($A271,My_Audit!$A:$A,My_Audit!F:F,""),
_xlfn.IFS(_xlpm.MyAuditVal&lt;&gt;"",_xlpm.MyAuditVal,_xlpm.MacVal&lt;&gt;"",_xlpm.MacVal,_xlpm.CSVVal&lt;&gt;"",_xlpm.CSVVal
)),"")</f>
        <v/>
      </c>
      <c r="H271" s="54" t="str">
        <f>_xlfn.XLOOKUP(A271,Output_Mac!A:A,Output_Mac!I:I,"")</f>
        <v/>
      </c>
      <c r="I271" s="54" t="str" cm="1">
        <f t="array" ref="I271">IFERROR(_xlfn.LET(
_xlpm.CSVVal,_xlfn.XLOOKUP($A271,CSV!$A:$A,CSV!G:G,""),
_xlpm.MacVal,_xlfn.XLOOKUP($A271,Output_Mac!$A:$A,Output_Mac!J:J,""),
_xlpm.MyAuditVal,_xlfn.XLOOKUP($A271,My_Audit!$A:$A,My_Audit!H:H,""),
_xlfn.IFS(_xlpm.MyAuditVal&lt;&gt;"",UPPER(_xlpm.MyAuditVal),_xlpm.MacVal&lt;&gt;"",_xlpm.MacVal,_xlpm.CSVVal&lt;&gt;"",_xlpm.CSVVal
)),"")</f>
        <v/>
      </c>
      <c r="J271" s="54" t="str" cm="1">
        <f t="array" ref="J271">IFERROR(_xlfn.LET(
_xlpm.CSVVal,_xlfn.XLOOKUP($A271,CSV!$A:$A,CSV!I:I,""),
_xlpm.MacVal,_xlfn.XLOOKUP($A271,Output_Mac!$A:$A,Output_Mac!K:K,""),
_xlpm.MyAuditVal,_xlfn.XLOOKUP($A271,My_Audit!$A:$A,My_Audit!I:I,""),
_xlfn.IFS(_xlpm.MyAuditVal&lt;&gt;"",UPPER(_xlpm.MyAuditVal),_xlpm.MacVal&lt;&gt;"",_xlpm.MacVal,_xlpm.CSVVal&lt;&gt;"",_xlpm.CSVVal
)),"")</f>
        <v/>
      </c>
      <c r="K271" s="54" t="str" cm="1">
        <f t="array" ref="K271">IFERROR(_xlfn.LET(
_xlpm.CSVVal,_xlfn.XLOOKUP($A271,CSV!$A:$A,CSV!M:M,""),
_xlpm.MacVal,_xlfn.XLOOKUP($A271,Output_Mac!$A:$A,Output_Mac!L:L,""),
_xlpm.MyAuditVal,_xlfn.XLOOKUP($A271,My_Audit!$A:$A,My_Audit!J:J,""),
_xlfn.IFS(_xlpm.MyAuditVal&lt;&gt;"",UPPER(_xlpm.MyAuditVal),_xlpm.MacVal&lt;&gt;"",_xlpm.MacVal,_xlpm.CSVVal&lt;&gt;"",_xlpm.CSVVal
)),"")</f>
        <v/>
      </c>
      <c r="L271" s="55" t="str" cm="1">
        <f t="array" ref="L271">IFERROR(_xlfn.LET(
_xlpm.CSVVal,_xlfn.XLOOKUP($A271,CSV!$A:$A,CSV!P:P,""),
_xlpm.MacVal,_xlfn.XLOOKUP($A271,Output_Mac!$A:$A,Output_Mac!M:M,""),
_xlpm.MyAuditVal,_xlfn.XLOOKUP($A271,My_Audit!$A:$A,My_Audit!K:K,""),
_xlfn.IFS(_xlpm.MyAuditVal&lt;&gt;"",UPPER(_xlpm.MyAuditVal),_xlpm.MacVal&lt;&gt;"",_xlpm.MacVal,_xlpm.CSVVal&lt;&gt;"",_xlpm.CSVVal
)),"")</f>
        <v/>
      </c>
      <c r="M271" s="54" t="str">
        <f>_xlfn.LET(
    _xlpm.CSVVal, _xlfn.XLOOKUP($A271, CSV!$A:$A, CSV!AD:AD, ""),
    _xlpm.MacVal, _xlfn.XLOOKUP($A271, Output_Mac!$A:$A, Output_Mac!S:S, ""),
    _xlpm.MyAuditVal, _xlfn.XLOOKUP($A271, My_Audit!$A:$A, My_Audit!N:N, ""),
    _xlfn.TEXTJOIN(", ", TRUE, _xlpm.MyAuditVal, _xlpm.MacVal, _xlpm.CSVVal)
)</f>
        <v/>
      </c>
      <c r="N271" s="54" t="str" cm="1">
        <f t="array" ref="N271">IFERROR(_xlfn.LET(
_xlpm.CSVVal,_xlfn.XLOOKUP($A271,CSV!$A:$A,CSV!AF:AF,""),
_xlpm.MacVal,_xlfn.XLOOKUP($A271,Output_Mac!$A:$A,Output_Mac!U:U,""),
_xlpm.MyAuditVal,_xlfn.XLOOKUP($A271,My_Audit!$A:$A,My_Audit!O:O,""),
_xlfn.IFS(_xlpm.MyAuditVal&lt;&gt;"",UPPER(_xlpm.MyAuditVal),_xlpm.MacVal&lt;&gt;"",_xlpm.MacVal,_xlpm.CSVVal&lt;&gt;"",_xlpm.CSVVal
)),"")</f>
        <v/>
      </c>
      <c r="O271" s="54"/>
      <c r="P271" s="54"/>
      <c r="Q271" s="54"/>
      <c r="R271" s="54"/>
      <c r="S271" s="54"/>
      <c r="T271" s="54"/>
      <c r="U271" s="39"/>
    </row>
    <row r="272" spans="1:21">
      <c r="A272" s="54" t="str">
        <f>_xlfn.TEXTJOIN("",TRUE,Input!$B$2,ROW(My_Audit!A271))</f>
        <v>XX271</v>
      </c>
      <c r="B272" s="54" t="str">
        <f>_xlfn.TEXTJOIN("-",TRUE,"ITD",Input!$A$2,A272)</f>
        <v>ITD-SHRXXX-XX271</v>
      </c>
      <c r="C272" s="54" t="str" cm="1">
        <f t="array" ref="C272">IFERROR(_xlfn.LET(
_xlpm.CSVVal,_xlfn.XLOOKUP($A272,CSV!$A:$A,CSV!B:B,""),
_xlpm.MacVal,_xlfn.XLOOKUP($A272,Output_Mac!$A:$A,Output_Mac!B:B,""),
_xlpm.MyAuditVal,_xlfn.XLOOKUP($A272,My_Audit!$A:$A,My_Audit!B:B,""),
_xlfn.IFS(_xlpm.MyAuditVal&lt;&gt;"",UPPER(_xlpm.MyAuditVal),_xlpm.MacVal&lt;&gt;"",_xlpm.MacVal,_xlpm.CSVVal&lt;&gt;"",_xlpm.CSVVal
)),"")</f>
        <v/>
      </c>
      <c r="D272" s="55" t="str">
        <f>_xlfn.XLOOKUP(A272,My_Audit!A:A,My_Audit!D:D,"")&amp;""</f>
        <v/>
      </c>
      <c r="E272" s="55" t="str" cm="1">
        <f t="array" ref="E272">IFERROR(_xlfn.LET(
_xlpm.CSVVal,_xlfn.XLOOKUP($A272,CSV!$A:$A,CSV!D:D,""),
_xlpm.MacVal,_xlfn.XLOOKUP($A272,Output_Mac!$A:$A,Output_Mac!C:C,""),
_xlpm.MyAuditVal,_xlfn.XLOOKUP($A272,My_Audit!$A:$A,My_Audit!D:D,""),
_xlfn.IFS(_xlpm.MyAuditVal&lt;&gt;"",_xlpm.MyAuditVal,_xlpm.MacVal&lt;&gt;"",_xlpm.MacVal,_xlpm.CSVVal&lt;&gt;"",_xlpm.CSVVal
)),"")</f>
        <v/>
      </c>
      <c r="F272" s="54" t="str" cm="1">
        <f t="array" ref="F272">IFERROR(_xlfn.LET(
_xlpm.CSVVal,_xlfn.XLOOKUP($A272,CSV!$A:$A,CSV!E:E,""),
_xlpm.MacVal,_xlfn.XLOOKUP($A272,Output_Mac!$A:$A,Output_Mac!F:F,""),
_xlpm.MyAuditVal,_xlfn.XLOOKUP($A272,My_Audit!$A:$A,My_Audit!E:E,""),
_xlfn.IFS(_xlpm.MyAuditVal&lt;&gt;"",_xlpm.MyAuditVal,_xlpm.MacVal&lt;&gt;"",_xlpm.MacVal,_xlpm.CSVVal&lt;&gt;"",PROPER(_xlpm.CSVVal)
)),"")</f>
        <v/>
      </c>
      <c r="G272" s="54" t="str" cm="1">
        <f t="array" ref="G272">IFERROR(_xlfn.LET(
_xlpm.CSVVal,_xlfn.XLOOKUP($A272,CSV!$A:$A,CSV!F:F,""),
_xlpm.MacVal,_xlfn.XLOOKUP($A272,Output_Mac!$A:$A,Output_Mac!H:H,""),
_xlpm.MyAuditVal,_xlfn.XLOOKUP($A272,My_Audit!$A:$A,My_Audit!F:F,""),
_xlfn.IFS(_xlpm.MyAuditVal&lt;&gt;"",_xlpm.MyAuditVal,_xlpm.MacVal&lt;&gt;"",_xlpm.MacVal,_xlpm.CSVVal&lt;&gt;"",_xlpm.CSVVal
)),"")</f>
        <v/>
      </c>
      <c r="H272" s="54" t="str">
        <f>_xlfn.XLOOKUP(A272,Output_Mac!A:A,Output_Mac!I:I,"")</f>
        <v/>
      </c>
      <c r="I272" s="54" t="str" cm="1">
        <f t="array" ref="I272">IFERROR(_xlfn.LET(
_xlpm.CSVVal,_xlfn.XLOOKUP($A272,CSV!$A:$A,CSV!G:G,""),
_xlpm.MacVal,_xlfn.XLOOKUP($A272,Output_Mac!$A:$A,Output_Mac!J:J,""),
_xlpm.MyAuditVal,_xlfn.XLOOKUP($A272,My_Audit!$A:$A,My_Audit!H:H,""),
_xlfn.IFS(_xlpm.MyAuditVal&lt;&gt;"",UPPER(_xlpm.MyAuditVal),_xlpm.MacVal&lt;&gt;"",_xlpm.MacVal,_xlpm.CSVVal&lt;&gt;"",_xlpm.CSVVal
)),"")</f>
        <v/>
      </c>
      <c r="J272" s="54" t="str" cm="1">
        <f t="array" ref="J272">IFERROR(_xlfn.LET(
_xlpm.CSVVal,_xlfn.XLOOKUP($A272,CSV!$A:$A,CSV!I:I,""),
_xlpm.MacVal,_xlfn.XLOOKUP($A272,Output_Mac!$A:$A,Output_Mac!K:K,""),
_xlpm.MyAuditVal,_xlfn.XLOOKUP($A272,My_Audit!$A:$A,My_Audit!I:I,""),
_xlfn.IFS(_xlpm.MyAuditVal&lt;&gt;"",UPPER(_xlpm.MyAuditVal),_xlpm.MacVal&lt;&gt;"",_xlpm.MacVal,_xlpm.CSVVal&lt;&gt;"",_xlpm.CSVVal
)),"")</f>
        <v/>
      </c>
      <c r="K272" s="54" t="str" cm="1">
        <f t="array" ref="K272">IFERROR(_xlfn.LET(
_xlpm.CSVVal,_xlfn.XLOOKUP($A272,CSV!$A:$A,CSV!M:M,""),
_xlpm.MacVal,_xlfn.XLOOKUP($A272,Output_Mac!$A:$A,Output_Mac!L:L,""),
_xlpm.MyAuditVal,_xlfn.XLOOKUP($A272,My_Audit!$A:$A,My_Audit!J:J,""),
_xlfn.IFS(_xlpm.MyAuditVal&lt;&gt;"",UPPER(_xlpm.MyAuditVal),_xlpm.MacVal&lt;&gt;"",_xlpm.MacVal,_xlpm.CSVVal&lt;&gt;"",_xlpm.CSVVal
)),"")</f>
        <v/>
      </c>
      <c r="L272" s="55" t="str" cm="1">
        <f t="array" ref="L272">IFERROR(_xlfn.LET(
_xlpm.CSVVal,_xlfn.XLOOKUP($A272,CSV!$A:$A,CSV!P:P,""),
_xlpm.MacVal,_xlfn.XLOOKUP($A272,Output_Mac!$A:$A,Output_Mac!M:M,""),
_xlpm.MyAuditVal,_xlfn.XLOOKUP($A272,My_Audit!$A:$A,My_Audit!K:K,""),
_xlfn.IFS(_xlpm.MyAuditVal&lt;&gt;"",UPPER(_xlpm.MyAuditVal),_xlpm.MacVal&lt;&gt;"",_xlpm.MacVal,_xlpm.CSVVal&lt;&gt;"",_xlpm.CSVVal
)),"")</f>
        <v/>
      </c>
      <c r="M272" s="54" t="str">
        <f>_xlfn.LET(
    _xlpm.CSVVal, _xlfn.XLOOKUP($A272, CSV!$A:$A, CSV!AD:AD, ""),
    _xlpm.MacVal, _xlfn.XLOOKUP($A272, Output_Mac!$A:$A, Output_Mac!S:S, ""),
    _xlpm.MyAuditVal, _xlfn.XLOOKUP($A272, My_Audit!$A:$A, My_Audit!N:N, ""),
    _xlfn.TEXTJOIN(", ", TRUE, _xlpm.MyAuditVal, _xlpm.MacVal, _xlpm.CSVVal)
)</f>
        <v/>
      </c>
      <c r="N272" s="54" t="str" cm="1">
        <f t="array" ref="N272">IFERROR(_xlfn.LET(
_xlpm.CSVVal,_xlfn.XLOOKUP($A272,CSV!$A:$A,CSV!AF:AF,""),
_xlpm.MacVal,_xlfn.XLOOKUP($A272,Output_Mac!$A:$A,Output_Mac!U:U,""),
_xlpm.MyAuditVal,_xlfn.XLOOKUP($A272,My_Audit!$A:$A,My_Audit!O:O,""),
_xlfn.IFS(_xlpm.MyAuditVal&lt;&gt;"",UPPER(_xlpm.MyAuditVal),_xlpm.MacVal&lt;&gt;"",_xlpm.MacVal,_xlpm.CSVVal&lt;&gt;"",_xlpm.CSVVal
)),"")</f>
        <v/>
      </c>
      <c r="O272" s="54"/>
      <c r="P272" s="54"/>
      <c r="Q272" s="54"/>
      <c r="R272" s="54"/>
      <c r="S272" s="54"/>
      <c r="T272" s="54"/>
      <c r="U272" s="39"/>
    </row>
    <row r="273" spans="1:21">
      <c r="A273" s="54" t="str">
        <f>_xlfn.TEXTJOIN("",TRUE,Input!$B$2,ROW(My_Audit!A272))</f>
        <v>XX272</v>
      </c>
      <c r="B273" s="54" t="str">
        <f>_xlfn.TEXTJOIN("-",TRUE,"ITD",Input!$A$2,A273)</f>
        <v>ITD-SHRXXX-XX272</v>
      </c>
      <c r="C273" s="54" t="str" cm="1">
        <f t="array" ref="C273">IFERROR(_xlfn.LET(
_xlpm.CSVVal,_xlfn.XLOOKUP($A273,CSV!$A:$A,CSV!B:B,""),
_xlpm.MacVal,_xlfn.XLOOKUP($A273,Output_Mac!$A:$A,Output_Mac!B:B,""),
_xlpm.MyAuditVal,_xlfn.XLOOKUP($A273,My_Audit!$A:$A,My_Audit!B:B,""),
_xlfn.IFS(_xlpm.MyAuditVal&lt;&gt;"",UPPER(_xlpm.MyAuditVal),_xlpm.MacVal&lt;&gt;"",_xlpm.MacVal,_xlpm.CSVVal&lt;&gt;"",_xlpm.CSVVal
)),"")</f>
        <v/>
      </c>
      <c r="D273" s="55" t="str">
        <f>_xlfn.XLOOKUP(A273,My_Audit!A:A,My_Audit!D:D,"")&amp;""</f>
        <v/>
      </c>
      <c r="E273" s="55" t="str" cm="1">
        <f t="array" ref="E273">IFERROR(_xlfn.LET(
_xlpm.CSVVal,_xlfn.XLOOKUP($A273,CSV!$A:$A,CSV!D:D,""),
_xlpm.MacVal,_xlfn.XLOOKUP($A273,Output_Mac!$A:$A,Output_Mac!C:C,""),
_xlpm.MyAuditVal,_xlfn.XLOOKUP($A273,My_Audit!$A:$A,My_Audit!D:D,""),
_xlfn.IFS(_xlpm.MyAuditVal&lt;&gt;"",_xlpm.MyAuditVal,_xlpm.MacVal&lt;&gt;"",_xlpm.MacVal,_xlpm.CSVVal&lt;&gt;"",_xlpm.CSVVal
)),"")</f>
        <v/>
      </c>
      <c r="F273" s="54" t="str" cm="1">
        <f t="array" ref="F273">IFERROR(_xlfn.LET(
_xlpm.CSVVal,_xlfn.XLOOKUP($A273,CSV!$A:$A,CSV!E:E,""),
_xlpm.MacVal,_xlfn.XLOOKUP($A273,Output_Mac!$A:$A,Output_Mac!F:F,""),
_xlpm.MyAuditVal,_xlfn.XLOOKUP($A273,My_Audit!$A:$A,My_Audit!E:E,""),
_xlfn.IFS(_xlpm.MyAuditVal&lt;&gt;"",_xlpm.MyAuditVal,_xlpm.MacVal&lt;&gt;"",_xlpm.MacVal,_xlpm.CSVVal&lt;&gt;"",PROPER(_xlpm.CSVVal)
)),"")</f>
        <v/>
      </c>
      <c r="G273" s="54" t="str" cm="1">
        <f t="array" ref="G273">IFERROR(_xlfn.LET(
_xlpm.CSVVal,_xlfn.XLOOKUP($A273,CSV!$A:$A,CSV!F:F,""),
_xlpm.MacVal,_xlfn.XLOOKUP($A273,Output_Mac!$A:$A,Output_Mac!H:H,""),
_xlpm.MyAuditVal,_xlfn.XLOOKUP($A273,My_Audit!$A:$A,My_Audit!F:F,""),
_xlfn.IFS(_xlpm.MyAuditVal&lt;&gt;"",_xlpm.MyAuditVal,_xlpm.MacVal&lt;&gt;"",_xlpm.MacVal,_xlpm.CSVVal&lt;&gt;"",_xlpm.CSVVal
)),"")</f>
        <v/>
      </c>
      <c r="H273" s="54" t="str">
        <f>_xlfn.XLOOKUP(A273,Output_Mac!A:A,Output_Mac!I:I,"")</f>
        <v/>
      </c>
      <c r="I273" s="54" t="str" cm="1">
        <f t="array" ref="I273">IFERROR(_xlfn.LET(
_xlpm.CSVVal,_xlfn.XLOOKUP($A273,CSV!$A:$A,CSV!G:G,""),
_xlpm.MacVal,_xlfn.XLOOKUP($A273,Output_Mac!$A:$A,Output_Mac!J:J,""),
_xlpm.MyAuditVal,_xlfn.XLOOKUP($A273,My_Audit!$A:$A,My_Audit!H:H,""),
_xlfn.IFS(_xlpm.MyAuditVal&lt;&gt;"",UPPER(_xlpm.MyAuditVal),_xlpm.MacVal&lt;&gt;"",_xlpm.MacVal,_xlpm.CSVVal&lt;&gt;"",_xlpm.CSVVal
)),"")</f>
        <v/>
      </c>
      <c r="J273" s="54" t="str" cm="1">
        <f t="array" ref="J273">IFERROR(_xlfn.LET(
_xlpm.CSVVal,_xlfn.XLOOKUP($A273,CSV!$A:$A,CSV!I:I,""),
_xlpm.MacVal,_xlfn.XLOOKUP($A273,Output_Mac!$A:$A,Output_Mac!K:K,""),
_xlpm.MyAuditVal,_xlfn.XLOOKUP($A273,My_Audit!$A:$A,My_Audit!I:I,""),
_xlfn.IFS(_xlpm.MyAuditVal&lt;&gt;"",UPPER(_xlpm.MyAuditVal),_xlpm.MacVal&lt;&gt;"",_xlpm.MacVal,_xlpm.CSVVal&lt;&gt;"",_xlpm.CSVVal
)),"")</f>
        <v/>
      </c>
      <c r="K273" s="54" t="str" cm="1">
        <f t="array" ref="K273">IFERROR(_xlfn.LET(
_xlpm.CSVVal,_xlfn.XLOOKUP($A273,CSV!$A:$A,CSV!M:M,""),
_xlpm.MacVal,_xlfn.XLOOKUP($A273,Output_Mac!$A:$A,Output_Mac!L:L,""),
_xlpm.MyAuditVal,_xlfn.XLOOKUP($A273,My_Audit!$A:$A,My_Audit!J:J,""),
_xlfn.IFS(_xlpm.MyAuditVal&lt;&gt;"",UPPER(_xlpm.MyAuditVal),_xlpm.MacVal&lt;&gt;"",_xlpm.MacVal,_xlpm.CSVVal&lt;&gt;"",_xlpm.CSVVal
)),"")</f>
        <v/>
      </c>
      <c r="L273" s="55" t="str" cm="1">
        <f t="array" ref="L273">IFERROR(_xlfn.LET(
_xlpm.CSVVal,_xlfn.XLOOKUP($A273,CSV!$A:$A,CSV!P:P,""),
_xlpm.MacVal,_xlfn.XLOOKUP($A273,Output_Mac!$A:$A,Output_Mac!M:M,""),
_xlpm.MyAuditVal,_xlfn.XLOOKUP($A273,My_Audit!$A:$A,My_Audit!K:K,""),
_xlfn.IFS(_xlpm.MyAuditVal&lt;&gt;"",UPPER(_xlpm.MyAuditVal),_xlpm.MacVal&lt;&gt;"",_xlpm.MacVal,_xlpm.CSVVal&lt;&gt;"",_xlpm.CSVVal
)),"")</f>
        <v/>
      </c>
      <c r="M273" s="54" t="str">
        <f>_xlfn.LET(
    _xlpm.CSVVal, _xlfn.XLOOKUP($A273, CSV!$A:$A, CSV!AD:AD, ""),
    _xlpm.MacVal, _xlfn.XLOOKUP($A273, Output_Mac!$A:$A, Output_Mac!S:S, ""),
    _xlpm.MyAuditVal, _xlfn.XLOOKUP($A273, My_Audit!$A:$A, My_Audit!N:N, ""),
    _xlfn.TEXTJOIN(", ", TRUE, _xlpm.MyAuditVal, _xlpm.MacVal, _xlpm.CSVVal)
)</f>
        <v/>
      </c>
      <c r="N273" s="54" t="str" cm="1">
        <f t="array" ref="N273">IFERROR(_xlfn.LET(
_xlpm.CSVVal,_xlfn.XLOOKUP($A273,CSV!$A:$A,CSV!AF:AF,""),
_xlpm.MacVal,_xlfn.XLOOKUP($A273,Output_Mac!$A:$A,Output_Mac!U:U,""),
_xlpm.MyAuditVal,_xlfn.XLOOKUP($A273,My_Audit!$A:$A,My_Audit!O:O,""),
_xlfn.IFS(_xlpm.MyAuditVal&lt;&gt;"",UPPER(_xlpm.MyAuditVal),_xlpm.MacVal&lt;&gt;"",_xlpm.MacVal,_xlpm.CSVVal&lt;&gt;"",_xlpm.CSVVal
)),"")</f>
        <v/>
      </c>
      <c r="O273" s="54"/>
      <c r="P273" s="54"/>
      <c r="Q273" s="54"/>
      <c r="R273" s="54"/>
      <c r="S273" s="54"/>
      <c r="T273" s="54"/>
      <c r="U273" s="39"/>
    </row>
    <row r="274" spans="1:21">
      <c r="A274" s="54" t="str">
        <f>_xlfn.TEXTJOIN("",TRUE,Input!$B$2,ROW(My_Audit!A273))</f>
        <v>XX273</v>
      </c>
      <c r="B274" s="54" t="str">
        <f>_xlfn.TEXTJOIN("-",TRUE,"ITD",Input!$A$2,A274)</f>
        <v>ITD-SHRXXX-XX273</v>
      </c>
      <c r="C274" s="54" t="str" cm="1">
        <f t="array" ref="C274">IFERROR(_xlfn.LET(
_xlpm.CSVVal,_xlfn.XLOOKUP($A274,CSV!$A:$A,CSV!B:B,""),
_xlpm.MacVal,_xlfn.XLOOKUP($A274,Output_Mac!$A:$A,Output_Mac!B:B,""),
_xlpm.MyAuditVal,_xlfn.XLOOKUP($A274,My_Audit!$A:$A,My_Audit!B:B,""),
_xlfn.IFS(_xlpm.MyAuditVal&lt;&gt;"",UPPER(_xlpm.MyAuditVal),_xlpm.MacVal&lt;&gt;"",_xlpm.MacVal,_xlpm.CSVVal&lt;&gt;"",_xlpm.CSVVal
)),"")</f>
        <v/>
      </c>
      <c r="D274" s="55" t="str">
        <f>_xlfn.XLOOKUP(A274,My_Audit!A:A,My_Audit!D:D,"")&amp;""</f>
        <v/>
      </c>
      <c r="E274" s="55" t="str" cm="1">
        <f t="array" ref="E274">IFERROR(_xlfn.LET(
_xlpm.CSVVal,_xlfn.XLOOKUP($A274,CSV!$A:$A,CSV!D:D,""),
_xlpm.MacVal,_xlfn.XLOOKUP($A274,Output_Mac!$A:$A,Output_Mac!C:C,""),
_xlpm.MyAuditVal,_xlfn.XLOOKUP($A274,My_Audit!$A:$A,My_Audit!D:D,""),
_xlfn.IFS(_xlpm.MyAuditVal&lt;&gt;"",_xlpm.MyAuditVal,_xlpm.MacVal&lt;&gt;"",_xlpm.MacVal,_xlpm.CSVVal&lt;&gt;"",_xlpm.CSVVal
)),"")</f>
        <v/>
      </c>
      <c r="F274" s="54" t="str" cm="1">
        <f t="array" ref="F274">IFERROR(_xlfn.LET(
_xlpm.CSVVal,_xlfn.XLOOKUP($A274,CSV!$A:$A,CSV!E:E,""),
_xlpm.MacVal,_xlfn.XLOOKUP($A274,Output_Mac!$A:$A,Output_Mac!F:F,""),
_xlpm.MyAuditVal,_xlfn.XLOOKUP($A274,My_Audit!$A:$A,My_Audit!E:E,""),
_xlfn.IFS(_xlpm.MyAuditVal&lt;&gt;"",_xlpm.MyAuditVal,_xlpm.MacVal&lt;&gt;"",_xlpm.MacVal,_xlpm.CSVVal&lt;&gt;"",PROPER(_xlpm.CSVVal)
)),"")</f>
        <v/>
      </c>
      <c r="G274" s="54" t="str" cm="1">
        <f t="array" ref="G274">IFERROR(_xlfn.LET(
_xlpm.CSVVal,_xlfn.XLOOKUP($A274,CSV!$A:$A,CSV!F:F,""),
_xlpm.MacVal,_xlfn.XLOOKUP($A274,Output_Mac!$A:$A,Output_Mac!H:H,""),
_xlpm.MyAuditVal,_xlfn.XLOOKUP($A274,My_Audit!$A:$A,My_Audit!F:F,""),
_xlfn.IFS(_xlpm.MyAuditVal&lt;&gt;"",_xlpm.MyAuditVal,_xlpm.MacVal&lt;&gt;"",_xlpm.MacVal,_xlpm.CSVVal&lt;&gt;"",_xlpm.CSVVal
)),"")</f>
        <v/>
      </c>
      <c r="H274" s="54" t="str">
        <f>_xlfn.XLOOKUP(A274,Output_Mac!A:A,Output_Mac!I:I,"")</f>
        <v/>
      </c>
      <c r="I274" s="54" t="str" cm="1">
        <f t="array" ref="I274">IFERROR(_xlfn.LET(
_xlpm.CSVVal,_xlfn.XLOOKUP($A274,CSV!$A:$A,CSV!G:G,""),
_xlpm.MacVal,_xlfn.XLOOKUP($A274,Output_Mac!$A:$A,Output_Mac!J:J,""),
_xlpm.MyAuditVal,_xlfn.XLOOKUP($A274,My_Audit!$A:$A,My_Audit!H:H,""),
_xlfn.IFS(_xlpm.MyAuditVal&lt;&gt;"",UPPER(_xlpm.MyAuditVal),_xlpm.MacVal&lt;&gt;"",_xlpm.MacVal,_xlpm.CSVVal&lt;&gt;"",_xlpm.CSVVal
)),"")</f>
        <v/>
      </c>
      <c r="J274" s="54" t="str" cm="1">
        <f t="array" ref="J274">IFERROR(_xlfn.LET(
_xlpm.CSVVal,_xlfn.XLOOKUP($A274,CSV!$A:$A,CSV!I:I,""),
_xlpm.MacVal,_xlfn.XLOOKUP($A274,Output_Mac!$A:$A,Output_Mac!K:K,""),
_xlpm.MyAuditVal,_xlfn.XLOOKUP($A274,My_Audit!$A:$A,My_Audit!I:I,""),
_xlfn.IFS(_xlpm.MyAuditVal&lt;&gt;"",UPPER(_xlpm.MyAuditVal),_xlpm.MacVal&lt;&gt;"",_xlpm.MacVal,_xlpm.CSVVal&lt;&gt;"",_xlpm.CSVVal
)),"")</f>
        <v/>
      </c>
      <c r="K274" s="54" t="str" cm="1">
        <f t="array" ref="K274">IFERROR(_xlfn.LET(
_xlpm.CSVVal,_xlfn.XLOOKUP($A274,CSV!$A:$A,CSV!M:M,""),
_xlpm.MacVal,_xlfn.XLOOKUP($A274,Output_Mac!$A:$A,Output_Mac!L:L,""),
_xlpm.MyAuditVal,_xlfn.XLOOKUP($A274,My_Audit!$A:$A,My_Audit!J:J,""),
_xlfn.IFS(_xlpm.MyAuditVal&lt;&gt;"",UPPER(_xlpm.MyAuditVal),_xlpm.MacVal&lt;&gt;"",_xlpm.MacVal,_xlpm.CSVVal&lt;&gt;"",_xlpm.CSVVal
)),"")</f>
        <v/>
      </c>
      <c r="L274" s="55" t="str" cm="1">
        <f t="array" ref="L274">IFERROR(_xlfn.LET(
_xlpm.CSVVal,_xlfn.XLOOKUP($A274,CSV!$A:$A,CSV!P:P,""),
_xlpm.MacVal,_xlfn.XLOOKUP($A274,Output_Mac!$A:$A,Output_Mac!M:M,""),
_xlpm.MyAuditVal,_xlfn.XLOOKUP($A274,My_Audit!$A:$A,My_Audit!K:K,""),
_xlfn.IFS(_xlpm.MyAuditVal&lt;&gt;"",UPPER(_xlpm.MyAuditVal),_xlpm.MacVal&lt;&gt;"",_xlpm.MacVal,_xlpm.CSVVal&lt;&gt;"",_xlpm.CSVVal
)),"")</f>
        <v/>
      </c>
      <c r="M274" s="54" t="str">
        <f>_xlfn.LET(
    _xlpm.CSVVal, _xlfn.XLOOKUP($A274, CSV!$A:$A, CSV!AD:AD, ""),
    _xlpm.MacVal, _xlfn.XLOOKUP($A274, Output_Mac!$A:$A, Output_Mac!S:S, ""),
    _xlpm.MyAuditVal, _xlfn.XLOOKUP($A274, My_Audit!$A:$A, My_Audit!N:N, ""),
    _xlfn.TEXTJOIN(", ", TRUE, _xlpm.MyAuditVal, _xlpm.MacVal, _xlpm.CSVVal)
)</f>
        <v/>
      </c>
      <c r="N274" s="54" t="str" cm="1">
        <f t="array" ref="N274">IFERROR(_xlfn.LET(
_xlpm.CSVVal,_xlfn.XLOOKUP($A274,CSV!$A:$A,CSV!AF:AF,""),
_xlpm.MacVal,_xlfn.XLOOKUP($A274,Output_Mac!$A:$A,Output_Mac!U:U,""),
_xlpm.MyAuditVal,_xlfn.XLOOKUP($A274,My_Audit!$A:$A,My_Audit!O:O,""),
_xlfn.IFS(_xlpm.MyAuditVal&lt;&gt;"",UPPER(_xlpm.MyAuditVal),_xlpm.MacVal&lt;&gt;"",_xlpm.MacVal,_xlpm.CSVVal&lt;&gt;"",_xlpm.CSVVal
)),"")</f>
        <v/>
      </c>
      <c r="O274" s="54"/>
      <c r="P274" s="54"/>
      <c r="Q274" s="54"/>
      <c r="R274" s="54"/>
      <c r="S274" s="54"/>
      <c r="T274" s="54"/>
      <c r="U274" s="39"/>
    </row>
    <row r="275" spans="1:21">
      <c r="A275" s="54" t="str">
        <f>_xlfn.TEXTJOIN("",TRUE,Input!$B$2,ROW(My_Audit!A274))</f>
        <v>XX274</v>
      </c>
      <c r="B275" s="54" t="str">
        <f>_xlfn.TEXTJOIN("-",TRUE,"ITD",Input!$A$2,A275)</f>
        <v>ITD-SHRXXX-XX274</v>
      </c>
      <c r="C275" s="54" t="str" cm="1">
        <f t="array" ref="C275">IFERROR(_xlfn.LET(
_xlpm.CSVVal,_xlfn.XLOOKUP($A275,CSV!$A:$A,CSV!B:B,""),
_xlpm.MacVal,_xlfn.XLOOKUP($A275,Output_Mac!$A:$A,Output_Mac!B:B,""),
_xlpm.MyAuditVal,_xlfn.XLOOKUP($A275,My_Audit!$A:$A,My_Audit!B:B,""),
_xlfn.IFS(_xlpm.MyAuditVal&lt;&gt;"",UPPER(_xlpm.MyAuditVal),_xlpm.MacVal&lt;&gt;"",_xlpm.MacVal,_xlpm.CSVVal&lt;&gt;"",_xlpm.CSVVal
)),"")</f>
        <v/>
      </c>
      <c r="D275" s="55" t="str">
        <f>_xlfn.XLOOKUP(A275,My_Audit!A:A,My_Audit!D:D,"")&amp;""</f>
        <v/>
      </c>
      <c r="E275" s="55" t="str" cm="1">
        <f t="array" ref="E275">IFERROR(_xlfn.LET(
_xlpm.CSVVal,_xlfn.XLOOKUP($A275,CSV!$A:$A,CSV!D:D,""),
_xlpm.MacVal,_xlfn.XLOOKUP($A275,Output_Mac!$A:$A,Output_Mac!C:C,""),
_xlpm.MyAuditVal,_xlfn.XLOOKUP($A275,My_Audit!$A:$A,My_Audit!D:D,""),
_xlfn.IFS(_xlpm.MyAuditVal&lt;&gt;"",_xlpm.MyAuditVal,_xlpm.MacVal&lt;&gt;"",_xlpm.MacVal,_xlpm.CSVVal&lt;&gt;"",_xlpm.CSVVal
)),"")</f>
        <v/>
      </c>
      <c r="F275" s="54" t="str" cm="1">
        <f t="array" ref="F275">IFERROR(_xlfn.LET(
_xlpm.CSVVal,_xlfn.XLOOKUP($A275,CSV!$A:$A,CSV!E:E,""),
_xlpm.MacVal,_xlfn.XLOOKUP($A275,Output_Mac!$A:$A,Output_Mac!F:F,""),
_xlpm.MyAuditVal,_xlfn.XLOOKUP($A275,My_Audit!$A:$A,My_Audit!E:E,""),
_xlfn.IFS(_xlpm.MyAuditVal&lt;&gt;"",_xlpm.MyAuditVal,_xlpm.MacVal&lt;&gt;"",_xlpm.MacVal,_xlpm.CSVVal&lt;&gt;"",PROPER(_xlpm.CSVVal)
)),"")</f>
        <v/>
      </c>
      <c r="G275" s="54" t="str" cm="1">
        <f t="array" ref="G275">IFERROR(_xlfn.LET(
_xlpm.CSVVal,_xlfn.XLOOKUP($A275,CSV!$A:$A,CSV!F:F,""),
_xlpm.MacVal,_xlfn.XLOOKUP($A275,Output_Mac!$A:$A,Output_Mac!H:H,""),
_xlpm.MyAuditVal,_xlfn.XLOOKUP($A275,My_Audit!$A:$A,My_Audit!F:F,""),
_xlfn.IFS(_xlpm.MyAuditVal&lt;&gt;"",_xlpm.MyAuditVal,_xlpm.MacVal&lt;&gt;"",_xlpm.MacVal,_xlpm.CSVVal&lt;&gt;"",_xlpm.CSVVal
)),"")</f>
        <v/>
      </c>
      <c r="H275" s="54" t="str">
        <f>_xlfn.XLOOKUP(A275,Output_Mac!A:A,Output_Mac!I:I,"")</f>
        <v/>
      </c>
      <c r="I275" s="54" t="str" cm="1">
        <f t="array" ref="I275">IFERROR(_xlfn.LET(
_xlpm.CSVVal,_xlfn.XLOOKUP($A275,CSV!$A:$A,CSV!G:G,""),
_xlpm.MacVal,_xlfn.XLOOKUP($A275,Output_Mac!$A:$A,Output_Mac!J:J,""),
_xlpm.MyAuditVal,_xlfn.XLOOKUP($A275,My_Audit!$A:$A,My_Audit!H:H,""),
_xlfn.IFS(_xlpm.MyAuditVal&lt;&gt;"",UPPER(_xlpm.MyAuditVal),_xlpm.MacVal&lt;&gt;"",_xlpm.MacVal,_xlpm.CSVVal&lt;&gt;"",_xlpm.CSVVal
)),"")</f>
        <v/>
      </c>
      <c r="J275" s="54" t="str" cm="1">
        <f t="array" ref="J275">IFERROR(_xlfn.LET(
_xlpm.CSVVal,_xlfn.XLOOKUP($A275,CSV!$A:$A,CSV!I:I,""),
_xlpm.MacVal,_xlfn.XLOOKUP($A275,Output_Mac!$A:$A,Output_Mac!K:K,""),
_xlpm.MyAuditVal,_xlfn.XLOOKUP($A275,My_Audit!$A:$A,My_Audit!I:I,""),
_xlfn.IFS(_xlpm.MyAuditVal&lt;&gt;"",UPPER(_xlpm.MyAuditVal),_xlpm.MacVal&lt;&gt;"",_xlpm.MacVal,_xlpm.CSVVal&lt;&gt;"",_xlpm.CSVVal
)),"")</f>
        <v/>
      </c>
      <c r="K275" s="54" t="str" cm="1">
        <f t="array" ref="K275">IFERROR(_xlfn.LET(
_xlpm.CSVVal,_xlfn.XLOOKUP($A275,CSV!$A:$A,CSV!M:M,""),
_xlpm.MacVal,_xlfn.XLOOKUP($A275,Output_Mac!$A:$A,Output_Mac!L:L,""),
_xlpm.MyAuditVal,_xlfn.XLOOKUP($A275,My_Audit!$A:$A,My_Audit!J:J,""),
_xlfn.IFS(_xlpm.MyAuditVal&lt;&gt;"",UPPER(_xlpm.MyAuditVal),_xlpm.MacVal&lt;&gt;"",_xlpm.MacVal,_xlpm.CSVVal&lt;&gt;"",_xlpm.CSVVal
)),"")</f>
        <v/>
      </c>
      <c r="L275" s="55" t="str" cm="1">
        <f t="array" ref="L275">IFERROR(_xlfn.LET(
_xlpm.CSVVal,_xlfn.XLOOKUP($A275,CSV!$A:$A,CSV!P:P,""),
_xlpm.MacVal,_xlfn.XLOOKUP($A275,Output_Mac!$A:$A,Output_Mac!M:M,""),
_xlpm.MyAuditVal,_xlfn.XLOOKUP($A275,My_Audit!$A:$A,My_Audit!K:K,""),
_xlfn.IFS(_xlpm.MyAuditVal&lt;&gt;"",UPPER(_xlpm.MyAuditVal),_xlpm.MacVal&lt;&gt;"",_xlpm.MacVal,_xlpm.CSVVal&lt;&gt;"",_xlpm.CSVVal
)),"")</f>
        <v/>
      </c>
      <c r="M275" s="54" t="str">
        <f>_xlfn.LET(
    _xlpm.CSVVal, _xlfn.XLOOKUP($A275, CSV!$A:$A, CSV!AD:AD, ""),
    _xlpm.MacVal, _xlfn.XLOOKUP($A275, Output_Mac!$A:$A, Output_Mac!S:S, ""),
    _xlpm.MyAuditVal, _xlfn.XLOOKUP($A275, My_Audit!$A:$A, My_Audit!N:N, ""),
    _xlfn.TEXTJOIN(", ", TRUE, _xlpm.MyAuditVal, _xlpm.MacVal, _xlpm.CSVVal)
)</f>
        <v/>
      </c>
      <c r="N275" s="54" t="str" cm="1">
        <f t="array" ref="N275">IFERROR(_xlfn.LET(
_xlpm.CSVVal,_xlfn.XLOOKUP($A275,CSV!$A:$A,CSV!AF:AF,""),
_xlpm.MacVal,_xlfn.XLOOKUP($A275,Output_Mac!$A:$A,Output_Mac!U:U,""),
_xlpm.MyAuditVal,_xlfn.XLOOKUP($A275,My_Audit!$A:$A,My_Audit!O:O,""),
_xlfn.IFS(_xlpm.MyAuditVal&lt;&gt;"",UPPER(_xlpm.MyAuditVal),_xlpm.MacVal&lt;&gt;"",_xlpm.MacVal,_xlpm.CSVVal&lt;&gt;"",_xlpm.CSVVal
)),"")</f>
        <v/>
      </c>
      <c r="O275" s="54"/>
      <c r="P275" s="54"/>
      <c r="Q275" s="54"/>
      <c r="R275" s="54"/>
      <c r="S275" s="54"/>
      <c r="T275" s="54"/>
      <c r="U275" s="39"/>
    </row>
    <row r="276" spans="1:21">
      <c r="A276" s="54" t="str">
        <f>_xlfn.TEXTJOIN("",TRUE,Input!$B$2,ROW(My_Audit!A275))</f>
        <v>XX275</v>
      </c>
      <c r="B276" s="54" t="str">
        <f>_xlfn.TEXTJOIN("-",TRUE,"ITD",Input!$A$2,A276)</f>
        <v>ITD-SHRXXX-XX275</v>
      </c>
      <c r="C276" s="54" t="str" cm="1">
        <f t="array" ref="C276">IFERROR(_xlfn.LET(
_xlpm.CSVVal,_xlfn.XLOOKUP($A276,CSV!$A:$A,CSV!B:B,""),
_xlpm.MacVal,_xlfn.XLOOKUP($A276,Output_Mac!$A:$A,Output_Mac!B:B,""),
_xlpm.MyAuditVal,_xlfn.XLOOKUP($A276,My_Audit!$A:$A,My_Audit!B:B,""),
_xlfn.IFS(_xlpm.MyAuditVal&lt;&gt;"",UPPER(_xlpm.MyAuditVal),_xlpm.MacVal&lt;&gt;"",_xlpm.MacVal,_xlpm.CSVVal&lt;&gt;"",_xlpm.CSVVal
)),"")</f>
        <v/>
      </c>
      <c r="D276" s="55" t="str">
        <f>_xlfn.XLOOKUP(A276,My_Audit!A:A,My_Audit!D:D,"")&amp;""</f>
        <v/>
      </c>
      <c r="E276" s="55" t="str" cm="1">
        <f t="array" ref="E276">IFERROR(_xlfn.LET(
_xlpm.CSVVal,_xlfn.XLOOKUP($A276,CSV!$A:$A,CSV!D:D,""),
_xlpm.MacVal,_xlfn.XLOOKUP($A276,Output_Mac!$A:$A,Output_Mac!C:C,""),
_xlpm.MyAuditVal,_xlfn.XLOOKUP($A276,My_Audit!$A:$A,My_Audit!D:D,""),
_xlfn.IFS(_xlpm.MyAuditVal&lt;&gt;"",_xlpm.MyAuditVal,_xlpm.MacVal&lt;&gt;"",_xlpm.MacVal,_xlpm.CSVVal&lt;&gt;"",_xlpm.CSVVal
)),"")</f>
        <v/>
      </c>
      <c r="F276" s="54" t="str" cm="1">
        <f t="array" ref="F276">IFERROR(_xlfn.LET(
_xlpm.CSVVal,_xlfn.XLOOKUP($A276,CSV!$A:$A,CSV!E:E,""),
_xlpm.MacVal,_xlfn.XLOOKUP($A276,Output_Mac!$A:$A,Output_Mac!F:F,""),
_xlpm.MyAuditVal,_xlfn.XLOOKUP($A276,My_Audit!$A:$A,My_Audit!E:E,""),
_xlfn.IFS(_xlpm.MyAuditVal&lt;&gt;"",_xlpm.MyAuditVal,_xlpm.MacVal&lt;&gt;"",_xlpm.MacVal,_xlpm.CSVVal&lt;&gt;"",PROPER(_xlpm.CSVVal)
)),"")</f>
        <v/>
      </c>
      <c r="G276" s="54" t="str" cm="1">
        <f t="array" ref="G276">IFERROR(_xlfn.LET(
_xlpm.CSVVal,_xlfn.XLOOKUP($A276,CSV!$A:$A,CSV!F:F,""),
_xlpm.MacVal,_xlfn.XLOOKUP($A276,Output_Mac!$A:$A,Output_Mac!H:H,""),
_xlpm.MyAuditVal,_xlfn.XLOOKUP($A276,My_Audit!$A:$A,My_Audit!F:F,""),
_xlfn.IFS(_xlpm.MyAuditVal&lt;&gt;"",_xlpm.MyAuditVal,_xlpm.MacVal&lt;&gt;"",_xlpm.MacVal,_xlpm.CSVVal&lt;&gt;"",_xlpm.CSVVal
)),"")</f>
        <v/>
      </c>
      <c r="H276" s="54" t="str">
        <f>_xlfn.XLOOKUP(A276,Output_Mac!A:A,Output_Mac!I:I,"")</f>
        <v/>
      </c>
      <c r="I276" s="54" t="str" cm="1">
        <f t="array" ref="I276">IFERROR(_xlfn.LET(
_xlpm.CSVVal,_xlfn.XLOOKUP($A276,CSV!$A:$A,CSV!G:G,""),
_xlpm.MacVal,_xlfn.XLOOKUP($A276,Output_Mac!$A:$A,Output_Mac!J:J,""),
_xlpm.MyAuditVal,_xlfn.XLOOKUP($A276,My_Audit!$A:$A,My_Audit!H:H,""),
_xlfn.IFS(_xlpm.MyAuditVal&lt;&gt;"",UPPER(_xlpm.MyAuditVal),_xlpm.MacVal&lt;&gt;"",_xlpm.MacVal,_xlpm.CSVVal&lt;&gt;"",_xlpm.CSVVal
)),"")</f>
        <v/>
      </c>
      <c r="J276" s="54" t="str" cm="1">
        <f t="array" ref="J276">IFERROR(_xlfn.LET(
_xlpm.CSVVal,_xlfn.XLOOKUP($A276,CSV!$A:$A,CSV!I:I,""),
_xlpm.MacVal,_xlfn.XLOOKUP($A276,Output_Mac!$A:$A,Output_Mac!K:K,""),
_xlpm.MyAuditVal,_xlfn.XLOOKUP($A276,My_Audit!$A:$A,My_Audit!I:I,""),
_xlfn.IFS(_xlpm.MyAuditVal&lt;&gt;"",UPPER(_xlpm.MyAuditVal),_xlpm.MacVal&lt;&gt;"",_xlpm.MacVal,_xlpm.CSVVal&lt;&gt;"",_xlpm.CSVVal
)),"")</f>
        <v/>
      </c>
      <c r="K276" s="54" t="str" cm="1">
        <f t="array" ref="K276">IFERROR(_xlfn.LET(
_xlpm.CSVVal,_xlfn.XLOOKUP($A276,CSV!$A:$A,CSV!M:M,""),
_xlpm.MacVal,_xlfn.XLOOKUP($A276,Output_Mac!$A:$A,Output_Mac!L:L,""),
_xlpm.MyAuditVal,_xlfn.XLOOKUP($A276,My_Audit!$A:$A,My_Audit!J:J,""),
_xlfn.IFS(_xlpm.MyAuditVal&lt;&gt;"",UPPER(_xlpm.MyAuditVal),_xlpm.MacVal&lt;&gt;"",_xlpm.MacVal,_xlpm.CSVVal&lt;&gt;"",_xlpm.CSVVal
)),"")</f>
        <v/>
      </c>
      <c r="L276" s="55" t="str" cm="1">
        <f t="array" ref="L276">IFERROR(_xlfn.LET(
_xlpm.CSVVal,_xlfn.XLOOKUP($A276,CSV!$A:$A,CSV!P:P,""),
_xlpm.MacVal,_xlfn.XLOOKUP($A276,Output_Mac!$A:$A,Output_Mac!M:M,""),
_xlpm.MyAuditVal,_xlfn.XLOOKUP($A276,My_Audit!$A:$A,My_Audit!K:K,""),
_xlfn.IFS(_xlpm.MyAuditVal&lt;&gt;"",UPPER(_xlpm.MyAuditVal),_xlpm.MacVal&lt;&gt;"",_xlpm.MacVal,_xlpm.CSVVal&lt;&gt;"",_xlpm.CSVVal
)),"")</f>
        <v/>
      </c>
      <c r="M276" s="54" t="str">
        <f>_xlfn.LET(
    _xlpm.CSVVal, _xlfn.XLOOKUP($A276, CSV!$A:$A, CSV!AD:AD, ""),
    _xlpm.MacVal, _xlfn.XLOOKUP($A276, Output_Mac!$A:$A, Output_Mac!S:S, ""),
    _xlpm.MyAuditVal, _xlfn.XLOOKUP($A276, My_Audit!$A:$A, My_Audit!N:N, ""),
    _xlfn.TEXTJOIN(", ", TRUE, _xlpm.MyAuditVal, _xlpm.MacVal, _xlpm.CSVVal)
)</f>
        <v/>
      </c>
      <c r="N276" s="54" t="str" cm="1">
        <f t="array" ref="N276">IFERROR(_xlfn.LET(
_xlpm.CSVVal,_xlfn.XLOOKUP($A276,CSV!$A:$A,CSV!AF:AF,""),
_xlpm.MacVal,_xlfn.XLOOKUP($A276,Output_Mac!$A:$A,Output_Mac!U:U,""),
_xlpm.MyAuditVal,_xlfn.XLOOKUP($A276,My_Audit!$A:$A,My_Audit!O:O,""),
_xlfn.IFS(_xlpm.MyAuditVal&lt;&gt;"",UPPER(_xlpm.MyAuditVal),_xlpm.MacVal&lt;&gt;"",_xlpm.MacVal,_xlpm.CSVVal&lt;&gt;"",_xlpm.CSVVal
)),"")</f>
        <v/>
      </c>
      <c r="O276" s="54"/>
      <c r="P276" s="54"/>
      <c r="Q276" s="54"/>
      <c r="R276" s="54"/>
      <c r="S276" s="54"/>
      <c r="T276" s="54"/>
      <c r="U276" s="39"/>
    </row>
    <row r="277" spans="1:21">
      <c r="A277" s="54" t="str">
        <f>_xlfn.TEXTJOIN("",TRUE,Input!$B$2,ROW(My_Audit!A276))</f>
        <v>XX276</v>
      </c>
      <c r="B277" s="54" t="str">
        <f>_xlfn.TEXTJOIN("-",TRUE,"ITD",Input!$A$2,A277)</f>
        <v>ITD-SHRXXX-XX276</v>
      </c>
      <c r="C277" s="54" t="str" cm="1">
        <f t="array" ref="C277">IFERROR(_xlfn.LET(
_xlpm.CSVVal,_xlfn.XLOOKUP($A277,CSV!$A:$A,CSV!B:B,""),
_xlpm.MacVal,_xlfn.XLOOKUP($A277,Output_Mac!$A:$A,Output_Mac!B:B,""),
_xlpm.MyAuditVal,_xlfn.XLOOKUP($A277,My_Audit!$A:$A,My_Audit!B:B,""),
_xlfn.IFS(_xlpm.MyAuditVal&lt;&gt;"",UPPER(_xlpm.MyAuditVal),_xlpm.MacVal&lt;&gt;"",_xlpm.MacVal,_xlpm.CSVVal&lt;&gt;"",_xlpm.CSVVal
)),"")</f>
        <v/>
      </c>
      <c r="D277" s="55" t="str">
        <f>_xlfn.XLOOKUP(A277,My_Audit!A:A,My_Audit!D:D,"")&amp;""</f>
        <v/>
      </c>
      <c r="E277" s="55" t="str" cm="1">
        <f t="array" ref="E277">IFERROR(_xlfn.LET(
_xlpm.CSVVal,_xlfn.XLOOKUP($A277,CSV!$A:$A,CSV!D:D,""),
_xlpm.MacVal,_xlfn.XLOOKUP($A277,Output_Mac!$A:$A,Output_Mac!C:C,""),
_xlpm.MyAuditVal,_xlfn.XLOOKUP($A277,My_Audit!$A:$A,My_Audit!D:D,""),
_xlfn.IFS(_xlpm.MyAuditVal&lt;&gt;"",_xlpm.MyAuditVal,_xlpm.MacVal&lt;&gt;"",_xlpm.MacVal,_xlpm.CSVVal&lt;&gt;"",_xlpm.CSVVal
)),"")</f>
        <v/>
      </c>
      <c r="F277" s="54" t="str" cm="1">
        <f t="array" ref="F277">IFERROR(_xlfn.LET(
_xlpm.CSVVal,_xlfn.XLOOKUP($A277,CSV!$A:$A,CSV!E:E,""),
_xlpm.MacVal,_xlfn.XLOOKUP($A277,Output_Mac!$A:$A,Output_Mac!F:F,""),
_xlpm.MyAuditVal,_xlfn.XLOOKUP($A277,My_Audit!$A:$A,My_Audit!E:E,""),
_xlfn.IFS(_xlpm.MyAuditVal&lt;&gt;"",_xlpm.MyAuditVal,_xlpm.MacVal&lt;&gt;"",_xlpm.MacVal,_xlpm.CSVVal&lt;&gt;"",PROPER(_xlpm.CSVVal)
)),"")</f>
        <v/>
      </c>
      <c r="G277" s="54" t="str" cm="1">
        <f t="array" ref="G277">IFERROR(_xlfn.LET(
_xlpm.CSVVal,_xlfn.XLOOKUP($A277,CSV!$A:$A,CSV!F:F,""),
_xlpm.MacVal,_xlfn.XLOOKUP($A277,Output_Mac!$A:$A,Output_Mac!H:H,""),
_xlpm.MyAuditVal,_xlfn.XLOOKUP($A277,My_Audit!$A:$A,My_Audit!F:F,""),
_xlfn.IFS(_xlpm.MyAuditVal&lt;&gt;"",_xlpm.MyAuditVal,_xlpm.MacVal&lt;&gt;"",_xlpm.MacVal,_xlpm.CSVVal&lt;&gt;"",_xlpm.CSVVal
)),"")</f>
        <v/>
      </c>
      <c r="H277" s="54" t="str">
        <f>_xlfn.XLOOKUP(A277,Output_Mac!A:A,Output_Mac!I:I,"")</f>
        <v/>
      </c>
      <c r="I277" s="54" t="str" cm="1">
        <f t="array" ref="I277">IFERROR(_xlfn.LET(
_xlpm.CSVVal,_xlfn.XLOOKUP($A277,CSV!$A:$A,CSV!G:G,""),
_xlpm.MacVal,_xlfn.XLOOKUP($A277,Output_Mac!$A:$A,Output_Mac!J:J,""),
_xlpm.MyAuditVal,_xlfn.XLOOKUP($A277,My_Audit!$A:$A,My_Audit!H:H,""),
_xlfn.IFS(_xlpm.MyAuditVal&lt;&gt;"",UPPER(_xlpm.MyAuditVal),_xlpm.MacVal&lt;&gt;"",_xlpm.MacVal,_xlpm.CSVVal&lt;&gt;"",_xlpm.CSVVal
)),"")</f>
        <v/>
      </c>
      <c r="J277" s="54" t="str" cm="1">
        <f t="array" ref="J277">IFERROR(_xlfn.LET(
_xlpm.CSVVal,_xlfn.XLOOKUP($A277,CSV!$A:$A,CSV!I:I,""),
_xlpm.MacVal,_xlfn.XLOOKUP($A277,Output_Mac!$A:$A,Output_Mac!K:K,""),
_xlpm.MyAuditVal,_xlfn.XLOOKUP($A277,My_Audit!$A:$A,My_Audit!I:I,""),
_xlfn.IFS(_xlpm.MyAuditVal&lt;&gt;"",UPPER(_xlpm.MyAuditVal),_xlpm.MacVal&lt;&gt;"",_xlpm.MacVal,_xlpm.CSVVal&lt;&gt;"",_xlpm.CSVVal
)),"")</f>
        <v/>
      </c>
      <c r="K277" s="54" t="str" cm="1">
        <f t="array" ref="K277">IFERROR(_xlfn.LET(
_xlpm.CSVVal,_xlfn.XLOOKUP($A277,CSV!$A:$A,CSV!M:M,""),
_xlpm.MacVal,_xlfn.XLOOKUP($A277,Output_Mac!$A:$A,Output_Mac!L:L,""),
_xlpm.MyAuditVal,_xlfn.XLOOKUP($A277,My_Audit!$A:$A,My_Audit!J:J,""),
_xlfn.IFS(_xlpm.MyAuditVal&lt;&gt;"",UPPER(_xlpm.MyAuditVal),_xlpm.MacVal&lt;&gt;"",_xlpm.MacVal,_xlpm.CSVVal&lt;&gt;"",_xlpm.CSVVal
)),"")</f>
        <v/>
      </c>
      <c r="L277" s="55" t="str" cm="1">
        <f t="array" ref="L277">IFERROR(_xlfn.LET(
_xlpm.CSVVal,_xlfn.XLOOKUP($A277,CSV!$A:$A,CSV!P:P,""),
_xlpm.MacVal,_xlfn.XLOOKUP($A277,Output_Mac!$A:$A,Output_Mac!M:M,""),
_xlpm.MyAuditVal,_xlfn.XLOOKUP($A277,My_Audit!$A:$A,My_Audit!K:K,""),
_xlfn.IFS(_xlpm.MyAuditVal&lt;&gt;"",UPPER(_xlpm.MyAuditVal),_xlpm.MacVal&lt;&gt;"",_xlpm.MacVal,_xlpm.CSVVal&lt;&gt;"",_xlpm.CSVVal
)),"")</f>
        <v/>
      </c>
      <c r="M277" s="54" t="str">
        <f>_xlfn.LET(
    _xlpm.CSVVal, _xlfn.XLOOKUP($A277, CSV!$A:$A, CSV!AD:AD, ""),
    _xlpm.MacVal, _xlfn.XLOOKUP($A277, Output_Mac!$A:$A, Output_Mac!S:S, ""),
    _xlpm.MyAuditVal, _xlfn.XLOOKUP($A277, My_Audit!$A:$A, My_Audit!N:N, ""),
    _xlfn.TEXTJOIN(", ", TRUE, _xlpm.MyAuditVal, _xlpm.MacVal, _xlpm.CSVVal)
)</f>
        <v/>
      </c>
      <c r="N277" s="54" t="str" cm="1">
        <f t="array" ref="N277">IFERROR(_xlfn.LET(
_xlpm.CSVVal,_xlfn.XLOOKUP($A277,CSV!$A:$A,CSV!AF:AF,""),
_xlpm.MacVal,_xlfn.XLOOKUP($A277,Output_Mac!$A:$A,Output_Mac!U:U,""),
_xlpm.MyAuditVal,_xlfn.XLOOKUP($A277,My_Audit!$A:$A,My_Audit!O:O,""),
_xlfn.IFS(_xlpm.MyAuditVal&lt;&gt;"",UPPER(_xlpm.MyAuditVal),_xlpm.MacVal&lt;&gt;"",_xlpm.MacVal,_xlpm.CSVVal&lt;&gt;"",_xlpm.CSVVal
)),"")</f>
        <v/>
      </c>
      <c r="O277" s="54"/>
      <c r="P277" s="54"/>
      <c r="Q277" s="54"/>
      <c r="R277" s="54"/>
      <c r="S277" s="54"/>
      <c r="T277" s="54"/>
      <c r="U277" s="39"/>
    </row>
    <row r="278" spans="1:21">
      <c r="A278" s="54" t="str">
        <f>_xlfn.TEXTJOIN("",TRUE,Input!$B$2,ROW(My_Audit!A277))</f>
        <v>XX277</v>
      </c>
      <c r="B278" s="54" t="str">
        <f>_xlfn.TEXTJOIN("-",TRUE,"ITD",Input!$A$2,A278)</f>
        <v>ITD-SHRXXX-XX277</v>
      </c>
      <c r="C278" s="54" t="str" cm="1">
        <f t="array" ref="C278">IFERROR(_xlfn.LET(
_xlpm.CSVVal,_xlfn.XLOOKUP($A278,CSV!$A:$A,CSV!B:B,""),
_xlpm.MacVal,_xlfn.XLOOKUP($A278,Output_Mac!$A:$A,Output_Mac!B:B,""),
_xlpm.MyAuditVal,_xlfn.XLOOKUP($A278,My_Audit!$A:$A,My_Audit!B:B,""),
_xlfn.IFS(_xlpm.MyAuditVal&lt;&gt;"",UPPER(_xlpm.MyAuditVal),_xlpm.MacVal&lt;&gt;"",_xlpm.MacVal,_xlpm.CSVVal&lt;&gt;"",_xlpm.CSVVal
)),"")</f>
        <v/>
      </c>
      <c r="D278" s="55" t="str">
        <f>_xlfn.XLOOKUP(A278,My_Audit!A:A,My_Audit!D:D,"")&amp;""</f>
        <v/>
      </c>
      <c r="E278" s="55" t="str" cm="1">
        <f t="array" ref="E278">IFERROR(_xlfn.LET(
_xlpm.CSVVal,_xlfn.XLOOKUP($A278,CSV!$A:$A,CSV!D:D,""),
_xlpm.MacVal,_xlfn.XLOOKUP($A278,Output_Mac!$A:$A,Output_Mac!C:C,""),
_xlpm.MyAuditVal,_xlfn.XLOOKUP($A278,My_Audit!$A:$A,My_Audit!D:D,""),
_xlfn.IFS(_xlpm.MyAuditVal&lt;&gt;"",_xlpm.MyAuditVal,_xlpm.MacVal&lt;&gt;"",_xlpm.MacVal,_xlpm.CSVVal&lt;&gt;"",_xlpm.CSVVal
)),"")</f>
        <v/>
      </c>
      <c r="F278" s="54" t="str" cm="1">
        <f t="array" ref="F278">IFERROR(_xlfn.LET(
_xlpm.CSVVal,_xlfn.XLOOKUP($A278,CSV!$A:$A,CSV!E:E,""),
_xlpm.MacVal,_xlfn.XLOOKUP($A278,Output_Mac!$A:$A,Output_Mac!F:F,""),
_xlpm.MyAuditVal,_xlfn.XLOOKUP($A278,My_Audit!$A:$A,My_Audit!E:E,""),
_xlfn.IFS(_xlpm.MyAuditVal&lt;&gt;"",_xlpm.MyAuditVal,_xlpm.MacVal&lt;&gt;"",_xlpm.MacVal,_xlpm.CSVVal&lt;&gt;"",PROPER(_xlpm.CSVVal)
)),"")</f>
        <v/>
      </c>
      <c r="G278" s="54" t="str" cm="1">
        <f t="array" ref="G278">IFERROR(_xlfn.LET(
_xlpm.CSVVal,_xlfn.XLOOKUP($A278,CSV!$A:$A,CSV!F:F,""),
_xlpm.MacVal,_xlfn.XLOOKUP($A278,Output_Mac!$A:$A,Output_Mac!H:H,""),
_xlpm.MyAuditVal,_xlfn.XLOOKUP($A278,My_Audit!$A:$A,My_Audit!F:F,""),
_xlfn.IFS(_xlpm.MyAuditVal&lt;&gt;"",_xlpm.MyAuditVal,_xlpm.MacVal&lt;&gt;"",_xlpm.MacVal,_xlpm.CSVVal&lt;&gt;"",_xlpm.CSVVal
)),"")</f>
        <v/>
      </c>
      <c r="H278" s="54" t="str">
        <f>_xlfn.XLOOKUP(A278,Output_Mac!A:A,Output_Mac!I:I,"")</f>
        <v/>
      </c>
      <c r="I278" s="54" t="str" cm="1">
        <f t="array" ref="I278">IFERROR(_xlfn.LET(
_xlpm.CSVVal,_xlfn.XLOOKUP($A278,CSV!$A:$A,CSV!G:G,""),
_xlpm.MacVal,_xlfn.XLOOKUP($A278,Output_Mac!$A:$A,Output_Mac!J:J,""),
_xlpm.MyAuditVal,_xlfn.XLOOKUP($A278,My_Audit!$A:$A,My_Audit!H:H,""),
_xlfn.IFS(_xlpm.MyAuditVal&lt;&gt;"",UPPER(_xlpm.MyAuditVal),_xlpm.MacVal&lt;&gt;"",_xlpm.MacVal,_xlpm.CSVVal&lt;&gt;"",_xlpm.CSVVal
)),"")</f>
        <v/>
      </c>
      <c r="J278" s="54" t="str" cm="1">
        <f t="array" ref="J278">IFERROR(_xlfn.LET(
_xlpm.CSVVal,_xlfn.XLOOKUP($A278,CSV!$A:$A,CSV!I:I,""),
_xlpm.MacVal,_xlfn.XLOOKUP($A278,Output_Mac!$A:$A,Output_Mac!K:K,""),
_xlpm.MyAuditVal,_xlfn.XLOOKUP($A278,My_Audit!$A:$A,My_Audit!I:I,""),
_xlfn.IFS(_xlpm.MyAuditVal&lt;&gt;"",UPPER(_xlpm.MyAuditVal),_xlpm.MacVal&lt;&gt;"",_xlpm.MacVal,_xlpm.CSVVal&lt;&gt;"",_xlpm.CSVVal
)),"")</f>
        <v/>
      </c>
      <c r="K278" s="54" t="str" cm="1">
        <f t="array" ref="K278">IFERROR(_xlfn.LET(
_xlpm.CSVVal,_xlfn.XLOOKUP($A278,CSV!$A:$A,CSV!M:M,""),
_xlpm.MacVal,_xlfn.XLOOKUP($A278,Output_Mac!$A:$A,Output_Mac!L:L,""),
_xlpm.MyAuditVal,_xlfn.XLOOKUP($A278,My_Audit!$A:$A,My_Audit!J:J,""),
_xlfn.IFS(_xlpm.MyAuditVal&lt;&gt;"",UPPER(_xlpm.MyAuditVal),_xlpm.MacVal&lt;&gt;"",_xlpm.MacVal,_xlpm.CSVVal&lt;&gt;"",_xlpm.CSVVal
)),"")</f>
        <v/>
      </c>
      <c r="L278" s="55" t="str" cm="1">
        <f t="array" ref="L278">IFERROR(_xlfn.LET(
_xlpm.CSVVal,_xlfn.XLOOKUP($A278,CSV!$A:$A,CSV!P:P,""),
_xlpm.MacVal,_xlfn.XLOOKUP($A278,Output_Mac!$A:$A,Output_Mac!M:M,""),
_xlpm.MyAuditVal,_xlfn.XLOOKUP($A278,My_Audit!$A:$A,My_Audit!K:K,""),
_xlfn.IFS(_xlpm.MyAuditVal&lt;&gt;"",UPPER(_xlpm.MyAuditVal),_xlpm.MacVal&lt;&gt;"",_xlpm.MacVal,_xlpm.CSVVal&lt;&gt;"",_xlpm.CSVVal
)),"")</f>
        <v/>
      </c>
      <c r="M278" s="54" t="str">
        <f>_xlfn.LET(
    _xlpm.CSVVal, _xlfn.XLOOKUP($A278, CSV!$A:$A, CSV!AD:AD, ""),
    _xlpm.MacVal, _xlfn.XLOOKUP($A278, Output_Mac!$A:$A, Output_Mac!S:S, ""),
    _xlpm.MyAuditVal, _xlfn.XLOOKUP($A278, My_Audit!$A:$A, My_Audit!N:N, ""),
    _xlfn.TEXTJOIN(", ", TRUE, _xlpm.MyAuditVal, _xlpm.MacVal, _xlpm.CSVVal)
)</f>
        <v/>
      </c>
      <c r="N278" s="54" t="str" cm="1">
        <f t="array" ref="N278">IFERROR(_xlfn.LET(
_xlpm.CSVVal,_xlfn.XLOOKUP($A278,CSV!$A:$A,CSV!AF:AF,""),
_xlpm.MacVal,_xlfn.XLOOKUP($A278,Output_Mac!$A:$A,Output_Mac!U:U,""),
_xlpm.MyAuditVal,_xlfn.XLOOKUP($A278,My_Audit!$A:$A,My_Audit!O:O,""),
_xlfn.IFS(_xlpm.MyAuditVal&lt;&gt;"",UPPER(_xlpm.MyAuditVal),_xlpm.MacVal&lt;&gt;"",_xlpm.MacVal,_xlpm.CSVVal&lt;&gt;"",_xlpm.CSVVal
)),"")</f>
        <v/>
      </c>
      <c r="O278" s="54"/>
      <c r="P278" s="54"/>
      <c r="Q278" s="54"/>
      <c r="R278" s="54"/>
      <c r="S278" s="54"/>
      <c r="T278" s="54"/>
      <c r="U278" s="39"/>
    </row>
    <row r="279" spans="1:21">
      <c r="A279" s="54" t="str">
        <f>_xlfn.TEXTJOIN("",TRUE,Input!$B$2,ROW(My_Audit!A278))</f>
        <v>XX278</v>
      </c>
      <c r="B279" s="54" t="str">
        <f>_xlfn.TEXTJOIN("-",TRUE,"ITD",Input!$A$2,A279)</f>
        <v>ITD-SHRXXX-XX278</v>
      </c>
      <c r="C279" s="54" t="str" cm="1">
        <f t="array" ref="C279">IFERROR(_xlfn.LET(
_xlpm.CSVVal,_xlfn.XLOOKUP($A279,CSV!$A:$A,CSV!B:B,""),
_xlpm.MacVal,_xlfn.XLOOKUP($A279,Output_Mac!$A:$A,Output_Mac!B:B,""),
_xlpm.MyAuditVal,_xlfn.XLOOKUP($A279,My_Audit!$A:$A,My_Audit!B:B,""),
_xlfn.IFS(_xlpm.MyAuditVal&lt;&gt;"",UPPER(_xlpm.MyAuditVal),_xlpm.MacVal&lt;&gt;"",_xlpm.MacVal,_xlpm.CSVVal&lt;&gt;"",_xlpm.CSVVal
)),"")</f>
        <v/>
      </c>
      <c r="D279" s="55" t="str">
        <f>_xlfn.XLOOKUP(A279,My_Audit!A:A,My_Audit!D:D,"")&amp;""</f>
        <v/>
      </c>
      <c r="E279" s="55" t="str" cm="1">
        <f t="array" ref="E279">IFERROR(_xlfn.LET(
_xlpm.CSVVal,_xlfn.XLOOKUP($A279,CSV!$A:$A,CSV!D:D,""),
_xlpm.MacVal,_xlfn.XLOOKUP($A279,Output_Mac!$A:$A,Output_Mac!C:C,""),
_xlpm.MyAuditVal,_xlfn.XLOOKUP($A279,My_Audit!$A:$A,My_Audit!D:D,""),
_xlfn.IFS(_xlpm.MyAuditVal&lt;&gt;"",_xlpm.MyAuditVal,_xlpm.MacVal&lt;&gt;"",_xlpm.MacVal,_xlpm.CSVVal&lt;&gt;"",_xlpm.CSVVal
)),"")</f>
        <v/>
      </c>
      <c r="F279" s="54" t="str" cm="1">
        <f t="array" ref="F279">IFERROR(_xlfn.LET(
_xlpm.CSVVal,_xlfn.XLOOKUP($A279,CSV!$A:$A,CSV!E:E,""),
_xlpm.MacVal,_xlfn.XLOOKUP($A279,Output_Mac!$A:$A,Output_Mac!F:F,""),
_xlpm.MyAuditVal,_xlfn.XLOOKUP($A279,My_Audit!$A:$A,My_Audit!E:E,""),
_xlfn.IFS(_xlpm.MyAuditVal&lt;&gt;"",_xlpm.MyAuditVal,_xlpm.MacVal&lt;&gt;"",_xlpm.MacVal,_xlpm.CSVVal&lt;&gt;"",PROPER(_xlpm.CSVVal)
)),"")</f>
        <v/>
      </c>
      <c r="G279" s="54" t="str" cm="1">
        <f t="array" ref="G279">IFERROR(_xlfn.LET(
_xlpm.CSVVal,_xlfn.XLOOKUP($A279,CSV!$A:$A,CSV!F:F,""),
_xlpm.MacVal,_xlfn.XLOOKUP($A279,Output_Mac!$A:$A,Output_Mac!H:H,""),
_xlpm.MyAuditVal,_xlfn.XLOOKUP($A279,My_Audit!$A:$A,My_Audit!F:F,""),
_xlfn.IFS(_xlpm.MyAuditVal&lt;&gt;"",_xlpm.MyAuditVal,_xlpm.MacVal&lt;&gt;"",_xlpm.MacVal,_xlpm.CSVVal&lt;&gt;"",_xlpm.CSVVal
)),"")</f>
        <v/>
      </c>
      <c r="H279" s="54" t="str">
        <f>_xlfn.XLOOKUP(A279,Output_Mac!A:A,Output_Mac!I:I,"")</f>
        <v/>
      </c>
      <c r="I279" s="54" t="str" cm="1">
        <f t="array" ref="I279">IFERROR(_xlfn.LET(
_xlpm.CSVVal,_xlfn.XLOOKUP($A279,CSV!$A:$A,CSV!G:G,""),
_xlpm.MacVal,_xlfn.XLOOKUP($A279,Output_Mac!$A:$A,Output_Mac!J:J,""),
_xlpm.MyAuditVal,_xlfn.XLOOKUP($A279,My_Audit!$A:$A,My_Audit!H:H,""),
_xlfn.IFS(_xlpm.MyAuditVal&lt;&gt;"",UPPER(_xlpm.MyAuditVal),_xlpm.MacVal&lt;&gt;"",_xlpm.MacVal,_xlpm.CSVVal&lt;&gt;"",_xlpm.CSVVal
)),"")</f>
        <v/>
      </c>
      <c r="J279" s="54" t="str" cm="1">
        <f t="array" ref="J279">IFERROR(_xlfn.LET(
_xlpm.CSVVal,_xlfn.XLOOKUP($A279,CSV!$A:$A,CSV!I:I,""),
_xlpm.MacVal,_xlfn.XLOOKUP($A279,Output_Mac!$A:$A,Output_Mac!K:K,""),
_xlpm.MyAuditVal,_xlfn.XLOOKUP($A279,My_Audit!$A:$A,My_Audit!I:I,""),
_xlfn.IFS(_xlpm.MyAuditVal&lt;&gt;"",UPPER(_xlpm.MyAuditVal),_xlpm.MacVal&lt;&gt;"",_xlpm.MacVal,_xlpm.CSVVal&lt;&gt;"",_xlpm.CSVVal
)),"")</f>
        <v/>
      </c>
      <c r="K279" s="54" t="str" cm="1">
        <f t="array" ref="K279">IFERROR(_xlfn.LET(
_xlpm.CSVVal,_xlfn.XLOOKUP($A279,CSV!$A:$A,CSV!M:M,""),
_xlpm.MacVal,_xlfn.XLOOKUP($A279,Output_Mac!$A:$A,Output_Mac!L:L,""),
_xlpm.MyAuditVal,_xlfn.XLOOKUP($A279,My_Audit!$A:$A,My_Audit!J:J,""),
_xlfn.IFS(_xlpm.MyAuditVal&lt;&gt;"",UPPER(_xlpm.MyAuditVal),_xlpm.MacVal&lt;&gt;"",_xlpm.MacVal,_xlpm.CSVVal&lt;&gt;"",_xlpm.CSVVal
)),"")</f>
        <v/>
      </c>
      <c r="L279" s="55" t="str" cm="1">
        <f t="array" ref="L279">IFERROR(_xlfn.LET(
_xlpm.CSVVal,_xlfn.XLOOKUP($A279,CSV!$A:$A,CSV!P:P,""),
_xlpm.MacVal,_xlfn.XLOOKUP($A279,Output_Mac!$A:$A,Output_Mac!M:M,""),
_xlpm.MyAuditVal,_xlfn.XLOOKUP($A279,My_Audit!$A:$A,My_Audit!K:K,""),
_xlfn.IFS(_xlpm.MyAuditVal&lt;&gt;"",UPPER(_xlpm.MyAuditVal),_xlpm.MacVal&lt;&gt;"",_xlpm.MacVal,_xlpm.CSVVal&lt;&gt;"",_xlpm.CSVVal
)),"")</f>
        <v/>
      </c>
      <c r="M279" s="54" t="str">
        <f>_xlfn.LET(
    _xlpm.CSVVal, _xlfn.XLOOKUP($A279, CSV!$A:$A, CSV!AD:AD, ""),
    _xlpm.MacVal, _xlfn.XLOOKUP($A279, Output_Mac!$A:$A, Output_Mac!S:S, ""),
    _xlpm.MyAuditVal, _xlfn.XLOOKUP($A279, My_Audit!$A:$A, My_Audit!N:N, ""),
    _xlfn.TEXTJOIN(", ", TRUE, _xlpm.MyAuditVal, _xlpm.MacVal, _xlpm.CSVVal)
)</f>
        <v/>
      </c>
      <c r="N279" s="54" t="str" cm="1">
        <f t="array" ref="N279">IFERROR(_xlfn.LET(
_xlpm.CSVVal,_xlfn.XLOOKUP($A279,CSV!$A:$A,CSV!AF:AF,""),
_xlpm.MacVal,_xlfn.XLOOKUP($A279,Output_Mac!$A:$A,Output_Mac!U:U,""),
_xlpm.MyAuditVal,_xlfn.XLOOKUP($A279,My_Audit!$A:$A,My_Audit!O:O,""),
_xlfn.IFS(_xlpm.MyAuditVal&lt;&gt;"",UPPER(_xlpm.MyAuditVal),_xlpm.MacVal&lt;&gt;"",_xlpm.MacVal,_xlpm.CSVVal&lt;&gt;"",_xlpm.CSVVal
)),"")</f>
        <v/>
      </c>
      <c r="O279" s="54"/>
      <c r="P279" s="54"/>
      <c r="Q279" s="54"/>
      <c r="R279" s="54"/>
      <c r="S279" s="54"/>
      <c r="T279" s="54"/>
      <c r="U279" s="39"/>
    </row>
    <row r="280" spans="1:21">
      <c r="A280" s="54" t="str">
        <f>_xlfn.TEXTJOIN("",TRUE,Input!$B$2,ROW(My_Audit!A279))</f>
        <v>XX279</v>
      </c>
      <c r="B280" s="54" t="str">
        <f>_xlfn.TEXTJOIN("-",TRUE,"ITD",Input!$A$2,A280)</f>
        <v>ITD-SHRXXX-XX279</v>
      </c>
      <c r="C280" s="54" t="str" cm="1">
        <f t="array" ref="C280">IFERROR(_xlfn.LET(
_xlpm.CSVVal,_xlfn.XLOOKUP($A280,CSV!$A:$A,CSV!B:B,""),
_xlpm.MacVal,_xlfn.XLOOKUP($A280,Output_Mac!$A:$A,Output_Mac!B:B,""),
_xlpm.MyAuditVal,_xlfn.XLOOKUP($A280,My_Audit!$A:$A,My_Audit!B:B,""),
_xlfn.IFS(_xlpm.MyAuditVal&lt;&gt;"",UPPER(_xlpm.MyAuditVal),_xlpm.MacVal&lt;&gt;"",_xlpm.MacVal,_xlpm.CSVVal&lt;&gt;"",_xlpm.CSVVal
)),"")</f>
        <v/>
      </c>
      <c r="D280" s="55" t="str">
        <f>_xlfn.XLOOKUP(A280,My_Audit!A:A,My_Audit!D:D,"")&amp;""</f>
        <v/>
      </c>
      <c r="E280" s="55" t="str" cm="1">
        <f t="array" ref="E280">IFERROR(_xlfn.LET(
_xlpm.CSVVal,_xlfn.XLOOKUP($A280,CSV!$A:$A,CSV!D:D,""),
_xlpm.MacVal,_xlfn.XLOOKUP($A280,Output_Mac!$A:$A,Output_Mac!C:C,""),
_xlpm.MyAuditVal,_xlfn.XLOOKUP($A280,My_Audit!$A:$A,My_Audit!D:D,""),
_xlfn.IFS(_xlpm.MyAuditVal&lt;&gt;"",_xlpm.MyAuditVal,_xlpm.MacVal&lt;&gt;"",_xlpm.MacVal,_xlpm.CSVVal&lt;&gt;"",_xlpm.CSVVal
)),"")</f>
        <v/>
      </c>
      <c r="F280" s="54" t="str" cm="1">
        <f t="array" ref="F280">IFERROR(_xlfn.LET(
_xlpm.CSVVal,_xlfn.XLOOKUP($A280,CSV!$A:$A,CSV!E:E,""),
_xlpm.MacVal,_xlfn.XLOOKUP($A280,Output_Mac!$A:$A,Output_Mac!F:F,""),
_xlpm.MyAuditVal,_xlfn.XLOOKUP($A280,My_Audit!$A:$A,My_Audit!E:E,""),
_xlfn.IFS(_xlpm.MyAuditVal&lt;&gt;"",_xlpm.MyAuditVal,_xlpm.MacVal&lt;&gt;"",_xlpm.MacVal,_xlpm.CSVVal&lt;&gt;"",PROPER(_xlpm.CSVVal)
)),"")</f>
        <v/>
      </c>
      <c r="G280" s="54" t="str" cm="1">
        <f t="array" ref="G280">IFERROR(_xlfn.LET(
_xlpm.CSVVal,_xlfn.XLOOKUP($A280,CSV!$A:$A,CSV!F:F,""),
_xlpm.MacVal,_xlfn.XLOOKUP($A280,Output_Mac!$A:$A,Output_Mac!H:H,""),
_xlpm.MyAuditVal,_xlfn.XLOOKUP($A280,My_Audit!$A:$A,My_Audit!F:F,""),
_xlfn.IFS(_xlpm.MyAuditVal&lt;&gt;"",_xlpm.MyAuditVal,_xlpm.MacVal&lt;&gt;"",_xlpm.MacVal,_xlpm.CSVVal&lt;&gt;"",_xlpm.CSVVal
)),"")</f>
        <v/>
      </c>
      <c r="H280" s="54" t="str">
        <f>_xlfn.XLOOKUP(A280,Output_Mac!A:A,Output_Mac!I:I,"")</f>
        <v/>
      </c>
      <c r="I280" s="54" t="str" cm="1">
        <f t="array" ref="I280">IFERROR(_xlfn.LET(
_xlpm.CSVVal,_xlfn.XLOOKUP($A280,CSV!$A:$A,CSV!G:G,""),
_xlpm.MacVal,_xlfn.XLOOKUP($A280,Output_Mac!$A:$A,Output_Mac!J:J,""),
_xlpm.MyAuditVal,_xlfn.XLOOKUP($A280,My_Audit!$A:$A,My_Audit!H:H,""),
_xlfn.IFS(_xlpm.MyAuditVal&lt;&gt;"",UPPER(_xlpm.MyAuditVal),_xlpm.MacVal&lt;&gt;"",_xlpm.MacVal,_xlpm.CSVVal&lt;&gt;"",_xlpm.CSVVal
)),"")</f>
        <v/>
      </c>
      <c r="J280" s="54" t="str" cm="1">
        <f t="array" ref="J280">IFERROR(_xlfn.LET(
_xlpm.CSVVal,_xlfn.XLOOKUP($A280,CSV!$A:$A,CSV!I:I,""),
_xlpm.MacVal,_xlfn.XLOOKUP($A280,Output_Mac!$A:$A,Output_Mac!K:K,""),
_xlpm.MyAuditVal,_xlfn.XLOOKUP($A280,My_Audit!$A:$A,My_Audit!I:I,""),
_xlfn.IFS(_xlpm.MyAuditVal&lt;&gt;"",UPPER(_xlpm.MyAuditVal),_xlpm.MacVal&lt;&gt;"",_xlpm.MacVal,_xlpm.CSVVal&lt;&gt;"",_xlpm.CSVVal
)),"")</f>
        <v/>
      </c>
      <c r="K280" s="54" t="str" cm="1">
        <f t="array" ref="K280">IFERROR(_xlfn.LET(
_xlpm.CSVVal,_xlfn.XLOOKUP($A280,CSV!$A:$A,CSV!M:M,""),
_xlpm.MacVal,_xlfn.XLOOKUP($A280,Output_Mac!$A:$A,Output_Mac!L:L,""),
_xlpm.MyAuditVal,_xlfn.XLOOKUP($A280,My_Audit!$A:$A,My_Audit!J:J,""),
_xlfn.IFS(_xlpm.MyAuditVal&lt;&gt;"",UPPER(_xlpm.MyAuditVal),_xlpm.MacVal&lt;&gt;"",_xlpm.MacVal,_xlpm.CSVVal&lt;&gt;"",_xlpm.CSVVal
)),"")</f>
        <v/>
      </c>
      <c r="L280" s="55" t="str" cm="1">
        <f t="array" ref="L280">IFERROR(_xlfn.LET(
_xlpm.CSVVal,_xlfn.XLOOKUP($A280,CSV!$A:$A,CSV!P:P,""),
_xlpm.MacVal,_xlfn.XLOOKUP($A280,Output_Mac!$A:$A,Output_Mac!M:M,""),
_xlpm.MyAuditVal,_xlfn.XLOOKUP($A280,My_Audit!$A:$A,My_Audit!K:K,""),
_xlfn.IFS(_xlpm.MyAuditVal&lt;&gt;"",UPPER(_xlpm.MyAuditVal),_xlpm.MacVal&lt;&gt;"",_xlpm.MacVal,_xlpm.CSVVal&lt;&gt;"",_xlpm.CSVVal
)),"")</f>
        <v/>
      </c>
      <c r="M280" s="54" t="str">
        <f>_xlfn.LET(
    _xlpm.CSVVal, _xlfn.XLOOKUP($A280, CSV!$A:$A, CSV!AD:AD, ""),
    _xlpm.MacVal, _xlfn.XLOOKUP($A280, Output_Mac!$A:$A, Output_Mac!S:S, ""),
    _xlpm.MyAuditVal, _xlfn.XLOOKUP($A280, My_Audit!$A:$A, My_Audit!N:N, ""),
    _xlfn.TEXTJOIN(", ", TRUE, _xlpm.MyAuditVal, _xlpm.MacVal, _xlpm.CSVVal)
)</f>
        <v/>
      </c>
      <c r="N280" s="54" t="str" cm="1">
        <f t="array" ref="N280">IFERROR(_xlfn.LET(
_xlpm.CSVVal,_xlfn.XLOOKUP($A280,CSV!$A:$A,CSV!AF:AF,""),
_xlpm.MacVal,_xlfn.XLOOKUP($A280,Output_Mac!$A:$A,Output_Mac!U:U,""),
_xlpm.MyAuditVal,_xlfn.XLOOKUP($A280,My_Audit!$A:$A,My_Audit!O:O,""),
_xlfn.IFS(_xlpm.MyAuditVal&lt;&gt;"",UPPER(_xlpm.MyAuditVal),_xlpm.MacVal&lt;&gt;"",_xlpm.MacVal,_xlpm.CSVVal&lt;&gt;"",_xlpm.CSVVal
)),"")</f>
        <v/>
      </c>
      <c r="O280" s="54"/>
      <c r="P280" s="54"/>
      <c r="Q280" s="54"/>
      <c r="R280" s="54"/>
      <c r="S280" s="54"/>
      <c r="T280" s="54"/>
      <c r="U280" s="39"/>
    </row>
    <row r="281" spans="1:21">
      <c r="A281" s="54" t="str">
        <f>_xlfn.TEXTJOIN("",TRUE,Input!$B$2,ROW(My_Audit!A280))</f>
        <v>XX280</v>
      </c>
      <c r="B281" s="54" t="str">
        <f>_xlfn.TEXTJOIN("-",TRUE,"ITD",Input!$A$2,A281)</f>
        <v>ITD-SHRXXX-XX280</v>
      </c>
      <c r="C281" s="54" t="str" cm="1">
        <f t="array" ref="C281">IFERROR(_xlfn.LET(
_xlpm.CSVVal,_xlfn.XLOOKUP($A281,CSV!$A:$A,CSV!B:B,""),
_xlpm.MacVal,_xlfn.XLOOKUP($A281,Output_Mac!$A:$A,Output_Mac!B:B,""),
_xlpm.MyAuditVal,_xlfn.XLOOKUP($A281,My_Audit!$A:$A,My_Audit!B:B,""),
_xlfn.IFS(_xlpm.MyAuditVal&lt;&gt;"",UPPER(_xlpm.MyAuditVal),_xlpm.MacVal&lt;&gt;"",_xlpm.MacVal,_xlpm.CSVVal&lt;&gt;"",_xlpm.CSVVal
)),"")</f>
        <v/>
      </c>
      <c r="D281" s="55" t="str">
        <f>_xlfn.XLOOKUP(A281,My_Audit!A:A,My_Audit!D:D,"")&amp;""</f>
        <v/>
      </c>
      <c r="E281" s="55" t="str" cm="1">
        <f t="array" ref="E281">IFERROR(_xlfn.LET(
_xlpm.CSVVal,_xlfn.XLOOKUP($A281,CSV!$A:$A,CSV!D:D,""),
_xlpm.MacVal,_xlfn.XLOOKUP($A281,Output_Mac!$A:$A,Output_Mac!C:C,""),
_xlpm.MyAuditVal,_xlfn.XLOOKUP($A281,My_Audit!$A:$A,My_Audit!D:D,""),
_xlfn.IFS(_xlpm.MyAuditVal&lt;&gt;"",_xlpm.MyAuditVal,_xlpm.MacVal&lt;&gt;"",_xlpm.MacVal,_xlpm.CSVVal&lt;&gt;"",_xlpm.CSVVal
)),"")</f>
        <v/>
      </c>
      <c r="F281" s="54" t="str" cm="1">
        <f t="array" ref="F281">IFERROR(_xlfn.LET(
_xlpm.CSVVal,_xlfn.XLOOKUP($A281,CSV!$A:$A,CSV!E:E,""),
_xlpm.MacVal,_xlfn.XLOOKUP($A281,Output_Mac!$A:$A,Output_Mac!F:F,""),
_xlpm.MyAuditVal,_xlfn.XLOOKUP($A281,My_Audit!$A:$A,My_Audit!E:E,""),
_xlfn.IFS(_xlpm.MyAuditVal&lt;&gt;"",_xlpm.MyAuditVal,_xlpm.MacVal&lt;&gt;"",_xlpm.MacVal,_xlpm.CSVVal&lt;&gt;"",PROPER(_xlpm.CSVVal)
)),"")</f>
        <v/>
      </c>
      <c r="G281" s="54" t="str" cm="1">
        <f t="array" ref="G281">IFERROR(_xlfn.LET(
_xlpm.CSVVal,_xlfn.XLOOKUP($A281,CSV!$A:$A,CSV!F:F,""),
_xlpm.MacVal,_xlfn.XLOOKUP($A281,Output_Mac!$A:$A,Output_Mac!H:H,""),
_xlpm.MyAuditVal,_xlfn.XLOOKUP($A281,My_Audit!$A:$A,My_Audit!F:F,""),
_xlfn.IFS(_xlpm.MyAuditVal&lt;&gt;"",_xlpm.MyAuditVal,_xlpm.MacVal&lt;&gt;"",_xlpm.MacVal,_xlpm.CSVVal&lt;&gt;"",_xlpm.CSVVal
)),"")</f>
        <v/>
      </c>
      <c r="H281" s="54" t="str">
        <f>_xlfn.XLOOKUP(A281,Output_Mac!A:A,Output_Mac!I:I,"")</f>
        <v/>
      </c>
      <c r="I281" s="54" t="str" cm="1">
        <f t="array" ref="I281">IFERROR(_xlfn.LET(
_xlpm.CSVVal,_xlfn.XLOOKUP($A281,CSV!$A:$A,CSV!G:G,""),
_xlpm.MacVal,_xlfn.XLOOKUP($A281,Output_Mac!$A:$A,Output_Mac!J:J,""),
_xlpm.MyAuditVal,_xlfn.XLOOKUP($A281,My_Audit!$A:$A,My_Audit!H:H,""),
_xlfn.IFS(_xlpm.MyAuditVal&lt;&gt;"",UPPER(_xlpm.MyAuditVal),_xlpm.MacVal&lt;&gt;"",_xlpm.MacVal,_xlpm.CSVVal&lt;&gt;"",_xlpm.CSVVal
)),"")</f>
        <v/>
      </c>
      <c r="J281" s="54" t="str" cm="1">
        <f t="array" ref="J281">IFERROR(_xlfn.LET(
_xlpm.CSVVal,_xlfn.XLOOKUP($A281,CSV!$A:$A,CSV!I:I,""),
_xlpm.MacVal,_xlfn.XLOOKUP($A281,Output_Mac!$A:$A,Output_Mac!K:K,""),
_xlpm.MyAuditVal,_xlfn.XLOOKUP($A281,My_Audit!$A:$A,My_Audit!I:I,""),
_xlfn.IFS(_xlpm.MyAuditVal&lt;&gt;"",UPPER(_xlpm.MyAuditVal),_xlpm.MacVal&lt;&gt;"",_xlpm.MacVal,_xlpm.CSVVal&lt;&gt;"",_xlpm.CSVVal
)),"")</f>
        <v/>
      </c>
      <c r="K281" s="54" t="str" cm="1">
        <f t="array" ref="K281">IFERROR(_xlfn.LET(
_xlpm.CSVVal,_xlfn.XLOOKUP($A281,CSV!$A:$A,CSV!M:M,""),
_xlpm.MacVal,_xlfn.XLOOKUP($A281,Output_Mac!$A:$A,Output_Mac!L:L,""),
_xlpm.MyAuditVal,_xlfn.XLOOKUP($A281,My_Audit!$A:$A,My_Audit!J:J,""),
_xlfn.IFS(_xlpm.MyAuditVal&lt;&gt;"",UPPER(_xlpm.MyAuditVal),_xlpm.MacVal&lt;&gt;"",_xlpm.MacVal,_xlpm.CSVVal&lt;&gt;"",_xlpm.CSVVal
)),"")</f>
        <v/>
      </c>
      <c r="L281" s="55" t="str" cm="1">
        <f t="array" ref="L281">IFERROR(_xlfn.LET(
_xlpm.CSVVal,_xlfn.XLOOKUP($A281,CSV!$A:$A,CSV!P:P,""),
_xlpm.MacVal,_xlfn.XLOOKUP($A281,Output_Mac!$A:$A,Output_Mac!M:M,""),
_xlpm.MyAuditVal,_xlfn.XLOOKUP($A281,My_Audit!$A:$A,My_Audit!K:K,""),
_xlfn.IFS(_xlpm.MyAuditVal&lt;&gt;"",UPPER(_xlpm.MyAuditVal),_xlpm.MacVal&lt;&gt;"",_xlpm.MacVal,_xlpm.CSVVal&lt;&gt;"",_xlpm.CSVVal
)),"")</f>
        <v/>
      </c>
      <c r="M281" s="54" t="str">
        <f>_xlfn.LET(
    _xlpm.CSVVal, _xlfn.XLOOKUP($A281, CSV!$A:$A, CSV!AD:AD, ""),
    _xlpm.MacVal, _xlfn.XLOOKUP($A281, Output_Mac!$A:$A, Output_Mac!S:S, ""),
    _xlpm.MyAuditVal, _xlfn.XLOOKUP($A281, My_Audit!$A:$A, My_Audit!N:N, ""),
    _xlfn.TEXTJOIN(", ", TRUE, _xlpm.MyAuditVal, _xlpm.MacVal, _xlpm.CSVVal)
)</f>
        <v/>
      </c>
      <c r="N281" s="54" t="str" cm="1">
        <f t="array" ref="N281">IFERROR(_xlfn.LET(
_xlpm.CSVVal,_xlfn.XLOOKUP($A281,CSV!$A:$A,CSV!AF:AF,""),
_xlpm.MacVal,_xlfn.XLOOKUP($A281,Output_Mac!$A:$A,Output_Mac!U:U,""),
_xlpm.MyAuditVal,_xlfn.XLOOKUP($A281,My_Audit!$A:$A,My_Audit!O:O,""),
_xlfn.IFS(_xlpm.MyAuditVal&lt;&gt;"",UPPER(_xlpm.MyAuditVal),_xlpm.MacVal&lt;&gt;"",_xlpm.MacVal,_xlpm.CSVVal&lt;&gt;"",_xlpm.CSVVal
)),"")</f>
        <v/>
      </c>
      <c r="O281" s="54"/>
      <c r="P281" s="54"/>
      <c r="Q281" s="54"/>
      <c r="R281" s="54"/>
      <c r="S281" s="54"/>
      <c r="T281" s="54"/>
      <c r="U281" s="39"/>
    </row>
    <row r="282" spans="1:21">
      <c r="A282" s="54" t="str">
        <f>_xlfn.TEXTJOIN("",TRUE,Input!$B$2,ROW(My_Audit!A281))</f>
        <v>XX281</v>
      </c>
      <c r="B282" s="54" t="str">
        <f>_xlfn.TEXTJOIN("-",TRUE,"ITD",Input!$A$2,A282)</f>
        <v>ITD-SHRXXX-XX281</v>
      </c>
      <c r="C282" s="54" t="str" cm="1">
        <f t="array" ref="C282">IFERROR(_xlfn.LET(
_xlpm.CSVVal,_xlfn.XLOOKUP($A282,CSV!$A:$A,CSV!B:B,""),
_xlpm.MacVal,_xlfn.XLOOKUP($A282,Output_Mac!$A:$A,Output_Mac!B:B,""),
_xlpm.MyAuditVal,_xlfn.XLOOKUP($A282,My_Audit!$A:$A,My_Audit!B:B,""),
_xlfn.IFS(_xlpm.MyAuditVal&lt;&gt;"",UPPER(_xlpm.MyAuditVal),_xlpm.MacVal&lt;&gt;"",_xlpm.MacVal,_xlpm.CSVVal&lt;&gt;"",_xlpm.CSVVal
)),"")</f>
        <v/>
      </c>
      <c r="D282" s="55" t="str">
        <f>_xlfn.XLOOKUP(A282,My_Audit!A:A,My_Audit!D:D,"")&amp;""</f>
        <v/>
      </c>
      <c r="E282" s="55" t="str" cm="1">
        <f t="array" ref="E282">IFERROR(_xlfn.LET(
_xlpm.CSVVal,_xlfn.XLOOKUP($A282,CSV!$A:$A,CSV!D:D,""),
_xlpm.MacVal,_xlfn.XLOOKUP($A282,Output_Mac!$A:$A,Output_Mac!C:C,""),
_xlpm.MyAuditVal,_xlfn.XLOOKUP($A282,My_Audit!$A:$A,My_Audit!D:D,""),
_xlfn.IFS(_xlpm.MyAuditVal&lt;&gt;"",_xlpm.MyAuditVal,_xlpm.MacVal&lt;&gt;"",_xlpm.MacVal,_xlpm.CSVVal&lt;&gt;"",_xlpm.CSVVal
)),"")</f>
        <v/>
      </c>
      <c r="F282" s="54" t="str" cm="1">
        <f t="array" ref="F282">IFERROR(_xlfn.LET(
_xlpm.CSVVal,_xlfn.XLOOKUP($A282,CSV!$A:$A,CSV!E:E,""),
_xlpm.MacVal,_xlfn.XLOOKUP($A282,Output_Mac!$A:$A,Output_Mac!F:F,""),
_xlpm.MyAuditVal,_xlfn.XLOOKUP($A282,My_Audit!$A:$A,My_Audit!E:E,""),
_xlfn.IFS(_xlpm.MyAuditVal&lt;&gt;"",_xlpm.MyAuditVal,_xlpm.MacVal&lt;&gt;"",_xlpm.MacVal,_xlpm.CSVVal&lt;&gt;"",PROPER(_xlpm.CSVVal)
)),"")</f>
        <v/>
      </c>
      <c r="G282" s="54" t="str" cm="1">
        <f t="array" ref="G282">IFERROR(_xlfn.LET(
_xlpm.CSVVal,_xlfn.XLOOKUP($A282,CSV!$A:$A,CSV!F:F,""),
_xlpm.MacVal,_xlfn.XLOOKUP($A282,Output_Mac!$A:$A,Output_Mac!H:H,""),
_xlpm.MyAuditVal,_xlfn.XLOOKUP($A282,My_Audit!$A:$A,My_Audit!F:F,""),
_xlfn.IFS(_xlpm.MyAuditVal&lt;&gt;"",_xlpm.MyAuditVal,_xlpm.MacVal&lt;&gt;"",_xlpm.MacVal,_xlpm.CSVVal&lt;&gt;"",_xlpm.CSVVal
)),"")</f>
        <v/>
      </c>
      <c r="H282" s="54" t="str">
        <f>_xlfn.XLOOKUP(A282,Output_Mac!A:A,Output_Mac!I:I,"")</f>
        <v/>
      </c>
      <c r="I282" s="54" t="str" cm="1">
        <f t="array" ref="I282">IFERROR(_xlfn.LET(
_xlpm.CSVVal,_xlfn.XLOOKUP($A282,CSV!$A:$A,CSV!G:G,""),
_xlpm.MacVal,_xlfn.XLOOKUP($A282,Output_Mac!$A:$A,Output_Mac!J:J,""),
_xlpm.MyAuditVal,_xlfn.XLOOKUP($A282,My_Audit!$A:$A,My_Audit!H:H,""),
_xlfn.IFS(_xlpm.MyAuditVal&lt;&gt;"",UPPER(_xlpm.MyAuditVal),_xlpm.MacVal&lt;&gt;"",_xlpm.MacVal,_xlpm.CSVVal&lt;&gt;"",_xlpm.CSVVal
)),"")</f>
        <v/>
      </c>
      <c r="J282" s="54" t="str" cm="1">
        <f t="array" ref="J282">IFERROR(_xlfn.LET(
_xlpm.CSVVal,_xlfn.XLOOKUP($A282,CSV!$A:$A,CSV!I:I,""),
_xlpm.MacVal,_xlfn.XLOOKUP($A282,Output_Mac!$A:$A,Output_Mac!K:K,""),
_xlpm.MyAuditVal,_xlfn.XLOOKUP($A282,My_Audit!$A:$A,My_Audit!I:I,""),
_xlfn.IFS(_xlpm.MyAuditVal&lt;&gt;"",UPPER(_xlpm.MyAuditVal),_xlpm.MacVal&lt;&gt;"",_xlpm.MacVal,_xlpm.CSVVal&lt;&gt;"",_xlpm.CSVVal
)),"")</f>
        <v/>
      </c>
      <c r="K282" s="54" t="str" cm="1">
        <f t="array" ref="K282">IFERROR(_xlfn.LET(
_xlpm.CSVVal,_xlfn.XLOOKUP($A282,CSV!$A:$A,CSV!M:M,""),
_xlpm.MacVal,_xlfn.XLOOKUP($A282,Output_Mac!$A:$A,Output_Mac!L:L,""),
_xlpm.MyAuditVal,_xlfn.XLOOKUP($A282,My_Audit!$A:$A,My_Audit!J:J,""),
_xlfn.IFS(_xlpm.MyAuditVal&lt;&gt;"",UPPER(_xlpm.MyAuditVal),_xlpm.MacVal&lt;&gt;"",_xlpm.MacVal,_xlpm.CSVVal&lt;&gt;"",_xlpm.CSVVal
)),"")</f>
        <v/>
      </c>
      <c r="L282" s="55" t="str" cm="1">
        <f t="array" ref="L282">IFERROR(_xlfn.LET(
_xlpm.CSVVal,_xlfn.XLOOKUP($A282,CSV!$A:$A,CSV!P:P,""),
_xlpm.MacVal,_xlfn.XLOOKUP($A282,Output_Mac!$A:$A,Output_Mac!M:M,""),
_xlpm.MyAuditVal,_xlfn.XLOOKUP($A282,My_Audit!$A:$A,My_Audit!K:K,""),
_xlfn.IFS(_xlpm.MyAuditVal&lt;&gt;"",UPPER(_xlpm.MyAuditVal),_xlpm.MacVal&lt;&gt;"",_xlpm.MacVal,_xlpm.CSVVal&lt;&gt;"",_xlpm.CSVVal
)),"")</f>
        <v/>
      </c>
      <c r="M282" s="54" t="str">
        <f>_xlfn.LET(
    _xlpm.CSVVal, _xlfn.XLOOKUP($A282, CSV!$A:$A, CSV!AD:AD, ""),
    _xlpm.MacVal, _xlfn.XLOOKUP($A282, Output_Mac!$A:$A, Output_Mac!S:S, ""),
    _xlpm.MyAuditVal, _xlfn.XLOOKUP($A282, My_Audit!$A:$A, My_Audit!N:N, ""),
    _xlfn.TEXTJOIN(", ", TRUE, _xlpm.MyAuditVal, _xlpm.MacVal, _xlpm.CSVVal)
)</f>
        <v/>
      </c>
      <c r="N282" s="54" t="str" cm="1">
        <f t="array" ref="N282">IFERROR(_xlfn.LET(
_xlpm.CSVVal,_xlfn.XLOOKUP($A282,CSV!$A:$A,CSV!AF:AF,""),
_xlpm.MacVal,_xlfn.XLOOKUP($A282,Output_Mac!$A:$A,Output_Mac!U:U,""),
_xlpm.MyAuditVal,_xlfn.XLOOKUP($A282,My_Audit!$A:$A,My_Audit!O:O,""),
_xlfn.IFS(_xlpm.MyAuditVal&lt;&gt;"",UPPER(_xlpm.MyAuditVal),_xlpm.MacVal&lt;&gt;"",_xlpm.MacVal,_xlpm.CSVVal&lt;&gt;"",_xlpm.CSVVal
)),"")</f>
        <v/>
      </c>
      <c r="O282" s="54"/>
      <c r="P282" s="54"/>
      <c r="Q282" s="54"/>
      <c r="R282" s="54"/>
      <c r="S282" s="54"/>
      <c r="T282" s="54"/>
      <c r="U282" s="39"/>
    </row>
    <row r="283" spans="1:21">
      <c r="A283" s="54" t="str">
        <f>_xlfn.TEXTJOIN("",TRUE,Input!$B$2,ROW(My_Audit!A282))</f>
        <v>XX282</v>
      </c>
      <c r="B283" s="54" t="str">
        <f>_xlfn.TEXTJOIN("-",TRUE,"ITD",Input!$A$2,A283)</f>
        <v>ITD-SHRXXX-XX282</v>
      </c>
      <c r="C283" s="54" t="str" cm="1">
        <f t="array" ref="C283">IFERROR(_xlfn.LET(
_xlpm.CSVVal,_xlfn.XLOOKUP($A283,CSV!$A:$A,CSV!B:B,""),
_xlpm.MacVal,_xlfn.XLOOKUP($A283,Output_Mac!$A:$A,Output_Mac!B:B,""),
_xlpm.MyAuditVal,_xlfn.XLOOKUP($A283,My_Audit!$A:$A,My_Audit!B:B,""),
_xlfn.IFS(_xlpm.MyAuditVal&lt;&gt;"",UPPER(_xlpm.MyAuditVal),_xlpm.MacVal&lt;&gt;"",_xlpm.MacVal,_xlpm.CSVVal&lt;&gt;"",_xlpm.CSVVal
)),"")</f>
        <v/>
      </c>
      <c r="D283" s="55" t="str">
        <f>_xlfn.XLOOKUP(A283,My_Audit!A:A,My_Audit!D:D,"")&amp;""</f>
        <v/>
      </c>
      <c r="E283" s="55" t="str" cm="1">
        <f t="array" ref="E283">IFERROR(_xlfn.LET(
_xlpm.CSVVal,_xlfn.XLOOKUP($A283,CSV!$A:$A,CSV!D:D,""),
_xlpm.MacVal,_xlfn.XLOOKUP($A283,Output_Mac!$A:$A,Output_Mac!C:C,""),
_xlpm.MyAuditVal,_xlfn.XLOOKUP($A283,My_Audit!$A:$A,My_Audit!D:D,""),
_xlfn.IFS(_xlpm.MyAuditVal&lt;&gt;"",_xlpm.MyAuditVal,_xlpm.MacVal&lt;&gt;"",_xlpm.MacVal,_xlpm.CSVVal&lt;&gt;"",_xlpm.CSVVal
)),"")</f>
        <v/>
      </c>
      <c r="F283" s="54" t="str" cm="1">
        <f t="array" ref="F283">IFERROR(_xlfn.LET(
_xlpm.CSVVal,_xlfn.XLOOKUP($A283,CSV!$A:$A,CSV!E:E,""),
_xlpm.MacVal,_xlfn.XLOOKUP($A283,Output_Mac!$A:$A,Output_Mac!F:F,""),
_xlpm.MyAuditVal,_xlfn.XLOOKUP($A283,My_Audit!$A:$A,My_Audit!E:E,""),
_xlfn.IFS(_xlpm.MyAuditVal&lt;&gt;"",_xlpm.MyAuditVal,_xlpm.MacVal&lt;&gt;"",_xlpm.MacVal,_xlpm.CSVVal&lt;&gt;"",PROPER(_xlpm.CSVVal)
)),"")</f>
        <v/>
      </c>
      <c r="G283" s="54" t="str" cm="1">
        <f t="array" ref="G283">IFERROR(_xlfn.LET(
_xlpm.CSVVal,_xlfn.XLOOKUP($A283,CSV!$A:$A,CSV!F:F,""),
_xlpm.MacVal,_xlfn.XLOOKUP($A283,Output_Mac!$A:$A,Output_Mac!H:H,""),
_xlpm.MyAuditVal,_xlfn.XLOOKUP($A283,My_Audit!$A:$A,My_Audit!F:F,""),
_xlfn.IFS(_xlpm.MyAuditVal&lt;&gt;"",_xlpm.MyAuditVal,_xlpm.MacVal&lt;&gt;"",_xlpm.MacVal,_xlpm.CSVVal&lt;&gt;"",_xlpm.CSVVal
)),"")</f>
        <v/>
      </c>
      <c r="H283" s="54" t="str">
        <f>_xlfn.XLOOKUP(A283,Output_Mac!A:A,Output_Mac!I:I,"")</f>
        <v/>
      </c>
      <c r="I283" s="54" t="str" cm="1">
        <f t="array" ref="I283">IFERROR(_xlfn.LET(
_xlpm.CSVVal,_xlfn.XLOOKUP($A283,CSV!$A:$A,CSV!G:G,""),
_xlpm.MacVal,_xlfn.XLOOKUP($A283,Output_Mac!$A:$A,Output_Mac!J:J,""),
_xlpm.MyAuditVal,_xlfn.XLOOKUP($A283,My_Audit!$A:$A,My_Audit!H:H,""),
_xlfn.IFS(_xlpm.MyAuditVal&lt;&gt;"",UPPER(_xlpm.MyAuditVal),_xlpm.MacVal&lt;&gt;"",_xlpm.MacVal,_xlpm.CSVVal&lt;&gt;"",_xlpm.CSVVal
)),"")</f>
        <v/>
      </c>
      <c r="J283" s="54" t="str" cm="1">
        <f t="array" ref="J283">IFERROR(_xlfn.LET(
_xlpm.CSVVal,_xlfn.XLOOKUP($A283,CSV!$A:$A,CSV!I:I,""),
_xlpm.MacVal,_xlfn.XLOOKUP($A283,Output_Mac!$A:$A,Output_Mac!K:K,""),
_xlpm.MyAuditVal,_xlfn.XLOOKUP($A283,My_Audit!$A:$A,My_Audit!I:I,""),
_xlfn.IFS(_xlpm.MyAuditVal&lt;&gt;"",UPPER(_xlpm.MyAuditVal),_xlpm.MacVal&lt;&gt;"",_xlpm.MacVal,_xlpm.CSVVal&lt;&gt;"",_xlpm.CSVVal
)),"")</f>
        <v/>
      </c>
      <c r="K283" s="54" t="str" cm="1">
        <f t="array" ref="K283">IFERROR(_xlfn.LET(
_xlpm.CSVVal,_xlfn.XLOOKUP($A283,CSV!$A:$A,CSV!M:M,""),
_xlpm.MacVal,_xlfn.XLOOKUP($A283,Output_Mac!$A:$A,Output_Mac!L:L,""),
_xlpm.MyAuditVal,_xlfn.XLOOKUP($A283,My_Audit!$A:$A,My_Audit!J:J,""),
_xlfn.IFS(_xlpm.MyAuditVal&lt;&gt;"",UPPER(_xlpm.MyAuditVal),_xlpm.MacVal&lt;&gt;"",_xlpm.MacVal,_xlpm.CSVVal&lt;&gt;"",_xlpm.CSVVal
)),"")</f>
        <v/>
      </c>
      <c r="L283" s="55" t="str" cm="1">
        <f t="array" ref="L283">IFERROR(_xlfn.LET(
_xlpm.CSVVal,_xlfn.XLOOKUP($A283,CSV!$A:$A,CSV!P:P,""),
_xlpm.MacVal,_xlfn.XLOOKUP($A283,Output_Mac!$A:$A,Output_Mac!M:M,""),
_xlpm.MyAuditVal,_xlfn.XLOOKUP($A283,My_Audit!$A:$A,My_Audit!K:K,""),
_xlfn.IFS(_xlpm.MyAuditVal&lt;&gt;"",UPPER(_xlpm.MyAuditVal),_xlpm.MacVal&lt;&gt;"",_xlpm.MacVal,_xlpm.CSVVal&lt;&gt;"",_xlpm.CSVVal
)),"")</f>
        <v/>
      </c>
      <c r="M283" s="54" t="str">
        <f>_xlfn.LET(
    _xlpm.CSVVal, _xlfn.XLOOKUP($A283, CSV!$A:$A, CSV!AD:AD, ""),
    _xlpm.MacVal, _xlfn.XLOOKUP($A283, Output_Mac!$A:$A, Output_Mac!S:S, ""),
    _xlpm.MyAuditVal, _xlfn.XLOOKUP($A283, My_Audit!$A:$A, My_Audit!N:N, ""),
    _xlfn.TEXTJOIN(", ", TRUE, _xlpm.MyAuditVal, _xlpm.MacVal, _xlpm.CSVVal)
)</f>
        <v/>
      </c>
      <c r="N283" s="54" t="str" cm="1">
        <f t="array" ref="N283">IFERROR(_xlfn.LET(
_xlpm.CSVVal,_xlfn.XLOOKUP($A283,CSV!$A:$A,CSV!AF:AF,""),
_xlpm.MacVal,_xlfn.XLOOKUP($A283,Output_Mac!$A:$A,Output_Mac!U:U,""),
_xlpm.MyAuditVal,_xlfn.XLOOKUP($A283,My_Audit!$A:$A,My_Audit!O:O,""),
_xlfn.IFS(_xlpm.MyAuditVal&lt;&gt;"",UPPER(_xlpm.MyAuditVal),_xlpm.MacVal&lt;&gt;"",_xlpm.MacVal,_xlpm.CSVVal&lt;&gt;"",_xlpm.CSVVal
)),"")</f>
        <v/>
      </c>
      <c r="O283" s="54"/>
      <c r="P283" s="54"/>
      <c r="Q283" s="54"/>
      <c r="R283" s="54"/>
      <c r="S283" s="54"/>
      <c r="T283" s="54"/>
      <c r="U283" s="39"/>
    </row>
    <row r="284" spans="1:21">
      <c r="A284" s="54" t="str">
        <f>_xlfn.TEXTJOIN("",TRUE,Input!$B$2,ROW(My_Audit!A283))</f>
        <v>XX283</v>
      </c>
      <c r="B284" s="54" t="str">
        <f>_xlfn.TEXTJOIN("-",TRUE,"ITD",Input!$A$2,A284)</f>
        <v>ITD-SHRXXX-XX283</v>
      </c>
      <c r="C284" s="54" t="str" cm="1">
        <f t="array" ref="C284">IFERROR(_xlfn.LET(
_xlpm.CSVVal,_xlfn.XLOOKUP($A284,CSV!$A:$A,CSV!B:B,""),
_xlpm.MacVal,_xlfn.XLOOKUP($A284,Output_Mac!$A:$A,Output_Mac!B:B,""),
_xlpm.MyAuditVal,_xlfn.XLOOKUP($A284,My_Audit!$A:$A,My_Audit!B:B,""),
_xlfn.IFS(_xlpm.MyAuditVal&lt;&gt;"",UPPER(_xlpm.MyAuditVal),_xlpm.MacVal&lt;&gt;"",_xlpm.MacVal,_xlpm.CSVVal&lt;&gt;"",_xlpm.CSVVal
)),"")</f>
        <v/>
      </c>
      <c r="D284" s="55" t="str">
        <f>_xlfn.XLOOKUP(A284,My_Audit!A:A,My_Audit!D:D,"")&amp;""</f>
        <v/>
      </c>
      <c r="E284" s="55" t="str" cm="1">
        <f t="array" ref="E284">IFERROR(_xlfn.LET(
_xlpm.CSVVal,_xlfn.XLOOKUP($A284,CSV!$A:$A,CSV!D:D,""),
_xlpm.MacVal,_xlfn.XLOOKUP($A284,Output_Mac!$A:$A,Output_Mac!C:C,""),
_xlpm.MyAuditVal,_xlfn.XLOOKUP($A284,My_Audit!$A:$A,My_Audit!D:D,""),
_xlfn.IFS(_xlpm.MyAuditVal&lt;&gt;"",_xlpm.MyAuditVal,_xlpm.MacVal&lt;&gt;"",_xlpm.MacVal,_xlpm.CSVVal&lt;&gt;"",_xlpm.CSVVal
)),"")</f>
        <v/>
      </c>
      <c r="F284" s="54" t="str" cm="1">
        <f t="array" ref="F284">IFERROR(_xlfn.LET(
_xlpm.CSVVal,_xlfn.XLOOKUP($A284,CSV!$A:$A,CSV!E:E,""),
_xlpm.MacVal,_xlfn.XLOOKUP($A284,Output_Mac!$A:$A,Output_Mac!F:F,""),
_xlpm.MyAuditVal,_xlfn.XLOOKUP($A284,My_Audit!$A:$A,My_Audit!E:E,""),
_xlfn.IFS(_xlpm.MyAuditVal&lt;&gt;"",_xlpm.MyAuditVal,_xlpm.MacVal&lt;&gt;"",_xlpm.MacVal,_xlpm.CSVVal&lt;&gt;"",PROPER(_xlpm.CSVVal)
)),"")</f>
        <v/>
      </c>
      <c r="G284" s="54" t="str" cm="1">
        <f t="array" ref="G284">IFERROR(_xlfn.LET(
_xlpm.CSVVal,_xlfn.XLOOKUP($A284,CSV!$A:$A,CSV!F:F,""),
_xlpm.MacVal,_xlfn.XLOOKUP($A284,Output_Mac!$A:$A,Output_Mac!H:H,""),
_xlpm.MyAuditVal,_xlfn.XLOOKUP($A284,My_Audit!$A:$A,My_Audit!F:F,""),
_xlfn.IFS(_xlpm.MyAuditVal&lt;&gt;"",_xlpm.MyAuditVal,_xlpm.MacVal&lt;&gt;"",_xlpm.MacVal,_xlpm.CSVVal&lt;&gt;"",_xlpm.CSVVal
)),"")</f>
        <v/>
      </c>
      <c r="H284" s="54" t="str">
        <f>_xlfn.XLOOKUP(A284,Output_Mac!A:A,Output_Mac!I:I,"")</f>
        <v/>
      </c>
      <c r="I284" s="54" t="str" cm="1">
        <f t="array" ref="I284">IFERROR(_xlfn.LET(
_xlpm.CSVVal,_xlfn.XLOOKUP($A284,CSV!$A:$A,CSV!G:G,""),
_xlpm.MacVal,_xlfn.XLOOKUP($A284,Output_Mac!$A:$A,Output_Mac!J:J,""),
_xlpm.MyAuditVal,_xlfn.XLOOKUP($A284,My_Audit!$A:$A,My_Audit!H:H,""),
_xlfn.IFS(_xlpm.MyAuditVal&lt;&gt;"",UPPER(_xlpm.MyAuditVal),_xlpm.MacVal&lt;&gt;"",_xlpm.MacVal,_xlpm.CSVVal&lt;&gt;"",_xlpm.CSVVal
)),"")</f>
        <v/>
      </c>
      <c r="J284" s="54" t="str" cm="1">
        <f t="array" ref="J284">IFERROR(_xlfn.LET(
_xlpm.CSVVal,_xlfn.XLOOKUP($A284,CSV!$A:$A,CSV!I:I,""),
_xlpm.MacVal,_xlfn.XLOOKUP($A284,Output_Mac!$A:$A,Output_Mac!K:K,""),
_xlpm.MyAuditVal,_xlfn.XLOOKUP($A284,My_Audit!$A:$A,My_Audit!I:I,""),
_xlfn.IFS(_xlpm.MyAuditVal&lt;&gt;"",UPPER(_xlpm.MyAuditVal),_xlpm.MacVal&lt;&gt;"",_xlpm.MacVal,_xlpm.CSVVal&lt;&gt;"",_xlpm.CSVVal
)),"")</f>
        <v/>
      </c>
      <c r="K284" s="54" t="str" cm="1">
        <f t="array" ref="K284">IFERROR(_xlfn.LET(
_xlpm.CSVVal,_xlfn.XLOOKUP($A284,CSV!$A:$A,CSV!M:M,""),
_xlpm.MacVal,_xlfn.XLOOKUP($A284,Output_Mac!$A:$A,Output_Mac!L:L,""),
_xlpm.MyAuditVal,_xlfn.XLOOKUP($A284,My_Audit!$A:$A,My_Audit!J:J,""),
_xlfn.IFS(_xlpm.MyAuditVal&lt;&gt;"",UPPER(_xlpm.MyAuditVal),_xlpm.MacVal&lt;&gt;"",_xlpm.MacVal,_xlpm.CSVVal&lt;&gt;"",_xlpm.CSVVal
)),"")</f>
        <v/>
      </c>
      <c r="L284" s="55" t="str" cm="1">
        <f t="array" ref="L284">IFERROR(_xlfn.LET(
_xlpm.CSVVal,_xlfn.XLOOKUP($A284,CSV!$A:$A,CSV!P:P,""),
_xlpm.MacVal,_xlfn.XLOOKUP($A284,Output_Mac!$A:$A,Output_Mac!M:M,""),
_xlpm.MyAuditVal,_xlfn.XLOOKUP($A284,My_Audit!$A:$A,My_Audit!K:K,""),
_xlfn.IFS(_xlpm.MyAuditVal&lt;&gt;"",UPPER(_xlpm.MyAuditVal),_xlpm.MacVal&lt;&gt;"",_xlpm.MacVal,_xlpm.CSVVal&lt;&gt;"",_xlpm.CSVVal
)),"")</f>
        <v/>
      </c>
      <c r="M284" s="54" t="str">
        <f>_xlfn.LET(
    _xlpm.CSVVal, _xlfn.XLOOKUP($A284, CSV!$A:$A, CSV!AD:AD, ""),
    _xlpm.MacVal, _xlfn.XLOOKUP($A284, Output_Mac!$A:$A, Output_Mac!S:S, ""),
    _xlpm.MyAuditVal, _xlfn.XLOOKUP($A284, My_Audit!$A:$A, My_Audit!N:N, ""),
    _xlfn.TEXTJOIN(", ", TRUE, _xlpm.MyAuditVal, _xlpm.MacVal, _xlpm.CSVVal)
)</f>
        <v/>
      </c>
      <c r="N284" s="54" t="str" cm="1">
        <f t="array" ref="N284">IFERROR(_xlfn.LET(
_xlpm.CSVVal,_xlfn.XLOOKUP($A284,CSV!$A:$A,CSV!AF:AF,""),
_xlpm.MacVal,_xlfn.XLOOKUP($A284,Output_Mac!$A:$A,Output_Mac!U:U,""),
_xlpm.MyAuditVal,_xlfn.XLOOKUP($A284,My_Audit!$A:$A,My_Audit!O:O,""),
_xlfn.IFS(_xlpm.MyAuditVal&lt;&gt;"",UPPER(_xlpm.MyAuditVal),_xlpm.MacVal&lt;&gt;"",_xlpm.MacVal,_xlpm.CSVVal&lt;&gt;"",_xlpm.CSVVal
)),"")</f>
        <v/>
      </c>
      <c r="O284" s="54"/>
      <c r="P284" s="54"/>
      <c r="Q284" s="54"/>
      <c r="R284" s="54"/>
      <c r="S284" s="54"/>
      <c r="T284" s="54"/>
      <c r="U284" s="39"/>
    </row>
    <row r="285" spans="1:21">
      <c r="A285" s="54" t="str">
        <f>_xlfn.TEXTJOIN("",TRUE,Input!$B$2,ROW(My_Audit!A284))</f>
        <v>XX284</v>
      </c>
      <c r="B285" s="54" t="str">
        <f>_xlfn.TEXTJOIN("-",TRUE,"ITD",Input!$A$2,A285)</f>
        <v>ITD-SHRXXX-XX284</v>
      </c>
      <c r="C285" s="54" t="str" cm="1">
        <f t="array" ref="C285">IFERROR(_xlfn.LET(
_xlpm.CSVVal,_xlfn.XLOOKUP($A285,CSV!$A:$A,CSV!B:B,""),
_xlpm.MacVal,_xlfn.XLOOKUP($A285,Output_Mac!$A:$A,Output_Mac!B:B,""),
_xlpm.MyAuditVal,_xlfn.XLOOKUP($A285,My_Audit!$A:$A,My_Audit!B:B,""),
_xlfn.IFS(_xlpm.MyAuditVal&lt;&gt;"",UPPER(_xlpm.MyAuditVal),_xlpm.MacVal&lt;&gt;"",_xlpm.MacVal,_xlpm.CSVVal&lt;&gt;"",_xlpm.CSVVal
)),"")</f>
        <v/>
      </c>
      <c r="D285" s="55" t="str">
        <f>_xlfn.XLOOKUP(A285,My_Audit!A:A,My_Audit!D:D,"")&amp;""</f>
        <v/>
      </c>
      <c r="E285" s="55" t="str" cm="1">
        <f t="array" ref="E285">IFERROR(_xlfn.LET(
_xlpm.CSVVal,_xlfn.XLOOKUP($A285,CSV!$A:$A,CSV!D:D,""),
_xlpm.MacVal,_xlfn.XLOOKUP($A285,Output_Mac!$A:$A,Output_Mac!C:C,""),
_xlpm.MyAuditVal,_xlfn.XLOOKUP($A285,My_Audit!$A:$A,My_Audit!D:D,""),
_xlfn.IFS(_xlpm.MyAuditVal&lt;&gt;"",_xlpm.MyAuditVal,_xlpm.MacVal&lt;&gt;"",_xlpm.MacVal,_xlpm.CSVVal&lt;&gt;"",_xlpm.CSVVal
)),"")</f>
        <v/>
      </c>
      <c r="F285" s="54" t="str" cm="1">
        <f t="array" ref="F285">IFERROR(_xlfn.LET(
_xlpm.CSVVal,_xlfn.XLOOKUP($A285,CSV!$A:$A,CSV!E:E,""),
_xlpm.MacVal,_xlfn.XLOOKUP($A285,Output_Mac!$A:$A,Output_Mac!F:F,""),
_xlpm.MyAuditVal,_xlfn.XLOOKUP($A285,My_Audit!$A:$A,My_Audit!E:E,""),
_xlfn.IFS(_xlpm.MyAuditVal&lt;&gt;"",_xlpm.MyAuditVal,_xlpm.MacVal&lt;&gt;"",_xlpm.MacVal,_xlpm.CSVVal&lt;&gt;"",PROPER(_xlpm.CSVVal)
)),"")</f>
        <v/>
      </c>
      <c r="G285" s="54" t="str" cm="1">
        <f t="array" ref="G285">IFERROR(_xlfn.LET(
_xlpm.CSVVal,_xlfn.XLOOKUP($A285,CSV!$A:$A,CSV!F:F,""),
_xlpm.MacVal,_xlfn.XLOOKUP($A285,Output_Mac!$A:$A,Output_Mac!H:H,""),
_xlpm.MyAuditVal,_xlfn.XLOOKUP($A285,My_Audit!$A:$A,My_Audit!F:F,""),
_xlfn.IFS(_xlpm.MyAuditVal&lt;&gt;"",_xlpm.MyAuditVal,_xlpm.MacVal&lt;&gt;"",_xlpm.MacVal,_xlpm.CSVVal&lt;&gt;"",_xlpm.CSVVal
)),"")</f>
        <v/>
      </c>
      <c r="H285" s="54" t="str">
        <f>_xlfn.XLOOKUP(A285,Output_Mac!A:A,Output_Mac!I:I,"")</f>
        <v/>
      </c>
      <c r="I285" s="54" t="str" cm="1">
        <f t="array" ref="I285">IFERROR(_xlfn.LET(
_xlpm.CSVVal,_xlfn.XLOOKUP($A285,CSV!$A:$A,CSV!G:G,""),
_xlpm.MacVal,_xlfn.XLOOKUP($A285,Output_Mac!$A:$A,Output_Mac!J:J,""),
_xlpm.MyAuditVal,_xlfn.XLOOKUP($A285,My_Audit!$A:$A,My_Audit!H:H,""),
_xlfn.IFS(_xlpm.MyAuditVal&lt;&gt;"",UPPER(_xlpm.MyAuditVal),_xlpm.MacVal&lt;&gt;"",_xlpm.MacVal,_xlpm.CSVVal&lt;&gt;"",_xlpm.CSVVal
)),"")</f>
        <v/>
      </c>
      <c r="J285" s="54" t="str" cm="1">
        <f t="array" ref="J285">IFERROR(_xlfn.LET(
_xlpm.CSVVal,_xlfn.XLOOKUP($A285,CSV!$A:$A,CSV!I:I,""),
_xlpm.MacVal,_xlfn.XLOOKUP($A285,Output_Mac!$A:$A,Output_Mac!K:K,""),
_xlpm.MyAuditVal,_xlfn.XLOOKUP($A285,My_Audit!$A:$A,My_Audit!I:I,""),
_xlfn.IFS(_xlpm.MyAuditVal&lt;&gt;"",UPPER(_xlpm.MyAuditVal),_xlpm.MacVal&lt;&gt;"",_xlpm.MacVal,_xlpm.CSVVal&lt;&gt;"",_xlpm.CSVVal
)),"")</f>
        <v/>
      </c>
      <c r="K285" s="54" t="str" cm="1">
        <f t="array" ref="K285">IFERROR(_xlfn.LET(
_xlpm.CSVVal,_xlfn.XLOOKUP($A285,CSV!$A:$A,CSV!M:M,""),
_xlpm.MacVal,_xlfn.XLOOKUP($A285,Output_Mac!$A:$A,Output_Mac!L:L,""),
_xlpm.MyAuditVal,_xlfn.XLOOKUP($A285,My_Audit!$A:$A,My_Audit!J:J,""),
_xlfn.IFS(_xlpm.MyAuditVal&lt;&gt;"",UPPER(_xlpm.MyAuditVal),_xlpm.MacVal&lt;&gt;"",_xlpm.MacVal,_xlpm.CSVVal&lt;&gt;"",_xlpm.CSVVal
)),"")</f>
        <v/>
      </c>
      <c r="L285" s="55" t="str" cm="1">
        <f t="array" ref="L285">IFERROR(_xlfn.LET(
_xlpm.CSVVal,_xlfn.XLOOKUP($A285,CSV!$A:$A,CSV!P:P,""),
_xlpm.MacVal,_xlfn.XLOOKUP($A285,Output_Mac!$A:$A,Output_Mac!M:M,""),
_xlpm.MyAuditVal,_xlfn.XLOOKUP($A285,My_Audit!$A:$A,My_Audit!K:K,""),
_xlfn.IFS(_xlpm.MyAuditVal&lt;&gt;"",UPPER(_xlpm.MyAuditVal),_xlpm.MacVal&lt;&gt;"",_xlpm.MacVal,_xlpm.CSVVal&lt;&gt;"",_xlpm.CSVVal
)),"")</f>
        <v/>
      </c>
      <c r="M285" s="54" t="str">
        <f>_xlfn.LET(
    _xlpm.CSVVal, _xlfn.XLOOKUP($A285, CSV!$A:$A, CSV!AD:AD, ""),
    _xlpm.MacVal, _xlfn.XLOOKUP($A285, Output_Mac!$A:$A, Output_Mac!S:S, ""),
    _xlpm.MyAuditVal, _xlfn.XLOOKUP($A285, My_Audit!$A:$A, My_Audit!N:N, ""),
    _xlfn.TEXTJOIN(", ", TRUE, _xlpm.MyAuditVal, _xlpm.MacVal, _xlpm.CSVVal)
)</f>
        <v/>
      </c>
      <c r="N285" s="54" t="str" cm="1">
        <f t="array" ref="N285">IFERROR(_xlfn.LET(
_xlpm.CSVVal,_xlfn.XLOOKUP($A285,CSV!$A:$A,CSV!AF:AF,""),
_xlpm.MacVal,_xlfn.XLOOKUP($A285,Output_Mac!$A:$A,Output_Mac!U:U,""),
_xlpm.MyAuditVal,_xlfn.XLOOKUP($A285,My_Audit!$A:$A,My_Audit!O:O,""),
_xlfn.IFS(_xlpm.MyAuditVal&lt;&gt;"",UPPER(_xlpm.MyAuditVal),_xlpm.MacVal&lt;&gt;"",_xlpm.MacVal,_xlpm.CSVVal&lt;&gt;"",_xlpm.CSVVal
)),"")</f>
        <v/>
      </c>
      <c r="O285" s="54"/>
      <c r="P285" s="54"/>
      <c r="Q285" s="54"/>
      <c r="R285" s="54"/>
      <c r="S285" s="54"/>
      <c r="T285" s="54"/>
      <c r="U285" s="39"/>
    </row>
    <row r="286" spans="1:21">
      <c r="A286" s="54" t="str">
        <f>_xlfn.TEXTJOIN("",TRUE,Input!$B$2,ROW(My_Audit!A285))</f>
        <v>XX285</v>
      </c>
      <c r="B286" s="54" t="str">
        <f>_xlfn.TEXTJOIN("-",TRUE,"ITD",Input!$A$2,A286)</f>
        <v>ITD-SHRXXX-XX285</v>
      </c>
      <c r="C286" s="54" t="str" cm="1">
        <f t="array" ref="C286">IFERROR(_xlfn.LET(
_xlpm.CSVVal,_xlfn.XLOOKUP($A286,CSV!$A:$A,CSV!B:B,""),
_xlpm.MacVal,_xlfn.XLOOKUP($A286,Output_Mac!$A:$A,Output_Mac!B:B,""),
_xlpm.MyAuditVal,_xlfn.XLOOKUP($A286,My_Audit!$A:$A,My_Audit!B:B,""),
_xlfn.IFS(_xlpm.MyAuditVal&lt;&gt;"",UPPER(_xlpm.MyAuditVal),_xlpm.MacVal&lt;&gt;"",_xlpm.MacVal,_xlpm.CSVVal&lt;&gt;"",_xlpm.CSVVal
)),"")</f>
        <v/>
      </c>
      <c r="D286" s="55" t="str">
        <f>_xlfn.XLOOKUP(A286,My_Audit!A:A,My_Audit!D:D,"")&amp;""</f>
        <v/>
      </c>
      <c r="E286" s="55" t="str" cm="1">
        <f t="array" ref="E286">IFERROR(_xlfn.LET(
_xlpm.CSVVal,_xlfn.XLOOKUP($A286,CSV!$A:$A,CSV!D:D,""),
_xlpm.MacVal,_xlfn.XLOOKUP($A286,Output_Mac!$A:$A,Output_Mac!C:C,""),
_xlpm.MyAuditVal,_xlfn.XLOOKUP($A286,My_Audit!$A:$A,My_Audit!D:D,""),
_xlfn.IFS(_xlpm.MyAuditVal&lt;&gt;"",_xlpm.MyAuditVal,_xlpm.MacVal&lt;&gt;"",_xlpm.MacVal,_xlpm.CSVVal&lt;&gt;"",_xlpm.CSVVal
)),"")</f>
        <v/>
      </c>
      <c r="F286" s="54" t="str" cm="1">
        <f t="array" ref="F286">IFERROR(_xlfn.LET(
_xlpm.CSVVal,_xlfn.XLOOKUP($A286,CSV!$A:$A,CSV!E:E,""),
_xlpm.MacVal,_xlfn.XLOOKUP($A286,Output_Mac!$A:$A,Output_Mac!F:F,""),
_xlpm.MyAuditVal,_xlfn.XLOOKUP($A286,My_Audit!$A:$A,My_Audit!E:E,""),
_xlfn.IFS(_xlpm.MyAuditVal&lt;&gt;"",_xlpm.MyAuditVal,_xlpm.MacVal&lt;&gt;"",_xlpm.MacVal,_xlpm.CSVVal&lt;&gt;"",PROPER(_xlpm.CSVVal)
)),"")</f>
        <v/>
      </c>
      <c r="G286" s="54" t="str" cm="1">
        <f t="array" ref="G286">IFERROR(_xlfn.LET(
_xlpm.CSVVal,_xlfn.XLOOKUP($A286,CSV!$A:$A,CSV!F:F,""),
_xlpm.MacVal,_xlfn.XLOOKUP($A286,Output_Mac!$A:$A,Output_Mac!H:H,""),
_xlpm.MyAuditVal,_xlfn.XLOOKUP($A286,My_Audit!$A:$A,My_Audit!F:F,""),
_xlfn.IFS(_xlpm.MyAuditVal&lt;&gt;"",_xlpm.MyAuditVal,_xlpm.MacVal&lt;&gt;"",_xlpm.MacVal,_xlpm.CSVVal&lt;&gt;"",_xlpm.CSVVal
)),"")</f>
        <v/>
      </c>
      <c r="H286" s="54" t="str">
        <f>_xlfn.XLOOKUP(A286,Output_Mac!A:A,Output_Mac!I:I,"")</f>
        <v/>
      </c>
      <c r="I286" s="54" t="str" cm="1">
        <f t="array" ref="I286">IFERROR(_xlfn.LET(
_xlpm.CSVVal,_xlfn.XLOOKUP($A286,CSV!$A:$A,CSV!G:G,""),
_xlpm.MacVal,_xlfn.XLOOKUP($A286,Output_Mac!$A:$A,Output_Mac!J:J,""),
_xlpm.MyAuditVal,_xlfn.XLOOKUP($A286,My_Audit!$A:$A,My_Audit!H:H,""),
_xlfn.IFS(_xlpm.MyAuditVal&lt;&gt;"",UPPER(_xlpm.MyAuditVal),_xlpm.MacVal&lt;&gt;"",_xlpm.MacVal,_xlpm.CSVVal&lt;&gt;"",_xlpm.CSVVal
)),"")</f>
        <v/>
      </c>
      <c r="J286" s="54" t="str" cm="1">
        <f t="array" ref="J286">IFERROR(_xlfn.LET(
_xlpm.CSVVal,_xlfn.XLOOKUP($A286,CSV!$A:$A,CSV!I:I,""),
_xlpm.MacVal,_xlfn.XLOOKUP($A286,Output_Mac!$A:$A,Output_Mac!K:K,""),
_xlpm.MyAuditVal,_xlfn.XLOOKUP($A286,My_Audit!$A:$A,My_Audit!I:I,""),
_xlfn.IFS(_xlpm.MyAuditVal&lt;&gt;"",UPPER(_xlpm.MyAuditVal),_xlpm.MacVal&lt;&gt;"",_xlpm.MacVal,_xlpm.CSVVal&lt;&gt;"",_xlpm.CSVVal
)),"")</f>
        <v/>
      </c>
      <c r="K286" s="54" t="str" cm="1">
        <f t="array" ref="K286">IFERROR(_xlfn.LET(
_xlpm.CSVVal,_xlfn.XLOOKUP($A286,CSV!$A:$A,CSV!M:M,""),
_xlpm.MacVal,_xlfn.XLOOKUP($A286,Output_Mac!$A:$A,Output_Mac!L:L,""),
_xlpm.MyAuditVal,_xlfn.XLOOKUP($A286,My_Audit!$A:$A,My_Audit!J:J,""),
_xlfn.IFS(_xlpm.MyAuditVal&lt;&gt;"",UPPER(_xlpm.MyAuditVal),_xlpm.MacVal&lt;&gt;"",_xlpm.MacVal,_xlpm.CSVVal&lt;&gt;"",_xlpm.CSVVal
)),"")</f>
        <v/>
      </c>
      <c r="L286" s="55" t="str" cm="1">
        <f t="array" ref="L286">IFERROR(_xlfn.LET(
_xlpm.CSVVal,_xlfn.XLOOKUP($A286,CSV!$A:$A,CSV!P:P,""),
_xlpm.MacVal,_xlfn.XLOOKUP($A286,Output_Mac!$A:$A,Output_Mac!M:M,""),
_xlpm.MyAuditVal,_xlfn.XLOOKUP($A286,My_Audit!$A:$A,My_Audit!K:K,""),
_xlfn.IFS(_xlpm.MyAuditVal&lt;&gt;"",UPPER(_xlpm.MyAuditVal),_xlpm.MacVal&lt;&gt;"",_xlpm.MacVal,_xlpm.CSVVal&lt;&gt;"",_xlpm.CSVVal
)),"")</f>
        <v/>
      </c>
      <c r="M286" s="54" t="str">
        <f>_xlfn.LET(
    _xlpm.CSVVal, _xlfn.XLOOKUP($A286, CSV!$A:$A, CSV!AD:AD, ""),
    _xlpm.MacVal, _xlfn.XLOOKUP($A286, Output_Mac!$A:$A, Output_Mac!S:S, ""),
    _xlpm.MyAuditVal, _xlfn.XLOOKUP($A286, My_Audit!$A:$A, My_Audit!N:N, ""),
    _xlfn.TEXTJOIN(", ", TRUE, _xlpm.MyAuditVal, _xlpm.MacVal, _xlpm.CSVVal)
)</f>
        <v/>
      </c>
      <c r="N286" s="54" t="str" cm="1">
        <f t="array" ref="N286">IFERROR(_xlfn.LET(
_xlpm.CSVVal,_xlfn.XLOOKUP($A286,CSV!$A:$A,CSV!AF:AF,""),
_xlpm.MacVal,_xlfn.XLOOKUP($A286,Output_Mac!$A:$A,Output_Mac!U:U,""),
_xlpm.MyAuditVal,_xlfn.XLOOKUP($A286,My_Audit!$A:$A,My_Audit!O:O,""),
_xlfn.IFS(_xlpm.MyAuditVal&lt;&gt;"",UPPER(_xlpm.MyAuditVal),_xlpm.MacVal&lt;&gt;"",_xlpm.MacVal,_xlpm.CSVVal&lt;&gt;"",_xlpm.CSVVal
)),"")</f>
        <v/>
      </c>
      <c r="O286" s="54"/>
      <c r="P286" s="54"/>
      <c r="Q286" s="54"/>
      <c r="R286" s="54"/>
      <c r="S286" s="54"/>
      <c r="T286" s="54"/>
      <c r="U286" s="39"/>
    </row>
    <row r="287" spans="1:21">
      <c r="A287" s="54" t="str">
        <f>_xlfn.TEXTJOIN("",TRUE,Input!$B$2,ROW(My_Audit!A286))</f>
        <v>XX286</v>
      </c>
      <c r="B287" s="54" t="str">
        <f>_xlfn.TEXTJOIN("-",TRUE,"ITD",Input!$A$2,A287)</f>
        <v>ITD-SHRXXX-XX286</v>
      </c>
      <c r="C287" s="54" t="str" cm="1">
        <f t="array" ref="C287">IFERROR(_xlfn.LET(
_xlpm.CSVVal,_xlfn.XLOOKUP($A287,CSV!$A:$A,CSV!B:B,""),
_xlpm.MacVal,_xlfn.XLOOKUP($A287,Output_Mac!$A:$A,Output_Mac!B:B,""),
_xlpm.MyAuditVal,_xlfn.XLOOKUP($A287,My_Audit!$A:$A,My_Audit!B:B,""),
_xlfn.IFS(_xlpm.MyAuditVal&lt;&gt;"",UPPER(_xlpm.MyAuditVal),_xlpm.MacVal&lt;&gt;"",_xlpm.MacVal,_xlpm.CSVVal&lt;&gt;"",_xlpm.CSVVal
)),"")</f>
        <v/>
      </c>
      <c r="D287" s="55" t="str">
        <f>_xlfn.XLOOKUP(A287,My_Audit!A:A,My_Audit!D:D,"")&amp;""</f>
        <v/>
      </c>
      <c r="E287" s="55" t="str" cm="1">
        <f t="array" ref="E287">IFERROR(_xlfn.LET(
_xlpm.CSVVal,_xlfn.XLOOKUP($A287,CSV!$A:$A,CSV!D:D,""),
_xlpm.MacVal,_xlfn.XLOOKUP($A287,Output_Mac!$A:$A,Output_Mac!C:C,""),
_xlpm.MyAuditVal,_xlfn.XLOOKUP($A287,My_Audit!$A:$A,My_Audit!D:D,""),
_xlfn.IFS(_xlpm.MyAuditVal&lt;&gt;"",_xlpm.MyAuditVal,_xlpm.MacVal&lt;&gt;"",_xlpm.MacVal,_xlpm.CSVVal&lt;&gt;"",_xlpm.CSVVal
)),"")</f>
        <v/>
      </c>
      <c r="F287" s="54" t="str" cm="1">
        <f t="array" ref="F287">IFERROR(_xlfn.LET(
_xlpm.CSVVal,_xlfn.XLOOKUP($A287,CSV!$A:$A,CSV!E:E,""),
_xlpm.MacVal,_xlfn.XLOOKUP($A287,Output_Mac!$A:$A,Output_Mac!F:F,""),
_xlpm.MyAuditVal,_xlfn.XLOOKUP($A287,My_Audit!$A:$A,My_Audit!E:E,""),
_xlfn.IFS(_xlpm.MyAuditVal&lt;&gt;"",_xlpm.MyAuditVal,_xlpm.MacVal&lt;&gt;"",_xlpm.MacVal,_xlpm.CSVVal&lt;&gt;"",PROPER(_xlpm.CSVVal)
)),"")</f>
        <v/>
      </c>
      <c r="G287" s="54" t="str" cm="1">
        <f t="array" ref="G287">IFERROR(_xlfn.LET(
_xlpm.CSVVal,_xlfn.XLOOKUP($A287,CSV!$A:$A,CSV!F:F,""),
_xlpm.MacVal,_xlfn.XLOOKUP($A287,Output_Mac!$A:$A,Output_Mac!H:H,""),
_xlpm.MyAuditVal,_xlfn.XLOOKUP($A287,My_Audit!$A:$A,My_Audit!F:F,""),
_xlfn.IFS(_xlpm.MyAuditVal&lt;&gt;"",_xlpm.MyAuditVal,_xlpm.MacVal&lt;&gt;"",_xlpm.MacVal,_xlpm.CSVVal&lt;&gt;"",_xlpm.CSVVal
)),"")</f>
        <v/>
      </c>
      <c r="H287" s="54" t="str">
        <f>_xlfn.XLOOKUP(A287,Output_Mac!A:A,Output_Mac!I:I,"")</f>
        <v/>
      </c>
      <c r="I287" s="54" t="str" cm="1">
        <f t="array" ref="I287">IFERROR(_xlfn.LET(
_xlpm.CSVVal,_xlfn.XLOOKUP($A287,CSV!$A:$A,CSV!G:G,""),
_xlpm.MacVal,_xlfn.XLOOKUP($A287,Output_Mac!$A:$A,Output_Mac!J:J,""),
_xlpm.MyAuditVal,_xlfn.XLOOKUP($A287,My_Audit!$A:$A,My_Audit!H:H,""),
_xlfn.IFS(_xlpm.MyAuditVal&lt;&gt;"",UPPER(_xlpm.MyAuditVal),_xlpm.MacVal&lt;&gt;"",_xlpm.MacVal,_xlpm.CSVVal&lt;&gt;"",_xlpm.CSVVal
)),"")</f>
        <v/>
      </c>
      <c r="J287" s="54" t="str" cm="1">
        <f t="array" ref="J287">IFERROR(_xlfn.LET(
_xlpm.CSVVal,_xlfn.XLOOKUP($A287,CSV!$A:$A,CSV!I:I,""),
_xlpm.MacVal,_xlfn.XLOOKUP($A287,Output_Mac!$A:$A,Output_Mac!K:K,""),
_xlpm.MyAuditVal,_xlfn.XLOOKUP($A287,My_Audit!$A:$A,My_Audit!I:I,""),
_xlfn.IFS(_xlpm.MyAuditVal&lt;&gt;"",UPPER(_xlpm.MyAuditVal),_xlpm.MacVal&lt;&gt;"",_xlpm.MacVal,_xlpm.CSVVal&lt;&gt;"",_xlpm.CSVVal
)),"")</f>
        <v/>
      </c>
      <c r="K287" s="54" t="str" cm="1">
        <f t="array" ref="K287">IFERROR(_xlfn.LET(
_xlpm.CSVVal,_xlfn.XLOOKUP($A287,CSV!$A:$A,CSV!M:M,""),
_xlpm.MacVal,_xlfn.XLOOKUP($A287,Output_Mac!$A:$A,Output_Mac!L:L,""),
_xlpm.MyAuditVal,_xlfn.XLOOKUP($A287,My_Audit!$A:$A,My_Audit!J:J,""),
_xlfn.IFS(_xlpm.MyAuditVal&lt;&gt;"",UPPER(_xlpm.MyAuditVal),_xlpm.MacVal&lt;&gt;"",_xlpm.MacVal,_xlpm.CSVVal&lt;&gt;"",_xlpm.CSVVal
)),"")</f>
        <v/>
      </c>
      <c r="L287" s="55" t="str" cm="1">
        <f t="array" ref="L287">IFERROR(_xlfn.LET(
_xlpm.CSVVal,_xlfn.XLOOKUP($A287,CSV!$A:$A,CSV!P:P,""),
_xlpm.MacVal,_xlfn.XLOOKUP($A287,Output_Mac!$A:$A,Output_Mac!M:M,""),
_xlpm.MyAuditVal,_xlfn.XLOOKUP($A287,My_Audit!$A:$A,My_Audit!K:K,""),
_xlfn.IFS(_xlpm.MyAuditVal&lt;&gt;"",UPPER(_xlpm.MyAuditVal),_xlpm.MacVal&lt;&gt;"",_xlpm.MacVal,_xlpm.CSVVal&lt;&gt;"",_xlpm.CSVVal
)),"")</f>
        <v/>
      </c>
      <c r="M287" s="54" t="str">
        <f>_xlfn.LET(
    _xlpm.CSVVal, _xlfn.XLOOKUP($A287, CSV!$A:$A, CSV!AD:AD, ""),
    _xlpm.MacVal, _xlfn.XLOOKUP($A287, Output_Mac!$A:$A, Output_Mac!S:S, ""),
    _xlpm.MyAuditVal, _xlfn.XLOOKUP($A287, My_Audit!$A:$A, My_Audit!N:N, ""),
    _xlfn.TEXTJOIN(", ", TRUE, _xlpm.MyAuditVal, _xlpm.MacVal, _xlpm.CSVVal)
)</f>
        <v/>
      </c>
      <c r="N287" s="54" t="str" cm="1">
        <f t="array" ref="N287">IFERROR(_xlfn.LET(
_xlpm.CSVVal,_xlfn.XLOOKUP($A287,CSV!$A:$A,CSV!AF:AF,""),
_xlpm.MacVal,_xlfn.XLOOKUP($A287,Output_Mac!$A:$A,Output_Mac!U:U,""),
_xlpm.MyAuditVal,_xlfn.XLOOKUP($A287,My_Audit!$A:$A,My_Audit!O:O,""),
_xlfn.IFS(_xlpm.MyAuditVal&lt;&gt;"",UPPER(_xlpm.MyAuditVal),_xlpm.MacVal&lt;&gt;"",_xlpm.MacVal,_xlpm.CSVVal&lt;&gt;"",_xlpm.CSVVal
)),"")</f>
        <v/>
      </c>
      <c r="O287" s="54"/>
      <c r="P287" s="54"/>
      <c r="Q287" s="54"/>
      <c r="R287" s="54"/>
      <c r="S287" s="54"/>
      <c r="T287" s="54"/>
      <c r="U287" s="39"/>
    </row>
    <row r="288" spans="1:21">
      <c r="A288" s="54" t="str">
        <f>_xlfn.TEXTJOIN("",TRUE,Input!$B$2,ROW(My_Audit!A287))</f>
        <v>XX287</v>
      </c>
      <c r="B288" s="54" t="str">
        <f>_xlfn.TEXTJOIN("-",TRUE,"ITD",Input!$A$2,A288)</f>
        <v>ITD-SHRXXX-XX287</v>
      </c>
      <c r="C288" s="54" t="str" cm="1">
        <f t="array" ref="C288">IFERROR(_xlfn.LET(
_xlpm.CSVVal,_xlfn.XLOOKUP($A288,CSV!$A:$A,CSV!B:B,""),
_xlpm.MacVal,_xlfn.XLOOKUP($A288,Output_Mac!$A:$A,Output_Mac!B:B,""),
_xlpm.MyAuditVal,_xlfn.XLOOKUP($A288,My_Audit!$A:$A,My_Audit!B:B,""),
_xlfn.IFS(_xlpm.MyAuditVal&lt;&gt;"",UPPER(_xlpm.MyAuditVal),_xlpm.MacVal&lt;&gt;"",_xlpm.MacVal,_xlpm.CSVVal&lt;&gt;"",_xlpm.CSVVal
)),"")</f>
        <v/>
      </c>
      <c r="D288" s="55" t="str">
        <f>_xlfn.XLOOKUP(A288,My_Audit!A:A,My_Audit!D:D,"")&amp;""</f>
        <v/>
      </c>
      <c r="E288" s="55" t="str" cm="1">
        <f t="array" ref="E288">IFERROR(_xlfn.LET(
_xlpm.CSVVal,_xlfn.XLOOKUP($A288,CSV!$A:$A,CSV!D:D,""),
_xlpm.MacVal,_xlfn.XLOOKUP($A288,Output_Mac!$A:$A,Output_Mac!C:C,""),
_xlpm.MyAuditVal,_xlfn.XLOOKUP($A288,My_Audit!$A:$A,My_Audit!D:D,""),
_xlfn.IFS(_xlpm.MyAuditVal&lt;&gt;"",_xlpm.MyAuditVal,_xlpm.MacVal&lt;&gt;"",_xlpm.MacVal,_xlpm.CSVVal&lt;&gt;"",_xlpm.CSVVal
)),"")</f>
        <v/>
      </c>
      <c r="F288" s="54" t="str" cm="1">
        <f t="array" ref="F288">IFERROR(_xlfn.LET(
_xlpm.CSVVal,_xlfn.XLOOKUP($A288,CSV!$A:$A,CSV!E:E,""),
_xlpm.MacVal,_xlfn.XLOOKUP($A288,Output_Mac!$A:$A,Output_Mac!F:F,""),
_xlpm.MyAuditVal,_xlfn.XLOOKUP($A288,My_Audit!$A:$A,My_Audit!E:E,""),
_xlfn.IFS(_xlpm.MyAuditVal&lt;&gt;"",_xlpm.MyAuditVal,_xlpm.MacVal&lt;&gt;"",_xlpm.MacVal,_xlpm.CSVVal&lt;&gt;"",PROPER(_xlpm.CSVVal)
)),"")</f>
        <v/>
      </c>
      <c r="G288" s="54" t="str" cm="1">
        <f t="array" ref="G288">IFERROR(_xlfn.LET(
_xlpm.CSVVal,_xlfn.XLOOKUP($A288,CSV!$A:$A,CSV!F:F,""),
_xlpm.MacVal,_xlfn.XLOOKUP($A288,Output_Mac!$A:$A,Output_Mac!H:H,""),
_xlpm.MyAuditVal,_xlfn.XLOOKUP($A288,My_Audit!$A:$A,My_Audit!F:F,""),
_xlfn.IFS(_xlpm.MyAuditVal&lt;&gt;"",_xlpm.MyAuditVal,_xlpm.MacVal&lt;&gt;"",_xlpm.MacVal,_xlpm.CSVVal&lt;&gt;"",_xlpm.CSVVal
)),"")</f>
        <v/>
      </c>
      <c r="H288" s="54" t="str">
        <f>_xlfn.XLOOKUP(A288,Output_Mac!A:A,Output_Mac!I:I,"")</f>
        <v/>
      </c>
      <c r="I288" s="54" t="str" cm="1">
        <f t="array" ref="I288">IFERROR(_xlfn.LET(
_xlpm.CSVVal,_xlfn.XLOOKUP($A288,CSV!$A:$A,CSV!G:G,""),
_xlpm.MacVal,_xlfn.XLOOKUP($A288,Output_Mac!$A:$A,Output_Mac!J:J,""),
_xlpm.MyAuditVal,_xlfn.XLOOKUP($A288,My_Audit!$A:$A,My_Audit!H:H,""),
_xlfn.IFS(_xlpm.MyAuditVal&lt;&gt;"",UPPER(_xlpm.MyAuditVal),_xlpm.MacVal&lt;&gt;"",_xlpm.MacVal,_xlpm.CSVVal&lt;&gt;"",_xlpm.CSVVal
)),"")</f>
        <v/>
      </c>
      <c r="J288" s="54" t="str" cm="1">
        <f t="array" ref="J288">IFERROR(_xlfn.LET(
_xlpm.CSVVal,_xlfn.XLOOKUP($A288,CSV!$A:$A,CSV!I:I,""),
_xlpm.MacVal,_xlfn.XLOOKUP($A288,Output_Mac!$A:$A,Output_Mac!K:K,""),
_xlpm.MyAuditVal,_xlfn.XLOOKUP($A288,My_Audit!$A:$A,My_Audit!I:I,""),
_xlfn.IFS(_xlpm.MyAuditVal&lt;&gt;"",UPPER(_xlpm.MyAuditVal),_xlpm.MacVal&lt;&gt;"",_xlpm.MacVal,_xlpm.CSVVal&lt;&gt;"",_xlpm.CSVVal
)),"")</f>
        <v/>
      </c>
      <c r="K288" s="54" t="str" cm="1">
        <f t="array" ref="K288">IFERROR(_xlfn.LET(
_xlpm.CSVVal,_xlfn.XLOOKUP($A288,CSV!$A:$A,CSV!M:M,""),
_xlpm.MacVal,_xlfn.XLOOKUP($A288,Output_Mac!$A:$A,Output_Mac!L:L,""),
_xlpm.MyAuditVal,_xlfn.XLOOKUP($A288,My_Audit!$A:$A,My_Audit!J:J,""),
_xlfn.IFS(_xlpm.MyAuditVal&lt;&gt;"",UPPER(_xlpm.MyAuditVal),_xlpm.MacVal&lt;&gt;"",_xlpm.MacVal,_xlpm.CSVVal&lt;&gt;"",_xlpm.CSVVal
)),"")</f>
        <v/>
      </c>
      <c r="L288" s="55" t="str" cm="1">
        <f t="array" ref="L288">IFERROR(_xlfn.LET(
_xlpm.CSVVal,_xlfn.XLOOKUP($A288,CSV!$A:$A,CSV!P:P,""),
_xlpm.MacVal,_xlfn.XLOOKUP($A288,Output_Mac!$A:$A,Output_Mac!M:M,""),
_xlpm.MyAuditVal,_xlfn.XLOOKUP($A288,My_Audit!$A:$A,My_Audit!K:K,""),
_xlfn.IFS(_xlpm.MyAuditVal&lt;&gt;"",UPPER(_xlpm.MyAuditVal),_xlpm.MacVal&lt;&gt;"",_xlpm.MacVal,_xlpm.CSVVal&lt;&gt;"",_xlpm.CSVVal
)),"")</f>
        <v/>
      </c>
      <c r="M288" s="54" t="str">
        <f>_xlfn.LET(
    _xlpm.CSVVal, _xlfn.XLOOKUP($A288, CSV!$A:$A, CSV!AD:AD, ""),
    _xlpm.MacVal, _xlfn.XLOOKUP($A288, Output_Mac!$A:$A, Output_Mac!S:S, ""),
    _xlpm.MyAuditVal, _xlfn.XLOOKUP($A288, My_Audit!$A:$A, My_Audit!N:N, ""),
    _xlfn.TEXTJOIN(", ", TRUE, _xlpm.MyAuditVal, _xlpm.MacVal, _xlpm.CSVVal)
)</f>
        <v/>
      </c>
      <c r="N288" s="54" t="str" cm="1">
        <f t="array" ref="N288">IFERROR(_xlfn.LET(
_xlpm.CSVVal,_xlfn.XLOOKUP($A288,CSV!$A:$A,CSV!AF:AF,""),
_xlpm.MacVal,_xlfn.XLOOKUP($A288,Output_Mac!$A:$A,Output_Mac!U:U,""),
_xlpm.MyAuditVal,_xlfn.XLOOKUP($A288,My_Audit!$A:$A,My_Audit!O:O,""),
_xlfn.IFS(_xlpm.MyAuditVal&lt;&gt;"",UPPER(_xlpm.MyAuditVal),_xlpm.MacVal&lt;&gt;"",_xlpm.MacVal,_xlpm.CSVVal&lt;&gt;"",_xlpm.CSVVal
)),"")</f>
        <v/>
      </c>
      <c r="O288" s="54"/>
      <c r="P288" s="54"/>
      <c r="Q288" s="54"/>
      <c r="R288" s="54"/>
      <c r="S288" s="54"/>
      <c r="T288" s="54"/>
      <c r="U288" s="39"/>
    </row>
    <row r="289" spans="1:21">
      <c r="A289" s="54" t="str">
        <f>_xlfn.TEXTJOIN("",TRUE,Input!$B$2,ROW(My_Audit!A288))</f>
        <v>XX288</v>
      </c>
      <c r="B289" s="54" t="str">
        <f>_xlfn.TEXTJOIN("-",TRUE,"ITD",Input!$A$2,A289)</f>
        <v>ITD-SHRXXX-XX288</v>
      </c>
      <c r="C289" s="54" t="str" cm="1">
        <f t="array" ref="C289">IFERROR(_xlfn.LET(
_xlpm.CSVVal,_xlfn.XLOOKUP($A289,CSV!$A:$A,CSV!B:B,""),
_xlpm.MacVal,_xlfn.XLOOKUP($A289,Output_Mac!$A:$A,Output_Mac!B:B,""),
_xlpm.MyAuditVal,_xlfn.XLOOKUP($A289,My_Audit!$A:$A,My_Audit!B:B,""),
_xlfn.IFS(_xlpm.MyAuditVal&lt;&gt;"",UPPER(_xlpm.MyAuditVal),_xlpm.MacVal&lt;&gt;"",_xlpm.MacVal,_xlpm.CSVVal&lt;&gt;"",_xlpm.CSVVal
)),"")</f>
        <v/>
      </c>
      <c r="D289" s="55" t="str">
        <f>_xlfn.XLOOKUP(A289,My_Audit!A:A,My_Audit!D:D,"")&amp;""</f>
        <v/>
      </c>
      <c r="E289" s="55" t="str" cm="1">
        <f t="array" ref="E289">IFERROR(_xlfn.LET(
_xlpm.CSVVal,_xlfn.XLOOKUP($A289,CSV!$A:$A,CSV!D:D,""),
_xlpm.MacVal,_xlfn.XLOOKUP($A289,Output_Mac!$A:$A,Output_Mac!C:C,""),
_xlpm.MyAuditVal,_xlfn.XLOOKUP($A289,My_Audit!$A:$A,My_Audit!D:D,""),
_xlfn.IFS(_xlpm.MyAuditVal&lt;&gt;"",_xlpm.MyAuditVal,_xlpm.MacVal&lt;&gt;"",_xlpm.MacVal,_xlpm.CSVVal&lt;&gt;"",_xlpm.CSVVal
)),"")</f>
        <v/>
      </c>
      <c r="F289" s="54" t="str" cm="1">
        <f t="array" ref="F289">IFERROR(_xlfn.LET(
_xlpm.CSVVal,_xlfn.XLOOKUP($A289,CSV!$A:$A,CSV!E:E,""),
_xlpm.MacVal,_xlfn.XLOOKUP($A289,Output_Mac!$A:$A,Output_Mac!F:F,""),
_xlpm.MyAuditVal,_xlfn.XLOOKUP($A289,My_Audit!$A:$A,My_Audit!E:E,""),
_xlfn.IFS(_xlpm.MyAuditVal&lt;&gt;"",_xlpm.MyAuditVal,_xlpm.MacVal&lt;&gt;"",_xlpm.MacVal,_xlpm.CSVVal&lt;&gt;"",PROPER(_xlpm.CSVVal)
)),"")</f>
        <v/>
      </c>
      <c r="G289" s="54" t="str" cm="1">
        <f t="array" ref="G289">IFERROR(_xlfn.LET(
_xlpm.CSVVal,_xlfn.XLOOKUP($A289,CSV!$A:$A,CSV!F:F,""),
_xlpm.MacVal,_xlfn.XLOOKUP($A289,Output_Mac!$A:$A,Output_Mac!H:H,""),
_xlpm.MyAuditVal,_xlfn.XLOOKUP($A289,My_Audit!$A:$A,My_Audit!F:F,""),
_xlfn.IFS(_xlpm.MyAuditVal&lt;&gt;"",_xlpm.MyAuditVal,_xlpm.MacVal&lt;&gt;"",_xlpm.MacVal,_xlpm.CSVVal&lt;&gt;"",_xlpm.CSVVal
)),"")</f>
        <v/>
      </c>
      <c r="H289" s="54" t="str">
        <f>_xlfn.XLOOKUP(A289,Output_Mac!A:A,Output_Mac!I:I,"")</f>
        <v/>
      </c>
      <c r="I289" s="54" t="str" cm="1">
        <f t="array" ref="I289">IFERROR(_xlfn.LET(
_xlpm.CSVVal,_xlfn.XLOOKUP($A289,CSV!$A:$A,CSV!G:G,""),
_xlpm.MacVal,_xlfn.XLOOKUP($A289,Output_Mac!$A:$A,Output_Mac!J:J,""),
_xlpm.MyAuditVal,_xlfn.XLOOKUP($A289,My_Audit!$A:$A,My_Audit!H:H,""),
_xlfn.IFS(_xlpm.MyAuditVal&lt;&gt;"",UPPER(_xlpm.MyAuditVal),_xlpm.MacVal&lt;&gt;"",_xlpm.MacVal,_xlpm.CSVVal&lt;&gt;"",_xlpm.CSVVal
)),"")</f>
        <v/>
      </c>
      <c r="J289" s="54" t="str" cm="1">
        <f t="array" ref="J289">IFERROR(_xlfn.LET(
_xlpm.CSVVal,_xlfn.XLOOKUP($A289,CSV!$A:$A,CSV!I:I,""),
_xlpm.MacVal,_xlfn.XLOOKUP($A289,Output_Mac!$A:$A,Output_Mac!K:K,""),
_xlpm.MyAuditVal,_xlfn.XLOOKUP($A289,My_Audit!$A:$A,My_Audit!I:I,""),
_xlfn.IFS(_xlpm.MyAuditVal&lt;&gt;"",UPPER(_xlpm.MyAuditVal),_xlpm.MacVal&lt;&gt;"",_xlpm.MacVal,_xlpm.CSVVal&lt;&gt;"",_xlpm.CSVVal
)),"")</f>
        <v/>
      </c>
      <c r="K289" s="54" t="str" cm="1">
        <f t="array" ref="K289">IFERROR(_xlfn.LET(
_xlpm.CSVVal,_xlfn.XLOOKUP($A289,CSV!$A:$A,CSV!M:M,""),
_xlpm.MacVal,_xlfn.XLOOKUP($A289,Output_Mac!$A:$A,Output_Mac!L:L,""),
_xlpm.MyAuditVal,_xlfn.XLOOKUP($A289,My_Audit!$A:$A,My_Audit!J:J,""),
_xlfn.IFS(_xlpm.MyAuditVal&lt;&gt;"",UPPER(_xlpm.MyAuditVal),_xlpm.MacVal&lt;&gt;"",_xlpm.MacVal,_xlpm.CSVVal&lt;&gt;"",_xlpm.CSVVal
)),"")</f>
        <v/>
      </c>
      <c r="L289" s="55" t="str" cm="1">
        <f t="array" ref="L289">IFERROR(_xlfn.LET(
_xlpm.CSVVal,_xlfn.XLOOKUP($A289,CSV!$A:$A,CSV!P:P,""),
_xlpm.MacVal,_xlfn.XLOOKUP($A289,Output_Mac!$A:$A,Output_Mac!M:M,""),
_xlpm.MyAuditVal,_xlfn.XLOOKUP($A289,My_Audit!$A:$A,My_Audit!K:K,""),
_xlfn.IFS(_xlpm.MyAuditVal&lt;&gt;"",UPPER(_xlpm.MyAuditVal),_xlpm.MacVal&lt;&gt;"",_xlpm.MacVal,_xlpm.CSVVal&lt;&gt;"",_xlpm.CSVVal
)),"")</f>
        <v/>
      </c>
      <c r="M289" s="54" t="str">
        <f>_xlfn.LET(
    _xlpm.CSVVal, _xlfn.XLOOKUP($A289, CSV!$A:$A, CSV!AD:AD, ""),
    _xlpm.MacVal, _xlfn.XLOOKUP($A289, Output_Mac!$A:$A, Output_Mac!S:S, ""),
    _xlpm.MyAuditVal, _xlfn.XLOOKUP($A289, My_Audit!$A:$A, My_Audit!N:N, ""),
    _xlfn.TEXTJOIN(", ", TRUE, _xlpm.MyAuditVal, _xlpm.MacVal, _xlpm.CSVVal)
)</f>
        <v/>
      </c>
      <c r="N289" s="54" t="str" cm="1">
        <f t="array" ref="N289">IFERROR(_xlfn.LET(
_xlpm.CSVVal,_xlfn.XLOOKUP($A289,CSV!$A:$A,CSV!AF:AF,""),
_xlpm.MacVal,_xlfn.XLOOKUP($A289,Output_Mac!$A:$A,Output_Mac!U:U,""),
_xlpm.MyAuditVal,_xlfn.XLOOKUP($A289,My_Audit!$A:$A,My_Audit!O:O,""),
_xlfn.IFS(_xlpm.MyAuditVal&lt;&gt;"",UPPER(_xlpm.MyAuditVal),_xlpm.MacVal&lt;&gt;"",_xlpm.MacVal,_xlpm.CSVVal&lt;&gt;"",_xlpm.CSVVal
)),"")</f>
        <v/>
      </c>
      <c r="O289" s="54"/>
      <c r="P289" s="54"/>
      <c r="Q289" s="54"/>
      <c r="R289" s="54"/>
      <c r="S289" s="54"/>
      <c r="T289" s="54"/>
      <c r="U289" s="39"/>
    </row>
    <row r="290" spans="1:21">
      <c r="A290" s="54" t="str">
        <f>_xlfn.TEXTJOIN("",TRUE,Input!$B$2,ROW(My_Audit!A289))</f>
        <v>XX289</v>
      </c>
      <c r="B290" s="54" t="str">
        <f>_xlfn.TEXTJOIN("-",TRUE,"ITD",Input!$A$2,A290)</f>
        <v>ITD-SHRXXX-XX289</v>
      </c>
      <c r="C290" s="54" t="str" cm="1">
        <f t="array" ref="C290">IFERROR(_xlfn.LET(
_xlpm.CSVVal,_xlfn.XLOOKUP($A290,CSV!$A:$A,CSV!B:B,""),
_xlpm.MacVal,_xlfn.XLOOKUP($A290,Output_Mac!$A:$A,Output_Mac!B:B,""),
_xlpm.MyAuditVal,_xlfn.XLOOKUP($A290,My_Audit!$A:$A,My_Audit!B:B,""),
_xlfn.IFS(_xlpm.MyAuditVal&lt;&gt;"",UPPER(_xlpm.MyAuditVal),_xlpm.MacVal&lt;&gt;"",_xlpm.MacVal,_xlpm.CSVVal&lt;&gt;"",_xlpm.CSVVal
)),"")</f>
        <v/>
      </c>
      <c r="D290" s="55" t="str">
        <f>_xlfn.XLOOKUP(A290,My_Audit!A:A,My_Audit!D:D,"")&amp;""</f>
        <v/>
      </c>
      <c r="E290" s="55" t="str" cm="1">
        <f t="array" ref="E290">IFERROR(_xlfn.LET(
_xlpm.CSVVal,_xlfn.XLOOKUP($A290,CSV!$A:$A,CSV!D:D,""),
_xlpm.MacVal,_xlfn.XLOOKUP($A290,Output_Mac!$A:$A,Output_Mac!C:C,""),
_xlpm.MyAuditVal,_xlfn.XLOOKUP($A290,My_Audit!$A:$A,My_Audit!D:D,""),
_xlfn.IFS(_xlpm.MyAuditVal&lt;&gt;"",_xlpm.MyAuditVal,_xlpm.MacVal&lt;&gt;"",_xlpm.MacVal,_xlpm.CSVVal&lt;&gt;"",_xlpm.CSVVal
)),"")</f>
        <v/>
      </c>
      <c r="F290" s="54" t="str" cm="1">
        <f t="array" ref="F290">IFERROR(_xlfn.LET(
_xlpm.CSVVal,_xlfn.XLOOKUP($A290,CSV!$A:$A,CSV!E:E,""),
_xlpm.MacVal,_xlfn.XLOOKUP($A290,Output_Mac!$A:$A,Output_Mac!F:F,""),
_xlpm.MyAuditVal,_xlfn.XLOOKUP($A290,My_Audit!$A:$A,My_Audit!E:E,""),
_xlfn.IFS(_xlpm.MyAuditVal&lt;&gt;"",_xlpm.MyAuditVal,_xlpm.MacVal&lt;&gt;"",_xlpm.MacVal,_xlpm.CSVVal&lt;&gt;"",PROPER(_xlpm.CSVVal)
)),"")</f>
        <v/>
      </c>
      <c r="G290" s="54" t="str" cm="1">
        <f t="array" ref="G290">IFERROR(_xlfn.LET(
_xlpm.CSVVal,_xlfn.XLOOKUP($A290,CSV!$A:$A,CSV!F:F,""),
_xlpm.MacVal,_xlfn.XLOOKUP($A290,Output_Mac!$A:$A,Output_Mac!H:H,""),
_xlpm.MyAuditVal,_xlfn.XLOOKUP($A290,My_Audit!$A:$A,My_Audit!F:F,""),
_xlfn.IFS(_xlpm.MyAuditVal&lt;&gt;"",_xlpm.MyAuditVal,_xlpm.MacVal&lt;&gt;"",_xlpm.MacVal,_xlpm.CSVVal&lt;&gt;"",_xlpm.CSVVal
)),"")</f>
        <v/>
      </c>
      <c r="H290" s="54" t="str">
        <f>_xlfn.XLOOKUP(A290,Output_Mac!A:A,Output_Mac!I:I,"")</f>
        <v/>
      </c>
      <c r="I290" s="54" t="str" cm="1">
        <f t="array" ref="I290">IFERROR(_xlfn.LET(
_xlpm.CSVVal,_xlfn.XLOOKUP($A290,CSV!$A:$A,CSV!G:G,""),
_xlpm.MacVal,_xlfn.XLOOKUP($A290,Output_Mac!$A:$A,Output_Mac!J:J,""),
_xlpm.MyAuditVal,_xlfn.XLOOKUP($A290,My_Audit!$A:$A,My_Audit!H:H,""),
_xlfn.IFS(_xlpm.MyAuditVal&lt;&gt;"",UPPER(_xlpm.MyAuditVal),_xlpm.MacVal&lt;&gt;"",_xlpm.MacVal,_xlpm.CSVVal&lt;&gt;"",_xlpm.CSVVal
)),"")</f>
        <v/>
      </c>
      <c r="J290" s="54" t="str" cm="1">
        <f t="array" ref="J290">IFERROR(_xlfn.LET(
_xlpm.CSVVal,_xlfn.XLOOKUP($A290,CSV!$A:$A,CSV!I:I,""),
_xlpm.MacVal,_xlfn.XLOOKUP($A290,Output_Mac!$A:$A,Output_Mac!K:K,""),
_xlpm.MyAuditVal,_xlfn.XLOOKUP($A290,My_Audit!$A:$A,My_Audit!I:I,""),
_xlfn.IFS(_xlpm.MyAuditVal&lt;&gt;"",UPPER(_xlpm.MyAuditVal),_xlpm.MacVal&lt;&gt;"",_xlpm.MacVal,_xlpm.CSVVal&lt;&gt;"",_xlpm.CSVVal
)),"")</f>
        <v/>
      </c>
      <c r="K290" s="54" t="str" cm="1">
        <f t="array" ref="K290">IFERROR(_xlfn.LET(
_xlpm.CSVVal,_xlfn.XLOOKUP($A290,CSV!$A:$A,CSV!M:M,""),
_xlpm.MacVal,_xlfn.XLOOKUP($A290,Output_Mac!$A:$A,Output_Mac!L:L,""),
_xlpm.MyAuditVal,_xlfn.XLOOKUP($A290,My_Audit!$A:$A,My_Audit!J:J,""),
_xlfn.IFS(_xlpm.MyAuditVal&lt;&gt;"",UPPER(_xlpm.MyAuditVal),_xlpm.MacVal&lt;&gt;"",_xlpm.MacVal,_xlpm.CSVVal&lt;&gt;"",_xlpm.CSVVal
)),"")</f>
        <v/>
      </c>
      <c r="L290" s="55" t="str" cm="1">
        <f t="array" ref="L290">IFERROR(_xlfn.LET(
_xlpm.CSVVal,_xlfn.XLOOKUP($A290,CSV!$A:$A,CSV!P:P,""),
_xlpm.MacVal,_xlfn.XLOOKUP($A290,Output_Mac!$A:$A,Output_Mac!M:M,""),
_xlpm.MyAuditVal,_xlfn.XLOOKUP($A290,My_Audit!$A:$A,My_Audit!K:K,""),
_xlfn.IFS(_xlpm.MyAuditVal&lt;&gt;"",UPPER(_xlpm.MyAuditVal),_xlpm.MacVal&lt;&gt;"",_xlpm.MacVal,_xlpm.CSVVal&lt;&gt;"",_xlpm.CSVVal
)),"")</f>
        <v/>
      </c>
      <c r="M290" s="54" t="str">
        <f>_xlfn.LET(
    _xlpm.CSVVal, _xlfn.XLOOKUP($A290, CSV!$A:$A, CSV!AD:AD, ""),
    _xlpm.MacVal, _xlfn.XLOOKUP($A290, Output_Mac!$A:$A, Output_Mac!S:S, ""),
    _xlpm.MyAuditVal, _xlfn.XLOOKUP($A290, My_Audit!$A:$A, My_Audit!N:N, ""),
    _xlfn.TEXTJOIN(", ", TRUE, _xlpm.MyAuditVal, _xlpm.MacVal, _xlpm.CSVVal)
)</f>
        <v/>
      </c>
      <c r="N290" s="54" t="str" cm="1">
        <f t="array" ref="N290">IFERROR(_xlfn.LET(
_xlpm.CSVVal,_xlfn.XLOOKUP($A290,CSV!$A:$A,CSV!AF:AF,""),
_xlpm.MacVal,_xlfn.XLOOKUP($A290,Output_Mac!$A:$A,Output_Mac!U:U,""),
_xlpm.MyAuditVal,_xlfn.XLOOKUP($A290,My_Audit!$A:$A,My_Audit!O:O,""),
_xlfn.IFS(_xlpm.MyAuditVal&lt;&gt;"",UPPER(_xlpm.MyAuditVal),_xlpm.MacVal&lt;&gt;"",_xlpm.MacVal,_xlpm.CSVVal&lt;&gt;"",_xlpm.CSVVal
)),"")</f>
        <v/>
      </c>
      <c r="O290" s="54"/>
      <c r="P290" s="54"/>
      <c r="Q290" s="54"/>
      <c r="R290" s="54"/>
      <c r="S290" s="54"/>
      <c r="T290" s="54"/>
      <c r="U290" s="39"/>
    </row>
    <row r="291" spans="1:21">
      <c r="A291" s="54" t="str">
        <f>_xlfn.TEXTJOIN("",TRUE,Input!$B$2,ROW(My_Audit!A290))</f>
        <v>XX290</v>
      </c>
      <c r="B291" s="54" t="str">
        <f>_xlfn.TEXTJOIN("-",TRUE,"ITD",Input!$A$2,A291)</f>
        <v>ITD-SHRXXX-XX290</v>
      </c>
      <c r="C291" s="54" t="str" cm="1">
        <f t="array" ref="C291">IFERROR(_xlfn.LET(
_xlpm.CSVVal,_xlfn.XLOOKUP($A291,CSV!$A:$A,CSV!B:B,""),
_xlpm.MacVal,_xlfn.XLOOKUP($A291,Output_Mac!$A:$A,Output_Mac!B:B,""),
_xlpm.MyAuditVal,_xlfn.XLOOKUP($A291,My_Audit!$A:$A,My_Audit!B:B,""),
_xlfn.IFS(_xlpm.MyAuditVal&lt;&gt;"",UPPER(_xlpm.MyAuditVal),_xlpm.MacVal&lt;&gt;"",_xlpm.MacVal,_xlpm.CSVVal&lt;&gt;"",_xlpm.CSVVal
)),"")</f>
        <v/>
      </c>
      <c r="D291" s="55" t="str">
        <f>_xlfn.XLOOKUP(A291,My_Audit!A:A,My_Audit!D:D,"")&amp;""</f>
        <v/>
      </c>
      <c r="E291" s="55" t="str" cm="1">
        <f t="array" ref="E291">IFERROR(_xlfn.LET(
_xlpm.CSVVal,_xlfn.XLOOKUP($A291,CSV!$A:$A,CSV!D:D,""),
_xlpm.MacVal,_xlfn.XLOOKUP($A291,Output_Mac!$A:$A,Output_Mac!C:C,""),
_xlpm.MyAuditVal,_xlfn.XLOOKUP($A291,My_Audit!$A:$A,My_Audit!D:D,""),
_xlfn.IFS(_xlpm.MyAuditVal&lt;&gt;"",_xlpm.MyAuditVal,_xlpm.MacVal&lt;&gt;"",_xlpm.MacVal,_xlpm.CSVVal&lt;&gt;"",_xlpm.CSVVal
)),"")</f>
        <v/>
      </c>
      <c r="F291" s="54" t="str" cm="1">
        <f t="array" ref="F291">IFERROR(_xlfn.LET(
_xlpm.CSVVal,_xlfn.XLOOKUP($A291,CSV!$A:$A,CSV!E:E,""),
_xlpm.MacVal,_xlfn.XLOOKUP($A291,Output_Mac!$A:$A,Output_Mac!F:F,""),
_xlpm.MyAuditVal,_xlfn.XLOOKUP($A291,My_Audit!$A:$A,My_Audit!E:E,""),
_xlfn.IFS(_xlpm.MyAuditVal&lt;&gt;"",_xlpm.MyAuditVal,_xlpm.MacVal&lt;&gt;"",_xlpm.MacVal,_xlpm.CSVVal&lt;&gt;"",PROPER(_xlpm.CSVVal)
)),"")</f>
        <v/>
      </c>
      <c r="G291" s="54" t="str" cm="1">
        <f t="array" ref="G291">IFERROR(_xlfn.LET(
_xlpm.CSVVal,_xlfn.XLOOKUP($A291,CSV!$A:$A,CSV!F:F,""),
_xlpm.MacVal,_xlfn.XLOOKUP($A291,Output_Mac!$A:$A,Output_Mac!H:H,""),
_xlpm.MyAuditVal,_xlfn.XLOOKUP($A291,My_Audit!$A:$A,My_Audit!F:F,""),
_xlfn.IFS(_xlpm.MyAuditVal&lt;&gt;"",_xlpm.MyAuditVal,_xlpm.MacVal&lt;&gt;"",_xlpm.MacVal,_xlpm.CSVVal&lt;&gt;"",_xlpm.CSVVal
)),"")</f>
        <v/>
      </c>
      <c r="H291" s="54" t="str">
        <f>_xlfn.XLOOKUP(A291,Output_Mac!A:A,Output_Mac!I:I,"")</f>
        <v/>
      </c>
      <c r="I291" s="54" t="str" cm="1">
        <f t="array" ref="I291">IFERROR(_xlfn.LET(
_xlpm.CSVVal,_xlfn.XLOOKUP($A291,CSV!$A:$A,CSV!G:G,""),
_xlpm.MacVal,_xlfn.XLOOKUP($A291,Output_Mac!$A:$A,Output_Mac!J:J,""),
_xlpm.MyAuditVal,_xlfn.XLOOKUP($A291,My_Audit!$A:$A,My_Audit!H:H,""),
_xlfn.IFS(_xlpm.MyAuditVal&lt;&gt;"",UPPER(_xlpm.MyAuditVal),_xlpm.MacVal&lt;&gt;"",_xlpm.MacVal,_xlpm.CSVVal&lt;&gt;"",_xlpm.CSVVal
)),"")</f>
        <v/>
      </c>
      <c r="J291" s="54" t="str" cm="1">
        <f t="array" ref="J291">IFERROR(_xlfn.LET(
_xlpm.CSVVal,_xlfn.XLOOKUP($A291,CSV!$A:$A,CSV!I:I,""),
_xlpm.MacVal,_xlfn.XLOOKUP($A291,Output_Mac!$A:$A,Output_Mac!K:K,""),
_xlpm.MyAuditVal,_xlfn.XLOOKUP($A291,My_Audit!$A:$A,My_Audit!I:I,""),
_xlfn.IFS(_xlpm.MyAuditVal&lt;&gt;"",UPPER(_xlpm.MyAuditVal),_xlpm.MacVal&lt;&gt;"",_xlpm.MacVal,_xlpm.CSVVal&lt;&gt;"",_xlpm.CSVVal
)),"")</f>
        <v/>
      </c>
      <c r="K291" s="54" t="str" cm="1">
        <f t="array" ref="K291">IFERROR(_xlfn.LET(
_xlpm.CSVVal,_xlfn.XLOOKUP($A291,CSV!$A:$A,CSV!M:M,""),
_xlpm.MacVal,_xlfn.XLOOKUP($A291,Output_Mac!$A:$A,Output_Mac!L:L,""),
_xlpm.MyAuditVal,_xlfn.XLOOKUP($A291,My_Audit!$A:$A,My_Audit!J:J,""),
_xlfn.IFS(_xlpm.MyAuditVal&lt;&gt;"",UPPER(_xlpm.MyAuditVal),_xlpm.MacVal&lt;&gt;"",_xlpm.MacVal,_xlpm.CSVVal&lt;&gt;"",_xlpm.CSVVal
)),"")</f>
        <v/>
      </c>
      <c r="L291" s="55" t="str" cm="1">
        <f t="array" ref="L291">IFERROR(_xlfn.LET(
_xlpm.CSVVal,_xlfn.XLOOKUP($A291,CSV!$A:$A,CSV!P:P,""),
_xlpm.MacVal,_xlfn.XLOOKUP($A291,Output_Mac!$A:$A,Output_Mac!M:M,""),
_xlpm.MyAuditVal,_xlfn.XLOOKUP($A291,My_Audit!$A:$A,My_Audit!K:K,""),
_xlfn.IFS(_xlpm.MyAuditVal&lt;&gt;"",UPPER(_xlpm.MyAuditVal),_xlpm.MacVal&lt;&gt;"",_xlpm.MacVal,_xlpm.CSVVal&lt;&gt;"",_xlpm.CSVVal
)),"")</f>
        <v/>
      </c>
      <c r="M291" s="54" t="str">
        <f>_xlfn.LET(
    _xlpm.CSVVal, _xlfn.XLOOKUP($A291, CSV!$A:$A, CSV!AD:AD, ""),
    _xlpm.MacVal, _xlfn.XLOOKUP($A291, Output_Mac!$A:$A, Output_Mac!S:S, ""),
    _xlpm.MyAuditVal, _xlfn.XLOOKUP($A291, My_Audit!$A:$A, My_Audit!N:N, ""),
    _xlfn.TEXTJOIN(", ", TRUE, _xlpm.MyAuditVal, _xlpm.MacVal, _xlpm.CSVVal)
)</f>
        <v/>
      </c>
      <c r="N291" s="54" t="str" cm="1">
        <f t="array" ref="N291">IFERROR(_xlfn.LET(
_xlpm.CSVVal,_xlfn.XLOOKUP($A291,CSV!$A:$A,CSV!AF:AF,""),
_xlpm.MacVal,_xlfn.XLOOKUP($A291,Output_Mac!$A:$A,Output_Mac!U:U,""),
_xlpm.MyAuditVal,_xlfn.XLOOKUP($A291,My_Audit!$A:$A,My_Audit!O:O,""),
_xlfn.IFS(_xlpm.MyAuditVal&lt;&gt;"",UPPER(_xlpm.MyAuditVal),_xlpm.MacVal&lt;&gt;"",_xlpm.MacVal,_xlpm.CSVVal&lt;&gt;"",_xlpm.CSVVal
)),"")</f>
        <v/>
      </c>
      <c r="O291" s="54"/>
      <c r="P291" s="54"/>
      <c r="Q291" s="54"/>
      <c r="R291" s="54"/>
      <c r="S291" s="54"/>
      <c r="T291" s="54"/>
      <c r="U291" s="39"/>
    </row>
    <row r="292" spans="1:21">
      <c r="A292" s="54" t="str">
        <f>_xlfn.TEXTJOIN("",TRUE,Input!$B$2,ROW(My_Audit!A291))</f>
        <v>XX291</v>
      </c>
      <c r="B292" s="54" t="str">
        <f>_xlfn.TEXTJOIN("-",TRUE,"ITD",Input!$A$2,A292)</f>
        <v>ITD-SHRXXX-XX291</v>
      </c>
      <c r="C292" s="54" t="str" cm="1">
        <f t="array" ref="C292">IFERROR(_xlfn.LET(
_xlpm.CSVVal,_xlfn.XLOOKUP($A292,CSV!$A:$A,CSV!B:B,""),
_xlpm.MacVal,_xlfn.XLOOKUP($A292,Output_Mac!$A:$A,Output_Mac!B:B,""),
_xlpm.MyAuditVal,_xlfn.XLOOKUP($A292,My_Audit!$A:$A,My_Audit!B:B,""),
_xlfn.IFS(_xlpm.MyAuditVal&lt;&gt;"",UPPER(_xlpm.MyAuditVal),_xlpm.MacVal&lt;&gt;"",_xlpm.MacVal,_xlpm.CSVVal&lt;&gt;"",_xlpm.CSVVal
)),"")</f>
        <v/>
      </c>
      <c r="D292" s="55" t="str">
        <f>_xlfn.XLOOKUP(A292,My_Audit!A:A,My_Audit!D:D,"")&amp;""</f>
        <v/>
      </c>
      <c r="E292" s="55" t="str" cm="1">
        <f t="array" ref="E292">IFERROR(_xlfn.LET(
_xlpm.CSVVal,_xlfn.XLOOKUP($A292,CSV!$A:$A,CSV!D:D,""),
_xlpm.MacVal,_xlfn.XLOOKUP($A292,Output_Mac!$A:$A,Output_Mac!C:C,""),
_xlpm.MyAuditVal,_xlfn.XLOOKUP($A292,My_Audit!$A:$A,My_Audit!D:D,""),
_xlfn.IFS(_xlpm.MyAuditVal&lt;&gt;"",_xlpm.MyAuditVal,_xlpm.MacVal&lt;&gt;"",_xlpm.MacVal,_xlpm.CSVVal&lt;&gt;"",_xlpm.CSVVal
)),"")</f>
        <v/>
      </c>
      <c r="F292" s="54" t="str" cm="1">
        <f t="array" ref="F292">IFERROR(_xlfn.LET(
_xlpm.CSVVal,_xlfn.XLOOKUP($A292,CSV!$A:$A,CSV!E:E,""),
_xlpm.MacVal,_xlfn.XLOOKUP($A292,Output_Mac!$A:$A,Output_Mac!F:F,""),
_xlpm.MyAuditVal,_xlfn.XLOOKUP($A292,My_Audit!$A:$A,My_Audit!E:E,""),
_xlfn.IFS(_xlpm.MyAuditVal&lt;&gt;"",_xlpm.MyAuditVal,_xlpm.MacVal&lt;&gt;"",_xlpm.MacVal,_xlpm.CSVVal&lt;&gt;"",PROPER(_xlpm.CSVVal)
)),"")</f>
        <v/>
      </c>
      <c r="G292" s="54" t="str" cm="1">
        <f t="array" ref="G292">IFERROR(_xlfn.LET(
_xlpm.CSVVal,_xlfn.XLOOKUP($A292,CSV!$A:$A,CSV!F:F,""),
_xlpm.MacVal,_xlfn.XLOOKUP($A292,Output_Mac!$A:$A,Output_Mac!H:H,""),
_xlpm.MyAuditVal,_xlfn.XLOOKUP($A292,My_Audit!$A:$A,My_Audit!F:F,""),
_xlfn.IFS(_xlpm.MyAuditVal&lt;&gt;"",_xlpm.MyAuditVal,_xlpm.MacVal&lt;&gt;"",_xlpm.MacVal,_xlpm.CSVVal&lt;&gt;"",_xlpm.CSVVal
)),"")</f>
        <v/>
      </c>
      <c r="H292" s="54" t="str">
        <f>_xlfn.XLOOKUP(A292,Output_Mac!A:A,Output_Mac!I:I,"")</f>
        <v/>
      </c>
      <c r="I292" s="54" t="str" cm="1">
        <f t="array" ref="I292">IFERROR(_xlfn.LET(
_xlpm.CSVVal,_xlfn.XLOOKUP($A292,CSV!$A:$A,CSV!G:G,""),
_xlpm.MacVal,_xlfn.XLOOKUP($A292,Output_Mac!$A:$A,Output_Mac!J:J,""),
_xlpm.MyAuditVal,_xlfn.XLOOKUP($A292,My_Audit!$A:$A,My_Audit!H:H,""),
_xlfn.IFS(_xlpm.MyAuditVal&lt;&gt;"",UPPER(_xlpm.MyAuditVal),_xlpm.MacVal&lt;&gt;"",_xlpm.MacVal,_xlpm.CSVVal&lt;&gt;"",_xlpm.CSVVal
)),"")</f>
        <v/>
      </c>
      <c r="J292" s="54" t="str" cm="1">
        <f t="array" ref="J292">IFERROR(_xlfn.LET(
_xlpm.CSVVal,_xlfn.XLOOKUP($A292,CSV!$A:$A,CSV!I:I,""),
_xlpm.MacVal,_xlfn.XLOOKUP($A292,Output_Mac!$A:$A,Output_Mac!K:K,""),
_xlpm.MyAuditVal,_xlfn.XLOOKUP($A292,My_Audit!$A:$A,My_Audit!I:I,""),
_xlfn.IFS(_xlpm.MyAuditVal&lt;&gt;"",UPPER(_xlpm.MyAuditVal),_xlpm.MacVal&lt;&gt;"",_xlpm.MacVal,_xlpm.CSVVal&lt;&gt;"",_xlpm.CSVVal
)),"")</f>
        <v/>
      </c>
      <c r="K292" s="54" t="str" cm="1">
        <f t="array" ref="K292">IFERROR(_xlfn.LET(
_xlpm.CSVVal,_xlfn.XLOOKUP($A292,CSV!$A:$A,CSV!M:M,""),
_xlpm.MacVal,_xlfn.XLOOKUP($A292,Output_Mac!$A:$A,Output_Mac!L:L,""),
_xlpm.MyAuditVal,_xlfn.XLOOKUP($A292,My_Audit!$A:$A,My_Audit!J:J,""),
_xlfn.IFS(_xlpm.MyAuditVal&lt;&gt;"",UPPER(_xlpm.MyAuditVal),_xlpm.MacVal&lt;&gt;"",_xlpm.MacVal,_xlpm.CSVVal&lt;&gt;"",_xlpm.CSVVal
)),"")</f>
        <v/>
      </c>
      <c r="L292" s="55" t="str" cm="1">
        <f t="array" ref="L292">IFERROR(_xlfn.LET(
_xlpm.CSVVal,_xlfn.XLOOKUP($A292,CSV!$A:$A,CSV!P:P,""),
_xlpm.MacVal,_xlfn.XLOOKUP($A292,Output_Mac!$A:$A,Output_Mac!M:M,""),
_xlpm.MyAuditVal,_xlfn.XLOOKUP($A292,My_Audit!$A:$A,My_Audit!K:K,""),
_xlfn.IFS(_xlpm.MyAuditVal&lt;&gt;"",UPPER(_xlpm.MyAuditVal),_xlpm.MacVal&lt;&gt;"",_xlpm.MacVal,_xlpm.CSVVal&lt;&gt;"",_xlpm.CSVVal
)),"")</f>
        <v/>
      </c>
      <c r="M292" s="54" t="str">
        <f>_xlfn.LET(
    _xlpm.CSVVal, _xlfn.XLOOKUP($A292, CSV!$A:$A, CSV!AD:AD, ""),
    _xlpm.MacVal, _xlfn.XLOOKUP($A292, Output_Mac!$A:$A, Output_Mac!S:S, ""),
    _xlpm.MyAuditVal, _xlfn.XLOOKUP($A292, My_Audit!$A:$A, My_Audit!N:N, ""),
    _xlfn.TEXTJOIN(", ", TRUE, _xlpm.MyAuditVal, _xlpm.MacVal, _xlpm.CSVVal)
)</f>
        <v/>
      </c>
      <c r="N292" s="54" t="str" cm="1">
        <f t="array" ref="N292">IFERROR(_xlfn.LET(
_xlpm.CSVVal,_xlfn.XLOOKUP($A292,CSV!$A:$A,CSV!AF:AF,""),
_xlpm.MacVal,_xlfn.XLOOKUP($A292,Output_Mac!$A:$A,Output_Mac!U:U,""),
_xlpm.MyAuditVal,_xlfn.XLOOKUP($A292,My_Audit!$A:$A,My_Audit!O:O,""),
_xlfn.IFS(_xlpm.MyAuditVal&lt;&gt;"",UPPER(_xlpm.MyAuditVal),_xlpm.MacVal&lt;&gt;"",_xlpm.MacVal,_xlpm.CSVVal&lt;&gt;"",_xlpm.CSVVal
)),"")</f>
        <v/>
      </c>
      <c r="O292" s="54"/>
      <c r="P292" s="54"/>
      <c r="Q292" s="54"/>
      <c r="R292" s="54"/>
      <c r="S292" s="54"/>
      <c r="T292" s="54"/>
      <c r="U292" s="39"/>
    </row>
    <row r="293" spans="1:21">
      <c r="A293" s="54" t="str">
        <f>_xlfn.TEXTJOIN("",TRUE,Input!$B$2,ROW(My_Audit!A292))</f>
        <v>XX292</v>
      </c>
      <c r="B293" s="54" t="str">
        <f>_xlfn.TEXTJOIN("-",TRUE,"ITD",Input!$A$2,A293)</f>
        <v>ITD-SHRXXX-XX292</v>
      </c>
      <c r="C293" s="54" t="str" cm="1">
        <f t="array" ref="C293">IFERROR(_xlfn.LET(
_xlpm.CSVVal,_xlfn.XLOOKUP($A293,CSV!$A:$A,CSV!B:B,""),
_xlpm.MacVal,_xlfn.XLOOKUP($A293,Output_Mac!$A:$A,Output_Mac!B:B,""),
_xlpm.MyAuditVal,_xlfn.XLOOKUP($A293,My_Audit!$A:$A,My_Audit!B:B,""),
_xlfn.IFS(_xlpm.MyAuditVal&lt;&gt;"",UPPER(_xlpm.MyAuditVal),_xlpm.MacVal&lt;&gt;"",_xlpm.MacVal,_xlpm.CSVVal&lt;&gt;"",_xlpm.CSVVal
)),"")</f>
        <v/>
      </c>
      <c r="D293" s="55" t="str">
        <f>_xlfn.XLOOKUP(A293,My_Audit!A:A,My_Audit!D:D,"")&amp;""</f>
        <v/>
      </c>
      <c r="E293" s="55" t="str" cm="1">
        <f t="array" ref="E293">IFERROR(_xlfn.LET(
_xlpm.CSVVal,_xlfn.XLOOKUP($A293,CSV!$A:$A,CSV!D:D,""),
_xlpm.MacVal,_xlfn.XLOOKUP($A293,Output_Mac!$A:$A,Output_Mac!C:C,""),
_xlpm.MyAuditVal,_xlfn.XLOOKUP($A293,My_Audit!$A:$A,My_Audit!D:D,""),
_xlfn.IFS(_xlpm.MyAuditVal&lt;&gt;"",_xlpm.MyAuditVal,_xlpm.MacVal&lt;&gt;"",_xlpm.MacVal,_xlpm.CSVVal&lt;&gt;"",_xlpm.CSVVal
)),"")</f>
        <v/>
      </c>
      <c r="F293" s="54" t="str" cm="1">
        <f t="array" ref="F293">IFERROR(_xlfn.LET(
_xlpm.CSVVal,_xlfn.XLOOKUP($A293,CSV!$A:$A,CSV!E:E,""),
_xlpm.MacVal,_xlfn.XLOOKUP($A293,Output_Mac!$A:$A,Output_Mac!F:F,""),
_xlpm.MyAuditVal,_xlfn.XLOOKUP($A293,My_Audit!$A:$A,My_Audit!E:E,""),
_xlfn.IFS(_xlpm.MyAuditVal&lt;&gt;"",_xlpm.MyAuditVal,_xlpm.MacVal&lt;&gt;"",_xlpm.MacVal,_xlpm.CSVVal&lt;&gt;"",PROPER(_xlpm.CSVVal)
)),"")</f>
        <v/>
      </c>
      <c r="G293" s="54" t="str" cm="1">
        <f t="array" ref="G293">IFERROR(_xlfn.LET(
_xlpm.CSVVal,_xlfn.XLOOKUP($A293,CSV!$A:$A,CSV!F:F,""),
_xlpm.MacVal,_xlfn.XLOOKUP($A293,Output_Mac!$A:$A,Output_Mac!H:H,""),
_xlpm.MyAuditVal,_xlfn.XLOOKUP($A293,My_Audit!$A:$A,My_Audit!F:F,""),
_xlfn.IFS(_xlpm.MyAuditVal&lt;&gt;"",_xlpm.MyAuditVal,_xlpm.MacVal&lt;&gt;"",_xlpm.MacVal,_xlpm.CSVVal&lt;&gt;"",_xlpm.CSVVal
)),"")</f>
        <v/>
      </c>
      <c r="H293" s="54" t="str">
        <f>_xlfn.XLOOKUP(A293,Output_Mac!A:A,Output_Mac!I:I,"")</f>
        <v/>
      </c>
      <c r="I293" s="54" t="str" cm="1">
        <f t="array" ref="I293">IFERROR(_xlfn.LET(
_xlpm.CSVVal,_xlfn.XLOOKUP($A293,CSV!$A:$A,CSV!G:G,""),
_xlpm.MacVal,_xlfn.XLOOKUP($A293,Output_Mac!$A:$A,Output_Mac!J:J,""),
_xlpm.MyAuditVal,_xlfn.XLOOKUP($A293,My_Audit!$A:$A,My_Audit!H:H,""),
_xlfn.IFS(_xlpm.MyAuditVal&lt;&gt;"",UPPER(_xlpm.MyAuditVal),_xlpm.MacVal&lt;&gt;"",_xlpm.MacVal,_xlpm.CSVVal&lt;&gt;"",_xlpm.CSVVal
)),"")</f>
        <v/>
      </c>
      <c r="J293" s="54" t="str" cm="1">
        <f t="array" ref="J293">IFERROR(_xlfn.LET(
_xlpm.CSVVal,_xlfn.XLOOKUP($A293,CSV!$A:$A,CSV!I:I,""),
_xlpm.MacVal,_xlfn.XLOOKUP($A293,Output_Mac!$A:$A,Output_Mac!K:K,""),
_xlpm.MyAuditVal,_xlfn.XLOOKUP($A293,My_Audit!$A:$A,My_Audit!I:I,""),
_xlfn.IFS(_xlpm.MyAuditVal&lt;&gt;"",UPPER(_xlpm.MyAuditVal),_xlpm.MacVal&lt;&gt;"",_xlpm.MacVal,_xlpm.CSVVal&lt;&gt;"",_xlpm.CSVVal
)),"")</f>
        <v/>
      </c>
      <c r="K293" s="54" t="str" cm="1">
        <f t="array" ref="K293">IFERROR(_xlfn.LET(
_xlpm.CSVVal,_xlfn.XLOOKUP($A293,CSV!$A:$A,CSV!M:M,""),
_xlpm.MacVal,_xlfn.XLOOKUP($A293,Output_Mac!$A:$A,Output_Mac!L:L,""),
_xlpm.MyAuditVal,_xlfn.XLOOKUP($A293,My_Audit!$A:$A,My_Audit!J:J,""),
_xlfn.IFS(_xlpm.MyAuditVal&lt;&gt;"",UPPER(_xlpm.MyAuditVal),_xlpm.MacVal&lt;&gt;"",_xlpm.MacVal,_xlpm.CSVVal&lt;&gt;"",_xlpm.CSVVal
)),"")</f>
        <v/>
      </c>
      <c r="L293" s="55" t="str" cm="1">
        <f t="array" ref="L293">IFERROR(_xlfn.LET(
_xlpm.CSVVal,_xlfn.XLOOKUP($A293,CSV!$A:$A,CSV!P:P,""),
_xlpm.MacVal,_xlfn.XLOOKUP($A293,Output_Mac!$A:$A,Output_Mac!M:M,""),
_xlpm.MyAuditVal,_xlfn.XLOOKUP($A293,My_Audit!$A:$A,My_Audit!K:K,""),
_xlfn.IFS(_xlpm.MyAuditVal&lt;&gt;"",UPPER(_xlpm.MyAuditVal),_xlpm.MacVal&lt;&gt;"",_xlpm.MacVal,_xlpm.CSVVal&lt;&gt;"",_xlpm.CSVVal
)),"")</f>
        <v/>
      </c>
      <c r="M293" s="54" t="str">
        <f>_xlfn.LET(
    _xlpm.CSVVal, _xlfn.XLOOKUP($A293, CSV!$A:$A, CSV!AD:AD, ""),
    _xlpm.MacVal, _xlfn.XLOOKUP($A293, Output_Mac!$A:$A, Output_Mac!S:S, ""),
    _xlpm.MyAuditVal, _xlfn.XLOOKUP($A293, My_Audit!$A:$A, My_Audit!N:N, ""),
    _xlfn.TEXTJOIN(", ", TRUE, _xlpm.MyAuditVal, _xlpm.MacVal, _xlpm.CSVVal)
)</f>
        <v/>
      </c>
      <c r="N293" s="54" t="str" cm="1">
        <f t="array" ref="N293">IFERROR(_xlfn.LET(
_xlpm.CSVVal,_xlfn.XLOOKUP($A293,CSV!$A:$A,CSV!AF:AF,""),
_xlpm.MacVal,_xlfn.XLOOKUP($A293,Output_Mac!$A:$A,Output_Mac!U:U,""),
_xlpm.MyAuditVal,_xlfn.XLOOKUP($A293,My_Audit!$A:$A,My_Audit!O:O,""),
_xlfn.IFS(_xlpm.MyAuditVal&lt;&gt;"",UPPER(_xlpm.MyAuditVal),_xlpm.MacVal&lt;&gt;"",_xlpm.MacVal,_xlpm.CSVVal&lt;&gt;"",_xlpm.CSVVal
)),"")</f>
        <v/>
      </c>
      <c r="O293" s="54"/>
      <c r="P293" s="54"/>
      <c r="Q293" s="54"/>
      <c r="R293" s="54"/>
      <c r="S293" s="54"/>
      <c r="T293" s="54"/>
      <c r="U293" s="39"/>
    </row>
    <row r="294" spans="1:21">
      <c r="A294" s="54" t="str">
        <f>_xlfn.TEXTJOIN("",TRUE,Input!$B$2,ROW(My_Audit!A293))</f>
        <v>XX293</v>
      </c>
      <c r="B294" s="54" t="str">
        <f>_xlfn.TEXTJOIN("-",TRUE,"ITD",Input!$A$2,A294)</f>
        <v>ITD-SHRXXX-XX293</v>
      </c>
      <c r="C294" s="54" t="str" cm="1">
        <f t="array" ref="C294">IFERROR(_xlfn.LET(
_xlpm.CSVVal,_xlfn.XLOOKUP($A294,CSV!$A:$A,CSV!B:B,""),
_xlpm.MacVal,_xlfn.XLOOKUP($A294,Output_Mac!$A:$A,Output_Mac!B:B,""),
_xlpm.MyAuditVal,_xlfn.XLOOKUP($A294,My_Audit!$A:$A,My_Audit!B:B,""),
_xlfn.IFS(_xlpm.MyAuditVal&lt;&gt;"",UPPER(_xlpm.MyAuditVal),_xlpm.MacVal&lt;&gt;"",_xlpm.MacVal,_xlpm.CSVVal&lt;&gt;"",_xlpm.CSVVal
)),"")</f>
        <v/>
      </c>
      <c r="D294" s="55" t="str">
        <f>_xlfn.XLOOKUP(A294,My_Audit!A:A,My_Audit!D:D,"")&amp;""</f>
        <v/>
      </c>
      <c r="E294" s="55" t="str" cm="1">
        <f t="array" ref="E294">IFERROR(_xlfn.LET(
_xlpm.CSVVal,_xlfn.XLOOKUP($A294,CSV!$A:$A,CSV!D:D,""),
_xlpm.MacVal,_xlfn.XLOOKUP($A294,Output_Mac!$A:$A,Output_Mac!C:C,""),
_xlpm.MyAuditVal,_xlfn.XLOOKUP($A294,My_Audit!$A:$A,My_Audit!D:D,""),
_xlfn.IFS(_xlpm.MyAuditVal&lt;&gt;"",_xlpm.MyAuditVal,_xlpm.MacVal&lt;&gt;"",_xlpm.MacVal,_xlpm.CSVVal&lt;&gt;"",_xlpm.CSVVal
)),"")</f>
        <v/>
      </c>
      <c r="F294" s="54" t="str" cm="1">
        <f t="array" ref="F294">IFERROR(_xlfn.LET(
_xlpm.CSVVal,_xlfn.XLOOKUP($A294,CSV!$A:$A,CSV!E:E,""),
_xlpm.MacVal,_xlfn.XLOOKUP($A294,Output_Mac!$A:$A,Output_Mac!F:F,""),
_xlpm.MyAuditVal,_xlfn.XLOOKUP($A294,My_Audit!$A:$A,My_Audit!E:E,""),
_xlfn.IFS(_xlpm.MyAuditVal&lt;&gt;"",_xlpm.MyAuditVal,_xlpm.MacVal&lt;&gt;"",_xlpm.MacVal,_xlpm.CSVVal&lt;&gt;"",PROPER(_xlpm.CSVVal)
)),"")</f>
        <v/>
      </c>
      <c r="G294" s="54" t="str" cm="1">
        <f t="array" ref="G294">IFERROR(_xlfn.LET(
_xlpm.CSVVal,_xlfn.XLOOKUP($A294,CSV!$A:$A,CSV!F:F,""),
_xlpm.MacVal,_xlfn.XLOOKUP($A294,Output_Mac!$A:$A,Output_Mac!H:H,""),
_xlpm.MyAuditVal,_xlfn.XLOOKUP($A294,My_Audit!$A:$A,My_Audit!F:F,""),
_xlfn.IFS(_xlpm.MyAuditVal&lt;&gt;"",_xlpm.MyAuditVal,_xlpm.MacVal&lt;&gt;"",_xlpm.MacVal,_xlpm.CSVVal&lt;&gt;"",_xlpm.CSVVal
)),"")</f>
        <v/>
      </c>
      <c r="H294" s="54" t="str">
        <f>_xlfn.XLOOKUP(A294,Output_Mac!A:A,Output_Mac!I:I,"")</f>
        <v/>
      </c>
      <c r="I294" s="54" t="str" cm="1">
        <f t="array" ref="I294">IFERROR(_xlfn.LET(
_xlpm.CSVVal,_xlfn.XLOOKUP($A294,CSV!$A:$A,CSV!G:G,""),
_xlpm.MacVal,_xlfn.XLOOKUP($A294,Output_Mac!$A:$A,Output_Mac!J:J,""),
_xlpm.MyAuditVal,_xlfn.XLOOKUP($A294,My_Audit!$A:$A,My_Audit!H:H,""),
_xlfn.IFS(_xlpm.MyAuditVal&lt;&gt;"",UPPER(_xlpm.MyAuditVal),_xlpm.MacVal&lt;&gt;"",_xlpm.MacVal,_xlpm.CSVVal&lt;&gt;"",_xlpm.CSVVal
)),"")</f>
        <v/>
      </c>
      <c r="J294" s="54" t="str" cm="1">
        <f t="array" ref="J294">IFERROR(_xlfn.LET(
_xlpm.CSVVal,_xlfn.XLOOKUP($A294,CSV!$A:$A,CSV!I:I,""),
_xlpm.MacVal,_xlfn.XLOOKUP($A294,Output_Mac!$A:$A,Output_Mac!K:K,""),
_xlpm.MyAuditVal,_xlfn.XLOOKUP($A294,My_Audit!$A:$A,My_Audit!I:I,""),
_xlfn.IFS(_xlpm.MyAuditVal&lt;&gt;"",UPPER(_xlpm.MyAuditVal),_xlpm.MacVal&lt;&gt;"",_xlpm.MacVal,_xlpm.CSVVal&lt;&gt;"",_xlpm.CSVVal
)),"")</f>
        <v/>
      </c>
      <c r="K294" s="54" t="str" cm="1">
        <f t="array" ref="K294">IFERROR(_xlfn.LET(
_xlpm.CSVVal,_xlfn.XLOOKUP($A294,CSV!$A:$A,CSV!M:M,""),
_xlpm.MacVal,_xlfn.XLOOKUP($A294,Output_Mac!$A:$A,Output_Mac!L:L,""),
_xlpm.MyAuditVal,_xlfn.XLOOKUP($A294,My_Audit!$A:$A,My_Audit!J:J,""),
_xlfn.IFS(_xlpm.MyAuditVal&lt;&gt;"",UPPER(_xlpm.MyAuditVal),_xlpm.MacVal&lt;&gt;"",_xlpm.MacVal,_xlpm.CSVVal&lt;&gt;"",_xlpm.CSVVal
)),"")</f>
        <v/>
      </c>
      <c r="L294" s="55" t="str" cm="1">
        <f t="array" ref="L294">IFERROR(_xlfn.LET(
_xlpm.CSVVal,_xlfn.XLOOKUP($A294,CSV!$A:$A,CSV!P:P,""),
_xlpm.MacVal,_xlfn.XLOOKUP($A294,Output_Mac!$A:$A,Output_Mac!M:M,""),
_xlpm.MyAuditVal,_xlfn.XLOOKUP($A294,My_Audit!$A:$A,My_Audit!K:K,""),
_xlfn.IFS(_xlpm.MyAuditVal&lt;&gt;"",UPPER(_xlpm.MyAuditVal),_xlpm.MacVal&lt;&gt;"",_xlpm.MacVal,_xlpm.CSVVal&lt;&gt;"",_xlpm.CSVVal
)),"")</f>
        <v/>
      </c>
      <c r="M294" s="54" t="str">
        <f>_xlfn.LET(
    _xlpm.CSVVal, _xlfn.XLOOKUP($A294, CSV!$A:$A, CSV!AD:AD, ""),
    _xlpm.MacVal, _xlfn.XLOOKUP($A294, Output_Mac!$A:$A, Output_Mac!S:S, ""),
    _xlpm.MyAuditVal, _xlfn.XLOOKUP($A294, My_Audit!$A:$A, My_Audit!N:N, ""),
    _xlfn.TEXTJOIN(", ", TRUE, _xlpm.MyAuditVal, _xlpm.MacVal, _xlpm.CSVVal)
)</f>
        <v/>
      </c>
      <c r="N294" s="54" t="str" cm="1">
        <f t="array" ref="N294">IFERROR(_xlfn.LET(
_xlpm.CSVVal,_xlfn.XLOOKUP($A294,CSV!$A:$A,CSV!AF:AF,""),
_xlpm.MacVal,_xlfn.XLOOKUP($A294,Output_Mac!$A:$A,Output_Mac!U:U,""),
_xlpm.MyAuditVal,_xlfn.XLOOKUP($A294,My_Audit!$A:$A,My_Audit!O:O,""),
_xlfn.IFS(_xlpm.MyAuditVal&lt;&gt;"",UPPER(_xlpm.MyAuditVal),_xlpm.MacVal&lt;&gt;"",_xlpm.MacVal,_xlpm.CSVVal&lt;&gt;"",_xlpm.CSVVal
)),"")</f>
        <v/>
      </c>
      <c r="O294" s="54"/>
      <c r="P294" s="54"/>
      <c r="Q294" s="54"/>
      <c r="R294" s="54"/>
      <c r="S294" s="54"/>
      <c r="T294" s="54"/>
      <c r="U294" s="39"/>
    </row>
    <row r="295" spans="1:21">
      <c r="A295" s="54" t="str">
        <f>_xlfn.TEXTJOIN("",TRUE,Input!$B$2,ROW(My_Audit!A294))</f>
        <v>XX294</v>
      </c>
      <c r="B295" s="54" t="str">
        <f>_xlfn.TEXTJOIN("-",TRUE,"ITD",Input!$A$2,A295)</f>
        <v>ITD-SHRXXX-XX294</v>
      </c>
      <c r="C295" s="54" t="str" cm="1">
        <f t="array" ref="C295">IFERROR(_xlfn.LET(
_xlpm.CSVVal,_xlfn.XLOOKUP($A295,CSV!$A:$A,CSV!B:B,""),
_xlpm.MacVal,_xlfn.XLOOKUP($A295,Output_Mac!$A:$A,Output_Mac!B:B,""),
_xlpm.MyAuditVal,_xlfn.XLOOKUP($A295,My_Audit!$A:$A,My_Audit!B:B,""),
_xlfn.IFS(_xlpm.MyAuditVal&lt;&gt;"",UPPER(_xlpm.MyAuditVal),_xlpm.MacVal&lt;&gt;"",_xlpm.MacVal,_xlpm.CSVVal&lt;&gt;"",_xlpm.CSVVal
)),"")</f>
        <v/>
      </c>
      <c r="D295" s="55" t="str">
        <f>_xlfn.XLOOKUP(A295,My_Audit!A:A,My_Audit!D:D,"")&amp;""</f>
        <v/>
      </c>
      <c r="E295" s="55" t="str" cm="1">
        <f t="array" ref="E295">IFERROR(_xlfn.LET(
_xlpm.CSVVal,_xlfn.XLOOKUP($A295,CSV!$A:$A,CSV!D:D,""),
_xlpm.MacVal,_xlfn.XLOOKUP($A295,Output_Mac!$A:$A,Output_Mac!C:C,""),
_xlpm.MyAuditVal,_xlfn.XLOOKUP($A295,My_Audit!$A:$A,My_Audit!D:D,""),
_xlfn.IFS(_xlpm.MyAuditVal&lt;&gt;"",_xlpm.MyAuditVal,_xlpm.MacVal&lt;&gt;"",_xlpm.MacVal,_xlpm.CSVVal&lt;&gt;"",_xlpm.CSVVal
)),"")</f>
        <v/>
      </c>
      <c r="F295" s="54" t="str" cm="1">
        <f t="array" ref="F295">IFERROR(_xlfn.LET(
_xlpm.CSVVal,_xlfn.XLOOKUP($A295,CSV!$A:$A,CSV!E:E,""),
_xlpm.MacVal,_xlfn.XLOOKUP($A295,Output_Mac!$A:$A,Output_Mac!F:F,""),
_xlpm.MyAuditVal,_xlfn.XLOOKUP($A295,My_Audit!$A:$A,My_Audit!E:E,""),
_xlfn.IFS(_xlpm.MyAuditVal&lt;&gt;"",_xlpm.MyAuditVal,_xlpm.MacVal&lt;&gt;"",_xlpm.MacVal,_xlpm.CSVVal&lt;&gt;"",PROPER(_xlpm.CSVVal)
)),"")</f>
        <v/>
      </c>
      <c r="G295" s="54" t="str" cm="1">
        <f t="array" ref="G295">IFERROR(_xlfn.LET(
_xlpm.CSVVal,_xlfn.XLOOKUP($A295,CSV!$A:$A,CSV!F:F,""),
_xlpm.MacVal,_xlfn.XLOOKUP($A295,Output_Mac!$A:$A,Output_Mac!H:H,""),
_xlpm.MyAuditVal,_xlfn.XLOOKUP($A295,My_Audit!$A:$A,My_Audit!F:F,""),
_xlfn.IFS(_xlpm.MyAuditVal&lt;&gt;"",_xlpm.MyAuditVal,_xlpm.MacVal&lt;&gt;"",_xlpm.MacVal,_xlpm.CSVVal&lt;&gt;"",_xlpm.CSVVal
)),"")</f>
        <v/>
      </c>
      <c r="H295" s="54" t="str">
        <f>_xlfn.XLOOKUP(A295,Output_Mac!A:A,Output_Mac!I:I,"")</f>
        <v/>
      </c>
      <c r="I295" s="54" t="str" cm="1">
        <f t="array" ref="I295">IFERROR(_xlfn.LET(
_xlpm.CSVVal,_xlfn.XLOOKUP($A295,CSV!$A:$A,CSV!G:G,""),
_xlpm.MacVal,_xlfn.XLOOKUP($A295,Output_Mac!$A:$A,Output_Mac!J:J,""),
_xlpm.MyAuditVal,_xlfn.XLOOKUP($A295,My_Audit!$A:$A,My_Audit!H:H,""),
_xlfn.IFS(_xlpm.MyAuditVal&lt;&gt;"",UPPER(_xlpm.MyAuditVal),_xlpm.MacVal&lt;&gt;"",_xlpm.MacVal,_xlpm.CSVVal&lt;&gt;"",_xlpm.CSVVal
)),"")</f>
        <v/>
      </c>
      <c r="J295" s="54" t="str" cm="1">
        <f t="array" ref="J295">IFERROR(_xlfn.LET(
_xlpm.CSVVal,_xlfn.XLOOKUP($A295,CSV!$A:$A,CSV!I:I,""),
_xlpm.MacVal,_xlfn.XLOOKUP($A295,Output_Mac!$A:$A,Output_Mac!K:K,""),
_xlpm.MyAuditVal,_xlfn.XLOOKUP($A295,My_Audit!$A:$A,My_Audit!I:I,""),
_xlfn.IFS(_xlpm.MyAuditVal&lt;&gt;"",UPPER(_xlpm.MyAuditVal),_xlpm.MacVal&lt;&gt;"",_xlpm.MacVal,_xlpm.CSVVal&lt;&gt;"",_xlpm.CSVVal
)),"")</f>
        <v/>
      </c>
      <c r="K295" s="54" t="str" cm="1">
        <f t="array" ref="K295">IFERROR(_xlfn.LET(
_xlpm.CSVVal,_xlfn.XLOOKUP($A295,CSV!$A:$A,CSV!M:M,""),
_xlpm.MacVal,_xlfn.XLOOKUP($A295,Output_Mac!$A:$A,Output_Mac!L:L,""),
_xlpm.MyAuditVal,_xlfn.XLOOKUP($A295,My_Audit!$A:$A,My_Audit!J:J,""),
_xlfn.IFS(_xlpm.MyAuditVal&lt;&gt;"",UPPER(_xlpm.MyAuditVal),_xlpm.MacVal&lt;&gt;"",_xlpm.MacVal,_xlpm.CSVVal&lt;&gt;"",_xlpm.CSVVal
)),"")</f>
        <v/>
      </c>
      <c r="L295" s="55" t="str" cm="1">
        <f t="array" ref="L295">IFERROR(_xlfn.LET(
_xlpm.CSVVal,_xlfn.XLOOKUP($A295,CSV!$A:$A,CSV!P:P,""),
_xlpm.MacVal,_xlfn.XLOOKUP($A295,Output_Mac!$A:$A,Output_Mac!M:M,""),
_xlpm.MyAuditVal,_xlfn.XLOOKUP($A295,My_Audit!$A:$A,My_Audit!K:K,""),
_xlfn.IFS(_xlpm.MyAuditVal&lt;&gt;"",UPPER(_xlpm.MyAuditVal),_xlpm.MacVal&lt;&gt;"",_xlpm.MacVal,_xlpm.CSVVal&lt;&gt;"",_xlpm.CSVVal
)),"")</f>
        <v/>
      </c>
      <c r="M295" s="54" t="str">
        <f>_xlfn.LET(
    _xlpm.CSVVal, _xlfn.XLOOKUP($A295, CSV!$A:$A, CSV!AD:AD, ""),
    _xlpm.MacVal, _xlfn.XLOOKUP($A295, Output_Mac!$A:$A, Output_Mac!S:S, ""),
    _xlpm.MyAuditVal, _xlfn.XLOOKUP($A295, My_Audit!$A:$A, My_Audit!N:N, ""),
    _xlfn.TEXTJOIN(", ", TRUE, _xlpm.MyAuditVal, _xlpm.MacVal, _xlpm.CSVVal)
)</f>
        <v/>
      </c>
      <c r="N295" s="54" t="str" cm="1">
        <f t="array" ref="N295">IFERROR(_xlfn.LET(
_xlpm.CSVVal,_xlfn.XLOOKUP($A295,CSV!$A:$A,CSV!AF:AF,""),
_xlpm.MacVal,_xlfn.XLOOKUP($A295,Output_Mac!$A:$A,Output_Mac!U:U,""),
_xlpm.MyAuditVal,_xlfn.XLOOKUP($A295,My_Audit!$A:$A,My_Audit!O:O,""),
_xlfn.IFS(_xlpm.MyAuditVal&lt;&gt;"",UPPER(_xlpm.MyAuditVal),_xlpm.MacVal&lt;&gt;"",_xlpm.MacVal,_xlpm.CSVVal&lt;&gt;"",_xlpm.CSVVal
)),"")</f>
        <v/>
      </c>
      <c r="O295" s="54"/>
      <c r="P295" s="54"/>
      <c r="Q295" s="54"/>
      <c r="R295" s="54"/>
      <c r="S295" s="54"/>
      <c r="T295" s="54"/>
      <c r="U295" s="39"/>
    </row>
    <row r="296" spans="1:21">
      <c r="A296" s="54" t="str">
        <f>_xlfn.TEXTJOIN("",TRUE,Input!$B$2,ROW(My_Audit!A295))</f>
        <v>XX295</v>
      </c>
      <c r="B296" s="54" t="str">
        <f>_xlfn.TEXTJOIN("-",TRUE,"ITD",Input!$A$2,A296)</f>
        <v>ITD-SHRXXX-XX295</v>
      </c>
      <c r="C296" s="54" t="str" cm="1">
        <f t="array" ref="C296">IFERROR(_xlfn.LET(
_xlpm.CSVVal,_xlfn.XLOOKUP($A296,CSV!$A:$A,CSV!B:B,""),
_xlpm.MacVal,_xlfn.XLOOKUP($A296,Output_Mac!$A:$A,Output_Mac!B:B,""),
_xlpm.MyAuditVal,_xlfn.XLOOKUP($A296,My_Audit!$A:$A,My_Audit!B:B,""),
_xlfn.IFS(_xlpm.MyAuditVal&lt;&gt;"",UPPER(_xlpm.MyAuditVal),_xlpm.MacVal&lt;&gt;"",_xlpm.MacVal,_xlpm.CSVVal&lt;&gt;"",_xlpm.CSVVal
)),"")</f>
        <v/>
      </c>
      <c r="D296" s="55" t="str">
        <f>_xlfn.XLOOKUP(A296,My_Audit!A:A,My_Audit!D:D,"")&amp;""</f>
        <v/>
      </c>
      <c r="E296" s="55" t="str" cm="1">
        <f t="array" ref="E296">IFERROR(_xlfn.LET(
_xlpm.CSVVal,_xlfn.XLOOKUP($A296,CSV!$A:$A,CSV!D:D,""),
_xlpm.MacVal,_xlfn.XLOOKUP($A296,Output_Mac!$A:$A,Output_Mac!C:C,""),
_xlpm.MyAuditVal,_xlfn.XLOOKUP($A296,My_Audit!$A:$A,My_Audit!D:D,""),
_xlfn.IFS(_xlpm.MyAuditVal&lt;&gt;"",_xlpm.MyAuditVal,_xlpm.MacVal&lt;&gt;"",_xlpm.MacVal,_xlpm.CSVVal&lt;&gt;"",_xlpm.CSVVal
)),"")</f>
        <v/>
      </c>
      <c r="F296" s="54" t="str" cm="1">
        <f t="array" ref="F296">IFERROR(_xlfn.LET(
_xlpm.CSVVal,_xlfn.XLOOKUP($A296,CSV!$A:$A,CSV!E:E,""),
_xlpm.MacVal,_xlfn.XLOOKUP($A296,Output_Mac!$A:$A,Output_Mac!F:F,""),
_xlpm.MyAuditVal,_xlfn.XLOOKUP($A296,My_Audit!$A:$A,My_Audit!E:E,""),
_xlfn.IFS(_xlpm.MyAuditVal&lt;&gt;"",_xlpm.MyAuditVal,_xlpm.MacVal&lt;&gt;"",_xlpm.MacVal,_xlpm.CSVVal&lt;&gt;"",PROPER(_xlpm.CSVVal)
)),"")</f>
        <v/>
      </c>
      <c r="G296" s="54" t="str" cm="1">
        <f t="array" ref="G296">IFERROR(_xlfn.LET(
_xlpm.CSVVal,_xlfn.XLOOKUP($A296,CSV!$A:$A,CSV!F:F,""),
_xlpm.MacVal,_xlfn.XLOOKUP($A296,Output_Mac!$A:$A,Output_Mac!H:H,""),
_xlpm.MyAuditVal,_xlfn.XLOOKUP($A296,My_Audit!$A:$A,My_Audit!F:F,""),
_xlfn.IFS(_xlpm.MyAuditVal&lt;&gt;"",_xlpm.MyAuditVal,_xlpm.MacVal&lt;&gt;"",_xlpm.MacVal,_xlpm.CSVVal&lt;&gt;"",_xlpm.CSVVal
)),"")</f>
        <v/>
      </c>
      <c r="H296" s="54" t="str">
        <f>_xlfn.XLOOKUP(A296,Output_Mac!A:A,Output_Mac!I:I,"")</f>
        <v/>
      </c>
      <c r="I296" s="54" t="str" cm="1">
        <f t="array" ref="I296">IFERROR(_xlfn.LET(
_xlpm.CSVVal,_xlfn.XLOOKUP($A296,CSV!$A:$A,CSV!G:G,""),
_xlpm.MacVal,_xlfn.XLOOKUP($A296,Output_Mac!$A:$A,Output_Mac!J:J,""),
_xlpm.MyAuditVal,_xlfn.XLOOKUP($A296,My_Audit!$A:$A,My_Audit!H:H,""),
_xlfn.IFS(_xlpm.MyAuditVal&lt;&gt;"",UPPER(_xlpm.MyAuditVal),_xlpm.MacVal&lt;&gt;"",_xlpm.MacVal,_xlpm.CSVVal&lt;&gt;"",_xlpm.CSVVal
)),"")</f>
        <v/>
      </c>
      <c r="J296" s="54" t="str" cm="1">
        <f t="array" ref="J296">IFERROR(_xlfn.LET(
_xlpm.CSVVal,_xlfn.XLOOKUP($A296,CSV!$A:$A,CSV!I:I,""),
_xlpm.MacVal,_xlfn.XLOOKUP($A296,Output_Mac!$A:$A,Output_Mac!K:K,""),
_xlpm.MyAuditVal,_xlfn.XLOOKUP($A296,My_Audit!$A:$A,My_Audit!I:I,""),
_xlfn.IFS(_xlpm.MyAuditVal&lt;&gt;"",UPPER(_xlpm.MyAuditVal),_xlpm.MacVal&lt;&gt;"",_xlpm.MacVal,_xlpm.CSVVal&lt;&gt;"",_xlpm.CSVVal
)),"")</f>
        <v/>
      </c>
      <c r="K296" s="54" t="str" cm="1">
        <f t="array" ref="K296">IFERROR(_xlfn.LET(
_xlpm.CSVVal,_xlfn.XLOOKUP($A296,CSV!$A:$A,CSV!M:M,""),
_xlpm.MacVal,_xlfn.XLOOKUP($A296,Output_Mac!$A:$A,Output_Mac!L:L,""),
_xlpm.MyAuditVal,_xlfn.XLOOKUP($A296,My_Audit!$A:$A,My_Audit!J:J,""),
_xlfn.IFS(_xlpm.MyAuditVal&lt;&gt;"",UPPER(_xlpm.MyAuditVal),_xlpm.MacVal&lt;&gt;"",_xlpm.MacVal,_xlpm.CSVVal&lt;&gt;"",_xlpm.CSVVal
)),"")</f>
        <v/>
      </c>
      <c r="L296" s="55" t="str" cm="1">
        <f t="array" ref="L296">IFERROR(_xlfn.LET(
_xlpm.CSVVal,_xlfn.XLOOKUP($A296,CSV!$A:$A,CSV!P:P,""),
_xlpm.MacVal,_xlfn.XLOOKUP($A296,Output_Mac!$A:$A,Output_Mac!M:M,""),
_xlpm.MyAuditVal,_xlfn.XLOOKUP($A296,My_Audit!$A:$A,My_Audit!K:K,""),
_xlfn.IFS(_xlpm.MyAuditVal&lt;&gt;"",UPPER(_xlpm.MyAuditVal),_xlpm.MacVal&lt;&gt;"",_xlpm.MacVal,_xlpm.CSVVal&lt;&gt;"",_xlpm.CSVVal
)),"")</f>
        <v/>
      </c>
      <c r="M296" s="54" t="str">
        <f>_xlfn.LET(
    _xlpm.CSVVal, _xlfn.XLOOKUP($A296, CSV!$A:$A, CSV!AD:AD, ""),
    _xlpm.MacVal, _xlfn.XLOOKUP($A296, Output_Mac!$A:$A, Output_Mac!S:S, ""),
    _xlpm.MyAuditVal, _xlfn.XLOOKUP($A296, My_Audit!$A:$A, My_Audit!N:N, ""),
    _xlfn.TEXTJOIN(", ", TRUE, _xlpm.MyAuditVal, _xlpm.MacVal, _xlpm.CSVVal)
)</f>
        <v/>
      </c>
      <c r="N296" s="54" t="str" cm="1">
        <f t="array" ref="N296">IFERROR(_xlfn.LET(
_xlpm.CSVVal,_xlfn.XLOOKUP($A296,CSV!$A:$A,CSV!AF:AF,""),
_xlpm.MacVal,_xlfn.XLOOKUP($A296,Output_Mac!$A:$A,Output_Mac!U:U,""),
_xlpm.MyAuditVal,_xlfn.XLOOKUP($A296,My_Audit!$A:$A,My_Audit!O:O,""),
_xlfn.IFS(_xlpm.MyAuditVal&lt;&gt;"",UPPER(_xlpm.MyAuditVal),_xlpm.MacVal&lt;&gt;"",_xlpm.MacVal,_xlpm.CSVVal&lt;&gt;"",_xlpm.CSVVal
)),"")</f>
        <v/>
      </c>
      <c r="O296" s="54"/>
      <c r="P296" s="54"/>
      <c r="Q296" s="54"/>
      <c r="R296" s="54"/>
      <c r="S296" s="54"/>
      <c r="T296" s="54"/>
      <c r="U296" s="39"/>
    </row>
    <row r="297" spans="1:21">
      <c r="A297" s="54" t="str">
        <f>_xlfn.TEXTJOIN("",TRUE,Input!$B$2,ROW(My_Audit!A296))</f>
        <v>XX296</v>
      </c>
      <c r="B297" s="54" t="str">
        <f>_xlfn.TEXTJOIN("-",TRUE,"ITD",Input!$A$2,A297)</f>
        <v>ITD-SHRXXX-XX296</v>
      </c>
      <c r="C297" s="54" t="str" cm="1">
        <f t="array" ref="C297">IFERROR(_xlfn.LET(
_xlpm.CSVVal,_xlfn.XLOOKUP($A297,CSV!$A:$A,CSV!B:B,""),
_xlpm.MacVal,_xlfn.XLOOKUP($A297,Output_Mac!$A:$A,Output_Mac!B:B,""),
_xlpm.MyAuditVal,_xlfn.XLOOKUP($A297,My_Audit!$A:$A,My_Audit!B:B,""),
_xlfn.IFS(_xlpm.MyAuditVal&lt;&gt;"",UPPER(_xlpm.MyAuditVal),_xlpm.MacVal&lt;&gt;"",_xlpm.MacVal,_xlpm.CSVVal&lt;&gt;"",_xlpm.CSVVal
)),"")</f>
        <v/>
      </c>
      <c r="D297" s="55" t="str">
        <f>_xlfn.XLOOKUP(A297,My_Audit!A:A,My_Audit!D:D,"")&amp;""</f>
        <v/>
      </c>
      <c r="E297" s="55" t="str" cm="1">
        <f t="array" ref="E297">IFERROR(_xlfn.LET(
_xlpm.CSVVal,_xlfn.XLOOKUP($A297,CSV!$A:$A,CSV!D:D,""),
_xlpm.MacVal,_xlfn.XLOOKUP($A297,Output_Mac!$A:$A,Output_Mac!C:C,""),
_xlpm.MyAuditVal,_xlfn.XLOOKUP($A297,My_Audit!$A:$A,My_Audit!D:D,""),
_xlfn.IFS(_xlpm.MyAuditVal&lt;&gt;"",_xlpm.MyAuditVal,_xlpm.MacVal&lt;&gt;"",_xlpm.MacVal,_xlpm.CSVVal&lt;&gt;"",_xlpm.CSVVal
)),"")</f>
        <v/>
      </c>
      <c r="F297" s="54" t="str" cm="1">
        <f t="array" ref="F297">IFERROR(_xlfn.LET(
_xlpm.CSVVal,_xlfn.XLOOKUP($A297,CSV!$A:$A,CSV!E:E,""),
_xlpm.MacVal,_xlfn.XLOOKUP($A297,Output_Mac!$A:$A,Output_Mac!F:F,""),
_xlpm.MyAuditVal,_xlfn.XLOOKUP($A297,My_Audit!$A:$A,My_Audit!E:E,""),
_xlfn.IFS(_xlpm.MyAuditVal&lt;&gt;"",_xlpm.MyAuditVal,_xlpm.MacVal&lt;&gt;"",_xlpm.MacVal,_xlpm.CSVVal&lt;&gt;"",PROPER(_xlpm.CSVVal)
)),"")</f>
        <v/>
      </c>
      <c r="G297" s="54" t="str" cm="1">
        <f t="array" ref="G297">IFERROR(_xlfn.LET(
_xlpm.CSVVal,_xlfn.XLOOKUP($A297,CSV!$A:$A,CSV!F:F,""),
_xlpm.MacVal,_xlfn.XLOOKUP($A297,Output_Mac!$A:$A,Output_Mac!H:H,""),
_xlpm.MyAuditVal,_xlfn.XLOOKUP($A297,My_Audit!$A:$A,My_Audit!F:F,""),
_xlfn.IFS(_xlpm.MyAuditVal&lt;&gt;"",_xlpm.MyAuditVal,_xlpm.MacVal&lt;&gt;"",_xlpm.MacVal,_xlpm.CSVVal&lt;&gt;"",_xlpm.CSVVal
)),"")</f>
        <v/>
      </c>
      <c r="H297" s="54" t="str">
        <f>_xlfn.XLOOKUP(A297,Output_Mac!A:A,Output_Mac!I:I,"")</f>
        <v/>
      </c>
      <c r="I297" s="54" t="str" cm="1">
        <f t="array" ref="I297">IFERROR(_xlfn.LET(
_xlpm.CSVVal,_xlfn.XLOOKUP($A297,CSV!$A:$A,CSV!G:G,""),
_xlpm.MacVal,_xlfn.XLOOKUP($A297,Output_Mac!$A:$A,Output_Mac!J:J,""),
_xlpm.MyAuditVal,_xlfn.XLOOKUP($A297,My_Audit!$A:$A,My_Audit!H:H,""),
_xlfn.IFS(_xlpm.MyAuditVal&lt;&gt;"",UPPER(_xlpm.MyAuditVal),_xlpm.MacVal&lt;&gt;"",_xlpm.MacVal,_xlpm.CSVVal&lt;&gt;"",_xlpm.CSVVal
)),"")</f>
        <v/>
      </c>
      <c r="J297" s="54" t="str" cm="1">
        <f t="array" ref="J297">IFERROR(_xlfn.LET(
_xlpm.CSVVal,_xlfn.XLOOKUP($A297,CSV!$A:$A,CSV!I:I,""),
_xlpm.MacVal,_xlfn.XLOOKUP($A297,Output_Mac!$A:$A,Output_Mac!K:K,""),
_xlpm.MyAuditVal,_xlfn.XLOOKUP($A297,My_Audit!$A:$A,My_Audit!I:I,""),
_xlfn.IFS(_xlpm.MyAuditVal&lt;&gt;"",UPPER(_xlpm.MyAuditVal),_xlpm.MacVal&lt;&gt;"",_xlpm.MacVal,_xlpm.CSVVal&lt;&gt;"",_xlpm.CSVVal
)),"")</f>
        <v/>
      </c>
      <c r="K297" s="54" t="str" cm="1">
        <f t="array" ref="K297">IFERROR(_xlfn.LET(
_xlpm.CSVVal,_xlfn.XLOOKUP($A297,CSV!$A:$A,CSV!M:M,""),
_xlpm.MacVal,_xlfn.XLOOKUP($A297,Output_Mac!$A:$A,Output_Mac!L:L,""),
_xlpm.MyAuditVal,_xlfn.XLOOKUP($A297,My_Audit!$A:$A,My_Audit!J:J,""),
_xlfn.IFS(_xlpm.MyAuditVal&lt;&gt;"",UPPER(_xlpm.MyAuditVal),_xlpm.MacVal&lt;&gt;"",_xlpm.MacVal,_xlpm.CSVVal&lt;&gt;"",_xlpm.CSVVal
)),"")</f>
        <v/>
      </c>
      <c r="L297" s="55" t="str" cm="1">
        <f t="array" ref="L297">IFERROR(_xlfn.LET(
_xlpm.CSVVal,_xlfn.XLOOKUP($A297,CSV!$A:$A,CSV!P:P,""),
_xlpm.MacVal,_xlfn.XLOOKUP($A297,Output_Mac!$A:$A,Output_Mac!M:M,""),
_xlpm.MyAuditVal,_xlfn.XLOOKUP($A297,My_Audit!$A:$A,My_Audit!K:K,""),
_xlfn.IFS(_xlpm.MyAuditVal&lt;&gt;"",UPPER(_xlpm.MyAuditVal),_xlpm.MacVal&lt;&gt;"",_xlpm.MacVal,_xlpm.CSVVal&lt;&gt;"",_xlpm.CSVVal
)),"")</f>
        <v/>
      </c>
      <c r="M297" s="54" t="str">
        <f>_xlfn.LET(
    _xlpm.CSVVal, _xlfn.XLOOKUP($A297, CSV!$A:$A, CSV!AD:AD, ""),
    _xlpm.MacVal, _xlfn.XLOOKUP($A297, Output_Mac!$A:$A, Output_Mac!S:S, ""),
    _xlpm.MyAuditVal, _xlfn.XLOOKUP($A297, My_Audit!$A:$A, My_Audit!N:N, ""),
    _xlfn.TEXTJOIN(", ", TRUE, _xlpm.MyAuditVal, _xlpm.MacVal, _xlpm.CSVVal)
)</f>
        <v/>
      </c>
      <c r="N297" s="54" t="str" cm="1">
        <f t="array" ref="N297">IFERROR(_xlfn.LET(
_xlpm.CSVVal,_xlfn.XLOOKUP($A297,CSV!$A:$A,CSV!AF:AF,""),
_xlpm.MacVal,_xlfn.XLOOKUP($A297,Output_Mac!$A:$A,Output_Mac!U:U,""),
_xlpm.MyAuditVal,_xlfn.XLOOKUP($A297,My_Audit!$A:$A,My_Audit!O:O,""),
_xlfn.IFS(_xlpm.MyAuditVal&lt;&gt;"",UPPER(_xlpm.MyAuditVal),_xlpm.MacVal&lt;&gt;"",_xlpm.MacVal,_xlpm.CSVVal&lt;&gt;"",_xlpm.CSVVal
)),"")</f>
        <v/>
      </c>
      <c r="O297" s="54"/>
      <c r="P297" s="54"/>
      <c r="Q297" s="54"/>
      <c r="R297" s="54"/>
      <c r="S297" s="54"/>
      <c r="T297" s="54"/>
      <c r="U297" s="39"/>
    </row>
    <row r="298" spans="1:21">
      <c r="A298" s="54" t="str">
        <f>_xlfn.TEXTJOIN("",TRUE,Input!$B$2,ROW(My_Audit!A297))</f>
        <v>XX297</v>
      </c>
      <c r="B298" s="54" t="str">
        <f>_xlfn.TEXTJOIN("-",TRUE,"ITD",Input!$A$2,A298)</f>
        <v>ITD-SHRXXX-XX297</v>
      </c>
      <c r="C298" s="54" t="str" cm="1">
        <f t="array" ref="C298">IFERROR(_xlfn.LET(
_xlpm.CSVVal,_xlfn.XLOOKUP($A298,CSV!$A:$A,CSV!B:B,""),
_xlpm.MacVal,_xlfn.XLOOKUP($A298,Output_Mac!$A:$A,Output_Mac!B:B,""),
_xlpm.MyAuditVal,_xlfn.XLOOKUP($A298,My_Audit!$A:$A,My_Audit!B:B,""),
_xlfn.IFS(_xlpm.MyAuditVal&lt;&gt;"",UPPER(_xlpm.MyAuditVal),_xlpm.MacVal&lt;&gt;"",_xlpm.MacVal,_xlpm.CSVVal&lt;&gt;"",_xlpm.CSVVal
)),"")</f>
        <v/>
      </c>
      <c r="D298" s="55" t="str">
        <f>_xlfn.XLOOKUP(A298,My_Audit!A:A,My_Audit!D:D,"")&amp;""</f>
        <v/>
      </c>
      <c r="E298" s="55" t="str" cm="1">
        <f t="array" ref="E298">IFERROR(_xlfn.LET(
_xlpm.CSVVal,_xlfn.XLOOKUP($A298,CSV!$A:$A,CSV!D:D,""),
_xlpm.MacVal,_xlfn.XLOOKUP($A298,Output_Mac!$A:$A,Output_Mac!C:C,""),
_xlpm.MyAuditVal,_xlfn.XLOOKUP($A298,My_Audit!$A:$A,My_Audit!D:D,""),
_xlfn.IFS(_xlpm.MyAuditVal&lt;&gt;"",_xlpm.MyAuditVal,_xlpm.MacVal&lt;&gt;"",_xlpm.MacVal,_xlpm.CSVVal&lt;&gt;"",_xlpm.CSVVal
)),"")</f>
        <v/>
      </c>
      <c r="F298" s="54" t="str" cm="1">
        <f t="array" ref="F298">IFERROR(_xlfn.LET(
_xlpm.CSVVal,_xlfn.XLOOKUP($A298,CSV!$A:$A,CSV!E:E,""),
_xlpm.MacVal,_xlfn.XLOOKUP($A298,Output_Mac!$A:$A,Output_Mac!F:F,""),
_xlpm.MyAuditVal,_xlfn.XLOOKUP($A298,My_Audit!$A:$A,My_Audit!E:E,""),
_xlfn.IFS(_xlpm.MyAuditVal&lt;&gt;"",_xlpm.MyAuditVal,_xlpm.MacVal&lt;&gt;"",_xlpm.MacVal,_xlpm.CSVVal&lt;&gt;"",PROPER(_xlpm.CSVVal)
)),"")</f>
        <v/>
      </c>
      <c r="G298" s="54" t="str" cm="1">
        <f t="array" ref="G298">IFERROR(_xlfn.LET(
_xlpm.CSVVal,_xlfn.XLOOKUP($A298,CSV!$A:$A,CSV!F:F,""),
_xlpm.MacVal,_xlfn.XLOOKUP($A298,Output_Mac!$A:$A,Output_Mac!H:H,""),
_xlpm.MyAuditVal,_xlfn.XLOOKUP($A298,My_Audit!$A:$A,My_Audit!F:F,""),
_xlfn.IFS(_xlpm.MyAuditVal&lt;&gt;"",_xlpm.MyAuditVal,_xlpm.MacVal&lt;&gt;"",_xlpm.MacVal,_xlpm.CSVVal&lt;&gt;"",_xlpm.CSVVal
)),"")</f>
        <v/>
      </c>
      <c r="H298" s="54" t="str">
        <f>_xlfn.XLOOKUP(A298,Output_Mac!A:A,Output_Mac!I:I,"")</f>
        <v/>
      </c>
      <c r="I298" s="54" t="str" cm="1">
        <f t="array" ref="I298">IFERROR(_xlfn.LET(
_xlpm.CSVVal,_xlfn.XLOOKUP($A298,CSV!$A:$A,CSV!G:G,""),
_xlpm.MacVal,_xlfn.XLOOKUP($A298,Output_Mac!$A:$A,Output_Mac!J:J,""),
_xlpm.MyAuditVal,_xlfn.XLOOKUP($A298,My_Audit!$A:$A,My_Audit!H:H,""),
_xlfn.IFS(_xlpm.MyAuditVal&lt;&gt;"",UPPER(_xlpm.MyAuditVal),_xlpm.MacVal&lt;&gt;"",_xlpm.MacVal,_xlpm.CSVVal&lt;&gt;"",_xlpm.CSVVal
)),"")</f>
        <v/>
      </c>
      <c r="J298" s="54" t="str" cm="1">
        <f t="array" ref="J298">IFERROR(_xlfn.LET(
_xlpm.CSVVal,_xlfn.XLOOKUP($A298,CSV!$A:$A,CSV!I:I,""),
_xlpm.MacVal,_xlfn.XLOOKUP($A298,Output_Mac!$A:$A,Output_Mac!K:K,""),
_xlpm.MyAuditVal,_xlfn.XLOOKUP($A298,My_Audit!$A:$A,My_Audit!I:I,""),
_xlfn.IFS(_xlpm.MyAuditVal&lt;&gt;"",UPPER(_xlpm.MyAuditVal),_xlpm.MacVal&lt;&gt;"",_xlpm.MacVal,_xlpm.CSVVal&lt;&gt;"",_xlpm.CSVVal
)),"")</f>
        <v/>
      </c>
      <c r="K298" s="54" t="str" cm="1">
        <f t="array" ref="K298">IFERROR(_xlfn.LET(
_xlpm.CSVVal,_xlfn.XLOOKUP($A298,CSV!$A:$A,CSV!M:M,""),
_xlpm.MacVal,_xlfn.XLOOKUP($A298,Output_Mac!$A:$A,Output_Mac!L:L,""),
_xlpm.MyAuditVal,_xlfn.XLOOKUP($A298,My_Audit!$A:$A,My_Audit!J:J,""),
_xlfn.IFS(_xlpm.MyAuditVal&lt;&gt;"",UPPER(_xlpm.MyAuditVal),_xlpm.MacVal&lt;&gt;"",_xlpm.MacVal,_xlpm.CSVVal&lt;&gt;"",_xlpm.CSVVal
)),"")</f>
        <v/>
      </c>
      <c r="L298" s="55" t="str" cm="1">
        <f t="array" ref="L298">IFERROR(_xlfn.LET(
_xlpm.CSVVal,_xlfn.XLOOKUP($A298,CSV!$A:$A,CSV!P:P,""),
_xlpm.MacVal,_xlfn.XLOOKUP($A298,Output_Mac!$A:$A,Output_Mac!M:M,""),
_xlpm.MyAuditVal,_xlfn.XLOOKUP($A298,My_Audit!$A:$A,My_Audit!K:K,""),
_xlfn.IFS(_xlpm.MyAuditVal&lt;&gt;"",UPPER(_xlpm.MyAuditVal),_xlpm.MacVal&lt;&gt;"",_xlpm.MacVal,_xlpm.CSVVal&lt;&gt;"",_xlpm.CSVVal
)),"")</f>
        <v/>
      </c>
      <c r="M298" s="54" t="str">
        <f>_xlfn.LET(
    _xlpm.CSVVal, _xlfn.XLOOKUP($A298, CSV!$A:$A, CSV!AD:AD, ""),
    _xlpm.MacVal, _xlfn.XLOOKUP($A298, Output_Mac!$A:$A, Output_Mac!S:S, ""),
    _xlpm.MyAuditVal, _xlfn.XLOOKUP($A298, My_Audit!$A:$A, My_Audit!N:N, ""),
    _xlfn.TEXTJOIN(", ", TRUE, _xlpm.MyAuditVal, _xlpm.MacVal, _xlpm.CSVVal)
)</f>
        <v/>
      </c>
      <c r="N298" s="54" t="str" cm="1">
        <f t="array" ref="N298">IFERROR(_xlfn.LET(
_xlpm.CSVVal,_xlfn.XLOOKUP($A298,CSV!$A:$A,CSV!AF:AF,""),
_xlpm.MacVal,_xlfn.XLOOKUP($A298,Output_Mac!$A:$A,Output_Mac!U:U,""),
_xlpm.MyAuditVal,_xlfn.XLOOKUP($A298,My_Audit!$A:$A,My_Audit!O:O,""),
_xlfn.IFS(_xlpm.MyAuditVal&lt;&gt;"",UPPER(_xlpm.MyAuditVal),_xlpm.MacVal&lt;&gt;"",_xlpm.MacVal,_xlpm.CSVVal&lt;&gt;"",_xlpm.CSVVal
)),"")</f>
        <v/>
      </c>
      <c r="O298" s="54"/>
      <c r="P298" s="54"/>
      <c r="Q298" s="54"/>
      <c r="R298" s="54"/>
      <c r="S298" s="54"/>
      <c r="T298" s="54"/>
      <c r="U298" s="39"/>
    </row>
    <row r="299" spans="1:21">
      <c r="A299" s="54" t="str">
        <f>_xlfn.TEXTJOIN("",TRUE,Input!$B$2,ROW(My_Audit!A298))</f>
        <v>XX298</v>
      </c>
      <c r="B299" s="54" t="str">
        <f>_xlfn.TEXTJOIN("-",TRUE,"ITD",Input!$A$2,A299)</f>
        <v>ITD-SHRXXX-XX298</v>
      </c>
      <c r="C299" s="54" t="str" cm="1">
        <f t="array" ref="C299">IFERROR(_xlfn.LET(
_xlpm.CSVVal,_xlfn.XLOOKUP($A299,CSV!$A:$A,CSV!B:B,""),
_xlpm.MacVal,_xlfn.XLOOKUP($A299,Output_Mac!$A:$A,Output_Mac!B:B,""),
_xlpm.MyAuditVal,_xlfn.XLOOKUP($A299,My_Audit!$A:$A,My_Audit!B:B,""),
_xlfn.IFS(_xlpm.MyAuditVal&lt;&gt;"",UPPER(_xlpm.MyAuditVal),_xlpm.MacVal&lt;&gt;"",_xlpm.MacVal,_xlpm.CSVVal&lt;&gt;"",_xlpm.CSVVal
)),"")</f>
        <v/>
      </c>
      <c r="D299" s="55" t="str">
        <f>_xlfn.XLOOKUP(A299,My_Audit!A:A,My_Audit!D:D,"")&amp;""</f>
        <v/>
      </c>
      <c r="E299" s="55" t="str" cm="1">
        <f t="array" ref="E299">IFERROR(_xlfn.LET(
_xlpm.CSVVal,_xlfn.XLOOKUP($A299,CSV!$A:$A,CSV!D:D,""),
_xlpm.MacVal,_xlfn.XLOOKUP($A299,Output_Mac!$A:$A,Output_Mac!C:C,""),
_xlpm.MyAuditVal,_xlfn.XLOOKUP($A299,My_Audit!$A:$A,My_Audit!D:D,""),
_xlfn.IFS(_xlpm.MyAuditVal&lt;&gt;"",_xlpm.MyAuditVal,_xlpm.MacVal&lt;&gt;"",_xlpm.MacVal,_xlpm.CSVVal&lt;&gt;"",_xlpm.CSVVal
)),"")</f>
        <v/>
      </c>
      <c r="F299" s="54" t="str" cm="1">
        <f t="array" ref="F299">IFERROR(_xlfn.LET(
_xlpm.CSVVal,_xlfn.XLOOKUP($A299,CSV!$A:$A,CSV!E:E,""),
_xlpm.MacVal,_xlfn.XLOOKUP($A299,Output_Mac!$A:$A,Output_Mac!F:F,""),
_xlpm.MyAuditVal,_xlfn.XLOOKUP($A299,My_Audit!$A:$A,My_Audit!E:E,""),
_xlfn.IFS(_xlpm.MyAuditVal&lt;&gt;"",_xlpm.MyAuditVal,_xlpm.MacVal&lt;&gt;"",_xlpm.MacVal,_xlpm.CSVVal&lt;&gt;"",PROPER(_xlpm.CSVVal)
)),"")</f>
        <v/>
      </c>
      <c r="G299" s="54" t="str" cm="1">
        <f t="array" ref="G299">IFERROR(_xlfn.LET(
_xlpm.CSVVal,_xlfn.XLOOKUP($A299,CSV!$A:$A,CSV!F:F,""),
_xlpm.MacVal,_xlfn.XLOOKUP($A299,Output_Mac!$A:$A,Output_Mac!H:H,""),
_xlpm.MyAuditVal,_xlfn.XLOOKUP($A299,My_Audit!$A:$A,My_Audit!F:F,""),
_xlfn.IFS(_xlpm.MyAuditVal&lt;&gt;"",_xlpm.MyAuditVal,_xlpm.MacVal&lt;&gt;"",_xlpm.MacVal,_xlpm.CSVVal&lt;&gt;"",_xlpm.CSVVal
)),"")</f>
        <v/>
      </c>
      <c r="H299" s="54" t="str">
        <f>_xlfn.XLOOKUP(A299,Output_Mac!A:A,Output_Mac!I:I,"")</f>
        <v/>
      </c>
      <c r="I299" s="54" t="str" cm="1">
        <f t="array" ref="I299">IFERROR(_xlfn.LET(
_xlpm.CSVVal,_xlfn.XLOOKUP($A299,CSV!$A:$A,CSV!G:G,""),
_xlpm.MacVal,_xlfn.XLOOKUP($A299,Output_Mac!$A:$A,Output_Mac!J:J,""),
_xlpm.MyAuditVal,_xlfn.XLOOKUP($A299,My_Audit!$A:$A,My_Audit!H:H,""),
_xlfn.IFS(_xlpm.MyAuditVal&lt;&gt;"",UPPER(_xlpm.MyAuditVal),_xlpm.MacVal&lt;&gt;"",_xlpm.MacVal,_xlpm.CSVVal&lt;&gt;"",_xlpm.CSVVal
)),"")</f>
        <v/>
      </c>
      <c r="J299" s="54" t="str" cm="1">
        <f t="array" ref="J299">IFERROR(_xlfn.LET(
_xlpm.CSVVal,_xlfn.XLOOKUP($A299,CSV!$A:$A,CSV!I:I,""),
_xlpm.MacVal,_xlfn.XLOOKUP($A299,Output_Mac!$A:$A,Output_Mac!K:K,""),
_xlpm.MyAuditVal,_xlfn.XLOOKUP($A299,My_Audit!$A:$A,My_Audit!I:I,""),
_xlfn.IFS(_xlpm.MyAuditVal&lt;&gt;"",UPPER(_xlpm.MyAuditVal),_xlpm.MacVal&lt;&gt;"",_xlpm.MacVal,_xlpm.CSVVal&lt;&gt;"",_xlpm.CSVVal
)),"")</f>
        <v/>
      </c>
      <c r="K299" s="54" t="str" cm="1">
        <f t="array" ref="K299">IFERROR(_xlfn.LET(
_xlpm.CSVVal,_xlfn.XLOOKUP($A299,CSV!$A:$A,CSV!M:M,""),
_xlpm.MacVal,_xlfn.XLOOKUP($A299,Output_Mac!$A:$A,Output_Mac!L:L,""),
_xlpm.MyAuditVal,_xlfn.XLOOKUP($A299,My_Audit!$A:$A,My_Audit!J:J,""),
_xlfn.IFS(_xlpm.MyAuditVal&lt;&gt;"",UPPER(_xlpm.MyAuditVal),_xlpm.MacVal&lt;&gt;"",_xlpm.MacVal,_xlpm.CSVVal&lt;&gt;"",_xlpm.CSVVal
)),"")</f>
        <v/>
      </c>
      <c r="L299" s="55" t="str" cm="1">
        <f t="array" ref="L299">IFERROR(_xlfn.LET(
_xlpm.CSVVal,_xlfn.XLOOKUP($A299,CSV!$A:$A,CSV!P:P,""),
_xlpm.MacVal,_xlfn.XLOOKUP($A299,Output_Mac!$A:$A,Output_Mac!M:M,""),
_xlpm.MyAuditVal,_xlfn.XLOOKUP($A299,My_Audit!$A:$A,My_Audit!K:K,""),
_xlfn.IFS(_xlpm.MyAuditVal&lt;&gt;"",UPPER(_xlpm.MyAuditVal),_xlpm.MacVal&lt;&gt;"",_xlpm.MacVal,_xlpm.CSVVal&lt;&gt;"",_xlpm.CSVVal
)),"")</f>
        <v/>
      </c>
      <c r="M299" s="54" t="str">
        <f>_xlfn.LET(
    _xlpm.CSVVal, _xlfn.XLOOKUP($A299, CSV!$A:$A, CSV!AD:AD, ""),
    _xlpm.MacVal, _xlfn.XLOOKUP($A299, Output_Mac!$A:$A, Output_Mac!S:S, ""),
    _xlpm.MyAuditVal, _xlfn.XLOOKUP($A299, My_Audit!$A:$A, My_Audit!N:N, ""),
    _xlfn.TEXTJOIN(", ", TRUE, _xlpm.MyAuditVal, _xlpm.MacVal, _xlpm.CSVVal)
)</f>
        <v/>
      </c>
      <c r="N299" s="54" t="str" cm="1">
        <f t="array" ref="N299">IFERROR(_xlfn.LET(
_xlpm.CSVVal,_xlfn.XLOOKUP($A299,CSV!$A:$A,CSV!AF:AF,""),
_xlpm.MacVal,_xlfn.XLOOKUP($A299,Output_Mac!$A:$A,Output_Mac!U:U,""),
_xlpm.MyAuditVal,_xlfn.XLOOKUP($A299,My_Audit!$A:$A,My_Audit!O:O,""),
_xlfn.IFS(_xlpm.MyAuditVal&lt;&gt;"",UPPER(_xlpm.MyAuditVal),_xlpm.MacVal&lt;&gt;"",_xlpm.MacVal,_xlpm.CSVVal&lt;&gt;"",_xlpm.CSVVal
)),"")</f>
        <v/>
      </c>
      <c r="O299" s="54"/>
      <c r="P299" s="54"/>
      <c r="Q299" s="54"/>
      <c r="R299" s="54"/>
      <c r="S299" s="54"/>
      <c r="T299" s="54"/>
      <c r="U299" s="39"/>
    </row>
    <row r="300" spans="1:21">
      <c r="A300" s="54" t="str">
        <f>_xlfn.TEXTJOIN("",TRUE,Input!$B$2,ROW(My_Audit!A299))</f>
        <v>XX299</v>
      </c>
      <c r="B300" s="54" t="str">
        <f>_xlfn.TEXTJOIN("-",TRUE,"ITD",Input!$A$2,A300)</f>
        <v>ITD-SHRXXX-XX299</v>
      </c>
      <c r="C300" s="54" t="str" cm="1">
        <f t="array" ref="C300">IFERROR(_xlfn.LET(
_xlpm.CSVVal,_xlfn.XLOOKUP($A300,CSV!$A:$A,CSV!B:B,""),
_xlpm.MacVal,_xlfn.XLOOKUP($A300,Output_Mac!$A:$A,Output_Mac!B:B,""),
_xlpm.MyAuditVal,_xlfn.XLOOKUP($A300,My_Audit!$A:$A,My_Audit!B:B,""),
_xlfn.IFS(_xlpm.MyAuditVal&lt;&gt;"",UPPER(_xlpm.MyAuditVal),_xlpm.MacVal&lt;&gt;"",_xlpm.MacVal,_xlpm.CSVVal&lt;&gt;"",_xlpm.CSVVal
)),"")</f>
        <v/>
      </c>
      <c r="D300" s="55" t="str">
        <f>_xlfn.XLOOKUP(A300,My_Audit!A:A,My_Audit!D:D,"")&amp;""</f>
        <v/>
      </c>
      <c r="E300" s="55" t="str" cm="1">
        <f t="array" ref="E300">IFERROR(_xlfn.LET(
_xlpm.CSVVal,_xlfn.XLOOKUP($A300,CSV!$A:$A,CSV!D:D,""),
_xlpm.MacVal,_xlfn.XLOOKUP($A300,Output_Mac!$A:$A,Output_Mac!C:C,""),
_xlpm.MyAuditVal,_xlfn.XLOOKUP($A300,My_Audit!$A:$A,My_Audit!D:D,""),
_xlfn.IFS(_xlpm.MyAuditVal&lt;&gt;"",_xlpm.MyAuditVal,_xlpm.MacVal&lt;&gt;"",_xlpm.MacVal,_xlpm.CSVVal&lt;&gt;"",_xlpm.CSVVal
)),"")</f>
        <v/>
      </c>
      <c r="F300" s="54" t="str" cm="1">
        <f t="array" ref="F300">IFERROR(_xlfn.LET(
_xlpm.CSVVal,_xlfn.XLOOKUP($A300,CSV!$A:$A,CSV!E:E,""),
_xlpm.MacVal,_xlfn.XLOOKUP($A300,Output_Mac!$A:$A,Output_Mac!F:F,""),
_xlpm.MyAuditVal,_xlfn.XLOOKUP($A300,My_Audit!$A:$A,My_Audit!E:E,""),
_xlfn.IFS(_xlpm.MyAuditVal&lt;&gt;"",_xlpm.MyAuditVal,_xlpm.MacVal&lt;&gt;"",_xlpm.MacVal,_xlpm.CSVVal&lt;&gt;"",PROPER(_xlpm.CSVVal)
)),"")</f>
        <v/>
      </c>
      <c r="G300" s="54" t="str" cm="1">
        <f t="array" ref="G300">IFERROR(_xlfn.LET(
_xlpm.CSVVal,_xlfn.XLOOKUP($A300,CSV!$A:$A,CSV!F:F,""),
_xlpm.MacVal,_xlfn.XLOOKUP($A300,Output_Mac!$A:$A,Output_Mac!H:H,""),
_xlpm.MyAuditVal,_xlfn.XLOOKUP($A300,My_Audit!$A:$A,My_Audit!F:F,""),
_xlfn.IFS(_xlpm.MyAuditVal&lt;&gt;"",_xlpm.MyAuditVal,_xlpm.MacVal&lt;&gt;"",_xlpm.MacVal,_xlpm.CSVVal&lt;&gt;"",_xlpm.CSVVal
)),"")</f>
        <v/>
      </c>
      <c r="H300" s="54" t="str">
        <f>_xlfn.XLOOKUP(A300,Output_Mac!A:A,Output_Mac!I:I,"")</f>
        <v/>
      </c>
      <c r="I300" s="54" t="str" cm="1">
        <f t="array" ref="I300">IFERROR(_xlfn.LET(
_xlpm.CSVVal,_xlfn.XLOOKUP($A300,CSV!$A:$A,CSV!G:G,""),
_xlpm.MacVal,_xlfn.XLOOKUP($A300,Output_Mac!$A:$A,Output_Mac!J:J,""),
_xlpm.MyAuditVal,_xlfn.XLOOKUP($A300,My_Audit!$A:$A,My_Audit!H:H,""),
_xlfn.IFS(_xlpm.MyAuditVal&lt;&gt;"",UPPER(_xlpm.MyAuditVal),_xlpm.MacVal&lt;&gt;"",_xlpm.MacVal,_xlpm.CSVVal&lt;&gt;"",_xlpm.CSVVal
)),"")</f>
        <v/>
      </c>
      <c r="J300" s="54" t="str" cm="1">
        <f t="array" ref="J300">IFERROR(_xlfn.LET(
_xlpm.CSVVal,_xlfn.XLOOKUP($A300,CSV!$A:$A,CSV!I:I,""),
_xlpm.MacVal,_xlfn.XLOOKUP($A300,Output_Mac!$A:$A,Output_Mac!K:K,""),
_xlpm.MyAuditVal,_xlfn.XLOOKUP($A300,My_Audit!$A:$A,My_Audit!I:I,""),
_xlfn.IFS(_xlpm.MyAuditVal&lt;&gt;"",UPPER(_xlpm.MyAuditVal),_xlpm.MacVal&lt;&gt;"",_xlpm.MacVal,_xlpm.CSVVal&lt;&gt;"",_xlpm.CSVVal
)),"")</f>
        <v/>
      </c>
      <c r="K300" s="54" t="str" cm="1">
        <f t="array" ref="K300">IFERROR(_xlfn.LET(
_xlpm.CSVVal,_xlfn.XLOOKUP($A300,CSV!$A:$A,CSV!M:M,""),
_xlpm.MacVal,_xlfn.XLOOKUP($A300,Output_Mac!$A:$A,Output_Mac!L:L,""),
_xlpm.MyAuditVal,_xlfn.XLOOKUP($A300,My_Audit!$A:$A,My_Audit!J:J,""),
_xlfn.IFS(_xlpm.MyAuditVal&lt;&gt;"",UPPER(_xlpm.MyAuditVal),_xlpm.MacVal&lt;&gt;"",_xlpm.MacVal,_xlpm.CSVVal&lt;&gt;"",_xlpm.CSVVal
)),"")</f>
        <v/>
      </c>
      <c r="L300" s="55" t="str" cm="1">
        <f t="array" ref="L300">IFERROR(_xlfn.LET(
_xlpm.CSVVal,_xlfn.XLOOKUP($A300,CSV!$A:$A,CSV!P:P,""),
_xlpm.MacVal,_xlfn.XLOOKUP($A300,Output_Mac!$A:$A,Output_Mac!M:M,""),
_xlpm.MyAuditVal,_xlfn.XLOOKUP($A300,My_Audit!$A:$A,My_Audit!K:K,""),
_xlfn.IFS(_xlpm.MyAuditVal&lt;&gt;"",UPPER(_xlpm.MyAuditVal),_xlpm.MacVal&lt;&gt;"",_xlpm.MacVal,_xlpm.CSVVal&lt;&gt;"",_xlpm.CSVVal
)),"")</f>
        <v/>
      </c>
      <c r="M300" s="54" t="str">
        <f>_xlfn.LET(
    _xlpm.CSVVal, _xlfn.XLOOKUP($A300, CSV!$A:$A, CSV!AD:AD, ""),
    _xlpm.MacVal, _xlfn.XLOOKUP($A300, Output_Mac!$A:$A, Output_Mac!S:S, ""),
    _xlpm.MyAuditVal, _xlfn.XLOOKUP($A300, My_Audit!$A:$A, My_Audit!N:N, ""),
    _xlfn.TEXTJOIN(", ", TRUE, _xlpm.MyAuditVal, _xlpm.MacVal, _xlpm.CSVVal)
)</f>
        <v/>
      </c>
      <c r="N300" s="54" t="str" cm="1">
        <f t="array" ref="N300">IFERROR(_xlfn.LET(
_xlpm.CSVVal,_xlfn.XLOOKUP($A300,CSV!$A:$A,CSV!AF:AF,""),
_xlpm.MacVal,_xlfn.XLOOKUP($A300,Output_Mac!$A:$A,Output_Mac!U:U,""),
_xlpm.MyAuditVal,_xlfn.XLOOKUP($A300,My_Audit!$A:$A,My_Audit!O:O,""),
_xlfn.IFS(_xlpm.MyAuditVal&lt;&gt;"",UPPER(_xlpm.MyAuditVal),_xlpm.MacVal&lt;&gt;"",_xlpm.MacVal,_xlpm.CSVVal&lt;&gt;"",_xlpm.CSVVal
)),"")</f>
        <v/>
      </c>
      <c r="O300" s="54"/>
      <c r="P300" s="54"/>
      <c r="Q300" s="54"/>
      <c r="R300" s="54"/>
      <c r="S300" s="54"/>
      <c r="T300" s="54"/>
      <c r="U300" s="39"/>
    </row>
    <row r="301" spans="1:21">
      <c r="A301" s="54" t="str">
        <f>_xlfn.TEXTJOIN("",TRUE,Input!$B$2,ROW(My_Audit!A300))</f>
        <v>XX300</v>
      </c>
      <c r="B301" s="54" t="str">
        <f>_xlfn.TEXTJOIN("-",TRUE,"ITD",Input!$A$2,A301)</f>
        <v>ITD-SHRXXX-XX300</v>
      </c>
      <c r="C301" s="54" t="str" cm="1">
        <f t="array" ref="C301">IFERROR(_xlfn.LET(
_xlpm.CSVVal,_xlfn.XLOOKUP($A301,CSV!$A:$A,CSV!B:B,""),
_xlpm.MacVal,_xlfn.XLOOKUP($A301,Output_Mac!$A:$A,Output_Mac!B:B,""),
_xlpm.MyAuditVal,_xlfn.XLOOKUP($A301,My_Audit!$A:$A,My_Audit!B:B,""),
_xlfn.IFS(_xlpm.MyAuditVal&lt;&gt;"",UPPER(_xlpm.MyAuditVal),_xlpm.MacVal&lt;&gt;"",_xlpm.MacVal,_xlpm.CSVVal&lt;&gt;"",_xlpm.CSVVal
)),"")</f>
        <v/>
      </c>
      <c r="D301" s="55" t="str">
        <f>_xlfn.XLOOKUP(A301,My_Audit!A:A,My_Audit!D:D,"")&amp;""</f>
        <v/>
      </c>
      <c r="E301" s="55" t="str" cm="1">
        <f t="array" ref="E301">IFERROR(_xlfn.LET(
_xlpm.CSVVal,_xlfn.XLOOKUP($A301,CSV!$A:$A,CSV!D:D,""),
_xlpm.MacVal,_xlfn.XLOOKUP($A301,Output_Mac!$A:$A,Output_Mac!C:C,""),
_xlpm.MyAuditVal,_xlfn.XLOOKUP($A301,My_Audit!$A:$A,My_Audit!D:D,""),
_xlfn.IFS(_xlpm.MyAuditVal&lt;&gt;"",_xlpm.MyAuditVal,_xlpm.MacVal&lt;&gt;"",_xlpm.MacVal,_xlpm.CSVVal&lt;&gt;"",_xlpm.CSVVal
)),"")</f>
        <v/>
      </c>
      <c r="F301" s="54" t="str" cm="1">
        <f t="array" ref="F301">IFERROR(_xlfn.LET(
_xlpm.CSVVal,_xlfn.XLOOKUP($A301,CSV!$A:$A,CSV!E:E,""),
_xlpm.MacVal,_xlfn.XLOOKUP($A301,Output_Mac!$A:$A,Output_Mac!F:F,""),
_xlpm.MyAuditVal,_xlfn.XLOOKUP($A301,My_Audit!$A:$A,My_Audit!E:E,""),
_xlfn.IFS(_xlpm.MyAuditVal&lt;&gt;"",_xlpm.MyAuditVal,_xlpm.MacVal&lt;&gt;"",_xlpm.MacVal,_xlpm.CSVVal&lt;&gt;"",PROPER(_xlpm.CSVVal)
)),"")</f>
        <v/>
      </c>
      <c r="G301" s="54" t="str" cm="1">
        <f t="array" ref="G301">IFERROR(_xlfn.LET(
_xlpm.CSVVal,_xlfn.XLOOKUP($A301,CSV!$A:$A,CSV!F:F,""),
_xlpm.MacVal,_xlfn.XLOOKUP($A301,Output_Mac!$A:$A,Output_Mac!H:H,""),
_xlpm.MyAuditVal,_xlfn.XLOOKUP($A301,My_Audit!$A:$A,My_Audit!F:F,""),
_xlfn.IFS(_xlpm.MyAuditVal&lt;&gt;"",_xlpm.MyAuditVal,_xlpm.MacVal&lt;&gt;"",_xlpm.MacVal,_xlpm.CSVVal&lt;&gt;"",_xlpm.CSVVal
)),"")</f>
        <v/>
      </c>
      <c r="H301" s="54" t="str">
        <f>_xlfn.XLOOKUP(A301,Output_Mac!A:A,Output_Mac!I:I,"")</f>
        <v/>
      </c>
      <c r="I301" s="54" t="str" cm="1">
        <f t="array" ref="I301">IFERROR(_xlfn.LET(
_xlpm.CSVVal,_xlfn.XLOOKUP($A301,CSV!$A:$A,CSV!G:G,""),
_xlpm.MacVal,_xlfn.XLOOKUP($A301,Output_Mac!$A:$A,Output_Mac!J:J,""),
_xlpm.MyAuditVal,_xlfn.XLOOKUP($A301,My_Audit!$A:$A,My_Audit!H:H,""),
_xlfn.IFS(_xlpm.MyAuditVal&lt;&gt;"",UPPER(_xlpm.MyAuditVal),_xlpm.MacVal&lt;&gt;"",_xlpm.MacVal,_xlpm.CSVVal&lt;&gt;"",_xlpm.CSVVal
)),"")</f>
        <v/>
      </c>
      <c r="J301" s="54" t="str" cm="1">
        <f t="array" ref="J301">IFERROR(_xlfn.LET(
_xlpm.CSVVal,_xlfn.XLOOKUP($A301,CSV!$A:$A,CSV!I:I,""),
_xlpm.MacVal,_xlfn.XLOOKUP($A301,Output_Mac!$A:$A,Output_Mac!K:K,""),
_xlpm.MyAuditVal,_xlfn.XLOOKUP($A301,My_Audit!$A:$A,My_Audit!I:I,""),
_xlfn.IFS(_xlpm.MyAuditVal&lt;&gt;"",UPPER(_xlpm.MyAuditVal),_xlpm.MacVal&lt;&gt;"",_xlpm.MacVal,_xlpm.CSVVal&lt;&gt;"",_xlpm.CSVVal
)),"")</f>
        <v/>
      </c>
      <c r="K301" s="54" t="str" cm="1">
        <f t="array" ref="K301">IFERROR(_xlfn.LET(
_xlpm.CSVVal,_xlfn.XLOOKUP($A301,CSV!$A:$A,CSV!M:M,""),
_xlpm.MacVal,_xlfn.XLOOKUP($A301,Output_Mac!$A:$A,Output_Mac!L:L,""),
_xlpm.MyAuditVal,_xlfn.XLOOKUP($A301,My_Audit!$A:$A,My_Audit!J:J,""),
_xlfn.IFS(_xlpm.MyAuditVal&lt;&gt;"",UPPER(_xlpm.MyAuditVal),_xlpm.MacVal&lt;&gt;"",_xlpm.MacVal,_xlpm.CSVVal&lt;&gt;"",_xlpm.CSVVal
)),"")</f>
        <v/>
      </c>
      <c r="L301" s="55" t="str" cm="1">
        <f t="array" ref="L301">IFERROR(_xlfn.LET(
_xlpm.CSVVal,_xlfn.XLOOKUP($A301,CSV!$A:$A,CSV!P:P,""),
_xlpm.MacVal,_xlfn.XLOOKUP($A301,Output_Mac!$A:$A,Output_Mac!M:M,""),
_xlpm.MyAuditVal,_xlfn.XLOOKUP($A301,My_Audit!$A:$A,My_Audit!K:K,""),
_xlfn.IFS(_xlpm.MyAuditVal&lt;&gt;"",UPPER(_xlpm.MyAuditVal),_xlpm.MacVal&lt;&gt;"",_xlpm.MacVal,_xlpm.CSVVal&lt;&gt;"",_xlpm.CSVVal
)),"")</f>
        <v/>
      </c>
      <c r="M301" s="54" t="str">
        <f>_xlfn.LET(
    _xlpm.CSVVal, _xlfn.XLOOKUP($A301, CSV!$A:$A, CSV!AD:AD, ""),
    _xlpm.MacVal, _xlfn.XLOOKUP($A301, Output_Mac!$A:$A, Output_Mac!S:S, ""),
    _xlpm.MyAuditVal, _xlfn.XLOOKUP($A301, My_Audit!$A:$A, My_Audit!N:N, ""),
    _xlfn.TEXTJOIN(", ", TRUE, _xlpm.MyAuditVal, _xlpm.MacVal, _xlpm.CSVVal)
)</f>
        <v/>
      </c>
      <c r="N301" s="54" t="str" cm="1">
        <f t="array" ref="N301">IFERROR(_xlfn.LET(
_xlpm.CSVVal,_xlfn.XLOOKUP($A301,CSV!$A:$A,CSV!AF:AF,""),
_xlpm.MacVal,_xlfn.XLOOKUP($A301,Output_Mac!$A:$A,Output_Mac!U:U,""),
_xlpm.MyAuditVal,_xlfn.XLOOKUP($A301,My_Audit!$A:$A,My_Audit!O:O,""),
_xlfn.IFS(_xlpm.MyAuditVal&lt;&gt;"",UPPER(_xlpm.MyAuditVal),_xlpm.MacVal&lt;&gt;"",_xlpm.MacVal,_xlpm.CSVVal&lt;&gt;"",_xlpm.CSVVal
)),"")</f>
        <v/>
      </c>
      <c r="O301" s="54"/>
      <c r="P301" s="54"/>
      <c r="Q301" s="54"/>
      <c r="R301" s="54"/>
      <c r="S301" s="54"/>
      <c r="T301" s="54"/>
      <c r="U301" s="39"/>
    </row>
    <row r="302" spans="1:21">
      <c r="A302" s="54" t="str">
        <f>_xlfn.TEXTJOIN("",TRUE,Input!$B$2,ROW(My_Audit!A301))</f>
        <v>XX301</v>
      </c>
      <c r="B302" s="54" t="str">
        <f>_xlfn.TEXTJOIN("-",TRUE,"ITD",Input!$A$2,A302)</f>
        <v>ITD-SHRXXX-XX301</v>
      </c>
      <c r="C302" s="54" t="str" cm="1">
        <f t="array" ref="C302">IFERROR(_xlfn.LET(
_xlpm.CSVVal,_xlfn.XLOOKUP($A302,CSV!$A:$A,CSV!B:B,""),
_xlpm.MacVal,_xlfn.XLOOKUP($A302,Output_Mac!$A:$A,Output_Mac!B:B,""),
_xlpm.MyAuditVal,_xlfn.XLOOKUP($A302,My_Audit!$A:$A,My_Audit!B:B,""),
_xlfn.IFS(_xlpm.MyAuditVal&lt;&gt;"",UPPER(_xlpm.MyAuditVal),_xlpm.MacVal&lt;&gt;"",_xlpm.MacVal,_xlpm.CSVVal&lt;&gt;"",_xlpm.CSVVal
)),"")</f>
        <v/>
      </c>
      <c r="D302" s="55" t="str">
        <f>_xlfn.XLOOKUP(A302,My_Audit!A:A,My_Audit!D:D,"")&amp;""</f>
        <v/>
      </c>
      <c r="E302" s="55" t="str" cm="1">
        <f t="array" ref="E302">IFERROR(_xlfn.LET(
_xlpm.CSVVal,_xlfn.XLOOKUP($A302,CSV!$A:$A,CSV!D:D,""),
_xlpm.MacVal,_xlfn.XLOOKUP($A302,Output_Mac!$A:$A,Output_Mac!C:C,""),
_xlpm.MyAuditVal,_xlfn.XLOOKUP($A302,My_Audit!$A:$A,My_Audit!D:D,""),
_xlfn.IFS(_xlpm.MyAuditVal&lt;&gt;"",_xlpm.MyAuditVal,_xlpm.MacVal&lt;&gt;"",_xlpm.MacVal,_xlpm.CSVVal&lt;&gt;"",_xlpm.CSVVal
)),"")</f>
        <v/>
      </c>
      <c r="F302" s="54" t="str" cm="1">
        <f t="array" ref="F302">IFERROR(_xlfn.LET(
_xlpm.CSVVal,_xlfn.XLOOKUP($A302,CSV!$A:$A,CSV!E:E,""),
_xlpm.MacVal,_xlfn.XLOOKUP($A302,Output_Mac!$A:$A,Output_Mac!F:F,""),
_xlpm.MyAuditVal,_xlfn.XLOOKUP($A302,My_Audit!$A:$A,My_Audit!E:E,""),
_xlfn.IFS(_xlpm.MyAuditVal&lt;&gt;"",_xlpm.MyAuditVal,_xlpm.MacVal&lt;&gt;"",_xlpm.MacVal,_xlpm.CSVVal&lt;&gt;"",PROPER(_xlpm.CSVVal)
)),"")</f>
        <v/>
      </c>
      <c r="G302" s="54" t="str" cm="1">
        <f t="array" ref="G302">IFERROR(_xlfn.LET(
_xlpm.CSVVal,_xlfn.XLOOKUP($A302,CSV!$A:$A,CSV!F:F,""),
_xlpm.MacVal,_xlfn.XLOOKUP($A302,Output_Mac!$A:$A,Output_Mac!H:H,""),
_xlpm.MyAuditVal,_xlfn.XLOOKUP($A302,My_Audit!$A:$A,My_Audit!F:F,""),
_xlfn.IFS(_xlpm.MyAuditVal&lt;&gt;"",_xlpm.MyAuditVal,_xlpm.MacVal&lt;&gt;"",_xlpm.MacVal,_xlpm.CSVVal&lt;&gt;"",_xlpm.CSVVal
)),"")</f>
        <v/>
      </c>
      <c r="H302" s="54" t="str">
        <f>_xlfn.XLOOKUP(A302,Output_Mac!A:A,Output_Mac!I:I,"")</f>
        <v/>
      </c>
      <c r="I302" s="54" t="str" cm="1">
        <f t="array" ref="I302">IFERROR(_xlfn.LET(
_xlpm.CSVVal,_xlfn.XLOOKUP($A302,CSV!$A:$A,CSV!G:G,""),
_xlpm.MacVal,_xlfn.XLOOKUP($A302,Output_Mac!$A:$A,Output_Mac!J:J,""),
_xlpm.MyAuditVal,_xlfn.XLOOKUP($A302,My_Audit!$A:$A,My_Audit!H:H,""),
_xlfn.IFS(_xlpm.MyAuditVal&lt;&gt;"",UPPER(_xlpm.MyAuditVal),_xlpm.MacVal&lt;&gt;"",_xlpm.MacVal,_xlpm.CSVVal&lt;&gt;"",_xlpm.CSVVal
)),"")</f>
        <v/>
      </c>
      <c r="J302" s="54" t="str" cm="1">
        <f t="array" ref="J302">IFERROR(_xlfn.LET(
_xlpm.CSVVal,_xlfn.XLOOKUP($A302,CSV!$A:$A,CSV!I:I,""),
_xlpm.MacVal,_xlfn.XLOOKUP($A302,Output_Mac!$A:$A,Output_Mac!K:K,""),
_xlpm.MyAuditVal,_xlfn.XLOOKUP($A302,My_Audit!$A:$A,My_Audit!I:I,""),
_xlfn.IFS(_xlpm.MyAuditVal&lt;&gt;"",UPPER(_xlpm.MyAuditVal),_xlpm.MacVal&lt;&gt;"",_xlpm.MacVal,_xlpm.CSVVal&lt;&gt;"",_xlpm.CSVVal
)),"")</f>
        <v/>
      </c>
      <c r="K302" s="54" t="str" cm="1">
        <f t="array" ref="K302">IFERROR(_xlfn.LET(
_xlpm.CSVVal,_xlfn.XLOOKUP($A302,CSV!$A:$A,CSV!M:M,""),
_xlpm.MacVal,_xlfn.XLOOKUP($A302,Output_Mac!$A:$A,Output_Mac!L:L,""),
_xlpm.MyAuditVal,_xlfn.XLOOKUP($A302,My_Audit!$A:$A,My_Audit!J:J,""),
_xlfn.IFS(_xlpm.MyAuditVal&lt;&gt;"",UPPER(_xlpm.MyAuditVal),_xlpm.MacVal&lt;&gt;"",_xlpm.MacVal,_xlpm.CSVVal&lt;&gt;"",_xlpm.CSVVal
)),"")</f>
        <v/>
      </c>
      <c r="L302" s="55" t="str" cm="1">
        <f t="array" ref="L302">IFERROR(_xlfn.LET(
_xlpm.CSVVal,_xlfn.XLOOKUP($A302,CSV!$A:$A,CSV!P:P,""),
_xlpm.MacVal,_xlfn.XLOOKUP($A302,Output_Mac!$A:$A,Output_Mac!M:M,""),
_xlpm.MyAuditVal,_xlfn.XLOOKUP($A302,My_Audit!$A:$A,My_Audit!K:K,""),
_xlfn.IFS(_xlpm.MyAuditVal&lt;&gt;"",UPPER(_xlpm.MyAuditVal),_xlpm.MacVal&lt;&gt;"",_xlpm.MacVal,_xlpm.CSVVal&lt;&gt;"",_xlpm.CSVVal
)),"")</f>
        <v/>
      </c>
      <c r="M302" s="54" t="str">
        <f>_xlfn.LET(
    _xlpm.CSVVal, _xlfn.XLOOKUP($A302, CSV!$A:$A, CSV!AD:AD, ""),
    _xlpm.MacVal, _xlfn.XLOOKUP($A302, Output_Mac!$A:$A, Output_Mac!S:S, ""),
    _xlpm.MyAuditVal, _xlfn.XLOOKUP($A302, My_Audit!$A:$A, My_Audit!N:N, ""),
    _xlfn.TEXTJOIN(", ", TRUE, _xlpm.MyAuditVal, _xlpm.MacVal, _xlpm.CSVVal)
)</f>
        <v/>
      </c>
      <c r="N302" s="54" t="str" cm="1">
        <f t="array" ref="N302">IFERROR(_xlfn.LET(
_xlpm.CSVVal,_xlfn.XLOOKUP($A302,CSV!$A:$A,CSV!AF:AF,""),
_xlpm.MacVal,_xlfn.XLOOKUP($A302,Output_Mac!$A:$A,Output_Mac!U:U,""),
_xlpm.MyAuditVal,_xlfn.XLOOKUP($A302,My_Audit!$A:$A,My_Audit!O:O,""),
_xlfn.IFS(_xlpm.MyAuditVal&lt;&gt;"",UPPER(_xlpm.MyAuditVal),_xlpm.MacVal&lt;&gt;"",_xlpm.MacVal,_xlpm.CSVVal&lt;&gt;"",_xlpm.CSVVal
)),"")</f>
        <v/>
      </c>
      <c r="O302" s="54"/>
      <c r="P302" s="54"/>
      <c r="Q302" s="54"/>
      <c r="R302" s="54"/>
      <c r="S302" s="54"/>
      <c r="T302" s="54"/>
      <c r="U302" s="39"/>
    </row>
    <row r="303" spans="1:21">
      <c r="A303" s="54" t="str">
        <f>_xlfn.TEXTJOIN("",TRUE,Input!$B$2,ROW(My_Audit!A302))</f>
        <v>XX302</v>
      </c>
      <c r="B303" s="54" t="str">
        <f>_xlfn.TEXTJOIN("-",TRUE,"ITD",Input!$A$2,A303)</f>
        <v>ITD-SHRXXX-XX302</v>
      </c>
      <c r="C303" s="54" t="str" cm="1">
        <f t="array" ref="C303">IFERROR(_xlfn.LET(
_xlpm.CSVVal,_xlfn.XLOOKUP($A303,CSV!$A:$A,CSV!B:B,""),
_xlpm.MacVal,_xlfn.XLOOKUP($A303,Output_Mac!$A:$A,Output_Mac!B:B,""),
_xlpm.MyAuditVal,_xlfn.XLOOKUP($A303,My_Audit!$A:$A,My_Audit!B:B,""),
_xlfn.IFS(_xlpm.MyAuditVal&lt;&gt;"",UPPER(_xlpm.MyAuditVal),_xlpm.MacVal&lt;&gt;"",_xlpm.MacVal,_xlpm.CSVVal&lt;&gt;"",_xlpm.CSVVal
)),"")</f>
        <v/>
      </c>
      <c r="D303" s="55" t="str">
        <f>_xlfn.XLOOKUP(A303,My_Audit!A:A,My_Audit!D:D,"")&amp;""</f>
        <v/>
      </c>
      <c r="E303" s="55" t="str" cm="1">
        <f t="array" ref="E303">IFERROR(_xlfn.LET(
_xlpm.CSVVal,_xlfn.XLOOKUP($A303,CSV!$A:$A,CSV!D:D,""),
_xlpm.MacVal,_xlfn.XLOOKUP($A303,Output_Mac!$A:$A,Output_Mac!C:C,""),
_xlpm.MyAuditVal,_xlfn.XLOOKUP($A303,My_Audit!$A:$A,My_Audit!D:D,""),
_xlfn.IFS(_xlpm.MyAuditVal&lt;&gt;"",_xlpm.MyAuditVal,_xlpm.MacVal&lt;&gt;"",_xlpm.MacVal,_xlpm.CSVVal&lt;&gt;"",_xlpm.CSVVal
)),"")</f>
        <v/>
      </c>
      <c r="F303" s="54" t="str" cm="1">
        <f t="array" ref="F303">IFERROR(_xlfn.LET(
_xlpm.CSVVal,_xlfn.XLOOKUP($A303,CSV!$A:$A,CSV!E:E,""),
_xlpm.MacVal,_xlfn.XLOOKUP($A303,Output_Mac!$A:$A,Output_Mac!F:F,""),
_xlpm.MyAuditVal,_xlfn.XLOOKUP($A303,My_Audit!$A:$A,My_Audit!E:E,""),
_xlfn.IFS(_xlpm.MyAuditVal&lt;&gt;"",_xlpm.MyAuditVal,_xlpm.MacVal&lt;&gt;"",_xlpm.MacVal,_xlpm.CSVVal&lt;&gt;"",PROPER(_xlpm.CSVVal)
)),"")</f>
        <v/>
      </c>
      <c r="G303" s="54" t="str" cm="1">
        <f t="array" ref="G303">IFERROR(_xlfn.LET(
_xlpm.CSVVal,_xlfn.XLOOKUP($A303,CSV!$A:$A,CSV!F:F,""),
_xlpm.MacVal,_xlfn.XLOOKUP($A303,Output_Mac!$A:$A,Output_Mac!H:H,""),
_xlpm.MyAuditVal,_xlfn.XLOOKUP($A303,My_Audit!$A:$A,My_Audit!F:F,""),
_xlfn.IFS(_xlpm.MyAuditVal&lt;&gt;"",_xlpm.MyAuditVal,_xlpm.MacVal&lt;&gt;"",_xlpm.MacVal,_xlpm.CSVVal&lt;&gt;"",_xlpm.CSVVal
)),"")</f>
        <v/>
      </c>
      <c r="H303" s="54" t="str">
        <f>_xlfn.XLOOKUP(A303,Output_Mac!A:A,Output_Mac!I:I,"")</f>
        <v/>
      </c>
      <c r="I303" s="54" t="str" cm="1">
        <f t="array" ref="I303">IFERROR(_xlfn.LET(
_xlpm.CSVVal,_xlfn.XLOOKUP($A303,CSV!$A:$A,CSV!G:G,""),
_xlpm.MacVal,_xlfn.XLOOKUP($A303,Output_Mac!$A:$A,Output_Mac!J:J,""),
_xlpm.MyAuditVal,_xlfn.XLOOKUP($A303,My_Audit!$A:$A,My_Audit!H:H,""),
_xlfn.IFS(_xlpm.MyAuditVal&lt;&gt;"",UPPER(_xlpm.MyAuditVal),_xlpm.MacVal&lt;&gt;"",_xlpm.MacVal,_xlpm.CSVVal&lt;&gt;"",_xlpm.CSVVal
)),"")</f>
        <v/>
      </c>
      <c r="J303" s="54" t="str" cm="1">
        <f t="array" ref="J303">IFERROR(_xlfn.LET(
_xlpm.CSVVal,_xlfn.XLOOKUP($A303,CSV!$A:$A,CSV!I:I,""),
_xlpm.MacVal,_xlfn.XLOOKUP($A303,Output_Mac!$A:$A,Output_Mac!K:K,""),
_xlpm.MyAuditVal,_xlfn.XLOOKUP($A303,My_Audit!$A:$A,My_Audit!I:I,""),
_xlfn.IFS(_xlpm.MyAuditVal&lt;&gt;"",UPPER(_xlpm.MyAuditVal),_xlpm.MacVal&lt;&gt;"",_xlpm.MacVal,_xlpm.CSVVal&lt;&gt;"",_xlpm.CSVVal
)),"")</f>
        <v/>
      </c>
      <c r="K303" s="54" t="str" cm="1">
        <f t="array" ref="K303">IFERROR(_xlfn.LET(
_xlpm.CSVVal,_xlfn.XLOOKUP($A303,CSV!$A:$A,CSV!M:M,""),
_xlpm.MacVal,_xlfn.XLOOKUP($A303,Output_Mac!$A:$A,Output_Mac!L:L,""),
_xlpm.MyAuditVal,_xlfn.XLOOKUP($A303,My_Audit!$A:$A,My_Audit!J:J,""),
_xlfn.IFS(_xlpm.MyAuditVal&lt;&gt;"",UPPER(_xlpm.MyAuditVal),_xlpm.MacVal&lt;&gt;"",_xlpm.MacVal,_xlpm.CSVVal&lt;&gt;"",_xlpm.CSVVal
)),"")</f>
        <v/>
      </c>
      <c r="L303" s="55" t="str" cm="1">
        <f t="array" ref="L303">IFERROR(_xlfn.LET(
_xlpm.CSVVal,_xlfn.XLOOKUP($A303,CSV!$A:$A,CSV!P:P,""),
_xlpm.MacVal,_xlfn.XLOOKUP($A303,Output_Mac!$A:$A,Output_Mac!M:M,""),
_xlpm.MyAuditVal,_xlfn.XLOOKUP($A303,My_Audit!$A:$A,My_Audit!K:K,""),
_xlfn.IFS(_xlpm.MyAuditVal&lt;&gt;"",UPPER(_xlpm.MyAuditVal),_xlpm.MacVal&lt;&gt;"",_xlpm.MacVal,_xlpm.CSVVal&lt;&gt;"",_xlpm.CSVVal
)),"")</f>
        <v/>
      </c>
      <c r="M303" s="54" t="str">
        <f>_xlfn.LET(
    _xlpm.CSVVal, _xlfn.XLOOKUP($A303, CSV!$A:$A, CSV!AD:AD, ""),
    _xlpm.MacVal, _xlfn.XLOOKUP($A303, Output_Mac!$A:$A, Output_Mac!S:S, ""),
    _xlpm.MyAuditVal, _xlfn.XLOOKUP($A303, My_Audit!$A:$A, My_Audit!N:N, ""),
    _xlfn.TEXTJOIN(", ", TRUE, _xlpm.MyAuditVal, _xlpm.MacVal, _xlpm.CSVVal)
)</f>
        <v/>
      </c>
      <c r="N303" s="54" t="str" cm="1">
        <f t="array" ref="N303">IFERROR(_xlfn.LET(
_xlpm.CSVVal,_xlfn.XLOOKUP($A303,CSV!$A:$A,CSV!AF:AF,""),
_xlpm.MacVal,_xlfn.XLOOKUP($A303,Output_Mac!$A:$A,Output_Mac!U:U,""),
_xlpm.MyAuditVal,_xlfn.XLOOKUP($A303,My_Audit!$A:$A,My_Audit!O:O,""),
_xlfn.IFS(_xlpm.MyAuditVal&lt;&gt;"",UPPER(_xlpm.MyAuditVal),_xlpm.MacVal&lt;&gt;"",_xlpm.MacVal,_xlpm.CSVVal&lt;&gt;"",_xlpm.CSVVal
)),"")</f>
        <v/>
      </c>
      <c r="O303" s="54"/>
      <c r="P303" s="54"/>
      <c r="Q303" s="54"/>
      <c r="R303" s="54"/>
      <c r="S303" s="54"/>
      <c r="T303" s="54"/>
      <c r="U303" s="39"/>
    </row>
    <row r="304" spans="1:21">
      <c r="A304" s="54" t="str">
        <f>_xlfn.TEXTJOIN("",TRUE,Input!$B$2,ROW(My_Audit!A303))</f>
        <v>XX303</v>
      </c>
      <c r="B304" s="54" t="str">
        <f>_xlfn.TEXTJOIN("-",TRUE,"ITD",Input!$A$2,A304)</f>
        <v>ITD-SHRXXX-XX303</v>
      </c>
      <c r="C304" s="54" t="str" cm="1">
        <f t="array" ref="C304">IFERROR(_xlfn.LET(
_xlpm.CSVVal,_xlfn.XLOOKUP($A304,CSV!$A:$A,CSV!B:B,""),
_xlpm.MacVal,_xlfn.XLOOKUP($A304,Output_Mac!$A:$A,Output_Mac!B:B,""),
_xlpm.MyAuditVal,_xlfn.XLOOKUP($A304,My_Audit!$A:$A,My_Audit!B:B,""),
_xlfn.IFS(_xlpm.MyAuditVal&lt;&gt;"",UPPER(_xlpm.MyAuditVal),_xlpm.MacVal&lt;&gt;"",_xlpm.MacVal,_xlpm.CSVVal&lt;&gt;"",_xlpm.CSVVal
)),"")</f>
        <v/>
      </c>
      <c r="D304" s="55" t="str">
        <f>_xlfn.XLOOKUP(A304,My_Audit!A:A,My_Audit!D:D,"")&amp;""</f>
        <v/>
      </c>
      <c r="E304" s="55" t="str" cm="1">
        <f t="array" ref="E304">IFERROR(_xlfn.LET(
_xlpm.CSVVal,_xlfn.XLOOKUP($A304,CSV!$A:$A,CSV!D:D,""),
_xlpm.MacVal,_xlfn.XLOOKUP($A304,Output_Mac!$A:$A,Output_Mac!C:C,""),
_xlpm.MyAuditVal,_xlfn.XLOOKUP($A304,My_Audit!$A:$A,My_Audit!D:D,""),
_xlfn.IFS(_xlpm.MyAuditVal&lt;&gt;"",_xlpm.MyAuditVal,_xlpm.MacVal&lt;&gt;"",_xlpm.MacVal,_xlpm.CSVVal&lt;&gt;"",_xlpm.CSVVal
)),"")</f>
        <v/>
      </c>
      <c r="F304" s="54" t="str" cm="1">
        <f t="array" ref="F304">IFERROR(_xlfn.LET(
_xlpm.CSVVal,_xlfn.XLOOKUP($A304,CSV!$A:$A,CSV!E:E,""),
_xlpm.MacVal,_xlfn.XLOOKUP($A304,Output_Mac!$A:$A,Output_Mac!F:F,""),
_xlpm.MyAuditVal,_xlfn.XLOOKUP($A304,My_Audit!$A:$A,My_Audit!E:E,""),
_xlfn.IFS(_xlpm.MyAuditVal&lt;&gt;"",_xlpm.MyAuditVal,_xlpm.MacVal&lt;&gt;"",_xlpm.MacVal,_xlpm.CSVVal&lt;&gt;"",PROPER(_xlpm.CSVVal)
)),"")</f>
        <v/>
      </c>
      <c r="G304" s="54" t="str" cm="1">
        <f t="array" ref="G304">IFERROR(_xlfn.LET(
_xlpm.CSVVal,_xlfn.XLOOKUP($A304,CSV!$A:$A,CSV!F:F,""),
_xlpm.MacVal,_xlfn.XLOOKUP($A304,Output_Mac!$A:$A,Output_Mac!H:H,""),
_xlpm.MyAuditVal,_xlfn.XLOOKUP($A304,My_Audit!$A:$A,My_Audit!F:F,""),
_xlfn.IFS(_xlpm.MyAuditVal&lt;&gt;"",_xlpm.MyAuditVal,_xlpm.MacVal&lt;&gt;"",_xlpm.MacVal,_xlpm.CSVVal&lt;&gt;"",_xlpm.CSVVal
)),"")</f>
        <v/>
      </c>
      <c r="H304" s="54" t="str">
        <f>_xlfn.XLOOKUP(A304,Output_Mac!A:A,Output_Mac!I:I,"")</f>
        <v/>
      </c>
      <c r="I304" s="54" t="str" cm="1">
        <f t="array" ref="I304">IFERROR(_xlfn.LET(
_xlpm.CSVVal,_xlfn.XLOOKUP($A304,CSV!$A:$A,CSV!G:G,""),
_xlpm.MacVal,_xlfn.XLOOKUP($A304,Output_Mac!$A:$A,Output_Mac!J:J,""),
_xlpm.MyAuditVal,_xlfn.XLOOKUP($A304,My_Audit!$A:$A,My_Audit!H:H,""),
_xlfn.IFS(_xlpm.MyAuditVal&lt;&gt;"",UPPER(_xlpm.MyAuditVal),_xlpm.MacVal&lt;&gt;"",_xlpm.MacVal,_xlpm.CSVVal&lt;&gt;"",_xlpm.CSVVal
)),"")</f>
        <v/>
      </c>
      <c r="J304" s="54" t="str" cm="1">
        <f t="array" ref="J304">IFERROR(_xlfn.LET(
_xlpm.CSVVal,_xlfn.XLOOKUP($A304,CSV!$A:$A,CSV!I:I,""),
_xlpm.MacVal,_xlfn.XLOOKUP($A304,Output_Mac!$A:$A,Output_Mac!K:K,""),
_xlpm.MyAuditVal,_xlfn.XLOOKUP($A304,My_Audit!$A:$A,My_Audit!I:I,""),
_xlfn.IFS(_xlpm.MyAuditVal&lt;&gt;"",UPPER(_xlpm.MyAuditVal),_xlpm.MacVal&lt;&gt;"",_xlpm.MacVal,_xlpm.CSVVal&lt;&gt;"",_xlpm.CSVVal
)),"")</f>
        <v/>
      </c>
      <c r="K304" s="54" t="str" cm="1">
        <f t="array" ref="K304">IFERROR(_xlfn.LET(
_xlpm.CSVVal,_xlfn.XLOOKUP($A304,CSV!$A:$A,CSV!M:M,""),
_xlpm.MacVal,_xlfn.XLOOKUP($A304,Output_Mac!$A:$A,Output_Mac!L:L,""),
_xlpm.MyAuditVal,_xlfn.XLOOKUP($A304,My_Audit!$A:$A,My_Audit!J:J,""),
_xlfn.IFS(_xlpm.MyAuditVal&lt;&gt;"",UPPER(_xlpm.MyAuditVal),_xlpm.MacVal&lt;&gt;"",_xlpm.MacVal,_xlpm.CSVVal&lt;&gt;"",_xlpm.CSVVal
)),"")</f>
        <v/>
      </c>
      <c r="L304" s="55" t="str" cm="1">
        <f t="array" ref="L304">IFERROR(_xlfn.LET(
_xlpm.CSVVal,_xlfn.XLOOKUP($A304,CSV!$A:$A,CSV!P:P,""),
_xlpm.MacVal,_xlfn.XLOOKUP($A304,Output_Mac!$A:$A,Output_Mac!M:M,""),
_xlpm.MyAuditVal,_xlfn.XLOOKUP($A304,My_Audit!$A:$A,My_Audit!K:K,""),
_xlfn.IFS(_xlpm.MyAuditVal&lt;&gt;"",UPPER(_xlpm.MyAuditVal),_xlpm.MacVal&lt;&gt;"",_xlpm.MacVal,_xlpm.CSVVal&lt;&gt;"",_xlpm.CSVVal
)),"")</f>
        <v/>
      </c>
      <c r="M304" s="54" t="str">
        <f>_xlfn.LET(
    _xlpm.CSVVal, _xlfn.XLOOKUP($A304, CSV!$A:$A, CSV!AD:AD, ""),
    _xlpm.MacVal, _xlfn.XLOOKUP($A304, Output_Mac!$A:$A, Output_Mac!S:S, ""),
    _xlpm.MyAuditVal, _xlfn.XLOOKUP($A304, My_Audit!$A:$A, My_Audit!N:N, ""),
    _xlfn.TEXTJOIN(", ", TRUE, _xlpm.MyAuditVal, _xlpm.MacVal, _xlpm.CSVVal)
)</f>
        <v/>
      </c>
      <c r="N304" s="54" t="str" cm="1">
        <f t="array" ref="N304">IFERROR(_xlfn.LET(
_xlpm.CSVVal,_xlfn.XLOOKUP($A304,CSV!$A:$A,CSV!AF:AF,""),
_xlpm.MacVal,_xlfn.XLOOKUP($A304,Output_Mac!$A:$A,Output_Mac!U:U,""),
_xlpm.MyAuditVal,_xlfn.XLOOKUP($A304,My_Audit!$A:$A,My_Audit!O:O,""),
_xlfn.IFS(_xlpm.MyAuditVal&lt;&gt;"",UPPER(_xlpm.MyAuditVal),_xlpm.MacVal&lt;&gt;"",_xlpm.MacVal,_xlpm.CSVVal&lt;&gt;"",_xlpm.CSVVal
)),"")</f>
        <v/>
      </c>
      <c r="O304" s="54"/>
      <c r="P304" s="54"/>
      <c r="Q304" s="54"/>
      <c r="R304" s="54"/>
      <c r="S304" s="54"/>
      <c r="T304" s="54"/>
      <c r="U304" s="39"/>
    </row>
    <row r="305" spans="1:21">
      <c r="A305" s="54" t="str">
        <f>_xlfn.TEXTJOIN("",TRUE,Input!$B$2,ROW(My_Audit!A304))</f>
        <v>XX304</v>
      </c>
      <c r="B305" s="54" t="str">
        <f>_xlfn.TEXTJOIN("-",TRUE,"ITD",Input!$A$2,A305)</f>
        <v>ITD-SHRXXX-XX304</v>
      </c>
      <c r="C305" s="54" t="str" cm="1">
        <f t="array" ref="C305">IFERROR(_xlfn.LET(
_xlpm.CSVVal,_xlfn.XLOOKUP($A305,CSV!$A:$A,CSV!B:B,""),
_xlpm.MacVal,_xlfn.XLOOKUP($A305,Output_Mac!$A:$A,Output_Mac!B:B,""),
_xlpm.MyAuditVal,_xlfn.XLOOKUP($A305,My_Audit!$A:$A,My_Audit!B:B,""),
_xlfn.IFS(_xlpm.MyAuditVal&lt;&gt;"",UPPER(_xlpm.MyAuditVal),_xlpm.MacVal&lt;&gt;"",_xlpm.MacVal,_xlpm.CSVVal&lt;&gt;"",_xlpm.CSVVal
)),"")</f>
        <v/>
      </c>
      <c r="D305" s="55" t="str">
        <f>_xlfn.XLOOKUP(A305,My_Audit!A:A,My_Audit!D:D,"")&amp;""</f>
        <v/>
      </c>
      <c r="E305" s="55" t="str" cm="1">
        <f t="array" ref="E305">IFERROR(_xlfn.LET(
_xlpm.CSVVal,_xlfn.XLOOKUP($A305,CSV!$A:$A,CSV!D:D,""),
_xlpm.MacVal,_xlfn.XLOOKUP($A305,Output_Mac!$A:$A,Output_Mac!C:C,""),
_xlpm.MyAuditVal,_xlfn.XLOOKUP($A305,My_Audit!$A:$A,My_Audit!D:D,""),
_xlfn.IFS(_xlpm.MyAuditVal&lt;&gt;"",_xlpm.MyAuditVal,_xlpm.MacVal&lt;&gt;"",_xlpm.MacVal,_xlpm.CSVVal&lt;&gt;"",_xlpm.CSVVal
)),"")</f>
        <v/>
      </c>
      <c r="F305" s="54" t="str" cm="1">
        <f t="array" ref="F305">IFERROR(_xlfn.LET(
_xlpm.CSVVal,_xlfn.XLOOKUP($A305,CSV!$A:$A,CSV!E:E,""),
_xlpm.MacVal,_xlfn.XLOOKUP($A305,Output_Mac!$A:$A,Output_Mac!F:F,""),
_xlpm.MyAuditVal,_xlfn.XLOOKUP($A305,My_Audit!$A:$A,My_Audit!E:E,""),
_xlfn.IFS(_xlpm.MyAuditVal&lt;&gt;"",_xlpm.MyAuditVal,_xlpm.MacVal&lt;&gt;"",_xlpm.MacVal,_xlpm.CSVVal&lt;&gt;"",PROPER(_xlpm.CSVVal)
)),"")</f>
        <v/>
      </c>
      <c r="G305" s="54" t="str" cm="1">
        <f t="array" ref="G305">IFERROR(_xlfn.LET(
_xlpm.CSVVal,_xlfn.XLOOKUP($A305,CSV!$A:$A,CSV!F:F,""),
_xlpm.MacVal,_xlfn.XLOOKUP($A305,Output_Mac!$A:$A,Output_Mac!H:H,""),
_xlpm.MyAuditVal,_xlfn.XLOOKUP($A305,My_Audit!$A:$A,My_Audit!F:F,""),
_xlfn.IFS(_xlpm.MyAuditVal&lt;&gt;"",_xlpm.MyAuditVal,_xlpm.MacVal&lt;&gt;"",_xlpm.MacVal,_xlpm.CSVVal&lt;&gt;"",_xlpm.CSVVal
)),"")</f>
        <v/>
      </c>
      <c r="H305" s="54" t="str">
        <f>_xlfn.XLOOKUP(A305,Output_Mac!A:A,Output_Mac!I:I,"")</f>
        <v/>
      </c>
      <c r="I305" s="54" t="str" cm="1">
        <f t="array" ref="I305">IFERROR(_xlfn.LET(
_xlpm.CSVVal,_xlfn.XLOOKUP($A305,CSV!$A:$A,CSV!G:G,""),
_xlpm.MacVal,_xlfn.XLOOKUP($A305,Output_Mac!$A:$A,Output_Mac!J:J,""),
_xlpm.MyAuditVal,_xlfn.XLOOKUP($A305,My_Audit!$A:$A,My_Audit!H:H,""),
_xlfn.IFS(_xlpm.MyAuditVal&lt;&gt;"",UPPER(_xlpm.MyAuditVal),_xlpm.MacVal&lt;&gt;"",_xlpm.MacVal,_xlpm.CSVVal&lt;&gt;"",_xlpm.CSVVal
)),"")</f>
        <v/>
      </c>
      <c r="J305" s="54" t="str" cm="1">
        <f t="array" ref="J305">IFERROR(_xlfn.LET(
_xlpm.CSVVal,_xlfn.XLOOKUP($A305,CSV!$A:$A,CSV!I:I,""),
_xlpm.MacVal,_xlfn.XLOOKUP($A305,Output_Mac!$A:$A,Output_Mac!K:K,""),
_xlpm.MyAuditVal,_xlfn.XLOOKUP($A305,My_Audit!$A:$A,My_Audit!I:I,""),
_xlfn.IFS(_xlpm.MyAuditVal&lt;&gt;"",UPPER(_xlpm.MyAuditVal),_xlpm.MacVal&lt;&gt;"",_xlpm.MacVal,_xlpm.CSVVal&lt;&gt;"",_xlpm.CSVVal
)),"")</f>
        <v/>
      </c>
      <c r="K305" s="54" t="str" cm="1">
        <f t="array" ref="K305">IFERROR(_xlfn.LET(
_xlpm.CSVVal,_xlfn.XLOOKUP($A305,CSV!$A:$A,CSV!M:M,""),
_xlpm.MacVal,_xlfn.XLOOKUP($A305,Output_Mac!$A:$A,Output_Mac!L:L,""),
_xlpm.MyAuditVal,_xlfn.XLOOKUP($A305,My_Audit!$A:$A,My_Audit!J:J,""),
_xlfn.IFS(_xlpm.MyAuditVal&lt;&gt;"",UPPER(_xlpm.MyAuditVal),_xlpm.MacVal&lt;&gt;"",_xlpm.MacVal,_xlpm.CSVVal&lt;&gt;"",_xlpm.CSVVal
)),"")</f>
        <v/>
      </c>
      <c r="L305" s="55" t="str" cm="1">
        <f t="array" ref="L305">IFERROR(_xlfn.LET(
_xlpm.CSVVal,_xlfn.XLOOKUP($A305,CSV!$A:$A,CSV!P:P,""),
_xlpm.MacVal,_xlfn.XLOOKUP($A305,Output_Mac!$A:$A,Output_Mac!M:M,""),
_xlpm.MyAuditVal,_xlfn.XLOOKUP($A305,My_Audit!$A:$A,My_Audit!K:K,""),
_xlfn.IFS(_xlpm.MyAuditVal&lt;&gt;"",UPPER(_xlpm.MyAuditVal),_xlpm.MacVal&lt;&gt;"",_xlpm.MacVal,_xlpm.CSVVal&lt;&gt;"",_xlpm.CSVVal
)),"")</f>
        <v/>
      </c>
      <c r="M305" s="54" t="str">
        <f>_xlfn.LET(
    _xlpm.CSVVal, _xlfn.XLOOKUP($A305, CSV!$A:$A, CSV!AD:AD, ""),
    _xlpm.MacVal, _xlfn.XLOOKUP($A305, Output_Mac!$A:$A, Output_Mac!S:S, ""),
    _xlpm.MyAuditVal, _xlfn.XLOOKUP($A305, My_Audit!$A:$A, My_Audit!N:N, ""),
    _xlfn.TEXTJOIN(", ", TRUE, _xlpm.MyAuditVal, _xlpm.MacVal, _xlpm.CSVVal)
)</f>
        <v/>
      </c>
      <c r="N305" s="54" t="str" cm="1">
        <f t="array" ref="N305">IFERROR(_xlfn.LET(
_xlpm.CSVVal,_xlfn.XLOOKUP($A305,CSV!$A:$A,CSV!AF:AF,""),
_xlpm.MacVal,_xlfn.XLOOKUP($A305,Output_Mac!$A:$A,Output_Mac!U:U,""),
_xlpm.MyAuditVal,_xlfn.XLOOKUP($A305,My_Audit!$A:$A,My_Audit!O:O,""),
_xlfn.IFS(_xlpm.MyAuditVal&lt;&gt;"",UPPER(_xlpm.MyAuditVal),_xlpm.MacVal&lt;&gt;"",_xlpm.MacVal,_xlpm.CSVVal&lt;&gt;"",_xlpm.CSVVal
)),"")</f>
        <v/>
      </c>
      <c r="O305" s="54"/>
      <c r="P305" s="54"/>
      <c r="Q305" s="54"/>
      <c r="R305" s="54"/>
      <c r="S305" s="54"/>
      <c r="T305" s="54"/>
      <c r="U305" s="39"/>
    </row>
    <row r="306" spans="1:21">
      <c r="A306" s="54" t="str">
        <f>_xlfn.TEXTJOIN("",TRUE,Input!$B$2,ROW(My_Audit!A305))</f>
        <v>XX305</v>
      </c>
      <c r="B306" s="54" t="str">
        <f>_xlfn.TEXTJOIN("-",TRUE,"ITD",Input!$A$2,A306)</f>
        <v>ITD-SHRXXX-XX305</v>
      </c>
      <c r="C306" s="54" t="str" cm="1">
        <f t="array" ref="C306">IFERROR(_xlfn.LET(
_xlpm.CSVVal,_xlfn.XLOOKUP($A306,CSV!$A:$A,CSV!B:B,""),
_xlpm.MacVal,_xlfn.XLOOKUP($A306,Output_Mac!$A:$A,Output_Mac!B:B,""),
_xlpm.MyAuditVal,_xlfn.XLOOKUP($A306,My_Audit!$A:$A,My_Audit!B:B,""),
_xlfn.IFS(_xlpm.MyAuditVal&lt;&gt;"",UPPER(_xlpm.MyAuditVal),_xlpm.MacVal&lt;&gt;"",_xlpm.MacVal,_xlpm.CSVVal&lt;&gt;"",_xlpm.CSVVal
)),"")</f>
        <v/>
      </c>
      <c r="D306" s="55" t="str">
        <f>_xlfn.XLOOKUP(A306,My_Audit!A:A,My_Audit!D:D,"")&amp;""</f>
        <v/>
      </c>
      <c r="E306" s="55" t="str" cm="1">
        <f t="array" ref="E306">IFERROR(_xlfn.LET(
_xlpm.CSVVal,_xlfn.XLOOKUP($A306,CSV!$A:$A,CSV!D:D,""),
_xlpm.MacVal,_xlfn.XLOOKUP($A306,Output_Mac!$A:$A,Output_Mac!C:C,""),
_xlpm.MyAuditVal,_xlfn.XLOOKUP($A306,My_Audit!$A:$A,My_Audit!D:D,""),
_xlfn.IFS(_xlpm.MyAuditVal&lt;&gt;"",_xlpm.MyAuditVal,_xlpm.MacVal&lt;&gt;"",_xlpm.MacVal,_xlpm.CSVVal&lt;&gt;"",_xlpm.CSVVal
)),"")</f>
        <v/>
      </c>
      <c r="F306" s="54" t="str" cm="1">
        <f t="array" ref="F306">IFERROR(_xlfn.LET(
_xlpm.CSVVal,_xlfn.XLOOKUP($A306,CSV!$A:$A,CSV!E:E,""),
_xlpm.MacVal,_xlfn.XLOOKUP($A306,Output_Mac!$A:$A,Output_Mac!F:F,""),
_xlpm.MyAuditVal,_xlfn.XLOOKUP($A306,My_Audit!$A:$A,My_Audit!E:E,""),
_xlfn.IFS(_xlpm.MyAuditVal&lt;&gt;"",_xlpm.MyAuditVal,_xlpm.MacVal&lt;&gt;"",_xlpm.MacVal,_xlpm.CSVVal&lt;&gt;"",PROPER(_xlpm.CSVVal)
)),"")</f>
        <v/>
      </c>
      <c r="G306" s="54" t="str" cm="1">
        <f t="array" ref="G306">IFERROR(_xlfn.LET(
_xlpm.CSVVal,_xlfn.XLOOKUP($A306,CSV!$A:$A,CSV!F:F,""),
_xlpm.MacVal,_xlfn.XLOOKUP($A306,Output_Mac!$A:$A,Output_Mac!H:H,""),
_xlpm.MyAuditVal,_xlfn.XLOOKUP($A306,My_Audit!$A:$A,My_Audit!F:F,""),
_xlfn.IFS(_xlpm.MyAuditVal&lt;&gt;"",_xlpm.MyAuditVal,_xlpm.MacVal&lt;&gt;"",_xlpm.MacVal,_xlpm.CSVVal&lt;&gt;"",_xlpm.CSVVal
)),"")</f>
        <v/>
      </c>
      <c r="H306" s="54" t="str">
        <f>_xlfn.XLOOKUP(A306,Output_Mac!A:A,Output_Mac!I:I,"")</f>
        <v/>
      </c>
      <c r="I306" s="54" t="str" cm="1">
        <f t="array" ref="I306">IFERROR(_xlfn.LET(
_xlpm.CSVVal,_xlfn.XLOOKUP($A306,CSV!$A:$A,CSV!G:G,""),
_xlpm.MacVal,_xlfn.XLOOKUP($A306,Output_Mac!$A:$A,Output_Mac!J:J,""),
_xlpm.MyAuditVal,_xlfn.XLOOKUP($A306,My_Audit!$A:$A,My_Audit!H:H,""),
_xlfn.IFS(_xlpm.MyAuditVal&lt;&gt;"",UPPER(_xlpm.MyAuditVal),_xlpm.MacVal&lt;&gt;"",_xlpm.MacVal,_xlpm.CSVVal&lt;&gt;"",_xlpm.CSVVal
)),"")</f>
        <v/>
      </c>
      <c r="J306" s="54" t="str" cm="1">
        <f t="array" ref="J306">IFERROR(_xlfn.LET(
_xlpm.CSVVal,_xlfn.XLOOKUP($A306,CSV!$A:$A,CSV!I:I,""),
_xlpm.MacVal,_xlfn.XLOOKUP($A306,Output_Mac!$A:$A,Output_Mac!K:K,""),
_xlpm.MyAuditVal,_xlfn.XLOOKUP($A306,My_Audit!$A:$A,My_Audit!I:I,""),
_xlfn.IFS(_xlpm.MyAuditVal&lt;&gt;"",UPPER(_xlpm.MyAuditVal),_xlpm.MacVal&lt;&gt;"",_xlpm.MacVal,_xlpm.CSVVal&lt;&gt;"",_xlpm.CSVVal
)),"")</f>
        <v/>
      </c>
      <c r="K306" s="54" t="str" cm="1">
        <f t="array" ref="K306">IFERROR(_xlfn.LET(
_xlpm.CSVVal,_xlfn.XLOOKUP($A306,CSV!$A:$A,CSV!M:M,""),
_xlpm.MacVal,_xlfn.XLOOKUP($A306,Output_Mac!$A:$A,Output_Mac!L:L,""),
_xlpm.MyAuditVal,_xlfn.XLOOKUP($A306,My_Audit!$A:$A,My_Audit!J:J,""),
_xlfn.IFS(_xlpm.MyAuditVal&lt;&gt;"",UPPER(_xlpm.MyAuditVal),_xlpm.MacVal&lt;&gt;"",_xlpm.MacVal,_xlpm.CSVVal&lt;&gt;"",_xlpm.CSVVal
)),"")</f>
        <v/>
      </c>
      <c r="L306" s="55" t="str" cm="1">
        <f t="array" ref="L306">IFERROR(_xlfn.LET(
_xlpm.CSVVal,_xlfn.XLOOKUP($A306,CSV!$A:$A,CSV!P:P,""),
_xlpm.MacVal,_xlfn.XLOOKUP($A306,Output_Mac!$A:$A,Output_Mac!M:M,""),
_xlpm.MyAuditVal,_xlfn.XLOOKUP($A306,My_Audit!$A:$A,My_Audit!K:K,""),
_xlfn.IFS(_xlpm.MyAuditVal&lt;&gt;"",UPPER(_xlpm.MyAuditVal),_xlpm.MacVal&lt;&gt;"",_xlpm.MacVal,_xlpm.CSVVal&lt;&gt;"",_xlpm.CSVVal
)),"")</f>
        <v/>
      </c>
      <c r="M306" s="54" t="str">
        <f>_xlfn.LET(
    _xlpm.CSVVal, _xlfn.XLOOKUP($A306, CSV!$A:$A, CSV!AD:AD, ""),
    _xlpm.MacVal, _xlfn.XLOOKUP($A306, Output_Mac!$A:$A, Output_Mac!S:S, ""),
    _xlpm.MyAuditVal, _xlfn.XLOOKUP($A306, My_Audit!$A:$A, My_Audit!N:N, ""),
    _xlfn.TEXTJOIN(", ", TRUE, _xlpm.MyAuditVal, _xlpm.MacVal, _xlpm.CSVVal)
)</f>
        <v/>
      </c>
      <c r="N306" s="54" t="str" cm="1">
        <f t="array" ref="N306">IFERROR(_xlfn.LET(
_xlpm.CSVVal,_xlfn.XLOOKUP($A306,CSV!$A:$A,CSV!AF:AF,""),
_xlpm.MacVal,_xlfn.XLOOKUP($A306,Output_Mac!$A:$A,Output_Mac!U:U,""),
_xlpm.MyAuditVal,_xlfn.XLOOKUP($A306,My_Audit!$A:$A,My_Audit!O:O,""),
_xlfn.IFS(_xlpm.MyAuditVal&lt;&gt;"",UPPER(_xlpm.MyAuditVal),_xlpm.MacVal&lt;&gt;"",_xlpm.MacVal,_xlpm.CSVVal&lt;&gt;"",_xlpm.CSVVal
)),"")</f>
        <v/>
      </c>
      <c r="O306" s="54"/>
      <c r="P306" s="54"/>
      <c r="Q306" s="54"/>
      <c r="R306" s="54"/>
      <c r="S306" s="54"/>
      <c r="T306" s="54"/>
      <c r="U306" s="39"/>
    </row>
    <row r="307" spans="1:21">
      <c r="A307" s="54" t="str">
        <f>_xlfn.TEXTJOIN("",TRUE,Input!$B$2,ROW(My_Audit!A306))</f>
        <v>XX306</v>
      </c>
      <c r="B307" s="54" t="str">
        <f>_xlfn.TEXTJOIN("-",TRUE,"ITD",Input!$A$2,A307)</f>
        <v>ITD-SHRXXX-XX306</v>
      </c>
      <c r="C307" s="54" t="str" cm="1">
        <f t="array" ref="C307">IFERROR(_xlfn.LET(
_xlpm.CSVVal,_xlfn.XLOOKUP($A307,CSV!$A:$A,CSV!B:B,""),
_xlpm.MacVal,_xlfn.XLOOKUP($A307,Output_Mac!$A:$A,Output_Mac!B:B,""),
_xlpm.MyAuditVal,_xlfn.XLOOKUP($A307,My_Audit!$A:$A,My_Audit!B:B,""),
_xlfn.IFS(_xlpm.MyAuditVal&lt;&gt;"",UPPER(_xlpm.MyAuditVal),_xlpm.MacVal&lt;&gt;"",_xlpm.MacVal,_xlpm.CSVVal&lt;&gt;"",_xlpm.CSVVal
)),"")</f>
        <v/>
      </c>
      <c r="D307" s="55" t="str">
        <f>_xlfn.XLOOKUP(A307,My_Audit!A:A,My_Audit!D:D,"")&amp;""</f>
        <v/>
      </c>
      <c r="E307" s="55" t="str" cm="1">
        <f t="array" ref="E307">IFERROR(_xlfn.LET(
_xlpm.CSVVal,_xlfn.XLOOKUP($A307,CSV!$A:$A,CSV!D:D,""),
_xlpm.MacVal,_xlfn.XLOOKUP($A307,Output_Mac!$A:$A,Output_Mac!C:C,""),
_xlpm.MyAuditVal,_xlfn.XLOOKUP($A307,My_Audit!$A:$A,My_Audit!D:D,""),
_xlfn.IFS(_xlpm.MyAuditVal&lt;&gt;"",_xlpm.MyAuditVal,_xlpm.MacVal&lt;&gt;"",_xlpm.MacVal,_xlpm.CSVVal&lt;&gt;"",_xlpm.CSVVal
)),"")</f>
        <v/>
      </c>
      <c r="F307" s="54" t="str" cm="1">
        <f t="array" ref="F307">IFERROR(_xlfn.LET(
_xlpm.CSVVal,_xlfn.XLOOKUP($A307,CSV!$A:$A,CSV!E:E,""),
_xlpm.MacVal,_xlfn.XLOOKUP($A307,Output_Mac!$A:$A,Output_Mac!F:F,""),
_xlpm.MyAuditVal,_xlfn.XLOOKUP($A307,My_Audit!$A:$A,My_Audit!E:E,""),
_xlfn.IFS(_xlpm.MyAuditVal&lt;&gt;"",_xlpm.MyAuditVal,_xlpm.MacVal&lt;&gt;"",_xlpm.MacVal,_xlpm.CSVVal&lt;&gt;"",PROPER(_xlpm.CSVVal)
)),"")</f>
        <v/>
      </c>
      <c r="G307" s="54" t="str" cm="1">
        <f t="array" ref="G307">IFERROR(_xlfn.LET(
_xlpm.CSVVal,_xlfn.XLOOKUP($A307,CSV!$A:$A,CSV!F:F,""),
_xlpm.MacVal,_xlfn.XLOOKUP($A307,Output_Mac!$A:$A,Output_Mac!H:H,""),
_xlpm.MyAuditVal,_xlfn.XLOOKUP($A307,My_Audit!$A:$A,My_Audit!F:F,""),
_xlfn.IFS(_xlpm.MyAuditVal&lt;&gt;"",_xlpm.MyAuditVal,_xlpm.MacVal&lt;&gt;"",_xlpm.MacVal,_xlpm.CSVVal&lt;&gt;"",_xlpm.CSVVal
)),"")</f>
        <v/>
      </c>
      <c r="H307" s="54" t="str">
        <f>_xlfn.XLOOKUP(A307,Output_Mac!A:A,Output_Mac!I:I,"")</f>
        <v/>
      </c>
      <c r="I307" s="54" t="str" cm="1">
        <f t="array" ref="I307">IFERROR(_xlfn.LET(
_xlpm.CSVVal,_xlfn.XLOOKUP($A307,CSV!$A:$A,CSV!G:G,""),
_xlpm.MacVal,_xlfn.XLOOKUP($A307,Output_Mac!$A:$A,Output_Mac!J:J,""),
_xlpm.MyAuditVal,_xlfn.XLOOKUP($A307,My_Audit!$A:$A,My_Audit!H:H,""),
_xlfn.IFS(_xlpm.MyAuditVal&lt;&gt;"",UPPER(_xlpm.MyAuditVal),_xlpm.MacVal&lt;&gt;"",_xlpm.MacVal,_xlpm.CSVVal&lt;&gt;"",_xlpm.CSVVal
)),"")</f>
        <v/>
      </c>
      <c r="J307" s="54" t="str" cm="1">
        <f t="array" ref="J307">IFERROR(_xlfn.LET(
_xlpm.CSVVal,_xlfn.XLOOKUP($A307,CSV!$A:$A,CSV!I:I,""),
_xlpm.MacVal,_xlfn.XLOOKUP($A307,Output_Mac!$A:$A,Output_Mac!K:K,""),
_xlpm.MyAuditVal,_xlfn.XLOOKUP($A307,My_Audit!$A:$A,My_Audit!I:I,""),
_xlfn.IFS(_xlpm.MyAuditVal&lt;&gt;"",UPPER(_xlpm.MyAuditVal),_xlpm.MacVal&lt;&gt;"",_xlpm.MacVal,_xlpm.CSVVal&lt;&gt;"",_xlpm.CSVVal
)),"")</f>
        <v/>
      </c>
      <c r="K307" s="54" t="str" cm="1">
        <f t="array" ref="K307">IFERROR(_xlfn.LET(
_xlpm.CSVVal,_xlfn.XLOOKUP($A307,CSV!$A:$A,CSV!M:M,""),
_xlpm.MacVal,_xlfn.XLOOKUP($A307,Output_Mac!$A:$A,Output_Mac!L:L,""),
_xlpm.MyAuditVal,_xlfn.XLOOKUP($A307,My_Audit!$A:$A,My_Audit!J:J,""),
_xlfn.IFS(_xlpm.MyAuditVal&lt;&gt;"",UPPER(_xlpm.MyAuditVal),_xlpm.MacVal&lt;&gt;"",_xlpm.MacVal,_xlpm.CSVVal&lt;&gt;"",_xlpm.CSVVal
)),"")</f>
        <v/>
      </c>
      <c r="L307" s="55" t="str" cm="1">
        <f t="array" ref="L307">IFERROR(_xlfn.LET(
_xlpm.CSVVal,_xlfn.XLOOKUP($A307,CSV!$A:$A,CSV!P:P,""),
_xlpm.MacVal,_xlfn.XLOOKUP($A307,Output_Mac!$A:$A,Output_Mac!M:M,""),
_xlpm.MyAuditVal,_xlfn.XLOOKUP($A307,My_Audit!$A:$A,My_Audit!K:K,""),
_xlfn.IFS(_xlpm.MyAuditVal&lt;&gt;"",UPPER(_xlpm.MyAuditVal),_xlpm.MacVal&lt;&gt;"",_xlpm.MacVal,_xlpm.CSVVal&lt;&gt;"",_xlpm.CSVVal
)),"")</f>
        <v/>
      </c>
      <c r="M307" s="54" t="str">
        <f>_xlfn.LET(
    _xlpm.CSVVal, _xlfn.XLOOKUP($A307, CSV!$A:$A, CSV!AD:AD, ""),
    _xlpm.MacVal, _xlfn.XLOOKUP($A307, Output_Mac!$A:$A, Output_Mac!S:S, ""),
    _xlpm.MyAuditVal, _xlfn.XLOOKUP($A307, My_Audit!$A:$A, My_Audit!N:N, ""),
    _xlfn.TEXTJOIN(", ", TRUE, _xlpm.MyAuditVal, _xlpm.MacVal, _xlpm.CSVVal)
)</f>
        <v/>
      </c>
      <c r="N307" s="54" t="str" cm="1">
        <f t="array" ref="N307">IFERROR(_xlfn.LET(
_xlpm.CSVVal,_xlfn.XLOOKUP($A307,CSV!$A:$A,CSV!AF:AF,""),
_xlpm.MacVal,_xlfn.XLOOKUP($A307,Output_Mac!$A:$A,Output_Mac!U:U,""),
_xlpm.MyAuditVal,_xlfn.XLOOKUP($A307,My_Audit!$A:$A,My_Audit!O:O,""),
_xlfn.IFS(_xlpm.MyAuditVal&lt;&gt;"",UPPER(_xlpm.MyAuditVal),_xlpm.MacVal&lt;&gt;"",_xlpm.MacVal,_xlpm.CSVVal&lt;&gt;"",_xlpm.CSVVal
)),"")</f>
        <v/>
      </c>
      <c r="O307" s="54"/>
      <c r="P307" s="54"/>
      <c r="Q307" s="54"/>
      <c r="R307" s="54"/>
      <c r="S307" s="54"/>
      <c r="T307" s="54"/>
      <c r="U307" s="39"/>
    </row>
    <row r="308" spans="1:21">
      <c r="A308" s="54" t="str">
        <f>_xlfn.TEXTJOIN("",TRUE,Input!$B$2,ROW(My_Audit!A307))</f>
        <v>XX307</v>
      </c>
      <c r="B308" s="54" t="str">
        <f>_xlfn.TEXTJOIN("-",TRUE,"ITD",Input!$A$2,A308)</f>
        <v>ITD-SHRXXX-XX307</v>
      </c>
      <c r="C308" s="54" t="str" cm="1">
        <f t="array" ref="C308">IFERROR(_xlfn.LET(
_xlpm.CSVVal,_xlfn.XLOOKUP($A308,CSV!$A:$A,CSV!B:B,""),
_xlpm.MacVal,_xlfn.XLOOKUP($A308,Output_Mac!$A:$A,Output_Mac!B:B,""),
_xlpm.MyAuditVal,_xlfn.XLOOKUP($A308,My_Audit!$A:$A,My_Audit!B:B,""),
_xlfn.IFS(_xlpm.MyAuditVal&lt;&gt;"",UPPER(_xlpm.MyAuditVal),_xlpm.MacVal&lt;&gt;"",_xlpm.MacVal,_xlpm.CSVVal&lt;&gt;"",_xlpm.CSVVal
)),"")</f>
        <v/>
      </c>
      <c r="D308" s="55" t="str">
        <f>_xlfn.XLOOKUP(A308,My_Audit!A:A,My_Audit!D:D,"")&amp;""</f>
        <v/>
      </c>
      <c r="E308" s="55" t="str" cm="1">
        <f t="array" ref="E308">IFERROR(_xlfn.LET(
_xlpm.CSVVal,_xlfn.XLOOKUP($A308,CSV!$A:$A,CSV!D:D,""),
_xlpm.MacVal,_xlfn.XLOOKUP($A308,Output_Mac!$A:$A,Output_Mac!C:C,""),
_xlpm.MyAuditVal,_xlfn.XLOOKUP($A308,My_Audit!$A:$A,My_Audit!D:D,""),
_xlfn.IFS(_xlpm.MyAuditVal&lt;&gt;"",_xlpm.MyAuditVal,_xlpm.MacVal&lt;&gt;"",_xlpm.MacVal,_xlpm.CSVVal&lt;&gt;"",_xlpm.CSVVal
)),"")</f>
        <v/>
      </c>
      <c r="F308" s="54" t="str" cm="1">
        <f t="array" ref="F308">IFERROR(_xlfn.LET(
_xlpm.CSVVal,_xlfn.XLOOKUP($A308,CSV!$A:$A,CSV!E:E,""),
_xlpm.MacVal,_xlfn.XLOOKUP($A308,Output_Mac!$A:$A,Output_Mac!F:F,""),
_xlpm.MyAuditVal,_xlfn.XLOOKUP($A308,My_Audit!$A:$A,My_Audit!E:E,""),
_xlfn.IFS(_xlpm.MyAuditVal&lt;&gt;"",_xlpm.MyAuditVal,_xlpm.MacVal&lt;&gt;"",_xlpm.MacVal,_xlpm.CSVVal&lt;&gt;"",PROPER(_xlpm.CSVVal)
)),"")</f>
        <v/>
      </c>
      <c r="G308" s="54" t="str" cm="1">
        <f t="array" ref="G308">IFERROR(_xlfn.LET(
_xlpm.CSVVal,_xlfn.XLOOKUP($A308,CSV!$A:$A,CSV!F:F,""),
_xlpm.MacVal,_xlfn.XLOOKUP($A308,Output_Mac!$A:$A,Output_Mac!H:H,""),
_xlpm.MyAuditVal,_xlfn.XLOOKUP($A308,My_Audit!$A:$A,My_Audit!F:F,""),
_xlfn.IFS(_xlpm.MyAuditVal&lt;&gt;"",_xlpm.MyAuditVal,_xlpm.MacVal&lt;&gt;"",_xlpm.MacVal,_xlpm.CSVVal&lt;&gt;"",_xlpm.CSVVal
)),"")</f>
        <v/>
      </c>
      <c r="H308" s="54" t="str">
        <f>_xlfn.XLOOKUP(A308,Output_Mac!A:A,Output_Mac!I:I,"")</f>
        <v/>
      </c>
      <c r="I308" s="54" t="str" cm="1">
        <f t="array" ref="I308">IFERROR(_xlfn.LET(
_xlpm.CSVVal,_xlfn.XLOOKUP($A308,CSV!$A:$A,CSV!G:G,""),
_xlpm.MacVal,_xlfn.XLOOKUP($A308,Output_Mac!$A:$A,Output_Mac!J:J,""),
_xlpm.MyAuditVal,_xlfn.XLOOKUP($A308,My_Audit!$A:$A,My_Audit!H:H,""),
_xlfn.IFS(_xlpm.MyAuditVal&lt;&gt;"",UPPER(_xlpm.MyAuditVal),_xlpm.MacVal&lt;&gt;"",_xlpm.MacVal,_xlpm.CSVVal&lt;&gt;"",_xlpm.CSVVal
)),"")</f>
        <v/>
      </c>
      <c r="J308" s="54" t="str" cm="1">
        <f t="array" ref="J308">IFERROR(_xlfn.LET(
_xlpm.CSVVal,_xlfn.XLOOKUP($A308,CSV!$A:$A,CSV!I:I,""),
_xlpm.MacVal,_xlfn.XLOOKUP($A308,Output_Mac!$A:$A,Output_Mac!K:K,""),
_xlpm.MyAuditVal,_xlfn.XLOOKUP($A308,My_Audit!$A:$A,My_Audit!I:I,""),
_xlfn.IFS(_xlpm.MyAuditVal&lt;&gt;"",UPPER(_xlpm.MyAuditVal),_xlpm.MacVal&lt;&gt;"",_xlpm.MacVal,_xlpm.CSVVal&lt;&gt;"",_xlpm.CSVVal
)),"")</f>
        <v/>
      </c>
      <c r="K308" s="54" t="str" cm="1">
        <f t="array" ref="K308">IFERROR(_xlfn.LET(
_xlpm.CSVVal,_xlfn.XLOOKUP($A308,CSV!$A:$A,CSV!M:M,""),
_xlpm.MacVal,_xlfn.XLOOKUP($A308,Output_Mac!$A:$A,Output_Mac!L:L,""),
_xlpm.MyAuditVal,_xlfn.XLOOKUP($A308,My_Audit!$A:$A,My_Audit!J:J,""),
_xlfn.IFS(_xlpm.MyAuditVal&lt;&gt;"",UPPER(_xlpm.MyAuditVal),_xlpm.MacVal&lt;&gt;"",_xlpm.MacVal,_xlpm.CSVVal&lt;&gt;"",_xlpm.CSVVal
)),"")</f>
        <v/>
      </c>
      <c r="L308" s="55" t="str" cm="1">
        <f t="array" ref="L308">IFERROR(_xlfn.LET(
_xlpm.CSVVal,_xlfn.XLOOKUP($A308,CSV!$A:$A,CSV!P:P,""),
_xlpm.MacVal,_xlfn.XLOOKUP($A308,Output_Mac!$A:$A,Output_Mac!M:M,""),
_xlpm.MyAuditVal,_xlfn.XLOOKUP($A308,My_Audit!$A:$A,My_Audit!K:K,""),
_xlfn.IFS(_xlpm.MyAuditVal&lt;&gt;"",UPPER(_xlpm.MyAuditVal),_xlpm.MacVal&lt;&gt;"",_xlpm.MacVal,_xlpm.CSVVal&lt;&gt;"",_xlpm.CSVVal
)),"")</f>
        <v/>
      </c>
      <c r="M308" s="54" t="str">
        <f>_xlfn.LET(
    _xlpm.CSVVal, _xlfn.XLOOKUP($A308, CSV!$A:$A, CSV!AD:AD, ""),
    _xlpm.MacVal, _xlfn.XLOOKUP($A308, Output_Mac!$A:$A, Output_Mac!S:S, ""),
    _xlpm.MyAuditVal, _xlfn.XLOOKUP($A308, My_Audit!$A:$A, My_Audit!N:N, ""),
    _xlfn.TEXTJOIN(", ", TRUE, _xlpm.MyAuditVal, _xlpm.MacVal, _xlpm.CSVVal)
)</f>
        <v/>
      </c>
      <c r="N308" s="54" t="str" cm="1">
        <f t="array" ref="N308">IFERROR(_xlfn.LET(
_xlpm.CSVVal,_xlfn.XLOOKUP($A308,CSV!$A:$A,CSV!AF:AF,""),
_xlpm.MacVal,_xlfn.XLOOKUP($A308,Output_Mac!$A:$A,Output_Mac!U:U,""),
_xlpm.MyAuditVal,_xlfn.XLOOKUP($A308,My_Audit!$A:$A,My_Audit!O:O,""),
_xlfn.IFS(_xlpm.MyAuditVal&lt;&gt;"",UPPER(_xlpm.MyAuditVal),_xlpm.MacVal&lt;&gt;"",_xlpm.MacVal,_xlpm.CSVVal&lt;&gt;"",_xlpm.CSVVal
)),"")</f>
        <v/>
      </c>
      <c r="O308" s="54"/>
      <c r="P308" s="54"/>
      <c r="Q308" s="54"/>
      <c r="R308" s="54"/>
      <c r="S308" s="54"/>
      <c r="T308" s="54"/>
      <c r="U308" s="39"/>
    </row>
    <row r="309" spans="1:21">
      <c r="A309" s="54" t="str">
        <f>_xlfn.TEXTJOIN("",TRUE,Input!$B$2,ROW(My_Audit!A308))</f>
        <v>XX308</v>
      </c>
      <c r="B309" s="54" t="str">
        <f>_xlfn.TEXTJOIN("-",TRUE,"ITD",Input!$A$2,A309)</f>
        <v>ITD-SHRXXX-XX308</v>
      </c>
      <c r="C309" s="54" t="str" cm="1">
        <f t="array" ref="C309">IFERROR(_xlfn.LET(
_xlpm.CSVVal,_xlfn.XLOOKUP($A309,CSV!$A:$A,CSV!B:B,""),
_xlpm.MacVal,_xlfn.XLOOKUP($A309,Output_Mac!$A:$A,Output_Mac!B:B,""),
_xlpm.MyAuditVal,_xlfn.XLOOKUP($A309,My_Audit!$A:$A,My_Audit!B:B,""),
_xlfn.IFS(_xlpm.MyAuditVal&lt;&gt;"",UPPER(_xlpm.MyAuditVal),_xlpm.MacVal&lt;&gt;"",_xlpm.MacVal,_xlpm.CSVVal&lt;&gt;"",_xlpm.CSVVal
)),"")</f>
        <v/>
      </c>
      <c r="D309" s="55" t="str">
        <f>_xlfn.XLOOKUP(A309,My_Audit!A:A,My_Audit!D:D,"")&amp;""</f>
        <v/>
      </c>
      <c r="E309" s="55" t="str" cm="1">
        <f t="array" ref="E309">IFERROR(_xlfn.LET(
_xlpm.CSVVal,_xlfn.XLOOKUP($A309,CSV!$A:$A,CSV!D:D,""),
_xlpm.MacVal,_xlfn.XLOOKUP($A309,Output_Mac!$A:$A,Output_Mac!C:C,""),
_xlpm.MyAuditVal,_xlfn.XLOOKUP($A309,My_Audit!$A:$A,My_Audit!D:D,""),
_xlfn.IFS(_xlpm.MyAuditVal&lt;&gt;"",_xlpm.MyAuditVal,_xlpm.MacVal&lt;&gt;"",_xlpm.MacVal,_xlpm.CSVVal&lt;&gt;"",_xlpm.CSVVal
)),"")</f>
        <v/>
      </c>
      <c r="F309" s="54" t="str" cm="1">
        <f t="array" ref="F309">IFERROR(_xlfn.LET(
_xlpm.CSVVal,_xlfn.XLOOKUP($A309,CSV!$A:$A,CSV!E:E,""),
_xlpm.MacVal,_xlfn.XLOOKUP($A309,Output_Mac!$A:$A,Output_Mac!F:F,""),
_xlpm.MyAuditVal,_xlfn.XLOOKUP($A309,My_Audit!$A:$A,My_Audit!E:E,""),
_xlfn.IFS(_xlpm.MyAuditVal&lt;&gt;"",_xlpm.MyAuditVal,_xlpm.MacVal&lt;&gt;"",_xlpm.MacVal,_xlpm.CSVVal&lt;&gt;"",PROPER(_xlpm.CSVVal)
)),"")</f>
        <v/>
      </c>
      <c r="G309" s="54" t="str" cm="1">
        <f t="array" ref="G309">IFERROR(_xlfn.LET(
_xlpm.CSVVal,_xlfn.XLOOKUP($A309,CSV!$A:$A,CSV!F:F,""),
_xlpm.MacVal,_xlfn.XLOOKUP($A309,Output_Mac!$A:$A,Output_Mac!H:H,""),
_xlpm.MyAuditVal,_xlfn.XLOOKUP($A309,My_Audit!$A:$A,My_Audit!F:F,""),
_xlfn.IFS(_xlpm.MyAuditVal&lt;&gt;"",_xlpm.MyAuditVal,_xlpm.MacVal&lt;&gt;"",_xlpm.MacVal,_xlpm.CSVVal&lt;&gt;"",_xlpm.CSVVal
)),"")</f>
        <v/>
      </c>
      <c r="H309" s="54" t="str">
        <f>_xlfn.XLOOKUP(A309,Output_Mac!A:A,Output_Mac!I:I,"")</f>
        <v/>
      </c>
      <c r="I309" s="54" t="str" cm="1">
        <f t="array" ref="I309">IFERROR(_xlfn.LET(
_xlpm.CSVVal,_xlfn.XLOOKUP($A309,CSV!$A:$A,CSV!G:G,""),
_xlpm.MacVal,_xlfn.XLOOKUP($A309,Output_Mac!$A:$A,Output_Mac!J:J,""),
_xlpm.MyAuditVal,_xlfn.XLOOKUP($A309,My_Audit!$A:$A,My_Audit!H:H,""),
_xlfn.IFS(_xlpm.MyAuditVal&lt;&gt;"",UPPER(_xlpm.MyAuditVal),_xlpm.MacVal&lt;&gt;"",_xlpm.MacVal,_xlpm.CSVVal&lt;&gt;"",_xlpm.CSVVal
)),"")</f>
        <v/>
      </c>
      <c r="J309" s="54" t="str" cm="1">
        <f t="array" ref="J309">IFERROR(_xlfn.LET(
_xlpm.CSVVal,_xlfn.XLOOKUP($A309,CSV!$A:$A,CSV!I:I,""),
_xlpm.MacVal,_xlfn.XLOOKUP($A309,Output_Mac!$A:$A,Output_Mac!K:K,""),
_xlpm.MyAuditVal,_xlfn.XLOOKUP($A309,My_Audit!$A:$A,My_Audit!I:I,""),
_xlfn.IFS(_xlpm.MyAuditVal&lt;&gt;"",UPPER(_xlpm.MyAuditVal),_xlpm.MacVal&lt;&gt;"",_xlpm.MacVal,_xlpm.CSVVal&lt;&gt;"",_xlpm.CSVVal
)),"")</f>
        <v/>
      </c>
      <c r="K309" s="54" t="str" cm="1">
        <f t="array" ref="K309">IFERROR(_xlfn.LET(
_xlpm.CSVVal,_xlfn.XLOOKUP($A309,CSV!$A:$A,CSV!M:M,""),
_xlpm.MacVal,_xlfn.XLOOKUP($A309,Output_Mac!$A:$A,Output_Mac!L:L,""),
_xlpm.MyAuditVal,_xlfn.XLOOKUP($A309,My_Audit!$A:$A,My_Audit!J:J,""),
_xlfn.IFS(_xlpm.MyAuditVal&lt;&gt;"",UPPER(_xlpm.MyAuditVal),_xlpm.MacVal&lt;&gt;"",_xlpm.MacVal,_xlpm.CSVVal&lt;&gt;"",_xlpm.CSVVal
)),"")</f>
        <v/>
      </c>
      <c r="L309" s="55" t="str" cm="1">
        <f t="array" ref="L309">IFERROR(_xlfn.LET(
_xlpm.CSVVal,_xlfn.XLOOKUP($A309,CSV!$A:$A,CSV!P:P,""),
_xlpm.MacVal,_xlfn.XLOOKUP($A309,Output_Mac!$A:$A,Output_Mac!M:M,""),
_xlpm.MyAuditVal,_xlfn.XLOOKUP($A309,My_Audit!$A:$A,My_Audit!K:K,""),
_xlfn.IFS(_xlpm.MyAuditVal&lt;&gt;"",UPPER(_xlpm.MyAuditVal),_xlpm.MacVal&lt;&gt;"",_xlpm.MacVal,_xlpm.CSVVal&lt;&gt;"",_xlpm.CSVVal
)),"")</f>
        <v/>
      </c>
      <c r="M309" s="54" t="str">
        <f>_xlfn.LET(
    _xlpm.CSVVal, _xlfn.XLOOKUP($A309, CSV!$A:$A, CSV!AD:AD, ""),
    _xlpm.MacVal, _xlfn.XLOOKUP($A309, Output_Mac!$A:$A, Output_Mac!S:S, ""),
    _xlpm.MyAuditVal, _xlfn.XLOOKUP($A309, My_Audit!$A:$A, My_Audit!N:N, ""),
    _xlfn.TEXTJOIN(", ", TRUE, _xlpm.MyAuditVal, _xlpm.MacVal, _xlpm.CSVVal)
)</f>
        <v/>
      </c>
      <c r="N309" s="54" t="str" cm="1">
        <f t="array" ref="N309">IFERROR(_xlfn.LET(
_xlpm.CSVVal,_xlfn.XLOOKUP($A309,CSV!$A:$A,CSV!AF:AF,""),
_xlpm.MacVal,_xlfn.XLOOKUP($A309,Output_Mac!$A:$A,Output_Mac!U:U,""),
_xlpm.MyAuditVal,_xlfn.XLOOKUP($A309,My_Audit!$A:$A,My_Audit!O:O,""),
_xlfn.IFS(_xlpm.MyAuditVal&lt;&gt;"",UPPER(_xlpm.MyAuditVal),_xlpm.MacVal&lt;&gt;"",_xlpm.MacVal,_xlpm.CSVVal&lt;&gt;"",_xlpm.CSVVal
)),"")</f>
        <v/>
      </c>
      <c r="O309" s="54"/>
      <c r="P309" s="54"/>
      <c r="Q309" s="54"/>
      <c r="R309" s="54"/>
      <c r="S309" s="54"/>
      <c r="T309" s="54"/>
      <c r="U309" s="39"/>
    </row>
    <row r="310" spans="1:21">
      <c r="A310" s="54" t="str">
        <f>_xlfn.TEXTJOIN("",TRUE,Input!$B$2,ROW(My_Audit!A309))</f>
        <v>XX309</v>
      </c>
      <c r="B310" s="54" t="str">
        <f>_xlfn.TEXTJOIN("-",TRUE,"ITD",Input!$A$2,A310)</f>
        <v>ITD-SHRXXX-XX309</v>
      </c>
      <c r="C310" s="54" t="str" cm="1">
        <f t="array" ref="C310">IFERROR(_xlfn.LET(
_xlpm.CSVVal,_xlfn.XLOOKUP($A310,CSV!$A:$A,CSV!B:B,""),
_xlpm.MacVal,_xlfn.XLOOKUP($A310,Output_Mac!$A:$A,Output_Mac!B:B,""),
_xlpm.MyAuditVal,_xlfn.XLOOKUP($A310,My_Audit!$A:$A,My_Audit!B:B,""),
_xlfn.IFS(_xlpm.MyAuditVal&lt;&gt;"",UPPER(_xlpm.MyAuditVal),_xlpm.MacVal&lt;&gt;"",_xlpm.MacVal,_xlpm.CSVVal&lt;&gt;"",_xlpm.CSVVal
)),"")</f>
        <v/>
      </c>
      <c r="D310" s="55" t="str">
        <f>_xlfn.XLOOKUP(A310,My_Audit!A:A,My_Audit!D:D,"")&amp;""</f>
        <v/>
      </c>
      <c r="E310" s="55" t="str" cm="1">
        <f t="array" ref="E310">IFERROR(_xlfn.LET(
_xlpm.CSVVal,_xlfn.XLOOKUP($A310,CSV!$A:$A,CSV!D:D,""),
_xlpm.MacVal,_xlfn.XLOOKUP($A310,Output_Mac!$A:$A,Output_Mac!C:C,""),
_xlpm.MyAuditVal,_xlfn.XLOOKUP($A310,My_Audit!$A:$A,My_Audit!D:D,""),
_xlfn.IFS(_xlpm.MyAuditVal&lt;&gt;"",_xlpm.MyAuditVal,_xlpm.MacVal&lt;&gt;"",_xlpm.MacVal,_xlpm.CSVVal&lt;&gt;"",_xlpm.CSVVal
)),"")</f>
        <v/>
      </c>
      <c r="F310" s="54" t="str" cm="1">
        <f t="array" ref="F310">IFERROR(_xlfn.LET(
_xlpm.CSVVal,_xlfn.XLOOKUP($A310,CSV!$A:$A,CSV!E:E,""),
_xlpm.MacVal,_xlfn.XLOOKUP($A310,Output_Mac!$A:$A,Output_Mac!F:F,""),
_xlpm.MyAuditVal,_xlfn.XLOOKUP($A310,My_Audit!$A:$A,My_Audit!E:E,""),
_xlfn.IFS(_xlpm.MyAuditVal&lt;&gt;"",_xlpm.MyAuditVal,_xlpm.MacVal&lt;&gt;"",_xlpm.MacVal,_xlpm.CSVVal&lt;&gt;"",PROPER(_xlpm.CSVVal)
)),"")</f>
        <v/>
      </c>
      <c r="G310" s="54" t="str" cm="1">
        <f t="array" ref="G310">IFERROR(_xlfn.LET(
_xlpm.CSVVal,_xlfn.XLOOKUP($A310,CSV!$A:$A,CSV!F:F,""),
_xlpm.MacVal,_xlfn.XLOOKUP($A310,Output_Mac!$A:$A,Output_Mac!H:H,""),
_xlpm.MyAuditVal,_xlfn.XLOOKUP($A310,My_Audit!$A:$A,My_Audit!F:F,""),
_xlfn.IFS(_xlpm.MyAuditVal&lt;&gt;"",_xlpm.MyAuditVal,_xlpm.MacVal&lt;&gt;"",_xlpm.MacVal,_xlpm.CSVVal&lt;&gt;"",_xlpm.CSVVal
)),"")</f>
        <v/>
      </c>
      <c r="H310" s="54" t="str">
        <f>_xlfn.XLOOKUP(A310,Output_Mac!A:A,Output_Mac!I:I,"")</f>
        <v/>
      </c>
      <c r="I310" s="54" t="str" cm="1">
        <f t="array" ref="I310">IFERROR(_xlfn.LET(
_xlpm.CSVVal,_xlfn.XLOOKUP($A310,CSV!$A:$A,CSV!G:G,""),
_xlpm.MacVal,_xlfn.XLOOKUP($A310,Output_Mac!$A:$A,Output_Mac!J:J,""),
_xlpm.MyAuditVal,_xlfn.XLOOKUP($A310,My_Audit!$A:$A,My_Audit!H:H,""),
_xlfn.IFS(_xlpm.MyAuditVal&lt;&gt;"",UPPER(_xlpm.MyAuditVal),_xlpm.MacVal&lt;&gt;"",_xlpm.MacVal,_xlpm.CSVVal&lt;&gt;"",_xlpm.CSVVal
)),"")</f>
        <v/>
      </c>
      <c r="J310" s="54" t="str" cm="1">
        <f t="array" ref="J310">IFERROR(_xlfn.LET(
_xlpm.CSVVal,_xlfn.XLOOKUP($A310,CSV!$A:$A,CSV!I:I,""),
_xlpm.MacVal,_xlfn.XLOOKUP($A310,Output_Mac!$A:$A,Output_Mac!K:K,""),
_xlpm.MyAuditVal,_xlfn.XLOOKUP($A310,My_Audit!$A:$A,My_Audit!I:I,""),
_xlfn.IFS(_xlpm.MyAuditVal&lt;&gt;"",UPPER(_xlpm.MyAuditVal),_xlpm.MacVal&lt;&gt;"",_xlpm.MacVal,_xlpm.CSVVal&lt;&gt;"",_xlpm.CSVVal
)),"")</f>
        <v/>
      </c>
      <c r="K310" s="54" t="str" cm="1">
        <f t="array" ref="K310">IFERROR(_xlfn.LET(
_xlpm.CSVVal,_xlfn.XLOOKUP($A310,CSV!$A:$A,CSV!M:M,""),
_xlpm.MacVal,_xlfn.XLOOKUP($A310,Output_Mac!$A:$A,Output_Mac!L:L,""),
_xlpm.MyAuditVal,_xlfn.XLOOKUP($A310,My_Audit!$A:$A,My_Audit!J:J,""),
_xlfn.IFS(_xlpm.MyAuditVal&lt;&gt;"",UPPER(_xlpm.MyAuditVal),_xlpm.MacVal&lt;&gt;"",_xlpm.MacVal,_xlpm.CSVVal&lt;&gt;"",_xlpm.CSVVal
)),"")</f>
        <v/>
      </c>
      <c r="L310" s="55" t="str" cm="1">
        <f t="array" ref="L310">IFERROR(_xlfn.LET(
_xlpm.CSVVal,_xlfn.XLOOKUP($A310,CSV!$A:$A,CSV!P:P,""),
_xlpm.MacVal,_xlfn.XLOOKUP($A310,Output_Mac!$A:$A,Output_Mac!M:M,""),
_xlpm.MyAuditVal,_xlfn.XLOOKUP($A310,My_Audit!$A:$A,My_Audit!K:K,""),
_xlfn.IFS(_xlpm.MyAuditVal&lt;&gt;"",UPPER(_xlpm.MyAuditVal),_xlpm.MacVal&lt;&gt;"",_xlpm.MacVal,_xlpm.CSVVal&lt;&gt;"",_xlpm.CSVVal
)),"")</f>
        <v/>
      </c>
      <c r="M310" s="54" t="str">
        <f>_xlfn.LET(
    _xlpm.CSVVal, _xlfn.XLOOKUP($A310, CSV!$A:$A, CSV!AD:AD, ""),
    _xlpm.MacVal, _xlfn.XLOOKUP($A310, Output_Mac!$A:$A, Output_Mac!S:S, ""),
    _xlpm.MyAuditVal, _xlfn.XLOOKUP($A310, My_Audit!$A:$A, My_Audit!N:N, ""),
    _xlfn.TEXTJOIN(", ", TRUE, _xlpm.MyAuditVal, _xlpm.MacVal, _xlpm.CSVVal)
)</f>
        <v/>
      </c>
      <c r="N310" s="54" t="str" cm="1">
        <f t="array" ref="N310">IFERROR(_xlfn.LET(
_xlpm.CSVVal,_xlfn.XLOOKUP($A310,CSV!$A:$A,CSV!AF:AF,""),
_xlpm.MacVal,_xlfn.XLOOKUP($A310,Output_Mac!$A:$A,Output_Mac!U:U,""),
_xlpm.MyAuditVal,_xlfn.XLOOKUP($A310,My_Audit!$A:$A,My_Audit!O:O,""),
_xlfn.IFS(_xlpm.MyAuditVal&lt;&gt;"",UPPER(_xlpm.MyAuditVal),_xlpm.MacVal&lt;&gt;"",_xlpm.MacVal,_xlpm.CSVVal&lt;&gt;"",_xlpm.CSVVal
)),"")</f>
        <v/>
      </c>
      <c r="O310" s="54"/>
      <c r="P310" s="54"/>
      <c r="Q310" s="54"/>
      <c r="R310" s="54"/>
      <c r="S310" s="54"/>
      <c r="T310" s="54"/>
      <c r="U310" s="39"/>
    </row>
    <row r="311" spans="1:21">
      <c r="A311" s="54" t="str">
        <f>_xlfn.TEXTJOIN("",TRUE,Input!$B$2,ROW(My_Audit!A310))</f>
        <v>XX310</v>
      </c>
      <c r="B311" s="54" t="str">
        <f>_xlfn.TEXTJOIN("-",TRUE,"ITD",Input!$A$2,A311)</f>
        <v>ITD-SHRXXX-XX310</v>
      </c>
      <c r="C311" s="54" t="str" cm="1">
        <f t="array" ref="C311">IFERROR(_xlfn.LET(
_xlpm.CSVVal,_xlfn.XLOOKUP($A311,CSV!$A:$A,CSV!B:B,""),
_xlpm.MacVal,_xlfn.XLOOKUP($A311,Output_Mac!$A:$A,Output_Mac!B:B,""),
_xlpm.MyAuditVal,_xlfn.XLOOKUP($A311,My_Audit!$A:$A,My_Audit!B:B,""),
_xlfn.IFS(_xlpm.MyAuditVal&lt;&gt;"",UPPER(_xlpm.MyAuditVal),_xlpm.MacVal&lt;&gt;"",_xlpm.MacVal,_xlpm.CSVVal&lt;&gt;"",_xlpm.CSVVal
)),"")</f>
        <v/>
      </c>
      <c r="D311" s="55" t="str">
        <f>_xlfn.XLOOKUP(A311,My_Audit!A:A,My_Audit!D:D,"")&amp;""</f>
        <v/>
      </c>
      <c r="E311" s="55" t="str" cm="1">
        <f t="array" ref="E311">IFERROR(_xlfn.LET(
_xlpm.CSVVal,_xlfn.XLOOKUP($A311,CSV!$A:$A,CSV!D:D,""),
_xlpm.MacVal,_xlfn.XLOOKUP($A311,Output_Mac!$A:$A,Output_Mac!C:C,""),
_xlpm.MyAuditVal,_xlfn.XLOOKUP($A311,My_Audit!$A:$A,My_Audit!D:D,""),
_xlfn.IFS(_xlpm.MyAuditVal&lt;&gt;"",_xlpm.MyAuditVal,_xlpm.MacVal&lt;&gt;"",_xlpm.MacVal,_xlpm.CSVVal&lt;&gt;"",_xlpm.CSVVal
)),"")</f>
        <v/>
      </c>
      <c r="F311" s="54" t="str" cm="1">
        <f t="array" ref="F311">IFERROR(_xlfn.LET(
_xlpm.CSVVal,_xlfn.XLOOKUP($A311,CSV!$A:$A,CSV!E:E,""),
_xlpm.MacVal,_xlfn.XLOOKUP($A311,Output_Mac!$A:$A,Output_Mac!F:F,""),
_xlpm.MyAuditVal,_xlfn.XLOOKUP($A311,My_Audit!$A:$A,My_Audit!E:E,""),
_xlfn.IFS(_xlpm.MyAuditVal&lt;&gt;"",_xlpm.MyAuditVal,_xlpm.MacVal&lt;&gt;"",_xlpm.MacVal,_xlpm.CSVVal&lt;&gt;"",PROPER(_xlpm.CSVVal)
)),"")</f>
        <v/>
      </c>
      <c r="G311" s="54" t="str" cm="1">
        <f t="array" ref="G311">IFERROR(_xlfn.LET(
_xlpm.CSVVal,_xlfn.XLOOKUP($A311,CSV!$A:$A,CSV!F:F,""),
_xlpm.MacVal,_xlfn.XLOOKUP($A311,Output_Mac!$A:$A,Output_Mac!H:H,""),
_xlpm.MyAuditVal,_xlfn.XLOOKUP($A311,My_Audit!$A:$A,My_Audit!F:F,""),
_xlfn.IFS(_xlpm.MyAuditVal&lt;&gt;"",_xlpm.MyAuditVal,_xlpm.MacVal&lt;&gt;"",_xlpm.MacVal,_xlpm.CSVVal&lt;&gt;"",_xlpm.CSVVal
)),"")</f>
        <v/>
      </c>
      <c r="H311" s="54" t="str">
        <f>_xlfn.XLOOKUP(A311,Output_Mac!A:A,Output_Mac!I:I,"")</f>
        <v/>
      </c>
      <c r="I311" s="54" t="str" cm="1">
        <f t="array" ref="I311">IFERROR(_xlfn.LET(
_xlpm.CSVVal,_xlfn.XLOOKUP($A311,CSV!$A:$A,CSV!G:G,""),
_xlpm.MacVal,_xlfn.XLOOKUP($A311,Output_Mac!$A:$A,Output_Mac!J:J,""),
_xlpm.MyAuditVal,_xlfn.XLOOKUP($A311,My_Audit!$A:$A,My_Audit!H:H,""),
_xlfn.IFS(_xlpm.MyAuditVal&lt;&gt;"",UPPER(_xlpm.MyAuditVal),_xlpm.MacVal&lt;&gt;"",_xlpm.MacVal,_xlpm.CSVVal&lt;&gt;"",_xlpm.CSVVal
)),"")</f>
        <v/>
      </c>
      <c r="J311" s="54" t="str" cm="1">
        <f t="array" ref="J311">IFERROR(_xlfn.LET(
_xlpm.CSVVal,_xlfn.XLOOKUP($A311,CSV!$A:$A,CSV!I:I,""),
_xlpm.MacVal,_xlfn.XLOOKUP($A311,Output_Mac!$A:$A,Output_Mac!K:K,""),
_xlpm.MyAuditVal,_xlfn.XLOOKUP($A311,My_Audit!$A:$A,My_Audit!I:I,""),
_xlfn.IFS(_xlpm.MyAuditVal&lt;&gt;"",UPPER(_xlpm.MyAuditVal),_xlpm.MacVal&lt;&gt;"",_xlpm.MacVal,_xlpm.CSVVal&lt;&gt;"",_xlpm.CSVVal
)),"")</f>
        <v/>
      </c>
      <c r="K311" s="54" t="str" cm="1">
        <f t="array" ref="K311">IFERROR(_xlfn.LET(
_xlpm.CSVVal,_xlfn.XLOOKUP($A311,CSV!$A:$A,CSV!M:M,""),
_xlpm.MacVal,_xlfn.XLOOKUP($A311,Output_Mac!$A:$A,Output_Mac!L:L,""),
_xlpm.MyAuditVal,_xlfn.XLOOKUP($A311,My_Audit!$A:$A,My_Audit!J:J,""),
_xlfn.IFS(_xlpm.MyAuditVal&lt;&gt;"",UPPER(_xlpm.MyAuditVal),_xlpm.MacVal&lt;&gt;"",_xlpm.MacVal,_xlpm.CSVVal&lt;&gt;"",_xlpm.CSVVal
)),"")</f>
        <v/>
      </c>
      <c r="L311" s="55" t="str" cm="1">
        <f t="array" ref="L311">IFERROR(_xlfn.LET(
_xlpm.CSVVal,_xlfn.XLOOKUP($A311,CSV!$A:$A,CSV!P:P,""),
_xlpm.MacVal,_xlfn.XLOOKUP($A311,Output_Mac!$A:$A,Output_Mac!M:M,""),
_xlpm.MyAuditVal,_xlfn.XLOOKUP($A311,My_Audit!$A:$A,My_Audit!K:K,""),
_xlfn.IFS(_xlpm.MyAuditVal&lt;&gt;"",UPPER(_xlpm.MyAuditVal),_xlpm.MacVal&lt;&gt;"",_xlpm.MacVal,_xlpm.CSVVal&lt;&gt;"",_xlpm.CSVVal
)),"")</f>
        <v/>
      </c>
      <c r="M311" s="54" t="str">
        <f>_xlfn.LET(
    _xlpm.CSVVal, _xlfn.XLOOKUP($A311, CSV!$A:$A, CSV!AD:AD, ""),
    _xlpm.MacVal, _xlfn.XLOOKUP($A311, Output_Mac!$A:$A, Output_Mac!S:S, ""),
    _xlpm.MyAuditVal, _xlfn.XLOOKUP($A311, My_Audit!$A:$A, My_Audit!N:N, ""),
    _xlfn.TEXTJOIN(", ", TRUE, _xlpm.MyAuditVal, _xlpm.MacVal, _xlpm.CSVVal)
)</f>
        <v/>
      </c>
      <c r="N311" s="54" t="str" cm="1">
        <f t="array" ref="N311">IFERROR(_xlfn.LET(
_xlpm.CSVVal,_xlfn.XLOOKUP($A311,CSV!$A:$A,CSV!AF:AF,""),
_xlpm.MacVal,_xlfn.XLOOKUP($A311,Output_Mac!$A:$A,Output_Mac!U:U,""),
_xlpm.MyAuditVal,_xlfn.XLOOKUP($A311,My_Audit!$A:$A,My_Audit!O:O,""),
_xlfn.IFS(_xlpm.MyAuditVal&lt;&gt;"",UPPER(_xlpm.MyAuditVal),_xlpm.MacVal&lt;&gt;"",_xlpm.MacVal,_xlpm.CSVVal&lt;&gt;"",_xlpm.CSVVal
)),"")</f>
        <v/>
      </c>
      <c r="O311" s="54"/>
      <c r="P311" s="54"/>
      <c r="Q311" s="54"/>
      <c r="R311" s="54"/>
      <c r="S311" s="54"/>
      <c r="T311" s="54"/>
      <c r="U311" s="39"/>
    </row>
    <row r="312" spans="1:21">
      <c r="A312" s="54" t="str">
        <f>_xlfn.TEXTJOIN("",TRUE,Input!$B$2,ROW(My_Audit!A311))</f>
        <v>XX311</v>
      </c>
      <c r="B312" s="54" t="str">
        <f>_xlfn.TEXTJOIN("-",TRUE,"ITD",Input!$A$2,A312)</f>
        <v>ITD-SHRXXX-XX311</v>
      </c>
      <c r="C312" s="54" t="str" cm="1">
        <f t="array" ref="C312">IFERROR(_xlfn.LET(
_xlpm.CSVVal,_xlfn.XLOOKUP($A312,CSV!$A:$A,CSV!B:B,""),
_xlpm.MacVal,_xlfn.XLOOKUP($A312,Output_Mac!$A:$A,Output_Mac!B:B,""),
_xlpm.MyAuditVal,_xlfn.XLOOKUP($A312,My_Audit!$A:$A,My_Audit!B:B,""),
_xlfn.IFS(_xlpm.MyAuditVal&lt;&gt;"",UPPER(_xlpm.MyAuditVal),_xlpm.MacVal&lt;&gt;"",_xlpm.MacVal,_xlpm.CSVVal&lt;&gt;"",_xlpm.CSVVal
)),"")</f>
        <v/>
      </c>
      <c r="D312" s="55" t="str">
        <f>_xlfn.XLOOKUP(A312,My_Audit!A:A,My_Audit!D:D,"")&amp;""</f>
        <v/>
      </c>
      <c r="E312" s="55" t="str" cm="1">
        <f t="array" ref="E312">IFERROR(_xlfn.LET(
_xlpm.CSVVal,_xlfn.XLOOKUP($A312,CSV!$A:$A,CSV!D:D,""),
_xlpm.MacVal,_xlfn.XLOOKUP($A312,Output_Mac!$A:$A,Output_Mac!C:C,""),
_xlpm.MyAuditVal,_xlfn.XLOOKUP($A312,My_Audit!$A:$A,My_Audit!D:D,""),
_xlfn.IFS(_xlpm.MyAuditVal&lt;&gt;"",_xlpm.MyAuditVal,_xlpm.MacVal&lt;&gt;"",_xlpm.MacVal,_xlpm.CSVVal&lt;&gt;"",_xlpm.CSVVal
)),"")</f>
        <v/>
      </c>
      <c r="F312" s="54" t="str" cm="1">
        <f t="array" ref="F312">IFERROR(_xlfn.LET(
_xlpm.CSVVal,_xlfn.XLOOKUP($A312,CSV!$A:$A,CSV!E:E,""),
_xlpm.MacVal,_xlfn.XLOOKUP($A312,Output_Mac!$A:$A,Output_Mac!F:F,""),
_xlpm.MyAuditVal,_xlfn.XLOOKUP($A312,My_Audit!$A:$A,My_Audit!E:E,""),
_xlfn.IFS(_xlpm.MyAuditVal&lt;&gt;"",_xlpm.MyAuditVal,_xlpm.MacVal&lt;&gt;"",_xlpm.MacVal,_xlpm.CSVVal&lt;&gt;"",PROPER(_xlpm.CSVVal)
)),"")</f>
        <v/>
      </c>
      <c r="G312" s="54" t="str" cm="1">
        <f t="array" ref="G312">IFERROR(_xlfn.LET(
_xlpm.CSVVal,_xlfn.XLOOKUP($A312,CSV!$A:$A,CSV!F:F,""),
_xlpm.MacVal,_xlfn.XLOOKUP($A312,Output_Mac!$A:$A,Output_Mac!H:H,""),
_xlpm.MyAuditVal,_xlfn.XLOOKUP($A312,My_Audit!$A:$A,My_Audit!F:F,""),
_xlfn.IFS(_xlpm.MyAuditVal&lt;&gt;"",_xlpm.MyAuditVal,_xlpm.MacVal&lt;&gt;"",_xlpm.MacVal,_xlpm.CSVVal&lt;&gt;"",_xlpm.CSVVal
)),"")</f>
        <v/>
      </c>
      <c r="H312" s="54" t="str">
        <f>_xlfn.XLOOKUP(A312,Output_Mac!A:A,Output_Mac!I:I,"")</f>
        <v/>
      </c>
      <c r="I312" s="54" t="str" cm="1">
        <f t="array" ref="I312">IFERROR(_xlfn.LET(
_xlpm.CSVVal,_xlfn.XLOOKUP($A312,CSV!$A:$A,CSV!G:G,""),
_xlpm.MacVal,_xlfn.XLOOKUP($A312,Output_Mac!$A:$A,Output_Mac!J:J,""),
_xlpm.MyAuditVal,_xlfn.XLOOKUP($A312,My_Audit!$A:$A,My_Audit!H:H,""),
_xlfn.IFS(_xlpm.MyAuditVal&lt;&gt;"",UPPER(_xlpm.MyAuditVal),_xlpm.MacVal&lt;&gt;"",_xlpm.MacVal,_xlpm.CSVVal&lt;&gt;"",_xlpm.CSVVal
)),"")</f>
        <v/>
      </c>
      <c r="J312" s="54" t="str" cm="1">
        <f t="array" ref="J312">IFERROR(_xlfn.LET(
_xlpm.CSVVal,_xlfn.XLOOKUP($A312,CSV!$A:$A,CSV!I:I,""),
_xlpm.MacVal,_xlfn.XLOOKUP($A312,Output_Mac!$A:$A,Output_Mac!K:K,""),
_xlpm.MyAuditVal,_xlfn.XLOOKUP($A312,My_Audit!$A:$A,My_Audit!I:I,""),
_xlfn.IFS(_xlpm.MyAuditVal&lt;&gt;"",UPPER(_xlpm.MyAuditVal),_xlpm.MacVal&lt;&gt;"",_xlpm.MacVal,_xlpm.CSVVal&lt;&gt;"",_xlpm.CSVVal
)),"")</f>
        <v/>
      </c>
      <c r="K312" s="54" t="str" cm="1">
        <f t="array" ref="K312">IFERROR(_xlfn.LET(
_xlpm.CSVVal,_xlfn.XLOOKUP($A312,CSV!$A:$A,CSV!M:M,""),
_xlpm.MacVal,_xlfn.XLOOKUP($A312,Output_Mac!$A:$A,Output_Mac!L:L,""),
_xlpm.MyAuditVal,_xlfn.XLOOKUP($A312,My_Audit!$A:$A,My_Audit!J:J,""),
_xlfn.IFS(_xlpm.MyAuditVal&lt;&gt;"",UPPER(_xlpm.MyAuditVal),_xlpm.MacVal&lt;&gt;"",_xlpm.MacVal,_xlpm.CSVVal&lt;&gt;"",_xlpm.CSVVal
)),"")</f>
        <v/>
      </c>
      <c r="L312" s="55" t="str" cm="1">
        <f t="array" ref="L312">IFERROR(_xlfn.LET(
_xlpm.CSVVal,_xlfn.XLOOKUP($A312,CSV!$A:$A,CSV!P:P,""),
_xlpm.MacVal,_xlfn.XLOOKUP($A312,Output_Mac!$A:$A,Output_Mac!M:M,""),
_xlpm.MyAuditVal,_xlfn.XLOOKUP($A312,My_Audit!$A:$A,My_Audit!K:K,""),
_xlfn.IFS(_xlpm.MyAuditVal&lt;&gt;"",UPPER(_xlpm.MyAuditVal),_xlpm.MacVal&lt;&gt;"",_xlpm.MacVal,_xlpm.CSVVal&lt;&gt;"",_xlpm.CSVVal
)),"")</f>
        <v/>
      </c>
      <c r="M312" s="54" t="str">
        <f>_xlfn.LET(
    _xlpm.CSVVal, _xlfn.XLOOKUP($A312, CSV!$A:$A, CSV!AD:AD, ""),
    _xlpm.MacVal, _xlfn.XLOOKUP($A312, Output_Mac!$A:$A, Output_Mac!S:S, ""),
    _xlpm.MyAuditVal, _xlfn.XLOOKUP($A312, My_Audit!$A:$A, My_Audit!N:N, ""),
    _xlfn.TEXTJOIN(", ", TRUE, _xlpm.MyAuditVal, _xlpm.MacVal, _xlpm.CSVVal)
)</f>
        <v/>
      </c>
      <c r="N312" s="54" t="str" cm="1">
        <f t="array" ref="N312">IFERROR(_xlfn.LET(
_xlpm.CSVVal,_xlfn.XLOOKUP($A312,CSV!$A:$A,CSV!AF:AF,""),
_xlpm.MacVal,_xlfn.XLOOKUP($A312,Output_Mac!$A:$A,Output_Mac!U:U,""),
_xlpm.MyAuditVal,_xlfn.XLOOKUP($A312,My_Audit!$A:$A,My_Audit!O:O,""),
_xlfn.IFS(_xlpm.MyAuditVal&lt;&gt;"",UPPER(_xlpm.MyAuditVal),_xlpm.MacVal&lt;&gt;"",_xlpm.MacVal,_xlpm.CSVVal&lt;&gt;"",_xlpm.CSVVal
)),"")</f>
        <v/>
      </c>
      <c r="O312" s="54"/>
      <c r="P312" s="54"/>
      <c r="Q312" s="54"/>
      <c r="R312" s="54"/>
      <c r="S312" s="54"/>
      <c r="T312" s="54"/>
      <c r="U312" s="39"/>
    </row>
    <row r="313" spans="1:21">
      <c r="A313" s="54" t="str">
        <f>_xlfn.TEXTJOIN("",TRUE,Input!$B$2,ROW(My_Audit!A312))</f>
        <v>XX312</v>
      </c>
      <c r="B313" s="54" t="str">
        <f>_xlfn.TEXTJOIN("-",TRUE,"ITD",Input!$A$2,A313)</f>
        <v>ITD-SHRXXX-XX312</v>
      </c>
      <c r="C313" s="54" t="str" cm="1">
        <f t="array" ref="C313">IFERROR(_xlfn.LET(
_xlpm.CSVVal,_xlfn.XLOOKUP($A313,CSV!$A:$A,CSV!B:B,""),
_xlpm.MacVal,_xlfn.XLOOKUP($A313,Output_Mac!$A:$A,Output_Mac!B:B,""),
_xlpm.MyAuditVal,_xlfn.XLOOKUP($A313,My_Audit!$A:$A,My_Audit!B:B,""),
_xlfn.IFS(_xlpm.MyAuditVal&lt;&gt;"",UPPER(_xlpm.MyAuditVal),_xlpm.MacVal&lt;&gt;"",_xlpm.MacVal,_xlpm.CSVVal&lt;&gt;"",_xlpm.CSVVal
)),"")</f>
        <v/>
      </c>
      <c r="D313" s="55" t="str">
        <f>_xlfn.XLOOKUP(A313,My_Audit!A:A,My_Audit!D:D,"")&amp;""</f>
        <v/>
      </c>
      <c r="E313" s="55" t="str" cm="1">
        <f t="array" ref="E313">IFERROR(_xlfn.LET(
_xlpm.CSVVal,_xlfn.XLOOKUP($A313,CSV!$A:$A,CSV!D:D,""),
_xlpm.MacVal,_xlfn.XLOOKUP($A313,Output_Mac!$A:$A,Output_Mac!C:C,""),
_xlpm.MyAuditVal,_xlfn.XLOOKUP($A313,My_Audit!$A:$A,My_Audit!D:D,""),
_xlfn.IFS(_xlpm.MyAuditVal&lt;&gt;"",_xlpm.MyAuditVal,_xlpm.MacVal&lt;&gt;"",_xlpm.MacVal,_xlpm.CSVVal&lt;&gt;"",_xlpm.CSVVal
)),"")</f>
        <v/>
      </c>
      <c r="F313" s="54" t="str" cm="1">
        <f t="array" ref="F313">IFERROR(_xlfn.LET(
_xlpm.CSVVal,_xlfn.XLOOKUP($A313,CSV!$A:$A,CSV!E:E,""),
_xlpm.MacVal,_xlfn.XLOOKUP($A313,Output_Mac!$A:$A,Output_Mac!F:F,""),
_xlpm.MyAuditVal,_xlfn.XLOOKUP($A313,My_Audit!$A:$A,My_Audit!E:E,""),
_xlfn.IFS(_xlpm.MyAuditVal&lt;&gt;"",_xlpm.MyAuditVal,_xlpm.MacVal&lt;&gt;"",_xlpm.MacVal,_xlpm.CSVVal&lt;&gt;"",PROPER(_xlpm.CSVVal)
)),"")</f>
        <v/>
      </c>
      <c r="G313" s="54" t="str" cm="1">
        <f t="array" ref="G313">IFERROR(_xlfn.LET(
_xlpm.CSVVal,_xlfn.XLOOKUP($A313,CSV!$A:$A,CSV!F:F,""),
_xlpm.MacVal,_xlfn.XLOOKUP($A313,Output_Mac!$A:$A,Output_Mac!H:H,""),
_xlpm.MyAuditVal,_xlfn.XLOOKUP($A313,My_Audit!$A:$A,My_Audit!F:F,""),
_xlfn.IFS(_xlpm.MyAuditVal&lt;&gt;"",_xlpm.MyAuditVal,_xlpm.MacVal&lt;&gt;"",_xlpm.MacVal,_xlpm.CSVVal&lt;&gt;"",_xlpm.CSVVal
)),"")</f>
        <v/>
      </c>
      <c r="H313" s="54" t="str">
        <f>_xlfn.XLOOKUP(A313,Output_Mac!A:A,Output_Mac!I:I,"")</f>
        <v/>
      </c>
      <c r="I313" s="54" t="str" cm="1">
        <f t="array" ref="I313">IFERROR(_xlfn.LET(
_xlpm.CSVVal,_xlfn.XLOOKUP($A313,CSV!$A:$A,CSV!G:G,""),
_xlpm.MacVal,_xlfn.XLOOKUP($A313,Output_Mac!$A:$A,Output_Mac!J:J,""),
_xlpm.MyAuditVal,_xlfn.XLOOKUP($A313,My_Audit!$A:$A,My_Audit!H:H,""),
_xlfn.IFS(_xlpm.MyAuditVal&lt;&gt;"",UPPER(_xlpm.MyAuditVal),_xlpm.MacVal&lt;&gt;"",_xlpm.MacVal,_xlpm.CSVVal&lt;&gt;"",_xlpm.CSVVal
)),"")</f>
        <v/>
      </c>
      <c r="J313" s="54" t="str" cm="1">
        <f t="array" ref="J313">IFERROR(_xlfn.LET(
_xlpm.CSVVal,_xlfn.XLOOKUP($A313,CSV!$A:$A,CSV!I:I,""),
_xlpm.MacVal,_xlfn.XLOOKUP($A313,Output_Mac!$A:$A,Output_Mac!K:K,""),
_xlpm.MyAuditVal,_xlfn.XLOOKUP($A313,My_Audit!$A:$A,My_Audit!I:I,""),
_xlfn.IFS(_xlpm.MyAuditVal&lt;&gt;"",UPPER(_xlpm.MyAuditVal),_xlpm.MacVal&lt;&gt;"",_xlpm.MacVal,_xlpm.CSVVal&lt;&gt;"",_xlpm.CSVVal
)),"")</f>
        <v/>
      </c>
      <c r="K313" s="54" t="str" cm="1">
        <f t="array" ref="K313">IFERROR(_xlfn.LET(
_xlpm.CSVVal,_xlfn.XLOOKUP($A313,CSV!$A:$A,CSV!M:M,""),
_xlpm.MacVal,_xlfn.XLOOKUP($A313,Output_Mac!$A:$A,Output_Mac!L:L,""),
_xlpm.MyAuditVal,_xlfn.XLOOKUP($A313,My_Audit!$A:$A,My_Audit!J:J,""),
_xlfn.IFS(_xlpm.MyAuditVal&lt;&gt;"",UPPER(_xlpm.MyAuditVal),_xlpm.MacVal&lt;&gt;"",_xlpm.MacVal,_xlpm.CSVVal&lt;&gt;"",_xlpm.CSVVal
)),"")</f>
        <v/>
      </c>
      <c r="L313" s="55" t="str" cm="1">
        <f t="array" ref="L313">IFERROR(_xlfn.LET(
_xlpm.CSVVal,_xlfn.XLOOKUP($A313,CSV!$A:$A,CSV!P:P,""),
_xlpm.MacVal,_xlfn.XLOOKUP($A313,Output_Mac!$A:$A,Output_Mac!M:M,""),
_xlpm.MyAuditVal,_xlfn.XLOOKUP($A313,My_Audit!$A:$A,My_Audit!K:K,""),
_xlfn.IFS(_xlpm.MyAuditVal&lt;&gt;"",UPPER(_xlpm.MyAuditVal),_xlpm.MacVal&lt;&gt;"",_xlpm.MacVal,_xlpm.CSVVal&lt;&gt;"",_xlpm.CSVVal
)),"")</f>
        <v/>
      </c>
      <c r="M313" s="54" t="str">
        <f>_xlfn.LET(
    _xlpm.CSVVal, _xlfn.XLOOKUP($A313, CSV!$A:$A, CSV!AD:AD, ""),
    _xlpm.MacVal, _xlfn.XLOOKUP($A313, Output_Mac!$A:$A, Output_Mac!S:S, ""),
    _xlpm.MyAuditVal, _xlfn.XLOOKUP($A313, My_Audit!$A:$A, My_Audit!N:N, ""),
    _xlfn.TEXTJOIN(", ", TRUE, _xlpm.MyAuditVal, _xlpm.MacVal, _xlpm.CSVVal)
)</f>
        <v/>
      </c>
      <c r="N313" s="54" t="str" cm="1">
        <f t="array" ref="N313">IFERROR(_xlfn.LET(
_xlpm.CSVVal,_xlfn.XLOOKUP($A313,CSV!$A:$A,CSV!AF:AF,""),
_xlpm.MacVal,_xlfn.XLOOKUP($A313,Output_Mac!$A:$A,Output_Mac!U:U,""),
_xlpm.MyAuditVal,_xlfn.XLOOKUP($A313,My_Audit!$A:$A,My_Audit!O:O,""),
_xlfn.IFS(_xlpm.MyAuditVal&lt;&gt;"",UPPER(_xlpm.MyAuditVal),_xlpm.MacVal&lt;&gt;"",_xlpm.MacVal,_xlpm.CSVVal&lt;&gt;"",_xlpm.CSVVal
)),"")</f>
        <v/>
      </c>
      <c r="O313" s="54"/>
      <c r="P313" s="54"/>
      <c r="Q313" s="54"/>
      <c r="R313" s="54"/>
      <c r="S313" s="54"/>
      <c r="T313" s="54"/>
      <c r="U313" s="39"/>
    </row>
    <row r="314" spans="1:21">
      <c r="A314" s="54" t="str">
        <f>_xlfn.TEXTJOIN("",TRUE,Input!$B$2,ROW(My_Audit!A313))</f>
        <v>XX313</v>
      </c>
      <c r="B314" s="54" t="str">
        <f>_xlfn.TEXTJOIN("-",TRUE,"ITD",Input!$A$2,A314)</f>
        <v>ITD-SHRXXX-XX313</v>
      </c>
      <c r="C314" s="54" t="str" cm="1">
        <f t="array" ref="C314">IFERROR(_xlfn.LET(
_xlpm.CSVVal,_xlfn.XLOOKUP($A314,CSV!$A:$A,CSV!B:B,""),
_xlpm.MacVal,_xlfn.XLOOKUP($A314,Output_Mac!$A:$A,Output_Mac!B:B,""),
_xlpm.MyAuditVal,_xlfn.XLOOKUP($A314,My_Audit!$A:$A,My_Audit!B:B,""),
_xlfn.IFS(_xlpm.MyAuditVal&lt;&gt;"",UPPER(_xlpm.MyAuditVal),_xlpm.MacVal&lt;&gt;"",_xlpm.MacVal,_xlpm.CSVVal&lt;&gt;"",_xlpm.CSVVal
)),"")</f>
        <v/>
      </c>
      <c r="D314" s="55" t="str">
        <f>_xlfn.XLOOKUP(A314,My_Audit!A:A,My_Audit!D:D,"")&amp;""</f>
        <v/>
      </c>
      <c r="E314" s="55" t="str" cm="1">
        <f t="array" ref="E314">IFERROR(_xlfn.LET(
_xlpm.CSVVal,_xlfn.XLOOKUP($A314,CSV!$A:$A,CSV!D:D,""),
_xlpm.MacVal,_xlfn.XLOOKUP($A314,Output_Mac!$A:$A,Output_Mac!C:C,""),
_xlpm.MyAuditVal,_xlfn.XLOOKUP($A314,My_Audit!$A:$A,My_Audit!D:D,""),
_xlfn.IFS(_xlpm.MyAuditVal&lt;&gt;"",_xlpm.MyAuditVal,_xlpm.MacVal&lt;&gt;"",_xlpm.MacVal,_xlpm.CSVVal&lt;&gt;"",_xlpm.CSVVal
)),"")</f>
        <v/>
      </c>
      <c r="F314" s="54" t="str" cm="1">
        <f t="array" ref="F314">IFERROR(_xlfn.LET(
_xlpm.CSVVal,_xlfn.XLOOKUP($A314,CSV!$A:$A,CSV!E:E,""),
_xlpm.MacVal,_xlfn.XLOOKUP($A314,Output_Mac!$A:$A,Output_Mac!F:F,""),
_xlpm.MyAuditVal,_xlfn.XLOOKUP($A314,My_Audit!$A:$A,My_Audit!E:E,""),
_xlfn.IFS(_xlpm.MyAuditVal&lt;&gt;"",_xlpm.MyAuditVal,_xlpm.MacVal&lt;&gt;"",_xlpm.MacVal,_xlpm.CSVVal&lt;&gt;"",PROPER(_xlpm.CSVVal)
)),"")</f>
        <v/>
      </c>
      <c r="G314" s="54" t="str" cm="1">
        <f t="array" ref="G314">IFERROR(_xlfn.LET(
_xlpm.CSVVal,_xlfn.XLOOKUP($A314,CSV!$A:$A,CSV!F:F,""),
_xlpm.MacVal,_xlfn.XLOOKUP($A314,Output_Mac!$A:$A,Output_Mac!H:H,""),
_xlpm.MyAuditVal,_xlfn.XLOOKUP($A314,My_Audit!$A:$A,My_Audit!F:F,""),
_xlfn.IFS(_xlpm.MyAuditVal&lt;&gt;"",_xlpm.MyAuditVal,_xlpm.MacVal&lt;&gt;"",_xlpm.MacVal,_xlpm.CSVVal&lt;&gt;"",_xlpm.CSVVal
)),"")</f>
        <v/>
      </c>
      <c r="H314" s="54" t="str">
        <f>_xlfn.XLOOKUP(A314,Output_Mac!A:A,Output_Mac!I:I,"")</f>
        <v/>
      </c>
      <c r="I314" s="54" t="str" cm="1">
        <f t="array" ref="I314">IFERROR(_xlfn.LET(
_xlpm.CSVVal,_xlfn.XLOOKUP($A314,CSV!$A:$A,CSV!G:G,""),
_xlpm.MacVal,_xlfn.XLOOKUP($A314,Output_Mac!$A:$A,Output_Mac!J:J,""),
_xlpm.MyAuditVal,_xlfn.XLOOKUP($A314,My_Audit!$A:$A,My_Audit!H:H,""),
_xlfn.IFS(_xlpm.MyAuditVal&lt;&gt;"",UPPER(_xlpm.MyAuditVal),_xlpm.MacVal&lt;&gt;"",_xlpm.MacVal,_xlpm.CSVVal&lt;&gt;"",_xlpm.CSVVal
)),"")</f>
        <v/>
      </c>
      <c r="J314" s="54" t="str" cm="1">
        <f t="array" ref="J314">IFERROR(_xlfn.LET(
_xlpm.CSVVal,_xlfn.XLOOKUP($A314,CSV!$A:$A,CSV!I:I,""),
_xlpm.MacVal,_xlfn.XLOOKUP($A314,Output_Mac!$A:$A,Output_Mac!K:K,""),
_xlpm.MyAuditVal,_xlfn.XLOOKUP($A314,My_Audit!$A:$A,My_Audit!I:I,""),
_xlfn.IFS(_xlpm.MyAuditVal&lt;&gt;"",UPPER(_xlpm.MyAuditVal),_xlpm.MacVal&lt;&gt;"",_xlpm.MacVal,_xlpm.CSVVal&lt;&gt;"",_xlpm.CSVVal
)),"")</f>
        <v/>
      </c>
      <c r="K314" s="54" t="str" cm="1">
        <f t="array" ref="K314">IFERROR(_xlfn.LET(
_xlpm.CSVVal,_xlfn.XLOOKUP($A314,CSV!$A:$A,CSV!M:M,""),
_xlpm.MacVal,_xlfn.XLOOKUP($A314,Output_Mac!$A:$A,Output_Mac!L:L,""),
_xlpm.MyAuditVal,_xlfn.XLOOKUP($A314,My_Audit!$A:$A,My_Audit!J:J,""),
_xlfn.IFS(_xlpm.MyAuditVal&lt;&gt;"",UPPER(_xlpm.MyAuditVal),_xlpm.MacVal&lt;&gt;"",_xlpm.MacVal,_xlpm.CSVVal&lt;&gt;"",_xlpm.CSVVal
)),"")</f>
        <v/>
      </c>
      <c r="L314" s="55" t="str" cm="1">
        <f t="array" ref="L314">IFERROR(_xlfn.LET(
_xlpm.CSVVal,_xlfn.XLOOKUP($A314,CSV!$A:$A,CSV!P:P,""),
_xlpm.MacVal,_xlfn.XLOOKUP($A314,Output_Mac!$A:$A,Output_Mac!M:M,""),
_xlpm.MyAuditVal,_xlfn.XLOOKUP($A314,My_Audit!$A:$A,My_Audit!K:K,""),
_xlfn.IFS(_xlpm.MyAuditVal&lt;&gt;"",UPPER(_xlpm.MyAuditVal),_xlpm.MacVal&lt;&gt;"",_xlpm.MacVal,_xlpm.CSVVal&lt;&gt;"",_xlpm.CSVVal
)),"")</f>
        <v/>
      </c>
      <c r="M314" s="54" t="str">
        <f>_xlfn.LET(
    _xlpm.CSVVal, _xlfn.XLOOKUP($A314, CSV!$A:$A, CSV!AD:AD, ""),
    _xlpm.MacVal, _xlfn.XLOOKUP($A314, Output_Mac!$A:$A, Output_Mac!S:S, ""),
    _xlpm.MyAuditVal, _xlfn.XLOOKUP($A314, My_Audit!$A:$A, My_Audit!N:N, ""),
    _xlfn.TEXTJOIN(", ", TRUE, _xlpm.MyAuditVal, _xlpm.MacVal, _xlpm.CSVVal)
)</f>
        <v/>
      </c>
      <c r="N314" s="54" t="str" cm="1">
        <f t="array" ref="N314">IFERROR(_xlfn.LET(
_xlpm.CSVVal,_xlfn.XLOOKUP($A314,CSV!$A:$A,CSV!AF:AF,""),
_xlpm.MacVal,_xlfn.XLOOKUP($A314,Output_Mac!$A:$A,Output_Mac!U:U,""),
_xlpm.MyAuditVal,_xlfn.XLOOKUP($A314,My_Audit!$A:$A,My_Audit!O:O,""),
_xlfn.IFS(_xlpm.MyAuditVal&lt;&gt;"",UPPER(_xlpm.MyAuditVal),_xlpm.MacVal&lt;&gt;"",_xlpm.MacVal,_xlpm.CSVVal&lt;&gt;"",_xlpm.CSVVal
)),"")</f>
        <v/>
      </c>
      <c r="O314" s="54"/>
      <c r="P314" s="54"/>
      <c r="Q314" s="54"/>
      <c r="R314" s="54"/>
      <c r="S314" s="54"/>
      <c r="T314" s="54"/>
      <c r="U314" s="39"/>
    </row>
    <row r="315" spans="1:21">
      <c r="A315" s="54" t="str">
        <f>_xlfn.TEXTJOIN("",TRUE,Input!$B$2,ROW(My_Audit!A314))</f>
        <v>XX314</v>
      </c>
      <c r="B315" s="54" t="str">
        <f>_xlfn.TEXTJOIN("-",TRUE,"ITD",Input!$A$2,A315)</f>
        <v>ITD-SHRXXX-XX314</v>
      </c>
      <c r="C315" s="54" t="str" cm="1">
        <f t="array" ref="C315">IFERROR(_xlfn.LET(
_xlpm.CSVVal,_xlfn.XLOOKUP($A315,CSV!$A:$A,CSV!B:B,""),
_xlpm.MacVal,_xlfn.XLOOKUP($A315,Output_Mac!$A:$A,Output_Mac!B:B,""),
_xlpm.MyAuditVal,_xlfn.XLOOKUP($A315,My_Audit!$A:$A,My_Audit!B:B,""),
_xlfn.IFS(_xlpm.MyAuditVal&lt;&gt;"",UPPER(_xlpm.MyAuditVal),_xlpm.MacVal&lt;&gt;"",_xlpm.MacVal,_xlpm.CSVVal&lt;&gt;"",_xlpm.CSVVal
)),"")</f>
        <v/>
      </c>
      <c r="D315" s="55" t="str">
        <f>_xlfn.XLOOKUP(A315,My_Audit!A:A,My_Audit!D:D,"")&amp;""</f>
        <v/>
      </c>
      <c r="E315" s="55" t="str" cm="1">
        <f t="array" ref="E315">IFERROR(_xlfn.LET(
_xlpm.CSVVal,_xlfn.XLOOKUP($A315,CSV!$A:$A,CSV!D:D,""),
_xlpm.MacVal,_xlfn.XLOOKUP($A315,Output_Mac!$A:$A,Output_Mac!C:C,""),
_xlpm.MyAuditVal,_xlfn.XLOOKUP($A315,My_Audit!$A:$A,My_Audit!D:D,""),
_xlfn.IFS(_xlpm.MyAuditVal&lt;&gt;"",_xlpm.MyAuditVal,_xlpm.MacVal&lt;&gt;"",_xlpm.MacVal,_xlpm.CSVVal&lt;&gt;"",_xlpm.CSVVal
)),"")</f>
        <v/>
      </c>
      <c r="F315" s="54" t="str" cm="1">
        <f t="array" ref="F315">IFERROR(_xlfn.LET(
_xlpm.CSVVal,_xlfn.XLOOKUP($A315,CSV!$A:$A,CSV!E:E,""),
_xlpm.MacVal,_xlfn.XLOOKUP($A315,Output_Mac!$A:$A,Output_Mac!F:F,""),
_xlpm.MyAuditVal,_xlfn.XLOOKUP($A315,My_Audit!$A:$A,My_Audit!E:E,""),
_xlfn.IFS(_xlpm.MyAuditVal&lt;&gt;"",_xlpm.MyAuditVal,_xlpm.MacVal&lt;&gt;"",_xlpm.MacVal,_xlpm.CSVVal&lt;&gt;"",PROPER(_xlpm.CSVVal)
)),"")</f>
        <v/>
      </c>
      <c r="G315" s="54" t="str" cm="1">
        <f t="array" ref="G315">IFERROR(_xlfn.LET(
_xlpm.CSVVal,_xlfn.XLOOKUP($A315,CSV!$A:$A,CSV!F:F,""),
_xlpm.MacVal,_xlfn.XLOOKUP($A315,Output_Mac!$A:$A,Output_Mac!H:H,""),
_xlpm.MyAuditVal,_xlfn.XLOOKUP($A315,My_Audit!$A:$A,My_Audit!F:F,""),
_xlfn.IFS(_xlpm.MyAuditVal&lt;&gt;"",_xlpm.MyAuditVal,_xlpm.MacVal&lt;&gt;"",_xlpm.MacVal,_xlpm.CSVVal&lt;&gt;"",_xlpm.CSVVal
)),"")</f>
        <v/>
      </c>
      <c r="H315" s="54" t="str">
        <f>_xlfn.XLOOKUP(A315,Output_Mac!A:A,Output_Mac!I:I,"")</f>
        <v/>
      </c>
      <c r="I315" s="54" t="str" cm="1">
        <f t="array" ref="I315">IFERROR(_xlfn.LET(
_xlpm.CSVVal,_xlfn.XLOOKUP($A315,CSV!$A:$A,CSV!G:G,""),
_xlpm.MacVal,_xlfn.XLOOKUP($A315,Output_Mac!$A:$A,Output_Mac!J:J,""),
_xlpm.MyAuditVal,_xlfn.XLOOKUP($A315,My_Audit!$A:$A,My_Audit!H:H,""),
_xlfn.IFS(_xlpm.MyAuditVal&lt;&gt;"",UPPER(_xlpm.MyAuditVal),_xlpm.MacVal&lt;&gt;"",_xlpm.MacVal,_xlpm.CSVVal&lt;&gt;"",_xlpm.CSVVal
)),"")</f>
        <v/>
      </c>
      <c r="J315" s="54" t="str" cm="1">
        <f t="array" ref="J315">IFERROR(_xlfn.LET(
_xlpm.CSVVal,_xlfn.XLOOKUP($A315,CSV!$A:$A,CSV!I:I,""),
_xlpm.MacVal,_xlfn.XLOOKUP($A315,Output_Mac!$A:$A,Output_Mac!K:K,""),
_xlpm.MyAuditVal,_xlfn.XLOOKUP($A315,My_Audit!$A:$A,My_Audit!I:I,""),
_xlfn.IFS(_xlpm.MyAuditVal&lt;&gt;"",UPPER(_xlpm.MyAuditVal),_xlpm.MacVal&lt;&gt;"",_xlpm.MacVal,_xlpm.CSVVal&lt;&gt;"",_xlpm.CSVVal
)),"")</f>
        <v/>
      </c>
      <c r="K315" s="54" t="str" cm="1">
        <f t="array" ref="K315">IFERROR(_xlfn.LET(
_xlpm.CSVVal,_xlfn.XLOOKUP($A315,CSV!$A:$A,CSV!M:M,""),
_xlpm.MacVal,_xlfn.XLOOKUP($A315,Output_Mac!$A:$A,Output_Mac!L:L,""),
_xlpm.MyAuditVal,_xlfn.XLOOKUP($A315,My_Audit!$A:$A,My_Audit!J:J,""),
_xlfn.IFS(_xlpm.MyAuditVal&lt;&gt;"",UPPER(_xlpm.MyAuditVal),_xlpm.MacVal&lt;&gt;"",_xlpm.MacVal,_xlpm.CSVVal&lt;&gt;"",_xlpm.CSVVal
)),"")</f>
        <v/>
      </c>
      <c r="L315" s="55" t="str" cm="1">
        <f t="array" ref="L315">IFERROR(_xlfn.LET(
_xlpm.CSVVal,_xlfn.XLOOKUP($A315,CSV!$A:$A,CSV!P:P,""),
_xlpm.MacVal,_xlfn.XLOOKUP($A315,Output_Mac!$A:$A,Output_Mac!M:M,""),
_xlpm.MyAuditVal,_xlfn.XLOOKUP($A315,My_Audit!$A:$A,My_Audit!K:K,""),
_xlfn.IFS(_xlpm.MyAuditVal&lt;&gt;"",UPPER(_xlpm.MyAuditVal),_xlpm.MacVal&lt;&gt;"",_xlpm.MacVal,_xlpm.CSVVal&lt;&gt;"",_xlpm.CSVVal
)),"")</f>
        <v/>
      </c>
      <c r="M315" s="54" t="str">
        <f>_xlfn.LET(
    _xlpm.CSVVal, _xlfn.XLOOKUP($A315, CSV!$A:$A, CSV!AD:AD, ""),
    _xlpm.MacVal, _xlfn.XLOOKUP($A315, Output_Mac!$A:$A, Output_Mac!S:S, ""),
    _xlpm.MyAuditVal, _xlfn.XLOOKUP($A315, My_Audit!$A:$A, My_Audit!N:N, ""),
    _xlfn.TEXTJOIN(", ", TRUE, _xlpm.MyAuditVal, _xlpm.MacVal, _xlpm.CSVVal)
)</f>
        <v/>
      </c>
      <c r="N315" s="54" t="str" cm="1">
        <f t="array" ref="N315">IFERROR(_xlfn.LET(
_xlpm.CSVVal,_xlfn.XLOOKUP($A315,CSV!$A:$A,CSV!AF:AF,""),
_xlpm.MacVal,_xlfn.XLOOKUP($A315,Output_Mac!$A:$A,Output_Mac!U:U,""),
_xlpm.MyAuditVal,_xlfn.XLOOKUP($A315,My_Audit!$A:$A,My_Audit!O:O,""),
_xlfn.IFS(_xlpm.MyAuditVal&lt;&gt;"",UPPER(_xlpm.MyAuditVal),_xlpm.MacVal&lt;&gt;"",_xlpm.MacVal,_xlpm.CSVVal&lt;&gt;"",_xlpm.CSVVal
)),"")</f>
        <v/>
      </c>
      <c r="O315" s="54"/>
      <c r="P315" s="54"/>
      <c r="Q315" s="54"/>
      <c r="R315" s="54"/>
      <c r="S315" s="54"/>
      <c r="T315" s="54"/>
      <c r="U315" s="39"/>
    </row>
    <row r="316" spans="1:21">
      <c r="A316" s="54" t="str">
        <f>_xlfn.TEXTJOIN("",TRUE,Input!$B$2,ROW(My_Audit!A315))</f>
        <v>XX315</v>
      </c>
      <c r="B316" s="54" t="str">
        <f>_xlfn.TEXTJOIN("-",TRUE,"ITD",Input!$A$2,A316)</f>
        <v>ITD-SHRXXX-XX315</v>
      </c>
      <c r="C316" s="54" t="str" cm="1">
        <f t="array" ref="C316">IFERROR(_xlfn.LET(
_xlpm.CSVVal,_xlfn.XLOOKUP($A316,CSV!$A:$A,CSV!B:B,""),
_xlpm.MacVal,_xlfn.XLOOKUP($A316,Output_Mac!$A:$A,Output_Mac!B:B,""),
_xlpm.MyAuditVal,_xlfn.XLOOKUP($A316,My_Audit!$A:$A,My_Audit!B:B,""),
_xlfn.IFS(_xlpm.MyAuditVal&lt;&gt;"",UPPER(_xlpm.MyAuditVal),_xlpm.MacVal&lt;&gt;"",_xlpm.MacVal,_xlpm.CSVVal&lt;&gt;"",_xlpm.CSVVal
)),"")</f>
        <v/>
      </c>
      <c r="D316" s="55" t="str">
        <f>_xlfn.XLOOKUP(A316,My_Audit!A:A,My_Audit!D:D,"")&amp;""</f>
        <v/>
      </c>
      <c r="E316" s="55" t="str" cm="1">
        <f t="array" ref="E316">IFERROR(_xlfn.LET(
_xlpm.CSVVal,_xlfn.XLOOKUP($A316,CSV!$A:$A,CSV!D:D,""),
_xlpm.MacVal,_xlfn.XLOOKUP($A316,Output_Mac!$A:$A,Output_Mac!C:C,""),
_xlpm.MyAuditVal,_xlfn.XLOOKUP($A316,My_Audit!$A:$A,My_Audit!D:D,""),
_xlfn.IFS(_xlpm.MyAuditVal&lt;&gt;"",_xlpm.MyAuditVal,_xlpm.MacVal&lt;&gt;"",_xlpm.MacVal,_xlpm.CSVVal&lt;&gt;"",_xlpm.CSVVal
)),"")</f>
        <v/>
      </c>
      <c r="F316" s="54" t="str" cm="1">
        <f t="array" ref="F316">IFERROR(_xlfn.LET(
_xlpm.CSVVal,_xlfn.XLOOKUP($A316,CSV!$A:$A,CSV!E:E,""),
_xlpm.MacVal,_xlfn.XLOOKUP($A316,Output_Mac!$A:$A,Output_Mac!F:F,""),
_xlpm.MyAuditVal,_xlfn.XLOOKUP($A316,My_Audit!$A:$A,My_Audit!E:E,""),
_xlfn.IFS(_xlpm.MyAuditVal&lt;&gt;"",_xlpm.MyAuditVal,_xlpm.MacVal&lt;&gt;"",_xlpm.MacVal,_xlpm.CSVVal&lt;&gt;"",PROPER(_xlpm.CSVVal)
)),"")</f>
        <v/>
      </c>
      <c r="G316" s="54" t="str" cm="1">
        <f t="array" ref="G316">IFERROR(_xlfn.LET(
_xlpm.CSVVal,_xlfn.XLOOKUP($A316,CSV!$A:$A,CSV!F:F,""),
_xlpm.MacVal,_xlfn.XLOOKUP($A316,Output_Mac!$A:$A,Output_Mac!H:H,""),
_xlpm.MyAuditVal,_xlfn.XLOOKUP($A316,My_Audit!$A:$A,My_Audit!F:F,""),
_xlfn.IFS(_xlpm.MyAuditVal&lt;&gt;"",_xlpm.MyAuditVal,_xlpm.MacVal&lt;&gt;"",_xlpm.MacVal,_xlpm.CSVVal&lt;&gt;"",_xlpm.CSVVal
)),"")</f>
        <v/>
      </c>
      <c r="H316" s="54" t="str">
        <f>_xlfn.XLOOKUP(A316,Output_Mac!A:A,Output_Mac!I:I,"")</f>
        <v/>
      </c>
      <c r="I316" s="54" t="str" cm="1">
        <f t="array" ref="I316">IFERROR(_xlfn.LET(
_xlpm.CSVVal,_xlfn.XLOOKUP($A316,CSV!$A:$A,CSV!G:G,""),
_xlpm.MacVal,_xlfn.XLOOKUP($A316,Output_Mac!$A:$A,Output_Mac!J:J,""),
_xlpm.MyAuditVal,_xlfn.XLOOKUP($A316,My_Audit!$A:$A,My_Audit!H:H,""),
_xlfn.IFS(_xlpm.MyAuditVal&lt;&gt;"",UPPER(_xlpm.MyAuditVal),_xlpm.MacVal&lt;&gt;"",_xlpm.MacVal,_xlpm.CSVVal&lt;&gt;"",_xlpm.CSVVal
)),"")</f>
        <v/>
      </c>
      <c r="J316" s="54" t="str" cm="1">
        <f t="array" ref="J316">IFERROR(_xlfn.LET(
_xlpm.CSVVal,_xlfn.XLOOKUP($A316,CSV!$A:$A,CSV!I:I,""),
_xlpm.MacVal,_xlfn.XLOOKUP($A316,Output_Mac!$A:$A,Output_Mac!K:K,""),
_xlpm.MyAuditVal,_xlfn.XLOOKUP($A316,My_Audit!$A:$A,My_Audit!I:I,""),
_xlfn.IFS(_xlpm.MyAuditVal&lt;&gt;"",UPPER(_xlpm.MyAuditVal),_xlpm.MacVal&lt;&gt;"",_xlpm.MacVal,_xlpm.CSVVal&lt;&gt;"",_xlpm.CSVVal
)),"")</f>
        <v/>
      </c>
      <c r="K316" s="54" t="str" cm="1">
        <f t="array" ref="K316">IFERROR(_xlfn.LET(
_xlpm.CSVVal,_xlfn.XLOOKUP($A316,CSV!$A:$A,CSV!M:M,""),
_xlpm.MacVal,_xlfn.XLOOKUP($A316,Output_Mac!$A:$A,Output_Mac!L:L,""),
_xlpm.MyAuditVal,_xlfn.XLOOKUP($A316,My_Audit!$A:$A,My_Audit!J:J,""),
_xlfn.IFS(_xlpm.MyAuditVal&lt;&gt;"",UPPER(_xlpm.MyAuditVal),_xlpm.MacVal&lt;&gt;"",_xlpm.MacVal,_xlpm.CSVVal&lt;&gt;"",_xlpm.CSVVal
)),"")</f>
        <v/>
      </c>
      <c r="L316" s="55" t="str" cm="1">
        <f t="array" ref="L316">IFERROR(_xlfn.LET(
_xlpm.CSVVal,_xlfn.XLOOKUP($A316,CSV!$A:$A,CSV!P:P,""),
_xlpm.MacVal,_xlfn.XLOOKUP($A316,Output_Mac!$A:$A,Output_Mac!M:M,""),
_xlpm.MyAuditVal,_xlfn.XLOOKUP($A316,My_Audit!$A:$A,My_Audit!K:K,""),
_xlfn.IFS(_xlpm.MyAuditVal&lt;&gt;"",UPPER(_xlpm.MyAuditVal),_xlpm.MacVal&lt;&gt;"",_xlpm.MacVal,_xlpm.CSVVal&lt;&gt;"",_xlpm.CSVVal
)),"")</f>
        <v/>
      </c>
      <c r="M316" s="54" t="str">
        <f>_xlfn.LET(
    _xlpm.CSVVal, _xlfn.XLOOKUP($A316, CSV!$A:$A, CSV!AD:AD, ""),
    _xlpm.MacVal, _xlfn.XLOOKUP($A316, Output_Mac!$A:$A, Output_Mac!S:S, ""),
    _xlpm.MyAuditVal, _xlfn.XLOOKUP($A316, My_Audit!$A:$A, My_Audit!N:N, ""),
    _xlfn.TEXTJOIN(", ", TRUE, _xlpm.MyAuditVal, _xlpm.MacVal, _xlpm.CSVVal)
)</f>
        <v/>
      </c>
      <c r="N316" s="54" t="str" cm="1">
        <f t="array" ref="N316">IFERROR(_xlfn.LET(
_xlpm.CSVVal,_xlfn.XLOOKUP($A316,CSV!$A:$A,CSV!AF:AF,""),
_xlpm.MacVal,_xlfn.XLOOKUP($A316,Output_Mac!$A:$A,Output_Mac!U:U,""),
_xlpm.MyAuditVal,_xlfn.XLOOKUP($A316,My_Audit!$A:$A,My_Audit!O:O,""),
_xlfn.IFS(_xlpm.MyAuditVal&lt;&gt;"",UPPER(_xlpm.MyAuditVal),_xlpm.MacVal&lt;&gt;"",_xlpm.MacVal,_xlpm.CSVVal&lt;&gt;"",_xlpm.CSVVal
)),"")</f>
        <v/>
      </c>
      <c r="O316" s="54"/>
      <c r="P316" s="54"/>
      <c r="Q316" s="54"/>
      <c r="R316" s="54"/>
      <c r="S316" s="54"/>
      <c r="T316" s="54"/>
      <c r="U316" s="39"/>
    </row>
    <row r="317" spans="1:21">
      <c r="A317" s="54" t="str">
        <f>_xlfn.TEXTJOIN("",TRUE,Input!$B$2,ROW(My_Audit!A316))</f>
        <v>XX316</v>
      </c>
      <c r="B317" s="54" t="str">
        <f>_xlfn.TEXTJOIN("-",TRUE,"ITD",Input!$A$2,A317)</f>
        <v>ITD-SHRXXX-XX316</v>
      </c>
      <c r="C317" s="54" t="str" cm="1">
        <f t="array" ref="C317">IFERROR(_xlfn.LET(
_xlpm.CSVVal,_xlfn.XLOOKUP($A317,CSV!$A:$A,CSV!B:B,""),
_xlpm.MacVal,_xlfn.XLOOKUP($A317,Output_Mac!$A:$A,Output_Mac!B:B,""),
_xlpm.MyAuditVal,_xlfn.XLOOKUP($A317,My_Audit!$A:$A,My_Audit!B:B,""),
_xlfn.IFS(_xlpm.MyAuditVal&lt;&gt;"",UPPER(_xlpm.MyAuditVal),_xlpm.MacVal&lt;&gt;"",_xlpm.MacVal,_xlpm.CSVVal&lt;&gt;"",_xlpm.CSVVal
)),"")</f>
        <v/>
      </c>
      <c r="D317" s="55" t="str">
        <f>_xlfn.XLOOKUP(A317,My_Audit!A:A,My_Audit!D:D,"")&amp;""</f>
        <v/>
      </c>
      <c r="E317" s="55" t="str" cm="1">
        <f t="array" ref="E317">IFERROR(_xlfn.LET(
_xlpm.CSVVal,_xlfn.XLOOKUP($A317,CSV!$A:$A,CSV!D:D,""),
_xlpm.MacVal,_xlfn.XLOOKUP($A317,Output_Mac!$A:$A,Output_Mac!C:C,""),
_xlpm.MyAuditVal,_xlfn.XLOOKUP($A317,My_Audit!$A:$A,My_Audit!D:D,""),
_xlfn.IFS(_xlpm.MyAuditVal&lt;&gt;"",_xlpm.MyAuditVal,_xlpm.MacVal&lt;&gt;"",_xlpm.MacVal,_xlpm.CSVVal&lt;&gt;"",_xlpm.CSVVal
)),"")</f>
        <v/>
      </c>
      <c r="F317" s="54" t="str" cm="1">
        <f t="array" ref="F317">IFERROR(_xlfn.LET(
_xlpm.CSVVal,_xlfn.XLOOKUP($A317,CSV!$A:$A,CSV!E:E,""),
_xlpm.MacVal,_xlfn.XLOOKUP($A317,Output_Mac!$A:$A,Output_Mac!F:F,""),
_xlpm.MyAuditVal,_xlfn.XLOOKUP($A317,My_Audit!$A:$A,My_Audit!E:E,""),
_xlfn.IFS(_xlpm.MyAuditVal&lt;&gt;"",_xlpm.MyAuditVal,_xlpm.MacVal&lt;&gt;"",_xlpm.MacVal,_xlpm.CSVVal&lt;&gt;"",PROPER(_xlpm.CSVVal)
)),"")</f>
        <v/>
      </c>
      <c r="G317" s="54" t="str" cm="1">
        <f t="array" ref="G317">IFERROR(_xlfn.LET(
_xlpm.CSVVal,_xlfn.XLOOKUP($A317,CSV!$A:$A,CSV!F:F,""),
_xlpm.MacVal,_xlfn.XLOOKUP($A317,Output_Mac!$A:$A,Output_Mac!H:H,""),
_xlpm.MyAuditVal,_xlfn.XLOOKUP($A317,My_Audit!$A:$A,My_Audit!F:F,""),
_xlfn.IFS(_xlpm.MyAuditVal&lt;&gt;"",_xlpm.MyAuditVal,_xlpm.MacVal&lt;&gt;"",_xlpm.MacVal,_xlpm.CSVVal&lt;&gt;"",_xlpm.CSVVal
)),"")</f>
        <v/>
      </c>
      <c r="H317" s="54" t="str">
        <f>_xlfn.XLOOKUP(A317,Output_Mac!A:A,Output_Mac!I:I,"")</f>
        <v/>
      </c>
      <c r="I317" s="54" t="str" cm="1">
        <f t="array" ref="I317">IFERROR(_xlfn.LET(
_xlpm.CSVVal,_xlfn.XLOOKUP($A317,CSV!$A:$A,CSV!G:G,""),
_xlpm.MacVal,_xlfn.XLOOKUP($A317,Output_Mac!$A:$A,Output_Mac!J:J,""),
_xlpm.MyAuditVal,_xlfn.XLOOKUP($A317,My_Audit!$A:$A,My_Audit!H:H,""),
_xlfn.IFS(_xlpm.MyAuditVal&lt;&gt;"",UPPER(_xlpm.MyAuditVal),_xlpm.MacVal&lt;&gt;"",_xlpm.MacVal,_xlpm.CSVVal&lt;&gt;"",_xlpm.CSVVal
)),"")</f>
        <v/>
      </c>
      <c r="J317" s="54" t="str" cm="1">
        <f t="array" ref="J317">IFERROR(_xlfn.LET(
_xlpm.CSVVal,_xlfn.XLOOKUP($A317,CSV!$A:$A,CSV!I:I,""),
_xlpm.MacVal,_xlfn.XLOOKUP($A317,Output_Mac!$A:$A,Output_Mac!K:K,""),
_xlpm.MyAuditVal,_xlfn.XLOOKUP($A317,My_Audit!$A:$A,My_Audit!I:I,""),
_xlfn.IFS(_xlpm.MyAuditVal&lt;&gt;"",UPPER(_xlpm.MyAuditVal),_xlpm.MacVal&lt;&gt;"",_xlpm.MacVal,_xlpm.CSVVal&lt;&gt;"",_xlpm.CSVVal
)),"")</f>
        <v/>
      </c>
      <c r="K317" s="54" t="str" cm="1">
        <f t="array" ref="K317">IFERROR(_xlfn.LET(
_xlpm.CSVVal,_xlfn.XLOOKUP($A317,CSV!$A:$A,CSV!M:M,""),
_xlpm.MacVal,_xlfn.XLOOKUP($A317,Output_Mac!$A:$A,Output_Mac!L:L,""),
_xlpm.MyAuditVal,_xlfn.XLOOKUP($A317,My_Audit!$A:$A,My_Audit!J:J,""),
_xlfn.IFS(_xlpm.MyAuditVal&lt;&gt;"",UPPER(_xlpm.MyAuditVal),_xlpm.MacVal&lt;&gt;"",_xlpm.MacVal,_xlpm.CSVVal&lt;&gt;"",_xlpm.CSVVal
)),"")</f>
        <v/>
      </c>
      <c r="L317" s="55" t="str" cm="1">
        <f t="array" ref="L317">IFERROR(_xlfn.LET(
_xlpm.CSVVal,_xlfn.XLOOKUP($A317,CSV!$A:$A,CSV!P:P,""),
_xlpm.MacVal,_xlfn.XLOOKUP($A317,Output_Mac!$A:$A,Output_Mac!M:M,""),
_xlpm.MyAuditVal,_xlfn.XLOOKUP($A317,My_Audit!$A:$A,My_Audit!K:K,""),
_xlfn.IFS(_xlpm.MyAuditVal&lt;&gt;"",UPPER(_xlpm.MyAuditVal),_xlpm.MacVal&lt;&gt;"",_xlpm.MacVal,_xlpm.CSVVal&lt;&gt;"",_xlpm.CSVVal
)),"")</f>
        <v/>
      </c>
      <c r="M317" s="54" t="str">
        <f>_xlfn.LET(
    _xlpm.CSVVal, _xlfn.XLOOKUP($A317, CSV!$A:$A, CSV!AD:AD, ""),
    _xlpm.MacVal, _xlfn.XLOOKUP($A317, Output_Mac!$A:$A, Output_Mac!S:S, ""),
    _xlpm.MyAuditVal, _xlfn.XLOOKUP($A317, My_Audit!$A:$A, My_Audit!N:N, ""),
    _xlfn.TEXTJOIN(", ", TRUE, _xlpm.MyAuditVal, _xlpm.MacVal, _xlpm.CSVVal)
)</f>
        <v/>
      </c>
      <c r="N317" s="54" t="str" cm="1">
        <f t="array" ref="N317">IFERROR(_xlfn.LET(
_xlpm.CSVVal,_xlfn.XLOOKUP($A317,CSV!$A:$A,CSV!AF:AF,""),
_xlpm.MacVal,_xlfn.XLOOKUP($A317,Output_Mac!$A:$A,Output_Mac!U:U,""),
_xlpm.MyAuditVal,_xlfn.XLOOKUP($A317,My_Audit!$A:$A,My_Audit!O:O,""),
_xlfn.IFS(_xlpm.MyAuditVal&lt;&gt;"",UPPER(_xlpm.MyAuditVal),_xlpm.MacVal&lt;&gt;"",_xlpm.MacVal,_xlpm.CSVVal&lt;&gt;"",_xlpm.CSVVal
)),"")</f>
        <v/>
      </c>
      <c r="O317" s="54"/>
      <c r="P317" s="54"/>
      <c r="Q317" s="54"/>
      <c r="R317" s="54"/>
      <c r="S317" s="54"/>
      <c r="T317" s="54"/>
      <c r="U317" s="39"/>
    </row>
    <row r="318" spans="1:21">
      <c r="A318" s="54" t="str">
        <f>_xlfn.TEXTJOIN("",TRUE,Input!$B$2,ROW(My_Audit!A317))</f>
        <v>XX317</v>
      </c>
      <c r="B318" s="54" t="str">
        <f>_xlfn.TEXTJOIN("-",TRUE,"ITD",Input!$A$2,A318)</f>
        <v>ITD-SHRXXX-XX317</v>
      </c>
      <c r="C318" s="54" t="str" cm="1">
        <f t="array" ref="C318">IFERROR(_xlfn.LET(
_xlpm.CSVVal,_xlfn.XLOOKUP($A318,CSV!$A:$A,CSV!B:B,""),
_xlpm.MacVal,_xlfn.XLOOKUP($A318,Output_Mac!$A:$A,Output_Mac!B:B,""),
_xlpm.MyAuditVal,_xlfn.XLOOKUP($A318,My_Audit!$A:$A,My_Audit!B:B,""),
_xlfn.IFS(_xlpm.MyAuditVal&lt;&gt;"",UPPER(_xlpm.MyAuditVal),_xlpm.MacVal&lt;&gt;"",_xlpm.MacVal,_xlpm.CSVVal&lt;&gt;"",_xlpm.CSVVal
)),"")</f>
        <v/>
      </c>
      <c r="D318" s="55" t="str">
        <f>_xlfn.XLOOKUP(A318,My_Audit!A:A,My_Audit!D:D,"")&amp;""</f>
        <v/>
      </c>
      <c r="E318" s="55" t="str" cm="1">
        <f t="array" ref="E318">IFERROR(_xlfn.LET(
_xlpm.CSVVal,_xlfn.XLOOKUP($A318,CSV!$A:$A,CSV!D:D,""),
_xlpm.MacVal,_xlfn.XLOOKUP($A318,Output_Mac!$A:$A,Output_Mac!C:C,""),
_xlpm.MyAuditVal,_xlfn.XLOOKUP($A318,My_Audit!$A:$A,My_Audit!D:D,""),
_xlfn.IFS(_xlpm.MyAuditVal&lt;&gt;"",_xlpm.MyAuditVal,_xlpm.MacVal&lt;&gt;"",_xlpm.MacVal,_xlpm.CSVVal&lt;&gt;"",_xlpm.CSVVal
)),"")</f>
        <v/>
      </c>
      <c r="F318" s="54" t="str" cm="1">
        <f t="array" ref="F318">IFERROR(_xlfn.LET(
_xlpm.CSVVal,_xlfn.XLOOKUP($A318,CSV!$A:$A,CSV!E:E,""),
_xlpm.MacVal,_xlfn.XLOOKUP($A318,Output_Mac!$A:$A,Output_Mac!F:F,""),
_xlpm.MyAuditVal,_xlfn.XLOOKUP($A318,My_Audit!$A:$A,My_Audit!E:E,""),
_xlfn.IFS(_xlpm.MyAuditVal&lt;&gt;"",_xlpm.MyAuditVal,_xlpm.MacVal&lt;&gt;"",_xlpm.MacVal,_xlpm.CSVVal&lt;&gt;"",PROPER(_xlpm.CSVVal)
)),"")</f>
        <v/>
      </c>
      <c r="G318" s="54" t="str" cm="1">
        <f t="array" ref="G318">IFERROR(_xlfn.LET(
_xlpm.CSVVal,_xlfn.XLOOKUP($A318,CSV!$A:$A,CSV!F:F,""),
_xlpm.MacVal,_xlfn.XLOOKUP($A318,Output_Mac!$A:$A,Output_Mac!H:H,""),
_xlpm.MyAuditVal,_xlfn.XLOOKUP($A318,My_Audit!$A:$A,My_Audit!F:F,""),
_xlfn.IFS(_xlpm.MyAuditVal&lt;&gt;"",_xlpm.MyAuditVal,_xlpm.MacVal&lt;&gt;"",_xlpm.MacVal,_xlpm.CSVVal&lt;&gt;"",_xlpm.CSVVal
)),"")</f>
        <v/>
      </c>
      <c r="H318" s="54" t="str">
        <f>_xlfn.XLOOKUP(A318,Output_Mac!A:A,Output_Mac!I:I,"")</f>
        <v/>
      </c>
      <c r="I318" s="54" t="str" cm="1">
        <f t="array" ref="I318">IFERROR(_xlfn.LET(
_xlpm.CSVVal,_xlfn.XLOOKUP($A318,CSV!$A:$A,CSV!G:G,""),
_xlpm.MacVal,_xlfn.XLOOKUP($A318,Output_Mac!$A:$A,Output_Mac!J:J,""),
_xlpm.MyAuditVal,_xlfn.XLOOKUP($A318,My_Audit!$A:$A,My_Audit!H:H,""),
_xlfn.IFS(_xlpm.MyAuditVal&lt;&gt;"",UPPER(_xlpm.MyAuditVal),_xlpm.MacVal&lt;&gt;"",_xlpm.MacVal,_xlpm.CSVVal&lt;&gt;"",_xlpm.CSVVal
)),"")</f>
        <v/>
      </c>
      <c r="J318" s="54" t="str" cm="1">
        <f t="array" ref="J318">IFERROR(_xlfn.LET(
_xlpm.CSVVal,_xlfn.XLOOKUP($A318,CSV!$A:$A,CSV!I:I,""),
_xlpm.MacVal,_xlfn.XLOOKUP($A318,Output_Mac!$A:$A,Output_Mac!K:K,""),
_xlpm.MyAuditVal,_xlfn.XLOOKUP($A318,My_Audit!$A:$A,My_Audit!I:I,""),
_xlfn.IFS(_xlpm.MyAuditVal&lt;&gt;"",UPPER(_xlpm.MyAuditVal),_xlpm.MacVal&lt;&gt;"",_xlpm.MacVal,_xlpm.CSVVal&lt;&gt;"",_xlpm.CSVVal
)),"")</f>
        <v/>
      </c>
      <c r="K318" s="54" t="str" cm="1">
        <f t="array" ref="K318">IFERROR(_xlfn.LET(
_xlpm.CSVVal,_xlfn.XLOOKUP($A318,CSV!$A:$A,CSV!M:M,""),
_xlpm.MacVal,_xlfn.XLOOKUP($A318,Output_Mac!$A:$A,Output_Mac!L:L,""),
_xlpm.MyAuditVal,_xlfn.XLOOKUP($A318,My_Audit!$A:$A,My_Audit!J:J,""),
_xlfn.IFS(_xlpm.MyAuditVal&lt;&gt;"",UPPER(_xlpm.MyAuditVal),_xlpm.MacVal&lt;&gt;"",_xlpm.MacVal,_xlpm.CSVVal&lt;&gt;"",_xlpm.CSVVal
)),"")</f>
        <v/>
      </c>
      <c r="L318" s="55" t="str" cm="1">
        <f t="array" ref="L318">IFERROR(_xlfn.LET(
_xlpm.CSVVal,_xlfn.XLOOKUP($A318,CSV!$A:$A,CSV!P:P,""),
_xlpm.MacVal,_xlfn.XLOOKUP($A318,Output_Mac!$A:$A,Output_Mac!M:M,""),
_xlpm.MyAuditVal,_xlfn.XLOOKUP($A318,My_Audit!$A:$A,My_Audit!K:K,""),
_xlfn.IFS(_xlpm.MyAuditVal&lt;&gt;"",UPPER(_xlpm.MyAuditVal),_xlpm.MacVal&lt;&gt;"",_xlpm.MacVal,_xlpm.CSVVal&lt;&gt;"",_xlpm.CSVVal
)),"")</f>
        <v/>
      </c>
      <c r="M318" s="54" t="str">
        <f>_xlfn.LET(
    _xlpm.CSVVal, _xlfn.XLOOKUP($A318, CSV!$A:$A, CSV!AD:AD, ""),
    _xlpm.MacVal, _xlfn.XLOOKUP($A318, Output_Mac!$A:$A, Output_Mac!S:S, ""),
    _xlpm.MyAuditVal, _xlfn.XLOOKUP($A318, My_Audit!$A:$A, My_Audit!N:N, ""),
    _xlfn.TEXTJOIN(", ", TRUE, _xlpm.MyAuditVal, _xlpm.MacVal, _xlpm.CSVVal)
)</f>
        <v/>
      </c>
      <c r="N318" s="54" t="str" cm="1">
        <f t="array" ref="N318">IFERROR(_xlfn.LET(
_xlpm.CSVVal,_xlfn.XLOOKUP($A318,CSV!$A:$A,CSV!AF:AF,""),
_xlpm.MacVal,_xlfn.XLOOKUP($A318,Output_Mac!$A:$A,Output_Mac!U:U,""),
_xlpm.MyAuditVal,_xlfn.XLOOKUP($A318,My_Audit!$A:$A,My_Audit!O:O,""),
_xlfn.IFS(_xlpm.MyAuditVal&lt;&gt;"",UPPER(_xlpm.MyAuditVal),_xlpm.MacVal&lt;&gt;"",_xlpm.MacVal,_xlpm.CSVVal&lt;&gt;"",_xlpm.CSVVal
)),"")</f>
        <v/>
      </c>
      <c r="O318" s="54"/>
      <c r="P318" s="54"/>
      <c r="Q318" s="54"/>
      <c r="R318" s="54"/>
      <c r="S318" s="54"/>
      <c r="T318" s="54"/>
      <c r="U318" s="39"/>
    </row>
    <row r="319" spans="1:21">
      <c r="A319" s="54" t="str">
        <f>_xlfn.TEXTJOIN("",TRUE,Input!$B$2,ROW(My_Audit!A318))</f>
        <v>XX318</v>
      </c>
      <c r="B319" s="54" t="str">
        <f>_xlfn.TEXTJOIN("-",TRUE,"ITD",Input!$A$2,A319)</f>
        <v>ITD-SHRXXX-XX318</v>
      </c>
      <c r="C319" s="54" t="str" cm="1">
        <f t="array" ref="C319">IFERROR(_xlfn.LET(
_xlpm.CSVVal,_xlfn.XLOOKUP($A319,CSV!$A:$A,CSV!B:B,""),
_xlpm.MacVal,_xlfn.XLOOKUP($A319,Output_Mac!$A:$A,Output_Mac!B:B,""),
_xlpm.MyAuditVal,_xlfn.XLOOKUP($A319,My_Audit!$A:$A,My_Audit!B:B,""),
_xlfn.IFS(_xlpm.MyAuditVal&lt;&gt;"",UPPER(_xlpm.MyAuditVal),_xlpm.MacVal&lt;&gt;"",_xlpm.MacVal,_xlpm.CSVVal&lt;&gt;"",_xlpm.CSVVal
)),"")</f>
        <v/>
      </c>
      <c r="D319" s="55" t="str">
        <f>_xlfn.XLOOKUP(A319,My_Audit!A:A,My_Audit!D:D,"")&amp;""</f>
        <v/>
      </c>
      <c r="E319" s="55" t="str" cm="1">
        <f t="array" ref="E319">IFERROR(_xlfn.LET(
_xlpm.CSVVal,_xlfn.XLOOKUP($A319,CSV!$A:$A,CSV!D:D,""),
_xlpm.MacVal,_xlfn.XLOOKUP($A319,Output_Mac!$A:$A,Output_Mac!C:C,""),
_xlpm.MyAuditVal,_xlfn.XLOOKUP($A319,My_Audit!$A:$A,My_Audit!D:D,""),
_xlfn.IFS(_xlpm.MyAuditVal&lt;&gt;"",_xlpm.MyAuditVal,_xlpm.MacVal&lt;&gt;"",_xlpm.MacVal,_xlpm.CSVVal&lt;&gt;"",_xlpm.CSVVal
)),"")</f>
        <v/>
      </c>
      <c r="F319" s="54" t="str" cm="1">
        <f t="array" ref="F319">IFERROR(_xlfn.LET(
_xlpm.CSVVal,_xlfn.XLOOKUP($A319,CSV!$A:$A,CSV!E:E,""),
_xlpm.MacVal,_xlfn.XLOOKUP($A319,Output_Mac!$A:$A,Output_Mac!F:F,""),
_xlpm.MyAuditVal,_xlfn.XLOOKUP($A319,My_Audit!$A:$A,My_Audit!E:E,""),
_xlfn.IFS(_xlpm.MyAuditVal&lt;&gt;"",_xlpm.MyAuditVal,_xlpm.MacVal&lt;&gt;"",_xlpm.MacVal,_xlpm.CSVVal&lt;&gt;"",PROPER(_xlpm.CSVVal)
)),"")</f>
        <v/>
      </c>
      <c r="G319" s="54" t="str" cm="1">
        <f t="array" ref="G319">IFERROR(_xlfn.LET(
_xlpm.CSVVal,_xlfn.XLOOKUP($A319,CSV!$A:$A,CSV!F:F,""),
_xlpm.MacVal,_xlfn.XLOOKUP($A319,Output_Mac!$A:$A,Output_Mac!H:H,""),
_xlpm.MyAuditVal,_xlfn.XLOOKUP($A319,My_Audit!$A:$A,My_Audit!F:F,""),
_xlfn.IFS(_xlpm.MyAuditVal&lt;&gt;"",_xlpm.MyAuditVal,_xlpm.MacVal&lt;&gt;"",_xlpm.MacVal,_xlpm.CSVVal&lt;&gt;"",_xlpm.CSVVal
)),"")</f>
        <v/>
      </c>
      <c r="H319" s="54" t="str">
        <f>_xlfn.XLOOKUP(A319,Output_Mac!A:A,Output_Mac!I:I,"")</f>
        <v/>
      </c>
      <c r="I319" s="54" t="str" cm="1">
        <f t="array" ref="I319">IFERROR(_xlfn.LET(
_xlpm.CSVVal,_xlfn.XLOOKUP($A319,CSV!$A:$A,CSV!G:G,""),
_xlpm.MacVal,_xlfn.XLOOKUP($A319,Output_Mac!$A:$A,Output_Mac!J:J,""),
_xlpm.MyAuditVal,_xlfn.XLOOKUP($A319,My_Audit!$A:$A,My_Audit!H:H,""),
_xlfn.IFS(_xlpm.MyAuditVal&lt;&gt;"",UPPER(_xlpm.MyAuditVal),_xlpm.MacVal&lt;&gt;"",_xlpm.MacVal,_xlpm.CSVVal&lt;&gt;"",_xlpm.CSVVal
)),"")</f>
        <v/>
      </c>
      <c r="J319" s="54" t="str" cm="1">
        <f t="array" ref="J319">IFERROR(_xlfn.LET(
_xlpm.CSVVal,_xlfn.XLOOKUP($A319,CSV!$A:$A,CSV!I:I,""),
_xlpm.MacVal,_xlfn.XLOOKUP($A319,Output_Mac!$A:$A,Output_Mac!K:K,""),
_xlpm.MyAuditVal,_xlfn.XLOOKUP($A319,My_Audit!$A:$A,My_Audit!I:I,""),
_xlfn.IFS(_xlpm.MyAuditVal&lt;&gt;"",UPPER(_xlpm.MyAuditVal),_xlpm.MacVal&lt;&gt;"",_xlpm.MacVal,_xlpm.CSVVal&lt;&gt;"",_xlpm.CSVVal
)),"")</f>
        <v/>
      </c>
      <c r="K319" s="54" t="str" cm="1">
        <f t="array" ref="K319">IFERROR(_xlfn.LET(
_xlpm.CSVVal,_xlfn.XLOOKUP($A319,CSV!$A:$A,CSV!M:M,""),
_xlpm.MacVal,_xlfn.XLOOKUP($A319,Output_Mac!$A:$A,Output_Mac!L:L,""),
_xlpm.MyAuditVal,_xlfn.XLOOKUP($A319,My_Audit!$A:$A,My_Audit!J:J,""),
_xlfn.IFS(_xlpm.MyAuditVal&lt;&gt;"",UPPER(_xlpm.MyAuditVal),_xlpm.MacVal&lt;&gt;"",_xlpm.MacVal,_xlpm.CSVVal&lt;&gt;"",_xlpm.CSVVal
)),"")</f>
        <v/>
      </c>
      <c r="L319" s="55" t="str" cm="1">
        <f t="array" ref="L319">IFERROR(_xlfn.LET(
_xlpm.CSVVal,_xlfn.XLOOKUP($A319,CSV!$A:$A,CSV!P:P,""),
_xlpm.MacVal,_xlfn.XLOOKUP($A319,Output_Mac!$A:$A,Output_Mac!M:M,""),
_xlpm.MyAuditVal,_xlfn.XLOOKUP($A319,My_Audit!$A:$A,My_Audit!K:K,""),
_xlfn.IFS(_xlpm.MyAuditVal&lt;&gt;"",UPPER(_xlpm.MyAuditVal),_xlpm.MacVal&lt;&gt;"",_xlpm.MacVal,_xlpm.CSVVal&lt;&gt;"",_xlpm.CSVVal
)),"")</f>
        <v/>
      </c>
      <c r="M319" s="54" t="str">
        <f>_xlfn.LET(
    _xlpm.CSVVal, _xlfn.XLOOKUP($A319, CSV!$A:$A, CSV!AD:AD, ""),
    _xlpm.MacVal, _xlfn.XLOOKUP($A319, Output_Mac!$A:$A, Output_Mac!S:S, ""),
    _xlpm.MyAuditVal, _xlfn.XLOOKUP($A319, My_Audit!$A:$A, My_Audit!N:N, ""),
    _xlfn.TEXTJOIN(", ", TRUE, _xlpm.MyAuditVal, _xlpm.MacVal, _xlpm.CSVVal)
)</f>
        <v/>
      </c>
      <c r="N319" s="54" t="str" cm="1">
        <f t="array" ref="N319">IFERROR(_xlfn.LET(
_xlpm.CSVVal,_xlfn.XLOOKUP($A319,CSV!$A:$A,CSV!AF:AF,""),
_xlpm.MacVal,_xlfn.XLOOKUP($A319,Output_Mac!$A:$A,Output_Mac!U:U,""),
_xlpm.MyAuditVal,_xlfn.XLOOKUP($A319,My_Audit!$A:$A,My_Audit!O:O,""),
_xlfn.IFS(_xlpm.MyAuditVal&lt;&gt;"",UPPER(_xlpm.MyAuditVal),_xlpm.MacVal&lt;&gt;"",_xlpm.MacVal,_xlpm.CSVVal&lt;&gt;"",_xlpm.CSVVal
)),"")</f>
        <v/>
      </c>
      <c r="O319" s="54"/>
      <c r="P319" s="54"/>
      <c r="Q319" s="54"/>
      <c r="R319" s="54"/>
      <c r="S319" s="54"/>
      <c r="T319" s="54"/>
      <c r="U319" s="39"/>
    </row>
    <row r="320" spans="1:21">
      <c r="A320" s="54" t="str">
        <f>_xlfn.TEXTJOIN("",TRUE,Input!$B$2,ROW(My_Audit!A319))</f>
        <v>XX319</v>
      </c>
      <c r="B320" s="54" t="str">
        <f>_xlfn.TEXTJOIN("-",TRUE,"ITD",Input!$A$2,A320)</f>
        <v>ITD-SHRXXX-XX319</v>
      </c>
      <c r="C320" s="54" t="str" cm="1">
        <f t="array" ref="C320">IFERROR(_xlfn.LET(
_xlpm.CSVVal,_xlfn.XLOOKUP($A320,CSV!$A:$A,CSV!B:B,""),
_xlpm.MacVal,_xlfn.XLOOKUP($A320,Output_Mac!$A:$A,Output_Mac!B:B,""),
_xlpm.MyAuditVal,_xlfn.XLOOKUP($A320,My_Audit!$A:$A,My_Audit!B:B,""),
_xlfn.IFS(_xlpm.MyAuditVal&lt;&gt;"",UPPER(_xlpm.MyAuditVal),_xlpm.MacVal&lt;&gt;"",_xlpm.MacVal,_xlpm.CSVVal&lt;&gt;"",_xlpm.CSVVal
)),"")</f>
        <v/>
      </c>
      <c r="D320" s="55" t="str">
        <f>_xlfn.XLOOKUP(A320,My_Audit!A:A,My_Audit!D:D,"")&amp;""</f>
        <v/>
      </c>
      <c r="E320" s="55" t="str" cm="1">
        <f t="array" ref="E320">IFERROR(_xlfn.LET(
_xlpm.CSVVal,_xlfn.XLOOKUP($A320,CSV!$A:$A,CSV!D:D,""),
_xlpm.MacVal,_xlfn.XLOOKUP($A320,Output_Mac!$A:$A,Output_Mac!C:C,""),
_xlpm.MyAuditVal,_xlfn.XLOOKUP($A320,My_Audit!$A:$A,My_Audit!D:D,""),
_xlfn.IFS(_xlpm.MyAuditVal&lt;&gt;"",_xlpm.MyAuditVal,_xlpm.MacVal&lt;&gt;"",_xlpm.MacVal,_xlpm.CSVVal&lt;&gt;"",_xlpm.CSVVal
)),"")</f>
        <v/>
      </c>
      <c r="F320" s="54" t="str" cm="1">
        <f t="array" ref="F320">IFERROR(_xlfn.LET(
_xlpm.CSVVal,_xlfn.XLOOKUP($A320,CSV!$A:$A,CSV!E:E,""),
_xlpm.MacVal,_xlfn.XLOOKUP($A320,Output_Mac!$A:$A,Output_Mac!F:F,""),
_xlpm.MyAuditVal,_xlfn.XLOOKUP($A320,My_Audit!$A:$A,My_Audit!E:E,""),
_xlfn.IFS(_xlpm.MyAuditVal&lt;&gt;"",_xlpm.MyAuditVal,_xlpm.MacVal&lt;&gt;"",_xlpm.MacVal,_xlpm.CSVVal&lt;&gt;"",PROPER(_xlpm.CSVVal)
)),"")</f>
        <v/>
      </c>
      <c r="G320" s="54" t="str" cm="1">
        <f t="array" ref="G320">IFERROR(_xlfn.LET(
_xlpm.CSVVal,_xlfn.XLOOKUP($A320,CSV!$A:$A,CSV!F:F,""),
_xlpm.MacVal,_xlfn.XLOOKUP($A320,Output_Mac!$A:$A,Output_Mac!H:H,""),
_xlpm.MyAuditVal,_xlfn.XLOOKUP($A320,My_Audit!$A:$A,My_Audit!F:F,""),
_xlfn.IFS(_xlpm.MyAuditVal&lt;&gt;"",_xlpm.MyAuditVal,_xlpm.MacVal&lt;&gt;"",_xlpm.MacVal,_xlpm.CSVVal&lt;&gt;"",_xlpm.CSVVal
)),"")</f>
        <v/>
      </c>
      <c r="H320" s="54" t="str">
        <f>_xlfn.XLOOKUP(A320,Output_Mac!A:A,Output_Mac!I:I,"")</f>
        <v/>
      </c>
      <c r="I320" s="54" t="str" cm="1">
        <f t="array" ref="I320">IFERROR(_xlfn.LET(
_xlpm.CSVVal,_xlfn.XLOOKUP($A320,CSV!$A:$A,CSV!G:G,""),
_xlpm.MacVal,_xlfn.XLOOKUP($A320,Output_Mac!$A:$A,Output_Mac!J:J,""),
_xlpm.MyAuditVal,_xlfn.XLOOKUP($A320,My_Audit!$A:$A,My_Audit!H:H,""),
_xlfn.IFS(_xlpm.MyAuditVal&lt;&gt;"",UPPER(_xlpm.MyAuditVal),_xlpm.MacVal&lt;&gt;"",_xlpm.MacVal,_xlpm.CSVVal&lt;&gt;"",_xlpm.CSVVal
)),"")</f>
        <v/>
      </c>
      <c r="J320" s="54" t="str" cm="1">
        <f t="array" ref="J320">IFERROR(_xlfn.LET(
_xlpm.CSVVal,_xlfn.XLOOKUP($A320,CSV!$A:$A,CSV!I:I,""),
_xlpm.MacVal,_xlfn.XLOOKUP($A320,Output_Mac!$A:$A,Output_Mac!K:K,""),
_xlpm.MyAuditVal,_xlfn.XLOOKUP($A320,My_Audit!$A:$A,My_Audit!I:I,""),
_xlfn.IFS(_xlpm.MyAuditVal&lt;&gt;"",UPPER(_xlpm.MyAuditVal),_xlpm.MacVal&lt;&gt;"",_xlpm.MacVal,_xlpm.CSVVal&lt;&gt;"",_xlpm.CSVVal
)),"")</f>
        <v/>
      </c>
      <c r="K320" s="54" t="str" cm="1">
        <f t="array" ref="K320">IFERROR(_xlfn.LET(
_xlpm.CSVVal,_xlfn.XLOOKUP($A320,CSV!$A:$A,CSV!M:M,""),
_xlpm.MacVal,_xlfn.XLOOKUP($A320,Output_Mac!$A:$A,Output_Mac!L:L,""),
_xlpm.MyAuditVal,_xlfn.XLOOKUP($A320,My_Audit!$A:$A,My_Audit!J:J,""),
_xlfn.IFS(_xlpm.MyAuditVal&lt;&gt;"",UPPER(_xlpm.MyAuditVal),_xlpm.MacVal&lt;&gt;"",_xlpm.MacVal,_xlpm.CSVVal&lt;&gt;"",_xlpm.CSVVal
)),"")</f>
        <v/>
      </c>
      <c r="L320" s="55" t="str" cm="1">
        <f t="array" ref="L320">IFERROR(_xlfn.LET(
_xlpm.CSVVal,_xlfn.XLOOKUP($A320,CSV!$A:$A,CSV!P:P,""),
_xlpm.MacVal,_xlfn.XLOOKUP($A320,Output_Mac!$A:$A,Output_Mac!M:M,""),
_xlpm.MyAuditVal,_xlfn.XLOOKUP($A320,My_Audit!$A:$A,My_Audit!K:K,""),
_xlfn.IFS(_xlpm.MyAuditVal&lt;&gt;"",UPPER(_xlpm.MyAuditVal),_xlpm.MacVal&lt;&gt;"",_xlpm.MacVal,_xlpm.CSVVal&lt;&gt;"",_xlpm.CSVVal
)),"")</f>
        <v/>
      </c>
      <c r="M320" s="54" t="str">
        <f>_xlfn.LET(
    _xlpm.CSVVal, _xlfn.XLOOKUP($A320, CSV!$A:$A, CSV!AD:AD, ""),
    _xlpm.MacVal, _xlfn.XLOOKUP($A320, Output_Mac!$A:$A, Output_Mac!S:S, ""),
    _xlpm.MyAuditVal, _xlfn.XLOOKUP($A320, My_Audit!$A:$A, My_Audit!N:N, ""),
    _xlfn.TEXTJOIN(", ", TRUE, _xlpm.MyAuditVal, _xlpm.MacVal, _xlpm.CSVVal)
)</f>
        <v/>
      </c>
      <c r="N320" s="54" t="str" cm="1">
        <f t="array" ref="N320">IFERROR(_xlfn.LET(
_xlpm.CSVVal,_xlfn.XLOOKUP($A320,CSV!$A:$A,CSV!AF:AF,""),
_xlpm.MacVal,_xlfn.XLOOKUP($A320,Output_Mac!$A:$A,Output_Mac!U:U,""),
_xlpm.MyAuditVal,_xlfn.XLOOKUP($A320,My_Audit!$A:$A,My_Audit!O:O,""),
_xlfn.IFS(_xlpm.MyAuditVal&lt;&gt;"",UPPER(_xlpm.MyAuditVal),_xlpm.MacVal&lt;&gt;"",_xlpm.MacVal,_xlpm.CSVVal&lt;&gt;"",_xlpm.CSVVal
)),"")</f>
        <v/>
      </c>
      <c r="O320" s="54"/>
      <c r="P320" s="54"/>
      <c r="Q320" s="54"/>
      <c r="R320" s="54"/>
      <c r="S320" s="54"/>
      <c r="T320" s="54"/>
      <c r="U320" s="39"/>
    </row>
    <row r="321" spans="1:21">
      <c r="A321" s="54" t="str">
        <f>_xlfn.TEXTJOIN("",TRUE,Input!$B$2,ROW(My_Audit!A320))</f>
        <v>XX320</v>
      </c>
      <c r="B321" s="54" t="str">
        <f>_xlfn.TEXTJOIN("-",TRUE,"ITD",Input!$A$2,A321)</f>
        <v>ITD-SHRXXX-XX320</v>
      </c>
      <c r="C321" s="54" t="str" cm="1">
        <f t="array" ref="C321">IFERROR(_xlfn.LET(
_xlpm.CSVVal,_xlfn.XLOOKUP($A321,CSV!$A:$A,CSV!B:B,""),
_xlpm.MacVal,_xlfn.XLOOKUP($A321,Output_Mac!$A:$A,Output_Mac!B:B,""),
_xlpm.MyAuditVal,_xlfn.XLOOKUP($A321,My_Audit!$A:$A,My_Audit!B:B,""),
_xlfn.IFS(_xlpm.MyAuditVal&lt;&gt;"",UPPER(_xlpm.MyAuditVal),_xlpm.MacVal&lt;&gt;"",_xlpm.MacVal,_xlpm.CSVVal&lt;&gt;"",_xlpm.CSVVal
)),"")</f>
        <v/>
      </c>
      <c r="D321" s="55" t="str">
        <f>_xlfn.XLOOKUP(A321,My_Audit!A:A,My_Audit!D:D,"")&amp;""</f>
        <v/>
      </c>
      <c r="E321" s="55" t="str" cm="1">
        <f t="array" ref="E321">IFERROR(_xlfn.LET(
_xlpm.CSVVal,_xlfn.XLOOKUP($A321,CSV!$A:$A,CSV!D:D,""),
_xlpm.MacVal,_xlfn.XLOOKUP($A321,Output_Mac!$A:$A,Output_Mac!C:C,""),
_xlpm.MyAuditVal,_xlfn.XLOOKUP($A321,My_Audit!$A:$A,My_Audit!D:D,""),
_xlfn.IFS(_xlpm.MyAuditVal&lt;&gt;"",_xlpm.MyAuditVal,_xlpm.MacVal&lt;&gt;"",_xlpm.MacVal,_xlpm.CSVVal&lt;&gt;"",_xlpm.CSVVal
)),"")</f>
        <v/>
      </c>
      <c r="F321" s="54" t="str" cm="1">
        <f t="array" ref="F321">IFERROR(_xlfn.LET(
_xlpm.CSVVal,_xlfn.XLOOKUP($A321,CSV!$A:$A,CSV!E:E,""),
_xlpm.MacVal,_xlfn.XLOOKUP($A321,Output_Mac!$A:$A,Output_Mac!F:F,""),
_xlpm.MyAuditVal,_xlfn.XLOOKUP($A321,My_Audit!$A:$A,My_Audit!E:E,""),
_xlfn.IFS(_xlpm.MyAuditVal&lt;&gt;"",_xlpm.MyAuditVal,_xlpm.MacVal&lt;&gt;"",_xlpm.MacVal,_xlpm.CSVVal&lt;&gt;"",PROPER(_xlpm.CSVVal)
)),"")</f>
        <v/>
      </c>
      <c r="G321" s="54" t="str" cm="1">
        <f t="array" ref="G321">IFERROR(_xlfn.LET(
_xlpm.CSVVal,_xlfn.XLOOKUP($A321,CSV!$A:$A,CSV!F:F,""),
_xlpm.MacVal,_xlfn.XLOOKUP($A321,Output_Mac!$A:$A,Output_Mac!H:H,""),
_xlpm.MyAuditVal,_xlfn.XLOOKUP($A321,My_Audit!$A:$A,My_Audit!F:F,""),
_xlfn.IFS(_xlpm.MyAuditVal&lt;&gt;"",_xlpm.MyAuditVal,_xlpm.MacVal&lt;&gt;"",_xlpm.MacVal,_xlpm.CSVVal&lt;&gt;"",_xlpm.CSVVal
)),"")</f>
        <v/>
      </c>
      <c r="H321" s="54" t="str">
        <f>_xlfn.XLOOKUP(A321,Output_Mac!A:A,Output_Mac!I:I,"")</f>
        <v/>
      </c>
      <c r="I321" s="54" t="str" cm="1">
        <f t="array" ref="I321">IFERROR(_xlfn.LET(
_xlpm.CSVVal,_xlfn.XLOOKUP($A321,CSV!$A:$A,CSV!G:G,""),
_xlpm.MacVal,_xlfn.XLOOKUP($A321,Output_Mac!$A:$A,Output_Mac!J:J,""),
_xlpm.MyAuditVal,_xlfn.XLOOKUP($A321,My_Audit!$A:$A,My_Audit!H:H,""),
_xlfn.IFS(_xlpm.MyAuditVal&lt;&gt;"",UPPER(_xlpm.MyAuditVal),_xlpm.MacVal&lt;&gt;"",_xlpm.MacVal,_xlpm.CSVVal&lt;&gt;"",_xlpm.CSVVal
)),"")</f>
        <v/>
      </c>
      <c r="J321" s="54" t="str" cm="1">
        <f t="array" ref="J321">IFERROR(_xlfn.LET(
_xlpm.CSVVal,_xlfn.XLOOKUP($A321,CSV!$A:$A,CSV!I:I,""),
_xlpm.MacVal,_xlfn.XLOOKUP($A321,Output_Mac!$A:$A,Output_Mac!K:K,""),
_xlpm.MyAuditVal,_xlfn.XLOOKUP($A321,My_Audit!$A:$A,My_Audit!I:I,""),
_xlfn.IFS(_xlpm.MyAuditVal&lt;&gt;"",UPPER(_xlpm.MyAuditVal),_xlpm.MacVal&lt;&gt;"",_xlpm.MacVal,_xlpm.CSVVal&lt;&gt;"",_xlpm.CSVVal
)),"")</f>
        <v/>
      </c>
      <c r="K321" s="54" t="str" cm="1">
        <f t="array" ref="K321">IFERROR(_xlfn.LET(
_xlpm.CSVVal,_xlfn.XLOOKUP($A321,CSV!$A:$A,CSV!M:M,""),
_xlpm.MacVal,_xlfn.XLOOKUP($A321,Output_Mac!$A:$A,Output_Mac!L:L,""),
_xlpm.MyAuditVal,_xlfn.XLOOKUP($A321,My_Audit!$A:$A,My_Audit!J:J,""),
_xlfn.IFS(_xlpm.MyAuditVal&lt;&gt;"",UPPER(_xlpm.MyAuditVal),_xlpm.MacVal&lt;&gt;"",_xlpm.MacVal,_xlpm.CSVVal&lt;&gt;"",_xlpm.CSVVal
)),"")</f>
        <v/>
      </c>
      <c r="L321" s="55" t="str" cm="1">
        <f t="array" ref="L321">IFERROR(_xlfn.LET(
_xlpm.CSVVal,_xlfn.XLOOKUP($A321,CSV!$A:$A,CSV!P:P,""),
_xlpm.MacVal,_xlfn.XLOOKUP($A321,Output_Mac!$A:$A,Output_Mac!M:M,""),
_xlpm.MyAuditVal,_xlfn.XLOOKUP($A321,My_Audit!$A:$A,My_Audit!K:K,""),
_xlfn.IFS(_xlpm.MyAuditVal&lt;&gt;"",UPPER(_xlpm.MyAuditVal),_xlpm.MacVal&lt;&gt;"",_xlpm.MacVal,_xlpm.CSVVal&lt;&gt;"",_xlpm.CSVVal
)),"")</f>
        <v/>
      </c>
      <c r="M321" s="54" t="str">
        <f>_xlfn.LET(
    _xlpm.CSVVal, _xlfn.XLOOKUP($A321, CSV!$A:$A, CSV!AD:AD, ""),
    _xlpm.MacVal, _xlfn.XLOOKUP($A321, Output_Mac!$A:$A, Output_Mac!S:S, ""),
    _xlpm.MyAuditVal, _xlfn.XLOOKUP($A321, My_Audit!$A:$A, My_Audit!N:N, ""),
    _xlfn.TEXTJOIN(", ", TRUE, _xlpm.MyAuditVal, _xlpm.MacVal, _xlpm.CSVVal)
)</f>
        <v/>
      </c>
      <c r="N321" s="54" t="str" cm="1">
        <f t="array" ref="N321">IFERROR(_xlfn.LET(
_xlpm.CSVVal,_xlfn.XLOOKUP($A321,CSV!$A:$A,CSV!AF:AF,""),
_xlpm.MacVal,_xlfn.XLOOKUP($A321,Output_Mac!$A:$A,Output_Mac!U:U,""),
_xlpm.MyAuditVal,_xlfn.XLOOKUP($A321,My_Audit!$A:$A,My_Audit!O:O,""),
_xlfn.IFS(_xlpm.MyAuditVal&lt;&gt;"",UPPER(_xlpm.MyAuditVal),_xlpm.MacVal&lt;&gt;"",_xlpm.MacVal,_xlpm.CSVVal&lt;&gt;"",_xlpm.CSVVal
)),"")</f>
        <v/>
      </c>
      <c r="O321" s="54"/>
      <c r="P321" s="54"/>
      <c r="Q321" s="54"/>
      <c r="R321" s="54"/>
      <c r="S321" s="54"/>
      <c r="T321" s="54"/>
      <c r="U321" s="39"/>
    </row>
    <row r="322" spans="1:21">
      <c r="A322" s="54" t="str">
        <f>_xlfn.TEXTJOIN("",TRUE,Input!$B$2,ROW(My_Audit!A321))</f>
        <v>XX321</v>
      </c>
      <c r="B322" s="54" t="str">
        <f>_xlfn.TEXTJOIN("-",TRUE,"ITD",Input!$A$2,A322)</f>
        <v>ITD-SHRXXX-XX321</v>
      </c>
      <c r="C322" s="54" t="str" cm="1">
        <f t="array" ref="C322">IFERROR(_xlfn.LET(
_xlpm.CSVVal,_xlfn.XLOOKUP($A322,CSV!$A:$A,CSV!B:B,""),
_xlpm.MacVal,_xlfn.XLOOKUP($A322,Output_Mac!$A:$A,Output_Mac!B:B,""),
_xlpm.MyAuditVal,_xlfn.XLOOKUP($A322,My_Audit!$A:$A,My_Audit!B:B,""),
_xlfn.IFS(_xlpm.MyAuditVal&lt;&gt;"",UPPER(_xlpm.MyAuditVal),_xlpm.MacVal&lt;&gt;"",_xlpm.MacVal,_xlpm.CSVVal&lt;&gt;"",_xlpm.CSVVal
)),"")</f>
        <v/>
      </c>
      <c r="D322" s="55" t="str">
        <f>_xlfn.XLOOKUP(A322,My_Audit!A:A,My_Audit!D:D,"")&amp;""</f>
        <v/>
      </c>
      <c r="E322" s="55" t="str" cm="1">
        <f t="array" ref="E322">IFERROR(_xlfn.LET(
_xlpm.CSVVal,_xlfn.XLOOKUP($A322,CSV!$A:$A,CSV!D:D,""),
_xlpm.MacVal,_xlfn.XLOOKUP($A322,Output_Mac!$A:$A,Output_Mac!C:C,""),
_xlpm.MyAuditVal,_xlfn.XLOOKUP($A322,My_Audit!$A:$A,My_Audit!D:D,""),
_xlfn.IFS(_xlpm.MyAuditVal&lt;&gt;"",_xlpm.MyAuditVal,_xlpm.MacVal&lt;&gt;"",_xlpm.MacVal,_xlpm.CSVVal&lt;&gt;"",_xlpm.CSVVal
)),"")</f>
        <v/>
      </c>
      <c r="F322" s="54" t="str" cm="1">
        <f t="array" ref="F322">IFERROR(_xlfn.LET(
_xlpm.CSVVal,_xlfn.XLOOKUP($A322,CSV!$A:$A,CSV!E:E,""),
_xlpm.MacVal,_xlfn.XLOOKUP($A322,Output_Mac!$A:$A,Output_Mac!F:F,""),
_xlpm.MyAuditVal,_xlfn.XLOOKUP($A322,My_Audit!$A:$A,My_Audit!E:E,""),
_xlfn.IFS(_xlpm.MyAuditVal&lt;&gt;"",_xlpm.MyAuditVal,_xlpm.MacVal&lt;&gt;"",_xlpm.MacVal,_xlpm.CSVVal&lt;&gt;"",PROPER(_xlpm.CSVVal)
)),"")</f>
        <v/>
      </c>
      <c r="G322" s="54" t="str" cm="1">
        <f t="array" ref="G322">IFERROR(_xlfn.LET(
_xlpm.CSVVal,_xlfn.XLOOKUP($A322,CSV!$A:$A,CSV!F:F,""),
_xlpm.MacVal,_xlfn.XLOOKUP($A322,Output_Mac!$A:$A,Output_Mac!H:H,""),
_xlpm.MyAuditVal,_xlfn.XLOOKUP($A322,My_Audit!$A:$A,My_Audit!F:F,""),
_xlfn.IFS(_xlpm.MyAuditVal&lt;&gt;"",_xlpm.MyAuditVal,_xlpm.MacVal&lt;&gt;"",_xlpm.MacVal,_xlpm.CSVVal&lt;&gt;"",_xlpm.CSVVal
)),"")</f>
        <v/>
      </c>
      <c r="H322" s="54" t="str">
        <f>_xlfn.XLOOKUP(A322,Output_Mac!A:A,Output_Mac!I:I,"")</f>
        <v/>
      </c>
      <c r="I322" s="54" t="str" cm="1">
        <f t="array" ref="I322">IFERROR(_xlfn.LET(
_xlpm.CSVVal,_xlfn.XLOOKUP($A322,CSV!$A:$A,CSV!G:G,""),
_xlpm.MacVal,_xlfn.XLOOKUP($A322,Output_Mac!$A:$A,Output_Mac!J:J,""),
_xlpm.MyAuditVal,_xlfn.XLOOKUP($A322,My_Audit!$A:$A,My_Audit!H:H,""),
_xlfn.IFS(_xlpm.MyAuditVal&lt;&gt;"",UPPER(_xlpm.MyAuditVal),_xlpm.MacVal&lt;&gt;"",_xlpm.MacVal,_xlpm.CSVVal&lt;&gt;"",_xlpm.CSVVal
)),"")</f>
        <v/>
      </c>
      <c r="J322" s="54" t="str" cm="1">
        <f t="array" ref="J322">IFERROR(_xlfn.LET(
_xlpm.CSVVal,_xlfn.XLOOKUP($A322,CSV!$A:$A,CSV!I:I,""),
_xlpm.MacVal,_xlfn.XLOOKUP($A322,Output_Mac!$A:$A,Output_Mac!K:K,""),
_xlpm.MyAuditVal,_xlfn.XLOOKUP($A322,My_Audit!$A:$A,My_Audit!I:I,""),
_xlfn.IFS(_xlpm.MyAuditVal&lt;&gt;"",UPPER(_xlpm.MyAuditVal),_xlpm.MacVal&lt;&gt;"",_xlpm.MacVal,_xlpm.CSVVal&lt;&gt;"",_xlpm.CSVVal
)),"")</f>
        <v/>
      </c>
      <c r="K322" s="54" t="str" cm="1">
        <f t="array" ref="K322">IFERROR(_xlfn.LET(
_xlpm.CSVVal,_xlfn.XLOOKUP($A322,CSV!$A:$A,CSV!M:M,""),
_xlpm.MacVal,_xlfn.XLOOKUP($A322,Output_Mac!$A:$A,Output_Mac!L:L,""),
_xlpm.MyAuditVal,_xlfn.XLOOKUP($A322,My_Audit!$A:$A,My_Audit!J:J,""),
_xlfn.IFS(_xlpm.MyAuditVal&lt;&gt;"",UPPER(_xlpm.MyAuditVal),_xlpm.MacVal&lt;&gt;"",_xlpm.MacVal,_xlpm.CSVVal&lt;&gt;"",_xlpm.CSVVal
)),"")</f>
        <v/>
      </c>
      <c r="L322" s="55" t="str" cm="1">
        <f t="array" ref="L322">IFERROR(_xlfn.LET(
_xlpm.CSVVal,_xlfn.XLOOKUP($A322,CSV!$A:$A,CSV!P:P,""),
_xlpm.MacVal,_xlfn.XLOOKUP($A322,Output_Mac!$A:$A,Output_Mac!M:M,""),
_xlpm.MyAuditVal,_xlfn.XLOOKUP($A322,My_Audit!$A:$A,My_Audit!K:K,""),
_xlfn.IFS(_xlpm.MyAuditVal&lt;&gt;"",UPPER(_xlpm.MyAuditVal),_xlpm.MacVal&lt;&gt;"",_xlpm.MacVal,_xlpm.CSVVal&lt;&gt;"",_xlpm.CSVVal
)),"")</f>
        <v/>
      </c>
      <c r="M322" s="54" t="str">
        <f>_xlfn.LET(
    _xlpm.CSVVal, _xlfn.XLOOKUP($A322, CSV!$A:$A, CSV!AD:AD, ""),
    _xlpm.MacVal, _xlfn.XLOOKUP($A322, Output_Mac!$A:$A, Output_Mac!S:S, ""),
    _xlpm.MyAuditVal, _xlfn.XLOOKUP($A322, My_Audit!$A:$A, My_Audit!N:N, ""),
    _xlfn.TEXTJOIN(", ", TRUE, _xlpm.MyAuditVal, _xlpm.MacVal, _xlpm.CSVVal)
)</f>
        <v/>
      </c>
      <c r="N322" s="54" t="str" cm="1">
        <f t="array" ref="N322">IFERROR(_xlfn.LET(
_xlpm.CSVVal,_xlfn.XLOOKUP($A322,CSV!$A:$A,CSV!AF:AF,""),
_xlpm.MacVal,_xlfn.XLOOKUP($A322,Output_Mac!$A:$A,Output_Mac!U:U,""),
_xlpm.MyAuditVal,_xlfn.XLOOKUP($A322,My_Audit!$A:$A,My_Audit!O:O,""),
_xlfn.IFS(_xlpm.MyAuditVal&lt;&gt;"",UPPER(_xlpm.MyAuditVal),_xlpm.MacVal&lt;&gt;"",_xlpm.MacVal,_xlpm.CSVVal&lt;&gt;"",_xlpm.CSVVal
)),"")</f>
        <v/>
      </c>
      <c r="O322" s="54"/>
      <c r="P322" s="54"/>
      <c r="Q322" s="54"/>
      <c r="R322" s="54"/>
      <c r="S322" s="54"/>
      <c r="T322" s="54"/>
      <c r="U322" s="39"/>
    </row>
    <row r="323" spans="1:21">
      <c r="A323" s="54" t="str">
        <f>_xlfn.TEXTJOIN("",TRUE,Input!$B$2,ROW(My_Audit!A322))</f>
        <v>XX322</v>
      </c>
      <c r="B323" s="54" t="str">
        <f>_xlfn.TEXTJOIN("-",TRUE,"ITD",Input!$A$2,A323)</f>
        <v>ITD-SHRXXX-XX322</v>
      </c>
      <c r="C323" s="54" t="str" cm="1">
        <f t="array" ref="C323">IFERROR(_xlfn.LET(
_xlpm.CSVVal,_xlfn.XLOOKUP($A323,CSV!$A:$A,CSV!B:B,""),
_xlpm.MacVal,_xlfn.XLOOKUP($A323,Output_Mac!$A:$A,Output_Mac!B:B,""),
_xlpm.MyAuditVal,_xlfn.XLOOKUP($A323,My_Audit!$A:$A,My_Audit!B:B,""),
_xlfn.IFS(_xlpm.MyAuditVal&lt;&gt;"",UPPER(_xlpm.MyAuditVal),_xlpm.MacVal&lt;&gt;"",_xlpm.MacVal,_xlpm.CSVVal&lt;&gt;"",_xlpm.CSVVal
)),"")</f>
        <v/>
      </c>
      <c r="D323" s="55" t="str">
        <f>_xlfn.XLOOKUP(A323,My_Audit!A:A,My_Audit!D:D,"")&amp;""</f>
        <v/>
      </c>
      <c r="E323" s="55" t="str" cm="1">
        <f t="array" ref="E323">IFERROR(_xlfn.LET(
_xlpm.CSVVal,_xlfn.XLOOKUP($A323,CSV!$A:$A,CSV!D:D,""),
_xlpm.MacVal,_xlfn.XLOOKUP($A323,Output_Mac!$A:$A,Output_Mac!C:C,""),
_xlpm.MyAuditVal,_xlfn.XLOOKUP($A323,My_Audit!$A:$A,My_Audit!D:D,""),
_xlfn.IFS(_xlpm.MyAuditVal&lt;&gt;"",_xlpm.MyAuditVal,_xlpm.MacVal&lt;&gt;"",_xlpm.MacVal,_xlpm.CSVVal&lt;&gt;"",_xlpm.CSVVal
)),"")</f>
        <v/>
      </c>
      <c r="F323" s="54" t="str" cm="1">
        <f t="array" ref="F323">IFERROR(_xlfn.LET(
_xlpm.CSVVal,_xlfn.XLOOKUP($A323,CSV!$A:$A,CSV!E:E,""),
_xlpm.MacVal,_xlfn.XLOOKUP($A323,Output_Mac!$A:$A,Output_Mac!F:F,""),
_xlpm.MyAuditVal,_xlfn.XLOOKUP($A323,My_Audit!$A:$A,My_Audit!E:E,""),
_xlfn.IFS(_xlpm.MyAuditVal&lt;&gt;"",_xlpm.MyAuditVal,_xlpm.MacVal&lt;&gt;"",_xlpm.MacVal,_xlpm.CSVVal&lt;&gt;"",PROPER(_xlpm.CSVVal)
)),"")</f>
        <v/>
      </c>
      <c r="G323" s="54" t="str" cm="1">
        <f t="array" ref="G323">IFERROR(_xlfn.LET(
_xlpm.CSVVal,_xlfn.XLOOKUP($A323,CSV!$A:$A,CSV!F:F,""),
_xlpm.MacVal,_xlfn.XLOOKUP($A323,Output_Mac!$A:$A,Output_Mac!H:H,""),
_xlpm.MyAuditVal,_xlfn.XLOOKUP($A323,My_Audit!$A:$A,My_Audit!F:F,""),
_xlfn.IFS(_xlpm.MyAuditVal&lt;&gt;"",_xlpm.MyAuditVal,_xlpm.MacVal&lt;&gt;"",_xlpm.MacVal,_xlpm.CSVVal&lt;&gt;"",_xlpm.CSVVal
)),"")</f>
        <v/>
      </c>
      <c r="H323" s="54" t="str">
        <f>_xlfn.XLOOKUP(A323,Output_Mac!A:A,Output_Mac!I:I,"")</f>
        <v/>
      </c>
      <c r="I323" s="54" t="str" cm="1">
        <f t="array" ref="I323">IFERROR(_xlfn.LET(
_xlpm.CSVVal,_xlfn.XLOOKUP($A323,CSV!$A:$A,CSV!G:G,""),
_xlpm.MacVal,_xlfn.XLOOKUP($A323,Output_Mac!$A:$A,Output_Mac!J:J,""),
_xlpm.MyAuditVal,_xlfn.XLOOKUP($A323,My_Audit!$A:$A,My_Audit!H:H,""),
_xlfn.IFS(_xlpm.MyAuditVal&lt;&gt;"",UPPER(_xlpm.MyAuditVal),_xlpm.MacVal&lt;&gt;"",_xlpm.MacVal,_xlpm.CSVVal&lt;&gt;"",_xlpm.CSVVal
)),"")</f>
        <v/>
      </c>
      <c r="J323" s="54" t="str" cm="1">
        <f t="array" ref="J323">IFERROR(_xlfn.LET(
_xlpm.CSVVal,_xlfn.XLOOKUP($A323,CSV!$A:$A,CSV!I:I,""),
_xlpm.MacVal,_xlfn.XLOOKUP($A323,Output_Mac!$A:$A,Output_Mac!K:K,""),
_xlpm.MyAuditVal,_xlfn.XLOOKUP($A323,My_Audit!$A:$A,My_Audit!I:I,""),
_xlfn.IFS(_xlpm.MyAuditVal&lt;&gt;"",UPPER(_xlpm.MyAuditVal),_xlpm.MacVal&lt;&gt;"",_xlpm.MacVal,_xlpm.CSVVal&lt;&gt;"",_xlpm.CSVVal
)),"")</f>
        <v/>
      </c>
      <c r="K323" s="54" t="str" cm="1">
        <f t="array" ref="K323">IFERROR(_xlfn.LET(
_xlpm.CSVVal,_xlfn.XLOOKUP($A323,CSV!$A:$A,CSV!M:M,""),
_xlpm.MacVal,_xlfn.XLOOKUP($A323,Output_Mac!$A:$A,Output_Mac!L:L,""),
_xlpm.MyAuditVal,_xlfn.XLOOKUP($A323,My_Audit!$A:$A,My_Audit!J:J,""),
_xlfn.IFS(_xlpm.MyAuditVal&lt;&gt;"",UPPER(_xlpm.MyAuditVal),_xlpm.MacVal&lt;&gt;"",_xlpm.MacVal,_xlpm.CSVVal&lt;&gt;"",_xlpm.CSVVal
)),"")</f>
        <v/>
      </c>
      <c r="L323" s="55" t="str" cm="1">
        <f t="array" ref="L323">IFERROR(_xlfn.LET(
_xlpm.CSVVal,_xlfn.XLOOKUP($A323,CSV!$A:$A,CSV!P:P,""),
_xlpm.MacVal,_xlfn.XLOOKUP($A323,Output_Mac!$A:$A,Output_Mac!M:M,""),
_xlpm.MyAuditVal,_xlfn.XLOOKUP($A323,My_Audit!$A:$A,My_Audit!K:K,""),
_xlfn.IFS(_xlpm.MyAuditVal&lt;&gt;"",UPPER(_xlpm.MyAuditVal),_xlpm.MacVal&lt;&gt;"",_xlpm.MacVal,_xlpm.CSVVal&lt;&gt;"",_xlpm.CSVVal
)),"")</f>
        <v/>
      </c>
      <c r="M323" s="54" t="str">
        <f>_xlfn.LET(
    _xlpm.CSVVal, _xlfn.XLOOKUP($A323, CSV!$A:$A, CSV!AD:AD, ""),
    _xlpm.MacVal, _xlfn.XLOOKUP($A323, Output_Mac!$A:$A, Output_Mac!S:S, ""),
    _xlpm.MyAuditVal, _xlfn.XLOOKUP($A323, My_Audit!$A:$A, My_Audit!N:N, ""),
    _xlfn.TEXTJOIN(", ", TRUE, _xlpm.MyAuditVal, _xlpm.MacVal, _xlpm.CSVVal)
)</f>
        <v/>
      </c>
      <c r="N323" s="54" t="str" cm="1">
        <f t="array" ref="N323">IFERROR(_xlfn.LET(
_xlpm.CSVVal,_xlfn.XLOOKUP($A323,CSV!$A:$A,CSV!AF:AF,""),
_xlpm.MacVal,_xlfn.XLOOKUP($A323,Output_Mac!$A:$A,Output_Mac!U:U,""),
_xlpm.MyAuditVal,_xlfn.XLOOKUP($A323,My_Audit!$A:$A,My_Audit!O:O,""),
_xlfn.IFS(_xlpm.MyAuditVal&lt;&gt;"",UPPER(_xlpm.MyAuditVal),_xlpm.MacVal&lt;&gt;"",_xlpm.MacVal,_xlpm.CSVVal&lt;&gt;"",_xlpm.CSVVal
)),"")</f>
        <v/>
      </c>
      <c r="O323" s="54"/>
      <c r="P323" s="54"/>
      <c r="Q323" s="54"/>
      <c r="R323" s="54"/>
      <c r="S323" s="54"/>
      <c r="T323" s="54"/>
      <c r="U323" s="39"/>
    </row>
    <row r="324" spans="1:21">
      <c r="A324" s="54" t="str">
        <f>_xlfn.TEXTJOIN("",TRUE,Input!$B$2,ROW(My_Audit!A323))</f>
        <v>XX323</v>
      </c>
      <c r="B324" s="54" t="str">
        <f>_xlfn.TEXTJOIN("-",TRUE,"ITD",Input!$A$2,A324)</f>
        <v>ITD-SHRXXX-XX323</v>
      </c>
      <c r="C324" s="54" t="str" cm="1">
        <f t="array" ref="C324">IFERROR(_xlfn.LET(
_xlpm.CSVVal,_xlfn.XLOOKUP($A324,CSV!$A:$A,CSV!B:B,""),
_xlpm.MacVal,_xlfn.XLOOKUP($A324,Output_Mac!$A:$A,Output_Mac!B:B,""),
_xlpm.MyAuditVal,_xlfn.XLOOKUP($A324,My_Audit!$A:$A,My_Audit!B:B,""),
_xlfn.IFS(_xlpm.MyAuditVal&lt;&gt;"",UPPER(_xlpm.MyAuditVal),_xlpm.MacVal&lt;&gt;"",_xlpm.MacVal,_xlpm.CSVVal&lt;&gt;"",_xlpm.CSVVal
)),"")</f>
        <v/>
      </c>
      <c r="D324" s="55" t="str">
        <f>_xlfn.XLOOKUP(A324,My_Audit!A:A,My_Audit!D:D,"")&amp;""</f>
        <v/>
      </c>
      <c r="E324" s="55" t="str" cm="1">
        <f t="array" ref="E324">IFERROR(_xlfn.LET(
_xlpm.CSVVal,_xlfn.XLOOKUP($A324,CSV!$A:$A,CSV!D:D,""),
_xlpm.MacVal,_xlfn.XLOOKUP($A324,Output_Mac!$A:$A,Output_Mac!C:C,""),
_xlpm.MyAuditVal,_xlfn.XLOOKUP($A324,My_Audit!$A:$A,My_Audit!D:D,""),
_xlfn.IFS(_xlpm.MyAuditVal&lt;&gt;"",_xlpm.MyAuditVal,_xlpm.MacVal&lt;&gt;"",_xlpm.MacVal,_xlpm.CSVVal&lt;&gt;"",_xlpm.CSVVal
)),"")</f>
        <v/>
      </c>
      <c r="F324" s="54" t="str" cm="1">
        <f t="array" ref="F324">IFERROR(_xlfn.LET(
_xlpm.CSVVal,_xlfn.XLOOKUP($A324,CSV!$A:$A,CSV!E:E,""),
_xlpm.MacVal,_xlfn.XLOOKUP($A324,Output_Mac!$A:$A,Output_Mac!F:F,""),
_xlpm.MyAuditVal,_xlfn.XLOOKUP($A324,My_Audit!$A:$A,My_Audit!E:E,""),
_xlfn.IFS(_xlpm.MyAuditVal&lt;&gt;"",_xlpm.MyAuditVal,_xlpm.MacVal&lt;&gt;"",_xlpm.MacVal,_xlpm.CSVVal&lt;&gt;"",PROPER(_xlpm.CSVVal)
)),"")</f>
        <v/>
      </c>
      <c r="G324" s="54" t="str" cm="1">
        <f t="array" ref="G324">IFERROR(_xlfn.LET(
_xlpm.CSVVal,_xlfn.XLOOKUP($A324,CSV!$A:$A,CSV!F:F,""),
_xlpm.MacVal,_xlfn.XLOOKUP($A324,Output_Mac!$A:$A,Output_Mac!H:H,""),
_xlpm.MyAuditVal,_xlfn.XLOOKUP($A324,My_Audit!$A:$A,My_Audit!F:F,""),
_xlfn.IFS(_xlpm.MyAuditVal&lt;&gt;"",_xlpm.MyAuditVal,_xlpm.MacVal&lt;&gt;"",_xlpm.MacVal,_xlpm.CSVVal&lt;&gt;"",_xlpm.CSVVal
)),"")</f>
        <v/>
      </c>
      <c r="H324" s="54" t="str">
        <f>_xlfn.XLOOKUP(A324,Output_Mac!A:A,Output_Mac!I:I,"")</f>
        <v/>
      </c>
      <c r="I324" s="54" t="str" cm="1">
        <f t="array" ref="I324">IFERROR(_xlfn.LET(
_xlpm.CSVVal,_xlfn.XLOOKUP($A324,CSV!$A:$A,CSV!G:G,""),
_xlpm.MacVal,_xlfn.XLOOKUP($A324,Output_Mac!$A:$A,Output_Mac!J:J,""),
_xlpm.MyAuditVal,_xlfn.XLOOKUP($A324,My_Audit!$A:$A,My_Audit!H:H,""),
_xlfn.IFS(_xlpm.MyAuditVal&lt;&gt;"",UPPER(_xlpm.MyAuditVal),_xlpm.MacVal&lt;&gt;"",_xlpm.MacVal,_xlpm.CSVVal&lt;&gt;"",_xlpm.CSVVal
)),"")</f>
        <v/>
      </c>
      <c r="J324" s="54" t="str" cm="1">
        <f t="array" ref="J324">IFERROR(_xlfn.LET(
_xlpm.CSVVal,_xlfn.XLOOKUP($A324,CSV!$A:$A,CSV!I:I,""),
_xlpm.MacVal,_xlfn.XLOOKUP($A324,Output_Mac!$A:$A,Output_Mac!K:K,""),
_xlpm.MyAuditVal,_xlfn.XLOOKUP($A324,My_Audit!$A:$A,My_Audit!I:I,""),
_xlfn.IFS(_xlpm.MyAuditVal&lt;&gt;"",UPPER(_xlpm.MyAuditVal),_xlpm.MacVal&lt;&gt;"",_xlpm.MacVal,_xlpm.CSVVal&lt;&gt;"",_xlpm.CSVVal
)),"")</f>
        <v/>
      </c>
      <c r="K324" s="54" t="str" cm="1">
        <f t="array" ref="K324">IFERROR(_xlfn.LET(
_xlpm.CSVVal,_xlfn.XLOOKUP($A324,CSV!$A:$A,CSV!M:M,""),
_xlpm.MacVal,_xlfn.XLOOKUP($A324,Output_Mac!$A:$A,Output_Mac!L:L,""),
_xlpm.MyAuditVal,_xlfn.XLOOKUP($A324,My_Audit!$A:$A,My_Audit!J:J,""),
_xlfn.IFS(_xlpm.MyAuditVal&lt;&gt;"",UPPER(_xlpm.MyAuditVal),_xlpm.MacVal&lt;&gt;"",_xlpm.MacVal,_xlpm.CSVVal&lt;&gt;"",_xlpm.CSVVal
)),"")</f>
        <v/>
      </c>
      <c r="L324" s="55" t="str" cm="1">
        <f t="array" ref="L324">IFERROR(_xlfn.LET(
_xlpm.CSVVal,_xlfn.XLOOKUP($A324,CSV!$A:$A,CSV!P:P,""),
_xlpm.MacVal,_xlfn.XLOOKUP($A324,Output_Mac!$A:$A,Output_Mac!M:M,""),
_xlpm.MyAuditVal,_xlfn.XLOOKUP($A324,My_Audit!$A:$A,My_Audit!K:K,""),
_xlfn.IFS(_xlpm.MyAuditVal&lt;&gt;"",UPPER(_xlpm.MyAuditVal),_xlpm.MacVal&lt;&gt;"",_xlpm.MacVal,_xlpm.CSVVal&lt;&gt;"",_xlpm.CSVVal
)),"")</f>
        <v/>
      </c>
      <c r="M324" s="54" t="str">
        <f>_xlfn.LET(
    _xlpm.CSVVal, _xlfn.XLOOKUP($A324, CSV!$A:$A, CSV!AD:AD, ""),
    _xlpm.MacVal, _xlfn.XLOOKUP($A324, Output_Mac!$A:$A, Output_Mac!S:S, ""),
    _xlpm.MyAuditVal, _xlfn.XLOOKUP($A324, My_Audit!$A:$A, My_Audit!N:N, ""),
    _xlfn.TEXTJOIN(", ", TRUE, _xlpm.MyAuditVal, _xlpm.MacVal, _xlpm.CSVVal)
)</f>
        <v/>
      </c>
      <c r="N324" s="54" t="str" cm="1">
        <f t="array" ref="N324">IFERROR(_xlfn.LET(
_xlpm.CSVVal,_xlfn.XLOOKUP($A324,CSV!$A:$A,CSV!AF:AF,""),
_xlpm.MacVal,_xlfn.XLOOKUP($A324,Output_Mac!$A:$A,Output_Mac!U:U,""),
_xlpm.MyAuditVal,_xlfn.XLOOKUP($A324,My_Audit!$A:$A,My_Audit!O:O,""),
_xlfn.IFS(_xlpm.MyAuditVal&lt;&gt;"",UPPER(_xlpm.MyAuditVal),_xlpm.MacVal&lt;&gt;"",_xlpm.MacVal,_xlpm.CSVVal&lt;&gt;"",_xlpm.CSVVal
)),"")</f>
        <v/>
      </c>
      <c r="O324" s="54"/>
      <c r="P324" s="54"/>
      <c r="Q324" s="54"/>
      <c r="R324" s="54"/>
      <c r="S324" s="54"/>
      <c r="T324" s="54"/>
      <c r="U324" s="39"/>
    </row>
    <row r="325" spans="1:21">
      <c r="A325" s="54" t="str">
        <f>_xlfn.TEXTJOIN("",TRUE,Input!$B$2,ROW(My_Audit!A324))</f>
        <v>XX324</v>
      </c>
      <c r="B325" s="54" t="str">
        <f>_xlfn.TEXTJOIN("-",TRUE,"ITD",Input!$A$2,A325)</f>
        <v>ITD-SHRXXX-XX324</v>
      </c>
      <c r="C325" s="54" t="str" cm="1">
        <f t="array" ref="C325">IFERROR(_xlfn.LET(
_xlpm.CSVVal,_xlfn.XLOOKUP($A325,CSV!$A:$A,CSV!B:B,""),
_xlpm.MacVal,_xlfn.XLOOKUP($A325,Output_Mac!$A:$A,Output_Mac!B:B,""),
_xlpm.MyAuditVal,_xlfn.XLOOKUP($A325,My_Audit!$A:$A,My_Audit!B:B,""),
_xlfn.IFS(_xlpm.MyAuditVal&lt;&gt;"",UPPER(_xlpm.MyAuditVal),_xlpm.MacVal&lt;&gt;"",_xlpm.MacVal,_xlpm.CSVVal&lt;&gt;"",_xlpm.CSVVal
)),"")</f>
        <v/>
      </c>
      <c r="D325" s="55" t="str">
        <f>_xlfn.XLOOKUP(A325,My_Audit!A:A,My_Audit!D:D,"")&amp;""</f>
        <v/>
      </c>
      <c r="E325" s="55" t="str" cm="1">
        <f t="array" ref="E325">IFERROR(_xlfn.LET(
_xlpm.CSVVal,_xlfn.XLOOKUP($A325,CSV!$A:$A,CSV!D:D,""),
_xlpm.MacVal,_xlfn.XLOOKUP($A325,Output_Mac!$A:$A,Output_Mac!C:C,""),
_xlpm.MyAuditVal,_xlfn.XLOOKUP($A325,My_Audit!$A:$A,My_Audit!D:D,""),
_xlfn.IFS(_xlpm.MyAuditVal&lt;&gt;"",_xlpm.MyAuditVal,_xlpm.MacVal&lt;&gt;"",_xlpm.MacVal,_xlpm.CSVVal&lt;&gt;"",_xlpm.CSVVal
)),"")</f>
        <v/>
      </c>
      <c r="F325" s="54" t="str" cm="1">
        <f t="array" ref="F325">IFERROR(_xlfn.LET(
_xlpm.CSVVal,_xlfn.XLOOKUP($A325,CSV!$A:$A,CSV!E:E,""),
_xlpm.MacVal,_xlfn.XLOOKUP($A325,Output_Mac!$A:$A,Output_Mac!F:F,""),
_xlpm.MyAuditVal,_xlfn.XLOOKUP($A325,My_Audit!$A:$A,My_Audit!E:E,""),
_xlfn.IFS(_xlpm.MyAuditVal&lt;&gt;"",_xlpm.MyAuditVal,_xlpm.MacVal&lt;&gt;"",_xlpm.MacVal,_xlpm.CSVVal&lt;&gt;"",PROPER(_xlpm.CSVVal)
)),"")</f>
        <v/>
      </c>
      <c r="G325" s="54" t="str" cm="1">
        <f t="array" ref="G325">IFERROR(_xlfn.LET(
_xlpm.CSVVal,_xlfn.XLOOKUP($A325,CSV!$A:$A,CSV!F:F,""),
_xlpm.MacVal,_xlfn.XLOOKUP($A325,Output_Mac!$A:$A,Output_Mac!H:H,""),
_xlpm.MyAuditVal,_xlfn.XLOOKUP($A325,My_Audit!$A:$A,My_Audit!F:F,""),
_xlfn.IFS(_xlpm.MyAuditVal&lt;&gt;"",_xlpm.MyAuditVal,_xlpm.MacVal&lt;&gt;"",_xlpm.MacVal,_xlpm.CSVVal&lt;&gt;"",_xlpm.CSVVal
)),"")</f>
        <v/>
      </c>
      <c r="H325" s="54" t="str">
        <f>_xlfn.XLOOKUP(A325,Output_Mac!A:A,Output_Mac!I:I,"")</f>
        <v/>
      </c>
      <c r="I325" s="54" t="str" cm="1">
        <f t="array" ref="I325">IFERROR(_xlfn.LET(
_xlpm.CSVVal,_xlfn.XLOOKUP($A325,CSV!$A:$A,CSV!G:G,""),
_xlpm.MacVal,_xlfn.XLOOKUP($A325,Output_Mac!$A:$A,Output_Mac!J:J,""),
_xlpm.MyAuditVal,_xlfn.XLOOKUP($A325,My_Audit!$A:$A,My_Audit!H:H,""),
_xlfn.IFS(_xlpm.MyAuditVal&lt;&gt;"",UPPER(_xlpm.MyAuditVal),_xlpm.MacVal&lt;&gt;"",_xlpm.MacVal,_xlpm.CSVVal&lt;&gt;"",_xlpm.CSVVal
)),"")</f>
        <v/>
      </c>
      <c r="J325" s="54" t="str" cm="1">
        <f t="array" ref="J325">IFERROR(_xlfn.LET(
_xlpm.CSVVal,_xlfn.XLOOKUP($A325,CSV!$A:$A,CSV!I:I,""),
_xlpm.MacVal,_xlfn.XLOOKUP($A325,Output_Mac!$A:$A,Output_Mac!K:K,""),
_xlpm.MyAuditVal,_xlfn.XLOOKUP($A325,My_Audit!$A:$A,My_Audit!I:I,""),
_xlfn.IFS(_xlpm.MyAuditVal&lt;&gt;"",UPPER(_xlpm.MyAuditVal),_xlpm.MacVal&lt;&gt;"",_xlpm.MacVal,_xlpm.CSVVal&lt;&gt;"",_xlpm.CSVVal
)),"")</f>
        <v/>
      </c>
      <c r="K325" s="54" t="str" cm="1">
        <f t="array" ref="K325">IFERROR(_xlfn.LET(
_xlpm.CSVVal,_xlfn.XLOOKUP($A325,CSV!$A:$A,CSV!M:M,""),
_xlpm.MacVal,_xlfn.XLOOKUP($A325,Output_Mac!$A:$A,Output_Mac!L:L,""),
_xlpm.MyAuditVal,_xlfn.XLOOKUP($A325,My_Audit!$A:$A,My_Audit!J:J,""),
_xlfn.IFS(_xlpm.MyAuditVal&lt;&gt;"",UPPER(_xlpm.MyAuditVal),_xlpm.MacVal&lt;&gt;"",_xlpm.MacVal,_xlpm.CSVVal&lt;&gt;"",_xlpm.CSVVal
)),"")</f>
        <v/>
      </c>
      <c r="L325" s="55" t="str" cm="1">
        <f t="array" ref="L325">IFERROR(_xlfn.LET(
_xlpm.CSVVal,_xlfn.XLOOKUP($A325,CSV!$A:$A,CSV!P:P,""),
_xlpm.MacVal,_xlfn.XLOOKUP($A325,Output_Mac!$A:$A,Output_Mac!M:M,""),
_xlpm.MyAuditVal,_xlfn.XLOOKUP($A325,My_Audit!$A:$A,My_Audit!K:K,""),
_xlfn.IFS(_xlpm.MyAuditVal&lt;&gt;"",UPPER(_xlpm.MyAuditVal),_xlpm.MacVal&lt;&gt;"",_xlpm.MacVal,_xlpm.CSVVal&lt;&gt;"",_xlpm.CSVVal
)),"")</f>
        <v/>
      </c>
      <c r="M325" s="54" t="str">
        <f>_xlfn.LET(
    _xlpm.CSVVal, _xlfn.XLOOKUP($A325, CSV!$A:$A, CSV!AD:AD, ""),
    _xlpm.MacVal, _xlfn.XLOOKUP($A325, Output_Mac!$A:$A, Output_Mac!S:S, ""),
    _xlpm.MyAuditVal, _xlfn.XLOOKUP($A325, My_Audit!$A:$A, My_Audit!N:N, ""),
    _xlfn.TEXTJOIN(", ", TRUE, _xlpm.MyAuditVal, _xlpm.MacVal, _xlpm.CSVVal)
)</f>
        <v/>
      </c>
      <c r="N325" s="54" t="str" cm="1">
        <f t="array" ref="N325">IFERROR(_xlfn.LET(
_xlpm.CSVVal,_xlfn.XLOOKUP($A325,CSV!$A:$A,CSV!AF:AF,""),
_xlpm.MacVal,_xlfn.XLOOKUP($A325,Output_Mac!$A:$A,Output_Mac!U:U,""),
_xlpm.MyAuditVal,_xlfn.XLOOKUP($A325,My_Audit!$A:$A,My_Audit!O:O,""),
_xlfn.IFS(_xlpm.MyAuditVal&lt;&gt;"",UPPER(_xlpm.MyAuditVal),_xlpm.MacVal&lt;&gt;"",_xlpm.MacVal,_xlpm.CSVVal&lt;&gt;"",_xlpm.CSVVal
)),"")</f>
        <v/>
      </c>
      <c r="O325" s="54"/>
      <c r="P325" s="54"/>
      <c r="Q325" s="54"/>
      <c r="R325" s="54"/>
      <c r="S325" s="54"/>
      <c r="T325" s="54"/>
      <c r="U325" s="39"/>
    </row>
    <row r="326" spans="1:21">
      <c r="A326" s="54" t="str">
        <f>_xlfn.TEXTJOIN("",TRUE,Input!$B$2,ROW(My_Audit!A325))</f>
        <v>XX325</v>
      </c>
      <c r="B326" s="54" t="str">
        <f>_xlfn.TEXTJOIN("-",TRUE,"ITD",Input!$A$2,A326)</f>
        <v>ITD-SHRXXX-XX325</v>
      </c>
      <c r="C326" s="54" t="str" cm="1">
        <f t="array" ref="C326">IFERROR(_xlfn.LET(
_xlpm.CSVVal,_xlfn.XLOOKUP($A326,CSV!$A:$A,CSV!B:B,""),
_xlpm.MacVal,_xlfn.XLOOKUP($A326,Output_Mac!$A:$A,Output_Mac!B:B,""),
_xlpm.MyAuditVal,_xlfn.XLOOKUP($A326,My_Audit!$A:$A,My_Audit!B:B,""),
_xlfn.IFS(_xlpm.MyAuditVal&lt;&gt;"",UPPER(_xlpm.MyAuditVal),_xlpm.MacVal&lt;&gt;"",_xlpm.MacVal,_xlpm.CSVVal&lt;&gt;"",_xlpm.CSVVal
)),"")</f>
        <v/>
      </c>
      <c r="D326" s="55" t="str">
        <f>_xlfn.XLOOKUP(A326,My_Audit!A:A,My_Audit!D:D,"")&amp;""</f>
        <v/>
      </c>
      <c r="E326" s="55" t="str" cm="1">
        <f t="array" ref="E326">IFERROR(_xlfn.LET(
_xlpm.CSVVal,_xlfn.XLOOKUP($A326,CSV!$A:$A,CSV!D:D,""),
_xlpm.MacVal,_xlfn.XLOOKUP($A326,Output_Mac!$A:$A,Output_Mac!C:C,""),
_xlpm.MyAuditVal,_xlfn.XLOOKUP($A326,My_Audit!$A:$A,My_Audit!D:D,""),
_xlfn.IFS(_xlpm.MyAuditVal&lt;&gt;"",_xlpm.MyAuditVal,_xlpm.MacVal&lt;&gt;"",_xlpm.MacVal,_xlpm.CSVVal&lt;&gt;"",_xlpm.CSVVal
)),"")</f>
        <v/>
      </c>
      <c r="F326" s="54" t="str" cm="1">
        <f t="array" ref="F326">IFERROR(_xlfn.LET(
_xlpm.CSVVal,_xlfn.XLOOKUP($A326,CSV!$A:$A,CSV!E:E,""),
_xlpm.MacVal,_xlfn.XLOOKUP($A326,Output_Mac!$A:$A,Output_Mac!F:F,""),
_xlpm.MyAuditVal,_xlfn.XLOOKUP($A326,My_Audit!$A:$A,My_Audit!E:E,""),
_xlfn.IFS(_xlpm.MyAuditVal&lt;&gt;"",_xlpm.MyAuditVal,_xlpm.MacVal&lt;&gt;"",_xlpm.MacVal,_xlpm.CSVVal&lt;&gt;"",PROPER(_xlpm.CSVVal)
)),"")</f>
        <v/>
      </c>
      <c r="G326" s="54" t="str" cm="1">
        <f t="array" ref="G326">IFERROR(_xlfn.LET(
_xlpm.CSVVal,_xlfn.XLOOKUP($A326,CSV!$A:$A,CSV!F:F,""),
_xlpm.MacVal,_xlfn.XLOOKUP($A326,Output_Mac!$A:$A,Output_Mac!H:H,""),
_xlpm.MyAuditVal,_xlfn.XLOOKUP($A326,My_Audit!$A:$A,My_Audit!F:F,""),
_xlfn.IFS(_xlpm.MyAuditVal&lt;&gt;"",_xlpm.MyAuditVal,_xlpm.MacVal&lt;&gt;"",_xlpm.MacVal,_xlpm.CSVVal&lt;&gt;"",_xlpm.CSVVal
)),"")</f>
        <v/>
      </c>
      <c r="H326" s="54" t="str">
        <f>_xlfn.XLOOKUP(A326,Output_Mac!A:A,Output_Mac!I:I,"")</f>
        <v/>
      </c>
      <c r="I326" s="54" t="str" cm="1">
        <f t="array" ref="I326">IFERROR(_xlfn.LET(
_xlpm.CSVVal,_xlfn.XLOOKUP($A326,CSV!$A:$A,CSV!G:G,""),
_xlpm.MacVal,_xlfn.XLOOKUP($A326,Output_Mac!$A:$A,Output_Mac!J:J,""),
_xlpm.MyAuditVal,_xlfn.XLOOKUP($A326,My_Audit!$A:$A,My_Audit!H:H,""),
_xlfn.IFS(_xlpm.MyAuditVal&lt;&gt;"",UPPER(_xlpm.MyAuditVal),_xlpm.MacVal&lt;&gt;"",_xlpm.MacVal,_xlpm.CSVVal&lt;&gt;"",_xlpm.CSVVal
)),"")</f>
        <v/>
      </c>
      <c r="J326" s="54" t="str" cm="1">
        <f t="array" ref="J326">IFERROR(_xlfn.LET(
_xlpm.CSVVal,_xlfn.XLOOKUP($A326,CSV!$A:$A,CSV!I:I,""),
_xlpm.MacVal,_xlfn.XLOOKUP($A326,Output_Mac!$A:$A,Output_Mac!K:K,""),
_xlpm.MyAuditVal,_xlfn.XLOOKUP($A326,My_Audit!$A:$A,My_Audit!I:I,""),
_xlfn.IFS(_xlpm.MyAuditVal&lt;&gt;"",UPPER(_xlpm.MyAuditVal),_xlpm.MacVal&lt;&gt;"",_xlpm.MacVal,_xlpm.CSVVal&lt;&gt;"",_xlpm.CSVVal
)),"")</f>
        <v/>
      </c>
      <c r="K326" s="54" t="str" cm="1">
        <f t="array" ref="K326">IFERROR(_xlfn.LET(
_xlpm.CSVVal,_xlfn.XLOOKUP($A326,CSV!$A:$A,CSV!M:M,""),
_xlpm.MacVal,_xlfn.XLOOKUP($A326,Output_Mac!$A:$A,Output_Mac!L:L,""),
_xlpm.MyAuditVal,_xlfn.XLOOKUP($A326,My_Audit!$A:$A,My_Audit!J:J,""),
_xlfn.IFS(_xlpm.MyAuditVal&lt;&gt;"",UPPER(_xlpm.MyAuditVal),_xlpm.MacVal&lt;&gt;"",_xlpm.MacVal,_xlpm.CSVVal&lt;&gt;"",_xlpm.CSVVal
)),"")</f>
        <v/>
      </c>
      <c r="L326" s="55" t="str" cm="1">
        <f t="array" ref="L326">IFERROR(_xlfn.LET(
_xlpm.CSVVal,_xlfn.XLOOKUP($A326,CSV!$A:$A,CSV!P:P,""),
_xlpm.MacVal,_xlfn.XLOOKUP($A326,Output_Mac!$A:$A,Output_Mac!M:M,""),
_xlpm.MyAuditVal,_xlfn.XLOOKUP($A326,My_Audit!$A:$A,My_Audit!K:K,""),
_xlfn.IFS(_xlpm.MyAuditVal&lt;&gt;"",UPPER(_xlpm.MyAuditVal),_xlpm.MacVal&lt;&gt;"",_xlpm.MacVal,_xlpm.CSVVal&lt;&gt;"",_xlpm.CSVVal
)),"")</f>
        <v/>
      </c>
      <c r="M326" s="54" t="str">
        <f>_xlfn.LET(
    _xlpm.CSVVal, _xlfn.XLOOKUP($A326, CSV!$A:$A, CSV!AD:AD, ""),
    _xlpm.MacVal, _xlfn.XLOOKUP($A326, Output_Mac!$A:$A, Output_Mac!S:S, ""),
    _xlpm.MyAuditVal, _xlfn.XLOOKUP($A326, My_Audit!$A:$A, My_Audit!N:N, ""),
    _xlfn.TEXTJOIN(", ", TRUE, _xlpm.MyAuditVal, _xlpm.MacVal, _xlpm.CSVVal)
)</f>
        <v/>
      </c>
      <c r="N326" s="54" t="str" cm="1">
        <f t="array" ref="N326">IFERROR(_xlfn.LET(
_xlpm.CSVVal,_xlfn.XLOOKUP($A326,CSV!$A:$A,CSV!AF:AF,""),
_xlpm.MacVal,_xlfn.XLOOKUP($A326,Output_Mac!$A:$A,Output_Mac!U:U,""),
_xlpm.MyAuditVal,_xlfn.XLOOKUP($A326,My_Audit!$A:$A,My_Audit!O:O,""),
_xlfn.IFS(_xlpm.MyAuditVal&lt;&gt;"",UPPER(_xlpm.MyAuditVal),_xlpm.MacVal&lt;&gt;"",_xlpm.MacVal,_xlpm.CSVVal&lt;&gt;"",_xlpm.CSVVal
)),"")</f>
        <v/>
      </c>
      <c r="O326" s="54"/>
      <c r="P326" s="54"/>
      <c r="Q326" s="54"/>
      <c r="R326" s="54"/>
      <c r="S326" s="54"/>
      <c r="T326" s="54"/>
      <c r="U326" s="39"/>
    </row>
    <row r="327" spans="1:21">
      <c r="A327" s="54" t="str">
        <f>_xlfn.TEXTJOIN("",TRUE,Input!$B$2,ROW(My_Audit!A326))</f>
        <v>XX326</v>
      </c>
      <c r="B327" s="54" t="str">
        <f>_xlfn.TEXTJOIN("-",TRUE,"ITD",Input!$A$2,A327)</f>
        <v>ITD-SHRXXX-XX326</v>
      </c>
      <c r="C327" s="54" t="str" cm="1">
        <f t="array" ref="C327">IFERROR(_xlfn.LET(
_xlpm.CSVVal,_xlfn.XLOOKUP($A327,CSV!$A:$A,CSV!B:B,""),
_xlpm.MacVal,_xlfn.XLOOKUP($A327,Output_Mac!$A:$A,Output_Mac!B:B,""),
_xlpm.MyAuditVal,_xlfn.XLOOKUP($A327,My_Audit!$A:$A,My_Audit!B:B,""),
_xlfn.IFS(_xlpm.MyAuditVal&lt;&gt;"",UPPER(_xlpm.MyAuditVal),_xlpm.MacVal&lt;&gt;"",_xlpm.MacVal,_xlpm.CSVVal&lt;&gt;"",_xlpm.CSVVal
)),"")</f>
        <v/>
      </c>
      <c r="D327" s="55" t="str">
        <f>_xlfn.XLOOKUP(A327,My_Audit!A:A,My_Audit!D:D,"")&amp;""</f>
        <v/>
      </c>
      <c r="E327" s="55" t="str" cm="1">
        <f t="array" ref="E327">IFERROR(_xlfn.LET(
_xlpm.CSVVal,_xlfn.XLOOKUP($A327,CSV!$A:$A,CSV!D:D,""),
_xlpm.MacVal,_xlfn.XLOOKUP($A327,Output_Mac!$A:$A,Output_Mac!C:C,""),
_xlpm.MyAuditVal,_xlfn.XLOOKUP($A327,My_Audit!$A:$A,My_Audit!D:D,""),
_xlfn.IFS(_xlpm.MyAuditVal&lt;&gt;"",_xlpm.MyAuditVal,_xlpm.MacVal&lt;&gt;"",_xlpm.MacVal,_xlpm.CSVVal&lt;&gt;"",_xlpm.CSVVal
)),"")</f>
        <v/>
      </c>
      <c r="F327" s="54" t="str" cm="1">
        <f t="array" ref="F327">IFERROR(_xlfn.LET(
_xlpm.CSVVal,_xlfn.XLOOKUP($A327,CSV!$A:$A,CSV!E:E,""),
_xlpm.MacVal,_xlfn.XLOOKUP($A327,Output_Mac!$A:$A,Output_Mac!F:F,""),
_xlpm.MyAuditVal,_xlfn.XLOOKUP($A327,My_Audit!$A:$A,My_Audit!E:E,""),
_xlfn.IFS(_xlpm.MyAuditVal&lt;&gt;"",_xlpm.MyAuditVal,_xlpm.MacVal&lt;&gt;"",_xlpm.MacVal,_xlpm.CSVVal&lt;&gt;"",PROPER(_xlpm.CSVVal)
)),"")</f>
        <v/>
      </c>
      <c r="G327" s="54" t="str" cm="1">
        <f t="array" ref="G327">IFERROR(_xlfn.LET(
_xlpm.CSVVal,_xlfn.XLOOKUP($A327,CSV!$A:$A,CSV!F:F,""),
_xlpm.MacVal,_xlfn.XLOOKUP($A327,Output_Mac!$A:$A,Output_Mac!H:H,""),
_xlpm.MyAuditVal,_xlfn.XLOOKUP($A327,My_Audit!$A:$A,My_Audit!F:F,""),
_xlfn.IFS(_xlpm.MyAuditVal&lt;&gt;"",_xlpm.MyAuditVal,_xlpm.MacVal&lt;&gt;"",_xlpm.MacVal,_xlpm.CSVVal&lt;&gt;"",_xlpm.CSVVal
)),"")</f>
        <v/>
      </c>
      <c r="H327" s="54" t="str">
        <f>_xlfn.XLOOKUP(A327,Output_Mac!A:A,Output_Mac!I:I,"")</f>
        <v/>
      </c>
      <c r="I327" s="54" t="str" cm="1">
        <f t="array" ref="I327">IFERROR(_xlfn.LET(
_xlpm.CSVVal,_xlfn.XLOOKUP($A327,CSV!$A:$A,CSV!G:G,""),
_xlpm.MacVal,_xlfn.XLOOKUP($A327,Output_Mac!$A:$A,Output_Mac!J:J,""),
_xlpm.MyAuditVal,_xlfn.XLOOKUP($A327,My_Audit!$A:$A,My_Audit!H:H,""),
_xlfn.IFS(_xlpm.MyAuditVal&lt;&gt;"",UPPER(_xlpm.MyAuditVal),_xlpm.MacVal&lt;&gt;"",_xlpm.MacVal,_xlpm.CSVVal&lt;&gt;"",_xlpm.CSVVal
)),"")</f>
        <v/>
      </c>
      <c r="J327" s="54" t="str" cm="1">
        <f t="array" ref="J327">IFERROR(_xlfn.LET(
_xlpm.CSVVal,_xlfn.XLOOKUP($A327,CSV!$A:$A,CSV!I:I,""),
_xlpm.MacVal,_xlfn.XLOOKUP($A327,Output_Mac!$A:$A,Output_Mac!K:K,""),
_xlpm.MyAuditVal,_xlfn.XLOOKUP($A327,My_Audit!$A:$A,My_Audit!I:I,""),
_xlfn.IFS(_xlpm.MyAuditVal&lt;&gt;"",UPPER(_xlpm.MyAuditVal),_xlpm.MacVal&lt;&gt;"",_xlpm.MacVal,_xlpm.CSVVal&lt;&gt;"",_xlpm.CSVVal
)),"")</f>
        <v/>
      </c>
      <c r="K327" s="54" t="str" cm="1">
        <f t="array" ref="K327">IFERROR(_xlfn.LET(
_xlpm.CSVVal,_xlfn.XLOOKUP($A327,CSV!$A:$A,CSV!M:M,""),
_xlpm.MacVal,_xlfn.XLOOKUP($A327,Output_Mac!$A:$A,Output_Mac!L:L,""),
_xlpm.MyAuditVal,_xlfn.XLOOKUP($A327,My_Audit!$A:$A,My_Audit!J:J,""),
_xlfn.IFS(_xlpm.MyAuditVal&lt;&gt;"",UPPER(_xlpm.MyAuditVal),_xlpm.MacVal&lt;&gt;"",_xlpm.MacVal,_xlpm.CSVVal&lt;&gt;"",_xlpm.CSVVal
)),"")</f>
        <v/>
      </c>
      <c r="L327" s="55" t="str" cm="1">
        <f t="array" ref="L327">IFERROR(_xlfn.LET(
_xlpm.CSVVal,_xlfn.XLOOKUP($A327,CSV!$A:$A,CSV!P:P,""),
_xlpm.MacVal,_xlfn.XLOOKUP($A327,Output_Mac!$A:$A,Output_Mac!M:M,""),
_xlpm.MyAuditVal,_xlfn.XLOOKUP($A327,My_Audit!$A:$A,My_Audit!K:K,""),
_xlfn.IFS(_xlpm.MyAuditVal&lt;&gt;"",UPPER(_xlpm.MyAuditVal),_xlpm.MacVal&lt;&gt;"",_xlpm.MacVal,_xlpm.CSVVal&lt;&gt;"",_xlpm.CSVVal
)),"")</f>
        <v/>
      </c>
      <c r="M327" s="54" t="str">
        <f>_xlfn.LET(
    _xlpm.CSVVal, _xlfn.XLOOKUP($A327, CSV!$A:$A, CSV!AD:AD, ""),
    _xlpm.MacVal, _xlfn.XLOOKUP($A327, Output_Mac!$A:$A, Output_Mac!S:S, ""),
    _xlpm.MyAuditVal, _xlfn.XLOOKUP($A327, My_Audit!$A:$A, My_Audit!N:N, ""),
    _xlfn.TEXTJOIN(", ", TRUE, _xlpm.MyAuditVal, _xlpm.MacVal, _xlpm.CSVVal)
)</f>
        <v/>
      </c>
      <c r="N327" s="54" t="str" cm="1">
        <f t="array" ref="N327">IFERROR(_xlfn.LET(
_xlpm.CSVVal,_xlfn.XLOOKUP($A327,CSV!$A:$A,CSV!AF:AF,""),
_xlpm.MacVal,_xlfn.XLOOKUP($A327,Output_Mac!$A:$A,Output_Mac!U:U,""),
_xlpm.MyAuditVal,_xlfn.XLOOKUP($A327,My_Audit!$A:$A,My_Audit!O:O,""),
_xlfn.IFS(_xlpm.MyAuditVal&lt;&gt;"",UPPER(_xlpm.MyAuditVal),_xlpm.MacVal&lt;&gt;"",_xlpm.MacVal,_xlpm.CSVVal&lt;&gt;"",_xlpm.CSVVal
)),"")</f>
        <v/>
      </c>
      <c r="O327" s="54"/>
      <c r="P327" s="54"/>
      <c r="Q327" s="54"/>
      <c r="R327" s="54"/>
      <c r="S327" s="54"/>
      <c r="T327" s="54"/>
      <c r="U327" s="39"/>
    </row>
    <row r="328" spans="1:21">
      <c r="A328" s="54" t="str">
        <f>_xlfn.TEXTJOIN("",TRUE,Input!$B$2,ROW(My_Audit!A327))</f>
        <v>XX327</v>
      </c>
      <c r="B328" s="54" t="str">
        <f>_xlfn.TEXTJOIN("-",TRUE,"ITD",Input!$A$2,A328)</f>
        <v>ITD-SHRXXX-XX327</v>
      </c>
      <c r="C328" s="54" t="str" cm="1">
        <f t="array" ref="C328">IFERROR(_xlfn.LET(
_xlpm.CSVVal,_xlfn.XLOOKUP($A328,CSV!$A:$A,CSV!B:B,""),
_xlpm.MacVal,_xlfn.XLOOKUP($A328,Output_Mac!$A:$A,Output_Mac!B:B,""),
_xlpm.MyAuditVal,_xlfn.XLOOKUP($A328,My_Audit!$A:$A,My_Audit!B:B,""),
_xlfn.IFS(_xlpm.MyAuditVal&lt;&gt;"",UPPER(_xlpm.MyAuditVal),_xlpm.MacVal&lt;&gt;"",_xlpm.MacVal,_xlpm.CSVVal&lt;&gt;"",_xlpm.CSVVal
)),"")</f>
        <v/>
      </c>
      <c r="D328" s="55" t="str">
        <f>_xlfn.XLOOKUP(A328,My_Audit!A:A,My_Audit!D:D,"")&amp;""</f>
        <v/>
      </c>
      <c r="E328" s="55" t="str" cm="1">
        <f t="array" ref="E328">IFERROR(_xlfn.LET(
_xlpm.CSVVal,_xlfn.XLOOKUP($A328,CSV!$A:$A,CSV!D:D,""),
_xlpm.MacVal,_xlfn.XLOOKUP($A328,Output_Mac!$A:$A,Output_Mac!C:C,""),
_xlpm.MyAuditVal,_xlfn.XLOOKUP($A328,My_Audit!$A:$A,My_Audit!D:D,""),
_xlfn.IFS(_xlpm.MyAuditVal&lt;&gt;"",_xlpm.MyAuditVal,_xlpm.MacVal&lt;&gt;"",_xlpm.MacVal,_xlpm.CSVVal&lt;&gt;"",_xlpm.CSVVal
)),"")</f>
        <v/>
      </c>
      <c r="F328" s="54" t="str" cm="1">
        <f t="array" ref="F328">IFERROR(_xlfn.LET(
_xlpm.CSVVal,_xlfn.XLOOKUP($A328,CSV!$A:$A,CSV!E:E,""),
_xlpm.MacVal,_xlfn.XLOOKUP($A328,Output_Mac!$A:$A,Output_Mac!F:F,""),
_xlpm.MyAuditVal,_xlfn.XLOOKUP($A328,My_Audit!$A:$A,My_Audit!E:E,""),
_xlfn.IFS(_xlpm.MyAuditVal&lt;&gt;"",_xlpm.MyAuditVal,_xlpm.MacVal&lt;&gt;"",_xlpm.MacVal,_xlpm.CSVVal&lt;&gt;"",PROPER(_xlpm.CSVVal)
)),"")</f>
        <v/>
      </c>
      <c r="G328" s="54" t="str" cm="1">
        <f t="array" ref="G328">IFERROR(_xlfn.LET(
_xlpm.CSVVal,_xlfn.XLOOKUP($A328,CSV!$A:$A,CSV!F:F,""),
_xlpm.MacVal,_xlfn.XLOOKUP($A328,Output_Mac!$A:$A,Output_Mac!H:H,""),
_xlpm.MyAuditVal,_xlfn.XLOOKUP($A328,My_Audit!$A:$A,My_Audit!F:F,""),
_xlfn.IFS(_xlpm.MyAuditVal&lt;&gt;"",_xlpm.MyAuditVal,_xlpm.MacVal&lt;&gt;"",_xlpm.MacVal,_xlpm.CSVVal&lt;&gt;"",_xlpm.CSVVal
)),"")</f>
        <v/>
      </c>
      <c r="H328" s="54" t="str">
        <f>_xlfn.XLOOKUP(A328,Output_Mac!A:A,Output_Mac!I:I,"")</f>
        <v/>
      </c>
      <c r="I328" s="54" t="str" cm="1">
        <f t="array" ref="I328">IFERROR(_xlfn.LET(
_xlpm.CSVVal,_xlfn.XLOOKUP($A328,CSV!$A:$A,CSV!G:G,""),
_xlpm.MacVal,_xlfn.XLOOKUP($A328,Output_Mac!$A:$A,Output_Mac!J:J,""),
_xlpm.MyAuditVal,_xlfn.XLOOKUP($A328,My_Audit!$A:$A,My_Audit!H:H,""),
_xlfn.IFS(_xlpm.MyAuditVal&lt;&gt;"",UPPER(_xlpm.MyAuditVal),_xlpm.MacVal&lt;&gt;"",_xlpm.MacVal,_xlpm.CSVVal&lt;&gt;"",_xlpm.CSVVal
)),"")</f>
        <v/>
      </c>
      <c r="J328" s="54" t="str" cm="1">
        <f t="array" ref="J328">IFERROR(_xlfn.LET(
_xlpm.CSVVal,_xlfn.XLOOKUP($A328,CSV!$A:$A,CSV!I:I,""),
_xlpm.MacVal,_xlfn.XLOOKUP($A328,Output_Mac!$A:$A,Output_Mac!K:K,""),
_xlpm.MyAuditVal,_xlfn.XLOOKUP($A328,My_Audit!$A:$A,My_Audit!I:I,""),
_xlfn.IFS(_xlpm.MyAuditVal&lt;&gt;"",UPPER(_xlpm.MyAuditVal),_xlpm.MacVal&lt;&gt;"",_xlpm.MacVal,_xlpm.CSVVal&lt;&gt;"",_xlpm.CSVVal
)),"")</f>
        <v/>
      </c>
      <c r="K328" s="54" t="str" cm="1">
        <f t="array" ref="K328">IFERROR(_xlfn.LET(
_xlpm.CSVVal,_xlfn.XLOOKUP($A328,CSV!$A:$A,CSV!M:M,""),
_xlpm.MacVal,_xlfn.XLOOKUP($A328,Output_Mac!$A:$A,Output_Mac!L:L,""),
_xlpm.MyAuditVal,_xlfn.XLOOKUP($A328,My_Audit!$A:$A,My_Audit!J:J,""),
_xlfn.IFS(_xlpm.MyAuditVal&lt;&gt;"",UPPER(_xlpm.MyAuditVal),_xlpm.MacVal&lt;&gt;"",_xlpm.MacVal,_xlpm.CSVVal&lt;&gt;"",_xlpm.CSVVal
)),"")</f>
        <v/>
      </c>
      <c r="L328" s="55" t="str" cm="1">
        <f t="array" ref="L328">IFERROR(_xlfn.LET(
_xlpm.CSVVal,_xlfn.XLOOKUP($A328,CSV!$A:$A,CSV!P:P,""),
_xlpm.MacVal,_xlfn.XLOOKUP($A328,Output_Mac!$A:$A,Output_Mac!M:M,""),
_xlpm.MyAuditVal,_xlfn.XLOOKUP($A328,My_Audit!$A:$A,My_Audit!K:K,""),
_xlfn.IFS(_xlpm.MyAuditVal&lt;&gt;"",UPPER(_xlpm.MyAuditVal),_xlpm.MacVal&lt;&gt;"",_xlpm.MacVal,_xlpm.CSVVal&lt;&gt;"",_xlpm.CSVVal
)),"")</f>
        <v/>
      </c>
      <c r="M328" s="54" t="str">
        <f>_xlfn.LET(
    _xlpm.CSVVal, _xlfn.XLOOKUP($A328, CSV!$A:$A, CSV!AD:AD, ""),
    _xlpm.MacVal, _xlfn.XLOOKUP($A328, Output_Mac!$A:$A, Output_Mac!S:S, ""),
    _xlpm.MyAuditVal, _xlfn.XLOOKUP($A328, My_Audit!$A:$A, My_Audit!N:N, ""),
    _xlfn.TEXTJOIN(", ", TRUE, _xlpm.MyAuditVal, _xlpm.MacVal, _xlpm.CSVVal)
)</f>
        <v/>
      </c>
      <c r="N328" s="54" t="str" cm="1">
        <f t="array" ref="N328">IFERROR(_xlfn.LET(
_xlpm.CSVVal,_xlfn.XLOOKUP($A328,CSV!$A:$A,CSV!AF:AF,""),
_xlpm.MacVal,_xlfn.XLOOKUP($A328,Output_Mac!$A:$A,Output_Mac!U:U,""),
_xlpm.MyAuditVal,_xlfn.XLOOKUP($A328,My_Audit!$A:$A,My_Audit!O:O,""),
_xlfn.IFS(_xlpm.MyAuditVal&lt;&gt;"",UPPER(_xlpm.MyAuditVal),_xlpm.MacVal&lt;&gt;"",_xlpm.MacVal,_xlpm.CSVVal&lt;&gt;"",_xlpm.CSVVal
)),"")</f>
        <v/>
      </c>
      <c r="O328" s="54"/>
      <c r="P328" s="54"/>
      <c r="Q328" s="54"/>
      <c r="R328" s="54"/>
      <c r="S328" s="54"/>
      <c r="T328" s="54"/>
      <c r="U328" s="39"/>
    </row>
    <row r="329" spans="1:21">
      <c r="A329" s="54" t="str">
        <f>_xlfn.TEXTJOIN("",TRUE,Input!$B$2,ROW(My_Audit!A328))</f>
        <v>XX328</v>
      </c>
      <c r="B329" s="54" t="str">
        <f>_xlfn.TEXTJOIN("-",TRUE,"ITD",Input!$A$2,A329)</f>
        <v>ITD-SHRXXX-XX328</v>
      </c>
      <c r="C329" s="54" t="str" cm="1">
        <f t="array" ref="C329">IFERROR(_xlfn.LET(
_xlpm.CSVVal,_xlfn.XLOOKUP($A329,CSV!$A:$A,CSV!B:B,""),
_xlpm.MacVal,_xlfn.XLOOKUP($A329,Output_Mac!$A:$A,Output_Mac!B:B,""),
_xlpm.MyAuditVal,_xlfn.XLOOKUP($A329,My_Audit!$A:$A,My_Audit!B:B,""),
_xlfn.IFS(_xlpm.MyAuditVal&lt;&gt;"",UPPER(_xlpm.MyAuditVal),_xlpm.MacVal&lt;&gt;"",_xlpm.MacVal,_xlpm.CSVVal&lt;&gt;"",_xlpm.CSVVal
)),"")</f>
        <v/>
      </c>
      <c r="D329" s="55" t="str">
        <f>_xlfn.XLOOKUP(A329,My_Audit!A:A,My_Audit!D:D,"")&amp;""</f>
        <v/>
      </c>
      <c r="E329" s="55" t="str" cm="1">
        <f t="array" ref="E329">IFERROR(_xlfn.LET(
_xlpm.CSVVal,_xlfn.XLOOKUP($A329,CSV!$A:$A,CSV!D:D,""),
_xlpm.MacVal,_xlfn.XLOOKUP($A329,Output_Mac!$A:$A,Output_Mac!C:C,""),
_xlpm.MyAuditVal,_xlfn.XLOOKUP($A329,My_Audit!$A:$A,My_Audit!D:D,""),
_xlfn.IFS(_xlpm.MyAuditVal&lt;&gt;"",_xlpm.MyAuditVal,_xlpm.MacVal&lt;&gt;"",_xlpm.MacVal,_xlpm.CSVVal&lt;&gt;"",_xlpm.CSVVal
)),"")</f>
        <v/>
      </c>
      <c r="F329" s="54" t="str" cm="1">
        <f t="array" ref="F329">IFERROR(_xlfn.LET(
_xlpm.CSVVal,_xlfn.XLOOKUP($A329,CSV!$A:$A,CSV!E:E,""),
_xlpm.MacVal,_xlfn.XLOOKUP($A329,Output_Mac!$A:$A,Output_Mac!F:F,""),
_xlpm.MyAuditVal,_xlfn.XLOOKUP($A329,My_Audit!$A:$A,My_Audit!E:E,""),
_xlfn.IFS(_xlpm.MyAuditVal&lt;&gt;"",_xlpm.MyAuditVal,_xlpm.MacVal&lt;&gt;"",_xlpm.MacVal,_xlpm.CSVVal&lt;&gt;"",PROPER(_xlpm.CSVVal)
)),"")</f>
        <v/>
      </c>
      <c r="G329" s="54" t="str" cm="1">
        <f t="array" ref="G329">IFERROR(_xlfn.LET(
_xlpm.CSVVal,_xlfn.XLOOKUP($A329,CSV!$A:$A,CSV!F:F,""),
_xlpm.MacVal,_xlfn.XLOOKUP($A329,Output_Mac!$A:$A,Output_Mac!H:H,""),
_xlpm.MyAuditVal,_xlfn.XLOOKUP($A329,My_Audit!$A:$A,My_Audit!F:F,""),
_xlfn.IFS(_xlpm.MyAuditVal&lt;&gt;"",_xlpm.MyAuditVal,_xlpm.MacVal&lt;&gt;"",_xlpm.MacVal,_xlpm.CSVVal&lt;&gt;"",_xlpm.CSVVal
)),"")</f>
        <v/>
      </c>
      <c r="H329" s="54" t="str">
        <f>_xlfn.XLOOKUP(A329,Output_Mac!A:A,Output_Mac!I:I,"")</f>
        <v/>
      </c>
      <c r="I329" s="54" t="str" cm="1">
        <f t="array" ref="I329">IFERROR(_xlfn.LET(
_xlpm.CSVVal,_xlfn.XLOOKUP($A329,CSV!$A:$A,CSV!G:G,""),
_xlpm.MacVal,_xlfn.XLOOKUP($A329,Output_Mac!$A:$A,Output_Mac!J:J,""),
_xlpm.MyAuditVal,_xlfn.XLOOKUP($A329,My_Audit!$A:$A,My_Audit!H:H,""),
_xlfn.IFS(_xlpm.MyAuditVal&lt;&gt;"",UPPER(_xlpm.MyAuditVal),_xlpm.MacVal&lt;&gt;"",_xlpm.MacVal,_xlpm.CSVVal&lt;&gt;"",_xlpm.CSVVal
)),"")</f>
        <v/>
      </c>
      <c r="J329" s="54" t="str" cm="1">
        <f t="array" ref="J329">IFERROR(_xlfn.LET(
_xlpm.CSVVal,_xlfn.XLOOKUP($A329,CSV!$A:$A,CSV!I:I,""),
_xlpm.MacVal,_xlfn.XLOOKUP($A329,Output_Mac!$A:$A,Output_Mac!K:K,""),
_xlpm.MyAuditVal,_xlfn.XLOOKUP($A329,My_Audit!$A:$A,My_Audit!I:I,""),
_xlfn.IFS(_xlpm.MyAuditVal&lt;&gt;"",UPPER(_xlpm.MyAuditVal),_xlpm.MacVal&lt;&gt;"",_xlpm.MacVal,_xlpm.CSVVal&lt;&gt;"",_xlpm.CSVVal
)),"")</f>
        <v/>
      </c>
      <c r="K329" s="54" t="str" cm="1">
        <f t="array" ref="K329">IFERROR(_xlfn.LET(
_xlpm.CSVVal,_xlfn.XLOOKUP($A329,CSV!$A:$A,CSV!M:M,""),
_xlpm.MacVal,_xlfn.XLOOKUP($A329,Output_Mac!$A:$A,Output_Mac!L:L,""),
_xlpm.MyAuditVal,_xlfn.XLOOKUP($A329,My_Audit!$A:$A,My_Audit!J:J,""),
_xlfn.IFS(_xlpm.MyAuditVal&lt;&gt;"",UPPER(_xlpm.MyAuditVal),_xlpm.MacVal&lt;&gt;"",_xlpm.MacVal,_xlpm.CSVVal&lt;&gt;"",_xlpm.CSVVal
)),"")</f>
        <v/>
      </c>
      <c r="L329" s="55" t="str" cm="1">
        <f t="array" ref="L329">IFERROR(_xlfn.LET(
_xlpm.CSVVal,_xlfn.XLOOKUP($A329,CSV!$A:$A,CSV!P:P,""),
_xlpm.MacVal,_xlfn.XLOOKUP($A329,Output_Mac!$A:$A,Output_Mac!M:M,""),
_xlpm.MyAuditVal,_xlfn.XLOOKUP($A329,My_Audit!$A:$A,My_Audit!K:K,""),
_xlfn.IFS(_xlpm.MyAuditVal&lt;&gt;"",UPPER(_xlpm.MyAuditVal),_xlpm.MacVal&lt;&gt;"",_xlpm.MacVal,_xlpm.CSVVal&lt;&gt;"",_xlpm.CSVVal
)),"")</f>
        <v/>
      </c>
      <c r="M329" s="54" t="str">
        <f>_xlfn.LET(
    _xlpm.CSVVal, _xlfn.XLOOKUP($A329, CSV!$A:$A, CSV!AD:AD, ""),
    _xlpm.MacVal, _xlfn.XLOOKUP($A329, Output_Mac!$A:$A, Output_Mac!S:S, ""),
    _xlpm.MyAuditVal, _xlfn.XLOOKUP($A329, My_Audit!$A:$A, My_Audit!N:N, ""),
    _xlfn.TEXTJOIN(", ", TRUE, _xlpm.MyAuditVal, _xlpm.MacVal, _xlpm.CSVVal)
)</f>
        <v/>
      </c>
      <c r="N329" s="54" t="str" cm="1">
        <f t="array" ref="N329">IFERROR(_xlfn.LET(
_xlpm.CSVVal,_xlfn.XLOOKUP($A329,CSV!$A:$A,CSV!AF:AF,""),
_xlpm.MacVal,_xlfn.XLOOKUP($A329,Output_Mac!$A:$A,Output_Mac!U:U,""),
_xlpm.MyAuditVal,_xlfn.XLOOKUP($A329,My_Audit!$A:$A,My_Audit!O:O,""),
_xlfn.IFS(_xlpm.MyAuditVal&lt;&gt;"",UPPER(_xlpm.MyAuditVal),_xlpm.MacVal&lt;&gt;"",_xlpm.MacVal,_xlpm.CSVVal&lt;&gt;"",_xlpm.CSVVal
)),"")</f>
        <v/>
      </c>
      <c r="O329" s="54"/>
      <c r="P329" s="54"/>
      <c r="Q329" s="54"/>
      <c r="R329" s="54"/>
      <c r="S329" s="54"/>
      <c r="T329" s="54"/>
      <c r="U329" s="39"/>
    </row>
    <row r="330" spans="1:21">
      <c r="A330" s="54" t="str">
        <f>_xlfn.TEXTJOIN("",TRUE,Input!$B$2,ROW(My_Audit!A329))</f>
        <v>XX329</v>
      </c>
      <c r="B330" s="54" t="str">
        <f>_xlfn.TEXTJOIN("-",TRUE,"ITD",Input!$A$2,A330)</f>
        <v>ITD-SHRXXX-XX329</v>
      </c>
      <c r="C330" s="54" t="str" cm="1">
        <f t="array" ref="C330">IFERROR(_xlfn.LET(
_xlpm.CSVVal,_xlfn.XLOOKUP($A330,CSV!$A:$A,CSV!B:B,""),
_xlpm.MacVal,_xlfn.XLOOKUP($A330,Output_Mac!$A:$A,Output_Mac!B:B,""),
_xlpm.MyAuditVal,_xlfn.XLOOKUP($A330,My_Audit!$A:$A,My_Audit!B:B,""),
_xlfn.IFS(_xlpm.MyAuditVal&lt;&gt;"",UPPER(_xlpm.MyAuditVal),_xlpm.MacVal&lt;&gt;"",_xlpm.MacVal,_xlpm.CSVVal&lt;&gt;"",_xlpm.CSVVal
)),"")</f>
        <v/>
      </c>
      <c r="D330" s="55" t="str">
        <f>_xlfn.XLOOKUP(A330,My_Audit!A:A,My_Audit!D:D,"")&amp;""</f>
        <v/>
      </c>
      <c r="E330" s="55" t="str" cm="1">
        <f t="array" ref="E330">IFERROR(_xlfn.LET(
_xlpm.CSVVal,_xlfn.XLOOKUP($A330,CSV!$A:$A,CSV!D:D,""),
_xlpm.MacVal,_xlfn.XLOOKUP($A330,Output_Mac!$A:$A,Output_Mac!C:C,""),
_xlpm.MyAuditVal,_xlfn.XLOOKUP($A330,My_Audit!$A:$A,My_Audit!D:D,""),
_xlfn.IFS(_xlpm.MyAuditVal&lt;&gt;"",_xlpm.MyAuditVal,_xlpm.MacVal&lt;&gt;"",_xlpm.MacVal,_xlpm.CSVVal&lt;&gt;"",_xlpm.CSVVal
)),"")</f>
        <v/>
      </c>
      <c r="F330" s="54" t="str" cm="1">
        <f t="array" ref="F330">IFERROR(_xlfn.LET(
_xlpm.CSVVal,_xlfn.XLOOKUP($A330,CSV!$A:$A,CSV!E:E,""),
_xlpm.MacVal,_xlfn.XLOOKUP($A330,Output_Mac!$A:$A,Output_Mac!F:F,""),
_xlpm.MyAuditVal,_xlfn.XLOOKUP($A330,My_Audit!$A:$A,My_Audit!E:E,""),
_xlfn.IFS(_xlpm.MyAuditVal&lt;&gt;"",_xlpm.MyAuditVal,_xlpm.MacVal&lt;&gt;"",_xlpm.MacVal,_xlpm.CSVVal&lt;&gt;"",PROPER(_xlpm.CSVVal)
)),"")</f>
        <v/>
      </c>
      <c r="G330" s="54" t="str" cm="1">
        <f t="array" ref="G330">IFERROR(_xlfn.LET(
_xlpm.CSVVal,_xlfn.XLOOKUP($A330,CSV!$A:$A,CSV!F:F,""),
_xlpm.MacVal,_xlfn.XLOOKUP($A330,Output_Mac!$A:$A,Output_Mac!H:H,""),
_xlpm.MyAuditVal,_xlfn.XLOOKUP($A330,My_Audit!$A:$A,My_Audit!F:F,""),
_xlfn.IFS(_xlpm.MyAuditVal&lt;&gt;"",_xlpm.MyAuditVal,_xlpm.MacVal&lt;&gt;"",_xlpm.MacVal,_xlpm.CSVVal&lt;&gt;"",_xlpm.CSVVal
)),"")</f>
        <v/>
      </c>
      <c r="H330" s="54" t="str">
        <f>_xlfn.XLOOKUP(A330,Output_Mac!A:A,Output_Mac!I:I,"")</f>
        <v/>
      </c>
      <c r="I330" s="54" t="str" cm="1">
        <f t="array" ref="I330">IFERROR(_xlfn.LET(
_xlpm.CSVVal,_xlfn.XLOOKUP($A330,CSV!$A:$A,CSV!G:G,""),
_xlpm.MacVal,_xlfn.XLOOKUP($A330,Output_Mac!$A:$A,Output_Mac!J:J,""),
_xlpm.MyAuditVal,_xlfn.XLOOKUP($A330,My_Audit!$A:$A,My_Audit!H:H,""),
_xlfn.IFS(_xlpm.MyAuditVal&lt;&gt;"",UPPER(_xlpm.MyAuditVal),_xlpm.MacVal&lt;&gt;"",_xlpm.MacVal,_xlpm.CSVVal&lt;&gt;"",_xlpm.CSVVal
)),"")</f>
        <v/>
      </c>
      <c r="J330" s="54" t="str" cm="1">
        <f t="array" ref="J330">IFERROR(_xlfn.LET(
_xlpm.CSVVal,_xlfn.XLOOKUP($A330,CSV!$A:$A,CSV!I:I,""),
_xlpm.MacVal,_xlfn.XLOOKUP($A330,Output_Mac!$A:$A,Output_Mac!K:K,""),
_xlpm.MyAuditVal,_xlfn.XLOOKUP($A330,My_Audit!$A:$A,My_Audit!I:I,""),
_xlfn.IFS(_xlpm.MyAuditVal&lt;&gt;"",UPPER(_xlpm.MyAuditVal),_xlpm.MacVal&lt;&gt;"",_xlpm.MacVal,_xlpm.CSVVal&lt;&gt;"",_xlpm.CSVVal
)),"")</f>
        <v/>
      </c>
      <c r="K330" s="54" t="str" cm="1">
        <f t="array" ref="K330">IFERROR(_xlfn.LET(
_xlpm.CSVVal,_xlfn.XLOOKUP($A330,CSV!$A:$A,CSV!M:M,""),
_xlpm.MacVal,_xlfn.XLOOKUP($A330,Output_Mac!$A:$A,Output_Mac!L:L,""),
_xlpm.MyAuditVal,_xlfn.XLOOKUP($A330,My_Audit!$A:$A,My_Audit!J:J,""),
_xlfn.IFS(_xlpm.MyAuditVal&lt;&gt;"",UPPER(_xlpm.MyAuditVal),_xlpm.MacVal&lt;&gt;"",_xlpm.MacVal,_xlpm.CSVVal&lt;&gt;"",_xlpm.CSVVal
)),"")</f>
        <v/>
      </c>
      <c r="L330" s="55" t="str" cm="1">
        <f t="array" ref="L330">IFERROR(_xlfn.LET(
_xlpm.CSVVal,_xlfn.XLOOKUP($A330,CSV!$A:$A,CSV!P:P,""),
_xlpm.MacVal,_xlfn.XLOOKUP($A330,Output_Mac!$A:$A,Output_Mac!M:M,""),
_xlpm.MyAuditVal,_xlfn.XLOOKUP($A330,My_Audit!$A:$A,My_Audit!K:K,""),
_xlfn.IFS(_xlpm.MyAuditVal&lt;&gt;"",UPPER(_xlpm.MyAuditVal),_xlpm.MacVal&lt;&gt;"",_xlpm.MacVal,_xlpm.CSVVal&lt;&gt;"",_xlpm.CSVVal
)),"")</f>
        <v/>
      </c>
      <c r="M330" s="54" t="str">
        <f>_xlfn.LET(
    _xlpm.CSVVal, _xlfn.XLOOKUP($A330, CSV!$A:$A, CSV!AD:AD, ""),
    _xlpm.MacVal, _xlfn.XLOOKUP($A330, Output_Mac!$A:$A, Output_Mac!S:S, ""),
    _xlpm.MyAuditVal, _xlfn.XLOOKUP($A330, My_Audit!$A:$A, My_Audit!N:N, ""),
    _xlfn.TEXTJOIN(", ", TRUE, _xlpm.MyAuditVal, _xlpm.MacVal, _xlpm.CSVVal)
)</f>
        <v/>
      </c>
      <c r="N330" s="54" t="str" cm="1">
        <f t="array" ref="N330">IFERROR(_xlfn.LET(
_xlpm.CSVVal,_xlfn.XLOOKUP($A330,CSV!$A:$A,CSV!AF:AF,""),
_xlpm.MacVal,_xlfn.XLOOKUP($A330,Output_Mac!$A:$A,Output_Mac!U:U,""),
_xlpm.MyAuditVal,_xlfn.XLOOKUP($A330,My_Audit!$A:$A,My_Audit!O:O,""),
_xlfn.IFS(_xlpm.MyAuditVal&lt;&gt;"",UPPER(_xlpm.MyAuditVal),_xlpm.MacVal&lt;&gt;"",_xlpm.MacVal,_xlpm.CSVVal&lt;&gt;"",_xlpm.CSVVal
)),"")</f>
        <v/>
      </c>
      <c r="O330" s="54"/>
      <c r="P330" s="54"/>
      <c r="Q330" s="54"/>
      <c r="R330" s="54"/>
      <c r="S330" s="54"/>
      <c r="T330" s="54"/>
      <c r="U330" s="39"/>
    </row>
    <row r="331" spans="1:21">
      <c r="A331" s="54" t="str">
        <f>_xlfn.TEXTJOIN("",TRUE,Input!$B$2,ROW(My_Audit!A330))</f>
        <v>XX330</v>
      </c>
      <c r="B331" s="54" t="str">
        <f>_xlfn.TEXTJOIN("-",TRUE,"ITD",Input!$A$2,A331)</f>
        <v>ITD-SHRXXX-XX330</v>
      </c>
      <c r="C331" s="54" t="str" cm="1">
        <f t="array" ref="C331">IFERROR(_xlfn.LET(
_xlpm.CSVVal,_xlfn.XLOOKUP($A331,CSV!$A:$A,CSV!B:B,""),
_xlpm.MacVal,_xlfn.XLOOKUP($A331,Output_Mac!$A:$A,Output_Mac!B:B,""),
_xlpm.MyAuditVal,_xlfn.XLOOKUP($A331,My_Audit!$A:$A,My_Audit!B:B,""),
_xlfn.IFS(_xlpm.MyAuditVal&lt;&gt;"",UPPER(_xlpm.MyAuditVal),_xlpm.MacVal&lt;&gt;"",_xlpm.MacVal,_xlpm.CSVVal&lt;&gt;"",_xlpm.CSVVal
)),"")</f>
        <v/>
      </c>
      <c r="D331" s="55" t="str">
        <f>_xlfn.XLOOKUP(A331,My_Audit!A:A,My_Audit!D:D,"")&amp;""</f>
        <v/>
      </c>
      <c r="E331" s="55" t="str" cm="1">
        <f t="array" ref="E331">IFERROR(_xlfn.LET(
_xlpm.CSVVal,_xlfn.XLOOKUP($A331,CSV!$A:$A,CSV!D:D,""),
_xlpm.MacVal,_xlfn.XLOOKUP($A331,Output_Mac!$A:$A,Output_Mac!C:C,""),
_xlpm.MyAuditVal,_xlfn.XLOOKUP($A331,My_Audit!$A:$A,My_Audit!D:D,""),
_xlfn.IFS(_xlpm.MyAuditVal&lt;&gt;"",_xlpm.MyAuditVal,_xlpm.MacVal&lt;&gt;"",_xlpm.MacVal,_xlpm.CSVVal&lt;&gt;"",_xlpm.CSVVal
)),"")</f>
        <v/>
      </c>
      <c r="F331" s="54" t="str" cm="1">
        <f t="array" ref="F331">IFERROR(_xlfn.LET(
_xlpm.CSVVal,_xlfn.XLOOKUP($A331,CSV!$A:$A,CSV!E:E,""),
_xlpm.MacVal,_xlfn.XLOOKUP($A331,Output_Mac!$A:$A,Output_Mac!F:F,""),
_xlpm.MyAuditVal,_xlfn.XLOOKUP($A331,My_Audit!$A:$A,My_Audit!E:E,""),
_xlfn.IFS(_xlpm.MyAuditVal&lt;&gt;"",_xlpm.MyAuditVal,_xlpm.MacVal&lt;&gt;"",_xlpm.MacVal,_xlpm.CSVVal&lt;&gt;"",PROPER(_xlpm.CSVVal)
)),"")</f>
        <v/>
      </c>
      <c r="G331" s="54" t="str" cm="1">
        <f t="array" ref="G331">IFERROR(_xlfn.LET(
_xlpm.CSVVal,_xlfn.XLOOKUP($A331,CSV!$A:$A,CSV!F:F,""),
_xlpm.MacVal,_xlfn.XLOOKUP($A331,Output_Mac!$A:$A,Output_Mac!H:H,""),
_xlpm.MyAuditVal,_xlfn.XLOOKUP($A331,My_Audit!$A:$A,My_Audit!F:F,""),
_xlfn.IFS(_xlpm.MyAuditVal&lt;&gt;"",_xlpm.MyAuditVal,_xlpm.MacVal&lt;&gt;"",_xlpm.MacVal,_xlpm.CSVVal&lt;&gt;"",_xlpm.CSVVal
)),"")</f>
        <v/>
      </c>
      <c r="H331" s="54" t="str">
        <f>_xlfn.XLOOKUP(A331,Output_Mac!A:A,Output_Mac!I:I,"")</f>
        <v/>
      </c>
      <c r="I331" s="54" t="str" cm="1">
        <f t="array" ref="I331">IFERROR(_xlfn.LET(
_xlpm.CSVVal,_xlfn.XLOOKUP($A331,CSV!$A:$A,CSV!G:G,""),
_xlpm.MacVal,_xlfn.XLOOKUP($A331,Output_Mac!$A:$A,Output_Mac!J:J,""),
_xlpm.MyAuditVal,_xlfn.XLOOKUP($A331,My_Audit!$A:$A,My_Audit!H:H,""),
_xlfn.IFS(_xlpm.MyAuditVal&lt;&gt;"",UPPER(_xlpm.MyAuditVal),_xlpm.MacVal&lt;&gt;"",_xlpm.MacVal,_xlpm.CSVVal&lt;&gt;"",_xlpm.CSVVal
)),"")</f>
        <v/>
      </c>
      <c r="J331" s="54" t="str" cm="1">
        <f t="array" ref="J331">IFERROR(_xlfn.LET(
_xlpm.CSVVal,_xlfn.XLOOKUP($A331,CSV!$A:$A,CSV!I:I,""),
_xlpm.MacVal,_xlfn.XLOOKUP($A331,Output_Mac!$A:$A,Output_Mac!K:K,""),
_xlpm.MyAuditVal,_xlfn.XLOOKUP($A331,My_Audit!$A:$A,My_Audit!I:I,""),
_xlfn.IFS(_xlpm.MyAuditVal&lt;&gt;"",UPPER(_xlpm.MyAuditVal),_xlpm.MacVal&lt;&gt;"",_xlpm.MacVal,_xlpm.CSVVal&lt;&gt;"",_xlpm.CSVVal
)),"")</f>
        <v/>
      </c>
      <c r="K331" s="54" t="str" cm="1">
        <f t="array" ref="K331">IFERROR(_xlfn.LET(
_xlpm.CSVVal,_xlfn.XLOOKUP($A331,CSV!$A:$A,CSV!M:M,""),
_xlpm.MacVal,_xlfn.XLOOKUP($A331,Output_Mac!$A:$A,Output_Mac!L:L,""),
_xlpm.MyAuditVal,_xlfn.XLOOKUP($A331,My_Audit!$A:$A,My_Audit!J:J,""),
_xlfn.IFS(_xlpm.MyAuditVal&lt;&gt;"",UPPER(_xlpm.MyAuditVal),_xlpm.MacVal&lt;&gt;"",_xlpm.MacVal,_xlpm.CSVVal&lt;&gt;"",_xlpm.CSVVal
)),"")</f>
        <v/>
      </c>
      <c r="L331" s="55" t="str" cm="1">
        <f t="array" ref="L331">IFERROR(_xlfn.LET(
_xlpm.CSVVal,_xlfn.XLOOKUP($A331,CSV!$A:$A,CSV!P:P,""),
_xlpm.MacVal,_xlfn.XLOOKUP($A331,Output_Mac!$A:$A,Output_Mac!M:M,""),
_xlpm.MyAuditVal,_xlfn.XLOOKUP($A331,My_Audit!$A:$A,My_Audit!K:K,""),
_xlfn.IFS(_xlpm.MyAuditVal&lt;&gt;"",UPPER(_xlpm.MyAuditVal),_xlpm.MacVal&lt;&gt;"",_xlpm.MacVal,_xlpm.CSVVal&lt;&gt;"",_xlpm.CSVVal
)),"")</f>
        <v/>
      </c>
      <c r="M331" s="54" t="str">
        <f>_xlfn.LET(
    _xlpm.CSVVal, _xlfn.XLOOKUP($A331, CSV!$A:$A, CSV!AD:AD, ""),
    _xlpm.MacVal, _xlfn.XLOOKUP($A331, Output_Mac!$A:$A, Output_Mac!S:S, ""),
    _xlpm.MyAuditVal, _xlfn.XLOOKUP($A331, My_Audit!$A:$A, My_Audit!N:N, ""),
    _xlfn.TEXTJOIN(", ", TRUE, _xlpm.MyAuditVal, _xlpm.MacVal, _xlpm.CSVVal)
)</f>
        <v/>
      </c>
      <c r="N331" s="54" t="str" cm="1">
        <f t="array" ref="N331">IFERROR(_xlfn.LET(
_xlpm.CSVVal,_xlfn.XLOOKUP($A331,CSV!$A:$A,CSV!AF:AF,""),
_xlpm.MacVal,_xlfn.XLOOKUP($A331,Output_Mac!$A:$A,Output_Mac!U:U,""),
_xlpm.MyAuditVal,_xlfn.XLOOKUP($A331,My_Audit!$A:$A,My_Audit!O:O,""),
_xlfn.IFS(_xlpm.MyAuditVal&lt;&gt;"",UPPER(_xlpm.MyAuditVal),_xlpm.MacVal&lt;&gt;"",_xlpm.MacVal,_xlpm.CSVVal&lt;&gt;"",_xlpm.CSVVal
)),"")</f>
        <v/>
      </c>
      <c r="O331" s="54"/>
      <c r="P331" s="54"/>
      <c r="Q331" s="54"/>
      <c r="R331" s="54"/>
      <c r="S331" s="54"/>
      <c r="T331" s="54"/>
      <c r="U331" s="39"/>
    </row>
    <row r="332" spans="1:21">
      <c r="A332" s="54" t="str">
        <f>_xlfn.TEXTJOIN("",TRUE,Input!$B$2,ROW(My_Audit!A331))</f>
        <v>XX331</v>
      </c>
      <c r="B332" s="54" t="str">
        <f>_xlfn.TEXTJOIN("-",TRUE,"ITD",Input!$A$2,A332)</f>
        <v>ITD-SHRXXX-XX331</v>
      </c>
      <c r="C332" s="54" t="str" cm="1">
        <f t="array" ref="C332">IFERROR(_xlfn.LET(
_xlpm.CSVVal,_xlfn.XLOOKUP($A332,CSV!$A:$A,CSV!B:B,""),
_xlpm.MacVal,_xlfn.XLOOKUP($A332,Output_Mac!$A:$A,Output_Mac!B:B,""),
_xlpm.MyAuditVal,_xlfn.XLOOKUP($A332,My_Audit!$A:$A,My_Audit!B:B,""),
_xlfn.IFS(_xlpm.MyAuditVal&lt;&gt;"",UPPER(_xlpm.MyAuditVal),_xlpm.MacVal&lt;&gt;"",_xlpm.MacVal,_xlpm.CSVVal&lt;&gt;"",_xlpm.CSVVal
)),"")</f>
        <v/>
      </c>
      <c r="D332" s="55" t="str">
        <f>_xlfn.XLOOKUP(A332,My_Audit!A:A,My_Audit!D:D,"")&amp;""</f>
        <v/>
      </c>
      <c r="E332" s="55" t="str" cm="1">
        <f t="array" ref="E332">IFERROR(_xlfn.LET(
_xlpm.CSVVal,_xlfn.XLOOKUP($A332,CSV!$A:$A,CSV!D:D,""),
_xlpm.MacVal,_xlfn.XLOOKUP($A332,Output_Mac!$A:$A,Output_Mac!C:C,""),
_xlpm.MyAuditVal,_xlfn.XLOOKUP($A332,My_Audit!$A:$A,My_Audit!D:D,""),
_xlfn.IFS(_xlpm.MyAuditVal&lt;&gt;"",_xlpm.MyAuditVal,_xlpm.MacVal&lt;&gt;"",_xlpm.MacVal,_xlpm.CSVVal&lt;&gt;"",_xlpm.CSVVal
)),"")</f>
        <v/>
      </c>
      <c r="F332" s="54" t="str" cm="1">
        <f t="array" ref="F332">IFERROR(_xlfn.LET(
_xlpm.CSVVal,_xlfn.XLOOKUP($A332,CSV!$A:$A,CSV!E:E,""),
_xlpm.MacVal,_xlfn.XLOOKUP($A332,Output_Mac!$A:$A,Output_Mac!F:F,""),
_xlpm.MyAuditVal,_xlfn.XLOOKUP($A332,My_Audit!$A:$A,My_Audit!E:E,""),
_xlfn.IFS(_xlpm.MyAuditVal&lt;&gt;"",_xlpm.MyAuditVal,_xlpm.MacVal&lt;&gt;"",_xlpm.MacVal,_xlpm.CSVVal&lt;&gt;"",PROPER(_xlpm.CSVVal)
)),"")</f>
        <v/>
      </c>
      <c r="G332" s="54" t="str" cm="1">
        <f t="array" ref="G332">IFERROR(_xlfn.LET(
_xlpm.CSVVal,_xlfn.XLOOKUP($A332,CSV!$A:$A,CSV!F:F,""),
_xlpm.MacVal,_xlfn.XLOOKUP($A332,Output_Mac!$A:$A,Output_Mac!H:H,""),
_xlpm.MyAuditVal,_xlfn.XLOOKUP($A332,My_Audit!$A:$A,My_Audit!F:F,""),
_xlfn.IFS(_xlpm.MyAuditVal&lt;&gt;"",_xlpm.MyAuditVal,_xlpm.MacVal&lt;&gt;"",_xlpm.MacVal,_xlpm.CSVVal&lt;&gt;"",_xlpm.CSVVal
)),"")</f>
        <v/>
      </c>
      <c r="H332" s="54" t="str">
        <f>_xlfn.XLOOKUP(A332,Output_Mac!A:A,Output_Mac!I:I,"")</f>
        <v/>
      </c>
      <c r="I332" s="54" t="str" cm="1">
        <f t="array" ref="I332">IFERROR(_xlfn.LET(
_xlpm.CSVVal,_xlfn.XLOOKUP($A332,CSV!$A:$A,CSV!G:G,""),
_xlpm.MacVal,_xlfn.XLOOKUP($A332,Output_Mac!$A:$A,Output_Mac!J:J,""),
_xlpm.MyAuditVal,_xlfn.XLOOKUP($A332,My_Audit!$A:$A,My_Audit!H:H,""),
_xlfn.IFS(_xlpm.MyAuditVal&lt;&gt;"",UPPER(_xlpm.MyAuditVal),_xlpm.MacVal&lt;&gt;"",_xlpm.MacVal,_xlpm.CSVVal&lt;&gt;"",_xlpm.CSVVal
)),"")</f>
        <v/>
      </c>
      <c r="J332" s="54" t="str" cm="1">
        <f t="array" ref="J332">IFERROR(_xlfn.LET(
_xlpm.CSVVal,_xlfn.XLOOKUP($A332,CSV!$A:$A,CSV!I:I,""),
_xlpm.MacVal,_xlfn.XLOOKUP($A332,Output_Mac!$A:$A,Output_Mac!K:K,""),
_xlpm.MyAuditVal,_xlfn.XLOOKUP($A332,My_Audit!$A:$A,My_Audit!I:I,""),
_xlfn.IFS(_xlpm.MyAuditVal&lt;&gt;"",UPPER(_xlpm.MyAuditVal),_xlpm.MacVal&lt;&gt;"",_xlpm.MacVal,_xlpm.CSVVal&lt;&gt;"",_xlpm.CSVVal
)),"")</f>
        <v/>
      </c>
      <c r="K332" s="54" t="str" cm="1">
        <f t="array" ref="K332">IFERROR(_xlfn.LET(
_xlpm.CSVVal,_xlfn.XLOOKUP($A332,CSV!$A:$A,CSV!M:M,""),
_xlpm.MacVal,_xlfn.XLOOKUP($A332,Output_Mac!$A:$A,Output_Mac!L:L,""),
_xlpm.MyAuditVal,_xlfn.XLOOKUP($A332,My_Audit!$A:$A,My_Audit!J:J,""),
_xlfn.IFS(_xlpm.MyAuditVal&lt;&gt;"",UPPER(_xlpm.MyAuditVal),_xlpm.MacVal&lt;&gt;"",_xlpm.MacVal,_xlpm.CSVVal&lt;&gt;"",_xlpm.CSVVal
)),"")</f>
        <v/>
      </c>
      <c r="L332" s="55" t="str" cm="1">
        <f t="array" ref="L332">IFERROR(_xlfn.LET(
_xlpm.CSVVal,_xlfn.XLOOKUP($A332,CSV!$A:$A,CSV!P:P,""),
_xlpm.MacVal,_xlfn.XLOOKUP($A332,Output_Mac!$A:$A,Output_Mac!M:M,""),
_xlpm.MyAuditVal,_xlfn.XLOOKUP($A332,My_Audit!$A:$A,My_Audit!K:K,""),
_xlfn.IFS(_xlpm.MyAuditVal&lt;&gt;"",UPPER(_xlpm.MyAuditVal),_xlpm.MacVal&lt;&gt;"",_xlpm.MacVal,_xlpm.CSVVal&lt;&gt;"",_xlpm.CSVVal
)),"")</f>
        <v/>
      </c>
      <c r="M332" s="54" t="str">
        <f>_xlfn.LET(
    _xlpm.CSVVal, _xlfn.XLOOKUP($A332, CSV!$A:$A, CSV!AD:AD, ""),
    _xlpm.MacVal, _xlfn.XLOOKUP($A332, Output_Mac!$A:$A, Output_Mac!S:S, ""),
    _xlpm.MyAuditVal, _xlfn.XLOOKUP($A332, My_Audit!$A:$A, My_Audit!N:N, ""),
    _xlfn.TEXTJOIN(", ", TRUE, _xlpm.MyAuditVal, _xlpm.MacVal, _xlpm.CSVVal)
)</f>
        <v/>
      </c>
      <c r="N332" s="54" t="str" cm="1">
        <f t="array" ref="N332">IFERROR(_xlfn.LET(
_xlpm.CSVVal,_xlfn.XLOOKUP($A332,CSV!$A:$A,CSV!AF:AF,""),
_xlpm.MacVal,_xlfn.XLOOKUP($A332,Output_Mac!$A:$A,Output_Mac!U:U,""),
_xlpm.MyAuditVal,_xlfn.XLOOKUP($A332,My_Audit!$A:$A,My_Audit!O:O,""),
_xlfn.IFS(_xlpm.MyAuditVal&lt;&gt;"",UPPER(_xlpm.MyAuditVal),_xlpm.MacVal&lt;&gt;"",_xlpm.MacVal,_xlpm.CSVVal&lt;&gt;"",_xlpm.CSVVal
)),"")</f>
        <v/>
      </c>
      <c r="O332" s="54"/>
      <c r="P332" s="54"/>
      <c r="Q332" s="54"/>
      <c r="R332" s="54"/>
      <c r="S332" s="54"/>
      <c r="T332" s="54"/>
      <c r="U332" s="39"/>
    </row>
    <row r="333" spans="1:21">
      <c r="A333" s="54" t="str">
        <f>_xlfn.TEXTJOIN("",TRUE,Input!$B$2,ROW(My_Audit!A332))</f>
        <v>XX332</v>
      </c>
      <c r="B333" s="54" t="str">
        <f>_xlfn.TEXTJOIN("-",TRUE,"ITD",Input!$A$2,A333)</f>
        <v>ITD-SHRXXX-XX332</v>
      </c>
      <c r="C333" s="54" t="str" cm="1">
        <f t="array" ref="C333">IFERROR(_xlfn.LET(
_xlpm.CSVVal,_xlfn.XLOOKUP($A333,CSV!$A:$A,CSV!B:B,""),
_xlpm.MacVal,_xlfn.XLOOKUP($A333,Output_Mac!$A:$A,Output_Mac!B:B,""),
_xlpm.MyAuditVal,_xlfn.XLOOKUP($A333,My_Audit!$A:$A,My_Audit!B:B,""),
_xlfn.IFS(_xlpm.MyAuditVal&lt;&gt;"",UPPER(_xlpm.MyAuditVal),_xlpm.MacVal&lt;&gt;"",_xlpm.MacVal,_xlpm.CSVVal&lt;&gt;"",_xlpm.CSVVal
)),"")</f>
        <v/>
      </c>
      <c r="D333" s="55" t="str">
        <f>_xlfn.XLOOKUP(A333,My_Audit!A:A,My_Audit!D:D,"")&amp;""</f>
        <v/>
      </c>
      <c r="E333" s="55" t="str" cm="1">
        <f t="array" ref="E333">IFERROR(_xlfn.LET(
_xlpm.CSVVal,_xlfn.XLOOKUP($A333,CSV!$A:$A,CSV!D:D,""),
_xlpm.MacVal,_xlfn.XLOOKUP($A333,Output_Mac!$A:$A,Output_Mac!C:C,""),
_xlpm.MyAuditVal,_xlfn.XLOOKUP($A333,My_Audit!$A:$A,My_Audit!D:D,""),
_xlfn.IFS(_xlpm.MyAuditVal&lt;&gt;"",_xlpm.MyAuditVal,_xlpm.MacVal&lt;&gt;"",_xlpm.MacVal,_xlpm.CSVVal&lt;&gt;"",_xlpm.CSVVal
)),"")</f>
        <v/>
      </c>
      <c r="F333" s="54" t="str" cm="1">
        <f t="array" ref="F333">IFERROR(_xlfn.LET(
_xlpm.CSVVal,_xlfn.XLOOKUP($A333,CSV!$A:$A,CSV!E:E,""),
_xlpm.MacVal,_xlfn.XLOOKUP($A333,Output_Mac!$A:$A,Output_Mac!F:F,""),
_xlpm.MyAuditVal,_xlfn.XLOOKUP($A333,My_Audit!$A:$A,My_Audit!E:E,""),
_xlfn.IFS(_xlpm.MyAuditVal&lt;&gt;"",_xlpm.MyAuditVal,_xlpm.MacVal&lt;&gt;"",_xlpm.MacVal,_xlpm.CSVVal&lt;&gt;"",PROPER(_xlpm.CSVVal)
)),"")</f>
        <v/>
      </c>
      <c r="G333" s="54" t="str" cm="1">
        <f t="array" ref="G333">IFERROR(_xlfn.LET(
_xlpm.CSVVal,_xlfn.XLOOKUP($A333,CSV!$A:$A,CSV!F:F,""),
_xlpm.MacVal,_xlfn.XLOOKUP($A333,Output_Mac!$A:$A,Output_Mac!H:H,""),
_xlpm.MyAuditVal,_xlfn.XLOOKUP($A333,My_Audit!$A:$A,My_Audit!F:F,""),
_xlfn.IFS(_xlpm.MyAuditVal&lt;&gt;"",_xlpm.MyAuditVal,_xlpm.MacVal&lt;&gt;"",_xlpm.MacVal,_xlpm.CSVVal&lt;&gt;"",_xlpm.CSVVal
)),"")</f>
        <v/>
      </c>
      <c r="H333" s="54" t="str">
        <f>_xlfn.XLOOKUP(A333,Output_Mac!A:A,Output_Mac!I:I,"")</f>
        <v/>
      </c>
      <c r="I333" s="54" t="str" cm="1">
        <f t="array" ref="I333">IFERROR(_xlfn.LET(
_xlpm.CSVVal,_xlfn.XLOOKUP($A333,CSV!$A:$A,CSV!G:G,""),
_xlpm.MacVal,_xlfn.XLOOKUP($A333,Output_Mac!$A:$A,Output_Mac!J:J,""),
_xlpm.MyAuditVal,_xlfn.XLOOKUP($A333,My_Audit!$A:$A,My_Audit!H:H,""),
_xlfn.IFS(_xlpm.MyAuditVal&lt;&gt;"",UPPER(_xlpm.MyAuditVal),_xlpm.MacVal&lt;&gt;"",_xlpm.MacVal,_xlpm.CSVVal&lt;&gt;"",_xlpm.CSVVal
)),"")</f>
        <v/>
      </c>
      <c r="J333" s="54" t="str" cm="1">
        <f t="array" ref="J333">IFERROR(_xlfn.LET(
_xlpm.CSVVal,_xlfn.XLOOKUP($A333,CSV!$A:$A,CSV!I:I,""),
_xlpm.MacVal,_xlfn.XLOOKUP($A333,Output_Mac!$A:$A,Output_Mac!K:K,""),
_xlpm.MyAuditVal,_xlfn.XLOOKUP($A333,My_Audit!$A:$A,My_Audit!I:I,""),
_xlfn.IFS(_xlpm.MyAuditVal&lt;&gt;"",UPPER(_xlpm.MyAuditVal),_xlpm.MacVal&lt;&gt;"",_xlpm.MacVal,_xlpm.CSVVal&lt;&gt;"",_xlpm.CSVVal
)),"")</f>
        <v/>
      </c>
      <c r="K333" s="54" t="str" cm="1">
        <f t="array" ref="K333">IFERROR(_xlfn.LET(
_xlpm.CSVVal,_xlfn.XLOOKUP($A333,CSV!$A:$A,CSV!M:M,""),
_xlpm.MacVal,_xlfn.XLOOKUP($A333,Output_Mac!$A:$A,Output_Mac!L:L,""),
_xlpm.MyAuditVal,_xlfn.XLOOKUP($A333,My_Audit!$A:$A,My_Audit!J:J,""),
_xlfn.IFS(_xlpm.MyAuditVal&lt;&gt;"",UPPER(_xlpm.MyAuditVal),_xlpm.MacVal&lt;&gt;"",_xlpm.MacVal,_xlpm.CSVVal&lt;&gt;"",_xlpm.CSVVal
)),"")</f>
        <v/>
      </c>
      <c r="L333" s="55" t="str" cm="1">
        <f t="array" ref="L333">IFERROR(_xlfn.LET(
_xlpm.CSVVal,_xlfn.XLOOKUP($A333,CSV!$A:$A,CSV!P:P,""),
_xlpm.MacVal,_xlfn.XLOOKUP($A333,Output_Mac!$A:$A,Output_Mac!M:M,""),
_xlpm.MyAuditVal,_xlfn.XLOOKUP($A333,My_Audit!$A:$A,My_Audit!K:K,""),
_xlfn.IFS(_xlpm.MyAuditVal&lt;&gt;"",UPPER(_xlpm.MyAuditVal),_xlpm.MacVal&lt;&gt;"",_xlpm.MacVal,_xlpm.CSVVal&lt;&gt;"",_xlpm.CSVVal
)),"")</f>
        <v/>
      </c>
      <c r="M333" s="54" t="str">
        <f>_xlfn.LET(
    _xlpm.CSVVal, _xlfn.XLOOKUP($A333, CSV!$A:$A, CSV!AD:AD, ""),
    _xlpm.MacVal, _xlfn.XLOOKUP($A333, Output_Mac!$A:$A, Output_Mac!S:S, ""),
    _xlpm.MyAuditVal, _xlfn.XLOOKUP($A333, My_Audit!$A:$A, My_Audit!N:N, ""),
    _xlfn.TEXTJOIN(", ", TRUE, _xlpm.MyAuditVal, _xlpm.MacVal, _xlpm.CSVVal)
)</f>
        <v/>
      </c>
      <c r="N333" s="54" t="str" cm="1">
        <f t="array" ref="N333">IFERROR(_xlfn.LET(
_xlpm.CSVVal,_xlfn.XLOOKUP($A333,CSV!$A:$A,CSV!AF:AF,""),
_xlpm.MacVal,_xlfn.XLOOKUP($A333,Output_Mac!$A:$A,Output_Mac!U:U,""),
_xlpm.MyAuditVal,_xlfn.XLOOKUP($A333,My_Audit!$A:$A,My_Audit!O:O,""),
_xlfn.IFS(_xlpm.MyAuditVal&lt;&gt;"",UPPER(_xlpm.MyAuditVal),_xlpm.MacVal&lt;&gt;"",_xlpm.MacVal,_xlpm.CSVVal&lt;&gt;"",_xlpm.CSVVal
)),"")</f>
        <v/>
      </c>
      <c r="O333" s="54"/>
      <c r="P333" s="54"/>
      <c r="Q333" s="54"/>
      <c r="R333" s="54"/>
      <c r="S333" s="54"/>
      <c r="T333" s="54"/>
      <c r="U333" s="39"/>
    </row>
    <row r="334" spans="1:21">
      <c r="A334" s="54" t="str">
        <f>_xlfn.TEXTJOIN("",TRUE,Input!$B$2,ROW(My_Audit!A333))</f>
        <v>XX333</v>
      </c>
      <c r="B334" s="54" t="str">
        <f>_xlfn.TEXTJOIN("-",TRUE,"ITD",Input!$A$2,A334)</f>
        <v>ITD-SHRXXX-XX333</v>
      </c>
      <c r="C334" s="54" t="str" cm="1">
        <f t="array" ref="C334">IFERROR(_xlfn.LET(
_xlpm.CSVVal,_xlfn.XLOOKUP($A334,CSV!$A:$A,CSV!B:B,""),
_xlpm.MacVal,_xlfn.XLOOKUP($A334,Output_Mac!$A:$A,Output_Mac!B:B,""),
_xlpm.MyAuditVal,_xlfn.XLOOKUP($A334,My_Audit!$A:$A,My_Audit!B:B,""),
_xlfn.IFS(_xlpm.MyAuditVal&lt;&gt;"",UPPER(_xlpm.MyAuditVal),_xlpm.MacVal&lt;&gt;"",_xlpm.MacVal,_xlpm.CSVVal&lt;&gt;"",_xlpm.CSVVal
)),"")</f>
        <v/>
      </c>
      <c r="D334" s="55" t="str">
        <f>_xlfn.XLOOKUP(A334,My_Audit!A:A,My_Audit!D:D,"")&amp;""</f>
        <v/>
      </c>
      <c r="E334" s="55" t="str" cm="1">
        <f t="array" ref="E334">IFERROR(_xlfn.LET(
_xlpm.CSVVal,_xlfn.XLOOKUP($A334,CSV!$A:$A,CSV!D:D,""),
_xlpm.MacVal,_xlfn.XLOOKUP($A334,Output_Mac!$A:$A,Output_Mac!C:C,""),
_xlpm.MyAuditVal,_xlfn.XLOOKUP($A334,My_Audit!$A:$A,My_Audit!D:D,""),
_xlfn.IFS(_xlpm.MyAuditVal&lt;&gt;"",_xlpm.MyAuditVal,_xlpm.MacVal&lt;&gt;"",_xlpm.MacVal,_xlpm.CSVVal&lt;&gt;"",_xlpm.CSVVal
)),"")</f>
        <v/>
      </c>
      <c r="F334" s="54" t="str" cm="1">
        <f t="array" ref="F334">IFERROR(_xlfn.LET(
_xlpm.CSVVal,_xlfn.XLOOKUP($A334,CSV!$A:$A,CSV!E:E,""),
_xlpm.MacVal,_xlfn.XLOOKUP($A334,Output_Mac!$A:$A,Output_Mac!F:F,""),
_xlpm.MyAuditVal,_xlfn.XLOOKUP($A334,My_Audit!$A:$A,My_Audit!E:E,""),
_xlfn.IFS(_xlpm.MyAuditVal&lt;&gt;"",_xlpm.MyAuditVal,_xlpm.MacVal&lt;&gt;"",_xlpm.MacVal,_xlpm.CSVVal&lt;&gt;"",PROPER(_xlpm.CSVVal)
)),"")</f>
        <v/>
      </c>
      <c r="G334" s="54" t="str" cm="1">
        <f t="array" ref="G334">IFERROR(_xlfn.LET(
_xlpm.CSVVal,_xlfn.XLOOKUP($A334,CSV!$A:$A,CSV!F:F,""),
_xlpm.MacVal,_xlfn.XLOOKUP($A334,Output_Mac!$A:$A,Output_Mac!H:H,""),
_xlpm.MyAuditVal,_xlfn.XLOOKUP($A334,My_Audit!$A:$A,My_Audit!F:F,""),
_xlfn.IFS(_xlpm.MyAuditVal&lt;&gt;"",_xlpm.MyAuditVal,_xlpm.MacVal&lt;&gt;"",_xlpm.MacVal,_xlpm.CSVVal&lt;&gt;"",_xlpm.CSVVal
)),"")</f>
        <v/>
      </c>
      <c r="H334" s="54" t="str">
        <f>_xlfn.XLOOKUP(A334,Output_Mac!A:A,Output_Mac!I:I,"")</f>
        <v/>
      </c>
      <c r="I334" s="54" t="str" cm="1">
        <f t="array" ref="I334">IFERROR(_xlfn.LET(
_xlpm.CSVVal,_xlfn.XLOOKUP($A334,CSV!$A:$A,CSV!G:G,""),
_xlpm.MacVal,_xlfn.XLOOKUP($A334,Output_Mac!$A:$A,Output_Mac!J:J,""),
_xlpm.MyAuditVal,_xlfn.XLOOKUP($A334,My_Audit!$A:$A,My_Audit!H:H,""),
_xlfn.IFS(_xlpm.MyAuditVal&lt;&gt;"",UPPER(_xlpm.MyAuditVal),_xlpm.MacVal&lt;&gt;"",_xlpm.MacVal,_xlpm.CSVVal&lt;&gt;"",_xlpm.CSVVal
)),"")</f>
        <v/>
      </c>
      <c r="J334" s="54" t="str" cm="1">
        <f t="array" ref="J334">IFERROR(_xlfn.LET(
_xlpm.CSVVal,_xlfn.XLOOKUP($A334,CSV!$A:$A,CSV!I:I,""),
_xlpm.MacVal,_xlfn.XLOOKUP($A334,Output_Mac!$A:$A,Output_Mac!K:K,""),
_xlpm.MyAuditVal,_xlfn.XLOOKUP($A334,My_Audit!$A:$A,My_Audit!I:I,""),
_xlfn.IFS(_xlpm.MyAuditVal&lt;&gt;"",UPPER(_xlpm.MyAuditVal),_xlpm.MacVal&lt;&gt;"",_xlpm.MacVal,_xlpm.CSVVal&lt;&gt;"",_xlpm.CSVVal
)),"")</f>
        <v/>
      </c>
      <c r="K334" s="54" t="str" cm="1">
        <f t="array" ref="K334">IFERROR(_xlfn.LET(
_xlpm.CSVVal,_xlfn.XLOOKUP($A334,CSV!$A:$A,CSV!M:M,""),
_xlpm.MacVal,_xlfn.XLOOKUP($A334,Output_Mac!$A:$A,Output_Mac!L:L,""),
_xlpm.MyAuditVal,_xlfn.XLOOKUP($A334,My_Audit!$A:$A,My_Audit!J:J,""),
_xlfn.IFS(_xlpm.MyAuditVal&lt;&gt;"",UPPER(_xlpm.MyAuditVal),_xlpm.MacVal&lt;&gt;"",_xlpm.MacVal,_xlpm.CSVVal&lt;&gt;"",_xlpm.CSVVal
)),"")</f>
        <v/>
      </c>
      <c r="L334" s="55" t="str" cm="1">
        <f t="array" ref="L334">IFERROR(_xlfn.LET(
_xlpm.CSVVal,_xlfn.XLOOKUP($A334,CSV!$A:$A,CSV!P:P,""),
_xlpm.MacVal,_xlfn.XLOOKUP($A334,Output_Mac!$A:$A,Output_Mac!M:M,""),
_xlpm.MyAuditVal,_xlfn.XLOOKUP($A334,My_Audit!$A:$A,My_Audit!K:K,""),
_xlfn.IFS(_xlpm.MyAuditVal&lt;&gt;"",UPPER(_xlpm.MyAuditVal),_xlpm.MacVal&lt;&gt;"",_xlpm.MacVal,_xlpm.CSVVal&lt;&gt;"",_xlpm.CSVVal
)),"")</f>
        <v/>
      </c>
      <c r="M334" s="54" t="str">
        <f>_xlfn.LET(
    _xlpm.CSVVal, _xlfn.XLOOKUP($A334, CSV!$A:$A, CSV!AD:AD, ""),
    _xlpm.MacVal, _xlfn.XLOOKUP($A334, Output_Mac!$A:$A, Output_Mac!S:S, ""),
    _xlpm.MyAuditVal, _xlfn.XLOOKUP($A334, My_Audit!$A:$A, My_Audit!N:N, ""),
    _xlfn.TEXTJOIN(", ", TRUE, _xlpm.MyAuditVal, _xlpm.MacVal, _xlpm.CSVVal)
)</f>
        <v/>
      </c>
      <c r="N334" s="54" t="str" cm="1">
        <f t="array" ref="N334">IFERROR(_xlfn.LET(
_xlpm.CSVVal,_xlfn.XLOOKUP($A334,CSV!$A:$A,CSV!AF:AF,""),
_xlpm.MacVal,_xlfn.XLOOKUP($A334,Output_Mac!$A:$A,Output_Mac!U:U,""),
_xlpm.MyAuditVal,_xlfn.XLOOKUP($A334,My_Audit!$A:$A,My_Audit!O:O,""),
_xlfn.IFS(_xlpm.MyAuditVal&lt;&gt;"",UPPER(_xlpm.MyAuditVal),_xlpm.MacVal&lt;&gt;"",_xlpm.MacVal,_xlpm.CSVVal&lt;&gt;"",_xlpm.CSVVal
)),"")</f>
        <v/>
      </c>
      <c r="O334" s="54"/>
      <c r="P334" s="54"/>
      <c r="Q334" s="54"/>
      <c r="R334" s="54"/>
      <c r="S334" s="54"/>
      <c r="T334" s="54"/>
      <c r="U334" s="39"/>
    </row>
    <row r="335" spans="1:21">
      <c r="A335" s="54" t="str">
        <f>_xlfn.TEXTJOIN("",TRUE,Input!$B$2,ROW(My_Audit!A334))</f>
        <v>XX334</v>
      </c>
      <c r="B335" s="54" t="str">
        <f>_xlfn.TEXTJOIN("-",TRUE,"ITD",Input!$A$2,A335)</f>
        <v>ITD-SHRXXX-XX334</v>
      </c>
      <c r="C335" s="54" t="str" cm="1">
        <f t="array" ref="C335">IFERROR(_xlfn.LET(
_xlpm.CSVVal,_xlfn.XLOOKUP($A335,CSV!$A:$A,CSV!B:B,""),
_xlpm.MacVal,_xlfn.XLOOKUP($A335,Output_Mac!$A:$A,Output_Mac!B:B,""),
_xlpm.MyAuditVal,_xlfn.XLOOKUP($A335,My_Audit!$A:$A,My_Audit!B:B,""),
_xlfn.IFS(_xlpm.MyAuditVal&lt;&gt;"",UPPER(_xlpm.MyAuditVal),_xlpm.MacVal&lt;&gt;"",_xlpm.MacVal,_xlpm.CSVVal&lt;&gt;"",_xlpm.CSVVal
)),"")</f>
        <v/>
      </c>
      <c r="D335" s="55" t="str">
        <f>_xlfn.XLOOKUP(A335,My_Audit!A:A,My_Audit!D:D,"")&amp;""</f>
        <v/>
      </c>
      <c r="E335" s="55" t="str" cm="1">
        <f t="array" ref="E335">IFERROR(_xlfn.LET(
_xlpm.CSVVal,_xlfn.XLOOKUP($A335,CSV!$A:$A,CSV!D:D,""),
_xlpm.MacVal,_xlfn.XLOOKUP($A335,Output_Mac!$A:$A,Output_Mac!C:C,""),
_xlpm.MyAuditVal,_xlfn.XLOOKUP($A335,My_Audit!$A:$A,My_Audit!D:D,""),
_xlfn.IFS(_xlpm.MyAuditVal&lt;&gt;"",_xlpm.MyAuditVal,_xlpm.MacVal&lt;&gt;"",_xlpm.MacVal,_xlpm.CSVVal&lt;&gt;"",_xlpm.CSVVal
)),"")</f>
        <v/>
      </c>
      <c r="F335" s="54" t="str" cm="1">
        <f t="array" ref="F335">IFERROR(_xlfn.LET(
_xlpm.CSVVal,_xlfn.XLOOKUP($A335,CSV!$A:$A,CSV!E:E,""),
_xlpm.MacVal,_xlfn.XLOOKUP($A335,Output_Mac!$A:$A,Output_Mac!F:F,""),
_xlpm.MyAuditVal,_xlfn.XLOOKUP($A335,My_Audit!$A:$A,My_Audit!E:E,""),
_xlfn.IFS(_xlpm.MyAuditVal&lt;&gt;"",_xlpm.MyAuditVal,_xlpm.MacVal&lt;&gt;"",_xlpm.MacVal,_xlpm.CSVVal&lt;&gt;"",PROPER(_xlpm.CSVVal)
)),"")</f>
        <v/>
      </c>
      <c r="G335" s="54" t="str" cm="1">
        <f t="array" ref="G335">IFERROR(_xlfn.LET(
_xlpm.CSVVal,_xlfn.XLOOKUP($A335,CSV!$A:$A,CSV!F:F,""),
_xlpm.MacVal,_xlfn.XLOOKUP($A335,Output_Mac!$A:$A,Output_Mac!H:H,""),
_xlpm.MyAuditVal,_xlfn.XLOOKUP($A335,My_Audit!$A:$A,My_Audit!F:F,""),
_xlfn.IFS(_xlpm.MyAuditVal&lt;&gt;"",_xlpm.MyAuditVal,_xlpm.MacVal&lt;&gt;"",_xlpm.MacVal,_xlpm.CSVVal&lt;&gt;"",_xlpm.CSVVal
)),"")</f>
        <v/>
      </c>
      <c r="H335" s="54" t="str">
        <f>_xlfn.XLOOKUP(A335,Output_Mac!A:A,Output_Mac!I:I,"")</f>
        <v/>
      </c>
      <c r="I335" s="54" t="str" cm="1">
        <f t="array" ref="I335">IFERROR(_xlfn.LET(
_xlpm.CSVVal,_xlfn.XLOOKUP($A335,CSV!$A:$A,CSV!G:G,""),
_xlpm.MacVal,_xlfn.XLOOKUP($A335,Output_Mac!$A:$A,Output_Mac!J:J,""),
_xlpm.MyAuditVal,_xlfn.XLOOKUP($A335,My_Audit!$A:$A,My_Audit!H:H,""),
_xlfn.IFS(_xlpm.MyAuditVal&lt;&gt;"",UPPER(_xlpm.MyAuditVal),_xlpm.MacVal&lt;&gt;"",_xlpm.MacVal,_xlpm.CSVVal&lt;&gt;"",_xlpm.CSVVal
)),"")</f>
        <v/>
      </c>
      <c r="J335" s="54" t="str" cm="1">
        <f t="array" ref="J335">IFERROR(_xlfn.LET(
_xlpm.CSVVal,_xlfn.XLOOKUP($A335,CSV!$A:$A,CSV!I:I,""),
_xlpm.MacVal,_xlfn.XLOOKUP($A335,Output_Mac!$A:$A,Output_Mac!K:K,""),
_xlpm.MyAuditVal,_xlfn.XLOOKUP($A335,My_Audit!$A:$A,My_Audit!I:I,""),
_xlfn.IFS(_xlpm.MyAuditVal&lt;&gt;"",UPPER(_xlpm.MyAuditVal),_xlpm.MacVal&lt;&gt;"",_xlpm.MacVal,_xlpm.CSVVal&lt;&gt;"",_xlpm.CSVVal
)),"")</f>
        <v/>
      </c>
      <c r="K335" s="54" t="str" cm="1">
        <f t="array" ref="K335">IFERROR(_xlfn.LET(
_xlpm.CSVVal,_xlfn.XLOOKUP($A335,CSV!$A:$A,CSV!M:M,""),
_xlpm.MacVal,_xlfn.XLOOKUP($A335,Output_Mac!$A:$A,Output_Mac!L:L,""),
_xlpm.MyAuditVal,_xlfn.XLOOKUP($A335,My_Audit!$A:$A,My_Audit!J:J,""),
_xlfn.IFS(_xlpm.MyAuditVal&lt;&gt;"",UPPER(_xlpm.MyAuditVal),_xlpm.MacVal&lt;&gt;"",_xlpm.MacVal,_xlpm.CSVVal&lt;&gt;"",_xlpm.CSVVal
)),"")</f>
        <v/>
      </c>
      <c r="L335" s="55" t="str" cm="1">
        <f t="array" ref="L335">IFERROR(_xlfn.LET(
_xlpm.CSVVal,_xlfn.XLOOKUP($A335,CSV!$A:$A,CSV!P:P,""),
_xlpm.MacVal,_xlfn.XLOOKUP($A335,Output_Mac!$A:$A,Output_Mac!M:M,""),
_xlpm.MyAuditVal,_xlfn.XLOOKUP($A335,My_Audit!$A:$A,My_Audit!K:K,""),
_xlfn.IFS(_xlpm.MyAuditVal&lt;&gt;"",UPPER(_xlpm.MyAuditVal),_xlpm.MacVal&lt;&gt;"",_xlpm.MacVal,_xlpm.CSVVal&lt;&gt;"",_xlpm.CSVVal
)),"")</f>
        <v/>
      </c>
      <c r="M335" s="54" t="str">
        <f>_xlfn.LET(
    _xlpm.CSVVal, _xlfn.XLOOKUP($A335, CSV!$A:$A, CSV!AD:AD, ""),
    _xlpm.MacVal, _xlfn.XLOOKUP($A335, Output_Mac!$A:$A, Output_Mac!S:S, ""),
    _xlpm.MyAuditVal, _xlfn.XLOOKUP($A335, My_Audit!$A:$A, My_Audit!N:N, ""),
    _xlfn.TEXTJOIN(", ", TRUE, _xlpm.MyAuditVal, _xlpm.MacVal, _xlpm.CSVVal)
)</f>
        <v/>
      </c>
      <c r="N335" s="54" t="str" cm="1">
        <f t="array" ref="N335">IFERROR(_xlfn.LET(
_xlpm.CSVVal,_xlfn.XLOOKUP($A335,CSV!$A:$A,CSV!AF:AF,""),
_xlpm.MacVal,_xlfn.XLOOKUP($A335,Output_Mac!$A:$A,Output_Mac!U:U,""),
_xlpm.MyAuditVal,_xlfn.XLOOKUP($A335,My_Audit!$A:$A,My_Audit!O:O,""),
_xlfn.IFS(_xlpm.MyAuditVal&lt;&gt;"",UPPER(_xlpm.MyAuditVal),_xlpm.MacVal&lt;&gt;"",_xlpm.MacVal,_xlpm.CSVVal&lt;&gt;"",_xlpm.CSVVal
)),"")</f>
        <v/>
      </c>
      <c r="O335" s="54"/>
      <c r="P335" s="54"/>
      <c r="Q335" s="54"/>
      <c r="R335" s="54"/>
      <c r="S335" s="54"/>
      <c r="T335" s="54"/>
      <c r="U335" s="39"/>
    </row>
    <row r="336" spans="1:21">
      <c r="A336" s="54" t="str">
        <f>_xlfn.TEXTJOIN("",TRUE,Input!$B$2,ROW(My_Audit!A335))</f>
        <v>XX335</v>
      </c>
      <c r="B336" s="54" t="str">
        <f>_xlfn.TEXTJOIN("-",TRUE,"ITD",Input!$A$2,A336)</f>
        <v>ITD-SHRXXX-XX335</v>
      </c>
      <c r="C336" s="54" t="str" cm="1">
        <f t="array" ref="C336">IFERROR(_xlfn.LET(
_xlpm.CSVVal,_xlfn.XLOOKUP($A336,CSV!$A:$A,CSV!B:B,""),
_xlpm.MacVal,_xlfn.XLOOKUP($A336,Output_Mac!$A:$A,Output_Mac!B:B,""),
_xlpm.MyAuditVal,_xlfn.XLOOKUP($A336,My_Audit!$A:$A,My_Audit!B:B,""),
_xlfn.IFS(_xlpm.MyAuditVal&lt;&gt;"",UPPER(_xlpm.MyAuditVal),_xlpm.MacVal&lt;&gt;"",_xlpm.MacVal,_xlpm.CSVVal&lt;&gt;"",_xlpm.CSVVal
)),"")</f>
        <v/>
      </c>
      <c r="D336" s="55" t="str">
        <f>_xlfn.XLOOKUP(A336,My_Audit!A:A,My_Audit!D:D,"")&amp;""</f>
        <v/>
      </c>
      <c r="E336" s="55" t="str" cm="1">
        <f t="array" ref="E336">IFERROR(_xlfn.LET(
_xlpm.CSVVal,_xlfn.XLOOKUP($A336,CSV!$A:$A,CSV!D:D,""),
_xlpm.MacVal,_xlfn.XLOOKUP($A336,Output_Mac!$A:$A,Output_Mac!C:C,""),
_xlpm.MyAuditVal,_xlfn.XLOOKUP($A336,My_Audit!$A:$A,My_Audit!D:D,""),
_xlfn.IFS(_xlpm.MyAuditVal&lt;&gt;"",_xlpm.MyAuditVal,_xlpm.MacVal&lt;&gt;"",_xlpm.MacVal,_xlpm.CSVVal&lt;&gt;"",_xlpm.CSVVal
)),"")</f>
        <v/>
      </c>
      <c r="F336" s="54" t="str" cm="1">
        <f t="array" ref="F336">IFERROR(_xlfn.LET(
_xlpm.CSVVal,_xlfn.XLOOKUP($A336,CSV!$A:$A,CSV!E:E,""),
_xlpm.MacVal,_xlfn.XLOOKUP($A336,Output_Mac!$A:$A,Output_Mac!F:F,""),
_xlpm.MyAuditVal,_xlfn.XLOOKUP($A336,My_Audit!$A:$A,My_Audit!E:E,""),
_xlfn.IFS(_xlpm.MyAuditVal&lt;&gt;"",_xlpm.MyAuditVal,_xlpm.MacVal&lt;&gt;"",_xlpm.MacVal,_xlpm.CSVVal&lt;&gt;"",PROPER(_xlpm.CSVVal)
)),"")</f>
        <v/>
      </c>
      <c r="G336" s="54" t="str" cm="1">
        <f t="array" ref="G336">IFERROR(_xlfn.LET(
_xlpm.CSVVal,_xlfn.XLOOKUP($A336,CSV!$A:$A,CSV!F:F,""),
_xlpm.MacVal,_xlfn.XLOOKUP($A336,Output_Mac!$A:$A,Output_Mac!H:H,""),
_xlpm.MyAuditVal,_xlfn.XLOOKUP($A336,My_Audit!$A:$A,My_Audit!F:F,""),
_xlfn.IFS(_xlpm.MyAuditVal&lt;&gt;"",_xlpm.MyAuditVal,_xlpm.MacVal&lt;&gt;"",_xlpm.MacVal,_xlpm.CSVVal&lt;&gt;"",_xlpm.CSVVal
)),"")</f>
        <v/>
      </c>
      <c r="H336" s="54" t="str">
        <f>_xlfn.XLOOKUP(A336,Output_Mac!A:A,Output_Mac!I:I,"")</f>
        <v/>
      </c>
      <c r="I336" s="54" t="str" cm="1">
        <f t="array" ref="I336">IFERROR(_xlfn.LET(
_xlpm.CSVVal,_xlfn.XLOOKUP($A336,CSV!$A:$A,CSV!G:G,""),
_xlpm.MacVal,_xlfn.XLOOKUP($A336,Output_Mac!$A:$A,Output_Mac!J:J,""),
_xlpm.MyAuditVal,_xlfn.XLOOKUP($A336,My_Audit!$A:$A,My_Audit!H:H,""),
_xlfn.IFS(_xlpm.MyAuditVal&lt;&gt;"",UPPER(_xlpm.MyAuditVal),_xlpm.MacVal&lt;&gt;"",_xlpm.MacVal,_xlpm.CSVVal&lt;&gt;"",_xlpm.CSVVal
)),"")</f>
        <v/>
      </c>
      <c r="J336" s="54" t="str" cm="1">
        <f t="array" ref="J336">IFERROR(_xlfn.LET(
_xlpm.CSVVal,_xlfn.XLOOKUP($A336,CSV!$A:$A,CSV!I:I,""),
_xlpm.MacVal,_xlfn.XLOOKUP($A336,Output_Mac!$A:$A,Output_Mac!K:K,""),
_xlpm.MyAuditVal,_xlfn.XLOOKUP($A336,My_Audit!$A:$A,My_Audit!I:I,""),
_xlfn.IFS(_xlpm.MyAuditVal&lt;&gt;"",UPPER(_xlpm.MyAuditVal),_xlpm.MacVal&lt;&gt;"",_xlpm.MacVal,_xlpm.CSVVal&lt;&gt;"",_xlpm.CSVVal
)),"")</f>
        <v/>
      </c>
      <c r="K336" s="54" t="str" cm="1">
        <f t="array" ref="K336">IFERROR(_xlfn.LET(
_xlpm.CSVVal,_xlfn.XLOOKUP($A336,CSV!$A:$A,CSV!M:M,""),
_xlpm.MacVal,_xlfn.XLOOKUP($A336,Output_Mac!$A:$A,Output_Mac!L:L,""),
_xlpm.MyAuditVal,_xlfn.XLOOKUP($A336,My_Audit!$A:$A,My_Audit!J:J,""),
_xlfn.IFS(_xlpm.MyAuditVal&lt;&gt;"",UPPER(_xlpm.MyAuditVal),_xlpm.MacVal&lt;&gt;"",_xlpm.MacVal,_xlpm.CSVVal&lt;&gt;"",_xlpm.CSVVal
)),"")</f>
        <v/>
      </c>
      <c r="L336" s="55" t="str" cm="1">
        <f t="array" ref="L336">IFERROR(_xlfn.LET(
_xlpm.CSVVal,_xlfn.XLOOKUP($A336,CSV!$A:$A,CSV!P:P,""),
_xlpm.MacVal,_xlfn.XLOOKUP($A336,Output_Mac!$A:$A,Output_Mac!M:M,""),
_xlpm.MyAuditVal,_xlfn.XLOOKUP($A336,My_Audit!$A:$A,My_Audit!K:K,""),
_xlfn.IFS(_xlpm.MyAuditVal&lt;&gt;"",UPPER(_xlpm.MyAuditVal),_xlpm.MacVal&lt;&gt;"",_xlpm.MacVal,_xlpm.CSVVal&lt;&gt;"",_xlpm.CSVVal
)),"")</f>
        <v/>
      </c>
      <c r="M336" s="54" t="str">
        <f>_xlfn.LET(
    _xlpm.CSVVal, _xlfn.XLOOKUP($A336, CSV!$A:$A, CSV!AD:AD, ""),
    _xlpm.MacVal, _xlfn.XLOOKUP($A336, Output_Mac!$A:$A, Output_Mac!S:S, ""),
    _xlpm.MyAuditVal, _xlfn.XLOOKUP($A336, My_Audit!$A:$A, My_Audit!N:N, ""),
    _xlfn.TEXTJOIN(", ", TRUE, _xlpm.MyAuditVal, _xlpm.MacVal, _xlpm.CSVVal)
)</f>
        <v/>
      </c>
      <c r="N336" s="54" t="str" cm="1">
        <f t="array" ref="N336">IFERROR(_xlfn.LET(
_xlpm.CSVVal,_xlfn.XLOOKUP($A336,CSV!$A:$A,CSV!AF:AF,""),
_xlpm.MacVal,_xlfn.XLOOKUP($A336,Output_Mac!$A:$A,Output_Mac!U:U,""),
_xlpm.MyAuditVal,_xlfn.XLOOKUP($A336,My_Audit!$A:$A,My_Audit!O:O,""),
_xlfn.IFS(_xlpm.MyAuditVal&lt;&gt;"",UPPER(_xlpm.MyAuditVal),_xlpm.MacVal&lt;&gt;"",_xlpm.MacVal,_xlpm.CSVVal&lt;&gt;"",_xlpm.CSVVal
)),"")</f>
        <v/>
      </c>
      <c r="O336" s="54"/>
      <c r="P336" s="54"/>
      <c r="Q336" s="54"/>
      <c r="R336" s="54"/>
      <c r="S336" s="54"/>
      <c r="T336" s="54"/>
      <c r="U336" s="39"/>
    </row>
    <row r="337" spans="1:21">
      <c r="A337" s="54" t="str">
        <f>_xlfn.TEXTJOIN("",TRUE,Input!$B$2,ROW(My_Audit!A336))</f>
        <v>XX336</v>
      </c>
      <c r="B337" s="54" t="str">
        <f>_xlfn.TEXTJOIN("-",TRUE,"ITD",Input!$A$2,A337)</f>
        <v>ITD-SHRXXX-XX336</v>
      </c>
      <c r="C337" s="54" t="str" cm="1">
        <f t="array" ref="C337">IFERROR(_xlfn.LET(
_xlpm.CSVVal,_xlfn.XLOOKUP($A337,CSV!$A:$A,CSV!B:B,""),
_xlpm.MacVal,_xlfn.XLOOKUP($A337,Output_Mac!$A:$A,Output_Mac!B:B,""),
_xlpm.MyAuditVal,_xlfn.XLOOKUP($A337,My_Audit!$A:$A,My_Audit!B:B,""),
_xlfn.IFS(_xlpm.MyAuditVal&lt;&gt;"",UPPER(_xlpm.MyAuditVal),_xlpm.MacVal&lt;&gt;"",_xlpm.MacVal,_xlpm.CSVVal&lt;&gt;"",_xlpm.CSVVal
)),"")</f>
        <v/>
      </c>
      <c r="D337" s="55" t="str">
        <f>_xlfn.XLOOKUP(A337,My_Audit!A:A,My_Audit!D:D,"")&amp;""</f>
        <v/>
      </c>
      <c r="E337" s="55" t="str" cm="1">
        <f t="array" ref="E337">IFERROR(_xlfn.LET(
_xlpm.CSVVal,_xlfn.XLOOKUP($A337,CSV!$A:$A,CSV!D:D,""),
_xlpm.MacVal,_xlfn.XLOOKUP($A337,Output_Mac!$A:$A,Output_Mac!C:C,""),
_xlpm.MyAuditVal,_xlfn.XLOOKUP($A337,My_Audit!$A:$A,My_Audit!D:D,""),
_xlfn.IFS(_xlpm.MyAuditVal&lt;&gt;"",_xlpm.MyAuditVal,_xlpm.MacVal&lt;&gt;"",_xlpm.MacVal,_xlpm.CSVVal&lt;&gt;"",_xlpm.CSVVal
)),"")</f>
        <v/>
      </c>
      <c r="F337" s="54" t="str" cm="1">
        <f t="array" ref="F337">IFERROR(_xlfn.LET(
_xlpm.CSVVal,_xlfn.XLOOKUP($A337,CSV!$A:$A,CSV!E:E,""),
_xlpm.MacVal,_xlfn.XLOOKUP($A337,Output_Mac!$A:$A,Output_Mac!F:F,""),
_xlpm.MyAuditVal,_xlfn.XLOOKUP($A337,My_Audit!$A:$A,My_Audit!E:E,""),
_xlfn.IFS(_xlpm.MyAuditVal&lt;&gt;"",_xlpm.MyAuditVal,_xlpm.MacVal&lt;&gt;"",_xlpm.MacVal,_xlpm.CSVVal&lt;&gt;"",PROPER(_xlpm.CSVVal)
)),"")</f>
        <v/>
      </c>
      <c r="G337" s="54" t="str" cm="1">
        <f t="array" ref="G337">IFERROR(_xlfn.LET(
_xlpm.CSVVal,_xlfn.XLOOKUP($A337,CSV!$A:$A,CSV!F:F,""),
_xlpm.MacVal,_xlfn.XLOOKUP($A337,Output_Mac!$A:$A,Output_Mac!H:H,""),
_xlpm.MyAuditVal,_xlfn.XLOOKUP($A337,My_Audit!$A:$A,My_Audit!F:F,""),
_xlfn.IFS(_xlpm.MyAuditVal&lt;&gt;"",_xlpm.MyAuditVal,_xlpm.MacVal&lt;&gt;"",_xlpm.MacVal,_xlpm.CSVVal&lt;&gt;"",_xlpm.CSVVal
)),"")</f>
        <v/>
      </c>
      <c r="H337" s="54" t="str">
        <f>_xlfn.XLOOKUP(A337,Output_Mac!A:A,Output_Mac!I:I,"")</f>
        <v/>
      </c>
      <c r="I337" s="54" t="str" cm="1">
        <f t="array" ref="I337">IFERROR(_xlfn.LET(
_xlpm.CSVVal,_xlfn.XLOOKUP($A337,CSV!$A:$A,CSV!G:G,""),
_xlpm.MacVal,_xlfn.XLOOKUP($A337,Output_Mac!$A:$A,Output_Mac!J:J,""),
_xlpm.MyAuditVal,_xlfn.XLOOKUP($A337,My_Audit!$A:$A,My_Audit!H:H,""),
_xlfn.IFS(_xlpm.MyAuditVal&lt;&gt;"",UPPER(_xlpm.MyAuditVal),_xlpm.MacVal&lt;&gt;"",_xlpm.MacVal,_xlpm.CSVVal&lt;&gt;"",_xlpm.CSVVal
)),"")</f>
        <v/>
      </c>
      <c r="J337" s="54" t="str" cm="1">
        <f t="array" ref="J337">IFERROR(_xlfn.LET(
_xlpm.CSVVal,_xlfn.XLOOKUP($A337,CSV!$A:$A,CSV!I:I,""),
_xlpm.MacVal,_xlfn.XLOOKUP($A337,Output_Mac!$A:$A,Output_Mac!K:K,""),
_xlpm.MyAuditVal,_xlfn.XLOOKUP($A337,My_Audit!$A:$A,My_Audit!I:I,""),
_xlfn.IFS(_xlpm.MyAuditVal&lt;&gt;"",UPPER(_xlpm.MyAuditVal),_xlpm.MacVal&lt;&gt;"",_xlpm.MacVal,_xlpm.CSVVal&lt;&gt;"",_xlpm.CSVVal
)),"")</f>
        <v/>
      </c>
      <c r="K337" s="54" t="str" cm="1">
        <f t="array" ref="K337">IFERROR(_xlfn.LET(
_xlpm.CSVVal,_xlfn.XLOOKUP($A337,CSV!$A:$A,CSV!M:M,""),
_xlpm.MacVal,_xlfn.XLOOKUP($A337,Output_Mac!$A:$A,Output_Mac!L:L,""),
_xlpm.MyAuditVal,_xlfn.XLOOKUP($A337,My_Audit!$A:$A,My_Audit!J:J,""),
_xlfn.IFS(_xlpm.MyAuditVal&lt;&gt;"",UPPER(_xlpm.MyAuditVal),_xlpm.MacVal&lt;&gt;"",_xlpm.MacVal,_xlpm.CSVVal&lt;&gt;"",_xlpm.CSVVal
)),"")</f>
        <v/>
      </c>
      <c r="L337" s="55" t="str" cm="1">
        <f t="array" ref="L337">IFERROR(_xlfn.LET(
_xlpm.CSVVal,_xlfn.XLOOKUP($A337,CSV!$A:$A,CSV!P:P,""),
_xlpm.MacVal,_xlfn.XLOOKUP($A337,Output_Mac!$A:$A,Output_Mac!M:M,""),
_xlpm.MyAuditVal,_xlfn.XLOOKUP($A337,My_Audit!$A:$A,My_Audit!K:K,""),
_xlfn.IFS(_xlpm.MyAuditVal&lt;&gt;"",UPPER(_xlpm.MyAuditVal),_xlpm.MacVal&lt;&gt;"",_xlpm.MacVal,_xlpm.CSVVal&lt;&gt;"",_xlpm.CSVVal
)),"")</f>
        <v/>
      </c>
      <c r="M337" s="54" t="str">
        <f>_xlfn.LET(
    _xlpm.CSVVal, _xlfn.XLOOKUP($A337, CSV!$A:$A, CSV!AD:AD, ""),
    _xlpm.MacVal, _xlfn.XLOOKUP($A337, Output_Mac!$A:$A, Output_Mac!S:S, ""),
    _xlpm.MyAuditVal, _xlfn.XLOOKUP($A337, My_Audit!$A:$A, My_Audit!N:N, ""),
    _xlfn.TEXTJOIN(", ", TRUE, _xlpm.MyAuditVal, _xlpm.MacVal, _xlpm.CSVVal)
)</f>
        <v/>
      </c>
      <c r="N337" s="54" t="str" cm="1">
        <f t="array" ref="N337">IFERROR(_xlfn.LET(
_xlpm.CSVVal,_xlfn.XLOOKUP($A337,CSV!$A:$A,CSV!AF:AF,""),
_xlpm.MacVal,_xlfn.XLOOKUP($A337,Output_Mac!$A:$A,Output_Mac!U:U,""),
_xlpm.MyAuditVal,_xlfn.XLOOKUP($A337,My_Audit!$A:$A,My_Audit!O:O,""),
_xlfn.IFS(_xlpm.MyAuditVal&lt;&gt;"",UPPER(_xlpm.MyAuditVal),_xlpm.MacVal&lt;&gt;"",_xlpm.MacVal,_xlpm.CSVVal&lt;&gt;"",_xlpm.CSVVal
)),"")</f>
        <v/>
      </c>
      <c r="O337" s="54"/>
      <c r="P337" s="54"/>
      <c r="Q337" s="54"/>
      <c r="R337" s="54"/>
      <c r="S337" s="54"/>
      <c r="T337" s="54"/>
      <c r="U337" s="39"/>
    </row>
    <row r="338" spans="1:21">
      <c r="A338" s="54" t="str">
        <f>_xlfn.TEXTJOIN("",TRUE,Input!$B$2,ROW(My_Audit!A337))</f>
        <v>XX337</v>
      </c>
      <c r="B338" s="54" t="str">
        <f>_xlfn.TEXTJOIN("-",TRUE,"ITD",Input!$A$2,A338)</f>
        <v>ITD-SHRXXX-XX337</v>
      </c>
      <c r="C338" s="54" t="str" cm="1">
        <f t="array" ref="C338">IFERROR(_xlfn.LET(
_xlpm.CSVVal,_xlfn.XLOOKUP($A338,CSV!$A:$A,CSV!B:B,""),
_xlpm.MacVal,_xlfn.XLOOKUP($A338,Output_Mac!$A:$A,Output_Mac!B:B,""),
_xlpm.MyAuditVal,_xlfn.XLOOKUP($A338,My_Audit!$A:$A,My_Audit!B:B,""),
_xlfn.IFS(_xlpm.MyAuditVal&lt;&gt;"",UPPER(_xlpm.MyAuditVal),_xlpm.MacVal&lt;&gt;"",_xlpm.MacVal,_xlpm.CSVVal&lt;&gt;"",_xlpm.CSVVal
)),"")</f>
        <v/>
      </c>
      <c r="D338" s="55" t="str">
        <f>_xlfn.XLOOKUP(A338,My_Audit!A:A,My_Audit!D:D,"")&amp;""</f>
        <v/>
      </c>
      <c r="E338" s="55" t="str" cm="1">
        <f t="array" ref="E338">IFERROR(_xlfn.LET(
_xlpm.CSVVal,_xlfn.XLOOKUP($A338,CSV!$A:$A,CSV!D:D,""),
_xlpm.MacVal,_xlfn.XLOOKUP($A338,Output_Mac!$A:$A,Output_Mac!C:C,""),
_xlpm.MyAuditVal,_xlfn.XLOOKUP($A338,My_Audit!$A:$A,My_Audit!D:D,""),
_xlfn.IFS(_xlpm.MyAuditVal&lt;&gt;"",_xlpm.MyAuditVal,_xlpm.MacVal&lt;&gt;"",_xlpm.MacVal,_xlpm.CSVVal&lt;&gt;"",_xlpm.CSVVal
)),"")</f>
        <v/>
      </c>
      <c r="F338" s="54" t="str" cm="1">
        <f t="array" ref="F338">IFERROR(_xlfn.LET(
_xlpm.CSVVal,_xlfn.XLOOKUP($A338,CSV!$A:$A,CSV!E:E,""),
_xlpm.MacVal,_xlfn.XLOOKUP($A338,Output_Mac!$A:$A,Output_Mac!F:F,""),
_xlpm.MyAuditVal,_xlfn.XLOOKUP($A338,My_Audit!$A:$A,My_Audit!E:E,""),
_xlfn.IFS(_xlpm.MyAuditVal&lt;&gt;"",_xlpm.MyAuditVal,_xlpm.MacVal&lt;&gt;"",_xlpm.MacVal,_xlpm.CSVVal&lt;&gt;"",PROPER(_xlpm.CSVVal)
)),"")</f>
        <v/>
      </c>
      <c r="G338" s="54" t="str" cm="1">
        <f t="array" ref="G338">IFERROR(_xlfn.LET(
_xlpm.CSVVal,_xlfn.XLOOKUP($A338,CSV!$A:$A,CSV!F:F,""),
_xlpm.MacVal,_xlfn.XLOOKUP($A338,Output_Mac!$A:$A,Output_Mac!H:H,""),
_xlpm.MyAuditVal,_xlfn.XLOOKUP($A338,My_Audit!$A:$A,My_Audit!F:F,""),
_xlfn.IFS(_xlpm.MyAuditVal&lt;&gt;"",_xlpm.MyAuditVal,_xlpm.MacVal&lt;&gt;"",_xlpm.MacVal,_xlpm.CSVVal&lt;&gt;"",_xlpm.CSVVal
)),"")</f>
        <v/>
      </c>
      <c r="H338" s="54" t="str">
        <f>_xlfn.XLOOKUP(A338,Output_Mac!A:A,Output_Mac!I:I,"")</f>
        <v/>
      </c>
      <c r="I338" s="54" t="str" cm="1">
        <f t="array" ref="I338">IFERROR(_xlfn.LET(
_xlpm.CSVVal,_xlfn.XLOOKUP($A338,CSV!$A:$A,CSV!G:G,""),
_xlpm.MacVal,_xlfn.XLOOKUP($A338,Output_Mac!$A:$A,Output_Mac!J:J,""),
_xlpm.MyAuditVal,_xlfn.XLOOKUP($A338,My_Audit!$A:$A,My_Audit!H:H,""),
_xlfn.IFS(_xlpm.MyAuditVal&lt;&gt;"",UPPER(_xlpm.MyAuditVal),_xlpm.MacVal&lt;&gt;"",_xlpm.MacVal,_xlpm.CSVVal&lt;&gt;"",_xlpm.CSVVal
)),"")</f>
        <v/>
      </c>
      <c r="J338" s="54" t="str" cm="1">
        <f t="array" ref="J338">IFERROR(_xlfn.LET(
_xlpm.CSVVal,_xlfn.XLOOKUP($A338,CSV!$A:$A,CSV!I:I,""),
_xlpm.MacVal,_xlfn.XLOOKUP($A338,Output_Mac!$A:$A,Output_Mac!K:K,""),
_xlpm.MyAuditVal,_xlfn.XLOOKUP($A338,My_Audit!$A:$A,My_Audit!I:I,""),
_xlfn.IFS(_xlpm.MyAuditVal&lt;&gt;"",UPPER(_xlpm.MyAuditVal),_xlpm.MacVal&lt;&gt;"",_xlpm.MacVal,_xlpm.CSVVal&lt;&gt;"",_xlpm.CSVVal
)),"")</f>
        <v/>
      </c>
      <c r="K338" s="54" t="str" cm="1">
        <f t="array" ref="K338">IFERROR(_xlfn.LET(
_xlpm.CSVVal,_xlfn.XLOOKUP($A338,CSV!$A:$A,CSV!M:M,""),
_xlpm.MacVal,_xlfn.XLOOKUP($A338,Output_Mac!$A:$A,Output_Mac!L:L,""),
_xlpm.MyAuditVal,_xlfn.XLOOKUP($A338,My_Audit!$A:$A,My_Audit!J:J,""),
_xlfn.IFS(_xlpm.MyAuditVal&lt;&gt;"",UPPER(_xlpm.MyAuditVal),_xlpm.MacVal&lt;&gt;"",_xlpm.MacVal,_xlpm.CSVVal&lt;&gt;"",_xlpm.CSVVal
)),"")</f>
        <v/>
      </c>
      <c r="L338" s="55" t="str" cm="1">
        <f t="array" ref="L338">IFERROR(_xlfn.LET(
_xlpm.CSVVal,_xlfn.XLOOKUP($A338,CSV!$A:$A,CSV!P:P,""),
_xlpm.MacVal,_xlfn.XLOOKUP($A338,Output_Mac!$A:$A,Output_Mac!M:M,""),
_xlpm.MyAuditVal,_xlfn.XLOOKUP($A338,My_Audit!$A:$A,My_Audit!K:K,""),
_xlfn.IFS(_xlpm.MyAuditVal&lt;&gt;"",UPPER(_xlpm.MyAuditVal),_xlpm.MacVal&lt;&gt;"",_xlpm.MacVal,_xlpm.CSVVal&lt;&gt;"",_xlpm.CSVVal
)),"")</f>
        <v/>
      </c>
      <c r="M338" s="54" t="str">
        <f>_xlfn.LET(
    _xlpm.CSVVal, _xlfn.XLOOKUP($A338, CSV!$A:$A, CSV!AD:AD, ""),
    _xlpm.MacVal, _xlfn.XLOOKUP($A338, Output_Mac!$A:$A, Output_Mac!S:S, ""),
    _xlpm.MyAuditVal, _xlfn.XLOOKUP($A338, My_Audit!$A:$A, My_Audit!N:N, ""),
    _xlfn.TEXTJOIN(", ", TRUE, _xlpm.MyAuditVal, _xlpm.MacVal, _xlpm.CSVVal)
)</f>
        <v/>
      </c>
      <c r="N338" s="54" t="str" cm="1">
        <f t="array" ref="N338">IFERROR(_xlfn.LET(
_xlpm.CSVVal,_xlfn.XLOOKUP($A338,CSV!$A:$A,CSV!AF:AF,""),
_xlpm.MacVal,_xlfn.XLOOKUP($A338,Output_Mac!$A:$A,Output_Mac!U:U,""),
_xlpm.MyAuditVal,_xlfn.XLOOKUP($A338,My_Audit!$A:$A,My_Audit!O:O,""),
_xlfn.IFS(_xlpm.MyAuditVal&lt;&gt;"",UPPER(_xlpm.MyAuditVal),_xlpm.MacVal&lt;&gt;"",_xlpm.MacVal,_xlpm.CSVVal&lt;&gt;"",_xlpm.CSVVal
)),"")</f>
        <v/>
      </c>
      <c r="O338" s="54"/>
      <c r="P338" s="54"/>
      <c r="Q338" s="54"/>
      <c r="R338" s="54"/>
      <c r="S338" s="54"/>
      <c r="T338" s="54"/>
      <c r="U338" s="39"/>
    </row>
    <row r="339" spans="1:21">
      <c r="A339" s="54" t="str">
        <f>_xlfn.TEXTJOIN("",TRUE,Input!$B$2,ROW(My_Audit!A338))</f>
        <v>XX338</v>
      </c>
      <c r="B339" s="54" t="str">
        <f>_xlfn.TEXTJOIN("-",TRUE,"ITD",Input!$A$2,A339)</f>
        <v>ITD-SHRXXX-XX338</v>
      </c>
      <c r="C339" s="54" t="str" cm="1">
        <f t="array" ref="C339">IFERROR(_xlfn.LET(
_xlpm.CSVVal,_xlfn.XLOOKUP($A339,CSV!$A:$A,CSV!B:B,""),
_xlpm.MacVal,_xlfn.XLOOKUP($A339,Output_Mac!$A:$A,Output_Mac!B:B,""),
_xlpm.MyAuditVal,_xlfn.XLOOKUP($A339,My_Audit!$A:$A,My_Audit!B:B,""),
_xlfn.IFS(_xlpm.MyAuditVal&lt;&gt;"",UPPER(_xlpm.MyAuditVal),_xlpm.MacVal&lt;&gt;"",_xlpm.MacVal,_xlpm.CSVVal&lt;&gt;"",_xlpm.CSVVal
)),"")</f>
        <v/>
      </c>
      <c r="D339" s="55" t="str">
        <f>_xlfn.XLOOKUP(A339,My_Audit!A:A,My_Audit!D:D,"")&amp;""</f>
        <v/>
      </c>
      <c r="E339" s="55" t="str" cm="1">
        <f t="array" ref="E339">IFERROR(_xlfn.LET(
_xlpm.CSVVal,_xlfn.XLOOKUP($A339,CSV!$A:$A,CSV!D:D,""),
_xlpm.MacVal,_xlfn.XLOOKUP($A339,Output_Mac!$A:$A,Output_Mac!C:C,""),
_xlpm.MyAuditVal,_xlfn.XLOOKUP($A339,My_Audit!$A:$A,My_Audit!D:D,""),
_xlfn.IFS(_xlpm.MyAuditVal&lt;&gt;"",_xlpm.MyAuditVal,_xlpm.MacVal&lt;&gt;"",_xlpm.MacVal,_xlpm.CSVVal&lt;&gt;"",_xlpm.CSVVal
)),"")</f>
        <v/>
      </c>
      <c r="F339" s="54" t="str" cm="1">
        <f t="array" ref="F339">IFERROR(_xlfn.LET(
_xlpm.CSVVal,_xlfn.XLOOKUP($A339,CSV!$A:$A,CSV!E:E,""),
_xlpm.MacVal,_xlfn.XLOOKUP($A339,Output_Mac!$A:$A,Output_Mac!F:F,""),
_xlpm.MyAuditVal,_xlfn.XLOOKUP($A339,My_Audit!$A:$A,My_Audit!E:E,""),
_xlfn.IFS(_xlpm.MyAuditVal&lt;&gt;"",_xlpm.MyAuditVal,_xlpm.MacVal&lt;&gt;"",_xlpm.MacVal,_xlpm.CSVVal&lt;&gt;"",PROPER(_xlpm.CSVVal)
)),"")</f>
        <v/>
      </c>
      <c r="G339" s="54" t="str" cm="1">
        <f t="array" ref="G339">IFERROR(_xlfn.LET(
_xlpm.CSVVal,_xlfn.XLOOKUP($A339,CSV!$A:$A,CSV!F:F,""),
_xlpm.MacVal,_xlfn.XLOOKUP($A339,Output_Mac!$A:$A,Output_Mac!H:H,""),
_xlpm.MyAuditVal,_xlfn.XLOOKUP($A339,My_Audit!$A:$A,My_Audit!F:F,""),
_xlfn.IFS(_xlpm.MyAuditVal&lt;&gt;"",_xlpm.MyAuditVal,_xlpm.MacVal&lt;&gt;"",_xlpm.MacVal,_xlpm.CSVVal&lt;&gt;"",_xlpm.CSVVal
)),"")</f>
        <v/>
      </c>
      <c r="H339" s="54" t="str">
        <f>_xlfn.XLOOKUP(A339,Output_Mac!A:A,Output_Mac!I:I,"")</f>
        <v/>
      </c>
      <c r="I339" s="54" t="str" cm="1">
        <f t="array" ref="I339">IFERROR(_xlfn.LET(
_xlpm.CSVVal,_xlfn.XLOOKUP($A339,CSV!$A:$A,CSV!G:G,""),
_xlpm.MacVal,_xlfn.XLOOKUP($A339,Output_Mac!$A:$A,Output_Mac!J:J,""),
_xlpm.MyAuditVal,_xlfn.XLOOKUP($A339,My_Audit!$A:$A,My_Audit!H:H,""),
_xlfn.IFS(_xlpm.MyAuditVal&lt;&gt;"",UPPER(_xlpm.MyAuditVal),_xlpm.MacVal&lt;&gt;"",_xlpm.MacVal,_xlpm.CSVVal&lt;&gt;"",_xlpm.CSVVal
)),"")</f>
        <v/>
      </c>
      <c r="J339" s="54" t="str" cm="1">
        <f t="array" ref="J339">IFERROR(_xlfn.LET(
_xlpm.CSVVal,_xlfn.XLOOKUP($A339,CSV!$A:$A,CSV!I:I,""),
_xlpm.MacVal,_xlfn.XLOOKUP($A339,Output_Mac!$A:$A,Output_Mac!K:K,""),
_xlpm.MyAuditVal,_xlfn.XLOOKUP($A339,My_Audit!$A:$A,My_Audit!I:I,""),
_xlfn.IFS(_xlpm.MyAuditVal&lt;&gt;"",UPPER(_xlpm.MyAuditVal),_xlpm.MacVal&lt;&gt;"",_xlpm.MacVal,_xlpm.CSVVal&lt;&gt;"",_xlpm.CSVVal
)),"")</f>
        <v/>
      </c>
      <c r="K339" s="54" t="str" cm="1">
        <f t="array" ref="K339">IFERROR(_xlfn.LET(
_xlpm.CSVVal,_xlfn.XLOOKUP($A339,CSV!$A:$A,CSV!M:M,""),
_xlpm.MacVal,_xlfn.XLOOKUP($A339,Output_Mac!$A:$A,Output_Mac!L:L,""),
_xlpm.MyAuditVal,_xlfn.XLOOKUP($A339,My_Audit!$A:$A,My_Audit!J:J,""),
_xlfn.IFS(_xlpm.MyAuditVal&lt;&gt;"",UPPER(_xlpm.MyAuditVal),_xlpm.MacVal&lt;&gt;"",_xlpm.MacVal,_xlpm.CSVVal&lt;&gt;"",_xlpm.CSVVal
)),"")</f>
        <v/>
      </c>
      <c r="L339" s="55" t="str" cm="1">
        <f t="array" ref="L339">IFERROR(_xlfn.LET(
_xlpm.CSVVal,_xlfn.XLOOKUP($A339,CSV!$A:$A,CSV!P:P,""),
_xlpm.MacVal,_xlfn.XLOOKUP($A339,Output_Mac!$A:$A,Output_Mac!M:M,""),
_xlpm.MyAuditVal,_xlfn.XLOOKUP($A339,My_Audit!$A:$A,My_Audit!K:K,""),
_xlfn.IFS(_xlpm.MyAuditVal&lt;&gt;"",UPPER(_xlpm.MyAuditVal),_xlpm.MacVal&lt;&gt;"",_xlpm.MacVal,_xlpm.CSVVal&lt;&gt;"",_xlpm.CSVVal
)),"")</f>
        <v/>
      </c>
      <c r="M339" s="54" t="str">
        <f>_xlfn.LET(
    _xlpm.CSVVal, _xlfn.XLOOKUP($A339, CSV!$A:$A, CSV!AD:AD, ""),
    _xlpm.MacVal, _xlfn.XLOOKUP($A339, Output_Mac!$A:$A, Output_Mac!S:S, ""),
    _xlpm.MyAuditVal, _xlfn.XLOOKUP($A339, My_Audit!$A:$A, My_Audit!N:N, ""),
    _xlfn.TEXTJOIN(", ", TRUE, _xlpm.MyAuditVal, _xlpm.MacVal, _xlpm.CSVVal)
)</f>
        <v/>
      </c>
      <c r="N339" s="54" t="str" cm="1">
        <f t="array" ref="N339">IFERROR(_xlfn.LET(
_xlpm.CSVVal,_xlfn.XLOOKUP($A339,CSV!$A:$A,CSV!AF:AF,""),
_xlpm.MacVal,_xlfn.XLOOKUP($A339,Output_Mac!$A:$A,Output_Mac!U:U,""),
_xlpm.MyAuditVal,_xlfn.XLOOKUP($A339,My_Audit!$A:$A,My_Audit!O:O,""),
_xlfn.IFS(_xlpm.MyAuditVal&lt;&gt;"",UPPER(_xlpm.MyAuditVal),_xlpm.MacVal&lt;&gt;"",_xlpm.MacVal,_xlpm.CSVVal&lt;&gt;"",_xlpm.CSVVal
)),"")</f>
        <v/>
      </c>
      <c r="O339" s="54"/>
      <c r="P339" s="54"/>
      <c r="Q339" s="54"/>
      <c r="R339" s="54"/>
      <c r="S339" s="54"/>
      <c r="T339" s="54"/>
      <c r="U339" s="39"/>
    </row>
    <row r="340" spans="1:21">
      <c r="A340" s="54" t="str">
        <f>_xlfn.TEXTJOIN("",TRUE,Input!$B$2,ROW(My_Audit!A339))</f>
        <v>XX339</v>
      </c>
      <c r="B340" s="54" t="str">
        <f>_xlfn.TEXTJOIN("-",TRUE,"ITD",Input!$A$2,A340)</f>
        <v>ITD-SHRXXX-XX339</v>
      </c>
      <c r="C340" s="54" t="str" cm="1">
        <f t="array" ref="C340">IFERROR(_xlfn.LET(
_xlpm.CSVVal,_xlfn.XLOOKUP($A340,CSV!$A:$A,CSV!B:B,""),
_xlpm.MacVal,_xlfn.XLOOKUP($A340,Output_Mac!$A:$A,Output_Mac!B:B,""),
_xlpm.MyAuditVal,_xlfn.XLOOKUP($A340,My_Audit!$A:$A,My_Audit!B:B,""),
_xlfn.IFS(_xlpm.MyAuditVal&lt;&gt;"",UPPER(_xlpm.MyAuditVal),_xlpm.MacVal&lt;&gt;"",_xlpm.MacVal,_xlpm.CSVVal&lt;&gt;"",_xlpm.CSVVal
)),"")</f>
        <v/>
      </c>
      <c r="D340" s="55" t="str">
        <f>_xlfn.XLOOKUP(A340,My_Audit!A:A,My_Audit!D:D,"")&amp;""</f>
        <v/>
      </c>
      <c r="E340" s="55" t="str" cm="1">
        <f t="array" ref="E340">IFERROR(_xlfn.LET(
_xlpm.CSVVal,_xlfn.XLOOKUP($A340,CSV!$A:$A,CSV!D:D,""),
_xlpm.MacVal,_xlfn.XLOOKUP($A340,Output_Mac!$A:$A,Output_Mac!C:C,""),
_xlpm.MyAuditVal,_xlfn.XLOOKUP($A340,My_Audit!$A:$A,My_Audit!D:D,""),
_xlfn.IFS(_xlpm.MyAuditVal&lt;&gt;"",_xlpm.MyAuditVal,_xlpm.MacVal&lt;&gt;"",_xlpm.MacVal,_xlpm.CSVVal&lt;&gt;"",_xlpm.CSVVal
)),"")</f>
        <v/>
      </c>
      <c r="F340" s="54" t="str" cm="1">
        <f t="array" ref="F340">IFERROR(_xlfn.LET(
_xlpm.CSVVal,_xlfn.XLOOKUP($A340,CSV!$A:$A,CSV!E:E,""),
_xlpm.MacVal,_xlfn.XLOOKUP($A340,Output_Mac!$A:$A,Output_Mac!F:F,""),
_xlpm.MyAuditVal,_xlfn.XLOOKUP($A340,My_Audit!$A:$A,My_Audit!E:E,""),
_xlfn.IFS(_xlpm.MyAuditVal&lt;&gt;"",_xlpm.MyAuditVal,_xlpm.MacVal&lt;&gt;"",_xlpm.MacVal,_xlpm.CSVVal&lt;&gt;"",PROPER(_xlpm.CSVVal)
)),"")</f>
        <v/>
      </c>
      <c r="G340" s="54" t="str" cm="1">
        <f t="array" ref="G340">IFERROR(_xlfn.LET(
_xlpm.CSVVal,_xlfn.XLOOKUP($A340,CSV!$A:$A,CSV!F:F,""),
_xlpm.MacVal,_xlfn.XLOOKUP($A340,Output_Mac!$A:$A,Output_Mac!H:H,""),
_xlpm.MyAuditVal,_xlfn.XLOOKUP($A340,My_Audit!$A:$A,My_Audit!F:F,""),
_xlfn.IFS(_xlpm.MyAuditVal&lt;&gt;"",_xlpm.MyAuditVal,_xlpm.MacVal&lt;&gt;"",_xlpm.MacVal,_xlpm.CSVVal&lt;&gt;"",_xlpm.CSVVal
)),"")</f>
        <v/>
      </c>
      <c r="H340" s="54" t="str">
        <f>_xlfn.XLOOKUP(A340,Output_Mac!A:A,Output_Mac!I:I,"")</f>
        <v/>
      </c>
      <c r="I340" s="54" t="str" cm="1">
        <f t="array" ref="I340">IFERROR(_xlfn.LET(
_xlpm.CSVVal,_xlfn.XLOOKUP($A340,CSV!$A:$A,CSV!G:G,""),
_xlpm.MacVal,_xlfn.XLOOKUP($A340,Output_Mac!$A:$A,Output_Mac!J:J,""),
_xlpm.MyAuditVal,_xlfn.XLOOKUP($A340,My_Audit!$A:$A,My_Audit!H:H,""),
_xlfn.IFS(_xlpm.MyAuditVal&lt;&gt;"",UPPER(_xlpm.MyAuditVal),_xlpm.MacVal&lt;&gt;"",_xlpm.MacVal,_xlpm.CSVVal&lt;&gt;"",_xlpm.CSVVal
)),"")</f>
        <v/>
      </c>
      <c r="J340" s="54" t="str" cm="1">
        <f t="array" ref="J340">IFERROR(_xlfn.LET(
_xlpm.CSVVal,_xlfn.XLOOKUP($A340,CSV!$A:$A,CSV!I:I,""),
_xlpm.MacVal,_xlfn.XLOOKUP($A340,Output_Mac!$A:$A,Output_Mac!K:K,""),
_xlpm.MyAuditVal,_xlfn.XLOOKUP($A340,My_Audit!$A:$A,My_Audit!I:I,""),
_xlfn.IFS(_xlpm.MyAuditVal&lt;&gt;"",UPPER(_xlpm.MyAuditVal),_xlpm.MacVal&lt;&gt;"",_xlpm.MacVal,_xlpm.CSVVal&lt;&gt;"",_xlpm.CSVVal
)),"")</f>
        <v/>
      </c>
      <c r="K340" s="54" t="str" cm="1">
        <f t="array" ref="K340">IFERROR(_xlfn.LET(
_xlpm.CSVVal,_xlfn.XLOOKUP($A340,CSV!$A:$A,CSV!M:M,""),
_xlpm.MacVal,_xlfn.XLOOKUP($A340,Output_Mac!$A:$A,Output_Mac!L:L,""),
_xlpm.MyAuditVal,_xlfn.XLOOKUP($A340,My_Audit!$A:$A,My_Audit!J:J,""),
_xlfn.IFS(_xlpm.MyAuditVal&lt;&gt;"",UPPER(_xlpm.MyAuditVal),_xlpm.MacVal&lt;&gt;"",_xlpm.MacVal,_xlpm.CSVVal&lt;&gt;"",_xlpm.CSVVal
)),"")</f>
        <v/>
      </c>
      <c r="L340" s="55" t="str" cm="1">
        <f t="array" ref="L340">IFERROR(_xlfn.LET(
_xlpm.CSVVal,_xlfn.XLOOKUP($A340,CSV!$A:$A,CSV!P:P,""),
_xlpm.MacVal,_xlfn.XLOOKUP($A340,Output_Mac!$A:$A,Output_Mac!M:M,""),
_xlpm.MyAuditVal,_xlfn.XLOOKUP($A340,My_Audit!$A:$A,My_Audit!K:K,""),
_xlfn.IFS(_xlpm.MyAuditVal&lt;&gt;"",UPPER(_xlpm.MyAuditVal),_xlpm.MacVal&lt;&gt;"",_xlpm.MacVal,_xlpm.CSVVal&lt;&gt;"",_xlpm.CSVVal
)),"")</f>
        <v/>
      </c>
      <c r="M340" s="54" t="str">
        <f>_xlfn.LET(
    _xlpm.CSVVal, _xlfn.XLOOKUP($A340, CSV!$A:$A, CSV!AD:AD, ""),
    _xlpm.MacVal, _xlfn.XLOOKUP($A340, Output_Mac!$A:$A, Output_Mac!S:S, ""),
    _xlpm.MyAuditVal, _xlfn.XLOOKUP($A340, My_Audit!$A:$A, My_Audit!N:N, ""),
    _xlfn.TEXTJOIN(", ", TRUE, _xlpm.MyAuditVal, _xlpm.MacVal, _xlpm.CSVVal)
)</f>
        <v/>
      </c>
      <c r="N340" s="54" t="str" cm="1">
        <f t="array" ref="N340">IFERROR(_xlfn.LET(
_xlpm.CSVVal,_xlfn.XLOOKUP($A340,CSV!$A:$A,CSV!AF:AF,""),
_xlpm.MacVal,_xlfn.XLOOKUP($A340,Output_Mac!$A:$A,Output_Mac!U:U,""),
_xlpm.MyAuditVal,_xlfn.XLOOKUP($A340,My_Audit!$A:$A,My_Audit!O:O,""),
_xlfn.IFS(_xlpm.MyAuditVal&lt;&gt;"",UPPER(_xlpm.MyAuditVal),_xlpm.MacVal&lt;&gt;"",_xlpm.MacVal,_xlpm.CSVVal&lt;&gt;"",_xlpm.CSVVal
)),"")</f>
        <v/>
      </c>
      <c r="O340" s="54"/>
      <c r="P340" s="54"/>
      <c r="Q340" s="54"/>
      <c r="R340" s="54"/>
      <c r="S340" s="54"/>
      <c r="T340" s="54"/>
      <c r="U340" s="39"/>
    </row>
    <row r="341" spans="1:21">
      <c r="A341" s="54" t="str">
        <f>_xlfn.TEXTJOIN("",TRUE,Input!$B$2,ROW(My_Audit!A340))</f>
        <v>XX340</v>
      </c>
      <c r="B341" s="54" t="str">
        <f>_xlfn.TEXTJOIN("-",TRUE,"ITD",Input!$A$2,A341)</f>
        <v>ITD-SHRXXX-XX340</v>
      </c>
      <c r="C341" s="54" t="str" cm="1">
        <f t="array" ref="C341">IFERROR(_xlfn.LET(
_xlpm.CSVVal,_xlfn.XLOOKUP($A341,CSV!$A:$A,CSV!B:B,""),
_xlpm.MacVal,_xlfn.XLOOKUP($A341,Output_Mac!$A:$A,Output_Mac!B:B,""),
_xlpm.MyAuditVal,_xlfn.XLOOKUP($A341,My_Audit!$A:$A,My_Audit!B:B,""),
_xlfn.IFS(_xlpm.MyAuditVal&lt;&gt;"",UPPER(_xlpm.MyAuditVal),_xlpm.MacVal&lt;&gt;"",_xlpm.MacVal,_xlpm.CSVVal&lt;&gt;"",_xlpm.CSVVal
)),"")</f>
        <v/>
      </c>
      <c r="D341" s="55" t="str">
        <f>_xlfn.XLOOKUP(A341,My_Audit!A:A,My_Audit!D:D,"")&amp;""</f>
        <v/>
      </c>
      <c r="E341" s="55" t="str" cm="1">
        <f t="array" ref="E341">IFERROR(_xlfn.LET(
_xlpm.CSVVal,_xlfn.XLOOKUP($A341,CSV!$A:$A,CSV!D:D,""),
_xlpm.MacVal,_xlfn.XLOOKUP($A341,Output_Mac!$A:$A,Output_Mac!C:C,""),
_xlpm.MyAuditVal,_xlfn.XLOOKUP($A341,My_Audit!$A:$A,My_Audit!D:D,""),
_xlfn.IFS(_xlpm.MyAuditVal&lt;&gt;"",_xlpm.MyAuditVal,_xlpm.MacVal&lt;&gt;"",_xlpm.MacVal,_xlpm.CSVVal&lt;&gt;"",_xlpm.CSVVal
)),"")</f>
        <v/>
      </c>
      <c r="F341" s="54" t="str" cm="1">
        <f t="array" ref="F341">IFERROR(_xlfn.LET(
_xlpm.CSVVal,_xlfn.XLOOKUP($A341,CSV!$A:$A,CSV!E:E,""),
_xlpm.MacVal,_xlfn.XLOOKUP($A341,Output_Mac!$A:$A,Output_Mac!F:F,""),
_xlpm.MyAuditVal,_xlfn.XLOOKUP($A341,My_Audit!$A:$A,My_Audit!E:E,""),
_xlfn.IFS(_xlpm.MyAuditVal&lt;&gt;"",_xlpm.MyAuditVal,_xlpm.MacVal&lt;&gt;"",_xlpm.MacVal,_xlpm.CSVVal&lt;&gt;"",PROPER(_xlpm.CSVVal)
)),"")</f>
        <v/>
      </c>
      <c r="G341" s="54" t="str" cm="1">
        <f t="array" ref="G341">IFERROR(_xlfn.LET(
_xlpm.CSVVal,_xlfn.XLOOKUP($A341,CSV!$A:$A,CSV!F:F,""),
_xlpm.MacVal,_xlfn.XLOOKUP($A341,Output_Mac!$A:$A,Output_Mac!H:H,""),
_xlpm.MyAuditVal,_xlfn.XLOOKUP($A341,My_Audit!$A:$A,My_Audit!F:F,""),
_xlfn.IFS(_xlpm.MyAuditVal&lt;&gt;"",_xlpm.MyAuditVal,_xlpm.MacVal&lt;&gt;"",_xlpm.MacVal,_xlpm.CSVVal&lt;&gt;"",_xlpm.CSVVal
)),"")</f>
        <v/>
      </c>
      <c r="H341" s="54" t="str">
        <f>_xlfn.XLOOKUP(A341,Output_Mac!A:A,Output_Mac!I:I,"")</f>
        <v/>
      </c>
      <c r="I341" s="54" t="str" cm="1">
        <f t="array" ref="I341">IFERROR(_xlfn.LET(
_xlpm.CSVVal,_xlfn.XLOOKUP($A341,CSV!$A:$A,CSV!G:G,""),
_xlpm.MacVal,_xlfn.XLOOKUP($A341,Output_Mac!$A:$A,Output_Mac!J:J,""),
_xlpm.MyAuditVal,_xlfn.XLOOKUP($A341,My_Audit!$A:$A,My_Audit!H:H,""),
_xlfn.IFS(_xlpm.MyAuditVal&lt;&gt;"",UPPER(_xlpm.MyAuditVal),_xlpm.MacVal&lt;&gt;"",_xlpm.MacVal,_xlpm.CSVVal&lt;&gt;"",_xlpm.CSVVal
)),"")</f>
        <v/>
      </c>
      <c r="J341" s="54" t="str" cm="1">
        <f t="array" ref="J341">IFERROR(_xlfn.LET(
_xlpm.CSVVal,_xlfn.XLOOKUP($A341,CSV!$A:$A,CSV!I:I,""),
_xlpm.MacVal,_xlfn.XLOOKUP($A341,Output_Mac!$A:$A,Output_Mac!K:K,""),
_xlpm.MyAuditVal,_xlfn.XLOOKUP($A341,My_Audit!$A:$A,My_Audit!I:I,""),
_xlfn.IFS(_xlpm.MyAuditVal&lt;&gt;"",UPPER(_xlpm.MyAuditVal),_xlpm.MacVal&lt;&gt;"",_xlpm.MacVal,_xlpm.CSVVal&lt;&gt;"",_xlpm.CSVVal
)),"")</f>
        <v/>
      </c>
      <c r="K341" s="54" t="str" cm="1">
        <f t="array" ref="K341">IFERROR(_xlfn.LET(
_xlpm.CSVVal,_xlfn.XLOOKUP($A341,CSV!$A:$A,CSV!M:M,""),
_xlpm.MacVal,_xlfn.XLOOKUP($A341,Output_Mac!$A:$A,Output_Mac!L:L,""),
_xlpm.MyAuditVal,_xlfn.XLOOKUP($A341,My_Audit!$A:$A,My_Audit!J:J,""),
_xlfn.IFS(_xlpm.MyAuditVal&lt;&gt;"",UPPER(_xlpm.MyAuditVal),_xlpm.MacVal&lt;&gt;"",_xlpm.MacVal,_xlpm.CSVVal&lt;&gt;"",_xlpm.CSVVal
)),"")</f>
        <v/>
      </c>
      <c r="L341" s="55" t="str" cm="1">
        <f t="array" ref="L341">IFERROR(_xlfn.LET(
_xlpm.CSVVal,_xlfn.XLOOKUP($A341,CSV!$A:$A,CSV!P:P,""),
_xlpm.MacVal,_xlfn.XLOOKUP($A341,Output_Mac!$A:$A,Output_Mac!M:M,""),
_xlpm.MyAuditVal,_xlfn.XLOOKUP($A341,My_Audit!$A:$A,My_Audit!K:K,""),
_xlfn.IFS(_xlpm.MyAuditVal&lt;&gt;"",UPPER(_xlpm.MyAuditVal),_xlpm.MacVal&lt;&gt;"",_xlpm.MacVal,_xlpm.CSVVal&lt;&gt;"",_xlpm.CSVVal
)),"")</f>
        <v/>
      </c>
      <c r="M341" s="54" t="str">
        <f>_xlfn.LET(
    _xlpm.CSVVal, _xlfn.XLOOKUP($A341, CSV!$A:$A, CSV!AD:AD, ""),
    _xlpm.MacVal, _xlfn.XLOOKUP($A341, Output_Mac!$A:$A, Output_Mac!S:S, ""),
    _xlpm.MyAuditVal, _xlfn.XLOOKUP($A341, My_Audit!$A:$A, My_Audit!N:N, ""),
    _xlfn.TEXTJOIN(", ", TRUE, _xlpm.MyAuditVal, _xlpm.MacVal, _xlpm.CSVVal)
)</f>
        <v/>
      </c>
      <c r="N341" s="54" t="str" cm="1">
        <f t="array" ref="N341">IFERROR(_xlfn.LET(
_xlpm.CSVVal,_xlfn.XLOOKUP($A341,CSV!$A:$A,CSV!AF:AF,""),
_xlpm.MacVal,_xlfn.XLOOKUP($A341,Output_Mac!$A:$A,Output_Mac!U:U,""),
_xlpm.MyAuditVal,_xlfn.XLOOKUP($A341,My_Audit!$A:$A,My_Audit!O:O,""),
_xlfn.IFS(_xlpm.MyAuditVal&lt;&gt;"",UPPER(_xlpm.MyAuditVal),_xlpm.MacVal&lt;&gt;"",_xlpm.MacVal,_xlpm.CSVVal&lt;&gt;"",_xlpm.CSVVal
)),"")</f>
        <v/>
      </c>
      <c r="O341" s="54"/>
      <c r="P341" s="54"/>
      <c r="Q341" s="54"/>
      <c r="R341" s="54"/>
      <c r="S341" s="54"/>
      <c r="T341" s="54"/>
      <c r="U341" s="39"/>
    </row>
    <row r="342" spans="1:21">
      <c r="A342" s="54" t="str">
        <f>_xlfn.TEXTJOIN("",TRUE,Input!$B$2,ROW(My_Audit!A341))</f>
        <v>XX341</v>
      </c>
      <c r="B342" s="54" t="str">
        <f>_xlfn.TEXTJOIN("-",TRUE,"ITD",Input!$A$2,A342)</f>
        <v>ITD-SHRXXX-XX341</v>
      </c>
      <c r="C342" s="54" t="str" cm="1">
        <f t="array" ref="C342">IFERROR(_xlfn.LET(
_xlpm.CSVVal,_xlfn.XLOOKUP($A342,CSV!$A:$A,CSV!B:B,""),
_xlpm.MacVal,_xlfn.XLOOKUP($A342,Output_Mac!$A:$A,Output_Mac!B:B,""),
_xlpm.MyAuditVal,_xlfn.XLOOKUP($A342,My_Audit!$A:$A,My_Audit!B:B,""),
_xlfn.IFS(_xlpm.MyAuditVal&lt;&gt;"",UPPER(_xlpm.MyAuditVal),_xlpm.MacVal&lt;&gt;"",_xlpm.MacVal,_xlpm.CSVVal&lt;&gt;"",_xlpm.CSVVal
)),"")</f>
        <v/>
      </c>
      <c r="D342" s="55" t="str">
        <f>_xlfn.XLOOKUP(A342,My_Audit!A:A,My_Audit!D:D,"")&amp;""</f>
        <v/>
      </c>
      <c r="E342" s="55" t="str" cm="1">
        <f t="array" ref="E342">IFERROR(_xlfn.LET(
_xlpm.CSVVal,_xlfn.XLOOKUP($A342,CSV!$A:$A,CSV!D:D,""),
_xlpm.MacVal,_xlfn.XLOOKUP($A342,Output_Mac!$A:$A,Output_Mac!C:C,""),
_xlpm.MyAuditVal,_xlfn.XLOOKUP($A342,My_Audit!$A:$A,My_Audit!D:D,""),
_xlfn.IFS(_xlpm.MyAuditVal&lt;&gt;"",_xlpm.MyAuditVal,_xlpm.MacVal&lt;&gt;"",_xlpm.MacVal,_xlpm.CSVVal&lt;&gt;"",_xlpm.CSVVal
)),"")</f>
        <v/>
      </c>
      <c r="F342" s="54" t="str" cm="1">
        <f t="array" ref="F342">IFERROR(_xlfn.LET(
_xlpm.CSVVal,_xlfn.XLOOKUP($A342,CSV!$A:$A,CSV!E:E,""),
_xlpm.MacVal,_xlfn.XLOOKUP($A342,Output_Mac!$A:$A,Output_Mac!F:F,""),
_xlpm.MyAuditVal,_xlfn.XLOOKUP($A342,My_Audit!$A:$A,My_Audit!E:E,""),
_xlfn.IFS(_xlpm.MyAuditVal&lt;&gt;"",_xlpm.MyAuditVal,_xlpm.MacVal&lt;&gt;"",_xlpm.MacVal,_xlpm.CSVVal&lt;&gt;"",PROPER(_xlpm.CSVVal)
)),"")</f>
        <v/>
      </c>
      <c r="G342" s="54" t="str" cm="1">
        <f t="array" ref="G342">IFERROR(_xlfn.LET(
_xlpm.CSVVal,_xlfn.XLOOKUP($A342,CSV!$A:$A,CSV!F:F,""),
_xlpm.MacVal,_xlfn.XLOOKUP($A342,Output_Mac!$A:$A,Output_Mac!H:H,""),
_xlpm.MyAuditVal,_xlfn.XLOOKUP($A342,My_Audit!$A:$A,My_Audit!F:F,""),
_xlfn.IFS(_xlpm.MyAuditVal&lt;&gt;"",_xlpm.MyAuditVal,_xlpm.MacVal&lt;&gt;"",_xlpm.MacVal,_xlpm.CSVVal&lt;&gt;"",_xlpm.CSVVal
)),"")</f>
        <v/>
      </c>
      <c r="H342" s="54" t="str">
        <f>_xlfn.XLOOKUP(A342,Output_Mac!A:A,Output_Mac!I:I,"")</f>
        <v/>
      </c>
      <c r="I342" s="54" t="str" cm="1">
        <f t="array" ref="I342">IFERROR(_xlfn.LET(
_xlpm.CSVVal,_xlfn.XLOOKUP($A342,CSV!$A:$A,CSV!G:G,""),
_xlpm.MacVal,_xlfn.XLOOKUP($A342,Output_Mac!$A:$A,Output_Mac!J:J,""),
_xlpm.MyAuditVal,_xlfn.XLOOKUP($A342,My_Audit!$A:$A,My_Audit!H:H,""),
_xlfn.IFS(_xlpm.MyAuditVal&lt;&gt;"",UPPER(_xlpm.MyAuditVal),_xlpm.MacVal&lt;&gt;"",_xlpm.MacVal,_xlpm.CSVVal&lt;&gt;"",_xlpm.CSVVal
)),"")</f>
        <v/>
      </c>
      <c r="J342" s="54" t="str" cm="1">
        <f t="array" ref="J342">IFERROR(_xlfn.LET(
_xlpm.CSVVal,_xlfn.XLOOKUP($A342,CSV!$A:$A,CSV!I:I,""),
_xlpm.MacVal,_xlfn.XLOOKUP($A342,Output_Mac!$A:$A,Output_Mac!K:K,""),
_xlpm.MyAuditVal,_xlfn.XLOOKUP($A342,My_Audit!$A:$A,My_Audit!I:I,""),
_xlfn.IFS(_xlpm.MyAuditVal&lt;&gt;"",UPPER(_xlpm.MyAuditVal),_xlpm.MacVal&lt;&gt;"",_xlpm.MacVal,_xlpm.CSVVal&lt;&gt;"",_xlpm.CSVVal
)),"")</f>
        <v/>
      </c>
      <c r="K342" s="54" t="str" cm="1">
        <f t="array" ref="K342">IFERROR(_xlfn.LET(
_xlpm.CSVVal,_xlfn.XLOOKUP($A342,CSV!$A:$A,CSV!M:M,""),
_xlpm.MacVal,_xlfn.XLOOKUP($A342,Output_Mac!$A:$A,Output_Mac!L:L,""),
_xlpm.MyAuditVal,_xlfn.XLOOKUP($A342,My_Audit!$A:$A,My_Audit!J:J,""),
_xlfn.IFS(_xlpm.MyAuditVal&lt;&gt;"",UPPER(_xlpm.MyAuditVal),_xlpm.MacVal&lt;&gt;"",_xlpm.MacVal,_xlpm.CSVVal&lt;&gt;"",_xlpm.CSVVal
)),"")</f>
        <v/>
      </c>
      <c r="L342" s="55" t="str" cm="1">
        <f t="array" ref="L342">IFERROR(_xlfn.LET(
_xlpm.CSVVal,_xlfn.XLOOKUP($A342,CSV!$A:$A,CSV!P:P,""),
_xlpm.MacVal,_xlfn.XLOOKUP($A342,Output_Mac!$A:$A,Output_Mac!M:M,""),
_xlpm.MyAuditVal,_xlfn.XLOOKUP($A342,My_Audit!$A:$A,My_Audit!K:K,""),
_xlfn.IFS(_xlpm.MyAuditVal&lt;&gt;"",UPPER(_xlpm.MyAuditVal),_xlpm.MacVal&lt;&gt;"",_xlpm.MacVal,_xlpm.CSVVal&lt;&gt;"",_xlpm.CSVVal
)),"")</f>
        <v/>
      </c>
      <c r="M342" s="54" t="str">
        <f>_xlfn.LET(
    _xlpm.CSVVal, _xlfn.XLOOKUP($A342, CSV!$A:$A, CSV!AD:AD, ""),
    _xlpm.MacVal, _xlfn.XLOOKUP($A342, Output_Mac!$A:$A, Output_Mac!S:S, ""),
    _xlpm.MyAuditVal, _xlfn.XLOOKUP($A342, My_Audit!$A:$A, My_Audit!N:N, ""),
    _xlfn.TEXTJOIN(", ", TRUE, _xlpm.MyAuditVal, _xlpm.MacVal, _xlpm.CSVVal)
)</f>
        <v/>
      </c>
      <c r="N342" s="54" t="str" cm="1">
        <f t="array" ref="N342">IFERROR(_xlfn.LET(
_xlpm.CSVVal,_xlfn.XLOOKUP($A342,CSV!$A:$A,CSV!AF:AF,""),
_xlpm.MacVal,_xlfn.XLOOKUP($A342,Output_Mac!$A:$A,Output_Mac!U:U,""),
_xlpm.MyAuditVal,_xlfn.XLOOKUP($A342,My_Audit!$A:$A,My_Audit!O:O,""),
_xlfn.IFS(_xlpm.MyAuditVal&lt;&gt;"",UPPER(_xlpm.MyAuditVal),_xlpm.MacVal&lt;&gt;"",_xlpm.MacVal,_xlpm.CSVVal&lt;&gt;"",_xlpm.CSVVal
)),"")</f>
        <v/>
      </c>
      <c r="O342" s="54"/>
      <c r="P342" s="54"/>
      <c r="Q342" s="54"/>
      <c r="R342" s="54"/>
      <c r="S342" s="54"/>
      <c r="T342" s="54"/>
      <c r="U342" s="39"/>
    </row>
    <row r="343" spans="1:21">
      <c r="A343" s="54" t="str">
        <f>_xlfn.TEXTJOIN("",TRUE,Input!$B$2,ROW(My_Audit!A342))</f>
        <v>XX342</v>
      </c>
      <c r="B343" s="54" t="str">
        <f>_xlfn.TEXTJOIN("-",TRUE,"ITD",Input!$A$2,A343)</f>
        <v>ITD-SHRXXX-XX342</v>
      </c>
      <c r="C343" s="54" t="str" cm="1">
        <f t="array" ref="C343">IFERROR(_xlfn.LET(
_xlpm.CSVVal,_xlfn.XLOOKUP($A343,CSV!$A:$A,CSV!B:B,""),
_xlpm.MacVal,_xlfn.XLOOKUP($A343,Output_Mac!$A:$A,Output_Mac!B:B,""),
_xlpm.MyAuditVal,_xlfn.XLOOKUP($A343,My_Audit!$A:$A,My_Audit!B:B,""),
_xlfn.IFS(_xlpm.MyAuditVal&lt;&gt;"",UPPER(_xlpm.MyAuditVal),_xlpm.MacVal&lt;&gt;"",_xlpm.MacVal,_xlpm.CSVVal&lt;&gt;"",_xlpm.CSVVal
)),"")</f>
        <v/>
      </c>
      <c r="D343" s="55" t="str">
        <f>_xlfn.XLOOKUP(A343,My_Audit!A:A,My_Audit!D:D,"")&amp;""</f>
        <v/>
      </c>
      <c r="E343" s="55" t="str" cm="1">
        <f t="array" ref="E343">IFERROR(_xlfn.LET(
_xlpm.CSVVal,_xlfn.XLOOKUP($A343,CSV!$A:$A,CSV!D:D,""),
_xlpm.MacVal,_xlfn.XLOOKUP($A343,Output_Mac!$A:$A,Output_Mac!C:C,""),
_xlpm.MyAuditVal,_xlfn.XLOOKUP($A343,My_Audit!$A:$A,My_Audit!D:D,""),
_xlfn.IFS(_xlpm.MyAuditVal&lt;&gt;"",_xlpm.MyAuditVal,_xlpm.MacVal&lt;&gt;"",_xlpm.MacVal,_xlpm.CSVVal&lt;&gt;"",_xlpm.CSVVal
)),"")</f>
        <v/>
      </c>
      <c r="F343" s="54" t="str" cm="1">
        <f t="array" ref="F343">IFERROR(_xlfn.LET(
_xlpm.CSVVal,_xlfn.XLOOKUP($A343,CSV!$A:$A,CSV!E:E,""),
_xlpm.MacVal,_xlfn.XLOOKUP($A343,Output_Mac!$A:$A,Output_Mac!F:F,""),
_xlpm.MyAuditVal,_xlfn.XLOOKUP($A343,My_Audit!$A:$A,My_Audit!E:E,""),
_xlfn.IFS(_xlpm.MyAuditVal&lt;&gt;"",_xlpm.MyAuditVal,_xlpm.MacVal&lt;&gt;"",_xlpm.MacVal,_xlpm.CSVVal&lt;&gt;"",PROPER(_xlpm.CSVVal)
)),"")</f>
        <v/>
      </c>
      <c r="G343" s="54" t="str" cm="1">
        <f t="array" ref="G343">IFERROR(_xlfn.LET(
_xlpm.CSVVal,_xlfn.XLOOKUP($A343,CSV!$A:$A,CSV!F:F,""),
_xlpm.MacVal,_xlfn.XLOOKUP($A343,Output_Mac!$A:$A,Output_Mac!H:H,""),
_xlpm.MyAuditVal,_xlfn.XLOOKUP($A343,My_Audit!$A:$A,My_Audit!F:F,""),
_xlfn.IFS(_xlpm.MyAuditVal&lt;&gt;"",_xlpm.MyAuditVal,_xlpm.MacVal&lt;&gt;"",_xlpm.MacVal,_xlpm.CSVVal&lt;&gt;"",_xlpm.CSVVal
)),"")</f>
        <v/>
      </c>
      <c r="H343" s="54" t="str">
        <f>_xlfn.XLOOKUP(A343,Output_Mac!A:A,Output_Mac!I:I,"")</f>
        <v/>
      </c>
      <c r="I343" s="54" t="str" cm="1">
        <f t="array" ref="I343">IFERROR(_xlfn.LET(
_xlpm.CSVVal,_xlfn.XLOOKUP($A343,CSV!$A:$A,CSV!G:G,""),
_xlpm.MacVal,_xlfn.XLOOKUP($A343,Output_Mac!$A:$A,Output_Mac!J:J,""),
_xlpm.MyAuditVal,_xlfn.XLOOKUP($A343,My_Audit!$A:$A,My_Audit!H:H,""),
_xlfn.IFS(_xlpm.MyAuditVal&lt;&gt;"",UPPER(_xlpm.MyAuditVal),_xlpm.MacVal&lt;&gt;"",_xlpm.MacVal,_xlpm.CSVVal&lt;&gt;"",_xlpm.CSVVal
)),"")</f>
        <v/>
      </c>
      <c r="J343" s="54" t="str" cm="1">
        <f t="array" ref="J343">IFERROR(_xlfn.LET(
_xlpm.CSVVal,_xlfn.XLOOKUP($A343,CSV!$A:$A,CSV!I:I,""),
_xlpm.MacVal,_xlfn.XLOOKUP($A343,Output_Mac!$A:$A,Output_Mac!K:K,""),
_xlpm.MyAuditVal,_xlfn.XLOOKUP($A343,My_Audit!$A:$A,My_Audit!I:I,""),
_xlfn.IFS(_xlpm.MyAuditVal&lt;&gt;"",UPPER(_xlpm.MyAuditVal),_xlpm.MacVal&lt;&gt;"",_xlpm.MacVal,_xlpm.CSVVal&lt;&gt;"",_xlpm.CSVVal
)),"")</f>
        <v/>
      </c>
      <c r="K343" s="54" t="str" cm="1">
        <f t="array" ref="K343">IFERROR(_xlfn.LET(
_xlpm.CSVVal,_xlfn.XLOOKUP($A343,CSV!$A:$A,CSV!M:M,""),
_xlpm.MacVal,_xlfn.XLOOKUP($A343,Output_Mac!$A:$A,Output_Mac!L:L,""),
_xlpm.MyAuditVal,_xlfn.XLOOKUP($A343,My_Audit!$A:$A,My_Audit!J:J,""),
_xlfn.IFS(_xlpm.MyAuditVal&lt;&gt;"",UPPER(_xlpm.MyAuditVal),_xlpm.MacVal&lt;&gt;"",_xlpm.MacVal,_xlpm.CSVVal&lt;&gt;"",_xlpm.CSVVal
)),"")</f>
        <v/>
      </c>
      <c r="L343" s="55" t="str" cm="1">
        <f t="array" ref="L343">IFERROR(_xlfn.LET(
_xlpm.CSVVal,_xlfn.XLOOKUP($A343,CSV!$A:$A,CSV!P:P,""),
_xlpm.MacVal,_xlfn.XLOOKUP($A343,Output_Mac!$A:$A,Output_Mac!M:M,""),
_xlpm.MyAuditVal,_xlfn.XLOOKUP($A343,My_Audit!$A:$A,My_Audit!K:K,""),
_xlfn.IFS(_xlpm.MyAuditVal&lt;&gt;"",UPPER(_xlpm.MyAuditVal),_xlpm.MacVal&lt;&gt;"",_xlpm.MacVal,_xlpm.CSVVal&lt;&gt;"",_xlpm.CSVVal
)),"")</f>
        <v/>
      </c>
      <c r="M343" s="54" t="str">
        <f>_xlfn.LET(
    _xlpm.CSVVal, _xlfn.XLOOKUP($A343, CSV!$A:$A, CSV!AD:AD, ""),
    _xlpm.MacVal, _xlfn.XLOOKUP($A343, Output_Mac!$A:$A, Output_Mac!S:S, ""),
    _xlpm.MyAuditVal, _xlfn.XLOOKUP($A343, My_Audit!$A:$A, My_Audit!N:N, ""),
    _xlfn.TEXTJOIN(", ", TRUE, _xlpm.MyAuditVal, _xlpm.MacVal, _xlpm.CSVVal)
)</f>
        <v/>
      </c>
      <c r="N343" s="54" t="str" cm="1">
        <f t="array" ref="N343">IFERROR(_xlfn.LET(
_xlpm.CSVVal,_xlfn.XLOOKUP($A343,CSV!$A:$A,CSV!AF:AF,""),
_xlpm.MacVal,_xlfn.XLOOKUP($A343,Output_Mac!$A:$A,Output_Mac!U:U,""),
_xlpm.MyAuditVal,_xlfn.XLOOKUP($A343,My_Audit!$A:$A,My_Audit!O:O,""),
_xlfn.IFS(_xlpm.MyAuditVal&lt;&gt;"",UPPER(_xlpm.MyAuditVal),_xlpm.MacVal&lt;&gt;"",_xlpm.MacVal,_xlpm.CSVVal&lt;&gt;"",_xlpm.CSVVal
)),"")</f>
        <v/>
      </c>
      <c r="O343" s="54"/>
      <c r="P343" s="54"/>
      <c r="Q343" s="54"/>
      <c r="R343" s="54"/>
      <c r="S343" s="54"/>
      <c r="T343" s="54"/>
      <c r="U343" s="39"/>
    </row>
    <row r="344" spans="1:21">
      <c r="A344" s="54" t="str">
        <f>_xlfn.TEXTJOIN("",TRUE,Input!$B$2,ROW(My_Audit!A343))</f>
        <v>XX343</v>
      </c>
      <c r="B344" s="54" t="str">
        <f>_xlfn.TEXTJOIN("-",TRUE,"ITD",Input!$A$2,A344)</f>
        <v>ITD-SHRXXX-XX343</v>
      </c>
      <c r="C344" s="54" t="str" cm="1">
        <f t="array" ref="C344">IFERROR(_xlfn.LET(
_xlpm.CSVVal,_xlfn.XLOOKUP($A344,CSV!$A:$A,CSV!B:B,""),
_xlpm.MacVal,_xlfn.XLOOKUP($A344,Output_Mac!$A:$A,Output_Mac!B:B,""),
_xlpm.MyAuditVal,_xlfn.XLOOKUP($A344,My_Audit!$A:$A,My_Audit!B:B,""),
_xlfn.IFS(_xlpm.MyAuditVal&lt;&gt;"",UPPER(_xlpm.MyAuditVal),_xlpm.MacVal&lt;&gt;"",_xlpm.MacVal,_xlpm.CSVVal&lt;&gt;"",_xlpm.CSVVal
)),"")</f>
        <v/>
      </c>
      <c r="D344" s="55" t="str">
        <f>_xlfn.XLOOKUP(A344,My_Audit!A:A,My_Audit!D:D,"")&amp;""</f>
        <v/>
      </c>
      <c r="E344" s="55" t="str" cm="1">
        <f t="array" ref="E344">IFERROR(_xlfn.LET(
_xlpm.CSVVal,_xlfn.XLOOKUP($A344,CSV!$A:$A,CSV!D:D,""),
_xlpm.MacVal,_xlfn.XLOOKUP($A344,Output_Mac!$A:$A,Output_Mac!C:C,""),
_xlpm.MyAuditVal,_xlfn.XLOOKUP($A344,My_Audit!$A:$A,My_Audit!D:D,""),
_xlfn.IFS(_xlpm.MyAuditVal&lt;&gt;"",_xlpm.MyAuditVal,_xlpm.MacVal&lt;&gt;"",_xlpm.MacVal,_xlpm.CSVVal&lt;&gt;"",_xlpm.CSVVal
)),"")</f>
        <v/>
      </c>
      <c r="F344" s="54" t="str" cm="1">
        <f t="array" ref="F344">IFERROR(_xlfn.LET(
_xlpm.CSVVal,_xlfn.XLOOKUP($A344,CSV!$A:$A,CSV!E:E,""),
_xlpm.MacVal,_xlfn.XLOOKUP($A344,Output_Mac!$A:$A,Output_Mac!F:F,""),
_xlpm.MyAuditVal,_xlfn.XLOOKUP($A344,My_Audit!$A:$A,My_Audit!E:E,""),
_xlfn.IFS(_xlpm.MyAuditVal&lt;&gt;"",_xlpm.MyAuditVal,_xlpm.MacVal&lt;&gt;"",_xlpm.MacVal,_xlpm.CSVVal&lt;&gt;"",PROPER(_xlpm.CSVVal)
)),"")</f>
        <v/>
      </c>
      <c r="G344" s="54" t="str" cm="1">
        <f t="array" ref="G344">IFERROR(_xlfn.LET(
_xlpm.CSVVal,_xlfn.XLOOKUP($A344,CSV!$A:$A,CSV!F:F,""),
_xlpm.MacVal,_xlfn.XLOOKUP($A344,Output_Mac!$A:$A,Output_Mac!H:H,""),
_xlpm.MyAuditVal,_xlfn.XLOOKUP($A344,My_Audit!$A:$A,My_Audit!F:F,""),
_xlfn.IFS(_xlpm.MyAuditVal&lt;&gt;"",_xlpm.MyAuditVal,_xlpm.MacVal&lt;&gt;"",_xlpm.MacVal,_xlpm.CSVVal&lt;&gt;"",_xlpm.CSVVal
)),"")</f>
        <v/>
      </c>
      <c r="H344" s="54" t="str">
        <f>_xlfn.XLOOKUP(A344,Output_Mac!A:A,Output_Mac!I:I,"")</f>
        <v/>
      </c>
      <c r="I344" s="54" t="str" cm="1">
        <f t="array" ref="I344">IFERROR(_xlfn.LET(
_xlpm.CSVVal,_xlfn.XLOOKUP($A344,CSV!$A:$A,CSV!G:G,""),
_xlpm.MacVal,_xlfn.XLOOKUP($A344,Output_Mac!$A:$A,Output_Mac!J:J,""),
_xlpm.MyAuditVal,_xlfn.XLOOKUP($A344,My_Audit!$A:$A,My_Audit!H:H,""),
_xlfn.IFS(_xlpm.MyAuditVal&lt;&gt;"",UPPER(_xlpm.MyAuditVal),_xlpm.MacVal&lt;&gt;"",_xlpm.MacVal,_xlpm.CSVVal&lt;&gt;"",_xlpm.CSVVal
)),"")</f>
        <v/>
      </c>
      <c r="J344" s="54" t="str" cm="1">
        <f t="array" ref="J344">IFERROR(_xlfn.LET(
_xlpm.CSVVal,_xlfn.XLOOKUP($A344,CSV!$A:$A,CSV!I:I,""),
_xlpm.MacVal,_xlfn.XLOOKUP($A344,Output_Mac!$A:$A,Output_Mac!K:K,""),
_xlpm.MyAuditVal,_xlfn.XLOOKUP($A344,My_Audit!$A:$A,My_Audit!I:I,""),
_xlfn.IFS(_xlpm.MyAuditVal&lt;&gt;"",UPPER(_xlpm.MyAuditVal),_xlpm.MacVal&lt;&gt;"",_xlpm.MacVal,_xlpm.CSVVal&lt;&gt;"",_xlpm.CSVVal
)),"")</f>
        <v/>
      </c>
      <c r="K344" s="54" t="str" cm="1">
        <f t="array" ref="K344">IFERROR(_xlfn.LET(
_xlpm.CSVVal,_xlfn.XLOOKUP($A344,CSV!$A:$A,CSV!M:M,""),
_xlpm.MacVal,_xlfn.XLOOKUP($A344,Output_Mac!$A:$A,Output_Mac!L:L,""),
_xlpm.MyAuditVal,_xlfn.XLOOKUP($A344,My_Audit!$A:$A,My_Audit!J:J,""),
_xlfn.IFS(_xlpm.MyAuditVal&lt;&gt;"",UPPER(_xlpm.MyAuditVal),_xlpm.MacVal&lt;&gt;"",_xlpm.MacVal,_xlpm.CSVVal&lt;&gt;"",_xlpm.CSVVal
)),"")</f>
        <v/>
      </c>
      <c r="L344" s="55" t="str" cm="1">
        <f t="array" ref="L344">IFERROR(_xlfn.LET(
_xlpm.CSVVal,_xlfn.XLOOKUP($A344,CSV!$A:$A,CSV!P:P,""),
_xlpm.MacVal,_xlfn.XLOOKUP($A344,Output_Mac!$A:$A,Output_Mac!M:M,""),
_xlpm.MyAuditVal,_xlfn.XLOOKUP($A344,My_Audit!$A:$A,My_Audit!K:K,""),
_xlfn.IFS(_xlpm.MyAuditVal&lt;&gt;"",UPPER(_xlpm.MyAuditVal),_xlpm.MacVal&lt;&gt;"",_xlpm.MacVal,_xlpm.CSVVal&lt;&gt;"",_xlpm.CSVVal
)),"")</f>
        <v/>
      </c>
      <c r="M344" s="54" t="str">
        <f>_xlfn.LET(
    _xlpm.CSVVal, _xlfn.XLOOKUP($A344, CSV!$A:$A, CSV!AD:AD, ""),
    _xlpm.MacVal, _xlfn.XLOOKUP($A344, Output_Mac!$A:$A, Output_Mac!S:S, ""),
    _xlpm.MyAuditVal, _xlfn.XLOOKUP($A344, My_Audit!$A:$A, My_Audit!N:N, ""),
    _xlfn.TEXTJOIN(", ", TRUE, _xlpm.MyAuditVal, _xlpm.MacVal, _xlpm.CSVVal)
)</f>
        <v/>
      </c>
      <c r="N344" s="54" t="str" cm="1">
        <f t="array" ref="N344">IFERROR(_xlfn.LET(
_xlpm.CSVVal,_xlfn.XLOOKUP($A344,CSV!$A:$A,CSV!AF:AF,""),
_xlpm.MacVal,_xlfn.XLOOKUP($A344,Output_Mac!$A:$A,Output_Mac!U:U,""),
_xlpm.MyAuditVal,_xlfn.XLOOKUP($A344,My_Audit!$A:$A,My_Audit!O:O,""),
_xlfn.IFS(_xlpm.MyAuditVal&lt;&gt;"",UPPER(_xlpm.MyAuditVal),_xlpm.MacVal&lt;&gt;"",_xlpm.MacVal,_xlpm.CSVVal&lt;&gt;"",_xlpm.CSVVal
)),"")</f>
        <v/>
      </c>
      <c r="O344" s="54"/>
      <c r="P344" s="54"/>
      <c r="Q344" s="54"/>
      <c r="R344" s="54"/>
      <c r="S344" s="54"/>
      <c r="T344" s="54"/>
      <c r="U344" s="39"/>
    </row>
    <row r="345" spans="1:21">
      <c r="A345" s="54" t="str">
        <f>_xlfn.TEXTJOIN("",TRUE,Input!$B$2,ROW(My_Audit!A344))</f>
        <v>XX344</v>
      </c>
      <c r="B345" s="54" t="str">
        <f>_xlfn.TEXTJOIN("-",TRUE,"ITD",Input!$A$2,A345)</f>
        <v>ITD-SHRXXX-XX344</v>
      </c>
      <c r="C345" s="54" t="str" cm="1">
        <f t="array" ref="C345">IFERROR(_xlfn.LET(
_xlpm.CSVVal,_xlfn.XLOOKUP($A345,CSV!$A:$A,CSV!B:B,""),
_xlpm.MacVal,_xlfn.XLOOKUP($A345,Output_Mac!$A:$A,Output_Mac!B:B,""),
_xlpm.MyAuditVal,_xlfn.XLOOKUP($A345,My_Audit!$A:$A,My_Audit!B:B,""),
_xlfn.IFS(_xlpm.MyAuditVal&lt;&gt;"",UPPER(_xlpm.MyAuditVal),_xlpm.MacVal&lt;&gt;"",_xlpm.MacVal,_xlpm.CSVVal&lt;&gt;"",_xlpm.CSVVal
)),"")</f>
        <v/>
      </c>
      <c r="D345" s="55" t="str">
        <f>_xlfn.XLOOKUP(A345,My_Audit!A:A,My_Audit!D:D,"")&amp;""</f>
        <v/>
      </c>
      <c r="E345" s="55" t="str" cm="1">
        <f t="array" ref="E345">IFERROR(_xlfn.LET(
_xlpm.CSVVal,_xlfn.XLOOKUP($A345,CSV!$A:$A,CSV!D:D,""),
_xlpm.MacVal,_xlfn.XLOOKUP($A345,Output_Mac!$A:$A,Output_Mac!C:C,""),
_xlpm.MyAuditVal,_xlfn.XLOOKUP($A345,My_Audit!$A:$A,My_Audit!D:D,""),
_xlfn.IFS(_xlpm.MyAuditVal&lt;&gt;"",_xlpm.MyAuditVal,_xlpm.MacVal&lt;&gt;"",_xlpm.MacVal,_xlpm.CSVVal&lt;&gt;"",_xlpm.CSVVal
)),"")</f>
        <v/>
      </c>
      <c r="F345" s="54" t="str" cm="1">
        <f t="array" ref="F345">IFERROR(_xlfn.LET(
_xlpm.CSVVal,_xlfn.XLOOKUP($A345,CSV!$A:$A,CSV!E:E,""),
_xlpm.MacVal,_xlfn.XLOOKUP($A345,Output_Mac!$A:$A,Output_Mac!F:F,""),
_xlpm.MyAuditVal,_xlfn.XLOOKUP($A345,My_Audit!$A:$A,My_Audit!E:E,""),
_xlfn.IFS(_xlpm.MyAuditVal&lt;&gt;"",_xlpm.MyAuditVal,_xlpm.MacVal&lt;&gt;"",_xlpm.MacVal,_xlpm.CSVVal&lt;&gt;"",PROPER(_xlpm.CSVVal)
)),"")</f>
        <v/>
      </c>
      <c r="G345" s="54" t="str" cm="1">
        <f t="array" ref="G345">IFERROR(_xlfn.LET(
_xlpm.CSVVal,_xlfn.XLOOKUP($A345,CSV!$A:$A,CSV!F:F,""),
_xlpm.MacVal,_xlfn.XLOOKUP($A345,Output_Mac!$A:$A,Output_Mac!H:H,""),
_xlpm.MyAuditVal,_xlfn.XLOOKUP($A345,My_Audit!$A:$A,My_Audit!F:F,""),
_xlfn.IFS(_xlpm.MyAuditVal&lt;&gt;"",_xlpm.MyAuditVal,_xlpm.MacVal&lt;&gt;"",_xlpm.MacVal,_xlpm.CSVVal&lt;&gt;"",_xlpm.CSVVal
)),"")</f>
        <v/>
      </c>
      <c r="H345" s="54" t="str">
        <f>_xlfn.XLOOKUP(A345,Output_Mac!A:A,Output_Mac!I:I,"")</f>
        <v/>
      </c>
      <c r="I345" s="54" t="str" cm="1">
        <f t="array" ref="I345">IFERROR(_xlfn.LET(
_xlpm.CSVVal,_xlfn.XLOOKUP($A345,CSV!$A:$A,CSV!G:G,""),
_xlpm.MacVal,_xlfn.XLOOKUP($A345,Output_Mac!$A:$A,Output_Mac!J:J,""),
_xlpm.MyAuditVal,_xlfn.XLOOKUP($A345,My_Audit!$A:$A,My_Audit!H:H,""),
_xlfn.IFS(_xlpm.MyAuditVal&lt;&gt;"",UPPER(_xlpm.MyAuditVal),_xlpm.MacVal&lt;&gt;"",_xlpm.MacVal,_xlpm.CSVVal&lt;&gt;"",_xlpm.CSVVal
)),"")</f>
        <v/>
      </c>
      <c r="J345" s="54" t="str" cm="1">
        <f t="array" ref="J345">IFERROR(_xlfn.LET(
_xlpm.CSVVal,_xlfn.XLOOKUP($A345,CSV!$A:$A,CSV!I:I,""),
_xlpm.MacVal,_xlfn.XLOOKUP($A345,Output_Mac!$A:$A,Output_Mac!K:K,""),
_xlpm.MyAuditVal,_xlfn.XLOOKUP($A345,My_Audit!$A:$A,My_Audit!I:I,""),
_xlfn.IFS(_xlpm.MyAuditVal&lt;&gt;"",UPPER(_xlpm.MyAuditVal),_xlpm.MacVal&lt;&gt;"",_xlpm.MacVal,_xlpm.CSVVal&lt;&gt;"",_xlpm.CSVVal
)),"")</f>
        <v/>
      </c>
      <c r="K345" s="54" t="str" cm="1">
        <f t="array" ref="K345">IFERROR(_xlfn.LET(
_xlpm.CSVVal,_xlfn.XLOOKUP($A345,CSV!$A:$A,CSV!M:M,""),
_xlpm.MacVal,_xlfn.XLOOKUP($A345,Output_Mac!$A:$A,Output_Mac!L:L,""),
_xlpm.MyAuditVal,_xlfn.XLOOKUP($A345,My_Audit!$A:$A,My_Audit!J:J,""),
_xlfn.IFS(_xlpm.MyAuditVal&lt;&gt;"",UPPER(_xlpm.MyAuditVal),_xlpm.MacVal&lt;&gt;"",_xlpm.MacVal,_xlpm.CSVVal&lt;&gt;"",_xlpm.CSVVal
)),"")</f>
        <v/>
      </c>
      <c r="L345" s="55" t="str" cm="1">
        <f t="array" ref="L345">IFERROR(_xlfn.LET(
_xlpm.CSVVal,_xlfn.XLOOKUP($A345,CSV!$A:$A,CSV!P:P,""),
_xlpm.MacVal,_xlfn.XLOOKUP($A345,Output_Mac!$A:$A,Output_Mac!M:M,""),
_xlpm.MyAuditVal,_xlfn.XLOOKUP($A345,My_Audit!$A:$A,My_Audit!K:K,""),
_xlfn.IFS(_xlpm.MyAuditVal&lt;&gt;"",UPPER(_xlpm.MyAuditVal),_xlpm.MacVal&lt;&gt;"",_xlpm.MacVal,_xlpm.CSVVal&lt;&gt;"",_xlpm.CSVVal
)),"")</f>
        <v/>
      </c>
      <c r="M345" s="54" t="str">
        <f>_xlfn.LET(
    _xlpm.CSVVal, _xlfn.XLOOKUP($A345, CSV!$A:$A, CSV!AD:AD, ""),
    _xlpm.MacVal, _xlfn.XLOOKUP($A345, Output_Mac!$A:$A, Output_Mac!S:S, ""),
    _xlpm.MyAuditVal, _xlfn.XLOOKUP($A345, My_Audit!$A:$A, My_Audit!N:N, ""),
    _xlfn.TEXTJOIN(", ", TRUE, _xlpm.MyAuditVal, _xlpm.MacVal, _xlpm.CSVVal)
)</f>
        <v/>
      </c>
      <c r="N345" s="54" t="str" cm="1">
        <f t="array" ref="N345">IFERROR(_xlfn.LET(
_xlpm.CSVVal,_xlfn.XLOOKUP($A345,CSV!$A:$A,CSV!AF:AF,""),
_xlpm.MacVal,_xlfn.XLOOKUP($A345,Output_Mac!$A:$A,Output_Mac!U:U,""),
_xlpm.MyAuditVal,_xlfn.XLOOKUP($A345,My_Audit!$A:$A,My_Audit!O:O,""),
_xlfn.IFS(_xlpm.MyAuditVal&lt;&gt;"",UPPER(_xlpm.MyAuditVal),_xlpm.MacVal&lt;&gt;"",_xlpm.MacVal,_xlpm.CSVVal&lt;&gt;"",_xlpm.CSVVal
)),"")</f>
        <v/>
      </c>
      <c r="O345" s="54"/>
      <c r="P345" s="54"/>
      <c r="Q345" s="54"/>
      <c r="R345" s="54"/>
      <c r="S345" s="54"/>
      <c r="T345" s="54"/>
      <c r="U345" s="39"/>
    </row>
    <row r="346" spans="1:21">
      <c r="A346" s="54" t="str">
        <f>_xlfn.TEXTJOIN("",TRUE,Input!$B$2,ROW(My_Audit!A345))</f>
        <v>XX345</v>
      </c>
      <c r="B346" s="54" t="str">
        <f>_xlfn.TEXTJOIN("-",TRUE,"ITD",Input!$A$2,A346)</f>
        <v>ITD-SHRXXX-XX345</v>
      </c>
      <c r="C346" s="54" t="str" cm="1">
        <f t="array" ref="C346">IFERROR(_xlfn.LET(
_xlpm.CSVVal,_xlfn.XLOOKUP($A346,CSV!$A:$A,CSV!B:B,""),
_xlpm.MacVal,_xlfn.XLOOKUP($A346,Output_Mac!$A:$A,Output_Mac!B:B,""),
_xlpm.MyAuditVal,_xlfn.XLOOKUP($A346,My_Audit!$A:$A,My_Audit!B:B,""),
_xlfn.IFS(_xlpm.MyAuditVal&lt;&gt;"",UPPER(_xlpm.MyAuditVal),_xlpm.MacVal&lt;&gt;"",_xlpm.MacVal,_xlpm.CSVVal&lt;&gt;"",_xlpm.CSVVal
)),"")</f>
        <v/>
      </c>
      <c r="D346" s="55" t="str">
        <f>_xlfn.XLOOKUP(A346,My_Audit!A:A,My_Audit!D:D,"")&amp;""</f>
        <v/>
      </c>
      <c r="E346" s="55" t="str" cm="1">
        <f t="array" ref="E346">IFERROR(_xlfn.LET(
_xlpm.CSVVal,_xlfn.XLOOKUP($A346,CSV!$A:$A,CSV!D:D,""),
_xlpm.MacVal,_xlfn.XLOOKUP($A346,Output_Mac!$A:$A,Output_Mac!C:C,""),
_xlpm.MyAuditVal,_xlfn.XLOOKUP($A346,My_Audit!$A:$A,My_Audit!D:D,""),
_xlfn.IFS(_xlpm.MyAuditVal&lt;&gt;"",_xlpm.MyAuditVal,_xlpm.MacVal&lt;&gt;"",_xlpm.MacVal,_xlpm.CSVVal&lt;&gt;"",_xlpm.CSVVal
)),"")</f>
        <v/>
      </c>
      <c r="F346" s="54" t="str" cm="1">
        <f t="array" ref="F346">IFERROR(_xlfn.LET(
_xlpm.CSVVal,_xlfn.XLOOKUP($A346,CSV!$A:$A,CSV!E:E,""),
_xlpm.MacVal,_xlfn.XLOOKUP($A346,Output_Mac!$A:$A,Output_Mac!F:F,""),
_xlpm.MyAuditVal,_xlfn.XLOOKUP($A346,My_Audit!$A:$A,My_Audit!E:E,""),
_xlfn.IFS(_xlpm.MyAuditVal&lt;&gt;"",_xlpm.MyAuditVal,_xlpm.MacVal&lt;&gt;"",_xlpm.MacVal,_xlpm.CSVVal&lt;&gt;"",PROPER(_xlpm.CSVVal)
)),"")</f>
        <v/>
      </c>
      <c r="G346" s="54" t="str" cm="1">
        <f t="array" ref="G346">IFERROR(_xlfn.LET(
_xlpm.CSVVal,_xlfn.XLOOKUP($A346,CSV!$A:$A,CSV!F:F,""),
_xlpm.MacVal,_xlfn.XLOOKUP($A346,Output_Mac!$A:$A,Output_Mac!H:H,""),
_xlpm.MyAuditVal,_xlfn.XLOOKUP($A346,My_Audit!$A:$A,My_Audit!F:F,""),
_xlfn.IFS(_xlpm.MyAuditVal&lt;&gt;"",_xlpm.MyAuditVal,_xlpm.MacVal&lt;&gt;"",_xlpm.MacVal,_xlpm.CSVVal&lt;&gt;"",_xlpm.CSVVal
)),"")</f>
        <v/>
      </c>
      <c r="H346" s="54" t="str">
        <f>_xlfn.XLOOKUP(A346,Output_Mac!A:A,Output_Mac!I:I,"")</f>
        <v/>
      </c>
      <c r="I346" s="54" t="str" cm="1">
        <f t="array" ref="I346">IFERROR(_xlfn.LET(
_xlpm.CSVVal,_xlfn.XLOOKUP($A346,CSV!$A:$A,CSV!G:G,""),
_xlpm.MacVal,_xlfn.XLOOKUP($A346,Output_Mac!$A:$A,Output_Mac!J:J,""),
_xlpm.MyAuditVal,_xlfn.XLOOKUP($A346,My_Audit!$A:$A,My_Audit!H:H,""),
_xlfn.IFS(_xlpm.MyAuditVal&lt;&gt;"",UPPER(_xlpm.MyAuditVal),_xlpm.MacVal&lt;&gt;"",_xlpm.MacVal,_xlpm.CSVVal&lt;&gt;"",_xlpm.CSVVal
)),"")</f>
        <v/>
      </c>
      <c r="J346" s="54" t="str" cm="1">
        <f t="array" ref="J346">IFERROR(_xlfn.LET(
_xlpm.CSVVal,_xlfn.XLOOKUP($A346,CSV!$A:$A,CSV!I:I,""),
_xlpm.MacVal,_xlfn.XLOOKUP($A346,Output_Mac!$A:$A,Output_Mac!K:K,""),
_xlpm.MyAuditVal,_xlfn.XLOOKUP($A346,My_Audit!$A:$A,My_Audit!I:I,""),
_xlfn.IFS(_xlpm.MyAuditVal&lt;&gt;"",UPPER(_xlpm.MyAuditVal),_xlpm.MacVal&lt;&gt;"",_xlpm.MacVal,_xlpm.CSVVal&lt;&gt;"",_xlpm.CSVVal
)),"")</f>
        <v/>
      </c>
      <c r="K346" s="54" t="str" cm="1">
        <f t="array" ref="K346">IFERROR(_xlfn.LET(
_xlpm.CSVVal,_xlfn.XLOOKUP($A346,CSV!$A:$A,CSV!M:M,""),
_xlpm.MacVal,_xlfn.XLOOKUP($A346,Output_Mac!$A:$A,Output_Mac!L:L,""),
_xlpm.MyAuditVal,_xlfn.XLOOKUP($A346,My_Audit!$A:$A,My_Audit!J:J,""),
_xlfn.IFS(_xlpm.MyAuditVal&lt;&gt;"",UPPER(_xlpm.MyAuditVal),_xlpm.MacVal&lt;&gt;"",_xlpm.MacVal,_xlpm.CSVVal&lt;&gt;"",_xlpm.CSVVal
)),"")</f>
        <v/>
      </c>
      <c r="L346" s="55" t="str" cm="1">
        <f t="array" ref="L346">IFERROR(_xlfn.LET(
_xlpm.CSVVal,_xlfn.XLOOKUP($A346,CSV!$A:$A,CSV!P:P,""),
_xlpm.MacVal,_xlfn.XLOOKUP($A346,Output_Mac!$A:$A,Output_Mac!M:M,""),
_xlpm.MyAuditVal,_xlfn.XLOOKUP($A346,My_Audit!$A:$A,My_Audit!K:K,""),
_xlfn.IFS(_xlpm.MyAuditVal&lt;&gt;"",UPPER(_xlpm.MyAuditVal),_xlpm.MacVal&lt;&gt;"",_xlpm.MacVal,_xlpm.CSVVal&lt;&gt;"",_xlpm.CSVVal
)),"")</f>
        <v/>
      </c>
      <c r="M346" s="54" t="str">
        <f>_xlfn.LET(
    _xlpm.CSVVal, _xlfn.XLOOKUP($A346, CSV!$A:$A, CSV!AD:AD, ""),
    _xlpm.MacVal, _xlfn.XLOOKUP($A346, Output_Mac!$A:$A, Output_Mac!S:S, ""),
    _xlpm.MyAuditVal, _xlfn.XLOOKUP($A346, My_Audit!$A:$A, My_Audit!N:N, ""),
    _xlfn.TEXTJOIN(", ", TRUE, _xlpm.MyAuditVal, _xlpm.MacVal, _xlpm.CSVVal)
)</f>
        <v/>
      </c>
      <c r="N346" s="54" t="str" cm="1">
        <f t="array" ref="N346">IFERROR(_xlfn.LET(
_xlpm.CSVVal,_xlfn.XLOOKUP($A346,CSV!$A:$A,CSV!AF:AF,""),
_xlpm.MacVal,_xlfn.XLOOKUP($A346,Output_Mac!$A:$A,Output_Mac!U:U,""),
_xlpm.MyAuditVal,_xlfn.XLOOKUP($A346,My_Audit!$A:$A,My_Audit!O:O,""),
_xlfn.IFS(_xlpm.MyAuditVal&lt;&gt;"",UPPER(_xlpm.MyAuditVal),_xlpm.MacVal&lt;&gt;"",_xlpm.MacVal,_xlpm.CSVVal&lt;&gt;"",_xlpm.CSVVal
)),"")</f>
        <v/>
      </c>
      <c r="O346" s="54"/>
      <c r="P346" s="54"/>
      <c r="Q346" s="54"/>
      <c r="R346" s="54"/>
      <c r="S346" s="54"/>
      <c r="T346" s="54"/>
      <c r="U346" s="39"/>
    </row>
    <row r="347" spans="1:21">
      <c r="A347" s="54" t="str">
        <f>_xlfn.TEXTJOIN("",TRUE,Input!$B$2,ROW(My_Audit!A346))</f>
        <v>XX346</v>
      </c>
      <c r="B347" s="54" t="str">
        <f>_xlfn.TEXTJOIN("-",TRUE,"ITD",Input!$A$2,A347)</f>
        <v>ITD-SHRXXX-XX346</v>
      </c>
      <c r="C347" s="54" t="str" cm="1">
        <f t="array" ref="C347">IFERROR(_xlfn.LET(
_xlpm.CSVVal,_xlfn.XLOOKUP($A347,CSV!$A:$A,CSV!B:B,""),
_xlpm.MacVal,_xlfn.XLOOKUP($A347,Output_Mac!$A:$A,Output_Mac!B:B,""),
_xlpm.MyAuditVal,_xlfn.XLOOKUP($A347,My_Audit!$A:$A,My_Audit!B:B,""),
_xlfn.IFS(_xlpm.MyAuditVal&lt;&gt;"",UPPER(_xlpm.MyAuditVal),_xlpm.MacVal&lt;&gt;"",_xlpm.MacVal,_xlpm.CSVVal&lt;&gt;"",_xlpm.CSVVal
)),"")</f>
        <v/>
      </c>
      <c r="D347" s="55" t="str">
        <f>_xlfn.XLOOKUP(A347,My_Audit!A:A,My_Audit!D:D,"")&amp;""</f>
        <v/>
      </c>
      <c r="E347" s="55" t="str" cm="1">
        <f t="array" ref="E347">IFERROR(_xlfn.LET(
_xlpm.CSVVal,_xlfn.XLOOKUP($A347,CSV!$A:$A,CSV!D:D,""),
_xlpm.MacVal,_xlfn.XLOOKUP($A347,Output_Mac!$A:$A,Output_Mac!C:C,""),
_xlpm.MyAuditVal,_xlfn.XLOOKUP($A347,My_Audit!$A:$A,My_Audit!D:D,""),
_xlfn.IFS(_xlpm.MyAuditVal&lt;&gt;"",_xlpm.MyAuditVal,_xlpm.MacVal&lt;&gt;"",_xlpm.MacVal,_xlpm.CSVVal&lt;&gt;"",_xlpm.CSVVal
)),"")</f>
        <v/>
      </c>
      <c r="F347" s="54" t="str" cm="1">
        <f t="array" ref="F347">IFERROR(_xlfn.LET(
_xlpm.CSVVal,_xlfn.XLOOKUP($A347,CSV!$A:$A,CSV!E:E,""),
_xlpm.MacVal,_xlfn.XLOOKUP($A347,Output_Mac!$A:$A,Output_Mac!F:F,""),
_xlpm.MyAuditVal,_xlfn.XLOOKUP($A347,My_Audit!$A:$A,My_Audit!E:E,""),
_xlfn.IFS(_xlpm.MyAuditVal&lt;&gt;"",_xlpm.MyAuditVal,_xlpm.MacVal&lt;&gt;"",_xlpm.MacVal,_xlpm.CSVVal&lt;&gt;"",PROPER(_xlpm.CSVVal)
)),"")</f>
        <v/>
      </c>
      <c r="G347" s="54" t="str" cm="1">
        <f t="array" ref="G347">IFERROR(_xlfn.LET(
_xlpm.CSVVal,_xlfn.XLOOKUP($A347,CSV!$A:$A,CSV!F:F,""),
_xlpm.MacVal,_xlfn.XLOOKUP($A347,Output_Mac!$A:$A,Output_Mac!H:H,""),
_xlpm.MyAuditVal,_xlfn.XLOOKUP($A347,My_Audit!$A:$A,My_Audit!F:F,""),
_xlfn.IFS(_xlpm.MyAuditVal&lt;&gt;"",_xlpm.MyAuditVal,_xlpm.MacVal&lt;&gt;"",_xlpm.MacVal,_xlpm.CSVVal&lt;&gt;"",_xlpm.CSVVal
)),"")</f>
        <v/>
      </c>
      <c r="H347" s="54" t="str">
        <f>_xlfn.XLOOKUP(A347,Output_Mac!A:A,Output_Mac!I:I,"")</f>
        <v/>
      </c>
      <c r="I347" s="54" t="str" cm="1">
        <f t="array" ref="I347">IFERROR(_xlfn.LET(
_xlpm.CSVVal,_xlfn.XLOOKUP($A347,CSV!$A:$A,CSV!G:G,""),
_xlpm.MacVal,_xlfn.XLOOKUP($A347,Output_Mac!$A:$A,Output_Mac!J:J,""),
_xlpm.MyAuditVal,_xlfn.XLOOKUP($A347,My_Audit!$A:$A,My_Audit!H:H,""),
_xlfn.IFS(_xlpm.MyAuditVal&lt;&gt;"",UPPER(_xlpm.MyAuditVal),_xlpm.MacVal&lt;&gt;"",_xlpm.MacVal,_xlpm.CSVVal&lt;&gt;"",_xlpm.CSVVal
)),"")</f>
        <v/>
      </c>
      <c r="J347" s="54" t="str" cm="1">
        <f t="array" ref="J347">IFERROR(_xlfn.LET(
_xlpm.CSVVal,_xlfn.XLOOKUP($A347,CSV!$A:$A,CSV!I:I,""),
_xlpm.MacVal,_xlfn.XLOOKUP($A347,Output_Mac!$A:$A,Output_Mac!K:K,""),
_xlpm.MyAuditVal,_xlfn.XLOOKUP($A347,My_Audit!$A:$A,My_Audit!I:I,""),
_xlfn.IFS(_xlpm.MyAuditVal&lt;&gt;"",UPPER(_xlpm.MyAuditVal),_xlpm.MacVal&lt;&gt;"",_xlpm.MacVal,_xlpm.CSVVal&lt;&gt;"",_xlpm.CSVVal
)),"")</f>
        <v/>
      </c>
      <c r="K347" s="54" t="str" cm="1">
        <f t="array" ref="K347">IFERROR(_xlfn.LET(
_xlpm.CSVVal,_xlfn.XLOOKUP($A347,CSV!$A:$A,CSV!M:M,""),
_xlpm.MacVal,_xlfn.XLOOKUP($A347,Output_Mac!$A:$A,Output_Mac!L:L,""),
_xlpm.MyAuditVal,_xlfn.XLOOKUP($A347,My_Audit!$A:$A,My_Audit!J:J,""),
_xlfn.IFS(_xlpm.MyAuditVal&lt;&gt;"",UPPER(_xlpm.MyAuditVal),_xlpm.MacVal&lt;&gt;"",_xlpm.MacVal,_xlpm.CSVVal&lt;&gt;"",_xlpm.CSVVal
)),"")</f>
        <v/>
      </c>
      <c r="L347" s="55" t="str" cm="1">
        <f t="array" ref="L347">IFERROR(_xlfn.LET(
_xlpm.CSVVal,_xlfn.XLOOKUP($A347,CSV!$A:$A,CSV!P:P,""),
_xlpm.MacVal,_xlfn.XLOOKUP($A347,Output_Mac!$A:$A,Output_Mac!M:M,""),
_xlpm.MyAuditVal,_xlfn.XLOOKUP($A347,My_Audit!$A:$A,My_Audit!K:K,""),
_xlfn.IFS(_xlpm.MyAuditVal&lt;&gt;"",UPPER(_xlpm.MyAuditVal),_xlpm.MacVal&lt;&gt;"",_xlpm.MacVal,_xlpm.CSVVal&lt;&gt;"",_xlpm.CSVVal
)),"")</f>
        <v/>
      </c>
      <c r="M347" s="54" t="str">
        <f>_xlfn.LET(
    _xlpm.CSVVal, _xlfn.XLOOKUP($A347, CSV!$A:$A, CSV!AD:AD, ""),
    _xlpm.MacVal, _xlfn.XLOOKUP($A347, Output_Mac!$A:$A, Output_Mac!S:S, ""),
    _xlpm.MyAuditVal, _xlfn.XLOOKUP($A347, My_Audit!$A:$A, My_Audit!N:N, ""),
    _xlfn.TEXTJOIN(", ", TRUE, _xlpm.MyAuditVal, _xlpm.MacVal, _xlpm.CSVVal)
)</f>
        <v/>
      </c>
      <c r="N347" s="54" t="str" cm="1">
        <f t="array" ref="N347">IFERROR(_xlfn.LET(
_xlpm.CSVVal,_xlfn.XLOOKUP($A347,CSV!$A:$A,CSV!AF:AF,""),
_xlpm.MacVal,_xlfn.XLOOKUP($A347,Output_Mac!$A:$A,Output_Mac!U:U,""),
_xlpm.MyAuditVal,_xlfn.XLOOKUP($A347,My_Audit!$A:$A,My_Audit!O:O,""),
_xlfn.IFS(_xlpm.MyAuditVal&lt;&gt;"",UPPER(_xlpm.MyAuditVal),_xlpm.MacVal&lt;&gt;"",_xlpm.MacVal,_xlpm.CSVVal&lt;&gt;"",_xlpm.CSVVal
)),"")</f>
        <v/>
      </c>
      <c r="O347" s="54"/>
      <c r="P347" s="54"/>
      <c r="Q347" s="54"/>
      <c r="R347" s="54"/>
      <c r="S347" s="54"/>
      <c r="T347" s="54"/>
      <c r="U347" s="39"/>
    </row>
    <row r="348" spans="1:21">
      <c r="A348" s="54" t="str">
        <f>_xlfn.TEXTJOIN("",TRUE,Input!$B$2,ROW(My_Audit!A347))</f>
        <v>XX347</v>
      </c>
      <c r="B348" s="54" t="str">
        <f>_xlfn.TEXTJOIN("-",TRUE,"ITD",Input!$A$2,A348)</f>
        <v>ITD-SHRXXX-XX347</v>
      </c>
      <c r="C348" s="54" t="str" cm="1">
        <f t="array" ref="C348">IFERROR(_xlfn.LET(
_xlpm.CSVVal,_xlfn.XLOOKUP($A348,CSV!$A:$A,CSV!B:B,""),
_xlpm.MacVal,_xlfn.XLOOKUP($A348,Output_Mac!$A:$A,Output_Mac!B:B,""),
_xlpm.MyAuditVal,_xlfn.XLOOKUP($A348,My_Audit!$A:$A,My_Audit!B:B,""),
_xlfn.IFS(_xlpm.MyAuditVal&lt;&gt;"",UPPER(_xlpm.MyAuditVal),_xlpm.MacVal&lt;&gt;"",_xlpm.MacVal,_xlpm.CSVVal&lt;&gt;"",_xlpm.CSVVal
)),"")</f>
        <v/>
      </c>
      <c r="D348" s="55" t="str">
        <f>_xlfn.XLOOKUP(A348,My_Audit!A:A,My_Audit!D:D,"")&amp;""</f>
        <v/>
      </c>
      <c r="E348" s="55" t="str" cm="1">
        <f t="array" ref="E348">IFERROR(_xlfn.LET(
_xlpm.CSVVal,_xlfn.XLOOKUP($A348,CSV!$A:$A,CSV!D:D,""),
_xlpm.MacVal,_xlfn.XLOOKUP($A348,Output_Mac!$A:$A,Output_Mac!C:C,""),
_xlpm.MyAuditVal,_xlfn.XLOOKUP($A348,My_Audit!$A:$A,My_Audit!D:D,""),
_xlfn.IFS(_xlpm.MyAuditVal&lt;&gt;"",_xlpm.MyAuditVal,_xlpm.MacVal&lt;&gt;"",_xlpm.MacVal,_xlpm.CSVVal&lt;&gt;"",_xlpm.CSVVal
)),"")</f>
        <v/>
      </c>
      <c r="F348" s="54" t="str" cm="1">
        <f t="array" ref="F348">IFERROR(_xlfn.LET(
_xlpm.CSVVal,_xlfn.XLOOKUP($A348,CSV!$A:$A,CSV!E:E,""),
_xlpm.MacVal,_xlfn.XLOOKUP($A348,Output_Mac!$A:$A,Output_Mac!F:F,""),
_xlpm.MyAuditVal,_xlfn.XLOOKUP($A348,My_Audit!$A:$A,My_Audit!E:E,""),
_xlfn.IFS(_xlpm.MyAuditVal&lt;&gt;"",_xlpm.MyAuditVal,_xlpm.MacVal&lt;&gt;"",_xlpm.MacVal,_xlpm.CSVVal&lt;&gt;"",PROPER(_xlpm.CSVVal)
)),"")</f>
        <v/>
      </c>
      <c r="G348" s="54" t="str" cm="1">
        <f t="array" ref="G348">IFERROR(_xlfn.LET(
_xlpm.CSVVal,_xlfn.XLOOKUP($A348,CSV!$A:$A,CSV!F:F,""),
_xlpm.MacVal,_xlfn.XLOOKUP($A348,Output_Mac!$A:$A,Output_Mac!H:H,""),
_xlpm.MyAuditVal,_xlfn.XLOOKUP($A348,My_Audit!$A:$A,My_Audit!F:F,""),
_xlfn.IFS(_xlpm.MyAuditVal&lt;&gt;"",_xlpm.MyAuditVal,_xlpm.MacVal&lt;&gt;"",_xlpm.MacVal,_xlpm.CSVVal&lt;&gt;"",_xlpm.CSVVal
)),"")</f>
        <v/>
      </c>
      <c r="H348" s="54" t="str">
        <f>_xlfn.XLOOKUP(A348,Output_Mac!A:A,Output_Mac!I:I,"")</f>
        <v/>
      </c>
      <c r="I348" s="54" t="str" cm="1">
        <f t="array" ref="I348">IFERROR(_xlfn.LET(
_xlpm.CSVVal,_xlfn.XLOOKUP($A348,CSV!$A:$A,CSV!G:G,""),
_xlpm.MacVal,_xlfn.XLOOKUP($A348,Output_Mac!$A:$A,Output_Mac!J:J,""),
_xlpm.MyAuditVal,_xlfn.XLOOKUP($A348,My_Audit!$A:$A,My_Audit!H:H,""),
_xlfn.IFS(_xlpm.MyAuditVal&lt;&gt;"",UPPER(_xlpm.MyAuditVal),_xlpm.MacVal&lt;&gt;"",_xlpm.MacVal,_xlpm.CSVVal&lt;&gt;"",_xlpm.CSVVal
)),"")</f>
        <v/>
      </c>
      <c r="J348" s="54" t="str" cm="1">
        <f t="array" ref="J348">IFERROR(_xlfn.LET(
_xlpm.CSVVal,_xlfn.XLOOKUP($A348,CSV!$A:$A,CSV!I:I,""),
_xlpm.MacVal,_xlfn.XLOOKUP($A348,Output_Mac!$A:$A,Output_Mac!K:K,""),
_xlpm.MyAuditVal,_xlfn.XLOOKUP($A348,My_Audit!$A:$A,My_Audit!I:I,""),
_xlfn.IFS(_xlpm.MyAuditVal&lt;&gt;"",UPPER(_xlpm.MyAuditVal),_xlpm.MacVal&lt;&gt;"",_xlpm.MacVal,_xlpm.CSVVal&lt;&gt;"",_xlpm.CSVVal
)),"")</f>
        <v/>
      </c>
      <c r="K348" s="54" t="str" cm="1">
        <f t="array" ref="K348">IFERROR(_xlfn.LET(
_xlpm.CSVVal,_xlfn.XLOOKUP($A348,CSV!$A:$A,CSV!M:M,""),
_xlpm.MacVal,_xlfn.XLOOKUP($A348,Output_Mac!$A:$A,Output_Mac!L:L,""),
_xlpm.MyAuditVal,_xlfn.XLOOKUP($A348,My_Audit!$A:$A,My_Audit!J:J,""),
_xlfn.IFS(_xlpm.MyAuditVal&lt;&gt;"",UPPER(_xlpm.MyAuditVal),_xlpm.MacVal&lt;&gt;"",_xlpm.MacVal,_xlpm.CSVVal&lt;&gt;"",_xlpm.CSVVal
)),"")</f>
        <v/>
      </c>
      <c r="L348" s="55" t="str" cm="1">
        <f t="array" ref="L348">IFERROR(_xlfn.LET(
_xlpm.CSVVal,_xlfn.XLOOKUP($A348,CSV!$A:$A,CSV!P:P,""),
_xlpm.MacVal,_xlfn.XLOOKUP($A348,Output_Mac!$A:$A,Output_Mac!M:M,""),
_xlpm.MyAuditVal,_xlfn.XLOOKUP($A348,My_Audit!$A:$A,My_Audit!K:K,""),
_xlfn.IFS(_xlpm.MyAuditVal&lt;&gt;"",UPPER(_xlpm.MyAuditVal),_xlpm.MacVal&lt;&gt;"",_xlpm.MacVal,_xlpm.CSVVal&lt;&gt;"",_xlpm.CSVVal
)),"")</f>
        <v/>
      </c>
      <c r="M348" s="54" t="str">
        <f>_xlfn.LET(
    _xlpm.CSVVal, _xlfn.XLOOKUP($A348, CSV!$A:$A, CSV!AD:AD, ""),
    _xlpm.MacVal, _xlfn.XLOOKUP($A348, Output_Mac!$A:$A, Output_Mac!S:S, ""),
    _xlpm.MyAuditVal, _xlfn.XLOOKUP($A348, My_Audit!$A:$A, My_Audit!N:N, ""),
    _xlfn.TEXTJOIN(", ", TRUE, _xlpm.MyAuditVal, _xlpm.MacVal, _xlpm.CSVVal)
)</f>
        <v/>
      </c>
      <c r="N348" s="54" t="str" cm="1">
        <f t="array" ref="N348">IFERROR(_xlfn.LET(
_xlpm.CSVVal,_xlfn.XLOOKUP($A348,CSV!$A:$A,CSV!AF:AF,""),
_xlpm.MacVal,_xlfn.XLOOKUP($A348,Output_Mac!$A:$A,Output_Mac!U:U,""),
_xlpm.MyAuditVal,_xlfn.XLOOKUP($A348,My_Audit!$A:$A,My_Audit!O:O,""),
_xlfn.IFS(_xlpm.MyAuditVal&lt;&gt;"",UPPER(_xlpm.MyAuditVal),_xlpm.MacVal&lt;&gt;"",_xlpm.MacVal,_xlpm.CSVVal&lt;&gt;"",_xlpm.CSVVal
)),"")</f>
        <v/>
      </c>
      <c r="O348" s="54"/>
      <c r="P348" s="54"/>
      <c r="Q348" s="54"/>
      <c r="R348" s="54"/>
      <c r="S348" s="54"/>
      <c r="T348" s="54"/>
      <c r="U348" s="39"/>
    </row>
    <row r="349" spans="1:21">
      <c r="A349" s="54" t="str">
        <f>_xlfn.TEXTJOIN("",TRUE,Input!$B$2,ROW(My_Audit!A348))</f>
        <v>XX348</v>
      </c>
      <c r="B349" s="54" t="str">
        <f>_xlfn.TEXTJOIN("-",TRUE,"ITD",Input!$A$2,A349)</f>
        <v>ITD-SHRXXX-XX348</v>
      </c>
      <c r="C349" s="54" t="str" cm="1">
        <f t="array" ref="C349">IFERROR(_xlfn.LET(
_xlpm.CSVVal,_xlfn.XLOOKUP($A349,CSV!$A:$A,CSV!B:B,""),
_xlpm.MacVal,_xlfn.XLOOKUP($A349,Output_Mac!$A:$A,Output_Mac!B:B,""),
_xlpm.MyAuditVal,_xlfn.XLOOKUP($A349,My_Audit!$A:$A,My_Audit!B:B,""),
_xlfn.IFS(_xlpm.MyAuditVal&lt;&gt;"",UPPER(_xlpm.MyAuditVal),_xlpm.MacVal&lt;&gt;"",_xlpm.MacVal,_xlpm.CSVVal&lt;&gt;"",_xlpm.CSVVal
)),"")</f>
        <v/>
      </c>
      <c r="D349" s="55" t="str">
        <f>_xlfn.XLOOKUP(A349,My_Audit!A:A,My_Audit!D:D,"")&amp;""</f>
        <v/>
      </c>
      <c r="E349" s="55" t="str" cm="1">
        <f t="array" ref="E349">IFERROR(_xlfn.LET(
_xlpm.CSVVal,_xlfn.XLOOKUP($A349,CSV!$A:$A,CSV!D:D,""),
_xlpm.MacVal,_xlfn.XLOOKUP($A349,Output_Mac!$A:$A,Output_Mac!C:C,""),
_xlpm.MyAuditVal,_xlfn.XLOOKUP($A349,My_Audit!$A:$A,My_Audit!D:D,""),
_xlfn.IFS(_xlpm.MyAuditVal&lt;&gt;"",_xlpm.MyAuditVal,_xlpm.MacVal&lt;&gt;"",_xlpm.MacVal,_xlpm.CSVVal&lt;&gt;"",_xlpm.CSVVal
)),"")</f>
        <v/>
      </c>
      <c r="F349" s="54" t="str" cm="1">
        <f t="array" ref="F349">IFERROR(_xlfn.LET(
_xlpm.CSVVal,_xlfn.XLOOKUP($A349,CSV!$A:$A,CSV!E:E,""),
_xlpm.MacVal,_xlfn.XLOOKUP($A349,Output_Mac!$A:$A,Output_Mac!F:F,""),
_xlpm.MyAuditVal,_xlfn.XLOOKUP($A349,My_Audit!$A:$A,My_Audit!E:E,""),
_xlfn.IFS(_xlpm.MyAuditVal&lt;&gt;"",_xlpm.MyAuditVal,_xlpm.MacVal&lt;&gt;"",_xlpm.MacVal,_xlpm.CSVVal&lt;&gt;"",PROPER(_xlpm.CSVVal)
)),"")</f>
        <v/>
      </c>
      <c r="G349" s="54" t="str" cm="1">
        <f t="array" ref="G349">IFERROR(_xlfn.LET(
_xlpm.CSVVal,_xlfn.XLOOKUP($A349,CSV!$A:$A,CSV!F:F,""),
_xlpm.MacVal,_xlfn.XLOOKUP($A349,Output_Mac!$A:$A,Output_Mac!H:H,""),
_xlpm.MyAuditVal,_xlfn.XLOOKUP($A349,My_Audit!$A:$A,My_Audit!F:F,""),
_xlfn.IFS(_xlpm.MyAuditVal&lt;&gt;"",_xlpm.MyAuditVal,_xlpm.MacVal&lt;&gt;"",_xlpm.MacVal,_xlpm.CSVVal&lt;&gt;"",_xlpm.CSVVal
)),"")</f>
        <v/>
      </c>
      <c r="H349" s="54" t="str">
        <f>_xlfn.XLOOKUP(A349,Output_Mac!A:A,Output_Mac!I:I,"")</f>
        <v/>
      </c>
      <c r="I349" s="54" t="str" cm="1">
        <f t="array" ref="I349">IFERROR(_xlfn.LET(
_xlpm.CSVVal,_xlfn.XLOOKUP($A349,CSV!$A:$A,CSV!G:G,""),
_xlpm.MacVal,_xlfn.XLOOKUP($A349,Output_Mac!$A:$A,Output_Mac!J:J,""),
_xlpm.MyAuditVal,_xlfn.XLOOKUP($A349,My_Audit!$A:$A,My_Audit!H:H,""),
_xlfn.IFS(_xlpm.MyAuditVal&lt;&gt;"",UPPER(_xlpm.MyAuditVal),_xlpm.MacVal&lt;&gt;"",_xlpm.MacVal,_xlpm.CSVVal&lt;&gt;"",_xlpm.CSVVal
)),"")</f>
        <v/>
      </c>
      <c r="J349" s="54" t="str" cm="1">
        <f t="array" ref="J349">IFERROR(_xlfn.LET(
_xlpm.CSVVal,_xlfn.XLOOKUP($A349,CSV!$A:$A,CSV!I:I,""),
_xlpm.MacVal,_xlfn.XLOOKUP($A349,Output_Mac!$A:$A,Output_Mac!K:K,""),
_xlpm.MyAuditVal,_xlfn.XLOOKUP($A349,My_Audit!$A:$A,My_Audit!I:I,""),
_xlfn.IFS(_xlpm.MyAuditVal&lt;&gt;"",UPPER(_xlpm.MyAuditVal),_xlpm.MacVal&lt;&gt;"",_xlpm.MacVal,_xlpm.CSVVal&lt;&gt;"",_xlpm.CSVVal
)),"")</f>
        <v/>
      </c>
      <c r="K349" s="54" t="str" cm="1">
        <f t="array" ref="K349">IFERROR(_xlfn.LET(
_xlpm.CSVVal,_xlfn.XLOOKUP($A349,CSV!$A:$A,CSV!M:M,""),
_xlpm.MacVal,_xlfn.XLOOKUP($A349,Output_Mac!$A:$A,Output_Mac!L:L,""),
_xlpm.MyAuditVal,_xlfn.XLOOKUP($A349,My_Audit!$A:$A,My_Audit!J:J,""),
_xlfn.IFS(_xlpm.MyAuditVal&lt;&gt;"",UPPER(_xlpm.MyAuditVal),_xlpm.MacVal&lt;&gt;"",_xlpm.MacVal,_xlpm.CSVVal&lt;&gt;"",_xlpm.CSVVal
)),"")</f>
        <v/>
      </c>
      <c r="L349" s="55" t="str" cm="1">
        <f t="array" ref="L349">IFERROR(_xlfn.LET(
_xlpm.CSVVal,_xlfn.XLOOKUP($A349,CSV!$A:$A,CSV!P:P,""),
_xlpm.MacVal,_xlfn.XLOOKUP($A349,Output_Mac!$A:$A,Output_Mac!M:M,""),
_xlpm.MyAuditVal,_xlfn.XLOOKUP($A349,My_Audit!$A:$A,My_Audit!K:K,""),
_xlfn.IFS(_xlpm.MyAuditVal&lt;&gt;"",UPPER(_xlpm.MyAuditVal),_xlpm.MacVal&lt;&gt;"",_xlpm.MacVal,_xlpm.CSVVal&lt;&gt;"",_xlpm.CSVVal
)),"")</f>
        <v/>
      </c>
      <c r="M349" s="54" t="str">
        <f>_xlfn.LET(
    _xlpm.CSVVal, _xlfn.XLOOKUP($A349, CSV!$A:$A, CSV!AD:AD, ""),
    _xlpm.MacVal, _xlfn.XLOOKUP($A349, Output_Mac!$A:$A, Output_Mac!S:S, ""),
    _xlpm.MyAuditVal, _xlfn.XLOOKUP($A349, My_Audit!$A:$A, My_Audit!N:N, ""),
    _xlfn.TEXTJOIN(", ", TRUE, _xlpm.MyAuditVal, _xlpm.MacVal, _xlpm.CSVVal)
)</f>
        <v/>
      </c>
      <c r="N349" s="54" t="str" cm="1">
        <f t="array" ref="N349">IFERROR(_xlfn.LET(
_xlpm.CSVVal,_xlfn.XLOOKUP($A349,CSV!$A:$A,CSV!AF:AF,""),
_xlpm.MacVal,_xlfn.XLOOKUP($A349,Output_Mac!$A:$A,Output_Mac!U:U,""),
_xlpm.MyAuditVal,_xlfn.XLOOKUP($A349,My_Audit!$A:$A,My_Audit!O:O,""),
_xlfn.IFS(_xlpm.MyAuditVal&lt;&gt;"",UPPER(_xlpm.MyAuditVal),_xlpm.MacVal&lt;&gt;"",_xlpm.MacVal,_xlpm.CSVVal&lt;&gt;"",_xlpm.CSVVal
)),"")</f>
        <v/>
      </c>
      <c r="O349" s="54"/>
      <c r="P349" s="54"/>
      <c r="Q349" s="54"/>
      <c r="R349" s="54"/>
      <c r="S349" s="54"/>
      <c r="T349" s="54"/>
      <c r="U349" s="39"/>
    </row>
    <row r="350" spans="1:21">
      <c r="A350" s="54" t="str">
        <f>_xlfn.TEXTJOIN("",TRUE,Input!$B$2,ROW(My_Audit!A349))</f>
        <v>XX349</v>
      </c>
      <c r="B350" s="54" t="str">
        <f>_xlfn.TEXTJOIN("-",TRUE,"ITD",Input!$A$2,A350)</f>
        <v>ITD-SHRXXX-XX349</v>
      </c>
      <c r="C350" s="54" t="str" cm="1">
        <f t="array" ref="C350">IFERROR(_xlfn.LET(
_xlpm.CSVVal,_xlfn.XLOOKUP($A350,CSV!$A:$A,CSV!B:B,""),
_xlpm.MacVal,_xlfn.XLOOKUP($A350,Output_Mac!$A:$A,Output_Mac!B:B,""),
_xlpm.MyAuditVal,_xlfn.XLOOKUP($A350,My_Audit!$A:$A,My_Audit!B:B,""),
_xlfn.IFS(_xlpm.MyAuditVal&lt;&gt;"",UPPER(_xlpm.MyAuditVal),_xlpm.MacVal&lt;&gt;"",_xlpm.MacVal,_xlpm.CSVVal&lt;&gt;"",_xlpm.CSVVal
)),"")</f>
        <v/>
      </c>
      <c r="D350" s="55" t="str">
        <f>_xlfn.XLOOKUP(A350,My_Audit!A:A,My_Audit!D:D,"")&amp;""</f>
        <v/>
      </c>
      <c r="E350" s="55" t="str" cm="1">
        <f t="array" ref="E350">IFERROR(_xlfn.LET(
_xlpm.CSVVal,_xlfn.XLOOKUP($A350,CSV!$A:$A,CSV!D:D,""),
_xlpm.MacVal,_xlfn.XLOOKUP($A350,Output_Mac!$A:$A,Output_Mac!C:C,""),
_xlpm.MyAuditVal,_xlfn.XLOOKUP($A350,My_Audit!$A:$A,My_Audit!D:D,""),
_xlfn.IFS(_xlpm.MyAuditVal&lt;&gt;"",_xlpm.MyAuditVal,_xlpm.MacVal&lt;&gt;"",_xlpm.MacVal,_xlpm.CSVVal&lt;&gt;"",_xlpm.CSVVal
)),"")</f>
        <v/>
      </c>
      <c r="F350" s="54" t="str" cm="1">
        <f t="array" ref="F350">IFERROR(_xlfn.LET(
_xlpm.CSVVal,_xlfn.XLOOKUP($A350,CSV!$A:$A,CSV!E:E,""),
_xlpm.MacVal,_xlfn.XLOOKUP($A350,Output_Mac!$A:$A,Output_Mac!F:F,""),
_xlpm.MyAuditVal,_xlfn.XLOOKUP($A350,My_Audit!$A:$A,My_Audit!E:E,""),
_xlfn.IFS(_xlpm.MyAuditVal&lt;&gt;"",_xlpm.MyAuditVal,_xlpm.MacVal&lt;&gt;"",_xlpm.MacVal,_xlpm.CSVVal&lt;&gt;"",PROPER(_xlpm.CSVVal)
)),"")</f>
        <v/>
      </c>
      <c r="G350" s="54" t="str" cm="1">
        <f t="array" ref="G350">IFERROR(_xlfn.LET(
_xlpm.CSVVal,_xlfn.XLOOKUP($A350,CSV!$A:$A,CSV!F:F,""),
_xlpm.MacVal,_xlfn.XLOOKUP($A350,Output_Mac!$A:$A,Output_Mac!H:H,""),
_xlpm.MyAuditVal,_xlfn.XLOOKUP($A350,My_Audit!$A:$A,My_Audit!F:F,""),
_xlfn.IFS(_xlpm.MyAuditVal&lt;&gt;"",_xlpm.MyAuditVal,_xlpm.MacVal&lt;&gt;"",_xlpm.MacVal,_xlpm.CSVVal&lt;&gt;"",_xlpm.CSVVal
)),"")</f>
        <v/>
      </c>
      <c r="H350" s="54" t="str">
        <f>_xlfn.XLOOKUP(A350,Output_Mac!A:A,Output_Mac!I:I,"")</f>
        <v/>
      </c>
      <c r="I350" s="54" t="str" cm="1">
        <f t="array" ref="I350">IFERROR(_xlfn.LET(
_xlpm.CSVVal,_xlfn.XLOOKUP($A350,CSV!$A:$A,CSV!G:G,""),
_xlpm.MacVal,_xlfn.XLOOKUP($A350,Output_Mac!$A:$A,Output_Mac!J:J,""),
_xlpm.MyAuditVal,_xlfn.XLOOKUP($A350,My_Audit!$A:$A,My_Audit!H:H,""),
_xlfn.IFS(_xlpm.MyAuditVal&lt;&gt;"",UPPER(_xlpm.MyAuditVal),_xlpm.MacVal&lt;&gt;"",_xlpm.MacVal,_xlpm.CSVVal&lt;&gt;"",_xlpm.CSVVal
)),"")</f>
        <v/>
      </c>
      <c r="J350" s="54" t="str" cm="1">
        <f t="array" ref="J350">IFERROR(_xlfn.LET(
_xlpm.CSVVal,_xlfn.XLOOKUP($A350,CSV!$A:$A,CSV!I:I,""),
_xlpm.MacVal,_xlfn.XLOOKUP($A350,Output_Mac!$A:$A,Output_Mac!K:K,""),
_xlpm.MyAuditVal,_xlfn.XLOOKUP($A350,My_Audit!$A:$A,My_Audit!I:I,""),
_xlfn.IFS(_xlpm.MyAuditVal&lt;&gt;"",UPPER(_xlpm.MyAuditVal),_xlpm.MacVal&lt;&gt;"",_xlpm.MacVal,_xlpm.CSVVal&lt;&gt;"",_xlpm.CSVVal
)),"")</f>
        <v/>
      </c>
      <c r="K350" s="54" t="str" cm="1">
        <f t="array" ref="K350">IFERROR(_xlfn.LET(
_xlpm.CSVVal,_xlfn.XLOOKUP($A350,CSV!$A:$A,CSV!M:M,""),
_xlpm.MacVal,_xlfn.XLOOKUP($A350,Output_Mac!$A:$A,Output_Mac!L:L,""),
_xlpm.MyAuditVal,_xlfn.XLOOKUP($A350,My_Audit!$A:$A,My_Audit!J:J,""),
_xlfn.IFS(_xlpm.MyAuditVal&lt;&gt;"",UPPER(_xlpm.MyAuditVal),_xlpm.MacVal&lt;&gt;"",_xlpm.MacVal,_xlpm.CSVVal&lt;&gt;"",_xlpm.CSVVal
)),"")</f>
        <v/>
      </c>
      <c r="L350" s="55" t="str" cm="1">
        <f t="array" ref="L350">IFERROR(_xlfn.LET(
_xlpm.CSVVal,_xlfn.XLOOKUP($A350,CSV!$A:$A,CSV!P:P,""),
_xlpm.MacVal,_xlfn.XLOOKUP($A350,Output_Mac!$A:$A,Output_Mac!M:M,""),
_xlpm.MyAuditVal,_xlfn.XLOOKUP($A350,My_Audit!$A:$A,My_Audit!K:K,""),
_xlfn.IFS(_xlpm.MyAuditVal&lt;&gt;"",UPPER(_xlpm.MyAuditVal),_xlpm.MacVal&lt;&gt;"",_xlpm.MacVal,_xlpm.CSVVal&lt;&gt;"",_xlpm.CSVVal
)),"")</f>
        <v/>
      </c>
      <c r="M350" s="54" t="str">
        <f>_xlfn.LET(
    _xlpm.CSVVal, _xlfn.XLOOKUP($A350, CSV!$A:$A, CSV!AD:AD, ""),
    _xlpm.MacVal, _xlfn.XLOOKUP($A350, Output_Mac!$A:$A, Output_Mac!S:S, ""),
    _xlpm.MyAuditVal, _xlfn.XLOOKUP($A350, My_Audit!$A:$A, My_Audit!N:N, ""),
    _xlfn.TEXTJOIN(", ", TRUE, _xlpm.MyAuditVal, _xlpm.MacVal, _xlpm.CSVVal)
)</f>
        <v/>
      </c>
      <c r="N350" s="54" t="str" cm="1">
        <f t="array" ref="N350">IFERROR(_xlfn.LET(
_xlpm.CSVVal,_xlfn.XLOOKUP($A350,CSV!$A:$A,CSV!AF:AF,""),
_xlpm.MacVal,_xlfn.XLOOKUP($A350,Output_Mac!$A:$A,Output_Mac!U:U,""),
_xlpm.MyAuditVal,_xlfn.XLOOKUP($A350,My_Audit!$A:$A,My_Audit!O:O,""),
_xlfn.IFS(_xlpm.MyAuditVal&lt;&gt;"",UPPER(_xlpm.MyAuditVal),_xlpm.MacVal&lt;&gt;"",_xlpm.MacVal,_xlpm.CSVVal&lt;&gt;"",_xlpm.CSVVal
)),"")</f>
        <v/>
      </c>
      <c r="O350" s="54"/>
      <c r="P350" s="54"/>
      <c r="Q350" s="54"/>
      <c r="R350" s="54"/>
      <c r="S350" s="54"/>
      <c r="T350" s="54"/>
      <c r="U350" s="39"/>
    </row>
    <row r="351" spans="1:21">
      <c r="A351" s="54" t="str">
        <f>_xlfn.TEXTJOIN("",TRUE,Input!$B$2,ROW(My_Audit!A350))</f>
        <v>XX350</v>
      </c>
      <c r="B351" s="54" t="str">
        <f>_xlfn.TEXTJOIN("-",TRUE,"ITD",Input!$A$2,A351)</f>
        <v>ITD-SHRXXX-XX350</v>
      </c>
      <c r="C351" s="54" t="str" cm="1">
        <f t="array" ref="C351">IFERROR(_xlfn.LET(
_xlpm.CSVVal,_xlfn.XLOOKUP($A351,CSV!$A:$A,CSV!B:B,""),
_xlpm.MacVal,_xlfn.XLOOKUP($A351,Output_Mac!$A:$A,Output_Mac!B:B,""),
_xlpm.MyAuditVal,_xlfn.XLOOKUP($A351,My_Audit!$A:$A,My_Audit!B:B,""),
_xlfn.IFS(_xlpm.MyAuditVal&lt;&gt;"",UPPER(_xlpm.MyAuditVal),_xlpm.MacVal&lt;&gt;"",_xlpm.MacVal,_xlpm.CSVVal&lt;&gt;"",_xlpm.CSVVal
)),"")</f>
        <v/>
      </c>
      <c r="D351" s="55" t="str">
        <f>_xlfn.XLOOKUP(A351,My_Audit!A:A,My_Audit!D:D,"")&amp;""</f>
        <v/>
      </c>
      <c r="E351" s="55" t="str" cm="1">
        <f t="array" ref="E351">IFERROR(_xlfn.LET(
_xlpm.CSVVal,_xlfn.XLOOKUP($A351,CSV!$A:$A,CSV!D:D,""),
_xlpm.MacVal,_xlfn.XLOOKUP($A351,Output_Mac!$A:$A,Output_Mac!C:C,""),
_xlpm.MyAuditVal,_xlfn.XLOOKUP($A351,My_Audit!$A:$A,My_Audit!D:D,""),
_xlfn.IFS(_xlpm.MyAuditVal&lt;&gt;"",_xlpm.MyAuditVal,_xlpm.MacVal&lt;&gt;"",_xlpm.MacVal,_xlpm.CSVVal&lt;&gt;"",_xlpm.CSVVal
)),"")</f>
        <v/>
      </c>
      <c r="F351" s="54" t="str" cm="1">
        <f t="array" ref="F351">IFERROR(_xlfn.LET(
_xlpm.CSVVal,_xlfn.XLOOKUP($A351,CSV!$A:$A,CSV!E:E,""),
_xlpm.MacVal,_xlfn.XLOOKUP($A351,Output_Mac!$A:$A,Output_Mac!F:F,""),
_xlpm.MyAuditVal,_xlfn.XLOOKUP($A351,My_Audit!$A:$A,My_Audit!E:E,""),
_xlfn.IFS(_xlpm.MyAuditVal&lt;&gt;"",_xlpm.MyAuditVal,_xlpm.MacVal&lt;&gt;"",_xlpm.MacVal,_xlpm.CSVVal&lt;&gt;"",PROPER(_xlpm.CSVVal)
)),"")</f>
        <v/>
      </c>
      <c r="G351" s="54" t="str" cm="1">
        <f t="array" ref="G351">IFERROR(_xlfn.LET(
_xlpm.CSVVal,_xlfn.XLOOKUP($A351,CSV!$A:$A,CSV!F:F,""),
_xlpm.MacVal,_xlfn.XLOOKUP($A351,Output_Mac!$A:$A,Output_Mac!H:H,""),
_xlpm.MyAuditVal,_xlfn.XLOOKUP($A351,My_Audit!$A:$A,My_Audit!F:F,""),
_xlfn.IFS(_xlpm.MyAuditVal&lt;&gt;"",_xlpm.MyAuditVal,_xlpm.MacVal&lt;&gt;"",_xlpm.MacVal,_xlpm.CSVVal&lt;&gt;"",_xlpm.CSVVal
)),"")</f>
        <v/>
      </c>
      <c r="H351" s="54" t="str">
        <f>_xlfn.XLOOKUP(A351,Output_Mac!A:A,Output_Mac!I:I,"")</f>
        <v/>
      </c>
      <c r="I351" s="54" t="str" cm="1">
        <f t="array" ref="I351">IFERROR(_xlfn.LET(
_xlpm.CSVVal,_xlfn.XLOOKUP($A351,CSV!$A:$A,CSV!G:G,""),
_xlpm.MacVal,_xlfn.XLOOKUP($A351,Output_Mac!$A:$A,Output_Mac!J:J,""),
_xlpm.MyAuditVal,_xlfn.XLOOKUP($A351,My_Audit!$A:$A,My_Audit!H:H,""),
_xlfn.IFS(_xlpm.MyAuditVal&lt;&gt;"",UPPER(_xlpm.MyAuditVal),_xlpm.MacVal&lt;&gt;"",_xlpm.MacVal,_xlpm.CSVVal&lt;&gt;"",_xlpm.CSVVal
)),"")</f>
        <v/>
      </c>
      <c r="J351" s="54" t="str" cm="1">
        <f t="array" ref="J351">IFERROR(_xlfn.LET(
_xlpm.CSVVal,_xlfn.XLOOKUP($A351,CSV!$A:$A,CSV!I:I,""),
_xlpm.MacVal,_xlfn.XLOOKUP($A351,Output_Mac!$A:$A,Output_Mac!K:K,""),
_xlpm.MyAuditVal,_xlfn.XLOOKUP($A351,My_Audit!$A:$A,My_Audit!I:I,""),
_xlfn.IFS(_xlpm.MyAuditVal&lt;&gt;"",UPPER(_xlpm.MyAuditVal),_xlpm.MacVal&lt;&gt;"",_xlpm.MacVal,_xlpm.CSVVal&lt;&gt;"",_xlpm.CSVVal
)),"")</f>
        <v/>
      </c>
      <c r="K351" s="54" t="str" cm="1">
        <f t="array" ref="K351">IFERROR(_xlfn.LET(
_xlpm.CSVVal,_xlfn.XLOOKUP($A351,CSV!$A:$A,CSV!M:M,""),
_xlpm.MacVal,_xlfn.XLOOKUP($A351,Output_Mac!$A:$A,Output_Mac!L:L,""),
_xlpm.MyAuditVal,_xlfn.XLOOKUP($A351,My_Audit!$A:$A,My_Audit!J:J,""),
_xlfn.IFS(_xlpm.MyAuditVal&lt;&gt;"",UPPER(_xlpm.MyAuditVal),_xlpm.MacVal&lt;&gt;"",_xlpm.MacVal,_xlpm.CSVVal&lt;&gt;"",_xlpm.CSVVal
)),"")</f>
        <v/>
      </c>
      <c r="L351" s="55" t="str" cm="1">
        <f t="array" ref="L351">IFERROR(_xlfn.LET(
_xlpm.CSVVal,_xlfn.XLOOKUP($A351,CSV!$A:$A,CSV!P:P,""),
_xlpm.MacVal,_xlfn.XLOOKUP($A351,Output_Mac!$A:$A,Output_Mac!M:M,""),
_xlpm.MyAuditVal,_xlfn.XLOOKUP($A351,My_Audit!$A:$A,My_Audit!K:K,""),
_xlfn.IFS(_xlpm.MyAuditVal&lt;&gt;"",UPPER(_xlpm.MyAuditVal),_xlpm.MacVal&lt;&gt;"",_xlpm.MacVal,_xlpm.CSVVal&lt;&gt;"",_xlpm.CSVVal
)),"")</f>
        <v/>
      </c>
      <c r="M351" s="54" t="str">
        <f>_xlfn.LET(
    _xlpm.CSVVal, _xlfn.XLOOKUP($A351, CSV!$A:$A, CSV!AD:AD, ""),
    _xlpm.MacVal, _xlfn.XLOOKUP($A351, Output_Mac!$A:$A, Output_Mac!S:S, ""),
    _xlpm.MyAuditVal, _xlfn.XLOOKUP($A351, My_Audit!$A:$A, My_Audit!N:N, ""),
    _xlfn.TEXTJOIN(", ", TRUE, _xlpm.MyAuditVal, _xlpm.MacVal, _xlpm.CSVVal)
)</f>
        <v/>
      </c>
      <c r="N351" s="54" t="str" cm="1">
        <f t="array" ref="N351">IFERROR(_xlfn.LET(
_xlpm.CSVVal,_xlfn.XLOOKUP($A351,CSV!$A:$A,CSV!AF:AF,""),
_xlpm.MacVal,_xlfn.XLOOKUP($A351,Output_Mac!$A:$A,Output_Mac!U:U,""),
_xlpm.MyAuditVal,_xlfn.XLOOKUP($A351,My_Audit!$A:$A,My_Audit!O:O,""),
_xlfn.IFS(_xlpm.MyAuditVal&lt;&gt;"",UPPER(_xlpm.MyAuditVal),_xlpm.MacVal&lt;&gt;"",_xlpm.MacVal,_xlpm.CSVVal&lt;&gt;"",_xlpm.CSVVal
)),"")</f>
        <v/>
      </c>
      <c r="O351" s="54"/>
      <c r="P351" s="54"/>
      <c r="Q351" s="54"/>
      <c r="R351" s="54"/>
      <c r="S351" s="54"/>
      <c r="T351" s="54"/>
      <c r="U351" s="39"/>
    </row>
    <row r="352" spans="1:21">
      <c r="A352" s="54" t="str">
        <f>_xlfn.TEXTJOIN("",TRUE,Input!$B$2,ROW(My_Audit!A351))</f>
        <v>XX351</v>
      </c>
      <c r="B352" s="54" t="str">
        <f>_xlfn.TEXTJOIN("-",TRUE,"ITD",Input!$A$2,A352)</f>
        <v>ITD-SHRXXX-XX351</v>
      </c>
      <c r="C352" s="54" t="str" cm="1">
        <f t="array" ref="C352">IFERROR(_xlfn.LET(
_xlpm.CSVVal,_xlfn.XLOOKUP($A352,CSV!$A:$A,CSV!B:B,""),
_xlpm.MacVal,_xlfn.XLOOKUP($A352,Output_Mac!$A:$A,Output_Mac!B:B,""),
_xlpm.MyAuditVal,_xlfn.XLOOKUP($A352,My_Audit!$A:$A,My_Audit!B:B,""),
_xlfn.IFS(_xlpm.MyAuditVal&lt;&gt;"",UPPER(_xlpm.MyAuditVal),_xlpm.MacVal&lt;&gt;"",_xlpm.MacVal,_xlpm.CSVVal&lt;&gt;"",_xlpm.CSVVal
)),"")</f>
        <v/>
      </c>
      <c r="D352" s="55" t="str">
        <f>_xlfn.XLOOKUP(A352,My_Audit!A:A,My_Audit!D:D,"")&amp;""</f>
        <v/>
      </c>
      <c r="E352" s="55" t="str" cm="1">
        <f t="array" ref="E352">IFERROR(_xlfn.LET(
_xlpm.CSVVal,_xlfn.XLOOKUP($A352,CSV!$A:$A,CSV!D:D,""),
_xlpm.MacVal,_xlfn.XLOOKUP($A352,Output_Mac!$A:$A,Output_Mac!C:C,""),
_xlpm.MyAuditVal,_xlfn.XLOOKUP($A352,My_Audit!$A:$A,My_Audit!D:D,""),
_xlfn.IFS(_xlpm.MyAuditVal&lt;&gt;"",_xlpm.MyAuditVal,_xlpm.MacVal&lt;&gt;"",_xlpm.MacVal,_xlpm.CSVVal&lt;&gt;"",_xlpm.CSVVal
)),"")</f>
        <v/>
      </c>
      <c r="F352" s="54" t="str" cm="1">
        <f t="array" ref="F352">IFERROR(_xlfn.LET(
_xlpm.CSVVal,_xlfn.XLOOKUP($A352,CSV!$A:$A,CSV!E:E,""),
_xlpm.MacVal,_xlfn.XLOOKUP($A352,Output_Mac!$A:$A,Output_Mac!F:F,""),
_xlpm.MyAuditVal,_xlfn.XLOOKUP($A352,My_Audit!$A:$A,My_Audit!E:E,""),
_xlfn.IFS(_xlpm.MyAuditVal&lt;&gt;"",_xlpm.MyAuditVal,_xlpm.MacVal&lt;&gt;"",_xlpm.MacVal,_xlpm.CSVVal&lt;&gt;"",PROPER(_xlpm.CSVVal)
)),"")</f>
        <v/>
      </c>
      <c r="G352" s="54" t="str" cm="1">
        <f t="array" ref="G352">IFERROR(_xlfn.LET(
_xlpm.CSVVal,_xlfn.XLOOKUP($A352,CSV!$A:$A,CSV!F:F,""),
_xlpm.MacVal,_xlfn.XLOOKUP($A352,Output_Mac!$A:$A,Output_Mac!H:H,""),
_xlpm.MyAuditVal,_xlfn.XLOOKUP($A352,My_Audit!$A:$A,My_Audit!F:F,""),
_xlfn.IFS(_xlpm.MyAuditVal&lt;&gt;"",_xlpm.MyAuditVal,_xlpm.MacVal&lt;&gt;"",_xlpm.MacVal,_xlpm.CSVVal&lt;&gt;"",_xlpm.CSVVal
)),"")</f>
        <v/>
      </c>
      <c r="H352" s="54" t="str">
        <f>_xlfn.XLOOKUP(A352,Output_Mac!A:A,Output_Mac!I:I,"")</f>
        <v/>
      </c>
      <c r="I352" s="54" t="str" cm="1">
        <f t="array" ref="I352">IFERROR(_xlfn.LET(
_xlpm.CSVVal,_xlfn.XLOOKUP($A352,CSV!$A:$A,CSV!G:G,""),
_xlpm.MacVal,_xlfn.XLOOKUP($A352,Output_Mac!$A:$A,Output_Mac!J:J,""),
_xlpm.MyAuditVal,_xlfn.XLOOKUP($A352,My_Audit!$A:$A,My_Audit!H:H,""),
_xlfn.IFS(_xlpm.MyAuditVal&lt;&gt;"",UPPER(_xlpm.MyAuditVal),_xlpm.MacVal&lt;&gt;"",_xlpm.MacVal,_xlpm.CSVVal&lt;&gt;"",_xlpm.CSVVal
)),"")</f>
        <v/>
      </c>
      <c r="J352" s="54" t="str" cm="1">
        <f t="array" ref="J352">IFERROR(_xlfn.LET(
_xlpm.CSVVal,_xlfn.XLOOKUP($A352,CSV!$A:$A,CSV!I:I,""),
_xlpm.MacVal,_xlfn.XLOOKUP($A352,Output_Mac!$A:$A,Output_Mac!K:K,""),
_xlpm.MyAuditVal,_xlfn.XLOOKUP($A352,My_Audit!$A:$A,My_Audit!I:I,""),
_xlfn.IFS(_xlpm.MyAuditVal&lt;&gt;"",UPPER(_xlpm.MyAuditVal),_xlpm.MacVal&lt;&gt;"",_xlpm.MacVal,_xlpm.CSVVal&lt;&gt;"",_xlpm.CSVVal
)),"")</f>
        <v/>
      </c>
      <c r="K352" s="54" t="str" cm="1">
        <f t="array" ref="K352">IFERROR(_xlfn.LET(
_xlpm.CSVVal,_xlfn.XLOOKUP($A352,CSV!$A:$A,CSV!M:M,""),
_xlpm.MacVal,_xlfn.XLOOKUP($A352,Output_Mac!$A:$A,Output_Mac!L:L,""),
_xlpm.MyAuditVal,_xlfn.XLOOKUP($A352,My_Audit!$A:$A,My_Audit!J:J,""),
_xlfn.IFS(_xlpm.MyAuditVal&lt;&gt;"",UPPER(_xlpm.MyAuditVal),_xlpm.MacVal&lt;&gt;"",_xlpm.MacVal,_xlpm.CSVVal&lt;&gt;"",_xlpm.CSVVal
)),"")</f>
        <v/>
      </c>
      <c r="L352" s="55" t="str" cm="1">
        <f t="array" ref="L352">IFERROR(_xlfn.LET(
_xlpm.CSVVal,_xlfn.XLOOKUP($A352,CSV!$A:$A,CSV!P:P,""),
_xlpm.MacVal,_xlfn.XLOOKUP($A352,Output_Mac!$A:$A,Output_Mac!M:M,""),
_xlpm.MyAuditVal,_xlfn.XLOOKUP($A352,My_Audit!$A:$A,My_Audit!K:K,""),
_xlfn.IFS(_xlpm.MyAuditVal&lt;&gt;"",UPPER(_xlpm.MyAuditVal),_xlpm.MacVal&lt;&gt;"",_xlpm.MacVal,_xlpm.CSVVal&lt;&gt;"",_xlpm.CSVVal
)),"")</f>
        <v/>
      </c>
      <c r="M352" s="54" t="str">
        <f>_xlfn.LET(
    _xlpm.CSVVal, _xlfn.XLOOKUP($A352, CSV!$A:$A, CSV!AD:AD, ""),
    _xlpm.MacVal, _xlfn.XLOOKUP($A352, Output_Mac!$A:$A, Output_Mac!S:S, ""),
    _xlpm.MyAuditVal, _xlfn.XLOOKUP($A352, My_Audit!$A:$A, My_Audit!N:N, ""),
    _xlfn.TEXTJOIN(", ", TRUE, _xlpm.MyAuditVal, _xlpm.MacVal, _xlpm.CSVVal)
)</f>
        <v/>
      </c>
      <c r="N352" s="54" t="str" cm="1">
        <f t="array" ref="N352">IFERROR(_xlfn.LET(
_xlpm.CSVVal,_xlfn.XLOOKUP($A352,CSV!$A:$A,CSV!AF:AF,""),
_xlpm.MacVal,_xlfn.XLOOKUP($A352,Output_Mac!$A:$A,Output_Mac!U:U,""),
_xlpm.MyAuditVal,_xlfn.XLOOKUP($A352,My_Audit!$A:$A,My_Audit!O:O,""),
_xlfn.IFS(_xlpm.MyAuditVal&lt;&gt;"",UPPER(_xlpm.MyAuditVal),_xlpm.MacVal&lt;&gt;"",_xlpm.MacVal,_xlpm.CSVVal&lt;&gt;"",_xlpm.CSVVal
)),"")</f>
        <v/>
      </c>
      <c r="O352" s="54"/>
      <c r="P352" s="54"/>
      <c r="Q352" s="54"/>
      <c r="R352" s="54"/>
      <c r="S352" s="54"/>
      <c r="T352" s="54"/>
      <c r="U352" s="39"/>
    </row>
    <row r="353" spans="1:21">
      <c r="A353" s="54" t="str">
        <f>_xlfn.TEXTJOIN("",TRUE,Input!$B$2,ROW(My_Audit!A352))</f>
        <v>XX352</v>
      </c>
      <c r="B353" s="54" t="str">
        <f>_xlfn.TEXTJOIN("-",TRUE,"ITD",Input!$A$2,A353)</f>
        <v>ITD-SHRXXX-XX352</v>
      </c>
      <c r="C353" s="54" t="str" cm="1">
        <f t="array" ref="C353">IFERROR(_xlfn.LET(
_xlpm.CSVVal,_xlfn.XLOOKUP($A353,CSV!$A:$A,CSV!B:B,""),
_xlpm.MacVal,_xlfn.XLOOKUP($A353,Output_Mac!$A:$A,Output_Mac!B:B,""),
_xlpm.MyAuditVal,_xlfn.XLOOKUP($A353,My_Audit!$A:$A,My_Audit!B:B,""),
_xlfn.IFS(_xlpm.MyAuditVal&lt;&gt;"",UPPER(_xlpm.MyAuditVal),_xlpm.MacVal&lt;&gt;"",_xlpm.MacVal,_xlpm.CSVVal&lt;&gt;"",_xlpm.CSVVal
)),"")</f>
        <v/>
      </c>
      <c r="D353" s="55" t="str">
        <f>_xlfn.XLOOKUP(A353,My_Audit!A:A,My_Audit!D:D,"")&amp;""</f>
        <v/>
      </c>
      <c r="E353" s="55" t="str" cm="1">
        <f t="array" ref="E353">IFERROR(_xlfn.LET(
_xlpm.CSVVal,_xlfn.XLOOKUP($A353,CSV!$A:$A,CSV!D:D,""),
_xlpm.MacVal,_xlfn.XLOOKUP($A353,Output_Mac!$A:$A,Output_Mac!C:C,""),
_xlpm.MyAuditVal,_xlfn.XLOOKUP($A353,My_Audit!$A:$A,My_Audit!D:D,""),
_xlfn.IFS(_xlpm.MyAuditVal&lt;&gt;"",_xlpm.MyAuditVal,_xlpm.MacVal&lt;&gt;"",_xlpm.MacVal,_xlpm.CSVVal&lt;&gt;"",_xlpm.CSVVal
)),"")</f>
        <v/>
      </c>
      <c r="F353" s="54" t="str" cm="1">
        <f t="array" ref="F353">IFERROR(_xlfn.LET(
_xlpm.CSVVal,_xlfn.XLOOKUP($A353,CSV!$A:$A,CSV!E:E,""),
_xlpm.MacVal,_xlfn.XLOOKUP($A353,Output_Mac!$A:$A,Output_Mac!F:F,""),
_xlpm.MyAuditVal,_xlfn.XLOOKUP($A353,My_Audit!$A:$A,My_Audit!E:E,""),
_xlfn.IFS(_xlpm.MyAuditVal&lt;&gt;"",_xlpm.MyAuditVal,_xlpm.MacVal&lt;&gt;"",_xlpm.MacVal,_xlpm.CSVVal&lt;&gt;"",PROPER(_xlpm.CSVVal)
)),"")</f>
        <v/>
      </c>
      <c r="G353" s="54" t="str" cm="1">
        <f t="array" ref="G353">IFERROR(_xlfn.LET(
_xlpm.CSVVal,_xlfn.XLOOKUP($A353,CSV!$A:$A,CSV!F:F,""),
_xlpm.MacVal,_xlfn.XLOOKUP($A353,Output_Mac!$A:$A,Output_Mac!H:H,""),
_xlpm.MyAuditVal,_xlfn.XLOOKUP($A353,My_Audit!$A:$A,My_Audit!F:F,""),
_xlfn.IFS(_xlpm.MyAuditVal&lt;&gt;"",_xlpm.MyAuditVal,_xlpm.MacVal&lt;&gt;"",_xlpm.MacVal,_xlpm.CSVVal&lt;&gt;"",_xlpm.CSVVal
)),"")</f>
        <v/>
      </c>
      <c r="H353" s="54" t="str">
        <f>_xlfn.XLOOKUP(A353,Output_Mac!A:A,Output_Mac!I:I,"")</f>
        <v/>
      </c>
      <c r="I353" s="54" t="str" cm="1">
        <f t="array" ref="I353">IFERROR(_xlfn.LET(
_xlpm.CSVVal,_xlfn.XLOOKUP($A353,CSV!$A:$A,CSV!G:G,""),
_xlpm.MacVal,_xlfn.XLOOKUP($A353,Output_Mac!$A:$A,Output_Mac!J:J,""),
_xlpm.MyAuditVal,_xlfn.XLOOKUP($A353,My_Audit!$A:$A,My_Audit!H:H,""),
_xlfn.IFS(_xlpm.MyAuditVal&lt;&gt;"",UPPER(_xlpm.MyAuditVal),_xlpm.MacVal&lt;&gt;"",_xlpm.MacVal,_xlpm.CSVVal&lt;&gt;"",_xlpm.CSVVal
)),"")</f>
        <v/>
      </c>
      <c r="J353" s="54" t="str" cm="1">
        <f t="array" ref="J353">IFERROR(_xlfn.LET(
_xlpm.CSVVal,_xlfn.XLOOKUP($A353,CSV!$A:$A,CSV!I:I,""),
_xlpm.MacVal,_xlfn.XLOOKUP($A353,Output_Mac!$A:$A,Output_Mac!K:K,""),
_xlpm.MyAuditVal,_xlfn.XLOOKUP($A353,My_Audit!$A:$A,My_Audit!I:I,""),
_xlfn.IFS(_xlpm.MyAuditVal&lt;&gt;"",UPPER(_xlpm.MyAuditVal),_xlpm.MacVal&lt;&gt;"",_xlpm.MacVal,_xlpm.CSVVal&lt;&gt;"",_xlpm.CSVVal
)),"")</f>
        <v/>
      </c>
      <c r="K353" s="54" t="str" cm="1">
        <f t="array" ref="K353">IFERROR(_xlfn.LET(
_xlpm.CSVVal,_xlfn.XLOOKUP($A353,CSV!$A:$A,CSV!M:M,""),
_xlpm.MacVal,_xlfn.XLOOKUP($A353,Output_Mac!$A:$A,Output_Mac!L:L,""),
_xlpm.MyAuditVal,_xlfn.XLOOKUP($A353,My_Audit!$A:$A,My_Audit!J:J,""),
_xlfn.IFS(_xlpm.MyAuditVal&lt;&gt;"",UPPER(_xlpm.MyAuditVal),_xlpm.MacVal&lt;&gt;"",_xlpm.MacVal,_xlpm.CSVVal&lt;&gt;"",_xlpm.CSVVal
)),"")</f>
        <v/>
      </c>
      <c r="L353" s="55" t="str" cm="1">
        <f t="array" ref="L353">IFERROR(_xlfn.LET(
_xlpm.CSVVal,_xlfn.XLOOKUP($A353,CSV!$A:$A,CSV!P:P,""),
_xlpm.MacVal,_xlfn.XLOOKUP($A353,Output_Mac!$A:$A,Output_Mac!M:M,""),
_xlpm.MyAuditVal,_xlfn.XLOOKUP($A353,My_Audit!$A:$A,My_Audit!K:K,""),
_xlfn.IFS(_xlpm.MyAuditVal&lt;&gt;"",UPPER(_xlpm.MyAuditVal),_xlpm.MacVal&lt;&gt;"",_xlpm.MacVal,_xlpm.CSVVal&lt;&gt;"",_xlpm.CSVVal
)),"")</f>
        <v/>
      </c>
      <c r="M353" s="54" t="str">
        <f>_xlfn.LET(
    _xlpm.CSVVal, _xlfn.XLOOKUP($A353, CSV!$A:$A, CSV!AD:AD, ""),
    _xlpm.MacVal, _xlfn.XLOOKUP($A353, Output_Mac!$A:$A, Output_Mac!S:S, ""),
    _xlpm.MyAuditVal, _xlfn.XLOOKUP($A353, My_Audit!$A:$A, My_Audit!N:N, ""),
    _xlfn.TEXTJOIN(", ", TRUE, _xlpm.MyAuditVal, _xlpm.MacVal, _xlpm.CSVVal)
)</f>
        <v/>
      </c>
      <c r="N353" s="54" t="str" cm="1">
        <f t="array" ref="N353">IFERROR(_xlfn.LET(
_xlpm.CSVVal,_xlfn.XLOOKUP($A353,CSV!$A:$A,CSV!AF:AF,""),
_xlpm.MacVal,_xlfn.XLOOKUP($A353,Output_Mac!$A:$A,Output_Mac!U:U,""),
_xlpm.MyAuditVal,_xlfn.XLOOKUP($A353,My_Audit!$A:$A,My_Audit!O:O,""),
_xlfn.IFS(_xlpm.MyAuditVal&lt;&gt;"",UPPER(_xlpm.MyAuditVal),_xlpm.MacVal&lt;&gt;"",_xlpm.MacVal,_xlpm.CSVVal&lt;&gt;"",_xlpm.CSVVal
)),"")</f>
        <v/>
      </c>
      <c r="O353" s="54"/>
      <c r="P353" s="54"/>
      <c r="Q353" s="54"/>
      <c r="R353" s="54"/>
      <c r="S353" s="54"/>
      <c r="T353" s="54"/>
      <c r="U353" s="39"/>
    </row>
    <row r="354" spans="1:21">
      <c r="A354" s="54" t="str">
        <f>_xlfn.TEXTJOIN("",TRUE,Input!$B$2,ROW(My_Audit!A353))</f>
        <v>XX353</v>
      </c>
      <c r="B354" s="54" t="str">
        <f>_xlfn.TEXTJOIN("-",TRUE,"ITD",Input!$A$2,A354)</f>
        <v>ITD-SHRXXX-XX353</v>
      </c>
      <c r="C354" s="54" t="str" cm="1">
        <f t="array" ref="C354">IFERROR(_xlfn.LET(
_xlpm.CSVVal,_xlfn.XLOOKUP($A354,CSV!$A:$A,CSV!B:B,""),
_xlpm.MacVal,_xlfn.XLOOKUP($A354,Output_Mac!$A:$A,Output_Mac!B:B,""),
_xlpm.MyAuditVal,_xlfn.XLOOKUP($A354,My_Audit!$A:$A,My_Audit!B:B,""),
_xlfn.IFS(_xlpm.MyAuditVal&lt;&gt;"",UPPER(_xlpm.MyAuditVal),_xlpm.MacVal&lt;&gt;"",_xlpm.MacVal,_xlpm.CSVVal&lt;&gt;"",_xlpm.CSVVal
)),"")</f>
        <v/>
      </c>
      <c r="D354" s="55" t="str">
        <f>_xlfn.XLOOKUP(A354,My_Audit!A:A,My_Audit!D:D,"")&amp;""</f>
        <v/>
      </c>
      <c r="E354" s="55" t="str" cm="1">
        <f t="array" ref="E354">IFERROR(_xlfn.LET(
_xlpm.CSVVal,_xlfn.XLOOKUP($A354,CSV!$A:$A,CSV!D:D,""),
_xlpm.MacVal,_xlfn.XLOOKUP($A354,Output_Mac!$A:$A,Output_Mac!C:C,""),
_xlpm.MyAuditVal,_xlfn.XLOOKUP($A354,My_Audit!$A:$A,My_Audit!D:D,""),
_xlfn.IFS(_xlpm.MyAuditVal&lt;&gt;"",_xlpm.MyAuditVal,_xlpm.MacVal&lt;&gt;"",_xlpm.MacVal,_xlpm.CSVVal&lt;&gt;"",_xlpm.CSVVal
)),"")</f>
        <v/>
      </c>
      <c r="F354" s="54" t="str" cm="1">
        <f t="array" ref="F354">IFERROR(_xlfn.LET(
_xlpm.CSVVal,_xlfn.XLOOKUP($A354,CSV!$A:$A,CSV!E:E,""),
_xlpm.MacVal,_xlfn.XLOOKUP($A354,Output_Mac!$A:$A,Output_Mac!F:F,""),
_xlpm.MyAuditVal,_xlfn.XLOOKUP($A354,My_Audit!$A:$A,My_Audit!E:E,""),
_xlfn.IFS(_xlpm.MyAuditVal&lt;&gt;"",_xlpm.MyAuditVal,_xlpm.MacVal&lt;&gt;"",_xlpm.MacVal,_xlpm.CSVVal&lt;&gt;"",PROPER(_xlpm.CSVVal)
)),"")</f>
        <v/>
      </c>
      <c r="G354" s="54" t="str" cm="1">
        <f t="array" ref="G354">IFERROR(_xlfn.LET(
_xlpm.CSVVal,_xlfn.XLOOKUP($A354,CSV!$A:$A,CSV!F:F,""),
_xlpm.MacVal,_xlfn.XLOOKUP($A354,Output_Mac!$A:$A,Output_Mac!H:H,""),
_xlpm.MyAuditVal,_xlfn.XLOOKUP($A354,My_Audit!$A:$A,My_Audit!F:F,""),
_xlfn.IFS(_xlpm.MyAuditVal&lt;&gt;"",_xlpm.MyAuditVal,_xlpm.MacVal&lt;&gt;"",_xlpm.MacVal,_xlpm.CSVVal&lt;&gt;"",_xlpm.CSVVal
)),"")</f>
        <v/>
      </c>
      <c r="H354" s="54" t="str">
        <f>_xlfn.XLOOKUP(A354,Output_Mac!A:A,Output_Mac!I:I,"")</f>
        <v/>
      </c>
      <c r="I354" s="54" t="str" cm="1">
        <f t="array" ref="I354">IFERROR(_xlfn.LET(
_xlpm.CSVVal,_xlfn.XLOOKUP($A354,CSV!$A:$A,CSV!G:G,""),
_xlpm.MacVal,_xlfn.XLOOKUP($A354,Output_Mac!$A:$A,Output_Mac!J:J,""),
_xlpm.MyAuditVal,_xlfn.XLOOKUP($A354,My_Audit!$A:$A,My_Audit!H:H,""),
_xlfn.IFS(_xlpm.MyAuditVal&lt;&gt;"",UPPER(_xlpm.MyAuditVal),_xlpm.MacVal&lt;&gt;"",_xlpm.MacVal,_xlpm.CSVVal&lt;&gt;"",_xlpm.CSVVal
)),"")</f>
        <v/>
      </c>
      <c r="J354" s="54" t="str" cm="1">
        <f t="array" ref="J354">IFERROR(_xlfn.LET(
_xlpm.CSVVal,_xlfn.XLOOKUP($A354,CSV!$A:$A,CSV!I:I,""),
_xlpm.MacVal,_xlfn.XLOOKUP($A354,Output_Mac!$A:$A,Output_Mac!K:K,""),
_xlpm.MyAuditVal,_xlfn.XLOOKUP($A354,My_Audit!$A:$A,My_Audit!I:I,""),
_xlfn.IFS(_xlpm.MyAuditVal&lt;&gt;"",UPPER(_xlpm.MyAuditVal),_xlpm.MacVal&lt;&gt;"",_xlpm.MacVal,_xlpm.CSVVal&lt;&gt;"",_xlpm.CSVVal
)),"")</f>
        <v/>
      </c>
      <c r="K354" s="54" t="str" cm="1">
        <f t="array" ref="K354">IFERROR(_xlfn.LET(
_xlpm.CSVVal,_xlfn.XLOOKUP($A354,CSV!$A:$A,CSV!M:M,""),
_xlpm.MacVal,_xlfn.XLOOKUP($A354,Output_Mac!$A:$A,Output_Mac!L:L,""),
_xlpm.MyAuditVal,_xlfn.XLOOKUP($A354,My_Audit!$A:$A,My_Audit!J:J,""),
_xlfn.IFS(_xlpm.MyAuditVal&lt;&gt;"",UPPER(_xlpm.MyAuditVal),_xlpm.MacVal&lt;&gt;"",_xlpm.MacVal,_xlpm.CSVVal&lt;&gt;"",_xlpm.CSVVal
)),"")</f>
        <v/>
      </c>
      <c r="L354" s="55" t="str" cm="1">
        <f t="array" ref="L354">IFERROR(_xlfn.LET(
_xlpm.CSVVal,_xlfn.XLOOKUP($A354,CSV!$A:$A,CSV!P:P,""),
_xlpm.MacVal,_xlfn.XLOOKUP($A354,Output_Mac!$A:$A,Output_Mac!M:M,""),
_xlpm.MyAuditVal,_xlfn.XLOOKUP($A354,My_Audit!$A:$A,My_Audit!K:K,""),
_xlfn.IFS(_xlpm.MyAuditVal&lt;&gt;"",UPPER(_xlpm.MyAuditVal),_xlpm.MacVal&lt;&gt;"",_xlpm.MacVal,_xlpm.CSVVal&lt;&gt;"",_xlpm.CSVVal
)),"")</f>
        <v/>
      </c>
      <c r="M354" s="54" t="str">
        <f>_xlfn.LET(
    _xlpm.CSVVal, _xlfn.XLOOKUP($A354, CSV!$A:$A, CSV!AD:AD, ""),
    _xlpm.MacVal, _xlfn.XLOOKUP($A354, Output_Mac!$A:$A, Output_Mac!S:S, ""),
    _xlpm.MyAuditVal, _xlfn.XLOOKUP($A354, My_Audit!$A:$A, My_Audit!N:N, ""),
    _xlfn.TEXTJOIN(", ", TRUE, _xlpm.MyAuditVal, _xlpm.MacVal, _xlpm.CSVVal)
)</f>
        <v/>
      </c>
      <c r="N354" s="54" t="str" cm="1">
        <f t="array" ref="N354">IFERROR(_xlfn.LET(
_xlpm.CSVVal,_xlfn.XLOOKUP($A354,CSV!$A:$A,CSV!AF:AF,""),
_xlpm.MacVal,_xlfn.XLOOKUP($A354,Output_Mac!$A:$A,Output_Mac!U:U,""),
_xlpm.MyAuditVal,_xlfn.XLOOKUP($A354,My_Audit!$A:$A,My_Audit!O:O,""),
_xlfn.IFS(_xlpm.MyAuditVal&lt;&gt;"",UPPER(_xlpm.MyAuditVal),_xlpm.MacVal&lt;&gt;"",_xlpm.MacVal,_xlpm.CSVVal&lt;&gt;"",_xlpm.CSVVal
)),"")</f>
        <v/>
      </c>
      <c r="O354" s="54"/>
      <c r="P354" s="54"/>
      <c r="Q354" s="54"/>
      <c r="R354" s="54"/>
      <c r="S354" s="54"/>
      <c r="T354" s="54"/>
      <c r="U354" s="39"/>
    </row>
    <row r="355" spans="1:21">
      <c r="A355" s="54" t="str">
        <f>_xlfn.TEXTJOIN("",TRUE,Input!$B$2,ROW(My_Audit!A354))</f>
        <v>XX354</v>
      </c>
      <c r="B355" s="54" t="str">
        <f>_xlfn.TEXTJOIN("-",TRUE,"ITD",Input!$A$2,A355)</f>
        <v>ITD-SHRXXX-XX354</v>
      </c>
      <c r="C355" s="54" t="str" cm="1">
        <f t="array" ref="C355">IFERROR(_xlfn.LET(
_xlpm.CSVVal,_xlfn.XLOOKUP($A355,CSV!$A:$A,CSV!B:B,""),
_xlpm.MacVal,_xlfn.XLOOKUP($A355,Output_Mac!$A:$A,Output_Mac!B:B,""),
_xlpm.MyAuditVal,_xlfn.XLOOKUP($A355,My_Audit!$A:$A,My_Audit!B:B,""),
_xlfn.IFS(_xlpm.MyAuditVal&lt;&gt;"",UPPER(_xlpm.MyAuditVal),_xlpm.MacVal&lt;&gt;"",_xlpm.MacVal,_xlpm.CSVVal&lt;&gt;"",_xlpm.CSVVal
)),"")</f>
        <v/>
      </c>
      <c r="D355" s="55" t="str">
        <f>_xlfn.XLOOKUP(A355,My_Audit!A:A,My_Audit!D:D,"")&amp;""</f>
        <v/>
      </c>
      <c r="E355" s="55" t="str" cm="1">
        <f t="array" ref="E355">IFERROR(_xlfn.LET(
_xlpm.CSVVal,_xlfn.XLOOKUP($A355,CSV!$A:$A,CSV!D:D,""),
_xlpm.MacVal,_xlfn.XLOOKUP($A355,Output_Mac!$A:$A,Output_Mac!C:C,""),
_xlpm.MyAuditVal,_xlfn.XLOOKUP($A355,My_Audit!$A:$A,My_Audit!D:D,""),
_xlfn.IFS(_xlpm.MyAuditVal&lt;&gt;"",_xlpm.MyAuditVal,_xlpm.MacVal&lt;&gt;"",_xlpm.MacVal,_xlpm.CSVVal&lt;&gt;"",_xlpm.CSVVal
)),"")</f>
        <v/>
      </c>
      <c r="F355" s="54" t="str" cm="1">
        <f t="array" ref="F355">IFERROR(_xlfn.LET(
_xlpm.CSVVal,_xlfn.XLOOKUP($A355,CSV!$A:$A,CSV!E:E,""),
_xlpm.MacVal,_xlfn.XLOOKUP($A355,Output_Mac!$A:$A,Output_Mac!F:F,""),
_xlpm.MyAuditVal,_xlfn.XLOOKUP($A355,My_Audit!$A:$A,My_Audit!E:E,""),
_xlfn.IFS(_xlpm.MyAuditVal&lt;&gt;"",_xlpm.MyAuditVal,_xlpm.MacVal&lt;&gt;"",_xlpm.MacVal,_xlpm.CSVVal&lt;&gt;"",PROPER(_xlpm.CSVVal)
)),"")</f>
        <v/>
      </c>
      <c r="G355" s="54" t="str" cm="1">
        <f t="array" ref="G355">IFERROR(_xlfn.LET(
_xlpm.CSVVal,_xlfn.XLOOKUP($A355,CSV!$A:$A,CSV!F:F,""),
_xlpm.MacVal,_xlfn.XLOOKUP($A355,Output_Mac!$A:$A,Output_Mac!H:H,""),
_xlpm.MyAuditVal,_xlfn.XLOOKUP($A355,My_Audit!$A:$A,My_Audit!F:F,""),
_xlfn.IFS(_xlpm.MyAuditVal&lt;&gt;"",_xlpm.MyAuditVal,_xlpm.MacVal&lt;&gt;"",_xlpm.MacVal,_xlpm.CSVVal&lt;&gt;"",_xlpm.CSVVal
)),"")</f>
        <v/>
      </c>
      <c r="H355" s="54" t="str">
        <f>_xlfn.XLOOKUP(A355,Output_Mac!A:A,Output_Mac!I:I,"")</f>
        <v/>
      </c>
      <c r="I355" s="54" t="str" cm="1">
        <f t="array" ref="I355">IFERROR(_xlfn.LET(
_xlpm.CSVVal,_xlfn.XLOOKUP($A355,CSV!$A:$A,CSV!G:G,""),
_xlpm.MacVal,_xlfn.XLOOKUP($A355,Output_Mac!$A:$A,Output_Mac!J:J,""),
_xlpm.MyAuditVal,_xlfn.XLOOKUP($A355,My_Audit!$A:$A,My_Audit!H:H,""),
_xlfn.IFS(_xlpm.MyAuditVal&lt;&gt;"",UPPER(_xlpm.MyAuditVal),_xlpm.MacVal&lt;&gt;"",_xlpm.MacVal,_xlpm.CSVVal&lt;&gt;"",_xlpm.CSVVal
)),"")</f>
        <v/>
      </c>
      <c r="J355" s="54" t="str" cm="1">
        <f t="array" ref="J355">IFERROR(_xlfn.LET(
_xlpm.CSVVal,_xlfn.XLOOKUP($A355,CSV!$A:$A,CSV!I:I,""),
_xlpm.MacVal,_xlfn.XLOOKUP($A355,Output_Mac!$A:$A,Output_Mac!K:K,""),
_xlpm.MyAuditVal,_xlfn.XLOOKUP($A355,My_Audit!$A:$A,My_Audit!I:I,""),
_xlfn.IFS(_xlpm.MyAuditVal&lt;&gt;"",UPPER(_xlpm.MyAuditVal),_xlpm.MacVal&lt;&gt;"",_xlpm.MacVal,_xlpm.CSVVal&lt;&gt;"",_xlpm.CSVVal
)),"")</f>
        <v/>
      </c>
      <c r="K355" s="54" t="str" cm="1">
        <f t="array" ref="K355">IFERROR(_xlfn.LET(
_xlpm.CSVVal,_xlfn.XLOOKUP($A355,CSV!$A:$A,CSV!M:M,""),
_xlpm.MacVal,_xlfn.XLOOKUP($A355,Output_Mac!$A:$A,Output_Mac!L:L,""),
_xlpm.MyAuditVal,_xlfn.XLOOKUP($A355,My_Audit!$A:$A,My_Audit!J:J,""),
_xlfn.IFS(_xlpm.MyAuditVal&lt;&gt;"",UPPER(_xlpm.MyAuditVal),_xlpm.MacVal&lt;&gt;"",_xlpm.MacVal,_xlpm.CSVVal&lt;&gt;"",_xlpm.CSVVal
)),"")</f>
        <v/>
      </c>
      <c r="L355" s="55" t="str" cm="1">
        <f t="array" ref="L355">IFERROR(_xlfn.LET(
_xlpm.CSVVal,_xlfn.XLOOKUP($A355,CSV!$A:$A,CSV!P:P,""),
_xlpm.MacVal,_xlfn.XLOOKUP($A355,Output_Mac!$A:$A,Output_Mac!M:M,""),
_xlpm.MyAuditVal,_xlfn.XLOOKUP($A355,My_Audit!$A:$A,My_Audit!K:K,""),
_xlfn.IFS(_xlpm.MyAuditVal&lt;&gt;"",UPPER(_xlpm.MyAuditVal),_xlpm.MacVal&lt;&gt;"",_xlpm.MacVal,_xlpm.CSVVal&lt;&gt;"",_xlpm.CSVVal
)),"")</f>
        <v/>
      </c>
      <c r="M355" s="54" t="str">
        <f>_xlfn.LET(
    _xlpm.CSVVal, _xlfn.XLOOKUP($A355, CSV!$A:$A, CSV!AD:AD, ""),
    _xlpm.MacVal, _xlfn.XLOOKUP($A355, Output_Mac!$A:$A, Output_Mac!S:S, ""),
    _xlpm.MyAuditVal, _xlfn.XLOOKUP($A355, My_Audit!$A:$A, My_Audit!N:N, ""),
    _xlfn.TEXTJOIN(", ", TRUE, _xlpm.MyAuditVal, _xlpm.MacVal, _xlpm.CSVVal)
)</f>
        <v/>
      </c>
      <c r="N355" s="54" t="str" cm="1">
        <f t="array" ref="N355">IFERROR(_xlfn.LET(
_xlpm.CSVVal,_xlfn.XLOOKUP($A355,CSV!$A:$A,CSV!AF:AF,""),
_xlpm.MacVal,_xlfn.XLOOKUP($A355,Output_Mac!$A:$A,Output_Mac!U:U,""),
_xlpm.MyAuditVal,_xlfn.XLOOKUP($A355,My_Audit!$A:$A,My_Audit!O:O,""),
_xlfn.IFS(_xlpm.MyAuditVal&lt;&gt;"",UPPER(_xlpm.MyAuditVal),_xlpm.MacVal&lt;&gt;"",_xlpm.MacVal,_xlpm.CSVVal&lt;&gt;"",_xlpm.CSVVal
)),"")</f>
        <v/>
      </c>
      <c r="O355" s="54"/>
      <c r="P355" s="54"/>
      <c r="Q355" s="54"/>
      <c r="R355" s="54"/>
      <c r="S355" s="54"/>
      <c r="T355" s="54"/>
      <c r="U355" s="39"/>
    </row>
    <row r="356" spans="1:21">
      <c r="A356" s="54" t="str">
        <f>_xlfn.TEXTJOIN("",TRUE,Input!$B$2,ROW(My_Audit!A355))</f>
        <v>XX355</v>
      </c>
      <c r="B356" s="54" t="str">
        <f>_xlfn.TEXTJOIN("-",TRUE,"ITD",Input!$A$2,A356)</f>
        <v>ITD-SHRXXX-XX355</v>
      </c>
      <c r="C356" s="54" t="str" cm="1">
        <f t="array" ref="C356">IFERROR(_xlfn.LET(
_xlpm.CSVVal,_xlfn.XLOOKUP($A356,CSV!$A:$A,CSV!B:B,""),
_xlpm.MacVal,_xlfn.XLOOKUP($A356,Output_Mac!$A:$A,Output_Mac!B:B,""),
_xlpm.MyAuditVal,_xlfn.XLOOKUP($A356,My_Audit!$A:$A,My_Audit!B:B,""),
_xlfn.IFS(_xlpm.MyAuditVal&lt;&gt;"",UPPER(_xlpm.MyAuditVal),_xlpm.MacVal&lt;&gt;"",_xlpm.MacVal,_xlpm.CSVVal&lt;&gt;"",_xlpm.CSVVal
)),"")</f>
        <v/>
      </c>
      <c r="D356" s="55" t="str">
        <f>_xlfn.XLOOKUP(A356,My_Audit!A:A,My_Audit!D:D,"")&amp;""</f>
        <v/>
      </c>
      <c r="E356" s="55" t="str" cm="1">
        <f t="array" ref="E356">IFERROR(_xlfn.LET(
_xlpm.CSVVal,_xlfn.XLOOKUP($A356,CSV!$A:$A,CSV!D:D,""),
_xlpm.MacVal,_xlfn.XLOOKUP($A356,Output_Mac!$A:$A,Output_Mac!C:C,""),
_xlpm.MyAuditVal,_xlfn.XLOOKUP($A356,My_Audit!$A:$A,My_Audit!D:D,""),
_xlfn.IFS(_xlpm.MyAuditVal&lt;&gt;"",_xlpm.MyAuditVal,_xlpm.MacVal&lt;&gt;"",_xlpm.MacVal,_xlpm.CSVVal&lt;&gt;"",_xlpm.CSVVal
)),"")</f>
        <v/>
      </c>
      <c r="F356" s="54" t="str" cm="1">
        <f t="array" ref="F356">IFERROR(_xlfn.LET(
_xlpm.CSVVal,_xlfn.XLOOKUP($A356,CSV!$A:$A,CSV!E:E,""),
_xlpm.MacVal,_xlfn.XLOOKUP($A356,Output_Mac!$A:$A,Output_Mac!F:F,""),
_xlpm.MyAuditVal,_xlfn.XLOOKUP($A356,My_Audit!$A:$A,My_Audit!E:E,""),
_xlfn.IFS(_xlpm.MyAuditVal&lt;&gt;"",_xlpm.MyAuditVal,_xlpm.MacVal&lt;&gt;"",_xlpm.MacVal,_xlpm.CSVVal&lt;&gt;"",PROPER(_xlpm.CSVVal)
)),"")</f>
        <v/>
      </c>
      <c r="G356" s="54" t="str" cm="1">
        <f t="array" ref="G356">IFERROR(_xlfn.LET(
_xlpm.CSVVal,_xlfn.XLOOKUP($A356,CSV!$A:$A,CSV!F:F,""),
_xlpm.MacVal,_xlfn.XLOOKUP($A356,Output_Mac!$A:$A,Output_Mac!H:H,""),
_xlpm.MyAuditVal,_xlfn.XLOOKUP($A356,My_Audit!$A:$A,My_Audit!F:F,""),
_xlfn.IFS(_xlpm.MyAuditVal&lt;&gt;"",_xlpm.MyAuditVal,_xlpm.MacVal&lt;&gt;"",_xlpm.MacVal,_xlpm.CSVVal&lt;&gt;"",_xlpm.CSVVal
)),"")</f>
        <v/>
      </c>
      <c r="H356" s="54" t="str">
        <f>_xlfn.XLOOKUP(A356,Output_Mac!A:A,Output_Mac!I:I,"")</f>
        <v/>
      </c>
      <c r="I356" s="54" t="str" cm="1">
        <f t="array" ref="I356">IFERROR(_xlfn.LET(
_xlpm.CSVVal,_xlfn.XLOOKUP($A356,CSV!$A:$A,CSV!G:G,""),
_xlpm.MacVal,_xlfn.XLOOKUP($A356,Output_Mac!$A:$A,Output_Mac!J:J,""),
_xlpm.MyAuditVal,_xlfn.XLOOKUP($A356,My_Audit!$A:$A,My_Audit!H:H,""),
_xlfn.IFS(_xlpm.MyAuditVal&lt;&gt;"",UPPER(_xlpm.MyAuditVal),_xlpm.MacVal&lt;&gt;"",_xlpm.MacVal,_xlpm.CSVVal&lt;&gt;"",_xlpm.CSVVal
)),"")</f>
        <v/>
      </c>
      <c r="J356" s="54" t="str" cm="1">
        <f t="array" ref="J356">IFERROR(_xlfn.LET(
_xlpm.CSVVal,_xlfn.XLOOKUP($A356,CSV!$A:$A,CSV!I:I,""),
_xlpm.MacVal,_xlfn.XLOOKUP($A356,Output_Mac!$A:$A,Output_Mac!K:K,""),
_xlpm.MyAuditVal,_xlfn.XLOOKUP($A356,My_Audit!$A:$A,My_Audit!I:I,""),
_xlfn.IFS(_xlpm.MyAuditVal&lt;&gt;"",UPPER(_xlpm.MyAuditVal),_xlpm.MacVal&lt;&gt;"",_xlpm.MacVal,_xlpm.CSVVal&lt;&gt;"",_xlpm.CSVVal
)),"")</f>
        <v/>
      </c>
      <c r="K356" s="54" t="str" cm="1">
        <f t="array" ref="K356">IFERROR(_xlfn.LET(
_xlpm.CSVVal,_xlfn.XLOOKUP($A356,CSV!$A:$A,CSV!M:M,""),
_xlpm.MacVal,_xlfn.XLOOKUP($A356,Output_Mac!$A:$A,Output_Mac!L:L,""),
_xlpm.MyAuditVal,_xlfn.XLOOKUP($A356,My_Audit!$A:$A,My_Audit!J:J,""),
_xlfn.IFS(_xlpm.MyAuditVal&lt;&gt;"",UPPER(_xlpm.MyAuditVal),_xlpm.MacVal&lt;&gt;"",_xlpm.MacVal,_xlpm.CSVVal&lt;&gt;"",_xlpm.CSVVal
)),"")</f>
        <v/>
      </c>
      <c r="L356" s="55" t="str" cm="1">
        <f t="array" ref="L356">IFERROR(_xlfn.LET(
_xlpm.CSVVal,_xlfn.XLOOKUP($A356,CSV!$A:$A,CSV!P:P,""),
_xlpm.MacVal,_xlfn.XLOOKUP($A356,Output_Mac!$A:$A,Output_Mac!M:M,""),
_xlpm.MyAuditVal,_xlfn.XLOOKUP($A356,My_Audit!$A:$A,My_Audit!K:K,""),
_xlfn.IFS(_xlpm.MyAuditVal&lt;&gt;"",UPPER(_xlpm.MyAuditVal),_xlpm.MacVal&lt;&gt;"",_xlpm.MacVal,_xlpm.CSVVal&lt;&gt;"",_xlpm.CSVVal
)),"")</f>
        <v/>
      </c>
      <c r="M356" s="54" t="str">
        <f>_xlfn.LET(
    _xlpm.CSVVal, _xlfn.XLOOKUP($A356, CSV!$A:$A, CSV!AD:AD, ""),
    _xlpm.MacVal, _xlfn.XLOOKUP($A356, Output_Mac!$A:$A, Output_Mac!S:S, ""),
    _xlpm.MyAuditVal, _xlfn.XLOOKUP($A356, My_Audit!$A:$A, My_Audit!N:N, ""),
    _xlfn.TEXTJOIN(", ", TRUE, _xlpm.MyAuditVal, _xlpm.MacVal, _xlpm.CSVVal)
)</f>
        <v/>
      </c>
      <c r="N356" s="54" t="str" cm="1">
        <f t="array" ref="N356">IFERROR(_xlfn.LET(
_xlpm.CSVVal,_xlfn.XLOOKUP($A356,CSV!$A:$A,CSV!AF:AF,""),
_xlpm.MacVal,_xlfn.XLOOKUP($A356,Output_Mac!$A:$A,Output_Mac!U:U,""),
_xlpm.MyAuditVal,_xlfn.XLOOKUP($A356,My_Audit!$A:$A,My_Audit!O:O,""),
_xlfn.IFS(_xlpm.MyAuditVal&lt;&gt;"",UPPER(_xlpm.MyAuditVal),_xlpm.MacVal&lt;&gt;"",_xlpm.MacVal,_xlpm.CSVVal&lt;&gt;"",_xlpm.CSVVal
)),"")</f>
        <v/>
      </c>
      <c r="O356" s="54"/>
      <c r="P356" s="54"/>
      <c r="Q356" s="54"/>
      <c r="R356" s="54"/>
      <c r="S356" s="54"/>
      <c r="T356" s="54"/>
      <c r="U356" s="39"/>
    </row>
    <row r="357" spans="1:21">
      <c r="A357" s="54" t="str">
        <f>_xlfn.TEXTJOIN("",TRUE,Input!$B$2,ROW(My_Audit!A356))</f>
        <v>XX356</v>
      </c>
      <c r="B357" s="54" t="str">
        <f>_xlfn.TEXTJOIN("-",TRUE,"ITD",Input!$A$2,A357)</f>
        <v>ITD-SHRXXX-XX356</v>
      </c>
      <c r="C357" s="54" t="str" cm="1">
        <f t="array" ref="C357">IFERROR(_xlfn.LET(
_xlpm.CSVVal,_xlfn.XLOOKUP($A357,CSV!$A:$A,CSV!B:B,""),
_xlpm.MacVal,_xlfn.XLOOKUP($A357,Output_Mac!$A:$A,Output_Mac!B:B,""),
_xlpm.MyAuditVal,_xlfn.XLOOKUP($A357,My_Audit!$A:$A,My_Audit!B:B,""),
_xlfn.IFS(_xlpm.MyAuditVal&lt;&gt;"",UPPER(_xlpm.MyAuditVal),_xlpm.MacVal&lt;&gt;"",_xlpm.MacVal,_xlpm.CSVVal&lt;&gt;"",_xlpm.CSVVal
)),"")</f>
        <v/>
      </c>
      <c r="D357" s="55" t="str">
        <f>_xlfn.XLOOKUP(A357,My_Audit!A:A,My_Audit!D:D,"")&amp;""</f>
        <v/>
      </c>
      <c r="E357" s="55" t="str" cm="1">
        <f t="array" ref="E357">IFERROR(_xlfn.LET(
_xlpm.CSVVal,_xlfn.XLOOKUP($A357,CSV!$A:$A,CSV!D:D,""),
_xlpm.MacVal,_xlfn.XLOOKUP($A357,Output_Mac!$A:$A,Output_Mac!C:C,""),
_xlpm.MyAuditVal,_xlfn.XLOOKUP($A357,My_Audit!$A:$A,My_Audit!D:D,""),
_xlfn.IFS(_xlpm.MyAuditVal&lt;&gt;"",_xlpm.MyAuditVal,_xlpm.MacVal&lt;&gt;"",_xlpm.MacVal,_xlpm.CSVVal&lt;&gt;"",_xlpm.CSVVal
)),"")</f>
        <v/>
      </c>
      <c r="F357" s="54" t="str" cm="1">
        <f t="array" ref="F357">IFERROR(_xlfn.LET(
_xlpm.CSVVal,_xlfn.XLOOKUP($A357,CSV!$A:$A,CSV!E:E,""),
_xlpm.MacVal,_xlfn.XLOOKUP($A357,Output_Mac!$A:$A,Output_Mac!F:F,""),
_xlpm.MyAuditVal,_xlfn.XLOOKUP($A357,My_Audit!$A:$A,My_Audit!E:E,""),
_xlfn.IFS(_xlpm.MyAuditVal&lt;&gt;"",_xlpm.MyAuditVal,_xlpm.MacVal&lt;&gt;"",_xlpm.MacVal,_xlpm.CSVVal&lt;&gt;"",PROPER(_xlpm.CSVVal)
)),"")</f>
        <v/>
      </c>
      <c r="G357" s="54" t="str" cm="1">
        <f t="array" ref="G357">IFERROR(_xlfn.LET(
_xlpm.CSVVal,_xlfn.XLOOKUP($A357,CSV!$A:$A,CSV!F:F,""),
_xlpm.MacVal,_xlfn.XLOOKUP($A357,Output_Mac!$A:$A,Output_Mac!H:H,""),
_xlpm.MyAuditVal,_xlfn.XLOOKUP($A357,My_Audit!$A:$A,My_Audit!F:F,""),
_xlfn.IFS(_xlpm.MyAuditVal&lt;&gt;"",_xlpm.MyAuditVal,_xlpm.MacVal&lt;&gt;"",_xlpm.MacVal,_xlpm.CSVVal&lt;&gt;"",_xlpm.CSVVal
)),"")</f>
        <v/>
      </c>
      <c r="H357" s="54" t="str">
        <f>_xlfn.XLOOKUP(A357,Output_Mac!A:A,Output_Mac!I:I,"")</f>
        <v/>
      </c>
      <c r="I357" s="54" t="str" cm="1">
        <f t="array" ref="I357">IFERROR(_xlfn.LET(
_xlpm.CSVVal,_xlfn.XLOOKUP($A357,CSV!$A:$A,CSV!G:G,""),
_xlpm.MacVal,_xlfn.XLOOKUP($A357,Output_Mac!$A:$A,Output_Mac!J:J,""),
_xlpm.MyAuditVal,_xlfn.XLOOKUP($A357,My_Audit!$A:$A,My_Audit!H:H,""),
_xlfn.IFS(_xlpm.MyAuditVal&lt;&gt;"",UPPER(_xlpm.MyAuditVal),_xlpm.MacVal&lt;&gt;"",_xlpm.MacVal,_xlpm.CSVVal&lt;&gt;"",_xlpm.CSVVal
)),"")</f>
        <v/>
      </c>
      <c r="J357" s="54" t="str" cm="1">
        <f t="array" ref="J357">IFERROR(_xlfn.LET(
_xlpm.CSVVal,_xlfn.XLOOKUP($A357,CSV!$A:$A,CSV!I:I,""),
_xlpm.MacVal,_xlfn.XLOOKUP($A357,Output_Mac!$A:$A,Output_Mac!K:K,""),
_xlpm.MyAuditVal,_xlfn.XLOOKUP($A357,My_Audit!$A:$A,My_Audit!I:I,""),
_xlfn.IFS(_xlpm.MyAuditVal&lt;&gt;"",UPPER(_xlpm.MyAuditVal),_xlpm.MacVal&lt;&gt;"",_xlpm.MacVal,_xlpm.CSVVal&lt;&gt;"",_xlpm.CSVVal
)),"")</f>
        <v/>
      </c>
      <c r="K357" s="54" t="str" cm="1">
        <f t="array" ref="K357">IFERROR(_xlfn.LET(
_xlpm.CSVVal,_xlfn.XLOOKUP($A357,CSV!$A:$A,CSV!M:M,""),
_xlpm.MacVal,_xlfn.XLOOKUP($A357,Output_Mac!$A:$A,Output_Mac!L:L,""),
_xlpm.MyAuditVal,_xlfn.XLOOKUP($A357,My_Audit!$A:$A,My_Audit!J:J,""),
_xlfn.IFS(_xlpm.MyAuditVal&lt;&gt;"",UPPER(_xlpm.MyAuditVal),_xlpm.MacVal&lt;&gt;"",_xlpm.MacVal,_xlpm.CSVVal&lt;&gt;"",_xlpm.CSVVal
)),"")</f>
        <v/>
      </c>
      <c r="L357" s="55" t="str" cm="1">
        <f t="array" ref="L357">IFERROR(_xlfn.LET(
_xlpm.CSVVal,_xlfn.XLOOKUP($A357,CSV!$A:$A,CSV!P:P,""),
_xlpm.MacVal,_xlfn.XLOOKUP($A357,Output_Mac!$A:$A,Output_Mac!M:M,""),
_xlpm.MyAuditVal,_xlfn.XLOOKUP($A357,My_Audit!$A:$A,My_Audit!K:K,""),
_xlfn.IFS(_xlpm.MyAuditVal&lt;&gt;"",UPPER(_xlpm.MyAuditVal),_xlpm.MacVal&lt;&gt;"",_xlpm.MacVal,_xlpm.CSVVal&lt;&gt;"",_xlpm.CSVVal
)),"")</f>
        <v/>
      </c>
      <c r="M357" s="54" t="str">
        <f>_xlfn.LET(
    _xlpm.CSVVal, _xlfn.XLOOKUP($A357, CSV!$A:$A, CSV!AD:AD, ""),
    _xlpm.MacVal, _xlfn.XLOOKUP($A357, Output_Mac!$A:$A, Output_Mac!S:S, ""),
    _xlpm.MyAuditVal, _xlfn.XLOOKUP($A357, My_Audit!$A:$A, My_Audit!N:N, ""),
    _xlfn.TEXTJOIN(", ", TRUE, _xlpm.MyAuditVal, _xlpm.MacVal, _xlpm.CSVVal)
)</f>
        <v/>
      </c>
      <c r="N357" s="54" t="str" cm="1">
        <f t="array" ref="N357">IFERROR(_xlfn.LET(
_xlpm.CSVVal,_xlfn.XLOOKUP($A357,CSV!$A:$A,CSV!AF:AF,""),
_xlpm.MacVal,_xlfn.XLOOKUP($A357,Output_Mac!$A:$A,Output_Mac!U:U,""),
_xlpm.MyAuditVal,_xlfn.XLOOKUP($A357,My_Audit!$A:$A,My_Audit!O:O,""),
_xlfn.IFS(_xlpm.MyAuditVal&lt;&gt;"",UPPER(_xlpm.MyAuditVal),_xlpm.MacVal&lt;&gt;"",_xlpm.MacVal,_xlpm.CSVVal&lt;&gt;"",_xlpm.CSVVal
)),"")</f>
        <v/>
      </c>
      <c r="O357" s="54"/>
      <c r="P357" s="54"/>
      <c r="Q357" s="54"/>
      <c r="R357" s="54"/>
      <c r="S357" s="54"/>
      <c r="T357" s="54"/>
      <c r="U357" s="39"/>
    </row>
    <row r="358" spans="1:21">
      <c r="A358" s="54" t="str">
        <f>_xlfn.TEXTJOIN("",TRUE,Input!$B$2,ROW(My_Audit!A357))</f>
        <v>XX357</v>
      </c>
      <c r="B358" s="54" t="str">
        <f>_xlfn.TEXTJOIN("-",TRUE,"ITD",Input!$A$2,A358)</f>
        <v>ITD-SHRXXX-XX357</v>
      </c>
      <c r="C358" s="54" t="str" cm="1">
        <f t="array" ref="C358">IFERROR(_xlfn.LET(
_xlpm.CSVVal,_xlfn.XLOOKUP($A358,CSV!$A:$A,CSV!B:B,""),
_xlpm.MacVal,_xlfn.XLOOKUP($A358,Output_Mac!$A:$A,Output_Mac!B:B,""),
_xlpm.MyAuditVal,_xlfn.XLOOKUP($A358,My_Audit!$A:$A,My_Audit!B:B,""),
_xlfn.IFS(_xlpm.MyAuditVal&lt;&gt;"",UPPER(_xlpm.MyAuditVal),_xlpm.MacVal&lt;&gt;"",_xlpm.MacVal,_xlpm.CSVVal&lt;&gt;"",_xlpm.CSVVal
)),"")</f>
        <v/>
      </c>
      <c r="D358" s="55" t="str">
        <f>_xlfn.XLOOKUP(A358,My_Audit!A:A,My_Audit!D:D,"")&amp;""</f>
        <v/>
      </c>
      <c r="E358" s="55" t="str" cm="1">
        <f t="array" ref="E358">IFERROR(_xlfn.LET(
_xlpm.CSVVal,_xlfn.XLOOKUP($A358,CSV!$A:$A,CSV!D:D,""),
_xlpm.MacVal,_xlfn.XLOOKUP($A358,Output_Mac!$A:$A,Output_Mac!C:C,""),
_xlpm.MyAuditVal,_xlfn.XLOOKUP($A358,My_Audit!$A:$A,My_Audit!D:D,""),
_xlfn.IFS(_xlpm.MyAuditVal&lt;&gt;"",_xlpm.MyAuditVal,_xlpm.MacVal&lt;&gt;"",_xlpm.MacVal,_xlpm.CSVVal&lt;&gt;"",_xlpm.CSVVal
)),"")</f>
        <v/>
      </c>
      <c r="F358" s="54" t="str" cm="1">
        <f t="array" ref="F358">IFERROR(_xlfn.LET(
_xlpm.CSVVal,_xlfn.XLOOKUP($A358,CSV!$A:$A,CSV!E:E,""),
_xlpm.MacVal,_xlfn.XLOOKUP($A358,Output_Mac!$A:$A,Output_Mac!F:F,""),
_xlpm.MyAuditVal,_xlfn.XLOOKUP($A358,My_Audit!$A:$A,My_Audit!E:E,""),
_xlfn.IFS(_xlpm.MyAuditVal&lt;&gt;"",_xlpm.MyAuditVal,_xlpm.MacVal&lt;&gt;"",_xlpm.MacVal,_xlpm.CSVVal&lt;&gt;"",PROPER(_xlpm.CSVVal)
)),"")</f>
        <v/>
      </c>
      <c r="G358" s="54" t="str" cm="1">
        <f t="array" ref="G358">IFERROR(_xlfn.LET(
_xlpm.CSVVal,_xlfn.XLOOKUP($A358,CSV!$A:$A,CSV!F:F,""),
_xlpm.MacVal,_xlfn.XLOOKUP($A358,Output_Mac!$A:$A,Output_Mac!H:H,""),
_xlpm.MyAuditVal,_xlfn.XLOOKUP($A358,My_Audit!$A:$A,My_Audit!F:F,""),
_xlfn.IFS(_xlpm.MyAuditVal&lt;&gt;"",_xlpm.MyAuditVal,_xlpm.MacVal&lt;&gt;"",_xlpm.MacVal,_xlpm.CSVVal&lt;&gt;"",_xlpm.CSVVal
)),"")</f>
        <v/>
      </c>
      <c r="H358" s="54" t="str">
        <f>_xlfn.XLOOKUP(A358,Output_Mac!A:A,Output_Mac!I:I,"")</f>
        <v/>
      </c>
      <c r="I358" s="54" t="str" cm="1">
        <f t="array" ref="I358">IFERROR(_xlfn.LET(
_xlpm.CSVVal,_xlfn.XLOOKUP($A358,CSV!$A:$A,CSV!G:G,""),
_xlpm.MacVal,_xlfn.XLOOKUP($A358,Output_Mac!$A:$A,Output_Mac!J:J,""),
_xlpm.MyAuditVal,_xlfn.XLOOKUP($A358,My_Audit!$A:$A,My_Audit!H:H,""),
_xlfn.IFS(_xlpm.MyAuditVal&lt;&gt;"",UPPER(_xlpm.MyAuditVal),_xlpm.MacVal&lt;&gt;"",_xlpm.MacVal,_xlpm.CSVVal&lt;&gt;"",_xlpm.CSVVal
)),"")</f>
        <v/>
      </c>
      <c r="J358" s="54" t="str" cm="1">
        <f t="array" ref="J358">IFERROR(_xlfn.LET(
_xlpm.CSVVal,_xlfn.XLOOKUP($A358,CSV!$A:$A,CSV!I:I,""),
_xlpm.MacVal,_xlfn.XLOOKUP($A358,Output_Mac!$A:$A,Output_Mac!K:K,""),
_xlpm.MyAuditVal,_xlfn.XLOOKUP($A358,My_Audit!$A:$A,My_Audit!I:I,""),
_xlfn.IFS(_xlpm.MyAuditVal&lt;&gt;"",UPPER(_xlpm.MyAuditVal),_xlpm.MacVal&lt;&gt;"",_xlpm.MacVal,_xlpm.CSVVal&lt;&gt;"",_xlpm.CSVVal
)),"")</f>
        <v/>
      </c>
      <c r="K358" s="54" t="str" cm="1">
        <f t="array" ref="K358">IFERROR(_xlfn.LET(
_xlpm.CSVVal,_xlfn.XLOOKUP($A358,CSV!$A:$A,CSV!M:M,""),
_xlpm.MacVal,_xlfn.XLOOKUP($A358,Output_Mac!$A:$A,Output_Mac!L:L,""),
_xlpm.MyAuditVal,_xlfn.XLOOKUP($A358,My_Audit!$A:$A,My_Audit!J:J,""),
_xlfn.IFS(_xlpm.MyAuditVal&lt;&gt;"",UPPER(_xlpm.MyAuditVal),_xlpm.MacVal&lt;&gt;"",_xlpm.MacVal,_xlpm.CSVVal&lt;&gt;"",_xlpm.CSVVal
)),"")</f>
        <v/>
      </c>
      <c r="L358" s="55" t="str" cm="1">
        <f t="array" ref="L358">IFERROR(_xlfn.LET(
_xlpm.CSVVal,_xlfn.XLOOKUP($A358,CSV!$A:$A,CSV!P:P,""),
_xlpm.MacVal,_xlfn.XLOOKUP($A358,Output_Mac!$A:$A,Output_Mac!M:M,""),
_xlpm.MyAuditVal,_xlfn.XLOOKUP($A358,My_Audit!$A:$A,My_Audit!K:K,""),
_xlfn.IFS(_xlpm.MyAuditVal&lt;&gt;"",UPPER(_xlpm.MyAuditVal),_xlpm.MacVal&lt;&gt;"",_xlpm.MacVal,_xlpm.CSVVal&lt;&gt;"",_xlpm.CSVVal
)),"")</f>
        <v/>
      </c>
      <c r="M358" s="54" t="str">
        <f>_xlfn.LET(
    _xlpm.CSVVal, _xlfn.XLOOKUP($A358, CSV!$A:$A, CSV!AD:AD, ""),
    _xlpm.MacVal, _xlfn.XLOOKUP($A358, Output_Mac!$A:$A, Output_Mac!S:S, ""),
    _xlpm.MyAuditVal, _xlfn.XLOOKUP($A358, My_Audit!$A:$A, My_Audit!N:N, ""),
    _xlfn.TEXTJOIN(", ", TRUE, _xlpm.MyAuditVal, _xlpm.MacVal, _xlpm.CSVVal)
)</f>
        <v/>
      </c>
      <c r="N358" s="54" t="str" cm="1">
        <f t="array" ref="N358">IFERROR(_xlfn.LET(
_xlpm.CSVVal,_xlfn.XLOOKUP($A358,CSV!$A:$A,CSV!AF:AF,""),
_xlpm.MacVal,_xlfn.XLOOKUP($A358,Output_Mac!$A:$A,Output_Mac!U:U,""),
_xlpm.MyAuditVal,_xlfn.XLOOKUP($A358,My_Audit!$A:$A,My_Audit!O:O,""),
_xlfn.IFS(_xlpm.MyAuditVal&lt;&gt;"",UPPER(_xlpm.MyAuditVal),_xlpm.MacVal&lt;&gt;"",_xlpm.MacVal,_xlpm.CSVVal&lt;&gt;"",_xlpm.CSVVal
)),"")</f>
        <v/>
      </c>
      <c r="O358" s="54"/>
      <c r="P358" s="54"/>
      <c r="Q358" s="54"/>
      <c r="R358" s="54"/>
      <c r="S358" s="54"/>
      <c r="T358" s="54"/>
      <c r="U358" s="39"/>
    </row>
    <row r="359" spans="1:21">
      <c r="A359" s="54" t="str">
        <f>_xlfn.TEXTJOIN("",TRUE,Input!$B$2,ROW(My_Audit!A358))</f>
        <v>XX358</v>
      </c>
      <c r="B359" s="54" t="str">
        <f>_xlfn.TEXTJOIN("-",TRUE,"ITD",Input!$A$2,A359)</f>
        <v>ITD-SHRXXX-XX358</v>
      </c>
      <c r="C359" s="54" t="str" cm="1">
        <f t="array" ref="C359">IFERROR(_xlfn.LET(
_xlpm.CSVVal,_xlfn.XLOOKUP($A359,CSV!$A:$A,CSV!B:B,""),
_xlpm.MacVal,_xlfn.XLOOKUP($A359,Output_Mac!$A:$A,Output_Mac!B:B,""),
_xlpm.MyAuditVal,_xlfn.XLOOKUP($A359,My_Audit!$A:$A,My_Audit!B:B,""),
_xlfn.IFS(_xlpm.MyAuditVal&lt;&gt;"",UPPER(_xlpm.MyAuditVal),_xlpm.MacVal&lt;&gt;"",_xlpm.MacVal,_xlpm.CSVVal&lt;&gt;"",_xlpm.CSVVal
)),"")</f>
        <v/>
      </c>
      <c r="D359" s="55" t="str">
        <f>_xlfn.XLOOKUP(A359,My_Audit!A:A,My_Audit!D:D,"")&amp;""</f>
        <v/>
      </c>
      <c r="E359" s="55" t="str" cm="1">
        <f t="array" ref="E359">IFERROR(_xlfn.LET(
_xlpm.CSVVal,_xlfn.XLOOKUP($A359,CSV!$A:$A,CSV!D:D,""),
_xlpm.MacVal,_xlfn.XLOOKUP($A359,Output_Mac!$A:$A,Output_Mac!C:C,""),
_xlpm.MyAuditVal,_xlfn.XLOOKUP($A359,My_Audit!$A:$A,My_Audit!D:D,""),
_xlfn.IFS(_xlpm.MyAuditVal&lt;&gt;"",_xlpm.MyAuditVal,_xlpm.MacVal&lt;&gt;"",_xlpm.MacVal,_xlpm.CSVVal&lt;&gt;"",_xlpm.CSVVal
)),"")</f>
        <v/>
      </c>
      <c r="F359" s="54" t="str" cm="1">
        <f t="array" ref="F359">IFERROR(_xlfn.LET(
_xlpm.CSVVal,_xlfn.XLOOKUP($A359,CSV!$A:$A,CSV!E:E,""),
_xlpm.MacVal,_xlfn.XLOOKUP($A359,Output_Mac!$A:$A,Output_Mac!F:F,""),
_xlpm.MyAuditVal,_xlfn.XLOOKUP($A359,My_Audit!$A:$A,My_Audit!E:E,""),
_xlfn.IFS(_xlpm.MyAuditVal&lt;&gt;"",_xlpm.MyAuditVal,_xlpm.MacVal&lt;&gt;"",_xlpm.MacVal,_xlpm.CSVVal&lt;&gt;"",PROPER(_xlpm.CSVVal)
)),"")</f>
        <v/>
      </c>
      <c r="G359" s="54" t="str" cm="1">
        <f t="array" ref="G359">IFERROR(_xlfn.LET(
_xlpm.CSVVal,_xlfn.XLOOKUP($A359,CSV!$A:$A,CSV!F:F,""),
_xlpm.MacVal,_xlfn.XLOOKUP($A359,Output_Mac!$A:$A,Output_Mac!H:H,""),
_xlpm.MyAuditVal,_xlfn.XLOOKUP($A359,My_Audit!$A:$A,My_Audit!F:F,""),
_xlfn.IFS(_xlpm.MyAuditVal&lt;&gt;"",_xlpm.MyAuditVal,_xlpm.MacVal&lt;&gt;"",_xlpm.MacVal,_xlpm.CSVVal&lt;&gt;"",_xlpm.CSVVal
)),"")</f>
        <v/>
      </c>
      <c r="H359" s="54" t="str">
        <f>_xlfn.XLOOKUP(A359,Output_Mac!A:A,Output_Mac!I:I,"")</f>
        <v/>
      </c>
      <c r="I359" s="54" t="str" cm="1">
        <f t="array" ref="I359">IFERROR(_xlfn.LET(
_xlpm.CSVVal,_xlfn.XLOOKUP($A359,CSV!$A:$A,CSV!G:G,""),
_xlpm.MacVal,_xlfn.XLOOKUP($A359,Output_Mac!$A:$A,Output_Mac!J:J,""),
_xlpm.MyAuditVal,_xlfn.XLOOKUP($A359,My_Audit!$A:$A,My_Audit!H:H,""),
_xlfn.IFS(_xlpm.MyAuditVal&lt;&gt;"",UPPER(_xlpm.MyAuditVal),_xlpm.MacVal&lt;&gt;"",_xlpm.MacVal,_xlpm.CSVVal&lt;&gt;"",_xlpm.CSVVal
)),"")</f>
        <v/>
      </c>
      <c r="J359" s="54" t="str" cm="1">
        <f t="array" ref="J359">IFERROR(_xlfn.LET(
_xlpm.CSVVal,_xlfn.XLOOKUP($A359,CSV!$A:$A,CSV!I:I,""),
_xlpm.MacVal,_xlfn.XLOOKUP($A359,Output_Mac!$A:$A,Output_Mac!K:K,""),
_xlpm.MyAuditVal,_xlfn.XLOOKUP($A359,My_Audit!$A:$A,My_Audit!I:I,""),
_xlfn.IFS(_xlpm.MyAuditVal&lt;&gt;"",UPPER(_xlpm.MyAuditVal),_xlpm.MacVal&lt;&gt;"",_xlpm.MacVal,_xlpm.CSVVal&lt;&gt;"",_xlpm.CSVVal
)),"")</f>
        <v/>
      </c>
      <c r="K359" s="54" t="str" cm="1">
        <f t="array" ref="K359">IFERROR(_xlfn.LET(
_xlpm.CSVVal,_xlfn.XLOOKUP($A359,CSV!$A:$A,CSV!M:M,""),
_xlpm.MacVal,_xlfn.XLOOKUP($A359,Output_Mac!$A:$A,Output_Mac!L:L,""),
_xlpm.MyAuditVal,_xlfn.XLOOKUP($A359,My_Audit!$A:$A,My_Audit!J:J,""),
_xlfn.IFS(_xlpm.MyAuditVal&lt;&gt;"",UPPER(_xlpm.MyAuditVal),_xlpm.MacVal&lt;&gt;"",_xlpm.MacVal,_xlpm.CSVVal&lt;&gt;"",_xlpm.CSVVal
)),"")</f>
        <v/>
      </c>
      <c r="L359" s="55" t="str" cm="1">
        <f t="array" ref="L359">IFERROR(_xlfn.LET(
_xlpm.CSVVal,_xlfn.XLOOKUP($A359,CSV!$A:$A,CSV!P:P,""),
_xlpm.MacVal,_xlfn.XLOOKUP($A359,Output_Mac!$A:$A,Output_Mac!M:M,""),
_xlpm.MyAuditVal,_xlfn.XLOOKUP($A359,My_Audit!$A:$A,My_Audit!K:K,""),
_xlfn.IFS(_xlpm.MyAuditVal&lt;&gt;"",UPPER(_xlpm.MyAuditVal),_xlpm.MacVal&lt;&gt;"",_xlpm.MacVal,_xlpm.CSVVal&lt;&gt;"",_xlpm.CSVVal
)),"")</f>
        <v/>
      </c>
      <c r="M359" s="54" t="str">
        <f>_xlfn.LET(
    _xlpm.CSVVal, _xlfn.XLOOKUP($A359, CSV!$A:$A, CSV!AD:AD, ""),
    _xlpm.MacVal, _xlfn.XLOOKUP($A359, Output_Mac!$A:$A, Output_Mac!S:S, ""),
    _xlpm.MyAuditVal, _xlfn.XLOOKUP($A359, My_Audit!$A:$A, My_Audit!N:N, ""),
    _xlfn.TEXTJOIN(", ", TRUE, _xlpm.MyAuditVal, _xlpm.MacVal, _xlpm.CSVVal)
)</f>
        <v/>
      </c>
      <c r="N359" s="54" t="str" cm="1">
        <f t="array" ref="N359">IFERROR(_xlfn.LET(
_xlpm.CSVVal,_xlfn.XLOOKUP($A359,CSV!$A:$A,CSV!AF:AF,""),
_xlpm.MacVal,_xlfn.XLOOKUP($A359,Output_Mac!$A:$A,Output_Mac!U:U,""),
_xlpm.MyAuditVal,_xlfn.XLOOKUP($A359,My_Audit!$A:$A,My_Audit!O:O,""),
_xlfn.IFS(_xlpm.MyAuditVal&lt;&gt;"",UPPER(_xlpm.MyAuditVal),_xlpm.MacVal&lt;&gt;"",_xlpm.MacVal,_xlpm.CSVVal&lt;&gt;"",_xlpm.CSVVal
)),"")</f>
        <v/>
      </c>
      <c r="O359" s="54"/>
      <c r="P359" s="54"/>
      <c r="Q359" s="54"/>
      <c r="R359" s="54"/>
      <c r="S359" s="54"/>
      <c r="T359" s="54"/>
      <c r="U359" s="39"/>
    </row>
    <row r="360" spans="1:21">
      <c r="A360" s="54" t="str">
        <f>_xlfn.TEXTJOIN("",TRUE,Input!$B$2,ROW(My_Audit!A359))</f>
        <v>XX359</v>
      </c>
      <c r="B360" s="54" t="str">
        <f>_xlfn.TEXTJOIN("-",TRUE,"ITD",Input!$A$2,A360)</f>
        <v>ITD-SHRXXX-XX359</v>
      </c>
      <c r="C360" s="54" t="str" cm="1">
        <f t="array" ref="C360">IFERROR(_xlfn.LET(
_xlpm.CSVVal,_xlfn.XLOOKUP($A360,CSV!$A:$A,CSV!B:B,""),
_xlpm.MacVal,_xlfn.XLOOKUP($A360,Output_Mac!$A:$A,Output_Mac!B:B,""),
_xlpm.MyAuditVal,_xlfn.XLOOKUP($A360,My_Audit!$A:$A,My_Audit!B:B,""),
_xlfn.IFS(_xlpm.MyAuditVal&lt;&gt;"",UPPER(_xlpm.MyAuditVal),_xlpm.MacVal&lt;&gt;"",_xlpm.MacVal,_xlpm.CSVVal&lt;&gt;"",_xlpm.CSVVal
)),"")</f>
        <v/>
      </c>
      <c r="D360" s="55" t="str">
        <f>_xlfn.XLOOKUP(A360,My_Audit!A:A,My_Audit!D:D,"")&amp;""</f>
        <v/>
      </c>
      <c r="E360" s="55" t="str" cm="1">
        <f t="array" ref="E360">IFERROR(_xlfn.LET(
_xlpm.CSVVal,_xlfn.XLOOKUP($A360,CSV!$A:$A,CSV!D:D,""),
_xlpm.MacVal,_xlfn.XLOOKUP($A360,Output_Mac!$A:$A,Output_Mac!C:C,""),
_xlpm.MyAuditVal,_xlfn.XLOOKUP($A360,My_Audit!$A:$A,My_Audit!D:D,""),
_xlfn.IFS(_xlpm.MyAuditVal&lt;&gt;"",_xlpm.MyAuditVal,_xlpm.MacVal&lt;&gt;"",_xlpm.MacVal,_xlpm.CSVVal&lt;&gt;"",_xlpm.CSVVal
)),"")</f>
        <v/>
      </c>
      <c r="F360" s="54" t="str" cm="1">
        <f t="array" ref="F360">IFERROR(_xlfn.LET(
_xlpm.CSVVal,_xlfn.XLOOKUP($A360,CSV!$A:$A,CSV!E:E,""),
_xlpm.MacVal,_xlfn.XLOOKUP($A360,Output_Mac!$A:$A,Output_Mac!F:F,""),
_xlpm.MyAuditVal,_xlfn.XLOOKUP($A360,My_Audit!$A:$A,My_Audit!E:E,""),
_xlfn.IFS(_xlpm.MyAuditVal&lt;&gt;"",_xlpm.MyAuditVal,_xlpm.MacVal&lt;&gt;"",_xlpm.MacVal,_xlpm.CSVVal&lt;&gt;"",PROPER(_xlpm.CSVVal)
)),"")</f>
        <v/>
      </c>
      <c r="G360" s="54" t="str" cm="1">
        <f t="array" ref="G360">IFERROR(_xlfn.LET(
_xlpm.CSVVal,_xlfn.XLOOKUP($A360,CSV!$A:$A,CSV!F:F,""),
_xlpm.MacVal,_xlfn.XLOOKUP($A360,Output_Mac!$A:$A,Output_Mac!H:H,""),
_xlpm.MyAuditVal,_xlfn.XLOOKUP($A360,My_Audit!$A:$A,My_Audit!F:F,""),
_xlfn.IFS(_xlpm.MyAuditVal&lt;&gt;"",_xlpm.MyAuditVal,_xlpm.MacVal&lt;&gt;"",_xlpm.MacVal,_xlpm.CSVVal&lt;&gt;"",_xlpm.CSVVal
)),"")</f>
        <v/>
      </c>
      <c r="H360" s="54" t="str">
        <f>_xlfn.XLOOKUP(A360,Output_Mac!A:A,Output_Mac!I:I,"")</f>
        <v/>
      </c>
      <c r="I360" s="54" t="str" cm="1">
        <f t="array" ref="I360">IFERROR(_xlfn.LET(
_xlpm.CSVVal,_xlfn.XLOOKUP($A360,CSV!$A:$A,CSV!G:G,""),
_xlpm.MacVal,_xlfn.XLOOKUP($A360,Output_Mac!$A:$A,Output_Mac!J:J,""),
_xlpm.MyAuditVal,_xlfn.XLOOKUP($A360,My_Audit!$A:$A,My_Audit!H:H,""),
_xlfn.IFS(_xlpm.MyAuditVal&lt;&gt;"",UPPER(_xlpm.MyAuditVal),_xlpm.MacVal&lt;&gt;"",_xlpm.MacVal,_xlpm.CSVVal&lt;&gt;"",_xlpm.CSVVal
)),"")</f>
        <v/>
      </c>
      <c r="J360" s="54" t="str" cm="1">
        <f t="array" ref="J360">IFERROR(_xlfn.LET(
_xlpm.CSVVal,_xlfn.XLOOKUP($A360,CSV!$A:$A,CSV!I:I,""),
_xlpm.MacVal,_xlfn.XLOOKUP($A360,Output_Mac!$A:$A,Output_Mac!K:K,""),
_xlpm.MyAuditVal,_xlfn.XLOOKUP($A360,My_Audit!$A:$A,My_Audit!I:I,""),
_xlfn.IFS(_xlpm.MyAuditVal&lt;&gt;"",UPPER(_xlpm.MyAuditVal),_xlpm.MacVal&lt;&gt;"",_xlpm.MacVal,_xlpm.CSVVal&lt;&gt;"",_xlpm.CSVVal
)),"")</f>
        <v/>
      </c>
      <c r="K360" s="54" t="str" cm="1">
        <f t="array" ref="K360">IFERROR(_xlfn.LET(
_xlpm.CSVVal,_xlfn.XLOOKUP($A360,CSV!$A:$A,CSV!M:M,""),
_xlpm.MacVal,_xlfn.XLOOKUP($A360,Output_Mac!$A:$A,Output_Mac!L:L,""),
_xlpm.MyAuditVal,_xlfn.XLOOKUP($A360,My_Audit!$A:$A,My_Audit!J:J,""),
_xlfn.IFS(_xlpm.MyAuditVal&lt;&gt;"",UPPER(_xlpm.MyAuditVal),_xlpm.MacVal&lt;&gt;"",_xlpm.MacVal,_xlpm.CSVVal&lt;&gt;"",_xlpm.CSVVal
)),"")</f>
        <v/>
      </c>
      <c r="L360" s="55" t="str" cm="1">
        <f t="array" ref="L360">IFERROR(_xlfn.LET(
_xlpm.CSVVal,_xlfn.XLOOKUP($A360,CSV!$A:$A,CSV!P:P,""),
_xlpm.MacVal,_xlfn.XLOOKUP($A360,Output_Mac!$A:$A,Output_Mac!M:M,""),
_xlpm.MyAuditVal,_xlfn.XLOOKUP($A360,My_Audit!$A:$A,My_Audit!K:K,""),
_xlfn.IFS(_xlpm.MyAuditVal&lt;&gt;"",UPPER(_xlpm.MyAuditVal),_xlpm.MacVal&lt;&gt;"",_xlpm.MacVal,_xlpm.CSVVal&lt;&gt;"",_xlpm.CSVVal
)),"")</f>
        <v/>
      </c>
      <c r="M360" s="54" t="str">
        <f>_xlfn.LET(
    _xlpm.CSVVal, _xlfn.XLOOKUP($A360, CSV!$A:$A, CSV!AD:AD, ""),
    _xlpm.MacVal, _xlfn.XLOOKUP($A360, Output_Mac!$A:$A, Output_Mac!S:S, ""),
    _xlpm.MyAuditVal, _xlfn.XLOOKUP($A360, My_Audit!$A:$A, My_Audit!N:N, ""),
    _xlfn.TEXTJOIN(", ", TRUE, _xlpm.MyAuditVal, _xlpm.MacVal, _xlpm.CSVVal)
)</f>
        <v/>
      </c>
      <c r="N360" s="54" t="str" cm="1">
        <f t="array" ref="N360">IFERROR(_xlfn.LET(
_xlpm.CSVVal,_xlfn.XLOOKUP($A360,CSV!$A:$A,CSV!AF:AF,""),
_xlpm.MacVal,_xlfn.XLOOKUP($A360,Output_Mac!$A:$A,Output_Mac!U:U,""),
_xlpm.MyAuditVal,_xlfn.XLOOKUP($A360,My_Audit!$A:$A,My_Audit!O:O,""),
_xlfn.IFS(_xlpm.MyAuditVal&lt;&gt;"",UPPER(_xlpm.MyAuditVal),_xlpm.MacVal&lt;&gt;"",_xlpm.MacVal,_xlpm.CSVVal&lt;&gt;"",_xlpm.CSVVal
)),"")</f>
        <v/>
      </c>
      <c r="O360" s="54"/>
      <c r="P360" s="54"/>
      <c r="Q360" s="54"/>
      <c r="R360" s="54"/>
      <c r="S360" s="54"/>
      <c r="T360" s="54"/>
      <c r="U360" s="39"/>
    </row>
    <row r="361" spans="1:21">
      <c r="A361" s="54" t="str">
        <f>_xlfn.TEXTJOIN("",TRUE,Input!$B$2,ROW(My_Audit!A360))</f>
        <v>XX360</v>
      </c>
      <c r="B361" s="54" t="str">
        <f>_xlfn.TEXTJOIN("-",TRUE,"ITD",Input!$A$2,A361)</f>
        <v>ITD-SHRXXX-XX360</v>
      </c>
      <c r="C361" s="54" t="str" cm="1">
        <f t="array" ref="C361">IFERROR(_xlfn.LET(
_xlpm.CSVVal,_xlfn.XLOOKUP($A361,CSV!$A:$A,CSV!B:B,""),
_xlpm.MacVal,_xlfn.XLOOKUP($A361,Output_Mac!$A:$A,Output_Mac!B:B,""),
_xlpm.MyAuditVal,_xlfn.XLOOKUP($A361,My_Audit!$A:$A,My_Audit!B:B,""),
_xlfn.IFS(_xlpm.MyAuditVal&lt;&gt;"",UPPER(_xlpm.MyAuditVal),_xlpm.MacVal&lt;&gt;"",_xlpm.MacVal,_xlpm.CSVVal&lt;&gt;"",_xlpm.CSVVal
)),"")</f>
        <v/>
      </c>
      <c r="D361" s="55" t="str">
        <f>_xlfn.XLOOKUP(A361,My_Audit!A:A,My_Audit!D:D,"")&amp;""</f>
        <v/>
      </c>
      <c r="E361" s="55" t="str" cm="1">
        <f t="array" ref="E361">IFERROR(_xlfn.LET(
_xlpm.CSVVal,_xlfn.XLOOKUP($A361,CSV!$A:$A,CSV!D:D,""),
_xlpm.MacVal,_xlfn.XLOOKUP($A361,Output_Mac!$A:$A,Output_Mac!C:C,""),
_xlpm.MyAuditVal,_xlfn.XLOOKUP($A361,My_Audit!$A:$A,My_Audit!D:D,""),
_xlfn.IFS(_xlpm.MyAuditVal&lt;&gt;"",_xlpm.MyAuditVal,_xlpm.MacVal&lt;&gt;"",_xlpm.MacVal,_xlpm.CSVVal&lt;&gt;"",_xlpm.CSVVal
)),"")</f>
        <v/>
      </c>
      <c r="F361" s="54" t="str" cm="1">
        <f t="array" ref="F361">IFERROR(_xlfn.LET(
_xlpm.CSVVal,_xlfn.XLOOKUP($A361,CSV!$A:$A,CSV!E:E,""),
_xlpm.MacVal,_xlfn.XLOOKUP($A361,Output_Mac!$A:$A,Output_Mac!F:F,""),
_xlpm.MyAuditVal,_xlfn.XLOOKUP($A361,My_Audit!$A:$A,My_Audit!E:E,""),
_xlfn.IFS(_xlpm.MyAuditVal&lt;&gt;"",_xlpm.MyAuditVal,_xlpm.MacVal&lt;&gt;"",_xlpm.MacVal,_xlpm.CSVVal&lt;&gt;"",PROPER(_xlpm.CSVVal)
)),"")</f>
        <v/>
      </c>
      <c r="G361" s="54" t="str" cm="1">
        <f t="array" ref="G361">IFERROR(_xlfn.LET(
_xlpm.CSVVal,_xlfn.XLOOKUP($A361,CSV!$A:$A,CSV!F:F,""),
_xlpm.MacVal,_xlfn.XLOOKUP($A361,Output_Mac!$A:$A,Output_Mac!H:H,""),
_xlpm.MyAuditVal,_xlfn.XLOOKUP($A361,My_Audit!$A:$A,My_Audit!F:F,""),
_xlfn.IFS(_xlpm.MyAuditVal&lt;&gt;"",_xlpm.MyAuditVal,_xlpm.MacVal&lt;&gt;"",_xlpm.MacVal,_xlpm.CSVVal&lt;&gt;"",_xlpm.CSVVal
)),"")</f>
        <v/>
      </c>
      <c r="H361" s="54" t="str">
        <f>_xlfn.XLOOKUP(A361,Output_Mac!A:A,Output_Mac!I:I,"")</f>
        <v/>
      </c>
      <c r="I361" s="54" t="str" cm="1">
        <f t="array" ref="I361">IFERROR(_xlfn.LET(
_xlpm.CSVVal,_xlfn.XLOOKUP($A361,CSV!$A:$A,CSV!G:G,""),
_xlpm.MacVal,_xlfn.XLOOKUP($A361,Output_Mac!$A:$A,Output_Mac!J:J,""),
_xlpm.MyAuditVal,_xlfn.XLOOKUP($A361,My_Audit!$A:$A,My_Audit!H:H,""),
_xlfn.IFS(_xlpm.MyAuditVal&lt;&gt;"",UPPER(_xlpm.MyAuditVal),_xlpm.MacVal&lt;&gt;"",_xlpm.MacVal,_xlpm.CSVVal&lt;&gt;"",_xlpm.CSVVal
)),"")</f>
        <v/>
      </c>
      <c r="J361" s="54" t="str" cm="1">
        <f t="array" ref="J361">IFERROR(_xlfn.LET(
_xlpm.CSVVal,_xlfn.XLOOKUP($A361,CSV!$A:$A,CSV!I:I,""),
_xlpm.MacVal,_xlfn.XLOOKUP($A361,Output_Mac!$A:$A,Output_Mac!K:K,""),
_xlpm.MyAuditVal,_xlfn.XLOOKUP($A361,My_Audit!$A:$A,My_Audit!I:I,""),
_xlfn.IFS(_xlpm.MyAuditVal&lt;&gt;"",UPPER(_xlpm.MyAuditVal),_xlpm.MacVal&lt;&gt;"",_xlpm.MacVal,_xlpm.CSVVal&lt;&gt;"",_xlpm.CSVVal
)),"")</f>
        <v/>
      </c>
      <c r="K361" s="54" t="str" cm="1">
        <f t="array" ref="K361">IFERROR(_xlfn.LET(
_xlpm.CSVVal,_xlfn.XLOOKUP($A361,CSV!$A:$A,CSV!M:M,""),
_xlpm.MacVal,_xlfn.XLOOKUP($A361,Output_Mac!$A:$A,Output_Mac!L:L,""),
_xlpm.MyAuditVal,_xlfn.XLOOKUP($A361,My_Audit!$A:$A,My_Audit!J:J,""),
_xlfn.IFS(_xlpm.MyAuditVal&lt;&gt;"",UPPER(_xlpm.MyAuditVal),_xlpm.MacVal&lt;&gt;"",_xlpm.MacVal,_xlpm.CSVVal&lt;&gt;"",_xlpm.CSVVal
)),"")</f>
        <v/>
      </c>
      <c r="L361" s="55" t="str" cm="1">
        <f t="array" ref="L361">IFERROR(_xlfn.LET(
_xlpm.CSVVal,_xlfn.XLOOKUP($A361,CSV!$A:$A,CSV!P:P,""),
_xlpm.MacVal,_xlfn.XLOOKUP($A361,Output_Mac!$A:$A,Output_Mac!M:M,""),
_xlpm.MyAuditVal,_xlfn.XLOOKUP($A361,My_Audit!$A:$A,My_Audit!K:K,""),
_xlfn.IFS(_xlpm.MyAuditVal&lt;&gt;"",UPPER(_xlpm.MyAuditVal),_xlpm.MacVal&lt;&gt;"",_xlpm.MacVal,_xlpm.CSVVal&lt;&gt;"",_xlpm.CSVVal
)),"")</f>
        <v/>
      </c>
      <c r="M361" s="54" t="str">
        <f>_xlfn.LET(
    _xlpm.CSVVal, _xlfn.XLOOKUP($A361, CSV!$A:$A, CSV!AD:AD, ""),
    _xlpm.MacVal, _xlfn.XLOOKUP($A361, Output_Mac!$A:$A, Output_Mac!S:S, ""),
    _xlpm.MyAuditVal, _xlfn.XLOOKUP($A361, My_Audit!$A:$A, My_Audit!N:N, ""),
    _xlfn.TEXTJOIN(", ", TRUE, _xlpm.MyAuditVal, _xlpm.MacVal, _xlpm.CSVVal)
)</f>
        <v/>
      </c>
      <c r="N361" s="54" t="str" cm="1">
        <f t="array" ref="N361">IFERROR(_xlfn.LET(
_xlpm.CSVVal,_xlfn.XLOOKUP($A361,CSV!$A:$A,CSV!AF:AF,""),
_xlpm.MacVal,_xlfn.XLOOKUP($A361,Output_Mac!$A:$A,Output_Mac!U:U,""),
_xlpm.MyAuditVal,_xlfn.XLOOKUP($A361,My_Audit!$A:$A,My_Audit!O:O,""),
_xlfn.IFS(_xlpm.MyAuditVal&lt;&gt;"",UPPER(_xlpm.MyAuditVal),_xlpm.MacVal&lt;&gt;"",_xlpm.MacVal,_xlpm.CSVVal&lt;&gt;"",_xlpm.CSVVal
)),"")</f>
        <v/>
      </c>
      <c r="O361" s="54"/>
      <c r="P361" s="54"/>
      <c r="Q361" s="54"/>
      <c r="R361" s="54"/>
      <c r="S361" s="54"/>
      <c r="T361" s="54"/>
      <c r="U361" s="39"/>
    </row>
    <row r="362" spans="1:21">
      <c r="A362" s="54" t="str">
        <f>_xlfn.TEXTJOIN("",TRUE,Input!$B$2,ROW(My_Audit!A361))</f>
        <v>XX361</v>
      </c>
      <c r="B362" s="54" t="str">
        <f>_xlfn.TEXTJOIN("-",TRUE,"ITD",Input!$A$2,A362)</f>
        <v>ITD-SHRXXX-XX361</v>
      </c>
      <c r="C362" s="54" t="str" cm="1">
        <f t="array" ref="C362">IFERROR(_xlfn.LET(
_xlpm.CSVVal,_xlfn.XLOOKUP($A362,CSV!$A:$A,CSV!B:B,""),
_xlpm.MacVal,_xlfn.XLOOKUP($A362,Output_Mac!$A:$A,Output_Mac!B:B,""),
_xlpm.MyAuditVal,_xlfn.XLOOKUP($A362,My_Audit!$A:$A,My_Audit!B:B,""),
_xlfn.IFS(_xlpm.MyAuditVal&lt;&gt;"",UPPER(_xlpm.MyAuditVal),_xlpm.MacVal&lt;&gt;"",_xlpm.MacVal,_xlpm.CSVVal&lt;&gt;"",_xlpm.CSVVal
)),"")</f>
        <v/>
      </c>
      <c r="D362" s="55" t="str">
        <f>_xlfn.XLOOKUP(A362,My_Audit!A:A,My_Audit!D:D,"")&amp;""</f>
        <v/>
      </c>
      <c r="E362" s="55" t="str" cm="1">
        <f t="array" ref="E362">IFERROR(_xlfn.LET(
_xlpm.CSVVal,_xlfn.XLOOKUP($A362,CSV!$A:$A,CSV!D:D,""),
_xlpm.MacVal,_xlfn.XLOOKUP($A362,Output_Mac!$A:$A,Output_Mac!C:C,""),
_xlpm.MyAuditVal,_xlfn.XLOOKUP($A362,My_Audit!$A:$A,My_Audit!D:D,""),
_xlfn.IFS(_xlpm.MyAuditVal&lt;&gt;"",_xlpm.MyAuditVal,_xlpm.MacVal&lt;&gt;"",_xlpm.MacVal,_xlpm.CSVVal&lt;&gt;"",_xlpm.CSVVal
)),"")</f>
        <v/>
      </c>
      <c r="F362" s="54" t="str" cm="1">
        <f t="array" ref="F362">IFERROR(_xlfn.LET(
_xlpm.CSVVal,_xlfn.XLOOKUP($A362,CSV!$A:$A,CSV!E:E,""),
_xlpm.MacVal,_xlfn.XLOOKUP($A362,Output_Mac!$A:$A,Output_Mac!F:F,""),
_xlpm.MyAuditVal,_xlfn.XLOOKUP($A362,My_Audit!$A:$A,My_Audit!E:E,""),
_xlfn.IFS(_xlpm.MyAuditVal&lt;&gt;"",_xlpm.MyAuditVal,_xlpm.MacVal&lt;&gt;"",_xlpm.MacVal,_xlpm.CSVVal&lt;&gt;"",PROPER(_xlpm.CSVVal)
)),"")</f>
        <v/>
      </c>
      <c r="G362" s="54" t="str" cm="1">
        <f t="array" ref="G362">IFERROR(_xlfn.LET(
_xlpm.CSVVal,_xlfn.XLOOKUP($A362,CSV!$A:$A,CSV!F:F,""),
_xlpm.MacVal,_xlfn.XLOOKUP($A362,Output_Mac!$A:$A,Output_Mac!H:H,""),
_xlpm.MyAuditVal,_xlfn.XLOOKUP($A362,My_Audit!$A:$A,My_Audit!F:F,""),
_xlfn.IFS(_xlpm.MyAuditVal&lt;&gt;"",_xlpm.MyAuditVal,_xlpm.MacVal&lt;&gt;"",_xlpm.MacVal,_xlpm.CSVVal&lt;&gt;"",_xlpm.CSVVal
)),"")</f>
        <v/>
      </c>
      <c r="H362" s="54" t="str">
        <f>_xlfn.XLOOKUP(A362,Output_Mac!A:A,Output_Mac!I:I,"")</f>
        <v/>
      </c>
      <c r="I362" s="54" t="str" cm="1">
        <f t="array" ref="I362">IFERROR(_xlfn.LET(
_xlpm.CSVVal,_xlfn.XLOOKUP($A362,CSV!$A:$A,CSV!G:G,""),
_xlpm.MacVal,_xlfn.XLOOKUP($A362,Output_Mac!$A:$A,Output_Mac!J:J,""),
_xlpm.MyAuditVal,_xlfn.XLOOKUP($A362,My_Audit!$A:$A,My_Audit!H:H,""),
_xlfn.IFS(_xlpm.MyAuditVal&lt;&gt;"",UPPER(_xlpm.MyAuditVal),_xlpm.MacVal&lt;&gt;"",_xlpm.MacVal,_xlpm.CSVVal&lt;&gt;"",_xlpm.CSVVal
)),"")</f>
        <v/>
      </c>
      <c r="J362" s="54" t="str" cm="1">
        <f t="array" ref="J362">IFERROR(_xlfn.LET(
_xlpm.CSVVal,_xlfn.XLOOKUP($A362,CSV!$A:$A,CSV!I:I,""),
_xlpm.MacVal,_xlfn.XLOOKUP($A362,Output_Mac!$A:$A,Output_Mac!K:K,""),
_xlpm.MyAuditVal,_xlfn.XLOOKUP($A362,My_Audit!$A:$A,My_Audit!I:I,""),
_xlfn.IFS(_xlpm.MyAuditVal&lt;&gt;"",UPPER(_xlpm.MyAuditVal),_xlpm.MacVal&lt;&gt;"",_xlpm.MacVal,_xlpm.CSVVal&lt;&gt;"",_xlpm.CSVVal
)),"")</f>
        <v/>
      </c>
      <c r="K362" s="54" t="str" cm="1">
        <f t="array" ref="K362">IFERROR(_xlfn.LET(
_xlpm.CSVVal,_xlfn.XLOOKUP($A362,CSV!$A:$A,CSV!M:M,""),
_xlpm.MacVal,_xlfn.XLOOKUP($A362,Output_Mac!$A:$A,Output_Mac!L:L,""),
_xlpm.MyAuditVal,_xlfn.XLOOKUP($A362,My_Audit!$A:$A,My_Audit!J:J,""),
_xlfn.IFS(_xlpm.MyAuditVal&lt;&gt;"",UPPER(_xlpm.MyAuditVal),_xlpm.MacVal&lt;&gt;"",_xlpm.MacVal,_xlpm.CSVVal&lt;&gt;"",_xlpm.CSVVal
)),"")</f>
        <v/>
      </c>
      <c r="L362" s="55" t="str" cm="1">
        <f t="array" ref="L362">IFERROR(_xlfn.LET(
_xlpm.CSVVal,_xlfn.XLOOKUP($A362,CSV!$A:$A,CSV!P:P,""),
_xlpm.MacVal,_xlfn.XLOOKUP($A362,Output_Mac!$A:$A,Output_Mac!M:M,""),
_xlpm.MyAuditVal,_xlfn.XLOOKUP($A362,My_Audit!$A:$A,My_Audit!K:K,""),
_xlfn.IFS(_xlpm.MyAuditVal&lt;&gt;"",UPPER(_xlpm.MyAuditVal),_xlpm.MacVal&lt;&gt;"",_xlpm.MacVal,_xlpm.CSVVal&lt;&gt;"",_xlpm.CSVVal
)),"")</f>
        <v/>
      </c>
      <c r="M362" s="54" t="str">
        <f>_xlfn.LET(
    _xlpm.CSVVal, _xlfn.XLOOKUP($A362, CSV!$A:$A, CSV!AD:AD, ""),
    _xlpm.MacVal, _xlfn.XLOOKUP($A362, Output_Mac!$A:$A, Output_Mac!S:S, ""),
    _xlpm.MyAuditVal, _xlfn.XLOOKUP($A362, My_Audit!$A:$A, My_Audit!N:N, ""),
    _xlfn.TEXTJOIN(", ", TRUE, _xlpm.MyAuditVal, _xlpm.MacVal, _xlpm.CSVVal)
)</f>
        <v/>
      </c>
      <c r="N362" s="54" t="str" cm="1">
        <f t="array" ref="N362">IFERROR(_xlfn.LET(
_xlpm.CSVVal,_xlfn.XLOOKUP($A362,CSV!$A:$A,CSV!AF:AF,""),
_xlpm.MacVal,_xlfn.XLOOKUP($A362,Output_Mac!$A:$A,Output_Mac!U:U,""),
_xlpm.MyAuditVal,_xlfn.XLOOKUP($A362,My_Audit!$A:$A,My_Audit!O:O,""),
_xlfn.IFS(_xlpm.MyAuditVal&lt;&gt;"",UPPER(_xlpm.MyAuditVal),_xlpm.MacVal&lt;&gt;"",_xlpm.MacVal,_xlpm.CSVVal&lt;&gt;"",_xlpm.CSVVal
)),"")</f>
        <v/>
      </c>
      <c r="O362" s="54"/>
      <c r="P362" s="54"/>
      <c r="Q362" s="54"/>
      <c r="R362" s="54"/>
      <c r="S362" s="54"/>
      <c r="T362" s="54"/>
      <c r="U362" s="39"/>
    </row>
    <row r="363" spans="1:21">
      <c r="A363" s="54" t="str">
        <f>_xlfn.TEXTJOIN("",TRUE,Input!$B$2,ROW(My_Audit!A362))</f>
        <v>XX362</v>
      </c>
      <c r="B363" s="54" t="str">
        <f>_xlfn.TEXTJOIN("-",TRUE,"ITD",Input!$A$2,A363)</f>
        <v>ITD-SHRXXX-XX362</v>
      </c>
      <c r="C363" s="54" t="str" cm="1">
        <f t="array" ref="C363">IFERROR(_xlfn.LET(
_xlpm.CSVVal,_xlfn.XLOOKUP($A363,CSV!$A:$A,CSV!B:B,""),
_xlpm.MacVal,_xlfn.XLOOKUP($A363,Output_Mac!$A:$A,Output_Mac!B:B,""),
_xlpm.MyAuditVal,_xlfn.XLOOKUP($A363,My_Audit!$A:$A,My_Audit!B:B,""),
_xlfn.IFS(_xlpm.MyAuditVal&lt;&gt;"",UPPER(_xlpm.MyAuditVal),_xlpm.MacVal&lt;&gt;"",_xlpm.MacVal,_xlpm.CSVVal&lt;&gt;"",_xlpm.CSVVal
)),"")</f>
        <v/>
      </c>
      <c r="D363" s="55" t="str">
        <f>_xlfn.XLOOKUP(A363,My_Audit!A:A,My_Audit!D:D,"")&amp;""</f>
        <v/>
      </c>
      <c r="E363" s="55" t="str" cm="1">
        <f t="array" ref="E363">IFERROR(_xlfn.LET(
_xlpm.CSVVal,_xlfn.XLOOKUP($A363,CSV!$A:$A,CSV!D:D,""),
_xlpm.MacVal,_xlfn.XLOOKUP($A363,Output_Mac!$A:$A,Output_Mac!C:C,""),
_xlpm.MyAuditVal,_xlfn.XLOOKUP($A363,My_Audit!$A:$A,My_Audit!D:D,""),
_xlfn.IFS(_xlpm.MyAuditVal&lt;&gt;"",_xlpm.MyAuditVal,_xlpm.MacVal&lt;&gt;"",_xlpm.MacVal,_xlpm.CSVVal&lt;&gt;"",_xlpm.CSVVal
)),"")</f>
        <v/>
      </c>
      <c r="F363" s="54" t="str" cm="1">
        <f t="array" ref="F363">IFERROR(_xlfn.LET(
_xlpm.CSVVal,_xlfn.XLOOKUP($A363,CSV!$A:$A,CSV!E:E,""),
_xlpm.MacVal,_xlfn.XLOOKUP($A363,Output_Mac!$A:$A,Output_Mac!F:F,""),
_xlpm.MyAuditVal,_xlfn.XLOOKUP($A363,My_Audit!$A:$A,My_Audit!E:E,""),
_xlfn.IFS(_xlpm.MyAuditVal&lt;&gt;"",_xlpm.MyAuditVal,_xlpm.MacVal&lt;&gt;"",_xlpm.MacVal,_xlpm.CSVVal&lt;&gt;"",PROPER(_xlpm.CSVVal)
)),"")</f>
        <v/>
      </c>
      <c r="G363" s="54" t="str" cm="1">
        <f t="array" ref="G363">IFERROR(_xlfn.LET(
_xlpm.CSVVal,_xlfn.XLOOKUP($A363,CSV!$A:$A,CSV!F:F,""),
_xlpm.MacVal,_xlfn.XLOOKUP($A363,Output_Mac!$A:$A,Output_Mac!H:H,""),
_xlpm.MyAuditVal,_xlfn.XLOOKUP($A363,My_Audit!$A:$A,My_Audit!F:F,""),
_xlfn.IFS(_xlpm.MyAuditVal&lt;&gt;"",_xlpm.MyAuditVal,_xlpm.MacVal&lt;&gt;"",_xlpm.MacVal,_xlpm.CSVVal&lt;&gt;"",_xlpm.CSVVal
)),"")</f>
        <v/>
      </c>
      <c r="H363" s="54" t="str">
        <f>_xlfn.XLOOKUP(A363,Output_Mac!A:A,Output_Mac!I:I,"")</f>
        <v/>
      </c>
      <c r="I363" s="54" t="str" cm="1">
        <f t="array" ref="I363">IFERROR(_xlfn.LET(
_xlpm.CSVVal,_xlfn.XLOOKUP($A363,CSV!$A:$A,CSV!G:G,""),
_xlpm.MacVal,_xlfn.XLOOKUP($A363,Output_Mac!$A:$A,Output_Mac!J:J,""),
_xlpm.MyAuditVal,_xlfn.XLOOKUP($A363,My_Audit!$A:$A,My_Audit!H:H,""),
_xlfn.IFS(_xlpm.MyAuditVal&lt;&gt;"",UPPER(_xlpm.MyAuditVal),_xlpm.MacVal&lt;&gt;"",_xlpm.MacVal,_xlpm.CSVVal&lt;&gt;"",_xlpm.CSVVal
)),"")</f>
        <v/>
      </c>
      <c r="J363" s="54" t="str" cm="1">
        <f t="array" ref="J363">IFERROR(_xlfn.LET(
_xlpm.CSVVal,_xlfn.XLOOKUP($A363,CSV!$A:$A,CSV!I:I,""),
_xlpm.MacVal,_xlfn.XLOOKUP($A363,Output_Mac!$A:$A,Output_Mac!K:K,""),
_xlpm.MyAuditVal,_xlfn.XLOOKUP($A363,My_Audit!$A:$A,My_Audit!I:I,""),
_xlfn.IFS(_xlpm.MyAuditVal&lt;&gt;"",UPPER(_xlpm.MyAuditVal),_xlpm.MacVal&lt;&gt;"",_xlpm.MacVal,_xlpm.CSVVal&lt;&gt;"",_xlpm.CSVVal
)),"")</f>
        <v/>
      </c>
      <c r="K363" s="54" t="str" cm="1">
        <f t="array" ref="K363">IFERROR(_xlfn.LET(
_xlpm.CSVVal,_xlfn.XLOOKUP($A363,CSV!$A:$A,CSV!M:M,""),
_xlpm.MacVal,_xlfn.XLOOKUP($A363,Output_Mac!$A:$A,Output_Mac!L:L,""),
_xlpm.MyAuditVal,_xlfn.XLOOKUP($A363,My_Audit!$A:$A,My_Audit!J:J,""),
_xlfn.IFS(_xlpm.MyAuditVal&lt;&gt;"",UPPER(_xlpm.MyAuditVal),_xlpm.MacVal&lt;&gt;"",_xlpm.MacVal,_xlpm.CSVVal&lt;&gt;"",_xlpm.CSVVal
)),"")</f>
        <v/>
      </c>
      <c r="L363" s="55" t="str" cm="1">
        <f t="array" ref="L363">IFERROR(_xlfn.LET(
_xlpm.CSVVal,_xlfn.XLOOKUP($A363,CSV!$A:$A,CSV!P:P,""),
_xlpm.MacVal,_xlfn.XLOOKUP($A363,Output_Mac!$A:$A,Output_Mac!M:M,""),
_xlpm.MyAuditVal,_xlfn.XLOOKUP($A363,My_Audit!$A:$A,My_Audit!K:K,""),
_xlfn.IFS(_xlpm.MyAuditVal&lt;&gt;"",UPPER(_xlpm.MyAuditVal),_xlpm.MacVal&lt;&gt;"",_xlpm.MacVal,_xlpm.CSVVal&lt;&gt;"",_xlpm.CSVVal
)),"")</f>
        <v/>
      </c>
      <c r="M363" s="54" t="str">
        <f>_xlfn.LET(
    _xlpm.CSVVal, _xlfn.XLOOKUP($A363, CSV!$A:$A, CSV!AD:AD, ""),
    _xlpm.MacVal, _xlfn.XLOOKUP($A363, Output_Mac!$A:$A, Output_Mac!S:S, ""),
    _xlpm.MyAuditVal, _xlfn.XLOOKUP($A363, My_Audit!$A:$A, My_Audit!N:N, ""),
    _xlfn.TEXTJOIN(", ", TRUE, _xlpm.MyAuditVal, _xlpm.MacVal, _xlpm.CSVVal)
)</f>
        <v/>
      </c>
      <c r="N363" s="54" t="str" cm="1">
        <f t="array" ref="N363">IFERROR(_xlfn.LET(
_xlpm.CSVVal,_xlfn.XLOOKUP($A363,CSV!$A:$A,CSV!AF:AF,""),
_xlpm.MacVal,_xlfn.XLOOKUP($A363,Output_Mac!$A:$A,Output_Mac!U:U,""),
_xlpm.MyAuditVal,_xlfn.XLOOKUP($A363,My_Audit!$A:$A,My_Audit!O:O,""),
_xlfn.IFS(_xlpm.MyAuditVal&lt;&gt;"",UPPER(_xlpm.MyAuditVal),_xlpm.MacVal&lt;&gt;"",_xlpm.MacVal,_xlpm.CSVVal&lt;&gt;"",_xlpm.CSVVal
)),"")</f>
        <v/>
      </c>
      <c r="O363" s="54"/>
      <c r="P363" s="54"/>
      <c r="Q363" s="54"/>
      <c r="R363" s="54"/>
      <c r="S363" s="54"/>
      <c r="T363" s="54"/>
      <c r="U363" s="39"/>
    </row>
    <row r="364" spans="1:21">
      <c r="A364" s="54" t="str">
        <f>_xlfn.TEXTJOIN("",TRUE,Input!$B$2,ROW(My_Audit!A363))</f>
        <v>XX363</v>
      </c>
      <c r="B364" s="54" t="str">
        <f>_xlfn.TEXTJOIN("-",TRUE,"ITD",Input!$A$2,A364)</f>
        <v>ITD-SHRXXX-XX363</v>
      </c>
      <c r="C364" s="54" t="str" cm="1">
        <f t="array" ref="C364">IFERROR(_xlfn.LET(
_xlpm.CSVVal,_xlfn.XLOOKUP($A364,CSV!$A:$A,CSV!B:B,""),
_xlpm.MacVal,_xlfn.XLOOKUP($A364,Output_Mac!$A:$A,Output_Mac!B:B,""),
_xlpm.MyAuditVal,_xlfn.XLOOKUP($A364,My_Audit!$A:$A,My_Audit!B:B,""),
_xlfn.IFS(_xlpm.MyAuditVal&lt;&gt;"",UPPER(_xlpm.MyAuditVal),_xlpm.MacVal&lt;&gt;"",_xlpm.MacVal,_xlpm.CSVVal&lt;&gt;"",_xlpm.CSVVal
)),"")</f>
        <v/>
      </c>
      <c r="D364" s="55" t="str">
        <f>_xlfn.XLOOKUP(A364,My_Audit!A:A,My_Audit!D:D,"")&amp;""</f>
        <v/>
      </c>
      <c r="E364" s="55" t="str" cm="1">
        <f t="array" ref="E364">IFERROR(_xlfn.LET(
_xlpm.CSVVal,_xlfn.XLOOKUP($A364,CSV!$A:$A,CSV!D:D,""),
_xlpm.MacVal,_xlfn.XLOOKUP($A364,Output_Mac!$A:$A,Output_Mac!C:C,""),
_xlpm.MyAuditVal,_xlfn.XLOOKUP($A364,My_Audit!$A:$A,My_Audit!D:D,""),
_xlfn.IFS(_xlpm.MyAuditVal&lt;&gt;"",_xlpm.MyAuditVal,_xlpm.MacVal&lt;&gt;"",_xlpm.MacVal,_xlpm.CSVVal&lt;&gt;"",_xlpm.CSVVal
)),"")</f>
        <v/>
      </c>
      <c r="F364" s="54" t="str" cm="1">
        <f t="array" ref="F364">IFERROR(_xlfn.LET(
_xlpm.CSVVal,_xlfn.XLOOKUP($A364,CSV!$A:$A,CSV!E:E,""),
_xlpm.MacVal,_xlfn.XLOOKUP($A364,Output_Mac!$A:$A,Output_Mac!F:F,""),
_xlpm.MyAuditVal,_xlfn.XLOOKUP($A364,My_Audit!$A:$A,My_Audit!E:E,""),
_xlfn.IFS(_xlpm.MyAuditVal&lt;&gt;"",_xlpm.MyAuditVal,_xlpm.MacVal&lt;&gt;"",_xlpm.MacVal,_xlpm.CSVVal&lt;&gt;"",PROPER(_xlpm.CSVVal)
)),"")</f>
        <v/>
      </c>
      <c r="G364" s="54" t="str" cm="1">
        <f t="array" ref="G364">IFERROR(_xlfn.LET(
_xlpm.CSVVal,_xlfn.XLOOKUP($A364,CSV!$A:$A,CSV!F:F,""),
_xlpm.MacVal,_xlfn.XLOOKUP($A364,Output_Mac!$A:$A,Output_Mac!H:H,""),
_xlpm.MyAuditVal,_xlfn.XLOOKUP($A364,My_Audit!$A:$A,My_Audit!F:F,""),
_xlfn.IFS(_xlpm.MyAuditVal&lt;&gt;"",_xlpm.MyAuditVal,_xlpm.MacVal&lt;&gt;"",_xlpm.MacVal,_xlpm.CSVVal&lt;&gt;"",_xlpm.CSVVal
)),"")</f>
        <v/>
      </c>
      <c r="H364" s="54" t="str">
        <f>_xlfn.XLOOKUP(A364,Output_Mac!A:A,Output_Mac!I:I,"")</f>
        <v/>
      </c>
      <c r="I364" s="54" t="str" cm="1">
        <f t="array" ref="I364">IFERROR(_xlfn.LET(
_xlpm.CSVVal,_xlfn.XLOOKUP($A364,CSV!$A:$A,CSV!G:G,""),
_xlpm.MacVal,_xlfn.XLOOKUP($A364,Output_Mac!$A:$A,Output_Mac!J:J,""),
_xlpm.MyAuditVal,_xlfn.XLOOKUP($A364,My_Audit!$A:$A,My_Audit!H:H,""),
_xlfn.IFS(_xlpm.MyAuditVal&lt;&gt;"",UPPER(_xlpm.MyAuditVal),_xlpm.MacVal&lt;&gt;"",_xlpm.MacVal,_xlpm.CSVVal&lt;&gt;"",_xlpm.CSVVal
)),"")</f>
        <v/>
      </c>
      <c r="J364" s="54" t="str" cm="1">
        <f t="array" ref="J364">IFERROR(_xlfn.LET(
_xlpm.CSVVal,_xlfn.XLOOKUP($A364,CSV!$A:$A,CSV!I:I,""),
_xlpm.MacVal,_xlfn.XLOOKUP($A364,Output_Mac!$A:$A,Output_Mac!K:K,""),
_xlpm.MyAuditVal,_xlfn.XLOOKUP($A364,My_Audit!$A:$A,My_Audit!I:I,""),
_xlfn.IFS(_xlpm.MyAuditVal&lt;&gt;"",UPPER(_xlpm.MyAuditVal),_xlpm.MacVal&lt;&gt;"",_xlpm.MacVal,_xlpm.CSVVal&lt;&gt;"",_xlpm.CSVVal
)),"")</f>
        <v/>
      </c>
      <c r="K364" s="54" t="str" cm="1">
        <f t="array" ref="K364">IFERROR(_xlfn.LET(
_xlpm.CSVVal,_xlfn.XLOOKUP($A364,CSV!$A:$A,CSV!M:M,""),
_xlpm.MacVal,_xlfn.XLOOKUP($A364,Output_Mac!$A:$A,Output_Mac!L:L,""),
_xlpm.MyAuditVal,_xlfn.XLOOKUP($A364,My_Audit!$A:$A,My_Audit!J:J,""),
_xlfn.IFS(_xlpm.MyAuditVal&lt;&gt;"",UPPER(_xlpm.MyAuditVal),_xlpm.MacVal&lt;&gt;"",_xlpm.MacVal,_xlpm.CSVVal&lt;&gt;"",_xlpm.CSVVal
)),"")</f>
        <v/>
      </c>
      <c r="L364" s="55" t="str" cm="1">
        <f t="array" ref="L364">IFERROR(_xlfn.LET(
_xlpm.CSVVal,_xlfn.XLOOKUP($A364,CSV!$A:$A,CSV!P:P,""),
_xlpm.MacVal,_xlfn.XLOOKUP($A364,Output_Mac!$A:$A,Output_Mac!M:M,""),
_xlpm.MyAuditVal,_xlfn.XLOOKUP($A364,My_Audit!$A:$A,My_Audit!K:K,""),
_xlfn.IFS(_xlpm.MyAuditVal&lt;&gt;"",UPPER(_xlpm.MyAuditVal),_xlpm.MacVal&lt;&gt;"",_xlpm.MacVal,_xlpm.CSVVal&lt;&gt;"",_xlpm.CSVVal
)),"")</f>
        <v/>
      </c>
      <c r="M364" s="54" t="str">
        <f>_xlfn.LET(
    _xlpm.CSVVal, _xlfn.XLOOKUP($A364, CSV!$A:$A, CSV!AD:AD, ""),
    _xlpm.MacVal, _xlfn.XLOOKUP($A364, Output_Mac!$A:$A, Output_Mac!S:S, ""),
    _xlpm.MyAuditVal, _xlfn.XLOOKUP($A364, My_Audit!$A:$A, My_Audit!N:N, ""),
    _xlfn.TEXTJOIN(", ", TRUE, _xlpm.MyAuditVal, _xlpm.MacVal, _xlpm.CSVVal)
)</f>
        <v/>
      </c>
      <c r="N364" s="54" t="str" cm="1">
        <f t="array" ref="N364">IFERROR(_xlfn.LET(
_xlpm.CSVVal,_xlfn.XLOOKUP($A364,CSV!$A:$A,CSV!AF:AF,""),
_xlpm.MacVal,_xlfn.XLOOKUP($A364,Output_Mac!$A:$A,Output_Mac!U:U,""),
_xlpm.MyAuditVal,_xlfn.XLOOKUP($A364,My_Audit!$A:$A,My_Audit!O:O,""),
_xlfn.IFS(_xlpm.MyAuditVal&lt;&gt;"",UPPER(_xlpm.MyAuditVal),_xlpm.MacVal&lt;&gt;"",_xlpm.MacVal,_xlpm.CSVVal&lt;&gt;"",_xlpm.CSVVal
)),"")</f>
        <v/>
      </c>
      <c r="O364" s="54"/>
      <c r="P364" s="54"/>
      <c r="Q364" s="54"/>
      <c r="R364" s="54"/>
      <c r="S364" s="54"/>
      <c r="T364" s="54"/>
      <c r="U364" s="39"/>
    </row>
    <row r="365" spans="1:21">
      <c r="A365" s="54" t="str">
        <f>_xlfn.TEXTJOIN("",TRUE,Input!$B$2,ROW(My_Audit!A364))</f>
        <v>XX364</v>
      </c>
      <c r="B365" s="54" t="str">
        <f>_xlfn.TEXTJOIN("-",TRUE,"ITD",Input!$A$2,A365)</f>
        <v>ITD-SHRXXX-XX364</v>
      </c>
      <c r="C365" s="54" t="str" cm="1">
        <f t="array" ref="C365">IFERROR(_xlfn.LET(
_xlpm.CSVVal,_xlfn.XLOOKUP($A365,CSV!$A:$A,CSV!B:B,""),
_xlpm.MacVal,_xlfn.XLOOKUP($A365,Output_Mac!$A:$A,Output_Mac!B:B,""),
_xlpm.MyAuditVal,_xlfn.XLOOKUP($A365,My_Audit!$A:$A,My_Audit!B:B,""),
_xlfn.IFS(_xlpm.MyAuditVal&lt;&gt;"",UPPER(_xlpm.MyAuditVal),_xlpm.MacVal&lt;&gt;"",_xlpm.MacVal,_xlpm.CSVVal&lt;&gt;"",_xlpm.CSVVal
)),"")</f>
        <v/>
      </c>
      <c r="D365" s="55" t="str">
        <f>_xlfn.XLOOKUP(A365,My_Audit!A:A,My_Audit!D:D,"")&amp;""</f>
        <v/>
      </c>
      <c r="E365" s="55" t="str" cm="1">
        <f t="array" ref="E365">IFERROR(_xlfn.LET(
_xlpm.CSVVal,_xlfn.XLOOKUP($A365,CSV!$A:$A,CSV!D:D,""),
_xlpm.MacVal,_xlfn.XLOOKUP($A365,Output_Mac!$A:$A,Output_Mac!C:C,""),
_xlpm.MyAuditVal,_xlfn.XLOOKUP($A365,My_Audit!$A:$A,My_Audit!D:D,""),
_xlfn.IFS(_xlpm.MyAuditVal&lt;&gt;"",_xlpm.MyAuditVal,_xlpm.MacVal&lt;&gt;"",_xlpm.MacVal,_xlpm.CSVVal&lt;&gt;"",_xlpm.CSVVal
)),"")</f>
        <v/>
      </c>
      <c r="F365" s="54" t="str" cm="1">
        <f t="array" ref="F365">IFERROR(_xlfn.LET(
_xlpm.CSVVal,_xlfn.XLOOKUP($A365,CSV!$A:$A,CSV!E:E,""),
_xlpm.MacVal,_xlfn.XLOOKUP($A365,Output_Mac!$A:$A,Output_Mac!F:F,""),
_xlpm.MyAuditVal,_xlfn.XLOOKUP($A365,My_Audit!$A:$A,My_Audit!E:E,""),
_xlfn.IFS(_xlpm.MyAuditVal&lt;&gt;"",_xlpm.MyAuditVal,_xlpm.MacVal&lt;&gt;"",_xlpm.MacVal,_xlpm.CSVVal&lt;&gt;"",PROPER(_xlpm.CSVVal)
)),"")</f>
        <v/>
      </c>
      <c r="G365" s="54" t="str" cm="1">
        <f t="array" ref="G365">IFERROR(_xlfn.LET(
_xlpm.CSVVal,_xlfn.XLOOKUP($A365,CSV!$A:$A,CSV!F:F,""),
_xlpm.MacVal,_xlfn.XLOOKUP($A365,Output_Mac!$A:$A,Output_Mac!H:H,""),
_xlpm.MyAuditVal,_xlfn.XLOOKUP($A365,My_Audit!$A:$A,My_Audit!F:F,""),
_xlfn.IFS(_xlpm.MyAuditVal&lt;&gt;"",_xlpm.MyAuditVal,_xlpm.MacVal&lt;&gt;"",_xlpm.MacVal,_xlpm.CSVVal&lt;&gt;"",_xlpm.CSVVal
)),"")</f>
        <v/>
      </c>
      <c r="H365" s="54" t="str">
        <f>_xlfn.XLOOKUP(A365,Output_Mac!A:A,Output_Mac!I:I,"")</f>
        <v/>
      </c>
      <c r="I365" s="54" t="str" cm="1">
        <f t="array" ref="I365">IFERROR(_xlfn.LET(
_xlpm.CSVVal,_xlfn.XLOOKUP($A365,CSV!$A:$A,CSV!G:G,""),
_xlpm.MacVal,_xlfn.XLOOKUP($A365,Output_Mac!$A:$A,Output_Mac!J:J,""),
_xlpm.MyAuditVal,_xlfn.XLOOKUP($A365,My_Audit!$A:$A,My_Audit!H:H,""),
_xlfn.IFS(_xlpm.MyAuditVal&lt;&gt;"",UPPER(_xlpm.MyAuditVal),_xlpm.MacVal&lt;&gt;"",_xlpm.MacVal,_xlpm.CSVVal&lt;&gt;"",_xlpm.CSVVal
)),"")</f>
        <v/>
      </c>
      <c r="J365" s="54" t="str" cm="1">
        <f t="array" ref="J365">IFERROR(_xlfn.LET(
_xlpm.CSVVal,_xlfn.XLOOKUP($A365,CSV!$A:$A,CSV!I:I,""),
_xlpm.MacVal,_xlfn.XLOOKUP($A365,Output_Mac!$A:$A,Output_Mac!K:K,""),
_xlpm.MyAuditVal,_xlfn.XLOOKUP($A365,My_Audit!$A:$A,My_Audit!I:I,""),
_xlfn.IFS(_xlpm.MyAuditVal&lt;&gt;"",UPPER(_xlpm.MyAuditVal),_xlpm.MacVal&lt;&gt;"",_xlpm.MacVal,_xlpm.CSVVal&lt;&gt;"",_xlpm.CSVVal
)),"")</f>
        <v/>
      </c>
      <c r="K365" s="54" t="str" cm="1">
        <f t="array" ref="K365">IFERROR(_xlfn.LET(
_xlpm.CSVVal,_xlfn.XLOOKUP($A365,CSV!$A:$A,CSV!M:M,""),
_xlpm.MacVal,_xlfn.XLOOKUP($A365,Output_Mac!$A:$A,Output_Mac!L:L,""),
_xlpm.MyAuditVal,_xlfn.XLOOKUP($A365,My_Audit!$A:$A,My_Audit!J:J,""),
_xlfn.IFS(_xlpm.MyAuditVal&lt;&gt;"",UPPER(_xlpm.MyAuditVal),_xlpm.MacVal&lt;&gt;"",_xlpm.MacVal,_xlpm.CSVVal&lt;&gt;"",_xlpm.CSVVal
)),"")</f>
        <v/>
      </c>
      <c r="L365" s="55" t="str" cm="1">
        <f t="array" ref="L365">IFERROR(_xlfn.LET(
_xlpm.CSVVal,_xlfn.XLOOKUP($A365,CSV!$A:$A,CSV!P:P,""),
_xlpm.MacVal,_xlfn.XLOOKUP($A365,Output_Mac!$A:$A,Output_Mac!M:M,""),
_xlpm.MyAuditVal,_xlfn.XLOOKUP($A365,My_Audit!$A:$A,My_Audit!K:K,""),
_xlfn.IFS(_xlpm.MyAuditVal&lt;&gt;"",UPPER(_xlpm.MyAuditVal),_xlpm.MacVal&lt;&gt;"",_xlpm.MacVal,_xlpm.CSVVal&lt;&gt;"",_xlpm.CSVVal
)),"")</f>
        <v/>
      </c>
      <c r="M365" s="54" t="str">
        <f>_xlfn.LET(
    _xlpm.CSVVal, _xlfn.XLOOKUP($A365, CSV!$A:$A, CSV!AD:AD, ""),
    _xlpm.MacVal, _xlfn.XLOOKUP($A365, Output_Mac!$A:$A, Output_Mac!S:S, ""),
    _xlpm.MyAuditVal, _xlfn.XLOOKUP($A365, My_Audit!$A:$A, My_Audit!N:N, ""),
    _xlfn.TEXTJOIN(", ", TRUE, _xlpm.MyAuditVal, _xlpm.MacVal, _xlpm.CSVVal)
)</f>
        <v/>
      </c>
      <c r="N365" s="54" t="str" cm="1">
        <f t="array" ref="N365">IFERROR(_xlfn.LET(
_xlpm.CSVVal,_xlfn.XLOOKUP($A365,CSV!$A:$A,CSV!AF:AF,""),
_xlpm.MacVal,_xlfn.XLOOKUP($A365,Output_Mac!$A:$A,Output_Mac!U:U,""),
_xlpm.MyAuditVal,_xlfn.XLOOKUP($A365,My_Audit!$A:$A,My_Audit!O:O,""),
_xlfn.IFS(_xlpm.MyAuditVal&lt;&gt;"",UPPER(_xlpm.MyAuditVal),_xlpm.MacVal&lt;&gt;"",_xlpm.MacVal,_xlpm.CSVVal&lt;&gt;"",_xlpm.CSVVal
)),"")</f>
        <v/>
      </c>
      <c r="O365" s="54"/>
      <c r="P365" s="54"/>
      <c r="Q365" s="54"/>
      <c r="R365" s="54"/>
      <c r="S365" s="54"/>
      <c r="T365" s="54"/>
      <c r="U365" s="39"/>
    </row>
    <row r="366" spans="1:21">
      <c r="A366" s="54" t="str">
        <f>_xlfn.TEXTJOIN("",TRUE,Input!$B$2,ROW(My_Audit!A365))</f>
        <v>XX365</v>
      </c>
      <c r="B366" s="54" t="str">
        <f>_xlfn.TEXTJOIN("-",TRUE,"ITD",Input!$A$2,A366)</f>
        <v>ITD-SHRXXX-XX365</v>
      </c>
      <c r="C366" s="54" t="str" cm="1">
        <f t="array" ref="C366">IFERROR(_xlfn.LET(
_xlpm.CSVVal,_xlfn.XLOOKUP($A366,CSV!$A:$A,CSV!B:B,""),
_xlpm.MacVal,_xlfn.XLOOKUP($A366,Output_Mac!$A:$A,Output_Mac!B:B,""),
_xlpm.MyAuditVal,_xlfn.XLOOKUP($A366,My_Audit!$A:$A,My_Audit!B:B,""),
_xlfn.IFS(_xlpm.MyAuditVal&lt;&gt;"",UPPER(_xlpm.MyAuditVal),_xlpm.MacVal&lt;&gt;"",_xlpm.MacVal,_xlpm.CSVVal&lt;&gt;"",_xlpm.CSVVal
)),"")</f>
        <v/>
      </c>
      <c r="D366" s="55" t="str">
        <f>_xlfn.XLOOKUP(A366,My_Audit!A:A,My_Audit!D:D,"")&amp;""</f>
        <v/>
      </c>
      <c r="E366" s="55" t="str" cm="1">
        <f t="array" ref="E366">IFERROR(_xlfn.LET(
_xlpm.CSVVal,_xlfn.XLOOKUP($A366,CSV!$A:$A,CSV!D:D,""),
_xlpm.MacVal,_xlfn.XLOOKUP($A366,Output_Mac!$A:$A,Output_Mac!C:C,""),
_xlpm.MyAuditVal,_xlfn.XLOOKUP($A366,My_Audit!$A:$A,My_Audit!D:D,""),
_xlfn.IFS(_xlpm.MyAuditVal&lt;&gt;"",_xlpm.MyAuditVal,_xlpm.MacVal&lt;&gt;"",_xlpm.MacVal,_xlpm.CSVVal&lt;&gt;"",_xlpm.CSVVal
)),"")</f>
        <v/>
      </c>
      <c r="F366" s="54" t="str" cm="1">
        <f t="array" ref="F366">IFERROR(_xlfn.LET(
_xlpm.CSVVal,_xlfn.XLOOKUP($A366,CSV!$A:$A,CSV!E:E,""),
_xlpm.MacVal,_xlfn.XLOOKUP($A366,Output_Mac!$A:$A,Output_Mac!F:F,""),
_xlpm.MyAuditVal,_xlfn.XLOOKUP($A366,My_Audit!$A:$A,My_Audit!E:E,""),
_xlfn.IFS(_xlpm.MyAuditVal&lt;&gt;"",_xlpm.MyAuditVal,_xlpm.MacVal&lt;&gt;"",_xlpm.MacVal,_xlpm.CSVVal&lt;&gt;"",PROPER(_xlpm.CSVVal)
)),"")</f>
        <v/>
      </c>
      <c r="G366" s="54" t="str" cm="1">
        <f t="array" ref="G366">IFERROR(_xlfn.LET(
_xlpm.CSVVal,_xlfn.XLOOKUP($A366,CSV!$A:$A,CSV!F:F,""),
_xlpm.MacVal,_xlfn.XLOOKUP($A366,Output_Mac!$A:$A,Output_Mac!H:H,""),
_xlpm.MyAuditVal,_xlfn.XLOOKUP($A366,My_Audit!$A:$A,My_Audit!F:F,""),
_xlfn.IFS(_xlpm.MyAuditVal&lt;&gt;"",_xlpm.MyAuditVal,_xlpm.MacVal&lt;&gt;"",_xlpm.MacVal,_xlpm.CSVVal&lt;&gt;"",_xlpm.CSVVal
)),"")</f>
        <v/>
      </c>
      <c r="H366" s="54" t="str">
        <f>_xlfn.XLOOKUP(A366,Output_Mac!A:A,Output_Mac!I:I,"")</f>
        <v/>
      </c>
      <c r="I366" s="54" t="str" cm="1">
        <f t="array" ref="I366">IFERROR(_xlfn.LET(
_xlpm.CSVVal,_xlfn.XLOOKUP($A366,CSV!$A:$A,CSV!G:G,""),
_xlpm.MacVal,_xlfn.XLOOKUP($A366,Output_Mac!$A:$A,Output_Mac!J:J,""),
_xlpm.MyAuditVal,_xlfn.XLOOKUP($A366,My_Audit!$A:$A,My_Audit!H:H,""),
_xlfn.IFS(_xlpm.MyAuditVal&lt;&gt;"",UPPER(_xlpm.MyAuditVal),_xlpm.MacVal&lt;&gt;"",_xlpm.MacVal,_xlpm.CSVVal&lt;&gt;"",_xlpm.CSVVal
)),"")</f>
        <v/>
      </c>
      <c r="J366" s="54" t="str" cm="1">
        <f t="array" ref="J366">IFERROR(_xlfn.LET(
_xlpm.CSVVal,_xlfn.XLOOKUP($A366,CSV!$A:$A,CSV!I:I,""),
_xlpm.MacVal,_xlfn.XLOOKUP($A366,Output_Mac!$A:$A,Output_Mac!K:K,""),
_xlpm.MyAuditVal,_xlfn.XLOOKUP($A366,My_Audit!$A:$A,My_Audit!I:I,""),
_xlfn.IFS(_xlpm.MyAuditVal&lt;&gt;"",UPPER(_xlpm.MyAuditVal),_xlpm.MacVal&lt;&gt;"",_xlpm.MacVal,_xlpm.CSVVal&lt;&gt;"",_xlpm.CSVVal
)),"")</f>
        <v/>
      </c>
      <c r="K366" s="54" t="str" cm="1">
        <f t="array" ref="K366">IFERROR(_xlfn.LET(
_xlpm.CSVVal,_xlfn.XLOOKUP($A366,CSV!$A:$A,CSV!M:M,""),
_xlpm.MacVal,_xlfn.XLOOKUP($A366,Output_Mac!$A:$A,Output_Mac!L:L,""),
_xlpm.MyAuditVal,_xlfn.XLOOKUP($A366,My_Audit!$A:$A,My_Audit!J:J,""),
_xlfn.IFS(_xlpm.MyAuditVal&lt;&gt;"",UPPER(_xlpm.MyAuditVal),_xlpm.MacVal&lt;&gt;"",_xlpm.MacVal,_xlpm.CSVVal&lt;&gt;"",_xlpm.CSVVal
)),"")</f>
        <v/>
      </c>
      <c r="L366" s="55" t="str" cm="1">
        <f t="array" ref="L366">IFERROR(_xlfn.LET(
_xlpm.CSVVal,_xlfn.XLOOKUP($A366,CSV!$A:$A,CSV!P:P,""),
_xlpm.MacVal,_xlfn.XLOOKUP($A366,Output_Mac!$A:$A,Output_Mac!M:M,""),
_xlpm.MyAuditVal,_xlfn.XLOOKUP($A366,My_Audit!$A:$A,My_Audit!K:K,""),
_xlfn.IFS(_xlpm.MyAuditVal&lt;&gt;"",UPPER(_xlpm.MyAuditVal),_xlpm.MacVal&lt;&gt;"",_xlpm.MacVal,_xlpm.CSVVal&lt;&gt;"",_xlpm.CSVVal
)),"")</f>
        <v/>
      </c>
      <c r="M366" s="54" t="str">
        <f>_xlfn.LET(
    _xlpm.CSVVal, _xlfn.XLOOKUP($A366, CSV!$A:$A, CSV!AD:AD, ""),
    _xlpm.MacVal, _xlfn.XLOOKUP($A366, Output_Mac!$A:$A, Output_Mac!S:S, ""),
    _xlpm.MyAuditVal, _xlfn.XLOOKUP($A366, My_Audit!$A:$A, My_Audit!N:N, ""),
    _xlfn.TEXTJOIN(", ", TRUE, _xlpm.MyAuditVal, _xlpm.MacVal, _xlpm.CSVVal)
)</f>
        <v/>
      </c>
      <c r="N366" s="54" t="str" cm="1">
        <f t="array" ref="N366">IFERROR(_xlfn.LET(
_xlpm.CSVVal,_xlfn.XLOOKUP($A366,CSV!$A:$A,CSV!AF:AF,""),
_xlpm.MacVal,_xlfn.XLOOKUP($A366,Output_Mac!$A:$A,Output_Mac!U:U,""),
_xlpm.MyAuditVal,_xlfn.XLOOKUP($A366,My_Audit!$A:$A,My_Audit!O:O,""),
_xlfn.IFS(_xlpm.MyAuditVal&lt;&gt;"",UPPER(_xlpm.MyAuditVal),_xlpm.MacVal&lt;&gt;"",_xlpm.MacVal,_xlpm.CSVVal&lt;&gt;"",_xlpm.CSVVal
)),"")</f>
        <v/>
      </c>
      <c r="O366" s="54"/>
      <c r="P366" s="54"/>
      <c r="Q366" s="54"/>
      <c r="R366" s="54"/>
      <c r="S366" s="54"/>
      <c r="T366" s="54"/>
      <c r="U366" s="39"/>
    </row>
    <row r="367" spans="1:21">
      <c r="A367" s="54" t="str">
        <f>_xlfn.TEXTJOIN("",TRUE,Input!$B$2,ROW(My_Audit!A366))</f>
        <v>XX366</v>
      </c>
      <c r="B367" s="54" t="str">
        <f>_xlfn.TEXTJOIN("-",TRUE,"ITD",Input!$A$2,A367)</f>
        <v>ITD-SHRXXX-XX366</v>
      </c>
      <c r="C367" s="54" t="str" cm="1">
        <f t="array" ref="C367">IFERROR(_xlfn.LET(
_xlpm.CSVVal,_xlfn.XLOOKUP($A367,CSV!$A:$A,CSV!B:B,""),
_xlpm.MacVal,_xlfn.XLOOKUP($A367,Output_Mac!$A:$A,Output_Mac!B:B,""),
_xlpm.MyAuditVal,_xlfn.XLOOKUP($A367,My_Audit!$A:$A,My_Audit!B:B,""),
_xlfn.IFS(_xlpm.MyAuditVal&lt;&gt;"",UPPER(_xlpm.MyAuditVal),_xlpm.MacVal&lt;&gt;"",_xlpm.MacVal,_xlpm.CSVVal&lt;&gt;"",_xlpm.CSVVal
)),"")</f>
        <v/>
      </c>
      <c r="D367" s="55" t="str">
        <f>_xlfn.XLOOKUP(A367,My_Audit!A:A,My_Audit!D:D,"")&amp;""</f>
        <v/>
      </c>
      <c r="E367" s="55" t="str" cm="1">
        <f t="array" ref="E367">IFERROR(_xlfn.LET(
_xlpm.CSVVal,_xlfn.XLOOKUP($A367,CSV!$A:$A,CSV!D:D,""),
_xlpm.MacVal,_xlfn.XLOOKUP($A367,Output_Mac!$A:$A,Output_Mac!C:C,""),
_xlpm.MyAuditVal,_xlfn.XLOOKUP($A367,My_Audit!$A:$A,My_Audit!D:D,""),
_xlfn.IFS(_xlpm.MyAuditVal&lt;&gt;"",_xlpm.MyAuditVal,_xlpm.MacVal&lt;&gt;"",_xlpm.MacVal,_xlpm.CSVVal&lt;&gt;"",_xlpm.CSVVal
)),"")</f>
        <v/>
      </c>
      <c r="F367" s="54" t="str" cm="1">
        <f t="array" ref="F367">IFERROR(_xlfn.LET(
_xlpm.CSVVal,_xlfn.XLOOKUP($A367,CSV!$A:$A,CSV!E:E,""),
_xlpm.MacVal,_xlfn.XLOOKUP($A367,Output_Mac!$A:$A,Output_Mac!F:F,""),
_xlpm.MyAuditVal,_xlfn.XLOOKUP($A367,My_Audit!$A:$A,My_Audit!E:E,""),
_xlfn.IFS(_xlpm.MyAuditVal&lt;&gt;"",_xlpm.MyAuditVal,_xlpm.MacVal&lt;&gt;"",_xlpm.MacVal,_xlpm.CSVVal&lt;&gt;"",PROPER(_xlpm.CSVVal)
)),"")</f>
        <v/>
      </c>
      <c r="G367" s="54" t="str" cm="1">
        <f t="array" ref="G367">IFERROR(_xlfn.LET(
_xlpm.CSVVal,_xlfn.XLOOKUP($A367,CSV!$A:$A,CSV!F:F,""),
_xlpm.MacVal,_xlfn.XLOOKUP($A367,Output_Mac!$A:$A,Output_Mac!H:H,""),
_xlpm.MyAuditVal,_xlfn.XLOOKUP($A367,My_Audit!$A:$A,My_Audit!F:F,""),
_xlfn.IFS(_xlpm.MyAuditVal&lt;&gt;"",_xlpm.MyAuditVal,_xlpm.MacVal&lt;&gt;"",_xlpm.MacVal,_xlpm.CSVVal&lt;&gt;"",_xlpm.CSVVal
)),"")</f>
        <v/>
      </c>
      <c r="H367" s="54" t="str">
        <f>_xlfn.XLOOKUP(A367,Output_Mac!A:A,Output_Mac!I:I,"")</f>
        <v/>
      </c>
      <c r="I367" s="54" t="str" cm="1">
        <f t="array" ref="I367">IFERROR(_xlfn.LET(
_xlpm.CSVVal,_xlfn.XLOOKUP($A367,CSV!$A:$A,CSV!G:G,""),
_xlpm.MacVal,_xlfn.XLOOKUP($A367,Output_Mac!$A:$A,Output_Mac!J:J,""),
_xlpm.MyAuditVal,_xlfn.XLOOKUP($A367,My_Audit!$A:$A,My_Audit!H:H,""),
_xlfn.IFS(_xlpm.MyAuditVal&lt;&gt;"",UPPER(_xlpm.MyAuditVal),_xlpm.MacVal&lt;&gt;"",_xlpm.MacVal,_xlpm.CSVVal&lt;&gt;"",_xlpm.CSVVal
)),"")</f>
        <v/>
      </c>
      <c r="J367" s="54" t="str" cm="1">
        <f t="array" ref="J367">IFERROR(_xlfn.LET(
_xlpm.CSVVal,_xlfn.XLOOKUP($A367,CSV!$A:$A,CSV!I:I,""),
_xlpm.MacVal,_xlfn.XLOOKUP($A367,Output_Mac!$A:$A,Output_Mac!K:K,""),
_xlpm.MyAuditVal,_xlfn.XLOOKUP($A367,My_Audit!$A:$A,My_Audit!I:I,""),
_xlfn.IFS(_xlpm.MyAuditVal&lt;&gt;"",UPPER(_xlpm.MyAuditVal),_xlpm.MacVal&lt;&gt;"",_xlpm.MacVal,_xlpm.CSVVal&lt;&gt;"",_xlpm.CSVVal
)),"")</f>
        <v/>
      </c>
      <c r="K367" s="54" t="str" cm="1">
        <f t="array" ref="K367">IFERROR(_xlfn.LET(
_xlpm.CSVVal,_xlfn.XLOOKUP($A367,CSV!$A:$A,CSV!M:M,""),
_xlpm.MacVal,_xlfn.XLOOKUP($A367,Output_Mac!$A:$A,Output_Mac!L:L,""),
_xlpm.MyAuditVal,_xlfn.XLOOKUP($A367,My_Audit!$A:$A,My_Audit!J:J,""),
_xlfn.IFS(_xlpm.MyAuditVal&lt;&gt;"",UPPER(_xlpm.MyAuditVal),_xlpm.MacVal&lt;&gt;"",_xlpm.MacVal,_xlpm.CSVVal&lt;&gt;"",_xlpm.CSVVal
)),"")</f>
        <v/>
      </c>
      <c r="L367" s="55" t="str" cm="1">
        <f t="array" ref="L367">IFERROR(_xlfn.LET(
_xlpm.CSVVal,_xlfn.XLOOKUP($A367,CSV!$A:$A,CSV!P:P,""),
_xlpm.MacVal,_xlfn.XLOOKUP($A367,Output_Mac!$A:$A,Output_Mac!M:M,""),
_xlpm.MyAuditVal,_xlfn.XLOOKUP($A367,My_Audit!$A:$A,My_Audit!K:K,""),
_xlfn.IFS(_xlpm.MyAuditVal&lt;&gt;"",UPPER(_xlpm.MyAuditVal),_xlpm.MacVal&lt;&gt;"",_xlpm.MacVal,_xlpm.CSVVal&lt;&gt;"",_xlpm.CSVVal
)),"")</f>
        <v/>
      </c>
      <c r="M367" s="54" t="str">
        <f>_xlfn.LET(
    _xlpm.CSVVal, _xlfn.XLOOKUP($A367, CSV!$A:$A, CSV!AD:AD, ""),
    _xlpm.MacVal, _xlfn.XLOOKUP($A367, Output_Mac!$A:$A, Output_Mac!S:S, ""),
    _xlpm.MyAuditVal, _xlfn.XLOOKUP($A367, My_Audit!$A:$A, My_Audit!N:N, ""),
    _xlfn.TEXTJOIN(", ", TRUE, _xlpm.MyAuditVal, _xlpm.MacVal, _xlpm.CSVVal)
)</f>
        <v/>
      </c>
      <c r="N367" s="54" t="str" cm="1">
        <f t="array" ref="N367">IFERROR(_xlfn.LET(
_xlpm.CSVVal,_xlfn.XLOOKUP($A367,CSV!$A:$A,CSV!AF:AF,""),
_xlpm.MacVal,_xlfn.XLOOKUP($A367,Output_Mac!$A:$A,Output_Mac!U:U,""),
_xlpm.MyAuditVal,_xlfn.XLOOKUP($A367,My_Audit!$A:$A,My_Audit!O:O,""),
_xlfn.IFS(_xlpm.MyAuditVal&lt;&gt;"",UPPER(_xlpm.MyAuditVal),_xlpm.MacVal&lt;&gt;"",_xlpm.MacVal,_xlpm.CSVVal&lt;&gt;"",_xlpm.CSVVal
)),"")</f>
        <v/>
      </c>
      <c r="O367" s="54"/>
      <c r="P367" s="54"/>
      <c r="Q367" s="54"/>
      <c r="R367" s="54"/>
      <c r="S367" s="54"/>
      <c r="T367" s="54"/>
      <c r="U367" s="39"/>
    </row>
    <row r="368" spans="1:21">
      <c r="A368" s="54" t="str">
        <f>_xlfn.TEXTJOIN("",TRUE,Input!$B$2,ROW(My_Audit!A367))</f>
        <v>XX367</v>
      </c>
      <c r="B368" s="54" t="str">
        <f>_xlfn.TEXTJOIN("-",TRUE,"ITD",Input!$A$2,A368)</f>
        <v>ITD-SHRXXX-XX367</v>
      </c>
      <c r="C368" s="54" t="str" cm="1">
        <f t="array" ref="C368">IFERROR(_xlfn.LET(
_xlpm.CSVVal,_xlfn.XLOOKUP($A368,CSV!$A:$A,CSV!B:B,""),
_xlpm.MacVal,_xlfn.XLOOKUP($A368,Output_Mac!$A:$A,Output_Mac!B:B,""),
_xlpm.MyAuditVal,_xlfn.XLOOKUP($A368,My_Audit!$A:$A,My_Audit!B:B,""),
_xlfn.IFS(_xlpm.MyAuditVal&lt;&gt;"",UPPER(_xlpm.MyAuditVal),_xlpm.MacVal&lt;&gt;"",_xlpm.MacVal,_xlpm.CSVVal&lt;&gt;"",_xlpm.CSVVal
)),"")</f>
        <v/>
      </c>
      <c r="D368" s="55" t="str">
        <f>_xlfn.XLOOKUP(A368,My_Audit!A:A,My_Audit!D:D,"")&amp;""</f>
        <v/>
      </c>
      <c r="E368" s="55" t="str" cm="1">
        <f t="array" ref="E368">IFERROR(_xlfn.LET(
_xlpm.CSVVal,_xlfn.XLOOKUP($A368,CSV!$A:$A,CSV!D:D,""),
_xlpm.MacVal,_xlfn.XLOOKUP($A368,Output_Mac!$A:$A,Output_Mac!C:C,""),
_xlpm.MyAuditVal,_xlfn.XLOOKUP($A368,My_Audit!$A:$A,My_Audit!D:D,""),
_xlfn.IFS(_xlpm.MyAuditVal&lt;&gt;"",_xlpm.MyAuditVal,_xlpm.MacVal&lt;&gt;"",_xlpm.MacVal,_xlpm.CSVVal&lt;&gt;"",_xlpm.CSVVal
)),"")</f>
        <v/>
      </c>
      <c r="F368" s="54" t="str" cm="1">
        <f t="array" ref="F368">IFERROR(_xlfn.LET(
_xlpm.CSVVal,_xlfn.XLOOKUP($A368,CSV!$A:$A,CSV!E:E,""),
_xlpm.MacVal,_xlfn.XLOOKUP($A368,Output_Mac!$A:$A,Output_Mac!F:F,""),
_xlpm.MyAuditVal,_xlfn.XLOOKUP($A368,My_Audit!$A:$A,My_Audit!E:E,""),
_xlfn.IFS(_xlpm.MyAuditVal&lt;&gt;"",_xlpm.MyAuditVal,_xlpm.MacVal&lt;&gt;"",_xlpm.MacVal,_xlpm.CSVVal&lt;&gt;"",PROPER(_xlpm.CSVVal)
)),"")</f>
        <v/>
      </c>
      <c r="G368" s="54" t="str" cm="1">
        <f t="array" ref="G368">IFERROR(_xlfn.LET(
_xlpm.CSVVal,_xlfn.XLOOKUP($A368,CSV!$A:$A,CSV!F:F,""),
_xlpm.MacVal,_xlfn.XLOOKUP($A368,Output_Mac!$A:$A,Output_Mac!H:H,""),
_xlpm.MyAuditVal,_xlfn.XLOOKUP($A368,My_Audit!$A:$A,My_Audit!F:F,""),
_xlfn.IFS(_xlpm.MyAuditVal&lt;&gt;"",_xlpm.MyAuditVal,_xlpm.MacVal&lt;&gt;"",_xlpm.MacVal,_xlpm.CSVVal&lt;&gt;"",_xlpm.CSVVal
)),"")</f>
        <v/>
      </c>
      <c r="H368" s="54" t="str">
        <f>_xlfn.XLOOKUP(A368,Output_Mac!A:A,Output_Mac!I:I,"")</f>
        <v/>
      </c>
      <c r="I368" s="54" t="str" cm="1">
        <f t="array" ref="I368">IFERROR(_xlfn.LET(
_xlpm.CSVVal,_xlfn.XLOOKUP($A368,CSV!$A:$A,CSV!G:G,""),
_xlpm.MacVal,_xlfn.XLOOKUP($A368,Output_Mac!$A:$A,Output_Mac!J:J,""),
_xlpm.MyAuditVal,_xlfn.XLOOKUP($A368,My_Audit!$A:$A,My_Audit!H:H,""),
_xlfn.IFS(_xlpm.MyAuditVal&lt;&gt;"",UPPER(_xlpm.MyAuditVal),_xlpm.MacVal&lt;&gt;"",_xlpm.MacVal,_xlpm.CSVVal&lt;&gt;"",_xlpm.CSVVal
)),"")</f>
        <v/>
      </c>
      <c r="J368" s="54" t="str" cm="1">
        <f t="array" ref="J368">IFERROR(_xlfn.LET(
_xlpm.CSVVal,_xlfn.XLOOKUP($A368,CSV!$A:$A,CSV!I:I,""),
_xlpm.MacVal,_xlfn.XLOOKUP($A368,Output_Mac!$A:$A,Output_Mac!K:K,""),
_xlpm.MyAuditVal,_xlfn.XLOOKUP($A368,My_Audit!$A:$A,My_Audit!I:I,""),
_xlfn.IFS(_xlpm.MyAuditVal&lt;&gt;"",UPPER(_xlpm.MyAuditVal),_xlpm.MacVal&lt;&gt;"",_xlpm.MacVal,_xlpm.CSVVal&lt;&gt;"",_xlpm.CSVVal
)),"")</f>
        <v/>
      </c>
      <c r="K368" s="54" t="str" cm="1">
        <f t="array" ref="K368">IFERROR(_xlfn.LET(
_xlpm.CSVVal,_xlfn.XLOOKUP($A368,CSV!$A:$A,CSV!M:M,""),
_xlpm.MacVal,_xlfn.XLOOKUP($A368,Output_Mac!$A:$A,Output_Mac!L:L,""),
_xlpm.MyAuditVal,_xlfn.XLOOKUP($A368,My_Audit!$A:$A,My_Audit!J:J,""),
_xlfn.IFS(_xlpm.MyAuditVal&lt;&gt;"",UPPER(_xlpm.MyAuditVal),_xlpm.MacVal&lt;&gt;"",_xlpm.MacVal,_xlpm.CSVVal&lt;&gt;"",_xlpm.CSVVal
)),"")</f>
        <v/>
      </c>
      <c r="L368" s="55" t="str" cm="1">
        <f t="array" ref="L368">IFERROR(_xlfn.LET(
_xlpm.CSVVal,_xlfn.XLOOKUP($A368,CSV!$A:$A,CSV!P:P,""),
_xlpm.MacVal,_xlfn.XLOOKUP($A368,Output_Mac!$A:$A,Output_Mac!M:M,""),
_xlpm.MyAuditVal,_xlfn.XLOOKUP($A368,My_Audit!$A:$A,My_Audit!K:K,""),
_xlfn.IFS(_xlpm.MyAuditVal&lt;&gt;"",UPPER(_xlpm.MyAuditVal),_xlpm.MacVal&lt;&gt;"",_xlpm.MacVal,_xlpm.CSVVal&lt;&gt;"",_xlpm.CSVVal
)),"")</f>
        <v/>
      </c>
      <c r="M368" s="54" t="str">
        <f>_xlfn.LET(
    _xlpm.CSVVal, _xlfn.XLOOKUP($A368, CSV!$A:$A, CSV!AD:AD, ""),
    _xlpm.MacVal, _xlfn.XLOOKUP($A368, Output_Mac!$A:$A, Output_Mac!S:S, ""),
    _xlpm.MyAuditVal, _xlfn.XLOOKUP($A368, My_Audit!$A:$A, My_Audit!N:N, ""),
    _xlfn.TEXTJOIN(", ", TRUE, _xlpm.MyAuditVal, _xlpm.MacVal, _xlpm.CSVVal)
)</f>
        <v/>
      </c>
      <c r="N368" s="54" t="str" cm="1">
        <f t="array" ref="N368">IFERROR(_xlfn.LET(
_xlpm.CSVVal,_xlfn.XLOOKUP($A368,CSV!$A:$A,CSV!AF:AF,""),
_xlpm.MacVal,_xlfn.XLOOKUP($A368,Output_Mac!$A:$A,Output_Mac!U:U,""),
_xlpm.MyAuditVal,_xlfn.XLOOKUP($A368,My_Audit!$A:$A,My_Audit!O:O,""),
_xlfn.IFS(_xlpm.MyAuditVal&lt;&gt;"",UPPER(_xlpm.MyAuditVal),_xlpm.MacVal&lt;&gt;"",_xlpm.MacVal,_xlpm.CSVVal&lt;&gt;"",_xlpm.CSVVal
)),"")</f>
        <v/>
      </c>
      <c r="O368" s="54"/>
      <c r="P368" s="54"/>
      <c r="Q368" s="54"/>
      <c r="R368" s="54"/>
      <c r="S368" s="54"/>
      <c r="T368" s="54"/>
      <c r="U368" s="39"/>
    </row>
    <row r="369" spans="1:21">
      <c r="A369" s="54" t="str">
        <f>_xlfn.TEXTJOIN("",TRUE,Input!$B$2,ROW(My_Audit!A368))</f>
        <v>XX368</v>
      </c>
      <c r="B369" s="54" t="str">
        <f>_xlfn.TEXTJOIN("-",TRUE,"ITD",Input!$A$2,A369)</f>
        <v>ITD-SHRXXX-XX368</v>
      </c>
      <c r="C369" s="54" t="str" cm="1">
        <f t="array" ref="C369">IFERROR(_xlfn.LET(
_xlpm.CSVVal,_xlfn.XLOOKUP($A369,CSV!$A:$A,CSV!B:B,""),
_xlpm.MacVal,_xlfn.XLOOKUP($A369,Output_Mac!$A:$A,Output_Mac!B:B,""),
_xlpm.MyAuditVal,_xlfn.XLOOKUP($A369,My_Audit!$A:$A,My_Audit!B:B,""),
_xlfn.IFS(_xlpm.MyAuditVal&lt;&gt;"",UPPER(_xlpm.MyAuditVal),_xlpm.MacVal&lt;&gt;"",_xlpm.MacVal,_xlpm.CSVVal&lt;&gt;"",_xlpm.CSVVal
)),"")</f>
        <v/>
      </c>
      <c r="D369" s="55" t="str">
        <f>_xlfn.XLOOKUP(A369,My_Audit!A:A,My_Audit!D:D,"")&amp;""</f>
        <v/>
      </c>
      <c r="E369" s="55" t="str" cm="1">
        <f t="array" ref="E369">IFERROR(_xlfn.LET(
_xlpm.CSVVal,_xlfn.XLOOKUP($A369,CSV!$A:$A,CSV!D:D,""),
_xlpm.MacVal,_xlfn.XLOOKUP($A369,Output_Mac!$A:$A,Output_Mac!C:C,""),
_xlpm.MyAuditVal,_xlfn.XLOOKUP($A369,My_Audit!$A:$A,My_Audit!D:D,""),
_xlfn.IFS(_xlpm.MyAuditVal&lt;&gt;"",_xlpm.MyAuditVal,_xlpm.MacVal&lt;&gt;"",_xlpm.MacVal,_xlpm.CSVVal&lt;&gt;"",_xlpm.CSVVal
)),"")</f>
        <v/>
      </c>
      <c r="F369" s="54" t="str" cm="1">
        <f t="array" ref="F369">IFERROR(_xlfn.LET(
_xlpm.CSVVal,_xlfn.XLOOKUP($A369,CSV!$A:$A,CSV!E:E,""),
_xlpm.MacVal,_xlfn.XLOOKUP($A369,Output_Mac!$A:$A,Output_Mac!F:F,""),
_xlpm.MyAuditVal,_xlfn.XLOOKUP($A369,My_Audit!$A:$A,My_Audit!E:E,""),
_xlfn.IFS(_xlpm.MyAuditVal&lt;&gt;"",_xlpm.MyAuditVal,_xlpm.MacVal&lt;&gt;"",_xlpm.MacVal,_xlpm.CSVVal&lt;&gt;"",PROPER(_xlpm.CSVVal)
)),"")</f>
        <v/>
      </c>
      <c r="G369" s="54" t="str" cm="1">
        <f t="array" ref="G369">IFERROR(_xlfn.LET(
_xlpm.CSVVal,_xlfn.XLOOKUP($A369,CSV!$A:$A,CSV!F:F,""),
_xlpm.MacVal,_xlfn.XLOOKUP($A369,Output_Mac!$A:$A,Output_Mac!H:H,""),
_xlpm.MyAuditVal,_xlfn.XLOOKUP($A369,My_Audit!$A:$A,My_Audit!F:F,""),
_xlfn.IFS(_xlpm.MyAuditVal&lt;&gt;"",_xlpm.MyAuditVal,_xlpm.MacVal&lt;&gt;"",_xlpm.MacVal,_xlpm.CSVVal&lt;&gt;"",_xlpm.CSVVal
)),"")</f>
        <v/>
      </c>
      <c r="H369" s="54" t="str">
        <f>_xlfn.XLOOKUP(A369,Output_Mac!A:A,Output_Mac!I:I,"")</f>
        <v/>
      </c>
      <c r="I369" s="54" t="str" cm="1">
        <f t="array" ref="I369">IFERROR(_xlfn.LET(
_xlpm.CSVVal,_xlfn.XLOOKUP($A369,CSV!$A:$A,CSV!G:G,""),
_xlpm.MacVal,_xlfn.XLOOKUP($A369,Output_Mac!$A:$A,Output_Mac!J:J,""),
_xlpm.MyAuditVal,_xlfn.XLOOKUP($A369,My_Audit!$A:$A,My_Audit!H:H,""),
_xlfn.IFS(_xlpm.MyAuditVal&lt;&gt;"",UPPER(_xlpm.MyAuditVal),_xlpm.MacVal&lt;&gt;"",_xlpm.MacVal,_xlpm.CSVVal&lt;&gt;"",_xlpm.CSVVal
)),"")</f>
        <v/>
      </c>
      <c r="J369" s="54" t="str" cm="1">
        <f t="array" ref="J369">IFERROR(_xlfn.LET(
_xlpm.CSVVal,_xlfn.XLOOKUP($A369,CSV!$A:$A,CSV!I:I,""),
_xlpm.MacVal,_xlfn.XLOOKUP($A369,Output_Mac!$A:$A,Output_Mac!K:K,""),
_xlpm.MyAuditVal,_xlfn.XLOOKUP($A369,My_Audit!$A:$A,My_Audit!I:I,""),
_xlfn.IFS(_xlpm.MyAuditVal&lt;&gt;"",UPPER(_xlpm.MyAuditVal),_xlpm.MacVal&lt;&gt;"",_xlpm.MacVal,_xlpm.CSVVal&lt;&gt;"",_xlpm.CSVVal
)),"")</f>
        <v/>
      </c>
      <c r="K369" s="54" t="str" cm="1">
        <f t="array" ref="K369">IFERROR(_xlfn.LET(
_xlpm.CSVVal,_xlfn.XLOOKUP($A369,CSV!$A:$A,CSV!M:M,""),
_xlpm.MacVal,_xlfn.XLOOKUP($A369,Output_Mac!$A:$A,Output_Mac!L:L,""),
_xlpm.MyAuditVal,_xlfn.XLOOKUP($A369,My_Audit!$A:$A,My_Audit!J:J,""),
_xlfn.IFS(_xlpm.MyAuditVal&lt;&gt;"",UPPER(_xlpm.MyAuditVal),_xlpm.MacVal&lt;&gt;"",_xlpm.MacVal,_xlpm.CSVVal&lt;&gt;"",_xlpm.CSVVal
)),"")</f>
        <v/>
      </c>
      <c r="L369" s="55" t="str" cm="1">
        <f t="array" ref="L369">IFERROR(_xlfn.LET(
_xlpm.CSVVal,_xlfn.XLOOKUP($A369,CSV!$A:$A,CSV!P:P,""),
_xlpm.MacVal,_xlfn.XLOOKUP($A369,Output_Mac!$A:$A,Output_Mac!M:M,""),
_xlpm.MyAuditVal,_xlfn.XLOOKUP($A369,My_Audit!$A:$A,My_Audit!K:K,""),
_xlfn.IFS(_xlpm.MyAuditVal&lt;&gt;"",UPPER(_xlpm.MyAuditVal),_xlpm.MacVal&lt;&gt;"",_xlpm.MacVal,_xlpm.CSVVal&lt;&gt;"",_xlpm.CSVVal
)),"")</f>
        <v/>
      </c>
      <c r="M369" s="54" t="str">
        <f>_xlfn.LET(
    _xlpm.CSVVal, _xlfn.XLOOKUP($A369, CSV!$A:$A, CSV!AD:AD, ""),
    _xlpm.MacVal, _xlfn.XLOOKUP($A369, Output_Mac!$A:$A, Output_Mac!S:S, ""),
    _xlpm.MyAuditVal, _xlfn.XLOOKUP($A369, My_Audit!$A:$A, My_Audit!N:N, ""),
    _xlfn.TEXTJOIN(", ", TRUE, _xlpm.MyAuditVal, _xlpm.MacVal, _xlpm.CSVVal)
)</f>
        <v/>
      </c>
      <c r="N369" s="54" t="str" cm="1">
        <f t="array" ref="N369">IFERROR(_xlfn.LET(
_xlpm.CSVVal,_xlfn.XLOOKUP($A369,CSV!$A:$A,CSV!AF:AF,""),
_xlpm.MacVal,_xlfn.XLOOKUP($A369,Output_Mac!$A:$A,Output_Mac!U:U,""),
_xlpm.MyAuditVal,_xlfn.XLOOKUP($A369,My_Audit!$A:$A,My_Audit!O:O,""),
_xlfn.IFS(_xlpm.MyAuditVal&lt;&gt;"",UPPER(_xlpm.MyAuditVal),_xlpm.MacVal&lt;&gt;"",_xlpm.MacVal,_xlpm.CSVVal&lt;&gt;"",_xlpm.CSVVal
)),"")</f>
        <v/>
      </c>
      <c r="O369" s="54"/>
      <c r="P369" s="54"/>
      <c r="Q369" s="54"/>
      <c r="R369" s="54"/>
      <c r="S369" s="54"/>
      <c r="T369" s="54"/>
      <c r="U369" s="39"/>
    </row>
    <row r="370" spans="1:21">
      <c r="A370" s="54" t="str">
        <f>_xlfn.TEXTJOIN("",TRUE,Input!$B$2,ROW(My_Audit!A369))</f>
        <v>XX369</v>
      </c>
      <c r="B370" s="54" t="str">
        <f>_xlfn.TEXTJOIN("-",TRUE,"ITD",Input!$A$2,A370)</f>
        <v>ITD-SHRXXX-XX369</v>
      </c>
      <c r="C370" s="54" t="str" cm="1">
        <f t="array" ref="C370">IFERROR(_xlfn.LET(
_xlpm.CSVVal,_xlfn.XLOOKUP($A370,CSV!$A:$A,CSV!B:B,""),
_xlpm.MacVal,_xlfn.XLOOKUP($A370,Output_Mac!$A:$A,Output_Mac!B:B,""),
_xlpm.MyAuditVal,_xlfn.XLOOKUP($A370,My_Audit!$A:$A,My_Audit!B:B,""),
_xlfn.IFS(_xlpm.MyAuditVal&lt;&gt;"",UPPER(_xlpm.MyAuditVal),_xlpm.MacVal&lt;&gt;"",_xlpm.MacVal,_xlpm.CSVVal&lt;&gt;"",_xlpm.CSVVal
)),"")</f>
        <v/>
      </c>
      <c r="D370" s="55" t="str">
        <f>_xlfn.XLOOKUP(A370,My_Audit!A:A,My_Audit!D:D,"")&amp;""</f>
        <v/>
      </c>
      <c r="E370" s="55" t="str" cm="1">
        <f t="array" ref="E370">IFERROR(_xlfn.LET(
_xlpm.CSVVal,_xlfn.XLOOKUP($A370,CSV!$A:$A,CSV!D:D,""),
_xlpm.MacVal,_xlfn.XLOOKUP($A370,Output_Mac!$A:$A,Output_Mac!C:C,""),
_xlpm.MyAuditVal,_xlfn.XLOOKUP($A370,My_Audit!$A:$A,My_Audit!D:D,""),
_xlfn.IFS(_xlpm.MyAuditVal&lt;&gt;"",_xlpm.MyAuditVal,_xlpm.MacVal&lt;&gt;"",_xlpm.MacVal,_xlpm.CSVVal&lt;&gt;"",_xlpm.CSVVal
)),"")</f>
        <v/>
      </c>
      <c r="F370" s="54" t="str" cm="1">
        <f t="array" ref="F370">IFERROR(_xlfn.LET(
_xlpm.CSVVal,_xlfn.XLOOKUP($A370,CSV!$A:$A,CSV!E:E,""),
_xlpm.MacVal,_xlfn.XLOOKUP($A370,Output_Mac!$A:$A,Output_Mac!F:F,""),
_xlpm.MyAuditVal,_xlfn.XLOOKUP($A370,My_Audit!$A:$A,My_Audit!E:E,""),
_xlfn.IFS(_xlpm.MyAuditVal&lt;&gt;"",_xlpm.MyAuditVal,_xlpm.MacVal&lt;&gt;"",_xlpm.MacVal,_xlpm.CSVVal&lt;&gt;"",PROPER(_xlpm.CSVVal)
)),"")</f>
        <v/>
      </c>
      <c r="G370" s="54" t="str" cm="1">
        <f t="array" ref="G370">IFERROR(_xlfn.LET(
_xlpm.CSVVal,_xlfn.XLOOKUP($A370,CSV!$A:$A,CSV!F:F,""),
_xlpm.MacVal,_xlfn.XLOOKUP($A370,Output_Mac!$A:$A,Output_Mac!H:H,""),
_xlpm.MyAuditVal,_xlfn.XLOOKUP($A370,My_Audit!$A:$A,My_Audit!F:F,""),
_xlfn.IFS(_xlpm.MyAuditVal&lt;&gt;"",_xlpm.MyAuditVal,_xlpm.MacVal&lt;&gt;"",_xlpm.MacVal,_xlpm.CSVVal&lt;&gt;"",_xlpm.CSVVal
)),"")</f>
        <v/>
      </c>
      <c r="H370" s="54" t="str">
        <f>_xlfn.XLOOKUP(A370,Output_Mac!A:A,Output_Mac!I:I,"")</f>
        <v/>
      </c>
      <c r="I370" s="54" t="str" cm="1">
        <f t="array" ref="I370">IFERROR(_xlfn.LET(
_xlpm.CSVVal,_xlfn.XLOOKUP($A370,CSV!$A:$A,CSV!G:G,""),
_xlpm.MacVal,_xlfn.XLOOKUP($A370,Output_Mac!$A:$A,Output_Mac!J:J,""),
_xlpm.MyAuditVal,_xlfn.XLOOKUP($A370,My_Audit!$A:$A,My_Audit!H:H,""),
_xlfn.IFS(_xlpm.MyAuditVal&lt;&gt;"",UPPER(_xlpm.MyAuditVal),_xlpm.MacVal&lt;&gt;"",_xlpm.MacVal,_xlpm.CSVVal&lt;&gt;"",_xlpm.CSVVal
)),"")</f>
        <v/>
      </c>
      <c r="J370" s="54" t="str" cm="1">
        <f t="array" ref="J370">IFERROR(_xlfn.LET(
_xlpm.CSVVal,_xlfn.XLOOKUP($A370,CSV!$A:$A,CSV!I:I,""),
_xlpm.MacVal,_xlfn.XLOOKUP($A370,Output_Mac!$A:$A,Output_Mac!K:K,""),
_xlpm.MyAuditVal,_xlfn.XLOOKUP($A370,My_Audit!$A:$A,My_Audit!I:I,""),
_xlfn.IFS(_xlpm.MyAuditVal&lt;&gt;"",UPPER(_xlpm.MyAuditVal),_xlpm.MacVal&lt;&gt;"",_xlpm.MacVal,_xlpm.CSVVal&lt;&gt;"",_xlpm.CSVVal
)),"")</f>
        <v/>
      </c>
      <c r="K370" s="54" t="str" cm="1">
        <f t="array" ref="K370">IFERROR(_xlfn.LET(
_xlpm.CSVVal,_xlfn.XLOOKUP($A370,CSV!$A:$A,CSV!M:M,""),
_xlpm.MacVal,_xlfn.XLOOKUP($A370,Output_Mac!$A:$A,Output_Mac!L:L,""),
_xlpm.MyAuditVal,_xlfn.XLOOKUP($A370,My_Audit!$A:$A,My_Audit!J:J,""),
_xlfn.IFS(_xlpm.MyAuditVal&lt;&gt;"",UPPER(_xlpm.MyAuditVal),_xlpm.MacVal&lt;&gt;"",_xlpm.MacVal,_xlpm.CSVVal&lt;&gt;"",_xlpm.CSVVal
)),"")</f>
        <v/>
      </c>
      <c r="L370" s="55" t="str" cm="1">
        <f t="array" ref="L370">IFERROR(_xlfn.LET(
_xlpm.CSVVal,_xlfn.XLOOKUP($A370,CSV!$A:$A,CSV!P:P,""),
_xlpm.MacVal,_xlfn.XLOOKUP($A370,Output_Mac!$A:$A,Output_Mac!M:M,""),
_xlpm.MyAuditVal,_xlfn.XLOOKUP($A370,My_Audit!$A:$A,My_Audit!K:K,""),
_xlfn.IFS(_xlpm.MyAuditVal&lt;&gt;"",UPPER(_xlpm.MyAuditVal),_xlpm.MacVal&lt;&gt;"",_xlpm.MacVal,_xlpm.CSVVal&lt;&gt;"",_xlpm.CSVVal
)),"")</f>
        <v/>
      </c>
      <c r="M370" s="54" t="str">
        <f>_xlfn.LET(
    _xlpm.CSVVal, _xlfn.XLOOKUP($A370, CSV!$A:$A, CSV!AD:AD, ""),
    _xlpm.MacVal, _xlfn.XLOOKUP($A370, Output_Mac!$A:$A, Output_Mac!S:S, ""),
    _xlpm.MyAuditVal, _xlfn.XLOOKUP($A370, My_Audit!$A:$A, My_Audit!N:N, ""),
    _xlfn.TEXTJOIN(", ", TRUE, _xlpm.MyAuditVal, _xlpm.MacVal, _xlpm.CSVVal)
)</f>
        <v/>
      </c>
      <c r="N370" s="54" t="str" cm="1">
        <f t="array" ref="N370">IFERROR(_xlfn.LET(
_xlpm.CSVVal,_xlfn.XLOOKUP($A370,CSV!$A:$A,CSV!AF:AF,""),
_xlpm.MacVal,_xlfn.XLOOKUP($A370,Output_Mac!$A:$A,Output_Mac!U:U,""),
_xlpm.MyAuditVal,_xlfn.XLOOKUP($A370,My_Audit!$A:$A,My_Audit!O:O,""),
_xlfn.IFS(_xlpm.MyAuditVal&lt;&gt;"",UPPER(_xlpm.MyAuditVal),_xlpm.MacVal&lt;&gt;"",_xlpm.MacVal,_xlpm.CSVVal&lt;&gt;"",_xlpm.CSVVal
)),"")</f>
        <v/>
      </c>
      <c r="O370" s="54"/>
      <c r="P370" s="54"/>
      <c r="Q370" s="54"/>
      <c r="R370" s="54"/>
      <c r="S370" s="54"/>
      <c r="T370" s="54"/>
      <c r="U370" s="39"/>
    </row>
    <row r="371" spans="1:21">
      <c r="A371" s="54" t="str">
        <f>_xlfn.TEXTJOIN("",TRUE,Input!$B$2,ROW(My_Audit!A370))</f>
        <v>XX370</v>
      </c>
      <c r="B371" s="54" t="str">
        <f>_xlfn.TEXTJOIN("-",TRUE,"ITD",Input!$A$2,A371)</f>
        <v>ITD-SHRXXX-XX370</v>
      </c>
      <c r="C371" s="54" t="str" cm="1">
        <f t="array" ref="C371">IFERROR(_xlfn.LET(
_xlpm.CSVVal,_xlfn.XLOOKUP($A371,CSV!$A:$A,CSV!B:B,""),
_xlpm.MacVal,_xlfn.XLOOKUP($A371,Output_Mac!$A:$A,Output_Mac!B:B,""),
_xlpm.MyAuditVal,_xlfn.XLOOKUP($A371,My_Audit!$A:$A,My_Audit!B:B,""),
_xlfn.IFS(_xlpm.MyAuditVal&lt;&gt;"",UPPER(_xlpm.MyAuditVal),_xlpm.MacVal&lt;&gt;"",_xlpm.MacVal,_xlpm.CSVVal&lt;&gt;"",_xlpm.CSVVal
)),"")</f>
        <v/>
      </c>
      <c r="D371" s="55" t="str">
        <f>_xlfn.XLOOKUP(A371,My_Audit!A:A,My_Audit!D:D,"")&amp;""</f>
        <v/>
      </c>
      <c r="E371" s="55" t="str" cm="1">
        <f t="array" ref="E371">IFERROR(_xlfn.LET(
_xlpm.CSVVal,_xlfn.XLOOKUP($A371,CSV!$A:$A,CSV!D:D,""),
_xlpm.MacVal,_xlfn.XLOOKUP($A371,Output_Mac!$A:$A,Output_Mac!C:C,""),
_xlpm.MyAuditVal,_xlfn.XLOOKUP($A371,My_Audit!$A:$A,My_Audit!D:D,""),
_xlfn.IFS(_xlpm.MyAuditVal&lt;&gt;"",_xlpm.MyAuditVal,_xlpm.MacVal&lt;&gt;"",_xlpm.MacVal,_xlpm.CSVVal&lt;&gt;"",_xlpm.CSVVal
)),"")</f>
        <v/>
      </c>
      <c r="F371" s="54" t="str" cm="1">
        <f t="array" ref="F371">IFERROR(_xlfn.LET(
_xlpm.CSVVal,_xlfn.XLOOKUP($A371,CSV!$A:$A,CSV!E:E,""),
_xlpm.MacVal,_xlfn.XLOOKUP($A371,Output_Mac!$A:$A,Output_Mac!F:F,""),
_xlpm.MyAuditVal,_xlfn.XLOOKUP($A371,My_Audit!$A:$A,My_Audit!E:E,""),
_xlfn.IFS(_xlpm.MyAuditVal&lt;&gt;"",_xlpm.MyAuditVal,_xlpm.MacVal&lt;&gt;"",_xlpm.MacVal,_xlpm.CSVVal&lt;&gt;"",PROPER(_xlpm.CSVVal)
)),"")</f>
        <v/>
      </c>
      <c r="G371" s="54" t="str" cm="1">
        <f t="array" ref="G371">IFERROR(_xlfn.LET(
_xlpm.CSVVal,_xlfn.XLOOKUP($A371,CSV!$A:$A,CSV!F:F,""),
_xlpm.MacVal,_xlfn.XLOOKUP($A371,Output_Mac!$A:$A,Output_Mac!H:H,""),
_xlpm.MyAuditVal,_xlfn.XLOOKUP($A371,My_Audit!$A:$A,My_Audit!F:F,""),
_xlfn.IFS(_xlpm.MyAuditVal&lt;&gt;"",_xlpm.MyAuditVal,_xlpm.MacVal&lt;&gt;"",_xlpm.MacVal,_xlpm.CSVVal&lt;&gt;"",_xlpm.CSVVal
)),"")</f>
        <v/>
      </c>
      <c r="H371" s="54" t="str">
        <f>_xlfn.XLOOKUP(A371,Output_Mac!A:A,Output_Mac!I:I,"")</f>
        <v/>
      </c>
      <c r="I371" s="54" t="str" cm="1">
        <f t="array" ref="I371">IFERROR(_xlfn.LET(
_xlpm.CSVVal,_xlfn.XLOOKUP($A371,CSV!$A:$A,CSV!G:G,""),
_xlpm.MacVal,_xlfn.XLOOKUP($A371,Output_Mac!$A:$A,Output_Mac!J:J,""),
_xlpm.MyAuditVal,_xlfn.XLOOKUP($A371,My_Audit!$A:$A,My_Audit!H:H,""),
_xlfn.IFS(_xlpm.MyAuditVal&lt;&gt;"",UPPER(_xlpm.MyAuditVal),_xlpm.MacVal&lt;&gt;"",_xlpm.MacVal,_xlpm.CSVVal&lt;&gt;"",_xlpm.CSVVal
)),"")</f>
        <v/>
      </c>
      <c r="J371" s="54" t="str" cm="1">
        <f t="array" ref="J371">IFERROR(_xlfn.LET(
_xlpm.CSVVal,_xlfn.XLOOKUP($A371,CSV!$A:$A,CSV!I:I,""),
_xlpm.MacVal,_xlfn.XLOOKUP($A371,Output_Mac!$A:$A,Output_Mac!K:K,""),
_xlpm.MyAuditVal,_xlfn.XLOOKUP($A371,My_Audit!$A:$A,My_Audit!I:I,""),
_xlfn.IFS(_xlpm.MyAuditVal&lt;&gt;"",UPPER(_xlpm.MyAuditVal),_xlpm.MacVal&lt;&gt;"",_xlpm.MacVal,_xlpm.CSVVal&lt;&gt;"",_xlpm.CSVVal
)),"")</f>
        <v/>
      </c>
      <c r="K371" s="54" t="str" cm="1">
        <f t="array" ref="K371">IFERROR(_xlfn.LET(
_xlpm.CSVVal,_xlfn.XLOOKUP($A371,CSV!$A:$A,CSV!M:M,""),
_xlpm.MacVal,_xlfn.XLOOKUP($A371,Output_Mac!$A:$A,Output_Mac!L:L,""),
_xlpm.MyAuditVal,_xlfn.XLOOKUP($A371,My_Audit!$A:$A,My_Audit!J:J,""),
_xlfn.IFS(_xlpm.MyAuditVal&lt;&gt;"",UPPER(_xlpm.MyAuditVal),_xlpm.MacVal&lt;&gt;"",_xlpm.MacVal,_xlpm.CSVVal&lt;&gt;"",_xlpm.CSVVal
)),"")</f>
        <v/>
      </c>
      <c r="L371" s="55" t="str" cm="1">
        <f t="array" ref="L371">IFERROR(_xlfn.LET(
_xlpm.CSVVal,_xlfn.XLOOKUP($A371,CSV!$A:$A,CSV!P:P,""),
_xlpm.MacVal,_xlfn.XLOOKUP($A371,Output_Mac!$A:$A,Output_Mac!M:M,""),
_xlpm.MyAuditVal,_xlfn.XLOOKUP($A371,My_Audit!$A:$A,My_Audit!K:K,""),
_xlfn.IFS(_xlpm.MyAuditVal&lt;&gt;"",UPPER(_xlpm.MyAuditVal),_xlpm.MacVal&lt;&gt;"",_xlpm.MacVal,_xlpm.CSVVal&lt;&gt;"",_xlpm.CSVVal
)),"")</f>
        <v/>
      </c>
      <c r="M371" s="54" t="str">
        <f>_xlfn.LET(
    _xlpm.CSVVal, _xlfn.XLOOKUP($A371, CSV!$A:$A, CSV!AD:AD, ""),
    _xlpm.MacVal, _xlfn.XLOOKUP($A371, Output_Mac!$A:$A, Output_Mac!S:S, ""),
    _xlpm.MyAuditVal, _xlfn.XLOOKUP($A371, My_Audit!$A:$A, My_Audit!N:N, ""),
    _xlfn.TEXTJOIN(", ", TRUE, _xlpm.MyAuditVal, _xlpm.MacVal, _xlpm.CSVVal)
)</f>
        <v/>
      </c>
      <c r="N371" s="54" t="str" cm="1">
        <f t="array" ref="N371">IFERROR(_xlfn.LET(
_xlpm.CSVVal,_xlfn.XLOOKUP($A371,CSV!$A:$A,CSV!AF:AF,""),
_xlpm.MacVal,_xlfn.XLOOKUP($A371,Output_Mac!$A:$A,Output_Mac!U:U,""),
_xlpm.MyAuditVal,_xlfn.XLOOKUP($A371,My_Audit!$A:$A,My_Audit!O:O,""),
_xlfn.IFS(_xlpm.MyAuditVal&lt;&gt;"",UPPER(_xlpm.MyAuditVal),_xlpm.MacVal&lt;&gt;"",_xlpm.MacVal,_xlpm.CSVVal&lt;&gt;"",_xlpm.CSVVal
)),"")</f>
        <v/>
      </c>
      <c r="O371" s="54"/>
      <c r="P371" s="54"/>
      <c r="Q371" s="54"/>
      <c r="R371" s="54"/>
      <c r="S371" s="54"/>
      <c r="T371" s="54"/>
      <c r="U371" s="39"/>
    </row>
    <row r="372" spans="1:21">
      <c r="A372" s="54" t="str">
        <f>_xlfn.TEXTJOIN("",TRUE,Input!$B$2,ROW(My_Audit!A371))</f>
        <v>XX371</v>
      </c>
      <c r="B372" s="54" t="str">
        <f>_xlfn.TEXTJOIN("-",TRUE,"ITD",Input!$A$2,A372)</f>
        <v>ITD-SHRXXX-XX371</v>
      </c>
      <c r="C372" s="54" t="str" cm="1">
        <f t="array" ref="C372">IFERROR(_xlfn.LET(
_xlpm.CSVVal,_xlfn.XLOOKUP($A372,CSV!$A:$A,CSV!B:B,""),
_xlpm.MacVal,_xlfn.XLOOKUP($A372,Output_Mac!$A:$A,Output_Mac!B:B,""),
_xlpm.MyAuditVal,_xlfn.XLOOKUP($A372,My_Audit!$A:$A,My_Audit!B:B,""),
_xlfn.IFS(_xlpm.MyAuditVal&lt;&gt;"",UPPER(_xlpm.MyAuditVal),_xlpm.MacVal&lt;&gt;"",_xlpm.MacVal,_xlpm.CSVVal&lt;&gt;"",_xlpm.CSVVal
)),"")</f>
        <v/>
      </c>
      <c r="D372" s="55" t="str">
        <f>_xlfn.XLOOKUP(A372,My_Audit!A:A,My_Audit!D:D,"")&amp;""</f>
        <v/>
      </c>
      <c r="E372" s="55" t="str" cm="1">
        <f t="array" ref="E372">IFERROR(_xlfn.LET(
_xlpm.CSVVal,_xlfn.XLOOKUP($A372,CSV!$A:$A,CSV!D:D,""),
_xlpm.MacVal,_xlfn.XLOOKUP($A372,Output_Mac!$A:$A,Output_Mac!C:C,""),
_xlpm.MyAuditVal,_xlfn.XLOOKUP($A372,My_Audit!$A:$A,My_Audit!D:D,""),
_xlfn.IFS(_xlpm.MyAuditVal&lt;&gt;"",_xlpm.MyAuditVal,_xlpm.MacVal&lt;&gt;"",_xlpm.MacVal,_xlpm.CSVVal&lt;&gt;"",_xlpm.CSVVal
)),"")</f>
        <v/>
      </c>
      <c r="F372" s="54" t="str" cm="1">
        <f t="array" ref="F372">IFERROR(_xlfn.LET(
_xlpm.CSVVal,_xlfn.XLOOKUP($A372,CSV!$A:$A,CSV!E:E,""),
_xlpm.MacVal,_xlfn.XLOOKUP($A372,Output_Mac!$A:$A,Output_Mac!F:F,""),
_xlpm.MyAuditVal,_xlfn.XLOOKUP($A372,My_Audit!$A:$A,My_Audit!E:E,""),
_xlfn.IFS(_xlpm.MyAuditVal&lt;&gt;"",_xlpm.MyAuditVal,_xlpm.MacVal&lt;&gt;"",_xlpm.MacVal,_xlpm.CSVVal&lt;&gt;"",PROPER(_xlpm.CSVVal)
)),"")</f>
        <v/>
      </c>
      <c r="G372" s="54" t="str" cm="1">
        <f t="array" ref="G372">IFERROR(_xlfn.LET(
_xlpm.CSVVal,_xlfn.XLOOKUP($A372,CSV!$A:$A,CSV!F:F,""),
_xlpm.MacVal,_xlfn.XLOOKUP($A372,Output_Mac!$A:$A,Output_Mac!H:H,""),
_xlpm.MyAuditVal,_xlfn.XLOOKUP($A372,My_Audit!$A:$A,My_Audit!F:F,""),
_xlfn.IFS(_xlpm.MyAuditVal&lt;&gt;"",_xlpm.MyAuditVal,_xlpm.MacVal&lt;&gt;"",_xlpm.MacVal,_xlpm.CSVVal&lt;&gt;"",_xlpm.CSVVal
)),"")</f>
        <v/>
      </c>
      <c r="H372" s="54" t="str">
        <f>_xlfn.XLOOKUP(A372,Output_Mac!A:A,Output_Mac!I:I,"")</f>
        <v/>
      </c>
      <c r="I372" s="54" t="str" cm="1">
        <f t="array" ref="I372">IFERROR(_xlfn.LET(
_xlpm.CSVVal,_xlfn.XLOOKUP($A372,CSV!$A:$A,CSV!G:G,""),
_xlpm.MacVal,_xlfn.XLOOKUP($A372,Output_Mac!$A:$A,Output_Mac!J:J,""),
_xlpm.MyAuditVal,_xlfn.XLOOKUP($A372,My_Audit!$A:$A,My_Audit!H:H,""),
_xlfn.IFS(_xlpm.MyAuditVal&lt;&gt;"",UPPER(_xlpm.MyAuditVal),_xlpm.MacVal&lt;&gt;"",_xlpm.MacVal,_xlpm.CSVVal&lt;&gt;"",_xlpm.CSVVal
)),"")</f>
        <v/>
      </c>
      <c r="J372" s="54" t="str" cm="1">
        <f t="array" ref="J372">IFERROR(_xlfn.LET(
_xlpm.CSVVal,_xlfn.XLOOKUP($A372,CSV!$A:$A,CSV!I:I,""),
_xlpm.MacVal,_xlfn.XLOOKUP($A372,Output_Mac!$A:$A,Output_Mac!K:K,""),
_xlpm.MyAuditVal,_xlfn.XLOOKUP($A372,My_Audit!$A:$A,My_Audit!I:I,""),
_xlfn.IFS(_xlpm.MyAuditVal&lt;&gt;"",UPPER(_xlpm.MyAuditVal),_xlpm.MacVal&lt;&gt;"",_xlpm.MacVal,_xlpm.CSVVal&lt;&gt;"",_xlpm.CSVVal
)),"")</f>
        <v/>
      </c>
      <c r="K372" s="54" t="str" cm="1">
        <f t="array" ref="K372">IFERROR(_xlfn.LET(
_xlpm.CSVVal,_xlfn.XLOOKUP($A372,CSV!$A:$A,CSV!M:M,""),
_xlpm.MacVal,_xlfn.XLOOKUP($A372,Output_Mac!$A:$A,Output_Mac!L:L,""),
_xlpm.MyAuditVal,_xlfn.XLOOKUP($A372,My_Audit!$A:$A,My_Audit!J:J,""),
_xlfn.IFS(_xlpm.MyAuditVal&lt;&gt;"",UPPER(_xlpm.MyAuditVal),_xlpm.MacVal&lt;&gt;"",_xlpm.MacVal,_xlpm.CSVVal&lt;&gt;"",_xlpm.CSVVal
)),"")</f>
        <v/>
      </c>
      <c r="L372" s="55" t="str" cm="1">
        <f t="array" ref="L372">IFERROR(_xlfn.LET(
_xlpm.CSVVal,_xlfn.XLOOKUP($A372,CSV!$A:$A,CSV!P:P,""),
_xlpm.MacVal,_xlfn.XLOOKUP($A372,Output_Mac!$A:$A,Output_Mac!M:M,""),
_xlpm.MyAuditVal,_xlfn.XLOOKUP($A372,My_Audit!$A:$A,My_Audit!K:K,""),
_xlfn.IFS(_xlpm.MyAuditVal&lt;&gt;"",UPPER(_xlpm.MyAuditVal),_xlpm.MacVal&lt;&gt;"",_xlpm.MacVal,_xlpm.CSVVal&lt;&gt;"",_xlpm.CSVVal
)),"")</f>
        <v/>
      </c>
      <c r="M372" s="54" t="str">
        <f>_xlfn.LET(
    _xlpm.CSVVal, _xlfn.XLOOKUP($A372, CSV!$A:$A, CSV!AD:AD, ""),
    _xlpm.MacVal, _xlfn.XLOOKUP($A372, Output_Mac!$A:$A, Output_Mac!S:S, ""),
    _xlpm.MyAuditVal, _xlfn.XLOOKUP($A372, My_Audit!$A:$A, My_Audit!N:N, ""),
    _xlfn.TEXTJOIN(", ", TRUE, _xlpm.MyAuditVal, _xlpm.MacVal, _xlpm.CSVVal)
)</f>
        <v/>
      </c>
      <c r="N372" s="54" t="str" cm="1">
        <f t="array" ref="N372">IFERROR(_xlfn.LET(
_xlpm.CSVVal,_xlfn.XLOOKUP($A372,CSV!$A:$A,CSV!AF:AF,""),
_xlpm.MacVal,_xlfn.XLOOKUP($A372,Output_Mac!$A:$A,Output_Mac!U:U,""),
_xlpm.MyAuditVal,_xlfn.XLOOKUP($A372,My_Audit!$A:$A,My_Audit!O:O,""),
_xlfn.IFS(_xlpm.MyAuditVal&lt;&gt;"",UPPER(_xlpm.MyAuditVal),_xlpm.MacVal&lt;&gt;"",_xlpm.MacVal,_xlpm.CSVVal&lt;&gt;"",_xlpm.CSVVal
)),"")</f>
        <v/>
      </c>
      <c r="O372" s="54"/>
      <c r="P372" s="54"/>
      <c r="Q372" s="54"/>
      <c r="R372" s="54"/>
      <c r="S372" s="54"/>
      <c r="T372" s="54"/>
      <c r="U372" s="39"/>
    </row>
    <row r="373" spans="1:21">
      <c r="A373" s="54" t="str">
        <f>_xlfn.TEXTJOIN("",TRUE,Input!$B$2,ROW(My_Audit!A372))</f>
        <v>XX372</v>
      </c>
      <c r="B373" s="54" t="str">
        <f>_xlfn.TEXTJOIN("-",TRUE,"ITD",Input!$A$2,A373)</f>
        <v>ITD-SHRXXX-XX372</v>
      </c>
      <c r="C373" s="54" t="str" cm="1">
        <f t="array" ref="C373">IFERROR(_xlfn.LET(
_xlpm.CSVVal,_xlfn.XLOOKUP($A373,CSV!$A:$A,CSV!B:B,""),
_xlpm.MacVal,_xlfn.XLOOKUP($A373,Output_Mac!$A:$A,Output_Mac!B:B,""),
_xlpm.MyAuditVal,_xlfn.XLOOKUP($A373,My_Audit!$A:$A,My_Audit!B:B,""),
_xlfn.IFS(_xlpm.MyAuditVal&lt;&gt;"",UPPER(_xlpm.MyAuditVal),_xlpm.MacVal&lt;&gt;"",_xlpm.MacVal,_xlpm.CSVVal&lt;&gt;"",_xlpm.CSVVal
)),"")</f>
        <v/>
      </c>
      <c r="D373" s="55" t="str">
        <f>_xlfn.XLOOKUP(A373,My_Audit!A:A,My_Audit!D:D,"")&amp;""</f>
        <v/>
      </c>
      <c r="E373" s="55" t="str" cm="1">
        <f t="array" ref="E373">IFERROR(_xlfn.LET(
_xlpm.CSVVal,_xlfn.XLOOKUP($A373,CSV!$A:$A,CSV!D:D,""),
_xlpm.MacVal,_xlfn.XLOOKUP($A373,Output_Mac!$A:$A,Output_Mac!C:C,""),
_xlpm.MyAuditVal,_xlfn.XLOOKUP($A373,My_Audit!$A:$A,My_Audit!D:D,""),
_xlfn.IFS(_xlpm.MyAuditVal&lt;&gt;"",_xlpm.MyAuditVal,_xlpm.MacVal&lt;&gt;"",_xlpm.MacVal,_xlpm.CSVVal&lt;&gt;"",_xlpm.CSVVal
)),"")</f>
        <v/>
      </c>
      <c r="F373" s="54" t="str" cm="1">
        <f t="array" ref="F373">IFERROR(_xlfn.LET(
_xlpm.CSVVal,_xlfn.XLOOKUP($A373,CSV!$A:$A,CSV!E:E,""),
_xlpm.MacVal,_xlfn.XLOOKUP($A373,Output_Mac!$A:$A,Output_Mac!F:F,""),
_xlpm.MyAuditVal,_xlfn.XLOOKUP($A373,My_Audit!$A:$A,My_Audit!E:E,""),
_xlfn.IFS(_xlpm.MyAuditVal&lt;&gt;"",_xlpm.MyAuditVal,_xlpm.MacVal&lt;&gt;"",_xlpm.MacVal,_xlpm.CSVVal&lt;&gt;"",PROPER(_xlpm.CSVVal)
)),"")</f>
        <v/>
      </c>
      <c r="G373" s="54" t="str" cm="1">
        <f t="array" ref="G373">IFERROR(_xlfn.LET(
_xlpm.CSVVal,_xlfn.XLOOKUP($A373,CSV!$A:$A,CSV!F:F,""),
_xlpm.MacVal,_xlfn.XLOOKUP($A373,Output_Mac!$A:$A,Output_Mac!H:H,""),
_xlpm.MyAuditVal,_xlfn.XLOOKUP($A373,My_Audit!$A:$A,My_Audit!F:F,""),
_xlfn.IFS(_xlpm.MyAuditVal&lt;&gt;"",_xlpm.MyAuditVal,_xlpm.MacVal&lt;&gt;"",_xlpm.MacVal,_xlpm.CSVVal&lt;&gt;"",_xlpm.CSVVal
)),"")</f>
        <v/>
      </c>
      <c r="H373" s="54" t="str">
        <f>_xlfn.XLOOKUP(A373,Output_Mac!A:A,Output_Mac!I:I,"")</f>
        <v/>
      </c>
      <c r="I373" s="54" t="str" cm="1">
        <f t="array" ref="I373">IFERROR(_xlfn.LET(
_xlpm.CSVVal,_xlfn.XLOOKUP($A373,CSV!$A:$A,CSV!G:G,""),
_xlpm.MacVal,_xlfn.XLOOKUP($A373,Output_Mac!$A:$A,Output_Mac!J:J,""),
_xlpm.MyAuditVal,_xlfn.XLOOKUP($A373,My_Audit!$A:$A,My_Audit!H:H,""),
_xlfn.IFS(_xlpm.MyAuditVal&lt;&gt;"",UPPER(_xlpm.MyAuditVal),_xlpm.MacVal&lt;&gt;"",_xlpm.MacVal,_xlpm.CSVVal&lt;&gt;"",_xlpm.CSVVal
)),"")</f>
        <v/>
      </c>
      <c r="J373" s="54" t="str" cm="1">
        <f t="array" ref="J373">IFERROR(_xlfn.LET(
_xlpm.CSVVal,_xlfn.XLOOKUP($A373,CSV!$A:$A,CSV!I:I,""),
_xlpm.MacVal,_xlfn.XLOOKUP($A373,Output_Mac!$A:$A,Output_Mac!K:K,""),
_xlpm.MyAuditVal,_xlfn.XLOOKUP($A373,My_Audit!$A:$A,My_Audit!I:I,""),
_xlfn.IFS(_xlpm.MyAuditVal&lt;&gt;"",UPPER(_xlpm.MyAuditVal),_xlpm.MacVal&lt;&gt;"",_xlpm.MacVal,_xlpm.CSVVal&lt;&gt;"",_xlpm.CSVVal
)),"")</f>
        <v/>
      </c>
      <c r="K373" s="54" t="str" cm="1">
        <f t="array" ref="K373">IFERROR(_xlfn.LET(
_xlpm.CSVVal,_xlfn.XLOOKUP($A373,CSV!$A:$A,CSV!M:M,""),
_xlpm.MacVal,_xlfn.XLOOKUP($A373,Output_Mac!$A:$A,Output_Mac!L:L,""),
_xlpm.MyAuditVal,_xlfn.XLOOKUP($A373,My_Audit!$A:$A,My_Audit!J:J,""),
_xlfn.IFS(_xlpm.MyAuditVal&lt;&gt;"",UPPER(_xlpm.MyAuditVal),_xlpm.MacVal&lt;&gt;"",_xlpm.MacVal,_xlpm.CSVVal&lt;&gt;"",_xlpm.CSVVal
)),"")</f>
        <v/>
      </c>
      <c r="L373" s="55" t="str" cm="1">
        <f t="array" ref="L373">IFERROR(_xlfn.LET(
_xlpm.CSVVal,_xlfn.XLOOKUP($A373,CSV!$A:$A,CSV!P:P,""),
_xlpm.MacVal,_xlfn.XLOOKUP($A373,Output_Mac!$A:$A,Output_Mac!M:M,""),
_xlpm.MyAuditVal,_xlfn.XLOOKUP($A373,My_Audit!$A:$A,My_Audit!K:K,""),
_xlfn.IFS(_xlpm.MyAuditVal&lt;&gt;"",UPPER(_xlpm.MyAuditVal),_xlpm.MacVal&lt;&gt;"",_xlpm.MacVal,_xlpm.CSVVal&lt;&gt;"",_xlpm.CSVVal
)),"")</f>
        <v/>
      </c>
      <c r="M373" s="54" t="str">
        <f>_xlfn.LET(
    _xlpm.CSVVal, _xlfn.XLOOKUP($A373, CSV!$A:$A, CSV!AD:AD, ""),
    _xlpm.MacVal, _xlfn.XLOOKUP($A373, Output_Mac!$A:$A, Output_Mac!S:S, ""),
    _xlpm.MyAuditVal, _xlfn.XLOOKUP($A373, My_Audit!$A:$A, My_Audit!N:N, ""),
    _xlfn.TEXTJOIN(", ", TRUE, _xlpm.MyAuditVal, _xlpm.MacVal, _xlpm.CSVVal)
)</f>
        <v/>
      </c>
      <c r="N373" s="54" t="str" cm="1">
        <f t="array" ref="N373">IFERROR(_xlfn.LET(
_xlpm.CSVVal,_xlfn.XLOOKUP($A373,CSV!$A:$A,CSV!AF:AF,""),
_xlpm.MacVal,_xlfn.XLOOKUP($A373,Output_Mac!$A:$A,Output_Mac!U:U,""),
_xlpm.MyAuditVal,_xlfn.XLOOKUP($A373,My_Audit!$A:$A,My_Audit!O:O,""),
_xlfn.IFS(_xlpm.MyAuditVal&lt;&gt;"",UPPER(_xlpm.MyAuditVal),_xlpm.MacVal&lt;&gt;"",_xlpm.MacVal,_xlpm.CSVVal&lt;&gt;"",_xlpm.CSVVal
)),"")</f>
        <v/>
      </c>
      <c r="O373" s="54"/>
      <c r="P373" s="54"/>
      <c r="Q373" s="54"/>
      <c r="R373" s="54"/>
      <c r="S373" s="54"/>
      <c r="T373" s="54"/>
      <c r="U373" s="39"/>
    </row>
    <row r="374" spans="1:21">
      <c r="A374" s="54" t="str">
        <f>_xlfn.TEXTJOIN("",TRUE,Input!$B$2,ROW(My_Audit!A373))</f>
        <v>XX373</v>
      </c>
      <c r="B374" s="54" t="str">
        <f>_xlfn.TEXTJOIN("-",TRUE,"ITD",Input!$A$2,A374)</f>
        <v>ITD-SHRXXX-XX373</v>
      </c>
      <c r="C374" s="54" t="str" cm="1">
        <f t="array" ref="C374">IFERROR(_xlfn.LET(
_xlpm.CSVVal,_xlfn.XLOOKUP($A374,CSV!$A:$A,CSV!B:B,""),
_xlpm.MacVal,_xlfn.XLOOKUP($A374,Output_Mac!$A:$A,Output_Mac!B:B,""),
_xlpm.MyAuditVal,_xlfn.XLOOKUP($A374,My_Audit!$A:$A,My_Audit!B:B,""),
_xlfn.IFS(_xlpm.MyAuditVal&lt;&gt;"",UPPER(_xlpm.MyAuditVal),_xlpm.MacVal&lt;&gt;"",_xlpm.MacVal,_xlpm.CSVVal&lt;&gt;"",_xlpm.CSVVal
)),"")</f>
        <v/>
      </c>
      <c r="D374" s="55" t="str">
        <f>_xlfn.XLOOKUP(A374,My_Audit!A:A,My_Audit!D:D,"")&amp;""</f>
        <v/>
      </c>
      <c r="E374" s="55" t="str" cm="1">
        <f t="array" ref="E374">IFERROR(_xlfn.LET(
_xlpm.CSVVal,_xlfn.XLOOKUP($A374,CSV!$A:$A,CSV!D:D,""),
_xlpm.MacVal,_xlfn.XLOOKUP($A374,Output_Mac!$A:$A,Output_Mac!C:C,""),
_xlpm.MyAuditVal,_xlfn.XLOOKUP($A374,My_Audit!$A:$A,My_Audit!D:D,""),
_xlfn.IFS(_xlpm.MyAuditVal&lt;&gt;"",_xlpm.MyAuditVal,_xlpm.MacVal&lt;&gt;"",_xlpm.MacVal,_xlpm.CSVVal&lt;&gt;"",_xlpm.CSVVal
)),"")</f>
        <v/>
      </c>
      <c r="F374" s="54" t="str" cm="1">
        <f t="array" ref="F374">IFERROR(_xlfn.LET(
_xlpm.CSVVal,_xlfn.XLOOKUP($A374,CSV!$A:$A,CSV!E:E,""),
_xlpm.MacVal,_xlfn.XLOOKUP($A374,Output_Mac!$A:$A,Output_Mac!F:F,""),
_xlpm.MyAuditVal,_xlfn.XLOOKUP($A374,My_Audit!$A:$A,My_Audit!E:E,""),
_xlfn.IFS(_xlpm.MyAuditVal&lt;&gt;"",_xlpm.MyAuditVal,_xlpm.MacVal&lt;&gt;"",_xlpm.MacVal,_xlpm.CSVVal&lt;&gt;"",PROPER(_xlpm.CSVVal)
)),"")</f>
        <v/>
      </c>
      <c r="G374" s="54" t="str" cm="1">
        <f t="array" ref="G374">IFERROR(_xlfn.LET(
_xlpm.CSVVal,_xlfn.XLOOKUP($A374,CSV!$A:$A,CSV!F:F,""),
_xlpm.MacVal,_xlfn.XLOOKUP($A374,Output_Mac!$A:$A,Output_Mac!H:H,""),
_xlpm.MyAuditVal,_xlfn.XLOOKUP($A374,My_Audit!$A:$A,My_Audit!F:F,""),
_xlfn.IFS(_xlpm.MyAuditVal&lt;&gt;"",_xlpm.MyAuditVal,_xlpm.MacVal&lt;&gt;"",_xlpm.MacVal,_xlpm.CSVVal&lt;&gt;"",_xlpm.CSVVal
)),"")</f>
        <v/>
      </c>
      <c r="H374" s="54" t="str">
        <f>_xlfn.XLOOKUP(A374,Output_Mac!A:A,Output_Mac!I:I,"")</f>
        <v/>
      </c>
      <c r="I374" s="54" t="str" cm="1">
        <f t="array" ref="I374">IFERROR(_xlfn.LET(
_xlpm.CSVVal,_xlfn.XLOOKUP($A374,CSV!$A:$A,CSV!G:G,""),
_xlpm.MacVal,_xlfn.XLOOKUP($A374,Output_Mac!$A:$A,Output_Mac!J:J,""),
_xlpm.MyAuditVal,_xlfn.XLOOKUP($A374,My_Audit!$A:$A,My_Audit!H:H,""),
_xlfn.IFS(_xlpm.MyAuditVal&lt;&gt;"",UPPER(_xlpm.MyAuditVal),_xlpm.MacVal&lt;&gt;"",_xlpm.MacVal,_xlpm.CSVVal&lt;&gt;"",_xlpm.CSVVal
)),"")</f>
        <v/>
      </c>
      <c r="J374" s="54" t="str" cm="1">
        <f t="array" ref="J374">IFERROR(_xlfn.LET(
_xlpm.CSVVal,_xlfn.XLOOKUP($A374,CSV!$A:$A,CSV!I:I,""),
_xlpm.MacVal,_xlfn.XLOOKUP($A374,Output_Mac!$A:$A,Output_Mac!K:K,""),
_xlpm.MyAuditVal,_xlfn.XLOOKUP($A374,My_Audit!$A:$A,My_Audit!I:I,""),
_xlfn.IFS(_xlpm.MyAuditVal&lt;&gt;"",UPPER(_xlpm.MyAuditVal),_xlpm.MacVal&lt;&gt;"",_xlpm.MacVal,_xlpm.CSVVal&lt;&gt;"",_xlpm.CSVVal
)),"")</f>
        <v/>
      </c>
      <c r="K374" s="54" t="str" cm="1">
        <f t="array" ref="K374">IFERROR(_xlfn.LET(
_xlpm.CSVVal,_xlfn.XLOOKUP($A374,CSV!$A:$A,CSV!M:M,""),
_xlpm.MacVal,_xlfn.XLOOKUP($A374,Output_Mac!$A:$A,Output_Mac!L:L,""),
_xlpm.MyAuditVal,_xlfn.XLOOKUP($A374,My_Audit!$A:$A,My_Audit!J:J,""),
_xlfn.IFS(_xlpm.MyAuditVal&lt;&gt;"",UPPER(_xlpm.MyAuditVal),_xlpm.MacVal&lt;&gt;"",_xlpm.MacVal,_xlpm.CSVVal&lt;&gt;"",_xlpm.CSVVal
)),"")</f>
        <v/>
      </c>
      <c r="L374" s="55" t="str" cm="1">
        <f t="array" ref="L374">IFERROR(_xlfn.LET(
_xlpm.CSVVal,_xlfn.XLOOKUP($A374,CSV!$A:$A,CSV!P:P,""),
_xlpm.MacVal,_xlfn.XLOOKUP($A374,Output_Mac!$A:$A,Output_Mac!M:M,""),
_xlpm.MyAuditVal,_xlfn.XLOOKUP($A374,My_Audit!$A:$A,My_Audit!K:K,""),
_xlfn.IFS(_xlpm.MyAuditVal&lt;&gt;"",UPPER(_xlpm.MyAuditVal),_xlpm.MacVal&lt;&gt;"",_xlpm.MacVal,_xlpm.CSVVal&lt;&gt;"",_xlpm.CSVVal
)),"")</f>
        <v/>
      </c>
      <c r="M374" s="54" t="str">
        <f>_xlfn.LET(
    _xlpm.CSVVal, _xlfn.XLOOKUP($A374, CSV!$A:$A, CSV!AD:AD, ""),
    _xlpm.MacVal, _xlfn.XLOOKUP($A374, Output_Mac!$A:$A, Output_Mac!S:S, ""),
    _xlpm.MyAuditVal, _xlfn.XLOOKUP($A374, My_Audit!$A:$A, My_Audit!N:N, ""),
    _xlfn.TEXTJOIN(", ", TRUE, _xlpm.MyAuditVal, _xlpm.MacVal, _xlpm.CSVVal)
)</f>
        <v/>
      </c>
      <c r="N374" s="54" t="str" cm="1">
        <f t="array" ref="N374">IFERROR(_xlfn.LET(
_xlpm.CSVVal,_xlfn.XLOOKUP($A374,CSV!$A:$A,CSV!AF:AF,""),
_xlpm.MacVal,_xlfn.XLOOKUP($A374,Output_Mac!$A:$A,Output_Mac!U:U,""),
_xlpm.MyAuditVal,_xlfn.XLOOKUP($A374,My_Audit!$A:$A,My_Audit!O:O,""),
_xlfn.IFS(_xlpm.MyAuditVal&lt;&gt;"",UPPER(_xlpm.MyAuditVal),_xlpm.MacVal&lt;&gt;"",_xlpm.MacVal,_xlpm.CSVVal&lt;&gt;"",_xlpm.CSVVal
)),"")</f>
        <v/>
      </c>
      <c r="O374" s="54"/>
      <c r="P374" s="54"/>
      <c r="Q374" s="54"/>
      <c r="R374" s="54"/>
      <c r="S374" s="54"/>
      <c r="T374" s="54"/>
      <c r="U374" s="39"/>
    </row>
    <row r="375" spans="1:21">
      <c r="A375" s="54" t="str">
        <f>_xlfn.TEXTJOIN("",TRUE,Input!$B$2,ROW(My_Audit!A374))</f>
        <v>XX374</v>
      </c>
      <c r="B375" s="54" t="str">
        <f>_xlfn.TEXTJOIN("-",TRUE,"ITD",Input!$A$2,A375)</f>
        <v>ITD-SHRXXX-XX374</v>
      </c>
      <c r="C375" s="54" t="str" cm="1">
        <f t="array" ref="C375">IFERROR(_xlfn.LET(
_xlpm.CSVVal,_xlfn.XLOOKUP($A375,CSV!$A:$A,CSV!B:B,""),
_xlpm.MacVal,_xlfn.XLOOKUP($A375,Output_Mac!$A:$A,Output_Mac!B:B,""),
_xlpm.MyAuditVal,_xlfn.XLOOKUP($A375,My_Audit!$A:$A,My_Audit!B:B,""),
_xlfn.IFS(_xlpm.MyAuditVal&lt;&gt;"",UPPER(_xlpm.MyAuditVal),_xlpm.MacVal&lt;&gt;"",_xlpm.MacVal,_xlpm.CSVVal&lt;&gt;"",_xlpm.CSVVal
)),"")</f>
        <v/>
      </c>
      <c r="D375" s="55" t="str">
        <f>_xlfn.XLOOKUP(A375,My_Audit!A:A,My_Audit!D:D,"")&amp;""</f>
        <v/>
      </c>
      <c r="E375" s="55" t="str" cm="1">
        <f t="array" ref="E375">IFERROR(_xlfn.LET(
_xlpm.CSVVal,_xlfn.XLOOKUP($A375,CSV!$A:$A,CSV!D:D,""),
_xlpm.MacVal,_xlfn.XLOOKUP($A375,Output_Mac!$A:$A,Output_Mac!C:C,""),
_xlpm.MyAuditVal,_xlfn.XLOOKUP($A375,My_Audit!$A:$A,My_Audit!D:D,""),
_xlfn.IFS(_xlpm.MyAuditVal&lt;&gt;"",_xlpm.MyAuditVal,_xlpm.MacVal&lt;&gt;"",_xlpm.MacVal,_xlpm.CSVVal&lt;&gt;"",_xlpm.CSVVal
)),"")</f>
        <v/>
      </c>
      <c r="F375" s="54" t="str" cm="1">
        <f t="array" ref="F375">IFERROR(_xlfn.LET(
_xlpm.CSVVal,_xlfn.XLOOKUP($A375,CSV!$A:$A,CSV!E:E,""),
_xlpm.MacVal,_xlfn.XLOOKUP($A375,Output_Mac!$A:$A,Output_Mac!F:F,""),
_xlpm.MyAuditVal,_xlfn.XLOOKUP($A375,My_Audit!$A:$A,My_Audit!E:E,""),
_xlfn.IFS(_xlpm.MyAuditVal&lt;&gt;"",_xlpm.MyAuditVal,_xlpm.MacVal&lt;&gt;"",_xlpm.MacVal,_xlpm.CSVVal&lt;&gt;"",PROPER(_xlpm.CSVVal)
)),"")</f>
        <v/>
      </c>
      <c r="G375" s="54" t="str" cm="1">
        <f t="array" ref="G375">IFERROR(_xlfn.LET(
_xlpm.CSVVal,_xlfn.XLOOKUP($A375,CSV!$A:$A,CSV!F:F,""),
_xlpm.MacVal,_xlfn.XLOOKUP($A375,Output_Mac!$A:$A,Output_Mac!H:H,""),
_xlpm.MyAuditVal,_xlfn.XLOOKUP($A375,My_Audit!$A:$A,My_Audit!F:F,""),
_xlfn.IFS(_xlpm.MyAuditVal&lt;&gt;"",_xlpm.MyAuditVal,_xlpm.MacVal&lt;&gt;"",_xlpm.MacVal,_xlpm.CSVVal&lt;&gt;"",_xlpm.CSVVal
)),"")</f>
        <v/>
      </c>
      <c r="H375" s="54" t="str">
        <f>_xlfn.XLOOKUP(A375,Output_Mac!A:A,Output_Mac!I:I,"")</f>
        <v/>
      </c>
      <c r="I375" s="54" t="str" cm="1">
        <f t="array" ref="I375">IFERROR(_xlfn.LET(
_xlpm.CSVVal,_xlfn.XLOOKUP($A375,CSV!$A:$A,CSV!G:G,""),
_xlpm.MacVal,_xlfn.XLOOKUP($A375,Output_Mac!$A:$A,Output_Mac!J:J,""),
_xlpm.MyAuditVal,_xlfn.XLOOKUP($A375,My_Audit!$A:$A,My_Audit!H:H,""),
_xlfn.IFS(_xlpm.MyAuditVal&lt;&gt;"",UPPER(_xlpm.MyAuditVal),_xlpm.MacVal&lt;&gt;"",_xlpm.MacVal,_xlpm.CSVVal&lt;&gt;"",_xlpm.CSVVal
)),"")</f>
        <v/>
      </c>
      <c r="J375" s="54" t="str" cm="1">
        <f t="array" ref="J375">IFERROR(_xlfn.LET(
_xlpm.CSVVal,_xlfn.XLOOKUP($A375,CSV!$A:$A,CSV!I:I,""),
_xlpm.MacVal,_xlfn.XLOOKUP($A375,Output_Mac!$A:$A,Output_Mac!K:K,""),
_xlpm.MyAuditVal,_xlfn.XLOOKUP($A375,My_Audit!$A:$A,My_Audit!I:I,""),
_xlfn.IFS(_xlpm.MyAuditVal&lt;&gt;"",UPPER(_xlpm.MyAuditVal),_xlpm.MacVal&lt;&gt;"",_xlpm.MacVal,_xlpm.CSVVal&lt;&gt;"",_xlpm.CSVVal
)),"")</f>
        <v/>
      </c>
      <c r="K375" s="54" t="str" cm="1">
        <f t="array" ref="K375">IFERROR(_xlfn.LET(
_xlpm.CSVVal,_xlfn.XLOOKUP($A375,CSV!$A:$A,CSV!M:M,""),
_xlpm.MacVal,_xlfn.XLOOKUP($A375,Output_Mac!$A:$A,Output_Mac!L:L,""),
_xlpm.MyAuditVal,_xlfn.XLOOKUP($A375,My_Audit!$A:$A,My_Audit!J:J,""),
_xlfn.IFS(_xlpm.MyAuditVal&lt;&gt;"",UPPER(_xlpm.MyAuditVal),_xlpm.MacVal&lt;&gt;"",_xlpm.MacVal,_xlpm.CSVVal&lt;&gt;"",_xlpm.CSVVal
)),"")</f>
        <v/>
      </c>
      <c r="L375" s="55" t="str" cm="1">
        <f t="array" ref="L375">IFERROR(_xlfn.LET(
_xlpm.CSVVal,_xlfn.XLOOKUP($A375,CSV!$A:$A,CSV!P:P,""),
_xlpm.MacVal,_xlfn.XLOOKUP($A375,Output_Mac!$A:$A,Output_Mac!M:M,""),
_xlpm.MyAuditVal,_xlfn.XLOOKUP($A375,My_Audit!$A:$A,My_Audit!K:K,""),
_xlfn.IFS(_xlpm.MyAuditVal&lt;&gt;"",UPPER(_xlpm.MyAuditVal),_xlpm.MacVal&lt;&gt;"",_xlpm.MacVal,_xlpm.CSVVal&lt;&gt;"",_xlpm.CSVVal
)),"")</f>
        <v/>
      </c>
      <c r="M375" s="54" t="str">
        <f>_xlfn.LET(
    _xlpm.CSVVal, _xlfn.XLOOKUP($A375, CSV!$A:$A, CSV!AD:AD, ""),
    _xlpm.MacVal, _xlfn.XLOOKUP($A375, Output_Mac!$A:$A, Output_Mac!S:S, ""),
    _xlpm.MyAuditVal, _xlfn.XLOOKUP($A375, My_Audit!$A:$A, My_Audit!N:N, ""),
    _xlfn.TEXTJOIN(", ", TRUE, _xlpm.MyAuditVal, _xlpm.MacVal, _xlpm.CSVVal)
)</f>
        <v/>
      </c>
      <c r="N375" s="54" t="str" cm="1">
        <f t="array" ref="N375">IFERROR(_xlfn.LET(
_xlpm.CSVVal,_xlfn.XLOOKUP($A375,CSV!$A:$A,CSV!AF:AF,""),
_xlpm.MacVal,_xlfn.XLOOKUP($A375,Output_Mac!$A:$A,Output_Mac!U:U,""),
_xlpm.MyAuditVal,_xlfn.XLOOKUP($A375,My_Audit!$A:$A,My_Audit!O:O,""),
_xlfn.IFS(_xlpm.MyAuditVal&lt;&gt;"",UPPER(_xlpm.MyAuditVal),_xlpm.MacVal&lt;&gt;"",_xlpm.MacVal,_xlpm.CSVVal&lt;&gt;"",_xlpm.CSVVal
)),"")</f>
        <v/>
      </c>
      <c r="O375" s="54"/>
      <c r="P375" s="54"/>
      <c r="Q375" s="54"/>
      <c r="R375" s="54"/>
      <c r="S375" s="54"/>
      <c r="T375" s="54"/>
      <c r="U375" s="39"/>
    </row>
    <row r="376" spans="1:21">
      <c r="A376" s="54" t="str">
        <f>_xlfn.TEXTJOIN("",TRUE,Input!$B$2,ROW(My_Audit!A375))</f>
        <v>XX375</v>
      </c>
      <c r="B376" s="54" t="str">
        <f>_xlfn.TEXTJOIN("-",TRUE,"ITD",Input!$A$2,A376)</f>
        <v>ITD-SHRXXX-XX375</v>
      </c>
      <c r="C376" s="54" t="str" cm="1">
        <f t="array" ref="C376">IFERROR(_xlfn.LET(
_xlpm.CSVVal,_xlfn.XLOOKUP($A376,CSV!$A:$A,CSV!B:B,""),
_xlpm.MacVal,_xlfn.XLOOKUP($A376,Output_Mac!$A:$A,Output_Mac!B:B,""),
_xlpm.MyAuditVal,_xlfn.XLOOKUP($A376,My_Audit!$A:$A,My_Audit!B:B,""),
_xlfn.IFS(_xlpm.MyAuditVal&lt;&gt;"",UPPER(_xlpm.MyAuditVal),_xlpm.MacVal&lt;&gt;"",_xlpm.MacVal,_xlpm.CSVVal&lt;&gt;"",_xlpm.CSVVal
)),"")</f>
        <v/>
      </c>
      <c r="D376" s="55" t="str">
        <f>_xlfn.XLOOKUP(A376,My_Audit!A:A,My_Audit!D:D,"")&amp;""</f>
        <v/>
      </c>
      <c r="E376" s="55" t="str" cm="1">
        <f t="array" ref="E376">IFERROR(_xlfn.LET(
_xlpm.CSVVal,_xlfn.XLOOKUP($A376,CSV!$A:$A,CSV!D:D,""),
_xlpm.MacVal,_xlfn.XLOOKUP($A376,Output_Mac!$A:$A,Output_Mac!C:C,""),
_xlpm.MyAuditVal,_xlfn.XLOOKUP($A376,My_Audit!$A:$A,My_Audit!D:D,""),
_xlfn.IFS(_xlpm.MyAuditVal&lt;&gt;"",_xlpm.MyAuditVal,_xlpm.MacVal&lt;&gt;"",_xlpm.MacVal,_xlpm.CSVVal&lt;&gt;"",_xlpm.CSVVal
)),"")</f>
        <v/>
      </c>
      <c r="F376" s="54" t="str" cm="1">
        <f t="array" ref="F376">IFERROR(_xlfn.LET(
_xlpm.CSVVal,_xlfn.XLOOKUP($A376,CSV!$A:$A,CSV!E:E,""),
_xlpm.MacVal,_xlfn.XLOOKUP($A376,Output_Mac!$A:$A,Output_Mac!F:F,""),
_xlpm.MyAuditVal,_xlfn.XLOOKUP($A376,My_Audit!$A:$A,My_Audit!E:E,""),
_xlfn.IFS(_xlpm.MyAuditVal&lt;&gt;"",_xlpm.MyAuditVal,_xlpm.MacVal&lt;&gt;"",_xlpm.MacVal,_xlpm.CSVVal&lt;&gt;"",PROPER(_xlpm.CSVVal)
)),"")</f>
        <v/>
      </c>
      <c r="G376" s="54" t="str" cm="1">
        <f t="array" ref="G376">IFERROR(_xlfn.LET(
_xlpm.CSVVal,_xlfn.XLOOKUP($A376,CSV!$A:$A,CSV!F:F,""),
_xlpm.MacVal,_xlfn.XLOOKUP($A376,Output_Mac!$A:$A,Output_Mac!H:H,""),
_xlpm.MyAuditVal,_xlfn.XLOOKUP($A376,My_Audit!$A:$A,My_Audit!F:F,""),
_xlfn.IFS(_xlpm.MyAuditVal&lt;&gt;"",_xlpm.MyAuditVal,_xlpm.MacVal&lt;&gt;"",_xlpm.MacVal,_xlpm.CSVVal&lt;&gt;"",_xlpm.CSVVal
)),"")</f>
        <v/>
      </c>
      <c r="H376" s="54" t="str">
        <f>_xlfn.XLOOKUP(A376,Output_Mac!A:A,Output_Mac!I:I,"")</f>
        <v/>
      </c>
      <c r="I376" s="54" t="str" cm="1">
        <f t="array" ref="I376">IFERROR(_xlfn.LET(
_xlpm.CSVVal,_xlfn.XLOOKUP($A376,CSV!$A:$A,CSV!G:G,""),
_xlpm.MacVal,_xlfn.XLOOKUP($A376,Output_Mac!$A:$A,Output_Mac!J:J,""),
_xlpm.MyAuditVal,_xlfn.XLOOKUP($A376,My_Audit!$A:$A,My_Audit!H:H,""),
_xlfn.IFS(_xlpm.MyAuditVal&lt;&gt;"",UPPER(_xlpm.MyAuditVal),_xlpm.MacVal&lt;&gt;"",_xlpm.MacVal,_xlpm.CSVVal&lt;&gt;"",_xlpm.CSVVal
)),"")</f>
        <v/>
      </c>
      <c r="J376" s="54" t="str" cm="1">
        <f t="array" ref="J376">IFERROR(_xlfn.LET(
_xlpm.CSVVal,_xlfn.XLOOKUP($A376,CSV!$A:$A,CSV!I:I,""),
_xlpm.MacVal,_xlfn.XLOOKUP($A376,Output_Mac!$A:$A,Output_Mac!K:K,""),
_xlpm.MyAuditVal,_xlfn.XLOOKUP($A376,My_Audit!$A:$A,My_Audit!I:I,""),
_xlfn.IFS(_xlpm.MyAuditVal&lt;&gt;"",UPPER(_xlpm.MyAuditVal),_xlpm.MacVal&lt;&gt;"",_xlpm.MacVal,_xlpm.CSVVal&lt;&gt;"",_xlpm.CSVVal
)),"")</f>
        <v/>
      </c>
      <c r="K376" s="54" t="str" cm="1">
        <f t="array" ref="K376">IFERROR(_xlfn.LET(
_xlpm.CSVVal,_xlfn.XLOOKUP($A376,CSV!$A:$A,CSV!M:M,""),
_xlpm.MacVal,_xlfn.XLOOKUP($A376,Output_Mac!$A:$A,Output_Mac!L:L,""),
_xlpm.MyAuditVal,_xlfn.XLOOKUP($A376,My_Audit!$A:$A,My_Audit!J:J,""),
_xlfn.IFS(_xlpm.MyAuditVal&lt;&gt;"",UPPER(_xlpm.MyAuditVal),_xlpm.MacVal&lt;&gt;"",_xlpm.MacVal,_xlpm.CSVVal&lt;&gt;"",_xlpm.CSVVal
)),"")</f>
        <v/>
      </c>
      <c r="L376" s="55" t="str" cm="1">
        <f t="array" ref="L376">IFERROR(_xlfn.LET(
_xlpm.CSVVal,_xlfn.XLOOKUP($A376,CSV!$A:$A,CSV!P:P,""),
_xlpm.MacVal,_xlfn.XLOOKUP($A376,Output_Mac!$A:$A,Output_Mac!M:M,""),
_xlpm.MyAuditVal,_xlfn.XLOOKUP($A376,My_Audit!$A:$A,My_Audit!K:K,""),
_xlfn.IFS(_xlpm.MyAuditVal&lt;&gt;"",UPPER(_xlpm.MyAuditVal),_xlpm.MacVal&lt;&gt;"",_xlpm.MacVal,_xlpm.CSVVal&lt;&gt;"",_xlpm.CSVVal
)),"")</f>
        <v/>
      </c>
      <c r="M376" s="54" t="str">
        <f>_xlfn.LET(
    _xlpm.CSVVal, _xlfn.XLOOKUP($A376, CSV!$A:$A, CSV!AD:AD, ""),
    _xlpm.MacVal, _xlfn.XLOOKUP($A376, Output_Mac!$A:$A, Output_Mac!S:S, ""),
    _xlpm.MyAuditVal, _xlfn.XLOOKUP($A376, My_Audit!$A:$A, My_Audit!N:N, ""),
    _xlfn.TEXTJOIN(", ", TRUE, _xlpm.MyAuditVal, _xlpm.MacVal, _xlpm.CSVVal)
)</f>
        <v/>
      </c>
      <c r="N376" s="54" t="str" cm="1">
        <f t="array" ref="N376">IFERROR(_xlfn.LET(
_xlpm.CSVVal,_xlfn.XLOOKUP($A376,CSV!$A:$A,CSV!AF:AF,""),
_xlpm.MacVal,_xlfn.XLOOKUP($A376,Output_Mac!$A:$A,Output_Mac!U:U,""),
_xlpm.MyAuditVal,_xlfn.XLOOKUP($A376,My_Audit!$A:$A,My_Audit!O:O,""),
_xlfn.IFS(_xlpm.MyAuditVal&lt;&gt;"",UPPER(_xlpm.MyAuditVal),_xlpm.MacVal&lt;&gt;"",_xlpm.MacVal,_xlpm.CSVVal&lt;&gt;"",_xlpm.CSVVal
)),"")</f>
        <v/>
      </c>
      <c r="O376" s="54"/>
      <c r="P376" s="54"/>
      <c r="Q376" s="54"/>
      <c r="R376" s="54"/>
      <c r="S376" s="54"/>
      <c r="T376" s="54"/>
      <c r="U376" s="39"/>
    </row>
    <row r="377" spans="1:21">
      <c r="A377" s="54" t="str">
        <f>_xlfn.TEXTJOIN("",TRUE,Input!$B$2,ROW(My_Audit!A376))</f>
        <v>XX376</v>
      </c>
      <c r="B377" s="54" t="str">
        <f>_xlfn.TEXTJOIN("-",TRUE,"ITD",Input!$A$2,A377)</f>
        <v>ITD-SHRXXX-XX376</v>
      </c>
      <c r="C377" s="54" t="str" cm="1">
        <f t="array" ref="C377">IFERROR(_xlfn.LET(
_xlpm.CSVVal,_xlfn.XLOOKUP($A377,CSV!$A:$A,CSV!B:B,""),
_xlpm.MacVal,_xlfn.XLOOKUP($A377,Output_Mac!$A:$A,Output_Mac!B:B,""),
_xlpm.MyAuditVal,_xlfn.XLOOKUP($A377,My_Audit!$A:$A,My_Audit!B:B,""),
_xlfn.IFS(_xlpm.MyAuditVal&lt;&gt;"",UPPER(_xlpm.MyAuditVal),_xlpm.MacVal&lt;&gt;"",_xlpm.MacVal,_xlpm.CSVVal&lt;&gt;"",_xlpm.CSVVal
)),"")</f>
        <v/>
      </c>
      <c r="D377" s="55" t="str">
        <f>_xlfn.XLOOKUP(A377,My_Audit!A:A,My_Audit!D:D,"")&amp;""</f>
        <v/>
      </c>
      <c r="E377" s="55" t="str" cm="1">
        <f t="array" ref="E377">IFERROR(_xlfn.LET(
_xlpm.CSVVal,_xlfn.XLOOKUP($A377,CSV!$A:$A,CSV!D:D,""),
_xlpm.MacVal,_xlfn.XLOOKUP($A377,Output_Mac!$A:$A,Output_Mac!C:C,""),
_xlpm.MyAuditVal,_xlfn.XLOOKUP($A377,My_Audit!$A:$A,My_Audit!D:D,""),
_xlfn.IFS(_xlpm.MyAuditVal&lt;&gt;"",_xlpm.MyAuditVal,_xlpm.MacVal&lt;&gt;"",_xlpm.MacVal,_xlpm.CSVVal&lt;&gt;"",_xlpm.CSVVal
)),"")</f>
        <v/>
      </c>
      <c r="F377" s="54" t="str" cm="1">
        <f t="array" ref="F377">IFERROR(_xlfn.LET(
_xlpm.CSVVal,_xlfn.XLOOKUP($A377,CSV!$A:$A,CSV!E:E,""),
_xlpm.MacVal,_xlfn.XLOOKUP($A377,Output_Mac!$A:$A,Output_Mac!F:F,""),
_xlpm.MyAuditVal,_xlfn.XLOOKUP($A377,My_Audit!$A:$A,My_Audit!E:E,""),
_xlfn.IFS(_xlpm.MyAuditVal&lt;&gt;"",_xlpm.MyAuditVal,_xlpm.MacVal&lt;&gt;"",_xlpm.MacVal,_xlpm.CSVVal&lt;&gt;"",PROPER(_xlpm.CSVVal)
)),"")</f>
        <v/>
      </c>
      <c r="G377" s="54" t="str" cm="1">
        <f t="array" ref="G377">IFERROR(_xlfn.LET(
_xlpm.CSVVal,_xlfn.XLOOKUP($A377,CSV!$A:$A,CSV!F:F,""),
_xlpm.MacVal,_xlfn.XLOOKUP($A377,Output_Mac!$A:$A,Output_Mac!H:H,""),
_xlpm.MyAuditVal,_xlfn.XLOOKUP($A377,My_Audit!$A:$A,My_Audit!F:F,""),
_xlfn.IFS(_xlpm.MyAuditVal&lt;&gt;"",_xlpm.MyAuditVal,_xlpm.MacVal&lt;&gt;"",_xlpm.MacVal,_xlpm.CSVVal&lt;&gt;"",_xlpm.CSVVal
)),"")</f>
        <v/>
      </c>
      <c r="H377" s="54" t="str">
        <f>_xlfn.XLOOKUP(A377,Output_Mac!A:A,Output_Mac!I:I,"")</f>
        <v/>
      </c>
      <c r="I377" s="54" t="str" cm="1">
        <f t="array" ref="I377">IFERROR(_xlfn.LET(
_xlpm.CSVVal,_xlfn.XLOOKUP($A377,CSV!$A:$A,CSV!G:G,""),
_xlpm.MacVal,_xlfn.XLOOKUP($A377,Output_Mac!$A:$A,Output_Mac!J:J,""),
_xlpm.MyAuditVal,_xlfn.XLOOKUP($A377,My_Audit!$A:$A,My_Audit!H:H,""),
_xlfn.IFS(_xlpm.MyAuditVal&lt;&gt;"",UPPER(_xlpm.MyAuditVal),_xlpm.MacVal&lt;&gt;"",_xlpm.MacVal,_xlpm.CSVVal&lt;&gt;"",_xlpm.CSVVal
)),"")</f>
        <v/>
      </c>
      <c r="J377" s="54" t="str" cm="1">
        <f t="array" ref="J377">IFERROR(_xlfn.LET(
_xlpm.CSVVal,_xlfn.XLOOKUP($A377,CSV!$A:$A,CSV!I:I,""),
_xlpm.MacVal,_xlfn.XLOOKUP($A377,Output_Mac!$A:$A,Output_Mac!K:K,""),
_xlpm.MyAuditVal,_xlfn.XLOOKUP($A377,My_Audit!$A:$A,My_Audit!I:I,""),
_xlfn.IFS(_xlpm.MyAuditVal&lt;&gt;"",UPPER(_xlpm.MyAuditVal),_xlpm.MacVal&lt;&gt;"",_xlpm.MacVal,_xlpm.CSVVal&lt;&gt;"",_xlpm.CSVVal
)),"")</f>
        <v/>
      </c>
      <c r="K377" s="54" t="str" cm="1">
        <f t="array" ref="K377">IFERROR(_xlfn.LET(
_xlpm.CSVVal,_xlfn.XLOOKUP($A377,CSV!$A:$A,CSV!M:M,""),
_xlpm.MacVal,_xlfn.XLOOKUP($A377,Output_Mac!$A:$A,Output_Mac!L:L,""),
_xlpm.MyAuditVal,_xlfn.XLOOKUP($A377,My_Audit!$A:$A,My_Audit!J:J,""),
_xlfn.IFS(_xlpm.MyAuditVal&lt;&gt;"",UPPER(_xlpm.MyAuditVal),_xlpm.MacVal&lt;&gt;"",_xlpm.MacVal,_xlpm.CSVVal&lt;&gt;"",_xlpm.CSVVal
)),"")</f>
        <v/>
      </c>
      <c r="L377" s="55" t="str" cm="1">
        <f t="array" ref="L377">IFERROR(_xlfn.LET(
_xlpm.CSVVal,_xlfn.XLOOKUP($A377,CSV!$A:$A,CSV!P:P,""),
_xlpm.MacVal,_xlfn.XLOOKUP($A377,Output_Mac!$A:$A,Output_Mac!M:M,""),
_xlpm.MyAuditVal,_xlfn.XLOOKUP($A377,My_Audit!$A:$A,My_Audit!K:K,""),
_xlfn.IFS(_xlpm.MyAuditVal&lt;&gt;"",UPPER(_xlpm.MyAuditVal),_xlpm.MacVal&lt;&gt;"",_xlpm.MacVal,_xlpm.CSVVal&lt;&gt;"",_xlpm.CSVVal
)),"")</f>
        <v/>
      </c>
      <c r="M377" s="54" t="str">
        <f>_xlfn.LET(
    _xlpm.CSVVal, _xlfn.XLOOKUP($A377, CSV!$A:$A, CSV!AD:AD, ""),
    _xlpm.MacVal, _xlfn.XLOOKUP($A377, Output_Mac!$A:$A, Output_Mac!S:S, ""),
    _xlpm.MyAuditVal, _xlfn.XLOOKUP($A377, My_Audit!$A:$A, My_Audit!N:N, ""),
    _xlfn.TEXTJOIN(", ", TRUE, _xlpm.MyAuditVal, _xlpm.MacVal, _xlpm.CSVVal)
)</f>
        <v/>
      </c>
      <c r="N377" s="54" t="str" cm="1">
        <f t="array" ref="N377">IFERROR(_xlfn.LET(
_xlpm.CSVVal,_xlfn.XLOOKUP($A377,CSV!$A:$A,CSV!AF:AF,""),
_xlpm.MacVal,_xlfn.XLOOKUP($A377,Output_Mac!$A:$A,Output_Mac!U:U,""),
_xlpm.MyAuditVal,_xlfn.XLOOKUP($A377,My_Audit!$A:$A,My_Audit!O:O,""),
_xlfn.IFS(_xlpm.MyAuditVal&lt;&gt;"",UPPER(_xlpm.MyAuditVal),_xlpm.MacVal&lt;&gt;"",_xlpm.MacVal,_xlpm.CSVVal&lt;&gt;"",_xlpm.CSVVal
)),"")</f>
        <v/>
      </c>
      <c r="O377" s="54"/>
      <c r="P377" s="54"/>
      <c r="Q377" s="54"/>
      <c r="R377" s="54"/>
      <c r="S377" s="54"/>
      <c r="T377" s="54"/>
      <c r="U377" s="39"/>
    </row>
    <row r="378" spans="1:21">
      <c r="A378" s="54" t="str">
        <f>_xlfn.TEXTJOIN("",TRUE,Input!$B$2,ROW(My_Audit!A377))</f>
        <v>XX377</v>
      </c>
      <c r="B378" s="54" t="str">
        <f>_xlfn.TEXTJOIN("-",TRUE,"ITD",Input!$A$2,A378)</f>
        <v>ITD-SHRXXX-XX377</v>
      </c>
      <c r="C378" s="54" t="str" cm="1">
        <f t="array" ref="C378">IFERROR(_xlfn.LET(
_xlpm.CSVVal,_xlfn.XLOOKUP($A378,CSV!$A:$A,CSV!B:B,""),
_xlpm.MacVal,_xlfn.XLOOKUP($A378,Output_Mac!$A:$A,Output_Mac!B:B,""),
_xlpm.MyAuditVal,_xlfn.XLOOKUP($A378,My_Audit!$A:$A,My_Audit!B:B,""),
_xlfn.IFS(_xlpm.MyAuditVal&lt;&gt;"",UPPER(_xlpm.MyAuditVal),_xlpm.MacVal&lt;&gt;"",_xlpm.MacVal,_xlpm.CSVVal&lt;&gt;"",_xlpm.CSVVal
)),"")</f>
        <v/>
      </c>
      <c r="D378" s="55" t="str">
        <f>_xlfn.XLOOKUP(A378,My_Audit!A:A,My_Audit!D:D,"")&amp;""</f>
        <v/>
      </c>
      <c r="E378" s="55" t="str" cm="1">
        <f t="array" ref="E378">IFERROR(_xlfn.LET(
_xlpm.CSVVal,_xlfn.XLOOKUP($A378,CSV!$A:$A,CSV!D:D,""),
_xlpm.MacVal,_xlfn.XLOOKUP($A378,Output_Mac!$A:$A,Output_Mac!C:C,""),
_xlpm.MyAuditVal,_xlfn.XLOOKUP($A378,My_Audit!$A:$A,My_Audit!D:D,""),
_xlfn.IFS(_xlpm.MyAuditVal&lt;&gt;"",_xlpm.MyAuditVal,_xlpm.MacVal&lt;&gt;"",_xlpm.MacVal,_xlpm.CSVVal&lt;&gt;"",_xlpm.CSVVal
)),"")</f>
        <v/>
      </c>
      <c r="F378" s="54" t="str" cm="1">
        <f t="array" ref="F378">IFERROR(_xlfn.LET(
_xlpm.CSVVal,_xlfn.XLOOKUP($A378,CSV!$A:$A,CSV!E:E,""),
_xlpm.MacVal,_xlfn.XLOOKUP($A378,Output_Mac!$A:$A,Output_Mac!F:F,""),
_xlpm.MyAuditVal,_xlfn.XLOOKUP($A378,My_Audit!$A:$A,My_Audit!E:E,""),
_xlfn.IFS(_xlpm.MyAuditVal&lt;&gt;"",_xlpm.MyAuditVal,_xlpm.MacVal&lt;&gt;"",_xlpm.MacVal,_xlpm.CSVVal&lt;&gt;"",PROPER(_xlpm.CSVVal)
)),"")</f>
        <v/>
      </c>
      <c r="G378" s="54" t="str" cm="1">
        <f t="array" ref="G378">IFERROR(_xlfn.LET(
_xlpm.CSVVal,_xlfn.XLOOKUP($A378,CSV!$A:$A,CSV!F:F,""),
_xlpm.MacVal,_xlfn.XLOOKUP($A378,Output_Mac!$A:$A,Output_Mac!H:H,""),
_xlpm.MyAuditVal,_xlfn.XLOOKUP($A378,My_Audit!$A:$A,My_Audit!F:F,""),
_xlfn.IFS(_xlpm.MyAuditVal&lt;&gt;"",_xlpm.MyAuditVal,_xlpm.MacVal&lt;&gt;"",_xlpm.MacVal,_xlpm.CSVVal&lt;&gt;"",_xlpm.CSVVal
)),"")</f>
        <v/>
      </c>
      <c r="H378" s="54" t="str">
        <f>_xlfn.XLOOKUP(A378,Output_Mac!A:A,Output_Mac!I:I,"")</f>
        <v/>
      </c>
      <c r="I378" s="54" t="str" cm="1">
        <f t="array" ref="I378">IFERROR(_xlfn.LET(
_xlpm.CSVVal,_xlfn.XLOOKUP($A378,CSV!$A:$A,CSV!G:G,""),
_xlpm.MacVal,_xlfn.XLOOKUP($A378,Output_Mac!$A:$A,Output_Mac!J:J,""),
_xlpm.MyAuditVal,_xlfn.XLOOKUP($A378,My_Audit!$A:$A,My_Audit!H:H,""),
_xlfn.IFS(_xlpm.MyAuditVal&lt;&gt;"",UPPER(_xlpm.MyAuditVal),_xlpm.MacVal&lt;&gt;"",_xlpm.MacVal,_xlpm.CSVVal&lt;&gt;"",_xlpm.CSVVal
)),"")</f>
        <v/>
      </c>
      <c r="J378" s="54" t="str" cm="1">
        <f t="array" ref="J378">IFERROR(_xlfn.LET(
_xlpm.CSVVal,_xlfn.XLOOKUP($A378,CSV!$A:$A,CSV!I:I,""),
_xlpm.MacVal,_xlfn.XLOOKUP($A378,Output_Mac!$A:$A,Output_Mac!K:K,""),
_xlpm.MyAuditVal,_xlfn.XLOOKUP($A378,My_Audit!$A:$A,My_Audit!I:I,""),
_xlfn.IFS(_xlpm.MyAuditVal&lt;&gt;"",UPPER(_xlpm.MyAuditVal),_xlpm.MacVal&lt;&gt;"",_xlpm.MacVal,_xlpm.CSVVal&lt;&gt;"",_xlpm.CSVVal
)),"")</f>
        <v/>
      </c>
      <c r="K378" s="54" t="str" cm="1">
        <f t="array" ref="K378">IFERROR(_xlfn.LET(
_xlpm.CSVVal,_xlfn.XLOOKUP($A378,CSV!$A:$A,CSV!M:M,""),
_xlpm.MacVal,_xlfn.XLOOKUP($A378,Output_Mac!$A:$A,Output_Mac!L:L,""),
_xlpm.MyAuditVal,_xlfn.XLOOKUP($A378,My_Audit!$A:$A,My_Audit!J:J,""),
_xlfn.IFS(_xlpm.MyAuditVal&lt;&gt;"",UPPER(_xlpm.MyAuditVal),_xlpm.MacVal&lt;&gt;"",_xlpm.MacVal,_xlpm.CSVVal&lt;&gt;"",_xlpm.CSVVal
)),"")</f>
        <v/>
      </c>
      <c r="L378" s="55" t="str" cm="1">
        <f t="array" ref="L378">IFERROR(_xlfn.LET(
_xlpm.CSVVal,_xlfn.XLOOKUP($A378,CSV!$A:$A,CSV!P:P,""),
_xlpm.MacVal,_xlfn.XLOOKUP($A378,Output_Mac!$A:$A,Output_Mac!M:M,""),
_xlpm.MyAuditVal,_xlfn.XLOOKUP($A378,My_Audit!$A:$A,My_Audit!K:K,""),
_xlfn.IFS(_xlpm.MyAuditVal&lt;&gt;"",UPPER(_xlpm.MyAuditVal),_xlpm.MacVal&lt;&gt;"",_xlpm.MacVal,_xlpm.CSVVal&lt;&gt;"",_xlpm.CSVVal
)),"")</f>
        <v/>
      </c>
      <c r="M378" s="54" t="str">
        <f>_xlfn.LET(
    _xlpm.CSVVal, _xlfn.XLOOKUP($A378, CSV!$A:$A, CSV!AD:AD, ""),
    _xlpm.MacVal, _xlfn.XLOOKUP($A378, Output_Mac!$A:$A, Output_Mac!S:S, ""),
    _xlpm.MyAuditVal, _xlfn.XLOOKUP($A378, My_Audit!$A:$A, My_Audit!N:N, ""),
    _xlfn.TEXTJOIN(", ", TRUE, _xlpm.MyAuditVal, _xlpm.MacVal, _xlpm.CSVVal)
)</f>
        <v/>
      </c>
      <c r="N378" s="54" t="str" cm="1">
        <f t="array" ref="N378">IFERROR(_xlfn.LET(
_xlpm.CSVVal,_xlfn.XLOOKUP($A378,CSV!$A:$A,CSV!AF:AF,""),
_xlpm.MacVal,_xlfn.XLOOKUP($A378,Output_Mac!$A:$A,Output_Mac!U:U,""),
_xlpm.MyAuditVal,_xlfn.XLOOKUP($A378,My_Audit!$A:$A,My_Audit!O:O,""),
_xlfn.IFS(_xlpm.MyAuditVal&lt;&gt;"",UPPER(_xlpm.MyAuditVal),_xlpm.MacVal&lt;&gt;"",_xlpm.MacVal,_xlpm.CSVVal&lt;&gt;"",_xlpm.CSVVal
)),"")</f>
        <v/>
      </c>
      <c r="O378" s="54"/>
      <c r="P378" s="54"/>
      <c r="Q378" s="54"/>
      <c r="R378" s="54"/>
      <c r="S378" s="54"/>
      <c r="T378" s="54"/>
      <c r="U378" s="39"/>
    </row>
    <row r="379" spans="1:21">
      <c r="A379" s="54" t="str">
        <f>_xlfn.TEXTJOIN("",TRUE,Input!$B$2,ROW(My_Audit!A378))</f>
        <v>XX378</v>
      </c>
      <c r="B379" s="54" t="str">
        <f>_xlfn.TEXTJOIN("-",TRUE,"ITD",Input!$A$2,A379)</f>
        <v>ITD-SHRXXX-XX378</v>
      </c>
      <c r="C379" s="54" t="str" cm="1">
        <f t="array" ref="C379">IFERROR(_xlfn.LET(
_xlpm.CSVVal,_xlfn.XLOOKUP($A379,CSV!$A:$A,CSV!B:B,""),
_xlpm.MacVal,_xlfn.XLOOKUP($A379,Output_Mac!$A:$A,Output_Mac!B:B,""),
_xlpm.MyAuditVal,_xlfn.XLOOKUP($A379,My_Audit!$A:$A,My_Audit!B:B,""),
_xlfn.IFS(_xlpm.MyAuditVal&lt;&gt;"",UPPER(_xlpm.MyAuditVal),_xlpm.MacVal&lt;&gt;"",_xlpm.MacVal,_xlpm.CSVVal&lt;&gt;"",_xlpm.CSVVal
)),"")</f>
        <v/>
      </c>
      <c r="D379" s="55" t="str">
        <f>_xlfn.XLOOKUP(A379,My_Audit!A:A,My_Audit!D:D,"")&amp;""</f>
        <v/>
      </c>
      <c r="E379" s="55" t="str" cm="1">
        <f t="array" ref="E379">IFERROR(_xlfn.LET(
_xlpm.CSVVal,_xlfn.XLOOKUP($A379,CSV!$A:$A,CSV!D:D,""),
_xlpm.MacVal,_xlfn.XLOOKUP($A379,Output_Mac!$A:$A,Output_Mac!C:C,""),
_xlpm.MyAuditVal,_xlfn.XLOOKUP($A379,My_Audit!$A:$A,My_Audit!D:D,""),
_xlfn.IFS(_xlpm.MyAuditVal&lt;&gt;"",_xlpm.MyAuditVal,_xlpm.MacVal&lt;&gt;"",_xlpm.MacVal,_xlpm.CSVVal&lt;&gt;"",_xlpm.CSVVal
)),"")</f>
        <v/>
      </c>
      <c r="F379" s="54" t="str" cm="1">
        <f t="array" ref="F379">IFERROR(_xlfn.LET(
_xlpm.CSVVal,_xlfn.XLOOKUP($A379,CSV!$A:$A,CSV!E:E,""),
_xlpm.MacVal,_xlfn.XLOOKUP($A379,Output_Mac!$A:$A,Output_Mac!F:F,""),
_xlpm.MyAuditVal,_xlfn.XLOOKUP($A379,My_Audit!$A:$A,My_Audit!E:E,""),
_xlfn.IFS(_xlpm.MyAuditVal&lt;&gt;"",_xlpm.MyAuditVal,_xlpm.MacVal&lt;&gt;"",_xlpm.MacVal,_xlpm.CSVVal&lt;&gt;"",PROPER(_xlpm.CSVVal)
)),"")</f>
        <v/>
      </c>
      <c r="G379" s="54" t="str" cm="1">
        <f t="array" ref="G379">IFERROR(_xlfn.LET(
_xlpm.CSVVal,_xlfn.XLOOKUP($A379,CSV!$A:$A,CSV!F:F,""),
_xlpm.MacVal,_xlfn.XLOOKUP($A379,Output_Mac!$A:$A,Output_Mac!H:H,""),
_xlpm.MyAuditVal,_xlfn.XLOOKUP($A379,My_Audit!$A:$A,My_Audit!F:F,""),
_xlfn.IFS(_xlpm.MyAuditVal&lt;&gt;"",_xlpm.MyAuditVal,_xlpm.MacVal&lt;&gt;"",_xlpm.MacVal,_xlpm.CSVVal&lt;&gt;"",_xlpm.CSVVal
)),"")</f>
        <v/>
      </c>
      <c r="H379" s="54" t="str">
        <f>_xlfn.XLOOKUP(A379,Output_Mac!A:A,Output_Mac!I:I,"")</f>
        <v/>
      </c>
      <c r="I379" s="54" t="str" cm="1">
        <f t="array" ref="I379">IFERROR(_xlfn.LET(
_xlpm.CSVVal,_xlfn.XLOOKUP($A379,CSV!$A:$A,CSV!G:G,""),
_xlpm.MacVal,_xlfn.XLOOKUP($A379,Output_Mac!$A:$A,Output_Mac!J:J,""),
_xlpm.MyAuditVal,_xlfn.XLOOKUP($A379,My_Audit!$A:$A,My_Audit!H:H,""),
_xlfn.IFS(_xlpm.MyAuditVal&lt;&gt;"",UPPER(_xlpm.MyAuditVal),_xlpm.MacVal&lt;&gt;"",_xlpm.MacVal,_xlpm.CSVVal&lt;&gt;"",_xlpm.CSVVal
)),"")</f>
        <v/>
      </c>
      <c r="J379" s="54" t="str" cm="1">
        <f t="array" ref="J379">IFERROR(_xlfn.LET(
_xlpm.CSVVal,_xlfn.XLOOKUP($A379,CSV!$A:$A,CSV!I:I,""),
_xlpm.MacVal,_xlfn.XLOOKUP($A379,Output_Mac!$A:$A,Output_Mac!K:K,""),
_xlpm.MyAuditVal,_xlfn.XLOOKUP($A379,My_Audit!$A:$A,My_Audit!I:I,""),
_xlfn.IFS(_xlpm.MyAuditVal&lt;&gt;"",UPPER(_xlpm.MyAuditVal),_xlpm.MacVal&lt;&gt;"",_xlpm.MacVal,_xlpm.CSVVal&lt;&gt;"",_xlpm.CSVVal
)),"")</f>
        <v/>
      </c>
      <c r="K379" s="54" t="str" cm="1">
        <f t="array" ref="K379">IFERROR(_xlfn.LET(
_xlpm.CSVVal,_xlfn.XLOOKUP($A379,CSV!$A:$A,CSV!M:M,""),
_xlpm.MacVal,_xlfn.XLOOKUP($A379,Output_Mac!$A:$A,Output_Mac!L:L,""),
_xlpm.MyAuditVal,_xlfn.XLOOKUP($A379,My_Audit!$A:$A,My_Audit!J:J,""),
_xlfn.IFS(_xlpm.MyAuditVal&lt;&gt;"",UPPER(_xlpm.MyAuditVal),_xlpm.MacVal&lt;&gt;"",_xlpm.MacVal,_xlpm.CSVVal&lt;&gt;"",_xlpm.CSVVal
)),"")</f>
        <v/>
      </c>
      <c r="L379" s="55" t="str" cm="1">
        <f t="array" ref="L379">IFERROR(_xlfn.LET(
_xlpm.CSVVal,_xlfn.XLOOKUP($A379,CSV!$A:$A,CSV!P:P,""),
_xlpm.MacVal,_xlfn.XLOOKUP($A379,Output_Mac!$A:$A,Output_Mac!M:M,""),
_xlpm.MyAuditVal,_xlfn.XLOOKUP($A379,My_Audit!$A:$A,My_Audit!K:K,""),
_xlfn.IFS(_xlpm.MyAuditVal&lt;&gt;"",UPPER(_xlpm.MyAuditVal),_xlpm.MacVal&lt;&gt;"",_xlpm.MacVal,_xlpm.CSVVal&lt;&gt;"",_xlpm.CSVVal
)),"")</f>
        <v/>
      </c>
      <c r="M379" s="54" t="str">
        <f>_xlfn.LET(
    _xlpm.CSVVal, _xlfn.XLOOKUP($A379, CSV!$A:$A, CSV!AD:AD, ""),
    _xlpm.MacVal, _xlfn.XLOOKUP($A379, Output_Mac!$A:$A, Output_Mac!S:S, ""),
    _xlpm.MyAuditVal, _xlfn.XLOOKUP($A379, My_Audit!$A:$A, My_Audit!N:N, ""),
    _xlfn.TEXTJOIN(", ", TRUE, _xlpm.MyAuditVal, _xlpm.MacVal, _xlpm.CSVVal)
)</f>
        <v/>
      </c>
      <c r="N379" s="54" t="str" cm="1">
        <f t="array" ref="N379">IFERROR(_xlfn.LET(
_xlpm.CSVVal,_xlfn.XLOOKUP($A379,CSV!$A:$A,CSV!AF:AF,""),
_xlpm.MacVal,_xlfn.XLOOKUP($A379,Output_Mac!$A:$A,Output_Mac!U:U,""),
_xlpm.MyAuditVal,_xlfn.XLOOKUP($A379,My_Audit!$A:$A,My_Audit!O:O,""),
_xlfn.IFS(_xlpm.MyAuditVal&lt;&gt;"",UPPER(_xlpm.MyAuditVal),_xlpm.MacVal&lt;&gt;"",_xlpm.MacVal,_xlpm.CSVVal&lt;&gt;"",_xlpm.CSVVal
)),"")</f>
        <v/>
      </c>
      <c r="O379" s="54"/>
      <c r="P379" s="54"/>
      <c r="Q379" s="54"/>
      <c r="R379" s="54"/>
      <c r="S379" s="54"/>
      <c r="T379" s="54"/>
      <c r="U379" s="39"/>
    </row>
    <row r="380" spans="1:21">
      <c r="A380" s="54" t="str">
        <f>_xlfn.TEXTJOIN("",TRUE,Input!$B$2,ROW(My_Audit!A379))</f>
        <v>XX379</v>
      </c>
      <c r="B380" s="54" t="str">
        <f>_xlfn.TEXTJOIN("-",TRUE,"ITD",Input!$A$2,A380)</f>
        <v>ITD-SHRXXX-XX379</v>
      </c>
      <c r="C380" s="54" t="str" cm="1">
        <f t="array" ref="C380">IFERROR(_xlfn.LET(
_xlpm.CSVVal,_xlfn.XLOOKUP($A380,CSV!$A:$A,CSV!B:B,""),
_xlpm.MacVal,_xlfn.XLOOKUP($A380,Output_Mac!$A:$A,Output_Mac!B:B,""),
_xlpm.MyAuditVal,_xlfn.XLOOKUP($A380,My_Audit!$A:$A,My_Audit!B:B,""),
_xlfn.IFS(_xlpm.MyAuditVal&lt;&gt;"",UPPER(_xlpm.MyAuditVal),_xlpm.MacVal&lt;&gt;"",_xlpm.MacVal,_xlpm.CSVVal&lt;&gt;"",_xlpm.CSVVal
)),"")</f>
        <v/>
      </c>
      <c r="D380" s="55" t="str">
        <f>_xlfn.XLOOKUP(A380,My_Audit!A:A,My_Audit!D:D,"")&amp;""</f>
        <v/>
      </c>
      <c r="E380" s="55" t="str" cm="1">
        <f t="array" ref="E380">IFERROR(_xlfn.LET(
_xlpm.CSVVal,_xlfn.XLOOKUP($A380,CSV!$A:$A,CSV!D:D,""),
_xlpm.MacVal,_xlfn.XLOOKUP($A380,Output_Mac!$A:$A,Output_Mac!C:C,""),
_xlpm.MyAuditVal,_xlfn.XLOOKUP($A380,My_Audit!$A:$A,My_Audit!D:D,""),
_xlfn.IFS(_xlpm.MyAuditVal&lt;&gt;"",_xlpm.MyAuditVal,_xlpm.MacVal&lt;&gt;"",_xlpm.MacVal,_xlpm.CSVVal&lt;&gt;"",_xlpm.CSVVal
)),"")</f>
        <v/>
      </c>
      <c r="F380" s="54" t="str" cm="1">
        <f t="array" ref="F380">IFERROR(_xlfn.LET(
_xlpm.CSVVal,_xlfn.XLOOKUP($A380,CSV!$A:$A,CSV!E:E,""),
_xlpm.MacVal,_xlfn.XLOOKUP($A380,Output_Mac!$A:$A,Output_Mac!F:F,""),
_xlpm.MyAuditVal,_xlfn.XLOOKUP($A380,My_Audit!$A:$A,My_Audit!E:E,""),
_xlfn.IFS(_xlpm.MyAuditVal&lt;&gt;"",_xlpm.MyAuditVal,_xlpm.MacVal&lt;&gt;"",_xlpm.MacVal,_xlpm.CSVVal&lt;&gt;"",PROPER(_xlpm.CSVVal)
)),"")</f>
        <v/>
      </c>
      <c r="G380" s="54" t="str" cm="1">
        <f t="array" ref="G380">IFERROR(_xlfn.LET(
_xlpm.CSVVal,_xlfn.XLOOKUP($A380,CSV!$A:$A,CSV!F:F,""),
_xlpm.MacVal,_xlfn.XLOOKUP($A380,Output_Mac!$A:$A,Output_Mac!H:H,""),
_xlpm.MyAuditVal,_xlfn.XLOOKUP($A380,My_Audit!$A:$A,My_Audit!F:F,""),
_xlfn.IFS(_xlpm.MyAuditVal&lt;&gt;"",_xlpm.MyAuditVal,_xlpm.MacVal&lt;&gt;"",_xlpm.MacVal,_xlpm.CSVVal&lt;&gt;"",_xlpm.CSVVal
)),"")</f>
        <v/>
      </c>
      <c r="H380" s="54" t="str">
        <f>_xlfn.XLOOKUP(A380,Output_Mac!A:A,Output_Mac!I:I,"")</f>
        <v/>
      </c>
      <c r="I380" s="54" t="str" cm="1">
        <f t="array" ref="I380">IFERROR(_xlfn.LET(
_xlpm.CSVVal,_xlfn.XLOOKUP($A380,CSV!$A:$A,CSV!G:G,""),
_xlpm.MacVal,_xlfn.XLOOKUP($A380,Output_Mac!$A:$A,Output_Mac!J:J,""),
_xlpm.MyAuditVal,_xlfn.XLOOKUP($A380,My_Audit!$A:$A,My_Audit!H:H,""),
_xlfn.IFS(_xlpm.MyAuditVal&lt;&gt;"",UPPER(_xlpm.MyAuditVal),_xlpm.MacVal&lt;&gt;"",_xlpm.MacVal,_xlpm.CSVVal&lt;&gt;"",_xlpm.CSVVal
)),"")</f>
        <v/>
      </c>
      <c r="J380" s="54" t="str" cm="1">
        <f t="array" ref="J380">IFERROR(_xlfn.LET(
_xlpm.CSVVal,_xlfn.XLOOKUP($A380,CSV!$A:$A,CSV!I:I,""),
_xlpm.MacVal,_xlfn.XLOOKUP($A380,Output_Mac!$A:$A,Output_Mac!K:K,""),
_xlpm.MyAuditVal,_xlfn.XLOOKUP($A380,My_Audit!$A:$A,My_Audit!I:I,""),
_xlfn.IFS(_xlpm.MyAuditVal&lt;&gt;"",UPPER(_xlpm.MyAuditVal),_xlpm.MacVal&lt;&gt;"",_xlpm.MacVal,_xlpm.CSVVal&lt;&gt;"",_xlpm.CSVVal
)),"")</f>
        <v/>
      </c>
      <c r="K380" s="54" t="str" cm="1">
        <f t="array" ref="K380">IFERROR(_xlfn.LET(
_xlpm.CSVVal,_xlfn.XLOOKUP($A380,CSV!$A:$A,CSV!M:M,""),
_xlpm.MacVal,_xlfn.XLOOKUP($A380,Output_Mac!$A:$A,Output_Mac!L:L,""),
_xlpm.MyAuditVal,_xlfn.XLOOKUP($A380,My_Audit!$A:$A,My_Audit!J:J,""),
_xlfn.IFS(_xlpm.MyAuditVal&lt;&gt;"",UPPER(_xlpm.MyAuditVal),_xlpm.MacVal&lt;&gt;"",_xlpm.MacVal,_xlpm.CSVVal&lt;&gt;"",_xlpm.CSVVal
)),"")</f>
        <v/>
      </c>
      <c r="L380" s="55" t="str" cm="1">
        <f t="array" ref="L380">IFERROR(_xlfn.LET(
_xlpm.CSVVal,_xlfn.XLOOKUP($A380,CSV!$A:$A,CSV!P:P,""),
_xlpm.MacVal,_xlfn.XLOOKUP($A380,Output_Mac!$A:$A,Output_Mac!M:M,""),
_xlpm.MyAuditVal,_xlfn.XLOOKUP($A380,My_Audit!$A:$A,My_Audit!K:K,""),
_xlfn.IFS(_xlpm.MyAuditVal&lt;&gt;"",UPPER(_xlpm.MyAuditVal),_xlpm.MacVal&lt;&gt;"",_xlpm.MacVal,_xlpm.CSVVal&lt;&gt;"",_xlpm.CSVVal
)),"")</f>
        <v/>
      </c>
      <c r="M380" s="54" t="str">
        <f>_xlfn.LET(
    _xlpm.CSVVal, _xlfn.XLOOKUP($A380, CSV!$A:$A, CSV!AD:AD, ""),
    _xlpm.MacVal, _xlfn.XLOOKUP($A380, Output_Mac!$A:$A, Output_Mac!S:S, ""),
    _xlpm.MyAuditVal, _xlfn.XLOOKUP($A380, My_Audit!$A:$A, My_Audit!N:N, ""),
    _xlfn.TEXTJOIN(", ", TRUE, _xlpm.MyAuditVal, _xlpm.MacVal, _xlpm.CSVVal)
)</f>
        <v/>
      </c>
      <c r="N380" s="54" t="str" cm="1">
        <f t="array" ref="N380">IFERROR(_xlfn.LET(
_xlpm.CSVVal,_xlfn.XLOOKUP($A380,CSV!$A:$A,CSV!AF:AF,""),
_xlpm.MacVal,_xlfn.XLOOKUP($A380,Output_Mac!$A:$A,Output_Mac!U:U,""),
_xlpm.MyAuditVal,_xlfn.XLOOKUP($A380,My_Audit!$A:$A,My_Audit!O:O,""),
_xlfn.IFS(_xlpm.MyAuditVal&lt;&gt;"",UPPER(_xlpm.MyAuditVal),_xlpm.MacVal&lt;&gt;"",_xlpm.MacVal,_xlpm.CSVVal&lt;&gt;"",_xlpm.CSVVal
)),"")</f>
        <v/>
      </c>
      <c r="O380" s="54"/>
      <c r="P380" s="54"/>
      <c r="Q380" s="54"/>
      <c r="R380" s="54"/>
      <c r="S380" s="54"/>
      <c r="T380" s="54"/>
      <c r="U380" s="39"/>
    </row>
    <row r="381" spans="1:21">
      <c r="A381" s="54" t="str">
        <f>_xlfn.TEXTJOIN("",TRUE,Input!$B$2,ROW(My_Audit!A380))</f>
        <v>XX380</v>
      </c>
      <c r="B381" s="54" t="str">
        <f>_xlfn.TEXTJOIN("-",TRUE,"ITD",Input!$A$2,A381)</f>
        <v>ITD-SHRXXX-XX380</v>
      </c>
      <c r="C381" s="54" t="str" cm="1">
        <f t="array" ref="C381">IFERROR(_xlfn.LET(
_xlpm.CSVVal,_xlfn.XLOOKUP($A381,CSV!$A:$A,CSV!B:B,""),
_xlpm.MacVal,_xlfn.XLOOKUP($A381,Output_Mac!$A:$A,Output_Mac!B:B,""),
_xlpm.MyAuditVal,_xlfn.XLOOKUP($A381,My_Audit!$A:$A,My_Audit!B:B,""),
_xlfn.IFS(_xlpm.MyAuditVal&lt;&gt;"",UPPER(_xlpm.MyAuditVal),_xlpm.MacVal&lt;&gt;"",_xlpm.MacVal,_xlpm.CSVVal&lt;&gt;"",_xlpm.CSVVal
)),"")</f>
        <v/>
      </c>
      <c r="D381" s="55" t="str">
        <f>_xlfn.XLOOKUP(A381,My_Audit!A:A,My_Audit!D:D,"")&amp;""</f>
        <v/>
      </c>
      <c r="E381" s="55" t="str" cm="1">
        <f t="array" ref="E381">IFERROR(_xlfn.LET(
_xlpm.CSVVal,_xlfn.XLOOKUP($A381,CSV!$A:$A,CSV!D:D,""),
_xlpm.MacVal,_xlfn.XLOOKUP($A381,Output_Mac!$A:$A,Output_Mac!C:C,""),
_xlpm.MyAuditVal,_xlfn.XLOOKUP($A381,My_Audit!$A:$A,My_Audit!D:D,""),
_xlfn.IFS(_xlpm.MyAuditVal&lt;&gt;"",_xlpm.MyAuditVal,_xlpm.MacVal&lt;&gt;"",_xlpm.MacVal,_xlpm.CSVVal&lt;&gt;"",_xlpm.CSVVal
)),"")</f>
        <v/>
      </c>
      <c r="F381" s="54" t="str" cm="1">
        <f t="array" ref="F381">IFERROR(_xlfn.LET(
_xlpm.CSVVal,_xlfn.XLOOKUP($A381,CSV!$A:$A,CSV!E:E,""),
_xlpm.MacVal,_xlfn.XLOOKUP($A381,Output_Mac!$A:$A,Output_Mac!F:F,""),
_xlpm.MyAuditVal,_xlfn.XLOOKUP($A381,My_Audit!$A:$A,My_Audit!E:E,""),
_xlfn.IFS(_xlpm.MyAuditVal&lt;&gt;"",_xlpm.MyAuditVal,_xlpm.MacVal&lt;&gt;"",_xlpm.MacVal,_xlpm.CSVVal&lt;&gt;"",PROPER(_xlpm.CSVVal)
)),"")</f>
        <v/>
      </c>
      <c r="G381" s="54" t="str" cm="1">
        <f t="array" ref="G381">IFERROR(_xlfn.LET(
_xlpm.CSVVal,_xlfn.XLOOKUP($A381,CSV!$A:$A,CSV!F:F,""),
_xlpm.MacVal,_xlfn.XLOOKUP($A381,Output_Mac!$A:$A,Output_Mac!H:H,""),
_xlpm.MyAuditVal,_xlfn.XLOOKUP($A381,My_Audit!$A:$A,My_Audit!F:F,""),
_xlfn.IFS(_xlpm.MyAuditVal&lt;&gt;"",_xlpm.MyAuditVal,_xlpm.MacVal&lt;&gt;"",_xlpm.MacVal,_xlpm.CSVVal&lt;&gt;"",_xlpm.CSVVal
)),"")</f>
        <v/>
      </c>
      <c r="H381" s="54" t="str">
        <f>_xlfn.XLOOKUP(A381,Output_Mac!A:A,Output_Mac!I:I,"")</f>
        <v/>
      </c>
      <c r="I381" s="54" t="str" cm="1">
        <f t="array" ref="I381">IFERROR(_xlfn.LET(
_xlpm.CSVVal,_xlfn.XLOOKUP($A381,CSV!$A:$A,CSV!G:G,""),
_xlpm.MacVal,_xlfn.XLOOKUP($A381,Output_Mac!$A:$A,Output_Mac!J:J,""),
_xlpm.MyAuditVal,_xlfn.XLOOKUP($A381,My_Audit!$A:$A,My_Audit!H:H,""),
_xlfn.IFS(_xlpm.MyAuditVal&lt;&gt;"",UPPER(_xlpm.MyAuditVal),_xlpm.MacVal&lt;&gt;"",_xlpm.MacVal,_xlpm.CSVVal&lt;&gt;"",_xlpm.CSVVal
)),"")</f>
        <v/>
      </c>
      <c r="J381" s="54" t="str" cm="1">
        <f t="array" ref="J381">IFERROR(_xlfn.LET(
_xlpm.CSVVal,_xlfn.XLOOKUP($A381,CSV!$A:$A,CSV!I:I,""),
_xlpm.MacVal,_xlfn.XLOOKUP($A381,Output_Mac!$A:$A,Output_Mac!K:K,""),
_xlpm.MyAuditVal,_xlfn.XLOOKUP($A381,My_Audit!$A:$A,My_Audit!I:I,""),
_xlfn.IFS(_xlpm.MyAuditVal&lt;&gt;"",UPPER(_xlpm.MyAuditVal),_xlpm.MacVal&lt;&gt;"",_xlpm.MacVal,_xlpm.CSVVal&lt;&gt;"",_xlpm.CSVVal
)),"")</f>
        <v/>
      </c>
      <c r="K381" s="54" t="str" cm="1">
        <f t="array" ref="K381">IFERROR(_xlfn.LET(
_xlpm.CSVVal,_xlfn.XLOOKUP($A381,CSV!$A:$A,CSV!M:M,""),
_xlpm.MacVal,_xlfn.XLOOKUP($A381,Output_Mac!$A:$A,Output_Mac!L:L,""),
_xlpm.MyAuditVal,_xlfn.XLOOKUP($A381,My_Audit!$A:$A,My_Audit!J:J,""),
_xlfn.IFS(_xlpm.MyAuditVal&lt;&gt;"",UPPER(_xlpm.MyAuditVal),_xlpm.MacVal&lt;&gt;"",_xlpm.MacVal,_xlpm.CSVVal&lt;&gt;"",_xlpm.CSVVal
)),"")</f>
        <v/>
      </c>
      <c r="L381" s="55" t="str" cm="1">
        <f t="array" ref="L381">IFERROR(_xlfn.LET(
_xlpm.CSVVal,_xlfn.XLOOKUP($A381,CSV!$A:$A,CSV!P:P,""),
_xlpm.MacVal,_xlfn.XLOOKUP($A381,Output_Mac!$A:$A,Output_Mac!M:M,""),
_xlpm.MyAuditVal,_xlfn.XLOOKUP($A381,My_Audit!$A:$A,My_Audit!K:K,""),
_xlfn.IFS(_xlpm.MyAuditVal&lt;&gt;"",UPPER(_xlpm.MyAuditVal),_xlpm.MacVal&lt;&gt;"",_xlpm.MacVal,_xlpm.CSVVal&lt;&gt;"",_xlpm.CSVVal
)),"")</f>
        <v/>
      </c>
      <c r="M381" s="54" t="str">
        <f>_xlfn.LET(
    _xlpm.CSVVal, _xlfn.XLOOKUP($A381, CSV!$A:$A, CSV!AD:AD, ""),
    _xlpm.MacVal, _xlfn.XLOOKUP($A381, Output_Mac!$A:$A, Output_Mac!S:S, ""),
    _xlpm.MyAuditVal, _xlfn.XLOOKUP($A381, My_Audit!$A:$A, My_Audit!N:N, ""),
    _xlfn.TEXTJOIN(", ", TRUE, _xlpm.MyAuditVal, _xlpm.MacVal, _xlpm.CSVVal)
)</f>
        <v/>
      </c>
      <c r="N381" s="54" t="str" cm="1">
        <f t="array" ref="N381">IFERROR(_xlfn.LET(
_xlpm.CSVVal,_xlfn.XLOOKUP($A381,CSV!$A:$A,CSV!AF:AF,""),
_xlpm.MacVal,_xlfn.XLOOKUP($A381,Output_Mac!$A:$A,Output_Mac!U:U,""),
_xlpm.MyAuditVal,_xlfn.XLOOKUP($A381,My_Audit!$A:$A,My_Audit!O:O,""),
_xlfn.IFS(_xlpm.MyAuditVal&lt;&gt;"",UPPER(_xlpm.MyAuditVal),_xlpm.MacVal&lt;&gt;"",_xlpm.MacVal,_xlpm.CSVVal&lt;&gt;"",_xlpm.CSVVal
)),"")</f>
        <v/>
      </c>
      <c r="O381" s="54"/>
      <c r="P381" s="54"/>
      <c r="Q381" s="54"/>
      <c r="R381" s="54"/>
      <c r="S381" s="54"/>
      <c r="T381" s="54"/>
      <c r="U381" s="39"/>
    </row>
    <row r="382" spans="1:21">
      <c r="A382" s="54" t="str">
        <f>_xlfn.TEXTJOIN("",TRUE,Input!$B$2,ROW(My_Audit!A381))</f>
        <v>XX381</v>
      </c>
      <c r="B382" s="54" t="str">
        <f>_xlfn.TEXTJOIN("-",TRUE,"ITD",Input!$A$2,A382)</f>
        <v>ITD-SHRXXX-XX381</v>
      </c>
      <c r="C382" s="54" t="str" cm="1">
        <f t="array" ref="C382">IFERROR(_xlfn.LET(
_xlpm.CSVVal,_xlfn.XLOOKUP($A382,CSV!$A:$A,CSV!B:B,""),
_xlpm.MacVal,_xlfn.XLOOKUP($A382,Output_Mac!$A:$A,Output_Mac!B:B,""),
_xlpm.MyAuditVal,_xlfn.XLOOKUP($A382,My_Audit!$A:$A,My_Audit!B:B,""),
_xlfn.IFS(_xlpm.MyAuditVal&lt;&gt;"",UPPER(_xlpm.MyAuditVal),_xlpm.MacVal&lt;&gt;"",_xlpm.MacVal,_xlpm.CSVVal&lt;&gt;"",_xlpm.CSVVal
)),"")</f>
        <v/>
      </c>
      <c r="D382" s="55" t="str">
        <f>_xlfn.XLOOKUP(A382,My_Audit!A:A,My_Audit!D:D,"")&amp;""</f>
        <v/>
      </c>
      <c r="E382" s="55" t="str" cm="1">
        <f t="array" ref="E382">IFERROR(_xlfn.LET(
_xlpm.CSVVal,_xlfn.XLOOKUP($A382,CSV!$A:$A,CSV!D:D,""),
_xlpm.MacVal,_xlfn.XLOOKUP($A382,Output_Mac!$A:$A,Output_Mac!C:C,""),
_xlpm.MyAuditVal,_xlfn.XLOOKUP($A382,My_Audit!$A:$A,My_Audit!D:D,""),
_xlfn.IFS(_xlpm.MyAuditVal&lt;&gt;"",_xlpm.MyAuditVal,_xlpm.MacVal&lt;&gt;"",_xlpm.MacVal,_xlpm.CSVVal&lt;&gt;"",_xlpm.CSVVal
)),"")</f>
        <v/>
      </c>
      <c r="F382" s="54" t="str" cm="1">
        <f t="array" ref="F382">IFERROR(_xlfn.LET(
_xlpm.CSVVal,_xlfn.XLOOKUP($A382,CSV!$A:$A,CSV!E:E,""),
_xlpm.MacVal,_xlfn.XLOOKUP($A382,Output_Mac!$A:$A,Output_Mac!F:F,""),
_xlpm.MyAuditVal,_xlfn.XLOOKUP($A382,My_Audit!$A:$A,My_Audit!E:E,""),
_xlfn.IFS(_xlpm.MyAuditVal&lt;&gt;"",_xlpm.MyAuditVal,_xlpm.MacVal&lt;&gt;"",_xlpm.MacVal,_xlpm.CSVVal&lt;&gt;"",PROPER(_xlpm.CSVVal)
)),"")</f>
        <v/>
      </c>
      <c r="G382" s="54" t="str" cm="1">
        <f t="array" ref="G382">IFERROR(_xlfn.LET(
_xlpm.CSVVal,_xlfn.XLOOKUP($A382,CSV!$A:$A,CSV!F:F,""),
_xlpm.MacVal,_xlfn.XLOOKUP($A382,Output_Mac!$A:$A,Output_Mac!H:H,""),
_xlpm.MyAuditVal,_xlfn.XLOOKUP($A382,My_Audit!$A:$A,My_Audit!F:F,""),
_xlfn.IFS(_xlpm.MyAuditVal&lt;&gt;"",_xlpm.MyAuditVal,_xlpm.MacVal&lt;&gt;"",_xlpm.MacVal,_xlpm.CSVVal&lt;&gt;"",_xlpm.CSVVal
)),"")</f>
        <v/>
      </c>
      <c r="H382" s="54" t="str">
        <f>_xlfn.XLOOKUP(A382,Output_Mac!A:A,Output_Mac!I:I,"")</f>
        <v/>
      </c>
      <c r="I382" s="54" t="str" cm="1">
        <f t="array" ref="I382">IFERROR(_xlfn.LET(
_xlpm.CSVVal,_xlfn.XLOOKUP($A382,CSV!$A:$A,CSV!G:G,""),
_xlpm.MacVal,_xlfn.XLOOKUP($A382,Output_Mac!$A:$A,Output_Mac!J:J,""),
_xlpm.MyAuditVal,_xlfn.XLOOKUP($A382,My_Audit!$A:$A,My_Audit!H:H,""),
_xlfn.IFS(_xlpm.MyAuditVal&lt;&gt;"",UPPER(_xlpm.MyAuditVal),_xlpm.MacVal&lt;&gt;"",_xlpm.MacVal,_xlpm.CSVVal&lt;&gt;"",_xlpm.CSVVal
)),"")</f>
        <v/>
      </c>
      <c r="J382" s="54" t="str" cm="1">
        <f t="array" ref="J382">IFERROR(_xlfn.LET(
_xlpm.CSVVal,_xlfn.XLOOKUP($A382,CSV!$A:$A,CSV!I:I,""),
_xlpm.MacVal,_xlfn.XLOOKUP($A382,Output_Mac!$A:$A,Output_Mac!K:K,""),
_xlpm.MyAuditVal,_xlfn.XLOOKUP($A382,My_Audit!$A:$A,My_Audit!I:I,""),
_xlfn.IFS(_xlpm.MyAuditVal&lt;&gt;"",UPPER(_xlpm.MyAuditVal),_xlpm.MacVal&lt;&gt;"",_xlpm.MacVal,_xlpm.CSVVal&lt;&gt;"",_xlpm.CSVVal
)),"")</f>
        <v/>
      </c>
      <c r="K382" s="54" t="str" cm="1">
        <f t="array" ref="K382">IFERROR(_xlfn.LET(
_xlpm.CSVVal,_xlfn.XLOOKUP($A382,CSV!$A:$A,CSV!M:M,""),
_xlpm.MacVal,_xlfn.XLOOKUP($A382,Output_Mac!$A:$A,Output_Mac!L:L,""),
_xlpm.MyAuditVal,_xlfn.XLOOKUP($A382,My_Audit!$A:$A,My_Audit!J:J,""),
_xlfn.IFS(_xlpm.MyAuditVal&lt;&gt;"",UPPER(_xlpm.MyAuditVal),_xlpm.MacVal&lt;&gt;"",_xlpm.MacVal,_xlpm.CSVVal&lt;&gt;"",_xlpm.CSVVal
)),"")</f>
        <v/>
      </c>
      <c r="L382" s="55" t="str" cm="1">
        <f t="array" ref="L382">IFERROR(_xlfn.LET(
_xlpm.CSVVal,_xlfn.XLOOKUP($A382,CSV!$A:$A,CSV!P:P,""),
_xlpm.MacVal,_xlfn.XLOOKUP($A382,Output_Mac!$A:$A,Output_Mac!M:M,""),
_xlpm.MyAuditVal,_xlfn.XLOOKUP($A382,My_Audit!$A:$A,My_Audit!K:K,""),
_xlfn.IFS(_xlpm.MyAuditVal&lt;&gt;"",UPPER(_xlpm.MyAuditVal),_xlpm.MacVal&lt;&gt;"",_xlpm.MacVal,_xlpm.CSVVal&lt;&gt;"",_xlpm.CSVVal
)),"")</f>
        <v/>
      </c>
      <c r="M382" s="54" t="str">
        <f>_xlfn.LET(
    _xlpm.CSVVal, _xlfn.XLOOKUP($A382, CSV!$A:$A, CSV!AD:AD, ""),
    _xlpm.MacVal, _xlfn.XLOOKUP($A382, Output_Mac!$A:$A, Output_Mac!S:S, ""),
    _xlpm.MyAuditVal, _xlfn.XLOOKUP($A382, My_Audit!$A:$A, My_Audit!N:N, ""),
    _xlfn.TEXTJOIN(", ", TRUE, _xlpm.MyAuditVal, _xlpm.MacVal, _xlpm.CSVVal)
)</f>
        <v/>
      </c>
      <c r="N382" s="54" t="str" cm="1">
        <f t="array" ref="N382">IFERROR(_xlfn.LET(
_xlpm.CSVVal,_xlfn.XLOOKUP($A382,CSV!$A:$A,CSV!AF:AF,""),
_xlpm.MacVal,_xlfn.XLOOKUP($A382,Output_Mac!$A:$A,Output_Mac!U:U,""),
_xlpm.MyAuditVal,_xlfn.XLOOKUP($A382,My_Audit!$A:$A,My_Audit!O:O,""),
_xlfn.IFS(_xlpm.MyAuditVal&lt;&gt;"",UPPER(_xlpm.MyAuditVal),_xlpm.MacVal&lt;&gt;"",_xlpm.MacVal,_xlpm.CSVVal&lt;&gt;"",_xlpm.CSVVal
)),"")</f>
        <v/>
      </c>
      <c r="O382" s="54"/>
      <c r="P382" s="54"/>
      <c r="Q382" s="54"/>
      <c r="R382" s="54"/>
      <c r="S382" s="54"/>
      <c r="T382" s="54"/>
      <c r="U382" s="39"/>
    </row>
    <row r="383" spans="1:21">
      <c r="A383" s="54" t="str">
        <f>_xlfn.TEXTJOIN("",TRUE,Input!$B$2,ROW(My_Audit!A382))</f>
        <v>XX382</v>
      </c>
      <c r="B383" s="54" t="str">
        <f>_xlfn.TEXTJOIN("-",TRUE,"ITD",Input!$A$2,A383)</f>
        <v>ITD-SHRXXX-XX382</v>
      </c>
      <c r="C383" s="54" t="str" cm="1">
        <f t="array" ref="C383">IFERROR(_xlfn.LET(
_xlpm.CSVVal,_xlfn.XLOOKUP($A383,CSV!$A:$A,CSV!B:B,""),
_xlpm.MacVal,_xlfn.XLOOKUP($A383,Output_Mac!$A:$A,Output_Mac!B:B,""),
_xlpm.MyAuditVal,_xlfn.XLOOKUP($A383,My_Audit!$A:$A,My_Audit!B:B,""),
_xlfn.IFS(_xlpm.MyAuditVal&lt;&gt;"",UPPER(_xlpm.MyAuditVal),_xlpm.MacVal&lt;&gt;"",_xlpm.MacVal,_xlpm.CSVVal&lt;&gt;"",_xlpm.CSVVal
)),"")</f>
        <v/>
      </c>
      <c r="D383" s="55" t="str">
        <f>_xlfn.XLOOKUP(A383,My_Audit!A:A,My_Audit!D:D,"")&amp;""</f>
        <v/>
      </c>
      <c r="E383" s="55" t="str" cm="1">
        <f t="array" ref="E383">IFERROR(_xlfn.LET(
_xlpm.CSVVal,_xlfn.XLOOKUP($A383,CSV!$A:$A,CSV!D:D,""),
_xlpm.MacVal,_xlfn.XLOOKUP($A383,Output_Mac!$A:$A,Output_Mac!C:C,""),
_xlpm.MyAuditVal,_xlfn.XLOOKUP($A383,My_Audit!$A:$A,My_Audit!D:D,""),
_xlfn.IFS(_xlpm.MyAuditVal&lt;&gt;"",_xlpm.MyAuditVal,_xlpm.MacVal&lt;&gt;"",_xlpm.MacVal,_xlpm.CSVVal&lt;&gt;"",_xlpm.CSVVal
)),"")</f>
        <v/>
      </c>
      <c r="F383" s="54" t="str" cm="1">
        <f t="array" ref="F383">IFERROR(_xlfn.LET(
_xlpm.CSVVal,_xlfn.XLOOKUP($A383,CSV!$A:$A,CSV!E:E,""),
_xlpm.MacVal,_xlfn.XLOOKUP($A383,Output_Mac!$A:$A,Output_Mac!F:F,""),
_xlpm.MyAuditVal,_xlfn.XLOOKUP($A383,My_Audit!$A:$A,My_Audit!E:E,""),
_xlfn.IFS(_xlpm.MyAuditVal&lt;&gt;"",_xlpm.MyAuditVal,_xlpm.MacVal&lt;&gt;"",_xlpm.MacVal,_xlpm.CSVVal&lt;&gt;"",PROPER(_xlpm.CSVVal)
)),"")</f>
        <v/>
      </c>
      <c r="G383" s="54" t="str" cm="1">
        <f t="array" ref="G383">IFERROR(_xlfn.LET(
_xlpm.CSVVal,_xlfn.XLOOKUP($A383,CSV!$A:$A,CSV!F:F,""),
_xlpm.MacVal,_xlfn.XLOOKUP($A383,Output_Mac!$A:$A,Output_Mac!H:H,""),
_xlpm.MyAuditVal,_xlfn.XLOOKUP($A383,My_Audit!$A:$A,My_Audit!F:F,""),
_xlfn.IFS(_xlpm.MyAuditVal&lt;&gt;"",_xlpm.MyAuditVal,_xlpm.MacVal&lt;&gt;"",_xlpm.MacVal,_xlpm.CSVVal&lt;&gt;"",_xlpm.CSVVal
)),"")</f>
        <v/>
      </c>
      <c r="H383" s="54" t="str">
        <f>_xlfn.XLOOKUP(A383,Output_Mac!A:A,Output_Mac!I:I,"")</f>
        <v/>
      </c>
      <c r="I383" s="54" t="str" cm="1">
        <f t="array" ref="I383">IFERROR(_xlfn.LET(
_xlpm.CSVVal,_xlfn.XLOOKUP($A383,CSV!$A:$A,CSV!G:G,""),
_xlpm.MacVal,_xlfn.XLOOKUP($A383,Output_Mac!$A:$A,Output_Mac!J:J,""),
_xlpm.MyAuditVal,_xlfn.XLOOKUP($A383,My_Audit!$A:$A,My_Audit!H:H,""),
_xlfn.IFS(_xlpm.MyAuditVal&lt;&gt;"",UPPER(_xlpm.MyAuditVal),_xlpm.MacVal&lt;&gt;"",_xlpm.MacVal,_xlpm.CSVVal&lt;&gt;"",_xlpm.CSVVal
)),"")</f>
        <v/>
      </c>
      <c r="J383" s="54" t="str" cm="1">
        <f t="array" ref="J383">IFERROR(_xlfn.LET(
_xlpm.CSVVal,_xlfn.XLOOKUP($A383,CSV!$A:$A,CSV!I:I,""),
_xlpm.MacVal,_xlfn.XLOOKUP($A383,Output_Mac!$A:$A,Output_Mac!K:K,""),
_xlpm.MyAuditVal,_xlfn.XLOOKUP($A383,My_Audit!$A:$A,My_Audit!I:I,""),
_xlfn.IFS(_xlpm.MyAuditVal&lt;&gt;"",UPPER(_xlpm.MyAuditVal),_xlpm.MacVal&lt;&gt;"",_xlpm.MacVal,_xlpm.CSVVal&lt;&gt;"",_xlpm.CSVVal
)),"")</f>
        <v/>
      </c>
      <c r="K383" s="54" t="str" cm="1">
        <f t="array" ref="K383">IFERROR(_xlfn.LET(
_xlpm.CSVVal,_xlfn.XLOOKUP($A383,CSV!$A:$A,CSV!M:M,""),
_xlpm.MacVal,_xlfn.XLOOKUP($A383,Output_Mac!$A:$A,Output_Mac!L:L,""),
_xlpm.MyAuditVal,_xlfn.XLOOKUP($A383,My_Audit!$A:$A,My_Audit!J:J,""),
_xlfn.IFS(_xlpm.MyAuditVal&lt;&gt;"",UPPER(_xlpm.MyAuditVal),_xlpm.MacVal&lt;&gt;"",_xlpm.MacVal,_xlpm.CSVVal&lt;&gt;"",_xlpm.CSVVal
)),"")</f>
        <v/>
      </c>
      <c r="L383" s="55" t="str" cm="1">
        <f t="array" ref="L383">IFERROR(_xlfn.LET(
_xlpm.CSVVal,_xlfn.XLOOKUP($A383,CSV!$A:$A,CSV!P:P,""),
_xlpm.MacVal,_xlfn.XLOOKUP($A383,Output_Mac!$A:$A,Output_Mac!M:M,""),
_xlpm.MyAuditVal,_xlfn.XLOOKUP($A383,My_Audit!$A:$A,My_Audit!K:K,""),
_xlfn.IFS(_xlpm.MyAuditVal&lt;&gt;"",UPPER(_xlpm.MyAuditVal),_xlpm.MacVal&lt;&gt;"",_xlpm.MacVal,_xlpm.CSVVal&lt;&gt;"",_xlpm.CSVVal
)),"")</f>
        <v/>
      </c>
      <c r="M383" s="54" t="str">
        <f>_xlfn.LET(
    _xlpm.CSVVal, _xlfn.XLOOKUP($A383, CSV!$A:$A, CSV!AD:AD, ""),
    _xlpm.MacVal, _xlfn.XLOOKUP($A383, Output_Mac!$A:$A, Output_Mac!S:S, ""),
    _xlpm.MyAuditVal, _xlfn.XLOOKUP($A383, My_Audit!$A:$A, My_Audit!N:N, ""),
    _xlfn.TEXTJOIN(", ", TRUE, _xlpm.MyAuditVal, _xlpm.MacVal, _xlpm.CSVVal)
)</f>
        <v/>
      </c>
      <c r="N383" s="54" t="str" cm="1">
        <f t="array" ref="N383">IFERROR(_xlfn.LET(
_xlpm.CSVVal,_xlfn.XLOOKUP($A383,CSV!$A:$A,CSV!AF:AF,""),
_xlpm.MacVal,_xlfn.XLOOKUP($A383,Output_Mac!$A:$A,Output_Mac!U:U,""),
_xlpm.MyAuditVal,_xlfn.XLOOKUP($A383,My_Audit!$A:$A,My_Audit!O:O,""),
_xlfn.IFS(_xlpm.MyAuditVal&lt;&gt;"",UPPER(_xlpm.MyAuditVal),_xlpm.MacVal&lt;&gt;"",_xlpm.MacVal,_xlpm.CSVVal&lt;&gt;"",_xlpm.CSVVal
)),"")</f>
        <v/>
      </c>
      <c r="O383" s="54"/>
      <c r="P383" s="54"/>
      <c r="Q383" s="54"/>
      <c r="R383" s="54"/>
      <c r="S383" s="54"/>
      <c r="T383" s="54"/>
      <c r="U383" s="39"/>
    </row>
    <row r="384" spans="1:21">
      <c r="A384" s="54" t="str">
        <f>_xlfn.TEXTJOIN("",TRUE,Input!$B$2,ROW(My_Audit!A383))</f>
        <v>XX383</v>
      </c>
      <c r="B384" s="54" t="str">
        <f>_xlfn.TEXTJOIN("-",TRUE,"ITD",Input!$A$2,A384)</f>
        <v>ITD-SHRXXX-XX383</v>
      </c>
      <c r="C384" s="54" t="str" cm="1">
        <f t="array" ref="C384">IFERROR(_xlfn.LET(
_xlpm.CSVVal,_xlfn.XLOOKUP($A384,CSV!$A:$A,CSV!B:B,""),
_xlpm.MacVal,_xlfn.XLOOKUP($A384,Output_Mac!$A:$A,Output_Mac!B:B,""),
_xlpm.MyAuditVal,_xlfn.XLOOKUP($A384,My_Audit!$A:$A,My_Audit!B:B,""),
_xlfn.IFS(_xlpm.MyAuditVal&lt;&gt;"",UPPER(_xlpm.MyAuditVal),_xlpm.MacVal&lt;&gt;"",_xlpm.MacVal,_xlpm.CSVVal&lt;&gt;"",_xlpm.CSVVal
)),"")</f>
        <v/>
      </c>
      <c r="D384" s="55" t="str">
        <f>_xlfn.XLOOKUP(A384,My_Audit!A:A,My_Audit!D:D,"")&amp;""</f>
        <v/>
      </c>
      <c r="E384" s="55" t="str" cm="1">
        <f t="array" ref="E384">IFERROR(_xlfn.LET(
_xlpm.CSVVal,_xlfn.XLOOKUP($A384,CSV!$A:$A,CSV!D:D,""),
_xlpm.MacVal,_xlfn.XLOOKUP($A384,Output_Mac!$A:$A,Output_Mac!C:C,""),
_xlpm.MyAuditVal,_xlfn.XLOOKUP($A384,My_Audit!$A:$A,My_Audit!D:D,""),
_xlfn.IFS(_xlpm.MyAuditVal&lt;&gt;"",_xlpm.MyAuditVal,_xlpm.MacVal&lt;&gt;"",_xlpm.MacVal,_xlpm.CSVVal&lt;&gt;"",_xlpm.CSVVal
)),"")</f>
        <v/>
      </c>
      <c r="F384" s="54" t="str" cm="1">
        <f t="array" ref="F384">IFERROR(_xlfn.LET(
_xlpm.CSVVal,_xlfn.XLOOKUP($A384,CSV!$A:$A,CSV!E:E,""),
_xlpm.MacVal,_xlfn.XLOOKUP($A384,Output_Mac!$A:$A,Output_Mac!F:F,""),
_xlpm.MyAuditVal,_xlfn.XLOOKUP($A384,My_Audit!$A:$A,My_Audit!E:E,""),
_xlfn.IFS(_xlpm.MyAuditVal&lt;&gt;"",_xlpm.MyAuditVal,_xlpm.MacVal&lt;&gt;"",_xlpm.MacVal,_xlpm.CSVVal&lt;&gt;"",PROPER(_xlpm.CSVVal)
)),"")</f>
        <v/>
      </c>
      <c r="G384" s="54" t="str" cm="1">
        <f t="array" ref="G384">IFERROR(_xlfn.LET(
_xlpm.CSVVal,_xlfn.XLOOKUP($A384,CSV!$A:$A,CSV!F:F,""),
_xlpm.MacVal,_xlfn.XLOOKUP($A384,Output_Mac!$A:$A,Output_Mac!H:H,""),
_xlpm.MyAuditVal,_xlfn.XLOOKUP($A384,My_Audit!$A:$A,My_Audit!F:F,""),
_xlfn.IFS(_xlpm.MyAuditVal&lt;&gt;"",_xlpm.MyAuditVal,_xlpm.MacVal&lt;&gt;"",_xlpm.MacVal,_xlpm.CSVVal&lt;&gt;"",_xlpm.CSVVal
)),"")</f>
        <v/>
      </c>
      <c r="H384" s="54" t="str">
        <f>_xlfn.XLOOKUP(A384,Output_Mac!A:A,Output_Mac!I:I,"")</f>
        <v/>
      </c>
      <c r="I384" s="54" t="str" cm="1">
        <f t="array" ref="I384">IFERROR(_xlfn.LET(
_xlpm.CSVVal,_xlfn.XLOOKUP($A384,CSV!$A:$A,CSV!G:G,""),
_xlpm.MacVal,_xlfn.XLOOKUP($A384,Output_Mac!$A:$A,Output_Mac!J:J,""),
_xlpm.MyAuditVal,_xlfn.XLOOKUP($A384,My_Audit!$A:$A,My_Audit!H:H,""),
_xlfn.IFS(_xlpm.MyAuditVal&lt;&gt;"",UPPER(_xlpm.MyAuditVal),_xlpm.MacVal&lt;&gt;"",_xlpm.MacVal,_xlpm.CSVVal&lt;&gt;"",_xlpm.CSVVal
)),"")</f>
        <v/>
      </c>
      <c r="J384" s="54" t="str" cm="1">
        <f t="array" ref="J384">IFERROR(_xlfn.LET(
_xlpm.CSVVal,_xlfn.XLOOKUP($A384,CSV!$A:$A,CSV!I:I,""),
_xlpm.MacVal,_xlfn.XLOOKUP($A384,Output_Mac!$A:$A,Output_Mac!K:K,""),
_xlpm.MyAuditVal,_xlfn.XLOOKUP($A384,My_Audit!$A:$A,My_Audit!I:I,""),
_xlfn.IFS(_xlpm.MyAuditVal&lt;&gt;"",UPPER(_xlpm.MyAuditVal),_xlpm.MacVal&lt;&gt;"",_xlpm.MacVal,_xlpm.CSVVal&lt;&gt;"",_xlpm.CSVVal
)),"")</f>
        <v/>
      </c>
      <c r="K384" s="54" t="str" cm="1">
        <f t="array" ref="K384">IFERROR(_xlfn.LET(
_xlpm.CSVVal,_xlfn.XLOOKUP($A384,CSV!$A:$A,CSV!M:M,""),
_xlpm.MacVal,_xlfn.XLOOKUP($A384,Output_Mac!$A:$A,Output_Mac!L:L,""),
_xlpm.MyAuditVal,_xlfn.XLOOKUP($A384,My_Audit!$A:$A,My_Audit!J:J,""),
_xlfn.IFS(_xlpm.MyAuditVal&lt;&gt;"",UPPER(_xlpm.MyAuditVal),_xlpm.MacVal&lt;&gt;"",_xlpm.MacVal,_xlpm.CSVVal&lt;&gt;"",_xlpm.CSVVal
)),"")</f>
        <v/>
      </c>
      <c r="L384" s="55" t="str" cm="1">
        <f t="array" ref="L384">IFERROR(_xlfn.LET(
_xlpm.CSVVal,_xlfn.XLOOKUP($A384,CSV!$A:$A,CSV!P:P,""),
_xlpm.MacVal,_xlfn.XLOOKUP($A384,Output_Mac!$A:$A,Output_Mac!M:M,""),
_xlpm.MyAuditVal,_xlfn.XLOOKUP($A384,My_Audit!$A:$A,My_Audit!K:K,""),
_xlfn.IFS(_xlpm.MyAuditVal&lt;&gt;"",UPPER(_xlpm.MyAuditVal),_xlpm.MacVal&lt;&gt;"",_xlpm.MacVal,_xlpm.CSVVal&lt;&gt;"",_xlpm.CSVVal
)),"")</f>
        <v/>
      </c>
      <c r="M384" s="54" t="str">
        <f>_xlfn.LET(
    _xlpm.CSVVal, _xlfn.XLOOKUP($A384, CSV!$A:$A, CSV!AD:AD, ""),
    _xlpm.MacVal, _xlfn.XLOOKUP($A384, Output_Mac!$A:$A, Output_Mac!S:S, ""),
    _xlpm.MyAuditVal, _xlfn.XLOOKUP($A384, My_Audit!$A:$A, My_Audit!N:N, ""),
    _xlfn.TEXTJOIN(", ", TRUE, _xlpm.MyAuditVal, _xlpm.MacVal, _xlpm.CSVVal)
)</f>
        <v/>
      </c>
      <c r="N384" s="54" t="str" cm="1">
        <f t="array" ref="N384">IFERROR(_xlfn.LET(
_xlpm.CSVVal,_xlfn.XLOOKUP($A384,CSV!$A:$A,CSV!AF:AF,""),
_xlpm.MacVal,_xlfn.XLOOKUP($A384,Output_Mac!$A:$A,Output_Mac!U:U,""),
_xlpm.MyAuditVal,_xlfn.XLOOKUP($A384,My_Audit!$A:$A,My_Audit!O:O,""),
_xlfn.IFS(_xlpm.MyAuditVal&lt;&gt;"",UPPER(_xlpm.MyAuditVal),_xlpm.MacVal&lt;&gt;"",_xlpm.MacVal,_xlpm.CSVVal&lt;&gt;"",_xlpm.CSVVal
)),"")</f>
        <v/>
      </c>
      <c r="O384" s="54"/>
      <c r="P384" s="54"/>
      <c r="Q384" s="54"/>
      <c r="R384" s="54"/>
      <c r="S384" s="54"/>
      <c r="T384" s="54"/>
      <c r="U384" s="39"/>
    </row>
    <row r="385" spans="1:21">
      <c r="A385" s="54" t="str">
        <f>_xlfn.TEXTJOIN("",TRUE,Input!$B$2,ROW(My_Audit!A384))</f>
        <v>XX384</v>
      </c>
      <c r="B385" s="54" t="str">
        <f>_xlfn.TEXTJOIN("-",TRUE,"ITD",Input!$A$2,A385)</f>
        <v>ITD-SHRXXX-XX384</v>
      </c>
      <c r="C385" s="54" t="str" cm="1">
        <f t="array" ref="C385">IFERROR(_xlfn.LET(
_xlpm.CSVVal,_xlfn.XLOOKUP($A385,CSV!$A:$A,CSV!B:B,""),
_xlpm.MacVal,_xlfn.XLOOKUP($A385,Output_Mac!$A:$A,Output_Mac!B:B,""),
_xlpm.MyAuditVal,_xlfn.XLOOKUP($A385,My_Audit!$A:$A,My_Audit!B:B,""),
_xlfn.IFS(_xlpm.MyAuditVal&lt;&gt;"",UPPER(_xlpm.MyAuditVal),_xlpm.MacVal&lt;&gt;"",_xlpm.MacVal,_xlpm.CSVVal&lt;&gt;"",_xlpm.CSVVal
)),"")</f>
        <v/>
      </c>
      <c r="D385" s="55" t="str">
        <f>_xlfn.XLOOKUP(A385,My_Audit!A:A,My_Audit!D:D,"")&amp;""</f>
        <v/>
      </c>
      <c r="E385" s="55" t="str" cm="1">
        <f t="array" ref="E385">IFERROR(_xlfn.LET(
_xlpm.CSVVal,_xlfn.XLOOKUP($A385,CSV!$A:$A,CSV!D:D,""),
_xlpm.MacVal,_xlfn.XLOOKUP($A385,Output_Mac!$A:$A,Output_Mac!C:C,""),
_xlpm.MyAuditVal,_xlfn.XLOOKUP($A385,My_Audit!$A:$A,My_Audit!D:D,""),
_xlfn.IFS(_xlpm.MyAuditVal&lt;&gt;"",_xlpm.MyAuditVal,_xlpm.MacVal&lt;&gt;"",_xlpm.MacVal,_xlpm.CSVVal&lt;&gt;"",_xlpm.CSVVal
)),"")</f>
        <v/>
      </c>
      <c r="F385" s="54" t="str" cm="1">
        <f t="array" ref="F385">IFERROR(_xlfn.LET(
_xlpm.CSVVal,_xlfn.XLOOKUP($A385,CSV!$A:$A,CSV!E:E,""),
_xlpm.MacVal,_xlfn.XLOOKUP($A385,Output_Mac!$A:$A,Output_Mac!F:F,""),
_xlpm.MyAuditVal,_xlfn.XLOOKUP($A385,My_Audit!$A:$A,My_Audit!E:E,""),
_xlfn.IFS(_xlpm.MyAuditVal&lt;&gt;"",_xlpm.MyAuditVal,_xlpm.MacVal&lt;&gt;"",_xlpm.MacVal,_xlpm.CSVVal&lt;&gt;"",PROPER(_xlpm.CSVVal)
)),"")</f>
        <v/>
      </c>
      <c r="G385" s="54" t="str" cm="1">
        <f t="array" ref="G385">IFERROR(_xlfn.LET(
_xlpm.CSVVal,_xlfn.XLOOKUP($A385,CSV!$A:$A,CSV!F:F,""),
_xlpm.MacVal,_xlfn.XLOOKUP($A385,Output_Mac!$A:$A,Output_Mac!H:H,""),
_xlpm.MyAuditVal,_xlfn.XLOOKUP($A385,My_Audit!$A:$A,My_Audit!F:F,""),
_xlfn.IFS(_xlpm.MyAuditVal&lt;&gt;"",_xlpm.MyAuditVal,_xlpm.MacVal&lt;&gt;"",_xlpm.MacVal,_xlpm.CSVVal&lt;&gt;"",_xlpm.CSVVal
)),"")</f>
        <v/>
      </c>
      <c r="H385" s="54" t="str">
        <f>_xlfn.XLOOKUP(A385,Output_Mac!A:A,Output_Mac!I:I,"")</f>
        <v/>
      </c>
      <c r="I385" s="54" t="str" cm="1">
        <f t="array" ref="I385">IFERROR(_xlfn.LET(
_xlpm.CSVVal,_xlfn.XLOOKUP($A385,CSV!$A:$A,CSV!G:G,""),
_xlpm.MacVal,_xlfn.XLOOKUP($A385,Output_Mac!$A:$A,Output_Mac!J:J,""),
_xlpm.MyAuditVal,_xlfn.XLOOKUP($A385,My_Audit!$A:$A,My_Audit!H:H,""),
_xlfn.IFS(_xlpm.MyAuditVal&lt;&gt;"",UPPER(_xlpm.MyAuditVal),_xlpm.MacVal&lt;&gt;"",_xlpm.MacVal,_xlpm.CSVVal&lt;&gt;"",_xlpm.CSVVal
)),"")</f>
        <v/>
      </c>
      <c r="J385" s="54" t="str" cm="1">
        <f t="array" ref="J385">IFERROR(_xlfn.LET(
_xlpm.CSVVal,_xlfn.XLOOKUP($A385,CSV!$A:$A,CSV!I:I,""),
_xlpm.MacVal,_xlfn.XLOOKUP($A385,Output_Mac!$A:$A,Output_Mac!K:K,""),
_xlpm.MyAuditVal,_xlfn.XLOOKUP($A385,My_Audit!$A:$A,My_Audit!I:I,""),
_xlfn.IFS(_xlpm.MyAuditVal&lt;&gt;"",UPPER(_xlpm.MyAuditVal),_xlpm.MacVal&lt;&gt;"",_xlpm.MacVal,_xlpm.CSVVal&lt;&gt;"",_xlpm.CSVVal
)),"")</f>
        <v/>
      </c>
      <c r="K385" s="54" t="str" cm="1">
        <f t="array" ref="K385">IFERROR(_xlfn.LET(
_xlpm.CSVVal,_xlfn.XLOOKUP($A385,CSV!$A:$A,CSV!M:M,""),
_xlpm.MacVal,_xlfn.XLOOKUP($A385,Output_Mac!$A:$A,Output_Mac!L:L,""),
_xlpm.MyAuditVal,_xlfn.XLOOKUP($A385,My_Audit!$A:$A,My_Audit!J:J,""),
_xlfn.IFS(_xlpm.MyAuditVal&lt;&gt;"",UPPER(_xlpm.MyAuditVal),_xlpm.MacVal&lt;&gt;"",_xlpm.MacVal,_xlpm.CSVVal&lt;&gt;"",_xlpm.CSVVal
)),"")</f>
        <v/>
      </c>
      <c r="L385" s="55" t="str" cm="1">
        <f t="array" ref="L385">IFERROR(_xlfn.LET(
_xlpm.CSVVal,_xlfn.XLOOKUP($A385,CSV!$A:$A,CSV!P:P,""),
_xlpm.MacVal,_xlfn.XLOOKUP($A385,Output_Mac!$A:$A,Output_Mac!M:M,""),
_xlpm.MyAuditVal,_xlfn.XLOOKUP($A385,My_Audit!$A:$A,My_Audit!K:K,""),
_xlfn.IFS(_xlpm.MyAuditVal&lt;&gt;"",UPPER(_xlpm.MyAuditVal),_xlpm.MacVal&lt;&gt;"",_xlpm.MacVal,_xlpm.CSVVal&lt;&gt;"",_xlpm.CSVVal
)),"")</f>
        <v/>
      </c>
      <c r="M385" s="54" t="str">
        <f>_xlfn.LET(
    _xlpm.CSVVal, _xlfn.XLOOKUP($A385, CSV!$A:$A, CSV!AD:AD, ""),
    _xlpm.MacVal, _xlfn.XLOOKUP($A385, Output_Mac!$A:$A, Output_Mac!S:S, ""),
    _xlpm.MyAuditVal, _xlfn.XLOOKUP($A385, My_Audit!$A:$A, My_Audit!N:N, ""),
    _xlfn.TEXTJOIN(", ", TRUE, _xlpm.MyAuditVal, _xlpm.MacVal, _xlpm.CSVVal)
)</f>
        <v/>
      </c>
      <c r="N385" s="54" t="str" cm="1">
        <f t="array" ref="N385">IFERROR(_xlfn.LET(
_xlpm.CSVVal,_xlfn.XLOOKUP($A385,CSV!$A:$A,CSV!AF:AF,""),
_xlpm.MacVal,_xlfn.XLOOKUP($A385,Output_Mac!$A:$A,Output_Mac!U:U,""),
_xlpm.MyAuditVal,_xlfn.XLOOKUP($A385,My_Audit!$A:$A,My_Audit!O:O,""),
_xlfn.IFS(_xlpm.MyAuditVal&lt;&gt;"",UPPER(_xlpm.MyAuditVal),_xlpm.MacVal&lt;&gt;"",_xlpm.MacVal,_xlpm.CSVVal&lt;&gt;"",_xlpm.CSVVal
)),"")</f>
        <v/>
      </c>
      <c r="O385" s="54"/>
      <c r="P385" s="54"/>
      <c r="Q385" s="54"/>
      <c r="R385" s="54"/>
      <c r="S385" s="54"/>
      <c r="T385" s="54"/>
      <c r="U385" s="39"/>
    </row>
    <row r="386" spans="1:21">
      <c r="A386" s="54" t="str">
        <f>_xlfn.TEXTJOIN("",TRUE,Input!$B$2,ROW(My_Audit!A385))</f>
        <v>XX385</v>
      </c>
      <c r="B386" s="54" t="str">
        <f>_xlfn.TEXTJOIN("-",TRUE,"ITD",Input!$A$2,A386)</f>
        <v>ITD-SHRXXX-XX385</v>
      </c>
      <c r="C386" s="54" t="str" cm="1">
        <f t="array" ref="C386">IFERROR(_xlfn.LET(
_xlpm.CSVVal,_xlfn.XLOOKUP($A386,CSV!$A:$A,CSV!B:B,""),
_xlpm.MacVal,_xlfn.XLOOKUP($A386,Output_Mac!$A:$A,Output_Mac!B:B,""),
_xlpm.MyAuditVal,_xlfn.XLOOKUP($A386,My_Audit!$A:$A,My_Audit!B:B,""),
_xlfn.IFS(_xlpm.MyAuditVal&lt;&gt;"",UPPER(_xlpm.MyAuditVal),_xlpm.MacVal&lt;&gt;"",_xlpm.MacVal,_xlpm.CSVVal&lt;&gt;"",_xlpm.CSVVal
)),"")</f>
        <v/>
      </c>
      <c r="D386" s="55" t="str">
        <f>_xlfn.XLOOKUP(A386,My_Audit!A:A,My_Audit!D:D,"")&amp;""</f>
        <v/>
      </c>
      <c r="E386" s="55" t="str" cm="1">
        <f t="array" ref="E386">IFERROR(_xlfn.LET(
_xlpm.CSVVal,_xlfn.XLOOKUP($A386,CSV!$A:$A,CSV!D:D,""),
_xlpm.MacVal,_xlfn.XLOOKUP($A386,Output_Mac!$A:$A,Output_Mac!C:C,""),
_xlpm.MyAuditVal,_xlfn.XLOOKUP($A386,My_Audit!$A:$A,My_Audit!D:D,""),
_xlfn.IFS(_xlpm.MyAuditVal&lt;&gt;"",_xlpm.MyAuditVal,_xlpm.MacVal&lt;&gt;"",_xlpm.MacVal,_xlpm.CSVVal&lt;&gt;"",_xlpm.CSVVal
)),"")</f>
        <v/>
      </c>
      <c r="F386" s="54" t="str" cm="1">
        <f t="array" ref="F386">IFERROR(_xlfn.LET(
_xlpm.CSVVal,_xlfn.XLOOKUP($A386,CSV!$A:$A,CSV!E:E,""),
_xlpm.MacVal,_xlfn.XLOOKUP($A386,Output_Mac!$A:$A,Output_Mac!F:F,""),
_xlpm.MyAuditVal,_xlfn.XLOOKUP($A386,My_Audit!$A:$A,My_Audit!E:E,""),
_xlfn.IFS(_xlpm.MyAuditVal&lt;&gt;"",_xlpm.MyAuditVal,_xlpm.MacVal&lt;&gt;"",_xlpm.MacVal,_xlpm.CSVVal&lt;&gt;"",PROPER(_xlpm.CSVVal)
)),"")</f>
        <v/>
      </c>
      <c r="G386" s="54" t="str" cm="1">
        <f t="array" ref="G386">IFERROR(_xlfn.LET(
_xlpm.CSVVal,_xlfn.XLOOKUP($A386,CSV!$A:$A,CSV!F:F,""),
_xlpm.MacVal,_xlfn.XLOOKUP($A386,Output_Mac!$A:$A,Output_Mac!H:H,""),
_xlpm.MyAuditVal,_xlfn.XLOOKUP($A386,My_Audit!$A:$A,My_Audit!F:F,""),
_xlfn.IFS(_xlpm.MyAuditVal&lt;&gt;"",_xlpm.MyAuditVal,_xlpm.MacVal&lt;&gt;"",_xlpm.MacVal,_xlpm.CSVVal&lt;&gt;"",_xlpm.CSVVal
)),"")</f>
        <v/>
      </c>
      <c r="H386" s="54" t="str">
        <f>_xlfn.XLOOKUP(A386,Output_Mac!A:A,Output_Mac!I:I,"")</f>
        <v/>
      </c>
      <c r="I386" s="54" t="str" cm="1">
        <f t="array" ref="I386">IFERROR(_xlfn.LET(
_xlpm.CSVVal,_xlfn.XLOOKUP($A386,CSV!$A:$A,CSV!G:G,""),
_xlpm.MacVal,_xlfn.XLOOKUP($A386,Output_Mac!$A:$A,Output_Mac!J:J,""),
_xlpm.MyAuditVal,_xlfn.XLOOKUP($A386,My_Audit!$A:$A,My_Audit!H:H,""),
_xlfn.IFS(_xlpm.MyAuditVal&lt;&gt;"",UPPER(_xlpm.MyAuditVal),_xlpm.MacVal&lt;&gt;"",_xlpm.MacVal,_xlpm.CSVVal&lt;&gt;"",_xlpm.CSVVal
)),"")</f>
        <v/>
      </c>
      <c r="J386" s="54" t="str" cm="1">
        <f t="array" ref="J386">IFERROR(_xlfn.LET(
_xlpm.CSVVal,_xlfn.XLOOKUP($A386,CSV!$A:$A,CSV!I:I,""),
_xlpm.MacVal,_xlfn.XLOOKUP($A386,Output_Mac!$A:$A,Output_Mac!K:K,""),
_xlpm.MyAuditVal,_xlfn.XLOOKUP($A386,My_Audit!$A:$A,My_Audit!I:I,""),
_xlfn.IFS(_xlpm.MyAuditVal&lt;&gt;"",UPPER(_xlpm.MyAuditVal),_xlpm.MacVal&lt;&gt;"",_xlpm.MacVal,_xlpm.CSVVal&lt;&gt;"",_xlpm.CSVVal
)),"")</f>
        <v/>
      </c>
      <c r="K386" s="54" t="str" cm="1">
        <f t="array" ref="K386">IFERROR(_xlfn.LET(
_xlpm.CSVVal,_xlfn.XLOOKUP($A386,CSV!$A:$A,CSV!M:M,""),
_xlpm.MacVal,_xlfn.XLOOKUP($A386,Output_Mac!$A:$A,Output_Mac!L:L,""),
_xlpm.MyAuditVal,_xlfn.XLOOKUP($A386,My_Audit!$A:$A,My_Audit!J:J,""),
_xlfn.IFS(_xlpm.MyAuditVal&lt;&gt;"",UPPER(_xlpm.MyAuditVal),_xlpm.MacVal&lt;&gt;"",_xlpm.MacVal,_xlpm.CSVVal&lt;&gt;"",_xlpm.CSVVal
)),"")</f>
        <v/>
      </c>
      <c r="L386" s="54" t="str" cm="1">
        <f t="array" ref="L386">IFERROR(_xlfn.LET(
_xlpm.CSVVal,_xlfn.XLOOKUP($A386,CSV!$A:$A,CSV!O:O,""),
_xlpm.MacVal,_xlfn.XLOOKUP($A386,Output_Mac!$A:$A,Output_Mac!M:M,""),
_xlpm.MyAuditVal,_xlfn.XLOOKUP($A386,My_Audit!$A:$A,My_Audit!K:K,""),
_xlfn.IFS(_xlpm.MyAuditVal&lt;&gt;"",UPPER(_xlpm.MyAuditVal),_xlpm.MacVal&lt;&gt;"",_xlpm.MacVal,_xlpm.CSVVal&lt;&gt;"",_xlpm.CSVVal
)),"")</f>
        <v/>
      </c>
      <c r="M386" s="54" t="str">
        <f>_xlfn.LET(
    _xlpm.CSVVal, _xlfn.XLOOKUP($A386, CSV!$A:$A, CSV!AD:AD, ""),
    _xlpm.MacVal, _xlfn.XLOOKUP($A386, Output_Mac!$A:$A, Output_Mac!S:S, ""),
    _xlpm.MyAuditVal, _xlfn.XLOOKUP($A386, My_Audit!$A:$A, My_Audit!N:N, ""),
    _xlfn.TEXTJOIN(", ", TRUE, _xlpm.MyAuditVal, _xlpm.MacVal, _xlpm.CSVVal)
)</f>
        <v/>
      </c>
      <c r="N386" s="54" t="str" cm="1">
        <f t="array" ref="N386">IFERROR(_xlfn.LET(
_xlpm.CSVVal,_xlfn.XLOOKUP($A386,CSV!$A:$A,CSV!AF:AF,""),
_xlpm.MacVal,_xlfn.XLOOKUP($A386,Output_Mac!$A:$A,Output_Mac!U:U,""),
_xlpm.MyAuditVal,_xlfn.XLOOKUP($A386,My_Audit!$A:$A,My_Audit!O:O,""),
_xlfn.IFS(_xlpm.MyAuditVal&lt;&gt;"",UPPER(_xlpm.MyAuditVal),_xlpm.MacVal&lt;&gt;"",_xlpm.MacVal,_xlpm.CSVVal&lt;&gt;"",_xlpm.CSVVal
)),"")</f>
        <v/>
      </c>
      <c r="O386" s="54"/>
      <c r="P386" s="54"/>
      <c r="Q386" s="54"/>
      <c r="R386" s="54"/>
      <c r="S386" s="54"/>
      <c r="T386" s="54"/>
      <c r="U386" s="39"/>
    </row>
    <row r="387" spans="1:21">
      <c r="A387" s="54" t="str">
        <f>_xlfn.TEXTJOIN("",TRUE,Input!$B$2,ROW(My_Audit!A386))</f>
        <v>XX386</v>
      </c>
      <c r="B387" s="54" t="str">
        <f>_xlfn.TEXTJOIN("-",TRUE,"ITD",Input!$A$2,A387)</f>
        <v>ITD-SHRXXX-XX386</v>
      </c>
      <c r="C387" s="54" t="str" cm="1">
        <f t="array" ref="C387">IFERROR(_xlfn.LET(
_xlpm.CSVVal,_xlfn.XLOOKUP($A387,CSV!$A:$A,CSV!B:B,""),
_xlpm.MacVal,_xlfn.XLOOKUP($A387,Output_Mac!$A:$A,Output_Mac!B:B,""),
_xlpm.MyAuditVal,_xlfn.XLOOKUP($A387,My_Audit!$A:$A,My_Audit!B:B,""),
_xlfn.IFS(_xlpm.MyAuditVal&lt;&gt;"",UPPER(_xlpm.MyAuditVal),_xlpm.MacVal&lt;&gt;"",_xlpm.MacVal,_xlpm.CSVVal&lt;&gt;"",_xlpm.CSVVal
)),"")</f>
        <v/>
      </c>
      <c r="D387" s="55" t="str">
        <f>_xlfn.XLOOKUP(A387,My_Audit!A:A,My_Audit!D:D,"")&amp;""</f>
        <v/>
      </c>
      <c r="E387" s="55" t="str" cm="1">
        <f t="array" ref="E387">IFERROR(_xlfn.LET(
_xlpm.CSVVal,_xlfn.XLOOKUP($A387,CSV!$A:$A,CSV!D:D,""),
_xlpm.MacVal,_xlfn.XLOOKUP($A387,Output_Mac!$A:$A,Output_Mac!C:C,""),
_xlpm.MyAuditVal,_xlfn.XLOOKUP($A387,My_Audit!$A:$A,My_Audit!D:D,""),
_xlfn.IFS(_xlpm.MyAuditVal&lt;&gt;"",_xlpm.MyAuditVal,_xlpm.MacVal&lt;&gt;"",_xlpm.MacVal,_xlpm.CSVVal&lt;&gt;"",_xlpm.CSVVal
)),"")</f>
        <v/>
      </c>
      <c r="F387" s="54" t="str" cm="1">
        <f t="array" ref="F387">IFERROR(_xlfn.LET(
_xlpm.CSVVal,_xlfn.XLOOKUP($A387,CSV!$A:$A,CSV!E:E,""),
_xlpm.MacVal,_xlfn.XLOOKUP($A387,Output_Mac!$A:$A,Output_Mac!F:F,""),
_xlpm.MyAuditVal,_xlfn.XLOOKUP($A387,My_Audit!$A:$A,My_Audit!E:E,""),
_xlfn.IFS(_xlpm.MyAuditVal&lt;&gt;"",_xlpm.MyAuditVal,_xlpm.MacVal&lt;&gt;"",_xlpm.MacVal,_xlpm.CSVVal&lt;&gt;"",PROPER(_xlpm.CSVVal)
)),"")</f>
        <v/>
      </c>
      <c r="G387" s="54" t="str" cm="1">
        <f t="array" ref="G387">IFERROR(_xlfn.LET(
_xlpm.CSVVal,_xlfn.XLOOKUP($A387,CSV!$A:$A,CSV!F:F,""),
_xlpm.MacVal,_xlfn.XLOOKUP($A387,Output_Mac!$A:$A,Output_Mac!H:H,""),
_xlpm.MyAuditVal,_xlfn.XLOOKUP($A387,My_Audit!$A:$A,My_Audit!F:F,""),
_xlfn.IFS(_xlpm.MyAuditVal&lt;&gt;"",_xlpm.MyAuditVal,_xlpm.MacVal&lt;&gt;"",_xlpm.MacVal,_xlpm.CSVVal&lt;&gt;"",_xlpm.CSVVal
)),"")</f>
        <v/>
      </c>
      <c r="H387" s="54" t="str">
        <f>_xlfn.XLOOKUP(A387,Output_Mac!A:A,Output_Mac!I:I,"")</f>
        <v/>
      </c>
      <c r="I387" s="54" t="str" cm="1">
        <f t="array" ref="I387">IFERROR(_xlfn.LET(
_xlpm.CSVVal,_xlfn.XLOOKUP($A387,CSV!$A:$A,CSV!G:G,""),
_xlpm.MacVal,_xlfn.XLOOKUP($A387,Output_Mac!$A:$A,Output_Mac!J:J,""),
_xlpm.MyAuditVal,_xlfn.XLOOKUP($A387,My_Audit!$A:$A,My_Audit!H:H,""),
_xlfn.IFS(_xlpm.MyAuditVal&lt;&gt;"",UPPER(_xlpm.MyAuditVal),_xlpm.MacVal&lt;&gt;"",_xlpm.MacVal,_xlpm.CSVVal&lt;&gt;"",_xlpm.CSVVal
)),"")</f>
        <v/>
      </c>
      <c r="J387" s="54" t="str" cm="1">
        <f t="array" ref="J387">IFERROR(_xlfn.LET(
_xlpm.CSVVal,_xlfn.XLOOKUP($A387,CSV!$A:$A,CSV!I:I,""),
_xlpm.MacVal,_xlfn.XLOOKUP($A387,Output_Mac!$A:$A,Output_Mac!K:K,""),
_xlpm.MyAuditVal,_xlfn.XLOOKUP($A387,My_Audit!$A:$A,My_Audit!I:I,""),
_xlfn.IFS(_xlpm.MyAuditVal&lt;&gt;"",UPPER(_xlpm.MyAuditVal),_xlpm.MacVal&lt;&gt;"",_xlpm.MacVal,_xlpm.CSVVal&lt;&gt;"",_xlpm.CSVVal
)),"")</f>
        <v/>
      </c>
      <c r="K387" s="54" t="str" cm="1">
        <f t="array" ref="K387">IFERROR(_xlfn.LET(
_xlpm.CSVVal,_xlfn.XLOOKUP($A387,CSV!$A:$A,CSV!M:M,""),
_xlpm.MacVal,_xlfn.XLOOKUP($A387,Output_Mac!$A:$A,Output_Mac!L:L,""),
_xlpm.MyAuditVal,_xlfn.XLOOKUP($A387,My_Audit!$A:$A,My_Audit!J:J,""),
_xlfn.IFS(_xlpm.MyAuditVal&lt;&gt;"",UPPER(_xlpm.MyAuditVal),_xlpm.MacVal&lt;&gt;"",_xlpm.MacVal,_xlpm.CSVVal&lt;&gt;"",_xlpm.CSVVal
)),"")</f>
        <v/>
      </c>
      <c r="L387" s="54" t="str" cm="1">
        <f t="array" ref="L387">IFERROR(_xlfn.LET(
_xlpm.CSVVal,_xlfn.XLOOKUP($A387,CSV!$A:$A,CSV!O:O,""),
_xlpm.MacVal,_xlfn.XLOOKUP($A387,Output_Mac!$A:$A,Output_Mac!M:M,""),
_xlpm.MyAuditVal,_xlfn.XLOOKUP($A387,My_Audit!$A:$A,My_Audit!K:K,""),
_xlfn.IFS(_xlpm.MyAuditVal&lt;&gt;"",UPPER(_xlpm.MyAuditVal),_xlpm.MacVal&lt;&gt;"",_xlpm.MacVal,_xlpm.CSVVal&lt;&gt;"",_xlpm.CSVVal
)),"")</f>
        <v/>
      </c>
      <c r="M387" s="54" t="str">
        <f>_xlfn.LET(
    _xlpm.CSVVal, _xlfn.XLOOKUP($A387, CSV!$A:$A, CSV!AD:AD, ""),
    _xlpm.MacVal, _xlfn.XLOOKUP($A387, Output_Mac!$A:$A, Output_Mac!S:S, ""),
    _xlpm.MyAuditVal, _xlfn.XLOOKUP($A387, My_Audit!$A:$A, My_Audit!N:N, ""),
    _xlfn.TEXTJOIN(", ", TRUE, _xlpm.MyAuditVal, _xlpm.MacVal, _xlpm.CSVVal)
)</f>
        <v/>
      </c>
      <c r="N387" s="54" t="str" cm="1">
        <f t="array" ref="N387">IFERROR(_xlfn.LET(
_xlpm.CSVVal,_xlfn.XLOOKUP($A387,CSV!$A:$A,CSV!AF:AF,""),
_xlpm.MacVal,_xlfn.XLOOKUP($A387,Output_Mac!$A:$A,Output_Mac!U:U,""),
_xlpm.MyAuditVal,_xlfn.XLOOKUP($A387,My_Audit!$A:$A,My_Audit!O:O,""),
_xlfn.IFS(_xlpm.MyAuditVal&lt;&gt;"",UPPER(_xlpm.MyAuditVal),_xlpm.MacVal&lt;&gt;"",_xlpm.MacVal,_xlpm.CSVVal&lt;&gt;"",_xlpm.CSVVal
)),"")</f>
        <v/>
      </c>
      <c r="O387" s="54"/>
      <c r="P387" s="54"/>
      <c r="Q387" s="54"/>
      <c r="R387" s="54"/>
      <c r="S387" s="54"/>
      <c r="T387" s="54"/>
      <c r="U387" s="39"/>
    </row>
    <row r="388" spans="1:21">
      <c r="A388" s="54" t="str">
        <f>_xlfn.TEXTJOIN("",TRUE,Input!$B$2,ROW(My_Audit!A387))</f>
        <v>XX387</v>
      </c>
      <c r="B388" s="54" t="str">
        <f>_xlfn.TEXTJOIN("-",TRUE,"ITD",Input!$A$2,A388)</f>
        <v>ITD-SHRXXX-XX387</v>
      </c>
      <c r="C388" s="54" t="str" cm="1">
        <f t="array" ref="C388">IFERROR(_xlfn.LET(
_xlpm.CSVVal,_xlfn.XLOOKUP($A388,CSV!$A:$A,CSV!B:B,""),
_xlpm.MacVal,_xlfn.XLOOKUP($A388,Output_Mac!$A:$A,Output_Mac!B:B,""),
_xlpm.MyAuditVal,_xlfn.XLOOKUP($A388,My_Audit!$A:$A,My_Audit!B:B,""),
_xlfn.IFS(_xlpm.MyAuditVal&lt;&gt;"",UPPER(_xlpm.MyAuditVal),_xlpm.MacVal&lt;&gt;"",_xlpm.MacVal,_xlpm.CSVVal&lt;&gt;"",_xlpm.CSVVal
)),"")</f>
        <v/>
      </c>
      <c r="D388" s="55" t="str">
        <f>_xlfn.XLOOKUP(A388,My_Audit!A:A,My_Audit!D:D,"")&amp;""</f>
        <v/>
      </c>
      <c r="E388" s="55" t="str" cm="1">
        <f t="array" ref="E388">IFERROR(_xlfn.LET(
_xlpm.CSVVal,_xlfn.XLOOKUP($A388,CSV!$A:$A,CSV!D:D,""),
_xlpm.MacVal,_xlfn.XLOOKUP($A388,Output_Mac!$A:$A,Output_Mac!C:C,""),
_xlpm.MyAuditVal,_xlfn.XLOOKUP($A388,My_Audit!$A:$A,My_Audit!D:D,""),
_xlfn.IFS(_xlpm.MyAuditVal&lt;&gt;"",_xlpm.MyAuditVal,_xlpm.MacVal&lt;&gt;"",_xlpm.MacVal,_xlpm.CSVVal&lt;&gt;"",_xlpm.CSVVal
)),"")</f>
        <v/>
      </c>
      <c r="F388" s="54" t="str" cm="1">
        <f t="array" ref="F388">IFERROR(_xlfn.LET(
_xlpm.CSVVal,_xlfn.XLOOKUP($A388,CSV!$A:$A,CSV!E:E,""),
_xlpm.MacVal,_xlfn.XLOOKUP($A388,Output_Mac!$A:$A,Output_Mac!F:F,""),
_xlpm.MyAuditVal,_xlfn.XLOOKUP($A388,My_Audit!$A:$A,My_Audit!E:E,""),
_xlfn.IFS(_xlpm.MyAuditVal&lt;&gt;"",_xlpm.MyAuditVal,_xlpm.MacVal&lt;&gt;"",_xlpm.MacVal,_xlpm.CSVVal&lt;&gt;"",PROPER(_xlpm.CSVVal)
)),"")</f>
        <v/>
      </c>
      <c r="G388" s="54" t="str" cm="1">
        <f t="array" ref="G388">IFERROR(_xlfn.LET(
_xlpm.CSVVal,_xlfn.XLOOKUP($A388,CSV!$A:$A,CSV!F:F,""),
_xlpm.MacVal,_xlfn.XLOOKUP($A388,Output_Mac!$A:$A,Output_Mac!H:H,""),
_xlpm.MyAuditVal,_xlfn.XLOOKUP($A388,My_Audit!$A:$A,My_Audit!F:F,""),
_xlfn.IFS(_xlpm.MyAuditVal&lt;&gt;"",_xlpm.MyAuditVal,_xlpm.MacVal&lt;&gt;"",_xlpm.MacVal,_xlpm.CSVVal&lt;&gt;"",_xlpm.CSVVal
)),"")</f>
        <v/>
      </c>
      <c r="H388" s="54" t="str">
        <f>_xlfn.XLOOKUP(A388,Output_Mac!A:A,Output_Mac!I:I,"")</f>
        <v/>
      </c>
      <c r="I388" s="54" t="str" cm="1">
        <f t="array" ref="I388">IFERROR(_xlfn.LET(
_xlpm.CSVVal,_xlfn.XLOOKUP($A388,CSV!$A:$A,CSV!G:G,""),
_xlpm.MacVal,_xlfn.XLOOKUP($A388,Output_Mac!$A:$A,Output_Mac!J:J,""),
_xlpm.MyAuditVal,_xlfn.XLOOKUP($A388,My_Audit!$A:$A,My_Audit!H:H,""),
_xlfn.IFS(_xlpm.MyAuditVal&lt;&gt;"",UPPER(_xlpm.MyAuditVal),_xlpm.MacVal&lt;&gt;"",_xlpm.MacVal,_xlpm.CSVVal&lt;&gt;"",_xlpm.CSVVal
)),"")</f>
        <v/>
      </c>
      <c r="J388" s="54" t="str" cm="1">
        <f t="array" ref="J388">IFERROR(_xlfn.LET(
_xlpm.CSVVal,_xlfn.XLOOKUP($A388,CSV!$A:$A,CSV!I:I,""),
_xlpm.MacVal,_xlfn.XLOOKUP($A388,Output_Mac!$A:$A,Output_Mac!K:K,""),
_xlpm.MyAuditVal,_xlfn.XLOOKUP($A388,My_Audit!$A:$A,My_Audit!I:I,""),
_xlfn.IFS(_xlpm.MyAuditVal&lt;&gt;"",UPPER(_xlpm.MyAuditVal),_xlpm.MacVal&lt;&gt;"",_xlpm.MacVal,_xlpm.CSVVal&lt;&gt;"",_xlpm.CSVVal
)),"")</f>
        <v/>
      </c>
      <c r="K388" s="54" t="str" cm="1">
        <f t="array" ref="K388">IFERROR(_xlfn.LET(
_xlpm.CSVVal,_xlfn.XLOOKUP($A388,CSV!$A:$A,CSV!M:M,""),
_xlpm.MacVal,_xlfn.XLOOKUP($A388,Output_Mac!$A:$A,Output_Mac!L:L,""),
_xlpm.MyAuditVal,_xlfn.XLOOKUP($A388,My_Audit!$A:$A,My_Audit!J:J,""),
_xlfn.IFS(_xlpm.MyAuditVal&lt;&gt;"",UPPER(_xlpm.MyAuditVal),_xlpm.MacVal&lt;&gt;"",_xlpm.MacVal,_xlpm.CSVVal&lt;&gt;"",_xlpm.CSVVal
)),"")</f>
        <v/>
      </c>
      <c r="L388" s="54" t="str" cm="1">
        <f t="array" ref="L388">IFERROR(_xlfn.LET(
_xlpm.CSVVal,_xlfn.XLOOKUP($A388,CSV!$A:$A,CSV!O:O,""),
_xlpm.MacVal,_xlfn.XLOOKUP($A388,Output_Mac!$A:$A,Output_Mac!M:M,""),
_xlpm.MyAuditVal,_xlfn.XLOOKUP($A388,My_Audit!$A:$A,My_Audit!K:K,""),
_xlfn.IFS(_xlpm.MyAuditVal&lt;&gt;"",UPPER(_xlpm.MyAuditVal),_xlpm.MacVal&lt;&gt;"",_xlpm.MacVal,_xlpm.CSVVal&lt;&gt;"",_xlpm.CSVVal
)),"")</f>
        <v/>
      </c>
      <c r="M388" s="54" t="str">
        <f>_xlfn.LET(
    _xlpm.CSVVal, _xlfn.XLOOKUP($A388, CSV!$A:$A, CSV!AD:AD, ""),
    _xlpm.MacVal, _xlfn.XLOOKUP($A388, Output_Mac!$A:$A, Output_Mac!S:S, ""),
    _xlpm.MyAuditVal, _xlfn.XLOOKUP($A388, My_Audit!$A:$A, My_Audit!N:N, ""),
    _xlfn.TEXTJOIN(", ", TRUE, _xlpm.MyAuditVal, _xlpm.MacVal, _xlpm.CSVVal)
)</f>
        <v/>
      </c>
      <c r="N388" s="54" t="str" cm="1">
        <f t="array" ref="N388">IFERROR(_xlfn.LET(
_xlpm.CSVVal,_xlfn.XLOOKUP($A388,CSV!$A:$A,CSV!AF:AF,""),
_xlpm.MacVal,_xlfn.XLOOKUP($A388,Output_Mac!$A:$A,Output_Mac!U:U,""),
_xlpm.MyAuditVal,_xlfn.XLOOKUP($A388,My_Audit!$A:$A,My_Audit!O:O,""),
_xlfn.IFS(_xlpm.MyAuditVal&lt;&gt;"",UPPER(_xlpm.MyAuditVal),_xlpm.MacVal&lt;&gt;"",_xlpm.MacVal,_xlpm.CSVVal&lt;&gt;"",_xlpm.CSVVal
)),"")</f>
        <v/>
      </c>
      <c r="O388" s="54"/>
      <c r="P388" s="54"/>
      <c r="Q388" s="54"/>
      <c r="R388" s="54"/>
      <c r="S388" s="54"/>
      <c r="T388" s="54"/>
      <c r="U388" s="39"/>
    </row>
    <row r="389" spans="1:21">
      <c r="A389" s="54" t="str">
        <f>_xlfn.TEXTJOIN("",TRUE,Input!$B$2,ROW(My_Audit!A388))</f>
        <v>XX388</v>
      </c>
      <c r="B389" s="54" t="str">
        <f>_xlfn.TEXTJOIN("-",TRUE,"ITD",Input!$A$2,A389)</f>
        <v>ITD-SHRXXX-XX388</v>
      </c>
      <c r="C389" s="54" t="str" cm="1">
        <f t="array" ref="C389">IFERROR(_xlfn.LET(
_xlpm.CSVVal,_xlfn.XLOOKUP($A389,CSV!$A:$A,CSV!B:B,""),
_xlpm.MacVal,_xlfn.XLOOKUP($A389,Output_Mac!$A:$A,Output_Mac!B:B,""),
_xlpm.MyAuditVal,_xlfn.XLOOKUP($A389,My_Audit!$A:$A,My_Audit!B:B,""),
_xlfn.IFS(_xlpm.MyAuditVal&lt;&gt;"",UPPER(_xlpm.MyAuditVal),_xlpm.MacVal&lt;&gt;"",_xlpm.MacVal,_xlpm.CSVVal&lt;&gt;"",_xlpm.CSVVal
)),"")</f>
        <v/>
      </c>
      <c r="D389" s="55" t="str">
        <f>_xlfn.XLOOKUP(A389,My_Audit!A:A,My_Audit!D:D,"")&amp;""</f>
        <v/>
      </c>
      <c r="E389" s="55" t="str" cm="1">
        <f t="array" ref="E389">IFERROR(_xlfn.LET(
_xlpm.CSVVal,_xlfn.XLOOKUP($A389,CSV!$A:$A,CSV!D:D,""),
_xlpm.MacVal,_xlfn.XLOOKUP($A389,Output_Mac!$A:$A,Output_Mac!C:C,""),
_xlpm.MyAuditVal,_xlfn.XLOOKUP($A389,My_Audit!$A:$A,My_Audit!D:D,""),
_xlfn.IFS(_xlpm.MyAuditVal&lt;&gt;"",_xlpm.MyAuditVal,_xlpm.MacVal&lt;&gt;"",_xlpm.MacVal,_xlpm.CSVVal&lt;&gt;"",_xlpm.CSVVal
)),"")</f>
        <v/>
      </c>
      <c r="F389" s="54" t="str" cm="1">
        <f t="array" ref="F389">IFERROR(_xlfn.LET(
_xlpm.CSVVal,_xlfn.XLOOKUP($A389,CSV!$A:$A,CSV!E:E,""),
_xlpm.MacVal,_xlfn.XLOOKUP($A389,Output_Mac!$A:$A,Output_Mac!F:F,""),
_xlpm.MyAuditVal,_xlfn.XLOOKUP($A389,My_Audit!$A:$A,My_Audit!E:E,""),
_xlfn.IFS(_xlpm.MyAuditVal&lt;&gt;"",_xlpm.MyAuditVal,_xlpm.MacVal&lt;&gt;"",_xlpm.MacVal,_xlpm.CSVVal&lt;&gt;"",PROPER(_xlpm.CSVVal)
)),"")</f>
        <v/>
      </c>
      <c r="G389" s="54" t="str" cm="1">
        <f t="array" ref="G389">IFERROR(_xlfn.LET(
_xlpm.CSVVal,_xlfn.XLOOKUP($A389,CSV!$A:$A,CSV!F:F,""),
_xlpm.MacVal,_xlfn.XLOOKUP($A389,Output_Mac!$A:$A,Output_Mac!H:H,""),
_xlpm.MyAuditVal,_xlfn.XLOOKUP($A389,My_Audit!$A:$A,My_Audit!F:F,""),
_xlfn.IFS(_xlpm.MyAuditVal&lt;&gt;"",_xlpm.MyAuditVal,_xlpm.MacVal&lt;&gt;"",_xlpm.MacVal,_xlpm.CSVVal&lt;&gt;"",_xlpm.CSVVal
)),"")</f>
        <v/>
      </c>
      <c r="H389" s="54" t="str">
        <f>_xlfn.XLOOKUP(A389,Output_Mac!A:A,Output_Mac!I:I,"")</f>
        <v/>
      </c>
      <c r="I389" s="54" t="str" cm="1">
        <f t="array" ref="I389">IFERROR(_xlfn.LET(
_xlpm.CSVVal,_xlfn.XLOOKUP($A389,CSV!$A:$A,CSV!G:G,""),
_xlpm.MacVal,_xlfn.XLOOKUP($A389,Output_Mac!$A:$A,Output_Mac!J:J,""),
_xlpm.MyAuditVal,_xlfn.XLOOKUP($A389,My_Audit!$A:$A,My_Audit!H:H,""),
_xlfn.IFS(_xlpm.MyAuditVal&lt;&gt;"",UPPER(_xlpm.MyAuditVal),_xlpm.MacVal&lt;&gt;"",_xlpm.MacVal,_xlpm.CSVVal&lt;&gt;"",_xlpm.CSVVal
)),"")</f>
        <v/>
      </c>
      <c r="J389" s="54" t="str" cm="1">
        <f t="array" ref="J389">IFERROR(_xlfn.LET(
_xlpm.CSVVal,_xlfn.XLOOKUP($A389,CSV!$A:$A,CSV!I:I,""),
_xlpm.MacVal,_xlfn.XLOOKUP($A389,Output_Mac!$A:$A,Output_Mac!K:K,""),
_xlpm.MyAuditVal,_xlfn.XLOOKUP($A389,My_Audit!$A:$A,My_Audit!I:I,""),
_xlfn.IFS(_xlpm.MyAuditVal&lt;&gt;"",UPPER(_xlpm.MyAuditVal),_xlpm.MacVal&lt;&gt;"",_xlpm.MacVal,_xlpm.CSVVal&lt;&gt;"",_xlpm.CSVVal
)),"")</f>
        <v/>
      </c>
      <c r="K389" s="54" t="str" cm="1">
        <f t="array" ref="K389">IFERROR(_xlfn.LET(
_xlpm.CSVVal,_xlfn.XLOOKUP($A389,CSV!$A:$A,CSV!M:M,""),
_xlpm.MacVal,_xlfn.XLOOKUP($A389,Output_Mac!$A:$A,Output_Mac!L:L,""),
_xlpm.MyAuditVal,_xlfn.XLOOKUP($A389,My_Audit!$A:$A,My_Audit!J:J,""),
_xlfn.IFS(_xlpm.MyAuditVal&lt;&gt;"",UPPER(_xlpm.MyAuditVal),_xlpm.MacVal&lt;&gt;"",_xlpm.MacVal,_xlpm.CSVVal&lt;&gt;"",_xlpm.CSVVal
)),"")</f>
        <v/>
      </c>
      <c r="L389" s="54" t="str" cm="1">
        <f t="array" ref="L389">IFERROR(_xlfn.LET(
_xlpm.CSVVal,_xlfn.XLOOKUP($A389,CSV!$A:$A,CSV!O:O,""),
_xlpm.MacVal,_xlfn.XLOOKUP($A389,Output_Mac!$A:$A,Output_Mac!M:M,""),
_xlpm.MyAuditVal,_xlfn.XLOOKUP($A389,My_Audit!$A:$A,My_Audit!K:K,""),
_xlfn.IFS(_xlpm.MyAuditVal&lt;&gt;"",UPPER(_xlpm.MyAuditVal),_xlpm.MacVal&lt;&gt;"",_xlpm.MacVal,_xlpm.CSVVal&lt;&gt;"",_xlpm.CSVVal
)),"")</f>
        <v/>
      </c>
      <c r="M389" s="54" t="str">
        <f>_xlfn.LET(
    _xlpm.CSVVal, _xlfn.XLOOKUP($A389, CSV!$A:$A, CSV!AD:AD, ""),
    _xlpm.MacVal, _xlfn.XLOOKUP($A389, Output_Mac!$A:$A, Output_Mac!S:S, ""),
    _xlpm.MyAuditVal, _xlfn.XLOOKUP($A389, My_Audit!$A:$A, My_Audit!N:N, ""),
    _xlfn.TEXTJOIN(", ", TRUE, _xlpm.MyAuditVal, _xlpm.MacVal, _xlpm.CSVVal)
)</f>
        <v/>
      </c>
      <c r="N389" s="54" t="str" cm="1">
        <f t="array" ref="N389">IFERROR(_xlfn.LET(
_xlpm.CSVVal,_xlfn.XLOOKUP($A389,CSV!$A:$A,CSV!AF:AF,""),
_xlpm.MacVal,_xlfn.XLOOKUP($A389,Output_Mac!$A:$A,Output_Mac!U:U,""),
_xlpm.MyAuditVal,_xlfn.XLOOKUP($A389,My_Audit!$A:$A,My_Audit!O:O,""),
_xlfn.IFS(_xlpm.MyAuditVal&lt;&gt;"",UPPER(_xlpm.MyAuditVal),_xlpm.MacVal&lt;&gt;"",_xlpm.MacVal,_xlpm.CSVVal&lt;&gt;"",_xlpm.CSVVal
)),"")</f>
        <v/>
      </c>
      <c r="O389" s="54"/>
      <c r="P389" s="54"/>
      <c r="Q389" s="54"/>
      <c r="R389" s="54"/>
      <c r="S389" s="54"/>
      <c r="T389" s="54"/>
      <c r="U389" s="39"/>
    </row>
    <row r="390" spans="1:21">
      <c r="A390" s="54" t="str">
        <f>_xlfn.TEXTJOIN("",TRUE,Input!$B$2,ROW(My_Audit!A389))</f>
        <v>XX389</v>
      </c>
      <c r="B390" s="54" t="str">
        <f>_xlfn.TEXTJOIN("-",TRUE,"ITD",Input!$A$2,A390)</f>
        <v>ITD-SHRXXX-XX389</v>
      </c>
      <c r="C390" s="54" t="str" cm="1">
        <f t="array" ref="C390">IFERROR(_xlfn.LET(
_xlpm.CSVVal,_xlfn.XLOOKUP($A390,CSV!$A:$A,CSV!B:B,""),
_xlpm.MacVal,_xlfn.XLOOKUP($A390,Output_Mac!$A:$A,Output_Mac!B:B,""),
_xlpm.MyAuditVal,_xlfn.XLOOKUP($A390,My_Audit!$A:$A,My_Audit!B:B,""),
_xlfn.IFS(_xlpm.MyAuditVal&lt;&gt;"",UPPER(_xlpm.MyAuditVal),_xlpm.MacVal&lt;&gt;"",_xlpm.MacVal,_xlpm.CSVVal&lt;&gt;"",_xlpm.CSVVal
)),"")</f>
        <v/>
      </c>
      <c r="D390" s="55" t="str">
        <f>_xlfn.XLOOKUP(A390,My_Audit!A:A,My_Audit!D:D,"")&amp;""</f>
        <v/>
      </c>
      <c r="E390" s="55" t="str" cm="1">
        <f t="array" ref="E390">IFERROR(_xlfn.LET(
_xlpm.CSVVal,_xlfn.XLOOKUP($A390,CSV!$A:$A,CSV!D:D,""),
_xlpm.MacVal,_xlfn.XLOOKUP($A390,Output_Mac!$A:$A,Output_Mac!C:C,""),
_xlpm.MyAuditVal,_xlfn.XLOOKUP($A390,My_Audit!$A:$A,My_Audit!D:D,""),
_xlfn.IFS(_xlpm.MyAuditVal&lt;&gt;"",_xlpm.MyAuditVal,_xlpm.MacVal&lt;&gt;"",_xlpm.MacVal,_xlpm.CSVVal&lt;&gt;"",_xlpm.CSVVal
)),"")</f>
        <v/>
      </c>
      <c r="F390" s="54" t="str" cm="1">
        <f t="array" ref="F390">IFERROR(_xlfn.LET(
_xlpm.CSVVal,_xlfn.XLOOKUP($A390,CSV!$A:$A,CSV!E:E,""),
_xlpm.MacVal,_xlfn.XLOOKUP($A390,Output_Mac!$A:$A,Output_Mac!F:F,""),
_xlpm.MyAuditVal,_xlfn.XLOOKUP($A390,My_Audit!$A:$A,My_Audit!E:E,""),
_xlfn.IFS(_xlpm.MyAuditVal&lt;&gt;"",_xlpm.MyAuditVal,_xlpm.MacVal&lt;&gt;"",_xlpm.MacVal,_xlpm.CSVVal&lt;&gt;"",PROPER(_xlpm.CSVVal)
)),"")</f>
        <v/>
      </c>
      <c r="G390" s="54" t="str" cm="1">
        <f t="array" ref="G390">IFERROR(_xlfn.LET(
_xlpm.CSVVal,_xlfn.XLOOKUP($A390,CSV!$A:$A,CSV!F:F,""),
_xlpm.MacVal,_xlfn.XLOOKUP($A390,Output_Mac!$A:$A,Output_Mac!H:H,""),
_xlpm.MyAuditVal,_xlfn.XLOOKUP($A390,My_Audit!$A:$A,My_Audit!F:F,""),
_xlfn.IFS(_xlpm.MyAuditVal&lt;&gt;"",_xlpm.MyAuditVal,_xlpm.MacVal&lt;&gt;"",_xlpm.MacVal,_xlpm.CSVVal&lt;&gt;"",_xlpm.CSVVal
)),"")</f>
        <v/>
      </c>
      <c r="H390" s="54" t="str">
        <f>_xlfn.XLOOKUP(A390,Output_Mac!A:A,Output_Mac!I:I,"")</f>
        <v/>
      </c>
      <c r="I390" s="54" t="str" cm="1">
        <f t="array" ref="I390">IFERROR(_xlfn.LET(
_xlpm.CSVVal,_xlfn.XLOOKUP($A390,CSV!$A:$A,CSV!G:G,""),
_xlpm.MacVal,_xlfn.XLOOKUP($A390,Output_Mac!$A:$A,Output_Mac!J:J,""),
_xlpm.MyAuditVal,_xlfn.XLOOKUP($A390,My_Audit!$A:$A,My_Audit!H:H,""),
_xlfn.IFS(_xlpm.MyAuditVal&lt;&gt;"",UPPER(_xlpm.MyAuditVal),_xlpm.MacVal&lt;&gt;"",_xlpm.MacVal,_xlpm.CSVVal&lt;&gt;"",_xlpm.CSVVal
)),"")</f>
        <v/>
      </c>
      <c r="J390" s="54" t="str" cm="1">
        <f t="array" ref="J390">IFERROR(_xlfn.LET(
_xlpm.CSVVal,_xlfn.XLOOKUP($A390,CSV!$A:$A,CSV!I:I,""),
_xlpm.MacVal,_xlfn.XLOOKUP($A390,Output_Mac!$A:$A,Output_Mac!K:K,""),
_xlpm.MyAuditVal,_xlfn.XLOOKUP($A390,My_Audit!$A:$A,My_Audit!I:I,""),
_xlfn.IFS(_xlpm.MyAuditVal&lt;&gt;"",UPPER(_xlpm.MyAuditVal),_xlpm.MacVal&lt;&gt;"",_xlpm.MacVal,_xlpm.CSVVal&lt;&gt;"",_xlpm.CSVVal
)),"")</f>
        <v/>
      </c>
      <c r="K390" s="54" t="str" cm="1">
        <f t="array" ref="K390">IFERROR(_xlfn.LET(
_xlpm.CSVVal,_xlfn.XLOOKUP($A390,CSV!$A:$A,CSV!M:M,""),
_xlpm.MacVal,_xlfn.XLOOKUP($A390,Output_Mac!$A:$A,Output_Mac!L:L,""),
_xlpm.MyAuditVal,_xlfn.XLOOKUP($A390,My_Audit!$A:$A,My_Audit!J:J,""),
_xlfn.IFS(_xlpm.MyAuditVal&lt;&gt;"",UPPER(_xlpm.MyAuditVal),_xlpm.MacVal&lt;&gt;"",_xlpm.MacVal,_xlpm.CSVVal&lt;&gt;"",_xlpm.CSVVal
)),"")</f>
        <v/>
      </c>
      <c r="L390" s="54" t="str" cm="1">
        <f t="array" ref="L390">IFERROR(_xlfn.LET(
_xlpm.CSVVal,_xlfn.XLOOKUP($A390,CSV!$A:$A,CSV!O:O,""),
_xlpm.MacVal,_xlfn.XLOOKUP($A390,Output_Mac!$A:$A,Output_Mac!M:M,""),
_xlpm.MyAuditVal,_xlfn.XLOOKUP($A390,My_Audit!$A:$A,My_Audit!K:K,""),
_xlfn.IFS(_xlpm.MyAuditVal&lt;&gt;"",UPPER(_xlpm.MyAuditVal),_xlpm.MacVal&lt;&gt;"",_xlpm.MacVal,_xlpm.CSVVal&lt;&gt;"",_xlpm.CSVVal
)),"")</f>
        <v/>
      </c>
      <c r="M390" s="54" t="str">
        <f>_xlfn.LET(
    _xlpm.CSVVal, _xlfn.XLOOKUP($A390, CSV!$A:$A, CSV!AD:AD, ""),
    _xlpm.MacVal, _xlfn.XLOOKUP($A390, Output_Mac!$A:$A, Output_Mac!S:S, ""),
    _xlpm.MyAuditVal, _xlfn.XLOOKUP($A390, My_Audit!$A:$A, My_Audit!N:N, ""),
    _xlfn.TEXTJOIN(", ", TRUE, _xlpm.MyAuditVal, _xlpm.MacVal, _xlpm.CSVVal)
)</f>
        <v/>
      </c>
      <c r="N390" s="54" t="str" cm="1">
        <f t="array" ref="N390">IFERROR(_xlfn.LET(
_xlpm.CSVVal,_xlfn.XLOOKUP($A390,CSV!$A:$A,CSV!AF:AF,""),
_xlpm.MacVal,_xlfn.XLOOKUP($A390,Output_Mac!$A:$A,Output_Mac!U:U,""),
_xlpm.MyAuditVal,_xlfn.XLOOKUP($A390,My_Audit!$A:$A,My_Audit!O:O,""),
_xlfn.IFS(_xlpm.MyAuditVal&lt;&gt;"",UPPER(_xlpm.MyAuditVal),_xlpm.MacVal&lt;&gt;"",_xlpm.MacVal,_xlpm.CSVVal&lt;&gt;"",_xlpm.CSVVal
)),"")</f>
        <v/>
      </c>
      <c r="O390" s="54"/>
      <c r="P390" s="54"/>
      <c r="Q390" s="54"/>
      <c r="R390" s="54"/>
      <c r="S390" s="54"/>
      <c r="T390" s="54"/>
      <c r="U390" s="39"/>
    </row>
    <row r="391" spans="1:21">
      <c r="A391" s="54" t="str">
        <f>_xlfn.TEXTJOIN("",TRUE,Input!$B$2,ROW(My_Audit!A390))</f>
        <v>XX390</v>
      </c>
      <c r="B391" s="54" t="str">
        <f>_xlfn.TEXTJOIN("-",TRUE,"ITD",Input!$A$2,A391)</f>
        <v>ITD-SHRXXX-XX390</v>
      </c>
      <c r="C391" s="54" t="str" cm="1">
        <f t="array" ref="C391">IFERROR(_xlfn.LET(
_xlpm.CSVVal,_xlfn.XLOOKUP($A391,CSV!$A:$A,CSV!B:B,""),
_xlpm.MacVal,_xlfn.XLOOKUP($A391,Output_Mac!$A:$A,Output_Mac!B:B,""),
_xlpm.MyAuditVal,_xlfn.XLOOKUP($A391,My_Audit!$A:$A,My_Audit!B:B,""),
_xlfn.IFS(_xlpm.MyAuditVal&lt;&gt;"",UPPER(_xlpm.MyAuditVal),_xlpm.MacVal&lt;&gt;"",_xlpm.MacVal,_xlpm.CSVVal&lt;&gt;"",_xlpm.CSVVal
)),"")</f>
        <v/>
      </c>
      <c r="D391" s="55" t="str">
        <f>_xlfn.XLOOKUP(A391,My_Audit!A:A,My_Audit!D:D,"")&amp;""</f>
        <v/>
      </c>
      <c r="E391" s="55" t="str" cm="1">
        <f t="array" ref="E391">IFERROR(_xlfn.LET(
_xlpm.CSVVal,_xlfn.XLOOKUP($A391,CSV!$A:$A,CSV!D:D,""),
_xlpm.MacVal,_xlfn.XLOOKUP($A391,Output_Mac!$A:$A,Output_Mac!C:C,""),
_xlpm.MyAuditVal,_xlfn.XLOOKUP($A391,My_Audit!$A:$A,My_Audit!D:D,""),
_xlfn.IFS(_xlpm.MyAuditVal&lt;&gt;"",_xlpm.MyAuditVal,_xlpm.MacVal&lt;&gt;"",_xlpm.MacVal,_xlpm.CSVVal&lt;&gt;"",_xlpm.CSVVal
)),"")</f>
        <v/>
      </c>
      <c r="F391" s="54" t="str" cm="1">
        <f t="array" ref="F391">IFERROR(_xlfn.LET(
_xlpm.CSVVal,_xlfn.XLOOKUP($A391,CSV!$A:$A,CSV!E:E,""),
_xlpm.MacVal,_xlfn.XLOOKUP($A391,Output_Mac!$A:$A,Output_Mac!F:F,""),
_xlpm.MyAuditVal,_xlfn.XLOOKUP($A391,My_Audit!$A:$A,My_Audit!E:E,""),
_xlfn.IFS(_xlpm.MyAuditVal&lt;&gt;"",_xlpm.MyAuditVal,_xlpm.MacVal&lt;&gt;"",_xlpm.MacVal,_xlpm.CSVVal&lt;&gt;"",PROPER(_xlpm.CSVVal)
)),"")</f>
        <v/>
      </c>
      <c r="G391" s="54" t="str" cm="1">
        <f t="array" ref="G391">IFERROR(_xlfn.LET(
_xlpm.CSVVal,_xlfn.XLOOKUP($A391,CSV!$A:$A,CSV!F:F,""),
_xlpm.MacVal,_xlfn.XLOOKUP($A391,Output_Mac!$A:$A,Output_Mac!H:H,""),
_xlpm.MyAuditVal,_xlfn.XLOOKUP($A391,My_Audit!$A:$A,My_Audit!F:F,""),
_xlfn.IFS(_xlpm.MyAuditVal&lt;&gt;"",_xlpm.MyAuditVal,_xlpm.MacVal&lt;&gt;"",_xlpm.MacVal,_xlpm.CSVVal&lt;&gt;"",_xlpm.CSVVal
)),"")</f>
        <v/>
      </c>
      <c r="H391" s="54" t="str">
        <f>_xlfn.XLOOKUP(A391,Output_Mac!A:A,Output_Mac!I:I,"")</f>
        <v/>
      </c>
      <c r="I391" s="54" t="str" cm="1">
        <f t="array" ref="I391">IFERROR(_xlfn.LET(
_xlpm.CSVVal,_xlfn.XLOOKUP($A391,CSV!$A:$A,CSV!G:G,""),
_xlpm.MacVal,_xlfn.XLOOKUP($A391,Output_Mac!$A:$A,Output_Mac!J:J,""),
_xlpm.MyAuditVal,_xlfn.XLOOKUP($A391,My_Audit!$A:$A,My_Audit!H:H,""),
_xlfn.IFS(_xlpm.MyAuditVal&lt;&gt;"",UPPER(_xlpm.MyAuditVal),_xlpm.MacVal&lt;&gt;"",_xlpm.MacVal,_xlpm.CSVVal&lt;&gt;"",_xlpm.CSVVal
)),"")</f>
        <v/>
      </c>
      <c r="J391" s="54" t="str" cm="1">
        <f t="array" ref="J391">IFERROR(_xlfn.LET(
_xlpm.CSVVal,_xlfn.XLOOKUP($A391,CSV!$A:$A,CSV!I:I,""),
_xlpm.MacVal,_xlfn.XLOOKUP($A391,Output_Mac!$A:$A,Output_Mac!K:K,""),
_xlpm.MyAuditVal,_xlfn.XLOOKUP($A391,My_Audit!$A:$A,My_Audit!I:I,""),
_xlfn.IFS(_xlpm.MyAuditVal&lt;&gt;"",UPPER(_xlpm.MyAuditVal),_xlpm.MacVal&lt;&gt;"",_xlpm.MacVal,_xlpm.CSVVal&lt;&gt;"",_xlpm.CSVVal
)),"")</f>
        <v/>
      </c>
      <c r="K391" s="54" t="str" cm="1">
        <f t="array" ref="K391">IFERROR(_xlfn.LET(
_xlpm.CSVVal,_xlfn.XLOOKUP($A391,CSV!$A:$A,CSV!M:M,""),
_xlpm.MacVal,_xlfn.XLOOKUP($A391,Output_Mac!$A:$A,Output_Mac!L:L,""),
_xlpm.MyAuditVal,_xlfn.XLOOKUP($A391,My_Audit!$A:$A,My_Audit!J:J,""),
_xlfn.IFS(_xlpm.MyAuditVal&lt;&gt;"",UPPER(_xlpm.MyAuditVal),_xlpm.MacVal&lt;&gt;"",_xlpm.MacVal,_xlpm.CSVVal&lt;&gt;"",_xlpm.CSVVal
)),"")</f>
        <v/>
      </c>
      <c r="L391" s="54" t="str" cm="1">
        <f t="array" ref="L391">IFERROR(_xlfn.LET(
_xlpm.CSVVal,_xlfn.XLOOKUP($A391,CSV!$A:$A,CSV!O:O,""),
_xlpm.MacVal,_xlfn.XLOOKUP($A391,Output_Mac!$A:$A,Output_Mac!M:M,""),
_xlpm.MyAuditVal,_xlfn.XLOOKUP($A391,My_Audit!$A:$A,My_Audit!K:K,""),
_xlfn.IFS(_xlpm.MyAuditVal&lt;&gt;"",UPPER(_xlpm.MyAuditVal),_xlpm.MacVal&lt;&gt;"",_xlpm.MacVal,_xlpm.CSVVal&lt;&gt;"",_xlpm.CSVVal
)),"")</f>
        <v/>
      </c>
      <c r="M391" s="54" t="str">
        <f>_xlfn.LET(
    _xlpm.CSVVal, _xlfn.XLOOKUP($A391, CSV!$A:$A, CSV!AD:AD, ""),
    _xlpm.MacVal, _xlfn.XLOOKUP($A391, Output_Mac!$A:$A, Output_Mac!S:S, ""),
    _xlpm.MyAuditVal, _xlfn.XLOOKUP($A391, My_Audit!$A:$A, My_Audit!N:N, ""),
    _xlfn.TEXTJOIN(", ", TRUE, _xlpm.MyAuditVal, _xlpm.MacVal, _xlpm.CSVVal)
)</f>
        <v/>
      </c>
      <c r="N391" s="54" t="str" cm="1">
        <f t="array" ref="N391">IFERROR(_xlfn.LET(
_xlpm.CSVVal,_xlfn.XLOOKUP($A391,CSV!$A:$A,CSV!AF:AF,""),
_xlpm.MacVal,_xlfn.XLOOKUP($A391,Output_Mac!$A:$A,Output_Mac!U:U,""),
_xlpm.MyAuditVal,_xlfn.XLOOKUP($A391,My_Audit!$A:$A,My_Audit!O:O,""),
_xlfn.IFS(_xlpm.MyAuditVal&lt;&gt;"",UPPER(_xlpm.MyAuditVal),_xlpm.MacVal&lt;&gt;"",_xlpm.MacVal,_xlpm.CSVVal&lt;&gt;"",_xlpm.CSVVal
)),"")</f>
        <v/>
      </c>
      <c r="O391" s="54"/>
      <c r="P391" s="54"/>
      <c r="Q391" s="54"/>
      <c r="R391" s="54"/>
      <c r="S391" s="54"/>
      <c r="T391" s="54"/>
      <c r="U391" s="39"/>
    </row>
    <row r="392" spans="1:21">
      <c r="A392" s="54" t="str">
        <f>_xlfn.TEXTJOIN("",TRUE,Input!$B$2,ROW(My_Audit!A391))</f>
        <v>XX391</v>
      </c>
      <c r="B392" s="54" t="str">
        <f>_xlfn.TEXTJOIN("-",TRUE,"ITD",Input!$A$2,A392)</f>
        <v>ITD-SHRXXX-XX391</v>
      </c>
      <c r="C392" s="54" t="str" cm="1">
        <f t="array" ref="C392">IFERROR(_xlfn.LET(
_xlpm.CSVVal,_xlfn.XLOOKUP($A392,CSV!$A:$A,CSV!B:B,""),
_xlpm.MacVal,_xlfn.XLOOKUP($A392,Output_Mac!$A:$A,Output_Mac!B:B,""),
_xlpm.MyAuditVal,_xlfn.XLOOKUP($A392,My_Audit!$A:$A,My_Audit!B:B,""),
_xlfn.IFS(_xlpm.MyAuditVal&lt;&gt;"",UPPER(_xlpm.MyAuditVal),_xlpm.MacVal&lt;&gt;"",_xlpm.MacVal,_xlpm.CSVVal&lt;&gt;"",_xlpm.CSVVal
)),"")</f>
        <v/>
      </c>
      <c r="D392" s="55" t="str">
        <f>_xlfn.XLOOKUP(A392,My_Audit!A:A,My_Audit!D:D,"")&amp;""</f>
        <v/>
      </c>
      <c r="E392" s="55" t="str" cm="1">
        <f t="array" ref="E392">IFERROR(_xlfn.LET(
_xlpm.CSVVal,_xlfn.XLOOKUP($A392,CSV!$A:$A,CSV!D:D,""),
_xlpm.MacVal,_xlfn.XLOOKUP($A392,Output_Mac!$A:$A,Output_Mac!C:C,""),
_xlpm.MyAuditVal,_xlfn.XLOOKUP($A392,My_Audit!$A:$A,My_Audit!D:D,""),
_xlfn.IFS(_xlpm.MyAuditVal&lt;&gt;"",_xlpm.MyAuditVal,_xlpm.MacVal&lt;&gt;"",_xlpm.MacVal,_xlpm.CSVVal&lt;&gt;"",_xlpm.CSVVal
)),"")</f>
        <v/>
      </c>
      <c r="F392" s="54" t="str" cm="1">
        <f t="array" ref="F392">IFERROR(_xlfn.LET(
_xlpm.CSVVal,_xlfn.XLOOKUP($A392,CSV!$A:$A,CSV!E:E,""),
_xlpm.MacVal,_xlfn.XLOOKUP($A392,Output_Mac!$A:$A,Output_Mac!F:F,""),
_xlpm.MyAuditVal,_xlfn.XLOOKUP($A392,My_Audit!$A:$A,My_Audit!E:E,""),
_xlfn.IFS(_xlpm.MyAuditVal&lt;&gt;"",_xlpm.MyAuditVal,_xlpm.MacVal&lt;&gt;"",_xlpm.MacVal,_xlpm.CSVVal&lt;&gt;"",PROPER(_xlpm.CSVVal)
)),"")</f>
        <v/>
      </c>
      <c r="G392" s="54" t="str" cm="1">
        <f t="array" ref="G392">IFERROR(_xlfn.LET(
_xlpm.CSVVal,_xlfn.XLOOKUP($A392,CSV!$A:$A,CSV!F:F,""),
_xlpm.MacVal,_xlfn.XLOOKUP($A392,Output_Mac!$A:$A,Output_Mac!H:H,""),
_xlpm.MyAuditVal,_xlfn.XLOOKUP($A392,My_Audit!$A:$A,My_Audit!F:F,""),
_xlfn.IFS(_xlpm.MyAuditVal&lt;&gt;"",_xlpm.MyAuditVal,_xlpm.MacVal&lt;&gt;"",_xlpm.MacVal,_xlpm.CSVVal&lt;&gt;"",_xlpm.CSVVal
)),"")</f>
        <v/>
      </c>
      <c r="H392" s="54" t="str">
        <f>_xlfn.XLOOKUP(A392,Output_Mac!A:A,Output_Mac!I:I,"")</f>
        <v/>
      </c>
      <c r="I392" s="54" t="str" cm="1">
        <f t="array" ref="I392">IFERROR(_xlfn.LET(
_xlpm.CSVVal,_xlfn.XLOOKUP($A392,CSV!$A:$A,CSV!G:G,""),
_xlpm.MacVal,_xlfn.XLOOKUP($A392,Output_Mac!$A:$A,Output_Mac!J:J,""),
_xlpm.MyAuditVal,_xlfn.XLOOKUP($A392,My_Audit!$A:$A,My_Audit!H:H,""),
_xlfn.IFS(_xlpm.MyAuditVal&lt;&gt;"",UPPER(_xlpm.MyAuditVal),_xlpm.MacVal&lt;&gt;"",_xlpm.MacVal,_xlpm.CSVVal&lt;&gt;"",_xlpm.CSVVal
)),"")</f>
        <v/>
      </c>
      <c r="J392" s="54" t="str" cm="1">
        <f t="array" ref="J392">IFERROR(_xlfn.LET(
_xlpm.CSVVal,_xlfn.XLOOKUP($A392,CSV!$A:$A,CSV!I:I,""),
_xlpm.MacVal,_xlfn.XLOOKUP($A392,Output_Mac!$A:$A,Output_Mac!K:K,""),
_xlpm.MyAuditVal,_xlfn.XLOOKUP($A392,My_Audit!$A:$A,My_Audit!I:I,""),
_xlfn.IFS(_xlpm.MyAuditVal&lt;&gt;"",UPPER(_xlpm.MyAuditVal),_xlpm.MacVal&lt;&gt;"",_xlpm.MacVal,_xlpm.CSVVal&lt;&gt;"",_xlpm.CSVVal
)),"")</f>
        <v/>
      </c>
      <c r="K392" s="54" t="str" cm="1">
        <f t="array" ref="K392">IFERROR(_xlfn.LET(
_xlpm.CSVVal,_xlfn.XLOOKUP($A392,CSV!$A:$A,CSV!M:M,""),
_xlpm.MacVal,_xlfn.XLOOKUP($A392,Output_Mac!$A:$A,Output_Mac!L:L,""),
_xlpm.MyAuditVal,_xlfn.XLOOKUP($A392,My_Audit!$A:$A,My_Audit!J:J,""),
_xlfn.IFS(_xlpm.MyAuditVal&lt;&gt;"",UPPER(_xlpm.MyAuditVal),_xlpm.MacVal&lt;&gt;"",_xlpm.MacVal,_xlpm.CSVVal&lt;&gt;"",_xlpm.CSVVal
)),"")</f>
        <v/>
      </c>
      <c r="L392" s="54" t="str" cm="1">
        <f t="array" ref="L392">IFERROR(_xlfn.LET(
_xlpm.CSVVal,_xlfn.XLOOKUP($A392,CSV!$A:$A,CSV!O:O,""),
_xlpm.MacVal,_xlfn.XLOOKUP($A392,Output_Mac!$A:$A,Output_Mac!M:M,""),
_xlpm.MyAuditVal,_xlfn.XLOOKUP($A392,My_Audit!$A:$A,My_Audit!K:K,""),
_xlfn.IFS(_xlpm.MyAuditVal&lt;&gt;"",UPPER(_xlpm.MyAuditVal),_xlpm.MacVal&lt;&gt;"",_xlpm.MacVal,_xlpm.CSVVal&lt;&gt;"",_xlpm.CSVVal
)),"")</f>
        <v/>
      </c>
      <c r="M392" s="54" t="str">
        <f>_xlfn.LET(
    _xlpm.CSVVal, _xlfn.XLOOKUP($A392, CSV!$A:$A, CSV!AD:AD, ""),
    _xlpm.MacVal, _xlfn.XLOOKUP($A392, Output_Mac!$A:$A, Output_Mac!S:S, ""),
    _xlpm.MyAuditVal, _xlfn.XLOOKUP($A392, My_Audit!$A:$A, My_Audit!N:N, ""),
    _xlfn.TEXTJOIN(", ", TRUE, _xlpm.MyAuditVal, _xlpm.MacVal, _xlpm.CSVVal)
)</f>
        <v/>
      </c>
      <c r="N392" s="54" t="str" cm="1">
        <f t="array" ref="N392">IFERROR(_xlfn.LET(
_xlpm.CSVVal,_xlfn.XLOOKUP($A392,CSV!$A:$A,CSV!AF:AF,""),
_xlpm.MacVal,_xlfn.XLOOKUP($A392,Output_Mac!$A:$A,Output_Mac!U:U,""),
_xlpm.MyAuditVal,_xlfn.XLOOKUP($A392,My_Audit!$A:$A,My_Audit!O:O,""),
_xlfn.IFS(_xlpm.MyAuditVal&lt;&gt;"",UPPER(_xlpm.MyAuditVal),_xlpm.MacVal&lt;&gt;"",_xlpm.MacVal,_xlpm.CSVVal&lt;&gt;"",_xlpm.CSVVal
)),"")</f>
        <v/>
      </c>
      <c r="O392" s="54"/>
      <c r="P392" s="54"/>
      <c r="Q392" s="54"/>
      <c r="R392" s="54"/>
      <c r="S392" s="54"/>
      <c r="T392" s="54"/>
      <c r="U392" s="39"/>
    </row>
    <row r="393" spans="1:21">
      <c r="A393" s="54" t="str">
        <f>_xlfn.TEXTJOIN("",TRUE,Input!$B$2,ROW(My_Audit!A392))</f>
        <v>XX392</v>
      </c>
      <c r="B393" s="54" t="str">
        <f>_xlfn.TEXTJOIN("-",TRUE,"ITD",Input!$A$2,A393)</f>
        <v>ITD-SHRXXX-XX392</v>
      </c>
      <c r="C393" s="54" t="str" cm="1">
        <f t="array" ref="C393">IFERROR(_xlfn.LET(
_xlpm.CSVVal,_xlfn.XLOOKUP($A393,CSV!$A:$A,CSV!B:B,""),
_xlpm.MacVal,_xlfn.XLOOKUP($A393,Output_Mac!$A:$A,Output_Mac!B:B,""),
_xlpm.MyAuditVal,_xlfn.XLOOKUP($A393,My_Audit!$A:$A,My_Audit!B:B,""),
_xlfn.IFS(_xlpm.MyAuditVal&lt;&gt;"",UPPER(_xlpm.MyAuditVal),_xlpm.MacVal&lt;&gt;"",_xlpm.MacVal,_xlpm.CSVVal&lt;&gt;"",_xlpm.CSVVal
)),"")</f>
        <v/>
      </c>
      <c r="D393" s="55" t="str">
        <f>_xlfn.XLOOKUP(A393,My_Audit!A:A,My_Audit!D:D,"")&amp;""</f>
        <v/>
      </c>
      <c r="E393" s="55" t="str" cm="1">
        <f t="array" ref="E393">IFERROR(_xlfn.LET(
_xlpm.CSVVal,_xlfn.XLOOKUP($A393,CSV!$A:$A,CSV!D:D,""),
_xlpm.MacVal,_xlfn.XLOOKUP($A393,Output_Mac!$A:$A,Output_Mac!C:C,""),
_xlpm.MyAuditVal,_xlfn.XLOOKUP($A393,My_Audit!$A:$A,My_Audit!D:D,""),
_xlfn.IFS(_xlpm.MyAuditVal&lt;&gt;"",_xlpm.MyAuditVal,_xlpm.MacVal&lt;&gt;"",_xlpm.MacVal,_xlpm.CSVVal&lt;&gt;"",_xlpm.CSVVal
)),"")</f>
        <v/>
      </c>
      <c r="F393" s="54" t="str" cm="1">
        <f t="array" ref="F393">IFERROR(_xlfn.LET(
_xlpm.CSVVal,_xlfn.XLOOKUP($A393,CSV!$A:$A,CSV!E:E,""),
_xlpm.MacVal,_xlfn.XLOOKUP($A393,Output_Mac!$A:$A,Output_Mac!F:F,""),
_xlpm.MyAuditVal,_xlfn.XLOOKUP($A393,My_Audit!$A:$A,My_Audit!E:E,""),
_xlfn.IFS(_xlpm.MyAuditVal&lt;&gt;"",_xlpm.MyAuditVal,_xlpm.MacVal&lt;&gt;"",_xlpm.MacVal,_xlpm.CSVVal&lt;&gt;"",PROPER(_xlpm.CSVVal)
)),"")</f>
        <v/>
      </c>
      <c r="G393" s="54" t="str" cm="1">
        <f t="array" ref="G393">IFERROR(_xlfn.LET(
_xlpm.CSVVal,_xlfn.XLOOKUP($A393,CSV!$A:$A,CSV!F:F,""),
_xlpm.MacVal,_xlfn.XLOOKUP($A393,Output_Mac!$A:$A,Output_Mac!H:H,""),
_xlpm.MyAuditVal,_xlfn.XLOOKUP($A393,My_Audit!$A:$A,My_Audit!F:F,""),
_xlfn.IFS(_xlpm.MyAuditVal&lt;&gt;"",_xlpm.MyAuditVal,_xlpm.MacVal&lt;&gt;"",_xlpm.MacVal,_xlpm.CSVVal&lt;&gt;"",_xlpm.CSVVal
)),"")</f>
        <v/>
      </c>
      <c r="H393" s="54" t="str">
        <f>_xlfn.XLOOKUP(A393,Output_Mac!A:A,Output_Mac!I:I,"")</f>
        <v/>
      </c>
      <c r="I393" s="54" t="str" cm="1">
        <f t="array" ref="I393">IFERROR(_xlfn.LET(
_xlpm.CSVVal,_xlfn.XLOOKUP($A393,CSV!$A:$A,CSV!G:G,""),
_xlpm.MacVal,_xlfn.XLOOKUP($A393,Output_Mac!$A:$A,Output_Mac!J:J,""),
_xlpm.MyAuditVal,_xlfn.XLOOKUP($A393,My_Audit!$A:$A,My_Audit!H:H,""),
_xlfn.IFS(_xlpm.MyAuditVal&lt;&gt;"",UPPER(_xlpm.MyAuditVal),_xlpm.MacVal&lt;&gt;"",_xlpm.MacVal,_xlpm.CSVVal&lt;&gt;"",_xlpm.CSVVal
)),"")</f>
        <v/>
      </c>
      <c r="J393" s="54" t="str" cm="1">
        <f t="array" ref="J393">IFERROR(_xlfn.LET(
_xlpm.CSVVal,_xlfn.XLOOKUP($A393,CSV!$A:$A,CSV!I:I,""),
_xlpm.MacVal,_xlfn.XLOOKUP($A393,Output_Mac!$A:$A,Output_Mac!K:K,""),
_xlpm.MyAuditVal,_xlfn.XLOOKUP($A393,My_Audit!$A:$A,My_Audit!I:I,""),
_xlfn.IFS(_xlpm.MyAuditVal&lt;&gt;"",UPPER(_xlpm.MyAuditVal),_xlpm.MacVal&lt;&gt;"",_xlpm.MacVal,_xlpm.CSVVal&lt;&gt;"",_xlpm.CSVVal
)),"")</f>
        <v/>
      </c>
      <c r="K393" s="54" t="str" cm="1">
        <f t="array" ref="K393">IFERROR(_xlfn.LET(
_xlpm.CSVVal,_xlfn.XLOOKUP($A393,CSV!$A:$A,CSV!M:M,""),
_xlpm.MacVal,_xlfn.XLOOKUP($A393,Output_Mac!$A:$A,Output_Mac!L:L,""),
_xlpm.MyAuditVal,_xlfn.XLOOKUP($A393,My_Audit!$A:$A,My_Audit!J:J,""),
_xlfn.IFS(_xlpm.MyAuditVal&lt;&gt;"",UPPER(_xlpm.MyAuditVal),_xlpm.MacVal&lt;&gt;"",_xlpm.MacVal,_xlpm.CSVVal&lt;&gt;"",_xlpm.CSVVal
)),"")</f>
        <v/>
      </c>
      <c r="L393" s="54" t="str" cm="1">
        <f t="array" ref="L393">IFERROR(_xlfn.LET(
_xlpm.CSVVal,_xlfn.XLOOKUP($A393,CSV!$A:$A,CSV!O:O,""),
_xlpm.MacVal,_xlfn.XLOOKUP($A393,Output_Mac!$A:$A,Output_Mac!M:M,""),
_xlpm.MyAuditVal,_xlfn.XLOOKUP($A393,My_Audit!$A:$A,My_Audit!K:K,""),
_xlfn.IFS(_xlpm.MyAuditVal&lt;&gt;"",UPPER(_xlpm.MyAuditVal),_xlpm.MacVal&lt;&gt;"",_xlpm.MacVal,_xlpm.CSVVal&lt;&gt;"",_xlpm.CSVVal
)),"")</f>
        <v/>
      </c>
      <c r="M393" s="54" t="str">
        <f>_xlfn.LET(
    _xlpm.CSVVal, _xlfn.XLOOKUP($A393, CSV!$A:$A, CSV!AD:AD, ""),
    _xlpm.MacVal, _xlfn.XLOOKUP($A393, Output_Mac!$A:$A, Output_Mac!S:S, ""),
    _xlpm.MyAuditVal, _xlfn.XLOOKUP($A393, My_Audit!$A:$A, My_Audit!N:N, ""),
    _xlfn.TEXTJOIN(", ", TRUE, _xlpm.MyAuditVal, _xlpm.MacVal, _xlpm.CSVVal)
)</f>
        <v/>
      </c>
      <c r="N393" s="54" t="str" cm="1">
        <f t="array" ref="N393">IFERROR(_xlfn.LET(
_xlpm.CSVVal,_xlfn.XLOOKUP($A393,CSV!$A:$A,CSV!AF:AF,""),
_xlpm.MacVal,_xlfn.XLOOKUP($A393,Output_Mac!$A:$A,Output_Mac!U:U,""),
_xlpm.MyAuditVal,_xlfn.XLOOKUP($A393,My_Audit!$A:$A,My_Audit!O:O,""),
_xlfn.IFS(_xlpm.MyAuditVal&lt;&gt;"",UPPER(_xlpm.MyAuditVal),_xlpm.MacVal&lt;&gt;"",_xlpm.MacVal,_xlpm.CSVVal&lt;&gt;"",_xlpm.CSVVal
)),"")</f>
        <v/>
      </c>
      <c r="O393" s="54"/>
      <c r="P393" s="54"/>
      <c r="Q393" s="54"/>
      <c r="R393" s="54"/>
      <c r="S393" s="54"/>
      <c r="T393" s="54"/>
      <c r="U393" s="39"/>
    </row>
    <row r="394" spans="1:21">
      <c r="A394" s="54" t="str">
        <f>_xlfn.TEXTJOIN("",TRUE,Input!$B$2,ROW(My_Audit!A393))</f>
        <v>XX393</v>
      </c>
      <c r="B394" s="54" t="str">
        <f>_xlfn.TEXTJOIN("-",TRUE,"ITD",Input!$A$2,A394)</f>
        <v>ITD-SHRXXX-XX393</v>
      </c>
      <c r="C394" s="54" t="str" cm="1">
        <f t="array" ref="C394">IFERROR(_xlfn.LET(
_xlpm.CSVVal,_xlfn.XLOOKUP($A394,CSV!$A:$A,CSV!B:B,""),
_xlpm.MacVal,_xlfn.XLOOKUP($A394,Output_Mac!$A:$A,Output_Mac!B:B,""),
_xlpm.MyAuditVal,_xlfn.XLOOKUP($A394,My_Audit!$A:$A,My_Audit!B:B,""),
_xlfn.IFS(_xlpm.MyAuditVal&lt;&gt;"",UPPER(_xlpm.MyAuditVal),_xlpm.MacVal&lt;&gt;"",_xlpm.MacVal,_xlpm.CSVVal&lt;&gt;"",_xlpm.CSVVal
)),"")</f>
        <v/>
      </c>
      <c r="D394" s="55" t="str">
        <f>_xlfn.XLOOKUP(A394,My_Audit!A:A,My_Audit!D:D,"")&amp;""</f>
        <v/>
      </c>
      <c r="E394" s="55" t="str" cm="1">
        <f t="array" ref="E394">IFERROR(_xlfn.LET(
_xlpm.CSVVal,_xlfn.XLOOKUP($A394,CSV!$A:$A,CSV!D:D,""),
_xlpm.MacVal,_xlfn.XLOOKUP($A394,Output_Mac!$A:$A,Output_Mac!C:C,""),
_xlpm.MyAuditVal,_xlfn.XLOOKUP($A394,My_Audit!$A:$A,My_Audit!D:D,""),
_xlfn.IFS(_xlpm.MyAuditVal&lt;&gt;"",_xlpm.MyAuditVal,_xlpm.MacVal&lt;&gt;"",_xlpm.MacVal,_xlpm.CSVVal&lt;&gt;"",_xlpm.CSVVal
)),"")</f>
        <v/>
      </c>
      <c r="F394" s="54" t="str" cm="1">
        <f t="array" ref="F394">IFERROR(_xlfn.LET(
_xlpm.CSVVal,_xlfn.XLOOKUP($A394,CSV!$A:$A,CSV!E:E,""),
_xlpm.MacVal,_xlfn.XLOOKUP($A394,Output_Mac!$A:$A,Output_Mac!F:F,""),
_xlpm.MyAuditVal,_xlfn.XLOOKUP($A394,My_Audit!$A:$A,My_Audit!E:E,""),
_xlfn.IFS(_xlpm.MyAuditVal&lt;&gt;"",_xlpm.MyAuditVal,_xlpm.MacVal&lt;&gt;"",_xlpm.MacVal,_xlpm.CSVVal&lt;&gt;"",PROPER(_xlpm.CSVVal)
)),"")</f>
        <v/>
      </c>
      <c r="G394" s="54" t="str" cm="1">
        <f t="array" ref="G394">IFERROR(_xlfn.LET(
_xlpm.CSVVal,_xlfn.XLOOKUP($A394,CSV!$A:$A,CSV!F:F,""),
_xlpm.MacVal,_xlfn.XLOOKUP($A394,Output_Mac!$A:$A,Output_Mac!H:H,""),
_xlpm.MyAuditVal,_xlfn.XLOOKUP($A394,My_Audit!$A:$A,My_Audit!F:F,""),
_xlfn.IFS(_xlpm.MyAuditVal&lt;&gt;"",_xlpm.MyAuditVal,_xlpm.MacVal&lt;&gt;"",_xlpm.MacVal,_xlpm.CSVVal&lt;&gt;"",_xlpm.CSVVal
)),"")</f>
        <v/>
      </c>
      <c r="H394" s="54" t="str">
        <f>_xlfn.XLOOKUP(A394,Output_Mac!A:A,Output_Mac!I:I,"")</f>
        <v/>
      </c>
      <c r="I394" s="54" t="str" cm="1">
        <f t="array" ref="I394">IFERROR(_xlfn.LET(
_xlpm.CSVVal,_xlfn.XLOOKUP($A394,CSV!$A:$A,CSV!G:G,""),
_xlpm.MacVal,_xlfn.XLOOKUP($A394,Output_Mac!$A:$A,Output_Mac!J:J,""),
_xlpm.MyAuditVal,_xlfn.XLOOKUP($A394,My_Audit!$A:$A,My_Audit!H:H,""),
_xlfn.IFS(_xlpm.MyAuditVal&lt;&gt;"",UPPER(_xlpm.MyAuditVal),_xlpm.MacVal&lt;&gt;"",_xlpm.MacVal,_xlpm.CSVVal&lt;&gt;"",_xlpm.CSVVal
)),"")</f>
        <v/>
      </c>
      <c r="J394" s="54" t="str" cm="1">
        <f t="array" ref="J394">IFERROR(_xlfn.LET(
_xlpm.CSVVal,_xlfn.XLOOKUP($A394,CSV!$A:$A,CSV!I:I,""),
_xlpm.MacVal,_xlfn.XLOOKUP($A394,Output_Mac!$A:$A,Output_Mac!K:K,""),
_xlpm.MyAuditVal,_xlfn.XLOOKUP($A394,My_Audit!$A:$A,My_Audit!I:I,""),
_xlfn.IFS(_xlpm.MyAuditVal&lt;&gt;"",UPPER(_xlpm.MyAuditVal),_xlpm.MacVal&lt;&gt;"",_xlpm.MacVal,_xlpm.CSVVal&lt;&gt;"",_xlpm.CSVVal
)),"")</f>
        <v/>
      </c>
      <c r="K394" s="54" t="str" cm="1">
        <f t="array" ref="K394">IFERROR(_xlfn.LET(
_xlpm.CSVVal,_xlfn.XLOOKUP($A394,CSV!$A:$A,CSV!M:M,""),
_xlpm.MacVal,_xlfn.XLOOKUP($A394,Output_Mac!$A:$A,Output_Mac!L:L,""),
_xlpm.MyAuditVal,_xlfn.XLOOKUP($A394,My_Audit!$A:$A,My_Audit!J:J,""),
_xlfn.IFS(_xlpm.MyAuditVal&lt;&gt;"",UPPER(_xlpm.MyAuditVal),_xlpm.MacVal&lt;&gt;"",_xlpm.MacVal,_xlpm.CSVVal&lt;&gt;"",_xlpm.CSVVal
)),"")</f>
        <v/>
      </c>
      <c r="L394" s="54" t="str" cm="1">
        <f t="array" ref="L394">IFERROR(_xlfn.LET(
_xlpm.CSVVal,_xlfn.XLOOKUP($A394,CSV!$A:$A,CSV!O:O,""),
_xlpm.MacVal,_xlfn.XLOOKUP($A394,Output_Mac!$A:$A,Output_Mac!M:M,""),
_xlpm.MyAuditVal,_xlfn.XLOOKUP($A394,My_Audit!$A:$A,My_Audit!K:K,""),
_xlfn.IFS(_xlpm.MyAuditVal&lt;&gt;"",UPPER(_xlpm.MyAuditVal),_xlpm.MacVal&lt;&gt;"",_xlpm.MacVal,_xlpm.CSVVal&lt;&gt;"",_xlpm.CSVVal
)),"")</f>
        <v/>
      </c>
      <c r="M394" s="54" t="str">
        <f>_xlfn.LET(
    _xlpm.CSVVal, _xlfn.XLOOKUP($A394, CSV!$A:$A, CSV!AD:AD, ""),
    _xlpm.MacVal, _xlfn.XLOOKUP($A394, Output_Mac!$A:$A, Output_Mac!S:S, ""),
    _xlpm.MyAuditVal, _xlfn.XLOOKUP($A394, My_Audit!$A:$A, My_Audit!N:N, ""),
    _xlfn.TEXTJOIN(", ", TRUE, _xlpm.MyAuditVal, _xlpm.MacVal, _xlpm.CSVVal)
)</f>
        <v/>
      </c>
      <c r="N394" s="54" t="str" cm="1">
        <f t="array" ref="N394">IFERROR(_xlfn.LET(
_xlpm.CSVVal,_xlfn.XLOOKUP($A394,CSV!$A:$A,CSV!AF:AF,""),
_xlpm.MacVal,_xlfn.XLOOKUP($A394,Output_Mac!$A:$A,Output_Mac!U:U,""),
_xlpm.MyAuditVal,_xlfn.XLOOKUP($A394,My_Audit!$A:$A,My_Audit!O:O,""),
_xlfn.IFS(_xlpm.MyAuditVal&lt;&gt;"",UPPER(_xlpm.MyAuditVal),_xlpm.MacVal&lt;&gt;"",_xlpm.MacVal,_xlpm.CSVVal&lt;&gt;"",_xlpm.CSVVal
)),"")</f>
        <v/>
      </c>
      <c r="O394" s="54"/>
      <c r="P394" s="54"/>
      <c r="Q394" s="54"/>
      <c r="R394" s="54"/>
      <c r="S394" s="54"/>
      <c r="T394" s="54"/>
      <c r="U394" s="39"/>
    </row>
    <row r="395" spans="1:21">
      <c r="A395" s="54" t="str">
        <f>_xlfn.TEXTJOIN("",TRUE,Input!$B$2,ROW(My_Audit!A394))</f>
        <v>XX394</v>
      </c>
      <c r="B395" s="54" t="str">
        <f>_xlfn.TEXTJOIN("-",TRUE,"ITD",Input!$A$2,A395)</f>
        <v>ITD-SHRXXX-XX394</v>
      </c>
      <c r="C395" s="54" t="str" cm="1">
        <f t="array" ref="C395">IFERROR(_xlfn.LET(
_xlpm.CSVVal,_xlfn.XLOOKUP($A395,CSV!$A:$A,CSV!B:B,""),
_xlpm.MacVal,_xlfn.XLOOKUP($A395,Output_Mac!$A:$A,Output_Mac!B:B,""),
_xlpm.MyAuditVal,_xlfn.XLOOKUP($A395,My_Audit!$A:$A,My_Audit!B:B,""),
_xlfn.IFS(_xlpm.MyAuditVal&lt;&gt;"",UPPER(_xlpm.MyAuditVal),_xlpm.MacVal&lt;&gt;"",_xlpm.MacVal,_xlpm.CSVVal&lt;&gt;"",_xlpm.CSVVal
)),"")</f>
        <v/>
      </c>
      <c r="D395" s="55" t="str">
        <f>_xlfn.XLOOKUP(A395,My_Audit!A:A,My_Audit!D:D,"")&amp;""</f>
        <v/>
      </c>
      <c r="E395" s="55" t="str" cm="1">
        <f t="array" ref="E395">IFERROR(_xlfn.LET(
_xlpm.CSVVal,_xlfn.XLOOKUP($A395,CSV!$A:$A,CSV!D:D,""),
_xlpm.MacVal,_xlfn.XLOOKUP($A395,Output_Mac!$A:$A,Output_Mac!C:C,""),
_xlpm.MyAuditVal,_xlfn.XLOOKUP($A395,My_Audit!$A:$A,My_Audit!D:D,""),
_xlfn.IFS(_xlpm.MyAuditVal&lt;&gt;"",_xlpm.MyAuditVal,_xlpm.MacVal&lt;&gt;"",_xlpm.MacVal,_xlpm.CSVVal&lt;&gt;"",_xlpm.CSVVal
)),"")</f>
        <v/>
      </c>
      <c r="F395" s="54" t="str" cm="1">
        <f t="array" ref="F395">IFERROR(_xlfn.LET(
_xlpm.CSVVal,_xlfn.XLOOKUP($A395,CSV!$A:$A,CSV!E:E,""),
_xlpm.MacVal,_xlfn.XLOOKUP($A395,Output_Mac!$A:$A,Output_Mac!F:F,""),
_xlpm.MyAuditVal,_xlfn.XLOOKUP($A395,My_Audit!$A:$A,My_Audit!E:E,""),
_xlfn.IFS(_xlpm.MyAuditVal&lt;&gt;"",_xlpm.MyAuditVal,_xlpm.MacVal&lt;&gt;"",_xlpm.MacVal,_xlpm.CSVVal&lt;&gt;"",PROPER(_xlpm.CSVVal)
)),"")</f>
        <v/>
      </c>
      <c r="G395" s="54" t="str" cm="1">
        <f t="array" ref="G395">IFERROR(_xlfn.LET(
_xlpm.CSVVal,_xlfn.XLOOKUP($A395,CSV!$A:$A,CSV!F:F,""),
_xlpm.MacVal,_xlfn.XLOOKUP($A395,Output_Mac!$A:$A,Output_Mac!H:H,""),
_xlpm.MyAuditVal,_xlfn.XLOOKUP($A395,My_Audit!$A:$A,My_Audit!F:F,""),
_xlfn.IFS(_xlpm.MyAuditVal&lt;&gt;"",_xlpm.MyAuditVal,_xlpm.MacVal&lt;&gt;"",_xlpm.MacVal,_xlpm.CSVVal&lt;&gt;"",_xlpm.CSVVal
)),"")</f>
        <v/>
      </c>
      <c r="H395" s="54" t="str">
        <f>_xlfn.XLOOKUP(A395,Output_Mac!A:A,Output_Mac!I:I,"")</f>
        <v/>
      </c>
      <c r="I395" s="54" t="str" cm="1">
        <f t="array" ref="I395">IFERROR(_xlfn.LET(
_xlpm.CSVVal,_xlfn.XLOOKUP($A395,CSV!$A:$A,CSV!G:G,""),
_xlpm.MacVal,_xlfn.XLOOKUP($A395,Output_Mac!$A:$A,Output_Mac!J:J,""),
_xlpm.MyAuditVal,_xlfn.XLOOKUP($A395,My_Audit!$A:$A,My_Audit!H:H,""),
_xlfn.IFS(_xlpm.MyAuditVal&lt;&gt;"",UPPER(_xlpm.MyAuditVal),_xlpm.MacVal&lt;&gt;"",_xlpm.MacVal,_xlpm.CSVVal&lt;&gt;"",_xlpm.CSVVal
)),"")</f>
        <v/>
      </c>
      <c r="J395" s="54" t="str" cm="1">
        <f t="array" ref="J395">IFERROR(_xlfn.LET(
_xlpm.CSVVal,_xlfn.XLOOKUP($A395,CSV!$A:$A,CSV!I:I,""),
_xlpm.MacVal,_xlfn.XLOOKUP($A395,Output_Mac!$A:$A,Output_Mac!K:K,""),
_xlpm.MyAuditVal,_xlfn.XLOOKUP($A395,My_Audit!$A:$A,My_Audit!I:I,""),
_xlfn.IFS(_xlpm.MyAuditVal&lt;&gt;"",UPPER(_xlpm.MyAuditVal),_xlpm.MacVal&lt;&gt;"",_xlpm.MacVal,_xlpm.CSVVal&lt;&gt;"",_xlpm.CSVVal
)),"")</f>
        <v/>
      </c>
      <c r="K395" s="54" t="str" cm="1">
        <f t="array" ref="K395">IFERROR(_xlfn.LET(
_xlpm.CSVVal,_xlfn.XLOOKUP($A395,CSV!$A:$A,CSV!M:M,""),
_xlpm.MacVal,_xlfn.XLOOKUP($A395,Output_Mac!$A:$A,Output_Mac!L:L,""),
_xlpm.MyAuditVal,_xlfn.XLOOKUP($A395,My_Audit!$A:$A,My_Audit!J:J,""),
_xlfn.IFS(_xlpm.MyAuditVal&lt;&gt;"",UPPER(_xlpm.MyAuditVal),_xlpm.MacVal&lt;&gt;"",_xlpm.MacVal,_xlpm.CSVVal&lt;&gt;"",_xlpm.CSVVal
)),"")</f>
        <v/>
      </c>
      <c r="L395" s="54" t="str" cm="1">
        <f t="array" ref="L395">IFERROR(_xlfn.LET(
_xlpm.CSVVal,_xlfn.XLOOKUP($A395,CSV!$A:$A,CSV!O:O,""),
_xlpm.MacVal,_xlfn.XLOOKUP($A395,Output_Mac!$A:$A,Output_Mac!M:M,""),
_xlpm.MyAuditVal,_xlfn.XLOOKUP($A395,My_Audit!$A:$A,My_Audit!K:K,""),
_xlfn.IFS(_xlpm.MyAuditVal&lt;&gt;"",UPPER(_xlpm.MyAuditVal),_xlpm.MacVal&lt;&gt;"",_xlpm.MacVal,_xlpm.CSVVal&lt;&gt;"",_xlpm.CSVVal
)),"")</f>
        <v/>
      </c>
      <c r="M395" s="54" t="str">
        <f>_xlfn.LET(
    _xlpm.CSVVal, _xlfn.XLOOKUP($A395, CSV!$A:$A, CSV!AD:AD, ""),
    _xlpm.MacVal, _xlfn.XLOOKUP($A395, Output_Mac!$A:$A, Output_Mac!S:S, ""),
    _xlpm.MyAuditVal, _xlfn.XLOOKUP($A395, My_Audit!$A:$A, My_Audit!N:N, ""),
    _xlfn.TEXTJOIN(", ", TRUE, _xlpm.MyAuditVal, _xlpm.MacVal, _xlpm.CSVVal)
)</f>
        <v/>
      </c>
      <c r="N395" s="54" t="str" cm="1">
        <f t="array" ref="N395">IFERROR(_xlfn.LET(
_xlpm.CSVVal,_xlfn.XLOOKUP($A395,CSV!$A:$A,CSV!AF:AF,""),
_xlpm.MacVal,_xlfn.XLOOKUP($A395,Output_Mac!$A:$A,Output_Mac!U:U,""),
_xlpm.MyAuditVal,_xlfn.XLOOKUP($A395,My_Audit!$A:$A,My_Audit!O:O,""),
_xlfn.IFS(_xlpm.MyAuditVal&lt;&gt;"",UPPER(_xlpm.MyAuditVal),_xlpm.MacVal&lt;&gt;"",_xlpm.MacVal,_xlpm.CSVVal&lt;&gt;"",_xlpm.CSVVal
)),"")</f>
        <v/>
      </c>
      <c r="O395" s="54"/>
      <c r="P395" s="54"/>
      <c r="Q395" s="54"/>
      <c r="R395" s="54"/>
      <c r="S395" s="54"/>
      <c r="T395" s="54"/>
      <c r="U395" s="39"/>
    </row>
    <row r="396" spans="1:21">
      <c r="A396" s="54" t="str">
        <f>_xlfn.TEXTJOIN("",TRUE,Input!$B$2,ROW(My_Audit!A395))</f>
        <v>XX395</v>
      </c>
      <c r="B396" s="54" t="str">
        <f>_xlfn.TEXTJOIN("-",TRUE,"ITD",Input!$A$2,A396)</f>
        <v>ITD-SHRXXX-XX395</v>
      </c>
      <c r="C396" s="54" t="str" cm="1">
        <f t="array" ref="C396">IFERROR(_xlfn.LET(
_xlpm.CSVVal,_xlfn.XLOOKUP($A396,CSV!$A:$A,CSV!B:B,""),
_xlpm.MacVal,_xlfn.XLOOKUP($A396,Output_Mac!$A:$A,Output_Mac!B:B,""),
_xlpm.MyAuditVal,_xlfn.XLOOKUP($A396,My_Audit!$A:$A,My_Audit!B:B,""),
_xlfn.IFS(_xlpm.MyAuditVal&lt;&gt;"",UPPER(_xlpm.MyAuditVal),_xlpm.MacVal&lt;&gt;"",_xlpm.MacVal,_xlpm.CSVVal&lt;&gt;"",_xlpm.CSVVal
)),"")</f>
        <v/>
      </c>
      <c r="D396" s="55" t="str">
        <f>_xlfn.XLOOKUP(A396,My_Audit!A:A,My_Audit!D:D,"")&amp;""</f>
        <v/>
      </c>
      <c r="E396" s="55" t="str" cm="1">
        <f t="array" ref="E396">IFERROR(_xlfn.LET(
_xlpm.CSVVal,_xlfn.XLOOKUP($A396,CSV!$A:$A,CSV!D:D,""),
_xlpm.MacVal,_xlfn.XLOOKUP($A396,Output_Mac!$A:$A,Output_Mac!C:C,""),
_xlpm.MyAuditVal,_xlfn.XLOOKUP($A396,My_Audit!$A:$A,My_Audit!D:D,""),
_xlfn.IFS(_xlpm.MyAuditVal&lt;&gt;"",_xlpm.MyAuditVal,_xlpm.MacVal&lt;&gt;"",_xlpm.MacVal,_xlpm.CSVVal&lt;&gt;"",_xlpm.CSVVal
)),"")</f>
        <v/>
      </c>
      <c r="F396" s="54" t="str" cm="1">
        <f t="array" ref="F396">IFERROR(_xlfn.LET(
_xlpm.CSVVal,_xlfn.XLOOKUP($A396,CSV!$A:$A,CSV!E:E,""),
_xlpm.MacVal,_xlfn.XLOOKUP($A396,Output_Mac!$A:$A,Output_Mac!F:F,""),
_xlpm.MyAuditVal,_xlfn.XLOOKUP($A396,My_Audit!$A:$A,My_Audit!E:E,""),
_xlfn.IFS(_xlpm.MyAuditVal&lt;&gt;"",_xlpm.MyAuditVal,_xlpm.MacVal&lt;&gt;"",_xlpm.MacVal,_xlpm.CSVVal&lt;&gt;"",PROPER(_xlpm.CSVVal)
)),"")</f>
        <v/>
      </c>
      <c r="G396" s="54" t="str" cm="1">
        <f t="array" ref="G396">IFERROR(_xlfn.LET(
_xlpm.CSVVal,_xlfn.XLOOKUP($A396,CSV!$A:$A,CSV!F:F,""),
_xlpm.MacVal,_xlfn.XLOOKUP($A396,Output_Mac!$A:$A,Output_Mac!H:H,""),
_xlpm.MyAuditVal,_xlfn.XLOOKUP($A396,My_Audit!$A:$A,My_Audit!F:F,""),
_xlfn.IFS(_xlpm.MyAuditVal&lt;&gt;"",_xlpm.MyAuditVal,_xlpm.MacVal&lt;&gt;"",_xlpm.MacVal,_xlpm.CSVVal&lt;&gt;"",_xlpm.CSVVal
)),"")</f>
        <v/>
      </c>
      <c r="H396" s="54" t="str">
        <f>_xlfn.XLOOKUP(A396,Output_Mac!A:A,Output_Mac!I:I,"")</f>
        <v/>
      </c>
      <c r="I396" s="54" t="str" cm="1">
        <f t="array" ref="I396">IFERROR(_xlfn.LET(
_xlpm.CSVVal,_xlfn.XLOOKUP($A396,CSV!$A:$A,CSV!G:G,""),
_xlpm.MacVal,_xlfn.XLOOKUP($A396,Output_Mac!$A:$A,Output_Mac!J:J,""),
_xlpm.MyAuditVal,_xlfn.XLOOKUP($A396,My_Audit!$A:$A,My_Audit!H:H,""),
_xlfn.IFS(_xlpm.MyAuditVal&lt;&gt;"",UPPER(_xlpm.MyAuditVal),_xlpm.MacVal&lt;&gt;"",_xlpm.MacVal,_xlpm.CSVVal&lt;&gt;"",_xlpm.CSVVal
)),"")</f>
        <v/>
      </c>
      <c r="J396" s="54" t="str" cm="1">
        <f t="array" ref="J396">IFERROR(_xlfn.LET(
_xlpm.CSVVal,_xlfn.XLOOKUP($A396,CSV!$A:$A,CSV!I:I,""),
_xlpm.MacVal,_xlfn.XLOOKUP($A396,Output_Mac!$A:$A,Output_Mac!K:K,""),
_xlpm.MyAuditVal,_xlfn.XLOOKUP($A396,My_Audit!$A:$A,My_Audit!I:I,""),
_xlfn.IFS(_xlpm.MyAuditVal&lt;&gt;"",UPPER(_xlpm.MyAuditVal),_xlpm.MacVal&lt;&gt;"",_xlpm.MacVal,_xlpm.CSVVal&lt;&gt;"",_xlpm.CSVVal
)),"")</f>
        <v/>
      </c>
      <c r="K396" s="54" t="str" cm="1">
        <f t="array" ref="K396">IFERROR(_xlfn.LET(
_xlpm.CSVVal,_xlfn.XLOOKUP($A396,CSV!$A:$A,CSV!M:M,""),
_xlpm.MacVal,_xlfn.XLOOKUP($A396,Output_Mac!$A:$A,Output_Mac!L:L,""),
_xlpm.MyAuditVal,_xlfn.XLOOKUP($A396,My_Audit!$A:$A,My_Audit!J:J,""),
_xlfn.IFS(_xlpm.MyAuditVal&lt;&gt;"",UPPER(_xlpm.MyAuditVal),_xlpm.MacVal&lt;&gt;"",_xlpm.MacVal,_xlpm.CSVVal&lt;&gt;"",_xlpm.CSVVal
)),"")</f>
        <v/>
      </c>
      <c r="L396" s="54" t="str" cm="1">
        <f t="array" ref="L396">IFERROR(_xlfn.LET(
_xlpm.CSVVal,_xlfn.XLOOKUP($A396,CSV!$A:$A,CSV!O:O,""),
_xlpm.MacVal,_xlfn.XLOOKUP($A396,Output_Mac!$A:$A,Output_Mac!M:M,""),
_xlpm.MyAuditVal,_xlfn.XLOOKUP($A396,My_Audit!$A:$A,My_Audit!K:K,""),
_xlfn.IFS(_xlpm.MyAuditVal&lt;&gt;"",UPPER(_xlpm.MyAuditVal),_xlpm.MacVal&lt;&gt;"",_xlpm.MacVal,_xlpm.CSVVal&lt;&gt;"",_xlpm.CSVVal
)),"")</f>
        <v/>
      </c>
      <c r="M396" s="54" t="str">
        <f>_xlfn.LET(
    _xlpm.CSVVal, _xlfn.XLOOKUP($A396, CSV!$A:$A, CSV!AD:AD, ""),
    _xlpm.MacVal, _xlfn.XLOOKUP($A396, Output_Mac!$A:$A, Output_Mac!S:S, ""),
    _xlpm.MyAuditVal, _xlfn.XLOOKUP($A396, My_Audit!$A:$A, My_Audit!N:N, ""),
    _xlfn.TEXTJOIN(", ", TRUE, _xlpm.MyAuditVal, _xlpm.MacVal, _xlpm.CSVVal)
)</f>
        <v/>
      </c>
      <c r="N396" s="54" t="str" cm="1">
        <f t="array" ref="N396">IFERROR(_xlfn.LET(
_xlpm.CSVVal,_xlfn.XLOOKUP($A396,CSV!$A:$A,CSV!AF:AF,""),
_xlpm.MacVal,_xlfn.XLOOKUP($A396,Output_Mac!$A:$A,Output_Mac!U:U,""),
_xlpm.MyAuditVal,_xlfn.XLOOKUP($A396,My_Audit!$A:$A,My_Audit!O:O,""),
_xlfn.IFS(_xlpm.MyAuditVal&lt;&gt;"",UPPER(_xlpm.MyAuditVal),_xlpm.MacVal&lt;&gt;"",_xlpm.MacVal,_xlpm.CSVVal&lt;&gt;"",_xlpm.CSVVal
)),"")</f>
        <v/>
      </c>
      <c r="O396" s="54"/>
      <c r="P396" s="54"/>
      <c r="Q396" s="54"/>
      <c r="R396" s="54"/>
      <c r="S396" s="54"/>
      <c r="T396" s="54"/>
      <c r="U396" s="39"/>
    </row>
    <row r="397" spans="1:21">
      <c r="A397" s="54" t="str">
        <f>_xlfn.TEXTJOIN("",TRUE,Input!$B$2,ROW(My_Audit!A396))</f>
        <v>XX396</v>
      </c>
      <c r="B397" s="54" t="str">
        <f>_xlfn.TEXTJOIN("-",TRUE,"ITD",Input!$A$2,A397)</f>
        <v>ITD-SHRXXX-XX396</v>
      </c>
      <c r="C397" s="54" t="str" cm="1">
        <f t="array" ref="C397">IFERROR(_xlfn.LET(
_xlpm.CSVVal,_xlfn.XLOOKUP($A397,CSV!$A:$A,CSV!B:B,""),
_xlpm.MacVal,_xlfn.XLOOKUP($A397,Output_Mac!$A:$A,Output_Mac!B:B,""),
_xlpm.MyAuditVal,_xlfn.XLOOKUP($A397,My_Audit!$A:$A,My_Audit!B:B,""),
_xlfn.IFS(_xlpm.MyAuditVal&lt;&gt;"",UPPER(_xlpm.MyAuditVal),_xlpm.MacVal&lt;&gt;"",_xlpm.MacVal,_xlpm.CSVVal&lt;&gt;"",_xlpm.CSVVal
)),"")</f>
        <v/>
      </c>
      <c r="D397" s="55" t="str">
        <f>_xlfn.XLOOKUP(A397,My_Audit!A:A,My_Audit!D:D,"")&amp;""</f>
        <v/>
      </c>
      <c r="E397" s="55" t="str" cm="1">
        <f t="array" ref="E397">IFERROR(_xlfn.LET(
_xlpm.CSVVal,_xlfn.XLOOKUP($A397,CSV!$A:$A,CSV!D:D,""),
_xlpm.MacVal,_xlfn.XLOOKUP($A397,Output_Mac!$A:$A,Output_Mac!C:C,""),
_xlpm.MyAuditVal,_xlfn.XLOOKUP($A397,My_Audit!$A:$A,My_Audit!D:D,""),
_xlfn.IFS(_xlpm.MyAuditVal&lt;&gt;"",_xlpm.MyAuditVal,_xlpm.MacVal&lt;&gt;"",_xlpm.MacVal,_xlpm.CSVVal&lt;&gt;"",_xlpm.CSVVal
)),"")</f>
        <v/>
      </c>
      <c r="F397" s="54" t="str" cm="1">
        <f t="array" ref="F397">IFERROR(_xlfn.LET(
_xlpm.CSVVal,_xlfn.XLOOKUP($A397,CSV!$A:$A,CSV!E:E,""),
_xlpm.MacVal,_xlfn.XLOOKUP($A397,Output_Mac!$A:$A,Output_Mac!F:F,""),
_xlpm.MyAuditVal,_xlfn.XLOOKUP($A397,My_Audit!$A:$A,My_Audit!E:E,""),
_xlfn.IFS(_xlpm.MyAuditVal&lt;&gt;"",_xlpm.MyAuditVal,_xlpm.MacVal&lt;&gt;"",_xlpm.MacVal,_xlpm.CSVVal&lt;&gt;"",PROPER(_xlpm.CSVVal)
)),"")</f>
        <v/>
      </c>
      <c r="G397" s="54" t="str" cm="1">
        <f t="array" ref="G397">IFERROR(_xlfn.LET(
_xlpm.CSVVal,_xlfn.XLOOKUP($A397,CSV!$A:$A,CSV!F:F,""),
_xlpm.MacVal,_xlfn.XLOOKUP($A397,Output_Mac!$A:$A,Output_Mac!H:H,""),
_xlpm.MyAuditVal,_xlfn.XLOOKUP($A397,My_Audit!$A:$A,My_Audit!F:F,""),
_xlfn.IFS(_xlpm.MyAuditVal&lt;&gt;"",_xlpm.MyAuditVal,_xlpm.MacVal&lt;&gt;"",_xlpm.MacVal,_xlpm.CSVVal&lt;&gt;"",_xlpm.CSVVal
)),"")</f>
        <v/>
      </c>
      <c r="H397" s="54" t="str">
        <f>_xlfn.XLOOKUP(A397,Output_Mac!A:A,Output_Mac!I:I,"")</f>
        <v/>
      </c>
      <c r="I397" s="54" t="str" cm="1">
        <f t="array" ref="I397">IFERROR(_xlfn.LET(
_xlpm.CSVVal,_xlfn.XLOOKUP($A397,CSV!$A:$A,CSV!G:G,""),
_xlpm.MacVal,_xlfn.XLOOKUP($A397,Output_Mac!$A:$A,Output_Mac!J:J,""),
_xlpm.MyAuditVal,_xlfn.XLOOKUP($A397,My_Audit!$A:$A,My_Audit!H:H,""),
_xlfn.IFS(_xlpm.MyAuditVal&lt;&gt;"",UPPER(_xlpm.MyAuditVal),_xlpm.MacVal&lt;&gt;"",_xlpm.MacVal,_xlpm.CSVVal&lt;&gt;"",_xlpm.CSVVal
)),"")</f>
        <v/>
      </c>
      <c r="J397" s="54" t="str" cm="1">
        <f t="array" ref="J397">IFERROR(_xlfn.LET(
_xlpm.CSVVal,_xlfn.XLOOKUP($A397,CSV!$A:$A,CSV!I:I,""),
_xlpm.MacVal,_xlfn.XLOOKUP($A397,Output_Mac!$A:$A,Output_Mac!K:K,""),
_xlpm.MyAuditVal,_xlfn.XLOOKUP($A397,My_Audit!$A:$A,My_Audit!I:I,""),
_xlfn.IFS(_xlpm.MyAuditVal&lt;&gt;"",UPPER(_xlpm.MyAuditVal),_xlpm.MacVal&lt;&gt;"",_xlpm.MacVal,_xlpm.CSVVal&lt;&gt;"",_xlpm.CSVVal
)),"")</f>
        <v/>
      </c>
      <c r="K397" s="54" t="str" cm="1">
        <f t="array" ref="K397">IFERROR(_xlfn.LET(
_xlpm.CSVVal,_xlfn.XLOOKUP($A397,CSV!$A:$A,CSV!M:M,""),
_xlpm.MacVal,_xlfn.XLOOKUP($A397,Output_Mac!$A:$A,Output_Mac!L:L,""),
_xlpm.MyAuditVal,_xlfn.XLOOKUP($A397,My_Audit!$A:$A,My_Audit!J:J,""),
_xlfn.IFS(_xlpm.MyAuditVal&lt;&gt;"",UPPER(_xlpm.MyAuditVal),_xlpm.MacVal&lt;&gt;"",_xlpm.MacVal,_xlpm.CSVVal&lt;&gt;"",_xlpm.CSVVal
)),"")</f>
        <v/>
      </c>
      <c r="L397" s="54" t="str" cm="1">
        <f t="array" ref="L397">IFERROR(_xlfn.LET(
_xlpm.CSVVal,_xlfn.XLOOKUP($A397,CSV!$A:$A,CSV!O:O,""),
_xlpm.MacVal,_xlfn.XLOOKUP($A397,Output_Mac!$A:$A,Output_Mac!M:M,""),
_xlpm.MyAuditVal,_xlfn.XLOOKUP($A397,My_Audit!$A:$A,My_Audit!K:K,""),
_xlfn.IFS(_xlpm.MyAuditVal&lt;&gt;"",UPPER(_xlpm.MyAuditVal),_xlpm.MacVal&lt;&gt;"",_xlpm.MacVal,_xlpm.CSVVal&lt;&gt;"",_xlpm.CSVVal
)),"")</f>
        <v/>
      </c>
      <c r="M397" s="54" t="str">
        <f>_xlfn.LET(
    _xlpm.CSVVal, _xlfn.XLOOKUP($A397, CSV!$A:$A, CSV!AD:AD, ""),
    _xlpm.MacVal, _xlfn.XLOOKUP($A397, Output_Mac!$A:$A, Output_Mac!S:S, ""),
    _xlpm.MyAuditVal, _xlfn.XLOOKUP($A397, My_Audit!$A:$A, My_Audit!N:N, ""),
    _xlfn.TEXTJOIN(", ", TRUE, _xlpm.MyAuditVal, _xlpm.MacVal, _xlpm.CSVVal)
)</f>
        <v/>
      </c>
      <c r="N397" s="54" t="str" cm="1">
        <f t="array" ref="N397">IFERROR(_xlfn.LET(
_xlpm.CSVVal,_xlfn.XLOOKUP($A397,CSV!$A:$A,CSV!AF:AF,""),
_xlpm.MacVal,_xlfn.XLOOKUP($A397,Output_Mac!$A:$A,Output_Mac!U:U,""),
_xlpm.MyAuditVal,_xlfn.XLOOKUP($A397,My_Audit!$A:$A,My_Audit!O:O,""),
_xlfn.IFS(_xlpm.MyAuditVal&lt;&gt;"",UPPER(_xlpm.MyAuditVal),_xlpm.MacVal&lt;&gt;"",_xlpm.MacVal,_xlpm.CSVVal&lt;&gt;"",_xlpm.CSVVal
)),"")</f>
        <v/>
      </c>
      <c r="O397" s="54"/>
      <c r="P397" s="54"/>
      <c r="Q397" s="54"/>
      <c r="R397" s="54"/>
      <c r="S397" s="54"/>
      <c r="T397" s="54"/>
      <c r="U397" s="39"/>
    </row>
    <row r="398" spans="1:21">
      <c r="A398" s="54" t="str">
        <f>_xlfn.TEXTJOIN("",TRUE,Input!$B$2,ROW(My_Audit!A397))</f>
        <v>XX397</v>
      </c>
      <c r="B398" s="54" t="str">
        <f>_xlfn.TEXTJOIN("-",TRUE,"ITD",Input!$A$2,A398)</f>
        <v>ITD-SHRXXX-XX397</v>
      </c>
      <c r="C398" s="54" t="str" cm="1">
        <f t="array" ref="C398">IFERROR(_xlfn.LET(
_xlpm.CSVVal,_xlfn.XLOOKUP($A398,CSV!$A:$A,CSV!B:B,""),
_xlpm.MacVal,_xlfn.XLOOKUP($A398,Output_Mac!$A:$A,Output_Mac!B:B,""),
_xlpm.MyAuditVal,_xlfn.XLOOKUP($A398,My_Audit!$A:$A,My_Audit!B:B,""),
_xlfn.IFS(_xlpm.MyAuditVal&lt;&gt;"",UPPER(_xlpm.MyAuditVal),_xlpm.MacVal&lt;&gt;"",_xlpm.MacVal,_xlpm.CSVVal&lt;&gt;"",_xlpm.CSVVal
)),"")</f>
        <v/>
      </c>
      <c r="D398" s="55" t="str">
        <f>_xlfn.XLOOKUP(A398,My_Audit!A:A,My_Audit!D:D,"")&amp;""</f>
        <v/>
      </c>
      <c r="E398" s="55" t="str" cm="1">
        <f t="array" ref="E398">IFERROR(_xlfn.LET(
_xlpm.CSVVal,_xlfn.XLOOKUP($A398,CSV!$A:$A,CSV!D:D,""),
_xlpm.MacVal,_xlfn.XLOOKUP($A398,Output_Mac!$A:$A,Output_Mac!C:C,""),
_xlpm.MyAuditVal,_xlfn.XLOOKUP($A398,My_Audit!$A:$A,My_Audit!D:D,""),
_xlfn.IFS(_xlpm.MyAuditVal&lt;&gt;"",_xlpm.MyAuditVal,_xlpm.MacVal&lt;&gt;"",_xlpm.MacVal,_xlpm.CSVVal&lt;&gt;"",_xlpm.CSVVal
)),"")</f>
        <v/>
      </c>
      <c r="F398" s="54" t="str" cm="1">
        <f t="array" ref="F398">IFERROR(_xlfn.LET(
_xlpm.CSVVal,_xlfn.XLOOKUP($A398,CSV!$A:$A,CSV!E:E,""),
_xlpm.MacVal,_xlfn.XLOOKUP($A398,Output_Mac!$A:$A,Output_Mac!F:F,""),
_xlpm.MyAuditVal,_xlfn.XLOOKUP($A398,My_Audit!$A:$A,My_Audit!E:E,""),
_xlfn.IFS(_xlpm.MyAuditVal&lt;&gt;"",_xlpm.MyAuditVal,_xlpm.MacVal&lt;&gt;"",_xlpm.MacVal,_xlpm.CSVVal&lt;&gt;"",PROPER(_xlpm.CSVVal)
)),"")</f>
        <v/>
      </c>
      <c r="G398" s="54" t="str" cm="1">
        <f t="array" ref="G398">IFERROR(_xlfn.LET(
_xlpm.CSVVal,_xlfn.XLOOKUP($A398,CSV!$A:$A,CSV!F:F,""),
_xlpm.MacVal,_xlfn.XLOOKUP($A398,Output_Mac!$A:$A,Output_Mac!H:H,""),
_xlpm.MyAuditVal,_xlfn.XLOOKUP($A398,My_Audit!$A:$A,My_Audit!F:F,""),
_xlfn.IFS(_xlpm.MyAuditVal&lt;&gt;"",_xlpm.MyAuditVal,_xlpm.MacVal&lt;&gt;"",_xlpm.MacVal,_xlpm.CSVVal&lt;&gt;"",_xlpm.CSVVal
)),"")</f>
        <v/>
      </c>
      <c r="H398" s="54" t="str">
        <f>_xlfn.XLOOKUP(A398,Output_Mac!A:A,Output_Mac!I:I,"")</f>
        <v/>
      </c>
      <c r="I398" s="54" t="str" cm="1">
        <f t="array" ref="I398">IFERROR(_xlfn.LET(
_xlpm.CSVVal,_xlfn.XLOOKUP($A398,CSV!$A:$A,CSV!G:G,""),
_xlpm.MacVal,_xlfn.XLOOKUP($A398,Output_Mac!$A:$A,Output_Mac!J:J,""),
_xlpm.MyAuditVal,_xlfn.XLOOKUP($A398,My_Audit!$A:$A,My_Audit!H:H,""),
_xlfn.IFS(_xlpm.MyAuditVal&lt;&gt;"",UPPER(_xlpm.MyAuditVal),_xlpm.MacVal&lt;&gt;"",_xlpm.MacVal,_xlpm.CSVVal&lt;&gt;"",_xlpm.CSVVal
)),"")</f>
        <v/>
      </c>
      <c r="J398" s="54" t="str" cm="1">
        <f t="array" ref="J398">IFERROR(_xlfn.LET(
_xlpm.CSVVal,_xlfn.XLOOKUP($A398,CSV!$A:$A,CSV!I:I,""),
_xlpm.MacVal,_xlfn.XLOOKUP($A398,Output_Mac!$A:$A,Output_Mac!K:K,""),
_xlpm.MyAuditVal,_xlfn.XLOOKUP($A398,My_Audit!$A:$A,My_Audit!I:I,""),
_xlfn.IFS(_xlpm.MyAuditVal&lt;&gt;"",UPPER(_xlpm.MyAuditVal),_xlpm.MacVal&lt;&gt;"",_xlpm.MacVal,_xlpm.CSVVal&lt;&gt;"",_xlpm.CSVVal
)),"")</f>
        <v/>
      </c>
      <c r="K398" s="54" t="str" cm="1">
        <f t="array" ref="K398">IFERROR(_xlfn.LET(
_xlpm.CSVVal,_xlfn.XLOOKUP($A398,CSV!$A:$A,CSV!M:M,""),
_xlpm.MacVal,_xlfn.XLOOKUP($A398,Output_Mac!$A:$A,Output_Mac!L:L,""),
_xlpm.MyAuditVal,_xlfn.XLOOKUP($A398,My_Audit!$A:$A,My_Audit!J:J,""),
_xlfn.IFS(_xlpm.MyAuditVal&lt;&gt;"",UPPER(_xlpm.MyAuditVal),_xlpm.MacVal&lt;&gt;"",_xlpm.MacVal,_xlpm.CSVVal&lt;&gt;"",_xlpm.CSVVal
)),"")</f>
        <v/>
      </c>
      <c r="L398" s="54" t="str" cm="1">
        <f t="array" ref="L398">IFERROR(_xlfn.LET(
_xlpm.CSVVal,_xlfn.XLOOKUP($A398,CSV!$A:$A,CSV!O:O,""),
_xlpm.MacVal,_xlfn.XLOOKUP($A398,Output_Mac!$A:$A,Output_Mac!M:M,""),
_xlpm.MyAuditVal,_xlfn.XLOOKUP($A398,My_Audit!$A:$A,My_Audit!K:K,""),
_xlfn.IFS(_xlpm.MyAuditVal&lt;&gt;"",UPPER(_xlpm.MyAuditVal),_xlpm.MacVal&lt;&gt;"",_xlpm.MacVal,_xlpm.CSVVal&lt;&gt;"",_xlpm.CSVVal
)),"")</f>
        <v/>
      </c>
      <c r="M398" s="54" t="str">
        <f>_xlfn.LET(
    _xlpm.CSVVal, _xlfn.XLOOKUP($A398, CSV!$A:$A, CSV!AD:AD, ""),
    _xlpm.MacVal, _xlfn.XLOOKUP($A398, Output_Mac!$A:$A, Output_Mac!S:S, ""),
    _xlpm.MyAuditVal, _xlfn.XLOOKUP($A398, My_Audit!$A:$A, My_Audit!N:N, ""),
    _xlfn.TEXTJOIN(", ", TRUE, _xlpm.MyAuditVal, _xlpm.MacVal, _xlpm.CSVVal)
)</f>
        <v/>
      </c>
      <c r="N398" s="54" t="str" cm="1">
        <f t="array" ref="N398">IFERROR(_xlfn.LET(
_xlpm.CSVVal,_xlfn.XLOOKUP($A398,CSV!$A:$A,CSV!AF:AF,""),
_xlpm.MacVal,_xlfn.XLOOKUP($A398,Output_Mac!$A:$A,Output_Mac!U:U,""),
_xlpm.MyAuditVal,_xlfn.XLOOKUP($A398,My_Audit!$A:$A,My_Audit!O:O,""),
_xlfn.IFS(_xlpm.MyAuditVal&lt;&gt;"",UPPER(_xlpm.MyAuditVal),_xlpm.MacVal&lt;&gt;"",_xlpm.MacVal,_xlpm.CSVVal&lt;&gt;"",_xlpm.CSVVal
)),"")</f>
        <v/>
      </c>
      <c r="O398" s="54"/>
      <c r="P398" s="54"/>
      <c r="Q398" s="54"/>
      <c r="R398" s="54"/>
      <c r="S398" s="54"/>
      <c r="T398" s="54"/>
      <c r="U398" s="39"/>
    </row>
    <row r="399" spans="1:21">
      <c r="A399" s="54" t="str">
        <f>_xlfn.TEXTJOIN("",TRUE,Input!$B$2,ROW(My_Audit!A398))</f>
        <v>XX398</v>
      </c>
      <c r="B399" s="54" t="str">
        <f>_xlfn.TEXTJOIN("-",TRUE,"ITD",Input!$A$2,A399)</f>
        <v>ITD-SHRXXX-XX398</v>
      </c>
      <c r="C399" s="54" t="str" cm="1">
        <f t="array" ref="C399">IFERROR(_xlfn.LET(
_xlpm.CSVVal,_xlfn.XLOOKUP($A399,CSV!$A:$A,CSV!B:B,""),
_xlpm.MacVal,_xlfn.XLOOKUP($A399,Output_Mac!$A:$A,Output_Mac!B:B,""),
_xlpm.MyAuditVal,_xlfn.XLOOKUP($A399,My_Audit!$A:$A,My_Audit!B:B,""),
_xlfn.IFS(_xlpm.MyAuditVal&lt;&gt;"",UPPER(_xlpm.MyAuditVal),_xlpm.MacVal&lt;&gt;"",_xlpm.MacVal,_xlpm.CSVVal&lt;&gt;"",_xlpm.CSVVal
)),"")</f>
        <v/>
      </c>
      <c r="D399" s="55" t="str">
        <f>_xlfn.XLOOKUP(A399,My_Audit!A:A,My_Audit!D:D,"")&amp;""</f>
        <v/>
      </c>
      <c r="E399" s="55" t="str" cm="1">
        <f t="array" ref="E399">IFERROR(_xlfn.LET(
_xlpm.CSVVal,_xlfn.XLOOKUP($A399,CSV!$A:$A,CSV!D:D,""),
_xlpm.MacVal,_xlfn.XLOOKUP($A399,Output_Mac!$A:$A,Output_Mac!C:C,""),
_xlpm.MyAuditVal,_xlfn.XLOOKUP($A399,My_Audit!$A:$A,My_Audit!D:D,""),
_xlfn.IFS(_xlpm.MyAuditVal&lt;&gt;"",_xlpm.MyAuditVal,_xlpm.MacVal&lt;&gt;"",_xlpm.MacVal,_xlpm.CSVVal&lt;&gt;"",_xlpm.CSVVal
)),"")</f>
        <v/>
      </c>
      <c r="F399" s="54" t="str" cm="1">
        <f t="array" ref="F399">IFERROR(_xlfn.LET(
_xlpm.CSVVal,_xlfn.XLOOKUP($A399,CSV!$A:$A,CSV!E:E,""),
_xlpm.MacVal,_xlfn.XLOOKUP($A399,Output_Mac!$A:$A,Output_Mac!F:F,""),
_xlpm.MyAuditVal,_xlfn.XLOOKUP($A399,My_Audit!$A:$A,My_Audit!E:E,""),
_xlfn.IFS(_xlpm.MyAuditVal&lt;&gt;"",_xlpm.MyAuditVal,_xlpm.MacVal&lt;&gt;"",_xlpm.MacVal,_xlpm.CSVVal&lt;&gt;"",PROPER(_xlpm.CSVVal)
)),"")</f>
        <v/>
      </c>
      <c r="G399" s="54" t="str" cm="1">
        <f t="array" ref="G399">IFERROR(_xlfn.LET(
_xlpm.CSVVal,_xlfn.XLOOKUP($A399,CSV!$A:$A,CSV!F:F,""),
_xlpm.MacVal,_xlfn.XLOOKUP($A399,Output_Mac!$A:$A,Output_Mac!H:H,""),
_xlpm.MyAuditVal,_xlfn.XLOOKUP($A399,My_Audit!$A:$A,My_Audit!F:F,""),
_xlfn.IFS(_xlpm.MyAuditVal&lt;&gt;"",_xlpm.MyAuditVal,_xlpm.MacVal&lt;&gt;"",_xlpm.MacVal,_xlpm.CSVVal&lt;&gt;"",_xlpm.CSVVal
)),"")</f>
        <v/>
      </c>
      <c r="H399" s="54" t="str">
        <f>_xlfn.XLOOKUP(A399,Output_Mac!A:A,Output_Mac!I:I,"")</f>
        <v/>
      </c>
      <c r="I399" s="54" t="str" cm="1">
        <f t="array" ref="I399">IFERROR(_xlfn.LET(
_xlpm.CSVVal,_xlfn.XLOOKUP($A399,CSV!$A:$A,CSV!G:G,""),
_xlpm.MacVal,_xlfn.XLOOKUP($A399,Output_Mac!$A:$A,Output_Mac!J:J,""),
_xlpm.MyAuditVal,_xlfn.XLOOKUP($A399,My_Audit!$A:$A,My_Audit!H:H,""),
_xlfn.IFS(_xlpm.MyAuditVal&lt;&gt;"",UPPER(_xlpm.MyAuditVal),_xlpm.MacVal&lt;&gt;"",_xlpm.MacVal,_xlpm.CSVVal&lt;&gt;"",_xlpm.CSVVal
)),"")</f>
        <v/>
      </c>
      <c r="J399" s="54" t="str" cm="1">
        <f t="array" ref="J399">IFERROR(_xlfn.LET(
_xlpm.CSVVal,_xlfn.XLOOKUP($A399,CSV!$A:$A,CSV!I:I,""),
_xlpm.MacVal,_xlfn.XLOOKUP($A399,Output_Mac!$A:$A,Output_Mac!K:K,""),
_xlpm.MyAuditVal,_xlfn.XLOOKUP($A399,My_Audit!$A:$A,My_Audit!I:I,""),
_xlfn.IFS(_xlpm.MyAuditVal&lt;&gt;"",UPPER(_xlpm.MyAuditVal),_xlpm.MacVal&lt;&gt;"",_xlpm.MacVal,_xlpm.CSVVal&lt;&gt;"",_xlpm.CSVVal
)),"")</f>
        <v/>
      </c>
      <c r="K399" s="54" t="str" cm="1">
        <f t="array" ref="K399">IFERROR(_xlfn.LET(
_xlpm.CSVVal,_xlfn.XLOOKUP($A399,CSV!$A:$A,CSV!M:M,""),
_xlpm.MacVal,_xlfn.XLOOKUP($A399,Output_Mac!$A:$A,Output_Mac!L:L,""),
_xlpm.MyAuditVal,_xlfn.XLOOKUP($A399,My_Audit!$A:$A,My_Audit!J:J,""),
_xlfn.IFS(_xlpm.MyAuditVal&lt;&gt;"",UPPER(_xlpm.MyAuditVal),_xlpm.MacVal&lt;&gt;"",_xlpm.MacVal,_xlpm.CSVVal&lt;&gt;"",_xlpm.CSVVal
)),"")</f>
        <v/>
      </c>
      <c r="L399" s="54" t="str" cm="1">
        <f t="array" ref="L399">IFERROR(_xlfn.LET(
_xlpm.CSVVal,_xlfn.XLOOKUP($A399,CSV!$A:$A,CSV!O:O,""),
_xlpm.MacVal,_xlfn.XLOOKUP($A399,Output_Mac!$A:$A,Output_Mac!M:M,""),
_xlpm.MyAuditVal,_xlfn.XLOOKUP($A399,My_Audit!$A:$A,My_Audit!K:K,""),
_xlfn.IFS(_xlpm.MyAuditVal&lt;&gt;"",UPPER(_xlpm.MyAuditVal),_xlpm.MacVal&lt;&gt;"",_xlpm.MacVal,_xlpm.CSVVal&lt;&gt;"",_xlpm.CSVVal
)),"")</f>
        <v/>
      </c>
      <c r="M399" s="54" t="str">
        <f>_xlfn.LET(
    _xlpm.CSVVal, _xlfn.XLOOKUP($A399, CSV!$A:$A, CSV!AD:AD, ""),
    _xlpm.MacVal, _xlfn.XLOOKUP($A399, Output_Mac!$A:$A, Output_Mac!S:S, ""),
    _xlpm.MyAuditVal, _xlfn.XLOOKUP($A399, My_Audit!$A:$A, My_Audit!N:N, ""),
    _xlfn.TEXTJOIN(", ", TRUE, _xlpm.MyAuditVal, _xlpm.MacVal, _xlpm.CSVVal)
)</f>
        <v/>
      </c>
      <c r="N399" s="54" t="str" cm="1">
        <f t="array" ref="N399">IFERROR(_xlfn.LET(
_xlpm.CSVVal,_xlfn.XLOOKUP($A399,CSV!$A:$A,CSV!AF:AF,""),
_xlpm.MacVal,_xlfn.XLOOKUP($A399,Output_Mac!$A:$A,Output_Mac!U:U,""),
_xlpm.MyAuditVal,_xlfn.XLOOKUP($A399,My_Audit!$A:$A,My_Audit!O:O,""),
_xlfn.IFS(_xlpm.MyAuditVal&lt;&gt;"",UPPER(_xlpm.MyAuditVal),_xlpm.MacVal&lt;&gt;"",_xlpm.MacVal,_xlpm.CSVVal&lt;&gt;"",_xlpm.CSVVal
)),"")</f>
        <v/>
      </c>
      <c r="O399" s="54"/>
      <c r="P399" s="54"/>
      <c r="Q399" s="54"/>
      <c r="R399" s="54"/>
      <c r="S399" s="54"/>
      <c r="T399" s="54"/>
      <c r="U399" s="39"/>
    </row>
    <row r="400" spans="1:21">
      <c r="A400" s="54" t="str">
        <f>_xlfn.TEXTJOIN("",TRUE,Input!$B$2,ROW(My_Audit!A399))</f>
        <v>XX399</v>
      </c>
      <c r="B400" s="54" t="str">
        <f>_xlfn.TEXTJOIN("-",TRUE,"ITD",Input!$A$2,A400)</f>
        <v>ITD-SHRXXX-XX399</v>
      </c>
      <c r="C400" s="54" t="str" cm="1">
        <f t="array" ref="C400">IFERROR(_xlfn.LET(
_xlpm.CSVVal,_xlfn.XLOOKUP($A400,CSV!$A:$A,CSV!B:B,""),
_xlpm.MacVal,_xlfn.XLOOKUP($A400,Output_Mac!$A:$A,Output_Mac!B:B,""),
_xlpm.MyAuditVal,_xlfn.XLOOKUP($A400,My_Audit!$A:$A,My_Audit!B:B,""),
_xlfn.IFS(_xlpm.MyAuditVal&lt;&gt;"",UPPER(_xlpm.MyAuditVal),_xlpm.MacVal&lt;&gt;"",_xlpm.MacVal,_xlpm.CSVVal&lt;&gt;"",_xlpm.CSVVal
)),"")</f>
        <v/>
      </c>
      <c r="D400" s="55" t="str">
        <f>_xlfn.XLOOKUP(A400,My_Audit!A:A,My_Audit!D:D,"")&amp;""</f>
        <v/>
      </c>
      <c r="E400" s="55" t="str" cm="1">
        <f t="array" ref="E400">IFERROR(_xlfn.LET(
_xlpm.CSVVal,_xlfn.XLOOKUP($A400,CSV!$A:$A,CSV!D:D,""),
_xlpm.MacVal,_xlfn.XLOOKUP($A400,Output_Mac!$A:$A,Output_Mac!C:C,""),
_xlpm.MyAuditVal,_xlfn.XLOOKUP($A400,My_Audit!$A:$A,My_Audit!D:D,""),
_xlfn.IFS(_xlpm.MyAuditVal&lt;&gt;"",_xlpm.MyAuditVal,_xlpm.MacVal&lt;&gt;"",_xlpm.MacVal,_xlpm.CSVVal&lt;&gt;"",_xlpm.CSVVal
)),"")</f>
        <v/>
      </c>
      <c r="F400" s="54" t="str" cm="1">
        <f t="array" ref="F400">IFERROR(_xlfn.LET(
_xlpm.CSVVal,_xlfn.XLOOKUP($A400,CSV!$A:$A,CSV!E:E,""),
_xlpm.MacVal,_xlfn.XLOOKUP($A400,Output_Mac!$A:$A,Output_Mac!F:F,""),
_xlpm.MyAuditVal,_xlfn.XLOOKUP($A400,My_Audit!$A:$A,My_Audit!E:E,""),
_xlfn.IFS(_xlpm.MyAuditVal&lt;&gt;"",_xlpm.MyAuditVal,_xlpm.MacVal&lt;&gt;"",_xlpm.MacVal,_xlpm.CSVVal&lt;&gt;"",PROPER(_xlpm.CSVVal)
)),"")</f>
        <v/>
      </c>
      <c r="G400" s="54" t="str" cm="1">
        <f t="array" ref="G400">IFERROR(_xlfn.LET(
_xlpm.CSVVal,_xlfn.XLOOKUP($A400,CSV!$A:$A,CSV!F:F,""),
_xlpm.MacVal,_xlfn.XLOOKUP($A400,Output_Mac!$A:$A,Output_Mac!H:H,""),
_xlpm.MyAuditVal,_xlfn.XLOOKUP($A400,My_Audit!$A:$A,My_Audit!F:F,""),
_xlfn.IFS(_xlpm.MyAuditVal&lt;&gt;"",_xlpm.MyAuditVal,_xlpm.MacVal&lt;&gt;"",_xlpm.MacVal,_xlpm.CSVVal&lt;&gt;"",_xlpm.CSVVal
)),"")</f>
        <v/>
      </c>
      <c r="H400" s="54" t="str">
        <f>_xlfn.XLOOKUP(A400,Output_Mac!A:A,Output_Mac!I:I,"")</f>
        <v/>
      </c>
      <c r="I400" s="54" t="str" cm="1">
        <f t="array" ref="I400">IFERROR(_xlfn.LET(
_xlpm.CSVVal,_xlfn.XLOOKUP($A400,CSV!$A:$A,CSV!G:G,""),
_xlpm.MacVal,_xlfn.XLOOKUP($A400,Output_Mac!$A:$A,Output_Mac!J:J,""),
_xlpm.MyAuditVal,_xlfn.XLOOKUP($A400,My_Audit!$A:$A,My_Audit!H:H,""),
_xlfn.IFS(_xlpm.MyAuditVal&lt;&gt;"",UPPER(_xlpm.MyAuditVal),_xlpm.MacVal&lt;&gt;"",_xlpm.MacVal,_xlpm.CSVVal&lt;&gt;"",_xlpm.CSVVal
)),"")</f>
        <v/>
      </c>
      <c r="J400" s="54" t="str" cm="1">
        <f t="array" ref="J400">IFERROR(_xlfn.LET(
_xlpm.CSVVal,_xlfn.XLOOKUP($A400,CSV!$A:$A,CSV!I:I,""),
_xlpm.MacVal,_xlfn.XLOOKUP($A400,Output_Mac!$A:$A,Output_Mac!K:K,""),
_xlpm.MyAuditVal,_xlfn.XLOOKUP($A400,My_Audit!$A:$A,My_Audit!I:I,""),
_xlfn.IFS(_xlpm.MyAuditVal&lt;&gt;"",UPPER(_xlpm.MyAuditVal),_xlpm.MacVal&lt;&gt;"",_xlpm.MacVal,_xlpm.CSVVal&lt;&gt;"",_xlpm.CSVVal
)),"")</f>
        <v/>
      </c>
      <c r="K400" s="54" t="str" cm="1">
        <f t="array" ref="K400">IFERROR(_xlfn.LET(
_xlpm.CSVVal,_xlfn.XLOOKUP($A400,CSV!$A:$A,CSV!M:M,""),
_xlpm.MacVal,_xlfn.XLOOKUP($A400,Output_Mac!$A:$A,Output_Mac!L:L,""),
_xlpm.MyAuditVal,_xlfn.XLOOKUP($A400,My_Audit!$A:$A,My_Audit!J:J,""),
_xlfn.IFS(_xlpm.MyAuditVal&lt;&gt;"",UPPER(_xlpm.MyAuditVal),_xlpm.MacVal&lt;&gt;"",_xlpm.MacVal,_xlpm.CSVVal&lt;&gt;"",_xlpm.CSVVal
)),"")</f>
        <v/>
      </c>
      <c r="L400" s="54" t="str" cm="1">
        <f t="array" ref="L400">IFERROR(_xlfn.LET(
_xlpm.CSVVal,_xlfn.XLOOKUP($A400,CSV!$A:$A,CSV!O:O,""),
_xlpm.MacVal,_xlfn.XLOOKUP($A400,Output_Mac!$A:$A,Output_Mac!M:M,""),
_xlpm.MyAuditVal,_xlfn.XLOOKUP($A400,My_Audit!$A:$A,My_Audit!K:K,""),
_xlfn.IFS(_xlpm.MyAuditVal&lt;&gt;"",UPPER(_xlpm.MyAuditVal),_xlpm.MacVal&lt;&gt;"",_xlpm.MacVal,_xlpm.CSVVal&lt;&gt;"",_xlpm.CSVVal
)),"")</f>
        <v/>
      </c>
      <c r="M400" s="54" t="str">
        <f>_xlfn.LET(
    _xlpm.CSVVal, _xlfn.XLOOKUP($A400, CSV!$A:$A, CSV!AD:AD, ""),
    _xlpm.MacVal, _xlfn.XLOOKUP($A400, Output_Mac!$A:$A, Output_Mac!S:S, ""),
    _xlpm.MyAuditVal, _xlfn.XLOOKUP($A400, My_Audit!$A:$A, My_Audit!N:N, ""),
    _xlfn.TEXTJOIN(", ", TRUE, _xlpm.MyAuditVal, _xlpm.MacVal, _xlpm.CSVVal)
)</f>
        <v/>
      </c>
      <c r="N400" s="54" t="str" cm="1">
        <f t="array" ref="N400">IFERROR(_xlfn.LET(
_xlpm.CSVVal,_xlfn.XLOOKUP($A400,CSV!$A:$A,CSV!AF:AF,""),
_xlpm.MacVal,_xlfn.XLOOKUP($A400,Output_Mac!$A:$A,Output_Mac!U:U,""),
_xlpm.MyAuditVal,_xlfn.XLOOKUP($A400,My_Audit!$A:$A,My_Audit!O:O,""),
_xlfn.IFS(_xlpm.MyAuditVal&lt;&gt;"",UPPER(_xlpm.MyAuditVal),_xlpm.MacVal&lt;&gt;"",_xlpm.MacVal,_xlpm.CSVVal&lt;&gt;"",_xlpm.CSVVal
)),"")</f>
        <v/>
      </c>
      <c r="O400" s="54"/>
      <c r="P400" s="54"/>
      <c r="Q400" s="54"/>
      <c r="R400" s="54"/>
      <c r="S400" s="54"/>
      <c r="T400" s="54"/>
      <c r="U400" s="39"/>
    </row>
    <row r="401" spans="1:21">
      <c r="A401" s="54" t="str">
        <f>_xlfn.TEXTJOIN("",TRUE,Input!$B$2,ROW(My_Audit!A400))</f>
        <v>XX400</v>
      </c>
      <c r="B401" s="54" t="str">
        <f>_xlfn.TEXTJOIN("-",TRUE,"ITD",Input!$A$2,A401)</f>
        <v>ITD-SHRXXX-XX400</v>
      </c>
      <c r="C401" s="54" t="str" cm="1">
        <f t="array" ref="C401">IFERROR(_xlfn.LET(
_xlpm.CSVVal,_xlfn.XLOOKUP($A401,CSV!$A:$A,CSV!B:B,""),
_xlpm.MacVal,_xlfn.XLOOKUP($A401,Output_Mac!$A:$A,Output_Mac!B:B,""),
_xlpm.MyAuditVal,_xlfn.XLOOKUP($A401,My_Audit!$A:$A,My_Audit!B:B,""),
_xlfn.IFS(_xlpm.MyAuditVal&lt;&gt;"",UPPER(_xlpm.MyAuditVal),_xlpm.MacVal&lt;&gt;"",_xlpm.MacVal,_xlpm.CSVVal&lt;&gt;"",_xlpm.CSVVal
)),"")</f>
        <v/>
      </c>
      <c r="D401" s="55" t="str">
        <f>_xlfn.XLOOKUP(A401,My_Audit!A:A,My_Audit!D:D,"")&amp;""</f>
        <v/>
      </c>
      <c r="E401" s="55" t="str" cm="1">
        <f t="array" ref="E401">IFERROR(_xlfn.LET(
_xlpm.CSVVal,_xlfn.XLOOKUP($A401,CSV!$A:$A,CSV!D:D,""),
_xlpm.MacVal,_xlfn.XLOOKUP($A401,Output_Mac!$A:$A,Output_Mac!C:C,""),
_xlpm.MyAuditVal,_xlfn.XLOOKUP($A401,My_Audit!$A:$A,My_Audit!D:D,""),
_xlfn.IFS(_xlpm.MyAuditVal&lt;&gt;"",_xlpm.MyAuditVal,_xlpm.MacVal&lt;&gt;"",_xlpm.MacVal,_xlpm.CSVVal&lt;&gt;"",_xlpm.CSVVal
)),"")</f>
        <v/>
      </c>
      <c r="F401" s="54" t="str" cm="1">
        <f t="array" ref="F401">IFERROR(_xlfn.LET(
_xlpm.CSVVal,_xlfn.XLOOKUP($A401,CSV!$A:$A,CSV!E:E,""),
_xlpm.MacVal,_xlfn.XLOOKUP($A401,Output_Mac!$A:$A,Output_Mac!F:F,""),
_xlpm.MyAuditVal,_xlfn.XLOOKUP($A401,My_Audit!$A:$A,My_Audit!E:E,""),
_xlfn.IFS(_xlpm.MyAuditVal&lt;&gt;"",_xlpm.MyAuditVal,_xlpm.MacVal&lt;&gt;"",_xlpm.MacVal,_xlpm.CSVVal&lt;&gt;"",PROPER(_xlpm.CSVVal)
)),"")</f>
        <v/>
      </c>
      <c r="G401" s="54" t="str" cm="1">
        <f t="array" ref="G401">IFERROR(_xlfn.LET(
_xlpm.CSVVal,_xlfn.XLOOKUP($A401,CSV!$A:$A,CSV!F:F,""),
_xlpm.MacVal,_xlfn.XLOOKUP($A401,Output_Mac!$A:$A,Output_Mac!H:H,""),
_xlpm.MyAuditVal,_xlfn.XLOOKUP($A401,My_Audit!$A:$A,My_Audit!F:F,""),
_xlfn.IFS(_xlpm.MyAuditVal&lt;&gt;"",_xlpm.MyAuditVal,_xlpm.MacVal&lt;&gt;"",_xlpm.MacVal,_xlpm.CSVVal&lt;&gt;"",_xlpm.CSVVal
)),"")</f>
        <v/>
      </c>
      <c r="H401" s="54" t="str">
        <f>_xlfn.XLOOKUP(A401,Output_Mac!A:A,Output_Mac!I:I,"")</f>
        <v/>
      </c>
      <c r="I401" s="54" t="str" cm="1">
        <f t="array" ref="I401">IFERROR(_xlfn.LET(
_xlpm.CSVVal,_xlfn.XLOOKUP($A401,CSV!$A:$A,CSV!G:G,""),
_xlpm.MacVal,_xlfn.XLOOKUP($A401,Output_Mac!$A:$A,Output_Mac!J:J,""),
_xlpm.MyAuditVal,_xlfn.XLOOKUP($A401,My_Audit!$A:$A,My_Audit!H:H,""),
_xlfn.IFS(_xlpm.MyAuditVal&lt;&gt;"",UPPER(_xlpm.MyAuditVal),_xlpm.MacVal&lt;&gt;"",_xlpm.MacVal,_xlpm.CSVVal&lt;&gt;"",_xlpm.CSVVal
)),"")</f>
        <v/>
      </c>
      <c r="J401" s="54" t="str" cm="1">
        <f t="array" ref="J401">IFERROR(_xlfn.LET(
_xlpm.CSVVal,_xlfn.XLOOKUP($A401,CSV!$A:$A,CSV!I:I,""),
_xlpm.MacVal,_xlfn.XLOOKUP($A401,Output_Mac!$A:$A,Output_Mac!K:K,""),
_xlpm.MyAuditVal,_xlfn.XLOOKUP($A401,My_Audit!$A:$A,My_Audit!I:I,""),
_xlfn.IFS(_xlpm.MyAuditVal&lt;&gt;"",UPPER(_xlpm.MyAuditVal),_xlpm.MacVal&lt;&gt;"",_xlpm.MacVal,_xlpm.CSVVal&lt;&gt;"",_xlpm.CSVVal
)),"")</f>
        <v/>
      </c>
      <c r="K401" s="54" t="str" cm="1">
        <f t="array" ref="K401">IFERROR(_xlfn.LET(
_xlpm.CSVVal,_xlfn.XLOOKUP($A401,CSV!$A:$A,CSV!M:M,""),
_xlpm.MacVal,_xlfn.XLOOKUP($A401,Output_Mac!$A:$A,Output_Mac!L:L,""),
_xlpm.MyAuditVal,_xlfn.XLOOKUP($A401,My_Audit!$A:$A,My_Audit!J:J,""),
_xlfn.IFS(_xlpm.MyAuditVal&lt;&gt;"",UPPER(_xlpm.MyAuditVal),_xlpm.MacVal&lt;&gt;"",_xlpm.MacVal,_xlpm.CSVVal&lt;&gt;"",_xlpm.CSVVal
)),"")</f>
        <v/>
      </c>
      <c r="L401" s="54" t="str" cm="1">
        <f t="array" ref="L401">IFERROR(_xlfn.LET(
_xlpm.CSVVal,_xlfn.XLOOKUP($A401,CSV!$A:$A,CSV!O:O,""),
_xlpm.MacVal,_xlfn.XLOOKUP($A401,Output_Mac!$A:$A,Output_Mac!M:M,""),
_xlpm.MyAuditVal,_xlfn.XLOOKUP($A401,My_Audit!$A:$A,My_Audit!K:K,""),
_xlfn.IFS(_xlpm.MyAuditVal&lt;&gt;"",UPPER(_xlpm.MyAuditVal),_xlpm.MacVal&lt;&gt;"",_xlpm.MacVal,_xlpm.CSVVal&lt;&gt;"",_xlpm.CSVVal
)),"")</f>
        <v/>
      </c>
      <c r="M401" s="54" t="str">
        <f>_xlfn.LET(
    _xlpm.CSVVal, _xlfn.XLOOKUP($A401, CSV!$A:$A, CSV!AD:AD, ""),
    _xlpm.MacVal, _xlfn.XLOOKUP($A401, Output_Mac!$A:$A, Output_Mac!S:S, ""),
    _xlpm.MyAuditVal, _xlfn.XLOOKUP($A401, My_Audit!$A:$A, My_Audit!N:N, ""),
    _xlfn.TEXTJOIN(", ", TRUE, _xlpm.MyAuditVal, _xlpm.MacVal, _xlpm.CSVVal)
)</f>
        <v/>
      </c>
      <c r="N401" s="54" t="str" cm="1">
        <f t="array" ref="N401">IFERROR(_xlfn.LET(
_xlpm.CSVVal,_xlfn.XLOOKUP($A401,CSV!$A:$A,CSV!AF:AF,""),
_xlpm.MacVal,_xlfn.XLOOKUP($A401,Output_Mac!$A:$A,Output_Mac!U:U,""),
_xlpm.MyAuditVal,_xlfn.XLOOKUP($A401,My_Audit!$A:$A,My_Audit!O:O,""),
_xlfn.IFS(_xlpm.MyAuditVal&lt;&gt;"",UPPER(_xlpm.MyAuditVal),_xlpm.MacVal&lt;&gt;"",_xlpm.MacVal,_xlpm.CSVVal&lt;&gt;"",_xlpm.CSVVal
)),"")</f>
        <v/>
      </c>
      <c r="O401" s="54"/>
      <c r="P401" s="54"/>
      <c r="Q401" s="54"/>
      <c r="R401" s="54"/>
      <c r="S401" s="54"/>
      <c r="T401" s="54"/>
      <c r="U401" s="39"/>
    </row>
    <row r="402" spans="1:21">
      <c r="A402" s="54" t="str">
        <f>_xlfn.TEXTJOIN("",TRUE,Input!$B$2,ROW(My_Audit!A401))</f>
        <v>XX401</v>
      </c>
      <c r="B402" s="54" t="str">
        <f>_xlfn.TEXTJOIN("-",TRUE,"ITD",Input!$A$2,A402)</f>
        <v>ITD-SHRXXX-XX401</v>
      </c>
      <c r="C402" s="54" t="str" cm="1">
        <f t="array" ref="C402">IFERROR(_xlfn.LET(
_xlpm.CSVVal,_xlfn.XLOOKUP($A402,CSV!$A:$A,CSV!B:B,""),
_xlpm.MacVal,_xlfn.XLOOKUP($A402,Output_Mac!$A:$A,Output_Mac!B:B,""),
_xlpm.MyAuditVal,_xlfn.XLOOKUP($A402,My_Audit!$A:$A,My_Audit!B:B,""),
_xlfn.IFS(_xlpm.MyAuditVal&lt;&gt;"",UPPER(_xlpm.MyAuditVal),_xlpm.MacVal&lt;&gt;"",_xlpm.MacVal,_xlpm.CSVVal&lt;&gt;"",_xlpm.CSVVal
)),"")</f>
        <v/>
      </c>
      <c r="D402" s="55" t="str">
        <f>_xlfn.XLOOKUP(A402,My_Audit!A:A,My_Audit!D:D,"")&amp;""</f>
        <v/>
      </c>
      <c r="E402" s="55" t="str" cm="1">
        <f t="array" ref="E402">IFERROR(_xlfn.LET(
_xlpm.CSVVal,_xlfn.XLOOKUP($A402,CSV!$A:$A,CSV!D:D,""),
_xlpm.MacVal,_xlfn.XLOOKUP($A402,Output_Mac!$A:$A,Output_Mac!C:C,""),
_xlpm.MyAuditVal,_xlfn.XLOOKUP($A402,My_Audit!$A:$A,My_Audit!D:D,""),
_xlfn.IFS(_xlpm.MyAuditVal&lt;&gt;"",_xlpm.MyAuditVal,_xlpm.MacVal&lt;&gt;"",_xlpm.MacVal,_xlpm.CSVVal&lt;&gt;"",_xlpm.CSVVal
)),"")</f>
        <v/>
      </c>
      <c r="F402" s="54" t="str" cm="1">
        <f t="array" ref="F402">IFERROR(_xlfn.LET(
_xlpm.CSVVal,_xlfn.XLOOKUP($A402,CSV!$A:$A,CSV!E:E,""),
_xlpm.MacVal,_xlfn.XLOOKUP($A402,Output_Mac!$A:$A,Output_Mac!F:F,""),
_xlpm.MyAuditVal,_xlfn.XLOOKUP($A402,My_Audit!$A:$A,My_Audit!E:E,""),
_xlfn.IFS(_xlpm.MyAuditVal&lt;&gt;"",_xlpm.MyAuditVal,_xlpm.MacVal&lt;&gt;"",_xlpm.MacVal,_xlpm.CSVVal&lt;&gt;"",PROPER(_xlpm.CSVVal)
)),"")</f>
        <v/>
      </c>
      <c r="G402" s="54" t="str" cm="1">
        <f t="array" ref="G402">IFERROR(_xlfn.LET(
_xlpm.CSVVal,_xlfn.XLOOKUP($A402,CSV!$A:$A,CSV!F:F,""),
_xlpm.MacVal,_xlfn.XLOOKUP($A402,Output_Mac!$A:$A,Output_Mac!H:H,""),
_xlpm.MyAuditVal,_xlfn.XLOOKUP($A402,My_Audit!$A:$A,My_Audit!F:F,""),
_xlfn.IFS(_xlpm.MyAuditVal&lt;&gt;"",_xlpm.MyAuditVal,_xlpm.MacVal&lt;&gt;"",_xlpm.MacVal,_xlpm.CSVVal&lt;&gt;"",_xlpm.CSVVal
)),"")</f>
        <v/>
      </c>
      <c r="H402" s="54" t="str">
        <f>_xlfn.XLOOKUP(A402,Output_Mac!A:A,Output_Mac!I:I,"")</f>
        <v/>
      </c>
      <c r="I402" s="54" t="str" cm="1">
        <f t="array" ref="I402">IFERROR(_xlfn.LET(
_xlpm.CSVVal,_xlfn.XLOOKUP($A402,CSV!$A:$A,CSV!G:G,""),
_xlpm.MacVal,_xlfn.XLOOKUP($A402,Output_Mac!$A:$A,Output_Mac!J:J,""),
_xlpm.MyAuditVal,_xlfn.XLOOKUP($A402,My_Audit!$A:$A,My_Audit!H:H,""),
_xlfn.IFS(_xlpm.MyAuditVal&lt;&gt;"",UPPER(_xlpm.MyAuditVal),_xlpm.MacVal&lt;&gt;"",_xlpm.MacVal,_xlpm.CSVVal&lt;&gt;"",_xlpm.CSVVal
)),"")</f>
        <v/>
      </c>
      <c r="J402" s="54" t="str" cm="1">
        <f t="array" ref="J402">IFERROR(_xlfn.LET(
_xlpm.CSVVal,_xlfn.XLOOKUP($A402,CSV!$A:$A,CSV!I:I,""),
_xlpm.MacVal,_xlfn.XLOOKUP($A402,Output_Mac!$A:$A,Output_Mac!K:K,""),
_xlpm.MyAuditVal,_xlfn.XLOOKUP($A402,My_Audit!$A:$A,My_Audit!I:I,""),
_xlfn.IFS(_xlpm.MyAuditVal&lt;&gt;"",UPPER(_xlpm.MyAuditVal),_xlpm.MacVal&lt;&gt;"",_xlpm.MacVal,_xlpm.CSVVal&lt;&gt;"",_xlpm.CSVVal
)),"")</f>
        <v/>
      </c>
      <c r="K402" s="54" t="str" cm="1">
        <f t="array" ref="K402">IFERROR(_xlfn.LET(
_xlpm.CSVVal,_xlfn.XLOOKUP($A402,CSV!$A:$A,CSV!M:M,""),
_xlpm.MacVal,_xlfn.XLOOKUP($A402,Output_Mac!$A:$A,Output_Mac!L:L,""),
_xlpm.MyAuditVal,_xlfn.XLOOKUP($A402,My_Audit!$A:$A,My_Audit!J:J,""),
_xlfn.IFS(_xlpm.MyAuditVal&lt;&gt;"",UPPER(_xlpm.MyAuditVal),_xlpm.MacVal&lt;&gt;"",_xlpm.MacVal,_xlpm.CSVVal&lt;&gt;"",_xlpm.CSVVal
)),"")</f>
        <v/>
      </c>
      <c r="L402" s="54" t="str" cm="1">
        <f t="array" ref="L402">IFERROR(_xlfn.LET(
_xlpm.CSVVal,_xlfn.XLOOKUP($A402,CSV!$A:$A,CSV!O:O,""),
_xlpm.MacVal,_xlfn.XLOOKUP($A402,Output_Mac!$A:$A,Output_Mac!M:M,""),
_xlpm.MyAuditVal,_xlfn.XLOOKUP($A402,My_Audit!$A:$A,My_Audit!K:K,""),
_xlfn.IFS(_xlpm.MyAuditVal&lt;&gt;"",UPPER(_xlpm.MyAuditVal),_xlpm.MacVal&lt;&gt;"",_xlpm.MacVal,_xlpm.CSVVal&lt;&gt;"",_xlpm.CSVVal
)),"")</f>
        <v/>
      </c>
      <c r="M402" s="54" t="str">
        <f>_xlfn.LET(
    _xlpm.CSVVal, _xlfn.XLOOKUP($A402, CSV!$A:$A, CSV!AD:AD, ""),
    _xlpm.MacVal, _xlfn.XLOOKUP($A402, Output_Mac!$A:$A, Output_Mac!S:S, ""),
    _xlpm.MyAuditVal, _xlfn.XLOOKUP($A402, My_Audit!$A:$A, My_Audit!N:N, ""),
    _xlfn.TEXTJOIN(", ", TRUE, _xlpm.MyAuditVal, _xlpm.MacVal, _xlpm.CSVVal)
)</f>
        <v/>
      </c>
      <c r="N402" s="54" t="str" cm="1">
        <f t="array" ref="N402">IFERROR(_xlfn.LET(
_xlpm.CSVVal,_xlfn.XLOOKUP($A402,CSV!$A:$A,CSV!AF:AF,""),
_xlpm.MacVal,_xlfn.XLOOKUP($A402,Output_Mac!$A:$A,Output_Mac!U:U,""),
_xlpm.MyAuditVal,_xlfn.XLOOKUP($A402,My_Audit!$A:$A,My_Audit!O:O,""),
_xlfn.IFS(_xlpm.MyAuditVal&lt;&gt;"",UPPER(_xlpm.MyAuditVal),_xlpm.MacVal&lt;&gt;"",_xlpm.MacVal,_xlpm.CSVVal&lt;&gt;"",_xlpm.CSVVal
)),"")</f>
        <v/>
      </c>
      <c r="O402" s="54"/>
      <c r="P402" s="54"/>
      <c r="Q402" s="54"/>
      <c r="R402" s="54"/>
      <c r="S402" s="54"/>
      <c r="T402" s="54"/>
      <c r="U402" s="39"/>
    </row>
    <row r="403" spans="1:21">
      <c r="A403" s="54" t="str">
        <f>_xlfn.TEXTJOIN("",TRUE,Input!$B$2,ROW(My_Audit!A402))</f>
        <v>XX402</v>
      </c>
      <c r="B403" s="54" t="str">
        <f>_xlfn.TEXTJOIN("-",TRUE,"ITD",Input!$A$2,A403)</f>
        <v>ITD-SHRXXX-XX402</v>
      </c>
      <c r="C403" s="54" t="str" cm="1">
        <f t="array" ref="C403">IFERROR(_xlfn.LET(
_xlpm.CSVVal,_xlfn.XLOOKUP($A403,CSV!$A:$A,CSV!B:B,""),
_xlpm.MacVal,_xlfn.XLOOKUP($A403,Output_Mac!$A:$A,Output_Mac!B:B,""),
_xlpm.MyAuditVal,_xlfn.XLOOKUP($A403,My_Audit!$A:$A,My_Audit!B:B,""),
_xlfn.IFS(_xlpm.MyAuditVal&lt;&gt;"",UPPER(_xlpm.MyAuditVal),_xlpm.MacVal&lt;&gt;"",_xlpm.MacVal,_xlpm.CSVVal&lt;&gt;"",_xlpm.CSVVal
)),"")</f>
        <v/>
      </c>
      <c r="D403" s="55" t="str">
        <f>_xlfn.XLOOKUP(A403,My_Audit!A:A,My_Audit!D:D,"")&amp;""</f>
        <v/>
      </c>
      <c r="E403" s="55" t="str" cm="1">
        <f t="array" ref="E403">IFERROR(_xlfn.LET(
_xlpm.CSVVal,_xlfn.XLOOKUP($A403,CSV!$A:$A,CSV!D:D,""),
_xlpm.MacVal,_xlfn.XLOOKUP($A403,Output_Mac!$A:$A,Output_Mac!C:C,""),
_xlpm.MyAuditVal,_xlfn.XLOOKUP($A403,My_Audit!$A:$A,My_Audit!D:D,""),
_xlfn.IFS(_xlpm.MyAuditVal&lt;&gt;"",_xlpm.MyAuditVal,_xlpm.MacVal&lt;&gt;"",_xlpm.MacVal,_xlpm.CSVVal&lt;&gt;"",_xlpm.CSVVal
)),"")</f>
        <v/>
      </c>
      <c r="F403" s="54" t="str" cm="1">
        <f t="array" ref="F403">IFERROR(_xlfn.LET(
_xlpm.CSVVal,_xlfn.XLOOKUP($A403,CSV!$A:$A,CSV!E:E,""),
_xlpm.MacVal,_xlfn.XLOOKUP($A403,Output_Mac!$A:$A,Output_Mac!F:F,""),
_xlpm.MyAuditVal,_xlfn.XLOOKUP($A403,My_Audit!$A:$A,My_Audit!E:E,""),
_xlfn.IFS(_xlpm.MyAuditVal&lt;&gt;"",_xlpm.MyAuditVal,_xlpm.MacVal&lt;&gt;"",_xlpm.MacVal,_xlpm.CSVVal&lt;&gt;"",PROPER(_xlpm.CSVVal)
)),"")</f>
        <v/>
      </c>
      <c r="G403" s="54" t="str" cm="1">
        <f t="array" ref="G403">IFERROR(_xlfn.LET(
_xlpm.CSVVal,_xlfn.XLOOKUP($A403,CSV!$A:$A,CSV!F:F,""),
_xlpm.MacVal,_xlfn.XLOOKUP($A403,Output_Mac!$A:$A,Output_Mac!H:H,""),
_xlpm.MyAuditVal,_xlfn.XLOOKUP($A403,My_Audit!$A:$A,My_Audit!F:F,""),
_xlfn.IFS(_xlpm.MyAuditVal&lt;&gt;"",_xlpm.MyAuditVal,_xlpm.MacVal&lt;&gt;"",_xlpm.MacVal,_xlpm.CSVVal&lt;&gt;"",_xlpm.CSVVal
)),"")</f>
        <v/>
      </c>
      <c r="H403" s="54" t="str">
        <f>_xlfn.XLOOKUP(A403,Output_Mac!A:A,Output_Mac!I:I,"")</f>
        <v/>
      </c>
      <c r="I403" s="54" t="str" cm="1">
        <f t="array" ref="I403">IFERROR(_xlfn.LET(
_xlpm.CSVVal,_xlfn.XLOOKUP($A403,CSV!$A:$A,CSV!G:G,""),
_xlpm.MacVal,_xlfn.XLOOKUP($A403,Output_Mac!$A:$A,Output_Mac!J:J,""),
_xlpm.MyAuditVal,_xlfn.XLOOKUP($A403,My_Audit!$A:$A,My_Audit!H:H,""),
_xlfn.IFS(_xlpm.MyAuditVal&lt;&gt;"",UPPER(_xlpm.MyAuditVal),_xlpm.MacVal&lt;&gt;"",_xlpm.MacVal,_xlpm.CSVVal&lt;&gt;"",_xlpm.CSVVal
)),"")</f>
        <v/>
      </c>
      <c r="J403" s="54" t="str" cm="1">
        <f t="array" ref="J403">IFERROR(_xlfn.LET(
_xlpm.CSVVal,_xlfn.XLOOKUP($A403,CSV!$A:$A,CSV!I:I,""),
_xlpm.MacVal,_xlfn.XLOOKUP($A403,Output_Mac!$A:$A,Output_Mac!K:K,""),
_xlpm.MyAuditVal,_xlfn.XLOOKUP($A403,My_Audit!$A:$A,My_Audit!I:I,""),
_xlfn.IFS(_xlpm.MyAuditVal&lt;&gt;"",UPPER(_xlpm.MyAuditVal),_xlpm.MacVal&lt;&gt;"",_xlpm.MacVal,_xlpm.CSVVal&lt;&gt;"",_xlpm.CSVVal
)),"")</f>
        <v/>
      </c>
      <c r="K403" s="54" t="str" cm="1">
        <f t="array" ref="K403">IFERROR(_xlfn.LET(
_xlpm.CSVVal,_xlfn.XLOOKUP($A403,CSV!$A:$A,CSV!M:M,""),
_xlpm.MacVal,_xlfn.XLOOKUP($A403,Output_Mac!$A:$A,Output_Mac!L:L,""),
_xlpm.MyAuditVal,_xlfn.XLOOKUP($A403,My_Audit!$A:$A,My_Audit!J:J,""),
_xlfn.IFS(_xlpm.MyAuditVal&lt;&gt;"",UPPER(_xlpm.MyAuditVal),_xlpm.MacVal&lt;&gt;"",_xlpm.MacVal,_xlpm.CSVVal&lt;&gt;"",_xlpm.CSVVal
)),"")</f>
        <v/>
      </c>
      <c r="L403" s="54" t="str" cm="1">
        <f t="array" ref="L403">IFERROR(_xlfn.LET(
_xlpm.CSVVal,_xlfn.XLOOKUP($A403,CSV!$A:$A,CSV!O:O,""),
_xlpm.MacVal,_xlfn.XLOOKUP($A403,Output_Mac!$A:$A,Output_Mac!M:M,""),
_xlpm.MyAuditVal,_xlfn.XLOOKUP($A403,My_Audit!$A:$A,My_Audit!K:K,""),
_xlfn.IFS(_xlpm.MyAuditVal&lt;&gt;"",UPPER(_xlpm.MyAuditVal),_xlpm.MacVal&lt;&gt;"",_xlpm.MacVal,_xlpm.CSVVal&lt;&gt;"",_xlpm.CSVVal
)),"")</f>
        <v/>
      </c>
      <c r="M403" s="54" t="str">
        <f>_xlfn.LET(
    _xlpm.CSVVal, _xlfn.XLOOKUP($A403, CSV!$A:$A, CSV!AD:AD, ""),
    _xlpm.MacVal, _xlfn.XLOOKUP($A403, Output_Mac!$A:$A, Output_Mac!S:S, ""),
    _xlpm.MyAuditVal, _xlfn.XLOOKUP($A403, My_Audit!$A:$A, My_Audit!N:N, ""),
    _xlfn.TEXTJOIN(", ", TRUE, _xlpm.MyAuditVal, _xlpm.MacVal, _xlpm.CSVVal)
)</f>
        <v/>
      </c>
      <c r="N403" s="54" t="str" cm="1">
        <f t="array" ref="N403">IFERROR(_xlfn.LET(
_xlpm.CSVVal,_xlfn.XLOOKUP($A403,CSV!$A:$A,CSV!AF:AF,""),
_xlpm.MacVal,_xlfn.XLOOKUP($A403,Output_Mac!$A:$A,Output_Mac!U:U,""),
_xlpm.MyAuditVal,_xlfn.XLOOKUP($A403,My_Audit!$A:$A,My_Audit!O:O,""),
_xlfn.IFS(_xlpm.MyAuditVal&lt;&gt;"",UPPER(_xlpm.MyAuditVal),_xlpm.MacVal&lt;&gt;"",_xlpm.MacVal,_xlpm.CSVVal&lt;&gt;"",_xlpm.CSVVal
)),"")</f>
        <v/>
      </c>
      <c r="O403" s="54"/>
      <c r="P403" s="54"/>
      <c r="Q403" s="54"/>
      <c r="R403" s="54"/>
      <c r="S403" s="54"/>
      <c r="T403" s="54"/>
      <c r="U403" s="39"/>
    </row>
    <row r="404" spans="1:21">
      <c r="A404" s="54" t="str">
        <f>_xlfn.TEXTJOIN("",TRUE,Input!$B$2,ROW(My_Audit!A403))</f>
        <v>XX403</v>
      </c>
      <c r="B404" s="54" t="str">
        <f>_xlfn.TEXTJOIN("-",TRUE,"ITD",Input!$A$2,A404)</f>
        <v>ITD-SHRXXX-XX403</v>
      </c>
      <c r="C404" s="54" t="str" cm="1">
        <f t="array" ref="C404">IFERROR(_xlfn.LET(
_xlpm.CSVVal,_xlfn.XLOOKUP($A404,CSV!$A:$A,CSV!B:B,""),
_xlpm.MacVal,_xlfn.XLOOKUP($A404,Output_Mac!$A:$A,Output_Mac!B:B,""),
_xlpm.MyAuditVal,_xlfn.XLOOKUP($A404,My_Audit!$A:$A,My_Audit!B:B,""),
_xlfn.IFS(_xlpm.MyAuditVal&lt;&gt;"",UPPER(_xlpm.MyAuditVal),_xlpm.MacVal&lt;&gt;"",_xlpm.MacVal,_xlpm.CSVVal&lt;&gt;"",_xlpm.CSVVal
)),"")</f>
        <v/>
      </c>
      <c r="D404" s="55" t="str">
        <f>_xlfn.XLOOKUP(A404,My_Audit!A:A,My_Audit!D:D,"")&amp;""</f>
        <v/>
      </c>
      <c r="E404" s="55" t="str" cm="1">
        <f t="array" ref="E404">IFERROR(_xlfn.LET(
_xlpm.CSVVal,_xlfn.XLOOKUP($A404,CSV!$A:$A,CSV!D:D,""),
_xlpm.MacVal,_xlfn.XLOOKUP($A404,Output_Mac!$A:$A,Output_Mac!C:C,""),
_xlpm.MyAuditVal,_xlfn.XLOOKUP($A404,My_Audit!$A:$A,My_Audit!D:D,""),
_xlfn.IFS(_xlpm.MyAuditVal&lt;&gt;"",_xlpm.MyAuditVal,_xlpm.MacVal&lt;&gt;"",_xlpm.MacVal,_xlpm.CSVVal&lt;&gt;"",_xlpm.CSVVal
)),"")</f>
        <v/>
      </c>
      <c r="F404" s="54" t="str" cm="1">
        <f t="array" ref="F404">IFERROR(_xlfn.LET(
_xlpm.CSVVal,_xlfn.XLOOKUP($A404,CSV!$A:$A,CSV!E:E,""),
_xlpm.MacVal,_xlfn.XLOOKUP($A404,Output_Mac!$A:$A,Output_Mac!F:F,""),
_xlpm.MyAuditVal,_xlfn.XLOOKUP($A404,My_Audit!$A:$A,My_Audit!E:E,""),
_xlfn.IFS(_xlpm.MyAuditVal&lt;&gt;"",_xlpm.MyAuditVal,_xlpm.MacVal&lt;&gt;"",_xlpm.MacVal,_xlpm.CSVVal&lt;&gt;"",PROPER(_xlpm.CSVVal)
)),"")</f>
        <v/>
      </c>
      <c r="G404" s="54" t="str" cm="1">
        <f t="array" ref="G404">IFERROR(_xlfn.LET(
_xlpm.CSVVal,_xlfn.XLOOKUP($A404,CSV!$A:$A,CSV!F:F,""),
_xlpm.MacVal,_xlfn.XLOOKUP($A404,Output_Mac!$A:$A,Output_Mac!H:H,""),
_xlpm.MyAuditVal,_xlfn.XLOOKUP($A404,My_Audit!$A:$A,My_Audit!F:F,""),
_xlfn.IFS(_xlpm.MyAuditVal&lt;&gt;"",_xlpm.MyAuditVal,_xlpm.MacVal&lt;&gt;"",_xlpm.MacVal,_xlpm.CSVVal&lt;&gt;"",_xlpm.CSVVal
)),"")</f>
        <v/>
      </c>
      <c r="H404" s="54" t="str">
        <f>_xlfn.XLOOKUP(A404,Output_Mac!A:A,Output_Mac!I:I,"")</f>
        <v/>
      </c>
      <c r="I404" s="54" t="str" cm="1">
        <f t="array" ref="I404">IFERROR(_xlfn.LET(
_xlpm.CSVVal,_xlfn.XLOOKUP($A404,CSV!$A:$A,CSV!G:G,""),
_xlpm.MacVal,_xlfn.XLOOKUP($A404,Output_Mac!$A:$A,Output_Mac!J:J,""),
_xlpm.MyAuditVal,_xlfn.XLOOKUP($A404,My_Audit!$A:$A,My_Audit!H:H,""),
_xlfn.IFS(_xlpm.MyAuditVal&lt;&gt;"",UPPER(_xlpm.MyAuditVal),_xlpm.MacVal&lt;&gt;"",_xlpm.MacVal,_xlpm.CSVVal&lt;&gt;"",_xlpm.CSVVal
)),"")</f>
        <v/>
      </c>
      <c r="J404" s="54" t="str" cm="1">
        <f t="array" ref="J404">IFERROR(_xlfn.LET(
_xlpm.CSVVal,_xlfn.XLOOKUP($A404,CSV!$A:$A,CSV!I:I,""),
_xlpm.MacVal,_xlfn.XLOOKUP($A404,Output_Mac!$A:$A,Output_Mac!K:K,""),
_xlpm.MyAuditVal,_xlfn.XLOOKUP($A404,My_Audit!$A:$A,My_Audit!I:I,""),
_xlfn.IFS(_xlpm.MyAuditVal&lt;&gt;"",UPPER(_xlpm.MyAuditVal),_xlpm.MacVal&lt;&gt;"",_xlpm.MacVal,_xlpm.CSVVal&lt;&gt;"",_xlpm.CSVVal
)),"")</f>
        <v/>
      </c>
      <c r="K404" s="54" t="str" cm="1">
        <f t="array" ref="K404">IFERROR(_xlfn.LET(
_xlpm.CSVVal,_xlfn.XLOOKUP($A404,CSV!$A:$A,CSV!M:M,""),
_xlpm.MacVal,_xlfn.XLOOKUP($A404,Output_Mac!$A:$A,Output_Mac!L:L,""),
_xlpm.MyAuditVal,_xlfn.XLOOKUP($A404,My_Audit!$A:$A,My_Audit!J:J,""),
_xlfn.IFS(_xlpm.MyAuditVal&lt;&gt;"",UPPER(_xlpm.MyAuditVal),_xlpm.MacVal&lt;&gt;"",_xlpm.MacVal,_xlpm.CSVVal&lt;&gt;"",_xlpm.CSVVal
)),"")</f>
        <v/>
      </c>
      <c r="L404" s="54" t="str" cm="1">
        <f t="array" ref="L404">IFERROR(_xlfn.LET(
_xlpm.CSVVal,_xlfn.XLOOKUP($A404,CSV!$A:$A,CSV!O:O,""),
_xlpm.MacVal,_xlfn.XLOOKUP($A404,Output_Mac!$A:$A,Output_Mac!M:M,""),
_xlpm.MyAuditVal,_xlfn.XLOOKUP($A404,My_Audit!$A:$A,My_Audit!K:K,""),
_xlfn.IFS(_xlpm.MyAuditVal&lt;&gt;"",UPPER(_xlpm.MyAuditVal),_xlpm.MacVal&lt;&gt;"",_xlpm.MacVal,_xlpm.CSVVal&lt;&gt;"",_xlpm.CSVVal
)),"")</f>
        <v/>
      </c>
      <c r="M404" s="54" t="str">
        <f>_xlfn.LET(
    _xlpm.CSVVal, _xlfn.XLOOKUP($A404, CSV!$A:$A, CSV!AD:AD, ""),
    _xlpm.MacVal, _xlfn.XLOOKUP($A404, Output_Mac!$A:$A, Output_Mac!S:S, ""),
    _xlpm.MyAuditVal, _xlfn.XLOOKUP($A404, My_Audit!$A:$A, My_Audit!N:N, ""),
    _xlfn.TEXTJOIN(", ", TRUE, _xlpm.MyAuditVal, _xlpm.MacVal, _xlpm.CSVVal)
)</f>
        <v/>
      </c>
      <c r="N404" s="54" t="str" cm="1">
        <f t="array" ref="N404">IFERROR(_xlfn.LET(
_xlpm.CSVVal,_xlfn.XLOOKUP($A404,CSV!$A:$A,CSV!AF:AF,""),
_xlpm.MacVal,_xlfn.XLOOKUP($A404,Output_Mac!$A:$A,Output_Mac!U:U,""),
_xlpm.MyAuditVal,_xlfn.XLOOKUP($A404,My_Audit!$A:$A,My_Audit!O:O,""),
_xlfn.IFS(_xlpm.MyAuditVal&lt;&gt;"",UPPER(_xlpm.MyAuditVal),_xlpm.MacVal&lt;&gt;"",_xlpm.MacVal,_xlpm.CSVVal&lt;&gt;"",_xlpm.CSVVal
)),"")</f>
        <v/>
      </c>
      <c r="O404" s="54"/>
      <c r="P404" s="54"/>
      <c r="Q404" s="54"/>
      <c r="R404" s="54"/>
      <c r="S404" s="54"/>
      <c r="T404" s="54"/>
      <c r="U404" s="39"/>
    </row>
    <row r="405" spans="1:21">
      <c r="A405" s="54" t="str">
        <f>_xlfn.TEXTJOIN("",TRUE,Input!$B$2,ROW(My_Audit!A404))</f>
        <v>XX404</v>
      </c>
      <c r="B405" s="54" t="str">
        <f>_xlfn.TEXTJOIN("-",TRUE,"ITD",Input!$A$2,A405)</f>
        <v>ITD-SHRXXX-XX404</v>
      </c>
      <c r="C405" s="54" t="str" cm="1">
        <f t="array" ref="C405">IFERROR(_xlfn.LET(
_xlpm.CSVVal,_xlfn.XLOOKUP($A405,CSV!$A:$A,CSV!B:B,""),
_xlpm.MacVal,_xlfn.XLOOKUP($A405,Output_Mac!$A:$A,Output_Mac!B:B,""),
_xlpm.MyAuditVal,_xlfn.XLOOKUP($A405,My_Audit!$A:$A,My_Audit!B:B,""),
_xlfn.IFS(_xlpm.MyAuditVal&lt;&gt;"",UPPER(_xlpm.MyAuditVal),_xlpm.MacVal&lt;&gt;"",_xlpm.MacVal,_xlpm.CSVVal&lt;&gt;"",_xlpm.CSVVal
)),"")</f>
        <v/>
      </c>
      <c r="D405" s="55" t="str">
        <f>_xlfn.XLOOKUP(A405,My_Audit!A:A,My_Audit!D:D,"")&amp;""</f>
        <v/>
      </c>
      <c r="E405" s="55" t="str" cm="1">
        <f t="array" ref="E405">IFERROR(_xlfn.LET(
_xlpm.CSVVal,_xlfn.XLOOKUP($A405,CSV!$A:$A,CSV!D:D,""),
_xlpm.MacVal,_xlfn.XLOOKUP($A405,Output_Mac!$A:$A,Output_Mac!C:C,""),
_xlpm.MyAuditVal,_xlfn.XLOOKUP($A405,My_Audit!$A:$A,My_Audit!D:D,""),
_xlfn.IFS(_xlpm.MyAuditVal&lt;&gt;"",_xlpm.MyAuditVal,_xlpm.MacVal&lt;&gt;"",_xlpm.MacVal,_xlpm.CSVVal&lt;&gt;"",_xlpm.CSVVal
)),"")</f>
        <v/>
      </c>
      <c r="F405" s="54" t="str" cm="1">
        <f t="array" ref="F405">IFERROR(_xlfn.LET(
_xlpm.CSVVal,_xlfn.XLOOKUP($A405,CSV!$A:$A,CSV!E:E,""),
_xlpm.MacVal,_xlfn.XLOOKUP($A405,Output_Mac!$A:$A,Output_Mac!F:F,""),
_xlpm.MyAuditVal,_xlfn.XLOOKUP($A405,My_Audit!$A:$A,My_Audit!E:E,""),
_xlfn.IFS(_xlpm.MyAuditVal&lt;&gt;"",_xlpm.MyAuditVal,_xlpm.MacVal&lt;&gt;"",_xlpm.MacVal,_xlpm.CSVVal&lt;&gt;"",PROPER(_xlpm.CSVVal)
)),"")</f>
        <v/>
      </c>
      <c r="G405" s="54" t="str" cm="1">
        <f t="array" ref="G405">IFERROR(_xlfn.LET(
_xlpm.CSVVal,_xlfn.XLOOKUP($A405,CSV!$A:$A,CSV!F:F,""),
_xlpm.MacVal,_xlfn.XLOOKUP($A405,Output_Mac!$A:$A,Output_Mac!H:H,""),
_xlpm.MyAuditVal,_xlfn.XLOOKUP($A405,My_Audit!$A:$A,My_Audit!F:F,""),
_xlfn.IFS(_xlpm.MyAuditVal&lt;&gt;"",_xlpm.MyAuditVal,_xlpm.MacVal&lt;&gt;"",_xlpm.MacVal,_xlpm.CSVVal&lt;&gt;"",_xlpm.CSVVal
)),"")</f>
        <v/>
      </c>
      <c r="H405" s="54" t="str">
        <f>_xlfn.XLOOKUP(A405,Output_Mac!A:A,Output_Mac!I:I,"")</f>
        <v/>
      </c>
      <c r="I405" s="54" t="str" cm="1">
        <f t="array" ref="I405">IFERROR(_xlfn.LET(
_xlpm.CSVVal,_xlfn.XLOOKUP($A405,CSV!$A:$A,CSV!G:G,""),
_xlpm.MacVal,_xlfn.XLOOKUP($A405,Output_Mac!$A:$A,Output_Mac!J:J,""),
_xlpm.MyAuditVal,_xlfn.XLOOKUP($A405,My_Audit!$A:$A,My_Audit!H:H,""),
_xlfn.IFS(_xlpm.MyAuditVal&lt;&gt;"",UPPER(_xlpm.MyAuditVal),_xlpm.MacVal&lt;&gt;"",_xlpm.MacVal,_xlpm.CSVVal&lt;&gt;"",_xlpm.CSVVal
)),"")</f>
        <v/>
      </c>
      <c r="J405" s="54" t="str" cm="1">
        <f t="array" ref="J405">IFERROR(_xlfn.LET(
_xlpm.CSVVal,_xlfn.XLOOKUP($A405,CSV!$A:$A,CSV!I:I,""),
_xlpm.MacVal,_xlfn.XLOOKUP($A405,Output_Mac!$A:$A,Output_Mac!K:K,""),
_xlpm.MyAuditVal,_xlfn.XLOOKUP($A405,My_Audit!$A:$A,My_Audit!I:I,""),
_xlfn.IFS(_xlpm.MyAuditVal&lt;&gt;"",UPPER(_xlpm.MyAuditVal),_xlpm.MacVal&lt;&gt;"",_xlpm.MacVal,_xlpm.CSVVal&lt;&gt;"",_xlpm.CSVVal
)),"")</f>
        <v/>
      </c>
      <c r="K405" s="54" t="str" cm="1">
        <f t="array" ref="K405">IFERROR(_xlfn.LET(
_xlpm.CSVVal,_xlfn.XLOOKUP($A405,CSV!$A:$A,CSV!M:M,""),
_xlpm.MacVal,_xlfn.XLOOKUP($A405,Output_Mac!$A:$A,Output_Mac!L:L,""),
_xlpm.MyAuditVal,_xlfn.XLOOKUP($A405,My_Audit!$A:$A,My_Audit!J:J,""),
_xlfn.IFS(_xlpm.MyAuditVal&lt;&gt;"",UPPER(_xlpm.MyAuditVal),_xlpm.MacVal&lt;&gt;"",_xlpm.MacVal,_xlpm.CSVVal&lt;&gt;"",_xlpm.CSVVal
)),"")</f>
        <v/>
      </c>
      <c r="L405" s="54" t="str" cm="1">
        <f t="array" ref="L405">IFERROR(_xlfn.LET(
_xlpm.CSVVal,_xlfn.XLOOKUP($A405,CSV!$A:$A,CSV!O:O,""),
_xlpm.MacVal,_xlfn.XLOOKUP($A405,Output_Mac!$A:$A,Output_Mac!M:M,""),
_xlpm.MyAuditVal,_xlfn.XLOOKUP($A405,My_Audit!$A:$A,My_Audit!K:K,""),
_xlfn.IFS(_xlpm.MyAuditVal&lt;&gt;"",UPPER(_xlpm.MyAuditVal),_xlpm.MacVal&lt;&gt;"",_xlpm.MacVal,_xlpm.CSVVal&lt;&gt;"",_xlpm.CSVVal
)),"")</f>
        <v/>
      </c>
      <c r="M405" s="54" t="str">
        <f>_xlfn.LET(
    _xlpm.CSVVal, _xlfn.XLOOKUP($A405, CSV!$A:$A, CSV!AD:AD, ""),
    _xlpm.MacVal, _xlfn.XLOOKUP($A405, Output_Mac!$A:$A, Output_Mac!S:S, ""),
    _xlpm.MyAuditVal, _xlfn.XLOOKUP($A405, My_Audit!$A:$A, My_Audit!N:N, ""),
    _xlfn.TEXTJOIN(", ", TRUE, _xlpm.MyAuditVal, _xlpm.MacVal, _xlpm.CSVVal)
)</f>
        <v/>
      </c>
      <c r="N405" s="54" t="str" cm="1">
        <f t="array" ref="N405">IFERROR(_xlfn.LET(
_xlpm.CSVVal,_xlfn.XLOOKUP($A405,CSV!$A:$A,CSV!AF:AF,""),
_xlpm.MacVal,_xlfn.XLOOKUP($A405,Output_Mac!$A:$A,Output_Mac!U:U,""),
_xlpm.MyAuditVal,_xlfn.XLOOKUP($A405,My_Audit!$A:$A,My_Audit!O:O,""),
_xlfn.IFS(_xlpm.MyAuditVal&lt;&gt;"",UPPER(_xlpm.MyAuditVal),_xlpm.MacVal&lt;&gt;"",_xlpm.MacVal,_xlpm.CSVVal&lt;&gt;"",_xlpm.CSVVal
)),"")</f>
        <v/>
      </c>
      <c r="O405" s="54"/>
      <c r="P405" s="54"/>
      <c r="Q405" s="54"/>
      <c r="R405" s="54"/>
      <c r="S405" s="54"/>
      <c r="T405" s="54"/>
      <c r="U405" s="39"/>
    </row>
    <row r="406" spans="1:21">
      <c r="A406" s="54" t="str">
        <f>_xlfn.TEXTJOIN("",TRUE,Input!$B$2,ROW(My_Audit!A405))</f>
        <v>XX405</v>
      </c>
      <c r="B406" s="54" t="str">
        <f>_xlfn.TEXTJOIN("-",TRUE,"ITD",Input!$A$2,A406)</f>
        <v>ITD-SHRXXX-XX405</v>
      </c>
      <c r="C406" s="54" t="str" cm="1">
        <f t="array" ref="C406">IFERROR(_xlfn.LET(
_xlpm.CSVVal,_xlfn.XLOOKUP($A406,CSV!$A:$A,CSV!B:B,""),
_xlpm.MacVal,_xlfn.XLOOKUP($A406,Output_Mac!$A:$A,Output_Mac!B:B,""),
_xlpm.MyAuditVal,_xlfn.XLOOKUP($A406,My_Audit!$A:$A,My_Audit!B:B,""),
_xlfn.IFS(_xlpm.MyAuditVal&lt;&gt;"",UPPER(_xlpm.MyAuditVal),_xlpm.MacVal&lt;&gt;"",_xlpm.MacVal,_xlpm.CSVVal&lt;&gt;"",_xlpm.CSVVal
)),"")</f>
        <v/>
      </c>
      <c r="D406" s="55" t="str">
        <f>_xlfn.XLOOKUP(A406,My_Audit!A:A,My_Audit!D:D,"")&amp;""</f>
        <v/>
      </c>
      <c r="E406" s="55" t="str" cm="1">
        <f t="array" ref="E406">IFERROR(_xlfn.LET(
_xlpm.CSVVal,_xlfn.XLOOKUP($A406,CSV!$A:$A,CSV!D:D,""),
_xlpm.MacVal,_xlfn.XLOOKUP($A406,Output_Mac!$A:$A,Output_Mac!C:C,""),
_xlpm.MyAuditVal,_xlfn.XLOOKUP($A406,My_Audit!$A:$A,My_Audit!D:D,""),
_xlfn.IFS(_xlpm.MyAuditVal&lt;&gt;"",_xlpm.MyAuditVal,_xlpm.MacVal&lt;&gt;"",_xlpm.MacVal,_xlpm.CSVVal&lt;&gt;"",_xlpm.CSVVal
)),"")</f>
        <v/>
      </c>
      <c r="F406" s="54" t="str" cm="1">
        <f t="array" ref="F406">IFERROR(_xlfn.LET(
_xlpm.CSVVal,_xlfn.XLOOKUP($A406,CSV!$A:$A,CSV!E:E,""),
_xlpm.MacVal,_xlfn.XLOOKUP($A406,Output_Mac!$A:$A,Output_Mac!F:F,""),
_xlpm.MyAuditVal,_xlfn.XLOOKUP($A406,My_Audit!$A:$A,My_Audit!E:E,""),
_xlfn.IFS(_xlpm.MyAuditVal&lt;&gt;"",_xlpm.MyAuditVal,_xlpm.MacVal&lt;&gt;"",_xlpm.MacVal,_xlpm.CSVVal&lt;&gt;"",PROPER(_xlpm.CSVVal)
)),"")</f>
        <v/>
      </c>
      <c r="G406" s="54" t="str" cm="1">
        <f t="array" ref="G406">IFERROR(_xlfn.LET(
_xlpm.CSVVal,_xlfn.XLOOKUP($A406,CSV!$A:$A,CSV!F:F,""),
_xlpm.MacVal,_xlfn.XLOOKUP($A406,Output_Mac!$A:$A,Output_Mac!H:H,""),
_xlpm.MyAuditVal,_xlfn.XLOOKUP($A406,My_Audit!$A:$A,My_Audit!F:F,""),
_xlfn.IFS(_xlpm.MyAuditVal&lt;&gt;"",_xlpm.MyAuditVal,_xlpm.MacVal&lt;&gt;"",_xlpm.MacVal,_xlpm.CSVVal&lt;&gt;"",_xlpm.CSVVal
)),"")</f>
        <v/>
      </c>
      <c r="H406" s="54" t="str">
        <f>_xlfn.XLOOKUP(A406,Output_Mac!A:A,Output_Mac!I:I,"")</f>
        <v/>
      </c>
      <c r="I406" s="54" t="str" cm="1">
        <f t="array" ref="I406">IFERROR(_xlfn.LET(
_xlpm.CSVVal,_xlfn.XLOOKUP($A406,CSV!$A:$A,CSV!G:G,""),
_xlpm.MacVal,_xlfn.XLOOKUP($A406,Output_Mac!$A:$A,Output_Mac!J:J,""),
_xlpm.MyAuditVal,_xlfn.XLOOKUP($A406,My_Audit!$A:$A,My_Audit!H:H,""),
_xlfn.IFS(_xlpm.MyAuditVal&lt;&gt;"",UPPER(_xlpm.MyAuditVal),_xlpm.MacVal&lt;&gt;"",_xlpm.MacVal,_xlpm.CSVVal&lt;&gt;"",_xlpm.CSVVal
)),"")</f>
        <v/>
      </c>
      <c r="J406" s="54" t="str" cm="1">
        <f t="array" ref="J406">IFERROR(_xlfn.LET(
_xlpm.CSVVal,_xlfn.XLOOKUP($A406,CSV!$A:$A,CSV!I:I,""),
_xlpm.MacVal,_xlfn.XLOOKUP($A406,Output_Mac!$A:$A,Output_Mac!K:K,""),
_xlpm.MyAuditVal,_xlfn.XLOOKUP($A406,My_Audit!$A:$A,My_Audit!I:I,""),
_xlfn.IFS(_xlpm.MyAuditVal&lt;&gt;"",UPPER(_xlpm.MyAuditVal),_xlpm.MacVal&lt;&gt;"",_xlpm.MacVal,_xlpm.CSVVal&lt;&gt;"",_xlpm.CSVVal
)),"")</f>
        <v/>
      </c>
      <c r="K406" s="54" t="str" cm="1">
        <f t="array" ref="K406">IFERROR(_xlfn.LET(
_xlpm.CSVVal,_xlfn.XLOOKUP($A406,CSV!$A:$A,CSV!M:M,""),
_xlpm.MacVal,_xlfn.XLOOKUP($A406,Output_Mac!$A:$A,Output_Mac!L:L,""),
_xlpm.MyAuditVal,_xlfn.XLOOKUP($A406,My_Audit!$A:$A,My_Audit!J:J,""),
_xlfn.IFS(_xlpm.MyAuditVal&lt;&gt;"",UPPER(_xlpm.MyAuditVal),_xlpm.MacVal&lt;&gt;"",_xlpm.MacVal,_xlpm.CSVVal&lt;&gt;"",_xlpm.CSVVal
)),"")</f>
        <v/>
      </c>
      <c r="L406" s="54" t="str" cm="1">
        <f t="array" ref="L406">IFERROR(_xlfn.LET(
_xlpm.CSVVal,_xlfn.XLOOKUP($A406,CSV!$A:$A,CSV!O:O,""),
_xlpm.MacVal,_xlfn.XLOOKUP($A406,Output_Mac!$A:$A,Output_Mac!M:M,""),
_xlpm.MyAuditVal,_xlfn.XLOOKUP($A406,My_Audit!$A:$A,My_Audit!K:K,""),
_xlfn.IFS(_xlpm.MyAuditVal&lt;&gt;"",UPPER(_xlpm.MyAuditVal),_xlpm.MacVal&lt;&gt;"",_xlpm.MacVal,_xlpm.CSVVal&lt;&gt;"",_xlpm.CSVVal
)),"")</f>
        <v/>
      </c>
      <c r="M406" s="54" t="str">
        <f>_xlfn.LET(
    _xlpm.CSVVal, _xlfn.XLOOKUP($A406, CSV!$A:$A, CSV!AD:AD, ""),
    _xlpm.MacVal, _xlfn.XLOOKUP($A406, Output_Mac!$A:$A, Output_Mac!S:S, ""),
    _xlpm.MyAuditVal, _xlfn.XLOOKUP($A406, My_Audit!$A:$A, My_Audit!N:N, ""),
    _xlfn.TEXTJOIN(", ", TRUE, _xlpm.MyAuditVal, _xlpm.MacVal, _xlpm.CSVVal)
)</f>
        <v/>
      </c>
      <c r="N406" s="54" t="str" cm="1">
        <f t="array" ref="N406">IFERROR(_xlfn.LET(
_xlpm.CSVVal,_xlfn.XLOOKUP($A406,CSV!$A:$A,CSV!AF:AF,""),
_xlpm.MacVal,_xlfn.XLOOKUP($A406,Output_Mac!$A:$A,Output_Mac!U:U,""),
_xlpm.MyAuditVal,_xlfn.XLOOKUP($A406,My_Audit!$A:$A,My_Audit!O:O,""),
_xlfn.IFS(_xlpm.MyAuditVal&lt;&gt;"",UPPER(_xlpm.MyAuditVal),_xlpm.MacVal&lt;&gt;"",_xlpm.MacVal,_xlpm.CSVVal&lt;&gt;"",_xlpm.CSVVal
)),"")</f>
        <v/>
      </c>
      <c r="O406" s="54"/>
      <c r="P406" s="54"/>
      <c r="Q406" s="54"/>
      <c r="R406" s="54"/>
      <c r="S406" s="54"/>
      <c r="T406" s="54"/>
      <c r="U406" s="39"/>
    </row>
    <row r="407" spans="1:21">
      <c r="A407" s="54" t="str">
        <f>_xlfn.TEXTJOIN("",TRUE,Input!$B$2,ROW(My_Audit!A406))</f>
        <v>XX406</v>
      </c>
      <c r="B407" s="54" t="str">
        <f>_xlfn.TEXTJOIN("-",TRUE,"ITD",Input!$A$2,A407)</f>
        <v>ITD-SHRXXX-XX406</v>
      </c>
      <c r="C407" s="54" t="str" cm="1">
        <f t="array" ref="C407">IFERROR(_xlfn.LET(
_xlpm.CSVVal,_xlfn.XLOOKUP($A407,CSV!$A:$A,CSV!B:B,""),
_xlpm.MacVal,_xlfn.XLOOKUP($A407,Output_Mac!$A:$A,Output_Mac!B:B,""),
_xlpm.MyAuditVal,_xlfn.XLOOKUP($A407,My_Audit!$A:$A,My_Audit!B:B,""),
_xlfn.IFS(_xlpm.MyAuditVal&lt;&gt;"",UPPER(_xlpm.MyAuditVal),_xlpm.MacVal&lt;&gt;"",_xlpm.MacVal,_xlpm.CSVVal&lt;&gt;"",_xlpm.CSVVal
)),"")</f>
        <v/>
      </c>
      <c r="D407" s="55" t="str">
        <f>_xlfn.XLOOKUP(A407,My_Audit!A:A,My_Audit!D:D,"")&amp;""</f>
        <v/>
      </c>
      <c r="E407" s="55" t="str" cm="1">
        <f t="array" ref="E407">IFERROR(_xlfn.LET(
_xlpm.CSVVal,_xlfn.XLOOKUP($A407,CSV!$A:$A,CSV!D:D,""),
_xlpm.MacVal,_xlfn.XLOOKUP($A407,Output_Mac!$A:$A,Output_Mac!C:C,""),
_xlpm.MyAuditVal,_xlfn.XLOOKUP($A407,My_Audit!$A:$A,My_Audit!D:D,""),
_xlfn.IFS(_xlpm.MyAuditVal&lt;&gt;"",_xlpm.MyAuditVal,_xlpm.MacVal&lt;&gt;"",_xlpm.MacVal,_xlpm.CSVVal&lt;&gt;"",_xlpm.CSVVal
)),"")</f>
        <v/>
      </c>
      <c r="F407" s="54" t="str" cm="1">
        <f t="array" ref="F407">IFERROR(_xlfn.LET(
_xlpm.CSVVal,_xlfn.XLOOKUP($A407,CSV!$A:$A,CSV!E:E,""),
_xlpm.MacVal,_xlfn.XLOOKUP($A407,Output_Mac!$A:$A,Output_Mac!F:F,""),
_xlpm.MyAuditVal,_xlfn.XLOOKUP($A407,My_Audit!$A:$A,My_Audit!E:E,""),
_xlfn.IFS(_xlpm.MyAuditVal&lt;&gt;"",_xlpm.MyAuditVal,_xlpm.MacVal&lt;&gt;"",_xlpm.MacVal,_xlpm.CSVVal&lt;&gt;"",PROPER(_xlpm.CSVVal)
)),"")</f>
        <v/>
      </c>
      <c r="G407" s="54" t="str" cm="1">
        <f t="array" ref="G407">IFERROR(_xlfn.LET(
_xlpm.CSVVal,_xlfn.XLOOKUP($A407,CSV!$A:$A,CSV!F:F,""),
_xlpm.MacVal,_xlfn.XLOOKUP($A407,Output_Mac!$A:$A,Output_Mac!H:H,""),
_xlpm.MyAuditVal,_xlfn.XLOOKUP($A407,My_Audit!$A:$A,My_Audit!F:F,""),
_xlfn.IFS(_xlpm.MyAuditVal&lt;&gt;"",_xlpm.MyAuditVal,_xlpm.MacVal&lt;&gt;"",_xlpm.MacVal,_xlpm.CSVVal&lt;&gt;"",_xlpm.CSVVal
)),"")</f>
        <v/>
      </c>
      <c r="H407" s="54" t="str">
        <f>_xlfn.XLOOKUP(A407,Output_Mac!A:A,Output_Mac!I:I,"")</f>
        <v/>
      </c>
      <c r="I407" s="54" t="str" cm="1">
        <f t="array" ref="I407">IFERROR(_xlfn.LET(
_xlpm.CSVVal,_xlfn.XLOOKUP($A407,CSV!$A:$A,CSV!G:G,""),
_xlpm.MacVal,_xlfn.XLOOKUP($A407,Output_Mac!$A:$A,Output_Mac!J:J,""),
_xlpm.MyAuditVal,_xlfn.XLOOKUP($A407,My_Audit!$A:$A,My_Audit!H:H,""),
_xlfn.IFS(_xlpm.MyAuditVal&lt;&gt;"",UPPER(_xlpm.MyAuditVal),_xlpm.MacVal&lt;&gt;"",_xlpm.MacVal,_xlpm.CSVVal&lt;&gt;"",_xlpm.CSVVal
)),"")</f>
        <v/>
      </c>
      <c r="J407" s="54" t="str" cm="1">
        <f t="array" ref="J407">IFERROR(_xlfn.LET(
_xlpm.CSVVal,_xlfn.XLOOKUP($A407,CSV!$A:$A,CSV!I:I,""),
_xlpm.MacVal,_xlfn.XLOOKUP($A407,Output_Mac!$A:$A,Output_Mac!K:K,""),
_xlpm.MyAuditVal,_xlfn.XLOOKUP($A407,My_Audit!$A:$A,My_Audit!I:I,""),
_xlfn.IFS(_xlpm.MyAuditVal&lt;&gt;"",UPPER(_xlpm.MyAuditVal),_xlpm.MacVal&lt;&gt;"",_xlpm.MacVal,_xlpm.CSVVal&lt;&gt;"",_xlpm.CSVVal
)),"")</f>
        <v/>
      </c>
      <c r="K407" s="54" t="str" cm="1">
        <f t="array" ref="K407">IFERROR(_xlfn.LET(
_xlpm.CSVVal,_xlfn.XLOOKUP($A407,CSV!$A:$A,CSV!M:M,""),
_xlpm.MacVal,_xlfn.XLOOKUP($A407,Output_Mac!$A:$A,Output_Mac!L:L,""),
_xlpm.MyAuditVal,_xlfn.XLOOKUP($A407,My_Audit!$A:$A,My_Audit!J:J,""),
_xlfn.IFS(_xlpm.MyAuditVal&lt;&gt;"",UPPER(_xlpm.MyAuditVal),_xlpm.MacVal&lt;&gt;"",_xlpm.MacVal,_xlpm.CSVVal&lt;&gt;"",_xlpm.CSVVal
)),"")</f>
        <v/>
      </c>
      <c r="L407" s="54" t="str" cm="1">
        <f t="array" ref="L407">IFERROR(_xlfn.LET(
_xlpm.CSVVal,_xlfn.XLOOKUP($A407,CSV!$A:$A,CSV!O:O,""),
_xlpm.MacVal,_xlfn.XLOOKUP($A407,Output_Mac!$A:$A,Output_Mac!M:M,""),
_xlpm.MyAuditVal,_xlfn.XLOOKUP($A407,My_Audit!$A:$A,My_Audit!K:K,""),
_xlfn.IFS(_xlpm.MyAuditVal&lt;&gt;"",UPPER(_xlpm.MyAuditVal),_xlpm.MacVal&lt;&gt;"",_xlpm.MacVal,_xlpm.CSVVal&lt;&gt;"",_xlpm.CSVVal
)),"")</f>
        <v/>
      </c>
      <c r="M407" s="54" t="str">
        <f>_xlfn.LET(
    _xlpm.CSVVal, _xlfn.XLOOKUP($A407, CSV!$A:$A, CSV!AD:AD, ""),
    _xlpm.MacVal, _xlfn.XLOOKUP($A407, Output_Mac!$A:$A, Output_Mac!S:S, ""),
    _xlpm.MyAuditVal, _xlfn.XLOOKUP($A407, My_Audit!$A:$A, My_Audit!N:N, ""),
    _xlfn.TEXTJOIN(", ", TRUE, _xlpm.MyAuditVal, _xlpm.MacVal, _xlpm.CSVVal)
)</f>
        <v/>
      </c>
      <c r="N407" s="54" t="str" cm="1">
        <f t="array" ref="N407">IFERROR(_xlfn.LET(
_xlpm.CSVVal,_xlfn.XLOOKUP($A407,CSV!$A:$A,CSV!AF:AF,""),
_xlpm.MacVal,_xlfn.XLOOKUP($A407,Output_Mac!$A:$A,Output_Mac!U:U,""),
_xlpm.MyAuditVal,_xlfn.XLOOKUP($A407,My_Audit!$A:$A,My_Audit!O:O,""),
_xlfn.IFS(_xlpm.MyAuditVal&lt;&gt;"",UPPER(_xlpm.MyAuditVal),_xlpm.MacVal&lt;&gt;"",_xlpm.MacVal,_xlpm.CSVVal&lt;&gt;"",_xlpm.CSVVal
)),"")</f>
        <v/>
      </c>
      <c r="O407" s="54"/>
      <c r="P407" s="54"/>
      <c r="Q407" s="54"/>
      <c r="R407" s="54"/>
      <c r="S407" s="54"/>
      <c r="T407" s="54"/>
      <c r="U407" s="39"/>
    </row>
    <row r="408" spans="1:21">
      <c r="A408" s="54" t="str">
        <f>_xlfn.TEXTJOIN("",TRUE,Input!$B$2,ROW(My_Audit!A407))</f>
        <v>XX407</v>
      </c>
      <c r="B408" s="54" t="str">
        <f>_xlfn.TEXTJOIN("-",TRUE,"ITD",Input!$A$2,A408)</f>
        <v>ITD-SHRXXX-XX407</v>
      </c>
      <c r="C408" s="54" t="str" cm="1">
        <f t="array" ref="C408">IFERROR(_xlfn.LET(
_xlpm.CSVVal,_xlfn.XLOOKUP($A408,CSV!$A:$A,CSV!B:B,""),
_xlpm.MacVal,_xlfn.XLOOKUP($A408,Output_Mac!$A:$A,Output_Mac!B:B,""),
_xlpm.MyAuditVal,_xlfn.XLOOKUP($A408,My_Audit!$A:$A,My_Audit!B:B,""),
_xlfn.IFS(_xlpm.MyAuditVal&lt;&gt;"",UPPER(_xlpm.MyAuditVal),_xlpm.MacVal&lt;&gt;"",_xlpm.MacVal,_xlpm.CSVVal&lt;&gt;"",_xlpm.CSVVal
)),"")</f>
        <v/>
      </c>
      <c r="D408" s="55" t="str">
        <f>_xlfn.XLOOKUP(A408,My_Audit!A:A,My_Audit!D:D,"")&amp;""</f>
        <v/>
      </c>
      <c r="E408" s="55" t="str" cm="1">
        <f t="array" ref="E408">IFERROR(_xlfn.LET(
_xlpm.CSVVal,_xlfn.XLOOKUP($A408,CSV!$A:$A,CSV!D:D,""),
_xlpm.MacVal,_xlfn.XLOOKUP($A408,Output_Mac!$A:$A,Output_Mac!C:C,""),
_xlpm.MyAuditVal,_xlfn.XLOOKUP($A408,My_Audit!$A:$A,My_Audit!D:D,""),
_xlfn.IFS(_xlpm.MyAuditVal&lt;&gt;"",_xlpm.MyAuditVal,_xlpm.MacVal&lt;&gt;"",_xlpm.MacVal,_xlpm.CSVVal&lt;&gt;"",_xlpm.CSVVal
)),"")</f>
        <v/>
      </c>
      <c r="F408" s="54" t="str" cm="1">
        <f t="array" ref="F408">IFERROR(_xlfn.LET(
_xlpm.CSVVal,_xlfn.XLOOKUP($A408,CSV!$A:$A,CSV!E:E,""),
_xlpm.MacVal,_xlfn.XLOOKUP($A408,Output_Mac!$A:$A,Output_Mac!F:F,""),
_xlpm.MyAuditVal,_xlfn.XLOOKUP($A408,My_Audit!$A:$A,My_Audit!E:E,""),
_xlfn.IFS(_xlpm.MyAuditVal&lt;&gt;"",_xlpm.MyAuditVal,_xlpm.MacVal&lt;&gt;"",_xlpm.MacVal,_xlpm.CSVVal&lt;&gt;"",PROPER(_xlpm.CSVVal)
)),"")</f>
        <v/>
      </c>
      <c r="G408" s="54" t="str" cm="1">
        <f t="array" ref="G408">IFERROR(_xlfn.LET(
_xlpm.CSVVal,_xlfn.XLOOKUP($A408,CSV!$A:$A,CSV!F:F,""),
_xlpm.MacVal,_xlfn.XLOOKUP($A408,Output_Mac!$A:$A,Output_Mac!H:H,""),
_xlpm.MyAuditVal,_xlfn.XLOOKUP($A408,My_Audit!$A:$A,My_Audit!F:F,""),
_xlfn.IFS(_xlpm.MyAuditVal&lt;&gt;"",_xlpm.MyAuditVal,_xlpm.MacVal&lt;&gt;"",_xlpm.MacVal,_xlpm.CSVVal&lt;&gt;"",_xlpm.CSVVal
)),"")</f>
        <v/>
      </c>
      <c r="H408" s="54" t="str">
        <f>_xlfn.XLOOKUP(A408,Output_Mac!A:A,Output_Mac!I:I,"")</f>
        <v/>
      </c>
      <c r="I408" s="54" t="str" cm="1">
        <f t="array" ref="I408">IFERROR(_xlfn.LET(
_xlpm.CSVVal,_xlfn.XLOOKUP($A408,CSV!$A:$A,CSV!G:G,""),
_xlpm.MacVal,_xlfn.XLOOKUP($A408,Output_Mac!$A:$A,Output_Mac!J:J,""),
_xlpm.MyAuditVal,_xlfn.XLOOKUP($A408,My_Audit!$A:$A,My_Audit!H:H,""),
_xlfn.IFS(_xlpm.MyAuditVal&lt;&gt;"",UPPER(_xlpm.MyAuditVal),_xlpm.MacVal&lt;&gt;"",_xlpm.MacVal,_xlpm.CSVVal&lt;&gt;"",_xlpm.CSVVal
)),"")</f>
        <v/>
      </c>
      <c r="J408" s="54" t="str" cm="1">
        <f t="array" ref="J408">IFERROR(_xlfn.LET(
_xlpm.CSVVal,_xlfn.XLOOKUP($A408,CSV!$A:$A,CSV!I:I,""),
_xlpm.MacVal,_xlfn.XLOOKUP($A408,Output_Mac!$A:$A,Output_Mac!K:K,""),
_xlpm.MyAuditVal,_xlfn.XLOOKUP($A408,My_Audit!$A:$A,My_Audit!I:I,""),
_xlfn.IFS(_xlpm.MyAuditVal&lt;&gt;"",UPPER(_xlpm.MyAuditVal),_xlpm.MacVal&lt;&gt;"",_xlpm.MacVal,_xlpm.CSVVal&lt;&gt;"",_xlpm.CSVVal
)),"")</f>
        <v/>
      </c>
      <c r="K408" s="54" t="str" cm="1">
        <f t="array" ref="K408">IFERROR(_xlfn.LET(
_xlpm.CSVVal,_xlfn.XLOOKUP($A408,CSV!$A:$A,CSV!M:M,""),
_xlpm.MacVal,_xlfn.XLOOKUP($A408,Output_Mac!$A:$A,Output_Mac!L:L,""),
_xlpm.MyAuditVal,_xlfn.XLOOKUP($A408,My_Audit!$A:$A,My_Audit!J:J,""),
_xlfn.IFS(_xlpm.MyAuditVal&lt;&gt;"",UPPER(_xlpm.MyAuditVal),_xlpm.MacVal&lt;&gt;"",_xlpm.MacVal,_xlpm.CSVVal&lt;&gt;"",_xlpm.CSVVal
)),"")</f>
        <v/>
      </c>
      <c r="L408" s="54" t="str" cm="1">
        <f t="array" ref="L408">IFERROR(_xlfn.LET(
_xlpm.CSVVal,_xlfn.XLOOKUP($A408,CSV!$A:$A,CSV!O:O,""),
_xlpm.MacVal,_xlfn.XLOOKUP($A408,Output_Mac!$A:$A,Output_Mac!M:M,""),
_xlpm.MyAuditVal,_xlfn.XLOOKUP($A408,My_Audit!$A:$A,My_Audit!K:K,""),
_xlfn.IFS(_xlpm.MyAuditVal&lt;&gt;"",UPPER(_xlpm.MyAuditVal),_xlpm.MacVal&lt;&gt;"",_xlpm.MacVal,_xlpm.CSVVal&lt;&gt;"",_xlpm.CSVVal
)),"")</f>
        <v/>
      </c>
      <c r="M408" s="54" t="str">
        <f>_xlfn.LET(
    _xlpm.CSVVal, _xlfn.XLOOKUP($A408, CSV!$A:$A, CSV!AD:AD, ""),
    _xlpm.MacVal, _xlfn.XLOOKUP($A408, Output_Mac!$A:$A, Output_Mac!S:S, ""),
    _xlpm.MyAuditVal, _xlfn.XLOOKUP($A408, My_Audit!$A:$A, My_Audit!N:N, ""),
    _xlfn.TEXTJOIN(", ", TRUE, _xlpm.MyAuditVal, _xlpm.MacVal, _xlpm.CSVVal)
)</f>
        <v/>
      </c>
      <c r="N408" s="54" t="str" cm="1">
        <f t="array" ref="N408">IFERROR(_xlfn.LET(
_xlpm.CSVVal,_xlfn.XLOOKUP($A408,CSV!$A:$A,CSV!AF:AF,""),
_xlpm.MacVal,_xlfn.XLOOKUP($A408,Output_Mac!$A:$A,Output_Mac!U:U,""),
_xlpm.MyAuditVal,_xlfn.XLOOKUP($A408,My_Audit!$A:$A,My_Audit!O:O,""),
_xlfn.IFS(_xlpm.MyAuditVal&lt;&gt;"",UPPER(_xlpm.MyAuditVal),_xlpm.MacVal&lt;&gt;"",_xlpm.MacVal,_xlpm.CSVVal&lt;&gt;"",_xlpm.CSVVal
)),"")</f>
        <v/>
      </c>
      <c r="O408" s="54"/>
      <c r="P408" s="54"/>
      <c r="Q408" s="54"/>
      <c r="R408" s="54"/>
      <c r="S408" s="54"/>
      <c r="T408" s="54"/>
      <c r="U408" s="39"/>
    </row>
    <row r="409" spans="1:21">
      <c r="A409" s="54" t="str">
        <f>_xlfn.TEXTJOIN("",TRUE,Input!$B$2,ROW(My_Audit!A408))</f>
        <v>XX408</v>
      </c>
      <c r="B409" s="54" t="str">
        <f>_xlfn.TEXTJOIN("-",TRUE,"ITD",Input!$A$2,A409)</f>
        <v>ITD-SHRXXX-XX408</v>
      </c>
      <c r="C409" s="54" t="str" cm="1">
        <f t="array" ref="C409">IFERROR(_xlfn.LET(
_xlpm.CSVVal,_xlfn.XLOOKUP($A409,CSV!$A:$A,CSV!B:B,""),
_xlpm.MacVal,_xlfn.XLOOKUP($A409,Output_Mac!$A:$A,Output_Mac!B:B,""),
_xlpm.MyAuditVal,_xlfn.XLOOKUP($A409,My_Audit!$A:$A,My_Audit!B:B,""),
_xlfn.IFS(_xlpm.MyAuditVal&lt;&gt;"",UPPER(_xlpm.MyAuditVal),_xlpm.MacVal&lt;&gt;"",_xlpm.MacVal,_xlpm.CSVVal&lt;&gt;"",_xlpm.CSVVal
)),"")</f>
        <v/>
      </c>
      <c r="D409" s="55" t="str">
        <f>_xlfn.XLOOKUP(A409,My_Audit!A:A,My_Audit!D:D,"")&amp;""</f>
        <v/>
      </c>
      <c r="E409" s="55" t="str" cm="1">
        <f t="array" ref="E409">IFERROR(_xlfn.LET(
_xlpm.CSVVal,_xlfn.XLOOKUP($A409,CSV!$A:$A,CSV!D:D,""),
_xlpm.MacVal,_xlfn.XLOOKUP($A409,Output_Mac!$A:$A,Output_Mac!C:C,""),
_xlpm.MyAuditVal,_xlfn.XLOOKUP($A409,My_Audit!$A:$A,My_Audit!D:D,""),
_xlfn.IFS(_xlpm.MyAuditVal&lt;&gt;"",_xlpm.MyAuditVal,_xlpm.MacVal&lt;&gt;"",_xlpm.MacVal,_xlpm.CSVVal&lt;&gt;"",_xlpm.CSVVal
)),"")</f>
        <v/>
      </c>
      <c r="F409" s="54" t="str" cm="1">
        <f t="array" ref="F409">IFERROR(_xlfn.LET(
_xlpm.CSVVal,_xlfn.XLOOKUP($A409,CSV!$A:$A,CSV!E:E,""),
_xlpm.MacVal,_xlfn.XLOOKUP($A409,Output_Mac!$A:$A,Output_Mac!F:F,""),
_xlpm.MyAuditVal,_xlfn.XLOOKUP($A409,My_Audit!$A:$A,My_Audit!E:E,""),
_xlfn.IFS(_xlpm.MyAuditVal&lt;&gt;"",_xlpm.MyAuditVal,_xlpm.MacVal&lt;&gt;"",_xlpm.MacVal,_xlpm.CSVVal&lt;&gt;"",PROPER(_xlpm.CSVVal)
)),"")</f>
        <v/>
      </c>
      <c r="G409" s="54" t="str" cm="1">
        <f t="array" ref="G409">IFERROR(_xlfn.LET(
_xlpm.CSVVal,_xlfn.XLOOKUP($A409,CSV!$A:$A,CSV!F:F,""),
_xlpm.MacVal,_xlfn.XLOOKUP($A409,Output_Mac!$A:$A,Output_Mac!H:H,""),
_xlpm.MyAuditVal,_xlfn.XLOOKUP($A409,My_Audit!$A:$A,My_Audit!F:F,""),
_xlfn.IFS(_xlpm.MyAuditVal&lt;&gt;"",_xlpm.MyAuditVal,_xlpm.MacVal&lt;&gt;"",_xlpm.MacVal,_xlpm.CSVVal&lt;&gt;"",_xlpm.CSVVal
)),"")</f>
        <v/>
      </c>
      <c r="H409" s="54" t="str">
        <f>_xlfn.XLOOKUP(A409,Output_Mac!A:A,Output_Mac!I:I,"")</f>
        <v/>
      </c>
      <c r="I409" s="54" t="str" cm="1">
        <f t="array" ref="I409">IFERROR(_xlfn.LET(
_xlpm.CSVVal,_xlfn.XLOOKUP($A409,CSV!$A:$A,CSV!G:G,""),
_xlpm.MacVal,_xlfn.XLOOKUP($A409,Output_Mac!$A:$A,Output_Mac!J:J,""),
_xlpm.MyAuditVal,_xlfn.XLOOKUP($A409,My_Audit!$A:$A,My_Audit!H:H,""),
_xlfn.IFS(_xlpm.MyAuditVal&lt;&gt;"",UPPER(_xlpm.MyAuditVal),_xlpm.MacVal&lt;&gt;"",_xlpm.MacVal,_xlpm.CSVVal&lt;&gt;"",_xlpm.CSVVal
)),"")</f>
        <v/>
      </c>
      <c r="J409" s="54" t="str" cm="1">
        <f t="array" ref="J409">IFERROR(_xlfn.LET(
_xlpm.CSVVal,_xlfn.XLOOKUP($A409,CSV!$A:$A,CSV!I:I,""),
_xlpm.MacVal,_xlfn.XLOOKUP($A409,Output_Mac!$A:$A,Output_Mac!K:K,""),
_xlpm.MyAuditVal,_xlfn.XLOOKUP($A409,My_Audit!$A:$A,My_Audit!I:I,""),
_xlfn.IFS(_xlpm.MyAuditVal&lt;&gt;"",UPPER(_xlpm.MyAuditVal),_xlpm.MacVal&lt;&gt;"",_xlpm.MacVal,_xlpm.CSVVal&lt;&gt;"",_xlpm.CSVVal
)),"")</f>
        <v/>
      </c>
      <c r="K409" s="54" t="str" cm="1">
        <f t="array" ref="K409">IFERROR(_xlfn.LET(
_xlpm.CSVVal,_xlfn.XLOOKUP($A409,CSV!$A:$A,CSV!M:M,""),
_xlpm.MacVal,_xlfn.XLOOKUP($A409,Output_Mac!$A:$A,Output_Mac!L:L,""),
_xlpm.MyAuditVal,_xlfn.XLOOKUP($A409,My_Audit!$A:$A,My_Audit!J:J,""),
_xlfn.IFS(_xlpm.MyAuditVal&lt;&gt;"",UPPER(_xlpm.MyAuditVal),_xlpm.MacVal&lt;&gt;"",_xlpm.MacVal,_xlpm.CSVVal&lt;&gt;"",_xlpm.CSVVal
)),"")</f>
        <v/>
      </c>
      <c r="L409" s="54" t="str" cm="1">
        <f t="array" ref="L409">IFERROR(_xlfn.LET(
_xlpm.CSVVal,_xlfn.XLOOKUP($A409,CSV!$A:$A,CSV!O:O,""),
_xlpm.MacVal,_xlfn.XLOOKUP($A409,Output_Mac!$A:$A,Output_Mac!M:M,""),
_xlpm.MyAuditVal,_xlfn.XLOOKUP($A409,My_Audit!$A:$A,My_Audit!K:K,""),
_xlfn.IFS(_xlpm.MyAuditVal&lt;&gt;"",UPPER(_xlpm.MyAuditVal),_xlpm.MacVal&lt;&gt;"",_xlpm.MacVal,_xlpm.CSVVal&lt;&gt;"",_xlpm.CSVVal
)),"")</f>
        <v/>
      </c>
      <c r="M409" s="54" t="str">
        <f>_xlfn.LET(
    _xlpm.CSVVal, _xlfn.XLOOKUP($A409, CSV!$A:$A, CSV!AD:AD, ""),
    _xlpm.MacVal, _xlfn.XLOOKUP($A409, Output_Mac!$A:$A, Output_Mac!S:S, ""),
    _xlpm.MyAuditVal, _xlfn.XLOOKUP($A409, My_Audit!$A:$A, My_Audit!N:N, ""),
    _xlfn.TEXTJOIN(", ", TRUE, _xlpm.MyAuditVal, _xlpm.MacVal, _xlpm.CSVVal)
)</f>
        <v/>
      </c>
      <c r="N409" s="54" t="str" cm="1">
        <f t="array" ref="N409">IFERROR(_xlfn.LET(
_xlpm.CSVVal,_xlfn.XLOOKUP($A409,CSV!$A:$A,CSV!AF:AF,""),
_xlpm.MacVal,_xlfn.XLOOKUP($A409,Output_Mac!$A:$A,Output_Mac!U:U,""),
_xlpm.MyAuditVal,_xlfn.XLOOKUP($A409,My_Audit!$A:$A,My_Audit!O:O,""),
_xlfn.IFS(_xlpm.MyAuditVal&lt;&gt;"",UPPER(_xlpm.MyAuditVal),_xlpm.MacVal&lt;&gt;"",_xlpm.MacVal,_xlpm.CSVVal&lt;&gt;"",_xlpm.CSVVal
)),"")</f>
        <v/>
      </c>
      <c r="O409" s="54"/>
      <c r="P409" s="54"/>
      <c r="Q409" s="54"/>
      <c r="R409" s="54"/>
      <c r="S409" s="54"/>
      <c r="T409" s="54"/>
      <c r="U409" s="39"/>
    </row>
    <row r="410" spans="1:21">
      <c r="A410" s="54" t="str">
        <f>_xlfn.TEXTJOIN("",TRUE,Input!$B$2,ROW(My_Audit!A409))</f>
        <v>XX409</v>
      </c>
      <c r="B410" s="54" t="str">
        <f>_xlfn.TEXTJOIN("-",TRUE,"ITD",Input!$A$2,A410)</f>
        <v>ITD-SHRXXX-XX409</v>
      </c>
      <c r="C410" s="54" t="str" cm="1">
        <f t="array" ref="C410">IFERROR(_xlfn.LET(
_xlpm.CSVVal,_xlfn.XLOOKUP($A410,CSV!$A:$A,CSV!B:B,""),
_xlpm.MacVal,_xlfn.XLOOKUP($A410,Output_Mac!$A:$A,Output_Mac!B:B,""),
_xlpm.MyAuditVal,_xlfn.XLOOKUP($A410,My_Audit!$A:$A,My_Audit!B:B,""),
_xlfn.IFS(_xlpm.MyAuditVal&lt;&gt;"",UPPER(_xlpm.MyAuditVal),_xlpm.MacVal&lt;&gt;"",_xlpm.MacVal,_xlpm.CSVVal&lt;&gt;"",_xlpm.CSVVal
)),"")</f>
        <v/>
      </c>
      <c r="D410" s="55" t="str">
        <f>_xlfn.XLOOKUP(A410,My_Audit!A:A,My_Audit!D:D,"")&amp;""</f>
        <v/>
      </c>
      <c r="E410" s="55" t="str" cm="1">
        <f t="array" ref="E410">IFERROR(_xlfn.LET(
_xlpm.CSVVal,_xlfn.XLOOKUP($A410,CSV!$A:$A,CSV!D:D,""),
_xlpm.MacVal,_xlfn.XLOOKUP($A410,Output_Mac!$A:$A,Output_Mac!C:C,""),
_xlpm.MyAuditVal,_xlfn.XLOOKUP($A410,My_Audit!$A:$A,My_Audit!D:D,""),
_xlfn.IFS(_xlpm.MyAuditVal&lt;&gt;"",_xlpm.MyAuditVal,_xlpm.MacVal&lt;&gt;"",_xlpm.MacVal,_xlpm.CSVVal&lt;&gt;"",_xlpm.CSVVal
)),"")</f>
        <v/>
      </c>
      <c r="F410" s="54" t="str" cm="1">
        <f t="array" ref="F410">IFERROR(_xlfn.LET(
_xlpm.CSVVal,_xlfn.XLOOKUP($A410,CSV!$A:$A,CSV!E:E,""),
_xlpm.MacVal,_xlfn.XLOOKUP($A410,Output_Mac!$A:$A,Output_Mac!F:F,""),
_xlpm.MyAuditVal,_xlfn.XLOOKUP($A410,My_Audit!$A:$A,My_Audit!E:E,""),
_xlfn.IFS(_xlpm.MyAuditVal&lt;&gt;"",_xlpm.MyAuditVal,_xlpm.MacVal&lt;&gt;"",_xlpm.MacVal,_xlpm.CSVVal&lt;&gt;"",PROPER(_xlpm.CSVVal)
)),"")</f>
        <v/>
      </c>
      <c r="G410" s="54" t="str" cm="1">
        <f t="array" ref="G410">IFERROR(_xlfn.LET(
_xlpm.CSVVal,_xlfn.XLOOKUP($A410,CSV!$A:$A,CSV!F:F,""),
_xlpm.MacVal,_xlfn.XLOOKUP($A410,Output_Mac!$A:$A,Output_Mac!H:H,""),
_xlpm.MyAuditVal,_xlfn.XLOOKUP($A410,My_Audit!$A:$A,My_Audit!F:F,""),
_xlfn.IFS(_xlpm.MyAuditVal&lt;&gt;"",_xlpm.MyAuditVal,_xlpm.MacVal&lt;&gt;"",_xlpm.MacVal,_xlpm.CSVVal&lt;&gt;"",_xlpm.CSVVal
)),"")</f>
        <v/>
      </c>
      <c r="H410" s="54" t="str">
        <f>_xlfn.XLOOKUP(A410,Output_Mac!A:A,Output_Mac!I:I,"")</f>
        <v/>
      </c>
      <c r="I410" s="54" t="str" cm="1">
        <f t="array" ref="I410">IFERROR(_xlfn.LET(
_xlpm.CSVVal,_xlfn.XLOOKUP($A410,CSV!$A:$A,CSV!G:G,""),
_xlpm.MacVal,_xlfn.XLOOKUP($A410,Output_Mac!$A:$A,Output_Mac!J:J,""),
_xlpm.MyAuditVal,_xlfn.XLOOKUP($A410,My_Audit!$A:$A,My_Audit!H:H,""),
_xlfn.IFS(_xlpm.MyAuditVal&lt;&gt;"",UPPER(_xlpm.MyAuditVal),_xlpm.MacVal&lt;&gt;"",_xlpm.MacVal,_xlpm.CSVVal&lt;&gt;"",_xlpm.CSVVal
)),"")</f>
        <v/>
      </c>
      <c r="J410" s="54" t="str" cm="1">
        <f t="array" ref="J410">IFERROR(_xlfn.LET(
_xlpm.CSVVal,_xlfn.XLOOKUP($A410,CSV!$A:$A,CSV!I:I,""),
_xlpm.MacVal,_xlfn.XLOOKUP($A410,Output_Mac!$A:$A,Output_Mac!K:K,""),
_xlpm.MyAuditVal,_xlfn.XLOOKUP($A410,My_Audit!$A:$A,My_Audit!I:I,""),
_xlfn.IFS(_xlpm.MyAuditVal&lt;&gt;"",UPPER(_xlpm.MyAuditVal),_xlpm.MacVal&lt;&gt;"",_xlpm.MacVal,_xlpm.CSVVal&lt;&gt;"",_xlpm.CSVVal
)),"")</f>
        <v/>
      </c>
      <c r="K410" s="54" t="str" cm="1">
        <f t="array" ref="K410">IFERROR(_xlfn.LET(
_xlpm.CSVVal,_xlfn.XLOOKUP($A410,CSV!$A:$A,CSV!M:M,""),
_xlpm.MacVal,_xlfn.XLOOKUP($A410,Output_Mac!$A:$A,Output_Mac!L:L,""),
_xlpm.MyAuditVal,_xlfn.XLOOKUP($A410,My_Audit!$A:$A,My_Audit!J:J,""),
_xlfn.IFS(_xlpm.MyAuditVal&lt;&gt;"",UPPER(_xlpm.MyAuditVal),_xlpm.MacVal&lt;&gt;"",_xlpm.MacVal,_xlpm.CSVVal&lt;&gt;"",_xlpm.CSVVal
)),"")</f>
        <v/>
      </c>
      <c r="L410" s="54" t="str" cm="1">
        <f t="array" ref="L410">IFERROR(_xlfn.LET(
_xlpm.CSVVal,_xlfn.XLOOKUP($A410,CSV!$A:$A,CSV!O:O,""),
_xlpm.MacVal,_xlfn.XLOOKUP($A410,Output_Mac!$A:$A,Output_Mac!M:M,""),
_xlpm.MyAuditVal,_xlfn.XLOOKUP($A410,My_Audit!$A:$A,My_Audit!K:K,""),
_xlfn.IFS(_xlpm.MyAuditVal&lt;&gt;"",UPPER(_xlpm.MyAuditVal),_xlpm.MacVal&lt;&gt;"",_xlpm.MacVal,_xlpm.CSVVal&lt;&gt;"",_xlpm.CSVVal
)),"")</f>
        <v/>
      </c>
      <c r="M410" s="54" t="str">
        <f>_xlfn.LET(
    _xlpm.CSVVal, _xlfn.XLOOKUP($A410, CSV!$A:$A, CSV!AD:AD, ""),
    _xlpm.MacVal, _xlfn.XLOOKUP($A410, Output_Mac!$A:$A, Output_Mac!S:S, ""),
    _xlpm.MyAuditVal, _xlfn.XLOOKUP($A410, My_Audit!$A:$A, My_Audit!N:N, ""),
    _xlfn.TEXTJOIN(", ", TRUE, _xlpm.MyAuditVal, _xlpm.MacVal, _xlpm.CSVVal)
)</f>
        <v/>
      </c>
      <c r="N410" s="54" t="str" cm="1">
        <f t="array" ref="N410">IFERROR(_xlfn.LET(
_xlpm.CSVVal,_xlfn.XLOOKUP($A410,CSV!$A:$A,CSV!AF:AF,""),
_xlpm.MacVal,_xlfn.XLOOKUP($A410,Output_Mac!$A:$A,Output_Mac!U:U,""),
_xlpm.MyAuditVal,_xlfn.XLOOKUP($A410,My_Audit!$A:$A,My_Audit!O:O,""),
_xlfn.IFS(_xlpm.MyAuditVal&lt;&gt;"",UPPER(_xlpm.MyAuditVal),_xlpm.MacVal&lt;&gt;"",_xlpm.MacVal,_xlpm.CSVVal&lt;&gt;"",_xlpm.CSVVal
)),"")</f>
        <v/>
      </c>
      <c r="O410" s="54"/>
      <c r="P410" s="54"/>
      <c r="Q410" s="54"/>
      <c r="R410" s="54"/>
      <c r="S410" s="54"/>
      <c r="T410" s="54"/>
      <c r="U410" s="39"/>
    </row>
    <row r="411" spans="1:21">
      <c r="A411" s="54" t="str">
        <f>_xlfn.TEXTJOIN("",TRUE,Input!$B$2,ROW(My_Audit!A410))</f>
        <v>XX410</v>
      </c>
      <c r="B411" s="54" t="str">
        <f>_xlfn.TEXTJOIN("-",TRUE,"ITD",Input!$A$2,A411)</f>
        <v>ITD-SHRXXX-XX410</v>
      </c>
      <c r="C411" s="54" t="str" cm="1">
        <f t="array" ref="C411">IFERROR(_xlfn.LET(
_xlpm.CSVVal,_xlfn.XLOOKUP($A411,CSV!$A:$A,CSV!B:B,""),
_xlpm.MacVal,_xlfn.XLOOKUP($A411,Output_Mac!$A:$A,Output_Mac!B:B,""),
_xlpm.MyAuditVal,_xlfn.XLOOKUP($A411,My_Audit!$A:$A,My_Audit!B:B,""),
_xlfn.IFS(_xlpm.MyAuditVal&lt;&gt;"",UPPER(_xlpm.MyAuditVal),_xlpm.MacVal&lt;&gt;"",_xlpm.MacVal,_xlpm.CSVVal&lt;&gt;"",_xlpm.CSVVal
)),"")</f>
        <v/>
      </c>
      <c r="D411" s="55" t="str">
        <f>_xlfn.XLOOKUP(A411,My_Audit!A:A,My_Audit!D:D,"")&amp;""</f>
        <v/>
      </c>
      <c r="E411" s="55" t="str" cm="1">
        <f t="array" ref="E411">IFERROR(_xlfn.LET(
_xlpm.CSVVal,_xlfn.XLOOKUP($A411,CSV!$A:$A,CSV!D:D,""),
_xlpm.MacVal,_xlfn.XLOOKUP($A411,Output_Mac!$A:$A,Output_Mac!C:C,""),
_xlpm.MyAuditVal,_xlfn.XLOOKUP($A411,My_Audit!$A:$A,My_Audit!D:D,""),
_xlfn.IFS(_xlpm.MyAuditVal&lt;&gt;"",_xlpm.MyAuditVal,_xlpm.MacVal&lt;&gt;"",_xlpm.MacVal,_xlpm.CSVVal&lt;&gt;"",_xlpm.CSVVal
)),"")</f>
        <v/>
      </c>
      <c r="F411" s="54" t="str" cm="1">
        <f t="array" ref="F411">IFERROR(_xlfn.LET(
_xlpm.CSVVal,_xlfn.XLOOKUP($A411,CSV!$A:$A,CSV!E:E,""),
_xlpm.MacVal,_xlfn.XLOOKUP($A411,Output_Mac!$A:$A,Output_Mac!F:F,""),
_xlpm.MyAuditVal,_xlfn.XLOOKUP($A411,My_Audit!$A:$A,My_Audit!E:E,""),
_xlfn.IFS(_xlpm.MyAuditVal&lt;&gt;"",_xlpm.MyAuditVal,_xlpm.MacVal&lt;&gt;"",_xlpm.MacVal,_xlpm.CSVVal&lt;&gt;"",PROPER(_xlpm.CSVVal)
)),"")</f>
        <v/>
      </c>
      <c r="G411" s="54" t="str" cm="1">
        <f t="array" ref="G411">IFERROR(_xlfn.LET(
_xlpm.CSVVal,_xlfn.XLOOKUP($A411,CSV!$A:$A,CSV!F:F,""),
_xlpm.MacVal,_xlfn.XLOOKUP($A411,Output_Mac!$A:$A,Output_Mac!H:H,""),
_xlpm.MyAuditVal,_xlfn.XLOOKUP($A411,My_Audit!$A:$A,My_Audit!F:F,""),
_xlfn.IFS(_xlpm.MyAuditVal&lt;&gt;"",_xlpm.MyAuditVal,_xlpm.MacVal&lt;&gt;"",_xlpm.MacVal,_xlpm.CSVVal&lt;&gt;"",_xlpm.CSVVal
)),"")</f>
        <v/>
      </c>
      <c r="H411" s="54" t="str">
        <f>_xlfn.XLOOKUP(A411,Output_Mac!A:A,Output_Mac!I:I,"")</f>
        <v/>
      </c>
      <c r="I411" s="54" t="str" cm="1">
        <f t="array" ref="I411">IFERROR(_xlfn.LET(
_xlpm.CSVVal,_xlfn.XLOOKUP($A411,CSV!$A:$A,CSV!G:G,""),
_xlpm.MacVal,_xlfn.XLOOKUP($A411,Output_Mac!$A:$A,Output_Mac!J:J,""),
_xlpm.MyAuditVal,_xlfn.XLOOKUP($A411,My_Audit!$A:$A,My_Audit!H:H,""),
_xlfn.IFS(_xlpm.MyAuditVal&lt;&gt;"",UPPER(_xlpm.MyAuditVal),_xlpm.MacVal&lt;&gt;"",_xlpm.MacVal,_xlpm.CSVVal&lt;&gt;"",_xlpm.CSVVal
)),"")</f>
        <v/>
      </c>
      <c r="J411" s="54" t="str" cm="1">
        <f t="array" ref="J411">IFERROR(_xlfn.LET(
_xlpm.CSVVal,_xlfn.XLOOKUP($A411,CSV!$A:$A,CSV!I:I,""),
_xlpm.MacVal,_xlfn.XLOOKUP($A411,Output_Mac!$A:$A,Output_Mac!K:K,""),
_xlpm.MyAuditVal,_xlfn.XLOOKUP($A411,My_Audit!$A:$A,My_Audit!I:I,""),
_xlfn.IFS(_xlpm.MyAuditVal&lt;&gt;"",UPPER(_xlpm.MyAuditVal),_xlpm.MacVal&lt;&gt;"",_xlpm.MacVal,_xlpm.CSVVal&lt;&gt;"",_xlpm.CSVVal
)),"")</f>
        <v/>
      </c>
      <c r="K411" s="54" t="str" cm="1">
        <f t="array" ref="K411">IFERROR(_xlfn.LET(
_xlpm.CSVVal,_xlfn.XLOOKUP($A411,CSV!$A:$A,CSV!M:M,""),
_xlpm.MacVal,_xlfn.XLOOKUP($A411,Output_Mac!$A:$A,Output_Mac!L:L,""),
_xlpm.MyAuditVal,_xlfn.XLOOKUP($A411,My_Audit!$A:$A,My_Audit!J:J,""),
_xlfn.IFS(_xlpm.MyAuditVal&lt;&gt;"",UPPER(_xlpm.MyAuditVal),_xlpm.MacVal&lt;&gt;"",_xlpm.MacVal,_xlpm.CSVVal&lt;&gt;"",_xlpm.CSVVal
)),"")</f>
        <v/>
      </c>
      <c r="L411" s="54" t="str" cm="1">
        <f t="array" ref="L411">IFERROR(_xlfn.LET(
_xlpm.CSVVal,_xlfn.XLOOKUP($A411,CSV!$A:$A,CSV!O:O,""),
_xlpm.MacVal,_xlfn.XLOOKUP($A411,Output_Mac!$A:$A,Output_Mac!M:M,""),
_xlpm.MyAuditVal,_xlfn.XLOOKUP($A411,My_Audit!$A:$A,My_Audit!K:K,""),
_xlfn.IFS(_xlpm.MyAuditVal&lt;&gt;"",UPPER(_xlpm.MyAuditVal),_xlpm.MacVal&lt;&gt;"",_xlpm.MacVal,_xlpm.CSVVal&lt;&gt;"",_xlpm.CSVVal
)),"")</f>
        <v/>
      </c>
      <c r="M411" s="54" t="str">
        <f>_xlfn.LET(
    _xlpm.CSVVal, _xlfn.XLOOKUP($A411, CSV!$A:$A, CSV!AD:AD, ""),
    _xlpm.MacVal, _xlfn.XLOOKUP($A411, Output_Mac!$A:$A, Output_Mac!S:S, ""),
    _xlpm.MyAuditVal, _xlfn.XLOOKUP($A411, My_Audit!$A:$A, My_Audit!N:N, ""),
    _xlfn.TEXTJOIN(", ", TRUE, _xlpm.MyAuditVal, _xlpm.MacVal, _xlpm.CSVVal)
)</f>
        <v/>
      </c>
      <c r="N411" s="54" t="str" cm="1">
        <f t="array" ref="N411">IFERROR(_xlfn.LET(
_xlpm.CSVVal,_xlfn.XLOOKUP($A411,CSV!$A:$A,CSV!AF:AF,""),
_xlpm.MacVal,_xlfn.XLOOKUP($A411,Output_Mac!$A:$A,Output_Mac!U:U,""),
_xlpm.MyAuditVal,_xlfn.XLOOKUP($A411,My_Audit!$A:$A,My_Audit!O:O,""),
_xlfn.IFS(_xlpm.MyAuditVal&lt;&gt;"",UPPER(_xlpm.MyAuditVal),_xlpm.MacVal&lt;&gt;"",_xlpm.MacVal,_xlpm.CSVVal&lt;&gt;"",_xlpm.CSVVal
)),"")</f>
        <v/>
      </c>
      <c r="O411" s="54"/>
      <c r="P411" s="54"/>
      <c r="Q411" s="54"/>
      <c r="R411" s="54"/>
      <c r="S411" s="54"/>
      <c r="T411" s="54"/>
      <c r="U411" s="39"/>
    </row>
    <row r="412" spans="1:21">
      <c r="A412" s="54" t="str">
        <f>_xlfn.TEXTJOIN("",TRUE,Input!$B$2,ROW(My_Audit!A411))</f>
        <v>XX411</v>
      </c>
      <c r="B412" s="54" t="str">
        <f>_xlfn.TEXTJOIN("-",TRUE,"ITD",Input!$A$2,A412)</f>
        <v>ITD-SHRXXX-XX411</v>
      </c>
      <c r="C412" s="54" t="str" cm="1">
        <f t="array" ref="C412">IFERROR(_xlfn.LET(
_xlpm.CSVVal,_xlfn.XLOOKUP($A412,CSV!$A:$A,CSV!B:B,""),
_xlpm.MacVal,_xlfn.XLOOKUP($A412,Output_Mac!$A:$A,Output_Mac!B:B,""),
_xlpm.MyAuditVal,_xlfn.XLOOKUP($A412,My_Audit!$A:$A,My_Audit!B:B,""),
_xlfn.IFS(_xlpm.MyAuditVal&lt;&gt;"",UPPER(_xlpm.MyAuditVal),_xlpm.MacVal&lt;&gt;"",_xlpm.MacVal,_xlpm.CSVVal&lt;&gt;"",_xlpm.CSVVal
)),"")</f>
        <v/>
      </c>
      <c r="D412" s="55" t="str">
        <f>_xlfn.XLOOKUP(A412,My_Audit!A:A,My_Audit!D:D,"")&amp;""</f>
        <v/>
      </c>
      <c r="E412" s="55" t="str" cm="1">
        <f t="array" ref="E412">IFERROR(_xlfn.LET(
_xlpm.CSVVal,_xlfn.XLOOKUP($A412,CSV!$A:$A,CSV!D:D,""),
_xlpm.MacVal,_xlfn.XLOOKUP($A412,Output_Mac!$A:$A,Output_Mac!C:C,""),
_xlpm.MyAuditVal,_xlfn.XLOOKUP($A412,My_Audit!$A:$A,My_Audit!D:D,""),
_xlfn.IFS(_xlpm.MyAuditVal&lt;&gt;"",_xlpm.MyAuditVal,_xlpm.MacVal&lt;&gt;"",_xlpm.MacVal,_xlpm.CSVVal&lt;&gt;"",_xlpm.CSVVal
)),"")</f>
        <v/>
      </c>
      <c r="F412" s="54" t="str" cm="1">
        <f t="array" ref="F412">IFERROR(_xlfn.LET(
_xlpm.CSVVal,_xlfn.XLOOKUP($A412,CSV!$A:$A,CSV!E:E,""),
_xlpm.MacVal,_xlfn.XLOOKUP($A412,Output_Mac!$A:$A,Output_Mac!F:F,""),
_xlpm.MyAuditVal,_xlfn.XLOOKUP($A412,My_Audit!$A:$A,My_Audit!E:E,""),
_xlfn.IFS(_xlpm.MyAuditVal&lt;&gt;"",_xlpm.MyAuditVal,_xlpm.MacVal&lt;&gt;"",_xlpm.MacVal,_xlpm.CSVVal&lt;&gt;"",PROPER(_xlpm.CSVVal)
)),"")</f>
        <v/>
      </c>
      <c r="G412" s="54" t="str" cm="1">
        <f t="array" ref="G412">IFERROR(_xlfn.LET(
_xlpm.CSVVal,_xlfn.XLOOKUP($A412,CSV!$A:$A,CSV!F:F,""),
_xlpm.MacVal,_xlfn.XLOOKUP($A412,Output_Mac!$A:$A,Output_Mac!H:H,""),
_xlpm.MyAuditVal,_xlfn.XLOOKUP($A412,My_Audit!$A:$A,My_Audit!F:F,""),
_xlfn.IFS(_xlpm.MyAuditVal&lt;&gt;"",_xlpm.MyAuditVal,_xlpm.MacVal&lt;&gt;"",_xlpm.MacVal,_xlpm.CSVVal&lt;&gt;"",_xlpm.CSVVal
)),"")</f>
        <v/>
      </c>
      <c r="H412" s="54" t="str">
        <f>_xlfn.XLOOKUP(A412,Output_Mac!A:A,Output_Mac!I:I,"")</f>
        <v/>
      </c>
      <c r="I412" s="54" t="str" cm="1">
        <f t="array" ref="I412">IFERROR(_xlfn.LET(
_xlpm.CSVVal,_xlfn.XLOOKUP($A412,CSV!$A:$A,CSV!G:G,""),
_xlpm.MacVal,_xlfn.XLOOKUP($A412,Output_Mac!$A:$A,Output_Mac!J:J,""),
_xlpm.MyAuditVal,_xlfn.XLOOKUP($A412,My_Audit!$A:$A,My_Audit!H:H,""),
_xlfn.IFS(_xlpm.MyAuditVal&lt;&gt;"",UPPER(_xlpm.MyAuditVal),_xlpm.MacVal&lt;&gt;"",_xlpm.MacVal,_xlpm.CSVVal&lt;&gt;"",_xlpm.CSVVal
)),"")</f>
        <v/>
      </c>
      <c r="J412" s="54" t="str" cm="1">
        <f t="array" ref="J412">IFERROR(_xlfn.LET(
_xlpm.CSVVal,_xlfn.XLOOKUP($A412,CSV!$A:$A,CSV!I:I,""),
_xlpm.MacVal,_xlfn.XLOOKUP($A412,Output_Mac!$A:$A,Output_Mac!K:K,""),
_xlpm.MyAuditVal,_xlfn.XLOOKUP($A412,My_Audit!$A:$A,My_Audit!I:I,""),
_xlfn.IFS(_xlpm.MyAuditVal&lt;&gt;"",UPPER(_xlpm.MyAuditVal),_xlpm.MacVal&lt;&gt;"",_xlpm.MacVal,_xlpm.CSVVal&lt;&gt;"",_xlpm.CSVVal
)),"")</f>
        <v/>
      </c>
      <c r="K412" s="54" t="str" cm="1">
        <f t="array" ref="K412">IFERROR(_xlfn.LET(
_xlpm.CSVVal,_xlfn.XLOOKUP($A412,CSV!$A:$A,CSV!M:M,""),
_xlpm.MacVal,_xlfn.XLOOKUP($A412,Output_Mac!$A:$A,Output_Mac!L:L,""),
_xlpm.MyAuditVal,_xlfn.XLOOKUP($A412,My_Audit!$A:$A,My_Audit!J:J,""),
_xlfn.IFS(_xlpm.MyAuditVal&lt;&gt;"",UPPER(_xlpm.MyAuditVal),_xlpm.MacVal&lt;&gt;"",_xlpm.MacVal,_xlpm.CSVVal&lt;&gt;"",_xlpm.CSVVal
)),"")</f>
        <v/>
      </c>
      <c r="L412" s="54" t="str" cm="1">
        <f t="array" ref="L412">IFERROR(_xlfn.LET(
_xlpm.CSVVal,_xlfn.XLOOKUP($A412,CSV!$A:$A,CSV!O:O,""),
_xlpm.MacVal,_xlfn.XLOOKUP($A412,Output_Mac!$A:$A,Output_Mac!M:M,""),
_xlpm.MyAuditVal,_xlfn.XLOOKUP($A412,My_Audit!$A:$A,My_Audit!K:K,""),
_xlfn.IFS(_xlpm.MyAuditVal&lt;&gt;"",UPPER(_xlpm.MyAuditVal),_xlpm.MacVal&lt;&gt;"",_xlpm.MacVal,_xlpm.CSVVal&lt;&gt;"",_xlpm.CSVVal
)),"")</f>
        <v/>
      </c>
      <c r="M412" s="54" t="str">
        <f>_xlfn.LET(
    _xlpm.CSVVal, _xlfn.XLOOKUP($A412, CSV!$A:$A, CSV!AD:AD, ""),
    _xlpm.MacVal, _xlfn.XLOOKUP($A412, Output_Mac!$A:$A, Output_Mac!S:S, ""),
    _xlpm.MyAuditVal, _xlfn.XLOOKUP($A412, My_Audit!$A:$A, My_Audit!N:N, ""),
    _xlfn.TEXTJOIN(", ", TRUE, _xlpm.MyAuditVal, _xlpm.MacVal, _xlpm.CSVVal)
)</f>
        <v/>
      </c>
      <c r="N412" s="54" t="str" cm="1">
        <f t="array" ref="N412">IFERROR(_xlfn.LET(
_xlpm.CSVVal,_xlfn.XLOOKUP($A412,CSV!$A:$A,CSV!AF:AF,""),
_xlpm.MacVal,_xlfn.XLOOKUP($A412,Output_Mac!$A:$A,Output_Mac!U:U,""),
_xlpm.MyAuditVal,_xlfn.XLOOKUP($A412,My_Audit!$A:$A,My_Audit!O:O,""),
_xlfn.IFS(_xlpm.MyAuditVal&lt;&gt;"",UPPER(_xlpm.MyAuditVal),_xlpm.MacVal&lt;&gt;"",_xlpm.MacVal,_xlpm.CSVVal&lt;&gt;"",_xlpm.CSVVal
)),"")</f>
        <v/>
      </c>
      <c r="O412" s="54"/>
      <c r="P412" s="54"/>
      <c r="Q412" s="54"/>
      <c r="R412" s="54"/>
      <c r="S412" s="54"/>
      <c r="T412" s="54"/>
      <c r="U412" s="39"/>
    </row>
    <row r="413" spans="1:21">
      <c r="A413" s="54" t="str">
        <f>_xlfn.TEXTJOIN("",TRUE,Input!$B$2,ROW(My_Audit!A412))</f>
        <v>XX412</v>
      </c>
      <c r="B413" s="54" t="str">
        <f>_xlfn.TEXTJOIN("-",TRUE,"ITD",Input!$A$2,A413)</f>
        <v>ITD-SHRXXX-XX412</v>
      </c>
      <c r="C413" s="54" t="str" cm="1">
        <f t="array" ref="C413">IFERROR(_xlfn.LET(
_xlpm.CSVVal,_xlfn.XLOOKUP($A413,CSV!$A:$A,CSV!B:B,""),
_xlpm.MacVal,_xlfn.XLOOKUP($A413,Output_Mac!$A:$A,Output_Mac!B:B,""),
_xlpm.MyAuditVal,_xlfn.XLOOKUP($A413,My_Audit!$A:$A,My_Audit!B:B,""),
_xlfn.IFS(_xlpm.MyAuditVal&lt;&gt;"",UPPER(_xlpm.MyAuditVal),_xlpm.MacVal&lt;&gt;"",_xlpm.MacVal,_xlpm.CSVVal&lt;&gt;"",_xlpm.CSVVal
)),"")</f>
        <v/>
      </c>
      <c r="D413" s="55" t="str">
        <f>_xlfn.XLOOKUP(A413,My_Audit!A:A,My_Audit!D:D,"")&amp;""</f>
        <v/>
      </c>
      <c r="E413" s="55" t="str" cm="1">
        <f t="array" ref="E413">IFERROR(_xlfn.LET(
_xlpm.CSVVal,_xlfn.XLOOKUP($A413,CSV!$A:$A,CSV!D:D,""),
_xlpm.MacVal,_xlfn.XLOOKUP($A413,Output_Mac!$A:$A,Output_Mac!C:C,""),
_xlpm.MyAuditVal,_xlfn.XLOOKUP($A413,My_Audit!$A:$A,My_Audit!D:D,""),
_xlfn.IFS(_xlpm.MyAuditVal&lt;&gt;"",_xlpm.MyAuditVal,_xlpm.MacVal&lt;&gt;"",_xlpm.MacVal,_xlpm.CSVVal&lt;&gt;"",_xlpm.CSVVal
)),"")</f>
        <v/>
      </c>
      <c r="F413" s="54" t="str" cm="1">
        <f t="array" ref="F413">IFERROR(_xlfn.LET(
_xlpm.CSVVal,_xlfn.XLOOKUP($A413,CSV!$A:$A,CSV!E:E,""),
_xlpm.MacVal,_xlfn.XLOOKUP($A413,Output_Mac!$A:$A,Output_Mac!F:F,""),
_xlpm.MyAuditVal,_xlfn.XLOOKUP($A413,My_Audit!$A:$A,My_Audit!E:E,""),
_xlfn.IFS(_xlpm.MyAuditVal&lt;&gt;"",_xlpm.MyAuditVal,_xlpm.MacVal&lt;&gt;"",_xlpm.MacVal,_xlpm.CSVVal&lt;&gt;"",PROPER(_xlpm.CSVVal)
)),"")</f>
        <v/>
      </c>
      <c r="G413" s="54" t="str" cm="1">
        <f t="array" ref="G413">IFERROR(_xlfn.LET(
_xlpm.CSVVal,_xlfn.XLOOKUP($A413,CSV!$A:$A,CSV!F:F,""),
_xlpm.MacVal,_xlfn.XLOOKUP($A413,Output_Mac!$A:$A,Output_Mac!H:H,""),
_xlpm.MyAuditVal,_xlfn.XLOOKUP($A413,My_Audit!$A:$A,My_Audit!F:F,""),
_xlfn.IFS(_xlpm.MyAuditVal&lt;&gt;"",_xlpm.MyAuditVal,_xlpm.MacVal&lt;&gt;"",_xlpm.MacVal,_xlpm.CSVVal&lt;&gt;"",_xlpm.CSVVal
)),"")</f>
        <v/>
      </c>
      <c r="H413" s="54" t="str">
        <f>_xlfn.XLOOKUP(A413,Output_Mac!A:A,Output_Mac!I:I,"")</f>
        <v/>
      </c>
      <c r="I413" s="54" t="str" cm="1">
        <f t="array" ref="I413">IFERROR(_xlfn.LET(
_xlpm.CSVVal,_xlfn.XLOOKUP($A413,CSV!$A:$A,CSV!G:G,""),
_xlpm.MacVal,_xlfn.XLOOKUP($A413,Output_Mac!$A:$A,Output_Mac!J:J,""),
_xlpm.MyAuditVal,_xlfn.XLOOKUP($A413,My_Audit!$A:$A,My_Audit!H:H,""),
_xlfn.IFS(_xlpm.MyAuditVal&lt;&gt;"",UPPER(_xlpm.MyAuditVal),_xlpm.MacVal&lt;&gt;"",_xlpm.MacVal,_xlpm.CSVVal&lt;&gt;"",_xlpm.CSVVal
)),"")</f>
        <v/>
      </c>
      <c r="J413" s="54" t="str" cm="1">
        <f t="array" ref="J413">IFERROR(_xlfn.LET(
_xlpm.CSVVal,_xlfn.XLOOKUP($A413,CSV!$A:$A,CSV!I:I,""),
_xlpm.MacVal,_xlfn.XLOOKUP($A413,Output_Mac!$A:$A,Output_Mac!K:K,""),
_xlpm.MyAuditVal,_xlfn.XLOOKUP($A413,My_Audit!$A:$A,My_Audit!I:I,""),
_xlfn.IFS(_xlpm.MyAuditVal&lt;&gt;"",UPPER(_xlpm.MyAuditVal),_xlpm.MacVal&lt;&gt;"",_xlpm.MacVal,_xlpm.CSVVal&lt;&gt;"",_xlpm.CSVVal
)),"")</f>
        <v/>
      </c>
      <c r="K413" s="54" t="str" cm="1">
        <f t="array" ref="K413">IFERROR(_xlfn.LET(
_xlpm.CSVVal,_xlfn.XLOOKUP($A413,CSV!$A:$A,CSV!M:M,""),
_xlpm.MacVal,_xlfn.XLOOKUP($A413,Output_Mac!$A:$A,Output_Mac!L:L,""),
_xlpm.MyAuditVal,_xlfn.XLOOKUP($A413,My_Audit!$A:$A,My_Audit!J:J,""),
_xlfn.IFS(_xlpm.MyAuditVal&lt;&gt;"",UPPER(_xlpm.MyAuditVal),_xlpm.MacVal&lt;&gt;"",_xlpm.MacVal,_xlpm.CSVVal&lt;&gt;"",_xlpm.CSVVal
)),"")</f>
        <v/>
      </c>
      <c r="L413" s="54" t="str" cm="1">
        <f t="array" ref="L413">IFERROR(_xlfn.LET(
_xlpm.CSVVal,_xlfn.XLOOKUP($A413,CSV!$A:$A,CSV!O:O,""),
_xlpm.MacVal,_xlfn.XLOOKUP($A413,Output_Mac!$A:$A,Output_Mac!M:M,""),
_xlpm.MyAuditVal,_xlfn.XLOOKUP($A413,My_Audit!$A:$A,My_Audit!K:K,""),
_xlfn.IFS(_xlpm.MyAuditVal&lt;&gt;"",UPPER(_xlpm.MyAuditVal),_xlpm.MacVal&lt;&gt;"",_xlpm.MacVal,_xlpm.CSVVal&lt;&gt;"",_xlpm.CSVVal
)),"")</f>
        <v/>
      </c>
      <c r="M413" s="54" t="str">
        <f>_xlfn.LET(
    _xlpm.CSVVal, _xlfn.XLOOKUP($A413, CSV!$A:$A, CSV!AD:AD, ""),
    _xlpm.MacVal, _xlfn.XLOOKUP($A413, Output_Mac!$A:$A, Output_Mac!S:S, ""),
    _xlpm.MyAuditVal, _xlfn.XLOOKUP($A413, My_Audit!$A:$A, My_Audit!N:N, ""),
    _xlfn.TEXTJOIN(", ", TRUE, _xlpm.MyAuditVal, _xlpm.MacVal, _xlpm.CSVVal)
)</f>
        <v/>
      </c>
      <c r="N413" s="54" t="str" cm="1">
        <f t="array" ref="N413">IFERROR(_xlfn.LET(
_xlpm.CSVVal,_xlfn.XLOOKUP($A413,CSV!$A:$A,CSV!AF:AF,""),
_xlpm.MacVal,_xlfn.XLOOKUP($A413,Output_Mac!$A:$A,Output_Mac!U:U,""),
_xlpm.MyAuditVal,_xlfn.XLOOKUP($A413,My_Audit!$A:$A,My_Audit!O:O,""),
_xlfn.IFS(_xlpm.MyAuditVal&lt;&gt;"",UPPER(_xlpm.MyAuditVal),_xlpm.MacVal&lt;&gt;"",_xlpm.MacVal,_xlpm.CSVVal&lt;&gt;"",_xlpm.CSVVal
)),"")</f>
        <v/>
      </c>
      <c r="O413" s="54"/>
      <c r="P413" s="54"/>
      <c r="Q413" s="54"/>
      <c r="R413" s="54"/>
      <c r="S413" s="54"/>
      <c r="T413" s="54"/>
      <c r="U413" s="39"/>
    </row>
    <row r="414" spans="1:21">
      <c r="A414" s="54" t="str">
        <f>_xlfn.TEXTJOIN("",TRUE,Input!$B$2,ROW(My_Audit!A413))</f>
        <v>XX413</v>
      </c>
      <c r="B414" s="54" t="str">
        <f>_xlfn.TEXTJOIN("-",TRUE,"ITD",Input!$A$2,A414)</f>
        <v>ITD-SHRXXX-XX413</v>
      </c>
      <c r="C414" s="54" t="str" cm="1">
        <f t="array" ref="C414">IFERROR(_xlfn.LET(
_xlpm.CSVVal,_xlfn.XLOOKUP($A414,CSV!$A:$A,CSV!B:B,""),
_xlpm.MacVal,_xlfn.XLOOKUP($A414,Output_Mac!$A:$A,Output_Mac!B:B,""),
_xlpm.MyAuditVal,_xlfn.XLOOKUP($A414,My_Audit!$A:$A,My_Audit!B:B,""),
_xlfn.IFS(_xlpm.MyAuditVal&lt;&gt;"",UPPER(_xlpm.MyAuditVal),_xlpm.MacVal&lt;&gt;"",_xlpm.MacVal,_xlpm.CSVVal&lt;&gt;"",_xlpm.CSVVal
)),"")</f>
        <v/>
      </c>
      <c r="D414" s="55" t="str">
        <f>_xlfn.XLOOKUP(A414,My_Audit!A:A,My_Audit!D:D,"")&amp;""</f>
        <v/>
      </c>
      <c r="E414" s="55" t="str" cm="1">
        <f t="array" ref="E414">IFERROR(_xlfn.LET(
_xlpm.CSVVal,_xlfn.XLOOKUP($A414,CSV!$A:$A,CSV!D:D,""),
_xlpm.MacVal,_xlfn.XLOOKUP($A414,Output_Mac!$A:$A,Output_Mac!C:C,""),
_xlpm.MyAuditVal,_xlfn.XLOOKUP($A414,My_Audit!$A:$A,My_Audit!D:D,""),
_xlfn.IFS(_xlpm.MyAuditVal&lt;&gt;"",_xlpm.MyAuditVal,_xlpm.MacVal&lt;&gt;"",_xlpm.MacVal,_xlpm.CSVVal&lt;&gt;"",_xlpm.CSVVal
)),"")</f>
        <v/>
      </c>
      <c r="F414" s="54" t="str" cm="1">
        <f t="array" ref="F414">IFERROR(_xlfn.LET(
_xlpm.CSVVal,_xlfn.XLOOKUP($A414,CSV!$A:$A,CSV!E:E,""),
_xlpm.MacVal,_xlfn.XLOOKUP($A414,Output_Mac!$A:$A,Output_Mac!F:F,""),
_xlpm.MyAuditVal,_xlfn.XLOOKUP($A414,My_Audit!$A:$A,My_Audit!E:E,""),
_xlfn.IFS(_xlpm.MyAuditVal&lt;&gt;"",_xlpm.MyAuditVal,_xlpm.MacVal&lt;&gt;"",_xlpm.MacVal,_xlpm.CSVVal&lt;&gt;"",PROPER(_xlpm.CSVVal)
)),"")</f>
        <v/>
      </c>
      <c r="G414" s="54" t="str" cm="1">
        <f t="array" ref="G414">IFERROR(_xlfn.LET(
_xlpm.CSVVal,_xlfn.XLOOKUP($A414,CSV!$A:$A,CSV!F:F,""),
_xlpm.MacVal,_xlfn.XLOOKUP($A414,Output_Mac!$A:$A,Output_Mac!H:H,""),
_xlpm.MyAuditVal,_xlfn.XLOOKUP($A414,My_Audit!$A:$A,My_Audit!F:F,""),
_xlfn.IFS(_xlpm.MyAuditVal&lt;&gt;"",_xlpm.MyAuditVal,_xlpm.MacVal&lt;&gt;"",_xlpm.MacVal,_xlpm.CSVVal&lt;&gt;"",_xlpm.CSVVal
)),"")</f>
        <v/>
      </c>
      <c r="H414" s="54" t="str">
        <f>_xlfn.XLOOKUP(A414,Output_Mac!A:A,Output_Mac!I:I,"")</f>
        <v/>
      </c>
      <c r="I414" s="54" t="str" cm="1">
        <f t="array" ref="I414">IFERROR(_xlfn.LET(
_xlpm.CSVVal,_xlfn.XLOOKUP($A414,CSV!$A:$A,CSV!G:G,""),
_xlpm.MacVal,_xlfn.XLOOKUP($A414,Output_Mac!$A:$A,Output_Mac!J:J,""),
_xlpm.MyAuditVal,_xlfn.XLOOKUP($A414,My_Audit!$A:$A,My_Audit!H:H,""),
_xlfn.IFS(_xlpm.MyAuditVal&lt;&gt;"",UPPER(_xlpm.MyAuditVal),_xlpm.MacVal&lt;&gt;"",_xlpm.MacVal,_xlpm.CSVVal&lt;&gt;"",_xlpm.CSVVal
)),"")</f>
        <v/>
      </c>
      <c r="J414" s="54" t="str" cm="1">
        <f t="array" ref="J414">IFERROR(_xlfn.LET(
_xlpm.CSVVal,_xlfn.XLOOKUP($A414,CSV!$A:$A,CSV!I:I,""),
_xlpm.MacVal,_xlfn.XLOOKUP($A414,Output_Mac!$A:$A,Output_Mac!K:K,""),
_xlpm.MyAuditVal,_xlfn.XLOOKUP($A414,My_Audit!$A:$A,My_Audit!I:I,""),
_xlfn.IFS(_xlpm.MyAuditVal&lt;&gt;"",UPPER(_xlpm.MyAuditVal),_xlpm.MacVal&lt;&gt;"",_xlpm.MacVal,_xlpm.CSVVal&lt;&gt;"",_xlpm.CSVVal
)),"")</f>
        <v/>
      </c>
      <c r="K414" s="54" t="str" cm="1">
        <f t="array" ref="K414">IFERROR(_xlfn.LET(
_xlpm.CSVVal,_xlfn.XLOOKUP($A414,CSV!$A:$A,CSV!M:M,""),
_xlpm.MacVal,_xlfn.XLOOKUP($A414,Output_Mac!$A:$A,Output_Mac!L:L,""),
_xlpm.MyAuditVal,_xlfn.XLOOKUP($A414,My_Audit!$A:$A,My_Audit!J:J,""),
_xlfn.IFS(_xlpm.MyAuditVal&lt;&gt;"",UPPER(_xlpm.MyAuditVal),_xlpm.MacVal&lt;&gt;"",_xlpm.MacVal,_xlpm.CSVVal&lt;&gt;"",_xlpm.CSVVal
)),"")</f>
        <v/>
      </c>
      <c r="L414" s="54" t="str" cm="1">
        <f t="array" ref="L414">IFERROR(_xlfn.LET(
_xlpm.CSVVal,_xlfn.XLOOKUP($A414,CSV!$A:$A,CSV!O:O,""),
_xlpm.MacVal,_xlfn.XLOOKUP($A414,Output_Mac!$A:$A,Output_Mac!M:M,""),
_xlpm.MyAuditVal,_xlfn.XLOOKUP($A414,My_Audit!$A:$A,My_Audit!K:K,""),
_xlfn.IFS(_xlpm.MyAuditVal&lt;&gt;"",UPPER(_xlpm.MyAuditVal),_xlpm.MacVal&lt;&gt;"",_xlpm.MacVal,_xlpm.CSVVal&lt;&gt;"",_xlpm.CSVVal
)),"")</f>
        <v/>
      </c>
      <c r="M414" s="54" t="str">
        <f>_xlfn.LET(
    _xlpm.CSVVal, _xlfn.XLOOKUP($A414, CSV!$A:$A, CSV!AD:AD, ""),
    _xlpm.MacVal, _xlfn.XLOOKUP($A414, Output_Mac!$A:$A, Output_Mac!S:S, ""),
    _xlpm.MyAuditVal, _xlfn.XLOOKUP($A414, My_Audit!$A:$A, My_Audit!N:N, ""),
    _xlfn.TEXTJOIN(", ", TRUE, _xlpm.MyAuditVal, _xlpm.MacVal, _xlpm.CSVVal)
)</f>
        <v/>
      </c>
      <c r="N414" s="54" t="str" cm="1">
        <f t="array" ref="N414">IFERROR(_xlfn.LET(
_xlpm.CSVVal,_xlfn.XLOOKUP($A414,CSV!$A:$A,CSV!AF:AF,""),
_xlpm.MacVal,_xlfn.XLOOKUP($A414,Output_Mac!$A:$A,Output_Mac!U:U,""),
_xlpm.MyAuditVal,_xlfn.XLOOKUP($A414,My_Audit!$A:$A,My_Audit!O:O,""),
_xlfn.IFS(_xlpm.MyAuditVal&lt;&gt;"",UPPER(_xlpm.MyAuditVal),_xlpm.MacVal&lt;&gt;"",_xlpm.MacVal,_xlpm.CSVVal&lt;&gt;"",_xlpm.CSVVal
)),"")</f>
        <v/>
      </c>
      <c r="O414" s="54"/>
      <c r="P414" s="54"/>
      <c r="Q414" s="54"/>
      <c r="R414" s="54"/>
      <c r="S414" s="54"/>
      <c r="T414" s="54"/>
      <c r="U414" s="39"/>
    </row>
    <row r="415" spans="1:21">
      <c r="A415" s="54" t="str">
        <f>_xlfn.TEXTJOIN("",TRUE,Input!$B$2,ROW(My_Audit!A414))</f>
        <v>XX414</v>
      </c>
      <c r="B415" s="54" t="str">
        <f>_xlfn.TEXTJOIN("-",TRUE,"ITD",Input!$A$2,A415)</f>
        <v>ITD-SHRXXX-XX414</v>
      </c>
      <c r="C415" s="54" t="str" cm="1">
        <f t="array" ref="C415">IFERROR(_xlfn.LET(
_xlpm.CSVVal,_xlfn.XLOOKUP($A415,CSV!$A:$A,CSV!B:B,""),
_xlpm.MacVal,_xlfn.XLOOKUP($A415,Output_Mac!$A:$A,Output_Mac!B:B,""),
_xlpm.MyAuditVal,_xlfn.XLOOKUP($A415,My_Audit!$A:$A,My_Audit!B:B,""),
_xlfn.IFS(_xlpm.MyAuditVal&lt;&gt;"",UPPER(_xlpm.MyAuditVal),_xlpm.MacVal&lt;&gt;"",_xlpm.MacVal,_xlpm.CSVVal&lt;&gt;"",_xlpm.CSVVal
)),"")</f>
        <v/>
      </c>
      <c r="D415" s="55" t="str">
        <f>_xlfn.XLOOKUP(A415,My_Audit!A:A,My_Audit!D:D,"")&amp;""</f>
        <v/>
      </c>
      <c r="E415" s="55" t="str" cm="1">
        <f t="array" ref="E415">IFERROR(_xlfn.LET(
_xlpm.CSVVal,_xlfn.XLOOKUP($A415,CSV!$A:$A,CSV!D:D,""),
_xlpm.MacVal,_xlfn.XLOOKUP($A415,Output_Mac!$A:$A,Output_Mac!C:C,""),
_xlpm.MyAuditVal,_xlfn.XLOOKUP($A415,My_Audit!$A:$A,My_Audit!D:D,""),
_xlfn.IFS(_xlpm.MyAuditVal&lt;&gt;"",_xlpm.MyAuditVal,_xlpm.MacVal&lt;&gt;"",_xlpm.MacVal,_xlpm.CSVVal&lt;&gt;"",_xlpm.CSVVal
)),"")</f>
        <v/>
      </c>
      <c r="F415" s="54" t="str" cm="1">
        <f t="array" ref="F415">IFERROR(_xlfn.LET(
_xlpm.CSVVal,_xlfn.XLOOKUP($A415,CSV!$A:$A,CSV!E:E,""),
_xlpm.MacVal,_xlfn.XLOOKUP($A415,Output_Mac!$A:$A,Output_Mac!F:F,""),
_xlpm.MyAuditVal,_xlfn.XLOOKUP($A415,My_Audit!$A:$A,My_Audit!E:E,""),
_xlfn.IFS(_xlpm.MyAuditVal&lt;&gt;"",_xlpm.MyAuditVal,_xlpm.MacVal&lt;&gt;"",_xlpm.MacVal,_xlpm.CSVVal&lt;&gt;"",PROPER(_xlpm.CSVVal)
)),"")</f>
        <v/>
      </c>
      <c r="G415" s="54" t="str" cm="1">
        <f t="array" ref="G415">IFERROR(_xlfn.LET(
_xlpm.CSVVal,_xlfn.XLOOKUP($A415,CSV!$A:$A,CSV!F:F,""),
_xlpm.MacVal,_xlfn.XLOOKUP($A415,Output_Mac!$A:$A,Output_Mac!H:H,""),
_xlpm.MyAuditVal,_xlfn.XLOOKUP($A415,My_Audit!$A:$A,My_Audit!F:F,""),
_xlfn.IFS(_xlpm.MyAuditVal&lt;&gt;"",_xlpm.MyAuditVal,_xlpm.MacVal&lt;&gt;"",_xlpm.MacVal,_xlpm.CSVVal&lt;&gt;"",_xlpm.CSVVal
)),"")</f>
        <v/>
      </c>
      <c r="H415" s="54" t="str">
        <f>_xlfn.XLOOKUP(A415,Output_Mac!A:A,Output_Mac!I:I,"")</f>
        <v/>
      </c>
      <c r="I415" s="54" t="str" cm="1">
        <f t="array" ref="I415">IFERROR(_xlfn.LET(
_xlpm.CSVVal,_xlfn.XLOOKUP($A415,CSV!$A:$A,CSV!G:G,""),
_xlpm.MacVal,_xlfn.XLOOKUP($A415,Output_Mac!$A:$A,Output_Mac!J:J,""),
_xlpm.MyAuditVal,_xlfn.XLOOKUP($A415,My_Audit!$A:$A,My_Audit!H:H,""),
_xlfn.IFS(_xlpm.MyAuditVal&lt;&gt;"",UPPER(_xlpm.MyAuditVal),_xlpm.MacVal&lt;&gt;"",_xlpm.MacVal,_xlpm.CSVVal&lt;&gt;"",_xlpm.CSVVal
)),"")</f>
        <v/>
      </c>
      <c r="J415" s="54" t="str" cm="1">
        <f t="array" ref="J415">IFERROR(_xlfn.LET(
_xlpm.CSVVal,_xlfn.XLOOKUP($A415,CSV!$A:$A,CSV!I:I,""),
_xlpm.MacVal,_xlfn.XLOOKUP($A415,Output_Mac!$A:$A,Output_Mac!K:K,""),
_xlpm.MyAuditVal,_xlfn.XLOOKUP($A415,My_Audit!$A:$A,My_Audit!I:I,""),
_xlfn.IFS(_xlpm.MyAuditVal&lt;&gt;"",UPPER(_xlpm.MyAuditVal),_xlpm.MacVal&lt;&gt;"",_xlpm.MacVal,_xlpm.CSVVal&lt;&gt;"",_xlpm.CSVVal
)),"")</f>
        <v/>
      </c>
      <c r="K415" s="54" t="str" cm="1">
        <f t="array" ref="K415">IFERROR(_xlfn.LET(
_xlpm.CSVVal,_xlfn.XLOOKUP($A415,CSV!$A:$A,CSV!M:M,""),
_xlpm.MacVal,_xlfn.XLOOKUP($A415,Output_Mac!$A:$A,Output_Mac!L:L,""),
_xlpm.MyAuditVal,_xlfn.XLOOKUP($A415,My_Audit!$A:$A,My_Audit!J:J,""),
_xlfn.IFS(_xlpm.MyAuditVal&lt;&gt;"",UPPER(_xlpm.MyAuditVal),_xlpm.MacVal&lt;&gt;"",_xlpm.MacVal,_xlpm.CSVVal&lt;&gt;"",_xlpm.CSVVal
)),"")</f>
        <v/>
      </c>
      <c r="L415" s="54" t="str" cm="1">
        <f t="array" ref="L415">IFERROR(_xlfn.LET(
_xlpm.CSVVal,_xlfn.XLOOKUP($A415,CSV!$A:$A,CSV!O:O,""),
_xlpm.MacVal,_xlfn.XLOOKUP($A415,Output_Mac!$A:$A,Output_Mac!M:M,""),
_xlpm.MyAuditVal,_xlfn.XLOOKUP($A415,My_Audit!$A:$A,My_Audit!K:K,""),
_xlfn.IFS(_xlpm.MyAuditVal&lt;&gt;"",UPPER(_xlpm.MyAuditVal),_xlpm.MacVal&lt;&gt;"",_xlpm.MacVal,_xlpm.CSVVal&lt;&gt;"",_xlpm.CSVVal
)),"")</f>
        <v/>
      </c>
      <c r="M415" s="54" t="str">
        <f>_xlfn.LET(
    _xlpm.CSVVal, _xlfn.XLOOKUP($A415, CSV!$A:$A, CSV!AD:AD, ""),
    _xlpm.MacVal, _xlfn.XLOOKUP($A415, Output_Mac!$A:$A, Output_Mac!S:S, ""),
    _xlpm.MyAuditVal, _xlfn.XLOOKUP($A415, My_Audit!$A:$A, My_Audit!N:N, ""),
    _xlfn.TEXTJOIN(", ", TRUE, _xlpm.MyAuditVal, _xlpm.MacVal, _xlpm.CSVVal)
)</f>
        <v/>
      </c>
      <c r="N415" s="54" t="str" cm="1">
        <f t="array" ref="N415">IFERROR(_xlfn.LET(
_xlpm.CSVVal,_xlfn.XLOOKUP($A415,CSV!$A:$A,CSV!AF:AF,""),
_xlpm.MacVal,_xlfn.XLOOKUP($A415,Output_Mac!$A:$A,Output_Mac!U:U,""),
_xlpm.MyAuditVal,_xlfn.XLOOKUP($A415,My_Audit!$A:$A,My_Audit!O:O,""),
_xlfn.IFS(_xlpm.MyAuditVal&lt;&gt;"",UPPER(_xlpm.MyAuditVal),_xlpm.MacVal&lt;&gt;"",_xlpm.MacVal,_xlpm.CSVVal&lt;&gt;"",_xlpm.CSVVal
)),"")</f>
        <v/>
      </c>
      <c r="O415" s="54"/>
      <c r="P415" s="54"/>
      <c r="Q415" s="54"/>
      <c r="R415" s="54"/>
      <c r="S415" s="54"/>
      <c r="T415" s="54"/>
      <c r="U415" s="39"/>
    </row>
    <row r="416" spans="1:21">
      <c r="A416" s="54" t="str">
        <f>_xlfn.TEXTJOIN("",TRUE,Input!$B$2,ROW(My_Audit!A415))</f>
        <v>XX415</v>
      </c>
      <c r="B416" s="54" t="str">
        <f>_xlfn.TEXTJOIN("-",TRUE,"ITD",Input!$A$2,A416)</f>
        <v>ITD-SHRXXX-XX415</v>
      </c>
      <c r="C416" s="54" t="str" cm="1">
        <f t="array" ref="C416">IFERROR(_xlfn.LET(
_xlpm.CSVVal,_xlfn.XLOOKUP($A416,CSV!$A:$A,CSV!B:B,""),
_xlpm.MacVal,_xlfn.XLOOKUP($A416,Output_Mac!$A:$A,Output_Mac!B:B,""),
_xlpm.MyAuditVal,_xlfn.XLOOKUP($A416,My_Audit!$A:$A,My_Audit!B:B,""),
_xlfn.IFS(_xlpm.MyAuditVal&lt;&gt;"",UPPER(_xlpm.MyAuditVal),_xlpm.MacVal&lt;&gt;"",_xlpm.MacVal,_xlpm.CSVVal&lt;&gt;"",_xlpm.CSVVal
)),"")</f>
        <v/>
      </c>
      <c r="D416" s="55" t="str">
        <f>_xlfn.XLOOKUP(A416,My_Audit!A:A,My_Audit!D:D,"")&amp;""</f>
        <v/>
      </c>
      <c r="E416" s="55" t="str" cm="1">
        <f t="array" ref="E416">IFERROR(_xlfn.LET(
_xlpm.CSVVal,_xlfn.XLOOKUP($A416,CSV!$A:$A,CSV!D:D,""),
_xlpm.MacVal,_xlfn.XLOOKUP($A416,Output_Mac!$A:$A,Output_Mac!C:C,""),
_xlpm.MyAuditVal,_xlfn.XLOOKUP($A416,My_Audit!$A:$A,My_Audit!D:D,""),
_xlfn.IFS(_xlpm.MyAuditVal&lt;&gt;"",_xlpm.MyAuditVal,_xlpm.MacVal&lt;&gt;"",_xlpm.MacVal,_xlpm.CSVVal&lt;&gt;"",_xlpm.CSVVal
)),"")</f>
        <v/>
      </c>
      <c r="F416" s="54" t="str" cm="1">
        <f t="array" ref="F416">IFERROR(_xlfn.LET(
_xlpm.CSVVal,_xlfn.XLOOKUP($A416,CSV!$A:$A,CSV!E:E,""),
_xlpm.MacVal,_xlfn.XLOOKUP($A416,Output_Mac!$A:$A,Output_Mac!F:F,""),
_xlpm.MyAuditVal,_xlfn.XLOOKUP($A416,My_Audit!$A:$A,My_Audit!E:E,""),
_xlfn.IFS(_xlpm.MyAuditVal&lt;&gt;"",_xlpm.MyAuditVal,_xlpm.MacVal&lt;&gt;"",_xlpm.MacVal,_xlpm.CSVVal&lt;&gt;"",PROPER(_xlpm.CSVVal)
)),"")</f>
        <v/>
      </c>
      <c r="G416" s="54" t="str" cm="1">
        <f t="array" ref="G416">IFERROR(_xlfn.LET(
_xlpm.CSVVal,_xlfn.XLOOKUP($A416,CSV!$A:$A,CSV!F:F,""),
_xlpm.MacVal,_xlfn.XLOOKUP($A416,Output_Mac!$A:$A,Output_Mac!H:H,""),
_xlpm.MyAuditVal,_xlfn.XLOOKUP($A416,My_Audit!$A:$A,My_Audit!F:F,""),
_xlfn.IFS(_xlpm.MyAuditVal&lt;&gt;"",_xlpm.MyAuditVal,_xlpm.MacVal&lt;&gt;"",_xlpm.MacVal,_xlpm.CSVVal&lt;&gt;"",_xlpm.CSVVal
)),"")</f>
        <v/>
      </c>
      <c r="H416" s="54" t="str">
        <f>_xlfn.XLOOKUP(A416,Output_Mac!A:A,Output_Mac!I:I,"")</f>
        <v/>
      </c>
      <c r="I416" s="54" t="str" cm="1">
        <f t="array" ref="I416">IFERROR(_xlfn.LET(
_xlpm.CSVVal,_xlfn.XLOOKUP($A416,CSV!$A:$A,CSV!G:G,""),
_xlpm.MacVal,_xlfn.XLOOKUP($A416,Output_Mac!$A:$A,Output_Mac!J:J,""),
_xlpm.MyAuditVal,_xlfn.XLOOKUP($A416,My_Audit!$A:$A,My_Audit!H:H,""),
_xlfn.IFS(_xlpm.MyAuditVal&lt;&gt;"",UPPER(_xlpm.MyAuditVal),_xlpm.MacVal&lt;&gt;"",_xlpm.MacVal,_xlpm.CSVVal&lt;&gt;"",_xlpm.CSVVal
)),"")</f>
        <v/>
      </c>
      <c r="J416" s="54" t="str" cm="1">
        <f t="array" ref="J416">IFERROR(_xlfn.LET(
_xlpm.CSVVal,_xlfn.XLOOKUP($A416,CSV!$A:$A,CSV!I:I,""),
_xlpm.MacVal,_xlfn.XLOOKUP($A416,Output_Mac!$A:$A,Output_Mac!K:K,""),
_xlpm.MyAuditVal,_xlfn.XLOOKUP($A416,My_Audit!$A:$A,My_Audit!I:I,""),
_xlfn.IFS(_xlpm.MyAuditVal&lt;&gt;"",UPPER(_xlpm.MyAuditVal),_xlpm.MacVal&lt;&gt;"",_xlpm.MacVal,_xlpm.CSVVal&lt;&gt;"",_xlpm.CSVVal
)),"")</f>
        <v/>
      </c>
      <c r="K416" s="54" t="str" cm="1">
        <f t="array" ref="K416">IFERROR(_xlfn.LET(
_xlpm.CSVVal,_xlfn.XLOOKUP($A416,CSV!$A:$A,CSV!M:M,""),
_xlpm.MacVal,_xlfn.XLOOKUP($A416,Output_Mac!$A:$A,Output_Mac!L:L,""),
_xlpm.MyAuditVal,_xlfn.XLOOKUP($A416,My_Audit!$A:$A,My_Audit!J:J,""),
_xlfn.IFS(_xlpm.MyAuditVal&lt;&gt;"",UPPER(_xlpm.MyAuditVal),_xlpm.MacVal&lt;&gt;"",_xlpm.MacVal,_xlpm.CSVVal&lt;&gt;"",_xlpm.CSVVal
)),"")</f>
        <v/>
      </c>
      <c r="L416" s="54" t="str" cm="1">
        <f t="array" ref="L416">IFERROR(_xlfn.LET(
_xlpm.CSVVal,_xlfn.XLOOKUP($A416,CSV!$A:$A,CSV!O:O,""),
_xlpm.MacVal,_xlfn.XLOOKUP($A416,Output_Mac!$A:$A,Output_Mac!M:M,""),
_xlpm.MyAuditVal,_xlfn.XLOOKUP($A416,My_Audit!$A:$A,My_Audit!K:K,""),
_xlfn.IFS(_xlpm.MyAuditVal&lt;&gt;"",UPPER(_xlpm.MyAuditVal),_xlpm.MacVal&lt;&gt;"",_xlpm.MacVal,_xlpm.CSVVal&lt;&gt;"",_xlpm.CSVVal
)),"")</f>
        <v/>
      </c>
      <c r="M416" s="54" t="str">
        <f>_xlfn.LET(
    _xlpm.CSVVal, _xlfn.XLOOKUP($A416, CSV!$A:$A, CSV!AD:AD, ""),
    _xlpm.MacVal, _xlfn.XLOOKUP($A416, Output_Mac!$A:$A, Output_Mac!S:S, ""),
    _xlpm.MyAuditVal, _xlfn.XLOOKUP($A416, My_Audit!$A:$A, My_Audit!N:N, ""),
    _xlfn.TEXTJOIN(", ", TRUE, _xlpm.MyAuditVal, _xlpm.MacVal, _xlpm.CSVVal)
)</f>
        <v/>
      </c>
      <c r="N416" s="54" t="str" cm="1">
        <f t="array" ref="N416">IFERROR(_xlfn.LET(
_xlpm.CSVVal,_xlfn.XLOOKUP($A416,CSV!$A:$A,CSV!AF:AF,""),
_xlpm.MacVal,_xlfn.XLOOKUP($A416,Output_Mac!$A:$A,Output_Mac!U:U,""),
_xlpm.MyAuditVal,_xlfn.XLOOKUP($A416,My_Audit!$A:$A,My_Audit!O:O,""),
_xlfn.IFS(_xlpm.MyAuditVal&lt;&gt;"",UPPER(_xlpm.MyAuditVal),_xlpm.MacVal&lt;&gt;"",_xlpm.MacVal,_xlpm.CSVVal&lt;&gt;"",_xlpm.CSVVal
)),"")</f>
        <v/>
      </c>
      <c r="O416" s="54"/>
      <c r="P416" s="54"/>
      <c r="Q416" s="54"/>
      <c r="R416" s="54"/>
      <c r="S416" s="54"/>
      <c r="T416" s="54"/>
      <c r="U416" s="39"/>
    </row>
    <row r="417" spans="1:21">
      <c r="A417" s="54" t="str">
        <f>_xlfn.TEXTJOIN("",TRUE,Input!$B$2,ROW(My_Audit!A416))</f>
        <v>XX416</v>
      </c>
      <c r="B417" s="54" t="str">
        <f>_xlfn.TEXTJOIN("-",TRUE,"ITD",Input!$A$2,A417)</f>
        <v>ITD-SHRXXX-XX416</v>
      </c>
      <c r="C417" s="54" t="str" cm="1">
        <f t="array" ref="C417">IFERROR(_xlfn.LET(
_xlpm.CSVVal,_xlfn.XLOOKUP($A417,CSV!$A:$A,CSV!B:B,""),
_xlpm.MacVal,_xlfn.XLOOKUP($A417,Output_Mac!$A:$A,Output_Mac!B:B,""),
_xlpm.MyAuditVal,_xlfn.XLOOKUP($A417,My_Audit!$A:$A,My_Audit!B:B,""),
_xlfn.IFS(_xlpm.MyAuditVal&lt;&gt;"",UPPER(_xlpm.MyAuditVal),_xlpm.MacVal&lt;&gt;"",_xlpm.MacVal,_xlpm.CSVVal&lt;&gt;"",_xlpm.CSVVal
)),"")</f>
        <v/>
      </c>
      <c r="D417" s="55" t="str">
        <f>_xlfn.XLOOKUP(A417,My_Audit!A:A,My_Audit!D:D,"")&amp;""</f>
        <v/>
      </c>
      <c r="E417" s="55" t="str" cm="1">
        <f t="array" ref="E417">IFERROR(_xlfn.LET(
_xlpm.CSVVal,_xlfn.XLOOKUP($A417,CSV!$A:$A,CSV!D:D,""),
_xlpm.MacVal,_xlfn.XLOOKUP($A417,Output_Mac!$A:$A,Output_Mac!C:C,""),
_xlpm.MyAuditVal,_xlfn.XLOOKUP($A417,My_Audit!$A:$A,My_Audit!D:D,""),
_xlfn.IFS(_xlpm.MyAuditVal&lt;&gt;"",_xlpm.MyAuditVal,_xlpm.MacVal&lt;&gt;"",_xlpm.MacVal,_xlpm.CSVVal&lt;&gt;"",_xlpm.CSVVal
)),"")</f>
        <v/>
      </c>
      <c r="F417" s="54" t="str" cm="1">
        <f t="array" ref="F417">IFERROR(_xlfn.LET(
_xlpm.CSVVal,_xlfn.XLOOKUP($A417,CSV!$A:$A,CSV!E:E,""),
_xlpm.MacVal,_xlfn.XLOOKUP($A417,Output_Mac!$A:$A,Output_Mac!F:F,""),
_xlpm.MyAuditVal,_xlfn.XLOOKUP($A417,My_Audit!$A:$A,My_Audit!E:E,""),
_xlfn.IFS(_xlpm.MyAuditVal&lt;&gt;"",_xlpm.MyAuditVal,_xlpm.MacVal&lt;&gt;"",_xlpm.MacVal,_xlpm.CSVVal&lt;&gt;"",PROPER(_xlpm.CSVVal)
)),"")</f>
        <v/>
      </c>
      <c r="G417" s="54" t="str" cm="1">
        <f t="array" ref="G417">IFERROR(_xlfn.LET(
_xlpm.CSVVal,_xlfn.XLOOKUP($A417,CSV!$A:$A,CSV!F:F,""),
_xlpm.MacVal,_xlfn.XLOOKUP($A417,Output_Mac!$A:$A,Output_Mac!H:H,""),
_xlpm.MyAuditVal,_xlfn.XLOOKUP($A417,My_Audit!$A:$A,My_Audit!F:F,""),
_xlfn.IFS(_xlpm.MyAuditVal&lt;&gt;"",_xlpm.MyAuditVal,_xlpm.MacVal&lt;&gt;"",_xlpm.MacVal,_xlpm.CSVVal&lt;&gt;"",_xlpm.CSVVal
)),"")</f>
        <v/>
      </c>
      <c r="H417" s="54" t="str">
        <f>_xlfn.XLOOKUP(A417,Output_Mac!A:A,Output_Mac!I:I,"")</f>
        <v/>
      </c>
      <c r="I417" s="54" t="str" cm="1">
        <f t="array" ref="I417">IFERROR(_xlfn.LET(
_xlpm.CSVVal,_xlfn.XLOOKUP($A417,CSV!$A:$A,CSV!G:G,""),
_xlpm.MacVal,_xlfn.XLOOKUP($A417,Output_Mac!$A:$A,Output_Mac!J:J,""),
_xlpm.MyAuditVal,_xlfn.XLOOKUP($A417,My_Audit!$A:$A,My_Audit!H:H,""),
_xlfn.IFS(_xlpm.MyAuditVal&lt;&gt;"",UPPER(_xlpm.MyAuditVal),_xlpm.MacVal&lt;&gt;"",_xlpm.MacVal,_xlpm.CSVVal&lt;&gt;"",_xlpm.CSVVal
)),"")</f>
        <v/>
      </c>
      <c r="J417" s="54" t="str" cm="1">
        <f t="array" ref="J417">IFERROR(_xlfn.LET(
_xlpm.CSVVal,_xlfn.XLOOKUP($A417,CSV!$A:$A,CSV!I:I,""),
_xlpm.MacVal,_xlfn.XLOOKUP($A417,Output_Mac!$A:$A,Output_Mac!K:K,""),
_xlpm.MyAuditVal,_xlfn.XLOOKUP($A417,My_Audit!$A:$A,My_Audit!I:I,""),
_xlfn.IFS(_xlpm.MyAuditVal&lt;&gt;"",UPPER(_xlpm.MyAuditVal),_xlpm.MacVal&lt;&gt;"",_xlpm.MacVal,_xlpm.CSVVal&lt;&gt;"",_xlpm.CSVVal
)),"")</f>
        <v/>
      </c>
      <c r="K417" s="54" t="str" cm="1">
        <f t="array" ref="K417">IFERROR(_xlfn.LET(
_xlpm.CSVVal,_xlfn.XLOOKUP($A417,CSV!$A:$A,CSV!M:M,""),
_xlpm.MacVal,_xlfn.XLOOKUP($A417,Output_Mac!$A:$A,Output_Mac!L:L,""),
_xlpm.MyAuditVal,_xlfn.XLOOKUP($A417,My_Audit!$A:$A,My_Audit!J:J,""),
_xlfn.IFS(_xlpm.MyAuditVal&lt;&gt;"",UPPER(_xlpm.MyAuditVal),_xlpm.MacVal&lt;&gt;"",_xlpm.MacVal,_xlpm.CSVVal&lt;&gt;"",_xlpm.CSVVal
)),"")</f>
        <v/>
      </c>
      <c r="L417" s="54" t="str" cm="1">
        <f t="array" ref="L417">IFERROR(_xlfn.LET(
_xlpm.CSVVal,_xlfn.XLOOKUP($A417,CSV!$A:$A,CSV!O:O,""),
_xlpm.MacVal,_xlfn.XLOOKUP($A417,Output_Mac!$A:$A,Output_Mac!M:M,""),
_xlpm.MyAuditVal,_xlfn.XLOOKUP($A417,My_Audit!$A:$A,My_Audit!K:K,""),
_xlfn.IFS(_xlpm.MyAuditVal&lt;&gt;"",UPPER(_xlpm.MyAuditVal),_xlpm.MacVal&lt;&gt;"",_xlpm.MacVal,_xlpm.CSVVal&lt;&gt;"",_xlpm.CSVVal
)),"")</f>
        <v/>
      </c>
      <c r="M417" s="54" t="str">
        <f>_xlfn.LET(
    _xlpm.CSVVal, _xlfn.XLOOKUP($A417, CSV!$A:$A, CSV!AD:AD, ""),
    _xlpm.MacVal, _xlfn.XLOOKUP($A417, Output_Mac!$A:$A, Output_Mac!S:S, ""),
    _xlpm.MyAuditVal, _xlfn.XLOOKUP($A417, My_Audit!$A:$A, My_Audit!N:N, ""),
    _xlfn.TEXTJOIN(", ", TRUE, _xlpm.MyAuditVal, _xlpm.MacVal, _xlpm.CSVVal)
)</f>
        <v/>
      </c>
      <c r="N417" s="54" t="str" cm="1">
        <f t="array" ref="N417">IFERROR(_xlfn.LET(
_xlpm.CSVVal,_xlfn.XLOOKUP($A417,CSV!$A:$A,CSV!AF:AF,""),
_xlpm.MacVal,_xlfn.XLOOKUP($A417,Output_Mac!$A:$A,Output_Mac!U:U,""),
_xlpm.MyAuditVal,_xlfn.XLOOKUP($A417,My_Audit!$A:$A,My_Audit!O:O,""),
_xlfn.IFS(_xlpm.MyAuditVal&lt;&gt;"",UPPER(_xlpm.MyAuditVal),_xlpm.MacVal&lt;&gt;"",_xlpm.MacVal,_xlpm.CSVVal&lt;&gt;"",_xlpm.CSVVal
)),"")</f>
        <v/>
      </c>
      <c r="O417" s="54"/>
      <c r="P417" s="54"/>
      <c r="Q417" s="54"/>
      <c r="R417" s="54"/>
      <c r="S417" s="54"/>
      <c r="T417" s="54"/>
      <c r="U417" s="39"/>
    </row>
    <row r="418" spans="1:21">
      <c r="A418" s="54" t="str">
        <f>_xlfn.TEXTJOIN("",TRUE,Input!$B$2,ROW(My_Audit!A417))</f>
        <v>XX417</v>
      </c>
      <c r="B418" s="54" t="str">
        <f>_xlfn.TEXTJOIN("-",TRUE,"ITD",Input!$A$2,A418)</f>
        <v>ITD-SHRXXX-XX417</v>
      </c>
      <c r="C418" s="54" t="str" cm="1">
        <f t="array" ref="C418">IFERROR(_xlfn.LET(
_xlpm.CSVVal,_xlfn.XLOOKUP($A418,CSV!$A:$A,CSV!B:B,""),
_xlpm.MacVal,_xlfn.XLOOKUP($A418,Output_Mac!$A:$A,Output_Mac!B:B,""),
_xlpm.MyAuditVal,_xlfn.XLOOKUP($A418,My_Audit!$A:$A,My_Audit!B:B,""),
_xlfn.IFS(_xlpm.MyAuditVal&lt;&gt;"",UPPER(_xlpm.MyAuditVal),_xlpm.MacVal&lt;&gt;"",_xlpm.MacVal,_xlpm.CSVVal&lt;&gt;"",_xlpm.CSVVal
)),"")</f>
        <v/>
      </c>
      <c r="D418" s="55" t="str">
        <f>_xlfn.XLOOKUP(A418,My_Audit!A:A,My_Audit!D:D,"")&amp;""</f>
        <v/>
      </c>
      <c r="E418" s="55" t="str" cm="1">
        <f t="array" ref="E418">IFERROR(_xlfn.LET(
_xlpm.CSVVal,_xlfn.XLOOKUP($A418,CSV!$A:$A,CSV!D:D,""),
_xlpm.MacVal,_xlfn.XLOOKUP($A418,Output_Mac!$A:$A,Output_Mac!C:C,""),
_xlpm.MyAuditVal,_xlfn.XLOOKUP($A418,My_Audit!$A:$A,My_Audit!D:D,""),
_xlfn.IFS(_xlpm.MyAuditVal&lt;&gt;"",_xlpm.MyAuditVal,_xlpm.MacVal&lt;&gt;"",_xlpm.MacVal,_xlpm.CSVVal&lt;&gt;"",_xlpm.CSVVal
)),"")</f>
        <v/>
      </c>
      <c r="F418" s="54" t="str" cm="1">
        <f t="array" ref="F418">IFERROR(_xlfn.LET(
_xlpm.CSVVal,_xlfn.XLOOKUP($A418,CSV!$A:$A,CSV!E:E,""),
_xlpm.MacVal,_xlfn.XLOOKUP($A418,Output_Mac!$A:$A,Output_Mac!F:F,""),
_xlpm.MyAuditVal,_xlfn.XLOOKUP($A418,My_Audit!$A:$A,My_Audit!E:E,""),
_xlfn.IFS(_xlpm.MyAuditVal&lt;&gt;"",_xlpm.MyAuditVal,_xlpm.MacVal&lt;&gt;"",_xlpm.MacVal,_xlpm.CSVVal&lt;&gt;"",PROPER(_xlpm.CSVVal)
)),"")</f>
        <v/>
      </c>
      <c r="G418" s="54" t="str" cm="1">
        <f t="array" ref="G418">IFERROR(_xlfn.LET(
_xlpm.CSVVal,_xlfn.XLOOKUP($A418,CSV!$A:$A,CSV!F:F,""),
_xlpm.MacVal,_xlfn.XLOOKUP($A418,Output_Mac!$A:$A,Output_Mac!H:H,""),
_xlpm.MyAuditVal,_xlfn.XLOOKUP($A418,My_Audit!$A:$A,My_Audit!F:F,""),
_xlfn.IFS(_xlpm.MyAuditVal&lt;&gt;"",_xlpm.MyAuditVal,_xlpm.MacVal&lt;&gt;"",_xlpm.MacVal,_xlpm.CSVVal&lt;&gt;"",_xlpm.CSVVal
)),"")</f>
        <v/>
      </c>
      <c r="H418" s="54" t="str">
        <f>_xlfn.XLOOKUP(A418,Output_Mac!A:A,Output_Mac!I:I,"")</f>
        <v/>
      </c>
      <c r="I418" s="54" t="str" cm="1">
        <f t="array" ref="I418">IFERROR(_xlfn.LET(
_xlpm.CSVVal,_xlfn.XLOOKUP($A418,CSV!$A:$A,CSV!G:G,""),
_xlpm.MacVal,_xlfn.XLOOKUP($A418,Output_Mac!$A:$A,Output_Mac!J:J,""),
_xlpm.MyAuditVal,_xlfn.XLOOKUP($A418,My_Audit!$A:$A,My_Audit!H:H,""),
_xlfn.IFS(_xlpm.MyAuditVal&lt;&gt;"",UPPER(_xlpm.MyAuditVal),_xlpm.MacVal&lt;&gt;"",_xlpm.MacVal,_xlpm.CSVVal&lt;&gt;"",_xlpm.CSVVal
)),"")</f>
        <v/>
      </c>
      <c r="J418" s="54" t="str" cm="1">
        <f t="array" ref="J418">IFERROR(_xlfn.LET(
_xlpm.CSVVal,_xlfn.XLOOKUP($A418,CSV!$A:$A,CSV!I:I,""),
_xlpm.MacVal,_xlfn.XLOOKUP($A418,Output_Mac!$A:$A,Output_Mac!K:K,""),
_xlpm.MyAuditVal,_xlfn.XLOOKUP($A418,My_Audit!$A:$A,My_Audit!I:I,""),
_xlfn.IFS(_xlpm.MyAuditVal&lt;&gt;"",UPPER(_xlpm.MyAuditVal),_xlpm.MacVal&lt;&gt;"",_xlpm.MacVal,_xlpm.CSVVal&lt;&gt;"",_xlpm.CSVVal
)),"")</f>
        <v/>
      </c>
      <c r="K418" s="54" t="str" cm="1">
        <f t="array" ref="K418">IFERROR(_xlfn.LET(
_xlpm.CSVVal,_xlfn.XLOOKUP($A418,CSV!$A:$A,CSV!M:M,""),
_xlpm.MacVal,_xlfn.XLOOKUP($A418,Output_Mac!$A:$A,Output_Mac!L:L,""),
_xlpm.MyAuditVal,_xlfn.XLOOKUP($A418,My_Audit!$A:$A,My_Audit!J:J,""),
_xlfn.IFS(_xlpm.MyAuditVal&lt;&gt;"",UPPER(_xlpm.MyAuditVal),_xlpm.MacVal&lt;&gt;"",_xlpm.MacVal,_xlpm.CSVVal&lt;&gt;"",_xlpm.CSVVal
)),"")</f>
        <v/>
      </c>
      <c r="L418" s="54" t="str" cm="1">
        <f t="array" ref="L418">IFERROR(_xlfn.LET(
_xlpm.CSVVal,_xlfn.XLOOKUP($A418,CSV!$A:$A,CSV!O:O,""),
_xlpm.MacVal,_xlfn.XLOOKUP($A418,Output_Mac!$A:$A,Output_Mac!M:M,""),
_xlpm.MyAuditVal,_xlfn.XLOOKUP($A418,My_Audit!$A:$A,My_Audit!K:K,""),
_xlfn.IFS(_xlpm.MyAuditVal&lt;&gt;"",UPPER(_xlpm.MyAuditVal),_xlpm.MacVal&lt;&gt;"",_xlpm.MacVal,_xlpm.CSVVal&lt;&gt;"",_xlpm.CSVVal
)),"")</f>
        <v/>
      </c>
      <c r="M418" s="54" t="str">
        <f>_xlfn.LET(
    _xlpm.CSVVal, _xlfn.XLOOKUP($A418, CSV!$A:$A, CSV!AD:AD, ""),
    _xlpm.MacVal, _xlfn.XLOOKUP($A418, Output_Mac!$A:$A, Output_Mac!S:S, ""),
    _xlpm.MyAuditVal, _xlfn.XLOOKUP($A418, My_Audit!$A:$A, My_Audit!N:N, ""),
    _xlfn.TEXTJOIN(", ", TRUE, _xlpm.MyAuditVal, _xlpm.MacVal, _xlpm.CSVVal)
)</f>
        <v/>
      </c>
      <c r="N418" s="54" t="str" cm="1">
        <f t="array" ref="N418">IFERROR(_xlfn.LET(
_xlpm.CSVVal,_xlfn.XLOOKUP($A418,CSV!$A:$A,CSV!AF:AF,""),
_xlpm.MacVal,_xlfn.XLOOKUP($A418,Output_Mac!$A:$A,Output_Mac!U:U,""),
_xlpm.MyAuditVal,_xlfn.XLOOKUP($A418,My_Audit!$A:$A,My_Audit!O:O,""),
_xlfn.IFS(_xlpm.MyAuditVal&lt;&gt;"",UPPER(_xlpm.MyAuditVal),_xlpm.MacVal&lt;&gt;"",_xlpm.MacVal,_xlpm.CSVVal&lt;&gt;"",_xlpm.CSVVal
)),"")</f>
        <v/>
      </c>
      <c r="O418" s="54"/>
      <c r="P418" s="54"/>
      <c r="Q418" s="54"/>
      <c r="R418" s="54"/>
      <c r="S418" s="54"/>
      <c r="T418" s="54"/>
      <c r="U418" s="39"/>
    </row>
    <row r="419" spans="1:21">
      <c r="A419" s="54" t="str">
        <f>_xlfn.TEXTJOIN("",TRUE,Input!$B$2,ROW(My_Audit!A418))</f>
        <v>XX418</v>
      </c>
      <c r="B419" s="54" t="str">
        <f>_xlfn.TEXTJOIN("-",TRUE,"ITD",Input!$A$2,A419)</f>
        <v>ITD-SHRXXX-XX418</v>
      </c>
      <c r="C419" s="54" t="str" cm="1">
        <f t="array" ref="C419">IFERROR(_xlfn.LET(
_xlpm.CSVVal,_xlfn.XLOOKUP($A419,CSV!$A:$A,CSV!B:B,""),
_xlpm.MacVal,_xlfn.XLOOKUP($A419,Output_Mac!$A:$A,Output_Mac!B:B,""),
_xlpm.MyAuditVal,_xlfn.XLOOKUP($A419,My_Audit!$A:$A,My_Audit!B:B,""),
_xlfn.IFS(_xlpm.MyAuditVal&lt;&gt;"",UPPER(_xlpm.MyAuditVal),_xlpm.MacVal&lt;&gt;"",_xlpm.MacVal,_xlpm.CSVVal&lt;&gt;"",_xlpm.CSVVal
)),"")</f>
        <v/>
      </c>
      <c r="D419" s="55" t="str">
        <f>_xlfn.XLOOKUP(A419,My_Audit!A:A,My_Audit!D:D,"")&amp;""</f>
        <v/>
      </c>
      <c r="E419" s="55" t="str" cm="1">
        <f t="array" ref="E419">IFERROR(_xlfn.LET(
_xlpm.CSVVal,_xlfn.XLOOKUP($A419,CSV!$A:$A,CSV!D:D,""),
_xlpm.MacVal,_xlfn.XLOOKUP($A419,Output_Mac!$A:$A,Output_Mac!C:C,""),
_xlpm.MyAuditVal,_xlfn.XLOOKUP($A419,My_Audit!$A:$A,My_Audit!D:D,""),
_xlfn.IFS(_xlpm.MyAuditVal&lt;&gt;"",_xlpm.MyAuditVal,_xlpm.MacVal&lt;&gt;"",_xlpm.MacVal,_xlpm.CSVVal&lt;&gt;"",_xlpm.CSVVal
)),"")</f>
        <v/>
      </c>
      <c r="F419" s="54" t="str" cm="1">
        <f t="array" ref="F419">IFERROR(_xlfn.LET(
_xlpm.CSVVal,_xlfn.XLOOKUP($A419,CSV!$A:$A,CSV!E:E,""),
_xlpm.MacVal,_xlfn.XLOOKUP($A419,Output_Mac!$A:$A,Output_Mac!F:F,""),
_xlpm.MyAuditVal,_xlfn.XLOOKUP($A419,My_Audit!$A:$A,My_Audit!E:E,""),
_xlfn.IFS(_xlpm.MyAuditVal&lt;&gt;"",_xlpm.MyAuditVal,_xlpm.MacVal&lt;&gt;"",_xlpm.MacVal,_xlpm.CSVVal&lt;&gt;"",PROPER(_xlpm.CSVVal)
)),"")</f>
        <v/>
      </c>
      <c r="G419" s="54" t="str" cm="1">
        <f t="array" ref="G419">IFERROR(_xlfn.LET(
_xlpm.CSVVal,_xlfn.XLOOKUP($A419,CSV!$A:$A,CSV!F:F,""),
_xlpm.MacVal,_xlfn.XLOOKUP($A419,Output_Mac!$A:$A,Output_Mac!H:H,""),
_xlpm.MyAuditVal,_xlfn.XLOOKUP($A419,My_Audit!$A:$A,My_Audit!F:F,""),
_xlfn.IFS(_xlpm.MyAuditVal&lt;&gt;"",_xlpm.MyAuditVal,_xlpm.MacVal&lt;&gt;"",_xlpm.MacVal,_xlpm.CSVVal&lt;&gt;"",_xlpm.CSVVal
)),"")</f>
        <v/>
      </c>
      <c r="H419" s="54" t="str">
        <f>_xlfn.XLOOKUP(A419,Output_Mac!A:A,Output_Mac!I:I,"")</f>
        <v/>
      </c>
      <c r="I419" s="54" t="str" cm="1">
        <f t="array" ref="I419">IFERROR(_xlfn.LET(
_xlpm.CSVVal,_xlfn.XLOOKUP($A419,CSV!$A:$A,CSV!G:G,""),
_xlpm.MacVal,_xlfn.XLOOKUP($A419,Output_Mac!$A:$A,Output_Mac!J:J,""),
_xlpm.MyAuditVal,_xlfn.XLOOKUP($A419,My_Audit!$A:$A,My_Audit!H:H,""),
_xlfn.IFS(_xlpm.MyAuditVal&lt;&gt;"",UPPER(_xlpm.MyAuditVal),_xlpm.MacVal&lt;&gt;"",_xlpm.MacVal,_xlpm.CSVVal&lt;&gt;"",_xlpm.CSVVal
)),"")</f>
        <v/>
      </c>
      <c r="J419" s="54" t="str" cm="1">
        <f t="array" ref="J419">IFERROR(_xlfn.LET(
_xlpm.CSVVal,_xlfn.XLOOKUP($A419,CSV!$A:$A,CSV!I:I,""),
_xlpm.MacVal,_xlfn.XLOOKUP($A419,Output_Mac!$A:$A,Output_Mac!K:K,""),
_xlpm.MyAuditVal,_xlfn.XLOOKUP($A419,My_Audit!$A:$A,My_Audit!I:I,""),
_xlfn.IFS(_xlpm.MyAuditVal&lt;&gt;"",UPPER(_xlpm.MyAuditVal),_xlpm.MacVal&lt;&gt;"",_xlpm.MacVal,_xlpm.CSVVal&lt;&gt;"",_xlpm.CSVVal
)),"")</f>
        <v/>
      </c>
      <c r="K419" s="54" t="str" cm="1">
        <f t="array" ref="K419">IFERROR(_xlfn.LET(
_xlpm.CSVVal,_xlfn.XLOOKUP($A419,CSV!$A:$A,CSV!M:M,""),
_xlpm.MacVal,_xlfn.XLOOKUP($A419,Output_Mac!$A:$A,Output_Mac!L:L,""),
_xlpm.MyAuditVal,_xlfn.XLOOKUP($A419,My_Audit!$A:$A,My_Audit!J:J,""),
_xlfn.IFS(_xlpm.MyAuditVal&lt;&gt;"",UPPER(_xlpm.MyAuditVal),_xlpm.MacVal&lt;&gt;"",_xlpm.MacVal,_xlpm.CSVVal&lt;&gt;"",_xlpm.CSVVal
)),"")</f>
        <v/>
      </c>
      <c r="L419" s="54" t="str" cm="1">
        <f t="array" ref="L419">IFERROR(_xlfn.LET(
_xlpm.CSVVal,_xlfn.XLOOKUP($A419,CSV!$A:$A,CSV!O:O,""),
_xlpm.MacVal,_xlfn.XLOOKUP($A419,Output_Mac!$A:$A,Output_Mac!M:M,""),
_xlpm.MyAuditVal,_xlfn.XLOOKUP($A419,My_Audit!$A:$A,My_Audit!K:K,""),
_xlfn.IFS(_xlpm.MyAuditVal&lt;&gt;"",UPPER(_xlpm.MyAuditVal),_xlpm.MacVal&lt;&gt;"",_xlpm.MacVal,_xlpm.CSVVal&lt;&gt;"",_xlpm.CSVVal
)),"")</f>
        <v/>
      </c>
      <c r="M419" s="54" t="str">
        <f>_xlfn.LET(
    _xlpm.CSVVal, _xlfn.XLOOKUP($A419, CSV!$A:$A, CSV!AD:AD, ""),
    _xlpm.MacVal, _xlfn.XLOOKUP($A419, Output_Mac!$A:$A, Output_Mac!S:S, ""),
    _xlpm.MyAuditVal, _xlfn.XLOOKUP($A419, My_Audit!$A:$A, My_Audit!N:N, ""),
    _xlfn.TEXTJOIN(", ", TRUE, _xlpm.MyAuditVal, _xlpm.MacVal, _xlpm.CSVVal)
)</f>
        <v/>
      </c>
      <c r="N419" s="54" t="str" cm="1">
        <f t="array" ref="N419">IFERROR(_xlfn.LET(
_xlpm.CSVVal,_xlfn.XLOOKUP($A419,CSV!$A:$A,CSV!AF:AF,""),
_xlpm.MacVal,_xlfn.XLOOKUP($A419,Output_Mac!$A:$A,Output_Mac!U:U,""),
_xlpm.MyAuditVal,_xlfn.XLOOKUP($A419,My_Audit!$A:$A,My_Audit!O:O,""),
_xlfn.IFS(_xlpm.MyAuditVal&lt;&gt;"",UPPER(_xlpm.MyAuditVal),_xlpm.MacVal&lt;&gt;"",_xlpm.MacVal,_xlpm.CSVVal&lt;&gt;"",_xlpm.CSVVal
)),"")</f>
        <v/>
      </c>
      <c r="O419" s="54"/>
      <c r="P419" s="54"/>
      <c r="Q419" s="54"/>
      <c r="R419" s="54"/>
      <c r="S419" s="54"/>
      <c r="T419" s="54"/>
      <c r="U419" s="39"/>
    </row>
    <row r="420" spans="1:21">
      <c r="A420" s="54" t="str">
        <f>_xlfn.TEXTJOIN("",TRUE,Input!$B$2,ROW(My_Audit!A419))</f>
        <v>XX419</v>
      </c>
      <c r="B420" s="54" t="str">
        <f>_xlfn.TEXTJOIN("-",TRUE,"ITD",Input!$A$2,A420)</f>
        <v>ITD-SHRXXX-XX419</v>
      </c>
      <c r="C420" s="54" t="str" cm="1">
        <f t="array" ref="C420">IFERROR(_xlfn.LET(
_xlpm.CSVVal,_xlfn.XLOOKUP($A420,CSV!$A:$A,CSV!B:B,""),
_xlpm.MacVal,_xlfn.XLOOKUP($A420,Output_Mac!$A:$A,Output_Mac!B:B,""),
_xlpm.MyAuditVal,_xlfn.XLOOKUP($A420,My_Audit!$A:$A,My_Audit!B:B,""),
_xlfn.IFS(_xlpm.MyAuditVal&lt;&gt;"",UPPER(_xlpm.MyAuditVal),_xlpm.MacVal&lt;&gt;"",_xlpm.MacVal,_xlpm.CSVVal&lt;&gt;"",_xlpm.CSVVal
)),"")</f>
        <v/>
      </c>
      <c r="D420" s="55" t="str">
        <f>_xlfn.XLOOKUP(A420,My_Audit!A:A,My_Audit!D:D,"")&amp;""</f>
        <v/>
      </c>
      <c r="E420" s="55" t="str" cm="1">
        <f t="array" ref="E420">IFERROR(_xlfn.LET(
_xlpm.CSVVal,_xlfn.XLOOKUP($A420,CSV!$A:$A,CSV!D:D,""),
_xlpm.MacVal,_xlfn.XLOOKUP($A420,Output_Mac!$A:$A,Output_Mac!C:C,""),
_xlpm.MyAuditVal,_xlfn.XLOOKUP($A420,My_Audit!$A:$A,My_Audit!D:D,""),
_xlfn.IFS(_xlpm.MyAuditVal&lt;&gt;"",_xlpm.MyAuditVal,_xlpm.MacVal&lt;&gt;"",_xlpm.MacVal,_xlpm.CSVVal&lt;&gt;"",_xlpm.CSVVal
)),"")</f>
        <v/>
      </c>
      <c r="F420" s="54" t="str" cm="1">
        <f t="array" ref="F420">IFERROR(_xlfn.LET(
_xlpm.CSVVal,_xlfn.XLOOKUP($A420,CSV!$A:$A,CSV!E:E,""),
_xlpm.MacVal,_xlfn.XLOOKUP($A420,Output_Mac!$A:$A,Output_Mac!F:F,""),
_xlpm.MyAuditVal,_xlfn.XLOOKUP($A420,My_Audit!$A:$A,My_Audit!E:E,""),
_xlfn.IFS(_xlpm.MyAuditVal&lt;&gt;"",_xlpm.MyAuditVal,_xlpm.MacVal&lt;&gt;"",_xlpm.MacVal,_xlpm.CSVVal&lt;&gt;"",PROPER(_xlpm.CSVVal)
)),"")</f>
        <v/>
      </c>
      <c r="G420" s="54" t="str" cm="1">
        <f t="array" ref="G420">IFERROR(_xlfn.LET(
_xlpm.CSVVal,_xlfn.XLOOKUP($A420,CSV!$A:$A,CSV!F:F,""),
_xlpm.MacVal,_xlfn.XLOOKUP($A420,Output_Mac!$A:$A,Output_Mac!H:H,""),
_xlpm.MyAuditVal,_xlfn.XLOOKUP($A420,My_Audit!$A:$A,My_Audit!F:F,""),
_xlfn.IFS(_xlpm.MyAuditVal&lt;&gt;"",_xlpm.MyAuditVal,_xlpm.MacVal&lt;&gt;"",_xlpm.MacVal,_xlpm.CSVVal&lt;&gt;"",_xlpm.CSVVal
)),"")</f>
        <v/>
      </c>
      <c r="H420" s="54" t="str">
        <f>_xlfn.XLOOKUP(A420,Output_Mac!A:A,Output_Mac!I:I,"")</f>
        <v/>
      </c>
      <c r="I420" s="54" t="str" cm="1">
        <f t="array" ref="I420">IFERROR(_xlfn.LET(
_xlpm.CSVVal,_xlfn.XLOOKUP($A420,CSV!$A:$A,CSV!G:G,""),
_xlpm.MacVal,_xlfn.XLOOKUP($A420,Output_Mac!$A:$A,Output_Mac!J:J,""),
_xlpm.MyAuditVal,_xlfn.XLOOKUP($A420,My_Audit!$A:$A,My_Audit!H:H,""),
_xlfn.IFS(_xlpm.MyAuditVal&lt;&gt;"",UPPER(_xlpm.MyAuditVal),_xlpm.MacVal&lt;&gt;"",_xlpm.MacVal,_xlpm.CSVVal&lt;&gt;"",_xlpm.CSVVal
)),"")</f>
        <v/>
      </c>
      <c r="J420" s="54" t="str" cm="1">
        <f t="array" ref="J420">IFERROR(_xlfn.LET(
_xlpm.CSVVal,_xlfn.XLOOKUP($A420,CSV!$A:$A,CSV!I:I,""),
_xlpm.MacVal,_xlfn.XLOOKUP($A420,Output_Mac!$A:$A,Output_Mac!K:K,""),
_xlpm.MyAuditVal,_xlfn.XLOOKUP($A420,My_Audit!$A:$A,My_Audit!I:I,""),
_xlfn.IFS(_xlpm.MyAuditVal&lt;&gt;"",UPPER(_xlpm.MyAuditVal),_xlpm.MacVal&lt;&gt;"",_xlpm.MacVal,_xlpm.CSVVal&lt;&gt;"",_xlpm.CSVVal
)),"")</f>
        <v/>
      </c>
      <c r="K420" s="54" t="str" cm="1">
        <f t="array" ref="K420">IFERROR(_xlfn.LET(
_xlpm.CSVVal,_xlfn.XLOOKUP($A420,CSV!$A:$A,CSV!M:M,""),
_xlpm.MacVal,_xlfn.XLOOKUP($A420,Output_Mac!$A:$A,Output_Mac!L:L,""),
_xlpm.MyAuditVal,_xlfn.XLOOKUP($A420,My_Audit!$A:$A,My_Audit!J:J,""),
_xlfn.IFS(_xlpm.MyAuditVal&lt;&gt;"",UPPER(_xlpm.MyAuditVal),_xlpm.MacVal&lt;&gt;"",_xlpm.MacVal,_xlpm.CSVVal&lt;&gt;"",_xlpm.CSVVal
)),"")</f>
        <v/>
      </c>
      <c r="L420" s="54" t="str" cm="1">
        <f t="array" ref="L420">IFERROR(_xlfn.LET(
_xlpm.CSVVal,_xlfn.XLOOKUP($A420,CSV!$A:$A,CSV!O:O,""),
_xlpm.MacVal,_xlfn.XLOOKUP($A420,Output_Mac!$A:$A,Output_Mac!M:M,""),
_xlpm.MyAuditVal,_xlfn.XLOOKUP($A420,My_Audit!$A:$A,My_Audit!K:K,""),
_xlfn.IFS(_xlpm.MyAuditVal&lt;&gt;"",UPPER(_xlpm.MyAuditVal),_xlpm.MacVal&lt;&gt;"",_xlpm.MacVal,_xlpm.CSVVal&lt;&gt;"",_xlpm.CSVVal
)),"")</f>
        <v/>
      </c>
      <c r="M420" s="54" t="str">
        <f>_xlfn.LET(
    _xlpm.CSVVal, _xlfn.XLOOKUP($A420, CSV!$A:$A, CSV!AD:AD, ""),
    _xlpm.MacVal, _xlfn.XLOOKUP($A420, Output_Mac!$A:$A, Output_Mac!S:S, ""),
    _xlpm.MyAuditVal, _xlfn.XLOOKUP($A420, My_Audit!$A:$A, My_Audit!N:N, ""),
    _xlfn.TEXTJOIN(", ", TRUE, _xlpm.MyAuditVal, _xlpm.MacVal, _xlpm.CSVVal)
)</f>
        <v/>
      </c>
      <c r="N420" s="54" t="str" cm="1">
        <f t="array" ref="N420">IFERROR(_xlfn.LET(
_xlpm.CSVVal,_xlfn.XLOOKUP($A420,CSV!$A:$A,CSV!AF:AF,""),
_xlpm.MacVal,_xlfn.XLOOKUP($A420,Output_Mac!$A:$A,Output_Mac!U:U,""),
_xlpm.MyAuditVal,_xlfn.XLOOKUP($A420,My_Audit!$A:$A,My_Audit!O:O,""),
_xlfn.IFS(_xlpm.MyAuditVal&lt;&gt;"",UPPER(_xlpm.MyAuditVal),_xlpm.MacVal&lt;&gt;"",_xlpm.MacVal,_xlpm.CSVVal&lt;&gt;"",_xlpm.CSVVal
)),"")</f>
        <v/>
      </c>
      <c r="O420" s="54"/>
      <c r="P420" s="54"/>
      <c r="Q420" s="54"/>
      <c r="R420" s="54"/>
      <c r="S420" s="54"/>
      <c r="T420" s="54"/>
      <c r="U420" s="39"/>
    </row>
    <row r="421" spans="1:21">
      <c r="A421" s="54" t="str">
        <f>_xlfn.TEXTJOIN("",TRUE,Input!$B$2,ROW(My_Audit!A420))</f>
        <v>XX420</v>
      </c>
      <c r="B421" s="54" t="str">
        <f>_xlfn.TEXTJOIN("-",TRUE,"ITD",Input!$A$2,A421)</f>
        <v>ITD-SHRXXX-XX420</v>
      </c>
      <c r="C421" s="54" t="str" cm="1">
        <f t="array" ref="C421">IFERROR(_xlfn.LET(
_xlpm.CSVVal,_xlfn.XLOOKUP($A421,CSV!$A:$A,CSV!B:B,""),
_xlpm.MacVal,_xlfn.XLOOKUP($A421,Output_Mac!$A:$A,Output_Mac!B:B,""),
_xlpm.MyAuditVal,_xlfn.XLOOKUP($A421,My_Audit!$A:$A,My_Audit!B:B,""),
_xlfn.IFS(_xlpm.MyAuditVal&lt;&gt;"",UPPER(_xlpm.MyAuditVal),_xlpm.MacVal&lt;&gt;"",_xlpm.MacVal,_xlpm.CSVVal&lt;&gt;"",_xlpm.CSVVal
)),"")</f>
        <v/>
      </c>
      <c r="D421" s="55" t="str">
        <f>_xlfn.XLOOKUP(A421,My_Audit!A:A,My_Audit!D:D,"")&amp;""</f>
        <v/>
      </c>
      <c r="E421" s="55" t="str" cm="1">
        <f t="array" ref="E421">IFERROR(_xlfn.LET(
_xlpm.CSVVal,_xlfn.XLOOKUP($A421,CSV!$A:$A,CSV!D:D,""),
_xlpm.MacVal,_xlfn.XLOOKUP($A421,Output_Mac!$A:$A,Output_Mac!C:C,""),
_xlpm.MyAuditVal,_xlfn.XLOOKUP($A421,My_Audit!$A:$A,My_Audit!D:D,""),
_xlfn.IFS(_xlpm.MyAuditVal&lt;&gt;"",_xlpm.MyAuditVal,_xlpm.MacVal&lt;&gt;"",_xlpm.MacVal,_xlpm.CSVVal&lt;&gt;"",_xlpm.CSVVal
)),"")</f>
        <v/>
      </c>
      <c r="F421" s="54" t="str" cm="1">
        <f t="array" ref="F421">IFERROR(_xlfn.LET(
_xlpm.CSVVal,_xlfn.XLOOKUP($A421,CSV!$A:$A,CSV!E:E,""),
_xlpm.MacVal,_xlfn.XLOOKUP($A421,Output_Mac!$A:$A,Output_Mac!F:F,""),
_xlpm.MyAuditVal,_xlfn.XLOOKUP($A421,My_Audit!$A:$A,My_Audit!E:E,""),
_xlfn.IFS(_xlpm.MyAuditVal&lt;&gt;"",_xlpm.MyAuditVal,_xlpm.MacVal&lt;&gt;"",_xlpm.MacVal,_xlpm.CSVVal&lt;&gt;"",PROPER(_xlpm.CSVVal)
)),"")</f>
        <v/>
      </c>
      <c r="G421" s="54" t="str" cm="1">
        <f t="array" ref="G421">IFERROR(_xlfn.LET(
_xlpm.CSVVal,_xlfn.XLOOKUP($A421,CSV!$A:$A,CSV!F:F,""),
_xlpm.MacVal,_xlfn.XLOOKUP($A421,Output_Mac!$A:$A,Output_Mac!H:H,""),
_xlpm.MyAuditVal,_xlfn.XLOOKUP($A421,My_Audit!$A:$A,My_Audit!F:F,""),
_xlfn.IFS(_xlpm.MyAuditVal&lt;&gt;"",_xlpm.MyAuditVal,_xlpm.MacVal&lt;&gt;"",_xlpm.MacVal,_xlpm.CSVVal&lt;&gt;"",_xlpm.CSVVal
)),"")</f>
        <v/>
      </c>
      <c r="H421" s="54" t="str">
        <f>_xlfn.XLOOKUP(A421,Output_Mac!A:A,Output_Mac!I:I,"")</f>
        <v/>
      </c>
      <c r="I421" s="54" t="str" cm="1">
        <f t="array" ref="I421">IFERROR(_xlfn.LET(
_xlpm.CSVVal,_xlfn.XLOOKUP($A421,CSV!$A:$A,CSV!G:G,""),
_xlpm.MacVal,_xlfn.XLOOKUP($A421,Output_Mac!$A:$A,Output_Mac!J:J,""),
_xlpm.MyAuditVal,_xlfn.XLOOKUP($A421,My_Audit!$A:$A,My_Audit!H:H,""),
_xlfn.IFS(_xlpm.MyAuditVal&lt;&gt;"",UPPER(_xlpm.MyAuditVal),_xlpm.MacVal&lt;&gt;"",_xlpm.MacVal,_xlpm.CSVVal&lt;&gt;"",_xlpm.CSVVal
)),"")</f>
        <v/>
      </c>
      <c r="J421" s="54" t="str" cm="1">
        <f t="array" ref="J421">IFERROR(_xlfn.LET(
_xlpm.CSVVal,_xlfn.XLOOKUP($A421,CSV!$A:$A,CSV!I:I,""),
_xlpm.MacVal,_xlfn.XLOOKUP($A421,Output_Mac!$A:$A,Output_Mac!K:K,""),
_xlpm.MyAuditVal,_xlfn.XLOOKUP($A421,My_Audit!$A:$A,My_Audit!I:I,""),
_xlfn.IFS(_xlpm.MyAuditVal&lt;&gt;"",UPPER(_xlpm.MyAuditVal),_xlpm.MacVal&lt;&gt;"",_xlpm.MacVal,_xlpm.CSVVal&lt;&gt;"",_xlpm.CSVVal
)),"")</f>
        <v/>
      </c>
      <c r="K421" s="54" t="str" cm="1">
        <f t="array" ref="K421">IFERROR(_xlfn.LET(
_xlpm.CSVVal,_xlfn.XLOOKUP($A421,CSV!$A:$A,CSV!M:M,""),
_xlpm.MacVal,_xlfn.XLOOKUP($A421,Output_Mac!$A:$A,Output_Mac!L:L,""),
_xlpm.MyAuditVal,_xlfn.XLOOKUP($A421,My_Audit!$A:$A,My_Audit!J:J,""),
_xlfn.IFS(_xlpm.MyAuditVal&lt;&gt;"",UPPER(_xlpm.MyAuditVal),_xlpm.MacVal&lt;&gt;"",_xlpm.MacVal,_xlpm.CSVVal&lt;&gt;"",_xlpm.CSVVal
)),"")</f>
        <v/>
      </c>
      <c r="L421" s="54" t="str" cm="1">
        <f t="array" ref="L421">IFERROR(_xlfn.LET(
_xlpm.CSVVal,_xlfn.XLOOKUP($A421,CSV!$A:$A,CSV!O:O,""),
_xlpm.MacVal,_xlfn.XLOOKUP($A421,Output_Mac!$A:$A,Output_Mac!M:M,""),
_xlpm.MyAuditVal,_xlfn.XLOOKUP($A421,My_Audit!$A:$A,My_Audit!K:K,""),
_xlfn.IFS(_xlpm.MyAuditVal&lt;&gt;"",UPPER(_xlpm.MyAuditVal),_xlpm.MacVal&lt;&gt;"",_xlpm.MacVal,_xlpm.CSVVal&lt;&gt;"",_xlpm.CSVVal
)),"")</f>
        <v/>
      </c>
      <c r="M421" s="54" t="str">
        <f>_xlfn.LET(
    _xlpm.CSVVal, _xlfn.XLOOKUP($A421, CSV!$A:$A, CSV!AD:AD, ""),
    _xlpm.MacVal, _xlfn.XLOOKUP($A421, Output_Mac!$A:$A, Output_Mac!S:S, ""),
    _xlpm.MyAuditVal, _xlfn.XLOOKUP($A421, My_Audit!$A:$A, My_Audit!N:N, ""),
    _xlfn.TEXTJOIN(", ", TRUE, _xlpm.MyAuditVal, _xlpm.MacVal, _xlpm.CSVVal)
)</f>
        <v/>
      </c>
      <c r="N421" s="54" t="str" cm="1">
        <f t="array" ref="N421">IFERROR(_xlfn.LET(
_xlpm.CSVVal,_xlfn.XLOOKUP($A421,CSV!$A:$A,CSV!AF:AF,""),
_xlpm.MacVal,_xlfn.XLOOKUP($A421,Output_Mac!$A:$A,Output_Mac!U:U,""),
_xlpm.MyAuditVal,_xlfn.XLOOKUP($A421,My_Audit!$A:$A,My_Audit!O:O,""),
_xlfn.IFS(_xlpm.MyAuditVal&lt;&gt;"",UPPER(_xlpm.MyAuditVal),_xlpm.MacVal&lt;&gt;"",_xlpm.MacVal,_xlpm.CSVVal&lt;&gt;"",_xlpm.CSVVal
)),"")</f>
        <v/>
      </c>
      <c r="O421" s="54"/>
      <c r="P421" s="54"/>
      <c r="Q421" s="54"/>
      <c r="R421" s="54"/>
      <c r="S421" s="54"/>
      <c r="T421" s="54"/>
      <c r="U421" s="39"/>
    </row>
    <row r="422" spans="1:21">
      <c r="A422" s="54" t="str">
        <f>_xlfn.TEXTJOIN("",TRUE,Input!$B$2,ROW(My_Audit!A421))</f>
        <v>XX421</v>
      </c>
      <c r="B422" s="54" t="str">
        <f>_xlfn.TEXTJOIN("-",TRUE,"ITD",Input!$A$2,A422)</f>
        <v>ITD-SHRXXX-XX421</v>
      </c>
      <c r="C422" s="54" t="str" cm="1">
        <f t="array" ref="C422">IFERROR(_xlfn.LET(
_xlpm.CSVVal,_xlfn.XLOOKUP($A422,CSV!$A:$A,CSV!B:B,""),
_xlpm.MacVal,_xlfn.XLOOKUP($A422,Output_Mac!$A:$A,Output_Mac!B:B,""),
_xlpm.MyAuditVal,_xlfn.XLOOKUP($A422,My_Audit!$A:$A,My_Audit!B:B,""),
_xlfn.IFS(_xlpm.MyAuditVal&lt;&gt;"",UPPER(_xlpm.MyAuditVal),_xlpm.MacVal&lt;&gt;"",_xlpm.MacVal,_xlpm.CSVVal&lt;&gt;"",_xlpm.CSVVal
)),"")</f>
        <v/>
      </c>
      <c r="D422" s="55" t="str">
        <f>_xlfn.XLOOKUP(A422,My_Audit!A:A,My_Audit!D:D,"")&amp;""</f>
        <v/>
      </c>
      <c r="E422" s="55" t="str" cm="1">
        <f t="array" ref="E422">IFERROR(_xlfn.LET(
_xlpm.CSVVal,_xlfn.XLOOKUP($A422,CSV!$A:$A,CSV!D:D,""),
_xlpm.MacVal,_xlfn.XLOOKUP($A422,Output_Mac!$A:$A,Output_Mac!C:C,""),
_xlpm.MyAuditVal,_xlfn.XLOOKUP($A422,My_Audit!$A:$A,My_Audit!D:D,""),
_xlfn.IFS(_xlpm.MyAuditVal&lt;&gt;"",_xlpm.MyAuditVal,_xlpm.MacVal&lt;&gt;"",_xlpm.MacVal,_xlpm.CSVVal&lt;&gt;"",_xlpm.CSVVal
)),"")</f>
        <v/>
      </c>
      <c r="F422" s="54" t="str" cm="1">
        <f t="array" ref="F422">IFERROR(_xlfn.LET(
_xlpm.CSVVal,_xlfn.XLOOKUP($A422,CSV!$A:$A,CSV!E:E,""),
_xlpm.MacVal,_xlfn.XLOOKUP($A422,Output_Mac!$A:$A,Output_Mac!F:F,""),
_xlpm.MyAuditVal,_xlfn.XLOOKUP($A422,My_Audit!$A:$A,My_Audit!E:E,""),
_xlfn.IFS(_xlpm.MyAuditVal&lt;&gt;"",_xlpm.MyAuditVal,_xlpm.MacVal&lt;&gt;"",_xlpm.MacVal,_xlpm.CSVVal&lt;&gt;"",PROPER(_xlpm.CSVVal)
)),"")</f>
        <v/>
      </c>
      <c r="G422" s="54" t="str" cm="1">
        <f t="array" ref="G422">IFERROR(_xlfn.LET(
_xlpm.CSVVal,_xlfn.XLOOKUP($A422,CSV!$A:$A,CSV!F:F,""),
_xlpm.MacVal,_xlfn.XLOOKUP($A422,Output_Mac!$A:$A,Output_Mac!H:H,""),
_xlpm.MyAuditVal,_xlfn.XLOOKUP($A422,My_Audit!$A:$A,My_Audit!F:F,""),
_xlfn.IFS(_xlpm.MyAuditVal&lt;&gt;"",_xlpm.MyAuditVal,_xlpm.MacVal&lt;&gt;"",_xlpm.MacVal,_xlpm.CSVVal&lt;&gt;"",_xlpm.CSVVal
)),"")</f>
        <v/>
      </c>
      <c r="H422" s="54" t="str">
        <f>_xlfn.XLOOKUP(A422,Output_Mac!A:A,Output_Mac!I:I,"")</f>
        <v/>
      </c>
      <c r="I422" s="54" t="str" cm="1">
        <f t="array" ref="I422">IFERROR(_xlfn.LET(
_xlpm.CSVVal,_xlfn.XLOOKUP($A422,CSV!$A:$A,CSV!G:G,""),
_xlpm.MacVal,_xlfn.XLOOKUP($A422,Output_Mac!$A:$A,Output_Mac!J:J,""),
_xlpm.MyAuditVal,_xlfn.XLOOKUP($A422,My_Audit!$A:$A,My_Audit!H:H,""),
_xlfn.IFS(_xlpm.MyAuditVal&lt;&gt;"",UPPER(_xlpm.MyAuditVal),_xlpm.MacVal&lt;&gt;"",_xlpm.MacVal,_xlpm.CSVVal&lt;&gt;"",_xlpm.CSVVal
)),"")</f>
        <v/>
      </c>
      <c r="J422" s="54" t="str" cm="1">
        <f t="array" ref="J422">IFERROR(_xlfn.LET(
_xlpm.CSVVal,_xlfn.XLOOKUP($A422,CSV!$A:$A,CSV!I:I,""),
_xlpm.MacVal,_xlfn.XLOOKUP($A422,Output_Mac!$A:$A,Output_Mac!K:K,""),
_xlpm.MyAuditVal,_xlfn.XLOOKUP($A422,My_Audit!$A:$A,My_Audit!I:I,""),
_xlfn.IFS(_xlpm.MyAuditVal&lt;&gt;"",UPPER(_xlpm.MyAuditVal),_xlpm.MacVal&lt;&gt;"",_xlpm.MacVal,_xlpm.CSVVal&lt;&gt;"",_xlpm.CSVVal
)),"")</f>
        <v/>
      </c>
      <c r="K422" s="54" t="str" cm="1">
        <f t="array" ref="K422">IFERROR(_xlfn.LET(
_xlpm.CSVVal,_xlfn.XLOOKUP($A422,CSV!$A:$A,CSV!M:M,""),
_xlpm.MacVal,_xlfn.XLOOKUP($A422,Output_Mac!$A:$A,Output_Mac!L:L,""),
_xlpm.MyAuditVal,_xlfn.XLOOKUP($A422,My_Audit!$A:$A,My_Audit!J:J,""),
_xlfn.IFS(_xlpm.MyAuditVal&lt;&gt;"",UPPER(_xlpm.MyAuditVal),_xlpm.MacVal&lt;&gt;"",_xlpm.MacVal,_xlpm.CSVVal&lt;&gt;"",_xlpm.CSVVal
)),"")</f>
        <v/>
      </c>
      <c r="L422" s="54" t="str" cm="1">
        <f t="array" ref="L422">IFERROR(_xlfn.LET(
_xlpm.CSVVal,_xlfn.XLOOKUP($A422,CSV!$A:$A,CSV!O:O,""),
_xlpm.MacVal,_xlfn.XLOOKUP($A422,Output_Mac!$A:$A,Output_Mac!M:M,""),
_xlpm.MyAuditVal,_xlfn.XLOOKUP($A422,My_Audit!$A:$A,My_Audit!K:K,""),
_xlfn.IFS(_xlpm.MyAuditVal&lt;&gt;"",UPPER(_xlpm.MyAuditVal),_xlpm.MacVal&lt;&gt;"",_xlpm.MacVal,_xlpm.CSVVal&lt;&gt;"",_xlpm.CSVVal
)),"")</f>
        <v/>
      </c>
      <c r="M422" s="54" t="str">
        <f>_xlfn.LET(
    _xlpm.CSVVal, _xlfn.XLOOKUP($A422, CSV!$A:$A, CSV!AD:AD, ""),
    _xlpm.MacVal, _xlfn.XLOOKUP($A422, Output_Mac!$A:$A, Output_Mac!S:S, ""),
    _xlpm.MyAuditVal, _xlfn.XLOOKUP($A422, My_Audit!$A:$A, My_Audit!N:N, ""),
    _xlfn.TEXTJOIN(", ", TRUE, _xlpm.MyAuditVal, _xlpm.MacVal, _xlpm.CSVVal)
)</f>
        <v/>
      </c>
      <c r="N422" s="54" t="str" cm="1">
        <f t="array" ref="N422">IFERROR(_xlfn.LET(
_xlpm.CSVVal,_xlfn.XLOOKUP($A422,CSV!$A:$A,CSV!AF:AF,""),
_xlpm.MacVal,_xlfn.XLOOKUP($A422,Output_Mac!$A:$A,Output_Mac!U:U,""),
_xlpm.MyAuditVal,_xlfn.XLOOKUP($A422,My_Audit!$A:$A,My_Audit!O:O,""),
_xlfn.IFS(_xlpm.MyAuditVal&lt;&gt;"",UPPER(_xlpm.MyAuditVal),_xlpm.MacVal&lt;&gt;"",_xlpm.MacVal,_xlpm.CSVVal&lt;&gt;"",_xlpm.CSVVal
)),"")</f>
        <v/>
      </c>
      <c r="O422" s="54"/>
      <c r="P422" s="54"/>
      <c r="Q422" s="54"/>
      <c r="R422" s="54"/>
      <c r="S422" s="54"/>
      <c r="T422" s="54"/>
      <c r="U422" s="39"/>
    </row>
    <row r="423" spans="1:21">
      <c r="A423" s="54" t="str">
        <f>_xlfn.TEXTJOIN("",TRUE,Input!$B$2,ROW(My_Audit!A422))</f>
        <v>XX422</v>
      </c>
      <c r="B423" s="54" t="str">
        <f>_xlfn.TEXTJOIN("-",TRUE,"ITD",Input!$A$2,A423)</f>
        <v>ITD-SHRXXX-XX422</v>
      </c>
      <c r="C423" s="54" t="str" cm="1">
        <f t="array" ref="C423">IFERROR(_xlfn.LET(
_xlpm.CSVVal,_xlfn.XLOOKUP($A423,CSV!$A:$A,CSV!B:B,""),
_xlpm.MacVal,_xlfn.XLOOKUP($A423,Output_Mac!$A:$A,Output_Mac!B:B,""),
_xlpm.MyAuditVal,_xlfn.XLOOKUP($A423,My_Audit!$A:$A,My_Audit!B:B,""),
_xlfn.IFS(_xlpm.MyAuditVal&lt;&gt;"",UPPER(_xlpm.MyAuditVal),_xlpm.MacVal&lt;&gt;"",_xlpm.MacVal,_xlpm.CSVVal&lt;&gt;"",_xlpm.CSVVal
)),"")</f>
        <v/>
      </c>
      <c r="D423" s="55" t="str">
        <f>_xlfn.XLOOKUP(A423,My_Audit!A:A,My_Audit!D:D,"")&amp;""</f>
        <v/>
      </c>
      <c r="E423" s="55" t="str" cm="1">
        <f t="array" ref="E423">IFERROR(_xlfn.LET(
_xlpm.CSVVal,_xlfn.XLOOKUP($A423,CSV!$A:$A,CSV!D:D,""),
_xlpm.MacVal,_xlfn.XLOOKUP($A423,Output_Mac!$A:$A,Output_Mac!C:C,""),
_xlpm.MyAuditVal,_xlfn.XLOOKUP($A423,My_Audit!$A:$A,My_Audit!D:D,""),
_xlfn.IFS(_xlpm.MyAuditVal&lt;&gt;"",_xlpm.MyAuditVal,_xlpm.MacVal&lt;&gt;"",_xlpm.MacVal,_xlpm.CSVVal&lt;&gt;"",_xlpm.CSVVal
)),"")</f>
        <v/>
      </c>
      <c r="F423" s="54" t="str" cm="1">
        <f t="array" ref="F423">IFERROR(_xlfn.LET(
_xlpm.CSVVal,_xlfn.XLOOKUP($A423,CSV!$A:$A,CSV!E:E,""),
_xlpm.MacVal,_xlfn.XLOOKUP($A423,Output_Mac!$A:$A,Output_Mac!F:F,""),
_xlpm.MyAuditVal,_xlfn.XLOOKUP($A423,My_Audit!$A:$A,My_Audit!E:E,""),
_xlfn.IFS(_xlpm.MyAuditVal&lt;&gt;"",_xlpm.MyAuditVal,_xlpm.MacVal&lt;&gt;"",_xlpm.MacVal,_xlpm.CSVVal&lt;&gt;"",PROPER(_xlpm.CSVVal)
)),"")</f>
        <v/>
      </c>
      <c r="G423" s="54" t="str" cm="1">
        <f t="array" ref="G423">IFERROR(_xlfn.LET(
_xlpm.CSVVal,_xlfn.XLOOKUP($A423,CSV!$A:$A,CSV!F:F,""),
_xlpm.MacVal,_xlfn.XLOOKUP($A423,Output_Mac!$A:$A,Output_Mac!H:H,""),
_xlpm.MyAuditVal,_xlfn.XLOOKUP($A423,My_Audit!$A:$A,My_Audit!F:F,""),
_xlfn.IFS(_xlpm.MyAuditVal&lt;&gt;"",_xlpm.MyAuditVal,_xlpm.MacVal&lt;&gt;"",_xlpm.MacVal,_xlpm.CSVVal&lt;&gt;"",_xlpm.CSVVal
)),"")</f>
        <v/>
      </c>
      <c r="H423" s="54" t="str">
        <f>_xlfn.XLOOKUP(A423,Output_Mac!A:A,Output_Mac!I:I,"")</f>
        <v/>
      </c>
      <c r="I423" s="54" t="str" cm="1">
        <f t="array" ref="I423">IFERROR(_xlfn.LET(
_xlpm.CSVVal,_xlfn.XLOOKUP($A423,CSV!$A:$A,CSV!G:G,""),
_xlpm.MacVal,_xlfn.XLOOKUP($A423,Output_Mac!$A:$A,Output_Mac!J:J,""),
_xlpm.MyAuditVal,_xlfn.XLOOKUP($A423,My_Audit!$A:$A,My_Audit!H:H,""),
_xlfn.IFS(_xlpm.MyAuditVal&lt;&gt;"",UPPER(_xlpm.MyAuditVal),_xlpm.MacVal&lt;&gt;"",_xlpm.MacVal,_xlpm.CSVVal&lt;&gt;"",_xlpm.CSVVal
)),"")</f>
        <v/>
      </c>
      <c r="J423" s="54" t="str" cm="1">
        <f t="array" ref="J423">IFERROR(_xlfn.LET(
_xlpm.CSVVal,_xlfn.XLOOKUP($A423,CSV!$A:$A,CSV!I:I,""),
_xlpm.MacVal,_xlfn.XLOOKUP($A423,Output_Mac!$A:$A,Output_Mac!K:K,""),
_xlpm.MyAuditVal,_xlfn.XLOOKUP($A423,My_Audit!$A:$A,My_Audit!I:I,""),
_xlfn.IFS(_xlpm.MyAuditVal&lt;&gt;"",UPPER(_xlpm.MyAuditVal),_xlpm.MacVal&lt;&gt;"",_xlpm.MacVal,_xlpm.CSVVal&lt;&gt;"",_xlpm.CSVVal
)),"")</f>
        <v/>
      </c>
      <c r="K423" s="54" t="str" cm="1">
        <f t="array" ref="K423">IFERROR(_xlfn.LET(
_xlpm.CSVVal,_xlfn.XLOOKUP($A423,CSV!$A:$A,CSV!M:M,""),
_xlpm.MacVal,_xlfn.XLOOKUP($A423,Output_Mac!$A:$A,Output_Mac!L:L,""),
_xlpm.MyAuditVal,_xlfn.XLOOKUP($A423,My_Audit!$A:$A,My_Audit!J:J,""),
_xlfn.IFS(_xlpm.MyAuditVal&lt;&gt;"",UPPER(_xlpm.MyAuditVal),_xlpm.MacVal&lt;&gt;"",_xlpm.MacVal,_xlpm.CSVVal&lt;&gt;"",_xlpm.CSVVal
)),"")</f>
        <v/>
      </c>
      <c r="L423" s="54" t="str" cm="1">
        <f t="array" ref="L423">IFERROR(_xlfn.LET(
_xlpm.CSVVal,_xlfn.XLOOKUP($A423,CSV!$A:$A,CSV!O:O,""),
_xlpm.MacVal,_xlfn.XLOOKUP($A423,Output_Mac!$A:$A,Output_Mac!M:M,""),
_xlpm.MyAuditVal,_xlfn.XLOOKUP($A423,My_Audit!$A:$A,My_Audit!K:K,""),
_xlfn.IFS(_xlpm.MyAuditVal&lt;&gt;"",UPPER(_xlpm.MyAuditVal),_xlpm.MacVal&lt;&gt;"",_xlpm.MacVal,_xlpm.CSVVal&lt;&gt;"",_xlpm.CSVVal
)),"")</f>
        <v/>
      </c>
      <c r="M423" s="54" t="str">
        <f>_xlfn.LET(
    _xlpm.CSVVal, _xlfn.XLOOKUP($A423, CSV!$A:$A, CSV!AD:AD, ""),
    _xlpm.MacVal, _xlfn.XLOOKUP($A423, Output_Mac!$A:$A, Output_Mac!S:S, ""),
    _xlpm.MyAuditVal, _xlfn.XLOOKUP($A423, My_Audit!$A:$A, My_Audit!N:N, ""),
    _xlfn.TEXTJOIN(", ", TRUE, _xlpm.MyAuditVal, _xlpm.MacVal, _xlpm.CSVVal)
)</f>
        <v/>
      </c>
      <c r="N423" s="54" t="str" cm="1">
        <f t="array" ref="N423">IFERROR(_xlfn.LET(
_xlpm.CSVVal,_xlfn.XLOOKUP($A423,CSV!$A:$A,CSV!AF:AF,""),
_xlpm.MacVal,_xlfn.XLOOKUP($A423,Output_Mac!$A:$A,Output_Mac!U:U,""),
_xlpm.MyAuditVal,_xlfn.XLOOKUP($A423,My_Audit!$A:$A,My_Audit!O:O,""),
_xlfn.IFS(_xlpm.MyAuditVal&lt;&gt;"",UPPER(_xlpm.MyAuditVal),_xlpm.MacVal&lt;&gt;"",_xlpm.MacVal,_xlpm.CSVVal&lt;&gt;"",_xlpm.CSVVal
)),"")</f>
        <v/>
      </c>
      <c r="O423" s="54"/>
      <c r="P423" s="54"/>
      <c r="Q423" s="54"/>
      <c r="R423" s="54"/>
      <c r="S423" s="54"/>
      <c r="T423" s="54"/>
      <c r="U423" s="39"/>
    </row>
    <row r="424" spans="1:21">
      <c r="A424" s="54" t="str">
        <f>_xlfn.TEXTJOIN("",TRUE,Input!$B$2,ROW(My_Audit!A423))</f>
        <v>XX423</v>
      </c>
      <c r="B424" s="54" t="str">
        <f>_xlfn.TEXTJOIN("-",TRUE,"ITD",Input!$A$2,A424)</f>
        <v>ITD-SHRXXX-XX423</v>
      </c>
      <c r="C424" s="54" t="str" cm="1">
        <f t="array" ref="C424">IFERROR(_xlfn.LET(
_xlpm.CSVVal,_xlfn.XLOOKUP($A424,CSV!$A:$A,CSV!B:B,""),
_xlpm.MacVal,_xlfn.XLOOKUP($A424,Output_Mac!$A:$A,Output_Mac!B:B,""),
_xlpm.MyAuditVal,_xlfn.XLOOKUP($A424,My_Audit!$A:$A,My_Audit!B:B,""),
_xlfn.IFS(_xlpm.MyAuditVal&lt;&gt;"",UPPER(_xlpm.MyAuditVal),_xlpm.MacVal&lt;&gt;"",_xlpm.MacVal,_xlpm.CSVVal&lt;&gt;"",_xlpm.CSVVal
)),"")</f>
        <v/>
      </c>
      <c r="D424" s="55" t="str">
        <f>_xlfn.XLOOKUP(A424,My_Audit!A:A,My_Audit!D:D,"")&amp;""</f>
        <v/>
      </c>
      <c r="E424" s="55" t="str" cm="1">
        <f t="array" ref="E424">IFERROR(_xlfn.LET(
_xlpm.CSVVal,_xlfn.XLOOKUP($A424,CSV!$A:$A,CSV!D:D,""),
_xlpm.MacVal,_xlfn.XLOOKUP($A424,Output_Mac!$A:$A,Output_Mac!C:C,""),
_xlpm.MyAuditVal,_xlfn.XLOOKUP($A424,My_Audit!$A:$A,My_Audit!D:D,""),
_xlfn.IFS(_xlpm.MyAuditVal&lt;&gt;"",_xlpm.MyAuditVal,_xlpm.MacVal&lt;&gt;"",_xlpm.MacVal,_xlpm.CSVVal&lt;&gt;"",_xlpm.CSVVal
)),"")</f>
        <v/>
      </c>
      <c r="F424" s="54" t="str" cm="1">
        <f t="array" ref="F424">IFERROR(_xlfn.LET(
_xlpm.CSVVal,_xlfn.XLOOKUP($A424,CSV!$A:$A,CSV!E:E,""),
_xlpm.MacVal,_xlfn.XLOOKUP($A424,Output_Mac!$A:$A,Output_Mac!F:F,""),
_xlpm.MyAuditVal,_xlfn.XLOOKUP($A424,My_Audit!$A:$A,My_Audit!E:E,""),
_xlfn.IFS(_xlpm.MyAuditVal&lt;&gt;"",_xlpm.MyAuditVal,_xlpm.MacVal&lt;&gt;"",_xlpm.MacVal,_xlpm.CSVVal&lt;&gt;"",PROPER(_xlpm.CSVVal)
)),"")</f>
        <v/>
      </c>
      <c r="G424" s="54" t="str" cm="1">
        <f t="array" ref="G424">IFERROR(_xlfn.LET(
_xlpm.CSVVal,_xlfn.XLOOKUP($A424,CSV!$A:$A,CSV!F:F,""),
_xlpm.MacVal,_xlfn.XLOOKUP($A424,Output_Mac!$A:$A,Output_Mac!H:H,""),
_xlpm.MyAuditVal,_xlfn.XLOOKUP($A424,My_Audit!$A:$A,My_Audit!F:F,""),
_xlfn.IFS(_xlpm.MyAuditVal&lt;&gt;"",_xlpm.MyAuditVal,_xlpm.MacVal&lt;&gt;"",_xlpm.MacVal,_xlpm.CSVVal&lt;&gt;"",_xlpm.CSVVal
)),"")</f>
        <v/>
      </c>
      <c r="H424" s="54" t="str">
        <f>_xlfn.XLOOKUP(A424,Output_Mac!A:A,Output_Mac!I:I,"")</f>
        <v/>
      </c>
      <c r="I424" s="54" t="str" cm="1">
        <f t="array" ref="I424">IFERROR(_xlfn.LET(
_xlpm.CSVVal,_xlfn.XLOOKUP($A424,CSV!$A:$A,CSV!G:G,""),
_xlpm.MacVal,_xlfn.XLOOKUP($A424,Output_Mac!$A:$A,Output_Mac!J:J,""),
_xlpm.MyAuditVal,_xlfn.XLOOKUP($A424,My_Audit!$A:$A,My_Audit!H:H,""),
_xlfn.IFS(_xlpm.MyAuditVal&lt;&gt;"",UPPER(_xlpm.MyAuditVal),_xlpm.MacVal&lt;&gt;"",_xlpm.MacVal,_xlpm.CSVVal&lt;&gt;"",_xlpm.CSVVal
)),"")</f>
        <v/>
      </c>
      <c r="J424" s="54" t="str" cm="1">
        <f t="array" ref="J424">IFERROR(_xlfn.LET(
_xlpm.CSVVal,_xlfn.XLOOKUP($A424,CSV!$A:$A,CSV!I:I,""),
_xlpm.MacVal,_xlfn.XLOOKUP($A424,Output_Mac!$A:$A,Output_Mac!K:K,""),
_xlpm.MyAuditVal,_xlfn.XLOOKUP($A424,My_Audit!$A:$A,My_Audit!I:I,""),
_xlfn.IFS(_xlpm.MyAuditVal&lt;&gt;"",UPPER(_xlpm.MyAuditVal),_xlpm.MacVal&lt;&gt;"",_xlpm.MacVal,_xlpm.CSVVal&lt;&gt;"",_xlpm.CSVVal
)),"")</f>
        <v/>
      </c>
      <c r="K424" s="54" t="str" cm="1">
        <f t="array" ref="K424">IFERROR(_xlfn.LET(
_xlpm.CSVVal,_xlfn.XLOOKUP($A424,CSV!$A:$A,CSV!M:M,""),
_xlpm.MacVal,_xlfn.XLOOKUP($A424,Output_Mac!$A:$A,Output_Mac!L:L,""),
_xlpm.MyAuditVal,_xlfn.XLOOKUP($A424,My_Audit!$A:$A,My_Audit!J:J,""),
_xlfn.IFS(_xlpm.MyAuditVal&lt;&gt;"",UPPER(_xlpm.MyAuditVal),_xlpm.MacVal&lt;&gt;"",_xlpm.MacVal,_xlpm.CSVVal&lt;&gt;"",_xlpm.CSVVal
)),"")</f>
        <v/>
      </c>
      <c r="L424" s="54" t="str" cm="1">
        <f t="array" ref="L424">IFERROR(_xlfn.LET(
_xlpm.CSVVal,_xlfn.XLOOKUP($A424,CSV!$A:$A,CSV!O:O,""),
_xlpm.MacVal,_xlfn.XLOOKUP($A424,Output_Mac!$A:$A,Output_Mac!M:M,""),
_xlpm.MyAuditVal,_xlfn.XLOOKUP($A424,My_Audit!$A:$A,My_Audit!K:K,""),
_xlfn.IFS(_xlpm.MyAuditVal&lt;&gt;"",UPPER(_xlpm.MyAuditVal),_xlpm.MacVal&lt;&gt;"",_xlpm.MacVal,_xlpm.CSVVal&lt;&gt;"",_xlpm.CSVVal
)),"")</f>
        <v/>
      </c>
      <c r="M424" s="54" t="str">
        <f>_xlfn.LET(
    _xlpm.CSVVal, _xlfn.XLOOKUP($A424, CSV!$A:$A, CSV!AD:AD, ""),
    _xlpm.MacVal, _xlfn.XLOOKUP($A424, Output_Mac!$A:$A, Output_Mac!S:S, ""),
    _xlpm.MyAuditVal, _xlfn.XLOOKUP($A424, My_Audit!$A:$A, My_Audit!N:N, ""),
    _xlfn.TEXTJOIN(", ", TRUE, _xlpm.MyAuditVal, _xlpm.MacVal, _xlpm.CSVVal)
)</f>
        <v/>
      </c>
      <c r="N424" s="54" t="str" cm="1">
        <f t="array" ref="N424">IFERROR(_xlfn.LET(
_xlpm.CSVVal,_xlfn.XLOOKUP($A424,CSV!$A:$A,CSV!AF:AF,""),
_xlpm.MacVal,_xlfn.XLOOKUP($A424,Output_Mac!$A:$A,Output_Mac!U:U,""),
_xlpm.MyAuditVal,_xlfn.XLOOKUP($A424,My_Audit!$A:$A,My_Audit!O:O,""),
_xlfn.IFS(_xlpm.MyAuditVal&lt;&gt;"",UPPER(_xlpm.MyAuditVal),_xlpm.MacVal&lt;&gt;"",_xlpm.MacVal,_xlpm.CSVVal&lt;&gt;"",_xlpm.CSVVal
)),"")</f>
        <v/>
      </c>
      <c r="O424" s="54"/>
      <c r="P424" s="54"/>
      <c r="Q424" s="54"/>
      <c r="R424" s="54"/>
      <c r="S424" s="54"/>
      <c r="T424" s="54"/>
      <c r="U424" s="39"/>
    </row>
    <row r="425" spans="1:21">
      <c r="A425" s="54" t="str">
        <f>_xlfn.TEXTJOIN("",TRUE,Input!$B$2,ROW(My_Audit!A424))</f>
        <v>XX424</v>
      </c>
      <c r="B425" s="54" t="str">
        <f>_xlfn.TEXTJOIN("-",TRUE,"ITD",Input!$A$2,A425)</f>
        <v>ITD-SHRXXX-XX424</v>
      </c>
      <c r="C425" s="54" t="str" cm="1">
        <f t="array" ref="C425">IFERROR(_xlfn.LET(
_xlpm.CSVVal,_xlfn.XLOOKUP($A425,CSV!$A:$A,CSV!B:B,""),
_xlpm.MacVal,_xlfn.XLOOKUP($A425,Output_Mac!$A:$A,Output_Mac!B:B,""),
_xlpm.MyAuditVal,_xlfn.XLOOKUP($A425,My_Audit!$A:$A,My_Audit!B:B,""),
_xlfn.IFS(_xlpm.MyAuditVal&lt;&gt;"",UPPER(_xlpm.MyAuditVal),_xlpm.MacVal&lt;&gt;"",_xlpm.MacVal,_xlpm.CSVVal&lt;&gt;"",_xlpm.CSVVal
)),"")</f>
        <v/>
      </c>
      <c r="D425" s="55" t="str">
        <f>_xlfn.XLOOKUP(A425,My_Audit!A:A,My_Audit!D:D,"")&amp;""</f>
        <v/>
      </c>
      <c r="E425" s="55" t="str" cm="1">
        <f t="array" ref="E425">IFERROR(_xlfn.LET(
_xlpm.CSVVal,_xlfn.XLOOKUP($A425,CSV!$A:$A,CSV!D:D,""),
_xlpm.MacVal,_xlfn.XLOOKUP($A425,Output_Mac!$A:$A,Output_Mac!C:C,""),
_xlpm.MyAuditVal,_xlfn.XLOOKUP($A425,My_Audit!$A:$A,My_Audit!D:D,""),
_xlfn.IFS(_xlpm.MyAuditVal&lt;&gt;"",_xlpm.MyAuditVal,_xlpm.MacVal&lt;&gt;"",_xlpm.MacVal,_xlpm.CSVVal&lt;&gt;"",_xlpm.CSVVal
)),"")</f>
        <v/>
      </c>
      <c r="F425" s="54" t="str" cm="1">
        <f t="array" ref="F425">IFERROR(_xlfn.LET(
_xlpm.CSVVal,_xlfn.XLOOKUP($A425,CSV!$A:$A,CSV!E:E,""),
_xlpm.MacVal,_xlfn.XLOOKUP($A425,Output_Mac!$A:$A,Output_Mac!F:F,""),
_xlpm.MyAuditVal,_xlfn.XLOOKUP($A425,My_Audit!$A:$A,My_Audit!E:E,""),
_xlfn.IFS(_xlpm.MyAuditVal&lt;&gt;"",_xlpm.MyAuditVal,_xlpm.MacVal&lt;&gt;"",_xlpm.MacVal,_xlpm.CSVVal&lt;&gt;"",PROPER(_xlpm.CSVVal)
)),"")</f>
        <v/>
      </c>
      <c r="G425" s="54" t="str" cm="1">
        <f t="array" ref="G425">IFERROR(_xlfn.LET(
_xlpm.CSVVal,_xlfn.XLOOKUP($A425,CSV!$A:$A,CSV!F:F,""),
_xlpm.MacVal,_xlfn.XLOOKUP($A425,Output_Mac!$A:$A,Output_Mac!H:H,""),
_xlpm.MyAuditVal,_xlfn.XLOOKUP($A425,My_Audit!$A:$A,My_Audit!F:F,""),
_xlfn.IFS(_xlpm.MyAuditVal&lt;&gt;"",_xlpm.MyAuditVal,_xlpm.MacVal&lt;&gt;"",_xlpm.MacVal,_xlpm.CSVVal&lt;&gt;"",_xlpm.CSVVal
)),"")</f>
        <v/>
      </c>
      <c r="H425" s="54" t="str">
        <f>_xlfn.XLOOKUP(A425,Output_Mac!A:A,Output_Mac!I:I,"")</f>
        <v/>
      </c>
      <c r="I425" s="54" t="str" cm="1">
        <f t="array" ref="I425">IFERROR(_xlfn.LET(
_xlpm.CSVVal,_xlfn.XLOOKUP($A425,CSV!$A:$A,CSV!G:G,""),
_xlpm.MacVal,_xlfn.XLOOKUP($A425,Output_Mac!$A:$A,Output_Mac!J:J,""),
_xlpm.MyAuditVal,_xlfn.XLOOKUP($A425,My_Audit!$A:$A,My_Audit!H:H,""),
_xlfn.IFS(_xlpm.MyAuditVal&lt;&gt;"",UPPER(_xlpm.MyAuditVal),_xlpm.MacVal&lt;&gt;"",_xlpm.MacVal,_xlpm.CSVVal&lt;&gt;"",_xlpm.CSVVal
)),"")</f>
        <v/>
      </c>
      <c r="J425" s="54" t="str" cm="1">
        <f t="array" ref="J425">IFERROR(_xlfn.LET(
_xlpm.CSVVal,_xlfn.XLOOKUP($A425,CSV!$A:$A,CSV!I:I,""),
_xlpm.MacVal,_xlfn.XLOOKUP($A425,Output_Mac!$A:$A,Output_Mac!K:K,""),
_xlpm.MyAuditVal,_xlfn.XLOOKUP($A425,My_Audit!$A:$A,My_Audit!I:I,""),
_xlfn.IFS(_xlpm.MyAuditVal&lt;&gt;"",UPPER(_xlpm.MyAuditVal),_xlpm.MacVal&lt;&gt;"",_xlpm.MacVal,_xlpm.CSVVal&lt;&gt;"",_xlpm.CSVVal
)),"")</f>
        <v/>
      </c>
      <c r="K425" s="54" t="str" cm="1">
        <f t="array" ref="K425">IFERROR(_xlfn.LET(
_xlpm.CSVVal,_xlfn.XLOOKUP($A425,CSV!$A:$A,CSV!M:M,""),
_xlpm.MacVal,_xlfn.XLOOKUP($A425,Output_Mac!$A:$A,Output_Mac!L:L,""),
_xlpm.MyAuditVal,_xlfn.XLOOKUP($A425,My_Audit!$A:$A,My_Audit!J:J,""),
_xlfn.IFS(_xlpm.MyAuditVal&lt;&gt;"",UPPER(_xlpm.MyAuditVal),_xlpm.MacVal&lt;&gt;"",_xlpm.MacVal,_xlpm.CSVVal&lt;&gt;"",_xlpm.CSVVal
)),"")</f>
        <v/>
      </c>
      <c r="L425" s="54" t="str" cm="1">
        <f t="array" ref="L425">IFERROR(_xlfn.LET(
_xlpm.CSVVal,_xlfn.XLOOKUP($A425,CSV!$A:$A,CSV!O:O,""),
_xlpm.MacVal,_xlfn.XLOOKUP($A425,Output_Mac!$A:$A,Output_Mac!M:M,""),
_xlpm.MyAuditVal,_xlfn.XLOOKUP($A425,My_Audit!$A:$A,My_Audit!K:K,""),
_xlfn.IFS(_xlpm.MyAuditVal&lt;&gt;"",UPPER(_xlpm.MyAuditVal),_xlpm.MacVal&lt;&gt;"",_xlpm.MacVal,_xlpm.CSVVal&lt;&gt;"",_xlpm.CSVVal
)),"")</f>
        <v/>
      </c>
      <c r="M425" s="54" t="str">
        <f>_xlfn.LET(
    _xlpm.CSVVal, _xlfn.XLOOKUP($A425, CSV!$A:$A, CSV!AD:AD, ""),
    _xlpm.MacVal, _xlfn.XLOOKUP($A425, Output_Mac!$A:$A, Output_Mac!S:S, ""),
    _xlpm.MyAuditVal, _xlfn.XLOOKUP($A425, My_Audit!$A:$A, My_Audit!N:N, ""),
    _xlfn.TEXTJOIN(", ", TRUE, _xlpm.MyAuditVal, _xlpm.MacVal, _xlpm.CSVVal)
)</f>
        <v/>
      </c>
      <c r="N425" s="54" t="str" cm="1">
        <f t="array" ref="N425">IFERROR(_xlfn.LET(
_xlpm.CSVVal,_xlfn.XLOOKUP($A425,CSV!$A:$A,CSV!AF:AF,""),
_xlpm.MacVal,_xlfn.XLOOKUP($A425,Output_Mac!$A:$A,Output_Mac!U:U,""),
_xlpm.MyAuditVal,_xlfn.XLOOKUP($A425,My_Audit!$A:$A,My_Audit!O:O,""),
_xlfn.IFS(_xlpm.MyAuditVal&lt;&gt;"",UPPER(_xlpm.MyAuditVal),_xlpm.MacVal&lt;&gt;"",_xlpm.MacVal,_xlpm.CSVVal&lt;&gt;"",_xlpm.CSVVal
)),"")</f>
        <v/>
      </c>
      <c r="O425" s="54"/>
      <c r="P425" s="54"/>
      <c r="Q425" s="54"/>
      <c r="R425" s="54"/>
      <c r="S425" s="54"/>
      <c r="T425" s="54"/>
      <c r="U425" s="39"/>
    </row>
    <row r="426" spans="1:21">
      <c r="A426" s="54" t="str">
        <f>_xlfn.TEXTJOIN("",TRUE,Input!$B$2,ROW(My_Audit!A425))</f>
        <v>XX425</v>
      </c>
      <c r="B426" s="54" t="str">
        <f>_xlfn.TEXTJOIN("-",TRUE,"ITD",Input!$A$2,A426)</f>
        <v>ITD-SHRXXX-XX425</v>
      </c>
      <c r="C426" s="54" t="str" cm="1">
        <f t="array" ref="C426">IFERROR(_xlfn.LET(
_xlpm.CSVVal,_xlfn.XLOOKUP($A426,CSV!$A:$A,CSV!B:B,""),
_xlpm.MacVal,_xlfn.XLOOKUP($A426,Output_Mac!$A:$A,Output_Mac!B:B,""),
_xlpm.MyAuditVal,_xlfn.XLOOKUP($A426,My_Audit!$A:$A,My_Audit!B:B,""),
_xlfn.IFS(_xlpm.MyAuditVal&lt;&gt;"",UPPER(_xlpm.MyAuditVal),_xlpm.MacVal&lt;&gt;"",_xlpm.MacVal,_xlpm.CSVVal&lt;&gt;"",_xlpm.CSVVal
)),"")</f>
        <v/>
      </c>
      <c r="D426" s="55" t="str">
        <f>_xlfn.XLOOKUP(A426,My_Audit!A:A,My_Audit!D:D,"")&amp;""</f>
        <v/>
      </c>
      <c r="E426" s="55" t="str" cm="1">
        <f t="array" ref="E426">IFERROR(_xlfn.LET(
_xlpm.CSVVal,_xlfn.XLOOKUP($A426,CSV!$A:$A,CSV!D:D,""),
_xlpm.MacVal,_xlfn.XLOOKUP($A426,Output_Mac!$A:$A,Output_Mac!C:C,""),
_xlpm.MyAuditVal,_xlfn.XLOOKUP($A426,My_Audit!$A:$A,My_Audit!D:D,""),
_xlfn.IFS(_xlpm.MyAuditVal&lt;&gt;"",_xlpm.MyAuditVal,_xlpm.MacVal&lt;&gt;"",_xlpm.MacVal,_xlpm.CSVVal&lt;&gt;"",_xlpm.CSVVal
)),"")</f>
        <v/>
      </c>
      <c r="F426" s="54" t="str" cm="1">
        <f t="array" ref="F426">IFERROR(_xlfn.LET(
_xlpm.CSVVal,_xlfn.XLOOKUP($A426,CSV!$A:$A,CSV!E:E,""),
_xlpm.MacVal,_xlfn.XLOOKUP($A426,Output_Mac!$A:$A,Output_Mac!F:F,""),
_xlpm.MyAuditVal,_xlfn.XLOOKUP($A426,My_Audit!$A:$A,My_Audit!E:E,""),
_xlfn.IFS(_xlpm.MyAuditVal&lt;&gt;"",_xlpm.MyAuditVal,_xlpm.MacVal&lt;&gt;"",_xlpm.MacVal,_xlpm.CSVVal&lt;&gt;"",PROPER(_xlpm.CSVVal)
)),"")</f>
        <v/>
      </c>
      <c r="G426" s="54" t="str" cm="1">
        <f t="array" ref="G426">IFERROR(_xlfn.LET(
_xlpm.CSVVal,_xlfn.XLOOKUP($A426,CSV!$A:$A,CSV!F:F,""),
_xlpm.MacVal,_xlfn.XLOOKUP($A426,Output_Mac!$A:$A,Output_Mac!H:H,""),
_xlpm.MyAuditVal,_xlfn.XLOOKUP($A426,My_Audit!$A:$A,My_Audit!F:F,""),
_xlfn.IFS(_xlpm.MyAuditVal&lt;&gt;"",_xlpm.MyAuditVal,_xlpm.MacVal&lt;&gt;"",_xlpm.MacVal,_xlpm.CSVVal&lt;&gt;"",_xlpm.CSVVal
)),"")</f>
        <v/>
      </c>
      <c r="H426" s="54" t="str">
        <f>_xlfn.XLOOKUP(A426,Output_Mac!A:A,Output_Mac!I:I,"")</f>
        <v/>
      </c>
      <c r="I426" s="54" t="str" cm="1">
        <f t="array" ref="I426">IFERROR(_xlfn.LET(
_xlpm.CSVVal,_xlfn.XLOOKUP($A426,CSV!$A:$A,CSV!G:G,""),
_xlpm.MacVal,_xlfn.XLOOKUP($A426,Output_Mac!$A:$A,Output_Mac!J:J,""),
_xlpm.MyAuditVal,_xlfn.XLOOKUP($A426,My_Audit!$A:$A,My_Audit!H:H,""),
_xlfn.IFS(_xlpm.MyAuditVal&lt;&gt;"",UPPER(_xlpm.MyAuditVal),_xlpm.MacVal&lt;&gt;"",_xlpm.MacVal,_xlpm.CSVVal&lt;&gt;"",_xlpm.CSVVal
)),"")</f>
        <v/>
      </c>
      <c r="J426" s="54" t="str" cm="1">
        <f t="array" ref="J426">IFERROR(_xlfn.LET(
_xlpm.CSVVal,_xlfn.XLOOKUP($A426,CSV!$A:$A,CSV!I:I,""),
_xlpm.MacVal,_xlfn.XLOOKUP($A426,Output_Mac!$A:$A,Output_Mac!K:K,""),
_xlpm.MyAuditVal,_xlfn.XLOOKUP($A426,My_Audit!$A:$A,My_Audit!I:I,""),
_xlfn.IFS(_xlpm.MyAuditVal&lt;&gt;"",UPPER(_xlpm.MyAuditVal),_xlpm.MacVal&lt;&gt;"",_xlpm.MacVal,_xlpm.CSVVal&lt;&gt;"",_xlpm.CSVVal
)),"")</f>
        <v/>
      </c>
      <c r="K426" s="54" t="str" cm="1">
        <f t="array" ref="K426">IFERROR(_xlfn.LET(
_xlpm.CSVVal,_xlfn.XLOOKUP($A426,CSV!$A:$A,CSV!M:M,""),
_xlpm.MacVal,_xlfn.XLOOKUP($A426,Output_Mac!$A:$A,Output_Mac!L:L,""),
_xlpm.MyAuditVal,_xlfn.XLOOKUP($A426,My_Audit!$A:$A,My_Audit!J:J,""),
_xlfn.IFS(_xlpm.MyAuditVal&lt;&gt;"",UPPER(_xlpm.MyAuditVal),_xlpm.MacVal&lt;&gt;"",_xlpm.MacVal,_xlpm.CSVVal&lt;&gt;"",_xlpm.CSVVal
)),"")</f>
        <v/>
      </c>
      <c r="L426" s="54" t="str" cm="1">
        <f t="array" ref="L426">IFERROR(_xlfn.LET(
_xlpm.CSVVal,_xlfn.XLOOKUP($A426,CSV!$A:$A,CSV!O:O,""),
_xlpm.MacVal,_xlfn.XLOOKUP($A426,Output_Mac!$A:$A,Output_Mac!M:M,""),
_xlpm.MyAuditVal,_xlfn.XLOOKUP($A426,My_Audit!$A:$A,My_Audit!K:K,""),
_xlfn.IFS(_xlpm.MyAuditVal&lt;&gt;"",UPPER(_xlpm.MyAuditVal),_xlpm.MacVal&lt;&gt;"",_xlpm.MacVal,_xlpm.CSVVal&lt;&gt;"",_xlpm.CSVVal
)),"")</f>
        <v/>
      </c>
      <c r="M426" s="54" t="str">
        <f>_xlfn.LET(
    _xlpm.CSVVal, _xlfn.XLOOKUP($A426, CSV!$A:$A, CSV!AD:AD, ""),
    _xlpm.MacVal, _xlfn.XLOOKUP($A426, Output_Mac!$A:$A, Output_Mac!S:S, ""),
    _xlpm.MyAuditVal, _xlfn.XLOOKUP($A426, My_Audit!$A:$A, My_Audit!N:N, ""),
    _xlfn.TEXTJOIN(", ", TRUE, _xlpm.MyAuditVal, _xlpm.MacVal, _xlpm.CSVVal)
)</f>
        <v/>
      </c>
      <c r="N426" s="54" t="str" cm="1">
        <f t="array" ref="N426">IFERROR(_xlfn.LET(
_xlpm.CSVVal,_xlfn.XLOOKUP($A426,CSV!$A:$A,CSV!AF:AF,""),
_xlpm.MacVal,_xlfn.XLOOKUP($A426,Output_Mac!$A:$A,Output_Mac!U:U,""),
_xlpm.MyAuditVal,_xlfn.XLOOKUP($A426,My_Audit!$A:$A,My_Audit!O:O,""),
_xlfn.IFS(_xlpm.MyAuditVal&lt;&gt;"",UPPER(_xlpm.MyAuditVal),_xlpm.MacVal&lt;&gt;"",_xlpm.MacVal,_xlpm.CSVVal&lt;&gt;"",_xlpm.CSVVal
)),"")</f>
        <v/>
      </c>
      <c r="O426" s="54"/>
      <c r="P426" s="54"/>
      <c r="Q426" s="54"/>
      <c r="R426" s="54"/>
      <c r="S426" s="54"/>
      <c r="T426" s="54"/>
      <c r="U426" s="39"/>
    </row>
    <row r="427" spans="1:21">
      <c r="A427" s="54" t="str">
        <f>_xlfn.TEXTJOIN("",TRUE,Input!$B$2,ROW(My_Audit!A426))</f>
        <v>XX426</v>
      </c>
      <c r="B427" s="54" t="str">
        <f>_xlfn.TEXTJOIN("-",TRUE,"ITD",Input!$A$2,A427)</f>
        <v>ITD-SHRXXX-XX426</v>
      </c>
      <c r="C427" s="54" t="str" cm="1">
        <f t="array" ref="C427">IFERROR(_xlfn.LET(
_xlpm.CSVVal,_xlfn.XLOOKUP($A427,CSV!$A:$A,CSV!B:B,""),
_xlpm.MacVal,_xlfn.XLOOKUP($A427,Output_Mac!$A:$A,Output_Mac!B:B,""),
_xlpm.MyAuditVal,_xlfn.XLOOKUP($A427,My_Audit!$A:$A,My_Audit!B:B,""),
_xlfn.IFS(_xlpm.MyAuditVal&lt;&gt;"",UPPER(_xlpm.MyAuditVal),_xlpm.MacVal&lt;&gt;"",_xlpm.MacVal,_xlpm.CSVVal&lt;&gt;"",_xlpm.CSVVal
)),"")</f>
        <v/>
      </c>
      <c r="D427" s="55" t="str">
        <f>_xlfn.XLOOKUP(A427,My_Audit!A:A,My_Audit!D:D,"")&amp;""</f>
        <v/>
      </c>
      <c r="E427" s="55" t="str" cm="1">
        <f t="array" ref="E427">IFERROR(_xlfn.LET(
_xlpm.CSVVal,_xlfn.XLOOKUP($A427,CSV!$A:$A,CSV!D:D,""),
_xlpm.MacVal,_xlfn.XLOOKUP($A427,Output_Mac!$A:$A,Output_Mac!C:C,""),
_xlpm.MyAuditVal,_xlfn.XLOOKUP($A427,My_Audit!$A:$A,My_Audit!D:D,""),
_xlfn.IFS(_xlpm.MyAuditVal&lt;&gt;"",_xlpm.MyAuditVal,_xlpm.MacVal&lt;&gt;"",_xlpm.MacVal,_xlpm.CSVVal&lt;&gt;"",_xlpm.CSVVal
)),"")</f>
        <v/>
      </c>
      <c r="F427" s="54" t="str" cm="1">
        <f t="array" ref="F427">IFERROR(_xlfn.LET(
_xlpm.CSVVal,_xlfn.XLOOKUP($A427,CSV!$A:$A,CSV!E:E,""),
_xlpm.MacVal,_xlfn.XLOOKUP($A427,Output_Mac!$A:$A,Output_Mac!F:F,""),
_xlpm.MyAuditVal,_xlfn.XLOOKUP($A427,My_Audit!$A:$A,My_Audit!E:E,""),
_xlfn.IFS(_xlpm.MyAuditVal&lt;&gt;"",_xlpm.MyAuditVal,_xlpm.MacVal&lt;&gt;"",_xlpm.MacVal,_xlpm.CSVVal&lt;&gt;"",PROPER(_xlpm.CSVVal)
)),"")</f>
        <v/>
      </c>
      <c r="G427" s="54" t="str" cm="1">
        <f t="array" ref="G427">IFERROR(_xlfn.LET(
_xlpm.CSVVal,_xlfn.XLOOKUP($A427,CSV!$A:$A,CSV!F:F,""),
_xlpm.MacVal,_xlfn.XLOOKUP($A427,Output_Mac!$A:$A,Output_Mac!H:H,""),
_xlpm.MyAuditVal,_xlfn.XLOOKUP($A427,My_Audit!$A:$A,My_Audit!F:F,""),
_xlfn.IFS(_xlpm.MyAuditVal&lt;&gt;"",_xlpm.MyAuditVal,_xlpm.MacVal&lt;&gt;"",_xlpm.MacVal,_xlpm.CSVVal&lt;&gt;"",_xlpm.CSVVal
)),"")</f>
        <v/>
      </c>
      <c r="H427" s="54" t="str">
        <f>_xlfn.XLOOKUP(A427,Output_Mac!A:A,Output_Mac!I:I,"")</f>
        <v/>
      </c>
      <c r="I427" s="54" t="str" cm="1">
        <f t="array" ref="I427">IFERROR(_xlfn.LET(
_xlpm.CSVVal,_xlfn.XLOOKUP($A427,CSV!$A:$A,CSV!G:G,""),
_xlpm.MacVal,_xlfn.XLOOKUP($A427,Output_Mac!$A:$A,Output_Mac!J:J,""),
_xlpm.MyAuditVal,_xlfn.XLOOKUP($A427,My_Audit!$A:$A,My_Audit!H:H,""),
_xlfn.IFS(_xlpm.MyAuditVal&lt;&gt;"",UPPER(_xlpm.MyAuditVal),_xlpm.MacVal&lt;&gt;"",_xlpm.MacVal,_xlpm.CSVVal&lt;&gt;"",_xlpm.CSVVal
)),"")</f>
        <v/>
      </c>
      <c r="J427" s="54" t="str" cm="1">
        <f t="array" ref="J427">IFERROR(_xlfn.LET(
_xlpm.CSVVal,_xlfn.XLOOKUP($A427,CSV!$A:$A,CSV!I:I,""),
_xlpm.MacVal,_xlfn.XLOOKUP($A427,Output_Mac!$A:$A,Output_Mac!K:K,""),
_xlpm.MyAuditVal,_xlfn.XLOOKUP($A427,My_Audit!$A:$A,My_Audit!I:I,""),
_xlfn.IFS(_xlpm.MyAuditVal&lt;&gt;"",UPPER(_xlpm.MyAuditVal),_xlpm.MacVal&lt;&gt;"",_xlpm.MacVal,_xlpm.CSVVal&lt;&gt;"",_xlpm.CSVVal
)),"")</f>
        <v/>
      </c>
      <c r="K427" s="54" t="str" cm="1">
        <f t="array" ref="K427">IFERROR(_xlfn.LET(
_xlpm.CSVVal,_xlfn.XLOOKUP($A427,CSV!$A:$A,CSV!M:M,""),
_xlpm.MacVal,_xlfn.XLOOKUP($A427,Output_Mac!$A:$A,Output_Mac!L:L,""),
_xlpm.MyAuditVal,_xlfn.XLOOKUP($A427,My_Audit!$A:$A,My_Audit!J:J,""),
_xlfn.IFS(_xlpm.MyAuditVal&lt;&gt;"",UPPER(_xlpm.MyAuditVal),_xlpm.MacVal&lt;&gt;"",_xlpm.MacVal,_xlpm.CSVVal&lt;&gt;"",_xlpm.CSVVal
)),"")</f>
        <v/>
      </c>
      <c r="L427" s="54" t="str" cm="1">
        <f t="array" ref="L427">IFERROR(_xlfn.LET(
_xlpm.CSVVal,_xlfn.XLOOKUP($A427,CSV!$A:$A,CSV!O:O,""),
_xlpm.MacVal,_xlfn.XLOOKUP($A427,Output_Mac!$A:$A,Output_Mac!M:M,""),
_xlpm.MyAuditVal,_xlfn.XLOOKUP($A427,My_Audit!$A:$A,My_Audit!K:K,""),
_xlfn.IFS(_xlpm.MyAuditVal&lt;&gt;"",UPPER(_xlpm.MyAuditVal),_xlpm.MacVal&lt;&gt;"",_xlpm.MacVal,_xlpm.CSVVal&lt;&gt;"",_xlpm.CSVVal
)),"")</f>
        <v/>
      </c>
      <c r="M427" s="54" t="str">
        <f>_xlfn.LET(
    _xlpm.CSVVal, _xlfn.XLOOKUP($A427, CSV!$A:$A, CSV!AD:AD, ""),
    _xlpm.MacVal, _xlfn.XLOOKUP($A427, Output_Mac!$A:$A, Output_Mac!S:S, ""),
    _xlpm.MyAuditVal, _xlfn.XLOOKUP($A427, My_Audit!$A:$A, My_Audit!N:N, ""),
    _xlfn.TEXTJOIN(", ", TRUE, _xlpm.MyAuditVal, _xlpm.MacVal, _xlpm.CSVVal)
)</f>
        <v/>
      </c>
      <c r="N427" s="54" t="str" cm="1">
        <f t="array" ref="N427">IFERROR(_xlfn.LET(
_xlpm.CSVVal,_xlfn.XLOOKUP($A427,CSV!$A:$A,CSV!AF:AF,""),
_xlpm.MacVal,_xlfn.XLOOKUP($A427,Output_Mac!$A:$A,Output_Mac!U:U,""),
_xlpm.MyAuditVal,_xlfn.XLOOKUP($A427,My_Audit!$A:$A,My_Audit!O:O,""),
_xlfn.IFS(_xlpm.MyAuditVal&lt;&gt;"",UPPER(_xlpm.MyAuditVal),_xlpm.MacVal&lt;&gt;"",_xlpm.MacVal,_xlpm.CSVVal&lt;&gt;"",_xlpm.CSVVal
)),"")</f>
        <v/>
      </c>
      <c r="O427" s="54"/>
      <c r="P427" s="54"/>
      <c r="Q427" s="54"/>
      <c r="R427" s="54"/>
      <c r="S427" s="54"/>
      <c r="T427" s="54"/>
      <c r="U427" s="39"/>
    </row>
    <row r="428" spans="1:21">
      <c r="A428" s="54" t="str">
        <f>_xlfn.TEXTJOIN("",TRUE,Input!$B$2,ROW(My_Audit!A427))</f>
        <v>XX427</v>
      </c>
      <c r="B428" s="54" t="str">
        <f>_xlfn.TEXTJOIN("-",TRUE,"ITD",Input!$A$2,A428)</f>
        <v>ITD-SHRXXX-XX427</v>
      </c>
      <c r="C428" s="54" t="str" cm="1">
        <f t="array" ref="C428">IFERROR(_xlfn.LET(
_xlpm.CSVVal,_xlfn.XLOOKUP($A428,CSV!$A:$A,CSV!B:B,""),
_xlpm.MacVal,_xlfn.XLOOKUP($A428,Output_Mac!$A:$A,Output_Mac!B:B,""),
_xlpm.MyAuditVal,_xlfn.XLOOKUP($A428,My_Audit!$A:$A,My_Audit!B:B,""),
_xlfn.IFS(_xlpm.MyAuditVal&lt;&gt;"",UPPER(_xlpm.MyAuditVal),_xlpm.MacVal&lt;&gt;"",_xlpm.MacVal,_xlpm.CSVVal&lt;&gt;"",_xlpm.CSVVal
)),"")</f>
        <v/>
      </c>
      <c r="D428" s="55" t="str">
        <f>_xlfn.XLOOKUP(A428,My_Audit!A:A,My_Audit!D:D,"")&amp;""</f>
        <v/>
      </c>
      <c r="E428" s="55" t="str" cm="1">
        <f t="array" ref="E428">IFERROR(_xlfn.LET(
_xlpm.CSVVal,_xlfn.XLOOKUP($A428,CSV!$A:$A,CSV!D:D,""),
_xlpm.MacVal,_xlfn.XLOOKUP($A428,Output_Mac!$A:$A,Output_Mac!C:C,""),
_xlpm.MyAuditVal,_xlfn.XLOOKUP($A428,My_Audit!$A:$A,My_Audit!D:D,""),
_xlfn.IFS(_xlpm.MyAuditVal&lt;&gt;"",_xlpm.MyAuditVal,_xlpm.MacVal&lt;&gt;"",_xlpm.MacVal,_xlpm.CSVVal&lt;&gt;"",_xlpm.CSVVal
)),"")</f>
        <v/>
      </c>
      <c r="F428" s="54" t="str" cm="1">
        <f t="array" ref="F428">IFERROR(_xlfn.LET(
_xlpm.CSVVal,_xlfn.XLOOKUP($A428,CSV!$A:$A,CSV!E:E,""),
_xlpm.MacVal,_xlfn.XLOOKUP($A428,Output_Mac!$A:$A,Output_Mac!F:F,""),
_xlpm.MyAuditVal,_xlfn.XLOOKUP($A428,My_Audit!$A:$A,My_Audit!E:E,""),
_xlfn.IFS(_xlpm.MyAuditVal&lt;&gt;"",_xlpm.MyAuditVal,_xlpm.MacVal&lt;&gt;"",_xlpm.MacVal,_xlpm.CSVVal&lt;&gt;"",PROPER(_xlpm.CSVVal)
)),"")</f>
        <v/>
      </c>
      <c r="G428" s="54" t="str" cm="1">
        <f t="array" ref="G428">IFERROR(_xlfn.LET(
_xlpm.CSVVal,_xlfn.XLOOKUP($A428,CSV!$A:$A,CSV!F:F,""),
_xlpm.MacVal,_xlfn.XLOOKUP($A428,Output_Mac!$A:$A,Output_Mac!H:H,""),
_xlpm.MyAuditVal,_xlfn.XLOOKUP($A428,My_Audit!$A:$A,My_Audit!F:F,""),
_xlfn.IFS(_xlpm.MyAuditVal&lt;&gt;"",_xlpm.MyAuditVal,_xlpm.MacVal&lt;&gt;"",_xlpm.MacVal,_xlpm.CSVVal&lt;&gt;"",_xlpm.CSVVal
)),"")</f>
        <v/>
      </c>
      <c r="H428" s="54" t="str">
        <f>_xlfn.XLOOKUP(A428,Output_Mac!A:A,Output_Mac!I:I,"")</f>
        <v/>
      </c>
      <c r="I428" s="54" t="str" cm="1">
        <f t="array" ref="I428">IFERROR(_xlfn.LET(
_xlpm.CSVVal,_xlfn.XLOOKUP($A428,CSV!$A:$A,CSV!G:G,""),
_xlpm.MacVal,_xlfn.XLOOKUP($A428,Output_Mac!$A:$A,Output_Mac!J:J,""),
_xlpm.MyAuditVal,_xlfn.XLOOKUP($A428,My_Audit!$A:$A,My_Audit!H:H,""),
_xlfn.IFS(_xlpm.MyAuditVal&lt;&gt;"",UPPER(_xlpm.MyAuditVal),_xlpm.MacVal&lt;&gt;"",_xlpm.MacVal,_xlpm.CSVVal&lt;&gt;"",_xlpm.CSVVal
)),"")</f>
        <v/>
      </c>
      <c r="J428" s="54" t="str" cm="1">
        <f t="array" ref="J428">IFERROR(_xlfn.LET(
_xlpm.CSVVal,_xlfn.XLOOKUP($A428,CSV!$A:$A,CSV!I:I,""),
_xlpm.MacVal,_xlfn.XLOOKUP($A428,Output_Mac!$A:$A,Output_Mac!K:K,""),
_xlpm.MyAuditVal,_xlfn.XLOOKUP($A428,My_Audit!$A:$A,My_Audit!I:I,""),
_xlfn.IFS(_xlpm.MyAuditVal&lt;&gt;"",UPPER(_xlpm.MyAuditVal),_xlpm.MacVal&lt;&gt;"",_xlpm.MacVal,_xlpm.CSVVal&lt;&gt;"",_xlpm.CSVVal
)),"")</f>
        <v/>
      </c>
      <c r="K428" s="54" t="str" cm="1">
        <f t="array" ref="K428">IFERROR(_xlfn.LET(
_xlpm.CSVVal,_xlfn.XLOOKUP($A428,CSV!$A:$A,CSV!M:M,""),
_xlpm.MacVal,_xlfn.XLOOKUP($A428,Output_Mac!$A:$A,Output_Mac!L:L,""),
_xlpm.MyAuditVal,_xlfn.XLOOKUP($A428,My_Audit!$A:$A,My_Audit!J:J,""),
_xlfn.IFS(_xlpm.MyAuditVal&lt;&gt;"",UPPER(_xlpm.MyAuditVal),_xlpm.MacVal&lt;&gt;"",_xlpm.MacVal,_xlpm.CSVVal&lt;&gt;"",_xlpm.CSVVal
)),"")</f>
        <v/>
      </c>
      <c r="L428" s="54" t="str" cm="1">
        <f t="array" ref="L428">IFERROR(_xlfn.LET(
_xlpm.CSVVal,_xlfn.XLOOKUP($A428,CSV!$A:$A,CSV!O:O,""),
_xlpm.MacVal,_xlfn.XLOOKUP($A428,Output_Mac!$A:$A,Output_Mac!M:M,""),
_xlpm.MyAuditVal,_xlfn.XLOOKUP($A428,My_Audit!$A:$A,My_Audit!K:K,""),
_xlfn.IFS(_xlpm.MyAuditVal&lt;&gt;"",UPPER(_xlpm.MyAuditVal),_xlpm.MacVal&lt;&gt;"",_xlpm.MacVal,_xlpm.CSVVal&lt;&gt;"",_xlpm.CSVVal
)),"")</f>
        <v/>
      </c>
      <c r="M428" s="54" t="str">
        <f>_xlfn.LET(
    _xlpm.CSVVal, _xlfn.XLOOKUP($A428, CSV!$A:$A, CSV!AD:AD, ""),
    _xlpm.MacVal, _xlfn.XLOOKUP($A428, Output_Mac!$A:$A, Output_Mac!S:S, ""),
    _xlpm.MyAuditVal, _xlfn.XLOOKUP($A428, My_Audit!$A:$A, My_Audit!N:N, ""),
    _xlfn.TEXTJOIN(", ", TRUE, _xlpm.MyAuditVal, _xlpm.MacVal, _xlpm.CSVVal)
)</f>
        <v/>
      </c>
      <c r="N428" s="54" t="str" cm="1">
        <f t="array" ref="N428">IFERROR(_xlfn.LET(
_xlpm.CSVVal,_xlfn.XLOOKUP($A428,CSV!$A:$A,CSV!AF:AF,""),
_xlpm.MacVal,_xlfn.XLOOKUP($A428,Output_Mac!$A:$A,Output_Mac!U:U,""),
_xlpm.MyAuditVal,_xlfn.XLOOKUP($A428,My_Audit!$A:$A,My_Audit!O:O,""),
_xlfn.IFS(_xlpm.MyAuditVal&lt;&gt;"",UPPER(_xlpm.MyAuditVal),_xlpm.MacVal&lt;&gt;"",_xlpm.MacVal,_xlpm.CSVVal&lt;&gt;"",_xlpm.CSVVal
)),"")</f>
        <v/>
      </c>
      <c r="O428" s="54"/>
      <c r="P428" s="54"/>
      <c r="Q428" s="54"/>
      <c r="R428" s="54"/>
      <c r="S428" s="54"/>
      <c r="T428" s="54"/>
      <c r="U428" s="39"/>
    </row>
    <row r="429" spans="1:21">
      <c r="A429" s="54" t="str">
        <f>_xlfn.TEXTJOIN("",TRUE,Input!$B$2,ROW(My_Audit!A428))</f>
        <v>XX428</v>
      </c>
      <c r="B429" s="54" t="str">
        <f>_xlfn.TEXTJOIN("-",TRUE,"ITD",Input!$A$2,A429)</f>
        <v>ITD-SHRXXX-XX428</v>
      </c>
      <c r="C429" s="54" t="str" cm="1">
        <f t="array" ref="C429">IFERROR(_xlfn.LET(
_xlpm.CSVVal,_xlfn.XLOOKUP($A429,CSV!$A:$A,CSV!B:B,""),
_xlpm.MacVal,_xlfn.XLOOKUP($A429,Output_Mac!$A:$A,Output_Mac!B:B,""),
_xlpm.MyAuditVal,_xlfn.XLOOKUP($A429,My_Audit!$A:$A,My_Audit!B:B,""),
_xlfn.IFS(_xlpm.MyAuditVal&lt;&gt;"",UPPER(_xlpm.MyAuditVal),_xlpm.MacVal&lt;&gt;"",_xlpm.MacVal,_xlpm.CSVVal&lt;&gt;"",_xlpm.CSVVal
)),"")</f>
        <v/>
      </c>
      <c r="D429" s="55" t="str">
        <f>_xlfn.XLOOKUP(A429,My_Audit!A:A,My_Audit!D:D,"")&amp;""</f>
        <v/>
      </c>
      <c r="E429" s="55" t="str" cm="1">
        <f t="array" ref="E429">IFERROR(_xlfn.LET(
_xlpm.CSVVal,_xlfn.XLOOKUP($A429,CSV!$A:$A,CSV!D:D,""),
_xlpm.MacVal,_xlfn.XLOOKUP($A429,Output_Mac!$A:$A,Output_Mac!C:C,""),
_xlpm.MyAuditVal,_xlfn.XLOOKUP($A429,My_Audit!$A:$A,My_Audit!D:D,""),
_xlfn.IFS(_xlpm.MyAuditVal&lt;&gt;"",_xlpm.MyAuditVal,_xlpm.MacVal&lt;&gt;"",_xlpm.MacVal,_xlpm.CSVVal&lt;&gt;"",_xlpm.CSVVal
)),"")</f>
        <v/>
      </c>
      <c r="F429" s="54" t="str" cm="1">
        <f t="array" ref="F429">IFERROR(_xlfn.LET(
_xlpm.CSVVal,_xlfn.XLOOKUP($A429,CSV!$A:$A,CSV!E:E,""),
_xlpm.MacVal,_xlfn.XLOOKUP($A429,Output_Mac!$A:$A,Output_Mac!F:F,""),
_xlpm.MyAuditVal,_xlfn.XLOOKUP($A429,My_Audit!$A:$A,My_Audit!E:E,""),
_xlfn.IFS(_xlpm.MyAuditVal&lt;&gt;"",_xlpm.MyAuditVal,_xlpm.MacVal&lt;&gt;"",_xlpm.MacVal,_xlpm.CSVVal&lt;&gt;"",PROPER(_xlpm.CSVVal)
)),"")</f>
        <v/>
      </c>
      <c r="G429" s="54" t="str" cm="1">
        <f t="array" ref="G429">IFERROR(_xlfn.LET(
_xlpm.CSVVal,_xlfn.XLOOKUP($A429,CSV!$A:$A,CSV!F:F,""),
_xlpm.MacVal,_xlfn.XLOOKUP($A429,Output_Mac!$A:$A,Output_Mac!H:H,""),
_xlpm.MyAuditVal,_xlfn.XLOOKUP($A429,My_Audit!$A:$A,My_Audit!F:F,""),
_xlfn.IFS(_xlpm.MyAuditVal&lt;&gt;"",_xlpm.MyAuditVal,_xlpm.MacVal&lt;&gt;"",_xlpm.MacVal,_xlpm.CSVVal&lt;&gt;"",_xlpm.CSVVal
)),"")</f>
        <v/>
      </c>
      <c r="H429" s="54" t="str">
        <f>_xlfn.XLOOKUP(A429,Output_Mac!A:A,Output_Mac!I:I,"")</f>
        <v/>
      </c>
      <c r="I429" s="54" t="str" cm="1">
        <f t="array" ref="I429">IFERROR(_xlfn.LET(
_xlpm.CSVVal,_xlfn.XLOOKUP($A429,CSV!$A:$A,CSV!G:G,""),
_xlpm.MacVal,_xlfn.XLOOKUP($A429,Output_Mac!$A:$A,Output_Mac!J:J,""),
_xlpm.MyAuditVal,_xlfn.XLOOKUP($A429,My_Audit!$A:$A,My_Audit!H:H,""),
_xlfn.IFS(_xlpm.MyAuditVal&lt;&gt;"",UPPER(_xlpm.MyAuditVal),_xlpm.MacVal&lt;&gt;"",_xlpm.MacVal,_xlpm.CSVVal&lt;&gt;"",_xlpm.CSVVal
)),"")</f>
        <v/>
      </c>
      <c r="J429" s="54" t="str" cm="1">
        <f t="array" ref="J429">IFERROR(_xlfn.LET(
_xlpm.CSVVal,_xlfn.XLOOKUP($A429,CSV!$A:$A,CSV!I:I,""),
_xlpm.MacVal,_xlfn.XLOOKUP($A429,Output_Mac!$A:$A,Output_Mac!K:K,""),
_xlpm.MyAuditVal,_xlfn.XLOOKUP($A429,My_Audit!$A:$A,My_Audit!I:I,""),
_xlfn.IFS(_xlpm.MyAuditVal&lt;&gt;"",UPPER(_xlpm.MyAuditVal),_xlpm.MacVal&lt;&gt;"",_xlpm.MacVal,_xlpm.CSVVal&lt;&gt;"",_xlpm.CSVVal
)),"")</f>
        <v/>
      </c>
      <c r="K429" s="54" t="str" cm="1">
        <f t="array" ref="K429">IFERROR(_xlfn.LET(
_xlpm.CSVVal,_xlfn.XLOOKUP($A429,CSV!$A:$A,CSV!M:M,""),
_xlpm.MacVal,_xlfn.XLOOKUP($A429,Output_Mac!$A:$A,Output_Mac!L:L,""),
_xlpm.MyAuditVal,_xlfn.XLOOKUP($A429,My_Audit!$A:$A,My_Audit!J:J,""),
_xlfn.IFS(_xlpm.MyAuditVal&lt;&gt;"",UPPER(_xlpm.MyAuditVal),_xlpm.MacVal&lt;&gt;"",_xlpm.MacVal,_xlpm.CSVVal&lt;&gt;"",_xlpm.CSVVal
)),"")</f>
        <v/>
      </c>
      <c r="L429" s="54" t="str" cm="1">
        <f t="array" ref="L429">IFERROR(_xlfn.LET(
_xlpm.CSVVal,_xlfn.XLOOKUP($A429,CSV!$A:$A,CSV!O:O,""),
_xlpm.MacVal,_xlfn.XLOOKUP($A429,Output_Mac!$A:$A,Output_Mac!M:M,""),
_xlpm.MyAuditVal,_xlfn.XLOOKUP($A429,My_Audit!$A:$A,My_Audit!K:K,""),
_xlfn.IFS(_xlpm.MyAuditVal&lt;&gt;"",UPPER(_xlpm.MyAuditVal),_xlpm.MacVal&lt;&gt;"",_xlpm.MacVal,_xlpm.CSVVal&lt;&gt;"",_xlpm.CSVVal
)),"")</f>
        <v/>
      </c>
      <c r="M429" s="54" t="str">
        <f>_xlfn.LET(
    _xlpm.CSVVal, _xlfn.XLOOKUP($A429, CSV!$A:$A, CSV!AD:AD, ""),
    _xlpm.MacVal, _xlfn.XLOOKUP($A429, Output_Mac!$A:$A, Output_Mac!S:S, ""),
    _xlpm.MyAuditVal, _xlfn.XLOOKUP($A429, My_Audit!$A:$A, My_Audit!N:N, ""),
    _xlfn.TEXTJOIN(", ", TRUE, _xlpm.MyAuditVal, _xlpm.MacVal, _xlpm.CSVVal)
)</f>
        <v/>
      </c>
      <c r="N429" s="54" t="str" cm="1">
        <f t="array" ref="N429">IFERROR(_xlfn.LET(
_xlpm.CSVVal,_xlfn.XLOOKUP($A429,CSV!$A:$A,CSV!AF:AF,""),
_xlpm.MacVal,_xlfn.XLOOKUP($A429,Output_Mac!$A:$A,Output_Mac!U:U,""),
_xlpm.MyAuditVal,_xlfn.XLOOKUP($A429,My_Audit!$A:$A,My_Audit!O:O,""),
_xlfn.IFS(_xlpm.MyAuditVal&lt;&gt;"",UPPER(_xlpm.MyAuditVal),_xlpm.MacVal&lt;&gt;"",_xlpm.MacVal,_xlpm.CSVVal&lt;&gt;"",_xlpm.CSVVal
)),"")</f>
        <v/>
      </c>
      <c r="O429" s="54"/>
      <c r="P429" s="54"/>
      <c r="Q429" s="54"/>
      <c r="R429" s="54"/>
      <c r="S429" s="54"/>
      <c r="T429" s="54"/>
      <c r="U429" s="39"/>
    </row>
    <row r="430" spans="1:21">
      <c r="A430" s="54" t="str">
        <f>_xlfn.TEXTJOIN("",TRUE,Input!$B$2,ROW(My_Audit!A429))</f>
        <v>XX429</v>
      </c>
      <c r="B430" s="54" t="str">
        <f>_xlfn.TEXTJOIN("-",TRUE,"ITD",Input!$A$2,A430)</f>
        <v>ITD-SHRXXX-XX429</v>
      </c>
      <c r="C430" s="54" t="str" cm="1">
        <f t="array" ref="C430">IFERROR(_xlfn.LET(
_xlpm.CSVVal,_xlfn.XLOOKUP($A430,CSV!$A:$A,CSV!B:B,""),
_xlpm.MacVal,_xlfn.XLOOKUP($A430,Output_Mac!$A:$A,Output_Mac!B:B,""),
_xlpm.MyAuditVal,_xlfn.XLOOKUP($A430,My_Audit!$A:$A,My_Audit!B:B,""),
_xlfn.IFS(_xlpm.MyAuditVal&lt;&gt;"",UPPER(_xlpm.MyAuditVal),_xlpm.MacVal&lt;&gt;"",_xlpm.MacVal,_xlpm.CSVVal&lt;&gt;"",_xlpm.CSVVal
)),"")</f>
        <v/>
      </c>
      <c r="D430" s="55" t="str">
        <f>_xlfn.XLOOKUP(A430,My_Audit!A:A,My_Audit!D:D,"")&amp;""</f>
        <v/>
      </c>
      <c r="E430" s="55" t="str" cm="1">
        <f t="array" ref="E430">IFERROR(_xlfn.LET(
_xlpm.CSVVal,_xlfn.XLOOKUP($A430,CSV!$A:$A,CSV!D:D,""),
_xlpm.MacVal,_xlfn.XLOOKUP($A430,Output_Mac!$A:$A,Output_Mac!C:C,""),
_xlpm.MyAuditVal,_xlfn.XLOOKUP($A430,My_Audit!$A:$A,My_Audit!D:D,""),
_xlfn.IFS(_xlpm.MyAuditVal&lt;&gt;"",_xlpm.MyAuditVal,_xlpm.MacVal&lt;&gt;"",_xlpm.MacVal,_xlpm.CSVVal&lt;&gt;"",_xlpm.CSVVal
)),"")</f>
        <v/>
      </c>
      <c r="F430" s="54" t="str" cm="1">
        <f t="array" ref="F430">IFERROR(_xlfn.LET(
_xlpm.CSVVal,_xlfn.XLOOKUP($A430,CSV!$A:$A,CSV!E:E,""),
_xlpm.MacVal,_xlfn.XLOOKUP($A430,Output_Mac!$A:$A,Output_Mac!F:F,""),
_xlpm.MyAuditVal,_xlfn.XLOOKUP($A430,My_Audit!$A:$A,My_Audit!E:E,""),
_xlfn.IFS(_xlpm.MyAuditVal&lt;&gt;"",_xlpm.MyAuditVal,_xlpm.MacVal&lt;&gt;"",_xlpm.MacVal,_xlpm.CSVVal&lt;&gt;"",PROPER(_xlpm.CSVVal)
)),"")</f>
        <v/>
      </c>
      <c r="G430" s="54" t="str" cm="1">
        <f t="array" ref="G430">IFERROR(_xlfn.LET(
_xlpm.CSVVal,_xlfn.XLOOKUP($A430,CSV!$A:$A,CSV!F:F,""),
_xlpm.MacVal,_xlfn.XLOOKUP($A430,Output_Mac!$A:$A,Output_Mac!H:H,""),
_xlpm.MyAuditVal,_xlfn.XLOOKUP($A430,My_Audit!$A:$A,My_Audit!F:F,""),
_xlfn.IFS(_xlpm.MyAuditVal&lt;&gt;"",_xlpm.MyAuditVal,_xlpm.MacVal&lt;&gt;"",_xlpm.MacVal,_xlpm.CSVVal&lt;&gt;"",_xlpm.CSVVal
)),"")</f>
        <v/>
      </c>
      <c r="H430" s="54" t="str">
        <f>_xlfn.XLOOKUP(A430,Output_Mac!A:A,Output_Mac!I:I,"")</f>
        <v/>
      </c>
      <c r="I430" s="54" t="str" cm="1">
        <f t="array" ref="I430">IFERROR(_xlfn.LET(
_xlpm.CSVVal,_xlfn.XLOOKUP($A430,CSV!$A:$A,CSV!G:G,""),
_xlpm.MacVal,_xlfn.XLOOKUP($A430,Output_Mac!$A:$A,Output_Mac!J:J,""),
_xlpm.MyAuditVal,_xlfn.XLOOKUP($A430,My_Audit!$A:$A,My_Audit!H:H,""),
_xlfn.IFS(_xlpm.MyAuditVal&lt;&gt;"",UPPER(_xlpm.MyAuditVal),_xlpm.MacVal&lt;&gt;"",_xlpm.MacVal,_xlpm.CSVVal&lt;&gt;"",_xlpm.CSVVal
)),"")</f>
        <v/>
      </c>
      <c r="J430" s="54" t="str" cm="1">
        <f t="array" ref="J430">IFERROR(_xlfn.LET(
_xlpm.CSVVal,_xlfn.XLOOKUP($A430,CSV!$A:$A,CSV!I:I,""),
_xlpm.MacVal,_xlfn.XLOOKUP($A430,Output_Mac!$A:$A,Output_Mac!K:K,""),
_xlpm.MyAuditVal,_xlfn.XLOOKUP($A430,My_Audit!$A:$A,My_Audit!I:I,""),
_xlfn.IFS(_xlpm.MyAuditVal&lt;&gt;"",UPPER(_xlpm.MyAuditVal),_xlpm.MacVal&lt;&gt;"",_xlpm.MacVal,_xlpm.CSVVal&lt;&gt;"",_xlpm.CSVVal
)),"")</f>
        <v/>
      </c>
      <c r="K430" s="54" t="str" cm="1">
        <f t="array" ref="K430">IFERROR(_xlfn.LET(
_xlpm.CSVVal,_xlfn.XLOOKUP($A430,CSV!$A:$A,CSV!M:M,""),
_xlpm.MacVal,_xlfn.XLOOKUP($A430,Output_Mac!$A:$A,Output_Mac!L:L,""),
_xlpm.MyAuditVal,_xlfn.XLOOKUP($A430,My_Audit!$A:$A,My_Audit!J:J,""),
_xlfn.IFS(_xlpm.MyAuditVal&lt;&gt;"",UPPER(_xlpm.MyAuditVal),_xlpm.MacVal&lt;&gt;"",_xlpm.MacVal,_xlpm.CSVVal&lt;&gt;"",_xlpm.CSVVal
)),"")</f>
        <v/>
      </c>
      <c r="L430" s="54" t="str" cm="1">
        <f t="array" ref="L430">IFERROR(_xlfn.LET(
_xlpm.CSVVal,_xlfn.XLOOKUP($A430,CSV!$A:$A,CSV!O:O,""),
_xlpm.MacVal,_xlfn.XLOOKUP($A430,Output_Mac!$A:$A,Output_Mac!M:M,""),
_xlpm.MyAuditVal,_xlfn.XLOOKUP($A430,My_Audit!$A:$A,My_Audit!K:K,""),
_xlfn.IFS(_xlpm.MyAuditVal&lt;&gt;"",UPPER(_xlpm.MyAuditVal),_xlpm.MacVal&lt;&gt;"",_xlpm.MacVal,_xlpm.CSVVal&lt;&gt;"",_xlpm.CSVVal
)),"")</f>
        <v/>
      </c>
      <c r="M430" s="54" t="str">
        <f>_xlfn.LET(
    _xlpm.CSVVal, _xlfn.XLOOKUP($A430, CSV!$A:$A, CSV!AD:AD, ""),
    _xlpm.MacVal, _xlfn.XLOOKUP($A430, Output_Mac!$A:$A, Output_Mac!S:S, ""),
    _xlpm.MyAuditVal, _xlfn.XLOOKUP($A430, My_Audit!$A:$A, My_Audit!N:N, ""),
    _xlfn.TEXTJOIN(", ", TRUE, _xlpm.MyAuditVal, _xlpm.MacVal, _xlpm.CSVVal)
)</f>
        <v/>
      </c>
      <c r="N430" s="54" t="str" cm="1">
        <f t="array" ref="N430">IFERROR(_xlfn.LET(
_xlpm.CSVVal,_xlfn.XLOOKUP($A430,CSV!$A:$A,CSV!AF:AF,""),
_xlpm.MacVal,_xlfn.XLOOKUP($A430,Output_Mac!$A:$A,Output_Mac!U:U,""),
_xlpm.MyAuditVal,_xlfn.XLOOKUP($A430,My_Audit!$A:$A,My_Audit!O:O,""),
_xlfn.IFS(_xlpm.MyAuditVal&lt;&gt;"",UPPER(_xlpm.MyAuditVal),_xlpm.MacVal&lt;&gt;"",_xlpm.MacVal,_xlpm.CSVVal&lt;&gt;"",_xlpm.CSVVal
)),"")</f>
        <v/>
      </c>
      <c r="O430" s="54"/>
      <c r="P430" s="54"/>
      <c r="Q430" s="54"/>
      <c r="R430" s="54"/>
      <c r="S430" s="54"/>
      <c r="T430" s="54"/>
      <c r="U430" s="39"/>
    </row>
    <row r="431" spans="1:21">
      <c r="A431" s="54" t="str">
        <f>_xlfn.TEXTJOIN("",TRUE,Input!$B$2,ROW(My_Audit!A430))</f>
        <v>XX430</v>
      </c>
      <c r="B431" s="54" t="str">
        <f>_xlfn.TEXTJOIN("-",TRUE,"ITD",Input!$A$2,A431)</f>
        <v>ITD-SHRXXX-XX430</v>
      </c>
      <c r="C431" s="54" t="str" cm="1">
        <f t="array" ref="C431">IFERROR(_xlfn.LET(
_xlpm.CSVVal,_xlfn.XLOOKUP($A431,CSV!$A:$A,CSV!B:B,""),
_xlpm.MacVal,_xlfn.XLOOKUP($A431,Output_Mac!$A:$A,Output_Mac!B:B,""),
_xlpm.MyAuditVal,_xlfn.XLOOKUP($A431,My_Audit!$A:$A,My_Audit!B:B,""),
_xlfn.IFS(_xlpm.MyAuditVal&lt;&gt;"",UPPER(_xlpm.MyAuditVal),_xlpm.MacVal&lt;&gt;"",_xlpm.MacVal,_xlpm.CSVVal&lt;&gt;"",_xlpm.CSVVal
)),"")</f>
        <v/>
      </c>
      <c r="D431" s="55" t="str">
        <f>_xlfn.XLOOKUP(A431,My_Audit!A:A,My_Audit!D:D,"")&amp;""</f>
        <v/>
      </c>
      <c r="E431" s="55" t="str" cm="1">
        <f t="array" ref="E431">IFERROR(_xlfn.LET(
_xlpm.CSVVal,_xlfn.XLOOKUP($A431,CSV!$A:$A,CSV!D:D,""),
_xlpm.MacVal,_xlfn.XLOOKUP($A431,Output_Mac!$A:$A,Output_Mac!C:C,""),
_xlpm.MyAuditVal,_xlfn.XLOOKUP($A431,My_Audit!$A:$A,My_Audit!D:D,""),
_xlfn.IFS(_xlpm.MyAuditVal&lt;&gt;"",_xlpm.MyAuditVal,_xlpm.MacVal&lt;&gt;"",_xlpm.MacVal,_xlpm.CSVVal&lt;&gt;"",_xlpm.CSVVal
)),"")</f>
        <v/>
      </c>
      <c r="F431" s="54" t="str" cm="1">
        <f t="array" ref="F431">IFERROR(_xlfn.LET(
_xlpm.CSVVal,_xlfn.XLOOKUP($A431,CSV!$A:$A,CSV!E:E,""),
_xlpm.MacVal,_xlfn.XLOOKUP($A431,Output_Mac!$A:$A,Output_Mac!F:F,""),
_xlpm.MyAuditVal,_xlfn.XLOOKUP($A431,My_Audit!$A:$A,My_Audit!E:E,""),
_xlfn.IFS(_xlpm.MyAuditVal&lt;&gt;"",_xlpm.MyAuditVal,_xlpm.MacVal&lt;&gt;"",_xlpm.MacVal,_xlpm.CSVVal&lt;&gt;"",PROPER(_xlpm.CSVVal)
)),"")</f>
        <v/>
      </c>
      <c r="G431" s="54" t="str" cm="1">
        <f t="array" ref="G431">IFERROR(_xlfn.LET(
_xlpm.CSVVal,_xlfn.XLOOKUP($A431,CSV!$A:$A,CSV!F:F,""),
_xlpm.MacVal,_xlfn.XLOOKUP($A431,Output_Mac!$A:$A,Output_Mac!H:H,""),
_xlpm.MyAuditVal,_xlfn.XLOOKUP($A431,My_Audit!$A:$A,My_Audit!F:F,""),
_xlfn.IFS(_xlpm.MyAuditVal&lt;&gt;"",_xlpm.MyAuditVal,_xlpm.MacVal&lt;&gt;"",_xlpm.MacVal,_xlpm.CSVVal&lt;&gt;"",_xlpm.CSVVal
)),"")</f>
        <v/>
      </c>
      <c r="H431" s="54" t="str">
        <f>_xlfn.XLOOKUP(A431,Output_Mac!A:A,Output_Mac!I:I,"")</f>
        <v/>
      </c>
      <c r="I431" s="54" t="str" cm="1">
        <f t="array" ref="I431">IFERROR(_xlfn.LET(
_xlpm.CSVVal,_xlfn.XLOOKUP($A431,CSV!$A:$A,CSV!G:G,""),
_xlpm.MacVal,_xlfn.XLOOKUP($A431,Output_Mac!$A:$A,Output_Mac!J:J,""),
_xlpm.MyAuditVal,_xlfn.XLOOKUP($A431,My_Audit!$A:$A,My_Audit!H:H,""),
_xlfn.IFS(_xlpm.MyAuditVal&lt;&gt;"",UPPER(_xlpm.MyAuditVal),_xlpm.MacVal&lt;&gt;"",_xlpm.MacVal,_xlpm.CSVVal&lt;&gt;"",_xlpm.CSVVal
)),"")</f>
        <v/>
      </c>
      <c r="J431" s="54" t="str" cm="1">
        <f t="array" ref="J431">IFERROR(_xlfn.LET(
_xlpm.CSVVal,_xlfn.XLOOKUP($A431,CSV!$A:$A,CSV!I:I,""),
_xlpm.MacVal,_xlfn.XLOOKUP($A431,Output_Mac!$A:$A,Output_Mac!K:K,""),
_xlpm.MyAuditVal,_xlfn.XLOOKUP($A431,My_Audit!$A:$A,My_Audit!I:I,""),
_xlfn.IFS(_xlpm.MyAuditVal&lt;&gt;"",UPPER(_xlpm.MyAuditVal),_xlpm.MacVal&lt;&gt;"",_xlpm.MacVal,_xlpm.CSVVal&lt;&gt;"",_xlpm.CSVVal
)),"")</f>
        <v/>
      </c>
      <c r="K431" s="54" t="str" cm="1">
        <f t="array" ref="K431">IFERROR(_xlfn.LET(
_xlpm.CSVVal,_xlfn.XLOOKUP($A431,CSV!$A:$A,CSV!M:M,""),
_xlpm.MacVal,_xlfn.XLOOKUP($A431,Output_Mac!$A:$A,Output_Mac!L:L,""),
_xlpm.MyAuditVal,_xlfn.XLOOKUP($A431,My_Audit!$A:$A,My_Audit!J:J,""),
_xlfn.IFS(_xlpm.MyAuditVal&lt;&gt;"",UPPER(_xlpm.MyAuditVal),_xlpm.MacVal&lt;&gt;"",_xlpm.MacVal,_xlpm.CSVVal&lt;&gt;"",_xlpm.CSVVal
)),"")</f>
        <v/>
      </c>
      <c r="L431" s="54" t="str" cm="1">
        <f t="array" ref="L431">IFERROR(_xlfn.LET(
_xlpm.CSVVal,_xlfn.XLOOKUP($A431,CSV!$A:$A,CSV!O:O,""),
_xlpm.MacVal,_xlfn.XLOOKUP($A431,Output_Mac!$A:$A,Output_Mac!M:M,""),
_xlpm.MyAuditVal,_xlfn.XLOOKUP($A431,My_Audit!$A:$A,My_Audit!K:K,""),
_xlfn.IFS(_xlpm.MyAuditVal&lt;&gt;"",UPPER(_xlpm.MyAuditVal),_xlpm.MacVal&lt;&gt;"",_xlpm.MacVal,_xlpm.CSVVal&lt;&gt;"",_xlpm.CSVVal
)),"")</f>
        <v/>
      </c>
      <c r="M431" s="54" t="str">
        <f>_xlfn.LET(
    _xlpm.CSVVal, _xlfn.XLOOKUP($A431, CSV!$A:$A, CSV!AD:AD, ""),
    _xlpm.MacVal, _xlfn.XLOOKUP($A431, Output_Mac!$A:$A, Output_Mac!S:S, ""),
    _xlpm.MyAuditVal, _xlfn.XLOOKUP($A431, My_Audit!$A:$A, My_Audit!N:N, ""),
    _xlfn.TEXTJOIN(", ", TRUE, _xlpm.MyAuditVal, _xlpm.MacVal, _xlpm.CSVVal)
)</f>
        <v/>
      </c>
      <c r="N431" s="54" t="str" cm="1">
        <f t="array" ref="N431">IFERROR(_xlfn.LET(
_xlpm.CSVVal,_xlfn.XLOOKUP($A431,CSV!$A:$A,CSV!AF:AF,""),
_xlpm.MacVal,_xlfn.XLOOKUP($A431,Output_Mac!$A:$A,Output_Mac!U:U,""),
_xlpm.MyAuditVal,_xlfn.XLOOKUP($A431,My_Audit!$A:$A,My_Audit!O:O,""),
_xlfn.IFS(_xlpm.MyAuditVal&lt;&gt;"",UPPER(_xlpm.MyAuditVal),_xlpm.MacVal&lt;&gt;"",_xlpm.MacVal,_xlpm.CSVVal&lt;&gt;"",_xlpm.CSVVal
)),"")</f>
        <v/>
      </c>
      <c r="O431" s="54"/>
      <c r="P431" s="54"/>
      <c r="Q431" s="54"/>
      <c r="R431" s="54"/>
      <c r="S431" s="54"/>
      <c r="T431" s="54"/>
      <c r="U431" s="39"/>
    </row>
    <row r="432" spans="1:21">
      <c r="A432" s="54" t="str">
        <f>_xlfn.TEXTJOIN("",TRUE,Input!$B$2,ROW(My_Audit!A431))</f>
        <v>XX431</v>
      </c>
      <c r="B432" s="54" t="str">
        <f>_xlfn.TEXTJOIN("-",TRUE,"ITD",Input!$A$2,A432)</f>
        <v>ITD-SHRXXX-XX431</v>
      </c>
      <c r="C432" s="54" t="str" cm="1">
        <f t="array" ref="C432">IFERROR(_xlfn.LET(
_xlpm.CSVVal,_xlfn.XLOOKUP($A432,CSV!$A:$A,CSV!B:B,""),
_xlpm.MacVal,_xlfn.XLOOKUP($A432,Output_Mac!$A:$A,Output_Mac!B:B,""),
_xlpm.MyAuditVal,_xlfn.XLOOKUP($A432,My_Audit!$A:$A,My_Audit!B:B,""),
_xlfn.IFS(_xlpm.MyAuditVal&lt;&gt;"",UPPER(_xlpm.MyAuditVal),_xlpm.MacVal&lt;&gt;"",_xlpm.MacVal,_xlpm.CSVVal&lt;&gt;"",_xlpm.CSVVal
)),"")</f>
        <v/>
      </c>
      <c r="D432" s="55" t="str">
        <f>_xlfn.XLOOKUP(A432,My_Audit!A:A,My_Audit!D:D,"")&amp;""</f>
        <v/>
      </c>
      <c r="E432" s="55" t="str" cm="1">
        <f t="array" ref="E432">IFERROR(_xlfn.LET(
_xlpm.CSVVal,_xlfn.XLOOKUP($A432,CSV!$A:$A,CSV!D:D,""),
_xlpm.MacVal,_xlfn.XLOOKUP($A432,Output_Mac!$A:$A,Output_Mac!C:C,""),
_xlpm.MyAuditVal,_xlfn.XLOOKUP($A432,My_Audit!$A:$A,My_Audit!D:D,""),
_xlfn.IFS(_xlpm.MyAuditVal&lt;&gt;"",_xlpm.MyAuditVal,_xlpm.MacVal&lt;&gt;"",_xlpm.MacVal,_xlpm.CSVVal&lt;&gt;"",_xlpm.CSVVal
)),"")</f>
        <v/>
      </c>
      <c r="F432" s="54" t="str" cm="1">
        <f t="array" ref="F432">IFERROR(_xlfn.LET(
_xlpm.CSVVal,_xlfn.XLOOKUP($A432,CSV!$A:$A,CSV!E:E,""),
_xlpm.MacVal,_xlfn.XLOOKUP($A432,Output_Mac!$A:$A,Output_Mac!F:F,""),
_xlpm.MyAuditVal,_xlfn.XLOOKUP($A432,My_Audit!$A:$A,My_Audit!E:E,""),
_xlfn.IFS(_xlpm.MyAuditVal&lt;&gt;"",_xlpm.MyAuditVal,_xlpm.MacVal&lt;&gt;"",_xlpm.MacVal,_xlpm.CSVVal&lt;&gt;"",PROPER(_xlpm.CSVVal)
)),"")</f>
        <v/>
      </c>
      <c r="G432" s="54" t="str" cm="1">
        <f t="array" ref="G432">IFERROR(_xlfn.LET(
_xlpm.CSVVal,_xlfn.XLOOKUP($A432,CSV!$A:$A,CSV!F:F,""),
_xlpm.MacVal,_xlfn.XLOOKUP($A432,Output_Mac!$A:$A,Output_Mac!H:H,""),
_xlpm.MyAuditVal,_xlfn.XLOOKUP($A432,My_Audit!$A:$A,My_Audit!F:F,""),
_xlfn.IFS(_xlpm.MyAuditVal&lt;&gt;"",_xlpm.MyAuditVal,_xlpm.MacVal&lt;&gt;"",_xlpm.MacVal,_xlpm.CSVVal&lt;&gt;"",_xlpm.CSVVal
)),"")</f>
        <v/>
      </c>
      <c r="H432" s="54" t="str">
        <f>_xlfn.XLOOKUP(A432,Output_Mac!A:A,Output_Mac!I:I,"")</f>
        <v/>
      </c>
      <c r="I432" s="54" t="str" cm="1">
        <f t="array" ref="I432">IFERROR(_xlfn.LET(
_xlpm.CSVVal,_xlfn.XLOOKUP($A432,CSV!$A:$A,CSV!G:G,""),
_xlpm.MacVal,_xlfn.XLOOKUP($A432,Output_Mac!$A:$A,Output_Mac!J:J,""),
_xlpm.MyAuditVal,_xlfn.XLOOKUP($A432,My_Audit!$A:$A,My_Audit!H:H,""),
_xlfn.IFS(_xlpm.MyAuditVal&lt;&gt;"",UPPER(_xlpm.MyAuditVal),_xlpm.MacVal&lt;&gt;"",_xlpm.MacVal,_xlpm.CSVVal&lt;&gt;"",_xlpm.CSVVal
)),"")</f>
        <v/>
      </c>
      <c r="J432" s="54" t="str" cm="1">
        <f t="array" ref="J432">IFERROR(_xlfn.LET(
_xlpm.CSVVal,_xlfn.XLOOKUP($A432,CSV!$A:$A,CSV!I:I,""),
_xlpm.MacVal,_xlfn.XLOOKUP($A432,Output_Mac!$A:$A,Output_Mac!K:K,""),
_xlpm.MyAuditVal,_xlfn.XLOOKUP($A432,My_Audit!$A:$A,My_Audit!I:I,""),
_xlfn.IFS(_xlpm.MyAuditVal&lt;&gt;"",UPPER(_xlpm.MyAuditVal),_xlpm.MacVal&lt;&gt;"",_xlpm.MacVal,_xlpm.CSVVal&lt;&gt;"",_xlpm.CSVVal
)),"")</f>
        <v/>
      </c>
      <c r="K432" s="54" t="str" cm="1">
        <f t="array" ref="K432">IFERROR(_xlfn.LET(
_xlpm.CSVVal,_xlfn.XLOOKUP($A432,CSV!$A:$A,CSV!M:M,""),
_xlpm.MacVal,_xlfn.XLOOKUP($A432,Output_Mac!$A:$A,Output_Mac!L:L,""),
_xlpm.MyAuditVal,_xlfn.XLOOKUP($A432,My_Audit!$A:$A,My_Audit!J:J,""),
_xlfn.IFS(_xlpm.MyAuditVal&lt;&gt;"",UPPER(_xlpm.MyAuditVal),_xlpm.MacVal&lt;&gt;"",_xlpm.MacVal,_xlpm.CSVVal&lt;&gt;"",_xlpm.CSVVal
)),"")</f>
        <v/>
      </c>
      <c r="L432" s="54" t="str" cm="1">
        <f t="array" ref="L432">IFERROR(_xlfn.LET(
_xlpm.CSVVal,_xlfn.XLOOKUP($A432,CSV!$A:$A,CSV!O:O,""),
_xlpm.MacVal,_xlfn.XLOOKUP($A432,Output_Mac!$A:$A,Output_Mac!M:M,""),
_xlpm.MyAuditVal,_xlfn.XLOOKUP($A432,My_Audit!$A:$A,My_Audit!K:K,""),
_xlfn.IFS(_xlpm.MyAuditVal&lt;&gt;"",UPPER(_xlpm.MyAuditVal),_xlpm.MacVal&lt;&gt;"",_xlpm.MacVal,_xlpm.CSVVal&lt;&gt;"",_xlpm.CSVVal
)),"")</f>
        <v/>
      </c>
      <c r="M432" s="54" t="str">
        <f>_xlfn.LET(
    _xlpm.CSVVal, _xlfn.XLOOKUP($A432, CSV!$A:$A, CSV!AD:AD, ""),
    _xlpm.MacVal, _xlfn.XLOOKUP($A432, Output_Mac!$A:$A, Output_Mac!S:S, ""),
    _xlpm.MyAuditVal, _xlfn.XLOOKUP($A432, My_Audit!$A:$A, My_Audit!N:N, ""),
    _xlfn.TEXTJOIN(", ", TRUE, _xlpm.MyAuditVal, _xlpm.MacVal, _xlpm.CSVVal)
)</f>
        <v/>
      </c>
      <c r="N432" s="54" t="str" cm="1">
        <f t="array" ref="N432">IFERROR(_xlfn.LET(
_xlpm.CSVVal,_xlfn.XLOOKUP($A432,CSV!$A:$A,CSV!AF:AF,""),
_xlpm.MacVal,_xlfn.XLOOKUP($A432,Output_Mac!$A:$A,Output_Mac!U:U,""),
_xlpm.MyAuditVal,_xlfn.XLOOKUP($A432,My_Audit!$A:$A,My_Audit!O:O,""),
_xlfn.IFS(_xlpm.MyAuditVal&lt;&gt;"",UPPER(_xlpm.MyAuditVal),_xlpm.MacVal&lt;&gt;"",_xlpm.MacVal,_xlpm.CSVVal&lt;&gt;"",_xlpm.CSVVal
)),"")</f>
        <v/>
      </c>
      <c r="O432" s="54"/>
      <c r="P432" s="54"/>
      <c r="Q432" s="54"/>
      <c r="R432" s="54"/>
      <c r="S432" s="54"/>
      <c r="T432" s="54"/>
      <c r="U432" s="39"/>
    </row>
    <row r="433" spans="1:21">
      <c r="A433" s="54" t="str">
        <f>_xlfn.TEXTJOIN("",TRUE,Input!$B$2,ROW(My_Audit!A432))</f>
        <v>XX432</v>
      </c>
      <c r="B433" s="54" t="str">
        <f>_xlfn.TEXTJOIN("-",TRUE,"ITD",Input!$A$2,A433)</f>
        <v>ITD-SHRXXX-XX432</v>
      </c>
      <c r="C433" s="54" t="str" cm="1">
        <f t="array" ref="C433">IFERROR(_xlfn.LET(
_xlpm.CSVVal,_xlfn.XLOOKUP($A433,CSV!$A:$A,CSV!B:B,""),
_xlpm.MacVal,_xlfn.XLOOKUP($A433,Output_Mac!$A:$A,Output_Mac!B:B,""),
_xlpm.MyAuditVal,_xlfn.XLOOKUP($A433,My_Audit!$A:$A,My_Audit!B:B,""),
_xlfn.IFS(_xlpm.MyAuditVal&lt;&gt;"",UPPER(_xlpm.MyAuditVal),_xlpm.MacVal&lt;&gt;"",_xlpm.MacVal,_xlpm.CSVVal&lt;&gt;"",_xlpm.CSVVal
)),"")</f>
        <v/>
      </c>
      <c r="D433" s="55" t="str">
        <f>_xlfn.XLOOKUP(A433,My_Audit!A:A,My_Audit!D:D,"")&amp;""</f>
        <v/>
      </c>
      <c r="E433" s="55" t="str" cm="1">
        <f t="array" ref="E433">IFERROR(_xlfn.LET(
_xlpm.CSVVal,_xlfn.XLOOKUP($A433,CSV!$A:$A,CSV!D:D,""),
_xlpm.MacVal,_xlfn.XLOOKUP($A433,Output_Mac!$A:$A,Output_Mac!C:C,""),
_xlpm.MyAuditVal,_xlfn.XLOOKUP($A433,My_Audit!$A:$A,My_Audit!D:D,""),
_xlfn.IFS(_xlpm.MyAuditVal&lt;&gt;"",_xlpm.MyAuditVal,_xlpm.MacVal&lt;&gt;"",_xlpm.MacVal,_xlpm.CSVVal&lt;&gt;"",_xlpm.CSVVal
)),"")</f>
        <v/>
      </c>
      <c r="F433" s="54" t="str" cm="1">
        <f t="array" ref="F433">IFERROR(_xlfn.LET(
_xlpm.CSVVal,_xlfn.XLOOKUP($A433,CSV!$A:$A,CSV!E:E,""),
_xlpm.MacVal,_xlfn.XLOOKUP($A433,Output_Mac!$A:$A,Output_Mac!F:F,""),
_xlpm.MyAuditVal,_xlfn.XLOOKUP($A433,My_Audit!$A:$A,My_Audit!E:E,""),
_xlfn.IFS(_xlpm.MyAuditVal&lt;&gt;"",_xlpm.MyAuditVal,_xlpm.MacVal&lt;&gt;"",_xlpm.MacVal,_xlpm.CSVVal&lt;&gt;"",PROPER(_xlpm.CSVVal)
)),"")</f>
        <v/>
      </c>
      <c r="G433" s="54" t="str" cm="1">
        <f t="array" ref="G433">IFERROR(_xlfn.LET(
_xlpm.CSVVal,_xlfn.XLOOKUP($A433,CSV!$A:$A,CSV!F:F,""),
_xlpm.MacVal,_xlfn.XLOOKUP($A433,Output_Mac!$A:$A,Output_Mac!H:H,""),
_xlpm.MyAuditVal,_xlfn.XLOOKUP($A433,My_Audit!$A:$A,My_Audit!F:F,""),
_xlfn.IFS(_xlpm.MyAuditVal&lt;&gt;"",_xlpm.MyAuditVal,_xlpm.MacVal&lt;&gt;"",_xlpm.MacVal,_xlpm.CSVVal&lt;&gt;"",_xlpm.CSVVal
)),"")</f>
        <v/>
      </c>
      <c r="H433" s="54" t="str">
        <f>_xlfn.XLOOKUP(A433,Output_Mac!A:A,Output_Mac!I:I,"")</f>
        <v/>
      </c>
      <c r="I433" s="54" t="str" cm="1">
        <f t="array" ref="I433">IFERROR(_xlfn.LET(
_xlpm.CSVVal,_xlfn.XLOOKUP($A433,CSV!$A:$A,CSV!G:G,""),
_xlpm.MacVal,_xlfn.XLOOKUP($A433,Output_Mac!$A:$A,Output_Mac!J:J,""),
_xlpm.MyAuditVal,_xlfn.XLOOKUP($A433,My_Audit!$A:$A,My_Audit!H:H,""),
_xlfn.IFS(_xlpm.MyAuditVal&lt;&gt;"",UPPER(_xlpm.MyAuditVal),_xlpm.MacVal&lt;&gt;"",_xlpm.MacVal,_xlpm.CSVVal&lt;&gt;"",_xlpm.CSVVal
)),"")</f>
        <v/>
      </c>
      <c r="J433" s="54" t="str" cm="1">
        <f t="array" ref="J433">IFERROR(_xlfn.LET(
_xlpm.CSVVal,_xlfn.XLOOKUP($A433,CSV!$A:$A,CSV!I:I,""),
_xlpm.MacVal,_xlfn.XLOOKUP($A433,Output_Mac!$A:$A,Output_Mac!K:K,""),
_xlpm.MyAuditVal,_xlfn.XLOOKUP($A433,My_Audit!$A:$A,My_Audit!I:I,""),
_xlfn.IFS(_xlpm.MyAuditVal&lt;&gt;"",UPPER(_xlpm.MyAuditVal),_xlpm.MacVal&lt;&gt;"",_xlpm.MacVal,_xlpm.CSVVal&lt;&gt;"",_xlpm.CSVVal
)),"")</f>
        <v/>
      </c>
      <c r="K433" s="54" t="str" cm="1">
        <f t="array" ref="K433">IFERROR(_xlfn.LET(
_xlpm.CSVVal,_xlfn.XLOOKUP($A433,CSV!$A:$A,CSV!M:M,""),
_xlpm.MacVal,_xlfn.XLOOKUP($A433,Output_Mac!$A:$A,Output_Mac!L:L,""),
_xlpm.MyAuditVal,_xlfn.XLOOKUP($A433,My_Audit!$A:$A,My_Audit!J:J,""),
_xlfn.IFS(_xlpm.MyAuditVal&lt;&gt;"",UPPER(_xlpm.MyAuditVal),_xlpm.MacVal&lt;&gt;"",_xlpm.MacVal,_xlpm.CSVVal&lt;&gt;"",_xlpm.CSVVal
)),"")</f>
        <v/>
      </c>
      <c r="L433" s="54" t="str" cm="1">
        <f t="array" ref="L433">IFERROR(_xlfn.LET(
_xlpm.CSVVal,_xlfn.XLOOKUP($A433,CSV!$A:$A,CSV!O:O,""),
_xlpm.MacVal,_xlfn.XLOOKUP($A433,Output_Mac!$A:$A,Output_Mac!M:M,""),
_xlpm.MyAuditVal,_xlfn.XLOOKUP($A433,My_Audit!$A:$A,My_Audit!K:K,""),
_xlfn.IFS(_xlpm.MyAuditVal&lt;&gt;"",UPPER(_xlpm.MyAuditVal),_xlpm.MacVal&lt;&gt;"",_xlpm.MacVal,_xlpm.CSVVal&lt;&gt;"",_xlpm.CSVVal
)),"")</f>
        <v/>
      </c>
      <c r="M433" s="54" t="str">
        <f>_xlfn.LET(
    _xlpm.CSVVal, _xlfn.XLOOKUP($A433, CSV!$A:$A, CSV!AD:AD, ""),
    _xlpm.MacVal, _xlfn.XLOOKUP($A433, Output_Mac!$A:$A, Output_Mac!S:S, ""),
    _xlpm.MyAuditVal, _xlfn.XLOOKUP($A433, My_Audit!$A:$A, My_Audit!N:N, ""),
    _xlfn.TEXTJOIN(", ", TRUE, _xlpm.MyAuditVal, _xlpm.MacVal, _xlpm.CSVVal)
)</f>
        <v/>
      </c>
      <c r="N433" s="54" t="str" cm="1">
        <f t="array" ref="N433">IFERROR(_xlfn.LET(
_xlpm.CSVVal,_xlfn.XLOOKUP($A433,CSV!$A:$A,CSV!AF:AF,""),
_xlpm.MacVal,_xlfn.XLOOKUP($A433,Output_Mac!$A:$A,Output_Mac!U:U,""),
_xlpm.MyAuditVal,_xlfn.XLOOKUP($A433,My_Audit!$A:$A,My_Audit!O:O,""),
_xlfn.IFS(_xlpm.MyAuditVal&lt;&gt;"",UPPER(_xlpm.MyAuditVal),_xlpm.MacVal&lt;&gt;"",_xlpm.MacVal,_xlpm.CSVVal&lt;&gt;"",_xlpm.CSVVal
)),"")</f>
        <v/>
      </c>
      <c r="O433" s="54"/>
      <c r="P433" s="54"/>
      <c r="Q433" s="54"/>
      <c r="R433" s="54"/>
      <c r="S433" s="54"/>
      <c r="T433" s="54"/>
      <c r="U433" s="39"/>
    </row>
    <row r="434" spans="1:21">
      <c r="A434" s="54" t="str">
        <f>_xlfn.TEXTJOIN("",TRUE,Input!$B$2,ROW(My_Audit!A433))</f>
        <v>XX433</v>
      </c>
      <c r="B434" s="54" t="str">
        <f>_xlfn.TEXTJOIN("-",TRUE,"ITD",Input!$A$2,A434)</f>
        <v>ITD-SHRXXX-XX433</v>
      </c>
      <c r="C434" s="54" t="str" cm="1">
        <f t="array" ref="C434">IFERROR(_xlfn.LET(
_xlpm.CSVVal,_xlfn.XLOOKUP($A434,CSV!$A:$A,CSV!B:B,""),
_xlpm.MacVal,_xlfn.XLOOKUP($A434,Output_Mac!$A:$A,Output_Mac!B:B,""),
_xlpm.MyAuditVal,_xlfn.XLOOKUP($A434,My_Audit!$A:$A,My_Audit!B:B,""),
_xlfn.IFS(_xlpm.MyAuditVal&lt;&gt;"",UPPER(_xlpm.MyAuditVal),_xlpm.MacVal&lt;&gt;"",_xlpm.MacVal,_xlpm.CSVVal&lt;&gt;"",_xlpm.CSVVal
)),"")</f>
        <v/>
      </c>
      <c r="D434" s="55" t="str">
        <f>_xlfn.XLOOKUP(A434,My_Audit!A:A,My_Audit!D:D,"")&amp;""</f>
        <v/>
      </c>
      <c r="E434" s="55" t="str" cm="1">
        <f t="array" ref="E434">IFERROR(_xlfn.LET(
_xlpm.CSVVal,_xlfn.XLOOKUP($A434,CSV!$A:$A,CSV!D:D,""),
_xlpm.MacVal,_xlfn.XLOOKUP($A434,Output_Mac!$A:$A,Output_Mac!C:C,""),
_xlpm.MyAuditVal,_xlfn.XLOOKUP($A434,My_Audit!$A:$A,My_Audit!D:D,""),
_xlfn.IFS(_xlpm.MyAuditVal&lt;&gt;"",_xlpm.MyAuditVal,_xlpm.MacVal&lt;&gt;"",_xlpm.MacVal,_xlpm.CSVVal&lt;&gt;"",_xlpm.CSVVal
)),"")</f>
        <v/>
      </c>
      <c r="F434" s="54" t="str" cm="1">
        <f t="array" ref="F434">IFERROR(_xlfn.LET(
_xlpm.CSVVal,_xlfn.XLOOKUP($A434,CSV!$A:$A,CSV!E:E,""),
_xlpm.MacVal,_xlfn.XLOOKUP($A434,Output_Mac!$A:$A,Output_Mac!F:F,""),
_xlpm.MyAuditVal,_xlfn.XLOOKUP($A434,My_Audit!$A:$A,My_Audit!E:E,""),
_xlfn.IFS(_xlpm.MyAuditVal&lt;&gt;"",_xlpm.MyAuditVal,_xlpm.MacVal&lt;&gt;"",_xlpm.MacVal,_xlpm.CSVVal&lt;&gt;"",PROPER(_xlpm.CSVVal)
)),"")</f>
        <v/>
      </c>
      <c r="G434" s="54" t="str" cm="1">
        <f t="array" ref="G434">IFERROR(_xlfn.LET(
_xlpm.CSVVal,_xlfn.XLOOKUP($A434,CSV!$A:$A,CSV!F:F,""),
_xlpm.MacVal,_xlfn.XLOOKUP($A434,Output_Mac!$A:$A,Output_Mac!H:H,""),
_xlpm.MyAuditVal,_xlfn.XLOOKUP($A434,My_Audit!$A:$A,My_Audit!F:F,""),
_xlfn.IFS(_xlpm.MyAuditVal&lt;&gt;"",_xlpm.MyAuditVal,_xlpm.MacVal&lt;&gt;"",_xlpm.MacVal,_xlpm.CSVVal&lt;&gt;"",_xlpm.CSVVal
)),"")</f>
        <v/>
      </c>
      <c r="H434" s="54" t="str">
        <f>_xlfn.XLOOKUP(A434,Output_Mac!A:A,Output_Mac!I:I,"")</f>
        <v/>
      </c>
      <c r="I434" s="54" t="str" cm="1">
        <f t="array" ref="I434">IFERROR(_xlfn.LET(
_xlpm.CSVVal,_xlfn.XLOOKUP($A434,CSV!$A:$A,CSV!G:G,""),
_xlpm.MacVal,_xlfn.XLOOKUP($A434,Output_Mac!$A:$A,Output_Mac!J:J,""),
_xlpm.MyAuditVal,_xlfn.XLOOKUP($A434,My_Audit!$A:$A,My_Audit!H:H,""),
_xlfn.IFS(_xlpm.MyAuditVal&lt;&gt;"",UPPER(_xlpm.MyAuditVal),_xlpm.MacVal&lt;&gt;"",_xlpm.MacVal,_xlpm.CSVVal&lt;&gt;"",_xlpm.CSVVal
)),"")</f>
        <v/>
      </c>
      <c r="J434" s="54" t="str" cm="1">
        <f t="array" ref="J434">IFERROR(_xlfn.LET(
_xlpm.CSVVal,_xlfn.XLOOKUP($A434,CSV!$A:$A,CSV!I:I,""),
_xlpm.MacVal,_xlfn.XLOOKUP($A434,Output_Mac!$A:$A,Output_Mac!K:K,""),
_xlpm.MyAuditVal,_xlfn.XLOOKUP($A434,My_Audit!$A:$A,My_Audit!I:I,""),
_xlfn.IFS(_xlpm.MyAuditVal&lt;&gt;"",UPPER(_xlpm.MyAuditVal),_xlpm.MacVal&lt;&gt;"",_xlpm.MacVal,_xlpm.CSVVal&lt;&gt;"",_xlpm.CSVVal
)),"")</f>
        <v/>
      </c>
      <c r="K434" s="54" t="str" cm="1">
        <f t="array" ref="K434">IFERROR(_xlfn.LET(
_xlpm.CSVVal,_xlfn.XLOOKUP($A434,CSV!$A:$A,CSV!M:M,""),
_xlpm.MacVal,_xlfn.XLOOKUP($A434,Output_Mac!$A:$A,Output_Mac!L:L,""),
_xlpm.MyAuditVal,_xlfn.XLOOKUP($A434,My_Audit!$A:$A,My_Audit!J:J,""),
_xlfn.IFS(_xlpm.MyAuditVal&lt;&gt;"",UPPER(_xlpm.MyAuditVal),_xlpm.MacVal&lt;&gt;"",_xlpm.MacVal,_xlpm.CSVVal&lt;&gt;"",_xlpm.CSVVal
)),"")</f>
        <v/>
      </c>
      <c r="L434" s="54" t="str" cm="1">
        <f t="array" ref="L434">IFERROR(_xlfn.LET(
_xlpm.CSVVal,_xlfn.XLOOKUP($A434,CSV!$A:$A,CSV!O:O,""),
_xlpm.MacVal,_xlfn.XLOOKUP($A434,Output_Mac!$A:$A,Output_Mac!M:M,""),
_xlpm.MyAuditVal,_xlfn.XLOOKUP($A434,My_Audit!$A:$A,My_Audit!K:K,""),
_xlfn.IFS(_xlpm.MyAuditVal&lt;&gt;"",UPPER(_xlpm.MyAuditVal),_xlpm.MacVal&lt;&gt;"",_xlpm.MacVal,_xlpm.CSVVal&lt;&gt;"",_xlpm.CSVVal
)),"")</f>
        <v/>
      </c>
      <c r="M434" s="54" t="str">
        <f>_xlfn.LET(
    _xlpm.CSVVal, _xlfn.XLOOKUP($A434, CSV!$A:$A, CSV!AD:AD, ""),
    _xlpm.MacVal, _xlfn.XLOOKUP($A434, Output_Mac!$A:$A, Output_Mac!S:S, ""),
    _xlpm.MyAuditVal, _xlfn.XLOOKUP($A434, My_Audit!$A:$A, My_Audit!N:N, ""),
    _xlfn.TEXTJOIN(", ", TRUE, _xlpm.MyAuditVal, _xlpm.MacVal, _xlpm.CSVVal)
)</f>
        <v/>
      </c>
      <c r="N434" s="54" t="str" cm="1">
        <f t="array" ref="N434">IFERROR(_xlfn.LET(
_xlpm.CSVVal,_xlfn.XLOOKUP($A434,CSV!$A:$A,CSV!AF:AF,""),
_xlpm.MacVal,_xlfn.XLOOKUP($A434,Output_Mac!$A:$A,Output_Mac!U:U,""),
_xlpm.MyAuditVal,_xlfn.XLOOKUP($A434,My_Audit!$A:$A,My_Audit!O:O,""),
_xlfn.IFS(_xlpm.MyAuditVal&lt;&gt;"",UPPER(_xlpm.MyAuditVal),_xlpm.MacVal&lt;&gt;"",_xlpm.MacVal,_xlpm.CSVVal&lt;&gt;"",_xlpm.CSVVal
)),"")</f>
        <v/>
      </c>
      <c r="O434" s="54"/>
      <c r="P434" s="54"/>
      <c r="Q434" s="54"/>
      <c r="R434" s="54"/>
      <c r="S434" s="54"/>
      <c r="T434" s="54"/>
      <c r="U434" s="39"/>
    </row>
    <row r="435" spans="1:21">
      <c r="A435" s="54" t="str">
        <f>_xlfn.TEXTJOIN("",TRUE,Input!$B$2,ROW(My_Audit!A434))</f>
        <v>XX434</v>
      </c>
      <c r="B435" s="54" t="str">
        <f>_xlfn.TEXTJOIN("-",TRUE,"ITD",Input!$A$2,A435)</f>
        <v>ITD-SHRXXX-XX434</v>
      </c>
      <c r="C435" s="54" t="str" cm="1">
        <f t="array" ref="C435">IFERROR(_xlfn.LET(
_xlpm.CSVVal,_xlfn.XLOOKUP($A435,CSV!$A:$A,CSV!B:B,""),
_xlpm.MacVal,_xlfn.XLOOKUP($A435,Output_Mac!$A:$A,Output_Mac!B:B,""),
_xlpm.MyAuditVal,_xlfn.XLOOKUP($A435,My_Audit!$A:$A,My_Audit!B:B,""),
_xlfn.IFS(_xlpm.MyAuditVal&lt;&gt;"",UPPER(_xlpm.MyAuditVal),_xlpm.MacVal&lt;&gt;"",_xlpm.MacVal,_xlpm.CSVVal&lt;&gt;"",_xlpm.CSVVal
)),"")</f>
        <v/>
      </c>
      <c r="D435" s="55" t="str">
        <f>_xlfn.XLOOKUP(A435,My_Audit!A:A,My_Audit!D:D,"")&amp;""</f>
        <v/>
      </c>
      <c r="E435" s="55" t="str" cm="1">
        <f t="array" ref="E435">IFERROR(_xlfn.LET(
_xlpm.CSVVal,_xlfn.XLOOKUP($A435,CSV!$A:$A,CSV!D:D,""),
_xlpm.MacVal,_xlfn.XLOOKUP($A435,Output_Mac!$A:$A,Output_Mac!C:C,""),
_xlpm.MyAuditVal,_xlfn.XLOOKUP($A435,My_Audit!$A:$A,My_Audit!D:D,""),
_xlfn.IFS(_xlpm.MyAuditVal&lt;&gt;"",_xlpm.MyAuditVal,_xlpm.MacVal&lt;&gt;"",_xlpm.MacVal,_xlpm.CSVVal&lt;&gt;"",_xlpm.CSVVal
)),"")</f>
        <v/>
      </c>
      <c r="F435" s="54" t="str" cm="1">
        <f t="array" ref="F435">IFERROR(_xlfn.LET(
_xlpm.CSVVal,_xlfn.XLOOKUP($A435,CSV!$A:$A,CSV!E:E,""),
_xlpm.MacVal,_xlfn.XLOOKUP($A435,Output_Mac!$A:$A,Output_Mac!F:F,""),
_xlpm.MyAuditVal,_xlfn.XLOOKUP($A435,My_Audit!$A:$A,My_Audit!E:E,""),
_xlfn.IFS(_xlpm.MyAuditVal&lt;&gt;"",_xlpm.MyAuditVal,_xlpm.MacVal&lt;&gt;"",_xlpm.MacVal,_xlpm.CSVVal&lt;&gt;"",PROPER(_xlpm.CSVVal)
)),"")</f>
        <v/>
      </c>
      <c r="G435" s="54" t="str" cm="1">
        <f t="array" ref="G435">IFERROR(_xlfn.LET(
_xlpm.CSVVal,_xlfn.XLOOKUP($A435,CSV!$A:$A,CSV!F:F,""),
_xlpm.MacVal,_xlfn.XLOOKUP($A435,Output_Mac!$A:$A,Output_Mac!H:H,""),
_xlpm.MyAuditVal,_xlfn.XLOOKUP($A435,My_Audit!$A:$A,My_Audit!F:F,""),
_xlfn.IFS(_xlpm.MyAuditVal&lt;&gt;"",_xlpm.MyAuditVal,_xlpm.MacVal&lt;&gt;"",_xlpm.MacVal,_xlpm.CSVVal&lt;&gt;"",_xlpm.CSVVal
)),"")</f>
        <v/>
      </c>
      <c r="H435" s="54" t="str">
        <f>_xlfn.XLOOKUP(A435,Output_Mac!A:A,Output_Mac!I:I,"")</f>
        <v/>
      </c>
      <c r="I435" s="54" t="str" cm="1">
        <f t="array" ref="I435">IFERROR(_xlfn.LET(
_xlpm.CSVVal,_xlfn.XLOOKUP($A435,CSV!$A:$A,CSV!G:G,""),
_xlpm.MacVal,_xlfn.XLOOKUP($A435,Output_Mac!$A:$A,Output_Mac!J:J,""),
_xlpm.MyAuditVal,_xlfn.XLOOKUP($A435,My_Audit!$A:$A,My_Audit!H:H,""),
_xlfn.IFS(_xlpm.MyAuditVal&lt;&gt;"",UPPER(_xlpm.MyAuditVal),_xlpm.MacVal&lt;&gt;"",_xlpm.MacVal,_xlpm.CSVVal&lt;&gt;"",_xlpm.CSVVal
)),"")</f>
        <v/>
      </c>
      <c r="J435" s="54" t="str" cm="1">
        <f t="array" ref="J435">IFERROR(_xlfn.LET(
_xlpm.CSVVal,_xlfn.XLOOKUP($A435,CSV!$A:$A,CSV!I:I,""),
_xlpm.MacVal,_xlfn.XLOOKUP($A435,Output_Mac!$A:$A,Output_Mac!K:K,""),
_xlpm.MyAuditVal,_xlfn.XLOOKUP($A435,My_Audit!$A:$A,My_Audit!I:I,""),
_xlfn.IFS(_xlpm.MyAuditVal&lt;&gt;"",UPPER(_xlpm.MyAuditVal),_xlpm.MacVal&lt;&gt;"",_xlpm.MacVal,_xlpm.CSVVal&lt;&gt;"",_xlpm.CSVVal
)),"")</f>
        <v/>
      </c>
      <c r="K435" s="54" t="str" cm="1">
        <f t="array" ref="K435">IFERROR(_xlfn.LET(
_xlpm.CSVVal,_xlfn.XLOOKUP($A435,CSV!$A:$A,CSV!M:M,""),
_xlpm.MacVal,_xlfn.XLOOKUP($A435,Output_Mac!$A:$A,Output_Mac!L:L,""),
_xlpm.MyAuditVal,_xlfn.XLOOKUP($A435,My_Audit!$A:$A,My_Audit!J:J,""),
_xlfn.IFS(_xlpm.MyAuditVal&lt;&gt;"",UPPER(_xlpm.MyAuditVal),_xlpm.MacVal&lt;&gt;"",_xlpm.MacVal,_xlpm.CSVVal&lt;&gt;"",_xlpm.CSVVal
)),"")</f>
        <v/>
      </c>
      <c r="L435" s="54" t="str" cm="1">
        <f t="array" ref="L435">IFERROR(_xlfn.LET(
_xlpm.CSVVal,_xlfn.XLOOKUP($A435,CSV!$A:$A,CSV!O:O,""),
_xlpm.MacVal,_xlfn.XLOOKUP($A435,Output_Mac!$A:$A,Output_Mac!M:M,""),
_xlpm.MyAuditVal,_xlfn.XLOOKUP($A435,My_Audit!$A:$A,My_Audit!K:K,""),
_xlfn.IFS(_xlpm.MyAuditVal&lt;&gt;"",UPPER(_xlpm.MyAuditVal),_xlpm.MacVal&lt;&gt;"",_xlpm.MacVal,_xlpm.CSVVal&lt;&gt;"",_xlpm.CSVVal
)),"")</f>
        <v/>
      </c>
      <c r="M435" s="54" t="str">
        <f>_xlfn.LET(
    _xlpm.CSVVal, _xlfn.XLOOKUP($A435, CSV!$A:$A, CSV!AD:AD, ""),
    _xlpm.MacVal, _xlfn.XLOOKUP($A435, Output_Mac!$A:$A, Output_Mac!S:S, ""),
    _xlpm.MyAuditVal, _xlfn.XLOOKUP($A435, My_Audit!$A:$A, My_Audit!N:N, ""),
    _xlfn.TEXTJOIN(", ", TRUE, _xlpm.MyAuditVal, _xlpm.MacVal, _xlpm.CSVVal)
)</f>
        <v/>
      </c>
      <c r="N435" s="54" t="str" cm="1">
        <f t="array" ref="N435">IFERROR(_xlfn.LET(
_xlpm.CSVVal,_xlfn.XLOOKUP($A435,CSV!$A:$A,CSV!AF:AF,""),
_xlpm.MacVal,_xlfn.XLOOKUP($A435,Output_Mac!$A:$A,Output_Mac!U:U,""),
_xlpm.MyAuditVal,_xlfn.XLOOKUP($A435,My_Audit!$A:$A,My_Audit!O:O,""),
_xlfn.IFS(_xlpm.MyAuditVal&lt;&gt;"",UPPER(_xlpm.MyAuditVal),_xlpm.MacVal&lt;&gt;"",_xlpm.MacVal,_xlpm.CSVVal&lt;&gt;"",_xlpm.CSVVal
)),"")</f>
        <v/>
      </c>
      <c r="O435" s="54"/>
      <c r="P435" s="54"/>
      <c r="Q435" s="54"/>
      <c r="R435" s="54"/>
      <c r="S435" s="54"/>
      <c r="T435" s="54"/>
      <c r="U435" s="39"/>
    </row>
    <row r="436" spans="1:21">
      <c r="A436" s="54" t="str">
        <f>_xlfn.TEXTJOIN("",TRUE,Input!$B$2,ROW(My_Audit!A435))</f>
        <v>XX435</v>
      </c>
      <c r="B436" s="54" t="str">
        <f>_xlfn.TEXTJOIN("-",TRUE,"ITD",Input!$A$2,A436)</f>
        <v>ITD-SHRXXX-XX435</v>
      </c>
      <c r="C436" s="54" t="str" cm="1">
        <f t="array" ref="C436">IFERROR(_xlfn.LET(
_xlpm.CSVVal,_xlfn.XLOOKUP($A436,CSV!$A:$A,CSV!B:B,""),
_xlpm.MacVal,_xlfn.XLOOKUP($A436,Output_Mac!$A:$A,Output_Mac!B:B,""),
_xlpm.MyAuditVal,_xlfn.XLOOKUP($A436,My_Audit!$A:$A,My_Audit!B:B,""),
_xlfn.IFS(_xlpm.MyAuditVal&lt;&gt;"",UPPER(_xlpm.MyAuditVal),_xlpm.MacVal&lt;&gt;"",_xlpm.MacVal,_xlpm.CSVVal&lt;&gt;"",_xlpm.CSVVal
)),"")</f>
        <v/>
      </c>
      <c r="D436" s="55" t="str">
        <f>_xlfn.XLOOKUP(A436,My_Audit!A:A,My_Audit!D:D,"")&amp;""</f>
        <v/>
      </c>
      <c r="E436" s="55" t="str" cm="1">
        <f t="array" ref="E436">IFERROR(_xlfn.LET(
_xlpm.CSVVal,_xlfn.XLOOKUP($A436,CSV!$A:$A,CSV!D:D,""),
_xlpm.MacVal,_xlfn.XLOOKUP($A436,Output_Mac!$A:$A,Output_Mac!C:C,""),
_xlpm.MyAuditVal,_xlfn.XLOOKUP($A436,My_Audit!$A:$A,My_Audit!D:D,""),
_xlfn.IFS(_xlpm.MyAuditVal&lt;&gt;"",_xlpm.MyAuditVal,_xlpm.MacVal&lt;&gt;"",_xlpm.MacVal,_xlpm.CSVVal&lt;&gt;"",_xlpm.CSVVal
)),"")</f>
        <v/>
      </c>
      <c r="F436" s="54" t="str" cm="1">
        <f t="array" ref="F436">IFERROR(_xlfn.LET(
_xlpm.CSVVal,_xlfn.XLOOKUP($A436,CSV!$A:$A,CSV!E:E,""),
_xlpm.MacVal,_xlfn.XLOOKUP($A436,Output_Mac!$A:$A,Output_Mac!F:F,""),
_xlpm.MyAuditVal,_xlfn.XLOOKUP($A436,My_Audit!$A:$A,My_Audit!E:E,""),
_xlfn.IFS(_xlpm.MyAuditVal&lt;&gt;"",_xlpm.MyAuditVal,_xlpm.MacVal&lt;&gt;"",_xlpm.MacVal,_xlpm.CSVVal&lt;&gt;"",PROPER(_xlpm.CSVVal)
)),"")</f>
        <v/>
      </c>
      <c r="G436" s="54" t="str" cm="1">
        <f t="array" ref="G436">IFERROR(_xlfn.LET(
_xlpm.CSVVal,_xlfn.XLOOKUP($A436,CSV!$A:$A,CSV!F:F,""),
_xlpm.MacVal,_xlfn.XLOOKUP($A436,Output_Mac!$A:$A,Output_Mac!H:H,""),
_xlpm.MyAuditVal,_xlfn.XLOOKUP($A436,My_Audit!$A:$A,My_Audit!F:F,""),
_xlfn.IFS(_xlpm.MyAuditVal&lt;&gt;"",_xlpm.MyAuditVal,_xlpm.MacVal&lt;&gt;"",_xlpm.MacVal,_xlpm.CSVVal&lt;&gt;"",_xlpm.CSVVal
)),"")</f>
        <v/>
      </c>
      <c r="H436" s="54" t="str">
        <f>_xlfn.XLOOKUP(A436,Output_Mac!A:A,Output_Mac!I:I,"")</f>
        <v/>
      </c>
      <c r="I436" s="54" t="str" cm="1">
        <f t="array" ref="I436">IFERROR(_xlfn.LET(
_xlpm.CSVVal,_xlfn.XLOOKUP($A436,CSV!$A:$A,CSV!G:G,""),
_xlpm.MacVal,_xlfn.XLOOKUP($A436,Output_Mac!$A:$A,Output_Mac!J:J,""),
_xlpm.MyAuditVal,_xlfn.XLOOKUP($A436,My_Audit!$A:$A,My_Audit!H:H,""),
_xlfn.IFS(_xlpm.MyAuditVal&lt;&gt;"",UPPER(_xlpm.MyAuditVal),_xlpm.MacVal&lt;&gt;"",_xlpm.MacVal,_xlpm.CSVVal&lt;&gt;"",_xlpm.CSVVal
)),"")</f>
        <v/>
      </c>
      <c r="J436" s="54" t="str" cm="1">
        <f t="array" ref="J436">IFERROR(_xlfn.LET(
_xlpm.CSVVal,_xlfn.XLOOKUP($A436,CSV!$A:$A,CSV!I:I,""),
_xlpm.MacVal,_xlfn.XLOOKUP($A436,Output_Mac!$A:$A,Output_Mac!K:K,""),
_xlpm.MyAuditVal,_xlfn.XLOOKUP($A436,My_Audit!$A:$A,My_Audit!I:I,""),
_xlfn.IFS(_xlpm.MyAuditVal&lt;&gt;"",UPPER(_xlpm.MyAuditVal),_xlpm.MacVal&lt;&gt;"",_xlpm.MacVal,_xlpm.CSVVal&lt;&gt;"",_xlpm.CSVVal
)),"")</f>
        <v/>
      </c>
      <c r="K436" s="54" t="str" cm="1">
        <f t="array" ref="K436">IFERROR(_xlfn.LET(
_xlpm.CSVVal,_xlfn.XLOOKUP($A436,CSV!$A:$A,CSV!M:M,""),
_xlpm.MacVal,_xlfn.XLOOKUP($A436,Output_Mac!$A:$A,Output_Mac!L:L,""),
_xlpm.MyAuditVal,_xlfn.XLOOKUP($A436,My_Audit!$A:$A,My_Audit!J:J,""),
_xlfn.IFS(_xlpm.MyAuditVal&lt;&gt;"",UPPER(_xlpm.MyAuditVal),_xlpm.MacVal&lt;&gt;"",_xlpm.MacVal,_xlpm.CSVVal&lt;&gt;"",_xlpm.CSVVal
)),"")</f>
        <v/>
      </c>
      <c r="L436" s="54" t="str" cm="1">
        <f t="array" ref="L436">IFERROR(_xlfn.LET(
_xlpm.CSVVal,_xlfn.XLOOKUP($A436,CSV!$A:$A,CSV!O:O,""),
_xlpm.MacVal,_xlfn.XLOOKUP($A436,Output_Mac!$A:$A,Output_Mac!M:M,""),
_xlpm.MyAuditVal,_xlfn.XLOOKUP($A436,My_Audit!$A:$A,My_Audit!K:K,""),
_xlfn.IFS(_xlpm.MyAuditVal&lt;&gt;"",UPPER(_xlpm.MyAuditVal),_xlpm.MacVal&lt;&gt;"",_xlpm.MacVal,_xlpm.CSVVal&lt;&gt;"",_xlpm.CSVVal
)),"")</f>
        <v/>
      </c>
      <c r="M436" s="54" t="str">
        <f>_xlfn.LET(
    _xlpm.CSVVal, _xlfn.XLOOKUP($A436, CSV!$A:$A, CSV!AD:AD, ""),
    _xlpm.MacVal, _xlfn.XLOOKUP($A436, Output_Mac!$A:$A, Output_Mac!S:S, ""),
    _xlpm.MyAuditVal, _xlfn.XLOOKUP($A436, My_Audit!$A:$A, My_Audit!N:N, ""),
    _xlfn.TEXTJOIN(", ", TRUE, _xlpm.MyAuditVal, _xlpm.MacVal, _xlpm.CSVVal)
)</f>
        <v/>
      </c>
      <c r="N436" s="54" t="str" cm="1">
        <f t="array" ref="N436">IFERROR(_xlfn.LET(
_xlpm.CSVVal,_xlfn.XLOOKUP($A436,CSV!$A:$A,CSV!AF:AF,""),
_xlpm.MacVal,_xlfn.XLOOKUP($A436,Output_Mac!$A:$A,Output_Mac!U:U,""),
_xlpm.MyAuditVal,_xlfn.XLOOKUP($A436,My_Audit!$A:$A,My_Audit!O:O,""),
_xlfn.IFS(_xlpm.MyAuditVal&lt;&gt;"",UPPER(_xlpm.MyAuditVal),_xlpm.MacVal&lt;&gt;"",_xlpm.MacVal,_xlpm.CSVVal&lt;&gt;"",_xlpm.CSVVal
)),"")</f>
        <v/>
      </c>
      <c r="O436" s="54"/>
      <c r="P436" s="54"/>
      <c r="Q436" s="54"/>
      <c r="R436" s="54"/>
      <c r="S436" s="54"/>
      <c r="T436" s="54"/>
      <c r="U436" s="39"/>
    </row>
    <row r="437" spans="1:21">
      <c r="A437" s="54" t="str">
        <f>_xlfn.TEXTJOIN("",TRUE,Input!$B$2,ROW(My_Audit!A436))</f>
        <v>XX436</v>
      </c>
      <c r="B437" s="54" t="str">
        <f>_xlfn.TEXTJOIN("-",TRUE,"ITD",Input!$A$2,A437)</f>
        <v>ITD-SHRXXX-XX436</v>
      </c>
      <c r="C437" s="54" t="str" cm="1">
        <f t="array" ref="C437">IFERROR(_xlfn.LET(
_xlpm.CSVVal,_xlfn.XLOOKUP($A437,CSV!$A:$A,CSV!B:B,""),
_xlpm.MacVal,_xlfn.XLOOKUP($A437,Output_Mac!$A:$A,Output_Mac!B:B,""),
_xlpm.MyAuditVal,_xlfn.XLOOKUP($A437,My_Audit!$A:$A,My_Audit!B:B,""),
_xlfn.IFS(_xlpm.MyAuditVal&lt;&gt;"",UPPER(_xlpm.MyAuditVal),_xlpm.MacVal&lt;&gt;"",_xlpm.MacVal,_xlpm.CSVVal&lt;&gt;"",_xlpm.CSVVal
)),"")</f>
        <v/>
      </c>
      <c r="D437" s="55" t="str">
        <f>_xlfn.XLOOKUP(A437,My_Audit!A:A,My_Audit!D:D,"")&amp;""</f>
        <v/>
      </c>
      <c r="E437" s="55" t="str" cm="1">
        <f t="array" ref="E437">IFERROR(_xlfn.LET(
_xlpm.CSVVal,_xlfn.XLOOKUP($A437,CSV!$A:$A,CSV!D:D,""),
_xlpm.MacVal,_xlfn.XLOOKUP($A437,Output_Mac!$A:$A,Output_Mac!C:C,""),
_xlpm.MyAuditVal,_xlfn.XLOOKUP($A437,My_Audit!$A:$A,My_Audit!D:D,""),
_xlfn.IFS(_xlpm.MyAuditVal&lt;&gt;"",_xlpm.MyAuditVal,_xlpm.MacVal&lt;&gt;"",_xlpm.MacVal,_xlpm.CSVVal&lt;&gt;"",_xlpm.CSVVal
)),"")</f>
        <v/>
      </c>
      <c r="F437" s="54" t="str" cm="1">
        <f t="array" ref="F437">IFERROR(_xlfn.LET(
_xlpm.CSVVal,_xlfn.XLOOKUP($A437,CSV!$A:$A,CSV!E:E,""),
_xlpm.MacVal,_xlfn.XLOOKUP($A437,Output_Mac!$A:$A,Output_Mac!F:F,""),
_xlpm.MyAuditVal,_xlfn.XLOOKUP($A437,My_Audit!$A:$A,My_Audit!E:E,""),
_xlfn.IFS(_xlpm.MyAuditVal&lt;&gt;"",_xlpm.MyAuditVal,_xlpm.MacVal&lt;&gt;"",_xlpm.MacVal,_xlpm.CSVVal&lt;&gt;"",PROPER(_xlpm.CSVVal)
)),"")</f>
        <v/>
      </c>
      <c r="G437" s="54" t="str" cm="1">
        <f t="array" ref="G437">IFERROR(_xlfn.LET(
_xlpm.CSVVal,_xlfn.XLOOKUP($A437,CSV!$A:$A,CSV!F:F,""),
_xlpm.MacVal,_xlfn.XLOOKUP($A437,Output_Mac!$A:$A,Output_Mac!H:H,""),
_xlpm.MyAuditVal,_xlfn.XLOOKUP($A437,My_Audit!$A:$A,My_Audit!F:F,""),
_xlfn.IFS(_xlpm.MyAuditVal&lt;&gt;"",_xlpm.MyAuditVal,_xlpm.MacVal&lt;&gt;"",_xlpm.MacVal,_xlpm.CSVVal&lt;&gt;"",_xlpm.CSVVal
)),"")</f>
        <v/>
      </c>
      <c r="H437" s="54" t="str">
        <f>_xlfn.XLOOKUP(A437,Output_Mac!A:A,Output_Mac!I:I,"")</f>
        <v/>
      </c>
      <c r="I437" s="54" t="str" cm="1">
        <f t="array" ref="I437">IFERROR(_xlfn.LET(
_xlpm.CSVVal,_xlfn.XLOOKUP($A437,CSV!$A:$A,CSV!G:G,""),
_xlpm.MacVal,_xlfn.XLOOKUP($A437,Output_Mac!$A:$A,Output_Mac!J:J,""),
_xlpm.MyAuditVal,_xlfn.XLOOKUP($A437,My_Audit!$A:$A,My_Audit!H:H,""),
_xlfn.IFS(_xlpm.MyAuditVal&lt;&gt;"",UPPER(_xlpm.MyAuditVal),_xlpm.MacVal&lt;&gt;"",_xlpm.MacVal,_xlpm.CSVVal&lt;&gt;"",_xlpm.CSVVal
)),"")</f>
        <v/>
      </c>
      <c r="J437" s="54" t="str" cm="1">
        <f t="array" ref="J437">IFERROR(_xlfn.LET(
_xlpm.CSVVal,_xlfn.XLOOKUP($A437,CSV!$A:$A,CSV!I:I,""),
_xlpm.MacVal,_xlfn.XLOOKUP($A437,Output_Mac!$A:$A,Output_Mac!K:K,""),
_xlpm.MyAuditVal,_xlfn.XLOOKUP($A437,My_Audit!$A:$A,My_Audit!I:I,""),
_xlfn.IFS(_xlpm.MyAuditVal&lt;&gt;"",UPPER(_xlpm.MyAuditVal),_xlpm.MacVal&lt;&gt;"",_xlpm.MacVal,_xlpm.CSVVal&lt;&gt;"",_xlpm.CSVVal
)),"")</f>
        <v/>
      </c>
      <c r="K437" s="54" t="str" cm="1">
        <f t="array" ref="K437">IFERROR(_xlfn.LET(
_xlpm.CSVVal,_xlfn.XLOOKUP($A437,CSV!$A:$A,CSV!M:M,""),
_xlpm.MacVal,_xlfn.XLOOKUP($A437,Output_Mac!$A:$A,Output_Mac!L:L,""),
_xlpm.MyAuditVal,_xlfn.XLOOKUP($A437,My_Audit!$A:$A,My_Audit!J:J,""),
_xlfn.IFS(_xlpm.MyAuditVal&lt;&gt;"",UPPER(_xlpm.MyAuditVal),_xlpm.MacVal&lt;&gt;"",_xlpm.MacVal,_xlpm.CSVVal&lt;&gt;"",_xlpm.CSVVal
)),"")</f>
        <v/>
      </c>
      <c r="L437" s="54" t="str" cm="1">
        <f t="array" ref="L437">IFERROR(_xlfn.LET(
_xlpm.CSVVal,_xlfn.XLOOKUP($A437,CSV!$A:$A,CSV!O:O,""),
_xlpm.MacVal,_xlfn.XLOOKUP($A437,Output_Mac!$A:$A,Output_Mac!M:M,""),
_xlpm.MyAuditVal,_xlfn.XLOOKUP($A437,My_Audit!$A:$A,My_Audit!K:K,""),
_xlfn.IFS(_xlpm.MyAuditVal&lt;&gt;"",UPPER(_xlpm.MyAuditVal),_xlpm.MacVal&lt;&gt;"",_xlpm.MacVal,_xlpm.CSVVal&lt;&gt;"",_xlpm.CSVVal
)),"")</f>
        <v/>
      </c>
      <c r="M437" s="54" t="str">
        <f>_xlfn.LET(
    _xlpm.CSVVal, _xlfn.XLOOKUP($A437, CSV!$A:$A, CSV!AD:AD, ""),
    _xlpm.MacVal, _xlfn.XLOOKUP($A437, Output_Mac!$A:$A, Output_Mac!S:S, ""),
    _xlpm.MyAuditVal, _xlfn.XLOOKUP($A437, My_Audit!$A:$A, My_Audit!N:N, ""),
    _xlfn.TEXTJOIN(", ", TRUE, _xlpm.MyAuditVal, _xlpm.MacVal, _xlpm.CSVVal)
)</f>
        <v/>
      </c>
      <c r="N437" s="54" t="str" cm="1">
        <f t="array" ref="N437">IFERROR(_xlfn.LET(
_xlpm.CSVVal,_xlfn.XLOOKUP($A437,CSV!$A:$A,CSV!AF:AF,""),
_xlpm.MacVal,_xlfn.XLOOKUP($A437,Output_Mac!$A:$A,Output_Mac!U:U,""),
_xlpm.MyAuditVal,_xlfn.XLOOKUP($A437,My_Audit!$A:$A,My_Audit!O:O,""),
_xlfn.IFS(_xlpm.MyAuditVal&lt;&gt;"",UPPER(_xlpm.MyAuditVal),_xlpm.MacVal&lt;&gt;"",_xlpm.MacVal,_xlpm.CSVVal&lt;&gt;"",_xlpm.CSVVal
)),"")</f>
        <v/>
      </c>
      <c r="O437" s="54"/>
      <c r="P437" s="54"/>
      <c r="Q437" s="54"/>
      <c r="R437" s="54"/>
      <c r="S437" s="54"/>
      <c r="T437" s="54"/>
      <c r="U437" s="39"/>
    </row>
    <row r="438" spans="1:21">
      <c r="A438" s="54" t="str">
        <f>_xlfn.TEXTJOIN("",TRUE,Input!$B$2,ROW(My_Audit!A437))</f>
        <v>XX437</v>
      </c>
      <c r="B438" s="54" t="str">
        <f>_xlfn.TEXTJOIN("-",TRUE,"ITD",Input!$A$2,A438)</f>
        <v>ITD-SHRXXX-XX437</v>
      </c>
      <c r="C438" s="54" t="str" cm="1">
        <f t="array" ref="C438">IFERROR(_xlfn.LET(
_xlpm.CSVVal,_xlfn.XLOOKUP($A438,CSV!$A:$A,CSV!B:B,""),
_xlpm.MacVal,_xlfn.XLOOKUP($A438,Output_Mac!$A:$A,Output_Mac!B:B,""),
_xlpm.MyAuditVal,_xlfn.XLOOKUP($A438,My_Audit!$A:$A,My_Audit!B:B,""),
_xlfn.IFS(_xlpm.MyAuditVal&lt;&gt;"",UPPER(_xlpm.MyAuditVal),_xlpm.MacVal&lt;&gt;"",_xlpm.MacVal,_xlpm.CSVVal&lt;&gt;"",_xlpm.CSVVal
)),"")</f>
        <v/>
      </c>
      <c r="D438" s="55" t="str">
        <f>_xlfn.XLOOKUP(A438,My_Audit!A:A,My_Audit!D:D,"")&amp;""</f>
        <v/>
      </c>
      <c r="E438" s="55" t="str" cm="1">
        <f t="array" ref="E438">IFERROR(_xlfn.LET(
_xlpm.CSVVal,_xlfn.XLOOKUP($A438,CSV!$A:$A,CSV!D:D,""),
_xlpm.MacVal,_xlfn.XLOOKUP($A438,Output_Mac!$A:$A,Output_Mac!C:C,""),
_xlpm.MyAuditVal,_xlfn.XLOOKUP($A438,My_Audit!$A:$A,My_Audit!D:D,""),
_xlfn.IFS(_xlpm.MyAuditVal&lt;&gt;"",_xlpm.MyAuditVal,_xlpm.MacVal&lt;&gt;"",_xlpm.MacVal,_xlpm.CSVVal&lt;&gt;"",_xlpm.CSVVal
)),"")</f>
        <v/>
      </c>
      <c r="F438" s="54" t="str" cm="1">
        <f t="array" ref="F438">IFERROR(_xlfn.LET(
_xlpm.CSVVal,_xlfn.XLOOKUP($A438,CSV!$A:$A,CSV!E:E,""),
_xlpm.MacVal,_xlfn.XLOOKUP($A438,Output_Mac!$A:$A,Output_Mac!F:F,""),
_xlpm.MyAuditVal,_xlfn.XLOOKUP($A438,My_Audit!$A:$A,My_Audit!E:E,""),
_xlfn.IFS(_xlpm.MyAuditVal&lt;&gt;"",_xlpm.MyAuditVal,_xlpm.MacVal&lt;&gt;"",_xlpm.MacVal,_xlpm.CSVVal&lt;&gt;"",PROPER(_xlpm.CSVVal)
)),"")</f>
        <v/>
      </c>
      <c r="G438" s="54" t="str" cm="1">
        <f t="array" ref="G438">IFERROR(_xlfn.LET(
_xlpm.CSVVal,_xlfn.XLOOKUP($A438,CSV!$A:$A,CSV!F:F,""),
_xlpm.MacVal,_xlfn.XLOOKUP($A438,Output_Mac!$A:$A,Output_Mac!H:H,""),
_xlpm.MyAuditVal,_xlfn.XLOOKUP($A438,My_Audit!$A:$A,My_Audit!F:F,""),
_xlfn.IFS(_xlpm.MyAuditVal&lt;&gt;"",_xlpm.MyAuditVal,_xlpm.MacVal&lt;&gt;"",_xlpm.MacVal,_xlpm.CSVVal&lt;&gt;"",_xlpm.CSVVal
)),"")</f>
        <v/>
      </c>
      <c r="H438" s="54" t="str">
        <f>_xlfn.XLOOKUP(A438,Output_Mac!A:A,Output_Mac!I:I,"")</f>
        <v/>
      </c>
      <c r="I438" s="54" t="str" cm="1">
        <f t="array" ref="I438">IFERROR(_xlfn.LET(
_xlpm.CSVVal,_xlfn.XLOOKUP($A438,CSV!$A:$A,CSV!G:G,""),
_xlpm.MacVal,_xlfn.XLOOKUP($A438,Output_Mac!$A:$A,Output_Mac!J:J,""),
_xlpm.MyAuditVal,_xlfn.XLOOKUP($A438,My_Audit!$A:$A,My_Audit!H:H,""),
_xlfn.IFS(_xlpm.MyAuditVal&lt;&gt;"",UPPER(_xlpm.MyAuditVal),_xlpm.MacVal&lt;&gt;"",_xlpm.MacVal,_xlpm.CSVVal&lt;&gt;"",_xlpm.CSVVal
)),"")</f>
        <v/>
      </c>
      <c r="J438" s="54" t="str" cm="1">
        <f t="array" ref="J438">IFERROR(_xlfn.LET(
_xlpm.CSVVal,_xlfn.XLOOKUP($A438,CSV!$A:$A,CSV!I:I,""),
_xlpm.MacVal,_xlfn.XLOOKUP($A438,Output_Mac!$A:$A,Output_Mac!K:K,""),
_xlpm.MyAuditVal,_xlfn.XLOOKUP($A438,My_Audit!$A:$A,My_Audit!I:I,""),
_xlfn.IFS(_xlpm.MyAuditVal&lt;&gt;"",UPPER(_xlpm.MyAuditVal),_xlpm.MacVal&lt;&gt;"",_xlpm.MacVal,_xlpm.CSVVal&lt;&gt;"",_xlpm.CSVVal
)),"")</f>
        <v/>
      </c>
      <c r="K438" s="54" t="str" cm="1">
        <f t="array" ref="K438">IFERROR(_xlfn.LET(
_xlpm.CSVVal,_xlfn.XLOOKUP($A438,CSV!$A:$A,CSV!M:M,""),
_xlpm.MacVal,_xlfn.XLOOKUP($A438,Output_Mac!$A:$A,Output_Mac!L:L,""),
_xlpm.MyAuditVal,_xlfn.XLOOKUP($A438,My_Audit!$A:$A,My_Audit!J:J,""),
_xlfn.IFS(_xlpm.MyAuditVal&lt;&gt;"",UPPER(_xlpm.MyAuditVal),_xlpm.MacVal&lt;&gt;"",_xlpm.MacVal,_xlpm.CSVVal&lt;&gt;"",_xlpm.CSVVal
)),"")</f>
        <v/>
      </c>
      <c r="L438" s="54" t="str" cm="1">
        <f t="array" ref="L438">IFERROR(_xlfn.LET(
_xlpm.CSVVal,_xlfn.XLOOKUP($A438,CSV!$A:$A,CSV!O:O,""),
_xlpm.MacVal,_xlfn.XLOOKUP($A438,Output_Mac!$A:$A,Output_Mac!M:M,""),
_xlpm.MyAuditVal,_xlfn.XLOOKUP($A438,My_Audit!$A:$A,My_Audit!K:K,""),
_xlfn.IFS(_xlpm.MyAuditVal&lt;&gt;"",UPPER(_xlpm.MyAuditVal),_xlpm.MacVal&lt;&gt;"",_xlpm.MacVal,_xlpm.CSVVal&lt;&gt;"",_xlpm.CSVVal
)),"")</f>
        <v/>
      </c>
      <c r="M438" s="54" t="str">
        <f>_xlfn.LET(
    _xlpm.CSVVal, _xlfn.XLOOKUP($A438, CSV!$A:$A, CSV!AD:AD, ""),
    _xlpm.MacVal, _xlfn.XLOOKUP($A438, Output_Mac!$A:$A, Output_Mac!S:S, ""),
    _xlpm.MyAuditVal, _xlfn.XLOOKUP($A438, My_Audit!$A:$A, My_Audit!N:N, ""),
    _xlfn.TEXTJOIN(", ", TRUE, _xlpm.MyAuditVal, _xlpm.MacVal, _xlpm.CSVVal)
)</f>
        <v/>
      </c>
      <c r="N438" s="54" t="str" cm="1">
        <f t="array" ref="N438">IFERROR(_xlfn.LET(
_xlpm.CSVVal,_xlfn.XLOOKUP($A438,CSV!$A:$A,CSV!AF:AF,""),
_xlpm.MacVal,_xlfn.XLOOKUP($A438,Output_Mac!$A:$A,Output_Mac!U:U,""),
_xlpm.MyAuditVal,_xlfn.XLOOKUP($A438,My_Audit!$A:$A,My_Audit!O:O,""),
_xlfn.IFS(_xlpm.MyAuditVal&lt;&gt;"",UPPER(_xlpm.MyAuditVal),_xlpm.MacVal&lt;&gt;"",_xlpm.MacVal,_xlpm.CSVVal&lt;&gt;"",_xlpm.CSVVal
)),"")</f>
        <v/>
      </c>
      <c r="O438" s="54"/>
      <c r="P438" s="54"/>
      <c r="Q438" s="54"/>
      <c r="R438" s="54"/>
      <c r="S438" s="54"/>
      <c r="T438" s="54"/>
      <c r="U438" s="39"/>
    </row>
    <row r="439" spans="1:21">
      <c r="A439" s="54" t="str">
        <f>_xlfn.TEXTJOIN("",TRUE,Input!$B$2,ROW(My_Audit!A438))</f>
        <v>XX438</v>
      </c>
      <c r="B439" s="54" t="str">
        <f>_xlfn.TEXTJOIN("-",TRUE,"ITD",Input!$A$2,A439)</f>
        <v>ITD-SHRXXX-XX438</v>
      </c>
      <c r="C439" s="54" t="str" cm="1">
        <f t="array" ref="C439">IFERROR(_xlfn.LET(
_xlpm.CSVVal,_xlfn.XLOOKUP($A439,CSV!$A:$A,CSV!B:B,""),
_xlpm.MacVal,_xlfn.XLOOKUP($A439,Output_Mac!$A:$A,Output_Mac!B:B,""),
_xlpm.MyAuditVal,_xlfn.XLOOKUP($A439,My_Audit!$A:$A,My_Audit!B:B,""),
_xlfn.IFS(_xlpm.MyAuditVal&lt;&gt;"",UPPER(_xlpm.MyAuditVal),_xlpm.MacVal&lt;&gt;"",_xlpm.MacVal,_xlpm.CSVVal&lt;&gt;"",_xlpm.CSVVal
)),"")</f>
        <v/>
      </c>
      <c r="D439" s="55" t="str">
        <f>_xlfn.XLOOKUP(A439,My_Audit!A:A,My_Audit!D:D,"")&amp;""</f>
        <v/>
      </c>
      <c r="E439" s="55" t="str" cm="1">
        <f t="array" ref="E439">IFERROR(_xlfn.LET(
_xlpm.CSVVal,_xlfn.XLOOKUP($A439,CSV!$A:$A,CSV!D:D,""),
_xlpm.MacVal,_xlfn.XLOOKUP($A439,Output_Mac!$A:$A,Output_Mac!C:C,""),
_xlpm.MyAuditVal,_xlfn.XLOOKUP($A439,My_Audit!$A:$A,My_Audit!D:D,""),
_xlfn.IFS(_xlpm.MyAuditVal&lt;&gt;"",_xlpm.MyAuditVal,_xlpm.MacVal&lt;&gt;"",_xlpm.MacVal,_xlpm.CSVVal&lt;&gt;"",_xlpm.CSVVal
)),"")</f>
        <v/>
      </c>
      <c r="F439" s="54" t="str" cm="1">
        <f t="array" ref="F439">IFERROR(_xlfn.LET(
_xlpm.CSVVal,_xlfn.XLOOKUP($A439,CSV!$A:$A,CSV!E:E,""),
_xlpm.MacVal,_xlfn.XLOOKUP($A439,Output_Mac!$A:$A,Output_Mac!F:F,""),
_xlpm.MyAuditVal,_xlfn.XLOOKUP($A439,My_Audit!$A:$A,My_Audit!E:E,""),
_xlfn.IFS(_xlpm.MyAuditVal&lt;&gt;"",_xlpm.MyAuditVal,_xlpm.MacVal&lt;&gt;"",_xlpm.MacVal,_xlpm.CSVVal&lt;&gt;"",PROPER(_xlpm.CSVVal)
)),"")</f>
        <v/>
      </c>
      <c r="G439" s="54" t="str" cm="1">
        <f t="array" ref="G439">IFERROR(_xlfn.LET(
_xlpm.CSVVal,_xlfn.XLOOKUP($A439,CSV!$A:$A,CSV!F:F,""),
_xlpm.MacVal,_xlfn.XLOOKUP($A439,Output_Mac!$A:$A,Output_Mac!H:H,""),
_xlpm.MyAuditVal,_xlfn.XLOOKUP($A439,My_Audit!$A:$A,My_Audit!F:F,""),
_xlfn.IFS(_xlpm.MyAuditVal&lt;&gt;"",_xlpm.MyAuditVal,_xlpm.MacVal&lt;&gt;"",_xlpm.MacVal,_xlpm.CSVVal&lt;&gt;"",_xlpm.CSVVal
)),"")</f>
        <v/>
      </c>
      <c r="H439" s="54" t="str">
        <f>_xlfn.XLOOKUP(A439,Output_Mac!A:A,Output_Mac!I:I,"")</f>
        <v/>
      </c>
      <c r="I439" s="54" t="str" cm="1">
        <f t="array" ref="I439">IFERROR(_xlfn.LET(
_xlpm.CSVVal,_xlfn.XLOOKUP($A439,CSV!$A:$A,CSV!G:G,""),
_xlpm.MacVal,_xlfn.XLOOKUP($A439,Output_Mac!$A:$A,Output_Mac!J:J,""),
_xlpm.MyAuditVal,_xlfn.XLOOKUP($A439,My_Audit!$A:$A,My_Audit!H:H,""),
_xlfn.IFS(_xlpm.MyAuditVal&lt;&gt;"",UPPER(_xlpm.MyAuditVal),_xlpm.MacVal&lt;&gt;"",_xlpm.MacVal,_xlpm.CSVVal&lt;&gt;"",_xlpm.CSVVal
)),"")</f>
        <v/>
      </c>
      <c r="J439" s="54" t="str" cm="1">
        <f t="array" ref="J439">IFERROR(_xlfn.LET(
_xlpm.CSVVal,_xlfn.XLOOKUP($A439,CSV!$A:$A,CSV!I:I,""),
_xlpm.MacVal,_xlfn.XLOOKUP($A439,Output_Mac!$A:$A,Output_Mac!K:K,""),
_xlpm.MyAuditVal,_xlfn.XLOOKUP($A439,My_Audit!$A:$A,My_Audit!I:I,""),
_xlfn.IFS(_xlpm.MyAuditVal&lt;&gt;"",UPPER(_xlpm.MyAuditVal),_xlpm.MacVal&lt;&gt;"",_xlpm.MacVal,_xlpm.CSVVal&lt;&gt;"",_xlpm.CSVVal
)),"")</f>
        <v/>
      </c>
      <c r="K439" s="54" t="str" cm="1">
        <f t="array" ref="K439">IFERROR(_xlfn.LET(
_xlpm.CSVVal,_xlfn.XLOOKUP($A439,CSV!$A:$A,CSV!M:M,""),
_xlpm.MacVal,_xlfn.XLOOKUP($A439,Output_Mac!$A:$A,Output_Mac!L:L,""),
_xlpm.MyAuditVal,_xlfn.XLOOKUP($A439,My_Audit!$A:$A,My_Audit!J:J,""),
_xlfn.IFS(_xlpm.MyAuditVal&lt;&gt;"",UPPER(_xlpm.MyAuditVal),_xlpm.MacVal&lt;&gt;"",_xlpm.MacVal,_xlpm.CSVVal&lt;&gt;"",_xlpm.CSVVal
)),"")</f>
        <v/>
      </c>
      <c r="L439" s="54" t="str" cm="1">
        <f t="array" ref="L439">IFERROR(_xlfn.LET(
_xlpm.CSVVal,_xlfn.XLOOKUP($A439,CSV!$A:$A,CSV!O:O,""),
_xlpm.MacVal,_xlfn.XLOOKUP($A439,Output_Mac!$A:$A,Output_Mac!M:M,""),
_xlpm.MyAuditVal,_xlfn.XLOOKUP($A439,My_Audit!$A:$A,My_Audit!K:K,""),
_xlfn.IFS(_xlpm.MyAuditVal&lt;&gt;"",UPPER(_xlpm.MyAuditVal),_xlpm.MacVal&lt;&gt;"",_xlpm.MacVal,_xlpm.CSVVal&lt;&gt;"",_xlpm.CSVVal
)),"")</f>
        <v/>
      </c>
      <c r="M439" s="54" t="str">
        <f>_xlfn.LET(
    _xlpm.CSVVal, _xlfn.XLOOKUP($A439, CSV!$A:$A, CSV!AD:AD, ""),
    _xlpm.MacVal, _xlfn.XLOOKUP($A439, Output_Mac!$A:$A, Output_Mac!S:S, ""),
    _xlpm.MyAuditVal, _xlfn.XLOOKUP($A439, My_Audit!$A:$A, My_Audit!N:N, ""),
    _xlfn.TEXTJOIN(", ", TRUE, _xlpm.MyAuditVal, _xlpm.MacVal, _xlpm.CSVVal)
)</f>
        <v/>
      </c>
      <c r="N439" s="54" t="str" cm="1">
        <f t="array" ref="N439">IFERROR(_xlfn.LET(
_xlpm.CSVVal,_xlfn.XLOOKUP($A439,CSV!$A:$A,CSV!AF:AF,""),
_xlpm.MacVal,_xlfn.XLOOKUP($A439,Output_Mac!$A:$A,Output_Mac!U:U,""),
_xlpm.MyAuditVal,_xlfn.XLOOKUP($A439,My_Audit!$A:$A,My_Audit!O:O,""),
_xlfn.IFS(_xlpm.MyAuditVal&lt;&gt;"",UPPER(_xlpm.MyAuditVal),_xlpm.MacVal&lt;&gt;"",_xlpm.MacVal,_xlpm.CSVVal&lt;&gt;"",_xlpm.CSVVal
)),"")</f>
        <v/>
      </c>
      <c r="O439" s="54"/>
      <c r="P439" s="54"/>
      <c r="Q439" s="54"/>
      <c r="R439" s="54"/>
      <c r="S439" s="54"/>
      <c r="T439" s="54"/>
      <c r="U439" s="39"/>
    </row>
    <row r="440" spans="1:21">
      <c r="A440" s="54" t="str">
        <f>_xlfn.TEXTJOIN("",TRUE,Input!$B$2,ROW(My_Audit!A439))</f>
        <v>XX439</v>
      </c>
      <c r="B440" s="54" t="str">
        <f>_xlfn.TEXTJOIN("-",TRUE,"ITD",Input!$A$2,A440)</f>
        <v>ITD-SHRXXX-XX439</v>
      </c>
      <c r="C440" s="54" t="str" cm="1">
        <f t="array" ref="C440">IFERROR(_xlfn.LET(
_xlpm.CSVVal,_xlfn.XLOOKUP($A440,CSV!$A:$A,CSV!B:B,""),
_xlpm.MacVal,_xlfn.XLOOKUP($A440,Output_Mac!$A:$A,Output_Mac!B:B,""),
_xlpm.MyAuditVal,_xlfn.XLOOKUP($A440,My_Audit!$A:$A,My_Audit!B:B,""),
_xlfn.IFS(_xlpm.MyAuditVal&lt;&gt;"",UPPER(_xlpm.MyAuditVal),_xlpm.MacVal&lt;&gt;"",_xlpm.MacVal,_xlpm.CSVVal&lt;&gt;"",_xlpm.CSVVal
)),"")</f>
        <v/>
      </c>
      <c r="D440" s="55" t="str">
        <f>_xlfn.XLOOKUP(A440,My_Audit!A:A,My_Audit!D:D,"")&amp;""</f>
        <v/>
      </c>
      <c r="E440" s="55" t="str" cm="1">
        <f t="array" ref="E440">IFERROR(_xlfn.LET(
_xlpm.CSVVal,_xlfn.XLOOKUP($A440,CSV!$A:$A,CSV!D:D,""),
_xlpm.MacVal,_xlfn.XLOOKUP($A440,Output_Mac!$A:$A,Output_Mac!C:C,""),
_xlpm.MyAuditVal,_xlfn.XLOOKUP($A440,My_Audit!$A:$A,My_Audit!D:D,""),
_xlfn.IFS(_xlpm.MyAuditVal&lt;&gt;"",_xlpm.MyAuditVal,_xlpm.MacVal&lt;&gt;"",_xlpm.MacVal,_xlpm.CSVVal&lt;&gt;"",_xlpm.CSVVal
)),"")</f>
        <v/>
      </c>
      <c r="F440" s="54" t="str" cm="1">
        <f t="array" ref="F440">IFERROR(_xlfn.LET(
_xlpm.CSVVal,_xlfn.XLOOKUP($A440,CSV!$A:$A,CSV!E:E,""),
_xlpm.MacVal,_xlfn.XLOOKUP($A440,Output_Mac!$A:$A,Output_Mac!F:F,""),
_xlpm.MyAuditVal,_xlfn.XLOOKUP($A440,My_Audit!$A:$A,My_Audit!E:E,""),
_xlfn.IFS(_xlpm.MyAuditVal&lt;&gt;"",_xlpm.MyAuditVal,_xlpm.MacVal&lt;&gt;"",_xlpm.MacVal,_xlpm.CSVVal&lt;&gt;"",PROPER(_xlpm.CSVVal)
)),"")</f>
        <v/>
      </c>
      <c r="G440" s="54" t="str" cm="1">
        <f t="array" ref="G440">IFERROR(_xlfn.LET(
_xlpm.CSVVal,_xlfn.XLOOKUP($A440,CSV!$A:$A,CSV!F:F,""),
_xlpm.MacVal,_xlfn.XLOOKUP($A440,Output_Mac!$A:$A,Output_Mac!H:H,""),
_xlpm.MyAuditVal,_xlfn.XLOOKUP($A440,My_Audit!$A:$A,My_Audit!F:F,""),
_xlfn.IFS(_xlpm.MyAuditVal&lt;&gt;"",_xlpm.MyAuditVal,_xlpm.MacVal&lt;&gt;"",_xlpm.MacVal,_xlpm.CSVVal&lt;&gt;"",_xlpm.CSVVal
)),"")</f>
        <v/>
      </c>
      <c r="H440" s="54" t="str">
        <f>_xlfn.XLOOKUP(A440,Output_Mac!A:A,Output_Mac!I:I,"")</f>
        <v/>
      </c>
      <c r="I440" s="54" t="str" cm="1">
        <f t="array" ref="I440">IFERROR(_xlfn.LET(
_xlpm.CSVVal,_xlfn.XLOOKUP($A440,CSV!$A:$A,CSV!G:G,""),
_xlpm.MacVal,_xlfn.XLOOKUP($A440,Output_Mac!$A:$A,Output_Mac!J:J,""),
_xlpm.MyAuditVal,_xlfn.XLOOKUP($A440,My_Audit!$A:$A,My_Audit!H:H,""),
_xlfn.IFS(_xlpm.MyAuditVal&lt;&gt;"",UPPER(_xlpm.MyAuditVal),_xlpm.MacVal&lt;&gt;"",_xlpm.MacVal,_xlpm.CSVVal&lt;&gt;"",_xlpm.CSVVal
)),"")</f>
        <v/>
      </c>
      <c r="J440" s="54" t="str" cm="1">
        <f t="array" ref="J440">IFERROR(_xlfn.LET(
_xlpm.CSVVal,_xlfn.XLOOKUP($A440,CSV!$A:$A,CSV!I:I,""),
_xlpm.MacVal,_xlfn.XLOOKUP($A440,Output_Mac!$A:$A,Output_Mac!K:K,""),
_xlpm.MyAuditVal,_xlfn.XLOOKUP($A440,My_Audit!$A:$A,My_Audit!I:I,""),
_xlfn.IFS(_xlpm.MyAuditVal&lt;&gt;"",UPPER(_xlpm.MyAuditVal),_xlpm.MacVal&lt;&gt;"",_xlpm.MacVal,_xlpm.CSVVal&lt;&gt;"",_xlpm.CSVVal
)),"")</f>
        <v/>
      </c>
      <c r="K440" s="54" t="str" cm="1">
        <f t="array" ref="K440">IFERROR(_xlfn.LET(
_xlpm.CSVVal,_xlfn.XLOOKUP($A440,CSV!$A:$A,CSV!M:M,""),
_xlpm.MacVal,_xlfn.XLOOKUP($A440,Output_Mac!$A:$A,Output_Mac!L:L,""),
_xlpm.MyAuditVal,_xlfn.XLOOKUP($A440,My_Audit!$A:$A,My_Audit!J:J,""),
_xlfn.IFS(_xlpm.MyAuditVal&lt;&gt;"",UPPER(_xlpm.MyAuditVal),_xlpm.MacVal&lt;&gt;"",_xlpm.MacVal,_xlpm.CSVVal&lt;&gt;"",_xlpm.CSVVal
)),"")</f>
        <v/>
      </c>
      <c r="L440" s="54" t="str" cm="1">
        <f t="array" ref="L440">IFERROR(_xlfn.LET(
_xlpm.CSVVal,_xlfn.XLOOKUP($A440,CSV!$A:$A,CSV!O:O,""),
_xlpm.MacVal,_xlfn.XLOOKUP($A440,Output_Mac!$A:$A,Output_Mac!M:M,""),
_xlpm.MyAuditVal,_xlfn.XLOOKUP($A440,My_Audit!$A:$A,My_Audit!K:K,""),
_xlfn.IFS(_xlpm.MyAuditVal&lt;&gt;"",UPPER(_xlpm.MyAuditVal),_xlpm.MacVal&lt;&gt;"",_xlpm.MacVal,_xlpm.CSVVal&lt;&gt;"",_xlpm.CSVVal
)),"")</f>
        <v/>
      </c>
      <c r="M440" s="54" t="str">
        <f>_xlfn.LET(
    _xlpm.CSVVal, _xlfn.XLOOKUP($A440, CSV!$A:$A, CSV!AD:AD, ""),
    _xlpm.MacVal, _xlfn.XLOOKUP($A440, Output_Mac!$A:$A, Output_Mac!S:S, ""),
    _xlpm.MyAuditVal, _xlfn.XLOOKUP($A440, My_Audit!$A:$A, My_Audit!N:N, ""),
    _xlfn.TEXTJOIN(", ", TRUE, _xlpm.MyAuditVal, _xlpm.MacVal, _xlpm.CSVVal)
)</f>
        <v/>
      </c>
      <c r="N440" s="54" t="str" cm="1">
        <f t="array" ref="N440">IFERROR(_xlfn.LET(
_xlpm.CSVVal,_xlfn.XLOOKUP($A440,CSV!$A:$A,CSV!AF:AF,""),
_xlpm.MacVal,_xlfn.XLOOKUP($A440,Output_Mac!$A:$A,Output_Mac!U:U,""),
_xlpm.MyAuditVal,_xlfn.XLOOKUP($A440,My_Audit!$A:$A,My_Audit!O:O,""),
_xlfn.IFS(_xlpm.MyAuditVal&lt;&gt;"",UPPER(_xlpm.MyAuditVal),_xlpm.MacVal&lt;&gt;"",_xlpm.MacVal,_xlpm.CSVVal&lt;&gt;"",_xlpm.CSVVal
)),"")</f>
        <v/>
      </c>
      <c r="O440" s="54"/>
      <c r="P440" s="54"/>
      <c r="Q440" s="54"/>
      <c r="R440" s="54"/>
      <c r="S440" s="54"/>
      <c r="T440" s="54"/>
      <c r="U440" s="39"/>
    </row>
    <row r="441" spans="1:21">
      <c r="A441" s="54" t="str">
        <f>_xlfn.TEXTJOIN("",TRUE,Input!$B$2,ROW(My_Audit!A440))</f>
        <v>XX440</v>
      </c>
      <c r="B441" s="54" t="str">
        <f>_xlfn.TEXTJOIN("-",TRUE,"ITD",Input!$A$2,A441)</f>
        <v>ITD-SHRXXX-XX440</v>
      </c>
      <c r="C441" s="54" t="str" cm="1">
        <f t="array" ref="C441">IFERROR(_xlfn.LET(
_xlpm.CSVVal,_xlfn.XLOOKUP($A441,CSV!$A:$A,CSV!B:B,""),
_xlpm.MacVal,_xlfn.XLOOKUP($A441,Output_Mac!$A:$A,Output_Mac!B:B,""),
_xlpm.MyAuditVal,_xlfn.XLOOKUP($A441,My_Audit!$A:$A,My_Audit!B:B,""),
_xlfn.IFS(_xlpm.MyAuditVal&lt;&gt;"",UPPER(_xlpm.MyAuditVal),_xlpm.MacVal&lt;&gt;"",_xlpm.MacVal,_xlpm.CSVVal&lt;&gt;"",_xlpm.CSVVal
)),"")</f>
        <v/>
      </c>
      <c r="D441" s="55" t="str">
        <f>_xlfn.XLOOKUP(A441,My_Audit!A:A,My_Audit!D:D,"")&amp;""</f>
        <v/>
      </c>
      <c r="E441" s="55" t="str" cm="1">
        <f t="array" ref="E441">IFERROR(_xlfn.LET(
_xlpm.CSVVal,_xlfn.XLOOKUP($A441,CSV!$A:$A,CSV!D:D,""),
_xlpm.MacVal,_xlfn.XLOOKUP($A441,Output_Mac!$A:$A,Output_Mac!C:C,""),
_xlpm.MyAuditVal,_xlfn.XLOOKUP($A441,My_Audit!$A:$A,My_Audit!D:D,""),
_xlfn.IFS(_xlpm.MyAuditVal&lt;&gt;"",_xlpm.MyAuditVal,_xlpm.MacVal&lt;&gt;"",_xlpm.MacVal,_xlpm.CSVVal&lt;&gt;"",_xlpm.CSVVal
)),"")</f>
        <v/>
      </c>
      <c r="F441" s="54" t="str" cm="1">
        <f t="array" ref="F441">IFERROR(_xlfn.LET(
_xlpm.CSVVal,_xlfn.XLOOKUP($A441,CSV!$A:$A,CSV!E:E,""),
_xlpm.MacVal,_xlfn.XLOOKUP($A441,Output_Mac!$A:$A,Output_Mac!F:F,""),
_xlpm.MyAuditVal,_xlfn.XLOOKUP($A441,My_Audit!$A:$A,My_Audit!E:E,""),
_xlfn.IFS(_xlpm.MyAuditVal&lt;&gt;"",_xlpm.MyAuditVal,_xlpm.MacVal&lt;&gt;"",_xlpm.MacVal,_xlpm.CSVVal&lt;&gt;"",PROPER(_xlpm.CSVVal)
)),"")</f>
        <v/>
      </c>
      <c r="G441" s="54" t="str" cm="1">
        <f t="array" ref="G441">IFERROR(_xlfn.LET(
_xlpm.CSVVal,_xlfn.XLOOKUP($A441,CSV!$A:$A,CSV!F:F,""),
_xlpm.MacVal,_xlfn.XLOOKUP($A441,Output_Mac!$A:$A,Output_Mac!H:H,""),
_xlpm.MyAuditVal,_xlfn.XLOOKUP($A441,My_Audit!$A:$A,My_Audit!F:F,""),
_xlfn.IFS(_xlpm.MyAuditVal&lt;&gt;"",_xlpm.MyAuditVal,_xlpm.MacVal&lt;&gt;"",_xlpm.MacVal,_xlpm.CSVVal&lt;&gt;"",_xlpm.CSVVal
)),"")</f>
        <v/>
      </c>
      <c r="H441" s="54" t="str">
        <f>_xlfn.XLOOKUP(A441,Output_Mac!A:A,Output_Mac!I:I,"")</f>
        <v/>
      </c>
      <c r="I441" s="54" t="str" cm="1">
        <f t="array" ref="I441">IFERROR(_xlfn.LET(
_xlpm.CSVVal,_xlfn.XLOOKUP($A441,CSV!$A:$A,CSV!G:G,""),
_xlpm.MacVal,_xlfn.XLOOKUP($A441,Output_Mac!$A:$A,Output_Mac!J:J,""),
_xlpm.MyAuditVal,_xlfn.XLOOKUP($A441,My_Audit!$A:$A,My_Audit!H:H,""),
_xlfn.IFS(_xlpm.MyAuditVal&lt;&gt;"",UPPER(_xlpm.MyAuditVal),_xlpm.MacVal&lt;&gt;"",_xlpm.MacVal,_xlpm.CSVVal&lt;&gt;"",_xlpm.CSVVal
)),"")</f>
        <v/>
      </c>
      <c r="J441" s="54" t="str" cm="1">
        <f t="array" ref="J441">IFERROR(_xlfn.LET(
_xlpm.CSVVal,_xlfn.XLOOKUP($A441,CSV!$A:$A,CSV!I:I,""),
_xlpm.MacVal,_xlfn.XLOOKUP($A441,Output_Mac!$A:$A,Output_Mac!K:K,""),
_xlpm.MyAuditVal,_xlfn.XLOOKUP($A441,My_Audit!$A:$A,My_Audit!I:I,""),
_xlfn.IFS(_xlpm.MyAuditVal&lt;&gt;"",UPPER(_xlpm.MyAuditVal),_xlpm.MacVal&lt;&gt;"",_xlpm.MacVal,_xlpm.CSVVal&lt;&gt;"",_xlpm.CSVVal
)),"")</f>
        <v/>
      </c>
      <c r="K441" s="54" t="str" cm="1">
        <f t="array" ref="K441">IFERROR(_xlfn.LET(
_xlpm.CSVVal,_xlfn.XLOOKUP($A441,CSV!$A:$A,CSV!M:M,""),
_xlpm.MacVal,_xlfn.XLOOKUP($A441,Output_Mac!$A:$A,Output_Mac!L:L,""),
_xlpm.MyAuditVal,_xlfn.XLOOKUP($A441,My_Audit!$A:$A,My_Audit!J:J,""),
_xlfn.IFS(_xlpm.MyAuditVal&lt;&gt;"",UPPER(_xlpm.MyAuditVal),_xlpm.MacVal&lt;&gt;"",_xlpm.MacVal,_xlpm.CSVVal&lt;&gt;"",_xlpm.CSVVal
)),"")</f>
        <v/>
      </c>
      <c r="L441" s="54" t="str" cm="1">
        <f t="array" ref="L441">IFERROR(_xlfn.LET(
_xlpm.CSVVal,_xlfn.XLOOKUP($A441,CSV!$A:$A,CSV!O:O,""),
_xlpm.MacVal,_xlfn.XLOOKUP($A441,Output_Mac!$A:$A,Output_Mac!M:M,""),
_xlpm.MyAuditVal,_xlfn.XLOOKUP($A441,My_Audit!$A:$A,My_Audit!K:K,""),
_xlfn.IFS(_xlpm.MyAuditVal&lt;&gt;"",UPPER(_xlpm.MyAuditVal),_xlpm.MacVal&lt;&gt;"",_xlpm.MacVal,_xlpm.CSVVal&lt;&gt;"",_xlpm.CSVVal
)),"")</f>
        <v/>
      </c>
      <c r="M441" s="54" t="str">
        <f>_xlfn.LET(
    _xlpm.CSVVal, _xlfn.XLOOKUP($A441, CSV!$A:$A, CSV!AD:AD, ""),
    _xlpm.MacVal, _xlfn.XLOOKUP($A441, Output_Mac!$A:$A, Output_Mac!S:S, ""),
    _xlpm.MyAuditVal, _xlfn.XLOOKUP($A441, My_Audit!$A:$A, My_Audit!N:N, ""),
    _xlfn.TEXTJOIN(", ", TRUE, _xlpm.MyAuditVal, _xlpm.MacVal, _xlpm.CSVVal)
)</f>
        <v/>
      </c>
      <c r="N441" s="54" t="str" cm="1">
        <f t="array" ref="N441">IFERROR(_xlfn.LET(
_xlpm.CSVVal,_xlfn.XLOOKUP($A441,CSV!$A:$A,CSV!AF:AF,""),
_xlpm.MacVal,_xlfn.XLOOKUP($A441,Output_Mac!$A:$A,Output_Mac!U:U,""),
_xlpm.MyAuditVal,_xlfn.XLOOKUP($A441,My_Audit!$A:$A,My_Audit!O:O,""),
_xlfn.IFS(_xlpm.MyAuditVal&lt;&gt;"",UPPER(_xlpm.MyAuditVal),_xlpm.MacVal&lt;&gt;"",_xlpm.MacVal,_xlpm.CSVVal&lt;&gt;"",_xlpm.CSVVal
)),"")</f>
        <v/>
      </c>
      <c r="O441" s="54"/>
      <c r="P441" s="54"/>
      <c r="Q441" s="54"/>
      <c r="R441" s="54"/>
      <c r="S441" s="54"/>
      <c r="T441" s="54"/>
      <c r="U441" s="39"/>
    </row>
    <row r="442" spans="1:21">
      <c r="A442" s="54" t="str">
        <f>_xlfn.TEXTJOIN("",TRUE,Input!$B$2,ROW(My_Audit!A441))</f>
        <v>XX441</v>
      </c>
      <c r="B442" s="54" t="str">
        <f>_xlfn.TEXTJOIN("-",TRUE,"ITD",Input!$A$2,A442)</f>
        <v>ITD-SHRXXX-XX441</v>
      </c>
      <c r="C442" s="54" t="str" cm="1">
        <f t="array" ref="C442">IFERROR(_xlfn.LET(
_xlpm.CSVVal,_xlfn.XLOOKUP($A442,CSV!$A:$A,CSV!B:B,""),
_xlpm.MacVal,_xlfn.XLOOKUP($A442,Output_Mac!$A:$A,Output_Mac!B:B,""),
_xlpm.MyAuditVal,_xlfn.XLOOKUP($A442,My_Audit!$A:$A,My_Audit!B:B,""),
_xlfn.IFS(_xlpm.MyAuditVal&lt;&gt;"",UPPER(_xlpm.MyAuditVal),_xlpm.MacVal&lt;&gt;"",_xlpm.MacVal,_xlpm.CSVVal&lt;&gt;"",_xlpm.CSVVal
)),"")</f>
        <v/>
      </c>
      <c r="D442" s="55" t="str">
        <f>_xlfn.XLOOKUP(A442,My_Audit!A:A,My_Audit!D:D,"")&amp;""</f>
        <v/>
      </c>
      <c r="E442" s="55" t="str" cm="1">
        <f t="array" ref="E442">IFERROR(_xlfn.LET(
_xlpm.CSVVal,_xlfn.XLOOKUP($A442,CSV!$A:$A,CSV!D:D,""),
_xlpm.MacVal,_xlfn.XLOOKUP($A442,Output_Mac!$A:$A,Output_Mac!C:C,""),
_xlpm.MyAuditVal,_xlfn.XLOOKUP($A442,My_Audit!$A:$A,My_Audit!D:D,""),
_xlfn.IFS(_xlpm.MyAuditVal&lt;&gt;"",_xlpm.MyAuditVal,_xlpm.MacVal&lt;&gt;"",_xlpm.MacVal,_xlpm.CSVVal&lt;&gt;"",_xlpm.CSVVal
)),"")</f>
        <v/>
      </c>
      <c r="F442" s="54" t="str" cm="1">
        <f t="array" ref="F442">IFERROR(_xlfn.LET(
_xlpm.CSVVal,_xlfn.XLOOKUP($A442,CSV!$A:$A,CSV!E:E,""),
_xlpm.MacVal,_xlfn.XLOOKUP($A442,Output_Mac!$A:$A,Output_Mac!F:F,""),
_xlpm.MyAuditVal,_xlfn.XLOOKUP($A442,My_Audit!$A:$A,My_Audit!E:E,""),
_xlfn.IFS(_xlpm.MyAuditVal&lt;&gt;"",_xlpm.MyAuditVal,_xlpm.MacVal&lt;&gt;"",_xlpm.MacVal,_xlpm.CSVVal&lt;&gt;"",PROPER(_xlpm.CSVVal)
)),"")</f>
        <v/>
      </c>
      <c r="G442" s="54" t="str" cm="1">
        <f t="array" ref="G442">IFERROR(_xlfn.LET(
_xlpm.CSVVal,_xlfn.XLOOKUP($A442,CSV!$A:$A,CSV!F:F,""),
_xlpm.MacVal,_xlfn.XLOOKUP($A442,Output_Mac!$A:$A,Output_Mac!H:H,""),
_xlpm.MyAuditVal,_xlfn.XLOOKUP($A442,My_Audit!$A:$A,My_Audit!F:F,""),
_xlfn.IFS(_xlpm.MyAuditVal&lt;&gt;"",_xlpm.MyAuditVal,_xlpm.MacVal&lt;&gt;"",_xlpm.MacVal,_xlpm.CSVVal&lt;&gt;"",_xlpm.CSVVal
)),"")</f>
        <v/>
      </c>
      <c r="H442" s="54" t="str">
        <f>_xlfn.XLOOKUP(A442,Output_Mac!A:A,Output_Mac!I:I,"")</f>
        <v/>
      </c>
      <c r="I442" s="54" t="str" cm="1">
        <f t="array" ref="I442">IFERROR(_xlfn.LET(
_xlpm.CSVVal,_xlfn.XLOOKUP($A442,CSV!$A:$A,CSV!G:G,""),
_xlpm.MacVal,_xlfn.XLOOKUP($A442,Output_Mac!$A:$A,Output_Mac!J:J,""),
_xlpm.MyAuditVal,_xlfn.XLOOKUP($A442,My_Audit!$A:$A,My_Audit!H:H,""),
_xlfn.IFS(_xlpm.MyAuditVal&lt;&gt;"",UPPER(_xlpm.MyAuditVal),_xlpm.MacVal&lt;&gt;"",_xlpm.MacVal,_xlpm.CSVVal&lt;&gt;"",_xlpm.CSVVal
)),"")</f>
        <v/>
      </c>
      <c r="J442" s="54" t="str" cm="1">
        <f t="array" ref="J442">IFERROR(_xlfn.LET(
_xlpm.CSVVal,_xlfn.XLOOKUP($A442,CSV!$A:$A,CSV!I:I,""),
_xlpm.MacVal,_xlfn.XLOOKUP($A442,Output_Mac!$A:$A,Output_Mac!K:K,""),
_xlpm.MyAuditVal,_xlfn.XLOOKUP($A442,My_Audit!$A:$A,My_Audit!I:I,""),
_xlfn.IFS(_xlpm.MyAuditVal&lt;&gt;"",UPPER(_xlpm.MyAuditVal),_xlpm.MacVal&lt;&gt;"",_xlpm.MacVal,_xlpm.CSVVal&lt;&gt;"",_xlpm.CSVVal
)),"")</f>
        <v/>
      </c>
      <c r="K442" s="54" t="str" cm="1">
        <f t="array" ref="K442">IFERROR(_xlfn.LET(
_xlpm.CSVVal,_xlfn.XLOOKUP($A442,CSV!$A:$A,CSV!M:M,""),
_xlpm.MacVal,_xlfn.XLOOKUP($A442,Output_Mac!$A:$A,Output_Mac!L:L,""),
_xlpm.MyAuditVal,_xlfn.XLOOKUP($A442,My_Audit!$A:$A,My_Audit!J:J,""),
_xlfn.IFS(_xlpm.MyAuditVal&lt;&gt;"",UPPER(_xlpm.MyAuditVal),_xlpm.MacVal&lt;&gt;"",_xlpm.MacVal,_xlpm.CSVVal&lt;&gt;"",_xlpm.CSVVal
)),"")</f>
        <v/>
      </c>
      <c r="L442" s="54" t="str" cm="1">
        <f t="array" ref="L442">IFERROR(_xlfn.LET(
_xlpm.CSVVal,_xlfn.XLOOKUP($A442,CSV!$A:$A,CSV!O:O,""),
_xlpm.MacVal,_xlfn.XLOOKUP($A442,Output_Mac!$A:$A,Output_Mac!M:M,""),
_xlpm.MyAuditVal,_xlfn.XLOOKUP($A442,My_Audit!$A:$A,My_Audit!K:K,""),
_xlfn.IFS(_xlpm.MyAuditVal&lt;&gt;"",UPPER(_xlpm.MyAuditVal),_xlpm.MacVal&lt;&gt;"",_xlpm.MacVal,_xlpm.CSVVal&lt;&gt;"",_xlpm.CSVVal
)),"")</f>
        <v/>
      </c>
      <c r="M442" s="54" t="str">
        <f>_xlfn.LET(
    _xlpm.CSVVal, _xlfn.XLOOKUP($A442, CSV!$A:$A, CSV!AD:AD, ""),
    _xlpm.MacVal, _xlfn.XLOOKUP($A442, Output_Mac!$A:$A, Output_Mac!S:S, ""),
    _xlpm.MyAuditVal, _xlfn.XLOOKUP($A442, My_Audit!$A:$A, My_Audit!N:N, ""),
    _xlfn.TEXTJOIN(", ", TRUE, _xlpm.MyAuditVal, _xlpm.MacVal, _xlpm.CSVVal)
)</f>
        <v/>
      </c>
      <c r="N442" s="54" t="str" cm="1">
        <f t="array" ref="N442">IFERROR(_xlfn.LET(
_xlpm.CSVVal,_xlfn.XLOOKUP($A442,CSV!$A:$A,CSV!AF:AF,""),
_xlpm.MacVal,_xlfn.XLOOKUP($A442,Output_Mac!$A:$A,Output_Mac!U:U,""),
_xlpm.MyAuditVal,_xlfn.XLOOKUP($A442,My_Audit!$A:$A,My_Audit!O:O,""),
_xlfn.IFS(_xlpm.MyAuditVal&lt;&gt;"",UPPER(_xlpm.MyAuditVal),_xlpm.MacVal&lt;&gt;"",_xlpm.MacVal,_xlpm.CSVVal&lt;&gt;"",_xlpm.CSVVal
)),"")</f>
        <v/>
      </c>
      <c r="O442" s="54"/>
      <c r="P442" s="54"/>
      <c r="Q442" s="54"/>
      <c r="R442" s="54"/>
      <c r="S442" s="54"/>
      <c r="T442" s="54"/>
      <c r="U442" s="39"/>
    </row>
    <row r="443" spans="1:21">
      <c r="A443" s="54" t="str">
        <f>_xlfn.TEXTJOIN("",TRUE,Input!$B$2,ROW(My_Audit!A442))</f>
        <v>XX442</v>
      </c>
      <c r="B443" s="54" t="str">
        <f>_xlfn.TEXTJOIN("-",TRUE,"ITD",Input!$A$2,A443)</f>
        <v>ITD-SHRXXX-XX442</v>
      </c>
      <c r="C443" s="54" t="str" cm="1">
        <f t="array" ref="C443">IFERROR(_xlfn.LET(
_xlpm.CSVVal,_xlfn.XLOOKUP($A443,CSV!$A:$A,CSV!B:B,""),
_xlpm.MacVal,_xlfn.XLOOKUP($A443,Output_Mac!$A:$A,Output_Mac!B:B,""),
_xlpm.MyAuditVal,_xlfn.XLOOKUP($A443,My_Audit!$A:$A,My_Audit!B:B,""),
_xlfn.IFS(_xlpm.MyAuditVal&lt;&gt;"",UPPER(_xlpm.MyAuditVal),_xlpm.MacVal&lt;&gt;"",_xlpm.MacVal,_xlpm.CSVVal&lt;&gt;"",_xlpm.CSVVal
)),"")</f>
        <v/>
      </c>
      <c r="D443" s="55" t="str">
        <f>_xlfn.XLOOKUP(A443,My_Audit!A:A,My_Audit!D:D,"")&amp;""</f>
        <v/>
      </c>
      <c r="E443" s="55" t="str" cm="1">
        <f t="array" ref="E443">IFERROR(_xlfn.LET(
_xlpm.CSVVal,_xlfn.XLOOKUP($A443,CSV!$A:$A,CSV!D:D,""),
_xlpm.MacVal,_xlfn.XLOOKUP($A443,Output_Mac!$A:$A,Output_Mac!C:C,""),
_xlpm.MyAuditVal,_xlfn.XLOOKUP($A443,My_Audit!$A:$A,My_Audit!D:D,""),
_xlfn.IFS(_xlpm.MyAuditVal&lt;&gt;"",_xlpm.MyAuditVal,_xlpm.MacVal&lt;&gt;"",_xlpm.MacVal,_xlpm.CSVVal&lt;&gt;"",_xlpm.CSVVal
)),"")</f>
        <v/>
      </c>
      <c r="F443" s="54" t="str" cm="1">
        <f t="array" ref="F443">IFERROR(_xlfn.LET(
_xlpm.CSVVal,_xlfn.XLOOKUP($A443,CSV!$A:$A,CSV!E:E,""),
_xlpm.MacVal,_xlfn.XLOOKUP($A443,Output_Mac!$A:$A,Output_Mac!F:F,""),
_xlpm.MyAuditVal,_xlfn.XLOOKUP($A443,My_Audit!$A:$A,My_Audit!E:E,""),
_xlfn.IFS(_xlpm.MyAuditVal&lt;&gt;"",_xlpm.MyAuditVal,_xlpm.MacVal&lt;&gt;"",_xlpm.MacVal,_xlpm.CSVVal&lt;&gt;"",PROPER(_xlpm.CSVVal)
)),"")</f>
        <v/>
      </c>
      <c r="G443" s="54" t="str" cm="1">
        <f t="array" ref="G443">IFERROR(_xlfn.LET(
_xlpm.CSVVal,_xlfn.XLOOKUP($A443,CSV!$A:$A,CSV!F:F,""),
_xlpm.MacVal,_xlfn.XLOOKUP($A443,Output_Mac!$A:$A,Output_Mac!H:H,""),
_xlpm.MyAuditVal,_xlfn.XLOOKUP($A443,My_Audit!$A:$A,My_Audit!F:F,""),
_xlfn.IFS(_xlpm.MyAuditVal&lt;&gt;"",_xlpm.MyAuditVal,_xlpm.MacVal&lt;&gt;"",_xlpm.MacVal,_xlpm.CSVVal&lt;&gt;"",_xlpm.CSVVal
)),"")</f>
        <v/>
      </c>
      <c r="H443" s="54" t="str">
        <f>_xlfn.XLOOKUP(A443,Output_Mac!A:A,Output_Mac!I:I,"")</f>
        <v/>
      </c>
      <c r="I443" s="54" t="str" cm="1">
        <f t="array" ref="I443">IFERROR(_xlfn.LET(
_xlpm.CSVVal,_xlfn.XLOOKUP($A443,CSV!$A:$A,CSV!G:G,""),
_xlpm.MacVal,_xlfn.XLOOKUP($A443,Output_Mac!$A:$A,Output_Mac!J:J,""),
_xlpm.MyAuditVal,_xlfn.XLOOKUP($A443,My_Audit!$A:$A,My_Audit!H:H,""),
_xlfn.IFS(_xlpm.MyAuditVal&lt;&gt;"",UPPER(_xlpm.MyAuditVal),_xlpm.MacVal&lt;&gt;"",_xlpm.MacVal,_xlpm.CSVVal&lt;&gt;"",_xlpm.CSVVal
)),"")</f>
        <v/>
      </c>
      <c r="J443" s="54" t="str" cm="1">
        <f t="array" ref="J443">IFERROR(_xlfn.LET(
_xlpm.CSVVal,_xlfn.XLOOKUP($A443,CSV!$A:$A,CSV!I:I,""),
_xlpm.MacVal,_xlfn.XLOOKUP($A443,Output_Mac!$A:$A,Output_Mac!K:K,""),
_xlpm.MyAuditVal,_xlfn.XLOOKUP($A443,My_Audit!$A:$A,My_Audit!I:I,""),
_xlfn.IFS(_xlpm.MyAuditVal&lt;&gt;"",UPPER(_xlpm.MyAuditVal),_xlpm.MacVal&lt;&gt;"",_xlpm.MacVal,_xlpm.CSVVal&lt;&gt;"",_xlpm.CSVVal
)),"")</f>
        <v/>
      </c>
      <c r="K443" s="54" t="str" cm="1">
        <f t="array" ref="K443">IFERROR(_xlfn.LET(
_xlpm.CSVVal,_xlfn.XLOOKUP($A443,CSV!$A:$A,CSV!M:M,""),
_xlpm.MacVal,_xlfn.XLOOKUP($A443,Output_Mac!$A:$A,Output_Mac!L:L,""),
_xlpm.MyAuditVal,_xlfn.XLOOKUP($A443,My_Audit!$A:$A,My_Audit!J:J,""),
_xlfn.IFS(_xlpm.MyAuditVal&lt;&gt;"",UPPER(_xlpm.MyAuditVal),_xlpm.MacVal&lt;&gt;"",_xlpm.MacVal,_xlpm.CSVVal&lt;&gt;"",_xlpm.CSVVal
)),"")</f>
        <v/>
      </c>
      <c r="L443" s="54" t="str" cm="1">
        <f t="array" ref="L443">IFERROR(_xlfn.LET(
_xlpm.CSVVal,_xlfn.XLOOKUP($A443,CSV!$A:$A,CSV!O:O,""),
_xlpm.MacVal,_xlfn.XLOOKUP($A443,Output_Mac!$A:$A,Output_Mac!M:M,""),
_xlpm.MyAuditVal,_xlfn.XLOOKUP($A443,My_Audit!$A:$A,My_Audit!K:K,""),
_xlfn.IFS(_xlpm.MyAuditVal&lt;&gt;"",UPPER(_xlpm.MyAuditVal),_xlpm.MacVal&lt;&gt;"",_xlpm.MacVal,_xlpm.CSVVal&lt;&gt;"",_xlpm.CSVVal
)),"")</f>
        <v/>
      </c>
      <c r="M443" s="54" t="str">
        <f>_xlfn.LET(
    _xlpm.CSVVal, _xlfn.XLOOKUP($A443, CSV!$A:$A, CSV!AD:AD, ""),
    _xlpm.MacVal, _xlfn.XLOOKUP($A443, Output_Mac!$A:$A, Output_Mac!S:S, ""),
    _xlpm.MyAuditVal, _xlfn.XLOOKUP($A443, My_Audit!$A:$A, My_Audit!N:N, ""),
    _xlfn.TEXTJOIN(", ", TRUE, _xlpm.MyAuditVal, _xlpm.MacVal, _xlpm.CSVVal)
)</f>
        <v/>
      </c>
      <c r="N443" s="54" t="str" cm="1">
        <f t="array" ref="N443">IFERROR(_xlfn.LET(
_xlpm.CSVVal,_xlfn.XLOOKUP($A443,CSV!$A:$A,CSV!AF:AF,""),
_xlpm.MacVal,_xlfn.XLOOKUP($A443,Output_Mac!$A:$A,Output_Mac!U:U,""),
_xlpm.MyAuditVal,_xlfn.XLOOKUP($A443,My_Audit!$A:$A,My_Audit!O:O,""),
_xlfn.IFS(_xlpm.MyAuditVal&lt;&gt;"",UPPER(_xlpm.MyAuditVal),_xlpm.MacVal&lt;&gt;"",_xlpm.MacVal,_xlpm.CSVVal&lt;&gt;"",_xlpm.CSVVal
)),"")</f>
        <v/>
      </c>
      <c r="O443" s="54"/>
      <c r="P443" s="54"/>
      <c r="Q443" s="54"/>
      <c r="R443" s="54"/>
      <c r="S443" s="54"/>
      <c r="T443" s="54"/>
      <c r="U443" s="39"/>
    </row>
    <row r="444" spans="1:21">
      <c r="A444" s="54" t="str">
        <f>_xlfn.TEXTJOIN("",TRUE,Input!$B$2,ROW(My_Audit!A443))</f>
        <v>XX443</v>
      </c>
      <c r="B444" s="54" t="str">
        <f>_xlfn.TEXTJOIN("-",TRUE,"ITD",Input!$A$2,A444)</f>
        <v>ITD-SHRXXX-XX443</v>
      </c>
      <c r="C444" s="54" t="str" cm="1">
        <f t="array" ref="C444">IFERROR(_xlfn.LET(
_xlpm.CSVVal,_xlfn.XLOOKUP($A444,CSV!$A:$A,CSV!B:B,""),
_xlpm.MacVal,_xlfn.XLOOKUP($A444,Output_Mac!$A:$A,Output_Mac!B:B,""),
_xlpm.MyAuditVal,_xlfn.XLOOKUP($A444,My_Audit!$A:$A,My_Audit!B:B,""),
_xlfn.IFS(_xlpm.MyAuditVal&lt;&gt;"",UPPER(_xlpm.MyAuditVal),_xlpm.MacVal&lt;&gt;"",_xlpm.MacVal,_xlpm.CSVVal&lt;&gt;"",_xlpm.CSVVal
)),"")</f>
        <v/>
      </c>
      <c r="D444" s="55" t="str">
        <f>_xlfn.XLOOKUP(A444,My_Audit!A:A,My_Audit!D:D,"")&amp;""</f>
        <v/>
      </c>
      <c r="E444" s="55" t="str" cm="1">
        <f t="array" ref="E444">IFERROR(_xlfn.LET(
_xlpm.CSVVal,_xlfn.XLOOKUP($A444,CSV!$A:$A,CSV!D:D,""),
_xlpm.MacVal,_xlfn.XLOOKUP($A444,Output_Mac!$A:$A,Output_Mac!C:C,""),
_xlpm.MyAuditVal,_xlfn.XLOOKUP($A444,My_Audit!$A:$A,My_Audit!D:D,""),
_xlfn.IFS(_xlpm.MyAuditVal&lt;&gt;"",_xlpm.MyAuditVal,_xlpm.MacVal&lt;&gt;"",_xlpm.MacVal,_xlpm.CSVVal&lt;&gt;"",_xlpm.CSVVal
)),"")</f>
        <v/>
      </c>
      <c r="F444" s="54" t="str" cm="1">
        <f t="array" ref="F444">IFERROR(_xlfn.LET(
_xlpm.CSVVal,_xlfn.XLOOKUP($A444,CSV!$A:$A,CSV!E:E,""),
_xlpm.MacVal,_xlfn.XLOOKUP($A444,Output_Mac!$A:$A,Output_Mac!F:F,""),
_xlpm.MyAuditVal,_xlfn.XLOOKUP($A444,My_Audit!$A:$A,My_Audit!E:E,""),
_xlfn.IFS(_xlpm.MyAuditVal&lt;&gt;"",_xlpm.MyAuditVal,_xlpm.MacVal&lt;&gt;"",_xlpm.MacVal,_xlpm.CSVVal&lt;&gt;"",PROPER(_xlpm.CSVVal)
)),"")</f>
        <v/>
      </c>
      <c r="G444" s="54" t="str" cm="1">
        <f t="array" ref="G444">IFERROR(_xlfn.LET(
_xlpm.CSVVal,_xlfn.XLOOKUP($A444,CSV!$A:$A,CSV!F:F,""),
_xlpm.MacVal,_xlfn.XLOOKUP($A444,Output_Mac!$A:$A,Output_Mac!H:H,""),
_xlpm.MyAuditVal,_xlfn.XLOOKUP($A444,My_Audit!$A:$A,My_Audit!F:F,""),
_xlfn.IFS(_xlpm.MyAuditVal&lt;&gt;"",_xlpm.MyAuditVal,_xlpm.MacVal&lt;&gt;"",_xlpm.MacVal,_xlpm.CSVVal&lt;&gt;"",_xlpm.CSVVal
)),"")</f>
        <v/>
      </c>
      <c r="H444" s="54" t="str">
        <f>_xlfn.XLOOKUP(A444,Output_Mac!A:A,Output_Mac!I:I,"")</f>
        <v/>
      </c>
      <c r="I444" s="54" t="str" cm="1">
        <f t="array" ref="I444">IFERROR(_xlfn.LET(
_xlpm.CSVVal,_xlfn.XLOOKUP($A444,CSV!$A:$A,CSV!G:G,""),
_xlpm.MacVal,_xlfn.XLOOKUP($A444,Output_Mac!$A:$A,Output_Mac!J:J,""),
_xlpm.MyAuditVal,_xlfn.XLOOKUP($A444,My_Audit!$A:$A,My_Audit!H:H,""),
_xlfn.IFS(_xlpm.MyAuditVal&lt;&gt;"",UPPER(_xlpm.MyAuditVal),_xlpm.MacVal&lt;&gt;"",_xlpm.MacVal,_xlpm.CSVVal&lt;&gt;"",_xlpm.CSVVal
)),"")</f>
        <v/>
      </c>
      <c r="J444" s="54" t="str" cm="1">
        <f t="array" ref="J444">IFERROR(_xlfn.LET(
_xlpm.CSVVal,_xlfn.XLOOKUP($A444,CSV!$A:$A,CSV!I:I,""),
_xlpm.MacVal,_xlfn.XLOOKUP($A444,Output_Mac!$A:$A,Output_Mac!K:K,""),
_xlpm.MyAuditVal,_xlfn.XLOOKUP($A444,My_Audit!$A:$A,My_Audit!I:I,""),
_xlfn.IFS(_xlpm.MyAuditVal&lt;&gt;"",UPPER(_xlpm.MyAuditVal),_xlpm.MacVal&lt;&gt;"",_xlpm.MacVal,_xlpm.CSVVal&lt;&gt;"",_xlpm.CSVVal
)),"")</f>
        <v/>
      </c>
      <c r="K444" s="54" t="str" cm="1">
        <f t="array" ref="K444">IFERROR(_xlfn.LET(
_xlpm.CSVVal,_xlfn.XLOOKUP($A444,CSV!$A:$A,CSV!M:M,""),
_xlpm.MacVal,_xlfn.XLOOKUP($A444,Output_Mac!$A:$A,Output_Mac!L:L,""),
_xlpm.MyAuditVal,_xlfn.XLOOKUP($A444,My_Audit!$A:$A,My_Audit!J:J,""),
_xlfn.IFS(_xlpm.MyAuditVal&lt;&gt;"",UPPER(_xlpm.MyAuditVal),_xlpm.MacVal&lt;&gt;"",_xlpm.MacVal,_xlpm.CSVVal&lt;&gt;"",_xlpm.CSVVal
)),"")</f>
        <v/>
      </c>
      <c r="L444" s="54" t="str" cm="1">
        <f t="array" ref="L444">IFERROR(_xlfn.LET(
_xlpm.CSVVal,_xlfn.XLOOKUP($A444,CSV!$A:$A,CSV!O:O,""),
_xlpm.MacVal,_xlfn.XLOOKUP($A444,Output_Mac!$A:$A,Output_Mac!M:M,""),
_xlpm.MyAuditVal,_xlfn.XLOOKUP($A444,My_Audit!$A:$A,My_Audit!K:K,""),
_xlfn.IFS(_xlpm.MyAuditVal&lt;&gt;"",UPPER(_xlpm.MyAuditVal),_xlpm.MacVal&lt;&gt;"",_xlpm.MacVal,_xlpm.CSVVal&lt;&gt;"",_xlpm.CSVVal
)),"")</f>
        <v/>
      </c>
      <c r="M444" s="54" t="str">
        <f>_xlfn.LET(
    _xlpm.CSVVal, _xlfn.XLOOKUP($A444, CSV!$A:$A, CSV!AD:AD, ""),
    _xlpm.MacVal, _xlfn.XLOOKUP($A444, Output_Mac!$A:$A, Output_Mac!S:S, ""),
    _xlpm.MyAuditVal, _xlfn.XLOOKUP($A444, My_Audit!$A:$A, My_Audit!N:N, ""),
    _xlfn.TEXTJOIN(", ", TRUE, _xlpm.MyAuditVal, _xlpm.MacVal, _xlpm.CSVVal)
)</f>
        <v/>
      </c>
      <c r="N444" s="54" t="str" cm="1">
        <f t="array" ref="N444">IFERROR(_xlfn.LET(
_xlpm.CSVVal,_xlfn.XLOOKUP($A444,CSV!$A:$A,CSV!AF:AF,""),
_xlpm.MacVal,_xlfn.XLOOKUP($A444,Output_Mac!$A:$A,Output_Mac!U:U,""),
_xlpm.MyAuditVal,_xlfn.XLOOKUP($A444,My_Audit!$A:$A,My_Audit!O:O,""),
_xlfn.IFS(_xlpm.MyAuditVal&lt;&gt;"",UPPER(_xlpm.MyAuditVal),_xlpm.MacVal&lt;&gt;"",_xlpm.MacVal,_xlpm.CSVVal&lt;&gt;"",_xlpm.CSVVal
)),"")</f>
        <v/>
      </c>
      <c r="O444" s="54"/>
      <c r="P444" s="54"/>
      <c r="Q444" s="54"/>
      <c r="R444" s="54"/>
      <c r="S444" s="54"/>
      <c r="T444" s="54"/>
      <c r="U444" s="39"/>
    </row>
    <row r="445" spans="1:21">
      <c r="A445" s="54" t="str">
        <f>_xlfn.TEXTJOIN("",TRUE,Input!$B$2,ROW(My_Audit!A444))</f>
        <v>XX444</v>
      </c>
      <c r="B445" s="54" t="str">
        <f>_xlfn.TEXTJOIN("-",TRUE,"ITD",Input!$A$2,A445)</f>
        <v>ITD-SHRXXX-XX444</v>
      </c>
      <c r="C445" s="54" t="str" cm="1">
        <f t="array" ref="C445">IFERROR(_xlfn.LET(
_xlpm.CSVVal,_xlfn.XLOOKUP($A445,CSV!$A:$A,CSV!B:B,""),
_xlpm.MacVal,_xlfn.XLOOKUP($A445,Output_Mac!$A:$A,Output_Mac!B:B,""),
_xlpm.MyAuditVal,_xlfn.XLOOKUP($A445,My_Audit!$A:$A,My_Audit!B:B,""),
_xlfn.IFS(_xlpm.MyAuditVal&lt;&gt;"",UPPER(_xlpm.MyAuditVal),_xlpm.MacVal&lt;&gt;"",_xlpm.MacVal,_xlpm.CSVVal&lt;&gt;"",_xlpm.CSVVal
)),"")</f>
        <v/>
      </c>
      <c r="D445" s="55" t="str">
        <f>_xlfn.XLOOKUP(A445,My_Audit!A:A,My_Audit!D:D,"")&amp;""</f>
        <v/>
      </c>
      <c r="E445" s="55" t="str" cm="1">
        <f t="array" ref="E445">IFERROR(_xlfn.LET(
_xlpm.CSVVal,_xlfn.XLOOKUP($A445,CSV!$A:$A,CSV!D:D,""),
_xlpm.MacVal,_xlfn.XLOOKUP($A445,Output_Mac!$A:$A,Output_Mac!C:C,""),
_xlpm.MyAuditVal,_xlfn.XLOOKUP($A445,My_Audit!$A:$A,My_Audit!D:D,""),
_xlfn.IFS(_xlpm.MyAuditVal&lt;&gt;"",_xlpm.MyAuditVal,_xlpm.MacVal&lt;&gt;"",_xlpm.MacVal,_xlpm.CSVVal&lt;&gt;"",_xlpm.CSVVal
)),"")</f>
        <v/>
      </c>
      <c r="F445" s="54" t="str" cm="1">
        <f t="array" ref="F445">IFERROR(_xlfn.LET(
_xlpm.CSVVal,_xlfn.XLOOKUP($A445,CSV!$A:$A,CSV!E:E,""),
_xlpm.MacVal,_xlfn.XLOOKUP($A445,Output_Mac!$A:$A,Output_Mac!F:F,""),
_xlpm.MyAuditVal,_xlfn.XLOOKUP($A445,My_Audit!$A:$A,My_Audit!E:E,""),
_xlfn.IFS(_xlpm.MyAuditVal&lt;&gt;"",_xlpm.MyAuditVal,_xlpm.MacVal&lt;&gt;"",_xlpm.MacVal,_xlpm.CSVVal&lt;&gt;"",PROPER(_xlpm.CSVVal)
)),"")</f>
        <v/>
      </c>
      <c r="G445" s="54" t="str" cm="1">
        <f t="array" ref="G445">IFERROR(_xlfn.LET(
_xlpm.CSVVal,_xlfn.XLOOKUP($A445,CSV!$A:$A,CSV!F:F,""),
_xlpm.MacVal,_xlfn.XLOOKUP($A445,Output_Mac!$A:$A,Output_Mac!H:H,""),
_xlpm.MyAuditVal,_xlfn.XLOOKUP($A445,My_Audit!$A:$A,My_Audit!F:F,""),
_xlfn.IFS(_xlpm.MyAuditVal&lt;&gt;"",_xlpm.MyAuditVal,_xlpm.MacVal&lt;&gt;"",_xlpm.MacVal,_xlpm.CSVVal&lt;&gt;"",_xlpm.CSVVal
)),"")</f>
        <v/>
      </c>
      <c r="H445" s="54" t="str">
        <f>_xlfn.XLOOKUP(A445,Output_Mac!A:A,Output_Mac!I:I,"")</f>
        <v/>
      </c>
      <c r="I445" s="54" t="str" cm="1">
        <f t="array" ref="I445">IFERROR(_xlfn.LET(
_xlpm.CSVVal,_xlfn.XLOOKUP($A445,CSV!$A:$A,CSV!G:G,""),
_xlpm.MacVal,_xlfn.XLOOKUP($A445,Output_Mac!$A:$A,Output_Mac!J:J,""),
_xlpm.MyAuditVal,_xlfn.XLOOKUP($A445,My_Audit!$A:$A,My_Audit!H:H,""),
_xlfn.IFS(_xlpm.MyAuditVal&lt;&gt;"",UPPER(_xlpm.MyAuditVal),_xlpm.MacVal&lt;&gt;"",_xlpm.MacVal,_xlpm.CSVVal&lt;&gt;"",_xlpm.CSVVal
)),"")</f>
        <v/>
      </c>
      <c r="J445" s="54" t="str" cm="1">
        <f t="array" ref="J445">IFERROR(_xlfn.LET(
_xlpm.CSVVal,_xlfn.XLOOKUP($A445,CSV!$A:$A,CSV!I:I,""),
_xlpm.MacVal,_xlfn.XLOOKUP($A445,Output_Mac!$A:$A,Output_Mac!K:K,""),
_xlpm.MyAuditVal,_xlfn.XLOOKUP($A445,My_Audit!$A:$A,My_Audit!I:I,""),
_xlfn.IFS(_xlpm.MyAuditVal&lt;&gt;"",UPPER(_xlpm.MyAuditVal),_xlpm.MacVal&lt;&gt;"",_xlpm.MacVal,_xlpm.CSVVal&lt;&gt;"",_xlpm.CSVVal
)),"")</f>
        <v/>
      </c>
      <c r="K445" s="54" t="str" cm="1">
        <f t="array" ref="K445">IFERROR(_xlfn.LET(
_xlpm.CSVVal,_xlfn.XLOOKUP($A445,CSV!$A:$A,CSV!M:M,""),
_xlpm.MacVal,_xlfn.XLOOKUP($A445,Output_Mac!$A:$A,Output_Mac!L:L,""),
_xlpm.MyAuditVal,_xlfn.XLOOKUP($A445,My_Audit!$A:$A,My_Audit!J:J,""),
_xlfn.IFS(_xlpm.MyAuditVal&lt;&gt;"",UPPER(_xlpm.MyAuditVal),_xlpm.MacVal&lt;&gt;"",_xlpm.MacVal,_xlpm.CSVVal&lt;&gt;"",_xlpm.CSVVal
)),"")</f>
        <v/>
      </c>
      <c r="L445" s="54" t="str" cm="1">
        <f t="array" ref="L445">IFERROR(_xlfn.LET(
_xlpm.CSVVal,_xlfn.XLOOKUP($A445,CSV!$A:$A,CSV!O:O,""),
_xlpm.MacVal,_xlfn.XLOOKUP($A445,Output_Mac!$A:$A,Output_Mac!M:M,""),
_xlpm.MyAuditVal,_xlfn.XLOOKUP($A445,My_Audit!$A:$A,My_Audit!K:K,""),
_xlfn.IFS(_xlpm.MyAuditVal&lt;&gt;"",UPPER(_xlpm.MyAuditVal),_xlpm.MacVal&lt;&gt;"",_xlpm.MacVal,_xlpm.CSVVal&lt;&gt;"",_xlpm.CSVVal
)),"")</f>
        <v/>
      </c>
      <c r="M445" s="54" t="str">
        <f>_xlfn.LET(
    _xlpm.CSVVal, _xlfn.XLOOKUP($A445, CSV!$A:$A, CSV!AD:AD, ""),
    _xlpm.MacVal, _xlfn.XLOOKUP($A445, Output_Mac!$A:$A, Output_Mac!S:S, ""),
    _xlpm.MyAuditVal, _xlfn.XLOOKUP($A445, My_Audit!$A:$A, My_Audit!N:N, ""),
    _xlfn.TEXTJOIN(", ", TRUE, _xlpm.MyAuditVal, _xlpm.MacVal, _xlpm.CSVVal)
)</f>
        <v/>
      </c>
      <c r="N445" s="54" t="str" cm="1">
        <f t="array" ref="N445">IFERROR(_xlfn.LET(
_xlpm.CSVVal,_xlfn.XLOOKUP($A445,CSV!$A:$A,CSV!AF:AF,""),
_xlpm.MacVal,_xlfn.XLOOKUP($A445,Output_Mac!$A:$A,Output_Mac!U:U,""),
_xlpm.MyAuditVal,_xlfn.XLOOKUP($A445,My_Audit!$A:$A,My_Audit!O:O,""),
_xlfn.IFS(_xlpm.MyAuditVal&lt;&gt;"",UPPER(_xlpm.MyAuditVal),_xlpm.MacVal&lt;&gt;"",_xlpm.MacVal,_xlpm.CSVVal&lt;&gt;"",_xlpm.CSVVal
)),"")</f>
        <v/>
      </c>
      <c r="O445" s="54"/>
      <c r="P445" s="54"/>
      <c r="Q445" s="54"/>
      <c r="R445" s="54"/>
      <c r="S445" s="54"/>
      <c r="T445" s="54"/>
      <c r="U445" s="39"/>
    </row>
    <row r="446" spans="1:21">
      <c r="A446" s="54" t="str">
        <f>_xlfn.TEXTJOIN("",TRUE,Input!$B$2,ROW(My_Audit!A445))</f>
        <v>XX445</v>
      </c>
      <c r="B446" s="54" t="str">
        <f>_xlfn.TEXTJOIN("-",TRUE,"ITD",Input!$A$2,A446)</f>
        <v>ITD-SHRXXX-XX445</v>
      </c>
      <c r="C446" s="54" t="str" cm="1">
        <f t="array" ref="C446">IFERROR(_xlfn.LET(
_xlpm.CSVVal,_xlfn.XLOOKUP($A446,CSV!$A:$A,CSV!B:B,""),
_xlpm.MacVal,_xlfn.XLOOKUP($A446,Output_Mac!$A:$A,Output_Mac!B:B,""),
_xlpm.MyAuditVal,_xlfn.XLOOKUP($A446,My_Audit!$A:$A,My_Audit!B:B,""),
_xlfn.IFS(_xlpm.MyAuditVal&lt;&gt;"",UPPER(_xlpm.MyAuditVal),_xlpm.MacVal&lt;&gt;"",_xlpm.MacVal,_xlpm.CSVVal&lt;&gt;"",_xlpm.CSVVal
)),"")</f>
        <v/>
      </c>
      <c r="D446" s="55" t="str">
        <f>_xlfn.XLOOKUP(A446,My_Audit!A:A,My_Audit!D:D,"")&amp;""</f>
        <v/>
      </c>
      <c r="E446" s="55" t="str" cm="1">
        <f t="array" ref="E446">IFERROR(_xlfn.LET(
_xlpm.CSVVal,_xlfn.XLOOKUP($A446,CSV!$A:$A,CSV!D:D,""),
_xlpm.MacVal,_xlfn.XLOOKUP($A446,Output_Mac!$A:$A,Output_Mac!C:C,""),
_xlpm.MyAuditVal,_xlfn.XLOOKUP($A446,My_Audit!$A:$A,My_Audit!D:D,""),
_xlfn.IFS(_xlpm.MyAuditVal&lt;&gt;"",_xlpm.MyAuditVal,_xlpm.MacVal&lt;&gt;"",_xlpm.MacVal,_xlpm.CSVVal&lt;&gt;"",_xlpm.CSVVal
)),"")</f>
        <v/>
      </c>
      <c r="F446" s="54" t="str" cm="1">
        <f t="array" ref="F446">IFERROR(_xlfn.LET(
_xlpm.CSVVal,_xlfn.XLOOKUP($A446,CSV!$A:$A,CSV!E:E,""),
_xlpm.MacVal,_xlfn.XLOOKUP($A446,Output_Mac!$A:$A,Output_Mac!F:F,""),
_xlpm.MyAuditVal,_xlfn.XLOOKUP($A446,My_Audit!$A:$A,My_Audit!E:E,""),
_xlfn.IFS(_xlpm.MyAuditVal&lt;&gt;"",_xlpm.MyAuditVal,_xlpm.MacVal&lt;&gt;"",_xlpm.MacVal,_xlpm.CSVVal&lt;&gt;"",PROPER(_xlpm.CSVVal)
)),"")</f>
        <v/>
      </c>
      <c r="G446" s="54" t="str" cm="1">
        <f t="array" ref="G446">IFERROR(_xlfn.LET(
_xlpm.CSVVal,_xlfn.XLOOKUP($A446,CSV!$A:$A,CSV!F:F,""),
_xlpm.MacVal,_xlfn.XLOOKUP($A446,Output_Mac!$A:$A,Output_Mac!H:H,""),
_xlpm.MyAuditVal,_xlfn.XLOOKUP($A446,My_Audit!$A:$A,My_Audit!F:F,""),
_xlfn.IFS(_xlpm.MyAuditVal&lt;&gt;"",_xlpm.MyAuditVal,_xlpm.MacVal&lt;&gt;"",_xlpm.MacVal,_xlpm.CSVVal&lt;&gt;"",_xlpm.CSVVal
)),"")</f>
        <v/>
      </c>
      <c r="H446" s="54" t="str">
        <f>_xlfn.XLOOKUP(A446,Output_Mac!A:A,Output_Mac!I:I,"")</f>
        <v/>
      </c>
      <c r="I446" s="54" t="str" cm="1">
        <f t="array" ref="I446">IFERROR(_xlfn.LET(
_xlpm.CSVVal,_xlfn.XLOOKUP($A446,CSV!$A:$A,CSV!G:G,""),
_xlpm.MacVal,_xlfn.XLOOKUP($A446,Output_Mac!$A:$A,Output_Mac!J:J,""),
_xlpm.MyAuditVal,_xlfn.XLOOKUP($A446,My_Audit!$A:$A,My_Audit!H:H,""),
_xlfn.IFS(_xlpm.MyAuditVal&lt;&gt;"",UPPER(_xlpm.MyAuditVal),_xlpm.MacVal&lt;&gt;"",_xlpm.MacVal,_xlpm.CSVVal&lt;&gt;"",_xlpm.CSVVal
)),"")</f>
        <v/>
      </c>
      <c r="J446" s="54" t="str" cm="1">
        <f t="array" ref="J446">IFERROR(_xlfn.LET(
_xlpm.CSVVal,_xlfn.XLOOKUP($A446,CSV!$A:$A,CSV!I:I,""),
_xlpm.MacVal,_xlfn.XLOOKUP($A446,Output_Mac!$A:$A,Output_Mac!K:K,""),
_xlpm.MyAuditVal,_xlfn.XLOOKUP($A446,My_Audit!$A:$A,My_Audit!I:I,""),
_xlfn.IFS(_xlpm.MyAuditVal&lt;&gt;"",UPPER(_xlpm.MyAuditVal),_xlpm.MacVal&lt;&gt;"",_xlpm.MacVal,_xlpm.CSVVal&lt;&gt;"",_xlpm.CSVVal
)),"")</f>
        <v/>
      </c>
      <c r="K446" s="54" t="str" cm="1">
        <f t="array" ref="K446">IFERROR(_xlfn.LET(
_xlpm.CSVVal,_xlfn.XLOOKUP($A446,CSV!$A:$A,CSV!M:M,""),
_xlpm.MacVal,_xlfn.XLOOKUP($A446,Output_Mac!$A:$A,Output_Mac!L:L,""),
_xlpm.MyAuditVal,_xlfn.XLOOKUP($A446,My_Audit!$A:$A,My_Audit!J:J,""),
_xlfn.IFS(_xlpm.MyAuditVal&lt;&gt;"",UPPER(_xlpm.MyAuditVal),_xlpm.MacVal&lt;&gt;"",_xlpm.MacVal,_xlpm.CSVVal&lt;&gt;"",_xlpm.CSVVal
)),"")</f>
        <v/>
      </c>
      <c r="L446" s="54" t="str" cm="1">
        <f t="array" ref="L446">IFERROR(_xlfn.LET(
_xlpm.CSVVal,_xlfn.XLOOKUP($A446,CSV!$A:$A,CSV!O:O,""),
_xlpm.MacVal,_xlfn.XLOOKUP($A446,Output_Mac!$A:$A,Output_Mac!M:M,""),
_xlpm.MyAuditVal,_xlfn.XLOOKUP($A446,My_Audit!$A:$A,My_Audit!K:K,""),
_xlfn.IFS(_xlpm.MyAuditVal&lt;&gt;"",UPPER(_xlpm.MyAuditVal),_xlpm.MacVal&lt;&gt;"",_xlpm.MacVal,_xlpm.CSVVal&lt;&gt;"",_xlpm.CSVVal
)),"")</f>
        <v/>
      </c>
      <c r="M446" s="54" t="str">
        <f>_xlfn.LET(
    _xlpm.CSVVal, _xlfn.XLOOKUP($A446, CSV!$A:$A, CSV!AD:AD, ""),
    _xlpm.MacVal, _xlfn.XLOOKUP($A446, Output_Mac!$A:$A, Output_Mac!S:S, ""),
    _xlpm.MyAuditVal, _xlfn.XLOOKUP($A446, My_Audit!$A:$A, My_Audit!N:N, ""),
    _xlfn.TEXTJOIN(", ", TRUE, _xlpm.MyAuditVal, _xlpm.MacVal, _xlpm.CSVVal)
)</f>
        <v/>
      </c>
      <c r="N446" s="54" t="str" cm="1">
        <f t="array" ref="N446">IFERROR(_xlfn.LET(
_xlpm.CSVVal,_xlfn.XLOOKUP($A446,CSV!$A:$A,CSV!AF:AF,""),
_xlpm.MacVal,_xlfn.XLOOKUP($A446,Output_Mac!$A:$A,Output_Mac!U:U,""),
_xlpm.MyAuditVal,_xlfn.XLOOKUP($A446,My_Audit!$A:$A,My_Audit!O:O,""),
_xlfn.IFS(_xlpm.MyAuditVal&lt;&gt;"",UPPER(_xlpm.MyAuditVal),_xlpm.MacVal&lt;&gt;"",_xlpm.MacVal,_xlpm.CSVVal&lt;&gt;"",_xlpm.CSVVal
)),"")</f>
        <v/>
      </c>
      <c r="O446" s="54"/>
      <c r="P446" s="54"/>
      <c r="Q446" s="54"/>
      <c r="R446" s="54"/>
      <c r="S446" s="54"/>
      <c r="T446" s="54"/>
      <c r="U446" s="39"/>
    </row>
    <row r="447" spans="1:21">
      <c r="A447" s="54" t="str">
        <f>_xlfn.TEXTJOIN("",TRUE,Input!$B$2,ROW(My_Audit!A446))</f>
        <v>XX446</v>
      </c>
      <c r="B447" s="54" t="str">
        <f>_xlfn.TEXTJOIN("-",TRUE,"ITD",Input!$A$2,A447)</f>
        <v>ITD-SHRXXX-XX446</v>
      </c>
      <c r="C447" s="54" t="str" cm="1">
        <f t="array" ref="C447">IFERROR(_xlfn.LET(
_xlpm.CSVVal,_xlfn.XLOOKUP($A447,CSV!$A:$A,CSV!B:B,""),
_xlpm.MacVal,_xlfn.XLOOKUP($A447,Output_Mac!$A:$A,Output_Mac!B:B,""),
_xlpm.MyAuditVal,_xlfn.XLOOKUP($A447,My_Audit!$A:$A,My_Audit!B:B,""),
_xlfn.IFS(_xlpm.MyAuditVal&lt;&gt;"",UPPER(_xlpm.MyAuditVal),_xlpm.MacVal&lt;&gt;"",_xlpm.MacVal,_xlpm.CSVVal&lt;&gt;"",_xlpm.CSVVal
)),"")</f>
        <v/>
      </c>
      <c r="D447" s="55" t="str">
        <f>_xlfn.XLOOKUP(A447,My_Audit!A:A,My_Audit!D:D,"")&amp;""</f>
        <v/>
      </c>
      <c r="E447" s="55" t="str" cm="1">
        <f t="array" ref="E447">IFERROR(_xlfn.LET(
_xlpm.CSVVal,_xlfn.XLOOKUP($A447,CSV!$A:$A,CSV!D:D,""),
_xlpm.MacVal,_xlfn.XLOOKUP($A447,Output_Mac!$A:$A,Output_Mac!C:C,""),
_xlpm.MyAuditVal,_xlfn.XLOOKUP($A447,My_Audit!$A:$A,My_Audit!D:D,""),
_xlfn.IFS(_xlpm.MyAuditVal&lt;&gt;"",_xlpm.MyAuditVal,_xlpm.MacVal&lt;&gt;"",_xlpm.MacVal,_xlpm.CSVVal&lt;&gt;"",_xlpm.CSVVal
)),"")</f>
        <v/>
      </c>
      <c r="F447" s="54" t="str" cm="1">
        <f t="array" ref="F447">IFERROR(_xlfn.LET(
_xlpm.CSVVal,_xlfn.XLOOKUP($A447,CSV!$A:$A,CSV!E:E,""),
_xlpm.MacVal,_xlfn.XLOOKUP($A447,Output_Mac!$A:$A,Output_Mac!F:F,""),
_xlpm.MyAuditVal,_xlfn.XLOOKUP($A447,My_Audit!$A:$A,My_Audit!E:E,""),
_xlfn.IFS(_xlpm.MyAuditVal&lt;&gt;"",_xlpm.MyAuditVal,_xlpm.MacVal&lt;&gt;"",_xlpm.MacVal,_xlpm.CSVVal&lt;&gt;"",PROPER(_xlpm.CSVVal)
)),"")</f>
        <v/>
      </c>
      <c r="G447" s="54" t="str" cm="1">
        <f t="array" ref="G447">IFERROR(_xlfn.LET(
_xlpm.CSVVal,_xlfn.XLOOKUP($A447,CSV!$A:$A,CSV!F:F,""),
_xlpm.MacVal,_xlfn.XLOOKUP($A447,Output_Mac!$A:$A,Output_Mac!H:H,""),
_xlpm.MyAuditVal,_xlfn.XLOOKUP($A447,My_Audit!$A:$A,My_Audit!F:F,""),
_xlfn.IFS(_xlpm.MyAuditVal&lt;&gt;"",_xlpm.MyAuditVal,_xlpm.MacVal&lt;&gt;"",_xlpm.MacVal,_xlpm.CSVVal&lt;&gt;"",_xlpm.CSVVal
)),"")</f>
        <v/>
      </c>
      <c r="H447" s="54" t="str">
        <f>_xlfn.XLOOKUP(A447,Output_Mac!A:A,Output_Mac!I:I,"")</f>
        <v/>
      </c>
      <c r="I447" s="54" t="str" cm="1">
        <f t="array" ref="I447">IFERROR(_xlfn.LET(
_xlpm.CSVVal,_xlfn.XLOOKUP($A447,CSV!$A:$A,CSV!G:G,""),
_xlpm.MacVal,_xlfn.XLOOKUP($A447,Output_Mac!$A:$A,Output_Mac!J:J,""),
_xlpm.MyAuditVal,_xlfn.XLOOKUP($A447,My_Audit!$A:$A,My_Audit!H:H,""),
_xlfn.IFS(_xlpm.MyAuditVal&lt;&gt;"",UPPER(_xlpm.MyAuditVal),_xlpm.MacVal&lt;&gt;"",_xlpm.MacVal,_xlpm.CSVVal&lt;&gt;"",_xlpm.CSVVal
)),"")</f>
        <v/>
      </c>
      <c r="J447" s="54" t="str" cm="1">
        <f t="array" ref="J447">IFERROR(_xlfn.LET(
_xlpm.CSVVal,_xlfn.XLOOKUP($A447,CSV!$A:$A,CSV!I:I,""),
_xlpm.MacVal,_xlfn.XLOOKUP($A447,Output_Mac!$A:$A,Output_Mac!K:K,""),
_xlpm.MyAuditVal,_xlfn.XLOOKUP($A447,My_Audit!$A:$A,My_Audit!I:I,""),
_xlfn.IFS(_xlpm.MyAuditVal&lt;&gt;"",UPPER(_xlpm.MyAuditVal),_xlpm.MacVal&lt;&gt;"",_xlpm.MacVal,_xlpm.CSVVal&lt;&gt;"",_xlpm.CSVVal
)),"")</f>
        <v/>
      </c>
      <c r="K447" s="54" t="str" cm="1">
        <f t="array" ref="K447">IFERROR(_xlfn.LET(
_xlpm.CSVVal,_xlfn.XLOOKUP($A447,CSV!$A:$A,CSV!M:M,""),
_xlpm.MacVal,_xlfn.XLOOKUP($A447,Output_Mac!$A:$A,Output_Mac!L:L,""),
_xlpm.MyAuditVal,_xlfn.XLOOKUP($A447,My_Audit!$A:$A,My_Audit!J:J,""),
_xlfn.IFS(_xlpm.MyAuditVal&lt;&gt;"",UPPER(_xlpm.MyAuditVal),_xlpm.MacVal&lt;&gt;"",_xlpm.MacVal,_xlpm.CSVVal&lt;&gt;"",_xlpm.CSVVal
)),"")</f>
        <v/>
      </c>
      <c r="L447" s="54" t="str" cm="1">
        <f t="array" ref="L447">IFERROR(_xlfn.LET(
_xlpm.CSVVal,_xlfn.XLOOKUP($A447,CSV!$A:$A,CSV!O:O,""),
_xlpm.MacVal,_xlfn.XLOOKUP($A447,Output_Mac!$A:$A,Output_Mac!M:M,""),
_xlpm.MyAuditVal,_xlfn.XLOOKUP($A447,My_Audit!$A:$A,My_Audit!K:K,""),
_xlfn.IFS(_xlpm.MyAuditVal&lt;&gt;"",UPPER(_xlpm.MyAuditVal),_xlpm.MacVal&lt;&gt;"",_xlpm.MacVal,_xlpm.CSVVal&lt;&gt;"",_xlpm.CSVVal
)),"")</f>
        <v/>
      </c>
      <c r="M447" s="54" t="str">
        <f>_xlfn.LET(
    _xlpm.CSVVal, _xlfn.XLOOKUP($A447, CSV!$A:$A, CSV!AD:AD, ""),
    _xlpm.MacVal, _xlfn.XLOOKUP($A447, Output_Mac!$A:$A, Output_Mac!S:S, ""),
    _xlpm.MyAuditVal, _xlfn.XLOOKUP($A447, My_Audit!$A:$A, My_Audit!N:N, ""),
    _xlfn.TEXTJOIN(", ", TRUE, _xlpm.MyAuditVal, _xlpm.MacVal, _xlpm.CSVVal)
)</f>
        <v/>
      </c>
      <c r="N447" s="54" t="str" cm="1">
        <f t="array" ref="N447">IFERROR(_xlfn.LET(
_xlpm.CSVVal,_xlfn.XLOOKUP($A447,CSV!$A:$A,CSV!AF:AF,""),
_xlpm.MacVal,_xlfn.XLOOKUP($A447,Output_Mac!$A:$A,Output_Mac!U:U,""),
_xlpm.MyAuditVal,_xlfn.XLOOKUP($A447,My_Audit!$A:$A,My_Audit!O:O,""),
_xlfn.IFS(_xlpm.MyAuditVal&lt;&gt;"",UPPER(_xlpm.MyAuditVal),_xlpm.MacVal&lt;&gt;"",_xlpm.MacVal,_xlpm.CSVVal&lt;&gt;"",_xlpm.CSVVal
)),"")</f>
        <v/>
      </c>
      <c r="O447" s="54"/>
      <c r="P447" s="54"/>
      <c r="Q447" s="54"/>
      <c r="R447" s="54"/>
      <c r="S447" s="54"/>
      <c r="T447" s="54"/>
      <c r="U447" s="39"/>
    </row>
    <row r="448" spans="1:21">
      <c r="A448" s="54" t="str">
        <f>_xlfn.TEXTJOIN("",TRUE,Input!$B$2,ROW(My_Audit!A447))</f>
        <v>XX447</v>
      </c>
      <c r="B448" s="54" t="str">
        <f>_xlfn.TEXTJOIN("-",TRUE,"ITD",Input!$A$2,A448)</f>
        <v>ITD-SHRXXX-XX447</v>
      </c>
      <c r="C448" s="54" t="str" cm="1">
        <f t="array" ref="C448">IFERROR(_xlfn.LET(
_xlpm.CSVVal,_xlfn.XLOOKUP($A448,CSV!$A:$A,CSV!B:B,""),
_xlpm.MacVal,_xlfn.XLOOKUP($A448,Output_Mac!$A:$A,Output_Mac!B:B,""),
_xlpm.MyAuditVal,_xlfn.XLOOKUP($A448,My_Audit!$A:$A,My_Audit!B:B,""),
_xlfn.IFS(_xlpm.MyAuditVal&lt;&gt;"",UPPER(_xlpm.MyAuditVal),_xlpm.MacVal&lt;&gt;"",_xlpm.MacVal,_xlpm.CSVVal&lt;&gt;"",_xlpm.CSVVal
)),"")</f>
        <v/>
      </c>
      <c r="D448" s="55" t="str">
        <f>_xlfn.XLOOKUP(A448,My_Audit!A:A,My_Audit!D:D,"")&amp;""</f>
        <v/>
      </c>
      <c r="E448" s="55" t="str" cm="1">
        <f t="array" ref="E448">IFERROR(_xlfn.LET(
_xlpm.CSVVal,_xlfn.XLOOKUP($A448,CSV!$A:$A,CSV!D:D,""),
_xlpm.MacVal,_xlfn.XLOOKUP($A448,Output_Mac!$A:$A,Output_Mac!C:C,""),
_xlpm.MyAuditVal,_xlfn.XLOOKUP($A448,My_Audit!$A:$A,My_Audit!D:D,""),
_xlfn.IFS(_xlpm.MyAuditVal&lt;&gt;"",_xlpm.MyAuditVal,_xlpm.MacVal&lt;&gt;"",_xlpm.MacVal,_xlpm.CSVVal&lt;&gt;"",_xlpm.CSVVal
)),"")</f>
        <v/>
      </c>
      <c r="F448" s="54" t="str" cm="1">
        <f t="array" ref="F448">IFERROR(_xlfn.LET(
_xlpm.CSVVal,_xlfn.XLOOKUP($A448,CSV!$A:$A,CSV!E:E,""),
_xlpm.MacVal,_xlfn.XLOOKUP($A448,Output_Mac!$A:$A,Output_Mac!F:F,""),
_xlpm.MyAuditVal,_xlfn.XLOOKUP($A448,My_Audit!$A:$A,My_Audit!E:E,""),
_xlfn.IFS(_xlpm.MyAuditVal&lt;&gt;"",_xlpm.MyAuditVal,_xlpm.MacVal&lt;&gt;"",_xlpm.MacVal,_xlpm.CSVVal&lt;&gt;"",PROPER(_xlpm.CSVVal)
)),"")</f>
        <v/>
      </c>
      <c r="G448" s="54" t="str" cm="1">
        <f t="array" ref="G448">IFERROR(_xlfn.LET(
_xlpm.CSVVal,_xlfn.XLOOKUP($A448,CSV!$A:$A,CSV!F:F,""),
_xlpm.MacVal,_xlfn.XLOOKUP($A448,Output_Mac!$A:$A,Output_Mac!H:H,""),
_xlpm.MyAuditVal,_xlfn.XLOOKUP($A448,My_Audit!$A:$A,My_Audit!F:F,""),
_xlfn.IFS(_xlpm.MyAuditVal&lt;&gt;"",_xlpm.MyAuditVal,_xlpm.MacVal&lt;&gt;"",_xlpm.MacVal,_xlpm.CSVVal&lt;&gt;"",_xlpm.CSVVal
)),"")</f>
        <v/>
      </c>
      <c r="H448" s="54" t="str">
        <f>_xlfn.XLOOKUP(A448,Output_Mac!A:A,Output_Mac!I:I,"")</f>
        <v/>
      </c>
      <c r="I448" s="54" t="str" cm="1">
        <f t="array" ref="I448">IFERROR(_xlfn.LET(
_xlpm.CSVVal,_xlfn.XLOOKUP($A448,CSV!$A:$A,CSV!G:G,""),
_xlpm.MacVal,_xlfn.XLOOKUP($A448,Output_Mac!$A:$A,Output_Mac!J:J,""),
_xlpm.MyAuditVal,_xlfn.XLOOKUP($A448,My_Audit!$A:$A,My_Audit!H:H,""),
_xlfn.IFS(_xlpm.MyAuditVal&lt;&gt;"",UPPER(_xlpm.MyAuditVal),_xlpm.MacVal&lt;&gt;"",_xlpm.MacVal,_xlpm.CSVVal&lt;&gt;"",_xlpm.CSVVal
)),"")</f>
        <v/>
      </c>
      <c r="J448" s="54" t="str" cm="1">
        <f t="array" ref="J448">IFERROR(_xlfn.LET(
_xlpm.CSVVal,_xlfn.XLOOKUP($A448,CSV!$A:$A,CSV!I:I,""),
_xlpm.MacVal,_xlfn.XLOOKUP($A448,Output_Mac!$A:$A,Output_Mac!K:K,""),
_xlpm.MyAuditVal,_xlfn.XLOOKUP($A448,My_Audit!$A:$A,My_Audit!I:I,""),
_xlfn.IFS(_xlpm.MyAuditVal&lt;&gt;"",UPPER(_xlpm.MyAuditVal),_xlpm.MacVal&lt;&gt;"",_xlpm.MacVal,_xlpm.CSVVal&lt;&gt;"",_xlpm.CSVVal
)),"")</f>
        <v/>
      </c>
      <c r="K448" s="54" t="str" cm="1">
        <f t="array" ref="K448">IFERROR(_xlfn.LET(
_xlpm.CSVVal,_xlfn.XLOOKUP($A448,CSV!$A:$A,CSV!M:M,""),
_xlpm.MacVal,_xlfn.XLOOKUP($A448,Output_Mac!$A:$A,Output_Mac!L:L,""),
_xlpm.MyAuditVal,_xlfn.XLOOKUP($A448,My_Audit!$A:$A,My_Audit!J:J,""),
_xlfn.IFS(_xlpm.MyAuditVal&lt;&gt;"",UPPER(_xlpm.MyAuditVal),_xlpm.MacVal&lt;&gt;"",_xlpm.MacVal,_xlpm.CSVVal&lt;&gt;"",_xlpm.CSVVal
)),"")</f>
        <v/>
      </c>
      <c r="L448" s="54" t="str" cm="1">
        <f t="array" ref="L448">IFERROR(_xlfn.LET(
_xlpm.CSVVal,_xlfn.XLOOKUP($A448,CSV!$A:$A,CSV!O:O,""),
_xlpm.MacVal,_xlfn.XLOOKUP($A448,Output_Mac!$A:$A,Output_Mac!M:M,""),
_xlpm.MyAuditVal,_xlfn.XLOOKUP($A448,My_Audit!$A:$A,My_Audit!K:K,""),
_xlfn.IFS(_xlpm.MyAuditVal&lt;&gt;"",UPPER(_xlpm.MyAuditVal),_xlpm.MacVal&lt;&gt;"",_xlpm.MacVal,_xlpm.CSVVal&lt;&gt;"",_xlpm.CSVVal
)),"")</f>
        <v/>
      </c>
      <c r="M448" s="54" t="str">
        <f>_xlfn.LET(
    _xlpm.CSVVal, _xlfn.XLOOKUP($A448, CSV!$A:$A, CSV!AD:AD, ""),
    _xlpm.MacVal, _xlfn.XLOOKUP($A448, Output_Mac!$A:$A, Output_Mac!S:S, ""),
    _xlpm.MyAuditVal, _xlfn.XLOOKUP($A448, My_Audit!$A:$A, My_Audit!N:N, ""),
    _xlfn.TEXTJOIN(", ", TRUE, _xlpm.MyAuditVal, _xlpm.MacVal, _xlpm.CSVVal)
)</f>
        <v/>
      </c>
      <c r="N448" s="54" t="str" cm="1">
        <f t="array" ref="N448">IFERROR(_xlfn.LET(
_xlpm.CSVVal,_xlfn.XLOOKUP($A448,CSV!$A:$A,CSV!AF:AF,""),
_xlpm.MacVal,_xlfn.XLOOKUP($A448,Output_Mac!$A:$A,Output_Mac!U:U,""),
_xlpm.MyAuditVal,_xlfn.XLOOKUP($A448,My_Audit!$A:$A,My_Audit!O:O,""),
_xlfn.IFS(_xlpm.MyAuditVal&lt;&gt;"",UPPER(_xlpm.MyAuditVal),_xlpm.MacVal&lt;&gt;"",_xlpm.MacVal,_xlpm.CSVVal&lt;&gt;"",_xlpm.CSVVal
)),"")</f>
        <v/>
      </c>
      <c r="O448" s="54"/>
      <c r="P448" s="54"/>
      <c r="Q448" s="54"/>
      <c r="R448" s="54"/>
      <c r="S448" s="54"/>
      <c r="T448" s="54"/>
      <c r="U448" s="39"/>
    </row>
    <row r="449" spans="1:21">
      <c r="A449" s="54" t="str">
        <f>_xlfn.TEXTJOIN("",TRUE,Input!$B$2,ROW(My_Audit!A448))</f>
        <v>XX448</v>
      </c>
      <c r="B449" s="54" t="str">
        <f>_xlfn.TEXTJOIN("-",TRUE,"ITD",Input!$A$2,A449)</f>
        <v>ITD-SHRXXX-XX448</v>
      </c>
      <c r="C449" s="54" t="str" cm="1">
        <f t="array" ref="C449">IFERROR(_xlfn.LET(
_xlpm.CSVVal,_xlfn.XLOOKUP($A449,CSV!$A:$A,CSV!B:B,""),
_xlpm.MacVal,_xlfn.XLOOKUP($A449,Output_Mac!$A:$A,Output_Mac!B:B,""),
_xlpm.MyAuditVal,_xlfn.XLOOKUP($A449,My_Audit!$A:$A,My_Audit!B:B,""),
_xlfn.IFS(_xlpm.MyAuditVal&lt;&gt;"",UPPER(_xlpm.MyAuditVal),_xlpm.MacVal&lt;&gt;"",_xlpm.MacVal,_xlpm.CSVVal&lt;&gt;"",_xlpm.CSVVal
)),"")</f>
        <v/>
      </c>
      <c r="D449" s="55" t="str">
        <f>_xlfn.XLOOKUP(A449,My_Audit!A:A,My_Audit!D:D,"")&amp;""</f>
        <v/>
      </c>
      <c r="E449" s="55" t="str" cm="1">
        <f t="array" ref="E449">IFERROR(_xlfn.LET(
_xlpm.CSVVal,_xlfn.XLOOKUP($A449,CSV!$A:$A,CSV!D:D,""),
_xlpm.MacVal,_xlfn.XLOOKUP($A449,Output_Mac!$A:$A,Output_Mac!C:C,""),
_xlpm.MyAuditVal,_xlfn.XLOOKUP($A449,My_Audit!$A:$A,My_Audit!D:D,""),
_xlfn.IFS(_xlpm.MyAuditVal&lt;&gt;"",_xlpm.MyAuditVal,_xlpm.MacVal&lt;&gt;"",_xlpm.MacVal,_xlpm.CSVVal&lt;&gt;"",_xlpm.CSVVal
)),"")</f>
        <v/>
      </c>
      <c r="F449" s="54" t="str" cm="1">
        <f t="array" ref="F449">IFERROR(_xlfn.LET(
_xlpm.CSVVal,_xlfn.XLOOKUP($A449,CSV!$A:$A,CSV!E:E,""),
_xlpm.MacVal,_xlfn.XLOOKUP($A449,Output_Mac!$A:$A,Output_Mac!F:F,""),
_xlpm.MyAuditVal,_xlfn.XLOOKUP($A449,My_Audit!$A:$A,My_Audit!E:E,""),
_xlfn.IFS(_xlpm.MyAuditVal&lt;&gt;"",_xlpm.MyAuditVal,_xlpm.MacVal&lt;&gt;"",_xlpm.MacVal,_xlpm.CSVVal&lt;&gt;"",PROPER(_xlpm.CSVVal)
)),"")</f>
        <v/>
      </c>
      <c r="G449" s="54" t="str" cm="1">
        <f t="array" ref="G449">IFERROR(_xlfn.LET(
_xlpm.CSVVal,_xlfn.XLOOKUP($A449,CSV!$A:$A,CSV!F:F,""),
_xlpm.MacVal,_xlfn.XLOOKUP($A449,Output_Mac!$A:$A,Output_Mac!H:H,""),
_xlpm.MyAuditVal,_xlfn.XLOOKUP($A449,My_Audit!$A:$A,My_Audit!F:F,""),
_xlfn.IFS(_xlpm.MyAuditVal&lt;&gt;"",_xlpm.MyAuditVal,_xlpm.MacVal&lt;&gt;"",_xlpm.MacVal,_xlpm.CSVVal&lt;&gt;"",_xlpm.CSVVal
)),"")</f>
        <v/>
      </c>
      <c r="H449" s="54" t="str">
        <f>_xlfn.XLOOKUP(A449,Output_Mac!A:A,Output_Mac!I:I,"")</f>
        <v/>
      </c>
      <c r="I449" s="54" t="str" cm="1">
        <f t="array" ref="I449">IFERROR(_xlfn.LET(
_xlpm.CSVVal,_xlfn.XLOOKUP($A449,CSV!$A:$A,CSV!G:G,""),
_xlpm.MacVal,_xlfn.XLOOKUP($A449,Output_Mac!$A:$A,Output_Mac!J:J,""),
_xlpm.MyAuditVal,_xlfn.XLOOKUP($A449,My_Audit!$A:$A,My_Audit!H:H,""),
_xlfn.IFS(_xlpm.MyAuditVal&lt;&gt;"",UPPER(_xlpm.MyAuditVal),_xlpm.MacVal&lt;&gt;"",_xlpm.MacVal,_xlpm.CSVVal&lt;&gt;"",_xlpm.CSVVal
)),"")</f>
        <v/>
      </c>
      <c r="J449" s="54" t="str" cm="1">
        <f t="array" ref="J449">IFERROR(_xlfn.LET(
_xlpm.CSVVal,_xlfn.XLOOKUP($A449,CSV!$A:$A,CSV!I:I,""),
_xlpm.MacVal,_xlfn.XLOOKUP($A449,Output_Mac!$A:$A,Output_Mac!K:K,""),
_xlpm.MyAuditVal,_xlfn.XLOOKUP($A449,My_Audit!$A:$A,My_Audit!I:I,""),
_xlfn.IFS(_xlpm.MyAuditVal&lt;&gt;"",UPPER(_xlpm.MyAuditVal),_xlpm.MacVal&lt;&gt;"",_xlpm.MacVal,_xlpm.CSVVal&lt;&gt;"",_xlpm.CSVVal
)),"")</f>
        <v/>
      </c>
      <c r="K449" s="54" t="str" cm="1">
        <f t="array" ref="K449">IFERROR(_xlfn.LET(
_xlpm.CSVVal,_xlfn.XLOOKUP($A449,CSV!$A:$A,CSV!M:M,""),
_xlpm.MacVal,_xlfn.XLOOKUP($A449,Output_Mac!$A:$A,Output_Mac!L:L,""),
_xlpm.MyAuditVal,_xlfn.XLOOKUP($A449,My_Audit!$A:$A,My_Audit!J:J,""),
_xlfn.IFS(_xlpm.MyAuditVal&lt;&gt;"",UPPER(_xlpm.MyAuditVal),_xlpm.MacVal&lt;&gt;"",_xlpm.MacVal,_xlpm.CSVVal&lt;&gt;"",_xlpm.CSVVal
)),"")</f>
        <v/>
      </c>
      <c r="L449" s="54" t="str" cm="1">
        <f t="array" ref="L449">IFERROR(_xlfn.LET(
_xlpm.CSVVal,_xlfn.XLOOKUP($A449,CSV!$A:$A,CSV!O:O,""),
_xlpm.MacVal,_xlfn.XLOOKUP($A449,Output_Mac!$A:$A,Output_Mac!M:M,""),
_xlpm.MyAuditVal,_xlfn.XLOOKUP($A449,My_Audit!$A:$A,My_Audit!K:K,""),
_xlfn.IFS(_xlpm.MyAuditVal&lt;&gt;"",UPPER(_xlpm.MyAuditVal),_xlpm.MacVal&lt;&gt;"",_xlpm.MacVal,_xlpm.CSVVal&lt;&gt;"",_xlpm.CSVVal
)),"")</f>
        <v/>
      </c>
      <c r="M449" s="54" t="str">
        <f>_xlfn.LET(
    _xlpm.CSVVal, _xlfn.XLOOKUP($A449, CSV!$A:$A, CSV!AD:AD, ""),
    _xlpm.MacVal, _xlfn.XLOOKUP($A449, Output_Mac!$A:$A, Output_Mac!S:S, ""),
    _xlpm.MyAuditVal, _xlfn.XLOOKUP($A449, My_Audit!$A:$A, My_Audit!N:N, ""),
    _xlfn.TEXTJOIN(", ", TRUE, _xlpm.MyAuditVal, _xlpm.MacVal, _xlpm.CSVVal)
)</f>
        <v/>
      </c>
      <c r="N449" s="54" t="str" cm="1">
        <f t="array" ref="N449">IFERROR(_xlfn.LET(
_xlpm.CSVVal,_xlfn.XLOOKUP($A449,CSV!$A:$A,CSV!AF:AF,""),
_xlpm.MacVal,_xlfn.XLOOKUP($A449,Output_Mac!$A:$A,Output_Mac!U:U,""),
_xlpm.MyAuditVal,_xlfn.XLOOKUP($A449,My_Audit!$A:$A,My_Audit!O:O,""),
_xlfn.IFS(_xlpm.MyAuditVal&lt;&gt;"",UPPER(_xlpm.MyAuditVal),_xlpm.MacVal&lt;&gt;"",_xlpm.MacVal,_xlpm.CSVVal&lt;&gt;"",_xlpm.CSVVal
)),"")</f>
        <v/>
      </c>
      <c r="O449" s="54"/>
      <c r="P449" s="54"/>
      <c r="Q449" s="54"/>
      <c r="R449" s="54"/>
      <c r="S449" s="54"/>
      <c r="T449" s="54"/>
      <c r="U449" s="39"/>
    </row>
    <row r="450" spans="1:21">
      <c r="A450" s="54" t="str">
        <f>_xlfn.TEXTJOIN("",TRUE,Input!$B$2,ROW(My_Audit!A449))</f>
        <v>XX449</v>
      </c>
      <c r="B450" s="54" t="str">
        <f>_xlfn.TEXTJOIN("-",TRUE,"ITD",Input!$A$2,A450)</f>
        <v>ITD-SHRXXX-XX449</v>
      </c>
      <c r="C450" s="54" t="str" cm="1">
        <f t="array" ref="C450">IFERROR(_xlfn.LET(
_xlpm.CSVVal,_xlfn.XLOOKUP($A450,CSV!$A:$A,CSV!B:B,""),
_xlpm.MacVal,_xlfn.XLOOKUP($A450,Output_Mac!$A:$A,Output_Mac!B:B,""),
_xlpm.MyAuditVal,_xlfn.XLOOKUP($A450,My_Audit!$A:$A,My_Audit!B:B,""),
_xlfn.IFS(_xlpm.MyAuditVal&lt;&gt;"",UPPER(_xlpm.MyAuditVal),_xlpm.MacVal&lt;&gt;"",_xlpm.MacVal,_xlpm.CSVVal&lt;&gt;"",_xlpm.CSVVal
)),"")</f>
        <v/>
      </c>
      <c r="D450" s="55" t="str">
        <f>_xlfn.XLOOKUP(A450,My_Audit!A:A,My_Audit!D:D,"")&amp;""</f>
        <v/>
      </c>
      <c r="E450" s="55" t="str" cm="1">
        <f t="array" ref="E450">IFERROR(_xlfn.LET(
_xlpm.CSVVal,_xlfn.XLOOKUP($A450,CSV!$A:$A,CSV!D:D,""),
_xlpm.MacVal,_xlfn.XLOOKUP($A450,Output_Mac!$A:$A,Output_Mac!C:C,""),
_xlpm.MyAuditVal,_xlfn.XLOOKUP($A450,My_Audit!$A:$A,My_Audit!D:D,""),
_xlfn.IFS(_xlpm.MyAuditVal&lt;&gt;"",_xlpm.MyAuditVal,_xlpm.MacVal&lt;&gt;"",_xlpm.MacVal,_xlpm.CSVVal&lt;&gt;"",_xlpm.CSVVal
)),"")</f>
        <v/>
      </c>
      <c r="F450" s="54" t="str" cm="1">
        <f t="array" ref="F450">IFERROR(_xlfn.LET(
_xlpm.CSVVal,_xlfn.XLOOKUP($A450,CSV!$A:$A,CSV!E:E,""),
_xlpm.MacVal,_xlfn.XLOOKUP($A450,Output_Mac!$A:$A,Output_Mac!F:F,""),
_xlpm.MyAuditVal,_xlfn.XLOOKUP($A450,My_Audit!$A:$A,My_Audit!E:E,""),
_xlfn.IFS(_xlpm.MyAuditVal&lt;&gt;"",_xlpm.MyAuditVal,_xlpm.MacVal&lt;&gt;"",_xlpm.MacVal,_xlpm.CSVVal&lt;&gt;"",PROPER(_xlpm.CSVVal)
)),"")</f>
        <v/>
      </c>
      <c r="G450" s="54" t="str" cm="1">
        <f t="array" ref="G450">IFERROR(_xlfn.LET(
_xlpm.CSVVal,_xlfn.XLOOKUP($A450,CSV!$A:$A,CSV!F:F,""),
_xlpm.MacVal,_xlfn.XLOOKUP($A450,Output_Mac!$A:$A,Output_Mac!H:H,""),
_xlpm.MyAuditVal,_xlfn.XLOOKUP($A450,My_Audit!$A:$A,My_Audit!F:F,""),
_xlfn.IFS(_xlpm.MyAuditVal&lt;&gt;"",_xlpm.MyAuditVal,_xlpm.MacVal&lt;&gt;"",_xlpm.MacVal,_xlpm.CSVVal&lt;&gt;"",_xlpm.CSVVal
)),"")</f>
        <v/>
      </c>
      <c r="H450" s="54" t="str">
        <f>_xlfn.XLOOKUP(A450,Output_Mac!A:A,Output_Mac!I:I,"")</f>
        <v/>
      </c>
      <c r="I450" s="54" t="str" cm="1">
        <f t="array" ref="I450">IFERROR(_xlfn.LET(
_xlpm.CSVVal,_xlfn.XLOOKUP($A450,CSV!$A:$A,CSV!G:G,""),
_xlpm.MacVal,_xlfn.XLOOKUP($A450,Output_Mac!$A:$A,Output_Mac!J:J,""),
_xlpm.MyAuditVal,_xlfn.XLOOKUP($A450,My_Audit!$A:$A,My_Audit!H:H,""),
_xlfn.IFS(_xlpm.MyAuditVal&lt;&gt;"",UPPER(_xlpm.MyAuditVal),_xlpm.MacVal&lt;&gt;"",_xlpm.MacVal,_xlpm.CSVVal&lt;&gt;"",_xlpm.CSVVal
)),"")</f>
        <v/>
      </c>
      <c r="J450" s="54" t="str" cm="1">
        <f t="array" ref="J450">IFERROR(_xlfn.LET(
_xlpm.CSVVal,_xlfn.XLOOKUP($A450,CSV!$A:$A,CSV!I:I,""),
_xlpm.MacVal,_xlfn.XLOOKUP($A450,Output_Mac!$A:$A,Output_Mac!K:K,""),
_xlpm.MyAuditVal,_xlfn.XLOOKUP($A450,My_Audit!$A:$A,My_Audit!I:I,""),
_xlfn.IFS(_xlpm.MyAuditVal&lt;&gt;"",UPPER(_xlpm.MyAuditVal),_xlpm.MacVal&lt;&gt;"",_xlpm.MacVal,_xlpm.CSVVal&lt;&gt;"",_xlpm.CSVVal
)),"")</f>
        <v/>
      </c>
      <c r="K450" s="54" t="str" cm="1">
        <f t="array" ref="K450">IFERROR(_xlfn.LET(
_xlpm.CSVVal,_xlfn.XLOOKUP($A450,CSV!$A:$A,CSV!M:M,""),
_xlpm.MacVal,_xlfn.XLOOKUP($A450,Output_Mac!$A:$A,Output_Mac!L:L,""),
_xlpm.MyAuditVal,_xlfn.XLOOKUP($A450,My_Audit!$A:$A,My_Audit!J:J,""),
_xlfn.IFS(_xlpm.MyAuditVal&lt;&gt;"",UPPER(_xlpm.MyAuditVal),_xlpm.MacVal&lt;&gt;"",_xlpm.MacVal,_xlpm.CSVVal&lt;&gt;"",_xlpm.CSVVal
)),"")</f>
        <v/>
      </c>
      <c r="L450" s="54" t="str" cm="1">
        <f t="array" ref="L450">IFERROR(_xlfn.LET(
_xlpm.CSVVal,_xlfn.XLOOKUP($A450,CSV!$A:$A,CSV!O:O,""),
_xlpm.MacVal,_xlfn.XLOOKUP($A450,Output_Mac!$A:$A,Output_Mac!M:M,""),
_xlpm.MyAuditVal,_xlfn.XLOOKUP($A450,My_Audit!$A:$A,My_Audit!K:K,""),
_xlfn.IFS(_xlpm.MyAuditVal&lt;&gt;"",UPPER(_xlpm.MyAuditVal),_xlpm.MacVal&lt;&gt;"",_xlpm.MacVal,_xlpm.CSVVal&lt;&gt;"",_xlpm.CSVVal
)),"")</f>
        <v/>
      </c>
      <c r="M450" s="54" t="str">
        <f>_xlfn.LET(
    _xlpm.CSVVal, _xlfn.XLOOKUP($A450, CSV!$A:$A, CSV!AD:AD, ""),
    _xlpm.MacVal, _xlfn.XLOOKUP($A450, Output_Mac!$A:$A, Output_Mac!S:S, ""),
    _xlpm.MyAuditVal, _xlfn.XLOOKUP($A450, My_Audit!$A:$A, My_Audit!N:N, ""),
    _xlfn.TEXTJOIN(", ", TRUE, _xlpm.MyAuditVal, _xlpm.MacVal, _xlpm.CSVVal)
)</f>
        <v/>
      </c>
      <c r="N450" s="54" t="str" cm="1">
        <f t="array" ref="N450">IFERROR(_xlfn.LET(
_xlpm.CSVVal,_xlfn.XLOOKUP($A450,CSV!$A:$A,CSV!AF:AF,""),
_xlpm.MacVal,_xlfn.XLOOKUP($A450,Output_Mac!$A:$A,Output_Mac!U:U,""),
_xlpm.MyAuditVal,_xlfn.XLOOKUP($A450,My_Audit!$A:$A,My_Audit!O:O,""),
_xlfn.IFS(_xlpm.MyAuditVal&lt;&gt;"",UPPER(_xlpm.MyAuditVal),_xlpm.MacVal&lt;&gt;"",_xlpm.MacVal,_xlpm.CSVVal&lt;&gt;"",_xlpm.CSVVal
)),"")</f>
        <v/>
      </c>
      <c r="O450" s="54"/>
      <c r="P450" s="54"/>
      <c r="Q450" s="54"/>
      <c r="R450" s="54"/>
      <c r="S450" s="54"/>
      <c r="T450" s="54"/>
      <c r="U450" s="39"/>
    </row>
    <row r="451" spans="1:21">
      <c r="A451" s="54" t="str">
        <f>_xlfn.TEXTJOIN("",TRUE,Input!$B$2,ROW(My_Audit!A450))</f>
        <v>XX450</v>
      </c>
      <c r="B451" s="54" t="str">
        <f>_xlfn.TEXTJOIN("-",TRUE,"ITD",Input!$A$2,A451)</f>
        <v>ITD-SHRXXX-XX450</v>
      </c>
      <c r="C451" s="54" t="str" cm="1">
        <f t="array" ref="C451">IFERROR(_xlfn.LET(
_xlpm.CSVVal,_xlfn.XLOOKUP($A451,CSV!$A:$A,CSV!B:B,""),
_xlpm.MacVal,_xlfn.XLOOKUP($A451,Output_Mac!$A:$A,Output_Mac!B:B,""),
_xlpm.MyAuditVal,_xlfn.XLOOKUP($A451,My_Audit!$A:$A,My_Audit!B:B,""),
_xlfn.IFS(_xlpm.MyAuditVal&lt;&gt;"",UPPER(_xlpm.MyAuditVal),_xlpm.MacVal&lt;&gt;"",_xlpm.MacVal,_xlpm.CSVVal&lt;&gt;"",_xlpm.CSVVal
)),"")</f>
        <v/>
      </c>
      <c r="D451" s="55" t="str">
        <f>_xlfn.XLOOKUP(A451,My_Audit!A:A,My_Audit!D:D,"")&amp;""</f>
        <v/>
      </c>
      <c r="E451" s="55" t="str" cm="1">
        <f t="array" ref="E451">IFERROR(_xlfn.LET(
_xlpm.CSVVal,_xlfn.XLOOKUP($A451,CSV!$A:$A,CSV!D:D,""),
_xlpm.MacVal,_xlfn.XLOOKUP($A451,Output_Mac!$A:$A,Output_Mac!C:C,""),
_xlpm.MyAuditVal,_xlfn.XLOOKUP($A451,My_Audit!$A:$A,My_Audit!D:D,""),
_xlfn.IFS(_xlpm.MyAuditVal&lt;&gt;"",_xlpm.MyAuditVal,_xlpm.MacVal&lt;&gt;"",_xlpm.MacVal,_xlpm.CSVVal&lt;&gt;"",_xlpm.CSVVal
)),"")</f>
        <v/>
      </c>
      <c r="F451" s="54" t="str" cm="1">
        <f t="array" ref="F451">IFERROR(_xlfn.LET(
_xlpm.CSVVal,_xlfn.XLOOKUP($A451,CSV!$A:$A,CSV!E:E,""),
_xlpm.MacVal,_xlfn.XLOOKUP($A451,Output_Mac!$A:$A,Output_Mac!F:F,""),
_xlpm.MyAuditVal,_xlfn.XLOOKUP($A451,My_Audit!$A:$A,My_Audit!E:E,""),
_xlfn.IFS(_xlpm.MyAuditVal&lt;&gt;"",_xlpm.MyAuditVal,_xlpm.MacVal&lt;&gt;"",_xlpm.MacVal,_xlpm.CSVVal&lt;&gt;"",PROPER(_xlpm.CSVVal)
)),"")</f>
        <v/>
      </c>
      <c r="G451" s="54" t="str" cm="1">
        <f t="array" ref="G451">IFERROR(_xlfn.LET(
_xlpm.CSVVal,_xlfn.XLOOKUP($A451,CSV!$A:$A,CSV!F:F,""),
_xlpm.MacVal,_xlfn.XLOOKUP($A451,Output_Mac!$A:$A,Output_Mac!H:H,""),
_xlpm.MyAuditVal,_xlfn.XLOOKUP($A451,My_Audit!$A:$A,My_Audit!F:F,""),
_xlfn.IFS(_xlpm.MyAuditVal&lt;&gt;"",_xlpm.MyAuditVal,_xlpm.MacVal&lt;&gt;"",_xlpm.MacVal,_xlpm.CSVVal&lt;&gt;"",_xlpm.CSVVal
)),"")</f>
        <v/>
      </c>
      <c r="H451" s="54" t="str">
        <f>_xlfn.XLOOKUP(A451,Output_Mac!A:A,Output_Mac!I:I,"")</f>
        <v/>
      </c>
      <c r="I451" s="54" t="str" cm="1">
        <f t="array" ref="I451">IFERROR(_xlfn.LET(
_xlpm.CSVVal,_xlfn.XLOOKUP($A451,CSV!$A:$A,CSV!G:G,""),
_xlpm.MacVal,_xlfn.XLOOKUP($A451,Output_Mac!$A:$A,Output_Mac!J:J,""),
_xlpm.MyAuditVal,_xlfn.XLOOKUP($A451,My_Audit!$A:$A,My_Audit!H:H,""),
_xlfn.IFS(_xlpm.MyAuditVal&lt;&gt;"",UPPER(_xlpm.MyAuditVal),_xlpm.MacVal&lt;&gt;"",_xlpm.MacVal,_xlpm.CSVVal&lt;&gt;"",_xlpm.CSVVal
)),"")</f>
        <v/>
      </c>
      <c r="J451" s="54" t="str" cm="1">
        <f t="array" ref="J451">IFERROR(_xlfn.LET(
_xlpm.CSVVal,_xlfn.XLOOKUP($A451,CSV!$A:$A,CSV!I:I,""),
_xlpm.MacVal,_xlfn.XLOOKUP($A451,Output_Mac!$A:$A,Output_Mac!K:K,""),
_xlpm.MyAuditVal,_xlfn.XLOOKUP($A451,My_Audit!$A:$A,My_Audit!I:I,""),
_xlfn.IFS(_xlpm.MyAuditVal&lt;&gt;"",UPPER(_xlpm.MyAuditVal),_xlpm.MacVal&lt;&gt;"",_xlpm.MacVal,_xlpm.CSVVal&lt;&gt;"",_xlpm.CSVVal
)),"")</f>
        <v/>
      </c>
      <c r="K451" s="54" t="str" cm="1">
        <f t="array" ref="K451">IFERROR(_xlfn.LET(
_xlpm.CSVVal,_xlfn.XLOOKUP($A451,CSV!$A:$A,CSV!M:M,""),
_xlpm.MacVal,_xlfn.XLOOKUP($A451,Output_Mac!$A:$A,Output_Mac!L:L,""),
_xlpm.MyAuditVal,_xlfn.XLOOKUP($A451,My_Audit!$A:$A,My_Audit!J:J,""),
_xlfn.IFS(_xlpm.MyAuditVal&lt;&gt;"",UPPER(_xlpm.MyAuditVal),_xlpm.MacVal&lt;&gt;"",_xlpm.MacVal,_xlpm.CSVVal&lt;&gt;"",_xlpm.CSVVal
)),"")</f>
        <v/>
      </c>
      <c r="L451" s="54" t="str" cm="1">
        <f t="array" ref="L451">IFERROR(_xlfn.LET(
_xlpm.CSVVal,_xlfn.XLOOKUP($A451,CSV!$A:$A,CSV!O:O,""),
_xlpm.MacVal,_xlfn.XLOOKUP($A451,Output_Mac!$A:$A,Output_Mac!M:M,""),
_xlpm.MyAuditVal,_xlfn.XLOOKUP($A451,My_Audit!$A:$A,My_Audit!K:K,""),
_xlfn.IFS(_xlpm.MyAuditVal&lt;&gt;"",UPPER(_xlpm.MyAuditVal),_xlpm.MacVal&lt;&gt;"",_xlpm.MacVal,_xlpm.CSVVal&lt;&gt;"",_xlpm.CSVVal
)),"")</f>
        <v/>
      </c>
      <c r="M451" s="54" t="str">
        <f>_xlfn.LET(
    _xlpm.CSVVal, _xlfn.XLOOKUP($A451, CSV!$A:$A, CSV!AD:AD, ""),
    _xlpm.MacVal, _xlfn.XLOOKUP($A451, Output_Mac!$A:$A, Output_Mac!S:S, ""),
    _xlpm.MyAuditVal, _xlfn.XLOOKUP($A451, My_Audit!$A:$A, My_Audit!N:N, ""),
    _xlfn.TEXTJOIN(", ", TRUE, _xlpm.MyAuditVal, _xlpm.MacVal, _xlpm.CSVVal)
)</f>
        <v/>
      </c>
      <c r="N451" s="54" t="str" cm="1">
        <f t="array" ref="N451">IFERROR(_xlfn.LET(
_xlpm.CSVVal,_xlfn.XLOOKUP($A451,CSV!$A:$A,CSV!AF:AF,""),
_xlpm.MacVal,_xlfn.XLOOKUP($A451,Output_Mac!$A:$A,Output_Mac!U:U,""),
_xlpm.MyAuditVal,_xlfn.XLOOKUP($A451,My_Audit!$A:$A,My_Audit!O:O,""),
_xlfn.IFS(_xlpm.MyAuditVal&lt;&gt;"",UPPER(_xlpm.MyAuditVal),_xlpm.MacVal&lt;&gt;"",_xlpm.MacVal,_xlpm.CSVVal&lt;&gt;"",_xlpm.CSVVal
)),"")</f>
        <v/>
      </c>
      <c r="O451" s="54"/>
      <c r="P451" s="54"/>
      <c r="Q451" s="54"/>
      <c r="R451" s="54"/>
      <c r="S451" s="54"/>
      <c r="T451" s="54"/>
      <c r="U451" s="39"/>
    </row>
    <row r="452" spans="1:21">
      <c r="A452" s="54" t="str">
        <f>_xlfn.TEXTJOIN("",TRUE,Input!$B$2,ROW(My_Audit!A451))</f>
        <v>XX451</v>
      </c>
      <c r="B452" s="54" t="str">
        <f>_xlfn.TEXTJOIN("-",TRUE,"ITD",Input!$A$2,A452)</f>
        <v>ITD-SHRXXX-XX451</v>
      </c>
      <c r="C452" s="54" t="str" cm="1">
        <f t="array" ref="C452">IFERROR(_xlfn.LET(
_xlpm.CSVVal,_xlfn.XLOOKUP($A452,CSV!$A:$A,CSV!B:B,""),
_xlpm.MacVal,_xlfn.XLOOKUP($A452,Output_Mac!$A:$A,Output_Mac!B:B,""),
_xlpm.MyAuditVal,_xlfn.XLOOKUP($A452,My_Audit!$A:$A,My_Audit!B:B,""),
_xlfn.IFS(_xlpm.MyAuditVal&lt;&gt;"",UPPER(_xlpm.MyAuditVal),_xlpm.MacVal&lt;&gt;"",_xlpm.MacVal,_xlpm.CSVVal&lt;&gt;"",_xlpm.CSVVal
)),"")</f>
        <v/>
      </c>
      <c r="D452" s="55" t="str">
        <f>_xlfn.XLOOKUP(A452,My_Audit!A:A,My_Audit!D:D,"")&amp;""</f>
        <v/>
      </c>
      <c r="E452" s="55" t="str" cm="1">
        <f t="array" ref="E452">IFERROR(_xlfn.LET(
_xlpm.CSVVal,_xlfn.XLOOKUP($A452,CSV!$A:$A,CSV!D:D,""),
_xlpm.MacVal,_xlfn.XLOOKUP($A452,Output_Mac!$A:$A,Output_Mac!C:C,""),
_xlpm.MyAuditVal,_xlfn.XLOOKUP($A452,My_Audit!$A:$A,My_Audit!D:D,""),
_xlfn.IFS(_xlpm.MyAuditVal&lt;&gt;"",_xlpm.MyAuditVal,_xlpm.MacVal&lt;&gt;"",_xlpm.MacVal,_xlpm.CSVVal&lt;&gt;"",_xlpm.CSVVal
)),"")</f>
        <v/>
      </c>
      <c r="F452" s="54" t="str" cm="1">
        <f t="array" ref="F452">IFERROR(_xlfn.LET(
_xlpm.CSVVal,_xlfn.XLOOKUP($A452,CSV!$A:$A,CSV!E:E,""),
_xlpm.MacVal,_xlfn.XLOOKUP($A452,Output_Mac!$A:$A,Output_Mac!F:F,""),
_xlpm.MyAuditVal,_xlfn.XLOOKUP($A452,My_Audit!$A:$A,My_Audit!E:E,""),
_xlfn.IFS(_xlpm.MyAuditVal&lt;&gt;"",_xlpm.MyAuditVal,_xlpm.MacVal&lt;&gt;"",_xlpm.MacVal,_xlpm.CSVVal&lt;&gt;"",PROPER(_xlpm.CSVVal)
)),"")</f>
        <v/>
      </c>
      <c r="G452" s="54" t="str" cm="1">
        <f t="array" ref="G452">IFERROR(_xlfn.LET(
_xlpm.CSVVal,_xlfn.XLOOKUP($A452,CSV!$A:$A,CSV!F:F,""),
_xlpm.MacVal,_xlfn.XLOOKUP($A452,Output_Mac!$A:$A,Output_Mac!H:H,""),
_xlpm.MyAuditVal,_xlfn.XLOOKUP($A452,My_Audit!$A:$A,My_Audit!F:F,""),
_xlfn.IFS(_xlpm.MyAuditVal&lt;&gt;"",_xlpm.MyAuditVal,_xlpm.MacVal&lt;&gt;"",_xlpm.MacVal,_xlpm.CSVVal&lt;&gt;"",_xlpm.CSVVal
)),"")</f>
        <v/>
      </c>
      <c r="H452" s="54" t="str">
        <f>_xlfn.XLOOKUP(A452,Output_Mac!A:A,Output_Mac!I:I,"")</f>
        <v/>
      </c>
      <c r="I452" s="54" t="str" cm="1">
        <f t="array" ref="I452">IFERROR(_xlfn.LET(
_xlpm.CSVVal,_xlfn.XLOOKUP($A452,CSV!$A:$A,CSV!G:G,""),
_xlpm.MacVal,_xlfn.XLOOKUP($A452,Output_Mac!$A:$A,Output_Mac!J:J,""),
_xlpm.MyAuditVal,_xlfn.XLOOKUP($A452,My_Audit!$A:$A,My_Audit!H:H,""),
_xlfn.IFS(_xlpm.MyAuditVal&lt;&gt;"",UPPER(_xlpm.MyAuditVal),_xlpm.MacVal&lt;&gt;"",_xlpm.MacVal,_xlpm.CSVVal&lt;&gt;"",_xlpm.CSVVal
)),"")</f>
        <v/>
      </c>
      <c r="J452" s="54" t="str" cm="1">
        <f t="array" ref="J452">IFERROR(_xlfn.LET(
_xlpm.CSVVal,_xlfn.XLOOKUP($A452,CSV!$A:$A,CSV!I:I,""),
_xlpm.MacVal,_xlfn.XLOOKUP($A452,Output_Mac!$A:$A,Output_Mac!K:K,""),
_xlpm.MyAuditVal,_xlfn.XLOOKUP($A452,My_Audit!$A:$A,My_Audit!I:I,""),
_xlfn.IFS(_xlpm.MyAuditVal&lt;&gt;"",UPPER(_xlpm.MyAuditVal),_xlpm.MacVal&lt;&gt;"",_xlpm.MacVal,_xlpm.CSVVal&lt;&gt;"",_xlpm.CSVVal
)),"")</f>
        <v/>
      </c>
      <c r="K452" s="54" t="str" cm="1">
        <f t="array" ref="K452">IFERROR(_xlfn.LET(
_xlpm.CSVVal,_xlfn.XLOOKUP($A452,CSV!$A:$A,CSV!M:M,""),
_xlpm.MacVal,_xlfn.XLOOKUP($A452,Output_Mac!$A:$A,Output_Mac!L:L,""),
_xlpm.MyAuditVal,_xlfn.XLOOKUP($A452,My_Audit!$A:$A,My_Audit!J:J,""),
_xlfn.IFS(_xlpm.MyAuditVal&lt;&gt;"",UPPER(_xlpm.MyAuditVal),_xlpm.MacVal&lt;&gt;"",_xlpm.MacVal,_xlpm.CSVVal&lt;&gt;"",_xlpm.CSVVal
)),"")</f>
        <v/>
      </c>
      <c r="L452" s="54" t="str" cm="1">
        <f t="array" ref="L452">IFERROR(_xlfn.LET(
_xlpm.CSVVal,_xlfn.XLOOKUP($A452,CSV!$A:$A,CSV!O:O,""),
_xlpm.MacVal,_xlfn.XLOOKUP($A452,Output_Mac!$A:$A,Output_Mac!M:M,""),
_xlpm.MyAuditVal,_xlfn.XLOOKUP($A452,My_Audit!$A:$A,My_Audit!K:K,""),
_xlfn.IFS(_xlpm.MyAuditVal&lt;&gt;"",UPPER(_xlpm.MyAuditVal),_xlpm.MacVal&lt;&gt;"",_xlpm.MacVal,_xlpm.CSVVal&lt;&gt;"",_xlpm.CSVVal
)),"")</f>
        <v/>
      </c>
      <c r="M452" s="54" t="str">
        <f>_xlfn.LET(
    _xlpm.CSVVal, _xlfn.XLOOKUP($A452, CSV!$A:$A, CSV!AD:AD, ""),
    _xlpm.MacVal, _xlfn.XLOOKUP($A452, Output_Mac!$A:$A, Output_Mac!S:S, ""),
    _xlpm.MyAuditVal, _xlfn.XLOOKUP($A452, My_Audit!$A:$A, My_Audit!N:N, ""),
    _xlfn.TEXTJOIN(", ", TRUE, _xlpm.MyAuditVal, _xlpm.MacVal, _xlpm.CSVVal)
)</f>
        <v/>
      </c>
      <c r="N452" s="54" t="str" cm="1">
        <f t="array" ref="N452">IFERROR(_xlfn.LET(
_xlpm.CSVVal,_xlfn.XLOOKUP($A452,CSV!$A:$A,CSV!AF:AF,""),
_xlpm.MacVal,_xlfn.XLOOKUP($A452,Output_Mac!$A:$A,Output_Mac!U:U,""),
_xlpm.MyAuditVal,_xlfn.XLOOKUP($A452,My_Audit!$A:$A,My_Audit!O:O,""),
_xlfn.IFS(_xlpm.MyAuditVal&lt;&gt;"",UPPER(_xlpm.MyAuditVal),_xlpm.MacVal&lt;&gt;"",_xlpm.MacVal,_xlpm.CSVVal&lt;&gt;"",_xlpm.CSVVal
)),"")</f>
        <v/>
      </c>
      <c r="O452" s="54"/>
      <c r="P452" s="54"/>
      <c r="Q452" s="54"/>
      <c r="R452" s="54"/>
      <c r="S452" s="54"/>
      <c r="T452" s="54"/>
      <c r="U452" s="39"/>
    </row>
    <row r="453" spans="1:21">
      <c r="A453" s="54" t="str">
        <f>_xlfn.TEXTJOIN("",TRUE,Input!$B$2,ROW(My_Audit!A452))</f>
        <v>XX452</v>
      </c>
      <c r="B453" s="54" t="str">
        <f>_xlfn.TEXTJOIN("-",TRUE,"ITD",Input!$A$2,A453)</f>
        <v>ITD-SHRXXX-XX452</v>
      </c>
      <c r="C453" s="54" t="str" cm="1">
        <f t="array" ref="C453">IFERROR(_xlfn.LET(
_xlpm.CSVVal,_xlfn.XLOOKUP($A453,CSV!$A:$A,CSV!B:B,""),
_xlpm.MacVal,_xlfn.XLOOKUP($A453,Output_Mac!$A:$A,Output_Mac!B:B,""),
_xlpm.MyAuditVal,_xlfn.XLOOKUP($A453,My_Audit!$A:$A,My_Audit!B:B,""),
_xlfn.IFS(_xlpm.MyAuditVal&lt;&gt;"",UPPER(_xlpm.MyAuditVal),_xlpm.MacVal&lt;&gt;"",_xlpm.MacVal,_xlpm.CSVVal&lt;&gt;"",_xlpm.CSVVal
)),"")</f>
        <v/>
      </c>
      <c r="D453" s="55" t="str">
        <f>_xlfn.XLOOKUP(A453,My_Audit!A:A,My_Audit!D:D,"")&amp;""</f>
        <v/>
      </c>
      <c r="E453" s="55" t="str" cm="1">
        <f t="array" ref="E453">IFERROR(_xlfn.LET(
_xlpm.CSVVal,_xlfn.XLOOKUP($A453,CSV!$A:$A,CSV!D:D,""),
_xlpm.MacVal,_xlfn.XLOOKUP($A453,Output_Mac!$A:$A,Output_Mac!C:C,""),
_xlpm.MyAuditVal,_xlfn.XLOOKUP($A453,My_Audit!$A:$A,My_Audit!D:D,""),
_xlfn.IFS(_xlpm.MyAuditVal&lt;&gt;"",_xlpm.MyAuditVal,_xlpm.MacVal&lt;&gt;"",_xlpm.MacVal,_xlpm.CSVVal&lt;&gt;"",_xlpm.CSVVal
)),"")</f>
        <v/>
      </c>
      <c r="F453" s="54" t="str" cm="1">
        <f t="array" ref="F453">IFERROR(_xlfn.LET(
_xlpm.CSVVal,_xlfn.XLOOKUP($A453,CSV!$A:$A,CSV!E:E,""),
_xlpm.MacVal,_xlfn.XLOOKUP($A453,Output_Mac!$A:$A,Output_Mac!F:F,""),
_xlpm.MyAuditVal,_xlfn.XLOOKUP($A453,My_Audit!$A:$A,My_Audit!E:E,""),
_xlfn.IFS(_xlpm.MyAuditVal&lt;&gt;"",_xlpm.MyAuditVal,_xlpm.MacVal&lt;&gt;"",_xlpm.MacVal,_xlpm.CSVVal&lt;&gt;"",PROPER(_xlpm.CSVVal)
)),"")</f>
        <v/>
      </c>
      <c r="G453" s="54" t="str" cm="1">
        <f t="array" ref="G453">IFERROR(_xlfn.LET(
_xlpm.CSVVal,_xlfn.XLOOKUP($A453,CSV!$A:$A,CSV!F:F,""),
_xlpm.MacVal,_xlfn.XLOOKUP($A453,Output_Mac!$A:$A,Output_Mac!H:H,""),
_xlpm.MyAuditVal,_xlfn.XLOOKUP($A453,My_Audit!$A:$A,My_Audit!F:F,""),
_xlfn.IFS(_xlpm.MyAuditVal&lt;&gt;"",_xlpm.MyAuditVal,_xlpm.MacVal&lt;&gt;"",_xlpm.MacVal,_xlpm.CSVVal&lt;&gt;"",_xlpm.CSVVal
)),"")</f>
        <v/>
      </c>
      <c r="H453" s="54" t="str">
        <f>_xlfn.XLOOKUP(A453,Output_Mac!A:A,Output_Mac!I:I,"")</f>
        <v/>
      </c>
      <c r="I453" s="54" t="str" cm="1">
        <f t="array" ref="I453">IFERROR(_xlfn.LET(
_xlpm.CSVVal,_xlfn.XLOOKUP($A453,CSV!$A:$A,CSV!G:G,""),
_xlpm.MacVal,_xlfn.XLOOKUP($A453,Output_Mac!$A:$A,Output_Mac!J:J,""),
_xlpm.MyAuditVal,_xlfn.XLOOKUP($A453,My_Audit!$A:$A,My_Audit!H:H,""),
_xlfn.IFS(_xlpm.MyAuditVal&lt;&gt;"",UPPER(_xlpm.MyAuditVal),_xlpm.MacVal&lt;&gt;"",_xlpm.MacVal,_xlpm.CSVVal&lt;&gt;"",_xlpm.CSVVal
)),"")</f>
        <v/>
      </c>
      <c r="J453" s="54" t="str" cm="1">
        <f t="array" ref="J453">IFERROR(_xlfn.LET(
_xlpm.CSVVal,_xlfn.XLOOKUP($A453,CSV!$A:$A,CSV!I:I,""),
_xlpm.MacVal,_xlfn.XLOOKUP($A453,Output_Mac!$A:$A,Output_Mac!K:K,""),
_xlpm.MyAuditVal,_xlfn.XLOOKUP($A453,My_Audit!$A:$A,My_Audit!I:I,""),
_xlfn.IFS(_xlpm.MyAuditVal&lt;&gt;"",UPPER(_xlpm.MyAuditVal),_xlpm.MacVal&lt;&gt;"",_xlpm.MacVal,_xlpm.CSVVal&lt;&gt;"",_xlpm.CSVVal
)),"")</f>
        <v/>
      </c>
      <c r="K453" s="54" t="str" cm="1">
        <f t="array" ref="K453">IFERROR(_xlfn.LET(
_xlpm.CSVVal,_xlfn.XLOOKUP($A453,CSV!$A:$A,CSV!M:M,""),
_xlpm.MacVal,_xlfn.XLOOKUP($A453,Output_Mac!$A:$A,Output_Mac!L:L,""),
_xlpm.MyAuditVal,_xlfn.XLOOKUP($A453,My_Audit!$A:$A,My_Audit!J:J,""),
_xlfn.IFS(_xlpm.MyAuditVal&lt;&gt;"",UPPER(_xlpm.MyAuditVal),_xlpm.MacVal&lt;&gt;"",_xlpm.MacVal,_xlpm.CSVVal&lt;&gt;"",_xlpm.CSVVal
)),"")</f>
        <v/>
      </c>
      <c r="L453" s="54" t="str" cm="1">
        <f t="array" ref="L453">IFERROR(_xlfn.LET(
_xlpm.CSVVal,_xlfn.XLOOKUP($A453,CSV!$A:$A,CSV!O:O,""),
_xlpm.MacVal,_xlfn.XLOOKUP($A453,Output_Mac!$A:$A,Output_Mac!M:M,""),
_xlpm.MyAuditVal,_xlfn.XLOOKUP($A453,My_Audit!$A:$A,My_Audit!K:K,""),
_xlfn.IFS(_xlpm.MyAuditVal&lt;&gt;"",UPPER(_xlpm.MyAuditVal),_xlpm.MacVal&lt;&gt;"",_xlpm.MacVal,_xlpm.CSVVal&lt;&gt;"",_xlpm.CSVVal
)),"")</f>
        <v/>
      </c>
      <c r="M453" s="54" t="str">
        <f>_xlfn.LET(
    _xlpm.CSVVal, _xlfn.XLOOKUP($A453, CSV!$A:$A, CSV!AD:AD, ""),
    _xlpm.MacVal, _xlfn.XLOOKUP($A453, Output_Mac!$A:$A, Output_Mac!S:S, ""),
    _xlpm.MyAuditVal, _xlfn.XLOOKUP($A453, My_Audit!$A:$A, My_Audit!N:N, ""),
    _xlfn.TEXTJOIN(", ", TRUE, _xlpm.MyAuditVal, _xlpm.MacVal, _xlpm.CSVVal)
)</f>
        <v/>
      </c>
      <c r="N453" s="54" t="str" cm="1">
        <f t="array" ref="N453">IFERROR(_xlfn.LET(
_xlpm.CSVVal,_xlfn.XLOOKUP($A453,CSV!$A:$A,CSV!AF:AF,""),
_xlpm.MacVal,_xlfn.XLOOKUP($A453,Output_Mac!$A:$A,Output_Mac!U:U,""),
_xlpm.MyAuditVal,_xlfn.XLOOKUP($A453,My_Audit!$A:$A,My_Audit!O:O,""),
_xlfn.IFS(_xlpm.MyAuditVal&lt;&gt;"",UPPER(_xlpm.MyAuditVal),_xlpm.MacVal&lt;&gt;"",_xlpm.MacVal,_xlpm.CSVVal&lt;&gt;"",_xlpm.CSVVal
)),"")</f>
        <v/>
      </c>
      <c r="O453" s="54"/>
      <c r="P453" s="54"/>
      <c r="Q453" s="54"/>
      <c r="R453" s="54"/>
      <c r="S453" s="54"/>
      <c r="T453" s="54"/>
      <c r="U453" s="39"/>
    </row>
    <row r="454" spans="1:21">
      <c r="A454" s="54" t="str">
        <f>_xlfn.TEXTJOIN("",TRUE,Input!$B$2,ROW(My_Audit!A453))</f>
        <v>XX453</v>
      </c>
      <c r="B454" s="54" t="str">
        <f>_xlfn.TEXTJOIN("-",TRUE,"ITD",Input!$A$2,A454)</f>
        <v>ITD-SHRXXX-XX453</v>
      </c>
      <c r="C454" s="54" t="str" cm="1">
        <f t="array" ref="C454">IFERROR(_xlfn.LET(
_xlpm.CSVVal,_xlfn.XLOOKUP($A454,CSV!$A:$A,CSV!B:B,""),
_xlpm.MacVal,_xlfn.XLOOKUP($A454,Output_Mac!$A:$A,Output_Mac!B:B,""),
_xlpm.MyAuditVal,_xlfn.XLOOKUP($A454,My_Audit!$A:$A,My_Audit!B:B,""),
_xlfn.IFS(_xlpm.MyAuditVal&lt;&gt;"",UPPER(_xlpm.MyAuditVal),_xlpm.MacVal&lt;&gt;"",_xlpm.MacVal,_xlpm.CSVVal&lt;&gt;"",_xlpm.CSVVal
)),"")</f>
        <v/>
      </c>
      <c r="D454" s="55" t="str">
        <f>_xlfn.XLOOKUP(A454,My_Audit!A:A,My_Audit!D:D,"")&amp;""</f>
        <v/>
      </c>
      <c r="E454" s="55" t="str" cm="1">
        <f t="array" ref="E454">IFERROR(_xlfn.LET(
_xlpm.CSVVal,_xlfn.XLOOKUP($A454,CSV!$A:$A,CSV!D:D,""),
_xlpm.MacVal,_xlfn.XLOOKUP($A454,Output_Mac!$A:$A,Output_Mac!C:C,""),
_xlpm.MyAuditVal,_xlfn.XLOOKUP($A454,My_Audit!$A:$A,My_Audit!D:D,""),
_xlfn.IFS(_xlpm.MyAuditVal&lt;&gt;"",_xlpm.MyAuditVal,_xlpm.MacVal&lt;&gt;"",_xlpm.MacVal,_xlpm.CSVVal&lt;&gt;"",_xlpm.CSVVal
)),"")</f>
        <v/>
      </c>
      <c r="F454" s="54" t="str" cm="1">
        <f t="array" ref="F454">IFERROR(_xlfn.LET(
_xlpm.CSVVal,_xlfn.XLOOKUP($A454,CSV!$A:$A,CSV!E:E,""),
_xlpm.MacVal,_xlfn.XLOOKUP($A454,Output_Mac!$A:$A,Output_Mac!F:F,""),
_xlpm.MyAuditVal,_xlfn.XLOOKUP($A454,My_Audit!$A:$A,My_Audit!E:E,""),
_xlfn.IFS(_xlpm.MyAuditVal&lt;&gt;"",_xlpm.MyAuditVal,_xlpm.MacVal&lt;&gt;"",_xlpm.MacVal,_xlpm.CSVVal&lt;&gt;"",PROPER(_xlpm.CSVVal)
)),"")</f>
        <v/>
      </c>
      <c r="G454" s="54" t="str" cm="1">
        <f t="array" ref="G454">IFERROR(_xlfn.LET(
_xlpm.CSVVal,_xlfn.XLOOKUP($A454,CSV!$A:$A,CSV!F:F,""),
_xlpm.MacVal,_xlfn.XLOOKUP($A454,Output_Mac!$A:$A,Output_Mac!H:H,""),
_xlpm.MyAuditVal,_xlfn.XLOOKUP($A454,My_Audit!$A:$A,My_Audit!F:F,""),
_xlfn.IFS(_xlpm.MyAuditVal&lt;&gt;"",_xlpm.MyAuditVal,_xlpm.MacVal&lt;&gt;"",_xlpm.MacVal,_xlpm.CSVVal&lt;&gt;"",_xlpm.CSVVal
)),"")</f>
        <v/>
      </c>
      <c r="H454" s="54" t="str">
        <f>_xlfn.XLOOKUP(A454,Output_Mac!A:A,Output_Mac!I:I,"")</f>
        <v/>
      </c>
      <c r="I454" s="54" t="str" cm="1">
        <f t="array" ref="I454">IFERROR(_xlfn.LET(
_xlpm.CSVVal,_xlfn.XLOOKUP($A454,CSV!$A:$A,CSV!G:G,""),
_xlpm.MacVal,_xlfn.XLOOKUP($A454,Output_Mac!$A:$A,Output_Mac!J:J,""),
_xlpm.MyAuditVal,_xlfn.XLOOKUP($A454,My_Audit!$A:$A,My_Audit!H:H,""),
_xlfn.IFS(_xlpm.MyAuditVal&lt;&gt;"",UPPER(_xlpm.MyAuditVal),_xlpm.MacVal&lt;&gt;"",_xlpm.MacVal,_xlpm.CSVVal&lt;&gt;"",_xlpm.CSVVal
)),"")</f>
        <v/>
      </c>
      <c r="J454" s="54" t="str" cm="1">
        <f t="array" ref="J454">IFERROR(_xlfn.LET(
_xlpm.CSVVal,_xlfn.XLOOKUP($A454,CSV!$A:$A,CSV!I:I,""),
_xlpm.MacVal,_xlfn.XLOOKUP($A454,Output_Mac!$A:$A,Output_Mac!K:K,""),
_xlpm.MyAuditVal,_xlfn.XLOOKUP($A454,My_Audit!$A:$A,My_Audit!I:I,""),
_xlfn.IFS(_xlpm.MyAuditVal&lt;&gt;"",UPPER(_xlpm.MyAuditVal),_xlpm.MacVal&lt;&gt;"",_xlpm.MacVal,_xlpm.CSVVal&lt;&gt;"",_xlpm.CSVVal
)),"")</f>
        <v/>
      </c>
      <c r="K454" s="54" t="str" cm="1">
        <f t="array" ref="K454">IFERROR(_xlfn.LET(
_xlpm.CSVVal,_xlfn.XLOOKUP($A454,CSV!$A:$A,CSV!M:M,""),
_xlpm.MacVal,_xlfn.XLOOKUP($A454,Output_Mac!$A:$A,Output_Mac!L:L,""),
_xlpm.MyAuditVal,_xlfn.XLOOKUP($A454,My_Audit!$A:$A,My_Audit!J:J,""),
_xlfn.IFS(_xlpm.MyAuditVal&lt;&gt;"",UPPER(_xlpm.MyAuditVal),_xlpm.MacVal&lt;&gt;"",_xlpm.MacVal,_xlpm.CSVVal&lt;&gt;"",_xlpm.CSVVal
)),"")</f>
        <v/>
      </c>
      <c r="L454" s="54" t="str" cm="1">
        <f t="array" ref="L454">IFERROR(_xlfn.LET(
_xlpm.CSVVal,_xlfn.XLOOKUP($A454,CSV!$A:$A,CSV!O:O,""),
_xlpm.MacVal,_xlfn.XLOOKUP($A454,Output_Mac!$A:$A,Output_Mac!M:M,""),
_xlpm.MyAuditVal,_xlfn.XLOOKUP($A454,My_Audit!$A:$A,My_Audit!K:K,""),
_xlfn.IFS(_xlpm.MyAuditVal&lt;&gt;"",UPPER(_xlpm.MyAuditVal),_xlpm.MacVal&lt;&gt;"",_xlpm.MacVal,_xlpm.CSVVal&lt;&gt;"",_xlpm.CSVVal
)),"")</f>
        <v/>
      </c>
      <c r="M454" s="54" t="str">
        <f>_xlfn.LET(
    _xlpm.CSVVal, _xlfn.XLOOKUP($A454, CSV!$A:$A, CSV!AD:AD, ""),
    _xlpm.MacVal, _xlfn.XLOOKUP($A454, Output_Mac!$A:$A, Output_Mac!S:S, ""),
    _xlpm.MyAuditVal, _xlfn.XLOOKUP($A454, My_Audit!$A:$A, My_Audit!N:N, ""),
    _xlfn.TEXTJOIN(", ", TRUE, _xlpm.MyAuditVal, _xlpm.MacVal, _xlpm.CSVVal)
)</f>
        <v/>
      </c>
      <c r="N454" s="54" t="str" cm="1">
        <f t="array" ref="N454">IFERROR(_xlfn.LET(
_xlpm.CSVVal,_xlfn.XLOOKUP($A454,CSV!$A:$A,CSV!AF:AF,""),
_xlpm.MacVal,_xlfn.XLOOKUP($A454,Output_Mac!$A:$A,Output_Mac!U:U,""),
_xlpm.MyAuditVal,_xlfn.XLOOKUP($A454,My_Audit!$A:$A,My_Audit!O:O,""),
_xlfn.IFS(_xlpm.MyAuditVal&lt;&gt;"",UPPER(_xlpm.MyAuditVal),_xlpm.MacVal&lt;&gt;"",_xlpm.MacVal,_xlpm.CSVVal&lt;&gt;"",_xlpm.CSVVal
)),"")</f>
        <v/>
      </c>
      <c r="O454" s="54"/>
      <c r="P454" s="54"/>
      <c r="Q454" s="54"/>
      <c r="R454" s="54"/>
      <c r="S454" s="54"/>
      <c r="T454" s="54"/>
      <c r="U454" s="39"/>
    </row>
    <row r="455" spans="1:21">
      <c r="A455" s="54" t="str">
        <f>_xlfn.TEXTJOIN("",TRUE,Input!$B$2,ROW(My_Audit!A454))</f>
        <v>XX454</v>
      </c>
      <c r="B455" s="54" t="str">
        <f>_xlfn.TEXTJOIN("-",TRUE,"ITD",Input!$A$2,A455)</f>
        <v>ITD-SHRXXX-XX454</v>
      </c>
      <c r="C455" s="54" t="str" cm="1">
        <f t="array" ref="C455">IFERROR(_xlfn.LET(
_xlpm.CSVVal,_xlfn.XLOOKUP($A455,CSV!$A:$A,CSV!B:B,""),
_xlpm.MacVal,_xlfn.XLOOKUP($A455,Output_Mac!$A:$A,Output_Mac!B:B,""),
_xlpm.MyAuditVal,_xlfn.XLOOKUP($A455,My_Audit!$A:$A,My_Audit!B:B,""),
_xlfn.IFS(_xlpm.MyAuditVal&lt;&gt;"",UPPER(_xlpm.MyAuditVal),_xlpm.MacVal&lt;&gt;"",_xlpm.MacVal,_xlpm.CSVVal&lt;&gt;"",_xlpm.CSVVal
)),"")</f>
        <v/>
      </c>
      <c r="D455" s="55" t="str">
        <f>_xlfn.XLOOKUP(A455,My_Audit!A:A,My_Audit!D:D,"")&amp;""</f>
        <v/>
      </c>
      <c r="E455" s="55" t="str" cm="1">
        <f t="array" ref="E455">IFERROR(_xlfn.LET(
_xlpm.CSVVal,_xlfn.XLOOKUP($A455,CSV!$A:$A,CSV!D:D,""),
_xlpm.MacVal,_xlfn.XLOOKUP($A455,Output_Mac!$A:$A,Output_Mac!C:C,""),
_xlpm.MyAuditVal,_xlfn.XLOOKUP($A455,My_Audit!$A:$A,My_Audit!D:D,""),
_xlfn.IFS(_xlpm.MyAuditVal&lt;&gt;"",_xlpm.MyAuditVal,_xlpm.MacVal&lt;&gt;"",_xlpm.MacVal,_xlpm.CSVVal&lt;&gt;"",_xlpm.CSVVal
)),"")</f>
        <v/>
      </c>
      <c r="F455" s="54" t="str" cm="1">
        <f t="array" ref="F455">IFERROR(_xlfn.LET(
_xlpm.CSVVal,_xlfn.XLOOKUP($A455,CSV!$A:$A,CSV!E:E,""),
_xlpm.MacVal,_xlfn.XLOOKUP($A455,Output_Mac!$A:$A,Output_Mac!F:F,""),
_xlpm.MyAuditVal,_xlfn.XLOOKUP($A455,My_Audit!$A:$A,My_Audit!E:E,""),
_xlfn.IFS(_xlpm.MyAuditVal&lt;&gt;"",_xlpm.MyAuditVal,_xlpm.MacVal&lt;&gt;"",_xlpm.MacVal,_xlpm.CSVVal&lt;&gt;"",PROPER(_xlpm.CSVVal)
)),"")</f>
        <v/>
      </c>
      <c r="G455" s="54" t="str" cm="1">
        <f t="array" ref="G455">IFERROR(_xlfn.LET(
_xlpm.CSVVal,_xlfn.XLOOKUP($A455,CSV!$A:$A,CSV!F:F,""),
_xlpm.MacVal,_xlfn.XLOOKUP($A455,Output_Mac!$A:$A,Output_Mac!H:H,""),
_xlpm.MyAuditVal,_xlfn.XLOOKUP($A455,My_Audit!$A:$A,My_Audit!F:F,""),
_xlfn.IFS(_xlpm.MyAuditVal&lt;&gt;"",_xlpm.MyAuditVal,_xlpm.MacVal&lt;&gt;"",_xlpm.MacVal,_xlpm.CSVVal&lt;&gt;"",_xlpm.CSVVal
)),"")</f>
        <v/>
      </c>
      <c r="H455" s="54" t="str">
        <f>_xlfn.XLOOKUP(A455,Output_Mac!A:A,Output_Mac!I:I,"")</f>
        <v/>
      </c>
      <c r="I455" s="54" t="str" cm="1">
        <f t="array" ref="I455">IFERROR(_xlfn.LET(
_xlpm.CSVVal,_xlfn.XLOOKUP($A455,CSV!$A:$A,CSV!G:G,""),
_xlpm.MacVal,_xlfn.XLOOKUP($A455,Output_Mac!$A:$A,Output_Mac!J:J,""),
_xlpm.MyAuditVal,_xlfn.XLOOKUP($A455,My_Audit!$A:$A,My_Audit!H:H,""),
_xlfn.IFS(_xlpm.MyAuditVal&lt;&gt;"",UPPER(_xlpm.MyAuditVal),_xlpm.MacVal&lt;&gt;"",_xlpm.MacVal,_xlpm.CSVVal&lt;&gt;"",_xlpm.CSVVal
)),"")</f>
        <v/>
      </c>
      <c r="J455" s="54" t="str" cm="1">
        <f t="array" ref="J455">IFERROR(_xlfn.LET(
_xlpm.CSVVal,_xlfn.XLOOKUP($A455,CSV!$A:$A,CSV!I:I,""),
_xlpm.MacVal,_xlfn.XLOOKUP($A455,Output_Mac!$A:$A,Output_Mac!K:K,""),
_xlpm.MyAuditVal,_xlfn.XLOOKUP($A455,My_Audit!$A:$A,My_Audit!I:I,""),
_xlfn.IFS(_xlpm.MyAuditVal&lt;&gt;"",UPPER(_xlpm.MyAuditVal),_xlpm.MacVal&lt;&gt;"",_xlpm.MacVal,_xlpm.CSVVal&lt;&gt;"",_xlpm.CSVVal
)),"")</f>
        <v/>
      </c>
      <c r="K455" s="54" t="str" cm="1">
        <f t="array" ref="K455">IFERROR(_xlfn.LET(
_xlpm.CSVVal,_xlfn.XLOOKUP($A455,CSV!$A:$A,CSV!M:M,""),
_xlpm.MacVal,_xlfn.XLOOKUP($A455,Output_Mac!$A:$A,Output_Mac!L:L,""),
_xlpm.MyAuditVal,_xlfn.XLOOKUP($A455,My_Audit!$A:$A,My_Audit!J:J,""),
_xlfn.IFS(_xlpm.MyAuditVal&lt;&gt;"",UPPER(_xlpm.MyAuditVal),_xlpm.MacVal&lt;&gt;"",_xlpm.MacVal,_xlpm.CSVVal&lt;&gt;"",_xlpm.CSVVal
)),"")</f>
        <v/>
      </c>
      <c r="L455" s="54" t="str" cm="1">
        <f t="array" ref="L455">IFERROR(_xlfn.LET(
_xlpm.CSVVal,_xlfn.XLOOKUP($A455,CSV!$A:$A,CSV!O:O,""),
_xlpm.MacVal,_xlfn.XLOOKUP($A455,Output_Mac!$A:$A,Output_Mac!M:M,""),
_xlpm.MyAuditVal,_xlfn.XLOOKUP($A455,My_Audit!$A:$A,My_Audit!K:K,""),
_xlfn.IFS(_xlpm.MyAuditVal&lt;&gt;"",UPPER(_xlpm.MyAuditVal),_xlpm.MacVal&lt;&gt;"",_xlpm.MacVal,_xlpm.CSVVal&lt;&gt;"",_xlpm.CSVVal
)),"")</f>
        <v/>
      </c>
      <c r="M455" s="54" t="str">
        <f>_xlfn.LET(
    _xlpm.CSVVal, _xlfn.XLOOKUP($A455, CSV!$A:$A, CSV!AD:AD, ""),
    _xlpm.MacVal, _xlfn.XLOOKUP($A455, Output_Mac!$A:$A, Output_Mac!S:S, ""),
    _xlpm.MyAuditVal, _xlfn.XLOOKUP($A455, My_Audit!$A:$A, My_Audit!N:N, ""),
    _xlfn.TEXTJOIN(", ", TRUE, _xlpm.MyAuditVal, _xlpm.MacVal, _xlpm.CSVVal)
)</f>
        <v/>
      </c>
      <c r="N455" s="54" t="str" cm="1">
        <f t="array" ref="N455">IFERROR(_xlfn.LET(
_xlpm.CSVVal,_xlfn.XLOOKUP($A455,CSV!$A:$A,CSV!AF:AF,""),
_xlpm.MacVal,_xlfn.XLOOKUP($A455,Output_Mac!$A:$A,Output_Mac!U:U,""),
_xlpm.MyAuditVal,_xlfn.XLOOKUP($A455,My_Audit!$A:$A,My_Audit!O:O,""),
_xlfn.IFS(_xlpm.MyAuditVal&lt;&gt;"",UPPER(_xlpm.MyAuditVal),_xlpm.MacVal&lt;&gt;"",_xlpm.MacVal,_xlpm.CSVVal&lt;&gt;"",_xlpm.CSVVal
)),"")</f>
        <v/>
      </c>
      <c r="O455" s="54"/>
      <c r="P455" s="54"/>
      <c r="Q455" s="54"/>
      <c r="R455" s="54"/>
      <c r="S455" s="54"/>
      <c r="T455" s="54"/>
      <c r="U455" s="39"/>
    </row>
    <row r="456" spans="1:21">
      <c r="A456" s="54" t="str">
        <f>_xlfn.TEXTJOIN("",TRUE,Input!$B$2,ROW(My_Audit!A455))</f>
        <v>XX455</v>
      </c>
      <c r="B456" s="54" t="str">
        <f>_xlfn.TEXTJOIN("-",TRUE,"ITD",Input!$A$2,A456)</f>
        <v>ITD-SHRXXX-XX455</v>
      </c>
      <c r="C456" s="54" t="str" cm="1">
        <f t="array" ref="C456">IFERROR(_xlfn.LET(
_xlpm.CSVVal,_xlfn.XLOOKUP($A456,CSV!$A:$A,CSV!B:B,""),
_xlpm.MacVal,_xlfn.XLOOKUP($A456,Output_Mac!$A:$A,Output_Mac!B:B,""),
_xlpm.MyAuditVal,_xlfn.XLOOKUP($A456,My_Audit!$A:$A,My_Audit!B:B,""),
_xlfn.IFS(_xlpm.MyAuditVal&lt;&gt;"",UPPER(_xlpm.MyAuditVal),_xlpm.MacVal&lt;&gt;"",_xlpm.MacVal,_xlpm.CSVVal&lt;&gt;"",_xlpm.CSVVal
)),"")</f>
        <v/>
      </c>
      <c r="D456" s="55" t="str">
        <f>_xlfn.XLOOKUP(A456,My_Audit!A:A,My_Audit!D:D,"")&amp;""</f>
        <v/>
      </c>
      <c r="E456" s="55" t="str" cm="1">
        <f t="array" ref="E456">IFERROR(_xlfn.LET(
_xlpm.CSVVal,_xlfn.XLOOKUP($A456,CSV!$A:$A,CSV!D:D,""),
_xlpm.MacVal,_xlfn.XLOOKUP($A456,Output_Mac!$A:$A,Output_Mac!C:C,""),
_xlpm.MyAuditVal,_xlfn.XLOOKUP($A456,My_Audit!$A:$A,My_Audit!D:D,""),
_xlfn.IFS(_xlpm.MyAuditVal&lt;&gt;"",_xlpm.MyAuditVal,_xlpm.MacVal&lt;&gt;"",_xlpm.MacVal,_xlpm.CSVVal&lt;&gt;"",_xlpm.CSVVal
)),"")</f>
        <v/>
      </c>
      <c r="F456" s="54" t="str" cm="1">
        <f t="array" ref="F456">IFERROR(_xlfn.LET(
_xlpm.CSVVal,_xlfn.XLOOKUP($A456,CSV!$A:$A,CSV!E:E,""),
_xlpm.MacVal,_xlfn.XLOOKUP($A456,Output_Mac!$A:$A,Output_Mac!F:F,""),
_xlpm.MyAuditVal,_xlfn.XLOOKUP($A456,My_Audit!$A:$A,My_Audit!E:E,""),
_xlfn.IFS(_xlpm.MyAuditVal&lt;&gt;"",_xlpm.MyAuditVal,_xlpm.MacVal&lt;&gt;"",_xlpm.MacVal,_xlpm.CSVVal&lt;&gt;"",PROPER(_xlpm.CSVVal)
)),"")</f>
        <v/>
      </c>
      <c r="G456" s="54" t="str" cm="1">
        <f t="array" ref="G456">IFERROR(_xlfn.LET(
_xlpm.CSVVal,_xlfn.XLOOKUP($A456,CSV!$A:$A,CSV!F:F,""),
_xlpm.MacVal,_xlfn.XLOOKUP($A456,Output_Mac!$A:$A,Output_Mac!H:H,""),
_xlpm.MyAuditVal,_xlfn.XLOOKUP($A456,My_Audit!$A:$A,My_Audit!F:F,""),
_xlfn.IFS(_xlpm.MyAuditVal&lt;&gt;"",_xlpm.MyAuditVal,_xlpm.MacVal&lt;&gt;"",_xlpm.MacVal,_xlpm.CSVVal&lt;&gt;"",_xlpm.CSVVal
)),"")</f>
        <v/>
      </c>
      <c r="H456" s="54" t="str">
        <f>_xlfn.XLOOKUP(A456,Output_Mac!A:A,Output_Mac!I:I,"")</f>
        <v/>
      </c>
      <c r="I456" s="54" t="str" cm="1">
        <f t="array" ref="I456">IFERROR(_xlfn.LET(
_xlpm.CSVVal,_xlfn.XLOOKUP($A456,CSV!$A:$A,CSV!G:G,""),
_xlpm.MacVal,_xlfn.XLOOKUP($A456,Output_Mac!$A:$A,Output_Mac!J:J,""),
_xlpm.MyAuditVal,_xlfn.XLOOKUP($A456,My_Audit!$A:$A,My_Audit!H:H,""),
_xlfn.IFS(_xlpm.MyAuditVal&lt;&gt;"",UPPER(_xlpm.MyAuditVal),_xlpm.MacVal&lt;&gt;"",_xlpm.MacVal,_xlpm.CSVVal&lt;&gt;"",_xlpm.CSVVal
)),"")</f>
        <v/>
      </c>
      <c r="J456" s="54" t="str" cm="1">
        <f t="array" ref="J456">IFERROR(_xlfn.LET(
_xlpm.CSVVal,_xlfn.XLOOKUP($A456,CSV!$A:$A,CSV!I:I,""),
_xlpm.MacVal,_xlfn.XLOOKUP($A456,Output_Mac!$A:$A,Output_Mac!K:K,""),
_xlpm.MyAuditVal,_xlfn.XLOOKUP($A456,My_Audit!$A:$A,My_Audit!I:I,""),
_xlfn.IFS(_xlpm.MyAuditVal&lt;&gt;"",UPPER(_xlpm.MyAuditVal),_xlpm.MacVal&lt;&gt;"",_xlpm.MacVal,_xlpm.CSVVal&lt;&gt;"",_xlpm.CSVVal
)),"")</f>
        <v/>
      </c>
      <c r="K456" s="54" t="str" cm="1">
        <f t="array" ref="K456">IFERROR(_xlfn.LET(
_xlpm.CSVVal,_xlfn.XLOOKUP($A456,CSV!$A:$A,CSV!M:M,""),
_xlpm.MacVal,_xlfn.XLOOKUP($A456,Output_Mac!$A:$A,Output_Mac!L:L,""),
_xlpm.MyAuditVal,_xlfn.XLOOKUP($A456,My_Audit!$A:$A,My_Audit!J:J,""),
_xlfn.IFS(_xlpm.MyAuditVal&lt;&gt;"",UPPER(_xlpm.MyAuditVal),_xlpm.MacVal&lt;&gt;"",_xlpm.MacVal,_xlpm.CSVVal&lt;&gt;"",_xlpm.CSVVal
)),"")</f>
        <v/>
      </c>
      <c r="L456" s="54" t="str" cm="1">
        <f t="array" ref="L456">IFERROR(_xlfn.LET(
_xlpm.CSVVal,_xlfn.XLOOKUP($A456,CSV!$A:$A,CSV!O:O,""),
_xlpm.MacVal,_xlfn.XLOOKUP($A456,Output_Mac!$A:$A,Output_Mac!M:M,""),
_xlpm.MyAuditVal,_xlfn.XLOOKUP($A456,My_Audit!$A:$A,My_Audit!K:K,""),
_xlfn.IFS(_xlpm.MyAuditVal&lt;&gt;"",UPPER(_xlpm.MyAuditVal),_xlpm.MacVal&lt;&gt;"",_xlpm.MacVal,_xlpm.CSVVal&lt;&gt;"",_xlpm.CSVVal
)),"")</f>
        <v/>
      </c>
      <c r="M456" s="54" t="str">
        <f>_xlfn.LET(
    _xlpm.CSVVal, _xlfn.XLOOKUP($A456, CSV!$A:$A, CSV!AD:AD, ""),
    _xlpm.MacVal, _xlfn.XLOOKUP($A456, Output_Mac!$A:$A, Output_Mac!S:S, ""),
    _xlpm.MyAuditVal, _xlfn.XLOOKUP($A456, My_Audit!$A:$A, My_Audit!N:N, ""),
    _xlfn.TEXTJOIN(", ", TRUE, _xlpm.MyAuditVal, _xlpm.MacVal, _xlpm.CSVVal)
)</f>
        <v/>
      </c>
      <c r="N456" s="54" t="str" cm="1">
        <f t="array" ref="N456">IFERROR(_xlfn.LET(
_xlpm.CSVVal,_xlfn.XLOOKUP($A456,CSV!$A:$A,CSV!AF:AF,""),
_xlpm.MacVal,_xlfn.XLOOKUP($A456,Output_Mac!$A:$A,Output_Mac!U:U,""),
_xlpm.MyAuditVal,_xlfn.XLOOKUP($A456,My_Audit!$A:$A,My_Audit!O:O,""),
_xlfn.IFS(_xlpm.MyAuditVal&lt;&gt;"",UPPER(_xlpm.MyAuditVal),_xlpm.MacVal&lt;&gt;"",_xlpm.MacVal,_xlpm.CSVVal&lt;&gt;"",_xlpm.CSVVal
)),"")</f>
        <v/>
      </c>
      <c r="O456" s="54"/>
      <c r="P456" s="54"/>
      <c r="Q456" s="54"/>
      <c r="R456" s="54"/>
      <c r="S456" s="54"/>
      <c r="T456" s="54"/>
      <c r="U456" s="39"/>
    </row>
    <row r="457" spans="1:21">
      <c r="A457" s="54" t="str">
        <f>_xlfn.TEXTJOIN("",TRUE,Input!$B$2,ROW(My_Audit!A456))</f>
        <v>XX456</v>
      </c>
      <c r="B457" s="54" t="str">
        <f>_xlfn.TEXTJOIN("-",TRUE,"ITD",Input!$A$2,A457)</f>
        <v>ITD-SHRXXX-XX456</v>
      </c>
      <c r="C457" s="54" t="str" cm="1">
        <f t="array" ref="C457">IFERROR(_xlfn.LET(
_xlpm.CSVVal,_xlfn.XLOOKUP($A457,CSV!$A:$A,CSV!B:B,""),
_xlpm.MacVal,_xlfn.XLOOKUP($A457,Output_Mac!$A:$A,Output_Mac!B:B,""),
_xlpm.MyAuditVal,_xlfn.XLOOKUP($A457,My_Audit!$A:$A,My_Audit!B:B,""),
_xlfn.IFS(_xlpm.MyAuditVal&lt;&gt;"",UPPER(_xlpm.MyAuditVal),_xlpm.MacVal&lt;&gt;"",_xlpm.MacVal,_xlpm.CSVVal&lt;&gt;"",_xlpm.CSVVal
)),"")</f>
        <v/>
      </c>
      <c r="D457" s="55" t="str">
        <f>_xlfn.XLOOKUP(A457,My_Audit!A:A,My_Audit!D:D,"")&amp;""</f>
        <v/>
      </c>
      <c r="E457" s="55" t="str" cm="1">
        <f t="array" ref="E457">IFERROR(_xlfn.LET(
_xlpm.CSVVal,_xlfn.XLOOKUP($A457,CSV!$A:$A,CSV!D:D,""),
_xlpm.MacVal,_xlfn.XLOOKUP($A457,Output_Mac!$A:$A,Output_Mac!C:C,""),
_xlpm.MyAuditVal,_xlfn.XLOOKUP($A457,My_Audit!$A:$A,My_Audit!D:D,""),
_xlfn.IFS(_xlpm.MyAuditVal&lt;&gt;"",_xlpm.MyAuditVal,_xlpm.MacVal&lt;&gt;"",_xlpm.MacVal,_xlpm.CSVVal&lt;&gt;"",_xlpm.CSVVal
)),"")</f>
        <v/>
      </c>
      <c r="F457" s="54" t="str" cm="1">
        <f t="array" ref="F457">IFERROR(_xlfn.LET(
_xlpm.CSVVal,_xlfn.XLOOKUP($A457,CSV!$A:$A,CSV!E:E,""),
_xlpm.MacVal,_xlfn.XLOOKUP($A457,Output_Mac!$A:$A,Output_Mac!F:F,""),
_xlpm.MyAuditVal,_xlfn.XLOOKUP($A457,My_Audit!$A:$A,My_Audit!E:E,""),
_xlfn.IFS(_xlpm.MyAuditVal&lt;&gt;"",_xlpm.MyAuditVal,_xlpm.MacVal&lt;&gt;"",_xlpm.MacVal,_xlpm.CSVVal&lt;&gt;"",PROPER(_xlpm.CSVVal)
)),"")</f>
        <v/>
      </c>
      <c r="G457" s="54" t="str" cm="1">
        <f t="array" ref="G457">IFERROR(_xlfn.LET(
_xlpm.CSVVal,_xlfn.XLOOKUP($A457,CSV!$A:$A,CSV!F:F,""),
_xlpm.MacVal,_xlfn.XLOOKUP($A457,Output_Mac!$A:$A,Output_Mac!H:H,""),
_xlpm.MyAuditVal,_xlfn.XLOOKUP($A457,My_Audit!$A:$A,My_Audit!F:F,""),
_xlfn.IFS(_xlpm.MyAuditVal&lt;&gt;"",_xlpm.MyAuditVal,_xlpm.MacVal&lt;&gt;"",_xlpm.MacVal,_xlpm.CSVVal&lt;&gt;"",_xlpm.CSVVal
)),"")</f>
        <v/>
      </c>
      <c r="H457" s="54" t="str">
        <f>_xlfn.XLOOKUP(A457,Output_Mac!A:A,Output_Mac!I:I,"")</f>
        <v/>
      </c>
      <c r="I457" s="54" t="str" cm="1">
        <f t="array" ref="I457">IFERROR(_xlfn.LET(
_xlpm.CSVVal,_xlfn.XLOOKUP($A457,CSV!$A:$A,CSV!G:G,""),
_xlpm.MacVal,_xlfn.XLOOKUP($A457,Output_Mac!$A:$A,Output_Mac!J:J,""),
_xlpm.MyAuditVal,_xlfn.XLOOKUP($A457,My_Audit!$A:$A,My_Audit!H:H,""),
_xlfn.IFS(_xlpm.MyAuditVal&lt;&gt;"",UPPER(_xlpm.MyAuditVal),_xlpm.MacVal&lt;&gt;"",_xlpm.MacVal,_xlpm.CSVVal&lt;&gt;"",_xlpm.CSVVal
)),"")</f>
        <v/>
      </c>
      <c r="J457" s="54" t="str" cm="1">
        <f t="array" ref="J457">IFERROR(_xlfn.LET(
_xlpm.CSVVal,_xlfn.XLOOKUP($A457,CSV!$A:$A,CSV!I:I,""),
_xlpm.MacVal,_xlfn.XLOOKUP($A457,Output_Mac!$A:$A,Output_Mac!K:K,""),
_xlpm.MyAuditVal,_xlfn.XLOOKUP($A457,My_Audit!$A:$A,My_Audit!I:I,""),
_xlfn.IFS(_xlpm.MyAuditVal&lt;&gt;"",UPPER(_xlpm.MyAuditVal),_xlpm.MacVal&lt;&gt;"",_xlpm.MacVal,_xlpm.CSVVal&lt;&gt;"",_xlpm.CSVVal
)),"")</f>
        <v/>
      </c>
      <c r="K457" s="54" t="str" cm="1">
        <f t="array" ref="K457">IFERROR(_xlfn.LET(
_xlpm.CSVVal,_xlfn.XLOOKUP($A457,CSV!$A:$A,CSV!M:M,""),
_xlpm.MacVal,_xlfn.XLOOKUP($A457,Output_Mac!$A:$A,Output_Mac!L:L,""),
_xlpm.MyAuditVal,_xlfn.XLOOKUP($A457,My_Audit!$A:$A,My_Audit!J:J,""),
_xlfn.IFS(_xlpm.MyAuditVal&lt;&gt;"",UPPER(_xlpm.MyAuditVal),_xlpm.MacVal&lt;&gt;"",_xlpm.MacVal,_xlpm.CSVVal&lt;&gt;"",_xlpm.CSVVal
)),"")</f>
        <v/>
      </c>
      <c r="L457" s="54" t="str" cm="1">
        <f t="array" ref="L457">IFERROR(_xlfn.LET(
_xlpm.CSVVal,_xlfn.XLOOKUP($A457,CSV!$A:$A,CSV!O:O,""),
_xlpm.MacVal,_xlfn.XLOOKUP($A457,Output_Mac!$A:$A,Output_Mac!M:M,""),
_xlpm.MyAuditVal,_xlfn.XLOOKUP($A457,My_Audit!$A:$A,My_Audit!K:K,""),
_xlfn.IFS(_xlpm.MyAuditVal&lt;&gt;"",UPPER(_xlpm.MyAuditVal),_xlpm.MacVal&lt;&gt;"",_xlpm.MacVal,_xlpm.CSVVal&lt;&gt;"",_xlpm.CSVVal
)),"")</f>
        <v/>
      </c>
      <c r="M457" s="54" t="str">
        <f>_xlfn.LET(
    _xlpm.CSVVal, _xlfn.XLOOKUP($A457, CSV!$A:$A, CSV!AD:AD, ""),
    _xlpm.MacVal, _xlfn.XLOOKUP($A457, Output_Mac!$A:$A, Output_Mac!S:S, ""),
    _xlpm.MyAuditVal, _xlfn.XLOOKUP($A457, My_Audit!$A:$A, My_Audit!N:N, ""),
    _xlfn.TEXTJOIN(", ", TRUE, _xlpm.MyAuditVal, _xlpm.MacVal, _xlpm.CSVVal)
)</f>
        <v/>
      </c>
      <c r="N457" s="54" t="str" cm="1">
        <f t="array" ref="N457">IFERROR(_xlfn.LET(
_xlpm.CSVVal,_xlfn.XLOOKUP($A457,CSV!$A:$A,CSV!AF:AF,""),
_xlpm.MacVal,_xlfn.XLOOKUP($A457,Output_Mac!$A:$A,Output_Mac!U:U,""),
_xlpm.MyAuditVal,_xlfn.XLOOKUP($A457,My_Audit!$A:$A,My_Audit!O:O,""),
_xlfn.IFS(_xlpm.MyAuditVal&lt;&gt;"",UPPER(_xlpm.MyAuditVal),_xlpm.MacVal&lt;&gt;"",_xlpm.MacVal,_xlpm.CSVVal&lt;&gt;"",_xlpm.CSVVal
)),"")</f>
        <v/>
      </c>
      <c r="O457" s="54"/>
      <c r="P457" s="54"/>
      <c r="Q457" s="54"/>
      <c r="R457" s="54"/>
      <c r="S457" s="54"/>
      <c r="T457" s="54"/>
      <c r="U457" s="39"/>
    </row>
    <row r="458" spans="1:21">
      <c r="A458" s="54" t="str">
        <f>_xlfn.TEXTJOIN("",TRUE,Input!$B$2,ROW(My_Audit!A457))</f>
        <v>XX457</v>
      </c>
      <c r="B458" s="54" t="str">
        <f>_xlfn.TEXTJOIN("-",TRUE,"ITD",Input!$A$2,A458)</f>
        <v>ITD-SHRXXX-XX457</v>
      </c>
      <c r="C458" s="54" t="str" cm="1">
        <f t="array" ref="C458">IFERROR(_xlfn.LET(
_xlpm.CSVVal,_xlfn.XLOOKUP($A458,CSV!$A:$A,CSV!B:B,""),
_xlpm.MacVal,_xlfn.XLOOKUP($A458,Output_Mac!$A:$A,Output_Mac!B:B,""),
_xlpm.MyAuditVal,_xlfn.XLOOKUP($A458,My_Audit!$A:$A,My_Audit!B:B,""),
_xlfn.IFS(_xlpm.MyAuditVal&lt;&gt;"",UPPER(_xlpm.MyAuditVal),_xlpm.MacVal&lt;&gt;"",_xlpm.MacVal,_xlpm.CSVVal&lt;&gt;"",_xlpm.CSVVal
)),"")</f>
        <v/>
      </c>
      <c r="D458" s="55" t="str">
        <f>_xlfn.XLOOKUP(A458,My_Audit!A:A,My_Audit!D:D,"")&amp;""</f>
        <v/>
      </c>
      <c r="E458" s="55" t="str" cm="1">
        <f t="array" ref="E458">IFERROR(_xlfn.LET(
_xlpm.CSVVal,_xlfn.XLOOKUP($A458,CSV!$A:$A,CSV!D:D,""),
_xlpm.MacVal,_xlfn.XLOOKUP($A458,Output_Mac!$A:$A,Output_Mac!C:C,""),
_xlpm.MyAuditVal,_xlfn.XLOOKUP($A458,My_Audit!$A:$A,My_Audit!D:D,""),
_xlfn.IFS(_xlpm.MyAuditVal&lt;&gt;"",_xlpm.MyAuditVal,_xlpm.MacVal&lt;&gt;"",_xlpm.MacVal,_xlpm.CSVVal&lt;&gt;"",_xlpm.CSVVal
)),"")</f>
        <v/>
      </c>
      <c r="F458" s="54" t="str" cm="1">
        <f t="array" ref="F458">IFERROR(_xlfn.LET(
_xlpm.CSVVal,_xlfn.XLOOKUP($A458,CSV!$A:$A,CSV!E:E,""),
_xlpm.MacVal,_xlfn.XLOOKUP($A458,Output_Mac!$A:$A,Output_Mac!F:F,""),
_xlpm.MyAuditVal,_xlfn.XLOOKUP($A458,My_Audit!$A:$A,My_Audit!E:E,""),
_xlfn.IFS(_xlpm.MyAuditVal&lt;&gt;"",_xlpm.MyAuditVal,_xlpm.MacVal&lt;&gt;"",_xlpm.MacVal,_xlpm.CSVVal&lt;&gt;"",PROPER(_xlpm.CSVVal)
)),"")</f>
        <v/>
      </c>
      <c r="G458" s="54" t="str" cm="1">
        <f t="array" ref="G458">IFERROR(_xlfn.LET(
_xlpm.CSVVal,_xlfn.XLOOKUP($A458,CSV!$A:$A,CSV!F:F,""),
_xlpm.MacVal,_xlfn.XLOOKUP($A458,Output_Mac!$A:$A,Output_Mac!H:H,""),
_xlpm.MyAuditVal,_xlfn.XLOOKUP($A458,My_Audit!$A:$A,My_Audit!F:F,""),
_xlfn.IFS(_xlpm.MyAuditVal&lt;&gt;"",_xlpm.MyAuditVal,_xlpm.MacVal&lt;&gt;"",_xlpm.MacVal,_xlpm.CSVVal&lt;&gt;"",_xlpm.CSVVal
)),"")</f>
        <v/>
      </c>
      <c r="H458" s="54" t="str">
        <f>_xlfn.XLOOKUP(A458,Output_Mac!A:A,Output_Mac!I:I,"")</f>
        <v/>
      </c>
      <c r="I458" s="54" t="str" cm="1">
        <f t="array" ref="I458">IFERROR(_xlfn.LET(
_xlpm.CSVVal,_xlfn.XLOOKUP($A458,CSV!$A:$A,CSV!G:G,""),
_xlpm.MacVal,_xlfn.XLOOKUP($A458,Output_Mac!$A:$A,Output_Mac!J:J,""),
_xlpm.MyAuditVal,_xlfn.XLOOKUP($A458,My_Audit!$A:$A,My_Audit!H:H,""),
_xlfn.IFS(_xlpm.MyAuditVal&lt;&gt;"",UPPER(_xlpm.MyAuditVal),_xlpm.MacVal&lt;&gt;"",_xlpm.MacVal,_xlpm.CSVVal&lt;&gt;"",_xlpm.CSVVal
)),"")</f>
        <v/>
      </c>
      <c r="J458" s="54" t="str" cm="1">
        <f t="array" ref="J458">IFERROR(_xlfn.LET(
_xlpm.CSVVal,_xlfn.XLOOKUP($A458,CSV!$A:$A,CSV!I:I,""),
_xlpm.MacVal,_xlfn.XLOOKUP($A458,Output_Mac!$A:$A,Output_Mac!K:K,""),
_xlpm.MyAuditVal,_xlfn.XLOOKUP($A458,My_Audit!$A:$A,My_Audit!I:I,""),
_xlfn.IFS(_xlpm.MyAuditVal&lt;&gt;"",UPPER(_xlpm.MyAuditVal),_xlpm.MacVal&lt;&gt;"",_xlpm.MacVal,_xlpm.CSVVal&lt;&gt;"",_xlpm.CSVVal
)),"")</f>
        <v/>
      </c>
      <c r="K458" s="54" t="str" cm="1">
        <f t="array" ref="K458">IFERROR(_xlfn.LET(
_xlpm.CSVVal,_xlfn.XLOOKUP($A458,CSV!$A:$A,CSV!M:M,""),
_xlpm.MacVal,_xlfn.XLOOKUP($A458,Output_Mac!$A:$A,Output_Mac!L:L,""),
_xlpm.MyAuditVal,_xlfn.XLOOKUP($A458,My_Audit!$A:$A,My_Audit!J:J,""),
_xlfn.IFS(_xlpm.MyAuditVal&lt;&gt;"",UPPER(_xlpm.MyAuditVal),_xlpm.MacVal&lt;&gt;"",_xlpm.MacVal,_xlpm.CSVVal&lt;&gt;"",_xlpm.CSVVal
)),"")</f>
        <v/>
      </c>
      <c r="L458" s="54" t="str" cm="1">
        <f t="array" ref="L458">IFERROR(_xlfn.LET(
_xlpm.CSVVal,_xlfn.XLOOKUP($A458,CSV!$A:$A,CSV!O:O,""),
_xlpm.MacVal,_xlfn.XLOOKUP($A458,Output_Mac!$A:$A,Output_Mac!M:M,""),
_xlpm.MyAuditVal,_xlfn.XLOOKUP($A458,My_Audit!$A:$A,My_Audit!K:K,""),
_xlfn.IFS(_xlpm.MyAuditVal&lt;&gt;"",UPPER(_xlpm.MyAuditVal),_xlpm.MacVal&lt;&gt;"",_xlpm.MacVal,_xlpm.CSVVal&lt;&gt;"",_xlpm.CSVVal
)),"")</f>
        <v/>
      </c>
      <c r="M458" s="54" t="str">
        <f>_xlfn.LET(
    _xlpm.CSVVal, _xlfn.XLOOKUP($A458, CSV!$A:$A, CSV!AD:AD, ""),
    _xlpm.MacVal, _xlfn.XLOOKUP($A458, Output_Mac!$A:$A, Output_Mac!S:S, ""),
    _xlpm.MyAuditVal, _xlfn.XLOOKUP($A458, My_Audit!$A:$A, My_Audit!N:N, ""),
    _xlfn.TEXTJOIN(", ", TRUE, _xlpm.MyAuditVal, _xlpm.MacVal, _xlpm.CSVVal)
)</f>
        <v/>
      </c>
      <c r="N458" s="54" t="str" cm="1">
        <f t="array" ref="N458">IFERROR(_xlfn.LET(
_xlpm.CSVVal,_xlfn.XLOOKUP($A458,CSV!$A:$A,CSV!AF:AF,""),
_xlpm.MacVal,_xlfn.XLOOKUP($A458,Output_Mac!$A:$A,Output_Mac!U:U,""),
_xlpm.MyAuditVal,_xlfn.XLOOKUP($A458,My_Audit!$A:$A,My_Audit!O:O,""),
_xlfn.IFS(_xlpm.MyAuditVal&lt;&gt;"",UPPER(_xlpm.MyAuditVal),_xlpm.MacVal&lt;&gt;"",_xlpm.MacVal,_xlpm.CSVVal&lt;&gt;"",_xlpm.CSVVal
)),"")</f>
        <v/>
      </c>
      <c r="O458" s="54"/>
      <c r="P458" s="54"/>
      <c r="Q458" s="54"/>
      <c r="R458" s="54"/>
      <c r="S458" s="54"/>
      <c r="T458" s="54"/>
      <c r="U458" s="39"/>
    </row>
    <row r="459" spans="1:21">
      <c r="A459" s="54" t="str">
        <f>_xlfn.TEXTJOIN("",TRUE,Input!$B$2,ROW(My_Audit!A458))</f>
        <v>XX458</v>
      </c>
      <c r="B459" s="54" t="str">
        <f>_xlfn.TEXTJOIN("-",TRUE,"ITD",Input!$A$2,A459)</f>
        <v>ITD-SHRXXX-XX458</v>
      </c>
      <c r="C459" s="54" t="str" cm="1">
        <f t="array" ref="C459">IFERROR(_xlfn.LET(
_xlpm.CSVVal,_xlfn.XLOOKUP($A459,CSV!$A:$A,CSV!B:B,""),
_xlpm.MacVal,_xlfn.XLOOKUP($A459,Output_Mac!$A:$A,Output_Mac!B:B,""),
_xlpm.MyAuditVal,_xlfn.XLOOKUP($A459,My_Audit!$A:$A,My_Audit!B:B,""),
_xlfn.IFS(_xlpm.MyAuditVal&lt;&gt;"",UPPER(_xlpm.MyAuditVal),_xlpm.MacVal&lt;&gt;"",_xlpm.MacVal,_xlpm.CSVVal&lt;&gt;"",_xlpm.CSVVal
)),"")</f>
        <v/>
      </c>
      <c r="D459" s="55" t="str">
        <f>_xlfn.XLOOKUP(A459,My_Audit!A:A,My_Audit!D:D,"")&amp;""</f>
        <v/>
      </c>
      <c r="E459" s="55" t="str" cm="1">
        <f t="array" ref="E459">IFERROR(_xlfn.LET(
_xlpm.CSVVal,_xlfn.XLOOKUP($A459,CSV!$A:$A,CSV!D:D,""),
_xlpm.MacVal,_xlfn.XLOOKUP($A459,Output_Mac!$A:$A,Output_Mac!C:C,""),
_xlpm.MyAuditVal,_xlfn.XLOOKUP($A459,My_Audit!$A:$A,My_Audit!D:D,""),
_xlfn.IFS(_xlpm.MyAuditVal&lt;&gt;"",_xlpm.MyAuditVal,_xlpm.MacVal&lt;&gt;"",_xlpm.MacVal,_xlpm.CSVVal&lt;&gt;"",_xlpm.CSVVal
)),"")</f>
        <v/>
      </c>
      <c r="F459" s="54" t="str" cm="1">
        <f t="array" ref="F459">IFERROR(_xlfn.LET(
_xlpm.CSVVal,_xlfn.XLOOKUP($A459,CSV!$A:$A,CSV!E:E,""),
_xlpm.MacVal,_xlfn.XLOOKUP($A459,Output_Mac!$A:$A,Output_Mac!F:F,""),
_xlpm.MyAuditVal,_xlfn.XLOOKUP($A459,My_Audit!$A:$A,My_Audit!E:E,""),
_xlfn.IFS(_xlpm.MyAuditVal&lt;&gt;"",_xlpm.MyAuditVal,_xlpm.MacVal&lt;&gt;"",_xlpm.MacVal,_xlpm.CSVVal&lt;&gt;"",PROPER(_xlpm.CSVVal)
)),"")</f>
        <v/>
      </c>
      <c r="G459" s="54" t="str" cm="1">
        <f t="array" ref="G459">IFERROR(_xlfn.LET(
_xlpm.CSVVal,_xlfn.XLOOKUP($A459,CSV!$A:$A,CSV!F:F,""),
_xlpm.MacVal,_xlfn.XLOOKUP($A459,Output_Mac!$A:$A,Output_Mac!H:H,""),
_xlpm.MyAuditVal,_xlfn.XLOOKUP($A459,My_Audit!$A:$A,My_Audit!F:F,""),
_xlfn.IFS(_xlpm.MyAuditVal&lt;&gt;"",_xlpm.MyAuditVal,_xlpm.MacVal&lt;&gt;"",_xlpm.MacVal,_xlpm.CSVVal&lt;&gt;"",_xlpm.CSVVal
)),"")</f>
        <v/>
      </c>
      <c r="H459" s="54" t="str">
        <f>_xlfn.XLOOKUP(A459,Output_Mac!A:A,Output_Mac!I:I,"")</f>
        <v/>
      </c>
      <c r="I459" s="54" t="str" cm="1">
        <f t="array" ref="I459">IFERROR(_xlfn.LET(
_xlpm.CSVVal,_xlfn.XLOOKUP($A459,CSV!$A:$A,CSV!G:G,""),
_xlpm.MacVal,_xlfn.XLOOKUP($A459,Output_Mac!$A:$A,Output_Mac!J:J,""),
_xlpm.MyAuditVal,_xlfn.XLOOKUP($A459,My_Audit!$A:$A,My_Audit!H:H,""),
_xlfn.IFS(_xlpm.MyAuditVal&lt;&gt;"",UPPER(_xlpm.MyAuditVal),_xlpm.MacVal&lt;&gt;"",_xlpm.MacVal,_xlpm.CSVVal&lt;&gt;"",_xlpm.CSVVal
)),"")</f>
        <v/>
      </c>
      <c r="J459" s="54" t="str" cm="1">
        <f t="array" ref="J459">IFERROR(_xlfn.LET(
_xlpm.CSVVal,_xlfn.XLOOKUP($A459,CSV!$A:$A,CSV!I:I,""),
_xlpm.MacVal,_xlfn.XLOOKUP($A459,Output_Mac!$A:$A,Output_Mac!K:K,""),
_xlpm.MyAuditVal,_xlfn.XLOOKUP($A459,My_Audit!$A:$A,My_Audit!I:I,""),
_xlfn.IFS(_xlpm.MyAuditVal&lt;&gt;"",UPPER(_xlpm.MyAuditVal),_xlpm.MacVal&lt;&gt;"",_xlpm.MacVal,_xlpm.CSVVal&lt;&gt;"",_xlpm.CSVVal
)),"")</f>
        <v/>
      </c>
      <c r="K459" s="54" t="str" cm="1">
        <f t="array" ref="K459">IFERROR(_xlfn.LET(
_xlpm.CSVVal,_xlfn.XLOOKUP($A459,CSV!$A:$A,CSV!M:M,""),
_xlpm.MacVal,_xlfn.XLOOKUP($A459,Output_Mac!$A:$A,Output_Mac!L:L,""),
_xlpm.MyAuditVal,_xlfn.XLOOKUP($A459,My_Audit!$A:$A,My_Audit!J:J,""),
_xlfn.IFS(_xlpm.MyAuditVal&lt;&gt;"",UPPER(_xlpm.MyAuditVal),_xlpm.MacVal&lt;&gt;"",_xlpm.MacVal,_xlpm.CSVVal&lt;&gt;"",_xlpm.CSVVal
)),"")</f>
        <v/>
      </c>
      <c r="L459" s="54" t="str" cm="1">
        <f t="array" ref="L459">IFERROR(_xlfn.LET(
_xlpm.CSVVal,_xlfn.XLOOKUP($A459,CSV!$A:$A,CSV!O:O,""),
_xlpm.MacVal,_xlfn.XLOOKUP($A459,Output_Mac!$A:$A,Output_Mac!M:M,""),
_xlpm.MyAuditVal,_xlfn.XLOOKUP($A459,My_Audit!$A:$A,My_Audit!K:K,""),
_xlfn.IFS(_xlpm.MyAuditVal&lt;&gt;"",UPPER(_xlpm.MyAuditVal),_xlpm.MacVal&lt;&gt;"",_xlpm.MacVal,_xlpm.CSVVal&lt;&gt;"",_xlpm.CSVVal
)),"")</f>
        <v/>
      </c>
      <c r="M459" s="54" t="str">
        <f>_xlfn.LET(
    _xlpm.CSVVal, _xlfn.XLOOKUP($A459, CSV!$A:$A, CSV!AD:AD, ""),
    _xlpm.MacVal, _xlfn.XLOOKUP($A459, Output_Mac!$A:$A, Output_Mac!S:S, ""),
    _xlpm.MyAuditVal, _xlfn.XLOOKUP($A459, My_Audit!$A:$A, My_Audit!N:N, ""),
    _xlfn.TEXTJOIN(", ", TRUE, _xlpm.MyAuditVal, _xlpm.MacVal, _xlpm.CSVVal)
)</f>
        <v/>
      </c>
      <c r="N459" s="54" t="str" cm="1">
        <f t="array" ref="N459">IFERROR(_xlfn.LET(
_xlpm.CSVVal,_xlfn.XLOOKUP($A459,CSV!$A:$A,CSV!AF:AF,""),
_xlpm.MacVal,_xlfn.XLOOKUP($A459,Output_Mac!$A:$A,Output_Mac!U:U,""),
_xlpm.MyAuditVal,_xlfn.XLOOKUP($A459,My_Audit!$A:$A,My_Audit!O:O,""),
_xlfn.IFS(_xlpm.MyAuditVal&lt;&gt;"",UPPER(_xlpm.MyAuditVal),_xlpm.MacVal&lt;&gt;"",_xlpm.MacVal,_xlpm.CSVVal&lt;&gt;"",_xlpm.CSVVal
)),"")</f>
        <v/>
      </c>
      <c r="O459" s="54"/>
      <c r="P459" s="54"/>
      <c r="Q459" s="54"/>
      <c r="R459" s="54"/>
      <c r="S459" s="54"/>
      <c r="T459" s="54"/>
      <c r="U459" s="39"/>
    </row>
    <row r="460" spans="1:21">
      <c r="A460" s="54" t="str">
        <f>_xlfn.TEXTJOIN("",TRUE,Input!$B$2,ROW(My_Audit!A459))</f>
        <v>XX459</v>
      </c>
      <c r="B460" s="54" t="str">
        <f>_xlfn.TEXTJOIN("-",TRUE,"ITD",Input!$A$2,A460)</f>
        <v>ITD-SHRXXX-XX459</v>
      </c>
      <c r="C460" s="54" t="str" cm="1">
        <f t="array" ref="C460">IFERROR(_xlfn.LET(
_xlpm.CSVVal,_xlfn.XLOOKUP($A460,CSV!$A:$A,CSV!B:B,""),
_xlpm.MacVal,_xlfn.XLOOKUP($A460,Output_Mac!$A:$A,Output_Mac!B:B,""),
_xlpm.MyAuditVal,_xlfn.XLOOKUP($A460,My_Audit!$A:$A,My_Audit!B:B,""),
_xlfn.IFS(_xlpm.MyAuditVal&lt;&gt;"",UPPER(_xlpm.MyAuditVal),_xlpm.MacVal&lt;&gt;"",_xlpm.MacVal,_xlpm.CSVVal&lt;&gt;"",_xlpm.CSVVal
)),"")</f>
        <v/>
      </c>
      <c r="D460" s="55" t="str">
        <f>_xlfn.XLOOKUP(A460,My_Audit!A:A,My_Audit!D:D,"")&amp;""</f>
        <v/>
      </c>
      <c r="E460" s="55" t="str" cm="1">
        <f t="array" ref="E460">IFERROR(_xlfn.LET(
_xlpm.CSVVal,_xlfn.XLOOKUP($A460,CSV!$A:$A,CSV!D:D,""),
_xlpm.MacVal,_xlfn.XLOOKUP($A460,Output_Mac!$A:$A,Output_Mac!C:C,""),
_xlpm.MyAuditVal,_xlfn.XLOOKUP($A460,My_Audit!$A:$A,My_Audit!D:D,""),
_xlfn.IFS(_xlpm.MyAuditVal&lt;&gt;"",_xlpm.MyAuditVal,_xlpm.MacVal&lt;&gt;"",_xlpm.MacVal,_xlpm.CSVVal&lt;&gt;"",_xlpm.CSVVal
)),"")</f>
        <v/>
      </c>
      <c r="F460" s="54" t="str" cm="1">
        <f t="array" ref="F460">IFERROR(_xlfn.LET(
_xlpm.CSVVal,_xlfn.XLOOKUP($A460,CSV!$A:$A,CSV!E:E,""),
_xlpm.MacVal,_xlfn.XLOOKUP($A460,Output_Mac!$A:$A,Output_Mac!F:F,""),
_xlpm.MyAuditVal,_xlfn.XLOOKUP($A460,My_Audit!$A:$A,My_Audit!E:E,""),
_xlfn.IFS(_xlpm.MyAuditVal&lt;&gt;"",_xlpm.MyAuditVal,_xlpm.MacVal&lt;&gt;"",_xlpm.MacVal,_xlpm.CSVVal&lt;&gt;"",PROPER(_xlpm.CSVVal)
)),"")</f>
        <v/>
      </c>
      <c r="G460" s="54" t="str" cm="1">
        <f t="array" ref="G460">IFERROR(_xlfn.LET(
_xlpm.CSVVal,_xlfn.XLOOKUP($A460,CSV!$A:$A,CSV!F:F,""),
_xlpm.MacVal,_xlfn.XLOOKUP($A460,Output_Mac!$A:$A,Output_Mac!H:H,""),
_xlpm.MyAuditVal,_xlfn.XLOOKUP($A460,My_Audit!$A:$A,My_Audit!F:F,""),
_xlfn.IFS(_xlpm.MyAuditVal&lt;&gt;"",_xlpm.MyAuditVal,_xlpm.MacVal&lt;&gt;"",_xlpm.MacVal,_xlpm.CSVVal&lt;&gt;"",_xlpm.CSVVal
)),"")</f>
        <v/>
      </c>
      <c r="H460" s="54" t="str">
        <f>_xlfn.XLOOKUP(A460,Output_Mac!A:A,Output_Mac!I:I,"")</f>
        <v/>
      </c>
      <c r="I460" s="54" t="str" cm="1">
        <f t="array" ref="I460">IFERROR(_xlfn.LET(
_xlpm.CSVVal,_xlfn.XLOOKUP($A460,CSV!$A:$A,CSV!G:G,""),
_xlpm.MacVal,_xlfn.XLOOKUP($A460,Output_Mac!$A:$A,Output_Mac!J:J,""),
_xlpm.MyAuditVal,_xlfn.XLOOKUP($A460,My_Audit!$A:$A,My_Audit!H:H,""),
_xlfn.IFS(_xlpm.MyAuditVal&lt;&gt;"",UPPER(_xlpm.MyAuditVal),_xlpm.MacVal&lt;&gt;"",_xlpm.MacVal,_xlpm.CSVVal&lt;&gt;"",_xlpm.CSVVal
)),"")</f>
        <v/>
      </c>
      <c r="J460" s="54" t="str" cm="1">
        <f t="array" ref="J460">IFERROR(_xlfn.LET(
_xlpm.CSVVal,_xlfn.XLOOKUP($A460,CSV!$A:$A,CSV!I:I,""),
_xlpm.MacVal,_xlfn.XLOOKUP($A460,Output_Mac!$A:$A,Output_Mac!K:K,""),
_xlpm.MyAuditVal,_xlfn.XLOOKUP($A460,My_Audit!$A:$A,My_Audit!I:I,""),
_xlfn.IFS(_xlpm.MyAuditVal&lt;&gt;"",UPPER(_xlpm.MyAuditVal),_xlpm.MacVal&lt;&gt;"",_xlpm.MacVal,_xlpm.CSVVal&lt;&gt;"",_xlpm.CSVVal
)),"")</f>
        <v/>
      </c>
      <c r="K460" s="54" t="str" cm="1">
        <f t="array" ref="K460">IFERROR(_xlfn.LET(
_xlpm.CSVVal,_xlfn.XLOOKUP($A460,CSV!$A:$A,CSV!M:M,""),
_xlpm.MacVal,_xlfn.XLOOKUP($A460,Output_Mac!$A:$A,Output_Mac!L:L,""),
_xlpm.MyAuditVal,_xlfn.XLOOKUP($A460,My_Audit!$A:$A,My_Audit!J:J,""),
_xlfn.IFS(_xlpm.MyAuditVal&lt;&gt;"",UPPER(_xlpm.MyAuditVal),_xlpm.MacVal&lt;&gt;"",_xlpm.MacVal,_xlpm.CSVVal&lt;&gt;"",_xlpm.CSVVal
)),"")</f>
        <v/>
      </c>
      <c r="L460" s="54" t="str" cm="1">
        <f t="array" ref="L460">IFERROR(_xlfn.LET(
_xlpm.CSVVal,_xlfn.XLOOKUP($A460,CSV!$A:$A,CSV!O:O,""),
_xlpm.MacVal,_xlfn.XLOOKUP($A460,Output_Mac!$A:$A,Output_Mac!M:M,""),
_xlpm.MyAuditVal,_xlfn.XLOOKUP($A460,My_Audit!$A:$A,My_Audit!K:K,""),
_xlfn.IFS(_xlpm.MyAuditVal&lt;&gt;"",UPPER(_xlpm.MyAuditVal),_xlpm.MacVal&lt;&gt;"",_xlpm.MacVal,_xlpm.CSVVal&lt;&gt;"",_xlpm.CSVVal
)),"")</f>
        <v/>
      </c>
      <c r="M460" s="54" t="str">
        <f>_xlfn.LET(
    _xlpm.CSVVal, _xlfn.XLOOKUP($A460, CSV!$A:$A, CSV!AD:AD, ""),
    _xlpm.MacVal, _xlfn.XLOOKUP($A460, Output_Mac!$A:$A, Output_Mac!S:S, ""),
    _xlpm.MyAuditVal, _xlfn.XLOOKUP($A460, My_Audit!$A:$A, My_Audit!N:N, ""),
    _xlfn.TEXTJOIN(", ", TRUE, _xlpm.MyAuditVal, _xlpm.MacVal, _xlpm.CSVVal)
)</f>
        <v/>
      </c>
      <c r="N460" s="54" t="str" cm="1">
        <f t="array" ref="N460">IFERROR(_xlfn.LET(
_xlpm.CSVVal,_xlfn.XLOOKUP($A460,CSV!$A:$A,CSV!AF:AF,""),
_xlpm.MacVal,_xlfn.XLOOKUP($A460,Output_Mac!$A:$A,Output_Mac!U:U,""),
_xlpm.MyAuditVal,_xlfn.XLOOKUP($A460,My_Audit!$A:$A,My_Audit!O:O,""),
_xlfn.IFS(_xlpm.MyAuditVal&lt;&gt;"",UPPER(_xlpm.MyAuditVal),_xlpm.MacVal&lt;&gt;"",_xlpm.MacVal,_xlpm.CSVVal&lt;&gt;"",_xlpm.CSVVal
)),"")</f>
        <v/>
      </c>
      <c r="O460" s="54"/>
      <c r="P460" s="54"/>
      <c r="Q460" s="54"/>
      <c r="R460" s="54"/>
      <c r="S460" s="54"/>
      <c r="T460" s="54"/>
      <c r="U460" s="39"/>
    </row>
    <row r="461" spans="1:21">
      <c r="A461" s="54" t="str">
        <f>_xlfn.TEXTJOIN("",TRUE,Input!$B$2,ROW(My_Audit!A460))</f>
        <v>XX460</v>
      </c>
      <c r="B461" s="54" t="str">
        <f>_xlfn.TEXTJOIN("-",TRUE,"ITD",Input!$A$2,A461)</f>
        <v>ITD-SHRXXX-XX460</v>
      </c>
      <c r="C461" s="54" t="str" cm="1">
        <f t="array" ref="C461">IFERROR(_xlfn.LET(
_xlpm.CSVVal,_xlfn.XLOOKUP($A461,CSV!$A:$A,CSV!B:B,""),
_xlpm.MacVal,_xlfn.XLOOKUP($A461,Output_Mac!$A:$A,Output_Mac!B:B,""),
_xlpm.MyAuditVal,_xlfn.XLOOKUP($A461,My_Audit!$A:$A,My_Audit!B:B,""),
_xlfn.IFS(_xlpm.MyAuditVal&lt;&gt;"",UPPER(_xlpm.MyAuditVal),_xlpm.MacVal&lt;&gt;"",_xlpm.MacVal,_xlpm.CSVVal&lt;&gt;"",_xlpm.CSVVal
)),"")</f>
        <v/>
      </c>
      <c r="D461" s="55" t="str">
        <f>_xlfn.XLOOKUP(A461,My_Audit!A:A,My_Audit!D:D,"")&amp;""</f>
        <v/>
      </c>
      <c r="E461" s="55" t="str" cm="1">
        <f t="array" ref="E461">IFERROR(_xlfn.LET(
_xlpm.CSVVal,_xlfn.XLOOKUP($A461,CSV!$A:$A,CSV!D:D,""),
_xlpm.MacVal,_xlfn.XLOOKUP($A461,Output_Mac!$A:$A,Output_Mac!C:C,""),
_xlpm.MyAuditVal,_xlfn.XLOOKUP($A461,My_Audit!$A:$A,My_Audit!D:D,""),
_xlfn.IFS(_xlpm.MyAuditVal&lt;&gt;"",_xlpm.MyAuditVal,_xlpm.MacVal&lt;&gt;"",_xlpm.MacVal,_xlpm.CSVVal&lt;&gt;"",_xlpm.CSVVal
)),"")</f>
        <v/>
      </c>
      <c r="F461" s="54" t="str" cm="1">
        <f t="array" ref="F461">IFERROR(_xlfn.LET(
_xlpm.CSVVal,_xlfn.XLOOKUP($A461,CSV!$A:$A,CSV!E:E,""),
_xlpm.MacVal,_xlfn.XLOOKUP($A461,Output_Mac!$A:$A,Output_Mac!F:F,""),
_xlpm.MyAuditVal,_xlfn.XLOOKUP($A461,My_Audit!$A:$A,My_Audit!E:E,""),
_xlfn.IFS(_xlpm.MyAuditVal&lt;&gt;"",_xlpm.MyAuditVal,_xlpm.MacVal&lt;&gt;"",_xlpm.MacVal,_xlpm.CSVVal&lt;&gt;"",PROPER(_xlpm.CSVVal)
)),"")</f>
        <v/>
      </c>
      <c r="G461" s="54" t="str" cm="1">
        <f t="array" ref="G461">IFERROR(_xlfn.LET(
_xlpm.CSVVal,_xlfn.XLOOKUP($A461,CSV!$A:$A,CSV!F:F,""),
_xlpm.MacVal,_xlfn.XLOOKUP($A461,Output_Mac!$A:$A,Output_Mac!H:H,""),
_xlpm.MyAuditVal,_xlfn.XLOOKUP($A461,My_Audit!$A:$A,My_Audit!F:F,""),
_xlfn.IFS(_xlpm.MyAuditVal&lt;&gt;"",_xlpm.MyAuditVal,_xlpm.MacVal&lt;&gt;"",_xlpm.MacVal,_xlpm.CSVVal&lt;&gt;"",_xlpm.CSVVal
)),"")</f>
        <v/>
      </c>
      <c r="H461" s="54" t="str">
        <f>_xlfn.XLOOKUP(A461,Output_Mac!A:A,Output_Mac!I:I,"")</f>
        <v/>
      </c>
      <c r="I461" s="54" t="str" cm="1">
        <f t="array" ref="I461">IFERROR(_xlfn.LET(
_xlpm.CSVVal,_xlfn.XLOOKUP($A461,CSV!$A:$A,CSV!G:G,""),
_xlpm.MacVal,_xlfn.XLOOKUP($A461,Output_Mac!$A:$A,Output_Mac!J:J,""),
_xlpm.MyAuditVal,_xlfn.XLOOKUP($A461,My_Audit!$A:$A,My_Audit!H:H,""),
_xlfn.IFS(_xlpm.MyAuditVal&lt;&gt;"",UPPER(_xlpm.MyAuditVal),_xlpm.MacVal&lt;&gt;"",_xlpm.MacVal,_xlpm.CSVVal&lt;&gt;"",_xlpm.CSVVal
)),"")</f>
        <v/>
      </c>
      <c r="J461" s="54" t="str" cm="1">
        <f t="array" ref="J461">IFERROR(_xlfn.LET(
_xlpm.CSVVal,_xlfn.XLOOKUP($A461,CSV!$A:$A,CSV!I:I,""),
_xlpm.MacVal,_xlfn.XLOOKUP($A461,Output_Mac!$A:$A,Output_Mac!K:K,""),
_xlpm.MyAuditVal,_xlfn.XLOOKUP($A461,My_Audit!$A:$A,My_Audit!I:I,""),
_xlfn.IFS(_xlpm.MyAuditVal&lt;&gt;"",UPPER(_xlpm.MyAuditVal),_xlpm.MacVal&lt;&gt;"",_xlpm.MacVal,_xlpm.CSVVal&lt;&gt;"",_xlpm.CSVVal
)),"")</f>
        <v/>
      </c>
      <c r="K461" s="54" t="str" cm="1">
        <f t="array" ref="K461">IFERROR(_xlfn.LET(
_xlpm.CSVVal,_xlfn.XLOOKUP($A461,CSV!$A:$A,CSV!M:M,""),
_xlpm.MacVal,_xlfn.XLOOKUP($A461,Output_Mac!$A:$A,Output_Mac!L:L,""),
_xlpm.MyAuditVal,_xlfn.XLOOKUP($A461,My_Audit!$A:$A,My_Audit!J:J,""),
_xlfn.IFS(_xlpm.MyAuditVal&lt;&gt;"",UPPER(_xlpm.MyAuditVal),_xlpm.MacVal&lt;&gt;"",_xlpm.MacVal,_xlpm.CSVVal&lt;&gt;"",_xlpm.CSVVal
)),"")</f>
        <v/>
      </c>
      <c r="L461" s="54" t="str" cm="1">
        <f t="array" ref="L461">IFERROR(_xlfn.LET(
_xlpm.CSVVal,_xlfn.XLOOKUP($A461,CSV!$A:$A,CSV!O:O,""),
_xlpm.MacVal,_xlfn.XLOOKUP($A461,Output_Mac!$A:$A,Output_Mac!M:M,""),
_xlpm.MyAuditVal,_xlfn.XLOOKUP($A461,My_Audit!$A:$A,My_Audit!K:K,""),
_xlfn.IFS(_xlpm.MyAuditVal&lt;&gt;"",UPPER(_xlpm.MyAuditVal),_xlpm.MacVal&lt;&gt;"",_xlpm.MacVal,_xlpm.CSVVal&lt;&gt;"",_xlpm.CSVVal
)),"")</f>
        <v/>
      </c>
      <c r="M461" s="54" t="str">
        <f>_xlfn.LET(
    _xlpm.CSVVal, _xlfn.XLOOKUP($A461, CSV!$A:$A, CSV!AD:AD, ""),
    _xlpm.MacVal, _xlfn.XLOOKUP($A461, Output_Mac!$A:$A, Output_Mac!S:S, ""),
    _xlpm.MyAuditVal, _xlfn.XLOOKUP($A461, My_Audit!$A:$A, My_Audit!N:N, ""),
    _xlfn.TEXTJOIN(", ", TRUE, _xlpm.MyAuditVal, _xlpm.MacVal, _xlpm.CSVVal)
)</f>
        <v/>
      </c>
      <c r="N461" s="54" t="str" cm="1">
        <f t="array" ref="N461">IFERROR(_xlfn.LET(
_xlpm.CSVVal,_xlfn.XLOOKUP($A461,CSV!$A:$A,CSV!AF:AF,""),
_xlpm.MacVal,_xlfn.XLOOKUP($A461,Output_Mac!$A:$A,Output_Mac!U:U,""),
_xlpm.MyAuditVal,_xlfn.XLOOKUP($A461,My_Audit!$A:$A,My_Audit!O:O,""),
_xlfn.IFS(_xlpm.MyAuditVal&lt;&gt;"",UPPER(_xlpm.MyAuditVal),_xlpm.MacVal&lt;&gt;"",_xlpm.MacVal,_xlpm.CSVVal&lt;&gt;"",_xlpm.CSVVal
)),"")</f>
        <v/>
      </c>
      <c r="O461" s="54"/>
      <c r="P461" s="54"/>
      <c r="Q461" s="54"/>
      <c r="R461" s="54"/>
      <c r="S461" s="54"/>
      <c r="T461" s="54"/>
      <c r="U461" s="39"/>
    </row>
    <row r="462" spans="1:21">
      <c r="A462" s="54" t="str">
        <f>_xlfn.TEXTJOIN("",TRUE,Input!$B$2,ROW(My_Audit!A461))</f>
        <v>XX461</v>
      </c>
      <c r="B462" s="54" t="str">
        <f>_xlfn.TEXTJOIN("-",TRUE,"ITD",Input!$A$2,A462)</f>
        <v>ITD-SHRXXX-XX461</v>
      </c>
      <c r="C462" s="54" t="str" cm="1">
        <f t="array" ref="C462">IFERROR(_xlfn.LET(
_xlpm.CSVVal,_xlfn.XLOOKUP($A462,CSV!$A:$A,CSV!B:B,""),
_xlpm.MacVal,_xlfn.XLOOKUP($A462,Output_Mac!$A:$A,Output_Mac!B:B,""),
_xlpm.MyAuditVal,_xlfn.XLOOKUP($A462,My_Audit!$A:$A,My_Audit!B:B,""),
_xlfn.IFS(_xlpm.MyAuditVal&lt;&gt;"",UPPER(_xlpm.MyAuditVal),_xlpm.MacVal&lt;&gt;"",_xlpm.MacVal,_xlpm.CSVVal&lt;&gt;"",_xlpm.CSVVal
)),"")</f>
        <v/>
      </c>
      <c r="D462" s="55" t="str">
        <f>_xlfn.XLOOKUP(A462,My_Audit!A:A,My_Audit!D:D,"")&amp;""</f>
        <v/>
      </c>
      <c r="E462" s="55" t="str" cm="1">
        <f t="array" ref="E462">IFERROR(_xlfn.LET(
_xlpm.CSVVal,_xlfn.XLOOKUP($A462,CSV!$A:$A,CSV!D:D,""),
_xlpm.MacVal,_xlfn.XLOOKUP($A462,Output_Mac!$A:$A,Output_Mac!C:C,""),
_xlpm.MyAuditVal,_xlfn.XLOOKUP($A462,My_Audit!$A:$A,My_Audit!D:D,""),
_xlfn.IFS(_xlpm.MyAuditVal&lt;&gt;"",_xlpm.MyAuditVal,_xlpm.MacVal&lt;&gt;"",_xlpm.MacVal,_xlpm.CSVVal&lt;&gt;"",_xlpm.CSVVal
)),"")</f>
        <v/>
      </c>
      <c r="F462" s="54" t="str" cm="1">
        <f t="array" ref="F462">IFERROR(_xlfn.LET(
_xlpm.CSVVal,_xlfn.XLOOKUP($A462,CSV!$A:$A,CSV!E:E,""),
_xlpm.MacVal,_xlfn.XLOOKUP($A462,Output_Mac!$A:$A,Output_Mac!F:F,""),
_xlpm.MyAuditVal,_xlfn.XLOOKUP($A462,My_Audit!$A:$A,My_Audit!E:E,""),
_xlfn.IFS(_xlpm.MyAuditVal&lt;&gt;"",_xlpm.MyAuditVal,_xlpm.MacVal&lt;&gt;"",_xlpm.MacVal,_xlpm.CSVVal&lt;&gt;"",PROPER(_xlpm.CSVVal)
)),"")</f>
        <v/>
      </c>
      <c r="G462" s="54" t="str" cm="1">
        <f t="array" ref="G462">IFERROR(_xlfn.LET(
_xlpm.CSVVal,_xlfn.XLOOKUP($A462,CSV!$A:$A,CSV!F:F,""),
_xlpm.MacVal,_xlfn.XLOOKUP($A462,Output_Mac!$A:$A,Output_Mac!H:H,""),
_xlpm.MyAuditVal,_xlfn.XLOOKUP($A462,My_Audit!$A:$A,My_Audit!F:F,""),
_xlfn.IFS(_xlpm.MyAuditVal&lt;&gt;"",_xlpm.MyAuditVal,_xlpm.MacVal&lt;&gt;"",_xlpm.MacVal,_xlpm.CSVVal&lt;&gt;"",_xlpm.CSVVal
)),"")</f>
        <v/>
      </c>
      <c r="H462" s="54" t="str">
        <f>_xlfn.XLOOKUP(A462,Output_Mac!A:A,Output_Mac!I:I,"")</f>
        <v/>
      </c>
      <c r="I462" s="54" t="str" cm="1">
        <f t="array" ref="I462">IFERROR(_xlfn.LET(
_xlpm.CSVVal,_xlfn.XLOOKUP($A462,CSV!$A:$A,CSV!G:G,""),
_xlpm.MacVal,_xlfn.XLOOKUP($A462,Output_Mac!$A:$A,Output_Mac!J:J,""),
_xlpm.MyAuditVal,_xlfn.XLOOKUP($A462,My_Audit!$A:$A,My_Audit!H:H,""),
_xlfn.IFS(_xlpm.MyAuditVal&lt;&gt;"",UPPER(_xlpm.MyAuditVal),_xlpm.MacVal&lt;&gt;"",_xlpm.MacVal,_xlpm.CSVVal&lt;&gt;"",_xlpm.CSVVal
)),"")</f>
        <v/>
      </c>
      <c r="J462" s="54" t="str" cm="1">
        <f t="array" ref="J462">IFERROR(_xlfn.LET(
_xlpm.CSVVal,_xlfn.XLOOKUP($A462,CSV!$A:$A,CSV!I:I,""),
_xlpm.MacVal,_xlfn.XLOOKUP($A462,Output_Mac!$A:$A,Output_Mac!K:K,""),
_xlpm.MyAuditVal,_xlfn.XLOOKUP($A462,My_Audit!$A:$A,My_Audit!I:I,""),
_xlfn.IFS(_xlpm.MyAuditVal&lt;&gt;"",UPPER(_xlpm.MyAuditVal),_xlpm.MacVal&lt;&gt;"",_xlpm.MacVal,_xlpm.CSVVal&lt;&gt;"",_xlpm.CSVVal
)),"")</f>
        <v/>
      </c>
      <c r="K462" s="54" t="str" cm="1">
        <f t="array" ref="K462">IFERROR(_xlfn.LET(
_xlpm.CSVVal,_xlfn.XLOOKUP($A462,CSV!$A:$A,CSV!M:M,""),
_xlpm.MacVal,_xlfn.XLOOKUP($A462,Output_Mac!$A:$A,Output_Mac!L:L,""),
_xlpm.MyAuditVal,_xlfn.XLOOKUP($A462,My_Audit!$A:$A,My_Audit!J:J,""),
_xlfn.IFS(_xlpm.MyAuditVal&lt;&gt;"",UPPER(_xlpm.MyAuditVal),_xlpm.MacVal&lt;&gt;"",_xlpm.MacVal,_xlpm.CSVVal&lt;&gt;"",_xlpm.CSVVal
)),"")</f>
        <v/>
      </c>
      <c r="L462" s="54" t="str" cm="1">
        <f t="array" ref="L462">IFERROR(_xlfn.LET(
_xlpm.CSVVal,_xlfn.XLOOKUP($A462,CSV!$A:$A,CSV!O:O,""),
_xlpm.MacVal,_xlfn.XLOOKUP($A462,Output_Mac!$A:$A,Output_Mac!M:M,""),
_xlpm.MyAuditVal,_xlfn.XLOOKUP($A462,My_Audit!$A:$A,My_Audit!K:K,""),
_xlfn.IFS(_xlpm.MyAuditVal&lt;&gt;"",UPPER(_xlpm.MyAuditVal),_xlpm.MacVal&lt;&gt;"",_xlpm.MacVal,_xlpm.CSVVal&lt;&gt;"",_xlpm.CSVVal
)),"")</f>
        <v/>
      </c>
      <c r="M462" s="54" t="str">
        <f>_xlfn.LET(
    _xlpm.CSVVal, _xlfn.XLOOKUP($A462, CSV!$A:$A, CSV!AD:AD, ""),
    _xlpm.MacVal, _xlfn.XLOOKUP($A462, Output_Mac!$A:$A, Output_Mac!S:S, ""),
    _xlpm.MyAuditVal, _xlfn.XLOOKUP($A462, My_Audit!$A:$A, My_Audit!N:N, ""),
    _xlfn.TEXTJOIN(", ", TRUE, _xlpm.MyAuditVal, _xlpm.MacVal, _xlpm.CSVVal)
)</f>
        <v/>
      </c>
      <c r="N462" s="54" t="str" cm="1">
        <f t="array" ref="N462">IFERROR(_xlfn.LET(
_xlpm.CSVVal,_xlfn.XLOOKUP($A462,CSV!$A:$A,CSV!AF:AF,""),
_xlpm.MacVal,_xlfn.XLOOKUP($A462,Output_Mac!$A:$A,Output_Mac!U:U,""),
_xlpm.MyAuditVal,_xlfn.XLOOKUP($A462,My_Audit!$A:$A,My_Audit!O:O,""),
_xlfn.IFS(_xlpm.MyAuditVal&lt;&gt;"",UPPER(_xlpm.MyAuditVal),_xlpm.MacVal&lt;&gt;"",_xlpm.MacVal,_xlpm.CSVVal&lt;&gt;"",_xlpm.CSVVal
)),"")</f>
        <v/>
      </c>
      <c r="O462" s="54"/>
      <c r="P462" s="54"/>
      <c r="Q462" s="54"/>
      <c r="R462" s="54"/>
      <c r="S462" s="54"/>
      <c r="T462" s="54"/>
      <c r="U462" s="39"/>
    </row>
    <row r="463" spans="1:21">
      <c r="A463" s="54" t="str">
        <f>_xlfn.TEXTJOIN("",TRUE,Input!$B$2,ROW(My_Audit!A462))</f>
        <v>XX462</v>
      </c>
      <c r="B463" s="54" t="str">
        <f>_xlfn.TEXTJOIN("-",TRUE,"ITD",Input!$A$2,A463)</f>
        <v>ITD-SHRXXX-XX462</v>
      </c>
      <c r="C463" s="54" t="str" cm="1">
        <f t="array" ref="C463">IFERROR(_xlfn.LET(
_xlpm.CSVVal,_xlfn.XLOOKUP($A463,CSV!$A:$A,CSV!B:B,""),
_xlpm.MacVal,_xlfn.XLOOKUP($A463,Output_Mac!$A:$A,Output_Mac!B:B,""),
_xlpm.MyAuditVal,_xlfn.XLOOKUP($A463,My_Audit!$A:$A,My_Audit!B:B,""),
_xlfn.IFS(_xlpm.MyAuditVal&lt;&gt;"",UPPER(_xlpm.MyAuditVal),_xlpm.MacVal&lt;&gt;"",_xlpm.MacVal,_xlpm.CSVVal&lt;&gt;"",_xlpm.CSVVal
)),"")</f>
        <v/>
      </c>
      <c r="D463" s="55" t="str">
        <f>_xlfn.XLOOKUP(A463,My_Audit!A:A,My_Audit!D:D,"")&amp;""</f>
        <v/>
      </c>
      <c r="E463" s="55" t="str" cm="1">
        <f t="array" ref="E463">IFERROR(_xlfn.LET(
_xlpm.CSVVal,_xlfn.XLOOKUP($A463,CSV!$A:$A,CSV!D:D,""),
_xlpm.MacVal,_xlfn.XLOOKUP($A463,Output_Mac!$A:$A,Output_Mac!C:C,""),
_xlpm.MyAuditVal,_xlfn.XLOOKUP($A463,My_Audit!$A:$A,My_Audit!D:D,""),
_xlfn.IFS(_xlpm.MyAuditVal&lt;&gt;"",_xlpm.MyAuditVal,_xlpm.MacVal&lt;&gt;"",_xlpm.MacVal,_xlpm.CSVVal&lt;&gt;"",_xlpm.CSVVal
)),"")</f>
        <v/>
      </c>
      <c r="F463" s="54" t="str" cm="1">
        <f t="array" ref="F463">IFERROR(_xlfn.LET(
_xlpm.CSVVal,_xlfn.XLOOKUP($A463,CSV!$A:$A,CSV!E:E,""),
_xlpm.MacVal,_xlfn.XLOOKUP($A463,Output_Mac!$A:$A,Output_Mac!F:F,""),
_xlpm.MyAuditVal,_xlfn.XLOOKUP($A463,My_Audit!$A:$A,My_Audit!E:E,""),
_xlfn.IFS(_xlpm.MyAuditVal&lt;&gt;"",_xlpm.MyAuditVal,_xlpm.MacVal&lt;&gt;"",_xlpm.MacVal,_xlpm.CSVVal&lt;&gt;"",PROPER(_xlpm.CSVVal)
)),"")</f>
        <v/>
      </c>
      <c r="G463" s="54" t="str" cm="1">
        <f t="array" ref="G463">IFERROR(_xlfn.LET(
_xlpm.CSVVal,_xlfn.XLOOKUP($A463,CSV!$A:$A,CSV!F:F,""),
_xlpm.MacVal,_xlfn.XLOOKUP($A463,Output_Mac!$A:$A,Output_Mac!H:H,""),
_xlpm.MyAuditVal,_xlfn.XLOOKUP($A463,My_Audit!$A:$A,My_Audit!F:F,""),
_xlfn.IFS(_xlpm.MyAuditVal&lt;&gt;"",_xlpm.MyAuditVal,_xlpm.MacVal&lt;&gt;"",_xlpm.MacVal,_xlpm.CSVVal&lt;&gt;"",_xlpm.CSVVal
)),"")</f>
        <v/>
      </c>
      <c r="H463" s="54" t="str">
        <f>_xlfn.XLOOKUP(A463,Output_Mac!A:A,Output_Mac!I:I,"")</f>
        <v/>
      </c>
      <c r="I463" s="54" t="str" cm="1">
        <f t="array" ref="I463">IFERROR(_xlfn.LET(
_xlpm.CSVVal,_xlfn.XLOOKUP($A463,CSV!$A:$A,CSV!G:G,""),
_xlpm.MacVal,_xlfn.XLOOKUP($A463,Output_Mac!$A:$A,Output_Mac!J:J,""),
_xlpm.MyAuditVal,_xlfn.XLOOKUP($A463,My_Audit!$A:$A,My_Audit!H:H,""),
_xlfn.IFS(_xlpm.MyAuditVal&lt;&gt;"",UPPER(_xlpm.MyAuditVal),_xlpm.MacVal&lt;&gt;"",_xlpm.MacVal,_xlpm.CSVVal&lt;&gt;"",_xlpm.CSVVal
)),"")</f>
        <v/>
      </c>
      <c r="J463" s="54" t="str" cm="1">
        <f t="array" ref="J463">IFERROR(_xlfn.LET(
_xlpm.CSVVal,_xlfn.XLOOKUP($A463,CSV!$A:$A,CSV!I:I,""),
_xlpm.MacVal,_xlfn.XLOOKUP($A463,Output_Mac!$A:$A,Output_Mac!K:K,""),
_xlpm.MyAuditVal,_xlfn.XLOOKUP($A463,My_Audit!$A:$A,My_Audit!I:I,""),
_xlfn.IFS(_xlpm.MyAuditVal&lt;&gt;"",UPPER(_xlpm.MyAuditVal),_xlpm.MacVal&lt;&gt;"",_xlpm.MacVal,_xlpm.CSVVal&lt;&gt;"",_xlpm.CSVVal
)),"")</f>
        <v/>
      </c>
      <c r="K463" s="54" t="str" cm="1">
        <f t="array" ref="K463">IFERROR(_xlfn.LET(
_xlpm.CSVVal,_xlfn.XLOOKUP($A463,CSV!$A:$A,CSV!M:M,""),
_xlpm.MacVal,_xlfn.XLOOKUP($A463,Output_Mac!$A:$A,Output_Mac!L:L,""),
_xlpm.MyAuditVal,_xlfn.XLOOKUP($A463,My_Audit!$A:$A,My_Audit!J:J,""),
_xlfn.IFS(_xlpm.MyAuditVal&lt;&gt;"",UPPER(_xlpm.MyAuditVal),_xlpm.MacVal&lt;&gt;"",_xlpm.MacVal,_xlpm.CSVVal&lt;&gt;"",_xlpm.CSVVal
)),"")</f>
        <v/>
      </c>
      <c r="L463" s="54" t="str" cm="1">
        <f t="array" ref="L463">IFERROR(_xlfn.LET(
_xlpm.CSVVal,_xlfn.XLOOKUP($A463,CSV!$A:$A,CSV!O:O,""),
_xlpm.MacVal,_xlfn.XLOOKUP($A463,Output_Mac!$A:$A,Output_Mac!M:M,""),
_xlpm.MyAuditVal,_xlfn.XLOOKUP($A463,My_Audit!$A:$A,My_Audit!K:K,""),
_xlfn.IFS(_xlpm.MyAuditVal&lt;&gt;"",UPPER(_xlpm.MyAuditVal),_xlpm.MacVal&lt;&gt;"",_xlpm.MacVal,_xlpm.CSVVal&lt;&gt;"",_xlpm.CSVVal
)),"")</f>
        <v/>
      </c>
      <c r="M463" s="54" t="str">
        <f>_xlfn.LET(
    _xlpm.CSVVal, _xlfn.XLOOKUP($A463, CSV!$A:$A, CSV!AD:AD, ""),
    _xlpm.MacVal, _xlfn.XLOOKUP($A463, Output_Mac!$A:$A, Output_Mac!S:S, ""),
    _xlpm.MyAuditVal, _xlfn.XLOOKUP($A463, My_Audit!$A:$A, My_Audit!N:N, ""),
    _xlfn.TEXTJOIN(", ", TRUE, _xlpm.MyAuditVal, _xlpm.MacVal, _xlpm.CSVVal)
)</f>
        <v/>
      </c>
      <c r="N463" s="54" t="str" cm="1">
        <f t="array" ref="N463">IFERROR(_xlfn.LET(
_xlpm.CSVVal,_xlfn.XLOOKUP($A463,CSV!$A:$A,CSV!AF:AF,""),
_xlpm.MacVal,_xlfn.XLOOKUP($A463,Output_Mac!$A:$A,Output_Mac!U:U,""),
_xlpm.MyAuditVal,_xlfn.XLOOKUP($A463,My_Audit!$A:$A,My_Audit!O:O,""),
_xlfn.IFS(_xlpm.MyAuditVal&lt;&gt;"",UPPER(_xlpm.MyAuditVal),_xlpm.MacVal&lt;&gt;"",_xlpm.MacVal,_xlpm.CSVVal&lt;&gt;"",_xlpm.CSVVal
)),"")</f>
        <v/>
      </c>
      <c r="O463" s="54"/>
      <c r="P463" s="54"/>
      <c r="Q463" s="54"/>
      <c r="R463" s="54"/>
      <c r="S463" s="54"/>
      <c r="T463" s="54"/>
      <c r="U463" s="39"/>
    </row>
    <row r="464" spans="1:21">
      <c r="A464" s="54" t="str">
        <f>_xlfn.TEXTJOIN("",TRUE,Input!$B$2,ROW(My_Audit!A463))</f>
        <v>XX463</v>
      </c>
      <c r="B464" s="54" t="str">
        <f>_xlfn.TEXTJOIN("-",TRUE,"ITD",Input!$A$2,A464)</f>
        <v>ITD-SHRXXX-XX463</v>
      </c>
      <c r="C464" s="54" t="str" cm="1">
        <f t="array" ref="C464">IFERROR(_xlfn.LET(
_xlpm.CSVVal,_xlfn.XLOOKUP($A464,CSV!$A:$A,CSV!B:B,""),
_xlpm.MacVal,_xlfn.XLOOKUP($A464,Output_Mac!$A:$A,Output_Mac!B:B,""),
_xlpm.MyAuditVal,_xlfn.XLOOKUP($A464,My_Audit!$A:$A,My_Audit!B:B,""),
_xlfn.IFS(_xlpm.MyAuditVal&lt;&gt;"",UPPER(_xlpm.MyAuditVal),_xlpm.MacVal&lt;&gt;"",_xlpm.MacVal,_xlpm.CSVVal&lt;&gt;"",_xlpm.CSVVal
)),"")</f>
        <v/>
      </c>
      <c r="D464" s="55" t="str">
        <f>_xlfn.XLOOKUP(A464,My_Audit!A:A,My_Audit!D:D,"")&amp;""</f>
        <v/>
      </c>
      <c r="E464" s="55" t="str" cm="1">
        <f t="array" ref="E464">IFERROR(_xlfn.LET(
_xlpm.CSVVal,_xlfn.XLOOKUP($A464,CSV!$A:$A,CSV!D:D,""),
_xlpm.MacVal,_xlfn.XLOOKUP($A464,Output_Mac!$A:$A,Output_Mac!C:C,""),
_xlpm.MyAuditVal,_xlfn.XLOOKUP($A464,My_Audit!$A:$A,My_Audit!D:D,""),
_xlfn.IFS(_xlpm.MyAuditVal&lt;&gt;"",_xlpm.MyAuditVal,_xlpm.MacVal&lt;&gt;"",_xlpm.MacVal,_xlpm.CSVVal&lt;&gt;"",_xlpm.CSVVal
)),"")</f>
        <v/>
      </c>
      <c r="F464" s="54" t="str" cm="1">
        <f t="array" ref="F464">IFERROR(_xlfn.LET(
_xlpm.CSVVal,_xlfn.XLOOKUP($A464,CSV!$A:$A,CSV!E:E,""),
_xlpm.MacVal,_xlfn.XLOOKUP($A464,Output_Mac!$A:$A,Output_Mac!F:F,""),
_xlpm.MyAuditVal,_xlfn.XLOOKUP($A464,My_Audit!$A:$A,My_Audit!E:E,""),
_xlfn.IFS(_xlpm.MyAuditVal&lt;&gt;"",_xlpm.MyAuditVal,_xlpm.MacVal&lt;&gt;"",_xlpm.MacVal,_xlpm.CSVVal&lt;&gt;"",PROPER(_xlpm.CSVVal)
)),"")</f>
        <v/>
      </c>
      <c r="G464" s="54" t="str" cm="1">
        <f t="array" ref="G464">IFERROR(_xlfn.LET(
_xlpm.CSVVal,_xlfn.XLOOKUP($A464,CSV!$A:$A,CSV!F:F,""),
_xlpm.MacVal,_xlfn.XLOOKUP($A464,Output_Mac!$A:$A,Output_Mac!H:H,""),
_xlpm.MyAuditVal,_xlfn.XLOOKUP($A464,My_Audit!$A:$A,My_Audit!F:F,""),
_xlfn.IFS(_xlpm.MyAuditVal&lt;&gt;"",_xlpm.MyAuditVal,_xlpm.MacVal&lt;&gt;"",_xlpm.MacVal,_xlpm.CSVVal&lt;&gt;"",_xlpm.CSVVal
)),"")</f>
        <v/>
      </c>
      <c r="H464" s="54" t="str">
        <f>_xlfn.XLOOKUP(A464,Output_Mac!A:A,Output_Mac!I:I,"")</f>
        <v/>
      </c>
      <c r="I464" s="54" t="str" cm="1">
        <f t="array" ref="I464">IFERROR(_xlfn.LET(
_xlpm.CSVVal,_xlfn.XLOOKUP($A464,CSV!$A:$A,CSV!G:G,""),
_xlpm.MacVal,_xlfn.XLOOKUP($A464,Output_Mac!$A:$A,Output_Mac!J:J,""),
_xlpm.MyAuditVal,_xlfn.XLOOKUP($A464,My_Audit!$A:$A,My_Audit!H:H,""),
_xlfn.IFS(_xlpm.MyAuditVal&lt;&gt;"",UPPER(_xlpm.MyAuditVal),_xlpm.MacVal&lt;&gt;"",_xlpm.MacVal,_xlpm.CSVVal&lt;&gt;"",_xlpm.CSVVal
)),"")</f>
        <v/>
      </c>
      <c r="J464" s="54" t="str" cm="1">
        <f t="array" ref="J464">IFERROR(_xlfn.LET(
_xlpm.CSVVal,_xlfn.XLOOKUP($A464,CSV!$A:$A,CSV!I:I,""),
_xlpm.MacVal,_xlfn.XLOOKUP($A464,Output_Mac!$A:$A,Output_Mac!K:K,""),
_xlpm.MyAuditVal,_xlfn.XLOOKUP($A464,My_Audit!$A:$A,My_Audit!I:I,""),
_xlfn.IFS(_xlpm.MyAuditVal&lt;&gt;"",UPPER(_xlpm.MyAuditVal),_xlpm.MacVal&lt;&gt;"",_xlpm.MacVal,_xlpm.CSVVal&lt;&gt;"",_xlpm.CSVVal
)),"")</f>
        <v/>
      </c>
      <c r="K464" s="54" t="str" cm="1">
        <f t="array" ref="K464">IFERROR(_xlfn.LET(
_xlpm.CSVVal,_xlfn.XLOOKUP($A464,CSV!$A:$A,CSV!M:M,""),
_xlpm.MacVal,_xlfn.XLOOKUP($A464,Output_Mac!$A:$A,Output_Mac!L:L,""),
_xlpm.MyAuditVal,_xlfn.XLOOKUP($A464,My_Audit!$A:$A,My_Audit!J:J,""),
_xlfn.IFS(_xlpm.MyAuditVal&lt;&gt;"",UPPER(_xlpm.MyAuditVal),_xlpm.MacVal&lt;&gt;"",_xlpm.MacVal,_xlpm.CSVVal&lt;&gt;"",_xlpm.CSVVal
)),"")</f>
        <v/>
      </c>
      <c r="L464" s="54" t="str" cm="1">
        <f t="array" ref="L464">IFERROR(_xlfn.LET(
_xlpm.CSVVal,_xlfn.XLOOKUP($A464,CSV!$A:$A,CSV!O:O,""),
_xlpm.MacVal,_xlfn.XLOOKUP($A464,Output_Mac!$A:$A,Output_Mac!M:M,""),
_xlpm.MyAuditVal,_xlfn.XLOOKUP($A464,My_Audit!$A:$A,My_Audit!K:K,""),
_xlfn.IFS(_xlpm.MyAuditVal&lt;&gt;"",UPPER(_xlpm.MyAuditVal),_xlpm.MacVal&lt;&gt;"",_xlpm.MacVal,_xlpm.CSVVal&lt;&gt;"",_xlpm.CSVVal
)),"")</f>
        <v/>
      </c>
      <c r="M464" s="54" t="str">
        <f>_xlfn.LET(
    _xlpm.CSVVal, _xlfn.XLOOKUP($A464, CSV!$A:$A, CSV!AD:AD, ""),
    _xlpm.MacVal, _xlfn.XLOOKUP($A464, Output_Mac!$A:$A, Output_Mac!S:S, ""),
    _xlpm.MyAuditVal, _xlfn.XLOOKUP($A464, My_Audit!$A:$A, My_Audit!N:N, ""),
    _xlfn.TEXTJOIN(", ", TRUE, _xlpm.MyAuditVal, _xlpm.MacVal, _xlpm.CSVVal)
)</f>
        <v/>
      </c>
      <c r="N464" s="54" t="str" cm="1">
        <f t="array" ref="N464">IFERROR(_xlfn.LET(
_xlpm.CSVVal,_xlfn.XLOOKUP($A464,CSV!$A:$A,CSV!AF:AF,""),
_xlpm.MacVal,_xlfn.XLOOKUP($A464,Output_Mac!$A:$A,Output_Mac!U:U,""),
_xlpm.MyAuditVal,_xlfn.XLOOKUP($A464,My_Audit!$A:$A,My_Audit!O:O,""),
_xlfn.IFS(_xlpm.MyAuditVal&lt;&gt;"",UPPER(_xlpm.MyAuditVal),_xlpm.MacVal&lt;&gt;"",_xlpm.MacVal,_xlpm.CSVVal&lt;&gt;"",_xlpm.CSVVal
)),"")</f>
        <v/>
      </c>
      <c r="O464" s="54"/>
      <c r="P464" s="54"/>
      <c r="Q464" s="54"/>
      <c r="R464" s="54"/>
      <c r="S464" s="54"/>
      <c r="T464" s="54"/>
      <c r="U464" s="39"/>
    </row>
    <row r="465" spans="1:21">
      <c r="A465" s="54" t="str">
        <f>_xlfn.TEXTJOIN("",TRUE,Input!$B$2,ROW(My_Audit!A464))</f>
        <v>XX464</v>
      </c>
      <c r="B465" s="54" t="str">
        <f>_xlfn.TEXTJOIN("-",TRUE,"ITD",Input!$A$2,A465)</f>
        <v>ITD-SHRXXX-XX464</v>
      </c>
      <c r="C465" s="54" t="str" cm="1">
        <f t="array" ref="C465">IFERROR(_xlfn.LET(
_xlpm.CSVVal,_xlfn.XLOOKUP($A465,CSV!$A:$A,CSV!B:B,""),
_xlpm.MacVal,_xlfn.XLOOKUP($A465,Output_Mac!$A:$A,Output_Mac!B:B,""),
_xlpm.MyAuditVal,_xlfn.XLOOKUP($A465,My_Audit!$A:$A,My_Audit!B:B,""),
_xlfn.IFS(_xlpm.MyAuditVal&lt;&gt;"",UPPER(_xlpm.MyAuditVal),_xlpm.MacVal&lt;&gt;"",_xlpm.MacVal,_xlpm.CSVVal&lt;&gt;"",_xlpm.CSVVal
)),"")</f>
        <v/>
      </c>
      <c r="D465" s="55" t="str">
        <f>_xlfn.XLOOKUP(A465,My_Audit!A:A,My_Audit!D:D,"")&amp;""</f>
        <v/>
      </c>
      <c r="E465" s="55" t="str" cm="1">
        <f t="array" ref="E465">IFERROR(_xlfn.LET(
_xlpm.CSVVal,_xlfn.XLOOKUP($A465,CSV!$A:$A,CSV!D:D,""),
_xlpm.MacVal,_xlfn.XLOOKUP($A465,Output_Mac!$A:$A,Output_Mac!C:C,""),
_xlpm.MyAuditVal,_xlfn.XLOOKUP($A465,My_Audit!$A:$A,My_Audit!D:D,""),
_xlfn.IFS(_xlpm.MyAuditVal&lt;&gt;"",_xlpm.MyAuditVal,_xlpm.MacVal&lt;&gt;"",_xlpm.MacVal,_xlpm.CSVVal&lt;&gt;"",_xlpm.CSVVal
)),"")</f>
        <v/>
      </c>
      <c r="F465" s="54" t="str" cm="1">
        <f t="array" ref="F465">IFERROR(_xlfn.LET(
_xlpm.CSVVal,_xlfn.XLOOKUP($A465,CSV!$A:$A,CSV!E:E,""),
_xlpm.MacVal,_xlfn.XLOOKUP($A465,Output_Mac!$A:$A,Output_Mac!F:F,""),
_xlpm.MyAuditVal,_xlfn.XLOOKUP($A465,My_Audit!$A:$A,My_Audit!E:E,""),
_xlfn.IFS(_xlpm.MyAuditVal&lt;&gt;"",_xlpm.MyAuditVal,_xlpm.MacVal&lt;&gt;"",_xlpm.MacVal,_xlpm.CSVVal&lt;&gt;"",PROPER(_xlpm.CSVVal)
)),"")</f>
        <v/>
      </c>
      <c r="G465" s="54" t="str" cm="1">
        <f t="array" ref="G465">IFERROR(_xlfn.LET(
_xlpm.CSVVal,_xlfn.XLOOKUP($A465,CSV!$A:$A,CSV!F:F,""),
_xlpm.MacVal,_xlfn.XLOOKUP($A465,Output_Mac!$A:$A,Output_Mac!H:H,""),
_xlpm.MyAuditVal,_xlfn.XLOOKUP($A465,My_Audit!$A:$A,My_Audit!F:F,""),
_xlfn.IFS(_xlpm.MyAuditVal&lt;&gt;"",_xlpm.MyAuditVal,_xlpm.MacVal&lt;&gt;"",_xlpm.MacVal,_xlpm.CSVVal&lt;&gt;"",_xlpm.CSVVal
)),"")</f>
        <v/>
      </c>
      <c r="H465" s="54" t="str">
        <f>_xlfn.XLOOKUP(A465,Output_Mac!A:A,Output_Mac!I:I,"")</f>
        <v/>
      </c>
      <c r="I465" s="54" t="str" cm="1">
        <f t="array" ref="I465">IFERROR(_xlfn.LET(
_xlpm.CSVVal,_xlfn.XLOOKUP($A465,CSV!$A:$A,CSV!G:G,""),
_xlpm.MacVal,_xlfn.XLOOKUP($A465,Output_Mac!$A:$A,Output_Mac!J:J,""),
_xlpm.MyAuditVal,_xlfn.XLOOKUP($A465,My_Audit!$A:$A,My_Audit!H:H,""),
_xlfn.IFS(_xlpm.MyAuditVal&lt;&gt;"",UPPER(_xlpm.MyAuditVal),_xlpm.MacVal&lt;&gt;"",_xlpm.MacVal,_xlpm.CSVVal&lt;&gt;"",_xlpm.CSVVal
)),"")</f>
        <v/>
      </c>
      <c r="J465" s="54" t="str" cm="1">
        <f t="array" ref="J465">IFERROR(_xlfn.LET(
_xlpm.CSVVal,_xlfn.XLOOKUP($A465,CSV!$A:$A,CSV!I:I,""),
_xlpm.MacVal,_xlfn.XLOOKUP($A465,Output_Mac!$A:$A,Output_Mac!K:K,""),
_xlpm.MyAuditVal,_xlfn.XLOOKUP($A465,My_Audit!$A:$A,My_Audit!I:I,""),
_xlfn.IFS(_xlpm.MyAuditVal&lt;&gt;"",UPPER(_xlpm.MyAuditVal),_xlpm.MacVal&lt;&gt;"",_xlpm.MacVal,_xlpm.CSVVal&lt;&gt;"",_xlpm.CSVVal
)),"")</f>
        <v/>
      </c>
      <c r="K465" s="54" t="str" cm="1">
        <f t="array" ref="K465">IFERROR(_xlfn.LET(
_xlpm.CSVVal,_xlfn.XLOOKUP($A465,CSV!$A:$A,CSV!M:M,""),
_xlpm.MacVal,_xlfn.XLOOKUP($A465,Output_Mac!$A:$A,Output_Mac!L:L,""),
_xlpm.MyAuditVal,_xlfn.XLOOKUP($A465,My_Audit!$A:$A,My_Audit!J:J,""),
_xlfn.IFS(_xlpm.MyAuditVal&lt;&gt;"",UPPER(_xlpm.MyAuditVal),_xlpm.MacVal&lt;&gt;"",_xlpm.MacVal,_xlpm.CSVVal&lt;&gt;"",_xlpm.CSVVal
)),"")</f>
        <v/>
      </c>
      <c r="L465" s="54" t="str" cm="1">
        <f t="array" ref="L465">IFERROR(_xlfn.LET(
_xlpm.CSVVal,_xlfn.XLOOKUP($A465,CSV!$A:$A,CSV!O:O,""),
_xlpm.MacVal,_xlfn.XLOOKUP($A465,Output_Mac!$A:$A,Output_Mac!M:M,""),
_xlpm.MyAuditVal,_xlfn.XLOOKUP($A465,My_Audit!$A:$A,My_Audit!K:K,""),
_xlfn.IFS(_xlpm.MyAuditVal&lt;&gt;"",UPPER(_xlpm.MyAuditVal),_xlpm.MacVal&lt;&gt;"",_xlpm.MacVal,_xlpm.CSVVal&lt;&gt;"",_xlpm.CSVVal
)),"")</f>
        <v/>
      </c>
      <c r="M465" s="54" t="str">
        <f>_xlfn.LET(
    _xlpm.CSVVal, _xlfn.XLOOKUP($A465, CSV!$A:$A, CSV!AD:AD, ""),
    _xlpm.MacVal, _xlfn.XLOOKUP($A465, Output_Mac!$A:$A, Output_Mac!S:S, ""),
    _xlpm.MyAuditVal, _xlfn.XLOOKUP($A465, My_Audit!$A:$A, My_Audit!N:N, ""),
    _xlfn.TEXTJOIN(", ", TRUE, _xlpm.MyAuditVal, _xlpm.MacVal, _xlpm.CSVVal)
)</f>
        <v/>
      </c>
      <c r="N465" s="54" t="str" cm="1">
        <f t="array" ref="N465">IFERROR(_xlfn.LET(
_xlpm.CSVVal,_xlfn.XLOOKUP($A465,CSV!$A:$A,CSV!AF:AF,""),
_xlpm.MacVal,_xlfn.XLOOKUP($A465,Output_Mac!$A:$A,Output_Mac!U:U,""),
_xlpm.MyAuditVal,_xlfn.XLOOKUP($A465,My_Audit!$A:$A,My_Audit!O:O,""),
_xlfn.IFS(_xlpm.MyAuditVal&lt;&gt;"",UPPER(_xlpm.MyAuditVal),_xlpm.MacVal&lt;&gt;"",_xlpm.MacVal,_xlpm.CSVVal&lt;&gt;"",_xlpm.CSVVal
)),"")</f>
        <v/>
      </c>
      <c r="O465" s="54"/>
      <c r="P465" s="54"/>
      <c r="Q465" s="54"/>
      <c r="R465" s="54"/>
      <c r="S465" s="54"/>
      <c r="T465" s="54"/>
      <c r="U465" s="39"/>
    </row>
    <row r="466" spans="1:21">
      <c r="A466" s="54" t="str">
        <f>_xlfn.TEXTJOIN("",TRUE,Input!$B$2,ROW(My_Audit!A465))</f>
        <v>XX465</v>
      </c>
      <c r="B466" s="54" t="str">
        <f>_xlfn.TEXTJOIN("-",TRUE,"ITD",Input!$A$2,A466)</f>
        <v>ITD-SHRXXX-XX465</v>
      </c>
      <c r="C466" s="54" t="str" cm="1">
        <f t="array" ref="C466">IFERROR(_xlfn.LET(
_xlpm.CSVVal,_xlfn.XLOOKUP($A466,CSV!$A:$A,CSV!B:B,""),
_xlpm.MacVal,_xlfn.XLOOKUP($A466,Output_Mac!$A:$A,Output_Mac!B:B,""),
_xlpm.MyAuditVal,_xlfn.XLOOKUP($A466,My_Audit!$A:$A,My_Audit!B:B,""),
_xlfn.IFS(_xlpm.MyAuditVal&lt;&gt;"",UPPER(_xlpm.MyAuditVal),_xlpm.MacVal&lt;&gt;"",_xlpm.MacVal,_xlpm.CSVVal&lt;&gt;"",_xlpm.CSVVal
)),"")</f>
        <v/>
      </c>
      <c r="D466" s="55" t="str">
        <f>_xlfn.XLOOKUP(A466,My_Audit!A:A,My_Audit!D:D,"")&amp;""</f>
        <v/>
      </c>
      <c r="E466" s="55" t="str" cm="1">
        <f t="array" ref="E466">IFERROR(_xlfn.LET(
_xlpm.CSVVal,_xlfn.XLOOKUP($A466,CSV!$A:$A,CSV!D:D,""),
_xlpm.MacVal,_xlfn.XLOOKUP($A466,Output_Mac!$A:$A,Output_Mac!C:C,""),
_xlpm.MyAuditVal,_xlfn.XLOOKUP($A466,My_Audit!$A:$A,My_Audit!D:D,""),
_xlfn.IFS(_xlpm.MyAuditVal&lt;&gt;"",_xlpm.MyAuditVal,_xlpm.MacVal&lt;&gt;"",_xlpm.MacVal,_xlpm.CSVVal&lt;&gt;"",_xlpm.CSVVal
)),"")</f>
        <v/>
      </c>
      <c r="F466" s="54" t="str" cm="1">
        <f t="array" ref="F466">IFERROR(_xlfn.LET(
_xlpm.CSVVal,_xlfn.XLOOKUP($A466,CSV!$A:$A,CSV!E:E,""),
_xlpm.MacVal,_xlfn.XLOOKUP($A466,Output_Mac!$A:$A,Output_Mac!F:F,""),
_xlpm.MyAuditVal,_xlfn.XLOOKUP($A466,My_Audit!$A:$A,My_Audit!E:E,""),
_xlfn.IFS(_xlpm.MyAuditVal&lt;&gt;"",_xlpm.MyAuditVal,_xlpm.MacVal&lt;&gt;"",_xlpm.MacVal,_xlpm.CSVVal&lt;&gt;"",PROPER(_xlpm.CSVVal)
)),"")</f>
        <v/>
      </c>
      <c r="G466" s="54" t="str" cm="1">
        <f t="array" ref="G466">IFERROR(_xlfn.LET(
_xlpm.CSVVal,_xlfn.XLOOKUP($A466,CSV!$A:$A,CSV!F:F,""),
_xlpm.MacVal,_xlfn.XLOOKUP($A466,Output_Mac!$A:$A,Output_Mac!H:H,""),
_xlpm.MyAuditVal,_xlfn.XLOOKUP($A466,My_Audit!$A:$A,My_Audit!F:F,""),
_xlfn.IFS(_xlpm.MyAuditVal&lt;&gt;"",_xlpm.MyAuditVal,_xlpm.MacVal&lt;&gt;"",_xlpm.MacVal,_xlpm.CSVVal&lt;&gt;"",_xlpm.CSVVal
)),"")</f>
        <v/>
      </c>
      <c r="H466" s="54" t="str">
        <f>_xlfn.XLOOKUP(A466,Output_Mac!A:A,Output_Mac!I:I,"")</f>
        <v/>
      </c>
      <c r="I466" s="54" t="str" cm="1">
        <f t="array" ref="I466">IFERROR(_xlfn.LET(
_xlpm.CSVVal,_xlfn.XLOOKUP($A466,CSV!$A:$A,CSV!G:G,""),
_xlpm.MacVal,_xlfn.XLOOKUP($A466,Output_Mac!$A:$A,Output_Mac!J:J,""),
_xlpm.MyAuditVal,_xlfn.XLOOKUP($A466,My_Audit!$A:$A,My_Audit!H:H,""),
_xlfn.IFS(_xlpm.MyAuditVal&lt;&gt;"",UPPER(_xlpm.MyAuditVal),_xlpm.MacVal&lt;&gt;"",_xlpm.MacVal,_xlpm.CSVVal&lt;&gt;"",_xlpm.CSVVal
)),"")</f>
        <v/>
      </c>
      <c r="J466" s="54" t="str" cm="1">
        <f t="array" ref="J466">IFERROR(_xlfn.LET(
_xlpm.CSVVal,_xlfn.XLOOKUP($A466,CSV!$A:$A,CSV!I:I,""),
_xlpm.MacVal,_xlfn.XLOOKUP($A466,Output_Mac!$A:$A,Output_Mac!K:K,""),
_xlpm.MyAuditVal,_xlfn.XLOOKUP($A466,My_Audit!$A:$A,My_Audit!I:I,""),
_xlfn.IFS(_xlpm.MyAuditVal&lt;&gt;"",UPPER(_xlpm.MyAuditVal),_xlpm.MacVal&lt;&gt;"",_xlpm.MacVal,_xlpm.CSVVal&lt;&gt;"",_xlpm.CSVVal
)),"")</f>
        <v/>
      </c>
      <c r="K466" s="54" t="str" cm="1">
        <f t="array" ref="K466">IFERROR(_xlfn.LET(
_xlpm.CSVVal,_xlfn.XLOOKUP($A466,CSV!$A:$A,CSV!M:M,""),
_xlpm.MacVal,_xlfn.XLOOKUP($A466,Output_Mac!$A:$A,Output_Mac!L:L,""),
_xlpm.MyAuditVal,_xlfn.XLOOKUP($A466,My_Audit!$A:$A,My_Audit!J:J,""),
_xlfn.IFS(_xlpm.MyAuditVal&lt;&gt;"",UPPER(_xlpm.MyAuditVal),_xlpm.MacVal&lt;&gt;"",_xlpm.MacVal,_xlpm.CSVVal&lt;&gt;"",_xlpm.CSVVal
)),"")</f>
        <v/>
      </c>
      <c r="L466" s="54" t="str" cm="1">
        <f t="array" ref="L466">IFERROR(_xlfn.LET(
_xlpm.CSVVal,_xlfn.XLOOKUP($A466,CSV!$A:$A,CSV!O:O,""),
_xlpm.MacVal,_xlfn.XLOOKUP($A466,Output_Mac!$A:$A,Output_Mac!M:M,""),
_xlpm.MyAuditVal,_xlfn.XLOOKUP($A466,My_Audit!$A:$A,My_Audit!K:K,""),
_xlfn.IFS(_xlpm.MyAuditVal&lt;&gt;"",UPPER(_xlpm.MyAuditVal),_xlpm.MacVal&lt;&gt;"",_xlpm.MacVal,_xlpm.CSVVal&lt;&gt;"",_xlpm.CSVVal
)),"")</f>
        <v/>
      </c>
      <c r="M466" s="54" t="str">
        <f>_xlfn.LET(
    _xlpm.CSVVal, _xlfn.XLOOKUP($A466, CSV!$A:$A, CSV!AD:AD, ""),
    _xlpm.MacVal, _xlfn.XLOOKUP($A466, Output_Mac!$A:$A, Output_Mac!S:S, ""),
    _xlpm.MyAuditVal, _xlfn.XLOOKUP($A466, My_Audit!$A:$A, My_Audit!N:N, ""),
    _xlfn.TEXTJOIN(", ", TRUE, _xlpm.MyAuditVal, _xlpm.MacVal, _xlpm.CSVVal)
)</f>
        <v/>
      </c>
      <c r="N466" s="54" t="str" cm="1">
        <f t="array" ref="N466">IFERROR(_xlfn.LET(
_xlpm.CSVVal,_xlfn.XLOOKUP($A466,CSV!$A:$A,CSV!AF:AF,""),
_xlpm.MacVal,_xlfn.XLOOKUP($A466,Output_Mac!$A:$A,Output_Mac!U:U,""),
_xlpm.MyAuditVal,_xlfn.XLOOKUP($A466,My_Audit!$A:$A,My_Audit!O:O,""),
_xlfn.IFS(_xlpm.MyAuditVal&lt;&gt;"",UPPER(_xlpm.MyAuditVal),_xlpm.MacVal&lt;&gt;"",_xlpm.MacVal,_xlpm.CSVVal&lt;&gt;"",_xlpm.CSVVal
)),"")</f>
        <v/>
      </c>
      <c r="O466" s="54"/>
      <c r="P466" s="54"/>
      <c r="Q466" s="54"/>
      <c r="R466" s="54"/>
      <c r="S466" s="54"/>
      <c r="T466" s="54"/>
      <c r="U466" s="39"/>
    </row>
    <row r="467" spans="1:21">
      <c r="A467" s="54" t="str">
        <f>_xlfn.TEXTJOIN("",TRUE,Input!$B$2,ROW(My_Audit!A466))</f>
        <v>XX466</v>
      </c>
      <c r="B467" s="54" t="str">
        <f>_xlfn.TEXTJOIN("-",TRUE,"ITD",Input!$A$2,A467)</f>
        <v>ITD-SHRXXX-XX466</v>
      </c>
      <c r="C467" s="54" t="str" cm="1">
        <f t="array" ref="C467">IFERROR(_xlfn.LET(
_xlpm.CSVVal,_xlfn.XLOOKUP($A467,CSV!$A:$A,CSV!B:B,""),
_xlpm.MacVal,_xlfn.XLOOKUP($A467,Output_Mac!$A:$A,Output_Mac!B:B,""),
_xlpm.MyAuditVal,_xlfn.XLOOKUP($A467,My_Audit!$A:$A,My_Audit!B:B,""),
_xlfn.IFS(_xlpm.MyAuditVal&lt;&gt;"",UPPER(_xlpm.MyAuditVal),_xlpm.MacVal&lt;&gt;"",_xlpm.MacVal,_xlpm.CSVVal&lt;&gt;"",_xlpm.CSVVal
)),"")</f>
        <v/>
      </c>
      <c r="D467" s="55" t="str">
        <f>_xlfn.XLOOKUP(A467,My_Audit!A:A,My_Audit!D:D,"")&amp;""</f>
        <v/>
      </c>
      <c r="E467" s="55" t="str" cm="1">
        <f t="array" ref="E467">IFERROR(_xlfn.LET(
_xlpm.CSVVal,_xlfn.XLOOKUP($A467,CSV!$A:$A,CSV!D:D,""),
_xlpm.MacVal,_xlfn.XLOOKUP($A467,Output_Mac!$A:$A,Output_Mac!C:C,""),
_xlpm.MyAuditVal,_xlfn.XLOOKUP($A467,My_Audit!$A:$A,My_Audit!D:D,""),
_xlfn.IFS(_xlpm.MyAuditVal&lt;&gt;"",_xlpm.MyAuditVal,_xlpm.MacVal&lt;&gt;"",_xlpm.MacVal,_xlpm.CSVVal&lt;&gt;"",_xlpm.CSVVal
)),"")</f>
        <v/>
      </c>
      <c r="F467" s="54" t="str" cm="1">
        <f t="array" ref="F467">IFERROR(_xlfn.LET(
_xlpm.CSVVal,_xlfn.XLOOKUP($A467,CSV!$A:$A,CSV!E:E,""),
_xlpm.MacVal,_xlfn.XLOOKUP($A467,Output_Mac!$A:$A,Output_Mac!F:F,""),
_xlpm.MyAuditVal,_xlfn.XLOOKUP($A467,My_Audit!$A:$A,My_Audit!E:E,""),
_xlfn.IFS(_xlpm.MyAuditVal&lt;&gt;"",_xlpm.MyAuditVal,_xlpm.MacVal&lt;&gt;"",_xlpm.MacVal,_xlpm.CSVVal&lt;&gt;"",PROPER(_xlpm.CSVVal)
)),"")</f>
        <v/>
      </c>
      <c r="G467" s="54" t="str" cm="1">
        <f t="array" ref="G467">IFERROR(_xlfn.LET(
_xlpm.CSVVal,_xlfn.XLOOKUP($A467,CSV!$A:$A,CSV!F:F,""),
_xlpm.MacVal,_xlfn.XLOOKUP($A467,Output_Mac!$A:$A,Output_Mac!H:H,""),
_xlpm.MyAuditVal,_xlfn.XLOOKUP($A467,My_Audit!$A:$A,My_Audit!F:F,""),
_xlfn.IFS(_xlpm.MyAuditVal&lt;&gt;"",_xlpm.MyAuditVal,_xlpm.MacVal&lt;&gt;"",_xlpm.MacVal,_xlpm.CSVVal&lt;&gt;"",_xlpm.CSVVal
)),"")</f>
        <v/>
      </c>
      <c r="H467" s="54" t="str">
        <f>_xlfn.XLOOKUP(A467,Output_Mac!A:A,Output_Mac!I:I,"")</f>
        <v/>
      </c>
      <c r="I467" s="54" t="str" cm="1">
        <f t="array" ref="I467">IFERROR(_xlfn.LET(
_xlpm.CSVVal,_xlfn.XLOOKUP($A467,CSV!$A:$A,CSV!G:G,""),
_xlpm.MacVal,_xlfn.XLOOKUP($A467,Output_Mac!$A:$A,Output_Mac!J:J,""),
_xlpm.MyAuditVal,_xlfn.XLOOKUP($A467,My_Audit!$A:$A,My_Audit!H:H,""),
_xlfn.IFS(_xlpm.MyAuditVal&lt;&gt;"",UPPER(_xlpm.MyAuditVal),_xlpm.MacVal&lt;&gt;"",_xlpm.MacVal,_xlpm.CSVVal&lt;&gt;"",_xlpm.CSVVal
)),"")</f>
        <v/>
      </c>
      <c r="J467" s="54" t="str" cm="1">
        <f t="array" ref="J467">IFERROR(_xlfn.LET(
_xlpm.CSVVal,_xlfn.XLOOKUP($A467,CSV!$A:$A,CSV!I:I,""),
_xlpm.MacVal,_xlfn.XLOOKUP($A467,Output_Mac!$A:$A,Output_Mac!K:K,""),
_xlpm.MyAuditVal,_xlfn.XLOOKUP($A467,My_Audit!$A:$A,My_Audit!I:I,""),
_xlfn.IFS(_xlpm.MyAuditVal&lt;&gt;"",UPPER(_xlpm.MyAuditVal),_xlpm.MacVal&lt;&gt;"",_xlpm.MacVal,_xlpm.CSVVal&lt;&gt;"",_xlpm.CSVVal
)),"")</f>
        <v/>
      </c>
      <c r="K467" s="54" t="str" cm="1">
        <f t="array" ref="K467">IFERROR(_xlfn.LET(
_xlpm.CSVVal,_xlfn.XLOOKUP($A467,CSV!$A:$A,CSV!M:M,""),
_xlpm.MacVal,_xlfn.XLOOKUP($A467,Output_Mac!$A:$A,Output_Mac!L:L,""),
_xlpm.MyAuditVal,_xlfn.XLOOKUP($A467,My_Audit!$A:$A,My_Audit!J:J,""),
_xlfn.IFS(_xlpm.MyAuditVal&lt;&gt;"",UPPER(_xlpm.MyAuditVal),_xlpm.MacVal&lt;&gt;"",_xlpm.MacVal,_xlpm.CSVVal&lt;&gt;"",_xlpm.CSVVal
)),"")</f>
        <v/>
      </c>
      <c r="L467" s="54" t="str" cm="1">
        <f t="array" ref="L467">IFERROR(_xlfn.LET(
_xlpm.CSVVal,_xlfn.XLOOKUP($A467,CSV!$A:$A,CSV!O:O,""),
_xlpm.MacVal,_xlfn.XLOOKUP($A467,Output_Mac!$A:$A,Output_Mac!M:M,""),
_xlpm.MyAuditVal,_xlfn.XLOOKUP($A467,My_Audit!$A:$A,My_Audit!K:K,""),
_xlfn.IFS(_xlpm.MyAuditVal&lt;&gt;"",UPPER(_xlpm.MyAuditVal),_xlpm.MacVal&lt;&gt;"",_xlpm.MacVal,_xlpm.CSVVal&lt;&gt;"",_xlpm.CSVVal
)),"")</f>
        <v/>
      </c>
      <c r="M467" s="54" t="str">
        <f>_xlfn.LET(
    _xlpm.CSVVal, _xlfn.XLOOKUP($A467, CSV!$A:$A, CSV!AD:AD, ""),
    _xlpm.MacVal, _xlfn.XLOOKUP($A467, Output_Mac!$A:$A, Output_Mac!S:S, ""),
    _xlpm.MyAuditVal, _xlfn.XLOOKUP($A467, My_Audit!$A:$A, My_Audit!N:N, ""),
    _xlfn.TEXTJOIN(", ", TRUE, _xlpm.MyAuditVal, _xlpm.MacVal, _xlpm.CSVVal)
)</f>
        <v/>
      </c>
      <c r="N467" s="54" t="str" cm="1">
        <f t="array" ref="N467">IFERROR(_xlfn.LET(
_xlpm.CSVVal,_xlfn.XLOOKUP($A467,CSV!$A:$A,CSV!AF:AF,""),
_xlpm.MacVal,_xlfn.XLOOKUP($A467,Output_Mac!$A:$A,Output_Mac!U:U,""),
_xlpm.MyAuditVal,_xlfn.XLOOKUP($A467,My_Audit!$A:$A,My_Audit!O:O,""),
_xlfn.IFS(_xlpm.MyAuditVal&lt;&gt;"",UPPER(_xlpm.MyAuditVal),_xlpm.MacVal&lt;&gt;"",_xlpm.MacVal,_xlpm.CSVVal&lt;&gt;"",_xlpm.CSVVal
)),"")</f>
        <v/>
      </c>
      <c r="O467" s="54"/>
      <c r="P467" s="54"/>
      <c r="Q467" s="54"/>
      <c r="R467" s="54"/>
      <c r="S467" s="54"/>
      <c r="T467" s="54"/>
      <c r="U467" s="39"/>
    </row>
    <row r="468" spans="1:21">
      <c r="A468" s="54" t="str">
        <f>_xlfn.TEXTJOIN("",TRUE,Input!$B$2,ROW(My_Audit!A467))</f>
        <v>XX467</v>
      </c>
      <c r="B468" s="54" t="str">
        <f>_xlfn.TEXTJOIN("-",TRUE,"ITD",Input!$A$2,A468)</f>
        <v>ITD-SHRXXX-XX467</v>
      </c>
      <c r="C468" s="54" t="str" cm="1">
        <f t="array" ref="C468">IFERROR(_xlfn.LET(
_xlpm.CSVVal,_xlfn.XLOOKUP($A468,CSV!$A:$A,CSV!B:B,""),
_xlpm.MacVal,_xlfn.XLOOKUP($A468,Output_Mac!$A:$A,Output_Mac!B:B,""),
_xlpm.MyAuditVal,_xlfn.XLOOKUP($A468,My_Audit!$A:$A,My_Audit!B:B,""),
_xlfn.IFS(_xlpm.MyAuditVal&lt;&gt;"",UPPER(_xlpm.MyAuditVal),_xlpm.MacVal&lt;&gt;"",_xlpm.MacVal,_xlpm.CSVVal&lt;&gt;"",_xlpm.CSVVal
)),"")</f>
        <v/>
      </c>
      <c r="D468" s="55" t="str">
        <f>_xlfn.XLOOKUP(A468,My_Audit!A:A,My_Audit!D:D,"")&amp;""</f>
        <v/>
      </c>
      <c r="E468" s="55" t="str" cm="1">
        <f t="array" ref="E468">IFERROR(_xlfn.LET(
_xlpm.CSVVal,_xlfn.XLOOKUP($A468,CSV!$A:$A,CSV!D:D,""),
_xlpm.MacVal,_xlfn.XLOOKUP($A468,Output_Mac!$A:$A,Output_Mac!C:C,""),
_xlpm.MyAuditVal,_xlfn.XLOOKUP($A468,My_Audit!$A:$A,My_Audit!D:D,""),
_xlfn.IFS(_xlpm.MyAuditVal&lt;&gt;"",_xlpm.MyAuditVal,_xlpm.MacVal&lt;&gt;"",_xlpm.MacVal,_xlpm.CSVVal&lt;&gt;"",_xlpm.CSVVal
)),"")</f>
        <v/>
      </c>
      <c r="F468" s="54" t="str" cm="1">
        <f t="array" ref="F468">IFERROR(_xlfn.LET(
_xlpm.CSVVal,_xlfn.XLOOKUP($A468,CSV!$A:$A,CSV!E:E,""),
_xlpm.MacVal,_xlfn.XLOOKUP($A468,Output_Mac!$A:$A,Output_Mac!F:F,""),
_xlpm.MyAuditVal,_xlfn.XLOOKUP($A468,My_Audit!$A:$A,My_Audit!E:E,""),
_xlfn.IFS(_xlpm.MyAuditVal&lt;&gt;"",_xlpm.MyAuditVal,_xlpm.MacVal&lt;&gt;"",_xlpm.MacVal,_xlpm.CSVVal&lt;&gt;"",PROPER(_xlpm.CSVVal)
)),"")</f>
        <v/>
      </c>
      <c r="G468" s="54" t="str" cm="1">
        <f t="array" ref="G468">IFERROR(_xlfn.LET(
_xlpm.CSVVal,_xlfn.XLOOKUP($A468,CSV!$A:$A,CSV!F:F,""),
_xlpm.MacVal,_xlfn.XLOOKUP($A468,Output_Mac!$A:$A,Output_Mac!H:H,""),
_xlpm.MyAuditVal,_xlfn.XLOOKUP($A468,My_Audit!$A:$A,My_Audit!F:F,""),
_xlfn.IFS(_xlpm.MyAuditVal&lt;&gt;"",_xlpm.MyAuditVal,_xlpm.MacVal&lt;&gt;"",_xlpm.MacVal,_xlpm.CSVVal&lt;&gt;"",_xlpm.CSVVal
)),"")</f>
        <v/>
      </c>
      <c r="H468" s="54" t="str">
        <f>_xlfn.XLOOKUP(A468,Output_Mac!A:A,Output_Mac!I:I,"")</f>
        <v/>
      </c>
      <c r="I468" s="54" t="str" cm="1">
        <f t="array" ref="I468">IFERROR(_xlfn.LET(
_xlpm.CSVVal,_xlfn.XLOOKUP($A468,CSV!$A:$A,CSV!G:G,""),
_xlpm.MacVal,_xlfn.XLOOKUP($A468,Output_Mac!$A:$A,Output_Mac!J:J,""),
_xlpm.MyAuditVal,_xlfn.XLOOKUP($A468,My_Audit!$A:$A,My_Audit!H:H,""),
_xlfn.IFS(_xlpm.MyAuditVal&lt;&gt;"",UPPER(_xlpm.MyAuditVal),_xlpm.MacVal&lt;&gt;"",_xlpm.MacVal,_xlpm.CSVVal&lt;&gt;"",_xlpm.CSVVal
)),"")</f>
        <v/>
      </c>
      <c r="J468" s="54" t="str" cm="1">
        <f t="array" ref="J468">IFERROR(_xlfn.LET(
_xlpm.CSVVal,_xlfn.XLOOKUP($A468,CSV!$A:$A,CSV!I:I,""),
_xlpm.MacVal,_xlfn.XLOOKUP($A468,Output_Mac!$A:$A,Output_Mac!K:K,""),
_xlpm.MyAuditVal,_xlfn.XLOOKUP($A468,My_Audit!$A:$A,My_Audit!I:I,""),
_xlfn.IFS(_xlpm.MyAuditVal&lt;&gt;"",UPPER(_xlpm.MyAuditVal),_xlpm.MacVal&lt;&gt;"",_xlpm.MacVal,_xlpm.CSVVal&lt;&gt;"",_xlpm.CSVVal
)),"")</f>
        <v/>
      </c>
      <c r="K468" s="54" t="str" cm="1">
        <f t="array" ref="K468">IFERROR(_xlfn.LET(
_xlpm.CSVVal,_xlfn.XLOOKUP($A468,CSV!$A:$A,CSV!M:M,""),
_xlpm.MacVal,_xlfn.XLOOKUP($A468,Output_Mac!$A:$A,Output_Mac!L:L,""),
_xlpm.MyAuditVal,_xlfn.XLOOKUP($A468,My_Audit!$A:$A,My_Audit!J:J,""),
_xlfn.IFS(_xlpm.MyAuditVal&lt;&gt;"",UPPER(_xlpm.MyAuditVal),_xlpm.MacVal&lt;&gt;"",_xlpm.MacVal,_xlpm.CSVVal&lt;&gt;"",_xlpm.CSVVal
)),"")</f>
        <v/>
      </c>
      <c r="L468" s="54" t="str" cm="1">
        <f t="array" ref="L468">IFERROR(_xlfn.LET(
_xlpm.CSVVal,_xlfn.XLOOKUP($A468,CSV!$A:$A,CSV!O:O,""),
_xlpm.MacVal,_xlfn.XLOOKUP($A468,Output_Mac!$A:$A,Output_Mac!M:M,""),
_xlpm.MyAuditVal,_xlfn.XLOOKUP($A468,My_Audit!$A:$A,My_Audit!K:K,""),
_xlfn.IFS(_xlpm.MyAuditVal&lt;&gt;"",UPPER(_xlpm.MyAuditVal),_xlpm.MacVal&lt;&gt;"",_xlpm.MacVal,_xlpm.CSVVal&lt;&gt;"",_xlpm.CSVVal
)),"")</f>
        <v/>
      </c>
      <c r="M468" s="54" t="str">
        <f>_xlfn.LET(
    _xlpm.CSVVal, _xlfn.XLOOKUP($A468, CSV!$A:$A, CSV!AD:AD, ""),
    _xlpm.MacVal, _xlfn.XLOOKUP($A468, Output_Mac!$A:$A, Output_Mac!S:S, ""),
    _xlpm.MyAuditVal, _xlfn.XLOOKUP($A468, My_Audit!$A:$A, My_Audit!N:N, ""),
    _xlfn.TEXTJOIN(", ", TRUE, _xlpm.MyAuditVal, _xlpm.MacVal, _xlpm.CSVVal)
)</f>
        <v/>
      </c>
      <c r="N468" s="54" t="str" cm="1">
        <f t="array" ref="N468">IFERROR(_xlfn.LET(
_xlpm.CSVVal,_xlfn.XLOOKUP($A468,CSV!$A:$A,CSV!AF:AF,""),
_xlpm.MacVal,_xlfn.XLOOKUP($A468,Output_Mac!$A:$A,Output_Mac!U:U,""),
_xlpm.MyAuditVal,_xlfn.XLOOKUP($A468,My_Audit!$A:$A,My_Audit!O:O,""),
_xlfn.IFS(_xlpm.MyAuditVal&lt;&gt;"",UPPER(_xlpm.MyAuditVal),_xlpm.MacVal&lt;&gt;"",_xlpm.MacVal,_xlpm.CSVVal&lt;&gt;"",_xlpm.CSVVal
)),"")</f>
        <v/>
      </c>
      <c r="O468" s="54"/>
      <c r="P468" s="54"/>
      <c r="Q468" s="54"/>
      <c r="R468" s="54"/>
      <c r="S468" s="54"/>
      <c r="T468" s="54"/>
      <c r="U468" s="39"/>
    </row>
    <row r="469" spans="1:21">
      <c r="A469" s="54" t="str">
        <f>_xlfn.TEXTJOIN("",TRUE,Input!$B$2,ROW(My_Audit!A468))</f>
        <v>XX468</v>
      </c>
      <c r="B469" s="54" t="str">
        <f>_xlfn.TEXTJOIN("-",TRUE,"ITD",Input!$A$2,A469)</f>
        <v>ITD-SHRXXX-XX468</v>
      </c>
      <c r="C469" s="54" t="str" cm="1">
        <f t="array" ref="C469">IFERROR(_xlfn.LET(
_xlpm.CSVVal,_xlfn.XLOOKUP($A469,CSV!$A:$A,CSV!B:B,""),
_xlpm.MacVal,_xlfn.XLOOKUP($A469,Output_Mac!$A:$A,Output_Mac!B:B,""),
_xlpm.MyAuditVal,_xlfn.XLOOKUP($A469,My_Audit!$A:$A,My_Audit!B:B,""),
_xlfn.IFS(_xlpm.MyAuditVal&lt;&gt;"",UPPER(_xlpm.MyAuditVal),_xlpm.MacVal&lt;&gt;"",_xlpm.MacVal,_xlpm.CSVVal&lt;&gt;"",_xlpm.CSVVal
)),"")</f>
        <v/>
      </c>
      <c r="D469" s="55" t="str">
        <f>_xlfn.XLOOKUP(A469,My_Audit!A:A,My_Audit!D:D,"")&amp;""</f>
        <v/>
      </c>
      <c r="E469" s="55" t="str" cm="1">
        <f t="array" ref="E469">IFERROR(_xlfn.LET(
_xlpm.CSVVal,_xlfn.XLOOKUP($A469,CSV!$A:$A,CSV!D:D,""),
_xlpm.MacVal,_xlfn.XLOOKUP($A469,Output_Mac!$A:$A,Output_Mac!C:C,""),
_xlpm.MyAuditVal,_xlfn.XLOOKUP($A469,My_Audit!$A:$A,My_Audit!D:D,""),
_xlfn.IFS(_xlpm.MyAuditVal&lt;&gt;"",_xlpm.MyAuditVal,_xlpm.MacVal&lt;&gt;"",_xlpm.MacVal,_xlpm.CSVVal&lt;&gt;"",_xlpm.CSVVal
)),"")</f>
        <v/>
      </c>
      <c r="F469" s="54" t="str" cm="1">
        <f t="array" ref="F469">IFERROR(_xlfn.LET(
_xlpm.CSVVal,_xlfn.XLOOKUP($A469,CSV!$A:$A,CSV!E:E,""),
_xlpm.MacVal,_xlfn.XLOOKUP($A469,Output_Mac!$A:$A,Output_Mac!F:F,""),
_xlpm.MyAuditVal,_xlfn.XLOOKUP($A469,My_Audit!$A:$A,My_Audit!E:E,""),
_xlfn.IFS(_xlpm.MyAuditVal&lt;&gt;"",_xlpm.MyAuditVal,_xlpm.MacVal&lt;&gt;"",_xlpm.MacVal,_xlpm.CSVVal&lt;&gt;"",PROPER(_xlpm.CSVVal)
)),"")</f>
        <v/>
      </c>
      <c r="G469" s="54" t="str" cm="1">
        <f t="array" ref="G469">IFERROR(_xlfn.LET(
_xlpm.CSVVal,_xlfn.XLOOKUP($A469,CSV!$A:$A,CSV!F:F,""),
_xlpm.MacVal,_xlfn.XLOOKUP($A469,Output_Mac!$A:$A,Output_Mac!H:H,""),
_xlpm.MyAuditVal,_xlfn.XLOOKUP($A469,My_Audit!$A:$A,My_Audit!F:F,""),
_xlfn.IFS(_xlpm.MyAuditVal&lt;&gt;"",_xlpm.MyAuditVal,_xlpm.MacVal&lt;&gt;"",_xlpm.MacVal,_xlpm.CSVVal&lt;&gt;"",_xlpm.CSVVal
)),"")</f>
        <v/>
      </c>
      <c r="H469" s="54" t="str">
        <f>_xlfn.XLOOKUP(A469,Output_Mac!A:A,Output_Mac!I:I,"")</f>
        <v/>
      </c>
      <c r="I469" s="54" t="str" cm="1">
        <f t="array" ref="I469">IFERROR(_xlfn.LET(
_xlpm.CSVVal,_xlfn.XLOOKUP($A469,CSV!$A:$A,CSV!G:G,""),
_xlpm.MacVal,_xlfn.XLOOKUP($A469,Output_Mac!$A:$A,Output_Mac!J:J,""),
_xlpm.MyAuditVal,_xlfn.XLOOKUP($A469,My_Audit!$A:$A,My_Audit!H:H,""),
_xlfn.IFS(_xlpm.MyAuditVal&lt;&gt;"",UPPER(_xlpm.MyAuditVal),_xlpm.MacVal&lt;&gt;"",_xlpm.MacVal,_xlpm.CSVVal&lt;&gt;"",_xlpm.CSVVal
)),"")</f>
        <v/>
      </c>
      <c r="J469" s="54" t="str" cm="1">
        <f t="array" ref="J469">IFERROR(_xlfn.LET(
_xlpm.CSVVal,_xlfn.XLOOKUP($A469,CSV!$A:$A,CSV!I:I,""),
_xlpm.MacVal,_xlfn.XLOOKUP($A469,Output_Mac!$A:$A,Output_Mac!K:K,""),
_xlpm.MyAuditVal,_xlfn.XLOOKUP($A469,My_Audit!$A:$A,My_Audit!I:I,""),
_xlfn.IFS(_xlpm.MyAuditVal&lt;&gt;"",UPPER(_xlpm.MyAuditVal),_xlpm.MacVal&lt;&gt;"",_xlpm.MacVal,_xlpm.CSVVal&lt;&gt;"",_xlpm.CSVVal
)),"")</f>
        <v/>
      </c>
      <c r="K469" s="54" t="str" cm="1">
        <f t="array" ref="K469">IFERROR(_xlfn.LET(
_xlpm.CSVVal,_xlfn.XLOOKUP($A469,CSV!$A:$A,CSV!M:M,""),
_xlpm.MacVal,_xlfn.XLOOKUP($A469,Output_Mac!$A:$A,Output_Mac!L:L,""),
_xlpm.MyAuditVal,_xlfn.XLOOKUP($A469,My_Audit!$A:$A,My_Audit!J:J,""),
_xlfn.IFS(_xlpm.MyAuditVal&lt;&gt;"",UPPER(_xlpm.MyAuditVal),_xlpm.MacVal&lt;&gt;"",_xlpm.MacVal,_xlpm.CSVVal&lt;&gt;"",_xlpm.CSVVal
)),"")</f>
        <v/>
      </c>
      <c r="L469" s="54" t="str" cm="1">
        <f t="array" ref="L469">IFERROR(_xlfn.LET(
_xlpm.CSVVal,_xlfn.XLOOKUP($A469,CSV!$A:$A,CSV!O:O,""),
_xlpm.MacVal,_xlfn.XLOOKUP($A469,Output_Mac!$A:$A,Output_Mac!M:M,""),
_xlpm.MyAuditVal,_xlfn.XLOOKUP($A469,My_Audit!$A:$A,My_Audit!K:K,""),
_xlfn.IFS(_xlpm.MyAuditVal&lt;&gt;"",UPPER(_xlpm.MyAuditVal),_xlpm.MacVal&lt;&gt;"",_xlpm.MacVal,_xlpm.CSVVal&lt;&gt;"",_xlpm.CSVVal
)),"")</f>
        <v/>
      </c>
      <c r="M469" s="54" t="str">
        <f>_xlfn.LET(
    _xlpm.CSVVal, _xlfn.XLOOKUP($A469, CSV!$A:$A, CSV!AD:AD, ""),
    _xlpm.MacVal, _xlfn.XLOOKUP($A469, Output_Mac!$A:$A, Output_Mac!S:S, ""),
    _xlpm.MyAuditVal, _xlfn.XLOOKUP($A469, My_Audit!$A:$A, My_Audit!N:N, ""),
    _xlfn.TEXTJOIN(", ", TRUE, _xlpm.MyAuditVal, _xlpm.MacVal, _xlpm.CSVVal)
)</f>
        <v/>
      </c>
      <c r="N469" s="54" t="str" cm="1">
        <f t="array" ref="N469">IFERROR(_xlfn.LET(
_xlpm.CSVVal,_xlfn.XLOOKUP($A469,CSV!$A:$A,CSV!AF:AF,""),
_xlpm.MacVal,_xlfn.XLOOKUP($A469,Output_Mac!$A:$A,Output_Mac!U:U,""),
_xlpm.MyAuditVal,_xlfn.XLOOKUP($A469,My_Audit!$A:$A,My_Audit!O:O,""),
_xlfn.IFS(_xlpm.MyAuditVal&lt;&gt;"",UPPER(_xlpm.MyAuditVal),_xlpm.MacVal&lt;&gt;"",_xlpm.MacVal,_xlpm.CSVVal&lt;&gt;"",_xlpm.CSVVal
)),"")</f>
        <v/>
      </c>
      <c r="O469" s="54"/>
      <c r="P469" s="54"/>
      <c r="Q469" s="54"/>
      <c r="R469" s="54"/>
      <c r="S469" s="54"/>
      <c r="T469" s="54"/>
      <c r="U469" s="39"/>
    </row>
    <row r="470" spans="1:21">
      <c r="A470" s="54" t="str">
        <f>_xlfn.TEXTJOIN("",TRUE,Input!$B$2,ROW(My_Audit!A469))</f>
        <v>XX469</v>
      </c>
      <c r="B470" s="54" t="str">
        <f>_xlfn.TEXTJOIN("-",TRUE,"ITD",Input!$A$2,A470)</f>
        <v>ITD-SHRXXX-XX469</v>
      </c>
      <c r="C470" s="54" t="str" cm="1">
        <f t="array" ref="C470">IFERROR(_xlfn.LET(
_xlpm.CSVVal,_xlfn.XLOOKUP($A470,CSV!$A:$A,CSV!B:B,""),
_xlpm.MacVal,_xlfn.XLOOKUP($A470,Output_Mac!$A:$A,Output_Mac!B:B,""),
_xlpm.MyAuditVal,_xlfn.XLOOKUP($A470,My_Audit!$A:$A,My_Audit!B:B,""),
_xlfn.IFS(_xlpm.MyAuditVal&lt;&gt;"",UPPER(_xlpm.MyAuditVal),_xlpm.MacVal&lt;&gt;"",_xlpm.MacVal,_xlpm.CSVVal&lt;&gt;"",_xlpm.CSVVal
)),"")</f>
        <v/>
      </c>
      <c r="D470" s="55" t="str">
        <f>_xlfn.XLOOKUP(A470,My_Audit!A:A,My_Audit!D:D,"")&amp;""</f>
        <v/>
      </c>
      <c r="E470" s="55" t="str" cm="1">
        <f t="array" ref="E470">IFERROR(_xlfn.LET(
_xlpm.CSVVal,_xlfn.XLOOKUP($A470,CSV!$A:$A,CSV!D:D,""),
_xlpm.MacVal,_xlfn.XLOOKUP($A470,Output_Mac!$A:$A,Output_Mac!C:C,""),
_xlpm.MyAuditVal,_xlfn.XLOOKUP($A470,My_Audit!$A:$A,My_Audit!D:D,""),
_xlfn.IFS(_xlpm.MyAuditVal&lt;&gt;"",_xlpm.MyAuditVal,_xlpm.MacVal&lt;&gt;"",_xlpm.MacVal,_xlpm.CSVVal&lt;&gt;"",_xlpm.CSVVal
)),"")</f>
        <v/>
      </c>
      <c r="F470" s="54" t="str" cm="1">
        <f t="array" ref="F470">IFERROR(_xlfn.LET(
_xlpm.CSVVal,_xlfn.XLOOKUP($A470,CSV!$A:$A,CSV!E:E,""),
_xlpm.MacVal,_xlfn.XLOOKUP($A470,Output_Mac!$A:$A,Output_Mac!F:F,""),
_xlpm.MyAuditVal,_xlfn.XLOOKUP($A470,My_Audit!$A:$A,My_Audit!E:E,""),
_xlfn.IFS(_xlpm.MyAuditVal&lt;&gt;"",_xlpm.MyAuditVal,_xlpm.MacVal&lt;&gt;"",_xlpm.MacVal,_xlpm.CSVVal&lt;&gt;"",PROPER(_xlpm.CSVVal)
)),"")</f>
        <v/>
      </c>
      <c r="G470" s="54" t="str" cm="1">
        <f t="array" ref="G470">IFERROR(_xlfn.LET(
_xlpm.CSVVal,_xlfn.XLOOKUP($A470,CSV!$A:$A,CSV!F:F,""),
_xlpm.MacVal,_xlfn.XLOOKUP($A470,Output_Mac!$A:$A,Output_Mac!H:H,""),
_xlpm.MyAuditVal,_xlfn.XLOOKUP($A470,My_Audit!$A:$A,My_Audit!F:F,""),
_xlfn.IFS(_xlpm.MyAuditVal&lt;&gt;"",_xlpm.MyAuditVal,_xlpm.MacVal&lt;&gt;"",_xlpm.MacVal,_xlpm.CSVVal&lt;&gt;"",_xlpm.CSVVal
)),"")</f>
        <v/>
      </c>
      <c r="H470" s="54" t="str">
        <f>_xlfn.XLOOKUP(A470,Output_Mac!A:A,Output_Mac!I:I,"")</f>
        <v/>
      </c>
      <c r="I470" s="54" t="str" cm="1">
        <f t="array" ref="I470">IFERROR(_xlfn.LET(
_xlpm.CSVVal,_xlfn.XLOOKUP($A470,CSV!$A:$A,CSV!G:G,""),
_xlpm.MacVal,_xlfn.XLOOKUP($A470,Output_Mac!$A:$A,Output_Mac!J:J,""),
_xlpm.MyAuditVal,_xlfn.XLOOKUP($A470,My_Audit!$A:$A,My_Audit!H:H,""),
_xlfn.IFS(_xlpm.MyAuditVal&lt;&gt;"",UPPER(_xlpm.MyAuditVal),_xlpm.MacVal&lt;&gt;"",_xlpm.MacVal,_xlpm.CSVVal&lt;&gt;"",_xlpm.CSVVal
)),"")</f>
        <v/>
      </c>
      <c r="J470" s="54" t="str" cm="1">
        <f t="array" ref="J470">IFERROR(_xlfn.LET(
_xlpm.CSVVal,_xlfn.XLOOKUP($A470,CSV!$A:$A,CSV!I:I,""),
_xlpm.MacVal,_xlfn.XLOOKUP($A470,Output_Mac!$A:$A,Output_Mac!K:K,""),
_xlpm.MyAuditVal,_xlfn.XLOOKUP($A470,My_Audit!$A:$A,My_Audit!I:I,""),
_xlfn.IFS(_xlpm.MyAuditVal&lt;&gt;"",UPPER(_xlpm.MyAuditVal),_xlpm.MacVal&lt;&gt;"",_xlpm.MacVal,_xlpm.CSVVal&lt;&gt;"",_xlpm.CSVVal
)),"")</f>
        <v/>
      </c>
      <c r="K470" s="54" t="str" cm="1">
        <f t="array" ref="K470">IFERROR(_xlfn.LET(
_xlpm.CSVVal,_xlfn.XLOOKUP($A470,CSV!$A:$A,CSV!M:M,""),
_xlpm.MacVal,_xlfn.XLOOKUP($A470,Output_Mac!$A:$A,Output_Mac!L:L,""),
_xlpm.MyAuditVal,_xlfn.XLOOKUP($A470,My_Audit!$A:$A,My_Audit!J:J,""),
_xlfn.IFS(_xlpm.MyAuditVal&lt;&gt;"",UPPER(_xlpm.MyAuditVal),_xlpm.MacVal&lt;&gt;"",_xlpm.MacVal,_xlpm.CSVVal&lt;&gt;"",_xlpm.CSVVal
)),"")</f>
        <v/>
      </c>
      <c r="L470" s="54" t="str" cm="1">
        <f t="array" ref="L470">IFERROR(_xlfn.LET(
_xlpm.CSVVal,_xlfn.XLOOKUP($A470,CSV!$A:$A,CSV!O:O,""),
_xlpm.MacVal,_xlfn.XLOOKUP($A470,Output_Mac!$A:$A,Output_Mac!M:M,""),
_xlpm.MyAuditVal,_xlfn.XLOOKUP($A470,My_Audit!$A:$A,My_Audit!K:K,""),
_xlfn.IFS(_xlpm.MyAuditVal&lt;&gt;"",UPPER(_xlpm.MyAuditVal),_xlpm.MacVal&lt;&gt;"",_xlpm.MacVal,_xlpm.CSVVal&lt;&gt;"",_xlpm.CSVVal
)),"")</f>
        <v/>
      </c>
      <c r="M470" s="54" t="str">
        <f>_xlfn.LET(
    _xlpm.CSVVal, _xlfn.XLOOKUP($A470, CSV!$A:$A, CSV!AD:AD, ""),
    _xlpm.MacVal, _xlfn.XLOOKUP($A470, Output_Mac!$A:$A, Output_Mac!S:S, ""),
    _xlpm.MyAuditVal, _xlfn.XLOOKUP($A470, My_Audit!$A:$A, My_Audit!N:N, ""),
    _xlfn.TEXTJOIN(", ", TRUE, _xlpm.MyAuditVal, _xlpm.MacVal, _xlpm.CSVVal)
)</f>
        <v/>
      </c>
      <c r="N470" s="54" t="str" cm="1">
        <f t="array" ref="N470">IFERROR(_xlfn.LET(
_xlpm.CSVVal,_xlfn.XLOOKUP($A470,CSV!$A:$A,CSV!AF:AF,""),
_xlpm.MacVal,_xlfn.XLOOKUP($A470,Output_Mac!$A:$A,Output_Mac!U:U,""),
_xlpm.MyAuditVal,_xlfn.XLOOKUP($A470,My_Audit!$A:$A,My_Audit!O:O,""),
_xlfn.IFS(_xlpm.MyAuditVal&lt;&gt;"",UPPER(_xlpm.MyAuditVal),_xlpm.MacVal&lt;&gt;"",_xlpm.MacVal,_xlpm.CSVVal&lt;&gt;"",_xlpm.CSVVal
)),"")</f>
        <v/>
      </c>
      <c r="O470" s="54"/>
      <c r="P470" s="54"/>
      <c r="Q470" s="54"/>
      <c r="R470" s="54"/>
      <c r="S470" s="54"/>
      <c r="T470" s="54"/>
      <c r="U470" s="39"/>
    </row>
    <row r="471" spans="1:21">
      <c r="A471" s="54" t="str">
        <f>_xlfn.TEXTJOIN("",TRUE,Input!$B$2,ROW(My_Audit!A470))</f>
        <v>XX470</v>
      </c>
      <c r="B471" s="54" t="str">
        <f>_xlfn.TEXTJOIN("-",TRUE,"ITD",Input!$A$2,A471)</f>
        <v>ITD-SHRXXX-XX470</v>
      </c>
      <c r="C471" s="54" t="str" cm="1">
        <f t="array" ref="C471">IFERROR(_xlfn.LET(
_xlpm.CSVVal,_xlfn.XLOOKUP($A471,CSV!$A:$A,CSV!B:B,""),
_xlpm.MacVal,_xlfn.XLOOKUP($A471,Output_Mac!$A:$A,Output_Mac!B:B,""),
_xlpm.MyAuditVal,_xlfn.XLOOKUP($A471,My_Audit!$A:$A,My_Audit!B:B,""),
_xlfn.IFS(_xlpm.MyAuditVal&lt;&gt;"",UPPER(_xlpm.MyAuditVal),_xlpm.MacVal&lt;&gt;"",_xlpm.MacVal,_xlpm.CSVVal&lt;&gt;"",_xlpm.CSVVal
)),"")</f>
        <v/>
      </c>
      <c r="D471" s="55" t="str">
        <f>_xlfn.XLOOKUP(A471,My_Audit!A:A,My_Audit!D:D,"")&amp;""</f>
        <v/>
      </c>
      <c r="E471" s="55" t="str" cm="1">
        <f t="array" ref="E471">IFERROR(_xlfn.LET(
_xlpm.CSVVal,_xlfn.XLOOKUP($A471,CSV!$A:$A,CSV!D:D,""),
_xlpm.MacVal,_xlfn.XLOOKUP($A471,Output_Mac!$A:$A,Output_Mac!C:C,""),
_xlpm.MyAuditVal,_xlfn.XLOOKUP($A471,My_Audit!$A:$A,My_Audit!D:D,""),
_xlfn.IFS(_xlpm.MyAuditVal&lt;&gt;"",_xlpm.MyAuditVal,_xlpm.MacVal&lt;&gt;"",_xlpm.MacVal,_xlpm.CSVVal&lt;&gt;"",_xlpm.CSVVal
)),"")</f>
        <v/>
      </c>
      <c r="F471" s="54" t="str" cm="1">
        <f t="array" ref="F471">IFERROR(_xlfn.LET(
_xlpm.CSVVal,_xlfn.XLOOKUP($A471,CSV!$A:$A,CSV!E:E,""),
_xlpm.MacVal,_xlfn.XLOOKUP($A471,Output_Mac!$A:$A,Output_Mac!F:F,""),
_xlpm.MyAuditVal,_xlfn.XLOOKUP($A471,My_Audit!$A:$A,My_Audit!E:E,""),
_xlfn.IFS(_xlpm.MyAuditVal&lt;&gt;"",_xlpm.MyAuditVal,_xlpm.MacVal&lt;&gt;"",_xlpm.MacVal,_xlpm.CSVVal&lt;&gt;"",PROPER(_xlpm.CSVVal)
)),"")</f>
        <v/>
      </c>
      <c r="G471" s="54" t="str" cm="1">
        <f t="array" ref="G471">IFERROR(_xlfn.LET(
_xlpm.CSVVal,_xlfn.XLOOKUP($A471,CSV!$A:$A,CSV!F:F,""),
_xlpm.MacVal,_xlfn.XLOOKUP($A471,Output_Mac!$A:$A,Output_Mac!H:H,""),
_xlpm.MyAuditVal,_xlfn.XLOOKUP($A471,My_Audit!$A:$A,My_Audit!F:F,""),
_xlfn.IFS(_xlpm.MyAuditVal&lt;&gt;"",_xlpm.MyAuditVal,_xlpm.MacVal&lt;&gt;"",_xlpm.MacVal,_xlpm.CSVVal&lt;&gt;"",_xlpm.CSVVal
)),"")</f>
        <v/>
      </c>
      <c r="H471" s="54" t="str">
        <f>_xlfn.XLOOKUP(A471,Output_Mac!A:A,Output_Mac!I:I,"")</f>
        <v/>
      </c>
      <c r="I471" s="54" t="str" cm="1">
        <f t="array" ref="I471">IFERROR(_xlfn.LET(
_xlpm.CSVVal,_xlfn.XLOOKUP($A471,CSV!$A:$A,CSV!G:G,""),
_xlpm.MacVal,_xlfn.XLOOKUP($A471,Output_Mac!$A:$A,Output_Mac!J:J,""),
_xlpm.MyAuditVal,_xlfn.XLOOKUP($A471,My_Audit!$A:$A,My_Audit!H:H,""),
_xlfn.IFS(_xlpm.MyAuditVal&lt;&gt;"",UPPER(_xlpm.MyAuditVal),_xlpm.MacVal&lt;&gt;"",_xlpm.MacVal,_xlpm.CSVVal&lt;&gt;"",_xlpm.CSVVal
)),"")</f>
        <v/>
      </c>
      <c r="J471" s="54" t="str" cm="1">
        <f t="array" ref="J471">IFERROR(_xlfn.LET(
_xlpm.CSVVal,_xlfn.XLOOKUP($A471,CSV!$A:$A,CSV!I:I,""),
_xlpm.MacVal,_xlfn.XLOOKUP($A471,Output_Mac!$A:$A,Output_Mac!K:K,""),
_xlpm.MyAuditVal,_xlfn.XLOOKUP($A471,My_Audit!$A:$A,My_Audit!I:I,""),
_xlfn.IFS(_xlpm.MyAuditVal&lt;&gt;"",UPPER(_xlpm.MyAuditVal),_xlpm.MacVal&lt;&gt;"",_xlpm.MacVal,_xlpm.CSVVal&lt;&gt;"",_xlpm.CSVVal
)),"")</f>
        <v/>
      </c>
      <c r="K471" s="54" t="str" cm="1">
        <f t="array" ref="K471">IFERROR(_xlfn.LET(
_xlpm.CSVVal,_xlfn.XLOOKUP($A471,CSV!$A:$A,CSV!M:M,""),
_xlpm.MacVal,_xlfn.XLOOKUP($A471,Output_Mac!$A:$A,Output_Mac!L:L,""),
_xlpm.MyAuditVal,_xlfn.XLOOKUP($A471,My_Audit!$A:$A,My_Audit!J:J,""),
_xlfn.IFS(_xlpm.MyAuditVal&lt;&gt;"",UPPER(_xlpm.MyAuditVal),_xlpm.MacVal&lt;&gt;"",_xlpm.MacVal,_xlpm.CSVVal&lt;&gt;"",_xlpm.CSVVal
)),"")</f>
        <v/>
      </c>
      <c r="L471" s="54" t="str" cm="1">
        <f t="array" ref="L471">IFERROR(_xlfn.LET(
_xlpm.CSVVal,_xlfn.XLOOKUP($A471,CSV!$A:$A,CSV!O:O,""),
_xlpm.MacVal,_xlfn.XLOOKUP($A471,Output_Mac!$A:$A,Output_Mac!M:M,""),
_xlpm.MyAuditVal,_xlfn.XLOOKUP($A471,My_Audit!$A:$A,My_Audit!K:K,""),
_xlfn.IFS(_xlpm.MyAuditVal&lt;&gt;"",UPPER(_xlpm.MyAuditVal),_xlpm.MacVal&lt;&gt;"",_xlpm.MacVal,_xlpm.CSVVal&lt;&gt;"",_xlpm.CSVVal
)),"")</f>
        <v/>
      </c>
      <c r="M471" s="54" t="str">
        <f>_xlfn.LET(
    _xlpm.CSVVal, _xlfn.XLOOKUP($A471, CSV!$A:$A, CSV!AD:AD, ""),
    _xlpm.MacVal, _xlfn.XLOOKUP($A471, Output_Mac!$A:$A, Output_Mac!S:S, ""),
    _xlpm.MyAuditVal, _xlfn.XLOOKUP($A471, My_Audit!$A:$A, My_Audit!N:N, ""),
    _xlfn.TEXTJOIN(", ", TRUE, _xlpm.MyAuditVal, _xlpm.MacVal, _xlpm.CSVVal)
)</f>
        <v/>
      </c>
      <c r="N471" s="54" t="str" cm="1">
        <f t="array" ref="N471">IFERROR(_xlfn.LET(
_xlpm.CSVVal,_xlfn.XLOOKUP($A471,CSV!$A:$A,CSV!AF:AF,""),
_xlpm.MacVal,_xlfn.XLOOKUP($A471,Output_Mac!$A:$A,Output_Mac!U:U,""),
_xlpm.MyAuditVal,_xlfn.XLOOKUP($A471,My_Audit!$A:$A,My_Audit!O:O,""),
_xlfn.IFS(_xlpm.MyAuditVal&lt;&gt;"",UPPER(_xlpm.MyAuditVal),_xlpm.MacVal&lt;&gt;"",_xlpm.MacVal,_xlpm.CSVVal&lt;&gt;"",_xlpm.CSVVal
)),"")</f>
        <v/>
      </c>
      <c r="O471" s="54"/>
      <c r="P471" s="54"/>
      <c r="Q471" s="54"/>
      <c r="R471" s="54"/>
      <c r="S471" s="54"/>
      <c r="T471" s="54"/>
      <c r="U471" s="39"/>
    </row>
    <row r="472" spans="1:21">
      <c r="A472" s="54" t="str">
        <f>_xlfn.TEXTJOIN("",TRUE,Input!$B$2,ROW(My_Audit!A471))</f>
        <v>XX471</v>
      </c>
      <c r="B472" s="54" t="str">
        <f>_xlfn.TEXTJOIN("-",TRUE,"ITD",Input!$A$2,A472)</f>
        <v>ITD-SHRXXX-XX471</v>
      </c>
      <c r="C472" s="54" t="str" cm="1">
        <f t="array" ref="C472">IFERROR(_xlfn.LET(
_xlpm.CSVVal,_xlfn.XLOOKUP($A472,CSV!$A:$A,CSV!B:B,""),
_xlpm.MacVal,_xlfn.XLOOKUP($A472,Output_Mac!$A:$A,Output_Mac!B:B,""),
_xlpm.MyAuditVal,_xlfn.XLOOKUP($A472,My_Audit!$A:$A,My_Audit!B:B,""),
_xlfn.IFS(_xlpm.MyAuditVal&lt;&gt;"",UPPER(_xlpm.MyAuditVal),_xlpm.MacVal&lt;&gt;"",_xlpm.MacVal,_xlpm.CSVVal&lt;&gt;"",_xlpm.CSVVal
)),"")</f>
        <v/>
      </c>
      <c r="D472" s="55" t="str">
        <f>_xlfn.XLOOKUP(A472,My_Audit!A:A,My_Audit!D:D,"")&amp;""</f>
        <v/>
      </c>
      <c r="E472" s="55" t="str" cm="1">
        <f t="array" ref="E472">IFERROR(_xlfn.LET(
_xlpm.CSVVal,_xlfn.XLOOKUP($A472,CSV!$A:$A,CSV!D:D,""),
_xlpm.MacVal,_xlfn.XLOOKUP($A472,Output_Mac!$A:$A,Output_Mac!C:C,""),
_xlpm.MyAuditVal,_xlfn.XLOOKUP($A472,My_Audit!$A:$A,My_Audit!D:D,""),
_xlfn.IFS(_xlpm.MyAuditVal&lt;&gt;"",_xlpm.MyAuditVal,_xlpm.MacVal&lt;&gt;"",_xlpm.MacVal,_xlpm.CSVVal&lt;&gt;"",_xlpm.CSVVal
)),"")</f>
        <v/>
      </c>
      <c r="F472" s="54" t="str" cm="1">
        <f t="array" ref="F472">IFERROR(_xlfn.LET(
_xlpm.CSVVal,_xlfn.XLOOKUP($A472,CSV!$A:$A,CSV!E:E,""),
_xlpm.MacVal,_xlfn.XLOOKUP($A472,Output_Mac!$A:$A,Output_Mac!F:F,""),
_xlpm.MyAuditVal,_xlfn.XLOOKUP($A472,My_Audit!$A:$A,My_Audit!E:E,""),
_xlfn.IFS(_xlpm.MyAuditVal&lt;&gt;"",_xlpm.MyAuditVal,_xlpm.MacVal&lt;&gt;"",_xlpm.MacVal,_xlpm.CSVVal&lt;&gt;"",PROPER(_xlpm.CSVVal)
)),"")</f>
        <v/>
      </c>
      <c r="G472" s="54" t="str" cm="1">
        <f t="array" ref="G472">IFERROR(_xlfn.LET(
_xlpm.CSVVal,_xlfn.XLOOKUP($A472,CSV!$A:$A,CSV!F:F,""),
_xlpm.MacVal,_xlfn.XLOOKUP($A472,Output_Mac!$A:$A,Output_Mac!H:H,""),
_xlpm.MyAuditVal,_xlfn.XLOOKUP($A472,My_Audit!$A:$A,My_Audit!F:F,""),
_xlfn.IFS(_xlpm.MyAuditVal&lt;&gt;"",_xlpm.MyAuditVal,_xlpm.MacVal&lt;&gt;"",_xlpm.MacVal,_xlpm.CSVVal&lt;&gt;"",_xlpm.CSVVal
)),"")</f>
        <v/>
      </c>
      <c r="H472" s="54" t="str">
        <f>_xlfn.XLOOKUP(A472,Output_Mac!A:A,Output_Mac!I:I,"")</f>
        <v/>
      </c>
      <c r="I472" s="54" t="str" cm="1">
        <f t="array" ref="I472">IFERROR(_xlfn.LET(
_xlpm.CSVVal,_xlfn.XLOOKUP($A472,CSV!$A:$A,CSV!G:G,""),
_xlpm.MacVal,_xlfn.XLOOKUP($A472,Output_Mac!$A:$A,Output_Mac!J:J,""),
_xlpm.MyAuditVal,_xlfn.XLOOKUP($A472,My_Audit!$A:$A,My_Audit!H:H,""),
_xlfn.IFS(_xlpm.MyAuditVal&lt;&gt;"",UPPER(_xlpm.MyAuditVal),_xlpm.MacVal&lt;&gt;"",_xlpm.MacVal,_xlpm.CSVVal&lt;&gt;"",_xlpm.CSVVal
)),"")</f>
        <v/>
      </c>
      <c r="J472" s="54" t="str" cm="1">
        <f t="array" ref="J472">IFERROR(_xlfn.LET(
_xlpm.CSVVal,_xlfn.XLOOKUP($A472,CSV!$A:$A,CSV!I:I,""),
_xlpm.MacVal,_xlfn.XLOOKUP($A472,Output_Mac!$A:$A,Output_Mac!K:K,""),
_xlpm.MyAuditVal,_xlfn.XLOOKUP($A472,My_Audit!$A:$A,My_Audit!I:I,""),
_xlfn.IFS(_xlpm.MyAuditVal&lt;&gt;"",UPPER(_xlpm.MyAuditVal),_xlpm.MacVal&lt;&gt;"",_xlpm.MacVal,_xlpm.CSVVal&lt;&gt;"",_xlpm.CSVVal
)),"")</f>
        <v/>
      </c>
      <c r="K472" s="54" t="str" cm="1">
        <f t="array" ref="K472">IFERROR(_xlfn.LET(
_xlpm.CSVVal,_xlfn.XLOOKUP($A472,CSV!$A:$A,CSV!M:M,""),
_xlpm.MacVal,_xlfn.XLOOKUP($A472,Output_Mac!$A:$A,Output_Mac!L:L,""),
_xlpm.MyAuditVal,_xlfn.XLOOKUP($A472,My_Audit!$A:$A,My_Audit!J:J,""),
_xlfn.IFS(_xlpm.MyAuditVal&lt;&gt;"",UPPER(_xlpm.MyAuditVal),_xlpm.MacVal&lt;&gt;"",_xlpm.MacVal,_xlpm.CSVVal&lt;&gt;"",_xlpm.CSVVal
)),"")</f>
        <v/>
      </c>
      <c r="L472" s="54" t="str" cm="1">
        <f t="array" ref="L472">IFERROR(_xlfn.LET(
_xlpm.CSVVal,_xlfn.XLOOKUP($A472,CSV!$A:$A,CSV!O:O,""),
_xlpm.MacVal,_xlfn.XLOOKUP($A472,Output_Mac!$A:$A,Output_Mac!M:M,""),
_xlpm.MyAuditVal,_xlfn.XLOOKUP($A472,My_Audit!$A:$A,My_Audit!K:K,""),
_xlfn.IFS(_xlpm.MyAuditVal&lt;&gt;"",UPPER(_xlpm.MyAuditVal),_xlpm.MacVal&lt;&gt;"",_xlpm.MacVal,_xlpm.CSVVal&lt;&gt;"",_xlpm.CSVVal
)),"")</f>
        <v/>
      </c>
      <c r="M472" s="54" t="str">
        <f>_xlfn.LET(
    _xlpm.CSVVal, _xlfn.XLOOKUP($A472, CSV!$A:$A, CSV!AD:AD, ""),
    _xlpm.MacVal, _xlfn.XLOOKUP($A472, Output_Mac!$A:$A, Output_Mac!S:S, ""),
    _xlpm.MyAuditVal, _xlfn.XLOOKUP($A472, My_Audit!$A:$A, My_Audit!N:N, ""),
    _xlfn.TEXTJOIN(", ", TRUE, _xlpm.MyAuditVal, _xlpm.MacVal, _xlpm.CSVVal)
)</f>
        <v/>
      </c>
      <c r="N472" s="54" t="str" cm="1">
        <f t="array" ref="N472">IFERROR(_xlfn.LET(
_xlpm.CSVVal,_xlfn.XLOOKUP($A472,CSV!$A:$A,CSV!AF:AF,""),
_xlpm.MacVal,_xlfn.XLOOKUP($A472,Output_Mac!$A:$A,Output_Mac!U:U,""),
_xlpm.MyAuditVal,_xlfn.XLOOKUP($A472,My_Audit!$A:$A,My_Audit!O:O,""),
_xlfn.IFS(_xlpm.MyAuditVal&lt;&gt;"",UPPER(_xlpm.MyAuditVal),_xlpm.MacVal&lt;&gt;"",_xlpm.MacVal,_xlpm.CSVVal&lt;&gt;"",_xlpm.CSVVal
)),"")</f>
        <v/>
      </c>
      <c r="O472" s="54"/>
      <c r="P472" s="54"/>
      <c r="Q472" s="54"/>
      <c r="R472" s="54"/>
      <c r="S472" s="54"/>
      <c r="T472" s="54"/>
      <c r="U472" s="39"/>
    </row>
    <row r="473" spans="1:21">
      <c r="A473" s="54" t="str">
        <f>_xlfn.TEXTJOIN("",TRUE,Input!$B$2,ROW(My_Audit!A472))</f>
        <v>XX472</v>
      </c>
      <c r="B473" s="54" t="str">
        <f>_xlfn.TEXTJOIN("-",TRUE,"ITD",Input!$A$2,A473)</f>
        <v>ITD-SHRXXX-XX472</v>
      </c>
      <c r="C473" s="54" t="str" cm="1">
        <f t="array" ref="C473">IFERROR(_xlfn.LET(
_xlpm.CSVVal,_xlfn.XLOOKUP($A473,CSV!$A:$A,CSV!B:B,""),
_xlpm.MacVal,_xlfn.XLOOKUP($A473,Output_Mac!$A:$A,Output_Mac!B:B,""),
_xlpm.MyAuditVal,_xlfn.XLOOKUP($A473,My_Audit!$A:$A,My_Audit!B:B,""),
_xlfn.IFS(_xlpm.MyAuditVal&lt;&gt;"",UPPER(_xlpm.MyAuditVal),_xlpm.MacVal&lt;&gt;"",_xlpm.MacVal,_xlpm.CSVVal&lt;&gt;"",_xlpm.CSVVal
)),"")</f>
        <v/>
      </c>
      <c r="D473" s="55" t="str">
        <f>_xlfn.XLOOKUP(A473,My_Audit!A:A,My_Audit!D:D,"")&amp;""</f>
        <v/>
      </c>
      <c r="E473" s="55" t="str" cm="1">
        <f t="array" ref="E473">IFERROR(_xlfn.LET(
_xlpm.CSVVal,_xlfn.XLOOKUP($A473,CSV!$A:$A,CSV!D:D,""),
_xlpm.MacVal,_xlfn.XLOOKUP($A473,Output_Mac!$A:$A,Output_Mac!C:C,""),
_xlpm.MyAuditVal,_xlfn.XLOOKUP($A473,My_Audit!$A:$A,My_Audit!D:D,""),
_xlfn.IFS(_xlpm.MyAuditVal&lt;&gt;"",_xlpm.MyAuditVal,_xlpm.MacVal&lt;&gt;"",_xlpm.MacVal,_xlpm.CSVVal&lt;&gt;"",_xlpm.CSVVal
)),"")</f>
        <v/>
      </c>
      <c r="F473" s="54" t="str" cm="1">
        <f t="array" ref="F473">IFERROR(_xlfn.LET(
_xlpm.CSVVal,_xlfn.XLOOKUP($A473,CSV!$A:$A,CSV!E:E,""),
_xlpm.MacVal,_xlfn.XLOOKUP($A473,Output_Mac!$A:$A,Output_Mac!F:F,""),
_xlpm.MyAuditVal,_xlfn.XLOOKUP($A473,My_Audit!$A:$A,My_Audit!E:E,""),
_xlfn.IFS(_xlpm.MyAuditVal&lt;&gt;"",_xlpm.MyAuditVal,_xlpm.MacVal&lt;&gt;"",_xlpm.MacVal,_xlpm.CSVVal&lt;&gt;"",PROPER(_xlpm.CSVVal)
)),"")</f>
        <v/>
      </c>
      <c r="G473" s="54" t="str" cm="1">
        <f t="array" ref="G473">IFERROR(_xlfn.LET(
_xlpm.CSVVal,_xlfn.XLOOKUP($A473,CSV!$A:$A,CSV!F:F,""),
_xlpm.MacVal,_xlfn.XLOOKUP($A473,Output_Mac!$A:$A,Output_Mac!H:H,""),
_xlpm.MyAuditVal,_xlfn.XLOOKUP($A473,My_Audit!$A:$A,My_Audit!F:F,""),
_xlfn.IFS(_xlpm.MyAuditVal&lt;&gt;"",_xlpm.MyAuditVal,_xlpm.MacVal&lt;&gt;"",_xlpm.MacVal,_xlpm.CSVVal&lt;&gt;"",_xlpm.CSVVal
)),"")</f>
        <v/>
      </c>
      <c r="H473" s="54" t="str">
        <f>_xlfn.XLOOKUP(A473,Output_Mac!A:A,Output_Mac!I:I,"")</f>
        <v/>
      </c>
      <c r="I473" s="54" t="str" cm="1">
        <f t="array" ref="I473">IFERROR(_xlfn.LET(
_xlpm.CSVVal,_xlfn.XLOOKUP($A473,CSV!$A:$A,CSV!G:G,""),
_xlpm.MacVal,_xlfn.XLOOKUP($A473,Output_Mac!$A:$A,Output_Mac!J:J,""),
_xlpm.MyAuditVal,_xlfn.XLOOKUP($A473,My_Audit!$A:$A,My_Audit!H:H,""),
_xlfn.IFS(_xlpm.MyAuditVal&lt;&gt;"",UPPER(_xlpm.MyAuditVal),_xlpm.MacVal&lt;&gt;"",_xlpm.MacVal,_xlpm.CSVVal&lt;&gt;"",_xlpm.CSVVal
)),"")</f>
        <v/>
      </c>
      <c r="J473" s="54" t="str" cm="1">
        <f t="array" ref="J473">IFERROR(_xlfn.LET(
_xlpm.CSVVal,_xlfn.XLOOKUP($A473,CSV!$A:$A,CSV!I:I,""),
_xlpm.MacVal,_xlfn.XLOOKUP($A473,Output_Mac!$A:$A,Output_Mac!K:K,""),
_xlpm.MyAuditVal,_xlfn.XLOOKUP($A473,My_Audit!$A:$A,My_Audit!I:I,""),
_xlfn.IFS(_xlpm.MyAuditVal&lt;&gt;"",UPPER(_xlpm.MyAuditVal),_xlpm.MacVal&lt;&gt;"",_xlpm.MacVal,_xlpm.CSVVal&lt;&gt;"",_xlpm.CSVVal
)),"")</f>
        <v/>
      </c>
      <c r="K473" s="54" t="str" cm="1">
        <f t="array" ref="K473">IFERROR(_xlfn.LET(
_xlpm.CSVVal,_xlfn.XLOOKUP($A473,CSV!$A:$A,CSV!M:M,""),
_xlpm.MacVal,_xlfn.XLOOKUP($A473,Output_Mac!$A:$A,Output_Mac!L:L,""),
_xlpm.MyAuditVal,_xlfn.XLOOKUP($A473,My_Audit!$A:$A,My_Audit!J:J,""),
_xlfn.IFS(_xlpm.MyAuditVal&lt;&gt;"",UPPER(_xlpm.MyAuditVal),_xlpm.MacVal&lt;&gt;"",_xlpm.MacVal,_xlpm.CSVVal&lt;&gt;"",_xlpm.CSVVal
)),"")</f>
        <v/>
      </c>
      <c r="L473" s="54" t="str" cm="1">
        <f t="array" ref="L473">IFERROR(_xlfn.LET(
_xlpm.CSVVal,_xlfn.XLOOKUP($A473,CSV!$A:$A,CSV!O:O,""),
_xlpm.MacVal,_xlfn.XLOOKUP($A473,Output_Mac!$A:$A,Output_Mac!M:M,""),
_xlpm.MyAuditVal,_xlfn.XLOOKUP($A473,My_Audit!$A:$A,My_Audit!K:K,""),
_xlfn.IFS(_xlpm.MyAuditVal&lt;&gt;"",UPPER(_xlpm.MyAuditVal),_xlpm.MacVal&lt;&gt;"",_xlpm.MacVal,_xlpm.CSVVal&lt;&gt;"",_xlpm.CSVVal
)),"")</f>
        <v/>
      </c>
      <c r="M473" s="54" t="str">
        <f>_xlfn.LET(
    _xlpm.CSVVal, _xlfn.XLOOKUP($A473, CSV!$A:$A, CSV!AD:AD, ""),
    _xlpm.MacVal, _xlfn.XLOOKUP($A473, Output_Mac!$A:$A, Output_Mac!S:S, ""),
    _xlpm.MyAuditVal, _xlfn.XLOOKUP($A473, My_Audit!$A:$A, My_Audit!N:N, ""),
    _xlfn.TEXTJOIN(", ", TRUE, _xlpm.MyAuditVal, _xlpm.MacVal, _xlpm.CSVVal)
)</f>
        <v/>
      </c>
      <c r="N473" s="54" t="str" cm="1">
        <f t="array" ref="N473">IFERROR(_xlfn.LET(
_xlpm.CSVVal,_xlfn.XLOOKUP($A473,CSV!$A:$A,CSV!AF:AF,""),
_xlpm.MacVal,_xlfn.XLOOKUP($A473,Output_Mac!$A:$A,Output_Mac!U:U,""),
_xlpm.MyAuditVal,_xlfn.XLOOKUP($A473,My_Audit!$A:$A,My_Audit!O:O,""),
_xlfn.IFS(_xlpm.MyAuditVal&lt;&gt;"",UPPER(_xlpm.MyAuditVal),_xlpm.MacVal&lt;&gt;"",_xlpm.MacVal,_xlpm.CSVVal&lt;&gt;"",_xlpm.CSVVal
)),"")</f>
        <v/>
      </c>
      <c r="O473" s="54"/>
      <c r="P473" s="54"/>
      <c r="Q473" s="54"/>
      <c r="R473" s="54"/>
      <c r="S473" s="54"/>
      <c r="T473" s="54"/>
      <c r="U473" s="39"/>
    </row>
    <row r="474" spans="1:21">
      <c r="A474" s="54" t="str">
        <f>_xlfn.TEXTJOIN("",TRUE,Input!$B$2,ROW(My_Audit!A473))</f>
        <v>XX473</v>
      </c>
      <c r="B474" s="54" t="str">
        <f>_xlfn.TEXTJOIN("-",TRUE,"ITD",Input!$A$2,A474)</f>
        <v>ITD-SHRXXX-XX473</v>
      </c>
      <c r="C474" s="54" t="str" cm="1">
        <f t="array" ref="C474">IFERROR(_xlfn.LET(
_xlpm.CSVVal,_xlfn.XLOOKUP($A474,CSV!$A:$A,CSV!B:B,""),
_xlpm.MacVal,_xlfn.XLOOKUP($A474,Output_Mac!$A:$A,Output_Mac!B:B,""),
_xlpm.MyAuditVal,_xlfn.XLOOKUP($A474,My_Audit!$A:$A,My_Audit!B:B,""),
_xlfn.IFS(_xlpm.MyAuditVal&lt;&gt;"",UPPER(_xlpm.MyAuditVal),_xlpm.MacVal&lt;&gt;"",_xlpm.MacVal,_xlpm.CSVVal&lt;&gt;"",_xlpm.CSVVal
)),"")</f>
        <v/>
      </c>
      <c r="D474" s="55" t="str">
        <f>_xlfn.XLOOKUP(A474,My_Audit!A:A,My_Audit!D:D,"")&amp;""</f>
        <v/>
      </c>
      <c r="E474" s="55" t="str" cm="1">
        <f t="array" ref="E474">IFERROR(_xlfn.LET(
_xlpm.CSVVal,_xlfn.XLOOKUP($A474,CSV!$A:$A,CSV!D:D,""),
_xlpm.MacVal,_xlfn.XLOOKUP($A474,Output_Mac!$A:$A,Output_Mac!C:C,""),
_xlpm.MyAuditVal,_xlfn.XLOOKUP($A474,My_Audit!$A:$A,My_Audit!D:D,""),
_xlfn.IFS(_xlpm.MyAuditVal&lt;&gt;"",_xlpm.MyAuditVal,_xlpm.MacVal&lt;&gt;"",_xlpm.MacVal,_xlpm.CSVVal&lt;&gt;"",_xlpm.CSVVal
)),"")</f>
        <v/>
      </c>
      <c r="F474" s="54" t="str" cm="1">
        <f t="array" ref="F474">IFERROR(_xlfn.LET(
_xlpm.CSVVal,_xlfn.XLOOKUP($A474,CSV!$A:$A,CSV!E:E,""),
_xlpm.MacVal,_xlfn.XLOOKUP($A474,Output_Mac!$A:$A,Output_Mac!F:F,""),
_xlpm.MyAuditVal,_xlfn.XLOOKUP($A474,My_Audit!$A:$A,My_Audit!E:E,""),
_xlfn.IFS(_xlpm.MyAuditVal&lt;&gt;"",_xlpm.MyAuditVal,_xlpm.MacVal&lt;&gt;"",_xlpm.MacVal,_xlpm.CSVVal&lt;&gt;"",PROPER(_xlpm.CSVVal)
)),"")</f>
        <v/>
      </c>
      <c r="G474" s="54" t="str" cm="1">
        <f t="array" ref="G474">IFERROR(_xlfn.LET(
_xlpm.CSVVal,_xlfn.XLOOKUP($A474,CSV!$A:$A,CSV!F:F,""),
_xlpm.MacVal,_xlfn.XLOOKUP($A474,Output_Mac!$A:$A,Output_Mac!H:H,""),
_xlpm.MyAuditVal,_xlfn.XLOOKUP($A474,My_Audit!$A:$A,My_Audit!F:F,""),
_xlfn.IFS(_xlpm.MyAuditVal&lt;&gt;"",_xlpm.MyAuditVal,_xlpm.MacVal&lt;&gt;"",_xlpm.MacVal,_xlpm.CSVVal&lt;&gt;"",_xlpm.CSVVal
)),"")</f>
        <v/>
      </c>
      <c r="H474" s="54" t="str">
        <f>_xlfn.XLOOKUP(A474,Output_Mac!A:A,Output_Mac!I:I,"")</f>
        <v/>
      </c>
      <c r="I474" s="54" t="str" cm="1">
        <f t="array" ref="I474">IFERROR(_xlfn.LET(
_xlpm.CSVVal,_xlfn.XLOOKUP($A474,CSV!$A:$A,CSV!G:G,""),
_xlpm.MacVal,_xlfn.XLOOKUP($A474,Output_Mac!$A:$A,Output_Mac!J:J,""),
_xlpm.MyAuditVal,_xlfn.XLOOKUP($A474,My_Audit!$A:$A,My_Audit!H:H,""),
_xlfn.IFS(_xlpm.MyAuditVal&lt;&gt;"",UPPER(_xlpm.MyAuditVal),_xlpm.MacVal&lt;&gt;"",_xlpm.MacVal,_xlpm.CSVVal&lt;&gt;"",_xlpm.CSVVal
)),"")</f>
        <v/>
      </c>
      <c r="J474" s="54" t="str" cm="1">
        <f t="array" ref="J474">IFERROR(_xlfn.LET(
_xlpm.CSVVal,_xlfn.XLOOKUP($A474,CSV!$A:$A,CSV!I:I,""),
_xlpm.MacVal,_xlfn.XLOOKUP($A474,Output_Mac!$A:$A,Output_Mac!K:K,""),
_xlpm.MyAuditVal,_xlfn.XLOOKUP($A474,My_Audit!$A:$A,My_Audit!I:I,""),
_xlfn.IFS(_xlpm.MyAuditVal&lt;&gt;"",UPPER(_xlpm.MyAuditVal),_xlpm.MacVal&lt;&gt;"",_xlpm.MacVal,_xlpm.CSVVal&lt;&gt;"",_xlpm.CSVVal
)),"")</f>
        <v/>
      </c>
      <c r="K474" s="54" t="str" cm="1">
        <f t="array" ref="K474">IFERROR(_xlfn.LET(
_xlpm.CSVVal,_xlfn.XLOOKUP($A474,CSV!$A:$A,CSV!M:M,""),
_xlpm.MacVal,_xlfn.XLOOKUP($A474,Output_Mac!$A:$A,Output_Mac!L:L,""),
_xlpm.MyAuditVal,_xlfn.XLOOKUP($A474,My_Audit!$A:$A,My_Audit!J:J,""),
_xlfn.IFS(_xlpm.MyAuditVal&lt;&gt;"",UPPER(_xlpm.MyAuditVal),_xlpm.MacVal&lt;&gt;"",_xlpm.MacVal,_xlpm.CSVVal&lt;&gt;"",_xlpm.CSVVal
)),"")</f>
        <v/>
      </c>
      <c r="L474" s="54" t="str" cm="1">
        <f t="array" ref="L474">IFERROR(_xlfn.LET(
_xlpm.CSVVal,_xlfn.XLOOKUP($A474,CSV!$A:$A,CSV!O:O,""),
_xlpm.MacVal,_xlfn.XLOOKUP($A474,Output_Mac!$A:$A,Output_Mac!M:M,""),
_xlpm.MyAuditVal,_xlfn.XLOOKUP($A474,My_Audit!$A:$A,My_Audit!K:K,""),
_xlfn.IFS(_xlpm.MyAuditVal&lt;&gt;"",UPPER(_xlpm.MyAuditVal),_xlpm.MacVal&lt;&gt;"",_xlpm.MacVal,_xlpm.CSVVal&lt;&gt;"",_xlpm.CSVVal
)),"")</f>
        <v/>
      </c>
      <c r="M474" s="54" t="str">
        <f>_xlfn.LET(
    _xlpm.CSVVal, _xlfn.XLOOKUP($A474, CSV!$A:$A, CSV!AD:AD, ""),
    _xlpm.MacVal, _xlfn.XLOOKUP($A474, Output_Mac!$A:$A, Output_Mac!S:S, ""),
    _xlpm.MyAuditVal, _xlfn.XLOOKUP($A474, My_Audit!$A:$A, My_Audit!N:N, ""),
    _xlfn.TEXTJOIN(", ", TRUE, _xlpm.MyAuditVal, _xlpm.MacVal, _xlpm.CSVVal)
)</f>
        <v/>
      </c>
      <c r="N474" s="54" t="str" cm="1">
        <f t="array" ref="N474">IFERROR(_xlfn.LET(
_xlpm.CSVVal,_xlfn.XLOOKUP($A474,CSV!$A:$A,CSV!AF:AF,""),
_xlpm.MacVal,_xlfn.XLOOKUP($A474,Output_Mac!$A:$A,Output_Mac!U:U,""),
_xlpm.MyAuditVal,_xlfn.XLOOKUP($A474,My_Audit!$A:$A,My_Audit!O:O,""),
_xlfn.IFS(_xlpm.MyAuditVal&lt;&gt;"",UPPER(_xlpm.MyAuditVal),_xlpm.MacVal&lt;&gt;"",_xlpm.MacVal,_xlpm.CSVVal&lt;&gt;"",_xlpm.CSVVal
)),"")</f>
        <v/>
      </c>
      <c r="O474" s="54"/>
      <c r="P474" s="54"/>
      <c r="Q474" s="54"/>
      <c r="R474" s="54"/>
      <c r="S474" s="54"/>
      <c r="T474" s="54"/>
      <c r="U474" s="39"/>
    </row>
    <row r="475" spans="1:21">
      <c r="A475" s="54" t="str">
        <f>_xlfn.TEXTJOIN("",TRUE,Input!$B$2,ROW(My_Audit!A474))</f>
        <v>XX474</v>
      </c>
      <c r="B475" s="54" t="str">
        <f>_xlfn.TEXTJOIN("-",TRUE,"ITD",Input!$A$2,A475)</f>
        <v>ITD-SHRXXX-XX474</v>
      </c>
      <c r="C475" s="54" t="str" cm="1">
        <f t="array" ref="C475">IFERROR(_xlfn.LET(
_xlpm.CSVVal,_xlfn.XLOOKUP($A475,CSV!$A:$A,CSV!B:B,""),
_xlpm.MacVal,_xlfn.XLOOKUP($A475,Output_Mac!$A:$A,Output_Mac!B:B,""),
_xlpm.MyAuditVal,_xlfn.XLOOKUP($A475,My_Audit!$A:$A,My_Audit!B:B,""),
_xlfn.IFS(_xlpm.MyAuditVal&lt;&gt;"",UPPER(_xlpm.MyAuditVal),_xlpm.MacVal&lt;&gt;"",_xlpm.MacVal,_xlpm.CSVVal&lt;&gt;"",_xlpm.CSVVal
)),"")</f>
        <v/>
      </c>
      <c r="D475" s="55" t="str">
        <f>_xlfn.XLOOKUP(A475,My_Audit!A:A,My_Audit!D:D,"")&amp;""</f>
        <v/>
      </c>
      <c r="E475" s="55" t="str" cm="1">
        <f t="array" ref="E475">IFERROR(_xlfn.LET(
_xlpm.CSVVal,_xlfn.XLOOKUP($A475,CSV!$A:$A,CSV!D:D,""),
_xlpm.MacVal,_xlfn.XLOOKUP($A475,Output_Mac!$A:$A,Output_Mac!C:C,""),
_xlpm.MyAuditVal,_xlfn.XLOOKUP($A475,My_Audit!$A:$A,My_Audit!D:D,""),
_xlfn.IFS(_xlpm.MyAuditVal&lt;&gt;"",_xlpm.MyAuditVal,_xlpm.MacVal&lt;&gt;"",_xlpm.MacVal,_xlpm.CSVVal&lt;&gt;"",_xlpm.CSVVal
)),"")</f>
        <v/>
      </c>
      <c r="F475" s="54" t="str" cm="1">
        <f t="array" ref="F475">IFERROR(_xlfn.LET(
_xlpm.CSVVal,_xlfn.XLOOKUP($A475,CSV!$A:$A,CSV!E:E,""),
_xlpm.MacVal,_xlfn.XLOOKUP($A475,Output_Mac!$A:$A,Output_Mac!F:F,""),
_xlpm.MyAuditVal,_xlfn.XLOOKUP($A475,My_Audit!$A:$A,My_Audit!E:E,""),
_xlfn.IFS(_xlpm.MyAuditVal&lt;&gt;"",_xlpm.MyAuditVal,_xlpm.MacVal&lt;&gt;"",_xlpm.MacVal,_xlpm.CSVVal&lt;&gt;"",PROPER(_xlpm.CSVVal)
)),"")</f>
        <v/>
      </c>
      <c r="G475" s="54" t="str" cm="1">
        <f t="array" ref="G475">IFERROR(_xlfn.LET(
_xlpm.CSVVal,_xlfn.XLOOKUP($A475,CSV!$A:$A,CSV!F:F,""),
_xlpm.MacVal,_xlfn.XLOOKUP($A475,Output_Mac!$A:$A,Output_Mac!H:H,""),
_xlpm.MyAuditVal,_xlfn.XLOOKUP($A475,My_Audit!$A:$A,My_Audit!F:F,""),
_xlfn.IFS(_xlpm.MyAuditVal&lt;&gt;"",_xlpm.MyAuditVal,_xlpm.MacVal&lt;&gt;"",_xlpm.MacVal,_xlpm.CSVVal&lt;&gt;"",_xlpm.CSVVal
)),"")</f>
        <v/>
      </c>
      <c r="H475" s="54" t="str">
        <f>_xlfn.XLOOKUP(A475,Output_Mac!A:A,Output_Mac!I:I,"")</f>
        <v/>
      </c>
      <c r="I475" s="54" t="str" cm="1">
        <f t="array" ref="I475">IFERROR(_xlfn.LET(
_xlpm.CSVVal,_xlfn.XLOOKUP($A475,CSV!$A:$A,CSV!G:G,""),
_xlpm.MacVal,_xlfn.XLOOKUP($A475,Output_Mac!$A:$A,Output_Mac!J:J,""),
_xlpm.MyAuditVal,_xlfn.XLOOKUP($A475,My_Audit!$A:$A,My_Audit!H:H,""),
_xlfn.IFS(_xlpm.MyAuditVal&lt;&gt;"",UPPER(_xlpm.MyAuditVal),_xlpm.MacVal&lt;&gt;"",_xlpm.MacVal,_xlpm.CSVVal&lt;&gt;"",_xlpm.CSVVal
)),"")</f>
        <v/>
      </c>
      <c r="J475" s="54" t="str" cm="1">
        <f t="array" ref="J475">IFERROR(_xlfn.LET(
_xlpm.CSVVal,_xlfn.XLOOKUP($A475,CSV!$A:$A,CSV!I:I,""),
_xlpm.MacVal,_xlfn.XLOOKUP($A475,Output_Mac!$A:$A,Output_Mac!K:K,""),
_xlpm.MyAuditVal,_xlfn.XLOOKUP($A475,My_Audit!$A:$A,My_Audit!I:I,""),
_xlfn.IFS(_xlpm.MyAuditVal&lt;&gt;"",UPPER(_xlpm.MyAuditVal),_xlpm.MacVal&lt;&gt;"",_xlpm.MacVal,_xlpm.CSVVal&lt;&gt;"",_xlpm.CSVVal
)),"")</f>
        <v/>
      </c>
      <c r="K475" s="54" t="str" cm="1">
        <f t="array" ref="K475">IFERROR(_xlfn.LET(
_xlpm.CSVVal,_xlfn.XLOOKUP($A475,CSV!$A:$A,CSV!M:M,""),
_xlpm.MacVal,_xlfn.XLOOKUP($A475,Output_Mac!$A:$A,Output_Mac!L:L,""),
_xlpm.MyAuditVal,_xlfn.XLOOKUP($A475,My_Audit!$A:$A,My_Audit!J:J,""),
_xlfn.IFS(_xlpm.MyAuditVal&lt;&gt;"",UPPER(_xlpm.MyAuditVal),_xlpm.MacVal&lt;&gt;"",_xlpm.MacVal,_xlpm.CSVVal&lt;&gt;"",_xlpm.CSVVal
)),"")</f>
        <v/>
      </c>
      <c r="L475" s="54" t="str" cm="1">
        <f t="array" ref="L475">IFERROR(_xlfn.LET(
_xlpm.CSVVal,_xlfn.XLOOKUP($A475,CSV!$A:$A,CSV!O:O,""),
_xlpm.MacVal,_xlfn.XLOOKUP($A475,Output_Mac!$A:$A,Output_Mac!M:M,""),
_xlpm.MyAuditVal,_xlfn.XLOOKUP($A475,My_Audit!$A:$A,My_Audit!K:K,""),
_xlfn.IFS(_xlpm.MyAuditVal&lt;&gt;"",UPPER(_xlpm.MyAuditVal),_xlpm.MacVal&lt;&gt;"",_xlpm.MacVal,_xlpm.CSVVal&lt;&gt;"",_xlpm.CSVVal
)),"")</f>
        <v/>
      </c>
      <c r="M475" s="54" t="str">
        <f>_xlfn.LET(
    _xlpm.CSVVal, _xlfn.XLOOKUP($A475, CSV!$A:$A, CSV!AD:AD, ""),
    _xlpm.MacVal, _xlfn.XLOOKUP($A475, Output_Mac!$A:$A, Output_Mac!S:S, ""),
    _xlpm.MyAuditVal, _xlfn.XLOOKUP($A475, My_Audit!$A:$A, My_Audit!N:N, ""),
    _xlfn.TEXTJOIN(", ", TRUE, _xlpm.MyAuditVal, _xlpm.MacVal, _xlpm.CSVVal)
)</f>
        <v/>
      </c>
      <c r="N475" s="54" t="str" cm="1">
        <f t="array" ref="N475">IFERROR(_xlfn.LET(
_xlpm.CSVVal,_xlfn.XLOOKUP($A475,CSV!$A:$A,CSV!AF:AF,""),
_xlpm.MacVal,_xlfn.XLOOKUP($A475,Output_Mac!$A:$A,Output_Mac!U:U,""),
_xlpm.MyAuditVal,_xlfn.XLOOKUP($A475,My_Audit!$A:$A,My_Audit!O:O,""),
_xlfn.IFS(_xlpm.MyAuditVal&lt;&gt;"",UPPER(_xlpm.MyAuditVal),_xlpm.MacVal&lt;&gt;"",_xlpm.MacVal,_xlpm.CSVVal&lt;&gt;"",_xlpm.CSVVal
)),"")</f>
        <v/>
      </c>
      <c r="O475" s="54"/>
      <c r="P475" s="54"/>
      <c r="Q475" s="54"/>
      <c r="R475" s="54"/>
      <c r="S475" s="54"/>
      <c r="T475" s="54"/>
      <c r="U475" s="39"/>
    </row>
    <row r="476" spans="1:21">
      <c r="A476" s="54" t="str">
        <f>_xlfn.TEXTJOIN("",TRUE,Input!$B$2,ROW(My_Audit!A475))</f>
        <v>XX475</v>
      </c>
      <c r="B476" s="54" t="str">
        <f>_xlfn.TEXTJOIN("-",TRUE,"ITD",Input!$A$2,A476)</f>
        <v>ITD-SHRXXX-XX475</v>
      </c>
      <c r="C476" s="54" t="str" cm="1">
        <f t="array" ref="C476">IFERROR(_xlfn.LET(
_xlpm.CSVVal,_xlfn.XLOOKUP($A476,CSV!$A:$A,CSV!B:B,""),
_xlpm.MacVal,_xlfn.XLOOKUP($A476,Output_Mac!$A:$A,Output_Mac!B:B,""),
_xlpm.MyAuditVal,_xlfn.XLOOKUP($A476,My_Audit!$A:$A,My_Audit!B:B,""),
_xlfn.IFS(_xlpm.MyAuditVal&lt;&gt;"",UPPER(_xlpm.MyAuditVal),_xlpm.MacVal&lt;&gt;"",_xlpm.MacVal,_xlpm.CSVVal&lt;&gt;"",_xlpm.CSVVal
)),"")</f>
        <v/>
      </c>
      <c r="D476" s="55" t="str">
        <f>_xlfn.XLOOKUP(A476,My_Audit!A:A,My_Audit!D:D,"")&amp;""</f>
        <v/>
      </c>
      <c r="E476" s="55" t="str" cm="1">
        <f t="array" ref="E476">IFERROR(_xlfn.LET(
_xlpm.CSVVal,_xlfn.XLOOKUP($A476,CSV!$A:$A,CSV!D:D,""),
_xlpm.MacVal,_xlfn.XLOOKUP($A476,Output_Mac!$A:$A,Output_Mac!C:C,""),
_xlpm.MyAuditVal,_xlfn.XLOOKUP($A476,My_Audit!$A:$A,My_Audit!D:D,""),
_xlfn.IFS(_xlpm.MyAuditVal&lt;&gt;"",_xlpm.MyAuditVal,_xlpm.MacVal&lt;&gt;"",_xlpm.MacVal,_xlpm.CSVVal&lt;&gt;"",_xlpm.CSVVal
)),"")</f>
        <v/>
      </c>
      <c r="F476" s="54" t="str" cm="1">
        <f t="array" ref="F476">IFERROR(_xlfn.LET(
_xlpm.CSVVal,_xlfn.XLOOKUP($A476,CSV!$A:$A,CSV!E:E,""),
_xlpm.MacVal,_xlfn.XLOOKUP($A476,Output_Mac!$A:$A,Output_Mac!F:F,""),
_xlpm.MyAuditVal,_xlfn.XLOOKUP($A476,My_Audit!$A:$A,My_Audit!E:E,""),
_xlfn.IFS(_xlpm.MyAuditVal&lt;&gt;"",_xlpm.MyAuditVal,_xlpm.MacVal&lt;&gt;"",_xlpm.MacVal,_xlpm.CSVVal&lt;&gt;"",PROPER(_xlpm.CSVVal)
)),"")</f>
        <v/>
      </c>
      <c r="G476" s="54" t="str" cm="1">
        <f t="array" ref="G476">IFERROR(_xlfn.LET(
_xlpm.CSVVal,_xlfn.XLOOKUP($A476,CSV!$A:$A,CSV!F:F,""),
_xlpm.MacVal,_xlfn.XLOOKUP($A476,Output_Mac!$A:$A,Output_Mac!H:H,""),
_xlpm.MyAuditVal,_xlfn.XLOOKUP($A476,My_Audit!$A:$A,My_Audit!F:F,""),
_xlfn.IFS(_xlpm.MyAuditVal&lt;&gt;"",_xlpm.MyAuditVal,_xlpm.MacVal&lt;&gt;"",_xlpm.MacVal,_xlpm.CSVVal&lt;&gt;"",_xlpm.CSVVal
)),"")</f>
        <v/>
      </c>
      <c r="H476" s="54" t="str">
        <f>_xlfn.XLOOKUP(A476,Output_Mac!A:A,Output_Mac!I:I,"")</f>
        <v/>
      </c>
      <c r="I476" s="54" t="str" cm="1">
        <f t="array" ref="I476">IFERROR(_xlfn.LET(
_xlpm.CSVVal,_xlfn.XLOOKUP($A476,CSV!$A:$A,CSV!G:G,""),
_xlpm.MacVal,_xlfn.XLOOKUP($A476,Output_Mac!$A:$A,Output_Mac!J:J,""),
_xlpm.MyAuditVal,_xlfn.XLOOKUP($A476,My_Audit!$A:$A,My_Audit!H:H,""),
_xlfn.IFS(_xlpm.MyAuditVal&lt;&gt;"",UPPER(_xlpm.MyAuditVal),_xlpm.MacVal&lt;&gt;"",_xlpm.MacVal,_xlpm.CSVVal&lt;&gt;"",_xlpm.CSVVal
)),"")</f>
        <v/>
      </c>
      <c r="J476" s="54" t="str" cm="1">
        <f t="array" ref="J476">IFERROR(_xlfn.LET(
_xlpm.CSVVal,_xlfn.XLOOKUP($A476,CSV!$A:$A,CSV!I:I,""),
_xlpm.MacVal,_xlfn.XLOOKUP($A476,Output_Mac!$A:$A,Output_Mac!K:K,""),
_xlpm.MyAuditVal,_xlfn.XLOOKUP($A476,My_Audit!$A:$A,My_Audit!I:I,""),
_xlfn.IFS(_xlpm.MyAuditVal&lt;&gt;"",UPPER(_xlpm.MyAuditVal),_xlpm.MacVal&lt;&gt;"",_xlpm.MacVal,_xlpm.CSVVal&lt;&gt;"",_xlpm.CSVVal
)),"")</f>
        <v/>
      </c>
      <c r="K476" s="54" t="str" cm="1">
        <f t="array" ref="K476">IFERROR(_xlfn.LET(
_xlpm.CSVVal,_xlfn.XLOOKUP($A476,CSV!$A:$A,CSV!M:M,""),
_xlpm.MacVal,_xlfn.XLOOKUP($A476,Output_Mac!$A:$A,Output_Mac!L:L,""),
_xlpm.MyAuditVal,_xlfn.XLOOKUP($A476,My_Audit!$A:$A,My_Audit!J:J,""),
_xlfn.IFS(_xlpm.MyAuditVal&lt;&gt;"",UPPER(_xlpm.MyAuditVal),_xlpm.MacVal&lt;&gt;"",_xlpm.MacVal,_xlpm.CSVVal&lt;&gt;"",_xlpm.CSVVal
)),"")</f>
        <v/>
      </c>
      <c r="L476" s="54" t="str" cm="1">
        <f t="array" ref="L476">IFERROR(_xlfn.LET(
_xlpm.CSVVal,_xlfn.XLOOKUP($A476,CSV!$A:$A,CSV!O:O,""),
_xlpm.MacVal,_xlfn.XLOOKUP($A476,Output_Mac!$A:$A,Output_Mac!M:M,""),
_xlpm.MyAuditVal,_xlfn.XLOOKUP($A476,My_Audit!$A:$A,My_Audit!K:K,""),
_xlfn.IFS(_xlpm.MyAuditVal&lt;&gt;"",UPPER(_xlpm.MyAuditVal),_xlpm.MacVal&lt;&gt;"",_xlpm.MacVal,_xlpm.CSVVal&lt;&gt;"",_xlpm.CSVVal
)),"")</f>
        <v/>
      </c>
      <c r="M476" s="54" t="str">
        <f>_xlfn.LET(
    _xlpm.CSVVal, _xlfn.XLOOKUP($A476, CSV!$A:$A, CSV!AD:AD, ""),
    _xlpm.MacVal, _xlfn.XLOOKUP($A476, Output_Mac!$A:$A, Output_Mac!S:S, ""),
    _xlpm.MyAuditVal, _xlfn.XLOOKUP($A476, My_Audit!$A:$A, My_Audit!N:N, ""),
    _xlfn.TEXTJOIN(", ", TRUE, _xlpm.MyAuditVal, _xlpm.MacVal, _xlpm.CSVVal)
)</f>
        <v/>
      </c>
      <c r="N476" s="54" t="str" cm="1">
        <f t="array" ref="N476">IFERROR(_xlfn.LET(
_xlpm.CSVVal,_xlfn.XLOOKUP($A476,CSV!$A:$A,CSV!AF:AF,""),
_xlpm.MacVal,_xlfn.XLOOKUP($A476,Output_Mac!$A:$A,Output_Mac!U:U,""),
_xlpm.MyAuditVal,_xlfn.XLOOKUP($A476,My_Audit!$A:$A,My_Audit!O:O,""),
_xlfn.IFS(_xlpm.MyAuditVal&lt;&gt;"",UPPER(_xlpm.MyAuditVal),_xlpm.MacVal&lt;&gt;"",_xlpm.MacVal,_xlpm.CSVVal&lt;&gt;"",_xlpm.CSVVal
)),"")</f>
        <v/>
      </c>
      <c r="O476" s="54"/>
      <c r="P476" s="54"/>
      <c r="Q476" s="54"/>
      <c r="R476" s="54"/>
      <c r="S476" s="54"/>
      <c r="T476" s="54"/>
      <c r="U476" s="39"/>
    </row>
    <row r="477" spans="1:21">
      <c r="A477" s="54" t="str">
        <f>_xlfn.TEXTJOIN("",TRUE,Input!$B$2,ROW(My_Audit!A476))</f>
        <v>XX476</v>
      </c>
      <c r="B477" s="54" t="str">
        <f>_xlfn.TEXTJOIN("-",TRUE,"ITD",Input!$A$2,A477)</f>
        <v>ITD-SHRXXX-XX476</v>
      </c>
      <c r="C477" s="54" t="str" cm="1">
        <f t="array" ref="C477">IFERROR(_xlfn.LET(
_xlpm.CSVVal,_xlfn.XLOOKUP($A477,CSV!$A:$A,CSV!B:B,""),
_xlpm.MacVal,_xlfn.XLOOKUP($A477,Output_Mac!$A:$A,Output_Mac!B:B,""),
_xlpm.MyAuditVal,_xlfn.XLOOKUP($A477,My_Audit!$A:$A,My_Audit!B:B,""),
_xlfn.IFS(_xlpm.MyAuditVal&lt;&gt;"",UPPER(_xlpm.MyAuditVal),_xlpm.MacVal&lt;&gt;"",_xlpm.MacVal,_xlpm.CSVVal&lt;&gt;"",_xlpm.CSVVal
)),"")</f>
        <v/>
      </c>
      <c r="D477" s="55" t="str">
        <f>_xlfn.XLOOKUP(A477,My_Audit!A:A,My_Audit!D:D,"")&amp;""</f>
        <v/>
      </c>
      <c r="E477" s="55" t="str" cm="1">
        <f t="array" ref="E477">IFERROR(_xlfn.LET(
_xlpm.CSVVal,_xlfn.XLOOKUP($A477,CSV!$A:$A,CSV!D:D,""),
_xlpm.MacVal,_xlfn.XLOOKUP($A477,Output_Mac!$A:$A,Output_Mac!C:C,""),
_xlpm.MyAuditVal,_xlfn.XLOOKUP($A477,My_Audit!$A:$A,My_Audit!D:D,""),
_xlfn.IFS(_xlpm.MyAuditVal&lt;&gt;"",_xlpm.MyAuditVal,_xlpm.MacVal&lt;&gt;"",_xlpm.MacVal,_xlpm.CSVVal&lt;&gt;"",_xlpm.CSVVal
)),"")</f>
        <v/>
      </c>
      <c r="F477" s="54" t="str" cm="1">
        <f t="array" ref="F477">IFERROR(_xlfn.LET(
_xlpm.CSVVal,_xlfn.XLOOKUP($A477,CSV!$A:$A,CSV!E:E,""),
_xlpm.MacVal,_xlfn.XLOOKUP($A477,Output_Mac!$A:$A,Output_Mac!F:F,""),
_xlpm.MyAuditVal,_xlfn.XLOOKUP($A477,My_Audit!$A:$A,My_Audit!E:E,""),
_xlfn.IFS(_xlpm.MyAuditVal&lt;&gt;"",_xlpm.MyAuditVal,_xlpm.MacVal&lt;&gt;"",_xlpm.MacVal,_xlpm.CSVVal&lt;&gt;"",PROPER(_xlpm.CSVVal)
)),"")</f>
        <v/>
      </c>
      <c r="G477" s="54" t="str" cm="1">
        <f t="array" ref="G477">IFERROR(_xlfn.LET(
_xlpm.CSVVal,_xlfn.XLOOKUP($A477,CSV!$A:$A,CSV!F:F,""),
_xlpm.MacVal,_xlfn.XLOOKUP($A477,Output_Mac!$A:$A,Output_Mac!H:H,""),
_xlpm.MyAuditVal,_xlfn.XLOOKUP($A477,My_Audit!$A:$A,My_Audit!F:F,""),
_xlfn.IFS(_xlpm.MyAuditVal&lt;&gt;"",_xlpm.MyAuditVal,_xlpm.MacVal&lt;&gt;"",_xlpm.MacVal,_xlpm.CSVVal&lt;&gt;"",_xlpm.CSVVal
)),"")</f>
        <v/>
      </c>
      <c r="H477" s="54" t="str">
        <f>_xlfn.XLOOKUP(A477,Output_Mac!A:A,Output_Mac!I:I,"")</f>
        <v/>
      </c>
      <c r="I477" s="54" t="str" cm="1">
        <f t="array" ref="I477">IFERROR(_xlfn.LET(
_xlpm.CSVVal,_xlfn.XLOOKUP($A477,CSV!$A:$A,CSV!G:G,""),
_xlpm.MacVal,_xlfn.XLOOKUP($A477,Output_Mac!$A:$A,Output_Mac!J:J,""),
_xlpm.MyAuditVal,_xlfn.XLOOKUP($A477,My_Audit!$A:$A,My_Audit!H:H,""),
_xlfn.IFS(_xlpm.MyAuditVal&lt;&gt;"",UPPER(_xlpm.MyAuditVal),_xlpm.MacVal&lt;&gt;"",_xlpm.MacVal,_xlpm.CSVVal&lt;&gt;"",_xlpm.CSVVal
)),"")</f>
        <v/>
      </c>
      <c r="J477" s="54" t="str" cm="1">
        <f t="array" ref="J477">IFERROR(_xlfn.LET(
_xlpm.CSVVal,_xlfn.XLOOKUP($A477,CSV!$A:$A,CSV!I:I,""),
_xlpm.MacVal,_xlfn.XLOOKUP($A477,Output_Mac!$A:$A,Output_Mac!K:K,""),
_xlpm.MyAuditVal,_xlfn.XLOOKUP($A477,My_Audit!$A:$A,My_Audit!I:I,""),
_xlfn.IFS(_xlpm.MyAuditVal&lt;&gt;"",UPPER(_xlpm.MyAuditVal),_xlpm.MacVal&lt;&gt;"",_xlpm.MacVal,_xlpm.CSVVal&lt;&gt;"",_xlpm.CSVVal
)),"")</f>
        <v/>
      </c>
      <c r="K477" s="54" t="str" cm="1">
        <f t="array" ref="K477">IFERROR(_xlfn.LET(
_xlpm.CSVVal,_xlfn.XLOOKUP($A477,CSV!$A:$A,CSV!M:M,""),
_xlpm.MacVal,_xlfn.XLOOKUP($A477,Output_Mac!$A:$A,Output_Mac!L:L,""),
_xlpm.MyAuditVal,_xlfn.XLOOKUP($A477,My_Audit!$A:$A,My_Audit!J:J,""),
_xlfn.IFS(_xlpm.MyAuditVal&lt;&gt;"",UPPER(_xlpm.MyAuditVal),_xlpm.MacVal&lt;&gt;"",_xlpm.MacVal,_xlpm.CSVVal&lt;&gt;"",_xlpm.CSVVal
)),"")</f>
        <v/>
      </c>
      <c r="L477" s="54" t="str" cm="1">
        <f t="array" ref="L477">IFERROR(_xlfn.LET(
_xlpm.CSVVal,_xlfn.XLOOKUP($A477,CSV!$A:$A,CSV!O:O,""),
_xlpm.MacVal,_xlfn.XLOOKUP($A477,Output_Mac!$A:$A,Output_Mac!M:M,""),
_xlpm.MyAuditVal,_xlfn.XLOOKUP($A477,My_Audit!$A:$A,My_Audit!K:K,""),
_xlfn.IFS(_xlpm.MyAuditVal&lt;&gt;"",UPPER(_xlpm.MyAuditVal),_xlpm.MacVal&lt;&gt;"",_xlpm.MacVal,_xlpm.CSVVal&lt;&gt;"",_xlpm.CSVVal
)),"")</f>
        <v/>
      </c>
      <c r="M477" s="54" t="str">
        <f>_xlfn.LET(
    _xlpm.CSVVal, _xlfn.XLOOKUP($A477, CSV!$A:$A, CSV!AD:AD, ""),
    _xlpm.MacVal, _xlfn.XLOOKUP($A477, Output_Mac!$A:$A, Output_Mac!S:S, ""),
    _xlpm.MyAuditVal, _xlfn.XLOOKUP($A477, My_Audit!$A:$A, My_Audit!N:N, ""),
    _xlfn.TEXTJOIN(", ", TRUE, _xlpm.MyAuditVal, _xlpm.MacVal, _xlpm.CSVVal)
)</f>
        <v/>
      </c>
      <c r="N477" s="54" t="str" cm="1">
        <f t="array" ref="N477">IFERROR(_xlfn.LET(
_xlpm.CSVVal,_xlfn.XLOOKUP($A477,CSV!$A:$A,CSV!AF:AF,""),
_xlpm.MacVal,_xlfn.XLOOKUP($A477,Output_Mac!$A:$A,Output_Mac!U:U,""),
_xlpm.MyAuditVal,_xlfn.XLOOKUP($A477,My_Audit!$A:$A,My_Audit!O:O,""),
_xlfn.IFS(_xlpm.MyAuditVal&lt;&gt;"",UPPER(_xlpm.MyAuditVal),_xlpm.MacVal&lt;&gt;"",_xlpm.MacVal,_xlpm.CSVVal&lt;&gt;"",_xlpm.CSVVal
)),"")</f>
        <v/>
      </c>
      <c r="O477" s="54"/>
      <c r="P477" s="54"/>
      <c r="Q477" s="54"/>
      <c r="R477" s="54"/>
      <c r="S477" s="54"/>
      <c r="T477" s="54"/>
      <c r="U477" s="39"/>
    </row>
    <row r="478" spans="1:21">
      <c r="A478" s="54" t="str">
        <f>_xlfn.TEXTJOIN("",TRUE,Input!$B$2,ROW(My_Audit!A477))</f>
        <v>XX477</v>
      </c>
      <c r="B478" s="54" t="str">
        <f>_xlfn.TEXTJOIN("-",TRUE,"ITD",Input!$A$2,A478)</f>
        <v>ITD-SHRXXX-XX477</v>
      </c>
      <c r="C478" s="54" t="str" cm="1">
        <f t="array" ref="C478">IFERROR(_xlfn.LET(
_xlpm.CSVVal,_xlfn.XLOOKUP($A478,CSV!$A:$A,CSV!B:B,""),
_xlpm.MacVal,_xlfn.XLOOKUP($A478,Output_Mac!$A:$A,Output_Mac!B:B,""),
_xlpm.MyAuditVal,_xlfn.XLOOKUP($A478,My_Audit!$A:$A,My_Audit!B:B,""),
_xlfn.IFS(_xlpm.MyAuditVal&lt;&gt;"",UPPER(_xlpm.MyAuditVal),_xlpm.MacVal&lt;&gt;"",_xlpm.MacVal,_xlpm.CSVVal&lt;&gt;"",_xlpm.CSVVal
)),"")</f>
        <v/>
      </c>
      <c r="D478" s="55" t="str">
        <f>_xlfn.XLOOKUP(A478,My_Audit!A:A,My_Audit!D:D,"")&amp;""</f>
        <v/>
      </c>
      <c r="E478" s="55" t="str" cm="1">
        <f t="array" ref="E478">IFERROR(_xlfn.LET(
_xlpm.CSVVal,_xlfn.XLOOKUP($A478,CSV!$A:$A,CSV!D:D,""),
_xlpm.MacVal,_xlfn.XLOOKUP($A478,Output_Mac!$A:$A,Output_Mac!C:C,""),
_xlpm.MyAuditVal,_xlfn.XLOOKUP($A478,My_Audit!$A:$A,My_Audit!D:D,""),
_xlfn.IFS(_xlpm.MyAuditVal&lt;&gt;"",_xlpm.MyAuditVal,_xlpm.MacVal&lt;&gt;"",_xlpm.MacVal,_xlpm.CSVVal&lt;&gt;"",_xlpm.CSVVal
)),"")</f>
        <v/>
      </c>
      <c r="F478" s="54" t="str" cm="1">
        <f t="array" ref="F478">IFERROR(_xlfn.LET(
_xlpm.CSVVal,_xlfn.XLOOKUP($A478,CSV!$A:$A,CSV!E:E,""),
_xlpm.MacVal,_xlfn.XLOOKUP($A478,Output_Mac!$A:$A,Output_Mac!F:F,""),
_xlpm.MyAuditVal,_xlfn.XLOOKUP($A478,My_Audit!$A:$A,My_Audit!E:E,""),
_xlfn.IFS(_xlpm.MyAuditVal&lt;&gt;"",_xlpm.MyAuditVal,_xlpm.MacVal&lt;&gt;"",_xlpm.MacVal,_xlpm.CSVVal&lt;&gt;"",PROPER(_xlpm.CSVVal)
)),"")</f>
        <v/>
      </c>
      <c r="G478" s="54" t="str" cm="1">
        <f t="array" ref="G478">IFERROR(_xlfn.LET(
_xlpm.CSVVal,_xlfn.XLOOKUP($A478,CSV!$A:$A,CSV!F:F,""),
_xlpm.MacVal,_xlfn.XLOOKUP($A478,Output_Mac!$A:$A,Output_Mac!H:H,""),
_xlpm.MyAuditVal,_xlfn.XLOOKUP($A478,My_Audit!$A:$A,My_Audit!F:F,""),
_xlfn.IFS(_xlpm.MyAuditVal&lt;&gt;"",_xlpm.MyAuditVal,_xlpm.MacVal&lt;&gt;"",_xlpm.MacVal,_xlpm.CSVVal&lt;&gt;"",_xlpm.CSVVal
)),"")</f>
        <v/>
      </c>
      <c r="H478" s="54" t="str">
        <f>_xlfn.XLOOKUP(A478,Output_Mac!A:A,Output_Mac!I:I,"")</f>
        <v/>
      </c>
      <c r="I478" s="54" t="str" cm="1">
        <f t="array" ref="I478">IFERROR(_xlfn.LET(
_xlpm.CSVVal,_xlfn.XLOOKUP($A478,CSV!$A:$A,CSV!G:G,""),
_xlpm.MacVal,_xlfn.XLOOKUP($A478,Output_Mac!$A:$A,Output_Mac!J:J,""),
_xlpm.MyAuditVal,_xlfn.XLOOKUP($A478,My_Audit!$A:$A,My_Audit!H:H,""),
_xlfn.IFS(_xlpm.MyAuditVal&lt;&gt;"",UPPER(_xlpm.MyAuditVal),_xlpm.MacVal&lt;&gt;"",_xlpm.MacVal,_xlpm.CSVVal&lt;&gt;"",_xlpm.CSVVal
)),"")</f>
        <v/>
      </c>
      <c r="J478" s="54" t="str" cm="1">
        <f t="array" ref="J478">IFERROR(_xlfn.LET(
_xlpm.CSVVal,_xlfn.XLOOKUP($A478,CSV!$A:$A,CSV!I:I,""),
_xlpm.MacVal,_xlfn.XLOOKUP($A478,Output_Mac!$A:$A,Output_Mac!K:K,""),
_xlpm.MyAuditVal,_xlfn.XLOOKUP($A478,My_Audit!$A:$A,My_Audit!I:I,""),
_xlfn.IFS(_xlpm.MyAuditVal&lt;&gt;"",UPPER(_xlpm.MyAuditVal),_xlpm.MacVal&lt;&gt;"",_xlpm.MacVal,_xlpm.CSVVal&lt;&gt;"",_xlpm.CSVVal
)),"")</f>
        <v/>
      </c>
      <c r="K478" s="54" t="str" cm="1">
        <f t="array" ref="K478">IFERROR(_xlfn.LET(
_xlpm.CSVVal,_xlfn.XLOOKUP($A478,CSV!$A:$A,CSV!M:M,""),
_xlpm.MacVal,_xlfn.XLOOKUP($A478,Output_Mac!$A:$A,Output_Mac!L:L,""),
_xlpm.MyAuditVal,_xlfn.XLOOKUP($A478,My_Audit!$A:$A,My_Audit!J:J,""),
_xlfn.IFS(_xlpm.MyAuditVal&lt;&gt;"",UPPER(_xlpm.MyAuditVal),_xlpm.MacVal&lt;&gt;"",_xlpm.MacVal,_xlpm.CSVVal&lt;&gt;"",_xlpm.CSVVal
)),"")</f>
        <v/>
      </c>
      <c r="L478" s="54" t="str" cm="1">
        <f t="array" ref="L478">IFERROR(_xlfn.LET(
_xlpm.CSVVal,_xlfn.XLOOKUP($A478,CSV!$A:$A,CSV!O:O,""),
_xlpm.MacVal,_xlfn.XLOOKUP($A478,Output_Mac!$A:$A,Output_Mac!M:M,""),
_xlpm.MyAuditVal,_xlfn.XLOOKUP($A478,My_Audit!$A:$A,My_Audit!K:K,""),
_xlfn.IFS(_xlpm.MyAuditVal&lt;&gt;"",UPPER(_xlpm.MyAuditVal),_xlpm.MacVal&lt;&gt;"",_xlpm.MacVal,_xlpm.CSVVal&lt;&gt;"",_xlpm.CSVVal
)),"")</f>
        <v/>
      </c>
      <c r="M478" s="54" t="str">
        <f>_xlfn.LET(
    _xlpm.CSVVal, _xlfn.XLOOKUP($A478, CSV!$A:$A, CSV!AD:AD, ""),
    _xlpm.MacVal, _xlfn.XLOOKUP($A478, Output_Mac!$A:$A, Output_Mac!S:S, ""),
    _xlpm.MyAuditVal, _xlfn.XLOOKUP($A478, My_Audit!$A:$A, My_Audit!N:N, ""),
    _xlfn.TEXTJOIN(", ", TRUE, _xlpm.MyAuditVal, _xlpm.MacVal, _xlpm.CSVVal)
)</f>
        <v/>
      </c>
      <c r="N478" s="54" t="str" cm="1">
        <f t="array" ref="N478">IFERROR(_xlfn.LET(
_xlpm.CSVVal,_xlfn.XLOOKUP($A478,CSV!$A:$A,CSV!AF:AF,""),
_xlpm.MacVal,_xlfn.XLOOKUP($A478,Output_Mac!$A:$A,Output_Mac!U:U,""),
_xlpm.MyAuditVal,_xlfn.XLOOKUP($A478,My_Audit!$A:$A,My_Audit!O:O,""),
_xlfn.IFS(_xlpm.MyAuditVal&lt;&gt;"",UPPER(_xlpm.MyAuditVal),_xlpm.MacVal&lt;&gt;"",_xlpm.MacVal,_xlpm.CSVVal&lt;&gt;"",_xlpm.CSVVal
)),"")</f>
        <v/>
      </c>
      <c r="O478" s="54"/>
      <c r="P478" s="54"/>
      <c r="Q478" s="54"/>
      <c r="R478" s="54"/>
      <c r="S478" s="54"/>
      <c r="T478" s="54"/>
      <c r="U478" s="39"/>
    </row>
    <row r="479" spans="1:21">
      <c r="A479" s="54" t="str">
        <f>_xlfn.TEXTJOIN("",TRUE,Input!$B$2,ROW(My_Audit!A478))</f>
        <v>XX478</v>
      </c>
      <c r="B479" s="54" t="str">
        <f>_xlfn.TEXTJOIN("-",TRUE,"ITD",Input!$A$2,A479)</f>
        <v>ITD-SHRXXX-XX478</v>
      </c>
      <c r="C479" s="54" t="str" cm="1">
        <f t="array" ref="C479">IFERROR(_xlfn.LET(
_xlpm.CSVVal,_xlfn.XLOOKUP($A479,CSV!$A:$A,CSV!B:B,""),
_xlpm.MacVal,_xlfn.XLOOKUP($A479,Output_Mac!$A:$A,Output_Mac!B:B,""),
_xlpm.MyAuditVal,_xlfn.XLOOKUP($A479,My_Audit!$A:$A,My_Audit!B:B,""),
_xlfn.IFS(_xlpm.MyAuditVal&lt;&gt;"",UPPER(_xlpm.MyAuditVal),_xlpm.MacVal&lt;&gt;"",_xlpm.MacVal,_xlpm.CSVVal&lt;&gt;"",_xlpm.CSVVal
)),"")</f>
        <v/>
      </c>
      <c r="D479" s="55" t="str">
        <f>_xlfn.XLOOKUP(A479,My_Audit!A:A,My_Audit!D:D,"")&amp;""</f>
        <v/>
      </c>
      <c r="E479" s="55" t="str" cm="1">
        <f t="array" ref="E479">IFERROR(_xlfn.LET(
_xlpm.CSVVal,_xlfn.XLOOKUP($A479,CSV!$A:$A,CSV!D:D,""),
_xlpm.MacVal,_xlfn.XLOOKUP($A479,Output_Mac!$A:$A,Output_Mac!C:C,""),
_xlpm.MyAuditVal,_xlfn.XLOOKUP($A479,My_Audit!$A:$A,My_Audit!D:D,""),
_xlfn.IFS(_xlpm.MyAuditVal&lt;&gt;"",_xlpm.MyAuditVal,_xlpm.MacVal&lt;&gt;"",_xlpm.MacVal,_xlpm.CSVVal&lt;&gt;"",_xlpm.CSVVal
)),"")</f>
        <v/>
      </c>
      <c r="F479" s="54" t="str" cm="1">
        <f t="array" ref="F479">IFERROR(_xlfn.LET(
_xlpm.CSVVal,_xlfn.XLOOKUP($A479,CSV!$A:$A,CSV!E:E,""),
_xlpm.MacVal,_xlfn.XLOOKUP($A479,Output_Mac!$A:$A,Output_Mac!F:F,""),
_xlpm.MyAuditVal,_xlfn.XLOOKUP($A479,My_Audit!$A:$A,My_Audit!E:E,""),
_xlfn.IFS(_xlpm.MyAuditVal&lt;&gt;"",_xlpm.MyAuditVal,_xlpm.MacVal&lt;&gt;"",_xlpm.MacVal,_xlpm.CSVVal&lt;&gt;"",PROPER(_xlpm.CSVVal)
)),"")</f>
        <v/>
      </c>
      <c r="G479" s="54" t="str" cm="1">
        <f t="array" ref="G479">IFERROR(_xlfn.LET(
_xlpm.CSVVal,_xlfn.XLOOKUP($A479,CSV!$A:$A,CSV!F:F,""),
_xlpm.MacVal,_xlfn.XLOOKUP($A479,Output_Mac!$A:$A,Output_Mac!H:H,""),
_xlpm.MyAuditVal,_xlfn.XLOOKUP($A479,My_Audit!$A:$A,My_Audit!F:F,""),
_xlfn.IFS(_xlpm.MyAuditVal&lt;&gt;"",_xlpm.MyAuditVal,_xlpm.MacVal&lt;&gt;"",_xlpm.MacVal,_xlpm.CSVVal&lt;&gt;"",_xlpm.CSVVal
)),"")</f>
        <v/>
      </c>
      <c r="H479" s="54" t="str">
        <f>_xlfn.XLOOKUP(A479,Output_Mac!A:A,Output_Mac!I:I,"")</f>
        <v/>
      </c>
      <c r="I479" s="54" t="str" cm="1">
        <f t="array" ref="I479">IFERROR(_xlfn.LET(
_xlpm.CSVVal,_xlfn.XLOOKUP($A479,CSV!$A:$A,CSV!G:G,""),
_xlpm.MacVal,_xlfn.XLOOKUP($A479,Output_Mac!$A:$A,Output_Mac!J:J,""),
_xlpm.MyAuditVal,_xlfn.XLOOKUP($A479,My_Audit!$A:$A,My_Audit!H:H,""),
_xlfn.IFS(_xlpm.MyAuditVal&lt;&gt;"",UPPER(_xlpm.MyAuditVal),_xlpm.MacVal&lt;&gt;"",_xlpm.MacVal,_xlpm.CSVVal&lt;&gt;"",_xlpm.CSVVal
)),"")</f>
        <v/>
      </c>
      <c r="J479" s="54" t="str" cm="1">
        <f t="array" ref="J479">IFERROR(_xlfn.LET(
_xlpm.CSVVal,_xlfn.XLOOKUP($A479,CSV!$A:$A,CSV!I:I,""),
_xlpm.MacVal,_xlfn.XLOOKUP($A479,Output_Mac!$A:$A,Output_Mac!K:K,""),
_xlpm.MyAuditVal,_xlfn.XLOOKUP($A479,My_Audit!$A:$A,My_Audit!I:I,""),
_xlfn.IFS(_xlpm.MyAuditVal&lt;&gt;"",UPPER(_xlpm.MyAuditVal),_xlpm.MacVal&lt;&gt;"",_xlpm.MacVal,_xlpm.CSVVal&lt;&gt;"",_xlpm.CSVVal
)),"")</f>
        <v/>
      </c>
      <c r="K479" s="54" t="str" cm="1">
        <f t="array" ref="K479">IFERROR(_xlfn.LET(
_xlpm.CSVVal,_xlfn.XLOOKUP($A479,CSV!$A:$A,CSV!M:M,""),
_xlpm.MacVal,_xlfn.XLOOKUP($A479,Output_Mac!$A:$A,Output_Mac!L:L,""),
_xlpm.MyAuditVal,_xlfn.XLOOKUP($A479,My_Audit!$A:$A,My_Audit!J:J,""),
_xlfn.IFS(_xlpm.MyAuditVal&lt;&gt;"",UPPER(_xlpm.MyAuditVal),_xlpm.MacVal&lt;&gt;"",_xlpm.MacVal,_xlpm.CSVVal&lt;&gt;"",_xlpm.CSVVal
)),"")</f>
        <v/>
      </c>
      <c r="L479" s="54" t="str" cm="1">
        <f t="array" ref="L479">IFERROR(_xlfn.LET(
_xlpm.CSVVal,_xlfn.XLOOKUP($A479,CSV!$A:$A,CSV!O:O,""),
_xlpm.MacVal,_xlfn.XLOOKUP($A479,Output_Mac!$A:$A,Output_Mac!M:M,""),
_xlpm.MyAuditVal,_xlfn.XLOOKUP($A479,My_Audit!$A:$A,My_Audit!K:K,""),
_xlfn.IFS(_xlpm.MyAuditVal&lt;&gt;"",UPPER(_xlpm.MyAuditVal),_xlpm.MacVal&lt;&gt;"",_xlpm.MacVal,_xlpm.CSVVal&lt;&gt;"",_xlpm.CSVVal
)),"")</f>
        <v/>
      </c>
      <c r="M479" s="54" t="str">
        <f>_xlfn.LET(
    _xlpm.CSVVal, _xlfn.XLOOKUP($A479, CSV!$A:$A, CSV!AD:AD, ""),
    _xlpm.MacVal, _xlfn.XLOOKUP($A479, Output_Mac!$A:$A, Output_Mac!S:S, ""),
    _xlpm.MyAuditVal, _xlfn.XLOOKUP($A479, My_Audit!$A:$A, My_Audit!N:N, ""),
    _xlfn.TEXTJOIN(", ", TRUE, _xlpm.MyAuditVal, _xlpm.MacVal, _xlpm.CSVVal)
)</f>
        <v/>
      </c>
      <c r="N479" s="54" t="str" cm="1">
        <f t="array" ref="N479">IFERROR(_xlfn.LET(
_xlpm.CSVVal,_xlfn.XLOOKUP($A479,CSV!$A:$A,CSV!AF:AF,""),
_xlpm.MacVal,_xlfn.XLOOKUP($A479,Output_Mac!$A:$A,Output_Mac!U:U,""),
_xlpm.MyAuditVal,_xlfn.XLOOKUP($A479,My_Audit!$A:$A,My_Audit!O:O,""),
_xlfn.IFS(_xlpm.MyAuditVal&lt;&gt;"",UPPER(_xlpm.MyAuditVal),_xlpm.MacVal&lt;&gt;"",_xlpm.MacVal,_xlpm.CSVVal&lt;&gt;"",_xlpm.CSVVal
)),"")</f>
        <v/>
      </c>
      <c r="O479" s="54"/>
      <c r="P479" s="54"/>
      <c r="Q479" s="54"/>
      <c r="R479" s="54"/>
      <c r="S479" s="54"/>
      <c r="T479" s="54"/>
      <c r="U479" s="39"/>
    </row>
    <row r="480" spans="1:21">
      <c r="A480" s="54" t="str">
        <f>_xlfn.TEXTJOIN("",TRUE,Input!$B$2,ROW(My_Audit!A479))</f>
        <v>XX479</v>
      </c>
      <c r="B480" s="54" t="str">
        <f>_xlfn.TEXTJOIN("-",TRUE,"ITD",Input!$A$2,A480)</f>
        <v>ITD-SHRXXX-XX479</v>
      </c>
      <c r="C480" s="54" t="str" cm="1">
        <f t="array" ref="C480">IFERROR(_xlfn.LET(
_xlpm.CSVVal,_xlfn.XLOOKUP($A480,CSV!$A:$A,CSV!B:B,""),
_xlpm.MacVal,_xlfn.XLOOKUP($A480,Output_Mac!$A:$A,Output_Mac!B:B,""),
_xlpm.MyAuditVal,_xlfn.XLOOKUP($A480,My_Audit!$A:$A,My_Audit!B:B,""),
_xlfn.IFS(_xlpm.MyAuditVal&lt;&gt;"",UPPER(_xlpm.MyAuditVal),_xlpm.MacVal&lt;&gt;"",_xlpm.MacVal,_xlpm.CSVVal&lt;&gt;"",_xlpm.CSVVal
)),"")</f>
        <v/>
      </c>
      <c r="D480" s="55" t="str">
        <f>_xlfn.XLOOKUP(A480,My_Audit!A:A,My_Audit!D:D,"")&amp;""</f>
        <v/>
      </c>
      <c r="E480" s="55" t="str" cm="1">
        <f t="array" ref="E480">IFERROR(_xlfn.LET(
_xlpm.CSVVal,_xlfn.XLOOKUP($A480,CSV!$A:$A,CSV!D:D,""),
_xlpm.MacVal,_xlfn.XLOOKUP($A480,Output_Mac!$A:$A,Output_Mac!C:C,""),
_xlpm.MyAuditVal,_xlfn.XLOOKUP($A480,My_Audit!$A:$A,My_Audit!D:D,""),
_xlfn.IFS(_xlpm.MyAuditVal&lt;&gt;"",_xlpm.MyAuditVal,_xlpm.MacVal&lt;&gt;"",_xlpm.MacVal,_xlpm.CSVVal&lt;&gt;"",_xlpm.CSVVal
)),"")</f>
        <v/>
      </c>
      <c r="F480" s="54" t="str" cm="1">
        <f t="array" ref="F480">IFERROR(_xlfn.LET(
_xlpm.CSVVal,_xlfn.XLOOKUP($A480,CSV!$A:$A,CSV!E:E,""),
_xlpm.MacVal,_xlfn.XLOOKUP($A480,Output_Mac!$A:$A,Output_Mac!F:F,""),
_xlpm.MyAuditVal,_xlfn.XLOOKUP($A480,My_Audit!$A:$A,My_Audit!E:E,""),
_xlfn.IFS(_xlpm.MyAuditVal&lt;&gt;"",_xlpm.MyAuditVal,_xlpm.MacVal&lt;&gt;"",_xlpm.MacVal,_xlpm.CSVVal&lt;&gt;"",PROPER(_xlpm.CSVVal)
)),"")</f>
        <v/>
      </c>
      <c r="G480" s="54" t="str" cm="1">
        <f t="array" ref="G480">IFERROR(_xlfn.LET(
_xlpm.CSVVal,_xlfn.XLOOKUP($A480,CSV!$A:$A,CSV!F:F,""),
_xlpm.MacVal,_xlfn.XLOOKUP($A480,Output_Mac!$A:$A,Output_Mac!H:H,""),
_xlpm.MyAuditVal,_xlfn.XLOOKUP($A480,My_Audit!$A:$A,My_Audit!F:F,""),
_xlfn.IFS(_xlpm.MyAuditVal&lt;&gt;"",_xlpm.MyAuditVal,_xlpm.MacVal&lt;&gt;"",_xlpm.MacVal,_xlpm.CSVVal&lt;&gt;"",_xlpm.CSVVal
)),"")</f>
        <v/>
      </c>
      <c r="H480" s="54" t="str">
        <f>_xlfn.XLOOKUP(A480,Output_Mac!A:A,Output_Mac!I:I,"")</f>
        <v/>
      </c>
      <c r="I480" s="54" t="str" cm="1">
        <f t="array" ref="I480">IFERROR(_xlfn.LET(
_xlpm.CSVVal,_xlfn.XLOOKUP($A480,CSV!$A:$A,CSV!G:G,""),
_xlpm.MacVal,_xlfn.XLOOKUP($A480,Output_Mac!$A:$A,Output_Mac!J:J,""),
_xlpm.MyAuditVal,_xlfn.XLOOKUP($A480,My_Audit!$A:$A,My_Audit!H:H,""),
_xlfn.IFS(_xlpm.MyAuditVal&lt;&gt;"",UPPER(_xlpm.MyAuditVal),_xlpm.MacVal&lt;&gt;"",_xlpm.MacVal,_xlpm.CSVVal&lt;&gt;"",_xlpm.CSVVal
)),"")</f>
        <v/>
      </c>
      <c r="J480" s="54" t="str" cm="1">
        <f t="array" ref="J480">IFERROR(_xlfn.LET(
_xlpm.CSVVal,_xlfn.XLOOKUP($A480,CSV!$A:$A,CSV!I:I,""),
_xlpm.MacVal,_xlfn.XLOOKUP($A480,Output_Mac!$A:$A,Output_Mac!K:K,""),
_xlpm.MyAuditVal,_xlfn.XLOOKUP($A480,My_Audit!$A:$A,My_Audit!I:I,""),
_xlfn.IFS(_xlpm.MyAuditVal&lt;&gt;"",UPPER(_xlpm.MyAuditVal),_xlpm.MacVal&lt;&gt;"",_xlpm.MacVal,_xlpm.CSVVal&lt;&gt;"",_xlpm.CSVVal
)),"")</f>
        <v/>
      </c>
      <c r="K480" s="54" t="str" cm="1">
        <f t="array" ref="K480">IFERROR(_xlfn.LET(
_xlpm.CSVVal,_xlfn.XLOOKUP($A480,CSV!$A:$A,CSV!M:M,""),
_xlpm.MacVal,_xlfn.XLOOKUP($A480,Output_Mac!$A:$A,Output_Mac!L:L,""),
_xlpm.MyAuditVal,_xlfn.XLOOKUP($A480,My_Audit!$A:$A,My_Audit!J:J,""),
_xlfn.IFS(_xlpm.MyAuditVal&lt;&gt;"",UPPER(_xlpm.MyAuditVal),_xlpm.MacVal&lt;&gt;"",_xlpm.MacVal,_xlpm.CSVVal&lt;&gt;"",_xlpm.CSVVal
)),"")</f>
        <v/>
      </c>
      <c r="L480" s="54" t="str" cm="1">
        <f t="array" ref="L480">IFERROR(_xlfn.LET(
_xlpm.CSVVal,_xlfn.XLOOKUP($A480,CSV!$A:$A,CSV!O:O,""),
_xlpm.MacVal,_xlfn.XLOOKUP($A480,Output_Mac!$A:$A,Output_Mac!M:M,""),
_xlpm.MyAuditVal,_xlfn.XLOOKUP($A480,My_Audit!$A:$A,My_Audit!K:K,""),
_xlfn.IFS(_xlpm.MyAuditVal&lt;&gt;"",UPPER(_xlpm.MyAuditVal),_xlpm.MacVal&lt;&gt;"",_xlpm.MacVal,_xlpm.CSVVal&lt;&gt;"",_xlpm.CSVVal
)),"")</f>
        <v/>
      </c>
      <c r="M480" s="54" t="str">
        <f>_xlfn.LET(
    _xlpm.CSVVal, _xlfn.XLOOKUP($A480, CSV!$A:$A, CSV!AD:AD, ""),
    _xlpm.MacVal, _xlfn.XLOOKUP($A480, Output_Mac!$A:$A, Output_Mac!S:S, ""),
    _xlpm.MyAuditVal, _xlfn.XLOOKUP($A480, My_Audit!$A:$A, My_Audit!N:N, ""),
    _xlfn.TEXTJOIN(", ", TRUE, _xlpm.MyAuditVal, _xlpm.MacVal, _xlpm.CSVVal)
)</f>
        <v/>
      </c>
      <c r="N480" s="54" t="str" cm="1">
        <f t="array" ref="N480">IFERROR(_xlfn.LET(
_xlpm.CSVVal,_xlfn.XLOOKUP($A480,CSV!$A:$A,CSV!AF:AF,""),
_xlpm.MacVal,_xlfn.XLOOKUP($A480,Output_Mac!$A:$A,Output_Mac!U:U,""),
_xlpm.MyAuditVal,_xlfn.XLOOKUP($A480,My_Audit!$A:$A,My_Audit!O:O,""),
_xlfn.IFS(_xlpm.MyAuditVal&lt;&gt;"",UPPER(_xlpm.MyAuditVal),_xlpm.MacVal&lt;&gt;"",_xlpm.MacVal,_xlpm.CSVVal&lt;&gt;"",_xlpm.CSVVal
)),"")</f>
        <v/>
      </c>
      <c r="O480" s="54"/>
      <c r="P480" s="54"/>
      <c r="Q480" s="54"/>
      <c r="R480" s="54"/>
      <c r="S480" s="54"/>
      <c r="T480" s="54"/>
      <c r="U480" s="39"/>
    </row>
    <row r="481" spans="1:21">
      <c r="A481" s="54" t="str">
        <f>_xlfn.TEXTJOIN("",TRUE,Input!$B$2,ROW(My_Audit!A480))</f>
        <v>XX480</v>
      </c>
      <c r="B481" s="54" t="str">
        <f>_xlfn.TEXTJOIN("-",TRUE,"ITD",Input!$A$2,A481)</f>
        <v>ITD-SHRXXX-XX480</v>
      </c>
      <c r="C481" s="54" t="str" cm="1">
        <f t="array" ref="C481">IFERROR(_xlfn.LET(
_xlpm.CSVVal,_xlfn.XLOOKUP($A481,CSV!$A:$A,CSV!B:B,""),
_xlpm.MacVal,_xlfn.XLOOKUP($A481,Output_Mac!$A:$A,Output_Mac!B:B,""),
_xlpm.MyAuditVal,_xlfn.XLOOKUP($A481,My_Audit!$A:$A,My_Audit!B:B,""),
_xlfn.IFS(_xlpm.MyAuditVal&lt;&gt;"",UPPER(_xlpm.MyAuditVal),_xlpm.MacVal&lt;&gt;"",_xlpm.MacVal,_xlpm.CSVVal&lt;&gt;"",_xlpm.CSVVal
)),"")</f>
        <v/>
      </c>
      <c r="D481" s="55" t="str">
        <f>_xlfn.XLOOKUP(A481,My_Audit!A:A,My_Audit!D:D,"")&amp;""</f>
        <v/>
      </c>
      <c r="E481" s="55" t="str" cm="1">
        <f t="array" ref="E481">IFERROR(_xlfn.LET(
_xlpm.CSVVal,_xlfn.XLOOKUP($A481,CSV!$A:$A,CSV!D:D,""),
_xlpm.MacVal,_xlfn.XLOOKUP($A481,Output_Mac!$A:$A,Output_Mac!C:C,""),
_xlpm.MyAuditVal,_xlfn.XLOOKUP($A481,My_Audit!$A:$A,My_Audit!D:D,""),
_xlfn.IFS(_xlpm.MyAuditVal&lt;&gt;"",_xlpm.MyAuditVal,_xlpm.MacVal&lt;&gt;"",_xlpm.MacVal,_xlpm.CSVVal&lt;&gt;"",_xlpm.CSVVal
)),"")</f>
        <v/>
      </c>
      <c r="F481" s="54" t="str" cm="1">
        <f t="array" ref="F481">IFERROR(_xlfn.LET(
_xlpm.CSVVal,_xlfn.XLOOKUP($A481,CSV!$A:$A,CSV!E:E,""),
_xlpm.MacVal,_xlfn.XLOOKUP($A481,Output_Mac!$A:$A,Output_Mac!F:F,""),
_xlpm.MyAuditVal,_xlfn.XLOOKUP($A481,My_Audit!$A:$A,My_Audit!E:E,""),
_xlfn.IFS(_xlpm.MyAuditVal&lt;&gt;"",_xlpm.MyAuditVal,_xlpm.MacVal&lt;&gt;"",_xlpm.MacVal,_xlpm.CSVVal&lt;&gt;"",PROPER(_xlpm.CSVVal)
)),"")</f>
        <v/>
      </c>
      <c r="G481" s="54" t="str" cm="1">
        <f t="array" ref="G481">IFERROR(_xlfn.LET(
_xlpm.CSVVal,_xlfn.XLOOKUP($A481,CSV!$A:$A,CSV!F:F,""),
_xlpm.MacVal,_xlfn.XLOOKUP($A481,Output_Mac!$A:$A,Output_Mac!H:H,""),
_xlpm.MyAuditVal,_xlfn.XLOOKUP($A481,My_Audit!$A:$A,My_Audit!F:F,""),
_xlfn.IFS(_xlpm.MyAuditVal&lt;&gt;"",_xlpm.MyAuditVal,_xlpm.MacVal&lt;&gt;"",_xlpm.MacVal,_xlpm.CSVVal&lt;&gt;"",_xlpm.CSVVal
)),"")</f>
        <v/>
      </c>
      <c r="H481" s="54" t="str">
        <f>_xlfn.XLOOKUP(A481,Output_Mac!A:A,Output_Mac!I:I,"")</f>
        <v/>
      </c>
      <c r="I481" s="54" t="str" cm="1">
        <f t="array" ref="I481">IFERROR(_xlfn.LET(
_xlpm.CSVVal,_xlfn.XLOOKUP($A481,CSV!$A:$A,CSV!G:G,""),
_xlpm.MacVal,_xlfn.XLOOKUP($A481,Output_Mac!$A:$A,Output_Mac!J:J,""),
_xlpm.MyAuditVal,_xlfn.XLOOKUP($A481,My_Audit!$A:$A,My_Audit!H:H,""),
_xlfn.IFS(_xlpm.MyAuditVal&lt;&gt;"",UPPER(_xlpm.MyAuditVal),_xlpm.MacVal&lt;&gt;"",_xlpm.MacVal,_xlpm.CSVVal&lt;&gt;"",_xlpm.CSVVal
)),"")</f>
        <v/>
      </c>
      <c r="J481" s="54" t="str" cm="1">
        <f t="array" ref="J481">IFERROR(_xlfn.LET(
_xlpm.CSVVal,_xlfn.XLOOKUP($A481,CSV!$A:$A,CSV!I:I,""),
_xlpm.MacVal,_xlfn.XLOOKUP($A481,Output_Mac!$A:$A,Output_Mac!K:K,""),
_xlpm.MyAuditVal,_xlfn.XLOOKUP($A481,My_Audit!$A:$A,My_Audit!I:I,""),
_xlfn.IFS(_xlpm.MyAuditVal&lt;&gt;"",UPPER(_xlpm.MyAuditVal),_xlpm.MacVal&lt;&gt;"",_xlpm.MacVal,_xlpm.CSVVal&lt;&gt;"",_xlpm.CSVVal
)),"")</f>
        <v/>
      </c>
      <c r="K481" s="54" t="str" cm="1">
        <f t="array" ref="K481">IFERROR(_xlfn.LET(
_xlpm.CSVVal,_xlfn.XLOOKUP($A481,CSV!$A:$A,CSV!M:M,""),
_xlpm.MacVal,_xlfn.XLOOKUP($A481,Output_Mac!$A:$A,Output_Mac!L:L,""),
_xlpm.MyAuditVal,_xlfn.XLOOKUP($A481,My_Audit!$A:$A,My_Audit!J:J,""),
_xlfn.IFS(_xlpm.MyAuditVal&lt;&gt;"",UPPER(_xlpm.MyAuditVal),_xlpm.MacVal&lt;&gt;"",_xlpm.MacVal,_xlpm.CSVVal&lt;&gt;"",_xlpm.CSVVal
)),"")</f>
        <v/>
      </c>
      <c r="L481" s="54" t="str" cm="1">
        <f t="array" ref="L481">IFERROR(_xlfn.LET(
_xlpm.CSVVal,_xlfn.XLOOKUP($A481,CSV!$A:$A,CSV!O:O,""),
_xlpm.MacVal,_xlfn.XLOOKUP($A481,Output_Mac!$A:$A,Output_Mac!M:M,""),
_xlpm.MyAuditVal,_xlfn.XLOOKUP($A481,My_Audit!$A:$A,My_Audit!K:K,""),
_xlfn.IFS(_xlpm.MyAuditVal&lt;&gt;"",UPPER(_xlpm.MyAuditVal),_xlpm.MacVal&lt;&gt;"",_xlpm.MacVal,_xlpm.CSVVal&lt;&gt;"",_xlpm.CSVVal
)),"")</f>
        <v/>
      </c>
      <c r="M481" s="54" t="str">
        <f>_xlfn.LET(
    _xlpm.CSVVal, _xlfn.XLOOKUP($A481, CSV!$A:$A, CSV!AD:AD, ""),
    _xlpm.MacVal, _xlfn.XLOOKUP($A481, Output_Mac!$A:$A, Output_Mac!S:S, ""),
    _xlpm.MyAuditVal, _xlfn.XLOOKUP($A481, My_Audit!$A:$A, My_Audit!N:N, ""),
    _xlfn.TEXTJOIN(", ", TRUE, _xlpm.MyAuditVal, _xlpm.MacVal, _xlpm.CSVVal)
)</f>
        <v/>
      </c>
      <c r="N481" s="54" t="str" cm="1">
        <f t="array" ref="N481">IFERROR(_xlfn.LET(
_xlpm.CSVVal,_xlfn.XLOOKUP($A481,CSV!$A:$A,CSV!AF:AF,""),
_xlpm.MacVal,_xlfn.XLOOKUP($A481,Output_Mac!$A:$A,Output_Mac!U:U,""),
_xlpm.MyAuditVal,_xlfn.XLOOKUP($A481,My_Audit!$A:$A,My_Audit!O:O,""),
_xlfn.IFS(_xlpm.MyAuditVal&lt;&gt;"",UPPER(_xlpm.MyAuditVal),_xlpm.MacVal&lt;&gt;"",_xlpm.MacVal,_xlpm.CSVVal&lt;&gt;"",_xlpm.CSVVal
)),"")</f>
        <v/>
      </c>
      <c r="O481" s="54"/>
      <c r="P481" s="54"/>
      <c r="Q481" s="54"/>
      <c r="R481" s="54"/>
      <c r="S481" s="54"/>
      <c r="T481" s="54"/>
      <c r="U481" s="39"/>
    </row>
    <row r="482" spans="1:21">
      <c r="A482" s="54" t="str">
        <f>_xlfn.TEXTJOIN("",TRUE,Input!$B$2,ROW(My_Audit!A481))</f>
        <v>XX481</v>
      </c>
      <c r="B482" s="54" t="str">
        <f>_xlfn.TEXTJOIN("-",TRUE,"ITD",Input!$A$2,A482)</f>
        <v>ITD-SHRXXX-XX481</v>
      </c>
      <c r="C482" s="54" t="str" cm="1">
        <f t="array" ref="C482">IFERROR(_xlfn.LET(
_xlpm.CSVVal,_xlfn.XLOOKUP($A482,CSV!$A:$A,CSV!B:B,""),
_xlpm.MacVal,_xlfn.XLOOKUP($A482,Output_Mac!$A:$A,Output_Mac!B:B,""),
_xlpm.MyAuditVal,_xlfn.XLOOKUP($A482,My_Audit!$A:$A,My_Audit!B:B,""),
_xlfn.IFS(_xlpm.MyAuditVal&lt;&gt;"",UPPER(_xlpm.MyAuditVal),_xlpm.MacVal&lt;&gt;"",_xlpm.MacVal,_xlpm.CSVVal&lt;&gt;"",_xlpm.CSVVal
)),"")</f>
        <v/>
      </c>
      <c r="D482" s="55" t="str">
        <f>_xlfn.XLOOKUP(A482,My_Audit!A:A,My_Audit!D:D,"")&amp;""</f>
        <v/>
      </c>
      <c r="E482" s="55" t="str" cm="1">
        <f t="array" ref="E482">IFERROR(_xlfn.LET(
_xlpm.CSVVal,_xlfn.XLOOKUP($A482,CSV!$A:$A,CSV!D:D,""),
_xlpm.MacVal,_xlfn.XLOOKUP($A482,Output_Mac!$A:$A,Output_Mac!C:C,""),
_xlpm.MyAuditVal,_xlfn.XLOOKUP($A482,My_Audit!$A:$A,My_Audit!D:D,""),
_xlfn.IFS(_xlpm.MyAuditVal&lt;&gt;"",_xlpm.MyAuditVal,_xlpm.MacVal&lt;&gt;"",_xlpm.MacVal,_xlpm.CSVVal&lt;&gt;"",_xlpm.CSVVal
)),"")</f>
        <v/>
      </c>
      <c r="F482" s="54" t="str" cm="1">
        <f t="array" ref="F482">IFERROR(_xlfn.LET(
_xlpm.CSVVal,_xlfn.XLOOKUP($A482,CSV!$A:$A,CSV!E:E,""),
_xlpm.MacVal,_xlfn.XLOOKUP($A482,Output_Mac!$A:$A,Output_Mac!F:F,""),
_xlpm.MyAuditVal,_xlfn.XLOOKUP($A482,My_Audit!$A:$A,My_Audit!E:E,""),
_xlfn.IFS(_xlpm.MyAuditVal&lt;&gt;"",_xlpm.MyAuditVal,_xlpm.MacVal&lt;&gt;"",_xlpm.MacVal,_xlpm.CSVVal&lt;&gt;"",PROPER(_xlpm.CSVVal)
)),"")</f>
        <v/>
      </c>
      <c r="G482" s="54" t="str" cm="1">
        <f t="array" ref="G482">IFERROR(_xlfn.LET(
_xlpm.CSVVal,_xlfn.XLOOKUP($A482,CSV!$A:$A,CSV!F:F,""),
_xlpm.MacVal,_xlfn.XLOOKUP($A482,Output_Mac!$A:$A,Output_Mac!H:H,""),
_xlpm.MyAuditVal,_xlfn.XLOOKUP($A482,My_Audit!$A:$A,My_Audit!F:F,""),
_xlfn.IFS(_xlpm.MyAuditVal&lt;&gt;"",_xlpm.MyAuditVal,_xlpm.MacVal&lt;&gt;"",_xlpm.MacVal,_xlpm.CSVVal&lt;&gt;"",_xlpm.CSVVal
)),"")</f>
        <v/>
      </c>
      <c r="H482" s="54" t="str">
        <f>_xlfn.XLOOKUP(A482,Output_Mac!A:A,Output_Mac!I:I,"")</f>
        <v/>
      </c>
      <c r="I482" s="54" t="str" cm="1">
        <f t="array" ref="I482">IFERROR(_xlfn.LET(
_xlpm.CSVVal,_xlfn.XLOOKUP($A482,CSV!$A:$A,CSV!G:G,""),
_xlpm.MacVal,_xlfn.XLOOKUP($A482,Output_Mac!$A:$A,Output_Mac!J:J,""),
_xlpm.MyAuditVal,_xlfn.XLOOKUP($A482,My_Audit!$A:$A,My_Audit!H:H,""),
_xlfn.IFS(_xlpm.MyAuditVal&lt;&gt;"",UPPER(_xlpm.MyAuditVal),_xlpm.MacVal&lt;&gt;"",_xlpm.MacVal,_xlpm.CSVVal&lt;&gt;"",_xlpm.CSVVal
)),"")</f>
        <v/>
      </c>
      <c r="J482" s="54" t="str" cm="1">
        <f t="array" ref="J482">IFERROR(_xlfn.LET(
_xlpm.CSVVal,_xlfn.XLOOKUP($A482,CSV!$A:$A,CSV!I:I,""),
_xlpm.MacVal,_xlfn.XLOOKUP($A482,Output_Mac!$A:$A,Output_Mac!K:K,""),
_xlpm.MyAuditVal,_xlfn.XLOOKUP($A482,My_Audit!$A:$A,My_Audit!I:I,""),
_xlfn.IFS(_xlpm.MyAuditVal&lt;&gt;"",UPPER(_xlpm.MyAuditVal),_xlpm.MacVal&lt;&gt;"",_xlpm.MacVal,_xlpm.CSVVal&lt;&gt;"",_xlpm.CSVVal
)),"")</f>
        <v/>
      </c>
      <c r="K482" s="54" t="str" cm="1">
        <f t="array" ref="K482">IFERROR(_xlfn.LET(
_xlpm.CSVVal,_xlfn.XLOOKUP($A482,CSV!$A:$A,CSV!M:M,""),
_xlpm.MacVal,_xlfn.XLOOKUP($A482,Output_Mac!$A:$A,Output_Mac!L:L,""),
_xlpm.MyAuditVal,_xlfn.XLOOKUP($A482,My_Audit!$A:$A,My_Audit!J:J,""),
_xlfn.IFS(_xlpm.MyAuditVal&lt;&gt;"",UPPER(_xlpm.MyAuditVal),_xlpm.MacVal&lt;&gt;"",_xlpm.MacVal,_xlpm.CSVVal&lt;&gt;"",_xlpm.CSVVal
)),"")</f>
        <v/>
      </c>
      <c r="L482" s="54" t="str" cm="1">
        <f t="array" ref="L482">IFERROR(_xlfn.LET(
_xlpm.CSVVal,_xlfn.XLOOKUP($A482,CSV!$A:$A,CSV!O:O,""),
_xlpm.MacVal,_xlfn.XLOOKUP($A482,Output_Mac!$A:$A,Output_Mac!M:M,""),
_xlpm.MyAuditVal,_xlfn.XLOOKUP($A482,My_Audit!$A:$A,My_Audit!K:K,""),
_xlfn.IFS(_xlpm.MyAuditVal&lt;&gt;"",UPPER(_xlpm.MyAuditVal),_xlpm.MacVal&lt;&gt;"",_xlpm.MacVal,_xlpm.CSVVal&lt;&gt;"",_xlpm.CSVVal
)),"")</f>
        <v/>
      </c>
      <c r="M482" s="54" t="str">
        <f>_xlfn.LET(
    _xlpm.CSVVal, _xlfn.XLOOKUP($A482, CSV!$A:$A, CSV!AD:AD, ""),
    _xlpm.MacVal, _xlfn.XLOOKUP($A482, Output_Mac!$A:$A, Output_Mac!S:S, ""),
    _xlpm.MyAuditVal, _xlfn.XLOOKUP($A482, My_Audit!$A:$A, My_Audit!N:N, ""),
    _xlfn.TEXTJOIN(", ", TRUE, _xlpm.MyAuditVal, _xlpm.MacVal, _xlpm.CSVVal)
)</f>
        <v/>
      </c>
      <c r="N482" s="54" t="str" cm="1">
        <f t="array" ref="N482">IFERROR(_xlfn.LET(
_xlpm.CSVVal,_xlfn.XLOOKUP($A482,CSV!$A:$A,CSV!AF:AF,""),
_xlpm.MacVal,_xlfn.XLOOKUP($A482,Output_Mac!$A:$A,Output_Mac!U:U,""),
_xlpm.MyAuditVal,_xlfn.XLOOKUP($A482,My_Audit!$A:$A,My_Audit!O:O,""),
_xlfn.IFS(_xlpm.MyAuditVal&lt;&gt;"",UPPER(_xlpm.MyAuditVal),_xlpm.MacVal&lt;&gt;"",_xlpm.MacVal,_xlpm.CSVVal&lt;&gt;"",_xlpm.CSVVal
)),"")</f>
        <v/>
      </c>
      <c r="O482" s="54"/>
      <c r="P482" s="54"/>
      <c r="Q482" s="54"/>
      <c r="R482" s="54"/>
      <c r="S482" s="54"/>
      <c r="T482" s="54"/>
      <c r="U482" s="39"/>
    </row>
    <row r="483" spans="1:21">
      <c r="A483" s="54" t="str">
        <f>_xlfn.TEXTJOIN("",TRUE,Input!$B$2,ROW(My_Audit!A482))</f>
        <v>XX482</v>
      </c>
      <c r="B483" s="54" t="str">
        <f>_xlfn.TEXTJOIN("-",TRUE,"ITD",Input!$A$2,A483)</f>
        <v>ITD-SHRXXX-XX482</v>
      </c>
      <c r="C483" s="54" t="str" cm="1">
        <f t="array" ref="C483">IFERROR(_xlfn.LET(
_xlpm.CSVVal,_xlfn.XLOOKUP($A483,CSV!$A:$A,CSV!B:B,""),
_xlpm.MacVal,_xlfn.XLOOKUP($A483,Output_Mac!$A:$A,Output_Mac!B:B,""),
_xlpm.MyAuditVal,_xlfn.XLOOKUP($A483,My_Audit!$A:$A,My_Audit!B:B,""),
_xlfn.IFS(_xlpm.MyAuditVal&lt;&gt;"",UPPER(_xlpm.MyAuditVal),_xlpm.MacVal&lt;&gt;"",_xlpm.MacVal,_xlpm.CSVVal&lt;&gt;"",_xlpm.CSVVal
)),"")</f>
        <v/>
      </c>
      <c r="D483" s="55" t="str">
        <f>_xlfn.XLOOKUP(A483,My_Audit!A:A,My_Audit!D:D,"")&amp;""</f>
        <v/>
      </c>
      <c r="E483" s="55" t="str" cm="1">
        <f t="array" ref="E483">IFERROR(_xlfn.LET(
_xlpm.CSVVal,_xlfn.XLOOKUP($A483,CSV!$A:$A,CSV!D:D,""),
_xlpm.MacVal,_xlfn.XLOOKUP($A483,Output_Mac!$A:$A,Output_Mac!C:C,""),
_xlpm.MyAuditVal,_xlfn.XLOOKUP($A483,My_Audit!$A:$A,My_Audit!D:D,""),
_xlfn.IFS(_xlpm.MyAuditVal&lt;&gt;"",_xlpm.MyAuditVal,_xlpm.MacVal&lt;&gt;"",_xlpm.MacVal,_xlpm.CSVVal&lt;&gt;"",_xlpm.CSVVal
)),"")</f>
        <v/>
      </c>
      <c r="F483" s="54" t="str" cm="1">
        <f t="array" ref="F483">IFERROR(_xlfn.LET(
_xlpm.CSVVal,_xlfn.XLOOKUP($A483,CSV!$A:$A,CSV!E:E,""),
_xlpm.MacVal,_xlfn.XLOOKUP($A483,Output_Mac!$A:$A,Output_Mac!F:F,""),
_xlpm.MyAuditVal,_xlfn.XLOOKUP($A483,My_Audit!$A:$A,My_Audit!E:E,""),
_xlfn.IFS(_xlpm.MyAuditVal&lt;&gt;"",_xlpm.MyAuditVal,_xlpm.MacVal&lt;&gt;"",_xlpm.MacVal,_xlpm.CSVVal&lt;&gt;"",PROPER(_xlpm.CSVVal)
)),"")</f>
        <v/>
      </c>
      <c r="G483" s="54" t="str" cm="1">
        <f t="array" ref="G483">IFERROR(_xlfn.LET(
_xlpm.CSVVal,_xlfn.XLOOKUP($A483,CSV!$A:$A,CSV!F:F,""),
_xlpm.MacVal,_xlfn.XLOOKUP($A483,Output_Mac!$A:$A,Output_Mac!H:H,""),
_xlpm.MyAuditVal,_xlfn.XLOOKUP($A483,My_Audit!$A:$A,My_Audit!F:F,""),
_xlfn.IFS(_xlpm.MyAuditVal&lt;&gt;"",_xlpm.MyAuditVal,_xlpm.MacVal&lt;&gt;"",_xlpm.MacVal,_xlpm.CSVVal&lt;&gt;"",_xlpm.CSVVal
)),"")</f>
        <v/>
      </c>
      <c r="H483" s="54" t="str">
        <f>_xlfn.XLOOKUP(A483,Output_Mac!A:A,Output_Mac!I:I,"")</f>
        <v/>
      </c>
      <c r="I483" s="54" t="str" cm="1">
        <f t="array" ref="I483">IFERROR(_xlfn.LET(
_xlpm.CSVVal,_xlfn.XLOOKUP($A483,CSV!$A:$A,CSV!G:G,""),
_xlpm.MacVal,_xlfn.XLOOKUP($A483,Output_Mac!$A:$A,Output_Mac!J:J,""),
_xlpm.MyAuditVal,_xlfn.XLOOKUP($A483,My_Audit!$A:$A,My_Audit!H:H,""),
_xlfn.IFS(_xlpm.MyAuditVal&lt;&gt;"",UPPER(_xlpm.MyAuditVal),_xlpm.MacVal&lt;&gt;"",_xlpm.MacVal,_xlpm.CSVVal&lt;&gt;"",_xlpm.CSVVal
)),"")</f>
        <v/>
      </c>
      <c r="J483" s="54" t="str" cm="1">
        <f t="array" ref="J483">IFERROR(_xlfn.LET(
_xlpm.CSVVal,_xlfn.XLOOKUP($A483,CSV!$A:$A,CSV!I:I,""),
_xlpm.MacVal,_xlfn.XLOOKUP($A483,Output_Mac!$A:$A,Output_Mac!K:K,""),
_xlpm.MyAuditVal,_xlfn.XLOOKUP($A483,My_Audit!$A:$A,My_Audit!I:I,""),
_xlfn.IFS(_xlpm.MyAuditVal&lt;&gt;"",UPPER(_xlpm.MyAuditVal),_xlpm.MacVal&lt;&gt;"",_xlpm.MacVal,_xlpm.CSVVal&lt;&gt;"",_xlpm.CSVVal
)),"")</f>
        <v/>
      </c>
      <c r="K483" s="54" t="str" cm="1">
        <f t="array" ref="K483">IFERROR(_xlfn.LET(
_xlpm.CSVVal,_xlfn.XLOOKUP($A483,CSV!$A:$A,CSV!M:M,""),
_xlpm.MacVal,_xlfn.XLOOKUP($A483,Output_Mac!$A:$A,Output_Mac!L:L,""),
_xlpm.MyAuditVal,_xlfn.XLOOKUP($A483,My_Audit!$A:$A,My_Audit!J:J,""),
_xlfn.IFS(_xlpm.MyAuditVal&lt;&gt;"",UPPER(_xlpm.MyAuditVal),_xlpm.MacVal&lt;&gt;"",_xlpm.MacVal,_xlpm.CSVVal&lt;&gt;"",_xlpm.CSVVal
)),"")</f>
        <v/>
      </c>
      <c r="L483" s="54" t="str" cm="1">
        <f t="array" ref="L483">IFERROR(_xlfn.LET(
_xlpm.CSVVal,_xlfn.XLOOKUP($A483,CSV!$A:$A,CSV!O:O,""),
_xlpm.MacVal,_xlfn.XLOOKUP($A483,Output_Mac!$A:$A,Output_Mac!M:M,""),
_xlpm.MyAuditVal,_xlfn.XLOOKUP($A483,My_Audit!$A:$A,My_Audit!K:K,""),
_xlfn.IFS(_xlpm.MyAuditVal&lt;&gt;"",UPPER(_xlpm.MyAuditVal),_xlpm.MacVal&lt;&gt;"",_xlpm.MacVal,_xlpm.CSVVal&lt;&gt;"",_xlpm.CSVVal
)),"")</f>
        <v/>
      </c>
      <c r="M483" s="54" t="str">
        <f>_xlfn.LET(
    _xlpm.CSVVal, _xlfn.XLOOKUP($A483, CSV!$A:$A, CSV!AD:AD, ""),
    _xlpm.MacVal, _xlfn.XLOOKUP($A483, Output_Mac!$A:$A, Output_Mac!S:S, ""),
    _xlpm.MyAuditVal, _xlfn.XLOOKUP($A483, My_Audit!$A:$A, My_Audit!N:N, ""),
    _xlfn.TEXTJOIN(", ", TRUE, _xlpm.MyAuditVal, _xlpm.MacVal, _xlpm.CSVVal)
)</f>
        <v/>
      </c>
      <c r="N483" s="54" t="str" cm="1">
        <f t="array" ref="N483">IFERROR(_xlfn.LET(
_xlpm.CSVVal,_xlfn.XLOOKUP($A483,CSV!$A:$A,CSV!AF:AF,""),
_xlpm.MacVal,_xlfn.XLOOKUP($A483,Output_Mac!$A:$A,Output_Mac!U:U,""),
_xlpm.MyAuditVal,_xlfn.XLOOKUP($A483,My_Audit!$A:$A,My_Audit!O:O,""),
_xlfn.IFS(_xlpm.MyAuditVal&lt;&gt;"",UPPER(_xlpm.MyAuditVal),_xlpm.MacVal&lt;&gt;"",_xlpm.MacVal,_xlpm.CSVVal&lt;&gt;"",_xlpm.CSVVal
)),"")</f>
        <v/>
      </c>
      <c r="O483" s="54"/>
      <c r="P483" s="54"/>
      <c r="Q483" s="54"/>
      <c r="R483" s="54"/>
      <c r="S483" s="54"/>
      <c r="T483" s="54"/>
      <c r="U483" s="39"/>
    </row>
    <row r="484" spans="1:21">
      <c r="A484" s="54" t="str">
        <f>_xlfn.TEXTJOIN("",TRUE,Input!$B$2,ROW(My_Audit!A483))</f>
        <v>XX483</v>
      </c>
      <c r="B484" s="54" t="str">
        <f>_xlfn.TEXTJOIN("-",TRUE,"ITD",Input!$A$2,A484)</f>
        <v>ITD-SHRXXX-XX483</v>
      </c>
      <c r="C484" s="54" t="str" cm="1">
        <f t="array" ref="C484">IFERROR(_xlfn.LET(
_xlpm.CSVVal,_xlfn.XLOOKUP($A484,CSV!$A:$A,CSV!B:B,""),
_xlpm.MacVal,_xlfn.XLOOKUP($A484,Output_Mac!$A:$A,Output_Mac!B:B,""),
_xlpm.MyAuditVal,_xlfn.XLOOKUP($A484,My_Audit!$A:$A,My_Audit!B:B,""),
_xlfn.IFS(_xlpm.MyAuditVal&lt;&gt;"",UPPER(_xlpm.MyAuditVal),_xlpm.MacVal&lt;&gt;"",_xlpm.MacVal,_xlpm.CSVVal&lt;&gt;"",_xlpm.CSVVal
)),"")</f>
        <v/>
      </c>
      <c r="D484" s="55" t="str">
        <f>_xlfn.XLOOKUP(A484,My_Audit!A:A,My_Audit!D:D,"")&amp;""</f>
        <v/>
      </c>
      <c r="E484" s="55" t="str" cm="1">
        <f t="array" ref="E484">IFERROR(_xlfn.LET(
_xlpm.CSVVal,_xlfn.XLOOKUP($A484,CSV!$A:$A,CSV!D:D,""),
_xlpm.MacVal,_xlfn.XLOOKUP($A484,Output_Mac!$A:$A,Output_Mac!C:C,""),
_xlpm.MyAuditVal,_xlfn.XLOOKUP($A484,My_Audit!$A:$A,My_Audit!D:D,""),
_xlfn.IFS(_xlpm.MyAuditVal&lt;&gt;"",_xlpm.MyAuditVal,_xlpm.MacVal&lt;&gt;"",_xlpm.MacVal,_xlpm.CSVVal&lt;&gt;"",_xlpm.CSVVal
)),"")</f>
        <v/>
      </c>
      <c r="F484" s="54" t="str" cm="1">
        <f t="array" ref="F484">IFERROR(_xlfn.LET(
_xlpm.CSVVal,_xlfn.XLOOKUP($A484,CSV!$A:$A,CSV!E:E,""),
_xlpm.MacVal,_xlfn.XLOOKUP($A484,Output_Mac!$A:$A,Output_Mac!F:F,""),
_xlpm.MyAuditVal,_xlfn.XLOOKUP($A484,My_Audit!$A:$A,My_Audit!E:E,""),
_xlfn.IFS(_xlpm.MyAuditVal&lt;&gt;"",_xlpm.MyAuditVal,_xlpm.MacVal&lt;&gt;"",_xlpm.MacVal,_xlpm.CSVVal&lt;&gt;"",PROPER(_xlpm.CSVVal)
)),"")</f>
        <v/>
      </c>
      <c r="G484" s="54" t="str" cm="1">
        <f t="array" ref="G484">IFERROR(_xlfn.LET(
_xlpm.CSVVal,_xlfn.XLOOKUP($A484,CSV!$A:$A,CSV!F:F,""),
_xlpm.MacVal,_xlfn.XLOOKUP($A484,Output_Mac!$A:$A,Output_Mac!H:H,""),
_xlpm.MyAuditVal,_xlfn.XLOOKUP($A484,My_Audit!$A:$A,My_Audit!F:F,""),
_xlfn.IFS(_xlpm.MyAuditVal&lt;&gt;"",_xlpm.MyAuditVal,_xlpm.MacVal&lt;&gt;"",_xlpm.MacVal,_xlpm.CSVVal&lt;&gt;"",_xlpm.CSVVal
)),"")</f>
        <v/>
      </c>
      <c r="H484" s="54" t="str">
        <f>_xlfn.XLOOKUP(A484,Output_Mac!A:A,Output_Mac!I:I,"")</f>
        <v/>
      </c>
      <c r="I484" s="54" t="str" cm="1">
        <f t="array" ref="I484">IFERROR(_xlfn.LET(
_xlpm.CSVVal,_xlfn.XLOOKUP($A484,CSV!$A:$A,CSV!G:G,""),
_xlpm.MacVal,_xlfn.XLOOKUP($A484,Output_Mac!$A:$A,Output_Mac!J:J,""),
_xlpm.MyAuditVal,_xlfn.XLOOKUP($A484,My_Audit!$A:$A,My_Audit!H:H,""),
_xlfn.IFS(_xlpm.MyAuditVal&lt;&gt;"",UPPER(_xlpm.MyAuditVal),_xlpm.MacVal&lt;&gt;"",_xlpm.MacVal,_xlpm.CSVVal&lt;&gt;"",_xlpm.CSVVal
)),"")</f>
        <v/>
      </c>
      <c r="J484" s="54" t="str" cm="1">
        <f t="array" ref="J484">IFERROR(_xlfn.LET(
_xlpm.CSVVal,_xlfn.XLOOKUP($A484,CSV!$A:$A,CSV!I:I,""),
_xlpm.MacVal,_xlfn.XLOOKUP($A484,Output_Mac!$A:$A,Output_Mac!K:K,""),
_xlpm.MyAuditVal,_xlfn.XLOOKUP($A484,My_Audit!$A:$A,My_Audit!I:I,""),
_xlfn.IFS(_xlpm.MyAuditVal&lt;&gt;"",UPPER(_xlpm.MyAuditVal),_xlpm.MacVal&lt;&gt;"",_xlpm.MacVal,_xlpm.CSVVal&lt;&gt;"",_xlpm.CSVVal
)),"")</f>
        <v/>
      </c>
      <c r="K484" s="54" t="str" cm="1">
        <f t="array" ref="K484">IFERROR(_xlfn.LET(
_xlpm.CSVVal,_xlfn.XLOOKUP($A484,CSV!$A:$A,CSV!M:M,""),
_xlpm.MacVal,_xlfn.XLOOKUP($A484,Output_Mac!$A:$A,Output_Mac!L:L,""),
_xlpm.MyAuditVal,_xlfn.XLOOKUP($A484,My_Audit!$A:$A,My_Audit!J:J,""),
_xlfn.IFS(_xlpm.MyAuditVal&lt;&gt;"",UPPER(_xlpm.MyAuditVal),_xlpm.MacVal&lt;&gt;"",_xlpm.MacVal,_xlpm.CSVVal&lt;&gt;"",_xlpm.CSVVal
)),"")</f>
        <v/>
      </c>
      <c r="L484" s="54" t="str" cm="1">
        <f t="array" ref="L484">IFERROR(_xlfn.LET(
_xlpm.CSVVal,_xlfn.XLOOKUP($A484,CSV!$A:$A,CSV!O:O,""),
_xlpm.MacVal,_xlfn.XLOOKUP($A484,Output_Mac!$A:$A,Output_Mac!M:M,""),
_xlpm.MyAuditVal,_xlfn.XLOOKUP($A484,My_Audit!$A:$A,My_Audit!K:K,""),
_xlfn.IFS(_xlpm.MyAuditVal&lt;&gt;"",UPPER(_xlpm.MyAuditVal),_xlpm.MacVal&lt;&gt;"",_xlpm.MacVal,_xlpm.CSVVal&lt;&gt;"",_xlpm.CSVVal
)),"")</f>
        <v/>
      </c>
      <c r="M484" s="54" t="str">
        <f>_xlfn.LET(
    _xlpm.CSVVal, _xlfn.XLOOKUP($A484, CSV!$A:$A, CSV!AD:AD, ""),
    _xlpm.MacVal, _xlfn.XLOOKUP($A484, Output_Mac!$A:$A, Output_Mac!S:S, ""),
    _xlpm.MyAuditVal, _xlfn.XLOOKUP($A484, My_Audit!$A:$A, My_Audit!N:N, ""),
    _xlfn.TEXTJOIN(", ", TRUE, _xlpm.MyAuditVal, _xlpm.MacVal, _xlpm.CSVVal)
)</f>
        <v/>
      </c>
      <c r="N484" s="54" t="str" cm="1">
        <f t="array" ref="N484">IFERROR(_xlfn.LET(
_xlpm.CSVVal,_xlfn.XLOOKUP($A484,CSV!$A:$A,CSV!AF:AF,""),
_xlpm.MacVal,_xlfn.XLOOKUP($A484,Output_Mac!$A:$A,Output_Mac!U:U,""),
_xlpm.MyAuditVal,_xlfn.XLOOKUP($A484,My_Audit!$A:$A,My_Audit!O:O,""),
_xlfn.IFS(_xlpm.MyAuditVal&lt;&gt;"",UPPER(_xlpm.MyAuditVal),_xlpm.MacVal&lt;&gt;"",_xlpm.MacVal,_xlpm.CSVVal&lt;&gt;"",_xlpm.CSVVal
)),"")</f>
        <v/>
      </c>
      <c r="O484" s="54"/>
      <c r="P484" s="54"/>
      <c r="Q484" s="54"/>
      <c r="R484" s="54"/>
      <c r="S484" s="54"/>
      <c r="T484" s="54"/>
      <c r="U484" s="39"/>
    </row>
    <row r="485" spans="1:21">
      <c r="A485" s="54" t="str">
        <f>_xlfn.TEXTJOIN("",TRUE,Input!$B$2,ROW(My_Audit!A484))</f>
        <v>XX484</v>
      </c>
      <c r="B485" s="54" t="str">
        <f>_xlfn.TEXTJOIN("-",TRUE,"ITD",Input!$A$2,A485)</f>
        <v>ITD-SHRXXX-XX484</v>
      </c>
      <c r="C485" s="54" t="str" cm="1">
        <f t="array" ref="C485">IFERROR(_xlfn.LET(
_xlpm.CSVVal,_xlfn.XLOOKUP($A485,CSV!$A:$A,CSV!B:B,""),
_xlpm.MacVal,_xlfn.XLOOKUP($A485,Output_Mac!$A:$A,Output_Mac!B:B,""),
_xlpm.MyAuditVal,_xlfn.XLOOKUP($A485,My_Audit!$A:$A,My_Audit!B:B,""),
_xlfn.IFS(_xlpm.MyAuditVal&lt;&gt;"",UPPER(_xlpm.MyAuditVal),_xlpm.MacVal&lt;&gt;"",_xlpm.MacVal,_xlpm.CSVVal&lt;&gt;"",_xlpm.CSVVal
)),"")</f>
        <v/>
      </c>
      <c r="D485" s="55" t="str">
        <f>_xlfn.XLOOKUP(A485,My_Audit!A:A,My_Audit!D:D,"")&amp;""</f>
        <v/>
      </c>
      <c r="E485" s="55" t="str" cm="1">
        <f t="array" ref="E485">IFERROR(_xlfn.LET(
_xlpm.CSVVal,_xlfn.XLOOKUP($A485,CSV!$A:$A,CSV!D:D,""),
_xlpm.MacVal,_xlfn.XLOOKUP($A485,Output_Mac!$A:$A,Output_Mac!C:C,""),
_xlpm.MyAuditVal,_xlfn.XLOOKUP($A485,My_Audit!$A:$A,My_Audit!D:D,""),
_xlfn.IFS(_xlpm.MyAuditVal&lt;&gt;"",_xlpm.MyAuditVal,_xlpm.MacVal&lt;&gt;"",_xlpm.MacVal,_xlpm.CSVVal&lt;&gt;"",_xlpm.CSVVal
)),"")</f>
        <v/>
      </c>
      <c r="F485" s="54" t="str" cm="1">
        <f t="array" ref="F485">IFERROR(_xlfn.LET(
_xlpm.CSVVal,_xlfn.XLOOKUP($A485,CSV!$A:$A,CSV!E:E,""),
_xlpm.MacVal,_xlfn.XLOOKUP($A485,Output_Mac!$A:$A,Output_Mac!F:F,""),
_xlpm.MyAuditVal,_xlfn.XLOOKUP($A485,My_Audit!$A:$A,My_Audit!E:E,""),
_xlfn.IFS(_xlpm.MyAuditVal&lt;&gt;"",_xlpm.MyAuditVal,_xlpm.MacVal&lt;&gt;"",_xlpm.MacVal,_xlpm.CSVVal&lt;&gt;"",PROPER(_xlpm.CSVVal)
)),"")</f>
        <v/>
      </c>
      <c r="G485" s="54" t="str" cm="1">
        <f t="array" ref="G485">IFERROR(_xlfn.LET(
_xlpm.CSVVal,_xlfn.XLOOKUP($A485,CSV!$A:$A,CSV!F:F,""),
_xlpm.MacVal,_xlfn.XLOOKUP($A485,Output_Mac!$A:$A,Output_Mac!H:H,""),
_xlpm.MyAuditVal,_xlfn.XLOOKUP($A485,My_Audit!$A:$A,My_Audit!F:F,""),
_xlfn.IFS(_xlpm.MyAuditVal&lt;&gt;"",_xlpm.MyAuditVal,_xlpm.MacVal&lt;&gt;"",_xlpm.MacVal,_xlpm.CSVVal&lt;&gt;"",_xlpm.CSVVal
)),"")</f>
        <v/>
      </c>
      <c r="H485" s="54" t="str">
        <f>_xlfn.XLOOKUP(A485,Output_Mac!A:A,Output_Mac!I:I,"")</f>
        <v/>
      </c>
      <c r="I485" s="54" t="str" cm="1">
        <f t="array" ref="I485">IFERROR(_xlfn.LET(
_xlpm.CSVVal,_xlfn.XLOOKUP($A485,CSV!$A:$A,CSV!G:G,""),
_xlpm.MacVal,_xlfn.XLOOKUP($A485,Output_Mac!$A:$A,Output_Mac!J:J,""),
_xlpm.MyAuditVal,_xlfn.XLOOKUP($A485,My_Audit!$A:$A,My_Audit!H:H,""),
_xlfn.IFS(_xlpm.MyAuditVal&lt;&gt;"",UPPER(_xlpm.MyAuditVal),_xlpm.MacVal&lt;&gt;"",_xlpm.MacVal,_xlpm.CSVVal&lt;&gt;"",_xlpm.CSVVal
)),"")</f>
        <v/>
      </c>
      <c r="J485" s="54" t="str" cm="1">
        <f t="array" ref="J485">IFERROR(_xlfn.LET(
_xlpm.CSVVal,_xlfn.XLOOKUP($A485,CSV!$A:$A,CSV!I:I,""),
_xlpm.MacVal,_xlfn.XLOOKUP($A485,Output_Mac!$A:$A,Output_Mac!K:K,""),
_xlpm.MyAuditVal,_xlfn.XLOOKUP($A485,My_Audit!$A:$A,My_Audit!I:I,""),
_xlfn.IFS(_xlpm.MyAuditVal&lt;&gt;"",UPPER(_xlpm.MyAuditVal),_xlpm.MacVal&lt;&gt;"",_xlpm.MacVal,_xlpm.CSVVal&lt;&gt;"",_xlpm.CSVVal
)),"")</f>
        <v/>
      </c>
      <c r="K485" s="54" t="str" cm="1">
        <f t="array" ref="K485">IFERROR(_xlfn.LET(
_xlpm.CSVVal,_xlfn.XLOOKUP($A485,CSV!$A:$A,CSV!M:M,""),
_xlpm.MacVal,_xlfn.XLOOKUP($A485,Output_Mac!$A:$A,Output_Mac!L:L,""),
_xlpm.MyAuditVal,_xlfn.XLOOKUP($A485,My_Audit!$A:$A,My_Audit!J:J,""),
_xlfn.IFS(_xlpm.MyAuditVal&lt;&gt;"",UPPER(_xlpm.MyAuditVal),_xlpm.MacVal&lt;&gt;"",_xlpm.MacVal,_xlpm.CSVVal&lt;&gt;"",_xlpm.CSVVal
)),"")</f>
        <v/>
      </c>
      <c r="L485" s="54" t="str" cm="1">
        <f t="array" ref="L485">IFERROR(_xlfn.LET(
_xlpm.CSVVal,_xlfn.XLOOKUP($A485,CSV!$A:$A,CSV!O:O,""),
_xlpm.MacVal,_xlfn.XLOOKUP($A485,Output_Mac!$A:$A,Output_Mac!M:M,""),
_xlpm.MyAuditVal,_xlfn.XLOOKUP($A485,My_Audit!$A:$A,My_Audit!K:K,""),
_xlfn.IFS(_xlpm.MyAuditVal&lt;&gt;"",UPPER(_xlpm.MyAuditVal),_xlpm.MacVal&lt;&gt;"",_xlpm.MacVal,_xlpm.CSVVal&lt;&gt;"",_xlpm.CSVVal
)),"")</f>
        <v/>
      </c>
      <c r="M485" s="54" t="str">
        <f>_xlfn.LET(
    _xlpm.CSVVal, _xlfn.XLOOKUP($A485, CSV!$A:$A, CSV!AD:AD, ""),
    _xlpm.MacVal, _xlfn.XLOOKUP($A485, Output_Mac!$A:$A, Output_Mac!S:S, ""),
    _xlpm.MyAuditVal, _xlfn.XLOOKUP($A485, My_Audit!$A:$A, My_Audit!N:N, ""),
    _xlfn.TEXTJOIN(", ", TRUE, _xlpm.MyAuditVal, _xlpm.MacVal, _xlpm.CSVVal)
)</f>
        <v/>
      </c>
      <c r="N485" s="54" t="str" cm="1">
        <f t="array" ref="N485">IFERROR(_xlfn.LET(
_xlpm.CSVVal,_xlfn.XLOOKUP($A485,CSV!$A:$A,CSV!AF:AF,""),
_xlpm.MacVal,_xlfn.XLOOKUP($A485,Output_Mac!$A:$A,Output_Mac!U:U,""),
_xlpm.MyAuditVal,_xlfn.XLOOKUP($A485,My_Audit!$A:$A,My_Audit!O:O,""),
_xlfn.IFS(_xlpm.MyAuditVal&lt;&gt;"",UPPER(_xlpm.MyAuditVal),_xlpm.MacVal&lt;&gt;"",_xlpm.MacVal,_xlpm.CSVVal&lt;&gt;"",_xlpm.CSVVal
)),"")</f>
        <v/>
      </c>
      <c r="O485" s="54"/>
      <c r="P485" s="54"/>
      <c r="Q485" s="54"/>
      <c r="R485" s="54"/>
      <c r="S485" s="54"/>
      <c r="T485" s="54"/>
      <c r="U485" s="39"/>
    </row>
    <row r="486" spans="1:21">
      <c r="A486" s="54" t="str">
        <f>_xlfn.TEXTJOIN("",TRUE,Input!$B$2,ROW(My_Audit!A485))</f>
        <v>XX485</v>
      </c>
      <c r="B486" s="54" t="str">
        <f>_xlfn.TEXTJOIN("-",TRUE,"ITD",Input!$A$2,A486)</f>
        <v>ITD-SHRXXX-XX485</v>
      </c>
      <c r="C486" s="54" t="str" cm="1">
        <f t="array" ref="C486">IFERROR(_xlfn.LET(
_xlpm.CSVVal,_xlfn.XLOOKUP($A486,CSV!$A:$A,CSV!B:B,""),
_xlpm.MacVal,_xlfn.XLOOKUP($A486,Output_Mac!$A:$A,Output_Mac!B:B,""),
_xlpm.MyAuditVal,_xlfn.XLOOKUP($A486,My_Audit!$A:$A,My_Audit!B:B,""),
_xlfn.IFS(_xlpm.MyAuditVal&lt;&gt;"",UPPER(_xlpm.MyAuditVal),_xlpm.MacVal&lt;&gt;"",_xlpm.MacVal,_xlpm.CSVVal&lt;&gt;"",_xlpm.CSVVal
)),"")</f>
        <v/>
      </c>
      <c r="D486" s="55" t="str">
        <f>_xlfn.XLOOKUP(A486,My_Audit!A:A,My_Audit!D:D,"")&amp;""</f>
        <v/>
      </c>
      <c r="E486" s="55" t="str" cm="1">
        <f t="array" ref="E486">IFERROR(_xlfn.LET(
_xlpm.CSVVal,_xlfn.XLOOKUP($A486,CSV!$A:$A,CSV!D:D,""),
_xlpm.MacVal,_xlfn.XLOOKUP($A486,Output_Mac!$A:$A,Output_Mac!C:C,""),
_xlpm.MyAuditVal,_xlfn.XLOOKUP($A486,My_Audit!$A:$A,My_Audit!D:D,""),
_xlfn.IFS(_xlpm.MyAuditVal&lt;&gt;"",_xlpm.MyAuditVal,_xlpm.MacVal&lt;&gt;"",_xlpm.MacVal,_xlpm.CSVVal&lt;&gt;"",_xlpm.CSVVal
)),"")</f>
        <v/>
      </c>
      <c r="F486" s="54" t="str" cm="1">
        <f t="array" ref="F486">IFERROR(_xlfn.LET(
_xlpm.CSVVal,_xlfn.XLOOKUP($A486,CSV!$A:$A,CSV!E:E,""),
_xlpm.MacVal,_xlfn.XLOOKUP($A486,Output_Mac!$A:$A,Output_Mac!F:F,""),
_xlpm.MyAuditVal,_xlfn.XLOOKUP($A486,My_Audit!$A:$A,My_Audit!E:E,""),
_xlfn.IFS(_xlpm.MyAuditVal&lt;&gt;"",_xlpm.MyAuditVal,_xlpm.MacVal&lt;&gt;"",_xlpm.MacVal,_xlpm.CSVVal&lt;&gt;"",PROPER(_xlpm.CSVVal)
)),"")</f>
        <v/>
      </c>
      <c r="G486" s="54" t="str" cm="1">
        <f t="array" ref="G486">IFERROR(_xlfn.LET(
_xlpm.CSVVal,_xlfn.XLOOKUP($A486,CSV!$A:$A,CSV!F:F,""),
_xlpm.MacVal,_xlfn.XLOOKUP($A486,Output_Mac!$A:$A,Output_Mac!H:H,""),
_xlpm.MyAuditVal,_xlfn.XLOOKUP($A486,My_Audit!$A:$A,My_Audit!F:F,""),
_xlfn.IFS(_xlpm.MyAuditVal&lt;&gt;"",_xlpm.MyAuditVal,_xlpm.MacVal&lt;&gt;"",_xlpm.MacVal,_xlpm.CSVVal&lt;&gt;"",_xlpm.CSVVal
)),"")</f>
        <v/>
      </c>
      <c r="H486" s="54" t="str">
        <f>_xlfn.XLOOKUP(A486,Output_Mac!A:A,Output_Mac!I:I,"")</f>
        <v/>
      </c>
      <c r="I486" s="54" t="str" cm="1">
        <f t="array" ref="I486">IFERROR(_xlfn.LET(
_xlpm.CSVVal,_xlfn.XLOOKUP($A486,CSV!$A:$A,CSV!G:G,""),
_xlpm.MacVal,_xlfn.XLOOKUP($A486,Output_Mac!$A:$A,Output_Mac!J:J,""),
_xlpm.MyAuditVal,_xlfn.XLOOKUP($A486,My_Audit!$A:$A,My_Audit!H:H,""),
_xlfn.IFS(_xlpm.MyAuditVal&lt;&gt;"",UPPER(_xlpm.MyAuditVal),_xlpm.MacVal&lt;&gt;"",_xlpm.MacVal,_xlpm.CSVVal&lt;&gt;"",_xlpm.CSVVal
)),"")</f>
        <v/>
      </c>
      <c r="J486" s="54" t="str" cm="1">
        <f t="array" ref="J486">IFERROR(_xlfn.LET(
_xlpm.CSVVal,_xlfn.XLOOKUP($A486,CSV!$A:$A,CSV!I:I,""),
_xlpm.MacVal,_xlfn.XLOOKUP($A486,Output_Mac!$A:$A,Output_Mac!K:K,""),
_xlpm.MyAuditVal,_xlfn.XLOOKUP($A486,My_Audit!$A:$A,My_Audit!I:I,""),
_xlfn.IFS(_xlpm.MyAuditVal&lt;&gt;"",UPPER(_xlpm.MyAuditVal),_xlpm.MacVal&lt;&gt;"",_xlpm.MacVal,_xlpm.CSVVal&lt;&gt;"",_xlpm.CSVVal
)),"")</f>
        <v/>
      </c>
      <c r="K486" s="54" t="str" cm="1">
        <f t="array" ref="K486">IFERROR(_xlfn.LET(
_xlpm.CSVVal,_xlfn.XLOOKUP($A486,CSV!$A:$A,CSV!M:M,""),
_xlpm.MacVal,_xlfn.XLOOKUP($A486,Output_Mac!$A:$A,Output_Mac!L:L,""),
_xlpm.MyAuditVal,_xlfn.XLOOKUP($A486,My_Audit!$A:$A,My_Audit!J:J,""),
_xlfn.IFS(_xlpm.MyAuditVal&lt;&gt;"",UPPER(_xlpm.MyAuditVal),_xlpm.MacVal&lt;&gt;"",_xlpm.MacVal,_xlpm.CSVVal&lt;&gt;"",_xlpm.CSVVal
)),"")</f>
        <v/>
      </c>
      <c r="L486" s="54" t="str" cm="1">
        <f t="array" ref="L486">IFERROR(_xlfn.LET(
_xlpm.CSVVal,_xlfn.XLOOKUP($A486,CSV!$A:$A,CSV!O:O,""),
_xlpm.MacVal,_xlfn.XLOOKUP($A486,Output_Mac!$A:$A,Output_Mac!M:M,""),
_xlpm.MyAuditVal,_xlfn.XLOOKUP($A486,My_Audit!$A:$A,My_Audit!K:K,""),
_xlfn.IFS(_xlpm.MyAuditVal&lt;&gt;"",UPPER(_xlpm.MyAuditVal),_xlpm.MacVal&lt;&gt;"",_xlpm.MacVal,_xlpm.CSVVal&lt;&gt;"",_xlpm.CSVVal
)),"")</f>
        <v/>
      </c>
      <c r="M486" s="54" t="str">
        <f>_xlfn.LET(
    _xlpm.CSVVal, _xlfn.XLOOKUP($A486, CSV!$A:$A, CSV!AD:AD, ""),
    _xlpm.MacVal, _xlfn.XLOOKUP($A486, Output_Mac!$A:$A, Output_Mac!S:S, ""),
    _xlpm.MyAuditVal, _xlfn.XLOOKUP($A486, My_Audit!$A:$A, My_Audit!N:N, ""),
    _xlfn.TEXTJOIN(", ", TRUE, _xlpm.MyAuditVal, _xlpm.MacVal, _xlpm.CSVVal)
)</f>
        <v/>
      </c>
      <c r="N486" s="54" t="str" cm="1">
        <f t="array" ref="N486">IFERROR(_xlfn.LET(
_xlpm.CSVVal,_xlfn.XLOOKUP($A486,CSV!$A:$A,CSV!AF:AF,""),
_xlpm.MacVal,_xlfn.XLOOKUP($A486,Output_Mac!$A:$A,Output_Mac!U:U,""),
_xlpm.MyAuditVal,_xlfn.XLOOKUP($A486,My_Audit!$A:$A,My_Audit!O:O,""),
_xlfn.IFS(_xlpm.MyAuditVal&lt;&gt;"",UPPER(_xlpm.MyAuditVal),_xlpm.MacVal&lt;&gt;"",_xlpm.MacVal,_xlpm.CSVVal&lt;&gt;"",_xlpm.CSVVal
)),"")</f>
        <v/>
      </c>
      <c r="O486" s="54"/>
      <c r="P486" s="54"/>
      <c r="Q486" s="54"/>
      <c r="R486" s="54"/>
      <c r="S486" s="54"/>
      <c r="T486" s="54"/>
      <c r="U486" s="39"/>
    </row>
    <row r="487" spans="1:21">
      <c r="A487" s="54" t="str">
        <f>_xlfn.TEXTJOIN("",TRUE,Input!$B$2,ROW(My_Audit!A486))</f>
        <v>XX486</v>
      </c>
      <c r="B487" s="54" t="str">
        <f>_xlfn.TEXTJOIN("-",TRUE,"ITD",Input!$A$2,A487)</f>
        <v>ITD-SHRXXX-XX486</v>
      </c>
      <c r="C487" s="54" t="str" cm="1">
        <f t="array" ref="C487">IFERROR(_xlfn.LET(
_xlpm.CSVVal,_xlfn.XLOOKUP($A487,CSV!$A:$A,CSV!B:B,""),
_xlpm.MacVal,_xlfn.XLOOKUP($A487,Output_Mac!$A:$A,Output_Mac!B:B,""),
_xlpm.MyAuditVal,_xlfn.XLOOKUP($A487,My_Audit!$A:$A,My_Audit!B:B,""),
_xlfn.IFS(_xlpm.MyAuditVal&lt;&gt;"",UPPER(_xlpm.MyAuditVal),_xlpm.MacVal&lt;&gt;"",_xlpm.MacVal,_xlpm.CSVVal&lt;&gt;"",_xlpm.CSVVal
)),"")</f>
        <v/>
      </c>
      <c r="D487" s="55" t="str">
        <f>_xlfn.XLOOKUP(A487,My_Audit!A:A,My_Audit!D:D,"")&amp;""</f>
        <v/>
      </c>
      <c r="E487" s="55" t="str" cm="1">
        <f t="array" ref="E487">IFERROR(_xlfn.LET(
_xlpm.CSVVal,_xlfn.XLOOKUP($A487,CSV!$A:$A,CSV!D:D,""),
_xlpm.MacVal,_xlfn.XLOOKUP($A487,Output_Mac!$A:$A,Output_Mac!C:C,""),
_xlpm.MyAuditVal,_xlfn.XLOOKUP($A487,My_Audit!$A:$A,My_Audit!D:D,""),
_xlfn.IFS(_xlpm.MyAuditVal&lt;&gt;"",_xlpm.MyAuditVal,_xlpm.MacVal&lt;&gt;"",_xlpm.MacVal,_xlpm.CSVVal&lt;&gt;"",_xlpm.CSVVal
)),"")</f>
        <v/>
      </c>
      <c r="F487" s="54" t="str" cm="1">
        <f t="array" ref="F487">IFERROR(_xlfn.LET(
_xlpm.CSVVal,_xlfn.XLOOKUP($A487,CSV!$A:$A,CSV!E:E,""),
_xlpm.MacVal,_xlfn.XLOOKUP($A487,Output_Mac!$A:$A,Output_Mac!F:F,""),
_xlpm.MyAuditVal,_xlfn.XLOOKUP($A487,My_Audit!$A:$A,My_Audit!E:E,""),
_xlfn.IFS(_xlpm.MyAuditVal&lt;&gt;"",_xlpm.MyAuditVal,_xlpm.MacVal&lt;&gt;"",_xlpm.MacVal,_xlpm.CSVVal&lt;&gt;"",PROPER(_xlpm.CSVVal)
)),"")</f>
        <v/>
      </c>
      <c r="G487" s="54" t="str" cm="1">
        <f t="array" ref="G487">IFERROR(_xlfn.LET(
_xlpm.CSVVal,_xlfn.XLOOKUP($A487,CSV!$A:$A,CSV!F:F,""),
_xlpm.MacVal,_xlfn.XLOOKUP($A487,Output_Mac!$A:$A,Output_Mac!H:H,""),
_xlpm.MyAuditVal,_xlfn.XLOOKUP($A487,My_Audit!$A:$A,My_Audit!F:F,""),
_xlfn.IFS(_xlpm.MyAuditVal&lt;&gt;"",_xlpm.MyAuditVal,_xlpm.MacVal&lt;&gt;"",_xlpm.MacVal,_xlpm.CSVVal&lt;&gt;"",_xlpm.CSVVal
)),"")</f>
        <v/>
      </c>
      <c r="H487" s="54" t="str">
        <f>_xlfn.XLOOKUP(A487,Output_Mac!A:A,Output_Mac!I:I,"")</f>
        <v/>
      </c>
      <c r="I487" s="54" t="str" cm="1">
        <f t="array" ref="I487">IFERROR(_xlfn.LET(
_xlpm.CSVVal,_xlfn.XLOOKUP($A487,CSV!$A:$A,CSV!G:G,""),
_xlpm.MacVal,_xlfn.XLOOKUP($A487,Output_Mac!$A:$A,Output_Mac!J:J,""),
_xlpm.MyAuditVal,_xlfn.XLOOKUP($A487,My_Audit!$A:$A,My_Audit!H:H,""),
_xlfn.IFS(_xlpm.MyAuditVal&lt;&gt;"",UPPER(_xlpm.MyAuditVal),_xlpm.MacVal&lt;&gt;"",_xlpm.MacVal,_xlpm.CSVVal&lt;&gt;"",_xlpm.CSVVal
)),"")</f>
        <v/>
      </c>
      <c r="J487" s="54" t="str" cm="1">
        <f t="array" ref="J487">IFERROR(_xlfn.LET(
_xlpm.CSVVal,_xlfn.XLOOKUP($A487,CSV!$A:$A,CSV!I:I,""),
_xlpm.MacVal,_xlfn.XLOOKUP($A487,Output_Mac!$A:$A,Output_Mac!K:K,""),
_xlpm.MyAuditVal,_xlfn.XLOOKUP($A487,My_Audit!$A:$A,My_Audit!I:I,""),
_xlfn.IFS(_xlpm.MyAuditVal&lt;&gt;"",UPPER(_xlpm.MyAuditVal),_xlpm.MacVal&lt;&gt;"",_xlpm.MacVal,_xlpm.CSVVal&lt;&gt;"",_xlpm.CSVVal
)),"")</f>
        <v/>
      </c>
      <c r="K487" s="54" t="str" cm="1">
        <f t="array" ref="K487">IFERROR(_xlfn.LET(
_xlpm.CSVVal,_xlfn.XLOOKUP($A487,CSV!$A:$A,CSV!M:M,""),
_xlpm.MacVal,_xlfn.XLOOKUP($A487,Output_Mac!$A:$A,Output_Mac!L:L,""),
_xlpm.MyAuditVal,_xlfn.XLOOKUP($A487,My_Audit!$A:$A,My_Audit!J:J,""),
_xlfn.IFS(_xlpm.MyAuditVal&lt;&gt;"",UPPER(_xlpm.MyAuditVal),_xlpm.MacVal&lt;&gt;"",_xlpm.MacVal,_xlpm.CSVVal&lt;&gt;"",_xlpm.CSVVal
)),"")</f>
        <v/>
      </c>
      <c r="L487" s="54" t="str" cm="1">
        <f t="array" ref="L487">IFERROR(_xlfn.LET(
_xlpm.CSVVal,_xlfn.XLOOKUP($A487,CSV!$A:$A,CSV!O:O,""),
_xlpm.MacVal,_xlfn.XLOOKUP($A487,Output_Mac!$A:$A,Output_Mac!M:M,""),
_xlpm.MyAuditVal,_xlfn.XLOOKUP($A487,My_Audit!$A:$A,My_Audit!K:K,""),
_xlfn.IFS(_xlpm.MyAuditVal&lt;&gt;"",UPPER(_xlpm.MyAuditVal),_xlpm.MacVal&lt;&gt;"",_xlpm.MacVal,_xlpm.CSVVal&lt;&gt;"",_xlpm.CSVVal
)),"")</f>
        <v/>
      </c>
      <c r="M487" s="54" t="str">
        <f>_xlfn.LET(
    _xlpm.CSVVal, _xlfn.XLOOKUP($A487, CSV!$A:$A, CSV!AD:AD, ""),
    _xlpm.MacVal, _xlfn.XLOOKUP($A487, Output_Mac!$A:$A, Output_Mac!S:S, ""),
    _xlpm.MyAuditVal, _xlfn.XLOOKUP($A487, My_Audit!$A:$A, My_Audit!N:N, ""),
    _xlfn.TEXTJOIN(", ", TRUE, _xlpm.MyAuditVal, _xlpm.MacVal, _xlpm.CSVVal)
)</f>
        <v/>
      </c>
      <c r="N487" s="54" t="str" cm="1">
        <f t="array" ref="N487">IFERROR(_xlfn.LET(
_xlpm.CSVVal,_xlfn.XLOOKUP($A487,CSV!$A:$A,CSV!AF:AF,""),
_xlpm.MacVal,_xlfn.XLOOKUP($A487,Output_Mac!$A:$A,Output_Mac!U:U,""),
_xlpm.MyAuditVal,_xlfn.XLOOKUP($A487,My_Audit!$A:$A,My_Audit!O:O,""),
_xlfn.IFS(_xlpm.MyAuditVal&lt;&gt;"",UPPER(_xlpm.MyAuditVal),_xlpm.MacVal&lt;&gt;"",_xlpm.MacVal,_xlpm.CSVVal&lt;&gt;"",_xlpm.CSVVal
)),"")</f>
        <v/>
      </c>
      <c r="O487" s="54"/>
      <c r="P487" s="54"/>
      <c r="Q487" s="54"/>
      <c r="R487" s="54"/>
      <c r="S487" s="54"/>
      <c r="T487" s="54"/>
      <c r="U487" s="39"/>
    </row>
    <row r="488" spans="1:21">
      <c r="A488" s="54" t="str">
        <f>_xlfn.TEXTJOIN("",TRUE,Input!$B$2,ROW(My_Audit!A487))</f>
        <v>XX487</v>
      </c>
      <c r="B488" s="54" t="str">
        <f>_xlfn.TEXTJOIN("-",TRUE,"ITD",Input!$A$2,A488)</f>
        <v>ITD-SHRXXX-XX487</v>
      </c>
      <c r="C488" s="54" t="str" cm="1">
        <f t="array" ref="C488">IFERROR(_xlfn.LET(
_xlpm.CSVVal,_xlfn.XLOOKUP($A488,CSV!$A:$A,CSV!B:B,""),
_xlpm.MacVal,_xlfn.XLOOKUP($A488,Output_Mac!$A:$A,Output_Mac!B:B,""),
_xlpm.MyAuditVal,_xlfn.XLOOKUP($A488,My_Audit!$A:$A,My_Audit!B:B,""),
_xlfn.IFS(_xlpm.MyAuditVal&lt;&gt;"",UPPER(_xlpm.MyAuditVal),_xlpm.MacVal&lt;&gt;"",_xlpm.MacVal,_xlpm.CSVVal&lt;&gt;"",_xlpm.CSVVal
)),"")</f>
        <v/>
      </c>
      <c r="D488" s="55" t="str">
        <f>_xlfn.XLOOKUP(A488,My_Audit!A:A,My_Audit!D:D,"")&amp;""</f>
        <v/>
      </c>
      <c r="E488" s="55" t="str" cm="1">
        <f t="array" ref="E488">IFERROR(_xlfn.LET(
_xlpm.CSVVal,_xlfn.XLOOKUP($A488,CSV!$A:$A,CSV!D:D,""),
_xlpm.MacVal,_xlfn.XLOOKUP($A488,Output_Mac!$A:$A,Output_Mac!C:C,""),
_xlpm.MyAuditVal,_xlfn.XLOOKUP($A488,My_Audit!$A:$A,My_Audit!D:D,""),
_xlfn.IFS(_xlpm.MyAuditVal&lt;&gt;"",_xlpm.MyAuditVal,_xlpm.MacVal&lt;&gt;"",_xlpm.MacVal,_xlpm.CSVVal&lt;&gt;"",_xlpm.CSVVal
)),"")</f>
        <v/>
      </c>
      <c r="F488" s="54" t="str" cm="1">
        <f t="array" ref="F488">IFERROR(_xlfn.LET(
_xlpm.CSVVal,_xlfn.XLOOKUP($A488,CSV!$A:$A,CSV!E:E,""),
_xlpm.MacVal,_xlfn.XLOOKUP($A488,Output_Mac!$A:$A,Output_Mac!F:F,""),
_xlpm.MyAuditVal,_xlfn.XLOOKUP($A488,My_Audit!$A:$A,My_Audit!E:E,""),
_xlfn.IFS(_xlpm.MyAuditVal&lt;&gt;"",_xlpm.MyAuditVal,_xlpm.MacVal&lt;&gt;"",_xlpm.MacVal,_xlpm.CSVVal&lt;&gt;"",PROPER(_xlpm.CSVVal)
)),"")</f>
        <v/>
      </c>
      <c r="G488" s="54" t="str" cm="1">
        <f t="array" ref="G488">IFERROR(_xlfn.LET(
_xlpm.CSVVal,_xlfn.XLOOKUP($A488,CSV!$A:$A,CSV!F:F,""),
_xlpm.MacVal,_xlfn.XLOOKUP($A488,Output_Mac!$A:$A,Output_Mac!H:H,""),
_xlpm.MyAuditVal,_xlfn.XLOOKUP($A488,My_Audit!$A:$A,My_Audit!F:F,""),
_xlfn.IFS(_xlpm.MyAuditVal&lt;&gt;"",_xlpm.MyAuditVal,_xlpm.MacVal&lt;&gt;"",_xlpm.MacVal,_xlpm.CSVVal&lt;&gt;"",_xlpm.CSVVal
)),"")</f>
        <v/>
      </c>
      <c r="H488" s="54" t="str">
        <f>_xlfn.XLOOKUP(A488,Output_Mac!A:A,Output_Mac!I:I,"")</f>
        <v/>
      </c>
      <c r="I488" s="54" t="str" cm="1">
        <f t="array" ref="I488">IFERROR(_xlfn.LET(
_xlpm.CSVVal,_xlfn.XLOOKUP($A488,CSV!$A:$A,CSV!G:G,""),
_xlpm.MacVal,_xlfn.XLOOKUP($A488,Output_Mac!$A:$A,Output_Mac!J:J,""),
_xlpm.MyAuditVal,_xlfn.XLOOKUP($A488,My_Audit!$A:$A,My_Audit!H:H,""),
_xlfn.IFS(_xlpm.MyAuditVal&lt;&gt;"",UPPER(_xlpm.MyAuditVal),_xlpm.MacVal&lt;&gt;"",_xlpm.MacVal,_xlpm.CSVVal&lt;&gt;"",_xlpm.CSVVal
)),"")</f>
        <v/>
      </c>
      <c r="J488" s="54" t="str" cm="1">
        <f t="array" ref="J488">IFERROR(_xlfn.LET(
_xlpm.CSVVal,_xlfn.XLOOKUP($A488,CSV!$A:$A,CSV!I:I,""),
_xlpm.MacVal,_xlfn.XLOOKUP($A488,Output_Mac!$A:$A,Output_Mac!K:K,""),
_xlpm.MyAuditVal,_xlfn.XLOOKUP($A488,My_Audit!$A:$A,My_Audit!I:I,""),
_xlfn.IFS(_xlpm.MyAuditVal&lt;&gt;"",UPPER(_xlpm.MyAuditVal),_xlpm.MacVal&lt;&gt;"",_xlpm.MacVal,_xlpm.CSVVal&lt;&gt;"",_xlpm.CSVVal
)),"")</f>
        <v/>
      </c>
      <c r="K488" s="54" t="str" cm="1">
        <f t="array" ref="K488">IFERROR(_xlfn.LET(
_xlpm.CSVVal,_xlfn.XLOOKUP($A488,CSV!$A:$A,CSV!M:M,""),
_xlpm.MacVal,_xlfn.XLOOKUP($A488,Output_Mac!$A:$A,Output_Mac!L:L,""),
_xlpm.MyAuditVal,_xlfn.XLOOKUP($A488,My_Audit!$A:$A,My_Audit!J:J,""),
_xlfn.IFS(_xlpm.MyAuditVal&lt;&gt;"",UPPER(_xlpm.MyAuditVal),_xlpm.MacVal&lt;&gt;"",_xlpm.MacVal,_xlpm.CSVVal&lt;&gt;"",_xlpm.CSVVal
)),"")</f>
        <v/>
      </c>
      <c r="L488" s="54" t="str" cm="1">
        <f t="array" ref="L488">IFERROR(_xlfn.LET(
_xlpm.CSVVal,_xlfn.XLOOKUP($A488,CSV!$A:$A,CSV!O:O,""),
_xlpm.MacVal,_xlfn.XLOOKUP($A488,Output_Mac!$A:$A,Output_Mac!M:M,""),
_xlpm.MyAuditVal,_xlfn.XLOOKUP($A488,My_Audit!$A:$A,My_Audit!K:K,""),
_xlfn.IFS(_xlpm.MyAuditVal&lt;&gt;"",UPPER(_xlpm.MyAuditVal),_xlpm.MacVal&lt;&gt;"",_xlpm.MacVal,_xlpm.CSVVal&lt;&gt;"",_xlpm.CSVVal
)),"")</f>
        <v/>
      </c>
      <c r="M488" s="54" t="str">
        <f>_xlfn.LET(
    _xlpm.CSVVal, _xlfn.XLOOKUP($A488, CSV!$A:$A, CSV!AD:AD, ""),
    _xlpm.MacVal, _xlfn.XLOOKUP($A488, Output_Mac!$A:$A, Output_Mac!S:S, ""),
    _xlpm.MyAuditVal, _xlfn.XLOOKUP($A488, My_Audit!$A:$A, My_Audit!N:N, ""),
    _xlfn.TEXTJOIN(", ", TRUE, _xlpm.MyAuditVal, _xlpm.MacVal, _xlpm.CSVVal)
)</f>
        <v/>
      </c>
      <c r="N488" s="54" t="str" cm="1">
        <f t="array" ref="N488">IFERROR(_xlfn.LET(
_xlpm.CSVVal,_xlfn.XLOOKUP($A488,CSV!$A:$A,CSV!AF:AF,""),
_xlpm.MacVal,_xlfn.XLOOKUP($A488,Output_Mac!$A:$A,Output_Mac!U:U,""),
_xlpm.MyAuditVal,_xlfn.XLOOKUP($A488,My_Audit!$A:$A,My_Audit!O:O,""),
_xlfn.IFS(_xlpm.MyAuditVal&lt;&gt;"",UPPER(_xlpm.MyAuditVal),_xlpm.MacVal&lt;&gt;"",_xlpm.MacVal,_xlpm.CSVVal&lt;&gt;"",_xlpm.CSVVal
)),"")</f>
        <v/>
      </c>
      <c r="O488" s="54"/>
      <c r="P488" s="54"/>
      <c r="Q488" s="54"/>
      <c r="R488" s="54"/>
      <c r="S488" s="54"/>
      <c r="T488" s="54"/>
      <c r="U488" s="39"/>
    </row>
    <row r="489" spans="1:21">
      <c r="A489" s="54" t="str">
        <f>_xlfn.TEXTJOIN("",TRUE,Input!$B$2,ROW(My_Audit!A488))</f>
        <v>XX488</v>
      </c>
      <c r="B489" s="54" t="str">
        <f>_xlfn.TEXTJOIN("-",TRUE,"ITD",Input!$A$2,A489)</f>
        <v>ITD-SHRXXX-XX488</v>
      </c>
      <c r="C489" s="54" t="str" cm="1">
        <f t="array" ref="C489">IFERROR(_xlfn.LET(
_xlpm.CSVVal,_xlfn.XLOOKUP($A489,CSV!$A:$A,CSV!B:B,""),
_xlpm.MacVal,_xlfn.XLOOKUP($A489,Output_Mac!$A:$A,Output_Mac!B:B,""),
_xlpm.MyAuditVal,_xlfn.XLOOKUP($A489,My_Audit!$A:$A,My_Audit!B:B,""),
_xlfn.IFS(_xlpm.MyAuditVal&lt;&gt;"",UPPER(_xlpm.MyAuditVal),_xlpm.MacVal&lt;&gt;"",_xlpm.MacVal,_xlpm.CSVVal&lt;&gt;"",_xlpm.CSVVal
)),"")</f>
        <v/>
      </c>
      <c r="D489" s="55" t="str">
        <f>_xlfn.XLOOKUP(A489,My_Audit!A:A,My_Audit!D:D,"")&amp;""</f>
        <v/>
      </c>
      <c r="E489" s="55" t="str" cm="1">
        <f t="array" ref="E489">IFERROR(_xlfn.LET(
_xlpm.CSVVal,_xlfn.XLOOKUP($A489,CSV!$A:$A,CSV!D:D,""),
_xlpm.MacVal,_xlfn.XLOOKUP($A489,Output_Mac!$A:$A,Output_Mac!C:C,""),
_xlpm.MyAuditVal,_xlfn.XLOOKUP($A489,My_Audit!$A:$A,My_Audit!D:D,""),
_xlfn.IFS(_xlpm.MyAuditVal&lt;&gt;"",_xlpm.MyAuditVal,_xlpm.MacVal&lt;&gt;"",_xlpm.MacVal,_xlpm.CSVVal&lt;&gt;"",_xlpm.CSVVal
)),"")</f>
        <v/>
      </c>
      <c r="F489" s="54" t="str" cm="1">
        <f t="array" ref="F489">IFERROR(_xlfn.LET(
_xlpm.CSVVal,_xlfn.XLOOKUP($A489,CSV!$A:$A,CSV!E:E,""),
_xlpm.MacVal,_xlfn.XLOOKUP($A489,Output_Mac!$A:$A,Output_Mac!F:F,""),
_xlpm.MyAuditVal,_xlfn.XLOOKUP($A489,My_Audit!$A:$A,My_Audit!E:E,""),
_xlfn.IFS(_xlpm.MyAuditVal&lt;&gt;"",_xlpm.MyAuditVal,_xlpm.MacVal&lt;&gt;"",_xlpm.MacVal,_xlpm.CSVVal&lt;&gt;"",PROPER(_xlpm.CSVVal)
)),"")</f>
        <v/>
      </c>
      <c r="G489" s="54" t="str" cm="1">
        <f t="array" ref="G489">IFERROR(_xlfn.LET(
_xlpm.CSVVal,_xlfn.XLOOKUP($A489,CSV!$A:$A,CSV!F:F,""),
_xlpm.MacVal,_xlfn.XLOOKUP($A489,Output_Mac!$A:$A,Output_Mac!H:H,""),
_xlpm.MyAuditVal,_xlfn.XLOOKUP($A489,My_Audit!$A:$A,My_Audit!F:F,""),
_xlfn.IFS(_xlpm.MyAuditVal&lt;&gt;"",_xlpm.MyAuditVal,_xlpm.MacVal&lt;&gt;"",_xlpm.MacVal,_xlpm.CSVVal&lt;&gt;"",_xlpm.CSVVal
)),"")</f>
        <v/>
      </c>
      <c r="H489" s="54" t="str">
        <f>_xlfn.XLOOKUP(A489,Output_Mac!A:A,Output_Mac!I:I,"")</f>
        <v/>
      </c>
      <c r="I489" s="54" t="str" cm="1">
        <f t="array" ref="I489">IFERROR(_xlfn.LET(
_xlpm.CSVVal,_xlfn.XLOOKUP($A489,CSV!$A:$A,CSV!G:G,""),
_xlpm.MacVal,_xlfn.XLOOKUP($A489,Output_Mac!$A:$A,Output_Mac!J:J,""),
_xlpm.MyAuditVal,_xlfn.XLOOKUP($A489,My_Audit!$A:$A,My_Audit!H:H,""),
_xlfn.IFS(_xlpm.MyAuditVal&lt;&gt;"",UPPER(_xlpm.MyAuditVal),_xlpm.MacVal&lt;&gt;"",_xlpm.MacVal,_xlpm.CSVVal&lt;&gt;"",_xlpm.CSVVal
)),"")</f>
        <v/>
      </c>
      <c r="J489" s="54" t="str" cm="1">
        <f t="array" ref="J489">IFERROR(_xlfn.LET(
_xlpm.CSVVal,_xlfn.XLOOKUP($A489,CSV!$A:$A,CSV!I:I,""),
_xlpm.MacVal,_xlfn.XLOOKUP($A489,Output_Mac!$A:$A,Output_Mac!K:K,""),
_xlpm.MyAuditVal,_xlfn.XLOOKUP($A489,My_Audit!$A:$A,My_Audit!I:I,""),
_xlfn.IFS(_xlpm.MyAuditVal&lt;&gt;"",UPPER(_xlpm.MyAuditVal),_xlpm.MacVal&lt;&gt;"",_xlpm.MacVal,_xlpm.CSVVal&lt;&gt;"",_xlpm.CSVVal
)),"")</f>
        <v/>
      </c>
      <c r="K489" s="54" t="str" cm="1">
        <f t="array" ref="K489">IFERROR(_xlfn.LET(
_xlpm.CSVVal,_xlfn.XLOOKUP($A489,CSV!$A:$A,CSV!M:M,""),
_xlpm.MacVal,_xlfn.XLOOKUP($A489,Output_Mac!$A:$A,Output_Mac!L:L,""),
_xlpm.MyAuditVal,_xlfn.XLOOKUP($A489,My_Audit!$A:$A,My_Audit!J:J,""),
_xlfn.IFS(_xlpm.MyAuditVal&lt;&gt;"",UPPER(_xlpm.MyAuditVal),_xlpm.MacVal&lt;&gt;"",_xlpm.MacVal,_xlpm.CSVVal&lt;&gt;"",_xlpm.CSVVal
)),"")</f>
        <v/>
      </c>
      <c r="L489" s="54" t="str" cm="1">
        <f t="array" ref="L489">IFERROR(_xlfn.LET(
_xlpm.CSVVal,_xlfn.XLOOKUP($A489,CSV!$A:$A,CSV!O:O,""),
_xlpm.MacVal,_xlfn.XLOOKUP($A489,Output_Mac!$A:$A,Output_Mac!M:M,""),
_xlpm.MyAuditVal,_xlfn.XLOOKUP($A489,My_Audit!$A:$A,My_Audit!K:K,""),
_xlfn.IFS(_xlpm.MyAuditVal&lt;&gt;"",UPPER(_xlpm.MyAuditVal),_xlpm.MacVal&lt;&gt;"",_xlpm.MacVal,_xlpm.CSVVal&lt;&gt;"",_xlpm.CSVVal
)),"")</f>
        <v/>
      </c>
      <c r="M489" s="54" t="str">
        <f>_xlfn.LET(
    _xlpm.CSVVal, _xlfn.XLOOKUP($A489, CSV!$A:$A, CSV!AD:AD, ""),
    _xlpm.MacVal, _xlfn.XLOOKUP($A489, Output_Mac!$A:$A, Output_Mac!S:S, ""),
    _xlpm.MyAuditVal, _xlfn.XLOOKUP($A489, My_Audit!$A:$A, My_Audit!N:N, ""),
    _xlfn.TEXTJOIN(", ", TRUE, _xlpm.MyAuditVal, _xlpm.MacVal, _xlpm.CSVVal)
)</f>
        <v/>
      </c>
      <c r="N489" s="54" t="str" cm="1">
        <f t="array" ref="N489">IFERROR(_xlfn.LET(
_xlpm.CSVVal,_xlfn.XLOOKUP($A489,CSV!$A:$A,CSV!AF:AF,""),
_xlpm.MacVal,_xlfn.XLOOKUP($A489,Output_Mac!$A:$A,Output_Mac!U:U,""),
_xlpm.MyAuditVal,_xlfn.XLOOKUP($A489,My_Audit!$A:$A,My_Audit!O:O,""),
_xlfn.IFS(_xlpm.MyAuditVal&lt;&gt;"",UPPER(_xlpm.MyAuditVal),_xlpm.MacVal&lt;&gt;"",_xlpm.MacVal,_xlpm.CSVVal&lt;&gt;"",_xlpm.CSVVal
)),"")</f>
        <v/>
      </c>
      <c r="O489" s="54"/>
      <c r="P489" s="54"/>
      <c r="Q489" s="54"/>
      <c r="R489" s="54"/>
      <c r="S489" s="54"/>
      <c r="T489" s="54"/>
      <c r="U489" s="39"/>
    </row>
    <row r="490" spans="1:21">
      <c r="A490" s="54" t="str">
        <f>_xlfn.TEXTJOIN("",TRUE,Input!$B$2,ROW(My_Audit!A489))</f>
        <v>XX489</v>
      </c>
      <c r="B490" s="54" t="str">
        <f>_xlfn.TEXTJOIN("-",TRUE,"ITD",Input!$A$2,A490)</f>
        <v>ITD-SHRXXX-XX489</v>
      </c>
      <c r="C490" s="54" t="str" cm="1">
        <f t="array" ref="C490">IFERROR(_xlfn.LET(
_xlpm.CSVVal,_xlfn.XLOOKUP($A490,CSV!$A:$A,CSV!B:B,""),
_xlpm.MacVal,_xlfn.XLOOKUP($A490,Output_Mac!$A:$A,Output_Mac!B:B,""),
_xlpm.MyAuditVal,_xlfn.XLOOKUP($A490,My_Audit!$A:$A,My_Audit!B:B,""),
_xlfn.IFS(_xlpm.MyAuditVal&lt;&gt;"",UPPER(_xlpm.MyAuditVal),_xlpm.MacVal&lt;&gt;"",_xlpm.MacVal,_xlpm.CSVVal&lt;&gt;"",_xlpm.CSVVal
)),"")</f>
        <v/>
      </c>
      <c r="D490" s="55" t="str">
        <f>_xlfn.XLOOKUP(A490,My_Audit!A:A,My_Audit!D:D,"")&amp;""</f>
        <v/>
      </c>
      <c r="E490" s="55" t="str" cm="1">
        <f t="array" ref="E490">IFERROR(_xlfn.LET(
_xlpm.CSVVal,_xlfn.XLOOKUP($A490,CSV!$A:$A,CSV!D:D,""),
_xlpm.MacVal,_xlfn.XLOOKUP($A490,Output_Mac!$A:$A,Output_Mac!C:C,""),
_xlpm.MyAuditVal,_xlfn.XLOOKUP($A490,My_Audit!$A:$A,My_Audit!D:D,""),
_xlfn.IFS(_xlpm.MyAuditVal&lt;&gt;"",_xlpm.MyAuditVal,_xlpm.MacVal&lt;&gt;"",_xlpm.MacVal,_xlpm.CSVVal&lt;&gt;"",_xlpm.CSVVal
)),"")</f>
        <v/>
      </c>
      <c r="F490" s="54" t="str" cm="1">
        <f t="array" ref="F490">IFERROR(_xlfn.LET(
_xlpm.CSVVal,_xlfn.XLOOKUP($A490,CSV!$A:$A,CSV!E:E,""),
_xlpm.MacVal,_xlfn.XLOOKUP($A490,Output_Mac!$A:$A,Output_Mac!F:F,""),
_xlpm.MyAuditVal,_xlfn.XLOOKUP($A490,My_Audit!$A:$A,My_Audit!E:E,""),
_xlfn.IFS(_xlpm.MyAuditVal&lt;&gt;"",_xlpm.MyAuditVal,_xlpm.MacVal&lt;&gt;"",_xlpm.MacVal,_xlpm.CSVVal&lt;&gt;"",PROPER(_xlpm.CSVVal)
)),"")</f>
        <v/>
      </c>
      <c r="G490" s="54" t="str" cm="1">
        <f t="array" ref="G490">IFERROR(_xlfn.LET(
_xlpm.CSVVal,_xlfn.XLOOKUP($A490,CSV!$A:$A,CSV!F:F,""),
_xlpm.MacVal,_xlfn.XLOOKUP($A490,Output_Mac!$A:$A,Output_Mac!H:H,""),
_xlpm.MyAuditVal,_xlfn.XLOOKUP($A490,My_Audit!$A:$A,My_Audit!F:F,""),
_xlfn.IFS(_xlpm.MyAuditVal&lt;&gt;"",_xlpm.MyAuditVal,_xlpm.MacVal&lt;&gt;"",_xlpm.MacVal,_xlpm.CSVVal&lt;&gt;"",_xlpm.CSVVal
)),"")</f>
        <v/>
      </c>
      <c r="H490" s="54" t="str">
        <f>_xlfn.XLOOKUP(A490,Output_Mac!A:A,Output_Mac!I:I,"")</f>
        <v/>
      </c>
      <c r="I490" s="54" t="str" cm="1">
        <f t="array" ref="I490">IFERROR(_xlfn.LET(
_xlpm.CSVVal,_xlfn.XLOOKUP($A490,CSV!$A:$A,CSV!G:G,""),
_xlpm.MacVal,_xlfn.XLOOKUP($A490,Output_Mac!$A:$A,Output_Mac!J:J,""),
_xlpm.MyAuditVal,_xlfn.XLOOKUP($A490,My_Audit!$A:$A,My_Audit!H:H,""),
_xlfn.IFS(_xlpm.MyAuditVal&lt;&gt;"",UPPER(_xlpm.MyAuditVal),_xlpm.MacVal&lt;&gt;"",_xlpm.MacVal,_xlpm.CSVVal&lt;&gt;"",_xlpm.CSVVal
)),"")</f>
        <v/>
      </c>
      <c r="J490" s="54" t="str" cm="1">
        <f t="array" ref="J490">IFERROR(_xlfn.LET(
_xlpm.CSVVal,_xlfn.XLOOKUP($A490,CSV!$A:$A,CSV!I:I,""),
_xlpm.MacVal,_xlfn.XLOOKUP($A490,Output_Mac!$A:$A,Output_Mac!K:K,""),
_xlpm.MyAuditVal,_xlfn.XLOOKUP($A490,My_Audit!$A:$A,My_Audit!I:I,""),
_xlfn.IFS(_xlpm.MyAuditVal&lt;&gt;"",UPPER(_xlpm.MyAuditVal),_xlpm.MacVal&lt;&gt;"",_xlpm.MacVal,_xlpm.CSVVal&lt;&gt;"",_xlpm.CSVVal
)),"")</f>
        <v/>
      </c>
      <c r="K490" s="54" t="str" cm="1">
        <f t="array" ref="K490">IFERROR(_xlfn.LET(
_xlpm.CSVVal,_xlfn.XLOOKUP($A490,CSV!$A:$A,CSV!M:M,""),
_xlpm.MacVal,_xlfn.XLOOKUP($A490,Output_Mac!$A:$A,Output_Mac!L:L,""),
_xlpm.MyAuditVal,_xlfn.XLOOKUP($A490,My_Audit!$A:$A,My_Audit!J:J,""),
_xlfn.IFS(_xlpm.MyAuditVal&lt;&gt;"",UPPER(_xlpm.MyAuditVal),_xlpm.MacVal&lt;&gt;"",_xlpm.MacVal,_xlpm.CSVVal&lt;&gt;"",_xlpm.CSVVal
)),"")</f>
        <v/>
      </c>
      <c r="L490" s="54" t="str" cm="1">
        <f t="array" ref="L490">IFERROR(_xlfn.LET(
_xlpm.CSVVal,_xlfn.XLOOKUP($A490,CSV!$A:$A,CSV!O:O,""),
_xlpm.MacVal,_xlfn.XLOOKUP($A490,Output_Mac!$A:$A,Output_Mac!M:M,""),
_xlpm.MyAuditVal,_xlfn.XLOOKUP($A490,My_Audit!$A:$A,My_Audit!K:K,""),
_xlfn.IFS(_xlpm.MyAuditVal&lt;&gt;"",UPPER(_xlpm.MyAuditVal),_xlpm.MacVal&lt;&gt;"",_xlpm.MacVal,_xlpm.CSVVal&lt;&gt;"",_xlpm.CSVVal
)),"")</f>
        <v/>
      </c>
      <c r="M490" s="54" t="str">
        <f>_xlfn.LET(
    _xlpm.CSVVal, _xlfn.XLOOKUP($A490, CSV!$A:$A, CSV!AD:AD, ""),
    _xlpm.MacVal, _xlfn.XLOOKUP($A490, Output_Mac!$A:$A, Output_Mac!S:S, ""),
    _xlpm.MyAuditVal, _xlfn.XLOOKUP($A490, My_Audit!$A:$A, My_Audit!N:N, ""),
    _xlfn.TEXTJOIN(", ", TRUE, _xlpm.MyAuditVal, _xlpm.MacVal, _xlpm.CSVVal)
)</f>
        <v/>
      </c>
      <c r="N490" s="54" t="str" cm="1">
        <f t="array" ref="N490">IFERROR(_xlfn.LET(
_xlpm.CSVVal,_xlfn.XLOOKUP($A490,CSV!$A:$A,CSV!AF:AF,""),
_xlpm.MacVal,_xlfn.XLOOKUP($A490,Output_Mac!$A:$A,Output_Mac!U:U,""),
_xlpm.MyAuditVal,_xlfn.XLOOKUP($A490,My_Audit!$A:$A,My_Audit!O:O,""),
_xlfn.IFS(_xlpm.MyAuditVal&lt;&gt;"",UPPER(_xlpm.MyAuditVal),_xlpm.MacVal&lt;&gt;"",_xlpm.MacVal,_xlpm.CSVVal&lt;&gt;"",_xlpm.CSVVal
)),"")</f>
        <v/>
      </c>
      <c r="O490" s="54"/>
      <c r="P490" s="54"/>
      <c r="Q490" s="54"/>
      <c r="R490" s="54"/>
      <c r="S490" s="54"/>
      <c r="T490" s="54"/>
      <c r="U490" s="39"/>
    </row>
    <row r="491" spans="1:21">
      <c r="A491" s="54" t="str">
        <f>_xlfn.TEXTJOIN("",TRUE,Input!$B$2,ROW(My_Audit!A490))</f>
        <v>XX490</v>
      </c>
      <c r="B491" s="54" t="str">
        <f>_xlfn.TEXTJOIN("-",TRUE,"ITD",Input!$A$2,A491)</f>
        <v>ITD-SHRXXX-XX490</v>
      </c>
      <c r="C491" s="54" t="str" cm="1">
        <f t="array" ref="C491">IFERROR(_xlfn.LET(
_xlpm.CSVVal,_xlfn.XLOOKUP($A491,CSV!$A:$A,CSV!B:B,""),
_xlpm.MacVal,_xlfn.XLOOKUP($A491,Output_Mac!$A:$A,Output_Mac!B:B,""),
_xlpm.MyAuditVal,_xlfn.XLOOKUP($A491,My_Audit!$A:$A,My_Audit!B:B,""),
_xlfn.IFS(_xlpm.MyAuditVal&lt;&gt;"",UPPER(_xlpm.MyAuditVal),_xlpm.MacVal&lt;&gt;"",_xlpm.MacVal,_xlpm.CSVVal&lt;&gt;"",_xlpm.CSVVal
)),"")</f>
        <v/>
      </c>
      <c r="D491" s="55" t="str">
        <f>_xlfn.XLOOKUP(A491,My_Audit!A:A,My_Audit!D:D,"")&amp;""</f>
        <v/>
      </c>
      <c r="E491" s="55" t="str" cm="1">
        <f t="array" ref="E491">IFERROR(_xlfn.LET(
_xlpm.CSVVal,_xlfn.XLOOKUP($A491,CSV!$A:$A,CSV!D:D,""),
_xlpm.MacVal,_xlfn.XLOOKUP($A491,Output_Mac!$A:$A,Output_Mac!C:C,""),
_xlpm.MyAuditVal,_xlfn.XLOOKUP($A491,My_Audit!$A:$A,My_Audit!D:D,""),
_xlfn.IFS(_xlpm.MyAuditVal&lt;&gt;"",_xlpm.MyAuditVal,_xlpm.MacVal&lt;&gt;"",_xlpm.MacVal,_xlpm.CSVVal&lt;&gt;"",_xlpm.CSVVal
)),"")</f>
        <v/>
      </c>
      <c r="F491" s="54" t="str" cm="1">
        <f t="array" ref="F491">IFERROR(_xlfn.LET(
_xlpm.CSVVal,_xlfn.XLOOKUP($A491,CSV!$A:$A,CSV!E:E,""),
_xlpm.MacVal,_xlfn.XLOOKUP($A491,Output_Mac!$A:$A,Output_Mac!F:F,""),
_xlpm.MyAuditVal,_xlfn.XLOOKUP($A491,My_Audit!$A:$A,My_Audit!E:E,""),
_xlfn.IFS(_xlpm.MyAuditVal&lt;&gt;"",_xlpm.MyAuditVal,_xlpm.MacVal&lt;&gt;"",_xlpm.MacVal,_xlpm.CSVVal&lt;&gt;"",PROPER(_xlpm.CSVVal)
)),"")</f>
        <v/>
      </c>
      <c r="G491" s="54" t="str" cm="1">
        <f t="array" ref="G491">IFERROR(_xlfn.LET(
_xlpm.CSVVal,_xlfn.XLOOKUP($A491,CSV!$A:$A,CSV!F:F,""),
_xlpm.MacVal,_xlfn.XLOOKUP($A491,Output_Mac!$A:$A,Output_Mac!H:H,""),
_xlpm.MyAuditVal,_xlfn.XLOOKUP($A491,My_Audit!$A:$A,My_Audit!F:F,""),
_xlfn.IFS(_xlpm.MyAuditVal&lt;&gt;"",_xlpm.MyAuditVal,_xlpm.MacVal&lt;&gt;"",_xlpm.MacVal,_xlpm.CSVVal&lt;&gt;"",_xlpm.CSVVal
)),"")</f>
        <v/>
      </c>
      <c r="H491" s="54" t="str">
        <f>_xlfn.XLOOKUP(A491,Output_Mac!A:A,Output_Mac!I:I,"")</f>
        <v/>
      </c>
      <c r="I491" s="54" t="str" cm="1">
        <f t="array" ref="I491">IFERROR(_xlfn.LET(
_xlpm.CSVVal,_xlfn.XLOOKUP($A491,CSV!$A:$A,CSV!G:G,""),
_xlpm.MacVal,_xlfn.XLOOKUP($A491,Output_Mac!$A:$A,Output_Mac!J:J,""),
_xlpm.MyAuditVal,_xlfn.XLOOKUP($A491,My_Audit!$A:$A,My_Audit!H:H,""),
_xlfn.IFS(_xlpm.MyAuditVal&lt;&gt;"",UPPER(_xlpm.MyAuditVal),_xlpm.MacVal&lt;&gt;"",_xlpm.MacVal,_xlpm.CSVVal&lt;&gt;"",_xlpm.CSVVal
)),"")</f>
        <v/>
      </c>
      <c r="J491" s="54" t="str" cm="1">
        <f t="array" ref="J491">IFERROR(_xlfn.LET(
_xlpm.CSVVal,_xlfn.XLOOKUP($A491,CSV!$A:$A,CSV!I:I,""),
_xlpm.MacVal,_xlfn.XLOOKUP($A491,Output_Mac!$A:$A,Output_Mac!K:K,""),
_xlpm.MyAuditVal,_xlfn.XLOOKUP($A491,My_Audit!$A:$A,My_Audit!I:I,""),
_xlfn.IFS(_xlpm.MyAuditVal&lt;&gt;"",UPPER(_xlpm.MyAuditVal),_xlpm.MacVal&lt;&gt;"",_xlpm.MacVal,_xlpm.CSVVal&lt;&gt;"",_xlpm.CSVVal
)),"")</f>
        <v/>
      </c>
      <c r="K491" s="54" t="str" cm="1">
        <f t="array" ref="K491">IFERROR(_xlfn.LET(
_xlpm.CSVVal,_xlfn.XLOOKUP($A491,CSV!$A:$A,CSV!M:M,""),
_xlpm.MacVal,_xlfn.XLOOKUP($A491,Output_Mac!$A:$A,Output_Mac!L:L,""),
_xlpm.MyAuditVal,_xlfn.XLOOKUP($A491,My_Audit!$A:$A,My_Audit!J:J,""),
_xlfn.IFS(_xlpm.MyAuditVal&lt;&gt;"",UPPER(_xlpm.MyAuditVal),_xlpm.MacVal&lt;&gt;"",_xlpm.MacVal,_xlpm.CSVVal&lt;&gt;"",_xlpm.CSVVal
)),"")</f>
        <v/>
      </c>
      <c r="L491" s="54" t="str" cm="1">
        <f t="array" ref="L491">IFERROR(_xlfn.LET(
_xlpm.CSVVal,_xlfn.XLOOKUP($A491,CSV!$A:$A,CSV!O:O,""),
_xlpm.MacVal,_xlfn.XLOOKUP($A491,Output_Mac!$A:$A,Output_Mac!M:M,""),
_xlpm.MyAuditVal,_xlfn.XLOOKUP($A491,My_Audit!$A:$A,My_Audit!K:K,""),
_xlfn.IFS(_xlpm.MyAuditVal&lt;&gt;"",UPPER(_xlpm.MyAuditVal),_xlpm.MacVal&lt;&gt;"",_xlpm.MacVal,_xlpm.CSVVal&lt;&gt;"",_xlpm.CSVVal
)),"")</f>
        <v/>
      </c>
      <c r="M491" s="54" t="str">
        <f>_xlfn.LET(
    _xlpm.CSVVal, _xlfn.XLOOKUP($A491, CSV!$A:$A, CSV!AD:AD, ""),
    _xlpm.MacVal, _xlfn.XLOOKUP($A491, Output_Mac!$A:$A, Output_Mac!S:S, ""),
    _xlpm.MyAuditVal, _xlfn.XLOOKUP($A491, My_Audit!$A:$A, My_Audit!N:N, ""),
    _xlfn.TEXTJOIN(", ", TRUE, _xlpm.MyAuditVal, _xlpm.MacVal, _xlpm.CSVVal)
)</f>
        <v/>
      </c>
      <c r="N491" s="54" t="str" cm="1">
        <f t="array" ref="N491">IFERROR(_xlfn.LET(
_xlpm.CSVVal,_xlfn.XLOOKUP($A491,CSV!$A:$A,CSV!AF:AF,""),
_xlpm.MacVal,_xlfn.XLOOKUP($A491,Output_Mac!$A:$A,Output_Mac!U:U,""),
_xlpm.MyAuditVal,_xlfn.XLOOKUP($A491,My_Audit!$A:$A,My_Audit!O:O,""),
_xlfn.IFS(_xlpm.MyAuditVal&lt;&gt;"",UPPER(_xlpm.MyAuditVal),_xlpm.MacVal&lt;&gt;"",_xlpm.MacVal,_xlpm.CSVVal&lt;&gt;"",_xlpm.CSVVal
)),"")</f>
        <v/>
      </c>
      <c r="O491" s="54"/>
      <c r="P491" s="54"/>
      <c r="Q491" s="54"/>
      <c r="R491" s="54"/>
      <c r="S491" s="54"/>
      <c r="T491" s="54"/>
      <c r="U491" s="39"/>
    </row>
    <row r="492" spans="1:21">
      <c r="A492" s="54" t="str">
        <f>_xlfn.TEXTJOIN("",TRUE,Input!$B$2,ROW(My_Audit!A491))</f>
        <v>XX491</v>
      </c>
      <c r="B492" s="54" t="str">
        <f>_xlfn.TEXTJOIN("-",TRUE,"ITD",Input!$A$2,A492)</f>
        <v>ITD-SHRXXX-XX491</v>
      </c>
      <c r="C492" s="54" t="str" cm="1">
        <f t="array" ref="C492">IFERROR(_xlfn.LET(
_xlpm.CSVVal,_xlfn.XLOOKUP($A492,CSV!$A:$A,CSV!B:B,""),
_xlpm.MacVal,_xlfn.XLOOKUP($A492,Output_Mac!$A:$A,Output_Mac!B:B,""),
_xlpm.MyAuditVal,_xlfn.XLOOKUP($A492,My_Audit!$A:$A,My_Audit!B:B,""),
_xlfn.IFS(_xlpm.MyAuditVal&lt;&gt;"",UPPER(_xlpm.MyAuditVal),_xlpm.MacVal&lt;&gt;"",_xlpm.MacVal,_xlpm.CSVVal&lt;&gt;"",_xlpm.CSVVal
)),"")</f>
        <v/>
      </c>
      <c r="D492" s="55" t="str">
        <f>_xlfn.XLOOKUP(A492,My_Audit!A:A,My_Audit!D:D,"")&amp;""</f>
        <v/>
      </c>
      <c r="E492" s="55" t="str" cm="1">
        <f t="array" ref="E492">IFERROR(_xlfn.LET(
_xlpm.CSVVal,_xlfn.XLOOKUP($A492,CSV!$A:$A,CSV!D:D,""),
_xlpm.MacVal,_xlfn.XLOOKUP($A492,Output_Mac!$A:$A,Output_Mac!C:C,""),
_xlpm.MyAuditVal,_xlfn.XLOOKUP($A492,My_Audit!$A:$A,My_Audit!D:D,""),
_xlfn.IFS(_xlpm.MyAuditVal&lt;&gt;"",_xlpm.MyAuditVal,_xlpm.MacVal&lt;&gt;"",_xlpm.MacVal,_xlpm.CSVVal&lt;&gt;"",_xlpm.CSVVal
)),"")</f>
        <v/>
      </c>
      <c r="F492" s="54" t="str" cm="1">
        <f t="array" ref="F492">IFERROR(_xlfn.LET(
_xlpm.CSVVal,_xlfn.XLOOKUP($A492,CSV!$A:$A,CSV!E:E,""),
_xlpm.MacVal,_xlfn.XLOOKUP($A492,Output_Mac!$A:$A,Output_Mac!F:F,""),
_xlpm.MyAuditVal,_xlfn.XLOOKUP($A492,My_Audit!$A:$A,My_Audit!E:E,""),
_xlfn.IFS(_xlpm.MyAuditVal&lt;&gt;"",_xlpm.MyAuditVal,_xlpm.MacVal&lt;&gt;"",_xlpm.MacVal,_xlpm.CSVVal&lt;&gt;"",PROPER(_xlpm.CSVVal)
)),"")</f>
        <v/>
      </c>
      <c r="G492" s="54" t="str" cm="1">
        <f t="array" ref="G492">IFERROR(_xlfn.LET(
_xlpm.CSVVal,_xlfn.XLOOKUP($A492,CSV!$A:$A,CSV!F:F,""),
_xlpm.MacVal,_xlfn.XLOOKUP($A492,Output_Mac!$A:$A,Output_Mac!H:H,""),
_xlpm.MyAuditVal,_xlfn.XLOOKUP($A492,My_Audit!$A:$A,My_Audit!F:F,""),
_xlfn.IFS(_xlpm.MyAuditVal&lt;&gt;"",_xlpm.MyAuditVal,_xlpm.MacVal&lt;&gt;"",_xlpm.MacVal,_xlpm.CSVVal&lt;&gt;"",_xlpm.CSVVal
)),"")</f>
        <v/>
      </c>
      <c r="H492" s="54" t="str">
        <f>_xlfn.XLOOKUP(A492,Output_Mac!A:A,Output_Mac!I:I,"")</f>
        <v/>
      </c>
      <c r="I492" s="54" t="str" cm="1">
        <f t="array" ref="I492">IFERROR(_xlfn.LET(
_xlpm.CSVVal,_xlfn.XLOOKUP($A492,CSV!$A:$A,CSV!G:G,""),
_xlpm.MacVal,_xlfn.XLOOKUP($A492,Output_Mac!$A:$A,Output_Mac!J:J,""),
_xlpm.MyAuditVal,_xlfn.XLOOKUP($A492,My_Audit!$A:$A,My_Audit!H:H,""),
_xlfn.IFS(_xlpm.MyAuditVal&lt;&gt;"",UPPER(_xlpm.MyAuditVal),_xlpm.MacVal&lt;&gt;"",_xlpm.MacVal,_xlpm.CSVVal&lt;&gt;"",_xlpm.CSVVal
)),"")</f>
        <v/>
      </c>
      <c r="J492" s="54" t="str" cm="1">
        <f t="array" ref="J492">IFERROR(_xlfn.LET(
_xlpm.CSVVal,_xlfn.XLOOKUP($A492,CSV!$A:$A,CSV!I:I,""),
_xlpm.MacVal,_xlfn.XLOOKUP($A492,Output_Mac!$A:$A,Output_Mac!K:K,""),
_xlpm.MyAuditVal,_xlfn.XLOOKUP($A492,My_Audit!$A:$A,My_Audit!I:I,""),
_xlfn.IFS(_xlpm.MyAuditVal&lt;&gt;"",UPPER(_xlpm.MyAuditVal),_xlpm.MacVal&lt;&gt;"",_xlpm.MacVal,_xlpm.CSVVal&lt;&gt;"",_xlpm.CSVVal
)),"")</f>
        <v/>
      </c>
      <c r="K492" s="54" t="str" cm="1">
        <f t="array" ref="K492">IFERROR(_xlfn.LET(
_xlpm.CSVVal,_xlfn.XLOOKUP($A492,CSV!$A:$A,CSV!M:M,""),
_xlpm.MacVal,_xlfn.XLOOKUP($A492,Output_Mac!$A:$A,Output_Mac!L:L,""),
_xlpm.MyAuditVal,_xlfn.XLOOKUP($A492,My_Audit!$A:$A,My_Audit!J:J,""),
_xlfn.IFS(_xlpm.MyAuditVal&lt;&gt;"",UPPER(_xlpm.MyAuditVal),_xlpm.MacVal&lt;&gt;"",_xlpm.MacVal,_xlpm.CSVVal&lt;&gt;"",_xlpm.CSVVal
)),"")</f>
        <v/>
      </c>
      <c r="L492" s="54" t="str" cm="1">
        <f t="array" ref="L492">IFERROR(_xlfn.LET(
_xlpm.CSVVal,_xlfn.XLOOKUP($A492,CSV!$A:$A,CSV!O:O,""),
_xlpm.MacVal,_xlfn.XLOOKUP($A492,Output_Mac!$A:$A,Output_Mac!M:M,""),
_xlpm.MyAuditVal,_xlfn.XLOOKUP($A492,My_Audit!$A:$A,My_Audit!K:K,""),
_xlfn.IFS(_xlpm.MyAuditVal&lt;&gt;"",UPPER(_xlpm.MyAuditVal),_xlpm.MacVal&lt;&gt;"",_xlpm.MacVal,_xlpm.CSVVal&lt;&gt;"",_xlpm.CSVVal
)),"")</f>
        <v/>
      </c>
      <c r="M492" s="54" t="str">
        <f>_xlfn.LET(
    _xlpm.CSVVal, _xlfn.XLOOKUP($A492, CSV!$A:$A, CSV!AD:AD, ""),
    _xlpm.MacVal, _xlfn.XLOOKUP($A492, Output_Mac!$A:$A, Output_Mac!S:S, ""),
    _xlpm.MyAuditVal, _xlfn.XLOOKUP($A492, My_Audit!$A:$A, My_Audit!N:N, ""),
    _xlfn.TEXTJOIN(", ", TRUE, _xlpm.MyAuditVal, _xlpm.MacVal, _xlpm.CSVVal)
)</f>
        <v/>
      </c>
      <c r="N492" s="54" t="str" cm="1">
        <f t="array" ref="N492">IFERROR(_xlfn.LET(
_xlpm.CSVVal,_xlfn.XLOOKUP($A492,CSV!$A:$A,CSV!AF:AF,""),
_xlpm.MacVal,_xlfn.XLOOKUP($A492,Output_Mac!$A:$A,Output_Mac!U:U,""),
_xlpm.MyAuditVal,_xlfn.XLOOKUP($A492,My_Audit!$A:$A,My_Audit!O:O,""),
_xlfn.IFS(_xlpm.MyAuditVal&lt;&gt;"",UPPER(_xlpm.MyAuditVal),_xlpm.MacVal&lt;&gt;"",_xlpm.MacVal,_xlpm.CSVVal&lt;&gt;"",_xlpm.CSVVal
)),"")</f>
        <v/>
      </c>
      <c r="O492" s="54"/>
      <c r="P492" s="54"/>
      <c r="Q492" s="54"/>
      <c r="R492" s="54"/>
      <c r="S492" s="54"/>
      <c r="T492" s="54"/>
      <c r="U492" s="39"/>
    </row>
    <row r="493" spans="1:21">
      <c r="A493" s="54" t="str">
        <f>_xlfn.TEXTJOIN("",TRUE,Input!$B$2,ROW(My_Audit!A492))</f>
        <v>XX492</v>
      </c>
      <c r="B493" s="54" t="str">
        <f>_xlfn.TEXTJOIN("-",TRUE,"ITD",Input!$A$2,A493)</f>
        <v>ITD-SHRXXX-XX492</v>
      </c>
      <c r="C493" s="54" t="str" cm="1">
        <f t="array" ref="C493">IFERROR(_xlfn.LET(
_xlpm.CSVVal,_xlfn.XLOOKUP($A493,CSV!$A:$A,CSV!B:B,""),
_xlpm.MacVal,_xlfn.XLOOKUP($A493,Output_Mac!$A:$A,Output_Mac!B:B,""),
_xlpm.MyAuditVal,_xlfn.XLOOKUP($A493,My_Audit!$A:$A,My_Audit!B:B,""),
_xlfn.IFS(_xlpm.MyAuditVal&lt;&gt;"",UPPER(_xlpm.MyAuditVal),_xlpm.MacVal&lt;&gt;"",_xlpm.MacVal,_xlpm.CSVVal&lt;&gt;"",_xlpm.CSVVal
)),"")</f>
        <v/>
      </c>
      <c r="D493" s="55" t="str">
        <f>_xlfn.XLOOKUP(A493,My_Audit!A:A,My_Audit!D:D,"")&amp;""</f>
        <v/>
      </c>
      <c r="E493" s="55" t="str" cm="1">
        <f t="array" ref="E493">IFERROR(_xlfn.LET(
_xlpm.CSVVal,_xlfn.XLOOKUP($A493,CSV!$A:$A,CSV!D:D,""),
_xlpm.MacVal,_xlfn.XLOOKUP($A493,Output_Mac!$A:$A,Output_Mac!C:C,""),
_xlpm.MyAuditVal,_xlfn.XLOOKUP($A493,My_Audit!$A:$A,My_Audit!D:D,""),
_xlfn.IFS(_xlpm.MyAuditVal&lt;&gt;"",_xlpm.MyAuditVal,_xlpm.MacVal&lt;&gt;"",_xlpm.MacVal,_xlpm.CSVVal&lt;&gt;"",_xlpm.CSVVal
)),"")</f>
        <v/>
      </c>
      <c r="F493" s="54" t="str" cm="1">
        <f t="array" ref="F493">IFERROR(_xlfn.LET(
_xlpm.CSVVal,_xlfn.XLOOKUP($A493,CSV!$A:$A,CSV!E:E,""),
_xlpm.MacVal,_xlfn.XLOOKUP($A493,Output_Mac!$A:$A,Output_Mac!F:F,""),
_xlpm.MyAuditVal,_xlfn.XLOOKUP($A493,My_Audit!$A:$A,My_Audit!E:E,""),
_xlfn.IFS(_xlpm.MyAuditVal&lt;&gt;"",_xlpm.MyAuditVal,_xlpm.MacVal&lt;&gt;"",_xlpm.MacVal,_xlpm.CSVVal&lt;&gt;"",PROPER(_xlpm.CSVVal)
)),"")</f>
        <v/>
      </c>
      <c r="G493" s="54" t="str" cm="1">
        <f t="array" ref="G493">IFERROR(_xlfn.LET(
_xlpm.CSVVal,_xlfn.XLOOKUP($A493,CSV!$A:$A,CSV!F:F,""),
_xlpm.MacVal,_xlfn.XLOOKUP($A493,Output_Mac!$A:$A,Output_Mac!H:H,""),
_xlpm.MyAuditVal,_xlfn.XLOOKUP($A493,My_Audit!$A:$A,My_Audit!F:F,""),
_xlfn.IFS(_xlpm.MyAuditVal&lt;&gt;"",_xlpm.MyAuditVal,_xlpm.MacVal&lt;&gt;"",_xlpm.MacVal,_xlpm.CSVVal&lt;&gt;"",_xlpm.CSVVal
)),"")</f>
        <v/>
      </c>
      <c r="H493" s="54" t="str">
        <f>_xlfn.XLOOKUP(A493,Output_Mac!A:A,Output_Mac!I:I,"")</f>
        <v/>
      </c>
      <c r="I493" s="54" t="str" cm="1">
        <f t="array" ref="I493">IFERROR(_xlfn.LET(
_xlpm.CSVVal,_xlfn.XLOOKUP($A493,CSV!$A:$A,CSV!G:G,""),
_xlpm.MacVal,_xlfn.XLOOKUP($A493,Output_Mac!$A:$A,Output_Mac!J:J,""),
_xlpm.MyAuditVal,_xlfn.XLOOKUP($A493,My_Audit!$A:$A,My_Audit!H:H,""),
_xlfn.IFS(_xlpm.MyAuditVal&lt;&gt;"",UPPER(_xlpm.MyAuditVal),_xlpm.MacVal&lt;&gt;"",_xlpm.MacVal,_xlpm.CSVVal&lt;&gt;"",_xlpm.CSVVal
)),"")</f>
        <v/>
      </c>
      <c r="J493" s="54" t="str" cm="1">
        <f t="array" ref="J493">IFERROR(_xlfn.LET(
_xlpm.CSVVal,_xlfn.XLOOKUP($A493,CSV!$A:$A,CSV!I:I,""),
_xlpm.MacVal,_xlfn.XLOOKUP($A493,Output_Mac!$A:$A,Output_Mac!K:K,""),
_xlpm.MyAuditVal,_xlfn.XLOOKUP($A493,My_Audit!$A:$A,My_Audit!I:I,""),
_xlfn.IFS(_xlpm.MyAuditVal&lt;&gt;"",UPPER(_xlpm.MyAuditVal),_xlpm.MacVal&lt;&gt;"",_xlpm.MacVal,_xlpm.CSVVal&lt;&gt;"",_xlpm.CSVVal
)),"")</f>
        <v/>
      </c>
      <c r="K493" s="54" t="str" cm="1">
        <f t="array" ref="K493">IFERROR(_xlfn.LET(
_xlpm.CSVVal,_xlfn.XLOOKUP($A493,CSV!$A:$A,CSV!M:M,""),
_xlpm.MacVal,_xlfn.XLOOKUP($A493,Output_Mac!$A:$A,Output_Mac!L:L,""),
_xlpm.MyAuditVal,_xlfn.XLOOKUP($A493,My_Audit!$A:$A,My_Audit!J:J,""),
_xlfn.IFS(_xlpm.MyAuditVal&lt;&gt;"",UPPER(_xlpm.MyAuditVal),_xlpm.MacVal&lt;&gt;"",_xlpm.MacVal,_xlpm.CSVVal&lt;&gt;"",_xlpm.CSVVal
)),"")</f>
        <v/>
      </c>
      <c r="L493" s="54" t="str" cm="1">
        <f t="array" ref="L493">IFERROR(_xlfn.LET(
_xlpm.CSVVal,_xlfn.XLOOKUP($A493,CSV!$A:$A,CSV!O:O,""),
_xlpm.MacVal,_xlfn.XLOOKUP($A493,Output_Mac!$A:$A,Output_Mac!M:M,""),
_xlpm.MyAuditVal,_xlfn.XLOOKUP($A493,My_Audit!$A:$A,My_Audit!K:K,""),
_xlfn.IFS(_xlpm.MyAuditVal&lt;&gt;"",UPPER(_xlpm.MyAuditVal),_xlpm.MacVal&lt;&gt;"",_xlpm.MacVal,_xlpm.CSVVal&lt;&gt;"",_xlpm.CSVVal
)),"")</f>
        <v/>
      </c>
      <c r="M493" s="54" t="str">
        <f>_xlfn.LET(
    _xlpm.CSVVal, _xlfn.XLOOKUP($A493, CSV!$A:$A, CSV!AD:AD, ""),
    _xlpm.MacVal, _xlfn.XLOOKUP($A493, Output_Mac!$A:$A, Output_Mac!S:S, ""),
    _xlpm.MyAuditVal, _xlfn.XLOOKUP($A493, My_Audit!$A:$A, My_Audit!N:N, ""),
    _xlfn.TEXTJOIN(", ", TRUE, _xlpm.MyAuditVal, _xlpm.MacVal, _xlpm.CSVVal)
)</f>
        <v/>
      </c>
      <c r="N493" s="54" t="str" cm="1">
        <f t="array" ref="N493">IFERROR(_xlfn.LET(
_xlpm.CSVVal,_xlfn.XLOOKUP($A493,CSV!$A:$A,CSV!AF:AF,""),
_xlpm.MacVal,_xlfn.XLOOKUP($A493,Output_Mac!$A:$A,Output_Mac!U:U,""),
_xlpm.MyAuditVal,_xlfn.XLOOKUP($A493,My_Audit!$A:$A,My_Audit!O:O,""),
_xlfn.IFS(_xlpm.MyAuditVal&lt;&gt;"",UPPER(_xlpm.MyAuditVal),_xlpm.MacVal&lt;&gt;"",_xlpm.MacVal,_xlpm.CSVVal&lt;&gt;"",_xlpm.CSVVal
)),"")</f>
        <v/>
      </c>
      <c r="O493" s="54"/>
      <c r="P493" s="54"/>
      <c r="Q493" s="54"/>
      <c r="R493" s="54"/>
      <c r="S493" s="54"/>
      <c r="T493" s="54"/>
      <c r="U493" s="39"/>
    </row>
    <row r="494" spans="1:21">
      <c r="A494" s="54" t="str">
        <f>_xlfn.TEXTJOIN("",TRUE,Input!$B$2,ROW(My_Audit!A493))</f>
        <v>XX493</v>
      </c>
      <c r="B494" s="54" t="str">
        <f>_xlfn.TEXTJOIN("-",TRUE,"ITD",Input!$A$2,A494)</f>
        <v>ITD-SHRXXX-XX493</v>
      </c>
      <c r="C494" s="54" t="str" cm="1">
        <f t="array" ref="C494">IFERROR(_xlfn.LET(
_xlpm.CSVVal,_xlfn.XLOOKUP($A494,CSV!$A:$A,CSV!B:B,""),
_xlpm.MacVal,_xlfn.XLOOKUP($A494,Output_Mac!$A:$A,Output_Mac!B:B,""),
_xlpm.MyAuditVal,_xlfn.XLOOKUP($A494,My_Audit!$A:$A,My_Audit!B:B,""),
_xlfn.IFS(_xlpm.MyAuditVal&lt;&gt;"",UPPER(_xlpm.MyAuditVal),_xlpm.MacVal&lt;&gt;"",_xlpm.MacVal,_xlpm.CSVVal&lt;&gt;"",_xlpm.CSVVal
)),"")</f>
        <v/>
      </c>
      <c r="D494" s="55" t="str">
        <f>_xlfn.XLOOKUP(A494,My_Audit!A:A,My_Audit!D:D,"")&amp;""</f>
        <v/>
      </c>
      <c r="E494" s="55" t="str" cm="1">
        <f t="array" ref="E494">IFERROR(_xlfn.LET(
_xlpm.CSVVal,_xlfn.XLOOKUP($A494,CSV!$A:$A,CSV!D:D,""),
_xlpm.MacVal,_xlfn.XLOOKUP($A494,Output_Mac!$A:$A,Output_Mac!C:C,""),
_xlpm.MyAuditVal,_xlfn.XLOOKUP($A494,My_Audit!$A:$A,My_Audit!D:D,""),
_xlfn.IFS(_xlpm.MyAuditVal&lt;&gt;"",_xlpm.MyAuditVal,_xlpm.MacVal&lt;&gt;"",_xlpm.MacVal,_xlpm.CSVVal&lt;&gt;"",_xlpm.CSVVal
)),"")</f>
        <v/>
      </c>
      <c r="F494" s="54" t="str" cm="1">
        <f t="array" ref="F494">IFERROR(_xlfn.LET(
_xlpm.CSVVal,_xlfn.XLOOKUP($A494,CSV!$A:$A,CSV!E:E,""),
_xlpm.MacVal,_xlfn.XLOOKUP($A494,Output_Mac!$A:$A,Output_Mac!F:F,""),
_xlpm.MyAuditVal,_xlfn.XLOOKUP($A494,My_Audit!$A:$A,My_Audit!E:E,""),
_xlfn.IFS(_xlpm.MyAuditVal&lt;&gt;"",_xlpm.MyAuditVal,_xlpm.MacVal&lt;&gt;"",_xlpm.MacVal,_xlpm.CSVVal&lt;&gt;"",PROPER(_xlpm.CSVVal)
)),"")</f>
        <v/>
      </c>
      <c r="G494" s="54" t="str" cm="1">
        <f t="array" ref="G494">IFERROR(_xlfn.LET(
_xlpm.CSVVal,_xlfn.XLOOKUP($A494,CSV!$A:$A,CSV!F:F,""),
_xlpm.MacVal,_xlfn.XLOOKUP($A494,Output_Mac!$A:$A,Output_Mac!H:H,""),
_xlpm.MyAuditVal,_xlfn.XLOOKUP($A494,My_Audit!$A:$A,My_Audit!F:F,""),
_xlfn.IFS(_xlpm.MyAuditVal&lt;&gt;"",_xlpm.MyAuditVal,_xlpm.MacVal&lt;&gt;"",_xlpm.MacVal,_xlpm.CSVVal&lt;&gt;"",_xlpm.CSVVal
)),"")</f>
        <v/>
      </c>
      <c r="H494" s="54" t="str">
        <f>_xlfn.XLOOKUP(A494,Output_Mac!A:A,Output_Mac!I:I,"")</f>
        <v/>
      </c>
      <c r="I494" s="54" t="str" cm="1">
        <f t="array" ref="I494">IFERROR(_xlfn.LET(
_xlpm.CSVVal,_xlfn.XLOOKUP($A494,CSV!$A:$A,CSV!G:G,""),
_xlpm.MacVal,_xlfn.XLOOKUP($A494,Output_Mac!$A:$A,Output_Mac!J:J,""),
_xlpm.MyAuditVal,_xlfn.XLOOKUP($A494,My_Audit!$A:$A,My_Audit!H:H,""),
_xlfn.IFS(_xlpm.MyAuditVal&lt;&gt;"",UPPER(_xlpm.MyAuditVal),_xlpm.MacVal&lt;&gt;"",_xlpm.MacVal,_xlpm.CSVVal&lt;&gt;"",_xlpm.CSVVal
)),"")</f>
        <v/>
      </c>
      <c r="J494" s="54" t="str" cm="1">
        <f t="array" ref="J494">IFERROR(_xlfn.LET(
_xlpm.CSVVal,_xlfn.XLOOKUP($A494,CSV!$A:$A,CSV!I:I,""),
_xlpm.MacVal,_xlfn.XLOOKUP($A494,Output_Mac!$A:$A,Output_Mac!K:K,""),
_xlpm.MyAuditVal,_xlfn.XLOOKUP($A494,My_Audit!$A:$A,My_Audit!I:I,""),
_xlfn.IFS(_xlpm.MyAuditVal&lt;&gt;"",UPPER(_xlpm.MyAuditVal),_xlpm.MacVal&lt;&gt;"",_xlpm.MacVal,_xlpm.CSVVal&lt;&gt;"",_xlpm.CSVVal
)),"")</f>
        <v/>
      </c>
      <c r="K494" s="54" t="str" cm="1">
        <f t="array" ref="K494">IFERROR(_xlfn.LET(
_xlpm.CSVVal,_xlfn.XLOOKUP($A494,CSV!$A:$A,CSV!M:M,""),
_xlpm.MacVal,_xlfn.XLOOKUP($A494,Output_Mac!$A:$A,Output_Mac!L:L,""),
_xlpm.MyAuditVal,_xlfn.XLOOKUP($A494,My_Audit!$A:$A,My_Audit!J:J,""),
_xlfn.IFS(_xlpm.MyAuditVal&lt;&gt;"",UPPER(_xlpm.MyAuditVal),_xlpm.MacVal&lt;&gt;"",_xlpm.MacVal,_xlpm.CSVVal&lt;&gt;"",_xlpm.CSVVal
)),"")</f>
        <v/>
      </c>
      <c r="L494" s="54" t="str" cm="1">
        <f t="array" ref="L494">IFERROR(_xlfn.LET(
_xlpm.CSVVal,_xlfn.XLOOKUP($A494,CSV!$A:$A,CSV!O:O,""),
_xlpm.MacVal,_xlfn.XLOOKUP($A494,Output_Mac!$A:$A,Output_Mac!M:M,""),
_xlpm.MyAuditVal,_xlfn.XLOOKUP($A494,My_Audit!$A:$A,My_Audit!K:K,""),
_xlfn.IFS(_xlpm.MyAuditVal&lt;&gt;"",UPPER(_xlpm.MyAuditVal),_xlpm.MacVal&lt;&gt;"",_xlpm.MacVal,_xlpm.CSVVal&lt;&gt;"",_xlpm.CSVVal
)),"")</f>
        <v/>
      </c>
      <c r="M494" s="54" t="str">
        <f>_xlfn.LET(
    _xlpm.CSVVal, _xlfn.XLOOKUP($A494, CSV!$A:$A, CSV!AD:AD, ""),
    _xlpm.MacVal, _xlfn.XLOOKUP($A494, Output_Mac!$A:$A, Output_Mac!S:S, ""),
    _xlpm.MyAuditVal, _xlfn.XLOOKUP($A494, My_Audit!$A:$A, My_Audit!N:N, ""),
    _xlfn.TEXTJOIN(", ", TRUE, _xlpm.MyAuditVal, _xlpm.MacVal, _xlpm.CSVVal)
)</f>
        <v/>
      </c>
      <c r="N494" s="54" t="str" cm="1">
        <f t="array" ref="N494">IFERROR(_xlfn.LET(
_xlpm.CSVVal,_xlfn.XLOOKUP($A494,CSV!$A:$A,CSV!AF:AF,""),
_xlpm.MacVal,_xlfn.XLOOKUP($A494,Output_Mac!$A:$A,Output_Mac!U:U,""),
_xlpm.MyAuditVal,_xlfn.XLOOKUP($A494,My_Audit!$A:$A,My_Audit!O:O,""),
_xlfn.IFS(_xlpm.MyAuditVal&lt;&gt;"",UPPER(_xlpm.MyAuditVal),_xlpm.MacVal&lt;&gt;"",_xlpm.MacVal,_xlpm.CSVVal&lt;&gt;"",_xlpm.CSVVal
)),"")</f>
        <v/>
      </c>
      <c r="O494" s="54"/>
      <c r="P494" s="54"/>
      <c r="Q494" s="54"/>
      <c r="R494" s="54"/>
      <c r="S494" s="54"/>
      <c r="T494" s="54"/>
      <c r="U494" s="39"/>
    </row>
    <row r="495" spans="1:21">
      <c r="A495" s="54" t="str">
        <f>_xlfn.TEXTJOIN("",TRUE,Input!$B$2,ROW(My_Audit!A494))</f>
        <v>XX494</v>
      </c>
      <c r="B495" s="54" t="str">
        <f>_xlfn.TEXTJOIN("-",TRUE,"ITD",Input!$A$2,A495)</f>
        <v>ITD-SHRXXX-XX494</v>
      </c>
      <c r="C495" s="54" t="str" cm="1">
        <f t="array" ref="C495">IFERROR(_xlfn.LET(
_xlpm.CSVVal,_xlfn.XLOOKUP($A495,CSV!$A:$A,CSV!B:B,""),
_xlpm.MacVal,_xlfn.XLOOKUP($A495,Output_Mac!$A:$A,Output_Mac!B:B,""),
_xlpm.MyAuditVal,_xlfn.XLOOKUP($A495,My_Audit!$A:$A,My_Audit!B:B,""),
_xlfn.IFS(_xlpm.MyAuditVal&lt;&gt;"",UPPER(_xlpm.MyAuditVal),_xlpm.MacVal&lt;&gt;"",_xlpm.MacVal,_xlpm.CSVVal&lt;&gt;"",_xlpm.CSVVal
)),"")</f>
        <v/>
      </c>
      <c r="D495" s="55" t="str">
        <f>_xlfn.XLOOKUP(A495,My_Audit!A:A,My_Audit!D:D,"")&amp;""</f>
        <v/>
      </c>
      <c r="E495" s="55" t="str" cm="1">
        <f t="array" ref="E495">IFERROR(_xlfn.LET(
_xlpm.CSVVal,_xlfn.XLOOKUP($A495,CSV!$A:$A,CSV!D:D,""),
_xlpm.MacVal,_xlfn.XLOOKUP($A495,Output_Mac!$A:$A,Output_Mac!C:C,""),
_xlpm.MyAuditVal,_xlfn.XLOOKUP($A495,My_Audit!$A:$A,My_Audit!D:D,""),
_xlfn.IFS(_xlpm.MyAuditVal&lt;&gt;"",_xlpm.MyAuditVal,_xlpm.MacVal&lt;&gt;"",_xlpm.MacVal,_xlpm.CSVVal&lt;&gt;"",_xlpm.CSVVal
)),"")</f>
        <v/>
      </c>
      <c r="F495" s="54" t="str" cm="1">
        <f t="array" ref="F495">IFERROR(_xlfn.LET(
_xlpm.CSVVal,_xlfn.XLOOKUP($A495,CSV!$A:$A,CSV!E:E,""),
_xlpm.MacVal,_xlfn.XLOOKUP($A495,Output_Mac!$A:$A,Output_Mac!F:F,""),
_xlpm.MyAuditVal,_xlfn.XLOOKUP($A495,My_Audit!$A:$A,My_Audit!E:E,""),
_xlfn.IFS(_xlpm.MyAuditVal&lt;&gt;"",_xlpm.MyAuditVal,_xlpm.MacVal&lt;&gt;"",_xlpm.MacVal,_xlpm.CSVVal&lt;&gt;"",PROPER(_xlpm.CSVVal)
)),"")</f>
        <v/>
      </c>
      <c r="G495" s="54" t="str" cm="1">
        <f t="array" ref="G495">IFERROR(_xlfn.LET(
_xlpm.CSVVal,_xlfn.XLOOKUP($A495,CSV!$A:$A,CSV!F:F,""),
_xlpm.MacVal,_xlfn.XLOOKUP($A495,Output_Mac!$A:$A,Output_Mac!H:H,""),
_xlpm.MyAuditVal,_xlfn.XLOOKUP($A495,My_Audit!$A:$A,My_Audit!F:F,""),
_xlfn.IFS(_xlpm.MyAuditVal&lt;&gt;"",_xlpm.MyAuditVal,_xlpm.MacVal&lt;&gt;"",_xlpm.MacVal,_xlpm.CSVVal&lt;&gt;"",_xlpm.CSVVal
)),"")</f>
        <v/>
      </c>
      <c r="H495" s="54" t="str">
        <f>_xlfn.XLOOKUP(A495,Output_Mac!A:A,Output_Mac!I:I,"")</f>
        <v/>
      </c>
      <c r="I495" s="54" t="str" cm="1">
        <f t="array" ref="I495">IFERROR(_xlfn.LET(
_xlpm.CSVVal,_xlfn.XLOOKUP($A495,CSV!$A:$A,CSV!G:G,""),
_xlpm.MacVal,_xlfn.XLOOKUP($A495,Output_Mac!$A:$A,Output_Mac!J:J,""),
_xlpm.MyAuditVal,_xlfn.XLOOKUP($A495,My_Audit!$A:$A,My_Audit!H:H,""),
_xlfn.IFS(_xlpm.MyAuditVal&lt;&gt;"",UPPER(_xlpm.MyAuditVal),_xlpm.MacVal&lt;&gt;"",_xlpm.MacVal,_xlpm.CSVVal&lt;&gt;"",_xlpm.CSVVal
)),"")</f>
        <v/>
      </c>
      <c r="J495" s="54" t="str" cm="1">
        <f t="array" ref="J495">IFERROR(_xlfn.LET(
_xlpm.CSVVal,_xlfn.XLOOKUP($A495,CSV!$A:$A,CSV!I:I,""),
_xlpm.MacVal,_xlfn.XLOOKUP($A495,Output_Mac!$A:$A,Output_Mac!K:K,""),
_xlpm.MyAuditVal,_xlfn.XLOOKUP($A495,My_Audit!$A:$A,My_Audit!I:I,""),
_xlfn.IFS(_xlpm.MyAuditVal&lt;&gt;"",UPPER(_xlpm.MyAuditVal),_xlpm.MacVal&lt;&gt;"",_xlpm.MacVal,_xlpm.CSVVal&lt;&gt;"",_xlpm.CSVVal
)),"")</f>
        <v/>
      </c>
      <c r="K495" s="54" t="str" cm="1">
        <f t="array" ref="K495">IFERROR(_xlfn.LET(
_xlpm.CSVVal,_xlfn.XLOOKUP($A495,CSV!$A:$A,CSV!M:M,""),
_xlpm.MacVal,_xlfn.XLOOKUP($A495,Output_Mac!$A:$A,Output_Mac!L:L,""),
_xlpm.MyAuditVal,_xlfn.XLOOKUP($A495,My_Audit!$A:$A,My_Audit!J:J,""),
_xlfn.IFS(_xlpm.MyAuditVal&lt;&gt;"",UPPER(_xlpm.MyAuditVal),_xlpm.MacVal&lt;&gt;"",_xlpm.MacVal,_xlpm.CSVVal&lt;&gt;"",_xlpm.CSVVal
)),"")</f>
        <v/>
      </c>
      <c r="L495" s="54" t="str" cm="1">
        <f t="array" ref="L495">IFERROR(_xlfn.LET(
_xlpm.CSVVal,_xlfn.XLOOKUP($A495,CSV!$A:$A,CSV!O:O,""),
_xlpm.MacVal,_xlfn.XLOOKUP($A495,Output_Mac!$A:$A,Output_Mac!M:M,""),
_xlpm.MyAuditVal,_xlfn.XLOOKUP($A495,My_Audit!$A:$A,My_Audit!K:K,""),
_xlfn.IFS(_xlpm.MyAuditVal&lt;&gt;"",UPPER(_xlpm.MyAuditVal),_xlpm.MacVal&lt;&gt;"",_xlpm.MacVal,_xlpm.CSVVal&lt;&gt;"",_xlpm.CSVVal
)),"")</f>
        <v/>
      </c>
      <c r="M495" s="54" t="str">
        <f>_xlfn.LET(
    _xlpm.CSVVal, _xlfn.XLOOKUP($A495, CSV!$A:$A, CSV!AD:AD, ""),
    _xlpm.MacVal, _xlfn.XLOOKUP($A495, Output_Mac!$A:$A, Output_Mac!S:S, ""),
    _xlpm.MyAuditVal, _xlfn.XLOOKUP($A495, My_Audit!$A:$A, My_Audit!N:N, ""),
    _xlfn.TEXTJOIN(", ", TRUE, _xlpm.MyAuditVal, _xlpm.MacVal, _xlpm.CSVVal)
)</f>
        <v/>
      </c>
      <c r="N495" s="54" t="str" cm="1">
        <f t="array" ref="N495">IFERROR(_xlfn.LET(
_xlpm.CSVVal,_xlfn.XLOOKUP($A495,CSV!$A:$A,CSV!AF:AF,""),
_xlpm.MacVal,_xlfn.XLOOKUP($A495,Output_Mac!$A:$A,Output_Mac!U:U,""),
_xlpm.MyAuditVal,_xlfn.XLOOKUP($A495,My_Audit!$A:$A,My_Audit!O:O,""),
_xlfn.IFS(_xlpm.MyAuditVal&lt;&gt;"",UPPER(_xlpm.MyAuditVal),_xlpm.MacVal&lt;&gt;"",_xlpm.MacVal,_xlpm.CSVVal&lt;&gt;"",_xlpm.CSVVal
)),"")</f>
        <v/>
      </c>
      <c r="O495" s="54"/>
      <c r="P495" s="54"/>
      <c r="Q495" s="54"/>
      <c r="R495" s="54"/>
      <c r="S495" s="54"/>
      <c r="T495" s="54"/>
      <c r="U495" s="39"/>
    </row>
    <row r="496" spans="1:21">
      <c r="A496" s="54" t="str">
        <f>_xlfn.TEXTJOIN("",TRUE,Input!$B$2,ROW(My_Audit!A495))</f>
        <v>XX495</v>
      </c>
      <c r="B496" s="54" t="str">
        <f>_xlfn.TEXTJOIN("-",TRUE,"ITD",Input!$A$2,A496)</f>
        <v>ITD-SHRXXX-XX495</v>
      </c>
      <c r="C496" s="54" t="str" cm="1">
        <f t="array" ref="C496">IFERROR(_xlfn.LET(
_xlpm.CSVVal,_xlfn.XLOOKUP($A496,CSV!$A:$A,CSV!B:B,""),
_xlpm.MacVal,_xlfn.XLOOKUP($A496,Output_Mac!$A:$A,Output_Mac!B:B,""),
_xlpm.MyAuditVal,_xlfn.XLOOKUP($A496,My_Audit!$A:$A,My_Audit!B:B,""),
_xlfn.IFS(_xlpm.MyAuditVal&lt;&gt;"",UPPER(_xlpm.MyAuditVal),_xlpm.MacVal&lt;&gt;"",_xlpm.MacVal,_xlpm.CSVVal&lt;&gt;"",_xlpm.CSVVal
)),"")</f>
        <v/>
      </c>
      <c r="D496" s="55" t="str">
        <f>_xlfn.XLOOKUP(A496,My_Audit!A:A,My_Audit!D:D,"")&amp;""</f>
        <v/>
      </c>
      <c r="E496" s="55" t="str" cm="1">
        <f t="array" ref="E496">IFERROR(_xlfn.LET(
_xlpm.CSVVal,_xlfn.XLOOKUP($A496,CSV!$A:$A,CSV!D:D,""),
_xlpm.MacVal,_xlfn.XLOOKUP($A496,Output_Mac!$A:$A,Output_Mac!C:C,""),
_xlpm.MyAuditVal,_xlfn.XLOOKUP($A496,My_Audit!$A:$A,My_Audit!D:D,""),
_xlfn.IFS(_xlpm.MyAuditVal&lt;&gt;"",_xlpm.MyAuditVal,_xlpm.MacVal&lt;&gt;"",_xlpm.MacVal,_xlpm.CSVVal&lt;&gt;"",_xlpm.CSVVal
)),"")</f>
        <v/>
      </c>
      <c r="F496" s="54" t="str" cm="1">
        <f t="array" ref="F496">IFERROR(_xlfn.LET(
_xlpm.CSVVal,_xlfn.XLOOKUP($A496,CSV!$A:$A,CSV!E:E,""),
_xlpm.MacVal,_xlfn.XLOOKUP($A496,Output_Mac!$A:$A,Output_Mac!F:F,""),
_xlpm.MyAuditVal,_xlfn.XLOOKUP($A496,My_Audit!$A:$A,My_Audit!E:E,""),
_xlfn.IFS(_xlpm.MyAuditVal&lt;&gt;"",_xlpm.MyAuditVal,_xlpm.MacVal&lt;&gt;"",_xlpm.MacVal,_xlpm.CSVVal&lt;&gt;"",PROPER(_xlpm.CSVVal)
)),"")</f>
        <v/>
      </c>
      <c r="G496" s="54" t="str" cm="1">
        <f t="array" ref="G496">IFERROR(_xlfn.LET(
_xlpm.CSVVal,_xlfn.XLOOKUP($A496,CSV!$A:$A,CSV!F:F,""),
_xlpm.MacVal,_xlfn.XLOOKUP($A496,Output_Mac!$A:$A,Output_Mac!H:H,""),
_xlpm.MyAuditVal,_xlfn.XLOOKUP($A496,My_Audit!$A:$A,My_Audit!F:F,""),
_xlfn.IFS(_xlpm.MyAuditVal&lt;&gt;"",_xlpm.MyAuditVal,_xlpm.MacVal&lt;&gt;"",_xlpm.MacVal,_xlpm.CSVVal&lt;&gt;"",_xlpm.CSVVal
)),"")</f>
        <v/>
      </c>
      <c r="H496" s="54" t="str">
        <f>_xlfn.XLOOKUP(A496,Output_Mac!A:A,Output_Mac!I:I,"")</f>
        <v/>
      </c>
      <c r="I496" s="54" t="str" cm="1">
        <f t="array" ref="I496">IFERROR(_xlfn.LET(
_xlpm.CSVVal,_xlfn.XLOOKUP($A496,CSV!$A:$A,CSV!G:G,""),
_xlpm.MacVal,_xlfn.XLOOKUP($A496,Output_Mac!$A:$A,Output_Mac!J:J,""),
_xlpm.MyAuditVal,_xlfn.XLOOKUP($A496,My_Audit!$A:$A,My_Audit!H:H,""),
_xlfn.IFS(_xlpm.MyAuditVal&lt;&gt;"",UPPER(_xlpm.MyAuditVal),_xlpm.MacVal&lt;&gt;"",_xlpm.MacVal,_xlpm.CSVVal&lt;&gt;"",_xlpm.CSVVal
)),"")</f>
        <v/>
      </c>
      <c r="J496" s="54" t="str" cm="1">
        <f t="array" ref="J496">IFERROR(_xlfn.LET(
_xlpm.CSVVal,_xlfn.XLOOKUP($A496,CSV!$A:$A,CSV!I:I,""),
_xlpm.MacVal,_xlfn.XLOOKUP($A496,Output_Mac!$A:$A,Output_Mac!K:K,""),
_xlpm.MyAuditVal,_xlfn.XLOOKUP($A496,My_Audit!$A:$A,My_Audit!I:I,""),
_xlfn.IFS(_xlpm.MyAuditVal&lt;&gt;"",UPPER(_xlpm.MyAuditVal),_xlpm.MacVal&lt;&gt;"",_xlpm.MacVal,_xlpm.CSVVal&lt;&gt;"",_xlpm.CSVVal
)),"")</f>
        <v/>
      </c>
      <c r="K496" s="54" t="str" cm="1">
        <f t="array" ref="K496">IFERROR(_xlfn.LET(
_xlpm.CSVVal,_xlfn.XLOOKUP($A496,CSV!$A:$A,CSV!M:M,""),
_xlpm.MacVal,_xlfn.XLOOKUP($A496,Output_Mac!$A:$A,Output_Mac!L:L,""),
_xlpm.MyAuditVal,_xlfn.XLOOKUP($A496,My_Audit!$A:$A,My_Audit!J:J,""),
_xlfn.IFS(_xlpm.MyAuditVal&lt;&gt;"",UPPER(_xlpm.MyAuditVal),_xlpm.MacVal&lt;&gt;"",_xlpm.MacVal,_xlpm.CSVVal&lt;&gt;"",_xlpm.CSVVal
)),"")</f>
        <v/>
      </c>
      <c r="L496" s="54" t="str" cm="1">
        <f t="array" ref="L496">IFERROR(_xlfn.LET(
_xlpm.CSVVal,_xlfn.XLOOKUP($A496,CSV!$A:$A,CSV!O:O,""),
_xlpm.MacVal,_xlfn.XLOOKUP($A496,Output_Mac!$A:$A,Output_Mac!M:M,""),
_xlpm.MyAuditVal,_xlfn.XLOOKUP($A496,My_Audit!$A:$A,My_Audit!K:K,""),
_xlfn.IFS(_xlpm.MyAuditVal&lt;&gt;"",UPPER(_xlpm.MyAuditVal),_xlpm.MacVal&lt;&gt;"",_xlpm.MacVal,_xlpm.CSVVal&lt;&gt;"",_xlpm.CSVVal
)),"")</f>
        <v/>
      </c>
      <c r="M496" s="54" t="str">
        <f>_xlfn.LET(
    _xlpm.CSVVal, _xlfn.XLOOKUP($A496, CSV!$A:$A, CSV!AD:AD, ""),
    _xlpm.MacVal, _xlfn.XLOOKUP($A496, Output_Mac!$A:$A, Output_Mac!S:S, ""),
    _xlpm.MyAuditVal, _xlfn.XLOOKUP($A496, My_Audit!$A:$A, My_Audit!N:N, ""),
    _xlfn.TEXTJOIN(", ", TRUE, _xlpm.MyAuditVal, _xlpm.MacVal, _xlpm.CSVVal)
)</f>
        <v/>
      </c>
      <c r="N496" s="54" t="str" cm="1">
        <f t="array" ref="N496">IFERROR(_xlfn.LET(
_xlpm.CSVVal,_xlfn.XLOOKUP($A496,CSV!$A:$A,CSV!AF:AF,""),
_xlpm.MacVal,_xlfn.XLOOKUP($A496,Output_Mac!$A:$A,Output_Mac!U:U,""),
_xlpm.MyAuditVal,_xlfn.XLOOKUP($A496,My_Audit!$A:$A,My_Audit!O:O,""),
_xlfn.IFS(_xlpm.MyAuditVal&lt;&gt;"",UPPER(_xlpm.MyAuditVal),_xlpm.MacVal&lt;&gt;"",_xlpm.MacVal,_xlpm.CSVVal&lt;&gt;"",_xlpm.CSVVal
)),"")</f>
        <v/>
      </c>
      <c r="O496" s="54"/>
      <c r="P496" s="54"/>
      <c r="Q496" s="54"/>
      <c r="R496" s="54"/>
      <c r="S496" s="54"/>
      <c r="T496" s="54"/>
      <c r="U496" s="39"/>
    </row>
    <row r="497" spans="1:21">
      <c r="A497" s="54" t="str">
        <f>_xlfn.TEXTJOIN("",TRUE,Input!$B$2,ROW(My_Audit!A496))</f>
        <v>XX496</v>
      </c>
      <c r="B497" s="54" t="str">
        <f>_xlfn.TEXTJOIN("-",TRUE,"ITD",Input!$A$2,A497)</f>
        <v>ITD-SHRXXX-XX496</v>
      </c>
      <c r="C497" s="54" t="str" cm="1">
        <f t="array" ref="C497">IFERROR(_xlfn.LET(
_xlpm.CSVVal,_xlfn.XLOOKUP($A497,CSV!$A:$A,CSV!B:B,""),
_xlpm.MacVal,_xlfn.XLOOKUP($A497,Output_Mac!$A:$A,Output_Mac!B:B,""),
_xlpm.MyAuditVal,_xlfn.XLOOKUP($A497,My_Audit!$A:$A,My_Audit!B:B,""),
_xlfn.IFS(_xlpm.MyAuditVal&lt;&gt;"",UPPER(_xlpm.MyAuditVal),_xlpm.MacVal&lt;&gt;"",_xlpm.MacVal,_xlpm.CSVVal&lt;&gt;"",_xlpm.CSVVal
)),"")</f>
        <v/>
      </c>
      <c r="D497" s="55" t="str">
        <f>_xlfn.XLOOKUP(A497,My_Audit!A:A,My_Audit!D:D,"")&amp;""</f>
        <v/>
      </c>
      <c r="E497" s="55" t="str" cm="1">
        <f t="array" ref="E497">IFERROR(_xlfn.LET(
_xlpm.CSVVal,_xlfn.XLOOKUP($A497,CSV!$A:$A,CSV!D:D,""),
_xlpm.MacVal,_xlfn.XLOOKUP($A497,Output_Mac!$A:$A,Output_Mac!C:C,""),
_xlpm.MyAuditVal,_xlfn.XLOOKUP($A497,My_Audit!$A:$A,My_Audit!D:D,""),
_xlfn.IFS(_xlpm.MyAuditVal&lt;&gt;"",_xlpm.MyAuditVal,_xlpm.MacVal&lt;&gt;"",_xlpm.MacVal,_xlpm.CSVVal&lt;&gt;"",_xlpm.CSVVal
)),"")</f>
        <v/>
      </c>
      <c r="F497" s="54" t="str" cm="1">
        <f t="array" ref="F497">IFERROR(_xlfn.LET(
_xlpm.CSVVal,_xlfn.XLOOKUP($A497,CSV!$A:$A,CSV!E:E,""),
_xlpm.MacVal,_xlfn.XLOOKUP($A497,Output_Mac!$A:$A,Output_Mac!F:F,""),
_xlpm.MyAuditVal,_xlfn.XLOOKUP($A497,My_Audit!$A:$A,My_Audit!E:E,""),
_xlfn.IFS(_xlpm.MyAuditVal&lt;&gt;"",_xlpm.MyAuditVal,_xlpm.MacVal&lt;&gt;"",_xlpm.MacVal,_xlpm.CSVVal&lt;&gt;"",PROPER(_xlpm.CSVVal)
)),"")</f>
        <v/>
      </c>
      <c r="G497" s="54" t="str" cm="1">
        <f t="array" ref="G497">IFERROR(_xlfn.LET(
_xlpm.CSVVal,_xlfn.XLOOKUP($A497,CSV!$A:$A,CSV!F:F,""),
_xlpm.MacVal,_xlfn.XLOOKUP($A497,Output_Mac!$A:$A,Output_Mac!H:H,""),
_xlpm.MyAuditVal,_xlfn.XLOOKUP($A497,My_Audit!$A:$A,My_Audit!F:F,""),
_xlfn.IFS(_xlpm.MyAuditVal&lt;&gt;"",_xlpm.MyAuditVal,_xlpm.MacVal&lt;&gt;"",_xlpm.MacVal,_xlpm.CSVVal&lt;&gt;"",_xlpm.CSVVal
)),"")</f>
        <v/>
      </c>
      <c r="H497" s="54" t="str">
        <f>_xlfn.XLOOKUP(A497,Output_Mac!A:A,Output_Mac!I:I,"")</f>
        <v/>
      </c>
      <c r="I497" s="54" t="str" cm="1">
        <f t="array" ref="I497">IFERROR(_xlfn.LET(
_xlpm.CSVVal,_xlfn.XLOOKUP($A497,CSV!$A:$A,CSV!G:G,""),
_xlpm.MacVal,_xlfn.XLOOKUP($A497,Output_Mac!$A:$A,Output_Mac!J:J,""),
_xlpm.MyAuditVal,_xlfn.XLOOKUP($A497,My_Audit!$A:$A,My_Audit!H:H,""),
_xlfn.IFS(_xlpm.MyAuditVal&lt;&gt;"",UPPER(_xlpm.MyAuditVal),_xlpm.MacVal&lt;&gt;"",_xlpm.MacVal,_xlpm.CSVVal&lt;&gt;"",_xlpm.CSVVal
)),"")</f>
        <v/>
      </c>
      <c r="J497" s="54" t="str" cm="1">
        <f t="array" ref="J497">IFERROR(_xlfn.LET(
_xlpm.CSVVal,_xlfn.XLOOKUP($A497,CSV!$A:$A,CSV!I:I,""),
_xlpm.MacVal,_xlfn.XLOOKUP($A497,Output_Mac!$A:$A,Output_Mac!K:K,""),
_xlpm.MyAuditVal,_xlfn.XLOOKUP($A497,My_Audit!$A:$A,My_Audit!I:I,""),
_xlfn.IFS(_xlpm.MyAuditVal&lt;&gt;"",UPPER(_xlpm.MyAuditVal),_xlpm.MacVal&lt;&gt;"",_xlpm.MacVal,_xlpm.CSVVal&lt;&gt;"",_xlpm.CSVVal
)),"")</f>
        <v/>
      </c>
      <c r="K497" s="54" t="str" cm="1">
        <f t="array" ref="K497">IFERROR(_xlfn.LET(
_xlpm.CSVVal,_xlfn.XLOOKUP($A497,CSV!$A:$A,CSV!M:M,""),
_xlpm.MacVal,_xlfn.XLOOKUP($A497,Output_Mac!$A:$A,Output_Mac!L:L,""),
_xlpm.MyAuditVal,_xlfn.XLOOKUP($A497,My_Audit!$A:$A,My_Audit!J:J,""),
_xlfn.IFS(_xlpm.MyAuditVal&lt;&gt;"",UPPER(_xlpm.MyAuditVal),_xlpm.MacVal&lt;&gt;"",_xlpm.MacVal,_xlpm.CSVVal&lt;&gt;"",_xlpm.CSVVal
)),"")</f>
        <v/>
      </c>
      <c r="L497" s="54" t="str" cm="1">
        <f t="array" ref="L497">IFERROR(_xlfn.LET(
_xlpm.CSVVal,_xlfn.XLOOKUP($A497,CSV!$A:$A,CSV!O:O,""),
_xlpm.MacVal,_xlfn.XLOOKUP($A497,Output_Mac!$A:$A,Output_Mac!M:M,""),
_xlpm.MyAuditVal,_xlfn.XLOOKUP($A497,My_Audit!$A:$A,My_Audit!K:K,""),
_xlfn.IFS(_xlpm.MyAuditVal&lt;&gt;"",UPPER(_xlpm.MyAuditVal),_xlpm.MacVal&lt;&gt;"",_xlpm.MacVal,_xlpm.CSVVal&lt;&gt;"",_xlpm.CSVVal
)),"")</f>
        <v/>
      </c>
      <c r="M497" s="54" t="str">
        <f>_xlfn.LET(
    _xlpm.CSVVal, _xlfn.XLOOKUP($A497, CSV!$A:$A, CSV!AD:AD, ""),
    _xlpm.MacVal, _xlfn.XLOOKUP($A497, Output_Mac!$A:$A, Output_Mac!S:S, ""),
    _xlpm.MyAuditVal, _xlfn.XLOOKUP($A497, My_Audit!$A:$A, My_Audit!N:N, ""),
    _xlfn.TEXTJOIN(", ", TRUE, _xlpm.MyAuditVal, _xlpm.MacVal, _xlpm.CSVVal)
)</f>
        <v/>
      </c>
      <c r="N497" s="54" t="str" cm="1">
        <f t="array" ref="N497">IFERROR(_xlfn.LET(
_xlpm.CSVVal,_xlfn.XLOOKUP($A497,CSV!$A:$A,CSV!AF:AF,""),
_xlpm.MacVal,_xlfn.XLOOKUP($A497,Output_Mac!$A:$A,Output_Mac!U:U,""),
_xlpm.MyAuditVal,_xlfn.XLOOKUP($A497,My_Audit!$A:$A,My_Audit!O:O,""),
_xlfn.IFS(_xlpm.MyAuditVal&lt;&gt;"",UPPER(_xlpm.MyAuditVal),_xlpm.MacVal&lt;&gt;"",_xlpm.MacVal,_xlpm.CSVVal&lt;&gt;"",_xlpm.CSVVal
)),"")</f>
        <v/>
      </c>
      <c r="O497" s="54"/>
      <c r="P497" s="54"/>
      <c r="Q497" s="54"/>
      <c r="R497" s="54"/>
      <c r="S497" s="54"/>
      <c r="T497" s="54"/>
      <c r="U497" s="39"/>
    </row>
    <row r="498" spans="1:21">
      <c r="A498" s="54" t="str">
        <f>_xlfn.TEXTJOIN("",TRUE,Input!$B$2,ROW(My_Audit!A497))</f>
        <v>XX497</v>
      </c>
      <c r="B498" s="54" t="str">
        <f>_xlfn.TEXTJOIN("-",TRUE,"ITD",Input!$A$2,A498)</f>
        <v>ITD-SHRXXX-XX497</v>
      </c>
      <c r="C498" s="54" t="str" cm="1">
        <f t="array" ref="C498">IFERROR(_xlfn.LET(
_xlpm.CSVVal,_xlfn.XLOOKUP($A498,CSV!$A:$A,CSV!B:B,""),
_xlpm.MacVal,_xlfn.XLOOKUP($A498,Output_Mac!$A:$A,Output_Mac!B:B,""),
_xlpm.MyAuditVal,_xlfn.XLOOKUP($A498,My_Audit!$A:$A,My_Audit!B:B,""),
_xlfn.IFS(_xlpm.MyAuditVal&lt;&gt;"",UPPER(_xlpm.MyAuditVal),_xlpm.MacVal&lt;&gt;"",_xlpm.MacVal,_xlpm.CSVVal&lt;&gt;"",_xlpm.CSVVal
)),"")</f>
        <v/>
      </c>
      <c r="D498" s="55" t="str">
        <f>_xlfn.XLOOKUP(A498,My_Audit!A:A,My_Audit!D:D,"")&amp;""</f>
        <v/>
      </c>
      <c r="E498" s="55" t="str" cm="1">
        <f t="array" ref="E498">IFERROR(_xlfn.LET(
_xlpm.CSVVal,_xlfn.XLOOKUP($A498,CSV!$A:$A,CSV!D:D,""),
_xlpm.MacVal,_xlfn.XLOOKUP($A498,Output_Mac!$A:$A,Output_Mac!C:C,""),
_xlpm.MyAuditVal,_xlfn.XLOOKUP($A498,My_Audit!$A:$A,My_Audit!D:D,""),
_xlfn.IFS(_xlpm.MyAuditVal&lt;&gt;"",_xlpm.MyAuditVal,_xlpm.MacVal&lt;&gt;"",_xlpm.MacVal,_xlpm.CSVVal&lt;&gt;"",_xlpm.CSVVal
)),"")</f>
        <v/>
      </c>
      <c r="F498" s="54" t="str" cm="1">
        <f t="array" ref="F498">IFERROR(_xlfn.LET(
_xlpm.CSVVal,_xlfn.XLOOKUP($A498,CSV!$A:$A,CSV!E:E,""),
_xlpm.MacVal,_xlfn.XLOOKUP($A498,Output_Mac!$A:$A,Output_Mac!F:F,""),
_xlpm.MyAuditVal,_xlfn.XLOOKUP($A498,My_Audit!$A:$A,My_Audit!E:E,""),
_xlfn.IFS(_xlpm.MyAuditVal&lt;&gt;"",_xlpm.MyAuditVal,_xlpm.MacVal&lt;&gt;"",_xlpm.MacVal,_xlpm.CSVVal&lt;&gt;"",PROPER(_xlpm.CSVVal)
)),"")</f>
        <v/>
      </c>
      <c r="G498" s="54" t="str" cm="1">
        <f t="array" ref="G498">IFERROR(_xlfn.LET(
_xlpm.CSVVal,_xlfn.XLOOKUP($A498,CSV!$A:$A,CSV!F:F,""),
_xlpm.MacVal,_xlfn.XLOOKUP($A498,Output_Mac!$A:$A,Output_Mac!H:H,""),
_xlpm.MyAuditVal,_xlfn.XLOOKUP($A498,My_Audit!$A:$A,My_Audit!F:F,""),
_xlfn.IFS(_xlpm.MyAuditVal&lt;&gt;"",_xlpm.MyAuditVal,_xlpm.MacVal&lt;&gt;"",_xlpm.MacVal,_xlpm.CSVVal&lt;&gt;"",_xlpm.CSVVal
)),"")</f>
        <v/>
      </c>
      <c r="H498" s="54" t="str">
        <f>_xlfn.XLOOKUP(A498,Output_Mac!A:A,Output_Mac!I:I,"")</f>
        <v/>
      </c>
      <c r="I498" s="54" t="str" cm="1">
        <f t="array" ref="I498">IFERROR(_xlfn.LET(
_xlpm.CSVVal,_xlfn.XLOOKUP($A498,CSV!$A:$A,CSV!G:G,""),
_xlpm.MacVal,_xlfn.XLOOKUP($A498,Output_Mac!$A:$A,Output_Mac!J:J,""),
_xlpm.MyAuditVal,_xlfn.XLOOKUP($A498,My_Audit!$A:$A,My_Audit!H:H,""),
_xlfn.IFS(_xlpm.MyAuditVal&lt;&gt;"",UPPER(_xlpm.MyAuditVal),_xlpm.MacVal&lt;&gt;"",_xlpm.MacVal,_xlpm.CSVVal&lt;&gt;"",_xlpm.CSVVal
)),"")</f>
        <v/>
      </c>
      <c r="J498" s="54" t="str" cm="1">
        <f t="array" ref="J498">IFERROR(_xlfn.LET(
_xlpm.CSVVal,_xlfn.XLOOKUP($A498,CSV!$A:$A,CSV!I:I,""),
_xlpm.MacVal,_xlfn.XLOOKUP($A498,Output_Mac!$A:$A,Output_Mac!K:K,""),
_xlpm.MyAuditVal,_xlfn.XLOOKUP($A498,My_Audit!$A:$A,My_Audit!I:I,""),
_xlfn.IFS(_xlpm.MyAuditVal&lt;&gt;"",UPPER(_xlpm.MyAuditVal),_xlpm.MacVal&lt;&gt;"",_xlpm.MacVal,_xlpm.CSVVal&lt;&gt;"",_xlpm.CSVVal
)),"")</f>
        <v/>
      </c>
      <c r="K498" s="54" t="str" cm="1">
        <f t="array" ref="K498">IFERROR(_xlfn.LET(
_xlpm.CSVVal,_xlfn.XLOOKUP($A498,CSV!$A:$A,CSV!M:M,""),
_xlpm.MacVal,_xlfn.XLOOKUP($A498,Output_Mac!$A:$A,Output_Mac!L:L,""),
_xlpm.MyAuditVal,_xlfn.XLOOKUP($A498,My_Audit!$A:$A,My_Audit!J:J,""),
_xlfn.IFS(_xlpm.MyAuditVal&lt;&gt;"",UPPER(_xlpm.MyAuditVal),_xlpm.MacVal&lt;&gt;"",_xlpm.MacVal,_xlpm.CSVVal&lt;&gt;"",_xlpm.CSVVal
)),"")</f>
        <v/>
      </c>
      <c r="L498" s="54" t="str" cm="1">
        <f t="array" ref="L498">IFERROR(_xlfn.LET(
_xlpm.CSVVal,_xlfn.XLOOKUP($A498,CSV!$A:$A,CSV!O:O,""),
_xlpm.MacVal,_xlfn.XLOOKUP($A498,Output_Mac!$A:$A,Output_Mac!M:M,""),
_xlpm.MyAuditVal,_xlfn.XLOOKUP($A498,My_Audit!$A:$A,My_Audit!K:K,""),
_xlfn.IFS(_xlpm.MyAuditVal&lt;&gt;"",UPPER(_xlpm.MyAuditVal),_xlpm.MacVal&lt;&gt;"",_xlpm.MacVal,_xlpm.CSVVal&lt;&gt;"",_xlpm.CSVVal
)),"")</f>
        <v/>
      </c>
      <c r="M498" s="54" t="str">
        <f>_xlfn.LET(
    _xlpm.CSVVal, _xlfn.XLOOKUP($A498, CSV!$A:$A, CSV!AD:AD, ""),
    _xlpm.MacVal, _xlfn.XLOOKUP($A498, Output_Mac!$A:$A, Output_Mac!S:S, ""),
    _xlpm.MyAuditVal, _xlfn.XLOOKUP($A498, My_Audit!$A:$A, My_Audit!N:N, ""),
    _xlfn.TEXTJOIN(", ", TRUE, _xlpm.MyAuditVal, _xlpm.MacVal, _xlpm.CSVVal)
)</f>
        <v/>
      </c>
      <c r="N498" s="54" t="str" cm="1">
        <f t="array" ref="N498">IFERROR(_xlfn.LET(
_xlpm.CSVVal,_xlfn.XLOOKUP($A498,CSV!$A:$A,CSV!AF:AF,""),
_xlpm.MacVal,_xlfn.XLOOKUP($A498,Output_Mac!$A:$A,Output_Mac!U:U,""),
_xlpm.MyAuditVal,_xlfn.XLOOKUP($A498,My_Audit!$A:$A,My_Audit!O:O,""),
_xlfn.IFS(_xlpm.MyAuditVal&lt;&gt;"",UPPER(_xlpm.MyAuditVal),_xlpm.MacVal&lt;&gt;"",_xlpm.MacVal,_xlpm.CSVVal&lt;&gt;"",_xlpm.CSVVal
)),"")</f>
        <v/>
      </c>
      <c r="O498" s="54"/>
      <c r="P498" s="54"/>
      <c r="Q498" s="54"/>
      <c r="R498" s="54"/>
      <c r="S498" s="54"/>
      <c r="T498" s="54"/>
      <c r="U498" s="39"/>
    </row>
    <row r="499" spans="1:21">
      <c r="A499" s="54" t="str">
        <f>_xlfn.TEXTJOIN("",TRUE,Input!$B$2,ROW(My_Audit!A498))</f>
        <v>XX498</v>
      </c>
      <c r="B499" s="54" t="str">
        <f>_xlfn.TEXTJOIN("-",TRUE,"ITD",Input!$A$2,A499)</f>
        <v>ITD-SHRXXX-XX498</v>
      </c>
      <c r="C499" s="54" t="str" cm="1">
        <f t="array" ref="C499">IFERROR(_xlfn.LET(
_xlpm.CSVVal,_xlfn.XLOOKUP($A499,CSV!$A:$A,CSV!B:B,""),
_xlpm.MacVal,_xlfn.XLOOKUP($A499,Output_Mac!$A:$A,Output_Mac!B:B,""),
_xlpm.MyAuditVal,_xlfn.XLOOKUP($A499,My_Audit!$A:$A,My_Audit!B:B,""),
_xlfn.IFS(_xlpm.MyAuditVal&lt;&gt;"",UPPER(_xlpm.MyAuditVal),_xlpm.MacVal&lt;&gt;"",_xlpm.MacVal,_xlpm.CSVVal&lt;&gt;"",_xlpm.CSVVal
)),"")</f>
        <v/>
      </c>
      <c r="D499" s="55" t="str">
        <f>_xlfn.XLOOKUP(A499,My_Audit!A:A,My_Audit!D:D,"")&amp;""</f>
        <v/>
      </c>
      <c r="E499" s="55" t="str" cm="1">
        <f t="array" ref="E499">IFERROR(_xlfn.LET(
_xlpm.CSVVal,_xlfn.XLOOKUP($A499,CSV!$A:$A,CSV!D:D,""),
_xlpm.MacVal,_xlfn.XLOOKUP($A499,Output_Mac!$A:$A,Output_Mac!C:C,""),
_xlpm.MyAuditVal,_xlfn.XLOOKUP($A499,My_Audit!$A:$A,My_Audit!D:D,""),
_xlfn.IFS(_xlpm.MyAuditVal&lt;&gt;"",_xlpm.MyAuditVal,_xlpm.MacVal&lt;&gt;"",_xlpm.MacVal,_xlpm.CSVVal&lt;&gt;"",_xlpm.CSVVal
)),"")</f>
        <v/>
      </c>
      <c r="F499" s="54" t="str" cm="1">
        <f t="array" ref="F499">IFERROR(_xlfn.LET(
_xlpm.CSVVal,_xlfn.XLOOKUP($A499,CSV!$A:$A,CSV!E:E,""),
_xlpm.MacVal,_xlfn.XLOOKUP($A499,Output_Mac!$A:$A,Output_Mac!F:F,""),
_xlpm.MyAuditVal,_xlfn.XLOOKUP($A499,My_Audit!$A:$A,My_Audit!E:E,""),
_xlfn.IFS(_xlpm.MyAuditVal&lt;&gt;"",_xlpm.MyAuditVal,_xlpm.MacVal&lt;&gt;"",_xlpm.MacVal,_xlpm.CSVVal&lt;&gt;"",PROPER(_xlpm.CSVVal)
)),"")</f>
        <v/>
      </c>
      <c r="G499" s="54" t="str" cm="1">
        <f t="array" ref="G499">IFERROR(_xlfn.LET(
_xlpm.CSVVal,_xlfn.XLOOKUP($A499,CSV!$A:$A,CSV!F:F,""),
_xlpm.MacVal,_xlfn.XLOOKUP($A499,Output_Mac!$A:$A,Output_Mac!H:H,""),
_xlpm.MyAuditVal,_xlfn.XLOOKUP($A499,My_Audit!$A:$A,My_Audit!F:F,""),
_xlfn.IFS(_xlpm.MyAuditVal&lt;&gt;"",_xlpm.MyAuditVal,_xlpm.MacVal&lt;&gt;"",_xlpm.MacVal,_xlpm.CSVVal&lt;&gt;"",_xlpm.CSVVal
)),"")</f>
        <v/>
      </c>
      <c r="H499" s="54" t="str">
        <f>_xlfn.XLOOKUP(A499,Output_Mac!A:A,Output_Mac!I:I,"")</f>
        <v/>
      </c>
      <c r="I499" s="54" t="str" cm="1">
        <f t="array" ref="I499">IFERROR(_xlfn.LET(
_xlpm.CSVVal,_xlfn.XLOOKUP($A499,CSV!$A:$A,CSV!G:G,""),
_xlpm.MacVal,_xlfn.XLOOKUP($A499,Output_Mac!$A:$A,Output_Mac!J:J,""),
_xlpm.MyAuditVal,_xlfn.XLOOKUP($A499,My_Audit!$A:$A,My_Audit!H:H,""),
_xlfn.IFS(_xlpm.MyAuditVal&lt;&gt;"",UPPER(_xlpm.MyAuditVal),_xlpm.MacVal&lt;&gt;"",_xlpm.MacVal,_xlpm.CSVVal&lt;&gt;"",_xlpm.CSVVal
)),"")</f>
        <v/>
      </c>
      <c r="J499" s="54" t="str" cm="1">
        <f t="array" ref="J499">IFERROR(_xlfn.LET(
_xlpm.CSVVal,_xlfn.XLOOKUP($A499,CSV!$A:$A,CSV!I:I,""),
_xlpm.MacVal,_xlfn.XLOOKUP($A499,Output_Mac!$A:$A,Output_Mac!K:K,""),
_xlpm.MyAuditVal,_xlfn.XLOOKUP($A499,My_Audit!$A:$A,My_Audit!I:I,""),
_xlfn.IFS(_xlpm.MyAuditVal&lt;&gt;"",UPPER(_xlpm.MyAuditVal),_xlpm.MacVal&lt;&gt;"",_xlpm.MacVal,_xlpm.CSVVal&lt;&gt;"",_xlpm.CSVVal
)),"")</f>
        <v/>
      </c>
      <c r="K499" s="54" t="str" cm="1">
        <f t="array" ref="K499">IFERROR(_xlfn.LET(
_xlpm.CSVVal,_xlfn.XLOOKUP($A499,CSV!$A:$A,CSV!M:M,""),
_xlpm.MacVal,_xlfn.XLOOKUP($A499,Output_Mac!$A:$A,Output_Mac!L:L,""),
_xlpm.MyAuditVal,_xlfn.XLOOKUP($A499,My_Audit!$A:$A,My_Audit!J:J,""),
_xlfn.IFS(_xlpm.MyAuditVal&lt;&gt;"",UPPER(_xlpm.MyAuditVal),_xlpm.MacVal&lt;&gt;"",_xlpm.MacVal,_xlpm.CSVVal&lt;&gt;"",_xlpm.CSVVal
)),"")</f>
        <v/>
      </c>
      <c r="L499" s="54" t="str" cm="1">
        <f t="array" ref="L499">IFERROR(_xlfn.LET(
_xlpm.CSVVal,_xlfn.XLOOKUP($A499,CSV!$A:$A,CSV!O:O,""),
_xlpm.MacVal,_xlfn.XLOOKUP($A499,Output_Mac!$A:$A,Output_Mac!M:M,""),
_xlpm.MyAuditVal,_xlfn.XLOOKUP($A499,My_Audit!$A:$A,My_Audit!K:K,""),
_xlfn.IFS(_xlpm.MyAuditVal&lt;&gt;"",UPPER(_xlpm.MyAuditVal),_xlpm.MacVal&lt;&gt;"",_xlpm.MacVal,_xlpm.CSVVal&lt;&gt;"",_xlpm.CSVVal
)),"")</f>
        <v/>
      </c>
      <c r="M499" s="54" t="str">
        <f>_xlfn.LET(
    _xlpm.CSVVal, _xlfn.XLOOKUP($A499, CSV!$A:$A, CSV!AD:AD, ""),
    _xlpm.MacVal, _xlfn.XLOOKUP($A499, Output_Mac!$A:$A, Output_Mac!S:S, ""),
    _xlpm.MyAuditVal, _xlfn.XLOOKUP($A499, My_Audit!$A:$A, My_Audit!N:N, ""),
    _xlfn.TEXTJOIN(", ", TRUE, _xlpm.MyAuditVal, _xlpm.MacVal, _xlpm.CSVVal)
)</f>
        <v/>
      </c>
      <c r="N499" s="54" t="str" cm="1">
        <f t="array" ref="N499">IFERROR(_xlfn.LET(
_xlpm.CSVVal,_xlfn.XLOOKUP($A499,CSV!$A:$A,CSV!AF:AF,""),
_xlpm.MacVal,_xlfn.XLOOKUP($A499,Output_Mac!$A:$A,Output_Mac!U:U,""),
_xlpm.MyAuditVal,_xlfn.XLOOKUP($A499,My_Audit!$A:$A,My_Audit!O:O,""),
_xlfn.IFS(_xlpm.MyAuditVal&lt;&gt;"",UPPER(_xlpm.MyAuditVal),_xlpm.MacVal&lt;&gt;"",_xlpm.MacVal,_xlpm.CSVVal&lt;&gt;"",_xlpm.CSVVal
)),"")</f>
        <v/>
      </c>
      <c r="O499" s="54"/>
      <c r="P499" s="54"/>
      <c r="Q499" s="54"/>
      <c r="R499" s="54"/>
      <c r="S499" s="54"/>
      <c r="T499" s="54"/>
      <c r="U499" s="39"/>
    </row>
    <row r="500" spans="1:21">
      <c r="A500" s="54" t="str">
        <f>_xlfn.TEXTJOIN("",TRUE,Input!$B$2,ROW(My_Audit!A499))</f>
        <v>XX499</v>
      </c>
      <c r="B500" s="54" t="str">
        <f>_xlfn.TEXTJOIN("-",TRUE,"ITD",Input!$A$2,A500)</f>
        <v>ITD-SHRXXX-XX499</v>
      </c>
      <c r="C500" s="54" t="str" cm="1">
        <f t="array" ref="C500">IFERROR(_xlfn.LET(
_xlpm.CSVVal,_xlfn.XLOOKUP($A500,CSV!$A:$A,CSV!B:B,""),
_xlpm.MacVal,_xlfn.XLOOKUP($A500,Output_Mac!$A:$A,Output_Mac!B:B,""),
_xlpm.MyAuditVal,_xlfn.XLOOKUP($A500,My_Audit!$A:$A,My_Audit!B:B,""),
_xlfn.IFS(_xlpm.MyAuditVal&lt;&gt;"",UPPER(_xlpm.MyAuditVal),_xlpm.MacVal&lt;&gt;"",_xlpm.MacVal,_xlpm.CSVVal&lt;&gt;"",_xlpm.CSVVal
)),"")</f>
        <v/>
      </c>
      <c r="D500" s="55" t="str">
        <f>_xlfn.XLOOKUP(A500,My_Audit!A:A,My_Audit!D:D,"")&amp;""</f>
        <v/>
      </c>
      <c r="E500" s="55" t="str" cm="1">
        <f t="array" ref="E500">IFERROR(_xlfn.LET(
_xlpm.CSVVal,_xlfn.XLOOKUP($A500,CSV!$A:$A,CSV!D:D,""),
_xlpm.MacVal,_xlfn.XLOOKUP($A500,Output_Mac!$A:$A,Output_Mac!C:C,""),
_xlpm.MyAuditVal,_xlfn.XLOOKUP($A500,My_Audit!$A:$A,My_Audit!D:D,""),
_xlfn.IFS(_xlpm.MyAuditVal&lt;&gt;"",_xlpm.MyAuditVal,_xlpm.MacVal&lt;&gt;"",_xlpm.MacVal,_xlpm.CSVVal&lt;&gt;"",_xlpm.CSVVal
)),"")</f>
        <v/>
      </c>
      <c r="F500" s="54" t="str" cm="1">
        <f t="array" ref="F500">IFERROR(_xlfn.LET(
_xlpm.CSVVal,_xlfn.XLOOKUP($A500,CSV!$A:$A,CSV!E:E,""),
_xlpm.MacVal,_xlfn.XLOOKUP($A500,Output_Mac!$A:$A,Output_Mac!F:F,""),
_xlpm.MyAuditVal,_xlfn.XLOOKUP($A500,My_Audit!$A:$A,My_Audit!E:E,""),
_xlfn.IFS(_xlpm.MyAuditVal&lt;&gt;"",_xlpm.MyAuditVal,_xlpm.MacVal&lt;&gt;"",_xlpm.MacVal,_xlpm.CSVVal&lt;&gt;"",PROPER(_xlpm.CSVVal)
)),"")</f>
        <v/>
      </c>
      <c r="G500" s="54" t="str" cm="1">
        <f t="array" ref="G500">IFERROR(_xlfn.LET(
_xlpm.CSVVal,_xlfn.XLOOKUP($A500,CSV!$A:$A,CSV!F:F,""),
_xlpm.MacVal,_xlfn.XLOOKUP($A500,Output_Mac!$A:$A,Output_Mac!H:H,""),
_xlpm.MyAuditVal,_xlfn.XLOOKUP($A500,My_Audit!$A:$A,My_Audit!F:F,""),
_xlfn.IFS(_xlpm.MyAuditVal&lt;&gt;"",_xlpm.MyAuditVal,_xlpm.MacVal&lt;&gt;"",_xlpm.MacVal,_xlpm.CSVVal&lt;&gt;"",_xlpm.CSVVal
)),"")</f>
        <v/>
      </c>
      <c r="H500" s="54" t="str">
        <f>_xlfn.XLOOKUP(A500,Output_Mac!A:A,Output_Mac!I:I,"")</f>
        <v/>
      </c>
      <c r="I500" s="54" t="str" cm="1">
        <f t="array" ref="I500">IFERROR(_xlfn.LET(
_xlpm.CSVVal,_xlfn.XLOOKUP($A500,CSV!$A:$A,CSV!G:G,""),
_xlpm.MacVal,_xlfn.XLOOKUP($A500,Output_Mac!$A:$A,Output_Mac!J:J,""),
_xlpm.MyAuditVal,_xlfn.XLOOKUP($A500,My_Audit!$A:$A,My_Audit!H:H,""),
_xlfn.IFS(_xlpm.MyAuditVal&lt;&gt;"",UPPER(_xlpm.MyAuditVal),_xlpm.MacVal&lt;&gt;"",_xlpm.MacVal,_xlpm.CSVVal&lt;&gt;"",_xlpm.CSVVal
)),"")</f>
        <v/>
      </c>
      <c r="J500" s="54" t="str" cm="1">
        <f t="array" ref="J500">IFERROR(_xlfn.LET(
_xlpm.CSVVal,_xlfn.XLOOKUP($A500,CSV!$A:$A,CSV!I:I,""),
_xlpm.MacVal,_xlfn.XLOOKUP($A500,Output_Mac!$A:$A,Output_Mac!K:K,""),
_xlpm.MyAuditVal,_xlfn.XLOOKUP($A500,My_Audit!$A:$A,My_Audit!I:I,""),
_xlfn.IFS(_xlpm.MyAuditVal&lt;&gt;"",UPPER(_xlpm.MyAuditVal),_xlpm.MacVal&lt;&gt;"",_xlpm.MacVal,_xlpm.CSVVal&lt;&gt;"",_xlpm.CSVVal
)),"")</f>
        <v/>
      </c>
      <c r="K500" s="54" t="str" cm="1">
        <f t="array" ref="K500">IFERROR(_xlfn.LET(
_xlpm.CSVVal,_xlfn.XLOOKUP($A500,CSV!$A:$A,CSV!M:M,""),
_xlpm.MacVal,_xlfn.XLOOKUP($A500,Output_Mac!$A:$A,Output_Mac!L:L,""),
_xlpm.MyAuditVal,_xlfn.XLOOKUP($A500,My_Audit!$A:$A,My_Audit!J:J,""),
_xlfn.IFS(_xlpm.MyAuditVal&lt;&gt;"",UPPER(_xlpm.MyAuditVal),_xlpm.MacVal&lt;&gt;"",_xlpm.MacVal,_xlpm.CSVVal&lt;&gt;"",_xlpm.CSVVal
)),"")</f>
        <v/>
      </c>
      <c r="L500" s="54" t="str" cm="1">
        <f t="array" ref="L500">IFERROR(_xlfn.LET(
_xlpm.CSVVal,_xlfn.XLOOKUP($A500,CSV!$A:$A,CSV!O:O,""),
_xlpm.MacVal,_xlfn.XLOOKUP($A500,Output_Mac!$A:$A,Output_Mac!M:M,""),
_xlpm.MyAuditVal,_xlfn.XLOOKUP($A500,My_Audit!$A:$A,My_Audit!K:K,""),
_xlfn.IFS(_xlpm.MyAuditVal&lt;&gt;"",UPPER(_xlpm.MyAuditVal),_xlpm.MacVal&lt;&gt;"",_xlpm.MacVal,_xlpm.CSVVal&lt;&gt;"",_xlpm.CSVVal
)),"")</f>
        <v/>
      </c>
      <c r="M500" s="54" t="str">
        <f>_xlfn.LET(
    _xlpm.CSVVal, _xlfn.XLOOKUP($A500, CSV!$A:$A, CSV!AD:AD, ""),
    _xlpm.MacVal, _xlfn.XLOOKUP($A500, Output_Mac!$A:$A, Output_Mac!S:S, ""),
    _xlpm.MyAuditVal, _xlfn.XLOOKUP($A500, My_Audit!$A:$A, My_Audit!N:N, ""),
    _xlfn.TEXTJOIN(", ", TRUE, _xlpm.MyAuditVal, _xlpm.MacVal, _xlpm.CSVVal)
)</f>
        <v/>
      </c>
      <c r="N500" s="54" t="str" cm="1">
        <f t="array" ref="N500">IFERROR(_xlfn.LET(
_xlpm.CSVVal,_xlfn.XLOOKUP($A500,CSV!$A:$A,CSV!AF:AF,""),
_xlpm.MacVal,_xlfn.XLOOKUP($A500,Output_Mac!$A:$A,Output_Mac!U:U,""),
_xlpm.MyAuditVal,_xlfn.XLOOKUP($A500,My_Audit!$A:$A,My_Audit!O:O,""),
_xlfn.IFS(_xlpm.MyAuditVal&lt;&gt;"",UPPER(_xlpm.MyAuditVal),_xlpm.MacVal&lt;&gt;"",_xlpm.MacVal,_xlpm.CSVVal&lt;&gt;"",_xlpm.CSVVal
)),"")</f>
        <v/>
      </c>
      <c r="O500" s="54"/>
      <c r="P500" s="54"/>
      <c r="Q500" s="54"/>
      <c r="R500" s="54"/>
      <c r="S500" s="54"/>
      <c r="T500" s="54"/>
      <c r="U500" s="39"/>
    </row>
    <row r="501" spans="1:21">
      <c r="A501" s="54" t="str">
        <f>_xlfn.TEXTJOIN("",TRUE,Input!$B$2,ROW(My_Audit!A500))</f>
        <v>XX500</v>
      </c>
      <c r="B501" s="54" t="str">
        <f>_xlfn.TEXTJOIN("-",TRUE,"ITD",Input!$A$2,A501)</f>
        <v>ITD-SHRXXX-XX500</v>
      </c>
      <c r="C501" s="54" t="str" cm="1">
        <f t="array" ref="C501">IFERROR(_xlfn.LET(
_xlpm.CSVVal,_xlfn.XLOOKUP($A501,CSV!$A:$A,CSV!B:B,""),
_xlpm.MacVal,_xlfn.XLOOKUP($A501,Output_Mac!$A:$A,Output_Mac!B:B,""),
_xlpm.MyAuditVal,_xlfn.XLOOKUP($A501,My_Audit!$A:$A,My_Audit!B:B,""),
_xlfn.IFS(_xlpm.MyAuditVal&lt;&gt;"",UPPER(_xlpm.MyAuditVal),_xlpm.MacVal&lt;&gt;"",_xlpm.MacVal,_xlpm.CSVVal&lt;&gt;"",_xlpm.CSVVal
)),"")</f>
        <v/>
      </c>
      <c r="D501" s="55" t="str">
        <f>_xlfn.XLOOKUP(A501,My_Audit!A:A,My_Audit!D:D,"")&amp;""</f>
        <v/>
      </c>
      <c r="E501" s="55" t="str" cm="1">
        <f t="array" ref="E501">IFERROR(_xlfn.LET(
_xlpm.CSVVal,_xlfn.XLOOKUP($A501,CSV!$A:$A,CSV!D:D,""),
_xlpm.MacVal,_xlfn.XLOOKUP($A501,Output_Mac!$A:$A,Output_Mac!C:C,""),
_xlpm.MyAuditVal,_xlfn.XLOOKUP($A501,My_Audit!$A:$A,My_Audit!D:D,""),
_xlfn.IFS(_xlpm.MyAuditVal&lt;&gt;"",_xlpm.MyAuditVal,_xlpm.MacVal&lt;&gt;"",_xlpm.MacVal,_xlpm.CSVVal&lt;&gt;"",_xlpm.CSVVal
)),"")</f>
        <v/>
      </c>
      <c r="F501" s="54" t="str" cm="1">
        <f t="array" ref="F501">IFERROR(_xlfn.LET(
_xlpm.CSVVal,_xlfn.XLOOKUP($A501,CSV!$A:$A,CSV!E:E,""),
_xlpm.MacVal,_xlfn.XLOOKUP($A501,Output_Mac!$A:$A,Output_Mac!F:F,""),
_xlpm.MyAuditVal,_xlfn.XLOOKUP($A501,My_Audit!$A:$A,My_Audit!E:E,""),
_xlfn.IFS(_xlpm.MyAuditVal&lt;&gt;"",_xlpm.MyAuditVal,_xlpm.MacVal&lt;&gt;"",_xlpm.MacVal,_xlpm.CSVVal&lt;&gt;"",PROPER(_xlpm.CSVVal)
)),"")</f>
        <v/>
      </c>
      <c r="G501" s="54" t="str" cm="1">
        <f t="array" ref="G501">IFERROR(_xlfn.LET(
_xlpm.CSVVal,_xlfn.XLOOKUP($A501,CSV!$A:$A,CSV!F:F,""),
_xlpm.MacVal,_xlfn.XLOOKUP($A501,Output_Mac!$A:$A,Output_Mac!H:H,""),
_xlpm.MyAuditVal,_xlfn.XLOOKUP($A501,My_Audit!$A:$A,My_Audit!F:F,""),
_xlfn.IFS(_xlpm.MyAuditVal&lt;&gt;"",_xlpm.MyAuditVal,_xlpm.MacVal&lt;&gt;"",_xlpm.MacVal,_xlpm.CSVVal&lt;&gt;"",_xlpm.CSVVal
)),"")</f>
        <v/>
      </c>
      <c r="H501" s="54" t="str">
        <f>_xlfn.XLOOKUP(A501,Output_Mac!A:A,Output_Mac!I:I,"")</f>
        <v/>
      </c>
      <c r="I501" s="54" t="str" cm="1">
        <f t="array" ref="I501">IFERROR(_xlfn.LET(
_xlpm.CSVVal,_xlfn.XLOOKUP($A501,CSV!$A:$A,CSV!G:G,""),
_xlpm.MacVal,_xlfn.XLOOKUP($A501,Output_Mac!$A:$A,Output_Mac!J:J,""),
_xlpm.MyAuditVal,_xlfn.XLOOKUP($A501,My_Audit!$A:$A,My_Audit!H:H,""),
_xlfn.IFS(_xlpm.MyAuditVal&lt;&gt;"",UPPER(_xlpm.MyAuditVal),_xlpm.MacVal&lt;&gt;"",_xlpm.MacVal,_xlpm.CSVVal&lt;&gt;"",_xlpm.CSVVal
)),"")</f>
        <v/>
      </c>
      <c r="J501" s="54" t="str" cm="1">
        <f t="array" ref="J501">IFERROR(_xlfn.LET(
_xlpm.CSVVal,_xlfn.XLOOKUP($A501,CSV!$A:$A,CSV!I:I,""),
_xlpm.MacVal,_xlfn.XLOOKUP($A501,Output_Mac!$A:$A,Output_Mac!K:K,""),
_xlpm.MyAuditVal,_xlfn.XLOOKUP($A501,My_Audit!$A:$A,My_Audit!I:I,""),
_xlfn.IFS(_xlpm.MyAuditVal&lt;&gt;"",UPPER(_xlpm.MyAuditVal),_xlpm.MacVal&lt;&gt;"",_xlpm.MacVal,_xlpm.CSVVal&lt;&gt;"",_xlpm.CSVVal
)),"")</f>
        <v/>
      </c>
      <c r="K501" s="54" t="str" cm="1">
        <f t="array" ref="K501">IFERROR(_xlfn.LET(
_xlpm.CSVVal,_xlfn.XLOOKUP($A501,CSV!$A:$A,CSV!M:M,""),
_xlpm.MacVal,_xlfn.XLOOKUP($A501,Output_Mac!$A:$A,Output_Mac!L:L,""),
_xlpm.MyAuditVal,_xlfn.XLOOKUP($A501,My_Audit!$A:$A,My_Audit!J:J,""),
_xlfn.IFS(_xlpm.MyAuditVal&lt;&gt;"",UPPER(_xlpm.MyAuditVal),_xlpm.MacVal&lt;&gt;"",_xlpm.MacVal,_xlpm.CSVVal&lt;&gt;"",_xlpm.CSVVal
)),"")</f>
        <v/>
      </c>
      <c r="L501" s="54" t="str" cm="1">
        <f t="array" ref="L501">IFERROR(_xlfn.LET(
_xlpm.CSVVal,_xlfn.XLOOKUP($A501,CSV!$A:$A,CSV!O:O,""),
_xlpm.MacVal,_xlfn.XLOOKUP($A501,Output_Mac!$A:$A,Output_Mac!M:M,""),
_xlpm.MyAuditVal,_xlfn.XLOOKUP($A501,My_Audit!$A:$A,My_Audit!K:K,""),
_xlfn.IFS(_xlpm.MyAuditVal&lt;&gt;"",UPPER(_xlpm.MyAuditVal),_xlpm.MacVal&lt;&gt;"",_xlpm.MacVal,_xlpm.CSVVal&lt;&gt;"",_xlpm.CSVVal
)),"")</f>
        <v/>
      </c>
      <c r="M501" s="54" t="str">
        <f>_xlfn.LET(
    _xlpm.CSVVal, _xlfn.XLOOKUP($A501, CSV!$A:$A, CSV!AD:AD, ""),
    _xlpm.MacVal, _xlfn.XLOOKUP($A501, Output_Mac!$A:$A, Output_Mac!S:S, ""),
    _xlpm.MyAuditVal, _xlfn.XLOOKUP($A501, My_Audit!$A:$A, My_Audit!N:N, ""),
    _xlfn.TEXTJOIN(", ", TRUE, _xlpm.MyAuditVal, _xlpm.MacVal, _xlpm.CSVVal)
)</f>
        <v/>
      </c>
      <c r="N501" s="54" t="str" cm="1">
        <f t="array" ref="N501">IFERROR(_xlfn.LET(
_xlpm.CSVVal,_xlfn.XLOOKUP($A501,CSV!$A:$A,CSV!AF:AF,""),
_xlpm.MacVal,_xlfn.XLOOKUP($A501,Output_Mac!$A:$A,Output_Mac!U:U,""),
_xlpm.MyAuditVal,_xlfn.XLOOKUP($A501,My_Audit!$A:$A,My_Audit!O:O,""),
_xlfn.IFS(_xlpm.MyAuditVal&lt;&gt;"",UPPER(_xlpm.MyAuditVal),_xlpm.MacVal&lt;&gt;"",_xlpm.MacVal,_xlpm.CSVVal&lt;&gt;"",_xlpm.CSVVal
)),"")</f>
        <v/>
      </c>
      <c r="O501" s="54"/>
      <c r="P501" s="54"/>
      <c r="Q501" s="54"/>
      <c r="R501" s="54"/>
      <c r="S501" s="54"/>
      <c r="T501" s="54"/>
      <c r="U501" s="39"/>
    </row>
    <row r="502" spans="1:21">
      <c r="A502" s="54" t="str">
        <f>_xlfn.TEXTJOIN("",TRUE,Input!$B$2,ROW(My_Audit!A501))</f>
        <v>XX501</v>
      </c>
      <c r="B502" s="54" t="str">
        <f>_xlfn.TEXTJOIN("-",TRUE,"ITD",Input!$A$2,A502)</f>
        <v>ITD-SHRXXX-XX501</v>
      </c>
      <c r="C502" s="54" t="str" cm="1">
        <f t="array" ref="C502">IFERROR(_xlfn.LET(
_xlpm.CSVVal,_xlfn.XLOOKUP($A502,CSV!$A:$A,CSV!B:B,""),
_xlpm.MacVal,_xlfn.XLOOKUP($A502,Output_Mac!$A:$A,Output_Mac!B:B,""),
_xlpm.MyAuditVal,_xlfn.XLOOKUP($A502,My_Audit!$A:$A,My_Audit!B:B,""),
_xlfn.IFS(_xlpm.MyAuditVal&lt;&gt;"",UPPER(_xlpm.MyAuditVal),_xlpm.MacVal&lt;&gt;"",_xlpm.MacVal,_xlpm.CSVVal&lt;&gt;"",_xlpm.CSVVal
)),"")</f>
        <v/>
      </c>
      <c r="D502" s="55" t="str">
        <f>_xlfn.XLOOKUP(A502,My_Audit!A:A,My_Audit!D:D,"")&amp;""</f>
        <v/>
      </c>
      <c r="E502" s="55" t="str" cm="1">
        <f t="array" ref="E502">IFERROR(_xlfn.LET(
_xlpm.CSVVal,_xlfn.XLOOKUP($A502,CSV!$A:$A,CSV!D:D,""),
_xlpm.MacVal,_xlfn.XLOOKUP($A502,Output_Mac!$A:$A,Output_Mac!C:C,""),
_xlpm.MyAuditVal,_xlfn.XLOOKUP($A502,My_Audit!$A:$A,My_Audit!D:D,""),
_xlfn.IFS(_xlpm.MyAuditVal&lt;&gt;"",_xlpm.MyAuditVal,_xlpm.MacVal&lt;&gt;"",_xlpm.MacVal,_xlpm.CSVVal&lt;&gt;"",_xlpm.CSVVal
)),"")</f>
        <v/>
      </c>
      <c r="F502" s="54" t="str" cm="1">
        <f t="array" ref="F502">IFERROR(_xlfn.LET(
_xlpm.CSVVal,_xlfn.XLOOKUP($A502,CSV!$A:$A,CSV!E:E,""),
_xlpm.MacVal,_xlfn.XLOOKUP($A502,Output_Mac!$A:$A,Output_Mac!F:F,""),
_xlpm.MyAuditVal,_xlfn.XLOOKUP($A502,My_Audit!$A:$A,My_Audit!E:E,""),
_xlfn.IFS(_xlpm.MyAuditVal&lt;&gt;"",_xlpm.MyAuditVal,_xlpm.MacVal&lt;&gt;"",_xlpm.MacVal,_xlpm.CSVVal&lt;&gt;"",PROPER(_xlpm.CSVVal)
)),"")</f>
        <v/>
      </c>
      <c r="G502" s="54" t="str" cm="1">
        <f t="array" ref="G502">IFERROR(_xlfn.LET(
_xlpm.CSVVal,_xlfn.XLOOKUP($A502,CSV!$A:$A,CSV!F:F,""),
_xlpm.MacVal,_xlfn.XLOOKUP($A502,Output_Mac!$A:$A,Output_Mac!H:H,""),
_xlpm.MyAuditVal,_xlfn.XLOOKUP($A502,My_Audit!$A:$A,My_Audit!F:F,""),
_xlfn.IFS(_xlpm.MyAuditVal&lt;&gt;"",_xlpm.MyAuditVal,_xlpm.MacVal&lt;&gt;"",_xlpm.MacVal,_xlpm.CSVVal&lt;&gt;"",_xlpm.CSVVal
)),"")</f>
        <v/>
      </c>
      <c r="H502" s="54" t="str">
        <f>_xlfn.XLOOKUP(A502,Output_Mac!A:A,Output_Mac!I:I,"")</f>
        <v/>
      </c>
      <c r="I502" s="54" t="str" cm="1">
        <f t="array" ref="I502">IFERROR(_xlfn.LET(
_xlpm.CSVVal,_xlfn.XLOOKUP($A502,CSV!$A:$A,CSV!G:G,""),
_xlpm.MacVal,_xlfn.XLOOKUP($A502,Output_Mac!$A:$A,Output_Mac!J:J,""),
_xlpm.MyAuditVal,_xlfn.XLOOKUP($A502,My_Audit!$A:$A,My_Audit!H:H,""),
_xlfn.IFS(_xlpm.MyAuditVal&lt;&gt;"",UPPER(_xlpm.MyAuditVal),_xlpm.MacVal&lt;&gt;"",_xlpm.MacVal,_xlpm.CSVVal&lt;&gt;"",_xlpm.CSVVal
)),"")</f>
        <v/>
      </c>
      <c r="J502" s="54" t="str" cm="1">
        <f t="array" ref="J502">IFERROR(_xlfn.LET(
_xlpm.CSVVal,_xlfn.XLOOKUP($A502,CSV!$A:$A,CSV!I:I,""),
_xlpm.MacVal,_xlfn.XLOOKUP($A502,Output_Mac!$A:$A,Output_Mac!K:K,""),
_xlpm.MyAuditVal,_xlfn.XLOOKUP($A502,My_Audit!$A:$A,My_Audit!I:I,""),
_xlfn.IFS(_xlpm.MyAuditVal&lt;&gt;"",UPPER(_xlpm.MyAuditVal),_xlpm.MacVal&lt;&gt;"",_xlpm.MacVal,_xlpm.CSVVal&lt;&gt;"",_xlpm.CSVVal
)),"")</f>
        <v/>
      </c>
      <c r="K502" s="54" t="str" cm="1">
        <f t="array" ref="K502">IFERROR(_xlfn.LET(
_xlpm.CSVVal,_xlfn.XLOOKUP($A502,CSV!$A:$A,CSV!M:M,""),
_xlpm.MacVal,_xlfn.XLOOKUP($A502,Output_Mac!$A:$A,Output_Mac!L:L,""),
_xlpm.MyAuditVal,_xlfn.XLOOKUP($A502,My_Audit!$A:$A,My_Audit!J:J,""),
_xlfn.IFS(_xlpm.MyAuditVal&lt;&gt;"",UPPER(_xlpm.MyAuditVal),_xlpm.MacVal&lt;&gt;"",_xlpm.MacVal,_xlpm.CSVVal&lt;&gt;"",_xlpm.CSVVal
)),"")</f>
        <v/>
      </c>
      <c r="L502" s="54" t="str" cm="1">
        <f t="array" ref="L502">IFERROR(_xlfn.LET(
_xlpm.CSVVal,_xlfn.XLOOKUP($A502,CSV!$A:$A,CSV!O:O,""),
_xlpm.MacVal,_xlfn.XLOOKUP($A502,Output_Mac!$A:$A,Output_Mac!M:M,""),
_xlpm.MyAuditVal,_xlfn.XLOOKUP($A502,My_Audit!$A:$A,My_Audit!K:K,""),
_xlfn.IFS(_xlpm.MyAuditVal&lt;&gt;"",UPPER(_xlpm.MyAuditVal),_xlpm.MacVal&lt;&gt;"",_xlpm.MacVal,_xlpm.CSVVal&lt;&gt;"",_xlpm.CSVVal
)),"")</f>
        <v/>
      </c>
      <c r="M502" s="54" t="str">
        <f>_xlfn.LET(
    _xlpm.CSVVal, _xlfn.XLOOKUP($A502, CSV!$A:$A, CSV!AD:AD, ""),
    _xlpm.MacVal, _xlfn.XLOOKUP($A502, Output_Mac!$A:$A, Output_Mac!S:S, ""),
    _xlpm.MyAuditVal, _xlfn.XLOOKUP($A502, My_Audit!$A:$A, My_Audit!N:N, ""),
    _xlfn.TEXTJOIN(", ", TRUE, _xlpm.MyAuditVal, _xlpm.MacVal, _xlpm.CSVVal)
)</f>
        <v/>
      </c>
      <c r="N502" s="54" t="str" cm="1">
        <f t="array" ref="N502">IFERROR(_xlfn.LET(
_xlpm.CSVVal,_xlfn.XLOOKUP($A502,CSV!$A:$A,CSV!AF:AF,""),
_xlpm.MacVal,_xlfn.XLOOKUP($A502,Output_Mac!$A:$A,Output_Mac!U:U,""),
_xlpm.MyAuditVal,_xlfn.XLOOKUP($A502,My_Audit!$A:$A,My_Audit!O:O,""),
_xlfn.IFS(_xlpm.MyAuditVal&lt;&gt;"",UPPER(_xlpm.MyAuditVal),_xlpm.MacVal&lt;&gt;"",_xlpm.MacVal,_xlpm.CSVVal&lt;&gt;"",_xlpm.CSVVal
)),"")</f>
        <v/>
      </c>
      <c r="O502" s="54"/>
      <c r="P502" s="54"/>
      <c r="Q502" s="54"/>
      <c r="R502" s="54"/>
      <c r="S502" s="54"/>
      <c r="T502" s="54"/>
      <c r="U502" s="39"/>
    </row>
    <row r="503" spans="1:21">
      <c r="A503" s="54" t="str">
        <f>_xlfn.TEXTJOIN("",TRUE,Input!$B$2,ROW(My_Audit!A502))</f>
        <v>XX502</v>
      </c>
      <c r="B503" s="54" t="str">
        <f>_xlfn.TEXTJOIN("-",TRUE,"ITD",Input!$A$2,A503)</f>
        <v>ITD-SHRXXX-XX502</v>
      </c>
      <c r="C503" s="54" t="str" cm="1">
        <f t="array" ref="C503">IFERROR(_xlfn.LET(
_xlpm.CSVVal,_xlfn.XLOOKUP($A503,CSV!$A:$A,CSV!B:B,""),
_xlpm.MacVal,_xlfn.XLOOKUP($A503,Output_Mac!$A:$A,Output_Mac!B:B,""),
_xlpm.MyAuditVal,_xlfn.XLOOKUP($A503,My_Audit!$A:$A,My_Audit!B:B,""),
_xlfn.IFS(_xlpm.MyAuditVal&lt;&gt;"",UPPER(_xlpm.MyAuditVal),_xlpm.MacVal&lt;&gt;"",_xlpm.MacVal,_xlpm.CSVVal&lt;&gt;"",_xlpm.CSVVal
)),"")</f>
        <v/>
      </c>
      <c r="D503" s="55" t="str">
        <f>_xlfn.XLOOKUP(A503,My_Audit!A:A,My_Audit!D:D,"")&amp;""</f>
        <v/>
      </c>
      <c r="E503" s="55" t="str" cm="1">
        <f t="array" ref="E503">IFERROR(_xlfn.LET(
_xlpm.CSVVal,_xlfn.XLOOKUP($A503,CSV!$A:$A,CSV!D:D,""),
_xlpm.MacVal,_xlfn.XLOOKUP($A503,Output_Mac!$A:$A,Output_Mac!C:C,""),
_xlpm.MyAuditVal,_xlfn.XLOOKUP($A503,My_Audit!$A:$A,My_Audit!D:D,""),
_xlfn.IFS(_xlpm.MyAuditVal&lt;&gt;"",_xlpm.MyAuditVal,_xlpm.MacVal&lt;&gt;"",_xlpm.MacVal,_xlpm.CSVVal&lt;&gt;"",_xlpm.CSVVal
)),"")</f>
        <v/>
      </c>
      <c r="F503" s="54" t="str" cm="1">
        <f t="array" ref="F503">IFERROR(_xlfn.LET(
_xlpm.CSVVal,_xlfn.XLOOKUP($A503,CSV!$A:$A,CSV!E:E,""),
_xlpm.MacVal,_xlfn.XLOOKUP($A503,Output_Mac!$A:$A,Output_Mac!F:F,""),
_xlpm.MyAuditVal,_xlfn.XLOOKUP($A503,My_Audit!$A:$A,My_Audit!E:E,""),
_xlfn.IFS(_xlpm.MyAuditVal&lt;&gt;"",_xlpm.MyAuditVal,_xlpm.MacVal&lt;&gt;"",_xlpm.MacVal,_xlpm.CSVVal&lt;&gt;"",PROPER(_xlpm.CSVVal)
)),"")</f>
        <v/>
      </c>
      <c r="G503" s="54" t="str" cm="1">
        <f t="array" ref="G503">IFERROR(_xlfn.LET(
_xlpm.CSVVal,_xlfn.XLOOKUP($A503,CSV!$A:$A,CSV!F:F,""),
_xlpm.MacVal,_xlfn.XLOOKUP($A503,Output_Mac!$A:$A,Output_Mac!H:H,""),
_xlpm.MyAuditVal,_xlfn.XLOOKUP($A503,My_Audit!$A:$A,My_Audit!F:F,""),
_xlfn.IFS(_xlpm.MyAuditVal&lt;&gt;"",_xlpm.MyAuditVal,_xlpm.MacVal&lt;&gt;"",_xlpm.MacVal,_xlpm.CSVVal&lt;&gt;"",_xlpm.CSVVal
)),"")</f>
        <v/>
      </c>
      <c r="H503" s="54" t="str">
        <f>_xlfn.XLOOKUP(A503,Output_Mac!A:A,Output_Mac!I:I,"")</f>
        <v/>
      </c>
      <c r="I503" s="54" t="str" cm="1">
        <f t="array" ref="I503">IFERROR(_xlfn.LET(
_xlpm.CSVVal,_xlfn.XLOOKUP($A503,CSV!$A:$A,CSV!G:G,""),
_xlpm.MacVal,_xlfn.XLOOKUP($A503,Output_Mac!$A:$A,Output_Mac!J:J,""),
_xlpm.MyAuditVal,_xlfn.XLOOKUP($A503,My_Audit!$A:$A,My_Audit!H:H,""),
_xlfn.IFS(_xlpm.MyAuditVal&lt;&gt;"",UPPER(_xlpm.MyAuditVal),_xlpm.MacVal&lt;&gt;"",_xlpm.MacVal,_xlpm.CSVVal&lt;&gt;"",_xlpm.CSVVal
)),"")</f>
        <v/>
      </c>
      <c r="J503" s="54" t="str" cm="1">
        <f t="array" ref="J503">IFERROR(_xlfn.LET(
_xlpm.CSVVal,_xlfn.XLOOKUP($A503,CSV!$A:$A,CSV!I:I,""),
_xlpm.MacVal,_xlfn.XLOOKUP($A503,Output_Mac!$A:$A,Output_Mac!K:K,""),
_xlpm.MyAuditVal,_xlfn.XLOOKUP($A503,My_Audit!$A:$A,My_Audit!I:I,""),
_xlfn.IFS(_xlpm.MyAuditVal&lt;&gt;"",UPPER(_xlpm.MyAuditVal),_xlpm.MacVal&lt;&gt;"",_xlpm.MacVal,_xlpm.CSVVal&lt;&gt;"",_xlpm.CSVVal
)),"")</f>
        <v/>
      </c>
      <c r="K503" s="54" t="str" cm="1">
        <f t="array" ref="K503">IFERROR(_xlfn.LET(
_xlpm.CSVVal,_xlfn.XLOOKUP($A503,CSV!$A:$A,CSV!M:M,""),
_xlpm.MacVal,_xlfn.XLOOKUP($A503,Output_Mac!$A:$A,Output_Mac!L:L,""),
_xlpm.MyAuditVal,_xlfn.XLOOKUP($A503,My_Audit!$A:$A,My_Audit!J:J,""),
_xlfn.IFS(_xlpm.MyAuditVal&lt;&gt;"",UPPER(_xlpm.MyAuditVal),_xlpm.MacVal&lt;&gt;"",_xlpm.MacVal,_xlpm.CSVVal&lt;&gt;"",_xlpm.CSVVal
)),"")</f>
        <v/>
      </c>
      <c r="L503" s="54" t="str" cm="1">
        <f t="array" ref="L503">IFERROR(_xlfn.LET(
_xlpm.CSVVal,_xlfn.XLOOKUP($A503,CSV!$A:$A,CSV!O:O,""),
_xlpm.MacVal,_xlfn.XLOOKUP($A503,Output_Mac!$A:$A,Output_Mac!M:M,""),
_xlpm.MyAuditVal,_xlfn.XLOOKUP($A503,My_Audit!$A:$A,My_Audit!K:K,""),
_xlfn.IFS(_xlpm.MyAuditVal&lt;&gt;"",UPPER(_xlpm.MyAuditVal),_xlpm.MacVal&lt;&gt;"",_xlpm.MacVal,_xlpm.CSVVal&lt;&gt;"",_xlpm.CSVVal
)),"")</f>
        <v/>
      </c>
      <c r="M503" s="54" t="str">
        <f>_xlfn.LET(
    _xlpm.CSVVal, _xlfn.XLOOKUP($A503, CSV!$A:$A, CSV!AD:AD, ""),
    _xlpm.MacVal, _xlfn.XLOOKUP($A503, Output_Mac!$A:$A, Output_Mac!S:S, ""),
    _xlpm.MyAuditVal, _xlfn.XLOOKUP($A503, My_Audit!$A:$A, My_Audit!N:N, ""),
    _xlfn.TEXTJOIN(", ", TRUE, _xlpm.MyAuditVal, _xlpm.MacVal, _xlpm.CSVVal)
)</f>
        <v/>
      </c>
      <c r="N503" s="54" t="str" cm="1">
        <f t="array" ref="N503">IFERROR(_xlfn.LET(
_xlpm.CSVVal,_xlfn.XLOOKUP($A503,CSV!$A:$A,CSV!AF:AF,""),
_xlpm.MacVal,_xlfn.XLOOKUP($A503,Output_Mac!$A:$A,Output_Mac!U:U,""),
_xlpm.MyAuditVal,_xlfn.XLOOKUP($A503,My_Audit!$A:$A,My_Audit!O:O,""),
_xlfn.IFS(_xlpm.MyAuditVal&lt;&gt;"",UPPER(_xlpm.MyAuditVal),_xlpm.MacVal&lt;&gt;"",_xlpm.MacVal,_xlpm.CSVVal&lt;&gt;"",_xlpm.CSVVal
)),"")</f>
        <v/>
      </c>
      <c r="O503" s="54"/>
      <c r="P503" s="54"/>
      <c r="Q503" s="54"/>
      <c r="R503" s="54"/>
      <c r="S503" s="54"/>
      <c r="T503" s="54"/>
      <c r="U503" s="39"/>
    </row>
    <row r="504" spans="1:21">
      <c r="A504" s="54" t="str">
        <f>_xlfn.TEXTJOIN("",TRUE,Input!$B$2,ROW(My_Audit!A503))</f>
        <v>XX503</v>
      </c>
      <c r="B504" s="54" t="str">
        <f>_xlfn.TEXTJOIN("-",TRUE,"ITD",Input!$A$2,A504)</f>
        <v>ITD-SHRXXX-XX503</v>
      </c>
      <c r="C504" s="54" t="str" cm="1">
        <f t="array" ref="C504">IFERROR(_xlfn.LET(
_xlpm.CSVVal,_xlfn.XLOOKUP($A504,CSV!$A:$A,CSV!B:B,""),
_xlpm.MacVal,_xlfn.XLOOKUP($A504,Output_Mac!$A:$A,Output_Mac!B:B,""),
_xlpm.MyAuditVal,_xlfn.XLOOKUP($A504,My_Audit!$A:$A,My_Audit!B:B,""),
_xlfn.IFS(_xlpm.MyAuditVal&lt;&gt;"",UPPER(_xlpm.MyAuditVal),_xlpm.MacVal&lt;&gt;"",_xlpm.MacVal,_xlpm.CSVVal&lt;&gt;"",_xlpm.CSVVal
)),"")</f>
        <v/>
      </c>
      <c r="D504" s="55" t="str">
        <f>_xlfn.XLOOKUP(A504,My_Audit!A:A,My_Audit!D:D,"")&amp;""</f>
        <v/>
      </c>
      <c r="E504" s="55" t="str" cm="1">
        <f t="array" ref="E504">IFERROR(_xlfn.LET(
_xlpm.CSVVal,_xlfn.XLOOKUP($A504,CSV!$A:$A,CSV!D:D,""),
_xlpm.MacVal,_xlfn.XLOOKUP($A504,Output_Mac!$A:$A,Output_Mac!C:C,""),
_xlpm.MyAuditVal,_xlfn.XLOOKUP($A504,My_Audit!$A:$A,My_Audit!D:D,""),
_xlfn.IFS(_xlpm.MyAuditVal&lt;&gt;"",_xlpm.MyAuditVal,_xlpm.MacVal&lt;&gt;"",_xlpm.MacVal,_xlpm.CSVVal&lt;&gt;"",_xlpm.CSVVal
)),"")</f>
        <v/>
      </c>
      <c r="F504" s="54" t="str" cm="1">
        <f t="array" ref="F504">IFERROR(_xlfn.LET(
_xlpm.CSVVal,_xlfn.XLOOKUP($A504,CSV!$A:$A,CSV!E:E,""),
_xlpm.MacVal,_xlfn.XLOOKUP($A504,Output_Mac!$A:$A,Output_Mac!F:F,""),
_xlpm.MyAuditVal,_xlfn.XLOOKUP($A504,My_Audit!$A:$A,My_Audit!E:E,""),
_xlfn.IFS(_xlpm.MyAuditVal&lt;&gt;"",_xlpm.MyAuditVal,_xlpm.MacVal&lt;&gt;"",_xlpm.MacVal,_xlpm.CSVVal&lt;&gt;"",PROPER(_xlpm.CSVVal)
)),"")</f>
        <v/>
      </c>
      <c r="G504" s="54" t="str" cm="1">
        <f t="array" ref="G504">IFERROR(_xlfn.LET(
_xlpm.CSVVal,_xlfn.XLOOKUP($A504,CSV!$A:$A,CSV!F:F,""),
_xlpm.MacVal,_xlfn.XLOOKUP($A504,Output_Mac!$A:$A,Output_Mac!H:H,""),
_xlpm.MyAuditVal,_xlfn.XLOOKUP($A504,My_Audit!$A:$A,My_Audit!F:F,""),
_xlfn.IFS(_xlpm.MyAuditVal&lt;&gt;"",_xlpm.MyAuditVal,_xlpm.MacVal&lt;&gt;"",_xlpm.MacVal,_xlpm.CSVVal&lt;&gt;"",_xlpm.CSVVal
)),"")</f>
        <v/>
      </c>
      <c r="H504" s="54" t="str">
        <f>_xlfn.XLOOKUP(A504,Output_Mac!A:A,Output_Mac!I:I,"")</f>
        <v/>
      </c>
      <c r="I504" s="54" t="str" cm="1">
        <f t="array" ref="I504">IFERROR(_xlfn.LET(
_xlpm.CSVVal,_xlfn.XLOOKUP($A504,CSV!$A:$A,CSV!G:G,""),
_xlpm.MacVal,_xlfn.XLOOKUP($A504,Output_Mac!$A:$A,Output_Mac!J:J,""),
_xlpm.MyAuditVal,_xlfn.XLOOKUP($A504,My_Audit!$A:$A,My_Audit!H:H,""),
_xlfn.IFS(_xlpm.MyAuditVal&lt;&gt;"",UPPER(_xlpm.MyAuditVal),_xlpm.MacVal&lt;&gt;"",_xlpm.MacVal,_xlpm.CSVVal&lt;&gt;"",_xlpm.CSVVal
)),"")</f>
        <v/>
      </c>
      <c r="J504" s="54" t="str" cm="1">
        <f t="array" ref="J504">IFERROR(_xlfn.LET(
_xlpm.CSVVal,_xlfn.XLOOKUP($A504,CSV!$A:$A,CSV!I:I,""),
_xlpm.MacVal,_xlfn.XLOOKUP($A504,Output_Mac!$A:$A,Output_Mac!K:K,""),
_xlpm.MyAuditVal,_xlfn.XLOOKUP($A504,My_Audit!$A:$A,My_Audit!I:I,""),
_xlfn.IFS(_xlpm.MyAuditVal&lt;&gt;"",UPPER(_xlpm.MyAuditVal),_xlpm.MacVal&lt;&gt;"",_xlpm.MacVal,_xlpm.CSVVal&lt;&gt;"",_xlpm.CSVVal
)),"")</f>
        <v/>
      </c>
      <c r="K504" s="54" t="str" cm="1">
        <f t="array" ref="K504">IFERROR(_xlfn.LET(
_xlpm.CSVVal,_xlfn.XLOOKUP($A504,CSV!$A:$A,CSV!M:M,""),
_xlpm.MacVal,_xlfn.XLOOKUP($A504,Output_Mac!$A:$A,Output_Mac!L:L,""),
_xlpm.MyAuditVal,_xlfn.XLOOKUP($A504,My_Audit!$A:$A,My_Audit!J:J,""),
_xlfn.IFS(_xlpm.MyAuditVal&lt;&gt;"",UPPER(_xlpm.MyAuditVal),_xlpm.MacVal&lt;&gt;"",_xlpm.MacVal,_xlpm.CSVVal&lt;&gt;"",_xlpm.CSVVal
)),"")</f>
        <v/>
      </c>
      <c r="L504" s="54" t="str" cm="1">
        <f t="array" ref="L504">IFERROR(_xlfn.LET(
_xlpm.CSVVal,_xlfn.XLOOKUP($A504,CSV!$A:$A,CSV!O:O,""),
_xlpm.MacVal,_xlfn.XLOOKUP($A504,Output_Mac!$A:$A,Output_Mac!M:M,""),
_xlpm.MyAuditVal,_xlfn.XLOOKUP($A504,My_Audit!$A:$A,My_Audit!K:K,""),
_xlfn.IFS(_xlpm.MyAuditVal&lt;&gt;"",UPPER(_xlpm.MyAuditVal),_xlpm.MacVal&lt;&gt;"",_xlpm.MacVal,_xlpm.CSVVal&lt;&gt;"",_xlpm.CSVVal
)),"")</f>
        <v/>
      </c>
      <c r="M504" s="54" t="str">
        <f>_xlfn.LET(
    _xlpm.CSVVal, _xlfn.XLOOKUP($A504, CSV!$A:$A, CSV!AD:AD, ""),
    _xlpm.MacVal, _xlfn.XLOOKUP($A504, Output_Mac!$A:$A, Output_Mac!S:S, ""),
    _xlpm.MyAuditVal, _xlfn.XLOOKUP($A504, My_Audit!$A:$A, My_Audit!N:N, ""),
    _xlfn.TEXTJOIN(", ", TRUE, _xlpm.MyAuditVal, _xlpm.MacVal, _xlpm.CSVVal)
)</f>
        <v/>
      </c>
      <c r="N504" s="54" t="str" cm="1">
        <f t="array" ref="N504">IFERROR(_xlfn.LET(
_xlpm.CSVVal,_xlfn.XLOOKUP($A504,CSV!$A:$A,CSV!AF:AF,""),
_xlpm.MacVal,_xlfn.XLOOKUP($A504,Output_Mac!$A:$A,Output_Mac!U:U,""),
_xlpm.MyAuditVal,_xlfn.XLOOKUP($A504,My_Audit!$A:$A,My_Audit!O:O,""),
_xlfn.IFS(_xlpm.MyAuditVal&lt;&gt;"",UPPER(_xlpm.MyAuditVal),_xlpm.MacVal&lt;&gt;"",_xlpm.MacVal,_xlpm.CSVVal&lt;&gt;"",_xlpm.CSVVal
)),"")</f>
        <v/>
      </c>
      <c r="O504" s="54"/>
      <c r="P504" s="54"/>
      <c r="Q504" s="54"/>
      <c r="R504" s="54"/>
      <c r="S504" s="54"/>
      <c r="T504" s="54"/>
      <c r="U504" s="39"/>
    </row>
    <row r="505" spans="1:21">
      <c r="A505" s="54" t="str">
        <f>_xlfn.TEXTJOIN("",TRUE,Input!$B$2,ROW(My_Audit!A504))</f>
        <v>XX504</v>
      </c>
      <c r="B505" s="54" t="str">
        <f>_xlfn.TEXTJOIN("-",TRUE,"ITD",Input!$A$2,A505)</f>
        <v>ITD-SHRXXX-XX504</v>
      </c>
      <c r="C505" s="54" t="str" cm="1">
        <f t="array" ref="C505">IFERROR(_xlfn.LET(
_xlpm.CSVVal,_xlfn.XLOOKUP($A505,CSV!$A:$A,CSV!B:B,""),
_xlpm.MacVal,_xlfn.XLOOKUP($A505,Output_Mac!$A:$A,Output_Mac!B:B,""),
_xlpm.MyAuditVal,_xlfn.XLOOKUP($A505,My_Audit!$A:$A,My_Audit!B:B,""),
_xlfn.IFS(_xlpm.MyAuditVal&lt;&gt;"",UPPER(_xlpm.MyAuditVal),_xlpm.MacVal&lt;&gt;"",_xlpm.MacVal,_xlpm.CSVVal&lt;&gt;"",_xlpm.CSVVal
)),"")</f>
        <v/>
      </c>
      <c r="D505" s="55" t="str">
        <f>_xlfn.XLOOKUP(A505,My_Audit!A:A,My_Audit!D:D,"")&amp;""</f>
        <v/>
      </c>
      <c r="E505" s="55" t="str" cm="1">
        <f t="array" ref="E505">IFERROR(_xlfn.LET(
_xlpm.CSVVal,_xlfn.XLOOKUP($A505,CSV!$A:$A,CSV!D:D,""),
_xlpm.MacVal,_xlfn.XLOOKUP($A505,Output_Mac!$A:$A,Output_Mac!C:C,""),
_xlpm.MyAuditVal,_xlfn.XLOOKUP($A505,My_Audit!$A:$A,My_Audit!D:D,""),
_xlfn.IFS(_xlpm.MyAuditVal&lt;&gt;"",_xlpm.MyAuditVal,_xlpm.MacVal&lt;&gt;"",_xlpm.MacVal,_xlpm.CSVVal&lt;&gt;"",_xlpm.CSVVal
)),"")</f>
        <v/>
      </c>
      <c r="F505" s="54" t="str" cm="1">
        <f t="array" ref="F505">IFERROR(_xlfn.LET(
_xlpm.CSVVal,_xlfn.XLOOKUP($A505,CSV!$A:$A,CSV!E:E,""),
_xlpm.MacVal,_xlfn.XLOOKUP($A505,Output_Mac!$A:$A,Output_Mac!F:F,""),
_xlpm.MyAuditVal,_xlfn.XLOOKUP($A505,My_Audit!$A:$A,My_Audit!E:E,""),
_xlfn.IFS(_xlpm.MyAuditVal&lt;&gt;"",_xlpm.MyAuditVal,_xlpm.MacVal&lt;&gt;"",_xlpm.MacVal,_xlpm.CSVVal&lt;&gt;"",PROPER(_xlpm.CSVVal)
)),"")</f>
        <v/>
      </c>
      <c r="G505" s="54" t="str" cm="1">
        <f t="array" ref="G505">IFERROR(_xlfn.LET(
_xlpm.CSVVal,_xlfn.XLOOKUP($A505,CSV!$A:$A,CSV!F:F,""),
_xlpm.MacVal,_xlfn.XLOOKUP($A505,Output_Mac!$A:$A,Output_Mac!H:H,""),
_xlpm.MyAuditVal,_xlfn.XLOOKUP($A505,My_Audit!$A:$A,My_Audit!F:F,""),
_xlfn.IFS(_xlpm.MyAuditVal&lt;&gt;"",_xlpm.MyAuditVal,_xlpm.MacVal&lt;&gt;"",_xlpm.MacVal,_xlpm.CSVVal&lt;&gt;"",_xlpm.CSVVal
)),"")</f>
        <v/>
      </c>
      <c r="H505" s="54" t="str">
        <f>_xlfn.XLOOKUP(A505,Output_Mac!A:A,Output_Mac!I:I,"")</f>
        <v/>
      </c>
      <c r="I505" s="54" t="str" cm="1">
        <f t="array" ref="I505">IFERROR(_xlfn.LET(
_xlpm.CSVVal,_xlfn.XLOOKUP($A505,CSV!$A:$A,CSV!G:G,""),
_xlpm.MacVal,_xlfn.XLOOKUP($A505,Output_Mac!$A:$A,Output_Mac!J:J,""),
_xlpm.MyAuditVal,_xlfn.XLOOKUP($A505,My_Audit!$A:$A,My_Audit!H:H,""),
_xlfn.IFS(_xlpm.MyAuditVal&lt;&gt;"",UPPER(_xlpm.MyAuditVal),_xlpm.MacVal&lt;&gt;"",_xlpm.MacVal,_xlpm.CSVVal&lt;&gt;"",_xlpm.CSVVal
)),"")</f>
        <v/>
      </c>
      <c r="J505" s="54" t="str" cm="1">
        <f t="array" ref="J505">IFERROR(_xlfn.LET(
_xlpm.CSVVal,_xlfn.XLOOKUP($A505,CSV!$A:$A,CSV!I:I,""),
_xlpm.MacVal,_xlfn.XLOOKUP($A505,Output_Mac!$A:$A,Output_Mac!K:K,""),
_xlpm.MyAuditVal,_xlfn.XLOOKUP($A505,My_Audit!$A:$A,My_Audit!I:I,""),
_xlfn.IFS(_xlpm.MyAuditVal&lt;&gt;"",UPPER(_xlpm.MyAuditVal),_xlpm.MacVal&lt;&gt;"",_xlpm.MacVal,_xlpm.CSVVal&lt;&gt;"",_xlpm.CSVVal
)),"")</f>
        <v/>
      </c>
      <c r="K505" s="54" t="str" cm="1">
        <f t="array" ref="K505">IFERROR(_xlfn.LET(
_xlpm.CSVVal,_xlfn.XLOOKUP($A505,CSV!$A:$A,CSV!M:M,""),
_xlpm.MacVal,_xlfn.XLOOKUP($A505,Output_Mac!$A:$A,Output_Mac!L:L,""),
_xlpm.MyAuditVal,_xlfn.XLOOKUP($A505,My_Audit!$A:$A,My_Audit!J:J,""),
_xlfn.IFS(_xlpm.MyAuditVal&lt;&gt;"",UPPER(_xlpm.MyAuditVal),_xlpm.MacVal&lt;&gt;"",_xlpm.MacVal,_xlpm.CSVVal&lt;&gt;"",_xlpm.CSVVal
)),"")</f>
        <v/>
      </c>
      <c r="L505" s="54" t="str" cm="1">
        <f t="array" ref="L505">IFERROR(_xlfn.LET(
_xlpm.CSVVal,_xlfn.XLOOKUP($A505,CSV!$A:$A,CSV!O:O,""),
_xlpm.MacVal,_xlfn.XLOOKUP($A505,Output_Mac!$A:$A,Output_Mac!M:M,""),
_xlpm.MyAuditVal,_xlfn.XLOOKUP($A505,My_Audit!$A:$A,My_Audit!K:K,""),
_xlfn.IFS(_xlpm.MyAuditVal&lt;&gt;"",UPPER(_xlpm.MyAuditVal),_xlpm.MacVal&lt;&gt;"",_xlpm.MacVal,_xlpm.CSVVal&lt;&gt;"",_xlpm.CSVVal
)),"")</f>
        <v/>
      </c>
      <c r="M505" s="54" t="str">
        <f>_xlfn.LET(
    _xlpm.CSVVal, _xlfn.XLOOKUP($A505, CSV!$A:$A, CSV!AD:AD, ""),
    _xlpm.MacVal, _xlfn.XLOOKUP($A505, Output_Mac!$A:$A, Output_Mac!S:S, ""),
    _xlpm.MyAuditVal, _xlfn.XLOOKUP($A505, My_Audit!$A:$A, My_Audit!N:N, ""),
    _xlfn.TEXTJOIN(", ", TRUE, _xlpm.MyAuditVal, _xlpm.MacVal, _xlpm.CSVVal)
)</f>
        <v/>
      </c>
      <c r="N505" s="54" t="str" cm="1">
        <f t="array" ref="N505">IFERROR(_xlfn.LET(
_xlpm.CSVVal,_xlfn.XLOOKUP($A505,CSV!$A:$A,CSV!AF:AF,""),
_xlpm.MacVal,_xlfn.XLOOKUP($A505,Output_Mac!$A:$A,Output_Mac!U:U,""),
_xlpm.MyAuditVal,_xlfn.XLOOKUP($A505,My_Audit!$A:$A,My_Audit!O:O,""),
_xlfn.IFS(_xlpm.MyAuditVal&lt;&gt;"",UPPER(_xlpm.MyAuditVal),_xlpm.MacVal&lt;&gt;"",_xlpm.MacVal,_xlpm.CSVVal&lt;&gt;"",_xlpm.CSVVal
)),"")</f>
        <v/>
      </c>
      <c r="O505" s="54"/>
      <c r="P505" s="54"/>
      <c r="Q505" s="54"/>
      <c r="R505" s="54"/>
      <c r="S505" s="54"/>
      <c r="T505" s="54"/>
      <c r="U505" s="39"/>
    </row>
    <row r="506" spans="1:21">
      <c r="A506" s="54" t="str">
        <f>_xlfn.TEXTJOIN("",TRUE,Input!$B$2,ROW(My_Audit!A505))</f>
        <v>XX505</v>
      </c>
      <c r="B506" s="54" t="str">
        <f>_xlfn.TEXTJOIN("-",TRUE,"ITD",Input!$A$2,A506)</f>
        <v>ITD-SHRXXX-XX505</v>
      </c>
      <c r="C506" s="54" t="str" cm="1">
        <f t="array" ref="C506">IFERROR(_xlfn.LET(
_xlpm.CSVVal,_xlfn.XLOOKUP($A506,CSV!$A:$A,CSV!B:B,""),
_xlpm.MacVal,_xlfn.XLOOKUP($A506,Output_Mac!$A:$A,Output_Mac!B:B,""),
_xlpm.MyAuditVal,_xlfn.XLOOKUP($A506,My_Audit!$A:$A,My_Audit!B:B,""),
_xlfn.IFS(_xlpm.MyAuditVal&lt;&gt;"",UPPER(_xlpm.MyAuditVal),_xlpm.MacVal&lt;&gt;"",_xlpm.MacVal,_xlpm.CSVVal&lt;&gt;"",_xlpm.CSVVal
)),"")</f>
        <v/>
      </c>
      <c r="D506" s="55" t="str">
        <f>_xlfn.XLOOKUP(A506,My_Audit!A:A,My_Audit!D:D,"")&amp;""</f>
        <v/>
      </c>
      <c r="E506" s="55" t="str" cm="1">
        <f t="array" ref="E506">IFERROR(_xlfn.LET(
_xlpm.CSVVal,_xlfn.XLOOKUP($A506,CSV!$A:$A,CSV!D:D,""),
_xlpm.MacVal,_xlfn.XLOOKUP($A506,Output_Mac!$A:$A,Output_Mac!C:C,""),
_xlpm.MyAuditVal,_xlfn.XLOOKUP($A506,My_Audit!$A:$A,My_Audit!D:D,""),
_xlfn.IFS(_xlpm.MyAuditVal&lt;&gt;"",_xlpm.MyAuditVal,_xlpm.MacVal&lt;&gt;"",_xlpm.MacVal,_xlpm.CSVVal&lt;&gt;"",_xlpm.CSVVal
)),"")</f>
        <v/>
      </c>
      <c r="F506" s="54" t="str" cm="1">
        <f t="array" ref="F506">IFERROR(_xlfn.LET(
_xlpm.CSVVal,_xlfn.XLOOKUP($A506,CSV!$A:$A,CSV!E:E,""),
_xlpm.MacVal,_xlfn.XLOOKUP($A506,Output_Mac!$A:$A,Output_Mac!F:F,""),
_xlpm.MyAuditVal,_xlfn.XLOOKUP($A506,My_Audit!$A:$A,My_Audit!E:E,""),
_xlfn.IFS(_xlpm.MyAuditVal&lt;&gt;"",_xlpm.MyAuditVal,_xlpm.MacVal&lt;&gt;"",_xlpm.MacVal,_xlpm.CSVVal&lt;&gt;"",PROPER(_xlpm.CSVVal)
)),"")</f>
        <v/>
      </c>
      <c r="G506" s="54" t="str" cm="1">
        <f t="array" ref="G506">IFERROR(_xlfn.LET(
_xlpm.CSVVal,_xlfn.XLOOKUP($A506,CSV!$A:$A,CSV!F:F,""),
_xlpm.MacVal,_xlfn.XLOOKUP($A506,Output_Mac!$A:$A,Output_Mac!H:H,""),
_xlpm.MyAuditVal,_xlfn.XLOOKUP($A506,My_Audit!$A:$A,My_Audit!F:F,""),
_xlfn.IFS(_xlpm.MyAuditVal&lt;&gt;"",_xlpm.MyAuditVal,_xlpm.MacVal&lt;&gt;"",_xlpm.MacVal,_xlpm.CSVVal&lt;&gt;"",_xlpm.CSVVal
)),"")</f>
        <v/>
      </c>
      <c r="H506" s="54" t="str">
        <f>_xlfn.XLOOKUP(A506,Output_Mac!A:A,Output_Mac!I:I,"")</f>
        <v/>
      </c>
      <c r="I506" s="54" t="str" cm="1">
        <f t="array" ref="I506">IFERROR(_xlfn.LET(
_xlpm.CSVVal,_xlfn.XLOOKUP($A506,CSV!$A:$A,CSV!G:G,""),
_xlpm.MacVal,_xlfn.XLOOKUP($A506,Output_Mac!$A:$A,Output_Mac!J:J,""),
_xlpm.MyAuditVal,_xlfn.XLOOKUP($A506,My_Audit!$A:$A,My_Audit!H:H,""),
_xlfn.IFS(_xlpm.MyAuditVal&lt;&gt;"",UPPER(_xlpm.MyAuditVal),_xlpm.MacVal&lt;&gt;"",_xlpm.MacVal,_xlpm.CSVVal&lt;&gt;"",_xlpm.CSVVal
)),"")</f>
        <v/>
      </c>
      <c r="J506" s="54" t="str" cm="1">
        <f t="array" ref="J506">IFERROR(_xlfn.LET(
_xlpm.CSVVal,_xlfn.XLOOKUP($A506,CSV!$A:$A,CSV!I:I,""),
_xlpm.MacVal,_xlfn.XLOOKUP($A506,Output_Mac!$A:$A,Output_Mac!K:K,""),
_xlpm.MyAuditVal,_xlfn.XLOOKUP($A506,My_Audit!$A:$A,My_Audit!I:I,""),
_xlfn.IFS(_xlpm.MyAuditVal&lt;&gt;"",UPPER(_xlpm.MyAuditVal),_xlpm.MacVal&lt;&gt;"",_xlpm.MacVal,_xlpm.CSVVal&lt;&gt;"",_xlpm.CSVVal
)),"")</f>
        <v/>
      </c>
      <c r="K506" s="54" t="str" cm="1">
        <f t="array" ref="K506">IFERROR(_xlfn.LET(
_xlpm.CSVVal,_xlfn.XLOOKUP($A506,CSV!$A:$A,CSV!M:M,""),
_xlpm.MacVal,_xlfn.XLOOKUP($A506,Output_Mac!$A:$A,Output_Mac!L:L,""),
_xlpm.MyAuditVal,_xlfn.XLOOKUP($A506,My_Audit!$A:$A,My_Audit!J:J,""),
_xlfn.IFS(_xlpm.MyAuditVal&lt;&gt;"",UPPER(_xlpm.MyAuditVal),_xlpm.MacVal&lt;&gt;"",_xlpm.MacVal,_xlpm.CSVVal&lt;&gt;"",_xlpm.CSVVal
)),"")</f>
        <v/>
      </c>
      <c r="L506" s="54" t="str" cm="1">
        <f t="array" ref="L506">IFERROR(_xlfn.LET(
_xlpm.CSVVal,_xlfn.XLOOKUP($A506,CSV!$A:$A,CSV!O:O,""),
_xlpm.MacVal,_xlfn.XLOOKUP($A506,Output_Mac!$A:$A,Output_Mac!M:M,""),
_xlpm.MyAuditVal,_xlfn.XLOOKUP($A506,My_Audit!$A:$A,My_Audit!K:K,""),
_xlfn.IFS(_xlpm.MyAuditVal&lt;&gt;"",UPPER(_xlpm.MyAuditVal),_xlpm.MacVal&lt;&gt;"",_xlpm.MacVal,_xlpm.CSVVal&lt;&gt;"",_xlpm.CSVVal
)),"")</f>
        <v/>
      </c>
      <c r="M506" s="54" t="str">
        <f>_xlfn.LET(
    _xlpm.CSVVal, _xlfn.XLOOKUP($A506, CSV!$A:$A, CSV!AD:AD, ""),
    _xlpm.MacVal, _xlfn.XLOOKUP($A506, Output_Mac!$A:$A, Output_Mac!S:S, ""),
    _xlpm.MyAuditVal, _xlfn.XLOOKUP($A506, My_Audit!$A:$A, My_Audit!N:N, ""),
    _xlfn.TEXTJOIN(", ", TRUE, _xlpm.MyAuditVal, _xlpm.MacVal, _xlpm.CSVVal)
)</f>
        <v/>
      </c>
      <c r="N506" s="54" t="str" cm="1">
        <f t="array" ref="N506">IFERROR(_xlfn.LET(
_xlpm.CSVVal,_xlfn.XLOOKUP($A506,CSV!$A:$A,CSV!AF:AF,""),
_xlpm.MacVal,_xlfn.XLOOKUP($A506,Output_Mac!$A:$A,Output_Mac!U:U,""),
_xlpm.MyAuditVal,_xlfn.XLOOKUP($A506,My_Audit!$A:$A,My_Audit!O:O,""),
_xlfn.IFS(_xlpm.MyAuditVal&lt;&gt;"",UPPER(_xlpm.MyAuditVal),_xlpm.MacVal&lt;&gt;"",_xlpm.MacVal,_xlpm.CSVVal&lt;&gt;"",_xlpm.CSVVal
)),"")</f>
        <v/>
      </c>
      <c r="O506" s="54"/>
      <c r="P506" s="54"/>
      <c r="Q506" s="54"/>
      <c r="R506" s="54"/>
      <c r="S506" s="54"/>
      <c r="T506" s="54"/>
      <c r="U506" s="39"/>
    </row>
    <row r="507" spans="1:21">
      <c r="A507" s="54" t="str">
        <f>_xlfn.TEXTJOIN("",TRUE,Input!$B$2,ROW(My_Audit!A506))</f>
        <v>XX506</v>
      </c>
      <c r="B507" s="54" t="str">
        <f>_xlfn.TEXTJOIN("-",TRUE,"ITD",Input!$A$2,A507)</f>
        <v>ITD-SHRXXX-XX506</v>
      </c>
      <c r="C507" s="54" t="str" cm="1">
        <f t="array" ref="C507">IFERROR(_xlfn.LET(
_xlpm.CSVVal,_xlfn.XLOOKUP($A507,CSV!$A:$A,CSV!B:B,""),
_xlpm.MacVal,_xlfn.XLOOKUP($A507,Output_Mac!$A:$A,Output_Mac!B:B,""),
_xlpm.MyAuditVal,_xlfn.XLOOKUP($A507,My_Audit!$A:$A,My_Audit!B:B,""),
_xlfn.IFS(_xlpm.MyAuditVal&lt;&gt;"",UPPER(_xlpm.MyAuditVal),_xlpm.MacVal&lt;&gt;"",_xlpm.MacVal,_xlpm.CSVVal&lt;&gt;"",_xlpm.CSVVal
)),"")</f>
        <v/>
      </c>
      <c r="D507" s="55" t="str">
        <f>_xlfn.XLOOKUP(A507,My_Audit!A:A,My_Audit!D:D,"")&amp;""</f>
        <v/>
      </c>
      <c r="E507" s="55" t="str" cm="1">
        <f t="array" ref="E507">IFERROR(_xlfn.LET(
_xlpm.CSVVal,_xlfn.XLOOKUP($A507,CSV!$A:$A,CSV!D:D,""),
_xlpm.MacVal,_xlfn.XLOOKUP($A507,Output_Mac!$A:$A,Output_Mac!C:C,""),
_xlpm.MyAuditVal,_xlfn.XLOOKUP($A507,My_Audit!$A:$A,My_Audit!D:D,""),
_xlfn.IFS(_xlpm.MyAuditVal&lt;&gt;"",_xlpm.MyAuditVal,_xlpm.MacVal&lt;&gt;"",_xlpm.MacVal,_xlpm.CSVVal&lt;&gt;"",_xlpm.CSVVal
)),"")</f>
        <v/>
      </c>
      <c r="F507" s="54" t="str" cm="1">
        <f t="array" ref="F507">IFERROR(_xlfn.LET(
_xlpm.CSVVal,_xlfn.XLOOKUP($A507,CSV!$A:$A,CSV!E:E,""),
_xlpm.MacVal,_xlfn.XLOOKUP($A507,Output_Mac!$A:$A,Output_Mac!F:F,""),
_xlpm.MyAuditVal,_xlfn.XLOOKUP($A507,My_Audit!$A:$A,My_Audit!E:E,""),
_xlfn.IFS(_xlpm.MyAuditVal&lt;&gt;"",_xlpm.MyAuditVal,_xlpm.MacVal&lt;&gt;"",_xlpm.MacVal,_xlpm.CSVVal&lt;&gt;"",PROPER(_xlpm.CSVVal)
)),"")</f>
        <v/>
      </c>
      <c r="G507" s="54" t="str" cm="1">
        <f t="array" ref="G507">IFERROR(_xlfn.LET(
_xlpm.CSVVal,_xlfn.XLOOKUP($A507,CSV!$A:$A,CSV!F:F,""),
_xlpm.MacVal,_xlfn.XLOOKUP($A507,Output_Mac!$A:$A,Output_Mac!H:H,""),
_xlpm.MyAuditVal,_xlfn.XLOOKUP($A507,My_Audit!$A:$A,My_Audit!F:F,""),
_xlfn.IFS(_xlpm.MyAuditVal&lt;&gt;"",_xlpm.MyAuditVal,_xlpm.MacVal&lt;&gt;"",_xlpm.MacVal,_xlpm.CSVVal&lt;&gt;"",_xlpm.CSVVal
)),"")</f>
        <v/>
      </c>
      <c r="H507" s="54" t="str">
        <f>_xlfn.XLOOKUP(A507,Output_Mac!A:A,Output_Mac!I:I,"")</f>
        <v/>
      </c>
      <c r="I507" s="54" t="str" cm="1">
        <f t="array" ref="I507">IFERROR(_xlfn.LET(
_xlpm.CSVVal,_xlfn.XLOOKUP($A507,CSV!$A:$A,CSV!G:G,""),
_xlpm.MacVal,_xlfn.XLOOKUP($A507,Output_Mac!$A:$A,Output_Mac!J:J,""),
_xlpm.MyAuditVal,_xlfn.XLOOKUP($A507,My_Audit!$A:$A,My_Audit!H:H,""),
_xlfn.IFS(_xlpm.MyAuditVal&lt;&gt;"",UPPER(_xlpm.MyAuditVal),_xlpm.MacVal&lt;&gt;"",_xlpm.MacVal,_xlpm.CSVVal&lt;&gt;"",_xlpm.CSVVal
)),"")</f>
        <v/>
      </c>
      <c r="J507" s="54" t="str" cm="1">
        <f t="array" ref="J507">IFERROR(_xlfn.LET(
_xlpm.CSVVal,_xlfn.XLOOKUP($A507,CSV!$A:$A,CSV!I:I,""),
_xlpm.MacVal,_xlfn.XLOOKUP($A507,Output_Mac!$A:$A,Output_Mac!K:K,""),
_xlpm.MyAuditVal,_xlfn.XLOOKUP($A507,My_Audit!$A:$A,My_Audit!I:I,""),
_xlfn.IFS(_xlpm.MyAuditVal&lt;&gt;"",UPPER(_xlpm.MyAuditVal),_xlpm.MacVal&lt;&gt;"",_xlpm.MacVal,_xlpm.CSVVal&lt;&gt;"",_xlpm.CSVVal
)),"")</f>
        <v/>
      </c>
      <c r="K507" s="54" t="str" cm="1">
        <f t="array" ref="K507">IFERROR(_xlfn.LET(
_xlpm.CSVVal,_xlfn.XLOOKUP($A507,CSV!$A:$A,CSV!M:M,""),
_xlpm.MacVal,_xlfn.XLOOKUP($A507,Output_Mac!$A:$A,Output_Mac!L:L,""),
_xlpm.MyAuditVal,_xlfn.XLOOKUP($A507,My_Audit!$A:$A,My_Audit!J:J,""),
_xlfn.IFS(_xlpm.MyAuditVal&lt;&gt;"",UPPER(_xlpm.MyAuditVal),_xlpm.MacVal&lt;&gt;"",_xlpm.MacVal,_xlpm.CSVVal&lt;&gt;"",_xlpm.CSVVal
)),"")</f>
        <v/>
      </c>
      <c r="L507" s="54" t="str" cm="1">
        <f t="array" ref="L507">IFERROR(_xlfn.LET(
_xlpm.CSVVal,_xlfn.XLOOKUP($A507,CSV!$A:$A,CSV!O:O,""),
_xlpm.MacVal,_xlfn.XLOOKUP($A507,Output_Mac!$A:$A,Output_Mac!M:M,""),
_xlpm.MyAuditVal,_xlfn.XLOOKUP($A507,My_Audit!$A:$A,My_Audit!K:K,""),
_xlfn.IFS(_xlpm.MyAuditVal&lt;&gt;"",UPPER(_xlpm.MyAuditVal),_xlpm.MacVal&lt;&gt;"",_xlpm.MacVal,_xlpm.CSVVal&lt;&gt;"",_xlpm.CSVVal
)),"")</f>
        <v/>
      </c>
      <c r="M507" s="54" t="str">
        <f>_xlfn.LET(
    _xlpm.CSVVal, _xlfn.XLOOKUP($A507, CSV!$A:$A, CSV!AD:AD, ""),
    _xlpm.MacVal, _xlfn.XLOOKUP($A507, Output_Mac!$A:$A, Output_Mac!S:S, ""),
    _xlpm.MyAuditVal, _xlfn.XLOOKUP($A507, My_Audit!$A:$A, My_Audit!N:N, ""),
    _xlfn.TEXTJOIN(", ", TRUE, _xlpm.MyAuditVal, _xlpm.MacVal, _xlpm.CSVVal)
)</f>
        <v/>
      </c>
      <c r="N507" s="54" t="str" cm="1">
        <f t="array" ref="N507">IFERROR(_xlfn.LET(
_xlpm.CSVVal,_xlfn.XLOOKUP($A507,CSV!$A:$A,CSV!AF:AF,""),
_xlpm.MacVal,_xlfn.XLOOKUP($A507,Output_Mac!$A:$A,Output_Mac!U:U,""),
_xlpm.MyAuditVal,_xlfn.XLOOKUP($A507,My_Audit!$A:$A,My_Audit!O:O,""),
_xlfn.IFS(_xlpm.MyAuditVal&lt;&gt;"",UPPER(_xlpm.MyAuditVal),_xlpm.MacVal&lt;&gt;"",_xlpm.MacVal,_xlpm.CSVVal&lt;&gt;"",_xlpm.CSVVal
)),"")</f>
        <v/>
      </c>
      <c r="O507" s="54"/>
      <c r="P507" s="54"/>
      <c r="Q507" s="54"/>
      <c r="R507" s="54"/>
      <c r="S507" s="54"/>
      <c r="T507" s="54"/>
      <c r="U507" s="39"/>
    </row>
    <row r="508" spans="1:21">
      <c r="A508" s="54" t="str">
        <f>_xlfn.TEXTJOIN("",TRUE,Input!$B$2,ROW(My_Audit!A507))</f>
        <v>XX507</v>
      </c>
      <c r="B508" s="54" t="str">
        <f>_xlfn.TEXTJOIN("-",TRUE,"ITD",Input!$A$2,A508)</f>
        <v>ITD-SHRXXX-XX507</v>
      </c>
      <c r="C508" s="54" t="str" cm="1">
        <f t="array" ref="C508">IFERROR(_xlfn.LET(
_xlpm.CSVVal,_xlfn.XLOOKUP($A508,CSV!$A:$A,CSV!B:B,""),
_xlpm.MacVal,_xlfn.XLOOKUP($A508,Output_Mac!$A:$A,Output_Mac!B:B,""),
_xlpm.MyAuditVal,_xlfn.XLOOKUP($A508,My_Audit!$A:$A,My_Audit!B:B,""),
_xlfn.IFS(_xlpm.MyAuditVal&lt;&gt;"",UPPER(_xlpm.MyAuditVal),_xlpm.MacVal&lt;&gt;"",_xlpm.MacVal,_xlpm.CSVVal&lt;&gt;"",_xlpm.CSVVal
)),"")</f>
        <v/>
      </c>
      <c r="D508" s="55" t="str">
        <f>_xlfn.XLOOKUP(A508,My_Audit!A:A,My_Audit!D:D,"")&amp;""</f>
        <v/>
      </c>
      <c r="E508" s="55" t="str" cm="1">
        <f t="array" ref="E508">IFERROR(_xlfn.LET(
_xlpm.CSVVal,_xlfn.XLOOKUP($A508,CSV!$A:$A,CSV!D:D,""),
_xlpm.MacVal,_xlfn.XLOOKUP($A508,Output_Mac!$A:$A,Output_Mac!C:C,""),
_xlpm.MyAuditVal,_xlfn.XLOOKUP($A508,My_Audit!$A:$A,My_Audit!D:D,""),
_xlfn.IFS(_xlpm.MyAuditVal&lt;&gt;"",_xlpm.MyAuditVal,_xlpm.MacVal&lt;&gt;"",_xlpm.MacVal,_xlpm.CSVVal&lt;&gt;"",_xlpm.CSVVal
)),"")</f>
        <v/>
      </c>
      <c r="F508" s="54" t="str" cm="1">
        <f t="array" ref="F508">IFERROR(_xlfn.LET(
_xlpm.CSVVal,_xlfn.XLOOKUP($A508,CSV!$A:$A,CSV!E:E,""),
_xlpm.MacVal,_xlfn.XLOOKUP($A508,Output_Mac!$A:$A,Output_Mac!F:F,""),
_xlpm.MyAuditVal,_xlfn.XLOOKUP($A508,My_Audit!$A:$A,My_Audit!E:E,""),
_xlfn.IFS(_xlpm.MyAuditVal&lt;&gt;"",_xlpm.MyAuditVal,_xlpm.MacVal&lt;&gt;"",_xlpm.MacVal,_xlpm.CSVVal&lt;&gt;"",PROPER(_xlpm.CSVVal)
)),"")</f>
        <v/>
      </c>
      <c r="G508" s="54" t="str" cm="1">
        <f t="array" ref="G508">IFERROR(_xlfn.LET(
_xlpm.CSVVal,_xlfn.XLOOKUP($A508,CSV!$A:$A,CSV!F:F,""),
_xlpm.MacVal,_xlfn.XLOOKUP($A508,Output_Mac!$A:$A,Output_Mac!H:H,""),
_xlpm.MyAuditVal,_xlfn.XLOOKUP($A508,My_Audit!$A:$A,My_Audit!F:F,""),
_xlfn.IFS(_xlpm.MyAuditVal&lt;&gt;"",_xlpm.MyAuditVal,_xlpm.MacVal&lt;&gt;"",_xlpm.MacVal,_xlpm.CSVVal&lt;&gt;"",_xlpm.CSVVal
)),"")</f>
        <v/>
      </c>
      <c r="H508" s="54" t="str">
        <f>_xlfn.XLOOKUP(A508,Output_Mac!A:A,Output_Mac!I:I,"")</f>
        <v/>
      </c>
      <c r="I508" s="54" t="str" cm="1">
        <f t="array" ref="I508">IFERROR(_xlfn.LET(
_xlpm.CSVVal,_xlfn.XLOOKUP($A508,CSV!$A:$A,CSV!G:G,""),
_xlpm.MacVal,_xlfn.XLOOKUP($A508,Output_Mac!$A:$A,Output_Mac!J:J,""),
_xlpm.MyAuditVal,_xlfn.XLOOKUP($A508,My_Audit!$A:$A,My_Audit!H:H,""),
_xlfn.IFS(_xlpm.MyAuditVal&lt;&gt;"",UPPER(_xlpm.MyAuditVal),_xlpm.MacVal&lt;&gt;"",_xlpm.MacVal,_xlpm.CSVVal&lt;&gt;"",_xlpm.CSVVal
)),"")</f>
        <v/>
      </c>
      <c r="J508" s="54" t="str" cm="1">
        <f t="array" ref="J508">IFERROR(_xlfn.LET(
_xlpm.CSVVal,_xlfn.XLOOKUP($A508,CSV!$A:$A,CSV!I:I,""),
_xlpm.MacVal,_xlfn.XLOOKUP($A508,Output_Mac!$A:$A,Output_Mac!K:K,""),
_xlpm.MyAuditVal,_xlfn.XLOOKUP($A508,My_Audit!$A:$A,My_Audit!I:I,""),
_xlfn.IFS(_xlpm.MyAuditVal&lt;&gt;"",UPPER(_xlpm.MyAuditVal),_xlpm.MacVal&lt;&gt;"",_xlpm.MacVal,_xlpm.CSVVal&lt;&gt;"",_xlpm.CSVVal
)),"")</f>
        <v/>
      </c>
      <c r="K508" s="54" t="str" cm="1">
        <f t="array" ref="K508">IFERROR(_xlfn.LET(
_xlpm.CSVVal,_xlfn.XLOOKUP($A508,CSV!$A:$A,CSV!M:M,""),
_xlpm.MacVal,_xlfn.XLOOKUP($A508,Output_Mac!$A:$A,Output_Mac!L:L,""),
_xlpm.MyAuditVal,_xlfn.XLOOKUP($A508,My_Audit!$A:$A,My_Audit!J:J,""),
_xlfn.IFS(_xlpm.MyAuditVal&lt;&gt;"",UPPER(_xlpm.MyAuditVal),_xlpm.MacVal&lt;&gt;"",_xlpm.MacVal,_xlpm.CSVVal&lt;&gt;"",_xlpm.CSVVal
)),"")</f>
        <v/>
      </c>
      <c r="L508" s="54" t="str" cm="1">
        <f t="array" ref="L508">IFERROR(_xlfn.LET(
_xlpm.CSVVal,_xlfn.XLOOKUP($A508,CSV!$A:$A,CSV!O:O,""),
_xlpm.MacVal,_xlfn.XLOOKUP($A508,Output_Mac!$A:$A,Output_Mac!M:M,""),
_xlpm.MyAuditVal,_xlfn.XLOOKUP($A508,My_Audit!$A:$A,My_Audit!K:K,""),
_xlfn.IFS(_xlpm.MyAuditVal&lt;&gt;"",UPPER(_xlpm.MyAuditVal),_xlpm.MacVal&lt;&gt;"",_xlpm.MacVal,_xlpm.CSVVal&lt;&gt;"",_xlpm.CSVVal
)),"")</f>
        <v/>
      </c>
      <c r="M508" s="54" t="str">
        <f>_xlfn.LET(
    _xlpm.CSVVal, _xlfn.XLOOKUP($A508, CSV!$A:$A, CSV!AD:AD, ""),
    _xlpm.MacVal, _xlfn.XLOOKUP($A508, Output_Mac!$A:$A, Output_Mac!S:S, ""),
    _xlpm.MyAuditVal, _xlfn.XLOOKUP($A508, My_Audit!$A:$A, My_Audit!N:N, ""),
    _xlfn.TEXTJOIN(", ", TRUE, _xlpm.MyAuditVal, _xlpm.MacVal, _xlpm.CSVVal)
)</f>
        <v/>
      </c>
      <c r="N508" s="54" t="str" cm="1">
        <f t="array" ref="N508">IFERROR(_xlfn.LET(
_xlpm.CSVVal,_xlfn.XLOOKUP($A508,CSV!$A:$A,CSV!AF:AF,""),
_xlpm.MacVal,_xlfn.XLOOKUP($A508,Output_Mac!$A:$A,Output_Mac!U:U,""),
_xlpm.MyAuditVal,_xlfn.XLOOKUP($A508,My_Audit!$A:$A,My_Audit!O:O,""),
_xlfn.IFS(_xlpm.MyAuditVal&lt;&gt;"",UPPER(_xlpm.MyAuditVal),_xlpm.MacVal&lt;&gt;"",_xlpm.MacVal,_xlpm.CSVVal&lt;&gt;"",_xlpm.CSVVal
)),"")</f>
        <v/>
      </c>
      <c r="O508" s="54"/>
      <c r="P508" s="54"/>
      <c r="Q508" s="54"/>
      <c r="R508" s="54"/>
      <c r="S508" s="54"/>
      <c r="T508" s="54"/>
      <c r="U508" s="39"/>
    </row>
    <row r="509" spans="1:21">
      <c r="A509" s="54" t="str">
        <f>_xlfn.TEXTJOIN("",TRUE,Input!$B$2,ROW(My_Audit!A508))</f>
        <v>XX508</v>
      </c>
      <c r="B509" s="54" t="str">
        <f>_xlfn.TEXTJOIN("-",TRUE,"ITD",Input!$A$2,A509)</f>
        <v>ITD-SHRXXX-XX508</v>
      </c>
      <c r="C509" s="54" t="str" cm="1">
        <f t="array" ref="C509">IFERROR(_xlfn.LET(
_xlpm.CSVVal,_xlfn.XLOOKUP($A509,CSV!$A:$A,CSV!B:B,""),
_xlpm.MacVal,_xlfn.XLOOKUP($A509,Output_Mac!$A:$A,Output_Mac!B:B,""),
_xlpm.MyAuditVal,_xlfn.XLOOKUP($A509,My_Audit!$A:$A,My_Audit!B:B,""),
_xlfn.IFS(_xlpm.MyAuditVal&lt;&gt;"",UPPER(_xlpm.MyAuditVal),_xlpm.MacVal&lt;&gt;"",_xlpm.MacVal,_xlpm.CSVVal&lt;&gt;"",_xlpm.CSVVal
)),"")</f>
        <v/>
      </c>
      <c r="D509" s="55" t="str">
        <f>_xlfn.XLOOKUP(A509,My_Audit!A:A,My_Audit!D:D,"")&amp;""</f>
        <v/>
      </c>
      <c r="E509" s="55" t="str" cm="1">
        <f t="array" ref="E509">IFERROR(_xlfn.LET(
_xlpm.CSVVal,_xlfn.XLOOKUP($A509,CSV!$A:$A,CSV!D:D,""),
_xlpm.MacVal,_xlfn.XLOOKUP($A509,Output_Mac!$A:$A,Output_Mac!C:C,""),
_xlpm.MyAuditVal,_xlfn.XLOOKUP($A509,My_Audit!$A:$A,My_Audit!D:D,""),
_xlfn.IFS(_xlpm.MyAuditVal&lt;&gt;"",_xlpm.MyAuditVal,_xlpm.MacVal&lt;&gt;"",_xlpm.MacVal,_xlpm.CSVVal&lt;&gt;"",_xlpm.CSVVal
)),"")</f>
        <v/>
      </c>
      <c r="F509" s="54" t="str" cm="1">
        <f t="array" ref="F509">IFERROR(_xlfn.LET(
_xlpm.CSVVal,_xlfn.XLOOKUP($A509,CSV!$A:$A,CSV!E:E,""),
_xlpm.MacVal,_xlfn.XLOOKUP($A509,Output_Mac!$A:$A,Output_Mac!F:F,""),
_xlpm.MyAuditVal,_xlfn.XLOOKUP($A509,My_Audit!$A:$A,My_Audit!E:E,""),
_xlfn.IFS(_xlpm.MyAuditVal&lt;&gt;"",_xlpm.MyAuditVal,_xlpm.MacVal&lt;&gt;"",_xlpm.MacVal,_xlpm.CSVVal&lt;&gt;"",PROPER(_xlpm.CSVVal)
)),"")</f>
        <v/>
      </c>
      <c r="G509" s="54" t="str" cm="1">
        <f t="array" ref="G509">IFERROR(_xlfn.LET(
_xlpm.CSVVal,_xlfn.XLOOKUP($A509,CSV!$A:$A,CSV!F:F,""),
_xlpm.MacVal,_xlfn.XLOOKUP($A509,Output_Mac!$A:$A,Output_Mac!H:H,""),
_xlpm.MyAuditVal,_xlfn.XLOOKUP($A509,My_Audit!$A:$A,My_Audit!F:F,""),
_xlfn.IFS(_xlpm.MyAuditVal&lt;&gt;"",_xlpm.MyAuditVal,_xlpm.MacVal&lt;&gt;"",_xlpm.MacVal,_xlpm.CSVVal&lt;&gt;"",_xlpm.CSVVal
)),"")</f>
        <v/>
      </c>
      <c r="H509" s="54" t="str">
        <f>_xlfn.XLOOKUP(A509,Output_Mac!A:A,Output_Mac!I:I,"")</f>
        <v/>
      </c>
      <c r="I509" s="54" t="str" cm="1">
        <f t="array" ref="I509">IFERROR(_xlfn.LET(
_xlpm.CSVVal,_xlfn.XLOOKUP($A509,CSV!$A:$A,CSV!G:G,""),
_xlpm.MacVal,_xlfn.XLOOKUP($A509,Output_Mac!$A:$A,Output_Mac!J:J,""),
_xlpm.MyAuditVal,_xlfn.XLOOKUP($A509,My_Audit!$A:$A,My_Audit!H:H,""),
_xlfn.IFS(_xlpm.MyAuditVal&lt;&gt;"",UPPER(_xlpm.MyAuditVal),_xlpm.MacVal&lt;&gt;"",_xlpm.MacVal,_xlpm.CSVVal&lt;&gt;"",_xlpm.CSVVal
)),"")</f>
        <v/>
      </c>
      <c r="J509" s="54" t="str" cm="1">
        <f t="array" ref="J509">IFERROR(_xlfn.LET(
_xlpm.CSVVal,_xlfn.XLOOKUP($A509,CSV!$A:$A,CSV!I:I,""),
_xlpm.MacVal,_xlfn.XLOOKUP($A509,Output_Mac!$A:$A,Output_Mac!K:K,""),
_xlpm.MyAuditVal,_xlfn.XLOOKUP($A509,My_Audit!$A:$A,My_Audit!I:I,""),
_xlfn.IFS(_xlpm.MyAuditVal&lt;&gt;"",UPPER(_xlpm.MyAuditVal),_xlpm.MacVal&lt;&gt;"",_xlpm.MacVal,_xlpm.CSVVal&lt;&gt;"",_xlpm.CSVVal
)),"")</f>
        <v/>
      </c>
      <c r="K509" s="54" t="str" cm="1">
        <f t="array" ref="K509">IFERROR(_xlfn.LET(
_xlpm.CSVVal,_xlfn.XLOOKUP($A509,CSV!$A:$A,CSV!M:M,""),
_xlpm.MacVal,_xlfn.XLOOKUP($A509,Output_Mac!$A:$A,Output_Mac!L:L,""),
_xlpm.MyAuditVal,_xlfn.XLOOKUP($A509,My_Audit!$A:$A,My_Audit!J:J,""),
_xlfn.IFS(_xlpm.MyAuditVal&lt;&gt;"",UPPER(_xlpm.MyAuditVal),_xlpm.MacVal&lt;&gt;"",_xlpm.MacVal,_xlpm.CSVVal&lt;&gt;"",_xlpm.CSVVal
)),"")</f>
        <v/>
      </c>
      <c r="L509" s="54" t="str" cm="1">
        <f t="array" ref="L509">IFERROR(_xlfn.LET(
_xlpm.CSVVal,_xlfn.XLOOKUP($A509,CSV!$A:$A,CSV!O:O,""),
_xlpm.MacVal,_xlfn.XLOOKUP($A509,Output_Mac!$A:$A,Output_Mac!M:M,""),
_xlpm.MyAuditVal,_xlfn.XLOOKUP($A509,My_Audit!$A:$A,My_Audit!K:K,""),
_xlfn.IFS(_xlpm.MyAuditVal&lt;&gt;"",UPPER(_xlpm.MyAuditVal),_xlpm.MacVal&lt;&gt;"",_xlpm.MacVal,_xlpm.CSVVal&lt;&gt;"",_xlpm.CSVVal
)),"")</f>
        <v/>
      </c>
      <c r="M509" s="54" t="str">
        <f>_xlfn.LET(
    _xlpm.CSVVal, _xlfn.XLOOKUP($A509, CSV!$A:$A, CSV!AD:AD, ""),
    _xlpm.MacVal, _xlfn.XLOOKUP($A509, Output_Mac!$A:$A, Output_Mac!S:S, ""),
    _xlpm.MyAuditVal, _xlfn.XLOOKUP($A509, My_Audit!$A:$A, My_Audit!N:N, ""),
    _xlfn.TEXTJOIN(", ", TRUE, _xlpm.MyAuditVal, _xlpm.MacVal, _xlpm.CSVVal)
)</f>
        <v/>
      </c>
      <c r="N509" s="54" t="str" cm="1">
        <f t="array" ref="N509">IFERROR(_xlfn.LET(
_xlpm.CSVVal,_xlfn.XLOOKUP($A509,CSV!$A:$A,CSV!AF:AF,""),
_xlpm.MacVal,_xlfn.XLOOKUP($A509,Output_Mac!$A:$A,Output_Mac!U:U,""),
_xlpm.MyAuditVal,_xlfn.XLOOKUP($A509,My_Audit!$A:$A,My_Audit!O:O,""),
_xlfn.IFS(_xlpm.MyAuditVal&lt;&gt;"",UPPER(_xlpm.MyAuditVal),_xlpm.MacVal&lt;&gt;"",_xlpm.MacVal,_xlpm.CSVVal&lt;&gt;"",_xlpm.CSVVal
)),"")</f>
        <v/>
      </c>
      <c r="O509" s="54"/>
      <c r="P509" s="54"/>
      <c r="Q509" s="54"/>
      <c r="R509" s="54"/>
      <c r="S509" s="54"/>
      <c r="T509" s="54"/>
      <c r="U509" s="39"/>
    </row>
    <row r="510" spans="1:21">
      <c r="A510" s="54" t="str">
        <f>_xlfn.TEXTJOIN("",TRUE,Input!$B$2,ROW(My_Audit!A509))</f>
        <v>XX509</v>
      </c>
      <c r="B510" s="54" t="str">
        <f>_xlfn.TEXTJOIN("-",TRUE,"ITD",Input!$A$2,A510)</f>
        <v>ITD-SHRXXX-XX509</v>
      </c>
      <c r="C510" s="54" t="str" cm="1">
        <f t="array" ref="C510">IFERROR(_xlfn.LET(
_xlpm.CSVVal,_xlfn.XLOOKUP($A510,CSV!$A:$A,CSV!B:B,""),
_xlpm.MacVal,_xlfn.XLOOKUP($A510,Output_Mac!$A:$A,Output_Mac!B:B,""),
_xlpm.MyAuditVal,_xlfn.XLOOKUP($A510,My_Audit!$A:$A,My_Audit!B:B,""),
_xlfn.IFS(_xlpm.MyAuditVal&lt;&gt;"",UPPER(_xlpm.MyAuditVal),_xlpm.MacVal&lt;&gt;"",_xlpm.MacVal,_xlpm.CSVVal&lt;&gt;"",_xlpm.CSVVal
)),"")</f>
        <v/>
      </c>
      <c r="D510" s="55" t="str">
        <f>_xlfn.XLOOKUP(A510,My_Audit!A:A,My_Audit!D:D,"")&amp;""</f>
        <v/>
      </c>
      <c r="E510" s="55" t="str" cm="1">
        <f t="array" ref="E510">IFERROR(_xlfn.LET(
_xlpm.CSVVal,_xlfn.XLOOKUP($A510,CSV!$A:$A,CSV!D:D,""),
_xlpm.MacVal,_xlfn.XLOOKUP($A510,Output_Mac!$A:$A,Output_Mac!C:C,""),
_xlpm.MyAuditVal,_xlfn.XLOOKUP($A510,My_Audit!$A:$A,My_Audit!D:D,""),
_xlfn.IFS(_xlpm.MyAuditVal&lt;&gt;"",_xlpm.MyAuditVal,_xlpm.MacVal&lt;&gt;"",_xlpm.MacVal,_xlpm.CSVVal&lt;&gt;"",_xlpm.CSVVal
)),"")</f>
        <v/>
      </c>
      <c r="F510" s="54" t="str" cm="1">
        <f t="array" ref="F510">IFERROR(_xlfn.LET(
_xlpm.CSVVal,_xlfn.XLOOKUP($A510,CSV!$A:$A,CSV!E:E,""),
_xlpm.MacVal,_xlfn.XLOOKUP($A510,Output_Mac!$A:$A,Output_Mac!F:F,""),
_xlpm.MyAuditVal,_xlfn.XLOOKUP($A510,My_Audit!$A:$A,My_Audit!E:E,""),
_xlfn.IFS(_xlpm.MyAuditVal&lt;&gt;"",_xlpm.MyAuditVal,_xlpm.MacVal&lt;&gt;"",_xlpm.MacVal,_xlpm.CSVVal&lt;&gt;"",PROPER(_xlpm.CSVVal)
)),"")</f>
        <v/>
      </c>
      <c r="G510" s="54" t="str" cm="1">
        <f t="array" ref="G510">IFERROR(_xlfn.LET(
_xlpm.CSVVal,_xlfn.XLOOKUP($A510,CSV!$A:$A,CSV!F:F,""),
_xlpm.MacVal,_xlfn.XLOOKUP($A510,Output_Mac!$A:$A,Output_Mac!H:H,""),
_xlpm.MyAuditVal,_xlfn.XLOOKUP($A510,My_Audit!$A:$A,My_Audit!F:F,""),
_xlfn.IFS(_xlpm.MyAuditVal&lt;&gt;"",_xlpm.MyAuditVal,_xlpm.MacVal&lt;&gt;"",_xlpm.MacVal,_xlpm.CSVVal&lt;&gt;"",_xlpm.CSVVal
)),"")</f>
        <v/>
      </c>
      <c r="H510" s="54" t="str">
        <f>_xlfn.XLOOKUP(A510,Output_Mac!A:A,Output_Mac!I:I,"")</f>
        <v/>
      </c>
      <c r="I510" s="54" t="str" cm="1">
        <f t="array" ref="I510">IFERROR(_xlfn.LET(
_xlpm.CSVVal,_xlfn.XLOOKUP($A510,CSV!$A:$A,CSV!G:G,""),
_xlpm.MacVal,_xlfn.XLOOKUP($A510,Output_Mac!$A:$A,Output_Mac!J:J,""),
_xlpm.MyAuditVal,_xlfn.XLOOKUP($A510,My_Audit!$A:$A,My_Audit!H:H,""),
_xlfn.IFS(_xlpm.MyAuditVal&lt;&gt;"",UPPER(_xlpm.MyAuditVal),_xlpm.MacVal&lt;&gt;"",_xlpm.MacVal,_xlpm.CSVVal&lt;&gt;"",_xlpm.CSVVal
)),"")</f>
        <v/>
      </c>
      <c r="J510" s="54" t="str" cm="1">
        <f t="array" ref="J510">IFERROR(_xlfn.LET(
_xlpm.CSVVal,_xlfn.XLOOKUP($A510,CSV!$A:$A,CSV!I:I,""),
_xlpm.MacVal,_xlfn.XLOOKUP($A510,Output_Mac!$A:$A,Output_Mac!K:K,""),
_xlpm.MyAuditVal,_xlfn.XLOOKUP($A510,My_Audit!$A:$A,My_Audit!I:I,""),
_xlfn.IFS(_xlpm.MyAuditVal&lt;&gt;"",UPPER(_xlpm.MyAuditVal),_xlpm.MacVal&lt;&gt;"",_xlpm.MacVal,_xlpm.CSVVal&lt;&gt;"",_xlpm.CSVVal
)),"")</f>
        <v/>
      </c>
      <c r="K510" s="54" t="str" cm="1">
        <f t="array" ref="K510">IFERROR(_xlfn.LET(
_xlpm.CSVVal,_xlfn.XLOOKUP($A510,CSV!$A:$A,CSV!M:M,""),
_xlpm.MacVal,_xlfn.XLOOKUP($A510,Output_Mac!$A:$A,Output_Mac!L:L,""),
_xlpm.MyAuditVal,_xlfn.XLOOKUP($A510,My_Audit!$A:$A,My_Audit!J:J,""),
_xlfn.IFS(_xlpm.MyAuditVal&lt;&gt;"",UPPER(_xlpm.MyAuditVal),_xlpm.MacVal&lt;&gt;"",_xlpm.MacVal,_xlpm.CSVVal&lt;&gt;"",_xlpm.CSVVal
)),"")</f>
        <v/>
      </c>
      <c r="L510" s="54" t="str" cm="1">
        <f t="array" ref="L510">IFERROR(_xlfn.LET(
_xlpm.CSVVal,_xlfn.XLOOKUP($A510,CSV!$A:$A,CSV!O:O,""),
_xlpm.MacVal,_xlfn.XLOOKUP($A510,Output_Mac!$A:$A,Output_Mac!M:M,""),
_xlpm.MyAuditVal,_xlfn.XLOOKUP($A510,My_Audit!$A:$A,My_Audit!K:K,""),
_xlfn.IFS(_xlpm.MyAuditVal&lt;&gt;"",UPPER(_xlpm.MyAuditVal),_xlpm.MacVal&lt;&gt;"",_xlpm.MacVal,_xlpm.CSVVal&lt;&gt;"",_xlpm.CSVVal
)),"")</f>
        <v/>
      </c>
      <c r="M510" s="54" t="str">
        <f>_xlfn.LET(
    _xlpm.CSVVal, _xlfn.XLOOKUP($A510, CSV!$A:$A, CSV!AD:AD, ""),
    _xlpm.MacVal, _xlfn.XLOOKUP($A510, Output_Mac!$A:$A, Output_Mac!S:S, ""),
    _xlpm.MyAuditVal, _xlfn.XLOOKUP($A510, My_Audit!$A:$A, My_Audit!N:N, ""),
    _xlfn.TEXTJOIN(", ", TRUE, _xlpm.MyAuditVal, _xlpm.MacVal, _xlpm.CSVVal)
)</f>
        <v/>
      </c>
      <c r="N510" s="54" t="str" cm="1">
        <f t="array" ref="N510">IFERROR(_xlfn.LET(
_xlpm.CSVVal,_xlfn.XLOOKUP($A510,CSV!$A:$A,CSV!AF:AF,""),
_xlpm.MacVal,_xlfn.XLOOKUP($A510,Output_Mac!$A:$A,Output_Mac!U:U,""),
_xlpm.MyAuditVal,_xlfn.XLOOKUP($A510,My_Audit!$A:$A,My_Audit!O:O,""),
_xlfn.IFS(_xlpm.MyAuditVal&lt;&gt;"",UPPER(_xlpm.MyAuditVal),_xlpm.MacVal&lt;&gt;"",_xlpm.MacVal,_xlpm.CSVVal&lt;&gt;"",_xlpm.CSVVal
)),"")</f>
        <v/>
      </c>
      <c r="O510" s="54"/>
      <c r="P510" s="54"/>
      <c r="Q510" s="54"/>
      <c r="R510" s="54"/>
      <c r="S510" s="54"/>
      <c r="T510" s="54"/>
      <c r="U510" s="39"/>
    </row>
    <row r="511" spans="1:21">
      <c r="A511" s="54" t="str">
        <f>_xlfn.TEXTJOIN("",TRUE,Input!$B$2,ROW(My_Audit!A510))</f>
        <v>XX510</v>
      </c>
      <c r="B511" s="54" t="str">
        <f>_xlfn.TEXTJOIN("-",TRUE,"ITD",Input!$A$2,A511)</f>
        <v>ITD-SHRXXX-XX510</v>
      </c>
      <c r="C511" s="54" t="str" cm="1">
        <f t="array" ref="C511">IFERROR(_xlfn.LET(
_xlpm.CSVVal,_xlfn.XLOOKUP($A511,CSV!$A:$A,CSV!B:B,""),
_xlpm.MacVal,_xlfn.XLOOKUP($A511,Output_Mac!$A:$A,Output_Mac!B:B,""),
_xlpm.MyAuditVal,_xlfn.XLOOKUP($A511,My_Audit!$A:$A,My_Audit!B:B,""),
_xlfn.IFS(_xlpm.MyAuditVal&lt;&gt;"",UPPER(_xlpm.MyAuditVal),_xlpm.MacVal&lt;&gt;"",_xlpm.MacVal,_xlpm.CSVVal&lt;&gt;"",_xlpm.CSVVal
)),"")</f>
        <v/>
      </c>
      <c r="D511" s="55" t="str">
        <f>_xlfn.XLOOKUP(A511,My_Audit!A:A,My_Audit!D:D,"")&amp;""</f>
        <v/>
      </c>
      <c r="E511" s="55" t="str" cm="1">
        <f t="array" ref="E511">IFERROR(_xlfn.LET(
_xlpm.CSVVal,_xlfn.XLOOKUP($A511,CSV!$A:$A,CSV!D:D,""),
_xlpm.MacVal,_xlfn.XLOOKUP($A511,Output_Mac!$A:$A,Output_Mac!C:C,""),
_xlpm.MyAuditVal,_xlfn.XLOOKUP($A511,My_Audit!$A:$A,My_Audit!D:D,""),
_xlfn.IFS(_xlpm.MyAuditVal&lt;&gt;"",_xlpm.MyAuditVal,_xlpm.MacVal&lt;&gt;"",_xlpm.MacVal,_xlpm.CSVVal&lt;&gt;"",_xlpm.CSVVal
)),"")</f>
        <v/>
      </c>
      <c r="F511" s="54" t="str" cm="1">
        <f t="array" ref="F511">IFERROR(_xlfn.LET(
_xlpm.CSVVal,_xlfn.XLOOKUP($A511,CSV!$A:$A,CSV!E:E,""),
_xlpm.MacVal,_xlfn.XLOOKUP($A511,Output_Mac!$A:$A,Output_Mac!F:F,""),
_xlpm.MyAuditVal,_xlfn.XLOOKUP($A511,My_Audit!$A:$A,My_Audit!E:E,""),
_xlfn.IFS(_xlpm.MyAuditVal&lt;&gt;"",_xlpm.MyAuditVal,_xlpm.MacVal&lt;&gt;"",_xlpm.MacVal,_xlpm.CSVVal&lt;&gt;"",PROPER(_xlpm.CSVVal)
)),"")</f>
        <v/>
      </c>
      <c r="G511" s="54" t="str" cm="1">
        <f t="array" ref="G511">IFERROR(_xlfn.LET(
_xlpm.CSVVal,_xlfn.XLOOKUP($A511,CSV!$A:$A,CSV!F:F,""),
_xlpm.MacVal,_xlfn.XLOOKUP($A511,Output_Mac!$A:$A,Output_Mac!H:H,""),
_xlpm.MyAuditVal,_xlfn.XLOOKUP($A511,My_Audit!$A:$A,My_Audit!F:F,""),
_xlfn.IFS(_xlpm.MyAuditVal&lt;&gt;"",_xlpm.MyAuditVal,_xlpm.MacVal&lt;&gt;"",_xlpm.MacVal,_xlpm.CSVVal&lt;&gt;"",_xlpm.CSVVal
)),"")</f>
        <v/>
      </c>
      <c r="H511" s="54" t="str">
        <f>_xlfn.XLOOKUP(A511,Output_Mac!A:A,Output_Mac!I:I,"")</f>
        <v/>
      </c>
      <c r="I511" s="54" t="str" cm="1">
        <f t="array" ref="I511">IFERROR(_xlfn.LET(
_xlpm.CSVVal,_xlfn.XLOOKUP($A511,CSV!$A:$A,CSV!G:G,""),
_xlpm.MacVal,_xlfn.XLOOKUP($A511,Output_Mac!$A:$A,Output_Mac!J:J,""),
_xlpm.MyAuditVal,_xlfn.XLOOKUP($A511,My_Audit!$A:$A,My_Audit!H:H,""),
_xlfn.IFS(_xlpm.MyAuditVal&lt;&gt;"",UPPER(_xlpm.MyAuditVal),_xlpm.MacVal&lt;&gt;"",_xlpm.MacVal,_xlpm.CSVVal&lt;&gt;"",_xlpm.CSVVal
)),"")</f>
        <v/>
      </c>
      <c r="J511" s="54" t="str" cm="1">
        <f t="array" ref="J511">IFERROR(_xlfn.LET(
_xlpm.CSVVal,_xlfn.XLOOKUP($A511,CSV!$A:$A,CSV!I:I,""),
_xlpm.MacVal,_xlfn.XLOOKUP($A511,Output_Mac!$A:$A,Output_Mac!K:K,""),
_xlpm.MyAuditVal,_xlfn.XLOOKUP($A511,My_Audit!$A:$A,My_Audit!I:I,""),
_xlfn.IFS(_xlpm.MyAuditVal&lt;&gt;"",UPPER(_xlpm.MyAuditVal),_xlpm.MacVal&lt;&gt;"",_xlpm.MacVal,_xlpm.CSVVal&lt;&gt;"",_xlpm.CSVVal
)),"")</f>
        <v/>
      </c>
      <c r="K511" s="54" t="str" cm="1">
        <f t="array" ref="K511">IFERROR(_xlfn.LET(
_xlpm.CSVVal,_xlfn.XLOOKUP($A511,CSV!$A:$A,CSV!M:M,""),
_xlpm.MacVal,_xlfn.XLOOKUP($A511,Output_Mac!$A:$A,Output_Mac!L:L,""),
_xlpm.MyAuditVal,_xlfn.XLOOKUP($A511,My_Audit!$A:$A,My_Audit!J:J,""),
_xlfn.IFS(_xlpm.MyAuditVal&lt;&gt;"",UPPER(_xlpm.MyAuditVal),_xlpm.MacVal&lt;&gt;"",_xlpm.MacVal,_xlpm.CSVVal&lt;&gt;"",_xlpm.CSVVal
)),"")</f>
        <v/>
      </c>
      <c r="L511" s="54" t="str" cm="1">
        <f t="array" ref="L511">IFERROR(_xlfn.LET(
_xlpm.CSVVal,_xlfn.XLOOKUP($A511,CSV!$A:$A,CSV!O:O,""),
_xlpm.MacVal,_xlfn.XLOOKUP($A511,Output_Mac!$A:$A,Output_Mac!M:M,""),
_xlpm.MyAuditVal,_xlfn.XLOOKUP($A511,My_Audit!$A:$A,My_Audit!K:K,""),
_xlfn.IFS(_xlpm.MyAuditVal&lt;&gt;"",UPPER(_xlpm.MyAuditVal),_xlpm.MacVal&lt;&gt;"",_xlpm.MacVal,_xlpm.CSVVal&lt;&gt;"",_xlpm.CSVVal
)),"")</f>
        <v/>
      </c>
      <c r="M511" s="54" t="str">
        <f>_xlfn.LET(
    _xlpm.CSVVal, _xlfn.XLOOKUP($A511, CSV!$A:$A, CSV!AD:AD, ""),
    _xlpm.MacVal, _xlfn.XLOOKUP($A511, Output_Mac!$A:$A, Output_Mac!S:S, ""),
    _xlpm.MyAuditVal, _xlfn.XLOOKUP($A511, My_Audit!$A:$A, My_Audit!N:N, ""),
    _xlfn.TEXTJOIN(", ", TRUE, _xlpm.MyAuditVal, _xlpm.MacVal, _xlpm.CSVVal)
)</f>
        <v/>
      </c>
      <c r="N511" s="54" t="str" cm="1">
        <f t="array" ref="N511">IFERROR(_xlfn.LET(
_xlpm.CSVVal,_xlfn.XLOOKUP($A511,CSV!$A:$A,CSV!AF:AF,""),
_xlpm.MacVal,_xlfn.XLOOKUP($A511,Output_Mac!$A:$A,Output_Mac!U:U,""),
_xlpm.MyAuditVal,_xlfn.XLOOKUP($A511,My_Audit!$A:$A,My_Audit!O:O,""),
_xlfn.IFS(_xlpm.MyAuditVal&lt;&gt;"",UPPER(_xlpm.MyAuditVal),_xlpm.MacVal&lt;&gt;"",_xlpm.MacVal,_xlpm.CSVVal&lt;&gt;"",_xlpm.CSVVal
)),"")</f>
        <v/>
      </c>
      <c r="O511" s="54"/>
      <c r="P511" s="54"/>
      <c r="Q511" s="54"/>
      <c r="R511" s="54"/>
      <c r="S511" s="54"/>
      <c r="T511" s="54"/>
      <c r="U511" s="39"/>
    </row>
    <row r="512" spans="1:21">
      <c r="A512" s="54" t="str">
        <f>_xlfn.TEXTJOIN("",TRUE,Input!$B$2,ROW(My_Audit!A511))</f>
        <v>XX511</v>
      </c>
      <c r="B512" s="54" t="str">
        <f>_xlfn.TEXTJOIN("-",TRUE,"ITD",Input!$A$2,A512)</f>
        <v>ITD-SHRXXX-XX511</v>
      </c>
      <c r="C512" s="54" t="str" cm="1">
        <f t="array" ref="C512">IFERROR(_xlfn.LET(
_xlpm.CSVVal,_xlfn.XLOOKUP($A512,CSV!$A:$A,CSV!B:B,""),
_xlpm.MacVal,_xlfn.XLOOKUP($A512,Output_Mac!$A:$A,Output_Mac!B:B,""),
_xlpm.MyAuditVal,_xlfn.XLOOKUP($A512,My_Audit!$A:$A,My_Audit!B:B,""),
_xlfn.IFS(_xlpm.MyAuditVal&lt;&gt;"",UPPER(_xlpm.MyAuditVal),_xlpm.MacVal&lt;&gt;"",_xlpm.MacVal,_xlpm.CSVVal&lt;&gt;"",_xlpm.CSVVal
)),"")</f>
        <v/>
      </c>
      <c r="D512" s="55" t="str">
        <f>_xlfn.XLOOKUP(A512,My_Audit!A:A,My_Audit!D:D,"")&amp;""</f>
        <v/>
      </c>
      <c r="E512" s="55" t="str" cm="1">
        <f t="array" ref="E512">IFERROR(_xlfn.LET(
_xlpm.CSVVal,_xlfn.XLOOKUP($A512,CSV!$A:$A,CSV!D:D,""),
_xlpm.MacVal,_xlfn.XLOOKUP($A512,Output_Mac!$A:$A,Output_Mac!C:C,""),
_xlpm.MyAuditVal,_xlfn.XLOOKUP($A512,My_Audit!$A:$A,My_Audit!D:D,""),
_xlfn.IFS(_xlpm.MyAuditVal&lt;&gt;"",_xlpm.MyAuditVal,_xlpm.MacVal&lt;&gt;"",_xlpm.MacVal,_xlpm.CSVVal&lt;&gt;"",_xlpm.CSVVal
)),"")</f>
        <v/>
      </c>
      <c r="F512" s="54" t="str" cm="1">
        <f t="array" ref="F512">IFERROR(_xlfn.LET(
_xlpm.CSVVal,_xlfn.XLOOKUP($A512,CSV!$A:$A,CSV!E:E,""),
_xlpm.MacVal,_xlfn.XLOOKUP($A512,Output_Mac!$A:$A,Output_Mac!F:F,""),
_xlpm.MyAuditVal,_xlfn.XLOOKUP($A512,My_Audit!$A:$A,My_Audit!E:E,""),
_xlfn.IFS(_xlpm.MyAuditVal&lt;&gt;"",_xlpm.MyAuditVal,_xlpm.MacVal&lt;&gt;"",_xlpm.MacVal,_xlpm.CSVVal&lt;&gt;"",PROPER(_xlpm.CSVVal)
)),"")</f>
        <v/>
      </c>
      <c r="G512" s="54" t="str" cm="1">
        <f t="array" ref="G512">IFERROR(_xlfn.LET(
_xlpm.CSVVal,_xlfn.XLOOKUP($A512,CSV!$A:$A,CSV!F:F,""),
_xlpm.MacVal,_xlfn.XLOOKUP($A512,Output_Mac!$A:$A,Output_Mac!H:H,""),
_xlpm.MyAuditVal,_xlfn.XLOOKUP($A512,My_Audit!$A:$A,My_Audit!F:F,""),
_xlfn.IFS(_xlpm.MyAuditVal&lt;&gt;"",_xlpm.MyAuditVal,_xlpm.MacVal&lt;&gt;"",_xlpm.MacVal,_xlpm.CSVVal&lt;&gt;"",_xlpm.CSVVal
)),"")</f>
        <v/>
      </c>
      <c r="H512" s="54" t="str">
        <f>_xlfn.XLOOKUP(A512,Output_Mac!A:A,Output_Mac!I:I,"")</f>
        <v/>
      </c>
      <c r="I512" s="54" t="str" cm="1">
        <f t="array" ref="I512">IFERROR(_xlfn.LET(
_xlpm.CSVVal,_xlfn.XLOOKUP($A512,CSV!$A:$A,CSV!G:G,""),
_xlpm.MacVal,_xlfn.XLOOKUP($A512,Output_Mac!$A:$A,Output_Mac!J:J,""),
_xlpm.MyAuditVal,_xlfn.XLOOKUP($A512,My_Audit!$A:$A,My_Audit!H:H,""),
_xlfn.IFS(_xlpm.MyAuditVal&lt;&gt;"",UPPER(_xlpm.MyAuditVal),_xlpm.MacVal&lt;&gt;"",_xlpm.MacVal,_xlpm.CSVVal&lt;&gt;"",_xlpm.CSVVal
)),"")</f>
        <v/>
      </c>
      <c r="J512" s="54" t="str" cm="1">
        <f t="array" ref="J512">IFERROR(_xlfn.LET(
_xlpm.CSVVal,_xlfn.XLOOKUP($A512,CSV!$A:$A,CSV!I:I,""),
_xlpm.MacVal,_xlfn.XLOOKUP($A512,Output_Mac!$A:$A,Output_Mac!K:K,""),
_xlpm.MyAuditVal,_xlfn.XLOOKUP($A512,My_Audit!$A:$A,My_Audit!I:I,""),
_xlfn.IFS(_xlpm.MyAuditVal&lt;&gt;"",UPPER(_xlpm.MyAuditVal),_xlpm.MacVal&lt;&gt;"",_xlpm.MacVal,_xlpm.CSVVal&lt;&gt;"",_xlpm.CSVVal
)),"")</f>
        <v/>
      </c>
      <c r="K512" s="54" t="str" cm="1">
        <f t="array" ref="K512">IFERROR(_xlfn.LET(
_xlpm.CSVVal,_xlfn.XLOOKUP($A512,CSV!$A:$A,CSV!M:M,""),
_xlpm.MacVal,_xlfn.XLOOKUP($A512,Output_Mac!$A:$A,Output_Mac!L:L,""),
_xlpm.MyAuditVal,_xlfn.XLOOKUP($A512,My_Audit!$A:$A,My_Audit!J:J,""),
_xlfn.IFS(_xlpm.MyAuditVal&lt;&gt;"",UPPER(_xlpm.MyAuditVal),_xlpm.MacVal&lt;&gt;"",_xlpm.MacVal,_xlpm.CSVVal&lt;&gt;"",_xlpm.CSVVal
)),"")</f>
        <v/>
      </c>
      <c r="L512" s="54" t="str" cm="1">
        <f t="array" ref="L512">IFERROR(_xlfn.LET(
_xlpm.CSVVal,_xlfn.XLOOKUP($A512,CSV!$A:$A,CSV!O:O,""),
_xlpm.MacVal,_xlfn.XLOOKUP($A512,Output_Mac!$A:$A,Output_Mac!M:M,""),
_xlpm.MyAuditVal,_xlfn.XLOOKUP($A512,My_Audit!$A:$A,My_Audit!K:K,""),
_xlfn.IFS(_xlpm.MyAuditVal&lt;&gt;"",UPPER(_xlpm.MyAuditVal),_xlpm.MacVal&lt;&gt;"",_xlpm.MacVal,_xlpm.CSVVal&lt;&gt;"",_xlpm.CSVVal
)),"")</f>
        <v/>
      </c>
      <c r="M512" s="54" t="str">
        <f>_xlfn.LET(
    _xlpm.CSVVal, _xlfn.XLOOKUP($A512, CSV!$A:$A, CSV!AD:AD, ""),
    _xlpm.MacVal, _xlfn.XLOOKUP($A512, Output_Mac!$A:$A, Output_Mac!S:S, ""),
    _xlpm.MyAuditVal, _xlfn.XLOOKUP($A512, My_Audit!$A:$A, My_Audit!N:N, ""),
    _xlfn.TEXTJOIN(", ", TRUE, _xlpm.MyAuditVal, _xlpm.MacVal, _xlpm.CSVVal)
)</f>
        <v/>
      </c>
      <c r="N512" s="54" t="str" cm="1">
        <f t="array" ref="N512">IFERROR(_xlfn.LET(
_xlpm.CSVVal,_xlfn.XLOOKUP($A512,CSV!$A:$A,CSV!AF:AF,""),
_xlpm.MacVal,_xlfn.XLOOKUP($A512,Output_Mac!$A:$A,Output_Mac!U:U,""),
_xlpm.MyAuditVal,_xlfn.XLOOKUP($A512,My_Audit!$A:$A,My_Audit!O:O,""),
_xlfn.IFS(_xlpm.MyAuditVal&lt;&gt;"",UPPER(_xlpm.MyAuditVal),_xlpm.MacVal&lt;&gt;"",_xlpm.MacVal,_xlpm.CSVVal&lt;&gt;"",_xlpm.CSVVal
)),"")</f>
        <v/>
      </c>
      <c r="O512" s="54"/>
      <c r="P512" s="54"/>
      <c r="Q512" s="54"/>
      <c r="R512" s="54"/>
      <c r="S512" s="54"/>
      <c r="T512" s="54"/>
      <c r="U512" s="39"/>
    </row>
    <row r="513" spans="1:21">
      <c r="A513" s="54" t="str">
        <f>_xlfn.TEXTJOIN("",TRUE,Input!$B$2,ROW(My_Audit!A512))</f>
        <v>XX512</v>
      </c>
      <c r="B513" s="54" t="str">
        <f>_xlfn.TEXTJOIN("-",TRUE,"ITD",Input!$A$2,A513)</f>
        <v>ITD-SHRXXX-XX512</v>
      </c>
      <c r="C513" s="54" t="str" cm="1">
        <f t="array" ref="C513">IFERROR(_xlfn.LET(
_xlpm.CSVVal,_xlfn.XLOOKUP($A513,CSV!$A:$A,CSV!B:B,""),
_xlpm.MacVal,_xlfn.XLOOKUP($A513,Output_Mac!$A:$A,Output_Mac!B:B,""),
_xlpm.MyAuditVal,_xlfn.XLOOKUP($A513,My_Audit!$A:$A,My_Audit!B:B,""),
_xlfn.IFS(_xlpm.MyAuditVal&lt;&gt;"",UPPER(_xlpm.MyAuditVal),_xlpm.MacVal&lt;&gt;"",_xlpm.MacVal,_xlpm.CSVVal&lt;&gt;"",_xlpm.CSVVal
)),"")</f>
        <v/>
      </c>
      <c r="D513" s="55" t="str">
        <f>_xlfn.XLOOKUP(A513,My_Audit!A:A,My_Audit!D:D,"")&amp;""</f>
        <v/>
      </c>
      <c r="E513" s="55" t="str" cm="1">
        <f t="array" ref="E513">IFERROR(_xlfn.LET(
_xlpm.CSVVal,_xlfn.XLOOKUP($A513,CSV!$A:$A,CSV!D:D,""),
_xlpm.MacVal,_xlfn.XLOOKUP($A513,Output_Mac!$A:$A,Output_Mac!C:C,""),
_xlpm.MyAuditVal,_xlfn.XLOOKUP($A513,My_Audit!$A:$A,My_Audit!D:D,""),
_xlfn.IFS(_xlpm.MyAuditVal&lt;&gt;"",_xlpm.MyAuditVal,_xlpm.MacVal&lt;&gt;"",_xlpm.MacVal,_xlpm.CSVVal&lt;&gt;"",_xlpm.CSVVal
)),"")</f>
        <v/>
      </c>
      <c r="F513" s="54" t="str" cm="1">
        <f t="array" ref="F513">IFERROR(_xlfn.LET(
_xlpm.CSVVal,_xlfn.XLOOKUP($A513,CSV!$A:$A,CSV!E:E,""),
_xlpm.MacVal,_xlfn.XLOOKUP($A513,Output_Mac!$A:$A,Output_Mac!F:F,""),
_xlpm.MyAuditVal,_xlfn.XLOOKUP($A513,My_Audit!$A:$A,My_Audit!E:E,""),
_xlfn.IFS(_xlpm.MyAuditVal&lt;&gt;"",_xlpm.MyAuditVal,_xlpm.MacVal&lt;&gt;"",_xlpm.MacVal,_xlpm.CSVVal&lt;&gt;"",PROPER(_xlpm.CSVVal)
)),"")</f>
        <v/>
      </c>
      <c r="G513" s="54" t="str" cm="1">
        <f t="array" ref="G513">IFERROR(_xlfn.LET(
_xlpm.CSVVal,_xlfn.XLOOKUP($A513,CSV!$A:$A,CSV!F:F,""),
_xlpm.MacVal,_xlfn.XLOOKUP($A513,Output_Mac!$A:$A,Output_Mac!H:H,""),
_xlpm.MyAuditVal,_xlfn.XLOOKUP($A513,My_Audit!$A:$A,My_Audit!F:F,""),
_xlfn.IFS(_xlpm.MyAuditVal&lt;&gt;"",_xlpm.MyAuditVal,_xlpm.MacVal&lt;&gt;"",_xlpm.MacVal,_xlpm.CSVVal&lt;&gt;"",_xlpm.CSVVal
)),"")</f>
        <v/>
      </c>
      <c r="H513" s="54" t="str">
        <f>_xlfn.XLOOKUP(A513,Output_Mac!A:A,Output_Mac!I:I,"")</f>
        <v/>
      </c>
      <c r="I513" s="54" t="str" cm="1">
        <f t="array" ref="I513">IFERROR(_xlfn.LET(
_xlpm.CSVVal,_xlfn.XLOOKUP($A513,CSV!$A:$A,CSV!G:G,""),
_xlpm.MacVal,_xlfn.XLOOKUP($A513,Output_Mac!$A:$A,Output_Mac!J:J,""),
_xlpm.MyAuditVal,_xlfn.XLOOKUP($A513,My_Audit!$A:$A,My_Audit!H:H,""),
_xlfn.IFS(_xlpm.MyAuditVal&lt;&gt;"",UPPER(_xlpm.MyAuditVal),_xlpm.MacVal&lt;&gt;"",_xlpm.MacVal,_xlpm.CSVVal&lt;&gt;"",_xlpm.CSVVal
)),"")</f>
        <v/>
      </c>
      <c r="J513" s="54" t="str" cm="1">
        <f t="array" ref="J513">IFERROR(_xlfn.LET(
_xlpm.CSVVal,_xlfn.XLOOKUP($A513,CSV!$A:$A,CSV!I:I,""),
_xlpm.MacVal,_xlfn.XLOOKUP($A513,Output_Mac!$A:$A,Output_Mac!K:K,""),
_xlpm.MyAuditVal,_xlfn.XLOOKUP($A513,My_Audit!$A:$A,My_Audit!I:I,""),
_xlfn.IFS(_xlpm.MyAuditVal&lt;&gt;"",UPPER(_xlpm.MyAuditVal),_xlpm.MacVal&lt;&gt;"",_xlpm.MacVal,_xlpm.CSVVal&lt;&gt;"",_xlpm.CSVVal
)),"")</f>
        <v/>
      </c>
      <c r="K513" s="54" t="str" cm="1">
        <f t="array" ref="K513">IFERROR(_xlfn.LET(
_xlpm.CSVVal,_xlfn.XLOOKUP($A513,CSV!$A:$A,CSV!M:M,""),
_xlpm.MacVal,_xlfn.XLOOKUP($A513,Output_Mac!$A:$A,Output_Mac!L:L,""),
_xlpm.MyAuditVal,_xlfn.XLOOKUP($A513,My_Audit!$A:$A,My_Audit!J:J,""),
_xlfn.IFS(_xlpm.MyAuditVal&lt;&gt;"",UPPER(_xlpm.MyAuditVal),_xlpm.MacVal&lt;&gt;"",_xlpm.MacVal,_xlpm.CSVVal&lt;&gt;"",_xlpm.CSVVal
)),"")</f>
        <v/>
      </c>
      <c r="L513" s="54" t="str" cm="1">
        <f t="array" ref="L513">IFERROR(_xlfn.LET(
_xlpm.CSVVal,_xlfn.XLOOKUP($A513,CSV!$A:$A,CSV!O:O,""),
_xlpm.MacVal,_xlfn.XLOOKUP($A513,Output_Mac!$A:$A,Output_Mac!M:M,""),
_xlpm.MyAuditVal,_xlfn.XLOOKUP($A513,My_Audit!$A:$A,My_Audit!K:K,""),
_xlfn.IFS(_xlpm.MyAuditVal&lt;&gt;"",UPPER(_xlpm.MyAuditVal),_xlpm.MacVal&lt;&gt;"",_xlpm.MacVal,_xlpm.CSVVal&lt;&gt;"",_xlpm.CSVVal
)),"")</f>
        <v/>
      </c>
      <c r="M513" s="54" t="str">
        <f>_xlfn.LET(
    _xlpm.CSVVal, _xlfn.XLOOKUP($A513, CSV!$A:$A, CSV!AD:AD, ""),
    _xlpm.MacVal, _xlfn.XLOOKUP($A513, Output_Mac!$A:$A, Output_Mac!S:S, ""),
    _xlpm.MyAuditVal, _xlfn.XLOOKUP($A513, My_Audit!$A:$A, My_Audit!N:N, ""),
    _xlfn.TEXTJOIN(", ", TRUE, _xlpm.MyAuditVal, _xlpm.MacVal, _xlpm.CSVVal)
)</f>
        <v/>
      </c>
      <c r="N513" s="54" t="str" cm="1">
        <f t="array" ref="N513">IFERROR(_xlfn.LET(
_xlpm.CSVVal,_xlfn.XLOOKUP($A513,CSV!$A:$A,CSV!AF:AF,""),
_xlpm.MacVal,_xlfn.XLOOKUP($A513,Output_Mac!$A:$A,Output_Mac!U:U,""),
_xlpm.MyAuditVal,_xlfn.XLOOKUP($A513,My_Audit!$A:$A,My_Audit!O:O,""),
_xlfn.IFS(_xlpm.MyAuditVal&lt;&gt;"",UPPER(_xlpm.MyAuditVal),_xlpm.MacVal&lt;&gt;"",_xlpm.MacVal,_xlpm.CSVVal&lt;&gt;"",_xlpm.CSVVal
)),"")</f>
        <v/>
      </c>
      <c r="O513" s="54"/>
      <c r="P513" s="54"/>
      <c r="Q513" s="54"/>
      <c r="R513" s="54"/>
      <c r="S513" s="54"/>
      <c r="T513" s="54"/>
      <c r="U513" s="39"/>
    </row>
    <row r="514" spans="1:21">
      <c r="A514" s="54" t="str">
        <f>_xlfn.TEXTJOIN("",TRUE,Input!$B$2,ROW(My_Audit!A513))</f>
        <v>XX513</v>
      </c>
      <c r="B514" s="54" t="str">
        <f>_xlfn.TEXTJOIN("-",TRUE,"ITD",Input!$A$2,A514)</f>
        <v>ITD-SHRXXX-XX513</v>
      </c>
      <c r="C514" s="54" t="str" cm="1">
        <f t="array" ref="C514">IFERROR(_xlfn.LET(
_xlpm.CSVVal,_xlfn.XLOOKUP($A514,CSV!$A:$A,CSV!B:B,""),
_xlpm.MacVal,_xlfn.XLOOKUP($A514,Output_Mac!$A:$A,Output_Mac!B:B,""),
_xlpm.MyAuditVal,_xlfn.XLOOKUP($A514,My_Audit!$A:$A,My_Audit!B:B,""),
_xlfn.IFS(_xlpm.MyAuditVal&lt;&gt;"",UPPER(_xlpm.MyAuditVal),_xlpm.MacVal&lt;&gt;"",_xlpm.MacVal,_xlpm.CSVVal&lt;&gt;"",_xlpm.CSVVal
)),"")</f>
        <v/>
      </c>
      <c r="D514" s="55" t="str">
        <f>_xlfn.XLOOKUP(A514,My_Audit!A:A,My_Audit!D:D,"")&amp;""</f>
        <v/>
      </c>
      <c r="E514" s="55" t="str" cm="1">
        <f t="array" ref="E514">IFERROR(_xlfn.LET(
_xlpm.CSVVal,_xlfn.XLOOKUP($A514,CSV!$A:$A,CSV!D:D,""),
_xlpm.MacVal,_xlfn.XLOOKUP($A514,Output_Mac!$A:$A,Output_Mac!C:C,""),
_xlpm.MyAuditVal,_xlfn.XLOOKUP($A514,My_Audit!$A:$A,My_Audit!D:D,""),
_xlfn.IFS(_xlpm.MyAuditVal&lt;&gt;"",_xlpm.MyAuditVal,_xlpm.MacVal&lt;&gt;"",_xlpm.MacVal,_xlpm.CSVVal&lt;&gt;"",_xlpm.CSVVal
)),"")</f>
        <v/>
      </c>
      <c r="F514" s="54" t="str" cm="1">
        <f t="array" ref="F514">IFERROR(_xlfn.LET(
_xlpm.CSVVal,_xlfn.XLOOKUP($A514,CSV!$A:$A,CSV!E:E,""),
_xlpm.MacVal,_xlfn.XLOOKUP($A514,Output_Mac!$A:$A,Output_Mac!F:F,""),
_xlpm.MyAuditVal,_xlfn.XLOOKUP($A514,My_Audit!$A:$A,My_Audit!E:E,""),
_xlfn.IFS(_xlpm.MyAuditVal&lt;&gt;"",_xlpm.MyAuditVal,_xlpm.MacVal&lt;&gt;"",_xlpm.MacVal,_xlpm.CSVVal&lt;&gt;"",PROPER(_xlpm.CSVVal)
)),"")</f>
        <v/>
      </c>
      <c r="G514" s="54" t="str" cm="1">
        <f t="array" ref="G514">IFERROR(_xlfn.LET(
_xlpm.CSVVal,_xlfn.XLOOKUP($A514,CSV!$A:$A,CSV!F:F,""),
_xlpm.MacVal,_xlfn.XLOOKUP($A514,Output_Mac!$A:$A,Output_Mac!H:H,""),
_xlpm.MyAuditVal,_xlfn.XLOOKUP($A514,My_Audit!$A:$A,My_Audit!F:F,""),
_xlfn.IFS(_xlpm.MyAuditVal&lt;&gt;"",_xlpm.MyAuditVal,_xlpm.MacVal&lt;&gt;"",_xlpm.MacVal,_xlpm.CSVVal&lt;&gt;"",_xlpm.CSVVal
)),"")</f>
        <v/>
      </c>
      <c r="H514" s="54" t="str">
        <f>_xlfn.XLOOKUP(A514,Output_Mac!A:A,Output_Mac!I:I,"")</f>
        <v/>
      </c>
      <c r="I514" s="54" t="str" cm="1">
        <f t="array" ref="I514">IFERROR(_xlfn.LET(
_xlpm.CSVVal,_xlfn.XLOOKUP($A514,CSV!$A:$A,CSV!G:G,""),
_xlpm.MacVal,_xlfn.XLOOKUP($A514,Output_Mac!$A:$A,Output_Mac!J:J,""),
_xlpm.MyAuditVal,_xlfn.XLOOKUP($A514,My_Audit!$A:$A,My_Audit!H:H,""),
_xlfn.IFS(_xlpm.MyAuditVal&lt;&gt;"",UPPER(_xlpm.MyAuditVal),_xlpm.MacVal&lt;&gt;"",_xlpm.MacVal,_xlpm.CSVVal&lt;&gt;"",_xlpm.CSVVal
)),"")</f>
        <v/>
      </c>
      <c r="J514" s="54" t="str" cm="1">
        <f t="array" ref="J514">IFERROR(_xlfn.LET(
_xlpm.CSVVal,_xlfn.XLOOKUP($A514,CSV!$A:$A,CSV!I:I,""),
_xlpm.MacVal,_xlfn.XLOOKUP($A514,Output_Mac!$A:$A,Output_Mac!K:K,""),
_xlpm.MyAuditVal,_xlfn.XLOOKUP($A514,My_Audit!$A:$A,My_Audit!I:I,""),
_xlfn.IFS(_xlpm.MyAuditVal&lt;&gt;"",UPPER(_xlpm.MyAuditVal),_xlpm.MacVal&lt;&gt;"",_xlpm.MacVal,_xlpm.CSVVal&lt;&gt;"",_xlpm.CSVVal
)),"")</f>
        <v/>
      </c>
      <c r="K514" s="54" t="str" cm="1">
        <f t="array" ref="K514">IFERROR(_xlfn.LET(
_xlpm.CSVVal,_xlfn.XLOOKUP($A514,CSV!$A:$A,CSV!M:M,""),
_xlpm.MacVal,_xlfn.XLOOKUP($A514,Output_Mac!$A:$A,Output_Mac!L:L,""),
_xlpm.MyAuditVal,_xlfn.XLOOKUP($A514,My_Audit!$A:$A,My_Audit!J:J,""),
_xlfn.IFS(_xlpm.MyAuditVal&lt;&gt;"",UPPER(_xlpm.MyAuditVal),_xlpm.MacVal&lt;&gt;"",_xlpm.MacVal,_xlpm.CSVVal&lt;&gt;"",_xlpm.CSVVal
)),"")</f>
        <v/>
      </c>
      <c r="L514" s="54" t="str" cm="1">
        <f t="array" ref="L514">IFERROR(_xlfn.LET(
_xlpm.CSVVal,_xlfn.XLOOKUP($A514,CSV!$A:$A,CSV!O:O,""),
_xlpm.MacVal,_xlfn.XLOOKUP($A514,Output_Mac!$A:$A,Output_Mac!M:M,""),
_xlpm.MyAuditVal,_xlfn.XLOOKUP($A514,My_Audit!$A:$A,My_Audit!K:K,""),
_xlfn.IFS(_xlpm.MyAuditVal&lt;&gt;"",UPPER(_xlpm.MyAuditVal),_xlpm.MacVal&lt;&gt;"",_xlpm.MacVal,_xlpm.CSVVal&lt;&gt;"",_xlpm.CSVVal
)),"")</f>
        <v/>
      </c>
      <c r="M514" s="54" t="str">
        <f>_xlfn.LET(
    _xlpm.CSVVal, _xlfn.XLOOKUP($A514, CSV!$A:$A, CSV!AD:AD, ""),
    _xlpm.MacVal, _xlfn.XLOOKUP($A514, Output_Mac!$A:$A, Output_Mac!S:S, ""),
    _xlpm.MyAuditVal, _xlfn.XLOOKUP($A514, My_Audit!$A:$A, My_Audit!N:N, ""),
    _xlfn.TEXTJOIN(", ", TRUE, _xlpm.MyAuditVal, _xlpm.MacVal, _xlpm.CSVVal)
)</f>
        <v/>
      </c>
      <c r="N514" s="54" t="str" cm="1">
        <f t="array" ref="N514">IFERROR(_xlfn.LET(
_xlpm.CSVVal,_xlfn.XLOOKUP($A514,CSV!$A:$A,CSV!AF:AF,""),
_xlpm.MacVal,_xlfn.XLOOKUP($A514,Output_Mac!$A:$A,Output_Mac!U:U,""),
_xlpm.MyAuditVal,_xlfn.XLOOKUP($A514,My_Audit!$A:$A,My_Audit!O:O,""),
_xlfn.IFS(_xlpm.MyAuditVal&lt;&gt;"",UPPER(_xlpm.MyAuditVal),_xlpm.MacVal&lt;&gt;"",_xlpm.MacVal,_xlpm.CSVVal&lt;&gt;"",_xlpm.CSVVal
)),"")</f>
        <v/>
      </c>
      <c r="O514" s="54"/>
      <c r="P514" s="54"/>
      <c r="Q514" s="54"/>
      <c r="R514" s="54"/>
      <c r="S514" s="54"/>
      <c r="T514" s="54"/>
      <c r="U514" s="39"/>
    </row>
    <row r="515" spans="1:21">
      <c r="A515" s="54" t="str">
        <f>_xlfn.TEXTJOIN("",TRUE,Input!$B$2,ROW(My_Audit!A514))</f>
        <v>XX514</v>
      </c>
      <c r="B515" s="54" t="str">
        <f>_xlfn.TEXTJOIN("-",TRUE,"ITD",Input!$A$2,A515)</f>
        <v>ITD-SHRXXX-XX514</v>
      </c>
      <c r="C515" s="54" t="str" cm="1">
        <f t="array" ref="C515">IFERROR(_xlfn.LET(
_xlpm.CSVVal,_xlfn.XLOOKUP($A515,CSV!$A:$A,CSV!B:B,""),
_xlpm.MacVal,_xlfn.XLOOKUP($A515,Output_Mac!$A:$A,Output_Mac!B:B,""),
_xlpm.MyAuditVal,_xlfn.XLOOKUP($A515,My_Audit!$A:$A,My_Audit!B:B,""),
_xlfn.IFS(_xlpm.MyAuditVal&lt;&gt;"",UPPER(_xlpm.MyAuditVal),_xlpm.MacVal&lt;&gt;"",_xlpm.MacVal,_xlpm.CSVVal&lt;&gt;"",_xlpm.CSVVal
)),"")</f>
        <v/>
      </c>
      <c r="D515" s="55" t="str">
        <f>_xlfn.XLOOKUP(A515,My_Audit!A:A,My_Audit!D:D,"")&amp;""</f>
        <v/>
      </c>
      <c r="E515" s="55" t="str" cm="1">
        <f t="array" ref="E515">IFERROR(_xlfn.LET(
_xlpm.CSVVal,_xlfn.XLOOKUP($A515,CSV!$A:$A,CSV!D:D,""),
_xlpm.MacVal,_xlfn.XLOOKUP($A515,Output_Mac!$A:$A,Output_Mac!C:C,""),
_xlpm.MyAuditVal,_xlfn.XLOOKUP($A515,My_Audit!$A:$A,My_Audit!D:D,""),
_xlfn.IFS(_xlpm.MyAuditVal&lt;&gt;"",_xlpm.MyAuditVal,_xlpm.MacVal&lt;&gt;"",_xlpm.MacVal,_xlpm.CSVVal&lt;&gt;"",_xlpm.CSVVal
)),"")</f>
        <v/>
      </c>
      <c r="F515" s="54" t="str" cm="1">
        <f t="array" ref="F515">IFERROR(_xlfn.LET(
_xlpm.CSVVal,_xlfn.XLOOKUP($A515,CSV!$A:$A,CSV!E:E,""),
_xlpm.MacVal,_xlfn.XLOOKUP($A515,Output_Mac!$A:$A,Output_Mac!F:F,""),
_xlpm.MyAuditVal,_xlfn.XLOOKUP($A515,My_Audit!$A:$A,My_Audit!E:E,""),
_xlfn.IFS(_xlpm.MyAuditVal&lt;&gt;"",_xlpm.MyAuditVal,_xlpm.MacVal&lt;&gt;"",_xlpm.MacVal,_xlpm.CSVVal&lt;&gt;"",PROPER(_xlpm.CSVVal)
)),"")</f>
        <v/>
      </c>
      <c r="G515" s="54" t="str" cm="1">
        <f t="array" ref="G515">IFERROR(_xlfn.LET(
_xlpm.CSVVal,_xlfn.XLOOKUP($A515,CSV!$A:$A,CSV!F:F,""),
_xlpm.MacVal,_xlfn.XLOOKUP($A515,Output_Mac!$A:$A,Output_Mac!H:H,""),
_xlpm.MyAuditVal,_xlfn.XLOOKUP($A515,My_Audit!$A:$A,My_Audit!F:F,""),
_xlfn.IFS(_xlpm.MyAuditVal&lt;&gt;"",_xlpm.MyAuditVal,_xlpm.MacVal&lt;&gt;"",_xlpm.MacVal,_xlpm.CSVVal&lt;&gt;"",_xlpm.CSVVal
)),"")</f>
        <v/>
      </c>
      <c r="H515" s="54" t="str">
        <f>_xlfn.XLOOKUP(A515,Output_Mac!A:A,Output_Mac!I:I,"")</f>
        <v/>
      </c>
      <c r="I515" s="54" t="str" cm="1">
        <f t="array" ref="I515">IFERROR(_xlfn.LET(
_xlpm.CSVVal,_xlfn.XLOOKUP($A515,CSV!$A:$A,CSV!G:G,""),
_xlpm.MacVal,_xlfn.XLOOKUP($A515,Output_Mac!$A:$A,Output_Mac!J:J,""),
_xlpm.MyAuditVal,_xlfn.XLOOKUP($A515,My_Audit!$A:$A,My_Audit!H:H,""),
_xlfn.IFS(_xlpm.MyAuditVal&lt;&gt;"",UPPER(_xlpm.MyAuditVal),_xlpm.MacVal&lt;&gt;"",_xlpm.MacVal,_xlpm.CSVVal&lt;&gt;"",_xlpm.CSVVal
)),"")</f>
        <v/>
      </c>
      <c r="J515" s="54" t="str" cm="1">
        <f t="array" ref="J515">IFERROR(_xlfn.LET(
_xlpm.CSVVal,_xlfn.XLOOKUP($A515,CSV!$A:$A,CSV!I:I,""),
_xlpm.MacVal,_xlfn.XLOOKUP($A515,Output_Mac!$A:$A,Output_Mac!K:K,""),
_xlpm.MyAuditVal,_xlfn.XLOOKUP($A515,My_Audit!$A:$A,My_Audit!I:I,""),
_xlfn.IFS(_xlpm.MyAuditVal&lt;&gt;"",UPPER(_xlpm.MyAuditVal),_xlpm.MacVal&lt;&gt;"",_xlpm.MacVal,_xlpm.CSVVal&lt;&gt;"",_xlpm.CSVVal
)),"")</f>
        <v/>
      </c>
      <c r="K515" s="54" t="str" cm="1">
        <f t="array" ref="K515">IFERROR(_xlfn.LET(
_xlpm.CSVVal,_xlfn.XLOOKUP($A515,CSV!$A:$A,CSV!M:M,""),
_xlpm.MacVal,_xlfn.XLOOKUP($A515,Output_Mac!$A:$A,Output_Mac!L:L,""),
_xlpm.MyAuditVal,_xlfn.XLOOKUP($A515,My_Audit!$A:$A,My_Audit!J:J,""),
_xlfn.IFS(_xlpm.MyAuditVal&lt;&gt;"",UPPER(_xlpm.MyAuditVal),_xlpm.MacVal&lt;&gt;"",_xlpm.MacVal,_xlpm.CSVVal&lt;&gt;"",_xlpm.CSVVal
)),"")</f>
        <v/>
      </c>
      <c r="L515" s="54" t="str" cm="1">
        <f t="array" ref="L515">IFERROR(_xlfn.LET(
_xlpm.CSVVal,_xlfn.XLOOKUP($A515,CSV!$A:$A,CSV!O:O,""),
_xlpm.MacVal,_xlfn.XLOOKUP($A515,Output_Mac!$A:$A,Output_Mac!M:M,""),
_xlpm.MyAuditVal,_xlfn.XLOOKUP($A515,My_Audit!$A:$A,My_Audit!K:K,""),
_xlfn.IFS(_xlpm.MyAuditVal&lt;&gt;"",UPPER(_xlpm.MyAuditVal),_xlpm.MacVal&lt;&gt;"",_xlpm.MacVal,_xlpm.CSVVal&lt;&gt;"",_xlpm.CSVVal
)),"")</f>
        <v/>
      </c>
      <c r="M515" s="54" t="str">
        <f>_xlfn.LET(
    _xlpm.CSVVal, _xlfn.XLOOKUP($A515, CSV!$A:$A, CSV!AD:AD, ""),
    _xlpm.MacVal, _xlfn.XLOOKUP($A515, Output_Mac!$A:$A, Output_Mac!S:S, ""),
    _xlpm.MyAuditVal, _xlfn.XLOOKUP($A515, My_Audit!$A:$A, My_Audit!N:N, ""),
    _xlfn.TEXTJOIN(", ", TRUE, _xlpm.MyAuditVal, _xlpm.MacVal, _xlpm.CSVVal)
)</f>
        <v/>
      </c>
      <c r="N515" s="54" t="str" cm="1">
        <f t="array" ref="N515">IFERROR(_xlfn.LET(
_xlpm.CSVVal,_xlfn.XLOOKUP($A515,CSV!$A:$A,CSV!AF:AF,""),
_xlpm.MacVal,_xlfn.XLOOKUP($A515,Output_Mac!$A:$A,Output_Mac!U:U,""),
_xlpm.MyAuditVal,_xlfn.XLOOKUP($A515,My_Audit!$A:$A,My_Audit!O:O,""),
_xlfn.IFS(_xlpm.MyAuditVal&lt;&gt;"",UPPER(_xlpm.MyAuditVal),_xlpm.MacVal&lt;&gt;"",_xlpm.MacVal,_xlpm.CSVVal&lt;&gt;"",_xlpm.CSVVal
)),"")</f>
        <v/>
      </c>
      <c r="O515" s="54"/>
      <c r="P515" s="54"/>
      <c r="Q515" s="54"/>
      <c r="R515" s="54"/>
      <c r="S515" s="54"/>
      <c r="T515" s="54"/>
      <c r="U515" s="39"/>
    </row>
    <row r="516" spans="1:21">
      <c r="A516" s="54" t="str">
        <f>_xlfn.TEXTJOIN("",TRUE,Input!$B$2,ROW(My_Audit!A515))</f>
        <v>XX515</v>
      </c>
      <c r="B516" s="54" t="str">
        <f>_xlfn.TEXTJOIN("-",TRUE,"ITD",Input!$A$2,A516)</f>
        <v>ITD-SHRXXX-XX515</v>
      </c>
      <c r="C516" s="54" t="str" cm="1">
        <f t="array" ref="C516">IFERROR(_xlfn.LET(
_xlpm.CSVVal,_xlfn.XLOOKUP($A516,CSV!$A:$A,CSV!B:B,""),
_xlpm.MacVal,_xlfn.XLOOKUP($A516,Output_Mac!$A:$A,Output_Mac!B:B,""),
_xlpm.MyAuditVal,_xlfn.XLOOKUP($A516,My_Audit!$A:$A,My_Audit!B:B,""),
_xlfn.IFS(_xlpm.MyAuditVal&lt;&gt;"",UPPER(_xlpm.MyAuditVal),_xlpm.MacVal&lt;&gt;"",_xlpm.MacVal,_xlpm.CSVVal&lt;&gt;"",_xlpm.CSVVal
)),"")</f>
        <v/>
      </c>
      <c r="D516" s="55" t="str">
        <f>_xlfn.XLOOKUP(A516,My_Audit!A:A,My_Audit!D:D,"")&amp;""</f>
        <v/>
      </c>
      <c r="E516" s="55" t="str" cm="1">
        <f t="array" ref="E516">IFERROR(_xlfn.LET(
_xlpm.CSVVal,_xlfn.XLOOKUP($A516,CSV!$A:$A,CSV!D:D,""),
_xlpm.MacVal,_xlfn.XLOOKUP($A516,Output_Mac!$A:$A,Output_Mac!C:C,""),
_xlpm.MyAuditVal,_xlfn.XLOOKUP($A516,My_Audit!$A:$A,My_Audit!D:D,""),
_xlfn.IFS(_xlpm.MyAuditVal&lt;&gt;"",_xlpm.MyAuditVal,_xlpm.MacVal&lt;&gt;"",_xlpm.MacVal,_xlpm.CSVVal&lt;&gt;"",_xlpm.CSVVal
)),"")</f>
        <v/>
      </c>
      <c r="F516" s="54" t="str" cm="1">
        <f t="array" ref="F516">IFERROR(_xlfn.LET(
_xlpm.CSVVal,_xlfn.XLOOKUP($A516,CSV!$A:$A,CSV!E:E,""),
_xlpm.MacVal,_xlfn.XLOOKUP($A516,Output_Mac!$A:$A,Output_Mac!F:F,""),
_xlpm.MyAuditVal,_xlfn.XLOOKUP($A516,My_Audit!$A:$A,My_Audit!E:E,""),
_xlfn.IFS(_xlpm.MyAuditVal&lt;&gt;"",_xlpm.MyAuditVal,_xlpm.MacVal&lt;&gt;"",_xlpm.MacVal,_xlpm.CSVVal&lt;&gt;"",PROPER(_xlpm.CSVVal)
)),"")</f>
        <v/>
      </c>
      <c r="G516" s="54" t="str" cm="1">
        <f t="array" ref="G516">IFERROR(_xlfn.LET(
_xlpm.CSVVal,_xlfn.XLOOKUP($A516,CSV!$A:$A,CSV!F:F,""),
_xlpm.MacVal,_xlfn.XLOOKUP($A516,Output_Mac!$A:$A,Output_Mac!H:H,""),
_xlpm.MyAuditVal,_xlfn.XLOOKUP($A516,My_Audit!$A:$A,My_Audit!F:F,""),
_xlfn.IFS(_xlpm.MyAuditVal&lt;&gt;"",_xlpm.MyAuditVal,_xlpm.MacVal&lt;&gt;"",_xlpm.MacVal,_xlpm.CSVVal&lt;&gt;"",_xlpm.CSVVal
)),"")</f>
        <v/>
      </c>
      <c r="H516" s="54" t="str">
        <f>_xlfn.XLOOKUP(A516,Output_Mac!A:A,Output_Mac!I:I,"")</f>
        <v/>
      </c>
      <c r="I516" s="54" t="str" cm="1">
        <f t="array" ref="I516">IFERROR(_xlfn.LET(
_xlpm.CSVVal,_xlfn.XLOOKUP($A516,CSV!$A:$A,CSV!G:G,""),
_xlpm.MacVal,_xlfn.XLOOKUP($A516,Output_Mac!$A:$A,Output_Mac!J:J,""),
_xlpm.MyAuditVal,_xlfn.XLOOKUP($A516,My_Audit!$A:$A,My_Audit!H:H,""),
_xlfn.IFS(_xlpm.MyAuditVal&lt;&gt;"",UPPER(_xlpm.MyAuditVal),_xlpm.MacVal&lt;&gt;"",_xlpm.MacVal,_xlpm.CSVVal&lt;&gt;"",_xlpm.CSVVal
)),"")</f>
        <v/>
      </c>
      <c r="J516" s="54" t="str" cm="1">
        <f t="array" ref="J516">IFERROR(_xlfn.LET(
_xlpm.CSVVal,_xlfn.XLOOKUP($A516,CSV!$A:$A,CSV!I:I,""),
_xlpm.MacVal,_xlfn.XLOOKUP($A516,Output_Mac!$A:$A,Output_Mac!K:K,""),
_xlpm.MyAuditVal,_xlfn.XLOOKUP($A516,My_Audit!$A:$A,My_Audit!I:I,""),
_xlfn.IFS(_xlpm.MyAuditVal&lt;&gt;"",UPPER(_xlpm.MyAuditVal),_xlpm.MacVal&lt;&gt;"",_xlpm.MacVal,_xlpm.CSVVal&lt;&gt;"",_xlpm.CSVVal
)),"")</f>
        <v/>
      </c>
      <c r="K516" s="54" t="str" cm="1">
        <f t="array" ref="K516">IFERROR(_xlfn.LET(
_xlpm.CSVVal,_xlfn.XLOOKUP($A516,CSV!$A:$A,CSV!M:M,""),
_xlpm.MacVal,_xlfn.XLOOKUP($A516,Output_Mac!$A:$A,Output_Mac!L:L,""),
_xlpm.MyAuditVal,_xlfn.XLOOKUP($A516,My_Audit!$A:$A,My_Audit!J:J,""),
_xlfn.IFS(_xlpm.MyAuditVal&lt;&gt;"",UPPER(_xlpm.MyAuditVal),_xlpm.MacVal&lt;&gt;"",_xlpm.MacVal,_xlpm.CSVVal&lt;&gt;"",_xlpm.CSVVal
)),"")</f>
        <v/>
      </c>
      <c r="L516" s="54" t="str" cm="1">
        <f t="array" ref="L516">IFERROR(_xlfn.LET(
_xlpm.CSVVal,_xlfn.XLOOKUP($A516,CSV!$A:$A,CSV!O:O,""),
_xlpm.MacVal,_xlfn.XLOOKUP($A516,Output_Mac!$A:$A,Output_Mac!M:M,""),
_xlpm.MyAuditVal,_xlfn.XLOOKUP($A516,My_Audit!$A:$A,My_Audit!K:K,""),
_xlfn.IFS(_xlpm.MyAuditVal&lt;&gt;"",UPPER(_xlpm.MyAuditVal),_xlpm.MacVal&lt;&gt;"",_xlpm.MacVal,_xlpm.CSVVal&lt;&gt;"",_xlpm.CSVVal
)),"")</f>
        <v/>
      </c>
      <c r="M516" s="54" t="str">
        <f>_xlfn.LET(
    _xlpm.CSVVal, _xlfn.XLOOKUP($A516, CSV!$A:$A, CSV!AD:AD, ""),
    _xlpm.MacVal, _xlfn.XLOOKUP($A516, Output_Mac!$A:$A, Output_Mac!S:S, ""),
    _xlpm.MyAuditVal, _xlfn.XLOOKUP($A516, My_Audit!$A:$A, My_Audit!N:N, ""),
    _xlfn.TEXTJOIN(", ", TRUE, _xlpm.MyAuditVal, _xlpm.MacVal, _xlpm.CSVVal)
)</f>
        <v/>
      </c>
      <c r="N516" s="54" t="str" cm="1">
        <f t="array" ref="N516">IFERROR(_xlfn.LET(
_xlpm.CSVVal,_xlfn.XLOOKUP($A516,CSV!$A:$A,CSV!AF:AF,""),
_xlpm.MacVal,_xlfn.XLOOKUP($A516,Output_Mac!$A:$A,Output_Mac!U:U,""),
_xlpm.MyAuditVal,_xlfn.XLOOKUP($A516,My_Audit!$A:$A,My_Audit!O:O,""),
_xlfn.IFS(_xlpm.MyAuditVal&lt;&gt;"",UPPER(_xlpm.MyAuditVal),_xlpm.MacVal&lt;&gt;"",_xlpm.MacVal,_xlpm.CSVVal&lt;&gt;"",_xlpm.CSVVal
)),"")</f>
        <v/>
      </c>
      <c r="O516" s="54"/>
      <c r="P516" s="54"/>
      <c r="Q516" s="54"/>
      <c r="R516" s="54"/>
      <c r="S516" s="54"/>
      <c r="T516" s="54"/>
      <c r="U516" s="39"/>
    </row>
    <row r="517" spans="1:21">
      <c r="A517" s="54" t="str">
        <f>_xlfn.TEXTJOIN("",TRUE,Input!$B$2,ROW(My_Audit!A516))</f>
        <v>XX516</v>
      </c>
      <c r="B517" s="54" t="str">
        <f>_xlfn.TEXTJOIN("-",TRUE,"ITD",Input!$A$2,A517)</f>
        <v>ITD-SHRXXX-XX516</v>
      </c>
      <c r="C517" s="54" t="str" cm="1">
        <f t="array" ref="C517">IFERROR(_xlfn.LET(
_xlpm.CSVVal,_xlfn.XLOOKUP($A517,CSV!$A:$A,CSV!B:B,""),
_xlpm.MacVal,_xlfn.XLOOKUP($A517,Output_Mac!$A:$A,Output_Mac!B:B,""),
_xlpm.MyAuditVal,_xlfn.XLOOKUP($A517,My_Audit!$A:$A,My_Audit!B:B,""),
_xlfn.IFS(_xlpm.MyAuditVal&lt;&gt;"",UPPER(_xlpm.MyAuditVal),_xlpm.MacVal&lt;&gt;"",_xlpm.MacVal,_xlpm.CSVVal&lt;&gt;"",_xlpm.CSVVal
)),"")</f>
        <v/>
      </c>
      <c r="D517" s="55" t="str">
        <f>_xlfn.XLOOKUP(A517,My_Audit!A:A,My_Audit!D:D,"")&amp;""</f>
        <v/>
      </c>
      <c r="E517" s="55" t="str" cm="1">
        <f t="array" ref="E517">IFERROR(_xlfn.LET(
_xlpm.CSVVal,_xlfn.XLOOKUP($A517,CSV!$A:$A,CSV!D:D,""),
_xlpm.MacVal,_xlfn.XLOOKUP($A517,Output_Mac!$A:$A,Output_Mac!C:C,""),
_xlpm.MyAuditVal,_xlfn.XLOOKUP($A517,My_Audit!$A:$A,My_Audit!D:D,""),
_xlfn.IFS(_xlpm.MyAuditVal&lt;&gt;"",_xlpm.MyAuditVal,_xlpm.MacVal&lt;&gt;"",_xlpm.MacVal,_xlpm.CSVVal&lt;&gt;"",_xlpm.CSVVal
)),"")</f>
        <v/>
      </c>
      <c r="F517" s="54" t="str" cm="1">
        <f t="array" ref="F517">IFERROR(_xlfn.LET(
_xlpm.CSVVal,_xlfn.XLOOKUP($A517,CSV!$A:$A,CSV!E:E,""),
_xlpm.MacVal,_xlfn.XLOOKUP($A517,Output_Mac!$A:$A,Output_Mac!F:F,""),
_xlpm.MyAuditVal,_xlfn.XLOOKUP($A517,My_Audit!$A:$A,My_Audit!E:E,""),
_xlfn.IFS(_xlpm.MyAuditVal&lt;&gt;"",_xlpm.MyAuditVal,_xlpm.MacVal&lt;&gt;"",_xlpm.MacVal,_xlpm.CSVVal&lt;&gt;"",PROPER(_xlpm.CSVVal)
)),"")</f>
        <v/>
      </c>
      <c r="G517" s="54" t="str" cm="1">
        <f t="array" ref="G517">IFERROR(_xlfn.LET(
_xlpm.CSVVal,_xlfn.XLOOKUP($A517,CSV!$A:$A,CSV!F:F,""),
_xlpm.MacVal,_xlfn.XLOOKUP($A517,Output_Mac!$A:$A,Output_Mac!H:H,""),
_xlpm.MyAuditVal,_xlfn.XLOOKUP($A517,My_Audit!$A:$A,My_Audit!F:F,""),
_xlfn.IFS(_xlpm.MyAuditVal&lt;&gt;"",_xlpm.MyAuditVal,_xlpm.MacVal&lt;&gt;"",_xlpm.MacVal,_xlpm.CSVVal&lt;&gt;"",_xlpm.CSVVal
)),"")</f>
        <v/>
      </c>
      <c r="H517" s="54" t="str">
        <f>_xlfn.XLOOKUP(A517,Output_Mac!A:A,Output_Mac!I:I,"")</f>
        <v/>
      </c>
      <c r="I517" s="54" t="str" cm="1">
        <f t="array" ref="I517">IFERROR(_xlfn.LET(
_xlpm.CSVVal,_xlfn.XLOOKUP($A517,CSV!$A:$A,CSV!G:G,""),
_xlpm.MacVal,_xlfn.XLOOKUP($A517,Output_Mac!$A:$A,Output_Mac!J:J,""),
_xlpm.MyAuditVal,_xlfn.XLOOKUP($A517,My_Audit!$A:$A,My_Audit!H:H,""),
_xlfn.IFS(_xlpm.MyAuditVal&lt;&gt;"",UPPER(_xlpm.MyAuditVal),_xlpm.MacVal&lt;&gt;"",_xlpm.MacVal,_xlpm.CSVVal&lt;&gt;"",_xlpm.CSVVal
)),"")</f>
        <v/>
      </c>
      <c r="J517" s="54" t="str" cm="1">
        <f t="array" ref="J517">IFERROR(_xlfn.LET(
_xlpm.CSVVal,_xlfn.XLOOKUP($A517,CSV!$A:$A,CSV!I:I,""),
_xlpm.MacVal,_xlfn.XLOOKUP($A517,Output_Mac!$A:$A,Output_Mac!K:K,""),
_xlpm.MyAuditVal,_xlfn.XLOOKUP($A517,My_Audit!$A:$A,My_Audit!I:I,""),
_xlfn.IFS(_xlpm.MyAuditVal&lt;&gt;"",UPPER(_xlpm.MyAuditVal),_xlpm.MacVal&lt;&gt;"",_xlpm.MacVal,_xlpm.CSVVal&lt;&gt;"",_xlpm.CSVVal
)),"")</f>
        <v/>
      </c>
      <c r="K517" s="54" t="str" cm="1">
        <f t="array" ref="K517">IFERROR(_xlfn.LET(
_xlpm.CSVVal,_xlfn.XLOOKUP($A517,CSV!$A:$A,CSV!M:M,""),
_xlpm.MacVal,_xlfn.XLOOKUP($A517,Output_Mac!$A:$A,Output_Mac!L:L,""),
_xlpm.MyAuditVal,_xlfn.XLOOKUP($A517,My_Audit!$A:$A,My_Audit!J:J,""),
_xlfn.IFS(_xlpm.MyAuditVal&lt;&gt;"",UPPER(_xlpm.MyAuditVal),_xlpm.MacVal&lt;&gt;"",_xlpm.MacVal,_xlpm.CSVVal&lt;&gt;"",_xlpm.CSVVal
)),"")</f>
        <v/>
      </c>
      <c r="L517" s="54" t="str" cm="1">
        <f t="array" ref="L517">IFERROR(_xlfn.LET(
_xlpm.CSVVal,_xlfn.XLOOKUP($A517,CSV!$A:$A,CSV!O:O,""),
_xlpm.MacVal,_xlfn.XLOOKUP($A517,Output_Mac!$A:$A,Output_Mac!M:M,""),
_xlpm.MyAuditVal,_xlfn.XLOOKUP($A517,My_Audit!$A:$A,My_Audit!K:K,""),
_xlfn.IFS(_xlpm.MyAuditVal&lt;&gt;"",UPPER(_xlpm.MyAuditVal),_xlpm.MacVal&lt;&gt;"",_xlpm.MacVal,_xlpm.CSVVal&lt;&gt;"",_xlpm.CSVVal
)),"")</f>
        <v/>
      </c>
      <c r="M517" s="54" t="str">
        <f>_xlfn.LET(
    _xlpm.CSVVal, _xlfn.XLOOKUP($A517, CSV!$A:$A, CSV!AD:AD, ""),
    _xlpm.MacVal, _xlfn.XLOOKUP($A517, Output_Mac!$A:$A, Output_Mac!S:S, ""),
    _xlpm.MyAuditVal, _xlfn.XLOOKUP($A517, My_Audit!$A:$A, My_Audit!N:N, ""),
    _xlfn.TEXTJOIN(", ", TRUE, _xlpm.MyAuditVal, _xlpm.MacVal, _xlpm.CSVVal)
)</f>
        <v/>
      </c>
      <c r="N517" s="54" t="str" cm="1">
        <f t="array" ref="N517">IFERROR(_xlfn.LET(
_xlpm.CSVVal,_xlfn.XLOOKUP($A517,CSV!$A:$A,CSV!AF:AF,""),
_xlpm.MacVal,_xlfn.XLOOKUP($A517,Output_Mac!$A:$A,Output_Mac!U:U,""),
_xlpm.MyAuditVal,_xlfn.XLOOKUP($A517,My_Audit!$A:$A,My_Audit!O:O,""),
_xlfn.IFS(_xlpm.MyAuditVal&lt;&gt;"",UPPER(_xlpm.MyAuditVal),_xlpm.MacVal&lt;&gt;"",_xlpm.MacVal,_xlpm.CSVVal&lt;&gt;"",_xlpm.CSVVal
)),"")</f>
        <v/>
      </c>
      <c r="O517" s="54"/>
      <c r="P517" s="54"/>
      <c r="Q517" s="54"/>
      <c r="R517" s="54"/>
      <c r="S517" s="54"/>
      <c r="T517" s="54"/>
      <c r="U517" s="39"/>
    </row>
    <row r="518" spans="1:21">
      <c r="A518" s="54" t="str">
        <f>_xlfn.TEXTJOIN("",TRUE,Input!$B$2,ROW(My_Audit!A517))</f>
        <v>XX517</v>
      </c>
      <c r="B518" s="54" t="str">
        <f>_xlfn.TEXTJOIN("-",TRUE,"ITD",Input!$A$2,A518)</f>
        <v>ITD-SHRXXX-XX517</v>
      </c>
      <c r="C518" s="54" t="str" cm="1">
        <f t="array" ref="C518">IFERROR(_xlfn.LET(
_xlpm.CSVVal,_xlfn.XLOOKUP($A518,CSV!$A:$A,CSV!B:B,""),
_xlpm.MacVal,_xlfn.XLOOKUP($A518,Output_Mac!$A:$A,Output_Mac!B:B,""),
_xlpm.MyAuditVal,_xlfn.XLOOKUP($A518,My_Audit!$A:$A,My_Audit!B:B,""),
_xlfn.IFS(_xlpm.MyAuditVal&lt;&gt;"",UPPER(_xlpm.MyAuditVal),_xlpm.MacVal&lt;&gt;"",_xlpm.MacVal,_xlpm.CSVVal&lt;&gt;"",_xlpm.CSVVal
)),"")</f>
        <v/>
      </c>
      <c r="D518" s="55" t="str">
        <f>_xlfn.XLOOKUP(A518,My_Audit!A:A,My_Audit!D:D,"")&amp;""</f>
        <v/>
      </c>
      <c r="E518" s="55" t="str" cm="1">
        <f t="array" ref="E518">IFERROR(_xlfn.LET(
_xlpm.CSVVal,_xlfn.XLOOKUP($A518,CSV!$A:$A,CSV!D:D,""),
_xlpm.MacVal,_xlfn.XLOOKUP($A518,Output_Mac!$A:$A,Output_Mac!C:C,""),
_xlpm.MyAuditVal,_xlfn.XLOOKUP($A518,My_Audit!$A:$A,My_Audit!D:D,""),
_xlfn.IFS(_xlpm.MyAuditVal&lt;&gt;"",_xlpm.MyAuditVal,_xlpm.MacVal&lt;&gt;"",_xlpm.MacVal,_xlpm.CSVVal&lt;&gt;"",_xlpm.CSVVal
)),"")</f>
        <v/>
      </c>
      <c r="F518" s="54" t="str" cm="1">
        <f t="array" ref="F518">IFERROR(_xlfn.LET(
_xlpm.CSVVal,_xlfn.XLOOKUP($A518,CSV!$A:$A,CSV!E:E,""),
_xlpm.MacVal,_xlfn.XLOOKUP($A518,Output_Mac!$A:$A,Output_Mac!F:F,""),
_xlpm.MyAuditVal,_xlfn.XLOOKUP($A518,My_Audit!$A:$A,My_Audit!E:E,""),
_xlfn.IFS(_xlpm.MyAuditVal&lt;&gt;"",_xlpm.MyAuditVal,_xlpm.MacVal&lt;&gt;"",_xlpm.MacVal,_xlpm.CSVVal&lt;&gt;"",PROPER(_xlpm.CSVVal)
)),"")</f>
        <v/>
      </c>
      <c r="G518" s="54" t="str" cm="1">
        <f t="array" ref="G518">IFERROR(_xlfn.LET(
_xlpm.CSVVal,_xlfn.XLOOKUP($A518,CSV!$A:$A,CSV!F:F,""),
_xlpm.MacVal,_xlfn.XLOOKUP($A518,Output_Mac!$A:$A,Output_Mac!H:H,""),
_xlpm.MyAuditVal,_xlfn.XLOOKUP($A518,My_Audit!$A:$A,My_Audit!F:F,""),
_xlfn.IFS(_xlpm.MyAuditVal&lt;&gt;"",_xlpm.MyAuditVal,_xlpm.MacVal&lt;&gt;"",_xlpm.MacVal,_xlpm.CSVVal&lt;&gt;"",_xlpm.CSVVal
)),"")</f>
        <v/>
      </c>
      <c r="H518" s="54" t="str">
        <f>_xlfn.XLOOKUP(A518,Output_Mac!A:A,Output_Mac!I:I,"")</f>
        <v/>
      </c>
      <c r="I518" s="54" t="str" cm="1">
        <f t="array" ref="I518">IFERROR(_xlfn.LET(
_xlpm.CSVVal,_xlfn.XLOOKUP($A518,CSV!$A:$A,CSV!G:G,""),
_xlpm.MacVal,_xlfn.XLOOKUP($A518,Output_Mac!$A:$A,Output_Mac!J:J,""),
_xlpm.MyAuditVal,_xlfn.XLOOKUP($A518,My_Audit!$A:$A,My_Audit!H:H,""),
_xlfn.IFS(_xlpm.MyAuditVal&lt;&gt;"",UPPER(_xlpm.MyAuditVal),_xlpm.MacVal&lt;&gt;"",_xlpm.MacVal,_xlpm.CSVVal&lt;&gt;"",_xlpm.CSVVal
)),"")</f>
        <v/>
      </c>
      <c r="J518" s="54" t="str" cm="1">
        <f t="array" ref="J518">IFERROR(_xlfn.LET(
_xlpm.CSVVal,_xlfn.XLOOKUP($A518,CSV!$A:$A,CSV!I:I,""),
_xlpm.MacVal,_xlfn.XLOOKUP($A518,Output_Mac!$A:$A,Output_Mac!K:K,""),
_xlpm.MyAuditVal,_xlfn.XLOOKUP($A518,My_Audit!$A:$A,My_Audit!I:I,""),
_xlfn.IFS(_xlpm.MyAuditVal&lt;&gt;"",UPPER(_xlpm.MyAuditVal),_xlpm.MacVal&lt;&gt;"",_xlpm.MacVal,_xlpm.CSVVal&lt;&gt;"",_xlpm.CSVVal
)),"")</f>
        <v/>
      </c>
      <c r="K518" s="54" t="str" cm="1">
        <f t="array" ref="K518">IFERROR(_xlfn.LET(
_xlpm.CSVVal,_xlfn.XLOOKUP($A518,CSV!$A:$A,CSV!M:M,""),
_xlpm.MacVal,_xlfn.XLOOKUP($A518,Output_Mac!$A:$A,Output_Mac!L:L,""),
_xlpm.MyAuditVal,_xlfn.XLOOKUP($A518,My_Audit!$A:$A,My_Audit!J:J,""),
_xlfn.IFS(_xlpm.MyAuditVal&lt;&gt;"",UPPER(_xlpm.MyAuditVal),_xlpm.MacVal&lt;&gt;"",_xlpm.MacVal,_xlpm.CSVVal&lt;&gt;"",_xlpm.CSVVal
)),"")</f>
        <v/>
      </c>
      <c r="L518" s="54" t="str" cm="1">
        <f t="array" ref="L518">IFERROR(_xlfn.LET(
_xlpm.CSVVal,_xlfn.XLOOKUP($A518,CSV!$A:$A,CSV!O:O,""),
_xlpm.MacVal,_xlfn.XLOOKUP($A518,Output_Mac!$A:$A,Output_Mac!M:M,""),
_xlpm.MyAuditVal,_xlfn.XLOOKUP($A518,My_Audit!$A:$A,My_Audit!K:K,""),
_xlfn.IFS(_xlpm.MyAuditVal&lt;&gt;"",UPPER(_xlpm.MyAuditVal),_xlpm.MacVal&lt;&gt;"",_xlpm.MacVal,_xlpm.CSVVal&lt;&gt;"",_xlpm.CSVVal
)),"")</f>
        <v/>
      </c>
      <c r="M518" s="54" t="str">
        <f>_xlfn.LET(
    _xlpm.CSVVal, _xlfn.XLOOKUP($A518, CSV!$A:$A, CSV!AD:AD, ""),
    _xlpm.MacVal, _xlfn.XLOOKUP($A518, Output_Mac!$A:$A, Output_Mac!S:S, ""),
    _xlpm.MyAuditVal, _xlfn.XLOOKUP($A518, My_Audit!$A:$A, My_Audit!N:N, ""),
    _xlfn.TEXTJOIN(", ", TRUE, _xlpm.MyAuditVal, _xlpm.MacVal, _xlpm.CSVVal)
)</f>
        <v/>
      </c>
      <c r="N518" s="54" t="str" cm="1">
        <f t="array" ref="N518">IFERROR(_xlfn.LET(
_xlpm.CSVVal,_xlfn.XLOOKUP($A518,CSV!$A:$A,CSV!AF:AF,""),
_xlpm.MacVal,_xlfn.XLOOKUP($A518,Output_Mac!$A:$A,Output_Mac!U:U,""),
_xlpm.MyAuditVal,_xlfn.XLOOKUP($A518,My_Audit!$A:$A,My_Audit!O:O,""),
_xlfn.IFS(_xlpm.MyAuditVal&lt;&gt;"",UPPER(_xlpm.MyAuditVal),_xlpm.MacVal&lt;&gt;"",_xlpm.MacVal,_xlpm.CSVVal&lt;&gt;"",_xlpm.CSVVal
)),"")</f>
        <v/>
      </c>
      <c r="O518" s="54"/>
      <c r="P518" s="54"/>
      <c r="Q518" s="54"/>
      <c r="R518" s="54"/>
      <c r="S518" s="54"/>
      <c r="T518" s="54"/>
      <c r="U518" s="39"/>
    </row>
    <row r="519" spans="1:21">
      <c r="A519" s="54" t="str">
        <f>_xlfn.TEXTJOIN("",TRUE,Input!$B$2,ROW(My_Audit!A518))</f>
        <v>XX518</v>
      </c>
      <c r="B519" s="54" t="str">
        <f>_xlfn.TEXTJOIN("-",TRUE,"ITD",Input!$A$2,A519)</f>
        <v>ITD-SHRXXX-XX518</v>
      </c>
      <c r="C519" s="54" t="str" cm="1">
        <f t="array" ref="C519">IFERROR(_xlfn.LET(
_xlpm.CSVVal,_xlfn.XLOOKUP($A519,CSV!$A:$A,CSV!B:B,""),
_xlpm.MacVal,_xlfn.XLOOKUP($A519,Output_Mac!$A:$A,Output_Mac!B:B,""),
_xlpm.MyAuditVal,_xlfn.XLOOKUP($A519,My_Audit!$A:$A,My_Audit!B:B,""),
_xlfn.IFS(_xlpm.MyAuditVal&lt;&gt;"",UPPER(_xlpm.MyAuditVal),_xlpm.MacVal&lt;&gt;"",_xlpm.MacVal,_xlpm.CSVVal&lt;&gt;"",_xlpm.CSVVal
)),"")</f>
        <v/>
      </c>
      <c r="D519" s="55" t="str">
        <f>_xlfn.XLOOKUP(A519,My_Audit!A:A,My_Audit!D:D,"")&amp;""</f>
        <v/>
      </c>
      <c r="E519" s="55" t="str" cm="1">
        <f t="array" ref="E519">IFERROR(_xlfn.LET(
_xlpm.CSVVal,_xlfn.XLOOKUP($A519,CSV!$A:$A,CSV!D:D,""),
_xlpm.MacVal,_xlfn.XLOOKUP($A519,Output_Mac!$A:$A,Output_Mac!C:C,""),
_xlpm.MyAuditVal,_xlfn.XLOOKUP($A519,My_Audit!$A:$A,My_Audit!D:D,""),
_xlfn.IFS(_xlpm.MyAuditVal&lt;&gt;"",_xlpm.MyAuditVal,_xlpm.MacVal&lt;&gt;"",_xlpm.MacVal,_xlpm.CSVVal&lt;&gt;"",_xlpm.CSVVal
)),"")</f>
        <v/>
      </c>
      <c r="F519" s="54" t="str" cm="1">
        <f t="array" ref="F519">IFERROR(_xlfn.LET(
_xlpm.CSVVal,_xlfn.XLOOKUP($A519,CSV!$A:$A,CSV!E:E,""),
_xlpm.MacVal,_xlfn.XLOOKUP($A519,Output_Mac!$A:$A,Output_Mac!F:F,""),
_xlpm.MyAuditVal,_xlfn.XLOOKUP($A519,My_Audit!$A:$A,My_Audit!E:E,""),
_xlfn.IFS(_xlpm.MyAuditVal&lt;&gt;"",_xlpm.MyAuditVal,_xlpm.MacVal&lt;&gt;"",_xlpm.MacVal,_xlpm.CSVVal&lt;&gt;"",PROPER(_xlpm.CSVVal)
)),"")</f>
        <v/>
      </c>
      <c r="G519" s="54" t="str" cm="1">
        <f t="array" ref="G519">IFERROR(_xlfn.LET(
_xlpm.CSVVal,_xlfn.XLOOKUP($A519,CSV!$A:$A,CSV!F:F,""),
_xlpm.MacVal,_xlfn.XLOOKUP($A519,Output_Mac!$A:$A,Output_Mac!H:H,""),
_xlpm.MyAuditVal,_xlfn.XLOOKUP($A519,My_Audit!$A:$A,My_Audit!F:F,""),
_xlfn.IFS(_xlpm.MyAuditVal&lt;&gt;"",_xlpm.MyAuditVal,_xlpm.MacVal&lt;&gt;"",_xlpm.MacVal,_xlpm.CSVVal&lt;&gt;"",_xlpm.CSVVal
)),"")</f>
        <v/>
      </c>
      <c r="H519" s="54" t="str">
        <f>_xlfn.XLOOKUP(A519,Output_Mac!A:A,Output_Mac!I:I,"")</f>
        <v/>
      </c>
      <c r="I519" s="54" t="str" cm="1">
        <f t="array" ref="I519">IFERROR(_xlfn.LET(
_xlpm.CSVVal,_xlfn.XLOOKUP($A519,CSV!$A:$A,CSV!G:G,""),
_xlpm.MacVal,_xlfn.XLOOKUP($A519,Output_Mac!$A:$A,Output_Mac!J:J,""),
_xlpm.MyAuditVal,_xlfn.XLOOKUP($A519,My_Audit!$A:$A,My_Audit!H:H,""),
_xlfn.IFS(_xlpm.MyAuditVal&lt;&gt;"",UPPER(_xlpm.MyAuditVal),_xlpm.MacVal&lt;&gt;"",_xlpm.MacVal,_xlpm.CSVVal&lt;&gt;"",_xlpm.CSVVal
)),"")</f>
        <v/>
      </c>
      <c r="J519" s="54" t="str" cm="1">
        <f t="array" ref="J519">IFERROR(_xlfn.LET(
_xlpm.CSVVal,_xlfn.XLOOKUP($A519,CSV!$A:$A,CSV!I:I,""),
_xlpm.MacVal,_xlfn.XLOOKUP($A519,Output_Mac!$A:$A,Output_Mac!K:K,""),
_xlpm.MyAuditVal,_xlfn.XLOOKUP($A519,My_Audit!$A:$A,My_Audit!I:I,""),
_xlfn.IFS(_xlpm.MyAuditVal&lt;&gt;"",UPPER(_xlpm.MyAuditVal),_xlpm.MacVal&lt;&gt;"",_xlpm.MacVal,_xlpm.CSVVal&lt;&gt;"",_xlpm.CSVVal
)),"")</f>
        <v/>
      </c>
      <c r="K519" s="54" t="str" cm="1">
        <f t="array" ref="K519">IFERROR(_xlfn.LET(
_xlpm.CSVVal,_xlfn.XLOOKUP($A519,CSV!$A:$A,CSV!M:M,""),
_xlpm.MacVal,_xlfn.XLOOKUP($A519,Output_Mac!$A:$A,Output_Mac!L:L,""),
_xlpm.MyAuditVal,_xlfn.XLOOKUP($A519,My_Audit!$A:$A,My_Audit!J:J,""),
_xlfn.IFS(_xlpm.MyAuditVal&lt;&gt;"",UPPER(_xlpm.MyAuditVal),_xlpm.MacVal&lt;&gt;"",_xlpm.MacVal,_xlpm.CSVVal&lt;&gt;"",_xlpm.CSVVal
)),"")</f>
        <v/>
      </c>
      <c r="L519" s="54" t="str" cm="1">
        <f t="array" ref="L519">IFERROR(_xlfn.LET(
_xlpm.CSVVal,_xlfn.XLOOKUP($A519,CSV!$A:$A,CSV!O:O,""),
_xlpm.MacVal,_xlfn.XLOOKUP($A519,Output_Mac!$A:$A,Output_Mac!M:M,""),
_xlpm.MyAuditVal,_xlfn.XLOOKUP($A519,My_Audit!$A:$A,My_Audit!K:K,""),
_xlfn.IFS(_xlpm.MyAuditVal&lt;&gt;"",UPPER(_xlpm.MyAuditVal),_xlpm.MacVal&lt;&gt;"",_xlpm.MacVal,_xlpm.CSVVal&lt;&gt;"",_xlpm.CSVVal
)),"")</f>
        <v/>
      </c>
      <c r="M519" s="54" t="str">
        <f>_xlfn.LET(
    _xlpm.CSVVal, _xlfn.XLOOKUP($A519, CSV!$A:$A, CSV!AD:AD, ""),
    _xlpm.MacVal, _xlfn.XLOOKUP($A519, Output_Mac!$A:$A, Output_Mac!S:S, ""),
    _xlpm.MyAuditVal, _xlfn.XLOOKUP($A519, My_Audit!$A:$A, My_Audit!N:N, ""),
    _xlfn.TEXTJOIN(", ", TRUE, _xlpm.MyAuditVal, _xlpm.MacVal, _xlpm.CSVVal)
)</f>
        <v/>
      </c>
      <c r="N519" s="54" t="str" cm="1">
        <f t="array" ref="N519">IFERROR(_xlfn.LET(
_xlpm.CSVVal,_xlfn.XLOOKUP($A519,CSV!$A:$A,CSV!AF:AF,""),
_xlpm.MacVal,_xlfn.XLOOKUP($A519,Output_Mac!$A:$A,Output_Mac!U:U,""),
_xlpm.MyAuditVal,_xlfn.XLOOKUP($A519,My_Audit!$A:$A,My_Audit!O:O,""),
_xlfn.IFS(_xlpm.MyAuditVal&lt;&gt;"",UPPER(_xlpm.MyAuditVal),_xlpm.MacVal&lt;&gt;"",_xlpm.MacVal,_xlpm.CSVVal&lt;&gt;"",_xlpm.CSVVal
)),"")</f>
        <v/>
      </c>
      <c r="O519" s="54"/>
      <c r="P519" s="54"/>
      <c r="Q519" s="54"/>
      <c r="R519" s="54"/>
      <c r="S519" s="54"/>
      <c r="T519" s="54"/>
      <c r="U519" s="39"/>
    </row>
    <row r="520" spans="1:21">
      <c r="A520" s="54" t="str">
        <f>_xlfn.TEXTJOIN("",TRUE,Input!$B$2,ROW(My_Audit!A519))</f>
        <v>XX519</v>
      </c>
      <c r="B520" s="54" t="str">
        <f>_xlfn.TEXTJOIN("-",TRUE,"ITD",Input!$A$2,A520)</f>
        <v>ITD-SHRXXX-XX519</v>
      </c>
      <c r="C520" s="54" t="str" cm="1">
        <f t="array" ref="C520">IFERROR(_xlfn.LET(
_xlpm.CSVVal,_xlfn.XLOOKUP($A520,CSV!$A:$A,CSV!B:B,""),
_xlpm.MacVal,_xlfn.XLOOKUP($A520,Output_Mac!$A:$A,Output_Mac!B:B,""),
_xlpm.MyAuditVal,_xlfn.XLOOKUP($A520,My_Audit!$A:$A,My_Audit!B:B,""),
_xlfn.IFS(_xlpm.MyAuditVal&lt;&gt;"",UPPER(_xlpm.MyAuditVal),_xlpm.MacVal&lt;&gt;"",_xlpm.MacVal,_xlpm.CSVVal&lt;&gt;"",_xlpm.CSVVal
)),"")</f>
        <v/>
      </c>
      <c r="D520" s="55" t="str">
        <f>_xlfn.XLOOKUP(A520,My_Audit!A:A,My_Audit!D:D,"")&amp;""</f>
        <v/>
      </c>
      <c r="E520" s="55" t="str" cm="1">
        <f t="array" ref="E520">IFERROR(_xlfn.LET(
_xlpm.CSVVal,_xlfn.XLOOKUP($A520,CSV!$A:$A,CSV!D:D,""),
_xlpm.MacVal,_xlfn.XLOOKUP($A520,Output_Mac!$A:$A,Output_Mac!C:C,""),
_xlpm.MyAuditVal,_xlfn.XLOOKUP($A520,My_Audit!$A:$A,My_Audit!D:D,""),
_xlfn.IFS(_xlpm.MyAuditVal&lt;&gt;"",_xlpm.MyAuditVal,_xlpm.MacVal&lt;&gt;"",_xlpm.MacVal,_xlpm.CSVVal&lt;&gt;"",_xlpm.CSVVal
)),"")</f>
        <v/>
      </c>
      <c r="F520" s="54" t="str" cm="1">
        <f t="array" ref="F520">IFERROR(_xlfn.LET(
_xlpm.CSVVal,_xlfn.XLOOKUP($A520,CSV!$A:$A,CSV!E:E,""),
_xlpm.MacVal,_xlfn.XLOOKUP($A520,Output_Mac!$A:$A,Output_Mac!F:F,""),
_xlpm.MyAuditVal,_xlfn.XLOOKUP($A520,My_Audit!$A:$A,My_Audit!E:E,""),
_xlfn.IFS(_xlpm.MyAuditVal&lt;&gt;"",_xlpm.MyAuditVal,_xlpm.MacVal&lt;&gt;"",_xlpm.MacVal,_xlpm.CSVVal&lt;&gt;"",PROPER(_xlpm.CSVVal)
)),"")</f>
        <v/>
      </c>
      <c r="G520" s="54" t="str" cm="1">
        <f t="array" ref="G520">IFERROR(_xlfn.LET(
_xlpm.CSVVal,_xlfn.XLOOKUP($A520,CSV!$A:$A,CSV!F:F,""),
_xlpm.MacVal,_xlfn.XLOOKUP($A520,Output_Mac!$A:$A,Output_Mac!H:H,""),
_xlpm.MyAuditVal,_xlfn.XLOOKUP($A520,My_Audit!$A:$A,My_Audit!F:F,""),
_xlfn.IFS(_xlpm.MyAuditVal&lt;&gt;"",_xlpm.MyAuditVal,_xlpm.MacVal&lt;&gt;"",_xlpm.MacVal,_xlpm.CSVVal&lt;&gt;"",_xlpm.CSVVal
)),"")</f>
        <v/>
      </c>
      <c r="H520" s="54" t="str">
        <f>_xlfn.XLOOKUP(A520,Output_Mac!A:A,Output_Mac!I:I,"")</f>
        <v/>
      </c>
      <c r="I520" s="54" t="str" cm="1">
        <f t="array" ref="I520">IFERROR(_xlfn.LET(
_xlpm.CSVVal,_xlfn.XLOOKUP($A520,CSV!$A:$A,CSV!G:G,""),
_xlpm.MacVal,_xlfn.XLOOKUP($A520,Output_Mac!$A:$A,Output_Mac!J:J,""),
_xlpm.MyAuditVal,_xlfn.XLOOKUP($A520,My_Audit!$A:$A,My_Audit!H:H,""),
_xlfn.IFS(_xlpm.MyAuditVal&lt;&gt;"",UPPER(_xlpm.MyAuditVal),_xlpm.MacVal&lt;&gt;"",_xlpm.MacVal,_xlpm.CSVVal&lt;&gt;"",_xlpm.CSVVal
)),"")</f>
        <v/>
      </c>
      <c r="J520" s="54" t="str" cm="1">
        <f t="array" ref="J520">IFERROR(_xlfn.LET(
_xlpm.CSVVal,_xlfn.XLOOKUP($A520,CSV!$A:$A,CSV!I:I,""),
_xlpm.MacVal,_xlfn.XLOOKUP($A520,Output_Mac!$A:$A,Output_Mac!K:K,""),
_xlpm.MyAuditVal,_xlfn.XLOOKUP($A520,My_Audit!$A:$A,My_Audit!I:I,""),
_xlfn.IFS(_xlpm.MyAuditVal&lt;&gt;"",UPPER(_xlpm.MyAuditVal),_xlpm.MacVal&lt;&gt;"",_xlpm.MacVal,_xlpm.CSVVal&lt;&gt;"",_xlpm.CSVVal
)),"")</f>
        <v/>
      </c>
      <c r="K520" s="54" t="str" cm="1">
        <f t="array" ref="K520">IFERROR(_xlfn.LET(
_xlpm.CSVVal,_xlfn.XLOOKUP($A520,CSV!$A:$A,CSV!M:M,""),
_xlpm.MacVal,_xlfn.XLOOKUP($A520,Output_Mac!$A:$A,Output_Mac!L:L,""),
_xlpm.MyAuditVal,_xlfn.XLOOKUP($A520,My_Audit!$A:$A,My_Audit!J:J,""),
_xlfn.IFS(_xlpm.MyAuditVal&lt;&gt;"",UPPER(_xlpm.MyAuditVal),_xlpm.MacVal&lt;&gt;"",_xlpm.MacVal,_xlpm.CSVVal&lt;&gt;"",_xlpm.CSVVal
)),"")</f>
        <v/>
      </c>
      <c r="L520" s="54" t="str" cm="1">
        <f t="array" ref="L520">IFERROR(_xlfn.LET(
_xlpm.CSVVal,_xlfn.XLOOKUP($A520,CSV!$A:$A,CSV!O:O,""),
_xlpm.MacVal,_xlfn.XLOOKUP($A520,Output_Mac!$A:$A,Output_Mac!M:M,""),
_xlpm.MyAuditVal,_xlfn.XLOOKUP($A520,My_Audit!$A:$A,My_Audit!K:K,""),
_xlfn.IFS(_xlpm.MyAuditVal&lt;&gt;"",UPPER(_xlpm.MyAuditVal),_xlpm.MacVal&lt;&gt;"",_xlpm.MacVal,_xlpm.CSVVal&lt;&gt;"",_xlpm.CSVVal
)),"")</f>
        <v/>
      </c>
      <c r="M520" s="54" t="str">
        <f>_xlfn.LET(
    _xlpm.CSVVal, _xlfn.XLOOKUP($A520, CSV!$A:$A, CSV!AD:AD, ""),
    _xlpm.MacVal, _xlfn.XLOOKUP($A520, Output_Mac!$A:$A, Output_Mac!S:S, ""),
    _xlpm.MyAuditVal, _xlfn.XLOOKUP($A520, My_Audit!$A:$A, My_Audit!N:N, ""),
    _xlfn.TEXTJOIN(", ", TRUE, _xlpm.MyAuditVal, _xlpm.MacVal, _xlpm.CSVVal)
)</f>
        <v/>
      </c>
      <c r="N520" s="54" t="str" cm="1">
        <f t="array" ref="N520">IFERROR(_xlfn.LET(
_xlpm.CSVVal,_xlfn.XLOOKUP($A520,CSV!$A:$A,CSV!AF:AF,""),
_xlpm.MacVal,_xlfn.XLOOKUP($A520,Output_Mac!$A:$A,Output_Mac!U:U,""),
_xlpm.MyAuditVal,_xlfn.XLOOKUP($A520,My_Audit!$A:$A,My_Audit!O:O,""),
_xlfn.IFS(_xlpm.MyAuditVal&lt;&gt;"",UPPER(_xlpm.MyAuditVal),_xlpm.MacVal&lt;&gt;"",_xlpm.MacVal,_xlpm.CSVVal&lt;&gt;"",_xlpm.CSVVal
)),"")</f>
        <v/>
      </c>
      <c r="O520" s="54"/>
      <c r="P520" s="54"/>
      <c r="Q520" s="54"/>
      <c r="R520" s="54"/>
      <c r="S520" s="54"/>
      <c r="T520" s="54"/>
      <c r="U520" s="39"/>
    </row>
    <row r="521" spans="1:21">
      <c r="A521" s="54" t="str">
        <f>_xlfn.TEXTJOIN("",TRUE,Input!$B$2,ROW(My_Audit!A520))</f>
        <v>XX520</v>
      </c>
      <c r="B521" s="54" t="str">
        <f>_xlfn.TEXTJOIN("-",TRUE,"ITD",Input!$A$2,A521)</f>
        <v>ITD-SHRXXX-XX520</v>
      </c>
      <c r="C521" s="54" t="str" cm="1">
        <f t="array" ref="C521">IFERROR(_xlfn.LET(
_xlpm.CSVVal,_xlfn.XLOOKUP($A521,CSV!$A:$A,CSV!B:B,""),
_xlpm.MacVal,_xlfn.XLOOKUP($A521,Output_Mac!$A:$A,Output_Mac!B:B,""),
_xlpm.MyAuditVal,_xlfn.XLOOKUP($A521,My_Audit!$A:$A,My_Audit!B:B,""),
_xlfn.IFS(_xlpm.MyAuditVal&lt;&gt;"",UPPER(_xlpm.MyAuditVal),_xlpm.MacVal&lt;&gt;"",_xlpm.MacVal,_xlpm.CSVVal&lt;&gt;"",_xlpm.CSVVal
)),"")</f>
        <v/>
      </c>
      <c r="D521" s="55" t="str">
        <f>_xlfn.XLOOKUP(A521,My_Audit!A:A,My_Audit!D:D,"")&amp;""</f>
        <v/>
      </c>
      <c r="E521" s="55" t="str" cm="1">
        <f t="array" ref="E521">IFERROR(_xlfn.LET(
_xlpm.CSVVal,_xlfn.XLOOKUP($A521,CSV!$A:$A,CSV!D:D,""),
_xlpm.MacVal,_xlfn.XLOOKUP($A521,Output_Mac!$A:$A,Output_Mac!C:C,""),
_xlpm.MyAuditVal,_xlfn.XLOOKUP($A521,My_Audit!$A:$A,My_Audit!D:D,""),
_xlfn.IFS(_xlpm.MyAuditVal&lt;&gt;"",_xlpm.MyAuditVal,_xlpm.MacVal&lt;&gt;"",_xlpm.MacVal,_xlpm.CSVVal&lt;&gt;"",_xlpm.CSVVal
)),"")</f>
        <v/>
      </c>
      <c r="F521" s="54" t="str" cm="1">
        <f t="array" ref="F521">IFERROR(_xlfn.LET(
_xlpm.CSVVal,_xlfn.XLOOKUP($A521,CSV!$A:$A,CSV!E:E,""),
_xlpm.MacVal,_xlfn.XLOOKUP($A521,Output_Mac!$A:$A,Output_Mac!F:F,""),
_xlpm.MyAuditVal,_xlfn.XLOOKUP($A521,My_Audit!$A:$A,My_Audit!E:E,""),
_xlfn.IFS(_xlpm.MyAuditVal&lt;&gt;"",_xlpm.MyAuditVal,_xlpm.MacVal&lt;&gt;"",_xlpm.MacVal,_xlpm.CSVVal&lt;&gt;"",PROPER(_xlpm.CSVVal)
)),"")</f>
        <v/>
      </c>
      <c r="G521" s="54" t="str" cm="1">
        <f t="array" ref="G521">IFERROR(_xlfn.LET(
_xlpm.CSVVal,_xlfn.XLOOKUP($A521,CSV!$A:$A,CSV!F:F,""),
_xlpm.MacVal,_xlfn.XLOOKUP($A521,Output_Mac!$A:$A,Output_Mac!H:H,""),
_xlpm.MyAuditVal,_xlfn.XLOOKUP($A521,My_Audit!$A:$A,My_Audit!F:F,""),
_xlfn.IFS(_xlpm.MyAuditVal&lt;&gt;"",_xlpm.MyAuditVal,_xlpm.MacVal&lt;&gt;"",_xlpm.MacVal,_xlpm.CSVVal&lt;&gt;"",_xlpm.CSVVal
)),"")</f>
        <v/>
      </c>
      <c r="H521" s="54" t="str">
        <f>_xlfn.XLOOKUP(A521,Output_Mac!A:A,Output_Mac!I:I,"")</f>
        <v/>
      </c>
      <c r="I521" s="54" t="str" cm="1">
        <f t="array" ref="I521">IFERROR(_xlfn.LET(
_xlpm.CSVVal,_xlfn.XLOOKUP($A521,CSV!$A:$A,CSV!G:G,""),
_xlpm.MacVal,_xlfn.XLOOKUP($A521,Output_Mac!$A:$A,Output_Mac!J:J,""),
_xlpm.MyAuditVal,_xlfn.XLOOKUP($A521,My_Audit!$A:$A,My_Audit!H:H,""),
_xlfn.IFS(_xlpm.MyAuditVal&lt;&gt;"",UPPER(_xlpm.MyAuditVal),_xlpm.MacVal&lt;&gt;"",_xlpm.MacVal,_xlpm.CSVVal&lt;&gt;"",_xlpm.CSVVal
)),"")</f>
        <v/>
      </c>
      <c r="J521" s="54" t="str" cm="1">
        <f t="array" ref="J521">IFERROR(_xlfn.LET(
_xlpm.CSVVal,_xlfn.XLOOKUP($A521,CSV!$A:$A,CSV!I:I,""),
_xlpm.MacVal,_xlfn.XLOOKUP($A521,Output_Mac!$A:$A,Output_Mac!K:K,""),
_xlpm.MyAuditVal,_xlfn.XLOOKUP($A521,My_Audit!$A:$A,My_Audit!I:I,""),
_xlfn.IFS(_xlpm.MyAuditVal&lt;&gt;"",UPPER(_xlpm.MyAuditVal),_xlpm.MacVal&lt;&gt;"",_xlpm.MacVal,_xlpm.CSVVal&lt;&gt;"",_xlpm.CSVVal
)),"")</f>
        <v/>
      </c>
      <c r="K521" s="54" t="str" cm="1">
        <f t="array" ref="K521">IFERROR(_xlfn.LET(
_xlpm.CSVVal,_xlfn.XLOOKUP($A521,CSV!$A:$A,CSV!M:M,""),
_xlpm.MacVal,_xlfn.XLOOKUP($A521,Output_Mac!$A:$A,Output_Mac!L:L,""),
_xlpm.MyAuditVal,_xlfn.XLOOKUP($A521,My_Audit!$A:$A,My_Audit!J:J,""),
_xlfn.IFS(_xlpm.MyAuditVal&lt;&gt;"",UPPER(_xlpm.MyAuditVal),_xlpm.MacVal&lt;&gt;"",_xlpm.MacVal,_xlpm.CSVVal&lt;&gt;"",_xlpm.CSVVal
)),"")</f>
        <v/>
      </c>
      <c r="L521" s="54" t="str" cm="1">
        <f t="array" ref="L521">IFERROR(_xlfn.LET(
_xlpm.CSVVal,_xlfn.XLOOKUP($A521,CSV!$A:$A,CSV!O:O,""),
_xlpm.MacVal,_xlfn.XLOOKUP($A521,Output_Mac!$A:$A,Output_Mac!M:M,""),
_xlpm.MyAuditVal,_xlfn.XLOOKUP($A521,My_Audit!$A:$A,My_Audit!K:K,""),
_xlfn.IFS(_xlpm.MyAuditVal&lt;&gt;"",UPPER(_xlpm.MyAuditVal),_xlpm.MacVal&lt;&gt;"",_xlpm.MacVal,_xlpm.CSVVal&lt;&gt;"",_xlpm.CSVVal
)),"")</f>
        <v/>
      </c>
      <c r="M521" s="54" t="str">
        <f>_xlfn.LET(
    _xlpm.CSVVal, _xlfn.XLOOKUP($A521, CSV!$A:$A, CSV!AD:AD, ""),
    _xlpm.MacVal, _xlfn.XLOOKUP($A521, Output_Mac!$A:$A, Output_Mac!S:S, ""),
    _xlpm.MyAuditVal, _xlfn.XLOOKUP($A521, My_Audit!$A:$A, My_Audit!N:N, ""),
    _xlfn.TEXTJOIN(", ", TRUE, _xlpm.MyAuditVal, _xlpm.MacVal, _xlpm.CSVVal)
)</f>
        <v/>
      </c>
      <c r="N521" s="54" t="str" cm="1">
        <f t="array" ref="N521">IFERROR(_xlfn.LET(
_xlpm.CSVVal,_xlfn.XLOOKUP($A521,CSV!$A:$A,CSV!AF:AF,""),
_xlpm.MacVal,_xlfn.XLOOKUP($A521,Output_Mac!$A:$A,Output_Mac!U:U,""),
_xlpm.MyAuditVal,_xlfn.XLOOKUP($A521,My_Audit!$A:$A,My_Audit!O:O,""),
_xlfn.IFS(_xlpm.MyAuditVal&lt;&gt;"",UPPER(_xlpm.MyAuditVal),_xlpm.MacVal&lt;&gt;"",_xlpm.MacVal,_xlpm.CSVVal&lt;&gt;"",_xlpm.CSVVal
)),"")</f>
        <v/>
      </c>
      <c r="O521" s="54"/>
      <c r="P521" s="54"/>
      <c r="Q521" s="54"/>
      <c r="R521" s="54"/>
      <c r="S521" s="54"/>
      <c r="T521" s="54"/>
      <c r="U521" s="39"/>
    </row>
    <row r="522" spans="1:21">
      <c r="A522" s="54" t="str">
        <f>_xlfn.TEXTJOIN("",TRUE,Input!$B$2,ROW(My_Audit!A521))</f>
        <v>XX521</v>
      </c>
      <c r="B522" s="54" t="str">
        <f>_xlfn.TEXTJOIN("-",TRUE,"ITD",Input!$A$2,A522)</f>
        <v>ITD-SHRXXX-XX521</v>
      </c>
      <c r="C522" s="54" t="str" cm="1">
        <f t="array" ref="C522">IFERROR(_xlfn.LET(
_xlpm.CSVVal,_xlfn.XLOOKUP($A522,CSV!$A:$A,CSV!B:B,""),
_xlpm.MacVal,_xlfn.XLOOKUP($A522,Output_Mac!$A:$A,Output_Mac!B:B,""),
_xlpm.MyAuditVal,_xlfn.XLOOKUP($A522,My_Audit!$A:$A,My_Audit!B:B,""),
_xlfn.IFS(_xlpm.MyAuditVal&lt;&gt;"",UPPER(_xlpm.MyAuditVal),_xlpm.MacVal&lt;&gt;"",_xlpm.MacVal,_xlpm.CSVVal&lt;&gt;"",_xlpm.CSVVal
)),"")</f>
        <v/>
      </c>
      <c r="D522" s="55" t="str">
        <f>_xlfn.XLOOKUP(A522,My_Audit!A:A,My_Audit!D:D,"")&amp;""</f>
        <v/>
      </c>
      <c r="E522" s="55" t="str" cm="1">
        <f t="array" ref="E522">IFERROR(_xlfn.LET(
_xlpm.CSVVal,_xlfn.XLOOKUP($A522,CSV!$A:$A,CSV!D:D,""),
_xlpm.MacVal,_xlfn.XLOOKUP($A522,Output_Mac!$A:$A,Output_Mac!C:C,""),
_xlpm.MyAuditVal,_xlfn.XLOOKUP($A522,My_Audit!$A:$A,My_Audit!D:D,""),
_xlfn.IFS(_xlpm.MyAuditVal&lt;&gt;"",_xlpm.MyAuditVal,_xlpm.MacVal&lt;&gt;"",_xlpm.MacVal,_xlpm.CSVVal&lt;&gt;"",_xlpm.CSVVal
)),"")</f>
        <v/>
      </c>
      <c r="F522" s="54" t="str" cm="1">
        <f t="array" ref="F522">IFERROR(_xlfn.LET(
_xlpm.CSVVal,_xlfn.XLOOKUP($A522,CSV!$A:$A,CSV!E:E,""),
_xlpm.MacVal,_xlfn.XLOOKUP($A522,Output_Mac!$A:$A,Output_Mac!F:F,""),
_xlpm.MyAuditVal,_xlfn.XLOOKUP($A522,My_Audit!$A:$A,My_Audit!E:E,""),
_xlfn.IFS(_xlpm.MyAuditVal&lt;&gt;"",_xlpm.MyAuditVal,_xlpm.MacVal&lt;&gt;"",_xlpm.MacVal,_xlpm.CSVVal&lt;&gt;"",PROPER(_xlpm.CSVVal)
)),"")</f>
        <v/>
      </c>
      <c r="G522" s="54" t="str" cm="1">
        <f t="array" ref="G522">IFERROR(_xlfn.LET(
_xlpm.CSVVal,_xlfn.XLOOKUP($A522,CSV!$A:$A,CSV!F:F,""),
_xlpm.MacVal,_xlfn.XLOOKUP($A522,Output_Mac!$A:$A,Output_Mac!H:H,""),
_xlpm.MyAuditVal,_xlfn.XLOOKUP($A522,My_Audit!$A:$A,My_Audit!F:F,""),
_xlfn.IFS(_xlpm.MyAuditVal&lt;&gt;"",_xlpm.MyAuditVal,_xlpm.MacVal&lt;&gt;"",_xlpm.MacVal,_xlpm.CSVVal&lt;&gt;"",_xlpm.CSVVal
)),"")</f>
        <v/>
      </c>
      <c r="H522" s="54" t="str">
        <f>_xlfn.XLOOKUP(A522,Output_Mac!A:A,Output_Mac!I:I,"")</f>
        <v/>
      </c>
      <c r="I522" s="54" t="str" cm="1">
        <f t="array" ref="I522">IFERROR(_xlfn.LET(
_xlpm.CSVVal,_xlfn.XLOOKUP($A522,CSV!$A:$A,CSV!G:G,""),
_xlpm.MacVal,_xlfn.XLOOKUP($A522,Output_Mac!$A:$A,Output_Mac!J:J,""),
_xlpm.MyAuditVal,_xlfn.XLOOKUP($A522,My_Audit!$A:$A,My_Audit!H:H,""),
_xlfn.IFS(_xlpm.MyAuditVal&lt;&gt;"",UPPER(_xlpm.MyAuditVal),_xlpm.MacVal&lt;&gt;"",_xlpm.MacVal,_xlpm.CSVVal&lt;&gt;"",_xlpm.CSVVal
)),"")</f>
        <v/>
      </c>
      <c r="J522" s="54" t="str" cm="1">
        <f t="array" ref="J522">IFERROR(_xlfn.LET(
_xlpm.CSVVal,_xlfn.XLOOKUP($A522,CSV!$A:$A,CSV!I:I,""),
_xlpm.MacVal,_xlfn.XLOOKUP($A522,Output_Mac!$A:$A,Output_Mac!K:K,""),
_xlpm.MyAuditVal,_xlfn.XLOOKUP($A522,My_Audit!$A:$A,My_Audit!I:I,""),
_xlfn.IFS(_xlpm.MyAuditVal&lt;&gt;"",UPPER(_xlpm.MyAuditVal),_xlpm.MacVal&lt;&gt;"",_xlpm.MacVal,_xlpm.CSVVal&lt;&gt;"",_xlpm.CSVVal
)),"")</f>
        <v/>
      </c>
      <c r="K522" s="54" t="str" cm="1">
        <f t="array" ref="K522">IFERROR(_xlfn.LET(
_xlpm.CSVVal,_xlfn.XLOOKUP($A522,CSV!$A:$A,CSV!M:M,""),
_xlpm.MacVal,_xlfn.XLOOKUP($A522,Output_Mac!$A:$A,Output_Mac!L:L,""),
_xlpm.MyAuditVal,_xlfn.XLOOKUP($A522,My_Audit!$A:$A,My_Audit!J:J,""),
_xlfn.IFS(_xlpm.MyAuditVal&lt;&gt;"",UPPER(_xlpm.MyAuditVal),_xlpm.MacVal&lt;&gt;"",_xlpm.MacVal,_xlpm.CSVVal&lt;&gt;"",_xlpm.CSVVal
)),"")</f>
        <v/>
      </c>
      <c r="L522" s="54" t="str" cm="1">
        <f t="array" ref="L522">IFERROR(_xlfn.LET(
_xlpm.CSVVal,_xlfn.XLOOKUP($A522,CSV!$A:$A,CSV!O:O,""),
_xlpm.MacVal,_xlfn.XLOOKUP($A522,Output_Mac!$A:$A,Output_Mac!M:M,""),
_xlpm.MyAuditVal,_xlfn.XLOOKUP($A522,My_Audit!$A:$A,My_Audit!K:K,""),
_xlfn.IFS(_xlpm.MyAuditVal&lt;&gt;"",UPPER(_xlpm.MyAuditVal),_xlpm.MacVal&lt;&gt;"",_xlpm.MacVal,_xlpm.CSVVal&lt;&gt;"",_xlpm.CSVVal
)),"")</f>
        <v/>
      </c>
      <c r="M522" s="54" t="str">
        <f>_xlfn.LET(
    _xlpm.CSVVal, _xlfn.XLOOKUP($A522, CSV!$A:$A, CSV!AD:AD, ""),
    _xlpm.MacVal, _xlfn.XLOOKUP($A522, Output_Mac!$A:$A, Output_Mac!S:S, ""),
    _xlpm.MyAuditVal, _xlfn.XLOOKUP($A522, My_Audit!$A:$A, My_Audit!N:N, ""),
    _xlfn.TEXTJOIN(", ", TRUE, _xlpm.MyAuditVal, _xlpm.MacVal, _xlpm.CSVVal)
)</f>
        <v/>
      </c>
      <c r="N522" s="54" t="str" cm="1">
        <f t="array" ref="N522">IFERROR(_xlfn.LET(
_xlpm.CSVVal,_xlfn.XLOOKUP($A522,CSV!$A:$A,CSV!AF:AF,""),
_xlpm.MacVal,_xlfn.XLOOKUP($A522,Output_Mac!$A:$A,Output_Mac!U:U,""),
_xlpm.MyAuditVal,_xlfn.XLOOKUP($A522,My_Audit!$A:$A,My_Audit!O:O,""),
_xlfn.IFS(_xlpm.MyAuditVal&lt;&gt;"",UPPER(_xlpm.MyAuditVal),_xlpm.MacVal&lt;&gt;"",_xlpm.MacVal,_xlpm.CSVVal&lt;&gt;"",_xlpm.CSVVal
)),"")</f>
        <v/>
      </c>
      <c r="O522" s="54"/>
      <c r="P522" s="54"/>
      <c r="Q522" s="54"/>
      <c r="R522" s="54"/>
      <c r="S522" s="54"/>
      <c r="T522" s="54"/>
      <c r="U522" s="39"/>
    </row>
    <row r="523" spans="1:21">
      <c r="A523" s="54" t="str">
        <f>_xlfn.TEXTJOIN("",TRUE,Input!$B$2,ROW(My_Audit!A522))</f>
        <v>XX522</v>
      </c>
      <c r="B523" s="54" t="str">
        <f>_xlfn.TEXTJOIN("-",TRUE,"ITD",Input!$A$2,A523)</f>
        <v>ITD-SHRXXX-XX522</v>
      </c>
      <c r="C523" s="54" t="str" cm="1">
        <f t="array" ref="C523">IFERROR(_xlfn.LET(
_xlpm.CSVVal,_xlfn.XLOOKUP($A523,CSV!$A:$A,CSV!B:B,""),
_xlpm.MacVal,_xlfn.XLOOKUP($A523,Output_Mac!$A:$A,Output_Mac!B:B,""),
_xlpm.MyAuditVal,_xlfn.XLOOKUP($A523,My_Audit!$A:$A,My_Audit!B:B,""),
_xlfn.IFS(_xlpm.MyAuditVal&lt;&gt;"",UPPER(_xlpm.MyAuditVal),_xlpm.MacVal&lt;&gt;"",_xlpm.MacVal,_xlpm.CSVVal&lt;&gt;"",_xlpm.CSVVal
)),"")</f>
        <v/>
      </c>
      <c r="D523" s="55" t="str">
        <f>_xlfn.XLOOKUP(A523,My_Audit!A:A,My_Audit!D:D,"")&amp;""</f>
        <v/>
      </c>
      <c r="E523" s="55" t="str" cm="1">
        <f t="array" ref="E523">IFERROR(_xlfn.LET(
_xlpm.CSVVal,_xlfn.XLOOKUP($A523,CSV!$A:$A,CSV!D:D,""),
_xlpm.MacVal,_xlfn.XLOOKUP($A523,Output_Mac!$A:$A,Output_Mac!C:C,""),
_xlpm.MyAuditVal,_xlfn.XLOOKUP($A523,My_Audit!$A:$A,My_Audit!D:D,""),
_xlfn.IFS(_xlpm.MyAuditVal&lt;&gt;"",_xlpm.MyAuditVal,_xlpm.MacVal&lt;&gt;"",_xlpm.MacVal,_xlpm.CSVVal&lt;&gt;"",_xlpm.CSVVal
)),"")</f>
        <v/>
      </c>
      <c r="F523" s="54" t="str" cm="1">
        <f t="array" ref="F523">IFERROR(_xlfn.LET(
_xlpm.CSVVal,_xlfn.XLOOKUP($A523,CSV!$A:$A,CSV!E:E,""),
_xlpm.MacVal,_xlfn.XLOOKUP($A523,Output_Mac!$A:$A,Output_Mac!F:F,""),
_xlpm.MyAuditVal,_xlfn.XLOOKUP($A523,My_Audit!$A:$A,My_Audit!E:E,""),
_xlfn.IFS(_xlpm.MyAuditVal&lt;&gt;"",_xlpm.MyAuditVal,_xlpm.MacVal&lt;&gt;"",_xlpm.MacVal,_xlpm.CSVVal&lt;&gt;"",PROPER(_xlpm.CSVVal)
)),"")</f>
        <v/>
      </c>
      <c r="G523" s="54" t="str" cm="1">
        <f t="array" ref="G523">IFERROR(_xlfn.LET(
_xlpm.CSVVal,_xlfn.XLOOKUP($A523,CSV!$A:$A,CSV!F:F,""),
_xlpm.MacVal,_xlfn.XLOOKUP($A523,Output_Mac!$A:$A,Output_Mac!H:H,""),
_xlpm.MyAuditVal,_xlfn.XLOOKUP($A523,My_Audit!$A:$A,My_Audit!F:F,""),
_xlfn.IFS(_xlpm.MyAuditVal&lt;&gt;"",_xlpm.MyAuditVal,_xlpm.MacVal&lt;&gt;"",_xlpm.MacVal,_xlpm.CSVVal&lt;&gt;"",_xlpm.CSVVal
)),"")</f>
        <v/>
      </c>
      <c r="H523" s="54" t="str">
        <f>_xlfn.XLOOKUP(A523,Output_Mac!A:A,Output_Mac!I:I,"")</f>
        <v/>
      </c>
      <c r="I523" s="54" t="str" cm="1">
        <f t="array" ref="I523">IFERROR(_xlfn.LET(
_xlpm.CSVVal,_xlfn.XLOOKUP($A523,CSV!$A:$A,CSV!G:G,""),
_xlpm.MacVal,_xlfn.XLOOKUP($A523,Output_Mac!$A:$A,Output_Mac!J:J,""),
_xlpm.MyAuditVal,_xlfn.XLOOKUP($A523,My_Audit!$A:$A,My_Audit!H:H,""),
_xlfn.IFS(_xlpm.MyAuditVal&lt;&gt;"",UPPER(_xlpm.MyAuditVal),_xlpm.MacVal&lt;&gt;"",_xlpm.MacVal,_xlpm.CSVVal&lt;&gt;"",_xlpm.CSVVal
)),"")</f>
        <v/>
      </c>
      <c r="J523" s="54" t="str" cm="1">
        <f t="array" ref="J523">IFERROR(_xlfn.LET(
_xlpm.CSVVal,_xlfn.XLOOKUP($A523,CSV!$A:$A,CSV!I:I,""),
_xlpm.MacVal,_xlfn.XLOOKUP($A523,Output_Mac!$A:$A,Output_Mac!K:K,""),
_xlpm.MyAuditVal,_xlfn.XLOOKUP($A523,My_Audit!$A:$A,My_Audit!I:I,""),
_xlfn.IFS(_xlpm.MyAuditVal&lt;&gt;"",UPPER(_xlpm.MyAuditVal),_xlpm.MacVal&lt;&gt;"",_xlpm.MacVal,_xlpm.CSVVal&lt;&gt;"",_xlpm.CSVVal
)),"")</f>
        <v/>
      </c>
      <c r="K523" s="54" t="str" cm="1">
        <f t="array" ref="K523">IFERROR(_xlfn.LET(
_xlpm.CSVVal,_xlfn.XLOOKUP($A523,CSV!$A:$A,CSV!M:M,""),
_xlpm.MacVal,_xlfn.XLOOKUP($A523,Output_Mac!$A:$A,Output_Mac!L:L,""),
_xlpm.MyAuditVal,_xlfn.XLOOKUP($A523,My_Audit!$A:$A,My_Audit!J:J,""),
_xlfn.IFS(_xlpm.MyAuditVal&lt;&gt;"",UPPER(_xlpm.MyAuditVal),_xlpm.MacVal&lt;&gt;"",_xlpm.MacVal,_xlpm.CSVVal&lt;&gt;"",_xlpm.CSVVal
)),"")</f>
        <v/>
      </c>
      <c r="L523" s="54" t="str" cm="1">
        <f t="array" ref="L523">IFERROR(_xlfn.LET(
_xlpm.CSVVal,_xlfn.XLOOKUP($A523,CSV!$A:$A,CSV!O:O,""),
_xlpm.MacVal,_xlfn.XLOOKUP($A523,Output_Mac!$A:$A,Output_Mac!M:M,""),
_xlpm.MyAuditVal,_xlfn.XLOOKUP($A523,My_Audit!$A:$A,My_Audit!K:K,""),
_xlfn.IFS(_xlpm.MyAuditVal&lt;&gt;"",UPPER(_xlpm.MyAuditVal),_xlpm.MacVal&lt;&gt;"",_xlpm.MacVal,_xlpm.CSVVal&lt;&gt;"",_xlpm.CSVVal
)),"")</f>
        <v/>
      </c>
      <c r="M523" s="54" t="str">
        <f>_xlfn.LET(
    _xlpm.CSVVal, _xlfn.XLOOKUP($A523, CSV!$A:$A, CSV!AD:AD, ""),
    _xlpm.MacVal, _xlfn.XLOOKUP($A523, Output_Mac!$A:$A, Output_Mac!S:S, ""),
    _xlpm.MyAuditVal, _xlfn.XLOOKUP($A523, My_Audit!$A:$A, My_Audit!N:N, ""),
    _xlfn.TEXTJOIN(", ", TRUE, _xlpm.MyAuditVal, _xlpm.MacVal, _xlpm.CSVVal)
)</f>
        <v/>
      </c>
      <c r="N523" s="54" t="str" cm="1">
        <f t="array" ref="N523">IFERROR(_xlfn.LET(
_xlpm.CSVVal,_xlfn.XLOOKUP($A523,CSV!$A:$A,CSV!AF:AF,""),
_xlpm.MacVal,_xlfn.XLOOKUP($A523,Output_Mac!$A:$A,Output_Mac!U:U,""),
_xlpm.MyAuditVal,_xlfn.XLOOKUP($A523,My_Audit!$A:$A,My_Audit!O:O,""),
_xlfn.IFS(_xlpm.MyAuditVal&lt;&gt;"",UPPER(_xlpm.MyAuditVal),_xlpm.MacVal&lt;&gt;"",_xlpm.MacVal,_xlpm.CSVVal&lt;&gt;"",_xlpm.CSVVal
)),"")</f>
        <v/>
      </c>
      <c r="O523" s="54"/>
      <c r="P523" s="54"/>
      <c r="Q523" s="54"/>
      <c r="R523" s="54"/>
      <c r="S523" s="54"/>
      <c r="T523" s="54"/>
      <c r="U523" s="39"/>
    </row>
    <row r="524" spans="1:21">
      <c r="A524" s="54" t="str">
        <f>_xlfn.TEXTJOIN("",TRUE,Input!$B$2,ROW(My_Audit!A523))</f>
        <v>XX523</v>
      </c>
      <c r="B524" s="54" t="str">
        <f>_xlfn.TEXTJOIN("-",TRUE,"ITD",Input!$A$2,A524)</f>
        <v>ITD-SHRXXX-XX523</v>
      </c>
      <c r="C524" s="54" t="str" cm="1">
        <f t="array" ref="C524">IFERROR(_xlfn.LET(
_xlpm.CSVVal,_xlfn.XLOOKUP($A524,CSV!$A:$A,CSV!B:B,""),
_xlpm.MacVal,_xlfn.XLOOKUP($A524,Output_Mac!$A:$A,Output_Mac!B:B,""),
_xlpm.MyAuditVal,_xlfn.XLOOKUP($A524,My_Audit!$A:$A,My_Audit!B:B,""),
_xlfn.IFS(_xlpm.MyAuditVal&lt;&gt;"",UPPER(_xlpm.MyAuditVal),_xlpm.MacVal&lt;&gt;"",_xlpm.MacVal,_xlpm.CSVVal&lt;&gt;"",_xlpm.CSVVal
)),"")</f>
        <v/>
      </c>
      <c r="D524" s="55" t="str">
        <f>_xlfn.XLOOKUP(A524,My_Audit!A:A,My_Audit!D:D,"")&amp;""</f>
        <v/>
      </c>
      <c r="E524" s="55" t="str" cm="1">
        <f t="array" ref="E524">IFERROR(_xlfn.LET(
_xlpm.CSVVal,_xlfn.XLOOKUP($A524,CSV!$A:$A,CSV!D:D,""),
_xlpm.MacVal,_xlfn.XLOOKUP($A524,Output_Mac!$A:$A,Output_Mac!C:C,""),
_xlpm.MyAuditVal,_xlfn.XLOOKUP($A524,My_Audit!$A:$A,My_Audit!D:D,""),
_xlfn.IFS(_xlpm.MyAuditVal&lt;&gt;"",_xlpm.MyAuditVal,_xlpm.MacVal&lt;&gt;"",_xlpm.MacVal,_xlpm.CSVVal&lt;&gt;"",_xlpm.CSVVal
)),"")</f>
        <v/>
      </c>
      <c r="F524" s="54" t="str" cm="1">
        <f t="array" ref="F524">IFERROR(_xlfn.LET(
_xlpm.CSVVal,_xlfn.XLOOKUP($A524,CSV!$A:$A,CSV!E:E,""),
_xlpm.MacVal,_xlfn.XLOOKUP($A524,Output_Mac!$A:$A,Output_Mac!F:F,""),
_xlpm.MyAuditVal,_xlfn.XLOOKUP($A524,My_Audit!$A:$A,My_Audit!E:E,""),
_xlfn.IFS(_xlpm.MyAuditVal&lt;&gt;"",_xlpm.MyAuditVal,_xlpm.MacVal&lt;&gt;"",_xlpm.MacVal,_xlpm.CSVVal&lt;&gt;"",PROPER(_xlpm.CSVVal)
)),"")</f>
        <v/>
      </c>
      <c r="G524" s="54" t="str" cm="1">
        <f t="array" ref="G524">IFERROR(_xlfn.LET(
_xlpm.CSVVal,_xlfn.XLOOKUP($A524,CSV!$A:$A,CSV!F:F,""),
_xlpm.MacVal,_xlfn.XLOOKUP($A524,Output_Mac!$A:$A,Output_Mac!H:H,""),
_xlpm.MyAuditVal,_xlfn.XLOOKUP($A524,My_Audit!$A:$A,My_Audit!F:F,""),
_xlfn.IFS(_xlpm.MyAuditVal&lt;&gt;"",_xlpm.MyAuditVal,_xlpm.MacVal&lt;&gt;"",_xlpm.MacVal,_xlpm.CSVVal&lt;&gt;"",_xlpm.CSVVal
)),"")</f>
        <v/>
      </c>
      <c r="H524" s="54" t="str">
        <f>_xlfn.XLOOKUP(A524,Output_Mac!A:A,Output_Mac!I:I,"")</f>
        <v/>
      </c>
      <c r="I524" s="54" t="str" cm="1">
        <f t="array" ref="I524">IFERROR(_xlfn.LET(
_xlpm.CSVVal,_xlfn.XLOOKUP($A524,CSV!$A:$A,CSV!G:G,""),
_xlpm.MacVal,_xlfn.XLOOKUP($A524,Output_Mac!$A:$A,Output_Mac!J:J,""),
_xlpm.MyAuditVal,_xlfn.XLOOKUP($A524,My_Audit!$A:$A,My_Audit!H:H,""),
_xlfn.IFS(_xlpm.MyAuditVal&lt;&gt;"",UPPER(_xlpm.MyAuditVal),_xlpm.MacVal&lt;&gt;"",_xlpm.MacVal,_xlpm.CSVVal&lt;&gt;"",_xlpm.CSVVal
)),"")</f>
        <v/>
      </c>
      <c r="J524" s="54" t="str" cm="1">
        <f t="array" ref="J524">IFERROR(_xlfn.LET(
_xlpm.CSVVal,_xlfn.XLOOKUP($A524,CSV!$A:$A,CSV!I:I,""),
_xlpm.MacVal,_xlfn.XLOOKUP($A524,Output_Mac!$A:$A,Output_Mac!K:K,""),
_xlpm.MyAuditVal,_xlfn.XLOOKUP($A524,My_Audit!$A:$A,My_Audit!I:I,""),
_xlfn.IFS(_xlpm.MyAuditVal&lt;&gt;"",UPPER(_xlpm.MyAuditVal),_xlpm.MacVal&lt;&gt;"",_xlpm.MacVal,_xlpm.CSVVal&lt;&gt;"",_xlpm.CSVVal
)),"")</f>
        <v/>
      </c>
      <c r="K524" s="54" t="str" cm="1">
        <f t="array" ref="K524">IFERROR(_xlfn.LET(
_xlpm.CSVVal,_xlfn.XLOOKUP($A524,CSV!$A:$A,CSV!M:M,""),
_xlpm.MacVal,_xlfn.XLOOKUP($A524,Output_Mac!$A:$A,Output_Mac!L:L,""),
_xlpm.MyAuditVal,_xlfn.XLOOKUP($A524,My_Audit!$A:$A,My_Audit!J:J,""),
_xlfn.IFS(_xlpm.MyAuditVal&lt;&gt;"",UPPER(_xlpm.MyAuditVal),_xlpm.MacVal&lt;&gt;"",_xlpm.MacVal,_xlpm.CSVVal&lt;&gt;"",_xlpm.CSVVal
)),"")</f>
        <v/>
      </c>
      <c r="L524" s="54" t="str" cm="1">
        <f t="array" ref="L524">IFERROR(_xlfn.LET(
_xlpm.CSVVal,_xlfn.XLOOKUP($A524,CSV!$A:$A,CSV!O:O,""),
_xlpm.MacVal,_xlfn.XLOOKUP($A524,Output_Mac!$A:$A,Output_Mac!M:M,""),
_xlpm.MyAuditVal,_xlfn.XLOOKUP($A524,My_Audit!$A:$A,My_Audit!K:K,""),
_xlfn.IFS(_xlpm.MyAuditVal&lt;&gt;"",UPPER(_xlpm.MyAuditVal),_xlpm.MacVal&lt;&gt;"",_xlpm.MacVal,_xlpm.CSVVal&lt;&gt;"",_xlpm.CSVVal
)),"")</f>
        <v/>
      </c>
      <c r="M524" s="54" t="str">
        <f>_xlfn.LET(
    _xlpm.CSVVal, _xlfn.XLOOKUP($A524, CSV!$A:$A, CSV!AD:AD, ""),
    _xlpm.MacVal, _xlfn.XLOOKUP($A524, Output_Mac!$A:$A, Output_Mac!S:S, ""),
    _xlpm.MyAuditVal, _xlfn.XLOOKUP($A524, My_Audit!$A:$A, My_Audit!N:N, ""),
    _xlfn.TEXTJOIN(", ", TRUE, _xlpm.MyAuditVal, _xlpm.MacVal, _xlpm.CSVVal)
)</f>
        <v/>
      </c>
      <c r="N524" s="54" t="str" cm="1">
        <f t="array" ref="N524">IFERROR(_xlfn.LET(
_xlpm.CSVVal,_xlfn.XLOOKUP($A524,CSV!$A:$A,CSV!AF:AF,""),
_xlpm.MacVal,_xlfn.XLOOKUP($A524,Output_Mac!$A:$A,Output_Mac!U:U,""),
_xlpm.MyAuditVal,_xlfn.XLOOKUP($A524,My_Audit!$A:$A,My_Audit!O:O,""),
_xlfn.IFS(_xlpm.MyAuditVal&lt;&gt;"",UPPER(_xlpm.MyAuditVal),_xlpm.MacVal&lt;&gt;"",_xlpm.MacVal,_xlpm.CSVVal&lt;&gt;"",_xlpm.CSVVal
)),"")</f>
        <v/>
      </c>
      <c r="O524" s="54"/>
      <c r="P524" s="54"/>
      <c r="Q524" s="54"/>
      <c r="R524" s="54"/>
      <c r="S524" s="54"/>
      <c r="T524" s="54"/>
      <c r="U524" s="39"/>
    </row>
    <row r="525" spans="1:21">
      <c r="A525" s="54" t="str">
        <f>_xlfn.TEXTJOIN("",TRUE,Input!$B$2,ROW(My_Audit!A524))</f>
        <v>XX524</v>
      </c>
      <c r="B525" s="54" t="str">
        <f>_xlfn.TEXTJOIN("-",TRUE,"ITD",Input!$A$2,A525)</f>
        <v>ITD-SHRXXX-XX524</v>
      </c>
      <c r="C525" s="54" t="str" cm="1">
        <f t="array" ref="C525">IFERROR(_xlfn.LET(
_xlpm.CSVVal,_xlfn.XLOOKUP($A525,CSV!$A:$A,CSV!B:B,""),
_xlpm.MacVal,_xlfn.XLOOKUP($A525,Output_Mac!$A:$A,Output_Mac!B:B,""),
_xlpm.MyAuditVal,_xlfn.XLOOKUP($A525,My_Audit!$A:$A,My_Audit!B:B,""),
_xlfn.IFS(_xlpm.MyAuditVal&lt;&gt;"",UPPER(_xlpm.MyAuditVal),_xlpm.MacVal&lt;&gt;"",_xlpm.MacVal,_xlpm.CSVVal&lt;&gt;"",_xlpm.CSVVal
)),"")</f>
        <v/>
      </c>
      <c r="D525" s="55" t="str">
        <f>_xlfn.XLOOKUP(A525,My_Audit!A:A,My_Audit!D:D,"")&amp;""</f>
        <v/>
      </c>
      <c r="E525" s="55" t="str" cm="1">
        <f t="array" ref="E525">IFERROR(_xlfn.LET(
_xlpm.CSVVal,_xlfn.XLOOKUP($A525,CSV!$A:$A,CSV!D:D,""),
_xlpm.MacVal,_xlfn.XLOOKUP($A525,Output_Mac!$A:$A,Output_Mac!C:C,""),
_xlpm.MyAuditVal,_xlfn.XLOOKUP($A525,My_Audit!$A:$A,My_Audit!D:D,""),
_xlfn.IFS(_xlpm.MyAuditVal&lt;&gt;"",_xlpm.MyAuditVal,_xlpm.MacVal&lt;&gt;"",_xlpm.MacVal,_xlpm.CSVVal&lt;&gt;"",_xlpm.CSVVal
)),"")</f>
        <v/>
      </c>
      <c r="F525" s="54" t="str" cm="1">
        <f t="array" ref="F525">IFERROR(_xlfn.LET(
_xlpm.CSVVal,_xlfn.XLOOKUP($A525,CSV!$A:$A,CSV!E:E,""),
_xlpm.MacVal,_xlfn.XLOOKUP($A525,Output_Mac!$A:$A,Output_Mac!F:F,""),
_xlpm.MyAuditVal,_xlfn.XLOOKUP($A525,My_Audit!$A:$A,My_Audit!E:E,""),
_xlfn.IFS(_xlpm.MyAuditVal&lt;&gt;"",_xlpm.MyAuditVal,_xlpm.MacVal&lt;&gt;"",_xlpm.MacVal,_xlpm.CSVVal&lt;&gt;"",PROPER(_xlpm.CSVVal)
)),"")</f>
        <v/>
      </c>
      <c r="G525" s="54" t="str" cm="1">
        <f t="array" ref="G525">IFERROR(_xlfn.LET(
_xlpm.CSVVal,_xlfn.XLOOKUP($A525,CSV!$A:$A,CSV!F:F,""),
_xlpm.MacVal,_xlfn.XLOOKUP($A525,Output_Mac!$A:$A,Output_Mac!H:H,""),
_xlpm.MyAuditVal,_xlfn.XLOOKUP($A525,My_Audit!$A:$A,My_Audit!F:F,""),
_xlfn.IFS(_xlpm.MyAuditVal&lt;&gt;"",_xlpm.MyAuditVal,_xlpm.MacVal&lt;&gt;"",_xlpm.MacVal,_xlpm.CSVVal&lt;&gt;"",_xlpm.CSVVal
)),"")</f>
        <v/>
      </c>
      <c r="H525" s="54" t="str">
        <f>_xlfn.XLOOKUP(A525,Output_Mac!A:A,Output_Mac!I:I,"")</f>
        <v/>
      </c>
      <c r="I525" s="54" t="str" cm="1">
        <f t="array" ref="I525">IFERROR(_xlfn.LET(
_xlpm.CSVVal,_xlfn.XLOOKUP($A525,CSV!$A:$A,CSV!G:G,""),
_xlpm.MacVal,_xlfn.XLOOKUP($A525,Output_Mac!$A:$A,Output_Mac!J:J,""),
_xlpm.MyAuditVal,_xlfn.XLOOKUP($A525,My_Audit!$A:$A,My_Audit!H:H,""),
_xlfn.IFS(_xlpm.MyAuditVal&lt;&gt;"",UPPER(_xlpm.MyAuditVal),_xlpm.MacVal&lt;&gt;"",_xlpm.MacVal,_xlpm.CSVVal&lt;&gt;"",_xlpm.CSVVal
)),"")</f>
        <v/>
      </c>
      <c r="J525" s="54" t="str" cm="1">
        <f t="array" ref="J525">IFERROR(_xlfn.LET(
_xlpm.CSVVal,_xlfn.XLOOKUP($A525,CSV!$A:$A,CSV!I:I,""),
_xlpm.MacVal,_xlfn.XLOOKUP($A525,Output_Mac!$A:$A,Output_Mac!K:K,""),
_xlpm.MyAuditVal,_xlfn.XLOOKUP($A525,My_Audit!$A:$A,My_Audit!I:I,""),
_xlfn.IFS(_xlpm.MyAuditVal&lt;&gt;"",UPPER(_xlpm.MyAuditVal),_xlpm.MacVal&lt;&gt;"",_xlpm.MacVal,_xlpm.CSVVal&lt;&gt;"",_xlpm.CSVVal
)),"")</f>
        <v/>
      </c>
      <c r="K525" s="54" t="str" cm="1">
        <f t="array" ref="K525">IFERROR(_xlfn.LET(
_xlpm.CSVVal,_xlfn.XLOOKUP($A525,CSV!$A:$A,CSV!M:M,""),
_xlpm.MacVal,_xlfn.XLOOKUP($A525,Output_Mac!$A:$A,Output_Mac!L:L,""),
_xlpm.MyAuditVal,_xlfn.XLOOKUP($A525,My_Audit!$A:$A,My_Audit!J:J,""),
_xlfn.IFS(_xlpm.MyAuditVal&lt;&gt;"",UPPER(_xlpm.MyAuditVal),_xlpm.MacVal&lt;&gt;"",_xlpm.MacVal,_xlpm.CSVVal&lt;&gt;"",_xlpm.CSVVal
)),"")</f>
        <v/>
      </c>
      <c r="L525" s="54" t="str" cm="1">
        <f t="array" ref="L525">IFERROR(_xlfn.LET(
_xlpm.CSVVal,_xlfn.XLOOKUP($A525,CSV!$A:$A,CSV!O:O,""),
_xlpm.MacVal,_xlfn.XLOOKUP($A525,Output_Mac!$A:$A,Output_Mac!M:M,""),
_xlpm.MyAuditVal,_xlfn.XLOOKUP($A525,My_Audit!$A:$A,My_Audit!K:K,""),
_xlfn.IFS(_xlpm.MyAuditVal&lt;&gt;"",UPPER(_xlpm.MyAuditVal),_xlpm.MacVal&lt;&gt;"",_xlpm.MacVal,_xlpm.CSVVal&lt;&gt;"",_xlpm.CSVVal
)),"")</f>
        <v/>
      </c>
      <c r="M525" s="54" t="str">
        <f>_xlfn.LET(
    _xlpm.CSVVal, _xlfn.XLOOKUP($A525, CSV!$A:$A, CSV!AD:AD, ""),
    _xlpm.MacVal, _xlfn.XLOOKUP($A525, Output_Mac!$A:$A, Output_Mac!S:S, ""),
    _xlpm.MyAuditVal, _xlfn.XLOOKUP($A525, My_Audit!$A:$A, My_Audit!N:N, ""),
    _xlfn.TEXTJOIN(", ", TRUE, _xlpm.MyAuditVal, _xlpm.MacVal, _xlpm.CSVVal)
)</f>
        <v/>
      </c>
      <c r="N525" s="54" t="str" cm="1">
        <f t="array" ref="N525">IFERROR(_xlfn.LET(
_xlpm.CSVVal,_xlfn.XLOOKUP($A525,CSV!$A:$A,CSV!AF:AF,""),
_xlpm.MacVal,_xlfn.XLOOKUP($A525,Output_Mac!$A:$A,Output_Mac!U:U,""),
_xlpm.MyAuditVal,_xlfn.XLOOKUP($A525,My_Audit!$A:$A,My_Audit!O:O,""),
_xlfn.IFS(_xlpm.MyAuditVal&lt;&gt;"",UPPER(_xlpm.MyAuditVal),_xlpm.MacVal&lt;&gt;"",_xlpm.MacVal,_xlpm.CSVVal&lt;&gt;"",_xlpm.CSVVal
)),"")</f>
        <v/>
      </c>
      <c r="O525" s="54"/>
      <c r="P525" s="54"/>
      <c r="Q525" s="54"/>
      <c r="R525" s="54"/>
      <c r="S525" s="54"/>
      <c r="T525" s="54"/>
      <c r="U525" s="39"/>
    </row>
    <row r="526" spans="1:21">
      <c r="A526" s="54" t="str">
        <f>_xlfn.TEXTJOIN("",TRUE,Input!$B$2,ROW(My_Audit!A525))</f>
        <v>XX525</v>
      </c>
      <c r="B526" s="54" t="str">
        <f>_xlfn.TEXTJOIN("-",TRUE,"ITD",Input!$A$2,A526)</f>
        <v>ITD-SHRXXX-XX525</v>
      </c>
      <c r="C526" s="54" t="str" cm="1">
        <f t="array" ref="C526">IFERROR(_xlfn.LET(
_xlpm.CSVVal,_xlfn.XLOOKUP($A526,CSV!$A:$A,CSV!B:B,""),
_xlpm.MacVal,_xlfn.XLOOKUP($A526,Output_Mac!$A:$A,Output_Mac!B:B,""),
_xlpm.MyAuditVal,_xlfn.XLOOKUP($A526,My_Audit!$A:$A,My_Audit!B:B,""),
_xlfn.IFS(_xlpm.MyAuditVal&lt;&gt;"",UPPER(_xlpm.MyAuditVal),_xlpm.MacVal&lt;&gt;"",_xlpm.MacVal,_xlpm.CSVVal&lt;&gt;"",_xlpm.CSVVal
)),"")</f>
        <v/>
      </c>
      <c r="D526" s="55" t="str">
        <f>_xlfn.XLOOKUP(A526,My_Audit!A:A,My_Audit!D:D,"")&amp;""</f>
        <v/>
      </c>
      <c r="E526" s="55" t="str" cm="1">
        <f t="array" ref="E526">IFERROR(_xlfn.LET(
_xlpm.CSVVal,_xlfn.XLOOKUP($A526,CSV!$A:$A,CSV!D:D,""),
_xlpm.MacVal,_xlfn.XLOOKUP($A526,Output_Mac!$A:$A,Output_Mac!C:C,""),
_xlpm.MyAuditVal,_xlfn.XLOOKUP($A526,My_Audit!$A:$A,My_Audit!D:D,""),
_xlfn.IFS(_xlpm.MyAuditVal&lt;&gt;"",_xlpm.MyAuditVal,_xlpm.MacVal&lt;&gt;"",_xlpm.MacVal,_xlpm.CSVVal&lt;&gt;"",_xlpm.CSVVal
)),"")</f>
        <v/>
      </c>
      <c r="F526" s="54" t="str" cm="1">
        <f t="array" ref="F526">IFERROR(_xlfn.LET(
_xlpm.CSVVal,_xlfn.XLOOKUP($A526,CSV!$A:$A,CSV!E:E,""),
_xlpm.MacVal,_xlfn.XLOOKUP($A526,Output_Mac!$A:$A,Output_Mac!F:F,""),
_xlpm.MyAuditVal,_xlfn.XLOOKUP($A526,My_Audit!$A:$A,My_Audit!E:E,""),
_xlfn.IFS(_xlpm.MyAuditVal&lt;&gt;"",_xlpm.MyAuditVal,_xlpm.MacVal&lt;&gt;"",_xlpm.MacVal,_xlpm.CSVVal&lt;&gt;"",PROPER(_xlpm.CSVVal)
)),"")</f>
        <v/>
      </c>
      <c r="G526" s="54" t="str" cm="1">
        <f t="array" ref="G526">IFERROR(_xlfn.LET(
_xlpm.CSVVal,_xlfn.XLOOKUP($A526,CSV!$A:$A,CSV!F:F,""),
_xlpm.MacVal,_xlfn.XLOOKUP($A526,Output_Mac!$A:$A,Output_Mac!H:H,""),
_xlpm.MyAuditVal,_xlfn.XLOOKUP($A526,My_Audit!$A:$A,My_Audit!F:F,""),
_xlfn.IFS(_xlpm.MyAuditVal&lt;&gt;"",_xlpm.MyAuditVal,_xlpm.MacVal&lt;&gt;"",_xlpm.MacVal,_xlpm.CSVVal&lt;&gt;"",_xlpm.CSVVal
)),"")</f>
        <v/>
      </c>
      <c r="H526" s="54" t="str">
        <f>_xlfn.XLOOKUP(A526,Output_Mac!A:A,Output_Mac!I:I,"")</f>
        <v/>
      </c>
      <c r="I526" s="54" t="str" cm="1">
        <f t="array" ref="I526">IFERROR(_xlfn.LET(
_xlpm.CSVVal,_xlfn.XLOOKUP($A526,CSV!$A:$A,CSV!G:G,""),
_xlpm.MacVal,_xlfn.XLOOKUP($A526,Output_Mac!$A:$A,Output_Mac!J:J,""),
_xlpm.MyAuditVal,_xlfn.XLOOKUP($A526,My_Audit!$A:$A,My_Audit!H:H,""),
_xlfn.IFS(_xlpm.MyAuditVal&lt;&gt;"",UPPER(_xlpm.MyAuditVal),_xlpm.MacVal&lt;&gt;"",_xlpm.MacVal,_xlpm.CSVVal&lt;&gt;"",_xlpm.CSVVal
)),"")</f>
        <v/>
      </c>
      <c r="J526" s="54" t="str" cm="1">
        <f t="array" ref="J526">IFERROR(_xlfn.LET(
_xlpm.CSVVal,_xlfn.XLOOKUP($A526,CSV!$A:$A,CSV!I:I,""),
_xlpm.MacVal,_xlfn.XLOOKUP($A526,Output_Mac!$A:$A,Output_Mac!K:K,""),
_xlpm.MyAuditVal,_xlfn.XLOOKUP($A526,My_Audit!$A:$A,My_Audit!I:I,""),
_xlfn.IFS(_xlpm.MyAuditVal&lt;&gt;"",UPPER(_xlpm.MyAuditVal),_xlpm.MacVal&lt;&gt;"",_xlpm.MacVal,_xlpm.CSVVal&lt;&gt;"",_xlpm.CSVVal
)),"")</f>
        <v/>
      </c>
      <c r="K526" s="54" t="str" cm="1">
        <f t="array" ref="K526">IFERROR(_xlfn.LET(
_xlpm.CSVVal,_xlfn.XLOOKUP($A526,CSV!$A:$A,CSV!M:M,""),
_xlpm.MacVal,_xlfn.XLOOKUP($A526,Output_Mac!$A:$A,Output_Mac!L:L,""),
_xlpm.MyAuditVal,_xlfn.XLOOKUP($A526,My_Audit!$A:$A,My_Audit!J:J,""),
_xlfn.IFS(_xlpm.MyAuditVal&lt;&gt;"",UPPER(_xlpm.MyAuditVal),_xlpm.MacVal&lt;&gt;"",_xlpm.MacVal,_xlpm.CSVVal&lt;&gt;"",_xlpm.CSVVal
)),"")</f>
        <v/>
      </c>
      <c r="L526" s="54" t="str" cm="1">
        <f t="array" ref="L526">IFERROR(_xlfn.LET(
_xlpm.CSVVal,_xlfn.XLOOKUP($A526,CSV!$A:$A,CSV!O:O,""),
_xlpm.MacVal,_xlfn.XLOOKUP($A526,Output_Mac!$A:$A,Output_Mac!M:M,""),
_xlpm.MyAuditVal,_xlfn.XLOOKUP($A526,My_Audit!$A:$A,My_Audit!K:K,""),
_xlfn.IFS(_xlpm.MyAuditVal&lt;&gt;"",UPPER(_xlpm.MyAuditVal),_xlpm.MacVal&lt;&gt;"",_xlpm.MacVal,_xlpm.CSVVal&lt;&gt;"",_xlpm.CSVVal
)),"")</f>
        <v/>
      </c>
      <c r="M526" s="54" t="str">
        <f>_xlfn.LET(
    _xlpm.CSVVal, _xlfn.XLOOKUP($A526, CSV!$A:$A, CSV!AD:AD, ""),
    _xlpm.MacVal, _xlfn.XLOOKUP($A526, Output_Mac!$A:$A, Output_Mac!S:S, ""),
    _xlpm.MyAuditVal, _xlfn.XLOOKUP($A526, My_Audit!$A:$A, My_Audit!N:N, ""),
    _xlfn.TEXTJOIN(", ", TRUE, _xlpm.MyAuditVal, _xlpm.MacVal, _xlpm.CSVVal)
)</f>
        <v/>
      </c>
      <c r="N526" s="54" t="str" cm="1">
        <f t="array" ref="N526">IFERROR(_xlfn.LET(
_xlpm.CSVVal,_xlfn.XLOOKUP($A526,CSV!$A:$A,CSV!AF:AF,""),
_xlpm.MacVal,_xlfn.XLOOKUP($A526,Output_Mac!$A:$A,Output_Mac!U:U,""),
_xlpm.MyAuditVal,_xlfn.XLOOKUP($A526,My_Audit!$A:$A,My_Audit!O:O,""),
_xlfn.IFS(_xlpm.MyAuditVal&lt;&gt;"",UPPER(_xlpm.MyAuditVal),_xlpm.MacVal&lt;&gt;"",_xlpm.MacVal,_xlpm.CSVVal&lt;&gt;"",_xlpm.CSVVal
)),"")</f>
        <v/>
      </c>
      <c r="O526" s="54"/>
      <c r="P526" s="54"/>
      <c r="Q526" s="54"/>
      <c r="R526" s="54"/>
      <c r="S526" s="54"/>
      <c r="T526" s="54"/>
      <c r="U526" s="39"/>
    </row>
    <row r="527" spans="1:21">
      <c r="A527" s="54" t="str">
        <f>_xlfn.TEXTJOIN("",TRUE,Input!$B$2,ROW(My_Audit!A526))</f>
        <v>XX526</v>
      </c>
      <c r="B527" s="54" t="str">
        <f>_xlfn.TEXTJOIN("-",TRUE,"ITD",Input!$A$2,A527)</f>
        <v>ITD-SHRXXX-XX526</v>
      </c>
      <c r="C527" s="54" t="str" cm="1">
        <f t="array" ref="C527">IFERROR(_xlfn.LET(
_xlpm.CSVVal,_xlfn.XLOOKUP($A527,CSV!$A:$A,CSV!B:B,""),
_xlpm.MacVal,_xlfn.XLOOKUP($A527,Output_Mac!$A:$A,Output_Mac!B:B,""),
_xlpm.MyAuditVal,_xlfn.XLOOKUP($A527,My_Audit!$A:$A,My_Audit!B:B,""),
_xlfn.IFS(_xlpm.MyAuditVal&lt;&gt;"",UPPER(_xlpm.MyAuditVal),_xlpm.MacVal&lt;&gt;"",_xlpm.MacVal,_xlpm.CSVVal&lt;&gt;"",_xlpm.CSVVal
)),"")</f>
        <v/>
      </c>
      <c r="D527" s="55" t="str">
        <f>_xlfn.XLOOKUP(A527,My_Audit!A:A,My_Audit!D:D,"")&amp;""</f>
        <v/>
      </c>
      <c r="E527" s="55" t="str" cm="1">
        <f t="array" ref="E527">IFERROR(_xlfn.LET(
_xlpm.CSVVal,_xlfn.XLOOKUP($A527,CSV!$A:$A,CSV!D:D,""),
_xlpm.MacVal,_xlfn.XLOOKUP($A527,Output_Mac!$A:$A,Output_Mac!C:C,""),
_xlpm.MyAuditVal,_xlfn.XLOOKUP($A527,My_Audit!$A:$A,My_Audit!D:D,""),
_xlfn.IFS(_xlpm.MyAuditVal&lt;&gt;"",_xlpm.MyAuditVal,_xlpm.MacVal&lt;&gt;"",_xlpm.MacVal,_xlpm.CSVVal&lt;&gt;"",_xlpm.CSVVal
)),"")</f>
        <v/>
      </c>
      <c r="F527" s="54" t="str" cm="1">
        <f t="array" ref="F527">IFERROR(_xlfn.LET(
_xlpm.CSVVal,_xlfn.XLOOKUP($A527,CSV!$A:$A,CSV!E:E,""),
_xlpm.MacVal,_xlfn.XLOOKUP($A527,Output_Mac!$A:$A,Output_Mac!F:F,""),
_xlpm.MyAuditVal,_xlfn.XLOOKUP($A527,My_Audit!$A:$A,My_Audit!E:E,""),
_xlfn.IFS(_xlpm.MyAuditVal&lt;&gt;"",_xlpm.MyAuditVal,_xlpm.MacVal&lt;&gt;"",_xlpm.MacVal,_xlpm.CSVVal&lt;&gt;"",PROPER(_xlpm.CSVVal)
)),"")</f>
        <v/>
      </c>
      <c r="G527" s="54" t="str" cm="1">
        <f t="array" ref="G527">IFERROR(_xlfn.LET(
_xlpm.CSVVal,_xlfn.XLOOKUP($A527,CSV!$A:$A,CSV!F:F,""),
_xlpm.MacVal,_xlfn.XLOOKUP($A527,Output_Mac!$A:$A,Output_Mac!H:H,""),
_xlpm.MyAuditVal,_xlfn.XLOOKUP($A527,My_Audit!$A:$A,My_Audit!F:F,""),
_xlfn.IFS(_xlpm.MyAuditVal&lt;&gt;"",_xlpm.MyAuditVal,_xlpm.MacVal&lt;&gt;"",_xlpm.MacVal,_xlpm.CSVVal&lt;&gt;"",_xlpm.CSVVal
)),"")</f>
        <v/>
      </c>
      <c r="H527" s="54" t="str">
        <f>_xlfn.XLOOKUP(A527,Output_Mac!A:A,Output_Mac!I:I,"")</f>
        <v/>
      </c>
      <c r="I527" s="54" t="str" cm="1">
        <f t="array" ref="I527">IFERROR(_xlfn.LET(
_xlpm.CSVVal,_xlfn.XLOOKUP($A527,CSV!$A:$A,CSV!G:G,""),
_xlpm.MacVal,_xlfn.XLOOKUP($A527,Output_Mac!$A:$A,Output_Mac!J:J,""),
_xlpm.MyAuditVal,_xlfn.XLOOKUP($A527,My_Audit!$A:$A,My_Audit!H:H,""),
_xlfn.IFS(_xlpm.MyAuditVal&lt;&gt;"",UPPER(_xlpm.MyAuditVal),_xlpm.MacVal&lt;&gt;"",_xlpm.MacVal,_xlpm.CSVVal&lt;&gt;"",_xlpm.CSVVal
)),"")</f>
        <v/>
      </c>
      <c r="J527" s="54" t="str" cm="1">
        <f t="array" ref="J527">IFERROR(_xlfn.LET(
_xlpm.CSVVal,_xlfn.XLOOKUP($A527,CSV!$A:$A,CSV!I:I,""),
_xlpm.MacVal,_xlfn.XLOOKUP($A527,Output_Mac!$A:$A,Output_Mac!K:K,""),
_xlpm.MyAuditVal,_xlfn.XLOOKUP($A527,My_Audit!$A:$A,My_Audit!I:I,""),
_xlfn.IFS(_xlpm.MyAuditVal&lt;&gt;"",UPPER(_xlpm.MyAuditVal),_xlpm.MacVal&lt;&gt;"",_xlpm.MacVal,_xlpm.CSVVal&lt;&gt;"",_xlpm.CSVVal
)),"")</f>
        <v/>
      </c>
      <c r="K527" s="54" t="str" cm="1">
        <f t="array" ref="K527">IFERROR(_xlfn.LET(
_xlpm.CSVVal,_xlfn.XLOOKUP($A527,CSV!$A:$A,CSV!M:M,""),
_xlpm.MacVal,_xlfn.XLOOKUP($A527,Output_Mac!$A:$A,Output_Mac!L:L,""),
_xlpm.MyAuditVal,_xlfn.XLOOKUP($A527,My_Audit!$A:$A,My_Audit!J:J,""),
_xlfn.IFS(_xlpm.MyAuditVal&lt;&gt;"",UPPER(_xlpm.MyAuditVal),_xlpm.MacVal&lt;&gt;"",_xlpm.MacVal,_xlpm.CSVVal&lt;&gt;"",_xlpm.CSVVal
)),"")</f>
        <v/>
      </c>
      <c r="L527" s="54" t="str" cm="1">
        <f t="array" ref="L527">IFERROR(_xlfn.LET(
_xlpm.CSVVal,_xlfn.XLOOKUP($A527,CSV!$A:$A,CSV!O:O,""),
_xlpm.MacVal,_xlfn.XLOOKUP($A527,Output_Mac!$A:$A,Output_Mac!M:M,""),
_xlpm.MyAuditVal,_xlfn.XLOOKUP($A527,My_Audit!$A:$A,My_Audit!K:K,""),
_xlfn.IFS(_xlpm.MyAuditVal&lt;&gt;"",UPPER(_xlpm.MyAuditVal),_xlpm.MacVal&lt;&gt;"",_xlpm.MacVal,_xlpm.CSVVal&lt;&gt;"",_xlpm.CSVVal
)),"")</f>
        <v/>
      </c>
      <c r="M527" s="54" t="str">
        <f>_xlfn.LET(
    _xlpm.CSVVal, _xlfn.XLOOKUP($A527, CSV!$A:$A, CSV!AD:AD, ""),
    _xlpm.MacVal, _xlfn.XLOOKUP($A527, Output_Mac!$A:$A, Output_Mac!S:S, ""),
    _xlpm.MyAuditVal, _xlfn.XLOOKUP($A527, My_Audit!$A:$A, My_Audit!N:N, ""),
    _xlfn.TEXTJOIN(", ", TRUE, _xlpm.MyAuditVal, _xlpm.MacVal, _xlpm.CSVVal)
)</f>
        <v/>
      </c>
      <c r="N527" s="54" t="str" cm="1">
        <f t="array" ref="N527">IFERROR(_xlfn.LET(
_xlpm.CSVVal,_xlfn.XLOOKUP($A527,CSV!$A:$A,CSV!AF:AF,""),
_xlpm.MacVal,_xlfn.XLOOKUP($A527,Output_Mac!$A:$A,Output_Mac!U:U,""),
_xlpm.MyAuditVal,_xlfn.XLOOKUP($A527,My_Audit!$A:$A,My_Audit!O:O,""),
_xlfn.IFS(_xlpm.MyAuditVal&lt;&gt;"",UPPER(_xlpm.MyAuditVal),_xlpm.MacVal&lt;&gt;"",_xlpm.MacVal,_xlpm.CSVVal&lt;&gt;"",_xlpm.CSVVal
)),"")</f>
        <v/>
      </c>
      <c r="O527" s="54"/>
      <c r="P527" s="54"/>
      <c r="Q527" s="54"/>
      <c r="R527" s="54"/>
      <c r="S527" s="54"/>
      <c r="T527" s="54"/>
      <c r="U527" s="39"/>
    </row>
    <row r="528" spans="1:21">
      <c r="A528" s="54" t="str">
        <f>_xlfn.TEXTJOIN("",TRUE,Input!$B$2,ROW(My_Audit!A527))</f>
        <v>XX527</v>
      </c>
      <c r="B528" s="54" t="str">
        <f>_xlfn.TEXTJOIN("-",TRUE,"ITD",Input!$A$2,A528)</f>
        <v>ITD-SHRXXX-XX527</v>
      </c>
      <c r="C528" s="54" t="str" cm="1">
        <f t="array" ref="C528">IFERROR(_xlfn.LET(
_xlpm.CSVVal,_xlfn.XLOOKUP($A528,CSV!$A:$A,CSV!B:B,""),
_xlpm.MacVal,_xlfn.XLOOKUP($A528,Output_Mac!$A:$A,Output_Mac!B:B,""),
_xlpm.MyAuditVal,_xlfn.XLOOKUP($A528,My_Audit!$A:$A,My_Audit!B:B,""),
_xlfn.IFS(_xlpm.MyAuditVal&lt;&gt;"",UPPER(_xlpm.MyAuditVal),_xlpm.MacVal&lt;&gt;"",_xlpm.MacVal,_xlpm.CSVVal&lt;&gt;"",_xlpm.CSVVal
)),"")</f>
        <v/>
      </c>
      <c r="D528" s="55" t="str">
        <f>_xlfn.XLOOKUP(A528,My_Audit!A:A,My_Audit!D:D,"")&amp;""</f>
        <v/>
      </c>
      <c r="E528" s="55" t="str" cm="1">
        <f t="array" ref="E528">IFERROR(_xlfn.LET(
_xlpm.CSVVal,_xlfn.XLOOKUP($A528,CSV!$A:$A,CSV!D:D,""),
_xlpm.MacVal,_xlfn.XLOOKUP($A528,Output_Mac!$A:$A,Output_Mac!C:C,""),
_xlpm.MyAuditVal,_xlfn.XLOOKUP($A528,My_Audit!$A:$A,My_Audit!D:D,""),
_xlfn.IFS(_xlpm.MyAuditVal&lt;&gt;"",_xlpm.MyAuditVal,_xlpm.MacVal&lt;&gt;"",_xlpm.MacVal,_xlpm.CSVVal&lt;&gt;"",_xlpm.CSVVal
)),"")</f>
        <v/>
      </c>
      <c r="F528" s="54" t="str" cm="1">
        <f t="array" ref="F528">IFERROR(_xlfn.LET(
_xlpm.CSVVal,_xlfn.XLOOKUP($A528,CSV!$A:$A,CSV!E:E,""),
_xlpm.MacVal,_xlfn.XLOOKUP($A528,Output_Mac!$A:$A,Output_Mac!F:F,""),
_xlpm.MyAuditVal,_xlfn.XLOOKUP($A528,My_Audit!$A:$A,My_Audit!E:E,""),
_xlfn.IFS(_xlpm.MyAuditVal&lt;&gt;"",_xlpm.MyAuditVal,_xlpm.MacVal&lt;&gt;"",_xlpm.MacVal,_xlpm.CSVVal&lt;&gt;"",PROPER(_xlpm.CSVVal)
)),"")</f>
        <v/>
      </c>
      <c r="G528" s="54" t="str" cm="1">
        <f t="array" ref="G528">IFERROR(_xlfn.LET(
_xlpm.CSVVal,_xlfn.XLOOKUP($A528,CSV!$A:$A,CSV!F:F,""),
_xlpm.MacVal,_xlfn.XLOOKUP($A528,Output_Mac!$A:$A,Output_Mac!H:H,""),
_xlpm.MyAuditVal,_xlfn.XLOOKUP($A528,My_Audit!$A:$A,My_Audit!F:F,""),
_xlfn.IFS(_xlpm.MyAuditVal&lt;&gt;"",_xlpm.MyAuditVal,_xlpm.MacVal&lt;&gt;"",_xlpm.MacVal,_xlpm.CSVVal&lt;&gt;"",_xlpm.CSVVal
)),"")</f>
        <v/>
      </c>
      <c r="H528" s="54" t="str">
        <f>_xlfn.XLOOKUP(A528,Output_Mac!A:A,Output_Mac!I:I,"")</f>
        <v/>
      </c>
      <c r="I528" s="54" t="str" cm="1">
        <f t="array" ref="I528">IFERROR(_xlfn.LET(
_xlpm.CSVVal,_xlfn.XLOOKUP($A528,CSV!$A:$A,CSV!G:G,""),
_xlpm.MacVal,_xlfn.XLOOKUP($A528,Output_Mac!$A:$A,Output_Mac!J:J,""),
_xlpm.MyAuditVal,_xlfn.XLOOKUP($A528,My_Audit!$A:$A,My_Audit!H:H,""),
_xlfn.IFS(_xlpm.MyAuditVal&lt;&gt;"",UPPER(_xlpm.MyAuditVal),_xlpm.MacVal&lt;&gt;"",_xlpm.MacVal,_xlpm.CSVVal&lt;&gt;"",_xlpm.CSVVal
)),"")</f>
        <v/>
      </c>
      <c r="J528" s="54" t="str" cm="1">
        <f t="array" ref="J528">IFERROR(_xlfn.LET(
_xlpm.CSVVal,_xlfn.XLOOKUP($A528,CSV!$A:$A,CSV!I:I,""),
_xlpm.MacVal,_xlfn.XLOOKUP($A528,Output_Mac!$A:$A,Output_Mac!K:K,""),
_xlpm.MyAuditVal,_xlfn.XLOOKUP($A528,My_Audit!$A:$A,My_Audit!I:I,""),
_xlfn.IFS(_xlpm.MyAuditVal&lt;&gt;"",UPPER(_xlpm.MyAuditVal),_xlpm.MacVal&lt;&gt;"",_xlpm.MacVal,_xlpm.CSVVal&lt;&gt;"",_xlpm.CSVVal
)),"")</f>
        <v/>
      </c>
      <c r="K528" s="54" t="str" cm="1">
        <f t="array" ref="K528">IFERROR(_xlfn.LET(
_xlpm.CSVVal,_xlfn.XLOOKUP($A528,CSV!$A:$A,CSV!M:M,""),
_xlpm.MacVal,_xlfn.XLOOKUP($A528,Output_Mac!$A:$A,Output_Mac!L:L,""),
_xlpm.MyAuditVal,_xlfn.XLOOKUP($A528,My_Audit!$A:$A,My_Audit!J:J,""),
_xlfn.IFS(_xlpm.MyAuditVal&lt;&gt;"",UPPER(_xlpm.MyAuditVal),_xlpm.MacVal&lt;&gt;"",_xlpm.MacVal,_xlpm.CSVVal&lt;&gt;"",_xlpm.CSVVal
)),"")</f>
        <v/>
      </c>
      <c r="L528" s="54" t="str" cm="1">
        <f t="array" ref="L528">IFERROR(_xlfn.LET(
_xlpm.CSVVal,_xlfn.XLOOKUP($A528,CSV!$A:$A,CSV!O:O,""),
_xlpm.MacVal,_xlfn.XLOOKUP($A528,Output_Mac!$A:$A,Output_Mac!M:M,""),
_xlpm.MyAuditVal,_xlfn.XLOOKUP($A528,My_Audit!$A:$A,My_Audit!K:K,""),
_xlfn.IFS(_xlpm.MyAuditVal&lt;&gt;"",UPPER(_xlpm.MyAuditVal),_xlpm.MacVal&lt;&gt;"",_xlpm.MacVal,_xlpm.CSVVal&lt;&gt;"",_xlpm.CSVVal
)),"")</f>
        <v/>
      </c>
      <c r="M528" s="54" t="str">
        <f>_xlfn.LET(
    _xlpm.CSVVal, _xlfn.XLOOKUP($A528, CSV!$A:$A, CSV!AD:AD, ""),
    _xlpm.MacVal, _xlfn.XLOOKUP($A528, Output_Mac!$A:$A, Output_Mac!S:S, ""),
    _xlpm.MyAuditVal, _xlfn.XLOOKUP($A528, My_Audit!$A:$A, My_Audit!N:N, ""),
    _xlfn.TEXTJOIN(", ", TRUE, _xlpm.MyAuditVal, _xlpm.MacVal, _xlpm.CSVVal)
)</f>
        <v/>
      </c>
      <c r="N528" s="54" t="str" cm="1">
        <f t="array" ref="N528">IFERROR(_xlfn.LET(
_xlpm.CSVVal,_xlfn.XLOOKUP($A528,CSV!$A:$A,CSV!AF:AF,""),
_xlpm.MacVal,_xlfn.XLOOKUP($A528,Output_Mac!$A:$A,Output_Mac!U:U,""),
_xlpm.MyAuditVal,_xlfn.XLOOKUP($A528,My_Audit!$A:$A,My_Audit!O:O,""),
_xlfn.IFS(_xlpm.MyAuditVal&lt;&gt;"",UPPER(_xlpm.MyAuditVal),_xlpm.MacVal&lt;&gt;"",_xlpm.MacVal,_xlpm.CSVVal&lt;&gt;"",_xlpm.CSVVal
)),"")</f>
        <v/>
      </c>
      <c r="O528" s="54"/>
      <c r="P528" s="54"/>
      <c r="Q528" s="54"/>
      <c r="R528" s="54"/>
      <c r="S528" s="54"/>
      <c r="T528" s="54"/>
      <c r="U528" s="39"/>
    </row>
    <row r="529" spans="1:21">
      <c r="A529" s="54" t="str">
        <f>_xlfn.TEXTJOIN("",TRUE,Input!$B$2,ROW(My_Audit!A528))</f>
        <v>XX528</v>
      </c>
      <c r="B529" s="54" t="str">
        <f>_xlfn.TEXTJOIN("-",TRUE,"ITD",Input!$A$2,A529)</f>
        <v>ITD-SHRXXX-XX528</v>
      </c>
      <c r="C529" s="54" t="str" cm="1">
        <f t="array" ref="C529">IFERROR(_xlfn.LET(
_xlpm.CSVVal,_xlfn.XLOOKUP($A529,CSV!$A:$A,CSV!B:B,""),
_xlpm.MacVal,_xlfn.XLOOKUP($A529,Output_Mac!$A:$A,Output_Mac!B:B,""),
_xlpm.MyAuditVal,_xlfn.XLOOKUP($A529,My_Audit!$A:$A,My_Audit!B:B,""),
_xlfn.IFS(_xlpm.MyAuditVal&lt;&gt;"",UPPER(_xlpm.MyAuditVal),_xlpm.MacVal&lt;&gt;"",_xlpm.MacVal,_xlpm.CSVVal&lt;&gt;"",_xlpm.CSVVal
)),"")</f>
        <v/>
      </c>
      <c r="D529" s="55" t="str">
        <f>_xlfn.XLOOKUP(A529,My_Audit!A:A,My_Audit!D:D,"")&amp;""</f>
        <v/>
      </c>
      <c r="E529" s="55" t="str" cm="1">
        <f t="array" ref="E529">IFERROR(_xlfn.LET(
_xlpm.CSVVal,_xlfn.XLOOKUP($A529,CSV!$A:$A,CSV!D:D,""),
_xlpm.MacVal,_xlfn.XLOOKUP($A529,Output_Mac!$A:$A,Output_Mac!C:C,""),
_xlpm.MyAuditVal,_xlfn.XLOOKUP($A529,My_Audit!$A:$A,My_Audit!D:D,""),
_xlfn.IFS(_xlpm.MyAuditVal&lt;&gt;"",_xlpm.MyAuditVal,_xlpm.MacVal&lt;&gt;"",_xlpm.MacVal,_xlpm.CSVVal&lt;&gt;"",_xlpm.CSVVal
)),"")</f>
        <v/>
      </c>
      <c r="F529" s="54" t="str" cm="1">
        <f t="array" ref="F529">IFERROR(_xlfn.LET(
_xlpm.CSVVal,_xlfn.XLOOKUP($A529,CSV!$A:$A,CSV!E:E,""),
_xlpm.MacVal,_xlfn.XLOOKUP($A529,Output_Mac!$A:$A,Output_Mac!F:F,""),
_xlpm.MyAuditVal,_xlfn.XLOOKUP($A529,My_Audit!$A:$A,My_Audit!E:E,""),
_xlfn.IFS(_xlpm.MyAuditVal&lt;&gt;"",_xlpm.MyAuditVal,_xlpm.MacVal&lt;&gt;"",_xlpm.MacVal,_xlpm.CSVVal&lt;&gt;"",PROPER(_xlpm.CSVVal)
)),"")</f>
        <v/>
      </c>
      <c r="G529" s="54" t="str" cm="1">
        <f t="array" ref="G529">IFERROR(_xlfn.LET(
_xlpm.CSVVal,_xlfn.XLOOKUP($A529,CSV!$A:$A,CSV!F:F,""),
_xlpm.MacVal,_xlfn.XLOOKUP($A529,Output_Mac!$A:$A,Output_Mac!H:H,""),
_xlpm.MyAuditVal,_xlfn.XLOOKUP($A529,My_Audit!$A:$A,My_Audit!F:F,""),
_xlfn.IFS(_xlpm.MyAuditVal&lt;&gt;"",_xlpm.MyAuditVal,_xlpm.MacVal&lt;&gt;"",_xlpm.MacVal,_xlpm.CSVVal&lt;&gt;"",_xlpm.CSVVal
)),"")</f>
        <v/>
      </c>
      <c r="H529" s="54" t="str">
        <f>_xlfn.XLOOKUP(A529,Output_Mac!A:A,Output_Mac!I:I,"")</f>
        <v/>
      </c>
      <c r="I529" s="54" t="str" cm="1">
        <f t="array" ref="I529">IFERROR(_xlfn.LET(
_xlpm.CSVVal,_xlfn.XLOOKUP($A529,CSV!$A:$A,CSV!G:G,""),
_xlpm.MacVal,_xlfn.XLOOKUP($A529,Output_Mac!$A:$A,Output_Mac!J:J,""),
_xlpm.MyAuditVal,_xlfn.XLOOKUP($A529,My_Audit!$A:$A,My_Audit!H:H,""),
_xlfn.IFS(_xlpm.MyAuditVal&lt;&gt;"",UPPER(_xlpm.MyAuditVal),_xlpm.MacVal&lt;&gt;"",_xlpm.MacVal,_xlpm.CSVVal&lt;&gt;"",_xlpm.CSVVal
)),"")</f>
        <v/>
      </c>
      <c r="J529" s="54" t="str" cm="1">
        <f t="array" ref="J529">IFERROR(_xlfn.LET(
_xlpm.CSVVal,_xlfn.XLOOKUP($A529,CSV!$A:$A,CSV!I:I,""),
_xlpm.MacVal,_xlfn.XLOOKUP($A529,Output_Mac!$A:$A,Output_Mac!K:K,""),
_xlpm.MyAuditVal,_xlfn.XLOOKUP($A529,My_Audit!$A:$A,My_Audit!I:I,""),
_xlfn.IFS(_xlpm.MyAuditVal&lt;&gt;"",UPPER(_xlpm.MyAuditVal),_xlpm.MacVal&lt;&gt;"",_xlpm.MacVal,_xlpm.CSVVal&lt;&gt;"",_xlpm.CSVVal
)),"")</f>
        <v/>
      </c>
      <c r="K529" s="54" t="str" cm="1">
        <f t="array" ref="K529">IFERROR(_xlfn.LET(
_xlpm.CSVVal,_xlfn.XLOOKUP($A529,CSV!$A:$A,CSV!M:M,""),
_xlpm.MacVal,_xlfn.XLOOKUP($A529,Output_Mac!$A:$A,Output_Mac!L:L,""),
_xlpm.MyAuditVal,_xlfn.XLOOKUP($A529,My_Audit!$A:$A,My_Audit!J:J,""),
_xlfn.IFS(_xlpm.MyAuditVal&lt;&gt;"",UPPER(_xlpm.MyAuditVal),_xlpm.MacVal&lt;&gt;"",_xlpm.MacVal,_xlpm.CSVVal&lt;&gt;"",_xlpm.CSVVal
)),"")</f>
        <v/>
      </c>
      <c r="L529" s="54" t="str" cm="1">
        <f t="array" ref="L529">IFERROR(_xlfn.LET(
_xlpm.CSVVal,_xlfn.XLOOKUP($A529,CSV!$A:$A,CSV!O:O,""),
_xlpm.MacVal,_xlfn.XLOOKUP($A529,Output_Mac!$A:$A,Output_Mac!M:M,""),
_xlpm.MyAuditVal,_xlfn.XLOOKUP($A529,My_Audit!$A:$A,My_Audit!K:K,""),
_xlfn.IFS(_xlpm.MyAuditVal&lt;&gt;"",UPPER(_xlpm.MyAuditVal),_xlpm.MacVal&lt;&gt;"",_xlpm.MacVal,_xlpm.CSVVal&lt;&gt;"",_xlpm.CSVVal
)),"")</f>
        <v/>
      </c>
      <c r="M529" s="54" t="str">
        <f>_xlfn.LET(
    _xlpm.CSVVal, _xlfn.XLOOKUP($A529, CSV!$A:$A, CSV!AD:AD, ""),
    _xlpm.MacVal, _xlfn.XLOOKUP($A529, Output_Mac!$A:$A, Output_Mac!S:S, ""),
    _xlpm.MyAuditVal, _xlfn.XLOOKUP($A529, My_Audit!$A:$A, My_Audit!N:N, ""),
    _xlfn.TEXTJOIN(", ", TRUE, _xlpm.MyAuditVal, _xlpm.MacVal, _xlpm.CSVVal)
)</f>
        <v/>
      </c>
      <c r="N529" s="54" t="str" cm="1">
        <f t="array" ref="N529">IFERROR(_xlfn.LET(
_xlpm.CSVVal,_xlfn.XLOOKUP($A529,CSV!$A:$A,CSV!AF:AF,""),
_xlpm.MacVal,_xlfn.XLOOKUP($A529,Output_Mac!$A:$A,Output_Mac!U:U,""),
_xlpm.MyAuditVal,_xlfn.XLOOKUP($A529,My_Audit!$A:$A,My_Audit!O:O,""),
_xlfn.IFS(_xlpm.MyAuditVal&lt;&gt;"",UPPER(_xlpm.MyAuditVal),_xlpm.MacVal&lt;&gt;"",_xlpm.MacVal,_xlpm.CSVVal&lt;&gt;"",_xlpm.CSVVal
)),"")</f>
        <v/>
      </c>
      <c r="O529" s="54"/>
      <c r="P529" s="54"/>
      <c r="Q529" s="54"/>
      <c r="R529" s="54"/>
      <c r="S529" s="54"/>
      <c r="T529" s="54"/>
      <c r="U529" s="39"/>
    </row>
    <row r="530" spans="1:21">
      <c r="A530" s="54" t="str">
        <f>_xlfn.TEXTJOIN("",TRUE,Input!$B$2,ROW(My_Audit!A529))</f>
        <v>XX529</v>
      </c>
      <c r="B530" s="54" t="str">
        <f>_xlfn.TEXTJOIN("-",TRUE,"ITD",Input!$A$2,A530)</f>
        <v>ITD-SHRXXX-XX529</v>
      </c>
      <c r="C530" s="54" t="str" cm="1">
        <f t="array" ref="C530">IFERROR(_xlfn.LET(
_xlpm.CSVVal,_xlfn.XLOOKUP($A530,CSV!$A:$A,CSV!B:B,""),
_xlpm.MacVal,_xlfn.XLOOKUP($A530,Output_Mac!$A:$A,Output_Mac!B:B,""),
_xlpm.MyAuditVal,_xlfn.XLOOKUP($A530,My_Audit!$A:$A,My_Audit!B:B,""),
_xlfn.IFS(_xlpm.MyAuditVal&lt;&gt;"",UPPER(_xlpm.MyAuditVal),_xlpm.MacVal&lt;&gt;"",_xlpm.MacVal,_xlpm.CSVVal&lt;&gt;"",_xlpm.CSVVal
)),"")</f>
        <v/>
      </c>
      <c r="D530" s="55" t="str">
        <f>_xlfn.XLOOKUP(A530,My_Audit!A:A,My_Audit!D:D,"")&amp;""</f>
        <v/>
      </c>
      <c r="E530" s="55" t="str" cm="1">
        <f t="array" ref="E530">IFERROR(_xlfn.LET(
_xlpm.CSVVal,_xlfn.XLOOKUP($A530,CSV!$A:$A,CSV!D:D,""),
_xlpm.MacVal,_xlfn.XLOOKUP($A530,Output_Mac!$A:$A,Output_Mac!C:C,""),
_xlpm.MyAuditVal,_xlfn.XLOOKUP($A530,My_Audit!$A:$A,My_Audit!D:D,""),
_xlfn.IFS(_xlpm.MyAuditVal&lt;&gt;"",_xlpm.MyAuditVal,_xlpm.MacVal&lt;&gt;"",_xlpm.MacVal,_xlpm.CSVVal&lt;&gt;"",_xlpm.CSVVal
)),"")</f>
        <v/>
      </c>
      <c r="F530" s="54" t="str" cm="1">
        <f t="array" ref="F530">IFERROR(_xlfn.LET(
_xlpm.CSVVal,_xlfn.XLOOKUP($A530,CSV!$A:$A,CSV!E:E,""),
_xlpm.MacVal,_xlfn.XLOOKUP($A530,Output_Mac!$A:$A,Output_Mac!F:F,""),
_xlpm.MyAuditVal,_xlfn.XLOOKUP($A530,My_Audit!$A:$A,My_Audit!E:E,""),
_xlfn.IFS(_xlpm.MyAuditVal&lt;&gt;"",_xlpm.MyAuditVal,_xlpm.MacVal&lt;&gt;"",_xlpm.MacVal,_xlpm.CSVVal&lt;&gt;"",PROPER(_xlpm.CSVVal)
)),"")</f>
        <v/>
      </c>
      <c r="G530" s="54" t="str" cm="1">
        <f t="array" ref="G530">IFERROR(_xlfn.LET(
_xlpm.CSVVal,_xlfn.XLOOKUP($A530,CSV!$A:$A,CSV!F:F,""),
_xlpm.MacVal,_xlfn.XLOOKUP($A530,Output_Mac!$A:$A,Output_Mac!H:H,""),
_xlpm.MyAuditVal,_xlfn.XLOOKUP($A530,My_Audit!$A:$A,My_Audit!F:F,""),
_xlfn.IFS(_xlpm.MyAuditVal&lt;&gt;"",_xlpm.MyAuditVal,_xlpm.MacVal&lt;&gt;"",_xlpm.MacVal,_xlpm.CSVVal&lt;&gt;"",_xlpm.CSVVal
)),"")</f>
        <v/>
      </c>
      <c r="H530" s="54" t="str">
        <f>_xlfn.XLOOKUP(A530,Output_Mac!A:A,Output_Mac!I:I,"")</f>
        <v/>
      </c>
      <c r="I530" s="54" t="str" cm="1">
        <f t="array" ref="I530">IFERROR(_xlfn.LET(
_xlpm.CSVVal,_xlfn.XLOOKUP($A530,CSV!$A:$A,CSV!G:G,""),
_xlpm.MacVal,_xlfn.XLOOKUP($A530,Output_Mac!$A:$A,Output_Mac!J:J,""),
_xlpm.MyAuditVal,_xlfn.XLOOKUP($A530,My_Audit!$A:$A,My_Audit!H:H,""),
_xlfn.IFS(_xlpm.MyAuditVal&lt;&gt;"",UPPER(_xlpm.MyAuditVal),_xlpm.MacVal&lt;&gt;"",_xlpm.MacVal,_xlpm.CSVVal&lt;&gt;"",_xlpm.CSVVal
)),"")</f>
        <v/>
      </c>
      <c r="J530" s="54" t="str" cm="1">
        <f t="array" ref="J530">IFERROR(_xlfn.LET(
_xlpm.CSVVal,_xlfn.XLOOKUP($A530,CSV!$A:$A,CSV!I:I,""),
_xlpm.MacVal,_xlfn.XLOOKUP($A530,Output_Mac!$A:$A,Output_Mac!K:K,""),
_xlpm.MyAuditVal,_xlfn.XLOOKUP($A530,My_Audit!$A:$A,My_Audit!I:I,""),
_xlfn.IFS(_xlpm.MyAuditVal&lt;&gt;"",UPPER(_xlpm.MyAuditVal),_xlpm.MacVal&lt;&gt;"",_xlpm.MacVal,_xlpm.CSVVal&lt;&gt;"",_xlpm.CSVVal
)),"")</f>
        <v/>
      </c>
      <c r="K530" s="54" t="str" cm="1">
        <f t="array" ref="K530">IFERROR(_xlfn.LET(
_xlpm.CSVVal,_xlfn.XLOOKUP($A530,CSV!$A:$A,CSV!M:M,""),
_xlpm.MacVal,_xlfn.XLOOKUP($A530,Output_Mac!$A:$A,Output_Mac!L:L,""),
_xlpm.MyAuditVal,_xlfn.XLOOKUP($A530,My_Audit!$A:$A,My_Audit!J:J,""),
_xlfn.IFS(_xlpm.MyAuditVal&lt;&gt;"",UPPER(_xlpm.MyAuditVal),_xlpm.MacVal&lt;&gt;"",_xlpm.MacVal,_xlpm.CSVVal&lt;&gt;"",_xlpm.CSVVal
)),"")</f>
        <v/>
      </c>
      <c r="L530" s="54" t="str" cm="1">
        <f t="array" ref="L530">IFERROR(_xlfn.LET(
_xlpm.CSVVal,_xlfn.XLOOKUP($A530,CSV!$A:$A,CSV!O:O,""),
_xlpm.MacVal,_xlfn.XLOOKUP($A530,Output_Mac!$A:$A,Output_Mac!M:M,""),
_xlpm.MyAuditVal,_xlfn.XLOOKUP($A530,My_Audit!$A:$A,My_Audit!K:K,""),
_xlfn.IFS(_xlpm.MyAuditVal&lt;&gt;"",UPPER(_xlpm.MyAuditVal),_xlpm.MacVal&lt;&gt;"",_xlpm.MacVal,_xlpm.CSVVal&lt;&gt;"",_xlpm.CSVVal
)),"")</f>
        <v/>
      </c>
      <c r="M530" s="54" t="str">
        <f>_xlfn.LET(
    _xlpm.CSVVal, _xlfn.XLOOKUP($A530, CSV!$A:$A, CSV!AD:AD, ""),
    _xlpm.MacVal, _xlfn.XLOOKUP($A530, Output_Mac!$A:$A, Output_Mac!S:S, ""),
    _xlpm.MyAuditVal, _xlfn.XLOOKUP($A530, My_Audit!$A:$A, My_Audit!N:N, ""),
    _xlfn.TEXTJOIN(", ", TRUE, _xlpm.MyAuditVal, _xlpm.MacVal, _xlpm.CSVVal)
)</f>
        <v/>
      </c>
      <c r="N530" s="54" t="str" cm="1">
        <f t="array" ref="N530">IFERROR(_xlfn.LET(
_xlpm.CSVVal,_xlfn.XLOOKUP($A530,CSV!$A:$A,CSV!AF:AF,""),
_xlpm.MacVal,_xlfn.XLOOKUP($A530,Output_Mac!$A:$A,Output_Mac!U:U,""),
_xlpm.MyAuditVal,_xlfn.XLOOKUP($A530,My_Audit!$A:$A,My_Audit!O:O,""),
_xlfn.IFS(_xlpm.MyAuditVal&lt;&gt;"",UPPER(_xlpm.MyAuditVal),_xlpm.MacVal&lt;&gt;"",_xlpm.MacVal,_xlpm.CSVVal&lt;&gt;"",_xlpm.CSVVal
)),"")</f>
        <v/>
      </c>
      <c r="O530" s="54"/>
      <c r="P530" s="54"/>
      <c r="Q530" s="54"/>
      <c r="R530" s="54"/>
      <c r="S530" s="54"/>
      <c r="T530" s="54"/>
      <c r="U530" s="39"/>
    </row>
    <row r="531" spans="1:21">
      <c r="A531" s="54" t="str">
        <f>_xlfn.TEXTJOIN("",TRUE,Input!$B$2,ROW(My_Audit!A530))</f>
        <v>XX530</v>
      </c>
      <c r="B531" s="54" t="str">
        <f>_xlfn.TEXTJOIN("-",TRUE,"ITD",Input!$A$2,A531)</f>
        <v>ITD-SHRXXX-XX530</v>
      </c>
      <c r="C531" s="54" t="str" cm="1">
        <f t="array" ref="C531">IFERROR(_xlfn.LET(
_xlpm.CSVVal,_xlfn.XLOOKUP($A531,CSV!$A:$A,CSV!B:B,""),
_xlpm.MacVal,_xlfn.XLOOKUP($A531,Output_Mac!$A:$A,Output_Mac!B:B,""),
_xlpm.MyAuditVal,_xlfn.XLOOKUP($A531,My_Audit!$A:$A,My_Audit!B:B,""),
_xlfn.IFS(_xlpm.MyAuditVal&lt;&gt;"",UPPER(_xlpm.MyAuditVal),_xlpm.MacVal&lt;&gt;"",_xlpm.MacVal,_xlpm.CSVVal&lt;&gt;"",_xlpm.CSVVal
)),"")</f>
        <v/>
      </c>
      <c r="D531" s="55" t="str">
        <f>_xlfn.XLOOKUP(A531,My_Audit!A:A,My_Audit!D:D,"")&amp;""</f>
        <v/>
      </c>
      <c r="E531" s="55" t="str" cm="1">
        <f t="array" ref="E531">IFERROR(_xlfn.LET(
_xlpm.CSVVal,_xlfn.XLOOKUP($A531,CSV!$A:$A,CSV!D:D,""),
_xlpm.MacVal,_xlfn.XLOOKUP($A531,Output_Mac!$A:$A,Output_Mac!C:C,""),
_xlpm.MyAuditVal,_xlfn.XLOOKUP($A531,My_Audit!$A:$A,My_Audit!D:D,""),
_xlfn.IFS(_xlpm.MyAuditVal&lt;&gt;"",_xlpm.MyAuditVal,_xlpm.MacVal&lt;&gt;"",_xlpm.MacVal,_xlpm.CSVVal&lt;&gt;"",_xlpm.CSVVal
)),"")</f>
        <v/>
      </c>
      <c r="F531" s="54" t="str" cm="1">
        <f t="array" ref="F531">IFERROR(_xlfn.LET(
_xlpm.CSVVal,_xlfn.XLOOKUP($A531,CSV!$A:$A,CSV!E:E,""),
_xlpm.MacVal,_xlfn.XLOOKUP($A531,Output_Mac!$A:$A,Output_Mac!F:F,""),
_xlpm.MyAuditVal,_xlfn.XLOOKUP($A531,My_Audit!$A:$A,My_Audit!E:E,""),
_xlfn.IFS(_xlpm.MyAuditVal&lt;&gt;"",_xlpm.MyAuditVal,_xlpm.MacVal&lt;&gt;"",_xlpm.MacVal,_xlpm.CSVVal&lt;&gt;"",PROPER(_xlpm.CSVVal)
)),"")</f>
        <v/>
      </c>
      <c r="G531" s="54" t="str" cm="1">
        <f t="array" ref="G531">IFERROR(_xlfn.LET(
_xlpm.CSVVal,_xlfn.XLOOKUP($A531,CSV!$A:$A,CSV!F:F,""),
_xlpm.MacVal,_xlfn.XLOOKUP($A531,Output_Mac!$A:$A,Output_Mac!H:H,""),
_xlpm.MyAuditVal,_xlfn.XLOOKUP($A531,My_Audit!$A:$A,My_Audit!F:F,""),
_xlfn.IFS(_xlpm.MyAuditVal&lt;&gt;"",_xlpm.MyAuditVal,_xlpm.MacVal&lt;&gt;"",_xlpm.MacVal,_xlpm.CSVVal&lt;&gt;"",_xlpm.CSVVal
)),"")</f>
        <v/>
      </c>
      <c r="H531" s="54" t="str">
        <f>_xlfn.XLOOKUP(A531,Output_Mac!A:A,Output_Mac!I:I,"")</f>
        <v/>
      </c>
      <c r="I531" s="54" t="str" cm="1">
        <f t="array" ref="I531">IFERROR(_xlfn.LET(
_xlpm.CSVVal,_xlfn.XLOOKUP($A531,CSV!$A:$A,CSV!G:G,""),
_xlpm.MacVal,_xlfn.XLOOKUP($A531,Output_Mac!$A:$A,Output_Mac!J:J,""),
_xlpm.MyAuditVal,_xlfn.XLOOKUP($A531,My_Audit!$A:$A,My_Audit!H:H,""),
_xlfn.IFS(_xlpm.MyAuditVal&lt;&gt;"",UPPER(_xlpm.MyAuditVal),_xlpm.MacVal&lt;&gt;"",_xlpm.MacVal,_xlpm.CSVVal&lt;&gt;"",_xlpm.CSVVal
)),"")</f>
        <v/>
      </c>
      <c r="J531" s="54" t="str" cm="1">
        <f t="array" ref="J531">IFERROR(_xlfn.LET(
_xlpm.CSVVal,_xlfn.XLOOKUP($A531,CSV!$A:$A,CSV!I:I,""),
_xlpm.MacVal,_xlfn.XLOOKUP($A531,Output_Mac!$A:$A,Output_Mac!K:K,""),
_xlpm.MyAuditVal,_xlfn.XLOOKUP($A531,My_Audit!$A:$A,My_Audit!I:I,""),
_xlfn.IFS(_xlpm.MyAuditVal&lt;&gt;"",UPPER(_xlpm.MyAuditVal),_xlpm.MacVal&lt;&gt;"",_xlpm.MacVal,_xlpm.CSVVal&lt;&gt;"",_xlpm.CSVVal
)),"")</f>
        <v/>
      </c>
      <c r="K531" s="54" t="str" cm="1">
        <f t="array" ref="K531">IFERROR(_xlfn.LET(
_xlpm.CSVVal,_xlfn.XLOOKUP($A531,CSV!$A:$A,CSV!M:M,""),
_xlpm.MacVal,_xlfn.XLOOKUP($A531,Output_Mac!$A:$A,Output_Mac!L:L,""),
_xlpm.MyAuditVal,_xlfn.XLOOKUP($A531,My_Audit!$A:$A,My_Audit!J:J,""),
_xlfn.IFS(_xlpm.MyAuditVal&lt;&gt;"",UPPER(_xlpm.MyAuditVal),_xlpm.MacVal&lt;&gt;"",_xlpm.MacVal,_xlpm.CSVVal&lt;&gt;"",_xlpm.CSVVal
)),"")</f>
        <v/>
      </c>
      <c r="L531" s="54" t="str" cm="1">
        <f t="array" ref="L531">IFERROR(_xlfn.LET(
_xlpm.CSVVal,_xlfn.XLOOKUP($A531,CSV!$A:$A,CSV!O:O,""),
_xlpm.MacVal,_xlfn.XLOOKUP($A531,Output_Mac!$A:$A,Output_Mac!M:M,""),
_xlpm.MyAuditVal,_xlfn.XLOOKUP($A531,My_Audit!$A:$A,My_Audit!K:K,""),
_xlfn.IFS(_xlpm.MyAuditVal&lt;&gt;"",UPPER(_xlpm.MyAuditVal),_xlpm.MacVal&lt;&gt;"",_xlpm.MacVal,_xlpm.CSVVal&lt;&gt;"",_xlpm.CSVVal
)),"")</f>
        <v/>
      </c>
      <c r="M531" s="54" t="str">
        <f>_xlfn.LET(
    _xlpm.CSVVal, _xlfn.XLOOKUP($A531, CSV!$A:$A, CSV!AD:AD, ""),
    _xlpm.MacVal, _xlfn.XLOOKUP($A531, Output_Mac!$A:$A, Output_Mac!S:S, ""),
    _xlpm.MyAuditVal, _xlfn.XLOOKUP($A531, My_Audit!$A:$A, My_Audit!N:N, ""),
    _xlfn.TEXTJOIN(", ", TRUE, _xlpm.MyAuditVal, _xlpm.MacVal, _xlpm.CSVVal)
)</f>
        <v/>
      </c>
      <c r="N531" s="54" t="str" cm="1">
        <f t="array" ref="N531">IFERROR(_xlfn.LET(
_xlpm.CSVVal,_xlfn.XLOOKUP($A531,CSV!$A:$A,CSV!AF:AF,""),
_xlpm.MacVal,_xlfn.XLOOKUP($A531,Output_Mac!$A:$A,Output_Mac!U:U,""),
_xlpm.MyAuditVal,_xlfn.XLOOKUP($A531,My_Audit!$A:$A,My_Audit!O:O,""),
_xlfn.IFS(_xlpm.MyAuditVal&lt;&gt;"",UPPER(_xlpm.MyAuditVal),_xlpm.MacVal&lt;&gt;"",_xlpm.MacVal,_xlpm.CSVVal&lt;&gt;"",_xlpm.CSVVal
)),"")</f>
        <v/>
      </c>
      <c r="O531" s="54"/>
      <c r="P531" s="54"/>
      <c r="Q531" s="54"/>
      <c r="R531" s="54"/>
      <c r="S531" s="54"/>
      <c r="T531" s="54"/>
      <c r="U531" s="39"/>
    </row>
    <row r="532" spans="1:21">
      <c r="A532" s="54" t="str">
        <f>_xlfn.TEXTJOIN("",TRUE,Input!$B$2,ROW(My_Audit!A531))</f>
        <v>XX531</v>
      </c>
      <c r="B532" s="54" t="str">
        <f>_xlfn.TEXTJOIN("-",TRUE,"ITD",Input!$A$2,A532)</f>
        <v>ITD-SHRXXX-XX531</v>
      </c>
      <c r="C532" s="54" t="str" cm="1">
        <f t="array" ref="C532">IFERROR(_xlfn.LET(
_xlpm.CSVVal,_xlfn.XLOOKUP($A532,CSV!$A:$A,CSV!B:B,""),
_xlpm.MacVal,_xlfn.XLOOKUP($A532,Output_Mac!$A:$A,Output_Mac!B:B,""),
_xlpm.MyAuditVal,_xlfn.XLOOKUP($A532,My_Audit!$A:$A,My_Audit!B:B,""),
_xlfn.IFS(_xlpm.MyAuditVal&lt;&gt;"",UPPER(_xlpm.MyAuditVal),_xlpm.MacVal&lt;&gt;"",_xlpm.MacVal,_xlpm.CSVVal&lt;&gt;"",_xlpm.CSVVal
)),"")</f>
        <v/>
      </c>
      <c r="D532" s="55" t="str">
        <f>_xlfn.XLOOKUP(A532,My_Audit!A:A,My_Audit!D:D,"")&amp;""</f>
        <v/>
      </c>
      <c r="E532" s="55" t="str" cm="1">
        <f t="array" ref="E532">IFERROR(_xlfn.LET(
_xlpm.CSVVal,_xlfn.XLOOKUP($A532,CSV!$A:$A,CSV!D:D,""),
_xlpm.MacVal,_xlfn.XLOOKUP($A532,Output_Mac!$A:$A,Output_Mac!C:C,""),
_xlpm.MyAuditVal,_xlfn.XLOOKUP($A532,My_Audit!$A:$A,My_Audit!D:D,""),
_xlfn.IFS(_xlpm.MyAuditVal&lt;&gt;"",_xlpm.MyAuditVal,_xlpm.MacVal&lt;&gt;"",_xlpm.MacVal,_xlpm.CSVVal&lt;&gt;"",_xlpm.CSVVal
)),"")</f>
        <v/>
      </c>
      <c r="F532" s="54" t="str" cm="1">
        <f t="array" ref="F532">IFERROR(_xlfn.LET(
_xlpm.CSVVal,_xlfn.XLOOKUP($A532,CSV!$A:$A,CSV!E:E,""),
_xlpm.MacVal,_xlfn.XLOOKUP($A532,Output_Mac!$A:$A,Output_Mac!F:F,""),
_xlpm.MyAuditVal,_xlfn.XLOOKUP($A532,My_Audit!$A:$A,My_Audit!E:E,""),
_xlfn.IFS(_xlpm.MyAuditVal&lt;&gt;"",_xlpm.MyAuditVal,_xlpm.MacVal&lt;&gt;"",_xlpm.MacVal,_xlpm.CSVVal&lt;&gt;"",PROPER(_xlpm.CSVVal)
)),"")</f>
        <v/>
      </c>
      <c r="G532" s="54" t="str" cm="1">
        <f t="array" ref="G532">IFERROR(_xlfn.LET(
_xlpm.CSVVal,_xlfn.XLOOKUP($A532,CSV!$A:$A,CSV!F:F,""),
_xlpm.MacVal,_xlfn.XLOOKUP($A532,Output_Mac!$A:$A,Output_Mac!H:H,""),
_xlpm.MyAuditVal,_xlfn.XLOOKUP($A532,My_Audit!$A:$A,My_Audit!F:F,""),
_xlfn.IFS(_xlpm.MyAuditVal&lt;&gt;"",_xlpm.MyAuditVal,_xlpm.MacVal&lt;&gt;"",_xlpm.MacVal,_xlpm.CSVVal&lt;&gt;"",_xlpm.CSVVal
)),"")</f>
        <v/>
      </c>
      <c r="H532" s="54" t="str">
        <f>_xlfn.XLOOKUP(A532,Output_Mac!A:A,Output_Mac!I:I,"")</f>
        <v/>
      </c>
      <c r="I532" s="54" t="str" cm="1">
        <f t="array" ref="I532">IFERROR(_xlfn.LET(
_xlpm.CSVVal,_xlfn.XLOOKUP($A532,CSV!$A:$A,CSV!G:G,""),
_xlpm.MacVal,_xlfn.XLOOKUP($A532,Output_Mac!$A:$A,Output_Mac!J:J,""),
_xlpm.MyAuditVal,_xlfn.XLOOKUP($A532,My_Audit!$A:$A,My_Audit!H:H,""),
_xlfn.IFS(_xlpm.MyAuditVal&lt;&gt;"",UPPER(_xlpm.MyAuditVal),_xlpm.MacVal&lt;&gt;"",_xlpm.MacVal,_xlpm.CSVVal&lt;&gt;"",_xlpm.CSVVal
)),"")</f>
        <v/>
      </c>
      <c r="J532" s="54" t="str" cm="1">
        <f t="array" ref="J532">IFERROR(_xlfn.LET(
_xlpm.CSVVal,_xlfn.XLOOKUP($A532,CSV!$A:$A,CSV!I:I,""),
_xlpm.MacVal,_xlfn.XLOOKUP($A532,Output_Mac!$A:$A,Output_Mac!K:K,""),
_xlpm.MyAuditVal,_xlfn.XLOOKUP($A532,My_Audit!$A:$A,My_Audit!I:I,""),
_xlfn.IFS(_xlpm.MyAuditVal&lt;&gt;"",UPPER(_xlpm.MyAuditVal),_xlpm.MacVal&lt;&gt;"",_xlpm.MacVal,_xlpm.CSVVal&lt;&gt;"",_xlpm.CSVVal
)),"")</f>
        <v/>
      </c>
      <c r="K532" s="54" t="str" cm="1">
        <f t="array" ref="K532">IFERROR(_xlfn.LET(
_xlpm.CSVVal,_xlfn.XLOOKUP($A532,CSV!$A:$A,CSV!M:M,""),
_xlpm.MacVal,_xlfn.XLOOKUP($A532,Output_Mac!$A:$A,Output_Mac!L:L,""),
_xlpm.MyAuditVal,_xlfn.XLOOKUP($A532,My_Audit!$A:$A,My_Audit!J:J,""),
_xlfn.IFS(_xlpm.MyAuditVal&lt;&gt;"",UPPER(_xlpm.MyAuditVal),_xlpm.MacVal&lt;&gt;"",_xlpm.MacVal,_xlpm.CSVVal&lt;&gt;"",_xlpm.CSVVal
)),"")</f>
        <v/>
      </c>
      <c r="L532" s="54" t="str" cm="1">
        <f t="array" ref="L532">IFERROR(_xlfn.LET(
_xlpm.CSVVal,_xlfn.XLOOKUP($A532,CSV!$A:$A,CSV!O:O,""),
_xlpm.MacVal,_xlfn.XLOOKUP($A532,Output_Mac!$A:$A,Output_Mac!M:M,""),
_xlpm.MyAuditVal,_xlfn.XLOOKUP($A532,My_Audit!$A:$A,My_Audit!K:K,""),
_xlfn.IFS(_xlpm.MyAuditVal&lt;&gt;"",UPPER(_xlpm.MyAuditVal),_xlpm.MacVal&lt;&gt;"",_xlpm.MacVal,_xlpm.CSVVal&lt;&gt;"",_xlpm.CSVVal
)),"")</f>
        <v/>
      </c>
      <c r="M532" s="54" t="str">
        <f>_xlfn.LET(
    _xlpm.CSVVal, _xlfn.XLOOKUP($A532, CSV!$A:$A, CSV!AD:AD, ""),
    _xlpm.MacVal, _xlfn.XLOOKUP($A532, Output_Mac!$A:$A, Output_Mac!S:S, ""),
    _xlpm.MyAuditVal, _xlfn.XLOOKUP($A532, My_Audit!$A:$A, My_Audit!N:N, ""),
    _xlfn.TEXTJOIN(", ", TRUE, _xlpm.MyAuditVal, _xlpm.MacVal, _xlpm.CSVVal)
)</f>
        <v/>
      </c>
      <c r="N532" s="54" t="str" cm="1">
        <f t="array" ref="N532">IFERROR(_xlfn.LET(
_xlpm.CSVVal,_xlfn.XLOOKUP($A532,CSV!$A:$A,CSV!AF:AF,""),
_xlpm.MacVal,_xlfn.XLOOKUP($A532,Output_Mac!$A:$A,Output_Mac!U:U,""),
_xlpm.MyAuditVal,_xlfn.XLOOKUP($A532,My_Audit!$A:$A,My_Audit!O:O,""),
_xlfn.IFS(_xlpm.MyAuditVal&lt;&gt;"",UPPER(_xlpm.MyAuditVal),_xlpm.MacVal&lt;&gt;"",_xlpm.MacVal,_xlpm.CSVVal&lt;&gt;"",_xlpm.CSVVal
)),"")</f>
        <v/>
      </c>
      <c r="O532" s="54"/>
      <c r="P532" s="54"/>
      <c r="Q532" s="54"/>
      <c r="R532" s="54"/>
      <c r="S532" s="54"/>
      <c r="T532" s="54"/>
      <c r="U532" s="39"/>
    </row>
    <row r="533" spans="1:21">
      <c r="A533" s="54" t="str">
        <f>_xlfn.TEXTJOIN("",TRUE,Input!$B$2,ROW(My_Audit!A532))</f>
        <v>XX532</v>
      </c>
      <c r="B533" s="54" t="str">
        <f>_xlfn.TEXTJOIN("-",TRUE,"ITD",Input!$A$2,A533)</f>
        <v>ITD-SHRXXX-XX532</v>
      </c>
      <c r="C533" s="54" t="str" cm="1">
        <f t="array" ref="C533">IFERROR(_xlfn.LET(
_xlpm.CSVVal,_xlfn.XLOOKUP($A533,CSV!$A:$A,CSV!B:B,""),
_xlpm.MacVal,_xlfn.XLOOKUP($A533,Output_Mac!$A:$A,Output_Mac!B:B,""),
_xlpm.MyAuditVal,_xlfn.XLOOKUP($A533,My_Audit!$A:$A,My_Audit!B:B,""),
_xlfn.IFS(_xlpm.MyAuditVal&lt;&gt;"",UPPER(_xlpm.MyAuditVal),_xlpm.MacVal&lt;&gt;"",_xlpm.MacVal,_xlpm.CSVVal&lt;&gt;"",_xlpm.CSVVal
)),"")</f>
        <v/>
      </c>
      <c r="D533" s="55" t="str">
        <f>_xlfn.XLOOKUP(A533,My_Audit!A:A,My_Audit!D:D,"")&amp;""</f>
        <v/>
      </c>
      <c r="E533" s="55" t="str" cm="1">
        <f t="array" ref="E533">IFERROR(_xlfn.LET(
_xlpm.CSVVal,_xlfn.XLOOKUP($A533,CSV!$A:$A,CSV!D:D,""),
_xlpm.MacVal,_xlfn.XLOOKUP($A533,Output_Mac!$A:$A,Output_Mac!C:C,""),
_xlpm.MyAuditVal,_xlfn.XLOOKUP($A533,My_Audit!$A:$A,My_Audit!D:D,""),
_xlfn.IFS(_xlpm.MyAuditVal&lt;&gt;"",_xlpm.MyAuditVal,_xlpm.MacVal&lt;&gt;"",_xlpm.MacVal,_xlpm.CSVVal&lt;&gt;"",_xlpm.CSVVal
)),"")</f>
        <v/>
      </c>
      <c r="F533" s="54" t="str" cm="1">
        <f t="array" ref="F533">IFERROR(_xlfn.LET(
_xlpm.CSVVal,_xlfn.XLOOKUP($A533,CSV!$A:$A,CSV!E:E,""),
_xlpm.MacVal,_xlfn.XLOOKUP($A533,Output_Mac!$A:$A,Output_Mac!F:F,""),
_xlpm.MyAuditVal,_xlfn.XLOOKUP($A533,My_Audit!$A:$A,My_Audit!E:E,""),
_xlfn.IFS(_xlpm.MyAuditVal&lt;&gt;"",_xlpm.MyAuditVal,_xlpm.MacVal&lt;&gt;"",_xlpm.MacVal,_xlpm.CSVVal&lt;&gt;"",PROPER(_xlpm.CSVVal)
)),"")</f>
        <v/>
      </c>
      <c r="G533" s="54" t="str" cm="1">
        <f t="array" ref="G533">IFERROR(_xlfn.LET(
_xlpm.CSVVal,_xlfn.XLOOKUP($A533,CSV!$A:$A,CSV!F:F,""),
_xlpm.MacVal,_xlfn.XLOOKUP($A533,Output_Mac!$A:$A,Output_Mac!H:H,""),
_xlpm.MyAuditVal,_xlfn.XLOOKUP($A533,My_Audit!$A:$A,My_Audit!F:F,""),
_xlfn.IFS(_xlpm.MyAuditVal&lt;&gt;"",_xlpm.MyAuditVal,_xlpm.MacVal&lt;&gt;"",_xlpm.MacVal,_xlpm.CSVVal&lt;&gt;"",_xlpm.CSVVal
)),"")</f>
        <v/>
      </c>
      <c r="H533" s="54" t="str">
        <f>_xlfn.XLOOKUP(A533,Output_Mac!A:A,Output_Mac!I:I,"")</f>
        <v/>
      </c>
      <c r="I533" s="54" t="str" cm="1">
        <f t="array" ref="I533">IFERROR(_xlfn.LET(
_xlpm.CSVVal,_xlfn.XLOOKUP($A533,CSV!$A:$A,CSV!G:G,""),
_xlpm.MacVal,_xlfn.XLOOKUP($A533,Output_Mac!$A:$A,Output_Mac!J:J,""),
_xlpm.MyAuditVal,_xlfn.XLOOKUP($A533,My_Audit!$A:$A,My_Audit!H:H,""),
_xlfn.IFS(_xlpm.MyAuditVal&lt;&gt;"",UPPER(_xlpm.MyAuditVal),_xlpm.MacVal&lt;&gt;"",_xlpm.MacVal,_xlpm.CSVVal&lt;&gt;"",_xlpm.CSVVal
)),"")</f>
        <v/>
      </c>
      <c r="J533" s="54" t="str" cm="1">
        <f t="array" ref="J533">IFERROR(_xlfn.LET(
_xlpm.CSVVal,_xlfn.XLOOKUP($A533,CSV!$A:$A,CSV!I:I,""),
_xlpm.MacVal,_xlfn.XLOOKUP($A533,Output_Mac!$A:$A,Output_Mac!K:K,""),
_xlpm.MyAuditVal,_xlfn.XLOOKUP($A533,My_Audit!$A:$A,My_Audit!I:I,""),
_xlfn.IFS(_xlpm.MyAuditVal&lt;&gt;"",UPPER(_xlpm.MyAuditVal),_xlpm.MacVal&lt;&gt;"",_xlpm.MacVal,_xlpm.CSVVal&lt;&gt;"",_xlpm.CSVVal
)),"")</f>
        <v/>
      </c>
      <c r="K533" s="54" t="str" cm="1">
        <f t="array" ref="K533">IFERROR(_xlfn.LET(
_xlpm.CSVVal,_xlfn.XLOOKUP($A533,CSV!$A:$A,CSV!M:M,""),
_xlpm.MacVal,_xlfn.XLOOKUP($A533,Output_Mac!$A:$A,Output_Mac!L:L,""),
_xlpm.MyAuditVal,_xlfn.XLOOKUP($A533,My_Audit!$A:$A,My_Audit!J:J,""),
_xlfn.IFS(_xlpm.MyAuditVal&lt;&gt;"",UPPER(_xlpm.MyAuditVal),_xlpm.MacVal&lt;&gt;"",_xlpm.MacVal,_xlpm.CSVVal&lt;&gt;"",_xlpm.CSVVal
)),"")</f>
        <v/>
      </c>
      <c r="L533" s="54" t="str" cm="1">
        <f t="array" ref="L533">IFERROR(_xlfn.LET(
_xlpm.CSVVal,_xlfn.XLOOKUP($A533,CSV!$A:$A,CSV!O:O,""),
_xlpm.MacVal,_xlfn.XLOOKUP($A533,Output_Mac!$A:$A,Output_Mac!M:M,""),
_xlpm.MyAuditVal,_xlfn.XLOOKUP($A533,My_Audit!$A:$A,My_Audit!K:K,""),
_xlfn.IFS(_xlpm.MyAuditVal&lt;&gt;"",UPPER(_xlpm.MyAuditVal),_xlpm.MacVal&lt;&gt;"",_xlpm.MacVal,_xlpm.CSVVal&lt;&gt;"",_xlpm.CSVVal
)),"")</f>
        <v/>
      </c>
      <c r="M533" s="54" t="str">
        <f>_xlfn.LET(
    _xlpm.CSVVal, _xlfn.XLOOKUP($A533, CSV!$A:$A, CSV!AD:AD, ""),
    _xlpm.MacVal, _xlfn.XLOOKUP($A533, Output_Mac!$A:$A, Output_Mac!S:S, ""),
    _xlpm.MyAuditVal, _xlfn.XLOOKUP($A533, My_Audit!$A:$A, My_Audit!N:N, ""),
    _xlfn.TEXTJOIN(", ", TRUE, _xlpm.MyAuditVal, _xlpm.MacVal, _xlpm.CSVVal)
)</f>
        <v/>
      </c>
      <c r="N533" s="54" t="str" cm="1">
        <f t="array" ref="N533">IFERROR(_xlfn.LET(
_xlpm.CSVVal,_xlfn.XLOOKUP($A533,CSV!$A:$A,CSV!AF:AF,""),
_xlpm.MacVal,_xlfn.XLOOKUP($A533,Output_Mac!$A:$A,Output_Mac!U:U,""),
_xlpm.MyAuditVal,_xlfn.XLOOKUP($A533,My_Audit!$A:$A,My_Audit!O:O,""),
_xlfn.IFS(_xlpm.MyAuditVal&lt;&gt;"",UPPER(_xlpm.MyAuditVal),_xlpm.MacVal&lt;&gt;"",_xlpm.MacVal,_xlpm.CSVVal&lt;&gt;"",_xlpm.CSVVal
)),"")</f>
        <v/>
      </c>
      <c r="O533" s="54"/>
      <c r="P533" s="54"/>
      <c r="Q533" s="54"/>
      <c r="R533" s="54"/>
      <c r="S533" s="54"/>
      <c r="T533" s="54"/>
      <c r="U533" s="39"/>
    </row>
    <row r="534" spans="1:21">
      <c r="A534" s="54" t="str">
        <f>_xlfn.TEXTJOIN("",TRUE,Input!$B$2,ROW(My_Audit!A533))</f>
        <v>XX533</v>
      </c>
      <c r="B534" s="54" t="str">
        <f>_xlfn.TEXTJOIN("-",TRUE,"ITD",Input!$A$2,A534)</f>
        <v>ITD-SHRXXX-XX533</v>
      </c>
      <c r="C534" s="54" t="str" cm="1">
        <f t="array" ref="C534">IFERROR(_xlfn.LET(
_xlpm.CSVVal,_xlfn.XLOOKUP($A534,CSV!$A:$A,CSV!B:B,""),
_xlpm.MacVal,_xlfn.XLOOKUP($A534,Output_Mac!$A:$A,Output_Mac!B:B,""),
_xlpm.MyAuditVal,_xlfn.XLOOKUP($A534,My_Audit!$A:$A,My_Audit!B:B,""),
_xlfn.IFS(_xlpm.MyAuditVal&lt;&gt;"",UPPER(_xlpm.MyAuditVal),_xlpm.MacVal&lt;&gt;"",_xlpm.MacVal,_xlpm.CSVVal&lt;&gt;"",_xlpm.CSVVal
)),"")</f>
        <v/>
      </c>
      <c r="D534" s="55" t="str">
        <f>_xlfn.XLOOKUP(A534,My_Audit!A:A,My_Audit!D:D,"")&amp;""</f>
        <v/>
      </c>
      <c r="E534" s="55" t="str" cm="1">
        <f t="array" ref="E534">IFERROR(_xlfn.LET(
_xlpm.CSVVal,_xlfn.XLOOKUP($A534,CSV!$A:$A,CSV!D:D,""),
_xlpm.MacVal,_xlfn.XLOOKUP($A534,Output_Mac!$A:$A,Output_Mac!C:C,""),
_xlpm.MyAuditVal,_xlfn.XLOOKUP($A534,My_Audit!$A:$A,My_Audit!D:D,""),
_xlfn.IFS(_xlpm.MyAuditVal&lt;&gt;"",_xlpm.MyAuditVal,_xlpm.MacVal&lt;&gt;"",_xlpm.MacVal,_xlpm.CSVVal&lt;&gt;"",_xlpm.CSVVal
)),"")</f>
        <v/>
      </c>
      <c r="F534" s="54" t="str" cm="1">
        <f t="array" ref="F534">IFERROR(_xlfn.LET(
_xlpm.CSVVal,_xlfn.XLOOKUP($A534,CSV!$A:$A,CSV!E:E,""),
_xlpm.MacVal,_xlfn.XLOOKUP($A534,Output_Mac!$A:$A,Output_Mac!F:F,""),
_xlpm.MyAuditVal,_xlfn.XLOOKUP($A534,My_Audit!$A:$A,My_Audit!E:E,""),
_xlfn.IFS(_xlpm.MyAuditVal&lt;&gt;"",_xlpm.MyAuditVal,_xlpm.MacVal&lt;&gt;"",_xlpm.MacVal,_xlpm.CSVVal&lt;&gt;"",PROPER(_xlpm.CSVVal)
)),"")</f>
        <v/>
      </c>
      <c r="G534" s="54" t="str" cm="1">
        <f t="array" ref="G534">IFERROR(_xlfn.LET(
_xlpm.CSVVal,_xlfn.XLOOKUP($A534,CSV!$A:$A,CSV!F:F,""),
_xlpm.MacVal,_xlfn.XLOOKUP($A534,Output_Mac!$A:$A,Output_Mac!H:H,""),
_xlpm.MyAuditVal,_xlfn.XLOOKUP($A534,My_Audit!$A:$A,My_Audit!F:F,""),
_xlfn.IFS(_xlpm.MyAuditVal&lt;&gt;"",_xlpm.MyAuditVal,_xlpm.MacVal&lt;&gt;"",_xlpm.MacVal,_xlpm.CSVVal&lt;&gt;"",_xlpm.CSVVal
)),"")</f>
        <v/>
      </c>
      <c r="H534" s="54" t="str">
        <f>_xlfn.XLOOKUP(A534,Output_Mac!A:A,Output_Mac!I:I,"")</f>
        <v/>
      </c>
      <c r="I534" s="54" t="str" cm="1">
        <f t="array" ref="I534">IFERROR(_xlfn.LET(
_xlpm.CSVVal,_xlfn.XLOOKUP($A534,CSV!$A:$A,CSV!G:G,""),
_xlpm.MacVal,_xlfn.XLOOKUP($A534,Output_Mac!$A:$A,Output_Mac!J:J,""),
_xlpm.MyAuditVal,_xlfn.XLOOKUP($A534,My_Audit!$A:$A,My_Audit!H:H,""),
_xlfn.IFS(_xlpm.MyAuditVal&lt;&gt;"",UPPER(_xlpm.MyAuditVal),_xlpm.MacVal&lt;&gt;"",_xlpm.MacVal,_xlpm.CSVVal&lt;&gt;"",_xlpm.CSVVal
)),"")</f>
        <v/>
      </c>
      <c r="J534" s="54" t="str" cm="1">
        <f t="array" ref="J534">IFERROR(_xlfn.LET(
_xlpm.CSVVal,_xlfn.XLOOKUP($A534,CSV!$A:$A,CSV!I:I,""),
_xlpm.MacVal,_xlfn.XLOOKUP($A534,Output_Mac!$A:$A,Output_Mac!K:K,""),
_xlpm.MyAuditVal,_xlfn.XLOOKUP($A534,My_Audit!$A:$A,My_Audit!I:I,""),
_xlfn.IFS(_xlpm.MyAuditVal&lt;&gt;"",UPPER(_xlpm.MyAuditVal),_xlpm.MacVal&lt;&gt;"",_xlpm.MacVal,_xlpm.CSVVal&lt;&gt;"",_xlpm.CSVVal
)),"")</f>
        <v/>
      </c>
      <c r="K534" s="54" t="str" cm="1">
        <f t="array" ref="K534">IFERROR(_xlfn.LET(
_xlpm.CSVVal,_xlfn.XLOOKUP($A534,CSV!$A:$A,CSV!M:M,""),
_xlpm.MacVal,_xlfn.XLOOKUP($A534,Output_Mac!$A:$A,Output_Mac!L:L,""),
_xlpm.MyAuditVal,_xlfn.XLOOKUP($A534,My_Audit!$A:$A,My_Audit!J:J,""),
_xlfn.IFS(_xlpm.MyAuditVal&lt;&gt;"",UPPER(_xlpm.MyAuditVal),_xlpm.MacVal&lt;&gt;"",_xlpm.MacVal,_xlpm.CSVVal&lt;&gt;"",_xlpm.CSVVal
)),"")</f>
        <v/>
      </c>
      <c r="L534" s="54" t="str" cm="1">
        <f t="array" ref="L534">IFERROR(_xlfn.LET(
_xlpm.CSVVal,_xlfn.XLOOKUP($A534,CSV!$A:$A,CSV!O:O,""),
_xlpm.MacVal,_xlfn.XLOOKUP($A534,Output_Mac!$A:$A,Output_Mac!M:M,""),
_xlpm.MyAuditVal,_xlfn.XLOOKUP($A534,My_Audit!$A:$A,My_Audit!K:K,""),
_xlfn.IFS(_xlpm.MyAuditVal&lt;&gt;"",UPPER(_xlpm.MyAuditVal),_xlpm.MacVal&lt;&gt;"",_xlpm.MacVal,_xlpm.CSVVal&lt;&gt;"",_xlpm.CSVVal
)),"")</f>
        <v/>
      </c>
      <c r="M534" s="54" t="str">
        <f>_xlfn.LET(
    _xlpm.CSVVal, _xlfn.XLOOKUP($A534, CSV!$A:$A, CSV!AD:AD, ""),
    _xlpm.MacVal, _xlfn.XLOOKUP($A534, Output_Mac!$A:$A, Output_Mac!S:S, ""),
    _xlpm.MyAuditVal, _xlfn.XLOOKUP($A534, My_Audit!$A:$A, My_Audit!N:N, ""),
    _xlfn.TEXTJOIN(", ", TRUE, _xlpm.MyAuditVal, _xlpm.MacVal, _xlpm.CSVVal)
)</f>
        <v/>
      </c>
      <c r="N534" s="54" t="str" cm="1">
        <f t="array" ref="N534">IFERROR(_xlfn.LET(
_xlpm.CSVVal,_xlfn.XLOOKUP($A534,CSV!$A:$A,CSV!AF:AF,""),
_xlpm.MacVal,_xlfn.XLOOKUP($A534,Output_Mac!$A:$A,Output_Mac!U:U,""),
_xlpm.MyAuditVal,_xlfn.XLOOKUP($A534,My_Audit!$A:$A,My_Audit!O:O,""),
_xlfn.IFS(_xlpm.MyAuditVal&lt;&gt;"",UPPER(_xlpm.MyAuditVal),_xlpm.MacVal&lt;&gt;"",_xlpm.MacVal,_xlpm.CSVVal&lt;&gt;"",_xlpm.CSVVal
)),"")</f>
        <v/>
      </c>
      <c r="O534" s="54"/>
      <c r="P534" s="54"/>
      <c r="Q534" s="54"/>
      <c r="R534" s="54"/>
      <c r="S534" s="54"/>
      <c r="T534" s="54"/>
      <c r="U534" s="39"/>
    </row>
    <row r="535" spans="1:21">
      <c r="A535" s="54" t="str">
        <f>_xlfn.TEXTJOIN("",TRUE,Input!$B$2,ROW(My_Audit!A534))</f>
        <v>XX534</v>
      </c>
      <c r="B535" s="54" t="str">
        <f>_xlfn.TEXTJOIN("-",TRUE,"ITD",Input!$A$2,A535)</f>
        <v>ITD-SHRXXX-XX534</v>
      </c>
      <c r="C535" s="54" t="str" cm="1">
        <f t="array" ref="C535">IFERROR(_xlfn.LET(
_xlpm.CSVVal,_xlfn.XLOOKUP($A535,CSV!$A:$A,CSV!B:B,""),
_xlpm.MacVal,_xlfn.XLOOKUP($A535,Output_Mac!$A:$A,Output_Mac!B:B,""),
_xlpm.MyAuditVal,_xlfn.XLOOKUP($A535,My_Audit!$A:$A,My_Audit!B:B,""),
_xlfn.IFS(_xlpm.MyAuditVal&lt;&gt;"",UPPER(_xlpm.MyAuditVal),_xlpm.MacVal&lt;&gt;"",_xlpm.MacVal,_xlpm.CSVVal&lt;&gt;"",_xlpm.CSVVal
)),"")</f>
        <v/>
      </c>
      <c r="D535" s="55" t="str">
        <f>_xlfn.XLOOKUP(A535,My_Audit!A:A,My_Audit!D:D,"")&amp;""</f>
        <v/>
      </c>
      <c r="E535" s="55" t="str" cm="1">
        <f t="array" ref="E535">IFERROR(_xlfn.LET(
_xlpm.CSVVal,_xlfn.XLOOKUP($A535,CSV!$A:$A,CSV!D:D,""),
_xlpm.MacVal,_xlfn.XLOOKUP($A535,Output_Mac!$A:$A,Output_Mac!C:C,""),
_xlpm.MyAuditVal,_xlfn.XLOOKUP($A535,My_Audit!$A:$A,My_Audit!D:D,""),
_xlfn.IFS(_xlpm.MyAuditVal&lt;&gt;"",_xlpm.MyAuditVal,_xlpm.MacVal&lt;&gt;"",_xlpm.MacVal,_xlpm.CSVVal&lt;&gt;"",_xlpm.CSVVal
)),"")</f>
        <v/>
      </c>
      <c r="F535" s="54" t="str" cm="1">
        <f t="array" ref="F535">IFERROR(_xlfn.LET(
_xlpm.CSVVal,_xlfn.XLOOKUP($A535,CSV!$A:$A,CSV!E:E,""),
_xlpm.MacVal,_xlfn.XLOOKUP($A535,Output_Mac!$A:$A,Output_Mac!F:F,""),
_xlpm.MyAuditVal,_xlfn.XLOOKUP($A535,My_Audit!$A:$A,My_Audit!E:E,""),
_xlfn.IFS(_xlpm.MyAuditVal&lt;&gt;"",_xlpm.MyAuditVal,_xlpm.MacVal&lt;&gt;"",_xlpm.MacVal,_xlpm.CSVVal&lt;&gt;"",PROPER(_xlpm.CSVVal)
)),"")</f>
        <v/>
      </c>
      <c r="G535" s="54" t="str" cm="1">
        <f t="array" ref="G535">IFERROR(_xlfn.LET(
_xlpm.CSVVal,_xlfn.XLOOKUP($A535,CSV!$A:$A,CSV!F:F,""),
_xlpm.MacVal,_xlfn.XLOOKUP($A535,Output_Mac!$A:$A,Output_Mac!H:H,""),
_xlpm.MyAuditVal,_xlfn.XLOOKUP($A535,My_Audit!$A:$A,My_Audit!F:F,""),
_xlfn.IFS(_xlpm.MyAuditVal&lt;&gt;"",_xlpm.MyAuditVal,_xlpm.MacVal&lt;&gt;"",_xlpm.MacVal,_xlpm.CSVVal&lt;&gt;"",_xlpm.CSVVal
)),"")</f>
        <v/>
      </c>
      <c r="H535" s="54" t="str">
        <f>_xlfn.XLOOKUP(A535,Output_Mac!A:A,Output_Mac!I:I,"")</f>
        <v/>
      </c>
      <c r="I535" s="54" t="str" cm="1">
        <f t="array" ref="I535">IFERROR(_xlfn.LET(
_xlpm.CSVVal,_xlfn.XLOOKUP($A535,CSV!$A:$A,CSV!G:G,""),
_xlpm.MacVal,_xlfn.XLOOKUP($A535,Output_Mac!$A:$A,Output_Mac!J:J,""),
_xlpm.MyAuditVal,_xlfn.XLOOKUP($A535,My_Audit!$A:$A,My_Audit!H:H,""),
_xlfn.IFS(_xlpm.MyAuditVal&lt;&gt;"",UPPER(_xlpm.MyAuditVal),_xlpm.MacVal&lt;&gt;"",_xlpm.MacVal,_xlpm.CSVVal&lt;&gt;"",_xlpm.CSVVal
)),"")</f>
        <v/>
      </c>
      <c r="J535" s="54" t="str" cm="1">
        <f t="array" ref="J535">IFERROR(_xlfn.LET(
_xlpm.CSVVal,_xlfn.XLOOKUP($A535,CSV!$A:$A,CSV!I:I,""),
_xlpm.MacVal,_xlfn.XLOOKUP($A535,Output_Mac!$A:$A,Output_Mac!K:K,""),
_xlpm.MyAuditVal,_xlfn.XLOOKUP($A535,My_Audit!$A:$A,My_Audit!I:I,""),
_xlfn.IFS(_xlpm.MyAuditVal&lt;&gt;"",UPPER(_xlpm.MyAuditVal),_xlpm.MacVal&lt;&gt;"",_xlpm.MacVal,_xlpm.CSVVal&lt;&gt;"",_xlpm.CSVVal
)),"")</f>
        <v/>
      </c>
      <c r="K535" s="54" t="str" cm="1">
        <f t="array" ref="K535">IFERROR(_xlfn.LET(
_xlpm.CSVVal,_xlfn.XLOOKUP($A535,CSV!$A:$A,CSV!M:M,""),
_xlpm.MacVal,_xlfn.XLOOKUP($A535,Output_Mac!$A:$A,Output_Mac!L:L,""),
_xlpm.MyAuditVal,_xlfn.XLOOKUP($A535,My_Audit!$A:$A,My_Audit!J:J,""),
_xlfn.IFS(_xlpm.MyAuditVal&lt;&gt;"",UPPER(_xlpm.MyAuditVal),_xlpm.MacVal&lt;&gt;"",_xlpm.MacVal,_xlpm.CSVVal&lt;&gt;"",_xlpm.CSVVal
)),"")</f>
        <v/>
      </c>
      <c r="L535" s="54" t="str" cm="1">
        <f t="array" ref="L535">IFERROR(_xlfn.LET(
_xlpm.CSVVal,_xlfn.XLOOKUP($A535,CSV!$A:$A,CSV!O:O,""),
_xlpm.MacVal,_xlfn.XLOOKUP($A535,Output_Mac!$A:$A,Output_Mac!M:M,""),
_xlpm.MyAuditVal,_xlfn.XLOOKUP($A535,My_Audit!$A:$A,My_Audit!K:K,""),
_xlfn.IFS(_xlpm.MyAuditVal&lt;&gt;"",UPPER(_xlpm.MyAuditVal),_xlpm.MacVal&lt;&gt;"",_xlpm.MacVal,_xlpm.CSVVal&lt;&gt;"",_xlpm.CSVVal
)),"")</f>
        <v/>
      </c>
      <c r="M535" s="54" t="str">
        <f>_xlfn.LET(
    _xlpm.CSVVal, _xlfn.XLOOKUP($A535, CSV!$A:$A, CSV!AD:AD, ""),
    _xlpm.MacVal, _xlfn.XLOOKUP($A535, Output_Mac!$A:$A, Output_Mac!S:S, ""),
    _xlpm.MyAuditVal, _xlfn.XLOOKUP($A535, My_Audit!$A:$A, My_Audit!N:N, ""),
    _xlfn.TEXTJOIN(", ", TRUE, _xlpm.MyAuditVal, _xlpm.MacVal, _xlpm.CSVVal)
)</f>
        <v/>
      </c>
      <c r="N535" s="54" t="str" cm="1">
        <f t="array" ref="N535">IFERROR(_xlfn.LET(
_xlpm.CSVVal,_xlfn.XLOOKUP($A535,CSV!$A:$A,CSV!AF:AF,""),
_xlpm.MacVal,_xlfn.XLOOKUP($A535,Output_Mac!$A:$A,Output_Mac!U:U,""),
_xlpm.MyAuditVal,_xlfn.XLOOKUP($A535,My_Audit!$A:$A,My_Audit!O:O,""),
_xlfn.IFS(_xlpm.MyAuditVal&lt;&gt;"",UPPER(_xlpm.MyAuditVal),_xlpm.MacVal&lt;&gt;"",_xlpm.MacVal,_xlpm.CSVVal&lt;&gt;"",_xlpm.CSVVal
)),"")</f>
        <v/>
      </c>
      <c r="O535" s="54"/>
      <c r="P535" s="54"/>
      <c r="Q535" s="54"/>
      <c r="R535" s="54"/>
      <c r="S535" s="54"/>
      <c r="T535" s="54"/>
      <c r="U535" s="39"/>
    </row>
    <row r="536" spans="1:21">
      <c r="A536" s="54" t="str">
        <f>_xlfn.TEXTJOIN("",TRUE,Input!$B$2,ROW(My_Audit!A535))</f>
        <v>XX535</v>
      </c>
      <c r="B536" s="54" t="str">
        <f>_xlfn.TEXTJOIN("-",TRUE,"ITD",Input!$A$2,A536)</f>
        <v>ITD-SHRXXX-XX535</v>
      </c>
      <c r="C536" s="54" t="str" cm="1">
        <f t="array" ref="C536">IFERROR(_xlfn.LET(
_xlpm.CSVVal,_xlfn.XLOOKUP($A536,CSV!$A:$A,CSV!B:B,""),
_xlpm.MacVal,_xlfn.XLOOKUP($A536,Output_Mac!$A:$A,Output_Mac!B:B,""),
_xlpm.MyAuditVal,_xlfn.XLOOKUP($A536,My_Audit!$A:$A,My_Audit!B:B,""),
_xlfn.IFS(_xlpm.MyAuditVal&lt;&gt;"",UPPER(_xlpm.MyAuditVal),_xlpm.MacVal&lt;&gt;"",_xlpm.MacVal,_xlpm.CSVVal&lt;&gt;"",_xlpm.CSVVal
)),"")</f>
        <v/>
      </c>
      <c r="D536" s="55" t="str">
        <f>_xlfn.XLOOKUP(A536,My_Audit!A:A,My_Audit!D:D,"")&amp;""</f>
        <v/>
      </c>
      <c r="E536" s="55" t="str" cm="1">
        <f t="array" ref="E536">IFERROR(_xlfn.LET(
_xlpm.CSVVal,_xlfn.XLOOKUP($A536,CSV!$A:$A,CSV!D:D,""),
_xlpm.MacVal,_xlfn.XLOOKUP($A536,Output_Mac!$A:$A,Output_Mac!C:C,""),
_xlpm.MyAuditVal,_xlfn.XLOOKUP($A536,My_Audit!$A:$A,My_Audit!D:D,""),
_xlfn.IFS(_xlpm.MyAuditVal&lt;&gt;"",_xlpm.MyAuditVal,_xlpm.MacVal&lt;&gt;"",_xlpm.MacVal,_xlpm.CSVVal&lt;&gt;"",_xlpm.CSVVal
)),"")</f>
        <v/>
      </c>
      <c r="F536" s="54" t="str" cm="1">
        <f t="array" ref="F536">IFERROR(_xlfn.LET(
_xlpm.CSVVal,_xlfn.XLOOKUP($A536,CSV!$A:$A,CSV!E:E,""),
_xlpm.MacVal,_xlfn.XLOOKUP($A536,Output_Mac!$A:$A,Output_Mac!F:F,""),
_xlpm.MyAuditVal,_xlfn.XLOOKUP($A536,My_Audit!$A:$A,My_Audit!E:E,""),
_xlfn.IFS(_xlpm.MyAuditVal&lt;&gt;"",_xlpm.MyAuditVal,_xlpm.MacVal&lt;&gt;"",_xlpm.MacVal,_xlpm.CSVVal&lt;&gt;"",PROPER(_xlpm.CSVVal)
)),"")</f>
        <v/>
      </c>
      <c r="G536" s="54" t="str" cm="1">
        <f t="array" ref="G536">IFERROR(_xlfn.LET(
_xlpm.CSVVal,_xlfn.XLOOKUP($A536,CSV!$A:$A,CSV!F:F,""),
_xlpm.MacVal,_xlfn.XLOOKUP($A536,Output_Mac!$A:$A,Output_Mac!H:H,""),
_xlpm.MyAuditVal,_xlfn.XLOOKUP($A536,My_Audit!$A:$A,My_Audit!F:F,""),
_xlfn.IFS(_xlpm.MyAuditVal&lt;&gt;"",_xlpm.MyAuditVal,_xlpm.MacVal&lt;&gt;"",_xlpm.MacVal,_xlpm.CSVVal&lt;&gt;"",_xlpm.CSVVal
)),"")</f>
        <v/>
      </c>
      <c r="H536" s="54" t="str">
        <f>_xlfn.XLOOKUP(A536,Output_Mac!A:A,Output_Mac!I:I,"")</f>
        <v/>
      </c>
      <c r="I536" s="54" t="str" cm="1">
        <f t="array" ref="I536">IFERROR(_xlfn.LET(
_xlpm.CSVVal,_xlfn.XLOOKUP($A536,CSV!$A:$A,CSV!G:G,""),
_xlpm.MacVal,_xlfn.XLOOKUP($A536,Output_Mac!$A:$A,Output_Mac!J:J,""),
_xlpm.MyAuditVal,_xlfn.XLOOKUP($A536,My_Audit!$A:$A,My_Audit!H:H,""),
_xlfn.IFS(_xlpm.MyAuditVal&lt;&gt;"",UPPER(_xlpm.MyAuditVal),_xlpm.MacVal&lt;&gt;"",_xlpm.MacVal,_xlpm.CSVVal&lt;&gt;"",_xlpm.CSVVal
)),"")</f>
        <v/>
      </c>
      <c r="J536" s="54" t="str" cm="1">
        <f t="array" ref="J536">IFERROR(_xlfn.LET(
_xlpm.CSVVal,_xlfn.XLOOKUP($A536,CSV!$A:$A,CSV!I:I,""),
_xlpm.MacVal,_xlfn.XLOOKUP($A536,Output_Mac!$A:$A,Output_Mac!K:K,""),
_xlpm.MyAuditVal,_xlfn.XLOOKUP($A536,My_Audit!$A:$A,My_Audit!I:I,""),
_xlfn.IFS(_xlpm.MyAuditVal&lt;&gt;"",UPPER(_xlpm.MyAuditVal),_xlpm.MacVal&lt;&gt;"",_xlpm.MacVal,_xlpm.CSVVal&lt;&gt;"",_xlpm.CSVVal
)),"")</f>
        <v/>
      </c>
      <c r="K536" s="54" t="str" cm="1">
        <f t="array" ref="K536">IFERROR(_xlfn.LET(
_xlpm.CSVVal,_xlfn.XLOOKUP($A536,CSV!$A:$A,CSV!M:M,""),
_xlpm.MacVal,_xlfn.XLOOKUP($A536,Output_Mac!$A:$A,Output_Mac!L:L,""),
_xlpm.MyAuditVal,_xlfn.XLOOKUP($A536,My_Audit!$A:$A,My_Audit!J:J,""),
_xlfn.IFS(_xlpm.MyAuditVal&lt;&gt;"",UPPER(_xlpm.MyAuditVal),_xlpm.MacVal&lt;&gt;"",_xlpm.MacVal,_xlpm.CSVVal&lt;&gt;"",_xlpm.CSVVal
)),"")</f>
        <v/>
      </c>
      <c r="L536" s="54" t="str" cm="1">
        <f t="array" ref="L536">IFERROR(_xlfn.LET(
_xlpm.CSVVal,_xlfn.XLOOKUP($A536,CSV!$A:$A,CSV!O:O,""),
_xlpm.MacVal,_xlfn.XLOOKUP($A536,Output_Mac!$A:$A,Output_Mac!M:M,""),
_xlpm.MyAuditVal,_xlfn.XLOOKUP($A536,My_Audit!$A:$A,My_Audit!K:K,""),
_xlfn.IFS(_xlpm.MyAuditVal&lt;&gt;"",UPPER(_xlpm.MyAuditVal),_xlpm.MacVal&lt;&gt;"",_xlpm.MacVal,_xlpm.CSVVal&lt;&gt;"",_xlpm.CSVVal
)),"")</f>
        <v/>
      </c>
      <c r="M536" s="54" t="str">
        <f>_xlfn.LET(
    _xlpm.CSVVal, _xlfn.XLOOKUP($A536, CSV!$A:$A, CSV!AD:AD, ""),
    _xlpm.MacVal, _xlfn.XLOOKUP($A536, Output_Mac!$A:$A, Output_Mac!S:S, ""),
    _xlpm.MyAuditVal, _xlfn.XLOOKUP($A536, My_Audit!$A:$A, My_Audit!N:N, ""),
    _xlfn.TEXTJOIN(", ", TRUE, _xlpm.MyAuditVal, _xlpm.MacVal, _xlpm.CSVVal)
)</f>
        <v/>
      </c>
      <c r="N536" s="54" t="str" cm="1">
        <f t="array" ref="N536">IFERROR(_xlfn.LET(
_xlpm.CSVVal,_xlfn.XLOOKUP($A536,CSV!$A:$A,CSV!AF:AF,""),
_xlpm.MacVal,_xlfn.XLOOKUP($A536,Output_Mac!$A:$A,Output_Mac!U:U,""),
_xlpm.MyAuditVal,_xlfn.XLOOKUP($A536,My_Audit!$A:$A,My_Audit!O:O,""),
_xlfn.IFS(_xlpm.MyAuditVal&lt;&gt;"",UPPER(_xlpm.MyAuditVal),_xlpm.MacVal&lt;&gt;"",_xlpm.MacVal,_xlpm.CSVVal&lt;&gt;"",_xlpm.CSVVal
)),"")</f>
        <v/>
      </c>
      <c r="O536" s="54"/>
      <c r="P536" s="54"/>
      <c r="Q536" s="54"/>
      <c r="R536" s="54"/>
      <c r="S536" s="54"/>
      <c r="T536" s="54"/>
      <c r="U536" s="39"/>
    </row>
    <row r="537" spans="1:21">
      <c r="A537" s="54" t="str">
        <f>_xlfn.TEXTJOIN("",TRUE,Input!$B$2,ROW(My_Audit!A536))</f>
        <v>XX536</v>
      </c>
      <c r="B537" s="54" t="str">
        <f>_xlfn.TEXTJOIN("-",TRUE,"ITD",Input!$A$2,A537)</f>
        <v>ITD-SHRXXX-XX536</v>
      </c>
      <c r="C537" s="54" t="str" cm="1">
        <f t="array" ref="C537">IFERROR(_xlfn.LET(
_xlpm.CSVVal,_xlfn.XLOOKUP($A537,CSV!$A:$A,CSV!B:B,""),
_xlpm.MacVal,_xlfn.XLOOKUP($A537,Output_Mac!$A:$A,Output_Mac!B:B,""),
_xlpm.MyAuditVal,_xlfn.XLOOKUP($A537,My_Audit!$A:$A,My_Audit!B:B,""),
_xlfn.IFS(_xlpm.MyAuditVal&lt;&gt;"",UPPER(_xlpm.MyAuditVal),_xlpm.MacVal&lt;&gt;"",_xlpm.MacVal,_xlpm.CSVVal&lt;&gt;"",_xlpm.CSVVal
)),"")</f>
        <v/>
      </c>
      <c r="D537" s="55" t="str">
        <f>_xlfn.XLOOKUP(A537,My_Audit!A:A,My_Audit!D:D,"")&amp;""</f>
        <v/>
      </c>
      <c r="E537" s="55" t="str" cm="1">
        <f t="array" ref="E537">IFERROR(_xlfn.LET(
_xlpm.CSVVal,_xlfn.XLOOKUP($A537,CSV!$A:$A,CSV!D:D,""),
_xlpm.MacVal,_xlfn.XLOOKUP($A537,Output_Mac!$A:$A,Output_Mac!C:C,""),
_xlpm.MyAuditVal,_xlfn.XLOOKUP($A537,My_Audit!$A:$A,My_Audit!D:D,""),
_xlfn.IFS(_xlpm.MyAuditVal&lt;&gt;"",_xlpm.MyAuditVal,_xlpm.MacVal&lt;&gt;"",_xlpm.MacVal,_xlpm.CSVVal&lt;&gt;"",_xlpm.CSVVal
)),"")</f>
        <v/>
      </c>
      <c r="F537" s="54" t="str" cm="1">
        <f t="array" ref="F537">IFERROR(_xlfn.LET(
_xlpm.CSVVal,_xlfn.XLOOKUP($A537,CSV!$A:$A,CSV!E:E,""),
_xlpm.MacVal,_xlfn.XLOOKUP($A537,Output_Mac!$A:$A,Output_Mac!F:F,""),
_xlpm.MyAuditVal,_xlfn.XLOOKUP($A537,My_Audit!$A:$A,My_Audit!E:E,""),
_xlfn.IFS(_xlpm.MyAuditVal&lt;&gt;"",_xlpm.MyAuditVal,_xlpm.MacVal&lt;&gt;"",_xlpm.MacVal,_xlpm.CSVVal&lt;&gt;"",PROPER(_xlpm.CSVVal)
)),"")</f>
        <v/>
      </c>
      <c r="G537" s="54" t="str" cm="1">
        <f t="array" ref="G537">IFERROR(_xlfn.LET(
_xlpm.CSVVal,_xlfn.XLOOKUP($A537,CSV!$A:$A,CSV!F:F,""),
_xlpm.MacVal,_xlfn.XLOOKUP($A537,Output_Mac!$A:$A,Output_Mac!H:H,""),
_xlpm.MyAuditVal,_xlfn.XLOOKUP($A537,My_Audit!$A:$A,My_Audit!F:F,""),
_xlfn.IFS(_xlpm.MyAuditVal&lt;&gt;"",_xlpm.MyAuditVal,_xlpm.MacVal&lt;&gt;"",_xlpm.MacVal,_xlpm.CSVVal&lt;&gt;"",_xlpm.CSVVal
)),"")</f>
        <v/>
      </c>
      <c r="H537" s="54" t="str">
        <f>_xlfn.XLOOKUP(A537,Output_Mac!A:A,Output_Mac!I:I,"")</f>
        <v/>
      </c>
      <c r="I537" s="54" t="str" cm="1">
        <f t="array" ref="I537">IFERROR(_xlfn.LET(
_xlpm.CSVVal,_xlfn.XLOOKUP($A537,CSV!$A:$A,CSV!G:G,""),
_xlpm.MacVal,_xlfn.XLOOKUP($A537,Output_Mac!$A:$A,Output_Mac!J:J,""),
_xlpm.MyAuditVal,_xlfn.XLOOKUP($A537,My_Audit!$A:$A,My_Audit!H:H,""),
_xlfn.IFS(_xlpm.MyAuditVal&lt;&gt;"",UPPER(_xlpm.MyAuditVal),_xlpm.MacVal&lt;&gt;"",_xlpm.MacVal,_xlpm.CSVVal&lt;&gt;"",_xlpm.CSVVal
)),"")</f>
        <v/>
      </c>
      <c r="J537" s="54" t="str" cm="1">
        <f t="array" ref="J537">IFERROR(_xlfn.LET(
_xlpm.CSVVal,_xlfn.XLOOKUP($A537,CSV!$A:$A,CSV!I:I,""),
_xlpm.MacVal,_xlfn.XLOOKUP($A537,Output_Mac!$A:$A,Output_Mac!K:K,""),
_xlpm.MyAuditVal,_xlfn.XLOOKUP($A537,My_Audit!$A:$A,My_Audit!I:I,""),
_xlfn.IFS(_xlpm.MyAuditVal&lt;&gt;"",UPPER(_xlpm.MyAuditVal),_xlpm.MacVal&lt;&gt;"",_xlpm.MacVal,_xlpm.CSVVal&lt;&gt;"",_xlpm.CSVVal
)),"")</f>
        <v/>
      </c>
      <c r="K537" s="54" t="str" cm="1">
        <f t="array" ref="K537">IFERROR(_xlfn.LET(
_xlpm.CSVVal,_xlfn.XLOOKUP($A537,CSV!$A:$A,CSV!M:M,""),
_xlpm.MacVal,_xlfn.XLOOKUP($A537,Output_Mac!$A:$A,Output_Mac!L:L,""),
_xlpm.MyAuditVal,_xlfn.XLOOKUP($A537,My_Audit!$A:$A,My_Audit!J:J,""),
_xlfn.IFS(_xlpm.MyAuditVal&lt;&gt;"",UPPER(_xlpm.MyAuditVal),_xlpm.MacVal&lt;&gt;"",_xlpm.MacVal,_xlpm.CSVVal&lt;&gt;"",_xlpm.CSVVal
)),"")</f>
        <v/>
      </c>
      <c r="L537" s="54" t="str" cm="1">
        <f t="array" ref="L537">IFERROR(_xlfn.LET(
_xlpm.CSVVal,_xlfn.XLOOKUP($A537,CSV!$A:$A,CSV!O:O,""),
_xlpm.MacVal,_xlfn.XLOOKUP($A537,Output_Mac!$A:$A,Output_Mac!M:M,""),
_xlpm.MyAuditVal,_xlfn.XLOOKUP($A537,My_Audit!$A:$A,My_Audit!K:K,""),
_xlfn.IFS(_xlpm.MyAuditVal&lt;&gt;"",UPPER(_xlpm.MyAuditVal),_xlpm.MacVal&lt;&gt;"",_xlpm.MacVal,_xlpm.CSVVal&lt;&gt;"",_xlpm.CSVVal
)),"")</f>
        <v/>
      </c>
      <c r="M537" s="54" t="str">
        <f>_xlfn.LET(
    _xlpm.CSVVal, _xlfn.XLOOKUP($A537, CSV!$A:$A, CSV!AD:AD, ""),
    _xlpm.MacVal, _xlfn.XLOOKUP($A537, Output_Mac!$A:$A, Output_Mac!S:S, ""),
    _xlpm.MyAuditVal, _xlfn.XLOOKUP($A537, My_Audit!$A:$A, My_Audit!N:N, ""),
    _xlfn.TEXTJOIN(", ", TRUE, _xlpm.MyAuditVal, _xlpm.MacVal, _xlpm.CSVVal)
)</f>
        <v/>
      </c>
      <c r="N537" s="54" t="str" cm="1">
        <f t="array" ref="N537">IFERROR(_xlfn.LET(
_xlpm.CSVVal,_xlfn.XLOOKUP($A537,CSV!$A:$A,CSV!AF:AF,""),
_xlpm.MacVal,_xlfn.XLOOKUP($A537,Output_Mac!$A:$A,Output_Mac!U:U,""),
_xlpm.MyAuditVal,_xlfn.XLOOKUP($A537,My_Audit!$A:$A,My_Audit!O:O,""),
_xlfn.IFS(_xlpm.MyAuditVal&lt;&gt;"",UPPER(_xlpm.MyAuditVal),_xlpm.MacVal&lt;&gt;"",_xlpm.MacVal,_xlpm.CSVVal&lt;&gt;"",_xlpm.CSVVal
)),"")</f>
        <v/>
      </c>
      <c r="O537" s="54"/>
      <c r="P537" s="54"/>
      <c r="Q537" s="54"/>
      <c r="R537" s="54"/>
      <c r="S537" s="54"/>
      <c r="T537" s="54"/>
      <c r="U537" s="39"/>
    </row>
    <row r="538" spans="1:21">
      <c r="A538" s="54" t="str">
        <f>_xlfn.TEXTJOIN("",TRUE,Input!$B$2,ROW(My_Audit!A537))</f>
        <v>XX537</v>
      </c>
      <c r="B538" s="54" t="str">
        <f>_xlfn.TEXTJOIN("-",TRUE,"ITD",Input!$A$2,A538)</f>
        <v>ITD-SHRXXX-XX537</v>
      </c>
      <c r="C538" s="54" t="str" cm="1">
        <f t="array" ref="C538">IFERROR(_xlfn.LET(
_xlpm.CSVVal,_xlfn.XLOOKUP($A538,CSV!$A:$A,CSV!B:B,""),
_xlpm.MacVal,_xlfn.XLOOKUP($A538,Output_Mac!$A:$A,Output_Mac!B:B,""),
_xlpm.MyAuditVal,_xlfn.XLOOKUP($A538,My_Audit!$A:$A,My_Audit!B:B,""),
_xlfn.IFS(_xlpm.MyAuditVal&lt;&gt;"",UPPER(_xlpm.MyAuditVal),_xlpm.MacVal&lt;&gt;"",_xlpm.MacVal,_xlpm.CSVVal&lt;&gt;"",_xlpm.CSVVal
)),"")</f>
        <v/>
      </c>
      <c r="D538" s="55" t="str">
        <f>_xlfn.XLOOKUP(A538,My_Audit!A:A,My_Audit!D:D,"")&amp;""</f>
        <v/>
      </c>
      <c r="E538" s="55" t="str" cm="1">
        <f t="array" ref="E538">IFERROR(_xlfn.LET(
_xlpm.CSVVal,_xlfn.XLOOKUP($A538,CSV!$A:$A,CSV!D:D,""),
_xlpm.MacVal,_xlfn.XLOOKUP($A538,Output_Mac!$A:$A,Output_Mac!C:C,""),
_xlpm.MyAuditVal,_xlfn.XLOOKUP($A538,My_Audit!$A:$A,My_Audit!D:D,""),
_xlfn.IFS(_xlpm.MyAuditVal&lt;&gt;"",_xlpm.MyAuditVal,_xlpm.MacVal&lt;&gt;"",_xlpm.MacVal,_xlpm.CSVVal&lt;&gt;"",_xlpm.CSVVal
)),"")</f>
        <v/>
      </c>
      <c r="F538" s="54" t="str" cm="1">
        <f t="array" ref="F538">IFERROR(_xlfn.LET(
_xlpm.CSVVal,_xlfn.XLOOKUP($A538,CSV!$A:$A,CSV!E:E,""),
_xlpm.MacVal,_xlfn.XLOOKUP($A538,Output_Mac!$A:$A,Output_Mac!F:F,""),
_xlpm.MyAuditVal,_xlfn.XLOOKUP($A538,My_Audit!$A:$A,My_Audit!E:E,""),
_xlfn.IFS(_xlpm.MyAuditVal&lt;&gt;"",_xlpm.MyAuditVal,_xlpm.MacVal&lt;&gt;"",_xlpm.MacVal,_xlpm.CSVVal&lt;&gt;"",PROPER(_xlpm.CSVVal)
)),"")</f>
        <v/>
      </c>
      <c r="G538" s="54" t="str" cm="1">
        <f t="array" ref="G538">IFERROR(_xlfn.LET(
_xlpm.CSVVal,_xlfn.XLOOKUP($A538,CSV!$A:$A,CSV!F:F,""),
_xlpm.MacVal,_xlfn.XLOOKUP($A538,Output_Mac!$A:$A,Output_Mac!H:H,""),
_xlpm.MyAuditVal,_xlfn.XLOOKUP($A538,My_Audit!$A:$A,My_Audit!F:F,""),
_xlfn.IFS(_xlpm.MyAuditVal&lt;&gt;"",_xlpm.MyAuditVal,_xlpm.MacVal&lt;&gt;"",_xlpm.MacVal,_xlpm.CSVVal&lt;&gt;"",_xlpm.CSVVal
)),"")</f>
        <v/>
      </c>
      <c r="H538" s="54" t="str">
        <f>_xlfn.XLOOKUP(A538,Output_Mac!A:A,Output_Mac!I:I,"")</f>
        <v/>
      </c>
      <c r="I538" s="54" t="str" cm="1">
        <f t="array" ref="I538">IFERROR(_xlfn.LET(
_xlpm.CSVVal,_xlfn.XLOOKUP($A538,CSV!$A:$A,CSV!G:G,""),
_xlpm.MacVal,_xlfn.XLOOKUP($A538,Output_Mac!$A:$A,Output_Mac!J:J,""),
_xlpm.MyAuditVal,_xlfn.XLOOKUP($A538,My_Audit!$A:$A,My_Audit!H:H,""),
_xlfn.IFS(_xlpm.MyAuditVal&lt;&gt;"",UPPER(_xlpm.MyAuditVal),_xlpm.MacVal&lt;&gt;"",_xlpm.MacVal,_xlpm.CSVVal&lt;&gt;"",_xlpm.CSVVal
)),"")</f>
        <v/>
      </c>
      <c r="J538" s="54" t="str" cm="1">
        <f t="array" ref="J538">IFERROR(_xlfn.LET(
_xlpm.CSVVal,_xlfn.XLOOKUP($A538,CSV!$A:$A,CSV!I:I,""),
_xlpm.MacVal,_xlfn.XLOOKUP($A538,Output_Mac!$A:$A,Output_Mac!K:K,""),
_xlpm.MyAuditVal,_xlfn.XLOOKUP($A538,My_Audit!$A:$A,My_Audit!I:I,""),
_xlfn.IFS(_xlpm.MyAuditVal&lt;&gt;"",UPPER(_xlpm.MyAuditVal),_xlpm.MacVal&lt;&gt;"",_xlpm.MacVal,_xlpm.CSVVal&lt;&gt;"",_xlpm.CSVVal
)),"")</f>
        <v/>
      </c>
      <c r="K538" s="54" t="str" cm="1">
        <f t="array" ref="K538">IFERROR(_xlfn.LET(
_xlpm.CSVVal,_xlfn.XLOOKUP($A538,CSV!$A:$A,CSV!M:M,""),
_xlpm.MacVal,_xlfn.XLOOKUP($A538,Output_Mac!$A:$A,Output_Mac!L:L,""),
_xlpm.MyAuditVal,_xlfn.XLOOKUP($A538,My_Audit!$A:$A,My_Audit!J:J,""),
_xlfn.IFS(_xlpm.MyAuditVal&lt;&gt;"",UPPER(_xlpm.MyAuditVal),_xlpm.MacVal&lt;&gt;"",_xlpm.MacVal,_xlpm.CSVVal&lt;&gt;"",_xlpm.CSVVal
)),"")</f>
        <v/>
      </c>
      <c r="L538" s="54" t="str" cm="1">
        <f t="array" ref="L538">IFERROR(_xlfn.LET(
_xlpm.CSVVal,_xlfn.XLOOKUP($A538,CSV!$A:$A,CSV!O:O,""),
_xlpm.MacVal,_xlfn.XLOOKUP($A538,Output_Mac!$A:$A,Output_Mac!M:M,""),
_xlpm.MyAuditVal,_xlfn.XLOOKUP($A538,My_Audit!$A:$A,My_Audit!K:K,""),
_xlfn.IFS(_xlpm.MyAuditVal&lt;&gt;"",UPPER(_xlpm.MyAuditVal),_xlpm.MacVal&lt;&gt;"",_xlpm.MacVal,_xlpm.CSVVal&lt;&gt;"",_xlpm.CSVVal
)),"")</f>
        <v/>
      </c>
      <c r="M538" s="54" t="str">
        <f>_xlfn.LET(
    _xlpm.CSVVal, _xlfn.XLOOKUP($A538, CSV!$A:$A, CSV!AD:AD, ""),
    _xlpm.MacVal, _xlfn.XLOOKUP($A538, Output_Mac!$A:$A, Output_Mac!S:S, ""),
    _xlpm.MyAuditVal, _xlfn.XLOOKUP($A538, My_Audit!$A:$A, My_Audit!N:N, ""),
    _xlfn.TEXTJOIN(", ", TRUE, _xlpm.MyAuditVal, _xlpm.MacVal, _xlpm.CSVVal)
)</f>
        <v/>
      </c>
      <c r="N538" s="54" t="str" cm="1">
        <f t="array" ref="N538">IFERROR(_xlfn.LET(
_xlpm.CSVVal,_xlfn.XLOOKUP($A538,CSV!$A:$A,CSV!AF:AF,""),
_xlpm.MacVal,_xlfn.XLOOKUP($A538,Output_Mac!$A:$A,Output_Mac!U:U,""),
_xlpm.MyAuditVal,_xlfn.XLOOKUP($A538,My_Audit!$A:$A,My_Audit!O:O,""),
_xlfn.IFS(_xlpm.MyAuditVal&lt;&gt;"",UPPER(_xlpm.MyAuditVal),_xlpm.MacVal&lt;&gt;"",_xlpm.MacVal,_xlpm.CSVVal&lt;&gt;"",_xlpm.CSVVal
)),"")</f>
        <v/>
      </c>
      <c r="O538" s="54"/>
      <c r="P538" s="54"/>
      <c r="Q538" s="54"/>
      <c r="R538" s="54"/>
      <c r="S538" s="54"/>
      <c r="T538" s="54"/>
      <c r="U538" s="39"/>
    </row>
    <row r="539" spans="1:21">
      <c r="A539" s="54" t="str">
        <f>_xlfn.TEXTJOIN("",TRUE,Input!$B$2,ROW(My_Audit!A538))</f>
        <v>XX538</v>
      </c>
      <c r="B539" s="54" t="str">
        <f>_xlfn.TEXTJOIN("-",TRUE,"ITD",Input!$A$2,A539)</f>
        <v>ITD-SHRXXX-XX538</v>
      </c>
      <c r="C539" s="54" t="str" cm="1">
        <f t="array" ref="C539">IFERROR(_xlfn.LET(
_xlpm.CSVVal,_xlfn.XLOOKUP($A539,CSV!$A:$A,CSV!B:B,""),
_xlpm.MacVal,_xlfn.XLOOKUP($A539,Output_Mac!$A:$A,Output_Mac!B:B,""),
_xlpm.MyAuditVal,_xlfn.XLOOKUP($A539,My_Audit!$A:$A,My_Audit!B:B,""),
_xlfn.IFS(_xlpm.MyAuditVal&lt;&gt;"",UPPER(_xlpm.MyAuditVal),_xlpm.MacVal&lt;&gt;"",_xlpm.MacVal,_xlpm.CSVVal&lt;&gt;"",_xlpm.CSVVal
)),"")</f>
        <v/>
      </c>
      <c r="D539" s="55" t="str">
        <f>_xlfn.XLOOKUP(A539,My_Audit!A:A,My_Audit!D:D,"")&amp;""</f>
        <v/>
      </c>
      <c r="E539" s="55" t="str" cm="1">
        <f t="array" ref="E539">IFERROR(_xlfn.LET(
_xlpm.CSVVal,_xlfn.XLOOKUP($A539,CSV!$A:$A,CSV!D:D,""),
_xlpm.MacVal,_xlfn.XLOOKUP($A539,Output_Mac!$A:$A,Output_Mac!C:C,""),
_xlpm.MyAuditVal,_xlfn.XLOOKUP($A539,My_Audit!$A:$A,My_Audit!D:D,""),
_xlfn.IFS(_xlpm.MyAuditVal&lt;&gt;"",_xlpm.MyAuditVal,_xlpm.MacVal&lt;&gt;"",_xlpm.MacVal,_xlpm.CSVVal&lt;&gt;"",_xlpm.CSVVal
)),"")</f>
        <v/>
      </c>
      <c r="F539" s="54" t="str" cm="1">
        <f t="array" ref="F539">IFERROR(_xlfn.LET(
_xlpm.CSVVal,_xlfn.XLOOKUP($A539,CSV!$A:$A,CSV!E:E,""),
_xlpm.MacVal,_xlfn.XLOOKUP($A539,Output_Mac!$A:$A,Output_Mac!F:F,""),
_xlpm.MyAuditVal,_xlfn.XLOOKUP($A539,My_Audit!$A:$A,My_Audit!E:E,""),
_xlfn.IFS(_xlpm.MyAuditVal&lt;&gt;"",_xlpm.MyAuditVal,_xlpm.MacVal&lt;&gt;"",_xlpm.MacVal,_xlpm.CSVVal&lt;&gt;"",PROPER(_xlpm.CSVVal)
)),"")</f>
        <v/>
      </c>
      <c r="G539" s="54" t="str" cm="1">
        <f t="array" ref="G539">IFERROR(_xlfn.LET(
_xlpm.CSVVal,_xlfn.XLOOKUP($A539,CSV!$A:$A,CSV!F:F,""),
_xlpm.MacVal,_xlfn.XLOOKUP($A539,Output_Mac!$A:$A,Output_Mac!H:H,""),
_xlpm.MyAuditVal,_xlfn.XLOOKUP($A539,My_Audit!$A:$A,My_Audit!F:F,""),
_xlfn.IFS(_xlpm.MyAuditVal&lt;&gt;"",_xlpm.MyAuditVal,_xlpm.MacVal&lt;&gt;"",_xlpm.MacVal,_xlpm.CSVVal&lt;&gt;"",_xlpm.CSVVal
)),"")</f>
        <v/>
      </c>
      <c r="H539" s="54" t="str">
        <f>_xlfn.XLOOKUP(A539,Output_Mac!A:A,Output_Mac!I:I,"")</f>
        <v/>
      </c>
      <c r="I539" s="54" t="str" cm="1">
        <f t="array" ref="I539">IFERROR(_xlfn.LET(
_xlpm.CSVVal,_xlfn.XLOOKUP($A539,CSV!$A:$A,CSV!G:G,""),
_xlpm.MacVal,_xlfn.XLOOKUP($A539,Output_Mac!$A:$A,Output_Mac!J:J,""),
_xlpm.MyAuditVal,_xlfn.XLOOKUP($A539,My_Audit!$A:$A,My_Audit!H:H,""),
_xlfn.IFS(_xlpm.MyAuditVal&lt;&gt;"",UPPER(_xlpm.MyAuditVal),_xlpm.MacVal&lt;&gt;"",_xlpm.MacVal,_xlpm.CSVVal&lt;&gt;"",_xlpm.CSVVal
)),"")</f>
        <v/>
      </c>
      <c r="J539" s="54" t="str" cm="1">
        <f t="array" ref="J539">IFERROR(_xlfn.LET(
_xlpm.CSVVal,_xlfn.XLOOKUP($A539,CSV!$A:$A,CSV!I:I,""),
_xlpm.MacVal,_xlfn.XLOOKUP($A539,Output_Mac!$A:$A,Output_Mac!K:K,""),
_xlpm.MyAuditVal,_xlfn.XLOOKUP($A539,My_Audit!$A:$A,My_Audit!I:I,""),
_xlfn.IFS(_xlpm.MyAuditVal&lt;&gt;"",UPPER(_xlpm.MyAuditVal),_xlpm.MacVal&lt;&gt;"",_xlpm.MacVal,_xlpm.CSVVal&lt;&gt;"",_xlpm.CSVVal
)),"")</f>
        <v/>
      </c>
      <c r="K539" s="54" t="str" cm="1">
        <f t="array" ref="K539">IFERROR(_xlfn.LET(
_xlpm.CSVVal,_xlfn.XLOOKUP($A539,CSV!$A:$A,CSV!M:M,""),
_xlpm.MacVal,_xlfn.XLOOKUP($A539,Output_Mac!$A:$A,Output_Mac!L:L,""),
_xlpm.MyAuditVal,_xlfn.XLOOKUP($A539,My_Audit!$A:$A,My_Audit!J:J,""),
_xlfn.IFS(_xlpm.MyAuditVal&lt;&gt;"",UPPER(_xlpm.MyAuditVal),_xlpm.MacVal&lt;&gt;"",_xlpm.MacVal,_xlpm.CSVVal&lt;&gt;"",_xlpm.CSVVal
)),"")</f>
        <v/>
      </c>
      <c r="L539" s="54" t="str" cm="1">
        <f t="array" ref="L539">IFERROR(_xlfn.LET(
_xlpm.CSVVal,_xlfn.XLOOKUP($A539,CSV!$A:$A,CSV!O:O,""),
_xlpm.MacVal,_xlfn.XLOOKUP($A539,Output_Mac!$A:$A,Output_Mac!M:M,""),
_xlpm.MyAuditVal,_xlfn.XLOOKUP($A539,My_Audit!$A:$A,My_Audit!K:K,""),
_xlfn.IFS(_xlpm.MyAuditVal&lt;&gt;"",UPPER(_xlpm.MyAuditVal),_xlpm.MacVal&lt;&gt;"",_xlpm.MacVal,_xlpm.CSVVal&lt;&gt;"",_xlpm.CSVVal
)),"")</f>
        <v/>
      </c>
      <c r="M539" s="54" t="str">
        <f>_xlfn.LET(
    _xlpm.CSVVal, _xlfn.XLOOKUP($A539, CSV!$A:$A, CSV!AD:AD, ""),
    _xlpm.MacVal, _xlfn.XLOOKUP($A539, Output_Mac!$A:$A, Output_Mac!S:S, ""),
    _xlpm.MyAuditVal, _xlfn.XLOOKUP($A539, My_Audit!$A:$A, My_Audit!N:N, ""),
    _xlfn.TEXTJOIN(", ", TRUE, _xlpm.MyAuditVal, _xlpm.MacVal, _xlpm.CSVVal)
)</f>
        <v/>
      </c>
      <c r="N539" s="54" t="str" cm="1">
        <f t="array" ref="N539">IFERROR(_xlfn.LET(
_xlpm.CSVVal,_xlfn.XLOOKUP($A539,CSV!$A:$A,CSV!AF:AF,""),
_xlpm.MacVal,_xlfn.XLOOKUP($A539,Output_Mac!$A:$A,Output_Mac!U:U,""),
_xlpm.MyAuditVal,_xlfn.XLOOKUP($A539,My_Audit!$A:$A,My_Audit!O:O,""),
_xlfn.IFS(_xlpm.MyAuditVal&lt;&gt;"",UPPER(_xlpm.MyAuditVal),_xlpm.MacVal&lt;&gt;"",_xlpm.MacVal,_xlpm.CSVVal&lt;&gt;"",_xlpm.CSVVal
)),"")</f>
        <v/>
      </c>
      <c r="O539" s="54"/>
      <c r="P539" s="54"/>
      <c r="Q539" s="54"/>
      <c r="R539" s="54"/>
      <c r="S539" s="54"/>
      <c r="T539" s="54"/>
      <c r="U539" s="39"/>
    </row>
    <row r="540" spans="1:21">
      <c r="A540" s="54" t="str">
        <f>_xlfn.TEXTJOIN("",TRUE,Input!$B$2,ROW(My_Audit!A539))</f>
        <v>XX539</v>
      </c>
      <c r="B540" s="54" t="str">
        <f>_xlfn.TEXTJOIN("-",TRUE,"ITD",Input!$A$2,A540)</f>
        <v>ITD-SHRXXX-XX539</v>
      </c>
      <c r="C540" s="54" t="str" cm="1">
        <f t="array" ref="C540">IFERROR(_xlfn.LET(
_xlpm.CSVVal,_xlfn.XLOOKUP($A540,CSV!$A:$A,CSV!B:B,""),
_xlpm.MacVal,_xlfn.XLOOKUP($A540,Output_Mac!$A:$A,Output_Mac!B:B,""),
_xlpm.MyAuditVal,_xlfn.XLOOKUP($A540,My_Audit!$A:$A,My_Audit!B:B,""),
_xlfn.IFS(_xlpm.MyAuditVal&lt;&gt;"",UPPER(_xlpm.MyAuditVal),_xlpm.MacVal&lt;&gt;"",_xlpm.MacVal,_xlpm.CSVVal&lt;&gt;"",_xlpm.CSVVal
)),"")</f>
        <v/>
      </c>
      <c r="D540" s="55" t="str">
        <f>_xlfn.XLOOKUP(A540,My_Audit!A:A,My_Audit!D:D,"")&amp;""</f>
        <v/>
      </c>
      <c r="E540" s="55" t="str" cm="1">
        <f t="array" ref="E540">IFERROR(_xlfn.LET(
_xlpm.CSVVal,_xlfn.XLOOKUP($A540,CSV!$A:$A,CSV!D:D,""),
_xlpm.MacVal,_xlfn.XLOOKUP($A540,Output_Mac!$A:$A,Output_Mac!C:C,""),
_xlpm.MyAuditVal,_xlfn.XLOOKUP($A540,My_Audit!$A:$A,My_Audit!D:D,""),
_xlfn.IFS(_xlpm.MyAuditVal&lt;&gt;"",_xlpm.MyAuditVal,_xlpm.MacVal&lt;&gt;"",_xlpm.MacVal,_xlpm.CSVVal&lt;&gt;"",_xlpm.CSVVal
)),"")</f>
        <v/>
      </c>
      <c r="F540" s="54" t="str" cm="1">
        <f t="array" ref="F540">IFERROR(_xlfn.LET(
_xlpm.CSVVal,_xlfn.XLOOKUP($A540,CSV!$A:$A,CSV!E:E,""),
_xlpm.MacVal,_xlfn.XLOOKUP($A540,Output_Mac!$A:$A,Output_Mac!F:F,""),
_xlpm.MyAuditVal,_xlfn.XLOOKUP($A540,My_Audit!$A:$A,My_Audit!E:E,""),
_xlfn.IFS(_xlpm.MyAuditVal&lt;&gt;"",_xlpm.MyAuditVal,_xlpm.MacVal&lt;&gt;"",_xlpm.MacVal,_xlpm.CSVVal&lt;&gt;"",PROPER(_xlpm.CSVVal)
)),"")</f>
        <v/>
      </c>
      <c r="G540" s="54" t="str" cm="1">
        <f t="array" ref="G540">IFERROR(_xlfn.LET(
_xlpm.CSVVal,_xlfn.XLOOKUP($A540,CSV!$A:$A,CSV!F:F,""),
_xlpm.MacVal,_xlfn.XLOOKUP($A540,Output_Mac!$A:$A,Output_Mac!H:H,""),
_xlpm.MyAuditVal,_xlfn.XLOOKUP($A540,My_Audit!$A:$A,My_Audit!F:F,""),
_xlfn.IFS(_xlpm.MyAuditVal&lt;&gt;"",_xlpm.MyAuditVal,_xlpm.MacVal&lt;&gt;"",_xlpm.MacVal,_xlpm.CSVVal&lt;&gt;"",_xlpm.CSVVal
)),"")</f>
        <v/>
      </c>
      <c r="H540" s="54" t="str">
        <f>_xlfn.XLOOKUP(A540,Output_Mac!A:A,Output_Mac!I:I,"")</f>
        <v/>
      </c>
      <c r="I540" s="54" t="str" cm="1">
        <f t="array" ref="I540">IFERROR(_xlfn.LET(
_xlpm.CSVVal,_xlfn.XLOOKUP($A540,CSV!$A:$A,CSV!G:G,""),
_xlpm.MacVal,_xlfn.XLOOKUP($A540,Output_Mac!$A:$A,Output_Mac!J:J,""),
_xlpm.MyAuditVal,_xlfn.XLOOKUP($A540,My_Audit!$A:$A,My_Audit!H:H,""),
_xlfn.IFS(_xlpm.MyAuditVal&lt;&gt;"",UPPER(_xlpm.MyAuditVal),_xlpm.MacVal&lt;&gt;"",_xlpm.MacVal,_xlpm.CSVVal&lt;&gt;"",_xlpm.CSVVal
)),"")</f>
        <v/>
      </c>
      <c r="J540" s="54" t="str" cm="1">
        <f t="array" ref="J540">IFERROR(_xlfn.LET(
_xlpm.CSVVal,_xlfn.XLOOKUP($A540,CSV!$A:$A,CSV!I:I,""),
_xlpm.MacVal,_xlfn.XLOOKUP($A540,Output_Mac!$A:$A,Output_Mac!K:K,""),
_xlpm.MyAuditVal,_xlfn.XLOOKUP($A540,My_Audit!$A:$A,My_Audit!I:I,""),
_xlfn.IFS(_xlpm.MyAuditVal&lt;&gt;"",UPPER(_xlpm.MyAuditVal),_xlpm.MacVal&lt;&gt;"",_xlpm.MacVal,_xlpm.CSVVal&lt;&gt;"",_xlpm.CSVVal
)),"")</f>
        <v/>
      </c>
      <c r="K540" s="54" t="str" cm="1">
        <f t="array" ref="K540">IFERROR(_xlfn.LET(
_xlpm.CSVVal,_xlfn.XLOOKUP($A540,CSV!$A:$A,CSV!M:M,""),
_xlpm.MacVal,_xlfn.XLOOKUP($A540,Output_Mac!$A:$A,Output_Mac!L:L,""),
_xlpm.MyAuditVal,_xlfn.XLOOKUP($A540,My_Audit!$A:$A,My_Audit!J:J,""),
_xlfn.IFS(_xlpm.MyAuditVal&lt;&gt;"",UPPER(_xlpm.MyAuditVal),_xlpm.MacVal&lt;&gt;"",_xlpm.MacVal,_xlpm.CSVVal&lt;&gt;"",_xlpm.CSVVal
)),"")</f>
        <v/>
      </c>
      <c r="L540" s="54" t="str" cm="1">
        <f t="array" ref="L540">IFERROR(_xlfn.LET(
_xlpm.CSVVal,_xlfn.XLOOKUP($A540,CSV!$A:$A,CSV!O:O,""),
_xlpm.MacVal,_xlfn.XLOOKUP($A540,Output_Mac!$A:$A,Output_Mac!M:M,""),
_xlpm.MyAuditVal,_xlfn.XLOOKUP($A540,My_Audit!$A:$A,My_Audit!K:K,""),
_xlfn.IFS(_xlpm.MyAuditVal&lt;&gt;"",UPPER(_xlpm.MyAuditVal),_xlpm.MacVal&lt;&gt;"",_xlpm.MacVal,_xlpm.CSVVal&lt;&gt;"",_xlpm.CSVVal
)),"")</f>
        <v/>
      </c>
      <c r="M540" s="54" t="str">
        <f>_xlfn.LET(
    _xlpm.CSVVal, _xlfn.XLOOKUP($A540, CSV!$A:$A, CSV!AD:AD, ""),
    _xlpm.MacVal, _xlfn.XLOOKUP($A540, Output_Mac!$A:$A, Output_Mac!S:S, ""),
    _xlpm.MyAuditVal, _xlfn.XLOOKUP($A540, My_Audit!$A:$A, My_Audit!N:N, ""),
    _xlfn.TEXTJOIN(", ", TRUE, _xlpm.MyAuditVal, _xlpm.MacVal, _xlpm.CSVVal)
)</f>
        <v/>
      </c>
      <c r="N540" s="54" t="str" cm="1">
        <f t="array" ref="N540">IFERROR(_xlfn.LET(
_xlpm.CSVVal,_xlfn.XLOOKUP($A540,CSV!$A:$A,CSV!AF:AF,""),
_xlpm.MacVal,_xlfn.XLOOKUP($A540,Output_Mac!$A:$A,Output_Mac!U:U,""),
_xlpm.MyAuditVal,_xlfn.XLOOKUP($A540,My_Audit!$A:$A,My_Audit!O:O,""),
_xlfn.IFS(_xlpm.MyAuditVal&lt;&gt;"",UPPER(_xlpm.MyAuditVal),_xlpm.MacVal&lt;&gt;"",_xlpm.MacVal,_xlpm.CSVVal&lt;&gt;"",_xlpm.CSVVal
)),"")</f>
        <v/>
      </c>
      <c r="O540" s="54"/>
      <c r="P540" s="54"/>
      <c r="Q540" s="54"/>
      <c r="R540" s="54"/>
      <c r="S540" s="54"/>
      <c r="T540" s="54"/>
      <c r="U540" s="39"/>
    </row>
    <row r="541" spans="1:21">
      <c r="A541" s="54" t="str">
        <f>_xlfn.TEXTJOIN("",TRUE,Input!$B$2,ROW(My_Audit!A540))</f>
        <v>XX540</v>
      </c>
      <c r="B541" s="54" t="str">
        <f>_xlfn.TEXTJOIN("-",TRUE,"ITD",Input!$A$2,A541)</f>
        <v>ITD-SHRXXX-XX540</v>
      </c>
      <c r="C541" s="54" t="str" cm="1">
        <f t="array" ref="C541">IFERROR(_xlfn.LET(
_xlpm.CSVVal,_xlfn.XLOOKUP($A541,CSV!$A:$A,CSV!B:B,""),
_xlpm.MacVal,_xlfn.XLOOKUP($A541,Output_Mac!$A:$A,Output_Mac!B:B,""),
_xlpm.MyAuditVal,_xlfn.XLOOKUP($A541,My_Audit!$A:$A,My_Audit!B:B,""),
_xlfn.IFS(_xlpm.MyAuditVal&lt;&gt;"",UPPER(_xlpm.MyAuditVal),_xlpm.MacVal&lt;&gt;"",_xlpm.MacVal,_xlpm.CSVVal&lt;&gt;"",_xlpm.CSVVal
)),"")</f>
        <v/>
      </c>
      <c r="D541" s="55" t="str">
        <f>_xlfn.XLOOKUP(A541,My_Audit!A:A,My_Audit!D:D,"")&amp;""</f>
        <v/>
      </c>
      <c r="E541" s="55" t="str" cm="1">
        <f t="array" ref="E541">IFERROR(_xlfn.LET(
_xlpm.CSVVal,_xlfn.XLOOKUP($A541,CSV!$A:$A,CSV!D:D,""),
_xlpm.MacVal,_xlfn.XLOOKUP($A541,Output_Mac!$A:$A,Output_Mac!C:C,""),
_xlpm.MyAuditVal,_xlfn.XLOOKUP($A541,My_Audit!$A:$A,My_Audit!D:D,""),
_xlfn.IFS(_xlpm.MyAuditVal&lt;&gt;"",_xlpm.MyAuditVal,_xlpm.MacVal&lt;&gt;"",_xlpm.MacVal,_xlpm.CSVVal&lt;&gt;"",_xlpm.CSVVal
)),"")</f>
        <v/>
      </c>
      <c r="F541" s="54" t="str" cm="1">
        <f t="array" ref="F541">IFERROR(_xlfn.LET(
_xlpm.CSVVal,_xlfn.XLOOKUP($A541,CSV!$A:$A,CSV!E:E,""),
_xlpm.MacVal,_xlfn.XLOOKUP($A541,Output_Mac!$A:$A,Output_Mac!F:F,""),
_xlpm.MyAuditVal,_xlfn.XLOOKUP($A541,My_Audit!$A:$A,My_Audit!E:E,""),
_xlfn.IFS(_xlpm.MyAuditVal&lt;&gt;"",_xlpm.MyAuditVal,_xlpm.MacVal&lt;&gt;"",_xlpm.MacVal,_xlpm.CSVVal&lt;&gt;"",PROPER(_xlpm.CSVVal)
)),"")</f>
        <v/>
      </c>
      <c r="G541" s="54" t="str" cm="1">
        <f t="array" ref="G541">IFERROR(_xlfn.LET(
_xlpm.CSVVal,_xlfn.XLOOKUP($A541,CSV!$A:$A,CSV!F:F,""),
_xlpm.MacVal,_xlfn.XLOOKUP($A541,Output_Mac!$A:$A,Output_Mac!H:H,""),
_xlpm.MyAuditVal,_xlfn.XLOOKUP($A541,My_Audit!$A:$A,My_Audit!F:F,""),
_xlfn.IFS(_xlpm.MyAuditVal&lt;&gt;"",_xlpm.MyAuditVal,_xlpm.MacVal&lt;&gt;"",_xlpm.MacVal,_xlpm.CSVVal&lt;&gt;"",_xlpm.CSVVal
)),"")</f>
        <v/>
      </c>
      <c r="H541" s="54" t="str">
        <f>_xlfn.XLOOKUP(A541,Output_Mac!A:A,Output_Mac!I:I,"")</f>
        <v/>
      </c>
      <c r="I541" s="54" t="str" cm="1">
        <f t="array" ref="I541">IFERROR(_xlfn.LET(
_xlpm.CSVVal,_xlfn.XLOOKUP($A541,CSV!$A:$A,CSV!G:G,""),
_xlpm.MacVal,_xlfn.XLOOKUP($A541,Output_Mac!$A:$A,Output_Mac!J:J,""),
_xlpm.MyAuditVal,_xlfn.XLOOKUP($A541,My_Audit!$A:$A,My_Audit!H:H,""),
_xlfn.IFS(_xlpm.MyAuditVal&lt;&gt;"",UPPER(_xlpm.MyAuditVal),_xlpm.MacVal&lt;&gt;"",_xlpm.MacVal,_xlpm.CSVVal&lt;&gt;"",_xlpm.CSVVal
)),"")</f>
        <v/>
      </c>
      <c r="J541" s="54" t="str" cm="1">
        <f t="array" ref="J541">IFERROR(_xlfn.LET(
_xlpm.CSVVal,_xlfn.XLOOKUP($A541,CSV!$A:$A,CSV!I:I,""),
_xlpm.MacVal,_xlfn.XLOOKUP($A541,Output_Mac!$A:$A,Output_Mac!K:K,""),
_xlpm.MyAuditVal,_xlfn.XLOOKUP($A541,My_Audit!$A:$A,My_Audit!I:I,""),
_xlfn.IFS(_xlpm.MyAuditVal&lt;&gt;"",UPPER(_xlpm.MyAuditVal),_xlpm.MacVal&lt;&gt;"",_xlpm.MacVal,_xlpm.CSVVal&lt;&gt;"",_xlpm.CSVVal
)),"")</f>
        <v/>
      </c>
      <c r="K541" s="54" t="str" cm="1">
        <f t="array" ref="K541">IFERROR(_xlfn.LET(
_xlpm.CSVVal,_xlfn.XLOOKUP($A541,CSV!$A:$A,CSV!M:M,""),
_xlpm.MacVal,_xlfn.XLOOKUP($A541,Output_Mac!$A:$A,Output_Mac!L:L,""),
_xlpm.MyAuditVal,_xlfn.XLOOKUP($A541,My_Audit!$A:$A,My_Audit!J:J,""),
_xlfn.IFS(_xlpm.MyAuditVal&lt;&gt;"",UPPER(_xlpm.MyAuditVal),_xlpm.MacVal&lt;&gt;"",_xlpm.MacVal,_xlpm.CSVVal&lt;&gt;"",_xlpm.CSVVal
)),"")</f>
        <v/>
      </c>
      <c r="L541" s="54" t="str" cm="1">
        <f t="array" ref="L541">IFERROR(_xlfn.LET(
_xlpm.CSVVal,_xlfn.XLOOKUP($A541,CSV!$A:$A,CSV!O:O,""),
_xlpm.MacVal,_xlfn.XLOOKUP($A541,Output_Mac!$A:$A,Output_Mac!M:M,""),
_xlpm.MyAuditVal,_xlfn.XLOOKUP($A541,My_Audit!$A:$A,My_Audit!K:K,""),
_xlfn.IFS(_xlpm.MyAuditVal&lt;&gt;"",UPPER(_xlpm.MyAuditVal),_xlpm.MacVal&lt;&gt;"",_xlpm.MacVal,_xlpm.CSVVal&lt;&gt;"",_xlpm.CSVVal
)),"")</f>
        <v/>
      </c>
      <c r="M541" s="54" t="str">
        <f>_xlfn.LET(
    _xlpm.CSVVal, _xlfn.XLOOKUP($A541, CSV!$A:$A, CSV!AD:AD, ""),
    _xlpm.MacVal, _xlfn.XLOOKUP($A541, Output_Mac!$A:$A, Output_Mac!S:S, ""),
    _xlpm.MyAuditVal, _xlfn.XLOOKUP($A541, My_Audit!$A:$A, My_Audit!N:N, ""),
    _xlfn.TEXTJOIN(", ", TRUE, _xlpm.MyAuditVal, _xlpm.MacVal, _xlpm.CSVVal)
)</f>
        <v/>
      </c>
      <c r="N541" s="54" t="str" cm="1">
        <f t="array" ref="N541">IFERROR(_xlfn.LET(
_xlpm.CSVVal,_xlfn.XLOOKUP($A541,CSV!$A:$A,CSV!AF:AF,""),
_xlpm.MacVal,_xlfn.XLOOKUP($A541,Output_Mac!$A:$A,Output_Mac!U:U,""),
_xlpm.MyAuditVal,_xlfn.XLOOKUP($A541,My_Audit!$A:$A,My_Audit!O:O,""),
_xlfn.IFS(_xlpm.MyAuditVal&lt;&gt;"",UPPER(_xlpm.MyAuditVal),_xlpm.MacVal&lt;&gt;"",_xlpm.MacVal,_xlpm.CSVVal&lt;&gt;"",_xlpm.CSVVal
)),"")</f>
        <v/>
      </c>
      <c r="O541" s="54"/>
      <c r="P541" s="54"/>
      <c r="Q541" s="54"/>
      <c r="R541" s="54"/>
      <c r="S541" s="54"/>
      <c r="T541" s="54"/>
      <c r="U541" s="39"/>
    </row>
    <row r="542" spans="1:21">
      <c r="A542" s="54" t="str">
        <f>_xlfn.TEXTJOIN("",TRUE,Input!$B$2,ROW(My_Audit!A541))</f>
        <v>XX541</v>
      </c>
      <c r="B542" s="54" t="str">
        <f>_xlfn.TEXTJOIN("-",TRUE,"ITD",Input!$A$2,A542)</f>
        <v>ITD-SHRXXX-XX541</v>
      </c>
      <c r="C542" s="54" t="str" cm="1">
        <f t="array" ref="C542">IFERROR(_xlfn.LET(
_xlpm.CSVVal,_xlfn.XLOOKUP($A542,CSV!$A:$A,CSV!B:B,""),
_xlpm.MacVal,_xlfn.XLOOKUP($A542,Output_Mac!$A:$A,Output_Mac!B:B,""),
_xlpm.MyAuditVal,_xlfn.XLOOKUP($A542,My_Audit!$A:$A,My_Audit!B:B,""),
_xlfn.IFS(_xlpm.MyAuditVal&lt;&gt;"",UPPER(_xlpm.MyAuditVal),_xlpm.MacVal&lt;&gt;"",_xlpm.MacVal,_xlpm.CSVVal&lt;&gt;"",_xlpm.CSVVal
)),"")</f>
        <v/>
      </c>
      <c r="D542" s="55" t="str">
        <f>_xlfn.XLOOKUP(A542,My_Audit!A:A,My_Audit!D:D,"")&amp;""</f>
        <v/>
      </c>
      <c r="E542" s="55" t="str" cm="1">
        <f t="array" ref="E542">IFERROR(_xlfn.LET(
_xlpm.CSVVal,_xlfn.XLOOKUP($A542,CSV!$A:$A,CSV!D:D,""),
_xlpm.MacVal,_xlfn.XLOOKUP($A542,Output_Mac!$A:$A,Output_Mac!C:C,""),
_xlpm.MyAuditVal,_xlfn.XLOOKUP($A542,My_Audit!$A:$A,My_Audit!D:D,""),
_xlfn.IFS(_xlpm.MyAuditVal&lt;&gt;"",_xlpm.MyAuditVal,_xlpm.MacVal&lt;&gt;"",_xlpm.MacVal,_xlpm.CSVVal&lt;&gt;"",_xlpm.CSVVal
)),"")</f>
        <v/>
      </c>
      <c r="F542" s="54" t="str" cm="1">
        <f t="array" ref="F542">IFERROR(_xlfn.LET(
_xlpm.CSVVal,_xlfn.XLOOKUP($A542,CSV!$A:$A,CSV!E:E,""),
_xlpm.MacVal,_xlfn.XLOOKUP($A542,Output_Mac!$A:$A,Output_Mac!F:F,""),
_xlpm.MyAuditVal,_xlfn.XLOOKUP($A542,My_Audit!$A:$A,My_Audit!E:E,""),
_xlfn.IFS(_xlpm.MyAuditVal&lt;&gt;"",_xlpm.MyAuditVal,_xlpm.MacVal&lt;&gt;"",_xlpm.MacVal,_xlpm.CSVVal&lt;&gt;"",PROPER(_xlpm.CSVVal)
)),"")</f>
        <v/>
      </c>
      <c r="G542" s="54" t="str" cm="1">
        <f t="array" ref="G542">IFERROR(_xlfn.LET(
_xlpm.CSVVal,_xlfn.XLOOKUP($A542,CSV!$A:$A,CSV!F:F,""),
_xlpm.MacVal,_xlfn.XLOOKUP($A542,Output_Mac!$A:$A,Output_Mac!H:H,""),
_xlpm.MyAuditVal,_xlfn.XLOOKUP($A542,My_Audit!$A:$A,My_Audit!F:F,""),
_xlfn.IFS(_xlpm.MyAuditVal&lt;&gt;"",_xlpm.MyAuditVal,_xlpm.MacVal&lt;&gt;"",_xlpm.MacVal,_xlpm.CSVVal&lt;&gt;"",_xlpm.CSVVal
)),"")</f>
        <v/>
      </c>
      <c r="H542" s="54" t="str">
        <f>_xlfn.XLOOKUP(A542,Output_Mac!A:A,Output_Mac!I:I,"")</f>
        <v/>
      </c>
      <c r="I542" s="54" t="str" cm="1">
        <f t="array" ref="I542">IFERROR(_xlfn.LET(
_xlpm.CSVVal,_xlfn.XLOOKUP($A542,CSV!$A:$A,CSV!G:G,""),
_xlpm.MacVal,_xlfn.XLOOKUP($A542,Output_Mac!$A:$A,Output_Mac!J:J,""),
_xlpm.MyAuditVal,_xlfn.XLOOKUP($A542,My_Audit!$A:$A,My_Audit!H:H,""),
_xlfn.IFS(_xlpm.MyAuditVal&lt;&gt;"",UPPER(_xlpm.MyAuditVal),_xlpm.MacVal&lt;&gt;"",_xlpm.MacVal,_xlpm.CSVVal&lt;&gt;"",_xlpm.CSVVal
)),"")</f>
        <v/>
      </c>
      <c r="J542" s="54" t="str" cm="1">
        <f t="array" ref="J542">IFERROR(_xlfn.LET(
_xlpm.CSVVal,_xlfn.XLOOKUP($A542,CSV!$A:$A,CSV!I:I,""),
_xlpm.MacVal,_xlfn.XLOOKUP($A542,Output_Mac!$A:$A,Output_Mac!K:K,""),
_xlpm.MyAuditVal,_xlfn.XLOOKUP($A542,My_Audit!$A:$A,My_Audit!I:I,""),
_xlfn.IFS(_xlpm.MyAuditVal&lt;&gt;"",UPPER(_xlpm.MyAuditVal),_xlpm.MacVal&lt;&gt;"",_xlpm.MacVal,_xlpm.CSVVal&lt;&gt;"",_xlpm.CSVVal
)),"")</f>
        <v/>
      </c>
      <c r="K542" s="54" t="str" cm="1">
        <f t="array" ref="K542">IFERROR(_xlfn.LET(
_xlpm.CSVVal,_xlfn.XLOOKUP($A542,CSV!$A:$A,CSV!M:M,""),
_xlpm.MacVal,_xlfn.XLOOKUP($A542,Output_Mac!$A:$A,Output_Mac!L:L,""),
_xlpm.MyAuditVal,_xlfn.XLOOKUP($A542,My_Audit!$A:$A,My_Audit!J:J,""),
_xlfn.IFS(_xlpm.MyAuditVal&lt;&gt;"",UPPER(_xlpm.MyAuditVal),_xlpm.MacVal&lt;&gt;"",_xlpm.MacVal,_xlpm.CSVVal&lt;&gt;"",_xlpm.CSVVal
)),"")</f>
        <v/>
      </c>
      <c r="L542" s="54" t="str" cm="1">
        <f t="array" ref="L542">IFERROR(_xlfn.LET(
_xlpm.CSVVal,_xlfn.XLOOKUP($A542,CSV!$A:$A,CSV!O:O,""),
_xlpm.MacVal,_xlfn.XLOOKUP($A542,Output_Mac!$A:$A,Output_Mac!M:M,""),
_xlpm.MyAuditVal,_xlfn.XLOOKUP($A542,My_Audit!$A:$A,My_Audit!K:K,""),
_xlfn.IFS(_xlpm.MyAuditVal&lt;&gt;"",UPPER(_xlpm.MyAuditVal),_xlpm.MacVal&lt;&gt;"",_xlpm.MacVal,_xlpm.CSVVal&lt;&gt;"",_xlpm.CSVVal
)),"")</f>
        <v/>
      </c>
      <c r="M542" s="54" t="str">
        <f>_xlfn.LET(
    _xlpm.CSVVal, _xlfn.XLOOKUP($A542, CSV!$A:$A, CSV!AD:AD, ""),
    _xlpm.MacVal, _xlfn.XLOOKUP($A542, Output_Mac!$A:$A, Output_Mac!S:S, ""),
    _xlpm.MyAuditVal, _xlfn.XLOOKUP($A542, My_Audit!$A:$A, My_Audit!N:N, ""),
    _xlfn.TEXTJOIN(", ", TRUE, _xlpm.MyAuditVal, _xlpm.MacVal, _xlpm.CSVVal)
)</f>
        <v/>
      </c>
      <c r="N542" s="54" t="str" cm="1">
        <f t="array" ref="N542">IFERROR(_xlfn.LET(
_xlpm.CSVVal,_xlfn.XLOOKUP($A542,CSV!$A:$A,CSV!AF:AF,""),
_xlpm.MacVal,_xlfn.XLOOKUP($A542,Output_Mac!$A:$A,Output_Mac!U:U,""),
_xlpm.MyAuditVal,_xlfn.XLOOKUP($A542,My_Audit!$A:$A,My_Audit!O:O,""),
_xlfn.IFS(_xlpm.MyAuditVal&lt;&gt;"",UPPER(_xlpm.MyAuditVal),_xlpm.MacVal&lt;&gt;"",_xlpm.MacVal,_xlpm.CSVVal&lt;&gt;"",_xlpm.CSVVal
)),"")</f>
        <v/>
      </c>
      <c r="O542" s="54"/>
      <c r="P542" s="54"/>
      <c r="Q542" s="54"/>
      <c r="R542" s="54"/>
      <c r="S542" s="54"/>
      <c r="T542" s="54"/>
      <c r="U542" s="39"/>
    </row>
    <row r="543" spans="1:21">
      <c r="A543" s="54" t="str">
        <f>_xlfn.TEXTJOIN("",TRUE,Input!$B$2,ROW(My_Audit!A542))</f>
        <v>XX542</v>
      </c>
      <c r="B543" s="54" t="str">
        <f>_xlfn.TEXTJOIN("-",TRUE,"ITD",Input!$A$2,A543)</f>
        <v>ITD-SHRXXX-XX542</v>
      </c>
      <c r="C543" s="54" t="str" cm="1">
        <f t="array" ref="C543">IFERROR(_xlfn.LET(
_xlpm.CSVVal,_xlfn.XLOOKUP($A543,CSV!$A:$A,CSV!B:B,""),
_xlpm.MacVal,_xlfn.XLOOKUP($A543,Output_Mac!$A:$A,Output_Mac!B:B,""),
_xlpm.MyAuditVal,_xlfn.XLOOKUP($A543,My_Audit!$A:$A,My_Audit!B:B,""),
_xlfn.IFS(_xlpm.MyAuditVal&lt;&gt;"",UPPER(_xlpm.MyAuditVal),_xlpm.MacVal&lt;&gt;"",_xlpm.MacVal,_xlpm.CSVVal&lt;&gt;"",_xlpm.CSVVal
)),"")</f>
        <v/>
      </c>
      <c r="D543" s="55" t="str">
        <f>_xlfn.XLOOKUP(A543,My_Audit!A:A,My_Audit!D:D,"")&amp;""</f>
        <v/>
      </c>
      <c r="E543" s="55" t="str" cm="1">
        <f t="array" ref="E543">IFERROR(_xlfn.LET(
_xlpm.CSVVal,_xlfn.XLOOKUP($A543,CSV!$A:$A,CSV!D:D,""),
_xlpm.MacVal,_xlfn.XLOOKUP($A543,Output_Mac!$A:$A,Output_Mac!C:C,""),
_xlpm.MyAuditVal,_xlfn.XLOOKUP($A543,My_Audit!$A:$A,My_Audit!D:D,""),
_xlfn.IFS(_xlpm.MyAuditVal&lt;&gt;"",_xlpm.MyAuditVal,_xlpm.MacVal&lt;&gt;"",_xlpm.MacVal,_xlpm.CSVVal&lt;&gt;"",_xlpm.CSVVal
)),"")</f>
        <v/>
      </c>
      <c r="F543" s="54" t="str" cm="1">
        <f t="array" ref="F543">IFERROR(_xlfn.LET(
_xlpm.CSVVal,_xlfn.XLOOKUP($A543,CSV!$A:$A,CSV!E:E,""),
_xlpm.MacVal,_xlfn.XLOOKUP($A543,Output_Mac!$A:$A,Output_Mac!F:F,""),
_xlpm.MyAuditVal,_xlfn.XLOOKUP($A543,My_Audit!$A:$A,My_Audit!E:E,""),
_xlfn.IFS(_xlpm.MyAuditVal&lt;&gt;"",_xlpm.MyAuditVal,_xlpm.MacVal&lt;&gt;"",_xlpm.MacVal,_xlpm.CSVVal&lt;&gt;"",PROPER(_xlpm.CSVVal)
)),"")</f>
        <v/>
      </c>
      <c r="G543" s="54" t="str" cm="1">
        <f t="array" ref="G543">IFERROR(_xlfn.LET(
_xlpm.CSVVal,_xlfn.XLOOKUP($A543,CSV!$A:$A,CSV!F:F,""),
_xlpm.MacVal,_xlfn.XLOOKUP($A543,Output_Mac!$A:$A,Output_Mac!H:H,""),
_xlpm.MyAuditVal,_xlfn.XLOOKUP($A543,My_Audit!$A:$A,My_Audit!F:F,""),
_xlfn.IFS(_xlpm.MyAuditVal&lt;&gt;"",_xlpm.MyAuditVal,_xlpm.MacVal&lt;&gt;"",_xlpm.MacVal,_xlpm.CSVVal&lt;&gt;"",_xlpm.CSVVal
)),"")</f>
        <v/>
      </c>
      <c r="H543" s="54" t="str">
        <f>_xlfn.XLOOKUP(A543,Output_Mac!A:A,Output_Mac!I:I,"")</f>
        <v/>
      </c>
      <c r="I543" s="54" t="str" cm="1">
        <f t="array" ref="I543">IFERROR(_xlfn.LET(
_xlpm.CSVVal,_xlfn.XLOOKUP($A543,CSV!$A:$A,CSV!G:G,""),
_xlpm.MacVal,_xlfn.XLOOKUP($A543,Output_Mac!$A:$A,Output_Mac!J:J,""),
_xlpm.MyAuditVal,_xlfn.XLOOKUP($A543,My_Audit!$A:$A,My_Audit!H:H,""),
_xlfn.IFS(_xlpm.MyAuditVal&lt;&gt;"",UPPER(_xlpm.MyAuditVal),_xlpm.MacVal&lt;&gt;"",_xlpm.MacVal,_xlpm.CSVVal&lt;&gt;"",_xlpm.CSVVal
)),"")</f>
        <v/>
      </c>
      <c r="J543" s="54" t="str" cm="1">
        <f t="array" ref="J543">IFERROR(_xlfn.LET(
_xlpm.CSVVal,_xlfn.XLOOKUP($A543,CSV!$A:$A,CSV!I:I,""),
_xlpm.MacVal,_xlfn.XLOOKUP($A543,Output_Mac!$A:$A,Output_Mac!K:K,""),
_xlpm.MyAuditVal,_xlfn.XLOOKUP($A543,My_Audit!$A:$A,My_Audit!I:I,""),
_xlfn.IFS(_xlpm.MyAuditVal&lt;&gt;"",UPPER(_xlpm.MyAuditVal),_xlpm.MacVal&lt;&gt;"",_xlpm.MacVal,_xlpm.CSVVal&lt;&gt;"",_xlpm.CSVVal
)),"")</f>
        <v/>
      </c>
      <c r="K543" s="54" t="str" cm="1">
        <f t="array" ref="K543">IFERROR(_xlfn.LET(
_xlpm.CSVVal,_xlfn.XLOOKUP($A543,CSV!$A:$A,CSV!M:M,""),
_xlpm.MacVal,_xlfn.XLOOKUP($A543,Output_Mac!$A:$A,Output_Mac!L:L,""),
_xlpm.MyAuditVal,_xlfn.XLOOKUP($A543,My_Audit!$A:$A,My_Audit!J:J,""),
_xlfn.IFS(_xlpm.MyAuditVal&lt;&gt;"",UPPER(_xlpm.MyAuditVal),_xlpm.MacVal&lt;&gt;"",_xlpm.MacVal,_xlpm.CSVVal&lt;&gt;"",_xlpm.CSVVal
)),"")</f>
        <v/>
      </c>
      <c r="L543" s="54" t="str" cm="1">
        <f t="array" ref="L543">IFERROR(_xlfn.LET(
_xlpm.CSVVal,_xlfn.XLOOKUP($A543,CSV!$A:$A,CSV!O:O,""),
_xlpm.MacVal,_xlfn.XLOOKUP($A543,Output_Mac!$A:$A,Output_Mac!M:M,""),
_xlpm.MyAuditVal,_xlfn.XLOOKUP($A543,My_Audit!$A:$A,My_Audit!K:K,""),
_xlfn.IFS(_xlpm.MyAuditVal&lt;&gt;"",UPPER(_xlpm.MyAuditVal),_xlpm.MacVal&lt;&gt;"",_xlpm.MacVal,_xlpm.CSVVal&lt;&gt;"",_xlpm.CSVVal
)),"")</f>
        <v/>
      </c>
      <c r="M543" s="54" t="str">
        <f>_xlfn.LET(
    _xlpm.CSVVal, _xlfn.XLOOKUP($A543, CSV!$A:$A, CSV!AD:AD, ""),
    _xlpm.MacVal, _xlfn.XLOOKUP($A543, Output_Mac!$A:$A, Output_Mac!S:S, ""),
    _xlpm.MyAuditVal, _xlfn.XLOOKUP($A543, My_Audit!$A:$A, My_Audit!N:N, ""),
    _xlfn.TEXTJOIN(", ", TRUE, _xlpm.MyAuditVal, _xlpm.MacVal, _xlpm.CSVVal)
)</f>
        <v/>
      </c>
      <c r="N543" s="54" t="str" cm="1">
        <f t="array" ref="N543">IFERROR(_xlfn.LET(
_xlpm.CSVVal,_xlfn.XLOOKUP($A543,CSV!$A:$A,CSV!AF:AF,""),
_xlpm.MacVal,_xlfn.XLOOKUP($A543,Output_Mac!$A:$A,Output_Mac!U:U,""),
_xlpm.MyAuditVal,_xlfn.XLOOKUP($A543,My_Audit!$A:$A,My_Audit!O:O,""),
_xlfn.IFS(_xlpm.MyAuditVal&lt;&gt;"",UPPER(_xlpm.MyAuditVal),_xlpm.MacVal&lt;&gt;"",_xlpm.MacVal,_xlpm.CSVVal&lt;&gt;"",_xlpm.CSVVal
)),"")</f>
        <v/>
      </c>
      <c r="O543" s="54"/>
      <c r="P543" s="54"/>
      <c r="Q543" s="54"/>
      <c r="R543" s="54"/>
      <c r="S543" s="54"/>
      <c r="T543" s="54"/>
      <c r="U543" s="39"/>
    </row>
    <row r="544" spans="1:21">
      <c r="A544" s="54" t="str">
        <f>_xlfn.TEXTJOIN("",TRUE,Input!$B$2,ROW(My_Audit!A543))</f>
        <v>XX543</v>
      </c>
      <c r="B544" s="54" t="str">
        <f>_xlfn.TEXTJOIN("-",TRUE,"ITD",Input!$A$2,A544)</f>
        <v>ITD-SHRXXX-XX543</v>
      </c>
      <c r="C544" s="54" t="str" cm="1">
        <f t="array" ref="C544">IFERROR(_xlfn.LET(
_xlpm.CSVVal,_xlfn.XLOOKUP($A544,CSV!$A:$A,CSV!B:B,""),
_xlpm.MacVal,_xlfn.XLOOKUP($A544,Output_Mac!$A:$A,Output_Mac!B:B,""),
_xlpm.MyAuditVal,_xlfn.XLOOKUP($A544,My_Audit!$A:$A,My_Audit!B:B,""),
_xlfn.IFS(_xlpm.MyAuditVal&lt;&gt;"",UPPER(_xlpm.MyAuditVal),_xlpm.MacVal&lt;&gt;"",_xlpm.MacVal,_xlpm.CSVVal&lt;&gt;"",_xlpm.CSVVal
)),"")</f>
        <v/>
      </c>
      <c r="D544" s="55" t="str">
        <f>_xlfn.XLOOKUP(A544,My_Audit!A:A,My_Audit!D:D,"")&amp;""</f>
        <v/>
      </c>
      <c r="E544" s="55" t="str" cm="1">
        <f t="array" ref="E544">IFERROR(_xlfn.LET(
_xlpm.CSVVal,_xlfn.XLOOKUP($A544,CSV!$A:$A,CSV!D:D,""),
_xlpm.MacVal,_xlfn.XLOOKUP($A544,Output_Mac!$A:$A,Output_Mac!C:C,""),
_xlpm.MyAuditVal,_xlfn.XLOOKUP($A544,My_Audit!$A:$A,My_Audit!D:D,""),
_xlfn.IFS(_xlpm.MyAuditVal&lt;&gt;"",_xlpm.MyAuditVal,_xlpm.MacVal&lt;&gt;"",_xlpm.MacVal,_xlpm.CSVVal&lt;&gt;"",_xlpm.CSVVal
)),"")</f>
        <v/>
      </c>
      <c r="F544" s="54" t="str" cm="1">
        <f t="array" ref="F544">IFERROR(_xlfn.LET(
_xlpm.CSVVal,_xlfn.XLOOKUP($A544,CSV!$A:$A,CSV!E:E,""),
_xlpm.MacVal,_xlfn.XLOOKUP($A544,Output_Mac!$A:$A,Output_Mac!F:F,""),
_xlpm.MyAuditVal,_xlfn.XLOOKUP($A544,My_Audit!$A:$A,My_Audit!E:E,""),
_xlfn.IFS(_xlpm.MyAuditVal&lt;&gt;"",_xlpm.MyAuditVal,_xlpm.MacVal&lt;&gt;"",_xlpm.MacVal,_xlpm.CSVVal&lt;&gt;"",PROPER(_xlpm.CSVVal)
)),"")</f>
        <v/>
      </c>
      <c r="G544" s="54" t="str" cm="1">
        <f t="array" ref="G544">IFERROR(_xlfn.LET(
_xlpm.CSVVal,_xlfn.XLOOKUP($A544,CSV!$A:$A,CSV!F:F,""),
_xlpm.MacVal,_xlfn.XLOOKUP($A544,Output_Mac!$A:$A,Output_Mac!H:H,""),
_xlpm.MyAuditVal,_xlfn.XLOOKUP($A544,My_Audit!$A:$A,My_Audit!F:F,""),
_xlfn.IFS(_xlpm.MyAuditVal&lt;&gt;"",_xlpm.MyAuditVal,_xlpm.MacVal&lt;&gt;"",_xlpm.MacVal,_xlpm.CSVVal&lt;&gt;"",_xlpm.CSVVal
)),"")</f>
        <v/>
      </c>
      <c r="H544" s="54" t="str">
        <f>_xlfn.XLOOKUP(A544,Output_Mac!A:A,Output_Mac!I:I,"")</f>
        <v/>
      </c>
      <c r="I544" s="54" t="str" cm="1">
        <f t="array" ref="I544">IFERROR(_xlfn.LET(
_xlpm.CSVVal,_xlfn.XLOOKUP($A544,CSV!$A:$A,CSV!G:G,""),
_xlpm.MacVal,_xlfn.XLOOKUP($A544,Output_Mac!$A:$A,Output_Mac!J:J,""),
_xlpm.MyAuditVal,_xlfn.XLOOKUP($A544,My_Audit!$A:$A,My_Audit!H:H,""),
_xlfn.IFS(_xlpm.MyAuditVal&lt;&gt;"",UPPER(_xlpm.MyAuditVal),_xlpm.MacVal&lt;&gt;"",_xlpm.MacVal,_xlpm.CSVVal&lt;&gt;"",_xlpm.CSVVal
)),"")</f>
        <v/>
      </c>
      <c r="J544" s="54" t="str" cm="1">
        <f t="array" ref="J544">IFERROR(_xlfn.LET(
_xlpm.CSVVal,_xlfn.XLOOKUP($A544,CSV!$A:$A,CSV!I:I,""),
_xlpm.MacVal,_xlfn.XLOOKUP($A544,Output_Mac!$A:$A,Output_Mac!K:K,""),
_xlpm.MyAuditVal,_xlfn.XLOOKUP($A544,My_Audit!$A:$A,My_Audit!I:I,""),
_xlfn.IFS(_xlpm.MyAuditVal&lt;&gt;"",UPPER(_xlpm.MyAuditVal),_xlpm.MacVal&lt;&gt;"",_xlpm.MacVal,_xlpm.CSVVal&lt;&gt;"",_xlpm.CSVVal
)),"")</f>
        <v/>
      </c>
      <c r="K544" s="54" t="str" cm="1">
        <f t="array" ref="K544">IFERROR(_xlfn.LET(
_xlpm.CSVVal,_xlfn.XLOOKUP($A544,CSV!$A:$A,CSV!M:M,""),
_xlpm.MacVal,_xlfn.XLOOKUP($A544,Output_Mac!$A:$A,Output_Mac!L:L,""),
_xlpm.MyAuditVal,_xlfn.XLOOKUP($A544,My_Audit!$A:$A,My_Audit!J:J,""),
_xlfn.IFS(_xlpm.MyAuditVal&lt;&gt;"",UPPER(_xlpm.MyAuditVal),_xlpm.MacVal&lt;&gt;"",_xlpm.MacVal,_xlpm.CSVVal&lt;&gt;"",_xlpm.CSVVal
)),"")</f>
        <v/>
      </c>
      <c r="L544" s="54" t="str" cm="1">
        <f t="array" ref="L544">IFERROR(_xlfn.LET(
_xlpm.CSVVal,_xlfn.XLOOKUP($A544,CSV!$A:$A,CSV!O:O,""),
_xlpm.MacVal,_xlfn.XLOOKUP($A544,Output_Mac!$A:$A,Output_Mac!M:M,""),
_xlpm.MyAuditVal,_xlfn.XLOOKUP($A544,My_Audit!$A:$A,My_Audit!K:K,""),
_xlfn.IFS(_xlpm.MyAuditVal&lt;&gt;"",UPPER(_xlpm.MyAuditVal),_xlpm.MacVal&lt;&gt;"",_xlpm.MacVal,_xlpm.CSVVal&lt;&gt;"",_xlpm.CSVVal
)),"")</f>
        <v/>
      </c>
      <c r="M544" s="54" t="str">
        <f>_xlfn.LET(
    _xlpm.CSVVal, _xlfn.XLOOKUP($A544, CSV!$A:$A, CSV!AD:AD, ""),
    _xlpm.MacVal, _xlfn.XLOOKUP($A544, Output_Mac!$A:$A, Output_Mac!S:S, ""),
    _xlpm.MyAuditVal, _xlfn.XLOOKUP($A544, My_Audit!$A:$A, My_Audit!N:N, ""),
    _xlfn.TEXTJOIN(", ", TRUE, _xlpm.MyAuditVal, _xlpm.MacVal, _xlpm.CSVVal)
)</f>
        <v/>
      </c>
      <c r="N544" s="54" t="str" cm="1">
        <f t="array" ref="N544">IFERROR(_xlfn.LET(
_xlpm.CSVVal,_xlfn.XLOOKUP($A544,CSV!$A:$A,CSV!AF:AF,""),
_xlpm.MacVal,_xlfn.XLOOKUP($A544,Output_Mac!$A:$A,Output_Mac!U:U,""),
_xlpm.MyAuditVal,_xlfn.XLOOKUP($A544,My_Audit!$A:$A,My_Audit!O:O,""),
_xlfn.IFS(_xlpm.MyAuditVal&lt;&gt;"",UPPER(_xlpm.MyAuditVal),_xlpm.MacVal&lt;&gt;"",_xlpm.MacVal,_xlpm.CSVVal&lt;&gt;"",_xlpm.CSVVal
)),"")</f>
        <v/>
      </c>
      <c r="O544" s="54"/>
      <c r="P544" s="54"/>
      <c r="Q544" s="54"/>
      <c r="R544" s="54"/>
      <c r="S544" s="54"/>
      <c r="T544" s="54"/>
      <c r="U544" s="39"/>
    </row>
    <row r="545" spans="1:21">
      <c r="A545" s="54" t="str">
        <f>_xlfn.TEXTJOIN("",TRUE,Input!$B$2,ROW(My_Audit!A544))</f>
        <v>XX544</v>
      </c>
      <c r="B545" s="54" t="str">
        <f>_xlfn.TEXTJOIN("-",TRUE,"ITD",Input!$A$2,A545)</f>
        <v>ITD-SHRXXX-XX544</v>
      </c>
      <c r="C545" s="54" t="str" cm="1">
        <f t="array" ref="C545">IFERROR(_xlfn.LET(
_xlpm.CSVVal,_xlfn.XLOOKUP($A545,CSV!$A:$A,CSV!B:B,""),
_xlpm.MacVal,_xlfn.XLOOKUP($A545,Output_Mac!$A:$A,Output_Mac!B:B,""),
_xlpm.MyAuditVal,_xlfn.XLOOKUP($A545,My_Audit!$A:$A,My_Audit!B:B,""),
_xlfn.IFS(_xlpm.MyAuditVal&lt;&gt;"",UPPER(_xlpm.MyAuditVal),_xlpm.MacVal&lt;&gt;"",_xlpm.MacVal,_xlpm.CSVVal&lt;&gt;"",_xlpm.CSVVal
)),"")</f>
        <v/>
      </c>
      <c r="D545" s="55" t="str">
        <f>_xlfn.XLOOKUP(A545,My_Audit!A:A,My_Audit!D:D,"")&amp;""</f>
        <v/>
      </c>
      <c r="E545" s="55" t="str" cm="1">
        <f t="array" ref="E545">IFERROR(_xlfn.LET(
_xlpm.CSVVal,_xlfn.XLOOKUP($A545,CSV!$A:$A,CSV!D:D,""),
_xlpm.MacVal,_xlfn.XLOOKUP($A545,Output_Mac!$A:$A,Output_Mac!C:C,""),
_xlpm.MyAuditVal,_xlfn.XLOOKUP($A545,My_Audit!$A:$A,My_Audit!D:D,""),
_xlfn.IFS(_xlpm.MyAuditVal&lt;&gt;"",_xlpm.MyAuditVal,_xlpm.MacVal&lt;&gt;"",_xlpm.MacVal,_xlpm.CSVVal&lt;&gt;"",_xlpm.CSVVal
)),"")</f>
        <v/>
      </c>
      <c r="F545" s="54" t="str" cm="1">
        <f t="array" ref="F545">IFERROR(_xlfn.LET(
_xlpm.CSVVal,_xlfn.XLOOKUP($A545,CSV!$A:$A,CSV!E:E,""),
_xlpm.MacVal,_xlfn.XLOOKUP($A545,Output_Mac!$A:$A,Output_Mac!F:F,""),
_xlpm.MyAuditVal,_xlfn.XLOOKUP($A545,My_Audit!$A:$A,My_Audit!E:E,""),
_xlfn.IFS(_xlpm.MyAuditVal&lt;&gt;"",_xlpm.MyAuditVal,_xlpm.MacVal&lt;&gt;"",_xlpm.MacVal,_xlpm.CSVVal&lt;&gt;"",PROPER(_xlpm.CSVVal)
)),"")</f>
        <v/>
      </c>
      <c r="G545" s="54" t="str" cm="1">
        <f t="array" ref="G545">IFERROR(_xlfn.LET(
_xlpm.CSVVal,_xlfn.XLOOKUP($A545,CSV!$A:$A,CSV!F:F,""),
_xlpm.MacVal,_xlfn.XLOOKUP($A545,Output_Mac!$A:$A,Output_Mac!H:H,""),
_xlpm.MyAuditVal,_xlfn.XLOOKUP($A545,My_Audit!$A:$A,My_Audit!F:F,""),
_xlfn.IFS(_xlpm.MyAuditVal&lt;&gt;"",_xlpm.MyAuditVal,_xlpm.MacVal&lt;&gt;"",_xlpm.MacVal,_xlpm.CSVVal&lt;&gt;"",_xlpm.CSVVal
)),"")</f>
        <v/>
      </c>
      <c r="H545" s="54" t="str">
        <f>_xlfn.XLOOKUP(A545,Output_Mac!A:A,Output_Mac!I:I,"")</f>
        <v/>
      </c>
      <c r="I545" s="54" t="str" cm="1">
        <f t="array" ref="I545">IFERROR(_xlfn.LET(
_xlpm.CSVVal,_xlfn.XLOOKUP($A545,CSV!$A:$A,CSV!G:G,""),
_xlpm.MacVal,_xlfn.XLOOKUP($A545,Output_Mac!$A:$A,Output_Mac!J:J,""),
_xlpm.MyAuditVal,_xlfn.XLOOKUP($A545,My_Audit!$A:$A,My_Audit!H:H,""),
_xlfn.IFS(_xlpm.MyAuditVal&lt;&gt;"",UPPER(_xlpm.MyAuditVal),_xlpm.MacVal&lt;&gt;"",_xlpm.MacVal,_xlpm.CSVVal&lt;&gt;"",_xlpm.CSVVal
)),"")</f>
        <v/>
      </c>
      <c r="J545" s="54" t="str" cm="1">
        <f t="array" ref="J545">IFERROR(_xlfn.LET(
_xlpm.CSVVal,_xlfn.XLOOKUP($A545,CSV!$A:$A,CSV!I:I,""),
_xlpm.MacVal,_xlfn.XLOOKUP($A545,Output_Mac!$A:$A,Output_Mac!K:K,""),
_xlpm.MyAuditVal,_xlfn.XLOOKUP($A545,My_Audit!$A:$A,My_Audit!I:I,""),
_xlfn.IFS(_xlpm.MyAuditVal&lt;&gt;"",UPPER(_xlpm.MyAuditVal),_xlpm.MacVal&lt;&gt;"",_xlpm.MacVal,_xlpm.CSVVal&lt;&gt;"",_xlpm.CSVVal
)),"")</f>
        <v/>
      </c>
      <c r="K545" s="54" t="str" cm="1">
        <f t="array" ref="K545">IFERROR(_xlfn.LET(
_xlpm.CSVVal,_xlfn.XLOOKUP($A545,CSV!$A:$A,CSV!M:M,""),
_xlpm.MacVal,_xlfn.XLOOKUP($A545,Output_Mac!$A:$A,Output_Mac!L:L,""),
_xlpm.MyAuditVal,_xlfn.XLOOKUP($A545,My_Audit!$A:$A,My_Audit!J:J,""),
_xlfn.IFS(_xlpm.MyAuditVal&lt;&gt;"",UPPER(_xlpm.MyAuditVal),_xlpm.MacVal&lt;&gt;"",_xlpm.MacVal,_xlpm.CSVVal&lt;&gt;"",_xlpm.CSVVal
)),"")</f>
        <v/>
      </c>
      <c r="L545" s="54" t="str" cm="1">
        <f t="array" ref="L545">IFERROR(_xlfn.LET(
_xlpm.CSVVal,_xlfn.XLOOKUP($A545,CSV!$A:$A,CSV!O:O,""),
_xlpm.MacVal,_xlfn.XLOOKUP($A545,Output_Mac!$A:$A,Output_Mac!M:M,""),
_xlpm.MyAuditVal,_xlfn.XLOOKUP($A545,My_Audit!$A:$A,My_Audit!K:K,""),
_xlfn.IFS(_xlpm.MyAuditVal&lt;&gt;"",UPPER(_xlpm.MyAuditVal),_xlpm.MacVal&lt;&gt;"",_xlpm.MacVal,_xlpm.CSVVal&lt;&gt;"",_xlpm.CSVVal
)),"")</f>
        <v/>
      </c>
      <c r="M545" s="54" t="str">
        <f>_xlfn.LET(
    _xlpm.CSVVal, _xlfn.XLOOKUP($A545, CSV!$A:$A, CSV!AD:AD, ""),
    _xlpm.MacVal, _xlfn.XLOOKUP($A545, Output_Mac!$A:$A, Output_Mac!S:S, ""),
    _xlpm.MyAuditVal, _xlfn.XLOOKUP($A545, My_Audit!$A:$A, My_Audit!N:N, ""),
    _xlfn.TEXTJOIN(", ", TRUE, _xlpm.MyAuditVal, _xlpm.MacVal, _xlpm.CSVVal)
)</f>
        <v/>
      </c>
      <c r="N545" s="54" t="str" cm="1">
        <f t="array" ref="N545">IFERROR(_xlfn.LET(
_xlpm.CSVVal,_xlfn.XLOOKUP($A545,CSV!$A:$A,CSV!AF:AF,""),
_xlpm.MacVal,_xlfn.XLOOKUP($A545,Output_Mac!$A:$A,Output_Mac!U:U,""),
_xlpm.MyAuditVal,_xlfn.XLOOKUP($A545,My_Audit!$A:$A,My_Audit!O:O,""),
_xlfn.IFS(_xlpm.MyAuditVal&lt;&gt;"",UPPER(_xlpm.MyAuditVal),_xlpm.MacVal&lt;&gt;"",_xlpm.MacVal,_xlpm.CSVVal&lt;&gt;"",_xlpm.CSVVal
)),"")</f>
        <v/>
      </c>
      <c r="O545" s="54"/>
      <c r="P545" s="54"/>
      <c r="Q545" s="54"/>
      <c r="R545" s="54"/>
      <c r="S545" s="54"/>
      <c r="T545" s="54"/>
      <c r="U545" s="39"/>
    </row>
    <row r="546" spans="1:21">
      <c r="A546" s="54" t="str">
        <f>_xlfn.TEXTJOIN("",TRUE,Input!$B$2,ROW(My_Audit!A545))</f>
        <v>XX545</v>
      </c>
      <c r="B546" s="54" t="str">
        <f>_xlfn.TEXTJOIN("-",TRUE,"ITD",Input!$A$2,A546)</f>
        <v>ITD-SHRXXX-XX545</v>
      </c>
      <c r="C546" s="54" t="str" cm="1">
        <f t="array" ref="C546">IFERROR(_xlfn.LET(
_xlpm.CSVVal,_xlfn.XLOOKUP($A546,CSV!$A:$A,CSV!B:B,""),
_xlpm.MacVal,_xlfn.XLOOKUP($A546,Output_Mac!$A:$A,Output_Mac!B:B,""),
_xlpm.MyAuditVal,_xlfn.XLOOKUP($A546,My_Audit!$A:$A,My_Audit!B:B,""),
_xlfn.IFS(_xlpm.MyAuditVal&lt;&gt;"",UPPER(_xlpm.MyAuditVal),_xlpm.MacVal&lt;&gt;"",_xlpm.MacVal,_xlpm.CSVVal&lt;&gt;"",_xlpm.CSVVal
)),"")</f>
        <v/>
      </c>
      <c r="D546" s="55" t="str">
        <f>_xlfn.XLOOKUP(A546,My_Audit!A:A,My_Audit!D:D,"")&amp;""</f>
        <v/>
      </c>
      <c r="E546" s="55" t="str" cm="1">
        <f t="array" ref="E546">IFERROR(_xlfn.LET(
_xlpm.CSVVal,_xlfn.XLOOKUP($A546,CSV!$A:$A,CSV!D:D,""),
_xlpm.MacVal,_xlfn.XLOOKUP($A546,Output_Mac!$A:$A,Output_Mac!C:C,""),
_xlpm.MyAuditVal,_xlfn.XLOOKUP($A546,My_Audit!$A:$A,My_Audit!D:D,""),
_xlfn.IFS(_xlpm.MyAuditVal&lt;&gt;"",_xlpm.MyAuditVal,_xlpm.MacVal&lt;&gt;"",_xlpm.MacVal,_xlpm.CSVVal&lt;&gt;"",_xlpm.CSVVal
)),"")</f>
        <v/>
      </c>
      <c r="F546" s="54" t="str" cm="1">
        <f t="array" ref="F546">IFERROR(_xlfn.LET(
_xlpm.CSVVal,_xlfn.XLOOKUP($A546,CSV!$A:$A,CSV!E:E,""),
_xlpm.MacVal,_xlfn.XLOOKUP($A546,Output_Mac!$A:$A,Output_Mac!F:F,""),
_xlpm.MyAuditVal,_xlfn.XLOOKUP($A546,My_Audit!$A:$A,My_Audit!E:E,""),
_xlfn.IFS(_xlpm.MyAuditVal&lt;&gt;"",_xlpm.MyAuditVal,_xlpm.MacVal&lt;&gt;"",_xlpm.MacVal,_xlpm.CSVVal&lt;&gt;"",PROPER(_xlpm.CSVVal)
)),"")</f>
        <v/>
      </c>
      <c r="G546" s="54" t="str" cm="1">
        <f t="array" ref="G546">IFERROR(_xlfn.LET(
_xlpm.CSVVal,_xlfn.XLOOKUP($A546,CSV!$A:$A,CSV!F:F,""),
_xlpm.MacVal,_xlfn.XLOOKUP($A546,Output_Mac!$A:$A,Output_Mac!H:H,""),
_xlpm.MyAuditVal,_xlfn.XLOOKUP($A546,My_Audit!$A:$A,My_Audit!F:F,""),
_xlfn.IFS(_xlpm.MyAuditVal&lt;&gt;"",_xlpm.MyAuditVal,_xlpm.MacVal&lt;&gt;"",_xlpm.MacVal,_xlpm.CSVVal&lt;&gt;"",_xlpm.CSVVal
)),"")</f>
        <v/>
      </c>
      <c r="H546" s="54" t="str">
        <f>_xlfn.XLOOKUP(A546,Output_Mac!A:A,Output_Mac!I:I,"")</f>
        <v/>
      </c>
      <c r="I546" s="54" t="str" cm="1">
        <f t="array" ref="I546">IFERROR(_xlfn.LET(
_xlpm.CSVVal,_xlfn.XLOOKUP($A546,CSV!$A:$A,CSV!G:G,""),
_xlpm.MacVal,_xlfn.XLOOKUP($A546,Output_Mac!$A:$A,Output_Mac!J:J,""),
_xlpm.MyAuditVal,_xlfn.XLOOKUP($A546,My_Audit!$A:$A,My_Audit!H:H,""),
_xlfn.IFS(_xlpm.MyAuditVal&lt;&gt;"",UPPER(_xlpm.MyAuditVal),_xlpm.MacVal&lt;&gt;"",_xlpm.MacVal,_xlpm.CSVVal&lt;&gt;"",_xlpm.CSVVal
)),"")</f>
        <v/>
      </c>
      <c r="J546" s="54" t="str" cm="1">
        <f t="array" ref="J546">IFERROR(_xlfn.LET(
_xlpm.CSVVal,_xlfn.XLOOKUP($A546,CSV!$A:$A,CSV!I:I,""),
_xlpm.MacVal,_xlfn.XLOOKUP($A546,Output_Mac!$A:$A,Output_Mac!K:K,""),
_xlpm.MyAuditVal,_xlfn.XLOOKUP($A546,My_Audit!$A:$A,My_Audit!I:I,""),
_xlfn.IFS(_xlpm.MyAuditVal&lt;&gt;"",UPPER(_xlpm.MyAuditVal),_xlpm.MacVal&lt;&gt;"",_xlpm.MacVal,_xlpm.CSVVal&lt;&gt;"",_xlpm.CSVVal
)),"")</f>
        <v/>
      </c>
      <c r="K546" s="54" t="str" cm="1">
        <f t="array" ref="K546">IFERROR(_xlfn.LET(
_xlpm.CSVVal,_xlfn.XLOOKUP($A546,CSV!$A:$A,CSV!M:M,""),
_xlpm.MacVal,_xlfn.XLOOKUP($A546,Output_Mac!$A:$A,Output_Mac!L:L,""),
_xlpm.MyAuditVal,_xlfn.XLOOKUP($A546,My_Audit!$A:$A,My_Audit!J:J,""),
_xlfn.IFS(_xlpm.MyAuditVal&lt;&gt;"",UPPER(_xlpm.MyAuditVal),_xlpm.MacVal&lt;&gt;"",_xlpm.MacVal,_xlpm.CSVVal&lt;&gt;"",_xlpm.CSVVal
)),"")</f>
        <v/>
      </c>
      <c r="L546" s="54" t="str" cm="1">
        <f t="array" ref="L546">IFERROR(_xlfn.LET(
_xlpm.CSVVal,_xlfn.XLOOKUP($A546,CSV!$A:$A,CSV!O:O,""),
_xlpm.MacVal,_xlfn.XLOOKUP($A546,Output_Mac!$A:$A,Output_Mac!M:M,""),
_xlpm.MyAuditVal,_xlfn.XLOOKUP($A546,My_Audit!$A:$A,My_Audit!K:K,""),
_xlfn.IFS(_xlpm.MyAuditVal&lt;&gt;"",UPPER(_xlpm.MyAuditVal),_xlpm.MacVal&lt;&gt;"",_xlpm.MacVal,_xlpm.CSVVal&lt;&gt;"",_xlpm.CSVVal
)),"")</f>
        <v/>
      </c>
      <c r="M546" s="54" t="str">
        <f>_xlfn.LET(
    _xlpm.CSVVal, _xlfn.XLOOKUP($A546, CSV!$A:$A, CSV!AD:AD, ""),
    _xlpm.MacVal, _xlfn.XLOOKUP($A546, Output_Mac!$A:$A, Output_Mac!S:S, ""),
    _xlpm.MyAuditVal, _xlfn.XLOOKUP($A546, My_Audit!$A:$A, My_Audit!N:N, ""),
    _xlfn.TEXTJOIN(", ", TRUE, _xlpm.MyAuditVal, _xlpm.MacVal, _xlpm.CSVVal)
)</f>
        <v/>
      </c>
      <c r="N546" s="54" t="str" cm="1">
        <f t="array" ref="N546">IFERROR(_xlfn.LET(
_xlpm.CSVVal,_xlfn.XLOOKUP($A546,CSV!$A:$A,CSV!AF:AF,""),
_xlpm.MacVal,_xlfn.XLOOKUP($A546,Output_Mac!$A:$A,Output_Mac!U:U,""),
_xlpm.MyAuditVal,_xlfn.XLOOKUP($A546,My_Audit!$A:$A,My_Audit!O:O,""),
_xlfn.IFS(_xlpm.MyAuditVal&lt;&gt;"",UPPER(_xlpm.MyAuditVal),_xlpm.MacVal&lt;&gt;"",_xlpm.MacVal,_xlpm.CSVVal&lt;&gt;"",_xlpm.CSVVal
)),"")</f>
        <v/>
      </c>
      <c r="O546" s="54"/>
      <c r="P546" s="54"/>
      <c r="Q546" s="54"/>
      <c r="R546" s="54"/>
      <c r="S546" s="54"/>
      <c r="T546" s="54"/>
      <c r="U546" s="39"/>
    </row>
    <row r="547" spans="1:21">
      <c r="A547" s="54" t="str">
        <f>_xlfn.TEXTJOIN("",TRUE,Input!$B$2,ROW(My_Audit!A546))</f>
        <v>XX546</v>
      </c>
      <c r="B547" s="54" t="str">
        <f>_xlfn.TEXTJOIN("-",TRUE,"ITD",Input!$A$2,A547)</f>
        <v>ITD-SHRXXX-XX546</v>
      </c>
      <c r="C547" s="54" t="str" cm="1">
        <f t="array" ref="C547">IFERROR(_xlfn.LET(
_xlpm.CSVVal,_xlfn.XLOOKUP($A547,CSV!$A:$A,CSV!B:B,""),
_xlpm.MacVal,_xlfn.XLOOKUP($A547,Output_Mac!$A:$A,Output_Mac!B:B,""),
_xlpm.MyAuditVal,_xlfn.XLOOKUP($A547,My_Audit!$A:$A,My_Audit!B:B,""),
_xlfn.IFS(_xlpm.MyAuditVal&lt;&gt;"",UPPER(_xlpm.MyAuditVal),_xlpm.MacVal&lt;&gt;"",_xlpm.MacVal,_xlpm.CSVVal&lt;&gt;"",_xlpm.CSVVal
)),"")</f>
        <v/>
      </c>
      <c r="D547" s="55" t="str">
        <f>_xlfn.XLOOKUP(A547,My_Audit!A:A,My_Audit!D:D,"")&amp;""</f>
        <v/>
      </c>
      <c r="E547" s="55" t="str" cm="1">
        <f t="array" ref="E547">IFERROR(_xlfn.LET(
_xlpm.CSVVal,_xlfn.XLOOKUP($A547,CSV!$A:$A,CSV!D:D,""),
_xlpm.MacVal,_xlfn.XLOOKUP($A547,Output_Mac!$A:$A,Output_Mac!C:C,""),
_xlpm.MyAuditVal,_xlfn.XLOOKUP($A547,My_Audit!$A:$A,My_Audit!D:D,""),
_xlfn.IFS(_xlpm.MyAuditVal&lt;&gt;"",_xlpm.MyAuditVal,_xlpm.MacVal&lt;&gt;"",_xlpm.MacVal,_xlpm.CSVVal&lt;&gt;"",_xlpm.CSVVal
)),"")</f>
        <v/>
      </c>
      <c r="F547" s="54" t="str" cm="1">
        <f t="array" ref="F547">IFERROR(_xlfn.LET(
_xlpm.CSVVal,_xlfn.XLOOKUP($A547,CSV!$A:$A,CSV!E:E,""),
_xlpm.MacVal,_xlfn.XLOOKUP($A547,Output_Mac!$A:$A,Output_Mac!F:F,""),
_xlpm.MyAuditVal,_xlfn.XLOOKUP($A547,My_Audit!$A:$A,My_Audit!E:E,""),
_xlfn.IFS(_xlpm.MyAuditVal&lt;&gt;"",_xlpm.MyAuditVal,_xlpm.MacVal&lt;&gt;"",_xlpm.MacVal,_xlpm.CSVVal&lt;&gt;"",PROPER(_xlpm.CSVVal)
)),"")</f>
        <v/>
      </c>
      <c r="G547" s="54" t="str" cm="1">
        <f t="array" ref="G547">IFERROR(_xlfn.LET(
_xlpm.CSVVal,_xlfn.XLOOKUP($A547,CSV!$A:$A,CSV!F:F,""),
_xlpm.MacVal,_xlfn.XLOOKUP($A547,Output_Mac!$A:$A,Output_Mac!H:H,""),
_xlpm.MyAuditVal,_xlfn.XLOOKUP($A547,My_Audit!$A:$A,My_Audit!F:F,""),
_xlfn.IFS(_xlpm.MyAuditVal&lt;&gt;"",_xlpm.MyAuditVal,_xlpm.MacVal&lt;&gt;"",_xlpm.MacVal,_xlpm.CSVVal&lt;&gt;"",_xlpm.CSVVal
)),"")</f>
        <v/>
      </c>
      <c r="H547" s="54" t="str">
        <f>_xlfn.XLOOKUP(A547,Output_Mac!A:A,Output_Mac!I:I,"")</f>
        <v/>
      </c>
      <c r="I547" s="54" t="str" cm="1">
        <f t="array" ref="I547">IFERROR(_xlfn.LET(
_xlpm.CSVVal,_xlfn.XLOOKUP($A547,CSV!$A:$A,CSV!G:G,""),
_xlpm.MacVal,_xlfn.XLOOKUP($A547,Output_Mac!$A:$A,Output_Mac!J:J,""),
_xlpm.MyAuditVal,_xlfn.XLOOKUP($A547,My_Audit!$A:$A,My_Audit!H:H,""),
_xlfn.IFS(_xlpm.MyAuditVal&lt;&gt;"",UPPER(_xlpm.MyAuditVal),_xlpm.MacVal&lt;&gt;"",_xlpm.MacVal,_xlpm.CSVVal&lt;&gt;"",_xlpm.CSVVal
)),"")</f>
        <v/>
      </c>
      <c r="J547" s="54" t="str" cm="1">
        <f t="array" ref="J547">IFERROR(_xlfn.LET(
_xlpm.CSVVal,_xlfn.XLOOKUP($A547,CSV!$A:$A,CSV!I:I,""),
_xlpm.MacVal,_xlfn.XLOOKUP($A547,Output_Mac!$A:$A,Output_Mac!K:K,""),
_xlpm.MyAuditVal,_xlfn.XLOOKUP($A547,My_Audit!$A:$A,My_Audit!I:I,""),
_xlfn.IFS(_xlpm.MyAuditVal&lt;&gt;"",UPPER(_xlpm.MyAuditVal),_xlpm.MacVal&lt;&gt;"",_xlpm.MacVal,_xlpm.CSVVal&lt;&gt;"",_xlpm.CSVVal
)),"")</f>
        <v/>
      </c>
      <c r="K547" s="54" t="str" cm="1">
        <f t="array" ref="K547">IFERROR(_xlfn.LET(
_xlpm.CSVVal,_xlfn.XLOOKUP($A547,CSV!$A:$A,CSV!M:M,""),
_xlpm.MacVal,_xlfn.XLOOKUP($A547,Output_Mac!$A:$A,Output_Mac!L:L,""),
_xlpm.MyAuditVal,_xlfn.XLOOKUP($A547,My_Audit!$A:$A,My_Audit!J:J,""),
_xlfn.IFS(_xlpm.MyAuditVal&lt;&gt;"",UPPER(_xlpm.MyAuditVal),_xlpm.MacVal&lt;&gt;"",_xlpm.MacVal,_xlpm.CSVVal&lt;&gt;"",_xlpm.CSVVal
)),"")</f>
        <v/>
      </c>
      <c r="L547" s="54" t="str" cm="1">
        <f t="array" ref="L547">IFERROR(_xlfn.LET(
_xlpm.CSVVal,_xlfn.XLOOKUP($A547,CSV!$A:$A,CSV!O:O,""),
_xlpm.MacVal,_xlfn.XLOOKUP($A547,Output_Mac!$A:$A,Output_Mac!M:M,""),
_xlpm.MyAuditVal,_xlfn.XLOOKUP($A547,My_Audit!$A:$A,My_Audit!K:K,""),
_xlfn.IFS(_xlpm.MyAuditVal&lt;&gt;"",UPPER(_xlpm.MyAuditVal),_xlpm.MacVal&lt;&gt;"",_xlpm.MacVal,_xlpm.CSVVal&lt;&gt;"",_xlpm.CSVVal
)),"")</f>
        <v/>
      </c>
      <c r="M547" s="54" t="str">
        <f>_xlfn.LET(
    _xlpm.CSVVal, _xlfn.XLOOKUP($A547, CSV!$A:$A, CSV!AD:AD, ""),
    _xlpm.MacVal, _xlfn.XLOOKUP($A547, Output_Mac!$A:$A, Output_Mac!S:S, ""),
    _xlpm.MyAuditVal, _xlfn.XLOOKUP($A547, My_Audit!$A:$A, My_Audit!N:N, ""),
    _xlfn.TEXTJOIN(", ", TRUE, _xlpm.MyAuditVal, _xlpm.MacVal, _xlpm.CSVVal)
)</f>
        <v/>
      </c>
      <c r="N547" s="54" t="str" cm="1">
        <f t="array" ref="N547">IFERROR(_xlfn.LET(
_xlpm.CSVVal,_xlfn.XLOOKUP($A547,CSV!$A:$A,CSV!AF:AF,""),
_xlpm.MacVal,_xlfn.XLOOKUP($A547,Output_Mac!$A:$A,Output_Mac!U:U,""),
_xlpm.MyAuditVal,_xlfn.XLOOKUP($A547,My_Audit!$A:$A,My_Audit!O:O,""),
_xlfn.IFS(_xlpm.MyAuditVal&lt;&gt;"",UPPER(_xlpm.MyAuditVal),_xlpm.MacVal&lt;&gt;"",_xlpm.MacVal,_xlpm.CSVVal&lt;&gt;"",_xlpm.CSVVal
)),"")</f>
        <v/>
      </c>
      <c r="O547" s="54"/>
      <c r="P547" s="54"/>
      <c r="Q547" s="54"/>
      <c r="R547" s="54"/>
      <c r="S547" s="54"/>
      <c r="T547" s="54"/>
      <c r="U547" s="39"/>
    </row>
    <row r="548" spans="1:21">
      <c r="A548" s="54" t="str">
        <f>_xlfn.TEXTJOIN("",TRUE,Input!$B$2,ROW(My_Audit!A547))</f>
        <v>XX547</v>
      </c>
      <c r="B548" s="54" t="str">
        <f>_xlfn.TEXTJOIN("-",TRUE,"ITD",Input!$A$2,A548)</f>
        <v>ITD-SHRXXX-XX547</v>
      </c>
      <c r="C548" s="54" t="str" cm="1">
        <f t="array" ref="C548">IFERROR(_xlfn.LET(
_xlpm.CSVVal,_xlfn.XLOOKUP($A548,CSV!$A:$A,CSV!B:B,""),
_xlpm.MacVal,_xlfn.XLOOKUP($A548,Output_Mac!$A:$A,Output_Mac!B:B,""),
_xlpm.MyAuditVal,_xlfn.XLOOKUP($A548,My_Audit!$A:$A,My_Audit!B:B,""),
_xlfn.IFS(_xlpm.MyAuditVal&lt;&gt;"",UPPER(_xlpm.MyAuditVal),_xlpm.MacVal&lt;&gt;"",_xlpm.MacVal,_xlpm.CSVVal&lt;&gt;"",_xlpm.CSVVal
)),"")</f>
        <v/>
      </c>
      <c r="D548" s="55" t="str">
        <f>_xlfn.XLOOKUP(A548,My_Audit!A:A,My_Audit!D:D,"")&amp;""</f>
        <v/>
      </c>
      <c r="E548" s="55" t="str" cm="1">
        <f t="array" ref="E548">IFERROR(_xlfn.LET(
_xlpm.CSVVal,_xlfn.XLOOKUP($A548,CSV!$A:$A,CSV!D:D,""),
_xlpm.MacVal,_xlfn.XLOOKUP($A548,Output_Mac!$A:$A,Output_Mac!C:C,""),
_xlpm.MyAuditVal,_xlfn.XLOOKUP($A548,My_Audit!$A:$A,My_Audit!D:D,""),
_xlfn.IFS(_xlpm.MyAuditVal&lt;&gt;"",_xlpm.MyAuditVal,_xlpm.MacVal&lt;&gt;"",_xlpm.MacVal,_xlpm.CSVVal&lt;&gt;"",_xlpm.CSVVal
)),"")</f>
        <v/>
      </c>
      <c r="F548" s="54" t="str" cm="1">
        <f t="array" ref="F548">IFERROR(_xlfn.LET(
_xlpm.CSVVal,_xlfn.XLOOKUP($A548,CSV!$A:$A,CSV!E:E,""),
_xlpm.MacVal,_xlfn.XLOOKUP($A548,Output_Mac!$A:$A,Output_Mac!F:F,""),
_xlpm.MyAuditVal,_xlfn.XLOOKUP($A548,My_Audit!$A:$A,My_Audit!E:E,""),
_xlfn.IFS(_xlpm.MyAuditVal&lt;&gt;"",_xlpm.MyAuditVal,_xlpm.MacVal&lt;&gt;"",_xlpm.MacVal,_xlpm.CSVVal&lt;&gt;"",PROPER(_xlpm.CSVVal)
)),"")</f>
        <v/>
      </c>
      <c r="G548" s="54" t="str" cm="1">
        <f t="array" ref="G548">IFERROR(_xlfn.LET(
_xlpm.CSVVal,_xlfn.XLOOKUP($A548,CSV!$A:$A,CSV!F:F,""),
_xlpm.MacVal,_xlfn.XLOOKUP($A548,Output_Mac!$A:$A,Output_Mac!H:H,""),
_xlpm.MyAuditVal,_xlfn.XLOOKUP($A548,My_Audit!$A:$A,My_Audit!F:F,""),
_xlfn.IFS(_xlpm.MyAuditVal&lt;&gt;"",_xlpm.MyAuditVal,_xlpm.MacVal&lt;&gt;"",_xlpm.MacVal,_xlpm.CSVVal&lt;&gt;"",_xlpm.CSVVal
)),"")</f>
        <v/>
      </c>
      <c r="H548" s="54" t="str">
        <f>_xlfn.XLOOKUP(A548,Output_Mac!A:A,Output_Mac!I:I,"")</f>
        <v/>
      </c>
      <c r="I548" s="54" t="str" cm="1">
        <f t="array" ref="I548">IFERROR(_xlfn.LET(
_xlpm.CSVVal,_xlfn.XLOOKUP($A548,CSV!$A:$A,CSV!G:G,""),
_xlpm.MacVal,_xlfn.XLOOKUP($A548,Output_Mac!$A:$A,Output_Mac!J:J,""),
_xlpm.MyAuditVal,_xlfn.XLOOKUP($A548,My_Audit!$A:$A,My_Audit!H:H,""),
_xlfn.IFS(_xlpm.MyAuditVal&lt;&gt;"",UPPER(_xlpm.MyAuditVal),_xlpm.MacVal&lt;&gt;"",_xlpm.MacVal,_xlpm.CSVVal&lt;&gt;"",_xlpm.CSVVal
)),"")</f>
        <v/>
      </c>
      <c r="J548" s="54" t="str" cm="1">
        <f t="array" ref="J548">IFERROR(_xlfn.LET(
_xlpm.CSVVal,_xlfn.XLOOKUP($A548,CSV!$A:$A,CSV!I:I,""),
_xlpm.MacVal,_xlfn.XLOOKUP($A548,Output_Mac!$A:$A,Output_Mac!K:K,""),
_xlpm.MyAuditVal,_xlfn.XLOOKUP($A548,My_Audit!$A:$A,My_Audit!I:I,""),
_xlfn.IFS(_xlpm.MyAuditVal&lt;&gt;"",UPPER(_xlpm.MyAuditVal),_xlpm.MacVal&lt;&gt;"",_xlpm.MacVal,_xlpm.CSVVal&lt;&gt;"",_xlpm.CSVVal
)),"")</f>
        <v/>
      </c>
      <c r="K548" s="54" t="str" cm="1">
        <f t="array" ref="K548">IFERROR(_xlfn.LET(
_xlpm.CSVVal,_xlfn.XLOOKUP($A548,CSV!$A:$A,CSV!M:M,""),
_xlpm.MacVal,_xlfn.XLOOKUP($A548,Output_Mac!$A:$A,Output_Mac!L:L,""),
_xlpm.MyAuditVal,_xlfn.XLOOKUP($A548,My_Audit!$A:$A,My_Audit!J:J,""),
_xlfn.IFS(_xlpm.MyAuditVal&lt;&gt;"",UPPER(_xlpm.MyAuditVal),_xlpm.MacVal&lt;&gt;"",_xlpm.MacVal,_xlpm.CSVVal&lt;&gt;"",_xlpm.CSVVal
)),"")</f>
        <v/>
      </c>
      <c r="L548" s="54" t="str" cm="1">
        <f t="array" ref="L548">IFERROR(_xlfn.LET(
_xlpm.CSVVal,_xlfn.XLOOKUP($A548,CSV!$A:$A,CSV!O:O,""),
_xlpm.MacVal,_xlfn.XLOOKUP($A548,Output_Mac!$A:$A,Output_Mac!M:M,""),
_xlpm.MyAuditVal,_xlfn.XLOOKUP($A548,My_Audit!$A:$A,My_Audit!K:K,""),
_xlfn.IFS(_xlpm.MyAuditVal&lt;&gt;"",UPPER(_xlpm.MyAuditVal),_xlpm.MacVal&lt;&gt;"",_xlpm.MacVal,_xlpm.CSVVal&lt;&gt;"",_xlpm.CSVVal
)),"")</f>
        <v/>
      </c>
      <c r="M548" s="54" t="str">
        <f>_xlfn.LET(
    _xlpm.CSVVal, _xlfn.XLOOKUP($A548, CSV!$A:$A, CSV!AD:AD, ""),
    _xlpm.MacVal, _xlfn.XLOOKUP($A548, Output_Mac!$A:$A, Output_Mac!S:S, ""),
    _xlpm.MyAuditVal, _xlfn.XLOOKUP($A548, My_Audit!$A:$A, My_Audit!N:N, ""),
    _xlfn.TEXTJOIN(", ", TRUE, _xlpm.MyAuditVal, _xlpm.MacVal, _xlpm.CSVVal)
)</f>
        <v/>
      </c>
      <c r="N548" s="54" t="str" cm="1">
        <f t="array" ref="N548">IFERROR(_xlfn.LET(
_xlpm.CSVVal,_xlfn.XLOOKUP($A548,CSV!$A:$A,CSV!AF:AF,""),
_xlpm.MacVal,_xlfn.XLOOKUP($A548,Output_Mac!$A:$A,Output_Mac!U:U,""),
_xlpm.MyAuditVal,_xlfn.XLOOKUP($A548,My_Audit!$A:$A,My_Audit!O:O,""),
_xlfn.IFS(_xlpm.MyAuditVal&lt;&gt;"",UPPER(_xlpm.MyAuditVal),_xlpm.MacVal&lt;&gt;"",_xlpm.MacVal,_xlpm.CSVVal&lt;&gt;"",_xlpm.CSVVal
)),"")</f>
        <v/>
      </c>
      <c r="O548" s="54"/>
      <c r="P548" s="54"/>
      <c r="Q548" s="54"/>
      <c r="R548" s="54"/>
      <c r="S548" s="54"/>
      <c r="T548" s="54"/>
      <c r="U548" s="39"/>
    </row>
    <row r="549" spans="1:21">
      <c r="A549" s="54" t="str">
        <f>_xlfn.TEXTJOIN("",TRUE,Input!$B$2,ROW(My_Audit!A548))</f>
        <v>XX548</v>
      </c>
      <c r="B549" s="54" t="str">
        <f>_xlfn.TEXTJOIN("-",TRUE,"ITD",Input!$A$2,A549)</f>
        <v>ITD-SHRXXX-XX548</v>
      </c>
      <c r="C549" s="54" t="str" cm="1">
        <f t="array" ref="C549">IFERROR(_xlfn.LET(
_xlpm.CSVVal,_xlfn.XLOOKUP($A549,CSV!$A:$A,CSV!B:B,""),
_xlpm.MacVal,_xlfn.XLOOKUP($A549,Output_Mac!$A:$A,Output_Mac!B:B,""),
_xlpm.MyAuditVal,_xlfn.XLOOKUP($A549,My_Audit!$A:$A,My_Audit!B:B,""),
_xlfn.IFS(_xlpm.MyAuditVal&lt;&gt;"",UPPER(_xlpm.MyAuditVal),_xlpm.MacVal&lt;&gt;"",_xlpm.MacVal,_xlpm.CSVVal&lt;&gt;"",_xlpm.CSVVal
)),"")</f>
        <v/>
      </c>
      <c r="D549" s="55" t="str">
        <f>_xlfn.XLOOKUP(A549,My_Audit!A:A,My_Audit!D:D,"")&amp;""</f>
        <v/>
      </c>
      <c r="E549" s="55" t="str" cm="1">
        <f t="array" ref="E549">IFERROR(_xlfn.LET(
_xlpm.CSVVal,_xlfn.XLOOKUP($A549,CSV!$A:$A,CSV!D:D,""),
_xlpm.MacVal,_xlfn.XLOOKUP($A549,Output_Mac!$A:$A,Output_Mac!C:C,""),
_xlpm.MyAuditVal,_xlfn.XLOOKUP($A549,My_Audit!$A:$A,My_Audit!D:D,""),
_xlfn.IFS(_xlpm.MyAuditVal&lt;&gt;"",_xlpm.MyAuditVal,_xlpm.MacVal&lt;&gt;"",_xlpm.MacVal,_xlpm.CSVVal&lt;&gt;"",_xlpm.CSVVal
)),"")</f>
        <v/>
      </c>
      <c r="F549" s="54" t="str" cm="1">
        <f t="array" ref="F549">IFERROR(_xlfn.LET(
_xlpm.CSVVal,_xlfn.XLOOKUP($A549,CSV!$A:$A,CSV!E:E,""),
_xlpm.MacVal,_xlfn.XLOOKUP($A549,Output_Mac!$A:$A,Output_Mac!F:F,""),
_xlpm.MyAuditVal,_xlfn.XLOOKUP($A549,My_Audit!$A:$A,My_Audit!E:E,""),
_xlfn.IFS(_xlpm.MyAuditVal&lt;&gt;"",_xlpm.MyAuditVal,_xlpm.MacVal&lt;&gt;"",_xlpm.MacVal,_xlpm.CSVVal&lt;&gt;"",PROPER(_xlpm.CSVVal)
)),"")</f>
        <v/>
      </c>
      <c r="G549" s="54" t="str" cm="1">
        <f t="array" ref="G549">IFERROR(_xlfn.LET(
_xlpm.CSVVal,_xlfn.XLOOKUP($A549,CSV!$A:$A,CSV!F:F,""),
_xlpm.MacVal,_xlfn.XLOOKUP($A549,Output_Mac!$A:$A,Output_Mac!H:H,""),
_xlpm.MyAuditVal,_xlfn.XLOOKUP($A549,My_Audit!$A:$A,My_Audit!F:F,""),
_xlfn.IFS(_xlpm.MyAuditVal&lt;&gt;"",_xlpm.MyAuditVal,_xlpm.MacVal&lt;&gt;"",_xlpm.MacVal,_xlpm.CSVVal&lt;&gt;"",_xlpm.CSVVal
)),"")</f>
        <v/>
      </c>
      <c r="H549" s="54" t="str">
        <f>_xlfn.XLOOKUP(A549,Output_Mac!A:A,Output_Mac!I:I,"")</f>
        <v/>
      </c>
      <c r="I549" s="54" t="str" cm="1">
        <f t="array" ref="I549">IFERROR(_xlfn.LET(
_xlpm.CSVVal,_xlfn.XLOOKUP($A549,CSV!$A:$A,CSV!G:G,""),
_xlpm.MacVal,_xlfn.XLOOKUP($A549,Output_Mac!$A:$A,Output_Mac!J:J,""),
_xlpm.MyAuditVal,_xlfn.XLOOKUP($A549,My_Audit!$A:$A,My_Audit!H:H,""),
_xlfn.IFS(_xlpm.MyAuditVal&lt;&gt;"",UPPER(_xlpm.MyAuditVal),_xlpm.MacVal&lt;&gt;"",_xlpm.MacVal,_xlpm.CSVVal&lt;&gt;"",_xlpm.CSVVal
)),"")</f>
        <v/>
      </c>
      <c r="J549" s="54" t="str" cm="1">
        <f t="array" ref="J549">IFERROR(_xlfn.LET(
_xlpm.CSVVal,_xlfn.XLOOKUP($A549,CSV!$A:$A,CSV!I:I,""),
_xlpm.MacVal,_xlfn.XLOOKUP($A549,Output_Mac!$A:$A,Output_Mac!K:K,""),
_xlpm.MyAuditVal,_xlfn.XLOOKUP($A549,My_Audit!$A:$A,My_Audit!I:I,""),
_xlfn.IFS(_xlpm.MyAuditVal&lt;&gt;"",UPPER(_xlpm.MyAuditVal),_xlpm.MacVal&lt;&gt;"",_xlpm.MacVal,_xlpm.CSVVal&lt;&gt;"",_xlpm.CSVVal
)),"")</f>
        <v/>
      </c>
      <c r="K549" s="54" t="str" cm="1">
        <f t="array" ref="K549">IFERROR(_xlfn.LET(
_xlpm.CSVVal,_xlfn.XLOOKUP($A549,CSV!$A:$A,CSV!M:M,""),
_xlpm.MacVal,_xlfn.XLOOKUP($A549,Output_Mac!$A:$A,Output_Mac!L:L,""),
_xlpm.MyAuditVal,_xlfn.XLOOKUP($A549,My_Audit!$A:$A,My_Audit!J:J,""),
_xlfn.IFS(_xlpm.MyAuditVal&lt;&gt;"",UPPER(_xlpm.MyAuditVal),_xlpm.MacVal&lt;&gt;"",_xlpm.MacVal,_xlpm.CSVVal&lt;&gt;"",_xlpm.CSVVal
)),"")</f>
        <v/>
      </c>
      <c r="L549" s="54" t="str" cm="1">
        <f t="array" ref="L549">IFERROR(_xlfn.LET(
_xlpm.CSVVal,_xlfn.XLOOKUP($A549,CSV!$A:$A,CSV!O:O,""),
_xlpm.MacVal,_xlfn.XLOOKUP($A549,Output_Mac!$A:$A,Output_Mac!M:M,""),
_xlpm.MyAuditVal,_xlfn.XLOOKUP($A549,My_Audit!$A:$A,My_Audit!K:K,""),
_xlfn.IFS(_xlpm.MyAuditVal&lt;&gt;"",UPPER(_xlpm.MyAuditVal),_xlpm.MacVal&lt;&gt;"",_xlpm.MacVal,_xlpm.CSVVal&lt;&gt;"",_xlpm.CSVVal
)),"")</f>
        <v/>
      </c>
      <c r="M549" s="54" t="str">
        <f>_xlfn.LET(
    _xlpm.CSVVal, _xlfn.XLOOKUP($A549, CSV!$A:$A, CSV!AD:AD, ""),
    _xlpm.MacVal, _xlfn.XLOOKUP($A549, Output_Mac!$A:$A, Output_Mac!S:S, ""),
    _xlpm.MyAuditVal, _xlfn.XLOOKUP($A549, My_Audit!$A:$A, My_Audit!N:N, ""),
    _xlfn.TEXTJOIN(", ", TRUE, _xlpm.MyAuditVal, _xlpm.MacVal, _xlpm.CSVVal)
)</f>
        <v/>
      </c>
      <c r="N549" s="54" t="str" cm="1">
        <f t="array" ref="N549">IFERROR(_xlfn.LET(
_xlpm.CSVVal,_xlfn.XLOOKUP($A549,CSV!$A:$A,CSV!AF:AF,""),
_xlpm.MacVal,_xlfn.XLOOKUP($A549,Output_Mac!$A:$A,Output_Mac!U:U,""),
_xlpm.MyAuditVal,_xlfn.XLOOKUP($A549,My_Audit!$A:$A,My_Audit!O:O,""),
_xlfn.IFS(_xlpm.MyAuditVal&lt;&gt;"",UPPER(_xlpm.MyAuditVal),_xlpm.MacVal&lt;&gt;"",_xlpm.MacVal,_xlpm.CSVVal&lt;&gt;"",_xlpm.CSVVal
)),"")</f>
        <v/>
      </c>
      <c r="O549" s="54"/>
      <c r="P549" s="54"/>
      <c r="Q549" s="54"/>
      <c r="R549" s="54"/>
      <c r="S549" s="54"/>
      <c r="T549" s="54"/>
      <c r="U549" s="39"/>
    </row>
    <row r="550" spans="1:21">
      <c r="A550" s="54" t="str">
        <f>_xlfn.TEXTJOIN("",TRUE,Input!$B$2,ROW(My_Audit!A549))</f>
        <v>XX549</v>
      </c>
      <c r="B550" s="54" t="str">
        <f>_xlfn.TEXTJOIN("-",TRUE,"ITD",Input!$A$2,A550)</f>
        <v>ITD-SHRXXX-XX549</v>
      </c>
      <c r="C550" s="54" t="str" cm="1">
        <f t="array" ref="C550">IFERROR(_xlfn.LET(
_xlpm.CSVVal,_xlfn.XLOOKUP($A550,CSV!$A:$A,CSV!B:B,""),
_xlpm.MacVal,_xlfn.XLOOKUP($A550,Output_Mac!$A:$A,Output_Mac!B:B,""),
_xlpm.MyAuditVal,_xlfn.XLOOKUP($A550,My_Audit!$A:$A,My_Audit!B:B,""),
_xlfn.IFS(_xlpm.MyAuditVal&lt;&gt;"",UPPER(_xlpm.MyAuditVal),_xlpm.MacVal&lt;&gt;"",_xlpm.MacVal,_xlpm.CSVVal&lt;&gt;"",_xlpm.CSVVal
)),"")</f>
        <v/>
      </c>
      <c r="D550" s="55" t="str">
        <f>_xlfn.XLOOKUP(A550,My_Audit!A:A,My_Audit!D:D,"")&amp;""</f>
        <v/>
      </c>
      <c r="E550" s="55" t="str" cm="1">
        <f t="array" ref="E550">IFERROR(_xlfn.LET(
_xlpm.CSVVal,_xlfn.XLOOKUP($A550,CSV!$A:$A,CSV!D:D,""),
_xlpm.MacVal,_xlfn.XLOOKUP($A550,Output_Mac!$A:$A,Output_Mac!C:C,""),
_xlpm.MyAuditVal,_xlfn.XLOOKUP($A550,My_Audit!$A:$A,My_Audit!D:D,""),
_xlfn.IFS(_xlpm.MyAuditVal&lt;&gt;"",_xlpm.MyAuditVal,_xlpm.MacVal&lt;&gt;"",_xlpm.MacVal,_xlpm.CSVVal&lt;&gt;"",_xlpm.CSVVal
)),"")</f>
        <v/>
      </c>
      <c r="F550" s="54" t="str" cm="1">
        <f t="array" ref="F550">IFERROR(_xlfn.LET(
_xlpm.CSVVal,_xlfn.XLOOKUP($A550,CSV!$A:$A,CSV!E:E,""),
_xlpm.MacVal,_xlfn.XLOOKUP($A550,Output_Mac!$A:$A,Output_Mac!F:F,""),
_xlpm.MyAuditVal,_xlfn.XLOOKUP($A550,My_Audit!$A:$A,My_Audit!E:E,""),
_xlfn.IFS(_xlpm.MyAuditVal&lt;&gt;"",_xlpm.MyAuditVal,_xlpm.MacVal&lt;&gt;"",_xlpm.MacVal,_xlpm.CSVVal&lt;&gt;"",PROPER(_xlpm.CSVVal)
)),"")</f>
        <v/>
      </c>
      <c r="G550" s="54" t="str" cm="1">
        <f t="array" ref="G550">IFERROR(_xlfn.LET(
_xlpm.CSVVal,_xlfn.XLOOKUP($A550,CSV!$A:$A,CSV!F:F,""),
_xlpm.MacVal,_xlfn.XLOOKUP($A550,Output_Mac!$A:$A,Output_Mac!H:H,""),
_xlpm.MyAuditVal,_xlfn.XLOOKUP($A550,My_Audit!$A:$A,My_Audit!F:F,""),
_xlfn.IFS(_xlpm.MyAuditVal&lt;&gt;"",_xlpm.MyAuditVal,_xlpm.MacVal&lt;&gt;"",_xlpm.MacVal,_xlpm.CSVVal&lt;&gt;"",_xlpm.CSVVal
)),"")</f>
        <v/>
      </c>
      <c r="H550" s="54" t="str">
        <f>_xlfn.XLOOKUP(A550,Output_Mac!A:A,Output_Mac!I:I,"")</f>
        <v/>
      </c>
      <c r="I550" s="54" t="str" cm="1">
        <f t="array" ref="I550">IFERROR(_xlfn.LET(
_xlpm.CSVVal,_xlfn.XLOOKUP($A550,CSV!$A:$A,CSV!G:G,""),
_xlpm.MacVal,_xlfn.XLOOKUP($A550,Output_Mac!$A:$A,Output_Mac!J:J,""),
_xlpm.MyAuditVal,_xlfn.XLOOKUP($A550,My_Audit!$A:$A,My_Audit!H:H,""),
_xlfn.IFS(_xlpm.MyAuditVal&lt;&gt;"",UPPER(_xlpm.MyAuditVal),_xlpm.MacVal&lt;&gt;"",_xlpm.MacVal,_xlpm.CSVVal&lt;&gt;"",_xlpm.CSVVal
)),"")</f>
        <v/>
      </c>
      <c r="J550" s="54" t="str" cm="1">
        <f t="array" ref="J550">IFERROR(_xlfn.LET(
_xlpm.CSVVal,_xlfn.XLOOKUP($A550,CSV!$A:$A,CSV!I:I,""),
_xlpm.MacVal,_xlfn.XLOOKUP($A550,Output_Mac!$A:$A,Output_Mac!K:K,""),
_xlpm.MyAuditVal,_xlfn.XLOOKUP($A550,My_Audit!$A:$A,My_Audit!I:I,""),
_xlfn.IFS(_xlpm.MyAuditVal&lt;&gt;"",UPPER(_xlpm.MyAuditVal),_xlpm.MacVal&lt;&gt;"",_xlpm.MacVal,_xlpm.CSVVal&lt;&gt;"",_xlpm.CSVVal
)),"")</f>
        <v/>
      </c>
      <c r="K550" s="54" t="str" cm="1">
        <f t="array" ref="K550">IFERROR(_xlfn.LET(
_xlpm.CSVVal,_xlfn.XLOOKUP($A550,CSV!$A:$A,CSV!M:M,""),
_xlpm.MacVal,_xlfn.XLOOKUP($A550,Output_Mac!$A:$A,Output_Mac!L:L,""),
_xlpm.MyAuditVal,_xlfn.XLOOKUP($A550,My_Audit!$A:$A,My_Audit!J:J,""),
_xlfn.IFS(_xlpm.MyAuditVal&lt;&gt;"",UPPER(_xlpm.MyAuditVal),_xlpm.MacVal&lt;&gt;"",_xlpm.MacVal,_xlpm.CSVVal&lt;&gt;"",_xlpm.CSVVal
)),"")</f>
        <v/>
      </c>
      <c r="L550" s="54" t="str" cm="1">
        <f t="array" ref="L550">IFERROR(_xlfn.LET(
_xlpm.CSVVal,_xlfn.XLOOKUP($A550,CSV!$A:$A,CSV!O:O,""),
_xlpm.MacVal,_xlfn.XLOOKUP($A550,Output_Mac!$A:$A,Output_Mac!M:M,""),
_xlpm.MyAuditVal,_xlfn.XLOOKUP($A550,My_Audit!$A:$A,My_Audit!K:K,""),
_xlfn.IFS(_xlpm.MyAuditVal&lt;&gt;"",UPPER(_xlpm.MyAuditVal),_xlpm.MacVal&lt;&gt;"",_xlpm.MacVal,_xlpm.CSVVal&lt;&gt;"",_xlpm.CSVVal
)),"")</f>
        <v/>
      </c>
      <c r="M550" s="54" t="str">
        <f>_xlfn.LET(
    _xlpm.CSVVal, _xlfn.XLOOKUP($A550, CSV!$A:$A, CSV!AD:AD, ""),
    _xlpm.MacVal, _xlfn.XLOOKUP($A550, Output_Mac!$A:$A, Output_Mac!S:S, ""),
    _xlpm.MyAuditVal, _xlfn.XLOOKUP($A550, My_Audit!$A:$A, My_Audit!N:N, ""),
    _xlfn.TEXTJOIN(", ", TRUE, _xlpm.MyAuditVal, _xlpm.MacVal, _xlpm.CSVVal)
)</f>
        <v/>
      </c>
      <c r="N550" s="54" t="str" cm="1">
        <f t="array" ref="N550">IFERROR(_xlfn.LET(
_xlpm.CSVVal,_xlfn.XLOOKUP($A550,CSV!$A:$A,CSV!AF:AF,""),
_xlpm.MacVal,_xlfn.XLOOKUP($A550,Output_Mac!$A:$A,Output_Mac!U:U,""),
_xlpm.MyAuditVal,_xlfn.XLOOKUP($A550,My_Audit!$A:$A,My_Audit!O:O,""),
_xlfn.IFS(_xlpm.MyAuditVal&lt;&gt;"",UPPER(_xlpm.MyAuditVal),_xlpm.MacVal&lt;&gt;"",_xlpm.MacVal,_xlpm.CSVVal&lt;&gt;"",_xlpm.CSVVal
)),"")</f>
        <v/>
      </c>
      <c r="O550" s="54"/>
      <c r="P550" s="54"/>
      <c r="Q550" s="54"/>
      <c r="R550" s="54"/>
      <c r="S550" s="54"/>
      <c r="T550" s="54"/>
      <c r="U550" s="39"/>
    </row>
    <row r="551" spans="1:21">
      <c r="A551" s="54" t="str">
        <f>_xlfn.TEXTJOIN("",TRUE,Input!$B$2,ROW(My_Audit!A550))</f>
        <v>XX550</v>
      </c>
      <c r="B551" s="54" t="str">
        <f>_xlfn.TEXTJOIN("-",TRUE,"ITD",Input!$A$2,A551)</f>
        <v>ITD-SHRXXX-XX550</v>
      </c>
      <c r="C551" s="54" t="str" cm="1">
        <f t="array" ref="C551">IFERROR(_xlfn.LET(
_xlpm.CSVVal,_xlfn.XLOOKUP($A551,CSV!$A:$A,CSV!B:B,""),
_xlpm.MacVal,_xlfn.XLOOKUP($A551,Output_Mac!$A:$A,Output_Mac!B:B,""),
_xlpm.MyAuditVal,_xlfn.XLOOKUP($A551,My_Audit!$A:$A,My_Audit!B:B,""),
_xlfn.IFS(_xlpm.MyAuditVal&lt;&gt;"",UPPER(_xlpm.MyAuditVal),_xlpm.MacVal&lt;&gt;"",_xlpm.MacVal,_xlpm.CSVVal&lt;&gt;"",_xlpm.CSVVal
)),"")</f>
        <v/>
      </c>
      <c r="D551" s="55" t="str">
        <f>_xlfn.XLOOKUP(A551,My_Audit!A:A,My_Audit!D:D,"")&amp;""</f>
        <v/>
      </c>
      <c r="E551" s="55" t="str" cm="1">
        <f t="array" ref="E551">IFERROR(_xlfn.LET(
_xlpm.CSVVal,_xlfn.XLOOKUP($A551,CSV!$A:$A,CSV!D:D,""),
_xlpm.MacVal,_xlfn.XLOOKUP($A551,Output_Mac!$A:$A,Output_Mac!C:C,""),
_xlpm.MyAuditVal,_xlfn.XLOOKUP($A551,My_Audit!$A:$A,My_Audit!D:D,""),
_xlfn.IFS(_xlpm.MyAuditVal&lt;&gt;"",_xlpm.MyAuditVal,_xlpm.MacVal&lt;&gt;"",_xlpm.MacVal,_xlpm.CSVVal&lt;&gt;"",_xlpm.CSVVal
)),"")</f>
        <v/>
      </c>
      <c r="F551" s="54" t="str" cm="1">
        <f t="array" ref="F551">IFERROR(_xlfn.LET(
_xlpm.CSVVal,_xlfn.XLOOKUP($A551,CSV!$A:$A,CSV!E:E,""),
_xlpm.MacVal,_xlfn.XLOOKUP($A551,Output_Mac!$A:$A,Output_Mac!F:F,""),
_xlpm.MyAuditVal,_xlfn.XLOOKUP($A551,My_Audit!$A:$A,My_Audit!E:E,""),
_xlfn.IFS(_xlpm.MyAuditVal&lt;&gt;"",_xlpm.MyAuditVal,_xlpm.MacVal&lt;&gt;"",_xlpm.MacVal,_xlpm.CSVVal&lt;&gt;"",PROPER(_xlpm.CSVVal)
)),"")</f>
        <v/>
      </c>
      <c r="G551" s="54" t="str" cm="1">
        <f t="array" ref="G551">IFERROR(_xlfn.LET(
_xlpm.CSVVal,_xlfn.XLOOKUP($A551,CSV!$A:$A,CSV!F:F,""),
_xlpm.MacVal,_xlfn.XLOOKUP($A551,Output_Mac!$A:$A,Output_Mac!H:H,""),
_xlpm.MyAuditVal,_xlfn.XLOOKUP($A551,My_Audit!$A:$A,My_Audit!F:F,""),
_xlfn.IFS(_xlpm.MyAuditVal&lt;&gt;"",_xlpm.MyAuditVal,_xlpm.MacVal&lt;&gt;"",_xlpm.MacVal,_xlpm.CSVVal&lt;&gt;"",_xlpm.CSVVal
)),"")</f>
        <v/>
      </c>
      <c r="H551" s="54" t="str">
        <f>_xlfn.XLOOKUP(A551,Output_Mac!A:A,Output_Mac!I:I,"")</f>
        <v/>
      </c>
      <c r="I551" s="54" t="str" cm="1">
        <f t="array" ref="I551">IFERROR(_xlfn.LET(
_xlpm.CSVVal,_xlfn.XLOOKUP($A551,CSV!$A:$A,CSV!G:G,""),
_xlpm.MacVal,_xlfn.XLOOKUP($A551,Output_Mac!$A:$A,Output_Mac!J:J,""),
_xlpm.MyAuditVal,_xlfn.XLOOKUP($A551,My_Audit!$A:$A,My_Audit!H:H,""),
_xlfn.IFS(_xlpm.MyAuditVal&lt;&gt;"",UPPER(_xlpm.MyAuditVal),_xlpm.MacVal&lt;&gt;"",_xlpm.MacVal,_xlpm.CSVVal&lt;&gt;"",_xlpm.CSVVal
)),"")</f>
        <v/>
      </c>
      <c r="J551" s="54" t="str" cm="1">
        <f t="array" ref="J551">IFERROR(_xlfn.LET(
_xlpm.CSVVal,_xlfn.XLOOKUP($A551,CSV!$A:$A,CSV!I:I,""),
_xlpm.MacVal,_xlfn.XLOOKUP($A551,Output_Mac!$A:$A,Output_Mac!K:K,""),
_xlpm.MyAuditVal,_xlfn.XLOOKUP($A551,My_Audit!$A:$A,My_Audit!I:I,""),
_xlfn.IFS(_xlpm.MyAuditVal&lt;&gt;"",UPPER(_xlpm.MyAuditVal),_xlpm.MacVal&lt;&gt;"",_xlpm.MacVal,_xlpm.CSVVal&lt;&gt;"",_xlpm.CSVVal
)),"")</f>
        <v/>
      </c>
      <c r="K551" s="54" t="str" cm="1">
        <f t="array" ref="K551">IFERROR(_xlfn.LET(
_xlpm.CSVVal,_xlfn.XLOOKUP($A551,CSV!$A:$A,CSV!M:M,""),
_xlpm.MacVal,_xlfn.XLOOKUP($A551,Output_Mac!$A:$A,Output_Mac!L:L,""),
_xlpm.MyAuditVal,_xlfn.XLOOKUP($A551,My_Audit!$A:$A,My_Audit!J:J,""),
_xlfn.IFS(_xlpm.MyAuditVal&lt;&gt;"",UPPER(_xlpm.MyAuditVal),_xlpm.MacVal&lt;&gt;"",_xlpm.MacVal,_xlpm.CSVVal&lt;&gt;"",_xlpm.CSVVal
)),"")</f>
        <v/>
      </c>
      <c r="L551" s="54" t="str" cm="1">
        <f t="array" ref="L551">IFERROR(_xlfn.LET(
_xlpm.CSVVal,_xlfn.XLOOKUP($A551,CSV!$A:$A,CSV!O:O,""),
_xlpm.MacVal,_xlfn.XLOOKUP($A551,Output_Mac!$A:$A,Output_Mac!M:M,""),
_xlpm.MyAuditVal,_xlfn.XLOOKUP($A551,My_Audit!$A:$A,My_Audit!K:K,""),
_xlfn.IFS(_xlpm.MyAuditVal&lt;&gt;"",UPPER(_xlpm.MyAuditVal),_xlpm.MacVal&lt;&gt;"",_xlpm.MacVal,_xlpm.CSVVal&lt;&gt;"",_xlpm.CSVVal
)),"")</f>
        <v/>
      </c>
      <c r="M551" s="54" t="str">
        <f>_xlfn.LET(
    _xlpm.CSVVal, _xlfn.XLOOKUP($A551, CSV!$A:$A, CSV!AD:AD, ""),
    _xlpm.MacVal, _xlfn.XLOOKUP($A551, Output_Mac!$A:$A, Output_Mac!S:S, ""),
    _xlpm.MyAuditVal, _xlfn.XLOOKUP($A551, My_Audit!$A:$A, My_Audit!N:N, ""),
    _xlfn.TEXTJOIN(", ", TRUE, _xlpm.MyAuditVal, _xlpm.MacVal, _xlpm.CSVVal)
)</f>
        <v/>
      </c>
      <c r="N551" s="54" t="str" cm="1">
        <f t="array" ref="N551">IFERROR(_xlfn.LET(
_xlpm.CSVVal,_xlfn.XLOOKUP($A551,CSV!$A:$A,CSV!AF:AF,""),
_xlpm.MacVal,_xlfn.XLOOKUP($A551,Output_Mac!$A:$A,Output_Mac!U:U,""),
_xlpm.MyAuditVal,_xlfn.XLOOKUP($A551,My_Audit!$A:$A,My_Audit!O:O,""),
_xlfn.IFS(_xlpm.MyAuditVal&lt;&gt;"",UPPER(_xlpm.MyAuditVal),_xlpm.MacVal&lt;&gt;"",_xlpm.MacVal,_xlpm.CSVVal&lt;&gt;"",_xlpm.CSVVal
)),"")</f>
        <v/>
      </c>
      <c r="O551" s="54"/>
      <c r="P551" s="54"/>
      <c r="Q551" s="54"/>
      <c r="R551" s="54"/>
      <c r="S551" s="54"/>
      <c r="T551" s="54"/>
      <c r="U551" s="39"/>
    </row>
    <row r="552" spans="1:21">
      <c r="A552" s="54" t="str">
        <f>_xlfn.TEXTJOIN("",TRUE,Input!$B$2,ROW(My_Audit!A551))</f>
        <v>XX551</v>
      </c>
      <c r="B552" s="54" t="str">
        <f>_xlfn.TEXTJOIN("-",TRUE,"ITD",Input!$A$2,A552)</f>
        <v>ITD-SHRXXX-XX551</v>
      </c>
      <c r="C552" s="54" t="str" cm="1">
        <f t="array" ref="C552">IFERROR(_xlfn.LET(
_xlpm.CSVVal,_xlfn.XLOOKUP($A552,CSV!$A:$A,CSV!B:B,""),
_xlpm.MacVal,_xlfn.XLOOKUP($A552,Output_Mac!$A:$A,Output_Mac!B:B,""),
_xlpm.MyAuditVal,_xlfn.XLOOKUP($A552,My_Audit!$A:$A,My_Audit!B:B,""),
_xlfn.IFS(_xlpm.MyAuditVal&lt;&gt;"",UPPER(_xlpm.MyAuditVal),_xlpm.MacVal&lt;&gt;"",_xlpm.MacVal,_xlpm.CSVVal&lt;&gt;"",_xlpm.CSVVal
)),"")</f>
        <v/>
      </c>
      <c r="D552" s="55" t="str">
        <f>_xlfn.XLOOKUP(A552,My_Audit!A:A,My_Audit!D:D,"")&amp;""</f>
        <v/>
      </c>
      <c r="E552" s="55" t="str" cm="1">
        <f t="array" ref="E552">IFERROR(_xlfn.LET(
_xlpm.CSVVal,_xlfn.XLOOKUP($A552,CSV!$A:$A,CSV!D:D,""),
_xlpm.MacVal,_xlfn.XLOOKUP($A552,Output_Mac!$A:$A,Output_Mac!C:C,""),
_xlpm.MyAuditVal,_xlfn.XLOOKUP($A552,My_Audit!$A:$A,My_Audit!D:D,""),
_xlfn.IFS(_xlpm.MyAuditVal&lt;&gt;"",_xlpm.MyAuditVal,_xlpm.MacVal&lt;&gt;"",_xlpm.MacVal,_xlpm.CSVVal&lt;&gt;"",_xlpm.CSVVal
)),"")</f>
        <v/>
      </c>
      <c r="F552" s="54" t="str" cm="1">
        <f t="array" ref="F552">IFERROR(_xlfn.LET(
_xlpm.CSVVal,_xlfn.XLOOKUP($A552,CSV!$A:$A,CSV!E:E,""),
_xlpm.MacVal,_xlfn.XLOOKUP($A552,Output_Mac!$A:$A,Output_Mac!F:F,""),
_xlpm.MyAuditVal,_xlfn.XLOOKUP($A552,My_Audit!$A:$A,My_Audit!E:E,""),
_xlfn.IFS(_xlpm.MyAuditVal&lt;&gt;"",_xlpm.MyAuditVal,_xlpm.MacVal&lt;&gt;"",_xlpm.MacVal,_xlpm.CSVVal&lt;&gt;"",PROPER(_xlpm.CSVVal)
)),"")</f>
        <v/>
      </c>
      <c r="G552" s="54" t="str" cm="1">
        <f t="array" ref="G552">IFERROR(_xlfn.LET(
_xlpm.CSVVal,_xlfn.XLOOKUP($A552,CSV!$A:$A,CSV!F:F,""),
_xlpm.MacVal,_xlfn.XLOOKUP($A552,Output_Mac!$A:$A,Output_Mac!H:H,""),
_xlpm.MyAuditVal,_xlfn.XLOOKUP($A552,My_Audit!$A:$A,My_Audit!F:F,""),
_xlfn.IFS(_xlpm.MyAuditVal&lt;&gt;"",_xlpm.MyAuditVal,_xlpm.MacVal&lt;&gt;"",_xlpm.MacVal,_xlpm.CSVVal&lt;&gt;"",_xlpm.CSVVal
)),"")</f>
        <v/>
      </c>
      <c r="H552" s="54" t="str">
        <f>_xlfn.XLOOKUP(A552,Output_Mac!A:A,Output_Mac!I:I,"")</f>
        <v/>
      </c>
      <c r="I552" s="54" t="str" cm="1">
        <f t="array" ref="I552">IFERROR(_xlfn.LET(
_xlpm.CSVVal,_xlfn.XLOOKUP($A552,CSV!$A:$A,CSV!G:G,""),
_xlpm.MacVal,_xlfn.XLOOKUP($A552,Output_Mac!$A:$A,Output_Mac!J:J,""),
_xlpm.MyAuditVal,_xlfn.XLOOKUP($A552,My_Audit!$A:$A,My_Audit!H:H,""),
_xlfn.IFS(_xlpm.MyAuditVal&lt;&gt;"",UPPER(_xlpm.MyAuditVal),_xlpm.MacVal&lt;&gt;"",_xlpm.MacVal,_xlpm.CSVVal&lt;&gt;"",_xlpm.CSVVal
)),"")</f>
        <v/>
      </c>
      <c r="J552" s="54" t="str" cm="1">
        <f t="array" ref="J552">IFERROR(_xlfn.LET(
_xlpm.CSVVal,_xlfn.XLOOKUP($A552,CSV!$A:$A,CSV!I:I,""),
_xlpm.MacVal,_xlfn.XLOOKUP($A552,Output_Mac!$A:$A,Output_Mac!K:K,""),
_xlpm.MyAuditVal,_xlfn.XLOOKUP($A552,My_Audit!$A:$A,My_Audit!I:I,""),
_xlfn.IFS(_xlpm.MyAuditVal&lt;&gt;"",UPPER(_xlpm.MyAuditVal),_xlpm.MacVal&lt;&gt;"",_xlpm.MacVal,_xlpm.CSVVal&lt;&gt;"",_xlpm.CSVVal
)),"")</f>
        <v/>
      </c>
      <c r="K552" s="54" t="str" cm="1">
        <f t="array" ref="K552">IFERROR(_xlfn.LET(
_xlpm.CSVVal,_xlfn.XLOOKUP($A552,CSV!$A:$A,CSV!M:M,""),
_xlpm.MacVal,_xlfn.XLOOKUP($A552,Output_Mac!$A:$A,Output_Mac!L:L,""),
_xlpm.MyAuditVal,_xlfn.XLOOKUP($A552,My_Audit!$A:$A,My_Audit!J:J,""),
_xlfn.IFS(_xlpm.MyAuditVal&lt;&gt;"",UPPER(_xlpm.MyAuditVal),_xlpm.MacVal&lt;&gt;"",_xlpm.MacVal,_xlpm.CSVVal&lt;&gt;"",_xlpm.CSVVal
)),"")</f>
        <v/>
      </c>
      <c r="L552" s="54" t="str" cm="1">
        <f t="array" ref="L552">IFERROR(_xlfn.LET(
_xlpm.CSVVal,_xlfn.XLOOKUP($A552,CSV!$A:$A,CSV!O:O,""),
_xlpm.MacVal,_xlfn.XLOOKUP($A552,Output_Mac!$A:$A,Output_Mac!M:M,""),
_xlpm.MyAuditVal,_xlfn.XLOOKUP($A552,My_Audit!$A:$A,My_Audit!K:K,""),
_xlfn.IFS(_xlpm.MyAuditVal&lt;&gt;"",UPPER(_xlpm.MyAuditVal),_xlpm.MacVal&lt;&gt;"",_xlpm.MacVal,_xlpm.CSVVal&lt;&gt;"",_xlpm.CSVVal
)),"")</f>
        <v/>
      </c>
      <c r="M552" s="54" t="str">
        <f>_xlfn.LET(
    _xlpm.CSVVal, _xlfn.XLOOKUP($A552, CSV!$A:$A, CSV!AD:AD, ""),
    _xlpm.MacVal, _xlfn.XLOOKUP($A552, Output_Mac!$A:$A, Output_Mac!S:S, ""),
    _xlpm.MyAuditVal, _xlfn.XLOOKUP($A552, My_Audit!$A:$A, My_Audit!N:N, ""),
    _xlfn.TEXTJOIN(", ", TRUE, _xlpm.MyAuditVal, _xlpm.MacVal, _xlpm.CSVVal)
)</f>
        <v/>
      </c>
      <c r="N552" s="54" t="str" cm="1">
        <f t="array" ref="N552">IFERROR(_xlfn.LET(
_xlpm.CSVVal,_xlfn.XLOOKUP($A552,CSV!$A:$A,CSV!AF:AF,""),
_xlpm.MacVal,_xlfn.XLOOKUP($A552,Output_Mac!$A:$A,Output_Mac!U:U,""),
_xlpm.MyAuditVal,_xlfn.XLOOKUP($A552,My_Audit!$A:$A,My_Audit!O:O,""),
_xlfn.IFS(_xlpm.MyAuditVal&lt;&gt;"",UPPER(_xlpm.MyAuditVal),_xlpm.MacVal&lt;&gt;"",_xlpm.MacVal,_xlpm.CSVVal&lt;&gt;"",_xlpm.CSVVal
)),"")</f>
        <v/>
      </c>
      <c r="O552" s="54"/>
      <c r="P552" s="54"/>
      <c r="Q552" s="54"/>
      <c r="R552" s="54"/>
      <c r="S552" s="54"/>
      <c r="T552" s="54"/>
      <c r="U552" s="39"/>
    </row>
    <row r="553" spans="1:21">
      <c r="A553" s="54" t="str">
        <f>_xlfn.TEXTJOIN("",TRUE,Input!$B$2,ROW(My_Audit!A552))</f>
        <v>XX552</v>
      </c>
      <c r="B553" s="54" t="str">
        <f>_xlfn.TEXTJOIN("-",TRUE,"ITD",Input!$A$2,A553)</f>
        <v>ITD-SHRXXX-XX552</v>
      </c>
      <c r="C553" s="54" t="str" cm="1">
        <f t="array" ref="C553">IFERROR(_xlfn.LET(
_xlpm.CSVVal,_xlfn.XLOOKUP($A553,CSV!$A:$A,CSV!B:B,""),
_xlpm.MacVal,_xlfn.XLOOKUP($A553,Output_Mac!$A:$A,Output_Mac!B:B,""),
_xlpm.MyAuditVal,_xlfn.XLOOKUP($A553,My_Audit!$A:$A,My_Audit!B:B,""),
_xlfn.IFS(_xlpm.MyAuditVal&lt;&gt;"",UPPER(_xlpm.MyAuditVal),_xlpm.MacVal&lt;&gt;"",_xlpm.MacVal,_xlpm.CSVVal&lt;&gt;"",_xlpm.CSVVal
)),"")</f>
        <v/>
      </c>
      <c r="D553" s="55" t="str">
        <f>_xlfn.XLOOKUP(A553,My_Audit!A:A,My_Audit!D:D,"")&amp;""</f>
        <v/>
      </c>
      <c r="E553" s="55" t="str" cm="1">
        <f t="array" ref="E553">IFERROR(_xlfn.LET(
_xlpm.CSVVal,_xlfn.XLOOKUP($A553,CSV!$A:$A,CSV!D:D,""),
_xlpm.MacVal,_xlfn.XLOOKUP($A553,Output_Mac!$A:$A,Output_Mac!C:C,""),
_xlpm.MyAuditVal,_xlfn.XLOOKUP($A553,My_Audit!$A:$A,My_Audit!D:D,""),
_xlfn.IFS(_xlpm.MyAuditVal&lt;&gt;"",_xlpm.MyAuditVal,_xlpm.MacVal&lt;&gt;"",_xlpm.MacVal,_xlpm.CSVVal&lt;&gt;"",_xlpm.CSVVal
)),"")</f>
        <v/>
      </c>
      <c r="F553" s="54" t="str" cm="1">
        <f t="array" ref="F553">IFERROR(_xlfn.LET(
_xlpm.CSVVal,_xlfn.XLOOKUP($A553,CSV!$A:$A,CSV!E:E,""),
_xlpm.MacVal,_xlfn.XLOOKUP($A553,Output_Mac!$A:$A,Output_Mac!F:F,""),
_xlpm.MyAuditVal,_xlfn.XLOOKUP($A553,My_Audit!$A:$A,My_Audit!E:E,""),
_xlfn.IFS(_xlpm.MyAuditVal&lt;&gt;"",_xlpm.MyAuditVal,_xlpm.MacVal&lt;&gt;"",_xlpm.MacVal,_xlpm.CSVVal&lt;&gt;"",PROPER(_xlpm.CSVVal)
)),"")</f>
        <v/>
      </c>
      <c r="G553" s="54" t="str" cm="1">
        <f t="array" ref="G553">IFERROR(_xlfn.LET(
_xlpm.CSVVal,_xlfn.XLOOKUP($A553,CSV!$A:$A,CSV!F:F,""),
_xlpm.MacVal,_xlfn.XLOOKUP($A553,Output_Mac!$A:$A,Output_Mac!H:H,""),
_xlpm.MyAuditVal,_xlfn.XLOOKUP($A553,My_Audit!$A:$A,My_Audit!F:F,""),
_xlfn.IFS(_xlpm.MyAuditVal&lt;&gt;"",_xlpm.MyAuditVal,_xlpm.MacVal&lt;&gt;"",_xlpm.MacVal,_xlpm.CSVVal&lt;&gt;"",_xlpm.CSVVal
)),"")</f>
        <v/>
      </c>
      <c r="H553" s="54" t="str">
        <f>_xlfn.XLOOKUP(A553,Output_Mac!A:A,Output_Mac!I:I,"")</f>
        <v/>
      </c>
      <c r="I553" s="54" t="str" cm="1">
        <f t="array" ref="I553">IFERROR(_xlfn.LET(
_xlpm.CSVVal,_xlfn.XLOOKUP($A553,CSV!$A:$A,CSV!G:G,""),
_xlpm.MacVal,_xlfn.XLOOKUP($A553,Output_Mac!$A:$A,Output_Mac!J:J,""),
_xlpm.MyAuditVal,_xlfn.XLOOKUP($A553,My_Audit!$A:$A,My_Audit!H:H,""),
_xlfn.IFS(_xlpm.MyAuditVal&lt;&gt;"",UPPER(_xlpm.MyAuditVal),_xlpm.MacVal&lt;&gt;"",_xlpm.MacVal,_xlpm.CSVVal&lt;&gt;"",_xlpm.CSVVal
)),"")</f>
        <v/>
      </c>
      <c r="J553" s="54" t="str" cm="1">
        <f t="array" ref="J553">IFERROR(_xlfn.LET(
_xlpm.CSVVal,_xlfn.XLOOKUP($A553,CSV!$A:$A,CSV!I:I,""),
_xlpm.MacVal,_xlfn.XLOOKUP($A553,Output_Mac!$A:$A,Output_Mac!K:K,""),
_xlpm.MyAuditVal,_xlfn.XLOOKUP($A553,My_Audit!$A:$A,My_Audit!I:I,""),
_xlfn.IFS(_xlpm.MyAuditVal&lt;&gt;"",UPPER(_xlpm.MyAuditVal),_xlpm.MacVal&lt;&gt;"",_xlpm.MacVal,_xlpm.CSVVal&lt;&gt;"",_xlpm.CSVVal
)),"")</f>
        <v/>
      </c>
      <c r="K553" s="54" t="str" cm="1">
        <f t="array" ref="K553">IFERROR(_xlfn.LET(
_xlpm.CSVVal,_xlfn.XLOOKUP($A553,CSV!$A:$A,CSV!M:M,""),
_xlpm.MacVal,_xlfn.XLOOKUP($A553,Output_Mac!$A:$A,Output_Mac!L:L,""),
_xlpm.MyAuditVal,_xlfn.XLOOKUP($A553,My_Audit!$A:$A,My_Audit!J:J,""),
_xlfn.IFS(_xlpm.MyAuditVal&lt;&gt;"",UPPER(_xlpm.MyAuditVal),_xlpm.MacVal&lt;&gt;"",_xlpm.MacVal,_xlpm.CSVVal&lt;&gt;"",_xlpm.CSVVal
)),"")</f>
        <v/>
      </c>
      <c r="L553" s="54" t="str" cm="1">
        <f t="array" ref="L553">IFERROR(_xlfn.LET(
_xlpm.CSVVal,_xlfn.XLOOKUP($A553,CSV!$A:$A,CSV!O:O,""),
_xlpm.MacVal,_xlfn.XLOOKUP($A553,Output_Mac!$A:$A,Output_Mac!M:M,""),
_xlpm.MyAuditVal,_xlfn.XLOOKUP($A553,My_Audit!$A:$A,My_Audit!K:K,""),
_xlfn.IFS(_xlpm.MyAuditVal&lt;&gt;"",UPPER(_xlpm.MyAuditVal),_xlpm.MacVal&lt;&gt;"",_xlpm.MacVal,_xlpm.CSVVal&lt;&gt;"",_xlpm.CSVVal
)),"")</f>
        <v/>
      </c>
      <c r="M553" s="54" t="str">
        <f>_xlfn.LET(
    _xlpm.CSVVal, _xlfn.XLOOKUP($A553, CSV!$A:$A, CSV!AD:AD, ""),
    _xlpm.MacVal, _xlfn.XLOOKUP($A553, Output_Mac!$A:$A, Output_Mac!S:S, ""),
    _xlpm.MyAuditVal, _xlfn.XLOOKUP($A553, My_Audit!$A:$A, My_Audit!N:N, ""),
    _xlfn.TEXTJOIN(", ", TRUE, _xlpm.MyAuditVal, _xlpm.MacVal, _xlpm.CSVVal)
)</f>
        <v/>
      </c>
      <c r="N553" s="54" t="str" cm="1">
        <f t="array" ref="N553">IFERROR(_xlfn.LET(
_xlpm.CSVVal,_xlfn.XLOOKUP($A553,CSV!$A:$A,CSV!AF:AF,""),
_xlpm.MacVal,_xlfn.XLOOKUP($A553,Output_Mac!$A:$A,Output_Mac!U:U,""),
_xlpm.MyAuditVal,_xlfn.XLOOKUP($A553,My_Audit!$A:$A,My_Audit!O:O,""),
_xlfn.IFS(_xlpm.MyAuditVal&lt;&gt;"",UPPER(_xlpm.MyAuditVal),_xlpm.MacVal&lt;&gt;"",_xlpm.MacVal,_xlpm.CSVVal&lt;&gt;"",_xlpm.CSVVal
)),"")</f>
        <v/>
      </c>
      <c r="O553" s="54"/>
      <c r="P553" s="54"/>
      <c r="Q553" s="54"/>
      <c r="R553" s="54"/>
      <c r="S553" s="54"/>
      <c r="T553" s="54"/>
      <c r="U553" s="39"/>
    </row>
    <row r="554" spans="1:21">
      <c r="A554" s="54" t="str">
        <f>_xlfn.TEXTJOIN("",TRUE,Input!$B$2,ROW(My_Audit!A553))</f>
        <v>XX553</v>
      </c>
      <c r="B554" s="54" t="str">
        <f>_xlfn.TEXTJOIN("-",TRUE,"ITD",Input!$A$2,A554)</f>
        <v>ITD-SHRXXX-XX553</v>
      </c>
      <c r="C554" s="54" t="str" cm="1">
        <f t="array" ref="C554">IFERROR(_xlfn.LET(
_xlpm.CSVVal,_xlfn.XLOOKUP($A554,CSV!$A:$A,CSV!B:B,""),
_xlpm.MacVal,_xlfn.XLOOKUP($A554,Output_Mac!$A:$A,Output_Mac!B:B,""),
_xlpm.MyAuditVal,_xlfn.XLOOKUP($A554,My_Audit!$A:$A,My_Audit!B:B,""),
_xlfn.IFS(_xlpm.MyAuditVal&lt;&gt;"",UPPER(_xlpm.MyAuditVal),_xlpm.MacVal&lt;&gt;"",_xlpm.MacVal,_xlpm.CSVVal&lt;&gt;"",_xlpm.CSVVal
)),"")</f>
        <v/>
      </c>
      <c r="D554" s="55" t="str">
        <f>_xlfn.XLOOKUP(A554,My_Audit!A:A,My_Audit!D:D,"")&amp;""</f>
        <v/>
      </c>
      <c r="E554" s="55" t="str" cm="1">
        <f t="array" ref="E554">IFERROR(_xlfn.LET(
_xlpm.CSVVal,_xlfn.XLOOKUP($A554,CSV!$A:$A,CSV!D:D,""),
_xlpm.MacVal,_xlfn.XLOOKUP($A554,Output_Mac!$A:$A,Output_Mac!C:C,""),
_xlpm.MyAuditVal,_xlfn.XLOOKUP($A554,My_Audit!$A:$A,My_Audit!D:D,""),
_xlfn.IFS(_xlpm.MyAuditVal&lt;&gt;"",_xlpm.MyAuditVal,_xlpm.MacVal&lt;&gt;"",_xlpm.MacVal,_xlpm.CSVVal&lt;&gt;"",_xlpm.CSVVal
)),"")</f>
        <v/>
      </c>
      <c r="F554" s="54" t="str" cm="1">
        <f t="array" ref="F554">IFERROR(_xlfn.LET(
_xlpm.CSVVal,_xlfn.XLOOKUP($A554,CSV!$A:$A,CSV!E:E,""),
_xlpm.MacVal,_xlfn.XLOOKUP($A554,Output_Mac!$A:$A,Output_Mac!F:F,""),
_xlpm.MyAuditVal,_xlfn.XLOOKUP($A554,My_Audit!$A:$A,My_Audit!E:E,""),
_xlfn.IFS(_xlpm.MyAuditVal&lt;&gt;"",_xlpm.MyAuditVal,_xlpm.MacVal&lt;&gt;"",_xlpm.MacVal,_xlpm.CSVVal&lt;&gt;"",PROPER(_xlpm.CSVVal)
)),"")</f>
        <v/>
      </c>
      <c r="G554" s="54" t="str" cm="1">
        <f t="array" ref="G554">IFERROR(_xlfn.LET(
_xlpm.CSVVal,_xlfn.XLOOKUP($A554,CSV!$A:$A,CSV!F:F,""),
_xlpm.MacVal,_xlfn.XLOOKUP($A554,Output_Mac!$A:$A,Output_Mac!H:H,""),
_xlpm.MyAuditVal,_xlfn.XLOOKUP($A554,My_Audit!$A:$A,My_Audit!F:F,""),
_xlfn.IFS(_xlpm.MyAuditVal&lt;&gt;"",_xlpm.MyAuditVal,_xlpm.MacVal&lt;&gt;"",_xlpm.MacVal,_xlpm.CSVVal&lt;&gt;"",_xlpm.CSVVal
)),"")</f>
        <v/>
      </c>
      <c r="H554" s="54" t="str">
        <f>_xlfn.XLOOKUP(A554,Output_Mac!A:A,Output_Mac!I:I,"")</f>
        <v/>
      </c>
      <c r="I554" s="54" t="str" cm="1">
        <f t="array" ref="I554">IFERROR(_xlfn.LET(
_xlpm.CSVVal,_xlfn.XLOOKUP($A554,CSV!$A:$A,CSV!G:G,""),
_xlpm.MacVal,_xlfn.XLOOKUP($A554,Output_Mac!$A:$A,Output_Mac!J:J,""),
_xlpm.MyAuditVal,_xlfn.XLOOKUP($A554,My_Audit!$A:$A,My_Audit!H:H,""),
_xlfn.IFS(_xlpm.MyAuditVal&lt;&gt;"",UPPER(_xlpm.MyAuditVal),_xlpm.MacVal&lt;&gt;"",_xlpm.MacVal,_xlpm.CSVVal&lt;&gt;"",_xlpm.CSVVal
)),"")</f>
        <v/>
      </c>
      <c r="J554" s="54" t="str" cm="1">
        <f t="array" ref="J554">IFERROR(_xlfn.LET(
_xlpm.CSVVal,_xlfn.XLOOKUP($A554,CSV!$A:$A,CSV!I:I,""),
_xlpm.MacVal,_xlfn.XLOOKUP($A554,Output_Mac!$A:$A,Output_Mac!K:K,""),
_xlpm.MyAuditVal,_xlfn.XLOOKUP($A554,My_Audit!$A:$A,My_Audit!I:I,""),
_xlfn.IFS(_xlpm.MyAuditVal&lt;&gt;"",UPPER(_xlpm.MyAuditVal),_xlpm.MacVal&lt;&gt;"",_xlpm.MacVal,_xlpm.CSVVal&lt;&gt;"",_xlpm.CSVVal
)),"")</f>
        <v/>
      </c>
      <c r="K554" s="54" t="str" cm="1">
        <f t="array" ref="K554">IFERROR(_xlfn.LET(
_xlpm.CSVVal,_xlfn.XLOOKUP($A554,CSV!$A:$A,CSV!M:M,""),
_xlpm.MacVal,_xlfn.XLOOKUP($A554,Output_Mac!$A:$A,Output_Mac!L:L,""),
_xlpm.MyAuditVal,_xlfn.XLOOKUP($A554,My_Audit!$A:$A,My_Audit!J:J,""),
_xlfn.IFS(_xlpm.MyAuditVal&lt;&gt;"",UPPER(_xlpm.MyAuditVal),_xlpm.MacVal&lt;&gt;"",_xlpm.MacVal,_xlpm.CSVVal&lt;&gt;"",_xlpm.CSVVal
)),"")</f>
        <v/>
      </c>
      <c r="L554" s="54" t="str" cm="1">
        <f t="array" ref="L554">IFERROR(_xlfn.LET(
_xlpm.CSVVal,_xlfn.XLOOKUP($A554,CSV!$A:$A,CSV!O:O,""),
_xlpm.MacVal,_xlfn.XLOOKUP($A554,Output_Mac!$A:$A,Output_Mac!M:M,""),
_xlpm.MyAuditVal,_xlfn.XLOOKUP($A554,My_Audit!$A:$A,My_Audit!K:K,""),
_xlfn.IFS(_xlpm.MyAuditVal&lt;&gt;"",UPPER(_xlpm.MyAuditVal),_xlpm.MacVal&lt;&gt;"",_xlpm.MacVal,_xlpm.CSVVal&lt;&gt;"",_xlpm.CSVVal
)),"")</f>
        <v/>
      </c>
      <c r="M554" s="54" t="str">
        <f>_xlfn.LET(
    _xlpm.CSVVal, _xlfn.XLOOKUP($A554, CSV!$A:$A, CSV!AD:AD, ""),
    _xlpm.MacVal, _xlfn.XLOOKUP($A554, Output_Mac!$A:$A, Output_Mac!S:S, ""),
    _xlpm.MyAuditVal, _xlfn.XLOOKUP($A554, My_Audit!$A:$A, My_Audit!N:N, ""),
    _xlfn.TEXTJOIN(", ", TRUE, _xlpm.MyAuditVal, _xlpm.MacVal, _xlpm.CSVVal)
)</f>
        <v/>
      </c>
      <c r="N554" s="54" t="str" cm="1">
        <f t="array" ref="N554">IFERROR(_xlfn.LET(
_xlpm.CSVVal,_xlfn.XLOOKUP($A554,CSV!$A:$A,CSV!AF:AF,""),
_xlpm.MacVal,_xlfn.XLOOKUP($A554,Output_Mac!$A:$A,Output_Mac!U:U,""),
_xlpm.MyAuditVal,_xlfn.XLOOKUP($A554,My_Audit!$A:$A,My_Audit!O:O,""),
_xlfn.IFS(_xlpm.MyAuditVal&lt;&gt;"",UPPER(_xlpm.MyAuditVal),_xlpm.MacVal&lt;&gt;"",_xlpm.MacVal,_xlpm.CSVVal&lt;&gt;"",_xlpm.CSVVal
)),"")</f>
        <v/>
      </c>
      <c r="O554" s="54"/>
      <c r="P554" s="54"/>
      <c r="Q554" s="54"/>
      <c r="R554" s="54"/>
      <c r="S554" s="54"/>
      <c r="T554" s="54"/>
      <c r="U554" s="39"/>
    </row>
    <row r="555" spans="1:21">
      <c r="A555" s="54" t="str">
        <f>_xlfn.TEXTJOIN("",TRUE,Input!$B$2,ROW(My_Audit!A554))</f>
        <v>XX554</v>
      </c>
      <c r="B555" s="54" t="str">
        <f>_xlfn.TEXTJOIN("-",TRUE,"ITD",Input!$A$2,A555)</f>
        <v>ITD-SHRXXX-XX554</v>
      </c>
      <c r="C555" s="54" t="str" cm="1">
        <f t="array" ref="C555">IFERROR(_xlfn.LET(
_xlpm.CSVVal,_xlfn.XLOOKUP($A555,CSV!$A:$A,CSV!B:B,""),
_xlpm.MacVal,_xlfn.XLOOKUP($A555,Output_Mac!$A:$A,Output_Mac!B:B,""),
_xlpm.MyAuditVal,_xlfn.XLOOKUP($A555,My_Audit!$A:$A,My_Audit!B:B,""),
_xlfn.IFS(_xlpm.MyAuditVal&lt;&gt;"",UPPER(_xlpm.MyAuditVal),_xlpm.MacVal&lt;&gt;"",_xlpm.MacVal,_xlpm.CSVVal&lt;&gt;"",_xlpm.CSVVal
)),"")</f>
        <v/>
      </c>
      <c r="D555" s="55" t="str">
        <f>_xlfn.XLOOKUP(A555,My_Audit!A:A,My_Audit!D:D,"")&amp;""</f>
        <v/>
      </c>
      <c r="E555" s="55" t="str" cm="1">
        <f t="array" ref="E555">IFERROR(_xlfn.LET(
_xlpm.CSVVal,_xlfn.XLOOKUP($A555,CSV!$A:$A,CSV!D:D,""),
_xlpm.MacVal,_xlfn.XLOOKUP($A555,Output_Mac!$A:$A,Output_Mac!C:C,""),
_xlpm.MyAuditVal,_xlfn.XLOOKUP($A555,My_Audit!$A:$A,My_Audit!D:D,""),
_xlfn.IFS(_xlpm.MyAuditVal&lt;&gt;"",_xlpm.MyAuditVal,_xlpm.MacVal&lt;&gt;"",_xlpm.MacVal,_xlpm.CSVVal&lt;&gt;"",_xlpm.CSVVal
)),"")</f>
        <v/>
      </c>
      <c r="F555" s="54" t="str" cm="1">
        <f t="array" ref="F555">IFERROR(_xlfn.LET(
_xlpm.CSVVal,_xlfn.XLOOKUP($A555,CSV!$A:$A,CSV!E:E,""),
_xlpm.MacVal,_xlfn.XLOOKUP($A555,Output_Mac!$A:$A,Output_Mac!F:F,""),
_xlpm.MyAuditVal,_xlfn.XLOOKUP($A555,My_Audit!$A:$A,My_Audit!E:E,""),
_xlfn.IFS(_xlpm.MyAuditVal&lt;&gt;"",_xlpm.MyAuditVal,_xlpm.MacVal&lt;&gt;"",_xlpm.MacVal,_xlpm.CSVVal&lt;&gt;"",PROPER(_xlpm.CSVVal)
)),"")</f>
        <v/>
      </c>
      <c r="G555" s="54" t="str" cm="1">
        <f t="array" ref="G555">IFERROR(_xlfn.LET(
_xlpm.CSVVal,_xlfn.XLOOKUP($A555,CSV!$A:$A,CSV!F:F,""),
_xlpm.MacVal,_xlfn.XLOOKUP($A555,Output_Mac!$A:$A,Output_Mac!H:H,""),
_xlpm.MyAuditVal,_xlfn.XLOOKUP($A555,My_Audit!$A:$A,My_Audit!F:F,""),
_xlfn.IFS(_xlpm.MyAuditVal&lt;&gt;"",_xlpm.MyAuditVal,_xlpm.MacVal&lt;&gt;"",_xlpm.MacVal,_xlpm.CSVVal&lt;&gt;"",_xlpm.CSVVal
)),"")</f>
        <v/>
      </c>
      <c r="H555" s="54" t="str">
        <f>_xlfn.XLOOKUP(A555,Output_Mac!A:A,Output_Mac!I:I,"")</f>
        <v/>
      </c>
      <c r="I555" s="54" t="str" cm="1">
        <f t="array" ref="I555">IFERROR(_xlfn.LET(
_xlpm.CSVVal,_xlfn.XLOOKUP($A555,CSV!$A:$A,CSV!G:G,""),
_xlpm.MacVal,_xlfn.XLOOKUP($A555,Output_Mac!$A:$A,Output_Mac!J:J,""),
_xlpm.MyAuditVal,_xlfn.XLOOKUP($A555,My_Audit!$A:$A,My_Audit!H:H,""),
_xlfn.IFS(_xlpm.MyAuditVal&lt;&gt;"",UPPER(_xlpm.MyAuditVal),_xlpm.MacVal&lt;&gt;"",_xlpm.MacVal,_xlpm.CSVVal&lt;&gt;"",_xlpm.CSVVal
)),"")</f>
        <v/>
      </c>
      <c r="J555" s="54" t="str" cm="1">
        <f t="array" ref="J555">IFERROR(_xlfn.LET(
_xlpm.CSVVal,_xlfn.XLOOKUP($A555,CSV!$A:$A,CSV!I:I,""),
_xlpm.MacVal,_xlfn.XLOOKUP($A555,Output_Mac!$A:$A,Output_Mac!K:K,""),
_xlpm.MyAuditVal,_xlfn.XLOOKUP($A555,My_Audit!$A:$A,My_Audit!I:I,""),
_xlfn.IFS(_xlpm.MyAuditVal&lt;&gt;"",UPPER(_xlpm.MyAuditVal),_xlpm.MacVal&lt;&gt;"",_xlpm.MacVal,_xlpm.CSVVal&lt;&gt;"",_xlpm.CSVVal
)),"")</f>
        <v/>
      </c>
      <c r="K555" s="54" t="str" cm="1">
        <f t="array" ref="K555">IFERROR(_xlfn.LET(
_xlpm.CSVVal,_xlfn.XLOOKUP($A555,CSV!$A:$A,CSV!M:M,""),
_xlpm.MacVal,_xlfn.XLOOKUP($A555,Output_Mac!$A:$A,Output_Mac!L:L,""),
_xlpm.MyAuditVal,_xlfn.XLOOKUP($A555,My_Audit!$A:$A,My_Audit!J:J,""),
_xlfn.IFS(_xlpm.MyAuditVal&lt;&gt;"",UPPER(_xlpm.MyAuditVal),_xlpm.MacVal&lt;&gt;"",_xlpm.MacVal,_xlpm.CSVVal&lt;&gt;"",_xlpm.CSVVal
)),"")</f>
        <v/>
      </c>
      <c r="L555" s="54" t="str" cm="1">
        <f t="array" ref="L555">IFERROR(_xlfn.LET(
_xlpm.CSVVal,_xlfn.XLOOKUP($A555,CSV!$A:$A,CSV!O:O,""),
_xlpm.MacVal,_xlfn.XLOOKUP($A555,Output_Mac!$A:$A,Output_Mac!M:M,""),
_xlpm.MyAuditVal,_xlfn.XLOOKUP($A555,My_Audit!$A:$A,My_Audit!K:K,""),
_xlfn.IFS(_xlpm.MyAuditVal&lt;&gt;"",UPPER(_xlpm.MyAuditVal),_xlpm.MacVal&lt;&gt;"",_xlpm.MacVal,_xlpm.CSVVal&lt;&gt;"",_xlpm.CSVVal
)),"")</f>
        <v/>
      </c>
      <c r="M555" s="54" t="str">
        <f>_xlfn.LET(
    _xlpm.CSVVal, _xlfn.XLOOKUP($A555, CSV!$A:$A, CSV!AD:AD, ""),
    _xlpm.MacVal, _xlfn.XLOOKUP($A555, Output_Mac!$A:$A, Output_Mac!S:S, ""),
    _xlpm.MyAuditVal, _xlfn.XLOOKUP($A555, My_Audit!$A:$A, My_Audit!N:N, ""),
    _xlfn.TEXTJOIN(", ", TRUE, _xlpm.MyAuditVal, _xlpm.MacVal, _xlpm.CSVVal)
)</f>
        <v/>
      </c>
      <c r="N555" s="54" t="str" cm="1">
        <f t="array" ref="N555">IFERROR(_xlfn.LET(
_xlpm.CSVVal,_xlfn.XLOOKUP($A555,CSV!$A:$A,CSV!AF:AF,""),
_xlpm.MacVal,_xlfn.XLOOKUP($A555,Output_Mac!$A:$A,Output_Mac!U:U,""),
_xlpm.MyAuditVal,_xlfn.XLOOKUP($A555,My_Audit!$A:$A,My_Audit!O:O,""),
_xlfn.IFS(_xlpm.MyAuditVal&lt;&gt;"",UPPER(_xlpm.MyAuditVal),_xlpm.MacVal&lt;&gt;"",_xlpm.MacVal,_xlpm.CSVVal&lt;&gt;"",_xlpm.CSVVal
)),"")</f>
        <v/>
      </c>
      <c r="O555" s="54"/>
      <c r="P555" s="54"/>
      <c r="Q555" s="54"/>
      <c r="R555" s="54"/>
      <c r="S555" s="54"/>
      <c r="T555" s="54"/>
      <c r="U555" s="39"/>
    </row>
    <row r="556" spans="1:21">
      <c r="A556" s="54" t="str">
        <f>_xlfn.TEXTJOIN("",TRUE,Input!$B$2,ROW(My_Audit!A555))</f>
        <v>XX555</v>
      </c>
      <c r="B556" s="54" t="str">
        <f>_xlfn.TEXTJOIN("-",TRUE,"ITD",Input!$A$2,A556)</f>
        <v>ITD-SHRXXX-XX555</v>
      </c>
      <c r="C556" s="54" t="str" cm="1">
        <f t="array" ref="C556">IFERROR(_xlfn.LET(
_xlpm.CSVVal,_xlfn.XLOOKUP($A556,CSV!$A:$A,CSV!B:B,""),
_xlpm.MacVal,_xlfn.XLOOKUP($A556,Output_Mac!$A:$A,Output_Mac!B:B,""),
_xlpm.MyAuditVal,_xlfn.XLOOKUP($A556,My_Audit!$A:$A,My_Audit!B:B,""),
_xlfn.IFS(_xlpm.MyAuditVal&lt;&gt;"",UPPER(_xlpm.MyAuditVal),_xlpm.MacVal&lt;&gt;"",_xlpm.MacVal,_xlpm.CSVVal&lt;&gt;"",_xlpm.CSVVal
)),"")</f>
        <v/>
      </c>
      <c r="D556" s="55" t="str">
        <f>_xlfn.XLOOKUP(A556,My_Audit!A:A,My_Audit!D:D,"")&amp;""</f>
        <v/>
      </c>
      <c r="E556" s="55" t="str" cm="1">
        <f t="array" ref="E556">IFERROR(_xlfn.LET(
_xlpm.CSVVal,_xlfn.XLOOKUP($A556,CSV!$A:$A,CSV!D:D,""),
_xlpm.MacVal,_xlfn.XLOOKUP($A556,Output_Mac!$A:$A,Output_Mac!C:C,""),
_xlpm.MyAuditVal,_xlfn.XLOOKUP($A556,My_Audit!$A:$A,My_Audit!D:D,""),
_xlfn.IFS(_xlpm.MyAuditVal&lt;&gt;"",_xlpm.MyAuditVal,_xlpm.MacVal&lt;&gt;"",_xlpm.MacVal,_xlpm.CSVVal&lt;&gt;"",_xlpm.CSVVal
)),"")</f>
        <v/>
      </c>
      <c r="F556" s="54" t="str" cm="1">
        <f t="array" ref="F556">IFERROR(_xlfn.LET(
_xlpm.CSVVal,_xlfn.XLOOKUP($A556,CSV!$A:$A,CSV!E:E,""),
_xlpm.MacVal,_xlfn.XLOOKUP($A556,Output_Mac!$A:$A,Output_Mac!F:F,""),
_xlpm.MyAuditVal,_xlfn.XLOOKUP($A556,My_Audit!$A:$A,My_Audit!E:E,""),
_xlfn.IFS(_xlpm.MyAuditVal&lt;&gt;"",_xlpm.MyAuditVal,_xlpm.MacVal&lt;&gt;"",_xlpm.MacVal,_xlpm.CSVVal&lt;&gt;"",PROPER(_xlpm.CSVVal)
)),"")</f>
        <v/>
      </c>
      <c r="G556" s="54" t="str" cm="1">
        <f t="array" ref="G556">IFERROR(_xlfn.LET(
_xlpm.CSVVal,_xlfn.XLOOKUP($A556,CSV!$A:$A,CSV!F:F,""),
_xlpm.MacVal,_xlfn.XLOOKUP($A556,Output_Mac!$A:$A,Output_Mac!H:H,""),
_xlpm.MyAuditVal,_xlfn.XLOOKUP($A556,My_Audit!$A:$A,My_Audit!F:F,""),
_xlfn.IFS(_xlpm.MyAuditVal&lt;&gt;"",_xlpm.MyAuditVal,_xlpm.MacVal&lt;&gt;"",_xlpm.MacVal,_xlpm.CSVVal&lt;&gt;"",_xlpm.CSVVal
)),"")</f>
        <v/>
      </c>
      <c r="H556" s="54" t="str">
        <f>_xlfn.XLOOKUP(A556,Output_Mac!A:A,Output_Mac!I:I,"")</f>
        <v/>
      </c>
      <c r="I556" s="54" t="str" cm="1">
        <f t="array" ref="I556">IFERROR(_xlfn.LET(
_xlpm.CSVVal,_xlfn.XLOOKUP($A556,CSV!$A:$A,CSV!G:G,""),
_xlpm.MacVal,_xlfn.XLOOKUP($A556,Output_Mac!$A:$A,Output_Mac!J:J,""),
_xlpm.MyAuditVal,_xlfn.XLOOKUP($A556,My_Audit!$A:$A,My_Audit!H:H,""),
_xlfn.IFS(_xlpm.MyAuditVal&lt;&gt;"",UPPER(_xlpm.MyAuditVal),_xlpm.MacVal&lt;&gt;"",_xlpm.MacVal,_xlpm.CSVVal&lt;&gt;"",_xlpm.CSVVal
)),"")</f>
        <v/>
      </c>
      <c r="J556" s="54" t="str" cm="1">
        <f t="array" ref="J556">IFERROR(_xlfn.LET(
_xlpm.CSVVal,_xlfn.XLOOKUP($A556,CSV!$A:$A,CSV!I:I,""),
_xlpm.MacVal,_xlfn.XLOOKUP($A556,Output_Mac!$A:$A,Output_Mac!K:K,""),
_xlpm.MyAuditVal,_xlfn.XLOOKUP($A556,My_Audit!$A:$A,My_Audit!I:I,""),
_xlfn.IFS(_xlpm.MyAuditVal&lt;&gt;"",UPPER(_xlpm.MyAuditVal),_xlpm.MacVal&lt;&gt;"",_xlpm.MacVal,_xlpm.CSVVal&lt;&gt;"",_xlpm.CSVVal
)),"")</f>
        <v/>
      </c>
      <c r="K556" s="54" t="str" cm="1">
        <f t="array" ref="K556">IFERROR(_xlfn.LET(
_xlpm.CSVVal,_xlfn.XLOOKUP($A556,CSV!$A:$A,CSV!M:M,""),
_xlpm.MacVal,_xlfn.XLOOKUP($A556,Output_Mac!$A:$A,Output_Mac!L:L,""),
_xlpm.MyAuditVal,_xlfn.XLOOKUP($A556,My_Audit!$A:$A,My_Audit!J:J,""),
_xlfn.IFS(_xlpm.MyAuditVal&lt;&gt;"",UPPER(_xlpm.MyAuditVal),_xlpm.MacVal&lt;&gt;"",_xlpm.MacVal,_xlpm.CSVVal&lt;&gt;"",_xlpm.CSVVal
)),"")</f>
        <v/>
      </c>
      <c r="L556" s="54" t="str" cm="1">
        <f t="array" ref="L556">IFERROR(_xlfn.LET(
_xlpm.CSVVal,_xlfn.XLOOKUP($A556,CSV!$A:$A,CSV!O:O,""),
_xlpm.MacVal,_xlfn.XLOOKUP($A556,Output_Mac!$A:$A,Output_Mac!M:M,""),
_xlpm.MyAuditVal,_xlfn.XLOOKUP($A556,My_Audit!$A:$A,My_Audit!K:K,""),
_xlfn.IFS(_xlpm.MyAuditVal&lt;&gt;"",UPPER(_xlpm.MyAuditVal),_xlpm.MacVal&lt;&gt;"",_xlpm.MacVal,_xlpm.CSVVal&lt;&gt;"",_xlpm.CSVVal
)),"")</f>
        <v/>
      </c>
      <c r="M556" s="54" t="str">
        <f>_xlfn.LET(
    _xlpm.CSVVal, _xlfn.XLOOKUP($A556, CSV!$A:$A, CSV!AD:AD, ""),
    _xlpm.MacVal, _xlfn.XLOOKUP($A556, Output_Mac!$A:$A, Output_Mac!S:S, ""),
    _xlpm.MyAuditVal, _xlfn.XLOOKUP($A556, My_Audit!$A:$A, My_Audit!N:N, ""),
    _xlfn.TEXTJOIN(", ", TRUE, _xlpm.MyAuditVal, _xlpm.MacVal, _xlpm.CSVVal)
)</f>
        <v/>
      </c>
      <c r="N556" s="54" t="str" cm="1">
        <f t="array" ref="N556">IFERROR(_xlfn.LET(
_xlpm.CSVVal,_xlfn.XLOOKUP($A556,CSV!$A:$A,CSV!AF:AF,""),
_xlpm.MacVal,_xlfn.XLOOKUP($A556,Output_Mac!$A:$A,Output_Mac!U:U,""),
_xlpm.MyAuditVal,_xlfn.XLOOKUP($A556,My_Audit!$A:$A,My_Audit!O:O,""),
_xlfn.IFS(_xlpm.MyAuditVal&lt;&gt;"",UPPER(_xlpm.MyAuditVal),_xlpm.MacVal&lt;&gt;"",_xlpm.MacVal,_xlpm.CSVVal&lt;&gt;"",_xlpm.CSVVal
)),"")</f>
        <v/>
      </c>
      <c r="O556" s="54"/>
      <c r="P556" s="54"/>
      <c r="Q556" s="54"/>
      <c r="R556" s="54"/>
      <c r="S556" s="54"/>
      <c r="T556" s="54"/>
      <c r="U556" s="39"/>
    </row>
    <row r="557" spans="1:21">
      <c r="A557" s="54" t="str">
        <f>_xlfn.TEXTJOIN("",TRUE,Input!$B$2,ROW(My_Audit!A556))</f>
        <v>XX556</v>
      </c>
      <c r="B557" s="54" t="str">
        <f>_xlfn.TEXTJOIN("-",TRUE,"ITD",Input!$A$2,A557)</f>
        <v>ITD-SHRXXX-XX556</v>
      </c>
      <c r="C557" s="54" t="str" cm="1">
        <f t="array" ref="C557">IFERROR(_xlfn.LET(
_xlpm.CSVVal,_xlfn.XLOOKUP($A557,CSV!$A:$A,CSV!B:B,""),
_xlpm.MacVal,_xlfn.XLOOKUP($A557,Output_Mac!$A:$A,Output_Mac!B:B,""),
_xlpm.MyAuditVal,_xlfn.XLOOKUP($A557,My_Audit!$A:$A,My_Audit!B:B,""),
_xlfn.IFS(_xlpm.MyAuditVal&lt;&gt;"",UPPER(_xlpm.MyAuditVal),_xlpm.MacVal&lt;&gt;"",_xlpm.MacVal,_xlpm.CSVVal&lt;&gt;"",_xlpm.CSVVal
)),"")</f>
        <v/>
      </c>
      <c r="D557" s="55" t="str">
        <f>_xlfn.XLOOKUP(A557,My_Audit!A:A,My_Audit!D:D,"")&amp;""</f>
        <v/>
      </c>
      <c r="E557" s="55" t="str" cm="1">
        <f t="array" ref="E557">IFERROR(_xlfn.LET(
_xlpm.CSVVal,_xlfn.XLOOKUP($A557,CSV!$A:$A,CSV!D:D,""),
_xlpm.MacVal,_xlfn.XLOOKUP($A557,Output_Mac!$A:$A,Output_Mac!C:C,""),
_xlpm.MyAuditVal,_xlfn.XLOOKUP($A557,My_Audit!$A:$A,My_Audit!D:D,""),
_xlfn.IFS(_xlpm.MyAuditVal&lt;&gt;"",_xlpm.MyAuditVal,_xlpm.MacVal&lt;&gt;"",_xlpm.MacVal,_xlpm.CSVVal&lt;&gt;"",_xlpm.CSVVal
)),"")</f>
        <v/>
      </c>
      <c r="F557" s="54" t="str" cm="1">
        <f t="array" ref="F557">IFERROR(_xlfn.LET(
_xlpm.CSVVal,_xlfn.XLOOKUP($A557,CSV!$A:$A,CSV!E:E,""),
_xlpm.MacVal,_xlfn.XLOOKUP($A557,Output_Mac!$A:$A,Output_Mac!F:F,""),
_xlpm.MyAuditVal,_xlfn.XLOOKUP($A557,My_Audit!$A:$A,My_Audit!E:E,""),
_xlfn.IFS(_xlpm.MyAuditVal&lt;&gt;"",_xlpm.MyAuditVal,_xlpm.MacVal&lt;&gt;"",_xlpm.MacVal,_xlpm.CSVVal&lt;&gt;"",PROPER(_xlpm.CSVVal)
)),"")</f>
        <v/>
      </c>
      <c r="G557" s="54" t="str" cm="1">
        <f t="array" ref="G557">IFERROR(_xlfn.LET(
_xlpm.CSVVal,_xlfn.XLOOKUP($A557,CSV!$A:$A,CSV!F:F,""),
_xlpm.MacVal,_xlfn.XLOOKUP($A557,Output_Mac!$A:$A,Output_Mac!H:H,""),
_xlpm.MyAuditVal,_xlfn.XLOOKUP($A557,My_Audit!$A:$A,My_Audit!F:F,""),
_xlfn.IFS(_xlpm.MyAuditVal&lt;&gt;"",_xlpm.MyAuditVal,_xlpm.MacVal&lt;&gt;"",_xlpm.MacVal,_xlpm.CSVVal&lt;&gt;"",_xlpm.CSVVal
)),"")</f>
        <v/>
      </c>
      <c r="H557" s="54" t="str">
        <f>_xlfn.XLOOKUP(A557,Output_Mac!A:A,Output_Mac!I:I,"")</f>
        <v/>
      </c>
      <c r="I557" s="54" t="str" cm="1">
        <f t="array" ref="I557">IFERROR(_xlfn.LET(
_xlpm.CSVVal,_xlfn.XLOOKUP($A557,CSV!$A:$A,CSV!G:G,""),
_xlpm.MacVal,_xlfn.XLOOKUP($A557,Output_Mac!$A:$A,Output_Mac!J:J,""),
_xlpm.MyAuditVal,_xlfn.XLOOKUP($A557,My_Audit!$A:$A,My_Audit!H:H,""),
_xlfn.IFS(_xlpm.MyAuditVal&lt;&gt;"",UPPER(_xlpm.MyAuditVal),_xlpm.MacVal&lt;&gt;"",_xlpm.MacVal,_xlpm.CSVVal&lt;&gt;"",_xlpm.CSVVal
)),"")</f>
        <v/>
      </c>
      <c r="J557" s="54" t="str" cm="1">
        <f t="array" ref="J557">IFERROR(_xlfn.LET(
_xlpm.CSVVal,_xlfn.XLOOKUP($A557,CSV!$A:$A,CSV!I:I,""),
_xlpm.MacVal,_xlfn.XLOOKUP($A557,Output_Mac!$A:$A,Output_Mac!K:K,""),
_xlpm.MyAuditVal,_xlfn.XLOOKUP($A557,My_Audit!$A:$A,My_Audit!I:I,""),
_xlfn.IFS(_xlpm.MyAuditVal&lt;&gt;"",UPPER(_xlpm.MyAuditVal),_xlpm.MacVal&lt;&gt;"",_xlpm.MacVal,_xlpm.CSVVal&lt;&gt;"",_xlpm.CSVVal
)),"")</f>
        <v/>
      </c>
      <c r="K557" s="54" t="str" cm="1">
        <f t="array" ref="K557">IFERROR(_xlfn.LET(
_xlpm.CSVVal,_xlfn.XLOOKUP($A557,CSV!$A:$A,CSV!M:M,""),
_xlpm.MacVal,_xlfn.XLOOKUP($A557,Output_Mac!$A:$A,Output_Mac!L:L,""),
_xlpm.MyAuditVal,_xlfn.XLOOKUP($A557,My_Audit!$A:$A,My_Audit!J:J,""),
_xlfn.IFS(_xlpm.MyAuditVal&lt;&gt;"",UPPER(_xlpm.MyAuditVal),_xlpm.MacVal&lt;&gt;"",_xlpm.MacVal,_xlpm.CSVVal&lt;&gt;"",_xlpm.CSVVal
)),"")</f>
        <v/>
      </c>
      <c r="L557" s="54" t="str" cm="1">
        <f t="array" ref="L557">IFERROR(_xlfn.LET(
_xlpm.CSVVal,_xlfn.XLOOKUP($A557,CSV!$A:$A,CSV!O:O,""),
_xlpm.MacVal,_xlfn.XLOOKUP($A557,Output_Mac!$A:$A,Output_Mac!M:M,""),
_xlpm.MyAuditVal,_xlfn.XLOOKUP($A557,My_Audit!$A:$A,My_Audit!K:K,""),
_xlfn.IFS(_xlpm.MyAuditVal&lt;&gt;"",UPPER(_xlpm.MyAuditVal),_xlpm.MacVal&lt;&gt;"",_xlpm.MacVal,_xlpm.CSVVal&lt;&gt;"",_xlpm.CSVVal
)),"")</f>
        <v/>
      </c>
      <c r="M557" s="54" t="str">
        <f>_xlfn.LET(
    _xlpm.CSVVal, _xlfn.XLOOKUP($A557, CSV!$A:$A, CSV!AD:AD, ""),
    _xlpm.MacVal, _xlfn.XLOOKUP($A557, Output_Mac!$A:$A, Output_Mac!S:S, ""),
    _xlpm.MyAuditVal, _xlfn.XLOOKUP($A557, My_Audit!$A:$A, My_Audit!N:N, ""),
    _xlfn.TEXTJOIN(", ", TRUE, _xlpm.MyAuditVal, _xlpm.MacVal, _xlpm.CSVVal)
)</f>
        <v/>
      </c>
      <c r="N557" s="54" t="str" cm="1">
        <f t="array" ref="N557">IFERROR(_xlfn.LET(
_xlpm.CSVVal,_xlfn.XLOOKUP($A557,CSV!$A:$A,CSV!AF:AF,""),
_xlpm.MacVal,_xlfn.XLOOKUP($A557,Output_Mac!$A:$A,Output_Mac!U:U,""),
_xlpm.MyAuditVal,_xlfn.XLOOKUP($A557,My_Audit!$A:$A,My_Audit!O:O,""),
_xlfn.IFS(_xlpm.MyAuditVal&lt;&gt;"",UPPER(_xlpm.MyAuditVal),_xlpm.MacVal&lt;&gt;"",_xlpm.MacVal,_xlpm.CSVVal&lt;&gt;"",_xlpm.CSVVal
)),"")</f>
        <v/>
      </c>
      <c r="O557" s="54"/>
      <c r="P557" s="54"/>
      <c r="Q557" s="54"/>
      <c r="R557" s="54"/>
      <c r="S557" s="54"/>
      <c r="T557" s="54"/>
      <c r="U557" s="39"/>
    </row>
    <row r="558" spans="1:21">
      <c r="A558" s="54" t="str">
        <f>_xlfn.TEXTJOIN("",TRUE,Input!$B$2,ROW(My_Audit!A557))</f>
        <v>XX557</v>
      </c>
      <c r="B558" s="54" t="str">
        <f>_xlfn.TEXTJOIN("-",TRUE,"ITD",Input!$A$2,A558)</f>
        <v>ITD-SHRXXX-XX557</v>
      </c>
      <c r="C558" s="54" t="str" cm="1">
        <f t="array" ref="C558">IFERROR(_xlfn.LET(
_xlpm.CSVVal,_xlfn.XLOOKUP($A558,CSV!$A:$A,CSV!B:B,""),
_xlpm.MacVal,_xlfn.XLOOKUP($A558,Output_Mac!$A:$A,Output_Mac!B:B,""),
_xlpm.MyAuditVal,_xlfn.XLOOKUP($A558,My_Audit!$A:$A,My_Audit!B:B,""),
_xlfn.IFS(_xlpm.MyAuditVal&lt;&gt;"",UPPER(_xlpm.MyAuditVal),_xlpm.MacVal&lt;&gt;"",_xlpm.MacVal,_xlpm.CSVVal&lt;&gt;"",_xlpm.CSVVal
)),"")</f>
        <v/>
      </c>
      <c r="D558" s="55" t="str">
        <f>_xlfn.XLOOKUP(A558,My_Audit!A:A,My_Audit!D:D,"")&amp;""</f>
        <v/>
      </c>
      <c r="E558" s="55" t="str" cm="1">
        <f t="array" ref="E558">IFERROR(_xlfn.LET(
_xlpm.CSVVal,_xlfn.XLOOKUP($A558,CSV!$A:$A,CSV!D:D,""),
_xlpm.MacVal,_xlfn.XLOOKUP($A558,Output_Mac!$A:$A,Output_Mac!C:C,""),
_xlpm.MyAuditVal,_xlfn.XLOOKUP($A558,My_Audit!$A:$A,My_Audit!D:D,""),
_xlfn.IFS(_xlpm.MyAuditVal&lt;&gt;"",_xlpm.MyAuditVal,_xlpm.MacVal&lt;&gt;"",_xlpm.MacVal,_xlpm.CSVVal&lt;&gt;"",_xlpm.CSVVal
)),"")</f>
        <v/>
      </c>
      <c r="F558" s="54" t="str" cm="1">
        <f t="array" ref="F558">IFERROR(_xlfn.LET(
_xlpm.CSVVal,_xlfn.XLOOKUP($A558,CSV!$A:$A,CSV!E:E,""),
_xlpm.MacVal,_xlfn.XLOOKUP($A558,Output_Mac!$A:$A,Output_Mac!F:F,""),
_xlpm.MyAuditVal,_xlfn.XLOOKUP($A558,My_Audit!$A:$A,My_Audit!E:E,""),
_xlfn.IFS(_xlpm.MyAuditVal&lt;&gt;"",_xlpm.MyAuditVal,_xlpm.MacVal&lt;&gt;"",_xlpm.MacVal,_xlpm.CSVVal&lt;&gt;"",PROPER(_xlpm.CSVVal)
)),"")</f>
        <v/>
      </c>
      <c r="G558" s="54" t="str" cm="1">
        <f t="array" ref="G558">IFERROR(_xlfn.LET(
_xlpm.CSVVal,_xlfn.XLOOKUP($A558,CSV!$A:$A,CSV!F:F,""),
_xlpm.MacVal,_xlfn.XLOOKUP($A558,Output_Mac!$A:$A,Output_Mac!H:H,""),
_xlpm.MyAuditVal,_xlfn.XLOOKUP($A558,My_Audit!$A:$A,My_Audit!F:F,""),
_xlfn.IFS(_xlpm.MyAuditVal&lt;&gt;"",_xlpm.MyAuditVal,_xlpm.MacVal&lt;&gt;"",_xlpm.MacVal,_xlpm.CSVVal&lt;&gt;"",_xlpm.CSVVal
)),"")</f>
        <v/>
      </c>
      <c r="H558" s="54" t="str">
        <f>_xlfn.XLOOKUP(A558,Output_Mac!A:A,Output_Mac!I:I,"")</f>
        <v/>
      </c>
      <c r="I558" s="54" t="str" cm="1">
        <f t="array" ref="I558">IFERROR(_xlfn.LET(
_xlpm.CSVVal,_xlfn.XLOOKUP($A558,CSV!$A:$A,CSV!G:G,""),
_xlpm.MacVal,_xlfn.XLOOKUP($A558,Output_Mac!$A:$A,Output_Mac!J:J,""),
_xlpm.MyAuditVal,_xlfn.XLOOKUP($A558,My_Audit!$A:$A,My_Audit!H:H,""),
_xlfn.IFS(_xlpm.MyAuditVal&lt;&gt;"",UPPER(_xlpm.MyAuditVal),_xlpm.MacVal&lt;&gt;"",_xlpm.MacVal,_xlpm.CSVVal&lt;&gt;"",_xlpm.CSVVal
)),"")</f>
        <v/>
      </c>
      <c r="J558" s="54" t="str" cm="1">
        <f t="array" ref="J558">IFERROR(_xlfn.LET(
_xlpm.CSVVal,_xlfn.XLOOKUP($A558,CSV!$A:$A,CSV!I:I,""),
_xlpm.MacVal,_xlfn.XLOOKUP($A558,Output_Mac!$A:$A,Output_Mac!K:K,""),
_xlpm.MyAuditVal,_xlfn.XLOOKUP($A558,My_Audit!$A:$A,My_Audit!I:I,""),
_xlfn.IFS(_xlpm.MyAuditVal&lt;&gt;"",UPPER(_xlpm.MyAuditVal),_xlpm.MacVal&lt;&gt;"",_xlpm.MacVal,_xlpm.CSVVal&lt;&gt;"",_xlpm.CSVVal
)),"")</f>
        <v/>
      </c>
      <c r="K558" s="54" t="str" cm="1">
        <f t="array" ref="K558">IFERROR(_xlfn.LET(
_xlpm.CSVVal,_xlfn.XLOOKUP($A558,CSV!$A:$A,CSV!M:M,""),
_xlpm.MacVal,_xlfn.XLOOKUP($A558,Output_Mac!$A:$A,Output_Mac!L:L,""),
_xlpm.MyAuditVal,_xlfn.XLOOKUP($A558,My_Audit!$A:$A,My_Audit!J:J,""),
_xlfn.IFS(_xlpm.MyAuditVal&lt;&gt;"",UPPER(_xlpm.MyAuditVal),_xlpm.MacVal&lt;&gt;"",_xlpm.MacVal,_xlpm.CSVVal&lt;&gt;"",_xlpm.CSVVal
)),"")</f>
        <v/>
      </c>
      <c r="L558" s="54" t="str" cm="1">
        <f t="array" ref="L558">IFERROR(_xlfn.LET(
_xlpm.CSVVal,_xlfn.XLOOKUP($A558,CSV!$A:$A,CSV!O:O,""),
_xlpm.MacVal,_xlfn.XLOOKUP($A558,Output_Mac!$A:$A,Output_Mac!M:M,""),
_xlpm.MyAuditVal,_xlfn.XLOOKUP($A558,My_Audit!$A:$A,My_Audit!K:K,""),
_xlfn.IFS(_xlpm.MyAuditVal&lt;&gt;"",UPPER(_xlpm.MyAuditVal),_xlpm.MacVal&lt;&gt;"",_xlpm.MacVal,_xlpm.CSVVal&lt;&gt;"",_xlpm.CSVVal
)),"")</f>
        <v/>
      </c>
      <c r="M558" s="54" t="str">
        <f>_xlfn.LET(
    _xlpm.CSVVal, _xlfn.XLOOKUP($A558, CSV!$A:$A, CSV!AD:AD, ""),
    _xlpm.MacVal, _xlfn.XLOOKUP($A558, Output_Mac!$A:$A, Output_Mac!S:S, ""),
    _xlpm.MyAuditVal, _xlfn.XLOOKUP($A558, My_Audit!$A:$A, My_Audit!N:N, ""),
    _xlfn.TEXTJOIN(", ", TRUE, _xlpm.MyAuditVal, _xlpm.MacVal, _xlpm.CSVVal)
)</f>
        <v/>
      </c>
      <c r="N558" s="54" t="str" cm="1">
        <f t="array" ref="N558">IFERROR(_xlfn.LET(
_xlpm.CSVVal,_xlfn.XLOOKUP($A558,CSV!$A:$A,CSV!AF:AF,""),
_xlpm.MacVal,_xlfn.XLOOKUP($A558,Output_Mac!$A:$A,Output_Mac!U:U,""),
_xlpm.MyAuditVal,_xlfn.XLOOKUP($A558,My_Audit!$A:$A,My_Audit!O:O,""),
_xlfn.IFS(_xlpm.MyAuditVal&lt;&gt;"",UPPER(_xlpm.MyAuditVal),_xlpm.MacVal&lt;&gt;"",_xlpm.MacVal,_xlpm.CSVVal&lt;&gt;"",_xlpm.CSVVal
)),"")</f>
        <v/>
      </c>
      <c r="O558" s="54"/>
      <c r="P558" s="54"/>
      <c r="Q558" s="54"/>
      <c r="R558" s="54"/>
      <c r="S558" s="54"/>
      <c r="T558" s="54"/>
      <c r="U558" s="39"/>
    </row>
    <row r="559" spans="1:21">
      <c r="A559" s="54" t="str">
        <f>_xlfn.TEXTJOIN("",TRUE,Input!$B$2,ROW(My_Audit!A558))</f>
        <v>XX558</v>
      </c>
      <c r="B559" s="54" t="str">
        <f>_xlfn.TEXTJOIN("-",TRUE,"ITD",Input!$A$2,A559)</f>
        <v>ITD-SHRXXX-XX558</v>
      </c>
      <c r="C559" s="54" t="str" cm="1">
        <f t="array" ref="C559">IFERROR(_xlfn.LET(
_xlpm.CSVVal,_xlfn.XLOOKUP($A559,CSV!$A:$A,CSV!B:B,""),
_xlpm.MacVal,_xlfn.XLOOKUP($A559,Output_Mac!$A:$A,Output_Mac!B:B,""),
_xlpm.MyAuditVal,_xlfn.XLOOKUP($A559,My_Audit!$A:$A,My_Audit!B:B,""),
_xlfn.IFS(_xlpm.MyAuditVal&lt;&gt;"",UPPER(_xlpm.MyAuditVal),_xlpm.MacVal&lt;&gt;"",_xlpm.MacVal,_xlpm.CSVVal&lt;&gt;"",_xlpm.CSVVal
)),"")</f>
        <v/>
      </c>
      <c r="D559" s="55" t="str">
        <f>_xlfn.XLOOKUP(A559,My_Audit!A:A,My_Audit!D:D,"")&amp;""</f>
        <v/>
      </c>
      <c r="E559" s="55" t="str" cm="1">
        <f t="array" ref="E559">IFERROR(_xlfn.LET(
_xlpm.CSVVal,_xlfn.XLOOKUP($A559,CSV!$A:$A,CSV!D:D,""),
_xlpm.MacVal,_xlfn.XLOOKUP($A559,Output_Mac!$A:$A,Output_Mac!C:C,""),
_xlpm.MyAuditVal,_xlfn.XLOOKUP($A559,My_Audit!$A:$A,My_Audit!D:D,""),
_xlfn.IFS(_xlpm.MyAuditVal&lt;&gt;"",_xlpm.MyAuditVal,_xlpm.MacVal&lt;&gt;"",_xlpm.MacVal,_xlpm.CSVVal&lt;&gt;"",_xlpm.CSVVal
)),"")</f>
        <v/>
      </c>
      <c r="F559" s="54" t="str" cm="1">
        <f t="array" ref="F559">IFERROR(_xlfn.LET(
_xlpm.CSVVal,_xlfn.XLOOKUP($A559,CSV!$A:$A,CSV!E:E,""),
_xlpm.MacVal,_xlfn.XLOOKUP($A559,Output_Mac!$A:$A,Output_Mac!F:F,""),
_xlpm.MyAuditVal,_xlfn.XLOOKUP($A559,My_Audit!$A:$A,My_Audit!E:E,""),
_xlfn.IFS(_xlpm.MyAuditVal&lt;&gt;"",_xlpm.MyAuditVal,_xlpm.MacVal&lt;&gt;"",_xlpm.MacVal,_xlpm.CSVVal&lt;&gt;"",PROPER(_xlpm.CSVVal)
)),"")</f>
        <v/>
      </c>
      <c r="G559" s="54" t="str" cm="1">
        <f t="array" ref="G559">IFERROR(_xlfn.LET(
_xlpm.CSVVal,_xlfn.XLOOKUP($A559,CSV!$A:$A,CSV!F:F,""),
_xlpm.MacVal,_xlfn.XLOOKUP($A559,Output_Mac!$A:$A,Output_Mac!H:H,""),
_xlpm.MyAuditVal,_xlfn.XLOOKUP($A559,My_Audit!$A:$A,My_Audit!F:F,""),
_xlfn.IFS(_xlpm.MyAuditVal&lt;&gt;"",_xlpm.MyAuditVal,_xlpm.MacVal&lt;&gt;"",_xlpm.MacVal,_xlpm.CSVVal&lt;&gt;"",_xlpm.CSVVal
)),"")</f>
        <v/>
      </c>
      <c r="H559" s="54" t="str">
        <f>_xlfn.XLOOKUP(A559,Output_Mac!A:A,Output_Mac!I:I,"")</f>
        <v/>
      </c>
      <c r="I559" s="54" t="str" cm="1">
        <f t="array" ref="I559">IFERROR(_xlfn.LET(
_xlpm.CSVVal,_xlfn.XLOOKUP($A559,CSV!$A:$A,CSV!G:G,""),
_xlpm.MacVal,_xlfn.XLOOKUP($A559,Output_Mac!$A:$A,Output_Mac!J:J,""),
_xlpm.MyAuditVal,_xlfn.XLOOKUP($A559,My_Audit!$A:$A,My_Audit!H:H,""),
_xlfn.IFS(_xlpm.MyAuditVal&lt;&gt;"",UPPER(_xlpm.MyAuditVal),_xlpm.MacVal&lt;&gt;"",_xlpm.MacVal,_xlpm.CSVVal&lt;&gt;"",_xlpm.CSVVal
)),"")</f>
        <v/>
      </c>
      <c r="J559" s="54" t="str" cm="1">
        <f t="array" ref="J559">IFERROR(_xlfn.LET(
_xlpm.CSVVal,_xlfn.XLOOKUP($A559,CSV!$A:$A,CSV!I:I,""),
_xlpm.MacVal,_xlfn.XLOOKUP($A559,Output_Mac!$A:$A,Output_Mac!K:K,""),
_xlpm.MyAuditVal,_xlfn.XLOOKUP($A559,My_Audit!$A:$A,My_Audit!I:I,""),
_xlfn.IFS(_xlpm.MyAuditVal&lt;&gt;"",UPPER(_xlpm.MyAuditVal),_xlpm.MacVal&lt;&gt;"",_xlpm.MacVal,_xlpm.CSVVal&lt;&gt;"",_xlpm.CSVVal
)),"")</f>
        <v/>
      </c>
      <c r="K559" s="54" t="str" cm="1">
        <f t="array" ref="K559">IFERROR(_xlfn.LET(
_xlpm.CSVVal,_xlfn.XLOOKUP($A559,CSV!$A:$A,CSV!M:M,""),
_xlpm.MacVal,_xlfn.XLOOKUP($A559,Output_Mac!$A:$A,Output_Mac!L:L,""),
_xlpm.MyAuditVal,_xlfn.XLOOKUP($A559,My_Audit!$A:$A,My_Audit!J:J,""),
_xlfn.IFS(_xlpm.MyAuditVal&lt;&gt;"",UPPER(_xlpm.MyAuditVal),_xlpm.MacVal&lt;&gt;"",_xlpm.MacVal,_xlpm.CSVVal&lt;&gt;"",_xlpm.CSVVal
)),"")</f>
        <v/>
      </c>
      <c r="L559" s="54" t="str" cm="1">
        <f t="array" ref="L559">IFERROR(_xlfn.LET(
_xlpm.CSVVal,_xlfn.XLOOKUP($A559,CSV!$A:$A,CSV!O:O,""),
_xlpm.MacVal,_xlfn.XLOOKUP($A559,Output_Mac!$A:$A,Output_Mac!M:M,""),
_xlpm.MyAuditVal,_xlfn.XLOOKUP($A559,My_Audit!$A:$A,My_Audit!K:K,""),
_xlfn.IFS(_xlpm.MyAuditVal&lt;&gt;"",UPPER(_xlpm.MyAuditVal),_xlpm.MacVal&lt;&gt;"",_xlpm.MacVal,_xlpm.CSVVal&lt;&gt;"",_xlpm.CSVVal
)),"")</f>
        <v/>
      </c>
      <c r="M559" s="54" t="str">
        <f>_xlfn.LET(
    _xlpm.CSVVal, _xlfn.XLOOKUP($A559, CSV!$A:$A, CSV!AD:AD, ""),
    _xlpm.MacVal, _xlfn.XLOOKUP($A559, Output_Mac!$A:$A, Output_Mac!S:S, ""),
    _xlpm.MyAuditVal, _xlfn.XLOOKUP($A559, My_Audit!$A:$A, My_Audit!N:N, ""),
    _xlfn.TEXTJOIN(", ", TRUE, _xlpm.MyAuditVal, _xlpm.MacVal, _xlpm.CSVVal)
)</f>
        <v/>
      </c>
      <c r="N559" s="54" t="str" cm="1">
        <f t="array" ref="N559">IFERROR(_xlfn.LET(
_xlpm.CSVVal,_xlfn.XLOOKUP($A559,CSV!$A:$A,CSV!AF:AF,""),
_xlpm.MacVal,_xlfn.XLOOKUP($A559,Output_Mac!$A:$A,Output_Mac!U:U,""),
_xlpm.MyAuditVal,_xlfn.XLOOKUP($A559,My_Audit!$A:$A,My_Audit!O:O,""),
_xlfn.IFS(_xlpm.MyAuditVal&lt;&gt;"",UPPER(_xlpm.MyAuditVal),_xlpm.MacVal&lt;&gt;"",_xlpm.MacVal,_xlpm.CSVVal&lt;&gt;"",_xlpm.CSVVal
)),"")</f>
        <v/>
      </c>
      <c r="O559" s="54"/>
      <c r="P559" s="54"/>
      <c r="Q559" s="54"/>
      <c r="R559" s="54"/>
      <c r="S559" s="54"/>
      <c r="T559" s="54"/>
      <c r="U559" s="39"/>
    </row>
    <row r="560" spans="1:21">
      <c r="A560" s="54" t="str">
        <f>_xlfn.TEXTJOIN("",TRUE,Input!$B$2,ROW(My_Audit!A559))</f>
        <v>XX559</v>
      </c>
      <c r="B560" s="54" t="str">
        <f>_xlfn.TEXTJOIN("-",TRUE,"ITD",Input!$A$2,A560)</f>
        <v>ITD-SHRXXX-XX559</v>
      </c>
      <c r="C560" s="54" t="str" cm="1">
        <f t="array" ref="C560">IFERROR(_xlfn.LET(
_xlpm.CSVVal,_xlfn.XLOOKUP($A560,CSV!$A:$A,CSV!B:B,""),
_xlpm.MacVal,_xlfn.XLOOKUP($A560,Output_Mac!$A:$A,Output_Mac!B:B,""),
_xlpm.MyAuditVal,_xlfn.XLOOKUP($A560,My_Audit!$A:$A,My_Audit!B:B,""),
_xlfn.IFS(_xlpm.MyAuditVal&lt;&gt;"",UPPER(_xlpm.MyAuditVal),_xlpm.MacVal&lt;&gt;"",_xlpm.MacVal,_xlpm.CSVVal&lt;&gt;"",_xlpm.CSVVal
)),"")</f>
        <v/>
      </c>
      <c r="D560" s="55" t="str">
        <f>_xlfn.XLOOKUP(A560,My_Audit!A:A,My_Audit!D:D,"")&amp;""</f>
        <v/>
      </c>
      <c r="E560" s="55" t="str" cm="1">
        <f t="array" ref="E560">IFERROR(_xlfn.LET(
_xlpm.CSVVal,_xlfn.XLOOKUP($A560,CSV!$A:$A,CSV!D:D,""),
_xlpm.MacVal,_xlfn.XLOOKUP($A560,Output_Mac!$A:$A,Output_Mac!C:C,""),
_xlpm.MyAuditVal,_xlfn.XLOOKUP($A560,My_Audit!$A:$A,My_Audit!D:D,""),
_xlfn.IFS(_xlpm.MyAuditVal&lt;&gt;"",_xlpm.MyAuditVal,_xlpm.MacVal&lt;&gt;"",_xlpm.MacVal,_xlpm.CSVVal&lt;&gt;"",_xlpm.CSVVal
)),"")</f>
        <v/>
      </c>
      <c r="F560" s="54" t="str" cm="1">
        <f t="array" ref="F560">IFERROR(_xlfn.LET(
_xlpm.CSVVal,_xlfn.XLOOKUP($A560,CSV!$A:$A,CSV!E:E,""),
_xlpm.MacVal,_xlfn.XLOOKUP($A560,Output_Mac!$A:$A,Output_Mac!F:F,""),
_xlpm.MyAuditVal,_xlfn.XLOOKUP($A560,My_Audit!$A:$A,My_Audit!E:E,""),
_xlfn.IFS(_xlpm.MyAuditVal&lt;&gt;"",_xlpm.MyAuditVal,_xlpm.MacVal&lt;&gt;"",_xlpm.MacVal,_xlpm.CSVVal&lt;&gt;"",PROPER(_xlpm.CSVVal)
)),"")</f>
        <v/>
      </c>
      <c r="G560" s="54" t="str" cm="1">
        <f t="array" ref="G560">IFERROR(_xlfn.LET(
_xlpm.CSVVal,_xlfn.XLOOKUP($A560,CSV!$A:$A,CSV!F:F,""),
_xlpm.MacVal,_xlfn.XLOOKUP($A560,Output_Mac!$A:$A,Output_Mac!H:H,""),
_xlpm.MyAuditVal,_xlfn.XLOOKUP($A560,My_Audit!$A:$A,My_Audit!F:F,""),
_xlfn.IFS(_xlpm.MyAuditVal&lt;&gt;"",_xlpm.MyAuditVal,_xlpm.MacVal&lt;&gt;"",_xlpm.MacVal,_xlpm.CSVVal&lt;&gt;"",_xlpm.CSVVal
)),"")</f>
        <v/>
      </c>
      <c r="H560" s="54" t="str">
        <f>_xlfn.XLOOKUP(A560,Output_Mac!A:A,Output_Mac!I:I,"")</f>
        <v/>
      </c>
      <c r="I560" s="54" t="str" cm="1">
        <f t="array" ref="I560">IFERROR(_xlfn.LET(
_xlpm.CSVVal,_xlfn.XLOOKUP($A560,CSV!$A:$A,CSV!G:G,""),
_xlpm.MacVal,_xlfn.XLOOKUP($A560,Output_Mac!$A:$A,Output_Mac!J:J,""),
_xlpm.MyAuditVal,_xlfn.XLOOKUP($A560,My_Audit!$A:$A,My_Audit!H:H,""),
_xlfn.IFS(_xlpm.MyAuditVal&lt;&gt;"",UPPER(_xlpm.MyAuditVal),_xlpm.MacVal&lt;&gt;"",_xlpm.MacVal,_xlpm.CSVVal&lt;&gt;"",_xlpm.CSVVal
)),"")</f>
        <v/>
      </c>
      <c r="J560" s="54" t="str" cm="1">
        <f t="array" ref="J560">IFERROR(_xlfn.LET(
_xlpm.CSVVal,_xlfn.XLOOKUP($A560,CSV!$A:$A,CSV!I:I,""),
_xlpm.MacVal,_xlfn.XLOOKUP($A560,Output_Mac!$A:$A,Output_Mac!K:K,""),
_xlpm.MyAuditVal,_xlfn.XLOOKUP($A560,My_Audit!$A:$A,My_Audit!I:I,""),
_xlfn.IFS(_xlpm.MyAuditVal&lt;&gt;"",UPPER(_xlpm.MyAuditVal),_xlpm.MacVal&lt;&gt;"",_xlpm.MacVal,_xlpm.CSVVal&lt;&gt;"",_xlpm.CSVVal
)),"")</f>
        <v/>
      </c>
      <c r="K560" s="54" t="str" cm="1">
        <f t="array" ref="K560">IFERROR(_xlfn.LET(
_xlpm.CSVVal,_xlfn.XLOOKUP($A560,CSV!$A:$A,CSV!M:M,""),
_xlpm.MacVal,_xlfn.XLOOKUP($A560,Output_Mac!$A:$A,Output_Mac!L:L,""),
_xlpm.MyAuditVal,_xlfn.XLOOKUP($A560,My_Audit!$A:$A,My_Audit!J:J,""),
_xlfn.IFS(_xlpm.MyAuditVal&lt;&gt;"",UPPER(_xlpm.MyAuditVal),_xlpm.MacVal&lt;&gt;"",_xlpm.MacVal,_xlpm.CSVVal&lt;&gt;"",_xlpm.CSVVal
)),"")</f>
        <v/>
      </c>
      <c r="L560" s="54" t="str" cm="1">
        <f t="array" ref="L560">IFERROR(_xlfn.LET(
_xlpm.CSVVal,_xlfn.XLOOKUP($A560,CSV!$A:$A,CSV!O:O,""),
_xlpm.MacVal,_xlfn.XLOOKUP($A560,Output_Mac!$A:$A,Output_Mac!M:M,""),
_xlpm.MyAuditVal,_xlfn.XLOOKUP($A560,My_Audit!$A:$A,My_Audit!K:K,""),
_xlfn.IFS(_xlpm.MyAuditVal&lt;&gt;"",UPPER(_xlpm.MyAuditVal),_xlpm.MacVal&lt;&gt;"",_xlpm.MacVal,_xlpm.CSVVal&lt;&gt;"",_xlpm.CSVVal
)),"")</f>
        <v/>
      </c>
      <c r="M560" s="54" t="str">
        <f>_xlfn.LET(
    _xlpm.CSVVal, _xlfn.XLOOKUP($A560, CSV!$A:$A, CSV!AD:AD, ""),
    _xlpm.MacVal, _xlfn.XLOOKUP($A560, Output_Mac!$A:$A, Output_Mac!S:S, ""),
    _xlpm.MyAuditVal, _xlfn.XLOOKUP($A560, My_Audit!$A:$A, My_Audit!N:N, ""),
    _xlfn.TEXTJOIN(", ", TRUE, _xlpm.MyAuditVal, _xlpm.MacVal, _xlpm.CSVVal)
)</f>
        <v/>
      </c>
      <c r="N560" s="54" t="str" cm="1">
        <f t="array" ref="N560">IFERROR(_xlfn.LET(
_xlpm.CSVVal,_xlfn.XLOOKUP($A560,CSV!$A:$A,CSV!AF:AF,""),
_xlpm.MacVal,_xlfn.XLOOKUP($A560,Output_Mac!$A:$A,Output_Mac!U:U,""),
_xlpm.MyAuditVal,_xlfn.XLOOKUP($A560,My_Audit!$A:$A,My_Audit!O:O,""),
_xlfn.IFS(_xlpm.MyAuditVal&lt;&gt;"",UPPER(_xlpm.MyAuditVal),_xlpm.MacVal&lt;&gt;"",_xlpm.MacVal,_xlpm.CSVVal&lt;&gt;"",_xlpm.CSVVal
)),"")</f>
        <v/>
      </c>
      <c r="O560" s="54"/>
      <c r="P560" s="54"/>
      <c r="Q560" s="54"/>
      <c r="R560" s="54"/>
      <c r="S560" s="54"/>
      <c r="T560" s="54"/>
      <c r="U560" s="39"/>
    </row>
    <row r="561" spans="1:21">
      <c r="A561" s="54" t="str">
        <f>_xlfn.TEXTJOIN("",TRUE,Input!$B$2,ROW(My_Audit!A560))</f>
        <v>XX560</v>
      </c>
      <c r="B561" s="54" t="str">
        <f>_xlfn.TEXTJOIN("-",TRUE,"ITD",Input!$A$2,A561)</f>
        <v>ITD-SHRXXX-XX560</v>
      </c>
      <c r="C561" s="54" t="str" cm="1">
        <f t="array" ref="C561">IFERROR(_xlfn.LET(
_xlpm.CSVVal,_xlfn.XLOOKUP($A561,CSV!$A:$A,CSV!B:B,""),
_xlpm.MacVal,_xlfn.XLOOKUP($A561,Output_Mac!$A:$A,Output_Mac!B:B,""),
_xlpm.MyAuditVal,_xlfn.XLOOKUP($A561,My_Audit!$A:$A,My_Audit!B:B,""),
_xlfn.IFS(_xlpm.MyAuditVal&lt;&gt;"",UPPER(_xlpm.MyAuditVal),_xlpm.MacVal&lt;&gt;"",_xlpm.MacVal,_xlpm.CSVVal&lt;&gt;"",_xlpm.CSVVal
)),"")</f>
        <v/>
      </c>
      <c r="D561" s="55" t="str">
        <f>_xlfn.XLOOKUP(A561,My_Audit!A:A,My_Audit!D:D,"")&amp;""</f>
        <v/>
      </c>
      <c r="E561" s="55" t="str" cm="1">
        <f t="array" ref="E561">IFERROR(_xlfn.LET(
_xlpm.CSVVal,_xlfn.XLOOKUP($A561,CSV!$A:$A,CSV!D:D,""),
_xlpm.MacVal,_xlfn.XLOOKUP($A561,Output_Mac!$A:$A,Output_Mac!C:C,""),
_xlpm.MyAuditVal,_xlfn.XLOOKUP($A561,My_Audit!$A:$A,My_Audit!D:D,""),
_xlfn.IFS(_xlpm.MyAuditVal&lt;&gt;"",_xlpm.MyAuditVal,_xlpm.MacVal&lt;&gt;"",_xlpm.MacVal,_xlpm.CSVVal&lt;&gt;"",_xlpm.CSVVal
)),"")</f>
        <v/>
      </c>
      <c r="F561" s="54" t="str" cm="1">
        <f t="array" ref="F561">IFERROR(_xlfn.LET(
_xlpm.CSVVal,_xlfn.XLOOKUP($A561,CSV!$A:$A,CSV!E:E,""),
_xlpm.MacVal,_xlfn.XLOOKUP($A561,Output_Mac!$A:$A,Output_Mac!F:F,""),
_xlpm.MyAuditVal,_xlfn.XLOOKUP($A561,My_Audit!$A:$A,My_Audit!E:E,""),
_xlfn.IFS(_xlpm.MyAuditVal&lt;&gt;"",_xlpm.MyAuditVal,_xlpm.MacVal&lt;&gt;"",_xlpm.MacVal,_xlpm.CSVVal&lt;&gt;"",PROPER(_xlpm.CSVVal)
)),"")</f>
        <v/>
      </c>
      <c r="G561" s="54" t="str" cm="1">
        <f t="array" ref="G561">IFERROR(_xlfn.LET(
_xlpm.CSVVal,_xlfn.XLOOKUP($A561,CSV!$A:$A,CSV!F:F,""),
_xlpm.MacVal,_xlfn.XLOOKUP($A561,Output_Mac!$A:$A,Output_Mac!H:H,""),
_xlpm.MyAuditVal,_xlfn.XLOOKUP($A561,My_Audit!$A:$A,My_Audit!F:F,""),
_xlfn.IFS(_xlpm.MyAuditVal&lt;&gt;"",_xlpm.MyAuditVal,_xlpm.MacVal&lt;&gt;"",_xlpm.MacVal,_xlpm.CSVVal&lt;&gt;"",_xlpm.CSVVal
)),"")</f>
        <v/>
      </c>
      <c r="H561" s="54" t="str">
        <f>_xlfn.XLOOKUP(A561,Output_Mac!A:A,Output_Mac!I:I,"")</f>
        <v/>
      </c>
      <c r="I561" s="54" t="str" cm="1">
        <f t="array" ref="I561">IFERROR(_xlfn.LET(
_xlpm.CSVVal,_xlfn.XLOOKUP($A561,CSV!$A:$A,CSV!G:G,""),
_xlpm.MacVal,_xlfn.XLOOKUP($A561,Output_Mac!$A:$A,Output_Mac!J:J,""),
_xlpm.MyAuditVal,_xlfn.XLOOKUP($A561,My_Audit!$A:$A,My_Audit!H:H,""),
_xlfn.IFS(_xlpm.MyAuditVal&lt;&gt;"",UPPER(_xlpm.MyAuditVal),_xlpm.MacVal&lt;&gt;"",_xlpm.MacVal,_xlpm.CSVVal&lt;&gt;"",_xlpm.CSVVal
)),"")</f>
        <v/>
      </c>
      <c r="J561" s="54" t="str" cm="1">
        <f t="array" ref="J561">IFERROR(_xlfn.LET(
_xlpm.CSVVal,_xlfn.XLOOKUP($A561,CSV!$A:$A,CSV!I:I,""),
_xlpm.MacVal,_xlfn.XLOOKUP($A561,Output_Mac!$A:$A,Output_Mac!K:K,""),
_xlpm.MyAuditVal,_xlfn.XLOOKUP($A561,My_Audit!$A:$A,My_Audit!I:I,""),
_xlfn.IFS(_xlpm.MyAuditVal&lt;&gt;"",UPPER(_xlpm.MyAuditVal),_xlpm.MacVal&lt;&gt;"",_xlpm.MacVal,_xlpm.CSVVal&lt;&gt;"",_xlpm.CSVVal
)),"")</f>
        <v/>
      </c>
      <c r="K561" s="54" t="str" cm="1">
        <f t="array" ref="K561">IFERROR(_xlfn.LET(
_xlpm.CSVVal,_xlfn.XLOOKUP($A561,CSV!$A:$A,CSV!M:M,""),
_xlpm.MacVal,_xlfn.XLOOKUP($A561,Output_Mac!$A:$A,Output_Mac!L:L,""),
_xlpm.MyAuditVal,_xlfn.XLOOKUP($A561,My_Audit!$A:$A,My_Audit!J:J,""),
_xlfn.IFS(_xlpm.MyAuditVal&lt;&gt;"",UPPER(_xlpm.MyAuditVal),_xlpm.MacVal&lt;&gt;"",_xlpm.MacVal,_xlpm.CSVVal&lt;&gt;"",_xlpm.CSVVal
)),"")</f>
        <v/>
      </c>
      <c r="L561" s="54" t="str" cm="1">
        <f t="array" ref="L561">IFERROR(_xlfn.LET(
_xlpm.CSVVal,_xlfn.XLOOKUP($A561,CSV!$A:$A,CSV!O:O,""),
_xlpm.MacVal,_xlfn.XLOOKUP($A561,Output_Mac!$A:$A,Output_Mac!M:M,""),
_xlpm.MyAuditVal,_xlfn.XLOOKUP($A561,My_Audit!$A:$A,My_Audit!K:K,""),
_xlfn.IFS(_xlpm.MyAuditVal&lt;&gt;"",UPPER(_xlpm.MyAuditVal),_xlpm.MacVal&lt;&gt;"",_xlpm.MacVal,_xlpm.CSVVal&lt;&gt;"",_xlpm.CSVVal
)),"")</f>
        <v/>
      </c>
      <c r="M561" s="54" t="str">
        <f>_xlfn.LET(
    _xlpm.CSVVal, _xlfn.XLOOKUP($A561, CSV!$A:$A, CSV!AD:AD, ""),
    _xlpm.MacVal, _xlfn.XLOOKUP($A561, Output_Mac!$A:$A, Output_Mac!S:S, ""),
    _xlpm.MyAuditVal, _xlfn.XLOOKUP($A561, My_Audit!$A:$A, My_Audit!N:N, ""),
    _xlfn.TEXTJOIN(", ", TRUE, _xlpm.MyAuditVal, _xlpm.MacVal, _xlpm.CSVVal)
)</f>
        <v/>
      </c>
      <c r="N561" s="54" t="str" cm="1">
        <f t="array" ref="N561">IFERROR(_xlfn.LET(
_xlpm.CSVVal,_xlfn.XLOOKUP($A561,CSV!$A:$A,CSV!AF:AF,""),
_xlpm.MacVal,_xlfn.XLOOKUP($A561,Output_Mac!$A:$A,Output_Mac!U:U,""),
_xlpm.MyAuditVal,_xlfn.XLOOKUP($A561,My_Audit!$A:$A,My_Audit!O:O,""),
_xlfn.IFS(_xlpm.MyAuditVal&lt;&gt;"",UPPER(_xlpm.MyAuditVal),_xlpm.MacVal&lt;&gt;"",_xlpm.MacVal,_xlpm.CSVVal&lt;&gt;"",_xlpm.CSVVal
)),"")</f>
        <v/>
      </c>
      <c r="O561" s="54"/>
      <c r="P561" s="54"/>
      <c r="Q561" s="54"/>
      <c r="R561" s="54"/>
      <c r="S561" s="54"/>
      <c r="T561" s="54"/>
      <c r="U561" s="39"/>
    </row>
    <row r="562" spans="1:21">
      <c r="A562" s="54" t="str">
        <f>_xlfn.TEXTJOIN("",TRUE,Input!$B$2,ROW(My_Audit!A561))</f>
        <v>XX561</v>
      </c>
      <c r="B562" s="54" t="str">
        <f>_xlfn.TEXTJOIN("-",TRUE,"ITD",Input!$A$2,A562)</f>
        <v>ITD-SHRXXX-XX561</v>
      </c>
      <c r="C562" s="54" t="str" cm="1">
        <f t="array" ref="C562">IFERROR(_xlfn.LET(
_xlpm.CSVVal,_xlfn.XLOOKUP($A562,CSV!$A:$A,CSV!B:B,""),
_xlpm.MacVal,_xlfn.XLOOKUP($A562,Output_Mac!$A:$A,Output_Mac!B:B,""),
_xlpm.MyAuditVal,_xlfn.XLOOKUP($A562,My_Audit!$A:$A,My_Audit!B:B,""),
_xlfn.IFS(_xlpm.MyAuditVal&lt;&gt;"",UPPER(_xlpm.MyAuditVal),_xlpm.MacVal&lt;&gt;"",_xlpm.MacVal,_xlpm.CSVVal&lt;&gt;"",_xlpm.CSVVal
)),"")</f>
        <v/>
      </c>
      <c r="D562" s="55" t="str">
        <f>_xlfn.XLOOKUP(A562,My_Audit!A:A,My_Audit!D:D,"")&amp;""</f>
        <v/>
      </c>
      <c r="E562" s="55" t="str" cm="1">
        <f t="array" ref="E562">IFERROR(_xlfn.LET(
_xlpm.CSVVal,_xlfn.XLOOKUP($A562,CSV!$A:$A,CSV!D:D,""),
_xlpm.MacVal,_xlfn.XLOOKUP($A562,Output_Mac!$A:$A,Output_Mac!C:C,""),
_xlpm.MyAuditVal,_xlfn.XLOOKUP($A562,My_Audit!$A:$A,My_Audit!D:D,""),
_xlfn.IFS(_xlpm.MyAuditVal&lt;&gt;"",_xlpm.MyAuditVal,_xlpm.MacVal&lt;&gt;"",_xlpm.MacVal,_xlpm.CSVVal&lt;&gt;"",_xlpm.CSVVal
)),"")</f>
        <v/>
      </c>
      <c r="F562" s="54" t="str" cm="1">
        <f t="array" ref="F562">IFERROR(_xlfn.LET(
_xlpm.CSVVal,_xlfn.XLOOKUP($A562,CSV!$A:$A,CSV!E:E,""),
_xlpm.MacVal,_xlfn.XLOOKUP($A562,Output_Mac!$A:$A,Output_Mac!F:F,""),
_xlpm.MyAuditVal,_xlfn.XLOOKUP($A562,My_Audit!$A:$A,My_Audit!E:E,""),
_xlfn.IFS(_xlpm.MyAuditVal&lt;&gt;"",_xlpm.MyAuditVal,_xlpm.MacVal&lt;&gt;"",_xlpm.MacVal,_xlpm.CSVVal&lt;&gt;"",PROPER(_xlpm.CSVVal)
)),"")</f>
        <v/>
      </c>
      <c r="G562" s="54" t="str" cm="1">
        <f t="array" ref="G562">IFERROR(_xlfn.LET(
_xlpm.CSVVal,_xlfn.XLOOKUP($A562,CSV!$A:$A,CSV!F:F,""),
_xlpm.MacVal,_xlfn.XLOOKUP($A562,Output_Mac!$A:$A,Output_Mac!H:H,""),
_xlpm.MyAuditVal,_xlfn.XLOOKUP($A562,My_Audit!$A:$A,My_Audit!F:F,""),
_xlfn.IFS(_xlpm.MyAuditVal&lt;&gt;"",_xlpm.MyAuditVal,_xlpm.MacVal&lt;&gt;"",_xlpm.MacVal,_xlpm.CSVVal&lt;&gt;"",_xlpm.CSVVal
)),"")</f>
        <v/>
      </c>
      <c r="H562" s="54" t="str">
        <f>_xlfn.XLOOKUP(A562,Output_Mac!A:A,Output_Mac!I:I,"")</f>
        <v/>
      </c>
      <c r="I562" s="54" t="str" cm="1">
        <f t="array" ref="I562">IFERROR(_xlfn.LET(
_xlpm.CSVVal,_xlfn.XLOOKUP($A562,CSV!$A:$A,CSV!G:G,""),
_xlpm.MacVal,_xlfn.XLOOKUP($A562,Output_Mac!$A:$A,Output_Mac!J:J,""),
_xlpm.MyAuditVal,_xlfn.XLOOKUP($A562,My_Audit!$A:$A,My_Audit!H:H,""),
_xlfn.IFS(_xlpm.MyAuditVal&lt;&gt;"",UPPER(_xlpm.MyAuditVal),_xlpm.MacVal&lt;&gt;"",_xlpm.MacVal,_xlpm.CSVVal&lt;&gt;"",_xlpm.CSVVal
)),"")</f>
        <v/>
      </c>
      <c r="J562" s="54" t="str" cm="1">
        <f t="array" ref="J562">IFERROR(_xlfn.LET(
_xlpm.CSVVal,_xlfn.XLOOKUP($A562,CSV!$A:$A,CSV!I:I,""),
_xlpm.MacVal,_xlfn.XLOOKUP($A562,Output_Mac!$A:$A,Output_Mac!K:K,""),
_xlpm.MyAuditVal,_xlfn.XLOOKUP($A562,My_Audit!$A:$A,My_Audit!I:I,""),
_xlfn.IFS(_xlpm.MyAuditVal&lt;&gt;"",UPPER(_xlpm.MyAuditVal),_xlpm.MacVal&lt;&gt;"",_xlpm.MacVal,_xlpm.CSVVal&lt;&gt;"",_xlpm.CSVVal
)),"")</f>
        <v/>
      </c>
      <c r="K562" s="54" t="str" cm="1">
        <f t="array" ref="K562">IFERROR(_xlfn.LET(
_xlpm.CSVVal,_xlfn.XLOOKUP($A562,CSV!$A:$A,CSV!M:M,""),
_xlpm.MacVal,_xlfn.XLOOKUP($A562,Output_Mac!$A:$A,Output_Mac!L:L,""),
_xlpm.MyAuditVal,_xlfn.XLOOKUP($A562,My_Audit!$A:$A,My_Audit!J:J,""),
_xlfn.IFS(_xlpm.MyAuditVal&lt;&gt;"",UPPER(_xlpm.MyAuditVal),_xlpm.MacVal&lt;&gt;"",_xlpm.MacVal,_xlpm.CSVVal&lt;&gt;"",_xlpm.CSVVal
)),"")</f>
        <v/>
      </c>
      <c r="L562" s="54" t="str" cm="1">
        <f t="array" ref="L562">IFERROR(_xlfn.LET(
_xlpm.CSVVal,_xlfn.XLOOKUP($A562,CSV!$A:$A,CSV!O:O,""),
_xlpm.MacVal,_xlfn.XLOOKUP($A562,Output_Mac!$A:$A,Output_Mac!M:M,""),
_xlpm.MyAuditVal,_xlfn.XLOOKUP($A562,My_Audit!$A:$A,My_Audit!K:K,""),
_xlfn.IFS(_xlpm.MyAuditVal&lt;&gt;"",UPPER(_xlpm.MyAuditVal),_xlpm.MacVal&lt;&gt;"",_xlpm.MacVal,_xlpm.CSVVal&lt;&gt;"",_xlpm.CSVVal
)),"")</f>
        <v/>
      </c>
      <c r="M562" s="54" t="str">
        <f>_xlfn.LET(
    _xlpm.CSVVal, _xlfn.XLOOKUP($A562, CSV!$A:$A, CSV!AD:AD, ""),
    _xlpm.MacVal, _xlfn.XLOOKUP($A562, Output_Mac!$A:$A, Output_Mac!S:S, ""),
    _xlpm.MyAuditVal, _xlfn.XLOOKUP($A562, My_Audit!$A:$A, My_Audit!N:N, ""),
    _xlfn.TEXTJOIN(", ", TRUE, _xlpm.MyAuditVal, _xlpm.MacVal, _xlpm.CSVVal)
)</f>
        <v/>
      </c>
      <c r="N562" s="54" t="str" cm="1">
        <f t="array" ref="N562">IFERROR(_xlfn.LET(
_xlpm.CSVVal,_xlfn.XLOOKUP($A562,CSV!$A:$A,CSV!AF:AF,""),
_xlpm.MacVal,_xlfn.XLOOKUP($A562,Output_Mac!$A:$A,Output_Mac!U:U,""),
_xlpm.MyAuditVal,_xlfn.XLOOKUP($A562,My_Audit!$A:$A,My_Audit!O:O,""),
_xlfn.IFS(_xlpm.MyAuditVal&lt;&gt;"",UPPER(_xlpm.MyAuditVal),_xlpm.MacVal&lt;&gt;"",_xlpm.MacVal,_xlpm.CSVVal&lt;&gt;"",_xlpm.CSVVal
)),"")</f>
        <v/>
      </c>
      <c r="O562" s="54"/>
      <c r="P562" s="54"/>
      <c r="Q562" s="54"/>
      <c r="R562" s="54"/>
      <c r="S562" s="54"/>
      <c r="T562" s="54"/>
      <c r="U562" s="39"/>
    </row>
    <row r="563" spans="1:21">
      <c r="A563" s="54" t="str">
        <f>_xlfn.TEXTJOIN("",TRUE,Input!$B$2,ROW(My_Audit!A562))</f>
        <v>XX562</v>
      </c>
      <c r="B563" s="54" t="str">
        <f>_xlfn.TEXTJOIN("-",TRUE,"ITD",Input!$A$2,A563)</f>
        <v>ITD-SHRXXX-XX562</v>
      </c>
      <c r="C563" s="54" t="str" cm="1">
        <f t="array" ref="C563">IFERROR(_xlfn.LET(
_xlpm.CSVVal,_xlfn.XLOOKUP($A563,CSV!$A:$A,CSV!B:B,""),
_xlpm.MacVal,_xlfn.XLOOKUP($A563,Output_Mac!$A:$A,Output_Mac!B:B,""),
_xlpm.MyAuditVal,_xlfn.XLOOKUP($A563,My_Audit!$A:$A,My_Audit!B:B,""),
_xlfn.IFS(_xlpm.MyAuditVal&lt;&gt;"",UPPER(_xlpm.MyAuditVal),_xlpm.MacVal&lt;&gt;"",_xlpm.MacVal,_xlpm.CSVVal&lt;&gt;"",_xlpm.CSVVal
)),"")</f>
        <v/>
      </c>
      <c r="D563" s="55" t="str">
        <f>_xlfn.XLOOKUP(A563,My_Audit!A:A,My_Audit!D:D,"")&amp;""</f>
        <v/>
      </c>
      <c r="E563" s="55" t="str" cm="1">
        <f t="array" ref="E563">IFERROR(_xlfn.LET(
_xlpm.CSVVal,_xlfn.XLOOKUP($A563,CSV!$A:$A,CSV!D:D,""),
_xlpm.MacVal,_xlfn.XLOOKUP($A563,Output_Mac!$A:$A,Output_Mac!C:C,""),
_xlpm.MyAuditVal,_xlfn.XLOOKUP($A563,My_Audit!$A:$A,My_Audit!D:D,""),
_xlfn.IFS(_xlpm.MyAuditVal&lt;&gt;"",_xlpm.MyAuditVal,_xlpm.MacVal&lt;&gt;"",_xlpm.MacVal,_xlpm.CSVVal&lt;&gt;"",_xlpm.CSVVal
)),"")</f>
        <v/>
      </c>
      <c r="F563" s="54" t="str" cm="1">
        <f t="array" ref="F563">IFERROR(_xlfn.LET(
_xlpm.CSVVal,_xlfn.XLOOKUP($A563,CSV!$A:$A,CSV!E:E,""),
_xlpm.MacVal,_xlfn.XLOOKUP($A563,Output_Mac!$A:$A,Output_Mac!F:F,""),
_xlpm.MyAuditVal,_xlfn.XLOOKUP($A563,My_Audit!$A:$A,My_Audit!E:E,""),
_xlfn.IFS(_xlpm.MyAuditVal&lt;&gt;"",_xlpm.MyAuditVal,_xlpm.MacVal&lt;&gt;"",_xlpm.MacVal,_xlpm.CSVVal&lt;&gt;"",PROPER(_xlpm.CSVVal)
)),"")</f>
        <v/>
      </c>
      <c r="G563" s="54" t="str" cm="1">
        <f t="array" ref="G563">IFERROR(_xlfn.LET(
_xlpm.CSVVal,_xlfn.XLOOKUP($A563,CSV!$A:$A,CSV!F:F,""),
_xlpm.MacVal,_xlfn.XLOOKUP($A563,Output_Mac!$A:$A,Output_Mac!H:H,""),
_xlpm.MyAuditVal,_xlfn.XLOOKUP($A563,My_Audit!$A:$A,My_Audit!F:F,""),
_xlfn.IFS(_xlpm.MyAuditVal&lt;&gt;"",_xlpm.MyAuditVal,_xlpm.MacVal&lt;&gt;"",_xlpm.MacVal,_xlpm.CSVVal&lt;&gt;"",_xlpm.CSVVal
)),"")</f>
        <v/>
      </c>
      <c r="H563" s="54" t="str">
        <f>_xlfn.XLOOKUP(A563,Output_Mac!A:A,Output_Mac!I:I,"")</f>
        <v/>
      </c>
      <c r="I563" s="54" t="str" cm="1">
        <f t="array" ref="I563">IFERROR(_xlfn.LET(
_xlpm.CSVVal,_xlfn.XLOOKUP($A563,CSV!$A:$A,CSV!G:G,""),
_xlpm.MacVal,_xlfn.XLOOKUP($A563,Output_Mac!$A:$A,Output_Mac!J:J,""),
_xlpm.MyAuditVal,_xlfn.XLOOKUP($A563,My_Audit!$A:$A,My_Audit!H:H,""),
_xlfn.IFS(_xlpm.MyAuditVal&lt;&gt;"",UPPER(_xlpm.MyAuditVal),_xlpm.MacVal&lt;&gt;"",_xlpm.MacVal,_xlpm.CSVVal&lt;&gt;"",_xlpm.CSVVal
)),"")</f>
        <v/>
      </c>
      <c r="J563" s="54" t="str" cm="1">
        <f t="array" ref="J563">IFERROR(_xlfn.LET(
_xlpm.CSVVal,_xlfn.XLOOKUP($A563,CSV!$A:$A,CSV!I:I,""),
_xlpm.MacVal,_xlfn.XLOOKUP($A563,Output_Mac!$A:$A,Output_Mac!K:K,""),
_xlpm.MyAuditVal,_xlfn.XLOOKUP($A563,My_Audit!$A:$A,My_Audit!I:I,""),
_xlfn.IFS(_xlpm.MyAuditVal&lt;&gt;"",UPPER(_xlpm.MyAuditVal),_xlpm.MacVal&lt;&gt;"",_xlpm.MacVal,_xlpm.CSVVal&lt;&gt;"",_xlpm.CSVVal
)),"")</f>
        <v/>
      </c>
      <c r="K563" s="54" t="str" cm="1">
        <f t="array" ref="K563">IFERROR(_xlfn.LET(
_xlpm.CSVVal,_xlfn.XLOOKUP($A563,CSV!$A:$A,CSV!M:M,""),
_xlpm.MacVal,_xlfn.XLOOKUP($A563,Output_Mac!$A:$A,Output_Mac!L:L,""),
_xlpm.MyAuditVal,_xlfn.XLOOKUP($A563,My_Audit!$A:$A,My_Audit!J:J,""),
_xlfn.IFS(_xlpm.MyAuditVal&lt;&gt;"",UPPER(_xlpm.MyAuditVal),_xlpm.MacVal&lt;&gt;"",_xlpm.MacVal,_xlpm.CSVVal&lt;&gt;"",_xlpm.CSVVal
)),"")</f>
        <v/>
      </c>
      <c r="L563" s="54" t="str" cm="1">
        <f t="array" ref="L563">IFERROR(_xlfn.LET(
_xlpm.CSVVal,_xlfn.XLOOKUP($A563,CSV!$A:$A,CSV!O:O,""),
_xlpm.MacVal,_xlfn.XLOOKUP($A563,Output_Mac!$A:$A,Output_Mac!M:M,""),
_xlpm.MyAuditVal,_xlfn.XLOOKUP($A563,My_Audit!$A:$A,My_Audit!K:K,""),
_xlfn.IFS(_xlpm.MyAuditVal&lt;&gt;"",UPPER(_xlpm.MyAuditVal),_xlpm.MacVal&lt;&gt;"",_xlpm.MacVal,_xlpm.CSVVal&lt;&gt;"",_xlpm.CSVVal
)),"")</f>
        <v/>
      </c>
      <c r="M563" s="54" t="str">
        <f>_xlfn.LET(
    _xlpm.CSVVal, _xlfn.XLOOKUP($A563, CSV!$A:$A, CSV!AD:AD, ""),
    _xlpm.MacVal, _xlfn.XLOOKUP($A563, Output_Mac!$A:$A, Output_Mac!S:S, ""),
    _xlpm.MyAuditVal, _xlfn.XLOOKUP($A563, My_Audit!$A:$A, My_Audit!N:N, ""),
    _xlfn.TEXTJOIN(", ", TRUE, _xlpm.MyAuditVal, _xlpm.MacVal, _xlpm.CSVVal)
)</f>
        <v/>
      </c>
      <c r="N563" s="54" t="str" cm="1">
        <f t="array" ref="N563">IFERROR(_xlfn.LET(
_xlpm.CSVVal,_xlfn.XLOOKUP($A563,CSV!$A:$A,CSV!AF:AF,""),
_xlpm.MacVal,_xlfn.XLOOKUP($A563,Output_Mac!$A:$A,Output_Mac!U:U,""),
_xlpm.MyAuditVal,_xlfn.XLOOKUP($A563,My_Audit!$A:$A,My_Audit!O:O,""),
_xlfn.IFS(_xlpm.MyAuditVal&lt;&gt;"",UPPER(_xlpm.MyAuditVal),_xlpm.MacVal&lt;&gt;"",_xlpm.MacVal,_xlpm.CSVVal&lt;&gt;"",_xlpm.CSVVal
)),"")</f>
        <v/>
      </c>
      <c r="O563" s="54"/>
      <c r="P563" s="54"/>
      <c r="Q563" s="54"/>
      <c r="R563" s="54"/>
      <c r="S563" s="54"/>
      <c r="T563" s="54"/>
      <c r="U563" s="39"/>
    </row>
    <row r="564" spans="1:21">
      <c r="A564" s="54" t="str">
        <f>_xlfn.TEXTJOIN("",TRUE,Input!$B$2,ROW(My_Audit!A563))</f>
        <v>XX563</v>
      </c>
      <c r="B564" s="54" t="str">
        <f>_xlfn.TEXTJOIN("-",TRUE,"ITD",Input!$A$2,A564)</f>
        <v>ITD-SHRXXX-XX563</v>
      </c>
      <c r="C564" s="54" t="str" cm="1">
        <f t="array" ref="C564">IFERROR(_xlfn.LET(
_xlpm.CSVVal,_xlfn.XLOOKUP($A564,CSV!$A:$A,CSV!B:B,""),
_xlpm.MacVal,_xlfn.XLOOKUP($A564,Output_Mac!$A:$A,Output_Mac!B:B,""),
_xlpm.MyAuditVal,_xlfn.XLOOKUP($A564,My_Audit!$A:$A,My_Audit!B:B,""),
_xlfn.IFS(_xlpm.MyAuditVal&lt;&gt;"",UPPER(_xlpm.MyAuditVal),_xlpm.MacVal&lt;&gt;"",_xlpm.MacVal,_xlpm.CSVVal&lt;&gt;"",_xlpm.CSVVal
)),"")</f>
        <v/>
      </c>
      <c r="D564" s="55" t="str">
        <f>_xlfn.XLOOKUP(A564,My_Audit!A:A,My_Audit!D:D,"")&amp;""</f>
        <v/>
      </c>
      <c r="E564" s="55" t="str" cm="1">
        <f t="array" ref="E564">IFERROR(_xlfn.LET(
_xlpm.CSVVal,_xlfn.XLOOKUP($A564,CSV!$A:$A,CSV!D:D,""),
_xlpm.MacVal,_xlfn.XLOOKUP($A564,Output_Mac!$A:$A,Output_Mac!C:C,""),
_xlpm.MyAuditVal,_xlfn.XLOOKUP($A564,My_Audit!$A:$A,My_Audit!D:D,""),
_xlfn.IFS(_xlpm.MyAuditVal&lt;&gt;"",_xlpm.MyAuditVal,_xlpm.MacVal&lt;&gt;"",_xlpm.MacVal,_xlpm.CSVVal&lt;&gt;"",_xlpm.CSVVal
)),"")</f>
        <v/>
      </c>
      <c r="F564" s="54" t="str" cm="1">
        <f t="array" ref="F564">IFERROR(_xlfn.LET(
_xlpm.CSVVal,_xlfn.XLOOKUP($A564,CSV!$A:$A,CSV!E:E,""),
_xlpm.MacVal,_xlfn.XLOOKUP($A564,Output_Mac!$A:$A,Output_Mac!F:F,""),
_xlpm.MyAuditVal,_xlfn.XLOOKUP($A564,My_Audit!$A:$A,My_Audit!E:E,""),
_xlfn.IFS(_xlpm.MyAuditVal&lt;&gt;"",_xlpm.MyAuditVal,_xlpm.MacVal&lt;&gt;"",_xlpm.MacVal,_xlpm.CSVVal&lt;&gt;"",PROPER(_xlpm.CSVVal)
)),"")</f>
        <v/>
      </c>
      <c r="G564" s="54" t="str" cm="1">
        <f t="array" ref="G564">IFERROR(_xlfn.LET(
_xlpm.CSVVal,_xlfn.XLOOKUP($A564,CSV!$A:$A,CSV!F:F,""),
_xlpm.MacVal,_xlfn.XLOOKUP($A564,Output_Mac!$A:$A,Output_Mac!H:H,""),
_xlpm.MyAuditVal,_xlfn.XLOOKUP($A564,My_Audit!$A:$A,My_Audit!F:F,""),
_xlfn.IFS(_xlpm.MyAuditVal&lt;&gt;"",_xlpm.MyAuditVal,_xlpm.MacVal&lt;&gt;"",_xlpm.MacVal,_xlpm.CSVVal&lt;&gt;"",_xlpm.CSVVal
)),"")</f>
        <v/>
      </c>
      <c r="H564" s="54" t="str">
        <f>_xlfn.XLOOKUP(A564,Output_Mac!A:A,Output_Mac!I:I,"")</f>
        <v/>
      </c>
      <c r="I564" s="54" t="str" cm="1">
        <f t="array" ref="I564">IFERROR(_xlfn.LET(
_xlpm.CSVVal,_xlfn.XLOOKUP($A564,CSV!$A:$A,CSV!G:G,""),
_xlpm.MacVal,_xlfn.XLOOKUP($A564,Output_Mac!$A:$A,Output_Mac!J:J,""),
_xlpm.MyAuditVal,_xlfn.XLOOKUP($A564,My_Audit!$A:$A,My_Audit!H:H,""),
_xlfn.IFS(_xlpm.MyAuditVal&lt;&gt;"",UPPER(_xlpm.MyAuditVal),_xlpm.MacVal&lt;&gt;"",_xlpm.MacVal,_xlpm.CSVVal&lt;&gt;"",_xlpm.CSVVal
)),"")</f>
        <v/>
      </c>
      <c r="J564" s="54" t="str" cm="1">
        <f t="array" ref="J564">IFERROR(_xlfn.LET(
_xlpm.CSVVal,_xlfn.XLOOKUP($A564,CSV!$A:$A,CSV!I:I,""),
_xlpm.MacVal,_xlfn.XLOOKUP($A564,Output_Mac!$A:$A,Output_Mac!K:K,""),
_xlpm.MyAuditVal,_xlfn.XLOOKUP($A564,My_Audit!$A:$A,My_Audit!I:I,""),
_xlfn.IFS(_xlpm.MyAuditVal&lt;&gt;"",UPPER(_xlpm.MyAuditVal),_xlpm.MacVal&lt;&gt;"",_xlpm.MacVal,_xlpm.CSVVal&lt;&gt;"",_xlpm.CSVVal
)),"")</f>
        <v/>
      </c>
      <c r="K564" s="54" t="str" cm="1">
        <f t="array" ref="K564">IFERROR(_xlfn.LET(
_xlpm.CSVVal,_xlfn.XLOOKUP($A564,CSV!$A:$A,CSV!M:M,""),
_xlpm.MacVal,_xlfn.XLOOKUP($A564,Output_Mac!$A:$A,Output_Mac!L:L,""),
_xlpm.MyAuditVal,_xlfn.XLOOKUP($A564,My_Audit!$A:$A,My_Audit!J:J,""),
_xlfn.IFS(_xlpm.MyAuditVal&lt;&gt;"",UPPER(_xlpm.MyAuditVal),_xlpm.MacVal&lt;&gt;"",_xlpm.MacVal,_xlpm.CSVVal&lt;&gt;"",_xlpm.CSVVal
)),"")</f>
        <v/>
      </c>
      <c r="L564" s="54" t="str" cm="1">
        <f t="array" ref="L564">IFERROR(_xlfn.LET(
_xlpm.CSVVal,_xlfn.XLOOKUP($A564,CSV!$A:$A,CSV!O:O,""),
_xlpm.MacVal,_xlfn.XLOOKUP($A564,Output_Mac!$A:$A,Output_Mac!M:M,""),
_xlpm.MyAuditVal,_xlfn.XLOOKUP($A564,My_Audit!$A:$A,My_Audit!K:K,""),
_xlfn.IFS(_xlpm.MyAuditVal&lt;&gt;"",UPPER(_xlpm.MyAuditVal),_xlpm.MacVal&lt;&gt;"",_xlpm.MacVal,_xlpm.CSVVal&lt;&gt;"",_xlpm.CSVVal
)),"")</f>
        <v/>
      </c>
      <c r="M564" s="54" t="str">
        <f>_xlfn.LET(
    _xlpm.CSVVal, _xlfn.XLOOKUP($A564, CSV!$A:$A, CSV!AD:AD, ""),
    _xlpm.MacVal, _xlfn.XLOOKUP($A564, Output_Mac!$A:$A, Output_Mac!S:S, ""),
    _xlpm.MyAuditVal, _xlfn.XLOOKUP($A564, My_Audit!$A:$A, My_Audit!N:N, ""),
    _xlfn.TEXTJOIN(", ", TRUE, _xlpm.MyAuditVal, _xlpm.MacVal, _xlpm.CSVVal)
)</f>
        <v/>
      </c>
      <c r="N564" s="54" t="str" cm="1">
        <f t="array" ref="N564">IFERROR(_xlfn.LET(
_xlpm.CSVVal,_xlfn.XLOOKUP($A564,CSV!$A:$A,CSV!AF:AF,""),
_xlpm.MacVal,_xlfn.XLOOKUP($A564,Output_Mac!$A:$A,Output_Mac!U:U,""),
_xlpm.MyAuditVal,_xlfn.XLOOKUP($A564,My_Audit!$A:$A,My_Audit!O:O,""),
_xlfn.IFS(_xlpm.MyAuditVal&lt;&gt;"",UPPER(_xlpm.MyAuditVal),_xlpm.MacVal&lt;&gt;"",_xlpm.MacVal,_xlpm.CSVVal&lt;&gt;"",_xlpm.CSVVal
)),"")</f>
        <v/>
      </c>
      <c r="O564" s="54"/>
      <c r="P564" s="54"/>
      <c r="Q564" s="54"/>
      <c r="R564" s="54"/>
      <c r="S564" s="54"/>
      <c r="T564" s="54"/>
      <c r="U564" s="39"/>
    </row>
    <row r="565" spans="1:21">
      <c r="A565" s="54" t="str">
        <f>_xlfn.TEXTJOIN("",TRUE,Input!$B$2,ROW(My_Audit!A564))</f>
        <v>XX564</v>
      </c>
      <c r="B565" s="54" t="str">
        <f>_xlfn.TEXTJOIN("-",TRUE,"ITD",Input!$A$2,A565)</f>
        <v>ITD-SHRXXX-XX564</v>
      </c>
      <c r="C565" s="54" t="str" cm="1">
        <f t="array" ref="C565">IFERROR(_xlfn.LET(
_xlpm.CSVVal,_xlfn.XLOOKUP($A565,CSV!$A:$A,CSV!B:B,""),
_xlpm.MacVal,_xlfn.XLOOKUP($A565,Output_Mac!$A:$A,Output_Mac!B:B,""),
_xlpm.MyAuditVal,_xlfn.XLOOKUP($A565,My_Audit!$A:$A,My_Audit!B:B,""),
_xlfn.IFS(_xlpm.MyAuditVal&lt;&gt;"",UPPER(_xlpm.MyAuditVal),_xlpm.MacVal&lt;&gt;"",_xlpm.MacVal,_xlpm.CSVVal&lt;&gt;"",_xlpm.CSVVal
)),"")</f>
        <v/>
      </c>
      <c r="D565" s="55" t="str">
        <f>_xlfn.XLOOKUP(A565,My_Audit!A:A,My_Audit!D:D,"")&amp;""</f>
        <v/>
      </c>
      <c r="E565" s="55" t="str" cm="1">
        <f t="array" ref="E565">IFERROR(_xlfn.LET(
_xlpm.CSVVal,_xlfn.XLOOKUP($A565,CSV!$A:$A,CSV!D:D,""),
_xlpm.MacVal,_xlfn.XLOOKUP($A565,Output_Mac!$A:$A,Output_Mac!C:C,""),
_xlpm.MyAuditVal,_xlfn.XLOOKUP($A565,My_Audit!$A:$A,My_Audit!D:D,""),
_xlfn.IFS(_xlpm.MyAuditVal&lt;&gt;"",_xlpm.MyAuditVal,_xlpm.MacVal&lt;&gt;"",_xlpm.MacVal,_xlpm.CSVVal&lt;&gt;"",_xlpm.CSVVal
)),"")</f>
        <v/>
      </c>
      <c r="F565" s="54" t="str" cm="1">
        <f t="array" ref="F565">IFERROR(_xlfn.LET(
_xlpm.CSVVal,_xlfn.XLOOKUP($A565,CSV!$A:$A,CSV!E:E,""),
_xlpm.MacVal,_xlfn.XLOOKUP($A565,Output_Mac!$A:$A,Output_Mac!F:F,""),
_xlpm.MyAuditVal,_xlfn.XLOOKUP($A565,My_Audit!$A:$A,My_Audit!E:E,""),
_xlfn.IFS(_xlpm.MyAuditVal&lt;&gt;"",_xlpm.MyAuditVal,_xlpm.MacVal&lt;&gt;"",_xlpm.MacVal,_xlpm.CSVVal&lt;&gt;"",PROPER(_xlpm.CSVVal)
)),"")</f>
        <v/>
      </c>
      <c r="G565" s="54" t="str" cm="1">
        <f t="array" ref="G565">IFERROR(_xlfn.LET(
_xlpm.CSVVal,_xlfn.XLOOKUP($A565,CSV!$A:$A,CSV!F:F,""),
_xlpm.MacVal,_xlfn.XLOOKUP($A565,Output_Mac!$A:$A,Output_Mac!H:H,""),
_xlpm.MyAuditVal,_xlfn.XLOOKUP($A565,My_Audit!$A:$A,My_Audit!F:F,""),
_xlfn.IFS(_xlpm.MyAuditVal&lt;&gt;"",_xlpm.MyAuditVal,_xlpm.MacVal&lt;&gt;"",_xlpm.MacVal,_xlpm.CSVVal&lt;&gt;"",_xlpm.CSVVal
)),"")</f>
        <v/>
      </c>
      <c r="H565" s="54" t="str">
        <f>_xlfn.XLOOKUP(A565,Output_Mac!A:A,Output_Mac!I:I,"")</f>
        <v/>
      </c>
      <c r="I565" s="54" t="str" cm="1">
        <f t="array" ref="I565">IFERROR(_xlfn.LET(
_xlpm.CSVVal,_xlfn.XLOOKUP($A565,CSV!$A:$A,CSV!G:G,""),
_xlpm.MacVal,_xlfn.XLOOKUP($A565,Output_Mac!$A:$A,Output_Mac!J:J,""),
_xlpm.MyAuditVal,_xlfn.XLOOKUP($A565,My_Audit!$A:$A,My_Audit!H:H,""),
_xlfn.IFS(_xlpm.MyAuditVal&lt;&gt;"",UPPER(_xlpm.MyAuditVal),_xlpm.MacVal&lt;&gt;"",_xlpm.MacVal,_xlpm.CSVVal&lt;&gt;"",_xlpm.CSVVal
)),"")</f>
        <v/>
      </c>
      <c r="J565" s="54" t="str" cm="1">
        <f t="array" ref="J565">IFERROR(_xlfn.LET(
_xlpm.CSVVal,_xlfn.XLOOKUP($A565,CSV!$A:$A,CSV!I:I,""),
_xlpm.MacVal,_xlfn.XLOOKUP($A565,Output_Mac!$A:$A,Output_Mac!K:K,""),
_xlpm.MyAuditVal,_xlfn.XLOOKUP($A565,My_Audit!$A:$A,My_Audit!I:I,""),
_xlfn.IFS(_xlpm.MyAuditVal&lt;&gt;"",UPPER(_xlpm.MyAuditVal),_xlpm.MacVal&lt;&gt;"",_xlpm.MacVal,_xlpm.CSVVal&lt;&gt;"",_xlpm.CSVVal
)),"")</f>
        <v/>
      </c>
      <c r="K565" s="54" t="str" cm="1">
        <f t="array" ref="K565">IFERROR(_xlfn.LET(
_xlpm.CSVVal,_xlfn.XLOOKUP($A565,CSV!$A:$A,CSV!M:M,""),
_xlpm.MacVal,_xlfn.XLOOKUP($A565,Output_Mac!$A:$A,Output_Mac!L:L,""),
_xlpm.MyAuditVal,_xlfn.XLOOKUP($A565,My_Audit!$A:$A,My_Audit!J:J,""),
_xlfn.IFS(_xlpm.MyAuditVal&lt;&gt;"",UPPER(_xlpm.MyAuditVal),_xlpm.MacVal&lt;&gt;"",_xlpm.MacVal,_xlpm.CSVVal&lt;&gt;"",_xlpm.CSVVal
)),"")</f>
        <v/>
      </c>
      <c r="L565" s="54" t="str" cm="1">
        <f t="array" ref="L565">IFERROR(_xlfn.LET(
_xlpm.CSVVal,_xlfn.XLOOKUP($A565,CSV!$A:$A,CSV!O:O,""),
_xlpm.MacVal,_xlfn.XLOOKUP($A565,Output_Mac!$A:$A,Output_Mac!M:M,""),
_xlpm.MyAuditVal,_xlfn.XLOOKUP($A565,My_Audit!$A:$A,My_Audit!K:K,""),
_xlfn.IFS(_xlpm.MyAuditVal&lt;&gt;"",UPPER(_xlpm.MyAuditVal),_xlpm.MacVal&lt;&gt;"",_xlpm.MacVal,_xlpm.CSVVal&lt;&gt;"",_xlpm.CSVVal
)),"")</f>
        <v/>
      </c>
      <c r="M565" s="54" t="str">
        <f>_xlfn.LET(
    _xlpm.CSVVal, _xlfn.XLOOKUP($A565, CSV!$A:$A, CSV!AD:AD, ""),
    _xlpm.MacVal, _xlfn.XLOOKUP($A565, Output_Mac!$A:$A, Output_Mac!S:S, ""),
    _xlpm.MyAuditVal, _xlfn.XLOOKUP($A565, My_Audit!$A:$A, My_Audit!N:N, ""),
    _xlfn.TEXTJOIN(", ", TRUE, _xlpm.MyAuditVal, _xlpm.MacVal, _xlpm.CSVVal)
)</f>
        <v/>
      </c>
      <c r="N565" s="54" t="str" cm="1">
        <f t="array" ref="N565">IFERROR(_xlfn.LET(
_xlpm.CSVVal,_xlfn.XLOOKUP($A565,CSV!$A:$A,CSV!AF:AF,""),
_xlpm.MacVal,_xlfn.XLOOKUP($A565,Output_Mac!$A:$A,Output_Mac!U:U,""),
_xlpm.MyAuditVal,_xlfn.XLOOKUP($A565,My_Audit!$A:$A,My_Audit!O:O,""),
_xlfn.IFS(_xlpm.MyAuditVal&lt;&gt;"",UPPER(_xlpm.MyAuditVal),_xlpm.MacVal&lt;&gt;"",_xlpm.MacVal,_xlpm.CSVVal&lt;&gt;"",_xlpm.CSVVal
)),"")</f>
        <v/>
      </c>
      <c r="O565" s="54"/>
      <c r="P565" s="54"/>
      <c r="Q565" s="54"/>
      <c r="R565" s="54"/>
      <c r="S565" s="54"/>
      <c r="T565" s="54"/>
      <c r="U565" s="39"/>
    </row>
    <row r="566" spans="1:21">
      <c r="A566" s="54" t="str">
        <f>_xlfn.TEXTJOIN("",TRUE,Input!$B$2,ROW(My_Audit!A565))</f>
        <v>XX565</v>
      </c>
      <c r="B566" s="54" t="str">
        <f>_xlfn.TEXTJOIN("-",TRUE,"ITD",Input!$A$2,A566)</f>
        <v>ITD-SHRXXX-XX565</v>
      </c>
      <c r="C566" s="54" t="str" cm="1">
        <f t="array" ref="C566">IFERROR(_xlfn.LET(
_xlpm.CSVVal,_xlfn.XLOOKUP($A566,CSV!$A:$A,CSV!B:B,""),
_xlpm.MacVal,_xlfn.XLOOKUP($A566,Output_Mac!$A:$A,Output_Mac!B:B,""),
_xlpm.MyAuditVal,_xlfn.XLOOKUP($A566,My_Audit!$A:$A,My_Audit!B:B,""),
_xlfn.IFS(_xlpm.MyAuditVal&lt;&gt;"",UPPER(_xlpm.MyAuditVal),_xlpm.MacVal&lt;&gt;"",_xlpm.MacVal,_xlpm.CSVVal&lt;&gt;"",_xlpm.CSVVal
)),"")</f>
        <v/>
      </c>
      <c r="D566" s="55" t="str">
        <f>_xlfn.XLOOKUP(A566,My_Audit!A:A,My_Audit!D:D,"")&amp;""</f>
        <v/>
      </c>
      <c r="E566" s="55" t="str" cm="1">
        <f t="array" ref="E566">IFERROR(_xlfn.LET(
_xlpm.CSVVal,_xlfn.XLOOKUP($A566,CSV!$A:$A,CSV!D:D,""),
_xlpm.MacVal,_xlfn.XLOOKUP($A566,Output_Mac!$A:$A,Output_Mac!C:C,""),
_xlpm.MyAuditVal,_xlfn.XLOOKUP($A566,My_Audit!$A:$A,My_Audit!D:D,""),
_xlfn.IFS(_xlpm.MyAuditVal&lt;&gt;"",_xlpm.MyAuditVal,_xlpm.MacVal&lt;&gt;"",_xlpm.MacVal,_xlpm.CSVVal&lt;&gt;"",_xlpm.CSVVal
)),"")</f>
        <v/>
      </c>
      <c r="F566" s="54" t="str" cm="1">
        <f t="array" ref="F566">IFERROR(_xlfn.LET(
_xlpm.CSVVal,_xlfn.XLOOKUP($A566,CSV!$A:$A,CSV!E:E,""),
_xlpm.MacVal,_xlfn.XLOOKUP($A566,Output_Mac!$A:$A,Output_Mac!F:F,""),
_xlpm.MyAuditVal,_xlfn.XLOOKUP($A566,My_Audit!$A:$A,My_Audit!E:E,""),
_xlfn.IFS(_xlpm.MyAuditVal&lt;&gt;"",_xlpm.MyAuditVal,_xlpm.MacVal&lt;&gt;"",_xlpm.MacVal,_xlpm.CSVVal&lt;&gt;"",PROPER(_xlpm.CSVVal)
)),"")</f>
        <v/>
      </c>
      <c r="G566" s="54" t="str" cm="1">
        <f t="array" ref="G566">IFERROR(_xlfn.LET(
_xlpm.CSVVal,_xlfn.XLOOKUP($A566,CSV!$A:$A,CSV!F:F,""),
_xlpm.MacVal,_xlfn.XLOOKUP($A566,Output_Mac!$A:$A,Output_Mac!H:H,""),
_xlpm.MyAuditVal,_xlfn.XLOOKUP($A566,My_Audit!$A:$A,My_Audit!F:F,""),
_xlfn.IFS(_xlpm.MyAuditVal&lt;&gt;"",_xlpm.MyAuditVal,_xlpm.MacVal&lt;&gt;"",_xlpm.MacVal,_xlpm.CSVVal&lt;&gt;"",_xlpm.CSVVal
)),"")</f>
        <v/>
      </c>
      <c r="H566" s="54" t="str">
        <f>_xlfn.XLOOKUP(A566,Output_Mac!A:A,Output_Mac!I:I,"")</f>
        <v/>
      </c>
      <c r="I566" s="54" t="str" cm="1">
        <f t="array" ref="I566">IFERROR(_xlfn.LET(
_xlpm.CSVVal,_xlfn.XLOOKUP($A566,CSV!$A:$A,CSV!G:G,""),
_xlpm.MacVal,_xlfn.XLOOKUP($A566,Output_Mac!$A:$A,Output_Mac!J:J,""),
_xlpm.MyAuditVal,_xlfn.XLOOKUP($A566,My_Audit!$A:$A,My_Audit!H:H,""),
_xlfn.IFS(_xlpm.MyAuditVal&lt;&gt;"",UPPER(_xlpm.MyAuditVal),_xlpm.MacVal&lt;&gt;"",_xlpm.MacVal,_xlpm.CSVVal&lt;&gt;"",_xlpm.CSVVal
)),"")</f>
        <v/>
      </c>
      <c r="J566" s="54" t="str" cm="1">
        <f t="array" ref="J566">IFERROR(_xlfn.LET(
_xlpm.CSVVal,_xlfn.XLOOKUP($A566,CSV!$A:$A,CSV!I:I,""),
_xlpm.MacVal,_xlfn.XLOOKUP($A566,Output_Mac!$A:$A,Output_Mac!K:K,""),
_xlpm.MyAuditVal,_xlfn.XLOOKUP($A566,My_Audit!$A:$A,My_Audit!I:I,""),
_xlfn.IFS(_xlpm.MyAuditVal&lt;&gt;"",UPPER(_xlpm.MyAuditVal),_xlpm.MacVal&lt;&gt;"",_xlpm.MacVal,_xlpm.CSVVal&lt;&gt;"",_xlpm.CSVVal
)),"")</f>
        <v/>
      </c>
      <c r="K566" s="54" t="str" cm="1">
        <f t="array" ref="K566">IFERROR(_xlfn.LET(
_xlpm.CSVVal,_xlfn.XLOOKUP($A566,CSV!$A:$A,CSV!M:M,""),
_xlpm.MacVal,_xlfn.XLOOKUP($A566,Output_Mac!$A:$A,Output_Mac!L:L,""),
_xlpm.MyAuditVal,_xlfn.XLOOKUP($A566,My_Audit!$A:$A,My_Audit!J:J,""),
_xlfn.IFS(_xlpm.MyAuditVal&lt;&gt;"",UPPER(_xlpm.MyAuditVal),_xlpm.MacVal&lt;&gt;"",_xlpm.MacVal,_xlpm.CSVVal&lt;&gt;"",_xlpm.CSVVal
)),"")</f>
        <v/>
      </c>
      <c r="L566" s="54" t="str" cm="1">
        <f t="array" ref="L566">IFERROR(_xlfn.LET(
_xlpm.CSVVal,_xlfn.XLOOKUP($A566,CSV!$A:$A,CSV!O:O,""),
_xlpm.MacVal,_xlfn.XLOOKUP($A566,Output_Mac!$A:$A,Output_Mac!M:M,""),
_xlpm.MyAuditVal,_xlfn.XLOOKUP($A566,My_Audit!$A:$A,My_Audit!K:K,""),
_xlfn.IFS(_xlpm.MyAuditVal&lt;&gt;"",UPPER(_xlpm.MyAuditVal),_xlpm.MacVal&lt;&gt;"",_xlpm.MacVal,_xlpm.CSVVal&lt;&gt;"",_xlpm.CSVVal
)),"")</f>
        <v/>
      </c>
      <c r="M566" s="54" t="str">
        <f>_xlfn.LET(
    _xlpm.CSVVal, _xlfn.XLOOKUP($A566, CSV!$A:$A, CSV!AD:AD, ""),
    _xlpm.MacVal, _xlfn.XLOOKUP($A566, Output_Mac!$A:$A, Output_Mac!S:S, ""),
    _xlpm.MyAuditVal, _xlfn.XLOOKUP($A566, My_Audit!$A:$A, My_Audit!N:N, ""),
    _xlfn.TEXTJOIN(", ", TRUE, _xlpm.MyAuditVal, _xlpm.MacVal, _xlpm.CSVVal)
)</f>
        <v/>
      </c>
      <c r="N566" s="54" t="str" cm="1">
        <f t="array" ref="N566">IFERROR(_xlfn.LET(
_xlpm.CSVVal,_xlfn.XLOOKUP($A566,CSV!$A:$A,CSV!AF:AF,""),
_xlpm.MacVal,_xlfn.XLOOKUP($A566,Output_Mac!$A:$A,Output_Mac!U:U,""),
_xlpm.MyAuditVal,_xlfn.XLOOKUP($A566,My_Audit!$A:$A,My_Audit!O:O,""),
_xlfn.IFS(_xlpm.MyAuditVal&lt;&gt;"",UPPER(_xlpm.MyAuditVal),_xlpm.MacVal&lt;&gt;"",_xlpm.MacVal,_xlpm.CSVVal&lt;&gt;"",_xlpm.CSVVal
)),"")</f>
        <v/>
      </c>
      <c r="O566" s="54"/>
      <c r="P566" s="54"/>
      <c r="Q566" s="54"/>
      <c r="R566" s="54"/>
      <c r="S566" s="54"/>
      <c r="T566" s="54"/>
      <c r="U566" s="39"/>
    </row>
    <row r="567" spans="1:21">
      <c r="A567" s="54" t="str">
        <f>_xlfn.TEXTJOIN("",TRUE,Input!$B$2,ROW(My_Audit!A566))</f>
        <v>XX566</v>
      </c>
      <c r="B567" s="54" t="str">
        <f>_xlfn.TEXTJOIN("-",TRUE,"ITD",Input!$A$2,A567)</f>
        <v>ITD-SHRXXX-XX566</v>
      </c>
      <c r="C567" s="54" t="str" cm="1">
        <f t="array" ref="C567">IFERROR(_xlfn.LET(
_xlpm.CSVVal,_xlfn.XLOOKUP($A567,CSV!$A:$A,CSV!B:B,""),
_xlpm.MacVal,_xlfn.XLOOKUP($A567,Output_Mac!$A:$A,Output_Mac!B:B,""),
_xlpm.MyAuditVal,_xlfn.XLOOKUP($A567,My_Audit!$A:$A,My_Audit!B:B,""),
_xlfn.IFS(_xlpm.MyAuditVal&lt;&gt;"",UPPER(_xlpm.MyAuditVal),_xlpm.MacVal&lt;&gt;"",_xlpm.MacVal,_xlpm.CSVVal&lt;&gt;"",_xlpm.CSVVal
)),"")</f>
        <v/>
      </c>
      <c r="D567" s="55" t="str">
        <f>_xlfn.XLOOKUP(A567,My_Audit!A:A,My_Audit!D:D,"")&amp;""</f>
        <v/>
      </c>
      <c r="E567" s="55" t="str" cm="1">
        <f t="array" ref="E567">IFERROR(_xlfn.LET(
_xlpm.CSVVal,_xlfn.XLOOKUP($A567,CSV!$A:$A,CSV!D:D,""),
_xlpm.MacVal,_xlfn.XLOOKUP($A567,Output_Mac!$A:$A,Output_Mac!C:C,""),
_xlpm.MyAuditVal,_xlfn.XLOOKUP($A567,My_Audit!$A:$A,My_Audit!D:D,""),
_xlfn.IFS(_xlpm.MyAuditVal&lt;&gt;"",_xlpm.MyAuditVal,_xlpm.MacVal&lt;&gt;"",_xlpm.MacVal,_xlpm.CSVVal&lt;&gt;"",_xlpm.CSVVal
)),"")</f>
        <v/>
      </c>
      <c r="F567" s="54" t="str" cm="1">
        <f t="array" ref="F567">IFERROR(_xlfn.LET(
_xlpm.CSVVal,_xlfn.XLOOKUP($A567,CSV!$A:$A,CSV!E:E,""),
_xlpm.MacVal,_xlfn.XLOOKUP($A567,Output_Mac!$A:$A,Output_Mac!F:F,""),
_xlpm.MyAuditVal,_xlfn.XLOOKUP($A567,My_Audit!$A:$A,My_Audit!E:E,""),
_xlfn.IFS(_xlpm.MyAuditVal&lt;&gt;"",_xlpm.MyAuditVal,_xlpm.MacVal&lt;&gt;"",_xlpm.MacVal,_xlpm.CSVVal&lt;&gt;"",PROPER(_xlpm.CSVVal)
)),"")</f>
        <v/>
      </c>
      <c r="G567" s="54" t="str" cm="1">
        <f t="array" ref="G567">IFERROR(_xlfn.LET(
_xlpm.CSVVal,_xlfn.XLOOKUP($A567,CSV!$A:$A,CSV!F:F,""),
_xlpm.MacVal,_xlfn.XLOOKUP($A567,Output_Mac!$A:$A,Output_Mac!H:H,""),
_xlpm.MyAuditVal,_xlfn.XLOOKUP($A567,My_Audit!$A:$A,My_Audit!F:F,""),
_xlfn.IFS(_xlpm.MyAuditVal&lt;&gt;"",_xlpm.MyAuditVal,_xlpm.MacVal&lt;&gt;"",_xlpm.MacVal,_xlpm.CSVVal&lt;&gt;"",_xlpm.CSVVal
)),"")</f>
        <v/>
      </c>
      <c r="H567" s="54" t="str">
        <f>_xlfn.XLOOKUP(A567,Output_Mac!A:A,Output_Mac!I:I,"")</f>
        <v/>
      </c>
      <c r="I567" s="54" t="str" cm="1">
        <f t="array" ref="I567">IFERROR(_xlfn.LET(
_xlpm.CSVVal,_xlfn.XLOOKUP($A567,CSV!$A:$A,CSV!G:G,""),
_xlpm.MacVal,_xlfn.XLOOKUP($A567,Output_Mac!$A:$A,Output_Mac!J:J,""),
_xlpm.MyAuditVal,_xlfn.XLOOKUP($A567,My_Audit!$A:$A,My_Audit!H:H,""),
_xlfn.IFS(_xlpm.MyAuditVal&lt;&gt;"",UPPER(_xlpm.MyAuditVal),_xlpm.MacVal&lt;&gt;"",_xlpm.MacVal,_xlpm.CSVVal&lt;&gt;"",_xlpm.CSVVal
)),"")</f>
        <v/>
      </c>
      <c r="J567" s="54" t="str" cm="1">
        <f t="array" ref="J567">IFERROR(_xlfn.LET(
_xlpm.CSVVal,_xlfn.XLOOKUP($A567,CSV!$A:$A,CSV!I:I,""),
_xlpm.MacVal,_xlfn.XLOOKUP($A567,Output_Mac!$A:$A,Output_Mac!K:K,""),
_xlpm.MyAuditVal,_xlfn.XLOOKUP($A567,My_Audit!$A:$A,My_Audit!I:I,""),
_xlfn.IFS(_xlpm.MyAuditVal&lt;&gt;"",UPPER(_xlpm.MyAuditVal),_xlpm.MacVal&lt;&gt;"",_xlpm.MacVal,_xlpm.CSVVal&lt;&gt;"",_xlpm.CSVVal
)),"")</f>
        <v/>
      </c>
      <c r="K567" s="54" t="str" cm="1">
        <f t="array" ref="K567">IFERROR(_xlfn.LET(
_xlpm.CSVVal,_xlfn.XLOOKUP($A567,CSV!$A:$A,CSV!M:M,""),
_xlpm.MacVal,_xlfn.XLOOKUP($A567,Output_Mac!$A:$A,Output_Mac!L:L,""),
_xlpm.MyAuditVal,_xlfn.XLOOKUP($A567,My_Audit!$A:$A,My_Audit!J:J,""),
_xlfn.IFS(_xlpm.MyAuditVal&lt;&gt;"",UPPER(_xlpm.MyAuditVal),_xlpm.MacVal&lt;&gt;"",_xlpm.MacVal,_xlpm.CSVVal&lt;&gt;"",_xlpm.CSVVal
)),"")</f>
        <v/>
      </c>
      <c r="L567" s="54" t="str" cm="1">
        <f t="array" ref="L567">IFERROR(_xlfn.LET(
_xlpm.CSVVal,_xlfn.XLOOKUP($A567,CSV!$A:$A,CSV!O:O,""),
_xlpm.MacVal,_xlfn.XLOOKUP($A567,Output_Mac!$A:$A,Output_Mac!M:M,""),
_xlpm.MyAuditVal,_xlfn.XLOOKUP($A567,My_Audit!$A:$A,My_Audit!K:K,""),
_xlfn.IFS(_xlpm.MyAuditVal&lt;&gt;"",UPPER(_xlpm.MyAuditVal),_xlpm.MacVal&lt;&gt;"",_xlpm.MacVal,_xlpm.CSVVal&lt;&gt;"",_xlpm.CSVVal
)),"")</f>
        <v/>
      </c>
      <c r="M567" s="54" t="str">
        <f>_xlfn.LET(
    _xlpm.CSVVal, _xlfn.XLOOKUP($A567, CSV!$A:$A, CSV!AD:AD, ""),
    _xlpm.MacVal, _xlfn.XLOOKUP($A567, Output_Mac!$A:$A, Output_Mac!S:S, ""),
    _xlpm.MyAuditVal, _xlfn.XLOOKUP($A567, My_Audit!$A:$A, My_Audit!N:N, ""),
    _xlfn.TEXTJOIN(", ", TRUE, _xlpm.MyAuditVal, _xlpm.MacVal, _xlpm.CSVVal)
)</f>
        <v/>
      </c>
      <c r="N567" s="54" t="str" cm="1">
        <f t="array" ref="N567">IFERROR(_xlfn.LET(
_xlpm.CSVVal,_xlfn.XLOOKUP($A567,CSV!$A:$A,CSV!AF:AF,""),
_xlpm.MacVal,_xlfn.XLOOKUP($A567,Output_Mac!$A:$A,Output_Mac!U:U,""),
_xlpm.MyAuditVal,_xlfn.XLOOKUP($A567,My_Audit!$A:$A,My_Audit!O:O,""),
_xlfn.IFS(_xlpm.MyAuditVal&lt;&gt;"",UPPER(_xlpm.MyAuditVal),_xlpm.MacVal&lt;&gt;"",_xlpm.MacVal,_xlpm.CSVVal&lt;&gt;"",_xlpm.CSVVal
)),"")</f>
        <v/>
      </c>
      <c r="O567" s="54"/>
      <c r="P567" s="54"/>
      <c r="Q567" s="54"/>
      <c r="R567" s="54"/>
      <c r="S567" s="54"/>
      <c r="T567" s="54"/>
      <c r="U567" s="39"/>
    </row>
    <row r="568" spans="1:21">
      <c r="A568" s="54" t="str">
        <f>_xlfn.TEXTJOIN("",TRUE,Input!$B$2,ROW(My_Audit!A567))</f>
        <v>XX567</v>
      </c>
      <c r="B568" s="54" t="str">
        <f>_xlfn.TEXTJOIN("-",TRUE,"ITD",Input!$A$2,A568)</f>
        <v>ITD-SHRXXX-XX567</v>
      </c>
      <c r="C568" s="54" t="str" cm="1">
        <f t="array" ref="C568">IFERROR(_xlfn.LET(
_xlpm.CSVVal,_xlfn.XLOOKUP($A568,CSV!$A:$A,CSV!B:B,""),
_xlpm.MacVal,_xlfn.XLOOKUP($A568,Output_Mac!$A:$A,Output_Mac!B:B,""),
_xlpm.MyAuditVal,_xlfn.XLOOKUP($A568,My_Audit!$A:$A,My_Audit!B:B,""),
_xlfn.IFS(_xlpm.MyAuditVal&lt;&gt;"",UPPER(_xlpm.MyAuditVal),_xlpm.MacVal&lt;&gt;"",_xlpm.MacVal,_xlpm.CSVVal&lt;&gt;"",_xlpm.CSVVal
)),"")</f>
        <v/>
      </c>
      <c r="D568" s="55" t="str">
        <f>_xlfn.XLOOKUP(A568,My_Audit!A:A,My_Audit!D:D,"")&amp;""</f>
        <v/>
      </c>
      <c r="E568" s="55" t="str" cm="1">
        <f t="array" ref="E568">IFERROR(_xlfn.LET(
_xlpm.CSVVal,_xlfn.XLOOKUP($A568,CSV!$A:$A,CSV!D:D,""),
_xlpm.MacVal,_xlfn.XLOOKUP($A568,Output_Mac!$A:$A,Output_Mac!C:C,""),
_xlpm.MyAuditVal,_xlfn.XLOOKUP($A568,My_Audit!$A:$A,My_Audit!D:D,""),
_xlfn.IFS(_xlpm.MyAuditVal&lt;&gt;"",_xlpm.MyAuditVal,_xlpm.MacVal&lt;&gt;"",_xlpm.MacVal,_xlpm.CSVVal&lt;&gt;"",_xlpm.CSVVal
)),"")</f>
        <v/>
      </c>
      <c r="F568" s="54" t="str" cm="1">
        <f t="array" ref="F568">IFERROR(_xlfn.LET(
_xlpm.CSVVal,_xlfn.XLOOKUP($A568,CSV!$A:$A,CSV!E:E,""),
_xlpm.MacVal,_xlfn.XLOOKUP($A568,Output_Mac!$A:$A,Output_Mac!F:F,""),
_xlpm.MyAuditVal,_xlfn.XLOOKUP($A568,My_Audit!$A:$A,My_Audit!E:E,""),
_xlfn.IFS(_xlpm.MyAuditVal&lt;&gt;"",_xlpm.MyAuditVal,_xlpm.MacVal&lt;&gt;"",_xlpm.MacVal,_xlpm.CSVVal&lt;&gt;"",PROPER(_xlpm.CSVVal)
)),"")</f>
        <v/>
      </c>
      <c r="G568" s="54" t="str" cm="1">
        <f t="array" ref="G568">IFERROR(_xlfn.LET(
_xlpm.CSVVal,_xlfn.XLOOKUP($A568,CSV!$A:$A,CSV!F:F,""),
_xlpm.MacVal,_xlfn.XLOOKUP($A568,Output_Mac!$A:$A,Output_Mac!H:H,""),
_xlpm.MyAuditVal,_xlfn.XLOOKUP($A568,My_Audit!$A:$A,My_Audit!F:F,""),
_xlfn.IFS(_xlpm.MyAuditVal&lt;&gt;"",_xlpm.MyAuditVal,_xlpm.MacVal&lt;&gt;"",_xlpm.MacVal,_xlpm.CSVVal&lt;&gt;"",_xlpm.CSVVal
)),"")</f>
        <v/>
      </c>
      <c r="H568" s="54" t="str">
        <f>_xlfn.XLOOKUP(A568,Output_Mac!A:A,Output_Mac!I:I,"")</f>
        <v/>
      </c>
      <c r="I568" s="54" t="str" cm="1">
        <f t="array" ref="I568">IFERROR(_xlfn.LET(
_xlpm.CSVVal,_xlfn.XLOOKUP($A568,CSV!$A:$A,CSV!G:G,""),
_xlpm.MacVal,_xlfn.XLOOKUP($A568,Output_Mac!$A:$A,Output_Mac!J:J,""),
_xlpm.MyAuditVal,_xlfn.XLOOKUP($A568,My_Audit!$A:$A,My_Audit!H:H,""),
_xlfn.IFS(_xlpm.MyAuditVal&lt;&gt;"",UPPER(_xlpm.MyAuditVal),_xlpm.MacVal&lt;&gt;"",_xlpm.MacVal,_xlpm.CSVVal&lt;&gt;"",_xlpm.CSVVal
)),"")</f>
        <v/>
      </c>
      <c r="J568" s="54" t="str" cm="1">
        <f t="array" ref="J568">IFERROR(_xlfn.LET(
_xlpm.CSVVal,_xlfn.XLOOKUP($A568,CSV!$A:$A,CSV!I:I,""),
_xlpm.MacVal,_xlfn.XLOOKUP($A568,Output_Mac!$A:$A,Output_Mac!K:K,""),
_xlpm.MyAuditVal,_xlfn.XLOOKUP($A568,My_Audit!$A:$A,My_Audit!I:I,""),
_xlfn.IFS(_xlpm.MyAuditVal&lt;&gt;"",UPPER(_xlpm.MyAuditVal),_xlpm.MacVal&lt;&gt;"",_xlpm.MacVal,_xlpm.CSVVal&lt;&gt;"",_xlpm.CSVVal
)),"")</f>
        <v/>
      </c>
      <c r="K568" s="54" t="str" cm="1">
        <f t="array" ref="K568">IFERROR(_xlfn.LET(
_xlpm.CSVVal,_xlfn.XLOOKUP($A568,CSV!$A:$A,CSV!M:M,""),
_xlpm.MacVal,_xlfn.XLOOKUP($A568,Output_Mac!$A:$A,Output_Mac!L:L,""),
_xlpm.MyAuditVal,_xlfn.XLOOKUP($A568,My_Audit!$A:$A,My_Audit!J:J,""),
_xlfn.IFS(_xlpm.MyAuditVal&lt;&gt;"",UPPER(_xlpm.MyAuditVal),_xlpm.MacVal&lt;&gt;"",_xlpm.MacVal,_xlpm.CSVVal&lt;&gt;"",_xlpm.CSVVal
)),"")</f>
        <v/>
      </c>
      <c r="L568" s="54" t="str" cm="1">
        <f t="array" ref="L568">IFERROR(_xlfn.LET(
_xlpm.CSVVal,_xlfn.XLOOKUP($A568,CSV!$A:$A,CSV!O:O,""),
_xlpm.MacVal,_xlfn.XLOOKUP($A568,Output_Mac!$A:$A,Output_Mac!M:M,""),
_xlpm.MyAuditVal,_xlfn.XLOOKUP($A568,My_Audit!$A:$A,My_Audit!K:K,""),
_xlfn.IFS(_xlpm.MyAuditVal&lt;&gt;"",UPPER(_xlpm.MyAuditVal),_xlpm.MacVal&lt;&gt;"",_xlpm.MacVal,_xlpm.CSVVal&lt;&gt;"",_xlpm.CSVVal
)),"")</f>
        <v/>
      </c>
      <c r="M568" s="54" t="str">
        <f>_xlfn.LET(
    _xlpm.CSVVal, _xlfn.XLOOKUP($A568, CSV!$A:$A, CSV!AD:AD, ""),
    _xlpm.MacVal, _xlfn.XLOOKUP($A568, Output_Mac!$A:$A, Output_Mac!S:S, ""),
    _xlpm.MyAuditVal, _xlfn.XLOOKUP($A568, My_Audit!$A:$A, My_Audit!N:N, ""),
    _xlfn.TEXTJOIN(", ", TRUE, _xlpm.MyAuditVal, _xlpm.MacVal, _xlpm.CSVVal)
)</f>
        <v/>
      </c>
      <c r="N568" s="54" t="str" cm="1">
        <f t="array" ref="N568">IFERROR(_xlfn.LET(
_xlpm.CSVVal,_xlfn.XLOOKUP($A568,CSV!$A:$A,CSV!AF:AF,""),
_xlpm.MacVal,_xlfn.XLOOKUP($A568,Output_Mac!$A:$A,Output_Mac!U:U,""),
_xlpm.MyAuditVal,_xlfn.XLOOKUP($A568,My_Audit!$A:$A,My_Audit!O:O,""),
_xlfn.IFS(_xlpm.MyAuditVal&lt;&gt;"",UPPER(_xlpm.MyAuditVal),_xlpm.MacVal&lt;&gt;"",_xlpm.MacVal,_xlpm.CSVVal&lt;&gt;"",_xlpm.CSVVal
)),"")</f>
        <v/>
      </c>
      <c r="O568" s="54"/>
      <c r="P568" s="54"/>
      <c r="Q568" s="54"/>
      <c r="R568" s="54"/>
      <c r="S568" s="54"/>
      <c r="T568" s="54"/>
      <c r="U568" s="39"/>
    </row>
    <row r="569" spans="1:21">
      <c r="A569" s="54" t="str">
        <f>_xlfn.TEXTJOIN("",TRUE,Input!$B$2,ROW(My_Audit!A568))</f>
        <v>XX568</v>
      </c>
      <c r="B569" s="54" t="str">
        <f>_xlfn.TEXTJOIN("-",TRUE,"ITD",Input!$A$2,A569)</f>
        <v>ITD-SHRXXX-XX568</v>
      </c>
      <c r="C569" s="54" t="str" cm="1">
        <f t="array" ref="C569">IFERROR(_xlfn.LET(
_xlpm.CSVVal,_xlfn.XLOOKUP($A569,CSV!$A:$A,CSV!B:B,""),
_xlpm.MacVal,_xlfn.XLOOKUP($A569,Output_Mac!$A:$A,Output_Mac!B:B,""),
_xlpm.MyAuditVal,_xlfn.XLOOKUP($A569,My_Audit!$A:$A,My_Audit!B:B,""),
_xlfn.IFS(_xlpm.MyAuditVal&lt;&gt;"",UPPER(_xlpm.MyAuditVal),_xlpm.MacVal&lt;&gt;"",_xlpm.MacVal,_xlpm.CSVVal&lt;&gt;"",_xlpm.CSVVal
)),"")</f>
        <v/>
      </c>
      <c r="D569" s="55" t="str">
        <f>_xlfn.XLOOKUP(A569,My_Audit!A:A,My_Audit!D:D,"")&amp;""</f>
        <v/>
      </c>
      <c r="E569" s="55" t="str" cm="1">
        <f t="array" ref="E569">IFERROR(_xlfn.LET(
_xlpm.CSVVal,_xlfn.XLOOKUP($A569,CSV!$A:$A,CSV!D:D,""),
_xlpm.MacVal,_xlfn.XLOOKUP($A569,Output_Mac!$A:$A,Output_Mac!C:C,""),
_xlpm.MyAuditVal,_xlfn.XLOOKUP($A569,My_Audit!$A:$A,My_Audit!D:D,""),
_xlfn.IFS(_xlpm.MyAuditVal&lt;&gt;"",_xlpm.MyAuditVal,_xlpm.MacVal&lt;&gt;"",_xlpm.MacVal,_xlpm.CSVVal&lt;&gt;"",_xlpm.CSVVal
)),"")</f>
        <v/>
      </c>
      <c r="F569" s="54" t="str" cm="1">
        <f t="array" ref="F569">IFERROR(_xlfn.LET(
_xlpm.CSVVal,_xlfn.XLOOKUP($A569,CSV!$A:$A,CSV!E:E,""),
_xlpm.MacVal,_xlfn.XLOOKUP($A569,Output_Mac!$A:$A,Output_Mac!F:F,""),
_xlpm.MyAuditVal,_xlfn.XLOOKUP($A569,My_Audit!$A:$A,My_Audit!E:E,""),
_xlfn.IFS(_xlpm.MyAuditVal&lt;&gt;"",_xlpm.MyAuditVal,_xlpm.MacVal&lt;&gt;"",_xlpm.MacVal,_xlpm.CSVVal&lt;&gt;"",PROPER(_xlpm.CSVVal)
)),"")</f>
        <v/>
      </c>
      <c r="G569" s="54" t="str" cm="1">
        <f t="array" ref="G569">IFERROR(_xlfn.LET(
_xlpm.CSVVal,_xlfn.XLOOKUP($A569,CSV!$A:$A,CSV!F:F,""),
_xlpm.MacVal,_xlfn.XLOOKUP($A569,Output_Mac!$A:$A,Output_Mac!H:H,""),
_xlpm.MyAuditVal,_xlfn.XLOOKUP($A569,My_Audit!$A:$A,My_Audit!F:F,""),
_xlfn.IFS(_xlpm.MyAuditVal&lt;&gt;"",_xlpm.MyAuditVal,_xlpm.MacVal&lt;&gt;"",_xlpm.MacVal,_xlpm.CSVVal&lt;&gt;"",_xlpm.CSVVal
)),"")</f>
        <v/>
      </c>
      <c r="H569" s="54" t="str">
        <f>_xlfn.XLOOKUP(A569,Output_Mac!A:A,Output_Mac!I:I,"")</f>
        <v/>
      </c>
      <c r="I569" s="54" t="str" cm="1">
        <f t="array" ref="I569">IFERROR(_xlfn.LET(
_xlpm.CSVVal,_xlfn.XLOOKUP($A569,CSV!$A:$A,CSV!G:G,""),
_xlpm.MacVal,_xlfn.XLOOKUP($A569,Output_Mac!$A:$A,Output_Mac!J:J,""),
_xlpm.MyAuditVal,_xlfn.XLOOKUP($A569,My_Audit!$A:$A,My_Audit!H:H,""),
_xlfn.IFS(_xlpm.MyAuditVal&lt;&gt;"",UPPER(_xlpm.MyAuditVal),_xlpm.MacVal&lt;&gt;"",_xlpm.MacVal,_xlpm.CSVVal&lt;&gt;"",_xlpm.CSVVal
)),"")</f>
        <v/>
      </c>
      <c r="J569" s="54" t="str" cm="1">
        <f t="array" ref="J569">IFERROR(_xlfn.LET(
_xlpm.CSVVal,_xlfn.XLOOKUP($A569,CSV!$A:$A,CSV!I:I,""),
_xlpm.MacVal,_xlfn.XLOOKUP($A569,Output_Mac!$A:$A,Output_Mac!K:K,""),
_xlpm.MyAuditVal,_xlfn.XLOOKUP($A569,My_Audit!$A:$A,My_Audit!I:I,""),
_xlfn.IFS(_xlpm.MyAuditVal&lt;&gt;"",UPPER(_xlpm.MyAuditVal),_xlpm.MacVal&lt;&gt;"",_xlpm.MacVal,_xlpm.CSVVal&lt;&gt;"",_xlpm.CSVVal
)),"")</f>
        <v/>
      </c>
      <c r="K569" s="54" t="str" cm="1">
        <f t="array" ref="K569">IFERROR(_xlfn.LET(
_xlpm.CSVVal,_xlfn.XLOOKUP($A569,CSV!$A:$A,CSV!M:M,""),
_xlpm.MacVal,_xlfn.XLOOKUP($A569,Output_Mac!$A:$A,Output_Mac!L:L,""),
_xlpm.MyAuditVal,_xlfn.XLOOKUP($A569,My_Audit!$A:$A,My_Audit!J:J,""),
_xlfn.IFS(_xlpm.MyAuditVal&lt;&gt;"",UPPER(_xlpm.MyAuditVal),_xlpm.MacVal&lt;&gt;"",_xlpm.MacVal,_xlpm.CSVVal&lt;&gt;"",_xlpm.CSVVal
)),"")</f>
        <v/>
      </c>
      <c r="L569" s="54" t="str" cm="1">
        <f t="array" ref="L569">IFERROR(_xlfn.LET(
_xlpm.CSVVal,_xlfn.XLOOKUP($A569,CSV!$A:$A,CSV!O:O,""),
_xlpm.MacVal,_xlfn.XLOOKUP($A569,Output_Mac!$A:$A,Output_Mac!M:M,""),
_xlpm.MyAuditVal,_xlfn.XLOOKUP($A569,My_Audit!$A:$A,My_Audit!K:K,""),
_xlfn.IFS(_xlpm.MyAuditVal&lt;&gt;"",UPPER(_xlpm.MyAuditVal),_xlpm.MacVal&lt;&gt;"",_xlpm.MacVal,_xlpm.CSVVal&lt;&gt;"",_xlpm.CSVVal
)),"")</f>
        <v/>
      </c>
      <c r="M569" s="54" t="str">
        <f>_xlfn.LET(
    _xlpm.CSVVal, _xlfn.XLOOKUP($A569, CSV!$A:$A, CSV!AD:AD, ""),
    _xlpm.MacVal, _xlfn.XLOOKUP($A569, Output_Mac!$A:$A, Output_Mac!S:S, ""),
    _xlpm.MyAuditVal, _xlfn.XLOOKUP($A569, My_Audit!$A:$A, My_Audit!N:N, ""),
    _xlfn.TEXTJOIN(", ", TRUE, _xlpm.MyAuditVal, _xlpm.MacVal, _xlpm.CSVVal)
)</f>
        <v/>
      </c>
      <c r="N569" s="54" t="str" cm="1">
        <f t="array" ref="N569">IFERROR(_xlfn.LET(
_xlpm.CSVVal,_xlfn.XLOOKUP($A569,CSV!$A:$A,CSV!AF:AF,""),
_xlpm.MacVal,_xlfn.XLOOKUP($A569,Output_Mac!$A:$A,Output_Mac!U:U,""),
_xlpm.MyAuditVal,_xlfn.XLOOKUP($A569,My_Audit!$A:$A,My_Audit!O:O,""),
_xlfn.IFS(_xlpm.MyAuditVal&lt;&gt;"",UPPER(_xlpm.MyAuditVal),_xlpm.MacVal&lt;&gt;"",_xlpm.MacVal,_xlpm.CSVVal&lt;&gt;"",_xlpm.CSVVal
)),"")</f>
        <v/>
      </c>
      <c r="O569" s="54"/>
      <c r="P569" s="54"/>
      <c r="Q569" s="54"/>
      <c r="R569" s="54"/>
      <c r="S569" s="54"/>
      <c r="T569" s="54"/>
      <c r="U569" s="39"/>
    </row>
    <row r="570" spans="1:21">
      <c r="A570" s="54" t="str">
        <f>_xlfn.TEXTJOIN("",TRUE,Input!$B$2,ROW(My_Audit!A569))</f>
        <v>XX569</v>
      </c>
      <c r="B570" s="54" t="str">
        <f>_xlfn.TEXTJOIN("-",TRUE,"ITD",Input!$A$2,A570)</f>
        <v>ITD-SHRXXX-XX569</v>
      </c>
      <c r="C570" s="54" t="str" cm="1">
        <f t="array" ref="C570">IFERROR(_xlfn.LET(
_xlpm.CSVVal,_xlfn.XLOOKUP($A570,CSV!$A:$A,CSV!B:B,""),
_xlpm.MacVal,_xlfn.XLOOKUP($A570,Output_Mac!$A:$A,Output_Mac!B:B,""),
_xlpm.MyAuditVal,_xlfn.XLOOKUP($A570,My_Audit!$A:$A,My_Audit!B:B,""),
_xlfn.IFS(_xlpm.MyAuditVal&lt;&gt;"",UPPER(_xlpm.MyAuditVal),_xlpm.MacVal&lt;&gt;"",_xlpm.MacVal,_xlpm.CSVVal&lt;&gt;"",_xlpm.CSVVal
)),"")</f>
        <v/>
      </c>
      <c r="D570" s="55" t="str">
        <f>_xlfn.XLOOKUP(A570,My_Audit!A:A,My_Audit!D:D,"")&amp;""</f>
        <v/>
      </c>
      <c r="E570" s="55" t="str" cm="1">
        <f t="array" ref="E570">IFERROR(_xlfn.LET(
_xlpm.CSVVal,_xlfn.XLOOKUP($A570,CSV!$A:$A,CSV!D:D,""),
_xlpm.MacVal,_xlfn.XLOOKUP($A570,Output_Mac!$A:$A,Output_Mac!C:C,""),
_xlpm.MyAuditVal,_xlfn.XLOOKUP($A570,My_Audit!$A:$A,My_Audit!D:D,""),
_xlfn.IFS(_xlpm.MyAuditVal&lt;&gt;"",_xlpm.MyAuditVal,_xlpm.MacVal&lt;&gt;"",_xlpm.MacVal,_xlpm.CSVVal&lt;&gt;"",_xlpm.CSVVal
)),"")</f>
        <v/>
      </c>
      <c r="F570" s="54" t="str" cm="1">
        <f t="array" ref="F570">IFERROR(_xlfn.LET(
_xlpm.CSVVal,_xlfn.XLOOKUP($A570,CSV!$A:$A,CSV!E:E,""),
_xlpm.MacVal,_xlfn.XLOOKUP($A570,Output_Mac!$A:$A,Output_Mac!F:F,""),
_xlpm.MyAuditVal,_xlfn.XLOOKUP($A570,My_Audit!$A:$A,My_Audit!E:E,""),
_xlfn.IFS(_xlpm.MyAuditVal&lt;&gt;"",_xlpm.MyAuditVal,_xlpm.MacVal&lt;&gt;"",_xlpm.MacVal,_xlpm.CSVVal&lt;&gt;"",PROPER(_xlpm.CSVVal)
)),"")</f>
        <v/>
      </c>
      <c r="G570" s="54" t="str" cm="1">
        <f t="array" ref="G570">IFERROR(_xlfn.LET(
_xlpm.CSVVal,_xlfn.XLOOKUP($A570,CSV!$A:$A,CSV!F:F,""),
_xlpm.MacVal,_xlfn.XLOOKUP($A570,Output_Mac!$A:$A,Output_Mac!H:H,""),
_xlpm.MyAuditVal,_xlfn.XLOOKUP($A570,My_Audit!$A:$A,My_Audit!F:F,""),
_xlfn.IFS(_xlpm.MyAuditVal&lt;&gt;"",_xlpm.MyAuditVal,_xlpm.MacVal&lt;&gt;"",_xlpm.MacVal,_xlpm.CSVVal&lt;&gt;"",_xlpm.CSVVal
)),"")</f>
        <v/>
      </c>
      <c r="H570" s="54" t="str">
        <f>_xlfn.XLOOKUP(A570,Output_Mac!A:A,Output_Mac!I:I,"")</f>
        <v/>
      </c>
      <c r="I570" s="54" t="str" cm="1">
        <f t="array" ref="I570">IFERROR(_xlfn.LET(
_xlpm.CSVVal,_xlfn.XLOOKUP($A570,CSV!$A:$A,CSV!G:G,""),
_xlpm.MacVal,_xlfn.XLOOKUP($A570,Output_Mac!$A:$A,Output_Mac!J:J,""),
_xlpm.MyAuditVal,_xlfn.XLOOKUP($A570,My_Audit!$A:$A,My_Audit!H:H,""),
_xlfn.IFS(_xlpm.MyAuditVal&lt;&gt;"",UPPER(_xlpm.MyAuditVal),_xlpm.MacVal&lt;&gt;"",_xlpm.MacVal,_xlpm.CSVVal&lt;&gt;"",_xlpm.CSVVal
)),"")</f>
        <v/>
      </c>
      <c r="J570" s="54" t="str" cm="1">
        <f t="array" ref="J570">IFERROR(_xlfn.LET(
_xlpm.CSVVal,_xlfn.XLOOKUP($A570,CSV!$A:$A,CSV!I:I,""),
_xlpm.MacVal,_xlfn.XLOOKUP($A570,Output_Mac!$A:$A,Output_Mac!K:K,""),
_xlpm.MyAuditVal,_xlfn.XLOOKUP($A570,My_Audit!$A:$A,My_Audit!I:I,""),
_xlfn.IFS(_xlpm.MyAuditVal&lt;&gt;"",UPPER(_xlpm.MyAuditVal),_xlpm.MacVal&lt;&gt;"",_xlpm.MacVal,_xlpm.CSVVal&lt;&gt;"",_xlpm.CSVVal
)),"")</f>
        <v/>
      </c>
      <c r="K570" s="54" t="str" cm="1">
        <f t="array" ref="K570">IFERROR(_xlfn.LET(
_xlpm.CSVVal,_xlfn.XLOOKUP($A570,CSV!$A:$A,CSV!M:M,""),
_xlpm.MacVal,_xlfn.XLOOKUP($A570,Output_Mac!$A:$A,Output_Mac!L:L,""),
_xlpm.MyAuditVal,_xlfn.XLOOKUP($A570,My_Audit!$A:$A,My_Audit!J:J,""),
_xlfn.IFS(_xlpm.MyAuditVal&lt;&gt;"",UPPER(_xlpm.MyAuditVal),_xlpm.MacVal&lt;&gt;"",_xlpm.MacVal,_xlpm.CSVVal&lt;&gt;"",_xlpm.CSVVal
)),"")</f>
        <v/>
      </c>
      <c r="L570" s="54" t="str" cm="1">
        <f t="array" ref="L570">IFERROR(_xlfn.LET(
_xlpm.CSVVal,_xlfn.XLOOKUP($A570,CSV!$A:$A,CSV!O:O,""),
_xlpm.MacVal,_xlfn.XLOOKUP($A570,Output_Mac!$A:$A,Output_Mac!M:M,""),
_xlpm.MyAuditVal,_xlfn.XLOOKUP($A570,My_Audit!$A:$A,My_Audit!K:K,""),
_xlfn.IFS(_xlpm.MyAuditVal&lt;&gt;"",UPPER(_xlpm.MyAuditVal),_xlpm.MacVal&lt;&gt;"",_xlpm.MacVal,_xlpm.CSVVal&lt;&gt;"",_xlpm.CSVVal
)),"")</f>
        <v/>
      </c>
      <c r="M570" s="54" t="str">
        <f>_xlfn.LET(
    _xlpm.CSVVal, _xlfn.XLOOKUP($A570, CSV!$A:$A, CSV!AD:AD, ""),
    _xlpm.MacVal, _xlfn.XLOOKUP($A570, Output_Mac!$A:$A, Output_Mac!S:S, ""),
    _xlpm.MyAuditVal, _xlfn.XLOOKUP($A570, My_Audit!$A:$A, My_Audit!N:N, ""),
    _xlfn.TEXTJOIN(", ", TRUE, _xlpm.MyAuditVal, _xlpm.MacVal, _xlpm.CSVVal)
)</f>
        <v/>
      </c>
      <c r="N570" s="54" t="str" cm="1">
        <f t="array" ref="N570">IFERROR(_xlfn.LET(
_xlpm.CSVVal,_xlfn.XLOOKUP($A570,CSV!$A:$A,CSV!AF:AF,""),
_xlpm.MacVal,_xlfn.XLOOKUP($A570,Output_Mac!$A:$A,Output_Mac!U:U,""),
_xlpm.MyAuditVal,_xlfn.XLOOKUP($A570,My_Audit!$A:$A,My_Audit!O:O,""),
_xlfn.IFS(_xlpm.MyAuditVal&lt;&gt;"",UPPER(_xlpm.MyAuditVal),_xlpm.MacVal&lt;&gt;"",_xlpm.MacVal,_xlpm.CSVVal&lt;&gt;"",_xlpm.CSVVal
)),"")</f>
        <v/>
      </c>
      <c r="O570" s="54"/>
      <c r="P570" s="54"/>
      <c r="Q570" s="54"/>
      <c r="R570" s="54"/>
      <c r="S570" s="54"/>
      <c r="T570" s="54"/>
      <c r="U570" s="39"/>
    </row>
    <row r="571" spans="1:21">
      <c r="A571" s="54" t="str">
        <f>_xlfn.TEXTJOIN("",TRUE,Input!$B$2,ROW(My_Audit!A570))</f>
        <v>XX570</v>
      </c>
      <c r="B571" s="54" t="str">
        <f>_xlfn.TEXTJOIN("-",TRUE,"ITD",Input!$A$2,A571)</f>
        <v>ITD-SHRXXX-XX570</v>
      </c>
      <c r="C571" s="54" t="str" cm="1">
        <f t="array" ref="C571">IFERROR(_xlfn.LET(
_xlpm.CSVVal,_xlfn.XLOOKUP($A571,CSV!$A:$A,CSV!B:B,""),
_xlpm.MacVal,_xlfn.XLOOKUP($A571,Output_Mac!$A:$A,Output_Mac!B:B,""),
_xlpm.MyAuditVal,_xlfn.XLOOKUP($A571,My_Audit!$A:$A,My_Audit!B:B,""),
_xlfn.IFS(_xlpm.MyAuditVal&lt;&gt;"",UPPER(_xlpm.MyAuditVal),_xlpm.MacVal&lt;&gt;"",_xlpm.MacVal,_xlpm.CSVVal&lt;&gt;"",_xlpm.CSVVal
)),"")</f>
        <v/>
      </c>
      <c r="D571" s="55" t="str">
        <f>_xlfn.XLOOKUP(A571,My_Audit!A:A,My_Audit!D:D,"")&amp;""</f>
        <v/>
      </c>
      <c r="E571" s="55" t="str" cm="1">
        <f t="array" ref="E571">IFERROR(_xlfn.LET(
_xlpm.CSVVal,_xlfn.XLOOKUP($A571,CSV!$A:$A,CSV!D:D,""),
_xlpm.MacVal,_xlfn.XLOOKUP($A571,Output_Mac!$A:$A,Output_Mac!C:C,""),
_xlpm.MyAuditVal,_xlfn.XLOOKUP($A571,My_Audit!$A:$A,My_Audit!D:D,""),
_xlfn.IFS(_xlpm.MyAuditVal&lt;&gt;"",_xlpm.MyAuditVal,_xlpm.MacVal&lt;&gt;"",_xlpm.MacVal,_xlpm.CSVVal&lt;&gt;"",_xlpm.CSVVal
)),"")</f>
        <v/>
      </c>
      <c r="F571" s="54" t="str" cm="1">
        <f t="array" ref="F571">IFERROR(_xlfn.LET(
_xlpm.CSVVal,_xlfn.XLOOKUP($A571,CSV!$A:$A,CSV!E:E,""),
_xlpm.MacVal,_xlfn.XLOOKUP($A571,Output_Mac!$A:$A,Output_Mac!F:F,""),
_xlpm.MyAuditVal,_xlfn.XLOOKUP($A571,My_Audit!$A:$A,My_Audit!E:E,""),
_xlfn.IFS(_xlpm.MyAuditVal&lt;&gt;"",_xlpm.MyAuditVal,_xlpm.MacVal&lt;&gt;"",_xlpm.MacVal,_xlpm.CSVVal&lt;&gt;"",PROPER(_xlpm.CSVVal)
)),"")</f>
        <v/>
      </c>
      <c r="G571" s="54" t="str" cm="1">
        <f t="array" ref="G571">IFERROR(_xlfn.LET(
_xlpm.CSVVal,_xlfn.XLOOKUP($A571,CSV!$A:$A,CSV!F:F,""),
_xlpm.MacVal,_xlfn.XLOOKUP($A571,Output_Mac!$A:$A,Output_Mac!H:H,""),
_xlpm.MyAuditVal,_xlfn.XLOOKUP($A571,My_Audit!$A:$A,My_Audit!F:F,""),
_xlfn.IFS(_xlpm.MyAuditVal&lt;&gt;"",_xlpm.MyAuditVal,_xlpm.MacVal&lt;&gt;"",_xlpm.MacVal,_xlpm.CSVVal&lt;&gt;"",_xlpm.CSVVal
)),"")</f>
        <v/>
      </c>
      <c r="H571" s="54" t="str">
        <f>_xlfn.XLOOKUP(A571,Output_Mac!A:A,Output_Mac!I:I,"")</f>
        <v/>
      </c>
      <c r="I571" s="54" t="str" cm="1">
        <f t="array" ref="I571">IFERROR(_xlfn.LET(
_xlpm.CSVVal,_xlfn.XLOOKUP($A571,CSV!$A:$A,CSV!G:G,""),
_xlpm.MacVal,_xlfn.XLOOKUP($A571,Output_Mac!$A:$A,Output_Mac!J:J,""),
_xlpm.MyAuditVal,_xlfn.XLOOKUP($A571,My_Audit!$A:$A,My_Audit!H:H,""),
_xlfn.IFS(_xlpm.MyAuditVal&lt;&gt;"",UPPER(_xlpm.MyAuditVal),_xlpm.MacVal&lt;&gt;"",_xlpm.MacVal,_xlpm.CSVVal&lt;&gt;"",_xlpm.CSVVal
)),"")</f>
        <v/>
      </c>
      <c r="J571" s="54" t="str" cm="1">
        <f t="array" ref="J571">IFERROR(_xlfn.LET(
_xlpm.CSVVal,_xlfn.XLOOKUP($A571,CSV!$A:$A,CSV!I:I,""),
_xlpm.MacVal,_xlfn.XLOOKUP($A571,Output_Mac!$A:$A,Output_Mac!K:K,""),
_xlpm.MyAuditVal,_xlfn.XLOOKUP($A571,My_Audit!$A:$A,My_Audit!I:I,""),
_xlfn.IFS(_xlpm.MyAuditVal&lt;&gt;"",UPPER(_xlpm.MyAuditVal),_xlpm.MacVal&lt;&gt;"",_xlpm.MacVal,_xlpm.CSVVal&lt;&gt;"",_xlpm.CSVVal
)),"")</f>
        <v/>
      </c>
      <c r="K571" s="54" t="str" cm="1">
        <f t="array" ref="K571">IFERROR(_xlfn.LET(
_xlpm.CSVVal,_xlfn.XLOOKUP($A571,CSV!$A:$A,CSV!M:M,""),
_xlpm.MacVal,_xlfn.XLOOKUP($A571,Output_Mac!$A:$A,Output_Mac!L:L,""),
_xlpm.MyAuditVal,_xlfn.XLOOKUP($A571,My_Audit!$A:$A,My_Audit!J:J,""),
_xlfn.IFS(_xlpm.MyAuditVal&lt;&gt;"",UPPER(_xlpm.MyAuditVal),_xlpm.MacVal&lt;&gt;"",_xlpm.MacVal,_xlpm.CSVVal&lt;&gt;"",_xlpm.CSVVal
)),"")</f>
        <v/>
      </c>
      <c r="L571" s="54" t="str" cm="1">
        <f t="array" ref="L571">IFERROR(_xlfn.LET(
_xlpm.CSVVal,_xlfn.XLOOKUP($A571,CSV!$A:$A,CSV!O:O,""),
_xlpm.MacVal,_xlfn.XLOOKUP($A571,Output_Mac!$A:$A,Output_Mac!M:M,""),
_xlpm.MyAuditVal,_xlfn.XLOOKUP($A571,My_Audit!$A:$A,My_Audit!K:K,""),
_xlfn.IFS(_xlpm.MyAuditVal&lt;&gt;"",UPPER(_xlpm.MyAuditVal),_xlpm.MacVal&lt;&gt;"",_xlpm.MacVal,_xlpm.CSVVal&lt;&gt;"",_xlpm.CSVVal
)),"")</f>
        <v/>
      </c>
      <c r="M571" s="54" t="str">
        <f>_xlfn.LET(
    _xlpm.CSVVal, _xlfn.XLOOKUP($A571, CSV!$A:$A, CSV!AD:AD, ""),
    _xlpm.MacVal, _xlfn.XLOOKUP($A571, Output_Mac!$A:$A, Output_Mac!S:S, ""),
    _xlpm.MyAuditVal, _xlfn.XLOOKUP($A571, My_Audit!$A:$A, My_Audit!N:N, ""),
    _xlfn.TEXTJOIN(", ", TRUE, _xlpm.MyAuditVal, _xlpm.MacVal, _xlpm.CSVVal)
)</f>
        <v/>
      </c>
      <c r="N571" s="54" t="str" cm="1">
        <f t="array" ref="N571">IFERROR(_xlfn.LET(
_xlpm.CSVVal,_xlfn.XLOOKUP($A571,CSV!$A:$A,CSV!AF:AF,""),
_xlpm.MacVal,_xlfn.XLOOKUP($A571,Output_Mac!$A:$A,Output_Mac!U:U,""),
_xlpm.MyAuditVal,_xlfn.XLOOKUP($A571,My_Audit!$A:$A,My_Audit!O:O,""),
_xlfn.IFS(_xlpm.MyAuditVal&lt;&gt;"",UPPER(_xlpm.MyAuditVal),_xlpm.MacVal&lt;&gt;"",_xlpm.MacVal,_xlpm.CSVVal&lt;&gt;"",_xlpm.CSVVal
)),"")</f>
        <v/>
      </c>
      <c r="O571" s="54"/>
      <c r="P571" s="54"/>
      <c r="Q571" s="54"/>
      <c r="R571" s="54"/>
      <c r="S571" s="54"/>
      <c r="T571" s="54"/>
      <c r="U571" s="39"/>
    </row>
    <row r="572" spans="1:21">
      <c r="A572" s="54" t="str">
        <f>_xlfn.TEXTJOIN("",TRUE,Input!$B$2,ROW(My_Audit!A571))</f>
        <v>XX571</v>
      </c>
      <c r="B572" s="54" t="str">
        <f>_xlfn.TEXTJOIN("-",TRUE,"ITD",Input!$A$2,A572)</f>
        <v>ITD-SHRXXX-XX571</v>
      </c>
      <c r="C572" s="54" t="str" cm="1">
        <f t="array" ref="C572">IFERROR(_xlfn.LET(
_xlpm.CSVVal,_xlfn.XLOOKUP($A572,CSV!$A:$A,CSV!B:B,""),
_xlpm.MacVal,_xlfn.XLOOKUP($A572,Output_Mac!$A:$A,Output_Mac!B:B,""),
_xlpm.MyAuditVal,_xlfn.XLOOKUP($A572,My_Audit!$A:$A,My_Audit!B:B,""),
_xlfn.IFS(_xlpm.MyAuditVal&lt;&gt;"",UPPER(_xlpm.MyAuditVal),_xlpm.MacVal&lt;&gt;"",_xlpm.MacVal,_xlpm.CSVVal&lt;&gt;"",_xlpm.CSVVal
)),"")</f>
        <v/>
      </c>
      <c r="D572" s="55" t="str">
        <f>_xlfn.XLOOKUP(A572,My_Audit!A:A,My_Audit!D:D,"")&amp;""</f>
        <v/>
      </c>
      <c r="E572" s="55" t="str" cm="1">
        <f t="array" ref="E572">IFERROR(_xlfn.LET(
_xlpm.CSVVal,_xlfn.XLOOKUP($A572,CSV!$A:$A,CSV!D:D,""),
_xlpm.MacVal,_xlfn.XLOOKUP($A572,Output_Mac!$A:$A,Output_Mac!C:C,""),
_xlpm.MyAuditVal,_xlfn.XLOOKUP($A572,My_Audit!$A:$A,My_Audit!D:D,""),
_xlfn.IFS(_xlpm.MyAuditVal&lt;&gt;"",_xlpm.MyAuditVal,_xlpm.MacVal&lt;&gt;"",_xlpm.MacVal,_xlpm.CSVVal&lt;&gt;"",_xlpm.CSVVal
)),"")</f>
        <v/>
      </c>
      <c r="F572" s="54" t="str" cm="1">
        <f t="array" ref="F572">IFERROR(_xlfn.LET(
_xlpm.CSVVal,_xlfn.XLOOKUP($A572,CSV!$A:$A,CSV!E:E,""),
_xlpm.MacVal,_xlfn.XLOOKUP($A572,Output_Mac!$A:$A,Output_Mac!F:F,""),
_xlpm.MyAuditVal,_xlfn.XLOOKUP($A572,My_Audit!$A:$A,My_Audit!E:E,""),
_xlfn.IFS(_xlpm.MyAuditVal&lt;&gt;"",_xlpm.MyAuditVal,_xlpm.MacVal&lt;&gt;"",_xlpm.MacVal,_xlpm.CSVVal&lt;&gt;"",PROPER(_xlpm.CSVVal)
)),"")</f>
        <v/>
      </c>
      <c r="G572" s="54" t="str" cm="1">
        <f t="array" ref="G572">IFERROR(_xlfn.LET(
_xlpm.CSVVal,_xlfn.XLOOKUP($A572,CSV!$A:$A,CSV!F:F,""),
_xlpm.MacVal,_xlfn.XLOOKUP($A572,Output_Mac!$A:$A,Output_Mac!H:H,""),
_xlpm.MyAuditVal,_xlfn.XLOOKUP($A572,My_Audit!$A:$A,My_Audit!F:F,""),
_xlfn.IFS(_xlpm.MyAuditVal&lt;&gt;"",_xlpm.MyAuditVal,_xlpm.MacVal&lt;&gt;"",_xlpm.MacVal,_xlpm.CSVVal&lt;&gt;"",_xlpm.CSVVal
)),"")</f>
        <v/>
      </c>
      <c r="H572" s="54" t="str">
        <f>_xlfn.XLOOKUP(A572,Output_Mac!A:A,Output_Mac!I:I,"")</f>
        <v/>
      </c>
      <c r="I572" s="54" t="str" cm="1">
        <f t="array" ref="I572">IFERROR(_xlfn.LET(
_xlpm.CSVVal,_xlfn.XLOOKUP($A572,CSV!$A:$A,CSV!G:G,""),
_xlpm.MacVal,_xlfn.XLOOKUP($A572,Output_Mac!$A:$A,Output_Mac!J:J,""),
_xlpm.MyAuditVal,_xlfn.XLOOKUP($A572,My_Audit!$A:$A,My_Audit!H:H,""),
_xlfn.IFS(_xlpm.MyAuditVal&lt;&gt;"",UPPER(_xlpm.MyAuditVal),_xlpm.MacVal&lt;&gt;"",_xlpm.MacVal,_xlpm.CSVVal&lt;&gt;"",_xlpm.CSVVal
)),"")</f>
        <v/>
      </c>
      <c r="J572" s="54" t="str" cm="1">
        <f t="array" ref="J572">IFERROR(_xlfn.LET(
_xlpm.CSVVal,_xlfn.XLOOKUP($A572,CSV!$A:$A,CSV!I:I,""),
_xlpm.MacVal,_xlfn.XLOOKUP($A572,Output_Mac!$A:$A,Output_Mac!K:K,""),
_xlpm.MyAuditVal,_xlfn.XLOOKUP($A572,My_Audit!$A:$A,My_Audit!I:I,""),
_xlfn.IFS(_xlpm.MyAuditVal&lt;&gt;"",UPPER(_xlpm.MyAuditVal),_xlpm.MacVal&lt;&gt;"",_xlpm.MacVal,_xlpm.CSVVal&lt;&gt;"",_xlpm.CSVVal
)),"")</f>
        <v/>
      </c>
      <c r="K572" s="54" t="str" cm="1">
        <f t="array" ref="K572">IFERROR(_xlfn.LET(
_xlpm.CSVVal,_xlfn.XLOOKUP($A572,CSV!$A:$A,CSV!M:M,""),
_xlpm.MacVal,_xlfn.XLOOKUP($A572,Output_Mac!$A:$A,Output_Mac!L:L,""),
_xlpm.MyAuditVal,_xlfn.XLOOKUP($A572,My_Audit!$A:$A,My_Audit!J:J,""),
_xlfn.IFS(_xlpm.MyAuditVal&lt;&gt;"",UPPER(_xlpm.MyAuditVal),_xlpm.MacVal&lt;&gt;"",_xlpm.MacVal,_xlpm.CSVVal&lt;&gt;"",_xlpm.CSVVal
)),"")</f>
        <v/>
      </c>
      <c r="L572" s="54" t="str" cm="1">
        <f t="array" ref="L572">IFERROR(_xlfn.LET(
_xlpm.CSVVal,_xlfn.XLOOKUP($A572,CSV!$A:$A,CSV!O:O,""),
_xlpm.MacVal,_xlfn.XLOOKUP($A572,Output_Mac!$A:$A,Output_Mac!M:M,""),
_xlpm.MyAuditVal,_xlfn.XLOOKUP($A572,My_Audit!$A:$A,My_Audit!K:K,""),
_xlfn.IFS(_xlpm.MyAuditVal&lt;&gt;"",UPPER(_xlpm.MyAuditVal),_xlpm.MacVal&lt;&gt;"",_xlpm.MacVal,_xlpm.CSVVal&lt;&gt;"",_xlpm.CSVVal
)),"")</f>
        <v/>
      </c>
      <c r="M572" s="54" t="str">
        <f>_xlfn.LET(
    _xlpm.CSVVal, _xlfn.XLOOKUP($A572, CSV!$A:$A, CSV!AD:AD, ""),
    _xlpm.MacVal, _xlfn.XLOOKUP($A572, Output_Mac!$A:$A, Output_Mac!S:S, ""),
    _xlpm.MyAuditVal, _xlfn.XLOOKUP($A572, My_Audit!$A:$A, My_Audit!N:N, ""),
    _xlfn.TEXTJOIN(", ", TRUE, _xlpm.MyAuditVal, _xlpm.MacVal, _xlpm.CSVVal)
)</f>
        <v/>
      </c>
      <c r="N572" s="54" t="str" cm="1">
        <f t="array" ref="N572">IFERROR(_xlfn.LET(
_xlpm.CSVVal,_xlfn.XLOOKUP($A572,CSV!$A:$A,CSV!AF:AF,""),
_xlpm.MacVal,_xlfn.XLOOKUP($A572,Output_Mac!$A:$A,Output_Mac!U:U,""),
_xlpm.MyAuditVal,_xlfn.XLOOKUP($A572,My_Audit!$A:$A,My_Audit!O:O,""),
_xlfn.IFS(_xlpm.MyAuditVal&lt;&gt;"",UPPER(_xlpm.MyAuditVal),_xlpm.MacVal&lt;&gt;"",_xlpm.MacVal,_xlpm.CSVVal&lt;&gt;"",_xlpm.CSVVal
)),"")</f>
        <v/>
      </c>
      <c r="O572" s="54"/>
      <c r="P572" s="54"/>
      <c r="Q572" s="54"/>
      <c r="R572" s="54"/>
      <c r="S572" s="54"/>
      <c r="T572" s="54"/>
      <c r="U572" s="39"/>
    </row>
    <row r="573" spans="1:21">
      <c r="A573" s="54" t="str">
        <f>_xlfn.TEXTJOIN("",TRUE,Input!$B$2,ROW(My_Audit!A572))</f>
        <v>XX572</v>
      </c>
      <c r="B573" s="54" t="str">
        <f>_xlfn.TEXTJOIN("-",TRUE,"ITD",Input!$A$2,A573)</f>
        <v>ITD-SHRXXX-XX572</v>
      </c>
      <c r="C573" s="54" t="str" cm="1">
        <f t="array" ref="C573">IFERROR(_xlfn.LET(
_xlpm.CSVVal,_xlfn.XLOOKUP($A573,CSV!$A:$A,CSV!B:B,""),
_xlpm.MacVal,_xlfn.XLOOKUP($A573,Output_Mac!$A:$A,Output_Mac!B:B,""),
_xlpm.MyAuditVal,_xlfn.XLOOKUP($A573,My_Audit!$A:$A,My_Audit!B:B,""),
_xlfn.IFS(_xlpm.MyAuditVal&lt;&gt;"",UPPER(_xlpm.MyAuditVal),_xlpm.MacVal&lt;&gt;"",_xlpm.MacVal,_xlpm.CSVVal&lt;&gt;"",_xlpm.CSVVal
)),"")</f>
        <v/>
      </c>
      <c r="D573" s="55" t="str">
        <f>_xlfn.XLOOKUP(A573,My_Audit!A:A,My_Audit!D:D,"")&amp;""</f>
        <v/>
      </c>
      <c r="E573" s="55" t="str" cm="1">
        <f t="array" ref="E573">IFERROR(_xlfn.LET(
_xlpm.CSVVal,_xlfn.XLOOKUP($A573,CSV!$A:$A,CSV!D:D,""),
_xlpm.MacVal,_xlfn.XLOOKUP($A573,Output_Mac!$A:$A,Output_Mac!C:C,""),
_xlpm.MyAuditVal,_xlfn.XLOOKUP($A573,My_Audit!$A:$A,My_Audit!D:D,""),
_xlfn.IFS(_xlpm.MyAuditVal&lt;&gt;"",_xlpm.MyAuditVal,_xlpm.MacVal&lt;&gt;"",_xlpm.MacVal,_xlpm.CSVVal&lt;&gt;"",_xlpm.CSVVal
)),"")</f>
        <v/>
      </c>
      <c r="F573" s="54" t="str" cm="1">
        <f t="array" ref="F573">IFERROR(_xlfn.LET(
_xlpm.CSVVal,_xlfn.XLOOKUP($A573,CSV!$A:$A,CSV!E:E,""),
_xlpm.MacVal,_xlfn.XLOOKUP($A573,Output_Mac!$A:$A,Output_Mac!F:F,""),
_xlpm.MyAuditVal,_xlfn.XLOOKUP($A573,My_Audit!$A:$A,My_Audit!E:E,""),
_xlfn.IFS(_xlpm.MyAuditVal&lt;&gt;"",_xlpm.MyAuditVal,_xlpm.MacVal&lt;&gt;"",_xlpm.MacVal,_xlpm.CSVVal&lt;&gt;"",PROPER(_xlpm.CSVVal)
)),"")</f>
        <v/>
      </c>
      <c r="G573" s="54" t="str" cm="1">
        <f t="array" ref="G573">IFERROR(_xlfn.LET(
_xlpm.CSVVal,_xlfn.XLOOKUP($A573,CSV!$A:$A,CSV!F:F,""),
_xlpm.MacVal,_xlfn.XLOOKUP($A573,Output_Mac!$A:$A,Output_Mac!H:H,""),
_xlpm.MyAuditVal,_xlfn.XLOOKUP($A573,My_Audit!$A:$A,My_Audit!F:F,""),
_xlfn.IFS(_xlpm.MyAuditVal&lt;&gt;"",_xlpm.MyAuditVal,_xlpm.MacVal&lt;&gt;"",_xlpm.MacVal,_xlpm.CSVVal&lt;&gt;"",_xlpm.CSVVal
)),"")</f>
        <v/>
      </c>
      <c r="H573" s="54" t="str">
        <f>_xlfn.XLOOKUP(A573,Output_Mac!A:A,Output_Mac!I:I,"")</f>
        <v/>
      </c>
      <c r="I573" s="54" t="str" cm="1">
        <f t="array" ref="I573">IFERROR(_xlfn.LET(
_xlpm.CSVVal,_xlfn.XLOOKUP($A573,CSV!$A:$A,CSV!G:G,""),
_xlpm.MacVal,_xlfn.XLOOKUP($A573,Output_Mac!$A:$A,Output_Mac!J:J,""),
_xlpm.MyAuditVal,_xlfn.XLOOKUP($A573,My_Audit!$A:$A,My_Audit!H:H,""),
_xlfn.IFS(_xlpm.MyAuditVal&lt;&gt;"",UPPER(_xlpm.MyAuditVal),_xlpm.MacVal&lt;&gt;"",_xlpm.MacVal,_xlpm.CSVVal&lt;&gt;"",_xlpm.CSVVal
)),"")</f>
        <v/>
      </c>
      <c r="J573" s="54" t="str" cm="1">
        <f t="array" ref="J573">IFERROR(_xlfn.LET(
_xlpm.CSVVal,_xlfn.XLOOKUP($A573,CSV!$A:$A,CSV!I:I,""),
_xlpm.MacVal,_xlfn.XLOOKUP($A573,Output_Mac!$A:$A,Output_Mac!K:K,""),
_xlpm.MyAuditVal,_xlfn.XLOOKUP($A573,My_Audit!$A:$A,My_Audit!I:I,""),
_xlfn.IFS(_xlpm.MyAuditVal&lt;&gt;"",UPPER(_xlpm.MyAuditVal),_xlpm.MacVal&lt;&gt;"",_xlpm.MacVal,_xlpm.CSVVal&lt;&gt;"",_xlpm.CSVVal
)),"")</f>
        <v/>
      </c>
      <c r="K573" s="54" t="str" cm="1">
        <f t="array" ref="K573">IFERROR(_xlfn.LET(
_xlpm.CSVVal,_xlfn.XLOOKUP($A573,CSV!$A:$A,CSV!M:M,""),
_xlpm.MacVal,_xlfn.XLOOKUP($A573,Output_Mac!$A:$A,Output_Mac!L:L,""),
_xlpm.MyAuditVal,_xlfn.XLOOKUP($A573,My_Audit!$A:$A,My_Audit!J:J,""),
_xlfn.IFS(_xlpm.MyAuditVal&lt;&gt;"",UPPER(_xlpm.MyAuditVal),_xlpm.MacVal&lt;&gt;"",_xlpm.MacVal,_xlpm.CSVVal&lt;&gt;"",_xlpm.CSVVal
)),"")</f>
        <v/>
      </c>
      <c r="L573" s="54" t="str" cm="1">
        <f t="array" ref="L573">IFERROR(_xlfn.LET(
_xlpm.CSVVal,_xlfn.XLOOKUP($A573,CSV!$A:$A,CSV!O:O,""),
_xlpm.MacVal,_xlfn.XLOOKUP($A573,Output_Mac!$A:$A,Output_Mac!M:M,""),
_xlpm.MyAuditVal,_xlfn.XLOOKUP($A573,My_Audit!$A:$A,My_Audit!K:K,""),
_xlfn.IFS(_xlpm.MyAuditVal&lt;&gt;"",UPPER(_xlpm.MyAuditVal),_xlpm.MacVal&lt;&gt;"",_xlpm.MacVal,_xlpm.CSVVal&lt;&gt;"",_xlpm.CSVVal
)),"")</f>
        <v/>
      </c>
      <c r="M573" s="54" t="str">
        <f>_xlfn.LET(
    _xlpm.CSVVal, _xlfn.XLOOKUP($A573, CSV!$A:$A, CSV!AD:AD, ""),
    _xlpm.MacVal, _xlfn.XLOOKUP($A573, Output_Mac!$A:$A, Output_Mac!S:S, ""),
    _xlpm.MyAuditVal, _xlfn.XLOOKUP($A573, My_Audit!$A:$A, My_Audit!N:N, ""),
    _xlfn.TEXTJOIN(", ", TRUE, _xlpm.MyAuditVal, _xlpm.MacVal, _xlpm.CSVVal)
)</f>
        <v/>
      </c>
      <c r="N573" s="54" t="str" cm="1">
        <f t="array" ref="N573">IFERROR(_xlfn.LET(
_xlpm.CSVVal,_xlfn.XLOOKUP($A573,CSV!$A:$A,CSV!AF:AF,""),
_xlpm.MacVal,_xlfn.XLOOKUP($A573,Output_Mac!$A:$A,Output_Mac!U:U,""),
_xlpm.MyAuditVal,_xlfn.XLOOKUP($A573,My_Audit!$A:$A,My_Audit!O:O,""),
_xlfn.IFS(_xlpm.MyAuditVal&lt;&gt;"",UPPER(_xlpm.MyAuditVal),_xlpm.MacVal&lt;&gt;"",_xlpm.MacVal,_xlpm.CSVVal&lt;&gt;"",_xlpm.CSVVal
)),"")</f>
        <v/>
      </c>
      <c r="O573" s="54"/>
      <c r="P573" s="54"/>
      <c r="Q573" s="54"/>
      <c r="R573" s="54"/>
      <c r="S573" s="54"/>
      <c r="T573" s="54"/>
      <c r="U573" s="39"/>
    </row>
    <row r="574" spans="1:21">
      <c r="A574" s="54" t="str">
        <f>_xlfn.TEXTJOIN("",TRUE,Input!$B$2,ROW(My_Audit!A573))</f>
        <v>XX573</v>
      </c>
      <c r="B574" s="54" t="str">
        <f>_xlfn.TEXTJOIN("-",TRUE,"ITD",Input!$A$2,A574)</f>
        <v>ITD-SHRXXX-XX573</v>
      </c>
      <c r="C574" s="54" t="str" cm="1">
        <f t="array" ref="C574">IFERROR(_xlfn.LET(
_xlpm.CSVVal,_xlfn.XLOOKUP($A574,CSV!$A:$A,CSV!B:B,""),
_xlpm.MacVal,_xlfn.XLOOKUP($A574,Output_Mac!$A:$A,Output_Mac!B:B,""),
_xlpm.MyAuditVal,_xlfn.XLOOKUP($A574,My_Audit!$A:$A,My_Audit!B:B,""),
_xlfn.IFS(_xlpm.MyAuditVal&lt;&gt;"",UPPER(_xlpm.MyAuditVal),_xlpm.MacVal&lt;&gt;"",_xlpm.MacVal,_xlpm.CSVVal&lt;&gt;"",_xlpm.CSVVal
)),"")</f>
        <v/>
      </c>
      <c r="D574" s="55" t="str">
        <f>_xlfn.XLOOKUP(A574,My_Audit!A:A,My_Audit!D:D,"")&amp;""</f>
        <v/>
      </c>
      <c r="E574" s="55" t="str" cm="1">
        <f t="array" ref="E574">IFERROR(_xlfn.LET(
_xlpm.CSVVal,_xlfn.XLOOKUP($A574,CSV!$A:$A,CSV!D:D,""),
_xlpm.MacVal,_xlfn.XLOOKUP($A574,Output_Mac!$A:$A,Output_Mac!C:C,""),
_xlpm.MyAuditVal,_xlfn.XLOOKUP($A574,My_Audit!$A:$A,My_Audit!D:D,""),
_xlfn.IFS(_xlpm.MyAuditVal&lt;&gt;"",_xlpm.MyAuditVal,_xlpm.MacVal&lt;&gt;"",_xlpm.MacVal,_xlpm.CSVVal&lt;&gt;"",_xlpm.CSVVal
)),"")</f>
        <v/>
      </c>
      <c r="F574" s="54" t="str" cm="1">
        <f t="array" ref="F574">IFERROR(_xlfn.LET(
_xlpm.CSVVal,_xlfn.XLOOKUP($A574,CSV!$A:$A,CSV!E:E,""),
_xlpm.MacVal,_xlfn.XLOOKUP($A574,Output_Mac!$A:$A,Output_Mac!F:F,""),
_xlpm.MyAuditVal,_xlfn.XLOOKUP($A574,My_Audit!$A:$A,My_Audit!E:E,""),
_xlfn.IFS(_xlpm.MyAuditVal&lt;&gt;"",_xlpm.MyAuditVal,_xlpm.MacVal&lt;&gt;"",_xlpm.MacVal,_xlpm.CSVVal&lt;&gt;"",PROPER(_xlpm.CSVVal)
)),"")</f>
        <v/>
      </c>
      <c r="G574" s="54" t="str" cm="1">
        <f t="array" ref="G574">IFERROR(_xlfn.LET(
_xlpm.CSVVal,_xlfn.XLOOKUP($A574,CSV!$A:$A,CSV!F:F,""),
_xlpm.MacVal,_xlfn.XLOOKUP($A574,Output_Mac!$A:$A,Output_Mac!H:H,""),
_xlpm.MyAuditVal,_xlfn.XLOOKUP($A574,My_Audit!$A:$A,My_Audit!F:F,""),
_xlfn.IFS(_xlpm.MyAuditVal&lt;&gt;"",_xlpm.MyAuditVal,_xlpm.MacVal&lt;&gt;"",_xlpm.MacVal,_xlpm.CSVVal&lt;&gt;"",_xlpm.CSVVal
)),"")</f>
        <v/>
      </c>
      <c r="H574" s="54" t="str">
        <f>_xlfn.XLOOKUP(A574,Output_Mac!A:A,Output_Mac!I:I,"")</f>
        <v/>
      </c>
      <c r="I574" s="54" t="str" cm="1">
        <f t="array" ref="I574">IFERROR(_xlfn.LET(
_xlpm.CSVVal,_xlfn.XLOOKUP($A574,CSV!$A:$A,CSV!G:G,""),
_xlpm.MacVal,_xlfn.XLOOKUP($A574,Output_Mac!$A:$A,Output_Mac!J:J,""),
_xlpm.MyAuditVal,_xlfn.XLOOKUP($A574,My_Audit!$A:$A,My_Audit!H:H,""),
_xlfn.IFS(_xlpm.MyAuditVal&lt;&gt;"",UPPER(_xlpm.MyAuditVal),_xlpm.MacVal&lt;&gt;"",_xlpm.MacVal,_xlpm.CSVVal&lt;&gt;"",_xlpm.CSVVal
)),"")</f>
        <v/>
      </c>
      <c r="J574" s="54" t="str" cm="1">
        <f t="array" ref="J574">IFERROR(_xlfn.LET(
_xlpm.CSVVal,_xlfn.XLOOKUP($A574,CSV!$A:$A,CSV!I:I,""),
_xlpm.MacVal,_xlfn.XLOOKUP($A574,Output_Mac!$A:$A,Output_Mac!K:K,""),
_xlpm.MyAuditVal,_xlfn.XLOOKUP($A574,My_Audit!$A:$A,My_Audit!I:I,""),
_xlfn.IFS(_xlpm.MyAuditVal&lt;&gt;"",UPPER(_xlpm.MyAuditVal),_xlpm.MacVal&lt;&gt;"",_xlpm.MacVal,_xlpm.CSVVal&lt;&gt;"",_xlpm.CSVVal
)),"")</f>
        <v/>
      </c>
      <c r="K574" s="54" t="str" cm="1">
        <f t="array" ref="K574">IFERROR(_xlfn.LET(
_xlpm.CSVVal,_xlfn.XLOOKUP($A574,CSV!$A:$A,CSV!M:M,""),
_xlpm.MacVal,_xlfn.XLOOKUP($A574,Output_Mac!$A:$A,Output_Mac!L:L,""),
_xlpm.MyAuditVal,_xlfn.XLOOKUP($A574,My_Audit!$A:$A,My_Audit!J:J,""),
_xlfn.IFS(_xlpm.MyAuditVal&lt;&gt;"",UPPER(_xlpm.MyAuditVal),_xlpm.MacVal&lt;&gt;"",_xlpm.MacVal,_xlpm.CSVVal&lt;&gt;"",_xlpm.CSVVal
)),"")</f>
        <v/>
      </c>
      <c r="L574" s="54" t="str" cm="1">
        <f t="array" ref="L574">IFERROR(_xlfn.LET(
_xlpm.CSVVal,_xlfn.XLOOKUP($A574,CSV!$A:$A,CSV!O:O,""),
_xlpm.MacVal,_xlfn.XLOOKUP($A574,Output_Mac!$A:$A,Output_Mac!M:M,""),
_xlpm.MyAuditVal,_xlfn.XLOOKUP($A574,My_Audit!$A:$A,My_Audit!K:K,""),
_xlfn.IFS(_xlpm.MyAuditVal&lt;&gt;"",UPPER(_xlpm.MyAuditVal),_xlpm.MacVal&lt;&gt;"",_xlpm.MacVal,_xlpm.CSVVal&lt;&gt;"",_xlpm.CSVVal
)),"")</f>
        <v/>
      </c>
      <c r="M574" s="54" t="str">
        <f>_xlfn.LET(
    _xlpm.CSVVal, _xlfn.XLOOKUP($A574, CSV!$A:$A, CSV!AD:AD, ""),
    _xlpm.MacVal, _xlfn.XLOOKUP($A574, Output_Mac!$A:$A, Output_Mac!S:S, ""),
    _xlpm.MyAuditVal, _xlfn.XLOOKUP($A574, My_Audit!$A:$A, My_Audit!N:N, ""),
    _xlfn.TEXTJOIN(", ", TRUE, _xlpm.MyAuditVal, _xlpm.MacVal, _xlpm.CSVVal)
)</f>
        <v/>
      </c>
      <c r="N574" s="54" t="str" cm="1">
        <f t="array" ref="N574">IFERROR(_xlfn.LET(
_xlpm.CSVVal,_xlfn.XLOOKUP($A574,CSV!$A:$A,CSV!AF:AF,""),
_xlpm.MacVal,_xlfn.XLOOKUP($A574,Output_Mac!$A:$A,Output_Mac!U:U,""),
_xlpm.MyAuditVal,_xlfn.XLOOKUP($A574,My_Audit!$A:$A,My_Audit!O:O,""),
_xlfn.IFS(_xlpm.MyAuditVal&lt;&gt;"",UPPER(_xlpm.MyAuditVal),_xlpm.MacVal&lt;&gt;"",_xlpm.MacVal,_xlpm.CSVVal&lt;&gt;"",_xlpm.CSVVal
)),"")</f>
        <v/>
      </c>
      <c r="O574" s="54"/>
      <c r="P574" s="54"/>
      <c r="Q574" s="54"/>
      <c r="R574" s="54"/>
      <c r="S574" s="54"/>
      <c r="T574" s="54"/>
      <c r="U574" s="39"/>
    </row>
    <row r="575" spans="1:21">
      <c r="A575" s="54" t="str">
        <f>_xlfn.TEXTJOIN("",TRUE,Input!$B$2,ROW(My_Audit!A574))</f>
        <v>XX574</v>
      </c>
      <c r="B575" s="54" t="str">
        <f>_xlfn.TEXTJOIN("-",TRUE,"ITD",Input!$A$2,A575)</f>
        <v>ITD-SHRXXX-XX574</v>
      </c>
      <c r="C575" s="54" t="str" cm="1">
        <f t="array" ref="C575">IFERROR(_xlfn.LET(
_xlpm.CSVVal,_xlfn.XLOOKUP($A575,CSV!$A:$A,CSV!B:B,""),
_xlpm.MacVal,_xlfn.XLOOKUP($A575,Output_Mac!$A:$A,Output_Mac!B:B,""),
_xlpm.MyAuditVal,_xlfn.XLOOKUP($A575,My_Audit!$A:$A,My_Audit!B:B,""),
_xlfn.IFS(_xlpm.MyAuditVal&lt;&gt;"",UPPER(_xlpm.MyAuditVal),_xlpm.MacVal&lt;&gt;"",_xlpm.MacVal,_xlpm.CSVVal&lt;&gt;"",_xlpm.CSVVal
)),"")</f>
        <v/>
      </c>
      <c r="D575" s="55" t="str">
        <f>_xlfn.XLOOKUP(A575,My_Audit!A:A,My_Audit!D:D,"")&amp;""</f>
        <v/>
      </c>
      <c r="E575" s="55" t="str" cm="1">
        <f t="array" ref="E575">IFERROR(_xlfn.LET(
_xlpm.CSVVal,_xlfn.XLOOKUP($A575,CSV!$A:$A,CSV!D:D,""),
_xlpm.MacVal,_xlfn.XLOOKUP($A575,Output_Mac!$A:$A,Output_Mac!C:C,""),
_xlpm.MyAuditVal,_xlfn.XLOOKUP($A575,My_Audit!$A:$A,My_Audit!D:D,""),
_xlfn.IFS(_xlpm.MyAuditVal&lt;&gt;"",_xlpm.MyAuditVal,_xlpm.MacVal&lt;&gt;"",_xlpm.MacVal,_xlpm.CSVVal&lt;&gt;"",_xlpm.CSVVal
)),"")</f>
        <v/>
      </c>
      <c r="F575" s="54" t="str" cm="1">
        <f t="array" ref="F575">IFERROR(_xlfn.LET(
_xlpm.CSVVal,_xlfn.XLOOKUP($A575,CSV!$A:$A,CSV!E:E,""),
_xlpm.MacVal,_xlfn.XLOOKUP($A575,Output_Mac!$A:$A,Output_Mac!F:F,""),
_xlpm.MyAuditVal,_xlfn.XLOOKUP($A575,My_Audit!$A:$A,My_Audit!E:E,""),
_xlfn.IFS(_xlpm.MyAuditVal&lt;&gt;"",_xlpm.MyAuditVal,_xlpm.MacVal&lt;&gt;"",_xlpm.MacVal,_xlpm.CSVVal&lt;&gt;"",PROPER(_xlpm.CSVVal)
)),"")</f>
        <v/>
      </c>
      <c r="G575" s="54" t="str" cm="1">
        <f t="array" ref="G575">IFERROR(_xlfn.LET(
_xlpm.CSVVal,_xlfn.XLOOKUP($A575,CSV!$A:$A,CSV!F:F,""),
_xlpm.MacVal,_xlfn.XLOOKUP($A575,Output_Mac!$A:$A,Output_Mac!H:H,""),
_xlpm.MyAuditVal,_xlfn.XLOOKUP($A575,My_Audit!$A:$A,My_Audit!F:F,""),
_xlfn.IFS(_xlpm.MyAuditVal&lt;&gt;"",_xlpm.MyAuditVal,_xlpm.MacVal&lt;&gt;"",_xlpm.MacVal,_xlpm.CSVVal&lt;&gt;"",_xlpm.CSVVal
)),"")</f>
        <v/>
      </c>
      <c r="H575" s="54" t="str">
        <f>_xlfn.XLOOKUP(A575,Output_Mac!A:A,Output_Mac!I:I,"")</f>
        <v/>
      </c>
      <c r="I575" s="54" t="str" cm="1">
        <f t="array" ref="I575">IFERROR(_xlfn.LET(
_xlpm.CSVVal,_xlfn.XLOOKUP($A575,CSV!$A:$A,CSV!G:G,""),
_xlpm.MacVal,_xlfn.XLOOKUP($A575,Output_Mac!$A:$A,Output_Mac!J:J,""),
_xlpm.MyAuditVal,_xlfn.XLOOKUP($A575,My_Audit!$A:$A,My_Audit!H:H,""),
_xlfn.IFS(_xlpm.MyAuditVal&lt;&gt;"",UPPER(_xlpm.MyAuditVal),_xlpm.MacVal&lt;&gt;"",_xlpm.MacVal,_xlpm.CSVVal&lt;&gt;"",_xlpm.CSVVal
)),"")</f>
        <v/>
      </c>
      <c r="J575" s="54" t="str" cm="1">
        <f t="array" ref="J575">IFERROR(_xlfn.LET(
_xlpm.CSVVal,_xlfn.XLOOKUP($A575,CSV!$A:$A,CSV!I:I,""),
_xlpm.MacVal,_xlfn.XLOOKUP($A575,Output_Mac!$A:$A,Output_Mac!K:K,""),
_xlpm.MyAuditVal,_xlfn.XLOOKUP($A575,My_Audit!$A:$A,My_Audit!I:I,""),
_xlfn.IFS(_xlpm.MyAuditVal&lt;&gt;"",UPPER(_xlpm.MyAuditVal),_xlpm.MacVal&lt;&gt;"",_xlpm.MacVal,_xlpm.CSVVal&lt;&gt;"",_xlpm.CSVVal
)),"")</f>
        <v/>
      </c>
      <c r="K575" s="54" t="str" cm="1">
        <f t="array" ref="K575">IFERROR(_xlfn.LET(
_xlpm.CSVVal,_xlfn.XLOOKUP($A575,CSV!$A:$A,CSV!M:M,""),
_xlpm.MacVal,_xlfn.XLOOKUP($A575,Output_Mac!$A:$A,Output_Mac!L:L,""),
_xlpm.MyAuditVal,_xlfn.XLOOKUP($A575,My_Audit!$A:$A,My_Audit!J:J,""),
_xlfn.IFS(_xlpm.MyAuditVal&lt;&gt;"",UPPER(_xlpm.MyAuditVal),_xlpm.MacVal&lt;&gt;"",_xlpm.MacVal,_xlpm.CSVVal&lt;&gt;"",_xlpm.CSVVal
)),"")</f>
        <v/>
      </c>
      <c r="L575" s="54" t="str" cm="1">
        <f t="array" ref="L575">IFERROR(_xlfn.LET(
_xlpm.CSVVal,_xlfn.XLOOKUP($A575,CSV!$A:$A,CSV!O:O,""),
_xlpm.MacVal,_xlfn.XLOOKUP($A575,Output_Mac!$A:$A,Output_Mac!M:M,""),
_xlpm.MyAuditVal,_xlfn.XLOOKUP($A575,My_Audit!$A:$A,My_Audit!K:K,""),
_xlfn.IFS(_xlpm.MyAuditVal&lt;&gt;"",UPPER(_xlpm.MyAuditVal),_xlpm.MacVal&lt;&gt;"",_xlpm.MacVal,_xlpm.CSVVal&lt;&gt;"",_xlpm.CSVVal
)),"")</f>
        <v/>
      </c>
      <c r="M575" s="54" t="str">
        <f>_xlfn.LET(
    _xlpm.CSVVal, _xlfn.XLOOKUP($A575, CSV!$A:$A, CSV!AD:AD, ""),
    _xlpm.MacVal, _xlfn.XLOOKUP($A575, Output_Mac!$A:$A, Output_Mac!S:S, ""),
    _xlpm.MyAuditVal, _xlfn.XLOOKUP($A575, My_Audit!$A:$A, My_Audit!N:N, ""),
    _xlfn.TEXTJOIN(", ", TRUE, _xlpm.MyAuditVal, _xlpm.MacVal, _xlpm.CSVVal)
)</f>
        <v/>
      </c>
      <c r="N575" s="54" t="str" cm="1">
        <f t="array" ref="N575">IFERROR(_xlfn.LET(
_xlpm.CSVVal,_xlfn.XLOOKUP($A575,CSV!$A:$A,CSV!AF:AF,""),
_xlpm.MacVal,_xlfn.XLOOKUP($A575,Output_Mac!$A:$A,Output_Mac!U:U,""),
_xlpm.MyAuditVal,_xlfn.XLOOKUP($A575,My_Audit!$A:$A,My_Audit!O:O,""),
_xlfn.IFS(_xlpm.MyAuditVal&lt;&gt;"",UPPER(_xlpm.MyAuditVal),_xlpm.MacVal&lt;&gt;"",_xlpm.MacVal,_xlpm.CSVVal&lt;&gt;"",_xlpm.CSVVal
)),"")</f>
        <v/>
      </c>
      <c r="O575" s="54"/>
      <c r="P575" s="54"/>
      <c r="Q575" s="54"/>
      <c r="R575" s="54"/>
      <c r="S575" s="54"/>
      <c r="T575" s="54"/>
      <c r="U575" s="39"/>
    </row>
    <row r="576" spans="1:21">
      <c r="A576" s="54" t="str">
        <f>_xlfn.TEXTJOIN("",TRUE,Input!$B$2,ROW(My_Audit!A575))</f>
        <v>XX575</v>
      </c>
      <c r="B576" s="54" t="str">
        <f>_xlfn.TEXTJOIN("-",TRUE,"ITD",Input!$A$2,A576)</f>
        <v>ITD-SHRXXX-XX575</v>
      </c>
      <c r="C576" s="54" t="str" cm="1">
        <f t="array" ref="C576">IFERROR(_xlfn.LET(
_xlpm.CSVVal,_xlfn.XLOOKUP($A576,CSV!$A:$A,CSV!B:B,""),
_xlpm.MacVal,_xlfn.XLOOKUP($A576,Output_Mac!$A:$A,Output_Mac!B:B,""),
_xlpm.MyAuditVal,_xlfn.XLOOKUP($A576,My_Audit!$A:$A,My_Audit!B:B,""),
_xlfn.IFS(_xlpm.MyAuditVal&lt;&gt;"",UPPER(_xlpm.MyAuditVal),_xlpm.MacVal&lt;&gt;"",_xlpm.MacVal,_xlpm.CSVVal&lt;&gt;"",_xlpm.CSVVal
)),"")</f>
        <v/>
      </c>
      <c r="D576" s="55" t="str">
        <f>_xlfn.XLOOKUP(A576,My_Audit!A:A,My_Audit!D:D,"")&amp;""</f>
        <v/>
      </c>
      <c r="E576" s="55" t="str" cm="1">
        <f t="array" ref="E576">IFERROR(_xlfn.LET(
_xlpm.CSVVal,_xlfn.XLOOKUP($A576,CSV!$A:$A,CSV!D:D,""),
_xlpm.MacVal,_xlfn.XLOOKUP($A576,Output_Mac!$A:$A,Output_Mac!C:C,""),
_xlpm.MyAuditVal,_xlfn.XLOOKUP($A576,My_Audit!$A:$A,My_Audit!D:D,""),
_xlfn.IFS(_xlpm.MyAuditVal&lt;&gt;"",_xlpm.MyAuditVal,_xlpm.MacVal&lt;&gt;"",_xlpm.MacVal,_xlpm.CSVVal&lt;&gt;"",_xlpm.CSVVal
)),"")</f>
        <v/>
      </c>
      <c r="F576" s="54" t="str" cm="1">
        <f t="array" ref="F576">IFERROR(_xlfn.LET(
_xlpm.CSVVal,_xlfn.XLOOKUP($A576,CSV!$A:$A,CSV!E:E,""),
_xlpm.MacVal,_xlfn.XLOOKUP($A576,Output_Mac!$A:$A,Output_Mac!F:F,""),
_xlpm.MyAuditVal,_xlfn.XLOOKUP($A576,My_Audit!$A:$A,My_Audit!E:E,""),
_xlfn.IFS(_xlpm.MyAuditVal&lt;&gt;"",_xlpm.MyAuditVal,_xlpm.MacVal&lt;&gt;"",_xlpm.MacVal,_xlpm.CSVVal&lt;&gt;"",PROPER(_xlpm.CSVVal)
)),"")</f>
        <v/>
      </c>
      <c r="G576" s="54" t="str" cm="1">
        <f t="array" ref="G576">IFERROR(_xlfn.LET(
_xlpm.CSVVal,_xlfn.XLOOKUP($A576,CSV!$A:$A,CSV!F:F,""),
_xlpm.MacVal,_xlfn.XLOOKUP($A576,Output_Mac!$A:$A,Output_Mac!H:H,""),
_xlpm.MyAuditVal,_xlfn.XLOOKUP($A576,My_Audit!$A:$A,My_Audit!F:F,""),
_xlfn.IFS(_xlpm.MyAuditVal&lt;&gt;"",_xlpm.MyAuditVal,_xlpm.MacVal&lt;&gt;"",_xlpm.MacVal,_xlpm.CSVVal&lt;&gt;"",_xlpm.CSVVal
)),"")</f>
        <v/>
      </c>
      <c r="H576" s="54" t="str">
        <f>_xlfn.XLOOKUP(A576,Output_Mac!A:A,Output_Mac!I:I,"")</f>
        <v/>
      </c>
      <c r="I576" s="54" t="str" cm="1">
        <f t="array" ref="I576">IFERROR(_xlfn.LET(
_xlpm.CSVVal,_xlfn.XLOOKUP($A576,CSV!$A:$A,CSV!G:G,""),
_xlpm.MacVal,_xlfn.XLOOKUP($A576,Output_Mac!$A:$A,Output_Mac!J:J,""),
_xlpm.MyAuditVal,_xlfn.XLOOKUP($A576,My_Audit!$A:$A,My_Audit!H:H,""),
_xlfn.IFS(_xlpm.MyAuditVal&lt;&gt;"",UPPER(_xlpm.MyAuditVal),_xlpm.MacVal&lt;&gt;"",_xlpm.MacVal,_xlpm.CSVVal&lt;&gt;"",_xlpm.CSVVal
)),"")</f>
        <v/>
      </c>
      <c r="J576" s="54" t="str" cm="1">
        <f t="array" ref="J576">IFERROR(_xlfn.LET(
_xlpm.CSVVal,_xlfn.XLOOKUP($A576,CSV!$A:$A,CSV!I:I,""),
_xlpm.MacVal,_xlfn.XLOOKUP($A576,Output_Mac!$A:$A,Output_Mac!K:K,""),
_xlpm.MyAuditVal,_xlfn.XLOOKUP($A576,My_Audit!$A:$A,My_Audit!I:I,""),
_xlfn.IFS(_xlpm.MyAuditVal&lt;&gt;"",UPPER(_xlpm.MyAuditVal),_xlpm.MacVal&lt;&gt;"",_xlpm.MacVal,_xlpm.CSVVal&lt;&gt;"",_xlpm.CSVVal
)),"")</f>
        <v/>
      </c>
      <c r="K576" s="54" t="str" cm="1">
        <f t="array" ref="K576">IFERROR(_xlfn.LET(
_xlpm.CSVVal,_xlfn.XLOOKUP($A576,CSV!$A:$A,CSV!M:M,""),
_xlpm.MacVal,_xlfn.XLOOKUP($A576,Output_Mac!$A:$A,Output_Mac!L:L,""),
_xlpm.MyAuditVal,_xlfn.XLOOKUP($A576,My_Audit!$A:$A,My_Audit!J:J,""),
_xlfn.IFS(_xlpm.MyAuditVal&lt;&gt;"",UPPER(_xlpm.MyAuditVal),_xlpm.MacVal&lt;&gt;"",_xlpm.MacVal,_xlpm.CSVVal&lt;&gt;"",_xlpm.CSVVal
)),"")</f>
        <v/>
      </c>
      <c r="L576" s="54" t="str" cm="1">
        <f t="array" ref="L576">IFERROR(_xlfn.LET(
_xlpm.CSVVal,_xlfn.XLOOKUP($A576,CSV!$A:$A,CSV!O:O,""),
_xlpm.MacVal,_xlfn.XLOOKUP($A576,Output_Mac!$A:$A,Output_Mac!M:M,""),
_xlpm.MyAuditVal,_xlfn.XLOOKUP($A576,My_Audit!$A:$A,My_Audit!K:K,""),
_xlfn.IFS(_xlpm.MyAuditVal&lt;&gt;"",UPPER(_xlpm.MyAuditVal),_xlpm.MacVal&lt;&gt;"",_xlpm.MacVal,_xlpm.CSVVal&lt;&gt;"",_xlpm.CSVVal
)),"")</f>
        <v/>
      </c>
      <c r="M576" s="54" t="str">
        <f>_xlfn.LET(
    _xlpm.CSVVal, _xlfn.XLOOKUP($A576, CSV!$A:$A, CSV!AD:AD, ""),
    _xlpm.MacVal, _xlfn.XLOOKUP($A576, Output_Mac!$A:$A, Output_Mac!S:S, ""),
    _xlpm.MyAuditVal, _xlfn.XLOOKUP($A576, My_Audit!$A:$A, My_Audit!N:N, ""),
    _xlfn.TEXTJOIN(", ", TRUE, _xlpm.MyAuditVal, _xlpm.MacVal, _xlpm.CSVVal)
)</f>
        <v/>
      </c>
      <c r="N576" s="54" t="str" cm="1">
        <f t="array" ref="N576">IFERROR(_xlfn.LET(
_xlpm.CSVVal,_xlfn.XLOOKUP($A576,CSV!$A:$A,CSV!AF:AF,""),
_xlpm.MacVal,_xlfn.XLOOKUP($A576,Output_Mac!$A:$A,Output_Mac!U:U,""),
_xlpm.MyAuditVal,_xlfn.XLOOKUP($A576,My_Audit!$A:$A,My_Audit!O:O,""),
_xlfn.IFS(_xlpm.MyAuditVal&lt;&gt;"",UPPER(_xlpm.MyAuditVal),_xlpm.MacVal&lt;&gt;"",_xlpm.MacVal,_xlpm.CSVVal&lt;&gt;"",_xlpm.CSVVal
)),"")</f>
        <v/>
      </c>
      <c r="O576" s="54"/>
      <c r="P576" s="54"/>
      <c r="Q576" s="54"/>
      <c r="R576" s="54"/>
      <c r="S576" s="54"/>
      <c r="T576" s="54"/>
      <c r="U576" s="39"/>
    </row>
    <row r="577" spans="1:21">
      <c r="A577" s="54" t="str">
        <f>_xlfn.TEXTJOIN("",TRUE,Input!$B$2,ROW(My_Audit!A576))</f>
        <v>XX576</v>
      </c>
      <c r="B577" s="54" t="str">
        <f>_xlfn.TEXTJOIN("-",TRUE,"ITD",Input!$A$2,A577)</f>
        <v>ITD-SHRXXX-XX576</v>
      </c>
      <c r="C577" s="54" t="str" cm="1">
        <f t="array" ref="C577">IFERROR(_xlfn.LET(
_xlpm.CSVVal,_xlfn.XLOOKUP($A577,CSV!$A:$A,CSV!B:B,""),
_xlpm.MacVal,_xlfn.XLOOKUP($A577,Output_Mac!$A:$A,Output_Mac!B:B,""),
_xlpm.MyAuditVal,_xlfn.XLOOKUP($A577,My_Audit!$A:$A,My_Audit!B:B,""),
_xlfn.IFS(_xlpm.MyAuditVal&lt;&gt;"",UPPER(_xlpm.MyAuditVal),_xlpm.MacVal&lt;&gt;"",_xlpm.MacVal,_xlpm.CSVVal&lt;&gt;"",_xlpm.CSVVal
)),"")</f>
        <v/>
      </c>
      <c r="D577" s="55" t="str">
        <f>_xlfn.XLOOKUP(A577,My_Audit!A:A,My_Audit!D:D,"")&amp;""</f>
        <v/>
      </c>
      <c r="E577" s="55" t="str" cm="1">
        <f t="array" ref="E577">IFERROR(_xlfn.LET(
_xlpm.CSVVal,_xlfn.XLOOKUP($A577,CSV!$A:$A,CSV!D:D,""),
_xlpm.MacVal,_xlfn.XLOOKUP($A577,Output_Mac!$A:$A,Output_Mac!C:C,""),
_xlpm.MyAuditVal,_xlfn.XLOOKUP($A577,My_Audit!$A:$A,My_Audit!D:D,""),
_xlfn.IFS(_xlpm.MyAuditVal&lt;&gt;"",_xlpm.MyAuditVal,_xlpm.MacVal&lt;&gt;"",_xlpm.MacVal,_xlpm.CSVVal&lt;&gt;"",_xlpm.CSVVal
)),"")</f>
        <v/>
      </c>
      <c r="F577" s="54" t="str" cm="1">
        <f t="array" ref="F577">IFERROR(_xlfn.LET(
_xlpm.CSVVal,_xlfn.XLOOKUP($A577,CSV!$A:$A,CSV!E:E,""),
_xlpm.MacVal,_xlfn.XLOOKUP($A577,Output_Mac!$A:$A,Output_Mac!F:F,""),
_xlpm.MyAuditVal,_xlfn.XLOOKUP($A577,My_Audit!$A:$A,My_Audit!E:E,""),
_xlfn.IFS(_xlpm.MyAuditVal&lt;&gt;"",_xlpm.MyAuditVal,_xlpm.MacVal&lt;&gt;"",_xlpm.MacVal,_xlpm.CSVVal&lt;&gt;"",PROPER(_xlpm.CSVVal)
)),"")</f>
        <v/>
      </c>
      <c r="G577" s="54" t="str" cm="1">
        <f t="array" ref="G577">IFERROR(_xlfn.LET(
_xlpm.CSVVal,_xlfn.XLOOKUP($A577,CSV!$A:$A,CSV!F:F,""),
_xlpm.MacVal,_xlfn.XLOOKUP($A577,Output_Mac!$A:$A,Output_Mac!H:H,""),
_xlpm.MyAuditVal,_xlfn.XLOOKUP($A577,My_Audit!$A:$A,My_Audit!F:F,""),
_xlfn.IFS(_xlpm.MyAuditVal&lt;&gt;"",_xlpm.MyAuditVal,_xlpm.MacVal&lt;&gt;"",_xlpm.MacVal,_xlpm.CSVVal&lt;&gt;"",_xlpm.CSVVal
)),"")</f>
        <v/>
      </c>
      <c r="H577" s="54" t="str">
        <f>_xlfn.XLOOKUP(A577,Output_Mac!A:A,Output_Mac!I:I,"")</f>
        <v/>
      </c>
      <c r="I577" s="54" t="str" cm="1">
        <f t="array" ref="I577">IFERROR(_xlfn.LET(
_xlpm.CSVVal,_xlfn.XLOOKUP($A577,CSV!$A:$A,CSV!G:G,""),
_xlpm.MacVal,_xlfn.XLOOKUP($A577,Output_Mac!$A:$A,Output_Mac!J:J,""),
_xlpm.MyAuditVal,_xlfn.XLOOKUP($A577,My_Audit!$A:$A,My_Audit!H:H,""),
_xlfn.IFS(_xlpm.MyAuditVal&lt;&gt;"",UPPER(_xlpm.MyAuditVal),_xlpm.MacVal&lt;&gt;"",_xlpm.MacVal,_xlpm.CSVVal&lt;&gt;"",_xlpm.CSVVal
)),"")</f>
        <v/>
      </c>
      <c r="J577" s="54" t="str" cm="1">
        <f t="array" ref="J577">IFERROR(_xlfn.LET(
_xlpm.CSVVal,_xlfn.XLOOKUP($A577,CSV!$A:$A,CSV!I:I,""),
_xlpm.MacVal,_xlfn.XLOOKUP($A577,Output_Mac!$A:$A,Output_Mac!K:K,""),
_xlpm.MyAuditVal,_xlfn.XLOOKUP($A577,My_Audit!$A:$A,My_Audit!I:I,""),
_xlfn.IFS(_xlpm.MyAuditVal&lt;&gt;"",UPPER(_xlpm.MyAuditVal),_xlpm.MacVal&lt;&gt;"",_xlpm.MacVal,_xlpm.CSVVal&lt;&gt;"",_xlpm.CSVVal
)),"")</f>
        <v/>
      </c>
      <c r="K577" s="54" t="str" cm="1">
        <f t="array" ref="K577">IFERROR(_xlfn.LET(
_xlpm.CSVVal,_xlfn.XLOOKUP($A577,CSV!$A:$A,CSV!M:M,""),
_xlpm.MacVal,_xlfn.XLOOKUP($A577,Output_Mac!$A:$A,Output_Mac!L:L,""),
_xlpm.MyAuditVal,_xlfn.XLOOKUP($A577,My_Audit!$A:$A,My_Audit!J:J,""),
_xlfn.IFS(_xlpm.MyAuditVal&lt;&gt;"",UPPER(_xlpm.MyAuditVal),_xlpm.MacVal&lt;&gt;"",_xlpm.MacVal,_xlpm.CSVVal&lt;&gt;"",_xlpm.CSVVal
)),"")</f>
        <v/>
      </c>
      <c r="L577" s="54" t="str" cm="1">
        <f t="array" ref="L577">IFERROR(_xlfn.LET(
_xlpm.CSVVal,_xlfn.XLOOKUP($A577,CSV!$A:$A,CSV!O:O,""),
_xlpm.MacVal,_xlfn.XLOOKUP($A577,Output_Mac!$A:$A,Output_Mac!M:M,""),
_xlpm.MyAuditVal,_xlfn.XLOOKUP($A577,My_Audit!$A:$A,My_Audit!K:K,""),
_xlfn.IFS(_xlpm.MyAuditVal&lt;&gt;"",UPPER(_xlpm.MyAuditVal),_xlpm.MacVal&lt;&gt;"",_xlpm.MacVal,_xlpm.CSVVal&lt;&gt;"",_xlpm.CSVVal
)),"")</f>
        <v/>
      </c>
      <c r="M577" s="54" t="str">
        <f>_xlfn.LET(
    _xlpm.CSVVal, _xlfn.XLOOKUP($A577, CSV!$A:$A, CSV!AD:AD, ""),
    _xlpm.MacVal, _xlfn.XLOOKUP($A577, Output_Mac!$A:$A, Output_Mac!S:S, ""),
    _xlpm.MyAuditVal, _xlfn.XLOOKUP($A577, My_Audit!$A:$A, My_Audit!N:N, ""),
    _xlfn.TEXTJOIN(", ", TRUE, _xlpm.MyAuditVal, _xlpm.MacVal, _xlpm.CSVVal)
)</f>
        <v/>
      </c>
      <c r="N577" s="54" t="str" cm="1">
        <f t="array" ref="N577">IFERROR(_xlfn.LET(
_xlpm.CSVVal,_xlfn.XLOOKUP($A577,CSV!$A:$A,CSV!AF:AF,""),
_xlpm.MacVal,_xlfn.XLOOKUP($A577,Output_Mac!$A:$A,Output_Mac!U:U,""),
_xlpm.MyAuditVal,_xlfn.XLOOKUP($A577,My_Audit!$A:$A,My_Audit!O:O,""),
_xlfn.IFS(_xlpm.MyAuditVal&lt;&gt;"",UPPER(_xlpm.MyAuditVal),_xlpm.MacVal&lt;&gt;"",_xlpm.MacVal,_xlpm.CSVVal&lt;&gt;"",_xlpm.CSVVal
)),"")</f>
        <v/>
      </c>
      <c r="O577" s="54"/>
      <c r="P577" s="54"/>
      <c r="Q577" s="54"/>
      <c r="R577" s="54"/>
      <c r="S577" s="54"/>
      <c r="T577" s="54"/>
      <c r="U577" s="39"/>
    </row>
    <row r="578" spans="1:21">
      <c r="A578" s="54" t="str">
        <f>_xlfn.TEXTJOIN("",TRUE,Input!$B$2,ROW(My_Audit!A577))</f>
        <v>XX577</v>
      </c>
      <c r="B578" s="54" t="str">
        <f>_xlfn.TEXTJOIN("-",TRUE,"ITD",Input!$A$2,A578)</f>
        <v>ITD-SHRXXX-XX577</v>
      </c>
      <c r="C578" s="54" t="str" cm="1">
        <f t="array" ref="C578">IFERROR(_xlfn.LET(
_xlpm.CSVVal,_xlfn.XLOOKUP($A578,CSV!$A:$A,CSV!B:B,""),
_xlpm.MacVal,_xlfn.XLOOKUP($A578,Output_Mac!$A:$A,Output_Mac!B:B,""),
_xlpm.MyAuditVal,_xlfn.XLOOKUP($A578,My_Audit!$A:$A,My_Audit!B:B,""),
_xlfn.IFS(_xlpm.MyAuditVal&lt;&gt;"",UPPER(_xlpm.MyAuditVal),_xlpm.MacVal&lt;&gt;"",_xlpm.MacVal,_xlpm.CSVVal&lt;&gt;"",_xlpm.CSVVal
)),"")</f>
        <v/>
      </c>
      <c r="D578" s="55" t="str">
        <f>_xlfn.XLOOKUP(A578,My_Audit!A:A,My_Audit!D:D,"")&amp;""</f>
        <v/>
      </c>
      <c r="E578" s="55" t="str" cm="1">
        <f t="array" ref="E578">IFERROR(_xlfn.LET(
_xlpm.CSVVal,_xlfn.XLOOKUP($A578,CSV!$A:$A,CSV!D:D,""),
_xlpm.MacVal,_xlfn.XLOOKUP($A578,Output_Mac!$A:$A,Output_Mac!C:C,""),
_xlpm.MyAuditVal,_xlfn.XLOOKUP($A578,My_Audit!$A:$A,My_Audit!D:D,""),
_xlfn.IFS(_xlpm.MyAuditVal&lt;&gt;"",_xlpm.MyAuditVal,_xlpm.MacVal&lt;&gt;"",_xlpm.MacVal,_xlpm.CSVVal&lt;&gt;"",_xlpm.CSVVal
)),"")</f>
        <v/>
      </c>
      <c r="F578" s="54" t="str" cm="1">
        <f t="array" ref="F578">IFERROR(_xlfn.LET(
_xlpm.CSVVal,_xlfn.XLOOKUP($A578,CSV!$A:$A,CSV!E:E,""),
_xlpm.MacVal,_xlfn.XLOOKUP($A578,Output_Mac!$A:$A,Output_Mac!F:F,""),
_xlpm.MyAuditVal,_xlfn.XLOOKUP($A578,My_Audit!$A:$A,My_Audit!E:E,""),
_xlfn.IFS(_xlpm.MyAuditVal&lt;&gt;"",_xlpm.MyAuditVal,_xlpm.MacVal&lt;&gt;"",_xlpm.MacVal,_xlpm.CSVVal&lt;&gt;"",PROPER(_xlpm.CSVVal)
)),"")</f>
        <v/>
      </c>
      <c r="G578" s="54" t="str" cm="1">
        <f t="array" ref="G578">IFERROR(_xlfn.LET(
_xlpm.CSVVal,_xlfn.XLOOKUP($A578,CSV!$A:$A,CSV!F:F,""),
_xlpm.MacVal,_xlfn.XLOOKUP($A578,Output_Mac!$A:$A,Output_Mac!H:H,""),
_xlpm.MyAuditVal,_xlfn.XLOOKUP($A578,My_Audit!$A:$A,My_Audit!F:F,""),
_xlfn.IFS(_xlpm.MyAuditVal&lt;&gt;"",_xlpm.MyAuditVal,_xlpm.MacVal&lt;&gt;"",_xlpm.MacVal,_xlpm.CSVVal&lt;&gt;"",_xlpm.CSVVal
)),"")</f>
        <v/>
      </c>
      <c r="H578" s="54" t="str">
        <f>_xlfn.XLOOKUP(A578,Output_Mac!A:A,Output_Mac!I:I,"")</f>
        <v/>
      </c>
      <c r="I578" s="54" t="str" cm="1">
        <f t="array" ref="I578">IFERROR(_xlfn.LET(
_xlpm.CSVVal,_xlfn.XLOOKUP($A578,CSV!$A:$A,CSV!G:G,""),
_xlpm.MacVal,_xlfn.XLOOKUP($A578,Output_Mac!$A:$A,Output_Mac!J:J,""),
_xlpm.MyAuditVal,_xlfn.XLOOKUP($A578,My_Audit!$A:$A,My_Audit!H:H,""),
_xlfn.IFS(_xlpm.MyAuditVal&lt;&gt;"",UPPER(_xlpm.MyAuditVal),_xlpm.MacVal&lt;&gt;"",_xlpm.MacVal,_xlpm.CSVVal&lt;&gt;"",_xlpm.CSVVal
)),"")</f>
        <v/>
      </c>
      <c r="J578" s="54" t="str" cm="1">
        <f t="array" ref="J578">IFERROR(_xlfn.LET(
_xlpm.CSVVal,_xlfn.XLOOKUP($A578,CSV!$A:$A,CSV!I:I,""),
_xlpm.MacVal,_xlfn.XLOOKUP($A578,Output_Mac!$A:$A,Output_Mac!K:K,""),
_xlpm.MyAuditVal,_xlfn.XLOOKUP($A578,My_Audit!$A:$A,My_Audit!I:I,""),
_xlfn.IFS(_xlpm.MyAuditVal&lt;&gt;"",UPPER(_xlpm.MyAuditVal),_xlpm.MacVal&lt;&gt;"",_xlpm.MacVal,_xlpm.CSVVal&lt;&gt;"",_xlpm.CSVVal
)),"")</f>
        <v/>
      </c>
      <c r="K578" s="54" t="str" cm="1">
        <f t="array" ref="K578">IFERROR(_xlfn.LET(
_xlpm.CSVVal,_xlfn.XLOOKUP($A578,CSV!$A:$A,CSV!M:M,""),
_xlpm.MacVal,_xlfn.XLOOKUP($A578,Output_Mac!$A:$A,Output_Mac!L:L,""),
_xlpm.MyAuditVal,_xlfn.XLOOKUP($A578,My_Audit!$A:$A,My_Audit!J:J,""),
_xlfn.IFS(_xlpm.MyAuditVal&lt;&gt;"",UPPER(_xlpm.MyAuditVal),_xlpm.MacVal&lt;&gt;"",_xlpm.MacVal,_xlpm.CSVVal&lt;&gt;"",_xlpm.CSVVal
)),"")</f>
        <v/>
      </c>
      <c r="L578" s="54" t="str" cm="1">
        <f t="array" ref="L578">IFERROR(_xlfn.LET(
_xlpm.CSVVal,_xlfn.XLOOKUP($A578,CSV!$A:$A,CSV!O:O,""),
_xlpm.MacVal,_xlfn.XLOOKUP($A578,Output_Mac!$A:$A,Output_Mac!M:M,""),
_xlpm.MyAuditVal,_xlfn.XLOOKUP($A578,My_Audit!$A:$A,My_Audit!K:K,""),
_xlfn.IFS(_xlpm.MyAuditVal&lt;&gt;"",UPPER(_xlpm.MyAuditVal),_xlpm.MacVal&lt;&gt;"",_xlpm.MacVal,_xlpm.CSVVal&lt;&gt;"",_xlpm.CSVVal
)),"")</f>
        <v/>
      </c>
      <c r="M578" s="54" t="str">
        <f>_xlfn.LET(
    _xlpm.CSVVal, _xlfn.XLOOKUP($A578, CSV!$A:$A, CSV!AD:AD, ""),
    _xlpm.MacVal, _xlfn.XLOOKUP($A578, Output_Mac!$A:$A, Output_Mac!S:S, ""),
    _xlpm.MyAuditVal, _xlfn.XLOOKUP($A578, My_Audit!$A:$A, My_Audit!N:N, ""),
    _xlfn.TEXTJOIN(", ", TRUE, _xlpm.MyAuditVal, _xlpm.MacVal, _xlpm.CSVVal)
)</f>
        <v/>
      </c>
      <c r="N578" s="54" t="str" cm="1">
        <f t="array" ref="N578">IFERROR(_xlfn.LET(
_xlpm.CSVVal,_xlfn.XLOOKUP($A578,CSV!$A:$A,CSV!AF:AF,""),
_xlpm.MacVal,_xlfn.XLOOKUP($A578,Output_Mac!$A:$A,Output_Mac!U:U,""),
_xlpm.MyAuditVal,_xlfn.XLOOKUP($A578,My_Audit!$A:$A,My_Audit!O:O,""),
_xlfn.IFS(_xlpm.MyAuditVal&lt;&gt;"",UPPER(_xlpm.MyAuditVal),_xlpm.MacVal&lt;&gt;"",_xlpm.MacVal,_xlpm.CSVVal&lt;&gt;"",_xlpm.CSVVal
)),"")</f>
        <v/>
      </c>
      <c r="O578" s="54"/>
      <c r="P578" s="54"/>
      <c r="Q578" s="54"/>
      <c r="R578" s="54"/>
      <c r="S578" s="54"/>
      <c r="T578" s="54"/>
      <c r="U578" s="39"/>
    </row>
    <row r="579" spans="1:21">
      <c r="A579" s="54" t="str">
        <f>_xlfn.TEXTJOIN("",TRUE,Input!$B$2,ROW(My_Audit!A578))</f>
        <v>XX578</v>
      </c>
      <c r="B579" s="54" t="str">
        <f>_xlfn.TEXTJOIN("-",TRUE,"ITD",Input!$A$2,A579)</f>
        <v>ITD-SHRXXX-XX578</v>
      </c>
      <c r="C579" s="54" t="str" cm="1">
        <f t="array" ref="C579">IFERROR(_xlfn.LET(
_xlpm.CSVVal,_xlfn.XLOOKUP($A579,CSV!$A:$A,CSV!B:B,""),
_xlpm.MacVal,_xlfn.XLOOKUP($A579,Output_Mac!$A:$A,Output_Mac!B:B,""),
_xlpm.MyAuditVal,_xlfn.XLOOKUP($A579,My_Audit!$A:$A,My_Audit!B:B,""),
_xlfn.IFS(_xlpm.MyAuditVal&lt;&gt;"",UPPER(_xlpm.MyAuditVal),_xlpm.MacVal&lt;&gt;"",_xlpm.MacVal,_xlpm.CSVVal&lt;&gt;"",_xlpm.CSVVal
)),"")</f>
        <v/>
      </c>
      <c r="D579" s="55" t="str">
        <f>_xlfn.XLOOKUP(A579,My_Audit!A:A,My_Audit!D:D,"")&amp;""</f>
        <v/>
      </c>
      <c r="E579" s="55" t="str" cm="1">
        <f t="array" ref="E579">IFERROR(_xlfn.LET(
_xlpm.CSVVal,_xlfn.XLOOKUP($A579,CSV!$A:$A,CSV!D:D,""),
_xlpm.MacVal,_xlfn.XLOOKUP($A579,Output_Mac!$A:$A,Output_Mac!C:C,""),
_xlpm.MyAuditVal,_xlfn.XLOOKUP($A579,My_Audit!$A:$A,My_Audit!D:D,""),
_xlfn.IFS(_xlpm.MyAuditVal&lt;&gt;"",_xlpm.MyAuditVal,_xlpm.MacVal&lt;&gt;"",_xlpm.MacVal,_xlpm.CSVVal&lt;&gt;"",_xlpm.CSVVal
)),"")</f>
        <v/>
      </c>
      <c r="F579" s="54" t="str" cm="1">
        <f t="array" ref="F579">IFERROR(_xlfn.LET(
_xlpm.CSVVal,_xlfn.XLOOKUP($A579,CSV!$A:$A,CSV!E:E,""),
_xlpm.MacVal,_xlfn.XLOOKUP($A579,Output_Mac!$A:$A,Output_Mac!F:F,""),
_xlpm.MyAuditVal,_xlfn.XLOOKUP($A579,My_Audit!$A:$A,My_Audit!E:E,""),
_xlfn.IFS(_xlpm.MyAuditVal&lt;&gt;"",_xlpm.MyAuditVal,_xlpm.MacVal&lt;&gt;"",_xlpm.MacVal,_xlpm.CSVVal&lt;&gt;"",PROPER(_xlpm.CSVVal)
)),"")</f>
        <v/>
      </c>
      <c r="G579" s="54" t="str" cm="1">
        <f t="array" ref="G579">IFERROR(_xlfn.LET(
_xlpm.CSVVal,_xlfn.XLOOKUP($A579,CSV!$A:$A,CSV!F:F,""),
_xlpm.MacVal,_xlfn.XLOOKUP($A579,Output_Mac!$A:$A,Output_Mac!H:H,""),
_xlpm.MyAuditVal,_xlfn.XLOOKUP($A579,My_Audit!$A:$A,My_Audit!F:F,""),
_xlfn.IFS(_xlpm.MyAuditVal&lt;&gt;"",_xlpm.MyAuditVal,_xlpm.MacVal&lt;&gt;"",_xlpm.MacVal,_xlpm.CSVVal&lt;&gt;"",_xlpm.CSVVal
)),"")</f>
        <v/>
      </c>
      <c r="H579" s="54" t="str">
        <f>_xlfn.XLOOKUP(A579,Output_Mac!A:A,Output_Mac!I:I,"")</f>
        <v/>
      </c>
      <c r="I579" s="54" t="str" cm="1">
        <f t="array" ref="I579">IFERROR(_xlfn.LET(
_xlpm.CSVVal,_xlfn.XLOOKUP($A579,CSV!$A:$A,CSV!G:G,""),
_xlpm.MacVal,_xlfn.XLOOKUP($A579,Output_Mac!$A:$A,Output_Mac!J:J,""),
_xlpm.MyAuditVal,_xlfn.XLOOKUP($A579,My_Audit!$A:$A,My_Audit!H:H,""),
_xlfn.IFS(_xlpm.MyAuditVal&lt;&gt;"",UPPER(_xlpm.MyAuditVal),_xlpm.MacVal&lt;&gt;"",_xlpm.MacVal,_xlpm.CSVVal&lt;&gt;"",_xlpm.CSVVal
)),"")</f>
        <v/>
      </c>
      <c r="J579" s="54" t="str" cm="1">
        <f t="array" ref="J579">IFERROR(_xlfn.LET(
_xlpm.CSVVal,_xlfn.XLOOKUP($A579,CSV!$A:$A,CSV!I:I,""),
_xlpm.MacVal,_xlfn.XLOOKUP($A579,Output_Mac!$A:$A,Output_Mac!K:K,""),
_xlpm.MyAuditVal,_xlfn.XLOOKUP($A579,My_Audit!$A:$A,My_Audit!I:I,""),
_xlfn.IFS(_xlpm.MyAuditVal&lt;&gt;"",UPPER(_xlpm.MyAuditVal),_xlpm.MacVal&lt;&gt;"",_xlpm.MacVal,_xlpm.CSVVal&lt;&gt;"",_xlpm.CSVVal
)),"")</f>
        <v/>
      </c>
      <c r="K579" s="54" t="str" cm="1">
        <f t="array" ref="K579">IFERROR(_xlfn.LET(
_xlpm.CSVVal,_xlfn.XLOOKUP($A579,CSV!$A:$A,CSV!M:M,""),
_xlpm.MacVal,_xlfn.XLOOKUP($A579,Output_Mac!$A:$A,Output_Mac!L:L,""),
_xlpm.MyAuditVal,_xlfn.XLOOKUP($A579,My_Audit!$A:$A,My_Audit!J:J,""),
_xlfn.IFS(_xlpm.MyAuditVal&lt;&gt;"",UPPER(_xlpm.MyAuditVal),_xlpm.MacVal&lt;&gt;"",_xlpm.MacVal,_xlpm.CSVVal&lt;&gt;"",_xlpm.CSVVal
)),"")</f>
        <v/>
      </c>
      <c r="L579" s="54" t="str" cm="1">
        <f t="array" ref="L579">IFERROR(_xlfn.LET(
_xlpm.CSVVal,_xlfn.XLOOKUP($A579,CSV!$A:$A,CSV!O:O,""),
_xlpm.MacVal,_xlfn.XLOOKUP($A579,Output_Mac!$A:$A,Output_Mac!M:M,""),
_xlpm.MyAuditVal,_xlfn.XLOOKUP($A579,My_Audit!$A:$A,My_Audit!K:K,""),
_xlfn.IFS(_xlpm.MyAuditVal&lt;&gt;"",UPPER(_xlpm.MyAuditVal),_xlpm.MacVal&lt;&gt;"",_xlpm.MacVal,_xlpm.CSVVal&lt;&gt;"",_xlpm.CSVVal
)),"")</f>
        <v/>
      </c>
      <c r="M579" s="54" t="str">
        <f>_xlfn.LET(
    _xlpm.CSVVal, _xlfn.XLOOKUP($A579, CSV!$A:$A, CSV!AD:AD, ""),
    _xlpm.MacVal, _xlfn.XLOOKUP($A579, Output_Mac!$A:$A, Output_Mac!S:S, ""),
    _xlpm.MyAuditVal, _xlfn.XLOOKUP($A579, My_Audit!$A:$A, My_Audit!N:N, ""),
    _xlfn.TEXTJOIN(", ", TRUE, _xlpm.MyAuditVal, _xlpm.MacVal, _xlpm.CSVVal)
)</f>
        <v/>
      </c>
      <c r="N579" s="54" t="str" cm="1">
        <f t="array" ref="N579">IFERROR(_xlfn.LET(
_xlpm.CSVVal,_xlfn.XLOOKUP($A579,CSV!$A:$A,CSV!AF:AF,""),
_xlpm.MacVal,_xlfn.XLOOKUP($A579,Output_Mac!$A:$A,Output_Mac!U:U,""),
_xlpm.MyAuditVal,_xlfn.XLOOKUP($A579,My_Audit!$A:$A,My_Audit!O:O,""),
_xlfn.IFS(_xlpm.MyAuditVal&lt;&gt;"",UPPER(_xlpm.MyAuditVal),_xlpm.MacVal&lt;&gt;"",_xlpm.MacVal,_xlpm.CSVVal&lt;&gt;"",_xlpm.CSVVal
)),"")</f>
        <v/>
      </c>
      <c r="O579" s="54"/>
      <c r="P579" s="54"/>
      <c r="Q579" s="54"/>
      <c r="R579" s="54"/>
      <c r="S579" s="54"/>
      <c r="T579" s="54"/>
      <c r="U579" s="39"/>
    </row>
    <row r="580" spans="1:21">
      <c r="A580" s="54" t="str">
        <f>_xlfn.TEXTJOIN("",TRUE,Input!$B$2,ROW(My_Audit!A579))</f>
        <v>XX579</v>
      </c>
      <c r="B580" s="54" t="str">
        <f>_xlfn.TEXTJOIN("-",TRUE,"ITD",Input!$A$2,A580)</f>
        <v>ITD-SHRXXX-XX579</v>
      </c>
      <c r="C580" s="54" t="str" cm="1">
        <f t="array" ref="C580">IFERROR(_xlfn.LET(
_xlpm.CSVVal,_xlfn.XLOOKUP($A580,CSV!$A:$A,CSV!B:B,""),
_xlpm.MacVal,_xlfn.XLOOKUP($A580,Output_Mac!$A:$A,Output_Mac!B:B,""),
_xlpm.MyAuditVal,_xlfn.XLOOKUP($A580,My_Audit!$A:$A,My_Audit!B:B,""),
_xlfn.IFS(_xlpm.MyAuditVal&lt;&gt;"",UPPER(_xlpm.MyAuditVal),_xlpm.MacVal&lt;&gt;"",_xlpm.MacVal,_xlpm.CSVVal&lt;&gt;"",_xlpm.CSVVal
)),"")</f>
        <v/>
      </c>
      <c r="D580" s="55" t="str">
        <f>_xlfn.XLOOKUP(A580,My_Audit!A:A,My_Audit!D:D,"")&amp;""</f>
        <v/>
      </c>
      <c r="E580" s="55" t="str" cm="1">
        <f t="array" ref="E580">IFERROR(_xlfn.LET(
_xlpm.CSVVal,_xlfn.XLOOKUP($A580,CSV!$A:$A,CSV!D:D,""),
_xlpm.MacVal,_xlfn.XLOOKUP($A580,Output_Mac!$A:$A,Output_Mac!C:C,""),
_xlpm.MyAuditVal,_xlfn.XLOOKUP($A580,My_Audit!$A:$A,My_Audit!D:D,""),
_xlfn.IFS(_xlpm.MyAuditVal&lt;&gt;"",_xlpm.MyAuditVal,_xlpm.MacVal&lt;&gt;"",_xlpm.MacVal,_xlpm.CSVVal&lt;&gt;"",_xlpm.CSVVal
)),"")</f>
        <v/>
      </c>
      <c r="F580" s="54" t="str" cm="1">
        <f t="array" ref="F580">IFERROR(_xlfn.LET(
_xlpm.CSVVal,_xlfn.XLOOKUP($A580,CSV!$A:$A,CSV!E:E,""),
_xlpm.MacVal,_xlfn.XLOOKUP($A580,Output_Mac!$A:$A,Output_Mac!F:F,""),
_xlpm.MyAuditVal,_xlfn.XLOOKUP($A580,My_Audit!$A:$A,My_Audit!E:E,""),
_xlfn.IFS(_xlpm.MyAuditVal&lt;&gt;"",_xlpm.MyAuditVal,_xlpm.MacVal&lt;&gt;"",_xlpm.MacVal,_xlpm.CSVVal&lt;&gt;"",PROPER(_xlpm.CSVVal)
)),"")</f>
        <v/>
      </c>
      <c r="G580" s="54" t="str" cm="1">
        <f t="array" ref="G580">IFERROR(_xlfn.LET(
_xlpm.CSVVal,_xlfn.XLOOKUP($A580,CSV!$A:$A,CSV!F:F,""),
_xlpm.MacVal,_xlfn.XLOOKUP($A580,Output_Mac!$A:$A,Output_Mac!H:H,""),
_xlpm.MyAuditVal,_xlfn.XLOOKUP($A580,My_Audit!$A:$A,My_Audit!F:F,""),
_xlfn.IFS(_xlpm.MyAuditVal&lt;&gt;"",_xlpm.MyAuditVal,_xlpm.MacVal&lt;&gt;"",_xlpm.MacVal,_xlpm.CSVVal&lt;&gt;"",_xlpm.CSVVal
)),"")</f>
        <v/>
      </c>
      <c r="H580" s="54" t="str">
        <f>_xlfn.XLOOKUP(A580,Output_Mac!A:A,Output_Mac!I:I,"")</f>
        <v/>
      </c>
      <c r="I580" s="54" t="str" cm="1">
        <f t="array" ref="I580">IFERROR(_xlfn.LET(
_xlpm.CSVVal,_xlfn.XLOOKUP($A580,CSV!$A:$A,CSV!G:G,""),
_xlpm.MacVal,_xlfn.XLOOKUP($A580,Output_Mac!$A:$A,Output_Mac!J:J,""),
_xlpm.MyAuditVal,_xlfn.XLOOKUP($A580,My_Audit!$A:$A,My_Audit!H:H,""),
_xlfn.IFS(_xlpm.MyAuditVal&lt;&gt;"",UPPER(_xlpm.MyAuditVal),_xlpm.MacVal&lt;&gt;"",_xlpm.MacVal,_xlpm.CSVVal&lt;&gt;"",_xlpm.CSVVal
)),"")</f>
        <v/>
      </c>
      <c r="J580" s="54" t="str" cm="1">
        <f t="array" ref="J580">IFERROR(_xlfn.LET(
_xlpm.CSVVal,_xlfn.XLOOKUP($A580,CSV!$A:$A,CSV!I:I,""),
_xlpm.MacVal,_xlfn.XLOOKUP($A580,Output_Mac!$A:$A,Output_Mac!K:K,""),
_xlpm.MyAuditVal,_xlfn.XLOOKUP($A580,My_Audit!$A:$A,My_Audit!I:I,""),
_xlfn.IFS(_xlpm.MyAuditVal&lt;&gt;"",UPPER(_xlpm.MyAuditVal),_xlpm.MacVal&lt;&gt;"",_xlpm.MacVal,_xlpm.CSVVal&lt;&gt;"",_xlpm.CSVVal
)),"")</f>
        <v/>
      </c>
      <c r="K580" s="54" t="str" cm="1">
        <f t="array" ref="K580">IFERROR(_xlfn.LET(
_xlpm.CSVVal,_xlfn.XLOOKUP($A580,CSV!$A:$A,CSV!M:M,""),
_xlpm.MacVal,_xlfn.XLOOKUP($A580,Output_Mac!$A:$A,Output_Mac!L:L,""),
_xlpm.MyAuditVal,_xlfn.XLOOKUP($A580,My_Audit!$A:$A,My_Audit!J:J,""),
_xlfn.IFS(_xlpm.MyAuditVal&lt;&gt;"",UPPER(_xlpm.MyAuditVal),_xlpm.MacVal&lt;&gt;"",_xlpm.MacVal,_xlpm.CSVVal&lt;&gt;"",_xlpm.CSVVal
)),"")</f>
        <v/>
      </c>
      <c r="L580" s="54" t="str" cm="1">
        <f t="array" ref="L580">IFERROR(_xlfn.LET(
_xlpm.CSVVal,_xlfn.XLOOKUP($A580,CSV!$A:$A,CSV!O:O,""),
_xlpm.MacVal,_xlfn.XLOOKUP($A580,Output_Mac!$A:$A,Output_Mac!M:M,""),
_xlpm.MyAuditVal,_xlfn.XLOOKUP($A580,My_Audit!$A:$A,My_Audit!K:K,""),
_xlfn.IFS(_xlpm.MyAuditVal&lt;&gt;"",UPPER(_xlpm.MyAuditVal),_xlpm.MacVal&lt;&gt;"",_xlpm.MacVal,_xlpm.CSVVal&lt;&gt;"",_xlpm.CSVVal
)),"")</f>
        <v/>
      </c>
      <c r="M580" s="54" t="str">
        <f>_xlfn.LET(
    _xlpm.CSVVal, _xlfn.XLOOKUP($A580, CSV!$A:$A, CSV!AD:AD, ""),
    _xlpm.MacVal, _xlfn.XLOOKUP($A580, Output_Mac!$A:$A, Output_Mac!S:S, ""),
    _xlpm.MyAuditVal, _xlfn.XLOOKUP($A580, My_Audit!$A:$A, My_Audit!N:N, ""),
    _xlfn.TEXTJOIN(", ", TRUE, _xlpm.MyAuditVal, _xlpm.MacVal, _xlpm.CSVVal)
)</f>
        <v/>
      </c>
      <c r="N580" s="54" t="str" cm="1">
        <f t="array" ref="N580">IFERROR(_xlfn.LET(
_xlpm.CSVVal,_xlfn.XLOOKUP($A580,CSV!$A:$A,CSV!AF:AF,""),
_xlpm.MacVal,_xlfn.XLOOKUP($A580,Output_Mac!$A:$A,Output_Mac!U:U,""),
_xlpm.MyAuditVal,_xlfn.XLOOKUP($A580,My_Audit!$A:$A,My_Audit!O:O,""),
_xlfn.IFS(_xlpm.MyAuditVal&lt;&gt;"",UPPER(_xlpm.MyAuditVal),_xlpm.MacVal&lt;&gt;"",_xlpm.MacVal,_xlpm.CSVVal&lt;&gt;"",_xlpm.CSVVal
)),"")</f>
        <v/>
      </c>
      <c r="O580" s="54"/>
      <c r="P580" s="54"/>
      <c r="Q580" s="54"/>
      <c r="R580" s="54"/>
      <c r="S580" s="54"/>
      <c r="T580" s="54"/>
      <c r="U580" s="39"/>
    </row>
    <row r="581" spans="1:21">
      <c r="A581" s="54" t="str">
        <f>_xlfn.TEXTJOIN("",TRUE,Input!$B$2,ROW(My_Audit!A580))</f>
        <v>XX580</v>
      </c>
      <c r="B581" s="54" t="str">
        <f>_xlfn.TEXTJOIN("-",TRUE,"ITD",Input!$A$2,A581)</f>
        <v>ITD-SHRXXX-XX580</v>
      </c>
      <c r="C581" s="54" t="str" cm="1">
        <f t="array" ref="C581">IFERROR(_xlfn.LET(
_xlpm.CSVVal,_xlfn.XLOOKUP($A581,CSV!$A:$A,CSV!B:B,""),
_xlpm.MacVal,_xlfn.XLOOKUP($A581,Output_Mac!$A:$A,Output_Mac!B:B,""),
_xlpm.MyAuditVal,_xlfn.XLOOKUP($A581,My_Audit!$A:$A,My_Audit!B:B,""),
_xlfn.IFS(_xlpm.MyAuditVal&lt;&gt;"",UPPER(_xlpm.MyAuditVal),_xlpm.MacVal&lt;&gt;"",_xlpm.MacVal,_xlpm.CSVVal&lt;&gt;"",_xlpm.CSVVal
)),"")</f>
        <v/>
      </c>
      <c r="D581" s="55" t="str">
        <f>_xlfn.XLOOKUP(A581,My_Audit!A:A,My_Audit!D:D,"")&amp;""</f>
        <v/>
      </c>
      <c r="E581" s="55" t="str" cm="1">
        <f t="array" ref="E581">IFERROR(_xlfn.LET(
_xlpm.CSVVal,_xlfn.XLOOKUP($A581,CSV!$A:$A,CSV!D:D,""),
_xlpm.MacVal,_xlfn.XLOOKUP($A581,Output_Mac!$A:$A,Output_Mac!C:C,""),
_xlpm.MyAuditVal,_xlfn.XLOOKUP($A581,My_Audit!$A:$A,My_Audit!D:D,""),
_xlfn.IFS(_xlpm.MyAuditVal&lt;&gt;"",_xlpm.MyAuditVal,_xlpm.MacVal&lt;&gt;"",_xlpm.MacVal,_xlpm.CSVVal&lt;&gt;"",_xlpm.CSVVal
)),"")</f>
        <v/>
      </c>
      <c r="F581" s="54" t="str" cm="1">
        <f t="array" ref="F581">IFERROR(_xlfn.LET(
_xlpm.CSVVal,_xlfn.XLOOKUP($A581,CSV!$A:$A,CSV!E:E,""),
_xlpm.MacVal,_xlfn.XLOOKUP($A581,Output_Mac!$A:$A,Output_Mac!F:F,""),
_xlpm.MyAuditVal,_xlfn.XLOOKUP($A581,My_Audit!$A:$A,My_Audit!E:E,""),
_xlfn.IFS(_xlpm.MyAuditVal&lt;&gt;"",_xlpm.MyAuditVal,_xlpm.MacVal&lt;&gt;"",_xlpm.MacVal,_xlpm.CSVVal&lt;&gt;"",PROPER(_xlpm.CSVVal)
)),"")</f>
        <v/>
      </c>
      <c r="G581" s="54" t="str" cm="1">
        <f t="array" ref="G581">IFERROR(_xlfn.LET(
_xlpm.CSVVal,_xlfn.XLOOKUP($A581,CSV!$A:$A,CSV!F:F,""),
_xlpm.MacVal,_xlfn.XLOOKUP($A581,Output_Mac!$A:$A,Output_Mac!H:H,""),
_xlpm.MyAuditVal,_xlfn.XLOOKUP($A581,My_Audit!$A:$A,My_Audit!F:F,""),
_xlfn.IFS(_xlpm.MyAuditVal&lt;&gt;"",_xlpm.MyAuditVal,_xlpm.MacVal&lt;&gt;"",_xlpm.MacVal,_xlpm.CSVVal&lt;&gt;"",_xlpm.CSVVal
)),"")</f>
        <v/>
      </c>
      <c r="H581" s="54" t="str">
        <f>_xlfn.XLOOKUP(A581,Output_Mac!A:A,Output_Mac!I:I,"")</f>
        <v/>
      </c>
      <c r="I581" s="54" t="str" cm="1">
        <f t="array" ref="I581">IFERROR(_xlfn.LET(
_xlpm.CSVVal,_xlfn.XLOOKUP($A581,CSV!$A:$A,CSV!G:G,""),
_xlpm.MacVal,_xlfn.XLOOKUP($A581,Output_Mac!$A:$A,Output_Mac!J:J,""),
_xlpm.MyAuditVal,_xlfn.XLOOKUP($A581,My_Audit!$A:$A,My_Audit!H:H,""),
_xlfn.IFS(_xlpm.MyAuditVal&lt;&gt;"",UPPER(_xlpm.MyAuditVal),_xlpm.MacVal&lt;&gt;"",_xlpm.MacVal,_xlpm.CSVVal&lt;&gt;"",_xlpm.CSVVal
)),"")</f>
        <v/>
      </c>
      <c r="J581" s="54" t="str" cm="1">
        <f t="array" ref="J581">IFERROR(_xlfn.LET(
_xlpm.CSVVal,_xlfn.XLOOKUP($A581,CSV!$A:$A,CSV!I:I,""),
_xlpm.MacVal,_xlfn.XLOOKUP($A581,Output_Mac!$A:$A,Output_Mac!K:K,""),
_xlpm.MyAuditVal,_xlfn.XLOOKUP($A581,My_Audit!$A:$A,My_Audit!I:I,""),
_xlfn.IFS(_xlpm.MyAuditVal&lt;&gt;"",UPPER(_xlpm.MyAuditVal),_xlpm.MacVal&lt;&gt;"",_xlpm.MacVal,_xlpm.CSVVal&lt;&gt;"",_xlpm.CSVVal
)),"")</f>
        <v/>
      </c>
      <c r="K581" s="54" t="str" cm="1">
        <f t="array" ref="K581">IFERROR(_xlfn.LET(
_xlpm.CSVVal,_xlfn.XLOOKUP($A581,CSV!$A:$A,CSV!M:M,""),
_xlpm.MacVal,_xlfn.XLOOKUP($A581,Output_Mac!$A:$A,Output_Mac!L:L,""),
_xlpm.MyAuditVal,_xlfn.XLOOKUP($A581,My_Audit!$A:$A,My_Audit!J:J,""),
_xlfn.IFS(_xlpm.MyAuditVal&lt;&gt;"",UPPER(_xlpm.MyAuditVal),_xlpm.MacVal&lt;&gt;"",_xlpm.MacVal,_xlpm.CSVVal&lt;&gt;"",_xlpm.CSVVal
)),"")</f>
        <v/>
      </c>
      <c r="L581" s="54" t="str" cm="1">
        <f t="array" ref="L581">IFERROR(_xlfn.LET(
_xlpm.CSVVal,_xlfn.XLOOKUP($A581,CSV!$A:$A,CSV!O:O,""),
_xlpm.MacVal,_xlfn.XLOOKUP($A581,Output_Mac!$A:$A,Output_Mac!M:M,""),
_xlpm.MyAuditVal,_xlfn.XLOOKUP($A581,My_Audit!$A:$A,My_Audit!K:K,""),
_xlfn.IFS(_xlpm.MyAuditVal&lt;&gt;"",UPPER(_xlpm.MyAuditVal),_xlpm.MacVal&lt;&gt;"",_xlpm.MacVal,_xlpm.CSVVal&lt;&gt;"",_xlpm.CSVVal
)),"")</f>
        <v/>
      </c>
      <c r="M581" s="54" t="str">
        <f>_xlfn.LET(
    _xlpm.CSVVal, _xlfn.XLOOKUP($A581, CSV!$A:$A, CSV!AD:AD, ""),
    _xlpm.MacVal, _xlfn.XLOOKUP($A581, Output_Mac!$A:$A, Output_Mac!S:S, ""),
    _xlpm.MyAuditVal, _xlfn.XLOOKUP($A581, My_Audit!$A:$A, My_Audit!N:N, ""),
    _xlfn.TEXTJOIN(", ", TRUE, _xlpm.MyAuditVal, _xlpm.MacVal, _xlpm.CSVVal)
)</f>
        <v/>
      </c>
      <c r="N581" s="54" t="str" cm="1">
        <f t="array" ref="N581">IFERROR(_xlfn.LET(
_xlpm.CSVVal,_xlfn.XLOOKUP($A581,CSV!$A:$A,CSV!AF:AF,""),
_xlpm.MacVal,_xlfn.XLOOKUP($A581,Output_Mac!$A:$A,Output_Mac!U:U,""),
_xlpm.MyAuditVal,_xlfn.XLOOKUP($A581,My_Audit!$A:$A,My_Audit!O:O,""),
_xlfn.IFS(_xlpm.MyAuditVal&lt;&gt;"",UPPER(_xlpm.MyAuditVal),_xlpm.MacVal&lt;&gt;"",_xlpm.MacVal,_xlpm.CSVVal&lt;&gt;"",_xlpm.CSVVal
)),"")</f>
        <v/>
      </c>
      <c r="O581" s="54"/>
      <c r="P581" s="54"/>
      <c r="Q581" s="54"/>
      <c r="R581" s="54"/>
      <c r="S581" s="54"/>
      <c r="T581" s="54"/>
      <c r="U581" s="39"/>
    </row>
    <row r="582" spans="1:21">
      <c r="A582" s="54" t="str">
        <f>_xlfn.TEXTJOIN("",TRUE,Input!$B$2,ROW(My_Audit!A581))</f>
        <v>XX581</v>
      </c>
      <c r="B582" s="54" t="str">
        <f>_xlfn.TEXTJOIN("-",TRUE,"ITD",Input!$A$2,A582)</f>
        <v>ITD-SHRXXX-XX581</v>
      </c>
      <c r="C582" s="54" t="str" cm="1">
        <f t="array" ref="C582">IFERROR(_xlfn.LET(
_xlpm.CSVVal,_xlfn.XLOOKUP($A582,CSV!$A:$A,CSV!B:B,""),
_xlpm.MacVal,_xlfn.XLOOKUP($A582,Output_Mac!$A:$A,Output_Mac!B:B,""),
_xlpm.MyAuditVal,_xlfn.XLOOKUP($A582,My_Audit!$A:$A,My_Audit!B:B,""),
_xlfn.IFS(_xlpm.MyAuditVal&lt;&gt;"",UPPER(_xlpm.MyAuditVal),_xlpm.MacVal&lt;&gt;"",_xlpm.MacVal,_xlpm.CSVVal&lt;&gt;"",_xlpm.CSVVal
)),"")</f>
        <v/>
      </c>
      <c r="D582" s="55" t="str">
        <f>_xlfn.XLOOKUP(A582,My_Audit!A:A,My_Audit!D:D,"")&amp;""</f>
        <v/>
      </c>
      <c r="E582" s="55" t="str" cm="1">
        <f t="array" ref="E582">IFERROR(_xlfn.LET(
_xlpm.CSVVal,_xlfn.XLOOKUP($A582,CSV!$A:$A,CSV!D:D,""),
_xlpm.MacVal,_xlfn.XLOOKUP($A582,Output_Mac!$A:$A,Output_Mac!C:C,""),
_xlpm.MyAuditVal,_xlfn.XLOOKUP($A582,My_Audit!$A:$A,My_Audit!D:D,""),
_xlfn.IFS(_xlpm.MyAuditVal&lt;&gt;"",_xlpm.MyAuditVal,_xlpm.MacVal&lt;&gt;"",_xlpm.MacVal,_xlpm.CSVVal&lt;&gt;"",_xlpm.CSVVal
)),"")</f>
        <v/>
      </c>
      <c r="F582" s="54" t="str" cm="1">
        <f t="array" ref="F582">IFERROR(_xlfn.LET(
_xlpm.CSVVal,_xlfn.XLOOKUP($A582,CSV!$A:$A,CSV!E:E,""),
_xlpm.MacVal,_xlfn.XLOOKUP($A582,Output_Mac!$A:$A,Output_Mac!F:F,""),
_xlpm.MyAuditVal,_xlfn.XLOOKUP($A582,My_Audit!$A:$A,My_Audit!E:E,""),
_xlfn.IFS(_xlpm.MyAuditVal&lt;&gt;"",_xlpm.MyAuditVal,_xlpm.MacVal&lt;&gt;"",_xlpm.MacVal,_xlpm.CSVVal&lt;&gt;"",PROPER(_xlpm.CSVVal)
)),"")</f>
        <v/>
      </c>
      <c r="G582" s="54" t="str" cm="1">
        <f t="array" ref="G582">IFERROR(_xlfn.LET(
_xlpm.CSVVal,_xlfn.XLOOKUP($A582,CSV!$A:$A,CSV!F:F,""),
_xlpm.MacVal,_xlfn.XLOOKUP($A582,Output_Mac!$A:$A,Output_Mac!H:H,""),
_xlpm.MyAuditVal,_xlfn.XLOOKUP($A582,My_Audit!$A:$A,My_Audit!F:F,""),
_xlfn.IFS(_xlpm.MyAuditVal&lt;&gt;"",_xlpm.MyAuditVal,_xlpm.MacVal&lt;&gt;"",_xlpm.MacVal,_xlpm.CSVVal&lt;&gt;"",_xlpm.CSVVal
)),"")</f>
        <v/>
      </c>
      <c r="H582" s="54" t="str">
        <f>_xlfn.XLOOKUP(A582,Output_Mac!A:A,Output_Mac!I:I,"")</f>
        <v/>
      </c>
      <c r="I582" s="54" t="str" cm="1">
        <f t="array" ref="I582">IFERROR(_xlfn.LET(
_xlpm.CSVVal,_xlfn.XLOOKUP($A582,CSV!$A:$A,CSV!G:G,""),
_xlpm.MacVal,_xlfn.XLOOKUP($A582,Output_Mac!$A:$A,Output_Mac!J:J,""),
_xlpm.MyAuditVal,_xlfn.XLOOKUP($A582,My_Audit!$A:$A,My_Audit!H:H,""),
_xlfn.IFS(_xlpm.MyAuditVal&lt;&gt;"",UPPER(_xlpm.MyAuditVal),_xlpm.MacVal&lt;&gt;"",_xlpm.MacVal,_xlpm.CSVVal&lt;&gt;"",_xlpm.CSVVal
)),"")</f>
        <v/>
      </c>
      <c r="J582" s="54" t="str" cm="1">
        <f t="array" ref="J582">IFERROR(_xlfn.LET(
_xlpm.CSVVal,_xlfn.XLOOKUP($A582,CSV!$A:$A,CSV!I:I,""),
_xlpm.MacVal,_xlfn.XLOOKUP($A582,Output_Mac!$A:$A,Output_Mac!K:K,""),
_xlpm.MyAuditVal,_xlfn.XLOOKUP($A582,My_Audit!$A:$A,My_Audit!I:I,""),
_xlfn.IFS(_xlpm.MyAuditVal&lt;&gt;"",UPPER(_xlpm.MyAuditVal),_xlpm.MacVal&lt;&gt;"",_xlpm.MacVal,_xlpm.CSVVal&lt;&gt;"",_xlpm.CSVVal
)),"")</f>
        <v/>
      </c>
      <c r="K582" s="54" t="str" cm="1">
        <f t="array" ref="K582">IFERROR(_xlfn.LET(
_xlpm.CSVVal,_xlfn.XLOOKUP($A582,CSV!$A:$A,CSV!M:M,""),
_xlpm.MacVal,_xlfn.XLOOKUP($A582,Output_Mac!$A:$A,Output_Mac!L:L,""),
_xlpm.MyAuditVal,_xlfn.XLOOKUP($A582,My_Audit!$A:$A,My_Audit!J:J,""),
_xlfn.IFS(_xlpm.MyAuditVal&lt;&gt;"",UPPER(_xlpm.MyAuditVal),_xlpm.MacVal&lt;&gt;"",_xlpm.MacVal,_xlpm.CSVVal&lt;&gt;"",_xlpm.CSVVal
)),"")</f>
        <v/>
      </c>
      <c r="L582" s="54" t="str" cm="1">
        <f t="array" ref="L582">IFERROR(_xlfn.LET(
_xlpm.CSVVal,_xlfn.XLOOKUP($A582,CSV!$A:$A,CSV!O:O,""),
_xlpm.MacVal,_xlfn.XLOOKUP($A582,Output_Mac!$A:$A,Output_Mac!M:M,""),
_xlpm.MyAuditVal,_xlfn.XLOOKUP($A582,My_Audit!$A:$A,My_Audit!K:K,""),
_xlfn.IFS(_xlpm.MyAuditVal&lt;&gt;"",UPPER(_xlpm.MyAuditVal),_xlpm.MacVal&lt;&gt;"",_xlpm.MacVal,_xlpm.CSVVal&lt;&gt;"",_xlpm.CSVVal
)),"")</f>
        <v/>
      </c>
      <c r="M582" s="54" t="str">
        <f>_xlfn.LET(
    _xlpm.CSVVal, _xlfn.XLOOKUP($A582, CSV!$A:$A, CSV!AD:AD, ""),
    _xlpm.MacVal, _xlfn.XLOOKUP($A582, Output_Mac!$A:$A, Output_Mac!S:S, ""),
    _xlpm.MyAuditVal, _xlfn.XLOOKUP($A582, My_Audit!$A:$A, My_Audit!N:N, ""),
    _xlfn.TEXTJOIN(", ", TRUE, _xlpm.MyAuditVal, _xlpm.MacVal, _xlpm.CSVVal)
)</f>
        <v/>
      </c>
      <c r="N582" s="54" t="str" cm="1">
        <f t="array" ref="N582">IFERROR(_xlfn.LET(
_xlpm.CSVVal,_xlfn.XLOOKUP($A582,CSV!$A:$A,CSV!AF:AF,""),
_xlpm.MacVal,_xlfn.XLOOKUP($A582,Output_Mac!$A:$A,Output_Mac!U:U,""),
_xlpm.MyAuditVal,_xlfn.XLOOKUP($A582,My_Audit!$A:$A,My_Audit!O:O,""),
_xlfn.IFS(_xlpm.MyAuditVal&lt;&gt;"",UPPER(_xlpm.MyAuditVal),_xlpm.MacVal&lt;&gt;"",_xlpm.MacVal,_xlpm.CSVVal&lt;&gt;"",_xlpm.CSVVal
)),"")</f>
        <v/>
      </c>
      <c r="O582" s="54"/>
      <c r="P582" s="54"/>
      <c r="Q582" s="54"/>
      <c r="R582" s="54"/>
      <c r="S582" s="54"/>
      <c r="T582" s="54"/>
      <c r="U582" s="39"/>
    </row>
    <row r="583" spans="1:21">
      <c r="A583" s="54" t="str">
        <f>_xlfn.TEXTJOIN("",TRUE,Input!$B$2,ROW(My_Audit!A582))</f>
        <v>XX582</v>
      </c>
      <c r="B583" s="54" t="str">
        <f>_xlfn.TEXTJOIN("-",TRUE,"ITD",Input!$A$2,A583)</f>
        <v>ITD-SHRXXX-XX582</v>
      </c>
      <c r="C583" s="54" t="str" cm="1">
        <f t="array" ref="C583">IFERROR(_xlfn.LET(
_xlpm.CSVVal,_xlfn.XLOOKUP($A583,CSV!$A:$A,CSV!B:B,""),
_xlpm.MacVal,_xlfn.XLOOKUP($A583,Output_Mac!$A:$A,Output_Mac!B:B,""),
_xlpm.MyAuditVal,_xlfn.XLOOKUP($A583,My_Audit!$A:$A,My_Audit!B:B,""),
_xlfn.IFS(_xlpm.MyAuditVal&lt;&gt;"",UPPER(_xlpm.MyAuditVal),_xlpm.MacVal&lt;&gt;"",_xlpm.MacVal,_xlpm.CSVVal&lt;&gt;"",_xlpm.CSVVal
)),"")</f>
        <v/>
      </c>
      <c r="D583" s="55" t="str">
        <f>_xlfn.XLOOKUP(A583,My_Audit!A:A,My_Audit!D:D,"")&amp;""</f>
        <v/>
      </c>
      <c r="E583" s="55" t="str" cm="1">
        <f t="array" ref="E583">IFERROR(_xlfn.LET(
_xlpm.CSVVal,_xlfn.XLOOKUP($A583,CSV!$A:$A,CSV!D:D,""),
_xlpm.MacVal,_xlfn.XLOOKUP($A583,Output_Mac!$A:$A,Output_Mac!C:C,""),
_xlpm.MyAuditVal,_xlfn.XLOOKUP($A583,My_Audit!$A:$A,My_Audit!D:D,""),
_xlfn.IFS(_xlpm.MyAuditVal&lt;&gt;"",_xlpm.MyAuditVal,_xlpm.MacVal&lt;&gt;"",_xlpm.MacVal,_xlpm.CSVVal&lt;&gt;"",_xlpm.CSVVal
)),"")</f>
        <v/>
      </c>
      <c r="F583" s="54" t="str" cm="1">
        <f t="array" ref="F583">IFERROR(_xlfn.LET(
_xlpm.CSVVal,_xlfn.XLOOKUP($A583,CSV!$A:$A,CSV!E:E,""),
_xlpm.MacVal,_xlfn.XLOOKUP($A583,Output_Mac!$A:$A,Output_Mac!F:F,""),
_xlpm.MyAuditVal,_xlfn.XLOOKUP($A583,My_Audit!$A:$A,My_Audit!E:E,""),
_xlfn.IFS(_xlpm.MyAuditVal&lt;&gt;"",_xlpm.MyAuditVal,_xlpm.MacVal&lt;&gt;"",_xlpm.MacVal,_xlpm.CSVVal&lt;&gt;"",PROPER(_xlpm.CSVVal)
)),"")</f>
        <v/>
      </c>
      <c r="G583" s="54" t="str" cm="1">
        <f t="array" ref="G583">IFERROR(_xlfn.LET(
_xlpm.CSVVal,_xlfn.XLOOKUP($A583,CSV!$A:$A,CSV!F:F,""),
_xlpm.MacVal,_xlfn.XLOOKUP($A583,Output_Mac!$A:$A,Output_Mac!H:H,""),
_xlpm.MyAuditVal,_xlfn.XLOOKUP($A583,My_Audit!$A:$A,My_Audit!F:F,""),
_xlfn.IFS(_xlpm.MyAuditVal&lt;&gt;"",_xlpm.MyAuditVal,_xlpm.MacVal&lt;&gt;"",_xlpm.MacVal,_xlpm.CSVVal&lt;&gt;"",_xlpm.CSVVal
)),"")</f>
        <v/>
      </c>
      <c r="H583" s="54" t="str">
        <f>_xlfn.XLOOKUP(A583,Output_Mac!A:A,Output_Mac!I:I,"")</f>
        <v/>
      </c>
      <c r="I583" s="54" t="str" cm="1">
        <f t="array" ref="I583">IFERROR(_xlfn.LET(
_xlpm.CSVVal,_xlfn.XLOOKUP($A583,CSV!$A:$A,CSV!G:G,""),
_xlpm.MacVal,_xlfn.XLOOKUP($A583,Output_Mac!$A:$A,Output_Mac!J:J,""),
_xlpm.MyAuditVal,_xlfn.XLOOKUP($A583,My_Audit!$A:$A,My_Audit!H:H,""),
_xlfn.IFS(_xlpm.MyAuditVal&lt;&gt;"",UPPER(_xlpm.MyAuditVal),_xlpm.MacVal&lt;&gt;"",_xlpm.MacVal,_xlpm.CSVVal&lt;&gt;"",_xlpm.CSVVal
)),"")</f>
        <v/>
      </c>
      <c r="J583" s="54" t="str" cm="1">
        <f t="array" ref="J583">IFERROR(_xlfn.LET(
_xlpm.CSVVal,_xlfn.XLOOKUP($A583,CSV!$A:$A,CSV!I:I,""),
_xlpm.MacVal,_xlfn.XLOOKUP($A583,Output_Mac!$A:$A,Output_Mac!K:K,""),
_xlpm.MyAuditVal,_xlfn.XLOOKUP($A583,My_Audit!$A:$A,My_Audit!I:I,""),
_xlfn.IFS(_xlpm.MyAuditVal&lt;&gt;"",UPPER(_xlpm.MyAuditVal),_xlpm.MacVal&lt;&gt;"",_xlpm.MacVal,_xlpm.CSVVal&lt;&gt;"",_xlpm.CSVVal
)),"")</f>
        <v/>
      </c>
      <c r="K583" s="54" t="str" cm="1">
        <f t="array" ref="K583">IFERROR(_xlfn.LET(
_xlpm.CSVVal,_xlfn.XLOOKUP($A583,CSV!$A:$A,CSV!M:M,""),
_xlpm.MacVal,_xlfn.XLOOKUP($A583,Output_Mac!$A:$A,Output_Mac!L:L,""),
_xlpm.MyAuditVal,_xlfn.XLOOKUP($A583,My_Audit!$A:$A,My_Audit!J:J,""),
_xlfn.IFS(_xlpm.MyAuditVal&lt;&gt;"",UPPER(_xlpm.MyAuditVal),_xlpm.MacVal&lt;&gt;"",_xlpm.MacVal,_xlpm.CSVVal&lt;&gt;"",_xlpm.CSVVal
)),"")</f>
        <v/>
      </c>
      <c r="L583" s="54" t="str" cm="1">
        <f t="array" ref="L583">IFERROR(_xlfn.LET(
_xlpm.CSVVal,_xlfn.XLOOKUP($A583,CSV!$A:$A,CSV!O:O,""),
_xlpm.MacVal,_xlfn.XLOOKUP($A583,Output_Mac!$A:$A,Output_Mac!M:M,""),
_xlpm.MyAuditVal,_xlfn.XLOOKUP($A583,My_Audit!$A:$A,My_Audit!K:K,""),
_xlfn.IFS(_xlpm.MyAuditVal&lt;&gt;"",UPPER(_xlpm.MyAuditVal),_xlpm.MacVal&lt;&gt;"",_xlpm.MacVal,_xlpm.CSVVal&lt;&gt;"",_xlpm.CSVVal
)),"")</f>
        <v/>
      </c>
      <c r="M583" s="54" t="str">
        <f>_xlfn.LET(
    _xlpm.CSVVal, _xlfn.XLOOKUP($A583, CSV!$A:$A, CSV!AD:AD, ""),
    _xlpm.MacVal, _xlfn.XLOOKUP($A583, Output_Mac!$A:$A, Output_Mac!S:S, ""),
    _xlpm.MyAuditVal, _xlfn.XLOOKUP($A583, My_Audit!$A:$A, My_Audit!N:N, ""),
    _xlfn.TEXTJOIN(", ", TRUE, _xlpm.MyAuditVal, _xlpm.MacVal, _xlpm.CSVVal)
)</f>
        <v/>
      </c>
      <c r="N583" s="54" t="str" cm="1">
        <f t="array" ref="N583">IFERROR(_xlfn.LET(
_xlpm.CSVVal,_xlfn.XLOOKUP($A583,CSV!$A:$A,CSV!AF:AF,""),
_xlpm.MacVal,_xlfn.XLOOKUP($A583,Output_Mac!$A:$A,Output_Mac!U:U,""),
_xlpm.MyAuditVal,_xlfn.XLOOKUP($A583,My_Audit!$A:$A,My_Audit!O:O,""),
_xlfn.IFS(_xlpm.MyAuditVal&lt;&gt;"",UPPER(_xlpm.MyAuditVal),_xlpm.MacVal&lt;&gt;"",_xlpm.MacVal,_xlpm.CSVVal&lt;&gt;"",_xlpm.CSVVal
)),"")</f>
        <v/>
      </c>
      <c r="O583" s="54"/>
      <c r="P583" s="54"/>
      <c r="Q583" s="54"/>
      <c r="R583" s="54"/>
      <c r="S583" s="54"/>
      <c r="T583" s="54"/>
      <c r="U583" s="39"/>
    </row>
    <row r="584" spans="1:21">
      <c r="A584" s="54" t="str">
        <f>_xlfn.TEXTJOIN("",TRUE,Input!$B$2,ROW(My_Audit!A583))</f>
        <v>XX583</v>
      </c>
      <c r="B584" s="54" t="str">
        <f>_xlfn.TEXTJOIN("-",TRUE,"ITD",Input!$A$2,A584)</f>
        <v>ITD-SHRXXX-XX583</v>
      </c>
      <c r="C584" s="54" t="str" cm="1">
        <f t="array" ref="C584">IFERROR(_xlfn.LET(
_xlpm.CSVVal,_xlfn.XLOOKUP($A584,CSV!$A:$A,CSV!B:B,""),
_xlpm.MacVal,_xlfn.XLOOKUP($A584,Output_Mac!$A:$A,Output_Mac!B:B,""),
_xlpm.MyAuditVal,_xlfn.XLOOKUP($A584,My_Audit!$A:$A,My_Audit!B:B,""),
_xlfn.IFS(_xlpm.MyAuditVal&lt;&gt;"",UPPER(_xlpm.MyAuditVal),_xlpm.MacVal&lt;&gt;"",_xlpm.MacVal,_xlpm.CSVVal&lt;&gt;"",_xlpm.CSVVal
)),"")</f>
        <v/>
      </c>
      <c r="D584" s="55" t="str">
        <f>_xlfn.XLOOKUP(A584,My_Audit!A:A,My_Audit!D:D,"")&amp;""</f>
        <v/>
      </c>
      <c r="E584" s="55" t="str" cm="1">
        <f t="array" ref="E584">IFERROR(_xlfn.LET(
_xlpm.CSVVal,_xlfn.XLOOKUP($A584,CSV!$A:$A,CSV!D:D,""),
_xlpm.MacVal,_xlfn.XLOOKUP($A584,Output_Mac!$A:$A,Output_Mac!C:C,""),
_xlpm.MyAuditVal,_xlfn.XLOOKUP($A584,My_Audit!$A:$A,My_Audit!D:D,""),
_xlfn.IFS(_xlpm.MyAuditVal&lt;&gt;"",_xlpm.MyAuditVal,_xlpm.MacVal&lt;&gt;"",_xlpm.MacVal,_xlpm.CSVVal&lt;&gt;"",_xlpm.CSVVal
)),"")</f>
        <v/>
      </c>
      <c r="F584" s="54" t="str" cm="1">
        <f t="array" ref="F584">IFERROR(_xlfn.LET(
_xlpm.CSVVal,_xlfn.XLOOKUP($A584,CSV!$A:$A,CSV!E:E,""),
_xlpm.MacVal,_xlfn.XLOOKUP($A584,Output_Mac!$A:$A,Output_Mac!F:F,""),
_xlpm.MyAuditVal,_xlfn.XLOOKUP($A584,My_Audit!$A:$A,My_Audit!E:E,""),
_xlfn.IFS(_xlpm.MyAuditVal&lt;&gt;"",_xlpm.MyAuditVal,_xlpm.MacVal&lt;&gt;"",_xlpm.MacVal,_xlpm.CSVVal&lt;&gt;"",PROPER(_xlpm.CSVVal)
)),"")</f>
        <v/>
      </c>
      <c r="G584" s="54" t="str" cm="1">
        <f t="array" ref="G584">IFERROR(_xlfn.LET(
_xlpm.CSVVal,_xlfn.XLOOKUP($A584,CSV!$A:$A,CSV!F:F,""),
_xlpm.MacVal,_xlfn.XLOOKUP($A584,Output_Mac!$A:$A,Output_Mac!H:H,""),
_xlpm.MyAuditVal,_xlfn.XLOOKUP($A584,My_Audit!$A:$A,My_Audit!F:F,""),
_xlfn.IFS(_xlpm.MyAuditVal&lt;&gt;"",_xlpm.MyAuditVal,_xlpm.MacVal&lt;&gt;"",_xlpm.MacVal,_xlpm.CSVVal&lt;&gt;"",_xlpm.CSVVal
)),"")</f>
        <v/>
      </c>
      <c r="H584" s="54" t="str">
        <f>_xlfn.XLOOKUP(A584,Output_Mac!A:A,Output_Mac!I:I,"")</f>
        <v/>
      </c>
      <c r="I584" s="54" t="str" cm="1">
        <f t="array" ref="I584">IFERROR(_xlfn.LET(
_xlpm.CSVVal,_xlfn.XLOOKUP($A584,CSV!$A:$A,CSV!G:G,""),
_xlpm.MacVal,_xlfn.XLOOKUP($A584,Output_Mac!$A:$A,Output_Mac!J:J,""),
_xlpm.MyAuditVal,_xlfn.XLOOKUP($A584,My_Audit!$A:$A,My_Audit!H:H,""),
_xlfn.IFS(_xlpm.MyAuditVal&lt;&gt;"",UPPER(_xlpm.MyAuditVal),_xlpm.MacVal&lt;&gt;"",_xlpm.MacVal,_xlpm.CSVVal&lt;&gt;"",_xlpm.CSVVal
)),"")</f>
        <v/>
      </c>
      <c r="J584" s="54" t="str" cm="1">
        <f t="array" ref="J584">IFERROR(_xlfn.LET(
_xlpm.CSVVal,_xlfn.XLOOKUP($A584,CSV!$A:$A,CSV!I:I,""),
_xlpm.MacVal,_xlfn.XLOOKUP($A584,Output_Mac!$A:$A,Output_Mac!K:K,""),
_xlpm.MyAuditVal,_xlfn.XLOOKUP($A584,My_Audit!$A:$A,My_Audit!I:I,""),
_xlfn.IFS(_xlpm.MyAuditVal&lt;&gt;"",UPPER(_xlpm.MyAuditVal),_xlpm.MacVal&lt;&gt;"",_xlpm.MacVal,_xlpm.CSVVal&lt;&gt;"",_xlpm.CSVVal
)),"")</f>
        <v/>
      </c>
      <c r="K584" s="54" t="str" cm="1">
        <f t="array" ref="K584">IFERROR(_xlfn.LET(
_xlpm.CSVVal,_xlfn.XLOOKUP($A584,CSV!$A:$A,CSV!M:M,""),
_xlpm.MacVal,_xlfn.XLOOKUP($A584,Output_Mac!$A:$A,Output_Mac!L:L,""),
_xlpm.MyAuditVal,_xlfn.XLOOKUP($A584,My_Audit!$A:$A,My_Audit!J:J,""),
_xlfn.IFS(_xlpm.MyAuditVal&lt;&gt;"",UPPER(_xlpm.MyAuditVal),_xlpm.MacVal&lt;&gt;"",_xlpm.MacVal,_xlpm.CSVVal&lt;&gt;"",_xlpm.CSVVal
)),"")</f>
        <v/>
      </c>
      <c r="L584" s="54" t="str" cm="1">
        <f t="array" ref="L584">IFERROR(_xlfn.LET(
_xlpm.CSVVal,_xlfn.XLOOKUP($A584,CSV!$A:$A,CSV!O:O,""),
_xlpm.MacVal,_xlfn.XLOOKUP($A584,Output_Mac!$A:$A,Output_Mac!M:M,""),
_xlpm.MyAuditVal,_xlfn.XLOOKUP($A584,My_Audit!$A:$A,My_Audit!K:K,""),
_xlfn.IFS(_xlpm.MyAuditVal&lt;&gt;"",UPPER(_xlpm.MyAuditVal),_xlpm.MacVal&lt;&gt;"",_xlpm.MacVal,_xlpm.CSVVal&lt;&gt;"",_xlpm.CSVVal
)),"")</f>
        <v/>
      </c>
      <c r="M584" s="54" t="str">
        <f>_xlfn.LET(
    _xlpm.CSVVal, _xlfn.XLOOKUP($A584, CSV!$A:$A, CSV!AD:AD, ""),
    _xlpm.MacVal, _xlfn.XLOOKUP($A584, Output_Mac!$A:$A, Output_Mac!S:S, ""),
    _xlpm.MyAuditVal, _xlfn.XLOOKUP($A584, My_Audit!$A:$A, My_Audit!N:N, ""),
    _xlfn.TEXTJOIN(", ", TRUE, _xlpm.MyAuditVal, _xlpm.MacVal, _xlpm.CSVVal)
)</f>
        <v/>
      </c>
      <c r="N584" s="54" t="str" cm="1">
        <f t="array" ref="N584">IFERROR(_xlfn.LET(
_xlpm.CSVVal,_xlfn.XLOOKUP($A584,CSV!$A:$A,CSV!AF:AF,""),
_xlpm.MacVal,_xlfn.XLOOKUP($A584,Output_Mac!$A:$A,Output_Mac!U:U,""),
_xlpm.MyAuditVal,_xlfn.XLOOKUP($A584,My_Audit!$A:$A,My_Audit!O:O,""),
_xlfn.IFS(_xlpm.MyAuditVal&lt;&gt;"",UPPER(_xlpm.MyAuditVal),_xlpm.MacVal&lt;&gt;"",_xlpm.MacVal,_xlpm.CSVVal&lt;&gt;"",_xlpm.CSVVal
)),"")</f>
        <v/>
      </c>
      <c r="O584" s="54"/>
      <c r="P584" s="54"/>
      <c r="Q584" s="54"/>
      <c r="R584" s="54"/>
      <c r="S584" s="54"/>
      <c r="T584" s="54"/>
      <c r="U584" s="39"/>
    </row>
    <row r="585" spans="1:21">
      <c r="A585" s="54" t="str">
        <f>_xlfn.TEXTJOIN("",TRUE,Input!$B$2,ROW(My_Audit!A584))</f>
        <v>XX584</v>
      </c>
      <c r="B585" s="54" t="str">
        <f>_xlfn.TEXTJOIN("-",TRUE,"ITD",Input!$A$2,A585)</f>
        <v>ITD-SHRXXX-XX584</v>
      </c>
      <c r="C585" s="54" t="str" cm="1">
        <f t="array" ref="C585">IFERROR(_xlfn.LET(
_xlpm.CSVVal,_xlfn.XLOOKUP($A585,CSV!$A:$A,CSV!B:B,""),
_xlpm.MacVal,_xlfn.XLOOKUP($A585,Output_Mac!$A:$A,Output_Mac!B:B,""),
_xlpm.MyAuditVal,_xlfn.XLOOKUP($A585,My_Audit!$A:$A,My_Audit!B:B,""),
_xlfn.IFS(_xlpm.MyAuditVal&lt;&gt;"",UPPER(_xlpm.MyAuditVal),_xlpm.MacVal&lt;&gt;"",_xlpm.MacVal,_xlpm.CSVVal&lt;&gt;"",_xlpm.CSVVal
)),"")</f>
        <v/>
      </c>
      <c r="D585" s="55" t="str">
        <f>_xlfn.XLOOKUP(A585,My_Audit!A:A,My_Audit!D:D,"")&amp;""</f>
        <v/>
      </c>
      <c r="E585" s="55" t="str" cm="1">
        <f t="array" ref="E585">IFERROR(_xlfn.LET(
_xlpm.CSVVal,_xlfn.XLOOKUP($A585,CSV!$A:$A,CSV!D:D,""),
_xlpm.MacVal,_xlfn.XLOOKUP($A585,Output_Mac!$A:$A,Output_Mac!C:C,""),
_xlpm.MyAuditVal,_xlfn.XLOOKUP($A585,My_Audit!$A:$A,My_Audit!D:D,""),
_xlfn.IFS(_xlpm.MyAuditVal&lt;&gt;"",_xlpm.MyAuditVal,_xlpm.MacVal&lt;&gt;"",_xlpm.MacVal,_xlpm.CSVVal&lt;&gt;"",_xlpm.CSVVal
)),"")</f>
        <v/>
      </c>
      <c r="F585" s="54" t="str" cm="1">
        <f t="array" ref="F585">IFERROR(_xlfn.LET(
_xlpm.CSVVal,_xlfn.XLOOKUP($A585,CSV!$A:$A,CSV!E:E,""),
_xlpm.MacVal,_xlfn.XLOOKUP($A585,Output_Mac!$A:$A,Output_Mac!F:F,""),
_xlpm.MyAuditVal,_xlfn.XLOOKUP($A585,My_Audit!$A:$A,My_Audit!E:E,""),
_xlfn.IFS(_xlpm.MyAuditVal&lt;&gt;"",_xlpm.MyAuditVal,_xlpm.MacVal&lt;&gt;"",_xlpm.MacVal,_xlpm.CSVVal&lt;&gt;"",PROPER(_xlpm.CSVVal)
)),"")</f>
        <v/>
      </c>
      <c r="G585" s="54" t="str" cm="1">
        <f t="array" ref="G585">IFERROR(_xlfn.LET(
_xlpm.CSVVal,_xlfn.XLOOKUP($A585,CSV!$A:$A,CSV!F:F,""),
_xlpm.MacVal,_xlfn.XLOOKUP($A585,Output_Mac!$A:$A,Output_Mac!H:H,""),
_xlpm.MyAuditVal,_xlfn.XLOOKUP($A585,My_Audit!$A:$A,My_Audit!F:F,""),
_xlfn.IFS(_xlpm.MyAuditVal&lt;&gt;"",_xlpm.MyAuditVal,_xlpm.MacVal&lt;&gt;"",_xlpm.MacVal,_xlpm.CSVVal&lt;&gt;"",_xlpm.CSVVal
)),"")</f>
        <v/>
      </c>
      <c r="H585" s="54" t="str">
        <f>_xlfn.XLOOKUP(A585,Output_Mac!A:A,Output_Mac!I:I,"")</f>
        <v/>
      </c>
      <c r="I585" s="54" t="str" cm="1">
        <f t="array" ref="I585">IFERROR(_xlfn.LET(
_xlpm.CSVVal,_xlfn.XLOOKUP($A585,CSV!$A:$A,CSV!G:G,""),
_xlpm.MacVal,_xlfn.XLOOKUP($A585,Output_Mac!$A:$A,Output_Mac!J:J,""),
_xlpm.MyAuditVal,_xlfn.XLOOKUP($A585,My_Audit!$A:$A,My_Audit!H:H,""),
_xlfn.IFS(_xlpm.MyAuditVal&lt;&gt;"",UPPER(_xlpm.MyAuditVal),_xlpm.MacVal&lt;&gt;"",_xlpm.MacVal,_xlpm.CSVVal&lt;&gt;"",_xlpm.CSVVal
)),"")</f>
        <v/>
      </c>
      <c r="J585" s="54" t="str" cm="1">
        <f t="array" ref="J585">IFERROR(_xlfn.LET(
_xlpm.CSVVal,_xlfn.XLOOKUP($A585,CSV!$A:$A,CSV!I:I,""),
_xlpm.MacVal,_xlfn.XLOOKUP($A585,Output_Mac!$A:$A,Output_Mac!K:K,""),
_xlpm.MyAuditVal,_xlfn.XLOOKUP($A585,My_Audit!$A:$A,My_Audit!I:I,""),
_xlfn.IFS(_xlpm.MyAuditVal&lt;&gt;"",UPPER(_xlpm.MyAuditVal),_xlpm.MacVal&lt;&gt;"",_xlpm.MacVal,_xlpm.CSVVal&lt;&gt;"",_xlpm.CSVVal
)),"")</f>
        <v/>
      </c>
      <c r="K585" s="54" t="str" cm="1">
        <f t="array" ref="K585">IFERROR(_xlfn.LET(
_xlpm.CSVVal,_xlfn.XLOOKUP($A585,CSV!$A:$A,CSV!M:M,""),
_xlpm.MacVal,_xlfn.XLOOKUP($A585,Output_Mac!$A:$A,Output_Mac!L:L,""),
_xlpm.MyAuditVal,_xlfn.XLOOKUP($A585,My_Audit!$A:$A,My_Audit!J:J,""),
_xlfn.IFS(_xlpm.MyAuditVal&lt;&gt;"",UPPER(_xlpm.MyAuditVal),_xlpm.MacVal&lt;&gt;"",_xlpm.MacVal,_xlpm.CSVVal&lt;&gt;"",_xlpm.CSVVal
)),"")</f>
        <v/>
      </c>
      <c r="L585" s="54" t="str" cm="1">
        <f t="array" ref="L585">IFERROR(_xlfn.LET(
_xlpm.CSVVal,_xlfn.XLOOKUP($A585,CSV!$A:$A,CSV!O:O,""),
_xlpm.MacVal,_xlfn.XLOOKUP($A585,Output_Mac!$A:$A,Output_Mac!M:M,""),
_xlpm.MyAuditVal,_xlfn.XLOOKUP($A585,My_Audit!$A:$A,My_Audit!K:K,""),
_xlfn.IFS(_xlpm.MyAuditVal&lt;&gt;"",UPPER(_xlpm.MyAuditVal),_xlpm.MacVal&lt;&gt;"",_xlpm.MacVal,_xlpm.CSVVal&lt;&gt;"",_xlpm.CSVVal
)),"")</f>
        <v/>
      </c>
      <c r="M585" s="54" t="str">
        <f>_xlfn.LET(
    _xlpm.CSVVal, _xlfn.XLOOKUP($A585, CSV!$A:$A, CSV!AD:AD, ""),
    _xlpm.MacVal, _xlfn.XLOOKUP($A585, Output_Mac!$A:$A, Output_Mac!S:S, ""),
    _xlpm.MyAuditVal, _xlfn.XLOOKUP($A585, My_Audit!$A:$A, My_Audit!N:N, ""),
    _xlfn.TEXTJOIN(", ", TRUE, _xlpm.MyAuditVal, _xlpm.MacVal, _xlpm.CSVVal)
)</f>
        <v/>
      </c>
      <c r="N585" s="54" t="str" cm="1">
        <f t="array" ref="N585">IFERROR(_xlfn.LET(
_xlpm.CSVVal,_xlfn.XLOOKUP($A585,CSV!$A:$A,CSV!AF:AF,""),
_xlpm.MacVal,_xlfn.XLOOKUP($A585,Output_Mac!$A:$A,Output_Mac!U:U,""),
_xlpm.MyAuditVal,_xlfn.XLOOKUP($A585,My_Audit!$A:$A,My_Audit!O:O,""),
_xlfn.IFS(_xlpm.MyAuditVal&lt;&gt;"",UPPER(_xlpm.MyAuditVal),_xlpm.MacVal&lt;&gt;"",_xlpm.MacVal,_xlpm.CSVVal&lt;&gt;"",_xlpm.CSVVal
)),"")</f>
        <v/>
      </c>
      <c r="O585" s="54"/>
      <c r="P585" s="54"/>
      <c r="Q585" s="54"/>
      <c r="R585" s="54"/>
      <c r="S585" s="54"/>
      <c r="T585" s="54"/>
      <c r="U585" s="39"/>
    </row>
    <row r="586" spans="1:21">
      <c r="A586" s="54" t="str">
        <f>_xlfn.TEXTJOIN("",TRUE,Input!$B$2,ROW(My_Audit!A585))</f>
        <v>XX585</v>
      </c>
      <c r="B586" s="54" t="str">
        <f>_xlfn.TEXTJOIN("-",TRUE,"ITD",Input!$A$2,A586)</f>
        <v>ITD-SHRXXX-XX585</v>
      </c>
      <c r="C586" s="54" t="str" cm="1">
        <f t="array" ref="C586">IFERROR(_xlfn.LET(
_xlpm.CSVVal,_xlfn.XLOOKUP($A586,CSV!$A:$A,CSV!B:B,""),
_xlpm.MacVal,_xlfn.XLOOKUP($A586,Output_Mac!$A:$A,Output_Mac!B:B,""),
_xlpm.MyAuditVal,_xlfn.XLOOKUP($A586,My_Audit!$A:$A,My_Audit!B:B,""),
_xlfn.IFS(_xlpm.MyAuditVal&lt;&gt;"",UPPER(_xlpm.MyAuditVal),_xlpm.MacVal&lt;&gt;"",_xlpm.MacVal,_xlpm.CSVVal&lt;&gt;"",_xlpm.CSVVal
)),"")</f>
        <v/>
      </c>
      <c r="D586" s="55" t="str">
        <f>_xlfn.XLOOKUP(A586,My_Audit!A:A,My_Audit!D:D,"")&amp;""</f>
        <v/>
      </c>
      <c r="E586" s="55" t="str" cm="1">
        <f t="array" ref="E586">IFERROR(_xlfn.LET(
_xlpm.CSVVal,_xlfn.XLOOKUP($A586,CSV!$A:$A,CSV!D:D,""),
_xlpm.MacVal,_xlfn.XLOOKUP($A586,Output_Mac!$A:$A,Output_Mac!C:C,""),
_xlpm.MyAuditVal,_xlfn.XLOOKUP($A586,My_Audit!$A:$A,My_Audit!D:D,""),
_xlfn.IFS(_xlpm.MyAuditVal&lt;&gt;"",_xlpm.MyAuditVal,_xlpm.MacVal&lt;&gt;"",_xlpm.MacVal,_xlpm.CSVVal&lt;&gt;"",_xlpm.CSVVal
)),"")</f>
        <v/>
      </c>
      <c r="F586" s="54" t="str" cm="1">
        <f t="array" ref="F586">IFERROR(_xlfn.LET(
_xlpm.CSVVal,_xlfn.XLOOKUP($A586,CSV!$A:$A,CSV!E:E,""),
_xlpm.MacVal,_xlfn.XLOOKUP($A586,Output_Mac!$A:$A,Output_Mac!F:F,""),
_xlpm.MyAuditVal,_xlfn.XLOOKUP($A586,My_Audit!$A:$A,My_Audit!E:E,""),
_xlfn.IFS(_xlpm.MyAuditVal&lt;&gt;"",_xlpm.MyAuditVal,_xlpm.MacVal&lt;&gt;"",_xlpm.MacVal,_xlpm.CSVVal&lt;&gt;"",PROPER(_xlpm.CSVVal)
)),"")</f>
        <v/>
      </c>
      <c r="G586" s="54" t="str" cm="1">
        <f t="array" ref="G586">IFERROR(_xlfn.LET(
_xlpm.CSVVal,_xlfn.XLOOKUP($A586,CSV!$A:$A,CSV!F:F,""),
_xlpm.MacVal,_xlfn.XLOOKUP($A586,Output_Mac!$A:$A,Output_Mac!H:H,""),
_xlpm.MyAuditVal,_xlfn.XLOOKUP($A586,My_Audit!$A:$A,My_Audit!F:F,""),
_xlfn.IFS(_xlpm.MyAuditVal&lt;&gt;"",_xlpm.MyAuditVal,_xlpm.MacVal&lt;&gt;"",_xlpm.MacVal,_xlpm.CSVVal&lt;&gt;"",_xlpm.CSVVal
)),"")</f>
        <v/>
      </c>
      <c r="H586" s="54" t="str">
        <f>_xlfn.XLOOKUP(A586,Output_Mac!A:A,Output_Mac!I:I,"")</f>
        <v/>
      </c>
      <c r="I586" s="54" t="str" cm="1">
        <f t="array" ref="I586">IFERROR(_xlfn.LET(
_xlpm.CSVVal,_xlfn.XLOOKUP($A586,CSV!$A:$A,CSV!G:G,""),
_xlpm.MacVal,_xlfn.XLOOKUP($A586,Output_Mac!$A:$A,Output_Mac!J:J,""),
_xlpm.MyAuditVal,_xlfn.XLOOKUP($A586,My_Audit!$A:$A,My_Audit!H:H,""),
_xlfn.IFS(_xlpm.MyAuditVal&lt;&gt;"",UPPER(_xlpm.MyAuditVal),_xlpm.MacVal&lt;&gt;"",_xlpm.MacVal,_xlpm.CSVVal&lt;&gt;"",_xlpm.CSVVal
)),"")</f>
        <v/>
      </c>
      <c r="J586" s="54" t="str" cm="1">
        <f t="array" ref="J586">IFERROR(_xlfn.LET(
_xlpm.CSVVal,_xlfn.XLOOKUP($A586,CSV!$A:$A,CSV!I:I,""),
_xlpm.MacVal,_xlfn.XLOOKUP($A586,Output_Mac!$A:$A,Output_Mac!K:K,""),
_xlpm.MyAuditVal,_xlfn.XLOOKUP($A586,My_Audit!$A:$A,My_Audit!I:I,""),
_xlfn.IFS(_xlpm.MyAuditVal&lt;&gt;"",UPPER(_xlpm.MyAuditVal),_xlpm.MacVal&lt;&gt;"",_xlpm.MacVal,_xlpm.CSVVal&lt;&gt;"",_xlpm.CSVVal
)),"")</f>
        <v/>
      </c>
      <c r="K586" s="54" t="str" cm="1">
        <f t="array" ref="K586">IFERROR(_xlfn.LET(
_xlpm.CSVVal,_xlfn.XLOOKUP($A586,CSV!$A:$A,CSV!M:M,""),
_xlpm.MacVal,_xlfn.XLOOKUP($A586,Output_Mac!$A:$A,Output_Mac!L:L,""),
_xlpm.MyAuditVal,_xlfn.XLOOKUP($A586,My_Audit!$A:$A,My_Audit!J:J,""),
_xlfn.IFS(_xlpm.MyAuditVal&lt;&gt;"",UPPER(_xlpm.MyAuditVal),_xlpm.MacVal&lt;&gt;"",_xlpm.MacVal,_xlpm.CSVVal&lt;&gt;"",_xlpm.CSVVal
)),"")</f>
        <v/>
      </c>
      <c r="L586" s="54" t="str" cm="1">
        <f t="array" ref="L586">IFERROR(_xlfn.LET(
_xlpm.CSVVal,_xlfn.XLOOKUP($A586,CSV!$A:$A,CSV!O:O,""),
_xlpm.MacVal,_xlfn.XLOOKUP($A586,Output_Mac!$A:$A,Output_Mac!M:M,""),
_xlpm.MyAuditVal,_xlfn.XLOOKUP($A586,My_Audit!$A:$A,My_Audit!K:K,""),
_xlfn.IFS(_xlpm.MyAuditVal&lt;&gt;"",UPPER(_xlpm.MyAuditVal),_xlpm.MacVal&lt;&gt;"",_xlpm.MacVal,_xlpm.CSVVal&lt;&gt;"",_xlpm.CSVVal
)),"")</f>
        <v/>
      </c>
      <c r="M586" s="54" t="str">
        <f>_xlfn.LET(
    _xlpm.CSVVal, _xlfn.XLOOKUP($A586, CSV!$A:$A, CSV!AD:AD, ""),
    _xlpm.MacVal, _xlfn.XLOOKUP($A586, Output_Mac!$A:$A, Output_Mac!S:S, ""),
    _xlpm.MyAuditVal, _xlfn.XLOOKUP($A586, My_Audit!$A:$A, My_Audit!N:N, ""),
    _xlfn.TEXTJOIN(", ", TRUE, _xlpm.MyAuditVal, _xlpm.MacVal, _xlpm.CSVVal)
)</f>
        <v/>
      </c>
      <c r="N586" s="54" t="str" cm="1">
        <f t="array" ref="N586">IFERROR(_xlfn.LET(
_xlpm.CSVVal,_xlfn.XLOOKUP($A586,CSV!$A:$A,CSV!AF:AF,""),
_xlpm.MacVal,_xlfn.XLOOKUP($A586,Output_Mac!$A:$A,Output_Mac!U:U,""),
_xlpm.MyAuditVal,_xlfn.XLOOKUP($A586,My_Audit!$A:$A,My_Audit!O:O,""),
_xlfn.IFS(_xlpm.MyAuditVal&lt;&gt;"",UPPER(_xlpm.MyAuditVal),_xlpm.MacVal&lt;&gt;"",_xlpm.MacVal,_xlpm.CSVVal&lt;&gt;"",_xlpm.CSVVal
)),"")</f>
        <v/>
      </c>
      <c r="O586" s="54"/>
      <c r="P586" s="54"/>
      <c r="Q586" s="54"/>
      <c r="R586" s="54"/>
      <c r="S586" s="54"/>
      <c r="T586" s="54"/>
      <c r="U586" s="39"/>
    </row>
    <row r="587" spans="1:21">
      <c r="A587" s="54" t="str">
        <f>_xlfn.TEXTJOIN("",TRUE,Input!$B$2,ROW(My_Audit!A586))</f>
        <v>XX586</v>
      </c>
      <c r="B587" s="54" t="str">
        <f>_xlfn.TEXTJOIN("-",TRUE,"ITD",Input!$A$2,A587)</f>
        <v>ITD-SHRXXX-XX586</v>
      </c>
      <c r="C587" s="54" t="str" cm="1">
        <f t="array" ref="C587">IFERROR(_xlfn.LET(
_xlpm.CSVVal,_xlfn.XLOOKUP($A587,CSV!$A:$A,CSV!B:B,""),
_xlpm.MacVal,_xlfn.XLOOKUP($A587,Output_Mac!$A:$A,Output_Mac!B:B,""),
_xlpm.MyAuditVal,_xlfn.XLOOKUP($A587,My_Audit!$A:$A,My_Audit!B:B,""),
_xlfn.IFS(_xlpm.MyAuditVal&lt;&gt;"",UPPER(_xlpm.MyAuditVal),_xlpm.MacVal&lt;&gt;"",_xlpm.MacVal,_xlpm.CSVVal&lt;&gt;"",_xlpm.CSVVal
)),"")</f>
        <v/>
      </c>
      <c r="D587" s="55" t="str">
        <f>_xlfn.XLOOKUP(A587,My_Audit!A:A,My_Audit!D:D,"")&amp;""</f>
        <v/>
      </c>
      <c r="E587" s="55" t="str" cm="1">
        <f t="array" ref="E587">IFERROR(_xlfn.LET(
_xlpm.CSVVal,_xlfn.XLOOKUP($A587,CSV!$A:$A,CSV!D:D,""),
_xlpm.MacVal,_xlfn.XLOOKUP($A587,Output_Mac!$A:$A,Output_Mac!C:C,""),
_xlpm.MyAuditVal,_xlfn.XLOOKUP($A587,My_Audit!$A:$A,My_Audit!D:D,""),
_xlfn.IFS(_xlpm.MyAuditVal&lt;&gt;"",_xlpm.MyAuditVal,_xlpm.MacVal&lt;&gt;"",_xlpm.MacVal,_xlpm.CSVVal&lt;&gt;"",_xlpm.CSVVal
)),"")</f>
        <v/>
      </c>
      <c r="F587" s="54" t="str" cm="1">
        <f t="array" ref="F587">IFERROR(_xlfn.LET(
_xlpm.CSVVal,_xlfn.XLOOKUP($A587,CSV!$A:$A,CSV!E:E,""),
_xlpm.MacVal,_xlfn.XLOOKUP($A587,Output_Mac!$A:$A,Output_Mac!F:F,""),
_xlpm.MyAuditVal,_xlfn.XLOOKUP($A587,My_Audit!$A:$A,My_Audit!E:E,""),
_xlfn.IFS(_xlpm.MyAuditVal&lt;&gt;"",_xlpm.MyAuditVal,_xlpm.MacVal&lt;&gt;"",_xlpm.MacVal,_xlpm.CSVVal&lt;&gt;"",PROPER(_xlpm.CSVVal)
)),"")</f>
        <v/>
      </c>
      <c r="G587" s="54" t="str" cm="1">
        <f t="array" ref="G587">IFERROR(_xlfn.LET(
_xlpm.CSVVal,_xlfn.XLOOKUP($A587,CSV!$A:$A,CSV!F:F,""),
_xlpm.MacVal,_xlfn.XLOOKUP($A587,Output_Mac!$A:$A,Output_Mac!H:H,""),
_xlpm.MyAuditVal,_xlfn.XLOOKUP($A587,My_Audit!$A:$A,My_Audit!F:F,""),
_xlfn.IFS(_xlpm.MyAuditVal&lt;&gt;"",_xlpm.MyAuditVal,_xlpm.MacVal&lt;&gt;"",_xlpm.MacVal,_xlpm.CSVVal&lt;&gt;"",_xlpm.CSVVal
)),"")</f>
        <v/>
      </c>
      <c r="H587" s="54" t="str">
        <f>_xlfn.XLOOKUP(A587,Output_Mac!A:A,Output_Mac!I:I,"")</f>
        <v/>
      </c>
      <c r="I587" s="54" t="str" cm="1">
        <f t="array" ref="I587">IFERROR(_xlfn.LET(
_xlpm.CSVVal,_xlfn.XLOOKUP($A587,CSV!$A:$A,CSV!G:G,""),
_xlpm.MacVal,_xlfn.XLOOKUP($A587,Output_Mac!$A:$A,Output_Mac!J:J,""),
_xlpm.MyAuditVal,_xlfn.XLOOKUP($A587,My_Audit!$A:$A,My_Audit!H:H,""),
_xlfn.IFS(_xlpm.MyAuditVal&lt;&gt;"",UPPER(_xlpm.MyAuditVal),_xlpm.MacVal&lt;&gt;"",_xlpm.MacVal,_xlpm.CSVVal&lt;&gt;"",_xlpm.CSVVal
)),"")</f>
        <v/>
      </c>
      <c r="J587" s="54" t="str" cm="1">
        <f t="array" ref="J587">IFERROR(_xlfn.LET(
_xlpm.CSVVal,_xlfn.XLOOKUP($A587,CSV!$A:$A,CSV!I:I,""),
_xlpm.MacVal,_xlfn.XLOOKUP($A587,Output_Mac!$A:$A,Output_Mac!K:K,""),
_xlpm.MyAuditVal,_xlfn.XLOOKUP($A587,My_Audit!$A:$A,My_Audit!I:I,""),
_xlfn.IFS(_xlpm.MyAuditVal&lt;&gt;"",UPPER(_xlpm.MyAuditVal),_xlpm.MacVal&lt;&gt;"",_xlpm.MacVal,_xlpm.CSVVal&lt;&gt;"",_xlpm.CSVVal
)),"")</f>
        <v/>
      </c>
      <c r="K587" s="54" t="str" cm="1">
        <f t="array" ref="K587">IFERROR(_xlfn.LET(
_xlpm.CSVVal,_xlfn.XLOOKUP($A587,CSV!$A:$A,CSV!M:M,""),
_xlpm.MacVal,_xlfn.XLOOKUP($A587,Output_Mac!$A:$A,Output_Mac!L:L,""),
_xlpm.MyAuditVal,_xlfn.XLOOKUP($A587,My_Audit!$A:$A,My_Audit!J:J,""),
_xlfn.IFS(_xlpm.MyAuditVal&lt;&gt;"",UPPER(_xlpm.MyAuditVal),_xlpm.MacVal&lt;&gt;"",_xlpm.MacVal,_xlpm.CSVVal&lt;&gt;"",_xlpm.CSVVal
)),"")</f>
        <v/>
      </c>
      <c r="L587" s="54" t="str" cm="1">
        <f t="array" ref="L587">IFERROR(_xlfn.LET(
_xlpm.CSVVal,_xlfn.XLOOKUP($A587,CSV!$A:$A,CSV!O:O,""),
_xlpm.MacVal,_xlfn.XLOOKUP($A587,Output_Mac!$A:$A,Output_Mac!M:M,""),
_xlpm.MyAuditVal,_xlfn.XLOOKUP($A587,My_Audit!$A:$A,My_Audit!K:K,""),
_xlfn.IFS(_xlpm.MyAuditVal&lt;&gt;"",UPPER(_xlpm.MyAuditVal),_xlpm.MacVal&lt;&gt;"",_xlpm.MacVal,_xlpm.CSVVal&lt;&gt;"",_xlpm.CSVVal
)),"")</f>
        <v/>
      </c>
      <c r="M587" s="54" t="str">
        <f>_xlfn.LET(
    _xlpm.CSVVal, _xlfn.XLOOKUP($A587, CSV!$A:$A, CSV!AD:AD, ""),
    _xlpm.MacVal, _xlfn.XLOOKUP($A587, Output_Mac!$A:$A, Output_Mac!S:S, ""),
    _xlpm.MyAuditVal, _xlfn.XLOOKUP($A587, My_Audit!$A:$A, My_Audit!N:N, ""),
    _xlfn.TEXTJOIN(", ", TRUE, _xlpm.MyAuditVal, _xlpm.MacVal, _xlpm.CSVVal)
)</f>
        <v/>
      </c>
      <c r="N587" s="54" t="str" cm="1">
        <f t="array" ref="N587">IFERROR(_xlfn.LET(
_xlpm.CSVVal,_xlfn.XLOOKUP($A587,CSV!$A:$A,CSV!AF:AF,""),
_xlpm.MacVal,_xlfn.XLOOKUP($A587,Output_Mac!$A:$A,Output_Mac!U:U,""),
_xlpm.MyAuditVal,_xlfn.XLOOKUP($A587,My_Audit!$A:$A,My_Audit!O:O,""),
_xlfn.IFS(_xlpm.MyAuditVal&lt;&gt;"",UPPER(_xlpm.MyAuditVal),_xlpm.MacVal&lt;&gt;"",_xlpm.MacVal,_xlpm.CSVVal&lt;&gt;"",_xlpm.CSVVal
)),"")</f>
        <v/>
      </c>
      <c r="O587" s="54"/>
      <c r="P587" s="54"/>
      <c r="Q587" s="54"/>
      <c r="R587" s="54"/>
      <c r="S587" s="54"/>
      <c r="T587" s="54"/>
      <c r="U587" s="39"/>
    </row>
    <row r="588" spans="1:21">
      <c r="A588" s="54" t="str">
        <f>_xlfn.TEXTJOIN("",TRUE,Input!$B$2,ROW(My_Audit!A587))</f>
        <v>XX587</v>
      </c>
      <c r="B588" s="54" t="str">
        <f>_xlfn.TEXTJOIN("-",TRUE,"ITD",Input!$A$2,A588)</f>
        <v>ITD-SHRXXX-XX587</v>
      </c>
      <c r="C588" s="54" t="str" cm="1">
        <f t="array" ref="C588">IFERROR(_xlfn.LET(
_xlpm.CSVVal,_xlfn.XLOOKUP($A588,CSV!$A:$A,CSV!B:B,""),
_xlpm.MacVal,_xlfn.XLOOKUP($A588,Output_Mac!$A:$A,Output_Mac!B:B,""),
_xlpm.MyAuditVal,_xlfn.XLOOKUP($A588,My_Audit!$A:$A,My_Audit!B:B,""),
_xlfn.IFS(_xlpm.MyAuditVal&lt;&gt;"",UPPER(_xlpm.MyAuditVal),_xlpm.MacVal&lt;&gt;"",_xlpm.MacVal,_xlpm.CSVVal&lt;&gt;"",_xlpm.CSVVal
)),"")</f>
        <v/>
      </c>
      <c r="D588" s="55" t="str">
        <f>_xlfn.XLOOKUP(A588,My_Audit!A:A,My_Audit!D:D,"")&amp;""</f>
        <v/>
      </c>
      <c r="E588" s="55" t="str" cm="1">
        <f t="array" ref="E588">IFERROR(_xlfn.LET(
_xlpm.CSVVal,_xlfn.XLOOKUP($A588,CSV!$A:$A,CSV!D:D,""),
_xlpm.MacVal,_xlfn.XLOOKUP($A588,Output_Mac!$A:$A,Output_Mac!C:C,""),
_xlpm.MyAuditVal,_xlfn.XLOOKUP($A588,My_Audit!$A:$A,My_Audit!D:D,""),
_xlfn.IFS(_xlpm.MyAuditVal&lt;&gt;"",_xlpm.MyAuditVal,_xlpm.MacVal&lt;&gt;"",_xlpm.MacVal,_xlpm.CSVVal&lt;&gt;"",_xlpm.CSVVal
)),"")</f>
        <v/>
      </c>
      <c r="F588" s="54" t="str" cm="1">
        <f t="array" ref="F588">IFERROR(_xlfn.LET(
_xlpm.CSVVal,_xlfn.XLOOKUP($A588,CSV!$A:$A,CSV!E:E,""),
_xlpm.MacVal,_xlfn.XLOOKUP($A588,Output_Mac!$A:$A,Output_Mac!F:F,""),
_xlpm.MyAuditVal,_xlfn.XLOOKUP($A588,My_Audit!$A:$A,My_Audit!E:E,""),
_xlfn.IFS(_xlpm.MyAuditVal&lt;&gt;"",_xlpm.MyAuditVal,_xlpm.MacVal&lt;&gt;"",_xlpm.MacVal,_xlpm.CSVVal&lt;&gt;"",PROPER(_xlpm.CSVVal)
)),"")</f>
        <v/>
      </c>
      <c r="G588" s="54" t="str" cm="1">
        <f t="array" ref="G588">IFERROR(_xlfn.LET(
_xlpm.CSVVal,_xlfn.XLOOKUP($A588,CSV!$A:$A,CSV!F:F,""),
_xlpm.MacVal,_xlfn.XLOOKUP($A588,Output_Mac!$A:$A,Output_Mac!H:H,""),
_xlpm.MyAuditVal,_xlfn.XLOOKUP($A588,My_Audit!$A:$A,My_Audit!F:F,""),
_xlfn.IFS(_xlpm.MyAuditVal&lt;&gt;"",_xlpm.MyAuditVal,_xlpm.MacVal&lt;&gt;"",_xlpm.MacVal,_xlpm.CSVVal&lt;&gt;"",_xlpm.CSVVal
)),"")</f>
        <v/>
      </c>
      <c r="H588" s="54" t="str">
        <f>_xlfn.XLOOKUP(A588,Output_Mac!A:A,Output_Mac!I:I,"")</f>
        <v/>
      </c>
      <c r="I588" s="54" t="str" cm="1">
        <f t="array" ref="I588">IFERROR(_xlfn.LET(
_xlpm.CSVVal,_xlfn.XLOOKUP($A588,CSV!$A:$A,CSV!G:G,""),
_xlpm.MacVal,_xlfn.XLOOKUP($A588,Output_Mac!$A:$A,Output_Mac!J:J,""),
_xlpm.MyAuditVal,_xlfn.XLOOKUP($A588,My_Audit!$A:$A,My_Audit!H:H,""),
_xlfn.IFS(_xlpm.MyAuditVal&lt;&gt;"",UPPER(_xlpm.MyAuditVal),_xlpm.MacVal&lt;&gt;"",_xlpm.MacVal,_xlpm.CSVVal&lt;&gt;"",_xlpm.CSVVal
)),"")</f>
        <v/>
      </c>
      <c r="J588" s="54" t="str" cm="1">
        <f t="array" ref="J588">IFERROR(_xlfn.LET(
_xlpm.CSVVal,_xlfn.XLOOKUP($A588,CSV!$A:$A,CSV!I:I,""),
_xlpm.MacVal,_xlfn.XLOOKUP($A588,Output_Mac!$A:$A,Output_Mac!K:K,""),
_xlpm.MyAuditVal,_xlfn.XLOOKUP($A588,My_Audit!$A:$A,My_Audit!I:I,""),
_xlfn.IFS(_xlpm.MyAuditVal&lt;&gt;"",UPPER(_xlpm.MyAuditVal),_xlpm.MacVal&lt;&gt;"",_xlpm.MacVal,_xlpm.CSVVal&lt;&gt;"",_xlpm.CSVVal
)),"")</f>
        <v/>
      </c>
      <c r="K588" s="54" t="str" cm="1">
        <f t="array" ref="K588">IFERROR(_xlfn.LET(
_xlpm.CSVVal,_xlfn.XLOOKUP($A588,CSV!$A:$A,CSV!M:M,""),
_xlpm.MacVal,_xlfn.XLOOKUP($A588,Output_Mac!$A:$A,Output_Mac!L:L,""),
_xlpm.MyAuditVal,_xlfn.XLOOKUP($A588,My_Audit!$A:$A,My_Audit!J:J,""),
_xlfn.IFS(_xlpm.MyAuditVal&lt;&gt;"",UPPER(_xlpm.MyAuditVal),_xlpm.MacVal&lt;&gt;"",_xlpm.MacVal,_xlpm.CSVVal&lt;&gt;"",_xlpm.CSVVal
)),"")</f>
        <v/>
      </c>
      <c r="L588" s="54" t="str" cm="1">
        <f t="array" ref="L588">IFERROR(_xlfn.LET(
_xlpm.CSVVal,_xlfn.XLOOKUP($A588,CSV!$A:$A,CSV!O:O,""),
_xlpm.MacVal,_xlfn.XLOOKUP($A588,Output_Mac!$A:$A,Output_Mac!M:M,""),
_xlpm.MyAuditVal,_xlfn.XLOOKUP($A588,My_Audit!$A:$A,My_Audit!K:K,""),
_xlfn.IFS(_xlpm.MyAuditVal&lt;&gt;"",UPPER(_xlpm.MyAuditVal),_xlpm.MacVal&lt;&gt;"",_xlpm.MacVal,_xlpm.CSVVal&lt;&gt;"",_xlpm.CSVVal
)),"")</f>
        <v/>
      </c>
      <c r="M588" s="54" t="str">
        <f>_xlfn.LET(
    _xlpm.CSVVal, _xlfn.XLOOKUP($A588, CSV!$A:$A, CSV!AD:AD, ""),
    _xlpm.MacVal, _xlfn.XLOOKUP($A588, Output_Mac!$A:$A, Output_Mac!S:S, ""),
    _xlpm.MyAuditVal, _xlfn.XLOOKUP($A588, My_Audit!$A:$A, My_Audit!N:N, ""),
    _xlfn.TEXTJOIN(", ", TRUE, _xlpm.MyAuditVal, _xlpm.MacVal, _xlpm.CSVVal)
)</f>
        <v/>
      </c>
      <c r="N588" s="54" t="str" cm="1">
        <f t="array" ref="N588">IFERROR(_xlfn.LET(
_xlpm.CSVVal,_xlfn.XLOOKUP($A588,CSV!$A:$A,CSV!AF:AF,""),
_xlpm.MacVal,_xlfn.XLOOKUP($A588,Output_Mac!$A:$A,Output_Mac!U:U,""),
_xlpm.MyAuditVal,_xlfn.XLOOKUP($A588,My_Audit!$A:$A,My_Audit!O:O,""),
_xlfn.IFS(_xlpm.MyAuditVal&lt;&gt;"",UPPER(_xlpm.MyAuditVal),_xlpm.MacVal&lt;&gt;"",_xlpm.MacVal,_xlpm.CSVVal&lt;&gt;"",_xlpm.CSVVal
)),"")</f>
        <v/>
      </c>
      <c r="O588" s="54"/>
      <c r="P588" s="54"/>
      <c r="Q588" s="54"/>
      <c r="R588" s="54"/>
      <c r="S588" s="54"/>
      <c r="T588" s="54"/>
      <c r="U588" s="39"/>
    </row>
    <row r="589" spans="1:21">
      <c r="A589" s="54" t="str">
        <f>_xlfn.TEXTJOIN("",TRUE,Input!$B$2,ROW(My_Audit!A588))</f>
        <v>XX588</v>
      </c>
      <c r="B589" s="54" t="str">
        <f>_xlfn.TEXTJOIN("-",TRUE,"ITD",Input!$A$2,A589)</f>
        <v>ITD-SHRXXX-XX588</v>
      </c>
      <c r="C589" s="54" t="str" cm="1">
        <f t="array" ref="C589">IFERROR(_xlfn.LET(
_xlpm.CSVVal,_xlfn.XLOOKUP($A589,CSV!$A:$A,CSV!B:B,""),
_xlpm.MacVal,_xlfn.XLOOKUP($A589,Output_Mac!$A:$A,Output_Mac!B:B,""),
_xlpm.MyAuditVal,_xlfn.XLOOKUP($A589,My_Audit!$A:$A,My_Audit!B:B,""),
_xlfn.IFS(_xlpm.MyAuditVal&lt;&gt;"",UPPER(_xlpm.MyAuditVal),_xlpm.MacVal&lt;&gt;"",_xlpm.MacVal,_xlpm.CSVVal&lt;&gt;"",_xlpm.CSVVal
)),"")</f>
        <v/>
      </c>
      <c r="D589" s="55" t="str">
        <f>_xlfn.XLOOKUP(A589,My_Audit!A:A,My_Audit!D:D,"")&amp;""</f>
        <v/>
      </c>
      <c r="E589" s="55" t="str" cm="1">
        <f t="array" ref="E589">IFERROR(_xlfn.LET(
_xlpm.CSVVal,_xlfn.XLOOKUP($A589,CSV!$A:$A,CSV!D:D,""),
_xlpm.MacVal,_xlfn.XLOOKUP($A589,Output_Mac!$A:$A,Output_Mac!C:C,""),
_xlpm.MyAuditVal,_xlfn.XLOOKUP($A589,My_Audit!$A:$A,My_Audit!D:D,""),
_xlfn.IFS(_xlpm.MyAuditVal&lt;&gt;"",_xlpm.MyAuditVal,_xlpm.MacVal&lt;&gt;"",_xlpm.MacVal,_xlpm.CSVVal&lt;&gt;"",_xlpm.CSVVal
)),"")</f>
        <v/>
      </c>
      <c r="F589" s="54" t="str" cm="1">
        <f t="array" ref="F589">IFERROR(_xlfn.LET(
_xlpm.CSVVal,_xlfn.XLOOKUP($A589,CSV!$A:$A,CSV!E:E,""),
_xlpm.MacVal,_xlfn.XLOOKUP($A589,Output_Mac!$A:$A,Output_Mac!F:F,""),
_xlpm.MyAuditVal,_xlfn.XLOOKUP($A589,My_Audit!$A:$A,My_Audit!E:E,""),
_xlfn.IFS(_xlpm.MyAuditVal&lt;&gt;"",_xlpm.MyAuditVal,_xlpm.MacVal&lt;&gt;"",_xlpm.MacVal,_xlpm.CSVVal&lt;&gt;"",PROPER(_xlpm.CSVVal)
)),"")</f>
        <v/>
      </c>
      <c r="G589" s="54" t="str" cm="1">
        <f t="array" ref="G589">IFERROR(_xlfn.LET(
_xlpm.CSVVal,_xlfn.XLOOKUP($A589,CSV!$A:$A,CSV!F:F,""),
_xlpm.MacVal,_xlfn.XLOOKUP($A589,Output_Mac!$A:$A,Output_Mac!H:H,""),
_xlpm.MyAuditVal,_xlfn.XLOOKUP($A589,My_Audit!$A:$A,My_Audit!F:F,""),
_xlfn.IFS(_xlpm.MyAuditVal&lt;&gt;"",_xlpm.MyAuditVal,_xlpm.MacVal&lt;&gt;"",_xlpm.MacVal,_xlpm.CSVVal&lt;&gt;"",_xlpm.CSVVal
)),"")</f>
        <v/>
      </c>
      <c r="H589" s="54" t="str">
        <f>_xlfn.XLOOKUP(A589,Output_Mac!A:A,Output_Mac!I:I,"")</f>
        <v/>
      </c>
      <c r="I589" s="54" t="str" cm="1">
        <f t="array" ref="I589">IFERROR(_xlfn.LET(
_xlpm.CSVVal,_xlfn.XLOOKUP($A589,CSV!$A:$A,CSV!G:G,""),
_xlpm.MacVal,_xlfn.XLOOKUP($A589,Output_Mac!$A:$A,Output_Mac!J:J,""),
_xlpm.MyAuditVal,_xlfn.XLOOKUP($A589,My_Audit!$A:$A,My_Audit!H:H,""),
_xlfn.IFS(_xlpm.MyAuditVal&lt;&gt;"",UPPER(_xlpm.MyAuditVal),_xlpm.MacVal&lt;&gt;"",_xlpm.MacVal,_xlpm.CSVVal&lt;&gt;"",_xlpm.CSVVal
)),"")</f>
        <v/>
      </c>
      <c r="J589" s="54" t="str" cm="1">
        <f t="array" ref="J589">IFERROR(_xlfn.LET(
_xlpm.CSVVal,_xlfn.XLOOKUP($A589,CSV!$A:$A,CSV!I:I,""),
_xlpm.MacVal,_xlfn.XLOOKUP($A589,Output_Mac!$A:$A,Output_Mac!K:K,""),
_xlpm.MyAuditVal,_xlfn.XLOOKUP($A589,My_Audit!$A:$A,My_Audit!I:I,""),
_xlfn.IFS(_xlpm.MyAuditVal&lt;&gt;"",UPPER(_xlpm.MyAuditVal),_xlpm.MacVal&lt;&gt;"",_xlpm.MacVal,_xlpm.CSVVal&lt;&gt;"",_xlpm.CSVVal
)),"")</f>
        <v/>
      </c>
      <c r="K589" s="54" t="str" cm="1">
        <f t="array" ref="K589">IFERROR(_xlfn.LET(
_xlpm.CSVVal,_xlfn.XLOOKUP($A589,CSV!$A:$A,CSV!M:M,""),
_xlpm.MacVal,_xlfn.XLOOKUP($A589,Output_Mac!$A:$A,Output_Mac!L:L,""),
_xlpm.MyAuditVal,_xlfn.XLOOKUP($A589,My_Audit!$A:$A,My_Audit!J:J,""),
_xlfn.IFS(_xlpm.MyAuditVal&lt;&gt;"",UPPER(_xlpm.MyAuditVal),_xlpm.MacVal&lt;&gt;"",_xlpm.MacVal,_xlpm.CSVVal&lt;&gt;"",_xlpm.CSVVal
)),"")</f>
        <v/>
      </c>
      <c r="L589" s="54" t="str" cm="1">
        <f t="array" ref="L589">IFERROR(_xlfn.LET(
_xlpm.CSVVal,_xlfn.XLOOKUP($A589,CSV!$A:$A,CSV!O:O,""),
_xlpm.MacVal,_xlfn.XLOOKUP($A589,Output_Mac!$A:$A,Output_Mac!M:M,""),
_xlpm.MyAuditVal,_xlfn.XLOOKUP($A589,My_Audit!$A:$A,My_Audit!K:K,""),
_xlfn.IFS(_xlpm.MyAuditVal&lt;&gt;"",UPPER(_xlpm.MyAuditVal),_xlpm.MacVal&lt;&gt;"",_xlpm.MacVal,_xlpm.CSVVal&lt;&gt;"",_xlpm.CSVVal
)),"")</f>
        <v/>
      </c>
      <c r="M589" s="54" t="str">
        <f>_xlfn.LET(
    _xlpm.CSVVal, _xlfn.XLOOKUP($A589, CSV!$A:$A, CSV!AD:AD, ""),
    _xlpm.MacVal, _xlfn.XLOOKUP($A589, Output_Mac!$A:$A, Output_Mac!S:S, ""),
    _xlpm.MyAuditVal, _xlfn.XLOOKUP($A589, My_Audit!$A:$A, My_Audit!N:N, ""),
    _xlfn.TEXTJOIN(", ", TRUE, _xlpm.MyAuditVal, _xlpm.MacVal, _xlpm.CSVVal)
)</f>
        <v/>
      </c>
      <c r="N589" s="54" t="str" cm="1">
        <f t="array" ref="N589">IFERROR(_xlfn.LET(
_xlpm.CSVVal,_xlfn.XLOOKUP($A589,CSV!$A:$A,CSV!AF:AF,""),
_xlpm.MacVal,_xlfn.XLOOKUP($A589,Output_Mac!$A:$A,Output_Mac!U:U,""),
_xlpm.MyAuditVal,_xlfn.XLOOKUP($A589,My_Audit!$A:$A,My_Audit!O:O,""),
_xlfn.IFS(_xlpm.MyAuditVal&lt;&gt;"",UPPER(_xlpm.MyAuditVal),_xlpm.MacVal&lt;&gt;"",_xlpm.MacVal,_xlpm.CSVVal&lt;&gt;"",_xlpm.CSVVal
)),"")</f>
        <v/>
      </c>
      <c r="O589" s="54"/>
      <c r="P589" s="54"/>
      <c r="Q589" s="54"/>
      <c r="R589" s="54"/>
      <c r="S589" s="54"/>
      <c r="T589" s="54"/>
      <c r="U589" s="39"/>
    </row>
    <row r="590" spans="1:21">
      <c r="A590" s="54" t="str">
        <f>_xlfn.TEXTJOIN("",TRUE,Input!$B$2,ROW(My_Audit!A589))</f>
        <v>XX589</v>
      </c>
      <c r="B590" s="54" t="str">
        <f>_xlfn.TEXTJOIN("-",TRUE,"ITD",Input!$A$2,A590)</f>
        <v>ITD-SHRXXX-XX589</v>
      </c>
      <c r="C590" s="54" t="str" cm="1">
        <f t="array" ref="C590">IFERROR(_xlfn.LET(
_xlpm.CSVVal,_xlfn.XLOOKUP($A590,CSV!$A:$A,CSV!B:B,""),
_xlpm.MacVal,_xlfn.XLOOKUP($A590,Output_Mac!$A:$A,Output_Mac!B:B,""),
_xlpm.MyAuditVal,_xlfn.XLOOKUP($A590,My_Audit!$A:$A,My_Audit!B:B,""),
_xlfn.IFS(_xlpm.MyAuditVal&lt;&gt;"",UPPER(_xlpm.MyAuditVal),_xlpm.MacVal&lt;&gt;"",_xlpm.MacVal,_xlpm.CSVVal&lt;&gt;"",_xlpm.CSVVal
)),"")</f>
        <v/>
      </c>
      <c r="D590" s="55" t="str">
        <f>_xlfn.XLOOKUP(A590,My_Audit!A:A,My_Audit!D:D,"")&amp;""</f>
        <v/>
      </c>
      <c r="E590" s="55" t="str" cm="1">
        <f t="array" ref="E590">IFERROR(_xlfn.LET(
_xlpm.CSVVal,_xlfn.XLOOKUP($A590,CSV!$A:$A,CSV!D:D,""),
_xlpm.MacVal,_xlfn.XLOOKUP($A590,Output_Mac!$A:$A,Output_Mac!C:C,""),
_xlpm.MyAuditVal,_xlfn.XLOOKUP($A590,My_Audit!$A:$A,My_Audit!D:D,""),
_xlfn.IFS(_xlpm.MyAuditVal&lt;&gt;"",_xlpm.MyAuditVal,_xlpm.MacVal&lt;&gt;"",_xlpm.MacVal,_xlpm.CSVVal&lt;&gt;"",_xlpm.CSVVal
)),"")</f>
        <v/>
      </c>
      <c r="F590" s="54" t="str" cm="1">
        <f t="array" ref="F590">IFERROR(_xlfn.LET(
_xlpm.CSVVal,_xlfn.XLOOKUP($A590,CSV!$A:$A,CSV!E:E,""),
_xlpm.MacVal,_xlfn.XLOOKUP($A590,Output_Mac!$A:$A,Output_Mac!F:F,""),
_xlpm.MyAuditVal,_xlfn.XLOOKUP($A590,My_Audit!$A:$A,My_Audit!E:E,""),
_xlfn.IFS(_xlpm.MyAuditVal&lt;&gt;"",_xlpm.MyAuditVal,_xlpm.MacVal&lt;&gt;"",_xlpm.MacVal,_xlpm.CSVVal&lt;&gt;"",PROPER(_xlpm.CSVVal)
)),"")</f>
        <v/>
      </c>
      <c r="G590" s="54" t="str" cm="1">
        <f t="array" ref="G590">IFERROR(_xlfn.LET(
_xlpm.CSVVal,_xlfn.XLOOKUP($A590,CSV!$A:$A,CSV!F:F,""),
_xlpm.MacVal,_xlfn.XLOOKUP($A590,Output_Mac!$A:$A,Output_Mac!H:H,""),
_xlpm.MyAuditVal,_xlfn.XLOOKUP($A590,My_Audit!$A:$A,My_Audit!F:F,""),
_xlfn.IFS(_xlpm.MyAuditVal&lt;&gt;"",_xlpm.MyAuditVal,_xlpm.MacVal&lt;&gt;"",_xlpm.MacVal,_xlpm.CSVVal&lt;&gt;"",_xlpm.CSVVal
)),"")</f>
        <v/>
      </c>
      <c r="H590" s="54" t="str">
        <f>_xlfn.XLOOKUP(A590,Output_Mac!A:A,Output_Mac!I:I,"")</f>
        <v/>
      </c>
      <c r="I590" s="54" t="str" cm="1">
        <f t="array" ref="I590">IFERROR(_xlfn.LET(
_xlpm.CSVVal,_xlfn.XLOOKUP($A590,CSV!$A:$A,CSV!G:G,""),
_xlpm.MacVal,_xlfn.XLOOKUP($A590,Output_Mac!$A:$A,Output_Mac!J:J,""),
_xlpm.MyAuditVal,_xlfn.XLOOKUP($A590,My_Audit!$A:$A,My_Audit!H:H,""),
_xlfn.IFS(_xlpm.MyAuditVal&lt;&gt;"",UPPER(_xlpm.MyAuditVal),_xlpm.MacVal&lt;&gt;"",_xlpm.MacVal,_xlpm.CSVVal&lt;&gt;"",_xlpm.CSVVal
)),"")</f>
        <v/>
      </c>
      <c r="J590" s="54" t="str" cm="1">
        <f t="array" ref="J590">IFERROR(_xlfn.LET(
_xlpm.CSVVal,_xlfn.XLOOKUP($A590,CSV!$A:$A,CSV!I:I,""),
_xlpm.MacVal,_xlfn.XLOOKUP($A590,Output_Mac!$A:$A,Output_Mac!K:K,""),
_xlpm.MyAuditVal,_xlfn.XLOOKUP($A590,My_Audit!$A:$A,My_Audit!I:I,""),
_xlfn.IFS(_xlpm.MyAuditVal&lt;&gt;"",UPPER(_xlpm.MyAuditVal),_xlpm.MacVal&lt;&gt;"",_xlpm.MacVal,_xlpm.CSVVal&lt;&gt;"",_xlpm.CSVVal
)),"")</f>
        <v/>
      </c>
      <c r="K590" s="54" t="str" cm="1">
        <f t="array" ref="K590">IFERROR(_xlfn.LET(
_xlpm.CSVVal,_xlfn.XLOOKUP($A590,CSV!$A:$A,CSV!M:M,""),
_xlpm.MacVal,_xlfn.XLOOKUP($A590,Output_Mac!$A:$A,Output_Mac!L:L,""),
_xlpm.MyAuditVal,_xlfn.XLOOKUP($A590,My_Audit!$A:$A,My_Audit!J:J,""),
_xlfn.IFS(_xlpm.MyAuditVal&lt;&gt;"",UPPER(_xlpm.MyAuditVal),_xlpm.MacVal&lt;&gt;"",_xlpm.MacVal,_xlpm.CSVVal&lt;&gt;"",_xlpm.CSVVal
)),"")</f>
        <v/>
      </c>
      <c r="L590" s="54" t="str" cm="1">
        <f t="array" ref="L590">IFERROR(_xlfn.LET(
_xlpm.CSVVal,_xlfn.XLOOKUP($A590,CSV!$A:$A,CSV!O:O,""),
_xlpm.MacVal,_xlfn.XLOOKUP($A590,Output_Mac!$A:$A,Output_Mac!M:M,""),
_xlpm.MyAuditVal,_xlfn.XLOOKUP($A590,My_Audit!$A:$A,My_Audit!K:K,""),
_xlfn.IFS(_xlpm.MyAuditVal&lt;&gt;"",UPPER(_xlpm.MyAuditVal),_xlpm.MacVal&lt;&gt;"",_xlpm.MacVal,_xlpm.CSVVal&lt;&gt;"",_xlpm.CSVVal
)),"")</f>
        <v/>
      </c>
      <c r="M590" s="54" t="str">
        <f>_xlfn.LET(
    _xlpm.CSVVal, _xlfn.XLOOKUP($A590, CSV!$A:$A, CSV!AD:AD, ""),
    _xlpm.MacVal, _xlfn.XLOOKUP($A590, Output_Mac!$A:$A, Output_Mac!S:S, ""),
    _xlpm.MyAuditVal, _xlfn.XLOOKUP($A590, My_Audit!$A:$A, My_Audit!N:N, ""),
    _xlfn.TEXTJOIN(", ", TRUE, _xlpm.MyAuditVal, _xlpm.MacVal, _xlpm.CSVVal)
)</f>
        <v/>
      </c>
      <c r="N590" s="54" t="str" cm="1">
        <f t="array" ref="N590">IFERROR(_xlfn.LET(
_xlpm.CSVVal,_xlfn.XLOOKUP($A590,CSV!$A:$A,CSV!AF:AF,""),
_xlpm.MacVal,_xlfn.XLOOKUP($A590,Output_Mac!$A:$A,Output_Mac!U:U,""),
_xlpm.MyAuditVal,_xlfn.XLOOKUP($A590,My_Audit!$A:$A,My_Audit!O:O,""),
_xlfn.IFS(_xlpm.MyAuditVal&lt;&gt;"",UPPER(_xlpm.MyAuditVal),_xlpm.MacVal&lt;&gt;"",_xlpm.MacVal,_xlpm.CSVVal&lt;&gt;"",_xlpm.CSVVal
)),"")</f>
        <v/>
      </c>
      <c r="O590" s="54"/>
      <c r="P590" s="54"/>
      <c r="Q590" s="54"/>
      <c r="R590" s="54"/>
      <c r="S590" s="54"/>
      <c r="T590" s="54"/>
      <c r="U590" s="39"/>
    </row>
    <row r="591" spans="1:21">
      <c r="A591" s="54" t="str">
        <f>_xlfn.TEXTJOIN("",TRUE,Input!$B$2,ROW(My_Audit!A590))</f>
        <v>XX590</v>
      </c>
      <c r="B591" s="54" t="str">
        <f>_xlfn.TEXTJOIN("-",TRUE,"ITD",Input!$A$2,A591)</f>
        <v>ITD-SHRXXX-XX590</v>
      </c>
      <c r="C591" s="54" t="str" cm="1">
        <f t="array" ref="C591">IFERROR(_xlfn.LET(
_xlpm.CSVVal,_xlfn.XLOOKUP($A591,CSV!$A:$A,CSV!B:B,""),
_xlpm.MacVal,_xlfn.XLOOKUP($A591,Output_Mac!$A:$A,Output_Mac!B:B,""),
_xlpm.MyAuditVal,_xlfn.XLOOKUP($A591,My_Audit!$A:$A,My_Audit!B:B,""),
_xlfn.IFS(_xlpm.MyAuditVal&lt;&gt;"",UPPER(_xlpm.MyAuditVal),_xlpm.MacVal&lt;&gt;"",_xlpm.MacVal,_xlpm.CSVVal&lt;&gt;"",_xlpm.CSVVal
)),"")</f>
        <v/>
      </c>
      <c r="D591" s="55" t="str">
        <f>_xlfn.XLOOKUP(A591,My_Audit!A:A,My_Audit!D:D,"")&amp;""</f>
        <v/>
      </c>
      <c r="E591" s="55" t="str" cm="1">
        <f t="array" ref="E591">IFERROR(_xlfn.LET(
_xlpm.CSVVal,_xlfn.XLOOKUP($A591,CSV!$A:$A,CSV!D:D,""),
_xlpm.MacVal,_xlfn.XLOOKUP($A591,Output_Mac!$A:$A,Output_Mac!C:C,""),
_xlpm.MyAuditVal,_xlfn.XLOOKUP($A591,My_Audit!$A:$A,My_Audit!D:D,""),
_xlfn.IFS(_xlpm.MyAuditVal&lt;&gt;"",_xlpm.MyAuditVal,_xlpm.MacVal&lt;&gt;"",_xlpm.MacVal,_xlpm.CSVVal&lt;&gt;"",_xlpm.CSVVal
)),"")</f>
        <v/>
      </c>
      <c r="F591" s="54" t="str" cm="1">
        <f t="array" ref="F591">IFERROR(_xlfn.LET(
_xlpm.CSVVal,_xlfn.XLOOKUP($A591,CSV!$A:$A,CSV!E:E,""),
_xlpm.MacVal,_xlfn.XLOOKUP($A591,Output_Mac!$A:$A,Output_Mac!F:F,""),
_xlpm.MyAuditVal,_xlfn.XLOOKUP($A591,My_Audit!$A:$A,My_Audit!E:E,""),
_xlfn.IFS(_xlpm.MyAuditVal&lt;&gt;"",_xlpm.MyAuditVal,_xlpm.MacVal&lt;&gt;"",_xlpm.MacVal,_xlpm.CSVVal&lt;&gt;"",PROPER(_xlpm.CSVVal)
)),"")</f>
        <v/>
      </c>
      <c r="G591" s="54" t="str" cm="1">
        <f t="array" ref="G591">IFERROR(_xlfn.LET(
_xlpm.CSVVal,_xlfn.XLOOKUP($A591,CSV!$A:$A,CSV!F:F,""),
_xlpm.MacVal,_xlfn.XLOOKUP($A591,Output_Mac!$A:$A,Output_Mac!H:H,""),
_xlpm.MyAuditVal,_xlfn.XLOOKUP($A591,My_Audit!$A:$A,My_Audit!F:F,""),
_xlfn.IFS(_xlpm.MyAuditVal&lt;&gt;"",_xlpm.MyAuditVal,_xlpm.MacVal&lt;&gt;"",_xlpm.MacVal,_xlpm.CSVVal&lt;&gt;"",_xlpm.CSVVal
)),"")</f>
        <v/>
      </c>
      <c r="H591" s="54" t="str">
        <f>_xlfn.XLOOKUP(A591,Output_Mac!A:A,Output_Mac!I:I,"")</f>
        <v/>
      </c>
      <c r="I591" s="54" t="str" cm="1">
        <f t="array" ref="I591">IFERROR(_xlfn.LET(
_xlpm.CSVVal,_xlfn.XLOOKUP($A591,CSV!$A:$A,CSV!G:G,""),
_xlpm.MacVal,_xlfn.XLOOKUP($A591,Output_Mac!$A:$A,Output_Mac!J:J,""),
_xlpm.MyAuditVal,_xlfn.XLOOKUP($A591,My_Audit!$A:$A,My_Audit!H:H,""),
_xlfn.IFS(_xlpm.MyAuditVal&lt;&gt;"",UPPER(_xlpm.MyAuditVal),_xlpm.MacVal&lt;&gt;"",_xlpm.MacVal,_xlpm.CSVVal&lt;&gt;"",_xlpm.CSVVal
)),"")</f>
        <v/>
      </c>
      <c r="J591" s="54" t="str" cm="1">
        <f t="array" ref="J591">IFERROR(_xlfn.LET(
_xlpm.CSVVal,_xlfn.XLOOKUP($A591,CSV!$A:$A,CSV!I:I,""),
_xlpm.MacVal,_xlfn.XLOOKUP($A591,Output_Mac!$A:$A,Output_Mac!K:K,""),
_xlpm.MyAuditVal,_xlfn.XLOOKUP($A591,My_Audit!$A:$A,My_Audit!I:I,""),
_xlfn.IFS(_xlpm.MyAuditVal&lt;&gt;"",UPPER(_xlpm.MyAuditVal),_xlpm.MacVal&lt;&gt;"",_xlpm.MacVal,_xlpm.CSVVal&lt;&gt;"",_xlpm.CSVVal
)),"")</f>
        <v/>
      </c>
      <c r="K591" s="54" t="str" cm="1">
        <f t="array" ref="K591">IFERROR(_xlfn.LET(
_xlpm.CSVVal,_xlfn.XLOOKUP($A591,CSV!$A:$A,CSV!M:M,""),
_xlpm.MacVal,_xlfn.XLOOKUP($A591,Output_Mac!$A:$A,Output_Mac!L:L,""),
_xlpm.MyAuditVal,_xlfn.XLOOKUP($A591,My_Audit!$A:$A,My_Audit!J:J,""),
_xlfn.IFS(_xlpm.MyAuditVal&lt;&gt;"",UPPER(_xlpm.MyAuditVal),_xlpm.MacVal&lt;&gt;"",_xlpm.MacVal,_xlpm.CSVVal&lt;&gt;"",_xlpm.CSVVal
)),"")</f>
        <v/>
      </c>
      <c r="L591" s="54" t="str" cm="1">
        <f t="array" ref="L591">IFERROR(_xlfn.LET(
_xlpm.CSVVal,_xlfn.XLOOKUP($A591,CSV!$A:$A,CSV!O:O,""),
_xlpm.MacVal,_xlfn.XLOOKUP($A591,Output_Mac!$A:$A,Output_Mac!M:M,""),
_xlpm.MyAuditVal,_xlfn.XLOOKUP($A591,My_Audit!$A:$A,My_Audit!K:K,""),
_xlfn.IFS(_xlpm.MyAuditVal&lt;&gt;"",UPPER(_xlpm.MyAuditVal),_xlpm.MacVal&lt;&gt;"",_xlpm.MacVal,_xlpm.CSVVal&lt;&gt;"",_xlpm.CSVVal
)),"")</f>
        <v/>
      </c>
      <c r="M591" s="54" t="str">
        <f>_xlfn.LET(
    _xlpm.CSVVal, _xlfn.XLOOKUP($A591, CSV!$A:$A, CSV!AD:AD, ""),
    _xlpm.MacVal, _xlfn.XLOOKUP($A591, Output_Mac!$A:$A, Output_Mac!S:S, ""),
    _xlpm.MyAuditVal, _xlfn.XLOOKUP($A591, My_Audit!$A:$A, My_Audit!N:N, ""),
    _xlfn.TEXTJOIN(", ", TRUE, _xlpm.MyAuditVal, _xlpm.MacVal, _xlpm.CSVVal)
)</f>
        <v/>
      </c>
      <c r="N591" s="54" t="str" cm="1">
        <f t="array" ref="N591">IFERROR(_xlfn.LET(
_xlpm.CSVVal,_xlfn.XLOOKUP($A591,CSV!$A:$A,CSV!AF:AF,""),
_xlpm.MacVal,_xlfn.XLOOKUP($A591,Output_Mac!$A:$A,Output_Mac!U:U,""),
_xlpm.MyAuditVal,_xlfn.XLOOKUP($A591,My_Audit!$A:$A,My_Audit!O:O,""),
_xlfn.IFS(_xlpm.MyAuditVal&lt;&gt;"",UPPER(_xlpm.MyAuditVal),_xlpm.MacVal&lt;&gt;"",_xlpm.MacVal,_xlpm.CSVVal&lt;&gt;"",_xlpm.CSVVal
)),"")</f>
        <v/>
      </c>
      <c r="O591" s="54"/>
      <c r="P591" s="54"/>
      <c r="Q591" s="54"/>
      <c r="R591" s="54"/>
      <c r="S591" s="54"/>
      <c r="T591" s="54"/>
      <c r="U591" s="39"/>
    </row>
    <row r="592" spans="1:21">
      <c r="A592" s="54" t="str">
        <f>_xlfn.TEXTJOIN("",TRUE,Input!$B$2,ROW(My_Audit!A591))</f>
        <v>XX591</v>
      </c>
      <c r="B592" s="54" t="str">
        <f>_xlfn.TEXTJOIN("-",TRUE,"ITD",Input!$A$2,A592)</f>
        <v>ITD-SHRXXX-XX591</v>
      </c>
      <c r="C592" s="54" t="str" cm="1">
        <f t="array" ref="C592">IFERROR(_xlfn.LET(
_xlpm.CSVVal,_xlfn.XLOOKUP($A592,CSV!$A:$A,CSV!B:B,""),
_xlpm.MacVal,_xlfn.XLOOKUP($A592,Output_Mac!$A:$A,Output_Mac!B:B,""),
_xlpm.MyAuditVal,_xlfn.XLOOKUP($A592,My_Audit!$A:$A,My_Audit!B:B,""),
_xlfn.IFS(_xlpm.MyAuditVal&lt;&gt;"",UPPER(_xlpm.MyAuditVal),_xlpm.MacVal&lt;&gt;"",_xlpm.MacVal,_xlpm.CSVVal&lt;&gt;"",_xlpm.CSVVal
)),"")</f>
        <v/>
      </c>
      <c r="D592" s="55" t="str">
        <f>_xlfn.XLOOKUP(A592,My_Audit!A:A,My_Audit!D:D,"")&amp;""</f>
        <v/>
      </c>
      <c r="E592" s="55" t="str" cm="1">
        <f t="array" ref="E592">IFERROR(_xlfn.LET(
_xlpm.CSVVal,_xlfn.XLOOKUP($A592,CSV!$A:$A,CSV!D:D,""),
_xlpm.MacVal,_xlfn.XLOOKUP($A592,Output_Mac!$A:$A,Output_Mac!C:C,""),
_xlpm.MyAuditVal,_xlfn.XLOOKUP($A592,My_Audit!$A:$A,My_Audit!D:D,""),
_xlfn.IFS(_xlpm.MyAuditVal&lt;&gt;"",_xlpm.MyAuditVal,_xlpm.MacVal&lt;&gt;"",_xlpm.MacVal,_xlpm.CSVVal&lt;&gt;"",_xlpm.CSVVal
)),"")</f>
        <v/>
      </c>
      <c r="F592" s="54" t="str" cm="1">
        <f t="array" ref="F592">IFERROR(_xlfn.LET(
_xlpm.CSVVal,_xlfn.XLOOKUP($A592,CSV!$A:$A,CSV!E:E,""),
_xlpm.MacVal,_xlfn.XLOOKUP($A592,Output_Mac!$A:$A,Output_Mac!F:F,""),
_xlpm.MyAuditVal,_xlfn.XLOOKUP($A592,My_Audit!$A:$A,My_Audit!E:E,""),
_xlfn.IFS(_xlpm.MyAuditVal&lt;&gt;"",_xlpm.MyAuditVal,_xlpm.MacVal&lt;&gt;"",_xlpm.MacVal,_xlpm.CSVVal&lt;&gt;"",PROPER(_xlpm.CSVVal)
)),"")</f>
        <v/>
      </c>
      <c r="G592" s="54" t="str" cm="1">
        <f t="array" ref="G592">IFERROR(_xlfn.LET(
_xlpm.CSVVal,_xlfn.XLOOKUP($A592,CSV!$A:$A,CSV!F:F,""),
_xlpm.MacVal,_xlfn.XLOOKUP($A592,Output_Mac!$A:$A,Output_Mac!H:H,""),
_xlpm.MyAuditVal,_xlfn.XLOOKUP($A592,My_Audit!$A:$A,My_Audit!F:F,""),
_xlfn.IFS(_xlpm.MyAuditVal&lt;&gt;"",_xlpm.MyAuditVal,_xlpm.MacVal&lt;&gt;"",_xlpm.MacVal,_xlpm.CSVVal&lt;&gt;"",_xlpm.CSVVal
)),"")</f>
        <v/>
      </c>
      <c r="H592" s="54" t="str">
        <f>_xlfn.XLOOKUP(A592,Output_Mac!A:A,Output_Mac!I:I,"")</f>
        <v/>
      </c>
      <c r="I592" s="54" t="str" cm="1">
        <f t="array" ref="I592">IFERROR(_xlfn.LET(
_xlpm.CSVVal,_xlfn.XLOOKUP($A592,CSV!$A:$A,CSV!G:G,""),
_xlpm.MacVal,_xlfn.XLOOKUP($A592,Output_Mac!$A:$A,Output_Mac!J:J,""),
_xlpm.MyAuditVal,_xlfn.XLOOKUP($A592,My_Audit!$A:$A,My_Audit!H:H,""),
_xlfn.IFS(_xlpm.MyAuditVal&lt;&gt;"",UPPER(_xlpm.MyAuditVal),_xlpm.MacVal&lt;&gt;"",_xlpm.MacVal,_xlpm.CSVVal&lt;&gt;"",_xlpm.CSVVal
)),"")</f>
        <v/>
      </c>
      <c r="J592" s="54" t="str" cm="1">
        <f t="array" ref="J592">IFERROR(_xlfn.LET(
_xlpm.CSVVal,_xlfn.XLOOKUP($A592,CSV!$A:$A,CSV!I:I,""),
_xlpm.MacVal,_xlfn.XLOOKUP($A592,Output_Mac!$A:$A,Output_Mac!K:K,""),
_xlpm.MyAuditVal,_xlfn.XLOOKUP($A592,My_Audit!$A:$A,My_Audit!I:I,""),
_xlfn.IFS(_xlpm.MyAuditVal&lt;&gt;"",UPPER(_xlpm.MyAuditVal),_xlpm.MacVal&lt;&gt;"",_xlpm.MacVal,_xlpm.CSVVal&lt;&gt;"",_xlpm.CSVVal
)),"")</f>
        <v/>
      </c>
      <c r="K592" s="54" t="str" cm="1">
        <f t="array" ref="K592">IFERROR(_xlfn.LET(
_xlpm.CSVVal,_xlfn.XLOOKUP($A592,CSV!$A:$A,CSV!M:M,""),
_xlpm.MacVal,_xlfn.XLOOKUP($A592,Output_Mac!$A:$A,Output_Mac!L:L,""),
_xlpm.MyAuditVal,_xlfn.XLOOKUP($A592,My_Audit!$A:$A,My_Audit!J:J,""),
_xlfn.IFS(_xlpm.MyAuditVal&lt;&gt;"",UPPER(_xlpm.MyAuditVal),_xlpm.MacVal&lt;&gt;"",_xlpm.MacVal,_xlpm.CSVVal&lt;&gt;"",_xlpm.CSVVal
)),"")</f>
        <v/>
      </c>
      <c r="L592" s="54" t="str" cm="1">
        <f t="array" ref="L592">IFERROR(_xlfn.LET(
_xlpm.CSVVal,_xlfn.XLOOKUP($A592,CSV!$A:$A,CSV!O:O,""),
_xlpm.MacVal,_xlfn.XLOOKUP($A592,Output_Mac!$A:$A,Output_Mac!M:M,""),
_xlpm.MyAuditVal,_xlfn.XLOOKUP($A592,My_Audit!$A:$A,My_Audit!K:K,""),
_xlfn.IFS(_xlpm.MyAuditVal&lt;&gt;"",UPPER(_xlpm.MyAuditVal),_xlpm.MacVal&lt;&gt;"",_xlpm.MacVal,_xlpm.CSVVal&lt;&gt;"",_xlpm.CSVVal
)),"")</f>
        <v/>
      </c>
      <c r="M592" s="54" t="str">
        <f>_xlfn.LET(
    _xlpm.CSVVal, _xlfn.XLOOKUP($A592, CSV!$A:$A, CSV!AD:AD, ""),
    _xlpm.MacVal, _xlfn.XLOOKUP($A592, Output_Mac!$A:$A, Output_Mac!S:S, ""),
    _xlpm.MyAuditVal, _xlfn.XLOOKUP($A592, My_Audit!$A:$A, My_Audit!N:N, ""),
    _xlfn.TEXTJOIN(", ", TRUE, _xlpm.MyAuditVal, _xlpm.MacVal, _xlpm.CSVVal)
)</f>
        <v/>
      </c>
      <c r="N592" s="54" t="str" cm="1">
        <f t="array" ref="N592">IFERROR(_xlfn.LET(
_xlpm.CSVVal,_xlfn.XLOOKUP($A592,CSV!$A:$A,CSV!AF:AF,""),
_xlpm.MacVal,_xlfn.XLOOKUP($A592,Output_Mac!$A:$A,Output_Mac!U:U,""),
_xlpm.MyAuditVal,_xlfn.XLOOKUP($A592,My_Audit!$A:$A,My_Audit!O:O,""),
_xlfn.IFS(_xlpm.MyAuditVal&lt;&gt;"",UPPER(_xlpm.MyAuditVal),_xlpm.MacVal&lt;&gt;"",_xlpm.MacVal,_xlpm.CSVVal&lt;&gt;"",_xlpm.CSVVal
)),"")</f>
        <v/>
      </c>
      <c r="O592" s="54"/>
      <c r="P592" s="54"/>
      <c r="Q592" s="54"/>
      <c r="R592" s="54"/>
      <c r="S592" s="54"/>
      <c r="T592" s="54"/>
      <c r="U592" s="39"/>
    </row>
    <row r="593" spans="1:21">
      <c r="A593" s="54" t="str">
        <f>_xlfn.TEXTJOIN("",TRUE,Input!$B$2,ROW(My_Audit!A592))</f>
        <v>XX592</v>
      </c>
      <c r="B593" s="54" t="str">
        <f>_xlfn.TEXTJOIN("-",TRUE,"ITD",Input!$A$2,A593)</f>
        <v>ITD-SHRXXX-XX592</v>
      </c>
      <c r="C593" s="54" t="str" cm="1">
        <f t="array" ref="C593">IFERROR(_xlfn.LET(
_xlpm.CSVVal,_xlfn.XLOOKUP($A593,CSV!$A:$A,CSV!B:B,""),
_xlpm.MacVal,_xlfn.XLOOKUP($A593,Output_Mac!$A:$A,Output_Mac!B:B,""),
_xlpm.MyAuditVal,_xlfn.XLOOKUP($A593,My_Audit!$A:$A,My_Audit!B:B,""),
_xlfn.IFS(_xlpm.MyAuditVal&lt;&gt;"",UPPER(_xlpm.MyAuditVal),_xlpm.MacVal&lt;&gt;"",_xlpm.MacVal,_xlpm.CSVVal&lt;&gt;"",_xlpm.CSVVal
)),"")</f>
        <v/>
      </c>
      <c r="D593" s="55" t="str">
        <f>_xlfn.XLOOKUP(A593,My_Audit!A:A,My_Audit!D:D,"")&amp;""</f>
        <v/>
      </c>
      <c r="E593" s="55" t="str" cm="1">
        <f t="array" ref="E593">IFERROR(_xlfn.LET(
_xlpm.CSVVal,_xlfn.XLOOKUP($A593,CSV!$A:$A,CSV!D:D,""),
_xlpm.MacVal,_xlfn.XLOOKUP($A593,Output_Mac!$A:$A,Output_Mac!C:C,""),
_xlpm.MyAuditVal,_xlfn.XLOOKUP($A593,My_Audit!$A:$A,My_Audit!D:D,""),
_xlfn.IFS(_xlpm.MyAuditVal&lt;&gt;"",_xlpm.MyAuditVal,_xlpm.MacVal&lt;&gt;"",_xlpm.MacVal,_xlpm.CSVVal&lt;&gt;"",_xlpm.CSVVal
)),"")</f>
        <v/>
      </c>
      <c r="F593" s="54" t="str" cm="1">
        <f t="array" ref="F593">IFERROR(_xlfn.LET(
_xlpm.CSVVal,_xlfn.XLOOKUP($A593,CSV!$A:$A,CSV!E:E,""),
_xlpm.MacVal,_xlfn.XLOOKUP($A593,Output_Mac!$A:$A,Output_Mac!F:F,""),
_xlpm.MyAuditVal,_xlfn.XLOOKUP($A593,My_Audit!$A:$A,My_Audit!E:E,""),
_xlfn.IFS(_xlpm.MyAuditVal&lt;&gt;"",_xlpm.MyAuditVal,_xlpm.MacVal&lt;&gt;"",_xlpm.MacVal,_xlpm.CSVVal&lt;&gt;"",PROPER(_xlpm.CSVVal)
)),"")</f>
        <v/>
      </c>
      <c r="G593" s="54" t="str" cm="1">
        <f t="array" ref="G593">IFERROR(_xlfn.LET(
_xlpm.CSVVal,_xlfn.XLOOKUP($A593,CSV!$A:$A,CSV!F:F,""),
_xlpm.MacVal,_xlfn.XLOOKUP($A593,Output_Mac!$A:$A,Output_Mac!H:H,""),
_xlpm.MyAuditVal,_xlfn.XLOOKUP($A593,My_Audit!$A:$A,My_Audit!F:F,""),
_xlfn.IFS(_xlpm.MyAuditVal&lt;&gt;"",_xlpm.MyAuditVal,_xlpm.MacVal&lt;&gt;"",_xlpm.MacVal,_xlpm.CSVVal&lt;&gt;"",_xlpm.CSVVal
)),"")</f>
        <v/>
      </c>
      <c r="H593" s="54" t="str">
        <f>_xlfn.XLOOKUP(A593,Output_Mac!A:A,Output_Mac!I:I,"")</f>
        <v/>
      </c>
      <c r="I593" s="54" t="str" cm="1">
        <f t="array" ref="I593">IFERROR(_xlfn.LET(
_xlpm.CSVVal,_xlfn.XLOOKUP($A593,CSV!$A:$A,CSV!G:G,""),
_xlpm.MacVal,_xlfn.XLOOKUP($A593,Output_Mac!$A:$A,Output_Mac!J:J,""),
_xlpm.MyAuditVal,_xlfn.XLOOKUP($A593,My_Audit!$A:$A,My_Audit!H:H,""),
_xlfn.IFS(_xlpm.MyAuditVal&lt;&gt;"",UPPER(_xlpm.MyAuditVal),_xlpm.MacVal&lt;&gt;"",_xlpm.MacVal,_xlpm.CSVVal&lt;&gt;"",_xlpm.CSVVal
)),"")</f>
        <v/>
      </c>
      <c r="J593" s="54" t="str" cm="1">
        <f t="array" ref="J593">IFERROR(_xlfn.LET(
_xlpm.CSVVal,_xlfn.XLOOKUP($A593,CSV!$A:$A,CSV!I:I,""),
_xlpm.MacVal,_xlfn.XLOOKUP($A593,Output_Mac!$A:$A,Output_Mac!K:K,""),
_xlpm.MyAuditVal,_xlfn.XLOOKUP($A593,My_Audit!$A:$A,My_Audit!I:I,""),
_xlfn.IFS(_xlpm.MyAuditVal&lt;&gt;"",UPPER(_xlpm.MyAuditVal),_xlpm.MacVal&lt;&gt;"",_xlpm.MacVal,_xlpm.CSVVal&lt;&gt;"",_xlpm.CSVVal
)),"")</f>
        <v/>
      </c>
      <c r="K593" s="54" t="str" cm="1">
        <f t="array" ref="K593">IFERROR(_xlfn.LET(
_xlpm.CSVVal,_xlfn.XLOOKUP($A593,CSV!$A:$A,CSV!M:M,""),
_xlpm.MacVal,_xlfn.XLOOKUP($A593,Output_Mac!$A:$A,Output_Mac!L:L,""),
_xlpm.MyAuditVal,_xlfn.XLOOKUP($A593,My_Audit!$A:$A,My_Audit!J:J,""),
_xlfn.IFS(_xlpm.MyAuditVal&lt;&gt;"",UPPER(_xlpm.MyAuditVal),_xlpm.MacVal&lt;&gt;"",_xlpm.MacVal,_xlpm.CSVVal&lt;&gt;"",_xlpm.CSVVal
)),"")</f>
        <v/>
      </c>
      <c r="L593" s="54" t="str" cm="1">
        <f t="array" ref="L593">IFERROR(_xlfn.LET(
_xlpm.CSVVal,_xlfn.XLOOKUP($A593,CSV!$A:$A,CSV!O:O,""),
_xlpm.MacVal,_xlfn.XLOOKUP($A593,Output_Mac!$A:$A,Output_Mac!M:M,""),
_xlpm.MyAuditVal,_xlfn.XLOOKUP($A593,My_Audit!$A:$A,My_Audit!K:K,""),
_xlfn.IFS(_xlpm.MyAuditVal&lt;&gt;"",UPPER(_xlpm.MyAuditVal),_xlpm.MacVal&lt;&gt;"",_xlpm.MacVal,_xlpm.CSVVal&lt;&gt;"",_xlpm.CSVVal
)),"")</f>
        <v/>
      </c>
      <c r="M593" s="54" t="str">
        <f>_xlfn.LET(
    _xlpm.CSVVal, _xlfn.XLOOKUP($A593, CSV!$A:$A, CSV!AD:AD, ""),
    _xlpm.MacVal, _xlfn.XLOOKUP($A593, Output_Mac!$A:$A, Output_Mac!S:S, ""),
    _xlpm.MyAuditVal, _xlfn.XLOOKUP($A593, My_Audit!$A:$A, My_Audit!N:N, ""),
    _xlfn.TEXTJOIN(", ", TRUE, _xlpm.MyAuditVal, _xlpm.MacVal, _xlpm.CSVVal)
)</f>
        <v/>
      </c>
      <c r="N593" s="54" t="str" cm="1">
        <f t="array" ref="N593">IFERROR(_xlfn.LET(
_xlpm.CSVVal,_xlfn.XLOOKUP($A593,CSV!$A:$A,CSV!AF:AF,""),
_xlpm.MacVal,_xlfn.XLOOKUP($A593,Output_Mac!$A:$A,Output_Mac!U:U,""),
_xlpm.MyAuditVal,_xlfn.XLOOKUP($A593,My_Audit!$A:$A,My_Audit!O:O,""),
_xlfn.IFS(_xlpm.MyAuditVal&lt;&gt;"",UPPER(_xlpm.MyAuditVal),_xlpm.MacVal&lt;&gt;"",_xlpm.MacVal,_xlpm.CSVVal&lt;&gt;"",_xlpm.CSVVal
)),"")</f>
        <v/>
      </c>
      <c r="O593" s="54"/>
      <c r="P593" s="54"/>
      <c r="Q593" s="54"/>
      <c r="R593" s="54"/>
      <c r="S593" s="54"/>
      <c r="T593" s="54"/>
      <c r="U593" s="39"/>
    </row>
    <row r="594" spans="1:21">
      <c r="A594" s="54" t="str">
        <f>_xlfn.TEXTJOIN("",TRUE,Input!$B$2,ROW(My_Audit!A593))</f>
        <v>XX593</v>
      </c>
      <c r="B594" s="54" t="str">
        <f>_xlfn.TEXTJOIN("-",TRUE,"ITD",Input!$A$2,A594)</f>
        <v>ITD-SHRXXX-XX593</v>
      </c>
      <c r="C594" s="54" t="str" cm="1">
        <f t="array" ref="C594">IFERROR(_xlfn.LET(
_xlpm.CSVVal,_xlfn.XLOOKUP($A594,CSV!$A:$A,CSV!B:B,""),
_xlpm.MacVal,_xlfn.XLOOKUP($A594,Output_Mac!$A:$A,Output_Mac!B:B,""),
_xlpm.MyAuditVal,_xlfn.XLOOKUP($A594,My_Audit!$A:$A,My_Audit!B:B,""),
_xlfn.IFS(_xlpm.MyAuditVal&lt;&gt;"",UPPER(_xlpm.MyAuditVal),_xlpm.MacVal&lt;&gt;"",_xlpm.MacVal,_xlpm.CSVVal&lt;&gt;"",_xlpm.CSVVal
)),"")</f>
        <v/>
      </c>
      <c r="D594" s="55" t="str">
        <f>_xlfn.XLOOKUP(A594,My_Audit!A:A,My_Audit!D:D,"")&amp;""</f>
        <v/>
      </c>
      <c r="E594" s="55" t="str" cm="1">
        <f t="array" ref="E594">IFERROR(_xlfn.LET(
_xlpm.CSVVal,_xlfn.XLOOKUP($A594,CSV!$A:$A,CSV!D:D,""),
_xlpm.MacVal,_xlfn.XLOOKUP($A594,Output_Mac!$A:$A,Output_Mac!C:C,""),
_xlpm.MyAuditVal,_xlfn.XLOOKUP($A594,My_Audit!$A:$A,My_Audit!D:D,""),
_xlfn.IFS(_xlpm.MyAuditVal&lt;&gt;"",_xlpm.MyAuditVal,_xlpm.MacVal&lt;&gt;"",_xlpm.MacVal,_xlpm.CSVVal&lt;&gt;"",_xlpm.CSVVal
)),"")</f>
        <v/>
      </c>
      <c r="F594" s="54" t="str" cm="1">
        <f t="array" ref="F594">IFERROR(_xlfn.LET(
_xlpm.CSVVal,_xlfn.XLOOKUP($A594,CSV!$A:$A,CSV!E:E,""),
_xlpm.MacVal,_xlfn.XLOOKUP($A594,Output_Mac!$A:$A,Output_Mac!F:F,""),
_xlpm.MyAuditVal,_xlfn.XLOOKUP($A594,My_Audit!$A:$A,My_Audit!E:E,""),
_xlfn.IFS(_xlpm.MyAuditVal&lt;&gt;"",_xlpm.MyAuditVal,_xlpm.MacVal&lt;&gt;"",_xlpm.MacVal,_xlpm.CSVVal&lt;&gt;"",PROPER(_xlpm.CSVVal)
)),"")</f>
        <v/>
      </c>
      <c r="G594" s="54" t="str" cm="1">
        <f t="array" ref="G594">IFERROR(_xlfn.LET(
_xlpm.CSVVal,_xlfn.XLOOKUP($A594,CSV!$A:$A,CSV!F:F,""),
_xlpm.MacVal,_xlfn.XLOOKUP($A594,Output_Mac!$A:$A,Output_Mac!H:H,""),
_xlpm.MyAuditVal,_xlfn.XLOOKUP($A594,My_Audit!$A:$A,My_Audit!F:F,""),
_xlfn.IFS(_xlpm.MyAuditVal&lt;&gt;"",_xlpm.MyAuditVal,_xlpm.MacVal&lt;&gt;"",_xlpm.MacVal,_xlpm.CSVVal&lt;&gt;"",_xlpm.CSVVal
)),"")</f>
        <v/>
      </c>
      <c r="H594" s="54" t="str">
        <f>_xlfn.XLOOKUP(A594,Output_Mac!A:A,Output_Mac!I:I,"")</f>
        <v/>
      </c>
      <c r="I594" s="54" t="str" cm="1">
        <f t="array" ref="I594">IFERROR(_xlfn.LET(
_xlpm.CSVVal,_xlfn.XLOOKUP($A594,CSV!$A:$A,CSV!G:G,""),
_xlpm.MacVal,_xlfn.XLOOKUP($A594,Output_Mac!$A:$A,Output_Mac!J:J,""),
_xlpm.MyAuditVal,_xlfn.XLOOKUP($A594,My_Audit!$A:$A,My_Audit!H:H,""),
_xlfn.IFS(_xlpm.MyAuditVal&lt;&gt;"",UPPER(_xlpm.MyAuditVal),_xlpm.MacVal&lt;&gt;"",_xlpm.MacVal,_xlpm.CSVVal&lt;&gt;"",_xlpm.CSVVal
)),"")</f>
        <v/>
      </c>
      <c r="J594" s="54" t="str" cm="1">
        <f t="array" ref="J594">IFERROR(_xlfn.LET(
_xlpm.CSVVal,_xlfn.XLOOKUP($A594,CSV!$A:$A,CSV!I:I,""),
_xlpm.MacVal,_xlfn.XLOOKUP($A594,Output_Mac!$A:$A,Output_Mac!K:K,""),
_xlpm.MyAuditVal,_xlfn.XLOOKUP($A594,My_Audit!$A:$A,My_Audit!I:I,""),
_xlfn.IFS(_xlpm.MyAuditVal&lt;&gt;"",UPPER(_xlpm.MyAuditVal),_xlpm.MacVal&lt;&gt;"",_xlpm.MacVal,_xlpm.CSVVal&lt;&gt;"",_xlpm.CSVVal
)),"")</f>
        <v/>
      </c>
      <c r="K594" s="54" t="str" cm="1">
        <f t="array" ref="K594">IFERROR(_xlfn.LET(
_xlpm.CSVVal,_xlfn.XLOOKUP($A594,CSV!$A:$A,CSV!M:M,""),
_xlpm.MacVal,_xlfn.XLOOKUP($A594,Output_Mac!$A:$A,Output_Mac!L:L,""),
_xlpm.MyAuditVal,_xlfn.XLOOKUP($A594,My_Audit!$A:$A,My_Audit!J:J,""),
_xlfn.IFS(_xlpm.MyAuditVal&lt;&gt;"",UPPER(_xlpm.MyAuditVal),_xlpm.MacVal&lt;&gt;"",_xlpm.MacVal,_xlpm.CSVVal&lt;&gt;"",_xlpm.CSVVal
)),"")</f>
        <v/>
      </c>
      <c r="L594" s="54" t="str" cm="1">
        <f t="array" ref="L594">IFERROR(_xlfn.LET(
_xlpm.CSVVal,_xlfn.XLOOKUP($A594,CSV!$A:$A,CSV!O:O,""),
_xlpm.MacVal,_xlfn.XLOOKUP($A594,Output_Mac!$A:$A,Output_Mac!M:M,""),
_xlpm.MyAuditVal,_xlfn.XLOOKUP($A594,My_Audit!$A:$A,My_Audit!K:K,""),
_xlfn.IFS(_xlpm.MyAuditVal&lt;&gt;"",UPPER(_xlpm.MyAuditVal),_xlpm.MacVal&lt;&gt;"",_xlpm.MacVal,_xlpm.CSVVal&lt;&gt;"",_xlpm.CSVVal
)),"")</f>
        <v/>
      </c>
      <c r="M594" s="54" t="str">
        <f>_xlfn.LET(
    _xlpm.CSVVal, _xlfn.XLOOKUP($A594, CSV!$A:$A, CSV!AD:AD, ""),
    _xlpm.MacVal, _xlfn.XLOOKUP($A594, Output_Mac!$A:$A, Output_Mac!S:S, ""),
    _xlpm.MyAuditVal, _xlfn.XLOOKUP($A594, My_Audit!$A:$A, My_Audit!N:N, ""),
    _xlfn.TEXTJOIN(", ", TRUE, _xlpm.MyAuditVal, _xlpm.MacVal, _xlpm.CSVVal)
)</f>
        <v/>
      </c>
      <c r="N594" s="54" t="str" cm="1">
        <f t="array" ref="N594">IFERROR(_xlfn.LET(
_xlpm.CSVVal,_xlfn.XLOOKUP($A594,CSV!$A:$A,CSV!AF:AF,""),
_xlpm.MacVal,_xlfn.XLOOKUP($A594,Output_Mac!$A:$A,Output_Mac!U:U,""),
_xlpm.MyAuditVal,_xlfn.XLOOKUP($A594,My_Audit!$A:$A,My_Audit!O:O,""),
_xlfn.IFS(_xlpm.MyAuditVal&lt;&gt;"",UPPER(_xlpm.MyAuditVal),_xlpm.MacVal&lt;&gt;"",_xlpm.MacVal,_xlpm.CSVVal&lt;&gt;"",_xlpm.CSVVal
)),"")</f>
        <v/>
      </c>
      <c r="O594" s="54"/>
      <c r="P594" s="54"/>
      <c r="Q594" s="54"/>
      <c r="R594" s="54"/>
      <c r="S594" s="54"/>
      <c r="T594" s="54"/>
      <c r="U594" s="39"/>
    </row>
    <row r="595" spans="1:21">
      <c r="A595" s="54" t="str">
        <f>_xlfn.TEXTJOIN("",TRUE,Input!$B$2,ROW(My_Audit!A594))</f>
        <v>XX594</v>
      </c>
      <c r="B595" s="54" t="str">
        <f>_xlfn.TEXTJOIN("-",TRUE,"ITD",Input!$A$2,A595)</f>
        <v>ITD-SHRXXX-XX594</v>
      </c>
      <c r="C595" s="54" t="str" cm="1">
        <f t="array" ref="C595">IFERROR(_xlfn.LET(
_xlpm.CSVVal,_xlfn.XLOOKUP($A595,CSV!$A:$A,CSV!B:B,""),
_xlpm.MacVal,_xlfn.XLOOKUP($A595,Output_Mac!$A:$A,Output_Mac!B:B,""),
_xlpm.MyAuditVal,_xlfn.XLOOKUP($A595,My_Audit!$A:$A,My_Audit!B:B,""),
_xlfn.IFS(_xlpm.MyAuditVal&lt;&gt;"",UPPER(_xlpm.MyAuditVal),_xlpm.MacVal&lt;&gt;"",_xlpm.MacVal,_xlpm.CSVVal&lt;&gt;"",_xlpm.CSVVal
)),"")</f>
        <v/>
      </c>
      <c r="D595" s="55" t="str">
        <f>_xlfn.XLOOKUP(A595,My_Audit!A:A,My_Audit!D:D,"")&amp;""</f>
        <v/>
      </c>
      <c r="E595" s="55" t="str" cm="1">
        <f t="array" ref="E595">IFERROR(_xlfn.LET(
_xlpm.CSVVal,_xlfn.XLOOKUP($A595,CSV!$A:$A,CSV!D:D,""),
_xlpm.MacVal,_xlfn.XLOOKUP($A595,Output_Mac!$A:$A,Output_Mac!C:C,""),
_xlpm.MyAuditVal,_xlfn.XLOOKUP($A595,My_Audit!$A:$A,My_Audit!D:D,""),
_xlfn.IFS(_xlpm.MyAuditVal&lt;&gt;"",_xlpm.MyAuditVal,_xlpm.MacVal&lt;&gt;"",_xlpm.MacVal,_xlpm.CSVVal&lt;&gt;"",_xlpm.CSVVal
)),"")</f>
        <v/>
      </c>
      <c r="F595" s="54" t="str" cm="1">
        <f t="array" ref="F595">IFERROR(_xlfn.LET(
_xlpm.CSVVal,_xlfn.XLOOKUP($A595,CSV!$A:$A,CSV!E:E,""),
_xlpm.MacVal,_xlfn.XLOOKUP($A595,Output_Mac!$A:$A,Output_Mac!F:F,""),
_xlpm.MyAuditVal,_xlfn.XLOOKUP($A595,My_Audit!$A:$A,My_Audit!E:E,""),
_xlfn.IFS(_xlpm.MyAuditVal&lt;&gt;"",_xlpm.MyAuditVal,_xlpm.MacVal&lt;&gt;"",_xlpm.MacVal,_xlpm.CSVVal&lt;&gt;"",PROPER(_xlpm.CSVVal)
)),"")</f>
        <v/>
      </c>
      <c r="G595" s="54" t="str" cm="1">
        <f t="array" ref="G595">IFERROR(_xlfn.LET(
_xlpm.CSVVal,_xlfn.XLOOKUP($A595,CSV!$A:$A,CSV!F:F,""),
_xlpm.MacVal,_xlfn.XLOOKUP($A595,Output_Mac!$A:$A,Output_Mac!H:H,""),
_xlpm.MyAuditVal,_xlfn.XLOOKUP($A595,My_Audit!$A:$A,My_Audit!F:F,""),
_xlfn.IFS(_xlpm.MyAuditVal&lt;&gt;"",_xlpm.MyAuditVal,_xlpm.MacVal&lt;&gt;"",_xlpm.MacVal,_xlpm.CSVVal&lt;&gt;"",_xlpm.CSVVal
)),"")</f>
        <v/>
      </c>
      <c r="H595" s="54" t="str">
        <f>_xlfn.XLOOKUP(A595,Output_Mac!A:A,Output_Mac!I:I,"")</f>
        <v/>
      </c>
      <c r="I595" s="54" t="str" cm="1">
        <f t="array" ref="I595">IFERROR(_xlfn.LET(
_xlpm.CSVVal,_xlfn.XLOOKUP($A595,CSV!$A:$A,CSV!G:G,""),
_xlpm.MacVal,_xlfn.XLOOKUP($A595,Output_Mac!$A:$A,Output_Mac!J:J,""),
_xlpm.MyAuditVal,_xlfn.XLOOKUP($A595,My_Audit!$A:$A,My_Audit!H:H,""),
_xlfn.IFS(_xlpm.MyAuditVal&lt;&gt;"",UPPER(_xlpm.MyAuditVal),_xlpm.MacVal&lt;&gt;"",_xlpm.MacVal,_xlpm.CSVVal&lt;&gt;"",_xlpm.CSVVal
)),"")</f>
        <v/>
      </c>
      <c r="J595" s="54" t="str" cm="1">
        <f t="array" ref="J595">IFERROR(_xlfn.LET(
_xlpm.CSVVal,_xlfn.XLOOKUP($A595,CSV!$A:$A,CSV!I:I,""),
_xlpm.MacVal,_xlfn.XLOOKUP($A595,Output_Mac!$A:$A,Output_Mac!K:K,""),
_xlpm.MyAuditVal,_xlfn.XLOOKUP($A595,My_Audit!$A:$A,My_Audit!I:I,""),
_xlfn.IFS(_xlpm.MyAuditVal&lt;&gt;"",UPPER(_xlpm.MyAuditVal),_xlpm.MacVal&lt;&gt;"",_xlpm.MacVal,_xlpm.CSVVal&lt;&gt;"",_xlpm.CSVVal
)),"")</f>
        <v/>
      </c>
      <c r="K595" s="54" t="str" cm="1">
        <f t="array" ref="K595">IFERROR(_xlfn.LET(
_xlpm.CSVVal,_xlfn.XLOOKUP($A595,CSV!$A:$A,CSV!M:M,""),
_xlpm.MacVal,_xlfn.XLOOKUP($A595,Output_Mac!$A:$A,Output_Mac!L:L,""),
_xlpm.MyAuditVal,_xlfn.XLOOKUP($A595,My_Audit!$A:$A,My_Audit!J:J,""),
_xlfn.IFS(_xlpm.MyAuditVal&lt;&gt;"",UPPER(_xlpm.MyAuditVal),_xlpm.MacVal&lt;&gt;"",_xlpm.MacVal,_xlpm.CSVVal&lt;&gt;"",_xlpm.CSVVal
)),"")</f>
        <v/>
      </c>
      <c r="L595" s="54" t="str" cm="1">
        <f t="array" ref="L595">IFERROR(_xlfn.LET(
_xlpm.CSVVal,_xlfn.XLOOKUP($A595,CSV!$A:$A,CSV!O:O,""),
_xlpm.MacVal,_xlfn.XLOOKUP($A595,Output_Mac!$A:$A,Output_Mac!M:M,""),
_xlpm.MyAuditVal,_xlfn.XLOOKUP($A595,My_Audit!$A:$A,My_Audit!K:K,""),
_xlfn.IFS(_xlpm.MyAuditVal&lt;&gt;"",UPPER(_xlpm.MyAuditVal),_xlpm.MacVal&lt;&gt;"",_xlpm.MacVal,_xlpm.CSVVal&lt;&gt;"",_xlpm.CSVVal
)),"")</f>
        <v/>
      </c>
      <c r="M595" s="54" t="str">
        <f>_xlfn.LET(
    _xlpm.CSVVal, _xlfn.XLOOKUP($A595, CSV!$A:$A, CSV!AD:AD, ""),
    _xlpm.MacVal, _xlfn.XLOOKUP($A595, Output_Mac!$A:$A, Output_Mac!S:S, ""),
    _xlpm.MyAuditVal, _xlfn.XLOOKUP($A595, My_Audit!$A:$A, My_Audit!N:N, ""),
    _xlfn.TEXTJOIN(", ", TRUE, _xlpm.MyAuditVal, _xlpm.MacVal, _xlpm.CSVVal)
)</f>
        <v/>
      </c>
      <c r="N595" s="54" t="str" cm="1">
        <f t="array" ref="N595">IFERROR(_xlfn.LET(
_xlpm.CSVVal,_xlfn.XLOOKUP($A595,CSV!$A:$A,CSV!AF:AF,""),
_xlpm.MacVal,_xlfn.XLOOKUP($A595,Output_Mac!$A:$A,Output_Mac!U:U,""),
_xlpm.MyAuditVal,_xlfn.XLOOKUP($A595,My_Audit!$A:$A,My_Audit!O:O,""),
_xlfn.IFS(_xlpm.MyAuditVal&lt;&gt;"",UPPER(_xlpm.MyAuditVal),_xlpm.MacVal&lt;&gt;"",_xlpm.MacVal,_xlpm.CSVVal&lt;&gt;"",_xlpm.CSVVal
)),"")</f>
        <v/>
      </c>
      <c r="O595" s="54"/>
      <c r="P595" s="54"/>
      <c r="Q595" s="54"/>
      <c r="R595" s="54"/>
      <c r="S595" s="54"/>
      <c r="T595" s="54"/>
      <c r="U595" s="39"/>
    </row>
    <row r="596" spans="1:21">
      <c r="A596" s="54" t="str">
        <f>_xlfn.TEXTJOIN("",TRUE,Input!$B$2,ROW(My_Audit!A595))</f>
        <v>XX595</v>
      </c>
      <c r="B596" s="54" t="str">
        <f>_xlfn.TEXTJOIN("-",TRUE,"ITD",Input!$A$2,A596)</f>
        <v>ITD-SHRXXX-XX595</v>
      </c>
      <c r="C596" s="54" t="str" cm="1">
        <f t="array" ref="C596">IFERROR(_xlfn.LET(
_xlpm.CSVVal,_xlfn.XLOOKUP($A596,CSV!$A:$A,CSV!B:B,""),
_xlpm.MacVal,_xlfn.XLOOKUP($A596,Output_Mac!$A:$A,Output_Mac!B:B,""),
_xlpm.MyAuditVal,_xlfn.XLOOKUP($A596,My_Audit!$A:$A,My_Audit!B:B,""),
_xlfn.IFS(_xlpm.MyAuditVal&lt;&gt;"",UPPER(_xlpm.MyAuditVal),_xlpm.MacVal&lt;&gt;"",_xlpm.MacVal,_xlpm.CSVVal&lt;&gt;"",_xlpm.CSVVal
)),"")</f>
        <v/>
      </c>
      <c r="D596" s="55" t="str">
        <f>_xlfn.XLOOKUP(A596,My_Audit!A:A,My_Audit!D:D,"")&amp;""</f>
        <v/>
      </c>
      <c r="E596" s="55" t="str" cm="1">
        <f t="array" ref="E596">IFERROR(_xlfn.LET(
_xlpm.CSVVal,_xlfn.XLOOKUP($A596,CSV!$A:$A,CSV!D:D,""),
_xlpm.MacVal,_xlfn.XLOOKUP($A596,Output_Mac!$A:$A,Output_Mac!C:C,""),
_xlpm.MyAuditVal,_xlfn.XLOOKUP($A596,My_Audit!$A:$A,My_Audit!D:D,""),
_xlfn.IFS(_xlpm.MyAuditVal&lt;&gt;"",_xlpm.MyAuditVal,_xlpm.MacVal&lt;&gt;"",_xlpm.MacVal,_xlpm.CSVVal&lt;&gt;"",_xlpm.CSVVal
)),"")</f>
        <v/>
      </c>
      <c r="F596" s="54" t="str" cm="1">
        <f t="array" ref="F596">IFERROR(_xlfn.LET(
_xlpm.CSVVal,_xlfn.XLOOKUP($A596,CSV!$A:$A,CSV!E:E,""),
_xlpm.MacVal,_xlfn.XLOOKUP($A596,Output_Mac!$A:$A,Output_Mac!F:F,""),
_xlpm.MyAuditVal,_xlfn.XLOOKUP($A596,My_Audit!$A:$A,My_Audit!E:E,""),
_xlfn.IFS(_xlpm.MyAuditVal&lt;&gt;"",_xlpm.MyAuditVal,_xlpm.MacVal&lt;&gt;"",_xlpm.MacVal,_xlpm.CSVVal&lt;&gt;"",PROPER(_xlpm.CSVVal)
)),"")</f>
        <v/>
      </c>
      <c r="G596" s="54" t="str" cm="1">
        <f t="array" ref="G596">IFERROR(_xlfn.LET(
_xlpm.CSVVal,_xlfn.XLOOKUP($A596,CSV!$A:$A,CSV!F:F,""),
_xlpm.MacVal,_xlfn.XLOOKUP($A596,Output_Mac!$A:$A,Output_Mac!H:H,""),
_xlpm.MyAuditVal,_xlfn.XLOOKUP($A596,My_Audit!$A:$A,My_Audit!F:F,""),
_xlfn.IFS(_xlpm.MyAuditVal&lt;&gt;"",_xlpm.MyAuditVal,_xlpm.MacVal&lt;&gt;"",_xlpm.MacVal,_xlpm.CSVVal&lt;&gt;"",_xlpm.CSVVal
)),"")</f>
        <v/>
      </c>
      <c r="H596" s="54" t="str">
        <f>_xlfn.XLOOKUP(A596,Output_Mac!A:A,Output_Mac!I:I,"")</f>
        <v/>
      </c>
      <c r="I596" s="54" t="str" cm="1">
        <f t="array" ref="I596">IFERROR(_xlfn.LET(
_xlpm.CSVVal,_xlfn.XLOOKUP($A596,CSV!$A:$A,CSV!G:G,""),
_xlpm.MacVal,_xlfn.XLOOKUP($A596,Output_Mac!$A:$A,Output_Mac!J:J,""),
_xlpm.MyAuditVal,_xlfn.XLOOKUP($A596,My_Audit!$A:$A,My_Audit!H:H,""),
_xlfn.IFS(_xlpm.MyAuditVal&lt;&gt;"",UPPER(_xlpm.MyAuditVal),_xlpm.MacVal&lt;&gt;"",_xlpm.MacVal,_xlpm.CSVVal&lt;&gt;"",_xlpm.CSVVal
)),"")</f>
        <v/>
      </c>
      <c r="J596" s="54" t="str" cm="1">
        <f t="array" ref="J596">IFERROR(_xlfn.LET(
_xlpm.CSVVal,_xlfn.XLOOKUP($A596,CSV!$A:$A,CSV!I:I,""),
_xlpm.MacVal,_xlfn.XLOOKUP($A596,Output_Mac!$A:$A,Output_Mac!K:K,""),
_xlpm.MyAuditVal,_xlfn.XLOOKUP($A596,My_Audit!$A:$A,My_Audit!I:I,""),
_xlfn.IFS(_xlpm.MyAuditVal&lt;&gt;"",UPPER(_xlpm.MyAuditVal),_xlpm.MacVal&lt;&gt;"",_xlpm.MacVal,_xlpm.CSVVal&lt;&gt;"",_xlpm.CSVVal
)),"")</f>
        <v/>
      </c>
      <c r="K596" s="54" t="str" cm="1">
        <f t="array" ref="K596">IFERROR(_xlfn.LET(
_xlpm.CSVVal,_xlfn.XLOOKUP($A596,CSV!$A:$A,CSV!M:M,""),
_xlpm.MacVal,_xlfn.XLOOKUP($A596,Output_Mac!$A:$A,Output_Mac!L:L,""),
_xlpm.MyAuditVal,_xlfn.XLOOKUP($A596,My_Audit!$A:$A,My_Audit!J:J,""),
_xlfn.IFS(_xlpm.MyAuditVal&lt;&gt;"",UPPER(_xlpm.MyAuditVal),_xlpm.MacVal&lt;&gt;"",_xlpm.MacVal,_xlpm.CSVVal&lt;&gt;"",_xlpm.CSVVal
)),"")</f>
        <v/>
      </c>
      <c r="L596" s="54" t="str" cm="1">
        <f t="array" ref="L596">IFERROR(_xlfn.LET(
_xlpm.CSVVal,_xlfn.XLOOKUP($A596,CSV!$A:$A,CSV!O:O,""),
_xlpm.MacVal,_xlfn.XLOOKUP($A596,Output_Mac!$A:$A,Output_Mac!M:M,""),
_xlpm.MyAuditVal,_xlfn.XLOOKUP($A596,My_Audit!$A:$A,My_Audit!K:K,""),
_xlfn.IFS(_xlpm.MyAuditVal&lt;&gt;"",UPPER(_xlpm.MyAuditVal),_xlpm.MacVal&lt;&gt;"",_xlpm.MacVal,_xlpm.CSVVal&lt;&gt;"",_xlpm.CSVVal
)),"")</f>
        <v/>
      </c>
      <c r="M596" s="54" t="str">
        <f>_xlfn.LET(
    _xlpm.CSVVal, _xlfn.XLOOKUP($A596, CSV!$A:$A, CSV!AD:AD, ""),
    _xlpm.MacVal, _xlfn.XLOOKUP($A596, Output_Mac!$A:$A, Output_Mac!S:S, ""),
    _xlpm.MyAuditVal, _xlfn.XLOOKUP($A596, My_Audit!$A:$A, My_Audit!N:N, ""),
    _xlfn.TEXTJOIN(", ", TRUE, _xlpm.MyAuditVal, _xlpm.MacVal, _xlpm.CSVVal)
)</f>
        <v/>
      </c>
      <c r="N596" s="54" t="str" cm="1">
        <f t="array" ref="N596">IFERROR(_xlfn.LET(
_xlpm.CSVVal,_xlfn.XLOOKUP($A596,CSV!$A:$A,CSV!AF:AF,""),
_xlpm.MacVal,_xlfn.XLOOKUP($A596,Output_Mac!$A:$A,Output_Mac!U:U,""),
_xlpm.MyAuditVal,_xlfn.XLOOKUP($A596,My_Audit!$A:$A,My_Audit!O:O,""),
_xlfn.IFS(_xlpm.MyAuditVal&lt;&gt;"",UPPER(_xlpm.MyAuditVal),_xlpm.MacVal&lt;&gt;"",_xlpm.MacVal,_xlpm.CSVVal&lt;&gt;"",_xlpm.CSVVal
)),"")</f>
        <v/>
      </c>
      <c r="O596" s="54"/>
      <c r="P596" s="54"/>
      <c r="Q596" s="54"/>
      <c r="R596" s="54"/>
      <c r="S596" s="54"/>
      <c r="T596" s="54"/>
      <c r="U596" s="39"/>
    </row>
    <row r="597" spans="1:21">
      <c r="A597" s="54" t="str">
        <f>_xlfn.TEXTJOIN("",TRUE,Input!$B$2,ROW(My_Audit!A596))</f>
        <v>XX596</v>
      </c>
      <c r="B597" s="54" t="str">
        <f>_xlfn.TEXTJOIN("-",TRUE,"ITD",Input!$A$2,A597)</f>
        <v>ITD-SHRXXX-XX596</v>
      </c>
      <c r="C597" s="54" t="str" cm="1">
        <f t="array" ref="C597">IFERROR(_xlfn.LET(
_xlpm.CSVVal,_xlfn.XLOOKUP($A597,CSV!$A:$A,CSV!B:B,""),
_xlpm.MacVal,_xlfn.XLOOKUP($A597,Output_Mac!$A:$A,Output_Mac!B:B,""),
_xlpm.MyAuditVal,_xlfn.XLOOKUP($A597,My_Audit!$A:$A,My_Audit!B:B,""),
_xlfn.IFS(_xlpm.MyAuditVal&lt;&gt;"",UPPER(_xlpm.MyAuditVal),_xlpm.MacVal&lt;&gt;"",_xlpm.MacVal,_xlpm.CSVVal&lt;&gt;"",_xlpm.CSVVal
)),"")</f>
        <v/>
      </c>
      <c r="D597" s="55" t="str">
        <f>_xlfn.XLOOKUP(A597,My_Audit!A:A,My_Audit!D:D,"")&amp;""</f>
        <v/>
      </c>
      <c r="E597" s="55" t="str" cm="1">
        <f t="array" ref="E597">IFERROR(_xlfn.LET(
_xlpm.CSVVal,_xlfn.XLOOKUP($A597,CSV!$A:$A,CSV!D:D,""),
_xlpm.MacVal,_xlfn.XLOOKUP($A597,Output_Mac!$A:$A,Output_Mac!C:C,""),
_xlpm.MyAuditVal,_xlfn.XLOOKUP($A597,My_Audit!$A:$A,My_Audit!D:D,""),
_xlfn.IFS(_xlpm.MyAuditVal&lt;&gt;"",_xlpm.MyAuditVal,_xlpm.MacVal&lt;&gt;"",_xlpm.MacVal,_xlpm.CSVVal&lt;&gt;"",_xlpm.CSVVal
)),"")</f>
        <v/>
      </c>
      <c r="F597" s="54" t="str" cm="1">
        <f t="array" ref="F597">IFERROR(_xlfn.LET(
_xlpm.CSVVal,_xlfn.XLOOKUP($A597,CSV!$A:$A,CSV!E:E,""),
_xlpm.MacVal,_xlfn.XLOOKUP($A597,Output_Mac!$A:$A,Output_Mac!F:F,""),
_xlpm.MyAuditVal,_xlfn.XLOOKUP($A597,My_Audit!$A:$A,My_Audit!E:E,""),
_xlfn.IFS(_xlpm.MyAuditVal&lt;&gt;"",_xlpm.MyAuditVal,_xlpm.MacVal&lt;&gt;"",_xlpm.MacVal,_xlpm.CSVVal&lt;&gt;"",PROPER(_xlpm.CSVVal)
)),"")</f>
        <v/>
      </c>
      <c r="G597" s="54" t="str" cm="1">
        <f t="array" ref="G597">IFERROR(_xlfn.LET(
_xlpm.CSVVal,_xlfn.XLOOKUP($A597,CSV!$A:$A,CSV!F:F,""),
_xlpm.MacVal,_xlfn.XLOOKUP($A597,Output_Mac!$A:$A,Output_Mac!H:H,""),
_xlpm.MyAuditVal,_xlfn.XLOOKUP($A597,My_Audit!$A:$A,My_Audit!F:F,""),
_xlfn.IFS(_xlpm.MyAuditVal&lt;&gt;"",_xlpm.MyAuditVal,_xlpm.MacVal&lt;&gt;"",_xlpm.MacVal,_xlpm.CSVVal&lt;&gt;"",_xlpm.CSVVal
)),"")</f>
        <v/>
      </c>
      <c r="H597" s="54" t="str">
        <f>_xlfn.XLOOKUP(A597,Output_Mac!A:A,Output_Mac!I:I,"")</f>
        <v/>
      </c>
      <c r="I597" s="54" t="str" cm="1">
        <f t="array" ref="I597">IFERROR(_xlfn.LET(
_xlpm.CSVVal,_xlfn.XLOOKUP($A597,CSV!$A:$A,CSV!G:G,""),
_xlpm.MacVal,_xlfn.XLOOKUP($A597,Output_Mac!$A:$A,Output_Mac!J:J,""),
_xlpm.MyAuditVal,_xlfn.XLOOKUP($A597,My_Audit!$A:$A,My_Audit!H:H,""),
_xlfn.IFS(_xlpm.MyAuditVal&lt;&gt;"",UPPER(_xlpm.MyAuditVal),_xlpm.MacVal&lt;&gt;"",_xlpm.MacVal,_xlpm.CSVVal&lt;&gt;"",_xlpm.CSVVal
)),"")</f>
        <v/>
      </c>
      <c r="J597" s="54" t="str" cm="1">
        <f t="array" ref="J597">IFERROR(_xlfn.LET(
_xlpm.CSVVal,_xlfn.XLOOKUP($A597,CSV!$A:$A,CSV!I:I,""),
_xlpm.MacVal,_xlfn.XLOOKUP($A597,Output_Mac!$A:$A,Output_Mac!K:K,""),
_xlpm.MyAuditVal,_xlfn.XLOOKUP($A597,My_Audit!$A:$A,My_Audit!I:I,""),
_xlfn.IFS(_xlpm.MyAuditVal&lt;&gt;"",UPPER(_xlpm.MyAuditVal),_xlpm.MacVal&lt;&gt;"",_xlpm.MacVal,_xlpm.CSVVal&lt;&gt;"",_xlpm.CSVVal
)),"")</f>
        <v/>
      </c>
      <c r="K597" s="54" t="str" cm="1">
        <f t="array" ref="K597">IFERROR(_xlfn.LET(
_xlpm.CSVVal,_xlfn.XLOOKUP($A597,CSV!$A:$A,CSV!M:M,""),
_xlpm.MacVal,_xlfn.XLOOKUP($A597,Output_Mac!$A:$A,Output_Mac!L:L,""),
_xlpm.MyAuditVal,_xlfn.XLOOKUP($A597,My_Audit!$A:$A,My_Audit!J:J,""),
_xlfn.IFS(_xlpm.MyAuditVal&lt;&gt;"",UPPER(_xlpm.MyAuditVal),_xlpm.MacVal&lt;&gt;"",_xlpm.MacVal,_xlpm.CSVVal&lt;&gt;"",_xlpm.CSVVal
)),"")</f>
        <v/>
      </c>
      <c r="L597" s="54" t="str" cm="1">
        <f t="array" ref="L597">IFERROR(_xlfn.LET(
_xlpm.CSVVal,_xlfn.XLOOKUP($A597,CSV!$A:$A,CSV!O:O,""),
_xlpm.MacVal,_xlfn.XLOOKUP($A597,Output_Mac!$A:$A,Output_Mac!M:M,""),
_xlpm.MyAuditVal,_xlfn.XLOOKUP($A597,My_Audit!$A:$A,My_Audit!K:K,""),
_xlfn.IFS(_xlpm.MyAuditVal&lt;&gt;"",UPPER(_xlpm.MyAuditVal),_xlpm.MacVal&lt;&gt;"",_xlpm.MacVal,_xlpm.CSVVal&lt;&gt;"",_xlpm.CSVVal
)),"")</f>
        <v/>
      </c>
      <c r="M597" s="54" t="str">
        <f>_xlfn.LET(
    _xlpm.CSVVal, _xlfn.XLOOKUP($A597, CSV!$A:$A, CSV!AD:AD, ""),
    _xlpm.MacVal, _xlfn.XLOOKUP($A597, Output_Mac!$A:$A, Output_Mac!S:S, ""),
    _xlpm.MyAuditVal, _xlfn.XLOOKUP($A597, My_Audit!$A:$A, My_Audit!N:N, ""),
    _xlfn.TEXTJOIN(", ", TRUE, _xlpm.MyAuditVal, _xlpm.MacVal, _xlpm.CSVVal)
)</f>
        <v/>
      </c>
      <c r="N597" s="54" t="str" cm="1">
        <f t="array" ref="N597">IFERROR(_xlfn.LET(
_xlpm.CSVVal,_xlfn.XLOOKUP($A597,CSV!$A:$A,CSV!AF:AF,""),
_xlpm.MacVal,_xlfn.XLOOKUP($A597,Output_Mac!$A:$A,Output_Mac!U:U,""),
_xlpm.MyAuditVal,_xlfn.XLOOKUP($A597,My_Audit!$A:$A,My_Audit!O:O,""),
_xlfn.IFS(_xlpm.MyAuditVal&lt;&gt;"",UPPER(_xlpm.MyAuditVal),_xlpm.MacVal&lt;&gt;"",_xlpm.MacVal,_xlpm.CSVVal&lt;&gt;"",_xlpm.CSVVal
)),"")</f>
        <v/>
      </c>
      <c r="O597" s="54"/>
      <c r="P597" s="54"/>
      <c r="Q597" s="54"/>
      <c r="R597" s="54"/>
      <c r="S597" s="54"/>
      <c r="T597" s="54"/>
      <c r="U597" s="39"/>
    </row>
    <row r="598" spans="1:21">
      <c r="A598" s="54" t="str">
        <f>_xlfn.TEXTJOIN("",TRUE,Input!$B$2,ROW(My_Audit!A597))</f>
        <v>XX597</v>
      </c>
      <c r="B598" s="54" t="str">
        <f>_xlfn.TEXTJOIN("-",TRUE,"ITD",Input!$A$2,A598)</f>
        <v>ITD-SHRXXX-XX597</v>
      </c>
      <c r="C598" s="54" t="str" cm="1">
        <f t="array" ref="C598">IFERROR(_xlfn.LET(
_xlpm.CSVVal,_xlfn.XLOOKUP($A598,CSV!$A:$A,CSV!B:B,""),
_xlpm.MacVal,_xlfn.XLOOKUP($A598,Output_Mac!$A:$A,Output_Mac!B:B,""),
_xlpm.MyAuditVal,_xlfn.XLOOKUP($A598,My_Audit!$A:$A,My_Audit!B:B,""),
_xlfn.IFS(_xlpm.MyAuditVal&lt;&gt;"",UPPER(_xlpm.MyAuditVal),_xlpm.MacVal&lt;&gt;"",_xlpm.MacVal,_xlpm.CSVVal&lt;&gt;"",_xlpm.CSVVal
)),"")</f>
        <v/>
      </c>
      <c r="D598" s="55" t="str">
        <f>_xlfn.XLOOKUP(A598,My_Audit!A:A,My_Audit!D:D,"")&amp;""</f>
        <v/>
      </c>
      <c r="E598" s="55" t="str" cm="1">
        <f t="array" ref="E598">IFERROR(_xlfn.LET(
_xlpm.CSVVal,_xlfn.XLOOKUP($A598,CSV!$A:$A,CSV!D:D,""),
_xlpm.MacVal,_xlfn.XLOOKUP($A598,Output_Mac!$A:$A,Output_Mac!C:C,""),
_xlpm.MyAuditVal,_xlfn.XLOOKUP($A598,My_Audit!$A:$A,My_Audit!D:D,""),
_xlfn.IFS(_xlpm.MyAuditVal&lt;&gt;"",_xlpm.MyAuditVal,_xlpm.MacVal&lt;&gt;"",_xlpm.MacVal,_xlpm.CSVVal&lt;&gt;"",_xlpm.CSVVal
)),"")</f>
        <v/>
      </c>
      <c r="F598" s="54" t="str" cm="1">
        <f t="array" ref="F598">IFERROR(_xlfn.LET(
_xlpm.CSVVal,_xlfn.XLOOKUP($A598,CSV!$A:$A,CSV!E:E,""),
_xlpm.MacVal,_xlfn.XLOOKUP($A598,Output_Mac!$A:$A,Output_Mac!F:F,""),
_xlpm.MyAuditVal,_xlfn.XLOOKUP($A598,My_Audit!$A:$A,My_Audit!E:E,""),
_xlfn.IFS(_xlpm.MyAuditVal&lt;&gt;"",_xlpm.MyAuditVal,_xlpm.MacVal&lt;&gt;"",_xlpm.MacVal,_xlpm.CSVVal&lt;&gt;"",PROPER(_xlpm.CSVVal)
)),"")</f>
        <v/>
      </c>
      <c r="G598" s="54" t="str" cm="1">
        <f t="array" ref="G598">IFERROR(_xlfn.LET(
_xlpm.CSVVal,_xlfn.XLOOKUP($A598,CSV!$A:$A,CSV!F:F,""),
_xlpm.MacVal,_xlfn.XLOOKUP($A598,Output_Mac!$A:$A,Output_Mac!H:H,""),
_xlpm.MyAuditVal,_xlfn.XLOOKUP($A598,My_Audit!$A:$A,My_Audit!F:F,""),
_xlfn.IFS(_xlpm.MyAuditVal&lt;&gt;"",_xlpm.MyAuditVal,_xlpm.MacVal&lt;&gt;"",_xlpm.MacVal,_xlpm.CSVVal&lt;&gt;"",_xlpm.CSVVal
)),"")</f>
        <v/>
      </c>
      <c r="H598" s="54" t="str">
        <f>_xlfn.XLOOKUP(A598,Output_Mac!A:A,Output_Mac!I:I,"")</f>
        <v/>
      </c>
      <c r="I598" s="54" t="str" cm="1">
        <f t="array" ref="I598">IFERROR(_xlfn.LET(
_xlpm.CSVVal,_xlfn.XLOOKUP($A598,CSV!$A:$A,CSV!G:G,""),
_xlpm.MacVal,_xlfn.XLOOKUP($A598,Output_Mac!$A:$A,Output_Mac!J:J,""),
_xlpm.MyAuditVal,_xlfn.XLOOKUP($A598,My_Audit!$A:$A,My_Audit!H:H,""),
_xlfn.IFS(_xlpm.MyAuditVal&lt;&gt;"",UPPER(_xlpm.MyAuditVal),_xlpm.MacVal&lt;&gt;"",_xlpm.MacVal,_xlpm.CSVVal&lt;&gt;"",_xlpm.CSVVal
)),"")</f>
        <v/>
      </c>
      <c r="J598" s="54" t="str" cm="1">
        <f t="array" ref="J598">IFERROR(_xlfn.LET(
_xlpm.CSVVal,_xlfn.XLOOKUP($A598,CSV!$A:$A,CSV!I:I,""),
_xlpm.MacVal,_xlfn.XLOOKUP($A598,Output_Mac!$A:$A,Output_Mac!K:K,""),
_xlpm.MyAuditVal,_xlfn.XLOOKUP($A598,My_Audit!$A:$A,My_Audit!I:I,""),
_xlfn.IFS(_xlpm.MyAuditVal&lt;&gt;"",UPPER(_xlpm.MyAuditVal),_xlpm.MacVal&lt;&gt;"",_xlpm.MacVal,_xlpm.CSVVal&lt;&gt;"",_xlpm.CSVVal
)),"")</f>
        <v/>
      </c>
      <c r="K598" s="54" t="str" cm="1">
        <f t="array" ref="K598">IFERROR(_xlfn.LET(
_xlpm.CSVVal,_xlfn.XLOOKUP($A598,CSV!$A:$A,CSV!M:M,""),
_xlpm.MacVal,_xlfn.XLOOKUP($A598,Output_Mac!$A:$A,Output_Mac!L:L,""),
_xlpm.MyAuditVal,_xlfn.XLOOKUP($A598,My_Audit!$A:$A,My_Audit!J:J,""),
_xlfn.IFS(_xlpm.MyAuditVal&lt;&gt;"",UPPER(_xlpm.MyAuditVal),_xlpm.MacVal&lt;&gt;"",_xlpm.MacVal,_xlpm.CSVVal&lt;&gt;"",_xlpm.CSVVal
)),"")</f>
        <v/>
      </c>
      <c r="L598" s="54" t="str" cm="1">
        <f t="array" ref="L598">IFERROR(_xlfn.LET(
_xlpm.CSVVal,_xlfn.XLOOKUP($A598,CSV!$A:$A,CSV!O:O,""),
_xlpm.MacVal,_xlfn.XLOOKUP($A598,Output_Mac!$A:$A,Output_Mac!M:M,""),
_xlpm.MyAuditVal,_xlfn.XLOOKUP($A598,My_Audit!$A:$A,My_Audit!K:K,""),
_xlfn.IFS(_xlpm.MyAuditVal&lt;&gt;"",UPPER(_xlpm.MyAuditVal),_xlpm.MacVal&lt;&gt;"",_xlpm.MacVal,_xlpm.CSVVal&lt;&gt;"",_xlpm.CSVVal
)),"")</f>
        <v/>
      </c>
      <c r="M598" s="54" t="str">
        <f>_xlfn.LET(
    _xlpm.CSVVal, _xlfn.XLOOKUP($A598, CSV!$A:$A, CSV!AD:AD, ""),
    _xlpm.MacVal, _xlfn.XLOOKUP($A598, Output_Mac!$A:$A, Output_Mac!S:S, ""),
    _xlpm.MyAuditVal, _xlfn.XLOOKUP($A598, My_Audit!$A:$A, My_Audit!N:N, ""),
    _xlfn.TEXTJOIN(", ", TRUE, _xlpm.MyAuditVal, _xlpm.MacVal, _xlpm.CSVVal)
)</f>
        <v/>
      </c>
      <c r="N598" s="54" t="str" cm="1">
        <f t="array" ref="N598">IFERROR(_xlfn.LET(
_xlpm.CSVVal,_xlfn.XLOOKUP($A598,CSV!$A:$A,CSV!AF:AF,""),
_xlpm.MacVal,_xlfn.XLOOKUP($A598,Output_Mac!$A:$A,Output_Mac!U:U,""),
_xlpm.MyAuditVal,_xlfn.XLOOKUP($A598,My_Audit!$A:$A,My_Audit!O:O,""),
_xlfn.IFS(_xlpm.MyAuditVal&lt;&gt;"",UPPER(_xlpm.MyAuditVal),_xlpm.MacVal&lt;&gt;"",_xlpm.MacVal,_xlpm.CSVVal&lt;&gt;"",_xlpm.CSVVal
)),"")</f>
        <v/>
      </c>
      <c r="O598" s="54"/>
      <c r="P598" s="54"/>
      <c r="Q598" s="54"/>
      <c r="R598" s="54"/>
      <c r="S598" s="54"/>
      <c r="T598" s="54"/>
      <c r="U598" s="39"/>
    </row>
    <row r="599" spans="1:21">
      <c r="A599" s="54" t="str">
        <f>_xlfn.TEXTJOIN("",TRUE,Input!$B$2,ROW(My_Audit!A598))</f>
        <v>XX598</v>
      </c>
      <c r="B599" s="54" t="str">
        <f>_xlfn.TEXTJOIN("-",TRUE,"ITD",Input!$A$2,A599)</f>
        <v>ITD-SHRXXX-XX598</v>
      </c>
      <c r="C599" s="54" t="str" cm="1">
        <f t="array" ref="C599">IFERROR(_xlfn.LET(
_xlpm.CSVVal,_xlfn.XLOOKUP($A599,CSV!$A:$A,CSV!B:B,""),
_xlpm.MacVal,_xlfn.XLOOKUP($A599,Output_Mac!$A:$A,Output_Mac!B:B,""),
_xlpm.MyAuditVal,_xlfn.XLOOKUP($A599,My_Audit!$A:$A,My_Audit!B:B,""),
_xlfn.IFS(_xlpm.MyAuditVal&lt;&gt;"",UPPER(_xlpm.MyAuditVal),_xlpm.MacVal&lt;&gt;"",_xlpm.MacVal,_xlpm.CSVVal&lt;&gt;"",_xlpm.CSVVal
)),"")</f>
        <v/>
      </c>
      <c r="D599" s="55" t="str">
        <f>_xlfn.XLOOKUP(A599,My_Audit!A:A,My_Audit!D:D,"")&amp;""</f>
        <v/>
      </c>
      <c r="E599" s="55" t="str" cm="1">
        <f t="array" ref="E599">IFERROR(_xlfn.LET(
_xlpm.CSVVal,_xlfn.XLOOKUP($A599,CSV!$A:$A,CSV!D:D,""),
_xlpm.MacVal,_xlfn.XLOOKUP($A599,Output_Mac!$A:$A,Output_Mac!C:C,""),
_xlpm.MyAuditVal,_xlfn.XLOOKUP($A599,My_Audit!$A:$A,My_Audit!D:D,""),
_xlfn.IFS(_xlpm.MyAuditVal&lt;&gt;"",_xlpm.MyAuditVal,_xlpm.MacVal&lt;&gt;"",_xlpm.MacVal,_xlpm.CSVVal&lt;&gt;"",_xlpm.CSVVal
)),"")</f>
        <v/>
      </c>
      <c r="F599" s="54" t="str" cm="1">
        <f t="array" ref="F599">IFERROR(_xlfn.LET(
_xlpm.CSVVal,_xlfn.XLOOKUP($A599,CSV!$A:$A,CSV!E:E,""),
_xlpm.MacVal,_xlfn.XLOOKUP($A599,Output_Mac!$A:$A,Output_Mac!F:F,""),
_xlpm.MyAuditVal,_xlfn.XLOOKUP($A599,My_Audit!$A:$A,My_Audit!E:E,""),
_xlfn.IFS(_xlpm.MyAuditVal&lt;&gt;"",_xlpm.MyAuditVal,_xlpm.MacVal&lt;&gt;"",_xlpm.MacVal,_xlpm.CSVVal&lt;&gt;"",PROPER(_xlpm.CSVVal)
)),"")</f>
        <v/>
      </c>
      <c r="G599" s="54" t="str" cm="1">
        <f t="array" ref="G599">IFERROR(_xlfn.LET(
_xlpm.CSVVal,_xlfn.XLOOKUP($A599,CSV!$A:$A,CSV!F:F,""),
_xlpm.MacVal,_xlfn.XLOOKUP($A599,Output_Mac!$A:$A,Output_Mac!H:H,""),
_xlpm.MyAuditVal,_xlfn.XLOOKUP($A599,My_Audit!$A:$A,My_Audit!F:F,""),
_xlfn.IFS(_xlpm.MyAuditVal&lt;&gt;"",_xlpm.MyAuditVal,_xlpm.MacVal&lt;&gt;"",_xlpm.MacVal,_xlpm.CSVVal&lt;&gt;"",_xlpm.CSVVal
)),"")</f>
        <v/>
      </c>
      <c r="H599" s="54" t="str">
        <f>_xlfn.XLOOKUP(A599,Output_Mac!A:A,Output_Mac!I:I,"")</f>
        <v/>
      </c>
      <c r="I599" s="54" t="str" cm="1">
        <f t="array" ref="I599">IFERROR(_xlfn.LET(
_xlpm.CSVVal,_xlfn.XLOOKUP($A599,CSV!$A:$A,CSV!G:G,""),
_xlpm.MacVal,_xlfn.XLOOKUP($A599,Output_Mac!$A:$A,Output_Mac!J:J,""),
_xlpm.MyAuditVal,_xlfn.XLOOKUP($A599,My_Audit!$A:$A,My_Audit!H:H,""),
_xlfn.IFS(_xlpm.MyAuditVal&lt;&gt;"",UPPER(_xlpm.MyAuditVal),_xlpm.MacVal&lt;&gt;"",_xlpm.MacVal,_xlpm.CSVVal&lt;&gt;"",_xlpm.CSVVal
)),"")</f>
        <v/>
      </c>
      <c r="J599" s="54" t="str" cm="1">
        <f t="array" ref="J599">IFERROR(_xlfn.LET(
_xlpm.CSVVal,_xlfn.XLOOKUP($A599,CSV!$A:$A,CSV!I:I,""),
_xlpm.MacVal,_xlfn.XLOOKUP($A599,Output_Mac!$A:$A,Output_Mac!K:K,""),
_xlpm.MyAuditVal,_xlfn.XLOOKUP($A599,My_Audit!$A:$A,My_Audit!I:I,""),
_xlfn.IFS(_xlpm.MyAuditVal&lt;&gt;"",UPPER(_xlpm.MyAuditVal),_xlpm.MacVal&lt;&gt;"",_xlpm.MacVal,_xlpm.CSVVal&lt;&gt;"",_xlpm.CSVVal
)),"")</f>
        <v/>
      </c>
      <c r="K599" s="54" t="str" cm="1">
        <f t="array" ref="K599">IFERROR(_xlfn.LET(
_xlpm.CSVVal,_xlfn.XLOOKUP($A599,CSV!$A:$A,CSV!M:M,""),
_xlpm.MacVal,_xlfn.XLOOKUP($A599,Output_Mac!$A:$A,Output_Mac!L:L,""),
_xlpm.MyAuditVal,_xlfn.XLOOKUP($A599,My_Audit!$A:$A,My_Audit!J:J,""),
_xlfn.IFS(_xlpm.MyAuditVal&lt;&gt;"",UPPER(_xlpm.MyAuditVal),_xlpm.MacVal&lt;&gt;"",_xlpm.MacVal,_xlpm.CSVVal&lt;&gt;"",_xlpm.CSVVal
)),"")</f>
        <v/>
      </c>
      <c r="L599" s="54" t="str" cm="1">
        <f t="array" ref="L599">IFERROR(_xlfn.LET(
_xlpm.CSVVal,_xlfn.XLOOKUP($A599,CSV!$A:$A,CSV!O:O,""),
_xlpm.MacVal,_xlfn.XLOOKUP($A599,Output_Mac!$A:$A,Output_Mac!M:M,""),
_xlpm.MyAuditVal,_xlfn.XLOOKUP($A599,My_Audit!$A:$A,My_Audit!K:K,""),
_xlfn.IFS(_xlpm.MyAuditVal&lt;&gt;"",UPPER(_xlpm.MyAuditVal),_xlpm.MacVal&lt;&gt;"",_xlpm.MacVal,_xlpm.CSVVal&lt;&gt;"",_xlpm.CSVVal
)),"")</f>
        <v/>
      </c>
      <c r="M599" s="54" t="str">
        <f>_xlfn.LET(
    _xlpm.CSVVal, _xlfn.XLOOKUP($A599, CSV!$A:$A, CSV!AD:AD, ""),
    _xlpm.MacVal, _xlfn.XLOOKUP($A599, Output_Mac!$A:$A, Output_Mac!S:S, ""),
    _xlpm.MyAuditVal, _xlfn.XLOOKUP($A599, My_Audit!$A:$A, My_Audit!N:N, ""),
    _xlfn.TEXTJOIN(", ", TRUE, _xlpm.MyAuditVal, _xlpm.MacVal, _xlpm.CSVVal)
)</f>
        <v/>
      </c>
      <c r="N599" s="54" t="str" cm="1">
        <f t="array" ref="N599">IFERROR(_xlfn.LET(
_xlpm.CSVVal,_xlfn.XLOOKUP($A599,CSV!$A:$A,CSV!AF:AF,""),
_xlpm.MacVal,_xlfn.XLOOKUP($A599,Output_Mac!$A:$A,Output_Mac!U:U,""),
_xlpm.MyAuditVal,_xlfn.XLOOKUP($A599,My_Audit!$A:$A,My_Audit!O:O,""),
_xlfn.IFS(_xlpm.MyAuditVal&lt;&gt;"",UPPER(_xlpm.MyAuditVal),_xlpm.MacVal&lt;&gt;"",_xlpm.MacVal,_xlpm.CSVVal&lt;&gt;"",_xlpm.CSVVal
)),"")</f>
        <v/>
      </c>
      <c r="O599" s="54"/>
      <c r="P599" s="54"/>
      <c r="Q599" s="54"/>
      <c r="R599" s="54"/>
      <c r="S599" s="54"/>
      <c r="T599" s="54"/>
      <c r="U599" s="39"/>
    </row>
    <row r="600" spans="1:21">
      <c r="A600" s="54" t="str">
        <f>_xlfn.TEXTJOIN("",TRUE,Input!$B$2,ROW(My_Audit!A599))</f>
        <v>XX599</v>
      </c>
      <c r="B600" s="54" t="str">
        <f>_xlfn.TEXTJOIN("-",TRUE,"ITD",Input!$A$2,A600)</f>
        <v>ITD-SHRXXX-XX599</v>
      </c>
      <c r="C600" s="54" t="str" cm="1">
        <f t="array" ref="C600">IFERROR(_xlfn.LET(
_xlpm.CSVVal,_xlfn.XLOOKUP($A600,CSV!$A:$A,CSV!B:B,""),
_xlpm.MacVal,_xlfn.XLOOKUP($A600,Output_Mac!$A:$A,Output_Mac!B:B,""),
_xlpm.MyAuditVal,_xlfn.XLOOKUP($A600,My_Audit!$A:$A,My_Audit!B:B,""),
_xlfn.IFS(_xlpm.MyAuditVal&lt;&gt;"",UPPER(_xlpm.MyAuditVal),_xlpm.MacVal&lt;&gt;"",_xlpm.MacVal,_xlpm.CSVVal&lt;&gt;"",_xlpm.CSVVal
)),"")</f>
        <v/>
      </c>
      <c r="D600" s="55" t="str">
        <f>_xlfn.XLOOKUP(A600,My_Audit!A:A,My_Audit!D:D,"")&amp;""</f>
        <v/>
      </c>
      <c r="E600" s="55" t="str" cm="1">
        <f t="array" ref="E600">IFERROR(_xlfn.LET(
_xlpm.CSVVal,_xlfn.XLOOKUP($A600,CSV!$A:$A,CSV!D:D,""),
_xlpm.MacVal,_xlfn.XLOOKUP($A600,Output_Mac!$A:$A,Output_Mac!C:C,""),
_xlpm.MyAuditVal,_xlfn.XLOOKUP($A600,My_Audit!$A:$A,My_Audit!D:D,""),
_xlfn.IFS(_xlpm.MyAuditVal&lt;&gt;"",_xlpm.MyAuditVal,_xlpm.MacVal&lt;&gt;"",_xlpm.MacVal,_xlpm.CSVVal&lt;&gt;"",_xlpm.CSVVal
)),"")</f>
        <v/>
      </c>
      <c r="F600" s="54" t="str" cm="1">
        <f t="array" ref="F600">IFERROR(_xlfn.LET(
_xlpm.CSVVal,_xlfn.XLOOKUP($A600,CSV!$A:$A,CSV!E:E,""),
_xlpm.MacVal,_xlfn.XLOOKUP($A600,Output_Mac!$A:$A,Output_Mac!F:F,""),
_xlpm.MyAuditVal,_xlfn.XLOOKUP($A600,My_Audit!$A:$A,My_Audit!E:E,""),
_xlfn.IFS(_xlpm.MyAuditVal&lt;&gt;"",_xlpm.MyAuditVal,_xlpm.MacVal&lt;&gt;"",_xlpm.MacVal,_xlpm.CSVVal&lt;&gt;"",PROPER(_xlpm.CSVVal)
)),"")</f>
        <v/>
      </c>
      <c r="G600" s="54" t="str" cm="1">
        <f t="array" ref="G600">IFERROR(_xlfn.LET(
_xlpm.CSVVal,_xlfn.XLOOKUP($A600,CSV!$A:$A,CSV!F:F,""),
_xlpm.MacVal,_xlfn.XLOOKUP($A600,Output_Mac!$A:$A,Output_Mac!H:H,""),
_xlpm.MyAuditVal,_xlfn.XLOOKUP($A600,My_Audit!$A:$A,My_Audit!F:F,""),
_xlfn.IFS(_xlpm.MyAuditVal&lt;&gt;"",_xlpm.MyAuditVal,_xlpm.MacVal&lt;&gt;"",_xlpm.MacVal,_xlpm.CSVVal&lt;&gt;"",_xlpm.CSVVal
)),"")</f>
        <v/>
      </c>
      <c r="H600" s="54" t="str">
        <f>_xlfn.XLOOKUP(A600,Output_Mac!A:A,Output_Mac!I:I,"")</f>
        <v/>
      </c>
      <c r="I600" s="54" t="str" cm="1">
        <f t="array" ref="I600">IFERROR(_xlfn.LET(
_xlpm.CSVVal,_xlfn.XLOOKUP($A600,CSV!$A:$A,CSV!G:G,""),
_xlpm.MacVal,_xlfn.XLOOKUP($A600,Output_Mac!$A:$A,Output_Mac!J:J,""),
_xlpm.MyAuditVal,_xlfn.XLOOKUP($A600,My_Audit!$A:$A,My_Audit!H:H,""),
_xlfn.IFS(_xlpm.MyAuditVal&lt;&gt;"",UPPER(_xlpm.MyAuditVal),_xlpm.MacVal&lt;&gt;"",_xlpm.MacVal,_xlpm.CSVVal&lt;&gt;"",_xlpm.CSVVal
)),"")</f>
        <v/>
      </c>
      <c r="J600" s="54" t="str" cm="1">
        <f t="array" ref="J600">IFERROR(_xlfn.LET(
_xlpm.CSVVal,_xlfn.XLOOKUP($A600,CSV!$A:$A,CSV!I:I,""),
_xlpm.MacVal,_xlfn.XLOOKUP($A600,Output_Mac!$A:$A,Output_Mac!K:K,""),
_xlpm.MyAuditVal,_xlfn.XLOOKUP($A600,My_Audit!$A:$A,My_Audit!I:I,""),
_xlfn.IFS(_xlpm.MyAuditVal&lt;&gt;"",UPPER(_xlpm.MyAuditVal),_xlpm.MacVal&lt;&gt;"",_xlpm.MacVal,_xlpm.CSVVal&lt;&gt;"",_xlpm.CSVVal
)),"")</f>
        <v/>
      </c>
      <c r="K600" s="54" t="str" cm="1">
        <f t="array" ref="K600">IFERROR(_xlfn.LET(
_xlpm.CSVVal,_xlfn.XLOOKUP($A600,CSV!$A:$A,CSV!M:M,""),
_xlpm.MacVal,_xlfn.XLOOKUP($A600,Output_Mac!$A:$A,Output_Mac!L:L,""),
_xlpm.MyAuditVal,_xlfn.XLOOKUP($A600,My_Audit!$A:$A,My_Audit!J:J,""),
_xlfn.IFS(_xlpm.MyAuditVal&lt;&gt;"",UPPER(_xlpm.MyAuditVal),_xlpm.MacVal&lt;&gt;"",_xlpm.MacVal,_xlpm.CSVVal&lt;&gt;"",_xlpm.CSVVal
)),"")</f>
        <v/>
      </c>
      <c r="L600" s="54" t="str" cm="1">
        <f t="array" ref="L600">IFERROR(_xlfn.LET(
_xlpm.CSVVal,_xlfn.XLOOKUP($A600,CSV!$A:$A,CSV!O:O,""),
_xlpm.MacVal,_xlfn.XLOOKUP($A600,Output_Mac!$A:$A,Output_Mac!M:M,""),
_xlpm.MyAuditVal,_xlfn.XLOOKUP($A600,My_Audit!$A:$A,My_Audit!K:K,""),
_xlfn.IFS(_xlpm.MyAuditVal&lt;&gt;"",UPPER(_xlpm.MyAuditVal),_xlpm.MacVal&lt;&gt;"",_xlpm.MacVal,_xlpm.CSVVal&lt;&gt;"",_xlpm.CSVVal
)),"")</f>
        <v/>
      </c>
      <c r="M600" s="54" t="str">
        <f>_xlfn.LET(
    _xlpm.CSVVal, _xlfn.XLOOKUP($A600, CSV!$A:$A, CSV!AD:AD, ""),
    _xlpm.MacVal, _xlfn.XLOOKUP($A600, Output_Mac!$A:$A, Output_Mac!S:S, ""),
    _xlpm.MyAuditVal, _xlfn.XLOOKUP($A600, My_Audit!$A:$A, My_Audit!N:N, ""),
    _xlfn.TEXTJOIN(", ", TRUE, _xlpm.MyAuditVal, _xlpm.MacVal, _xlpm.CSVVal)
)</f>
        <v/>
      </c>
      <c r="N600" s="54" t="str" cm="1">
        <f t="array" ref="N600">IFERROR(_xlfn.LET(
_xlpm.CSVVal,_xlfn.XLOOKUP($A600,CSV!$A:$A,CSV!AF:AF,""),
_xlpm.MacVal,_xlfn.XLOOKUP($A600,Output_Mac!$A:$A,Output_Mac!U:U,""),
_xlpm.MyAuditVal,_xlfn.XLOOKUP($A600,My_Audit!$A:$A,My_Audit!O:O,""),
_xlfn.IFS(_xlpm.MyAuditVal&lt;&gt;"",UPPER(_xlpm.MyAuditVal),_xlpm.MacVal&lt;&gt;"",_xlpm.MacVal,_xlpm.CSVVal&lt;&gt;"",_xlpm.CSVVal
)),"")</f>
        <v/>
      </c>
      <c r="O600" s="54"/>
      <c r="P600" s="54"/>
      <c r="Q600" s="54"/>
      <c r="R600" s="54"/>
      <c r="S600" s="54"/>
      <c r="T600" s="54"/>
      <c r="U600" s="39"/>
    </row>
    <row r="601" spans="1:21">
      <c r="A601" s="54" t="str">
        <f>_xlfn.TEXTJOIN("",TRUE,Input!$B$2,ROW(My_Audit!A600))</f>
        <v>XX600</v>
      </c>
      <c r="B601" s="54" t="str">
        <f>_xlfn.TEXTJOIN("-",TRUE,"ITD",Input!$A$2,A601)</f>
        <v>ITD-SHRXXX-XX600</v>
      </c>
      <c r="C601" s="54" t="str" cm="1">
        <f t="array" ref="C601">IFERROR(_xlfn.LET(
_xlpm.CSVVal,_xlfn.XLOOKUP($A601,CSV!$A:$A,CSV!B:B,""),
_xlpm.MacVal,_xlfn.XLOOKUP($A601,Output_Mac!$A:$A,Output_Mac!B:B,""),
_xlpm.MyAuditVal,_xlfn.XLOOKUP($A601,My_Audit!$A:$A,My_Audit!B:B,""),
_xlfn.IFS(_xlpm.MyAuditVal&lt;&gt;"",UPPER(_xlpm.MyAuditVal),_xlpm.MacVal&lt;&gt;"",_xlpm.MacVal,_xlpm.CSVVal&lt;&gt;"",_xlpm.CSVVal
)),"")</f>
        <v/>
      </c>
      <c r="D601" s="55" t="str">
        <f>_xlfn.XLOOKUP(A601,My_Audit!A:A,My_Audit!D:D,"")&amp;""</f>
        <v/>
      </c>
      <c r="E601" s="55" t="str" cm="1">
        <f t="array" ref="E601">IFERROR(_xlfn.LET(
_xlpm.CSVVal,_xlfn.XLOOKUP($A601,CSV!$A:$A,CSV!D:D,""),
_xlpm.MacVal,_xlfn.XLOOKUP($A601,Output_Mac!$A:$A,Output_Mac!C:C,""),
_xlpm.MyAuditVal,_xlfn.XLOOKUP($A601,My_Audit!$A:$A,My_Audit!D:D,""),
_xlfn.IFS(_xlpm.MyAuditVal&lt;&gt;"",_xlpm.MyAuditVal,_xlpm.MacVal&lt;&gt;"",_xlpm.MacVal,_xlpm.CSVVal&lt;&gt;"",_xlpm.CSVVal
)),"")</f>
        <v/>
      </c>
      <c r="F601" s="54" t="str" cm="1">
        <f t="array" ref="F601">IFERROR(_xlfn.LET(
_xlpm.CSVVal,_xlfn.XLOOKUP($A601,CSV!$A:$A,CSV!E:E,""),
_xlpm.MacVal,_xlfn.XLOOKUP($A601,Output_Mac!$A:$A,Output_Mac!F:F,""),
_xlpm.MyAuditVal,_xlfn.XLOOKUP($A601,My_Audit!$A:$A,My_Audit!E:E,""),
_xlfn.IFS(_xlpm.MyAuditVal&lt;&gt;"",_xlpm.MyAuditVal,_xlpm.MacVal&lt;&gt;"",_xlpm.MacVal,_xlpm.CSVVal&lt;&gt;"",PROPER(_xlpm.CSVVal)
)),"")</f>
        <v/>
      </c>
      <c r="G601" s="54" t="str" cm="1">
        <f t="array" ref="G601">IFERROR(_xlfn.LET(
_xlpm.CSVVal,_xlfn.XLOOKUP($A601,CSV!$A:$A,CSV!F:F,""),
_xlpm.MacVal,_xlfn.XLOOKUP($A601,Output_Mac!$A:$A,Output_Mac!H:H,""),
_xlpm.MyAuditVal,_xlfn.XLOOKUP($A601,My_Audit!$A:$A,My_Audit!F:F,""),
_xlfn.IFS(_xlpm.MyAuditVal&lt;&gt;"",_xlpm.MyAuditVal,_xlpm.MacVal&lt;&gt;"",_xlpm.MacVal,_xlpm.CSVVal&lt;&gt;"",_xlpm.CSVVal
)),"")</f>
        <v/>
      </c>
      <c r="H601" s="54" t="str">
        <f>_xlfn.XLOOKUP(A601,Output_Mac!A:A,Output_Mac!I:I,"")</f>
        <v/>
      </c>
      <c r="I601" s="54" t="str" cm="1">
        <f t="array" ref="I601">IFERROR(_xlfn.LET(
_xlpm.CSVVal,_xlfn.XLOOKUP($A601,CSV!$A:$A,CSV!G:G,""),
_xlpm.MacVal,_xlfn.XLOOKUP($A601,Output_Mac!$A:$A,Output_Mac!J:J,""),
_xlpm.MyAuditVal,_xlfn.XLOOKUP($A601,My_Audit!$A:$A,My_Audit!H:H,""),
_xlfn.IFS(_xlpm.MyAuditVal&lt;&gt;"",UPPER(_xlpm.MyAuditVal),_xlpm.MacVal&lt;&gt;"",_xlpm.MacVal,_xlpm.CSVVal&lt;&gt;"",_xlpm.CSVVal
)),"")</f>
        <v/>
      </c>
      <c r="J601" s="54" t="str" cm="1">
        <f t="array" ref="J601">IFERROR(_xlfn.LET(
_xlpm.CSVVal,_xlfn.XLOOKUP($A601,CSV!$A:$A,CSV!I:I,""),
_xlpm.MacVal,_xlfn.XLOOKUP($A601,Output_Mac!$A:$A,Output_Mac!K:K,""),
_xlpm.MyAuditVal,_xlfn.XLOOKUP($A601,My_Audit!$A:$A,My_Audit!I:I,""),
_xlfn.IFS(_xlpm.MyAuditVal&lt;&gt;"",UPPER(_xlpm.MyAuditVal),_xlpm.MacVal&lt;&gt;"",_xlpm.MacVal,_xlpm.CSVVal&lt;&gt;"",_xlpm.CSVVal
)),"")</f>
        <v/>
      </c>
      <c r="K601" s="54" t="str" cm="1">
        <f t="array" ref="K601">IFERROR(_xlfn.LET(
_xlpm.CSVVal,_xlfn.XLOOKUP($A601,CSV!$A:$A,CSV!M:M,""),
_xlpm.MacVal,_xlfn.XLOOKUP($A601,Output_Mac!$A:$A,Output_Mac!L:L,""),
_xlpm.MyAuditVal,_xlfn.XLOOKUP($A601,My_Audit!$A:$A,My_Audit!J:J,""),
_xlfn.IFS(_xlpm.MyAuditVal&lt;&gt;"",UPPER(_xlpm.MyAuditVal),_xlpm.MacVal&lt;&gt;"",_xlpm.MacVal,_xlpm.CSVVal&lt;&gt;"",_xlpm.CSVVal
)),"")</f>
        <v/>
      </c>
      <c r="L601" s="54" t="str" cm="1">
        <f t="array" ref="L601">IFERROR(_xlfn.LET(
_xlpm.CSVVal,_xlfn.XLOOKUP($A601,CSV!$A:$A,CSV!O:O,""),
_xlpm.MacVal,_xlfn.XLOOKUP($A601,Output_Mac!$A:$A,Output_Mac!M:M,""),
_xlpm.MyAuditVal,_xlfn.XLOOKUP($A601,My_Audit!$A:$A,My_Audit!K:K,""),
_xlfn.IFS(_xlpm.MyAuditVal&lt;&gt;"",UPPER(_xlpm.MyAuditVal),_xlpm.MacVal&lt;&gt;"",_xlpm.MacVal,_xlpm.CSVVal&lt;&gt;"",_xlpm.CSVVal
)),"")</f>
        <v/>
      </c>
      <c r="M601" s="54" t="str">
        <f>_xlfn.LET(
    _xlpm.CSVVal, _xlfn.XLOOKUP($A601, CSV!$A:$A, CSV!AD:AD, ""),
    _xlpm.MacVal, _xlfn.XLOOKUP($A601, Output_Mac!$A:$A, Output_Mac!S:S, ""),
    _xlpm.MyAuditVal, _xlfn.XLOOKUP($A601, My_Audit!$A:$A, My_Audit!N:N, ""),
    _xlfn.TEXTJOIN(", ", TRUE, _xlpm.MyAuditVal, _xlpm.MacVal, _xlpm.CSVVal)
)</f>
        <v/>
      </c>
      <c r="N601" s="54" t="str" cm="1">
        <f t="array" ref="N601">IFERROR(_xlfn.LET(
_xlpm.CSVVal,_xlfn.XLOOKUP($A601,CSV!$A:$A,CSV!AF:AF,""),
_xlpm.MacVal,_xlfn.XLOOKUP($A601,Output_Mac!$A:$A,Output_Mac!U:U,""),
_xlpm.MyAuditVal,_xlfn.XLOOKUP($A601,My_Audit!$A:$A,My_Audit!O:O,""),
_xlfn.IFS(_xlpm.MyAuditVal&lt;&gt;"",UPPER(_xlpm.MyAuditVal),_xlpm.MacVal&lt;&gt;"",_xlpm.MacVal,_xlpm.CSVVal&lt;&gt;"",_xlpm.CSVVal
)),"")</f>
        <v/>
      </c>
      <c r="O601" s="54"/>
      <c r="P601" s="54"/>
      <c r="Q601" s="54"/>
      <c r="R601" s="54"/>
      <c r="S601" s="54"/>
      <c r="T601" s="54"/>
      <c r="U601" s="39"/>
    </row>
    <row r="602" spans="1:21">
      <c r="A602" s="54" t="str">
        <f>_xlfn.TEXTJOIN("",TRUE,Input!$B$2,ROW(My_Audit!A601))</f>
        <v>XX601</v>
      </c>
      <c r="B602" s="54" t="str">
        <f>_xlfn.TEXTJOIN("-",TRUE,"ITD",Input!$A$2,A602)</f>
        <v>ITD-SHRXXX-XX601</v>
      </c>
      <c r="C602" s="54" t="str" cm="1">
        <f t="array" ref="C602">IFERROR(_xlfn.LET(
_xlpm.CSVVal,_xlfn.XLOOKUP($A602,CSV!$A:$A,CSV!B:B,""),
_xlpm.MacVal,_xlfn.XLOOKUP($A602,Output_Mac!$A:$A,Output_Mac!B:B,""),
_xlpm.MyAuditVal,_xlfn.XLOOKUP($A602,My_Audit!$A:$A,My_Audit!B:B,""),
_xlfn.IFS(_xlpm.MyAuditVal&lt;&gt;"",UPPER(_xlpm.MyAuditVal),_xlpm.MacVal&lt;&gt;"",_xlpm.MacVal,_xlpm.CSVVal&lt;&gt;"",_xlpm.CSVVal
)),"")</f>
        <v/>
      </c>
      <c r="D602" s="55" t="str">
        <f>_xlfn.XLOOKUP(A602,My_Audit!A:A,My_Audit!D:D,"")&amp;""</f>
        <v/>
      </c>
      <c r="E602" s="55" t="str" cm="1">
        <f t="array" ref="E602">IFERROR(_xlfn.LET(
_xlpm.CSVVal,_xlfn.XLOOKUP($A602,CSV!$A:$A,CSV!D:D,""),
_xlpm.MacVal,_xlfn.XLOOKUP($A602,Output_Mac!$A:$A,Output_Mac!C:C,""),
_xlpm.MyAuditVal,_xlfn.XLOOKUP($A602,My_Audit!$A:$A,My_Audit!D:D,""),
_xlfn.IFS(_xlpm.MyAuditVal&lt;&gt;"",_xlpm.MyAuditVal,_xlpm.MacVal&lt;&gt;"",_xlpm.MacVal,_xlpm.CSVVal&lt;&gt;"",_xlpm.CSVVal
)),"")</f>
        <v/>
      </c>
      <c r="F602" s="54" t="str" cm="1">
        <f t="array" ref="F602">IFERROR(_xlfn.LET(
_xlpm.CSVVal,_xlfn.XLOOKUP($A602,CSV!$A:$A,CSV!E:E,""),
_xlpm.MacVal,_xlfn.XLOOKUP($A602,Output_Mac!$A:$A,Output_Mac!F:F,""),
_xlpm.MyAuditVal,_xlfn.XLOOKUP($A602,My_Audit!$A:$A,My_Audit!E:E,""),
_xlfn.IFS(_xlpm.MyAuditVal&lt;&gt;"",_xlpm.MyAuditVal,_xlpm.MacVal&lt;&gt;"",_xlpm.MacVal,_xlpm.CSVVal&lt;&gt;"",PROPER(_xlpm.CSVVal)
)),"")</f>
        <v/>
      </c>
      <c r="G602" s="54" t="str" cm="1">
        <f t="array" ref="G602">IFERROR(_xlfn.LET(
_xlpm.CSVVal,_xlfn.XLOOKUP($A602,CSV!$A:$A,CSV!F:F,""),
_xlpm.MacVal,_xlfn.XLOOKUP($A602,Output_Mac!$A:$A,Output_Mac!H:H,""),
_xlpm.MyAuditVal,_xlfn.XLOOKUP($A602,My_Audit!$A:$A,My_Audit!F:F,""),
_xlfn.IFS(_xlpm.MyAuditVal&lt;&gt;"",_xlpm.MyAuditVal,_xlpm.MacVal&lt;&gt;"",_xlpm.MacVal,_xlpm.CSVVal&lt;&gt;"",_xlpm.CSVVal
)),"")</f>
        <v/>
      </c>
      <c r="H602" s="54" t="str">
        <f>_xlfn.XLOOKUP(A602,Output_Mac!A:A,Output_Mac!I:I,"")</f>
        <v/>
      </c>
      <c r="I602" s="54" t="str" cm="1">
        <f t="array" ref="I602">IFERROR(_xlfn.LET(
_xlpm.CSVVal,_xlfn.XLOOKUP($A602,CSV!$A:$A,CSV!G:G,""),
_xlpm.MacVal,_xlfn.XLOOKUP($A602,Output_Mac!$A:$A,Output_Mac!J:J,""),
_xlpm.MyAuditVal,_xlfn.XLOOKUP($A602,My_Audit!$A:$A,My_Audit!H:H,""),
_xlfn.IFS(_xlpm.MyAuditVal&lt;&gt;"",UPPER(_xlpm.MyAuditVal),_xlpm.MacVal&lt;&gt;"",_xlpm.MacVal,_xlpm.CSVVal&lt;&gt;"",_xlpm.CSVVal
)),"")</f>
        <v/>
      </c>
      <c r="J602" s="54" t="str" cm="1">
        <f t="array" ref="J602">IFERROR(_xlfn.LET(
_xlpm.CSVVal,_xlfn.XLOOKUP($A602,CSV!$A:$A,CSV!I:I,""),
_xlpm.MacVal,_xlfn.XLOOKUP($A602,Output_Mac!$A:$A,Output_Mac!K:K,""),
_xlpm.MyAuditVal,_xlfn.XLOOKUP($A602,My_Audit!$A:$A,My_Audit!I:I,""),
_xlfn.IFS(_xlpm.MyAuditVal&lt;&gt;"",UPPER(_xlpm.MyAuditVal),_xlpm.MacVal&lt;&gt;"",_xlpm.MacVal,_xlpm.CSVVal&lt;&gt;"",_xlpm.CSVVal
)),"")</f>
        <v/>
      </c>
      <c r="K602" s="54" t="str" cm="1">
        <f t="array" ref="K602">IFERROR(_xlfn.LET(
_xlpm.CSVVal,_xlfn.XLOOKUP($A602,CSV!$A:$A,CSV!M:M,""),
_xlpm.MacVal,_xlfn.XLOOKUP($A602,Output_Mac!$A:$A,Output_Mac!L:L,""),
_xlpm.MyAuditVal,_xlfn.XLOOKUP($A602,My_Audit!$A:$A,My_Audit!J:J,""),
_xlfn.IFS(_xlpm.MyAuditVal&lt;&gt;"",UPPER(_xlpm.MyAuditVal),_xlpm.MacVal&lt;&gt;"",_xlpm.MacVal,_xlpm.CSVVal&lt;&gt;"",_xlpm.CSVVal
)),"")</f>
        <v/>
      </c>
      <c r="L602" s="54" t="str" cm="1">
        <f t="array" ref="L602">IFERROR(_xlfn.LET(
_xlpm.CSVVal,_xlfn.XLOOKUP($A602,CSV!$A:$A,CSV!O:O,""),
_xlpm.MacVal,_xlfn.XLOOKUP($A602,Output_Mac!$A:$A,Output_Mac!M:M,""),
_xlpm.MyAuditVal,_xlfn.XLOOKUP($A602,My_Audit!$A:$A,My_Audit!K:K,""),
_xlfn.IFS(_xlpm.MyAuditVal&lt;&gt;"",UPPER(_xlpm.MyAuditVal),_xlpm.MacVal&lt;&gt;"",_xlpm.MacVal,_xlpm.CSVVal&lt;&gt;"",_xlpm.CSVVal
)),"")</f>
        <v/>
      </c>
      <c r="M602" s="54" t="str">
        <f>_xlfn.LET(
    _xlpm.CSVVal, _xlfn.XLOOKUP($A602, CSV!$A:$A, CSV!AD:AD, ""),
    _xlpm.MacVal, _xlfn.XLOOKUP($A602, Output_Mac!$A:$A, Output_Mac!S:S, ""),
    _xlpm.MyAuditVal, _xlfn.XLOOKUP($A602, My_Audit!$A:$A, My_Audit!N:N, ""),
    _xlfn.TEXTJOIN(", ", TRUE, _xlpm.MyAuditVal, _xlpm.MacVal, _xlpm.CSVVal)
)</f>
        <v/>
      </c>
      <c r="N602" s="54" t="str" cm="1">
        <f t="array" ref="N602">IFERROR(_xlfn.LET(
_xlpm.CSVVal,_xlfn.XLOOKUP($A602,CSV!$A:$A,CSV!AF:AF,""),
_xlpm.MacVal,_xlfn.XLOOKUP($A602,Output_Mac!$A:$A,Output_Mac!U:U,""),
_xlpm.MyAuditVal,_xlfn.XLOOKUP($A602,My_Audit!$A:$A,My_Audit!O:O,""),
_xlfn.IFS(_xlpm.MyAuditVal&lt;&gt;"",UPPER(_xlpm.MyAuditVal),_xlpm.MacVal&lt;&gt;"",_xlpm.MacVal,_xlpm.CSVVal&lt;&gt;"",_xlpm.CSVVal
)),"")</f>
        <v/>
      </c>
      <c r="O602" s="54"/>
      <c r="P602" s="54"/>
      <c r="Q602" s="54"/>
      <c r="R602" s="54"/>
      <c r="S602" s="54"/>
      <c r="T602" s="54"/>
      <c r="U602" s="39"/>
    </row>
    <row r="603" spans="1:21">
      <c r="A603" s="54" t="str">
        <f>_xlfn.TEXTJOIN("",TRUE,Input!$B$2,ROW(My_Audit!A602))</f>
        <v>XX602</v>
      </c>
      <c r="B603" s="54" t="str">
        <f>_xlfn.TEXTJOIN("-",TRUE,"ITD",Input!$A$2,A603)</f>
        <v>ITD-SHRXXX-XX602</v>
      </c>
      <c r="C603" s="54" t="str" cm="1">
        <f t="array" ref="C603">IFERROR(_xlfn.LET(
_xlpm.CSVVal,_xlfn.XLOOKUP($A603,CSV!$A:$A,CSV!B:B,""),
_xlpm.MacVal,_xlfn.XLOOKUP($A603,Output_Mac!$A:$A,Output_Mac!B:B,""),
_xlpm.MyAuditVal,_xlfn.XLOOKUP($A603,My_Audit!$A:$A,My_Audit!B:B,""),
_xlfn.IFS(_xlpm.MyAuditVal&lt;&gt;"",UPPER(_xlpm.MyAuditVal),_xlpm.MacVal&lt;&gt;"",_xlpm.MacVal,_xlpm.CSVVal&lt;&gt;"",_xlpm.CSVVal
)),"")</f>
        <v/>
      </c>
      <c r="D603" s="55" t="str">
        <f>_xlfn.XLOOKUP(A603,My_Audit!A:A,My_Audit!D:D,"")&amp;""</f>
        <v/>
      </c>
      <c r="E603" s="55" t="str" cm="1">
        <f t="array" ref="E603">IFERROR(_xlfn.LET(
_xlpm.CSVVal,_xlfn.XLOOKUP($A603,CSV!$A:$A,CSV!D:D,""),
_xlpm.MacVal,_xlfn.XLOOKUP($A603,Output_Mac!$A:$A,Output_Mac!C:C,""),
_xlpm.MyAuditVal,_xlfn.XLOOKUP($A603,My_Audit!$A:$A,My_Audit!D:D,""),
_xlfn.IFS(_xlpm.MyAuditVal&lt;&gt;"",_xlpm.MyAuditVal,_xlpm.MacVal&lt;&gt;"",_xlpm.MacVal,_xlpm.CSVVal&lt;&gt;"",_xlpm.CSVVal
)),"")</f>
        <v/>
      </c>
      <c r="F603" s="54" t="str" cm="1">
        <f t="array" ref="F603">IFERROR(_xlfn.LET(
_xlpm.CSVVal,_xlfn.XLOOKUP($A603,CSV!$A:$A,CSV!E:E,""),
_xlpm.MacVal,_xlfn.XLOOKUP($A603,Output_Mac!$A:$A,Output_Mac!F:F,""),
_xlpm.MyAuditVal,_xlfn.XLOOKUP($A603,My_Audit!$A:$A,My_Audit!E:E,""),
_xlfn.IFS(_xlpm.MyAuditVal&lt;&gt;"",_xlpm.MyAuditVal,_xlpm.MacVal&lt;&gt;"",_xlpm.MacVal,_xlpm.CSVVal&lt;&gt;"",PROPER(_xlpm.CSVVal)
)),"")</f>
        <v/>
      </c>
      <c r="G603" s="54" t="str" cm="1">
        <f t="array" ref="G603">IFERROR(_xlfn.LET(
_xlpm.CSVVal,_xlfn.XLOOKUP($A603,CSV!$A:$A,CSV!F:F,""),
_xlpm.MacVal,_xlfn.XLOOKUP($A603,Output_Mac!$A:$A,Output_Mac!H:H,""),
_xlpm.MyAuditVal,_xlfn.XLOOKUP($A603,My_Audit!$A:$A,My_Audit!F:F,""),
_xlfn.IFS(_xlpm.MyAuditVal&lt;&gt;"",_xlpm.MyAuditVal,_xlpm.MacVal&lt;&gt;"",_xlpm.MacVal,_xlpm.CSVVal&lt;&gt;"",_xlpm.CSVVal
)),"")</f>
        <v/>
      </c>
      <c r="H603" s="54" t="str">
        <f>_xlfn.XLOOKUP(A603,Output_Mac!A:A,Output_Mac!I:I,"")</f>
        <v/>
      </c>
      <c r="I603" s="54" t="str" cm="1">
        <f t="array" ref="I603">IFERROR(_xlfn.LET(
_xlpm.CSVVal,_xlfn.XLOOKUP($A603,CSV!$A:$A,CSV!G:G,""),
_xlpm.MacVal,_xlfn.XLOOKUP($A603,Output_Mac!$A:$A,Output_Mac!J:J,""),
_xlpm.MyAuditVal,_xlfn.XLOOKUP($A603,My_Audit!$A:$A,My_Audit!H:H,""),
_xlfn.IFS(_xlpm.MyAuditVal&lt;&gt;"",UPPER(_xlpm.MyAuditVal),_xlpm.MacVal&lt;&gt;"",_xlpm.MacVal,_xlpm.CSVVal&lt;&gt;"",_xlpm.CSVVal
)),"")</f>
        <v/>
      </c>
      <c r="J603" s="54" t="str" cm="1">
        <f t="array" ref="J603">IFERROR(_xlfn.LET(
_xlpm.CSVVal,_xlfn.XLOOKUP($A603,CSV!$A:$A,CSV!I:I,""),
_xlpm.MacVal,_xlfn.XLOOKUP($A603,Output_Mac!$A:$A,Output_Mac!K:K,""),
_xlpm.MyAuditVal,_xlfn.XLOOKUP($A603,My_Audit!$A:$A,My_Audit!I:I,""),
_xlfn.IFS(_xlpm.MyAuditVal&lt;&gt;"",UPPER(_xlpm.MyAuditVal),_xlpm.MacVal&lt;&gt;"",_xlpm.MacVal,_xlpm.CSVVal&lt;&gt;"",_xlpm.CSVVal
)),"")</f>
        <v/>
      </c>
      <c r="K603" s="54" t="str" cm="1">
        <f t="array" ref="K603">IFERROR(_xlfn.LET(
_xlpm.CSVVal,_xlfn.XLOOKUP($A603,CSV!$A:$A,CSV!M:M,""),
_xlpm.MacVal,_xlfn.XLOOKUP($A603,Output_Mac!$A:$A,Output_Mac!L:L,""),
_xlpm.MyAuditVal,_xlfn.XLOOKUP($A603,My_Audit!$A:$A,My_Audit!J:J,""),
_xlfn.IFS(_xlpm.MyAuditVal&lt;&gt;"",UPPER(_xlpm.MyAuditVal),_xlpm.MacVal&lt;&gt;"",_xlpm.MacVal,_xlpm.CSVVal&lt;&gt;"",_xlpm.CSVVal
)),"")</f>
        <v/>
      </c>
      <c r="L603" s="54" t="str" cm="1">
        <f t="array" ref="L603">IFERROR(_xlfn.LET(
_xlpm.CSVVal,_xlfn.XLOOKUP($A603,CSV!$A:$A,CSV!O:O,""),
_xlpm.MacVal,_xlfn.XLOOKUP($A603,Output_Mac!$A:$A,Output_Mac!M:M,""),
_xlpm.MyAuditVal,_xlfn.XLOOKUP($A603,My_Audit!$A:$A,My_Audit!K:K,""),
_xlfn.IFS(_xlpm.MyAuditVal&lt;&gt;"",UPPER(_xlpm.MyAuditVal),_xlpm.MacVal&lt;&gt;"",_xlpm.MacVal,_xlpm.CSVVal&lt;&gt;"",_xlpm.CSVVal
)),"")</f>
        <v/>
      </c>
      <c r="M603" s="54" t="str">
        <f>_xlfn.LET(
    _xlpm.CSVVal, _xlfn.XLOOKUP($A603, CSV!$A:$A, CSV!AD:AD, ""),
    _xlpm.MacVal, _xlfn.XLOOKUP($A603, Output_Mac!$A:$A, Output_Mac!S:S, ""),
    _xlpm.MyAuditVal, _xlfn.XLOOKUP($A603, My_Audit!$A:$A, My_Audit!N:N, ""),
    _xlfn.TEXTJOIN(", ", TRUE, _xlpm.MyAuditVal, _xlpm.MacVal, _xlpm.CSVVal)
)</f>
        <v/>
      </c>
      <c r="N603" s="54" t="str" cm="1">
        <f t="array" ref="N603">IFERROR(_xlfn.LET(
_xlpm.CSVVal,_xlfn.XLOOKUP($A603,CSV!$A:$A,CSV!AF:AF,""),
_xlpm.MacVal,_xlfn.XLOOKUP($A603,Output_Mac!$A:$A,Output_Mac!U:U,""),
_xlpm.MyAuditVal,_xlfn.XLOOKUP($A603,My_Audit!$A:$A,My_Audit!O:O,""),
_xlfn.IFS(_xlpm.MyAuditVal&lt;&gt;"",UPPER(_xlpm.MyAuditVal),_xlpm.MacVal&lt;&gt;"",_xlpm.MacVal,_xlpm.CSVVal&lt;&gt;"",_xlpm.CSVVal
)),"")</f>
        <v/>
      </c>
      <c r="O603" s="54"/>
      <c r="P603" s="54"/>
      <c r="Q603" s="54"/>
      <c r="R603" s="54"/>
      <c r="S603" s="54"/>
      <c r="T603" s="54"/>
      <c r="U603" s="39"/>
    </row>
    <row r="604" spans="1:21">
      <c r="A604" s="54" t="str">
        <f>_xlfn.TEXTJOIN("",TRUE,Input!$B$2,ROW(My_Audit!A603))</f>
        <v>XX603</v>
      </c>
      <c r="B604" s="54" t="str">
        <f>_xlfn.TEXTJOIN("-",TRUE,"ITD",Input!$A$2,A604)</f>
        <v>ITD-SHRXXX-XX603</v>
      </c>
      <c r="C604" s="54" t="str" cm="1">
        <f t="array" ref="C604">IFERROR(_xlfn.LET(
_xlpm.CSVVal,_xlfn.XLOOKUP($A604,CSV!$A:$A,CSV!B:B,""),
_xlpm.MacVal,_xlfn.XLOOKUP($A604,Output_Mac!$A:$A,Output_Mac!B:B,""),
_xlpm.MyAuditVal,_xlfn.XLOOKUP($A604,My_Audit!$A:$A,My_Audit!B:B,""),
_xlfn.IFS(_xlpm.MyAuditVal&lt;&gt;"",UPPER(_xlpm.MyAuditVal),_xlpm.MacVal&lt;&gt;"",_xlpm.MacVal,_xlpm.CSVVal&lt;&gt;"",_xlpm.CSVVal
)),"")</f>
        <v/>
      </c>
      <c r="D604" s="55" t="str">
        <f>_xlfn.XLOOKUP(A604,My_Audit!A:A,My_Audit!D:D,"")&amp;""</f>
        <v/>
      </c>
      <c r="E604" s="55" t="str" cm="1">
        <f t="array" ref="E604">IFERROR(_xlfn.LET(
_xlpm.CSVVal,_xlfn.XLOOKUP($A604,CSV!$A:$A,CSV!D:D,""),
_xlpm.MacVal,_xlfn.XLOOKUP($A604,Output_Mac!$A:$A,Output_Mac!C:C,""),
_xlpm.MyAuditVal,_xlfn.XLOOKUP($A604,My_Audit!$A:$A,My_Audit!D:D,""),
_xlfn.IFS(_xlpm.MyAuditVal&lt;&gt;"",_xlpm.MyAuditVal,_xlpm.MacVal&lt;&gt;"",_xlpm.MacVal,_xlpm.CSVVal&lt;&gt;"",_xlpm.CSVVal
)),"")</f>
        <v/>
      </c>
      <c r="F604" s="54" t="str" cm="1">
        <f t="array" ref="F604">IFERROR(_xlfn.LET(
_xlpm.CSVVal,_xlfn.XLOOKUP($A604,CSV!$A:$A,CSV!E:E,""),
_xlpm.MacVal,_xlfn.XLOOKUP($A604,Output_Mac!$A:$A,Output_Mac!F:F,""),
_xlpm.MyAuditVal,_xlfn.XLOOKUP($A604,My_Audit!$A:$A,My_Audit!E:E,""),
_xlfn.IFS(_xlpm.MyAuditVal&lt;&gt;"",_xlpm.MyAuditVal,_xlpm.MacVal&lt;&gt;"",_xlpm.MacVal,_xlpm.CSVVal&lt;&gt;"",PROPER(_xlpm.CSVVal)
)),"")</f>
        <v/>
      </c>
      <c r="G604" s="54" t="str" cm="1">
        <f t="array" ref="G604">IFERROR(_xlfn.LET(
_xlpm.CSVVal,_xlfn.XLOOKUP($A604,CSV!$A:$A,CSV!F:F,""),
_xlpm.MacVal,_xlfn.XLOOKUP($A604,Output_Mac!$A:$A,Output_Mac!H:H,""),
_xlpm.MyAuditVal,_xlfn.XLOOKUP($A604,My_Audit!$A:$A,My_Audit!F:F,""),
_xlfn.IFS(_xlpm.MyAuditVal&lt;&gt;"",_xlpm.MyAuditVal,_xlpm.MacVal&lt;&gt;"",_xlpm.MacVal,_xlpm.CSVVal&lt;&gt;"",_xlpm.CSVVal
)),"")</f>
        <v/>
      </c>
      <c r="H604" s="54" t="str">
        <f>_xlfn.XLOOKUP(A604,Output_Mac!A:A,Output_Mac!I:I,"")</f>
        <v/>
      </c>
      <c r="I604" s="54" t="str" cm="1">
        <f t="array" ref="I604">IFERROR(_xlfn.LET(
_xlpm.CSVVal,_xlfn.XLOOKUP($A604,CSV!$A:$A,CSV!G:G,""),
_xlpm.MacVal,_xlfn.XLOOKUP($A604,Output_Mac!$A:$A,Output_Mac!J:J,""),
_xlpm.MyAuditVal,_xlfn.XLOOKUP($A604,My_Audit!$A:$A,My_Audit!H:H,""),
_xlfn.IFS(_xlpm.MyAuditVal&lt;&gt;"",UPPER(_xlpm.MyAuditVal),_xlpm.MacVal&lt;&gt;"",_xlpm.MacVal,_xlpm.CSVVal&lt;&gt;"",_xlpm.CSVVal
)),"")</f>
        <v/>
      </c>
      <c r="J604" s="54" t="str" cm="1">
        <f t="array" ref="J604">IFERROR(_xlfn.LET(
_xlpm.CSVVal,_xlfn.XLOOKUP($A604,CSV!$A:$A,CSV!I:I,""),
_xlpm.MacVal,_xlfn.XLOOKUP($A604,Output_Mac!$A:$A,Output_Mac!K:K,""),
_xlpm.MyAuditVal,_xlfn.XLOOKUP($A604,My_Audit!$A:$A,My_Audit!I:I,""),
_xlfn.IFS(_xlpm.MyAuditVal&lt;&gt;"",UPPER(_xlpm.MyAuditVal),_xlpm.MacVal&lt;&gt;"",_xlpm.MacVal,_xlpm.CSVVal&lt;&gt;"",_xlpm.CSVVal
)),"")</f>
        <v/>
      </c>
      <c r="K604" s="54" t="str" cm="1">
        <f t="array" ref="K604">IFERROR(_xlfn.LET(
_xlpm.CSVVal,_xlfn.XLOOKUP($A604,CSV!$A:$A,CSV!M:M,""),
_xlpm.MacVal,_xlfn.XLOOKUP($A604,Output_Mac!$A:$A,Output_Mac!L:L,""),
_xlpm.MyAuditVal,_xlfn.XLOOKUP($A604,My_Audit!$A:$A,My_Audit!J:J,""),
_xlfn.IFS(_xlpm.MyAuditVal&lt;&gt;"",UPPER(_xlpm.MyAuditVal),_xlpm.MacVal&lt;&gt;"",_xlpm.MacVal,_xlpm.CSVVal&lt;&gt;"",_xlpm.CSVVal
)),"")</f>
        <v/>
      </c>
      <c r="L604" s="54" t="str" cm="1">
        <f t="array" ref="L604">IFERROR(_xlfn.LET(
_xlpm.CSVVal,_xlfn.XLOOKUP($A604,CSV!$A:$A,CSV!O:O,""),
_xlpm.MacVal,_xlfn.XLOOKUP($A604,Output_Mac!$A:$A,Output_Mac!M:M,""),
_xlpm.MyAuditVal,_xlfn.XLOOKUP($A604,My_Audit!$A:$A,My_Audit!K:K,""),
_xlfn.IFS(_xlpm.MyAuditVal&lt;&gt;"",UPPER(_xlpm.MyAuditVal),_xlpm.MacVal&lt;&gt;"",_xlpm.MacVal,_xlpm.CSVVal&lt;&gt;"",_xlpm.CSVVal
)),"")</f>
        <v/>
      </c>
      <c r="M604" s="54" t="str">
        <f>_xlfn.LET(
    _xlpm.CSVVal, _xlfn.XLOOKUP($A604, CSV!$A:$A, CSV!AD:AD, ""),
    _xlpm.MacVal, _xlfn.XLOOKUP($A604, Output_Mac!$A:$A, Output_Mac!S:S, ""),
    _xlpm.MyAuditVal, _xlfn.XLOOKUP($A604, My_Audit!$A:$A, My_Audit!N:N, ""),
    _xlfn.TEXTJOIN(", ", TRUE, _xlpm.MyAuditVal, _xlpm.MacVal, _xlpm.CSVVal)
)</f>
        <v/>
      </c>
      <c r="N604" s="54" t="str" cm="1">
        <f t="array" ref="N604">IFERROR(_xlfn.LET(
_xlpm.CSVVal,_xlfn.XLOOKUP($A604,CSV!$A:$A,CSV!AF:AF,""),
_xlpm.MacVal,_xlfn.XLOOKUP($A604,Output_Mac!$A:$A,Output_Mac!U:U,""),
_xlpm.MyAuditVal,_xlfn.XLOOKUP($A604,My_Audit!$A:$A,My_Audit!O:O,""),
_xlfn.IFS(_xlpm.MyAuditVal&lt;&gt;"",UPPER(_xlpm.MyAuditVal),_xlpm.MacVal&lt;&gt;"",_xlpm.MacVal,_xlpm.CSVVal&lt;&gt;"",_xlpm.CSVVal
)),"")</f>
        <v/>
      </c>
      <c r="O604" s="54"/>
      <c r="P604" s="54"/>
      <c r="Q604" s="54"/>
      <c r="R604" s="54"/>
      <c r="S604" s="54"/>
      <c r="T604" s="54"/>
      <c r="U604" s="39"/>
    </row>
    <row r="605" spans="1:21">
      <c r="A605" s="54" t="str">
        <f>_xlfn.TEXTJOIN("",TRUE,Input!$B$2,ROW(My_Audit!A604))</f>
        <v>XX604</v>
      </c>
      <c r="B605" s="54" t="str">
        <f>_xlfn.TEXTJOIN("-",TRUE,"ITD",Input!$A$2,A605)</f>
        <v>ITD-SHRXXX-XX604</v>
      </c>
      <c r="C605" s="54" t="str" cm="1">
        <f t="array" ref="C605">IFERROR(_xlfn.LET(
_xlpm.CSVVal,_xlfn.XLOOKUP($A605,CSV!$A:$A,CSV!B:B,""),
_xlpm.MacVal,_xlfn.XLOOKUP($A605,Output_Mac!$A:$A,Output_Mac!B:B,""),
_xlpm.MyAuditVal,_xlfn.XLOOKUP($A605,My_Audit!$A:$A,My_Audit!B:B,""),
_xlfn.IFS(_xlpm.MyAuditVal&lt;&gt;"",UPPER(_xlpm.MyAuditVal),_xlpm.MacVal&lt;&gt;"",_xlpm.MacVal,_xlpm.CSVVal&lt;&gt;"",_xlpm.CSVVal
)),"")</f>
        <v/>
      </c>
      <c r="D605" s="55" t="str">
        <f>_xlfn.XLOOKUP(A605,My_Audit!A:A,My_Audit!D:D,"")&amp;""</f>
        <v/>
      </c>
      <c r="E605" s="55" t="str" cm="1">
        <f t="array" ref="E605">IFERROR(_xlfn.LET(
_xlpm.CSVVal,_xlfn.XLOOKUP($A605,CSV!$A:$A,CSV!D:D,""),
_xlpm.MacVal,_xlfn.XLOOKUP($A605,Output_Mac!$A:$A,Output_Mac!C:C,""),
_xlpm.MyAuditVal,_xlfn.XLOOKUP($A605,My_Audit!$A:$A,My_Audit!D:D,""),
_xlfn.IFS(_xlpm.MyAuditVal&lt;&gt;"",_xlpm.MyAuditVal,_xlpm.MacVal&lt;&gt;"",_xlpm.MacVal,_xlpm.CSVVal&lt;&gt;"",_xlpm.CSVVal
)),"")</f>
        <v/>
      </c>
      <c r="F605" s="54" t="str" cm="1">
        <f t="array" ref="F605">IFERROR(_xlfn.LET(
_xlpm.CSVVal,_xlfn.XLOOKUP($A605,CSV!$A:$A,CSV!E:E,""),
_xlpm.MacVal,_xlfn.XLOOKUP($A605,Output_Mac!$A:$A,Output_Mac!F:F,""),
_xlpm.MyAuditVal,_xlfn.XLOOKUP($A605,My_Audit!$A:$A,My_Audit!E:E,""),
_xlfn.IFS(_xlpm.MyAuditVal&lt;&gt;"",_xlpm.MyAuditVal,_xlpm.MacVal&lt;&gt;"",_xlpm.MacVal,_xlpm.CSVVal&lt;&gt;"",PROPER(_xlpm.CSVVal)
)),"")</f>
        <v/>
      </c>
      <c r="G605" s="54" t="str" cm="1">
        <f t="array" ref="G605">IFERROR(_xlfn.LET(
_xlpm.CSVVal,_xlfn.XLOOKUP($A605,CSV!$A:$A,CSV!F:F,""),
_xlpm.MacVal,_xlfn.XLOOKUP($A605,Output_Mac!$A:$A,Output_Mac!H:H,""),
_xlpm.MyAuditVal,_xlfn.XLOOKUP($A605,My_Audit!$A:$A,My_Audit!F:F,""),
_xlfn.IFS(_xlpm.MyAuditVal&lt;&gt;"",_xlpm.MyAuditVal,_xlpm.MacVal&lt;&gt;"",_xlpm.MacVal,_xlpm.CSVVal&lt;&gt;"",_xlpm.CSVVal
)),"")</f>
        <v/>
      </c>
      <c r="H605" s="54" t="str">
        <f>_xlfn.XLOOKUP(A605,Output_Mac!A:A,Output_Mac!I:I,"")</f>
        <v/>
      </c>
      <c r="I605" s="54" t="str" cm="1">
        <f t="array" ref="I605">IFERROR(_xlfn.LET(
_xlpm.CSVVal,_xlfn.XLOOKUP($A605,CSV!$A:$A,CSV!G:G,""),
_xlpm.MacVal,_xlfn.XLOOKUP($A605,Output_Mac!$A:$A,Output_Mac!J:J,""),
_xlpm.MyAuditVal,_xlfn.XLOOKUP($A605,My_Audit!$A:$A,My_Audit!H:H,""),
_xlfn.IFS(_xlpm.MyAuditVal&lt;&gt;"",UPPER(_xlpm.MyAuditVal),_xlpm.MacVal&lt;&gt;"",_xlpm.MacVal,_xlpm.CSVVal&lt;&gt;"",_xlpm.CSVVal
)),"")</f>
        <v/>
      </c>
      <c r="J605" s="54" t="str" cm="1">
        <f t="array" ref="J605">IFERROR(_xlfn.LET(
_xlpm.CSVVal,_xlfn.XLOOKUP($A605,CSV!$A:$A,CSV!I:I,""),
_xlpm.MacVal,_xlfn.XLOOKUP($A605,Output_Mac!$A:$A,Output_Mac!K:K,""),
_xlpm.MyAuditVal,_xlfn.XLOOKUP($A605,My_Audit!$A:$A,My_Audit!I:I,""),
_xlfn.IFS(_xlpm.MyAuditVal&lt;&gt;"",UPPER(_xlpm.MyAuditVal),_xlpm.MacVal&lt;&gt;"",_xlpm.MacVal,_xlpm.CSVVal&lt;&gt;"",_xlpm.CSVVal
)),"")</f>
        <v/>
      </c>
      <c r="K605" s="54" t="str" cm="1">
        <f t="array" ref="K605">IFERROR(_xlfn.LET(
_xlpm.CSVVal,_xlfn.XLOOKUP($A605,CSV!$A:$A,CSV!M:M,""),
_xlpm.MacVal,_xlfn.XLOOKUP($A605,Output_Mac!$A:$A,Output_Mac!L:L,""),
_xlpm.MyAuditVal,_xlfn.XLOOKUP($A605,My_Audit!$A:$A,My_Audit!J:J,""),
_xlfn.IFS(_xlpm.MyAuditVal&lt;&gt;"",UPPER(_xlpm.MyAuditVal),_xlpm.MacVal&lt;&gt;"",_xlpm.MacVal,_xlpm.CSVVal&lt;&gt;"",_xlpm.CSVVal
)),"")</f>
        <v/>
      </c>
      <c r="L605" s="54" t="str" cm="1">
        <f t="array" ref="L605">IFERROR(_xlfn.LET(
_xlpm.CSVVal,_xlfn.XLOOKUP($A605,CSV!$A:$A,CSV!O:O,""),
_xlpm.MacVal,_xlfn.XLOOKUP($A605,Output_Mac!$A:$A,Output_Mac!M:M,""),
_xlpm.MyAuditVal,_xlfn.XLOOKUP($A605,My_Audit!$A:$A,My_Audit!K:K,""),
_xlfn.IFS(_xlpm.MyAuditVal&lt;&gt;"",UPPER(_xlpm.MyAuditVal),_xlpm.MacVal&lt;&gt;"",_xlpm.MacVal,_xlpm.CSVVal&lt;&gt;"",_xlpm.CSVVal
)),"")</f>
        <v/>
      </c>
      <c r="M605" s="54" t="str">
        <f>_xlfn.LET(
    _xlpm.CSVVal, _xlfn.XLOOKUP($A605, CSV!$A:$A, CSV!AD:AD, ""),
    _xlpm.MacVal, _xlfn.XLOOKUP($A605, Output_Mac!$A:$A, Output_Mac!S:S, ""),
    _xlpm.MyAuditVal, _xlfn.XLOOKUP($A605, My_Audit!$A:$A, My_Audit!N:N, ""),
    _xlfn.TEXTJOIN(", ", TRUE, _xlpm.MyAuditVal, _xlpm.MacVal, _xlpm.CSVVal)
)</f>
        <v/>
      </c>
      <c r="N605" s="54" t="str" cm="1">
        <f t="array" ref="N605">IFERROR(_xlfn.LET(
_xlpm.CSVVal,_xlfn.XLOOKUP($A605,CSV!$A:$A,CSV!AF:AF,""),
_xlpm.MacVal,_xlfn.XLOOKUP($A605,Output_Mac!$A:$A,Output_Mac!U:U,""),
_xlpm.MyAuditVal,_xlfn.XLOOKUP($A605,My_Audit!$A:$A,My_Audit!O:O,""),
_xlfn.IFS(_xlpm.MyAuditVal&lt;&gt;"",UPPER(_xlpm.MyAuditVal),_xlpm.MacVal&lt;&gt;"",_xlpm.MacVal,_xlpm.CSVVal&lt;&gt;"",_xlpm.CSVVal
)),"")</f>
        <v/>
      </c>
      <c r="O605" s="54"/>
      <c r="P605" s="54"/>
      <c r="Q605" s="54"/>
      <c r="R605" s="54"/>
      <c r="S605" s="54"/>
      <c r="T605" s="54"/>
      <c r="U605" s="39"/>
    </row>
    <row r="606" spans="1:21">
      <c r="A606" s="54" t="str">
        <f>_xlfn.TEXTJOIN("",TRUE,Input!$B$2,ROW(My_Audit!A605))</f>
        <v>XX605</v>
      </c>
      <c r="B606" s="54" t="str">
        <f>_xlfn.TEXTJOIN("-",TRUE,"ITD",Input!$A$2,A606)</f>
        <v>ITD-SHRXXX-XX605</v>
      </c>
      <c r="C606" s="54" t="str" cm="1">
        <f t="array" ref="C606">IFERROR(_xlfn.LET(
_xlpm.CSVVal,_xlfn.XLOOKUP($A606,CSV!$A:$A,CSV!B:B,""),
_xlpm.MacVal,_xlfn.XLOOKUP($A606,Output_Mac!$A:$A,Output_Mac!B:B,""),
_xlpm.MyAuditVal,_xlfn.XLOOKUP($A606,My_Audit!$A:$A,My_Audit!B:B,""),
_xlfn.IFS(_xlpm.MyAuditVal&lt;&gt;"",UPPER(_xlpm.MyAuditVal),_xlpm.MacVal&lt;&gt;"",_xlpm.MacVal,_xlpm.CSVVal&lt;&gt;"",_xlpm.CSVVal
)),"")</f>
        <v/>
      </c>
      <c r="D606" s="55" t="str">
        <f>_xlfn.XLOOKUP(A606,My_Audit!A:A,My_Audit!D:D,"")&amp;""</f>
        <v/>
      </c>
      <c r="E606" s="55" t="str" cm="1">
        <f t="array" ref="E606">IFERROR(_xlfn.LET(
_xlpm.CSVVal,_xlfn.XLOOKUP($A606,CSV!$A:$A,CSV!D:D,""),
_xlpm.MacVal,_xlfn.XLOOKUP($A606,Output_Mac!$A:$A,Output_Mac!C:C,""),
_xlpm.MyAuditVal,_xlfn.XLOOKUP($A606,My_Audit!$A:$A,My_Audit!D:D,""),
_xlfn.IFS(_xlpm.MyAuditVal&lt;&gt;"",_xlpm.MyAuditVal,_xlpm.MacVal&lt;&gt;"",_xlpm.MacVal,_xlpm.CSVVal&lt;&gt;"",_xlpm.CSVVal
)),"")</f>
        <v/>
      </c>
      <c r="F606" s="54" t="str" cm="1">
        <f t="array" ref="F606">IFERROR(_xlfn.LET(
_xlpm.CSVVal,_xlfn.XLOOKUP($A606,CSV!$A:$A,CSV!E:E,""),
_xlpm.MacVal,_xlfn.XLOOKUP($A606,Output_Mac!$A:$A,Output_Mac!F:F,""),
_xlpm.MyAuditVal,_xlfn.XLOOKUP($A606,My_Audit!$A:$A,My_Audit!E:E,""),
_xlfn.IFS(_xlpm.MyAuditVal&lt;&gt;"",_xlpm.MyAuditVal,_xlpm.MacVal&lt;&gt;"",_xlpm.MacVal,_xlpm.CSVVal&lt;&gt;"",PROPER(_xlpm.CSVVal)
)),"")</f>
        <v/>
      </c>
      <c r="G606" s="54" t="str" cm="1">
        <f t="array" ref="G606">IFERROR(_xlfn.LET(
_xlpm.CSVVal,_xlfn.XLOOKUP($A606,CSV!$A:$A,CSV!F:F,""),
_xlpm.MacVal,_xlfn.XLOOKUP($A606,Output_Mac!$A:$A,Output_Mac!H:H,""),
_xlpm.MyAuditVal,_xlfn.XLOOKUP($A606,My_Audit!$A:$A,My_Audit!F:F,""),
_xlfn.IFS(_xlpm.MyAuditVal&lt;&gt;"",_xlpm.MyAuditVal,_xlpm.MacVal&lt;&gt;"",_xlpm.MacVal,_xlpm.CSVVal&lt;&gt;"",_xlpm.CSVVal
)),"")</f>
        <v/>
      </c>
      <c r="H606" s="54" t="str">
        <f>_xlfn.XLOOKUP(A606,Output_Mac!A:A,Output_Mac!I:I,"")</f>
        <v/>
      </c>
      <c r="I606" s="54" t="str" cm="1">
        <f t="array" ref="I606">IFERROR(_xlfn.LET(
_xlpm.CSVVal,_xlfn.XLOOKUP($A606,CSV!$A:$A,CSV!G:G,""),
_xlpm.MacVal,_xlfn.XLOOKUP($A606,Output_Mac!$A:$A,Output_Mac!J:J,""),
_xlpm.MyAuditVal,_xlfn.XLOOKUP($A606,My_Audit!$A:$A,My_Audit!H:H,""),
_xlfn.IFS(_xlpm.MyAuditVal&lt;&gt;"",UPPER(_xlpm.MyAuditVal),_xlpm.MacVal&lt;&gt;"",_xlpm.MacVal,_xlpm.CSVVal&lt;&gt;"",_xlpm.CSVVal
)),"")</f>
        <v/>
      </c>
      <c r="J606" s="54" t="str" cm="1">
        <f t="array" ref="J606">IFERROR(_xlfn.LET(
_xlpm.CSVVal,_xlfn.XLOOKUP($A606,CSV!$A:$A,CSV!I:I,""),
_xlpm.MacVal,_xlfn.XLOOKUP($A606,Output_Mac!$A:$A,Output_Mac!K:K,""),
_xlpm.MyAuditVal,_xlfn.XLOOKUP($A606,My_Audit!$A:$A,My_Audit!I:I,""),
_xlfn.IFS(_xlpm.MyAuditVal&lt;&gt;"",UPPER(_xlpm.MyAuditVal),_xlpm.MacVal&lt;&gt;"",_xlpm.MacVal,_xlpm.CSVVal&lt;&gt;"",_xlpm.CSVVal
)),"")</f>
        <v/>
      </c>
      <c r="K606" s="54" t="str" cm="1">
        <f t="array" ref="K606">IFERROR(_xlfn.LET(
_xlpm.CSVVal,_xlfn.XLOOKUP($A606,CSV!$A:$A,CSV!M:M,""),
_xlpm.MacVal,_xlfn.XLOOKUP($A606,Output_Mac!$A:$A,Output_Mac!L:L,""),
_xlpm.MyAuditVal,_xlfn.XLOOKUP($A606,My_Audit!$A:$A,My_Audit!J:J,""),
_xlfn.IFS(_xlpm.MyAuditVal&lt;&gt;"",UPPER(_xlpm.MyAuditVal),_xlpm.MacVal&lt;&gt;"",_xlpm.MacVal,_xlpm.CSVVal&lt;&gt;"",_xlpm.CSVVal
)),"")</f>
        <v/>
      </c>
      <c r="L606" s="54" t="str" cm="1">
        <f t="array" ref="L606">IFERROR(_xlfn.LET(
_xlpm.CSVVal,_xlfn.XLOOKUP($A606,CSV!$A:$A,CSV!O:O,""),
_xlpm.MacVal,_xlfn.XLOOKUP($A606,Output_Mac!$A:$A,Output_Mac!M:M,""),
_xlpm.MyAuditVal,_xlfn.XLOOKUP($A606,My_Audit!$A:$A,My_Audit!K:K,""),
_xlfn.IFS(_xlpm.MyAuditVal&lt;&gt;"",UPPER(_xlpm.MyAuditVal),_xlpm.MacVal&lt;&gt;"",_xlpm.MacVal,_xlpm.CSVVal&lt;&gt;"",_xlpm.CSVVal
)),"")</f>
        <v/>
      </c>
      <c r="M606" s="54" t="str">
        <f>_xlfn.LET(
    _xlpm.CSVVal, _xlfn.XLOOKUP($A606, CSV!$A:$A, CSV!AD:AD, ""),
    _xlpm.MacVal, _xlfn.XLOOKUP($A606, Output_Mac!$A:$A, Output_Mac!S:S, ""),
    _xlpm.MyAuditVal, _xlfn.XLOOKUP($A606, My_Audit!$A:$A, My_Audit!N:N, ""),
    _xlfn.TEXTJOIN(", ", TRUE, _xlpm.MyAuditVal, _xlpm.MacVal, _xlpm.CSVVal)
)</f>
        <v/>
      </c>
      <c r="N606" s="54" t="str" cm="1">
        <f t="array" ref="N606">IFERROR(_xlfn.LET(
_xlpm.CSVVal,_xlfn.XLOOKUP($A606,CSV!$A:$A,CSV!AF:AF,""),
_xlpm.MacVal,_xlfn.XLOOKUP($A606,Output_Mac!$A:$A,Output_Mac!U:U,""),
_xlpm.MyAuditVal,_xlfn.XLOOKUP($A606,My_Audit!$A:$A,My_Audit!O:O,""),
_xlfn.IFS(_xlpm.MyAuditVal&lt;&gt;"",UPPER(_xlpm.MyAuditVal),_xlpm.MacVal&lt;&gt;"",_xlpm.MacVal,_xlpm.CSVVal&lt;&gt;"",_xlpm.CSVVal
)),"")</f>
        <v/>
      </c>
      <c r="O606" s="54"/>
      <c r="P606" s="54"/>
      <c r="Q606" s="54"/>
      <c r="R606" s="54"/>
      <c r="S606" s="54"/>
      <c r="T606" s="54"/>
      <c r="U606" s="39"/>
    </row>
    <row r="607" spans="1:21">
      <c r="A607" s="54" t="str">
        <f>_xlfn.TEXTJOIN("",TRUE,Input!$B$2,ROW(My_Audit!A606))</f>
        <v>XX606</v>
      </c>
      <c r="B607" s="54" t="str">
        <f>_xlfn.TEXTJOIN("-",TRUE,"ITD",Input!$A$2,A607)</f>
        <v>ITD-SHRXXX-XX606</v>
      </c>
      <c r="C607" s="54" t="str" cm="1">
        <f t="array" ref="C607">IFERROR(_xlfn.LET(
_xlpm.CSVVal,_xlfn.XLOOKUP($A607,CSV!$A:$A,CSV!B:B,""),
_xlpm.MacVal,_xlfn.XLOOKUP($A607,Output_Mac!$A:$A,Output_Mac!B:B,""),
_xlpm.MyAuditVal,_xlfn.XLOOKUP($A607,My_Audit!$A:$A,My_Audit!B:B,""),
_xlfn.IFS(_xlpm.MyAuditVal&lt;&gt;"",UPPER(_xlpm.MyAuditVal),_xlpm.MacVal&lt;&gt;"",_xlpm.MacVal,_xlpm.CSVVal&lt;&gt;"",_xlpm.CSVVal
)),"")</f>
        <v/>
      </c>
      <c r="D607" s="55" t="str">
        <f>_xlfn.XLOOKUP(A607,My_Audit!A:A,My_Audit!D:D,"")&amp;""</f>
        <v/>
      </c>
      <c r="E607" s="55" t="str" cm="1">
        <f t="array" ref="E607">IFERROR(_xlfn.LET(
_xlpm.CSVVal,_xlfn.XLOOKUP($A607,CSV!$A:$A,CSV!D:D,""),
_xlpm.MacVal,_xlfn.XLOOKUP($A607,Output_Mac!$A:$A,Output_Mac!C:C,""),
_xlpm.MyAuditVal,_xlfn.XLOOKUP($A607,My_Audit!$A:$A,My_Audit!D:D,""),
_xlfn.IFS(_xlpm.MyAuditVal&lt;&gt;"",_xlpm.MyAuditVal,_xlpm.MacVal&lt;&gt;"",_xlpm.MacVal,_xlpm.CSVVal&lt;&gt;"",_xlpm.CSVVal
)),"")</f>
        <v/>
      </c>
      <c r="F607" s="54" t="str" cm="1">
        <f t="array" ref="F607">IFERROR(_xlfn.LET(
_xlpm.CSVVal,_xlfn.XLOOKUP($A607,CSV!$A:$A,CSV!E:E,""),
_xlpm.MacVal,_xlfn.XLOOKUP($A607,Output_Mac!$A:$A,Output_Mac!F:F,""),
_xlpm.MyAuditVal,_xlfn.XLOOKUP($A607,My_Audit!$A:$A,My_Audit!E:E,""),
_xlfn.IFS(_xlpm.MyAuditVal&lt;&gt;"",_xlpm.MyAuditVal,_xlpm.MacVal&lt;&gt;"",_xlpm.MacVal,_xlpm.CSVVal&lt;&gt;"",PROPER(_xlpm.CSVVal)
)),"")</f>
        <v/>
      </c>
      <c r="G607" s="54" t="str" cm="1">
        <f t="array" ref="G607">IFERROR(_xlfn.LET(
_xlpm.CSVVal,_xlfn.XLOOKUP($A607,CSV!$A:$A,CSV!F:F,""),
_xlpm.MacVal,_xlfn.XLOOKUP($A607,Output_Mac!$A:$A,Output_Mac!H:H,""),
_xlpm.MyAuditVal,_xlfn.XLOOKUP($A607,My_Audit!$A:$A,My_Audit!F:F,""),
_xlfn.IFS(_xlpm.MyAuditVal&lt;&gt;"",_xlpm.MyAuditVal,_xlpm.MacVal&lt;&gt;"",_xlpm.MacVal,_xlpm.CSVVal&lt;&gt;"",_xlpm.CSVVal
)),"")</f>
        <v/>
      </c>
      <c r="H607" s="54" t="str">
        <f>_xlfn.XLOOKUP(A607,Output_Mac!A:A,Output_Mac!I:I,"")</f>
        <v/>
      </c>
      <c r="I607" s="54" t="str" cm="1">
        <f t="array" ref="I607">IFERROR(_xlfn.LET(
_xlpm.CSVVal,_xlfn.XLOOKUP($A607,CSV!$A:$A,CSV!G:G,""),
_xlpm.MacVal,_xlfn.XLOOKUP($A607,Output_Mac!$A:$A,Output_Mac!J:J,""),
_xlpm.MyAuditVal,_xlfn.XLOOKUP($A607,My_Audit!$A:$A,My_Audit!H:H,""),
_xlfn.IFS(_xlpm.MyAuditVal&lt;&gt;"",UPPER(_xlpm.MyAuditVal),_xlpm.MacVal&lt;&gt;"",_xlpm.MacVal,_xlpm.CSVVal&lt;&gt;"",_xlpm.CSVVal
)),"")</f>
        <v/>
      </c>
      <c r="J607" s="54" t="str" cm="1">
        <f t="array" ref="J607">IFERROR(_xlfn.LET(
_xlpm.CSVVal,_xlfn.XLOOKUP($A607,CSV!$A:$A,CSV!I:I,""),
_xlpm.MacVal,_xlfn.XLOOKUP($A607,Output_Mac!$A:$A,Output_Mac!K:K,""),
_xlpm.MyAuditVal,_xlfn.XLOOKUP($A607,My_Audit!$A:$A,My_Audit!I:I,""),
_xlfn.IFS(_xlpm.MyAuditVal&lt;&gt;"",UPPER(_xlpm.MyAuditVal),_xlpm.MacVal&lt;&gt;"",_xlpm.MacVal,_xlpm.CSVVal&lt;&gt;"",_xlpm.CSVVal
)),"")</f>
        <v/>
      </c>
      <c r="K607" s="54" t="str" cm="1">
        <f t="array" ref="K607">IFERROR(_xlfn.LET(
_xlpm.CSVVal,_xlfn.XLOOKUP($A607,CSV!$A:$A,CSV!M:M,""),
_xlpm.MacVal,_xlfn.XLOOKUP($A607,Output_Mac!$A:$A,Output_Mac!L:L,""),
_xlpm.MyAuditVal,_xlfn.XLOOKUP($A607,My_Audit!$A:$A,My_Audit!J:J,""),
_xlfn.IFS(_xlpm.MyAuditVal&lt;&gt;"",UPPER(_xlpm.MyAuditVal),_xlpm.MacVal&lt;&gt;"",_xlpm.MacVal,_xlpm.CSVVal&lt;&gt;"",_xlpm.CSVVal
)),"")</f>
        <v/>
      </c>
      <c r="L607" s="54" t="str" cm="1">
        <f t="array" ref="L607">IFERROR(_xlfn.LET(
_xlpm.CSVVal,_xlfn.XLOOKUP($A607,CSV!$A:$A,CSV!O:O,""),
_xlpm.MacVal,_xlfn.XLOOKUP($A607,Output_Mac!$A:$A,Output_Mac!M:M,""),
_xlpm.MyAuditVal,_xlfn.XLOOKUP($A607,My_Audit!$A:$A,My_Audit!K:K,""),
_xlfn.IFS(_xlpm.MyAuditVal&lt;&gt;"",UPPER(_xlpm.MyAuditVal),_xlpm.MacVal&lt;&gt;"",_xlpm.MacVal,_xlpm.CSVVal&lt;&gt;"",_xlpm.CSVVal
)),"")</f>
        <v/>
      </c>
      <c r="M607" s="54" t="str">
        <f>_xlfn.LET(
    _xlpm.CSVVal, _xlfn.XLOOKUP($A607, CSV!$A:$A, CSV!AD:AD, ""),
    _xlpm.MacVal, _xlfn.XLOOKUP($A607, Output_Mac!$A:$A, Output_Mac!S:S, ""),
    _xlpm.MyAuditVal, _xlfn.XLOOKUP($A607, My_Audit!$A:$A, My_Audit!N:N, ""),
    _xlfn.TEXTJOIN(", ", TRUE, _xlpm.MyAuditVal, _xlpm.MacVal, _xlpm.CSVVal)
)</f>
        <v/>
      </c>
      <c r="N607" s="54" t="str" cm="1">
        <f t="array" ref="N607">IFERROR(_xlfn.LET(
_xlpm.CSVVal,_xlfn.XLOOKUP($A607,CSV!$A:$A,CSV!AF:AF,""),
_xlpm.MacVal,_xlfn.XLOOKUP($A607,Output_Mac!$A:$A,Output_Mac!U:U,""),
_xlpm.MyAuditVal,_xlfn.XLOOKUP($A607,My_Audit!$A:$A,My_Audit!O:O,""),
_xlfn.IFS(_xlpm.MyAuditVal&lt;&gt;"",UPPER(_xlpm.MyAuditVal),_xlpm.MacVal&lt;&gt;"",_xlpm.MacVal,_xlpm.CSVVal&lt;&gt;"",_xlpm.CSVVal
)),"")</f>
        <v/>
      </c>
      <c r="O607" s="54"/>
      <c r="P607" s="54"/>
      <c r="Q607" s="54"/>
      <c r="R607" s="54"/>
      <c r="S607" s="54"/>
      <c r="T607" s="54"/>
      <c r="U607" s="39"/>
    </row>
    <row r="608" spans="1:21">
      <c r="A608" s="54" t="str">
        <f>_xlfn.TEXTJOIN("",TRUE,Input!$B$2,ROW(My_Audit!A607))</f>
        <v>XX607</v>
      </c>
      <c r="B608" s="54" t="str">
        <f>_xlfn.TEXTJOIN("-",TRUE,"ITD",Input!$A$2,A608)</f>
        <v>ITD-SHRXXX-XX607</v>
      </c>
      <c r="C608" s="54" t="str" cm="1">
        <f t="array" ref="C608">IFERROR(_xlfn.LET(
_xlpm.CSVVal,_xlfn.XLOOKUP($A608,CSV!$A:$A,CSV!B:B,""),
_xlpm.MacVal,_xlfn.XLOOKUP($A608,Output_Mac!$A:$A,Output_Mac!B:B,""),
_xlpm.MyAuditVal,_xlfn.XLOOKUP($A608,My_Audit!$A:$A,My_Audit!B:B,""),
_xlfn.IFS(_xlpm.MyAuditVal&lt;&gt;"",UPPER(_xlpm.MyAuditVal),_xlpm.MacVal&lt;&gt;"",_xlpm.MacVal,_xlpm.CSVVal&lt;&gt;"",_xlpm.CSVVal
)),"")</f>
        <v/>
      </c>
      <c r="D608" s="55" t="str">
        <f>_xlfn.XLOOKUP(A608,My_Audit!A:A,My_Audit!D:D,"")&amp;""</f>
        <v/>
      </c>
      <c r="E608" s="55" t="str" cm="1">
        <f t="array" ref="E608">IFERROR(_xlfn.LET(
_xlpm.CSVVal,_xlfn.XLOOKUP($A608,CSV!$A:$A,CSV!D:D,""),
_xlpm.MacVal,_xlfn.XLOOKUP($A608,Output_Mac!$A:$A,Output_Mac!C:C,""),
_xlpm.MyAuditVal,_xlfn.XLOOKUP($A608,My_Audit!$A:$A,My_Audit!D:D,""),
_xlfn.IFS(_xlpm.MyAuditVal&lt;&gt;"",_xlpm.MyAuditVal,_xlpm.MacVal&lt;&gt;"",_xlpm.MacVal,_xlpm.CSVVal&lt;&gt;"",_xlpm.CSVVal
)),"")</f>
        <v/>
      </c>
      <c r="F608" s="54" t="str" cm="1">
        <f t="array" ref="F608">IFERROR(_xlfn.LET(
_xlpm.CSVVal,_xlfn.XLOOKUP($A608,CSV!$A:$A,CSV!E:E,""),
_xlpm.MacVal,_xlfn.XLOOKUP($A608,Output_Mac!$A:$A,Output_Mac!F:F,""),
_xlpm.MyAuditVal,_xlfn.XLOOKUP($A608,My_Audit!$A:$A,My_Audit!E:E,""),
_xlfn.IFS(_xlpm.MyAuditVal&lt;&gt;"",_xlpm.MyAuditVal,_xlpm.MacVal&lt;&gt;"",_xlpm.MacVal,_xlpm.CSVVal&lt;&gt;"",PROPER(_xlpm.CSVVal)
)),"")</f>
        <v/>
      </c>
      <c r="G608" s="54" t="str" cm="1">
        <f t="array" ref="G608">IFERROR(_xlfn.LET(
_xlpm.CSVVal,_xlfn.XLOOKUP($A608,CSV!$A:$A,CSV!F:F,""),
_xlpm.MacVal,_xlfn.XLOOKUP($A608,Output_Mac!$A:$A,Output_Mac!H:H,""),
_xlpm.MyAuditVal,_xlfn.XLOOKUP($A608,My_Audit!$A:$A,My_Audit!F:F,""),
_xlfn.IFS(_xlpm.MyAuditVal&lt;&gt;"",_xlpm.MyAuditVal,_xlpm.MacVal&lt;&gt;"",_xlpm.MacVal,_xlpm.CSVVal&lt;&gt;"",_xlpm.CSVVal
)),"")</f>
        <v/>
      </c>
      <c r="H608" s="54" t="str">
        <f>_xlfn.XLOOKUP(A608,Output_Mac!A:A,Output_Mac!I:I,"")</f>
        <v/>
      </c>
      <c r="I608" s="54" t="str" cm="1">
        <f t="array" ref="I608">IFERROR(_xlfn.LET(
_xlpm.CSVVal,_xlfn.XLOOKUP($A608,CSV!$A:$A,CSV!G:G,""),
_xlpm.MacVal,_xlfn.XLOOKUP($A608,Output_Mac!$A:$A,Output_Mac!J:J,""),
_xlpm.MyAuditVal,_xlfn.XLOOKUP($A608,My_Audit!$A:$A,My_Audit!H:H,""),
_xlfn.IFS(_xlpm.MyAuditVal&lt;&gt;"",UPPER(_xlpm.MyAuditVal),_xlpm.MacVal&lt;&gt;"",_xlpm.MacVal,_xlpm.CSVVal&lt;&gt;"",_xlpm.CSVVal
)),"")</f>
        <v/>
      </c>
      <c r="J608" s="54" t="str" cm="1">
        <f t="array" ref="J608">IFERROR(_xlfn.LET(
_xlpm.CSVVal,_xlfn.XLOOKUP($A608,CSV!$A:$A,CSV!I:I,""),
_xlpm.MacVal,_xlfn.XLOOKUP($A608,Output_Mac!$A:$A,Output_Mac!K:K,""),
_xlpm.MyAuditVal,_xlfn.XLOOKUP($A608,My_Audit!$A:$A,My_Audit!I:I,""),
_xlfn.IFS(_xlpm.MyAuditVal&lt;&gt;"",UPPER(_xlpm.MyAuditVal),_xlpm.MacVal&lt;&gt;"",_xlpm.MacVal,_xlpm.CSVVal&lt;&gt;"",_xlpm.CSVVal
)),"")</f>
        <v/>
      </c>
      <c r="K608" s="54" t="str" cm="1">
        <f t="array" ref="K608">IFERROR(_xlfn.LET(
_xlpm.CSVVal,_xlfn.XLOOKUP($A608,CSV!$A:$A,CSV!M:M,""),
_xlpm.MacVal,_xlfn.XLOOKUP($A608,Output_Mac!$A:$A,Output_Mac!L:L,""),
_xlpm.MyAuditVal,_xlfn.XLOOKUP($A608,My_Audit!$A:$A,My_Audit!J:J,""),
_xlfn.IFS(_xlpm.MyAuditVal&lt;&gt;"",UPPER(_xlpm.MyAuditVal),_xlpm.MacVal&lt;&gt;"",_xlpm.MacVal,_xlpm.CSVVal&lt;&gt;"",_xlpm.CSVVal
)),"")</f>
        <v/>
      </c>
      <c r="L608" s="54" t="str" cm="1">
        <f t="array" ref="L608">IFERROR(_xlfn.LET(
_xlpm.CSVVal,_xlfn.XLOOKUP($A608,CSV!$A:$A,CSV!O:O,""),
_xlpm.MacVal,_xlfn.XLOOKUP($A608,Output_Mac!$A:$A,Output_Mac!M:M,""),
_xlpm.MyAuditVal,_xlfn.XLOOKUP($A608,My_Audit!$A:$A,My_Audit!K:K,""),
_xlfn.IFS(_xlpm.MyAuditVal&lt;&gt;"",UPPER(_xlpm.MyAuditVal),_xlpm.MacVal&lt;&gt;"",_xlpm.MacVal,_xlpm.CSVVal&lt;&gt;"",_xlpm.CSVVal
)),"")</f>
        <v/>
      </c>
      <c r="M608" s="54" t="str">
        <f>_xlfn.LET(
    _xlpm.CSVVal, _xlfn.XLOOKUP($A608, CSV!$A:$A, CSV!AD:AD, ""),
    _xlpm.MacVal, _xlfn.XLOOKUP($A608, Output_Mac!$A:$A, Output_Mac!S:S, ""),
    _xlpm.MyAuditVal, _xlfn.XLOOKUP($A608, My_Audit!$A:$A, My_Audit!N:N, ""),
    _xlfn.TEXTJOIN(", ", TRUE, _xlpm.MyAuditVal, _xlpm.MacVal, _xlpm.CSVVal)
)</f>
        <v/>
      </c>
      <c r="N608" s="54" t="str" cm="1">
        <f t="array" ref="N608">IFERROR(_xlfn.LET(
_xlpm.CSVVal,_xlfn.XLOOKUP($A608,CSV!$A:$A,CSV!AF:AF,""),
_xlpm.MacVal,_xlfn.XLOOKUP($A608,Output_Mac!$A:$A,Output_Mac!U:U,""),
_xlpm.MyAuditVal,_xlfn.XLOOKUP($A608,My_Audit!$A:$A,My_Audit!O:O,""),
_xlfn.IFS(_xlpm.MyAuditVal&lt;&gt;"",UPPER(_xlpm.MyAuditVal),_xlpm.MacVal&lt;&gt;"",_xlpm.MacVal,_xlpm.CSVVal&lt;&gt;"",_xlpm.CSVVal
)),"")</f>
        <v/>
      </c>
      <c r="O608" s="54"/>
      <c r="P608" s="54"/>
      <c r="Q608" s="54"/>
      <c r="R608" s="54"/>
      <c r="S608" s="54"/>
      <c r="T608" s="54"/>
      <c r="U608" s="39"/>
    </row>
    <row r="609" spans="1:21">
      <c r="A609" s="54" t="str">
        <f>_xlfn.TEXTJOIN("",TRUE,Input!$B$2,ROW(My_Audit!A608))</f>
        <v>XX608</v>
      </c>
      <c r="B609" s="54" t="str">
        <f>_xlfn.TEXTJOIN("-",TRUE,"ITD",Input!$A$2,A609)</f>
        <v>ITD-SHRXXX-XX608</v>
      </c>
      <c r="C609" s="54" t="str" cm="1">
        <f t="array" ref="C609">IFERROR(_xlfn.LET(
_xlpm.CSVVal,_xlfn.XLOOKUP($A609,CSV!$A:$A,CSV!B:B,""),
_xlpm.MacVal,_xlfn.XLOOKUP($A609,Output_Mac!$A:$A,Output_Mac!B:B,""),
_xlpm.MyAuditVal,_xlfn.XLOOKUP($A609,My_Audit!$A:$A,My_Audit!B:B,""),
_xlfn.IFS(_xlpm.MyAuditVal&lt;&gt;"",UPPER(_xlpm.MyAuditVal),_xlpm.MacVal&lt;&gt;"",_xlpm.MacVal,_xlpm.CSVVal&lt;&gt;"",_xlpm.CSVVal
)),"")</f>
        <v/>
      </c>
      <c r="D609" s="55" t="str">
        <f>_xlfn.XLOOKUP(A609,My_Audit!A:A,My_Audit!D:D,"")&amp;""</f>
        <v/>
      </c>
      <c r="E609" s="55" t="str" cm="1">
        <f t="array" ref="E609">IFERROR(_xlfn.LET(
_xlpm.CSVVal,_xlfn.XLOOKUP($A609,CSV!$A:$A,CSV!D:D,""),
_xlpm.MacVal,_xlfn.XLOOKUP($A609,Output_Mac!$A:$A,Output_Mac!C:C,""),
_xlpm.MyAuditVal,_xlfn.XLOOKUP($A609,My_Audit!$A:$A,My_Audit!D:D,""),
_xlfn.IFS(_xlpm.MyAuditVal&lt;&gt;"",_xlpm.MyAuditVal,_xlpm.MacVal&lt;&gt;"",_xlpm.MacVal,_xlpm.CSVVal&lt;&gt;"",_xlpm.CSVVal
)),"")</f>
        <v/>
      </c>
      <c r="F609" s="54" t="str" cm="1">
        <f t="array" ref="F609">IFERROR(_xlfn.LET(
_xlpm.CSVVal,_xlfn.XLOOKUP($A609,CSV!$A:$A,CSV!E:E,""),
_xlpm.MacVal,_xlfn.XLOOKUP($A609,Output_Mac!$A:$A,Output_Mac!F:F,""),
_xlpm.MyAuditVal,_xlfn.XLOOKUP($A609,My_Audit!$A:$A,My_Audit!E:E,""),
_xlfn.IFS(_xlpm.MyAuditVal&lt;&gt;"",_xlpm.MyAuditVal,_xlpm.MacVal&lt;&gt;"",_xlpm.MacVal,_xlpm.CSVVal&lt;&gt;"",PROPER(_xlpm.CSVVal)
)),"")</f>
        <v/>
      </c>
      <c r="G609" s="54" t="str" cm="1">
        <f t="array" ref="G609">IFERROR(_xlfn.LET(
_xlpm.CSVVal,_xlfn.XLOOKUP($A609,CSV!$A:$A,CSV!F:F,""),
_xlpm.MacVal,_xlfn.XLOOKUP($A609,Output_Mac!$A:$A,Output_Mac!H:H,""),
_xlpm.MyAuditVal,_xlfn.XLOOKUP($A609,My_Audit!$A:$A,My_Audit!F:F,""),
_xlfn.IFS(_xlpm.MyAuditVal&lt;&gt;"",_xlpm.MyAuditVal,_xlpm.MacVal&lt;&gt;"",_xlpm.MacVal,_xlpm.CSVVal&lt;&gt;"",_xlpm.CSVVal
)),"")</f>
        <v/>
      </c>
      <c r="H609" s="54" t="str">
        <f>_xlfn.XLOOKUP(A609,Output_Mac!A:A,Output_Mac!I:I,"")</f>
        <v/>
      </c>
      <c r="I609" s="54" t="str" cm="1">
        <f t="array" ref="I609">IFERROR(_xlfn.LET(
_xlpm.CSVVal,_xlfn.XLOOKUP($A609,CSV!$A:$A,CSV!G:G,""),
_xlpm.MacVal,_xlfn.XLOOKUP($A609,Output_Mac!$A:$A,Output_Mac!J:J,""),
_xlpm.MyAuditVal,_xlfn.XLOOKUP($A609,My_Audit!$A:$A,My_Audit!H:H,""),
_xlfn.IFS(_xlpm.MyAuditVal&lt;&gt;"",UPPER(_xlpm.MyAuditVal),_xlpm.MacVal&lt;&gt;"",_xlpm.MacVal,_xlpm.CSVVal&lt;&gt;"",_xlpm.CSVVal
)),"")</f>
        <v/>
      </c>
      <c r="J609" s="54" t="str" cm="1">
        <f t="array" ref="J609">IFERROR(_xlfn.LET(
_xlpm.CSVVal,_xlfn.XLOOKUP($A609,CSV!$A:$A,CSV!I:I,""),
_xlpm.MacVal,_xlfn.XLOOKUP($A609,Output_Mac!$A:$A,Output_Mac!K:K,""),
_xlpm.MyAuditVal,_xlfn.XLOOKUP($A609,My_Audit!$A:$A,My_Audit!I:I,""),
_xlfn.IFS(_xlpm.MyAuditVal&lt;&gt;"",UPPER(_xlpm.MyAuditVal),_xlpm.MacVal&lt;&gt;"",_xlpm.MacVal,_xlpm.CSVVal&lt;&gt;"",_xlpm.CSVVal
)),"")</f>
        <v/>
      </c>
      <c r="K609" s="54" t="str" cm="1">
        <f t="array" ref="K609">IFERROR(_xlfn.LET(
_xlpm.CSVVal,_xlfn.XLOOKUP($A609,CSV!$A:$A,CSV!M:M,""),
_xlpm.MacVal,_xlfn.XLOOKUP($A609,Output_Mac!$A:$A,Output_Mac!L:L,""),
_xlpm.MyAuditVal,_xlfn.XLOOKUP($A609,My_Audit!$A:$A,My_Audit!J:J,""),
_xlfn.IFS(_xlpm.MyAuditVal&lt;&gt;"",UPPER(_xlpm.MyAuditVal),_xlpm.MacVal&lt;&gt;"",_xlpm.MacVal,_xlpm.CSVVal&lt;&gt;"",_xlpm.CSVVal
)),"")</f>
        <v/>
      </c>
      <c r="L609" s="54" t="str" cm="1">
        <f t="array" ref="L609">IFERROR(_xlfn.LET(
_xlpm.CSVVal,_xlfn.XLOOKUP($A609,CSV!$A:$A,CSV!O:O,""),
_xlpm.MacVal,_xlfn.XLOOKUP($A609,Output_Mac!$A:$A,Output_Mac!M:M,""),
_xlpm.MyAuditVal,_xlfn.XLOOKUP($A609,My_Audit!$A:$A,My_Audit!K:K,""),
_xlfn.IFS(_xlpm.MyAuditVal&lt;&gt;"",UPPER(_xlpm.MyAuditVal),_xlpm.MacVal&lt;&gt;"",_xlpm.MacVal,_xlpm.CSVVal&lt;&gt;"",_xlpm.CSVVal
)),"")</f>
        <v/>
      </c>
      <c r="M609" s="54" t="str">
        <f>_xlfn.LET(
    _xlpm.CSVVal, _xlfn.XLOOKUP($A609, CSV!$A:$A, CSV!AD:AD, ""),
    _xlpm.MacVal, _xlfn.XLOOKUP($A609, Output_Mac!$A:$A, Output_Mac!S:S, ""),
    _xlpm.MyAuditVal, _xlfn.XLOOKUP($A609, My_Audit!$A:$A, My_Audit!N:N, ""),
    _xlfn.TEXTJOIN(", ", TRUE, _xlpm.MyAuditVal, _xlpm.MacVal, _xlpm.CSVVal)
)</f>
        <v/>
      </c>
      <c r="N609" s="54" t="str" cm="1">
        <f t="array" ref="N609">IFERROR(_xlfn.LET(
_xlpm.CSVVal,_xlfn.XLOOKUP($A609,CSV!$A:$A,CSV!AF:AF,""),
_xlpm.MacVal,_xlfn.XLOOKUP($A609,Output_Mac!$A:$A,Output_Mac!U:U,""),
_xlpm.MyAuditVal,_xlfn.XLOOKUP($A609,My_Audit!$A:$A,My_Audit!O:O,""),
_xlfn.IFS(_xlpm.MyAuditVal&lt;&gt;"",UPPER(_xlpm.MyAuditVal),_xlpm.MacVal&lt;&gt;"",_xlpm.MacVal,_xlpm.CSVVal&lt;&gt;"",_xlpm.CSVVal
)),"")</f>
        <v/>
      </c>
      <c r="O609" s="54"/>
      <c r="P609" s="54"/>
      <c r="Q609" s="54"/>
      <c r="R609" s="54"/>
      <c r="S609" s="54"/>
      <c r="T609" s="54"/>
      <c r="U609" s="39"/>
    </row>
    <row r="610" spans="1:21">
      <c r="A610" s="54" t="str">
        <f>_xlfn.TEXTJOIN("",TRUE,Input!$B$2,ROW(My_Audit!A609))</f>
        <v>XX609</v>
      </c>
      <c r="B610" s="54" t="str">
        <f>_xlfn.TEXTJOIN("-",TRUE,"ITD",Input!$A$2,A610)</f>
        <v>ITD-SHRXXX-XX609</v>
      </c>
      <c r="C610" s="54" t="str" cm="1">
        <f t="array" ref="C610">IFERROR(_xlfn.LET(
_xlpm.CSVVal,_xlfn.XLOOKUP($A610,CSV!$A:$A,CSV!B:B,""),
_xlpm.MacVal,_xlfn.XLOOKUP($A610,Output_Mac!$A:$A,Output_Mac!B:B,""),
_xlpm.MyAuditVal,_xlfn.XLOOKUP($A610,My_Audit!$A:$A,My_Audit!B:B,""),
_xlfn.IFS(_xlpm.MyAuditVal&lt;&gt;"",UPPER(_xlpm.MyAuditVal),_xlpm.MacVal&lt;&gt;"",_xlpm.MacVal,_xlpm.CSVVal&lt;&gt;"",_xlpm.CSVVal
)),"")</f>
        <v/>
      </c>
      <c r="D610" s="55" t="str">
        <f>_xlfn.XLOOKUP(A610,My_Audit!A:A,My_Audit!D:D,"")&amp;""</f>
        <v/>
      </c>
      <c r="E610" s="55" t="str" cm="1">
        <f t="array" ref="E610">IFERROR(_xlfn.LET(
_xlpm.CSVVal,_xlfn.XLOOKUP($A610,CSV!$A:$A,CSV!D:D,""),
_xlpm.MacVal,_xlfn.XLOOKUP($A610,Output_Mac!$A:$A,Output_Mac!C:C,""),
_xlpm.MyAuditVal,_xlfn.XLOOKUP($A610,My_Audit!$A:$A,My_Audit!D:D,""),
_xlfn.IFS(_xlpm.MyAuditVal&lt;&gt;"",_xlpm.MyAuditVal,_xlpm.MacVal&lt;&gt;"",_xlpm.MacVal,_xlpm.CSVVal&lt;&gt;"",_xlpm.CSVVal
)),"")</f>
        <v/>
      </c>
      <c r="F610" s="54" t="str" cm="1">
        <f t="array" ref="F610">IFERROR(_xlfn.LET(
_xlpm.CSVVal,_xlfn.XLOOKUP($A610,CSV!$A:$A,CSV!E:E,""),
_xlpm.MacVal,_xlfn.XLOOKUP($A610,Output_Mac!$A:$A,Output_Mac!F:F,""),
_xlpm.MyAuditVal,_xlfn.XLOOKUP($A610,My_Audit!$A:$A,My_Audit!E:E,""),
_xlfn.IFS(_xlpm.MyAuditVal&lt;&gt;"",_xlpm.MyAuditVal,_xlpm.MacVal&lt;&gt;"",_xlpm.MacVal,_xlpm.CSVVal&lt;&gt;"",PROPER(_xlpm.CSVVal)
)),"")</f>
        <v/>
      </c>
      <c r="G610" s="54" t="str" cm="1">
        <f t="array" ref="G610">IFERROR(_xlfn.LET(
_xlpm.CSVVal,_xlfn.XLOOKUP($A610,CSV!$A:$A,CSV!F:F,""),
_xlpm.MacVal,_xlfn.XLOOKUP($A610,Output_Mac!$A:$A,Output_Mac!H:H,""),
_xlpm.MyAuditVal,_xlfn.XLOOKUP($A610,My_Audit!$A:$A,My_Audit!F:F,""),
_xlfn.IFS(_xlpm.MyAuditVal&lt;&gt;"",_xlpm.MyAuditVal,_xlpm.MacVal&lt;&gt;"",_xlpm.MacVal,_xlpm.CSVVal&lt;&gt;"",_xlpm.CSVVal
)),"")</f>
        <v/>
      </c>
      <c r="H610" s="54" t="str">
        <f>_xlfn.XLOOKUP(A610,Output_Mac!A:A,Output_Mac!I:I,"")</f>
        <v/>
      </c>
      <c r="I610" s="54" t="str" cm="1">
        <f t="array" ref="I610">IFERROR(_xlfn.LET(
_xlpm.CSVVal,_xlfn.XLOOKUP($A610,CSV!$A:$A,CSV!G:G,""),
_xlpm.MacVal,_xlfn.XLOOKUP($A610,Output_Mac!$A:$A,Output_Mac!J:J,""),
_xlpm.MyAuditVal,_xlfn.XLOOKUP($A610,My_Audit!$A:$A,My_Audit!H:H,""),
_xlfn.IFS(_xlpm.MyAuditVal&lt;&gt;"",UPPER(_xlpm.MyAuditVal),_xlpm.MacVal&lt;&gt;"",_xlpm.MacVal,_xlpm.CSVVal&lt;&gt;"",_xlpm.CSVVal
)),"")</f>
        <v/>
      </c>
      <c r="J610" s="54" t="str" cm="1">
        <f t="array" ref="J610">IFERROR(_xlfn.LET(
_xlpm.CSVVal,_xlfn.XLOOKUP($A610,CSV!$A:$A,CSV!I:I,""),
_xlpm.MacVal,_xlfn.XLOOKUP($A610,Output_Mac!$A:$A,Output_Mac!K:K,""),
_xlpm.MyAuditVal,_xlfn.XLOOKUP($A610,My_Audit!$A:$A,My_Audit!I:I,""),
_xlfn.IFS(_xlpm.MyAuditVal&lt;&gt;"",UPPER(_xlpm.MyAuditVal),_xlpm.MacVal&lt;&gt;"",_xlpm.MacVal,_xlpm.CSVVal&lt;&gt;"",_xlpm.CSVVal
)),"")</f>
        <v/>
      </c>
      <c r="K610" s="54" t="str" cm="1">
        <f t="array" ref="K610">IFERROR(_xlfn.LET(
_xlpm.CSVVal,_xlfn.XLOOKUP($A610,CSV!$A:$A,CSV!M:M,""),
_xlpm.MacVal,_xlfn.XLOOKUP($A610,Output_Mac!$A:$A,Output_Mac!L:L,""),
_xlpm.MyAuditVal,_xlfn.XLOOKUP($A610,My_Audit!$A:$A,My_Audit!J:J,""),
_xlfn.IFS(_xlpm.MyAuditVal&lt;&gt;"",UPPER(_xlpm.MyAuditVal),_xlpm.MacVal&lt;&gt;"",_xlpm.MacVal,_xlpm.CSVVal&lt;&gt;"",_xlpm.CSVVal
)),"")</f>
        <v/>
      </c>
      <c r="L610" s="54" t="str" cm="1">
        <f t="array" ref="L610">IFERROR(_xlfn.LET(
_xlpm.CSVVal,_xlfn.XLOOKUP($A610,CSV!$A:$A,CSV!O:O,""),
_xlpm.MacVal,_xlfn.XLOOKUP($A610,Output_Mac!$A:$A,Output_Mac!M:M,""),
_xlpm.MyAuditVal,_xlfn.XLOOKUP($A610,My_Audit!$A:$A,My_Audit!K:K,""),
_xlfn.IFS(_xlpm.MyAuditVal&lt;&gt;"",UPPER(_xlpm.MyAuditVal),_xlpm.MacVal&lt;&gt;"",_xlpm.MacVal,_xlpm.CSVVal&lt;&gt;"",_xlpm.CSVVal
)),"")</f>
        <v/>
      </c>
      <c r="M610" s="54" t="str">
        <f>_xlfn.LET(
    _xlpm.CSVVal, _xlfn.XLOOKUP($A610, CSV!$A:$A, CSV!AD:AD, ""),
    _xlpm.MacVal, _xlfn.XLOOKUP($A610, Output_Mac!$A:$A, Output_Mac!S:S, ""),
    _xlpm.MyAuditVal, _xlfn.XLOOKUP($A610, My_Audit!$A:$A, My_Audit!N:N, ""),
    _xlfn.TEXTJOIN(", ", TRUE, _xlpm.MyAuditVal, _xlpm.MacVal, _xlpm.CSVVal)
)</f>
        <v/>
      </c>
      <c r="N610" s="54" t="str" cm="1">
        <f t="array" ref="N610">IFERROR(_xlfn.LET(
_xlpm.CSVVal,_xlfn.XLOOKUP($A610,CSV!$A:$A,CSV!AF:AF,""),
_xlpm.MacVal,_xlfn.XLOOKUP($A610,Output_Mac!$A:$A,Output_Mac!U:U,""),
_xlpm.MyAuditVal,_xlfn.XLOOKUP($A610,My_Audit!$A:$A,My_Audit!O:O,""),
_xlfn.IFS(_xlpm.MyAuditVal&lt;&gt;"",UPPER(_xlpm.MyAuditVal),_xlpm.MacVal&lt;&gt;"",_xlpm.MacVal,_xlpm.CSVVal&lt;&gt;"",_xlpm.CSVVal
)),"")</f>
        <v/>
      </c>
      <c r="O610" s="54"/>
      <c r="P610" s="54"/>
      <c r="Q610" s="54"/>
      <c r="R610" s="54"/>
      <c r="S610" s="54"/>
      <c r="T610" s="54"/>
      <c r="U610" s="39"/>
    </row>
    <row r="611" spans="1:21">
      <c r="A611" s="54" t="str">
        <f>_xlfn.TEXTJOIN("",TRUE,Input!$B$2,ROW(My_Audit!A610))</f>
        <v>XX610</v>
      </c>
      <c r="B611" s="54" t="str">
        <f>_xlfn.TEXTJOIN("-",TRUE,"ITD",Input!$A$2,A611)</f>
        <v>ITD-SHRXXX-XX610</v>
      </c>
      <c r="C611" s="54" t="str" cm="1">
        <f t="array" ref="C611">IFERROR(_xlfn.LET(
_xlpm.CSVVal,_xlfn.XLOOKUP($A611,CSV!$A:$A,CSV!B:B,""),
_xlpm.MacVal,_xlfn.XLOOKUP($A611,Output_Mac!$A:$A,Output_Mac!B:B,""),
_xlpm.MyAuditVal,_xlfn.XLOOKUP($A611,My_Audit!$A:$A,My_Audit!B:B,""),
_xlfn.IFS(_xlpm.MyAuditVal&lt;&gt;"",UPPER(_xlpm.MyAuditVal),_xlpm.MacVal&lt;&gt;"",_xlpm.MacVal,_xlpm.CSVVal&lt;&gt;"",_xlpm.CSVVal
)),"")</f>
        <v/>
      </c>
      <c r="D611" s="55" t="str">
        <f>_xlfn.XLOOKUP(A611,My_Audit!A:A,My_Audit!D:D,"")&amp;""</f>
        <v/>
      </c>
      <c r="E611" s="55" t="str" cm="1">
        <f t="array" ref="E611">IFERROR(_xlfn.LET(
_xlpm.CSVVal,_xlfn.XLOOKUP($A611,CSV!$A:$A,CSV!D:D,""),
_xlpm.MacVal,_xlfn.XLOOKUP($A611,Output_Mac!$A:$A,Output_Mac!C:C,""),
_xlpm.MyAuditVal,_xlfn.XLOOKUP($A611,My_Audit!$A:$A,My_Audit!D:D,""),
_xlfn.IFS(_xlpm.MyAuditVal&lt;&gt;"",_xlpm.MyAuditVal,_xlpm.MacVal&lt;&gt;"",_xlpm.MacVal,_xlpm.CSVVal&lt;&gt;"",_xlpm.CSVVal
)),"")</f>
        <v/>
      </c>
      <c r="F611" s="54" t="str" cm="1">
        <f t="array" ref="F611">IFERROR(_xlfn.LET(
_xlpm.CSVVal,_xlfn.XLOOKUP($A611,CSV!$A:$A,CSV!E:E,""),
_xlpm.MacVal,_xlfn.XLOOKUP($A611,Output_Mac!$A:$A,Output_Mac!F:F,""),
_xlpm.MyAuditVal,_xlfn.XLOOKUP($A611,My_Audit!$A:$A,My_Audit!E:E,""),
_xlfn.IFS(_xlpm.MyAuditVal&lt;&gt;"",_xlpm.MyAuditVal,_xlpm.MacVal&lt;&gt;"",_xlpm.MacVal,_xlpm.CSVVal&lt;&gt;"",PROPER(_xlpm.CSVVal)
)),"")</f>
        <v/>
      </c>
      <c r="G611" s="54" t="str" cm="1">
        <f t="array" ref="G611">IFERROR(_xlfn.LET(
_xlpm.CSVVal,_xlfn.XLOOKUP($A611,CSV!$A:$A,CSV!F:F,""),
_xlpm.MacVal,_xlfn.XLOOKUP($A611,Output_Mac!$A:$A,Output_Mac!H:H,""),
_xlpm.MyAuditVal,_xlfn.XLOOKUP($A611,My_Audit!$A:$A,My_Audit!F:F,""),
_xlfn.IFS(_xlpm.MyAuditVal&lt;&gt;"",_xlpm.MyAuditVal,_xlpm.MacVal&lt;&gt;"",_xlpm.MacVal,_xlpm.CSVVal&lt;&gt;"",_xlpm.CSVVal
)),"")</f>
        <v/>
      </c>
      <c r="H611" s="54" t="str">
        <f>_xlfn.XLOOKUP(A611,Output_Mac!A:A,Output_Mac!I:I,"")</f>
        <v/>
      </c>
      <c r="I611" s="54" t="str" cm="1">
        <f t="array" ref="I611">IFERROR(_xlfn.LET(
_xlpm.CSVVal,_xlfn.XLOOKUP($A611,CSV!$A:$A,CSV!G:G,""),
_xlpm.MacVal,_xlfn.XLOOKUP($A611,Output_Mac!$A:$A,Output_Mac!J:J,""),
_xlpm.MyAuditVal,_xlfn.XLOOKUP($A611,My_Audit!$A:$A,My_Audit!H:H,""),
_xlfn.IFS(_xlpm.MyAuditVal&lt;&gt;"",UPPER(_xlpm.MyAuditVal),_xlpm.MacVal&lt;&gt;"",_xlpm.MacVal,_xlpm.CSVVal&lt;&gt;"",_xlpm.CSVVal
)),"")</f>
        <v/>
      </c>
      <c r="J611" s="54" t="str" cm="1">
        <f t="array" ref="J611">IFERROR(_xlfn.LET(
_xlpm.CSVVal,_xlfn.XLOOKUP($A611,CSV!$A:$A,CSV!I:I,""),
_xlpm.MacVal,_xlfn.XLOOKUP($A611,Output_Mac!$A:$A,Output_Mac!K:K,""),
_xlpm.MyAuditVal,_xlfn.XLOOKUP($A611,My_Audit!$A:$A,My_Audit!I:I,""),
_xlfn.IFS(_xlpm.MyAuditVal&lt;&gt;"",UPPER(_xlpm.MyAuditVal),_xlpm.MacVal&lt;&gt;"",_xlpm.MacVal,_xlpm.CSVVal&lt;&gt;"",_xlpm.CSVVal
)),"")</f>
        <v/>
      </c>
      <c r="K611" s="54" t="str" cm="1">
        <f t="array" ref="K611">IFERROR(_xlfn.LET(
_xlpm.CSVVal,_xlfn.XLOOKUP($A611,CSV!$A:$A,CSV!M:M,""),
_xlpm.MacVal,_xlfn.XLOOKUP($A611,Output_Mac!$A:$A,Output_Mac!L:L,""),
_xlpm.MyAuditVal,_xlfn.XLOOKUP($A611,My_Audit!$A:$A,My_Audit!J:J,""),
_xlfn.IFS(_xlpm.MyAuditVal&lt;&gt;"",UPPER(_xlpm.MyAuditVal),_xlpm.MacVal&lt;&gt;"",_xlpm.MacVal,_xlpm.CSVVal&lt;&gt;"",_xlpm.CSVVal
)),"")</f>
        <v/>
      </c>
      <c r="L611" s="54" t="str" cm="1">
        <f t="array" ref="L611">IFERROR(_xlfn.LET(
_xlpm.CSVVal,_xlfn.XLOOKUP($A611,CSV!$A:$A,CSV!O:O,""),
_xlpm.MacVal,_xlfn.XLOOKUP($A611,Output_Mac!$A:$A,Output_Mac!M:M,""),
_xlpm.MyAuditVal,_xlfn.XLOOKUP($A611,My_Audit!$A:$A,My_Audit!K:K,""),
_xlfn.IFS(_xlpm.MyAuditVal&lt;&gt;"",UPPER(_xlpm.MyAuditVal),_xlpm.MacVal&lt;&gt;"",_xlpm.MacVal,_xlpm.CSVVal&lt;&gt;"",_xlpm.CSVVal
)),"")</f>
        <v/>
      </c>
      <c r="M611" s="54" t="str">
        <f>_xlfn.LET(
    _xlpm.CSVVal, _xlfn.XLOOKUP($A611, CSV!$A:$A, CSV!AD:AD, ""),
    _xlpm.MacVal, _xlfn.XLOOKUP($A611, Output_Mac!$A:$A, Output_Mac!S:S, ""),
    _xlpm.MyAuditVal, _xlfn.XLOOKUP($A611, My_Audit!$A:$A, My_Audit!N:N, ""),
    _xlfn.TEXTJOIN(", ", TRUE, _xlpm.MyAuditVal, _xlpm.MacVal, _xlpm.CSVVal)
)</f>
        <v/>
      </c>
      <c r="N611" s="54" t="str" cm="1">
        <f t="array" ref="N611">IFERROR(_xlfn.LET(
_xlpm.CSVVal,_xlfn.XLOOKUP($A611,CSV!$A:$A,CSV!AF:AF,""),
_xlpm.MacVal,_xlfn.XLOOKUP($A611,Output_Mac!$A:$A,Output_Mac!U:U,""),
_xlpm.MyAuditVal,_xlfn.XLOOKUP($A611,My_Audit!$A:$A,My_Audit!O:O,""),
_xlfn.IFS(_xlpm.MyAuditVal&lt;&gt;"",UPPER(_xlpm.MyAuditVal),_xlpm.MacVal&lt;&gt;"",_xlpm.MacVal,_xlpm.CSVVal&lt;&gt;"",_xlpm.CSVVal
)),"")</f>
        <v/>
      </c>
      <c r="O611" s="54"/>
      <c r="P611" s="54"/>
      <c r="Q611" s="54"/>
      <c r="R611" s="54"/>
      <c r="S611" s="54"/>
      <c r="T611" s="54"/>
      <c r="U611" s="39"/>
    </row>
    <row r="612" spans="1:21">
      <c r="A612" s="54" t="str">
        <f>_xlfn.TEXTJOIN("",TRUE,Input!$B$2,ROW(My_Audit!A611))</f>
        <v>XX611</v>
      </c>
      <c r="B612" s="54" t="str">
        <f>_xlfn.TEXTJOIN("-",TRUE,"ITD",Input!$A$2,A612)</f>
        <v>ITD-SHRXXX-XX611</v>
      </c>
      <c r="C612" s="54" t="str" cm="1">
        <f t="array" ref="C612">IFERROR(_xlfn.LET(
_xlpm.CSVVal,_xlfn.XLOOKUP($A612,CSV!$A:$A,CSV!B:B,""),
_xlpm.MacVal,_xlfn.XLOOKUP($A612,Output_Mac!$A:$A,Output_Mac!B:B,""),
_xlpm.MyAuditVal,_xlfn.XLOOKUP($A612,My_Audit!$A:$A,My_Audit!B:B,""),
_xlfn.IFS(_xlpm.MyAuditVal&lt;&gt;"",UPPER(_xlpm.MyAuditVal),_xlpm.MacVal&lt;&gt;"",_xlpm.MacVal,_xlpm.CSVVal&lt;&gt;"",_xlpm.CSVVal
)),"")</f>
        <v/>
      </c>
      <c r="D612" s="55" t="str">
        <f>_xlfn.XLOOKUP(A612,My_Audit!A:A,My_Audit!D:D,"")&amp;""</f>
        <v/>
      </c>
      <c r="E612" s="55" t="str" cm="1">
        <f t="array" ref="E612">IFERROR(_xlfn.LET(
_xlpm.CSVVal,_xlfn.XLOOKUP($A612,CSV!$A:$A,CSV!D:D,""),
_xlpm.MacVal,_xlfn.XLOOKUP($A612,Output_Mac!$A:$A,Output_Mac!C:C,""),
_xlpm.MyAuditVal,_xlfn.XLOOKUP($A612,My_Audit!$A:$A,My_Audit!D:D,""),
_xlfn.IFS(_xlpm.MyAuditVal&lt;&gt;"",_xlpm.MyAuditVal,_xlpm.MacVal&lt;&gt;"",_xlpm.MacVal,_xlpm.CSVVal&lt;&gt;"",_xlpm.CSVVal
)),"")</f>
        <v/>
      </c>
      <c r="F612" s="54" t="str" cm="1">
        <f t="array" ref="F612">IFERROR(_xlfn.LET(
_xlpm.CSVVal,_xlfn.XLOOKUP($A612,CSV!$A:$A,CSV!E:E,""),
_xlpm.MacVal,_xlfn.XLOOKUP($A612,Output_Mac!$A:$A,Output_Mac!F:F,""),
_xlpm.MyAuditVal,_xlfn.XLOOKUP($A612,My_Audit!$A:$A,My_Audit!E:E,""),
_xlfn.IFS(_xlpm.MyAuditVal&lt;&gt;"",_xlpm.MyAuditVal,_xlpm.MacVal&lt;&gt;"",_xlpm.MacVal,_xlpm.CSVVal&lt;&gt;"",PROPER(_xlpm.CSVVal)
)),"")</f>
        <v/>
      </c>
      <c r="G612" s="54" t="str" cm="1">
        <f t="array" ref="G612">IFERROR(_xlfn.LET(
_xlpm.CSVVal,_xlfn.XLOOKUP($A612,CSV!$A:$A,CSV!F:F,""),
_xlpm.MacVal,_xlfn.XLOOKUP($A612,Output_Mac!$A:$A,Output_Mac!H:H,""),
_xlpm.MyAuditVal,_xlfn.XLOOKUP($A612,My_Audit!$A:$A,My_Audit!F:F,""),
_xlfn.IFS(_xlpm.MyAuditVal&lt;&gt;"",_xlpm.MyAuditVal,_xlpm.MacVal&lt;&gt;"",_xlpm.MacVal,_xlpm.CSVVal&lt;&gt;"",_xlpm.CSVVal
)),"")</f>
        <v/>
      </c>
      <c r="H612" s="54" t="str">
        <f>_xlfn.XLOOKUP(A612,Output_Mac!A:A,Output_Mac!I:I,"")</f>
        <v/>
      </c>
      <c r="I612" s="54" t="str" cm="1">
        <f t="array" ref="I612">IFERROR(_xlfn.LET(
_xlpm.CSVVal,_xlfn.XLOOKUP($A612,CSV!$A:$A,CSV!G:G,""),
_xlpm.MacVal,_xlfn.XLOOKUP($A612,Output_Mac!$A:$A,Output_Mac!J:J,""),
_xlpm.MyAuditVal,_xlfn.XLOOKUP($A612,My_Audit!$A:$A,My_Audit!H:H,""),
_xlfn.IFS(_xlpm.MyAuditVal&lt;&gt;"",UPPER(_xlpm.MyAuditVal),_xlpm.MacVal&lt;&gt;"",_xlpm.MacVal,_xlpm.CSVVal&lt;&gt;"",_xlpm.CSVVal
)),"")</f>
        <v/>
      </c>
      <c r="J612" s="54" t="str" cm="1">
        <f t="array" ref="J612">IFERROR(_xlfn.LET(
_xlpm.CSVVal,_xlfn.XLOOKUP($A612,CSV!$A:$A,CSV!I:I,""),
_xlpm.MacVal,_xlfn.XLOOKUP($A612,Output_Mac!$A:$A,Output_Mac!K:K,""),
_xlpm.MyAuditVal,_xlfn.XLOOKUP($A612,My_Audit!$A:$A,My_Audit!I:I,""),
_xlfn.IFS(_xlpm.MyAuditVal&lt;&gt;"",UPPER(_xlpm.MyAuditVal),_xlpm.MacVal&lt;&gt;"",_xlpm.MacVal,_xlpm.CSVVal&lt;&gt;"",_xlpm.CSVVal
)),"")</f>
        <v/>
      </c>
      <c r="K612" s="54" t="str" cm="1">
        <f t="array" ref="K612">IFERROR(_xlfn.LET(
_xlpm.CSVVal,_xlfn.XLOOKUP($A612,CSV!$A:$A,CSV!M:M,""),
_xlpm.MacVal,_xlfn.XLOOKUP($A612,Output_Mac!$A:$A,Output_Mac!L:L,""),
_xlpm.MyAuditVal,_xlfn.XLOOKUP($A612,My_Audit!$A:$A,My_Audit!J:J,""),
_xlfn.IFS(_xlpm.MyAuditVal&lt;&gt;"",UPPER(_xlpm.MyAuditVal),_xlpm.MacVal&lt;&gt;"",_xlpm.MacVal,_xlpm.CSVVal&lt;&gt;"",_xlpm.CSVVal
)),"")</f>
        <v/>
      </c>
      <c r="L612" s="54" t="str" cm="1">
        <f t="array" ref="L612">IFERROR(_xlfn.LET(
_xlpm.CSVVal,_xlfn.XLOOKUP($A612,CSV!$A:$A,CSV!O:O,""),
_xlpm.MacVal,_xlfn.XLOOKUP($A612,Output_Mac!$A:$A,Output_Mac!M:M,""),
_xlpm.MyAuditVal,_xlfn.XLOOKUP($A612,My_Audit!$A:$A,My_Audit!K:K,""),
_xlfn.IFS(_xlpm.MyAuditVal&lt;&gt;"",UPPER(_xlpm.MyAuditVal),_xlpm.MacVal&lt;&gt;"",_xlpm.MacVal,_xlpm.CSVVal&lt;&gt;"",_xlpm.CSVVal
)),"")</f>
        <v/>
      </c>
      <c r="M612" s="54" t="str">
        <f>_xlfn.LET(
    _xlpm.CSVVal, _xlfn.XLOOKUP($A612, CSV!$A:$A, CSV!AD:AD, ""),
    _xlpm.MacVal, _xlfn.XLOOKUP($A612, Output_Mac!$A:$A, Output_Mac!S:S, ""),
    _xlpm.MyAuditVal, _xlfn.XLOOKUP($A612, My_Audit!$A:$A, My_Audit!N:N, ""),
    _xlfn.TEXTJOIN(", ", TRUE, _xlpm.MyAuditVal, _xlpm.MacVal, _xlpm.CSVVal)
)</f>
        <v/>
      </c>
      <c r="N612" s="54" t="str" cm="1">
        <f t="array" ref="N612">IFERROR(_xlfn.LET(
_xlpm.CSVVal,_xlfn.XLOOKUP($A612,CSV!$A:$A,CSV!AF:AF,""),
_xlpm.MacVal,_xlfn.XLOOKUP($A612,Output_Mac!$A:$A,Output_Mac!U:U,""),
_xlpm.MyAuditVal,_xlfn.XLOOKUP($A612,My_Audit!$A:$A,My_Audit!O:O,""),
_xlfn.IFS(_xlpm.MyAuditVal&lt;&gt;"",UPPER(_xlpm.MyAuditVal),_xlpm.MacVal&lt;&gt;"",_xlpm.MacVal,_xlpm.CSVVal&lt;&gt;"",_xlpm.CSVVal
)),"")</f>
        <v/>
      </c>
      <c r="O612" s="54"/>
      <c r="P612" s="54"/>
      <c r="Q612" s="54"/>
      <c r="R612" s="54"/>
      <c r="S612" s="54"/>
      <c r="T612" s="54"/>
      <c r="U612" s="39"/>
    </row>
    <row r="613" spans="1:21">
      <c r="A613" s="54" t="str">
        <f>_xlfn.TEXTJOIN("",TRUE,Input!$B$2,ROW(My_Audit!A612))</f>
        <v>XX612</v>
      </c>
      <c r="B613" s="54" t="str">
        <f>_xlfn.TEXTJOIN("-",TRUE,"ITD",Input!$A$2,A613)</f>
        <v>ITD-SHRXXX-XX612</v>
      </c>
      <c r="C613" s="54" t="str" cm="1">
        <f t="array" ref="C613">IFERROR(_xlfn.LET(
_xlpm.CSVVal,_xlfn.XLOOKUP($A613,CSV!$A:$A,CSV!B:B,""),
_xlpm.MacVal,_xlfn.XLOOKUP($A613,Output_Mac!$A:$A,Output_Mac!B:B,""),
_xlpm.MyAuditVal,_xlfn.XLOOKUP($A613,My_Audit!$A:$A,My_Audit!B:B,""),
_xlfn.IFS(_xlpm.MyAuditVal&lt;&gt;"",UPPER(_xlpm.MyAuditVal),_xlpm.MacVal&lt;&gt;"",_xlpm.MacVal,_xlpm.CSVVal&lt;&gt;"",_xlpm.CSVVal
)),"")</f>
        <v/>
      </c>
      <c r="D613" s="55" t="str">
        <f>_xlfn.XLOOKUP(A613,My_Audit!A:A,My_Audit!D:D,"")&amp;""</f>
        <v/>
      </c>
      <c r="E613" s="55" t="str" cm="1">
        <f t="array" ref="E613">IFERROR(_xlfn.LET(
_xlpm.CSVVal,_xlfn.XLOOKUP($A613,CSV!$A:$A,CSV!D:D,""),
_xlpm.MacVal,_xlfn.XLOOKUP($A613,Output_Mac!$A:$A,Output_Mac!C:C,""),
_xlpm.MyAuditVal,_xlfn.XLOOKUP($A613,My_Audit!$A:$A,My_Audit!D:D,""),
_xlfn.IFS(_xlpm.MyAuditVal&lt;&gt;"",_xlpm.MyAuditVal,_xlpm.MacVal&lt;&gt;"",_xlpm.MacVal,_xlpm.CSVVal&lt;&gt;"",_xlpm.CSVVal
)),"")</f>
        <v/>
      </c>
      <c r="F613" s="54" t="str" cm="1">
        <f t="array" ref="F613">IFERROR(_xlfn.LET(
_xlpm.CSVVal,_xlfn.XLOOKUP($A613,CSV!$A:$A,CSV!E:E,""),
_xlpm.MacVal,_xlfn.XLOOKUP($A613,Output_Mac!$A:$A,Output_Mac!F:F,""),
_xlpm.MyAuditVal,_xlfn.XLOOKUP($A613,My_Audit!$A:$A,My_Audit!E:E,""),
_xlfn.IFS(_xlpm.MyAuditVal&lt;&gt;"",_xlpm.MyAuditVal,_xlpm.MacVal&lt;&gt;"",_xlpm.MacVal,_xlpm.CSVVal&lt;&gt;"",PROPER(_xlpm.CSVVal)
)),"")</f>
        <v/>
      </c>
      <c r="G613" s="54" t="str" cm="1">
        <f t="array" ref="G613">IFERROR(_xlfn.LET(
_xlpm.CSVVal,_xlfn.XLOOKUP($A613,CSV!$A:$A,CSV!F:F,""),
_xlpm.MacVal,_xlfn.XLOOKUP($A613,Output_Mac!$A:$A,Output_Mac!H:H,""),
_xlpm.MyAuditVal,_xlfn.XLOOKUP($A613,My_Audit!$A:$A,My_Audit!F:F,""),
_xlfn.IFS(_xlpm.MyAuditVal&lt;&gt;"",_xlpm.MyAuditVal,_xlpm.MacVal&lt;&gt;"",_xlpm.MacVal,_xlpm.CSVVal&lt;&gt;"",_xlpm.CSVVal
)),"")</f>
        <v/>
      </c>
      <c r="H613" s="54" t="str">
        <f>_xlfn.XLOOKUP(A613,Output_Mac!A:A,Output_Mac!I:I,"")</f>
        <v/>
      </c>
      <c r="I613" s="54" t="str" cm="1">
        <f t="array" ref="I613">IFERROR(_xlfn.LET(
_xlpm.CSVVal,_xlfn.XLOOKUP($A613,CSV!$A:$A,CSV!G:G,""),
_xlpm.MacVal,_xlfn.XLOOKUP($A613,Output_Mac!$A:$A,Output_Mac!J:J,""),
_xlpm.MyAuditVal,_xlfn.XLOOKUP($A613,My_Audit!$A:$A,My_Audit!H:H,""),
_xlfn.IFS(_xlpm.MyAuditVal&lt;&gt;"",UPPER(_xlpm.MyAuditVal),_xlpm.MacVal&lt;&gt;"",_xlpm.MacVal,_xlpm.CSVVal&lt;&gt;"",_xlpm.CSVVal
)),"")</f>
        <v/>
      </c>
      <c r="J613" s="54" t="str" cm="1">
        <f t="array" ref="J613">IFERROR(_xlfn.LET(
_xlpm.CSVVal,_xlfn.XLOOKUP($A613,CSV!$A:$A,CSV!I:I,""),
_xlpm.MacVal,_xlfn.XLOOKUP($A613,Output_Mac!$A:$A,Output_Mac!K:K,""),
_xlpm.MyAuditVal,_xlfn.XLOOKUP($A613,My_Audit!$A:$A,My_Audit!I:I,""),
_xlfn.IFS(_xlpm.MyAuditVal&lt;&gt;"",UPPER(_xlpm.MyAuditVal),_xlpm.MacVal&lt;&gt;"",_xlpm.MacVal,_xlpm.CSVVal&lt;&gt;"",_xlpm.CSVVal
)),"")</f>
        <v/>
      </c>
      <c r="K613" s="54" t="str" cm="1">
        <f t="array" ref="K613">IFERROR(_xlfn.LET(
_xlpm.CSVVal,_xlfn.XLOOKUP($A613,CSV!$A:$A,CSV!M:M,""),
_xlpm.MacVal,_xlfn.XLOOKUP($A613,Output_Mac!$A:$A,Output_Mac!L:L,""),
_xlpm.MyAuditVal,_xlfn.XLOOKUP($A613,My_Audit!$A:$A,My_Audit!J:J,""),
_xlfn.IFS(_xlpm.MyAuditVal&lt;&gt;"",UPPER(_xlpm.MyAuditVal),_xlpm.MacVal&lt;&gt;"",_xlpm.MacVal,_xlpm.CSVVal&lt;&gt;"",_xlpm.CSVVal
)),"")</f>
        <v/>
      </c>
      <c r="L613" s="54" t="str" cm="1">
        <f t="array" ref="L613">IFERROR(_xlfn.LET(
_xlpm.CSVVal,_xlfn.XLOOKUP($A613,CSV!$A:$A,CSV!O:O,""),
_xlpm.MacVal,_xlfn.XLOOKUP($A613,Output_Mac!$A:$A,Output_Mac!M:M,""),
_xlpm.MyAuditVal,_xlfn.XLOOKUP($A613,My_Audit!$A:$A,My_Audit!K:K,""),
_xlfn.IFS(_xlpm.MyAuditVal&lt;&gt;"",UPPER(_xlpm.MyAuditVal),_xlpm.MacVal&lt;&gt;"",_xlpm.MacVal,_xlpm.CSVVal&lt;&gt;"",_xlpm.CSVVal
)),"")</f>
        <v/>
      </c>
      <c r="M613" s="54" t="str">
        <f>_xlfn.LET(
    _xlpm.CSVVal, _xlfn.XLOOKUP($A613, CSV!$A:$A, CSV!AD:AD, ""),
    _xlpm.MacVal, _xlfn.XLOOKUP($A613, Output_Mac!$A:$A, Output_Mac!S:S, ""),
    _xlpm.MyAuditVal, _xlfn.XLOOKUP($A613, My_Audit!$A:$A, My_Audit!N:N, ""),
    _xlfn.TEXTJOIN(", ", TRUE, _xlpm.MyAuditVal, _xlpm.MacVal, _xlpm.CSVVal)
)</f>
        <v/>
      </c>
      <c r="N613" s="54" t="str" cm="1">
        <f t="array" ref="N613">IFERROR(_xlfn.LET(
_xlpm.CSVVal,_xlfn.XLOOKUP($A613,CSV!$A:$A,CSV!AF:AF,""),
_xlpm.MacVal,_xlfn.XLOOKUP($A613,Output_Mac!$A:$A,Output_Mac!U:U,""),
_xlpm.MyAuditVal,_xlfn.XLOOKUP($A613,My_Audit!$A:$A,My_Audit!O:O,""),
_xlfn.IFS(_xlpm.MyAuditVal&lt;&gt;"",UPPER(_xlpm.MyAuditVal),_xlpm.MacVal&lt;&gt;"",_xlpm.MacVal,_xlpm.CSVVal&lt;&gt;"",_xlpm.CSVVal
)),"")</f>
        <v/>
      </c>
      <c r="O613" s="54"/>
      <c r="P613" s="54"/>
      <c r="Q613" s="54"/>
      <c r="R613" s="54"/>
      <c r="S613" s="54"/>
      <c r="T613" s="54"/>
      <c r="U613" s="39"/>
    </row>
    <row r="614" spans="1:21">
      <c r="A614" s="54" t="str">
        <f>_xlfn.TEXTJOIN("",TRUE,Input!$B$2,ROW(My_Audit!A613))</f>
        <v>XX613</v>
      </c>
      <c r="B614" s="54" t="str">
        <f>_xlfn.TEXTJOIN("-",TRUE,"ITD",Input!$A$2,A614)</f>
        <v>ITD-SHRXXX-XX613</v>
      </c>
      <c r="C614" s="54" t="str" cm="1">
        <f t="array" ref="C614">IFERROR(_xlfn.LET(
_xlpm.CSVVal,_xlfn.XLOOKUP($A614,CSV!$A:$A,CSV!B:B,""),
_xlpm.MacVal,_xlfn.XLOOKUP($A614,Output_Mac!$A:$A,Output_Mac!B:B,""),
_xlpm.MyAuditVal,_xlfn.XLOOKUP($A614,My_Audit!$A:$A,My_Audit!B:B,""),
_xlfn.IFS(_xlpm.MyAuditVal&lt;&gt;"",UPPER(_xlpm.MyAuditVal),_xlpm.MacVal&lt;&gt;"",_xlpm.MacVal,_xlpm.CSVVal&lt;&gt;"",_xlpm.CSVVal
)),"")</f>
        <v/>
      </c>
      <c r="D614" s="55" t="str">
        <f>_xlfn.XLOOKUP(A614,My_Audit!A:A,My_Audit!D:D,"")&amp;""</f>
        <v/>
      </c>
      <c r="E614" s="55" t="str" cm="1">
        <f t="array" ref="E614">IFERROR(_xlfn.LET(
_xlpm.CSVVal,_xlfn.XLOOKUP($A614,CSV!$A:$A,CSV!D:D,""),
_xlpm.MacVal,_xlfn.XLOOKUP($A614,Output_Mac!$A:$A,Output_Mac!C:C,""),
_xlpm.MyAuditVal,_xlfn.XLOOKUP($A614,My_Audit!$A:$A,My_Audit!D:D,""),
_xlfn.IFS(_xlpm.MyAuditVal&lt;&gt;"",_xlpm.MyAuditVal,_xlpm.MacVal&lt;&gt;"",_xlpm.MacVal,_xlpm.CSVVal&lt;&gt;"",_xlpm.CSVVal
)),"")</f>
        <v/>
      </c>
      <c r="F614" s="54" t="str" cm="1">
        <f t="array" ref="F614">IFERROR(_xlfn.LET(
_xlpm.CSVVal,_xlfn.XLOOKUP($A614,CSV!$A:$A,CSV!E:E,""),
_xlpm.MacVal,_xlfn.XLOOKUP($A614,Output_Mac!$A:$A,Output_Mac!F:F,""),
_xlpm.MyAuditVal,_xlfn.XLOOKUP($A614,My_Audit!$A:$A,My_Audit!E:E,""),
_xlfn.IFS(_xlpm.MyAuditVal&lt;&gt;"",_xlpm.MyAuditVal,_xlpm.MacVal&lt;&gt;"",_xlpm.MacVal,_xlpm.CSVVal&lt;&gt;"",PROPER(_xlpm.CSVVal)
)),"")</f>
        <v/>
      </c>
      <c r="G614" s="54" t="str" cm="1">
        <f t="array" ref="G614">IFERROR(_xlfn.LET(
_xlpm.CSVVal,_xlfn.XLOOKUP($A614,CSV!$A:$A,CSV!F:F,""),
_xlpm.MacVal,_xlfn.XLOOKUP($A614,Output_Mac!$A:$A,Output_Mac!H:H,""),
_xlpm.MyAuditVal,_xlfn.XLOOKUP($A614,My_Audit!$A:$A,My_Audit!F:F,""),
_xlfn.IFS(_xlpm.MyAuditVal&lt;&gt;"",_xlpm.MyAuditVal,_xlpm.MacVal&lt;&gt;"",_xlpm.MacVal,_xlpm.CSVVal&lt;&gt;"",_xlpm.CSVVal
)),"")</f>
        <v/>
      </c>
      <c r="H614" s="54" t="str">
        <f>_xlfn.XLOOKUP(A614,Output_Mac!A:A,Output_Mac!I:I,"")</f>
        <v/>
      </c>
      <c r="I614" s="54" t="str" cm="1">
        <f t="array" ref="I614">IFERROR(_xlfn.LET(
_xlpm.CSVVal,_xlfn.XLOOKUP($A614,CSV!$A:$A,CSV!G:G,""),
_xlpm.MacVal,_xlfn.XLOOKUP($A614,Output_Mac!$A:$A,Output_Mac!J:J,""),
_xlpm.MyAuditVal,_xlfn.XLOOKUP($A614,My_Audit!$A:$A,My_Audit!H:H,""),
_xlfn.IFS(_xlpm.MyAuditVal&lt;&gt;"",UPPER(_xlpm.MyAuditVal),_xlpm.MacVal&lt;&gt;"",_xlpm.MacVal,_xlpm.CSVVal&lt;&gt;"",_xlpm.CSVVal
)),"")</f>
        <v/>
      </c>
      <c r="J614" s="54" t="str" cm="1">
        <f t="array" ref="J614">IFERROR(_xlfn.LET(
_xlpm.CSVVal,_xlfn.XLOOKUP($A614,CSV!$A:$A,CSV!I:I,""),
_xlpm.MacVal,_xlfn.XLOOKUP($A614,Output_Mac!$A:$A,Output_Mac!K:K,""),
_xlpm.MyAuditVal,_xlfn.XLOOKUP($A614,My_Audit!$A:$A,My_Audit!I:I,""),
_xlfn.IFS(_xlpm.MyAuditVal&lt;&gt;"",UPPER(_xlpm.MyAuditVal),_xlpm.MacVal&lt;&gt;"",_xlpm.MacVal,_xlpm.CSVVal&lt;&gt;"",_xlpm.CSVVal
)),"")</f>
        <v/>
      </c>
      <c r="K614" s="54" t="str" cm="1">
        <f t="array" ref="K614">IFERROR(_xlfn.LET(
_xlpm.CSVVal,_xlfn.XLOOKUP($A614,CSV!$A:$A,CSV!M:M,""),
_xlpm.MacVal,_xlfn.XLOOKUP($A614,Output_Mac!$A:$A,Output_Mac!L:L,""),
_xlpm.MyAuditVal,_xlfn.XLOOKUP($A614,My_Audit!$A:$A,My_Audit!J:J,""),
_xlfn.IFS(_xlpm.MyAuditVal&lt;&gt;"",UPPER(_xlpm.MyAuditVal),_xlpm.MacVal&lt;&gt;"",_xlpm.MacVal,_xlpm.CSVVal&lt;&gt;"",_xlpm.CSVVal
)),"")</f>
        <v/>
      </c>
      <c r="L614" s="54" t="str" cm="1">
        <f t="array" ref="L614">IFERROR(_xlfn.LET(
_xlpm.CSVVal,_xlfn.XLOOKUP($A614,CSV!$A:$A,CSV!O:O,""),
_xlpm.MacVal,_xlfn.XLOOKUP($A614,Output_Mac!$A:$A,Output_Mac!M:M,""),
_xlpm.MyAuditVal,_xlfn.XLOOKUP($A614,My_Audit!$A:$A,My_Audit!K:K,""),
_xlfn.IFS(_xlpm.MyAuditVal&lt;&gt;"",UPPER(_xlpm.MyAuditVal),_xlpm.MacVal&lt;&gt;"",_xlpm.MacVal,_xlpm.CSVVal&lt;&gt;"",_xlpm.CSVVal
)),"")</f>
        <v/>
      </c>
      <c r="M614" s="54" t="str">
        <f>_xlfn.LET(
    _xlpm.CSVVal, _xlfn.XLOOKUP($A614, CSV!$A:$A, CSV!AD:AD, ""),
    _xlpm.MacVal, _xlfn.XLOOKUP($A614, Output_Mac!$A:$A, Output_Mac!S:S, ""),
    _xlpm.MyAuditVal, _xlfn.XLOOKUP($A614, My_Audit!$A:$A, My_Audit!N:N, ""),
    _xlfn.TEXTJOIN(", ", TRUE, _xlpm.MyAuditVal, _xlpm.MacVal, _xlpm.CSVVal)
)</f>
        <v/>
      </c>
      <c r="N614" s="54" t="str" cm="1">
        <f t="array" ref="N614">IFERROR(_xlfn.LET(
_xlpm.CSVVal,_xlfn.XLOOKUP($A614,CSV!$A:$A,CSV!AF:AF,""),
_xlpm.MacVal,_xlfn.XLOOKUP($A614,Output_Mac!$A:$A,Output_Mac!U:U,""),
_xlpm.MyAuditVal,_xlfn.XLOOKUP($A614,My_Audit!$A:$A,My_Audit!O:O,""),
_xlfn.IFS(_xlpm.MyAuditVal&lt;&gt;"",UPPER(_xlpm.MyAuditVal),_xlpm.MacVal&lt;&gt;"",_xlpm.MacVal,_xlpm.CSVVal&lt;&gt;"",_xlpm.CSVVal
)),"")</f>
        <v/>
      </c>
      <c r="O614" s="54"/>
      <c r="P614" s="54"/>
      <c r="Q614" s="54"/>
      <c r="R614" s="54"/>
      <c r="S614" s="54"/>
      <c r="T614" s="54"/>
      <c r="U614" s="39"/>
    </row>
    <row r="615" spans="1:21">
      <c r="A615" s="54" t="str">
        <f>_xlfn.TEXTJOIN("",TRUE,Input!$B$2,ROW(My_Audit!A614))</f>
        <v>XX614</v>
      </c>
      <c r="B615" s="54" t="str">
        <f>_xlfn.TEXTJOIN("-",TRUE,"ITD",Input!$A$2,A615)</f>
        <v>ITD-SHRXXX-XX614</v>
      </c>
      <c r="C615" s="54" t="str" cm="1">
        <f t="array" ref="C615">IFERROR(_xlfn.LET(
_xlpm.CSVVal,_xlfn.XLOOKUP($A615,CSV!$A:$A,CSV!B:B,""),
_xlpm.MacVal,_xlfn.XLOOKUP($A615,Output_Mac!$A:$A,Output_Mac!B:B,""),
_xlpm.MyAuditVal,_xlfn.XLOOKUP($A615,My_Audit!$A:$A,My_Audit!B:B,""),
_xlfn.IFS(_xlpm.MyAuditVal&lt;&gt;"",UPPER(_xlpm.MyAuditVal),_xlpm.MacVal&lt;&gt;"",_xlpm.MacVal,_xlpm.CSVVal&lt;&gt;"",_xlpm.CSVVal
)),"")</f>
        <v/>
      </c>
      <c r="D615" s="55" t="str">
        <f>_xlfn.XLOOKUP(A615,My_Audit!A:A,My_Audit!D:D,"")&amp;""</f>
        <v/>
      </c>
      <c r="E615" s="55" t="str" cm="1">
        <f t="array" ref="E615">IFERROR(_xlfn.LET(
_xlpm.CSVVal,_xlfn.XLOOKUP($A615,CSV!$A:$A,CSV!D:D,""),
_xlpm.MacVal,_xlfn.XLOOKUP($A615,Output_Mac!$A:$A,Output_Mac!C:C,""),
_xlpm.MyAuditVal,_xlfn.XLOOKUP($A615,My_Audit!$A:$A,My_Audit!D:D,""),
_xlfn.IFS(_xlpm.MyAuditVal&lt;&gt;"",_xlpm.MyAuditVal,_xlpm.MacVal&lt;&gt;"",_xlpm.MacVal,_xlpm.CSVVal&lt;&gt;"",_xlpm.CSVVal
)),"")</f>
        <v/>
      </c>
      <c r="F615" s="54" t="str" cm="1">
        <f t="array" ref="F615">IFERROR(_xlfn.LET(
_xlpm.CSVVal,_xlfn.XLOOKUP($A615,CSV!$A:$A,CSV!E:E,""),
_xlpm.MacVal,_xlfn.XLOOKUP($A615,Output_Mac!$A:$A,Output_Mac!F:F,""),
_xlpm.MyAuditVal,_xlfn.XLOOKUP($A615,My_Audit!$A:$A,My_Audit!E:E,""),
_xlfn.IFS(_xlpm.MyAuditVal&lt;&gt;"",_xlpm.MyAuditVal,_xlpm.MacVal&lt;&gt;"",_xlpm.MacVal,_xlpm.CSVVal&lt;&gt;"",PROPER(_xlpm.CSVVal)
)),"")</f>
        <v/>
      </c>
      <c r="G615" s="54" t="str" cm="1">
        <f t="array" ref="G615">IFERROR(_xlfn.LET(
_xlpm.CSVVal,_xlfn.XLOOKUP($A615,CSV!$A:$A,CSV!F:F,""),
_xlpm.MacVal,_xlfn.XLOOKUP($A615,Output_Mac!$A:$A,Output_Mac!H:H,""),
_xlpm.MyAuditVal,_xlfn.XLOOKUP($A615,My_Audit!$A:$A,My_Audit!F:F,""),
_xlfn.IFS(_xlpm.MyAuditVal&lt;&gt;"",_xlpm.MyAuditVal,_xlpm.MacVal&lt;&gt;"",_xlpm.MacVal,_xlpm.CSVVal&lt;&gt;"",_xlpm.CSVVal
)),"")</f>
        <v/>
      </c>
      <c r="H615" s="54" t="str">
        <f>_xlfn.XLOOKUP(A615,Output_Mac!A:A,Output_Mac!I:I,"")</f>
        <v/>
      </c>
      <c r="I615" s="54" t="str" cm="1">
        <f t="array" ref="I615">IFERROR(_xlfn.LET(
_xlpm.CSVVal,_xlfn.XLOOKUP($A615,CSV!$A:$A,CSV!G:G,""),
_xlpm.MacVal,_xlfn.XLOOKUP($A615,Output_Mac!$A:$A,Output_Mac!J:J,""),
_xlpm.MyAuditVal,_xlfn.XLOOKUP($A615,My_Audit!$A:$A,My_Audit!H:H,""),
_xlfn.IFS(_xlpm.MyAuditVal&lt;&gt;"",UPPER(_xlpm.MyAuditVal),_xlpm.MacVal&lt;&gt;"",_xlpm.MacVal,_xlpm.CSVVal&lt;&gt;"",_xlpm.CSVVal
)),"")</f>
        <v/>
      </c>
      <c r="J615" s="54" t="str" cm="1">
        <f t="array" ref="J615">IFERROR(_xlfn.LET(
_xlpm.CSVVal,_xlfn.XLOOKUP($A615,CSV!$A:$A,CSV!I:I,""),
_xlpm.MacVal,_xlfn.XLOOKUP($A615,Output_Mac!$A:$A,Output_Mac!K:K,""),
_xlpm.MyAuditVal,_xlfn.XLOOKUP($A615,My_Audit!$A:$A,My_Audit!I:I,""),
_xlfn.IFS(_xlpm.MyAuditVal&lt;&gt;"",UPPER(_xlpm.MyAuditVal),_xlpm.MacVal&lt;&gt;"",_xlpm.MacVal,_xlpm.CSVVal&lt;&gt;"",_xlpm.CSVVal
)),"")</f>
        <v/>
      </c>
      <c r="K615" s="54" t="str" cm="1">
        <f t="array" ref="K615">IFERROR(_xlfn.LET(
_xlpm.CSVVal,_xlfn.XLOOKUP($A615,CSV!$A:$A,CSV!M:M,""),
_xlpm.MacVal,_xlfn.XLOOKUP($A615,Output_Mac!$A:$A,Output_Mac!L:L,""),
_xlpm.MyAuditVal,_xlfn.XLOOKUP($A615,My_Audit!$A:$A,My_Audit!J:J,""),
_xlfn.IFS(_xlpm.MyAuditVal&lt;&gt;"",UPPER(_xlpm.MyAuditVal),_xlpm.MacVal&lt;&gt;"",_xlpm.MacVal,_xlpm.CSVVal&lt;&gt;"",_xlpm.CSVVal
)),"")</f>
        <v/>
      </c>
      <c r="L615" s="54" t="str" cm="1">
        <f t="array" ref="L615">IFERROR(_xlfn.LET(
_xlpm.CSVVal,_xlfn.XLOOKUP($A615,CSV!$A:$A,CSV!O:O,""),
_xlpm.MacVal,_xlfn.XLOOKUP($A615,Output_Mac!$A:$A,Output_Mac!M:M,""),
_xlpm.MyAuditVal,_xlfn.XLOOKUP($A615,My_Audit!$A:$A,My_Audit!K:K,""),
_xlfn.IFS(_xlpm.MyAuditVal&lt;&gt;"",UPPER(_xlpm.MyAuditVal),_xlpm.MacVal&lt;&gt;"",_xlpm.MacVal,_xlpm.CSVVal&lt;&gt;"",_xlpm.CSVVal
)),"")</f>
        <v/>
      </c>
      <c r="M615" s="54" t="str">
        <f>_xlfn.LET(
    _xlpm.CSVVal, _xlfn.XLOOKUP($A615, CSV!$A:$A, CSV!AD:AD, ""),
    _xlpm.MacVal, _xlfn.XLOOKUP($A615, Output_Mac!$A:$A, Output_Mac!S:S, ""),
    _xlpm.MyAuditVal, _xlfn.XLOOKUP($A615, My_Audit!$A:$A, My_Audit!N:N, ""),
    _xlfn.TEXTJOIN(", ", TRUE, _xlpm.MyAuditVal, _xlpm.MacVal, _xlpm.CSVVal)
)</f>
        <v/>
      </c>
      <c r="N615" s="54" t="str" cm="1">
        <f t="array" ref="N615">IFERROR(_xlfn.LET(
_xlpm.CSVVal,_xlfn.XLOOKUP($A615,CSV!$A:$A,CSV!AF:AF,""),
_xlpm.MacVal,_xlfn.XLOOKUP($A615,Output_Mac!$A:$A,Output_Mac!U:U,""),
_xlpm.MyAuditVal,_xlfn.XLOOKUP($A615,My_Audit!$A:$A,My_Audit!O:O,""),
_xlfn.IFS(_xlpm.MyAuditVal&lt;&gt;"",UPPER(_xlpm.MyAuditVal),_xlpm.MacVal&lt;&gt;"",_xlpm.MacVal,_xlpm.CSVVal&lt;&gt;"",_xlpm.CSVVal
)),"")</f>
        <v/>
      </c>
      <c r="O615" s="54"/>
      <c r="P615" s="54"/>
      <c r="Q615" s="54"/>
      <c r="R615" s="54"/>
      <c r="S615" s="54"/>
      <c r="T615" s="54"/>
      <c r="U615" s="39"/>
    </row>
    <row r="616" spans="1:21">
      <c r="A616" s="54" t="str">
        <f>_xlfn.TEXTJOIN("",TRUE,Input!$B$2,ROW(My_Audit!A615))</f>
        <v>XX615</v>
      </c>
      <c r="B616" s="54" t="str">
        <f>_xlfn.TEXTJOIN("-",TRUE,"ITD",Input!$A$2,A616)</f>
        <v>ITD-SHRXXX-XX615</v>
      </c>
      <c r="C616" s="54" t="str" cm="1">
        <f t="array" ref="C616">IFERROR(_xlfn.LET(
_xlpm.CSVVal,_xlfn.XLOOKUP($A616,CSV!$A:$A,CSV!B:B,""),
_xlpm.MacVal,_xlfn.XLOOKUP($A616,Output_Mac!$A:$A,Output_Mac!B:B,""),
_xlpm.MyAuditVal,_xlfn.XLOOKUP($A616,My_Audit!$A:$A,My_Audit!B:B,""),
_xlfn.IFS(_xlpm.MyAuditVal&lt;&gt;"",UPPER(_xlpm.MyAuditVal),_xlpm.MacVal&lt;&gt;"",_xlpm.MacVal,_xlpm.CSVVal&lt;&gt;"",_xlpm.CSVVal
)),"")</f>
        <v/>
      </c>
      <c r="D616" s="55" t="str">
        <f>_xlfn.XLOOKUP(A616,My_Audit!A:A,My_Audit!D:D,"")&amp;""</f>
        <v/>
      </c>
      <c r="E616" s="55" t="str" cm="1">
        <f t="array" ref="E616">IFERROR(_xlfn.LET(
_xlpm.CSVVal,_xlfn.XLOOKUP($A616,CSV!$A:$A,CSV!D:D,""),
_xlpm.MacVal,_xlfn.XLOOKUP($A616,Output_Mac!$A:$A,Output_Mac!C:C,""),
_xlpm.MyAuditVal,_xlfn.XLOOKUP($A616,My_Audit!$A:$A,My_Audit!D:D,""),
_xlfn.IFS(_xlpm.MyAuditVal&lt;&gt;"",_xlpm.MyAuditVal,_xlpm.MacVal&lt;&gt;"",_xlpm.MacVal,_xlpm.CSVVal&lt;&gt;"",_xlpm.CSVVal
)),"")</f>
        <v/>
      </c>
      <c r="F616" s="54" t="str" cm="1">
        <f t="array" ref="F616">IFERROR(_xlfn.LET(
_xlpm.CSVVal,_xlfn.XLOOKUP($A616,CSV!$A:$A,CSV!E:E,""),
_xlpm.MacVal,_xlfn.XLOOKUP($A616,Output_Mac!$A:$A,Output_Mac!F:F,""),
_xlpm.MyAuditVal,_xlfn.XLOOKUP($A616,My_Audit!$A:$A,My_Audit!E:E,""),
_xlfn.IFS(_xlpm.MyAuditVal&lt;&gt;"",_xlpm.MyAuditVal,_xlpm.MacVal&lt;&gt;"",_xlpm.MacVal,_xlpm.CSVVal&lt;&gt;"",PROPER(_xlpm.CSVVal)
)),"")</f>
        <v/>
      </c>
      <c r="G616" s="54" t="str" cm="1">
        <f t="array" ref="G616">IFERROR(_xlfn.LET(
_xlpm.CSVVal,_xlfn.XLOOKUP($A616,CSV!$A:$A,CSV!F:F,""),
_xlpm.MacVal,_xlfn.XLOOKUP($A616,Output_Mac!$A:$A,Output_Mac!H:H,""),
_xlpm.MyAuditVal,_xlfn.XLOOKUP($A616,My_Audit!$A:$A,My_Audit!F:F,""),
_xlfn.IFS(_xlpm.MyAuditVal&lt;&gt;"",_xlpm.MyAuditVal,_xlpm.MacVal&lt;&gt;"",_xlpm.MacVal,_xlpm.CSVVal&lt;&gt;"",_xlpm.CSVVal
)),"")</f>
        <v/>
      </c>
      <c r="H616" s="54" t="str">
        <f>_xlfn.XLOOKUP(A616,Output_Mac!A:A,Output_Mac!I:I,"")</f>
        <v/>
      </c>
      <c r="I616" s="54" t="str" cm="1">
        <f t="array" ref="I616">IFERROR(_xlfn.LET(
_xlpm.CSVVal,_xlfn.XLOOKUP($A616,CSV!$A:$A,CSV!G:G,""),
_xlpm.MacVal,_xlfn.XLOOKUP($A616,Output_Mac!$A:$A,Output_Mac!J:J,""),
_xlpm.MyAuditVal,_xlfn.XLOOKUP($A616,My_Audit!$A:$A,My_Audit!H:H,""),
_xlfn.IFS(_xlpm.MyAuditVal&lt;&gt;"",UPPER(_xlpm.MyAuditVal),_xlpm.MacVal&lt;&gt;"",_xlpm.MacVal,_xlpm.CSVVal&lt;&gt;"",_xlpm.CSVVal
)),"")</f>
        <v/>
      </c>
      <c r="J616" s="54" t="str" cm="1">
        <f t="array" ref="J616">IFERROR(_xlfn.LET(
_xlpm.CSVVal,_xlfn.XLOOKUP($A616,CSV!$A:$A,CSV!I:I,""),
_xlpm.MacVal,_xlfn.XLOOKUP($A616,Output_Mac!$A:$A,Output_Mac!K:K,""),
_xlpm.MyAuditVal,_xlfn.XLOOKUP($A616,My_Audit!$A:$A,My_Audit!I:I,""),
_xlfn.IFS(_xlpm.MyAuditVal&lt;&gt;"",UPPER(_xlpm.MyAuditVal),_xlpm.MacVal&lt;&gt;"",_xlpm.MacVal,_xlpm.CSVVal&lt;&gt;"",_xlpm.CSVVal
)),"")</f>
        <v/>
      </c>
      <c r="K616" s="54" t="str" cm="1">
        <f t="array" ref="K616">IFERROR(_xlfn.LET(
_xlpm.CSVVal,_xlfn.XLOOKUP($A616,CSV!$A:$A,CSV!M:M,""),
_xlpm.MacVal,_xlfn.XLOOKUP($A616,Output_Mac!$A:$A,Output_Mac!L:L,""),
_xlpm.MyAuditVal,_xlfn.XLOOKUP($A616,My_Audit!$A:$A,My_Audit!J:J,""),
_xlfn.IFS(_xlpm.MyAuditVal&lt;&gt;"",UPPER(_xlpm.MyAuditVal),_xlpm.MacVal&lt;&gt;"",_xlpm.MacVal,_xlpm.CSVVal&lt;&gt;"",_xlpm.CSVVal
)),"")</f>
        <v/>
      </c>
      <c r="L616" s="54" t="str" cm="1">
        <f t="array" ref="L616">IFERROR(_xlfn.LET(
_xlpm.CSVVal,_xlfn.XLOOKUP($A616,CSV!$A:$A,CSV!O:O,""),
_xlpm.MacVal,_xlfn.XLOOKUP($A616,Output_Mac!$A:$A,Output_Mac!M:M,""),
_xlpm.MyAuditVal,_xlfn.XLOOKUP($A616,My_Audit!$A:$A,My_Audit!K:K,""),
_xlfn.IFS(_xlpm.MyAuditVal&lt;&gt;"",UPPER(_xlpm.MyAuditVal),_xlpm.MacVal&lt;&gt;"",_xlpm.MacVal,_xlpm.CSVVal&lt;&gt;"",_xlpm.CSVVal
)),"")</f>
        <v/>
      </c>
      <c r="M616" s="54" t="str">
        <f>_xlfn.LET(
    _xlpm.CSVVal, _xlfn.XLOOKUP($A616, CSV!$A:$A, CSV!AD:AD, ""),
    _xlpm.MacVal, _xlfn.XLOOKUP($A616, Output_Mac!$A:$A, Output_Mac!S:S, ""),
    _xlpm.MyAuditVal, _xlfn.XLOOKUP($A616, My_Audit!$A:$A, My_Audit!N:N, ""),
    _xlfn.TEXTJOIN(", ", TRUE, _xlpm.MyAuditVal, _xlpm.MacVal, _xlpm.CSVVal)
)</f>
        <v/>
      </c>
      <c r="N616" s="54" t="str" cm="1">
        <f t="array" ref="N616">IFERROR(_xlfn.LET(
_xlpm.CSVVal,_xlfn.XLOOKUP($A616,CSV!$A:$A,CSV!AF:AF,""),
_xlpm.MacVal,_xlfn.XLOOKUP($A616,Output_Mac!$A:$A,Output_Mac!U:U,""),
_xlpm.MyAuditVal,_xlfn.XLOOKUP($A616,My_Audit!$A:$A,My_Audit!O:O,""),
_xlfn.IFS(_xlpm.MyAuditVal&lt;&gt;"",UPPER(_xlpm.MyAuditVal),_xlpm.MacVal&lt;&gt;"",_xlpm.MacVal,_xlpm.CSVVal&lt;&gt;"",_xlpm.CSVVal
)),"")</f>
        <v/>
      </c>
      <c r="O616" s="54"/>
      <c r="P616" s="54"/>
      <c r="Q616" s="54"/>
      <c r="R616" s="54"/>
      <c r="S616" s="54"/>
      <c r="T616" s="54"/>
      <c r="U616" s="39"/>
    </row>
    <row r="617" spans="1:21">
      <c r="A617" s="54" t="str">
        <f>_xlfn.TEXTJOIN("",TRUE,Input!$B$2,ROW(My_Audit!A616))</f>
        <v>XX616</v>
      </c>
      <c r="B617" s="54" t="str">
        <f>_xlfn.TEXTJOIN("-",TRUE,"ITD",Input!$A$2,A617)</f>
        <v>ITD-SHRXXX-XX616</v>
      </c>
      <c r="C617" s="54" t="str" cm="1">
        <f t="array" ref="C617">IFERROR(_xlfn.LET(
_xlpm.CSVVal,_xlfn.XLOOKUP($A617,CSV!$A:$A,CSV!B:B,""),
_xlpm.MacVal,_xlfn.XLOOKUP($A617,Output_Mac!$A:$A,Output_Mac!B:B,""),
_xlpm.MyAuditVal,_xlfn.XLOOKUP($A617,My_Audit!$A:$A,My_Audit!B:B,""),
_xlfn.IFS(_xlpm.MyAuditVal&lt;&gt;"",UPPER(_xlpm.MyAuditVal),_xlpm.MacVal&lt;&gt;"",_xlpm.MacVal,_xlpm.CSVVal&lt;&gt;"",_xlpm.CSVVal
)),"")</f>
        <v/>
      </c>
      <c r="D617" s="55" t="str">
        <f>_xlfn.XLOOKUP(A617,My_Audit!A:A,My_Audit!D:D,"")&amp;""</f>
        <v/>
      </c>
      <c r="E617" s="55" t="str" cm="1">
        <f t="array" ref="E617">IFERROR(_xlfn.LET(
_xlpm.CSVVal,_xlfn.XLOOKUP($A617,CSV!$A:$A,CSV!D:D,""),
_xlpm.MacVal,_xlfn.XLOOKUP($A617,Output_Mac!$A:$A,Output_Mac!C:C,""),
_xlpm.MyAuditVal,_xlfn.XLOOKUP($A617,My_Audit!$A:$A,My_Audit!D:D,""),
_xlfn.IFS(_xlpm.MyAuditVal&lt;&gt;"",_xlpm.MyAuditVal,_xlpm.MacVal&lt;&gt;"",_xlpm.MacVal,_xlpm.CSVVal&lt;&gt;"",_xlpm.CSVVal
)),"")</f>
        <v/>
      </c>
      <c r="F617" s="54" t="str" cm="1">
        <f t="array" ref="F617">IFERROR(_xlfn.LET(
_xlpm.CSVVal,_xlfn.XLOOKUP($A617,CSV!$A:$A,CSV!E:E,""),
_xlpm.MacVal,_xlfn.XLOOKUP($A617,Output_Mac!$A:$A,Output_Mac!F:F,""),
_xlpm.MyAuditVal,_xlfn.XLOOKUP($A617,My_Audit!$A:$A,My_Audit!E:E,""),
_xlfn.IFS(_xlpm.MyAuditVal&lt;&gt;"",_xlpm.MyAuditVal,_xlpm.MacVal&lt;&gt;"",_xlpm.MacVal,_xlpm.CSVVal&lt;&gt;"",PROPER(_xlpm.CSVVal)
)),"")</f>
        <v/>
      </c>
      <c r="G617" s="54" t="str" cm="1">
        <f t="array" ref="G617">IFERROR(_xlfn.LET(
_xlpm.CSVVal,_xlfn.XLOOKUP($A617,CSV!$A:$A,CSV!F:F,""),
_xlpm.MacVal,_xlfn.XLOOKUP($A617,Output_Mac!$A:$A,Output_Mac!H:H,""),
_xlpm.MyAuditVal,_xlfn.XLOOKUP($A617,My_Audit!$A:$A,My_Audit!F:F,""),
_xlfn.IFS(_xlpm.MyAuditVal&lt;&gt;"",_xlpm.MyAuditVal,_xlpm.MacVal&lt;&gt;"",_xlpm.MacVal,_xlpm.CSVVal&lt;&gt;"",_xlpm.CSVVal
)),"")</f>
        <v/>
      </c>
      <c r="H617" s="54" t="str">
        <f>_xlfn.XLOOKUP(A617,Output_Mac!A:A,Output_Mac!I:I,"")</f>
        <v/>
      </c>
      <c r="I617" s="54" t="str" cm="1">
        <f t="array" ref="I617">IFERROR(_xlfn.LET(
_xlpm.CSVVal,_xlfn.XLOOKUP($A617,CSV!$A:$A,CSV!G:G,""),
_xlpm.MacVal,_xlfn.XLOOKUP($A617,Output_Mac!$A:$A,Output_Mac!J:J,""),
_xlpm.MyAuditVal,_xlfn.XLOOKUP($A617,My_Audit!$A:$A,My_Audit!H:H,""),
_xlfn.IFS(_xlpm.MyAuditVal&lt;&gt;"",UPPER(_xlpm.MyAuditVal),_xlpm.MacVal&lt;&gt;"",_xlpm.MacVal,_xlpm.CSVVal&lt;&gt;"",_xlpm.CSVVal
)),"")</f>
        <v/>
      </c>
      <c r="J617" s="54" t="str" cm="1">
        <f t="array" ref="J617">IFERROR(_xlfn.LET(
_xlpm.CSVVal,_xlfn.XLOOKUP($A617,CSV!$A:$A,CSV!I:I,""),
_xlpm.MacVal,_xlfn.XLOOKUP($A617,Output_Mac!$A:$A,Output_Mac!K:K,""),
_xlpm.MyAuditVal,_xlfn.XLOOKUP($A617,My_Audit!$A:$A,My_Audit!I:I,""),
_xlfn.IFS(_xlpm.MyAuditVal&lt;&gt;"",UPPER(_xlpm.MyAuditVal),_xlpm.MacVal&lt;&gt;"",_xlpm.MacVal,_xlpm.CSVVal&lt;&gt;"",_xlpm.CSVVal
)),"")</f>
        <v/>
      </c>
      <c r="K617" s="54" t="str" cm="1">
        <f t="array" ref="K617">IFERROR(_xlfn.LET(
_xlpm.CSVVal,_xlfn.XLOOKUP($A617,CSV!$A:$A,CSV!M:M,""),
_xlpm.MacVal,_xlfn.XLOOKUP($A617,Output_Mac!$A:$A,Output_Mac!L:L,""),
_xlpm.MyAuditVal,_xlfn.XLOOKUP($A617,My_Audit!$A:$A,My_Audit!J:J,""),
_xlfn.IFS(_xlpm.MyAuditVal&lt;&gt;"",UPPER(_xlpm.MyAuditVal),_xlpm.MacVal&lt;&gt;"",_xlpm.MacVal,_xlpm.CSVVal&lt;&gt;"",_xlpm.CSVVal
)),"")</f>
        <v/>
      </c>
      <c r="L617" s="54" t="str" cm="1">
        <f t="array" ref="L617">IFERROR(_xlfn.LET(
_xlpm.CSVVal,_xlfn.XLOOKUP($A617,CSV!$A:$A,CSV!O:O,""),
_xlpm.MacVal,_xlfn.XLOOKUP($A617,Output_Mac!$A:$A,Output_Mac!M:M,""),
_xlpm.MyAuditVal,_xlfn.XLOOKUP($A617,My_Audit!$A:$A,My_Audit!K:K,""),
_xlfn.IFS(_xlpm.MyAuditVal&lt;&gt;"",UPPER(_xlpm.MyAuditVal),_xlpm.MacVal&lt;&gt;"",_xlpm.MacVal,_xlpm.CSVVal&lt;&gt;"",_xlpm.CSVVal
)),"")</f>
        <v/>
      </c>
      <c r="M617" s="54" t="str">
        <f>_xlfn.LET(
    _xlpm.CSVVal, _xlfn.XLOOKUP($A617, CSV!$A:$A, CSV!AD:AD, ""),
    _xlpm.MacVal, _xlfn.XLOOKUP($A617, Output_Mac!$A:$A, Output_Mac!S:S, ""),
    _xlpm.MyAuditVal, _xlfn.XLOOKUP($A617, My_Audit!$A:$A, My_Audit!N:N, ""),
    _xlfn.TEXTJOIN(", ", TRUE, _xlpm.MyAuditVal, _xlpm.MacVal, _xlpm.CSVVal)
)</f>
        <v/>
      </c>
      <c r="N617" s="54" t="str" cm="1">
        <f t="array" ref="N617">IFERROR(_xlfn.LET(
_xlpm.CSVVal,_xlfn.XLOOKUP($A617,CSV!$A:$A,CSV!AF:AF,""),
_xlpm.MacVal,_xlfn.XLOOKUP($A617,Output_Mac!$A:$A,Output_Mac!U:U,""),
_xlpm.MyAuditVal,_xlfn.XLOOKUP($A617,My_Audit!$A:$A,My_Audit!O:O,""),
_xlfn.IFS(_xlpm.MyAuditVal&lt;&gt;"",UPPER(_xlpm.MyAuditVal),_xlpm.MacVal&lt;&gt;"",_xlpm.MacVal,_xlpm.CSVVal&lt;&gt;"",_xlpm.CSVVal
)),"")</f>
        <v/>
      </c>
      <c r="O617" s="54"/>
      <c r="P617" s="54"/>
      <c r="Q617" s="54"/>
      <c r="R617" s="54"/>
      <c r="S617" s="54"/>
      <c r="T617" s="54"/>
      <c r="U617" s="39"/>
    </row>
    <row r="618" spans="1:21">
      <c r="A618" s="54" t="str">
        <f>_xlfn.TEXTJOIN("",TRUE,Input!$B$2,ROW(My_Audit!A617))</f>
        <v>XX617</v>
      </c>
      <c r="B618" s="54" t="str">
        <f>_xlfn.TEXTJOIN("-",TRUE,"ITD",Input!$A$2,A618)</f>
        <v>ITD-SHRXXX-XX617</v>
      </c>
      <c r="C618" s="54" t="str" cm="1">
        <f t="array" ref="C618">IFERROR(_xlfn.LET(
_xlpm.CSVVal,_xlfn.XLOOKUP($A618,CSV!$A:$A,CSV!B:B,""),
_xlpm.MacVal,_xlfn.XLOOKUP($A618,Output_Mac!$A:$A,Output_Mac!B:B,""),
_xlpm.MyAuditVal,_xlfn.XLOOKUP($A618,My_Audit!$A:$A,My_Audit!B:B,""),
_xlfn.IFS(_xlpm.MyAuditVal&lt;&gt;"",UPPER(_xlpm.MyAuditVal),_xlpm.MacVal&lt;&gt;"",_xlpm.MacVal,_xlpm.CSVVal&lt;&gt;"",_xlpm.CSVVal
)),"")</f>
        <v/>
      </c>
      <c r="D618" s="55" t="str">
        <f>_xlfn.XLOOKUP(A618,My_Audit!A:A,My_Audit!D:D,"")&amp;""</f>
        <v/>
      </c>
      <c r="E618" s="55" t="str" cm="1">
        <f t="array" ref="E618">IFERROR(_xlfn.LET(
_xlpm.CSVVal,_xlfn.XLOOKUP($A618,CSV!$A:$A,CSV!D:D,""),
_xlpm.MacVal,_xlfn.XLOOKUP($A618,Output_Mac!$A:$A,Output_Mac!C:C,""),
_xlpm.MyAuditVal,_xlfn.XLOOKUP($A618,My_Audit!$A:$A,My_Audit!D:D,""),
_xlfn.IFS(_xlpm.MyAuditVal&lt;&gt;"",_xlpm.MyAuditVal,_xlpm.MacVal&lt;&gt;"",_xlpm.MacVal,_xlpm.CSVVal&lt;&gt;"",_xlpm.CSVVal
)),"")</f>
        <v/>
      </c>
      <c r="F618" s="54" t="str" cm="1">
        <f t="array" ref="F618">IFERROR(_xlfn.LET(
_xlpm.CSVVal,_xlfn.XLOOKUP($A618,CSV!$A:$A,CSV!E:E,""),
_xlpm.MacVal,_xlfn.XLOOKUP($A618,Output_Mac!$A:$A,Output_Mac!F:F,""),
_xlpm.MyAuditVal,_xlfn.XLOOKUP($A618,My_Audit!$A:$A,My_Audit!E:E,""),
_xlfn.IFS(_xlpm.MyAuditVal&lt;&gt;"",_xlpm.MyAuditVal,_xlpm.MacVal&lt;&gt;"",_xlpm.MacVal,_xlpm.CSVVal&lt;&gt;"",PROPER(_xlpm.CSVVal)
)),"")</f>
        <v/>
      </c>
      <c r="G618" s="54" t="str" cm="1">
        <f t="array" ref="G618">IFERROR(_xlfn.LET(
_xlpm.CSVVal,_xlfn.XLOOKUP($A618,CSV!$A:$A,CSV!F:F,""),
_xlpm.MacVal,_xlfn.XLOOKUP($A618,Output_Mac!$A:$A,Output_Mac!H:H,""),
_xlpm.MyAuditVal,_xlfn.XLOOKUP($A618,My_Audit!$A:$A,My_Audit!F:F,""),
_xlfn.IFS(_xlpm.MyAuditVal&lt;&gt;"",_xlpm.MyAuditVal,_xlpm.MacVal&lt;&gt;"",_xlpm.MacVal,_xlpm.CSVVal&lt;&gt;"",_xlpm.CSVVal
)),"")</f>
        <v/>
      </c>
      <c r="H618" s="54" t="str">
        <f>_xlfn.XLOOKUP(A618,Output_Mac!A:A,Output_Mac!I:I,"")</f>
        <v/>
      </c>
      <c r="I618" s="54" t="str" cm="1">
        <f t="array" ref="I618">IFERROR(_xlfn.LET(
_xlpm.CSVVal,_xlfn.XLOOKUP($A618,CSV!$A:$A,CSV!G:G,""),
_xlpm.MacVal,_xlfn.XLOOKUP($A618,Output_Mac!$A:$A,Output_Mac!J:J,""),
_xlpm.MyAuditVal,_xlfn.XLOOKUP($A618,My_Audit!$A:$A,My_Audit!H:H,""),
_xlfn.IFS(_xlpm.MyAuditVal&lt;&gt;"",UPPER(_xlpm.MyAuditVal),_xlpm.MacVal&lt;&gt;"",_xlpm.MacVal,_xlpm.CSVVal&lt;&gt;"",_xlpm.CSVVal
)),"")</f>
        <v/>
      </c>
      <c r="J618" s="54" t="str" cm="1">
        <f t="array" ref="J618">IFERROR(_xlfn.LET(
_xlpm.CSVVal,_xlfn.XLOOKUP($A618,CSV!$A:$A,CSV!I:I,""),
_xlpm.MacVal,_xlfn.XLOOKUP($A618,Output_Mac!$A:$A,Output_Mac!K:K,""),
_xlpm.MyAuditVal,_xlfn.XLOOKUP($A618,My_Audit!$A:$A,My_Audit!I:I,""),
_xlfn.IFS(_xlpm.MyAuditVal&lt;&gt;"",UPPER(_xlpm.MyAuditVal),_xlpm.MacVal&lt;&gt;"",_xlpm.MacVal,_xlpm.CSVVal&lt;&gt;"",_xlpm.CSVVal
)),"")</f>
        <v/>
      </c>
      <c r="K618" s="54" t="str" cm="1">
        <f t="array" ref="K618">IFERROR(_xlfn.LET(
_xlpm.CSVVal,_xlfn.XLOOKUP($A618,CSV!$A:$A,CSV!M:M,""),
_xlpm.MacVal,_xlfn.XLOOKUP($A618,Output_Mac!$A:$A,Output_Mac!L:L,""),
_xlpm.MyAuditVal,_xlfn.XLOOKUP($A618,My_Audit!$A:$A,My_Audit!J:J,""),
_xlfn.IFS(_xlpm.MyAuditVal&lt;&gt;"",UPPER(_xlpm.MyAuditVal),_xlpm.MacVal&lt;&gt;"",_xlpm.MacVal,_xlpm.CSVVal&lt;&gt;"",_xlpm.CSVVal
)),"")</f>
        <v/>
      </c>
      <c r="L618" s="54" t="str" cm="1">
        <f t="array" ref="L618">IFERROR(_xlfn.LET(
_xlpm.CSVVal,_xlfn.XLOOKUP($A618,CSV!$A:$A,CSV!O:O,""),
_xlpm.MacVal,_xlfn.XLOOKUP($A618,Output_Mac!$A:$A,Output_Mac!M:M,""),
_xlpm.MyAuditVal,_xlfn.XLOOKUP($A618,My_Audit!$A:$A,My_Audit!K:K,""),
_xlfn.IFS(_xlpm.MyAuditVal&lt;&gt;"",UPPER(_xlpm.MyAuditVal),_xlpm.MacVal&lt;&gt;"",_xlpm.MacVal,_xlpm.CSVVal&lt;&gt;"",_xlpm.CSVVal
)),"")</f>
        <v/>
      </c>
      <c r="M618" s="54" t="str">
        <f>_xlfn.LET(
    _xlpm.CSVVal, _xlfn.XLOOKUP($A618, CSV!$A:$A, CSV!AD:AD, ""),
    _xlpm.MacVal, _xlfn.XLOOKUP($A618, Output_Mac!$A:$A, Output_Mac!S:S, ""),
    _xlpm.MyAuditVal, _xlfn.XLOOKUP($A618, My_Audit!$A:$A, My_Audit!N:N, ""),
    _xlfn.TEXTJOIN(", ", TRUE, _xlpm.MyAuditVal, _xlpm.MacVal, _xlpm.CSVVal)
)</f>
        <v/>
      </c>
      <c r="N618" s="54" t="str" cm="1">
        <f t="array" ref="N618">IFERROR(_xlfn.LET(
_xlpm.CSVVal,_xlfn.XLOOKUP($A618,CSV!$A:$A,CSV!AF:AF,""),
_xlpm.MacVal,_xlfn.XLOOKUP($A618,Output_Mac!$A:$A,Output_Mac!U:U,""),
_xlpm.MyAuditVal,_xlfn.XLOOKUP($A618,My_Audit!$A:$A,My_Audit!O:O,""),
_xlfn.IFS(_xlpm.MyAuditVal&lt;&gt;"",UPPER(_xlpm.MyAuditVal),_xlpm.MacVal&lt;&gt;"",_xlpm.MacVal,_xlpm.CSVVal&lt;&gt;"",_xlpm.CSVVal
)),"")</f>
        <v/>
      </c>
      <c r="O618" s="54"/>
      <c r="P618" s="54"/>
      <c r="Q618" s="54"/>
      <c r="R618" s="54"/>
      <c r="S618" s="54"/>
      <c r="T618" s="54"/>
      <c r="U618" s="39"/>
    </row>
    <row r="619" spans="1:21">
      <c r="A619" s="54" t="str">
        <f>_xlfn.TEXTJOIN("",TRUE,Input!$B$2,ROW(My_Audit!A618))</f>
        <v>XX618</v>
      </c>
      <c r="B619" s="54" t="str">
        <f>_xlfn.TEXTJOIN("-",TRUE,"ITD",Input!$A$2,A619)</f>
        <v>ITD-SHRXXX-XX618</v>
      </c>
      <c r="C619" s="54" t="str" cm="1">
        <f t="array" ref="C619">IFERROR(_xlfn.LET(
_xlpm.CSVVal,_xlfn.XLOOKUP($A619,CSV!$A:$A,CSV!B:B,""),
_xlpm.MacVal,_xlfn.XLOOKUP($A619,Output_Mac!$A:$A,Output_Mac!B:B,""),
_xlpm.MyAuditVal,_xlfn.XLOOKUP($A619,My_Audit!$A:$A,My_Audit!B:B,""),
_xlfn.IFS(_xlpm.MyAuditVal&lt;&gt;"",UPPER(_xlpm.MyAuditVal),_xlpm.MacVal&lt;&gt;"",_xlpm.MacVal,_xlpm.CSVVal&lt;&gt;"",_xlpm.CSVVal
)),"")</f>
        <v/>
      </c>
      <c r="D619" s="55" t="str">
        <f>_xlfn.XLOOKUP(A619,My_Audit!A:A,My_Audit!D:D,"")&amp;""</f>
        <v/>
      </c>
      <c r="E619" s="55" t="str" cm="1">
        <f t="array" ref="E619">IFERROR(_xlfn.LET(
_xlpm.CSVVal,_xlfn.XLOOKUP($A619,CSV!$A:$A,CSV!D:D,""),
_xlpm.MacVal,_xlfn.XLOOKUP($A619,Output_Mac!$A:$A,Output_Mac!C:C,""),
_xlpm.MyAuditVal,_xlfn.XLOOKUP($A619,My_Audit!$A:$A,My_Audit!D:D,""),
_xlfn.IFS(_xlpm.MyAuditVal&lt;&gt;"",_xlpm.MyAuditVal,_xlpm.MacVal&lt;&gt;"",_xlpm.MacVal,_xlpm.CSVVal&lt;&gt;"",_xlpm.CSVVal
)),"")</f>
        <v/>
      </c>
      <c r="F619" s="54" t="str" cm="1">
        <f t="array" ref="F619">IFERROR(_xlfn.LET(
_xlpm.CSVVal,_xlfn.XLOOKUP($A619,CSV!$A:$A,CSV!E:E,""),
_xlpm.MacVal,_xlfn.XLOOKUP($A619,Output_Mac!$A:$A,Output_Mac!F:F,""),
_xlpm.MyAuditVal,_xlfn.XLOOKUP($A619,My_Audit!$A:$A,My_Audit!E:E,""),
_xlfn.IFS(_xlpm.MyAuditVal&lt;&gt;"",_xlpm.MyAuditVal,_xlpm.MacVal&lt;&gt;"",_xlpm.MacVal,_xlpm.CSVVal&lt;&gt;"",PROPER(_xlpm.CSVVal)
)),"")</f>
        <v/>
      </c>
      <c r="G619" s="54" t="str" cm="1">
        <f t="array" ref="G619">IFERROR(_xlfn.LET(
_xlpm.CSVVal,_xlfn.XLOOKUP($A619,CSV!$A:$A,CSV!F:F,""),
_xlpm.MacVal,_xlfn.XLOOKUP($A619,Output_Mac!$A:$A,Output_Mac!H:H,""),
_xlpm.MyAuditVal,_xlfn.XLOOKUP($A619,My_Audit!$A:$A,My_Audit!F:F,""),
_xlfn.IFS(_xlpm.MyAuditVal&lt;&gt;"",_xlpm.MyAuditVal,_xlpm.MacVal&lt;&gt;"",_xlpm.MacVal,_xlpm.CSVVal&lt;&gt;"",_xlpm.CSVVal
)),"")</f>
        <v/>
      </c>
      <c r="H619" s="54" t="str">
        <f>_xlfn.XLOOKUP(A619,Output_Mac!A:A,Output_Mac!I:I,"")</f>
        <v/>
      </c>
      <c r="I619" s="54" t="str" cm="1">
        <f t="array" ref="I619">IFERROR(_xlfn.LET(
_xlpm.CSVVal,_xlfn.XLOOKUP($A619,CSV!$A:$A,CSV!G:G,""),
_xlpm.MacVal,_xlfn.XLOOKUP($A619,Output_Mac!$A:$A,Output_Mac!J:J,""),
_xlpm.MyAuditVal,_xlfn.XLOOKUP($A619,My_Audit!$A:$A,My_Audit!H:H,""),
_xlfn.IFS(_xlpm.MyAuditVal&lt;&gt;"",UPPER(_xlpm.MyAuditVal),_xlpm.MacVal&lt;&gt;"",_xlpm.MacVal,_xlpm.CSVVal&lt;&gt;"",_xlpm.CSVVal
)),"")</f>
        <v/>
      </c>
      <c r="J619" s="54" t="str" cm="1">
        <f t="array" ref="J619">IFERROR(_xlfn.LET(
_xlpm.CSVVal,_xlfn.XLOOKUP($A619,CSV!$A:$A,CSV!I:I,""),
_xlpm.MacVal,_xlfn.XLOOKUP($A619,Output_Mac!$A:$A,Output_Mac!K:K,""),
_xlpm.MyAuditVal,_xlfn.XLOOKUP($A619,My_Audit!$A:$A,My_Audit!I:I,""),
_xlfn.IFS(_xlpm.MyAuditVal&lt;&gt;"",UPPER(_xlpm.MyAuditVal),_xlpm.MacVal&lt;&gt;"",_xlpm.MacVal,_xlpm.CSVVal&lt;&gt;"",_xlpm.CSVVal
)),"")</f>
        <v/>
      </c>
      <c r="K619" s="54" t="str" cm="1">
        <f t="array" ref="K619">IFERROR(_xlfn.LET(
_xlpm.CSVVal,_xlfn.XLOOKUP($A619,CSV!$A:$A,CSV!M:M,""),
_xlpm.MacVal,_xlfn.XLOOKUP($A619,Output_Mac!$A:$A,Output_Mac!L:L,""),
_xlpm.MyAuditVal,_xlfn.XLOOKUP($A619,My_Audit!$A:$A,My_Audit!J:J,""),
_xlfn.IFS(_xlpm.MyAuditVal&lt;&gt;"",UPPER(_xlpm.MyAuditVal),_xlpm.MacVal&lt;&gt;"",_xlpm.MacVal,_xlpm.CSVVal&lt;&gt;"",_xlpm.CSVVal
)),"")</f>
        <v/>
      </c>
      <c r="L619" s="54" t="str" cm="1">
        <f t="array" ref="L619">IFERROR(_xlfn.LET(
_xlpm.CSVVal,_xlfn.XLOOKUP($A619,CSV!$A:$A,CSV!O:O,""),
_xlpm.MacVal,_xlfn.XLOOKUP($A619,Output_Mac!$A:$A,Output_Mac!M:M,""),
_xlpm.MyAuditVal,_xlfn.XLOOKUP($A619,My_Audit!$A:$A,My_Audit!K:K,""),
_xlfn.IFS(_xlpm.MyAuditVal&lt;&gt;"",UPPER(_xlpm.MyAuditVal),_xlpm.MacVal&lt;&gt;"",_xlpm.MacVal,_xlpm.CSVVal&lt;&gt;"",_xlpm.CSVVal
)),"")</f>
        <v/>
      </c>
      <c r="M619" s="54" t="str">
        <f>_xlfn.LET(
    _xlpm.CSVVal, _xlfn.XLOOKUP($A619, CSV!$A:$A, CSV!AD:AD, ""),
    _xlpm.MacVal, _xlfn.XLOOKUP($A619, Output_Mac!$A:$A, Output_Mac!S:S, ""),
    _xlpm.MyAuditVal, _xlfn.XLOOKUP($A619, My_Audit!$A:$A, My_Audit!N:N, ""),
    _xlfn.TEXTJOIN(", ", TRUE, _xlpm.MyAuditVal, _xlpm.MacVal, _xlpm.CSVVal)
)</f>
        <v/>
      </c>
      <c r="N619" s="54" t="str" cm="1">
        <f t="array" ref="N619">IFERROR(_xlfn.LET(
_xlpm.CSVVal,_xlfn.XLOOKUP($A619,CSV!$A:$A,CSV!AF:AF,""),
_xlpm.MacVal,_xlfn.XLOOKUP($A619,Output_Mac!$A:$A,Output_Mac!U:U,""),
_xlpm.MyAuditVal,_xlfn.XLOOKUP($A619,My_Audit!$A:$A,My_Audit!O:O,""),
_xlfn.IFS(_xlpm.MyAuditVal&lt;&gt;"",UPPER(_xlpm.MyAuditVal),_xlpm.MacVal&lt;&gt;"",_xlpm.MacVal,_xlpm.CSVVal&lt;&gt;"",_xlpm.CSVVal
)),"")</f>
        <v/>
      </c>
      <c r="O619" s="54"/>
      <c r="P619" s="54"/>
      <c r="Q619" s="54"/>
      <c r="R619" s="54"/>
      <c r="S619" s="54"/>
      <c r="T619" s="54"/>
      <c r="U619" s="39"/>
    </row>
    <row r="620" spans="1:21">
      <c r="A620" s="54" t="str">
        <f>_xlfn.TEXTJOIN("",TRUE,Input!$B$2,ROW(My_Audit!A619))</f>
        <v>XX619</v>
      </c>
      <c r="B620" s="54" t="str">
        <f>_xlfn.TEXTJOIN("-",TRUE,"ITD",Input!$A$2,A620)</f>
        <v>ITD-SHRXXX-XX619</v>
      </c>
      <c r="C620" s="54" t="str" cm="1">
        <f t="array" ref="C620">IFERROR(_xlfn.LET(
_xlpm.CSVVal,_xlfn.XLOOKUP($A620,CSV!$A:$A,CSV!B:B,""),
_xlpm.MacVal,_xlfn.XLOOKUP($A620,Output_Mac!$A:$A,Output_Mac!B:B,""),
_xlpm.MyAuditVal,_xlfn.XLOOKUP($A620,My_Audit!$A:$A,My_Audit!B:B,""),
_xlfn.IFS(_xlpm.MyAuditVal&lt;&gt;"",UPPER(_xlpm.MyAuditVal),_xlpm.MacVal&lt;&gt;"",_xlpm.MacVal,_xlpm.CSVVal&lt;&gt;"",_xlpm.CSVVal
)),"")</f>
        <v/>
      </c>
      <c r="D620" s="55" t="str">
        <f>_xlfn.XLOOKUP(A620,My_Audit!A:A,My_Audit!D:D,"")&amp;""</f>
        <v/>
      </c>
      <c r="E620" s="55" t="str" cm="1">
        <f t="array" ref="E620">IFERROR(_xlfn.LET(
_xlpm.CSVVal,_xlfn.XLOOKUP($A620,CSV!$A:$A,CSV!D:D,""),
_xlpm.MacVal,_xlfn.XLOOKUP($A620,Output_Mac!$A:$A,Output_Mac!C:C,""),
_xlpm.MyAuditVal,_xlfn.XLOOKUP($A620,My_Audit!$A:$A,My_Audit!D:D,""),
_xlfn.IFS(_xlpm.MyAuditVal&lt;&gt;"",_xlpm.MyAuditVal,_xlpm.MacVal&lt;&gt;"",_xlpm.MacVal,_xlpm.CSVVal&lt;&gt;"",_xlpm.CSVVal
)),"")</f>
        <v/>
      </c>
      <c r="F620" s="54" t="str" cm="1">
        <f t="array" ref="F620">IFERROR(_xlfn.LET(
_xlpm.CSVVal,_xlfn.XLOOKUP($A620,CSV!$A:$A,CSV!E:E,""),
_xlpm.MacVal,_xlfn.XLOOKUP($A620,Output_Mac!$A:$A,Output_Mac!F:F,""),
_xlpm.MyAuditVal,_xlfn.XLOOKUP($A620,My_Audit!$A:$A,My_Audit!E:E,""),
_xlfn.IFS(_xlpm.MyAuditVal&lt;&gt;"",_xlpm.MyAuditVal,_xlpm.MacVal&lt;&gt;"",_xlpm.MacVal,_xlpm.CSVVal&lt;&gt;"",PROPER(_xlpm.CSVVal)
)),"")</f>
        <v/>
      </c>
      <c r="G620" s="54" t="str" cm="1">
        <f t="array" ref="G620">IFERROR(_xlfn.LET(
_xlpm.CSVVal,_xlfn.XLOOKUP($A620,CSV!$A:$A,CSV!F:F,""),
_xlpm.MacVal,_xlfn.XLOOKUP($A620,Output_Mac!$A:$A,Output_Mac!H:H,""),
_xlpm.MyAuditVal,_xlfn.XLOOKUP($A620,My_Audit!$A:$A,My_Audit!F:F,""),
_xlfn.IFS(_xlpm.MyAuditVal&lt;&gt;"",_xlpm.MyAuditVal,_xlpm.MacVal&lt;&gt;"",_xlpm.MacVal,_xlpm.CSVVal&lt;&gt;"",_xlpm.CSVVal
)),"")</f>
        <v/>
      </c>
      <c r="H620" s="54" t="str">
        <f>_xlfn.XLOOKUP(A620,Output_Mac!A:A,Output_Mac!I:I,"")</f>
        <v/>
      </c>
      <c r="I620" s="54" t="str" cm="1">
        <f t="array" ref="I620">IFERROR(_xlfn.LET(
_xlpm.CSVVal,_xlfn.XLOOKUP($A620,CSV!$A:$A,CSV!G:G,""),
_xlpm.MacVal,_xlfn.XLOOKUP($A620,Output_Mac!$A:$A,Output_Mac!J:J,""),
_xlpm.MyAuditVal,_xlfn.XLOOKUP($A620,My_Audit!$A:$A,My_Audit!H:H,""),
_xlfn.IFS(_xlpm.MyAuditVal&lt;&gt;"",UPPER(_xlpm.MyAuditVal),_xlpm.MacVal&lt;&gt;"",_xlpm.MacVal,_xlpm.CSVVal&lt;&gt;"",_xlpm.CSVVal
)),"")</f>
        <v/>
      </c>
      <c r="J620" s="54" t="str" cm="1">
        <f t="array" ref="J620">IFERROR(_xlfn.LET(
_xlpm.CSVVal,_xlfn.XLOOKUP($A620,CSV!$A:$A,CSV!I:I,""),
_xlpm.MacVal,_xlfn.XLOOKUP($A620,Output_Mac!$A:$A,Output_Mac!K:K,""),
_xlpm.MyAuditVal,_xlfn.XLOOKUP($A620,My_Audit!$A:$A,My_Audit!I:I,""),
_xlfn.IFS(_xlpm.MyAuditVal&lt;&gt;"",UPPER(_xlpm.MyAuditVal),_xlpm.MacVal&lt;&gt;"",_xlpm.MacVal,_xlpm.CSVVal&lt;&gt;"",_xlpm.CSVVal
)),"")</f>
        <v/>
      </c>
      <c r="K620" s="54" t="str" cm="1">
        <f t="array" ref="K620">IFERROR(_xlfn.LET(
_xlpm.CSVVal,_xlfn.XLOOKUP($A620,CSV!$A:$A,CSV!M:M,""),
_xlpm.MacVal,_xlfn.XLOOKUP($A620,Output_Mac!$A:$A,Output_Mac!L:L,""),
_xlpm.MyAuditVal,_xlfn.XLOOKUP($A620,My_Audit!$A:$A,My_Audit!J:J,""),
_xlfn.IFS(_xlpm.MyAuditVal&lt;&gt;"",UPPER(_xlpm.MyAuditVal),_xlpm.MacVal&lt;&gt;"",_xlpm.MacVal,_xlpm.CSVVal&lt;&gt;"",_xlpm.CSVVal
)),"")</f>
        <v/>
      </c>
      <c r="L620" s="54" t="str" cm="1">
        <f t="array" ref="L620">IFERROR(_xlfn.LET(
_xlpm.CSVVal,_xlfn.XLOOKUP($A620,CSV!$A:$A,CSV!O:O,""),
_xlpm.MacVal,_xlfn.XLOOKUP($A620,Output_Mac!$A:$A,Output_Mac!M:M,""),
_xlpm.MyAuditVal,_xlfn.XLOOKUP($A620,My_Audit!$A:$A,My_Audit!K:K,""),
_xlfn.IFS(_xlpm.MyAuditVal&lt;&gt;"",UPPER(_xlpm.MyAuditVal),_xlpm.MacVal&lt;&gt;"",_xlpm.MacVal,_xlpm.CSVVal&lt;&gt;"",_xlpm.CSVVal
)),"")</f>
        <v/>
      </c>
      <c r="M620" s="54" t="str">
        <f>_xlfn.LET(
    _xlpm.CSVVal, _xlfn.XLOOKUP($A620, CSV!$A:$A, CSV!AD:AD, ""),
    _xlpm.MacVal, _xlfn.XLOOKUP($A620, Output_Mac!$A:$A, Output_Mac!S:S, ""),
    _xlpm.MyAuditVal, _xlfn.XLOOKUP($A620, My_Audit!$A:$A, My_Audit!N:N, ""),
    _xlfn.TEXTJOIN(", ", TRUE, _xlpm.MyAuditVal, _xlpm.MacVal, _xlpm.CSVVal)
)</f>
        <v/>
      </c>
      <c r="N620" s="54" t="str" cm="1">
        <f t="array" ref="N620">IFERROR(_xlfn.LET(
_xlpm.CSVVal,_xlfn.XLOOKUP($A620,CSV!$A:$A,CSV!AF:AF,""),
_xlpm.MacVal,_xlfn.XLOOKUP($A620,Output_Mac!$A:$A,Output_Mac!U:U,""),
_xlpm.MyAuditVal,_xlfn.XLOOKUP($A620,My_Audit!$A:$A,My_Audit!O:O,""),
_xlfn.IFS(_xlpm.MyAuditVal&lt;&gt;"",UPPER(_xlpm.MyAuditVal),_xlpm.MacVal&lt;&gt;"",_xlpm.MacVal,_xlpm.CSVVal&lt;&gt;"",_xlpm.CSVVal
)),"")</f>
        <v/>
      </c>
      <c r="O620" s="54"/>
      <c r="P620" s="54"/>
      <c r="Q620" s="54"/>
      <c r="R620" s="54"/>
      <c r="S620" s="54"/>
      <c r="T620" s="54"/>
      <c r="U620" s="39"/>
    </row>
    <row r="621" spans="1:21">
      <c r="A621" s="54" t="str">
        <f>_xlfn.TEXTJOIN("",TRUE,Input!$B$2,ROW(My_Audit!A620))</f>
        <v>XX620</v>
      </c>
      <c r="B621" s="54" t="str">
        <f>_xlfn.TEXTJOIN("-",TRUE,"ITD",Input!$A$2,A621)</f>
        <v>ITD-SHRXXX-XX620</v>
      </c>
      <c r="C621" s="54" t="str" cm="1">
        <f t="array" ref="C621">IFERROR(_xlfn.LET(
_xlpm.CSVVal,_xlfn.XLOOKUP($A621,CSV!$A:$A,CSV!B:B,""),
_xlpm.MacVal,_xlfn.XLOOKUP($A621,Output_Mac!$A:$A,Output_Mac!B:B,""),
_xlpm.MyAuditVal,_xlfn.XLOOKUP($A621,My_Audit!$A:$A,My_Audit!B:B,""),
_xlfn.IFS(_xlpm.MyAuditVal&lt;&gt;"",UPPER(_xlpm.MyAuditVal),_xlpm.MacVal&lt;&gt;"",_xlpm.MacVal,_xlpm.CSVVal&lt;&gt;"",_xlpm.CSVVal
)),"")</f>
        <v/>
      </c>
      <c r="D621" s="55" t="str">
        <f>_xlfn.XLOOKUP(A621,My_Audit!A:A,My_Audit!D:D,"")&amp;""</f>
        <v/>
      </c>
      <c r="E621" s="55" t="str" cm="1">
        <f t="array" ref="E621">IFERROR(_xlfn.LET(
_xlpm.CSVVal,_xlfn.XLOOKUP($A621,CSV!$A:$A,CSV!D:D,""),
_xlpm.MacVal,_xlfn.XLOOKUP($A621,Output_Mac!$A:$A,Output_Mac!C:C,""),
_xlpm.MyAuditVal,_xlfn.XLOOKUP($A621,My_Audit!$A:$A,My_Audit!D:D,""),
_xlfn.IFS(_xlpm.MyAuditVal&lt;&gt;"",_xlpm.MyAuditVal,_xlpm.MacVal&lt;&gt;"",_xlpm.MacVal,_xlpm.CSVVal&lt;&gt;"",_xlpm.CSVVal
)),"")</f>
        <v/>
      </c>
      <c r="F621" s="54" t="str" cm="1">
        <f t="array" ref="F621">IFERROR(_xlfn.LET(
_xlpm.CSVVal,_xlfn.XLOOKUP($A621,CSV!$A:$A,CSV!E:E,""),
_xlpm.MacVal,_xlfn.XLOOKUP($A621,Output_Mac!$A:$A,Output_Mac!F:F,""),
_xlpm.MyAuditVal,_xlfn.XLOOKUP($A621,My_Audit!$A:$A,My_Audit!E:E,""),
_xlfn.IFS(_xlpm.MyAuditVal&lt;&gt;"",_xlpm.MyAuditVal,_xlpm.MacVal&lt;&gt;"",_xlpm.MacVal,_xlpm.CSVVal&lt;&gt;"",PROPER(_xlpm.CSVVal)
)),"")</f>
        <v/>
      </c>
      <c r="G621" s="54" t="str" cm="1">
        <f t="array" ref="G621">IFERROR(_xlfn.LET(
_xlpm.CSVVal,_xlfn.XLOOKUP($A621,CSV!$A:$A,CSV!F:F,""),
_xlpm.MacVal,_xlfn.XLOOKUP($A621,Output_Mac!$A:$A,Output_Mac!H:H,""),
_xlpm.MyAuditVal,_xlfn.XLOOKUP($A621,My_Audit!$A:$A,My_Audit!F:F,""),
_xlfn.IFS(_xlpm.MyAuditVal&lt;&gt;"",_xlpm.MyAuditVal,_xlpm.MacVal&lt;&gt;"",_xlpm.MacVal,_xlpm.CSVVal&lt;&gt;"",_xlpm.CSVVal
)),"")</f>
        <v/>
      </c>
      <c r="H621" s="54" t="str">
        <f>_xlfn.XLOOKUP(A621,Output_Mac!A:A,Output_Mac!I:I,"")</f>
        <v/>
      </c>
      <c r="I621" s="54" t="str" cm="1">
        <f t="array" ref="I621">IFERROR(_xlfn.LET(
_xlpm.CSVVal,_xlfn.XLOOKUP($A621,CSV!$A:$A,CSV!G:G,""),
_xlpm.MacVal,_xlfn.XLOOKUP($A621,Output_Mac!$A:$A,Output_Mac!J:J,""),
_xlpm.MyAuditVal,_xlfn.XLOOKUP($A621,My_Audit!$A:$A,My_Audit!H:H,""),
_xlfn.IFS(_xlpm.MyAuditVal&lt;&gt;"",UPPER(_xlpm.MyAuditVal),_xlpm.MacVal&lt;&gt;"",_xlpm.MacVal,_xlpm.CSVVal&lt;&gt;"",_xlpm.CSVVal
)),"")</f>
        <v/>
      </c>
      <c r="J621" s="54" t="str" cm="1">
        <f t="array" ref="J621">IFERROR(_xlfn.LET(
_xlpm.CSVVal,_xlfn.XLOOKUP($A621,CSV!$A:$A,CSV!I:I,""),
_xlpm.MacVal,_xlfn.XLOOKUP($A621,Output_Mac!$A:$A,Output_Mac!K:K,""),
_xlpm.MyAuditVal,_xlfn.XLOOKUP($A621,My_Audit!$A:$A,My_Audit!I:I,""),
_xlfn.IFS(_xlpm.MyAuditVal&lt;&gt;"",UPPER(_xlpm.MyAuditVal),_xlpm.MacVal&lt;&gt;"",_xlpm.MacVal,_xlpm.CSVVal&lt;&gt;"",_xlpm.CSVVal
)),"")</f>
        <v/>
      </c>
      <c r="K621" s="54" t="str" cm="1">
        <f t="array" ref="K621">IFERROR(_xlfn.LET(
_xlpm.CSVVal,_xlfn.XLOOKUP($A621,CSV!$A:$A,CSV!M:M,""),
_xlpm.MacVal,_xlfn.XLOOKUP($A621,Output_Mac!$A:$A,Output_Mac!L:L,""),
_xlpm.MyAuditVal,_xlfn.XLOOKUP($A621,My_Audit!$A:$A,My_Audit!J:J,""),
_xlfn.IFS(_xlpm.MyAuditVal&lt;&gt;"",UPPER(_xlpm.MyAuditVal),_xlpm.MacVal&lt;&gt;"",_xlpm.MacVal,_xlpm.CSVVal&lt;&gt;"",_xlpm.CSVVal
)),"")</f>
        <v/>
      </c>
      <c r="L621" s="54" t="str" cm="1">
        <f t="array" ref="L621">IFERROR(_xlfn.LET(
_xlpm.CSVVal,_xlfn.XLOOKUP($A621,CSV!$A:$A,CSV!O:O,""),
_xlpm.MacVal,_xlfn.XLOOKUP($A621,Output_Mac!$A:$A,Output_Mac!M:M,""),
_xlpm.MyAuditVal,_xlfn.XLOOKUP($A621,My_Audit!$A:$A,My_Audit!K:K,""),
_xlfn.IFS(_xlpm.MyAuditVal&lt;&gt;"",UPPER(_xlpm.MyAuditVal),_xlpm.MacVal&lt;&gt;"",_xlpm.MacVal,_xlpm.CSVVal&lt;&gt;"",_xlpm.CSVVal
)),"")</f>
        <v/>
      </c>
      <c r="M621" s="54" t="str">
        <f>_xlfn.LET(
    _xlpm.CSVVal, _xlfn.XLOOKUP($A621, CSV!$A:$A, CSV!AD:AD, ""),
    _xlpm.MacVal, _xlfn.XLOOKUP($A621, Output_Mac!$A:$A, Output_Mac!S:S, ""),
    _xlpm.MyAuditVal, _xlfn.XLOOKUP($A621, My_Audit!$A:$A, My_Audit!N:N, ""),
    _xlfn.TEXTJOIN(", ", TRUE, _xlpm.MyAuditVal, _xlpm.MacVal, _xlpm.CSVVal)
)</f>
        <v/>
      </c>
      <c r="N621" s="54" t="str" cm="1">
        <f t="array" ref="N621">IFERROR(_xlfn.LET(
_xlpm.CSVVal,_xlfn.XLOOKUP($A621,CSV!$A:$A,CSV!AF:AF,""),
_xlpm.MacVal,_xlfn.XLOOKUP($A621,Output_Mac!$A:$A,Output_Mac!U:U,""),
_xlpm.MyAuditVal,_xlfn.XLOOKUP($A621,My_Audit!$A:$A,My_Audit!O:O,""),
_xlfn.IFS(_xlpm.MyAuditVal&lt;&gt;"",UPPER(_xlpm.MyAuditVal),_xlpm.MacVal&lt;&gt;"",_xlpm.MacVal,_xlpm.CSVVal&lt;&gt;"",_xlpm.CSVVal
)),"")</f>
        <v/>
      </c>
      <c r="O621" s="54"/>
      <c r="P621" s="54"/>
      <c r="Q621" s="54"/>
      <c r="R621" s="54"/>
      <c r="S621" s="54"/>
      <c r="T621" s="54"/>
      <c r="U621" s="39"/>
    </row>
    <row r="622" spans="1:21">
      <c r="A622" s="54" t="str">
        <f>_xlfn.TEXTJOIN("",TRUE,Input!$B$2,ROW(My_Audit!A621))</f>
        <v>XX621</v>
      </c>
      <c r="B622" s="54" t="str">
        <f>_xlfn.TEXTJOIN("-",TRUE,"ITD",Input!$A$2,A622)</f>
        <v>ITD-SHRXXX-XX621</v>
      </c>
      <c r="C622" s="54" t="str" cm="1">
        <f t="array" ref="C622">IFERROR(_xlfn.LET(
_xlpm.CSVVal,_xlfn.XLOOKUP($A622,CSV!$A:$A,CSV!B:B,""),
_xlpm.MacVal,_xlfn.XLOOKUP($A622,Output_Mac!$A:$A,Output_Mac!B:B,""),
_xlpm.MyAuditVal,_xlfn.XLOOKUP($A622,My_Audit!$A:$A,My_Audit!B:B,""),
_xlfn.IFS(_xlpm.MyAuditVal&lt;&gt;"",UPPER(_xlpm.MyAuditVal),_xlpm.MacVal&lt;&gt;"",_xlpm.MacVal,_xlpm.CSVVal&lt;&gt;"",_xlpm.CSVVal
)),"")</f>
        <v/>
      </c>
      <c r="D622" s="55" t="str">
        <f>_xlfn.XLOOKUP(A622,My_Audit!A:A,My_Audit!D:D,"")&amp;""</f>
        <v/>
      </c>
      <c r="E622" s="55" t="str" cm="1">
        <f t="array" ref="E622">IFERROR(_xlfn.LET(
_xlpm.CSVVal,_xlfn.XLOOKUP($A622,CSV!$A:$A,CSV!D:D,""),
_xlpm.MacVal,_xlfn.XLOOKUP($A622,Output_Mac!$A:$A,Output_Mac!C:C,""),
_xlpm.MyAuditVal,_xlfn.XLOOKUP($A622,My_Audit!$A:$A,My_Audit!D:D,""),
_xlfn.IFS(_xlpm.MyAuditVal&lt;&gt;"",_xlpm.MyAuditVal,_xlpm.MacVal&lt;&gt;"",_xlpm.MacVal,_xlpm.CSVVal&lt;&gt;"",_xlpm.CSVVal
)),"")</f>
        <v/>
      </c>
      <c r="F622" s="54" t="str" cm="1">
        <f t="array" ref="F622">IFERROR(_xlfn.LET(
_xlpm.CSVVal,_xlfn.XLOOKUP($A622,CSV!$A:$A,CSV!E:E,""),
_xlpm.MacVal,_xlfn.XLOOKUP($A622,Output_Mac!$A:$A,Output_Mac!F:F,""),
_xlpm.MyAuditVal,_xlfn.XLOOKUP($A622,My_Audit!$A:$A,My_Audit!E:E,""),
_xlfn.IFS(_xlpm.MyAuditVal&lt;&gt;"",_xlpm.MyAuditVal,_xlpm.MacVal&lt;&gt;"",_xlpm.MacVal,_xlpm.CSVVal&lt;&gt;"",PROPER(_xlpm.CSVVal)
)),"")</f>
        <v/>
      </c>
      <c r="G622" s="54" t="str" cm="1">
        <f t="array" ref="G622">IFERROR(_xlfn.LET(
_xlpm.CSVVal,_xlfn.XLOOKUP($A622,CSV!$A:$A,CSV!F:F,""),
_xlpm.MacVal,_xlfn.XLOOKUP($A622,Output_Mac!$A:$A,Output_Mac!H:H,""),
_xlpm.MyAuditVal,_xlfn.XLOOKUP($A622,My_Audit!$A:$A,My_Audit!F:F,""),
_xlfn.IFS(_xlpm.MyAuditVal&lt;&gt;"",_xlpm.MyAuditVal,_xlpm.MacVal&lt;&gt;"",_xlpm.MacVal,_xlpm.CSVVal&lt;&gt;"",_xlpm.CSVVal
)),"")</f>
        <v/>
      </c>
      <c r="H622" s="54" t="str">
        <f>_xlfn.XLOOKUP(A622,Output_Mac!A:A,Output_Mac!I:I,"")</f>
        <v/>
      </c>
      <c r="I622" s="54" t="str" cm="1">
        <f t="array" ref="I622">IFERROR(_xlfn.LET(
_xlpm.CSVVal,_xlfn.XLOOKUP($A622,CSV!$A:$A,CSV!G:G,""),
_xlpm.MacVal,_xlfn.XLOOKUP($A622,Output_Mac!$A:$A,Output_Mac!J:J,""),
_xlpm.MyAuditVal,_xlfn.XLOOKUP($A622,My_Audit!$A:$A,My_Audit!H:H,""),
_xlfn.IFS(_xlpm.MyAuditVal&lt;&gt;"",UPPER(_xlpm.MyAuditVal),_xlpm.MacVal&lt;&gt;"",_xlpm.MacVal,_xlpm.CSVVal&lt;&gt;"",_xlpm.CSVVal
)),"")</f>
        <v/>
      </c>
      <c r="J622" s="54" t="str" cm="1">
        <f t="array" ref="J622">IFERROR(_xlfn.LET(
_xlpm.CSVVal,_xlfn.XLOOKUP($A622,CSV!$A:$A,CSV!I:I,""),
_xlpm.MacVal,_xlfn.XLOOKUP($A622,Output_Mac!$A:$A,Output_Mac!K:K,""),
_xlpm.MyAuditVal,_xlfn.XLOOKUP($A622,My_Audit!$A:$A,My_Audit!I:I,""),
_xlfn.IFS(_xlpm.MyAuditVal&lt;&gt;"",UPPER(_xlpm.MyAuditVal),_xlpm.MacVal&lt;&gt;"",_xlpm.MacVal,_xlpm.CSVVal&lt;&gt;"",_xlpm.CSVVal
)),"")</f>
        <v/>
      </c>
      <c r="K622" s="54" t="str" cm="1">
        <f t="array" ref="K622">IFERROR(_xlfn.LET(
_xlpm.CSVVal,_xlfn.XLOOKUP($A622,CSV!$A:$A,CSV!M:M,""),
_xlpm.MacVal,_xlfn.XLOOKUP($A622,Output_Mac!$A:$A,Output_Mac!L:L,""),
_xlpm.MyAuditVal,_xlfn.XLOOKUP($A622,My_Audit!$A:$A,My_Audit!J:J,""),
_xlfn.IFS(_xlpm.MyAuditVal&lt;&gt;"",UPPER(_xlpm.MyAuditVal),_xlpm.MacVal&lt;&gt;"",_xlpm.MacVal,_xlpm.CSVVal&lt;&gt;"",_xlpm.CSVVal
)),"")</f>
        <v/>
      </c>
      <c r="L622" s="54" t="str" cm="1">
        <f t="array" ref="L622">IFERROR(_xlfn.LET(
_xlpm.CSVVal,_xlfn.XLOOKUP($A622,CSV!$A:$A,CSV!O:O,""),
_xlpm.MacVal,_xlfn.XLOOKUP($A622,Output_Mac!$A:$A,Output_Mac!M:M,""),
_xlpm.MyAuditVal,_xlfn.XLOOKUP($A622,My_Audit!$A:$A,My_Audit!K:K,""),
_xlfn.IFS(_xlpm.MyAuditVal&lt;&gt;"",UPPER(_xlpm.MyAuditVal),_xlpm.MacVal&lt;&gt;"",_xlpm.MacVal,_xlpm.CSVVal&lt;&gt;"",_xlpm.CSVVal
)),"")</f>
        <v/>
      </c>
      <c r="M622" s="54" t="str">
        <f>_xlfn.LET(
    _xlpm.CSVVal, _xlfn.XLOOKUP($A622, CSV!$A:$A, CSV!AD:AD, ""),
    _xlpm.MacVal, _xlfn.XLOOKUP($A622, Output_Mac!$A:$A, Output_Mac!S:S, ""),
    _xlpm.MyAuditVal, _xlfn.XLOOKUP($A622, My_Audit!$A:$A, My_Audit!N:N, ""),
    _xlfn.TEXTJOIN(", ", TRUE, _xlpm.MyAuditVal, _xlpm.MacVal, _xlpm.CSVVal)
)</f>
        <v/>
      </c>
      <c r="N622" s="54" t="str" cm="1">
        <f t="array" ref="N622">IFERROR(_xlfn.LET(
_xlpm.CSVVal,_xlfn.XLOOKUP($A622,CSV!$A:$A,CSV!AF:AF,""),
_xlpm.MacVal,_xlfn.XLOOKUP($A622,Output_Mac!$A:$A,Output_Mac!U:U,""),
_xlpm.MyAuditVal,_xlfn.XLOOKUP($A622,My_Audit!$A:$A,My_Audit!O:O,""),
_xlfn.IFS(_xlpm.MyAuditVal&lt;&gt;"",UPPER(_xlpm.MyAuditVal),_xlpm.MacVal&lt;&gt;"",_xlpm.MacVal,_xlpm.CSVVal&lt;&gt;"",_xlpm.CSVVal
)),"")</f>
        <v/>
      </c>
      <c r="O622" s="54"/>
      <c r="P622" s="54"/>
      <c r="Q622" s="54"/>
      <c r="R622" s="54"/>
      <c r="S622" s="54"/>
      <c r="T622" s="54"/>
      <c r="U622" s="39"/>
    </row>
    <row r="623" spans="1:21">
      <c r="A623" s="54" t="str">
        <f>_xlfn.TEXTJOIN("",TRUE,Input!$B$2,ROW(My_Audit!A622))</f>
        <v>XX622</v>
      </c>
      <c r="B623" s="54" t="str">
        <f>_xlfn.TEXTJOIN("-",TRUE,"ITD",Input!$A$2,A623)</f>
        <v>ITD-SHRXXX-XX622</v>
      </c>
      <c r="C623" s="54" t="str" cm="1">
        <f t="array" ref="C623">IFERROR(_xlfn.LET(
_xlpm.CSVVal,_xlfn.XLOOKUP($A623,CSV!$A:$A,CSV!B:B,""),
_xlpm.MacVal,_xlfn.XLOOKUP($A623,Output_Mac!$A:$A,Output_Mac!B:B,""),
_xlpm.MyAuditVal,_xlfn.XLOOKUP($A623,My_Audit!$A:$A,My_Audit!B:B,""),
_xlfn.IFS(_xlpm.MyAuditVal&lt;&gt;"",UPPER(_xlpm.MyAuditVal),_xlpm.MacVal&lt;&gt;"",_xlpm.MacVal,_xlpm.CSVVal&lt;&gt;"",_xlpm.CSVVal
)),"")</f>
        <v/>
      </c>
      <c r="D623" s="55" t="str">
        <f>_xlfn.XLOOKUP(A623,My_Audit!A:A,My_Audit!D:D,"")&amp;""</f>
        <v/>
      </c>
      <c r="E623" s="55" t="str" cm="1">
        <f t="array" ref="E623">IFERROR(_xlfn.LET(
_xlpm.CSVVal,_xlfn.XLOOKUP($A623,CSV!$A:$A,CSV!D:D,""),
_xlpm.MacVal,_xlfn.XLOOKUP($A623,Output_Mac!$A:$A,Output_Mac!C:C,""),
_xlpm.MyAuditVal,_xlfn.XLOOKUP($A623,My_Audit!$A:$A,My_Audit!D:D,""),
_xlfn.IFS(_xlpm.MyAuditVal&lt;&gt;"",_xlpm.MyAuditVal,_xlpm.MacVal&lt;&gt;"",_xlpm.MacVal,_xlpm.CSVVal&lt;&gt;"",_xlpm.CSVVal
)),"")</f>
        <v/>
      </c>
      <c r="F623" s="54" t="str" cm="1">
        <f t="array" ref="F623">IFERROR(_xlfn.LET(
_xlpm.CSVVal,_xlfn.XLOOKUP($A623,CSV!$A:$A,CSV!E:E,""),
_xlpm.MacVal,_xlfn.XLOOKUP($A623,Output_Mac!$A:$A,Output_Mac!F:F,""),
_xlpm.MyAuditVal,_xlfn.XLOOKUP($A623,My_Audit!$A:$A,My_Audit!E:E,""),
_xlfn.IFS(_xlpm.MyAuditVal&lt;&gt;"",_xlpm.MyAuditVal,_xlpm.MacVal&lt;&gt;"",_xlpm.MacVal,_xlpm.CSVVal&lt;&gt;"",PROPER(_xlpm.CSVVal)
)),"")</f>
        <v/>
      </c>
      <c r="G623" s="54" t="str" cm="1">
        <f t="array" ref="G623">IFERROR(_xlfn.LET(
_xlpm.CSVVal,_xlfn.XLOOKUP($A623,CSV!$A:$A,CSV!F:F,""),
_xlpm.MacVal,_xlfn.XLOOKUP($A623,Output_Mac!$A:$A,Output_Mac!H:H,""),
_xlpm.MyAuditVal,_xlfn.XLOOKUP($A623,My_Audit!$A:$A,My_Audit!F:F,""),
_xlfn.IFS(_xlpm.MyAuditVal&lt;&gt;"",_xlpm.MyAuditVal,_xlpm.MacVal&lt;&gt;"",_xlpm.MacVal,_xlpm.CSVVal&lt;&gt;"",_xlpm.CSVVal
)),"")</f>
        <v/>
      </c>
      <c r="H623" s="54" t="str">
        <f>_xlfn.XLOOKUP(A623,Output_Mac!A:A,Output_Mac!I:I,"")</f>
        <v/>
      </c>
      <c r="I623" s="54" t="str" cm="1">
        <f t="array" ref="I623">IFERROR(_xlfn.LET(
_xlpm.CSVVal,_xlfn.XLOOKUP($A623,CSV!$A:$A,CSV!G:G,""),
_xlpm.MacVal,_xlfn.XLOOKUP($A623,Output_Mac!$A:$A,Output_Mac!J:J,""),
_xlpm.MyAuditVal,_xlfn.XLOOKUP($A623,My_Audit!$A:$A,My_Audit!H:H,""),
_xlfn.IFS(_xlpm.MyAuditVal&lt;&gt;"",UPPER(_xlpm.MyAuditVal),_xlpm.MacVal&lt;&gt;"",_xlpm.MacVal,_xlpm.CSVVal&lt;&gt;"",_xlpm.CSVVal
)),"")</f>
        <v/>
      </c>
      <c r="J623" s="54" t="str" cm="1">
        <f t="array" ref="J623">IFERROR(_xlfn.LET(
_xlpm.CSVVal,_xlfn.XLOOKUP($A623,CSV!$A:$A,CSV!I:I,""),
_xlpm.MacVal,_xlfn.XLOOKUP($A623,Output_Mac!$A:$A,Output_Mac!K:K,""),
_xlpm.MyAuditVal,_xlfn.XLOOKUP($A623,My_Audit!$A:$A,My_Audit!I:I,""),
_xlfn.IFS(_xlpm.MyAuditVal&lt;&gt;"",UPPER(_xlpm.MyAuditVal),_xlpm.MacVal&lt;&gt;"",_xlpm.MacVal,_xlpm.CSVVal&lt;&gt;"",_xlpm.CSVVal
)),"")</f>
        <v/>
      </c>
      <c r="K623" s="54" t="str" cm="1">
        <f t="array" ref="K623">IFERROR(_xlfn.LET(
_xlpm.CSVVal,_xlfn.XLOOKUP($A623,CSV!$A:$A,CSV!M:M,""),
_xlpm.MacVal,_xlfn.XLOOKUP($A623,Output_Mac!$A:$A,Output_Mac!L:L,""),
_xlpm.MyAuditVal,_xlfn.XLOOKUP($A623,My_Audit!$A:$A,My_Audit!J:J,""),
_xlfn.IFS(_xlpm.MyAuditVal&lt;&gt;"",UPPER(_xlpm.MyAuditVal),_xlpm.MacVal&lt;&gt;"",_xlpm.MacVal,_xlpm.CSVVal&lt;&gt;"",_xlpm.CSVVal
)),"")</f>
        <v/>
      </c>
      <c r="L623" s="54" t="str" cm="1">
        <f t="array" ref="L623">IFERROR(_xlfn.LET(
_xlpm.CSVVal,_xlfn.XLOOKUP($A623,CSV!$A:$A,CSV!O:O,""),
_xlpm.MacVal,_xlfn.XLOOKUP($A623,Output_Mac!$A:$A,Output_Mac!M:M,""),
_xlpm.MyAuditVal,_xlfn.XLOOKUP($A623,My_Audit!$A:$A,My_Audit!K:K,""),
_xlfn.IFS(_xlpm.MyAuditVal&lt;&gt;"",UPPER(_xlpm.MyAuditVal),_xlpm.MacVal&lt;&gt;"",_xlpm.MacVal,_xlpm.CSVVal&lt;&gt;"",_xlpm.CSVVal
)),"")</f>
        <v/>
      </c>
      <c r="M623" s="54" t="str">
        <f>_xlfn.LET(
    _xlpm.CSVVal, _xlfn.XLOOKUP($A623, CSV!$A:$A, CSV!AD:AD, ""),
    _xlpm.MacVal, _xlfn.XLOOKUP($A623, Output_Mac!$A:$A, Output_Mac!S:S, ""),
    _xlpm.MyAuditVal, _xlfn.XLOOKUP($A623, My_Audit!$A:$A, My_Audit!N:N, ""),
    _xlfn.TEXTJOIN(", ", TRUE, _xlpm.MyAuditVal, _xlpm.MacVal, _xlpm.CSVVal)
)</f>
        <v/>
      </c>
      <c r="N623" s="54" t="str" cm="1">
        <f t="array" ref="N623">IFERROR(_xlfn.LET(
_xlpm.CSVVal,_xlfn.XLOOKUP($A623,CSV!$A:$A,CSV!AF:AF,""),
_xlpm.MacVal,_xlfn.XLOOKUP($A623,Output_Mac!$A:$A,Output_Mac!U:U,""),
_xlpm.MyAuditVal,_xlfn.XLOOKUP($A623,My_Audit!$A:$A,My_Audit!O:O,""),
_xlfn.IFS(_xlpm.MyAuditVal&lt;&gt;"",UPPER(_xlpm.MyAuditVal),_xlpm.MacVal&lt;&gt;"",_xlpm.MacVal,_xlpm.CSVVal&lt;&gt;"",_xlpm.CSVVal
)),"")</f>
        <v/>
      </c>
      <c r="O623" s="54"/>
      <c r="P623" s="54"/>
      <c r="Q623" s="54"/>
      <c r="R623" s="54"/>
      <c r="S623" s="54"/>
      <c r="T623" s="54"/>
      <c r="U623" s="39"/>
    </row>
    <row r="624" spans="1:21">
      <c r="A624" s="54" t="str">
        <f>_xlfn.TEXTJOIN("",TRUE,Input!$B$2,ROW(My_Audit!A623))</f>
        <v>XX623</v>
      </c>
      <c r="B624" s="54" t="str">
        <f>_xlfn.TEXTJOIN("-",TRUE,"ITD",Input!$A$2,A624)</f>
        <v>ITD-SHRXXX-XX623</v>
      </c>
      <c r="C624" s="54" t="str" cm="1">
        <f t="array" ref="C624">IFERROR(_xlfn.LET(
_xlpm.CSVVal,_xlfn.XLOOKUP($A624,CSV!$A:$A,CSV!B:B,""),
_xlpm.MacVal,_xlfn.XLOOKUP($A624,Output_Mac!$A:$A,Output_Mac!B:B,""),
_xlpm.MyAuditVal,_xlfn.XLOOKUP($A624,My_Audit!$A:$A,My_Audit!B:B,""),
_xlfn.IFS(_xlpm.MyAuditVal&lt;&gt;"",UPPER(_xlpm.MyAuditVal),_xlpm.MacVal&lt;&gt;"",_xlpm.MacVal,_xlpm.CSVVal&lt;&gt;"",_xlpm.CSVVal
)),"")</f>
        <v/>
      </c>
      <c r="D624" s="55" t="str">
        <f>_xlfn.XLOOKUP(A624,My_Audit!A:A,My_Audit!D:D,"")&amp;""</f>
        <v/>
      </c>
      <c r="E624" s="55" t="str" cm="1">
        <f t="array" ref="E624">IFERROR(_xlfn.LET(
_xlpm.CSVVal,_xlfn.XLOOKUP($A624,CSV!$A:$A,CSV!D:D,""),
_xlpm.MacVal,_xlfn.XLOOKUP($A624,Output_Mac!$A:$A,Output_Mac!C:C,""),
_xlpm.MyAuditVal,_xlfn.XLOOKUP($A624,My_Audit!$A:$A,My_Audit!D:D,""),
_xlfn.IFS(_xlpm.MyAuditVal&lt;&gt;"",_xlpm.MyAuditVal,_xlpm.MacVal&lt;&gt;"",_xlpm.MacVal,_xlpm.CSVVal&lt;&gt;"",_xlpm.CSVVal
)),"")</f>
        <v/>
      </c>
      <c r="F624" s="54" t="str" cm="1">
        <f t="array" ref="F624">IFERROR(_xlfn.LET(
_xlpm.CSVVal,_xlfn.XLOOKUP($A624,CSV!$A:$A,CSV!E:E,""),
_xlpm.MacVal,_xlfn.XLOOKUP($A624,Output_Mac!$A:$A,Output_Mac!F:F,""),
_xlpm.MyAuditVal,_xlfn.XLOOKUP($A624,My_Audit!$A:$A,My_Audit!E:E,""),
_xlfn.IFS(_xlpm.MyAuditVal&lt;&gt;"",_xlpm.MyAuditVal,_xlpm.MacVal&lt;&gt;"",_xlpm.MacVal,_xlpm.CSVVal&lt;&gt;"",PROPER(_xlpm.CSVVal)
)),"")</f>
        <v/>
      </c>
      <c r="G624" s="54" t="str" cm="1">
        <f t="array" ref="G624">IFERROR(_xlfn.LET(
_xlpm.CSVVal,_xlfn.XLOOKUP($A624,CSV!$A:$A,CSV!F:F,""),
_xlpm.MacVal,_xlfn.XLOOKUP($A624,Output_Mac!$A:$A,Output_Mac!H:H,""),
_xlpm.MyAuditVal,_xlfn.XLOOKUP($A624,My_Audit!$A:$A,My_Audit!F:F,""),
_xlfn.IFS(_xlpm.MyAuditVal&lt;&gt;"",_xlpm.MyAuditVal,_xlpm.MacVal&lt;&gt;"",_xlpm.MacVal,_xlpm.CSVVal&lt;&gt;"",_xlpm.CSVVal
)),"")</f>
        <v/>
      </c>
      <c r="H624" s="54" t="str">
        <f>_xlfn.XLOOKUP(A624,Output_Mac!A:A,Output_Mac!I:I,"")</f>
        <v/>
      </c>
      <c r="I624" s="54" t="str" cm="1">
        <f t="array" ref="I624">IFERROR(_xlfn.LET(
_xlpm.CSVVal,_xlfn.XLOOKUP($A624,CSV!$A:$A,CSV!G:G,""),
_xlpm.MacVal,_xlfn.XLOOKUP($A624,Output_Mac!$A:$A,Output_Mac!J:J,""),
_xlpm.MyAuditVal,_xlfn.XLOOKUP($A624,My_Audit!$A:$A,My_Audit!H:H,""),
_xlfn.IFS(_xlpm.MyAuditVal&lt;&gt;"",UPPER(_xlpm.MyAuditVal),_xlpm.MacVal&lt;&gt;"",_xlpm.MacVal,_xlpm.CSVVal&lt;&gt;"",_xlpm.CSVVal
)),"")</f>
        <v/>
      </c>
      <c r="J624" s="54" t="str" cm="1">
        <f t="array" ref="J624">IFERROR(_xlfn.LET(
_xlpm.CSVVal,_xlfn.XLOOKUP($A624,CSV!$A:$A,CSV!I:I,""),
_xlpm.MacVal,_xlfn.XLOOKUP($A624,Output_Mac!$A:$A,Output_Mac!K:K,""),
_xlpm.MyAuditVal,_xlfn.XLOOKUP($A624,My_Audit!$A:$A,My_Audit!I:I,""),
_xlfn.IFS(_xlpm.MyAuditVal&lt;&gt;"",UPPER(_xlpm.MyAuditVal),_xlpm.MacVal&lt;&gt;"",_xlpm.MacVal,_xlpm.CSVVal&lt;&gt;"",_xlpm.CSVVal
)),"")</f>
        <v/>
      </c>
      <c r="K624" s="54" t="str" cm="1">
        <f t="array" ref="K624">IFERROR(_xlfn.LET(
_xlpm.CSVVal,_xlfn.XLOOKUP($A624,CSV!$A:$A,CSV!M:M,""),
_xlpm.MacVal,_xlfn.XLOOKUP($A624,Output_Mac!$A:$A,Output_Mac!L:L,""),
_xlpm.MyAuditVal,_xlfn.XLOOKUP($A624,My_Audit!$A:$A,My_Audit!J:J,""),
_xlfn.IFS(_xlpm.MyAuditVal&lt;&gt;"",UPPER(_xlpm.MyAuditVal),_xlpm.MacVal&lt;&gt;"",_xlpm.MacVal,_xlpm.CSVVal&lt;&gt;"",_xlpm.CSVVal
)),"")</f>
        <v/>
      </c>
      <c r="L624" s="54" t="str" cm="1">
        <f t="array" ref="L624">IFERROR(_xlfn.LET(
_xlpm.CSVVal,_xlfn.XLOOKUP($A624,CSV!$A:$A,CSV!O:O,""),
_xlpm.MacVal,_xlfn.XLOOKUP($A624,Output_Mac!$A:$A,Output_Mac!M:M,""),
_xlpm.MyAuditVal,_xlfn.XLOOKUP($A624,My_Audit!$A:$A,My_Audit!K:K,""),
_xlfn.IFS(_xlpm.MyAuditVal&lt;&gt;"",UPPER(_xlpm.MyAuditVal),_xlpm.MacVal&lt;&gt;"",_xlpm.MacVal,_xlpm.CSVVal&lt;&gt;"",_xlpm.CSVVal
)),"")</f>
        <v/>
      </c>
      <c r="M624" s="54" t="str">
        <f>_xlfn.LET(
    _xlpm.CSVVal, _xlfn.XLOOKUP($A624, CSV!$A:$A, CSV!AD:AD, ""),
    _xlpm.MacVal, _xlfn.XLOOKUP($A624, Output_Mac!$A:$A, Output_Mac!S:S, ""),
    _xlpm.MyAuditVal, _xlfn.XLOOKUP($A624, My_Audit!$A:$A, My_Audit!N:N, ""),
    _xlfn.TEXTJOIN(", ", TRUE, _xlpm.MyAuditVal, _xlpm.MacVal, _xlpm.CSVVal)
)</f>
        <v/>
      </c>
      <c r="N624" s="54" t="str" cm="1">
        <f t="array" ref="N624">IFERROR(_xlfn.LET(
_xlpm.CSVVal,_xlfn.XLOOKUP($A624,CSV!$A:$A,CSV!AF:AF,""),
_xlpm.MacVal,_xlfn.XLOOKUP($A624,Output_Mac!$A:$A,Output_Mac!U:U,""),
_xlpm.MyAuditVal,_xlfn.XLOOKUP($A624,My_Audit!$A:$A,My_Audit!O:O,""),
_xlfn.IFS(_xlpm.MyAuditVal&lt;&gt;"",UPPER(_xlpm.MyAuditVal),_xlpm.MacVal&lt;&gt;"",_xlpm.MacVal,_xlpm.CSVVal&lt;&gt;"",_xlpm.CSVVal
)),"")</f>
        <v/>
      </c>
      <c r="O624" s="54"/>
      <c r="P624" s="54"/>
      <c r="Q624" s="54"/>
      <c r="R624" s="54"/>
      <c r="S624" s="54"/>
      <c r="T624" s="54"/>
      <c r="U624" s="39"/>
    </row>
    <row r="625" spans="1:21">
      <c r="A625" s="54" t="str">
        <f>_xlfn.TEXTJOIN("",TRUE,Input!$B$2,ROW(My_Audit!A624))</f>
        <v>XX624</v>
      </c>
      <c r="B625" s="54" t="str">
        <f>_xlfn.TEXTJOIN("-",TRUE,"ITD",Input!$A$2,A625)</f>
        <v>ITD-SHRXXX-XX624</v>
      </c>
      <c r="C625" s="54" t="str" cm="1">
        <f t="array" ref="C625">IFERROR(_xlfn.LET(
_xlpm.CSVVal,_xlfn.XLOOKUP($A625,CSV!$A:$A,CSV!B:B,""),
_xlpm.MacVal,_xlfn.XLOOKUP($A625,Output_Mac!$A:$A,Output_Mac!B:B,""),
_xlpm.MyAuditVal,_xlfn.XLOOKUP($A625,My_Audit!$A:$A,My_Audit!B:B,""),
_xlfn.IFS(_xlpm.MyAuditVal&lt;&gt;"",UPPER(_xlpm.MyAuditVal),_xlpm.MacVal&lt;&gt;"",_xlpm.MacVal,_xlpm.CSVVal&lt;&gt;"",_xlpm.CSVVal
)),"")</f>
        <v/>
      </c>
      <c r="D625" s="55" t="str">
        <f>_xlfn.XLOOKUP(A625,My_Audit!A:A,My_Audit!D:D,"")&amp;""</f>
        <v/>
      </c>
      <c r="E625" s="55" t="str" cm="1">
        <f t="array" ref="E625">IFERROR(_xlfn.LET(
_xlpm.CSVVal,_xlfn.XLOOKUP($A625,CSV!$A:$A,CSV!D:D,""),
_xlpm.MacVal,_xlfn.XLOOKUP($A625,Output_Mac!$A:$A,Output_Mac!C:C,""),
_xlpm.MyAuditVal,_xlfn.XLOOKUP($A625,My_Audit!$A:$A,My_Audit!D:D,""),
_xlfn.IFS(_xlpm.MyAuditVal&lt;&gt;"",_xlpm.MyAuditVal,_xlpm.MacVal&lt;&gt;"",_xlpm.MacVal,_xlpm.CSVVal&lt;&gt;"",_xlpm.CSVVal
)),"")</f>
        <v/>
      </c>
      <c r="F625" s="54" t="str" cm="1">
        <f t="array" ref="F625">IFERROR(_xlfn.LET(
_xlpm.CSVVal,_xlfn.XLOOKUP($A625,CSV!$A:$A,CSV!E:E,""),
_xlpm.MacVal,_xlfn.XLOOKUP($A625,Output_Mac!$A:$A,Output_Mac!F:F,""),
_xlpm.MyAuditVal,_xlfn.XLOOKUP($A625,My_Audit!$A:$A,My_Audit!E:E,""),
_xlfn.IFS(_xlpm.MyAuditVal&lt;&gt;"",_xlpm.MyAuditVal,_xlpm.MacVal&lt;&gt;"",_xlpm.MacVal,_xlpm.CSVVal&lt;&gt;"",PROPER(_xlpm.CSVVal)
)),"")</f>
        <v/>
      </c>
      <c r="G625" s="54" t="str" cm="1">
        <f t="array" ref="G625">IFERROR(_xlfn.LET(
_xlpm.CSVVal,_xlfn.XLOOKUP($A625,CSV!$A:$A,CSV!F:F,""),
_xlpm.MacVal,_xlfn.XLOOKUP($A625,Output_Mac!$A:$A,Output_Mac!H:H,""),
_xlpm.MyAuditVal,_xlfn.XLOOKUP($A625,My_Audit!$A:$A,My_Audit!F:F,""),
_xlfn.IFS(_xlpm.MyAuditVal&lt;&gt;"",_xlpm.MyAuditVal,_xlpm.MacVal&lt;&gt;"",_xlpm.MacVal,_xlpm.CSVVal&lt;&gt;"",_xlpm.CSVVal
)),"")</f>
        <v/>
      </c>
      <c r="H625" s="54" t="str">
        <f>_xlfn.XLOOKUP(A625,Output_Mac!A:A,Output_Mac!I:I,"")</f>
        <v/>
      </c>
      <c r="I625" s="54" t="str" cm="1">
        <f t="array" ref="I625">IFERROR(_xlfn.LET(
_xlpm.CSVVal,_xlfn.XLOOKUP($A625,CSV!$A:$A,CSV!G:G,""),
_xlpm.MacVal,_xlfn.XLOOKUP($A625,Output_Mac!$A:$A,Output_Mac!J:J,""),
_xlpm.MyAuditVal,_xlfn.XLOOKUP($A625,My_Audit!$A:$A,My_Audit!H:H,""),
_xlfn.IFS(_xlpm.MyAuditVal&lt;&gt;"",UPPER(_xlpm.MyAuditVal),_xlpm.MacVal&lt;&gt;"",_xlpm.MacVal,_xlpm.CSVVal&lt;&gt;"",_xlpm.CSVVal
)),"")</f>
        <v/>
      </c>
      <c r="J625" s="54" t="str" cm="1">
        <f t="array" ref="J625">IFERROR(_xlfn.LET(
_xlpm.CSVVal,_xlfn.XLOOKUP($A625,CSV!$A:$A,CSV!I:I,""),
_xlpm.MacVal,_xlfn.XLOOKUP($A625,Output_Mac!$A:$A,Output_Mac!K:K,""),
_xlpm.MyAuditVal,_xlfn.XLOOKUP($A625,My_Audit!$A:$A,My_Audit!I:I,""),
_xlfn.IFS(_xlpm.MyAuditVal&lt;&gt;"",UPPER(_xlpm.MyAuditVal),_xlpm.MacVal&lt;&gt;"",_xlpm.MacVal,_xlpm.CSVVal&lt;&gt;"",_xlpm.CSVVal
)),"")</f>
        <v/>
      </c>
      <c r="K625" s="54" t="str" cm="1">
        <f t="array" ref="K625">IFERROR(_xlfn.LET(
_xlpm.CSVVal,_xlfn.XLOOKUP($A625,CSV!$A:$A,CSV!M:M,""),
_xlpm.MacVal,_xlfn.XLOOKUP($A625,Output_Mac!$A:$A,Output_Mac!L:L,""),
_xlpm.MyAuditVal,_xlfn.XLOOKUP($A625,My_Audit!$A:$A,My_Audit!J:J,""),
_xlfn.IFS(_xlpm.MyAuditVal&lt;&gt;"",UPPER(_xlpm.MyAuditVal),_xlpm.MacVal&lt;&gt;"",_xlpm.MacVal,_xlpm.CSVVal&lt;&gt;"",_xlpm.CSVVal
)),"")</f>
        <v/>
      </c>
      <c r="L625" s="54" t="str" cm="1">
        <f t="array" ref="L625">IFERROR(_xlfn.LET(
_xlpm.CSVVal,_xlfn.XLOOKUP($A625,CSV!$A:$A,CSV!O:O,""),
_xlpm.MacVal,_xlfn.XLOOKUP($A625,Output_Mac!$A:$A,Output_Mac!M:M,""),
_xlpm.MyAuditVal,_xlfn.XLOOKUP($A625,My_Audit!$A:$A,My_Audit!K:K,""),
_xlfn.IFS(_xlpm.MyAuditVal&lt;&gt;"",UPPER(_xlpm.MyAuditVal),_xlpm.MacVal&lt;&gt;"",_xlpm.MacVal,_xlpm.CSVVal&lt;&gt;"",_xlpm.CSVVal
)),"")</f>
        <v/>
      </c>
      <c r="M625" s="54" t="str">
        <f>_xlfn.LET(
    _xlpm.CSVVal, _xlfn.XLOOKUP($A625, CSV!$A:$A, CSV!AD:AD, ""),
    _xlpm.MacVal, _xlfn.XLOOKUP($A625, Output_Mac!$A:$A, Output_Mac!S:S, ""),
    _xlpm.MyAuditVal, _xlfn.XLOOKUP($A625, My_Audit!$A:$A, My_Audit!N:N, ""),
    _xlfn.TEXTJOIN(", ", TRUE, _xlpm.MyAuditVal, _xlpm.MacVal, _xlpm.CSVVal)
)</f>
        <v/>
      </c>
      <c r="N625" s="54" t="str" cm="1">
        <f t="array" ref="N625">IFERROR(_xlfn.LET(
_xlpm.CSVVal,_xlfn.XLOOKUP($A625,CSV!$A:$A,CSV!AF:AF,""),
_xlpm.MacVal,_xlfn.XLOOKUP($A625,Output_Mac!$A:$A,Output_Mac!U:U,""),
_xlpm.MyAuditVal,_xlfn.XLOOKUP($A625,My_Audit!$A:$A,My_Audit!O:O,""),
_xlfn.IFS(_xlpm.MyAuditVal&lt;&gt;"",UPPER(_xlpm.MyAuditVal),_xlpm.MacVal&lt;&gt;"",_xlpm.MacVal,_xlpm.CSVVal&lt;&gt;"",_xlpm.CSVVal
)),"")</f>
        <v/>
      </c>
      <c r="O625" s="54"/>
      <c r="P625" s="54"/>
      <c r="Q625" s="54"/>
      <c r="R625" s="54"/>
      <c r="S625" s="54"/>
      <c r="T625" s="54"/>
      <c r="U625" s="39"/>
    </row>
    <row r="626" spans="1:21">
      <c r="A626" s="54" t="str">
        <f>_xlfn.TEXTJOIN("",TRUE,Input!$B$2,ROW(My_Audit!A625))</f>
        <v>XX625</v>
      </c>
      <c r="B626" s="54" t="str">
        <f>_xlfn.TEXTJOIN("-",TRUE,"ITD",Input!$A$2,A626)</f>
        <v>ITD-SHRXXX-XX625</v>
      </c>
      <c r="C626" s="54" t="str" cm="1">
        <f t="array" ref="C626">IFERROR(_xlfn.LET(
_xlpm.CSVVal,_xlfn.XLOOKUP($A626,CSV!$A:$A,CSV!B:B,""),
_xlpm.MacVal,_xlfn.XLOOKUP($A626,Output_Mac!$A:$A,Output_Mac!B:B,""),
_xlpm.MyAuditVal,_xlfn.XLOOKUP($A626,My_Audit!$A:$A,My_Audit!B:B,""),
_xlfn.IFS(_xlpm.MyAuditVal&lt;&gt;"",UPPER(_xlpm.MyAuditVal),_xlpm.MacVal&lt;&gt;"",_xlpm.MacVal,_xlpm.CSVVal&lt;&gt;"",_xlpm.CSVVal
)),"")</f>
        <v/>
      </c>
      <c r="D626" s="55" t="str">
        <f>_xlfn.XLOOKUP(A626,My_Audit!A:A,My_Audit!D:D,"")&amp;""</f>
        <v/>
      </c>
      <c r="E626" s="55" t="str" cm="1">
        <f t="array" ref="E626">IFERROR(_xlfn.LET(
_xlpm.CSVVal,_xlfn.XLOOKUP($A626,CSV!$A:$A,CSV!D:D,""),
_xlpm.MacVal,_xlfn.XLOOKUP($A626,Output_Mac!$A:$A,Output_Mac!C:C,""),
_xlpm.MyAuditVal,_xlfn.XLOOKUP($A626,My_Audit!$A:$A,My_Audit!D:D,""),
_xlfn.IFS(_xlpm.MyAuditVal&lt;&gt;"",_xlpm.MyAuditVal,_xlpm.MacVal&lt;&gt;"",_xlpm.MacVal,_xlpm.CSVVal&lt;&gt;"",_xlpm.CSVVal
)),"")</f>
        <v/>
      </c>
      <c r="F626" s="54" t="str" cm="1">
        <f t="array" ref="F626">IFERROR(_xlfn.LET(
_xlpm.CSVVal,_xlfn.XLOOKUP($A626,CSV!$A:$A,CSV!E:E,""),
_xlpm.MacVal,_xlfn.XLOOKUP($A626,Output_Mac!$A:$A,Output_Mac!F:F,""),
_xlpm.MyAuditVal,_xlfn.XLOOKUP($A626,My_Audit!$A:$A,My_Audit!E:E,""),
_xlfn.IFS(_xlpm.MyAuditVal&lt;&gt;"",_xlpm.MyAuditVal,_xlpm.MacVal&lt;&gt;"",_xlpm.MacVal,_xlpm.CSVVal&lt;&gt;"",PROPER(_xlpm.CSVVal)
)),"")</f>
        <v/>
      </c>
      <c r="G626" s="54" t="str" cm="1">
        <f t="array" ref="G626">IFERROR(_xlfn.LET(
_xlpm.CSVVal,_xlfn.XLOOKUP($A626,CSV!$A:$A,CSV!F:F,""),
_xlpm.MacVal,_xlfn.XLOOKUP($A626,Output_Mac!$A:$A,Output_Mac!H:H,""),
_xlpm.MyAuditVal,_xlfn.XLOOKUP($A626,My_Audit!$A:$A,My_Audit!F:F,""),
_xlfn.IFS(_xlpm.MyAuditVal&lt;&gt;"",_xlpm.MyAuditVal,_xlpm.MacVal&lt;&gt;"",_xlpm.MacVal,_xlpm.CSVVal&lt;&gt;"",_xlpm.CSVVal
)),"")</f>
        <v/>
      </c>
      <c r="H626" s="54" t="str">
        <f>_xlfn.XLOOKUP(A626,Output_Mac!A:A,Output_Mac!I:I,"")</f>
        <v/>
      </c>
      <c r="I626" s="54" t="str" cm="1">
        <f t="array" ref="I626">IFERROR(_xlfn.LET(
_xlpm.CSVVal,_xlfn.XLOOKUP($A626,CSV!$A:$A,CSV!G:G,""),
_xlpm.MacVal,_xlfn.XLOOKUP($A626,Output_Mac!$A:$A,Output_Mac!J:J,""),
_xlpm.MyAuditVal,_xlfn.XLOOKUP($A626,My_Audit!$A:$A,My_Audit!H:H,""),
_xlfn.IFS(_xlpm.MyAuditVal&lt;&gt;"",UPPER(_xlpm.MyAuditVal),_xlpm.MacVal&lt;&gt;"",_xlpm.MacVal,_xlpm.CSVVal&lt;&gt;"",_xlpm.CSVVal
)),"")</f>
        <v/>
      </c>
      <c r="J626" s="54" t="str" cm="1">
        <f t="array" ref="J626">IFERROR(_xlfn.LET(
_xlpm.CSVVal,_xlfn.XLOOKUP($A626,CSV!$A:$A,CSV!I:I,""),
_xlpm.MacVal,_xlfn.XLOOKUP($A626,Output_Mac!$A:$A,Output_Mac!K:K,""),
_xlpm.MyAuditVal,_xlfn.XLOOKUP($A626,My_Audit!$A:$A,My_Audit!I:I,""),
_xlfn.IFS(_xlpm.MyAuditVal&lt;&gt;"",UPPER(_xlpm.MyAuditVal),_xlpm.MacVal&lt;&gt;"",_xlpm.MacVal,_xlpm.CSVVal&lt;&gt;"",_xlpm.CSVVal
)),"")</f>
        <v/>
      </c>
      <c r="K626" s="54" t="str" cm="1">
        <f t="array" ref="K626">IFERROR(_xlfn.LET(
_xlpm.CSVVal,_xlfn.XLOOKUP($A626,CSV!$A:$A,CSV!M:M,""),
_xlpm.MacVal,_xlfn.XLOOKUP($A626,Output_Mac!$A:$A,Output_Mac!L:L,""),
_xlpm.MyAuditVal,_xlfn.XLOOKUP($A626,My_Audit!$A:$A,My_Audit!J:J,""),
_xlfn.IFS(_xlpm.MyAuditVal&lt;&gt;"",UPPER(_xlpm.MyAuditVal),_xlpm.MacVal&lt;&gt;"",_xlpm.MacVal,_xlpm.CSVVal&lt;&gt;"",_xlpm.CSVVal
)),"")</f>
        <v/>
      </c>
      <c r="L626" s="54" t="str" cm="1">
        <f t="array" ref="L626">IFERROR(_xlfn.LET(
_xlpm.CSVVal,_xlfn.XLOOKUP($A626,CSV!$A:$A,CSV!O:O,""),
_xlpm.MacVal,_xlfn.XLOOKUP($A626,Output_Mac!$A:$A,Output_Mac!M:M,""),
_xlpm.MyAuditVal,_xlfn.XLOOKUP($A626,My_Audit!$A:$A,My_Audit!K:K,""),
_xlfn.IFS(_xlpm.MyAuditVal&lt;&gt;"",UPPER(_xlpm.MyAuditVal),_xlpm.MacVal&lt;&gt;"",_xlpm.MacVal,_xlpm.CSVVal&lt;&gt;"",_xlpm.CSVVal
)),"")</f>
        <v/>
      </c>
      <c r="M626" s="54" t="str">
        <f>_xlfn.LET(
    _xlpm.CSVVal, _xlfn.XLOOKUP($A626, CSV!$A:$A, CSV!AD:AD, ""),
    _xlpm.MacVal, _xlfn.XLOOKUP($A626, Output_Mac!$A:$A, Output_Mac!S:S, ""),
    _xlpm.MyAuditVal, _xlfn.XLOOKUP($A626, My_Audit!$A:$A, My_Audit!N:N, ""),
    _xlfn.TEXTJOIN(", ", TRUE, _xlpm.MyAuditVal, _xlpm.MacVal, _xlpm.CSVVal)
)</f>
        <v/>
      </c>
      <c r="N626" s="54" t="str" cm="1">
        <f t="array" ref="N626">IFERROR(_xlfn.LET(
_xlpm.CSVVal,_xlfn.XLOOKUP($A626,CSV!$A:$A,CSV!AF:AF,""),
_xlpm.MacVal,_xlfn.XLOOKUP($A626,Output_Mac!$A:$A,Output_Mac!U:U,""),
_xlpm.MyAuditVal,_xlfn.XLOOKUP($A626,My_Audit!$A:$A,My_Audit!O:O,""),
_xlfn.IFS(_xlpm.MyAuditVal&lt;&gt;"",UPPER(_xlpm.MyAuditVal),_xlpm.MacVal&lt;&gt;"",_xlpm.MacVal,_xlpm.CSVVal&lt;&gt;"",_xlpm.CSVVal
)),"")</f>
        <v/>
      </c>
      <c r="O626" s="54"/>
      <c r="P626" s="54"/>
      <c r="Q626" s="54"/>
      <c r="R626" s="54"/>
      <c r="S626" s="54"/>
      <c r="T626" s="54"/>
      <c r="U626" s="39"/>
    </row>
    <row r="627" spans="1:21">
      <c r="A627" s="54" t="str">
        <f>_xlfn.TEXTJOIN("",TRUE,Input!$B$2,ROW(My_Audit!A626))</f>
        <v>XX626</v>
      </c>
      <c r="B627" s="54" t="str">
        <f>_xlfn.TEXTJOIN("-",TRUE,"ITD",Input!$A$2,A627)</f>
        <v>ITD-SHRXXX-XX626</v>
      </c>
      <c r="C627" s="54" t="str" cm="1">
        <f t="array" ref="C627">IFERROR(_xlfn.LET(
_xlpm.CSVVal,_xlfn.XLOOKUP($A627,CSV!$A:$A,CSV!B:B,""),
_xlpm.MacVal,_xlfn.XLOOKUP($A627,Output_Mac!$A:$A,Output_Mac!B:B,""),
_xlpm.MyAuditVal,_xlfn.XLOOKUP($A627,My_Audit!$A:$A,My_Audit!B:B,""),
_xlfn.IFS(_xlpm.MyAuditVal&lt;&gt;"",UPPER(_xlpm.MyAuditVal),_xlpm.MacVal&lt;&gt;"",_xlpm.MacVal,_xlpm.CSVVal&lt;&gt;"",_xlpm.CSVVal
)),"")</f>
        <v/>
      </c>
      <c r="D627" s="55" t="str">
        <f>_xlfn.XLOOKUP(A627,My_Audit!A:A,My_Audit!D:D,"")&amp;""</f>
        <v/>
      </c>
      <c r="E627" s="55" t="str" cm="1">
        <f t="array" ref="E627">IFERROR(_xlfn.LET(
_xlpm.CSVVal,_xlfn.XLOOKUP($A627,CSV!$A:$A,CSV!D:D,""),
_xlpm.MacVal,_xlfn.XLOOKUP($A627,Output_Mac!$A:$A,Output_Mac!C:C,""),
_xlpm.MyAuditVal,_xlfn.XLOOKUP($A627,My_Audit!$A:$A,My_Audit!D:D,""),
_xlfn.IFS(_xlpm.MyAuditVal&lt;&gt;"",_xlpm.MyAuditVal,_xlpm.MacVal&lt;&gt;"",_xlpm.MacVal,_xlpm.CSVVal&lt;&gt;"",_xlpm.CSVVal
)),"")</f>
        <v/>
      </c>
      <c r="F627" s="54" t="str" cm="1">
        <f t="array" ref="F627">IFERROR(_xlfn.LET(
_xlpm.CSVVal,_xlfn.XLOOKUP($A627,CSV!$A:$A,CSV!E:E,""),
_xlpm.MacVal,_xlfn.XLOOKUP($A627,Output_Mac!$A:$A,Output_Mac!F:F,""),
_xlpm.MyAuditVal,_xlfn.XLOOKUP($A627,My_Audit!$A:$A,My_Audit!E:E,""),
_xlfn.IFS(_xlpm.MyAuditVal&lt;&gt;"",_xlpm.MyAuditVal,_xlpm.MacVal&lt;&gt;"",_xlpm.MacVal,_xlpm.CSVVal&lt;&gt;"",PROPER(_xlpm.CSVVal)
)),"")</f>
        <v/>
      </c>
      <c r="G627" s="54" t="str" cm="1">
        <f t="array" ref="G627">IFERROR(_xlfn.LET(
_xlpm.CSVVal,_xlfn.XLOOKUP($A627,CSV!$A:$A,CSV!F:F,""),
_xlpm.MacVal,_xlfn.XLOOKUP($A627,Output_Mac!$A:$A,Output_Mac!H:H,""),
_xlpm.MyAuditVal,_xlfn.XLOOKUP($A627,My_Audit!$A:$A,My_Audit!F:F,""),
_xlfn.IFS(_xlpm.MyAuditVal&lt;&gt;"",_xlpm.MyAuditVal,_xlpm.MacVal&lt;&gt;"",_xlpm.MacVal,_xlpm.CSVVal&lt;&gt;"",_xlpm.CSVVal
)),"")</f>
        <v/>
      </c>
      <c r="H627" s="54" t="str">
        <f>_xlfn.XLOOKUP(A627,Output_Mac!A:A,Output_Mac!I:I,"")</f>
        <v/>
      </c>
      <c r="I627" s="54" t="str" cm="1">
        <f t="array" ref="I627">IFERROR(_xlfn.LET(
_xlpm.CSVVal,_xlfn.XLOOKUP($A627,CSV!$A:$A,CSV!G:G,""),
_xlpm.MacVal,_xlfn.XLOOKUP($A627,Output_Mac!$A:$A,Output_Mac!J:J,""),
_xlpm.MyAuditVal,_xlfn.XLOOKUP($A627,My_Audit!$A:$A,My_Audit!H:H,""),
_xlfn.IFS(_xlpm.MyAuditVal&lt;&gt;"",UPPER(_xlpm.MyAuditVal),_xlpm.MacVal&lt;&gt;"",_xlpm.MacVal,_xlpm.CSVVal&lt;&gt;"",_xlpm.CSVVal
)),"")</f>
        <v/>
      </c>
      <c r="J627" s="54" t="str" cm="1">
        <f t="array" ref="J627">IFERROR(_xlfn.LET(
_xlpm.CSVVal,_xlfn.XLOOKUP($A627,CSV!$A:$A,CSV!I:I,""),
_xlpm.MacVal,_xlfn.XLOOKUP($A627,Output_Mac!$A:$A,Output_Mac!K:K,""),
_xlpm.MyAuditVal,_xlfn.XLOOKUP($A627,My_Audit!$A:$A,My_Audit!I:I,""),
_xlfn.IFS(_xlpm.MyAuditVal&lt;&gt;"",UPPER(_xlpm.MyAuditVal),_xlpm.MacVal&lt;&gt;"",_xlpm.MacVal,_xlpm.CSVVal&lt;&gt;"",_xlpm.CSVVal
)),"")</f>
        <v/>
      </c>
      <c r="K627" s="54" t="str" cm="1">
        <f t="array" ref="K627">IFERROR(_xlfn.LET(
_xlpm.CSVVal,_xlfn.XLOOKUP($A627,CSV!$A:$A,CSV!M:M,""),
_xlpm.MacVal,_xlfn.XLOOKUP($A627,Output_Mac!$A:$A,Output_Mac!L:L,""),
_xlpm.MyAuditVal,_xlfn.XLOOKUP($A627,My_Audit!$A:$A,My_Audit!J:J,""),
_xlfn.IFS(_xlpm.MyAuditVal&lt;&gt;"",UPPER(_xlpm.MyAuditVal),_xlpm.MacVal&lt;&gt;"",_xlpm.MacVal,_xlpm.CSVVal&lt;&gt;"",_xlpm.CSVVal
)),"")</f>
        <v/>
      </c>
      <c r="L627" s="54" t="str" cm="1">
        <f t="array" ref="L627">IFERROR(_xlfn.LET(
_xlpm.CSVVal,_xlfn.XLOOKUP($A627,CSV!$A:$A,CSV!O:O,""),
_xlpm.MacVal,_xlfn.XLOOKUP($A627,Output_Mac!$A:$A,Output_Mac!M:M,""),
_xlpm.MyAuditVal,_xlfn.XLOOKUP($A627,My_Audit!$A:$A,My_Audit!K:K,""),
_xlfn.IFS(_xlpm.MyAuditVal&lt;&gt;"",UPPER(_xlpm.MyAuditVal),_xlpm.MacVal&lt;&gt;"",_xlpm.MacVal,_xlpm.CSVVal&lt;&gt;"",_xlpm.CSVVal
)),"")</f>
        <v/>
      </c>
      <c r="M627" s="54" t="str">
        <f>_xlfn.LET(
    _xlpm.CSVVal, _xlfn.XLOOKUP($A627, CSV!$A:$A, CSV!AD:AD, ""),
    _xlpm.MacVal, _xlfn.XLOOKUP($A627, Output_Mac!$A:$A, Output_Mac!S:S, ""),
    _xlpm.MyAuditVal, _xlfn.XLOOKUP($A627, My_Audit!$A:$A, My_Audit!N:N, ""),
    _xlfn.TEXTJOIN(", ", TRUE, _xlpm.MyAuditVal, _xlpm.MacVal, _xlpm.CSVVal)
)</f>
        <v/>
      </c>
      <c r="N627" s="54" t="str" cm="1">
        <f t="array" ref="N627">IFERROR(_xlfn.LET(
_xlpm.CSVVal,_xlfn.XLOOKUP($A627,CSV!$A:$A,CSV!AF:AF,""),
_xlpm.MacVal,_xlfn.XLOOKUP($A627,Output_Mac!$A:$A,Output_Mac!U:U,""),
_xlpm.MyAuditVal,_xlfn.XLOOKUP($A627,My_Audit!$A:$A,My_Audit!O:O,""),
_xlfn.IFS(_xlpm.MyAuditVal&lt;&gt;"",UPPER(_xlpm.MyAuditVal),_xlpm.MacVal&lt;&gt;"",_xlpm.MacVal,_xlpm.CSVVal&lt;&gt;"",_xlpm.CSVVal
)),"")</f>
        <v/>
      </c>
      <c r="O627" s="54"/>
      <c r="P627" s="54"/>
      <c r="Q627" s="54"/>
      <c r="R627" s="54"/>
      <c r="S627" s="54"/>
      <c r="T627" s="54"/>
      <c r="U627" s="39"/>
    </row>
    <row r="628" spans="1:21">
      <c r="A628" s="54" t="str">
        <f>_xlfn.TEXTJOIN("",TRUE,Input!$B$2,ROW(My_Audit!A627))</f>
        <v>XX627</v>
      </c>
      <c r="B628" s="54" t="str">
        <f>_xlfn.TEXTJOIN("-",TRUE,"ITD",Input!$A$2,A628)</f>
        <v>ITD-SHRXXX-XX627</v>
      </c>
      <c r="C628" s="54" t="str" cm="1">
        <f t="array" ref="C628">IFERROR(_xlfn.LET(
_xlpm.CSVVal,_xlfn.XLOOKUP($A628,CSV!$A:$A,CSV!B:B,""),
_xlpm.MacVal,_xlfn.XLOOKUP($A628,Output_Mac!$A:$A,Output_Mac!B:B,""),
_xlpm.MyAuditVal,_xlfn.XLOOKUP($A628,My_Audit!$A:$A,My_Audit!B:B,""),
_xlfn.IFS(_xlpm.MyAuditVal&lt;&gt;"",UPPER(_xlpm.MyAuditVal),_xlpm.MacVal&lt;&gt;"",_xlpm.MacVal,_xlpm.CSVVal&lt;&gt;"",_xlpm.CSVVal
)),"")</f>
        <v/>
      </c>
      <c r="D628" s="55" t="str">
        <f>_xlfn.XLOOKUP(A628,My_Audit!A:A,My_Audit!D:D,"")&amp;""</f>
        <v/>
      </c>
      <c r="E628" s="55" t="str" cm="1">
        <f t="array" ref="E628">IFERROR(_xlfn.LET(
_xlpm.CSVVal,_xlfn.XLOOKUP($A628,CSV!$A:$A,CSV!D:D,""),
_xlpm.MacVal,_xlfn.XLOOKUP($A628,Output_Mac!$A:$A,Output_Mac!C:C,""),
_xlpm.MyAuditVal,_xlfn.XLOOKUP($A628,My_Audit!$A:$A,My_Audit!D:D,""),
_xlfn.IFS(_xlpm.MyAuditVal&lt;&gt;"",_xlpm.MyAuditVal,_xlpm.MacVal&lt;&gt;"",_xlpm.MacVal,_xlpm.CSVVal&lt;&gt;"",_xlpm.CSVVal
)),"")</f>
        <v/>
      </c>
      <c r="F628" s="54" t="str" cm="1">
        <f t="array" ref="F628">IFERROR(_xlfn.LET(
_xlpm.CSVVal,_xlfn.XLOOKUP($A628,CSV!$A:$A,CSV!E:E,""),
_xlpm.MacVal,_xlfn.XLOOKUP($A628,Output_Mac!$A:$A,Output_Mac!F:F,""),
_xlpm.MyAuditVal,_xlfn.XLOOKUP($A628,My_Audit!$A:$A,My_Audit!E:E,""),
_xlfn.IFS(_xlpm.MyAuditVal&lt;&gt;"",_xlpm.MyAuditVal,_xlpm.MacVal&lt;&gt;"",_xlpm.MacVal,_xlpm.CSVVal&lt;&gt;"",PROPER(_xlpm.CSVVal)
)),"")</f>
        <v/>
      </c>
      <c r="G628" s="54" t="str" cm="1">
        <f t="array" ref="G628">IFERROR(_xlfn.LET(
_xlpm.CSVVal,_xlfn.XLOOKUP($A628,CSV!$A:$A,CSV!F:F,""),
_xlpm.MacVal,_xlfn.XLOOKUP($A628,Output_Mac!$A:$A,Output_Mac!H:H,""),
_xlpm.MyAuditVal,_xlfn.XLOOKUP($A628,My_Audit!$A:$A,My_Audit!F:F,""),
_xlfn.IFS(_xlpm.MyAuditVal&lt;&gt;"",_xlpm.MyAuditVal,_xlpm.MacVal&lt;&gt;"",_xlpm.MacVal,_xlpm.CSVVal&lt;&gt;"",_xlpm.CSVVal
)),"")</f>
        <v/>
      </c>
      <c r="H628" s="54" t="str">
        <f>_xlfn.XLOOKUP(A628,Output_Mac!A:A,Output_Mac!I:I,"")</f>
        <v/>
      </c>
      <c r="I628" s="54" t="str" cm="1">
        <f t="array" ref="I628">IFERROR(_xlfn.LET(
_xlpm.CSVVal,_xlfn.XLOOKUP($A628,CSV!$A:$A,CSV!G:G,""),
_xlpm.MacVal,_xlfn.XLOOKUP($A628,Output_Mac!$A:$A,Output_Mac!J:J,""),
_xlpm.MyAuditVal,_xlfn.XLOOKUP($A628,My_Audit!$A:$A,My_Audit!H:H,""),
_xlfn.IFS(_xlpm.MyAuditVal&lt;&gt;"",UPPER(_xlpm.MyAuditVal),_xlpm.MacVal&lt;&gt;"",_xlpm.MacVal,_xlpm.CSVVal&lt;&gt;"",_xlpm.CSVVal
)),"")</f>
        <v/>
      </c>
      <c r="J628" s="54" t="str" cm="1">
        <f t="array" ref="J628">IFERROR(_xlfn.LET(
_xlpm.CSVVal,_xlfn.XLOOKUP($A628,CSV!$A:$A,CSV!I:I,""),
_xlpm.MacVal,_xlfn.XLOOKUP($A628,Output_Mac!$A:$A,Output_Mac!K:K,""),
_xlpm.MyAuditVal,_xlfn.XLOOKUP($A628,My_Audit!$A:$A,My_Audit!I:I,""),
_xlfn.IFS(_xlpm.MyAuditVal&lt;&gt;"",UPPER(_xlpm.MyAuditVal),_xlpm.MacVal&lt;&gt;"",_xlpm.MacVal,_xlpm.CSVVal&lt;&gt;"",_xlpm.CSVVal
)),"")</f>
        <v/>
      </c>
      <c r="K628" s="54" t="str" cm="1">
        <f t="array" ref="K628">IFERROR(_xlfn.LET(
_xlpm.CSVVal,_xlfn.XLOOKUP($A628,CSV!$A:$A,CSV!M:M,""),
_xlpm.MacVal,_xlfn.XLOOKUP($A628,Output_Mac!$A:$A,Output_Mac!L:L,""),
_xlpm.MyAuditVal,_xlfn.XLOOKUP($A628,My_Audit!$A:$A,My_Audit!J:J,""),
_xlfn.IFS(_xlpm.MyAuditVal&lt;&gt;"",UPPER(_xlpm.MyAuditVal),_xlpm.MacVal&lt;&gt;"",_xlpm.MacVal,_xlpm.CSVVal&lt;&gt;"",_xlpm.CSVVal
)),"")</f>
        <v/>
      </c>
      <c r="L628" s="54" t="str" cm="1">
        <f t="array" ref="L628">IFERROR(_xlfn.LET(
_xlpm.CSVVal,_xlfn.XLOOKUP($A628,CSV!$A:$A,CSV!O:O,""),
_xlpm.MacVal,_xlfn.XLOOKUP($A628,Output_Mac!$A:$A,Output_Mac!M:M,""),
_xlpm.MyAuditVal,_xlfn.XLOOKUP($A628,My_Audit!$A:$A,My_Audit!K:K,""),
_xlfn.IFS(_xlpm.MyAuditVal&lt;&gt;"",UPPER(_xlpm.MyAuditVal),_xlpm.MacVal&lt;&gt;"",_xlpm.MacVal,_xlpm.CSVVal&lt;&gt;"",_xlpm.CSVVal
)),"")</f>
        <v/>
      </c>
      <c r="M628" s="54" t="str">
        <f>_xlfn.LET(
    _xlpm.CSVVal, _xlfn.XLOOKUP($A628, CSV!$A:$A, CSV!AD:AD, ""),
    _xlpm.MacVal, _xlfn.XLOOKUP($A628, Output_Mac!$A:$A, Output_Mac!S:S, ""),
    _xlpm.MyAuditVal, _xlfn.XLOOKUP($A628, My_Audit!$A:$A, My_Audit!N:N, ""),
    _xlfn.TEXTJOIN(", ", TRUE, _xlpm.MyAuditVal, _xlpm.MacVal, _xlpm.CSVVal)
)</f>
        <v/>
      </c>
      <c r="N628" s="54" t="str" cm="1">
        <f t="array" ref="N628">IFERROR(_xlfn.LET(
_xlpm.CSVVal,_xlfn.XLOOKUP($A628,CSV!$A:$A,CSV!AF:AF,""),
_xlpm.MacVal,_xlfn.XLOOKUP($A628,Output_Mac!$A:$A,Output_Mac!U:U,""),
_xlpm.MyAuditVal,_xlfn.XLOOKUP($A628,My_Audit!$A:$A,My_Audit!O:O,""),
_xlfn.IFS(_xlpm.MyAuditVal&lt;&gt;"",UPPER(_xlpm.MyAuditVal),_xlpm.MacVal&lt;&gt;"",_xlpm.MacVal,_xlpm.CSVVal&lt;&gt;"",_xlpm.CSVVal
)),"")</f>
        <v/>
      </c>
      <c r="O628" s="54"/>
      <c r="P628" s="54"/>
      <c r="Q628" s="54"/>
      <c r="R628" s="54"/>
      <c r="S628" s="54"/>
      <c r="T628" s="54"/>
      <c r="U628" s="39"/>
    </row>
    <row r="629" spans="1:21">
      <c r="A629" s="54" t="str">
        <f>_xlfn.TEXTJOIN("",TRUE,Input!$B$2,ROW(My_Audit!A628))</f>
        <v>XX628</v>
      </c>
      <c r="B629" s="54" t="str">
        <f>_xlfn.TEXTJOIN("-",TRUE,"ITD",Input!$A$2,A629)</f>
        <v>ITD-SHRXXX-XX628</v>
      </c>
      <c r="C629" s="54" t="str" cm="1">
        <f t="array" ref="C629">IFERROR(_xlfn.LET(
_xlpm.CSVVal,_xlfn.XLOOKUP($A629,CSV!$A:$A,CSV!B:B,""),
_xlpm.MacVal,_xlfn.XLOOKUP($A629,Output_Mac!$A:$A,Output_Mac!B:B,""),
_xlpm.MyAuditVal,_xlfn.XLOOKUP($A629,My_Audit!$A:$A,My_Audit!B:B,""),
_xlfn.IFS(_xlpm.MyAuditVal&lt;&gt;"",UPPER(_xlpm.MyAuditVal),_xlpm.MacVal&lt;&gt;"",_xlpm.MacVal,_xlpm.CSVVal&lt;&gt;"",_xlpm.CSVVal
)),"")</f>
        <v/>
      </c>
      <c r="D629" s="55" t="str">
        <f>_xlfn.XLOOKUP(A629,My_Audit!A:A,My_Audit!D:D,"")&amp;""</f>
        <v/>
      </c>
      <c r="E629" s="55" t="str" cm="1">
        <f t="array" ref="E629">IFERROR(_xlfn.LET(
_xlpm.CSVVal,_xlfn.XLOOKUP($A629,CSV!$A:$A,CSV!D:D,""),
_xlpm.MacVal,_xlfn.XLOOKUP($A629,Output_Mac!$A:$A,Output_Mac!C:C,""),
_xlpm.MyAuditVal,_xlfn.XLOOKUP($A629,My_Audit!$A:$A,My_Audit!D:D,""),
_xlfn.IFS(_xlpm.MyAuditVal&lt;&gt;"",_xlpm.MyAuditVal,_xlpm.MacVal&lt;&gt;"",_xlpm.MacVal,_xlpm.CSVVal&lt;&gt;"",_xlpm.CSVVal
)),"")</f>
        <v/>
      </c>
      <c r="F629" s="54" t="str" cm="1">
        <f t="array" ref="F629">IFERROR(_xlfn.LET(
_xlpm.CSVVal,_xlfn.XLOOKUP($A629,CSV!$A:$A,CSV!E:E,""),
_xlpm.MacVal,_xlfn.XLOOKUP($A629,Output_Mac!$A:$A,Output_Mac!F:F,""),
_xlpm.MyAuditVal,_xlfn.XLOOKUP($A629,My_Audit!$A:$A,My_Audit!E:E,""),
_xlfn.IFS(_xlpm.MyAuditVal&lt;&gt;"",_xlpm.MyAuditVal,_xlpm.MacVal&lt;&gt;"",_xlpm.MacVal,_xlpm.CSVVal&lt;&gt;"",PROPER(_xlpm.CSVVal)
)),"")</f>
        <v/>
      </c>
      <c r="G629" s="54" t="str" cm="1">
        <f t="array" ref="G629">IFERROR(_xlfn.LET(
_xlpm.CSVVal,_xlfn.XLOOKUP($A629,CSV!$A:$A,CSV!F:F,""),
_xlpm.MacVal,_xlfn.XLOOKUP($A629,Output_Mac!$A:$A,Output_Mac!H:H,""),
_xlpm.MyAuditVal,_xlfn.XLOOKUP($A629,My_Audit!$A:$A,My_Audit!F:F,""),
_xlfn.IFS(_xlpm.MyAuditVal&lt;&gt;"",_xlpm.MyAuditVal,_xlpm.MacVal&lt;&gt;"",_xlpm.MacVal,_xlpm.CSVVal&lt;&gt;"",_xlpm.CSVVal
)),"")</f>
        <v/>
      </c>
      <c r="H629" s="54" t="str">
        <f>_xlfn.XLOOKUP(A629,Output_Mac!A:A,Output_Mac!I:I,"")</f>
        <v/>
      </c>
      <c r="I629" s="54" t="str" cm="1">
        <f t="array" ref="I629">IFERROR(_xlfn.LET(
_xlpm.CSVVal,_xlfn.XLOOKUP($A629,CSV!$A:$A,CSV!G:G,""),
_xlpm.MacVal,_xlfn.XLOOKUP($A629,Output_Mac!$A:$A,Output_Mac!J:J,""),
_xlpm.MyAuditVal,_xlfn.XLOOKUP($A629,My_Audit!$A:$A,My_Audit!H:H,""),
_xlfn.IFS(_xlpm.MyAuditVal&lt;&gt;"",UPPER(_xlpm.MyAuditVal),_xlpm.MacVal&lt;&gt;"",_xlpm.MacVal,_xlpm.CSVVal&lt;&gt;"",_xlpm.CSVVal
)),"")</f>
        <v/>
      </c>
      <c r="J629" s="54" t="str" cm="1">
        <f t="array" ref="J629">IFERROR(_xlfn.LET(
_xlpm.CSVVal,_xlfn.XLOOKUP($A629,CSV!$A:$A,CSV!I:I,""),
_xlpm.MacVal,_xlfn.XLOOKUP($A629,Output_Mac!$A:$A,Output_Mac!K:K,""),
_xlpm.MyAuditVal,_xlfn.XLOOKUP($A629,My_Audit!$A:$A,My_Audit!I:I,""),
_xlfn.IFS(_xlpm.MyAuditVal&lt;&gt;"",UPPER(_xlpm.MyAuditVal),_xlpm.MacVal&lt;&gt;"",_xlpm.MacVal,_xlpm.CSVVal&lt;&gt;"",_xlpm.CSVVal
)),"")</f>
        <v/>
      </c>
      <c r="K629" s="54" t="str" cm="1">
        <f t="array" ref="K629">IFERROR(_xlfn.LET(
_xlpm.CSVVal,_xlfn.XLOOKUP($A629,CSV!$A:$A,CSV!M:M,""),
_xlpm.MacVal,_xlfn.XLOOKUP($A629,Output_Mac!$A:$A,Output_Mac!L:L,""),
_xlpm.MyAuditVal,_xlfn.XLOOKUP($A629,My_Audit!$A:$A,My_Audit!J:J,""),
_xlfn.IFS(_xlpm.MyAuditVal&lt;&gt;"",UPPER(_xlpm.MyAuditVal),_xlpm.MacVal&lt;&gt;"",_xlpm.MacVal,_xlpm.CSVVal&lt;&gt;"",_xlpm.CSVVal
)),"")</f>
        <v/>
      </c>
      <c r="L629" s="54" t="str" cm="1">
        <f t="array" ref="L629">IFERROR(_xlfn.LET(
_xlpm.CSVVal,_xlfn.XLOOKUP($A629,CSV!$A:$A,CSV!O:O,""),
_xlpm.MacVal,_xlfn.XLOOKUP($A629,Output_Mac!$A:$A,Output_Mac!M:M,""),
_xlpm.MyAuditVal,_xlfn.XLOOKUP($A629,My_Audit!$A:$A,My_Audit!K:K,""),
_xlfn.IFS(_xlpm.MyAuditVal&lt;&gt;"",UPPER(_xlpm.MyAuditVal),_xlpm.MacVal&lt;&gt;"",_xlpm.MacVal,_xlpm.CSVVal&lt;&gt;"",_xlpm.CSVVal
)),"")</f>
        <v/>
      </c>
      <c r="M629" s="54" t="str">
        <f>_xlfn.LET(
    _xlpm.CSVVal, _xlfn.XLOOKUP($A629, CSV!$A:$A, CSV!AD:AD, ""),
    _xlpm.MacVal, _xlfn.XLOOKUP($A629, Output_Mac!$A:$A, Output_Mac!S:S, ""),
    _xlpm.MyAuditVal, _xlfn.XLOOKUP($A629, My_Audit!$A:$A, My_Audit!N:N, ""),
    _xlfn.TEXTJOIN(", ", TRUE, _xlpm.MyAuditVal, _xlpm.MacVal, _xlpm.CSVVal)
)</f>
        <v/>
      </c>
      <c r="N629" s="54" t="str" cm="1">
        <f t="array" ref="N629">IFERROR(_xlfn.LET(
_xlpm.CSVVal,_xlfn.XLOOKUP($A629,CSV!$A:$A,CSV!AF:AF,""),
_xlpm.MacVal,_xlfn.XLOOKUP($A629,Output_Mac!$A:$A,Output_Mac!U:U,""),
_xlpm.MyAuditVal,_xlfn.XLOOKUP($A629,My_Audit!$A:$A,My_Audit!O:O,""),
_xlfn.IFS(_xlpm.MyAuditVal&lt;&gt;"",UPPER(_xlpm.MyAuditVal),_xlpm.MacVal&lt;&gt;"",_xlpm.MacVal,_xlpm.CSVVal&lt;&gt;"",_xlpm.CSVVal
)),"")</f>
        <v/>
      </c>
      <c r="O629" s="54"/>
      <c r="P629" s="54"/>
      <c r="Q629" s="54"/>
      <c r="R629" s="54"/>
      <c r="S629" s="54"/>
      <c r="T629" s="54"/>
      <c r="U629" s="39"/>
    </row>
    <row r="630" spans="1:21">
      <c r="A630" s="54" t="str">
        <f>_xlfn.TEXTJOIN("",TRUE,Input!$B$2,ROW(My_Audit!A629))</f>
        <v>XX629</v>
      </c>
      <c r="B630" s="54" t="str">
        <f>_xlfn.TEXTJOIN("-",TRUE,"ITD",Input!$A$2,A630)</f>
        <v>ITD-SHRXXX-XX629</v>
      </c>
      <c r="C630" s="54" t="str" cm="1">
        <f t="array" ref="C630">IFERROR(_xlfn.LET(
_xlpm.CSVVal,_xlfn.XLOOKUP($A630,CSV!$A:$A,CSV!B:B,""),
_xlpm.MacVal,_xlfn.XLOOKUP($A630,Output_Mac!$A:$A,Output_Mac!B:B,""),
_xlpm.MyAuditVal,_xlfn.XLOOKUP($A630,My_Audit!$A:$A,My_Audit!B:B,""),
_xlfn.IFS(_xlpm.MyAuditVal&lt;&gt;"",UPPER(_xlpm.MyAuditVal),_xlpm.MacVal&lt;&gt;"",_xlpm.MacVal,_xlpm.CSVVal&lt;&gt;"",_xlpm.CSVVal
)),"")</f>
        <v/>
      </c>
      <c r="D630" s="55" t="str">
        <f>_xlfn.XLOOKUP(A630,My_Audit!A:A,My_Audit!D:D,"")&amp;""</f>
        <v/>
      </c>
      <c r="E630" s="55" t="str" cm="1">
        <f t="array" ref="E630">IFERROR(_xlfn.LET(
_xlpm.CSVVal,_xlfn.XLOOKUP($A630,CSV!$A:$A,CSV!D:D,""),
_xlpm.MacVal,_xlfn.XLOOKUP($A630,Output_Mac!$A:$A,Output_Mac!C:C,""),
_xlpm.MyAuditVal,_xlfn.XLOOKUP($A630,My_Audit!$A:$A,My_Audit!D:D,""),
_xlfn.IFS(_xlpm.MyAuditVal&lt;&gt;"",_xlpm.MyAuditVal,_xlpm.MacVal&lt;&gt;"",_xlpm.MacVal,_xlpm.CSVVal&lt;&gt;"",_xlpm.CSVVal
)),"")</f>
        <v/>
      </c>
      <c r="F630" s="54" t="str" cm="1">
        <f t="array" ref="F630">IFERROR(_xlfn.LET(
_xlpm.CSVVal,_xlfn.XLOOKUP($A630,CSV!$A:$A,CSV!E:E,""),
_xlpm.MacVal,_xlfn.XLOOKUP($A630,Output_Mac!$A:$A,Output_Mac!F:F,""),
_xlpm.MyAuditVal,_xlfn.XLOOKUP($A630,My_Audit!$A:$A,My_Audit!E:E,""),
_xlfn.IFS(_xlpm.MyAuditVal&lt;&gt;"",_xlpm.MyAuditVal,_xlpm.MacVal&lt;&gt;"",_xlpm.MacVal,_xlpm.CSVVal&lt;&gt;"",PROPER(_xlpm.CSVVal)
)),"")</f>
        <v/>
      </c>
      <c r="G630" s="54" t="str" cm="1">
        <f t="array" ref="G630">IFERROR(_xlfn.LET(
_xlpm.CSVVal,_xlfn.XLOOKUP($A630,CSV!$A:$A,CSV!F:F,""),
_xlpm.MacVal,_xlfn.XLOOKUP($A630,Output_Mac!$A:$A,Output_Mac!H:H,""),
_xlpm.MyAuditVal,_xlfn.XLOOKUP($A630,My_Audit!$A:$A,My_Audit!F:F,""),
_xlfn.IFS(_xlpm.MyAuditVal&lt;&gt;"",_xlpm.MyAuditVal,_xlpm.MacVal&lt;&gt;"",_xlpm.MacVal,_xlpm.CSVVal&lt;&gt;"",_xlpm.CSVVal
)),"")</f>
        <v/>
      </c>
      <c r="H630" s="54" t="str">
        <f>_xlfn.XLOOKUP(A630,Output_Mac!A:A,Output_Mac!I:I,"")</f>
        <v/>
      </c>
      <c r="I630" s="54" t="str" cm="1">
        <f t="array" ref="I630">IFERROR(_xlfn.LET(
_xlpm.CSVVal,_xlfn.XLOOKUP($A630,CSV!$A:$A,CSV!G:G,""),
_xlpm.MacVal,_xlfn.XLOOKUP($A630,Output_Mac!$A:$A,Output_Mac!J:J,""),
_xlpm.MyAuditVal,_xlfn.XLOOKUP($A630,My_Audit!$A:$A,My_Audit!H:H,""),
_xlfn.IFS(_xlpm.MyAuditVal&lt;&gt;"",UPPER(_xlpm.MyAuditVal),_xlpm.MacVal&lt;&gt;"",_xlpm.MacVal,_xlpm.CSVVal&lt;&gt;"",_xlpm.CSVVal
)),"")</f>
        <v/>
      </c>
      <c r="J630" s="54" t="str" cm="1">
        <f t="array" ref="J630">IFERROR(_xlfn.LET(
_xlpm.CSVVal,_xlfn.XLOOKUP($A630,CSV!$A:$A,CSV!I:I,""),
_xlpm.MacVal,_xlfn.XLOOKUP($A630,Output_Mac!$A:$A,Output_Mac!K:K,""),
_xlpm.MyAuditVal,_xlfn.XLOOKUP($A630,My_Audit!$A:$A,My_Audit!I:I,""),
_xlfn.IFS(_xlpm.MyAuditVal&lt;&gt;"",UPPER(_xlpm.MyAuditVal),_xlpm.MacVal&lt;&gt;"",_xlpm.MacVal,_xlpm.CSVVal&lt;&gt;"",_xlpm.CSVVal
)),"")</f>
        <v/>
      </c>
      <c r="K630" s="54" t="str" cm="1">
        <f t="array" ref="K630">IFERROR(_xlfn.LET(
_xlpm.CSVVal,_xlfn.XLOOKUP($A630,CSV!$A:$A,CSV!M:M,""),
_xlpm.MacVal,_xlfn.XLOOKUP($A630,Output_Mac!$A:$A,Output_Mac!L:L,""),
_xlpm.MyAuditVal,_xlfn.XLOOKUP($A630,My_Audit!$A:$A,My_Audit!J:J,""),
_xlfn.IFS(_xlpm.MyAuditVal&lt;&gt;"",UPPER(_xlpm.MyAuditVal),_xlpm.MacVal&lt;&gt;"",_xlpm.MacVal,_xlpm.CSVVal&lt;&gt;"",_xlpm.CSVVal
)),"")</f>
        <v/>
      </c>
      <c r="L630" s="54" t="str" cm="1">
        <f t="array" ref="L630">IFERROR(_xlfn.LET(
_xlpm.CSVVal,_xlfn.XLOOKUP($A630,CSV!$A:$A,CSV!O:O,""),
_xlpm.MacVal,_xlfn.XLOOKUP($A630,Output_Mac!$A:$A,Output_Mac!M:M,""),
_xlpm.MyAuditVal,_xlfn.XLOOKUP($A630,My_Audit!$A:$A,My_Audit!K:K,""),
_xlfn.IFS(_xlpm.MyAuditVal&lt;&gt;"",UPPER(_xlpm.MyAuditVal),_xlpm.MacVal&lt;&gt;"",_xlpm.MacVal,_xlpm.CSVVal&lt;&gt;"",_xlpm.CSVVal
)),"")</f>
        <v/>
      </c>
      <c r="M630" s="54" t="str">
        <f>_xlfn.LET(
    _xlpm.CSVVal, _xlfn.XLOOKUP($A630, CSV!$A:$A, CSV!AD:AD, ""),
    _xlpm.MacVal, _xlfn.XLOOKUP($A630, Output_Mac!$A:$A, Output_Mac!S:S, ""),
    _xlpm.MyAuditVal, _xlfn.XLOOKUP($A630, My_Audit!$A:$A, My_Audit!N:N, ""),
    _xlfn.TEXTJOIN(", ", TRUE, _xlpm.MyAuditVal, _xlpm.MacVal, _xlpm.CSVVal)
)</f>
        <v/>
      </c>
      <c r="N630" s="54" t="str" cm="1">
        <f t="array" ref="N630">IFERROR(_xlfn.LET(
_xlpm.CSVVal,_xlfn.XLOOKUP($A630,CSV!$A:$A,CSV!AF:AF,""),
_xlpm.MacVal,_xlfn.XLOOKUP($A630,Output_Mac!$A:$A,Output_Mac!U:U,""),
_xlpm.MyAuditVal,_xlfn.XLOOKUP($A630,My_Audit!$A:$A,My_Audit!O:O,""),
_xlfn.IFS(_xlpm.MyAuditVal&lt;&gt;"",UPPER(_xlpm.MyAuditVal),_xlpm.MacVal&lt;&gt;"",_xlpm.MacVal,_xlpm.CSVVal&lt;&gt;"",_xlpm.CSVVal
)),"")</f>
        <v/>
      </c>
      <c r="O630" s="54"/>
      <c r="P630" s="54"/>
      <c r="Q630" s="54"/>
      <c r="R630" s="54"/>
      <c r="S630" s="54"/>
      <c r="T630" s="54"/>
      <c r="U630" s="39"/>
    </row>
    <row r="631" spans="1:21">
      <c r="A631" s="54" t="str">
        <f>_xlfn.TEXTJOIN("",TRUE,Input!$B$2,ROW(My_Audit!A630))</f>
        <v>XX630</v>
      </c>
      <c r="B631" s="54" t="str">
        <f>_xlfn.TEXTJOIN("-",TRUE,"ITD",Input!$A$2,A631)</f>
        <v>ITD-SHRXXX-XX630</v>
      </c>
      <c r="C631" s="54" t="str" cm="1">
        <f t="array" ref="C631">IFERROR(_xlfn.LET(
_xlpm.CSVVal,_xlfn.XLOOKUP($A631,CSV!$A:$A,CSV!B:B,""),
_xlpm.MacVal,_xlfn.XLOOKUP($A631,Output_Mac!$A:$A,Output_Mac!B:B,""),
_xlpm.MyAuditVal,_xlfn.XLOOKUP($A631,My_Audit!$A:$A,My_Audit!B:B,""),
_xlfn.IFS(_xlpm.MyAuditVal&lt;&gt;"",UPPER(_xlpm.MyAuditVal),_xlpm.MacVal&lt;&gt;"",_xlpm.MacVal,_xlpm.CSVVal&lt;&gt;"",_xlpm.CSVVal
)),"")</f>
        <v/>
      </c>
      <c r="D631" s="55" t="str">
        <f>_xlfn.XLOOKUP(A631,My_Audit!A:A,My_Audit!D:D,"")&amp;""</f>
        <v/>
      </c>
      <c r="E631" s="55" t="str" cm="1">
        <f t="array" ref="E631">IFERROR(_xlfn.LET(
_xlpm.CSVVal,_xlfn.XLOOKUP($A631,CSV!$A:$A,CSV!D:D,""),
_xlpm.MacVal,_xlfn.XLOOKUP($A631,Output_Mac!$A:$A,Output_Mac!C:C,""),
_xlpm.MyAuditVal,_xlfn.XLOOKUP($A631,My_Audit!$A:$A,My_Audit!D:D,""),
_xlfn.IFS(_xlpm.MyAuditVal&lt;&gt;"",_xlpm.MyAuditVal,_xlpm.MacVal&lt;&gt;"",_xlpm.MacVal,_xlpm.CSVVal&lt;&gt;"",_xlpm.CSVVal
)),"")</f>
        <v/>
      </c>
      <c r="F631" s="54" t="str" cm="1">
        <f t="array" ref="F631">IFERROR(_xlfn.LET(
_xlpm.CSVVal,_xlfn.XLOOKUP($A631,CSV!$A:$A,CSV!E:E,""),
_xlpm.MacVal,_xlfn.XLOOKUP($A631,Output_Mac!$A:$A,Output_Mac!F:F,""),
_xlpm.MyAuditVal,_xlfn.XLOOKUP($A631,My_Audit!$A:$A,My_Audit!E:E,""),
_xlfn.IFS(_xlpm.MyAuditVal&lt;&gt;"",_xlpm.MyAuditVal,_xlpm.MacVal&lt;&gt;"",_xlpm.MacVal,_xlpm.CSVVal&lt;&gt;"",PROPER(_xlpm.CSVVal)
)),"")</f>
        <v/>
      </c>
      <c r="G631" s="54" t="str" cm="1">
        <f t="array" ref="G631">IFERROR(_xlfn.LET(
_xlpm.CSVVal,_xlfn.XLOOKUP($A631,CSV!$A:$A,CSV!F:F,""),
_xlpm.MacVal,_xlfn.XLOOKUP($A631,Output_Mac!$A:$A,Output_Mac!H:H,""),
_xlpm.MyAuditVal,_xlfn.XLOOKUP($A631,My_Audit!$A:$A,My_Audit!F:F,""),
_xlfn.IFS(_xlpm.MyAuditVal&lt;&gt;"",_xlpm.MyAuditVal,_xlpm.MacVal&lt;&gt;"",_xlpm.MacVal,_xlpm.CSVVal&lt;&gt;"",_xlpm.CSVVal
)),"")</f>
        <v/>
      </c>
      <c r="H631" s="54" t="str">
        <f>_xlfn.XLOOKUP(A631,Output_Mac!A:A,Output_Mac!I:I,"")</f>
        <v/>
      </c>
      <c r="I631" s="54" t="str" cm="1">
        <f t="array" ref="I631">IFERROR(_xlfn.LET(
_xlpm.CSVVal,_xlfn.XLOOKUP($A631,CSV!$A:$A,CSV!G:G,""),
_xlpm.MacVal,_xlfn.XLOOKUP($A631,Output_Mac!$A:$A,Output_Mac!J:J,""),
_xlpm.MyAuditVal,_xlfn.XLOOKUP($A631,My_Audit!$A:$A,My_Audit!H:H,""),
_xlfn.IFS(_xlpm.MyAuditVal&lt;&gt;"",UPPER(_xlpm.MyAuditVal),_xlpm.MacVal&lt;&gt;"",_xlpm.MacVal,_xlpm.CSVVal&lt;&gt;"",_xlpm.CSVVal
)),"")</f>
        <v/>
      </c>
      <c r="J631" s="54" t="str" cm="1">
        <f t="array" ref="J631">IFERROR(_xlfn.LET(
_xlpm.CSVVal,_xlfn.XLOOKUP($A631,CSV!$A:$A,CSV!I:I,""),
_xlpm.MacVal,_xlfn.XLOOKUP($A631,Output_Mac!$A:$A,Output_Mac!K:K,""),
_xlpm.MyAuditVal,_xlfn.XLOOKUP($A631,My_Audit!$A:$A,My_Audit!I:I,""),
_xlfn.IFS(_xlpm.MyAuditVal&lt;&gt;"",UPPER(_xlpm.MyAuditVal),_xlpm.MacVal&lt;&gt;"",_xlpm.MacVal,_xlpm.CSVVal&lt;&gt;"",_xlpm.CSVVal
)),"")</f>
        <v/>
      </c>
      <c r="K631" s="54" t="str" cm="1">
        <f t="array" ref="K631">IFERROR(_xlfn.LET(
_xlpm.CSVVal,_xlfn.XLOOKUP($A631,CSV!$A:$A,CSV!M:M,""),
_xlpm.MacVal,_xlfn.XLOOKUP($A631,Output_Mac!$A:$A,Output_Mac!L:L,""),
_xlpm.MyAuditVal,_xlfn.XLOOKUP($A631,My_Audit!$A:$A,My_Audit!J:J,""),
_xlfn.IFS(_xlpm.MyAuditVal&lt;&gt;"",UPPER(_xlpm.MyAuditVal),_xlpm.MacVal&lt;&gt;"",_xlpm.MacVal,_xlpm.CSVVal&lt;&gt;"",_xlpm.CSVVal
)),"")</f>
        <v/>
      </c>
      <c r="L631" s="54" t="str" cm="1">
        <f t="array" ref="L631">IFERROR(_xlfn.LET(
_xlpm.CSVVal,_xlfn.XLOOKUP($A631,CSV!$A:$A,CSV!O:O,""),
_xlpm.MacVal,_xlfn.XLOOKUP($A631,Output_Mac!$A:$A,Output_Mac!M:M,""),
_xlpm.MyAuditVal,_xlfn.XLOOKUP($A631,My_Audit!$A:$A,My_Audit!K:K,""),
_xlfn.IFS(_xlpm.MyAuditVal&lt;&gt;"",UPPER(_xlpm.MyAuditVal),_xlpm.MacVal&lt;&gt;"",_xlpm.MacVal,_xlpm.CSVVal&lt;&gt;"",_xlpm.CSVVal
)),"")</f>
        <v/>
      </c>
      <c r="M631" s="54" t="str">
        <f>_xlfn.LET(
    _xlpm.CSVVal, _xlfn.XLOOKUP($A631, CSV!$A:$A, CSV!AD:AD, ""),
    _xlpm.MacVal, _xlfn.XLOOKUP($A631, Output_Mac!$A:$A, Output_Mac!S:S, ""),
    _xlpm.MyAuditVal, _xlfn.XLOOKUP($A631, My_Audit!$A:$A, My_Audit!N:N, ""),
    _xlfn.TEXTJOIN(", ", TRUE, _xlpm.MyAuditVal, _xlpm.MacVal, _xlpm.CSVVal)
)</f>
        <v/>
      </c>
      <c r="N631" s="54" t="str" cm="1">
        <f t="array" ref="N631">IFERROR(_xlfn.LET(
_xlpm.CSVVal,_xlfn.XLOOKUP($A631,CSV!$A:$A,CSV!AF:AF,""),
_xlpm.MacVal,_xlfn.XLOOKUP($A631,Output_Mac!$A:$A,Output_Mac!U:U,""),
_xlpm.MyAuditVal,_xlfn.XLOOKUP($A631,My_Audit!$A:$A,My_Audit!O:O,""),
_xlfn.IFS(_xlpm.MyAuditVal&lt;&gt;"",UPPER(_xlpm.MyAuditVal),_xlpm.MacVal&lt;&gt;"",_xlpm.MacVal,_xlpm.CSVVal&lt;&gt;"",_xlpm.CSVVal
)),"")</f>
        <v/>
      </c>
      <c r="O631" s="54"/>
      <c r="P631" s="54"/>
      <c r="Q631" s="54"/>
      <c r="R631" s="54"/>
      <c r="S631" s="54"/>
      <c r="T631" s="54"/>
      <c r="U631" s="39"/>
    </row>
    <row r="632" spans="1:21">
      <c r="A632" s="54" t="str">
        <f>_xlfn.TEXTJOIN("",TRUE,Input!$B$2,ROW(My_Audit!A631))</f>
        <v>XX631</v>
      </c>
      <c r="B632" s="54" t="str">
        <f>_xlfn.TEXTJOIN("-",TRUE,"ITD",Input!$A$2,A632)</f>
        <v>ITD-SHRXXX-XX631</v>
      </c>
      <c r="C632" s="54" t="str" cm="1">
        <f t="array" ref="C632">IFERROR(_xlfn.LET(
_xlpm.CSVVal,_xlfn.XLOOKUP($A632,CSV!$A:$A,CSV!B:B,""),
_xlpm.MacVal,_xlfn.XLOOKUP($A632,Output_Mac!$A:$A,Output_Mac!B:B,""),
_xlpm.MyAuditVal,_xlfn.XLOOKUP($A632,My_Audit!$A:$A,My_Audit!B:B,""),
_xlfn.IFS(_xlpm.MyAuditVal&lt;&gt;"",UPPER(_xlpm.MyAuditVal),_xlpm.MacVal&lt;&gt;"",_xlpm.MacVal,_xlpm.CSVVal&lt;&gt;"",_xlpm.CSVVal
)),"")</f>
        <v/>
      </c>
      <c r="D632" s="55" t="str">
        <f>_xlfn.XLOOKUP(A632,My_Audit!A:A,My_Audit!D:D,"")&amp;""</f>
        <v/>
      </c>
      <c r="E632" s="55" t="str" cm="1">
        <f t="array" ref="E632">IFERROR(_xlfn.LET(
_xlpm.CSVVal,_xlfn.XLOOKUP($A632,CSV!$A:$A,CSV!D:D,""),
_xlpm.MacVal,_xlfn.XLOOKUP($A632,Output_Mac!$A:$A,Output_Mac!C:C,""),
_xlpm.MyAuditVal,_xlfn.XLOOKUP($A632,My_Audit!$A:$A,My_Audit!D:D,""),
_xlfn.IFS(_xlpm.MyAuditVal&lt;&gt;"",_xlpm.MyAuditVal,_xlpm.MacVal&lt;&gt;"",_xlpm.MacVal,_xlpm.CSVVal&lt;&gt;"",_xlpm.CSVVal
)),"")</f>
        <v/>
      </c>
      <c r="F632" s="54" t="str" cm="1">
        <f t="array" ref="F632">IFERROR(_xlfn.LET(
_xlpm.CSVVal,_xlfn.XLOOKUP($A632,CSV!$A:$A,CSV!E:E,""),
_xlpm.MacVal,_xlfn.XLOOKUP($A632,Output_Mac!$A:$A,Output_Mac!F:F,""),
_xlpm.MyAuditVal,_xlfn.XLOOKUP($A632,My_Audit!$A:$A,My_Audit!E:E,""),
_xlfn.IFS(_xlpm.MyAuditVal&lt;&gt;"",_xlpm.MyAuditVal,_xlpm.MacVal&lt;&gt;"",_xlpm.MacVal,_xlpm.CSVVal&lt;&gt;"",PROPER(_xlpm.CSVVal)
)),"")</f>
        <v/>
      </c>
      <c r="G632" s="54" t="str" cm="1">
        <f t="array" ref="G632">IFERROR(_xlfn.LET(
_xlpm.CSVVal,_xlfn.XLOOKUP($A632,CSV!$A:$A,CSV!F:F,""),
_xlpm.MacVal,_xlfn.XLOOKUP($A632,Output_Mac!$A:$A,Output_Mac!H:H,""),
_xlpm.MyAuditVal,_xlfn.XLOOKUP($A632,My_Audit!$A:$A,My_Audit!F:F,""),
_xlfn.IFS(_xlpm.MyAuditVal&lt;&gt;"",_xlpm.MyAuditVal,_xlpm.MacVal&lt;&gt;"",_xlpm.MacVal,_xlpm.CSVVal&lt;&gt;"",_xlpm.CSVVal
)),"")</f>
        <v/>
      </c>
      <c r="H632" s="54" t="str">
        <f>_xlfn.XLOOKUP(A632,Output_Mac!A:A,Output_Mac!I:I,"")</f>
        <v/>
      </c>
      <c r="I632" s="54" t="str" cm="1">
        <f t="array" ref="I632">IFERROR(_xlfn.LET(
_xlpm.CSVVal,_xlfn.XLOOKUP($A632,CSV!$A:$A,CSV!G:G,""),
_xlpm.MacVal,_xlfn.XLOOKUP($A632,Output_Mac!$A:$A,Output_Mac!J:J,""),
_xlpm.MyAuditVal,_xlfn.XLOOKUP($A632,My_Audit!$A:$A,My_Audit!H:H,""),
_xlfn.IFS(_xlpm.MyAuditVal&lt;&gt;"",UPPER(_xlpm.MyAuditVal),_xlpm.MacVal&lt;&gt;"",_xlpm.MacVal,_xlpm.CSVVal&lt;&gt;"",_xlpm.CSVVal
)),"")</f>
        <v/>
      </c>
      <c r="J632" s="54" t="str" cm="1">
        <f t="array" ref="J632">IFERROR(_xlfn.LET(
_xlpm.CSVVal,_xlfn.XLOOKUP($A632,CSV!$A:$A,CSV!I:I,""),
_xlpm.MacVal,_xlfn.XLOOKUP($A632,Output_Mac!$A:$A,Output_Mac!K:K,""),
_xlpm.MyAuditVal,_xlfn.XLOOKUP($A632,My_Audit!$A:$A,My_Audit!I:I,""),
_xlfn.IFS(_xlpm.MyAuditVal&lt;&gt;"",UPPER(_xlpm.MyAuditVal),_xlpm.MacVal&lt;&gt;"",_xlpm.MacVal,_xlpm.CSVVal&lt;&gt;"",_xlpm.CSVVal
)),"")</f>
        <v/>
      </c>
      <c r="K632" s="54" t="str" cm="1">
        <f t="array" ref="K632">IFERROR(_xlfn.LET(
_xlpm.CSVVal,_xlfn.XLOOKUP($A632,CSV!$A:$A,CSV!M:M,""),
_xlpm.MacVal,_xlfn.XLOOKUP($A632,Output_Mac!$A:$A,Output_Mac!L:L,""),
_xlpm.MyAuditVal,_xlfn.XLOOKUP($A632,My_Audit!$A:$A,My_Audit!J:J,""),
_xlfn.IFS(_xlpm.MyAuditVal&lt;&gt;"",UPPER(_xlpm.MyAuditVal),_xlpm.MacVal&lt;&gt;"",_xlpm.MacVal,_xlpm.CSVVal&lt;&gt;"",_xlpm.CSVVal
)),"")</f>
        <v/>
      </c>
      <c r="L632" s="54" t="str" cm="1">
        <f t="array" ref="L632">IFERROR(_xlfn.LET(
_xlpm.CSVVal,_xlfn.XLOOKUP($A632,CSV!$A:$A,CSV!O:O,""),
_xlpm.MacVal,_xlfn.XLOOKUP($A632,Output_Mac!$A:$A,Output_Mac!M:M,""),
_xlpm.MyAuditVal,_xlfn.XLOOKUP($A632,My_Audit!$A:$A,My_Audit!K:K,""),
_xlfn.IFS(_xlpm.MyAuditVal&lt;&gt;"",UPPER(_xlpm.MyAuditVal),_xlpm.MacVal&lt;&gt;"",_xlpm.MacVal,_xlpm.CSVVal&lt;&gt;"",_xlpm.CSVVal
)),"")</f>
        <v/>
      </c>
      <c r="M632" s="54" t="str">
        <f>_xlfn.LET(
    _xlpm.CSVVal, _xlfn.XLOOKUP($A632, CSV!$A:$A, CSV!AD:AD, ""),
    _xlpm.MacVal, _xlfn.XLOOKUP($A632, Output_Mac!$A:$A, Output_Mac!S:S, ""),
    _xlpm.MyAuditVal, _xlfn.XLOOKUP($A632, My_Audit!$A:$A, My_Audit!N:N, ""),
    _xlfn.TEXTJOIN(", ", TRUE, _xlpm.MyAuditVal, _xlpm.MacVal, _xlpm.CSVVal)
)</f>
        <v/>
      </c>
      <c r="N632" s="54" t="str" cm="1">
        <f t="array" ref="N632">IFERROR(_xlfn.LET(
_xlpm.CSVVal,_xlfn.XLOOKUP($A632,CSV!$A:$A,CSV!AF:AF,""),
_xlpm.MacVal,_xlfn.XLOOKUP($A632,Output_Mac!$A:$A,Output_Mac!U:U,""),
_xlpm.MyAuditVal,_xlfn.XLOOKUP($A632,My_Audit!$A:$A,My_Audit!O:O,""),
_xlfn.IFS(_xlpm.MyAuditVal&lt;&gt;"",UPPER(_xlpm.MyAuditVal),_xlpm.MacVal&lt;&gt;"",_xlpm.MacVal,_xlpm.CSVVal&lt;&gt;"",_xlpm.CSVVal
)),"")</f>
        <v/>
      </c>
      <c r="O632" s="54"/>
      <c r="P632" s="54"/>
      <c r="Q632" s="54"/>
      <c r="R632" s="54"/>
      <c r="S632" s="54"/>
      <c r="T632" s="54"/>
      <c r="U632" s="39"/>
    </row>
    <row r="633" spans="1:21">
      <c r="A633" s="54" t="str">
        <f>_xlfn.TEXTJOIN("",TRUE,Input!$B$2,ROW(My_Audit!A632))</f>
        <v>XX632</v>
      </c>
      <c r="B633" s="54" t="str">
        <f>_xlfn.TEXTJOIN("-",TRUE,"ITD",Input!$A$2,A633)</f>
        <v>ITD-SHRXXX-XX632</v>
      </c>
      <c r="C633" s="54" t="str" cm="1">
        <f t="array" ref="C633">IFERROR(_xlfn.LET(
_xlpm.CSVVal,_xlfn.XLOOKUP($A633,CSV!$A:$A,CSV!B:B,""),
_xlpm.MacVal,_xlfn.XLOOKUP($A633,Output_Mac!$A:$A,Output_Mac!B:B,""),
_xlpm.MyAuditVal,_xlfn.XLOOKUP($A633,My_Audit!$A:$A,My_Audit!B:B,""),
_xlfn.IFS(_xlpm.MyAuditVal&lt;&gt;"",UPPER(_xlpm.MyAuditVal),_xlpm.MacVal&lt;&gt;"",_xlpm.MacVal,_xlpm.CSVVal&lt;&gt;"",_xlpm.CSVVal
)),"")</f>
        <v/>
      </c>
      <c r="D633" s="55" t="str">
        <f>_xlfn.XLOOKUP(A633,My_Audit!A:A,My_Audit!D:D,"")&amp;""</f>
        <v/>
      </c>
      <c r="E633" s="55" t="str" cm="1">
        <f t="array" ref="E633">IFERROR(_xlfn.LET(
_xlpm.CSVVal,_xlfn.XLOOKUP($A633,CSV!$A:$A,CSV!D:D,""),
_xlpm.MacVal,_xlfn.XLOOKUP($A633,Output_Mac!$A:$A,Output_Mac!C:C,""),
_xlpm.MyAuditVal,_xlfn.XLOOKUP($A633,My_Audit!$A:$A,My_Audit!D:D,""),
_xlfn.IFS(_xlpm.MyAuditVal&lt;&gt;"",_xlpm.MyAuditVal,_xlpm.MacVal&lt;&gt;"",_xlpm.MacVal,_xlpm.CSVVal&lt;&gt;"",_xlpm.CSVVal
)),"")</f>
        <v/>
      </c>
      <c r="F633" s="54" t="str" cm="1">
        <f t="array" ref="F633">IFERROR(_xlfn.LET(
_xlpm.CSVVal,_xlfn.XLOOKUP($A633,CSV!$A:$A,CSV!E:E,""),
_xlpm.MacVal,_xlfn.XLOOKUP($A633,Output_Mac!$A:$A,Output_Mac!F:F,""),
_xlpm.MyAuditVal,_xlfn.XLOOKUP($A633,My_Audit!$A:$A,My_Audit!E:E,""),
_xlfn.IFS(_xlpm.MyAuditVal&lt;&gt;"",_xlpm.MyAuditVal,_xlpm.MacVal&lt;&gt;"",_xlpm.MacVal,_xlpm.CSVVal&lt;&gt;"",PROPER(_xlpm.CSVVal)
)),"")</f>
        <v/>
      </c>
      <c r="G633" s="54" t="str" cm="1">
        <f t="array" ref="G633">IFERROR(_xlfn.LET(
_xlpm.CSVVal,_xlfn.XLOOKUP($A633,CSV!$A:$A,CSV!F:F,""),
_xlpm.MacVal,_xlfn.XLOOKUP($A633,Output_Mac!$A:$A,Output_Mac!H:H,""),
_xlpm.MyAuditVal,_xlfn.XLOOKUP($A633,My_Audit!$A:$A,My_Audit!F:F,""),
_xlfn.IFS(_xlpm.MyAuditVal&lt;&gt;"",_xlpm.MyAuditVal,_xlpm.MacVal&lt;&gt;"",_xlpm.MacVal,_xlpm.CSVVal&lt;&gt;"",_xlpm.CSVVal
)),"")</f>
        <v/>
      </c>
      <c r="H633" s="54" t="str">
        <f>_xlfn.XLOOKUP(A633,Output_Mac!A:A,Output_Mac!I:I,"")</f>
        <v/>
      </c>
      <c r="I633" s="54" t="str" cm="1">
        <f t="array" ref="I633">IFERROR(_xlfn.LET(
_xlpm.CSVVal,_xlfn.XLOOKUP($A633,CSV!$A:$A,CSV!G:G,""),
_xlpm.MacVal,_xlfn.XLOOKUP($A633,Output_Mac!$A:$A,Output_Mac!J:J,""),
_xlpm.MyAuditVal,_xlfn.XLOOKUP($A633,My_Audit!$A:$A,My_Audit!H:H,""),
_xlfn.IFS(_xlpm.MyAuditVal&lt;&gt;"",UPPER(_xlpm.MyAuditVal),_xlpm.MacVal&lt;&gt;"",_xlpm.MacVal,_xlpm.CSVVal&lt;&gt;"",_xlpm.CSVVal
)),"")</f>
        <v/>
      </c>
      <c r="J633" s="54" t="str" cm="1">
        <f t="array" ref="J633">IFERROR(_xlfn.LET(
_xlpm.CSVVal,_xlfn.XLOOKUP($A633,CSV!$A:$A,CSV!I:I,""),
_xlpm.MacVal,_xlfn.XLOOKUP($A633,Output_Mac!$A:$A,Output_Mac!K:K,""),
_xlpm.MyAuditVal,_xlfn.XLOOKUP($A633,My_Audit!$A:$A,My_Audit!I:I,""),
_xlfn.IFS(_xlpm.MyAuditVal&lt;&gt;"",UPPER(_xlpm.MyAuditVal),_xlpm.MacVal&lt;&gt;"",_xlpm.MacVal,_xlpm.CSVVal&lt;&gt;"",_xlpm.CSVVal
)),"")</f>
        <v/>
      </c>
      <c r="K633" s="54" t="str" cm="1">
        <f t="array" ref="K633">IFERROR(_xlfn.LET(
_xlpm.CSVVal,_xlfn.XLOOKUP($A633,CSV!$A:$A,CSV!M:M,""),
_xlpm.MacVal,_xlfn.XLOOKUP($A633,Output_Mac!$A:$A,Output_Mac!L:L,""),
_xlpm.MyAuditVal,_xlfn.XLOOKUP($A633,My_Audit!$A:$A,My_Audit!J:J,""),
_xlfn.IFS(_xlpm.MyAuditVal&lt;&gt;"",UPPER(_xlpm.MyAuditVal),_xlpm.MacVal&lt;&gt;"",_xlpm.MacVal,_xlpm.CSVVal&lt;&gt;"",_xlpm.CSVVal
)),"")</f>
        <v/>
      </c>
      <c r="L633" s="54" t="str" cm="1">
        <f t="array" ref="L633">IFERROR(_xlfn.LET(
_xlpm.CSVVal,_xlfn.XLOOKUP($A633,CSV!$A:$A,CSV!O:O,""),
_xlpm.MacVal,_xlfn.XLOOKUP($A633,Output_Mac!$A:$A,Output_Mac!M:M,""),
_xlpm.MyAuditVal,_xlfn.XLOOKUP($A633,My_Audit!$A:$A,My_Audit!K:K,""),
_xlfn.IFS(_xlpm.MyAuditVal&lt;&gt;"",UPPER(_xlpm.MyAuditVal),_xlpm.MacVal&lt;&gt;"",_xlpm.MacVal,_xlpm.CSVVal&lt;&gt;"",_xlpm.CSVVal
)),"")</f>
        <v/>
      </c>
      <c r="M633" s="54" t="str">
        <f>_xlfn.LET(
    _xlpm.CSVVal, _xlfn.XLOOKUP($A633, CSV!$A:$A, CSV!AD:AD, ""),
    _xlpm.MacVal, _xlfn.XLOOKUP($A633, Output_Mac!$A:$A, Output_Mac!S:S, ""),
    _xlpm.MyAuditVal, _xlfn.XLOOKUP($A633, My_Audit!$A:$A, My_Audit!N:N, ""),
    _xlfn.TEXTJOIN(", ", TRUE, _xlpm.MyAuditVal, _xlpm.MacVal, _xlpm.CSVVal)
)</f>
        <v/>
      </c>
      <c r="N633" s="54" t="str" cm="1">
        <f t="array" ref="N633">IFERROR(_xlfn.LET(
_xlpm.CSVVal,_xlfn.XLOOKUP($A633,CSV!$A:$A,CSV!AF:AF,""),
_xlpm.MacVal,_xlfn.XLOOKUP($A633,Output_Mac!$A:$A,Output_Mac!U:U,""),
_xlpm.MyAuditVal,_xlfn.XLOOKUP($A633,My_Audit!$A:$A,My_Audit!O:O,""),
_xlfn.IFS(_xlpm.MyAuditVal&lt;&gt;"",UPPER(_xlpm.MyAuditVal),_xlpm.MacVal&lt;&gt;"",_xlpm.MacVal,_xlpm.CSVVal&lt;&gt;"",_xlpm.CSVVal
)),"")</f>
        <v/>
      </c>
      <c r="O633" s="54"/>
      <c r="P633" s="54"/>
      <c r="Q633" s="54"/>
      <c r="R633" s="54"/>
      <c r="S633" s="54"/>
      <c r="T633" s="54"/>
      <c r="U633" s="39"/>
    </row>
    <row r="634" spans="1:21">
      <c r="A634" s="54" t="str">
        <f>_xlfn.TEXTJOIN("",TRUE,Input!$B$2,ROW(My_Audit!A633))</f>
        <v>XX633</v>
      </c>
      <c r="B634" s="54" t="str">
        <f>_xlfn.TEXTJOIN("-",TRUE,"ITD",Input!$A$2,A634)</f>
        <v>ITD-SHRXXX-XX633</v>
      </c>
      <c r="C634" s="54" t="str" cm="1">
        <f t="array" ref="C634">IFERROR(_xlfn.LET(
_xlpm.CSVVal,_xlfn.XLOOKUP($A634,CSV!$A:$A,CSV!B:B,""),
_xlpm.MacVal,_xlfn.XLOOKUP($A634,Output_Mac!$A:$A,Output_Mac!B:B,""),
_xlpm.MyAuditVal,_xlfn.XLOOKUP($A634,My_Audit!$A:$A,My_Audit!B:B,""),
_xlfn.IFS(_xlpm.MyAuditVal&lt;&gt;"",UPPER(_xlpm.MyAuditVal),_xlpm.MacVal&lt;&gt;"",_xlpm.MacVal,_xlpm.CSVVal&lt;&gt;"",_xlpm.CSVVal
)),"")</f>
        <v/>
      </c>
      <c r="D634" s="55" t="str">
        <f>_xlfn.XLOOKUP(A634,My_Audit!A:A,My_Audit!D:D,"")&amp;""</f>
        <v/>
      </c>
      <c r="E634" s="55" t="str" cm="1">
        <f t="array" ref="E634">IFERROR(_xlfn.LET(
_xlpm.CSVVal,_xlfn.XLOOKUP($A634,CSV!$A:$A,CSV!D:D,""),
_xlpm.MacVal,_xlfn.XLOOKUP($A634,Output_Mac!$A:$A,Output_Mac!C:C,""),
_xlpm.MyAuditVal,_xlfn.XLOOKUP($A634,My_Audit!$A:$A,My_Audit!D:D,""),
_xlfn.IFS(_xlpm.MyAuditVal&lt;&gt;"",_xlpm.MyAuditVal,_xlpm.MacVal&lt;&gt;"",_xlpm.MacVal,_xlpm.CSVVal&lt;&gt;"",_xlpm.CSVVal
)),"")</f>
        <v/>
      </c>
      <c r="F634" s="54" t="str" cm="1">
        <f t="array" ref="F634">IFERROR(_xlfn.LET(
_xlpm.CSVVal,_xlfn.XLOOKUP($A634,CSV!$A:$A,CSV!E:E,""),
_xlpm.MacVal,_xlfn.XLOOKUP($A634,Output_Mac!$A:$A,Output_Mac!F:F,""),
_xlpm.MyAuditVal,_xlfn.XLOOKUP($A634,My_Audit!$A:$A,My_Audit!E:E,""),
_xlfn.IFS(_xlpm.MyAuditVal&lt;&gt;"",_xlpm.MyAuditVal,_xlpm.MacVal&lt;&gt;"",_xlpm.MacVal,_xlpm.CSVVal&lt;&gt;"",PROPER(_xlpm.CSVVal)
)),"")</f>
        <v/>
      </c>
      <c r="G634" s="54" t="str" cm="1">
        <f t="array" ref="G634">IFERROR(_xlfn.LET(
_xlpm.CSVVal,_xlfn.XLOOKUP($A634,CSV!$A:$A,CSV!F:F,""),
_xlpm.MacVal,_xlfn.XLOOKUP($A634,Output_Mac!$A:$A,Output_Mac!H:H,""),
_xlpm.MyAuditVal,_xlfn.XLOOKUP($A634,My_Audit!$A:$A,My_Audit!F:F,""),
_xlfn.IFS(_xlpm.MyAuditVal&lt;&gt;"",_xlpm.MyAuditVal,_xlpm.MacVal&lt;&gt;"",_xlpm.MacVal,_xlpm.CSVVal&lt;&gt;"",_xlpm.CSVVal
)),"")</f>
        <v/>
      </c>
      <c r="H634" s="54" t="str">
        <f>_xlfn.XLOOKUP(A634,Output_Mac!A:A,Output_Mac!I:I,"")</f>
        <v/>
      </c>
      <c r="I634" s="54" t="str" cm="1">
        <f t="array" ref="I634">IFERROR(_xlfn.LET(
_xlpm.CSVVal,_xlfn.XLOOKUP($A634,CSV!$A:$A,CSV!G:G,""),
_xlpm.MacVal,_xlfn.XLOOKUP($A634,Output_Mac!$A:$A,Output_Mac!J:J,""),
_xlpm.MyAuditVal,_xlfn.XLOOKUP($A634,My_Audit!$A:$A,My_Audit!H:H,""),
_xlfn.IFS(_xlpm.MyAuditVal&lt;&gt;"",UPPER(_xlpm.MyAuditVal),_xlpm.MacVal&lt;&gt;"",_xlpm.MacVal,_xlpm.CSVVal&lt;&gt;"",_xlpm.CSVVal
)),"")</f>
        <v/>
      </c>
      <c r="J634" s="54" t="str" cm="1">
        <f t="array" ref="J634">IFERROR(_xlfn.LET(
_xlpm.CSVVal,_xlfn.XLOOKUP($A634,CSV!$A:$A,CSV!I:I,""),
_xlpm.MacVal,_xlfn.XLOOKUP($A634,Output_Mac!$A:$A,Output_Mac!K:K,""),
_xlpm.MyAuditVal,_xlfn.XLOOKUP($A634,My_Audit!$A:$A,My_Audit!I:I,""),
_xlfn.IFS(_xlpm.MyAuditVal&lt;&gt;"",UPPER(_xlpm.MyAuditVal),_xlpm.MacVal&lt;&gt;"",_xlpm.MacVal,_xlpm.CSVVal&lt;&gt;"",_xlpm.CSVVal
)),"")</f>
        <v/>
      </c>
      <c r="K634" s="54" t="str" cm="1">
        <f t="array" ref="K634">IFERROR(_xlfn.LET(
_xlpm.CSVVal,_xlfn.XLOOKUP($A634,CSV!$A:$A,CSV!M:M,""),
_xlpm.MacVal,_xlfn.XLOOKUP($A634,Output_Mac!$A:$A,Output_Mac!L:L,""),
_xlpm.MyAuditVal,_xlfn.XLOOKUP($A634,My_Audit!$A:$A,My_Audit!J:J,""),
_xlfn.IFS(_xlpm.MyAuditVal&lt;&gt;"",UPPER(_xlpm.MyAuditVal),_xlpm.MacVal&lt;&gt;"",_xlpm.MacVal,_xlpm.CSVVal&lt;&gt;"",_xlpm.CSVVal
)),"")</f>
        <v/>
      </c>
      <c r="L634" s="54" t="str" cm="1">
        <f t="array" ref="L634">IFERROR(_xlfn.LET(
_xlpm.CSVVal,_xlfn.XLOOKUP($A634,CSV!$A:$A,CSV!O:O,""),
_xlpm.MacVal,_xlfn.XLOOKUP($A634,Output_Mac!$A:$A,Output_Mac!M:M,""),
_xlpm.MyAuditVal,_xlfn.XLOOKUP($A634,My_Audit!$A:$A,My_Audit!K:K,""),
_xlfn.IFS(_xlpm.MyAuditVal&lt;&gt;"",UPPER(_xlpm.MyAuditVal),_xlpm.MacVal&lt;&gt;"",_xlpm.MacVal,_xlpm.CSVVal&lt;&gt;"",_xlpm.CSVVal
)),"")</f>
        <v/>
      </c>
      <c r="M634" s="54" t="str">
        <f>_xlfn.LET(
    _xlpm.CSVVal, _xlfn.XLOOKUP($A634, CSV!$A:$A, CSV!AD:AD, ""),
    _xlpm.MacVal, _xlfn.XLOOKUP($A634, Output_Mac!$A:$A, Output_Mac!S:S, ""),
    _xlpm.MyAuditVal, _xlfn.XLOOKUP($A634, My_Audit!$A:$A, My_Audit!N:N, ""),
    _xlfn.TEXTJOIN(", ", TRUE, _xlpm.MyAuditVal, _xlpm.MacVal, _xlpm.CSVVal)
)</f>
        <v/>
      </c>
      <c r="N634" s="54" t="str" cm="1">
        <f t="array" ref="N634">IFERROR(_xlfn.LET(
_xlpm.CSVVal,_xlfn.XLOOKUP($A634,CSV!$A:$A,CSV!AF:AF,""),
_xlpm.MacVal,_xlfn.XLOOKUP($A634,Output_Mac!$A:$A,Output_Mac!U:U,""),
_xlpm.MyAuditVal,_xlfn.XLOOKUP($A634,My_Audit!$A:$A,My_Audit!O:O,""),
_xlfn.IFS(_xlpm.MyAuditVal&lt;&gt;"",UPPER(_xlpm.MyAuditVal),_xlpm.MacVal&lt;&gt;"",_xlpm.MacVal,_xlpm.CSVVal&lt;&gt;"",_xlpm.CSVVal
)),"")</f>
        <v/>
      </c>
      <c r="O634" s="54"/>
      <c r="P634" s="54"/>
      <c r="Q634" s="54"/>
      <c r="R634" s="54"/>
      <c r="S634" s="54"/>
      <c r="T634" s="54"/>
      <c r="U634" s="39"/>
    </row>
    <row r="635" spans="1:21">
      <c r="A635" s="54" t="str">
        <f>_xlfn.TEXTJOIN("",TRUE,Input!$B$2,ROW(My_Audit!A634))</f>
        <v>XX634</v>
      </c>
      <c r="B635" s="54" t="str">
        <f>_xlfn.TEXTJOIN("-",TRUE,"ITD",Input!$A$2,A635)</f>
        <v>ITD-SHRXXX-XX634</v>
      </c>
      <c r="C635" s="54" t="str" cm="1">
        <f t="array" ref="C635">IFERROR(_xlfn.LET(
_xlpm.CSVVal,_xlfn.XLOOKUP($A635,CSV!$A:$A,CSV!B:B,""),
_xlpm.MacVal,_xlfn.XLOOKUP($A635,Output_Mac!$A:$A,Output_Mac!B:B,""),
_xlpm.MyAuditVal,_xlfn.XLOOKUP($A635,My_Audit!$A:$A,My_Audit!B:B,""),
_xlfn.IFS(_xlpm.MyAuditVal&lt;&gt;"",UPPER(_xlpm.MyAuditVal),_xlpm.MacVal&lt;&gt;"",_xlpm.MacVal,_xlpm.CSVVal&lt;&gt;"",_xlpm.CSVVal
)),"")</f>
        <v/>
      </c>
      <c r="D635" s="55" t="str">
        <f>_xlfn.XLOOKUP(A635,My_Audit!A:A,My_Audit!D:D,"")&amp;""</f>
        <v/>
      </c>
      <c r="E635" s="55" t="str" cm="1">
        <f t="array" ref="E635">IFERROR(_xlfn.LET(
_xlpm.CSVVal,_xlfn.XLOOKUP($A635,CSV!$A:$A,CSV!D:D,""),
_xlpm.MacVal,_xlfn.XLOOKUP($A635,Output_Mac!$A:$A,Output_Mac!C:C,""),
_xlpm.MyAuditVal,_xlfn.XLOOKUP($A635,My_Audit!$A:$A,My_Audit!D:D,""),
_xlfn.IFS(_xlpm.MyAuditVal&lt;&gt;"",_xlpm.MyAuditVal,_xlpm.MacVal&lt;&gt;"",_xlpm.MacVal,_xlpm.CSVVal&lt;&gt;"",_xlpm.CSVVal
)),"")</f>
        <v/>
      </c>
      <c r="F635" s="54" t="str" cm="1">
        <f t="array" ref="F635">IFERROR(_xlfn.LET(
_xlpm.CSVVal,_xlfn.XLOOKUP($A635,CSV!$A:$A,CSV!E:E,""),
_xlpm.MacVal,_xlfn.XLOOKUP($A635,Output_Mac!$A:$A,Output_Mac!F:F,""),
_xlpm.MyAuditVal,_xlfn.XLOOKUP($A635,My_Audit!$A:$A,My_Audit!E:E,""),
_xlfn.IFS(_xlpm.MyAuditVal&lt;&gt;"",_xlpm.MyAuditVal,_xlpm.MacVal&lt;&gt;"",_xlpm.MacVal,_xlpm.CSVVal&lt;&gt;"",PROPER(_xlpm.CSVVal)
)),"")</f>
        <v/>
      </c>
      <c r="G635" s="54" t="str" cm="1">
        <f t="array" ref="G635">IFERROR(_xlfn.LET(
_xlpm.CSVVal,_xlfn.XLOOKUP($A635,CSV!$A:$A,CSV!F:F,""),
_xlpm.MacVal,_xlfn.XLOOKUP($A635,Output_Mac!$A:$A,Output_Mac!H:H,""),
_xlpm.MyAuditVal,_xlfn.XLOOKUP($A635,My_Audit!$A:$A,My_Audit!F:F,""),
_xlfn.IFS(_xlpm.MyAuditVal&lt;&gt;"",_xlpm.MyAuditVal,_xlpm.MacVal&lt;&gt;"",_xlpm.MacVal,_xlpm.CSVVal&lt;&gt;"",_xlpm.CSVVal
)),"")</f>
        <v/>
      </c>
      <c r="H635" s="54" t="str">
        <f>_xlfn.XLOOKUP(A635,Output_Mac!A:A,Output_Mac!I:I,"")</f>
        <v/>
      </c>
      <c r="I635" s="54" t="str" cm="1">
        <f t="array" ref="I635">IFERROR(_xlfn.LET(
_xlpm.CSVVal,_xlfn.XLOOKUP($A635,CSV!$A:$A,CSV!G:G,""),
_xlpm.MacVal,_xlfn.XLOOKUP($A635,Output_Mac!$A:$A,Output_Mac!J:J,""),
_xlpm.MyAuditVal,_xlfn.XLOOKUP($A635,My_Audit!$A:$A,My_Audit!H:H,""),
_xlfn.IFS(_xlpm.MyAuditVal&lt;&gt;"",UPPER(_xlpm.MyAuditVal),_xlpm.MacVal&lt;&gt;"",_xlpm.MacVal,_xlpm.CSVVal&lt;&gt;"",_xlpm.CSVVal
)),"")</f>
        <v/>
      </c>
      <c r="J635" s="54" t="str" cm="1">
        <f t="array" ref="J635">IFERROR(_xlfn.LET(
_xlpm.CSVVal,_xlfn.XLOOKUP($A635,CSV!$A:$A,CSV!I:I,""),
_xlpm.MacVal,_xlfn.XLOOKUP($A635,Output_Mac!$A:$A,Output_Mac!K:K,""),
_xlpm.MyAuditVal,_xlfn.XLOOKUP($A635,My_Audit!$A:$A,My_Audit!I:I,""),
_xlfn.IFS(_xlpm.MyAuditVal&lt;&gt;"",UPPER(_xlpm.MyAuditVal),_xlpm.MacVal&lt;&gt;"",_xlpm.MacVal,_xlpm.CSVVal&lt;&gt;"",_xlpm.CSVVal
)),"")</f>
        <v/>
      </c>
      <c r="K635" s="54" t="str" cm="1">
        <f t="array" ref="K635">IFERROR(_xlfn.LET(
_xlpm.CSVVal,_xlfn.XLOOKUP($A635,CSV!$A:$A,CSV!M:M,""),
_xlpm.MacVal,_xlfn.XLOOKUP($A635,Output_Mac!$A:$A,Output_Mac!L:L,""),
_xlpm.MyAuditVal,_xlfn.XLOOKUP($A635,My_Audit!$A:$A,My_Audit!J:J,""),
_xlfn.IFS(_xlpm.MyAuditVal&lt;&gt;"",UPPER(_xlpm.MyAuditVal),_xlpm.MacVal&lt;&gt;"",_xlpm.MacVal,_xlpm.CSVVal&lt;&gt;"",_xlpm.CSVVal
)),"")</f>
        <v/>
      </c>
      <c r="L635" s="54" t="str" cm="1">
        <f t="array" ref="L635">IFERROR(_xlfn.LET(
_xlpm.CSVVal,_xlfn.XLOOKUP($A635,CSV!$A:$A,CSV!O:O,""),
_xlpm.MacVal,_xlfn.XLOOKUP($A635,Output_Mac!$A:$A,Output_Mac!M:M,""),
_xlpm.MyAuditVal,_xlfn.XLOOKUP($A635,My_Audit!$A:$A,My_Audit!K:K,""),
_xlfn.IFS(_xlpm.MyAuditVal&lt;&gt;"",UPPER(_xlpm.MyAuditVal),_xlpm.MacVal&lt;&gt;"",_xlpm.MacVal,_xlpm.CSVVal&lt;&gt;"",_xlpm.CSVVal
)),"")</f>
        <v/>
      </c>
      <c r="M635" s="54" t="str">
        <f>_xlfn.LET(
    _xlpm.CSVVal, _xlfn.XLOOKUP($A635, CSV!$A:$A, CSV!AD:AD, ""),
    _xlpm.MacVal, _xlfn.XLOOKUP($A635, Output_Mac!$A:$A, Output_Mac!S:S, ""),
    _xlpm.MyAuditVal, _xlfn.XLOOKUP($A635, My_Audit!$A:$A, My_Audit!N:N, ""),
    _xlfn.TEXTJOIN(", ", TRUE, _xlpm.MyAuditVal, _xlpm.MacVal, _xlpm.CSVVal)
)</f>
        <v/>
      </c>
      <c r="N635" s="54" t="str" cm="1">
        <f t="array" ref="N635">IFERROR(_xlfn.LET(
_xlpm.CSVVal,_xlfn.XLOOKUP($A635,CSV!$A:$A,CSV!AF:AF,""),
_xlpm.MacVal,_xlfn.XLOOKUP($A635,Output_Mac!$A:$A,Output_Mac!U:U,""),
_xlpm.MyAuditVal,_xlfn.XLOOKUP($A635,My_Audit!$A:$A,My_Audit!O:O,""),
_xlfn.IFS(_xlpm.MyAuditVal&lt;&gt;"",UPPER(_xlpm.MyAuditVal),_xlpm.MacVal&lt;&gt;"",_xlpm.MacVal,_xlpm.CSVVal&lt;&gt;"",_xlpm.CSVVal
)),"")</f>
        <v/>
      </c>
      <c r="O635" s="54"/>
      <c r="P635" s="54"/>
      <c r="Q635" s="54"/>
      <c r="R635" s="54"/>
      <c r="S635" s="54"/>
      <c r="T635" s="54"/>
      <c r="U635" s="39"/>
    </row>
    <row r="636" spans="1:21">
      <c r="A636" s="54" t="str">
        <f>_xlfn.TEXTJOIN("",TRUE,Input!$B$2,ROW(My_Audit!A635))</f>
        <v>XX635</v>
      </c>
      <c r="B636" s="54" t="str">
        <f>_xlfn.TEXTJOIN("-",TRUE,"ITD",Input!$A$2,A636)</f>
        <v>ITD-SHRXXX-XX635</v>
      </c>
      <c r="C636" s="54" t="str" cm="1">
        <f t="array" ref="C636">IFERROR(_xlfn.LET(
_xlpm.CSVVal,_xlfn.XLOOKUP($A636,CSV!$A:$A,CSV!B:B,""),
_xlpm.MacVal,_xlfn.XLOOKUP($A636,Output_Mac!$A:$A,Output_Mac!B:B,""),
_xlpm.MyAuditVal,_xlfn.XLOOKUP($A636,My_Audit!$A:$A,My_Audit!B:B,""),
_xlfn.IFS(_xlpm.MyAuditVal&lt;&gt;"",UPPER(_xlpm.MyAuditVal),_xlpm.MacVal&lt;&gt;"",_xlpm.MacVal,_xlpm.CSVVal&lt;&gt;"",_xlpm.CSVVal
)),"")</f>
        <v/>
      </c>
      <c r="D636" s="55" t="str">
        <f>_xlfn.XLOOKUP(A636,My_Audit!A:A,My_Audit!D:D,"")&amp;""</f>
        <v/>
      </c>
      <c r="E636" s="55" t="str" cm="1">
        <f t="array" ref="E636">IFERROR(_xlfn.LET(
_xlpm.CSVVal,_xlfn.XLOOKUP($A636,CSV!$A:$A,CSV!D:D,""),
_xlpm.MacVal,_xlfn.XLOOKUP($A636,Output_Mac!$A:$A,Output_Mac!C:C,""),
_xlpm.MyAuditVal,_xlfn.XLOOKUP($A636,My_Audit!$A:$A,My_Audit!D:D,""),
_xlfn.IFS(_xlpm.MyAuditVal&lt;&gt;"",_xlpm.MyAuditVal,_xlpm.MacVal&lt;&gt;"",_xlpm.MacVal,_xlpm.CSVVal&lt;&gt;"",_xlpm.CSVVal
)),"")</f>
        <v/>
      </c>
      <c r="F636" s="54" t="str" cm="1">
        <f t="array" ref="F636">IFERROR(_xlfn.LET(
_xlpm.CSVVal,_xlfn.XLOOKUP($A636,CSV!$A:$A,CSV!E:E,""),
_xlpm.MacVal,_xlfn.XLOOKUP($A636,Output_Mac!$A:$A,Output_Mac!F:F,""),
_xlpm.MyAuditVal,_xlfn.XLOOKUP($A636,My_Audit!$A:$A,My_Audit!E:E,""),
_xlfn.IFS(_xlpm.MyAuditVal&lt;&gt;"",_xlpm.MyAuditVal,_xlpm.MacVal&lt;&gt;"",_xlpm.MacVal,_xlpm.CSVVal&lt;&gt;"",PROPER(_xlpm.CSVVal)
)),"")</f>
        <v/>
      </c>
      <c r="G636" s="54" t="str" cm="1">
        <f t="array" ref="G636">IFERROR(_xlfn.LET(
_xlpm.CSVVal,_xlfn.XLOOKUP($A636,CSV!$A:$A,CSV!F:F,""),
_xlpm.MacVal,_xlfn.XLOOKUP($A636,Output_Mac!$A:$A,Output_Mac!H:H,""),
_xlpm.MyAuditVal,_xlfn.XLOOKUP($A636,My_Audit!$A:$A,My_Audit!F:F,""),
_xlfn.IFS(_xlpm.MyAuditVal&lt;&gt;"",_xlpm.MyAuditVal,_xlpm.MacVal&lt;&gt;"",_xlpm.MacVal,_xlpm.CSVVal&lt;&gt;"",_xlpm.CSVVal
)),"")</f>
        <v/>
      </c>
      <c r="H636" s="54" t="str">
        <f>_xlfn.XLOOKUP(A636,Output_Mac!A:A,Output_Mac!I:I,"")</f>
        <v/>
      </c>
      <c r="I636" s="54" t="str" cm="1">
        <f t="array" ref="I636">IFERROR(_xlfn.LET(
_xlpm.CSVVal,_xlfn.XLOOKUP($A636,CSV!$A:$A,CSV!G:G,""),
_xlpm.MacVal,_xlfn.XLOOKUP($A636,Output_Mac!$A:$A,Output_Mac!J:J,""),
_xlpm.MyAuditVal,_xlfn.XLOOKUP($A636,My_Audit!$A:$A,My_Audit!H:H,""),
_xlfn.IFS(_xlpm.MyAuditVal&lt;&gt;"",UPPER(_xlpm.MyAuditVal),_xlpm.MacVal&lt;&gt;"",_xlpm.MacVal,_xlpm.CSVVal&lt;&gt;"",_xlpm.CSVVal
)),"")</f>
        <v/>
      </c>
      <c r="J636" s="54" t="str" cm="1">
        <f t="array" ref="J636">IFERROR(_xlfn.LET(
_xlpm.CSVVal,_xlfn.XLOOKUP($A636,CSV!$A:$A,CSV!I:I,""),
_xlpm.MacVal,_xlfn.XLOOKUP($A636,Output_Mac!$A:$A,Output_Mac!K:K,""),
_xlpm.MyAuditVal,_xlfn.XLOOKUP($A636,My_Audit!$A:$A,My_Audit!I:I,""),
_xlfn.IFS(_xlpm.MyAuditVal&lt;&gt;"",UPPER(_xlpm.MyAuditVal),_xlpm.MacVal&lt;&gt;"",_xlpm.MacVal,_xlpm.CSVVal&lt;&gt;"",_xlpm.CSVVal
)),"")</f>
        <v/>
      </c>
      <c r="K636" s="54" t="str" cm="1">
        <f t="array" ref="K636">IFERROR(_xlfn.LET(
_xlpm.CSVVal,_xlfn.XLOOKUP($A636,CSV!$A:$A,CSV!M:M,""),
_xlpm.MacVal,_xlfn.XLOOKUP($A636,Output_Mac!$A:$A,Output_Mac!L:L,""),
_xlpm.MyAuditVal,_xlfn.XLOOKUP($A636,My_Audit!$A:$A,My_Audit!J:J,""),
_xlfn.IFS(_xlpm.MyAuditVal&lt;&gt;"",UPPER(_xlpm.MyAuditVal),_xlpm.MacVal&lt;&gt;"",_xlpm.MacVal,_xlpm.CSVVal&lt;&gt;"",_xlpm.CSVVal
)),"")</f>
        <v/>
      </c>
      <c r="L636" s="54" t="str" cm="1">
        <f t="array" ref="L636">IFERROR(_xlfn.LET(
_xlpm.CSVVal,_xlfn.XLOOKUP($A636,CSV!$A:$A,CSV!O:O,""),
_xlpm.MacVal,_xlfn.XLOOKUP($A636,Output_Mac!$A:$A,Output_Mac!M:M,""),
_xlpm.MyAuditVal,_xlfn.XLOOKUP($A636,My_Audit!$A:$A,My_Audit!K:K,""),
_xlfn.IFS(_xlpm.MyAuditVal&lt;&gt;"",UPPER(_xlpm.MyAuditVal),_xlpm.MacVal&lt;&gt;"",_xlpm.MacVal,_xlpm.CSVVal&lt;&gt;"",_xlpm.CSVVal
)),"")</f>
        <v/>
      </c>
      <c r="M636" s="54" t="str">
        <f>_xlfn.LET(
    _xlpm.CSVVal, _xlfn.XLOOKUP($A636, CSV!$A:$A, CSV!AD:AD, ""),
    _xlpm.MacVal, _xlfn.XLOOKUP($A636, Output_Mac!$A:$A, Output_Mac!S:S, ""),
    _xlpm.MyAuditVal, _xlfn.XLOOKUP($A636, My_Audit!$A:$A, My_Audit!N:N, ""),
    _xlfn.TEXTJOIN(", ", TRUE, _xlpm.MyAuditVal, _xlpm.MacVal, _xlpm.CSVVal)
)</f>
        <v/>
      </c>
      <c r="N636" s="54" t="str" cm="1">
        <f t="array" ref="N636">IFERROR(_xlfn.LET(
_xlpm.CSVVal,_xlfn.XLOOKUP($A636,CSV!$A:$A,CSV!AF:AF,""),
_xlpm.MacVal,_xlfn.XLOOKUP($A636,Output_Mac!$A:$A,Output_Mac!U:U,""),
_xlpm.MyAuditVal,_xlfn.XLOOKUP($A636,My_Audit!$A:$A,My_Audit!O:O,""),
_xlfn.IFS(_xlpm.MyAuditVal&lt;&gt;"",UPPER(_xlpm.MyAuditVal),_xlpm.MacVal&lt;&gt;"",_xlpm.MacVal,_xlpm.CSVVal&lt;&gt;"",_xlpm.CSVVal
)),"")</f>
        <v/>
      </c>
      <c r="O636" s="54"/>
      <c r="P636" s="54"/>
      <c r="Q636" s="54"/>
      <c r="R636" s="54"/>
      <c r="S636" s="54"/>
      <c r="T636" s="54"/>
      <c r="U636" s="39"/>
    </row>
    <row r="637" spans="1:21">
      <c r="A637" s="54" t="str">
        <f>_xlfn.TEXTJOIN("",TRUE,Input!$B$2,ROW(My_Audit!A636))</f>
        <v>XX636</v>
      </c>
      <c r="B637" s="54" t="str">
        <f>_xlfn.TEXTJOIN("-",TRUE,"ITD",Input!$A$2,A637)</f>
        <v>ITD-SHRXXX-XX636</v>
      </c>
      <c r="C637" s="54" t="str" cm="1">
        <f t="array" ref="C637">IFERROR(_xlfn.LET(
_xlpm.CSVVal,_xlfn.XLOOKUP($A637,CSV!$A:$A,CSV!B:B,""),
_xlpm.MacVal,_xlfn.XLOOKUP($A637,Output_Mac!$A:$A,Output_Mac!B:B,""),
_xlpm.MyAuditVal,_xlfn.XLOOKUP($A637,My_Audit!$A:$A,My_Audit!B:B,""),
_xlfn.IFS(_xlpm.MyAuditVal&lt;&gt;"",UPPER(_xlpm.MyAuditVal),_xlpm.MacVal&lt;&gt;"",_xlpm.MacVal,_xlpm.CSVVal&lt;&gt;"",_xlpm.CSVVal
)),"")</f>
        <v/>
      </c>
      <c r="D637" s="55" t="str">
        <f>_xlfn.XLOOKUP(A637,My_Audit!A:A,My_Audit!D:D,"")&amp;""</f>
        <v/>
      </c>
      <c r="E637" s="55" t="str" cm="1">
        <f t="array" ref="E637">IFERROR(_xlfn.LET(
_xlpm.CSVVal,_xlfn.XLOOKUP($A637,CSV!$A:$A,CSV!D:D,""),
_xlpm.MacVal,_xlfn.XLOOKUP($A637,Output_Mac!$A:$A,Output_Mac!C:C,""),
_xlpm.MyAuditVal,_xlfn.XLOOKUP($A637,My_Audit!$A:$A,My_Audit!D:D,""),
_xlfn.IFS(_xlpm.MyAuditVal&lt;&gt;"",_xlpm.MyAuditVal,_xlpm.MacVal&lt;&gt;"",_xlpm.MacVal,_xlpm.CSVVal&lt;&gt;"",_xlpm.CSVVal
)),"")</f>
        <v/>
      </c>
      <c r="F637" s="54" t="str" cm="1">
        <f t="array" ref="F637">IFERROR(_xlfn.LET(
_xlpm.CSVVal,_xlfn.XLOOKUP($A637,CSV!$A:$A,CSV!E:E,""),
_xlpm.MacVal,_xlfn.XLOOKUP($A637,Output_Mac!$A:$A,Output_Mac!F:F,""),
_xlpm.MyAuditVal,_xlfn.XLOOKUP($A637,My_Audit!$A:$A,My_Audit!E:E,""),
_xlfn.IFS(_xlpm.MyAuditVal&lt;&gt;"",_xlpm.MyAuditVal,_xlpm.MacVal&lt;&gt;"",_xlpm.MacVal,_xlpm.CSVVal&lt;&gt;"",PROPER(_xlpm.CSVVal)
)),"")</f>
        <v/>
      </c>
      <c r="G637" s="54" t="str" cm="1">
        <f t="array" ref="G637">IFERROR(_xlfn.LET(
_xlpm.CSVVal,_xlfn.XLOOKUP($A637,CSV!$A:$A,CSV!F:F,""),
_xlpm.MacVal,_xlfn.XLOOKUP($A637,Output_Mac!$A:$A,Output_Mac!H:H,""),
_xlpm.MyAuditVal,_xlfn.XLOOKUP($A637,My_Audit!$A:$A,My_Audit!F:F,""),
_xlfn.IFS(_xlpm.MyAuditVal&lt;&gt;"",_xlpm.MyAuditVal,_xlpm.MacVal&lt;&gt;"",_xlpm.MacVal,_xlpm.CSVVal&lt;&gt;"",_xlpm.CSVVal
)),"")</f>
        <v/>
      </c>
      <c r="H637" s="54" t="str">
        <f>_xlfn.XLOOKUP(A637,Output_Mac!A:A,Output_Mac!I:I,"")</f>
        <v/>
      </c>
      <c r="I637" s="54" t="str" cm="1">
        <f t="array" ref="I637">IFERROR(_xlfn.LET(
_xlpm.CSVVal,_xlfn.XLOOKUP($A637,CSV!$A:$A,CSV!G:G,""),
_xlpm.MacVal,_xlfn.XLOOKUP($A637,Output_Mac!$A:$A,Output_Mac!J:J,""),
_xlpm.MyAuditVal,_xlfn.XLOOKUP($A637,My_Audit!$A:$A,My_Audit!H:H,""),
_xlfn.IFS(_xlpm.MyAuditVal&lt;&gt;"",UPPER(_xlpm.MyAuditVal),_xlpm.MacVal&lt;&gt;"",_xlpm.MacVal,_xlpm.CSVVal&lt;&gt;"",_xlpm.CSVVal
)),"")</f>
        <v/>
      </c>
      <c r="J637" s="54" t="str" cm="1">
        <f t="array" ref="J637">IFERROR(_xlfn.LET(
_xlpm.CSVVal,_xlfn.XLOOKUP($A637,CSV!$A:$A,CSV!I:I,""),
_xlpm.MacVal,_xlfn.XLOOKUP($A637,Output_Mac!$A:$A,Output_Mac!K:K,""),
_xlpm.MyAuditVal,_xlfn.XLOOKUP($A637,My_Audit!$A:$A,My_Audit!I:I,""),
_xlfn.IFS(_xlpm.MyAuditVal&lt;&gt;"",UPPER(_xlpm.MyAuditVal),_xlpm.MacVal&lt;&gt;"",_xlpm.MacVal,_xlpm.CSVVal&lt;&gt;"",_xlpm.CSVVal
)),"")</f>
        <v/>
      </c>
      <c r="K637" s="54" t="str" cm="1">
        <f t="array" ref="K637">IFERROR(_xlfn.LET(
_xlpm.CSVVal,_xlfn.XLOOKUP($A637,CSV!$A:$A,CSV!M:M,""),
_xlpm.MacVal,_xlfn.XLOOKUP($A637,Output_Mac!$A:$A,Output_Mac!L:L,""),
_xlpm.MyAuditVal,_xlfn.XLOOKUP($A637,My_Audit!$A:$A,My_Audit!J:J,""),
_xlfn.IFS(_xlpm.MyAuditVal&lt;&gt;"",UPPER(_xlpm.MyAuditVal),_xlpm.MacVal&lt;&gt;"",_xlpm.MacVal,_xlpm.CSVVal&lt;&gt;"",_xlpm.CSVVal
)),"")</f>
        <v/>
      </c>
      <c r="L637" s="54" t="str" cm="1">
        <f t="array" ref="L637">IFERROR(_xlfn.LET(
_xlpm.CSVVal,_xlfn.XLOOKUP($A637,CSV!$A:$A,CSV!O:O,""),
_xlpm.MacVal,_xlfn.XLOOKUP($A637,Output_Mac!$A:$A,Output_Mac!M:M,""),
_xlpm.MyAuditVal,_xlfn.XLOOKUP($A637,My_Audit!$A:$A,My_Audit!K:K,""),
_xlfn.IFS(_xlpm.MyAuditVal&lt;&gt;"",UPPER(_xlpm.MyAuditVal),_xlpm.MacVal&lt;&gt;"",_xlpm.MacVal,_xlpm.CSVVal&lt;&gt;"",_xlpm.CSVVal
)),"")</f>
        <v/>
      </c>
      <c r="M637" s="54" t="str">
        <f>_xlfn.LET(
    _xlpm.CSVVal, _xlfn.XLOOKUP($A637, CSV!$A:$A, CSV!AD:AD, ""),
    _xlpm.MacVal, _xlfn.XLOOKUP($A637, Output_Mac!$A:$A, Output_Mac!S:S, ""),
    _xlpm.MyAuditVal, _xlfn.XLOOKUP($A637, My_Audit!$A:$A, My_Audit!N:N, ""),
    _xlfn.TEXTJOIN(", ", TRUE, _xlpm.MyAuditVal, _xlpm.MacVal, _xlpm.CSVVal)
)</f>
        <v/>
      </c>
      <c r="N637" s="54" t="str" cm="1">
        <f t="array" ref="N637">IFERROR(_xlfn.LET(
_xlpm.CSVVal,_xlfn.XLOOKUP($A637,CSV!$A:$A,CSV!AF:AF,""),
_xlpm.MacVal,_xlfn.XLOOKUP($A637,Output_Mac!$A:$A,Output_Mac!U:U,""),
_xlpm.MyAuditVal,_xlfn.XLOOKUP($A637,My_Audit!$A:$A,My_Audit!O:O,""),
_xlfn.IFS(_xlpm.MyAuditVal&lt;&gt;"",UPPER(_xlpm.MyAuditVal),_xlpm.MacVal&lt;&gt;"",_xlpm.MacVal,_xlpm.CSVVal&lt;&gt;"",_xlpm.CSVVal
)),"")</f>
        <v/>
      </c>
      <c r="O637" s="54"/>
      <c r="P637" s="54"/>
      <c r="Q637" s="54"/>
      <c r="R637" s="54"/>
      <c r="S637" s="54"/>
      <c r="T637" s="54"/>
      <c r="U637" s="39"/>
    </row>
    <row r="638" spans="1:21">
      <c r="A638" s="54" t="str">
        <f>_xlfn.TEXTJOIN("",TRUE,Input!$B$2,ROW(My_Audit!A637))</f>
        <v>XX637</v>
      </c>
      <c r="B638" s="54" t="str">
        <f>_xlfn.TEXTJOIN("-",TRUE,"ITD",Input!$A$2,A638)</f>
        <v>ITD-SHRXXX-XX637</v>
      </c>
      <c r="C638" s="54" t="str" cm="1">
        <f t="array" ref="C638">IFERROR(_xlfn.LET(
_xlpm.CSVVal,_xlfn.XLOOKUP($A638,CSV!$A:$A,CSV!B:B,""),
_xlpm.MacVal,_xlfn.XLOOKUP($A638,Output_Mac!$A:$A,Output_Mac!B:B,""),
_xlpm.MyAuditVal,_xlfn.XLOOKUP($A638,My_Audit!$A:$A,My_Audit!B:B,""),
_xlfn.IFS(_xlpm.MyAuditVal&lt;&gt;"",UPPER(_xlpm.MyAuditVal),_xlpm.MacVal&lt;&gt;"",_xlpm.MacVal,_xlpm.CSVVal&lt;&gt;"",_xlpm.CSVVal
)),"")</f>
        <v/>
      </c>
      <c r="D638" s="55" t="str">
        <f>_xlfn.XLOOKUP(A638,My_Audit!A:A,My_Audit!D:D,"")&amp;""</f>
        <v/>
      </c>
      <c r="E638" s="55" t="str" cm="1">
        <f t="array" ref="E638">IFERROR(_xlfn.LET(
_xlpm.CSVVal,_xlfn.XLOOKUP($A638,CSV!$A:$A,CSV!D:D,""),
_xlpm.MacVal,_xlfn.XLOOKUP($A638,Output_Mac!$A:$A,Output_Mac!C:C,""),
_xlpm.MyAuditVal,_xlfn.XLOOKUP($A638,My_Audit!$A:$A,My_Audit!D:D,""),
_xlfn.IFS(_xlpm.MyAuditVal&lt;&gt;"",_xlpm.MyAuditVal,_xlpm.MacVal&lt;&gt;"",_xlpm.MacVal,_xlpm.CSVVal&lt;&gt;"",_xlpm.CSVVal
)),"")</f>
        <v/>
      </c>
      <c r="F638" s="54" t="str" cm="1">
        <f t="array" ref="F638">IFERROR(_xlfn.LET(
_xlpm.CSVVal,_xlfn.XLOOKUP($A638,CSV!$A:$A,CSV!E:E,""),
_xlpm.MacVal,_xlfn.XLOOKUP($A638,Output_Mac!$A:$A,Output_Mac!F:F,""),
_xlpm.MyAuditVal,_xlfn.XLOOKUP($A638,My_Audit!$A:$A,My_Audit!E:E,""),
_xlfn.IFS(_xlpm.MyAuditVal&lt;&gt;"",_xlpm.MyAuditVal,_xlpm.MacVal&lt;&gt;"",_xlpm.MacVal,_xlpm.CSVVal&lt;&gt;"",PROPER(_xlpm.CSVVal)
)),"")</f>
        <v/>
      </c>
      <c r="G638" s="54" t="str" cm="1">
        <f t="array" ref="G638">IFERROR(_xlfn.LET(
_xlpm.CSVVal,_xlfn.XLOOKUP($A638,CSV!$A:$A,CSV!F:F,""),
_xlpm.MacVal,_xlfn.XLOOKUP($A638,Output_Mac!$A:$A,Output_Mac!H:H,""),
_xlpm.MyAuditVal,_xlfn.XLOOKUP($A638,My_Audit!$A:$A,My_Audit!F:F,""),
_xlfn.IFS(_xlpm.MyAuditVal&lt;&gt;"",_xlpm.MyAuditVal,_xlpm.MacVal&lt;&gt;"",_xlpm.MacVal,_xlpm.CSVVal&lt;&gt;"",_xlpm.CSVVal
)),"")</f>
        <v/>
      </c>
      <c r="H638" s="54" t="str">
        <f>_xlfn.XLOOKUP(A638,Output_Mac!A:A,Output_Mac!I:I,"")</f>
        <v/>
      </c>
      <c r="I638" s="54" t="str" cm="1">
        <f t="array" ref="I638">IFERROR(_xlfn.LET(
_xlpm.CSVVal,_xlfn.XLOOKUP($A638,CSV!$A:$A,CSV!G:G,""),
_xlpm.MacVal,_xlfn.XLOOKUP($A638,Output_Mac!$A:$A,Output_Mac!J:J,""),
_xlpm.MyAuditVal,_xlfn.XLOOKUP($A638,My_Audit!$A:$A,My_Audit!H:H,""),
_xlfn.IFS(_xlpm.MyAuditVal&lt;&gt;"",UPPER(_xlpm.MyAuditVal),_xlpm.MacVal&lt;&gt;"",_xlpm.MacVal,_xlpm.CSVVal&lt;&gt;"",_xlpm.CSVVal
)),"")</f>
        <v/>
      </c>
      <c r="J638" s="54" t="str" cm="1">
        <f t="array" ref="J638">IFERROR(_xlfn.LET(
_xlpm.CSVVal,_xlfn.XLOOKUP($A638,CSV!$A:$A,CSV!I:I,""),
_xlpm.MacVal,_xlfn.XLOOKUP($A638,Output_Mac!$A:$A,Output_Mac!K:K,""),
_xlpm.MyAuditVal,_xlfn.XLOOKUP($A638,My_Audit!$A:$A,My_Audit!I:I,""),
_xlfn.IFS(_xlpm.MyAuditVal&lt;&gt;"",UPPER(_xlpm.MyAuditVal),_xlpm.MacVal&lt;&gt;"",_xlpm.MacVal,_xlpm.CSVVal&lt;&gt;"",_xlpm.CSVVal
)),"")</f>
        <v/>
      </c>
      <c r="K638" s="54" t="str" cm="1">
        <f t="array" ref="K638">IFERROR(_xlfn.LET(
_xlpm.CSVVal,_xlfn.XLOOKUP($A638,CSV!$A:$A,CSV!M:M,""),
_xlpm.MacVal,_xlfn.XLOOKUP($A638,Output_Mac!$A:$A,Output_Mac!L:L,""),
_xlpm.MyAuditVal,_xlfn.XLOOKUP($A638,My_Audit!$A:$A,My_Audit!J:J,""),
_xlfn.IFS(_xlpm.MyAuditVal&lt;&gt;"",UPPER(_xlpm.MyAuditVal),_xlpm.MacVal&lt;&gt;"",_xlpm.MacVal,_xlpm.CSVVal&lt;&gt;"",_xlpm.CSVVal
)),"")</f>
        <v/>
      </c>
      <c r="L638" s="54" t="str" cm="1">
        <f t="array" ref="L638">IFERROR(_xlfn.LET(
_xlpm.CSVVal,_xlfn.XLOOKUP($A638,CSV!$A:$A,CSV!O:O,""),
_xlpm.MacVal,_xlfn.XLOOKUP($A638,Output_Mac!$A:$A,Output_Mac!M:M,""),
_xlpm.MyAuditVal,_xlfn.XLOOKUP($A638,My_Audit!$A:$A,My_Audit!K:K,""),
_xlfn.IFS(_xlpm.MyAuditVal&lt;&gt;"",UPPER(_xlpm.MyAuditVal),_xlpm.MacVal&lt;&gt;"",_xlpm.MacVal,_xlpm.CSVVal&lt;&gt;"",_xlpm.CSVVal
)),"")</f>
        <v/>
      </c>
      <c r="M638" s="54" t="str">
        <f>_xlfn.LET(
    _xlpm.CSVVal, _xlfn.XLOOKUP($A638, CSV!$A:$A, CSV!AD:AD, ""),
    _xlpm.MacVal, _xlfn.XLOOKUP($A638, Output_Mac!$A:$A, Output_Mac!S:S, ""),
    _xlpm.MyAuditVal, _xlfn.XLOOKUP($A638, My_Audit!$A:$A, My_Audit!N:N, ""),
    _xlfn.TEXTJOIN(", ", TRUE, _xlpm.MyAuditVal, _xlpm.MacVal, _xlpm.CSVVal)
)</f>
        <v/>
      </c>
      <c r="N638" s="54" t="str" cm="1">
        <f t="array" ref="N638">IFERROR(_xlfn.LET(
_xlpm.CSVVal,_xlfn.XLOOKUP($A638,CSV!$A:$A,CSV!AF:AF,""),
_xlpm.MacVal,_xlfn.XLOOKUP($A638,Output_Mac!$A:$A,Output_Mac!U:U,""),
_xlpm.MyAuditVal,_xlfn.XLOOKUP($A638,My_Audit!$A:$A,My_Audit!O:O,""),
_xlfn.IFS(_xlpm.MyAuditVal&lt;&gt;"",UPPER(_xlpm.MyAuditVal),_xlpm.MacVal&lt;&gt;"",_xlpm.MacVal,_xlpm.CSVVal&lt;&gt;"",_xlpm.CSVVal
)),"")</f>
        <v/>
      </c>
      <c r="O638" s="54"/>
      <c r="P638" s="54"/>
      <c r="Q638" s="54"/>
      <c r="R638" s="54"/>
      <c r="S638" s="54"/>
      <c r="T638" s="54"/>
      <c r="U638" s="39"/>
    </row>
    <row r="639" spans="1:21">
      <c r="A639" s="54" t="str">
        <f>_xlfn.TEXTJOIN("",TRUE,Input!$B$2,ROW(My_Audit!A638))</f>
        <v>XX638</v>
      </c>
      <c r="B639" s="54" t="str">
        <f>_xlfn.TEXTJOIN("-",TRUE,"ITD",Input!$A$2,A639)</f>
        <v>ITD-SHRXXX-XX638</v>
      </c>
      <c r="C639" s="54" t="str" cm="1">
        <f t="array" ref="C639">IFERROR(_xlfn.LET(
_xlpm.CSVVal,_xlfn.XLOOKUP($A639,CSV!$A:$A,CSV!B:B,""),
_xlpm.MacVal,_xlfn.XLOOKUP($A639,Output_Mac!$A:$A,Output_Mac!B:B,""),
_xlpm.MyAuditVal,_xlfn.XLOOKUP($A639,My_Audit!$A:$A,My_Audit!B:B,""),
_xlfn.IFS(_xlpm.MyAuditVal&lt;&gt;"",UPPER(_xlpm.MyAuditVal),_xlpm.MacVal&lt;&gt;"",_xlpm.MacVal,_xlpm.CSVVal&lt;&gt;"",_xlpm.CSVVal
)),"")</f>
        <v/>
      </c>
      <c r="D639" s="55" t="str">
        <f>_xlfn.XLOOKUP(A639,My_Audit!A:A,My_Audit!D:D,"")&amp;""</f>
        <v/>
      </c>
      <c r="E639" s="55" t="str" cm="1">
        <f t="array" ref="E639">IFERROR(_xlfn.LET(
_xlpm.CSVVal,_xlfn.XLOOKUP($A639,CSV!$A:$A,CSV!D:D,""),
_xlpm.MacVal,_xlfn.XLOOKUP($A639,Output_Mac!$A:$A,Output_Mac!C:C,""),
_xlpm.MyAuditVal,_xlfn.XLOOKUP($A639,My_Audit!$A:$A,My_Audit!D:D,""),
_xlfn.IFS(_xlpm.MyAuditVal&lt;&gt;"",_xlpm.MyAuditVal,_xlpm.MacVal&lt;&gt;"",_xlpm.MacVal,_xlpm.CSVVal&lt;&gt;"",_xlpm.CSVVal
)),"")</f>
        <v/>
      </c>
      <c r="F639" s="54" t="str" cm="1">
        <f t="array" ref="F639">IFERROR(_xlfn.LET(
_xlpm.CSVVal,_xlfn.XLOOKUP($A639,CSV!$A:$A,CSV!E:E,""),
_xlpm.MacVal,_xlfn.XLOOKUP($A639,Output_Mac!$A:$A,Output_Mac!F:F,""),
_xlpm.MyAuditVal,_xlfn.XLOOKUP($A639,My_Audit!$A:$A,My_Audit!E:E,""),
_xlfn.IFS(_xlpm.MyAuditVal&lt;&gt;"",_xlpm.MyAuditVal,_xlpm.MacVal&lt;&gt;"",_xlpm.MacVal,_xlpm.CSVVal&lt;&gt;"",PROPER(_xlpm.CSVVal)
)),"")</f>
        <v/>
      </c>
      <c r="G639" s="54" t="str" cm="1">
        <f t="array" ref="G639">IFERROR(_xlfn.LET(
_xlpm.CSVVal,_xlfn.XLOOKUP($A639,CSV!$A:$A,CSV!F:F,""),
_xlpm.MacVal,_xlfn.XLOOKUP($A639,Output_Mac!$A:$A,Output_Mac!H:H,""),
_xlpm.MyAuditVal,_xlfn.XLOOKUP($A639,My_Audit!$A:$A,My_Audit!F:F,""),
_xlfn.IFS(_xlpm.MyAuditVal&lt;&gt;"",_xlpm.MyAuditVal,_xlpm.MacVal&lt;&gt;"",_xlpm.MacVal,_xlpm.CSVVal&lt;&gt;"",_xlpm.CSVVal
)),"")</f>
        <v/>
      </c>
      <c r="H639" s="54" t="str">
        <f>_xlfn.XLOOKUP(A639,Output_Mac!A:A,Output_Mac!I:I,"")</f>
        <v/>
      </c>
      <c r="I639" s="54" t="str" cm="1">
        <f t="array" ref="I639">IFERROR(_xlfn.LET(
_xlpm.CSVVal,_xlfn.XLOOKUP($A639,CSV!$A:$A,CSV!G:G,""),
_xlpm.MacVal,_xlfn.XLOOKUP($A639,Output_Mac!$A:$A,Output_Mac!J:J,""),
_xlpm.MyAuditVal,_xlfn.XLOOKUP($A639,My_Audit!$A:$A,My_Audit!H:H,""),
_xlfn.IFS(_xlpm.MyAuditVal&lt;&gt;"",UPPER(_xlpm.MyAuditVal),_xlpm.MacVal&lt;&gt;"",_xlpm.MacVal,_xlpm.CSVVal&lt;&gt;"",_xlpm.CSVVal
)),"")</f>
        <v/>
      </c>
      <c r="J639" s="54" t="str" cm="1">
        <f t="array" ref="J639">IFERROR(_xlfn.LET(
_xlpm.CSVVal,_xlfn.XLOOKUP($A639,CSV!$A:$A,CSV!I:I,""),
_xlpm.MacVal,_xlfn.XLOOKUP($A639,Output_Mac!$A:$A,Output_Mac!K:K,""),
_xlpm.MyAuditVal,_xlfn.XLOOKUP($A639,My_Audit!$A:$A,My_Audit!I:I,""),
_xlfn.IFS(_xlpm.MyAuditVal&lt;&gt;"",UPPER(_xlpm.MyAuditVal),_xlpm.MacVal&lt;&gt;"",_xlpm.MacVal,_xlpm.CSVVal&lt;&gt;"",_xlpm.CSVVal
)),"")</f>
        <v/>
      </c>
      <c r="K639" s="54" t="str" cm="1">
        <f t="array" ref="K639">IFERROR(_xlfn.LET(
_xlpm.CSVVal,_xlfn.XLOOKUP($A639,CSV!$A:$A,CSV!M:M,""),
_xlpm.MacVal,_xlfn.XLOOKUP($A639,Output_Mac!$A:$A,Output_Mac!L:L,""),
_xlpm.MyAuditVal,_xlfn.XLOOKUP($A639,My_Audit!$A:$A,My_Audit!J:J,""),
_xlfn.IFS(_xlpm.MyAuditVal&lt;&gt;"",UPPER(_xlpm.MyAuditVal),_xlpm.MacVal&lt;&gt;"",_xlpm.MacVal,_xlpm.CSVVal&lt;&gt;"",_xlpm.CSVVal
)),"")</f>
        <v/>
      </c>
      <c r="L639" s="54" t="str" cm="1">
        <f t="array" ref="L639">IFERROR(_xlfn.LET(
_xlpm.CSVVal,_xlfn.XLOOKUP($A639,CSV!$A:$A,CSV!O:O,""),
_xlpm.MacVal,_xlfn.XLOOKUP($A639,Output_Mac!$A:$A,Output_Mac!M:M,""),
_xlpm.MyAuditVal,_xlfn.XLOOKUP($A639,My_Audit!$A:$A,My_Audit!K:K,""),
_xlfn.IFS(_xlpm.MyAuditVal&lt;&gt;"",UPPER(_xlpm.MyAuditVal),_xlpm.MacVal&lt;&gt;"",_xlpm.MacVal,_xlpm.CSVVal&lt;&gt;"",_xlpm.CSVVal
)),"")</f>
        <v/>
      </c>
      <c r="M639" s="54" t="str">
        <f>_xlfn.LET(
    _xlpm.CSVVal, _xlfn.XLOOKUP($A639, CSV!$A:$A, CSV!AD:AD, ""),
    _xlpm.MacVal, _xlfn.XLOOKUP($A639, Output_Mac!$A:$A, Output_Mac!S:S, ""),
    _xlpm.MyAuditVal, _xlfn.XLOOKUP($A639, My_Audit!$A:$A, My_Audit!N:N, ""),
    _xlfn.TEXTJOIN(", ", TRUE, _xlpm.MyAuditVal, _xlpm.MacVal, _xlpm.CSVVal)
)</f>
        <v/>
      </c>
      <c r="N639" s="54" t="str" cm="1">
        <f t="array" ref="N639">IFERROR(_xlfn.LET(
_xlpm.CSVVal,_xlfn.XLOOKUP($A639,CSV!$A:$A,CSV!AF:AF,""),
_xlpm.MacVal,_xlfn.XLOOKUP($A639,Output_Mac!$A:$A,Output_Mac!U:U,""),
_xlpm.MyAuditVal,_xlfn.XLOOKUP($A639,My_Audit!$A:$A,My_Audit!O:O,""),
_xlfn.IFS(_xlpm.MyAuditVal&lt;&gt;"",UPPER(_xlpm.MyAuditVal),_xlpm.MacVal&lt;&gt;"",_xlpm.MacVal,_xlpm.CSVVal&lt;&gt;"",_xlpm.CSVVal
)),"")</f>
        <v/>
      </c>
      <c r="O639" s="54"/>
      <c r="P639" s="54"/>
      <c r="Q639" s="54"/>
      <c r="R639" s="54"/>
      <c r="S639" s="54"/>
      <c r="T639" s="54"/>
      <c r="U639" s="39"/>
    </row>
    <row r="640" spans="1:21">
      <c r="A640" s="54" t="str">
        <f>_xlfn.TEXTJOIN("",TRUE,Input!$B$2,ROW(My_Audit!A639))</f>
        <v>XX639</v>
      </c>
      <c r="B640" s="54" t="str">
        <f>_xlfn.TEXTJOIN("-",TRUE,"ITD",Input!$A$2,A640)</f>
        <v>ITD-SHRXXX-XX639</v>
      </c>
      <c r="C640" s="54" t="str" cm="1">
        <f t="array" ref="C640">IFERROR(_xlfn.LET(
_xlpm.CSVVal,_xlfn.XLOOKUP($A640,CSV!$A:$A,CSV!B:B,""),
_xlpm.MacVal,_xlfn.XLOOKUP($A640,Output_Mac!$A:$A,Output_Mac!B:B,""),
_xlpm.MyAuditVal,_xlfn.XLOOKUP($A640,My_Audit!$A:$A,My_Audit!B:B,""),
_xlfn.IFS(_xlpm.MyAuditVal&lt;&gt;"",UPPER(_xlpm.MyAuditVal),_xlpm.MacVal&lt;&gt;"",_xlpm.MacVal,_xlpm.CSVVal&lt;&gt;"",_xlpm.CSVVal
)),"")</f>
        <v/>
      </c>
      <c r="D640" s="55" t="str">
        <f>_xlfn.XLOOKUP(A640,My_Audit!A:A,My_Audit!D:D,"")&amp;""</f>
        <v/>
      </c>
      <c r="E640" s="55" t="str" cm="1">
        <f t="array" ref="E640">IFERROR(_xlfn.LET(
_xlpm.CSVVal,_xlfn.XLOOKUP($A640,CSV!$A:$A,CSV!D:D,""),
_xlpm.MacVal,_xlfn.XLOOKUP($A640,Output_Mac!$A:$A,Output_Mac!C:C,""),
_xlpm.MyAuditVal,_xlfn.XLOOKUP($A640,My_Audit!$A:$A,My_Audit!D:D,""),
_xlfn.IFS(_xlpm.MyAuditVal&lt;&gt;"",_xlpm.MyAuditVal,_xlpm.MacVal&lt;&gt;"",_xlpm.MacVal,_xlpm.CSVVal&lt;&gt;"",_xlpm.CSVVal
)),"")</f>
        <v/>
      </c>
      <c r="F640" s="54" t="str" cm="1">
        <f t="array" ref="F640">IFERROR(_xlfn.LET(
_xlpm.CSVVal,_xlfn.XLOOKUP($A640,CSV!$A:$A,CSV!E:E,""),
_xlpm.MacVal,_xlfn.XLOOKUP($A640,Output_Mac!$A:$A,Output_Mac!F:F,""),
_xlpm.MyAuditVal,_xlfn.XLOOKUP($A640,My_Audit!$A:$A,My_Audit!E:E,""),
_xlfn.IFS(_xlpm.MyAuditVal&lt;&gt;"",_xlpm.MyAuditVal,_xlpm.MacVal&lt;&gt;"",_xlpm.MacVal,_xlpm.CSVVal&lt;&gt;"",PROPER(_xlpm.CSVVal)
)),"")</f>
        <v/>
      </c>
      <c r="G640" s="54" t="str" cm="1">
        <f t="array" ref="G640">IFERROR(_xlfn.LET(
_xlpm.CSVVal,_xlfn.XLOOKUP($A640,CSV!$A:$A,CSV!F:F,""),
_xlpm.MacVal,_xlfn.XLOOKUP($A640,Output_Mac!$A:$A,Output_Mac!H:H,""),
_xlpm.MyAuditVal,_xlfn.XLOOKUP($A640,My_Audit!$A:$A,My_Audit!F:F,""),
_xlfn.IFS(_xlpm.MyAuditVal&lt;&gt;"",_xlpm.MyAuditVal,_xlpm.MacVal&lt;&gt;"",_xlpm.MacVal,_xlpm.CSVVal&lt;&gt;"",_xlpm.CSVVal
)),"")</f>
        <v/>
      </c>
      <c r="H640" s="54" t="str">
        <f>_xlfn.XLOOKUP(A640,Output_Mac!A:A,Output_Mac!I:I,"")</f>
        <v/>
      </c>
      <c r="I640" s="54" t="str" cm="1">
        <f t="array" ref="I640">IFERROR(_xlfn.LET(
_xlpm.CSVVal,_xlfn.XLOOKUP($A640,CSV!$A:$A,CSV!G:G,""),
_xlpm.MacVal,_xlfn.XLOOKUP($A640,Output_Mac!$A:$A,Output_Mac!J:J,""),
_xlpm.MyAuditVal,_xlfn.XLOOKUP($A640,My_Audit!$A:$A,My_Audit!H:H,""),
_xlfn.IFS(_xlpm.MyAuditVal&lt;&gt;"",UPPER(_xlpm.MyAuditVal),_xlpm.MacVal&lt;&gt;"",_xlpm.MacVal,_xlpm.CSVVal&lt;&gt;"",_xlpm.CSVVal
)),"")</f>
        <v/>
      </c>
      <c r="J640" s="54" t="str" cm="1">
        <f t="array" ref="J640">IFERROR(_xlfn.LET(
_xlpm.CSVVal,_xlfn.XLOOKUP($A640,CSV!$A:$A,CSV!I:I,""),
_xlpm.MacVal,_xlfn.XLOOKUP($A640,Output_Mac!$A:$A,Output_Mac!K:K,""),
_xlpm.MyAuditVal,_xlfn.XLOOKUP($A640,My_Audit!$A:$A,My_Audit!I:I,""),
_xlfn.IFS(_xlpm.MyAuditVal&lt;&gt;"",UPPER(_xlpm.MyAuditVal),_xlpm.MacVal&lt;&gt;"",_xlpm.MacVal,_xlpm.CSVVal&lt;&gt;"",_xlpm.CSVVal
)),"")</f>
        <v/>
      </c>
      <c r="K640" s="54" t="str" cm="1">
        <f t="array" ref="K640">IFERROR(_xlfn.LET(
_xlpm.CSVVal,_xlfn.XLOOKUP($A640,CSV!$A:$A,CSV!M:M,""),
_xlpm.MacVal,_xlfn.XLOOKUP($A640,Output_Mac!$A:$A,Output_Mac!L:L,""),
_xlpm.MyAuditVal,_xlfn.XLOOKUP($A640,My_Audit!$A:$A,My_Audit!J:J,""),
_xlfn.IFS(_xlpm.MyAuditVal&lt;&gt;"",UPPER(_xlpm.MyAuditVal),_xlpm.MacVal&lt;&gt;"",_xlpm.MacVal,_xlpm.CSVVal&lt;&gt;"",_xlpm.CSVVal
)),"")</f>
        <v/>
      </c>
      <c r="L640" s="54" t="str" cm="1">
        <f t="array" ref="L640">IFERROR(_xlfn.LET(
_xlpm.CSVVal,_xlfn.XLOOKUP($A640,CSV!$A:$A,CSV!O:O,""),
_xlpm.MacVal,_xlfn.XLOOKUP($A640,Output_Mac!$A:$A,Output_Mac!M:M,""),
_xlpm.MyAuditVal,_xlfn.XLOOKUP($A640,My_Audit!$A:$A,My_Audit!K:K,""),
_xlfn.IFS(_xlpm.MyAuditVal&lt;&gt;"",UPPER(_xlpm.MyAuditVal),_xlpm.MacVal&lt;&gt;"",_xlpm.MacVal,_xlpm.CSVVal&lt;&gt;"",_xlpm.CSVVal
)),"")</f>
        <v/>
      </c>
      <c r="M640" s="54" t="str">
        <f>_xlfn.LET(
    _xlpm.CSVVal, _xlfn.XLOOKUP($A640, CSV!$A:$A, CSV!AD:AD, ""),
    _xlpm.MacVal, _xlfn.XLOOKUP($A640, Output_Mac!$A:$A, Output_Mac!S:S, ""),
    _xlpm.MyAuditVal, _xlfn.XLOOKUP($A640, My_Audit!$A:$A, My_Audit!N:N, ""),
    _xlfn.TEXTJOIN(", ", TRUE, _xlpm.MyAuditVal, _xlpm.MacVal, _xlpm.CSVVal)
)</f>
        <v/>
      </c>
      <c r="N640" s="54" t="str" cm="1">
        <f t="array" ref="N640">IFERROR(_xlfn.LET(
_xlpm.CSVVal,_xlfn.XLOOKUP($A640,CSV!$A:$A,CSV!AF:AF,""),
_xlpm.MacVal,_xlfn.XLOOKUP($A640,Output_Mac!$A:$A,Output_Mac!U:U,""),
_xlpm.MyAuditVal,_xlfn.XLOOKUP($A640,My_Audit!$A:$A,My_Audit!O:O,""),
_xlfn.IFS(_xlpm.MyAuditVal&lt;&gt;"",UPPER(_xlpm.MyAuditVal),_xlpm.MacVal&lt;&gt;"",_xlpm.MacVal,_xlpm.CSVVal&lt;&gt;"",_xlpm.CSVVal
)),"")</f>
        <v/>
      </c>
      <c r="O640" s="54"/>
      <c r="P640" s="54"/>
      <c r="Q640" s="54"/>
      <c r="R640" s="54"/>
      <c r="S640" s="54"/>
      <c r="T640" s="54"/>
      <c r="U640" s="39"/>
    </row>
    <row r="641" spans="1:21">
      <c r="A641" s="54" t="str">
        <f>_xlfn.TEXTJOIN("",TRUE,Input!$B$2,ROW(My_Audit!A640))</f>
        <v>XX640</v>
      </c>
      <c r="B641" s="54" t="str">
        <f>_xlfn.TEXTJOIN("-",TRUE,"ITD",Input!$A$2,A641)</f>
        <v>ITD-SHRXXX-XX640</v>
      </c>
      <c r="C641" s="54" t="str" cm="1">
        <f t="array" ref="C641">IFERROR(_xlfn.LET(
_xlpm.CSVVal,_xlfn.XLOOKUP($A641,CSV!$A:$A,CSV!B:B,""),
_xlpm.MacVal,_xlfn.XLOOKUP($A641,Output_Mac!$A:$A,Output_Mac!B:B,""),
_xlpm.MyAuditVal,_xlfn.XLOOKUP($A641,My_Audit!$A:$A,My_Audit!B:B,""),
_xlfn.IFS(_xlpm.MyAuditVal&lt;&gt;"",UPPER(_xlpm.MyAuditVal),_xlpm.MacVal&lt;&gt;"",_xlpm.MacVal,_xlpm.CSVVal&lt;&gt;"",_xlpm.CSVVal
)),"")</f>
        <v/>
      </c>
      <c r="D641" s="55" t="str">
        <f>_xlfn.XLOOKUP(A641,My_Audit!A:A,My_Audit!D:D,"")&amp;""</f>
        <v/>
      </c>
      <c r="E641" s="55" t="str" cm="1">
        <f t="array" ref="E641">IFERROR(_xlfn.LET(
_xlpm.CSVVal,_xlfn.XLOOKUP($A641,CSV!$A:$A,CSV!D:D,""),
_xlpm.MacVal,_xlfn.XLOOKUP($A641,Output_Mac!$A:$A,Output_Mac!C:C,""),
_xlpm.MyAuditVal,_xlfn.XLOOKUP($A641,My_Audit!$A:$A,My_Audit!D:D,""),
_xlfn.IFS(_xlpm.MyAuditVal&lt;&gt;"",_xlpm.MyAuditVal,_xlpm.MacVal&lt;&gt;"",_xlpm.MacVal,_xlpm.CSVVal&lt;&gt;"",_xlpm.CSVVal
)),"")</f>
        <v/>
      </c>
      <c r="F641" s="54" t="str" cm="1">
        <f t="array" ref="F641">IFERROR(_xlfn.LET(
_xlpm.CSVVal,_xlfn.XLOOKUP($A641,CSV!$A:$A,CSV!E:E,""),
_xlpm.MacVal,_xlfn.XLOOKUP($A641,Output_Mac!$A:$A,Output_Mac!F:F,""),
_xlpm.MyAuditVal,_xlfn.XLOOKUP($A641,My_Audit!$A:$A,My_Audit!E:E,""),
_xlfn.IFS(_xlpm.MyAuditVal&lt;&gt;"",_xlpm.MyAuditVal,_xlpm.MacVal&lt;&gt;"",_xlpm.MacVal,_xlpm.CSVVal&lt;&gt;"",PROPER(_xlpm.CSVVal)
)),"")</f>
        <v/>
      </c>
      <c r="G641" s="54" t="str" cm="1">
        <f t="array" ref="G641">IFERROR(_xlfn.LET(
_xlpm.CSVVal,_xlfn.XLOOKUP($A641,CSV!$A:$A,CSV!F:F,""),
_xlpm.MacVal,_xlfn.XLOOKUP($A641,Output_Mac!$A:$A,Output_Mac!H:H,""),
_xlpm.MyAuditVal,_xlfn.XLOOKUP($A641,My_Audit!$A:$A,My_Audit!F:F,""),
_xlfn.IFS(_xlpm.MyAuditVal&lt;&gt;"",_xlpm.MyAuditVal,_xlpm.MacVal&lt;&gt;"",_xlpm.MacVal,_xlpm.CSVVal&lt;&gt;"",_xlpm.CSVVal
)),"")</f>
        <v/>
      </c>
      <c r="H641" s="54" t="str">
        <f>_xlfn.XLOOKUP(A641,Output_Mac!A:A,Output_Mac!I:I,"")</f>
        <v/>
      </c>
      <c r="I641" s="54" t="str" cm="1">
        <f t="array" ref="I641">IFERROR(_xlfn.LET(
_xlpm.CSVVal,_xlfn.XLOOKUP($A641,CSV!$A:$A,CSV!G:G,""),
_xlpm.MacVal,_xlfn.XLOOKUP($A641,Output_Mac!$A:$A,Output_Mac!J:J,""),
_xlpm.MyAuditVal,_xlfn.XLOOKUP($A641,My_Audit!$A:$A,My_Audit!H:H,""),
_xlfn.IFS(_xlpm.MyAuditVal&lt;&gt;"",UPPER(_xlpm.MyAuditVal),_xlpm.MacVal&lt;&gt;"",_xlpm.MacVal,_xlpm.CSVVal&lt;&gt;"",_xlpm.CSVVal
)),"")</f>
        <v/>
      </c>
      <c r="J641" s="54" t="str" cm="1">
        <f t="array" ref="J641">IFERROR(_xlfn.LET(
_xlpm.CSVVal,_xlfn.XLOOKUP($A641,CSV!$A:$A,CSV!I:I,""),
_xlpm.MacVal,_xlfn.XLOOKUP($A641,Output_Mac!$A:$A,Output_Mac!K:K,""),
_xlpm.MyAuditVal,_xlfn.XLOOKUP($A641,My_Audit!$A:$A,My_Audit!I:I,""),
_xlfn.IFS(_xlpm.MyAuditVal&lt;&gt;"",UPPER(_xlpm.MyAuditVal),_xlpm.MacVal&lt;&gt;"",_xlpm.MacVal,_xlpm.CSVVal&lt;&gt;"",_xlpm.CSVVal
)),"")</f>
        <v/>
      </c>
      <c r="K641" s="54" t="str" cm="1">
        <f t="array" ref="K641">IFERROR(_xlfn.LET(
_xlpm.CSVVal,_xlfn.XLOOKUP($A641,CSV!$A:$A,CSV!M:M,""),
_xlpm.MacVal,_xlfn.XLOOKUP($A641,Output_Mac!$A:$A,Output_Mac!L:L,""),
_xlpm.MyAuditVal,_xlfn.XLOOKUP($A641,My_Audit!$A:$A,My_Audit!J:J,""),
_xlfn.IFS(_xlpm.MyAuditVal&lt;&gt;"",UPPER(_xlpm.MyAuditVal),_xlpm.MacVal&lt;&gt;"",_xlpm.MacVal,_xlpm.CSVVal&lt;&gt;"",_xlpm.CSVVal
)),"")</f>
        <v/>
      </c>
      <c r="L641" s="54" t="str" cm="1">
        <f t="array" ref="L641">IFERROR(_xlfn.LET(
_xlpm.CSVVal,_xlfn.XLOOKUP($A641,CSV!$A:$A,CSV!O:O,""),
_xlpm.MacVal,_xlfn.XLOOKUP($A641,Output_Mac!$A:$A,Output_Mac!M:M,""),
_xlpm.MyAuditVal,_xlfn.XLOOKUP($A641,My_Audit!$A:$A,My_Audit!K:K,""),
_xlfn.IFS(_xlpm.MyAuditVal&lt;&gt;"",UPPER(_xlpm.MyAuditVal),_xlpm.MacVal&lt;&gt;"",_xlpm.MacVal,_xlpm.CSVVal&lt;&gt;"",_xlpm.CSVVal
)),"")</f>
        <v/>
      </c>
      <c r="M641" s="54" t="str">
        <f>_xlfn.LET(
    _xlpm.CSVVal, _xlfn.XLOOKUP($A641, CSV!$A:$A, CSV!AD:AD, ""),
    _xlpm.MacVal, _xlfn.XLOOKUP($A641, Output_Mac!$A:$A, Output_Mac!S:S, ""),
    _xlpm.MyAuditVal, _xlfn.XLOOKUP($A641, My_Audit!$A:$A, My_Audit!N:N, ""),
    _xlfn.TEXTJOIN(", ", TRUE, _xlpm.MyAuditVal, _xlpm.MacVal, _xlpm.CSVVal)
)</f>
        <v/>
      </c>
      <c r="N641" s="54" t="str" cm="1">
        <f t="array" ref="N641">IFERROR(_xlfn.LET(
_xlpm.CSVVal,_xlfn.XLOOKUP($A641,CSV!$A:$A,CSV!AF:AF,""),
_xlpm.MacVal,_xlfn.XLOOKUP($A641,Output_Mac!$A:$A,Output_Mac!U:U,""),
_xlpm.MyAuditVal,_xlfn.XLOOKUP($A641,My_Audit!$A:$A,My_Audit!O:O,""),
_xlfn.IFS(_xlpm.MyAuditVal&lt;&gt;"",UPPER(_xlpm.MyAuditVal),_xlpm.MacVal&lt;&gt;"",_xlpm.MacVal,_xlpm.CSVVal&lt;&gt;"",_xlpm.CSVVal
)),"")</f>
        <v/>
      </c>
      <c r="O641" s="54"/>
      <c r="P641" s="54"/>
      <c r="Q641" s="54"/>
      <c r="R641" s="54"/>
      <c r="S641" s="54"/>
      <c r="T641" s="54"/>
      <c r="U641" s="39"/>
    </row>
    <row r="642" spans="1:21">
      <c r="A642" s="54" t="str">
        <f>_xlfn.TEXTJOIN("",TRUE,Input!$B$2,ROW(My_Audit!A641))</f>
        <v>XX641</v>
      </c>
      <c r="B642" s="54" t="str">
        <f>_xlfn.TEXTJOIN("-",TRUE,"ITD",Input!$A$2,A642)</f>
        <v>ITD-SHRXXX-XX641</v>
      </c>
      <c r="C642" s="54" t="str" cm="1">
        <f t="array" ref="C642">IFERROR(_xlfn.LET(
_xlpm.CSVVal,_xlfn.XLOOKUP($A642,CSV!$A:$A,CSV!B:B,""),
_xlpm.MacVal,_xlfn.XLOOKUP($A642,Output_Mac!$A:$A,Output_Mac!B:B,""),
_xlpm.MyAuditVal,_xlfn.XLOOKUP($A642,My_Audit!$A:$A,My_Audit!B:B,""),
_xlfn.IFS(_xlpm.MyAuditVal&lt;&gt;"",UPPER(_xlpm.MyAuditVal),_xlpm.MacVal&lt;&gt;"",_xlpm.MacVal,_xlpm.CSVVal&lt;&gt;"",_xlpm.CSVVal
)),"")</f>
        <v/>
      </c>
      <c r="D642" s="55" t="str">
        <f>_xlfn.XLOOKUP(A642,My_Audit!A:A,My_Audit!D:D,"")&amp;""</f>
        <v/>
      </c>
      <c r="E642" s="55" t="str" cm="1">
        <f t="array" ref="E642">IFERROR(_xlfn.LET(
_xlpm.CSVVal,_xlfn.XLOOKUP($A642,CSV!$A:$A,CSV!D:D,""),
_xlpm.MacVal,_xlfn.XLOOKUP($A642,Output_Mac!$A:$A,Output_Mac!C:C,""),
_xlpm.MyAuditVal,_xlfn.XLOOKUP($A642,My_Audit!$A:$A,My_Audit!D:D,""),
_xlfn.IFS(_xlpm.MyAuditVal&lt;&gt;"",_xlpm.MyAuditVal,_xlpm.MacVal&lt;&gt;"",_xlpm.MacVal,_xlpm.CSVVal&lt;&gt;"",_xlpm.CSVVal
)),"")</f>
        <v/>
      </c>
      <c r="F642" s="54" t="str" cm="1">
        <f t="array" ref="F642">IFERROR(_xlfn.LET(
_xlpm.CSVVal,_xlfn.XLOOKUP($A642,CSV!$A:$A,CSV!E:E,""),
_xlpm.MacVal,_xlfn.XLOOKUP($A642,Output_Mac!$A:$A,Output_Mac!F:F,""),
_xlpm.MyAuditVal,_xlfn.XLOOKUP($A642,My_Audit!$A:$A,My_Audit!E:E,""),
_xlfn.IFS(_xlpm.MyAuditVal&lt;&gt;"",_xlpm.MyAuditVal,_xlpm.MacVal&lt;&gt;"",_xlpm.MacVal,_xlpm.CSVVal&lt;&gt;"",PROPER(_xlpm.CSVVal)
)),"")</f>
        <v/>
      </c>
      <c r="G642" s="54" t="str" cm="1">
        <f t="array" ref="G642">IFERROR(_xlfn.LET(
_xlpm.CSVVal,_xlfn.XLOOKUP($A642,CSV!$A:$A,CSV!F:F,""),
_xlpm.MacVal,_xlfn.XLOOKUP($A642,Output_Mac!$A:$A,Output_Mac!H:H,""),
_xlpm.MyAuditVal,_xlfn.XLOOKUP($A642,My_Audit!$A:$A,My_Audit!F:F,""),
_xlfn.IFS(_xlpm.MyAuditVal&lt;&gt;"",_xlpm.MyAuditVal,_xlpm.MacVal&lt;&gt;"",_xlpm.MacVal,_xlpm.CSVVal&lt;&gt;"",_xlpm.CSVVal
)),"")</f>
        <v/>
      </c>
      <c r="H642" s="54" t="str">
        <f>_xlfn.XLOOKUP(A642,Output_Mac!A:A,Output_Mac!I:I,"")</f>
        <v/>
      </c>
      <c r="I642" s="54" t="str" cm="1">
        <f t="array" ref="I642">IFERROR(_xlfn.LET(
_xlpm.CSVVal,_xlfn.XLOOKUP($A642,CSV!$A:$A,CSV!G:G,""),
_xlpm.MacVal,_xlfn.XLOOKUP($A642,Output_Mac!$A:$A,Output_Mac!J:J,""),
_xlpm.MyAuditVal,_xlfn.XLOOKUP($A642,My_Audit!$A:$A,My_Audit!H:H,""),
_xlfn.IFS(_xlpm.MyAuditVal&lt;&gt;"",UPPER(_xlpm.MyAuditVal),_xlpm.MacVal&lt;&gt;"",_xlpm.MacVal,_xlpm.CSVVal&lt;&gt;"",_xlpm.CSVVal
)),"")</f>
        <v/>
      </c>
      <c r="J642" s="54" t="str" cm="1">
        <f t="array" ref="J642">IFERROR(_xlfn.LET(
_xlpm.CSVVal,_xlfn.XLOOKUP($A642,CSV!$A:$A,CSV!I:I,""),
_xlpm.MacVal,_xlfn.XLOOKUP($A642,Output_Mac!$A:$A,Output_Mac!K:K,""),
_xlpm.MyAuditVal,_xlfn.XLOOKUP($A642,My_Audit!$A:$A,My_Audit!I:I,""),
_xlfn.IFS(_xlpm.MyAuditVal&lt;&gt;"",UPPER(_xlpm.MyAuditVal),_xlpm.MacVal&lt;&gt;"",_xlpm.MacVal,_xlpm.CSVVal&lt;&gt;"",_xlpm.CSVVal
)),"")</f>
        <v/>
      </c>
      <c r="K642" s="54" t="str" cm="1">
        <f t="array" ref="K642">IFERROR(_xlfn.LET(
_xlpm.CSVVal,_xlfn.XLOOKUP($A642,CSV!$A:$A,CSV!M:M,""),
_xlpm.MacVal,_xlfn.XLOOKUP($A642,Output_Mac!$A:$A,Output_Mac!L:L,""),
_xlpm.MyAuditVal,_xlfn.XLOOKUP($A642,My_Audit!$A:$A,My_Audit!J:J,""),
_xlfn.IFS(_xlpm.MyAuditVal&lt;&gt;"",UPPER(_xlpm.MyAuditVal),_xlpm.MacVal&lt;&gt;"",_xlpm.MacVal,_xlpm.CSVVal&lt;&gt;"",_xlpm.CSVVal
)),"")</f>
        <v/>
      </c>
      <c r="L642" s="54" t="str" cm="1">
        <f t="array" ref="L642">IFERROR(_xlfn.LET(
_xlpm.CSVVal,_xlfn.XLOOKUP($A642,CSV!$A:$A,CSV!O:O,""),
_xlpm.MacVal,_xlfn.XLOOKUP($A642,Output_Mac!$A:$A,Output_Mac!M:M,""),
_xlpm.MyAuditVal,_xlfn.XLOOKUP($A642,My_Audit!$A:$A,My_Audit!K:K,""),
_xlfn.IFS(_xlpm.MyAuditVal&lt;&gt;"",UPPER(_xlpm.MyAuditVal),_xlpm.MacVal&lt;&gt;"",_xlpm.MacVal,_xlpm.CSVVal&lt;&gt;"",_xlpm.CSVVal
)),"")</f>
        <v/>
      </c>
      <c r="M642" s="54" t="str">
        <f>_xlfn.LET(
    _xlpm.CSVVal, _xlfn.XLOOKUP($A642, CSV!$A:$A, CSV!AD:AD, ""),
    _xlpm.MacVal, _xlfn.XLOOKUP($A642, Output_Mac!$A:$A, Output_Mac!S:S, ""),
    _xlpm.MyAuditVal, _xlfn.XLOOKUP($A642, My_Audit!$A:$A, My_Audit!N:N, ""),
    _xlfn.TEXTJOIN(", ", TRUE, _xlpm.MyAuditVal, _xlpm.MacVal, _xlpm.CSVVal)
)</f>
        <v/>
      </c>
      <c r="N642" s="54" t="str" cm="1">
        <f t="array" ref="N642">IFERROR(_xlfn.LET(
_xlpm.CSVVal,_xlfn.XLOOKUP($A642,CSV!$A:$A,CSV!AF:AF,""),
_xlpm.MacVal,_xlfn.XLOOKUP($A642,Output_Mac!$A:$A,Output_Mac!U:U,""),
_xlpm.MyAuditVal,_xlfn.XLOOKUP($A642,My_Audit!$A:$A,My_Audit!O:O,""),
_xlfn.IFS(_xlpm.MyAuditVal&lt;&gt;"",UPPER(_xlpm.MyAuditVal),_xlpm.MacVal&lt;&gt;"",_xlpm.MacVal,_xlpm.CSVVal&lt;&gt;"",_xlpm.CSVVal
)),"")</f>
        <v/>
      </c>
      <c r="O642" s="54"/>
      <c r="P642" s="54"/>
      <c r="Q642" s="54"/>
      <c r="R642" s="54"/>
      <c r="S642" s="54"/>
      <c r="T642" s="54"/>
      <c r="U642" s="39"/>
    </row>
    <row r="643" spans="1:21">
      <c r="A643" s="54" t="str">
        <f>_xlfn.TEXTJOIN("",TRUE,Input!$B$2,ROW(My_Audit!A642))</f>
        <v>XX642</v>
      </c>
      <c r="B643" s="54" t="str">
        <f>_xlfn.TEXTJOIN("-",TRUE,"ITD",Input!$A$2,A643)</f>
        <v>ITD-SHRXXX-XX642</v>
      </c>
      <c r="C643" s="54" t="str" cm="1">
        <f t="array" ref="C643">IFERROR(_xlfn.LET(
_xlpm.CSVVal,_xlfn.XLOOKUP($A643,CSV!$A:$A,CSV!B:B,""),
_xlpm.MacVal,_xlfn.XLOOKUP($A643,Output_Mac!$A:$A,Output_Mac!B:B,""),
_xlpm.MyAuditVal,_xlfn.XLOOKUP($A643,My_Audit!$A:$A,My_Audit!B:B,""),
_xlfn.IFS(_xlpm.MyAuditVal&lt;&gt;"",UPPER(_xlpm.MyAuditVal),_xlpm.MacVal&lt;&gt;"",_xlpm.MacVal,_xlpm.CSVVal&lt;&gt;"",_xlpm.CSVVal
)),"")</f>
        <v/>
      </c>
      <c r="D643" s="55" t="str">
        <f>_xlfn.XLOOKUP(A643,My_Audit!A:A,My_Audit!D:D,"")&amp;""</f>
        <v/>
      </c>
      <c r="E643" s="55" t="str" cm="1">
        <f t="array" ref="E643">IFERROR(_xlfn.LET(
_xlpm.CSVVal,_xlfn.XLOOKUP($A643,CSV!$A:$A,CSV!D:D,""),
_xlpm.MacVal,_xlfn.XLOOKUP($A643,Output_Mac!$A:$A,Output_Mac!C:C,""),
_xlpm.MyAuditVal,_xlfn.XLOOKUP($A643,My_Audit!$A:$A,My_Audit!D:D,""),
_xlfn.IFS(_xlpm.MyAuditVal&lt;&gt;"",_xlpm.MyAuditVal,_xlpm.MacVal&lt;&gt;"",_xlpm.MacVal,_xlpm.CSVVal&lt;&gt;"",_xlpm.CSVVal
)),"")</f>
        <v/>
      </c>
      <c r="F643" s="54" t="str" cm="1">
        <f t="array" ref="F643">IFERROR(_xlfn.LET(
_xlpm.CSVVal,_xlfn.XLOOKUP($A643,CSV!$A:$A,CSV!E:E,""),
_xlpm.MacVal,_xlfn.XLOOKUP($A643,Output_Mac!$A:$A,Output_Mac!F:F,""),
_xlpm.MyAuditVal,_xlfn.XLOOKUP($A643,My_Audit!$A:$A,My_Audit!E:E,""),
_xlfn.IFS(_xlpm.MyAuditVal&lt;&gt;"",_xlpm.MyAuditVal,_xlpm.MacVal&lt;&gt;"",_xlpm.MacVal,_xlpm.CSVVal&lt;&gt;"",PROPER(_xlpm.CSVVal)
)),"")</f>
        <v/>
      </c>
      <c r="G643" s="54" t="str" cm="1">
        <f t="array" ref="G643">IFERROR(_xlfn.LET(
_xlpm.CSVVal,_xlfn.XLOOKUP($A643,CSV!$A:$A,CSV!F:F,""),
_xlpm.MacVal,_xlfn.XLOOKUP($A643,Output_Mac!$A:$A,Output_Mac!H:H,""),
_xlpm.MyAuditVal,_xlfn.XLOOKUP($A643,My_Audit!$A:$A,My_Audit!F:F,""),
_xlfn.IFS(_xlpm.MyAuditVal&lt;&gt;"",_xlpm.MyAuditVal,_xlpm.MacVal&lt;&gt;"",_xlpm.MacVal,_xlpm.CSVVal&lt;&gt;"",_xlpm.CSVVal
)),"")</f>
        <v/>
      </c>
      <c r="H643" s="54" t="str">
        <f>_xlfn.XLOOKUP(A643,Output_Mac!A:A,Output_Mac!I:I,"")</f>
        <v/>
      </c>
      <c r="I643" s="54" t="str" cm="1">
        <f t="array" ref="I643">IFERROR(_xlfn.LET(
_xlpm.CSVVal,_xlfn.XLOOKUP($A643,CSV!$A:$A,CSV!G:G,""),
_xlpm.MacVal,_xlfn.XLOOKUP($A643,Output_Mac!$A:$A,Output_Mac!J:J,""),
_xlpm.MyAuditVal,_xlfn.XLOOKUP($A643,My_Audit!$A:$A,My_Audit!H:H,""),
_xlfn.IFS(_xlpm.MyAuditVal&lt;&gt;"",UPPER(_xlpm.MyAuditVal),_xlpm.MacVal&lt;&gt;"",_xlpm.MacVal,_xlpm.CSVVal&lt;&gt;"",_xlpm.CSVVal
)),"")</f>
        <v/>
      </c>
      <c r="J643" s="54" t="str" cm="1">
        <f t="array" ref="J643">IFERROR(_xlfn.LET(
_xlpm.CSVVal,_xlfn.XLOOKUP($A643,CSV!$A:$A,CSV!I:I,""),
_xlpm.MacVal,_xlfn.XLOOKUP($A643,Output_Mac!$A:$A,Output_Mac!K:K,""),
_xlpm.MyAuditVal,_xlfn.XLOOKUP($A643,My_Audit!$A:$A,My_Audit!I:I,""),
_xlfn.IFS(_xlpm.MyAuditVal&lt;&gt;"",UPPER(_xlpm.MyAuditVal),_xlpm.MacVal&lt;&gt;"",_xlpm.MacVal,_xlpm.CSVVal&lt;&gt;"",_xlpm.CSVVal
)),"")</f>
        <v/>
      </c>
      <c r="K643" s="54" t="str" cm="1">
        <f t="array" ref="K643">IFERROR(_xlfn.LET(
_xlpm.CSVVal,_xlfn.XLOOKUP($A643,CSV!$A:$A,CSV!M:M,""),
_xlpm.MacVal,_xlfn.XLOOKUP($A643,Output_Mac!$A:$A,Output_Mac!L:L,""),
_xlpm.MyAuditVal,_xlfn.XLOOKUP($A643,My_Audit!$A:$A,My_Audit!J:J,""),
_xlfn.IFS(_xlpm.MyAuditVal&lt;&gt;"",UPPER(_xlpm.MyAuditVal),_xlpm.MacVal&lt;&gt;"",_xlpm.MacVal,_xlpm.CSVVal&lt;&gt;"",_xlpm.CSVVal
)),"")</f>
        <v/>
      </c>
      <c r="L643" s="54" t="str" cm="1">
        <f t="array" ref="L643">IFERROR(_xlfn.LET(
_xlpm.CSVVal,_xlfn.XLOOKUP($A643,CSV!$A:$A,CSV!O:O,""),
_xlpm.MacVal,_xlfn.XLOOKUP($A643,Output_Mac!$A:$A,Output_Mac!M:M,""),
_xlpm.MyAuditVal,_xlfn.XLOOKUP($A643,My_Audit!$A:$A,My_Audit!K:K,""),
_xlfn.IFS(_xlpm.MyAuditVal&lt;&gt;"",UPPER(_xlpm.MyAuditVal),_xlpm.MacVal&lt;&gt;"",_xlpm.MacVal,_xlpm.CSVVal&lt;&gt;"",_xlpm.CSVVal
)),"")</f>
        <v/>
      </c>
      <c r="M643" s="54" t="str">
        <f>_xlfn.LET(
    _xlpm.CSVVal, _xlfn.XLOOKUP($A643, CSV!$A:$A, CSV!AD:AD, ""),
    _xlpm.MacVal, _xlfn.XLOOKUP($A643, Output_Mac!$A:$A, Output_Mac!S:S, ""),
    _xlpm.MyAuditVal, _xlfn.XLOOKUP($A643, My_Audit!$A:$A, My_Audit!N:N, ""),
    _xlfn.TEXTJOIN(", ", TRUE, _xlpm.MyAuditVal, _xlpm.MacVal, _xlpm.CSVVal)
)</f>
        <v/>
      </c>
      <c r="N643" s="54" t="str" cm="1">
        <f t="array" ref="N643">IFERROR(_xlfn.LET(
_xlpm.CSVVal,_xlfn.XLOOKUP($A643,CSV!$A:$A,CSV!AF:AF,""),
_xlpm.MacVal,_xlfn.XLOOKUP($A643,Output_Mac!$A:$A,Output_Mac!U:U,""),
_xlpm.MyAuditVal,_xlfn.XLOOKUP($A643,My_Audit!$A:$A,My_Audit!O:O,""),
_xlfn.IFS(_xlpm.MyAuditVal&lt;&gt;"",UPPER(_xlpm.MyAuditVal),_xlpm.MacVal&lt;&gt;"",_xlpm.MacVal,_xlpm.CSVVal&lt;&gt;"",_xlpm.CSVVal
)),"")</f>
        <v/>
      </c>
      <c r="O643" s="54"/>
      <c r="P643" s="54"/>
      <c r="Q643" s="54"/>
      <c r="R643" s="54"/>
      <c r="S643" s="54"/>
      <c r="T643" s="54"/>
      <c r="U643" s="39"/>
    </row>
    <row r="644" spans="1:21">
      <c r="A644" s="54" t="str">
        <f>_xlfn.TEXTJOIN("",TRUE,Input!$B$2,ROW(My_Audit!A643))</f>
        <v>XX643</v>
      </c>
      <c r="B644" s="54" t="str">
        <f>_xlfn.TEXTJOIN("-",TRUE,"ITD",Input!$A$2,A644)</f>
        <v>ITD-SHRXXX-XX643</v>
      </c>
      <c r="C644" s="54" t="str" cm="1">
        <f t="array" ref="C644">IFERROR(_xlfn.LET(
_xlpm.CSVVal,_xlfn.XLOOKUP($A644,CSV!$A:$A,CSV!B:B,""),
_xlpm.MacVal,_xlfn.XLOOKUP($A644,Output_Mac!$A:$A,Output_Mac!B:B,""),
_xlpm.MyAuditVal,_xlfn.XLOOKUP($A644,My_Audit!$A:$A,My_Audit!B:B,""),
_xlfn.IFS(_xlpm.MyAuditVal&lt;&gt;"",UPPER(_xlpm.MyAuditVal),_xlpm.MacVal&lt;&gt;"",_xlpm.MacVal,_xlpm.CSVVal&lt;&gt;"",_xlpm.CSVVal
)),"")</f>
        <v/>
      </c>
      <c r="D644" s="55" t="str">
        <f>_xlfn.XLOOKUP(A644,My_Audit!A:A,My_Audit!D:D,"")&amp;""</f>
        <v/>
      </c>
      <c r="E644" s="55" t="str" cm="1">
        <f t="array" ref="E644">IFERROR(_xlfn.LET(
_xlpm.CSVVal,_xlfn.XLOOKUP($A644,CSV!$A:$A,CSV!D:D,""),
_xlpm.MacVal,_xlfn.XLOOKUP($A644,Output_Mac!$A:$A,Output_Mac!C:C,""),
_xlpm.MyAuditVal,_xlfn.XLOOKUP($A644,My_Audit!$A:$A,My_Audit!D:D,""),
_xlfn.IFS(_xlpm.MyAuditVal&lt;&gt;"",_xlpm.MyAuditVal,_xlpm.MacVal&lt;&gt;"",_xlpm.MacVal,_xlpm.CSVVal&lt;&gt;"",_xlpm.CSVVal
)),"")</f>
        <v/>
      </c>
      <c r="F644" s="54" t="str" cm="1">
        <f t="array" ref="F644">IFERROR(_xlfn.LET(
_xlpm.CSVVal,_xlfn.XLOOKUP($A644,CSV!$A:$A,CSV!E:E,""),
_xlpm.MacVal,_xlfn.XLOOKUP($A644,Output_Mac!$A:$A,Output_Mac!F:F,""),
_xlpm.MyAuditVal,_xlfn.XLOOKUP($A644,My_Audit!$A:$A,My_Audit!E:E,""),
_xlfn.IFS(_xlpm.MyAuditVal&lt;&gt;"",_xlpm.MyAuditVal,_xlpm.MacVal&lt;&gt;"",_xlpm.MacVal,_xlpm.CSVVal&lt;&gt;"",PROPER(_xlpm.CSVVal)
)),"")</f>
        <v/>
      </c>
      <c r="G644" s="54" t="str" cm="1">
        <f t="array" ref="G644">IFERROR(_xlfn.LET(
_xlpm.CSVVal,_xlfn.XLOOKUP($A644,CSV!$A:$A,CSV!F:F,""),
_xlpm.MacVal,_xlfn.XLOOKUP($A644,Output_Mac!$A:$A,Output_Mac!H:H,""),
_xlpm.MyAuditVal,_xlfn.XLOOKUP($A644,My_Audit!$A:$A,My_Audit!F:F,""),
_xlfn.IFS(_xlpm.MyAuditVal&lt;&gt;"",_xlpm.MyAuditVal,_xlpm.MacVal&lt;&gt;"",_xlpm.MacVal,_xlpm.CSVVal&lt;&gt;"",_xlpm.CSVVal
)),"")</f>
        <v/>
      </c>
      <c r="H644" s="54" t="str">
        <f>_xlfn.XLOOKUP(A644,Output_Mac!A:A,Output_Mac!I:I,"")</f>
        <v/>
      </c>
      <c r="I644" s="54" t="str" cm="1">
        <f t="array" ref="I644">IFERROR(_xlfn.LET(
_xlpm.CSVVal,_xlfn.XLOOKUP($A644,CSV!$A:$A,CSV!G:G,""),
_xlpm.MacVal,_xlfn.XLOOKUP($A644,Output_Mac!$A:$A,Output_Mac!J:J,""),
_xlpm.MyAuditVal,_xlfn.XLOOKUP($A644,My_Audit!$A:$A,My_Audit!H:H,""),
_xlfn.IFS(_xlpm.MyAuditVal&lt;&gt;"",UPPER(_xlpm.MyAuditVal),_xlpm.MacVal&lt;&gt;"",_xlpm.MacVal,_xlpm.CSVVal&lt;&gt;"",_xlpm.CSVVal
)),"")</f>
        <v/>
      </c>
      <c r="J644" s="54" t="str" cm="1">
        <f t="array" ref="J644">IFERROR(_xlfn.LET(
_xlpm.CSVVal,_xlfn.XLOOKUP($A644,CSV!$A:$A,CSV!I:I,""),
_xlpm.MacVal,_xlfn.XLOOKUP($A644,Output_Mac!$A:$A,Output_Mac!K:K,""),
_xlpm.MyAuditVal,_xlfn.XLOOKUP($A644,My_Audit!$A:$A,My_Audit!I:I,""),
_xlfn.IFS(_xlpm.MyAuditVal&lt;&gt;"",UPPER(_xlpm.MyAuditVal),_xlpm.MacVal&lt;&gt;"",_xlpm.MacVal,_xlpm.CSVVal&lt;&gt;"",_xlpm.CSVVal
)),"")</f>
        <v/>
      </c>
      <c r="K644" s="54" t="str" cm="1">
        <f t="array" ref="K644">IFERROR(_xlfn.LET(
_xlpm.CSVVal,_xlfn.XLOOKUP($A644,CSV!$A:$A,CSV!M:M,""),
_xlpm.MacVal,_xlfn.XLOOKUP($A644,Output_Mac!$A:$A,Output_Mac!L:L,""),
_xlpm.MyAuditVal,_xlfn.XLOOKUP($A644,My_Audit!$A:$A,My_Audit!J:J,""),
_xlfn.IFS(_xlpm.MyAuditVal&lt;&gt;"",UPPER(_xlpm.MyAuditVal),_xlpm.MacVal&lt;&gt;"",_xlpm.MacVal,_xlpm.CSVVal&lt;&gt;"",_xlpm.CSVVal
)),"")</f>
        <v/>
      </c>
      <c r="L644" s="54" t="str" cm="1">
        <f t="array" ref="L644">IFERROR(_xlfn.LET(
_xlpm.CSVVal,_xlfn.XLOOKUP($A644,CSV!$A:$A,CSV!O:O,""),
_xlpm.MacVal,_xlfn.XLOOKUP($A644,Output_Mac!$A:$A,Output_Mac!M:M,""),
_xlpm.MyAuditVal,_xlfn.XLOOKUP($A644,My_Audit!$A:$A,My_Audit!K:K,""),
_xlfn.IFS(_xlpm.MyAuditVal&lt;&gt;"",UPPER(_xlpm.MyAuditVal),_xlpm.MacVal&lt;&gt;"",_xlpm.MacVal,_xlpm.CSVVal&lt;&gt;"",_xlpm.CSVVal
)),"")</f>
        <v/>
      </c>
      <c r="M644" s="54" t="str">
        <f>_xlfn.LET(
    _xlpm.CSVVal, _xlfn.XLOOKUP($A644, CSV!$A:$A, CSV!AD:AD, ""),
    _xlpm.MacVal, _xlfn.XLOOKUP($A644, Output_Mac!$A:$A, Output_Mac!S:S, ""),
    _xlpm.MyAuditVal, _xlfn.XLOOKUP($A644, My_Audit!$A:$A, My_Audit!N:N, ""),
    _xlfn.TEXTJOIN(", ", TRUE, _xlpm.MyAuditVal, _xlpm.MacVal, _xlpm.CSVVal)
)</f>
        <v/>
      </c>
      <c r="N644" s="54" t="str" cm="1">
        <f t="array" ref="N644">IFERROR(_xlfn.LET(
_xlpm.CSVVal,_xlfn.XLOOKUP($A644,CSV!$A:$A,CSV!AF:AF,""),
_xlpm.MacVal,_xlfn.XLOOKUP($A644,Output_Mac!$A:$A,Output_Mac!U:U,""),
_xlpm.MyAuditVal,_xlfn.XLOOKUP($A644,My_Audit!$A:$A,My_Audit!O:O,""),
_xlfn.IFS(_xlpm.MyAuditVal&lt;&gt;"",UPPER(_xlpm.MyAuditVal),_xlpm.MacVal&lt;&gt;"",_xlpm.MacVal,_xlpm.CSVVal&lt;&gt;"",_xlpm.CSVVal
)),"")</f>
        <v/>
      </c>
      <c r="O644" s="54"/>
      <c r="P644" s="54"/>
      <c r="Q644" s="54"/>
      <c r="R644" s="54"/>
      <c r="S644" s="54"/>
      <c r="T644" s="54"/>
      <c r="U644" s="39"/>
    </row>
    <row r="645" spans="1:21">
      <c r="A645" s="54" t="str">
        <f>_xlfn.TEXTJOIN("",TRUE,Input!$B$2,ROW(My_Audit!A644))</f>
        <v>XX644</v>
      </c>
      <c r="B645" s="54" t="str">
        <f>_xlfn.TEXTJOIN("-",TRUE,"ITD",Input!$A$2,A645)</f>
        <v>ITD-SHRXXX-XX644</v>
      </c>
      <c r="C645" s="54" t="str" cm="1">
        <f t="array" ref="C645">IFERROR(_xlfn.LET(
_xlpm.CSVVal,_xlfn.XLOOKUP($A645,CSV!$A:$A,CSV!B:B,""),
_xlpm.MacVal,_xlfn.XLOOKUP($A645,Output_Mac!$A:$A,Output_Mac!B:B,""),
_xlpm.MyAuditVal,_xlfn.XLOOKUP($A645,My_Audit!$A:$A,My_Audit!B:B,""),
_xlfn.IFS(_xlpm.MyAuditVal&lt;&gt;"",UPPER(_xlpm.MyAuditVal),_xlpm.MacVal&lt;&gt;"",_xlpm.MacVal,_xlpm.CSVVal&lt;&gt;"",_xlpm.CSVVal
)),"")</f>
        <v/>
      </c>
      <c r="D645" s="55" t="str">
        <f>_xlfn.XLOOKUP(A645,My_Audit!A:A,My_Audit!D:D,"")&amp;""</f>
        <v/>
      </c>
      <c r="E645" s="55" t="str" cm="1">
        <f t="array" ref="E645">IFERROR(_xlfn.LET(
_xlpm.CSVVal,_xlfn.XLOOKUP($A645,CSV!$A:$A,CSV!D:D,""),
_xlpm.MacVal,_xlfn.XLOOKUP($A645,Output_Mac!$A:$A,Output_Mac!C:C,""),
_xlpm.MyAuditVal,_xlfn.XLOOKUP($A645,My_Audit!$A:$A,My_Audit!D:D,""),
_xlfn.IFS(_xlpm.MyAuditVal&lt;&gt;"",_xlpm.MyAuditVal,_xlpm.MacVal&lt;&gt;"",_xlpm.MacVal,_xlpm.CSVVal&lt;&gt;"",_xlpm.CSVVal
)),"")</f>
        <v/>
      </c>
      <c r="F645" s="54" t="str" cm="1">
        <f t="array" ref="F645">IFERROR(_xlfn.LET(
_xlpm.CSVVal,_xlfn.XLOOKUP($A645,CSV!$A:$A,CSV!E:E,""),
_xlpm.MacVal,_xlfn.XLOOKUP($A645,Output_Mac!$A:$A,Output_Mac!F:F,""),
_xlpm.MyAuditVal,_xlfn.XLOOKUP($A645,My_Audit!$A:$A,My_Audit!E:E,""),
_xlfn.IFS(_xlpm.MyAuditVal&lt;&gt;"",_xlpm.MyAuditVal,_xlpm.MacVal&lt;&gt;"",_xlpm.MacVal,_xlpm.CSVVal&lt;&gt;"",PROPER(_xlpm.CSVVal)
)),"")</f>
        <v/>
      </c>
      <c r="G645" s="54" t="str" cm="1">
        <f t="array" ref="G645">IFERROR(_xlfn.LET(
_xlpm.CSVVal,_xlfn.XLOOKUP($A645,CSV!$A:$A,CSV!F:F,""),
_xlpm.MacVal,_xlfn.XLOOKUP($A645,Output_Mac!$A:$A,Output_Mac!H:H,""),
_xlpm.MyAuditVal,_xlfn.XLOOKUP($A645,My_Audit!$A:$A,My_Audit!F:F,""),
_xlfn.IFS(_xlpm.MyAuditVal&lt;&gt;"",_xlpm.MyAuditVal,_xlpm.MacVal&lt;&gt;"",_xlpm.MacVal,_xlpm.CSVVal&lt;&gt;"",_xlpm.CSVVal
)),"")</f>
        <v/>
      </c>
      <c r="H645" s="54" t="str">
        <f>_xlfn.XLOOKUP(A645,Output_Mac!A:A,Output_Mac!I:I,"")</f>
        <v/>
      </c>
      <c r="I645" s="54" t="str" cm="1">
        <f t="array" ref="I645">IFERROR(_xlfn.LET(
_xlpm.CSVVal,_xlfn.XLOOKUP($A645,CSV!$A:$A,CSV!G:G,""),
_xlpm.MacVal,_xlfn.XLOOKUP($A645,Output_Mac!$A:$A,Output_Mac!J:J,""),
_xlpm.MyAuditVal,_xlfn.XLOOKUP($A645,My_Audit!$A:$A,My_Audit!H:H,""),
_xlfn.IFS(_xlpm.MyAuditVal&lt;&gt;"",UPPER(_xlpm.MyAuditVal),_xlpm.MacVal&lt;&gt;"",_xlpm.MacVal,_xlpm.CSVVal&lt;&gt;"",_xlpm.CSVVal
)),"")</f>
        <v/>
      </c>
      <c r="J645" s="54" t="str" cm="1">
        <f t="array" ref="J645">IFERROR(_xlfn.LET(
_xlpm.CSVVal,_xlfn.XLOOKUP($A645,CSV!$A:$A,CSV!I:I,""),
_xlpm.MacVal,_xlfn.XLOOKUP($A645,Output_Mac!$A:$A,Output_Mac!K:K,""),
_xlpm.MyAuditVal,_xlfn.XLOOKUP($A645,My_Audit!$A:$A,My_Audit!I:I,""),
_xlfn.IFS(_xlpm.MyAuditVal&lt;&gt;"",UPPER(_xlpm.MyAuditVal),_xlpm.MacVal&lt;&gt;"",_xlpm.MacVal,_xlpm.CSVVal&lt;&gt;"",_xlpm.CSVVal
)),"")</f>
        <v/>
      </c>
      <c r="K645" s="54" t="str" cm="1">
        <f t="array" ref="K645">IFERROR(_xlfn.LET(
_xlpm.CSVVal,_xlfn.XLOOKUP($A645,CSV!$A:$A,CSV!M:M,""),
_xlpm.MacVal,_xlfn.XLOOKUP($A645,Output_Mac!$A:$A,Output_Mac!L:L,""),
_xlpm.MyAuditVal,_xlfn.XLOOKUP($A645,My_Audit!$A:$A,My_Audit!J:J,""),
_xlfn.IFS(_xlpm.MyAuditVal&lt;&gt;"",UPPER(_xlpm.MyAuditVal),_xlpm.MacVal&lt;&gt;"",_xlpm.MacVal,_xlpm.CSVVal&lt;&gt;"",_xlpm.CSVVal
)),"")</f>
        <v/>
      </c>
      <c r="L645" s="54" t="str" cm="1">
        <f t="array" ref="L645">IFERROR(_xlfn.LET(
_xlpm.CSVVal,_xlfn.XLOOKUP($A645,CSV!$A:$A,CSV!O:O,""),
_xlpm.MacVal,_xlfn.XLOOKUP($A645,Output_Mac!$A:$A,Output_Mac!M:M,""),
_xlpm.MyAuditVal,_xlfn.XLOOKUP($A645,My_Audit!$A:$A,My_Audit!K:K,""),
_xlfn.IFS(_xlpm.MyAuditVal&lt;&gt;"",UPPER(_xlpm.MyAuditVal),_xlpm.MacVal&lt;&gt;"",_xlpm.MacVal,_xlpm.CSVVal&lt;&gt;"",_xlpm.CSVVal
)),"")</f>
        <v/>
      </c>
      <c r="M645" s="54" t="str">
        <f>_xlfn.LET(
    _xlpm.CSVVal, _xlfn.XLOOKUP($A645, CSV!$A:$A, CSV!AD:AD, ""),
    _xlpm.MacVal, _xlfn.XLOOKUP($A645, Output_Mac!$A:$A, Output_Mac!S:S, ""),
    _xlpm.MyAuditVal, _xlfn.XLOOKUP($A645, My_Audit!$A:$A, My_Audit!N:N, ""),
    _xlfn.TEXTJOIN(", ", TRUE, _xlpm.MyAuditVal, _xlpm.MacVal, _xlpm.CSVVal)
)</f>
        <v/>
      </c>
      <c r="N645" s="54" t="str" cm="1">
        <f t="array" ref="N645">IFERROR(_xlfn.LET(
_xlpm.CSVVal,_xlfn.XLOOKUP($A645,CSV!$A:$A,CSV!AF:AF,""),
_xlpm.MacVal,_xlfn.XLOOKUP($A645,Output_Mac!$A:$A,Output_Mac!U:U,""),
_xlpm.MyAuditVal,_xlfn.XLOOKUP($A645,My_Audit!$A:$A,My_Audit!O:O,""),
_xlfn.IFS(_xlpm.MyAuditVal&lt;&gt;"",UPPER(_xlpm.MyAuditVal),_xlpm.MacVal&lt;&gt;"",_xlpm.MacVal,_xlpm.CSVVal&lt;&gt;"",_xlpm.CSVVal
)),"")</f>
        <v/>
      </c>
      <c r="O645" s="54"/>
      <c r="P645" s="54"/>
      <c r="Q645" s="54"/>
      <c r="R645" s="54"/>
      <c r="S645" s="54"/>
      <c r="T645" s="54"/>
      <c r="U645" s="39"/>
    </row>
    <row r="646" spans="1:21">
      <c r="A646" s="54" t="str">
        <f>_xlfn.TEXTJOIN("",TRUE,Input!$B$2,ROW(My_Audit!A645))</f>
        <v>XX645</v>
      </c>
      <c r="B646" s="54" t="str">
        <f>_xlfn.TEXTJOIN("-",TRUE,"ITD",Input!$A$2,A646)</f>
        <v>ITD-SHRXXX-XX645</v>
      </c>
      <c r="C646" s="54" t="str" cm="1">
        <f t="array" ref="C646">IFERROR(_xlfn.LET(
_xlpm.CSVVal,_xlfn.XLOOKUP($A646,CSV!$A:$A,CSV!B:B,""),
_xlpm.MacVal,_xlfn.XLOOKUP($A646,Output_Mac!$A:$A,Output_Mac!B:B,""),
_xlpm.MyAuditVal,_xlfn.XLOOKUP($A646,My_Audit!$A:$A,My_Audit!B:B,""),
_xlfn.IFS(_xlpm.MyAuditVal&lt;&gt;"",UPPER(_xlpm.MyAuditVal),_xlpm.MacVal&lt;&gt;"",_xlpm.MacVal,_xlpm.CSVVal&lt;&gt;"",_xlpm.CSVVal
)),"")</f>
        <v/>
      </c>
      <c r="D646" s="55" t="str">
        <f>_xlfn.XLOOKUP(A646,My_Audit!A:A,My_Audit!D:D,"")&amp;""</f>
        <v/>
      </c>
      <c r="E646" s="55" t="str" cm="1">
        <f t="array" ref="E646">IFERROR(_xlfn.LET(
_xlpm.CSVVal,_xlfn.XLOOKUP($A646,CSV!$A:$A,CSV!D:D,""),
_xlpm.MacVal,_xlfn.XLOOKUP($A646,Output_Mac!$A:$A,Output_Mac!C:C,""),
_xlpm.MyAuditVal,_xlfn.XLOOKUP($A646,My_Audit!$A:$A,My_Audit!D:D,""),
_xlfn.IFS(_xlpm.MyAuditVal&lt;&gt;"",_xlpm.MyAuditVal,_xlpm.MacVal&lt;&gt;"",_xlpm.MacVal,_xlpm.CSVVal&lt;&gt;"",_xlpm.CSVVal
)),"")</f>
        <v/>
      </c>
      <c r="F646" s="54" t="str" cm="1">
        <f t="array" ref="F646">IFERROR(_xlfn.LET(
_xlpm.CSVVal,_xlfn.XLOOKUP($A646,CSV!$A:$A,CSV!E:E,""),
_xlpm.MacVal,_xlfn.XLOOKUP($A646,Output_Mac!$A:$A,Output_Mac!F:F,""),
_xlpm.MyAuditVal,_xlfn.XLOOKUP($A646,My_Audit!$A:$A,My_Audit!E:E,""),
_xlfn.IFS(_xlpm.MyAuditVal&lt;&gt;"",_xlpm.MyAuditVal,_xlpm.MacVal&lt;&gt;"",_xlpm.MacVal,_xlpm.CSVVal&lt;&gt;"",PROPER(_xlpm.CSVVal)
)),"")</f>
        <v/>
      </c>
      <c r="G646" s="54" t="str" cm="1">
        <f t="array" ref="G646">IFERROR(_xlfn.LET(
_xlpm.CSVVal,_xlfn.XLOOKUP($A646,CSV!$A:$A,CSV!F:F,""),
_xlpm.MacVal,_xlfn.XLOOKUP($A646,Output_Mac!$A:$A,Output_Mac!H:H,""),
_xlpm.MyAuditVal,_xlfn.XLOOKUP($A646,My_Audit!$A:$A,My_Audit!F:F,""),
_xlfn.IFS(_xlpm.MyAuditVal&lt;&gt;"",_xlpm.MyAuditVal,_xlpm.MacVal&lt;&gt;"",_xlpm.MacVal,_xlpm.CSVVal&lt;&gt;"",_xlpm.CSVVal
)),"")</f>
        <v/>
      </c>
      <c r="H646" s="54" t="str">
        <f>_xlfn.XLOOKUP(A646,Output_Mac!A:A,Output_Mac!I:I,"")</f>
        <v/>
      </c>
      <c r="I646" s="54" t="str" cm="1">
        <f t="array" ref="I646">IFERROR(_xlfn.LET(
_xlpm.CSVVal,_xlfn.XLOOKUP($A646,CSV!$A:$A,CSV!G:G,""),
_xlpm.MacVal,_xlfn.XLOOKUP($A646,Output_Mac!$A:$A,Output_Mac!J:J,""),
_xlpm.MyAuditVal,_xlfn.XLOOKUP($A646,My_Audit!$A:$A,My_Audit!H:H,""),
_xlfn.IFS(_xlpm.MyAuditVal&lt;&gt;"",UPPER(_xlpm.MyAuditVal),_xlpm.MacVal&lt;&gt;"",_xlpm.MacVal,_xlpm.CSVVal&lt;&gt;"",_xlpm.CSVVal
)),"")</f>
        <v/>
      </c>
      <c r="J646" s="54" t="str" cm="1">
        <f t="array" ref="J646">IFERROR(_xlfn.LET(
_xlpm.CSVVal,_xlfn.XLOOKUP($A646,CSV!$A:$A,CSV!I:I,""),
_xlpm.MacVal,_xlfn.XLOOKUP($A646,Output_Mac!$A:$A,Output_Mac!K:K,""),
_xlpm.MyAuditVal,_xlfn.XLOOKUP($A646,My_Audit!$A:$A,My_Audit!I:I,""),
_xlfn.IFS(_xlpm.MyAuditVal&lt;&gt;"",UPPER(_xlpm.MyAuditVal),_xlpm.MacVal&lt;&gt;"",_xlpm.MacVal,_xlpm.CSVVal&lt;&gt;"",_xlpm.CSVVal
)),"")</f>
        <v/>
      </c>
      <c r="K646" s="54" t="str" cm="1">
        <f t="array" ref="K646">IFERROR(_xlfn.LET(
_xlpm.CSVVal,_xlfn.XLOOKUP($A646,CSV!$A:$A,CSV!M:M,""),
_xlpm.MacVal,_xlfn.XLOOKUP($A646,Output_Mac!$A:$A,Output_Mac!L:L,""),
_xlpm.MyAuditVal,_xlfn.XLOOKUP($A646,My_Audit!$A:$A,My_Audit!J:J,""),
_xlfn.IFS(_xlpm.MyAuditVal&lt;&gt;"",UPPER(_xlpm.MyAuditVal),_xlpm.MacVal&lt;&gt;"",_xlpm.MacVal,_xlpm.CSVVal&lt;&gt;"",_xlpm.CSVVal
)),"")</f>
        <v/>
      </c>
      <c r="L646" s="54" t="str" cm="1">
        <f t="array" ref="L646">IFERROR(_xlfn.LET(
_xlpm.CSVVal,_xlfn.XLOOKUP($A646,CSV!$A:$A,CSV!O:O,""),
_xlpm.MacVal,_xlfn.XLOOKUP($A646,Output_Mac!$A:$A,Output_Mac!M:M,""),
_xlpm.MyAuditVal,_xlfn.XLOOKUP($A646,My_Audit!$A:$A,My_Audit!K:K,""),
_xlfn.IFS(_xlpm.MyAuditVal&lt;&gt;"",UPPER(_xlpm.MyAuditVal),_xlpm.MacVal&lt;&gt;"",_xlpm.MacVal,_xlpm.CSVVal&lt;&gt;"",_xlpm.CSVVal
)),"")</f>
        <v/>
      </c>
      <c r="M646" s="54" t="str">
        <f>_xlfn.LET(
    _xlpm.CSVVal, _xlfn.XLOOKUP($A646, CSV!$A:$A, CSV!AD:AD, ""),
    _xlpm.MacVal, _xlfn.XLOOKUP($A646, Output_Mac!$A:$A, Output_Mac!S:S, ""),
    _xlpm.MyAuditVal, _xlfn.XLOOKUP($A646, My_Audit!$A:$A, My_Audit!N:N, ""),
    _xlfn.TEXTJOIN(", ", TRUE, _xlpm.MyAuditVal, _xlpm.MacVal, _xlpm.CSVVal)
)</f>
        <v/>
      </c>
      <c r="N646" s="54" t="str" cm="1">
        <f t="array" ref="N646">IFERROR(_xlfn.LET(
_xlpm.CSVVal,_xlfn.XLOOKUP($A646,CSV!$A:$A,CSV!AF:AF,""),
_xlpm.MacVal,_xlfn.XLOOKUP($A646,Output_Mac!$A:$A,Output_Mac!U:U,""),
_xlpm.MyAuditVal,_xlfn.XLOOKUP($A646,My_Audit!$A:$A,My_Audit!O:O,""),
_xlfn.IFS(_xlpm.MyAuditVal&lt;&gt;"",UPPER(_xlpm.MyAuditVal),_xlpm.MacVal&lt;&gt;"",_xlpm.MacVal,_xlpm.CSVVal&lt;&gt;"",_xlpm.CSVVal
)),"")</f>
        <v/>
      </c>
      <c r="O646" s="54"/>
      <c r="P646" s="54"/>
      <c r="Q646" s="54"/>
      <c r="R646" s="54"/>
      <c r="S646" s="54"/>
      <c r="T646" s="54"/>
      <c r="U646" s="39"/>
    </row>
    <row r="647" spans="1:21">
      <c r="A647" s="54" t="str">
        <f>_xlfn.TEXTJOIN("",TRUE,Input!$B$2,ROW(My_Audit!A646))</f>
        <v>XX646</v>
      </c>
      <c r="B647" s="54" t="str">
        <f>_xlfn.TEXTJOIN("-",TRUE,"ITD",Input!$A$2,A647)</f>
        <v>ITD-SHRXXX-XX646</v>
      </c>
      <c r="C647" s="54" t="str" cm="1">
        <f t="array" ref="C647">IFERROR(_xlfn.LET(
_xlpm.CSVVal,_xlfn.XLOOKUP($A647,CSV!$A:$A,CSV!B:B,""),
_xlpm.MacVal,_xlfn.XLOOKUP($A647,Output_Mac!$A:$A,Output_Mac!B:B,""),
_xlpm.MyAuditVal,_xlfn.XLOOKUP($A647,My_Audit!$A:$A,My_Audit!B:B,""),
_xlfn.IFS(_xlpm.MyAuditVal&lt;&gt;"",UPPER(_xlpm.MyAuditVal),_xlpm.MacVal&lt;&gt;"",_xlpm.MacVal,_xlpm.CSVVal&lt;&gt;"",_xlpm.CSVVal
)),"")</f>
        <v/>
      </c>
      <c r="D647" s="55" t="str">
        <f>_xlfn.XLOOKUP(A647,My_Audit!A:A,My_Audit!D:D,"")&amp;""</f>
        <v/>
      </c>
      <c r="E647" s="55" t="str" cm="1">
        <f t="array" ref="E647">IFERROR(_xlfn.LET(
_xlpm.CSVVal,_xlfn.XLOOKUP($A647,CSV!$A:$A,CSV!D:D,""),
_xlpm.MacVal,_xlfn.XLOOKUP($A647,Output_Mac!$A:$A,Output_Mac!C:C,""),
_xlpm.MyAuditVal,_xlfn.XLOOKUP($A647,My_Audit!$A:$A,My_Audit!D:D,""),
_xlfn.IFS(_xlpm.MyAuditVal&lt;&gt;"",_xlpm.MyAuditVal,_xlpm.MacVal&lt;&gt;"",_xlpm.MacVal,_xlpm.CSVVal&lt;&gt;"",_xlpm.CSVVal
)),"")</f>
        <v/>
      </c>
      <c r="F647" s="54" t="str" cm="1">
        <f t="array" ref="F647">IFERROR(_xlfn.LET(
_xlpm.CSVVal,_xlfn.XLOOKUP($A647,CSV!$A:$A,CSV!E:E,""),
_xlpm.MacVal,_xlfn.XLOOKUP($A647,Output_Mac!$A:$A,Output_Mac!F:F,""),
_xlpm.MyAuditVal,_xlfn.XLOOKUP($A647,My_Audit!$A:$A,My_Audit!E:E,""),
_xlfn.IFS(_xlpm.MyAuditVal&lt;&gt;"",_xlpm.MyAuditVal,_xlpm.MacVal&lt;&gt;"",_xlpm.MacVal,_xlpm.CSVVal&lt;&gt;"",PROPER(_xlpm.CSVVal)
)),"")</f>
        <v/>
      </c>
      <c r="G647" s="54" t="str" cm="1">
        <f t="array" ref="G647">IFERROR(_xlfn.LET(
_xlpm.CSVVal,_xlfn.XLOOKUP($A647,CSV!$A:$A,CSV!F:F,""),
_xlpm.MacVal,_xlfn.XLOOKUP($A647,Output_Mac!$A:$A,Output_Mac!H:H,""),
_xlpm.MyAuditVal,_xlfn.XLOOKUP($A647,My_Audit!$A:$A,My_Audit!F:F,""),
_xlfn.IFS(_xlpm.MyAuditVal&lt;&gt;"",_xlpm.MyAuditVal,_xlpm.MacVal&lt;&gt;"",_xlpm.MacVal,_xlpm.CSVVal&lt;&gt;"",_xlpm.CSVVal
)),"")</f>
        <v/>
      </c>
      <c r="H647" s="54" t="str">
        <f>_xlfn.XLOOKUP(A647,Output_Mac!A:A,Output_Mac!I:I,"")</f>
        <v/>
      </c>
      <c r="I647" s="54" t="str" cm="1">
        <f t="array" ref="I647">IFERROR(_xlfn.LET(
_xlpm.CSVVal,_xlfn.XLOOKUP($A647,CSV!$A:$A,CSV!G:G,""),
_xlpm.MacVal,_xlfn.XLOOKUP($A647,Output_Mac!$A:$A,Output_Mac!J:J,""),
_xlpm.MyAuditVal,_xlfn.XLOOKUP($A647,My_Audit!$A:$A,My_Audit!H:H,""),
_xlfn.IFS(_xlpm.MyAuditVal&lt;&gt;"",UPPER(_xlpm.MyAuditVal),_xlpm.MacVal&lt;&gt;"",_xlpm.MacVal,_xlpm.CSVVal&lt;&gt;"",_xlpm.CSVVal
)),"")</f>
        <v/>
      </c>
      <c r="J647" s="54" t="str" cm="1">
        <f t="array" ref="J647">IFERROR(_xlfn.LET(
_xlpm.CSVVal,_xlfn.XLOOKUP($A647,CSV!$A:$A,CSV!I:I,""),
_xlpm.MacVal,_xlfn.XLOOKUP($A647,Output_Mac!$A:$A,Output_Mac!K:K,""),
_xlpm.MyAuditVal,_xlfn.XLOOKUP($A647,My_Audit!$A:$A,My_Audit!I:I,""),
_xlfn.IFS(_xlpm.MyAuditVal&lt;&gt;"",UPPER(_xlpm.MyAuditVal),_xlpm.MacVal&lt;&gt;"",_xlpm.MacVal,_xlpm.CSVVal&lt;&gt;"",_xlpm.CSVVal
)),"")</f>
        <v/>
      </c>
      <c r="K647" s="54" t="str" cm="1">
        <f t="array" ref="K647">IFERROR(_xlfn.LET(
_xlpm.CSVVal,_xlfn.XLOOKUP($A647,CSV!$A:$A,CSV!M:M,""),
_xlpm.MacVal,_xlfn.XLOOKUP($A647,Output_Mac!$A:$A,Output_Mac!L:L,""),
_xlpm.MyAuditVal,_xlfn.XLOOKUP($A647,My_Audit!$A:$A,My_Audit!J:J,""),
_xlfn.IFS(_xlpm.MyAuditVal&lt;&gt;"",UPPER(_xlpm.MyAuditVal),_xlpm.MacVal&lt;&gt;"",_xlpm.MacVal,_xlpm.CSVVal&lt;&gt;"",_xlpm.CSVVal
)),"")</f>
        <v/>
      </c>
      <c r="L647" s="54" t="str" cm="1">
        <f t="array" ref="L647">IFERROR(_xlfn.LET(
_xlpm.CSVVal,_xlfn.XLOOKUP($A647,CSV!$A:$A,CSV!O:O,""),
_xlpm.MacVal,_xlfn.XLOOKUP($A647,Output_Mac!$A:$A,Output_Mac!M:M,""),
_xlpm.MyAuditVal,_xlfn.XLOOKUP($A647,My_Audit!$A:$A,My_Audit!K:K,""),
_xlfn.IFS(_xlpm.MyAuditVal&lt;&gt;"",UPPER(_xlpm.MyAuditVal),_xlpm.MacVal&lt;&gt;"",_xlpm.MacVal,_xlpm.CSVVal&lt;&gt;"",_xlpm.CSVVal
)),"")</f>
        <v/>
      </c>
      <c r="M647" s="54" t="str">
        <f>_xlfn.LET(
    _xlpm.CSVVal, _xlfn.XLOOKUP($A647, CSV!$A:$A, CSV!AD:AD, ""),
    _xlpm.MacVal, _xlfn.XLOOKUP($A647, Output_Mac!$A:$A, Output_Mac!S:S, ""),
    _xlpm.MyAuditVal, _xlfn.XLOOKUP($A647, My_Audit!$A:$A, My_Audit!N:N, ""),
    _xlfn.TEXTJOIN(", ", TRUE, _xlpm.MyAuditVal, _xlpm.MacVal, _xlpm.CSVVal)
)</f>
        <v/>
      </c>
      <c r="N647" s="54" t="str" cm="1">
        <f t="array" ref="N647">IFERROR(_xlfn.LET(
_xlpm.CSVVal,_xlfn.XLOOKUP($A647,CSV!$A:$A,CSV!AF:AF,""),
_xlpm.MacVal,_xlfn.XLOOKUP($A647,Output_Mac!$A:$A,Output_Mac!U:U,""),
_xlpm.MyAuditVal,_xlfn.XLOOKUP($A647,My_Audit!$A:$A,My_Audit!O:O,""),
_xlfn.IFS(_xlpm.MyAuditVal&lt;&gt;"",UPPER(_xlpm.MyAuditVal),_xlpm.MacVal&lt;&gt;"",_xlpm.MacVal,_xlpm.CSVVal&lt;&gt;"",_xlpm.CSVVal
)),"")</f>
        <v/>
      </c>
      <c r="O647" s="54"/>
      <c r="P647" s="54"/>
      <c r="Q647" s="54"/>
      <c r="R647" s="54"/>
      <c r="S647" s="54"/>
      <c r="T647" s="54"/>
      <c r="U647" s="39"/>
    </row>
    <row r="648" spans="1:21">
      <c r="A648" s="54" t="str">
        <f>_xlfn.TEXTJOIN("",TRUE,Input!$B$2,ROW(My_Audit!A647))</f>
        <v>XX647</v>
      </c>
      <c r="B648" s="54" t="str">
        <f>_xlfn.TEXTJOIN("-",TRUE,"ITD",Input!$A$2,A648)</f>
        <v>ITD-SHRXXX-XX647</v>
      </c>
      <c r="C648" s="54" t="str" cm="1">
        <f t="array" ref="C648">IFERROR(_xlfn.LET(
_xlpm.CSVVal,_xlfn.XLOOKUP($A648,CSV!$A:$A,CSV!B:B,""),
_xlpm.MacVal,_xlfn.XLOOKUP($A648,Output_Mac!$A:$A,Output_Mac!B:B,""),
_xlpm.MyAuditVal,_xlfn.XLOOKUP($A648,My_Audit!$A:$A,My_Audit!B:B,""),
_xlfn.IFS(_xlpm.MyAuditVal&lt;&gt;"",UPPER(_xlpm.MyAuditVal),_xlpm.MacVal&lt;&gt;"",_xlpm.MacVal,_xlpm.CSVVal&lt;&gt;"",_xlpm.CSVVal
)),"")</f>
        <v/>
      </c>
      <c r="D648" s="55" t="str">
        <f>_xlfn.XLOOKUP(A648,My_Audit!A:A,My_Audit!D:D,"")&amp;""</f>
        <v/>
      </c>
      <c r="E648" s="55" t="str" cm="1">
        <f t="array" ref="E648">IFERROR(_xlfn.LET(
_xlpm.CSVVal,_xlfn.XLOOKUP($A648,CSV!$A:$A,CSV!D:D,""),
_xlpm.MacVal,_xlfn.XLOOKUP($A648,Output_Mac!$A:$A,Output_Mac!C:C,""),
_xlpm.MyAuditVal,_xlfn.XLOOKUP($A648,My_Audit!$A:$A,My_Audit!D:D,""),
_xlfn.IFS(_xlpm.MyAuditVal&lt;&gt;"",_xlpm.MyAuditVal,_xlpm.MacVal&lt;&gt;"",_xlpm.MacVal,_xlpm.CSVVal&lt;&gt;"",_xlpm.CSVVal
)),"")</f>
        <v/>
      </c>
      <c r="F648" s="54" t="str" cm="1">
        <f t="array" ref="F648">IFERROR(_xlfn.LET(
_xlpm.CSVVal,_xlfn.XLOOKUP($A648,CSV!$A:$A,CSV!E:E,""),
_xlpm.MacVal,_xlfn.XLOOKUP($A648,Output_Mac!$A:$A,Output_Mac!F:F,""),
_xlpm.MyAuditVal,_xlfn.XLOOKUP($A648,My_Audit!$A:$A,My_Audit!E:E,""),
_xlfn.IFS(_xlpm.MyAuditVal&lt;&gt;"",_xlpm.MyAuditVal,_xlpm.MacVal&lt;&gt;"",_xlpm.MacVal,_xlpm.CSVVal&lt;&gt;"",PROPER(_xlpm.CSVVal)
)),"")</f>
        <v/>
      </c>
      <c r="G648" s="54" t="str" cm="1">
        <f t="array" ref="G648">IFERROR(_xlfn.LET(
_xlpm.CSVVal,_xlfn.XLOOKUP($A648,CSV!$A:$A,CSV!F:F,""),
_xlpm.MacVal,_xlfn.XLOOKUP($A648,Output_Mac!$A:$A,Output_Mac!H:H,""),
_xlpm.MyAuditVal,_xlfn.XLOOKUP($A648,My_Audit!$A:$A,My_Audit!F:F,""),
_xlfn.IFS(_xlpm.MyAuditVal&lt;&gt;"",_xlpm.MyAuditVal,_xlpm.MacVal&lt;&gt;"",_xlpm.MacVal,_xlpm.CSVVal&lt;&gt;"",_xlpm.CSVVal
)),"")</f>
        <v/>
      </c>
      <c r="H648" s="54" t="str">
        <f>_xlfn.XLOOKUP(A648,Output_Mac!A:A,Output_Mac!I:I,"")</f>
        <v/>
      </c>
      <c r="I648" s="54" t="str" cm="1">
        <f t="array" ref="I648">IFERROR(_xlfn.LET(
_xlpm.CSVVal,_xlfn.XLOOKUP($A648,CSV!$A:$A,CSV!G:G,""),
_xlpm.MacVal,_xlfn.XLOOKUP($A648,Output_Mac!$A:$A,Output_Mac!J:J,""),
_xlpm.MyAuditVal,_xlfn.XLOOKUP($A648,My_Audit!$A:$A,My_Audit!H:H,""),
_xlfn.IFS(_xlpm.MyAuditVal&lt;&gt;"",UPPER(_xlpm.MyAuditVal),_xlpm.MacVal&lt;&gt;"",_xlpm.MacVal,_xlpm.CSVVal&lt;&gt;"",_xlpm.CSVVal
)),"")</f>
        <v/>
      </c>
      <c r="J648" s="54" t="str" cm="1">
        <f t="array" ref="J648">IFERROR(_xlfn.LET(
_xlpm.CSVVal,_xlfn.XLOOKUP($A648,CSV!$A:$A,CSV!I:I,""),
_xlpm.MacVal,_xlfn.XLOOKUP($A648,Output_Mac!$A:$A,Output_Mac!K:K,""),
_xlpm.MyAuditVal,_xlfn.XLOOKUP($A648,My_Audit!$A:$A,My_Audit!I:I,""),
_xlfn.IFS(_xlpm.MyAuditVal&lt;&gt;"",UPPER(_xlpm.MyAuditVal),_xlpm.MacVal&lt;&gt;"",_xlpm.MacVal,_xlpm.CSVVal&lt;&gt;"",_xlpm.CSVVal
)),"")</f>
        <v/>
      </c>
      <c r="K648" s="54" t="str" cm="1">
        <f t="array" ref="K648">IFERROR(_xlfn.LET(
_xlpm.CSVVal,_xlfn.XLOOKUP($A648,CSV!$A:$A,CSV!M:M,""),
_xlpm.MacVal,_xlfn.XLOOKUP($A648,Output_Mac!$A:$A,Output_Mac!L:L,""),
_xlpm.MyAuditVal,_xlfn.XLOOKUP($A648,My_Audit!$A:$A,My_Audit!J:J,""),
_xlfn.IFS(_xlpm.MyAuditVal&lt;&gt;"",UPPER(_xlpm.MyAuditVal),_xlpm.MacVal&lt;&gt;"",_xlpm.MacVal,_xlpm.CSVVal&lt;&gt;"",_xlpm.CSVVal
)),"")</f>
        <v/>
      </c>
      <c r="L648" s="54" t="str" cm="1">
        <f t="array" ref="L648">IFERROR(_xlfn.LET(
_xlpm.CSVVal,_xlfn.XLOOKUP($A648,CSV!$A:$A,CSV!O:O,""),
_xlpm.MacVal,_xlfn.XLOOKUP($A648,Output_Mac!$A:$A,Output_Mac!M:M,""),
_xlpm.MyAuditVal,_xlfn.XLOOKUP($A648,My_Audit!$A:$A,My_Audit!K:K,""),
_xlfn.IFS(_xlpm.MyAuditVal&lt;&gt;"",UPPER(_xlpm.MyAuditVal),_xlpm.MacVal&lt;&gt;"",_xlpm.MacVal,_xlpm.CSVVal&lt;&gt;"",_xlpm.CSVVal
)),"")</f>
        <v/>
      </c>
      <c r="M648" s="54" t="str">
        <f>_xlfn.LET(
    _xlpm.CSVVal, _xlfn.XLOOKUP($A648, CSV!$A:$A, CSV!AD:AD, ""),
    _xlpm.MacVal, _xlfn.XLOOKUP($A648, Output_Mac!$A:$A, Output_Mac!S:S, ""),
    _xlpm.MyAuditVal, _xlfn.XLOOKUP($A648, My_Audit!$A:$A, My_Audit!N:N, ""),
    _xlfn.TEXTJOIN(", ", TRUE, _xlpm.MyAuditVal, _xlpm.MacVal, _xlpm.CSVVal)
)</f>
        <v/>
      </c>
      <c r="N648" s="54" t="str" cm="1">
        <f t="array" ref="N648">IFERROR(_xlfn.LET(
_xlpm.CSVVal,_xlfn.XLOOKUP($A648,CSV!$A:$A,CSV!AF:AF,""),
_xlpm.MacVal,_xlfn.XLOOKUP($A648,Output_Mac!$A:$A,Output_Mac!U:U,""),
_xlpm.MyAuditVal,_xlfn.XLOOKUP($A648,My_Audit!$A:$A,My_Audit!O:O,""),
_xlfn.IFS(_xlpm.MyAuditVal&lt;&gt;"",UPPER(_xlpm.MyAuditVal),_xlpm.MacVal&lt;&gt;"",_xlpm.MacVal,_xlpm.CSVVal&lt;&gt;"",_xlpm.CSVVal
)),"")</f>
        <v/>
      </c>
      <c r="O648" s="54"/>
      <c r="P648" s="54"/>
      <c r="Q648" s="54"/>
      <c r="R648" s="54"/>
      <c r="S648" s="54"/>
      <c r="T648" s="54"/>
      <c r="U648" s="39"/>
    </row>
    <row r="649" spans="1:21">
      <c r="A649" s="54" t="str">
        <f>_xlfn.TEXTJOIN("",TRUE,Input!$B$2,ROW(My_Audit!A648))</f>
        <v>XX648</v>
      </c>
      <c r="B649" s="54" t="str">
        <f>_xlfn.TEXTJOIN("-",TRUE,"ITD",Input!$A$2,A649)</f>
        <v>ITD-SHRXXX-XX648</v>
      </c>
      <c r="C649" s="54" t="str" cm="1">
        <f t="array" ref="C649">IFERROR(_xlfn.LET(
_xlpm.CSVVal,_xlfn.XLOOKUP($A649,CSV!$A:$A,CSV!B:B,""),
_xlpm.MacVal,_xlfn.XLOOKUP($A649,Output_Mac!$A:$A,Output_Mac!B:B,""),
_xlpm.MyAuditVal,_xlfn.XLOOKUP($A649,My_Audit!$A:$A,My_Audit!B:B,""),
_xlfn.IFS(_xlpm.MyAuditVal&lt;&gt;"",UPPER(_xlpm.MyAuditVal),_xlpm.MacVal&lt;&gt;"",_xlpm.MacVal,_xlpm.CSVVal&lt;&gt;"",_xlpm.CSVVal
)),"")</f>
        <v/>
      </c>
      <c r="D649" s="55" t="str">
        <f>_xlfn.XLOOKUP(A649,My_Audit!A:A,My_Audit!D:D,"")&amp;""</f>
        <v/>
      </c>
      <c r="E649" s="55" t="str" cm="1">
        <f t="array" ref="E649">IFERROR(_xlfn.LET(
_xlpm.CSVVal,_xlfn.XLOOKUP($A649,CSV!$A:$A,CSV!D:D,""),
_xlpm.MacVal,_xlfn.XLOOKUP($A649,Output_Mac!$A:$A,Output_Mac!C:C,""),
_xlpm.MyAuditVal,_xlfn.XLOOKUP($A649,My_Audit!$A:$A,My_Audit!D:D,""),
_xlfn.IFS(_xlpm.MyAuditVal&lt;&gt;"",_xlpm.MyAuditVal,_xlpm.MacVal&lt;&gt;"",_xlpm.MacVal,_xlpm.CSVVal&lt;&gt;"",_xlpm.CSVVal
)),"")</f>
        <v/>
      </c>
      <c r="F649" s="54" t="str" cm="1">
        <f t="array" ref="F649">IFERROR(_xlfn.LET(
_xlpm.CSVVal,_xlfn.XLOOKUP($A649,CSV!$A:$A,CSV!E:E,""),
_xlpm.MacVal,_xlfn.XLOOKUP($A649,Output_Mac!$A:$A,Output_Mac!F:F,""),
_xlpm.MyAuditVal,_xlfn.XLOOKUP($A649,My_Audit!$A:$A,My_Audit!E:E,""),
_xlfn.IFS(_xlpm.MyAuditVal&lt;&gt;"",_xlpm.MyAuditVal,_xlpm.MacVal&lt;&gt;"",_xlpm.MacVal,_xlpm.CSVVal&lt;&gt;"",PROPER(_xlpm.CSVVal)
)),"")</f>
        <v/>
      </c>
      <c r="G649" s="54" t="str" cm="1">
        <f t="array" ref="G649">IFERROR(_xlfn.LET(
_xlpm.CSVVal,_xlfn.XLOOKUP($A649,CSV!$A:$A,CSV!F:F,""),
_xlpm.MacVal,_xlfn.XLOOKUP($A649,Output_Mac!$A:$A,Output_Mac!H:H,""),
_xlpm.MyAuditVal,_xlfn.XLOOKUP($A649,My_Audit!$A:$A,My_Audit!F:F,""),
_xlfn.IFS(_xlpm.MyAuditVal&lt;&gt;"",_xlpm.MyAuditVal,_xlpm.MacVal&lt;&gt;"",_xlpm.MacVal,_xlpm.CSVVal&lt;&gt;"",_xlpm.CSVVal
)),"")</f>
        <v/>
      </c>
      <c r="H649" s="54" t="str">
        <f>_xlfn.XLOOKUP(A649,Output_Mac!A:A,Output_Mac!I:I,"")</f>
        <v/>
      </c>
      <c r="I649" s="54" t="str" cm="1">
        <f t="array" ref="I649">IFERROR(_xlfn.LET(
_xlpm.CSVVal,_xlfn.XLOOKUP($A649,CSV!$A:$A,CSV!G:G,""),
_xlpm.MacVal,_xlfn.XLOOKUP($A649,Output_Mac!$A:$A,Output_Mac!J:J,""),
_xlpm.MyAuditVal,_xlfn.XLOOKUP($A649,My_Audit!$A:$A,My_Audit!H:H,""),
_xlfn.IFS(_xlpm.MyAuditVal&lt;&gt;"",UPPER(_xlpm.MyAuditVal),_xlpm.MacVal&lt;&gt;"",_xlpm.MacVal,_xlpm.CSVVal&lt;&gt;"",_xlpm.CSVVal
)),"")</f>
        <v/>
      </c>
      <c r="J649" s="54" t="str" cm="1">
        <f t="array" ref="J649">IFERROR(_xlfn.LET(
_xlpm.CSVVal,_xlfn.XLOOKUP($A649,CSV!$A:$A,CSV!I:I,""),
_xlpm.MacVal,_xlfn.XLOOKUP($A649,Output_Mac!$A:$A,Output_Mac!K:K,""),
_xlpm.MyAuditVal,_xlfn.XLOOKUP($A649,My_Audit!$A:$A,My_Audit!I:I,""),
_xlfn.IFS(_xlpm.MyAuditVal&lt;&gt;"",UPPER(_xlpm.MyAuditVal),_xlpm.MacVal&lt;&gt;"",_xlpm.MacVal,_xlpm.CSVVal&lt;&gt;"",_xlpm.CSVVal
)),"")</f>
        <v/>
      </c>
      <c r="K649" s="54" t="str" cm="1">
        <f t="array" ref="K649">IFERROR(_xlfn.LET(
_xlpm.CSVVal,_xlfn.XLOOKUP($A649,CSV!$A:$A,CSV!M:M,""),
_xlpm.MacVal,_xlfn.XLOOKUP($A649,Output_Mac!$A:$A,Output_Mac!L:L,""),
_xlpm.MyAuditVal,_xlfn.XLOOKUP($A649,My_Audit!$A:$A,My_Audit!J:J,""),
_xlfn.IFS(_xlpm.MyAuditVal&lt;&gt;"",UPPER(_xlpm.MyAuditVal),_xlpm.MacVal&lt;&gt;"",_xlpm.MacVal,_xlpm.CSVVal&lt;&gt;"",_xlpm.CSVVal
)),"")</f>
        <v/>
      </c>
      <c r="L649" s="54" t="str" cm="1">
        <f t="array" ref="L649">IFERROR(_xlfn.LET(
_xlpm.CSVVal,_xlfn.XLOOKUP($A649,CSV!$A:$A,CSV!O:O,""),
_xlpm.MacVal,_xlfn.XLOOKUP($A649,Output_Mac!$A:$A,Output_Mac!M:M,""),
_xlpm.MyAuditVal,_xlfn.XLOOKUP($A649,My_Audit!$A:$A,My_Audit!K:K,""),
_xlfn.IFS(_xlpm.MyAuditVal&lt;&gt;"",UPPER(_xlpm.MyAuditVal),_xlpm.MacVal&lt;&gt;"",_xlpm.MacVal,_xlpm.CSVVal&lt;&gt;"",_xlpm.CSVVal
)),"")</f>
        <v/>
      </c>
      <c r="M649" s="54" t="str">
        <f>_xlfn.LET(
    _xlpm.CSVVal, _xlfn.XLOOKUP($A649, CSV!$A:$A, CSV!AD:AD, ""),
    _xlpm.MacVal, _xlfn.XLOOKUP($A649, Output_Mac!$A:$A, Output_Mac!S:S, ""),
    _xlpm.MyAuditVal, _xlfn.XLOOKUP($A649, My_Audit!$A:$A, My_Audit!N:N, ""),
    _xlfn.TEXTJOIN(", ", TRUE, _xlpm.MyAuditVal, _xlpm.MacVal, _xlpm.CSVVal)
)</f>
        <v/>
      </c>
      <c r="N649" s="54" t="str" cm="1">
        <f t="array" ref="N649">IFERROR(_xlfn.LET(
_xlpm.CSVVal,_xlfn.XLOOKUP($A649,CSV!$A:$A,CSV!AF:AF,""),
_xlpm.MacVal,_xlfn.XLOOKUP($A649,Output_Mac!$A:$A,Output_Mac!U:U,""),
_xlpm.MyAuditVal,_xlfn.XLOOKUP($A649,My_Audit!$A:$A,My_Audit!O:O,""),
_xlfn.IFS(_xlpm.MyAuditVal&lt;&gt;"",UPPER(_xlpm.MyAuditVal),_xlpm.MacVal&lt;&gt;"",_xlpm.MacVal,_xlpm.CSVVal&lt;&gt;"",_xlpm.CSVVal
)),"")</f>
        <v/>
      </c>
      <c r="O649" s="54"/>
      <c r="P649" s="54"/>
      <c r="Q649" s="54"/>
      <c r="R649" s="54"/>
      <c r="S649" s="54"/>
      <c r="T649" s="54"/>
      <c r="U649" s="39"/>
    </row>
    <row r="650" spans="1:21">
      <c r="A650" s="54" t="str">
        <f>_xlfn.TEXTJOIN("",TRUE,Input!$B$2,ROW(My_Audit!A649))</f>
        <v>XX649</v>
      </c>
      <c r="B650" s="54" t="str">
        <f>_xlfn.TEXTJOIN("-",TRUE,"ITD",Input!$A$2,A650)</f>
        <v>ITD-SHRXXX-XX649</v>
      </c>
      <c r="C650" s="54" t="str" cm="1">
        <f t="array" ref="C650">IFERROR(_xlfn.LET(
_xlpm.CSVVal,_xlfn.XLOOKUP($A650,CSV!$A:$A,CSV!B:B,""),
_xlpm.MacVal,_xlfn.XLOOKUP($A650,Output_Mac!$A:$A,Output_Mac!B:B,""),
_xlpm.MyAuditVal,_xlfn.XLOOKUP($A650,My_Audit!$A:$A,My_Audit!B:B,""),
_xlfn.IFS(_xlpm.MyAuditVal&lt;&gt;"",UPPER(_xlpm.MyAuditVal),_xlpm.MacVal&lt;&gt;"",_xlpm.MacVal,_xlpm.CSVVal&lt;&gt;"",_xlpm.CSVVal
)),"")</f>
        <v/>
      </c>
      <c r="D650" s="55" t="str">
        <f>_xlfn.XLOOKUP(A650,My_Audit!A:A,My_Audit!D:D,"")&amp;""</f>
        <v/>
      </c>
      <c r="E650" s="55" t="str" cm="1">
        <f t="array" ref="E650">IFERROR(_xlfn.LET(
_xlpm.CSVVal,_xlfn.XLOOKUP($A650,CSV!$A:$A,CSV!D:D,""),
_xlpm.MacVal,_xlfn.XLOOKUP($A650,Output_Mac!$A:$A,Output_Mac!C:C,""),
_xlpm.MyAuditVal,_xlfn.XLOOKUP($A650,My_Audit!$A:$A,My_Audit!D:D,""),
_xlfn.IFS(_xlpm.MyAuditVal&lt;&gt;"",_xlpm.MyAuditVal,_xlpm.MacVal&lt;&gt;"",_xlpm.MacVal,_xlpm.CSVVal&lt;&gt;"",_xlpm.CSVVal
)),"")</f>
        <v/>
      </c>
      <c r="F650" s="54" t="str" cm="1">
        <f t="array" ref="F650">IFERROR(_xlfn.LET(
_xlpm.CSVVal,_xlfn.XLOOKUP($A650,CSV!$A:$A,CSV!E:E,""),
_xlpm.MacVal,_xlfn.XLOOKUP($A650,Output_Mac!$A:$A,Output_Mac!F:F,""),
_xlpm.MyAuditVal,_xlfn.XLOOKUP($A650,My_Audit!$A:$A,My_Audit!E:E,""),
_xlfn.IFS(_xlpm.MyAuditVal&lt;&gt;"",_xlpm.MyAuditVal,_xlpm.MacVal&lt;&gt;"",_xlpm.MacVal,_xlpm.CSVVal&lt;&gt;"",PROPER(_xlpm.CSVVal)
)),"")</f>
        <v/>
      </c>
      <c r="G650" s="54" t="str" cm="1">
        <f t="array" ref="G650">IFERROR(_xlfn.LET(
_xlpm.CSVVal,_xlfn.XLOOKUP($A650,CSV!$A:$A,CSV!F:F,""),
_xlpm.MacVal,_xlfn.XLOOKUP($A650,Output_Mac!$A:$A,Output_Mac!H:H,""),
_xlpm.MyAuditVal,_xlfn.XLOOKUP($A650,My_Audit!$A:$A,My_Audit!F:F,""),
_xlfn.IFS(_xlpm.MyAuditVal&lt;&gt;"",_xlpm.MyAuditVal,_xlpm.MacVal&lt;&gt;"",_xlpm.MacVal,_xlpm.CSVVal&lt;&gt;"",_xlpm.CSVVal
)),"")</f>
        <v/>
      </c>
      <c r="H650" s="54" t="str">
        <f>_xlfn.XLOOKUP(A650,Output_Mac!A:A,Output_Mac!I:I,"")</f>
        <v/>
      </c>
      <c r="I650" s="54" t="str" cm="1">
        <f t="array" ref="I650">IFERROR(_xlfn.LET(
_xlpm.CSVVal,_xlfn.XLOOKUP($A650,CSV!$A:$A,CSV!G:G,""),
_xlpm.MacVal,_xlfn.XLOOKUP($A650,Output_Mac!$A:$A,Output_Mac!J:J,""),
_xlpm.MyAuditVal,_xlfn.XLOOKUP($A650,My_Audit!$A:$A,My_Audit!H:H,""),
_xlfn.IFS(_xlpm.MyAuditVal&lt;&gt;"",UPPER(_xlpm.MyAuditVal),_xlpm.MacVal&lt;&gt;"",_xlpm.MacVal,_xlpm.CSVVal&lt;&gt;"",_xlpm.CSVVal
)),"")</f>
        <v/>
      </c>
      <c r="J650" s="54" t="str" cm="1">
        <f t="array" ref="J650">IFERROR(_xlfn.LET(
_xlpm.CSVVal,_xlfn.XLOOKUP($A650,CSV!$A:$A,CSV!I:I,""),
_xlpm.MacVal,_xlfn.XLOOKUP($A650,Output_Mac!$A:$A,Output_Mac!K:K,""),
_xlpm.MyAuditVal,_xlfn.XLOOKUP($A650,My_Audit!$A:$A,My_Audit!I:I,""),
_xlfn.IFS(_xlpm.MyAuditVal&lt;&gt;"",UPPER(_xlpm.MyAuditVal),_xlpm.MacVal&lt;&gt;"",_xlpm.MacVal,_xlpm.CSVVal&lt;&gt;"",_xlpm.CSVVal
)),"")</f>
        <v/>
      </c>
      <c r="K650" s="54" t="str" cm="1">
        <f t="array" ref="K650">IFERROR(_xlfn.LET(
_xlpm.CSVVal,_xlfn.XLOOKUP($A650,CSV!$A:$A,CSV!M:M,""),
_xlpm.MacVal,_xlfn.XLOOKUP($A650,Output_Mac!$A:$A,Output_Mac!L:L,""),
_xlpm.MyAuditVal,_xlfn.XLOOKUP($A650,My_Audit!$A:$A,My_Audit!J:J,""),
_xlfn.IFS(_xlpm.MyAuditVal&lt;&gt;"",UPPER(_xlpm.MyAuditVal),_xlpm.MacVal&lt;&gt;"",_xlpm.MacVal,_xlpm.CSVVal&lt;&gt;"",_xlpm.CSVVal
)),"")</f>
        <v/>
      </c>
      <c r="L650" s="54" t="str" cm="1">
        <f t="array" ref="L650">IFERROR(_xlfn.LET(
_xlpm.CSVVal,_xlfn.XLOOKUP($A650,CSV!$A:$A,CSV!O:O,""),
_xlpm.MacVal,_xlfn.XLOOKUP($A650,Output_Mac!$A:$A,Output_Mac!M:M,""),
_xlpm.MyAuditVal,_xlfn.XLOOKUP($A650,My_Audit!$A:$A,My_Audit!K:K,""),
_xlfn.IFS(_xlpm.MyAuditVal&lt;&gt;"",UPPER(_xlpm.MyAuditVal),_xlpm.MacVal&lt;&gt;"",_xlpm.MacVal,_xlpm.CSVVal&lt;&gt;"",_xlpm.CSVVal
)),"")</f>
        <v/>
      </c>
      <c r="M650" s="54" t="str">
        <f>_xlfn.LET(
    _xlpm.CSVVal, _xlfn.XLOOKUP($A650, CSV!$A:$A, CSV!AD:AD, ""),
    _xlpm.MacVal, _xlfn.XLOOKUP($A650, Output_Mac!$A:$A, Output_Mac!S:S, ""),
    _xlpm.MyAuditVal, _xlfn.XLOOKUP($A650, My_Audit!$A:$A, My_Audit!N:N, ""),
    _xlfn.TEXTJOIN(", ", TRUE, _xlpm.MyAuditVal, _xlpm.MacVal, _xlpm.CSVVal)
)</f>
        <v/>
      </c>
      <c r="N650" s="54" t="str" cm="1">
        <f t="array" ref="N650">IFERROR(_xlfn.LET(
_xlpm.CSVVal,_xlfn.XLOOKUP($A650,CSV!$A:$A,CSV!AF:AF,""),
_xlpm.MacVal,_xlfn.XLOOKUP($A650,Output_Mac!$A:$A,Output_Mac!U:U,""),
_xlpm.MyAuditVal,_xlfn.XLOOKUP($A650,My_Audit!$A:$A,My_Audit!O:O,""),
_xlfn.IFS(_xlpm.MyAuditVal&lt;&gt;"",UPPER(_xlpm.MyAuditVal),_xlpm.MacVal&lt;&gt;"",_xlpm.MacVal,_xlpm.CSVVal&lt;&gt;"",_xlpm.CSVVal
)),"")</f>
        <v/>
      </c>
      <c r="O650" s="54"/>
      <c r="P650" s="54"/>
      <c r="Q650" s="54"/>
      <c r="R650" s="54"/>
      <c r="S650" s="54"/>
      <c r="T650" s="54"/>
      <c r="U650" s="39"/>
    </row>
    <row r="651" spans="1:21">
      <c r="A651" s="54" t="str">
        <f>_xlfn.TEXTJOIN("",TRUE,Input!$B$2,ROW(My_Audit!A650))</f>
        <v>XX650</v>
      </c>
      <c r="B651" s="54" t="str">
        <f>_xlfn.TEXTJOIN("-",TRUE,"ITD",Input!$A$2,A651)</f>
        <v>ITD-SHRXXX-XX650</v>
      </c>
      <c r="C651" s="54" t="str" cm="1">
        <f t="array" ref="C651">IFERROR(_xlfn.LET(
_xlpm.CSVVal,_xlfn.XLOOKUP($A651,CSV!$A:$A,CSV!B:B,""),
_xlpm.MacVal,_xlfn.XLOOKUP($A651,Output_Mac!$A:$A,Output_Mac!B:B,""),
_xlpm.MyAuditVal,_xlfn.XLOOKUP($A651,My_Audit!$A:$A,My_Audit!B:B,""),
_xlfn.IFS(_xlpm.MyAuditVal&lt;&gt;"",UPPER(_xlpm.MyAuditVal),_xlpm.MacVal&lt;&gt;"",_xlpm.MacVal,_xlpm.CSVVal&lt;&gt;"",_xlpm.CSVVal
)),"")</f>
        <v/>
      </c>
      <c r="D651" s="55" t="str">
        <f>_xlfn.XLOOKUP(A651,My_Audit!A:A,My_Audit!D:D,"")&amp;""</f>
        <v/>
      </c>
      <c r="E651" s="55" t="str" cm="1">
        <f t="array" ref="E651">IFERROR(_xlfn.LET(
_xlpm.CSVVal,_xlfn.XLOOKUP($A651,CSV!$A:$A,CSV!D:D,""),
_xlpm.MacVal,_xlfn.XLOOKUP($A651,Output_Mac!$A:$A,Output_Mac!C:C,""),
_xlpm.MyAuditVal,_xlfn.XLOOKUP($A651,My_Audit!$A:$A,My_Audit!D:D,""),
_xlfn.IFS(_xlpm.MyAuditVal&lt;&gt;"",_xlpm.MyAuditVal,_xlpm.MacVal&lt;&gt;"",_xlpm.MacVal,_xlpm.CSVVal&lt;&gt;"",_xlpm.CSVVal
)),"")</f>
        <v/>
      </c>
      <c r="F651" s="54" t="str" cm="1">
        <f t="array" ref="F651">IFERROR(_xlfn.LET(
_xlpm.CSVVal,_xlfn.XLOOKUP($A651,CSV!$A:$A,CSV!E:E,""),
_xlpm.MacVal,_xlfn.XLOOKUP($A651,Output_Mac!$A:$A,Output_Mac!F:F,""),
_xlpm.MyAuditVal,_xlfn.XLOOKUP($A651,My_Audit!$A:$A,My_Audit!E:E,""),
_xlfn.IFS(_xlpm.MyAuditVal&lt;&gt;"",_xlpm.MyAuditVal,_xlpm.MacVal&lt;&gt;"",_xlpm.MacVal,_xlpm.CSVVal&lt;&gt;"",PROPER(_xlpm.CSVVal)
)),"")</f>
        <v/>
      </c>
      <c r="G651" s="54" t="str" cm="1">
        <f t="array" ref="G651">IFERROR(_xlfn.LET(
_xlpm.CSVVal,_xlfn.XLOOKUP($A651,CSV!$A:$A,CSV!F:F,""),
_xlpm.MacVal,_xlfn.XLOOKUP($A651,Output_Mac!$A:$A,Output_Mac!H:H,""),
_xlpm.MyAuditVal,_xlfn.XLOOKUP($A651,My_Audit!$A:$A,My_Audit!F:F,""),
_xlfn.IFS(_xlpm.MyAuditVal&lt;&gt;"",_xlpm.MyAuditVal,_xlpm.MacVal&lt;&gt;"",_xlpm.MacVal,_xlpm.CSVVal&lt;&gt;"",_xlpm.CSVVal
)),"")</f>
        <v/>
      </c>
      <c r="H651" s="54" t="str">
        <f>_xlfn.XLOOKUP(A651,Output_Mac!A:A,Output_Mac!I:I,"")</f>
        <v/>
      </c>
      <c r="I651" s="54" t="str" cm="1">
        <f t="array" ref="I651">IFERROR(_xlfn.LET(
_xlpm.CSVVal,_xlfn.XLOOKUP($A651,CSV!$A:$A,CSV!G:G,""),
_xlpm.MacVal,_xlfn.XLOOKUP($A651,Output_Mac!$A:$A,Output_Mac!J:J,""),
_xlpm.MyAuditVal,_xlfn.XLOOKUP($A651,My_Audit!$A:$A,My_Audit!H:H,""),
_xlfn.IFS(_xlpm.MyAuditVal&lt;&gt;"",UPPER(_xlpm.MyAuditVal),_xlpm.MacVal&lt;&gt;"",_xlpm.MacVal,_xlpm.CSVVal&lt;&gt;"",_xlpm.CSVVal
)),"")</f>
        <v/>
      </c>
      <c r="J651" s="54" t="str" cm="1">
        <f t="array" ref="J651">IFERROR(_xlfn.LET(
_xlpm.CSVVal,_xlfn.XLOOKUP($A651,CSV!$A:$A,CSV!I:I,""),
_xlpm.MacVal,_xlfn.XLOOKUP($A651,Output_Mac!$A:$A,Output_Mac!K:K,""),
_xlpm.MyAuditVal,_xlfn.XLOOKUP($A651,My_Audit!$A:$A,My_Audit!I:I,""),
_xlfn.IFS(_xlpm.MyAuditVal&lt;&gt;"",UPPER(_xlpm.MyAuditVal),_xlpm.MacVal&lt;&gt;"",_xlpm.MacVal,_xlpm.CSVVal&lt;&gt;"",_xlpm.CSVVal
)),"")</f>
        <v/>
      </c>
      <c r="K651" s="54" t="str" cm="1">
        <f t="array" ref="K651">IFERROR(_xlfn.LET(
_xlpm.CSVVal,_xlfn.XLOOKUP($A651,CSV!$A:$A,CSV!M:M,""),
_xlpm.MacVal,_xlfn.XLOOKUP($A651,Output_Mac!$A:$A,Output_Mac!L:L,""),
_xlpm.MyAuditVal,_xlfn.XLOOKUP($A651,My_Audit!$A:$A,My_Audit!J:J,""),
_xlfn.IFS(_xlpm.MyAuditVal&lt;&gt;"",UPPER(_xlpm.MyAuditVal),_xlpm.MacVal&lt;&gt;"",_xlpm.MacVal,_xlpm.CSVVal&lt;&gt;"",_xlpm.CSVVal
)),"")</f>
        <v/>
      </c>
      <c r="L651" s="54" t="str" cm="1">
        <f t="array" ref="L651">IFERROR(_xlfn.LET(
_xlpm.CSVVal,_xlfn.XLOOKUP($A651,CSV!$A:$A,CSV!O:O,""),
_xlpm.MacVal,_xlfn.XLOOKUP($A651,Output_Mac!$A:$A,Output_Mac!M:M,""),
_xlpm.MyAuditVal,_xlfn.XLOOKUP($A651,My_Audit!$A:$A,My_Audit!K:K,""),
_xlfn.IFS(_xlpm.MyAuditVal&lt;&gt;"",UPPER(_xlpm.MyAuditVal),_xlpm.MacVal&lt;&gt;"",_xlpm.MacVal,_xlpm.CSVVal&lt;&gt;"",_xlpm.CSVVal
)),"")</f>
        <v/>
      </c>
      <c r="M651" s="54" t="str">
        <f>_xlfn.LET(
    _xlpm.CSVVal, _xlfn.XLOOKUP($A651, CSV!$A:$A, CSV!AD:AD, ""),
    _xlpm.MacVal, _xlfn.XLOOKUP($A651, Output_Mac!$A:$A, Output_Mac!S:S, ""),
    _xlpm.MyAuditVal, _xlfn.XLOOKUP($A651, My_Audit!$A:$A, My_Audit!N:N, ""),
    _xlfn.TEXTJOIN(", ", TRUE, _xlpm.MyAuditVal, _xlpm.MacVal, _xlpm.CSVVal)
)</f>
        <v/>
      </c>
      <c r="N651" s="54" t="str" cm="1">
        <f t="array" ref="N651">IFERROR(_xlfn.LET(
_xlpm.CSVVal,_xlfn.XLOOKUP($A651,CSV!$A:$A,CSV!AF:AF,""),
_xlpm.MacVal,_xlfn.XLOOKUP($A651,Output_Mac!$A:$A,Output_Mac!U:U,""),
_xlpm.MyAuditVal,_xlfn.XLOOKUP($A651,My_Audit!$A:$A,My_Audit!O:O,""),
_xlfn.IFS(_xlpm.MyAuditVal&lt;&gt;"",UPPER(_xlpm.MyAuditVal),_xlpm.MacVal&lt;&gt;"",_xlpm.MacVal,_xlpm.CSVVal&lt;&gt;"",_xlpm.CSVVal
)),"")</f>
        <v/>
      </c>
      <c r="O651" s="54"/>
      <c r="P651" s="54"/>
      <c r="Q651" s="54"/>
      <c r="R651" s="54"/>
      <c r="S651" s="54"/>
      <c r="T651" s="54"/>
      <c r="U651" s="39"/>
    </row>
    <row r="652" spans="1:21">
      <c r="A652" s="54" t="str">
        <f>_xlfn.TEXTJOIN("",TRUE,Input!$B$2,ROW(My_Audit!A651))</f>
        <v>XX651</v>
      </c>
      <c r="B652" s="54" t="str">
        <f>_xlfn.TEXTJOIN("-",TRUE,"ITD",Input!$A$2,A652)</f>
        <v>ITD-SHRXXX-XX651</v>
      </c>
      <c r="C652" s="54" t="str" cm="1">
        <f t="array" ref="C652">IFERROR(_xlfn.LET(
_xlpm.CSVVal,_xlfn.XLOOKUP($A652,CSV!$A:$A,CSV!B:B,""),
_xlpm.MacVal,_xlfn.XLOOKUP($A652,Output_Mac!$A:$A,Output_Mac!B:B,""),
_xlpm.MyAuditVal,_xlfn.XLOOKUP($A652,My_Audit!$A:$A,My_Audit!B:B,""),
_xlfn.IFS(_xlpm.MyAuditVal&lt;&gt;"",UPPER(_xlpm.MyAuditVal),_xlpm.MacVal&lt;&gt;"",_xlpm.MacVal,_xlpm.CSVVal&lt;&gt;"",_xlpm.CSVVal
)),"")</f>
        <v/>
      </c>
      <c r="D652" s="55" t="str">
        <f>_xlfn.XLOOKUP(A652,My_Audit!A:A,My_Audit!D:D,"")&amp;""</f>
        <v/>
      </c>
      <c r="E652" s="55" t="str" cm="1">
        <f t="array" ref="E652">IFERROR(_xlfn.LET(
_xlpm.CSVVal,_xlfn.XLOOKUP($A652,CSV!$A:$A,CSV!D:D,""),
_xlpm.MacVal,_xlfn.XLOOKUP($A652,Output_Mac!$A:$A,Output_Mac!C:C,""),
_xlpm.MyAuditVal,_xlfn.XLOOKUP($A652,My_Audit!$A:$A,My_Audit!D:D,""),
_xlfn.IFS(_xlpm.MyAuditVal&lt;&gt;"",_xlpm.MyAuditVal,_xlpm.MacVal&lt;&gt;"",_xlpm.MacVal,_xlpm.CSVVal&lt;&gt;"",_xlpm.CSVVal
)),"")</f>
        <v/>
      </c>
      <c r="F652" s="54" t="str" cm="1">
        <f t="array" ref="F652">IFERROR(_xlfn.LET(
_xlpm.CSVVal,_xlfn.XLOOKUP($A652,CSV!$A:$A,CSV!E:E,""),
_xlpm.MacVal,_xlfn.XLOOKUP($A652,Output_Mac!$A:$A,Output_Mac!F:F,""),
_xlpm.MyAuditVal,_xlfn.XLOOKUP($A652,My_Audit!$A:$A,My_Audit!E:E,""),
_xlfn.IFS(_xlpm.MyAuditVal&lt;&gt;"",_xlpm.MyAuditVal,_xlpm.MacVal&lt;&gt;"",_xlpm.MacVal,_xlpm.CSVVal&lt;&gt;"",PROPER(_xlpm.CSVVal)
)),"")</f>
        <v/>
      </c>
      <c r="G652" s="54" t="str" cm="1">
        <f t="array" ref="G652">IFERROR(_xlfn.LET(
_xlpm.CSVVal,_xlfn.XLOOKUP($A652,CSV!$A:$A,CSV!F:F,""),
_xlpm.MacVal,_xlfn.XLOOKUP($A652,Output_Mac!$A:$A,Output_Mac!H:H,""),
_xlpm.MyAuditVal,_xlfn.XLOOKUP($A652,My_Audit!$A:$A,My_Audit!F:F,""),
_xlfn.IFS(_xlpm.MyAuditVal&lt;&gt;"",_xlpm.MyAuditVal,_xlpm.MacVal&lt;&gt;"",_xlpm.MacVal,_xlpm.CSVVal&lt;&gt;"",_xlpm.CSVVal
)),"")</f>
        <v/>
      </c>
      <c r="H652" s="54" t="str">
        <f>_xlfn.XLOOKUP(A652,Output_Mac!A:A,Output_Mac!I:I,"")</f>
        <v/>
      </c>
      <c r="I652" s="54" t="str" cm="1">
        <f t="array" ref="I652">IFERROR(_xlfn.LET(
_xlpm.CSVVal,_xlfn.XLOOKUP($A652,CSV!$A:$A,CSV!G:G,""),
_xlpm.MacVal,_xlfn.XLOOKUP($A652,Output_Mac!$A:$A,Output_Mac!J:J,""),
_xlpm.MyAuditVal,_xlfn.XLOOKUP($A652,My_Audit!$A:$A,My_Audit!H:H,""),
_xlfn.IFS(_xlpm.MyAuditVal&lt;&gt;"",UPPER(_xlpm.MyAuditVal),_xlpm.MacVal&lt;&gt;"",_xlpm.MacVal,_xlpm.CSVVal&lt;&gt;"",_xlpm.CSVVal
)),"")</f>
        <v/>
      </c>
      <c r="J652" s="54" t="str" cm="1">
        <f t="array" ref="J652">IFERROR(_xlfn.LET(
_xlpm.CSVVal,_xlfn.XLOOKUP($A652,CSV!$A:$A,CSV!I:I,""),
_xlpm.MacVal,_xlfn.XLOOKUP($A652,Output_Mac!$A:$A,Output_Mac!K:K,""),
_xlpm.MyAuditVal,_xlfn.XLOOKUP($A652,My_Audit!$A:$A,My_Audit!I:I,""),
_xlfn.IFS(_xlpm.MyAuditVal&lt;&gt;"",UPPER(_xlpm.MyAuditVal),_xlpm.MacVal&lt;&gt;"",_xlpm.MacVal,_xlpm.CSVVal&lt;&gt;"",_xlpm.CSVVal
)),"")</f>
        <v/>
      </c>
      <c r="K652" s="54" t="str" cm="1">
        <f t="array" ref="K652">IFERROR(_xlfn.LET(
_xlpm.CSVVal,_xlfn.XLOOKUP($A652,CSV!$A:$A,CSV!M:M,""),
_xlpm.MacVal,_xlfn.XLOOKUP($A652,Output_Mac!$A:$A,Output_Mac!L:L,""),
_xlpm.MyAuditVal,_xlfn.XLOOKUP($A652,My_Audit!$A:$A,My_Audit!J:J,""),
_xlfn.IFS(_xlpm.MyAuditVal&lt;&gt;"",UPPER(_xlpm.MyAuditVal),_xlpm.MacVal&lt;&gt;"",_xlpm.MacVal,_xlpm.CSVVal&lt;&gt;"",_xlpm.CSVVal
)),"")</f>
        <v/>
      </c>
      <c r="L652" s="54" t="str" cm="1">
        <f t="array" ref="L652">IFERROR(_xlfn.LET(
_xlpm.CSVVal,_xlfn.XLOOKUP($A652,CSV!$A:$A,CSV!O:O,""),
_xlpm.MacVal,_xlfn.XLOOKUP($A652,Output_Mac!$A:$A,Output_Mac!M:M,""),
_xlpm.MyAuditVal,_xlfn.XLOOKUP($A652,My_Audit!$A:$A,My_Audit!K:K,""),
_xlfn.IFS(_xlpm.MyAuditVal&lt;&gt;"",UPPER(_xlpm.MyAuditVal),_xlpm.MacVal&lt;&gt;"",_xlpm.MacVal,_xlpm.CSVVal&lt;&gt;"",_xlpm.CSVVal
)),"")</f>
        <v/>
      </c>
      <c r="M652" s="54" t="str">
        <f>_xlfn.LET(
    _xlpm.CSVVal, _xlfn.XLOOKUP($A652, CSV!$A:$A, CSV!AD:AD, ""),
    _xlpm.MacVal, _xlfn.XLOOKUP($A652, Output_Mac!$A:$A, Output_Mac!S:S, ""),
    _xlpm.MyAuditVal, _xlfn.XLOOKUP($A652, My_Audit!$A:$A, My_Audit!N:N, ""),
    _xlfn.TEXTJOIN(", ", TRUE, _xlpm.MyAuditVal, _xlpm.MacVal, _xlpm.CSVVal)
)</f>
        <v/>
      </c>
      <c r="N652" s="54" t="str" cm="1">
        <f t="array" ref="N652">IFERROR(_xlfn.LET(
_xlpm.CSVVal,_xlfn.XLOOKUP($A652,CSV!$A:$A,CSV!AF:AF,""),
_xlpm.MacVal,_xlfn.XLOOKUP($A652,Output_Mac!$A:$A,Output_Mac!U:U,""),
_xlpm.MyAuditVal,_xlfn.XLOOKUP($A652,My_Audit!$A:$A,My_Audit!O:O,""),
_xlfn.IFS(_xlpm.MyAuditVal&lt;&gt;"",UPPER(_xlpm.MyAuditVal),_xlpm.MacVal&lt;&gt;"",_xlpm.MacVal,_xlpm.CSVVal&lt;&gt;"",_xlpm.CSVVal
)),"")</f>
        <v/>
      </c>
      <c r="O652" s="54"/>
      <c r="P652" s="54"/>
      <c r="Q652" s="54"/>
      <c r="R652" s="54"/>
      <c r="S652" s="54"/>
      <c r="T652" s="54"/>
      <c r="U652" s="39"/>
    </row>
    <row r="653" spans="1:21">
      <c r="A653" s="54" t="str">
        <f>_xlfn.TEXTJOIN("",TRUE,Input!$B$2,ROW(My_Audit!A652))</f>
        <v>XX652</v>
      </c>
      <c r="B653" s="54" t="str">
        <f>_xlfn.TEXTJOIN("-",TRUE,"ITD",Input!$A$2,A653)</f>
        <v>ITD-SHRXXX-XX652</v>
      </c>
      <c r="C653" s="54" t="str" cm="1">
        <f t="array" ref="C653">IFERROR(_xlfn.LET(
_xlpm.CSVVal,_xlfn.XLOOKUP($A653,CSV!$A:$A,CSV!B:B,""),
_xlpm.MacVal,_xlfn.XLOOKUP($A653,Output_Mac!$A:$A,Output_Mac!B:B,""),
_xlpm.MyAuditVal,_xlfn.XLOOKUP($A653,My_Audit!$A:$A,My_Audit!B:B,""),
_xlfn.IFS(_xlpm.MyAuditVal&lt;&gt;"",UPPER(_xlpm.MyAuditVal),_xlpm.MacVal&lt;&gt;"",_xlpm.MacVal,_xlpm.CSVVal&lt;&gt;"",_xlpm.CSVVal
)),"")</f>
        <v/>
      </c>
      <c r="D653" s="55" t="str">
        <f>_xlfn.XLOOKUP(A653,My_Audit!A:A,My_Audit!D:D,"")&amp;""</f>
        <v/>
      </c>
      <c r="E653" s="55" t="str" cm="1">
        <f t="array" ref="E653">IFERROR(_xlfn.LET(
_xlpm.CSVVal,_xlfn.XLOOKUP($A653,CSV!$A:$A,CSV!D:D,""),
_xlpm.MacVal,_xlfn.XLOOKUP($A653,Output_Mac!$A:$A,Output_Mac!C:C,""),
_xlpm.MyAuditVal,_xlfn.XLOOKUP($A653,My_Audit!$A:$A,My_Audit!D:D,""),
_xlfn.IFS(_xlpm.MyAuditVal&lt;&gt;"",_xlpm.MyAuditVal,_xlpm.MacVal&lt;&gt;"",_xlpm.MacVal,_xlpm.CSVVal&lt;&gt;"",_xlpm.CSVVal
)),"")</f>
        <v/>
      </c>
      <c r="F653" s="54" t="str" cm="1">
        <f t="array" ref="F653">IFERROR(_xlfn.LET(
_xlpm.CSVVal,_xlfn.XLOOKUP($A653,CSV!$A:$A,CSV!E:E,""),
_xlpm.MacVal,_xlfn.XLOOKUP($A653,Output_Mac!$A:$A,Output_Mac!F:F,""),
_xlpm.MyAuditVal,_xlfn.XLOOKUP($A653,My_Audit!$A:$A,My_Audit!E:E,""),
_xlfn.IFS(_xlpm.MyAuditVal&lt;&gt;"",_xlpm.MyAuditVal,_xlpm.MacVal&lt;&gt;"",_xlpm.MacVal,_xlpm.CSVVal&lt;&gt;"",PROPER(_xlpm.CSVVal)
)),"")</f>
        <v/>
      </c>
      <c r="G653" s="54" t="str" cm="1">
        <f t="array" ref="G653">IFERROR(_xlfn.LET(
_xlpm.CSVVal,_xlfn.XLOOKUP($A653,CSV!$A:$A,CSV!F:F,""),
_xlpm.MacVal,_xlfn.XLOOKUP($A653,Output_Mac!$A:$A,Output_Mac!H:H,""),
_xlpm.MyAuditVal,_xlfn.XLOOKUP($A653,My_Audit!$A:$A,My_Audit!F:F,""),
_xlfn.IFS(_xlpm.MyAuditVal&lt;&gt;"",_xlpm.MyAuditVal,_xlpm.MacVal&lt;&gt;"",_xlpm.MacVal,_xlpm.CSVVal&lt;&gt;"",_xlpm.CSVVal
)),"")</f>
        <v/>
      </c>
      <c r="H653" s="54" t="str">
        <f>_xlfn.XLOOKUP(A653,Output_Mac!A:A,Output_Mac!I:I,"")</f>
        <v/>
      </c>
      <c r="I653" s="54" t="str" cm="1">
        <f t="array" ref="I653">IFERROR(_xlfn.LET(
_xlpm.CSVVal,_xlfn.XLOOKUP($A653,CSV!$A:$A,CSV!G:G,""),
_xlpm.MacVal,_xlfn.XLOOKUP($A653,Output_Mac!$A:$A,Output_Mac!J:J,""),
_xlpm.MyAuditVal,_xlfn.XLOOKUP($A653,My_Audit!$A:$A,My_Audit!H:H,""),
_xlfn.IFS(_xlpm.MyAuditVal&lt;&gt;"",UPPER(_xlpm.MyAuditVal),_xlpm.MacVal&lt;&gt;"",_xlpm.MacVal,_xlpm.CSVVal&lt;&gt;"",_xlpm.CSVVal
)),"")</f>
        <v/>
      </c>
      <c r="J653" s="54" t="str" cm="1">
        <f t="array" ref="J653">IFERROR(_xlfn.LET(
_xlpm.CSVVal,_xlfn.XLOOKUP($A653,CSV!$A:$A,CSV!I:I,""),
_xlpm.MacVal,_xlfn.XLOOKUP($A653,Output_Mac!$A:$A,Output_Mac!K:K,""),
_xlpm.MyAuditVal,_xlfn.XLOOKUP($A653,My_Audit!$A:$A,My_Audit!I:I,""),
_xlfn.IFS(_xlpm.MyAuditVal&lt;&gt;"",UPPER(_xlpm.MyAuditVal),_xlpm.MacVal&lt;&gt;"",_xlpm.MacVal,_xlpm.CSVVal&lt;&gt;"",_xlpm.CSVVal
)),"")</f>
        <v/>
      </c>
      <c r="K653" s="54" t="str" cm="1">
        <f t="array" ref="K653">IFERROR(_xlfn.LET(
_xlpm.CSVVal,_xlfn.XLOOKUP($A653,CSV!$A:$A,CSV!M:M,""),
_xlpm.MacVal,_xlfn.XLOOKUP($A653,Output_Mac!$A:$A,Output_Mac!L:L,""),
_xlpm.MyAuditVal,_xlfn.XLOOKUP($A653,My_Audit!$A:$A,My_Audit!J:J,""),
_xlfn.IFS(_xlpm.MyAuditVal&lt;&gt;"",UPPER(_xlpm.MyAuditVal),_xlpm.MacVal&lt;&gt;"",_xlpm.MacVal,_xlpm.CSVVal&lt;&gt;"",_xlpm.CSVVal
)),"")</f>
        <v/>
      </c>
      <c r="L653" s="54" t="str" cm="1">
        <f t="array" ref="L653">IFERROR(_xlfn.LET(
_xlpm.CSVVal,_xlfn.XLOOKUP($A653,CSV!$A:$A,CSV!O:O,""),
_xlpm.MacVal,_xlfn.XLOOKUP($A653,Output_Mac!$A:$A,Output_Mac!M:M,""),
_xlpm.MyAuditVal,_xlfn.XLOOKUP($A653,My_Audit!$A:$A,My_Audit!K:K,""),
_xlfn.IFS(_xlpm.MyAuditVal&lt;&gt;"",UPPER(_xlpm.MyAuditVal),_xlpm.MacVal&lt;&gt;"",_xlpm.MacVal,_xlpm.CSVVal&lt;&gt;"",_xlpm.CSVVal
)),"")</f>
        <v/>
      </c>
      <c r="M653" s="54" t="str">
        <f>_xlfn.LET(
    _xlpm.CSVVal, _xlfn.XLOOKUP($A653, CSV!$A:$A, CSV!AD:AD, ""),
    _xlpm.MacVal, _xlfn.XLOOKUP($A653, Output_Mac!$A:$A, Output_Mac!S:S, ""),
    _xlpm.MyAuditVal, _xlfn.XLOOKUP($A653, My_Audit!$A:$A, My_Audit!N:N, ""),
    _xlfn.TEXTJOIN(", ", TRUE, _xlpm.MyAuditVal, _xlpm.MacVal, _xlpm.CSVVal)
)</f>
        <v/>
      </c>
      <c r="N653" s="54" t="str" cm="1">
        <f t="array" ref="N653">IFERROR(_xlfn.LET(
_xlpm.CSVVal,_xlfn.XLOOKUP($A653,CSV!$A:$A,CSV!AF:AF,""),
_xlpm.MacVal,_xlfn.XLOOKUP($A653,Output_Mac!$A:$A,Output_Mac!U:U,""),
_xlpm.MyAuditVal,_xlfn.XLOOKUP($A653,My_Audit!$A:$A,My_Audit!O:O,""),
_xlfn.IFS(_xlpm.MyAuditVal&lt;&gt;"",UPPER(_xlpm.MyAuditVal),_xlpm.MacVal&lt;&gt;"",_xlpm.MacVal,_xlpm.CSVVal&lt;&gt;"",_xlpm.CSVVal
)),"")</f>
        <v/>
      </c>
      <c r="O653" s="54"/>
      <c r="P653" s="54"/>
      <c r="Q653" s="54"/>
      <c r="R653" s="54"/>
      <c r="S653" s="54"/>
      <c r="T653" s="54"/>
      <c r="U653" s="39"/>
    </row>
    <row r="654" spans="1:21">
      <c r="A654" s="54" t="str">
        <f>_xlfn.TEXTJOIN("",TRUE,Input!$B$2,ROW(My_Audit!A653))</f>
        <v>XX653</v>
      </c>
      <c r="B654" s="54" t="str">
        <f>_xlfn.TEXTJOIN("-",TRUE,"ITD",Input!$A$2,A654)</f>
        <v>ITD-SHRXXX-XX653</v>
      </c>
      <c r="C654" s="54" t="str" cm="1">
        <f t="array" ref="C654">IFERROR(_xlfn.LET(
_xlpm.CSVVal,_xlfn.XLOOKUP($A654,CSV!$A:$A,CSV!B:B,""),
_xlpm.MacVal,_xlfn.XLOOKUP($A654,Output_Mac!$A:$A,Output_Mac!B:B,""),
_xlpm.MyAuditVal,_xlfn.XLOOKUP($A654,My_Audit!$A:$A,My_Audit!B:B,""),
_xlfn.IFS(_xlpm.MyAuditVal&lt;&gt;"",UPPER(_xlpm.MyAuditVal),_xlpm.MacVal&lt;&gt;"",_xlpm.MacVal,_xlpm.CSVVal&lt;&gt;"",_xlpm.CSVVal
)),"")</f>
        <v/>
      </c>
      <c r="D654" s="55" t="str">
        <f>_xlfn.XLOOKUP(A654,My_Audit!A:A,My_Audit!D:D,"")&amp;""</f>
        <v/>
      </c>
      <c r="E654" s="55" t="str" cm="1">
        <f t="array" ref="E654">IFERROR(_xlfn.LET(
_xlpm.CSVVal,_xlfn.XLOOKUP($A654,CSV!$A:$A,CSV!D:D,""),
_xlpm.MacVal,_xlfn.XLOOKUP($A654,Output_Mac!$A:$A,Output_Mac!C:C,""),
_xlpm.MyAuditVal,_xlfn.XLOOKUP($A654,My_Audit!$A:$A,My_Audit!D:D,""),
_xlfn.IFS(_xlpm.MyAuditVal&lt;&gt;"",_xlpm.MyAuditVal,_xlpm.MacVal&lt;&gt;"",_xlpm.MacVal,_xlpm.CSVVal&lt;&gt;"",_xlpm.CSVVal
)),"")</f>
        <v/>
      </c>
      <c r="F654" s="54" t="str" cm="1">
        <f t="array" ref="F654">IFERROR(_xlfn.LET(
_xlpm.CSVVal,_xlfn.XLOOKUP($A654,CSV!$A:$A,CSV!E:E,""),
_xlpm.MacVal,_xlfn.XLOOKUP($A654,Output_Mac!$A:$A,Output_Mac!F:F,""),
_xlpm.MyAuditVal,_xlfn.XLOOKUP($A654,My_Audit!$A:$A,My_Audit!E:E,""),
_xlfn.IFS(_xlpm.MyAuditVal&lt;&gt;"",_xlpm.MyAuditVal,_xlpm.MacVal&lt;&gt;"",_xlpm.MacVal,_xlpm.CSVVal&lt;&gt;"",PROPER(_xlpm.CSVVal)
)),"")</f>
        <v/>
      </c>
      <c r="G654" s="54" t="str" cm="1">
        <f t="array" ref="G654">IFERROR(_xlfn.LET(
_xlpm.CSVVal,_xlfn.XLOOKUP($A654,CSV!$A:$A,CSV!F:F,""),
_xlpm.MacVal,_xlfn.XLOOKUP($A654,Output_Mac!$A:$A,Output_Mac!H:H,""),
_xlpm.MyAuditVal,_xlfn.XLOOKUP($A654,My_Audit!$A:$A,My_Audit!F:F,""),
_xlfn.IFS(_xlpm.MyAuditVal&lt;&gt;"",_xlpm.MyAuditVal,_xlpm.MacVal&lt;&gt;"",_xlpm.MacVal,_xlpm.CSVVal&lt;&gt;"",_xlpm.CSVVal
)),"")</f>
        <v/>
      </c>
      <c r="H654" s="54" t="str">
        <f>_xlfn.XLOOKUP(A654,Output_Mac!A:A,Output_Mac!I:I,"")</f>
        <v/>
      </c>
      <c r="I654" s="54" t="str" cm="1">
        <f t="array" ref="I654">IFERROR(_xlfn.LET(
_xlpm.CSVVal,_xlfn.XLOOKUP($A654,CSV!$A:$A,CSV!G:G,""),
_xlpm.MacVal,_xlfn.XLOOKUP($A654,Output_Mac!$A:$A,Output_Mac!J:J,""),
_xlpm.MyAuditVal,_xlfn.XLOOKUP($A654,My_Audit!$A:$A,My_Audit!H:H,""),
_xlfn.IFS(_xlpm.MyAuditVal&lt;&gt;"",UPPER(_xlpm.MyAuditVal),_xlpm.MacVal&lt;&gt;"",_xlpm.MacVal,_xlpm.CSVVal&lt;&gt;"",_xlpm.CSVVal
)),"")</f>
        <v/>
      </c>
      <c r="J654" s="54" t="str" cm="1">
        <f t="array" ref="J654">IFERROR(_xlfn.LET(
_xlpm.CSVVal,_xlfn.XLOOKUP($A654,CSV!$A:$A,CSV!I:I,""),
_xlpm.MacVal,_xlfn.XLOOKUP($A654,Output_Mac!$A:$A,Output_Mac!K:K,""),
_xlpm.MyAuditVal,_xlfn.XLOOKUP($A654,My_Audit!$A:$A,My_Audit!I:I,""),
_xlfn.IFS(_xlpm.MyAuditVal&lt;&gt;"",UPPER(_xlpm.MyAuditVal),_xlpm.MacVal&lt;&gt;"",_xlpm.MacVal,_xlpm.CSVVal&lt;&gt;"",_xlpm.CSVVal
)),"")</f>
        <v/>
      </c>
      <c r="K654" s="54" t="str" cm="1">
        <f t="array" ref="K654">IFERROR(_xlfn.LET(
_xlpm.CSVVal,_xlfn.XLOOKUP($A654,CSV!$A:$A,CSV!M:M,""),
_xlpm.MacVal,_xlfn.XLOOKUP($A654,Output_Mac!$A:$A,Output_Mac!L:L,""),
_xlpm.MyAuditVal,_xlfn.XLOOKUP($A654,My_Audit!$A:$A,My_Audit!J:J,""),
_xlfn.IFS(_xlpm.MyAuditVal&lt;&gt;"",UPPER(_xlpm.MyAuditVal),_xlpm.MacVal&lt;&gt;"",_xlpm.MacVal,_xlpm.CSVVal&lt;&gt;"",_xlpm.CSVVal
)),"")</f>
        <v/>
      </c>
      <c r="L654" s="54" t="str" cm="1">
        <f t="array" ref="L654">IFERROR(_xlfn.LET(
_xlpm.CSVVal,_xlfn.XLOOKUP($A654,CSV!$A:$A,CSV!O:O,""),
_xlpm.MacVal,_xlfn.XLOOKUP($A654,Output_Mac!$A:$A,Output_Mac!M:M,""),
_xlpm.MyAuditVal,_xlfn.XLOOKUP($A654,My_Audit!$A:$A,My_Audit!K:K,""),
_xlfn.IFS(_xlpm.MyAuditVal&lt;&gt;"",UPPER(_xlpm.MyAuditVal),_xlpm.MacVal&lt;&gt;"",_xlpm.MacVal,_xlpm.CSVVal&lt;&gt;"",_xlpm.CSVVal
)),"")</f>
        <v/>
      </c>
      <c r="M654" s="54" t="str">
        <f>_xlfn.LET(
    _xlpm.CSVVal, _xlfn.XLOOKUP($A654, CSV!$A:$A, CSV!AD:AD, ""),
    _xlpm.MacVal, _xlfn.XLOOKUP($A654, Output_Mac!$A:$A, Output_Mac!S:S, ""),
    _xlpm.MyAuditVal, _xlfn.XLOOKUP($A654, My_Audit!$A:$A, My_Audit!N:N, ""),
    _xlfn.TEXTJOIN(", ", TRUE, _xlpm.MyAuditVal, _xlpm.MacVal, _xlpm.CSVVal)
)</f>
        <v/>
      </c>
      <c r="N654" s="54" t="str" cm="1">
        <f t="array" ref="N654">IFERROR(_xlfn.LET(
_xlpm.CSVVal,_xlfn.XLOOKUP($A654,CSV!$A:$A,CSV!AF:AF,""),
_xlpm.MacVal,_xlfn.XLOOKUP($A654,Output_Mac!$A:$A,Output_Mac!U:U,""),
_xlpm.MyAuditVal,_xlfn.XLOOKUP($A654,My_Audit!$A:$A,My_Audit!O:O,""),
_xlfn.IFS(_xlpm.MyAuditVal&lt;&gt;"",UPPER(_xlpm.MyAuditVal),_xlpm.MacVal&lt;&gt;"",_xlpm.MacVal,_xlpm.CSVVal&lt;&gt;"",_xlpm.CSVVal
)),"")</f>
        <v/>
      </c>
      <c r="O654" s="54"/>
      <c r="P654" s="54"/>
      <c r="Q654" s="54"/>
      <c r="R654" s="54"/>
      <c r="S654" s="54"/>
      <c r="T654" s="54"/>
      <c r="U654" s="39"/>
    </row>
    <row r="655" spans="1:21">
      <c r="A655" s="54" t="str">
        <f>_xlfn.TEXTJOIN("",TRUE,Input!$B$2,ROW(My_Audit!A654))</f>
        <v>XX654</v>
      </c>
      <c r="B655" s="54" t="str">
        <f>_xlfn.TEXTJOIN("-",TRUE,"ITD",Input!$A$2,A655)</f>
        <v>ITD-SHRXXX-XX654</v>
      </c>
      <c r="C655" s="54" t="str" cm="1">
        <f t="array" ref="C655">IFERROR(_xlfn.LET(
_xlpm.CSVVal,_xlfn.XLOOKUP($A655,CSV!$A:$A,CSV!B:B,""),
_xlpm.MacVal,_xlfn.XLOOKUP($A655,Output_Mac!$A:$A,Output_Mac!B:B,""),
_xlpm.MyAuditVal,_xlfn.XLOOKUP($A655,My_Audit!$A:$A,My_Audit!B:B,""),
_xlfn.IFS(_xlpm.MyAuditVal&lt;&gt;"",UPPER(_xlpm.MyAuditVal),_xlpm.MacVal&lt;&gt;"",_xlpm.MacVal,_xlpm.CSVVal&lt;&gt;"",_xlpm.CSVVal
)),"")</f>
        <v/>
      </c>
      <c r="D655" s="55" t="str">
        <f>_xlfn.XLOOKUP(A655,My_Audit!A:A,My_Audit!D:D,"")&amp;""</f>
        <v/>
      </c>
      <c r="E655" s="55" t="str" cm="1">
        <f t="array" ref="E655">IFERROR(_xlfn.LET(
_xlpm.CSVVal,_xlfn.XLOOKUP($A655,CSV!$A:$A,CSV!D:D,""),
_xlpm.MacVal,_xlfn.XLOOKUP($A655,Output_Mac!$A:$A,Output_Mac!C:C,""),
_xlpm.MyAuditVal,_xlfn.XLOOKUP($A655,My_Audit!$A:$A,My_Audit!D:D,""),
_xlfn.IFS(_xlpm.MyAuditVal&lt;&gt;"",_xlpm.MyAuditVal,_xlpm.MacVal&lt;&gt;"",_xlpm.MacVal,_xlpm.CSVVal&lt;&gt;"",_xlpm.CSVVal
)),"")</f>
        <v/>
      </c>
      <c r="F655" s="54" t="str" cm="1">
        <f t="array" ref="F655">IFERROR(_xlfn.LET(
_xlpm.CSVVal,_xlfn.XLOOKUP($A655,CSV!$A:$A,CSV!E:E,""),
_xlpm.MacVal,_xlfn.XLOOKUP($A655,Output_Mac!$A:$A,Output_Mac!F:F,""),
_xlpm.MyAuditVal,_xlfn.XLOOKUP($A655,My_Audit!$A:$A,My_Audit!E:E,""),
_xlfn.IFS(_xlpm.MyAuditVal&lt;&gt;"",_xlpm.MyAuditVal,_xlpm.MacVal&lt;&gt;"",_xlpm.MacVal,_xlpm.CSVVal&lt;&gt;"",PROPER(_xlpm.CSVVal)
)),"")</f>
        <v/>
      </c>
      <c r="G655" s="54" t="str" cm="1">
        <f t="array" ref="G655">IFERROR(_xlfn.LET(
_xlpm.CSVVal,_xlfn.XLOOKUP($A655,CSV!$A:$A,CSV!F:F,""),
_xlpm.MacVal,_xlfn.XLOOKUP($A655,Output_Mac!$A:$A,Output_Mac!H:H,""),
_xlpm.MyAuditVal,_xlfn.XLOOKUP($A655,My_Audit!$A:$A,My_Audit!F:F,""),
_xlfn.IFS(_xlpm.MyAuditVal&lt;&gt;"",_xlpm.MyAuditVal,_xlpm.MacVal&lt;&gt;"",_xlpm.MacVal,_xlpm.CSVVal&lt;&gt;"",_xlpm.CSVVal
)),"")</f>
        <v/>
      </c>
      <c r="H655" s="54" t="str">
        <f>_xlfn.XLOOKUP(A655,Output_Mac!A:A,Output_Mac!I:I,"")</f>
        <v/>
      </c>
      <c r="I655" s="54" t="str" cm="1">
        <f t="array" ref="I655">IFERROR(_xlfn.LET(
_xlpm.CSVVal,_xlfn.XLOOKUP($A655,CSV!$A:$A,CSV!G:G,""),
_xlpm.MacVal,_xlfn.XLOOKUP($A655,Output_Mac!$A:$A,Output_Mac!J:J,""),
_xlpm.MyAuditVal,_xlfn.XLOOKUP($A655,My_Audit!$A:$A,My_Audit!H:H,""),
_xlfn.IFS(_xlpm.MyAuditVal&lt;&gt;"",UPPER(_xlpm.MyAuditVal),_xlpm.MacVal&lt;&gt;"",_xlpm.MacVal,_xlpm.CSVVal&lt;&gt;"",_xlpm.CSVVal
)),"")</f>
        <v/>
      </c>
      <c r="J655" s="54" t="str" cm="1">
        <f t="array" ref="J655">IFERROR(_xlfn.LET(
_xlpm.CSVVal,_xlfn.XLOOKUP($A655,CSV!$A:$A,CSV!I:I,""),
_xlpm.MacVal,_xlfn.XLOOKUP($A655,Output_Mac!$A:$A,Output_Mac!K:K,""),
_xlpm.MyAuditVal,_xlfn.XLOOKUP($A655,My_Audit!$A:$A,My_Audit!I:I,""),
_xlfn.IFS(_xlpm.MyAuditVal&lt;&gt;"",UPPER(_xlpm.MyAuditVal),_xlpm.MacVal&lt;&gt;"",_xlpm.MacVal,_xlpm.CSVVal&lt;&gt;"",_xlpm.CSVVal
)),"")</f>
        <v/>
      </c>
      <c r="K655" s="54" t="str" cm="1">
        <f t="array" ref="K655">IFERROR(_xlfn.LET(
_xlpm.CSVVal,_xlfn.XLOOKUP($A655,CSV!$A:$A,CSV!M:M,""),
_xlpm.MacVal,_xlfn.XLOOKUP($A655,Output_Mac!$A:$A,Output_Mac!L:L,""),
_xlpm.MyAuditVal,_xlfn.XLOOKUP($A655,My_Audit!$A:$A,My_Audit!J:J,""),
_xlfn.IFS(_xlpm.MyAuditVal&lt;&gt;"",UPPER(_xlpm.MyAuditVal),_xlpm.MacVal&lt;&gt;"",_xlpm.MacVal,_xlpm.CSVVal&lt;&gt;"",_xlpm.CSVVal
)),"")</f>
        <v/>
      </c>
      <c r="L655" s="54" t="str" cm="1">
        <f t="array" ref="L655">IFERROR(_xlfn.LET(
_xlpm.CSVVal,_xlfn.XLOOKUP($A655,CSV!$A:$A,CSV!O:O,""),
_xlpm.MacVal,_xlfn.XLOOKUP($A655,Output_Mac!$A:$A,Output_Mac!M:M,""),
_xlpm.MyAuditVal,_xlfn.XLOOKUP($A655,My_Audit!$A:$A,My_Audit!K:K,""),
_xlfn.IFS(_xlpm.MyAuditVal&lt;&gt;"",UPPER(_xlpm.MyAuditVal),_xlpm.MacVal&lt;&gt;"",_xlpm.MacVal,_xlpm.CSVVal&lt;&gt;"",_xlpm.CSVVal
)),"")</f>
        <v/>
      </c>
      <c r="M655" s="54" t="str">
        <f>_xlfn.LET(
    _xlpm.CSVVal, _xlfn.XLOOKUP($A655, CSV!$A:$A, CSV!AD:AD, ""),
    _xlpm.MacVal, _xlfn.XLOOKUP($A655, Output_Mac!$A:$A, Output_Mac!S:S, ""),
    _xlpm.MyAuditVal, _xlfn.XLOOKUP($A655, My_Audit!$A:$A, My_Audit!N:N, ""),
    _xlfn.TEXTJOIN(", ", TRUE, _xlpm.MyAuditVal, _xlpm.MacVal, _xlpm.CSVVal)
)</f>
        <v/>
      </c>
      <c r="N655" s="54" t="str" cm="1">
        <f t="array" ref="N655">IFERROR(_xlfn.LET(
_xlpm.CSVVal,_xlfn.XLOOKUP($A655,CSV!$A:$A,CSV!AF:AF,""),
_xlpm.MacVal,_xlfn.XLOOKUP($A655,Output_Mac!$A:$A,Output_Mac!U:U,""),
_xlpm.MyAuditVal,_xlfn.XLOOKUP($A655,My_Audit!$A:$A,My_Audit!O:O,""),
_xlfn.IFS(_xlpm.MyAuditVal&lt;&gt;"",UPPER(_xlpm.MyAuditVal),_xlpm.MacVal&lt;&gt;"",_xlpm.MacVal,_xlpm.CSVVal&lt;&gt;"",_xlpm.CSVVal
)),"")</f>
        <v/>
      </c>
      <c r="O655" s="54"/>
      <c r="P655" s="54"/>
      <c r="Q655" s="54"/>
      <c r="R655" s="54"/>
      <c r="S655" s="54"/>
      <c r="T655" s="54"/>
      <c r="U655" s="39"/>
    </row>
    <row r="656" spans="1:21">
      <c r="A656" s="54" t="str">
        <f>_xlfn.TEXTJOIN("",TRUE,Input!$B$2,ROW(My_Audit!A655))</f>
        <v>XX655</v>
      </c>
      <c r="B656" s="54" t="str">
        <f>_xlfn.TEXTJOIN("-",TRUE,"ITD",Input!$A$2,A656)</f>
        <v>ITD-SHRXXX-XX655</v>
      </c>
      <c r="C656" s="54" t="str" cm="1">
        <f t="array" ref="C656">IFERROR(_xlfn.LET(
_xlpm.CSVVal,_xlfn.XLOOKUP($A656,CSV!$A:$A,CSV!B:B,""),
_xlpm.MacVal,_xlfn.XLOOKUP($A656,Output_Mac!$A:$A,Output_Mac!B:B,""),
_xlpm.MyAuditVal,_xlfn.XLOOKUP($A656,My_Audit!$A:$A,My_Audit!B:B,""),
_xlfn.IFS(_xlpm.MyAuditVal&lt;&gt;"",UPPER(_xlpm.MyAuditVal),_xlpm.MacVal&lt;&gt;"",_xlpm.MacVal,_xlpm.CSVVal&lt;&gt;"",_xlpm.CSVVal
)),"")</f>
        <v/>
      </c>
      <c r="D656" s="55" t="str">
        <f>_xlfn.XLOOKUP(A656,My_Audit!A:A,My_Audit!D:D,"")&amp;""</f>
        <v/>
      </c>
      <c r="E656" s="55" t="str" cm="1">
        <f t="array" ref="E656">IFERROR(_xlfn.LET(
_xlpm.CSVVal,_xlfn.XLOOKUP($A656,CSV!$A:$A,CSV!D:D,""),
_xlpm.MacVal,_xlfn.XLOOKUP($A656,Output_Mac!$A:$A,Output_Mac!C:C,""),
_xlpm.MyAuditVal,_xlfn.XLOOKUP($A656,My_Audit!$A:$A,My_Audit!D:D,""),
_xlfn.IFS(_xlpm.MyAuditVal&lt;&gt;"",_xlpm.MyAuditVal,_xlpm.MacVal&lt;&gt;"",_xlpm.MacVal,_xlpm.CSVVal&lt;&gt;"",_xlpm.CSVVal
)),"")</f>
        <v/>
      </c>
      <c r="F656" s="54" t="str" cm="1">
        <f t="array" ref="F656">IFERROR(_xlfn.LET(
_xlpm.CSVVal,_xlfn.XLOOKUP($A656,CSV!$A:$A,CSV!E:E,""),
_xlpm.MacVal,_xlfn.XLOOKUP($A656,Output_Mac!$A:$A,Output_Mac!F:F,""),
_xlpm.MyAuditVal,_xlfn.XLOOKUP($A656,My_Audit!$A:$A,My_Audit!E:E,""),
_xlfn.IFS(_xlpm.MyAuditVal&lt;&gt;"",_xlpm.MyAuditVal,_xlpm.MacVal&lt;&gt;"",_xlpm.MacVal,_xlpm.CSVVal&lt;&gt;"",PROPER(_xlpm.CSVVal)
)),"")</f>
        <v/>
      </c>
      <c r="G656" s="54" t="str" cm="1">
        <f t="array" ref="G656">IFERROR(_xlfn.LET(
_xlpm.CSVVal,_xlfn.XLOOKUP($A656,CSV!$A:$A,CSV!F:F,""),
_xlpm.MacVal,_xlfn.XLOOKUP($A656,Output_Mac!$A:$A,Output_Mac!H:H,""),
_xlpm.MyAuditVal,_xlfn.XLOOKUP($A656,My_Audit!$A:$A,My_Audit!F:F,""),
_xlfn.IFS(_xlpm.MyAuditVal&lt;&gt;"",_xlpm.MyAuditVal,_xlpm.MacVal&lt;&gt;"",_xlpm.MacVal,_xlpm.CSVVal&lt;&gt;"",_xlpm.CSVVal
)),"")</f>
        <v/>
      </c>
      <c r="H656" s="54" t="str">
        <f>_xlfn.XLOOKUP(A656,Output_Mac!A:A,Output_Mac!I:I,"")</f>
        <v/>
      </c>
      <c r="I656" s="54" t="str" cm="1">
        <f t="array" ref="I656">IFERROR(_xlfn.LET(
_xlpm.CSVVal,_xlfn.XLOOKUP($A656,CSV!$A:$A,CSV!G:G,""),
_xlpm.MacVal,_xlfn.XLOOKUP($A656,Output_Mac!$A:$A,Output_Mac!J:J,""),
_xlpm.MyAuditVal,_xlfn.XLOOKUP($A656,My_Audit!$A:$A,My_Audit!H:H,""),
_xlfn.IFS(_xlpm.MyAuditVal&lt;&gt;"",UPPER(_xlpm.MyAuditVal),_xlpm.MacVal&lt;&gt;"",_xlpm.MacVal,_xlpm.CSVVal&lt;&gt;"",_xlpm.CSVVal
)),"")</f>
        <v/>
      </c>
      <c r="J656" s="54" t="str" cm="1">
        <f t="array" ref="J656">IFERROR(_xlfn.LET(
_xlpm.CSVVal,_xlfn.XLOOKUP($A656,CSV!$A:$A,CSV!I:I,""),
_xlpm.MacVal,_xlfn.XLOOKUP($A656,Output_Mac!$A:$A,Output_Mac!K:K,""),
_xlpm.MyAuditVal,_xlfn.XLOOKUP($A656,My_Audit!$A:$A,My_Audit!I:I,""),
_xlfn.IFS(_xlpm.MyAuditVal&lt;&gt;"",UPPER(_xlpm.MyAuditVal),_xlpm.MacVal&lt;&gt;"",_xlpm.MacVal,_xlpm.CSVVal&lt;&gt;"",_xlpm.CSVVal
)),"")</f>
        <v/>
      </c>
      <c r="K656" s="54" t="str" cm="1">
        <f t="array" ref="K656">IFERROR(_xlfn.LET(
_xlpm.CSVVal,_xlfn.XLOOKUP($A656,CSV!$A:$A,CSV!M:M,""),
_xlpm.MacVal,_xlfn.XLOOKUP($A656,Output_Mac!$A:$A,Output_Mac!L:L,""),
_xlpm.MyAuditVal,_xlfn.XLOOKUP($A656,My_Audit!$A:$A,My_Audit!J:J,""),
_xlfn.IFS(_xlpm.MyAuditVal&lt;&gt;"",UPPER(_xlpm.MyAuditVal),_xlpm.MacVal&lt;&gt;"",_xlpm.MacVal,_xlpm.CSVVal&lt;&gt;"",_xlpm.CSVVal
)),"")</f>
        <v/>
      </c>
      <c r="L656" s="54" t="str" cm="1">
        <f t="array" ref="L656">IFERROR(_xlfn.LET(
_xlpm.CSVVal,_xlfn.XLOOKUP($A656,CSV!$A:$A,CSV!O:O,""),
_xlpm.MacVal,_xlfn.XLOOKUP($A656,Output_Mac!$A:$A,Output_Mac!M:M,""),
_xlpm.MyAuditVal,_xlfn.XLOOKUP($A656,My_Audit!$A:$A,My_Audit!K:K,""),
_xlfn.IFS(_xlpm.MyAuditVal&lt;&gt;"",UPPER(_xlpm.MyAuditVal),_xlpm.MacVal&lt;&gt;"",_xlpm.MacVal,_xlpm.CSVVal&lt;&gt;"",_xlpm.CSVVal
)),"")</f>
        <v/>
      </c>
      <c r="M656" s="54" t="str">
        <f>_xlfn.LET(
    _xlpm.CSVVal, _xlfn.XLOOKUP($A656, CSV!$A:$A, CSV!AD:AD, ""),
    _xlpm.MacVal, _xlfn.XLOOKUP($A656, Output_Mac!$A:$A, Output_Mac!S:S, ""),
    _xlpm.MyAuditVal, _xlfn.XLOOKUP($A656, My_Audit!$A:$A, My_Audit!N:N, ""),
    _xlfn.TEXTJOIN(", ", TRUE, _xlpm.MyAuditVal, _xlpm.MacVal, _xlpm.CSVVal)
)</f>
        <v/>
      </c>
      <c r="N656" s="54" t="str" cm="1">
        <f t="array" ref="N656">IFERROR(_xlfn.LET(
_xlpm.CSVVal,_xlfn.XLOOKUP($A656,CSV!$A:$A,CSV!AF:AF,""),
_xlpm.MacVal,_xlfn.XLOOKUP($A656,Output_Mac!$A:$A,Output_Mac!U:U,""),
_xlpm.MyAuditVal,_xlfn.XLOOKUP($A656,My_Audit!$A:$A,My_Audit!O:O,""),
_xlfn.IFS(_xlpm.MyAuditVal&lt;&gt;"",UPPER(_xlpm.MyAuditVal),_xlpm.MacVal&lt;&gt;"",_xlpm.MacVal,_xlpm.CSVVal&lt;&gt;"",_xlpm.CSVVal
)),"")</f>
        <v/>
      </c>
      <c r="O656" s="54"/>
      <c r="P656" s="54"/>
      <c r="Q656" s="54"/>
      <c r="R656" s="54"/>
      <c r="S656" s="54"/>
      <c r="T656" s="54"/>
      <c r="U656" s="39"/>
    </row>
    <row r="657" spans="1:21">
      <c r="A657" s="54" t="str">
        <f>_xlfn.TEXTJOIN("",TRUE,Input!$B$2,ROW(My_Audit!A656))</f>
        <v>XX656</v>
      </c>
      <c r="B657" s="54" t="str">
        <f>_xlfn.TEXTJOIN("-",TRUE,"ITD",Input!$A$2,A657)</f>
        <v>ITD-SHRXXX-XX656</v>
      </c>
      <c r="C657" s="54" t="str" cm="1">
        <f t="array" ref="C657">IFERROR(_xlfn.LET(
_xlpm.CSVVal,_xlfn.XLOOKUP($A657,CSV!$A:$A,CSV!B:B,""),
_xlpm.MacVal,_xlfn.XLOOKUP($A657,Output_Mac!$A:$A,Output_Mac!B:B,""),
_xlpm.MyAuditVal,_xlfn.XLOOKUP($A657,My_Audit!$A:$A,My_Audit!B:B,""),
_xlfn.IFS(_xlpm.MyAuditVal&lt;&gt;"",UPPER(_xlpm.MyAuditVal),_xlpm.MacVal&lt;&gt;"",_xlpm.MacVal,_xlpm.CSVVal&lt;&gt;"",_xlpm.CSVVal
)),"")</f>
        <v/>
      </c>
      <c r="D657" s="55" t="str">
        <f>_xlfn.XLOOKUP(A657,My_Audit!A:A,My_Audit!D:D,"")&amp;""</f>
        <v/>
      </c>
      <c r="E657" s="55" t="str" cm="1">
        <f t="array" ref="E657">IFERROR(_xlfn.LET(
_xlpm.CSVVal,_xlfn.XLOOKUP($A657,CSV!$A:$A,CSV!D:D,""),
_xlpm.MacVal,_xlfn.XLOOKUP($A657,Output_Mac!$A:$A,Output_Mac!C:C,""),
_xlpm.MyAuditVal,_xlfn.XLOOKUP($A657,My_Audit!$A:$A,My_Audit!D:D,""),
_xlfn.IFS(_xlpm.MyAuditVal&lt;&gt;"",_xlpm.MyAuditVal,_xlpm.MacVal&lt;&gt;"",_xlpm.MacVal,_xlpm.CSVVal&lt;&gt;"",_xlpm.CSVVal
)),"")</f>
        <v/>
      </c>
      <c r="F657" s="54" t="str" cm="1">
        <f t="array" ref="F657">IFERROR(_xlfn.LET(
_xlpm.CSVVal,_xlfn.XLOOKUP($A657,CSV!$A:$A,CSV!E:E,""),
_xlpm.MacVal,_xlfn.XLOOKUP($A657,Output_Mac!$A:$A,Output_Mac!F:F,""),
_xlpm.MyAuditVal,_xlfn.XLOOKUP($A657,My_Audit!$A:$A,My_Audit!E:E,""),
_xlfn.IFS(_xlpm.MyAuditVal&lt;&gt;"",_xlpm.MyAuditVal,_xlpm.MacVal&lt;&gt;"",_xlpm.MacVal,_xlpm.CSVVal&lt;&gt;"",PROPER(_xlpm.CSVVal)
)),"")</f>
        <v/>
      </c>
      <c r="G657" s="54" t="str" cm="1">
        <f t="array" ref="G657">IFERROR(_xlfn.LET(
_xlpm.CSVVal,_xlfn.XLOOKUP($A657,CSV!$A:$A,CSV!F:F,""),
_xlpm.MacVal,_xlfn.XLOOKUP($A657,Output_Mac!$A:$A,Output_Mac!H:H,""),
_xlpm.MyAuditVal,_xlfn.XLOOKUP($A657,My_Audit!$A:$A,My_Audit!F:F,""),
_xlfn.IFS(_xlpm.MyAuditVal&lt;&gt;"",_xlpm.MyAuditVal,_xlpm.MacVal&lt;&gt;"",_xlpm.MacVal,_xlpm.CSVVal&lt;&gt;"",_xlpm.CSVVal
)),"")</f>
        <v/>
      </c>
      <c r="H657" s="54" t="str">
        <f>_xlfn.XLOOKUP(A657,Output_Mac!A:A,Output_Mac!I:I,"")</f>
        <v/>
      </c>
      <c r="I657" s="54" t="str" cm="1">
        <f t="array" ref="I657">IFERROR(_xlfn.LET(
_xlpm.CSVVal,_xlfn.XLOOKUP($A657,CSV!$A:$A,CSV!G:G,""),
_xlpm.MacVal,_xlfn.XLOOKUP($A657,Output_Mac!$A:$A,Output_Mac!J:J,""),
_xlpm.MyAuditVal,_xlfn.XLOOKUP($A657,My_Audit!$A:$A,My_Audit!H:H,""),
_xlfn.IFS(_xlpm.MyAuditVal&lt;&gt;"",UPPER(_xlpm.MyAuditVal),_xlpm.MacVal&lt;&gt;"",_xlpm.MacVal,_xlpm.CSVVal&lt;&gt;"",_xlpm.CSVVal
)),"")</f>
        <v/>
      </c>
      <c r="J657" s="54" t="str" cm="1">
        <f t="array" ref="J657">IFERROR(_xlfn.LET(
_xlpm.CSVVal,_xlfn.XLOOKUP($A657,CSV!$A:$A,CSV!I:I,""),
_xlpm.MacVal,_xlfn.XLOOKUP($A657,Output_Mac!$A:$A,Output_Mac!K:K,""),
_xlpm.MyAuditVal,_xlfn.XLOOKUP($A657,My_Audit!$A:$A,My_Audit!I:I,""),
_xlfn.IFS(_xlpm.MyAuditVal&lt;&gt;"",UPPER(_xlpm.MyAuditVal),_xlpm.MacVal&lt;&gt;"",_xlpm.MacVal,_xlpm.CSVVal&lt;&gt;"",_xlpm.CSVVal
)),"")</f>
        <v/>
      </c>
      <c r="K657" s="54" t="str" cm="1">
        <f t="array" ref="K657">IFERROR(_xlfn.LET(
_xlpm.CSVVal,_xlfn.XLOOKUP($A657,CSV!$A:$A,CSV!M:M,""),
_xlpm.MacVal,_xlfn.XLOOKUP($A657,Output_Mac!$A:$A,Output_Mac!L:L,""),
_xlpm.MyAuditVal,_xlfn.XLOOKUP($A657,My_Audit!$A:$A,My_Audit!J:J,""),
_xlfn.IFS(_xlpm.MyAuditVal&lt;&gt;"",UPPER(_xlpm.MyAuditVal),_xlpm.MacVal&lt;&gt;"",_xlpm.MacVal,_xlpm.CSVVal&lt;&gt;"",_xlpm.CSVVal
)),"")</f>
        <v/>
      </c>
      <c r="L657" s="54" t="str" cm="1">
        <f t="array" ref="L657">IFERROR(_xlfn.LET(
_xlpm.CSVVal,_xlfn.XLOOKUP($A657,CSV!$A:$A,CSV!O:O,""),
_xlpm.MacVal,_xlfn.XLOOKUP($A657,Output_Mac!$A:$A,Output_Mac!M:M,""),
_xlpm.MyAuditVal,_xlfn.XLOOKUP($A657,My_Audit!$A:$A,My_Audit!K:K,""),
_xlfn.IFS(_xlpm.MyAuditVal&lt;&gt;"",UPPER(_xlpm.MyAuditVal),_xlpm.MacVal&lt;&gt;"",_xlpm.MacVal,_xlpm.CSVVal&lt;&gt;"",_xlpm.CSVVal
)),"")</f>
        <v/>
      </c>
      <c r="M657" s="54" t="str">
        <f>_xlfn.LET(
    _xlpm.CSVVal, _xlfn.XLOOKUP($A657, CSV!$A:$A, CSV!AD:AD, ""),
    _xlpm.MacVal, _xlfn.XLOOKUP($A657, Output_Mac!$A:$A, Output_Mac!S:S, ""),
    _xlpm.MyAuditVal, _xlfn.XLOOKUP($A657, My_Audit!$A:$A, My_Audit!N:N, ""),
    _xlfn.TEXTJOIN(", ", TRUE, _xlpm.MyAuditVal, _xlpm.MacVal, _xlpm.CSVVal)
)</f>
        <v/>
      </c>
      <c r="N657" s="54" t="str" cm="1">
        <f t="array" ref="N657">IFERROR(_xlfn.LET(
_xlpm.CSVVal,_xlfn.XLOOKUP($A657,CSV!$A:$A,CSV!AF:AF,""),
_xlpm.MacVal,_xlfn.XLOOKUP($A657,Output_Mac!$A:$A,Output_Mac!U:U,""),
_xlpm.MyAuditVal,_xlfn.XLOOKUP($A657,My_Audit!$A:$A,My_Audit!O:O,""),
_xlfn.IFS(_xlpm.MyAuditVal&lt;&gt;"",UPPER(_xlpm.MyAuditVal),_xlpm.MacVal&lt;&gt;"",_xlpm.MacVal,_xlpm.CSVVal&lt;&gt;"",_xlpm.CSVVal
)),"")</f>
        <v/>
      </c>
      <c r="O657" s="54"/>
      <c r="P657" s="54"/>
      <c r="Q657" s="54"/>
      <c r="R657" s="54"/>
      <c r="S657" s="54"/>
      <c r="T657" s="54"/>
      <c r="U657" s="39"/>
    </row>
    <row r="658" spans="1:21">
      <c r="A658" s="54" t="str">
        <f>_xlfn.TEXTJOIN("",TRUE,Input!$B$2,ROW(My_Audit!A657))</f>
        <v>XX657</v>
      </c>
      <c r="B658" s="54" t="str">
        <f>_xlfn.TEXTJOIN("-",TRUE,"ITD",Input!$A$2,A658)</f>
        <v>ITD-SHRXXX-XX657</v>
      </c>
      <c r="C658" s="54" t="str" cm="1">
        <f t="array" ref="C658">IFERROR(_xlfn.LET(
_xlpm.CSVVal,_xlfn.XLOOKUP($A658,CSV!$A:$A,CSV!B:B,""),
_xlpm.MacVal,_xlfn.XLOOKUP($A658,Output_Mac!$A:$A,Output_Mac!B:B,""),
_xlpm.MyAuditVal,_xlfn.XLOOKUP($A658,My_Audit!$A:$A,My_Audit!B:B,""),
_xlfn.IFS(_xlpm.MyAuditVal&lt;&gt;"",UPPER(_xlpm.MyAuditVal),_xlpm.MacVal&lt;&gt;"",_xlpm.MacVal,_xlpm.CSVVal&lt;&gt;"",_xlpm.CSVVal
)),"")</f>
        <v/>
      </c>
      <c r="D658" s="55" t="str">
        <f>_xlfn.XLOOKUP(A658,My_Audit!A:A,My_Audit!D:D,"")&amp;""</f>
        <v/>
      </c>
      <c r="E658" s="55" t="str" cm="1">
        <f t="array" ref="E658">IFERROR(_xlfn.LET(
_xlpm.CSVVal,_xlfn.XLOOKUP($A658,CSV!$A:$A,CSV!D:D,""),
_xlpm.MacVal,_xlfn.XLOOKUP($A658,Output_Mac!$A:$A,Output_Mac!C:C,""),
_xlpm.MyAuditVal,_xlfn.XLOOKUP($A658,My_Audit!$A:$A,My_Audit!D:D,""),
_xlfn.IFS(_xlpm.MyAuditVal&lt;&gt;"",_xlpm.MyAuditVal,_xlpm.MacVal&lt;&gt;"",_xlpm.MacVal,_xlpm.CSVVal&lt;&gt;"",_xlpm.CSVVal
)),"")</f>
        <v/>
      </c>
      <c r="F658" s="54" t="str" cm="1">
        <f t="array" ref="F658">IFERROR(_xlfn.LET(
_xlpm.CSVVal,_xlfn.XLOOKUP($A658,CSV!$A:$A,CSV!E:E,""),
_xlpm.MacVal,_xlfn.XLOOKUP($A658,Output_Mac!$A:$A,Output_Mac!F:F,""),
_xlpm.MyAuditVal,_xlfn.XLOOKUP($A658,My_Audit!$A:$A,My_Audit!E:E,""),
_xlfn.IFS(_xlpm.MyAuditVal&lt;&gt;"",_xlpm.MyAuditVal,_xlpm.MacVal&lt;&gt;"",_xlpm.MacVal,_xlpm.CSVVal&lt;&gt;"",PROPER(_xlpm.CSVVal)
)),"")</f>
        <v/>
      </c>
      <c r="G658" s="54" t="str" cm="1">
        <f t="array" ref="G658">IFERROR(_xlfn.LET(
_xlpm.CSVVal,_xlfn.XLOOKUP($A658,CSV!$A:$A,CSV!F:F,""),
_xlpm.MacVal,_xlfn.XLOOKUP($A658,Output_Mac!$A:$A,Output_Mac!H:H,""),
_xlpm.MyAuditVal,_xlfn.XLOOKUP($A658,My_Audit!$A:$A,My_Audit!F:F,""),
_xlfn.IFS(_xlpm.MyAuditVal&lt;&gt;"",_xlpm.MyAuditVal,_xlpm.MacVal&lt;&gt;"",_xlpm.MacVal,_xlpm.CSVVal&lt;&gt;"",_xlpm.CSVVal
)),"")</f>
        <v/>
      </c>
      <c r="H658" s="54" t="str">
        <f>_xlfn.XLOOKUP(A658,Output_Mac!A:A,Output_Mac!I:I,"")</f>
        <v/>
      </c>
      <c r="I658" s="54" t="str" cm="1">
        <f t="array" ref="I658">IFERROR(_xlfn.LET(
_xlpm.CSVVal,_xlfn.XLOOKUP($A658,CSV!$A:$A,CSV!G:G,""),
_xlpm.MacVal,_xlfn.XLOOKUP($A658,Output_Mac!$A:$A,Output_Mac!J:J,""),
_xlpm.MyAuditVal,_xlfn.XLOOKUP($A658,My_Audit!$A:$A,My_Audit!H:H,""),
_xlfn.IFS(_xlpm.MyAuditVal&lt;&gt;"",UPPER(_xlpm.MyAuditVal),_xlpm.MacVal&lt;&gt;"",_xlpm.MacVal,_xlpm.CSVVal&lt;&gt;"",_xlpm.CSVVal
)),"")</f>
        <v/>
      </c>
      <c r="J658" s="54" t="str" cm="1">
        <f t="array" ref="J658">IFERROR(_xlfn.LET(
_xlpm.CSVVal,_xlfn.XLOOKUP($A658,CSV!$A:$A,CSV!I:I,""),
_xlpm.MacVal,_xlfn.XLOOKUP($A658,Output_Mac!$A:$A,Output_Mac!K:K,""),
_xlpm.MyAuditVal,_xlfn.XLOOKUP($A658,My_Audit!$A:$A,My_Audit!I:I,""),
_xlfn.IFS(_xlpm.MyAuditVal&lt;&gt;"",UPPER(_xlpm.MyAuditVal),_xlpm.MacVal&lt;&gt;"",_xlpm.MacVal,_xlpm.CSVVal&lt;&gt;"",_xlpm.CSVVal
)),"")</f>
        <v/>
      </c>
      <c r="K658" s="54" t="str" cm="1">
        <f t="array" ref="K658">IFERROR(_xlfn.LET(
_xlpm.CSVVal,_xlfn.XLOOKUP($A658,CSV!$A:$A,CSV!M:M,""),
_xlpm.MacVal,_xlfn.XLOOKUP($A658,Output_Mac!$A:$A,Output_Mac!L:L,""),
_xlpm.MyAuditVal,_xlfn.XLOOKUP($A658,My_Audit!$A:$A,My_Audit!J:J,""),
_xlfn.IFS(_xlpm.MyAuditVal&lt;&gt;"",UPPER(_xlpm.MyAuditVal),_xlpm.MacVal&lt;&gt;"",_xlpm.MacVal,_xlpm.CSVVal&lt;&gt;"",_xlpm.CSVVal
)),"")</f>
        <v/>
      </c>
      <c r="L658" s="54" t="str" cm="1">
        <f t="array" ref="L658">IFERROR(_xlfn.LET(
_xlpm.CSVVal,_xlfn.XLOOKUP($A658,CSV!$A:$A,CSV!O:O,""),
_xlpm.MacVal,_xlfn.XLOOKUP($A658,Output_Mac!$A:$A,Output_Mac!M:M,""),
_xlpm.MyAuditVal,_xlfn.XLOOKUP($A658,My_Audit!$A:$A,My_Audit!K:K,""),
_xlfn.IFS(_xlpm.MyAuditVal&lt;&gt;"",UPPER(_xlpm.MyAuditVal),_xlpm.MacVal&lt;&gt;"",_xlpm.MacVal,_xlpm.CSVVal&lt;&gt;"",_xlpm.CSVVal
)),"")</f>
        <v/>
      </c>
      <c r="M658" s="54" t="str">
        <f>_xlfn.LET(
    _xlpm.CSVVal, _xlfn.XLOOKUP($A658, CSV!$A:$A, CSV!AD:AD, ""),
    _xlpm.MacVal, _xlfn.XLOOKUP($A658, Output_Mac!$A:$A, Output_Mac!S:S, ""),
    _xlpm.MyAuditVal, _xlfn.XLOOKUP($A658, My_Audit!$A:$A, My_Audit!N:N, ""),
    _xlfn.TEXTJOIN(", ", TRUE, _xlpm.MyAuditVal, _xlpm.MacVal, _xlpm.CSVVal)
)</f>
        <v/>
      </c>
      <c r="N658" s="54" t="str" cm="1">
        <f t="array" ref="N658">IFERROR(_xlfn.LET(
_xlpm.CSVVal,_xlfn.XLOOKUP($A658,CSV!$A:$A,CSV!AF:AF,""),
_xlpm.MacVal,_xlfn.XLOOKUP($A658,Output_Mac!$A:$A,Output_Mac!U:U,""),
_xlpm.MyAuditVal,_xlfn.XLOOKUP($A658,My_Audit!$A:$A,My_Audit!O:O,""),
_xlfn.IFS(_xlpm.MyAuditVal&lt;&gt;"",UPPER(_xlpm.MyAuditVal),_xlpm.MacVal&lt;&gt;"",_xlpm.MacVal,_xlpm.CSVVal&lt;&gt;"",_xlpm.CSVVal
)),"")</f>
        <v/>
      </c>
      <c r="O658" s="54"/>
      <c r="P658" s="54"/>
      <c r="Q658" s="54"/>
      <c r="R658" s="54"/>
      <c r="S658" s="54"/>
      <c r="T658" s="54"/>
      <c r="U658" s="39"/>
    </row>
    <row r="659" spans="1:21">
      <c r="A659" s="54" t="str">
        <f>_xlfn.TEXTJOIN("",TRUE,Input!$B$2,ROW(My_Audit!A658))</f>
        <v>XX658</v>
      </c>
      <c r="B659" s="54" t="str">
        <f>_xlfn.TEXTJOIN("-",TRUE,"ITD",Input!$A$2,A659)</f>
        <v>ITD-SHRXXX-XX658</v>
      </c>
      <c r="C659" s="54" t="str" cm="1">
        <f t="array" ref="C659">IFERROR(_xlfn.LET(
_xlpm.CSVVal,_xlfn.XLOOKUP($A659,CSV!$A:$A,CSV!B:B,""),
_xlpm.MacVal,_xlfn.XLOOKUP($A659,Output_Mac!$A:$A,Output_Mac!B:B,""),
_xlpm.MyAuditVal,_xlfn.XLOOKUP($A659,My_Audit!$A:$A,My_Audit!B:B,""),
_xlfn.IFS(_xlpm.MyAuditVal&lt;&gt;"",UPPER(_xlpm.MyAuditVal),_xlpm.MacVal&lt;&gt;"",_xlpm.MacVal,_xlpm.CSVVal&lt;&gt;"",_xlpm.CSVVal
)),"")</f>
        <v/>
      </c>
      <c r="D659" s="55" t="str">
        <f>_xlfn.XLOOKUP(A659,My_Audit!A:A,My_Audit!D:D,"")&amp;""</f>
        <v/>
      </c>
      <c r="E659" s="55" t="str" cm="1">
        <f t="array" ref="E659">IFERROR(_xlfn.LET(
_xlpm.CSVVal,_xlfn.XLOOKUP($A659,CSV!$A:$A,CSV!D:D,""),
_xlpm.MacVal,_xlfn.XLOOKUP($A659,Output_Mac!$A:$A,Output_Mac!C:C,""),
_xlpm.MyAuditVal,_xlfn.XLOOKUP($A659,My_Audit!$A:$A,My_Audit!D:D,""),
_xlfn.IFS(_xlpm.MyAuditVal&lt;&gt;"",_xlpm.MyAuditVal,_xlpm.MacVal&lt;&gt;"",_xlpm.MacVal,_xlpm.CSVVal&lt;&gt;"",_xlpm.CSVVal
)),"")</f>
        <v/>
      </c>
      <c r="F659" s="54" t="str" cm="1">
        <f t="array" ref="F659">IFERROR(_xlfn.LET(
_xlpm.CSVVal,_xlfn.XLOOKUP($A659,CSV!$A:$A,CSV!E:E,""),
_xlpm.MacVal,_xlfn.XLOOKUP($A659,Output_Mac!$A:$A,Output_Mac!F:F,""),
_xlpm.MyAuditVal,_xlfn.XLOOKUP($A659,My_Audit!$A:$A,My_Audit!E:E,""),
_xlfn.IFS(_xlpm.MyAuditVal&lt;&gt;"",_xlpm.MyAuditVal,_xlpm.MacVal&lt;&gt;"",_xlpm.MacVal,_xlpm.CSVVal&lt;&gt;"",PROPER(_xlpm.CSVVal)
)),"")</f>
        <v/>
      </c>
      <c r="G659" s="54" t="str" cm="1">
        <f t="array" ref="G659">IFERROR(_xlfn.LET(
_xlpm.CSVVal,_xlfn.XLOOKUP($A659,CSV!$A:$A,CSV!F:F,""),
_xlpm.MacVal,_xlfn.XLOOKUP($A659,Output_Mac!$A:$A,Output_Mac!H:H,""),
_xlpm.MyAuditVal,_xlfn.XLOOKUP($A659,My_Audit!$A:$A,My_Audit!F:F,""),
_xlfn.IFS(_xlpm.MyAuditVal&lt;&gt;"",_xlpm.MyAuditVal,_xlpm.MacVal&lt;&gt;"",_xlpm.MacVal,_xlpm.CSVVal&lt;&gt;"",_xlpm.CSVVal
)),"")</f>
        <v/>
      </c>
      <c r="H659" s="54" t="str">
        <f>_xlfn.XLOOKUP(A659,Output_Mac!A:A,Output_Mac!I:I,"")</f>
        <v/>
      </c>
      <c r="I659" s="54" t="str" cm="1">
        <f t="array" ref="I659">IFERROR(_xlfn.LET(
_xlpm.CSVVal,_xlfn.XLOOKUP($A659,CSV!$A:$A,CSV!G:G,""),
_xlpm.MacVal,_xlfn.XLOOKUP($A659,Output_Mac!$A:$A,Output_Mac!J:J,""),
_xlpm.MyAuditVal,_xlfn.XLOOKUP($A659,My_Audit!$A:$A,My_Audit!H:H,""),
_xlfn.IFS(_xlpm.MyAuditVal&lt;&gt;"",UPPER(_xlpm.MyAuditVal),_xlpm.MacVal&lt;&gt;"",_xlpm.MacVal,_xlpm.CSVVal&lt;&gt;"",_xlpm.CSVVal
)),"")</f>
        <v/>
      </c>
      <c r="J659" s="54" t="str" cm="1">
        <f t="array" ref="J659">IFERROR(_xlfn.LET(
_xlpm.CSVVal,_xlfn.XLOOKUP($A659,CSV!$A:$A,CSV!I:I,""),
_xlpm.MacVal,_xlfn.XLOOKUP($A659,Output_Mac!$A:$A,Output_Mac!K:K,""),
_xlpm.MyAuditVal,_xlfn.XLOOKUP($A659,My_Audit!$A:$A,My_Audit!I:I,""),
_xlfn.IFS(_xlpm.MyAuditVal&lt;&gt;"",UPPER(_xlpm.MyAuditVal),_xlpm.MacVal&lt;&gt;"",_xlpm.MacVal,_xlpm.CSVVal&lt;&gt;"",_xlpm.CSVVal
)),"")</f>
        <v/>
      </c>
      <c r="K659" s="54" t="str" cm="1">
        <f t="array" ref="K659">IFERROR(_xlfn.LET(
_xlpm.CSVVal,_xlfn.XLOOKUP($A659,CSV!$A:$A,CSV!M:M,""),
_xlpm.MacVal,_xlfn.XLOOKUP($A659,Output_Mac!$A:$A,Output_Mac!L:L,""),
_xlpm.MyAuditVal,_xlfn.XLOOKUP($A659,My_Audit!$A:$A,My_Audit!J:J,""),
_xlfn.IFS(_xlpm.MyAuditVal&lt;&gt;"",UPPER(_xlpm.MyAuditVal),_xlpm.MacVal&lt;&gt;"",_xlpm.MacVal,_xlpm.CSVVal&lt;&gt;"",_xlpm.CSVVal
)),"")</f>
        <v/>
      </c>
      <c r="L659" s="54" t="str" cm="1">
        <f t="array" ref="L659">IFERROR(_xlfn.LET(
_xlpm.CSVVal,_xlfn.XLOOKUP($A659,CSV!$A:$A,CSV!O:O,""),
_xlpm.MacVal,_xlfn.XLOOKUP($A659,Output_Mac!$A:$A,Output_Mac!M:M,""),
_xlpm.MyAuditVal,_xlfn.XLOOKUP($A659,My_Audit!$A:$A,My_Audit!K:K,""),
_xlfn.IFS(_xlpm.MyAuditVal&lt;&gt;"",UPPER(_xlpm.MyAuditVal),_xlpm.MacVal&lt;&gt;"",_xlpm.MacVal,_xlpm.CSVVal&lt;&gt;"",_xlpm.CSVVal
)),"")</f>
        <v/>
      </c>
      <c r="M659" s="54" t="str">
        <f>_xlfn.LET(
    _xlpm.CSVVal, _xlfn.XLOOKUP($A659, CSV!$A:$A, CSV!AD:AD, ""),
    _xlpm.MacVal, _xlfn.XLOOKUP($A659, Output_Mac!$A:$A, Output_Mac!S:S, ""),
    _xlpm.MyAuditVal, _xlfn.XLOOKUP($A659, My_Audit!$A:$A, My_Audit!N:N, ""),
    _xlfn.TEXTJOIN(", ", TRUE, _xlpm.MyAuditVal, _xlpm.MacVal, _xlpm.CSVVal)
)</f>
        <v/>
      </c>
      <c r="N659" s="54" t="str" cm="1">
        <f t="array" ref="N659">IFERROR(_xlfn.LET(
_xlpm.CSVVal,_xlfn.XLOOKUP($A659,CSV!$A:$A,CSV!AF:AF,""),
_xlpm.MacVal,_xlfn.XLOOKUP($A659,Output_Mac!$A:$A,Output_Mac!U:U,""),
_xlpm.MyAuditVal,_xlfn.XLOOKUP($A659,My_Audit!$A:$A,My_Audit!O:O,""),
_xlfn.IFS(_xlpm.MyAuditVal&lt;&gt;"",UPPER(_xlpm.MyAuditVal),_xlpm.MacVal&lt;&gt;"",_xlpm.MacVal,_xlpm.CSVVal&lt;&gt;"",_xlpm.CSVVal
)),"")</f>
        <v/>
      </c>
      <c r="O659" s="54"/>
      <c r="P659" s="54"/>
      <c r="Q659" s="54"/>
      <c r="R659" s="54"/>
      <c r="S659" s="54"/>
      <c r="T659" s="54"/>
      <c r="U659" s="39"/>
    </row>
    <row r="660" spans="1:21">
      <c r="A660" s="54" t="str">
        <f>_xlfn.TEXTJOIN("",TRUE,Input!$B$2,ROW(My_Audit!A659))</f>
        <v>XX659</v>
      </c>
      <c r="B660" s="54" t="str">
        <f>_xlfn.TEXTJOIN("-",TRUE,"ITD",Input!$A$2,A660)</f>
        <v>ITD-SHRXXX-XX659</v>
      </c>
      <c r="C660" s="54" t="str" cm="1">
        <f t="array" ref="C660">IFERROR(_xlfn.LET(
_xlpm.CSVVal,_xlfn.XLOOKUP($A660,CSV!$A:$A,CSV!B:B,""),
_xlpm.MacVal,_xlfn.XLOOKUP($A660,Output_Mac!$A:$A,Output_Mac!B:B,""),
_xlpm.MyAuditVal,_xlfn.XLOOKUP($A660,My_Audit!$A:$A,My_Audit!B:B,""),
_xlfn.IFS(_xlpm.MyAuditVal&lt;&gt;"",UPPER(_xlpm.MyAuditVal),_xlpm.MacVal&lt;&gt;"",_xlpm.MacVal,_xlpm.CSVVal&lt;&gt;"",_xlpm.CSVVal
)),"")</f>
        <v/>
      </c>
      <c r="D660" s="55" t="str">
        <f>_xlfn.XLOOKUP(A660,My_Audit!A:A,My_Audit!D:D,"")&amp;""</f>
        <v/>
      </c>
      <c r="E660" s="55" t="str" cm="1">
        <f t="array" ref="E660">IFERROR(_xlfn.LET(
_xlpm.CSVVal,_xlfn.XLOOKUP($A660,CSV!$A:$A,CSV!D:D,""),
_xlpm.MacVal,_xlfn.XLOOKUP($A660,Output_Mac!$A:$A,Output_Mac!C:C,""),
_xlpm.MyAuditVal,_xlfn.XLOOKUP($A660,My_Audit!$A:$A,My_Audit!D:D,""),
_xlfn.IFS(_xlpm.MyAuditVal&lt;&gt;"",_xlpm.MyAuditVal,_xlpm.MacVal&lt;&gt;"",_xlpm.MacVal,_xlpm.CSVVal&lt;&gt;"",_xlpm.CSVVal
)),"")</f>
        <v/>
      </c>
      <c r="F660" s="54" t="str" cm="1">
        <f t="array" ref="F660">IFERROR(_xlfn.LET(
_xlpm.CSVVal,_xlfn.XLOOKUP($A660,CSV!$A:$A,CSV!E:E,""),
_xlpm.MacVal,_xlfn.XLOOKUP($A660,Output_Mac!$A:$A,Output_Mac!F:F,""),
_xlpm.MyAuditVal,_xlfn.XLOOKUP($A660,My_Audit!$A:$A,My_Audit!E:E,""),
_xlfn.IFS(_xlpm.MyAuditVal&lt;&gt;"",_xlpm.MyAuditVal,_xlpm.MacVal&lt;&gt;"",_xlpm.MacVal,_xlpm.CSVVal&lt;&gt;"",PROPER(_xlpm.CSVVal)
)),"")</f>
        <v/>
      </c>
      <c r="G660" s="54" t="str" cm="1">
        <f t="array" ref="G660">IFERROR(_xlfn.LET(
_xlpm.CSVVal,_xlfn.XLOOKUP($A660,CSV!$A:$A,CSV!F:F,""),
_xlpm.MacVal,_xlfn.XLOOKUP($A660,Output_Mac!$A:$A,Output_Mac!H:H,""),
_xlpm.MyAuditVal,_xlfn.XLOOKUP($A660,My_Audit!$A:$A,My_Audit!F:F,""),
_xlfn.IFS(_xlpm.MyAuditVal&lt;&gt;"",_xlpm.MyAuditVal,_xlpm.MacVal&lt;&gt;"",_xlpm.MacVal,_xlpm.CSVVal&lt;&gt;"",_xlpm.CSVVal
)),"")</f>
        <v/>
      </c>
      <c r="H660" s="54" t="str">
        <f>_xlfn.XLOOKUP(A660,Output_Mac!A:A,Output_Mac!I:I,"")</f>
        <v/>
      </c>
      <c r="I660" s="54" t="str" cm="1">
        <f t="array" ref="I660">IFERROR(_xlfn.LET(
_xlpm.CSVVal,_xlfn.XLOOKUP($A660,CSV!$A:$A,CSV!G:G,""),
_xlpm.MacVal,_xlfn.XLOOKUP($A660,Output_Mac!$A:$A,Output_Mac!J:J,""),
_xlpm.MyAuditVal,_xlfn.XLOOKUP($A660,My_Audit!$A:$A,My_Audit!H:H,""),
_xlfn.IFS(_xlpm.MyAuditVal&lt;&gt;"",UPPER(_xlpm.MyAuditVal),_xlpm.MacVal&lt;&gt;"",_xlpm.MacVal,_xlpm.CSVVal&lt;&gt;"",_xlpm.CSVVal
)),"")</f>
        <v/>
      </c>
      <c r="J660" s="54" t="str" cm="1">
        <f t="array" ref="J660">IFERROR(_xlfn.LET(
_xlpm.CSVVal,_xlfn.XLOOKUP($A660,CSV!$A:$A,CSV!I:I,""),
_xlpm.MacVal,_xlfn.XLOOKUP($A660,Output_Mac!$A:$A,Output_Mac!K:K,""),
_xlpm.MyAuditVal,_xlfn.XLOOKUP($A660,My_Audit!$A:$A,My_Audit!I:I,""),
_xlfn.IFS(_xlpm.MyAuditVal&lt;&gt;"",UPPER(_xlpm.MyAuditVal),_xlpm.MacVal&lt;&gt;"",_xlpm.MacVal,_xlpm.CSVVal&lt;&gt;"",_xlpm.CSVVal
)),"")</f>
        <v/>
      </c>
      <c r="K660" s="54" t="str" cm="1">
        <f t="array" ref="K660">IFERROR(_xlfn.LET(
_xlpm.CSVVal,_xlfn.XLOOKUP($A660,CSV!$A:$A,CSV!M:M,""),
_xlpm.MacVal,_xlfn.XLOOKUP($A660,Output_Mac!$A:$A,Output_Mac!L:L,""),
_xlpm.MyAuditVal,_xlfn.XLOOKUP($A660,My_Audit!$A:$A,My_Audit!J:J,""),
_xlfn.IFS(_xlpm.MyAuditVal&lt;&gt;"",UPPER(_xlpm.MyAuditVal),_xlpm.MacVal&lt;&gt;"",_xlpm.MacVal,_xlpm.CSVVal&lt;&gt;"",_xlpm.CSVVal
)),"")</f>
        <v/>
      </c>
      <c r="L660" s="54" t="str" cm="1">
        <f t="array" ref="L660">IFERROR(_xlfn.LET(
_xlpm.CSVVal,_xlfn.XLOOKUP($A660,CSV!$A:$A,CSV!O:O,""),
_xlpm.MacVal,_xlfn.XLOOKUP($A660,Output_Mac!$A:$A,Output_Mac!M:M,""),
_xlpm.MyAuditVal,_xlfn.XLOOKUP($A660,My_Audit!$A:$A,My_Audit!K:K,""),
_xlfn.IFS(_xlpm.MyAuditVal&lt;&gt;"",UPPER(_xlpm.MyAuditVal),_xlpm.MacVal&lt;&gt;"",_xlpm.MacVal,_xlpm.CSVVal&lt;&gt;"",_xlpm.CSVVal
)),"")</f>
        <v/>
      </c>
      <c r="M660" s="54" t="str">
        <f>_xlfn.LET(
    _xlpm.CSVVal, _xlfn.XLOOKUP($A660, CSV!$A:$A, CSV!AD:AD, ""),
    _xlpm.MacVal, _xlfn.XLOOKUP($A660, Output_Mac!$A:$A, Output_Mac!S:S, ""),
    _xlpm.MyAuditVal, _xlfn.XLOOKUP($A660, My_Audit!$A:$A, My_Audit!N:N, ""),
    _xlfn.TEXTJOIN(", ", TRUE, _xlpm.MyAuditVal, _xlpm.MacVal, _xlpm.CSVVal)
)</f>
        <v/>
      </c>
      <c r="N660" s="54" t="str" cm="1">
        <f t="array" ref="N660">IFERROR(_xlfn.LET(
_xlpm.CSVVal,_xlfn.XLOOKUP($A660,CSV!$A:$A,CSV!AF:AF,""),
_xlpm.MacVal,_xlfn.XLOOKUP($A660,Output_Mac!$A:$A,Output_Mac!U:U,""),
_xlpm.MyAuditVal,_xlfn.XLOOKUP($A660,My_Audit!$A:$A,My_Audit!O:O,""),
_xlfn.IFS(_xlpm.MyAuditVal&lt;&gt;"",UPPER(_xlpm.MyAuditVal),_xlpm.MacVal&lt;&gt;"",_xlpm.MacVal,_xlpm.CSVVal&lt;&gt;"",_xlpm.CSVVal
)),"")</f>
        <v/>
      </c>
      <c r="O660" s="54"/>
      <c r="P660" s="54"/>
      <c r="Q660" s="54"/>
      <c r="R660" s="54"/>
      <c r="S660" s="54"/>
      <c r="T660" s="54"/>
      <c r="U660" s="39"/>
    </row>
    <row r="661" spans="1:21">
      <c r="A661" s="54" t="str">
        <f>_xlfn.TEXTJOIN("",TRUE,Input!$B$2,ROW(My_Audit!A660))</f>
        <v>XX660</v>
      </c>
      <c r="B661" s="54" t="str">
        <f>_xlfn.TEXTJOIN("-",TRUE,"ITD",Input!$A$2,A661)</f>
        <v>ITD-SHRXXX-XX660</v>
      </c>
      <c r="C661" s="54" t="str" cm="1">
        <f t="array" ref="C661">IFERROR(_xlfn.LET(
_xlpm.CSVVal,_xlfn.XLOOKUP($A661,CSV!$A:$A,CSV!B:B,""),
_xlpm.MacVal,_xlfn.XLOOKUP($A661,Output_Mac!$A:$A,Output_Mac!B:B,""),
_xlpm.MyAuditVal,_xlfn.XLOOKUP($A661,My_Audit!$A:$A,My_Audit!B:B,""),
_xlfn.IFS(_xlpm.MyAuditVal&lt;&gt;"",UPPER(_xlpm.MyAuditVal),_xlpm.MacVal&lt;&gt;"",_xlpm.MacVal,_xlpm.CSVVal&lt;&gt;"",_xlpm.CSVVal
)),"")</f>
        <v/>
      </c>
      <c r="D661" s="55" t="str">
        <f>_xlfn.XLOOKUP(A661,My_Audit!A:A,My_Audit!D:D,"")&amp;""</f>
        <v/>
      </c>
      <c r="E661" s="55" t="str" cm="1">
        <f t="array" ref="E661">IFERROR(_xlfn.LET(
_xlpm.CSVVal,_xlfn.XLOOKUP($A661,CSV!$A:$A,CSV!D:D,""),
_xlpm.MacVal,_xlfn.XLOOKUP($A661,Output_Mac!$A:$A,Output_Mac!C:C,""),
_xlpm.MyAuditVal,_xlfn.XLOOKUP($A661,My_Audit!$A:$A,My_Audit!D:D,""),
_xlfn.IFS(_xlpm.MyAuditVal&lt;&gt;"",_xlpm.MyAuditVal,_xlpm.MacVal&lt;&gt;"",_xlpm.MacVal,_xlpm.CSVVal&lt;&gt;"",_xlpm.CSVVal
)),"")</f>
        <v/>
      </c>
      <c r="F661" s="54" t="str" cm="1">
        <f t="array" ref="F661">IFERROR(_xlfn.LET(
_xlpm.CSVVal,_xlfn.XLOOKUP($A661,CSV!$A:$A,CSV!E:E,""),
_xlpm.MacVal,_xlfn.XLOOKUP($A661,Output_Mac!$A:$A,Output_Mac!F:F,""),
_xlpm.MyAuditVal,_xlfn.XLOOKUP($A661,My_Audit!$A:$A,My_Audit!E:E,""),
_xlfn.IFS(_xlpm.MyAuditVal&lt;&gt;"",_xlpm.MyAuditVal,_xlpm.MacVal&lt;&gt;"",_xlpm.MacVal,_xlpm.CSVVal&lt;&gt;"",PROPER(_xlpm.CSVVal)
)),"")</f>
        <v/>
      </c>
      <c r="G661" s="54" t="str" cm="1">
        <f t="array" ref="G661">IFERROR(_xlfn.LET(
_xlpm.CSVVal,_xlfn.XLOOKUP($A661,CSV!$A:$A,CSV!F:F,""),
_xlpm.MacVal,_xlfn.XLOOKUP($A661,Output_Mac!$A:$A,Output_Mac!H:H,""),
_xlpm.MyAuditVal,_xlfn.XLOOKUP($A661,My_Audit!$A:$A,My_Audit!F:F,""),
_xlfn.IFS(_xlpm.MyAuditVal&lt;&gt;"",_xlpm.MyAuditVal,_xlpm.MacVal&lt;&gt;"",_xlpm.MacVal,_xlpm.CSVVal&lt;&gt;"",_xlpm.CSVVal
)),"")</f>
        <v/>
      </c>
      <c r="H661" s="54" t="str">
        <f>_xlfn.XLOOKUP(A661,Output_Mac!A:A,Output_Mac!I:I,"")</f>
        <v/>
      </c>
      <c r="I661" s="54" t="str" cm="1">
        <f t="array" ref="I661">IFERROR(_xlfn.LET(
_xlpm.CSVVal,_xlfn.XLOOKUP($A661,CSV!$A:$A,CSV!G:G,""),
_xlpm.MacVal,_xlfn.XLOOKUP($A661,Output_Mac!$A:$A,Output_Mac!J:J,""),
_xlpm.MyAuditVal,_xlfn.XLOOKUP($A661,My_Audit!$A:$A,My_Audit!H:H,""),
_xlfn.IFS(_xlpm.MyAuditVal&lt;&gt;"",UPPER(_xlpm.MyAuditVal),_xlpm.MacVal&lt;&gt;"",_xlpm.MacVal,_xlpm.CSVVal&lt;&gt;"",_xlpm.CSVVal
)),"")</f>
        <v/>
      </c>
      <c r="J661" s="54" t="str" cm="1">
        <f t="array" ref="J661">IFERROR(_xlfn.LET(
_xlpm.CSVVal,_xlfn.XLOOKUP($A661,CSV!$A:$A,CSV!I:I,""),
_xlpm.MacVal,_xlfn.XLOOKUP($A661,Output_Mac!$A:$A,Output_Mac!K:K,""),
_xlpm.MyAuditVal,_xlfn.XLOOKUP($A661,My_Audit!$A:$A,My_Audit!I:I,""),
_xlfn.IFS(_xlpm.MyAuditVal&lt;&gt;"",UPPER(_xlpm.MyAuditVal),_xlpm.MacVal&lt;&gt;"",_xlpm.MacVal,_xlpm.CSVVal&lt;&gt;"",_xlpm.CSVVal
)),"")</f>
        <v/>
      </c>
      <c r="K661" s="54" t="str" cm="1">
        <f t="array" ref="K661">IFERROR(_xlfn.LET(
_xlpm.CSVVal,_xlfn.XLOOKUP($A661,CSV!$A:$A,CSV!M:M,""),
_xlpm.MacVal,_xlfn.XLOOKUP($A661,Output_Mac!$A:$A,Output_Mac!L:L,""),
_xlpm.MyAuditVal,_xlfn.XLOOKUP($A661,My_Audit!$A:$A,My_Audit!J:J,""),
_xlfn.IFS(_xlpm.MyAuditVal&lt;&gt;"",UPPER(_xlpm.MyAuditVal),_xlpm.MacVal&lt;&gt;"",_xlpm.MacVal,_xlpm.CSVVal&lt;&gt;"",_xlpm.CSVVal
)),"")</f>
        <v/>
      </c>
      <c r="L661" s="54" t="str" cm="1">
        <f t="array" ref="L661">IFERROR(_xlfn.LET(
_xlpm.CSVVal,_xlfn.XLOOKUP($A661,CSV!$A:$A,CSV!O:O,""),
_xlpm.MacVal,_xlfn.XLOOKUP($A661,Output_Mac!$A:$A,Output_Mac!M:M,""),
_xlpm.MyAuditVal,_xlfn.XLOOKUP($A661,My_Audit!$A:$A,My_Audit!K:K,""),
_xlfn.IFS(_xlpm.MyAuditVal&lt;&gt;"",UPPER(_xlpm.MyAuditVal),_xlpm.MacVal&lt;&gt;"",_xlpm.MacVal,_xlpm.CSVVal&lt;&gt;"",_xlpm.CSVVal
)),"")</f>
        <v/>
      </c>
      <c r="M661" s="54" t="str">
        <f>_xlfn.LET(
    _xlpm.CSVVal, _xlfn.XLOOKUP($A661, CSV!$A:$A, CSV!AD:AD, ""),
    _xlpm.MacVal, _xlfn.XLOOKUP($A661, Output_Mac!$A:$A, Output_Mac!S:S, ""),
    _xlpm.MyAuditVal, _xlfn.XLOOKUP($A661, My_Audit!$A:$A, My_Audit!N:N, ""),
    _xlfn.TEXTJOIN(", ", TRUE, _xlpm.MyAuditVal, _xlpm.MacVal, _xlpm.CSVVal)
)</f>
        <v/>
      </c>
      <c r="N661" s="54" t="str" cm="1">
        <f t="array" ref="N661">IFERROR(_xlfn.LET(
_xlpm.CSVVal,_xlfn.XLOOKUP($A661,CSV!$A:$A,CSV!AF:AF,""),
_xlpm.MacVal,_xlfn.XLOOKUP($A661,Output_Mac!$A:$A,Output_Mac!U:U,""),
_xlpm.MyAuditVal,_xlfn.XLOOKUP($A661,My_Audit!$A:$A,My_Audit!O:O,""),
_xlfn.IFS(_xlpm.MyAuditVal&lt;&gt;"",UPPER(_xlpm.MyAuditVal),_xlpm.MacVal&lt;&gt;"",_xlpm.MacVal,_xlpm.CSVVal&lt;&gt;"",_xlpm.CSVVal
)),"")</f>
        <v/>
      </c>
      <c r="O661" s="54"/>
      <c r="P661" s="54"/>
      <c r="Q661" s="54"/>
      <c r="R661" s="54"/>
      <c r="S661" s="54"/>
      <c r="T661" s="54"/>
      <c r="U661" s="39"/>
    </row>
    <row r="662" spans="1:21">
      <c r="A662" s="54" t="str">
        <f>_xlfn.TEXTJOIN("",TRUE,Input!$B$2,ROW(My_Audit!A661))</f>
        <v>XX661</v>
      </c>
      <c r="B662" s="54" t="str">
        <f>_xlfn.TEXTJOIN("-",TRUE,"ITD",Input!$A$2,A662)</f>
        <v>ITD-SHRXXX-XX661</v>
      </c>
      <c r="C662" s="54" t="str" cm="1">
        <f t="array" ref="C662">IFERROR(_xlfn.LET(
_xlpm.CSVVal,_xlfn.XLOOKUP($A662,CSV!$A:$A,CSV!B:B,""),
_xlpm.MacVal,_xlfn.XLOOKUP($A662,Output_Mac!$A:$A,Output_Mac!B:B,""),
_xlpm.MyAuditVal,_xlfn.XLOOKUP($A662,My_Audit!$A:$A,My_Audit!B:B,""),
_xlfn.IFS(_xlpm.MyAuditVal&lt;&gt;"",UPPER(_xlpm.MyAuditVal),_xlpm.MacVal&lt;&gt;"",_xlpm.MacVal,_xlpm.CSVVal&lt;&gt;"",_xlpm.CSVVal
)),"")</f>
        <v/>
      </c>
      <c r="D662" s="55" t="str">
        <f>_xlfn.XLOOKUP(A662,My_Audit!A:A,My_Audit!D:D,"")&amp;""</f>
        <v/>
      </c>
      <c r="E662" s="55" t="str" cm="1">
        <f t="array" ref="E662">IFERROR(_xlfn.LET(
_xlpm.CSVVal,_xlfn.XLOOKUP($A662,CSV!$A:$A,CSV!D:D,""),
_xlpm.MacVal,_xlfn.XLOOKUP($A662,Output_Mac!$A:$A,Output_Mac!C:C,""),
_xlpm.MyAuditVal,_xlfn.XLOOKUP($A662,My_Audit!$A:$A,My_Audit!D:D,""),
_xlfn.IFS(_xlpm.MyAuditVal&lt;&gt;"",_xlpm.MyAuditVal,_xlpm.MacVal&lt;&gt;"",_xlpm.MacVal,_xlpm.CSVVal&lt;&gt;"",_xlpm.CSVVal
)),"")</f>
        <v/>
      </c>
      <c r="F662" s="54" t="str" cm="1">
        <f t="array" ref="F662">IFERROR(_xlfn.LET(
_xlpm.CSVVal,_xlfn.XLOOKUP($A662,CSV!$A:$A,CSV!E:E,""),
_xlpm.MacVal,_xlfn.XLOOKUP($A662,Output_Mac!$A:$A,Output_Mac!F:F,""),
_xlpm.MyAuditVal,_xlfn.XLOOKUP($A662,My_Audit!$A:$A,My_Audit!E:E,""),
_xlfn.IFS(_xlpm.MyAuditVal&lt;&gt;"",_xlpm.MyAuditVal,_xlpm.MacVal&lt;&gt;"",_xlpm.MacVal,_xlpm.CSVVal&lt;&gt;"",PROPER(_xlpm.CSVVal)
)),"")</f>
        <v/>
      </c>
      <c r="G662" s="54" t="str" cm="1">
        <f t="array" ref="G662">IFERROR(_xlfn.LET(
_xlpm.CSVVal,_xlfn.XLOOKUP($A662,CSV!$A:$A,CSV!F:F,""),
_xlpm.MacVal,_xlfn.XLOOKUP($A662,Output_Mac!$A:$A,Output_Mac!H:H,""),
_xlpm.MyAuditVal,_xlfn.XLOOKUP($A662,My_Audit!$A:$A,My_Audit!F:F,""),
_xlfn.IFS(_xlpm.MyAuditVal&lt;&gt;"",_xlpm.MyAuditVal,_xlpm.MacVal&lt;&gt;"",_xlpm.MacVal,_xlpm.CSVVal&lt;&gt;"",_xlpm.CSVVal
)),"")</f>
        <v/>
      </c>
      <c r="H662" s="54" t="str">
        <f>_xlfn.XLOOKUP(A662,Output_Mac!A:A,Output_Mac!I:I,"")</f>
        <v/>
      </c>
      <c r="I662" s="54" t="str" cm="1">
        <f t="array" ref="I662">IFERROR(_xlfn.LET(
_xlpm.CSVVal,_xlfn.XLOOKUP($A662,CSV!$A:$A,CSV!G:G,""),
_xlpm.MacVal,_xlfn.XLOOKUP($A662,Output_Mac!$A:$A,Output_Mac!J:J,""),
_xlpm.MyAuditVal,_xlfn.XLOOKUP($A662,My_Audit!$A:$A,My_Audit!H:H,""),
_xlfn.IFS(_xlpm.MyAuditVal&lt;&gt;"",UPPER(_xlpm.MyAuditVal),_xlpm.MacVal&lt;&gt;"",_xlpm.MacVal,_xlpm.CSVVal&lt;&gt;"",_xlpm.CSVVal
)),"")</f>
        <v/>
      </c>
      <c r="J662" s="54" t="str" cm="1">
        <f t="array" ref="J662">IFERROR(_xlfn.LET(
_xlpm.CSVVal,_xlfn.XLOOKUP($A662,CSV!$A:$A,CSV!I:I,""),
_xlpm.MacVal,_xlfn.XLOOKUP($A662,Output_Mac!$A:$A,Output_Mac!K:K,""),
_xlpm.MyAuditVal,_xlfn.XLOOKUP($A662,My_Audit!$A:$A,My_Audit!I:I,""),
_xlfn.IFS(_xlpm.MyAuditVal&lt;&gt;"",UPPER(_xlpm.MyAuditVal),_xlpm.MacVal&lt;&gt;"",_xlpm.MacVal,_xlpm.CSVVal&lt;&gt;"",_xlpm.CSVVal
)),"")</f>
        <v/>
      </c>
      <c r="K662" s="54" t="str" cm="1">
        <f t="array" ref="K662">IFERROR(_xlfn.LET(
_xlpm.CSVVal,_xlfn.XLOOKUP($A662,CSV!$A:$A,CSV!M:M,""),
_xlpm.MacVal,_xlfn.XLOOKUP($A662,Output_Mac!$A:$A,Output_Mac!L:L,""),
_xlpm.MyAuditVal,_xlfn.XLOOKUP($A662,My_Audit!$A:$A,My_Audit!J:J,""),
_xlfn.IFS(_xlpm.MyAuditVal&lt;&gt;"",UPPER(_xlpm.MyAuditVal),_xlpm.MacVal&lt;&gt;"",_xlpm.MacVal,_xlpm.CSVVal&lt;&gt;"",_xlpm.CSVVal
)),"")</f>
        <v/>
      </c>
      <c r="L662" s="54" t="str" cm="1">
        <f t="array" ref="L662">IFERROR(_xlfn.LET(
_xlpm.CSVVal,_xlfn.XLOOKUP($A662,CSV!$A:$A,CSV!O:O,""),
_xlpm.MacVal,_xlfn.XLOOKUP($A662,Output_Mac!$A:$A,Output_Mac!M:M,""),
_xlpm.MyAuditVal,_xlfn.XLOOKUP($A662,My_Audit!$A:$A,My_Audit!K:K,""),
_xlfn.IFS(_xlpm.MyAuditVal&lt;&gt;"",UPPER(_xlpm.MyAuditVal),_xlpm.MacVal&lt;&gt;"",_xlpm.MacVal,_xlpm.CSVVal&lt;&gt;"",_xlpm.CSVVal
)),"")</f>
        <v/>
      </c>
      <c r="M662" s="54" t="str">
        <f>_xlfn.LET(
    _xlpm.CSVVal, _xlfn.XLOOKUP($A662, CSV!$A:$A, CSV!AD:AD, ""),
    _xlpm.MacVal, _xlfn.XLOOKUP($A662, Output_Mac!$A:$A, Output_Mac!S:S, ""),
    _xlpm.MyAuditVal, _xlfn.XLOOKUP($A662, My_Audit!$A:$A, My_Audit!N:N, ""),
    _xlfn.TEXTJOIN(", ", TRUE, _xlpm.MyAuditVal, _xlpm.MacVal, _xlpm.CSVVal)
)</f>
        <v/>
      </c>
      <c r="N662" s="54" t="str" cm="1">
        <f t="array" ref="N662">IFERROR(_xlfn.LET(
_xlpm.CSVVal,_xlfn.XLOOKUP($A662,CSV!$A:$A,CSV!AF:AF,""),
_xlpm.MacVal,_xlfn.XLOOKUP($A662,Output_Mac!$A:$A,Output_Mac!U:U,""),
_xlpm.MyAuditVal,_xlfn.XLOOKUP($A662,My_Audit!$A:$A,My_Audit!O:O,""),
_xlfn.IFS(_xlpm.MyAuditVal&lt;&gt;"",UPPER(_xlpm.MyAuditVal),_xlpm.MacVal&lt;&gt;"",_xlpm.MacVal,_xlpm.CSVVal&lt;&gt;"",_xlpm.CSVVal
)),"")</f>
        <v/>
      </c>
      <c r="O662" s="54"/>
      <c r="P662" s="54"/>
      <c r="Q662" s="54"/>
      <c r="R662" s="54"/>
      <c r="S662" s="54"/>
      <c r="T662" s="54"/>
      <c r="U662" s="39"/>
    </row>
    <row r="663" spans="1:21">
      <c r="A663" s="54" t="str">
        <f>_xlfn.TEXTJOIN("",TRUE,Input!$B$2,ROW(My_Audit!A662))</f>
        <v>XX662</v>
      </c>
      <c r="B663" s="54" t="str">
        <f>_xlfn.TEXTJOIN("-",TRUE,"ITD",Input!$A$2,A663)</f>
        <v>ITD-SHRXXX-XX662</v>
      </c>
      <c r="C663" s="54" t="str" cm="1">
        <f t="array" ref="C663">IFERROR(_xlfn.LET(
_xlpm.CSVVal,_xlfn.XLOOKUP($A663,CSV!$A:$A,CSV!B:B,""),
_xlpm.MacVal,_xlfn.XLOOKUP($A663,Output_Mac!$A:$A,Output_Mac!B:B,""),
_xlpm.MyAuditVal,_xlfn.XLOOKUP($A663,My_Audit!$A:$A,My_Audit!B:B,""),
_xlfn.IFS(_xlpm.MyAuditVal&lt;&gt;"",UPPER(_xlpm.MyAuditVal),_xlpm.MacVal&lt;&gt;"",_xlpm.MacVal,_xlpm.CSVVal&lt;&gt;"",_xlpm.CSVVal
)),"")</f>
        <v/>
      </c>
      <c r="D663" s="55" t="str">
        <f>_xlfn.XLOOKUP(A663,My_Audit!A:A,My_Audit!D:D,"")&amp;""</f>
        <v/>
      </c>
      <c r="E663" s="55" t="str" cm="1">
        <f t="array" ref="E663">IFERROR(_xlfn.LET(
_xlpm.CSVVal,_xlfn.XLOOKUP($A663,CSV!$A:$A,CSV!D:D,""),
_xlpm.MacVal,_xlfn.XLOOKUP($A663,Output_Mac!$A:$A,Output_Mac!C:C,""),
_xlpm.MyAuditVal,_xlfn.XLOOKUP($A663,My_Audit!$A:$A,My_Audit!D:D,""),
_xlfn.IFS(_xlpm.MyAuditVal&lt;&gt;"",_xlpm.MyAuditVal,_xlpm.MacVal&lt;&gt;"",_xlpm.MacVal,_xlpm.CSVVal&lt;&gt;"",_xlpm.CSVVal
)),"")</f>
        <v/>
      </c>
      <c r="F663" s="54" t="str" cm="1">
        <f t="array" ref="F663">IFERROR(_xlfn.LET(
_xlpm.CSVVal,_xlfn.XLOOKUP($A663,CSV!$A:$A,CSV!E:E,""),
_xlpm.MacVal,_xlfn.XLOOKUP($A663,Output_Mac!$A:$A,Output_Mac!F:F,""),
_xlpm.MyAuditVal,_xlfn.XLOOKUP($A663,My_Audit!$A:$A,My_Audit!E:E,""),
_xlfn.IFS(_xlpm.MyAuditVal&lt;&gt;"",_xlpm.MyAuditVal,_xlpm.MacVal&lt;&gt;"",_xlpm.MacVal,_xlpm.CSVVal&lt;&gt;"",PROPER(_xlpm.CSVVal)
)),"")</f>
        <v/>
      </c>
      <c r="G663" s="54" t="str" cm="1">
        <f t="array" ref="G663">IFERROR(_xlfn.LET(
_xlpm.CSVVal,_xlfn.XLOOKUP($A663,CSV!$A:$A,CSV!F:F,""),
_xlpm.MacVal,_xlfn.XLOOKUP($A663,Output_Mac!$A:$A,Output_Mac!H:H,""),
_xlpm.MyAuditVal,_xlfn.XLOOKUP($A663,My_Audit!$A:$A,My_Audit!F:F,""),
_xlfn.IFS(_xlpm.MyAuditVal&lt;&gt;"",_xlpm.MyAuditVal,_xlpm.MacVal&lt;&gt;"",_xlpm.MacVal,_xlpm.CSVVal&lt;&gt;"",_xlpm.CSVVal
)),"")</f>
        <v/>
      </c>
      <c r="H663" s="54" t="str">
        <f>_xlfn.XLOOKUP(A663,Output_Mac!A:A,Output_Mac!I:I,"")</f>
        <v/>
      </c>
      <c r="I663" s="54" t="str" cm="1">
        <f t="array" ref="I663">IFERROR(_xlfn.LET(
_xlpm.CSVVal,_xlfn.XLOOKUP($A663,CSV!$A:$A,CSV!G:G,""),
_xlpm.MacVal,_xlfn.XLOOKUP($A663,Output_Mac!$A:$A,Output_Mac!J:J,""),
_xlpm.MyAuditVal,_xlfn.XLOOKUP($A663,My_Audit!$A:$A,My_Audit!H:H,""),
_xlfn.IFS(_xlpm.MyAuditVal&lt;&gt;"",UPPER(_xlpm.MyAuditVal),_xlpm.MacVal&lt;&gt;"",_xlpm.MacVal,_xlpm.CSVVal&lt;&gt;"",_xlpm.CSVVal
)),"")</f>
        <v/>
      </c>
      <c r="J663" s="54" t="str" cm="1">
        <f t="array" ref="J663">IFERROR(_xlfn.LET(
_xlpm.CSVVal,_xlfn.XLOOKUP($A663,CSV!$A:$A,CSV!I:I,""),
_xlpm.MacVal,_xlfn.XLOOKUP($A663,Output_Mac!$A:$A,Output_Mac!K:K,""),
_xlpm.MyAuditVal,_xlfn.XLOOKUP($A663,My_Audit!$A:$A,My_Audit!I:I,""),
_xlfn.IFS(_xlpm.MyAuditVal&lt;&gt;"",UPPER(_xlpm.MyAuditVal),_xlpm.MacVal&lt;&gt;"",_xlpm.MacVal,_xlpm.CSVVal&lt;&gt;"",_xlpm.CSVVal
)),"")</f>
        <v/>
      </c>
      <c r="K663" s="54" t="str" cm="1">
        <f t="array" ref="K663">IFERROR(_xlfn.LET(
_xlpm.CSVVal,_xlfn.XLOOKUP($A663,CSV!$A:$A,CSV!M:M,""),
_xlpm.MacVal,_xlfn.XLOOKUP($A663,Output_Mac!$A:$A,Output_Mac!L:L,""),
_xlpm.MyAuditVal,_xlfn.XLOOKUP($A663,My_Audit!$A:$A,My_Audit!J:J,""),
_xlfn.IFS(_xlpm.MyAuditVal&lt;&gt;"",UPPER(_xlpm.MyAuditVal),_xlpm.MacVal&lt;&gt;"",_xlpm.MacVal,_xlpm.CSVVal&lt;&gt;"",_xlpm.CSVVal
)),"")</f>
        <v/>
      </c>
      <c r="L663" s="54" t="str" cm="1">
        <f t="array" ref="L663">IFERROR(_xlfn.LET(
_xlpm.CSVVal,_xlfn.XLOOKUP($A663,CSV!$A:$A,CSV!O:O,""),
_xlpm.MacVal,_xlfn.XLOOKUP($A663,Output_Mac!$A:$A,Output_Mac!M:M,""),
_xlpm.MyAuditVal,_xlfn.XLOOKUP($A663,My_Audit!$A:$A,My_Audit!K:K,""),
_xlfn.IFS(_xlpm.MyAuditVal&lt;&gt;"",UPPER(_xlpm.MyAuditVal),_xlpm.MacVal&lt;&gt;"",_xlpm.MacVal,_xlpm.CSVVal&lt;&gt;"",_xlpm.CSVVal
)),"")</f>
        <v/>
      </c>
      <c r="M663" s="54" t="str">
        <f>_xlfn.LET(
    _xlpm.CSVVal, _xlfn.XLOOKUP($A663, CSV!$A:$A, CSV!AD:AD, ""),
    _xlpm.MacVal, _xlfn.XLOOKUP($A663, Output_Mac!$A:$A, Output_Mac!S:S, ""),
    _xlpm.MyAuditVal, _xlfn.XLOOKUP($A663, My_Audit!$A:$A, My_Audit!N:N, ""),
    _xlfn.TEXTJOIN(", ", TRUE, _xlpm.MyAuditVal, _xlpm.MacVal, _xlpm.CSVVal)
)</f>
        <v/>
      </c>
      <c r="N663" s="54" t="str" cm="1">
        <f t="array" ref="N663">IFERROR(_xlfn.LET(
_xlpm.CSVVal,_xlfn.XLOOKUP($A663,CSV!$A:$A,CSV!AF:AF,""),
_xlpm.MacVal,_xlfn.XLOOKUP($A663,Output_Mac!$A:$A,Output_Mac!U:U,""),
_xlpm.MyAuditVal,_xlfn.XLOOKUP($A663,My_Audit!$A:$A,My_Audit!O:O,""),
_xlfn.IFS(_xlpm.MyAuditVal&lt;&gt;"",UPPER(_xlpm.MyAuditVal),_xlpm.MacVal&lt;&gt;"",_xlpm.MacVal,_xlpm.CSVVal&lt;&gt;"",_xlpm.CSVVal
)),"")</f>
        <v/>
      </c>
      <c r="O663" s="54"/>
      <c r="P663" s="54"/>
      <c r="Q663" s="54"/>
      <c r="R663" s="54"/>
      <c r="S663" s="54"/>
      <c r="T663" s="54"/>
      <c r="U663" s="39"/>
    </row>
    <row r="664" spans="1:21">
      <c r="A664" s="54" t="str">
        <f>_xlfn.TEXTJOIN("",TRUE,Input!$B$2,ROW(My_Audit!A663))</f>
        <v>XX663</v>
      </c>
      <c r="B664" s="54" t="str">
        <f>_xlfn.TEXTJOIN("-",TRUE,"ITD",Input!$A$2,A664)</f>
        <v>ITD-SHRXXX-XX663</v>
      </c>
      <c r="C664" s="54" t="str" cm="1">
        <f t="array" ref="C664">IFERROR(_xlfn.LET(
_xlpm.CSVVal,_xlfn.XLOOKUP($A664,CSV!$A:$A,CSV!B:B,""),
_xlpm.MacVal,_xlfn.XLOOKUP($A664,Output_Mac!$A:$A,Output_Mac!B:B,""),
_xlpm.MyAuditVal,_xlfn.XLOOKUP($A664,My_Audit!$A:$A,My_Audit!B:B,""),
_xlfn.IFS(_xlpm.MyAuditVal&lt;&gt;"",UPPER(_xlpm.MyAuditVal),_xlpm.MacVal&lt;&gt;"",_xlpm.MacVal,_xlpm.CSVVal&lt;&gt;"",_xlpm.CSVVal
)),"")</f>
        <v/>
      </c>
      <c r="D664" s="55" t="str">
        <f>_xlfn.XLOOKUP(A664,My_Audit!A:A,My_Audit!D:D,"")&amp;""</f>
        <v/>
      </c>
      <c r="E664" s="55" t="str" cm="1">
        <f t="array" ref="E664">IFERROR(_xlfn.LET(
_xlpm.CSVVal,_xlfn.XLOOKUP($A664,CSV!$A:$A,CSV!D:D,""),
_xlpm.MacVal,_xlfn.XLOOKUP($A664,Output_Mac!$A:$A,Output_Mac!C:C,""),
_xlpm.MyAuditVal,_xlfn.XLOOKUP($A664,My_Audit!$A:$A,My_Audit!D:D,""),
_xlfn.IFS(_xlpm.MyAuditVal&lt;&gt;"",_xlpm.MyAuditVal,_xlpm.MacVal&lt;&gt;"",_xlpm.MacVal,_xlpm.CSVVal&lt;&gt;"",_xlpm.CSVVal
)),"")</f>
        <v/>
      </c>
      <c r="F664" s="54" t="str" cm="1">
        <f t="array" ref="F664">IFERROR(_xlfn.LET(
_xlpm.CSVVal,_xlfn.XLOOKUP($A664,CSV!$A:$A,CSV!E:E,""),
_xlpm.MacVal,_xlfn.XLOOKUP($A664,Output_Mac!$A:$A,Output_Mac!F:F,""),
_xlpm.MyAuditVal,_xlfn.XLOOKUP($A664,My_Audit!$A:$A,My_Audit!E:E,""),
_xlfn.IFS(_xlpm.MyAuditVal&lt;&gt;"",_xlpm.MyAuditVal,_xlpm.MacVal&lt;&gt;"",_xlpm.MacVal,_xlpm.CSVVal&lt;&gt;"",PROPER(_xlpm.CSVVal)
)),"")</f>
        <v/>
      </c>
      <c r="G664" s="54" t="str" cm="1">
        <f t="array" ref="G664">IFERROR(_xlfn.LET(
_xlpm.CSVVal,_xlfn.XLOOKUP($A664,CSV!$A:$A,CSV!F:F,""),
_xlpm.MacVal,_xlfn.XLOOKUP($A664,Output_Mac!$A:$A,Output_Mac!H:H,""),
_xlpm.MyAuditVal,_xlfn.XLOOKUP($A664,My_Audit!$A:$A,My_Audit!F:F,""),
_xlfn.IFS(_xlpm.MyAuditVal&lt;&gt;"",_xlpm.MyAuditVal,_xlpm.MacVal&lt;&gt;"",_xlpm.MacVal,_xlpm.CSVVal&lt;&gt;"",_xlpm.CSVVal
)),"")</f>
        <v/>
      </c>
      <c r="H664" s="54" t="str">
        <f>_xlfn.XLOOKUP(A664,Output_Mac!A:A,Output_Mac!I:I,"")</f>
        <v/>
      </c>
      <c r="I664" s="54" t="str" cm="1">
        <f t="array" ref="I664">IFERROR(_xlfn.LET(
_xlpm.CSVVal,_xlfn.XLOOKUP($A664,CSV!$A:$A,CSV!G:G,""),
_xlpm.MacVal,_xlfn.XLOOKUP($A664,Output_Mac!$A:$A,Output_Mac!J:J,""),
_xlpm.MyAuditVal,_xlfn.XLOOKUP($A664,My_Audit!$A:$A,My_Audit!H:H,""),
_xlfn.IFS(_xlpm.MyAuditVal&lt;&gt;"",UPPER(_xlpm.MyAuditVal),_xlpm.MacVal&lt;&gt;"",_xlpm.MacVal,_xlpm.CSVVal&lt;&gt;"",_xlpm.CSVVal
)),"")</f>
        <v/>
      </c>
      <c r="J664" s="54" t="str" cm="1">
        <f t="array" ref="J664">IFERROR(_xlfn.LET(
_xlpm.CSVVal,_xlfn.XLOOKUP($A664,CSV!$A:$A,CSV!I:I,""),
_xlpm.MacVal,_xlfn.XLOOKUP($A664,Output_Mac!$A:$A,Output_Mac!K:K,""),
_xlpm.MyAuditVal,_xlfn.XLOOKUP($A664,My_Audit!$A:$A,My_Audit!I:I,""),
_xlfn.IFS(_xlpm.MyAuditVal&lt;&gt;"",UPPER(_xlpm.MyAuditVal),_xlpm.MacVal&lt;&gt;"",_xlpm.MacVal,_xlpm.CSVVal&lt;&gt;"",_xlpm.CSVVal
)),"")</f>
        <v/>
      </c>
      <c r="K664" s="54" t="str" cm="1">
        <f t="array" ref="K664">IFERROR(_xlfn.LET(
_xlpm.CSVVal,_xlfn.XLOOKUP($A664,CSV!$A:$A,CSV!M:M,""),
_xlpm.MacVal,_xlfn.XLOOKUP($A664,Output_Mac!$A:$A,Output_Mac!L:L,""),
_xlpm.MyAuditVal,_xlfn.XLOOKUP($A664,My_Audit!$A:$A,My_Audit!J:J,""),
_xlfn.IFS(_xlpm.MyAuditVal&lt;&gt;"",UPPER(_xlpm.MyAuditVal),_xlpm.MacVal&lt;&gt;"",_xlpm.MacVal,_xlpm.CSVVal&lt;&gt;"",_xlpm.CSVVal
)),"")</f>
        <v/>
      </c>
      <c r="L664" s="54" t="str" cm="1">
        <f t="array" ref="L664">IFERROR(_xlfn.LET(
_xlpm.CSVVal,_xlfn.XLOOKUP($A664,CSV!$A:$A,CSV!O:O,""),
_xlpm.MacVal,_xlfn.XLOOKUP($A664,Output_Mac!$A:$A,Output_Mac!M:M,""),
_xlpm.MyAuditVal,_xlfn.XLOOKUP($A664,My_Audit!$A:$A,My_Audit!K:K,""),
_xlfn.IFS(_xlpm.MyAuditVal&lt;&gt;"",UPPER(_xlpm.MyAuditVal),_xlpm.MacVal&lt;&gt;"",_xlpm.MacVal,_xlpm.CSVVal&lt;&gt;"",_xlpm.CSVVal
)),"")</f>
        <v/>
      </c>
      <c r="M664" s="54" t="str">
        <f>_xlfn.LET(
    _xlpm.CSVVal, _xlfn.XLOOKUP($A664, CSV!$A:$A, CSV!AD:AD, ""),
    _xlpm.MacVal, _xlfn.XLOOKUP($A664, Output_Mac!$A:$A, Output_Mac!S:S, ""),
    _xlpm.MyAuditVal, _xlfn.XLOOKUP($A664, My_Audit!$A:$A, My_Audit!N:N, ""),
    _xlfn.TEXTJOIN(", ", TRUE, _xlpm.MyAuditVal, _xlpm.MacVal, _xlpm.CSVVal)
)</f>
        <v/>
      </c>
      <c r="N664" s="54" t="str" cm="1">
        <f t="array" ref="N664">IFERROR(_xlfn.LET(
_xlpm.CSVVal,_xlfn.XLOOKUP($A664,CSV!$A:$A,CSV!AF:AF,""),
_xlpm.MacVal,_xlfn.XLOOKUP($A664,Output_Mac!$A:$A,Output_Mac!U:U,""),
_xlpm.MyAuditVal,_xlfn.XLOOKUP($A664,My_Audit!$A:$A,My_Audit!O:O,""),
_xlfn.IFS(_xlpm.MyAuditVal&lt;&gt;"",UPPER(_xlpm.MyAuditVal),_xlpm.MacVal&lt;&gt;"",_xlpm.MacVal,_xlpm.CSVVal&lt;&gt;"",_xlpm.CSVVal
)),"")</f>
        <v/>
      </c>
      <c r="O664" s="54"/>
      <c r="P664" s="54"/>
      <c r="Q664" s="54"/>
      <c r="R664" s="54"/>
      <c r="S664" s="54"/>
      <c r="T664" s="54"/>
      <c r="U664" s="39"/>
    </row>
    <row r="665" spans="1:21">
      <c r="A665" s="54" t="str">
        <f>_xlfn.TEXTJOIN("",TRUE,Input!$B$2,ROW(My_Audit!A664))</f>
        <v>XX664</v>
      </c>
      <c r="B665" s="54" t="str">
        <f>_xlfn.TEXTJOIN("-",TRUE,"ITD",Input!$A$2,A665)</f>
        <v>ITD-SHRXXX-XX664</v>
      </c>
      <c r="C665" s="54" t="str" cm="1">
        <f t="array" ref="C665">IFERROR(_xlfn.LET(
_xlpm.CSVVal,_xlfn.XLOOKUP($A665,CSV!$A:$A,CSV!B:B,""),
_xlpm.MacVal,_xlfn.XLOOKUP($A665,Output_Mac!$A:$A,Output_Mac!B:B,""),
_xlpm.MyAuditVal,_xlfn.XLOOKUP($A665,My_Audit!$A:$A,My_Audit!B:B,""),
_xlfn.IFS(_xlpm.MyAuditVal&lt;&gt;"",UPPER(_xlpm.MyAuditVal),_xlpm.MacVal&lt;&gt;"",_xlpm.MacVal,_xlpm.CSVVal&lt;&gt;"",_xlpm.CSVVal
)),"")</f>
        <v/>
      </c>
      <c r="D665" s="55" t="str">
        <f>_xlfn.XLOOKUP(A665,My_Audit!A:A,My_Audit!D:D,"")&amp;""</f>
        <v/>
      </c>
      <c r="E665" s="55" t="str" cm="1">
        <f t="array" ref="E665">IFERROR(_xlfn.LET(
_xlpm.CSVVal,_xlfn.XLOOKUP($A665,CSV!$A:$A,CSV!D:D,""),
_xlpm.MacVal,_xlfn.XLOOKUP($A665,Output_Mac!$A:$A,Output_Mac!C:C,""),
_xlpm.MyAuditVal,_xlfn.XLOOKUP($A665,My_Audit!$A:$A,My_Audit!D:D,""),
_xlfn.IFS(_xlpm.MyAuditVal&lt;&gt;"",_xlpm.MyAuditVal,_xlpm.MacVal&lt;&gt;"",_xlpm.MacVal,_xlpm.CSVVal&lt;&gt;"",_xlpm.CSVVal
)),"")</f>
        <v/>
      </c>
      <c r="F665" s="54" t="str" cm="1">
        <f t="array" ref="F665">IFERROR(_xlfn.LET(
_xlpm.CSVVal,_xlfn.XLOOKUP($A665,CSV!$A:$A,CSV!E:E,""),
_xlpm.MacVal,_xlfn.XLOOKUP($A665,Output_Mac!$A:$A,Output_Mac!F:F,""),
_xlpm.MyAuditVal,_xlfn.XLOOKUP($A665,My_Audit!$A:$A,My_Audit!E:E,""),
_xlfn.IFS(_xlpm.MyAuditVal&lt;&gt;"",_xlpm.MyAuditVal,_xlpm.MacVal&lt;&gt;"",_xlpm.MacVal,_xlpm.CSVVal&lt;&gt;"",PROPER(_xlpm.CSVVal)
)),"")</f>
        <v/>
      </c>
      <c r="G665" s="54" t="str" cm="1">
        <f t="array" ref="G665">IFERROR(_xlfn.LET(
_xlpm.CSVVal,_xlfn.XLOOKUP($A665,CSV!$A:$A,CSV!F:F,""),
_xlpm.MacVal,_xlfn.XLOOKUP($A665,Output_Mac!$A:$A,Output_Mac!H:H,""),
_xlpm.MyAuditVal,_xlfn.XLOOKUP($A665,My_Audit!$A:$A,My_Audit!F:F,""),
_xlfn.IFS(_xlpm.MyAuditVal&lt;&gt;"",_xlpm.MyAuditVal,_xlpm.MacVal&lt;&gt;"",_xlpm.MacVal,_xlpm.CSVVal&lt;&gt;"",_xlpm.CSVVal
)),"")</f>
        <v/>
      </c>
      <c r="H665" s="54" t="str">
        <f>_xlfn.XLOOKUP(A665,Output_Mac!A:A,Output_Mac!I:I,"")</f>
        <v/>
      </c>
      <c r="I665" s="54" t="str" cm="1">
        <f t="array" ref="I665">IFERROR(_xlfn.LET(
_xlpm.CSVVal,_xlfn.XLOOKUP($A665,CSV!$A:$A,CSV!G:G,""),
_xlpm.MacVal,_xlfn.XLOOKUP($A665,Output_Mac!$A:$A,Output_Mac!J:J,""),
_xlpm.MyAuditVal,_xlfn.XLOOKUP($A665,My_Audit!$A:$A,My_Audit!H:H,""),
_xlfn.IFS(_xlpm.MyAuditVal&lt;&gt;"",UPPER(_xlpm.MyAuditVal),_xlpm.MacVal&lt;&gt;"",_xlpm.MacVal,_xlpm.CSVVal&lt;&gt;"",_xlpm.CSVVal
)),"")</f>
        <v/>
      </c>
      <c r="J665" s="54" t="str" cm="1">
        <f t="array" ref="J665">IFERROR(_xlfn.LET(
_xlpm.CSVVal,_xlfn.XLOOKUP($A665,CSV!$A:$A,CSV!I:I,""),
_xlpm.MacVal,_xlfn.XLOOKUP($A665,Output_Mac!$A:$A,Output_Mac!K:K,""),
_xlpm.MyAuditVal,_xlfn.XLOOKUP($A665,My_Audit!$A:$A,My_Audit!I:I,""),
_xlfn.IFS(_xlpm.MyAuditVal&lt;&gt;"",UPPER(_xlpm.MyAuditVal),_xlpm.MacVal&lt;&gt;"",_xlpm.MacVal,_xlpm.CSVVal&lt;&gt;"",_xlpm.CSVVal
)),"")</f>
        <v/>
      </c>
      <c r="K665" s="54" t="str" cm="1">
        <f t="array" ref="K665">IFERROR(_xlfn.LET(
_xlpm.CSVVal,_xlfn.XLOOKUP($A665,CSV!$A:$A,CSV!M:M,""),
_xlpm.MacVal,_xlfn.XLOOKUP($A665,Output_Mac!$A:$A,Output_Mac!L:L,""),
_xlpm.MyAuditVal,_xlfn.XLOOKUP($A665,My_Audit!$A:$A,My_Audit!J:J,""),
_xlfn.IFS(_xlpm.MyAuditVal&lt;&gt;"",UPPER(_xlpm.MyAuditVal),_xlpm.MacVal&lt;&gt;"",_xlpm.MacVal,_xlpm.CSVVal&lt;&gt;"",_xlpm.CSVVal
)),"")</f>
        <v/>
      </c>
      <c r="L665" s="54" t="str" cm="1">
        <f t="array" ref="L665">IFERROR(_xlfn.LET(
_xlpm.CSVVal,_xlfn.XLOOKUP($A665,CSV!$A:$A,CSV!O:O,""),
_xlpm.MacVal,_xlfn.XLOOKUP($A665,Output_Mac!$A:$A,Output_Mac!M:M,""),
_xlpm.MyAuditVal,_xlfn.XLOOKUP($A665,My_Audit!$A:$A,My_Audit!K:K,""),
_xlfn.IFS(_xlpm.MyAuditVal&lt;&gt;"",UPPER(_xlpm.MyAuditVal),_xlpm.MacVal&lt;&gt;"",_xlpm.MacVal,_xlpm.CSVVal&lt;&gt;"",_xlpm.CSVVal
)),"")</f>
        <v/>
      </c>
      <c r="M665" s="54" t="str">
        <f>_xlfn.LET(
    _xlpm.CSVVal, _xlfn.XLOOKUP($A665, CSV!$A:$A, CSV!AD:AD, ""),
    _xlpm.MacVal, _xlfn.XLOOKUP($A665, Output_Mac!$A:$A, Output_Mac!S:S, ""),
    _xlpm.MyAuditVal, _xlfn.XLOOKUP($A665, My_Audit!$A:$A, My_Audit!N:N, ""),
    _xlfn.TEXTJOIN(", ", TRUE, _xlpm.MyAuditVal, _xlpm.MacVal, _xlpm.CSVVal)
)</f>
        <v/>
      </c>
      <c r="N665" s="54" t="str" cm="1">
        <f t="array" ref="N665">IFERROR(_xlfn.LET(
_xlpm.CSVVal,_xlfn.XLOOKUP($A665,CSV!$A:$A,CSV!AF:AF,""),
_xlpm.MacVal,_xlfn.XLOOKUP($A665,Output_Mac!$A:$A,Output_Mac!U:U,""),
_xlpm.MyAuditVal,_xlfn.XLOOKUP($A665,My_Audit!$A:$A,My_Audit!O:O,""),
_xlfn.IFS(_xlpm.MyAuditVal&lt;&gt;"",UPPER(_xlpm.MyAuditVal),_xlpm.MacVal&lt;&gt;"",_xlpm.MacVal,_xlpm.CSVVal&lt;&gt;"",_xlpm.CSVVal
)),"")</f>
        <v/>
      </c>
      <c r="O665" s="54"/>
      <c r="P665" s="54"/>
      <c r="Q665" s="54"/>
      <c r="R665" s="54"/>
      <c r="S665" s="54"/>
      <c r="T665" s="54"/>
      <c r="U665" s="39"/>
    </row>
    <row r="666" spans="1:21">
      <c r="A666" s="54" t="str">
        <f>_xlfn.TEXTJOIN("",TRUE,Input!$B$2,ROW(My_Audit!A665))</f>
        <v>XX665</v>
      </c>
      <c r="B666" s="54" t="str">
        <f>_xlfn.TEXTJOIN("-",TRUE,"ITD",Input!$A$2,A666)</f>
        <v>ITD-SHRXXX-XX665</v>
      </c>
      <c r="C666" s="54" t="str" cm="1">
        <f t="array" ref="C666">IFERROR(_xlfn.LET(
_xlpm.CSVVal,_xlfn.XLOOKUP($A666,CSV!$A:$A,CSV!B:B,""),
_xlpm.MacVal,_xlfn.XLOOKUP($A666,Output_Mac!$A:$A,Output_Mac!B:B,""),
_xlpm.MyAuditVal,_xlfn.XLOOKUP($A666,My_Audit!$A:$A,My_Audit!B:B,""),
_xlfn.IFS(_xlpm.MyAuditVal&lt;&gt;"",UPPER(_xlpm.MyAuditVal),_xlpm.MacVal&lt;&gt;"",_xlpm.MacVal,_xlpm.CSVVal&lt;&gt;"",_xlpm.CSVVal
)),"")</f>
        <v/>
      </c>
      <c r="D666" s="55" t="str">
        <f>_xlfn.XLOOKUP(A666,My_Audit!A:A,My_Audit!D:D,"")&amp;""</f>
        <v/>
      </c>
      <c r="E666" s="55" t="str" cm="1">
        <f t="array" ref="E666">IFERROR(_xlfn.LET(
_xlpm.CSVVal,_xlfn.XLOOKUP($A666,CSV!$A:$A,CSV!D:D,""),
_xlpm.MacVal,_xlfn.XLOOKUP($A666,Output_Mac!$A:$A,Output_Mac!C:C,""),
_xlpm.MyAuditVal,_xlfn.XLOOKUP($A666,My_Audit!$A:$A,My_Audit!D:D,""),
_xlfn.IFS(_xlpm.MyAuditVal&lt;&gt;"",_xlpm.MyAuditVal,_xlpm.MacVal&lt;&gt;"",_xlpm.MacVal,_xlpm.CSVVal&lt;&gt;"",_xlpm.CSVVal
)),"")</f>
        <v/>
      </c>
      <c r="F666" s="54" t="str" cm="1">
        <f t="array" ref="F666">IFERROR(_xlfn.LET(
_xlpm.CSVVal,_xlfn.XLOOKUP($A666,CSV!$A:$A,CSV!E:E,""),
_xlpm.MacVal,_xlfn.XLOOKUP($A666,Output_Mac!$A:$A,Output_Mac!F:F,""),
_xlpm.MyAuditVal,_xlfn.XLOOKUP($A666,My_Audit!$A:$A,My_Audit!E:E,""),
_xlfn.IFS(_xlpm.MyAuditVal&lt;&gt;"",_xlpm.MyAuditVal,_xlpm.MacVal&lt;&gt;"",_xlpm.MacVal,_xlpm.CSVVal&lt;&gt;"",PROPER(_xlpm.CSVVal)
)),"")</f>
        <v/>
      </c>
      <c r="G666" s="54" t="str" cm="1">
        <f t="array" ref="G666">IFERROR(_xlfn.LET(
_xlpm.CSVVal,_xlfn.XLOOKUP($A666,CSV!$A:$A,CSV!F:F,""),
_xlpm.MacVal,_xlfn.XLOOKUP($A666,Output_Mac!$A:$A,Output_Mac!H:H,""),
_xlpm.MyAuditVal,_xlfn.XLOOKUP($A666,My_Audit!$A:$A,My_Audit!F:F,""),
_xlfn.IFS(_xlpm.MyAuditVal&lt;&gt;"",_xlpm.MyAuditVal,_xlpm.MacVal&lt;&gt;"",_xlpm.MacVal,_xlpm.CSVVal&lt;&gt;"",_xlpm.CSVVal
)),"")</f>
        <v/>
      </c>
      <c r="H666" s="54" t="str">
        <f>_xlfn.XLOOKUP(A666,Output_Mac!A:A,Output_Mac!I:I,"")</f>
        <v/>
      </c>
      <c r="I666" s="54" t="str" cm="1">
        <f t="array" ref="I666">IFERROR(_xlfn.LET(
_xlpm.CSVVal,_xlfn.XLOOKUP($A666,CSV!$A:$A,CSV!G:G,""),
_xlpm.MacVal,_xlfn.XLOOKUP($A666,Output_Mac!$A:$A,Output_Mac!J:J,""),
_xlpm.MyAuditVal,_xlfn.XLOOKUP($A666,My_Audit!$A:$A,My_Audit!H:H,""),
_xlfn.IFS(_xlpm.MyAuditVal&lt;&gt;"",UPPER(_xlpm.MyAuditVal),_xlpm.MacVal&lt;&gt;"",_xlpm.MacVal,_xlpm.CSVVal&lt;&gt;"",_xlpm.CSVVal
)),"")</f>
        <v/>
      </c>
      <c r="J666" s="54" t="str" cm="1">
        <f t="array" ref="J666">IFERROR(_xlfn.LET(
_xlpm.CSVVal,_xlfn.XLOOKUP($A666,CSV!$A:$A,CSV!I:I,""),
_xlpm.MacVal,_xlfn.XLOOKUP($A666,Output_Mac!$A:$A,Output_Mac!K:K,""),
_xlpm.MyAuditVal,_xlfn.XLOOKUP($A666,My_Audit!$A:$A,My_Audit!I:I,""),
_xlfn.IFS(_xlpm.MyAuditVal&lt;&gt;"",UPPER(_xlpm.MyAuditVal),_xlpm.MacVal&lt;&gt;"",_xlpm.MacVal,_xlpm.CSVVal&lt;&gt;"",_xlpm.CSVVal
)),"")</f>
        <v/>
      </c>
      <c r="K666" s="54" t="str" cm="1">
        <f t="array" ref="K666">IFERROR(_xlfn.LET(
_xlpm.CSVVal,_xlfn.XLOOKUP($A666,CSV!$A:$A,CSV!M:M,""),
_xlpm.MacVal,_xlfn.XLOOKUP($A666,Output_Mac!$A:$A,Output_Mac!L:L,""),
_xlpm.MyAuditVal,_xlfn.XLOOKUP($A666,My_Audit!$A:$A,My_Audit!J:J,""),
_xlfn.IFS(_xlpm.MyAuditVal&lt;&gt;"",UPPER(_xlpm.MyAuditVal),_xlpm.MacVal&lt;&gt;"",_xlpm.MacVal,_xlpm.CSVVal&lt;&gt;"",_xlpm.CSVVal
)),"")</f>
        <v/>
      </c>
      <c r="L666" s="54" t="str" cm="1">
        <f t="array" ref="L666">IFERROR(_xlfn.LET(
_xlpm.CSVVal,_xlfn.XLOOKUP($A666,CSV!$A:$A,CSV!O:O,""),
_xlpm.MacVal,_xlfn.XLOOKUP($A666,Output_Mac!$A:$A,Output_Mac!M:M,""),
_xlpm.MyAuditVal,_xlfn.XLOOKUP($A666,My_Audit!$A:$A,My_Audit!K:K,""),
_xlfn.IFS(_xlpm.MyAuditVal&lt;&gt;"",UPPER(_xlpm.MyAuditVal),_xlpm.MacVal&lt;&gt;"",_xlpm.MacVal,_xlpm.CSVVal&lt;&gt;"",_xlpm.CSVVal
)),"")</f>
        <v/>
      </c>
      <c r="M666" s="54" t="str">
        <f>_xlfn.LET(
    _xlpm.CSVVal, _xlfn.XLOOKUP($A666, CSV!$A:$A, CSV!AD:AD, ""),
    _xlpm.MacVal, _xlfn.XLOOKUP($A666, Output_Mac!$A:$A, Output_Mac!S:S, ""),
    _xlpm.MyAuditVal, _xlfn.XLOOKUP($A666, My_Audit!$A:$A, My_Audit!N:N, ""),
    _xlfn.TEXTJOIN(", ", TRUE, _xlpm.MyAuditVal, _xlpm.MacVal, _xlpm.CSVVal)
)</f>
        <v/>
      </c>
      <c r="N666" s="54" t="str" cm="1">
        <f t="array" ref="N666">IFERROR(_xlfn.LET(
_xlpm.CSVVal,_xlfn.XLOOKUP($A666,CSV!$A:$A,CSV!AF:AF,""),
_xlpm.MacVal,_xlfn.XLOOKUP($A666,Output_Mac!$A:$A,Output_Mac!U:U,""),
_xlpm.MyAuditVal,_xlfn.XLOOKUP($A666,My_Audit!$A:$A,My_Audit!O:O,""),
_xlfn.IFS(_xlpm.MyAuditVal&lt;&gt;"",UPPER(_xlpm.MyAuditVal),_xlpm.MacVal&lt;&gt;"",_xlpm.MacVal,_xlpm.CSVVal&lt;&gt;"",_xlpm.CSVVal
)),"")</f>
        <v/>
      </c>
      <c r="O666" s="54"/>
      <c r="P666" s="54"/>
      <c r="Q666" s="54"/>
      <c r="R666" s="54"/>
      <c r="S666" s="54"/>
      <c r="T666" s="54"/>
      <c r="U666" s="39"/>
    </row>
    <row r="667" spans="1:21">
      <c r="A667" s="54" t="str">
        <f>_xlfn.TEXTJOIN("",TRUE,Input!$B$2,ROW(My_Audit!A666))</f>
        <v>XX666</v>
      </c>
      <c r="B667" s="54" t="str">
        <f>_xlfn.TEXTJOIN("-",TRUE,"ITD",Input!$A$2,A667)</f>
        <v>ITD-SHRXXX-XX666</v>
      </c>
      <c r="C667" s="54" t="str" cm="1">
        <f t="array" ref="C667">IFERROR(_xlfn.LET(
_xlpm.CSVVal,_xlfn.XLOOKUP($A667,CSV!$A:$A,CSV!B:B,""),
_xlpm.MacVal,_xlfn.XLOOKUP($A667,Output_Mac!$A:$A,Output_Mac!B:B,""),
_xlpm.MyAuditVal,_xlfn.XLOOKUP($A667,My_Audit!$A:$A,My_Audit!B:B,""),
_xlfn.IFS(_xlpm.MyAuditVal&lt;&gt;"",UPPER(_xlpm.MyAuditVal),_xlpm.MacVal&lt;&gt;"",_xlpm.MacVal,_xlpm.CSVVal&lt;&gt;"",_xlpm.CSVVal
)),"")</f>
        <v/>
      </c>
      <c r="D667" s="55" t="str">
        <f>_xlfn.XLOOKUP(A667,My_Audit!A:A,My_Audit!D:D,"")&amp;""</f>
        <v/>
      </c>
      <c r="E667" s="55" t="str" cm="1">
        <f t="array" ref="E667">IFERROR(_xlfn.LET(
_xlpm.CSVVal,_xlfn.XLOOKUP($A667,CSV!$A:$A,CSV!D:D,""),
_xlpm.MacVal,_xlfn.XLOOKUP($A667,Output_Mac!$A:$A,Output_Mac!C:C,""),
_xlpm.MyAuditVal,_xlfn.XLOOKUP($A667,My_Audit!$A:$A,My_Audit!D:D,""),
_xlfn.IFS(_xlpm.MyAuditVal&lt;&gt;"",_xlpm.MyAuditVal,_xlpm.MacVal&lt;&gt;"",_xlpm.MacVal,_xlpm.CSVVal&lt;&gt;"",_xlpm.CSVVal
)),"")</f>
        <v/>
      </c>
      <c r="F667" s="54" t="str" cm="1">
        <f t="array" ref="F667">IFERROR(_xlfn.LET(
_xlpm.CSVVal,_xlfn.XLOOKUP($A667,CSV!$A:$A,CSV!E:E,""),
_xlpm.MacVal,_xlfn.XLOOKUP($A667,Output_Mac!$A:$A,Output_Mac!F:F,""),
_xlpm.MyAuditVal,_xlfn.XLOOKUP($A667,My_Audit!$A:$A,My_Audit!E:E,""),
_xlfn.IFS(_xlpm.MyAuditVal&lt;&gt;"",_xlpm.MyAuditVal,_xlpm.MacVal&lt;&gt;"",_xlpm.MacVal,_xlpm.CSVVal&lt;&gt;"",PROPER(_xlpm.CSVVal)
)),"")</f>
        <v/>
      </c>
      <c r="G667" s="54" t="str" cm="1">
        <f t="array" ref="G667">IFERROR(_xlfn.LET(
_xlpm.CSVVal,_xlfn.XLOOKUP($A667,CSV!$A:$A,CSV!F:F,""),
_xlpm.MacVal,_xlfn.XLOOKUP($A667,Output_Mac!$A:$A,Output_Mac!H:H,""),
_xlpm.MyAuditVal,_xlfn.XLOOKUP($A667,My_Audit!$A:$A,My_Audit!F:F,""),
_xlfn.IFS(_xlpm.MyAuditVal&lt;&gt;"",_xlpm.MyAuditVal,_xlpm.MacVal&lt;&gt;"",_xlpm.MacVal,_xlpm.CSVVal&lt;&gt;"",_xlpm.CSVVal
)),"")</f>
        <v/>
      </c>
      <c r="H667" s="54" t="str">
        <f>_xlfn.XLOOKUP(A667,Output_Mac!A:A,Output_Mac!I:I,"")</f>
        <v/>
      </c>
      <c r="I667" s="54" t="str" cm="1">
        <f t="array" ref="I667">IFERROR(_xlfn.LET(
_xlpm.CSVVal,_xlfn.XLOOKUP($A667,CSV!$A:$A,CSV!G:G,""),
_xlpm.MacVal,_xlfn.XLOOKUP($A667,Output_Mac!$A:$A,Output_Mac!J:J,""),
_xlpm.MyAuditVal,_xlfn.XLOOKUP($A667,My_Audit!$A:$A,My_Audit!H:H,""),
_xlfn.IFS(_xlpm.MyAuditVal&lt;&gt;"",UPPER(_xlpm.MyAuditVal),_xlpm.MacVal&lt;&gt;"",_xlpm.MacVal,_xlpm.CSVVal&lt;&gt;"",_xlpm.CSVVal
)),"")</f>
        <v/>
      </c>
      <c r="J667" s="54" t="str" cm="1">
        <f t="array" ref="J667">IFERROR(_xlfn.LET(
_xlpm.CSVVal,_xlfn.XLOOKUP($A667,CSV!$A:$A,CSV!I:I,""),
_xlpm.MacVal,_xlfn.XLOOKUP($A667,Output_Mac!$A:$A,Output_Mac!K:K,""),
_xlpm.MyAuditVal,_xlfn.XLOOKUP($A667,My_Audit!$A:$A,My_Audit!I:I,""),
_xlfn.IFS(_xlpm.MyAuditVal&lt;&gt;"",UPPER(_xlpm.MyAuditVal),_xlpm.MacVal&lt;&gt;"",_xlpm.MacVal,_xlpm.CSVVal&lt;&gt;"",_xlpm.CSVVal
)),"")</f>
        <v/>
      </c>
      <c r="K667" s="54" t="str" cm="1">
        <f t="array" ref="K667">IFERROR(_xlfn.LET(
_xlpm.CSVVal,_xlfn.XLOOKUP($A667,CSV!$A:$A,CSV!M:M,""),
_xlpm.MacVal,_xlfn.XLOOKUP($A667,Output_Mac!$A:$A,Output_Mac!L:L,""),
_xlpm.MyAuditVal,_xlfn.XLOOKUP($A667,My_Audit!$A:$A,My_Audit!J:J,""),
_xlfn.IFS(_xlpm.MyAuditVal&lt;&gt;"",UPPER(_xlpm.MyAuditVal),_xlpm.MacVal&lt;&gt;"",_xlpm.MacVal,_xlpm.CSVVal&lt;&gt;"",_xlpm.CSVVal
)),"")</f>
        <v/>
      </c>
      <c r="L667" s="54" t="str" cm="1">
        <f t="array" ref="L667">IFERROR(_xlfn.LET(
_xlpm.CSVVal,_xlfn.XLOOKUP($A667,CSV!$A:$A,CSV!O:O,""),
_xlpm.MacVal,_xlfn.XLOOKUP($A667,Output_Mac!$A:$A,Output_Mac!M:M,""),
_xlpm.MyAuditVal,_xlfn.XLOOKUP($A667,My_Audit!$A:$A,My_Audit!K:K,""),
_xlfn.IFS(_xlpm.MyAuditVal&lt;&gt;"",UPPER(_xlpm.MyAuditVal),_xlpm.MacVal&lt;&gt;"",_xlpm.MacVal,_xlpm.CSVVal&lt;&gt;"",_xlpm.CSVVal
)),"")</f>
        <v/>
      </c>
      <c r="M667" s="54" t="str">
        <f>_xlfn.LET(
    _xlpm.CSVVal, _xlfn.XLOOKUP($A667, CSV!$A:$A, CSV!AD:AD, ""),
    _xlpm.MacVal, _xlfn.XLOOKUP($A667, Output_Mac!$A:$A, Output_Mac!S:S, ""),
    _xlpm.MyAuditVal, _xlfn.XLOOKUP($A667, My_Audit!$A:$A, My_Audit!N:N, ""),
    _xlfn.TEXTJOIN(", ", TRUE, _xlpm.MyAuditVal, _xlpm.MacVal, _xlpm.CSVVal)
)</f>
        <v/>
      </c>
      <c r="N667" s="54" t="str" cm="1">
        <f t="array" ref="N667">IFERROR(_xlfn.LET(
_xlpm.CSVVal,_xlfn.XLOOKUP($A667,CSV!$A:$A,CSV!AF:AF,""),
_xlpm.MacVal,_xlfn.XLOOKUP($A667,Output_Mac!$A:$A,Output_Mac!U:U,""),
_xlpm.MyAuditVal,_xlfn.XLOOKUP($A667,My_Audit!$A:$A,My_Audit!O:O,""),
_xlfn.IFS(_xlpm.MyAuditVal&lt;&gt;"",UPPER(_xlpm.MyAuditVal),_xlpm.MacVal&lt;&gt;"",_xlpm.MacVal,_xlpm.CSVVal&lt;&gt;"",_xlpm.CSVVal
)),"")</f>
        <v/>
      </c>
      <c r="O667" s="54"/>
      <c r="P667" s="54"/>
      <c r="Q667" s="54"/>
      <c r="R667" s="54"/>
      <c r="S667" s="54"/>
      <c r="T667" s="54"/>
      <c r="U667" s="39"/>
    </row>
    <row r="668" spans="1:21">
      <c r="A668" s="54" t="str">
        <f>_xlfn.TEXTJOIN("",TRUE,Input!$B$2,ROW(My_Audit!A667))</f>
        <v>XX667</v>
      </c>
      <c r="B668" s="54" t="str">
        <f>_xlfn.TEXTJOIN("-",TRUE,"ITD",Input!$A$2,A668)</f>
        <v>ITD-SHRXXX-XX667</v>
      </c>
      <c r="C668" s="54" t="str" cm="1">
        <f t="array" ref="C668">IFERROR(_xlfn.LET(
_xlpm.CSVVal,_xlfn.XLOOKUP($A668,CSV!$A:$A,CSV!B:B,""),
_xlpm.MacVal,_xlfn.XLOOKUP($A668,Output_Mac!$A:$A,Output_Mac!B:B,""),
_xlpm.MyAuditVal,_xlfn.XLOOKUP($A668,My_Audit!$A:$A,My_Audit!B:B,""),
_xlfn.IFS(_xlpm.MyAuditVal&lt;&gt;"",UPPER(_xlpm.MyAuditVal),_xlpm.MacVal&lt;&gt;"",_xlpm.MacVal,_xlpm.CSVVal&lt;&gt;"",_xlpm.CSVVal
)),"")</f>
        <v/>
      </c>
      <c r="D668" s="55" t="str">
        <f>_xlfn.XLOOKUP(A668,My_Audit!A:A,My_Audit!D:D,"")&amp;""</f>
        <v/>
      </c>
      <c r="E668" s="55" t="str" cm="1">
        <f t="array" ref="E668">IFERROR(_xlfn.LET(
_xlpm.CSVVal,_xlfn.XLOOKUP($A668,CSV!$A:$A,CSV!D:D,""),
_xlpm.MacVal,_xlfn.XLOOKUP($A668,Output_Mac!$A:$A,Output_Mac!C:C,""),
_xlpm.MyAuditVal,_xlfn.XLOOKUP($A668,My_Audit!$A:$A,My_Audit!D:D,""),
_xlfn.IFS(_xlpm.MyAuditVal&lt;&gt;"",_xlpm.MyAuditVal,_xlpm.MacVal&lt;&gt;"",_xlpm.MacVal,_xlpm.CSVVal&lt;&gt;"",_xlpm.CSVVal
)),"")</f>
        <v/>
      </c>
      <c r="F668" s="54" t="str" cm="1">
        <f t="array" ref="F668">IFERROR(_xlfn.LET(
_xlpm.CSVVal,_xlfn.XLOOKUP($A668,CSV!$A:$A,CSV!E:E,""),
_xlpm.MacVal,_xlfn.XLOOKUP($A668,Output_Mac!$A:$A,Output_Mac!F:F,""),
_xlpm.MyAuditVal,_xlfn.XLOOKUP($A668,My_Audit!$A:$A,My_Audit!E:E,""),
_xlfn.IFS(_xlpm.MyAuditVal&lt;&gt;"",_xlpm.MyAuditVal,_xlpm.MacVal&lt;&gt;"",_xlpm.MacVal,_xlpm.CSVVal&lt;&gt;"",PROPER(_xlpm.CSVVal)
)),"")</f>
        <v/>
      </c>
      <c r="G668" s="54" t="str" cm="1">
        <f t="array" ref="G668">IFERROR(_xlfn.LET(
_xlpm.CSVVal,_xlfn.XLOOKUP($A668,CSV!$A:$A,CSV!F:F,""),
_xlpm.MacVal,_xlfn.XLOOKUP($A668,Output_Mac!$A:$A,Output_Mac!H:H,""),
_xlpm.MyAuditVal,_xlfn.XLOOKUP($A668,My_Audit!$A:$A,My_Audit!F:F,""),
_xlfn.IFS(_xlpm.MyAuditVal&lt;&gt;"",_xlpm.MyAuditVal,_xlpm.MacVal&lt;&gt;"",_xlpm.MacVal,_xlpm.CSVVal&lt;&gt;"",_xlpm.CSVVal
)),"")</f>
        <v/>
      </c>
      <c r="H668" s="54" t="str">
        <f>_xlfn.XLOOKUP(A668,Output_Mac!A:A,Output_Mac!I:I,"")</f>
        <v/>
      </c>
      <c r="I668" s="54" t="str" cm="1">
        <f t="array" ref="I668">IFERROR(_xlfn.LET(
_xlpm.CSVVal,_xlfn.XLOOKUP($A668,CSV!$A:$A,CSV!G:G,""),
_xlpm.MacVal,_xlfn.XLOOKUP($A668,Output_Mac!$A:$A,Output_Mac!J:J,""),
_xlpm.MyAuditVal,_xlfn.XLOOKUP($A668,My_Audit!$A:$A,My_Audit!H:H,""),
_xlfn.IFS(_xlpm.MyAuditVal&lt;&gt;"",UPPER(_xlpm.MyAuditVal),_xlpm.MacVal&lt;&gt;"",_xlpm.MacVal,_xlpm.CSVVal&lt;&gt;"",_xlpm.CSVVal
)),"")</f>
        <v/>
      </c>
      <c r="J668" s="54" t="str" cm="1">
        <f t="array" ref="J668">IFERROR(_xlfn.LET(
_xlpm.CSVVal,_xlfn.XLOOKUP($A668,CSV!$A:$A,CSV!I:I,""),
_xlpm.MacVal,_xlfn.XLOOKUP($A668,Output_Mac!$A:$A,Output_Mac!K:K,""),
_xlpm.MyAuditVal,_xlfn.XLOOKUP($A668,My_Audit!$A:$A,My_Audit!I:I,""),
_xlfn.IFS(_xlpm.MyAuditVal&lt;&gt;"",UPPER(_xlpm.MyAuditVal),_xlpm.MacVal&lt;&gt;"",_xlpm.MacVal,_xlpm.CSVVal&lt;&gt;"",_xlpm.CSVVal
)),"")</f>
        <v/>
      </c>
      <c r="K668" s="54" t="str" cm="1">
        <f t="array" ref="K668">IFERROR(_xlfn.LET(
_xlpm.CSVVal,_xlfn.XLOOKUP($A668,CSV!$A:$A,CSV!M:M,""),
_xlpm.MacVal,_xlfn.XLOOKUP($A668,Output_Mac!$A:$A,Output_Mac!L:L,""),
_xlpm.MyAuditVal,_xlfn.XLOOKUP($A668,My_Audit!$A:$A,My_Audit!J:J,""),
_xlfn.IFS(_xlpm.MyAuditVal&lt;&gt;"",UPPER(_xlpm.MyAuditVal),_xlpm.MacVal&lt;&gt;"",_xlpm.MacVal,_xlpm.CSVVal&lt;&gt;"",_xlpm.CSVVal
)),"")</f>
        <v/>
      </c>
      <c r="L668" s="54" t="str" cm="1">
        <f t="array" ref="L668">IFERROR(_xlfn.LET(
_xlpm.CSVVal,_xlfn.XLOOKUP($A668,CSV!$A:$A,CSV!O:O,""),
_xlpm.MacVal,_xlfn.XLOOKUP($A668,Output_Mac!$A:$A,Output_Mac!M:M,""),
_xlpm.MyAuditVal,_xlfn.XLOOKUP($A668,My_Audit!$A:$A,My_Audit!K:K,""),
_xlfn.IFS(_xlpm.MyAuditVal&lt;&gt;"",UPPER(_xlpm.MyAuditVal),_xlpm.MacVal&lt;&gt;"",_xlpm.MacVal,_xlpm.CSVVal&lt;&gt;"",_xlpm.CSVVal
)),"")</f>
        <v/>
      </c>
      <c r="M668" s="54" t="str">
        <f>_xlfn.LET(
    _xlpm.CSVVal, _xlfn.XLOOKUP($A668, CSV!$A:$A, CSV!AD:AD, ""),
    _xlpm.MacVal, _xlfn.XLOOKUP($A668, Output_Mac!$A:$A, Output_Mac!S:S, ""),
    _xlpm.MyAuditVal, _xlfn.XLOOKUP($A668, My_Audit!$A:$A, My_Audit!N:N, ""),
    _xlfn.TEXTJOIN(", ", TRUE, _xlpm.MyAuditVal, _xlpm.MacVal, _xlpm.CSVVal)
)</f>
        <v/>
      </c>
      <c r="N668" s="54" t="str" cm="1">
        <f t="array" ref="N668">IFERROR(_xlfn.LET(
_xlpm.CSVVal,_xlfn.XLOOKUP($A668,CSV!$A:$A,CSV!AF:AF,""),
_xlpm.MacVal,_xlfn.XLOOKUP($A668,Output_Mac!$A:$A,Output_Mac!U:U,""),
_xlpm.MyAuditVal,_xlfn.XLOOKUP($A668,My_Audit!$A:$A,My_Audit!O:O,""),
_xlfn.IFS(_xlpm.MyAuditVal&lt;&gt;"",UPPER(_xlpm.MyAuditVal),_xlpm.MacVal&lt;&gt;"",_xlpm.MacVal,_xlpm.CSVVal&lt;&gt;"",_xlpm.CSVVal
)),"")</f>
        <v/>
      </c>
      <c r="O668" s="54"/>
      <c r="P668" s="54"/>
      <c r="Q668" s="54"/>
      <c r="R668" s="54"/>
      <c r="S668" s="54"/>
      <c r="T668" s="54"/>
      <c r="U668" s="39"/>
    </row>
    <row r="669" spans="1:21">
      <c r="A669" s="54" t="str">
        <f>_xlfn.TEXTJOIN("",TRUE,Input!$B$2,ROW(My_Audit!A668))</f>
        <v>XX668</v>
      </c>
      <c r="B669" s="54" t="str">
        <f>_xlfn.TEXTJOIN("-",TRUE,"ITD",Input!$A$2,A669)</f>
        <v>ITD-SHRXXX-XX668</v>
      </c>
      <c r="C669" s="54" t="str" cm="1">
        <f t="array" ref="C669">IFERROR(_xlfn.LET(
_xlpm.CSVVal,_xlfn.XLOOKUP($A669,CSV!$A:$A,CSV!B:B,""),
_xlpm.MacVal,_xlfn.XLOOKUP($A669,Output_Mac!$A:$A,Output_Mac!B:B,""),
_xlpm.MyAuditVal,_xlfn.XLOOKUP($A669,My_Audit!$A:$A,My_Audit!B:B,""),
_xlfn.IFS(_xlpm.MyAuditVal&lt;&gt;"",UPPER(_xlpm.MyAuditVal),_xlpm.MacVal&lt;&gt;"",_xlpm.MacVal,_xlpm.CSVVal&lt;&gt;"",_xlpm.CSVVal
)),"")</f>
        <v/>
      </c>
      <c r="D669" s="55" t="str">
        <f>_xlfn.XLOOKUP(A669,My_Audit!A:A,My_Audit!D:D,"")&amp;""</f>
        <v/>
      </c>
      <c r="E669" s="55" t="str" cm="1">
        <f t="array" ref="E669">IFERROR(_xlfn.LET(
_xlpm.CSVVal,_xlfn.XLOOKUP($A669,CSV!$A:$A,CSV!D:D,""),
_xlpm.MacVal,_xlfn.XLOOKUP($A669,Output_Mac!$A:$A,Output_Mac!C:C,""),
_xlpm.MyAuditVal,_xlfn.XLOOKUP($A669,My_Audit!$A:$A,My_Audit!D:D,""),
_xlfn.IFS(_xlpm.MyAuditVal&lt;&gt;"",_xlpm.MyAuditVal,_xlpm.MacVal&lt;&gt;"",_xlpm.MacVal,_xlpm.CSVVal&lt;&gt;"",_xlpm.CSVVal
)),"")</f>
        <v/>
      </c>
      <c r="F669" s="54" t="str" cm="1">
        <f t="array" ref="F669">IFERROR(_xlfn.LET(
_xlpm.CSVVal,_xlfn.XLOOKUP($A669,CSV!$A:$A,CSV!E:E,""),
_xlpm.MacVal,_xlfn.XLOOKUP($A669,Output_Mac!$A:$A,Output_Mac!F:F,""),
_xlpm.MyAuditVal,_xlfn.XLOOKUP($A669,My_Audit!$A:$A,My_Audit!E:E,""),
_xlfn.IFS(_xlpm.MyAuditVal&lt;&gt;"",_xlpm.MyAuditVal,_xlpm.MacVal&lt;&gt;"",_xlpm.MacVal,_xlpm.CSVVal&lt;&gt;"",PROPER(_xlpm.CSVVal)
)),"")</f>
        <v/>
      </c>
      <c r="G669" s="54" t="str" cm="1">
        <f t="array" ref="G669">IFERROR(_xlfn.LET(
_xlpm.CSVVal,_xlfn.XLOOKUP($A669,CSV!$A:$A,CSV!F:F,""),
_xlpm.MacVal,_xlfn.XLOOKUP($A669,Output_Mac!$A:$A,Output_Mac!H:H,""),
_xlpm.MyAuditVal,_xlfn.XLOOKUP($A669,My_Audit!$A:$A,My_Audit!F:F,""),
_xlfn.IFS(_xlpm.MyAuditVal&lt;&gt;"",_xlpm.MyAuditVal,_xlpm.MacVal&lt;&gt;"",_xlpm.MacVal,_xlpm.CSVVal&lt;&gt;"",_xlpm.CSVVal
)),"")</f>
        <v/>
      </c>
      <c r="H669" s="54" t="str">
        <f>_xlfn.XLOOKUP(A669,Output_Mac!A:A,Output_Mac!I:I,"")</f>
        <v/>
      </c>
      <c r="I669" s="54" t="str" cm="1">
        <f t="array" ref="I669">IFERROR(_xlfn.LET(
_xlpm.CSVVal,_xlfn.XLOOKUP($A669,CSV!$A:$A,CSV!G:G,""),
_xlpm.MacVal,_xlfn.XLOOKUP($A669,Output_Mac!$A:$A,Output_Mac!J:J,""),
_xlpm.MyAuditVal,_xlfn.XLOOKUP($A669,My_Audit!$A:$A,My_Audit!H:H,""),
_xlfn.IFS(_xlpm.MyAuditVal&lt;&gt;"",UPPER(_xlpm.MyAuditVal),_xlpm.MacVal&lt;&gt;"",_xlpm.MacVal,_xlpm.CSVVal&lt;&gt;"",_xlpm.CSVVal
)),"")</f>
        <v/>
      </c>
      <c r="J669" s="54" t="str" cm="1">
        <f t="array" ref="J669">IFERROR(_xlfn.LET(
_xlpm.CSVVal,_xlfn.XLOOKUP($A669,CSV!$A:$A,CSV!I:I,""),
_xlpm.MacVal,_xlfn.XLOOKUP($A669,Output_Mac!$A:$A,Output_Mac!K:K,""),
_xlpm.MyAuditVal,_xlfn.XLOOKUP($A669,My_Audit!$A:$A,My_Audit!I:I,""),
_xlfn.IFS(_xlpm.MyAuditVal&lt;&gt;"",UPPER(_xlpm.MyAuditVal),_xlpm.MacVal&lt;&gt;"",_xlpm.MacVal,_xlpm.CSVVal&lt;&gt;"",_xlpm.CSVVal
)),"")</f>
        <v/>
      </c>
      <c r="K669" s="54" t="str" cm="1">
        <f t="array" ref="K669">IFERROR(_xlfn.LET(
_xlpm.CSVVal,_xlfn.XLOOKUP($A669,CSV!$A:$A,CSV!M:M,""),
_xlpm.MacVal,_xlfn.XLOOKUP($A669,Output_Mac!$A:$A,Output_Mac!L:L,""),
_xlpm.MyAuditVal,_xlfn.XLOOKUP($A669,My_Audit!$A:$A,My_Audit!J:J,""),
_xlfn.IFS(_xlpm.MyAuditVal&lt;&gt;"",UPPER(_xlpm.MyAuditVal),_xlpm.MacVal&lt;&gt;"",_xlpm.MacVal,_xlpm.CSVVal&lt;&gt;"",_xlpm.CSVVal
)),"")</f>
        <v/>
      </c>
      <c r="L669" s="54" t="str" cm="1">
        <f t="array" ref="L669">IFERROR(_xlfn.LET(
_xlpm.CSVVal,_xlfn.XLOOKUP($A669,CSV!$A:$A,CSV!O:O,""),
_xlpm.MacVal,_xlfn.XLOOKUP($A669,Output_Mac!$A:$A,Output_Mac!M:M,""),
_xlpm.MyAuditVal,_xlfn.XLOOKUP($A669,My_Audit!$A:$A,My_Audit!K:K,""),
_xlfn.IFS(_xlpm.MyAuditVal&lt;&gt;"",UPPER(_xlpm.MyAuditVal),_xlpm.MacVal&lt;&gt;"",_xlpm.MacVal,_xlpm.CSVVal&lt;&gt;"",_xlpm.CSVVal
)),"")</f>
        <v/>
      </c>
      <c r="M669" s="54" t="str">
        <f>_xlfn.LET(
    _xlpm.CSVVal, _xlfn.XLOOKUP($A669, CSV!$A:$A, CSV!AD:AD, ""),
    _xlpm.MacVal, _xlfn.XLOOKUP($A669, Output_Mac!$A:$A, Output_Mac!S:S, ""),
    _xlpm.MyAuditVal, _xlfn.XLOOKUP($A669, My_Audit!$A:$A, My_Audit!N:N, ""),
    _xlfn.TEXTJOIN(", ", TRUE, _xlpm.MyAuditVal, _xlpm.MacVal, _xlpm.CSVVal)
)</f>
        <v/>
      </c>
      <c r="N669" s="54" t="str" cm="1">
        <f t="array" ref="N669">IFERROR(_xlfn.LET(
_xlpm.CSVVal,_xlfn.XLOOKUP($A669,CSV!$A:$A,CSV!AF:AF,""),
_xlpm.MacVal,_xlfn.XLOOKUP($A669,Output_Mac!$A:$A,Output_Mac!U:U,""),
_xlpm.MyAuditVal,_xlfn.XLOOKUP($A669,My_Audit!$A:$A,My_Audit!O:O,""),
_xlfn.IFS(_xlpm.MyAuditVal&lt;&gt;"",UPPER(_xlpm.MyAuditVal),_xlpm.MacVal&lt;&gt;"",_xlpm.MacVal,_xlpm.CSVVal&lt;&gt;"",_xlpm.CSVVal
)),"")</f>
        <v/>
      </c>
      <c r="O669" s="54"/>
      <c r="P669" s="54"/>
      <c r="Q669" s="54"/>
      <c r="R669" s="54"/>
      <c r="S669" s="54"/>
      <c r="T669" s="54"/>
      <c r="U669" s="39"/>
    </row>
    <row r="670" spans="1:21">
      <c r="A670" s="54" t="str">
        <f>_xlfn.TEXTJOIN("",TRUE,Input!$B$2,ROW(My_Audit!A669))</f>
        <v>XX669</v>
      </c>
      <c r="B670" s="54" t="str">
        <f>_xlfn.TEXTJOIN("-",TRUE,"ITD",Input!$A$2,A670)</f>
        <v>ITD-SHRXXX-XX669</v>
      </c>
      <c r="C670" s="54" t="str" cm="1">
        <f t="array" ref="C670">IFERROR(_xlfn.LET(
_xlpm.CSVVal,_xlfn.XLOOKUP($A670,CSV!$A:$A,CSV!B:B,""),
_xlpm.MacVal,_xlfn.XLOOKUP($A670,Output_Mac!$A:$A,Output_Mac!B:B,""),
_xlpm.MyAuditVal,_xlfn.XLOOKUP($A670,My_Audit!$A:$A,My_Audit!B:B,""),
_xlfn.IFS(_xlpm.MyAuditVal&lt;&gt;"",UPPER(_xlpm.MyAuditVal),_xlpm.MacVal&lt;&gt;"",_xlpm.MacVal,_xlpm.CSVVal&lt;&gt;"",_xlpm.CSVVal
)),"")</f>
        <v/>
      </c>
      <c r="D670" s="55" t="str">
        <f>_xlfn.XLOOKUP(A670,My_Audit!A:A,My_Audit!D:D,"")&amp;""</f>
        <v/>
      </c>
      <c r="E670" s="55" t="str" cm="1">
        <f t="array" ref="E670">IFERROR(_xlfn.LET(
_xlpm.CSVVal,_xlfn.XLOOKUP($A670,CSV!$A:$A,CSV!D:D,""),
_xlpm.MacVal,_xlfn.XLOOKUP($A670,Output_Mac!$A:$A,Output_Mac!C:C,""),
_xlpm.MyAuditVal,_xlfn.XLOOKUP($A670,My_Audit!$A:$A,My_Audit!D:D,""),
_xlfn.IFS(_xlpm.MyAuditVal&lt;&gt;"",_xlpm.MyAuditVal,_xlpm.MacVal&lt;&gt;"",_xlpm.MacVal,_xlpm.CSVVal&lt;&gt;"",_xlpm.CSVVal
)),"")</f>
        <v/>
      </c>
      <c r="F670" s="54" t="str" cm="1">
        <f t="array" ref="F670">IFERROR(_xlfn.LET(
_xlpm.CSVVal,_xlfn.XLOOKUP($A670,CSV!$A:$A,CSV!E:E,""),
_xlpm.MacVal,_xlfn.XLOOKUP($A670,Output_Mac!$A:$A,Output_Mac!F:F,""),
_xlpm.MyAuditVal,_xlfn.XLOOKUP($A670,My_Audit!$A:$A,My_Audit!E:E,""),
_xlfn.IFS(_xlpm.MyAuditVal&lt;&gt;"",_xlpm.MyAuditVal,_xlpm.MacVal&lt;&gt;"",_xlpm.MacVal,_xlpm.CSVVal&lt;&gt;"",PROPER(_xlpm.CSVVal)
)),"")</f>
        <v/>
      </c>
      <c r="G670" s="54" t="str" cm="1">
        <f t="array" ref="G670">IFERROR(_xlfn.LET(
_xlpm.CSVVal,_xlfn.XLOOKUP($A670,CSV!$A:$A,CSV!F:F,""),
_xlpm.MacVal,_xlfn.XLOOKUP($A670,Output_Mac!$A:$A,Output_Mac!H:H,""),
_xlpm.MyAuditVal,_xlfn.XLOOKUP($A670,My_Audit!$A:$A,My_Audit!F:F,""),
_xlfn.IFS(_xlpm.MyAuditVal&lt;&gt;"",_xlpm.MyAuditVal,_xlpm.MacVal&lt;&gt;"",_xlpm.MacVal,_xlpm.CSVVal&lt;&gt;"",_xlpm.CSVVal
)),"")</f>
        <v/>
      </c>
      <c r="H670" s="54" t="str">
        <f>_xlfn.XLOOKUP(A670,Output_Mac!A:A,Output_Mac!I:I,"")</f>
        <v/>
      </c>
      <c r="I670" s="54" t="str" cm="1">
        <f t="array" ref="I670">IFERROR(_xlfn.LET(
_xlpm.CSVVal,_xlfn.XLOOKUP($A670,CSV!$A:$A,CSV!G:G,""),
_xlpm.MacVal,_xlfn.XLOOKUP($A670,Output_Mac!$A:$A,Output_Mac!J:J,""),
_xlpm.MyAuditVal,_xlfn.XLOOKUP($A670,My_Audit!$A:$A,My_Audit!H:H,""),
_xlfn.IFS(_xlpm.MyAuditVal&lt;&gt;"",UPPER(_xlpm.MyAuditVal),_xlpm.MacVal&lt;&gt;"",_xlpm.MacVal,_xlpm.CSVVal&lt;&gt;"",_xlpm.CSVVal
)),"")</f>
        <v/>
      </c>
      <c r="J670" s="54" t="str" cm="1">
        <f t="array" ref="J670">IFERROR(_xlfn.LET(
_xlpm.CSVVal,_xlfn.XLOOKUP($A670,CSV!$A:$A,CSV!I:I,""),
_xlpm.MacVal,_xlfn.XLOOKUP($A670,Output_Mac!$A:$A,Output_Mac!K:K,""),
_xlpm.MyAuditVal,_xlfn.XLOOKUP($A670,My_Audit!$A:$A,My_Audit!I:I,""),
_xlfn.IFS(_xlpm.MyAuditVal&lt;&gt;"",UPPER(_xlpm.MyAuditVal),_xlpm.MacVal&lt;&gt;"",_xlpm.MacVal,_xlpm.CSVVal&lt;&gt;"",_xlpm.CSVVal
)),"")</f>
        <v/>
      </c>
      <c r="K670" s="54" t="str" cm="1">
        <f t="array" ref="K670">IFERROR(_xlfn.LET(
_xlpm.CSVVal,_xlfn.XLOOKUP($A670,CSV!$A:$A,CSV!M:M,""),
_xlpm.MacVal,_xlfn.XLOOKUP($A670,Output_Mac!$A:$A,Output_Mac!L:L,""),
_xlpm.MyAuditVal,_xlfn.XLOOKUP($A670,My_Audit!$A:$A,My_Audit!J:J,""),
_xlfn.IFS(_xlpm.MyAuditVal&lt;&gt;"",UPPER(_xlpm.MyAuditVal),_xlpm.MacVal&lt;&gt;"",_xlpm.MacVal,_xlpm.CSVVal&lt;&gt;"",_xlpm.CSVVal
)),"")</f>
        <v/>
      </c>
      <c r="L670" s="54" t="str" cm="1">
        <f t="array" ref="L670">IFERROR(_xlfn.LET(
_xlpm.CSVVal,_xlfn.XLOOKUP($A670,CSV!$A:$A,CSV!O:O,""),
_xlpm.MacVal,_xlfn.XLOOKUP($A670,Output_Mac!$A:$A,Output_Mac!M:M,""),
_xlpm.MyAuditVal,_xlfn.XLOOKUP($A670,My_Audit!$A:$A,My_Audit!K:K,""),
_xlfn.IFS(_xlpm.MyAuditVal&lt;&gt;"",UPPER(_xlpm.MyAuditVal),_xlpm.MacVal&lt;&gt;"",_xlpm.MacVal,_xlpm.CSVVal&lt;&gt;"",_xlpm.CSVVal
)),"")</f>
        <v/>
      </c>
      <c r="M670" s="54" t="str">
        <f>_xlfn.LET(
    _xlpm.CSVVal, _xlfn.XLOOKUP($A670, CSV!$A:$A, CSV!AD:AD, ""),
    _xlpm.MacVal, _xlfn.XLOOKUP($A670, Output_Mac!$A:$A, Output_Mac!S:S, ""),
    _xlpm.MyAuditVal, _xlfn.XLOOKUP($A670, My_Audit!$A:$A, My_Audit!N:N, ""),
    _xlfn.TEXTJOIN(", ", TRUE, _xlpm.MyAuditVal, _xlpm.MacVal, _xlpm.CSVVal)
)</f>
        <v/>
      </c>
      <c r="N670" s="54" t="str" cm="1">
        <f t="array" ref="N670">IFERROR(_xlfn.LET(
_xlpm.CSVVal,_xlfn.XLOOKUP($A670,CSV!$A:$A,CSV!AF:AF,""),
_xlpm.MacVal,_xlfn.XLOOKUP($A670,Output_Mac!$A:$A,Output_Mac!U:U,""),
_xlpm.MyAuditVal,_xlfn.XLOOKUP($A670,My_Audit!$A:$A,My_Audit!O:O,""),
_xlfn.IFS(_xlpm.MyAuditVal&lt;&gt;"",UPPER(_xlpm.MyAuditVal),_xlpm.MacVal&lt;&gt;"",_xlpm.MacVal,_xlpm.CSVVal&lt;&gt;"",_xlpm.CSVVal
)),"")</f>
        <v/>
      </c>
      <c r="O670" s="54"/>
      <c r="P670" s="54"/>
      <c r="Q670" s="54"/>
      <c r="R670" s="54"/>
      <c r="S670" s="54"/>
      <c r="T670" s="54"/>
      <c r="U670" s="39"/>
    </row>
    <row r="671" spans="1:21">
      <c r="A671" s="54" t="str">
        <f>_xlfn.TEXTJOIN("",TRUE,Input!$B$2,ROW(My_Audit!A670))</f>
        <v>XX670</v>
      </c>
      <c r="B671" s="54" t="str">
        <f>_xlfn.TEXTJOIN("-",TRUE,"ITD",Input!$A$2,A671)</f>
        <v>ITD-SHRXXX-XX670</v>
      </c>
      <c r="C671" s="54" t="str" cm="1">
        <f t="array" ref="C671">IFERROR(_xlfn.LET(
_xlpm.CSVVal,_xlfn.XLOOKUP($A671,CSV!$A:$A,CSV!B:B,""),
_xlpm.MacVal,_xlfn.XLOOKUP($A671,Output_Mac!$A:$A,Output_Mac!B:B,""),
_xlpm.MyAuditVal,_xlfn.XLOOKUP($A671,My_Audit!$A:$A,My_Audit!B:B,""),
_xlfn.IFS(_xlpm.MyAuditVal&lt;&gt;"",UPPER(_xlpm.MyAuditVal),_xlpm.MacVal&lt;&gt;"",_xlpm.MacVal,_xlpm.CSVVal&lt;&gt;"",_xlpm.CSVVal
)),"")</f>
        <v/>
      </c>
      <c r="D671" s="55" t="str">
        <f>_xlfn.XLOOKUP(A671,My_Audit!A:A,My_Audit!D:D,"")&amp;""</f>
        <v/>
      </c>
      <c r="E671" s="55" t="str" cm="1">
        <f t="array" ref="E671">IFERROR(_xlfn.LET(
_xlpm.CSVVal,_xlfn.XLOOKUP($A671,CSV!$A:$A,CSV!D:D,""),
_xlpm.MacVal,_xlfn.XLOOKUP($A671,Output_Mac!$A:$A,Output_Mac!C:C,""),
_xlpm.MyAuditVal,_xlfn.XLOOKUP($A671,My_Audit!$A:$A,My_Audit!D:D,""),
_xlfn.IFS(_xlpm.MyAuditVal&lt;&gt;"",_xlpm.MyAuditVal,_xlpm.MacVal&lt;&gt;"",_xlpm.MacVal,_xlpm.CSVVal&lt;&gt;"",_xlpm.CSVVal
)),"")</f>
        <v/>
      </c>
      <c r="F671" s="54" t="str" cm="1">
        <f t="array" ref="F671">IFERROR(_xlfn.LET(
_xlpm.CSVVal,_xlfn.XLOOKUP($A671,CSV!$A:$A,CSV!E:E,""),
_xlpm.MacVal,_xlfn.XLOOKUP($A671,Output_Mac!$A:$A,Output_Mac!F:F,""),
_xlpm.MyAuditVal,_xlfn.XLOOKUP($A671,My_Audit!$A:$A,My_Audit!E:E,""),
_xlfn.IFS(_xlpm.MyAuditVal&lt;&gt;"",_xlpm.MyAuditVal,_xlpm.MacVal&lt;&gt;"",_xlpm.MacVal,_xlpm.CSVVal&lt;&gt;"",PROPER(_xlpm.CSVVal)
)),"")</f>
        <v/>
      </c>
      <c r="G671" s="54" t="str" cm="1">
        <f t="array" ref="G671">IFERROR(_xlfn.LET(
_xlpm.CSVVal,_xlfn.XLOOKUP($A671,CSV!$A:$A,CSV!F:F,""),
_xlpm.MacVal,_xlfn.XLOOKUP($A671,Output_Mac!$A:$A,Output_Mac!H:H,""),
_xlpm.MyAuditVal,_xlfn.XLOOKUP($A671,My_Audit!$A:$A,My_Audit!F:F,""),
_xlfn.IFS(_xlpm.MyAuditVal&lt;&gt;"",_xlpm.MyAuditVal,_xlpm.MacVal&lt;&gt;"",_xlpm.MacVal,_xlpm.CSVVal&lt;&gt;"",_xlpm.CSVVal
)),"")</f>
        <v/>
      </c>
      <c r="H671" s="54" t="str">
        <f>_xlfn.XLOOKUP(A671,Output_Mac!A:A,Output_Mac!I:I,"")</f>
        <v/>
      </c>
      <c r="I671" s="54" t="str" cm="1">
        <f t="array" ref="I671">IFERROR(_xlfn.LET(
_xlpm.CSVVal,_xlfn.XLOOKUP($A671,CSV!$A:$A,CSV!G:G,""),
_xlpm.MacVal,_xlfn.XLOOKUP($A671,Output_Mac!$A:$A,Output_Mac!J:J,""),
_xlpm.MyAuditVal,_xlfn.XLOOKUP($A671,My_Audit!$A:$A,My_Audit!H:H,""),
_xlfn.IFS(_xlpm.MyAuditVal&lt;&gt;"",UPPER(_xlpm.MyAuditVal),_xlpm.MacVal&lt;&gt;"",_xlpm.MacVal,_xlpm.CSVVal&lt;&gt;"",_xlpm.CSVVal
)),"")</f>
        <v/>
      </c>
      <c r="J671" s="54" t="str" cm="1">
        <f t="array" ref="J671">IFERROR(_xlfn.LET(
_xlpm.CSVVal,_xlfn.XLOOKUP($A671,CSV!$A:$A,CSV!I:I,""),
_xlpm.MacVal,_xlfn.XLOOKUP($A671,Output_Mac!$A:$A,Output_Mac!K:K,""),
_xlpm.MyAuditVal,_xlfn.XLOOKUP($A671,My_Audit!$A:$A,My_Audit!I:I,""),
_xlfn.IFS(_xlpm.MyAuditVal&lt;&gt;"",UPPER(_xlpm.MyAuditVal),_xlpm.MacVal&lt;&gt;"",_xlpm.MacVal,_xlpm.CSVVal&lt;&gt;"",_xlpm.CSVVal
)),"")</f>
        <v/>
      </c>
      <c r="K671" s="54" t="str" cm="1">
        <f t="array" ref="K671">IFERROR(_xlfn.LET(
_xlpm.CSVVal,_xlfn.XLOOKUP($A671,CSV!$A:$A,CSV!M:M,""),
_xlpm.MacVal,_xlfn.XLOOKUP($A671,Output_Mac!$A:$A,Output_Mac!L:L,""),
_xlpm.MyAuditVal,_xlfn.XLOOKUP($A671,My_Audit!$A:$A,My_Audit!J:J,""),
_xlfn.IFS(_xlpm.MyAuditVal&lt;&gt;"",UPPER(_xlpm.MyAuditVal),_xlpm.MacVal&lt;&gt;"",_xlpm.MacVal,_xlpm.CSVVal&lt;&gt;"",_xlpm.CSVVal
)),"")</f>
        <v/>
      </c>
      <c r="L671" s="54" t="str" cm="1">
        <f t="array" ref="L671">IFERROR(_xlfn.LET(
_xlpm.CSVVal,_xlfn.XLOOKUP($A671,CSV!$A:$A,CSV!O:O,""),
_xlpm.MacVal,_xlfn.XLOOKUP($A671,Output_Mac!$A:$A,Output_Mac!M:M,""),
_xlpm.MyAuditVal,_xlfn.XLOOKUP($A671,My_Audit!$A:$A,My_Audit!K:K,""),
_xlfn.IFS(_xlpm.MyAuditVal&lt;&gt;"",UPPER(_xlpm.MyAuditVal),_xlpm.MacVal&lt;&gt;"",_xlpm.MacVal,_xlpm.CSVVal&lt;&gt;"",_xlpm.CSVVal
)),"")</f>
        <v/>
      </c>
      <c r="M671" s="54" t="str">
        <f>_xlfn.LET(
    _xlpm.CSVVal, _xlfn.XLOOKUP($A671, CSV!$A:$A, CSV!AD:AD, ""),
    _xlpm.MacVal, _xlfn.XLOOKUP($A671, Output_Mac!$A:$A, Output_Mac!S:S, ""),
    _xlpm.MyAuditVal, _xlfn.XLOOKUP($A671, My_Audit!$A:$A, My_Audit!N:N, ""),
    _xlfn.TEXTJOIN(", ", TRUE, _xlpm.MyAuditVal, _xlpm.MacVal, _xlpm.CSVVal)
)</f>
        <v/>
      </c>
      <c r="N671" s="54" t="str" cm="1">
        <f t="array" ref="N671">IFERROR(_xlfn.LET(
_xlpm.CSVVal,_xlfn.XLOOKUP($A671,CSV!$A:$A,CSV!AF:AF,""),
_xlpm.MacVal,_xlfn.XLOOKUP($A671,Output_Mac!$A:$A,Output_Mac!U:U,""),
_xlpm.MyAuditVal,_xlfn.XLOOKUP($A671,My_Audit!$A:$A,My_Audit!O:O,""),
_xlfn.IFS(_xlpm.MyAuditVal&lt;&gt;"",UPPER(_xlpm.MyAuditVal),_xlpm.MacVal&lt;&gt;"",_xlpm.MacVal,_xlpm.CSVVal&lt;&gt;"",_xlpm.CSVVal
)),"")</f>
        <v/>
      </c>
      <c r="O671" s="54"/>
      <c r="P671" s="54"/>
      <c r="Q671" s="54"/>
      <c r="R671" s="54"/>
      <c r="S671" s="54"/>
      <c r="T671" s="54"/>
      <c r="U671" s="39"/>
    </row>
    <row r="672" spans="1:21">
      <c r="A672" s="54" t="str">
        <f>_xlfn.TEXTJOIN("",TRUE,Input!$B$2,ROW(My_Audit!A671))</f>
        <v>XX671</v>
      </c>
      <c r="B672" s="54" t="str">
        <f>_xlfn.TEXTJOIN("-",TRUE,"ITD",Input!$A$2,A672)</f>
        <v>ITD-SHRXXX-XX671</v>
      </c>
      <c r="C672" s="54" t="str" cm="1">
        <f t="array" ref="C672">IFERROR(_xlfn.LET(
_xlpm.CSVVal,_xlfn.XLOOKUP($A672,CSV!$A:$A,CSV!B:B,""),
_xlpm.MacVal,_xlfn.XLOOKUP($A672,Output_Mac!$A:$A,Output_Mac!B:B,""),
_xlpm.MyAuditVal,_xlfn.XLOOKUP($A672,My_Audit!$A:$A,My_Audit!B:B,""),
_xlfn.IFS(_xlpm.MyAuditVal&lt;&gt;"",UPPER(_xlpm.MyAuditVal),_xlpm.MacVal&lt;&gt;"",_xlpm.MacVal,_xlpm.CSVVal&lt;&gt;"",_xlpm.CSVVal
)),"")</f>
        <v/>
      </c>
      <c r="D672" s="55" t="str">
        <f>_xlfn.XLOOKUP(A672,My_Audit!A:A,My_Audit!D:D,"")&amp;""</f>
        <v/>
      </c>
      <c r="E672" s="55" t="str" cm="1">
        <f t="array" ref="E672">IFERROR(_xlfn.LET(
_xlpm.CSVVal,_xlfn.XLOOKUP($A672,CSV!$A:$A,CSV!D:D,""),
_xlpm.MacVal,_xlfn.XLOOKUP($A672,Output_Mac!$A:$A,Output_Mac!C:C,""),
_xlpm.MyAuditVal,_xlfn.XLOOKUP($A672,My_Audit!$A:$A,My_Audit!D:D,""),
_xlfn.IFS(_xlpm.MyAuditVal&lt;&gt;"",_xlpm.MyAuditVal,_xlpm.MacVal&lt;&gt;"",_xlpm.MacVal,_xlpm.CSVVal&lt;&gt;"",_xlpm.CSVVal
)),"")</f>
        <v/>
      </c>
      <c r="F672" s="54" t="str" cm="1">
        <f t="array" ref="F672">IFERROR(_xlfn.LET(
_xlpm.CSVVal,_xlfn.XLOOKUP($A672,CSV!$A:$A,CSV!E:E,""),
_xlpm.MacVal,_xlfn.XLOOKUP($A672,Output_Mac!$A:$A,Output_Mac!F:F,""),
_xlpm.MyAuditVal,_xlfn.XLOOKUP($A672,My_Audit!$A:$A,My_Audit!E:E,""),
_xlfn.IFS(_xlpm.MyAuditVal&lt;&gt;"",_xlpm.MyAuditVal,_xlpm.MacVal&lt;&gt;"",_xlpm.MacVal,_xlpm.CSVVal&lt;&gt;"",PROPER(_xlpm.CSVVal)
)),"")</f>
        <v/>
      </c>
      <c r="G672" s="54" t="str" cm="1">
        <f t="array" ref="G672">IFERROR(_xlfn.LET(
_xlpm.CSVVal,_xlfn.XLOOKUP($A672,CSV!$A:$A,CSV!F:F,""),
_xlpm.MacVal,_xlfn.XLOOKUP($A672,Output_Mac!$A:$A,Output_Mac!H:H,""),
_xlpm.MyAuditVal,_xlfn.XLOOKUP($A672,My_Audit!$A:$A,My_Audit!F:F,""),
_xlfn.IFS(_xlpm.MyAuditVal&lt;&gt;"",_xlpm.MyAuditVal,_xlpm.MacVal&lt;&gt;"",_xlpm.MacVal,_xlpm.CSVVal&lt;&gt;"",_xlpm.CSVVal
)),"")</f>
        <v/>
      </c>
      <c r="H672" s="54" t="str">
        <f>_xlfn.XLOOKUP(A672,Output_Mac!A:A,Output_Mac!I:I,"")</f>
        <v/>
      </c>
      <c r="I672" s="54" t="str" cm="1">
        <f t="array" ref="I672">IFERROR(_xlfn.LET(
_xlpm.CSVVal,_xlfn.XLOOKUP($A672,CSV!$A:$A,CSV!G:G,""),
_xlpm.MacVal,_xlfn.XLOOKUP($A672,Output_Mac!$A:$A,Output_Mac!J:J,""),
_xlpm.MyAuditVal,_xlfn.XLOOKUP($A672,My_Audit!$A:$A,My_Audit!H:H,""),
_xlfn.IFS(_xlpm.MyAuditVal&lt;&gt;"",UPPER(_xlpm.MyAuditVal),_xlpm.MacVal&lt;&gt;"",_xlpm.MacVal,_xlpm.CSVVal&lt;&gt;"",_xlpm.CSVVal
)),"")</f>
        <v/>
      </c>
      <c r="J672" s="54" t="str" cm="1">
        <f t="array" ref="J672">IFERROR(_xlfn.LET(
_xlpm.CSVVal,_xlfn.XLOOKUP($A672,CSV!$A:$A,CSV!I:I,""),
_xlpm.MacVal,_xlfn.XLOOKUP($A672,Output_Mac!$A:$A,Output_Mac!K:K,""),
_xlpm.MyAuditVal,_xlfn.XLOOKUP($A672,My_Audit!$A:$A,My_Audit!I:I,""),
_xlfn.IFS(_xlpm.MyAuditVal&lt;&gt;"",UPPER(_xlpm.MyAuditVal),_xlpm.MacVal&lt;&gt;"",_xlpm.MacVal,_xlpm.CSVVal&lt;&gt;"",_xlpm.CSVVal
)),"")</f>
        <v/>
      </c>
      <c r="K672" s="54" t="str" cm="1">
        <f t="array" ref="K672">IFERROR(_xlfn.LET(
_xlpm.CSVVal,_xlfn.XLOOKUP($A672,CSV!$A:$A,CSV!M:M,""),
_xlpm.MacVal,_xlfn.XLOOKUP($A672,Output_Mac!$A:$A,Output_Mac!L:L,""),
_xlpm.MyAuditVal,_xlfn.XLOOKUP($A672,My_Audit!$A:$A,My_Audit!J:J,""),
_xlfn.IFS(_xlpm.MyAuditVal&lt;&gt;"",UPPER(_xlpm.MyAuditVal),_xlpm.MacVal&lt;&gt;"",_xlpm.MacVal,_xlpm.CSVVal&lt;&gt;"",_xlpm.CSVVal
)),"")</f>
        <v/>
      </c>
      <c r="L672" s="54" t="str" cm="1">
        <f t="array" ref="L672">IFERROR(_xlfn.LET(
_xlpm.CSVVal,_xlfn.XLOOKUP($A672,CSV!$A:$A,CSV!O:O,""),
_xlpm.MacVal,_xlfn.XLOOKUP($A672,Output_Mac!$A:$A,Output_Mac!M:M,""),
_xlpm.MyAuditVal,_xlfn.XLOOKUP($A672,My_Audit!$A:$A,My_Audit!K:K,""),
_xlfn.IFS(_xlpm.MyAuditVal&lt;&gt;"",UPPER(_xlpm.MyAuditVal),_xlpm.MacVal&lt;&gt;"",_xlpm.MacVal,_xlpm.CSVVal&lt;&gt;"",_xlpm.CSVVal
)),"")</f>
        <v/>
      </c>
      <c r="M672" s="54" t="str">
        <f>_xlfn.LET(
    _xlpm.CSVVal, _xlfn.XLOOKUP($A672, CSV!$A:$A, CSV!AD:AD, ""),
    _xlpm.MacVal, _xlfn.XLOOKUP($A672, Output_Mac!$A:$A, Output_Mac!S:S, ""),
    _xlpm.MyAuditVal, _xlfn.XLOOKUP($A672, My_Audit!$A:$A, My_Audit!N:N, ""),
    _xlfn.TEXTJOIN(", ", TRUE, _xlpm.MyAuditVal, _xlpm.MacVal, _xlpm.CSVVal)
)</f>
        <v/>
      </c>
      <c r="N672" s="54" t="str" cm="1">
        <f t="array" ref="N672">IFERROR(_xlfn.LET(
_xlpm.CSVVal,_xlfn.XLOOKUP($A672,CSV!$A:$A,CSV!AF:AF,""),
_xlpm.MacVal,_xlfn.XLOOKUP($A672,Output_Mac!$A:$A,Output_Mac!U:U,""),
_xlpm.MyAuditVal,_xlfn.XLOOKUP($A672,My_Audit!$A:$A,My_Audit!O:O,""),
_xlfn.IFS(_xlpm.MyAuditVal&lt;&gt;"",UPPER(_xlpm.MyAuditVal),_xlpm.MacVal&lt;&gt;"",_xlpm.MacVal,_xlpm.CSVVal&lt;&gt;"",_xlpm.CSVVal
)),"")</f>
        <v/>
      </c>
      <c r="O672" s="54"/>
      <c r="P672" s="54"/>
      <c r="Q672" s="54"/>
      <c r="R672" s="54"/>
      <c r="S672" s="54"/>
      <c r="T672" s="54"/>
      <c r="U672" s="39"/>
    </row>
    <row r="673" spans="1:21">
      <c r="A673" s="54" t="str">
        <f>_xlfn.TEXTJOIN("",TRUE,Input!$B$2,ROW(My_Audit!A672))</f>
        <v>XX672</v>
      </c>
      <c r="B673" s="54" t="str">
        <f>_xlfn.TEXTJOIN("-",TRUE,"ITD",Input!$A$2,A673)</f>
        <v>ITD-SHRXXX-XX672</v>
      </c>
      <c r="C673" s="54" t="str" cm="1">
        <f t="array" ref="C673">IFERROR(_xlfn.LET(
_xlpm.CSVVal,_xlfn.XLOOKUP($A673,CSV!$A:$A,CSV!B:B,""),
_xlpm.MacVal,_xlfn.XLOOKUP($A673,Output_Mac!$A:$A,Output_Mac!B:B,""),
_xlpm.MyAuditVal,_xlfn.XLOOKUP($A673,My_Audit!$A:$A,My_Audit!B:B,""),
_xlfn.IFS(_xlpm.MyAuditVal&lt;&gt;"",UPPER(_xlpm.MyAuditVal),_xlpm.MacVal&lt;&gt;"",_xlpm.MacVal,_xlpm.CSVVal&lt;&gt;"",_xlpm.CSVVal
)),"")</f>
        <v/>
      </c>
      <c r="D673" s="55" t="str">
        <f>_xlfn.XLOOKUP(A673,My_Audit!A:A,My_Audit!D:D,"")&amp;""</f>
        <v/>
      </c>
      <c r="E673" s="55" t="str" cm="1">
        <f t="array" ref="E673">IFERROR(_xlfn.LET(
_xlpm.CSVVal,_xlfn.XLOOKUP($A673,CSV!$A:$A,CSV!D:D,""),
_xlpm.MacVal,_xlfn.XLOOKUP($A673,Output_Mac!$A:$A,Output_Mac!C:C,""),
_xlpm.MyAuditVal,_xlfn.XLOOKUP($A673,My_Audit!$A:$A,My_Audit!D:D,""),
_xlfn.IFS(_xlpm.MyAuditVal&lt;&gt;"",_xlpm.MyAuditVal,_xlpm.MacVal&lt;&gt;"",_xlpm.MacVal,_xlpm.CSVVal&lt;&gt;"",_xlpm.CSVVal
)),"")</f>
        <v/>
      </c>
      <c r="F673" s="54" t="str" cm="1">
        <f t="array" ref="F673">IFERROR(_xlfn.LET(
_xlpm.CSVVal,_xlfn.XLOOKUP($A673,CSV!$A:$A,CSV!E:E,""),
_xlpm.MacVal,_xlfn.XLOOKUP($A673,Output_Mac!$A:$A,Output_Mac!F:F,""),
_xlpm.MyAuditVal,_xlfn.XLOOKUP($A673,My_Audit!$A:$A,My_Audit!E:E,""),
_xlfn.IFS(_xlpm.MyAuditVal&lt;&gt;"",_xlpm.MyAuditVal,_xlpm.MacVal&lt;&gt;"",_xlpm.MacVal,_xlpm.CSVVal&lt;&gt;"",PROPER(_xlpm.CSVVal)
)),"")</f>
        <v/>
      </c>
      <c r="G673" s="54" t="str" cm="1">
        <f t="array" ref="G673">IFERROR(_xlfn.LET(
_xlpm.CSVVal,_xlfn.XLOOKUP($A673,CSV!$A:$A,CSV!F:F,""),
_xlpm.MacVal,_xlfn.XLOOKUP($A673,Output_Mac!$A:$A,Output_Mac!H:H,""),
_xlpm.MyAuditVal,_xlfn.XLOOKUP($A673,My_Audit!$A:$A,My_Audit!F:F,""),
_xlfn.IFS(_xlpm.MyAuditVal&lt;&gt;"",_xlpm.MyAuditVal,_xlpm.MacVal&lt;&gt;"",_xlpm.MacVal,_xlpm.CSVVal&lt;&gt;"",_xlpm.CSVVal
)),"")</f>
        <v/>
      </c>
      <c r="H673" s="54" t="str">
        <f>_xlfn.XLOOKUP(A673,Output_Mac!A:A,Output_Mac!I:I,"")</f>
        <v/>
      </c>
      <c r="I673" s="54" t="str" cm="1">
        <f t="array" ref="I673">IFERROR(_xlfn.LET(
_xlpm.CSVVal,_xlfn.XLOOKUP($A673,CSV!$A:$A,CSV!G:G,""),
_xlpm.MacVal,_xlfn.XLOOKUP($A673,Output_Mac!$A:$A,Output_Mac!J:J,""),
_xlpm.MyAuditVal,_xlfn.XLOOKUP($A673,My_Audit!$A:$A,My_Audit!H:H,""),
_xlfn.IFS(_xlpm.MyAuditVal&lt;&gt;"",UPPER(_xlpm.MyAuditVal),_xlpm.MacVal&lt;&gt;"",_xlpm.MacVal,_xlpm.CSVVal&lt;&gt;"",_xlpm.CSVVal
)),"")</f>
        <v/>
      </c>
      <c r="J673" s="54" t="str" cm="1">
        <f t="array" ref="J673">IFERROR(_xlfn.LET(
_xlpm.CSVVal,_xlfn.XLOOKUP($A673,CSV!$A:$A,CSV!I:I,""),
_xlpm.MacVal,_xlfn.XLOOKUP($A673,Output_Mac!$A:$A,Output_Mac!K:K,""),
_xlpm.MyAuditVal,_xlfn.XLOOKUP($A673,My_Audit!$A:$A,My_Audit!I:I,""),
_xlfn.IFS(_xlpm.MyAuditVal&lt;&gt;"",UPPER(_xlpm.MyAuditVal),_xlpm.MacVal&lt;&gt;"",_xlpm.MacVal,_xlpm.CSVVal&lt;&gt;"",_xlpm.CSVVal
)),"")</f>
        <v/>
      </c>
      <c r="K673" s="54" t="str" cm="1">
        <f t="array" ref="K673">IFERROR(_xlfn.LET(
_xlpm.CSVVal,_xlfn.XLOOKUP($A673,CSV!$A:$A,CSV!M:M,""),
_xlpm.MacVal,_xlfn.XLOOKUP($A673,Output_Mac!$A:$A,Output_Mac!L:L,""),
_xlpm.MyAuditVal,_xlfn.XLOOKUP($A673,My_Audit!$A:$A,My_Audit!J:J,""),
_xlfn.IFS(_xlpm.MyAuditVal&lt;&gt;"",UPPER(_xlpm.MyAuditVal),_xlpm.MacVal&lt;&gt;"",_xlpm.MacVal,_xlpm.CSVVal&lt;&gt;"",_xlpm.CSVVal
)),"")</f>
        <v/>
      </c>
      <c r="L673" s="54" t="str" cm="1">
        <f t="array" ref="L673">IFERROR(_xlfn.LET(
_xlpm.CSVVal,_xlfn.XLOOKUP($A673,CSV!$A:$A,CSV!O:O,""),
_xlpm.MacVal,_xlfn.XLOOKUP($A673,Output_Mac!$A:$A,Output_Mac!M:M,""),
_xlpm.MyAuditVal,_xlfn.XLOOKUP($A673,My_Audit!$A:$A,My_Audit!K:K,""),
_xlfn.IFS(_xlpm.MyAuditVal&lt;&gt;"",UPPER(_xlpm.MyAuditVal),_xlpm.MacVal&lt;&gt;"",_xlpm.MacVal,_xlpm.CSVVal&lt;&gt;"",_xlpm.CSVVal
)),"")</f>
        <v/>
      </c>
      <c r="M673" s="54" t="str">
        <f>_xlfn.LET(
    _xlpm.CSVVal, _xlfn.XLOOKUP($A673, CSV!$A:$A, CSV!AD:AD, ""),
    _xlpm.MacVal, _xlfn.XLOOKUP($A673, Output_Mac!$A:$A, Output_Mac!S:S, ""),
    _xlpm.MyAuditVal, _xlfn.XLOOKUP($A673, My_Audit!$A:$A, My_Audit!N:N, ""),
    _xlfn.TEXTJOIN(", ", TRUE, _xlpm.MyAuditVal, _xlpm.MacVal, _xlpm.CSVVal)
)</f>
        <v/>
      </c>
      <c r="N673" s="54" t="str" cm="1">
        <f t="array" ref="N673">IFERROR(_xlfn.LET(
_xlpm.CSVVal,_xlfn.XLOOKUP($A673,CSV!$A:$A,CSV!AF:AF,""),
_xlpm.MacVal,_xlfn.XLOOKUP($A673,Output_Mac!$A:$A,Output_Mac!U:U,""),
_xlpm.MyAuditVal,_xlfn.XLOOKUP($A673,My_Audit!$A:$A,My_Audit!O:O,""),
_xlfn.IFS(_xlpm.MyAuditVal&lt;&gt;"",UPPER(_xlpm.MyAuditVal),_xlpm.MacVal&lt;&gt;"",_xlpm.MacVal,_xlpm.CSVVal&lt;&gt;"",_xlpm.CSVVal
)),"")</f>
        <v/>
      </c>
      <c r="O673" s="54"/>
      <c r="P673" s="54"/>
      <c r="Q673" s="54"/>
      <c r="R673" s="54"/>
      <c r="S673" s="54"/>
      <c r="T673" s="54"/>
      <c r="U673" s="39"/>
    </row>
    <row r="674" spans="1:21">
      <c r="A674" s="54" t="str">
        <f>_xlfn.TEXTJOIN("",TRUE,Input!$B$2,ROW(My_Audit!A673))</f>
        <v>XX673</v>
      </c>
      <c r="B674" s="54" t="str">
        <f>_xlfn.TEXTJOIN("-",TRUE,"ITD",Input!$A$2,A674)</f>
        <v>ITD-SHRXXX-XX673</v>
      </c>
      <c r="C674" s="54" t="str" cm="1">
        <f t="array" ref="C674">IFERROR(_xlfn.LET(
_xlpm.CSVVal,_xlfn.XLOOKUP($A674,CSV!$A:$A,CSV!B:B,""),
_xlpm.MacVal,_xlfn.XLOOKUP($A674,Output_Mac!$A:$A,Output_Mac!B:B,""),
_xlpm.MyAuditVal,_xlfn.XLOOKUP($A674,My_Audit!$A:$A,My_Audit!B:B,""),
_xlfn.IFS(_xlpm.MyAuditVal&lt;&gt;"",UPPER(_xlpm.MyAuditVal),_xlpm.MacVal&lt;&gt;"",_xlpm.MacVal,_xlpm.CSVVal&lt;&gt;"",_xlpm.CSVVal
)),"")</f>
        <v/>
      </c>
      <c r="D674" s="55" t="str">
        <f>_xlfn.XLOOKUP(A674,My_Audit!A:A,My_Audit!D:D,"")&amp;""</f>
        <v/>
      </c>
      <c r="E674" s="55" t="str" cm="1">
        <f t="array" ref="E674">IFERROR(_xlfn.LET(
_xlpm.CSVVal,_xlfn.XLOOKUP($A674,CSV!$A:$A,CSV!D:D,""),
_xlpm.MacVal,_xlfn.XLOOKUP($A674,Output_Mac!$A:$A,Output_Mac!C:C,""),
_xlpm.MyAuditVal,_xlfn.XLOOKUP($A674,My_Audit!$A:$A,My_Audit!D:D,""),
_xlfn.IFS(_xlpm.MyAuditVal&lt;&gt;"",_xlpm.MyAuditVal,_xlpm.MacVal&lt;&gt;"",_xlpm.MacVal,_xlpm.CSVVal&lt;&gt;"",_xlpm.CSVVal
)),"")</f>
        <v/>
      </c>
      <c r="F674" s="54" t="str" cm="1">
        <f t="array" ref="F674">IFERROR(_xlfn.LET(
_xlpm.CSVVal,_xlfn.XLOOKUP($A674,CSV!$A:$A,CSV!E:E,""),
_xlpm.MacVal,_xlfn.XLOOKUP($A674,Output_Mac!$A:$A,Output_Mac!F:F,""),
_xlpm.MyAuditVal,_xlfn.XLOOKUP($A674,My_Audit!$A:$A,My_Audit!E:E,""),
_xlfn.IFS(_xlpm.MyAuditVal&lt;&gt;"",_xlpm.MyAuditVal,_xlpm.MacVal&lt;&gt;"",_xlpm.MacVal,_xlpm.CSVVal&lt;&gt;"",PROPER(_xlpm.CSVVal)
)),"")</f>
        <v/>
      </c>
      <c r="G674" s="54" t="str" cm="1">
        <f t="array" ref="G674">IFERROR(_xlfn.LET(
_xlpm.CSVVal,_xlfn.XLOOKUP($A674,CSV!$A:$A,CSV!F:F,""),
_xlpm.MacVal,_xlfn.XLOOKUP($A674,Output_Mac!$A:$A,Output_Mac!H:H,""),
_xlpm.MyAuditVal,_xlfn.XLOOKUP($A674,My_Audit!$A:$A,My_Audit!F:F,""),
_xlfn.IFS(_xlpm.MyAuditVal&lt;&gt;"",_xlpm.MyAuditVal,_xlpm.MacVal&lt;&gt;"",_xlpm.MacVal,_xlpm.CSVVal&lt;&gt;"",_xlpm.CSVVal
)),"")</f>
        <v/>
      </c>
      <c r="H674" s="54" t="str">
        <f>_xlfn.XLOOKUP(A674,Output_Mac!A:A,Output_Mac!I:I,"")</f>
        <v/>
      </c>
      <c r="I674" s="54" t="str" cm="1">
        <f t="array" ref="I674">IFERROR(_xlfn.LET(
_xlpm.CSVVal,_xlfn.XLOOKUP($A674,CSV!$A:$A,CSV!G:G,""),
_xlpm.MacVal,_xlfn.XLOOKUP($A674,Output_Mac!$A:$A,Output_Mac!J:J,""),
_xlpm.MyAuditVal,_xlfn.XLOOKUP($A674,My_Audit!$A:$A,My_Audit!H:H,""),
_xlfn.IFS(_xlpm.MyAuditVal&lt;&gt;"",UPPER(_xlpm.MyAuditVal),_xlpm.MacVal&lt;&gt;"",_xlpm.MacVal,_xlpm.CSVVal&lt;&gt;"",_xlpm.CSVVal
)),"")</f>
        <v/>
      </c>
      <c r="J674" s="54" t="str" cm="1">
        <f t="array" ref="J674">IFERROR(_xlfn.LET(
_xlpm.CSVVal,_xlfn.XLOOKUP($A674,CSV!$A:$A,CSV!I:I,""),
_xlpm.MacVal,_xlfn.XLOOKUP($A674,Output_Mac!$A:$A,Output_Mac!K:K,""),
_xlpm.MyAuditVal,_xlfn.XLOOKUP($A674,My_Audit!$A:$A,My_Audit!I:I,""),
_xlfn.IFS(_xlpm.MyAuditVal&lt;&gt;"",UPPER(_xlpm.MyAuditVal),_xlpm.MacVal&lt;&gt;"",_xlpm.MacVal,_xlpm.CSVVal&lt;&gt;"",_xlpm.CSVVal
)),"")</f>
        <v/>
      </c>
      <c r="K674" s="54" t="str" cm="1">
        <f t="array" ref="K674">IFERROR(_xlfn.LET(
_xlpm.CSVVal,_xlfn.XLOOKUP($A674,CSV!$A:$A,CSV!M:M,""),
_xlpm.MacVal,_xlfn.XLOOKUP($A674,Output_Mac!$A:$A,Output_Mac!L:L,""),
_xlpm.MyAuditVal,_xlfn.XLOOKUP($A674,My_Audit!$A:$A,My_Audit!J:J,""),
_xlfn.IFS(_xlpm.MyAuditVal&lt;&gt;"",UPPER(_xlpm.MyAuditVal),_xlpm.MacVal&lt;&gt;"",_xlpm.MacVal,_xlpm.CSVVal&lt;&gt;"",_xlpm.CSVVal
)),"")</f>
        <v/>
      </c>
      <c r="L674" s="54" t="str" cm="1">
        <f t="array" ref="L674">IFERROR(_xlfn.LET(
_xlpm.CSVVal,_xlfn.XLOOKUP($A674,CSV!$A:$A,CSV!O:O,""),
_xlpm.MacVal,_xlfn.XLOOKUP($A674,Output_Mac!$A:$A,Output_Mac!M:M,""),
_xlpm.MyAuditVal,_xlfn.XLOOKUP($A674,My_Audit!$A:$A,My_Audit!K:K,""),
_xlfn.IFS(_xlpm.MyAuditVal&lt;&gt;"",UPPER(_xlpm.MyAuditVal),_xlpm.MacVal&lt;&gt;"",_xlpm.MacVal,_xlpm.CSVVal&lt;&gt;"",_xlpm.CSVVal
)),"")</f>
        <v/>
      </c>
      <c r="M674" s="54" t="str">
        <f>_xlfn.LET(
    _xlpm.CSVVal, _xlfn.XLOOKUP($A674, CSV!$A:$A, CSV!AD:AD, ""),
    _xlpm.MacVal, _xlfn.XLOOKUP($A674, Output_Mac!$A:$A, Output_Mac!S:S, ""),
    _xlpm.MyAuditVal, _xlfn.XLOOKUP($A674, My_Audit!$A:$A, My_Audit!N:N, ""),
    _xlfn.TEXTJOIN(", ", TRUE, _xlpm.MyAuditVal, _xlpm.MacVal, _xlpm.CSVVal)
)</f>
        <v/>
      </c>
      <c r="N674" s="54" t="str" cm="1">
        <f t="array" ref="N674">IFERROR(_xlfn.LET(
_xlpm.CSVVal,_xlfn.XLOOKUP($A674,CSV!$A:$A,CSV!AF:AF,""),
_xlpm.MacVal,_xlfn.XLOOKUP($A674,Output_Mac!$A:$A,Output_Mac!U:U,""),
_xlpm.MyAuditVal,_xlfn.XLOOKUP($A674,My_Audit!$A:$A,My_Audit!O:O,""),
_xlfn.IFS(_xlpm.MyAuditVal&lt;&gt;"",UPPER(_xlpm.MyAuditVal),_xlpm.MacVal&lt;&gt;"",_xlpm.MacVal,_xlpm.CSVVal&lt;&gt;"",_xlpm.CSVVal
)),"")</f>
        <v/>
      </c>
      <c r="O674" s="54"/>
      <c r="P674" s="54"/>
      <c r="Q674" s="54"/>
      <c r="R674" s="54"/>
      <c r="S674" s="54"/>
      <c r="T674" s="54"/>
      <c r="U674" s="39"/>
    </row>
    <row r="675" spans="1:21">
      <c r="A675" s="54" t="str">
        <f>_xlfn.TEXTJOIN("",TRUE,Input!$B$2,ROW(My_Audit!A674))</f>
        <v>XX674</v>
      </c>
      <c r="B675" s="54" t="str">
        <f>_xlfn.TEXTJOIN("-",TRUE,"ITD",Input!$A$2,A675)</f>
        <v>ITD-SHRXXX-XX674</v>
      </c>
      <c r="C675" s="54" t="str" cm="1">
        <f t="array" ref="C675">IFERROR(_xlfn.LET(
_xlpm.CSVVal,_xlfn.XLOOKUP($A675,CSV!$A:$A,CSV!B:B,""),
_xlpm.MacVal,_xlfn.XLOOKUP($A675,Output_Mac!$A:$A,Output_Mac!B:B,""),
_xlpm.MyAuditVal,_xlfn.XLOOKUP($A675,My_Audit!$A:$A,My_Audit!B:B,""),
_xlfn.IFS(_xlpm.MyAuditVal&lt;&gt;"",UPPER(_xlpm.MyAuditVal),_xlpm.MacVal&lt;&gt;"",_xlpm.MacVal,_xlpm.CSVVal&lt;&gt;"",_xlpm.CSVVal
)),"")</f>
        <v/>
      </c>
      <c r="D675" s="55" t="str">
        <f>_xlfn.XLOOKUP(A675,My_Audit!A:A,My_Audit!D:D,"")&amp;""</f>
        <v/>
      </c>
      <c r="E675" s="55" t="str" cm="1">
        <f t="array" ref="E675">IFERROR(_xlfn.LET(
_xlpm.CSVVal,_xlfn.XLOOKUP($A675,CSV!$A:$A,CSV!D:D,""),
_xlpm.MacVal,_xlfn.XLOOKUP($A675,Output_Mac!$A:$A,Output_Mac!C:C,""),
_xlpm.MyAuditVal,_xlfn.XLOOKUP($A675,My_Audit!$A:$A,My_Audit!D:D,""),
_xlfn.IFS(_xlpm.MyAuditVal&lt;&gt;"",_xlpm.MyAuditVal,_xlpm.MacVal&lt;&gt;"",_xlpm.MacVal,_xlpm.CSVVal&lt;&gt;"",_xlpm.CSVVal
)),"")</f>
        <v/>
      </c>
      <c r="F675" s="54" t="str" cm="1">
        <f t="array" ref="F675">IFERROR(_xlfn.LET(
_xlpm.CSVVal,_xlfn.XLOOKUP($A675,CSV!$A:$A,CSV!E:E,""),
_xlpm.MacVal,_xlfn.XLOOKUP($A675,Output_Mac!$A:$A,Output_Mac!F:F,""),
_xlpm.MyAuditVal,_xlfn.XLOOKUP($A675,My_Audit!$A:$A,My_Audit!E:E,""),
_xlfn.IFS(_xlpm.MyAuditVal&lt;&gt;"",_xlpm.MyAuditVal,_xlpm.MacVal&lt;&gt;"",_xlpm.MacVal,_xlpm.CSVVal&lt;&gt;"",PROPER(_xlpm.CSVVal)
)),"")</f>
        <v/>
      </c>
      <c r="G675" s="54" t="str" cm="1">
        <f t="array" ref="G675">IFERROR(_xlfn.LET(
_xlpm.CSVVal,_xlfn.XLOOKUP($A675,CSV!$A:$A,CSV!F:F,""),
_xlpm.MacVal,_xlfn.XLOOKUP($A675,Output_Mac!$A:$A,Output_Mac!H:H,""),
_xlpm.MyAuditVal,_xlfn.XLOOKUP($A675,My_Audit!$A:$A,My_Audit!F:F,""),
_xlfn.IFS(_xlpm.MyAuditVal&lt;&gt;"",_xlpm.MyAuditVal,_xlpm.MacVal&lt;&gt;"",_xlpm.MacVal,_xlpm.CSVVal&lt;&gt;"",_xlpm.CSVVal
)),"")</f>
        <v/>
      </c>
      <c r="H675" s="54" t="str">
        <f>_xlfn.XLOOKUP(A675,Output_Mac!A:A,Output_Mac!I:I,"")</f>
        <v/>
      </c>
      <c r="I675" s="54" t="str" cm="1">
        <f t="array" ref="I675">IFERROR(_xlfn.LET(
_xlpm.CSVVal,_xlfn.XLOOKUP($A675,CSV!$A:$A,CSV!G:G,""),
_xlpm.MacVal,_xlfn.XLOOKUP($A675,Output_Mac!$A:$A,Output_Mac!J:J,""),
_xlpm.MyAuditVal,_xlfn.XLOOKUP($A675,My_Audit!$A:$A,My_Audit!H:H,""),
_xlfn.IFS(_xlpm.MyAuditVal&lt;&gt;"",UPPER(_xlpm.MyAuditVal),_xlpm.MacVal&lt;&gt;"",_xlpm.MacVal,_xlpm.CSVVal&lt;&gt;"",_xlpm.CSVVal
)),"")</f>
        <v/>
      </c>
      <c r="J675" s="54" t="str" cm="1">
        <f t="array" ref="J675">IFERROR(_xlfn.LET(
_xlpm.CSVVal,_xlfn.XLOOKUP($A675,CSV!$A:$A,CSV!I:I,""),
_xlpm.MacVal,_xlfn.XLOOKUP($A675,Output_Mac!$A:$A,Output_Mac!K:K,""),
_xlpm.MyAuditVal,_xlfn.XLOOKUP($A675,My_Audit!$A:$A,My_Audit!I:I,""),
_xlfn.IFS(_xlpm.MyAuditVal&lt;&gt;"",UPPER(_xlpm.MyAuditVal),_xlpm.MacVal&lt;&gt;"",_xlpm.MacVal,_xlpm.CSVVal&lt;&gt;"",_xlpm.CSVVal
)),"")</f>
        <v/>
      </c>
      <c r="K675" s="54" t="str" cm="1">
        <f t="array" ref="K675">IFERROR(_xlfn.LET(
_xlpm.CSVVal,_xlfn.XLOOKUP($A675,CSV!$A:$A,CSV!M:M,""),
_xlpm.MacVal,_xlfn.XLOOKUP($A675,Output_Mac!$A:$A,Output_Mac!L:L,""),
_xlpm.MyAuditVal,_xlfn.XLOOKUP($A675,My_Audit!$A:$A,My_Audit!J:J,""),
_xlfn.IFS(_xlpm.MyAuditVal&lt;&gt;"",UPPER(_xlpm.MyAuditVal),_xlpm.MacVal&lt;&gt;"",_xlpm.MacVal,_xlpm.CSVVal&lt;&gt;"",_xlpm.CSVVal
)),"")</f>
        <v/>
      </c>
      <c r="L675" s="54" t="str" cm="1">
        <f t="array" ref="L675">IFERROR(_xlfn.LET(
_xlpm.CSVVal,_xlfn.XLOOKUP($A675,CSV!$A:$A,CSV!O:O,""),
_xlpm.MacVal,_xlfn.XLOOKUP($A675,Output_Mac!$A:$A,Output_Mac!M:M,""),
_xlpm.MyAuditVal,_xlfn.XLOOKUP($A675,My_Audit!$A:$A,My_Audit!K:K,""),
_xlfn.IFS(_xlpm.MyAuditVal&lt;&gt;"",UPPER(_xlpm.MyAuditVal),_xlpm.MacVal&lt;&gt;"",_xlpm.MacVal,_xlpm.CSVVal&lt;&gt;"",_xlpm.CSVVal
)),"")</f>
        <v/>
      </c>
      <c r="M675" s="54" t="str">
        <f>_xlfn.LET(
    _xlpm.CSVVal, _xlfn.XLOOKUP($A675, CSV!$A:$A, CSV!AD:AD, ""),
    _xlpm.MacVal, _xlfn.XLOOKUP($A675, Output_Mac!$A:$A, Output_Mac!S:S, ""),
    _xlpm.MyAuditVal, _xlfn.XLOOKUP($A675, My_Audit!$A:$A, My_Audit!N:N, ""),
    _xlfn.TEXTJOIN(", ", TRUE, _xlpm.MyAuditVal, _xlpm.MacVal, _xlpm.CSVVal)
)</f>
        <v/>
      </c>
      <c r="N675" s="54" t="str" cm="1">
        <f t="array" ref="N675">IFERROR(_xlfn.LET(
_xlpm.CSVVal,_xlfn.XLOOKUP($A675,CSV!$A:$A,CSV!AF:AF,""),
_xlpm.MacVal,_xlfn.XLOOKUP($A675,Output_Mac!$A:$A,Output_Mac!U:U,""),
_xlpm.MyAuditVal,_xlfn.XLOOKUP($A675,My_Audit!$A:$A,My_Audit!O:O,""),
_xlfn.IFS(_xlpm.MyAuditVal&lt;&gt;"",UPPER(_xlpm.MyAuditVal),_xlpm.MacVal&lt;&gt;"",_xlpm.MacVal,_xlpm.CSVVal&lt;&gt;"",_xlpm.CSVVal
)),"")</f>
        <v/>
      </c>
      <c r="O675" s="54"/>
      <c r="P675" s="54"/>
      <c r="Q675" s="54"/>
      <c r="R675" s="54"/>
      <c r="S675" s="54"/>
      <c r="T675" s="54"/>
      <c r="U675" s="39"/>
    </row>
    <row r="676" spans="1:21">
      <c r="A676" s="54" t="str">
        <f>_xlfn.TEXTJOIN("",TRUE,Input!$B$2,ROW(My_Audit!A675))</f>
        <v>XX675</v>
      </c>
      <c r="B676" s="54" t="str">
        <f>_xlfn.TEXTJOIN("-",TRUE,"ITD",Input!$A$2,A676)</f>
        <v>ITD-SHRXXX-XX675</v>
      </c>
      <c r="C676" s="54" t="str" cm="1">
        <f t="array" ref="C676">IFERROR(_xlfn.LET(
_xlpm.CSVVal,_xlfn.XLOOKUP($A676,CSV!$A:$A,CSV!B:B,""),
_xlpm.MacVal,_xlfn.XLOOKUP($A676,Output_Mac!$A:$A,Output_Mac!B:B,""),
_xlpm.MyAuditVal,_xlfn.XLOOKUP($A676,My_Audit!$A:$A,My_Audit!B:B,""),
_xlfn.IFS(_xlpm.MyAuditVal&lt;&gt;"",UPPER(_xlpm.MyAuditVal),_xlpm.MacVal&lt;&gt;"",_xlpm.MacVal,_xlpm.CSVVal&lt;&gt;"",_xlpm.CSVVal
)),"")</f>
        <v/>
      </c>
      <c r="D676" s="55" t="str">
        <f>_xlfn.XLOOKUP(A676,My_Audit!A:A,My_Audit!D:D,"")&amp;""</f>
        <v/>
      </c>
      <c r="E676" s="55" t="str" cm="1">
        <f t="array" ref="E676">IFERROR(_xlfn.LET(
_xlpm.CSVVal,_xlfn.XLOOKUP($A676,CSV!$A:$A,CSV!D:D,""),
_xlpm.MacVal,_xlfn.XLOOKUP($A676,Output_Mac!$A:$A,Output_Mac!C:C,""),
_xlpm.MyAuditVal,_xlfn.XLOOKUP($A676,My_Audit!$A:$A,My_Audit!D:D,""),
_xlfn.IFS(_xlpm.MyAuditVal&lt;&gt;"",_xlpm.MyAuditVal,_xlpm.MacVal&lt;&gt;"",_xlpm.MacVal,_xlpm.CSVVal&lt;&gt;"",_xlpm.CSVVal
)),"")</f>
        <v/>
      </c>
      <c r="F676" s="54" t="str" cm="1">
        <f t="array" ref="F676">IFERROR(_xlfn.LET(
_xlpm.CSVVal,_xlfn.XLOOKUP($A676,CSV!$A:$A,CSV!E:E,""),
_xlpm.MacVal,_xlfn.XLOOKUP($A676,Output_Mac!$A:$A,Output_Mac!F:F,""),
_xlpm.MyAuditVal,_xlfn.XLOOKUP($A676,My_Audit!$A:$A,My_Audit!E:E,""),
_xlfn.IFS(_xlpm.MyAuditVal&lt;&gt;"",_xlpm.MyAuditVal,_xlpm.MacVal&lt;&gt;"",_xlpm.MacVal,_xlpm.CSVVal&lt;&gt;"",PROPER(_xlpm.CSVVal)
)),"")</f>
        <v/>
      </c>
      <c r="G676" s="54" t="str" cm="1">
        <f t="array" ref="G676">IFERROR(_xlfn.LET(
_xlpm.CSVVal,_xlfn.XLOOKUP($A676,CSV!$A:$A,CSV!F:F,""),
_xlpm.MacVal,_xlfn.XLOOKUP($A676,Output_Mac!$A:$A,Output_Mac!H:H,""),
_xlpm.MyAuditVal,_xlfn.XLOOKUP($A676,My_Audit!$A:$A,My_Audit!F:F,""),
_xlfn.IFS(_xlpm.MyAuditVal&lt;&gt;"",_xlpm.MyAuditVal,_xlpm.MacVal&lt;&gt;"",_xlpm.MacVal,_xlpm.CSVVal&lt;&gt;"",_xlpm.CSVVal
)),"")</f>
        <v/>
      </c>
      <c r="H676" s="54" t="str">
        <f>_xlfn.XLOOKUP(A676,Output_Mac!A:A,Output_Mac!I:I,"")</f>
        <v/>
      </c>
      <c r="I676" s="54" t="str" cm="1">
        <f t="array" ref="I676">IFERROR(_xlfn.LET(
_xlpm.CSVVal,_xlfn.XLOOKUP($A676,CSV!$A:$A,CSV!G:G,""),
_xlpm.MacVal,_xlfn.XLOOKUP($A676,Output_Mac!$A:$A,Output_Mac!J:J,""),
_xlpm.MyAuditVal,_xlfn.XLOOKUP($A676,My_Audit!$A:$A,My_Audit!H:H,""),
_xlfn.IFS(_xlpm.MyAuditVal&lt;&gt;"",UPPER(_xlpm.MyAuditVal),_xlpm.MacVal&lt;&gt;"",_xlpm.MacVal,_xlpm.CSVVal&lt;&gt;"",_xlpm.CSVVal
)),"")</f>
        <v/>
      </c>
      <c r="J676" s="54" t="str" cm="1">
        <f t="array" ref="J676">IFERROR(_xlfn.LET(
_xlpm.CSVVal,_xlfn.XLOOKUP($A676,CSV!$A:$A,CSV!I:I,""),
_xlpm.MacVal,_xlfn.XLOOKUP($A676,Output_Mac!$A:$A,Output_Mac!K:K,""),
_xlpm.MyAuditVal,_xlfn.XLOOKUP($A676,My_Audit!$A:$A,My_Audit!I:I,""),
_xlfn.IFS(_xlpm.MyAuditVal&lt;&gt;"",UPPER(_xlpm.MyAuditVal),_xlpm.MacVal&lt;&gt;"",_xlpm.MacVal,_xlpm.CSVVal&lt;&gt;"",_xlpm.CSVVal
)),"")</f>
        <v/>
      </c>
      <c r="K676" s="54" t="str" cm="1">
        <f t="array" ref="K676">IFERROR(_xlfn.LET(
_xlpm.CSVVal,_xlfn.XLOOKUP($A676,CSV!$A:$A,CSV!M:M,""),
_xlpm.MacVal,_xlfn.XLOOKUP($A676,Output_Mac!$A:$A,Output_Mac!L:L,""),
_xlpm.MyAuditVal,_xlfn.XLOOKUP($A676,My_Audit!$A:$A,My_Audit!J:J,""),
_xlfn.IFS(_xlpm.MyAuditVal&lt;&gt;"",UPPER(_xlpm.MyAuditVal),_xlpm.MacVal&lt;&gt;"",_xlpm.MacVal,_xlpm.CSVVal&lt;&gt;"",_xlpm.CSVVal
)),"")</f>
        <v/>
      </c>
      <c r="L676" s="54" t="str" cm="1">
        <f t="array" ref="L676">IFERROR(_xlfn.LET(
_xlpm.CSVVal,_xlfn.XLOOKUP($A676,CSV!$A:$A,CSV!O:O,""),
_xlpm.MacVal,_xlfn.XLOOKUP($A676,Output_Mac!$A:$A,Output_Mac!M:M,""),
_xlpm.MyAuditVal,_xlfn.XLOOKUP($A676,My_Audit!$A:$A,My_Audit!K:K,""),
_xlfn.IFS(_xlpm.MyAuditVal&lt;&gt;"",UPPER(_xlpm.MyAuditVal),_xlpm.MacVal&lt;&gt;"",_xlpm.MacVal,_xlpm.CSVVal&lt;&gt;"",_xlpm.CSVVal
)),"")</f>
        <v/>
      </c>
      <c r="M676" s="54" t="str">
        <f>_xlfn.LET(
    _xlpm.CSVVal, _xlfn.XLOOKUP($A676, CSV!$A:$A, CSV!AD:AD, ""),
    _xlpm.MacVal, _xlfn.XLOOKUP($A676, Output_Mac!$A:$A, Output_Mac!S:S, ""),
    _xlpm.MyAuditVal, _xlfn.XLOOKUP($A676, My_Audit!$A:$A, My_Audit!N:N, ""),
    _xlfn.TEXTJOIN(", ", TRUE, _xlpm.MyAuditVal, _xlpm.MacVal, _xlpm.CSVVal)
)</f>
        <v/>
      </c>
      <c r="N676" s="54" t="str" cm="1">
        <f t="array" ref="N676">IFERROR(_xlfn.LET(
_xlpm.CSVVal,_xlfn.XLOOKUP($A676,CSV!$A:$A,CSV!AF:AF,""),
_xlpm.MacVal,_xlfn.XLOOKUP($A676,Output_Mac!$A:$A,Output_Mac!U:U,""),
_xlpm.MyAuditVal,_xlfn.XLOOKUP($A676,My_Audit!$A:$A,My_Audit!O:O,""),
_xlfn.IFS(_xlpm.MyAuditVal&lt;&gt;"",UPPER(_xlpm.MyAuditVal),_xlpm.MacVal&lt;&gt;"",_xlpm.MacVal,_xlpm.CSVVal&lt;&gt;"",_xlpm.CSVVal
)),"")</f>
        <v/>
      </c>
      <c r="O676" s="54"/>
      <c r="P676" s="54"/>
      <c r="Q676" s="54"/>
      <c r="R676" s="54"/>
      <c r="S676" s="54"/>
      <c r="T676" s="54"/>
      <c r="U676" s="39"/>
    </row>
    <row r="677" spans="1:21">
      <c r="A677" s="54" t="str">
        <f>_xlfn.TEXTJOIN("",TRUE,Input!$B$2,ROW(My_Audit!A676))</f>
        <v>XX676</v>
      </c>
      <c r="B677" s="54" t="str">
        <f>_xlfn.TEXTJOIN("-",TRUE,"ITD",Input!$A$2,A677)</f>
        <v>ITD-SHRXXX-XX676</v>
      </c>
      <c r="C677" s="54" t="str" cm="1">
        <f t="array" ref="C677">IFERROR(_xlfn.LET(
_xlpm.CSVVal,_xlfn.XLOOKUP($A677,CSV!$A:$A,CSV!B:B,""),
_xlpm.MacVal,_xlfn.XLOOKUP($A677,Output_Mac!$A:$A,Output_Mac!B:B,""),
_xlpm.MyAuditVal,_xlfn.XLOOKUP($A677,My_Audit!$A:$A,My_Audit!B:B,""),
_xlfn.IFS(_xlpm.MyAuditVal&lt;&gt;"",UPPER(_xlpm.MyAuditVal),_xlpm.MacVal&lt;&gt;"",_xlpm.MacVal,_xlpm.CSVVal&lt;&gt;"",_xlpm.CSVVal
)),"")</f>
        <v/>
      </c>
      <c r="D677" s="55" t="str">
        <f>_xlfn.XLOOKUP(A677,My_Audit!A:A,My_Audit!D:D,"")&amp;""</f>
        <v/>
      </c>
      <c r="E677" s="55" t="str" cm="1">
        <f t="array" ref="E677">IFERROR(_xlfn.LET(
_xlpm.CSVVal,_xlfn.XLOOKUP($A677,CSV!$A:$A,CSV!D:D,""),
_xlpm.MacVal,_xlfn.XLOOKUP($A677,Output_Mac!$A:$A,Output_Mac!C:C,""),
_xlpm.MyAuditVal,_xlfn.XLOOKUP($A677,My_Audit!$A:$A,My_Audit!D:D,""),
_xlfn.IFS(_xlpm.MyAuditVal&lt;&gt;"",_xlpm.MyAuditVal,_xlpm.MacVal&lt;&gt;"",_xlpm.MacVal,_xlpm.CSVVal&lt;&gt;"",_xlpm.CSVVal
)),"")</f>
        <v/>
      </c>
      <c r="F677" s="54" t="str" cm="1">
        <f t="array" ref="F677">IFERROR(_xlfn.LET(
_xlpm.CSVVal,_xlfn.XLOOKUP($A677,CSV!$A:$A,CSV!E:E,""),
_xlpm.MacVal,_xlfn.XLOOKUP($A677,Output_Mac!$A:$A,Output_Mac!F:F,""),
_xlpm.MyAuditVal,_xlfn.XLOOKUP($A677,My_Audit!$A:$A,My_Audit!E:E,""),
_xlfn.IFS(_xlpm.MyAuditVal&lt;&gt;"",_xlpm.MyAuditVal,_xlpm.MacVal&lt;&gt;"",_xlpm.MacVal,_xlpm.CSVVal&lt;&gt;"",PROPER(_xlpm.CSVVal)
)),"")</f>
        <v/>
      </c>
      <c r="G677" s="54" t="str" cm="1">
        <f t="array" ref="G677">IFERROR(_xlfn.LET(
_xlpm.CSVVal,_xlfn.XLOOKUP($A677,CSV!$A:$A,CSV!F:F,""),
_xlpm.MacVal,_xlfn.XLOOKUP($A677,Output_Mac!$A:$A,Output_Mac!H:H,""),
_xlpm.MyAuditVal,_xlfn.XLOOKUP($A677,My_Audit!$A:$A,My_Audit!F:F,""),
_xlfn.IFS(_xlpm.MyAuditVal&lt;&gt;"",_xlpm.MyAuditVal,_xlpm.MacVal&lt;&gt;"",_xlpm.MacVal,_xlpm.CSVVal&lt;&gt;"",_xlpm.CSVVal
)),"")</f>
        <v/>
      </c>
      <c r="H677" s="54" t="str">
        <f>_xlfn.XLOOKUP(A677,Output_Mac!A:A,Output_Mac!I:I,"")</f>
        <v/>
      </c>
      <c r="I677" s="54" t="str" cm="1">
        <f t="array" ref="I677">IFERROR(_xlfn.LET(
_xlpm.CSVVal,_xlfn.XLOOKUP($A677,CSV!$A:$A,CSV!G:G,""),
_xlpm.MacVal,_xlfn.XLOOKUP($A677,Output_Mac!$A:$A,Output_Mac!J:J,""),
_xlpm.MyAuditVal,_xlfn.XLOOKUP($A677,My_Audit!$A:$A,My_Audit!H:H,""),
_xlfn.IFS(_xlpm.MyAuditVal&lt;&gt;"",UPPER(_xlpm.MyAuditVal),_xlpm.MacVal&lt;&gt;"",_xlpm.MacVal,_xlpm.CSVVal&lt;&gt;"",_xlpm.CSVVal
)),"")</f>
        <v/>
      </c>
      <c r="J677" s="54" t="str" cm="1">
        <f t="array" ref="J677">IFERROR(_xlfn.LET(
_xlpm.CSVVal,_xlfn.XLOOKUP($A677,CSV!$A:$A,CSV!I:I,""),
_xlpm.MacVal,_xlfn.XLOOKUP($A677,Output_Mac!$A:$A,Output_Mac!K:K,""),
_xlpm.MyAuditVal,_xlfn.XLOOKUP($A677,My_Audit!$A:$A,My_Audit!I:I,""),
_xlfn.IFS(_xlpm.MyAuditVal&lt;&gt;"",UPPER(_xlpm.MyAuditVal),_xlpm.MacVal&lt;&gt;"",_xlpm.MacVal,_xlpm.CSVVal&lt;&gt;"",_xlpm.CSVVal
)),"")</f>
        <v/>
      </c>
      <c r="K677" s="54" t="str" cm="1">
        <f t="array" ref="K677">IFERROR(_xlfn.LET(
_xlpm.CSVVal,_xlfn.XLOOKUP($A677,CSV!$A:$A,CSV!M:M,""),
_xlpm.MacVal,_xlfn.XLOOKUP($A677,Output_Mac!$A:$A,Output_Mac!L:L,""),
_xlpm.MyAuditVal,_xlfn.XLOOKUP($A677,My_Audit!$A:$A,My_Audit!J:J,""),
_xlfn.IFS(_xlpm.MyAuditVal&lt;&gt;"",UPPER(_xlpm.MyAuditVal),_xlpm.MacVal&lt;&gt;"",_xlpm.MacVal,_xlpm.CSVVal&lt;&gt;"",_xlpm.CSVVal
)),"")</f>
        <v/>
      </c>
      <c r="L677" s="54" t="str" cm="1">
        <f t="array" ref="L677">IFERROR(_xlfn.LET(
_xlpm.CSVVal,_xlfn.XLOOKUP($A677,CSV!$A:$A,CSV!O:O,""),
_xlpm.MacVal,_xlfn.XLOOKUP($A677,Output_Mac!$A:$A,Output_Mac!M:M,""),
_xlpm.MyAuditVal,_xlfn.XLOOKUP($A677,My_Audit!$A:$A,My_Audit!K:K,""),
_xlfn.IFS(_xlpm.MyAuditVal&lt;&gt;"",UPPER(_xlpm.MyAuditVal),_xlpm.MacVal&lt;&gt;"",_xlpm.MacVal,_xlpm.CSVVal&lt;&gt;"",_xlpm.CSVVal
)),"")</f>
        <v/>
      </c>
      <c r="M677" s="54" t="str">
        <f>_xlfn.LET(
    _xlpm.CSVVal, _xlfn.XLOOKUP($A677, CSV!$A:$A, CSV!AD:AD, ""),
    _xlpm.MacVal, _xlfn.XLOOKUP($A677, Output_Mac!$A:$A, Output_Mac!S:S, ""),
    _xlpm.MyAuditVal, _xlfn.XLOOKUP($A677, My_Audit!$A:$A, My_Audit!N:N, ""),
    _xlfn.TEXTJOIN(", ", TRUE, _xlpm.MyAuditVal, _xlpm.MacVal, _xlpm.CSVVal)
)</f>
        <v/>
      </c>
      <c r="N677" s="54" t="str" cm="1">
        <f t="array" ref="N677">IFERROR(_xlfn.LET(
_xlpm.CSVVal,_xlfn.XLOOKUP($A677,CSV!$A:$A,CSV!AF:AF,""),
_xlpm.MacVal,_xlfn.XLOOKUP($A677,Output_Mac!$A:$A,Output_Mac!U:U,""),
_xlpm.MyAuditVal,_xlfn.XLOOKUP($A677,My_Audit!$A:$A,My_Audit!O:O,""),
_xlfn.IFS(_xlpm.MyAuditVal&lt;&gt;"",UPPER(_xlpm.MyAuditVal),_xlpm.MacVal&lt;&gt;"",_xlpm.MacVal,_xlpm.CSVVal&lt;&gt;"",_xlpm.CSVVal
)),"")</f>
        <v/>
      </c>
      <c r="O677" s="54"/>
      <c r="P677" s="54"/>
      <c r="Q677" s="54"/>
      <c r="R677" s="54"/>
      <c r="S677" s="54"/>
      <c r="T677" s="54"/>
      <c r="U677" s="39"/>
    </row>
    <row r="678" spans="1:21">
      <c r="A678" s="54" t="str">
        <f>_xlfn.TEXTJOIN("",TRUE,Input!$B$2,ROW(My_Audit!A677))</f>
        <v>XX677</v>
      </c>
      <c r="B678" s="54" t="str">
        <f>_xlfn.TEXTJOIN("-",TRUE,"ITD",Input!$A$2,A678)</f>
        <v>ITD-SHRXXX-XX677</v>
      </c>
      <c r="C678" s="54" t="str" cm="1">
        <f t="array" ref="C678">IFERROR(_xlfn.LET(
_xlpm.CSVVal,_xlfn.XLOOKUP($A678,CSV!$A:$A,CSV!B:B,""),
_xlpm.MacVal,_xlfn.XLOOKUP($A678,Output_Mac!$A:$A,Output_Mac!B:B,""),
_xlpm.MyAuditVal,_xlfn.XLOOKUP($A678,My_Audit!$A:$A,My_Audit!B:B,""),
_xlfn.IFS(_xlpm.MyAuditVal&lt;&gt;"",UPPER(_xlpm.MyAuditVal),_xlpm.MacVal&lt;&gt;"",_xlpm.MacVal,_xlpm.CSVVal&lt;&gt;"",_xlpm.CSVVal
)),"")</f>
        <v/>
      </c>
      <c r="D678" s="55" t="str">
        <f>_xlfn.XLOOKUP(A678,My_Audit!A:A,My_Audit!D:D,"")&amp;""</f>
        <v/>
      </c>
      <c r="E678" s="55" t="str" cm="1">
        <f t="array" ref="E678">IFERROR(_xlfn.LET(
_xlpm.CSVVal,_xlfn.XLOOKUP($A678,CSV!$A:$A,CSV!D:D,""),
_xlpm.MacVal,_xlfn.XLOOKUP($A678,Output_Mac!$A:$A,Output_Mac!C:C,""),
_xlpm.MyAuditVal,_xlfn.XLOOKUP($A678,My_Audit!$A:$A,My_Audit!D:D,""),
_xlfn.IFS(_xlpm.MyAuditVal&lt;&gt;"",_xlpm.MyAuditVal,_xlpm.MacVal&lt;&gt;"",_xlpm.MacVal,_xlpm.CSVVal&lt;&gt;"",_xlpm.CSVVal
)),"")</f>
        <v/>
      </c>
      <c r="F678" s="54" t="str" cm="1">
        <f t="array" ref="F678">IFERROR(_xlfn.LET(
_xlpm.CSVVal,_xlfn.XLOOKUP($A678,CSV!$A:$A,CSV!E:E,""),
_xlpm.MacVal,_xlfn.XLOOKUP($A678,Output_Mac!$A:$A,Output_Mac!F:F,""),
_xlpm.MyAuditVal,_xlfn.XLOOKUP($A678,My_Audit!$A:$A,My_Audit!E:E,""),
_xlfn.IFS(_xlpm.MyAuditVal&lt;&gt;"",_xlpm.MyAuditVal,_xlpm.MacVal&lt;&gt;"",_xlpm.MacVal,_xlpm.CSVVal&lt;&gt;"",PROPER(_xlpm.CSVVal)
)),"")</f>
        <v/>
      </c>
      <c r="G678" s="54" t="str" cm="1">
        <f t="array" ref="G678">IFERROR(_xlfn.LET(
_xlpm.CSVVal,_xlfn.XLOOKUP($A678,CSV!$A:$A,CSV!F:F,""),
_xlpm.MacVal,_xlfn.XLOOKUP($A678,Output_Mac!$A:$A,Output_Mac!H:H,""),
_xlpm.MyAuditVal,_xlfn.XLOOKUP($A678,My_Audit!$A:$A,My_Audit!F:F,""),
_xlfn.IFS(_xlpm.MyAuditVal&lt;&gt;"",_xlpm.MyAuditVal,_xlpm.MacVal&lt;&gt;"",_xlpm.MacVal,_xlpm.CSVVal&lt;&gt;"",_xlpm.CSVVal
)),"")</f>
        <v/>
      </c>
      <c r="H678" s="54" t="str">
        <f>_xlfn.XLOOKUP(A678,Output_Mac!A:A,Output_Mac!I:I,"")</f>
        <v/>
      </c>
      <c r="I678" s="54" t="str" cm="1">
        <f t="array" ref="I678">IFERROR(_xlfn.LET(
_xlpm.CSVVal,_xlfn.XLOOKUP($A678,CSV!$A:$A,CSV!G:G,""),
_xlpm.MacVal,_xlfn.XLOOKUP($A678,Output_Mac!$A:$A,Output_Mac!J:J,""),
_xlpm.MyAuditVal,_xlfn.XLOOKUP($A678,My_Audit!$A:$A,My_Audit!H:H,""),
_xlfn.IFS(_xlpm.MyAuditVal&lt;&gt;"",UPPER(_xlpm.MyAuditVal),_xlpm.MacVal&lt;&gt;"",_xlpm.MacVal,_xlpm.CSVVal&lt;&gt;"",_xlpm.CSVVal
)),"")</f>
        <v/>
      </c>
      <c r="J678" s="54" t="str" cm="1">
        <f t="array" ref="J678">IFERROR(_xlfn.LET(
_xlpm.CSVVal,_xlfn.XLOOKUP($A678,CSV!$A:$A,CSV!I:I,""),
_xlpm.MacVal,_xlfn.XLOOKUP($A678,Output_Mac!$A:$A,Output_Mac!K:K,""),
_xlpm.MyAuditVal,_xlfn.XLOOKUP($A678,My_Audit!$A:$A,My_Audit!I:I,""),
_xlfn.IFS(_xlpm.MyAuditVal&lt;&gt;"",UPPER(_xlpm.MyAuditVal),_xlpm.MacVal&lt;&gt;"",_xlpm.MacVal,_xlpm.CSVVal&lt;&gt;"",_xlpm.CSVVal
)),"")</f>
        <v/>
      </c>
      <c r="K678" s="54" t="str" cm="1">
        <f t="array" ref="K678">IFERROR(_xlfn.LET(
_xlpm.CSVVal,_xlfn.XLOOKUP($A678,CSV!$A:$A,CSV!M:M,""),
_xlpm.MacVal,_xlfn.XLOOKUP($A678,Output_Mac!$A:$A,Output_Mac!L:L,""),
_xlpm.MyAuditVal,_xlfn.XLOOKUP($A678,My_Audit!$A:$A,My_Audit!J:J,""),
_xlfn.IFS(_xlpm.MyAuditVal&lt;&gt;"",UPPER(_xlpm.MyAuditVal),_xlpm.MacVal&lt;&gt;"",_xlpm.MacVal,_xlpm.CSVVal&lt;&gt;"",_xlpm.CSVVal
)),"")</f>
        <v/>
      </c>
      <c r="L678" s="54" t="str" cm="1">
        <f t="array" ref="L678">IFERROR(_xlfn.LET(
_xlpm.CSVVal,_xlfn.XLOOKUP($A678,CSV!$A:$A,CSV!O:O,""),
_xlpm.MacVal,_xlfn.XLOOKUP($A678,Output_Mac!$A:$A,Output_Mac!M:M,""),
_xlpm.MyAuditVal,_xlfn.XLOOKUP($A678,My_Audit!$A:$A,My_Audit!K:K,""),
_xlfn.IFS(_xlpm.MyAuditVal&lt;&gt;"",UPPER(_xlpm.MyAuditVal),_xlpm.MacVal&lt;&gt;"",_xlpm.MacVal,_xlpm.CSVVal&lt;&gt;"",_xlpm.CSVVal
)),"")</f>
        <v/>
      </c>
      <c r="M678" s="54" t="str">
        <f>_xlfn.LET(
    _xlpm.CSVVal, _xlfn.XLOOKUP($A678, CSV!$A:$A, CSV!AD:AD, ""),
    _xlpm.MacVal, _xlfn.XLOOKUP($A678, Output_Mac!$A:$A, Output_Mac!S:S, ""),
    _xlpm.MyAuditVal, _xlfn.XLOOKUP($A678, My_Audit!$A:$A, My_Audit!N:N, ""),
    _xlfn.TEXTJOIN(", ", TRUE, _xlpm.MyAuditVal, _xlpm.MacVal, _xlpm.CSVVal)
)</f>
        <v/>
      </c>
      <c r="N678" s="54" t="str" cm="1">
        <f t="array" ref="N678">IFERROR(_xlfn.LET(
_xlpm.CSVVal,_xlfn.XLOOKUP($A678,CSV!$A:$A,CSV!AF:AF,""),
_xlpm.MacVal,_xlfn.XLOOKUP($A678,Output_Mac!$A:$A,Output_Mac!U:U,""),
_xlpm.MyAuditVal,_xlfn.XLOOKUP($A678,My_Audit!$A:$A,My_Audit!O:O,""),
_xlfn.IFS(_xlpm.MyAuditVal&lt;&gt;"",UPPER(_xlpm.MyAuditVal),_xlpm.MacVal&lt;&gt;"",_xlpm.MacVal,_xlpm.CSVVal&lt;&gt;"",_xlpm.CSVVal
)),"")</f>
        <v/>
      </c>
      <c r="O678" s="54"/>
      <c r="P678" s="54"/>
      <c r="Q678" s="54"/>
      <c r="R678" s="54"/>
      <c r="S678" s="54"/>
      <c r="T678" s="54"/>
      <c r="U678" s="39"/>
    </row>
    <row r="679" spans="1:21">
      <c r="A679" s="54" t="str">
        <f>_xlfn.TEXTJOIN("",TRUE,Input!$B$2,ROW(My_Audit!A678))</f>
        <v>XX678</v>
      </c>
      <c r="B679" s="54" t="str">
        <f>_xlfn.TEXTJOIN("-",TRUE,"ITD",Input!$A$2,A679)</f>
        <v>ITD-SHRXXX-XX678</v>
      </c>
      <c r="C679" s="54" t="str" cm="1">
        <f t="array" ref="C679">IFERROR(_xlfn.LET(
_xlpm.CSVVal,_xlfn.XLOOKUP($A679,CSV!$A:$A,CSV!B:B,""),
_xlpm.MacVal,_xlfn.XLOOKUP($A679,Output_Mac!$A:$A,Output_Mac!B:B,""),
_xlpm.MyAuditVal,_xlfn.XLOOKUP($A679,My_Audit!$A:$A,My_Audit!B:B,""),
_xlfn.IFS(_xlpm.MyAuditVal&lt;&gt;"",UPPER(_xlpm.MyAuditVal),_xlpm.MacVal&lt;&gt;"",_xlpm.MacVal,_xlpm.CSVVal&lt;&gt;"",_xlpm.CSVVal
)),"")</f>
        <v/>
      </c>
      <c r="D679" s="55" t="str">
        <f>_xlfn.XLOOKUP(A679,My_Audit!A:A,My_Audit!D:D,"")&amp;""</f>
        <v/>
      </c>
      <c r="E679" s="55" t="str" cm="1">
        <f t="array" ref="E679">IFERROR(_xlfn.LET(
_xlpm.CSVVal,_xlfn.XLOOKUP($A679,CSV!$A:$A,CSV!D:D,""),
_xlpm.MacVal,_xlfn.XLOOKUP($A679,Output_Mac!$A:$A,Output_Mac!C:C,""),
_xlpm.MyAuditVal,_xlfn.XLOOKUP($A679,My_Audit!$A:$A,My_Audit!D:D,""),
_xlfn.IFS(_xlpm.MyAuditVal&lt;&gt;"",_xlpm.MyAuditVal,_xlpm.MacVal&lt;&gt;"",_xlpm.MacVal,_xlpm.CSVVal&lt;&gt;"",_xlpm.CSVVal
)),"")</f>
        <v/>
      </c>
      <c r="F679" s="54" t="str" cm="1">
        <f t="array" ref="F679">IFERROR(_xlfn.LET(
_xlpm.CSVVal,_xlfn.XLOOKUP($A679,CSV!$A:$A,CSV!E:E,""),
_xlpm.MacVal,_xlfn.XLOOKUP($A679,Output_Mac!$A:$A,Output_Mac!F:F,""),
_xlpm.MyAuditVal,_xlfn.XLOOKUP($A679,My_Audit!$A:$A,My_Audit!E:E,""),
_xlfn.IFS(_xlpm.MyAuditVal&lt;&gt;"",_xlpm.MyAuditVal,_xlpm.MacVal&lt;&gt;"",_xlpm.MacVal,_xlpm.CSVVal&lt;&gt;"",PROPER(_xlpm.CSVVal)
)),"")</f>
        <v/>
      </c>
      <c r="G679" s="54" t="str" cm="1">
        <f t="array" ref="G679">IFERROR(_xlfn.LET(
_xlpm.CSVVal,_xlfn.XLOOKUP($A679,CSV!$A:$A,CSV!F:F,""),
_xlpm.MacVal,_xlfn.XLOOKUP($A679,Output_Mac!$A:$A,Output_Mac!H:H,""),
_xlpm.MyAuditVal,_xlfn.XLOOKUP($A679,My_Audit!$A:$A,My_Audit!F:F,""),
_xlfn.IFS(_xlpm.MyAuditVal&lt;&gt;"",_xlpm.MyAuditVal,_xlpm.MacVal&lt;&gt;"",_xlpm.MacVal,_xlpm.CSVVal&lt;&gt;"",_xlpm.CSVVal
)),"")</f>
        <v/>
      </c>
      <c r="H679" s="54" t="str">
        <f>_xlfn.XLOOKUP(A679,Output_Mac!A:A,Output_Mac!I:I,"")</f>
        <v/>
      </c>
      <c r="I679" s="54" t="str" cm="1">
        <f t="array" ref="I679">IFERROR(_xlfn.LET(
_xlpm.CSVVal,_xlfn.XLOOKUP($A679,CSV!$A:$A,CSV!G:G,""),
_xlpm.MacVal,_xlfn.XLOOKUP($A679,Output_Mac!$A:$A,Output_Mac!J:J,""),
_xlpm.MyAuditVal,_xlfn.XLOOKUP($A679,My_Audit!$A:$A,My_Audit!H:H,""),
_xlfn.IFS(_xlpm.MyAuditVal&lt;&gt;"",UPPER(_xlpm.MyAuditVal),_xlpm.MacVal&lt;&gt;"",_xlpm.MacVal,_xlpm.CSVVal&lt;&gt;"",_xlpm.CSVVal
)),"")</f>
        <v/>
      </c>
      <c r="J679" s="54" t="str" cm="1">
        <f t="array" ref="J679">IFERROR(_xlfn.LET(
_xlpm.CSVVal,_xlfn.XLOOKUP($A679,CSV!$A:$A,CSV!I:I,""),
_xlpm.MacVal,_xlfn.XLOOKUP($A679,Output_Mac!$A:$A,Output_Mac!K:K,""),
_xlpm.MyAuditVal,_xlfn.XLOOKUP($A679,My_Audit!$A:$A,My_Audit!I:I,""),
_xlfn.IFS(_xlpm.MyAuditVal&lt;&gt;"",UPPER(_xlpm.MyAuditVal),_xlpm.MacVal&lt;&gt;"",_xlpm.MacVal,_xlpm.CSVVal&lt;&gt;"",_xlpm.CSVVal
)),"")</f>
        <v/>
      </c>
      <c r="K679" s="54" t="str" cm="1">
        <f t="array" ref="K679">IFERROR(_xlfn.LET(
_xlpm.CSVVal,_xlfn.XLOOKUP($A679,CSV!$A:$A,CSV!M:M,""),
_xlpm.MacVal,_xlfn.XLOOKUP($A679,Output_Mac!$A:$A,Output_Mac!L:L,""),
_xlpm.MyAuditVal,_xlfn.XLOOKUP($A679,My_Audit!$A:$A,My_Audit!J:J,""),
_xlfn.IFS(_xlpm.MyAuditVal&lt;&gt;"",UPPER(_xlpm.MyAuditVal),_xlpm.MacVal&lt;&gt;"",_xlpm.MacVal,_xlpm.CSVVal&lt;&gt;"",_xlpm.CSVVal
)),"")</f>
        <v/>
      </c>
      <c r="L679" s="54" t="str" cm="1">
        <f t="array" ref="L679">IFERROR(_xlfn.LET(
_xlpm.CSVVal,_xlfn.XLOOKUP($A679,CSV!$A:$A,CSV!O:O,""),
_xlpm.MacVal,_xlfn.XLOOKUP($A679,Output_Mac!$A:$A,Output_Mac!M:M,""),
_xlpm.MyAuditVal,_xlfn.XLOOKUP($A679,My_Audit!$A:$A,My_Audit!K:K,""),
_xlfn.IFS(_xlpm.MyAuditVal&lt;&gt;"",UPPER(_xlpm.MyAuditVal),_xlpm.MacVal&lt;&gt;"",_xlpm.MacVal,_xlpm.CSVVal&lt;&gt;"",_xlpm.CSVVal
)),"")</f>
        <v/>
      </c>
      <c r="M679" s="54" t="str">
        <f>_xlfn.LET(
    _xlpm.CSVVal, _xlfn.XLOOKUP($A679, CSV!$A:$A, CSV!AD:AD, ""),
    _xlpm.MacVal, _xlfn.XLOOKUP($A679, Output_Mac!$A:$A, Output_Mac!S:S, ""),
    _xlpm.MyAuditVal, _xlfn.XLOOKUP($A679, My_Audit!$A:$A, My_Audit!N:N, ""),
    _xlfn.TEXTJOIN(", ", TRUE, _xlpm.MyAuditVal, _xlpm.MacVal, _xlpm.CSVVal)
)</f>
        <v/>
      </c>
      <c r="N679" s="54" t="str" cm="1">
        <f t="array" ref="N679">IFERROR(_xlfn.LET(
_xlpm.CSVVal,_xlfn.XLOOKUP($A679,CSV!$A:$A,CSV!AF:AF,""),
_xlpm.MacVal,_xlfn.XLOOKUP($A679,Output_Mac!$A:$A,Output_Mac!U:U,""),
_xlpm.MyAuditVal,_xlfn.XLOOKUP($A679,My_Audit!$A:$A,My_Audit!O:O,""),
_xlfn.IFS(_xlpm.MyAuditVal&lt;&gt;"",UPPER(_xlpm.MyAuditVal),_xlpm.MacVal&lt;&gt;"",_xlpm.MacVal,_xlpm.CSVVal&lt;&gt;"",_xlpm.CSVVal
)),"")</f>
        <v/>
      </c>
      <c r="O679" s="54"/>
      <c r="P679" s="54"/>
      <c r="Q679" s="54"/>
      <c r="R679" s="54"/>
      <c r="S679" s="54"/>
      <c r="T679" s="54"/>
      <c r="U679" s="39"/>
    </row>
    <row r="680" spans="1:21">
      <c r="A680" s="54" t="str">
        <f>_xlfn.TEXTJOIN("",TRUE,Input!$B$2,ROW(My_Audit!A679))</f>
        <v>XX679</v>
      </c>
      <c r="B680" s="54" t="str">
        <f>_xlfn.TEXTJOIN("-",TRUE,"ITD",Input!$A$2,A680)</f>
        <v>ITD-SHRXXX-XX679</v>
      </c>
      <c r="C680" s="54" t="str" cm="1">
        <f t="array" ref="C680">IFERROR(_xlfn.LET(
_xlpm.CSVVal,_xlfn.XLOOKUP($A680,CSV!$A:$A,CSV!B:B,""),
_xlpm.MacVal,_xlfn.XLOOKUP($A680,Output_Mac!$A:$A,Output_Mac!B:B,""),
_xlpm.MyAuditVal,_xlfn.XLOOKUP($A680,My_Audit!$A:$A,My_Audit!B:B,""),
_xlfn.IFS(_xlpm.MyAuditVal&lt;&gt;"",UPPER(_xlpm.MyAuditVal),_xlpm.MacVal&lt;&gt;"",_xlpm.MacVal,_xlpm.CSVVal&lt;&gt;"",_xlpm.CSVVal
)),"")</f>
        <v/>
      </c>
      <c r="D680" s="55" t="str">
        <f>_xlfn.XLOOKUP(A680,My_Audit!A:A,My_Audit!D:D,"")&amp;""</f>
        <v/>
      </c>
      <c r="E680" s="55" t="str" cm="1">
        <f t="array" ref="E680">IFERROR(_xlfn.LET(
_xlpm.CSVVal,_xlfn.XLOOKUP($A680,CSV!$A:$A,CSV!D:D,""),
_xlpm.MacVal,_xlfn.XLOOKUP($A680,Output_Mac!$A:$A,Output_Mac!C:C,""),
_xlpm.MyAuditVal,_xlfn.XLOOKUP($A680,My_Audit!$A:$A,My_Audit!D:D,""),
_xlfn.IFS(_xlpm.MyAuditVal&lt;&gt;"",_xlpm.MyAuditVal,_xlpm.MacVal&lt;&gt;"",_xlpm.MacVal,_xlpm.CSVVal&lt;&gt;"",_xlpm.CSVVal
)),"")</f>
        <v/>
      </c>
      <c r="F680" s="54" t="str" cm="1">
        <f t="array" ref="F680">IFERROR(_xlfn.LET(
_xlpm.CSVVal,_xlfn.XLOOKUP($A680,CSV!$A:$A,CSV!E:E,""),
_xlpm.MacVal,_xlfn.XLOOKUP($A680,Output_Mac!$A:$A,Output_Mac!F:F,""),
_xlpm.MyAuditVal,_xlfn.XLOOKUP($A680,My_Audit!$A:$A,My_Audit!E:E,""),
_xlfn.IFS(_xlpm.MyAuditVal&lt;&gt;"",_xlpm.MyAuditVal,_xlpm.MacVal&lt;&gt;"",_xlpm.MacVal,_xlpm.CSVVal&lt;&gt;"",PROPER(_xlpm.CSVVal)
)),"")</f>
        <v/>
      </c>
      <c r="G680" s="54" t="str" cm="1">
        <f t="array" ref="G680">IFERROR(_xlfn.LET(
_xlpm.CSVVal,_xlfn.XLOOKUP($A680,CSV!$A:$A,CSV!F:F,""),
_xlpm.MacVal,_xlfn.XLOOKUP($A680,Output_Mac!$A:$A,Output_Mac!H:H,""),
_xlpm.MyAuditVal,_xlfn.XLOOKUP($A680,My_Audit!$A:$A,My_Audit!F:F,""),
_xlfn.IFS(_xlpm.MyAuditVal&lt;&gt;"",_xlpm.MyAuditVal,_xlpm.MacVal&lt;&gt;"",_xlpm.MacVal,_xlpm.CSVVal&lt;&gt;"",_xlpm.CSVVal
)),"")</f>
        <v/>
      </c>
      <c r="H680" s="54" t="str">
        <f>_xlfn.XLOOKUP(A680,Output_Mac!A:A,Output_Mac!I:I,"")</f>
        <v/>
      </c>
      <c r="I680" s="54" t="str" cm="1">
        <f t="array" ref="I680">IFERROR(_xlfn.LET(
_xlpm.CSVVal,_xlfn.XLOOKUP($A680,CSV!$A:$A,CSV!G:G,""),
_xlpm.MacVal,_xlfn.XLOOKUP($A680,Output_Mac!$A:$A,Output_Mac!J:J,""),
_xlpm.MyAuditVal,_xlfn.XLOOKUP($A680,My_Audit!$A:$A,My_Audit!H:H,""),
_xlfn.IFS(_xlpm.MyAuditVal&lt;&gt;"",UPPER(_xlpm.MyAuditVal),_xlpm.MacVal&lt;&gt;"",_xlpm.MacVal,_xlpm.CSVVal&lt;&gt;"",_xlpm.CSVVal
)),"")</f>
        <v/>
      </c>
      <c r="J680" s="54" t="str" cm="1">
        <f t="array" ref="J680">IFERROR(_xlfn.LET(
_xlpm.CSVVal,_xlfn.XLOOKUP($A680,CSV!$A:$A,CSV!I:I,""),
_xlpm.MacVal,_xlfn.XLOOKUP($A680,Output_Mac!$A:$A,Output_Mac!K:K,""),
_xlpm.MyAuditVal,_xlfn.XLOOKUP($A680,My_Audit!$A:$A,My_Audit!I:I,""),
_xlfn.IFS(_xlpm.MyAuditVal&lt;&gt;"",UPPER(_xlpm.MyAuditVal),_xlpm.MacVal&lt;&gt;"",_xlpm.MacVal,_xlpm.CSVVal&lt;&gt;"",_xlpm.CSVVal
)),"")</f>
        <v/>
      </c>
      <c r="K680" s="54" t="str" cm="1">
        <f t="array" ref="K680">IFERROR(_xlfn.LET(
_xlpm.CSVVal,_xlfn.XLOOKUP($A680,CSV!$A:$A,CSV!M:M,""),
_xlpm.MacVal,_xlfn.XLOOKUP($A680,Output_Mac!$A:$A,Output_Mac!L:L,""),
_xlpm.MyAuditVal,_xlfn.XLOOKUP($A680,My_Audit!$A:$A,My_Audit!J:J,""),
_xlfn.IFS(_xlpm.MyAuditVal&lt;&gt;"",UPPER(_xlpm.MyAuditVal),_xlpm.MacVal&lt;&gt;"",_xlpm.MacVal,_xlpm.CSVVal&lt;&gt;"",_xlpm.CSVVal
)),"")</f>
        <v/>
      </c>
      <c r="L680" s="54" t="str" cm="1">
        <f t="array" ref="L680">IFERROR(_xlfn.LET(
_xlpm.CSVVal,_xlfn.XLOOKUP($A680,CSV!$A:$A,CSV!O:O,""),
_xlpm.MacVal,_xlfn.XLOOKUP($A680,Output_Mac!$A:$A,Output_Mac!M:M,""),
_xlpm.MyAuditVal,_xlfn.XLOOKUP($A680,My_Audit!$A:$A,My_Audit!K:K,""),
_xlfn.IFS(_xlpm.MyAuditVal&lt;&gt;"",UPPER(_xlpm.MyAuditVal),_xlpm.MacVal&lt;&gt;"",_xlpm.MacVal,_xlpm.CSVVal&lt;&gt;"",_xlpm.CSVVal
)),"")</f>
        <v/>
      </c>
      <c r="M680" s="54" t="str">
        <f>_xlfn.LET(
    _xlpm.CSVVal, _xlfn.XLOOKUP($A680, CSV!$A:$A, CSV!AD:AD, ""),
    _xlpm.MacVal, _xlfn.XLOOKUP($A680, Output_Mac!$A:$A, Output_Mac!S:S, ""),
    _xlpm.MyAuditVal, _xlfn.XLOOKUP($A680, My_Audit!$A:$A, My_Audit!N:N, ""),
    _xlfn.TEXTJOIN(", ", TRUE, _xlpm.MyAuditVal, _xlpm.MacVal, _xlpm.CSVVal)
)</f>
        <v/>
      </c>
      <c r="N680" s="54" t="str" cm="1">
        <f t="array" ref="N680">IFERROR(_xlfn.LET(
_xlpm.CSVVal,_xlfn.XLOOKUP($A680,CSV!$A:$A,CSV!AF:AF,""),
_xlpm.MacVal,_xlfn.XLOOKUP($A680,Output_Mac!$A:$A,Output_Mac!U:U,""),
_xlpm.MyAuditVal,_xlfn.XLOOKUP($A680,My_Audit!$A:$A,My_Audit!O:O,""),
_xlfn.IFS(_xlpm.MyAuditVal&lt;&gt;"",UPPER(_xlpm.MyAuditVal),_xlpm.MacVal&lt;&gt;"",_xlpm.MacVal,_xlpm.CSVVal&lt;&gt;"",_xlpm.CSVVal
)),"")</f>
        <v/>
      </c>
      <c r="O680" s="54"/>
      <c r="P680" s="54"/>
      <c r="Q680" s="54"/>
      <c r="R680" s="54"/>
      <c r="S680" s="54"/>
      <c r="T680" s="54"/>
      <c r="U680" s="39"/>
    </row>
    <row r="681" spans="1:21">
      <c r="A681" s="54" t="str">
        <f>_xlfn.TEXTJOIN("",TRUE,Input!$B$2,ROW(My_Audit!A680))</f>
        <v>XX680</v>
      </c>
      <c r="B681" s="54" t="str">
        <f>_xlfn.TEXTJOIN("-",TRUE,"ITD",Input!$A$2,A681)</f>
        <v>ITD-SHRXXX-XX680</v>
      </c>
      <c r="C681" s="54" t="str" cm="1">
        <f t="array" ref="C681">IFERROR(_xlfn.LET(
_xlpm.CSVVal,_xlfn.XLOOKUP($A681,CSV!$A:$A,CSV!B:B,""),
_xlpm.MacVal,_xlfn.XLOOKUP($A681,Output_Mac!$A:$A,Output_Mac!B:B,""),
_xlpm.MyAuditVal,_xlfn.XLOOKUP($A681,My_Audit!$A:$A,My_Audit!B:B,""),
_xlfn.IFS(_xlpm.MyAuditVal&lt;&gt;"",UPPER(_xlpm.MyAuditVal),_xlpm.MacVal&lt;&gt;"",_xlpm.MacVal,_xlpm.CSVVal&lt;&gt;"",_xlpm.CSVVal
)),"")</f>
        <v/>
      </c>
      <c r="D681" s="55" t="str">
        <f>_xlfn.XLOOKUP(A681,My_Audit!A:A,My_Audit!D:D,"")&amp;""</f>
        <v/>
      </c>
      <c r="E681" s="55" t="str" cm="1">
        <f t="array" ref="E681">IFERROR(_xlfn.LET(
_xlpm.CSVVal,_xlfn.XLOOKUP($A681,CSV!$A:$A,CSV!D:D,""),
_xlpm.MacVal,_xlfn.XLOOKUP($A681,Output_Mac!$A:$A,Output_Mac!C:C,""),
_xlpm.MyAuditVal,_xlfn.XLOOKUP($A681,My_Audit!$A:$A,My_Audit!D:D,""),
_xlfn.IFS(_xlpm.MyAuditVal&lt;&gt;"",_xlpm.MyAuditVal,_xlpm.MacVal&lt;&gt;"",_xlpm.MacVal,_xlpm.CSVVal&lt;&gt;"",_xlpm.CSVVal
)),"")</f>
        <v/>
      </c>
      <c r="F681" s="54" t="str" cm="1">
        <f t="array" ref="F681">IFERROR(_xlfn.LET(
_xlpm.CSVVal,_xlfn.XLOOKUP($A681,CSV!$A:$A,CSV!E:E,""),
_xlpm.MacVal,_xlfn.XLOOKUP($A681,Output_Mac!$A:$A,Output_Mac!F:F,""),
_xlpm.MyAuditVal,_xlfn.XLOOKUP($A681,My_Audit!$A:$A,My_Audit!E:E,""),
_xlfn.IFS(_xlpm.MyAuditVal&lt;&gt;"",_xlpm.MyAuditVal,_xlpm.MacVal&lt;&gt;"",_xlpm.MacVal,_xlpm.CSVVal&lt;&gt;"",PROPER(_xlpm.CSVVal)
)),"")</f>
        <v/>
      </c>
      <c r="G681" s="54" t="str" cm="1">
        <f t="array" ref="G681">IFERROR(_xlfn.LET(
_xlpm.CSVVal,_xlfn.XLOOKUP($A681,CSV!$A:$A,CSV!F:F,""),
_xlpm.MacVal,_xlfn.XLOOKUP($A681,Output_Mac!$A:$A,Output_Mac!H:H,""),
_xlpm.MyAuditVal,_xlfn.XLOOKUP($A681,My_Audit!$A:$A,My_Audit!F:F,""),
_xlfn.IFS(_xlpm.MyAuditVal&lt;&gt;"",_xlpm.MyAuditVal,_xlpm.MacVal&lt;&gt;"",_xlpm.MacVal,_xlpm.CSVVal&lt;&gt;"",_xlpm.CSVVal
)),"")</f>
        <v/>
      </c>
      <c r="H681" s="54" t="str">
        <f>_xlfn.XLOOKUP(A681,Output_Mac!A:A,Output_Mac!I:I,"")</f>
        <v/>
      </c>
      <c r="I681" s="54" t="str" cm="1">
        <f t="array" ref="I681">IFERROR(_xlfn.LET(
_xlpm.CSVVal,_xlfn.XLOOKUP($A681,CSV!$A:$A,CSV!G:G,""),
_xlpm.MacVal,_xlfn.XLOOKUP($A681,Output_Mac!$A:$A,Output_Mac!J:J,""),
_xlpm.MyAuditVal,_xlfn.XLOOKUP($A681,My_Audit!$A:$A,My_Audit!H:H,""),
_xlfn.IFS(_xlpm.MyAuditVal&lt;&gt;"",UPPER(_xlpm.MyAuditVal),_xlpm.MacVal&lt;&gt;"",_xlpm.MacVal,_xlpm.CSVVal&lt;&gt;"",_xlpm.CSVVal
)),"")</f>
        <v/>
      </c>
      <c r="J681" s="54" t="str" cm="1">
        <f t="array" ref="J681">IFERROR(_xlfn.LET(
_xlpm.CSVVal,_xlfn.XLOOKUP($A681,CSV!$A:$A,CSV!I:I,""),
_xlpm.MacVal,_xlfn.XLOOKUP($A681,Output_Mac!$A:$A,Output_Mac!K:K,""),
_xlpm.MyAuditVal,_xlfn.XLOOKUP($A681,My_Audit!$A:$A,My_Audit!I:I,""),
_xlfn.IFS(_xlpm.MyAuditVal&lt;&gt;"",UPPER(_xlpm.MyAuditVal),_xlpm.MacVal&lt;&gt;"",_xlpm.MacVal,_xlpm.CSVVal&lt;&gt;"",_xlpm.CSVVal
)),"")</f>
        <v/>
      </c>
      <c r="K681" s="54" t="str" cm="1">
        <f t="array" ref="K681">IFERROR(_xlfn.LET(
_xlpm.CSVVal,_xlfn.XLOOKUP($A681,CSV!$A:$A,CSV!M:M,""),
_xlpm.MacVal,_xlfn.XLOOKUP($A681,Output_Mac!$A:$A,Output_Mac!L:L,""),
_xlpm.MyAuditVal,_xlfn.XLOOKUP($A681,My_Audit!$A:$A,My_Audit!J:J,""),
_xlfn.IFS(_xlpm.MyAuditVal&lt;&gt;"",UPPER(_xlpm.MyAuditVal),_xlpm.MacVal&lt;&gt;"",_xlpm.MacVal,_xlpm.CSVVal&lt;&gt;"",_xlpm.CSVVal
)),"")</f>
        <v/>
      </c>
      <c r="L681" s="54" t="str" cm="1">
        <f t="array" ref="L681">IFERROR(_xlfn.LET(
_xlpm.CSVVal,_xlfn.XLOOKUP($A681,CSV!$A:$A,CSV!O:O,""),
_xlpm.MacVal,_xlfn.XLOOKUP($A681,Output_Mac!$A:$A,Output_Mac!M:M,""),
_xlpm.MyAuditVal,_xlfn.XLOOKUP($A681,My_Audit!$A:$A,My_Audit!K:K,""),
_xlfn.IFS(_xlpm.MyAuditVal&lt;&gt;"",UPPER(_xlpm.MyAuditVal),_xlpm.MacVal&lt;&gt;"",_xlpm.MacVal,_xlpm.CSVVal&lt;&gt;"",_xlpm.CSVVal
)),"")</f>
        <v/>
      </c>
      <c r="M681" s="54" t="str">
        <f>_xlfn.LET(
    _xlpm.CSVVal, _xlfn.XLOOKUP($A681, CSV!$A:$A, CSV!AD:AD, ""),
    _xlpm.MacVal, _xlfn.XLOOKUP($A681, Output_Mac!$A:$A, Output_Mac!S:S, ""),
    _xlpm.MyAuditVal, _xlfn.XLOOKUP($A681, My_Audit!$A:$A, My_Audit!N:N, ""),
    _xlfn.TEXTJOIN(", ", TRUE, _xlpm.MyAuditVal, _xlpm.MacVal, _xlpm.CSVVal)
)</f>
        <v/>
      </c>
      <c r="N681" s="54" t="str" cm="1">
        <f t="array" ref="N681">IFERROR(_xlfn.LET(
_xlpm.CSVVal,_xlfn.XLOOKUP($A681,CSV!$A:$A,CSV!AF:AF,""),
_xlpm.MacVal,_xlfn.XLOOKUP($A681,Output_Mac!$A:$A,Output_Mac!U:U,""),
_xlpm.MyAuditVal,_xlfn.XLOOKUP($A681,My_Audit!$A:$A,My_Audit!O:O,""),
_xlfn.IFS(_xlpm.MyAuditVal&lt;&gt;"",UPPER(_xlpm.MyAuditVal),_xlpm.MacVal&lt;&gt;"",_xlpm.MacVal,_xlpm.CSVVal&lt;&gt;"",_xlpm.CSVVal
)),"")</f>
        <v/>
      </c>
      <c r="O681" s="54"/>
      <c r="P681" s="54"/>
      <c r="Q681" s="54"/>
      <c r="R681" s="54"/>
      <c r="S681" s="54"/>
      <c r="T681" s="54"/>
      <c r="U681" s="39"/>
    </row>
    <row r="682" spans="1:21">
      <c r="A682" s="54" t="str">
        <f>_xlfn.TEXTJOIN("",TRUE,Input!$B$2,ROW(My_Audit!A681))</f>
        <v>XX681</v>
      </c>
      <c r="B682" s="54" t="str">
        <f>_xlfn.TEXTJOIN("-",TRUE,"ITD",Input!$A$2,A682)</f>
        <v>ITD-SHRXXX-XX681</v>
      </c>
      <c r="C682" s="54" t="str" cm="1">
        <f t="array" ref="C682">IFERROR(_xlfn.LET(
_xlpm.CSVVal,_xlfn.XLOOKUP($A682,CSV!$A:$A,CSV!B:B,""),
_xlpm.MacVal,_xlfn.XLOOKUP($A682,Output_Mac!$A:$A,Output_Mac!B:B,""),
_xlpm.MyAuditVal,_xlfn.XLOOKUP($A682,My_Audit!$A:$A,My_Audit!B:B,""),
_xlfn.IFS(_xlpm.MyAuditVal&lt;&gt;"",UPPER(_xlpm.MyAuditVal),_xlpm.MacVal&lt;&gt;"",_xlpm.MacVal,_xlpm.CSVVal&lt;&gt;"",_xlpm.CSVVal
)),"")</f>
        <v/>
      </c>
      <c r="D682" s="55" t="str">
        <f>_xlfn.XLOOKUP(A682,My_Audit!A:A,My_Audit!D:D,"")&amp;""</f>
        <v/>
      </c>
      <c r="E682" s="55" t="str" cm="1">
        <f t="array" ref="E682">IFERROR(_xlfn.LET(
_xlpm.CSVVal,_xlfn.XLOOKUP($A682,CSV!$A:$A,CSV!D:D,""),
_xlpm.MacVal,_xlfn.XLOOKUP($A682,Output_Mac!$A:$A,Output_Mac!C:C,""),
_xlpm.MyAuditVal,_xlfn.XLOOKUP($A682,My_Audit!$A:$A,My_Audit!D:D,""),
_xlfn.IFS(_xlpm.MyAuditVal&lt;&gt;"",_xlpm.MyAuditVal,_xlpm.MacVal&lt;&gt;"",_xlpm.MacVal,_xlpm.CSVVal&lt;&gt;"",_xlpm.CSVVal
)),"")</f>
        <v/>
      </c>
      <c r="F682" s="54" t="str" cm="1">
        <f t="array" ref="F682">IFERROR(_xlfn.LET(
_xlpm.CSVVal,_xlfn.XLOOKUP($A682,CSV!$A:$A,CSV!E:E,""),
_xlpm.MacVal,_xlfn.XLOOKUP($A682,Output_Mac!$A:$A,Output_Mac!F:F,""),
_xlpm.MyAuditVal,_xlfn.XLOOKUP($A682,My_Audit!$A:$A,My_Audit!E:E,""),
_xlfn.IFS(_xlpm.MyAuditVal&lt;&gt;"",_xlpm.MyAuditVal,_xlpm.MacVal&lt;&gt;"",_xlpm.MacVal,_xlpm.CSVVal&lt;&gt;"",PROPER(_xlpm.CSVVal)
)),"")</f>
        <v/>
      </c>
      <c r="G682" s="54" t="str" cm="1">
        <f t="array" ref="G682">IFERROR(_xlfn.LET(
_xlpm.CSVVal,_xlfn.XLOOKUP($A682,CSV!$A:$A,CSV!F:F,""),
_xlpm.MacVal,_xlfn.XLOOKUP($A682,Output_Mac!$A:$A,Output_Mac!H:H,""),
_xlpm.MyAuditVal,_xlfn.XLOOKUP($A682,My_Audit!$A:$A,My_Audit!F:F,""),
_xlfn.IFS(_xlpm.MyAuditVal&lt;&gt;"",_xlpm.MyAuditVal,_xlpm.MacVal&lt;&gt;"",_xlpm.MacVal,_xlpm.CSVVal&lt;&gt;"",_xlpm.CSVVal
)),"")</f>
        <v/>
      </c>
      <c r="H682" s="54" t="str">
        <f>_xlfn.XLOOKUP(A682,Output_Mac!A:A,Output_Mac!I:I,"")</f>
        <v/>
      </c>
      <c r="I682" s="54" t="str" cm="1">
        <f t="array" ref="I682">IFERROR(_xlfn.LET(
_xlpm.CSVVal,_xlfn.XLOOKUP($A682,CSV!$A:$A,CSV!G:G,""),
_xlpm.MacVal,_xlfn.XLOOKUP($A682,Output_Mac!$A:$A,Output_Mac!J:J,""),
_xlpm.MyAuditVal,_xlfn.XLOOKUP($A682,My_Audit!$A:$A,My_Audit!H:H,""),
_xlfn.IFS(_xlpm.MyAuditVal&lt;&gt;"",UPPER(_xlpm.MyAuditVal),_xlpm.MacVal&lt;&gt;"",_xlpm.MacVal,_xlpm.CSVVal&lt;&gt;"",_xlpm.CSVVal
)),"")</f>
        <v/>
      </c>
      <c r="J682" s="54" t="str" cm="1">
        <f t="array" ref="J682">IFERROR(_xlfn.LET(
_xlpm.CSVVal,_xlfn.XLOOKUP($A682,CSV!$A:$A,CSV!I:I,""),
_xlpm.MacVal,_xlfn.XLOOKUP($A682,Output_Mac!$A:$A,Output_Mac!K:K,""),
_xlpm.MyAuditVal,_xlfn.XLOOKUP($A682,My_Audit!$A:$A,My_Audit!I:I,""),
_xlfn.IFS(_xlpm.MyAuditVal&lt;&gt;"",UPPER(_xlpm.MyAuditVal),_xlpm.MacVal&lt;&gt;"",_xlpm.MacVal,_xlpm.CSVVal&lt;&gt;"",_xlpm.CSVVal
)),"")</f>
        <v/>
      </c>
      <c r="K682" s="54" t="str" cm="1">
        <f t="array" ref="K682">IFERROR(_xlfn.LET(
_xlpm.CSVVal,_xlfn.XLOOKUP($A682,CSV!$A:$A,CSV!M:M,""),
_xlpm.MacVal,_xlfn.XLOOKUP($A682,Output_Mac!$A:$A,Output_Mac!L:L,""),
_xlpm.MyAuditVal,_xlfn.XLOOKUP($A682,My_Audit!$A:$A,My_Audit!J:J,""),
_xlfn.IFS(_xlpm.MyAuditVal&lt;&gt;"",UPPER(_xlpm.MyAuditVal),_xlpm.MacVal&lt;&gt;"",_xlpm.MacVal,_xlpm.CSVVal&lt;&gt;"",_xlpm.CSVVal
)),"")</f>
        <v/>
      </c>
      <c r="L682" s="54" t="str" cm="1">
        <f t="array" ref="L682">IFERROR(_xlfn.LET(
_xlpm.CSVVal,_xlfn.XLOOKUP($A682,CSV!$A:$A,CSV!O:O,""),
_xlpm.MacVal,_xlfn.XLOOKUP($A682,Output_Mac!$A:$A,Output_Mac!M:M,""),
_xlpm.MyAuditVal,_xlfn.XLOOKUP($A682,My_Audit!$A:$A,My_Audit!K:K,""),
_xlfn.IFS(_xlpm.MyAuditVal&lt;&gt;"",UPPER(_xlpm.MyAuditVal),_xlpm.MacVal&lt;&gt;"",_xlpm.MacVal,_xlpm.CSVVal&lt;&gt;"",_xlpm.CSVVal
)),"")</f>
        <v/>
      </c>
      <c r="M682" s="54" t="str">
        <f>_xlfn.LET(
    _xlpm.CSVVal, _xlfn.XLOOKUP($A682, CSV!$A:$A, CSV!AD:AD, ""),
    _xlpm.MacVal, _xlfn.XLOOKUP($A682, Output_Mac!$A:$A, Output_Mac!S:S, ""),
    _xlpm.MyAuditVal, _xlfn.XLOOKUP($A682, My_Audit!$A:$A, My_Audit!N:N, ""),
    _xlfn.TEXTJOIN(", ", TRUE, _xlpm.MyAuditVal, _xlpm.MacVal, _xlpm.CSVVal)
)</f>
        <v/>
      </c>
      <c r="N682" s="54" t="str" cm="1">
        <f t="array" ref="N682">IFERROR(_xlfn.LET(
_xlpm.CSVVal,_xlfn.XLOOKUP($A682,CSV!$A:$A,CSV!AF:AF,""),
_xlpm.MacVal,_xlfn.XLOOKUP($A682,Output_Mac!$A:$A,Output_Mac!U:U,""),
_xlpm.MyAuditVal,_xlfn.XLOOKUP($A682,My_Audit!$A:$A,My_Audit!O:O,""),
_xlfn.IFS(_xlpm.MyAuditVal&lt;&gt;"",UPPER(_xlpm.MyAuditVal),_xlpm.MacVal&lt;&gt;"",_xlpm.MacVal,_xlpm.CSVVal&lt;&gt;"",_xlpm.CSVVal
)),"")</f>
        <v/>
      </c>
      <c r="O682" s="54"/>
      <c r="P682" s="54"/>
      <c r="Q682" s="54"/>
      <c r="R682" s="54"/>
      <c r="S682" s="54"/>
      <c r="T682" s="54"/>
      <c r="U682" s="39"/>
    </row>
    <row r="683" spans="1:21">
      <c r="A683" s="54" t="str">
        <f>_xlfn.TEXTJOIN("",TRUE,Input!$B$2,ROW(My_Audit!A682))</f>
        <v>XX682</v>
      </c>
      <c r="B683" s="54" t="str">
        <f>_xlfn.TEXTJOIN("-",TRUE,"ITD",Input!$A$2,A683)</f>
        <v>ITD-SHRXXX-XX682</v>
      </c>
      <c r="C683" s="54" t="str" cm="1">
        <f t="array" ref="C683">IFERROR(_xlfn.LET(
_xlpm.CSVVal,_xlfn.XLOOKUP($A683,CSV!$A:$A,CSV!B:B,""),
_xlpm.MacVal,_xlfn.XLOOKUP($A683,Output_Mac!$A:$A,Output_Mac!B:B,""),
_xlpm.MyAuditVal,_xlfn.XLOOKUP($A683,My_Audit!$A:$A,My_Audit!B:B,""),
_xlfn.IFS(_xlpm.MyAuditVal&lt;&gt;"",UPPER(_xlpm.MyAuditVal),_xlpm.MacVal&lt;&gt;"",_xlpm.MacVal,_xlpm.CSVVal&lt;&gt;"",_xlpm.CSVVal
)),"")</f>
        <v/>
      </c>
      <c r="D683" s="55" t="str">
        <f>_xlfn.XLOOKUP(A683,My_Audit!A:A,My_Audit!D:D,"")&amp;""</f>
        <v/>
      </c>
      <c r="E683" s="55" t="str" cm="1">
        <f t="array" ref="E683">IFERROR(_xlfn.LET(
_xlpm.CSVVal,_xlfn.XLOOKUP($A683,CSV!$A:$A,CSV!D:D,""),
_xlpm.MacVal,_xlfn.XLOOKUP($A683,Output_Mac!$A:$A,Output_Mac!C:C,""),
_xlpm.MyAuditVal,_xlfn.XLOOKUP($A683,My_Audit!$A:$A,My_Audit!D:D,""),
_xlfn.IFS(_xlpm.MyAuditVal&lt;&gt;"",_xlpm.MyAuditVal,_xlpm.MacVal&lt;&gt;"",_xlpm.MacVal,_xlpm.CSVVal&lt;&gt;"",_xlpm.CSVVal
)),"")</f>
        <v/>
      </c>
      <c r="F683" s="54" t="str" cm="1">
        <f t="array" ref="F683">IFERROR(_xlfn.LET(
_xlpm.CSVVal,_xlfn.XLOOKUP($A683,CSV!$A:$A,CSV!E:E,""),
_xlpm.MacVal,_xlfn.XLOOKUP($A683,Output_Mac!$A:$A,Output_Mac!F:F,""),
_xlpm.MyAuditVal,_xlfn.XLOOKUP($A683,My_Audit!$A:$A,My_Audit!E:E,""),
_xlfn.IFS(_xlpm.MyAuditVal&lt;&gt;"",_xlpm.MyAuditVal,_xlpm.MacVal&lt;&gt;"",_xlpm.MacVal,_xlpm.CSVVal&lt;&gt;"",PROPER(_xlpm.CSVVal)
)),"")</f>
        <v/>
      </c>
      <c r="G683" s="54" t="str" cm="1">
        <f t="array" ref="G683">IFERROR(_xlfn.LET(
_xlpm.CSVVal,_xlfn.XLOOKUP($A683,CSV!$A:$A,CSV!F:F,""),
_xlpm.MacVal,_xlfn.XLOOKUP($A683,Output_Mac!$A:$A,Output_Mac!H:H,""),
_xlpm.MyAuditVal,_xlfn.XLOOKUP($A683,My_Audit!$A:$A,My_Audit!F:F,""),
_xlfn.IFS(_xlpm.MyAuditVal&lt;&gt;"",_xlpm.MyAuditVal,_xlpm.MacVal&lt;&gt;"",_xlpm.MacVal,_xlpm.CSVVal&lt;&gt;"",_xlpm.CSVVal
)),"")</f>
        <v/>
      </c>
      <c r="H683" s="54" t="str">
        <f>_xlfn.XLOOKUP(A683,Output_Mac!A:A,Output_Mac!I:I,"")</f>
        <v/>
      </c>
      <c r="I683" s="54" t="str" cm="1">
        <f t="array" ref="I683">IFERROR(_xlfn.LET(
_xlpm.CSVVal,_xlfn.XLOOKUP($A683,CSV!$A:$A,CSV!G:G,""),
_xlpm.MacVal,_xlfn.XLOOKUP($A683,Output_Mac!$A:$A,Output_Mac!J:J,""),
_xlpm.MyAuditVal,_xlfn.XLOOKUP($A683,My_Audit!$A:$A,My_Audit!H:H,""),
_xlfn.IFS(_xlpm.MyAuditVal&lt;&gt;"",UPPER(_xlpm.MyAuditVal),_xlpm.MacVal&lt;&gt;"",_xlpm.MacVal,_xlpm.CSVVal&lt;&gt;"",_xlpm.CSVVal
)),"")</f>
        <v/>
      </c>
      <c r="J683" s="54" t="str" cm="1">
        <f t="array" ref="J683">IFERROR(_xlfn.LET(
_xlpm.CSVVal,_xlfn.XLOOKUP($A683,CSV!$A:$A,CSV!I:I,""),
_xlpm.MacVal,_xlfn.XLOOKUP($A683,Output_Mac!$A:$A,Output_Mac!K:K,""),
_xlpm.MyAuditVal,_xlfn.XLOOKUP($A683,My_Audit!$A:$A,My_Audit!I:I,""),
_xlfn.IFS(_xlpm.MyAuditVal&lt;&gt;"",UPPER(_xlpm.MyAuditVal),_xlpm.MacVal&lt;&gt;"",_xlpm.MacVal,_xlpm.CSVVal&lt;&gt;"",_xlpm.CSVVal
)),"")</f>
        <v/>
      </c>
      <c r="K683" s="54" t="str" cm="1">
        <f t="array" ref="K683">IFERROR(_xlfn.LET(
_xlpm.CSVVal,_xlfn.XLOOKUP($A683,CSV!$A:$A,CSV!M:M,""),
_xlpm.MacVal,_xlfn.XLOOKUP($A683,Output_Mac!$A:$A,Output_Mac!L:L,""),
_xlpm.MyAuditVal,_xlfn.XLOOKUP($A683,My_Audit!$A:$A,My_Audit!J:J,""),
_xlfn.IFS(_xlpm.MyAuditVal&lt;&gt;"",UPPER(_xlpm.MyAuditVal),_xlpm.MacVal&lt;&gt;"",_xlpm.MacVal,_xlpm.CSVVal&lt;&gt;"",_xlpm.CSVVal
)),"")</f>
        <v/>
      </c>
      <c r="L683" s="54" t="str" cm="1">
        <f t="array" ref="L683">IFERROR(_xlfn.LET(
_xlpm.CSVVal,_xlfn.XLOOKUP($A683,CSV!$A:$A,CSV!O:O,""),
_xlpm.MacVal,_xlfn.XLOOKUP($A683,Output_Mac!$A:$A,Output_Mac!M:M,""),
_xlpm.MyAuditVal,_xlfn.XLOOKUP($A683,My_Audit!$A:$A,My_Audit!K:K,""),
_xlfn.IFS(_xlpm.MyAuditVal&lt;&gt;"",UPPER(_xlpm.MyAuditVal),_xlpm.MacVal&lt;&gt;"",_xlpm.MacVal,_xlpm.CSVVal&lt;&gt;"",_xlpm.CSVVal
)),"")</f>
        <v/>
      </c>
      <c r="M683" s="54" t="str">
        <f>_xlfn.LET(
    _xlpm.CSVVal, _xlfn.XLOOKUP($A683, CSV!$A:$A, CSV!AD:AD, ""),
    _xlpm.MacVal, _xlfn.XLOOKUP($A683, Output_Mac!$A:$A, Output_Mac!S:S, ""),
    _xlpm.MyAuditVal, _xlfn.XLOOKUP($A683, My_Audit!$A:$A, My_Audit!N:N, ""),
    _xlfn.TEXTJOIN(", ", TRUE, _xlpm.MyAuditVal, _xlpm.MacVal, _xlpm.CSVVal)
)</f>
        <v/>
      </c>
      <c r="N683" s="54" t="str" cm="1">
        <f t="array" ref="N683">IFERROR(_xlfn.LET(
_xlpm.CSVVal,_xlfn.XLOOKUP($A683,CSV!$A:$A,CSV!AF:AF,""),
_xlpm.MacVal,_xlfn.XLOOKUP($A683,Output_Mac!$A:$A,Output_Mac!U:U,""),
_xlpm.MyAuditVal,_xlfn.XLOOKUP($A683,My_Audit!$A:$A,My_Audit!O:O,""),
_xlfn.IFS(_xlpm.MyAuditVal&lt;&gt;"",UPPER(_xlpm.MyAuditVal),_xlpm.MacVal&lt;&gt;"",_xlpm.MacVal,_xlpm.CSVVal&lt;&gt;"",_xlpm.CSVVal
)),"")</f>
        <v/>
      </c>
      <c r="O683" s="54"/>
      <c r="P683" s="54"/>
      <c r="Q683" s="54"/>
      <c r="R683" s="54"/>
      <c r="S683" s="54"/>
      <c r="T683" s="54"/>
      <c r="U683" s="39"/>
    </row>
    <row r="684" spans="1:21">
      <c r="A684" s="54" t="str">
        <f>_xlfn.TEXTJOIN("",TRUE,Input!$B$2,ROW(My_Audit!A683))</f>
        <v>XX683</v>
      </c>
      <c r="B684" s="54" t="str">
        <f>_xlfn.TEXTJOIN("-",TRUE,"ITD",Input!$A$2,A684)</f>
        <v>ITD-SHRXXX-XX683</v>
      </c>
      <c r="C684" s="54" t="str" cm="1">
        <f t="array" ref="C684">IFERROR(_xlfn.LET(
_xlpm.CSVVal,_xlfn.XLOOKUP($A684,CSV!$A:$A,CSV!B:B,""),
_xlpm.MacVal,_xlfn.XLOOKUP($A684,Output_Mac!$A:$A,Output_Mac!B:B,""),
_xlpm.MyAuditVal,_xlfn.XLOOKUP($A684,My_Audit!$A:$A,My_Audit!B:B,""),
_xlfn.IFS(_xlpm.MyAuditVal&lt;&gt;"",UPPER(_xlpm.MyAuditVal),_xlpm.MacVal&lt;&gt;"",_xlpm.MacVal,_xlpm.CSVVal&lt;&gt;"",_xlpm.CSVVal
)),"")</f>
        <v/>
      </c>
      <c r="D684" s="55" t="str">
        <f>_xlfn.XLOOKUP(A684,My_Audit!A:A,My_Audit!D:D,"")&amp;""</f>
        <v/>
      </c>
      <c r="E684" s="55" t="str" cm="1">
        <f t="array" ref="E684">IFERROR(_xlfn.LET(
_xlpm.CSVVal,_xlfn.XLOOKUP($A684,CSV!$A:$A,CSV!D:D,""),
_xlpm.MacVal,_xlfn.XLOOKUP($A684,Output_Mac!$A:$A,Output_Mac!C:C,""),
_xlpm.MyAuditVal,_xlfn.XLOOKUP($A684,My_Audit!$A:$A,My_Audit!D:D,""),
_xlfn.IFS(_xlpm.MyAuditVal&lt;&gt;"",_xlpm.MyAuditVal,_xlpm.MacVal&lt;&gt;"",_xlpm.MacVal,_xlpm.CSVVal&lt;&gt;"",_xlpm.CSVVal
)),"")</f>
        <v/>
      </c>
      <c r="F684" s="54" t="str" cm="1">
        <f t="array" ref="F684">IFERROR(_xlfn.LET(
_xlpm.CSVVal,_xlfn.XLOOKUP($A684,CSV!$A:$A,CSV!E:E,""),
_xlpm.MacVal,_xlfn.XLOOKUP($A684,Output_Mac!$A:$A,Output_Mac!F:F,""),
_xlpm.MyAuditVal,_xlfn.XLOOKUP($A684,My_Audit!$A:$A,My_Audit!E:E,""),
_xlfn.IFS(_xlpm.MyAuditVal&lt;&gt;"",_xlpm.MyAuditVal,_xlpm.MacVal&lt;&gt;"",_xlpm.MacVal,_xlpm.CSVVal&lt;&gt;"",PROPER(_xlpm.CSVVal)
)),"")</f>
        <v/>
      </c>
      <c r="G684" s="54" t="str" cm="1">
        <f t="array" ref="G684">IFERROR(_xlfn.LET(
_xlpm.CSVVal,_xlfn.XLOOKUP($A684,CSV!$A:$A,CSV!F:F,""),
_xlpm.MacVal,_xlfn.XLOOKUP($A684,Output_Mac!$A:$A,Output_Mac!H:H,""),
_xlpm.MyAuditVal,_xlfn.XLOOKUP($A684,My_Audit!$A:$A,My_Audit!F:F,""),
_xlfn.IFS(_xlpm.MyAuditVal&lt;&gt;"",_xlpm.MyAuditVal,_xlpm.MacVal&lt;&gt;"",_xlpm.MacVal,_xlpm.CSVVal&lt;&gt;"",_xlpm.CSVVal
)),"")</f>
        <v/>
      </c>
      <c r="H684" s="54" t="str">
        <f>_xlfn.XLOOKUP(A684,Output_Mac!A:A,Output_Mac!I:I,"")</f>
        <v/>
      </c>
      <c r="I684" s="54" t="str" cm="1">
        <f t="array" ref="I684">IFERROR(_xlfn.LET(
_xlpm.CSVVal,_xlfn.XLOOKUP($A684,CSV!$A:$A,CSV!G:G,""),
_xlpm.MacVal,_xlfn.XLOOKUP($A684,Output_Mac!$A:$A,Output_Mac!J:J,""),
_xlpm.MyAuditVal,_xlfn.XLOOKUP($A684,My_Audit!$A:$A,My_Audit!H:H,""),
_xlfn.IFS(_xlpm.MyAuditVal&lt;&gt;"",UPPER(_xlpm.MyAuditVal),_xlpm.MacVal&lt;&gt;"",_xlpm.MacVal,_xlpm.CSVVal&lt;&gt;"",_xlpm.CSVVal
)),"")</f>
        <v/>
      </c>
      <c r="J684" s="54" t="str" cm="1">
        <f t="array" ref="J684">IFERROR(_xlfn.LET(
_xlpm.CSVVal,_xlfn.XLOOKUP($A684,CSV!$A:$A,CSV!I:I,""),
_xlpm.MacVal,_xlfn.XLOOKUP($A684,Output_Mac!$A:$A,Output_Mac!K:K,""),
_xlpm.MyAuditVal,_xlfn.XLOOKUP($A684,My_Audit!$A:$A,My_Audit!I:I,""),
_xlfn.IFS(_xlpm.MyAuditVal&lt;&gt;"",UPPER(_xlpm.MyAuditVal),_xlpm.MacVal&lt;&gt;"",_xlpm.MacVal,_xlpm.CSVVal&lt;&gt;"",_xlpm.CSVVal
)),"")</f>
        <v/>
      </c>
      <c r="K684" s="54" t="str" cm="1">
        <f t="array" ref="K684">IFERROR(_xlfn.LET(
_xlpm.CSVVal,_xlfn.XLOOKUP($A684,CSV!$A:$A,CSV!M:M,""),
_xlpm.MacVal,_xlfn.XLOOKUP($A684,Output_Mac!$A:$A,Output_Mac!L:L,""),
_xlpm.MyAuditVal,_xlfn.XLOOKUP($A684,My_Audit!$A:$A,My_Audit!J:J,""),
_xlfn.IFS(_xlpm.MyAuditVal&lt;&gt;"",UPPER(_xlpm.MyAuditVal),_xlpm.MacVal&lt;&gt;"",_xlpm.MacVal,_xlpm.CSVVal&lt;&gt;"",_xlpm.CSVVal
)),"")</f>
        <v/>
      </c>
      <c r="L684" s="54" t="str" cm="1">
        <f t="array" ref="L684">IFERROR(_xlfn.LET(
_xlpm.CSVVal,_xlfn.XLOOKUP($A684,CSV!$A:$A,CSV!O:O,""),
_xlpm.MacVal,_xlfn.XLOOKUP($A684,Output_Mac!$A:$A,Output_Mac!M:M,""),
_xlpm.MyAuditVal,_xlfn.XLOOKUP($A684,My_Audit!$A:$A,My_Audit!K:K,""),
_xlfn.IFS(_xlpm.MyAuditVal&lt;&gt;"",UPPER(_xlpm.MyAuditVal),_xlpm.MacVal&lt;&gt;"",_xlpm.MacVal,_xlpm.CSVVal&lt;&gt;"",_xlpm.CSVVal
)),"")</f>
        <v/>
      </c>
      <c r="M684" s="54" t="str">
        <f>_xlfn.LET(
    _xlpm.CSVVal, _xlfn.XLOOKUP($A684, CSV!$A:$A, CSV!AD:AD, ""),
    _xlpm.MacVal, _xlfn.XLOOKUP($A684, Output_Mac!$A:$A, Output_Mac!S:S, ""),
    _xlpm.MyAuditVal, _xlfn.XLOOKUP($A684, My_Audit!$A:$A, My_Audit!N:N, ""),
    _xlfn.TEXTJOIN(", ", TRUE, _xlpm.MyAuditVal, _xlpm.MacVal, _xlpm.CSVVal)
)</f>
        <v/>
      </c>
      <c r="N684" s="54" t="str" cm="1">
        <f t="array" ref="N684">IFERROR(_xlfn.LET(
_xlpm.CSVVal,_xlfn.XLOOKUP($A684,CSV!$A:$A,CSV!AF:AF,""),
_xlpm.MacVal,_xlfn.XLOOKUP($A684,Output_Mac!$A:$A,Output_Mac!U:U,""),
_xlpm.MyAuditVal,_xlfn.XLOOKUP($A684,My_Audit!$A:$A,My_Audit!O:O,""),
_xlfn.IFS(_xlpm.MyAuditVal&lt;&gt;"",UPPER(_xlpm.MyAuditVal),_xlpm.MacVal&lt;&gt;"",_xlpm.MacVal,_xlpm.CSVVal&lt;&gt;"",_xlpm.CSVVal
)),"")</f>
        <v/>
      </c>
      <c r="O684" s="54"/>
      <c r="P684" s="54"/>
      <c r="Q684" s="54"/>
      <c r="R684" s="54"/>
      <c r="S684" s="54"/>
      <c r="T684" s="54"/>
      <c r="U684" s="39"/>
    </row>
    <row r="685" spans="1:21">
      <c r="A685" s="54" t="str">
        <f>_xlfn.TEXTJOIN("",TRUE,Input!$B$2,ROW(My_Audit!A684))</f>
        <v>XX684</v>
      </c>
      <c r="B685" s="54" t="str">
        <f>_xlfn.TEXTJOIN("-",TRUE,"ITD",Input!$A$2,A685)</f>
        <v>ITD-SHRXXX-XX684</v>
      </c>
      <c r="C685" s="54" t="str" cm="1">
        <f t="array" ref="C685">IFERROR(_xlfn.LET(
_xlpm.CSVVal,_xlfn.XLOOKUP($A685,CSV!$A:$A,CSV!B:B,""),
_xlpm.MacVal,_xlfn.XLOOKUP($A685,Output_Mac!$A:$A,Output_Mac!B:B,""),
_xlpm.MyAuditVal,_xlfn.XLOOKUP($A685,My_Audit!$A:$A,My_Audit!B:B,""),
_xlfn.IFS(_xlpm.MyAuditVal&lt;&gt;"",UPPER(_xlpm.MyAuditVal),_xlpm.MacVal&lt;&gt;"",_xlpm.MacVal,_xlpm.CSVVal&lt;&gt;"",_xlpm.CSVVal
)),"")</f>
        <v/>
      </c>
      <c r="D685" s="55" t="str">
        <f>_xlfn.XLOOKUP(A685,My_Audit!A:A,My_Audit!D:D,"")&amp;""</f>
        <v/>
      </c>
      <c r="E685" s="55" t="str" cm="1">
        <f t="array" ref="E685">IFERROR(_xlfn.LET(
_xlpm.CSVVal,_xlfn.XLOOKUP($A685,CSV!$A:$A,CSV!D:D,""),
_xlpm.MacVal,_xlfn.XLOOKUP($A685,Output_Mac!$A:$A,Output_Mac!C:C,""),
_xlpm.MyAuditVal,_xlfn.XLOOKUP($A685,My_Audit!$A:$A,My_Audit!D:D,""),
_xlfn.IFS(_xlpm.MyAuditVal&lt;&gt;"",_xlpm.MyAuditVal,_xlpm.MacVal&lt;&gt;"",_xlpm.MacVal,_xlpm.CSVVal&lt;&gt;"",_xlpm.CSVVal
)),"")</f>
        <v/>
      </c>
      <c r="F685" s="54" t="str" cm="1">
        <f t="array" ref="F685">IFERROR(_xlfn.LET(
_xlpm.CSVVal,_xlfn.XLOOKUP($A685,CSV!$A:$A,CSV!E:E,""),
_xlpm.MacVal,_xlfn.XLOOKUP($A685,Output_Mac!$A:$A,Output_Mac!F:F,""),
_xlpm.MyAuditVal,_xlfn.XLOOKUP($A685,My_Audit!$A:$A,My_Audit!E:E,""),
_xlfn.IFS(_xlpm.MyAuditVal&lt;&gt;"",_xlpm.MyAuditVal,_xlpm.MacVal&lt;&gt;"",_xlpm.MacVal,_xlpm.CSVVal&lt;&gt;"",PROPER(_xlpm.CSVVal)
)),"")</f>
        <v/>
      </c>
      <c r="G685" s="54" t="str" cm="1">
        <f t="array" ref="G685">IFERROR(_xlfn.LET(
_xlpm.CSVVal,_xlfn.XLOOKUP($A685,CSV!$A:$A,CSV!F:F,""),
_xlpm.MacVal,_xlfn.XLOOKUP($A685,Output_Mac!$A:$A,Output_Mac!H:H,""),
_xlpm.MyAuditVal,_xlfn.XLOOKUP($A685,My_Audit!$A:$A,My_Audit!F:F,""),
_xlfn.IFS(_xlpm.MyAuditVal&lt;&gt;"",_xlpm.MyAuditVal,_xlpm.MacVal&lt;&gt;"",_xlpm.MacVal,_xlpm.CSVVal&lt;&gt;"",_xlpm.CSVVal
)),"")</f>
        <v/>
      </c>
      <c r="H685" s="54" t="str">
        <f>_xlfn.XLOOKUP(A685,Output_Mac!A:A,Output_Mac!I:I,"")</f>
        <v/>
      </c>
      <c r="I685" s="54" t="str" cm="1">
        <f t="array" ref="I685">IFERROR(_xlfn.LET(
_xlpm.CSVVal,_xlfn.XLOOKUP($A685,CSV!$A:$A,CSV!G:G,""),
_xlpm.MacVal,_xlfn.XLOOKUP($A685,Output_Mac!$A:$A,Output_Mac!J:J,""),
_xlpm.MyAuditVal,_xlfn.XLOOKUP($A685,My_Audit!$A:$A,My_Audit!H:H,""),
_xlfn.IFS(_xlpm.MyAuditVal&lt;&gt;"",UPPER(_xlpm.MyAuditVal),_xlpm.MacVal&lt;&gt;"",_xlpm.MacVal,_xlpm.CSVVal&lt;&gt;"",_xlpm.CSVVal
)),"")</f>
        <v/>
      </c>
      <c r="J685" s="54" t="str" cm="1">
        <f t="array" ref="J685">IFERROR(_xlfn.LET(
_xlpm.CSVVal,_xlfn.XLOOKUP($A685,CSV!$A:$A,CSV!I:I,""),
_xlpm.MacVal,_xlfn.XLOOKUP($A685,Output_Mac!$A:$A,Output_Mac!K:K,""),
_xlpm.MyAuditVal,_xlfn.XLOOKUP($A685,My_Audit!$A:$A,My_Audit!I:I,""),
_xlfn.IFS(_xlpm.MyAuditVal&lt;&gt;"",UPPER(_xlpm.MyAuditVal),_xlpm.MacVal&lt;&gt;"",_xlpm.MacVal,_xlpm.CSVVal&lt;&gt;"",_xlpm.CSVVal
)),"")</f>
        <v/>
      </c>
      <c r="K685" s="54" t="str" cm="1">
        <f t="array" ref="K685">IFERROR(_xlfn.LET(
_xlpm.CSVVal,_xlfn.XLOOKUP($A685,CSV!$A:$A,CSV!M:M,""),
_xlpm.MacVal,_xlfn.XLOOKUP($A685,Output_Mac!$A:$A,Output_Mac!L:L,""),
_xlpm.MyAuditVal,_xlfn.XLOOKUP($A685,My_Audit!$A:$A,My_Audit!J:J,""),
_xlfn.IFS(_xlpm.MyAuditVal&lt;&gt;"",UPPER(_xlpm.MyAuditVal),_xlpm.MacVal&lt;&gt;"",_xlpm.MacVal,_xlpm.CSVVal&lt;&gt;"",_xlpm.CSVVal
)),"")</f>
        <v/>
      </c>
      <c r="L685" s="54" t="str" cm="1">
        <f t="array" ref="L685">IFERROR(_xlfn.LET(
_xlpm.CSVVal,_xlfn.XLOOKUP($A685,CSV!$A:$A,CSV!O:O,""),
_xlpm.MacVal,_xlfn.XLOOKUP($A685,Output_Mac!$A:$A,Output_Mac!M:M,""),
_xlpm.MyAuditVal,_xlfn.XLOOKUP($A685,My_Audit!$A:$A,My_Audit!K:K,""),
_xlfn.IFS(_xlpm.MyAuditVal&lt;&gt;"",UPPER(_xlpm.MyAuditVal),_xlpm.MacVal&lt;&gt;"",_xlpm.MacVal,_xlpm.CSVVal&lt;&gt;"",_xlpm.CSVVal
)),"")</f>
        <v/>
      </c>
      <c r="M685" s="54" t="str">
        <f>_xlfn.LET(
    _xlpm.CSVVal, _xlfn.XLOOKUP($A685, CSV!$A:$A, CSV!AD:AD, ""),
    _xlpm.MacVal, _xlfn.XLOOKUP($A685, Output_Mac!$A:$A, Output_Mac!S:S, ""),
    _xlpm.MyAuditVal, _xlfn.XLOOKUP($A685, My_Audit!$A:$A, My_Audit!N:N, ""),
    _xlfn.TEXTJOIN(", ", TRUE, _xlpm.MyAuditVal, _xlpm.MacVal, _xlpm.CSVVal)
)</f>
        <v/>
      </c>
      <c r="N685" s="54" t="str" cm="1">
        <f t="array" ref="N685">IFERROR(_xlfn.LET(
_xlpm.CSVVal,_xlfn.XLOOKUP($A685,CSV!$A:$A,CSV!AF:AF,""),
_xlpm.MacVal,_xlfn.XLOOKUP($A685,Output_Mac!$A:$A,Output_Mac!U:U,""),
_xlpm.MyAuditVal,_xlfn.XLOOKUP($A685,My_Audit!$A:$A,My_Audit!O:O,""),
_xlfn.IFS(_xlpm.MyAuditVal&lt;&gt;"",UPPER(_xlpm.MyAuditVal),_xlpm.MacVal&lt;&gt;"",_xlpm.MacVal,_xlpm.CSVVal&lt;&gt;"",_xlpm.CSVVal
)),"")</f>
        <v/>
      </c>
      <c r="O685" s="54"/>
      <c r="P685" s="54"/>
      <c r="Q685" s="54"/>
      <c r="R685" s="54"/>
      <c r="S685" s="54"/>
      <c r="T685" s="54"/>
      <c r="U685" s="39"/>
    </row>
    <row r="686" spans="1:21">
      <c r="A686" s="54" t="str">
        <f>_xlfn.TEXTJOIN("",TRUE,Input!$B$2,ROW(My_Audit!A685))</f>
        <v>XX685</v>
      </c>
      <c r="B686" s="54" t="str">
        <f>_xlfn.TEXTJOIN("-",TRUE,"ITD",Input!$A$2,A686)</f>
        <v>ITD-SHRXXX-XX685</v>
      </c>
      <c r="C686" s="54" t="str" cm="1">
        <f t="array" ref="C686">IFERROR(_xlfn.LET(
_xlpm.CSVVal,_xlfn.XLOOKUP($A686,CSV!$A:$A,CSV!B:B,""),
_xlpm.MacVal,_xlfn.XLOOKUP($A686,Output_Mac!$A:$A,Output_Mac!B:B,""),
_xlpm.MyAuditVal,_xlfn.XLOOKUP($A686,My_Audit!$A:$A,My_Audit!B:B,""),
_xlfn.IFS(_xlpm.MyAuditVal&lt;&gt;"",UPPER(_xlpm.MyAuditVal),_xlpm.MacVal&lt;&gt;"",_xlpm.MacVal,_xlpm.CSVVal&lt;&gt;"",_xlpm.CSVVal
)),"")</f>
        <v/>
      </c>
      <c r="D686" s="55" t="str">
        <f>_xlfn.XLOOKUP(A686,My_Audit!A:A,My_Audit!D:D,"")&amp;""</f>
        <v/>
      </c>
      <c r="E686" s="55" t="str" cm="1">
        <f t="array" ref="E686">IFERROR(_xlfn.LET(
_xlpm.CSVVal,_xlfn.XLOOKUP($A686,CSV!$A:$A,CSV!D:D,""),
_xlpm.MacVal,_xlfn.XLOOKUP($A686,Output_Mac!$A:$A,Output_Mac!C:C,""),
_xlpm.MyAuditVal,_xlfn.XLOOKUP($A686,My_Audit!$A:$A,My_Audit!D:D,""),
_xlfn.IFS(_xlpm.MyAuditVal&lt;&gt;"",_xlpm.MyAuditVal,_xlpm.MacVal&lt;&gt;"",_xlpm.MacVal,_xlpm.CSVVal&lt;&gt;"",_xlpm.CSVVal
)),"")</f>
        <v/>
      </c>
      <c r="F686" s="54" t="str" cm="1">
        <f t="array" ref="F686">IFERROR(_xlfn.LET(
_xlpm.CSVVal,_xlfn.XLOOKUP($A686,CSV!$A:$A,CSV!E:E,""),
_xlpm.MacVal,_xlfn.XLOOKUP($A686,Output_Mac!$A:$A,Output_Mac!F:F,""),
_xlpm.MyAuditVal,_xlfn.XLOOKUP($A686,My_Audit!$A:$A,My_Audit!E:E,""),
_xlfn.IFS(_xlpm.MyAuditVal&lt;&gt;"",_xlpm.MyAuditVal,_xlpm.MacVal&lt;&gt;"",_xlpm.MacVal,_xlpm.CSVVal&lt;&gt;"",PROPER(_xlpm.CSVVal)
)),"")</f>
        <v/>
      </c>
      <c r="G686" s="54" t="str" cm="1">
        <f t="array" ref="G686">IFERROR(_xlfn.LET(
_xlpm.CSVVal,_xlfn.XLOOKUP($A686,CSV!$A:$A,CSV!F:F,""),
_xlpm.MacVal,_xlfn.XLOOKUP($A686,Output_Mac!$A:$A,Output_Mac!H:H,""),
_xlpm.MyAuditVal,_xlfn.XLOOKUP($A686,My_Audit!$A:$A,My_Audit!F:F,""),
_xlfn.IFS(_xlpm.MyAuditVal&lt;&gt;"",_xlpm.MyAuditVal,_xlpm.MacVal&lt;&gt;"",_xlpm.MacVal,_xlpm.CSVVal&lt;&gt;"",_xlpm.CSVVal
)),"")</f>
        <v/>
      </c>
      <c r="H686" s="54" t="str">
        <f>_xlfn.XLOOKUP(A686,Output_Mac!A:A,Output_Mac!I:I,"")</f>
        <v/>
      </c>
      <c r="I686" s="54" t="str" cm="1">
        <f t="array" ref="I686">IFERROR(_xlfn.LET(
_xlpm.CSVVal,_xlfn.XLOOKUP($A686,CSV!$A:$A,CSV!G:G,""),
_xlpm.MacVal,_xlfn.XLOOKUP($A686,Output_Mac!$A:$A,Output_Mac!J:J,""),
_xlpm.MyAuditVal,_xlfn.XLOOKUP($A686,My_Audit!$A:$A,My_Audit!H:H,""),
_xlfn.IFS(_xlpm.MyAuditVal&lt;&gt;"",UPPER(_xlpm.MyAuditVal),_xlpm.MacVal&lt;&gt;"",_xlpm.MacVal,_xlpm.CSVVal&lt;&gt;"",_xlpm.CSVVal
)),"")</f>
        <v/>
      </c>
      <c r="J686" s="54" t="str" cm="1">
        <f t="array" ref="J686">IFERROR(_xlfn.LET(
_xlpm.CSVVal,_xlfn.XLOOKUP($A686,CSV!$A:$A,CSV!I:I,""),
_xlpm.MacVal,_xlfn.XLOOKUP($A686,Output_Mac!$A:$A,Output_Mac!K:K,""),
_xlpm.MyAuditVal,_xlfn.XLOOKUP($A686,My_Audit!$A:$A,My_Audit!I:I,""),
_xlfn.IFS(_xlpm.MyAuditVal&lt;&gt;"",UPPER(_xlpm.MyAuditVal),_xlpm.MacVal&lt;&gt;"",_xlpm.MacVal,_xlpm.CSVVal&lt;&gt;"",_xlpm.CSVVal
)),"")</f>
        <v/>
      </c>
      <c r="K686" s="54" t="str" cm="1">
        <f t="array" ref="K686">IFERROR(_xlfn.LET(
_xlpm.CSVVal,_xlfn.XLOOKUP($A686,CSV!$A:$A,CSV!M:M,""),
_xlpm.MacVal,_xlfn.XLOOKUP($A686,Output_Mac!$A:$A,Output_Mac!L:L,""),
_xlpm.MyAuditVal,_xlfn.XLOOKUP($A686,My_Audit!$A:$A,My_Audit!J:J,""),
_xlfn.IFS(_xlpm.MyAuditVal&lt;&gt;"",UPPER(_xlpm.MyAuditVal),_xlpm.MacVal&lt;&gt;"",_xlpm.MacVal,_xlpm.CSVVal&lt;&gt;"",_xlpm.CSVVal
)),"")</f>
        <v/>
      </c>
      <c r="L686" s="54" t="str" cm="1">
        <f t="array" ref="L686">IFERROR(_xlfn.LET(
_xlpm.CSVVal,_xlfn.XLOOKUP($A686,CSV!$A:$A,CSV!O:O,""),
_xlpm.MacVal,_xlfn.XLOOKUP($A686,Output_Mac!$A:$A,Output_Mac!M:M,""),
_xlpm.MyAuditVal,_xlfn.XLOOKUP($A686,My_Audit!$A:$A,My_Audit!K:K,""),
_xlfn.IFS(_xlpm.MyAuditVal&lt;&gt;"",UPPER(_xlpm.MyAuditVal),_xlpm.MacVal&lt;&gt;"",_xlpm.MacVal,_xlpm.CSVVal&lt;&gt;"",_xlpm.CSVVal
)),"")</f>
        <v/>
      </c>
      <c r="M686" s="54" t="str">
        <f>_xlfn.LET(
    _xlpm.CSVVal, _xlfn.XLOOKUP($A686, CSV!$A:$A, CSV!AD:AD, ""),
    _xlpm.MacVal, _xlfn.XLOOKUP($A686, Output_Mac!$A:$A, Output_Mac!S:S, ""),
    _xlpm.MyAuditVal, _xlfn.XLOOKUP($A686, My_Audit!$A:$A, My_Audit!N:N, ""),
    _xlfn.TEXTJOIN(", ", TRUE, _xlpm.MyAuditVal, _xlpm.MacVal, _xlpm.CSVVal)
)</f>
        <v/>
      </c>
      <c r="N686" s="54" t="str" cm="1">
        <f t="array" ref="N686">IFERROR(_xlfn.LET(
_xlpm.CSVVal,_xlfn.XLOOKUP($A686,CSV!$A:$A,CSV!AF:AF,""),
_xlpm.MacVal,_xlfn.XLOOKUP($A686,Output_Mac!$A:$A,Output_Mac!U:U,""),
_xlpm.MyAuditVal,_xlfn.XLOOKUP($A686,My_Audit!$A:$A,My_Audit!O:O,""),
_xlfn.IFS(_xlpm.MyAuditVal&lt;&gt;"",UPPER(_xlpm.MyAuditVal),_xlpm.MacVal&lt;&gt;"",_xlpm.MacVal,_xlpm.CSVVal&lt;&gt;"",_xlpm.CSVVal
)),"")</f>
        <v/>
      </c>
      <c r="O686" s="54"/>
      <c r="P686" s="54"/>
      <c r="Q686" s="54"/>
      <c r="R686" s="54"/>
      <c r="S686" s="54"/>
      <c r="T686" s="54"/>
      <c r="U686" s="39"/>
    </row>
    <row r="687" spans="1:21">
      <c r="A687" s="54" t="str">
        <f>_xlfn.TEXTJOIN("",TRUE,Input!$B$2,ROW(My_Audit!A686))</f>
        <v>XX686</v>
      </c>
      <c r="B687" s="54" t="str">
        <f>_xlfn.TEXTJOIN("-",TRUE,"ITD",Input!$A$2,A687)</f>
        <v>ITD-SHRXXX-XX686</v>
      </c>
      <c r="C687" s="54" t="str" cm="1">
        <f t="array" ref="C687">IFERROR(_xlfn.LET(
_xlpm.CSVVal,_xlfn.XLOOKUP($A687,CSV!$A:$A,CSV!B:B,""),
_xlpm.MacVal,_xlfn.XLOOKUP($A687,Output_Mac!$A:$A,Output_Mac!B:B,""),
_xlpm.MyAuditVal,_xlfn.XLOOKUP($A687,My_Audit!$A:$A,My_Audit!B:B,""),
_xlfn.IFS(_xlpm.MyAuditVal&lt;&gt;"",UPPER(_xlpm.MyAuditVal),_xlpm.MacVal&lt;&gt;"",_xlpm.MacVal,_xlpm.CSVVal&lt;&gt;"",_xlpm.CSVVal
)),"")</f>
        <v/>
      </c>
      <c r="D687" s="55" t="str">
        <f>_xlfn.XLOOKUP(A687,My_Audit!A:A,My_Audit!D:D,"")&amp;""</f>
        <v/>
      </c>
      <c r="E687" s="55" t="str" cm="1">
        <f t="array" ref="E687">IFERROR(_xlfn.LET(
_xlpm.CSVVal,_xlfn.XLOOKUP($A687,CSV!$A:$A,CSV!D:D,""),
_xlpm.MacVal,_xlfn.XLOOKUP($A687,Output_Mac!$A:$A,Output_Mac!C:C,""),
_xlpm.MyAuditVal,_xlfn.XLOOKUP($A687,My_Audit!$A:$A,My_Audit!D:D,""),
_xlfn.IFS(_xlpm.MyAuditVal&lt;&gt;"",_xlpm.MyAuditVal,_xlpm.MacVal&lt;&gt;"",_xlpm.MacVal,_xlpm.CSVVal&lt;&gt;"",_xlpm.CSVVal
)),"")</f>
        <v/>
      </c>
      <c r="F687" s="54" t="str" cm="1">
        <f t="array" ref="F687">IFERROR(_xlfn.LET(
_xlpm.CSVVal,_xlfn.XLOOKUP($A687,CSV!$A:$A,CSV!E:E,""),
_xlpm.MacVal,_xlfn.XLOOKUP($A687,Output_Mac!$A:$A,Output_Mac!F:F,""),
_xlpm.MyAuditVal,_xlfn.XLOOKUP($A687,My_Audit!$A:$A,My_Audit!E:E,""),
_xlfn.IFS(_xlpm.MyAuditVal&lt;&gt;"",_xlpm.MyAuditVal,_xlpm.MacVal&lt;&gt;"",_xlpm.MacVal,_xlpm.CSVVal&lt;&gt;"",PROPER(_xlpm.CSVVal)
)),"")</f>
        <v/>
      </c>
      <c r="G687" s="54" t="str" cm="1">
        <f t="array" ref="G687">IFERROR(_xlfn.LET(
_xlpm.CSVVal,_xlfn.XLOOKUP($A687,CSV!$A:$A,CSV!F:F,""),
_xlpm.MacVal,_xlfn.XLOOKUP($A687,Output_Mac!$A:$A,Output_Mac!H:H,""),
_xlpm.MyAuditVal,_xlfn.XLOOKUP($A687,My_Audit!$A:$A,My_Audit!F:F,""),
_xlfn.IFS(_xlpm.MyAuditVal&lt;&gt;"",_xlpm.MyAuditVal,_xlpm.MacVal&lt;&gt;"",_xlpm.MacVal,_xlpm.CSVVal&lt;&gt;"",_xlpm.CSVVal
)),"")</f>
        <v/>
      </c>
      <c r="H687" s="54" t="str">
        <f>_xlfn.XLOOKUP(A687,Output_Mac!A:A,Output_Mac!I:I,"")</f>
        <v/>
      </c>
      <c r="I687" s="54" t="str" cm="1">
        <f t="array" ref="I687">IFERROR(_xlfn.LET(
_xlpm.CSVVal,_xlfn.XLOOKUP($A687,CSV!$A:$A,CSV!G:G,""),
_xlpm.MacVal,_xlfn.XLOOKUP($A687,Output_Mac!$A:$A,Output_Mac!J:J,""),
_xlpm.MyAuditVal,_xlfn.XLOOKUP($A687,My_Audit!$A:$A,My_Audit!H:H,""),
_xlfn.IFS(_xlpm.MyAuditVal&lt;&gt;"",UPPER(_xlpm.MyAuditVal),_xlpm.MacVal&lt;&gt;"",_xlpm.MacVal,_xlpm.CSVVal&lt;&gt;"",_xlpm.CSVVal
)),"")</f>
        <v/>
      </c>
      <c r="J687" s="54" t="str" cm="1">
        <f t="array" ref="J687">IFERROR(_xlfn.LET(
_xlpm.CSVVal,_xlfn.XLOOKUP($A687,CSV!$A:$A,CSV!I:I,""),
_xlpm.MacVal,_xlfn.XLOOKUP($A687,Output_Mac!$A:$A,Output_Mac!K:K,""),
_xlpm.MyAuditVal,_xlfn.XLOOKUP($A687,My_Audit!$A:$A,My_Audit!I:I,""),
_xlfn.IFS(_xlpm.MyAuditVal&lt;&gt;"",UPPER(_xlpm.MyAuditVal),_xlpm.MacVal&lt;&gt;"",_xlpm.MacVal,_xlpm.CSVVal&lt;&gt;"",_xlpm.CSVVal
)),"")</f>
        <v/>
      </c>
      <c r="K687" s="54" t="str" cm="1">
        <f t="array" ref="K687">IFERROR(_xlfn.LET(
_xlpm.CSVVal,_xlfn.XLOOKUP($A687,CSV!$A:$A,CSV!M:M,""),
_xlpm.MacVal,_xlfn.XLOOKUP($A687,Output_Mac!$A:$A,Output_Mac!L:L,""),
_xlpm.MyAuditVal,_xlfn.XLOOKUP($A687,My_Audit!$A:$A,My_Audit!J:J,""),
_xlfn.IFS(_xlpm.MyAuditVal&lt;&gt;"",UPPER(_xlpm.MyAuditVal),_xlpm.MacVal&lt;&gt;"",_xlpm.MacVal,_xlpm.CSVVal&lt;&gt;"",_xlpm.CSVVal
)),"")</f>
        <v/>
      </c>
      <c r="L687" s="54" t="str" cm="1">
        <f t="array" ref="L687">IFERROR(_xlfn.LET(
_xlpm.CSVVal,_xlfn.XLOOKUP($A687,CSV!$A:$A,CSV!O:O,""),
_xlpm.MacVal,_xlfn.XLOOKUP($A687,Output_Mac!$A:$A,Output_Mac!M:M,""),
_xlpm.MyAuditVal,_xlfn.XLOOKUP($A687,My_Audit!$A:$A,My_Audit!K:K,""),
_xlfn.IFS(_xlpm.MyAuditVal&lt;&gt;"",UPPER(_xlpm.MyAuditVal),_xlpm.MacVal&lt;&gt;"",_xlpm.MacVal,_xlpm.CSVVal&lt;&gt;"",_xlpm.CSVVal
)),"")</f>
        <v/>
      </c>
      <c r="M687" s="54" t="str">
        <f>_xlfn.LET(
    _xlpm.CSVVal, _xlfn.XLOOKUP($A687, CSV!$A:$A, CSV!AD:AD, ""),
    _xlpm.MacVal, _xlfn.XLOOKUP($A687, Output_Mac!$A:$A, Output_Mac!S:S, ""),
    _xlpm.MyAuditVal, _xlfn.XLOOKUP($A687, My_Audit!$A:$A, My_Audit!N:N, ""),
    _xlfn.TEXTJOIN(", ", TRUE, _xlpm.MyAuditVal, _xlpm.MacVal, _xlpm.CSVVal)
)</f>
        <v/>
      </c>
      <c r="N687" s="54" t="str" cm="1">
        <f t="array" ref="N687">IFERROR(_xlfn.LET(
_xlpm.CSVVal,_xlfn.XLOOKUP($A687,CSV!$A:$A,CSV!AF:AF,""),
_xlpm.MacVal,_xlfn.XLOOKUP($A687,Output_Mac!$A:$A,Output_Mac!U:U,""),
_xlpm.MyAuditVal,_xlfn.XLOOKUP($A687,My_Audit!$A:$A,My_Audit!O:O,""),
_xlfn.IFS(_xlpm.MyAuditVal&lt;&gt;"",UPPER(_xlpm.MyAuditVal),_xlpm.MacVal&lt;&gt;"",_xlpm.MacVal,_xlpm.CSVVal&lt;&gt;"",_xlpm.CSVVal
)),"")</f>
        <v/>
      </c>
      <c r="O687" s="54"/>
      <c r="P687" s="54"/>
      <c r="Q687" s="54"/>
      <c r="R687" s="54"/>
      <c r="S687" s="54"/>
      <c r="T687" s="54"/>
      <c r="U687" s="39"/>
    </row>
    <row r="688" spans="1:21">
      <c r="A688" s="54" t="str">
        <f>_xlfn.TEXTJOIN("",TRUE,Input!$B$2,ROW(My_Audit!A687))</f>
        <v>XX687</v>
      </c>
      <c r="B688" s="54" t="str">
        <f>_xlfn.TEXTJOIN("-",TRUE,"ITD",Input!$A$2,A688)</f>
        <v>ITD-SHRXXX-XX687</v>
      </c>
      <c r="C688" s="54" t="str" cm="1">
        <f t="array" ref="C688">IFERROR(_xlfn.LET(
_xlpm.CSVVal,_xlfn.XLOOKUP($A688,CSV!$A:$A,CSV!B:B,""),
_xlpm.MacVal,_xlfn.XLOOKUP($A688,Output_Mac!$A:$A,Output_Mac!B:B,""),
_xlpm.MyAuditVal,_xlfn.XLOOKUP($A688,My_Audit!$A:$A,My_Audit!B:B,""),
_xlfn.IFS(_xlpm.MyAuditVal&lt;&gt;"",UPPER(_xlpm.MyAuditVal),_xlpm.MacVal&lt;&gt;"",_xlpm.MacVal,_xlpm.CSVVal&lt;&gt;"",_xlpm.CSVVal
)),"")</f>
        <v/>
      </c>
      <c r="D688" s="55" t="str">
        <f>_xlfn.XLOOKUP(A688,My_Audit!A:A,My_Audit!D:D,"")&amp;""</f>
        <v/>
      </c>
      <c r="E688" s="55" t="str" cm="1">
        <f t="array" ref="E688">IFERROR(_xlfn.LET(
_xlpm.CSVVal,_xlfn.XLOOKUP($A688,CSV!$A:$A,CSV!D:D,""),
_xlpm.MacVal,_xlfn.XLOOKUP($A688,Output_Mac!$A:$A,Output_Mac!C:C,""),
_xlpm.MyAuditVal,_xlfn.XLOOKUP($A688,My_Audit!$A:$A,My_Audit!D:D,""),
_xlfn.IFS(_xlpm.MyAuditVal&lt;&gt;"",_xlpm.MyAuditVal,_xlpm.MacVal&lt;&gt;"",_xlpm.MacVal,_xlpm.CSVVal&lt;&gt;"",_xlpm.CSVVal
)),"")</f>
        <v/>
      </c>
      <c r="F688" s="54" t="str" cm="1">
        <f t="array" ref="F688">IFERROR(_xlfn.LET(
_xlpm.CSVVal,_xlfn.XLOOKUP($A688,CSV!$A:$A,CSV!E:E,""),
_xlpm.MacVal,_xlfn.XLOOKUP($A688,Output_Mac!$A:$A,Output_Mac!F:F,""),
_xlpm.MyAuditVal,_xlfn.XLOOKUP($A688,My_Audit!$A:$A,My_Audit!E:E,""),
_xlfn.IFS(_xlpm.MyAuditVal&lt;&gt;"",_xlpm.MyAuditVal,_xlpm.MacVal&lt;&gt;"",_xlpm.MacVal,_xlpm.CSVVal&lt;&gt;"",PROPER(_xlpm.CSVVal)
)),"")</f>
        <v/>
      </c>
      <c r="G688" s="54" t="str" cm="1">
        <f t="array" ref="G688">IFERROR(_xlfn.LET(
_xlpm.CSVVal,_xlfn.XLOOKUP($A688,CSV!$A:$A,CSV!F:F,""),
_xlpm.MacVal,_xlfn.XLOOKUP($A688,Output_Mac!$A:$A,Output_Mac!H:H,""),
_xlpm.MyAuditVal,_xlfn.XLOOKUP($A688,My_Audit!$A:$A,My_Audit!F:F,""),
_xlfn.IFS(_xlpm.MyAuditVal&lt;&gt;"",_xlpm.MyAuditVal,_xlpm.MacVal&lt;&gt;"",_xlpm.MacVal,_xlpm.CSVVal&lt;&gt;"",_xlpm.CSVVal
)),"")</f>
        <v/>
      </c>
      <c r="H688" s="54" t="str">
        <f>_xlfn.XLOOKUP(A688,Output_Mac!A:A,Output_Mac!I:I,"")</f>
        <v/>
      </c>
      <c r="I688" s="54" t="str" cm="1">
        <f t="array" ref="I688">IFERROR(_xlfn.LET(
_xlpm.CSVVal,_xlfn.XLOOKUP($A688,CSV!$A:$A,CSV!G:G,""),
_xlpm.MacVal,_xlfn.XLOOKUP($A688,Output_Mac!$A:$A,Output_Mac!J:J,""),
_xlpm.MyAuditVal,_xlfn.XLOOKUP($A688,My_Audit!$A:$A,My_Audit!H:H,""),
_xlfn.IFS(_xlpm.MyAuditVal&lt;&gt;"",UPPER(_xlpm.MyAuditVal),_xlpm.MacVal&lt;&gt;"",_xlpm.MacVal,_xlpm.CSVVal&lt;&gt;"",_xlpm.CSVVal
)),"")</f>
        <v/>
      </c>
      <c r="J688" s="54" t="str" cm="1">
        <f t="array" ref="J688">IFERROR(_xlfn.LET(
_xlpm.CSVVal,_xlfn.XLOOKUP($A688,CSV!$A:$A,CSV!I:I,""),
_xlpm.MacVal,_xlfn.XLOOKUP($A688,Output_Mac!$A:$A,Output_Mac!K:K,""),
_xlpm.MyAuditVal,_xlfn.XLOOKUP($A688,My_Audit!$A:$A,My_Audit!I:I,""),
_xlfn.IFS(_xlpm.MyAuditVal&lt;&gt;"",UPPER(_xlpm.MyAuditVal),_xlpm.MacVal&lt;&gt;"",_xlpm.MacVal,_xlpm.CSVVal&lt;&gt;"",_xlpm.CSVVal
)),"")</f>
        <v/>
      </c>
      <c r="K688" s="54" t="str" cm="1">
        <f t="array" ref="K688">IFERROR(_xlfn.LET(
_xlpm.CSVVal,_xlfn.XLOOKUP($A688,CSV!$A:$A,CSV!M:M,""),
_xlpm.MacVal,_xlfn.XLOOKUP($A688,Output_Mac!$A:$A,Output_Mac!L:L,""),
_xlpm.MyAuditVal,_xlfn.XLOOKUP($A688,My_Audit!$A:$A,My_Audit!J:J,""),
_xlfn.IFS(_xlpm.MyAuditVal&lt;&gt;"",UPPER(_xlpm.MyAuditVal),_xlpm.MacVal&lt;&gt;"",_xlpm.MacVal,_xlpm.CSVVal&lt;&gt;"",_xlpm.CSVVal
)),"")</f>
        <v/>
      </c>
      <c r="L688" s="54" t="str" cm="1">
        <f t="array" ref="L688">IFERROR(_xlfn.LET(
_xlpm.CSVVal,_xlfn.XLOOKUP($A688,CSV!$A:$A,CSV!O:O,""),
_xlpm.MacVal,_xlfn.XLOOKUP($A688,Output_Mac!$A:$A,Output_Mac!M:M,""),
_xlpm.MyAuditVal,_xlfn.XLOOKUP($A688,My_Audit!$A:$A,My_Audit!K:K,""),
_xlfn.IFS(_xlpm.MyAuditVal&lt;&gt;"",UPPER(_xlpm.MyAuditVal),_xlpm.MacVal&lt;&gt;"",_xlpm.MacVal,_xlpm.CSVVal&lt;&gt;"",_xlpm.CSVVal
)),"")</f>
        <v/>
      </c>
      <c r="M688" s="54" t="str">
        <f>_xlfn.LET(
    _xlpm.CSVVal, _xlfn.XLOOKUP($A688, CSV!$A:$A, CSV!AD:AD, ""),
    _xlpm.MacVal, _xlfn.XLOOKUP($A688, Output_Mac!$A:$A, Output_Mac!S:S, ""),
    _xlpm.MyAuditVal, _xlfn.XLOOKUP($A688, My_Audit!$A:$A, My_Audit!N:N, ""),
    _xlfn.TEXTJOIN(", ", TRUE, _xlpm.MyAuditVal, _xlpm.MacVal, _xlpm.CSVVal)
)</f>
        <v/>
      </c>
      <c r="N688" s="54" t="str" cm="1">
        <f t="array" ref="N688">IFERROR(_xlfn.LET(
_xlpm.CSVVal,_xlfn.XLOOKUP($A688,CSV!$A:$A,CSV!AF:AF,""),
_xlpm.MacVal,_xlfn.XLOOKUP($A688,Output_Mac!$A:$A,Output_Mac!U:U,""),
_xlpm.MyAuditVal,_xlfn.XLOOKUP($A688,My_Audit!$A:$A,My_Audit!O:O,""),
_xlfn.IFS(_xlpm.MyAuditVal&lt;&gt;"",UPPER(_xlpm.MyAuditVal),_xlpm.MacVal&lt;&gt;"",_xlpm.MacVal,_xlpm.CSVVal&lt;&gt;"",_xlpm.CSVVal
)),"")</f>
        <v/>
      </c>
      <c r="O688" s="54"/>
      <c r="P688" s="54"/>
      <c r="Q688" s="54"/>
      <c r="R688" s="54"/>
      <c r="S688" s="54"/>
      <c r="T688" s="54"/>
      <c r="U688" s="39"/>
    </row>
    <row r="689" spans="1:21">
      <c r="A689" s="54" t="str">
        <f>_xlfn.TEXTJOIN("",TRUE,Input!$B$2,ROW(My_Audit!A688))</f>
        <v>XX688</v>
      </c>
      <c r="B689" s="54" t="str">
        <f>_xlfn.TEXTJOIN("-",TRUE,"ITD",Input!$A$2,A689)</f>
        <v>ITD-SHRXXX-XX688</v>
      </c>
      <c r="C689" s="54" t="str" cm="1">
        <f t="array" ref="C689">IFERROR(_xlfn.LET(
_xlpm.CSVVal,_xlfn.XLOOKUP($A689,CSV!$A:$A,CSV!B:B,""),
_xlpm.MacVal,_xlfn.XLOOKUP($A689,Output_Mac!$A:$A,Output_Mac!B:B,""),
_xlpm.MyAuditVal,_xlfn.XLOOKUP($A689,My_Audit!$A:$A,My_Audit!B:B,""),
_xlfn.IFS(_xlpm.MyAuditVal&lt;&gt;"",UPPER(_xlpm.MyAuditVal),_xlpm.MacVal&lt;&gt;"",_xlpm.MacVal,_xlpm.CSVVal&lt;&gt;"",_xlpm.CSVVal
)),"")</f>
        <v/>
      </c>
      <c r="D689" s="55" t="str">
        <f>_xlfn.XLOOKUP(A689,My_Audit!A:A,My_Audit!D:D,"")&amp;""</f>
        <v/>
      </c>
      <c r="E689" s="55" t="str" cm="1">
        <f t="array" ref="E689">IFERROR(_xlfn.LET(
_xlpm.CSVVal,_xlfn.XLOOKUP($A689,CSV!$A:$A,CSV!D:D,""),
_xlpm.MacVal,_xlfn.XLOOKUP($A689,Output_Mac!$A:$A,Output_Mac!C:C,""),
_xlpm.MyAuditVal,_xlfn.XLOOKUP($A689,My_Audit!$A:$A,My_Audit!D:D,""),
_xlfn.IFS(_xlpm.MyAuditVal&lt;&gt;"",_xlpm.MyAuditVal,_xlpm.MacVal&lt;&gt;"",_xlpm.MacVal,_xlpm.CSVVal&lt;&gt;"",_xlpm.CSVVal
)),"")</f>
        <v/>
      </c>
      <c r="F689" s="54" t="str" cm="1">
        <f t="array" ref="F689">IFERROR(_xlfn.LET(
_xlpm.CSVVal,_xlfn.XLOOKUP($A689,CSV!$A:$A,CSV!E:E,""),
_xlpm.MacVal,_xlfn.XLOOKUP($A689,Output_Mac!$A:$A,Output_Mac!F:F,""),
_xlpm.MyAuditVal,_xlfn.XLOOKUP($A689,My_Audit!$A:$A,My_Audit!E:E,""),
_xlfn.IFS(_xlpm.MyAuditVal&lt;&gt;"",_xlpm.MyAuditVal,_xlpm.MacVal&lt;&gt;"",_xlpm.MacVal,_xlpm.CSVVal&lt;&gt;"",PROPER(_xlpm.CSVVal)
)),"")</f>
        <v/>
      </c>
      <c r="G689" s="54" t="str" cm="1">
        <f t="array" ref="G689">IFERROR(_xlfn.LET(
_xlpm.CSVVal,_xlfn.XLOOKUP($A689,CSV!$A:$A,CSV!F:F,""),
_xlpm.MacVal,_xlfn.XLOOKUP($A689,Output_Mac!$A:$A,Output_Mac!H:H,""),
_xlpm.MyAuditVal,_xlfn.XLOOKUP($A689,My_Audit!$A:$A,My_Audit!F:F,""),
_xlfn.IFS(_xlpm.MyAuditVal&lt;&gt;"",_xlpm.MyAuditVal,_xlpm.MacVal&lt;&gt;"",_xlpm.MacVal,_xlpm.CSVVal&lt;&gt;"",_xlpm.CSVVal
)),"")</f>
        <v/>
      </c>
      <c r="H689" s="54" t="str">
        <f>_xlfn.XLOOKUP(A689,Output_Mac!A:A,Output_Mac!I:I,"")</f>
        <v/>
      </c>
      <c r="I689" s="54" t="str" cm="1">
        <f t="array" ref="I689">IFERROR(_xlfn.LET(
_xlpm.CSVVal,_xlfn.XLOOKUP($A689,CSV!$A:$A,CSV!G:G,""),
_xlpm.MacVal,_xlfn.XLOOKUP($A689,Output_Mac!$A:$A,Output_Mac!J:J,""),
_xlpm.MyAuditVal,_xlfn.XLOOKUP($A689,My_Audit!$A:$A,My_Audit!H:H,""),
_xlfn.IFS(_xlpm.MyAuditVal&lt;&gt;"",UPPER(_xlpm.MyAuditVal),_xlpm.MacVal&lt;&gt;"",_xlpm.MacVal,_xlpm.CSVVal&lt;&gt;"",_xlpm.CSVVal
)),"")</f>
        <v/>
      </c>
      <c r="J689" s="54" t="str" cm="1">
        <f t="array" ref="J689">IFERROR(_xlfn.LET(
_xlpm.CSVVal,_xlfn.XLOOKUP($A689,CSV!$A:$A,CSV!I:I,""),
_xlpm.MacVal,_xlfn.XLOOKUP($A689,Output_Mac!$A:$A,Output_Mac!K:K,""),
_xlpm.MyAuditVal,_xlfn.XLOOKUP($A689,My_Audit!$A:$A,My_Audit!I:I,""),
_xlfn.IFS(_xlpm.MyAuditVal&lt;&gt;"",UPPER(_xlpm.MyAuditVal),_xlpm.MacVal&lt;&gt;"",_xlpm.MacVal,_xlpm.CSVVal&lt;&gt;"",_xlpm.CSVVal
)),"")</f>
        <v/>
      </c>
      <c r="K689" s="54" t="str" cm="1">
        <f t="array" ref="K689">IFERROR(_xlfn.LET(
_xlpm.CSVVal,_xlfn.XLOOKUP($A689,CSV!$A:$A,CSV!M:M,""),
_xlpm.MacVal,_xlfn.XLOOKUP($A689,Output_Mac!$A:$A,Output_Mac!L:L,""),
_xlpm.MyAuditVal,_xlfn.XLOOKUP($A689,My_Audit!$A:$A,My_Audit!J:J,""),
_xlfn.IFS(_xlpm.MyAuditVal&lt;&gt;"",UPPER(_xlpm.MyAuditVal),_xlpm.MacVal&lt;&gt;"",_xlpm.MacVal,_xlpm.CSVVal&lt;&gt;"",_xlpm.CSVVal
)),"")</f>
        <v/>
      </c>
      <c r="L689" s="54" t="str" cm="1">
        <f t="array" ref="L689">IFERROR(_xlfn.LET(
_xlpm.CSVVal,_xlfn.XLOOKUP($A689,CSV!$A:$A,CSV!O:O,""),
_xlpm.MacVal,_xlfn.XLOOKUP($A689,Output_Mac!$A:$A,Output_Mac!M:M,""),
_xlpm.MyAuditVal,_xlfn.XLOOKUP($A689,My_Audit!$A:$A,My_Audit!K:K,""),
_xlfn.IFS(_xlpm.MyAuditVal&lt;&gt;"",UPPER(_xlpm.MyAuditVal),_xlpm.MacVal&lt;&gt;"",_xlpm.MacVal,_xlpm.CSVVal&lt;&gt;"",_xlpm.CSVVal
)),"")</f>
        <v/>
      </c>
      <c r="M689" s="54" t="str">
        <f>_xlfn.LET(
    _xlpm.CSVVal, _xlfn.XLOOKUP($A689, CSV!$A:$A, CSV!AD:AD, ""),
    _xlpm.MacVal, _xlfn.XLOOKUP($A689, Output_Mac!$A:$A, Output_Mac!S:S, ""),
    _xlpm.MyAuditVal, _xlfn.XLOOKUP($A689, My_Audit!$A:$A, My_Audit!N:N, ""),
    _xlfn.TEXTJOIN(", ", TRUE, _xlpm.MyAuditVal, _xlpm.MacVal, _xlpm.CSVVal)
)</f>
        <v/>
      </c>
      <c r="N689" s="54" t="str" cm="1">
        <f t="array" ref="N689">IFERROR(_xlfn.LET(
_xlpm.CSVVal,_xlfn.XLOOKUP($A689,CSV!$A:$A,CSV!AF:AF,""),
_xlpm.MacVal,_xlfn.XLOOKUP($A689,Output_Mac!$A:$A,Output_Mac!U:U,""),
_xlpm.MyAuditVal,_xlfn.XLOOKUP($A689,My_Audit!$A:$A,My_Audit!O:O,""),
_xlfn.IFS(_xlpm.MyAuditVal&lt;&gt;"",UPPER(_xlpm.MyAuditVal),_xlpm.MacVal&lt;&gt;"",_xlpm.MacVal,_xlpm.CSVVal&lt;&gt;"",_xlpm.CSVVal
)),"")</f>
        <v/>
      </c>
      <c r="O689" s="54"/>
      <c r="P689" s="54"/>
      <c r="Q689" s="54"/>
      <c r="R689" s="54"/>
      <c r="S689" s="54"/>
      <c r="T689" s="54"/>
      <c r="U689" s="39"/>
    </row>
    <row r="690" spans="1:21">
      <c r="A690" s="54" t="str">
        <f>_xlfn.TEXTJOIN("",TRUE,Input!$B$2,ROW(My_Audit!A689))</f>
        <v>XX689</v>
      </c>
      <c r="B690" s="54" t="str">
        <f>_xlfn.TEXTJOIN("-",TRUE,"ITD",Input!$A$2,A690)</f>
        <v>ITD-SHRXXX-XX689</v>
      </c>
      <c r="C690" s="54" t="str" cm="1">
        <f t="array" ref="C690">IFERROR(_xlfn.LET(
_xlpm.CSVVal,_xlfn.XLOOKUP($A690,CSV!$A:$A,CSV!B:B,""),
_xlpm.MacVal,_xlfn.XLOOKUP($A690,Output_Mac!$A:$A,Output_Mac!B:B,""),
_xlpm.MyAuditVal,_xlfn.XLOOKUP($A690,My_Audit!$A:$A,My_Audit!B:B,""),
_xlfn.IFS(_xlpm.MyAuditVal&lt;&gt;"",UPPER(_xlpm.MyAuditVal),_xlpm.MacVal&lt;&gt;"",_xlpm.MacVal,_xlpm.CSVVal&lt;&gt;"",_xlpm.CSVVal
)),"")</f>
        <v/>
      </c>
      <c r="D690" s="55" t="str">
        <f>_xlfn.XLOOKUP(A690,My_Audit!A:A,My_Audit!D:D,"")&amp;""</f>
        <v/>
      </c>
      <c r="E690" s="55" t="str" cm="1">
        <f t="array" ref="E690">IFERROR(_xlfn.LET(
_xlpm.CSVVal,_xlfn.XLOOKUP($A690,CSV!$A:$A,CSV!D:D,""),
_xlpm.MacVal,_xlfn.XLOOKUP($A690,Output_Mac!$A:$A,Output_Mac!C:C,""),
_xlpm.MyAuditVal,_xlfn.XLOOKUP($A690,My_Audit!$A:$A,My_Audit!D:D,""),
_xlfn.IFS(_xlpm.MyAuditVal&lt;&gt;"",_xlpm.MyAuditVal,_xlpm.MacVal&lt;&gt;"",_xlpm.MacVal,_xlpm.CSVVal&lt;&gt;"",_xlpm.CSVVal
)),"")</f>
        <v/>
      </c>
      <c r="F690" s="54" t="str" cm="1">
        <f t="array" ref="F690">IFERROR(_xlfn.LET(
_xlpm.CSVVal,_xlfn.XLOOKUP($A690,CSV!$A:$A,CSV!E:E,""),
_xlpm.MacVal,_xlfn.XLOOKUP($A690,Output_Mac!$A:$A,Output_Mac!F:F,""),
_xlpm.MyAuditVal,_xlfn.XLOOKUP($A690,My_Audit!$A:$A,My_Audit!E:E,""),
_xlfn.IFS(_xlpm.MyAuditVal&lt;&gt;"",_xlpm.MyAuditVal,_xlpm.MacVal&lt;&gt;"",_xlpm.MacVal,_xlpm.CSVVal&lt;&gt;"",PROPER(_xlpm.CSVVal)
)),"")</f>
        <v/>
      </c>
      <c r="G690" s="54" t="str" cm="1">
        <f t="array" ref="G690">IFERROR(_xlfn.LET(
_xlpm.CSVVal,_xlfn.XLOOKUP($A690,CSV!$A:$A,CSV!F:F,""),
_xlpm.MacVal,_xlfn.XLOOKUP($A690,Output_Mac!$A:$A,Output_Mac!H:H,""),
_xlpm.MyAuditVal,_xlfn.XLOOKUP($A690,My_Audit!$A:$A,My_Audit!F:F,""),
_xlfn.IFS(_xlpm.MyAuditVal&lt;&gt;"",_xlpm.MyAuditVal,_xlpm.MacVal&lt;&gt;"",_xlpm.MacVal,_xlpm.CSVVal&lt;&gt;"",_xlpm.CSVVal
)),"")</f>
        <v/>
      </c>
      <c r="H690" s="54" t="str">
        <f>_xlfn.XLOOKUP(A690,Output_Mac!A:A,Output_Mac!I:I,"")</f>
        <v/>
      </c>
      <c r="I690" s="54" t="str" cm="1">
        <f t="array" ref="I690">IFERROR(_xlfn.LET(
_xlpm.CSVVal,_xlfn.XLOOKUP($A690,CSV!$A:$A,CSV!G:G,""),
_xlpm.MacVal,_xlfn.XLOOKUP($A690,Output_Mac!$A:$A,Output_Mac!J:J,""),
_xlpm.MyAuditVal,_xlfn.XLOOKUP($A690,My_Audit!$A:$A,My_Audit!H:H,""),
_xlfn.IFS(_xlpm.MyAuditVal&lt;&gt;"",UPPER(_xlpm.MyAuditVal),_xlpm.MacVal&lt;&gt;"",_xlpm.MacVal,_xlpm.CSVVal&lt;&gt;"",_xlpm.CSVVal
)),"")</f>
        <v/>
      </c>
      <c r="J690" s="54" t="str" cm="1">
        <f t="array" ref="J690">IFERROR(_xlfn.LET(
_xlpm.CSVVal,_xlfn.XLOOKUP($A690,CSV!$A:$A,CSV!I:I,""),
_xlpm.MacVal,_xlfn.XLOOKUP($A690,Output_Mac!$A:$A,Output_Mac!K:K,""),
_xlpm.MyAuditVal,_xlfn.XLOOKUP($A690,My_Audit!$A:$A,My_Audit!I:I,""),
_xlfn.IFS(_xlpm.MyAuditVal&lt;&gt;"",UPPER(_xlpm.MyAuditVal),_xlpm.MacVal&lt;&gt;"",_xlpm.MacVal,_xlpm.CSVVal&lt;&gt;"",_xlpm.CSVVal
)),"")</f>
        <v/>
      </c>
      <c r="K690" s="54" t="str" cm="1">
        <f t="array" ref="K690">IFERROR(_xlfn.LET(
_xlpm.CSVVal,_xlfn.XLOOKUP($A690,CSV!$A:$A,CSV!M:M,""),
_xlpm.MacVal,_xlfn.XLOOKUP($A690,Output_Mac!$A:$A,Output_Mac!L:L,""),
_xlpm.MyAuditVal,_xlfn.XLOOKUP($A690,My_Audit!$A:$A,My_Audit!J:J,""),
_xlfn.IFS(_xlpm.MyAuditVal&lt;&gt;"",UPPER(_xlpm.MyAuditVal),_xlpm.MacVal&lt;&gt;"",_xlpm.MacVal,_xlpm.CSVVal&lt;&gt;"",_xlpm.CSVVal
)),"")</f>
        <v/>
      </c>
      <c r="L690" s="54" t="str" cm="1">
        <f t="array" ref="L690">IFERROR(_xlfn.LET(
_xlpm.CSVVal,_xlfn.XLOOKUP($A690,CSV!$A:$A,CSV!O:O,""),
_xlpm.MacVal,_xlfn.XLOOKUP($A690,Output_Mac!$A:$A,Output_Mac!M:M,""),
_xlpm.MyAuditVal,_xlfn.XLOOKUP($A690,My_Audit!$A:$A,My_Audit!K:K,""),
_xlfn.IFS(_xlpm.MyAuditVal&lt;&gt;"",UPPER(_xlpm.MyAuditVal),_xlpm.MacVal&lt;&gt;"",_xlpm.MacVal,_xlpm.CSVVal&lt;&gt;"",_xlpm.CSVVal
)),"")</f>
        <v/>
      </c>
      <c r="M690" s="54" t="str">
        <f>_xlfn.LET(
    _xlpm.CSVVal, _xlfn.XLOOKUP($A690, CSV!$A:$A, CSV!AD:AD, ""),
    _xlpm.MacVal, _xlfn.XLOOKUP($A690, Output_Mac!$A:$A, Output_Mac!S:S, ""),
    _xlpm.MyAuditVal, _xlfn.XLOOKUP($A690, My_Audit!$A:$A, My_Audit!N:N, ""),
    _xlfn.TEXTJOIN(", ", TRUE, _xlpm.MyAuditVal, _xlpm.MacVal, _xlpm.CSVVal)
)</f>
        <v/>
      </c>
      <c r="N690" s="54" t="str" cm="1">
        <f t="array" ref="N690">IFERROR(_xlfn.LET(
_xlpm.CSVVal,_xlfn.XLOOKUP($A690,CSV!$A:$A,CSV!AF:AF,""),
_xlpm.MacVal,_xlfn.XLOOKUP($A690,Output_Mac!$A:$A,Output_Mac!U:U,""),
_xlpm.MyAuditVal,_xlfn.XLOOKUP($A690,My_Audit!$A:$A,My_Audit!O:O,""),
_xlfn.IFS(_xlpm.MyAuditVal&lt;&gt;"",UPPER(_xlpm.MyAuditVal),_xlpm.MacVal&lt;&gt;"",_xlpm.MacVal,_xlpm.CSVVal&lt;&gt;"",_xlpm.CSVVal
)),"")</f>
        <v/>
      </c>
      <c r="O690" s="54"/>
      <c r="P690" s="54"/>
      <c r="Q690" s="54"/>
      <c r="R690" s="54"/>
      <c r="S690" s="54"/>
      <c r="T690" s="54"/>
      <c r="U690" s="39"/>
    </row>
    <row r="691" spans="1:21">
      <c r="A691" s="54" t="str">
        <f>_xlfn.TEXTJOIN("",TRUE,Input!$B$2,ROW(My_Audit!A690))</f>
        <v>XX690</v>
      </c>
      <c r="B691" s="54" t="str">
        <f>_xlfn.TEXTJOIN("-",TRUE,"ITD",Input!$A$2,A691)</f>
        <v>ITD-SHRXXX-XX690</v>
      </c>
      <c r="C691" s="54" t="str" cm="1">
        <f t="array" ref="C691">IFERROR(_xlfn.LET(
_xlpm.CSVVal,_xlfn.XLOOKUP($A691,CSV!$A:$A,CSV!B:B,""),
_xlpm.MacVal,_xlfn.XLOOKUP($A691,Output_Mac!$A:$A,Output_Mac!B:B,""),
_xlpm.MyAuditVal,_xlfn.XLOOKUP($A691,My_Audit!$A:$A,My_Audit!B:B,""),
_xlfn.IFS(_xlpm.MyAuditVal&lt;&gt;"",UPPER(_xlpm.MyAuditVal),_xlpm.MacVal&lt;&gt;"",_xlpm.MacVal,_xlpm.CSVVal&lt;&gt;"",_xlpm.CSVVal
)),"")</f>
        <v/>
      </c>
      <c r="D691" s="55" t="str">
        <f>_xlfn.XLOOKUP(A691,My_Audit!A:A,My_Audit!D:D,"")&amp;""</f>
        <v/>
      </c>
      <c r="E691" s="55" t="str" cm="1">
        <f t="array" ref="E691">IFERROR(_xlfn.LET(
_xlpm.CSVVal,_xlfn.XLOOKUP($A691,CSV!$A:$A,CSV!D:D,""),
_xlpm.MacVal,_xlfn.XLOOKUP($A691,Output_Mac!$A:$A,Output_Mac!C:C,""),
_xlpm.MyAuditVal,_xlfn.XLOOKUP($A691,My_Audit!$A:$A,My_Audit!D:D,""),
_xlfn.IFS(_xlpm.MyAuditVal&lt;&gt;"",_xlpm.MyAuditVal,_xlpm.MacVal&lt;&gt;"",_xlpm.MacVal,_xlpm.CSVVal&lt;&gt;"",_xlpm.CSVVal
)),"")</f>
        <v/>
      </c>
      <c r="F691" s="54" t="str" cm="1">
        <f t="array" ref="F691">IFERROR(_xlfn.LET(
_xlpm.CSVVal,_xlfn.XLOOKUP($A691,CSV!$A:$A,CSV!E:E,""),
_xlpm.MacVal,_xlfn.XLOOKUP($A691,Output_Mac!$A:$A,Output_Mac!F:F,""),
_xlpm.MyAuditVal,_xlfn.XLOOKUP($A691,My_Audit!$A:$A,My_Audit!E:E,""),
_xlfn.IFS(_xlpm.MyAuditVal&lt;&gt;"",_xlpm.MyAuditVal,_xlpm.MacVal&lt;&gt;"",_xlpm.MacVal,_xlpm.CSVVal&lt;&gt;"",PROPER(_xlpm.CSVVal)
)),"")</f>
        <v/>
      </c>
      <c r="G691" s="54" t="str" cm="1">
        <f t="array" ref="G691">IFERROR(_xlfn.LET(
_xlpm.CSVVal,_xlfn.XLOOKUP($A691,CSV!$A:$A,CSV!F:F,""),
_xlpm.MacVal,_xlfn.XLOOKUP($A691,Output_Mac!$A:$A,Output_Mac!H:H,""),
_xlpm.MyAuditVal,_xlfn.XLOOKUP($A691,My_Audit!$A:$A,My_Audit!F:F,""),
_xlfn.IFS(_xlpm.MyAuditVal&lt;&gt;"",_xlpm.MyAuditVal,_xlpm.MacVal&lt;&gt;"",_xlpm.MacVal,_xlpm.CSVVal&lt;&gt;"",_xlpm.CSVVal
)),"")</f>
        <v/>
      </c>
      <c r="H691" s="54" t="str">
        <f>_xlfn.XLOOKUP(A691,Output_Mac!A:A,Output_Mac!I:I,"")</f>
        <v/>
      </c>
      <c r="I691" s="54" t="str" cm="1">
        <f t="array" ref="I691">IFERROR(_xlfn.LET(
_xlpm.CSVVal,_xlfn.XLOOKUP($A691,CSV!$A:$A,CSV!G:G,""),
_xlpm.MacVal,_xlfn.XLOOKUP($A691,Output_Mac!$A:$A,Output_Mac!J:J,""),
_xlpm.MyAuditVal,_xlfn.XLOOKUP($A691,My_Audit!$A:$A,My_Audit!H:H,""),
_xlfn.IFS(_xlpm.MyAuditVal&lt;&gt;"",UPPER(_xlpm.MyAuditVal),_xlpm.MacVal&lt;&gt;"",_xlpm.MacVal,_xlpm.CSVVal&lt;&gt;"",_xlpm.CSVVal
)),"")</f>
        <v/>
      </c>
      <c r="J691" s="54" t="str" cm="1">
        <f t="array" ref="J691">IFERROR(_xlfn.LET(
_xlpm.CSVVal,_xlfn.XLOOKUP($A691,CSV!$A:$A,CSV!I:I,""),
_xlpm.MacVal,_xlfn.XLOOKUP($A691,Output_Mac!$A:$A,Output_Mac!K:K,""),
_xlpm.MyAuditVal,_xlfn.XLOOKUP($A691,My_Audit!$A:$A,My_Audit!I:I,""),
_xlfn.IFS(_xlpm.MyAuditVal&lt;&gt;"",UPPER(_xlpm.MyAuditVal),_xlpm.MacVal&lt;&gt;"",_xlpm.MacVal,_xlpm.CSVVal&lt;&gt;"",_xlpm.CSVVal
)),"")</f>
        <v/>
      </c>
      <c r="K691" s="54" t="str" cm="1">
        <f t="array" ref="K691">IFERROR(_xlfn.LET(
_xlpm.CSVVal,_xlfn.XLOOKUP($A691,CSV!$A:$A,CSV!M:M,""),
_xlpm.MacVal,_xlfn.XLOOKUP($A691,Output_Mac!$A:$A,Output_Mac!L:L,""),
_xlpm.MyAuditVal,_xlfn.XLOOKUP($A691,My_Audit!$A:$A,My_Audit!J:J,""),
_xlfn.IFS(_xlpm.MyAuditVal&lt;&gt;"",UPPER(_xlpm.MyAuditVal),_xlpm.MacVal&lt;&gt;"",_xlpm.MacVal,_xlpm.CSVVal&lt;&gt;"",_xlpm.CSVVal
)),"")</f>
        <v/>
      </c>
      <c r="L691" s="54" t="str" cm="1">
        <f t="array" ref="L691">IFERROR(_xlfn.LET(
_xlpm.CSVVal,_xlfn.XLOOKUP($A691,CSV!$A:$A,CSV!O:O,""),
_xlpm.MacVal,_xlfn.XLOOKUP($A691,Output_Mac!$A:$A,Output_Mac!M:M,""),
_xlpm.MyAuditVal,_xlfn.XLOOKUP($A691,My_Audit!$A:$A,My_Audit!K:K,""),
_xlfn.IFS(_xlpm.MyAuditVal&lt;&gt;"",UPPER(_xlpm.MyAuditVal),_xlpm.MacVal&lt;&gt;"",_xlpm.MacVal,_xlpm.CSVVal&lt;&gt;"",_xlpm.CSVVal
)),"")</f>
        <v/>
      </c>
      <c r="M691" s="54" t="str">
        <f>_xlfn.LET(
    _xlpm.CSVVal, _xlfn.XLOOKUP($A691, CSV!$A:$A, CSV!AD:AD, ""),
    _xlpm.MacVal, _xlfn.XLOOKUP($A691, Output_Mac!$A:$A, Output_Mac!S:S, ""),
    _xlpm.MyAuditVal, _xlfn.XLOOKUP($A691, My_Audit!$A:$A, My_Audit!N:N, ""),
    _xlfn.TEXTJOIN(", ", TRUE, _xlpm.MyAuditVal, _xlpm.MacVal, _xlpm.CSVVal)
)</f>
        <v/>
      </c>
      <c r="N691" s="54" t="str" cm="1">
        <f t="array" ref="N691">IFERROR(_xlfn.LET(
_xlpm.CSVVal,_xlfn.XLOOKUP($A691,CSV!$A:$A,CSV!AF:AF,""),
_xlpm.MacVal,_xlfn.XLOOKUP($A691,Output_Mac!$A:$A,Output_Mac!U:U,""),
_xlpm.MyAuditVal,_xlfn.XLOOKUP($A691,My_Audit!$A:$A,My_Audit!O:O,""),
_xlfn.IFS(_xlpm.MyAuditVal&lt;&gt;"",UPPER(_xlpm.MyAuditVal),_xlpm.MacVal&lt;&gt;"",_xlpm.MacVal,_xlpm.CSVVal&lt;&gt;"",_xlpm.CSVVal
)),"")</f>
        <v/>
      </c>
      <c r="O691" s="54"/>
      <c r="P691" s="54"/>
      <c r="Q691" s="54"/>
      <c r="R691" s="54"/>
      <c r="S691" s="54"/>
      <c r="T691" s="54"/>
      <c r="U691" s="39"/>
    </row>
    <row r="692" spans="1:21">
      <c r="A692" s="54" t="str">
        <f>_xlfn.TEXTJOIN("",TRUE,Input!$B$2,ROW(My_Audit!A691))</f>
        <v>XX691</v>
      </c>
      <c r="B692" s="54" t="str">
        <f>_xlfn.TEXTJOIN("-",TRUE,"ITD",Input!$A$2,A692)</f>
        <v>ITD-SHRXXX-XX691</v>
      </c>
      <c r="C692" s="54" t="str" cm="1">
        <f t="array" ref="C692">IFERROR(_xlfn.LET(
_xlpm.CSVVal,_xlfn.XLOOKUP($A692,CSV!$A:$A,CSV!B:B,""),
_xlpm.MacVal,_xlfn.XLOOKUP($A692,Output_Mac!$A:$A,Output_Mac!B:B,""),
_xlpm.MyAuditVal,_xlfn.XLOOKUP($A692,My_Audit!$A:$A,My_Audit!B:B,""),
_xlfn.IFS(_xlpm.MyAuditVal&lt;&gt;"",UPPER(_xlpm.MyAuditVal),_xlpm.MacVal&lt;&gt;"",_xlpm.MacVal,_xlpm.CSVVal&lt;&gt;"",_xlpm.CSVVal
)),"")</f>
        <v/>
      </c>
      <c r="D692" s="55" t="str">
        <f>_xlfn.XLOOKUP(A692,My_Audit!A:A,My_Audit!D:D,"")&amp;""</f>
        <v/>
      </c>
      <c r="E692" s="55" t="str" cm="1">
        <f t="array" ref="E692">IFERROR(_xlfn.LET(
_xlpm.CSVVal,_xlfn.XLOOKUP($A692,CSV!$A:$A,CSV!D:D,""),
_xlpm.MacVal,_xlfn.XLOOKUP($A692,Output_Mac!$A:$A,Output_Mac!C:C,""),
_xlpm.MyAuditVal,_xlfn.XLOOKUP($A692,My_Audit!$A:$A,My_Audit!D:D,""),
_xlfn.IFS(_xlpm.MyAuditVal&lt;&gt;"",_xlpm.MyAuditVal,_xlpm.MacVal&lt;&gt;"",_xlpm.MacVal,_xlpm.CSVVal&lt;&gt;"",_xlpm.CSVVal
)),"")</f>
        <v/>
      </c>
      <c r="F692" s="54" t="str" cm="1">
        <f t="array" ref="F692">IFERROR(_xlfn.LET(
_xlpm.CSVVal,_xlfn.XLOOKUP($A692,CSV!$A:$A,CSV!E:E,""),
_xlpm.MacVal,_xlfn.XLOOKUP($A692,Output_Mac!$A:$A,Output_Mac!F:F,""),
_xlpm.MyAuditVal,_xlfn.XLOOKUP($A692,My_Audit!$A:$A,My_Audit!E:E,""),
_xlfn.IFS(_xlpm.MyAuditVal&lt;&gt;"",_xlpm.MyAuditVal,_xlpm.MacVal&lt;&gt;"",_xlpm.MacVal,_xlpm.CSVVal&lt;&gt;"",PROPER(_xlpm.CSVVal)
)),"")</f>
        <v/>
      </c>
      <c r="G692" s="54" t="str" cm="1">
        <f t="array" ref="G692">IFERROR(_xlfn.LET(
_xlpm.CSVVal,_xlfn.XLOOKUP($A692,CSV!$A:$A,CSV!F:F,""),
_xlpm.MacVal,_xlfn.XLOOKUP($A692,Output_Mac!$A:$A,Output_Mac!H:H,""),
_xlpm.MyAuditVal,_xlfn.XLOOKUP($A692,My_Audit!$A:$A,My_Audit!F:F,""),
_xlfn.IFS(_xlpm.MyAuditVal&lt;&gt;"",_xlpm.MyAuditVal,_xlpm.MacVal&lt;&gt;"",_xlpm.MacVal,_xlpm.CSVVal&lt;&gt;"",_xlpm.CSVVal
)),"")</f>
        <v/>
      </c>
      <c r="H692" s="54" t="str">
        <f>_xlfn.XLOOKUP(A692,Output_Mac!A:A,Output_Mac!I:I,"")</f>
        <v/>
      </c>
      <c r="I692" s="54" t="str" cm="1">
        <f t="array" ref="I692">IFERROR(_xlfn.LET(
_xlpm.CSVVal,_xlfn.XLOOKUP($A692,CSV!$A:$A,CSV!G:G,""),
_xlpm.MacVal,_xlfn.XLOOKUP($A692,Output_Mac!$A:$A,Output_Mac!J:J,""),
_xlpm.MyAuditVal,_xlfn.XLOOKUP($A692,My_Audit!$A:$A,My_Audit!H:H,""),
_xlfn.IFS(_xlpm.MyAuditVal&lt;&gt;"",UPPER(_xlpm.MyAuditVal),_xlpm.MacVal&lt;&gt;"",_xlpm.MacVal,_xlpm.CSVVal&lt;&gt;"",_xlpm.CSVVal
)),"")</f>
        <v/>
      </c>
      <c r="J692" s="54" t="str" cm="1">
        <f t="array" ref="J692">IFERROR(_xlfn.LET(
_xlpm.CSVVal,_xlfn.XLOOKUP($A692,CSV!$A:$A,CSV!I:I,""),
_xlpm.MacVal,_xlfn.XLOOKUP($A692,Output_Mac!$A:$A,Output_Mac!K:K,""),
_xlpm.MyAuditVal,_xlfn.XLOOKUP($A692,My_Audit!$A:$A,My_Audit!I:I,""),
_xlfn.IFS(_xlpm.MyAuditVal&lt;&gt;"",UPPER(_xlpm.MyAuditVal),_xlpm.MacVal&lt;&gt;"",_xlpm.MacVal,_xlpm.CSVVal&lt;&gt;"",_xlpm.CSVVal
)),"")</f>
        <v/>
      </c>
      <c r="K692" s="54" t="str" cm="1">
        <f t="array" ref="K692">IFERROR(_xlfn.LET(
_xlpm.CSVVal,_xlfn.XLOOKUP($A692,CSV!$A:$A,CSV!M:M,""),
_xlpm.MacVal,_xlfn.XLOOKUP($A692,Output_Mac!$A:$A,Output_Mac!L:L,""),
_xlpm.MyAuditVal,_xlfn.XLOOKUP($A692,My_Audit!$A:$A,My_Audit!J:J,""),
_xlfn.IFS(_xlpm.MyAuditVal&lt;&gt;"",UPPER(_xlpm.MyAuditVal),_xlpm.MacVal&lt;&gt;"",_xlpm.MacVal,_xlpm.CSVVal&lt;&gt;"",_xlpm.CSVVal
)),"")</f>
        <v/>
      </c>
      <c r="L692" s="54" t="str" cm="1">
        <f t="array" ref="L692">IFERROR(_xlfn.LET(
_xlpm.CSVVal,_xlfn.XLOOKUP($A692,CSV!$A:$A,CSV!O:O,""),
_xlpm.MacVal,_xlfn.XLOOKUP($A692,Output_Mac!$A:$A,Output_Mac!M:M,""),
_xlpm.MyAuditVal,_xlfn.XLOOKUP($A692,My_Audit!$A:$A,My_Audit!K:K,""),
_xlfn.IFS(_xlpm.MyAuditVal&lt;&gt;"",UPPER(_xlpm.MyAuditVal),_xlpm.MacVal&lt;&gt;"",_xlpm.MacVal,_xlpm.CSVVal&lt;&gt;"",_xlpm.CSVVal
)),"")</f>
        <v/>
      </c>
      <c r="M692" s="54" t="str">
        <f>_xlfn.LET(
    _xlpm.CSVVal, _xlfn.XLOOKUP($A692, CSV!$A:$A, CSV!AD:AD, ""),
    _xlpm.MacVal, _xlfn.XLOOKUP($A692, Output_Mac!$A:$A, Output_Mac!S:S, ""),
    _xlpm.MyAuditVal, _xlfn.XLOOKUP($A692, My_Audit!$A:$A, My_Audit!N:N, ""),
    _xlfn.TEXTJOIN(", ", TRUE, _xlpm.MyAuditVal, _xlpm.MacVal, _xlpm.CSVVal)
)</f>
        <v/>
      </c>
      <c r="N692" s="54" t="str" cm="1">
        <f t="array" ref="N692">IFERROR(_xlfn.LET(
_xlpm.CSVVal,_xlfn.XLOOKUP($A692,CSV!$A:$A,CSV!AF:AF,""),
_xlpm.MacVal,_xlfn.XLOOKUP($A692,Output_Mac!$A:$A,Output_Mac!U:U,""),
_xlpm.MyAuditVal,_xlfn.XLOOKUP($A692,My_Audit!$A:$A,My_Audit!O:O,""),
_xlfn.IFS(_xlpm.MyAuditVal&lt;&gt;"",UPPER(_xlpm.MyAuditVal),_xlpm.MacVal&lt;&gt;"",_xlpm.MacVal,_xlpm.CSVVal&lt;&gt;"",_xlpm.CSVVal
)),"")</f>
        <v/>
      </c>
      <c r="O692" s="54"/>
      <c r="P692" s="54"/>
      <c r="Q692" s="54"/>
      <c r="R692" s="54"/>
      <c r="S692" s="54"/>
      <c r="T692" s="54"/>
      <c r="U692" s="39"/>
    </row>
    <row r="693" spans="1:21">
      <c r="A693" s="54" t="str">
        <f>_xlfn.TEXTJOIN("",TRUE,Input!$B$2,ROW(My_Audit!A692))</f>
        <v>XX692</v>
      </c>
      <c r="B693" s="54" t="str">
        <f>_xlfn.TEXTJOIN("-",TRUE,"ITD",Input!$A$2,A693)</f>
        <v>ITD-SHRXXX-XX692</v>
      </c>
      <c r="C693" s="54" t="str" cm="1">
        <f t="array" ref="C693">IFERROR(_xlfn.LET(
_xlpm.CSVVal,_xlfn.XLOOKUP($A693,CSV!$A:$A,CSV!B:B,""),
_xlpm.MacVal,_xlfn.XLOOKUP($A693,Output_Mac!$A:$A,Output_Mac!B:B,""),
_xlpm.MyAuditVal,_xlfn.XLOOKUP($A693,My_Audit!$A:$A,My_Audit!B:B,""),
_xlfn.IFS(_xlpm.MyAuditVal&lt;&gt;"",UPPER(_xlpm.MyAuditVal),_xlpm.MacVal&lt;&gt;"",_xlpm.MacVal,_xlpm.CSVVal&lt;&gt;"",_xlpm.CSVVal
)),"")</f>
        <v/>
      </c>
      <c r="D693" s="55" t="str">
        <f>_xlfn.XLOOKUP(A693,My_Audit!A:A,My_Audit!D:D,"")&amp;""</f>
        <v/>
      </c>
      <c r="E693" s="55" t="str" cm="1">
        <f t="array" ref="E693">IFERROR(_xlfn.LET(
_xlpm.CSVVal,_xlfn.XLOOKUP($A693,CSV!$A:$A,CSV!D:D,""),
_xlpm.MacVal,_xlfn.XLOOKUP($A693,Output_Mac!$A:$A,Output_Mac!C:C,""),
_xlpm.MyAuditVal,_xlfn.XLOOKUP($A693,My_Audit!$A:$A,My_Audit!D:D,""),
_xlfn.IFS(_xlpm.MyAuditVal&lt;&gt;"",_xlpm.MyAuditVal,_xlpm.MacVal&lt;&gt;"",_xlpm.MacVal,_xlpm.CSVVal&lt;&gt;"",_xlpm.CSVVal
)),"")</f>
        <v/>
      </c>
      <c r="F693" s="54" t="str" cm="1">
        <f t="array" ref="F693">IFERROR(_xlfn.LET(
_xlpm.CSVVal,_xlfn.XLOOKUP($A693,CSV!$A:$A,CSV!E:E,""),
_xlpm.MacVal,_xlfn.XLOOKUP($A693,Output_Mac!$A:$A,Output_Mac!F:F,""),
_xlpm.MyAuditVal,_xlfn.XLOOKUP($A693,My_Audit!$A:$A,My_Audit!E:E,""),
_xlfn.IFS(_xlpm.MyAuditVal&lt;&gt;"",_xlpm.MyAuditVal,_xlpm.MacVal&lt;&gt;"",_xlpm.MacVal,_xlpm.CSVVal&lt;&gt;"",PROPER(_xlpm.CSVVal)
)),"")</f>
        <v/>
      </c>
      <c r="G693" s="54" t="str" cm="1">
        <f t="array" ref="G693">IFERROR(_xlfn.LET(
_xlpm.CSVVal,_xlfn.XLOOKUP($A693,CSV!$A:$A,CSV!F:F,""),
_xlpm.MacVal,_xlfn.XLOOKUP($A693,Output_Mac!$A:$A,Output_Mac!H:H,""),
_xlpm.MyAuditVal,_xlfn.XLOOKUP($A693,My_Audit!$A:$A,My_Audit!F:F,""),
_xlfn.IFS(_xlpm.MyAuditVal&lt;&gt;"",_xlpm.MyAuditVal,_xlpm.MacVal&lt;&gt;"",_xlpm.MacVal,_xlpm.CSVVal&lt;&gt;"",_xlpm.CSVVal
)),"")</f>
        <v/>
      </c>
      <c r="H693" s="54" t="str">
        <f>_xlfn.XLOOKUP(A693,Output_Mac!A:A,Output_Mac!I:I,"")</f>
        <v/>
      </c>
      <c r="I693" s="54" t="str" cm="1">
        <f t="array" ref="I693">IFERROR(_xlfn.LET(
_xlpm.CSVVal,_xlfn.XLOOKUP($A693,CSV!$A:$A,CSV!G:G,""),
_xlpm.MacVal,_xlfn.XLOOKUP($A693,Output_Mac!$A:$A,Output_Mac!J:J,""),
_xlpm.MyAuditVal,_xlfn.XLOOKUP($A693,My_Audit!$A:$A,My_Audit!H:H,""),
_xlfn.IFS(_xlpm.MyAuditVal&lt;&gt;"",UPPER(_xlpm.MyAuditVal),_xlpm.MacVal&lt;&gt;"",_xlpm.MacVal,_xlpm.CSVVal&lt;&gt;"",_xlpm.CSVVal
)),"")</f>
        <v/>
      </c>
      <c r="J693" s="54" t="str" cm="1">
        <f t="array" ref="J693">IFERROR(_xlfn.LET(
_xlpm.CSVVal,_xlfn.XLOOKUP($A693,CSV!$A:$A,CSV!I:I,""),
_xlpm.MacVal,_xlfn.XLOOKUP($A693,Output_Mac!$A:$A,Output_Mac!K:K,""),
_xlpm.MyAuditVal,_xlfn.XLOOKUP($A693,My_Audit!$A:$A,My_Audit!I:I,""),
_xlfn.IFS(_xlpm.MyAuditVal&lt;&gt;"",UPPER(_xlpm.MyAuditVal),_xlpm.MacVal&lt;&gt;"",_xlpm.MacVal,_xlpm.CSVVal&lt;&gt;"",_xlpm.CSVVal
)),"")</f>
        <v/>
      </c>
      <c r="K693" s="54" t="str" cm="1">
        <f t="array" ref="K693">IFERROR(_xlfn.LET(
_xlpm.CSVVal,_xlfn.XLOOKUP($A693,CSV!$A:$A,CSV!M:M,""),
_xlpm.MacVal,_xlfn.XLOOKUP($A693,Output_Mac!$A:$A,Output_Mac!L:L,""),
_xlpm.MyAuditVal,_xlfn.XLOOKUP($A693,My_Audit!$A:$A,My_Audit!J:J,""),
_xlfn.IFS(_xlpm.MyAuditVal&lt;&gt;"",UPPER(_xlpm.MyAuditVal),_xlpm.MacVal&lt;&gt;"",_xlpm.MacVal,_xlpm.CSVVal&lt;&gt;"",_xlpm.CSVVal
)),"")</f>
        <v/>
      </c>
      <c r="L693" s="54" t="str" cm="1">
        <f t="array" ref="L693">IFERROR(_xlfn.LET(
_xlpm.CSVVal,_xlfn.XLOOKUP($A693,CSV!$A:$A,CSV!O:O,""),
_xlpm.MacVal,_xlfn.XLOOKUP($A693,Output_Mac!$A:$A,Output_Mac!M:M,""),
_xlpm.MyAuditVal,_xlfn.XLOOKUP($A693,My_Audit!$A:$A,My_Audit!K:K,""),
_xlfn.IFS(_xlpm.MyAuditVal&lt;&gt;"",UPPER(_xlpm.MyAuditVal),_xlpm.MacVal&lt;&gt;"",_xlpm.MacVal,_xlpm.CSVVal&lt;&gt;"",_xlpm.CSVVal
)),"")</f>
        <v/>
      </c>
      <c r="M693" s="54" t="str">
        <f>_xlfn.LET(
    _xlpm.CSVVal, _xlfn.XLOOKUP($A693, CSV!$A:$A, CSV!AD:AD, ""),
    _xlpm.MacVal, _xlfn.XLOOKUP($A693, Output_Mac!$A:$A, Output_Mac!S:S, ""),
    _xlpm.MyAuditVal, _xlfn.XLOOKUP($A693, My_Audit!$A:$A, My_Audit!N:N, ""),
    _xlfn.TEXTJOIN(", ", TRUE, _xlpm.MyAuditVal, _xlpm.MacVal, _xlpm.CSVVal)
)</f>
        <v/>
      </c>
      <c r="N693" s="54" t="str" cm="1">
        <f t="array" ref="N693">IFERROR(_xlfn.LET(
_xlpm.CSVVal,_xlfn.XLOOKUP($A693,CSV!$A:$A,CSV!AF:AF,""),
_xlpm.MacVal,_xlfn.XLOOKUP($A693,Output_Mac!$A:$A,Output_Mac!U:U,""),
_xlpm.MyAuditVal,_xlfn.XLOOKUP($A693,My_Audit!$A:$A,My_Audit!O:O,""),
_xlfn.IFS(_xlpm.MyAuditVal&lt;&gt;"",UPPER(_xlpm.MyAuditVal),_xlpm.MacVal&lt;&gt;"",_xlpm.MacVal,_xlpm.CSVVal&lt;&gt;"",_xlpm.CSVVal
)),"")</f>
        <v/>
      </c>
      <c r="O693" s="54"/>
      <c r="P693" s="54"/>
      <c r="Q693" s="54"/>
      <c r="R693" s="54"/>
      <c r="S693" s="54"/>
      <c r="T693" s="54"/>
      <c r="U693" s="39"/>
    </row>
    <row r="694" spans="1:21">
      <c r="A694" s="54" t="str">
        <f>_xlfn.TEXTJOIN("",TRUE,Input!$B$2,ROW(My_Audit!A693))</f>
        <v>XX693</v>
      </c>
      <c r="B694" s="54" t="str">
        <f>_xlfn.TEXTJOIN("-",TRUE,"ITD",Input!$A$2,A694)</f>
        <v>ITD-SHRXXX-XX693</v>
      </c>
      <c r="C694" s="54" t="str" cm="1">
        <f t="array" ref="C694">IFERROR(_xlfn.LET(
_xlpm.CSVVal,_xlfn.XLOOKUP($A694,CSV!$A:$A,CSV!B:B,""),
_xlpm.MacVal,_xlfn.XLOOKUP($A694,Output_Mac!$A:$A,Output_Mac!B:B,""),
_xlpm.MyAuditVal,_xlfn.XLOOKUP($A694,My_Audit!$A:$A,My_Audit!B:B,""),
_xlfn.IFS(_xlpm.MyAuditVal&lt;&gt;"",UPPER(_xlpm.MyAuditVal),_xlpm.MacVal&lt;&gt;"",_xlpm.MacVal,_xlpm.CSVVal&lt;&gt;"",_xlpm.CSVVal
)),"")</f>
        <v/>
      </c>
      <c r="D694" s="55" t="str">
        <f>_xlfn.XLOOKUP(A694,My_Audit!A:A,My_Audit!D:D,"")&amp;""</f>
        <v/>
      </c>
      <c r="E694" s="55" t="str" cm="1">
        <f t="array" ref="E694">IFERROR(_xlfn.LET(
_xlpm.CSVVal,_xlfn.XLOOKUP($A694,CSV!$A:$A,CSV!D:D,""),
_xlpm.MacVal,_xlfn.XLOOKUP($A694,Output_Mac!$A:$A,Output_Mac!C:C,""),
_xlpm.MyAuditVal,_xlfn.XLOOKUP($A694,My_Audit!$A:$A,My_Audit!D:D,""),
_xlfn.IFS(_xlpm.MyAuditVal&lt;&gt;"",_xlpm.MyAuditVal,_xlpm.MacVal&lt;&gt;"",_xlpm.MacVal,_xlpm.CSVVal&lt;&gt;"",_xlpm.CSVVal
)),"")</f>
        <v/>
      </c>
      <c r="F694" s="54" t="str" cm="1">
        <f t="array" ref="F694">IFERROR(_xlfn.LET(
_xlpm.CSVVal,_xlfn.XLOOKUP($A694,CSV!$A:$A,CSV!E:E,""),
_xlpm.MacVal,_xlfn.XLOOKUP($A694,Output_Mac!$A:$A,Output_Mac!F:F,""),
_xlpm.MyAuditVal,_xlfn.XLOOKUP($A694,My_Audit!$A:$A,My_Audit!E:E,""),
_xlfn.IFS(_xlpm.MyAuditVal&lt;&gt;"",_xlpm.MyAuditVal,_xlpm.MacVal&lt;&gt;"",_xlpm.MacVal,_xlpm.CSVVal&lt;&gt;"",PROPER(_xlpm.CSVVal)
)),"")</f>
        <v/>
      </c>
      <c r="G694" s="54" t="str" cm="1">
        <f t="array" ref="G694">IFERROR(_xlfn.LET(
_xlpm.CSVVal,_xlfn.XLOOKUP($A694,CSV!$A:$A,CSV!F:F,""),
_xlpm.MacVal,_xlfn.XLOOKUP($A694,Output_Mac!$A:$A,Output_Mac!H:H,""),
_xlpm.MyAuditVal,_xlfn.XLOOKUP($A694,My_Audit!$A:$A,My_Audit!F:F,""),
_xlfn.IFS(_xlpm.MyAuditVal&lt;&gt;"",_xlpm.MyAuditVal,_xlpm.MacVal&lt;&gt;"",_xlpm.MacVal,_xlpm.CSVVal&lt;&gt;"",_xlpm.CSVVal
)),"")</f>
        <v/>
      </c>
      <c r="H694" s="54" t="str">
        <f>_xlfn.XLOOKUP(A694,Output_Mac!A:A,Output_Mac!I:I,"")</f>
        <v/>
      </c>
      <c r="I694" s="54" t="str" cm="1">
        <f t="array" ref="I694">IFERROR(_xlfn.LET(
_xlpm.CSVVal,_xlfn.XLOOKUP($A694,CSV!$A:$A,CSV!G:G,""),
_xlpm.MacVal,_xlfn.XLOOKUP($A694,Output_Mac!$A:$A,Output_Mac!J:J,""),
_xlpm.MyAuditVal,_xlfn.XLOOKUP($A694,My_Audit!$A:$A,My_Audit!H:H,""),
_xlfn.IFS(_xlpm.MyAuditVal&lt;&gt;"",UPPER(_xlpm.MyAuditVal),_xlpm.MacVal&lt;&gt;"",_xlpm.MacVal,_xlpm.CSVVal&lt;&gt;"",_xlpm.CSVVal
)),"")</f>
        <v/>
      </c>
      <c r="J694" s="54" t="str" cm="1">
        <f t="array" ref="J694">IFERROR(_xlfn.LET(
_xlpm.CSVVal,_xlfn.XLOOKUP($A694,CSV!$A:$A,CSV!I:I,""),
_xlpm.MacVal,_xlfn.XLOOKUP($A694,Output_Mac!$A:$A,Output_Mac!K:K,""),
_xlpm.MyAuditVal,_xlfn.XLOOKUP($A694,My_Audit!$A:$A,My_Audit!I:I,""),
_xlfn.IFS(_xlpm.MyAuditVal&lt;&gt;"",UPPER(_xlpm.MyAuditVal),_xlpm.MacVal&lt;&gt;"",_xlpm.MacVal,_xlpm.CSVVal&lt;&gt;"",_xlpm.CSVVal
)),"")</f>
        <v/>
      </c>
      <c r="K694" s="54" t="str" cm="1">
        <f t="array" ref="K694">IFERROR(_xlfn.LET(
_xlpm.CSVVal,_xlfn.XLOOKUP($A694,CSV!$A:$A,CSV!M:M,""),
_xlpm.MacVal,_xlfn.XLOOKUP($A694,Output_Mac!$A:$A,Output_Mac!L:L,""),
_xlpm.MyAuditVal,_xlfn.XLOOKUP($A694,My_Audit!$A:$A,My_Audit!J:J,""),
_xlfn.IFS(_xlpm.MyAuditVal&lt;&gt;"",UPPER(_xlpm.MyAuditVal),_xlpm.MacVal&lt;&gt;"",_xlpm.MacVal,_xlpm.CSVVal&lt;&gt;"",_xlpm.CSVVal
)),"")</f>
        <v/>
      </c>
      <c r="L694" s="54" t="str" cm="1">
        <f t="array" ref="L694">IFERROR(_xlfn.LET(
_xlpm.CSVVal,_xlfn.XLOOKUP($A694,CSV!$A:$A,CSV!O:O,""),
_xlpm.MacVal,_xlfn.XLOOKUP($A694,Output_Mac!$A:$A,Output_Mac!M:M,""),
_xlpm.MyAuditVal,_xlfn.XLOOKUP($A694,My_Audit!$A:$A,My_Audit!K:K,""),
_xlfn.IFS(_xlpm.MyAuditVal&lt;&gt;"",UPPER(_xlpm.MyAuditVal),_xlpm.MacVal&lt;&gt;"",_xlpm.MacVal,_xlpm.CSVVal&lt;&gt;"",_xlpm.CSVVal
)),"")</f>
        <v/>
      </c>
      <c r="M694" s="54" t="str">
        <f>_xlfn.LET(
    _xlpm.CSVVal, _xlfn.XLOOKUP($A694, CSV!$A:$A, CSV!AD:AD, ""),
    _xlpm.MacVal, _xlfn.XLOOKUP($A694, Output_Mac!$A:$A, Output_Mac!S:S, ""),
    _xlpm.MyAuditVal, _xlfn.XLOOKUP($A694, My_Audit!$A:$A, My_Audit!N:N, ""),
    _xlfn.TEXTJOIN(", ", TRUE, _xlpm.MyAuditVal, _xlpm.MacVal, _xlpm.CSVVal)
)</f>
        <v/>
      </c>
      <c r="N694" s="54" t="str" cm="1">
        <f t="array" ref="N694">IFERROR(_xlfn.LET(
_xlpm.CSVVal,_xlfn.XLOOKUP($A694,CSV!$A:$A,CSV!AF:AF,""),
_xlpm.MacVal,_xlfn.XLOOKUP($A694,Output_Mac!$A:$A,Output_Mac!U:U,""),
_xlpm.MyAuditVal,_xlfn.XLOOKUP($A694,My_Audit!$A:$A,My_Audit!O:O,""),
_xlfn.IFS(_xlpm.MyAuditVal&lt;&gt;"",UPPER(_xlpm.MyAuditVal),_xlpm.MacVal&lt;&gt;"",_xlpm.MacVal,_xlpm.CSVVal&lt;&gt;"",_xlpm.CSVVal
)),"")</f>
        <v/>
      </c>
      <c r="O694" s="54"/>
      <c r="P694" s="54"/>
      <c r="Q694" s="54"/>
      <c r="R694" s="54"/>
      <c r="S694" s="54"/>
      <c r="T694" s="54"/>
      <c r="U694" s="39"/>
    </row>
    <row r="695" spans="1:21">
      <c r="A695" s="54" t="str">
        <f>_xlfn.TEXTJOIN("",TRUE,Input!$B$2,ROW(My_Audit!A694))</f>
        <v>XX694</v>
      </c>
      <c r="B695" s="54" t="str">
        <f>_xlfn.TEXTJOIN("-",TRUE,"ITD",Input!$A$2,A695)</f>
        <v>ITD-SHRXXX-XX694</v>
      </c>
      <c r="C695" s="54" t="str" cm="1">
        <f t="array" ref="C695">IFERROR(_xlfn.LET(
_xlpm.CSVVal,_xlfn.XLOOKUP($A695,CSV!$A:$A,CSV!B:B,""),
_xlpm.MacVal,_xlfn.XLOOKUP($A695,Output_Mac!$A:$A,Output_Mac!B:B,""),
_xlpm.MyAuditVal,_xlfn.XLOOKUP($A695,My_Audit!$A:$A,My_Audit!B:B,""),
_xlfn.IFS(_xlpm.MyAuditVal&lt;&gt;"",UPPER(_xlpm.MyAuditVal),_xlpm.MacVal&lt;&gt;"",_xlpm.MacVal,_xlpm.CSVVal&lt;&gt;"",_xlpm.CSVVal
)),"")</f>
        <v/>
      </c>
      <c r="D695" s="55" t="str">
        <f>_xlfn.XLOOKUP(A695,My_Audit!A:A,My_Audit!D:D,"")&amp;""</f>
        <v/>
      </c>
      <c r="E695" s="55" t="str" cm="1">
        <f t="array" ref="E695">IFERROR(_xlfn.LET(
_xlpm.CSVVal,_xlfn.XLOOKUP($A695,CSV!$A:$A,CSV!D:D,""),
_xlpm.MacVal,_xlfn.XLOOKUP($A695,Output_Mac!$A:$A,Output_Mac!C:C,""),
_xlpm.MyAuditVal,_xlfn.XLOOKUP($A695,My_Audit!$A:$A,My_Audit!D:D,""),
_xlfn.IFS(_xlpm.MyAuditVal&lt;&gt;"",_xlpm.MyAuditVal,_xlpm.MacVal&lt;&gt;"",_xlpm.MacVal,_xlpm.CSVVal&lt;&gt;"",_xlpm.CSVVal
)),"")</f>
        <v/>
      </c>
      <c r="F695" s="54" t="str" cm="1">
        <f t="array" ref="F695">IFERROR(_xlfn.LET(
_xlpm.CSVVal,_xlfn.XLOOKUP($A695,CSV!$A:$A,CSV!E:E,""),
_xlpm.MacVal,_xlfn.XLOOKUP($A695,Output_Mac!$A:$A,Output_Mac!F:F,""),
_xlpm.MyAuditVal,_xlfn.XLOOKUP($A695,My_Audit!$A:$A,My_Audit!E:E,""),
_xlfn.IFS(_xlpm.MyAuditVal&lt;&gt;"",_xlpm.MyAuditVal,_xlpm.MacVal&lt;&gt;"",_xlpm.MacVal,_xlpm.CSVVal&lt;&gt;"",PROPER(_xlpm.CSVVal)
)),"")</f>
        <v/>
      </c>
      <c r="G695" s="54" t="str" cm="1">
        <f t="array" ref="G695">IFERROR(_xlfn.LET(
_xlpm.CSVVal,_xlfn.XLOOKUP($A695,CSV!$A:$A,CSV!F:F,""),
_xlpm.MacVal,_xlfn.XLOOKUP($A695,Output_Mac!$A:$A,Output_Mac!H:H,""),
_xlpm.MyAuditVal,_xlfn.XLOOKUP($A695,My_Audit!$A:$A,My_Audit!F:F,""),
_xlfn.IFS(_xlpm.MyAuditVal&lt;&gt;"",_xlpm.MyAuditVal,_xlpm.MacVal&lt;&gt;"",_xlpm.MacVal,_xlpm.CSVVal&lt;&gt;"",_xlpm.CSVVal
)),"")</f>
        <v/>
      </c>
      <c r="H695" s="54" t="str">
        <f>_xlfn.XLOOKUP(A695,Output_Mac!A:A,Output_Mac!I:I,"")</f>
        <v/>
      </c>
      <c r="I695" s="54" t="str" cm="1">
        <f t="array" ref="I695">IFERROR(_xlfn.LET(
_xlpm.CSVVal,_xlfn.XLOOKUP($A695,CSV!$A:$A,CSV!G:G,""),
_xlpm.MacVal,_xlfn.XLOOKUP($A695,Output_Mac!$A:$A,Output_Mac!J:J,""),
_xlpm.MyAuditVal,_xlfn.XLOOKUP($A695,My_Audit!$A:$A,My_Audit!H:H,""),
_xlfn.IFS(_xlpm.MyAuditVal&lt;&gt;"",UPPER(_xlpm.MyAuditVal),_xlpm.MacVal&lt;&gt;"",_xlpm.MacVal,_xlpm.CSVVal&lt;&gt;"",_xlpm.CSVVal
)),"")</f>
        <v/>
      </c>
      <c r="J695" s="54" t="str" cm="1">
        <f t="array" ref="J695">IFERROR(_xlfn.LET(
_xlpm.CSVVal,_xlfn.XLOOKUP($A695,CSV!$A:$A,CSV!I:I,""),
_xlpm.MacVal,_xlfn.XLOOKUP($A695,Output_Mac!$A:$A,Output_Mac!K:K,""),
_xlpm.MyAuditVal,_xlfn.XLOOKUP($A695,My_Audit!$A:$A,My_Audit!I:I,""),
_xlfn.IFS(_xlpm.MyAuditVal&lt;&gt;"",UPPER(_xlpm.MyAuditVal),_xlpm.MacVal&lt;&gt;"",_xlpm.MacVal,_xlpm.CSVVal&lt;&gt;"",_xlpm.CSVVal
)),"")</f>
        <v/>
      </c>
      <c r="K695" s="54" t="str" cm="1">
        <f t="array" ref="K695">IFERROR(_xlfn.LET(
_xlpm.CSVVal,_xlfn.XLOOKUP($A695,CSV!$A:$A,CSV!M:M,""),
_xlpm.MacVal,_xlfn.XLOOKUP($A695,Output_Mac!$A:$A,Output_Mac!L:L,""),
_xlpm.MyAuditVal,_xlfn.XLOOKUP($A695,My_Audit!$A:$A,My_Audit!J:J,""),
_xlfn.IFS(_xlpm.MyAuditVal&lt;&gt;"",UPPER(_xlpm.MyAuditVal),_xlpm.MacVal&lt;&gt;"",_xlpm.MacVal,_xlpm.CSVVal&lt;&gt;"",_xlpm.CSVVal
)),"")</f>
        <v/>
      </c>
      <c r="L695" s="54" t="str" cm="1">
        <f t="array" ref="L695">IFERROR(_xlfn.LET(
_xlpm.CSVVal,_xlfn.XLOOKUP($A695,CSV!$A:$A,CSV!O:O,""),
_xlpm.MacVal,_xlfn.XLOOKUP($A695,Output_Mac!$A:$A,Output_Mac!M:M,""),
_xlpm.MyAuditVal,_xlfn.XLOOKUP($A695,My_Audit!$A:$A,My_Audit!K:K,""),
_xlfn.IFS(_xlpm.MyAuditVal&lt;&gt;"",UPPER(_xlpm.MyAuditVal),_xlpm.MacVal&lt;&gt;"",_xlpm.MacVal,_xlpm.CSVVal&lt;&gt;"",_xlpm.CSVVal
)),"")</f>
        <v/>
      </c>
      <c r="M695" s="54" t="str">
        <f>_xlfn.LET(
    _xlpm.CSVVal, _xlfn.XLOOKUP($A695, CSV!$A:$A, CSV!AD:AD, ""),
    _xlpm.MacVal, _xlfn.XLOOKUP($A695, Output_Mac!$A:$A, Output_Mac!S:S, ""),
    _xlpm.MyAuditVal, _xlfn.XLOOKUP($A695, My_Audit!$A:$A, My_Audit!N:N, ""),
    _xlfn.TEXTJOIN(", ", TRUE, _xlpm.MyAuditVal, _xlpm.MacVal, _xlpm.CSVVal)
)</f>
        <v/>
      </c>
      <c r="N695" s="54" t="str" cm="1">
        <f t="array" ref="N695">IFERROR(_xlfn.LET(
_xlpm.CSVVal,_xlfn.XLOOKUP($A695,CSV!$A:$A,CSV!AF:AF,""),
_xlpm.MacVal,_xlfn.XLOOKUP($A695,Output_Mac!$A:$A,Output_Mac!U:U,""),
_xlpm.MyAuditVal,_xlfn.XLOOKUP($A695,My_Audit!$A:$A,My_Audit!O:O,""),
_xlfn.IFS(_xlpm.MyAuditVal&lt;&gt;"",UPPER(_xlpm.MyAuditVal),_xlpm.MacVal&lt;&gt;"",_xlpm.MacVal,_xlpm.CSVVal&lt;&gt;"",_xlpm.CSVVal
)),"")</f>
        <v/>
      </c>
      <c r="O695" s="54"/>
      <c r="P695" s="54"/>
      <c r="Q695" s="54"/>
      <c r="R695" s="54"/>
      <c r="S695" s="54"/>
      <c r="T695" s="54"/>
      <c r="U695" s="39"/>
    </row>
    <row r="696" spans="1:21">
      <c r="A696" s="54" t="str">
        <f>_xlfn.TEXTJOIN("",TRUE,Input!$B$2,ROW(My_Audit!A695))</f>
        <v>XX695</v>
      </c>
      <c r="B696" s="54" t="str">
        <f>_xlfn.TEXTJOIN("-",TRUE,"ITD",Input!$A$2,A696)</f>
        <v>ITD-SHRXXX-XX695</v>
      </c>
      <c r="C696" s="54" t="str" cm="1">
        <f t="array" ref="C696">IFERROR(_xlfn.LET(
_xlpm.CSVVal,_xlfn.XLOOKUP($A696,CSV!$A:$A,CSV!B:B,""),
_xlpm.MacVal,_xlfn.XLOOKUP($A696,Output_Mac!$A:$A,Output_Mac!B:B,""),
_xlpm.MyAuditVal,_xlfn.XLOOKUP($A696,My_Audit!$A:$A,My_Audit!B:B,""),
_xlfn.IFS(_xlpm.MyAuditVal&lt;&gt;"",UPPER(_xlpm.MyAuditVal),_xlpm.MacVal&lt;&gt;"",_xlpm.MacVal,_xlpm.CSVVal&lt;&gt;"",_xlpm.CSVVal
)),"")</f>
        <v/>
      </c>
      <c r="D696" s="55" t="str">
        <f>_xlfn.XLOOKUP(A696,My_Audit!A:A,My_Audit!D:D,"")&amp;""</f>
        <v/>
      </c>
      <c r="E696" s="55" t="str" cm="1">
        <f t="array" ref="E696">IFERROR(_xlfn.LET(
_xlpm.CSVVal,_xlfn.XLOOKUP($A696,CSV!$A:$A,CSV!D:D,""),
_xlpm.MacVal,_xlfn.XLOOKUP($A696,Output_Mac!$A:$A,Output_Mac!C:C,""),
_xlpm.MyAuditVal,_xlfn.XLOOKUP($A696,My_Audit!$A:$A,My_Audit!D:D,""),
_xlfn.IFS(_xlpm.MyAuditVal&lt;&gt;"",_xlpm.MyAuditVal,_xlpm.MacVal&lt;&gt;"",_xlpm.MacVal,_xlpm.CSVVal&lt;&gt;"",_xlpm.CSVVal
)),"")</f>
        <v/>
      </c>
      <c r="F696" s="54" t="str" cm="1">
        <f t="array" ref="F696">IFERROR(_xlfn.LET(
_xlpm.CSVVal,_xlfn.XLOOKUP($A696,CSV!$A:$A,CSV!E:E,""),
_xlpm.MacVal,_xlfn.XLOOKUP($A696,Output_Mac!$A:$A,Output_Mac!F:F,""),
_xlpm.MyAuditVal,_xlfn.XLOOKUP($A696,My_Audit!$A:$A,My_Audit!E:E,""),
_xlfn.IFS(_xlpm.MyAuditVal&lt;&gt;"",_xlpm.MyAuditVal,_xlpm.MacVal&lt;&gt;"",_xlpm.MacVal,_xlpm.CSVVal&lt;&gt;"",PROPER(_xlpm.CSVVal)
)),"")</f>
        <v/>
      </c>
      <c r="G696" s="54" t="str" cm="1">
        <f t="array" ref="G696">IFERROR(_xlfn.LET(
_xlpm.CSVVal,_xlfn.XLOOKUP($A696,CSV!$A:$A,CSV!F:F,""),
_xlpm.MacVal,_xlfn.XLOOKUP($A696,Output_Mac!$A:$A,Output_Mac!H:H,""),
_xlpm.MyAuditVal,_xlfn.XLOOKUP($A696,My_Audit!$A:$A,My_Audit!F:F,""),
_xlfn.IFS(_xlpm.MyAuditVal&lt;&gt;"",_xlpm.MyAuditVal,_xlpm.MacVal&lt;&gt;"",_xlpm.MacVal,_xlpm.CSVVal&lt;&gt;"",_xlpm.CSVVal
)),"")</f>
        <v/>
      </c>
      <c r="H696" s="54" t="str">
        <f>_xlfn.XLOOKUP(A696,Output_Mac!A:A,Output_Mac!I:I,"")</f>
        <v/>
      </c>
      <c r="I696" s="54" t="str" cm="1">
        <f t="array" ref="I696">IFERROR(_xlfn.LET(
_xlpm.CSVVal,_xlfn.XLOOKUP($A696,CSV!$A:$A,CSV!G:G,""),
_xlpm.MacVal,_xlfn.XLOOKUP($A696,Output_Mac!$A:$A,Output_Mac!J:J,""),
_xlpm.MyAuditVal,_xlfn.XLOOKUP($A696,My_Audit!$A:$A,My_Audit!H:H,""),
_xlfn.IFS(_xlpm.MyAuditVal&lt;&gt;"",UPPER(_xlpm.MyAuditVal),_xlpm.MacVal&lt;&gt;"",_xlpm.MacVal,_xlpm.CSVVal&lt;&gt;"",_xlpm.CSVVal
)),"")</f>
        <v/>
      </c>
      <c r="J696" s="54" t="str" cm="1">
        <f t="array" ref="J696">IFERROR(_xlfn.LET(
_xlpm.CSVVal,_xlfn.XLOOKUP($A696,CSV!$A:$A,CSV!I:I,""),
_xlpm.MacVal,_xlfn.XLOOKUP($A696,Output_Mac!$A:$A,Output_Mac!K:K,""),
_xlpm.MyAuditVal,_xlfn.XLOOKUP($A696,My_Audit!$A:$A,My_Audit!I:I,""),
_xlfn.IFS(_xlpm.MyAuditVal&lt;&gt;"",UPPER(_xlpm.MyAuditVal),_xlpm.MacVal&lt;&gt;"",_xlpm.MacVal,_xlpm.CSVVal&lt;&gt;"",_xlpm.CSVVal
)),"")</f>
        <v/>
      </c>
      <c r="K696" s="54" t="str" cm="1">
        <f t="array" ref="K696">IFERROR(_xlfn.LET(
_xlpm.CSVVal,_xlfn.XLOOKUP($A696,CSV!$A:$A,CSV!M:M,""),
_xlpm.MacVal,_xlfn.XLOOKUP($A696,Output_Mac!$A:$A,Output_Mac!L:L,""),
_xlpm.MyAuditVal,_xlfn.XLOOKUP($A696,My_Audit!$A:$A,My_Audit!J:J,""),
_xlfn.IFS(_xlpm.MyAuditVal&lt;&gt;"",UPPER(_xlpm.MyAuditVal),_xlpm.MacVal&lt;&gt;"",_xlpm.MacVal,_xlpm.CSVVal&lt;&gt;"",_xlpm.CSVVal
)),"")</f>
        <v/>
      </c>
      <c r="L696" s="54" t="str" cm="1">
        <f t="array" ref="L696">IFERROR(_xlfn.LET(
_xlpm.CSVVal,_xlfn.XLOOKUP($A696,CSV!$A:$A,CSV!O:O,""),
_xlpm.MacVal,_xlfn.XLOOKUP($A696,Output_Mac!$A:$A,Output_Mac!M:M,""),
_xlpm.MyAuditVal,_xlfn.XLOOKUP($A696,My_Audit!$A:$A,My_Audit!K:K,""),
_xlfn.IFS(_xlpm.MyAuditVal&lt;&gt;"",UPPER(_xlpm.MyAuditVal),_xlpm.MacVal&lt;&gt;"",_xlpm.MacVal,_xlpm.CSVVal&lt;&gt;"",_xlpm.CSVVal
)),"")</f>
        <v/>
      </c>
      <c r="M696" s="54" t="str">
        <f>_xlfn.LET(
    _xlpm.CSVVal, _xlfn.XLOOKUP($A696, CSV!$A:$A, CSV!AD:AD, ""),
    _xlpm.MacVal, _xlfn.XLOOKUP($A696, Output_Mac!$A:$A, Output_Mac!S:S, ""),
    _xlpm.MyAuditVal, _xlfn.XLOOKUP($A696, My_Audit!$A:$A, My_Audit!N:N, ""),
    _xlfn.TEXTJOIN(", ", TRUE, _xlpm.MyAuditVal, _xlpm.MacVal, _xlpm.CSVVal)
)</f>
        <v/>
      </c>
      <c r="N696" s="54" t="str" cm="1">
        <f t="array" ref="N696">IFERROR(_xlfn.LET(
_xlpm.CSVVal,_xlfn.XLOOKUP($A696,CSV!$A:$A,CSV!AF:AF,""),
_xlpm.MacVal,_xlfn.XLOOKUP($A696,Output_Mac!$A:$A,Output_Mac!U:U,""),
_xlpm.MyAuditVal,_xlfn.XLOOKUP($A696,My_Audit!$A:$A,My_Audit!O:O,""),
_xlfn.IFS(_xlpm.MyAuditVal&lt;&gt;"",UPPER(_xlpm.MyAuditVal),_xlpm.MacVal&lt;&gt;"",_xlpm.MacVal,_xlpm.CSVVal&lt;&gt;"",_xlpm.CSVVal
)),"")</f>
        <v/>
      </c>
      <c r="O696" s="54"/>
      <c r="P696" s="54"/>
      <c r="Q696" s="54"/>
      <c r="R696" s="54"/>
      <c r="S696" s="54"/>
      <c r="T696" s="54"/>
      <c r="U696" s="39"/>
    </row>
    <row r="697" spans="1:21">
      <c r="A697" s="54" t="str">
        <f>_xlfn.TEXTJOIN("",TRUE,Input!$B$2,ROW(My_Audit!A696))</f>
        <v>XX696</v>
      </c>
      <c r="B697" s="54" t="str">
        <f>_xlfn.TEXTJOIN("-",TRUE,"ITD",Input!$A$2,A697)</f>
        <v>ITD-SHRXXX-XX696</v>
      </c>
      <c r="C697" s="54" t="str" cm="1">
        <f t="array" ref="C697">IFERROR(_xlfn.LET(
_xlpm.CSVVal,_xlfn.XLOOKUP($A697,CSV!$A:$A,CSV!B:B,""),
_xlpm.MacVal,_xlfn.XLOOKUP($A697,Output_Mac!$A:$A,Output_Mac!B:B,""),
_xlpm.MyAuditVal,_xlfn.XLOOKUP($A697,My_Audit!$A:$A,My_Audit!B:B,""),
_xlfn.IFS(_xlpm.MyAuditVal&lt;&gt;"",UPPER(_xlpm.MyAuditVal),_xlpm.MacVal&lt;&gt;"",_xlpm.MacVal,_xlpm.CSVVal&lt;&gt;"",_xlpm.CSVVal
)),"")</f>
        <v/>
      </c>
      <c r="D697" s="55" t="str">
        <f>_xlfn.XLOOKUP(A697,My_Audit!A:A,My_Audit!D:D,"")&amp;""</f>
        <v/>
      </c>
      <c r="E697" s="55" t="str" cm="1">
        <f t="array" ref="E697">IFERROR(_xlfn.LET(
_xlpm.CSVVal,_xlfn.XLOOKUP($A697,CSV!$A:$A,CSV!D:D,""),
_xlpm.MacVal,_xlfn.XLOOKUP($A697,Output_Mac!$A:$A,Output_Mac!C:C,""),
_xlpm.MyAuditVal,_xlfn.XLOOKUP($A697,My_Audit!$A:$A,My_Audit!D:D,""),
_xlfn.IFS(_xlpm.MyAuditVal&lt;&gt;"",_xlpm.MyAuditVal,_xlpm.MacVal&lt;&gt;"",_xlpm.MacVal,_xlpm.CSVVal&lt;&gt;"",_xlpm.CSVVal
)),"")</f>
        <v/>
      </c>
      <c r="F697" s="54" t="str" cm="1">
        <f t="array" ref="F697">IFERROR(_xlfn.LET(
_xlpm.CSVVal,_xlfn.XLOOKUP($A697,CSV!$A:$A,CSV!E:E,""),
_xlpm.MacVal,_xlfn.XLOOKUP($A697,Output_Mac!$A:$A,Output_Mac!F:F,""),
_xlpm.MyAuditVal,_xlfn.XLOOKUP($A697,My_Audit!$A:$A,My_Audit!E:E,""),
_xlfn.IFS(_xlpm.MyAuditVal&lt;&gt;"",_xlpm.MyAuditVal,_xlpm.MacVal&lt;&gt;"",_xlpm.MacVal,_xlpm.CSVVal&lt;&gt;"",PROPER(_xlpm.CSVVal)
)),"")</f>
        <v/>
      </c>
      <c r="G697" s="54" t="str" cm="1">
        <f t="array" ref="G697">IFERROR(_xlfn.LET(
_xlpm.CSVVal,_xlfn.XLOOKUP($A697,CSV!$A:$A,CSV!F:F,""),
_xlpm.MacVal,_xlfn.XLOOKUP($A697,Output_Mac!$A:$A,Output_Mac!H:H,""),
_xlpm.MyAuditVal,_xlfn.XLOOKUP($A697,My_Audit!$A:$A,My_Audit!F:F,""),
_xlfn.IFS(_xlpm.MyAuditVal&lt;&gt;"",_xlpm.MyAuditVal,_xlpm.MacVal&lt;&gt;"",_xlpm.MacVal,_xlpm.CSVVal&lt;&gt;"",_xlpm.CSVVal
)),"")</f>
        <v/>
      </c>
      <c r="H697" s="54" t="str">
        <f>_xlfn.XLOOKUP(A697,Output_Mac!A:A,Output_Mac!I:I,"")</f>
        <v/>
      </c>
      <c r="I697" s="54" t="str" cm="1">
        <f t="array" ref="I697">IFERROR(_xlfn.LET(
_xlpm.CSVVal,_xlfn.XLOOKUP($A697,CSV!$A:$A,CSV!G:G,""),
_xlpm.MacVal,_xlfn.XLOOKUP($A697,Output_Mac!$A:$A,Output_Mac!J:J,""),
_xlpm.MyAuditVal,_xlfn.XLOOKUP($A697,My_Audit!$A:$A,My_Audit!H:H,""),
_xlfn.IFS(_xlpm.MyAuditVal&lt;&gt;"",UPPER(_xlpm.MyAuditVal),_xlpm.MacVal&lt;&gt;"",_xlpm.MacVal,_xlpm.CSVVal&lt;&gt;"",_xlpm.CSVVal
)),"")</f>
        <v/>
      </c>
      <c r="J697" s="54" t="str" cm="1">
        <f t="array" ref="J697">IFERROR(_xlfn.LET(
_xlpm.CSVVal,_xlfn.XLOOKUP($A697,CSV!$A:$A,CSV!I:I,""),
_xlpm.MacVal,_xlfn.XLOOKUP($A697,Output_Mac!$A:$A,Output_Mac!K:K,""),
_xlpm.MyAuditVal,_xlfn.XLOOKUP($A697,My_Audit!$A:$A,My_Audit!I:I,""),
_xlfn.IFS(_xlpm.MyAuditVal&lt;&gt;"",UPPER(_xlpm.MyAuditVal),_xlpm.MacVal&lt;&gt;"",_xlpm.MacVal,_xlpm.CSVVal&lt;&gt;"",_xlpm.CSVVal
)),"")</f>
        <v/>
      </c>
      <c r="K697" s="54" t="str" cm="1">
        <f t="array" ref="K697">IFERROR(_xlfn.LET(
_xlpm.CSVVal,_xlfn.XLOOKUP($A697,CSV!$A:$A,CSV!M:M,""),
_xlpm.MacVal,_xlfn.XLOOKUP($A697,Output_Mac!$A:$A,Output_Mac!L:L,""),
_xlpm.MyAuditVal,_xlfn.XLOOKUP($A697,My_Audit!$A:$A,My_Audit!J:J,""),
_xlfn.IFS(_xlpm.MyAuditVal&lt;&gt;"",UPPER(_xlpm.MyAuditVal),_xlpm.MacVal&lt;&gt;"",_xlpm.MacVal,_xlpm.CSVVal&lt;&gt;"",_xlpm.CSVVal
)),"")</f>
        <v/>
      </c>
      <c r="L697" s="54" t="str" cm="1">
        <f t="array" ref="L697">IFERROR(_xlfn.LET(
_xlpm.CSVVal,_xlfn.XLOOKUP($A697,CSV!$A:$A,CSV!O:O,""),
_xlpm.MacVal,_xlfn.XLOOKUP($A697,Output_Mac!$A:$A,Output_Mac!M:M,""),
_xlpm.MyAuditVal,_xlfn.XLOOKUP($A697,My_Audit!$A:$A,My_Audit!K:K,""),
_xlfn.IFS(_xlpm.MyAuditVal&lt;&gt;"",UPPER(_xlpm.MyAuditVal),_xlpm.MacVal&lt;&gt;"",_xlpm.MacVal,_xlpm.CSVVal&lt;&gt;"",_xlpm.CSVVal
)),"")</f>
        <v/>
      </c>
      <c r="M697" s="54" t="str">
        <f>_xlfn.LET(
    _xlpm.CSVVal, _xlfn.XLOOKUP($A697, CSV!$A:$A, CSV!AD:AD, ""),
    _xlpm.MacVal, _xlfn.XLOOKUP($A697, Output_Mac!$A:$A, Output_Mac!S:S, ""),
    _xlpm.MyAuditVal, _xlfn.XLOOKUP($A697, My_Audit!$A:$A, My_Audit!N:N, ""),
    _xlfn.TEXTJOIN(", ", TRUE, _xlpm.MyAuditVal, _xlpm.MacVal, _xlpm.CSVVal)
)</f>
        <v/>
      </c>
      <c r="N697" s="54" t="str" cm="1">
        <f t="array" ref="N697">IFERROR(_xlfn.LET(
_xlpm.CSVVal,_xlfn.XLOOKUP($A697,CSV!$A:$A,CSV!AF:AF,""),
_xlpm.MacVal,_xlfn.XLOOKUP($A697,Output_Mac!$A:$A,Output_Mac!U:U,""),
_xlpm.MyAuditVal,_xlfn.XLOOKUP($A697,My_Audit!$A:$A,My_Audit!O:O,""),
_xlfn.IFS(_xlpm.MyAuditVal&lt;&gt;"",UPPER(_xlpm.MyAuditVal),_xlpm.MacVal&lt;&gt;"",_xlpm.MacVal,_xlpm.CSVVal&lt;&gt;"",_xlpm.CSVVal
)),"")</f>
        <v/>
      </c>
      <c r="O697" s="54"/>
      <c r="P697" s="54"/>
      <c r="Q697" s="54"/>
      <c r="R697" s="54"/>
      <c r="S697" s="54"/>
      <c r="T697" s="54"/>
      <c r="U697" s="39"/>
    </row>
    <row r="698" spans="1:21">
      <c r="A698" s="54" t="str">
        <f>_xlfn.TEXTJOIN("",TRUE,Input!$B$2,ROW(My_Audit!A697))</f>
        <v>XX697</v>
      </c>
      <c r="B698" s="54" t="str">
        <f>_xlfn.TEXTJOIN("-",TRUE,"ITD",Input!$A$2,A698)</f>
        <v>ITD-SHRXXX-XX697</v>
      </c>
      <c r="C698" s="54" t="str" cm="1">
        <f t="array" ref="C698">IFERROR(_xlfn.LET(
_xlpm.CSVVal,_xlfn.XLOOKUP($A698,CSV!$A:$A,CSV!B:B,""),
_xlpm.MacVal,_xlfn.XLOOKUP($A698,Output_Mac!$A:$A,Output_Mac!B:B,""),
_xlpm.MyAuditVal,_xlfn.XLOOKUP($A698,My_Audit!$A:$A,My_Audit!B:B,""),
_xlfn.IFS(_xlpm.MyAuditVal&lt;&gt;"",UPPER(_xlpm.MyAuditVal),_xlpm.MacVal&lt;&gt;"",_xlpm.MacVal,_xlpm.CSVVal&lt;&gt;"",_xlpm.CSVVal
)),"")</f>
        <v/>
      </c>
      <c r="D698" s="55" t="str">
        <f>_xlfn.XLOOKUP(A698,My_Audit!A:A,My_Audit!D:D,"")&amp;""</f>
        <v/>
      </c>
      <c r="E698" s="55" t="str" cm="1">
        <f t="array" ref="E698">IFERROR(_xlfn.LET(
_xlpm.CSVVal,_xlfn.XLOOKUP($A698,CSV!$A:$A,CSV!D:D,""),
_xlpm.MacVal,_xlfn.XLOOKUP($A698,Output_Mac!$A:$A,Output_Mac!C:C,""),
_xlpm.MyAuditVal,_xlfn.XLOOKUP($A698,My_Audit!$A:$A,My_Audit!D:D,""),
_xlfn.IFS(_xlpm.MyAuditVal&lt;&gt;"",_xlpm.MyAuditVal,_xlpm.MacVal&lt;&gt;"",_xlpm.MacVal,_xlpm.CSVVal&lt;&gt;"",_xlpm.CSVVal
)),"")</f>
        <v/>
      </c>
      <c r="F698" s="54" t="str" cm="1">
        <f t="array" ref="F698">IFERROR(_xlfn.LET(
_xlpm.CSVVal,_xlfn.XLOOKUP($A698,CSV!$A:$A,CSV!E:E,""),
_xlpm.MacVal,_xlfn.XLOOKUP($A698,Output_Mac!$A:$A,Output_Mac!F:F,""),
_xlpm.MyAuditVal,_xlfn.XLOOKUP($A698,My_Audit!$A:$A,My_Audit!E:E,""),
_xlfn.IFS(_xlpm.MyAuditVal&lt;&gt;"",_xlpm.MyAuditVal,_xlpm.MacVal&lt;&gt;"",_xlpm.MacVal,_xlpm.CSVVal&lt;&gt;"",PROPER(_xlpm.CSVVal)
)),"")</f>
        <v/>
      </c>
      <c r="G698" s="54" t="str" cm="1">
        <f t="array" ref="G698">IFERROR(_xlfn.LET(
_xlpm.CSVVal,_xlfn.XLOOKUP($A698,CSV!$A:$A,CSV!F:F,""),
_xlpm.MacVal,_xlfn.XLOOKUP($A698,Output_Mac!$A:$A,Output_Mac!H:H,""),
_xlpm.MyAuditVal,_xlfn.XLOOKUP($A698,My_Audit!$A:$A,My_Audit!F:F,""),
_xlfn.IFS(_xlpm.MyAuditVal&lt;&gt;"",_xlpm.MyAuditVal,_xlpm.MacVal&lt;&gt;"",_xlpm.MacVal,_xlpm.CSVVal&lt;&gt;"",_xlpm.CSVVal
)),"")</f>
        <v/>
      </c>
      <c r="H698" s="54" t="str">
        <f>_xlfn.XLOOKUP(A698,Output_Mac!A:A,Output_Mac!I:I,"")</f>
        <v/>
      </c>
      <c r="I698" s="54" t="str" cm="1">
        <f t="array" ref="I698">IFERROR(_xlfn.LET(
_xlpm.CSVVal,_xlfn.XLOOKUP($A698,CSV!$A:$A,CSV!G:G,""),
_xlpm.MacVal,_xlfn.XLOOKUP($A698,Output_Mac!$A:$A,Output_Mac!J:J,""),
_xlpm.MyAuditVal,_xlfn.XLOOKUP($A698,My_Audit!$A:$A,My_Audit!H:H,""),
_xlfn.IFS(_xlpm.MyAuditVal&lt;&gt;"",UPPER(_xlpm.MyAuditVal),_xlpm.MacVal&lt;&gt;"",_xlpm.MacVal,_xlpm.CSVVal&lt;&gt;"",_xlpm.CSVVal
)),"")</f>
        <v/>
      </c>
      <c r="J698" s="54" t="str" cm="1">
        <f t="array" ref="J698">IFERROR(_xlfn.LET(
_xlpm.CSVVal,_xlfn.XLOOKUP($A698,CSV!$A:$A,CSV!I:I,""),
_xlpm.MacVal,_xlfn.XLOOKUP($A698,Output_Mac!$A:$A,Output_Mac!K:K,""),
_xlpm.MyAuditVal,_xlfn.XLOOKUP($A698,My_Audit!$A:$A,My_Audit!I:I,""),
_xlfn.IFS(_xlpm.MyAuditVal&lt;&gt;"",UPPER(_xlpm.MyAuditVal),_xlpm.MacVal&lt;&gt;"",_xlpm.MacVal,_xlpm.CSVVal&lt;&gt;"",_xlpm.CSVVal
)),"")</f>
        <v/>
      </c>
      <c r="K698" s="54" t="str" cm="1">
        <f t="array" ref="K698">IFERROR(_xlfn.LET(
_xlpm.CSVVal,_xlfn.XLOOKUP($A698,CSV!$A:$A,CSV!M:M,""),
_xlpm.MacVal,_xlfn.XLOOKUP($A698,Output_Mac!$A:$A,Output_Mac!L:L,""),
_xlpm.MyAuditVal,_xlfn.XLOOKUP($A698,My_Audit!$A:$A,My_Audit!J:J,""),
_xlfn.IFS(_xlpm.MyAuditVal&lt;&gt;"",UPPER(_xlpm.MyAuditVal),_xlpm.MacVal&lt;&gt;"",_xlpm.MacVal,_xlpm.CSVVal&lt;&gt;"",_xlpm.CSVVal
)),"")</f>
        <v/>
      </c>
      <c r="L698" s="54" t="str" cm="1">
        <f t="array" ref="L698">IFERROR(_xlfn.LET(
_xlpm.CSVVal,_xlfn.XLOOKUP($A698,CSV!$A:$A,CSV!O:O,""),
_xlpm.MacVal,_xlfn.XLOOKUP($A698,Output_Mac!$A:$A,Output_Mac!M:M,""),
_xlpm.MyAuditVal,_xlfn.XLOOKUP($A698,My_Audit!$A:$A,My_Audit!K:K,""),
_xlfn.IFS(_xlpm.MyAuditVal&lt;&gt;"",UPPER(_xlpm.MyAuditVal),_xlpm.MacVal&lt;&gt;"",_xlpm.MacVal,_xlpm.CSVVal&lt;&gt;"",_xlpm.CSVVal
)),"")</f>
        <v/>
      </c>
      <c r="M698" s="54" t="str">
        <f>_xlfn.LET(
    _xlpm.CSVVal, _xlfn.XLOOKUP($A698, CSV!$A:$A, CSV!AD:AD, ""),
    _xlpm.MacVal, _xlfn.XLOOKUP($A698, Output_Mac!$A:$A, Output_Mac!S:S, ""),
    _xlpm.MyAuditVal, _xlfn.XLOOKUP($A698, My_Audit!$A:$A, My_Audit!N:N, ""),
    _xlfn.TEXTJOIN(", ", TRUE, _xlpm.MyAuditVal, _xlpm.MacVal, _xlpm.CSVVal)
)</f>
        <v/>
      </c>
      <c r="N698" s="54" t="str" cm="1">
        <f t="array" ref="N698">IFERROR(_xlfn.LET(
_xlpm.CSVVal,_xlfn.XLOOKUP($A698,CSV!$A:$A,CSV!AF:AF,""),
_xlpm.MacVal,_xlfn.XLOOKUP($A698,Output_Mac!$A:$A,Output_Mac!U:U,""),
_xlpm.MyAuditVal,_xlfn.XLOOKUP($A698,My_Audit!$A:$A,My_Audit!O:O,""),
_xlfn.IFS(_xlpm.MyAuditVal&lt;&gt;"",UPPER(_xlpm.MyAuditVal),_xlpm.MacVal&lt;&gt;"",_xlpm.MacVal,_xlpm.CSVVal&lt;&gt;"",_xlpm.CSVVal
)),"")</f>
        <v/>
      </c>
      <c r="O698" s="54"/>
      <c r="P698" s="54"/>
      <c r="Q698" s="54"/>
      <c r="R698" s="54"/>
      <c r="S698" s="54"/>
      <c r="T698" s="54"/>
      <c r="U698" s="39"/>
    </row>
    <row r="699" spans="1:21">
      <c r="A699" s="54" t="str">
        <f>_xlfn.TEXTJOIN("",TRUE,Input!$B$2,ROW(My_Audit!A698))</f>
        <v>XX698</v>
      </c>
      <c r="B699" s="54" t="str">
        <f>_xlfn.TEXTJOIN("-",TRUE,"ITD",Input!$A$2,A699)</f>
        <v>ITD-SHRXXX-XX698</v>
      </c>
      <c r="C699" s="54" t="str" cm="1">
        <f t="array" ref="C699">IFERROR(_xlfn.LET(
_xlpm.CSVVal,_xlfn.XLOOKUP($A699,CSV!$A:$A,CSV!B:B,""),
_xlpm.MacVal,_xlfn.XLOOKUP($A699,Output_Mac!$A:$A,Output_Mac!B:B,""),
_xlpm.MyAuditVal,_xlfn.XLOOKUP($A699,My_Audit!$A:$A,My_Audit!B:B,""),
_xlfn.IFS(_xlpm.MyAuditVal&lt;&gt;"",UPPER(_xlpm.MyAuditVal),_xlpm.MacVal&lt;&gt;"",_xlpm.MacVal,_xlpm.CSVVal&lt;&gt;"",_xlpm.CSVVal
)),"")</f>
        <v/>
      </c>
      <c r="D699" s="55" t="str">
        <f>_xlfn.XLOOKUP(A699,My_Audit!A:A,My_Audit!D:D,"")&amp;""</f>
        <v/>
      </c>
      <c r="E699" s="55" t="str" cm="1">
        <f t="array" ref="E699">IFERROR(_xlfn.LET(
_xlpm.CSVVal,_xlfn.XLOOKUP($A699,CSV!$A:$A,CSV!D:D,""),
_xlpm.MacVal,_xlfn.XLOOKUP($A699,Output_Mac!$A:$A,Output_Mac!C:C,""),
_xlpm.MyAuditVal,_xlfn.XLOOKUP($A699,My_Audit!$A:$A,My_Audit!D:D,""),
_xlfn.IFS(_xlpm.MyAuditVal&lt;&gt;"",_xlpm.MyAuditVal,_xlpm.MacVal&lt;&gt;"",_xlpm.MacVal,_xlpm.CSVVal&lt;&gt;"",_xlpm.CSVVal
)),"")</f>
        <v/>
      </c>
      <c r="F699" s="54" t="str" cm="1">
        <f t="array" ref="F699">IFERROR(_xlfn.LET(
_xlpm.CSVVal,_xlfn.XLOOKUP($A699,CSV!$A:$A,CSV!E:E,""),
_xlpm.MacVal,_xlfn.XLOOKUP($A699,Output_Mac!$A:$A,Output_Mac!F:F,""),
_xlpm.MyAuditVal,_xlfn.XLOOKUP($A699,My_Audit!$A:$A,My_Audit!E:E,""),
_xlfn.IFS(_xlpm.MyAuditVal&lt;&gt;"",_xlpm.MyAuditVal,_xlpm.MacVal&lt;&gt;"",_xlpm.MacVal,_xlpm.CSVVal&lt;&gt;"",PROPER(_xlpm.CSVVal)
)),"")</f>
        <v/>
      </c>
      <c r="G699" s="54" t="str" cm="1">
        <f t="array" ref="G699">IFERROR(_xlfn.LET(
_xlpm.CSVVal,_xlfn.XLOOKUP($A699,CSV!$A:$A,CSV!F:F,""),
_xlpm.MacVal,_xlfn.XLOOKUP($A699,Output_Mac!$A:$A,Output_Mac!H:H,""),
_xlpm.MyAuditVal,_xlfn.XLOOKUP($A699,My_Audit!$A:$A,My_Audit!F:F,""),
_xlfn.IFS(_xlpm.MyAuditVal&lt;&gt;"",_xlpm.MyAuditVal,_xlpm.MacVal&lt;&gt;"",_xlpm.MacVal,_xlpm.CSVVal&lt;&gt;"",_xlpm.CSVVal
)),"")</f>
        <v/>
      </c>
      <c r="H699" s="54" t="str">
        <f>_xlfn.XLOOKUP(A699,Output_Mac!A:A,Output_Mac!I:I,"")</f>
        <v/>
      </c>
      <c r="I699" s="54" t="str" cm="1">
        <f t="array" ref="I699">IFERROR(_xlfn.LET(
_xlpm.CSVVal,_xlfn.XLOOKUP($A699,CSV!$A:$A,CSV!G:G,""),
_xlpm.MacVal,_xlfn.XLOOKUP($A699,Output_Mac!$A:$A,Output_Mac!J:J,""),
_xlpm.MyAuditVal,_xlfn.XLOOKUP($A699,My_Audit!$A:$A,My_Audit!H:H,""),
_xlfn.IFS(_xlpm.MyAuditVal&lt;&gt;"",UPPER(_xlpm.MyAuditVal),_xlpm.MacVal&lt;&gt;"",_xlpm.MacVal,_xlpm.CSVVal&lt;&gt;"",_xlpm.CSVVal
)),"")</f>
        <v/>
      </c>
      <c r="J699" s="54" t="str" cm="1">
        <f t="array" ref="J699">IFERROR(_xlfn.LET(
_xlpm.CSVVal,_xlfn.XLOOKUP($A699,CSV!$A:$A,CSV!I:I,""),
_xlpm.MacVal,_xlfn.XLOOKUP($A699,Output_Mac!$A:$A,Output_Mac!K:K,""),
_xlpm.MyAuditVal,_xlfn.XLOOKUP($A699,My_Audit!$A:$A,My_Audit!I:I,""),
_xlfn.IFS(_xlpm.MyAuditVal&lt;&gt;"",UPPER(_xlpm.MyAuditVal),_xlpm.MacVal&lt;&gt;"",_xlpm.MacVal,_xlpm.CSVVal&lt;&gt;"",_xlpm.CSVVal
)),"")</f>
        <v/>
      </c>
      <c r="K699" s="54" t="str" cm="1">
        <f t="array" ref="K699">IFERROR(_xlfn.LET(
_xlpm.CSVVal,_xlfn.XLOOKUP($A699,CSV!$A:$A,CSV!M:M,""),
_xlpm.MacVal,_xlfn.XLOOKUP($A699,Output_Mac!$A:$A,Output_Mac!L:L,""),
_xlpm.MyAuditVal,_xlfn.XLOOKUP($A699,My_Audit!$A:$A,My_Audit!J:J,""),
_xlfn.IFS(_xlpm.MyAuditVal&lt;&gt;"",UPPER(_xlpm.MyAuditVal),_xlpm.MacVal&lt;&gt;"",_xlpm.MacVal,_xlpm.CSVVal&lt;&gt;"",_xlpm.CSVVal
)),"")</f>
        <v/>
      </c>
      <c r="L699" s="54" t="str" cm="1">
        <f t="array" ref="L699">IFERROR(_xlfn.LET(
_xlpm.CSVVal,_xlfn.XLOOKUP($A699,CSV!$A:$A,CSV!O:O,""),
_xlpm.MacVal,_xlfn.XLOOKUP($A699,Output_Mac!$A:$A,Output_Mac!M:M,""),
_xlpm.MyAuditVal,_xlfn.XLOOKUP($A699,My_Audit!$A:$A,My_Audit!K:K,""),
_xlfn.IFS(_xlpm.MyAuditVal&lt;&gt;"",UPPER(_xlpm.MyAuditVal),_xlpm.MacVal&lt;&gt;"",_xlpm.MacVal,_xlpm.CSVVal&lt;&gt;"",_xlpm.CSVVal
)),"")</f>
        <v/>
      </c>
      <c r="M699" s="54" t="str">
        <f>_xlfn.LET(
    _xlpm.CSVVal, _xlfn.XLOOKUP($A699, CSV!$A:$A, CSV!AD:AD, ""),
    _xlpm.MacVal, _xlfn.XLOOKUP($A699, Output_Mac!$A:$A, Output_Mac!S:S, ""),
    _xlpm.MyAuditVal, _xlfn.XLOOKUP($A699, My_Audit!$A:$A, My_Audit!N:N, ""),
    _xlfn.TEXTJOIN(", ", TRUE, _xlpm.MyAuditVal, _xlpm.MacVal, _xlpm.CSVVal)
)</f>
        <v/>
      </c>
      <c r="N699" s="54" t="str" cm="1">
        <f t="array" ref="N699">IFERROR(_xlfn.LET(
_xlpm.CSVVal,_xlfn.XLOOKUP($A699,CSV!$A:$A,CSV!AF:AF,""),
_xlpm.MacVal,_xlfn.XLOOKUP($A699,Output_Mac!$A:$A,Output_Mac!U:U,""),
_xlpm.MyAuditVal,_xlfn.XLOOKUP($A699,My_Audit!$A:$A,My_Audit!O:O,""),
_xlfn.IFS(_xlpm.MyAuditVal&lt;&gt;"",UPPER(_xlpm.MyAuditVal),_xlpm.MacVal&lt;&gt;"",_xlpm.MacVal,_xlpm.CSVVal&lt;&gt;"",_xlpm.CSVVal
)),"")</f>
        <v/>
      </c>
      <c r="O699" s="54"/>
      <c r="P699" s="54"/>
      <c r="Q699" s="54"/>
      <c r="R699" s="54"/>
      <c r="S699" s="54"/>
      <c r="T699" s="54"/>
      <c r="U699" s="39"/>
    </row>
    <row r="700" spans="1:21">
      <c r="A700" s="54" t="str">
        <f>_xlfn.TEXTJOIN("",TRUE,Input!$B$2,ROW(My_Audit!A699))</f>
        <v>XX699</v>
      </c>
      <c r="B700" s="54" t="str">
        <f>_xlfn.TEXTJOIN("-",TRUE,"ITD",Input!$A$2,A700)</f>
        <v>ITD-SHRXXX-XX699</v>
      </c>
      <c r="C700" s="54" t="str" cm="1">
        <f t="array" ref="C700">IFERROR(_xlfn.LET(
_xlpm.CSVVal,_xlfn.XLOOKUP($A700,CSV!$A:$A,CSV!B:B,""),
_xlpm.MacVal,_xlfn.XLOOKUP($A700,Output_Mac!$A:$A,Output_Mac!B:B,""),
_xlpm.MyAuditVal,_xlfn.XLOOKUP($A700,My_Audit!$A:$A,My_Audit!B:B,""),
_xlfn.IFS(_xlpm.MyAuditVal&lt;&gt;"",UPPER(_xlpm.MyAuditVal),_xlpm.MacVal&lt;&gt;"",_xlpm.MacVal,_xlpm.CSVVal&lt;&gt;"",_xlpm.CSVVal
)),"")</f>
        <v/>
      </c>
      <c r="D700" s="55" t="str">
        <f>_xlfn.XLOOKUP(A700,My_Audit!A:A,My_Audit!D:D,"")&amp;""</f>
        <v/>
      </c>
      <c r="E700" s="55" t="str" cm="1">
        <f t="array" ref="E700">IFERROR(_xlfn.LET(
_xlpm.CSVVal,_xlfn.XLOOKUP($A700,CSV!$A:$A,CSV!D:D,""),
_xlpm.MacVal,_xlfn.XLOOKUP($A700,Output_Mac!$A:$A,Output_Mac!C:C,""),
_xlpm.MyAuditVal,_xlfn.XLOOKUP($A700,My_Audit!$A:$A,My_Audit!D:D,""),
_xlfn.IFS(_xlpm.MyAuditVal&lt;&gt;"",_xlpm.MyAuditVal,_xlpm.MacVal&lt;&gt;"",_xlpm.MacVal,_xlpm.CSVVal&lt;&gt;"",_xlpm.CSVVal
)),"")</f>
        <v/>
      </c>
      <c r="F700" s="54" t="str" cm="1">
        <f t="array" ref="F700">IFERROR(_xlfn.LET(
_xlpm.CSVVal,_xlfn.XLOOKUP($A700,CSV!$A:$A,CSV!E:E,""),
_xlpm.MacVal,_xlfn.XLOOKUP($A700,Output_Mac!$A:$A,Output_Mac!F:F,""),
_xlpm.MyAuditVal,_xlfn.XLOOKUP($A700,My_Audit!$A:$A,My_Audit!E:E,""),
_xlfn.IFS(_xlpm.MyAuditVal&lt;&gt;"",_xlpm.MyAuditVal,_xlpm.MacVal&lt;&gt;"",_xlpm.MacVal,_xlpm.CSVVal&lt;&gt;"",PROPER(_xlpm.CSVVal)
)),"")</f>
        <v/>
      </c>
      <c r="G700" s="54" t="str" cm="1">
        <f t="array" ref="G700">IFERROR(_xlfn.LET(
_xlpm.CSVVal,_xlfn.XLOOKUP($A700,CSV!$A:$A,CSV!F:F,""),
_xlpm.MacVal,_xlfn.XLOOKUP($A700,Output_Mac!$A:$A,Output_Mac!H:H,""),
_xlpm.MyAuditVal,_xlfn.XLOOKUP($A700,My_Audit!$A:$A,My_Audit!F:F,""),
_xlfn.IFS(_xlpm.MyAuditVal&lt;&gt;"",_xlpm.MyAuditVal,_xlpm.MacVal&lt;&gt;"",_xlpm.MacVal,_xlpm.CSVVal&lt;&gt;"",_xlpm.CSVVal
)),"")</f>
        <v/>
      </c>
      <c r="H700" s="54" t="str">
        <f>_xlfn.XLOOKUP(A700,Output_Mac!A:A,Output_Mac!I:I,"")</f>
        <v/>
      </c>
      <c r="I700" s="54" t="str" cm="1">
        <f t="array" ref="I700">IFERROR(_xlfn.LET(
_xlpm.CSVVal,_xlfn.XLOOKUP($A700,CSV!$A:$A,CSV!G:G,""),
_xlpm.MacVal,_xlfn.XLOOKUP($A700,Output_Mac!$A:$A,Output_Mac!J:J,""),
_xlpm.MyAuditVal,_xlfn.XLOOKUP($A700,My_Audit!$A:$A,My_Audit!H:H,""),
_xlfn.IFS(_xlpm.MyAuditVal&lt;&gt;"",UPPER(_xlpm.MyAuditVal),_xlpm.MacVal&lt;&gt;"",_xlpm.MacVal,_xlpm.CSVVal&lt;&gt;"",_xlpm.CSVVal
)),"")</f>
        <v/>
      </c>
      <c r="J700" s="54" t="str" cm="1">
        <f t="array" ref="J700">IFERROR(_xlfn.LET(
_xlpm.CSVVal,_xlfn.XLOOKUP($A700,CSV!$A:$A,CSV!I:I,""),
_xlpm.MacVal,_xlfn.XLOOKUP($A700,Output_Mac!$A:$A,Output_Mac!K:K,""),
_xlpm.MyAuditVal,_xlfn.XLOOKUP($A700,My_Audit!$A:$A,My_Audit!I:I,""),
_xlfn.IFS(_xlpm.MyAuditVal&lt;&gt;"",UPPER(_xlpm.MyAuditVal),_xlpm.MacVal&lt;&gt;"",_xlpm.MacVal,_xlpm.CSVVal&lt;&gt;"",_xlpm.CSVVal
)),"")</f>
        <v/>
      </c>
      <c r="K700" s="54" t="str" cm="1">
        <f t="array" ref="K700">IFERROR(_xlfn.LET(
_xlpm.CSVVal,_xlfn.XLOOKUP($A700,CSV!$A:$A,CSV!M:M,""),
_xlpm.MacVal,_xlfn.XLOOKUP($A700,Output_Mac!$A:$A,Output_Mac!L:L,""),
_xlpm.MyAuditVal,_xlfn.XLOOKUP($A700,My_Audit!$A:$A,My_Audit!J:J,""),
_xlfn.IFS(_xlpm.MyAuditVal&lt;&gt;"",UPPER(_xlpm.MyAuditVal),_xlpm.MacVal&lt;&gt;"",_xlpm.MacVal,_xlpm.CSVVal&lt;&gt;"",_xlpm.CSVVal
)),"")</f>
        <v/>
      </c>
      <c r="L700" s="54" t="str" cm="1">
        <f t="array" ref="L700">IFERROR(_xlfn.LET(
_xlpm.CSVVal,_xlfn.XLOOKUP($A700,CSV!$A:$A,CSV!O:O,""),
_xlpm.MacVal,_xlfn.XLOOKUP($A700,Output_Mac!$A:$A,Output_Mac!M:M,""),
_xlpm.MyAuditVal,_xlfn.XLOOKUP($A700,My_Audit!$A:$A,My_Audit!K:K,""),
_xlfn.IFS(_xlpm.MyAuditVal&lt;&gt;"",UPPER(_xlpm.MyAuditVal),_xlpm.MacVal&lt;&gt;"",_xlpm.MacVal,_xlpm.CSVVal&lt;&gt;"",_xlpm.CSVVal
)),"")</f>
        <v/>
      </c>
      <c r="M700" s="54" t="str">
        <f>_xlfn.LET(
    _xlpm.CSVVal, _xlfn.XLOOKUP($A700, CSV!$A:$A, CSV!AD:AD, ""),
    _xlpm.MacVal, _xlfn.XLOOKUP($A700, Output_Mac!$A:$A, Output_Mac!S:S, ""),
    _xlpm.MyAuditVal, _xlfn.XLOOKUP($A700, My_Audit!$A:$A, My_Audit!N:N, ""),
    _xlfn.TEXTJOIN(", ", TRUE, _xlpm.MyAuditVal, _xlpm.MacVal, _xlpm.CSVVal)
)</f>
        <v/>
      </c>
      <c r="N700" s="54" t="str" cm="1">
        <f t="array" ref="N700">IFERROR(_xlfn.LET(
_xlpm.CSVVal,_xlfn.XLOOKUP($A700,CSV!$A:$A,CSV!AF:AF,""),
_xlpm.MacVal,_xlfn.XLOOKUP($A700,Output_Mac!$A:$A,Output_Mac!U:U,""),
_xlpm.MyAuditVal,_xlfn.XLOOKUP($A700,My_Audit!$A:$A,My_Audit!O:O,""),
_xlfn.IFS(_xlpm.MyAuditVal&lt;&gt;"",UPPER(_xlpm.MyAuditVal),_xlpm.MacVal&lt;&gt;"",_xlpm.MacVal,_xlpm.CSVVal&lt;&gt;"",_xlpm.CSVVal
)),"")</f>
        <v/>
      </c>
      <c r="O700" s="54"/>
      <c r="P700" s="54"/>
      <c r="Q700" s="54"/>
      <c r="R700" s="54"/>
      <c r="S700" s="54"/>
      <c r="T700" s="54"/>
      <c r="U700" s="39"/>
    </row>
    <row r="701" spans="1:21">
      <c r="A701" s="54" t="str">
        <f>_xlfn.TEXTJOIN("",TRUE,Input!$B$2,ROW(My_Audit!A700))</f>
        <v>XX700</v>
      </c>
      <c r="B701" s="54" t="str">
        <f>_xlfn.TEXTJOIN("-",TRUE,"ITD",Input!$A$2,A701)</f>
        <v>ITD-SHRXXX-XX700</v>
      </c>
      <c r="C701" s="54" t="str" cm="1">
        <f t="array" ref="C701">IFERROR(_xlfn.LET(
_xlpm.CSVVal,_xlfn.XLOOKUP($A701,CSV!$A:$A,CSV!B:B,""),
_xlpm.MacVal,_xlfn.XLOOKUP($A701,Output_Mac!$A:$A,Output_Mac!B:B,""),
_xlpm.MyAuditVal,_xlfn.XLOOKUP($A701,My_Audit!$A:$A,My_Audit!B:B,""),
_xlfn.IFS(_xlpm.MyAuditVal&lt;&gt;"",UPPER(_xlpm.MyAuditVal),_xlpm.MacVal&lt;&gt;"",_xlpm.MacVal,_xlpm.CSVVal&lt;&gt;"",_xlpm.CSVVal
)),"")</f>
        <v/>
      </c>
      <c r="D701" s="55" t="str">
        <f>_xlfn.XLOOKUP(A701,My_Audit!A:A,My_Audit!D:D,"")&amp;""</f>
        <v/>
      </c>
      <c r="E701" s="55" t="str" cm="1">
        <f t="array" ref="E701">IFERROR(_xlfn.LET(
_xlpm.CSVVal,_xlfn.XLOOKUP($A701,CSV!$A:$A,CSV!D:D,""),
_xlpm.MacVal,_xlfn.XLOOKUP($A701,Output_Mac!$A:$A,Output_Mac!C:C,""),
_xlpm.MyAuditVal,_xlfn.XLOOKUP($A701,My_Audit!$A:$A,My_Audit!D:D,""),
_xlfn.IFS(_xlpm.MyAuditVal&lt;&gt;"",_xlpm.MyAuditVal,_xlpm.MacVal&lt;&gt;"",_xlpm.MacVal,_xlpm.CSVVal&lt;&gt;"",_xlpm.CSVVal
)),"")</f>
        <v/>
      </c>
      <c r="F701" s="54" t="str" cm="1">
        <f t="array" ref="F701">IFERROR(_xlfn.LET(
_xlpm.CSVVal,_xlfn.XLOOKUP($A701,CSV!$A:$A,CSV!E:E,""),
_xlpm.MacVal,_xlfn.XLOOKUP($A701,Output_Mac!$A:$A,Output_Mac!F:F,""),
_xlpm.MyAuditVal,_xlfn.XLOOKUP($A701,My_Audit!$A:$A,My_Audit!E:E,""),
_xlfn.IFS(_xlpm.MyAuditVal&lt;&gt;"",_xlpm.MyAuditVal,_xlpm.MacVal&lt;&gt;"",_xlpm.MacVal,_xlpm.CSVVal&lt;&gt;"",PROPER(_xlpm.CSVVal)
)),"")</f>
        <v/>
      </c>
      <c r="G701" s="54" t="str" cm="1">
        <f t="array" ref="G701">IFERROR(_xlfn.LET(
_xlpm.CSVVal,_xlfn.XLOOKUP($A701,CSV!$A:$A,CSV!F:F,""),
_xlpm.MacVal,_xlfn.XLOOKUP($A701,Output_Mac!$A:$A,Output_Mac!H:H,""),
_xlpm.MyAuditVal,_xlfn.XLOOKUP($A701,My_Audit!$A:$A,My_Audit!F:F,""),
_xlfn.IFS(_xlpm.MyAuditVal&lt;&gt;"",_xlpm.MyAuditVal,_xlpm.MacVal&lt;&gt;"",_xlpm.MacVal,_xlpm.CSVVal&lt;&gt;"",_xlpm.CSVVal
)),"")</f>
        <v/>
      </c>
      <c r="H701" s="54" t="str">
        <f>_xlfn.XLOOKUP(A701,Output_Mac!A:A,Output_Mac!I:I,"")</f>
        <v/>
      </c>
      <c r="I701" s="54" t="str" cm="1">
        <f t="array" ref="I701">IFERROR(_xlfn.LET(
_xlpm.CSVVal,_xlfn.XLOOKUP($A701,CSV!$A:$A,CSV!G:G,""),
_xlpm.MacVal,_xlfn.XLOOKUP($A701,Output_Mac!$A:$A,Output_Mac!J:J,""),
_xlpm.MyAuditVal,_xlfn.XLOOKUP($A701,My_Audit!$A:$A,My_Audit!H:H,""),
_xlfn.IFS(_xlpm.MyAuditVal&lt;&gt;"",UPPER(_xlpm.MyAuditVal),_xlpm.MacVal&lt;&gt;"",_xlpm.MacVal,_xlpm.CSVVal&lt;&gt;"",_xlpm.CSVVal
)),"")</f>
        <v/>
      </c>
      <c r="J701" s="54" t="str" cm="1">
        <f t="array" ref="J701">IFERROR(_xlfn.LET(
_xlpm.CSVVal,_xlfn.XLOOKUP($A701,CSV!$A:$A,CSV!I:I,""),
_xlpm.MacVal,_xlfn.XLOOKUP($A701,Output_Mac!$A:$A,Output_Mac!K:K,""),
_xlpm.MyAuditVal,_xlfn.XLOOKUP($A701,My_Audit!$A:$A,My_Audit!I:I,""),
_xlfn.IFS(_xlpm.MyAuditVal&lt;&gt;"",UPPER(_xlpm.MyAuditVal),_xlpm.MacVal&lt;&gt;"",_xlpm.MacVal,_xlpm.CSVVal&lt;&gt;"",_xlpm.CSVVal
)),"")</f>
        <v/>
      </c>
      <c r="K701" s="54" t="str" cm="1">
        <f t="array" ref="K701">IFERROR(_xlfn.LET(
_xlpm.CSVVal,_xlfn.XLOOKUP($A701,CSV!$A:$A,CSV!M:M,""),
_xlpm.MacVal,_xlfn.XLOOKUP($A701,Output_Mac!$A:$A,Output_Mac!L:L,""),
_xlpm.MyAuditVal,_xlfn.XLOOKUP($A701,My_Audit!$A:$A,My_Audit!J:J,""),
_xlfn.IFS(_xlpm.MyAuditVal&lt;&gt;"",UPPER(_xlpm.MyAuditVal),_xlpm.MacVal&lt;&gt;"",_xlpm.MacVal,_xlpm.CSVVal&lt;&gt;"",_xlpm.CSVVal
)),"")</f>
        <v/>
      </c>
      <c r="L701" s="54" t="str" cm="1">
        <f t="array" ref="L701">IFERROR(_xlfn.LET(
_xlpm.CSVVal,_xlfn.XLOOKUP($A701,CSV!$A:$A,CSV!O:O,""),
_xlpm.MacVal,_xlfn.XLOOKUP($A701,Output_Mac!$A:$A,Output_Mac!M:M,""),
_xlpm.MyAuditVal,_xlfn.XLOOKUP($A701,My_Audit!$A:$A,My_Audit!K:K,""),
_xlfn.IFS(_xlpm.MyAuditVal&lt;&gt;"",UPPER(_xlpm.MyAuditVal),_xlpm.MacVal&lt;&gt;"",_xlpm.MacVal,_xlpm.CSVVal&lt;&gt;"",_xlpm.CSVVal
)),"")</f>
        <v/>
      </c>
      <c r="M701" s="54" t="str">
        <f>_xlfn.LET(
    _xlpm.CSVVal, _xlfn.XLOOKUP($A701, CSV!$A:$A, CSV!AD:AD, ""),
    _xlpm.MacVal, _xlfn.XLOOKUP($A701, Output_Mac!$A:$A, Output_Mac!S:S, ""),
    _xlpm.MyAuditVal, _xlfn.XLOOKUP($A701, My_Audit!$A:$A, My_Audit!N:N, ""),
    _xlfn.TEXTJOIN(", ", TRUE, _xlpm.MyAuditVal, _xlpm.MacVal, _xlpm.CSVVal)
)</f>
        <v/>
      </c>
      <c r="N701" s="54" t="str" cm="1">
        <f t="array" ref="N701">IFERROR(_xlfn.LET(
_xlpm.CSVVal,_xlfn.XLOOKUP($A701,CSV!$A:$A,CSV!AF:AF,""),
_xlpm.MacVal,_xlfn.XLOOKUP($A701,Output_Mac!$A:$A,Output_Mac!U:U,""),
_xlpm.MyAuditVal,_xlfn.XLOOKUP($A701,My_Audit!$A:$A,My_Audit!O:O,""),
_xlfn.IFS(_xlpm.MyAuditVal&lt;&gt;"",UPPER(_xlpm.MyAuditVal),_xlpm.MacVal&lt;&gt;"",_xlpm.MacVal,_xlpm.CSVVal&lt;&gt;"",_xlpm.CSVVal
)),"")</f>
        <v/>
      </c>
      <c r="O701" s="54"/>
      <c r="P701" s="54"/>
      <c r="Q701" s="54"/>
      <c r="R701" s="54"/>
      <c r="S701" s="54"/>
      <c r="T701" s="54"/>
      <c r="U701" s="39"/>
    </row>
    <row r="702" spans="1:21">
      <c r="A702" s="54" t="str">
        <f>_xlfn.TEXTJOIN("",TRUE,Input!$B$2,ROW(My_Audit!A701))</f>
        <v>XX701</v>
      </c>
      <c r="B702" s="54" t="str">
        <f>_xlfn.TEXTJOIN("-",TRUE,"ITD",Input!$A$2,A702)</f>
        <v>ITD-SHRXXX-XX701</v>
      </c>
      <c r="C702" s="54" t="str" cm="1">
        <f t="array" ref="C702">IFERROR(_xlfn.LET(
_xlpm.CSVVal,_xlfn.XLOOKUP($A702,CSV!$A:$A,CSV!B:B,""),
_xlpm.MacVal,_xlfn.XLOOKUP($A702,Output_Mac!$A:$A,Output_Mac!B:B,""),
_xlpm.MyAuditVal,_xlfn.XLOOKUP($A702,My_Audit!$A:$A,My_Audit!B:B,""),
_xlfn.IFS(_xlpm.MyAuditVal&lt;&gt;"",UPPER(_xlpm.MyAuditVal),_xlpm.MacVal&lt;&gt;"",_xlpm.MacVal,_xlpm.CSVVal&lt;&gt;"",_xlpm.CSVVal
)),"")</f>
        <v/>
      </c>
      <c r="D702" s="55" t="str">
        <f>_xlfn.XLOOKUP(A702,My_Audit!A:A,My_Audit!D:D,"")&amp;""</f>
        <v/>
      </c>
      <c r="E702" s="55" t="str" cm="1">
        <f t="array" ref="E702">IFERROR(_xlfn.LET(
_xlpm.CSVVal,_xlfn.XLOOKUP($A702,CSV!$A:$A,CSV!D:D,""),
_xlpm.MacVal,_xlfn.XLOOKUP($A702,Output_Mac!$A:$A,Output_Mac!C:C,""),
_xlpm.MyAuditVal,_xlfn.XLOOKUP($A702,My_Audit!$A:$A,My_Audit!D:D,""),
_xlfn.IFS(_xlpm.MyAuditVal&lt;&gt;"",_xlpm.MyAuditVal,_xlpm.MacVal&lt;&gt;"",_xlpm.MacVal,_xlpm.CSVVal&lt;&gt;"",_xlpm.CSVVal
)),"")</f>
        <v/>
      </c>
      <c r="F702" s="54" t="str" cm="1">
        <f t="array" ref="F702">IFERROR(_xlfn.LET(
_xlpm.CSVVal,_xlfn.XLOOKUP($A702,CSV!$A:$A,CSV!E:E,""),
_xlpm.MacVal,_xlfn.XLOOKUP($A702,Output_Mac!$A:$A,Output_Mac!F:F,""),
_xlpm.MyAuditVal,_xlfn.XLOOKUP($A702,My_Audit!$A:$A,My_Audit!E:E,""),
_xlfn.IFS(_xlpm.MyAuditVal&lt;&gt;"",_xlpm.MyAuditVal,_xlpm.MacVal&lt;&gt;"",_xlpm.MacVal,_xlpm.CSVVal&lt;&gt;"",PROPER(_xlpm.CSVVal)
)),"")</f>
        <v/>
      </c>
      <c r="G702" s="54" t="str" cm="1">
        <f t="array" ref="G702">IFERROR(_xlfn.LET(
_xlpm.CSVVal,_xlfn.XLOOKUP($A702,CSV!$A:$A,CSV!F:F,""),
_xlpm.MacVal,_xlfn.XLOOKUP($A702,Output_Mac!$A:$A,Output_Mac!H:H,""),
_xlpm.MyAuditVal,_xlfn.XLOOKUP($A702,My_Audit!$A:$A,My_Audit!F:F,""),
_xlfn.IFS(_xlpm.MyAuditVal&lt;&gt;"",_xlpm.MyAuditVal,_xlpm.MacVal&lt;&gt;"",_xlpm.MacVal,_xlpm.CSVVal&lt;&gt;"",_xlpm.CSVVal
)),"")</f>
        <v/>
      </c>
      <c r="H702" s="54" t="str">
        <f>_xlfn.XLOOKUP(A702,Output_Mac!A:A,Output_Mac!I:I,"")</f>
        <v/>
      </c>
      <c r="I702" s="54" t="str" cm="1">
        <f t="array" ref="I702">IFERROR(_xlfn.LET(
_xlpm.CSVVal,_xlfn.XLOOKUP($A702,CSV!$A:$A,CSV!G:G,""),
_xlpm.MacVal,_xlfn.XLOOKUP($A702,Output_Mac!$A:$A,Output_Mac!J:J,""),
_xlpm.MyAuditVal,_xlfn.XLOOKUP($A702,My_Audit!$A:$A,My_Audit!H:H,""),
_xlfn.IFS(_xlpm.MyAuditVal&lt;&gt;"",UPPER(_xlpm.MyAuditVal),_xlpm.MacVal&lt;&gt;"",_xlpm.MacVal,_xlpm.CSVVal&lt;&gt;"",_xlpm.CSVVal
)),"")</f>
        <v/>
      </c>
      <c r="J702" s="54" t="str" cm="1">
        <f t="array" ref="J702">IFERROR(_xlfn.LET(
_xlpm.CSVVal,_xlfn.XLOOKUP($A702,CSV!$A:$A,CSV!I:I,""),
_xlpm.MacVal,_xlfn.XLOOKUP($A702,Output_Mac!$A:$A,Output_Mac!K:K,""),
_xlpm.MyAuditVal,_xlfn.XLOOKUP($A702,My_Audit!$A:$A,My_Audit!I:I,""),
_xlfn.IFS(_xlpm.MyAuditVal&lt;&gt;"",UPPER(_xlpm.MyAuditVal),_xlpm.MacVal&lt;&gt;"",_xlpm.MacVal,_xlpm.CSVVal&lt;&gt;"",_xlpm.CSVVal
)),"")</f>
        <v/>
      </c>
      <c r="K702" s="54" t="str" cm="1">
        <f t="array" ref="K702">IFERROR(_xlfn.LET(
_xlpm.CSVVal,_xlfn.XLOOKUP($A702,CSV!$A:$A,CSV!M:M,""),
_xlpm.MacVal,_xlfn.XLOOKUP($A702,Output_Mac!$A:$A,Output_Mac!L:L,""),
_xlpm.MyAuditVal,_xlfn.XLOOKUP($A702,My_Audit!$A:$A,My_Audit!J:J,""),
_xlfn.IFS(_xlpm.MyAuditVal&lt;&gt;"",UPPER(_xlpm.MyAuditVal),_xlpm.MacVal&lt;&gt;"",_xlpm.MacVal,_xlpm.CSVVal&lt;&gt;"",_xlpm.CSVVal
)),"")</f>
        <v/>
      </c>
      <c r="L702" s="54" t="str" cm="1">
        <f t="array" ref="L702">IFERROR(_xlfn.LET(
_xlpm.CSVVal,_xlfn.XLOOKUP($A702,CSV!$A:$A,CSV!O:O,""),
_xlpm.MacVal,_xlfn.XLOOKUP($A702,Output_Mac!$A:$A,Output_Mac!M:M,""),
_xlpm.MyAuditVal,_xlfn.XLOOKUP($A702,My_Audit!$A:$A,My_Audit!K:K,""),
_xlfn.IFS(_xlpm.MyAuditVal&lt;&gt;"",UPPER(_xlpm.MyAuditVal),_xlpm.MacVal&lt;&gt;"",_xlpm.MacVal,_xlpm.CSVVal&lt;&gt;"",_xlpm.CSVVal
)),"")</f>
        <v/>
      </c>
      <c r="M702" s="54" t="str">
        <f>_xlfn.LET(
    _xlpm.CSVVal, _xlfn.XLOOKUP($A702, CSV!$A:$A, CSV!AD:AD, ""),
    _xlpm.MacVal, _xlfn.XLOOKUP($A702, Output_Mac!$A:$A, Output_Mac!S:S, ""),
    _xlpm.MyAuditVal, _xlfn.XLOOKUP($A702, My_Audit!$A:$A, My_Audit!N:N, ""),
    _xlfn.TEXTJOIN(", ", TRUE, _xlpm.MyAuditVal, _xlpm.MacVal, _xlpm.CSVVal)
)</f>
        <v/>
      </c>
      <c r="N702" s="54" t="str" cm="1">
        <f t="array" ref="N702">IFERROR(_xlfn.LET(
_xlpm.CSVVal,_xlfn.XLOOKUP($A702,CSV!$A:$A,CSV!AF:AF,""),
_xlpm.MacVal,_xlfn.XLOOKUP($A702,Output_Mac!$A:$A,Output_Mac!U:U,""),
_xlpm.MyAuditVal,_xlfn.XLOOKUP($A702,My_Audit!$A:$A,My_Audit!O:O,""),
_xlfn.IFS(_xlpm.MyAuditVal&lt;&gt;"",UPPER(_xlpm.MyAuditVal),_xlpm.MacVal&lt;&gt;"",_xlpm.MacVal,_xlpm.CSVVal&lt;&gt;"",_xlpm.CSVVal
)),"")</f>
        <v/>
      </c>
      <c r="O702" s="54"/>
      <c r="P702" s="54"/>
      <c r="Q702" s="54"/>
      <c r="R702" s="54"/>
      <c r="S702" s="54"/>
      <c r="T702" s="54"/>
      <c r="U702" s="39"/>
    </row>
    <row r="703" spans="1:21">
      <c r="A703" s="54" t="str">
        <f>_xlfn.TEXTJOIN("",TRUE,Input!$B$2,ROW(My_Audit!A702))</f>
        <v>XX702</v>
      </c>
      <c r="B703" s="54" t="str">
        <f>_xlfn.TEXTJOIN("-",TRUE,"ITD",Input!$A$2,A703)</f>
        <v>ITD-SHRXXX-XX702</v>
      </c>
      <c r="C703" s="54" t="str" cm="1">
        <f t="array" ref="C703">IFERROR(_xlfn.LET(
_xlpm.CSVVal,_xlfn.XLOOKUP($A703,CSV!$A:$A,CSV!B:B,""),
_xlpm.MacVal,_xlfn.XLOOKUP($A703,Output_Mac!$A:$A,Output_Mac!B:B,""),
_xlpm.MyAuditVal,_xlfn.XLOOKUP($A703,My_Audit!$A:$A,My_Audit!B:B,""),
_xlfn.IFS(_xlpm.MyAuditVal&lt;&gt;"",UPPER(_xlpm.MyAuditVal),_xlpm.MacVal&lt;&gt;"",_xlpm.MacVal,_xlpm.CSVVal&lt;&gt;"",_xlpm.CSVVal
)),"")</f>
        <v/>
      </c>
      <c r="D703" s="55" t="str">
        <f>_xlfn.XLOOKUP(A703,My_Audit!A:A,My_Audit!D:D,"")&amp;""</f>
        <v/>
      </c>
      <c r="E703" s="55" t="str" cm="1">
        <f t="array" ref="E703">IFERROR(_xlfn.LET(
_xlpm.CSVVal,_xlfn.XLOOKUP($A703,CSV!$A:$A,CSV!D:D,""),
_xlpm.MacVal,_xlfn.XLOOKUP($A703,Output_Mac!$A:$A,Output_Mac!C:C,""),
_xlpm.MyAuditVal,_xlfn.XLOOKUP($A703,My_Audit!$A:$A,My_Audit!D:D,""),
_xlfn.IFS(_xlpm.MyAuditVal&lt;&gt;"",_xlpm.MyAuditVal,_xlpm.MacVal&lt;&gt;"",_xlpm.MacVal,_xlpm.CSVVal&lt;&gt;"",_xlpm.CSVVal
)),"")</f>
        <v/>
      </c>
      <c r="F703" s="54" t="str" cm="1">
        <f t="array" ref="F703">IFERROR(_xlfn.LET(
_xlpm.CSVVal,_xlfn.XLOOKUP($A703,CSV!$A:$A,CSV!E:E,""),
_xlpm.MacVal,_xlfn.XLOOKUP($A703,Output_Mac!$A:$A,Output_Mac!F:F,""),
_xlpm.MyAuditVal,_xlfn.XLOOKUP($A703,My_Audit!$A:$A,My_Audit!E:E,""),
_xlfn.IFS(_xlpm.MyAuditVal&lt;&gt;"",_xlpm.MyAuditVal,_xlpm.MacVal&lt;&gt;"",_xlpm.MacVal,_xlpm.CSVVal&lt;&gt;"",PROPER(_xlpm.CSVVal)
)),"")</f>
        <v/>
      </c>
      <c r="G703" s="54" t="str" cm="1">
        <f t="array" ref="G703">IFERROR(_xlfn.LET(
_xlpm.CSVVal,_xlfn.XLOOKUP($A703,CSV!$A:$A,CSV!F:F,""),
_xlpm.MacVal,_xlfn.XLOOKUP($A703,Output_Mac!$A:$A,Output_Mac!H:H,""),
_xlpm.MyAuditVal,_xlfn.XLOOKUP($A703,My_Audit!$A:$A,My_Audit!F:F,""),
_xlfn.IFS(_xlpm.MyAuditVal&lt;&gt;"",_xlpm.MyAuditVal,_xlpm.MacVal&lt;&gt;"",_xlpm.MacVal,_xlpm.CSVVal&lt;&gt;"",_xlpm.CSVVal
)),"")</f>
        <v/>
      </c>
      <c r="H703" s="54" t="str">
        <f>_xlfn.XLOOKUP(A703,Output_Mac!A:A,Output_Mac!I:I,"")</f>
        <v/>
      </c>
      <c r="I703" s="54" t="str" cm="1">
        <f t="array" ref="I703">IFERROR(_xlfn.LET(
_xlpm.CSVVal,_xlfn.XLOOKUP($A703,CSV!$A:$A,CSV!G:G,""),
_xlpm.MacVal,_xlfn.XLOOKUP($A703,Output_Mac!$A:$A,Output_Mac!J:J,""),
_xlpm.MyAuditVal,_xlfn.XLOOKUP($A703,My_Audit!$A:$A,My_Audit!H:H,""),
_xlfn.IFS(_xlpm.MyAuditVal&lt;&gt;"",UPPER(_xlpm.MyAuditVal),_xlpm.MacVal&lt;&gt;"",_xlpm.MacVal,_xlpm.CSVVal&lt;&gt;"",_xlpm.CSVVal
)),"")</f>
        <v/>
      </c>
      <c r="J703" s="54" t="str" cm="1">
        <f t="array" ref="J703">IFERROR(_xlfn.LET(
_xlpm.CSVVal,_xlfn.XLOOKUP($A703,CSV!$A:$A,CSV!I:I,""),
_xlpm.MacVal,_xlfn.XLOOKUP($A703,Output_Mac!$A:$A,Output_Mac!K:K,""),
_xlpm.MyAuditVal,_xlfn.XLOOKUP($A703,My_Audit!$A:$A,My_Audit!I:I,""),
_xlfn.IFS(_xlpm.MyAuditVal&lt;&gt;"",UPPER(_xlpm.MyAuditVal),_xlpm.MacVal&lt;&gt;"",_xlpm.MacVal,_xlpm.CSVVal&lt;&gt;"",_xlpm.CSVVal
)),"")</f>
        <v/>
      </c>
      <c r="K703" s="54" t="str" cm="1">
        <f t="array" ref="K703">IFERROR(_xlfn.LET(
_xlpm.CSVVal,_xlfn.XLOOKUP($A703,CSV!$A:$A,CSV!M:M,""),
_xlpm.MacVal,_xlfn.XLOOKUP($A703,Output_Mac!$A:$A,Output_Mac!L:L,""),
_xlpm.MyAuditVal,_xlfn.XLOOKUP($A703,My_Audit!$A:$A,My_Audit!J:J,""),
_xlfn.IFS(_xlpm.MyAuditVal&lt;&gt;"",UPPER(_xlpm.MyAuditVal),_xlpm.MacVal&lt;&gt;"",_xlpm.MacVal,_xlpm.CSVVal&lt;&gt;"",_xlpm.CSVVal
)),"")</f>
        <v/>
      </c>
      <c r="L703" s="54" t="str" cm="1">
        <f t="array" ref="L703">IFERROR(_xlfn.LET(
_xlpm.CSVVal,_xlfn.XLOOKUP($A703,CSV!$A:$A,CSV!O:O,""),
_xlpm.MacVal,_xlfn.XLOOKUP($A703,Output_Mac!$A:$A,Output_Mac!M:M,""),
_xlpm.MyAuditVal,_xlfn.XLOOKUP($A703,My_Audit!$A:$A,My_Audit!K:K,""),
_xlfn.IFS(_xlpm.MyAuditVal&lt;&gt;"",UPPER(_xlpm.MyAuditVal),_xlpm.MacVal&lt;&gt;"",_xlpm.MacVal,_xlpm.CSVVal&lt;&gt;"",_xlpm.CSVVal
)),"")</f>
        <v/>
      </c>
      <c r="M703" s="54" t="str">
        <f>_xlfn.LET(
    _xlpm.CSVVal, _xlfn.XLOOKUP($A703, CSV!$A:$A, CSV!AD:AD, ""),
    _xlpm.MacVal, _xlfn.XLOOKUP($A703, Output_Mac!$A:$A, Output_Mac!S:S, ""),
    _xlpm.MyAuditVal, _xlfn.XLOOKUP($A703, My_Audit!$A:$A, My_Audit!N:N, ""),
    _xlfn.TEXTJOIN(", ", TRUE, _xlpm.MyAuditVal, _xlpm.MacVal, _xlpm.CSVVal)
)</f>
        <v/>
      </c>
      <c r="N703" s="54" t="str" cm="1">
        <f t="array" ref="N703">IFERROR(_xlfn.LET(
_xlpm.CSVVal,_xlfn.XLOOKUP($A703,CSV!$A:$A,CSV!AF:AF,""),
_xlpm.MacVal,_xlfn.XLOOKUP($A703,Output_Mac!$A:$A,Output_Mac!U:U,""),
_xlpm.MyAuditVal,_xlfn.XLOOKUP($A703,My_Audit!$A:$A,My_Audit!O:O,""),
_xlfn.IFS(_xlpm.MyAuditVal&lt;&gt;"",UPPER(_xlpm.MyAuditVal),_xlpm.MacVal&lt;&gt;"",_xlpm.MacVal,_xlpm.CSVVal&lt;&gt;"",_xlpm.CSVVal
)),"")</f>
        <v/>
      </c>
      <c r="O703" s="54"/>
      <c r="P703" s="54"/>
      <c r="Q703" s="54"/>
      <c r="R703" s="54"/>
      <c r="S703" s="54"/>
      <c r="T703" s="54"/>
      <c r="U703" s="39"/>
    </row>
    <row r="704" spans="1:21">
      <c r="A704" s="54" t="str">
        <f>_xlfn.TEXTJOIN("",TRUE,Input!$B$2,ROW(My_Audit!A703))</f>
        <v>XX703</v>
      </c>
      <c r="B704" s="54" t="str">
        <f>_xlfn.TEXTJOIN("-",TRUE,"ITD",Input!$A$2,A704)</f>
        <v>ITD-SHRXXX-XX703</v>
      </c>
      <c r="C704" s="54" t="str" cm="1">
        <f t="array" ref="C704">IFERROR(_xlfn.LET(
_xlpm.CSVVal,_xlfn.XLOOKUP($A704,CSV!$A:$A,CSV!B:B,""),
_xlpm.MacVal,_xlfn.XLOOKUP($A704,Output_Mac!$A:$A,Output_Mac!B:B,""),
_xlpm.MyAuditVal,_xlfn.XLOOKUP($A704,My_Audit!$A:$A,My_Audit!B:B,""),
_xlfn.IFS(_xlpm.MyAuditVal&lt;&gt;"",UPPER(_xlpm.MyAuditVal),_xlpm.MacVal&lt;&gt;"",_xlpm.MacVal,_xlpm.CSVVal&lt;&gt;"",_xlpm.CSVVal
)),"")</f>
        <v/>
      </c>
      <c r="D704" s="55" t="str">
        <f>_xlfn.XLOOKUP(A704,My_Audit!A:A,My_Audit!D:D,"")&amp;""</f>
        <v/>
      </c>
      <c r="E704" s="55" t="str" cm="1">
        <f t="array" ref="E704">IFERROR(_xlfn.LET(
_xlpm.CSVVal,_xlfn.XLOOKUP($A704,CSV!$A:$A,CSV!D:D,""),
_xlpm.MacVal,_xlfn.XLOOKUP($A704,Output_Mac!$A:$A,Output_Mac!C:C,""),
_xlpm.MyAuditVal,_xlfn.XLOOKUP($A704,My_Audit!$A:$A,My_Audit!D:D,""),
_xlfn.IFS(_xlpm.MyAuditVal&lt;&gt;"",_xlpm.MyAuditVal,_xlpm.MacVal&lt;&gt;"",_xlpm.MacVal,_xlpm.CSVVal&lt;&gt;"",_xlpm.CSVVal
)),"")</f>
        <v/>
      </c>
      <c r="F704" s="54" t="str" cm="1">
        <f t="array" ref="F704">IFERROR(_xlfn.LET(
_xlpm.CSVVal,_xlfn.XLOOKUP($A704,CSV!$A:$A,CSV!E:E,""),
_xlpm.MacVal,_xlfn.XLOOKUP($A704,Output_Mac!$A:$A,Output_Mac!F:F,""),
_xlpm.MyAuditVal,_xlfn.XLOOKUP($A704,My_Audit!$A:$A,My_Audit!E:E,""),
_xlfn.IFS(_xlpm.MyAuditVal&lt;&gt;"",_xlpm.MyAuditVal,_xlpm.MacVal&lt;&gt;"",_xlpm.MacVal,_xlpm.CSVVal&lt;&gt;"",PROPER(_xlpm.CSVVal)
)),"")</f>
        <v/>
      </c>
      <c r="G704" s="54" t="str" cm="1">
        <f t="array" ref="G704">IFERROR(_xlfn.LET(
_xlpm.CSVVal,_xlfn.XLOOKUP($A704,CSV!$A:$A,CSV!F:F,""),
_xlpm.MacVal,_xlfn.XLOOKUP($A704,Output_Mac!$A:$A,Output_Mac!H:H,""),
_xlpm.MyAuditVal,_xlfn.XLOOKUP($A704,My_Audit!$A:$A,My_Audit!F:F,""),
_xlfn.IFS(_xlpm.MyAuditVal&lt;&gt;"",_xlpm.MyAuditVal,_xlpm.MacVal&lt;&gt;"",_xlpm.MacVal,_xlpm.CSVVal&lt;&gt;"",_xlpm.CSVVal
)),"")</f>
        <v/>
      </c>
      <c r="H704" s="54" t="str">
        <f>_xlfn.XLOOKUP(A704,Output_Mac!A:A,Output_Mac!I:I,"")</f>
        <v/>
      </c>
      <c r="I704" s="54" t="str" cm="1">
        <f t="array" ref="I704">IFERROR(_xlfn.LET(
_xlpm.CSVVal,_xlfn.XLOOKUP($A704,CSV!$A:$A,CSV!G:G,""),
_xlpm.MacVal,_xlfn.XLOOKUP($A704,Output_Mac!$A:$A,Output_Mac!J:J,""),
_xlpm.MyAuditVal,_xlfn.XLOOKUP($A704,My_Audit!$A:$A,My_Audit!H:H,""),
_xlfn.IFS(_xlpm.MyAuditVal&lt;&gt;"",UPPER(_xlpm.MyAuditVal),_xlpm.MacVal&lt;&gt;"",_xlpm.MacVal,_xlpm.CSVVal&lt;&gt;"",_xlpm.CSVVal
)),"")</f>
        <v/>
      </c>
      <c r="J704" s="54" t="str" cm="1">
        <f t="array" ref="J704">IFERROR(_xlfn.LET(
_xlpm.CSVVal,_xlfn.XLOOKUP($A704,CSV!$A:$A,CSV!I:I,""),
_xlpm.MacVal,_xlfn.XLOOKUP($A704,Output_Mac!$A:$A,Output_Mac!K:K,""),
_xlpm.MyAuditVal,_xlfn.XLOOKUP($A704,My_Audit!$A:$A,My_Audit!I:I,""),
_xlfn.IFS(_xlpm.MyAuditVal&lt;&gt;"",UPPER(_xlpm.MyAuditVal),_xlpm.MacVal&lt;&gt;"",_xlpm.MacVal,_xlpm.CSVVal&lt;&gt;"",_xlpm.CSVVal
)),"")</f>
        <v/>
      </c>
      <c r="K704" s="54" t="str" cm="1">
        <f t="array" ref="K704">IFERROR(_xlfn.LET(
_xlpm.CSVVal,_xlfn.XLOOKUP($A704,CSV!$A:$A,CSV!M:M,""),
_xlpm.MacVal,_xlfn.XLOOKUP($A704,Output_Mac!$A:$A,Output_Mac!L:L,""),
_xlpm.MyAuditVal,_xlfn.XLOOKUP($A704,My_Audit!$A:$A,My_Audit!J:J,""),
_xlfn.IFS(_xlpm.MyAuditVal&lt;&gt;"",UPPER(_xlpm.MyAuditVal),_xlpm.MacVal&lt;&gt;"",_xlpm.MacVal,_xlpm.CSVVal&lt;&gt;"",_xlpm.CSVVal
)),"")</f>
        <v/>
      </c>
      <c r="L704" s="54" t="str" cm="1">
        <f t="array" ref="L704">IFERROR(_xlfn.LET(
_xlpm.CSVVal,_xlfn.XLOOKUP($A704,CSV!$A:$A,CSV!O:O,""),
_xlpm.MacVal,_xlfn.XLOOKUP($A704,Output_Mac!$A:$A,Output_Mac!M:M,""),
_xlpm.MyAuditVal,_xlfn.XLOOKUP($A704,My_Audit!$A:$A,My_Audit!K:K,""),
_xlfn.IFS(_xlpm.MyAuditVal&lt;&gt;"",UPPER(_xlpm.MyAuditVal),_xlpm.MacVal&lt;&gt;"",_xlpm.MacVal,_xlpm.CSVVal&lt;&gt;"",_xlpm.CSVVal
)),"")</f>
        <v/>
      </c>
      <c r="M704" s="54" t="str">
        <f>_xlfn.LET(
    _xlpm.CSVVal, _xlfn.XLOOKUP($A704, CSV!$A:$A, CSV!AD:AD, ""),
    _xlpm.MacVal, _xlfn.XLOOKUP($A704, Output_Mac!$A:$A, Output_Mac!S:S, ""),
    _xlpm.MyAuditVal, _xlfn.XLOOKUP($A704, My_Audit!$A:$A, My_Audit!N:N, ""),
    _xlfn.TEXTJOIN(", ", TRUE, _xlpm.MyAuditVal, _xlpm.MacVal, _xlpm.CSVVal)
)</f>
        <v/>
      </c>
      <c r="N704" s="54" t="str" cm="1">
        <f t="array" ref="N704">IFERROR(_xlfn.LET(
_xlpm.CSVVal,_xlfn.XLOOKUP($A704,CSV!$A:$A,CSV!AF:AF,""),
_xlpm.MacVal,_xlfn.XLOOKUP($A704,Output_Mac!$A:$A,Output_Mac!U:U,""),
_xlpm.MyAuditVal,_xlfn.XLOOKUP($A704,My_Audit!$A:$A,My_Audit!O:O,""),
_xlfn.IFS(_xlpm.MyAuditVal&lt;&gt;"",UPPER(_xlpm.MyAuditVal),_xlpm.MacVal&lt;&gt;"",_xlpm.MacVal,_xlpm.CSVVal&lt;&gt;"",_xlpm.CSVVal
)),"")</f>
        <v/>
      </c>
      <c r="O704" s="54"/>
      <c r="P704" s="54"/>
      <c r="Q704" s="54"/>
      <c r="R704" s="54"/>
      <c r="S704" s="54"/>
      <c r="T704" s="54"/>
      <c r="U704" s="39"/>
    </row>
    <row r="705" spans="1:21">
      <c r="A705" s="54" t="str">
        <f>_xlfn.TEXTJOIN("",TRUE,Input!$B$2,ROW(My_Audit!A704))</f>
        <v>XX704</v>
      </c>
      <c r="B705" s="54" t="str">
        <f>_xlfn.TEXTJOIN("-",TRUE,"ITD",Input!$A$2,A705)</f>
        <v>ITD-SHRXXX-XX704</v>
      </c>
      <c r="C705" s="54" t="str" cm="1">
        <f t="array" ref="C705">IFERROR(_xlfn.LET(
_xlpm.CSVVal,_xlfn.XLOOKUP($A705,CSV!$A:$A,CSV!B:B,""),
_xlpm.MacVal,_xlfn.XLOOKUP($A705,Output_Mac!$A:$A,Output_Mac!B:B,""),
_xlpm.MyAuditVal,_xlfn.XLOOKUP($A705,My_Audit!$A:$A,My_Audit!B:B,""),
_xlfn.IFS(_xlpm.MyAuditVal&lt;&gt;"",UPPER(_xlpm.MyAuditVal),_xlpm.MacVal&lt;&gt;"",_xlpm.MacVal,_xlpm.CSVVal&lt;&gt;"",_xlpm.CSVVal
)),"")</f>
        <v/>
      </c>
      <c r="D705" s="55" t="str">
        <f>_xlfn.XLOOKUP(A705,My_Audit!A:A,My_Audit!D:D,"")&amp;""</f>
        <v/>
      </c>
      <c r="E705" s="55" t="str" cm="1">
        <f t="array" ref="E705">IFERROR(_xlfn.LET(
_xlpm.CSVVal,_xlfn.XLOOKUP($A705,CSV!$A:$A,CSV!D:D,""),
_xlpm.MacVal,_xlfn.XLOOKUP($A705,Output_Mac!$A:$A,Output_Mac!C:C,""),
_xlpm.MyAuditVal,_xlfn.XLOOKUP($A705,My_Audit!$A:$A,My_Audit!D:D,""),
_xlfn.IFS(_xlpm.MyAuditVal&lt;&gt;"",_xlpm.MyAuditVal,_xlpm.MacVal&lt;&gt;"",_xlpm.MacVal,_xlpm.CSVVal&lt;&gt;"",_xlpm.CSVVal
)),"")</f>
        <v/>
      </c>
      <c r="F705" s="54" t="str" cm="1">
        <f t="array" ref="F705">IFERROR(_xlfn.LET(
_xlpm.CSVVal,_xlfn.XLOOKUP($A705,CSV!$A:$A,CSV!E:E,""),
_xlpm.MacVal,_xlfn.XLOOKUP($A705,Output_Mac!$A:$A,Output_Mac!F:F,""),
_xlpm.MyAuditVal,_xlfn.XLOOKUP($A705,My_Audit!$A:$A,My_Audit!E:E,""),
_xlfn.IFS(_xlpm.MyAuditVal&lt;&gt;"",_xlpm.MyAuditVal,_xlpm.MacVal&lt;&gt;"",_xlpm.MacVal,_xlpm.CSVVal&lt;&gt;"",PROPER(_xlpm.CSVVal)
)),"")</f>
        <v/>
      </c>
      <c r="G705" s="54" t="str" cm="1">
        <f t="array" ref="G705">IFERROR(_xlfn.LET(
_xlpm.CSVVal,_xlfn.XLOOKUP($A705,CSV!$A:$A,CSV!F:F,""),
_xlpm.MacVal,_xlfn.XLOOKUP($A705,Output_Mac!$A:$A,Output_Mac!H:H,""),
_xlpm.MyAuditVal,_xlfn.XLOOKUP($A705,My_Audit!$A:$A,My_Audit!F:F,""),
_xlfn.IFS(_xlpm.MyAuditVal&lt;&gt;"",_xlpm.MyAuditVal,_xlpm.MacVal&lt;&gt;"",_xlpm.MacVal,_xlpm.CSVVal&lt;&gt;"",_xlpm.CSVVal
)),"")</f>
        <v/>
      </c>
      <c r="H705" s="54" t="str">
        <f>_xlfn.XLOOKUP(A705,Output_Mac!A:A,Output_Mac!I:I,"")</f>
        <v/>
      </c>
      <c r="I705" s="54" t="str" cm="1">
        <f t="array" ref="I705">IFERROR(_xlfn.LET(
_xlpm.CSVVal,_xlfn.XLOOKUP($A705,CSV!$A:$A,CSV!G:G,""),
_xlpm.MacVal,_xlfn.XLOOKUP($A705,Output_Mac!$A:$A,Output_Mac!J:J,""),
_xlpm.MyAuditVal,_xlfn.XLOOKUP($A705,My_Audit!$A:$A,My_Audit!H:H,""),
_xlfn.IFS(_xlpm.MyAuditVal&lt;&gt;"",UPPER(_xlpm.MyAuditVal),_xlpm.MacVal&lt;&gt;"",_xlpm.MacVal,_xlpm.CSVVal&lt;&gt;"",_xlpm.CSVVal
)),"")</f>
        <v/>
      </c>
      <c r="J705" s="54" t="str" cm="1">
        <f t="array" ref="J705">IFERROR(_xlfn.LET(
_xlpm.CSVVal,_xlfn.XLOOKUP($A705,CSV!$A:$A,CSV!I:I,""),
_xlpm.MacVal,_xlfn.XLOOKUP($A705,Output_Mac!$A:$A,Output_Mac!K:K,""),
_xlpm.MyAuditVal,_xlfn.XLOOKUP($A705,My_Audit!$A:$A,My_Audit!I:I,""),
_xlfn.IFS(_xlpm.MyAuditVal&lt;&gt;"",UPPER(_xlpm.MyAuditVal),_xlpm.MacVal&lt;&gt;"",_xlpm.MacVal,_xlpm.CSVVal&lt;&gt;"",_xlpm.CSVVal
)),"")</f>
        <v/>
      </c>
      <c r="K705" s="54" t="str" cm="1">
        <f t="array" ref="K705">IFERROR(_xlfn.LET(
_xlpm.CSVVal,_xlfn.XLOOKUP($A705,CSV!$A:$A,CSV!M:M,""),
_xlpm.MacVal,_xlfn.XLOOKUP($A705,Output_Mac!$A:$A,Output_Mac!L:L,""),
_xlpm.MyAuditVal,_xlfn.XLOOKUP($A705,My_Audit!$A:$A,My_Audit!J:J,""),
_xlfn.IFS(_xlpm.MyAuditVal&lt;&gt;"",UPPER(_xlpm.MyAuditVal),_xlpm.MacVal&lt;&gt;"",_xlpm.MacVal,_xlpm.CSVVal&lt;&gt;"",_xlpm.CSVVal
)),"")</f>
        <v/>
      </c>
      <c r="L705" s="54" t="str" cm="1">
        <f t="array" ref="L705">IFERROR(_xlfn.LET(
_xlpm.CSVVal,_xlfn.XLOOKUP($A705,CSV!$A:$A,CSV!O:O,""),
_xlpm.MacVal,_xlfn.XLOOKUP($A705,Output_Mac!$A:$A,Output_Mac!M:M,""),
_xlpm.MyAuditVal,_xlfn.XLOOKUP($A705,My_Audit!$A:$A,My_Audit!K:K,""),
_xlfn.IFS(_xlpm.MyAuditVal&lt;&gt;"",UPPER(_xlpm.MyAuditVal),_xlpm.MacVal&lt;&gt;"",_xlpm.MacVal,_xlpm.CSVVal&lt;&gt;"",_xlpm.CSVVal
)),"")</f>
        <v/>
      </c>
      <c r="M705" s="54" t="str">
        <f>_xlfn.LET(
    _xlpm.CSVVal, _xlfn.XLOOKUP($A705, CSV!$A:$A, CSV!AD:AD, ""),
    _xlpm.MacVal, _xlfn.XLOOKUP($A705, Output_Mac!$A:$A, Output_Mac!S:S, ""),
    _xlpm.MyAuditVal, _xlfn.XLOOKUP($A705, My_Audit!$A:$A, My_Audit!N:N, ""),
    _xlfn.TEXTJOIN(", ", TRUE, _xlpm.MyAuditVal, _xlpm.MacVal, _xlpm.CSVVal)
)</f>
        <v/>
      </c>
      <c r="N705" s="54" t="str" cm="1">
        <f t="array" ref="N705">IFERROR(_xlfn.LET(
_xlpm.CSVVal,_xlfn.XLOOKUP($A705,CSV!$A:$A,CSV!AF:AF,""),
_xlpm.MacVal,_xlfn.XLOOKUP($A705,Output_Mac!$A:$A,Output_Mac!U:U,""),
_xlpm.MyAuditVal,_xlfn.XLOOKUP($A705,My_Audit!$A:$A,My_Audit!O:O,""),
_xlfn.IFS(_xlpm.MyAuditVal&lt;&gt;"",UPPER(_xlpm.MyAuditVal),_xlpm.MacVal&lt;&gt;"",_xlpm.MacVal,_xlpm.CSVVal&lt;&gt;"",_xlpm.CSVVal
)),"")</f>
        <v/>
      </c>
      <c r="O705" s="54"/>
      <c r="P705" s="54"/>
      <c r="Q705" s="54"/>
      <c r="R705" s="54"/>
      <c r="S705" s="54"/>
      <c r="T705" s="54"/>
      <c r="U705" s="39"/>
    </row>
    <row r="706" spans="1:21">
      <c r="A706" s="54" t="str">
        <f>_xlfn.TEXTJOIN("",TRUE,Input!$B$2,ROW(My_Audit!A705))</f>
        <v>XX705</v>
      </c>
      <c r="B706" s="54" t="str">
        <f>_xlfn.TEXTJOIN("-",TRUE,"ITD",Input!$A$2,A706)</f>
        <v>ITD-SHRXXX-XX705</v>
      </c>
      <c r="C706" s="54" t="str" cm="1">
        <f t="array" ref="C706">IFERROR(_xlfn.LET(
_xlpm.CSVVal,_xlfn.XLOOKUP($A706,CSV!$A:$A,CSV!B:B,""),
_xlpm.MacVal,_xlfn.XLOOKUP($A706,Output_Mac!$A:$A,Output_Mac!B:B,""),
_xlpm.MyAuditVal,_xlfn.XLOOKUP($A706,My_Audit!$A:$A,My_Audit!B:B,""),
_xlfn.IFS(_xlpm.MyAuditVal&lt;&gt;"",UPPER(_xlpm.MyAuditVal),_xlpm.MacVal&lt;&gt;"",_xlpm.MacVal,_xlpm.CSVVal&lt;&gt;"",_xlpm.CSVVal
)),"")</f>
        <v/>
      </c>
      <c r="D706" s="55" t="str">
        <f>_xlfn.XLOOKUP(A706,My_Audit!A:A,My_Audit!D:D,"")&amp;""</f>
        <v/>
      </c>
      <c r="E706" s="55" t="str" cm="1">
        <f t="array" ref="E706">IFERROR(_xlfn.LET(
_xlpm.CSVVal,_xlfn.XLOOKUP($A706,CSV!$A:$A,CSV!D:D,""),
_xlpm.MacVal,_xlfn.XLOOKUP($A706,Output_Mac!$A:$A,Output_Mac!C:C,""),
_xlpm.MyAuditVal,_xlfn.XLOOKUP($A706,My_Audit!$A:$A,My_Audit!D:D,""),
_xlfn.IFS(_xlpm.MyAuditVal&lt;&gt;"",_xlpm.MyAuditVal,_xlpm.MacVal&lt;&gt;"",_xlpm.MacVal,_xlpm.CSVVal&lt;&gt;"",_xlpm.CSVVal
)),"")</f>
        <v/>
      </c>
      <c r="F706" s="54" t="str" cm="1">
        <f t="array" ref="F706">IFERROR(_xlfn.LET(
_xlpm.CSVVal,_xlfn.XLOOKUP($A706,CSV!$A:$A,CSV!E:E,""),
_xlpm.MacVal,_xlfn.XLOOKUP($A706,Output_Mac!$A:$A,Output_Mac!F:F,""),
_xlpm.MyAuditVal,_xlfn.XLOOKUP($A706,My_Audit!$A:$A,My_Audit!E:E,""),
_xlfn.IFS(_xlpm.MyAuditVal&lt;&gt;"",_xlpm.MyAuditVal,_xlpm.MacVal&lt;&gt;"",_xlpm.MacVal,_xlpm.CSVVal&lt;&gt;"",PROPER(_xlpm.CSVVal)
)),"")</f>
        <v/>
      </c>
      <c r="G706" s="54" t="str" cm="1">
        <f t="array" ref="G706">IFERROR(_xlfn.LET(
_xlpm.CSVVal,_xlfn.XLOOKUP($A706,CSV!$A:$A,CSV!F:F,""),
_xlpm.MacVal,_xlfn.XLOOKUP($A706,Output_Mac!$A:$A,Output_Mac!H:H,""),
_xlpm.MyAuditVal,_xlfn.XLOOKUP($A706,My_Audit!$A:$A,My_Audit!F:F,""),
_xlfn.IFS(_xlpm.MyAuditVal&lt;&gt;"",_xlpm.MyAuditVal,_xlpm.MacVal&lt;&gt;"",_xlpm.MacVal,_xlpm.CSVVal&lt;&gt;"",_xlpm.CSVVal
)),"")</f>
        <v/>
      </c>
      <c r="H706" s="54" t="str">
        <f>_xlfn.XLOOKUP(A706,Output_Mac!A:A,Output_Mac!I:I,"")</f>
        <v/>
      </c>
      <c r="I706" s="54" t="str" cm="1">
        <f t="array" ref="I706">IFERROR(_xlfn.LET(
_xlpm.CSVVal,_xlfn.XLOOKUP($A706,CSV!$A:$A,CSV!G:G,""),
_xlpm.MacVal,_xlfn.XLOOKUP($A706,Output_Mac!$A:$A,Output_Mac!J:J,""),
_xlpm.MyAuditVal,_xlfn.XLOOKUP($A706,My_Audit!$A:$A,My_Audit!H:H,""),
_xlfn.IFS(_xlpm.MyAuditVal&lt;&gt;"",UPPER(_xlpm.MyAuditVal),_xlpm.MacVal&lt;&gt;"",_xlpm.MacVal,_xlpm.CSVVal&lt;&gt;"",_xlpm.CSVVal
)),"")</f>
        <v/>
      </c>
      <c r="J706" s="54" t="str" cm="1">
        <f t="array" ref="J706">IFERROR(_xlfn.LET(
_xlpm.CSVVal,_xlfn.XLOOKUP($A706,CSV!$A:$A,CSV!I:I,""),
_xlpm.MacVal,_xlfn.XLOOKUP($A706,Output_Mac!$A:$A,Output_Mac!K:K,""),
_xlpm.MyAuditVal,_xlfn.XLOOKUP($A706,My_Audit!$A:$A,My_Audit!I:I,""),
_xlfn.IFS(_xlpm.MyAuditVal&lt;&gt;"",UPPER(_xlpm.MyAuditVal),_xlpm.MacVal&lt;&gt;"",_xlpm.MacVal,_xlpm.CSVVal&lt;&gt;"",_xlpm.CSVVal
)),"")</f>
        <v/>
      </c>
      <c r="K706" s="54" t="str" cm="1">
        <f t="array" ref="K706">IFERROR(_xlfn.LET(
_xlpm.CSVVal,_xlfn.XLOOKUP($A706,CSV!$A:$A,CSV!M:M,""),
_xlpm.MacVal,_xlfn.XLOOKUP($A706,Output_Mac!$A:$A,Output_Mac!L:L,""),
_xlpm.MyAuditVal,_xlfn.XLOOKUP($A706,My_Audit!$A:$A,My_Audit!J:J,""),
_xlfn.IFS(_xlpm.MyAuditVal&lt;&gt;"",UPPER(_xlpm.MyAuditVal),_xlpm.MacVal&lt;&gt;"",_xlpm.MacVal,_xlpm.CSVVal&lt;&gt;"",_xlpm.CSVVal
)),"")</f>
        <v/>
      </c>
      <c r="L706" s="54" t="str" cm="1">
        <f t="array" ref="L706">IFERROR(_xlfn.LET(
_xlpm.CSVVal,_xlfn.XLOOKUP($A706,CSV!$A:$A,CSV!O:O,""),
_xlpm.MacVal,_xlfn.XLOOKUP($A706,Output_Mac!$A:$A,Output_Mac!M:M,""),
_xlpm.MyAuditVal,_xlfn.XLOOKUP($A706,My_Audit!$A:$A,My_Audit!K:K,""),
_xlfn.IFS(_xlpm.MyAuditVal&lt;&gt;"",UPPER(_xlpm.MyAuditVal),_xlpm.MacVal&lt;&gt;"",_xlpm.MacVal,_xlpm.CSVVal&lt;&gt;"",_xlpm.CSVVal
)),"")</f>
        <v/>
      </c>
      <c r="M706" s="54" t="str">
        <f>_xlfn.LET(
    _xlpm.CSVVal, _xlfn.XLOOKUP($A706, CSV!$A:$A, CSV!AD:AD, ""),
    _xlpm.MacVal, _xlfn.XLOOKUP($A706, Output_Mac!$A:$A, Output_Mac!S:S, ""),
    _xlpm.MyAuditVal, _xlfn.XLOOKUP($A706, My_Audit!$A:$A, My_Audit!N:N, ""),
    _xlfn.TEXTJOIN(", ", TRUE, _xlpm.MyAuditVal, _xlpm.MacVal, _xlpm.CSVVal)
)</f>
        <v/>
      </c>
      <c r="N706" s="54" t="str" cm="1">
        <f t="array" ref="N706">IFERROR(_xlfn.LET(
_xlpm.CSVVal,_xlfn.XLOOKUP($A706,CSV!$A:$A,CSV!AF:AF,""),
_xlpm.MacVal,_xlfn.XLOOKUP($A706,Output_Mac!$A:$A,Output_Mac!U:U,""),
_xlpm.MyAuditVal,_xlfn.XLOOKUP($A706,My_Audit!$A:$A,My_Audit!O:O,""),
_xlfn.IFS(_xlpm.MyAuditVal&lt;&gt;"",UPPER(_xlpm.MyAuditVal),_xlpm.MacVal&lt;&gt;"",_xlpm.MacVal,_xlpm.CSVVal&lt;&gt;"",_xlpm.CSVVal
)),"")</f>
        <v/>
      </c>
      <c r="O706" s="54"/>
      <c r="P706" s="54"/>
      <c r="Q706" s="54"/>
      <c r="R706" s="54"/>
      <c r="S706" s="54"/>
      <c r="T706" s="54"/>
      <c r="U706" s="39"/>
    </row>
    <row r="707" spans="1:21">
      <c r="A707" s="54" t="str">
        <f>_xlfn.TEXTJOIN("",TRUE,Input!$B$2,ROW(My_Audit!A706))</f>
        <v>XX706</v>
      </c>
      <c r="B707" s="54" t="str">
        <f>_xlfn.TEXTJOIN("-",TRUE,"ITD",Input!$A$2,A707)</f>
        <v>ITD-SHRXXX-XX706</v>
      </c>
      <c r="C707" s="54" t="str" cm="1">
        <f t="array" ref="C707">IFERROR(_xlfn.LET(
_xlpm.CSVVal,_xlfn.XLOOKUP($A707,CSV!$A:$A,CSV!B:B,""),
_xlpm.MacVal,_xlfn.XLOOKUP($A707,Output_Mac!$A:$A,Output_Mac!B:B,""),
_xlpm.MyAuditVal,_xlfn.XLOOKUP($A707,My_Audit!$A:$A,My_Audit!B:B,""),
_xlfn.IFS(_xlpm.MyAuditVal&lt;&gt;"",UPPER(_xlpm.MyAuditVal),_xlpm.MacVal&lt;&gt;"",_xlpm.MacVal,_xlpm.CSVVal&lt;&gt;"",_xlpm.CSVVal
)),"")</f>
        <v/>
      </c>
      <c r="D707" s="55" t="str">
        <f>_xlfn.XLOOKUP(A707,My_Audit!A:A,My_Audit!D:D,"")&amp;""</f>
        <v/>
      </c>
      <c r="E707" s="55" t="str" cm="1">
        <f t="array" ref="E707">IFERROR(_xlfn.LET(
_xlpm.CSVVal,_xlfn.XLOOKUP($A707,CSV!$A:$A,CSV!D:D,""),
_xlpm.MacVal,_xlfn.XLOOKUP($A707,Output_Mac!$A:$A,Output_Mac!C:C,""),
_xlpm.MyAuditVal,_xlfn.XLOOKUP($A707,My_Audit!$A:$A,My_Audit!D:D,""),
_xlfn.IFS(_xlpm.MyAuditVal&lt;&gt;"",_xlpm.MyAuditVal,_xlpm.MacVal&lt;&gt;"",_xlpm.MacVal,_xlpm.CSVVal&lt;&gt;"",_xlpm.CSVVal
)),"")</f>
        <v/>
      </c>
      <c r="F707" s="54" t="str" cm="1">
        <f t="array" ref="F707">IFERROR(_xlfn.LET(
_xlpm.CSVVal,_xlfn.XLOOKUP($A707,CSV!$A:$A,CSV!E:E,""),
_xlpm.MacVal,_xlfn.XLOOKUP($A707,Output_Mac!$A:$A,Output_Mac!F:F,""),
_xlpm.MyAuditVal,_xlfn.XLOOKUP($A707,My_Audit!$A:$A,My_Audit!E:E,""),
_xlfn.IFS(_xlpm.MyAuditVal&lt;&gt;"",_xlpm.MyAuditVal,_xlpm.MacVal&lt;&gt;"",_xlpm.MacVal,_xlpm.CSVVal&lt;&gt;"",PROPER(_xlpm.CSVVal)
)),"")</f>
        <v/>
      </c>
      <c r="G707" s="54" t="str" cm="1">
        <f t="array" ref="G707">IFERROR(_xlfn.LET(
_xlpm.CSVVal,_xlfn.XLOOKUP($A707,CSV!$A:$A,CSV!F:F,""),
_xlpm.MacVal,_xlfn.XLOOKUP($A707,Output_Mac!$A:$A,Output_Mac!H:H,""),
_xlpm.MyAuditVal,_xlfn.XLOOKUP($A707,My_Audit!$A:$A,My_Audit!F:F,""),
_xlfn.IFS(_xlpm.MyAuditVal&lt;&gt;"",_xlpm.MyAuditVal,_xlpm.MacVal&lt;&gt;"",_xlpm.MacVal,_xlpm.CSVVal&lt;&gt;"",_xlpm.CSVVal
)),"")</f>
        <v/>
      </c>
      <c r="H707" s="54" t="str">
        <f>_xlfn.XLOOKUP(A707,Output_Mac!A:A,Output_Mac!I:I,"")</f>
        <v/>
      </c>
      <c r="I707" s="54" t="str" cm="1">
        <f t="array" ref="I707">IFERROR(_xlfn.LET(
_xlpm.CSVVal,_xlfn.XLOOKUP($A707,CSV!$A:$A,CSV!G:G,""),
_xlpm.MacVal,_xlfn.XLOOKUP($A707,Output_Mac!$A:$A,Output_Mac!J:J,""),
_xlpm.MyAuditVal,_xlfn.XLOOKUP($A707,My_Audit!$A:$A,My_Audit!H:H,""),
_xlfn.IFS(_xlpm.MyAuditVal&lt;&gt;"",UPPER(_xlpm.MyAuditVal),_xlpm.MacVal&lt;&gt;"",_xlpm.MacVal,_xlpm.CSVVal&lt;&gt;"",_xlpm.CSVVal
)),"")</f>
        <v/>
      </c>
      <c r="J707" s="54" t="str" cm="1">
        <f t="array" ref="J707">IFERROR(_xlfn.LET(
_xlpm.CSVVal,_xlfn.XLOOKUP($A707,CSV!$A:$A,CSV!I:I,""),
_xlpm.MacVal,_xlfn.XLOOKUP($A707,Output_Mac!$A:$A,Output_Mac!K:K,""),
_xlpm.MyAuditVal,_xlfn.XLOOKUP($A707,My_Audit!$A:$A,My_Audit!I:I,""),
_xlfn.IFS(_xlpm.MyAuditVal&lt;&gt;"",UPPER(_xlpm.MyAuditVal),_xlpm.MacVal&lt;&gt;"",_xlpm.MacVal,_xlpm.CSVVal&lt;&gt;"",_xlpm.CSVVal
)),"")</f>
        <v/>
      </c>
      <c r="K707" s="54" t="str" cm="1">
        <f t="array" ref="K707">IFERROR(_xlfn.LET(
_xlpm.CSVVal,_xlfn.XLOOKUP($A707,CSV!$A:$A,CSV!M:M,""),
_xlpm.MacVal,_xlfn.XLOOKUP($A707,Output_Mac!$A:$A,Output_Mac!L:L,""),
_xlpm.MyAuditVal,_xlfn.XLOOKUP($A707,My_Audit!$A:$A,My_Audit!J:J,""),
_xlfn.IFS(_xlpm.MyAuditVal&lt;&gt;"",UPPER(_xlpm.MyAuditVal),_xlpm.MacVal&lt;&gt;"",_xlpm.MacVal,_xlpm.CSVVal&lt;&gt;"",_xlpm.CSVVal
)),"")</f>
        <v/>
      </c>
      <c r="L707" s="54" t="str" cm="1">
        <f t="array" ref="L707">IFERROR(_xlfn.LET(
_xlpm.CSVVal,_xlfn.XLOOKUP($A707,CSV!$A:$A,CSV!O:O,""),
_xlpm.MacVal,_xlfn.XLOOKUP($A707,Output_Mac!$A:$A,Output_Mac!M:M,""),
_xlpm.MyAuditVal,_xlfn.XLOOKUP($A707,My_Audit!$A:$A,My_Audit!K:K,""),
_xlfn.IFS(_xlpm.MyAuditVal&lt;&gt;"",UPPER(_xlpm.MyAuditVal),_xlpm.MacVal&lt;&gt;"",_xlpm.MacVal,_xlpm.CSVVal&lt;&gt;"",_xlpm.CSVVal
)),"")</f>
        <v/>
      </c>
      <c r="M707" s="54" t="str">
        <f>_xlfn.LET(
    _xlpm.CSVVal, _xlfn.XLOOKUP($A707, CSV!$A:$A, CSV!AD:AD, ""),
    _xlpm.MacVal, _xlfn.XLOOKUP($A707, Output_Mac!$A:$A, Output_Mac!S:S, ""),
    _xlpm.MyAuditVal, _xlfn.XLOOKUP($A707, My_Audit!$A:$A, My_Audit!N:N, ""),
    _xlfn.TEXTJOIN(", ", TRUE, _xlpm.MyAuditVal, _xlpm.MacVal, _xlpm.CSVVal)
)</f>
        <v/>
      </c>
      <c r="N707" s="54" t="str" cm="1">
        <f t="array" ref="N707">IFERROR(_xlfn.LET(
_xlpm.CSVVal,_xlfn.XLOOKUP($A707,CSV!$A:$A,CSV!AF:AF,""),
_xlpm.MacVal,_xlfn.XLOOKUP($A707,Output_Mac!$A:$A,Output_Mac!U:U,""),
_xlpm.MyAuditVal,_xlfn.XLOOKUP($A707,My_Audit!$A:$A,My_Audit!O:O,""),
_xlfn.IFS(_xlpm.MyAuditVal&lt;&gt;"",UPPER(_xlpm.MyAuditVal),_xlpm.MacVal&lt;&gt;"",_xlpm.MacVal,_xlpm.CSVVal&lt;&gt;"",_xlpm.CSVVal
)),"")</f>
        <v/>
      </c>
      <c r="O707" s="54"/>
      <c r="P707" s="54"/>
      <c r="Q707" s="54"/>
      <c r="R707" s="54"/>
      <c r="S707" s="54"/>
      <c r="T707" s="54"/>
      <c r="U707" s="39"/>
    </row>
    <row r="708" spans="1:21">
      <c r="A708" s="54" t="str">
        <f>_xlfn.TEXTJOIN("",TRUE,Input!$B$2,ROW(My_Audit!A707))</f>
        <v>XX707</v>
      </c>
      <c r="B708" s="54" t="str">
        <f>_xlfn.TEXTJOIN("-",TRUE,"ITD",Input!$A$2,A708)</f>
        <v>ITD-SHRXXX-XX707</v>
      </c>
      <c r="C708" s="54" t="str" cm="1">
        <f t="array" ref="C708">IFERROR(_xlfn.LET(
_xlpm.CSVVal,_xlfn.XLOOKUP($A708,CSV!$A:$A,CSV!B:B,""),
_xlpm.MacVal,_xlfn.XLOOKUP($A708,Output_Mac!$A:$A,Output_Mac!B:B,""),
_xlpm.MyAuditVal,_xlfn.XLOOKUP($A708,My_Audit!$A:$A,My_Audit!B:B,""),
_xlfn.IFS(_xlpm.MyAuditVal&lt;&gt;"",UPPER(_xlpm.MyAuditVal),_xlpm.MacVal&lt;&gt;"",_xlpm.MacVal,_xlpm.CSVVal&lt;&gt;"",_xlpm.CSVVal
)),"")</f>
        <v/>
      </c>
      <c r="D708" s="55" t="str">
        <f>_xlfn.XLOOKUP(A708,My_Audit!A:A,My_Audit!D:D,"")&amp;""</f>
        <v/>
      </c>
      <c r="E708" s="55" t="str" cm="1">
        <f t="array" ref="E708">IFERROR(_xlfn.LET(
_xlpm.CSVVal,_xlfn.XLOOKUP($A708,CSV!$A:$A,CSV!D:D,""),
_xlpm.MacVal,_xlfn.XLOOKUP($A708,Output_Mac!$A:$A,Output_Mac!C:C,""),
_xlpm.MyAuditVal,_xlfn.XLOOKUP($A708,My_Audit!$A:$A,My_Audit!D:D,""),
_xlfn.IFS(_xlpm.MyAuditVal&lt;&gt;"",_xlpm.MyAuditVal,_xlpm.MacVal&lt;&gt;"",_xlpm.MacVal,_xlpm.CSVVal&lt;&gt;"",_xlpm.CSVVal
)),"")</f>
        <v/>
      </c>
      <c r="F708" s="54" t="str" cm="1">
        <f t="array" ref="F708">IFERROR(_xlfn.LET(
_xlpm.CSVVal,_xlfn.XLOOKUP($A708,CSV!$A:$A,CSV!E:E,""),
_xlpm.MacVal,_xlfn.XLOOKUP($A708,Output_Mac!$A:$A,Output_Mac!F:F,""),
_xlpm.MyAuditVal,_xlfn.XLOOKUP($A708,My_Audit!$A:$A,My_Audit!E:E,""),
_xlfn.IFS(_xlpm.MyAuditVal&lt;&gt;"",_xlpm.MyAuditVal,_xlpm.MacVal&lt;&gt;"",_xlpm.MacVal,_xlpm.CSVVal&lt;&gt;"",PROPER(_xlpm.CSVVal)
)),"")</f>
        <v/>
      </c>
      <c r="G708" s="54" t="str" cm="1">
        <f t="array" ref="G708">IFERROR(_xlfn.LET(
_xlpm.CSVVal,_xlfn.XLOOKUP($A708,CSV!$A:$A,CSV!F:F,""),
_xlpm.MacVal,_xlfn.XLOOKUP($A708,Output_Mac!$A:$A,Output_Mac!H:H,""),
_xlpm.MyAuditVal,_xlfn.XLOOKUP($A708,My_Audit!$A:$A,My_Audit!F:F,""),
_xlfn.IFS(_xlpm.MyAuditVal&lt;&gt;"",_xlpm.MyAuditVal,_xlpm.MacVal&lt;&gt;"",_xlpm.MacVal,_xlpm.CSVVal&lt;&gt;"",_xlpm.CSVVal
)),"")</f>
        <v/>
      </c>
      <c r="H708" s="54" t="str">
        <f>_xlfn.XLOOKUP(A708,Output_Mac!A:A,Output_Mac!I:I,"")</f>
        <v/>
      </c>
      <c r="I708" s="54" t="str" cm="1">
        <f t="array" ref="I708">IFERROR(_xlfn.LET(
_xlpm.CSVVal,_xlfn.XLOOKUP($A708,CSV!$A:$A,CSV!G:G,""),
_xlpm.MacVal,_xlfn.XLOOKUP($A708,Output_Mac!$A:$A,Output_Mac!J:J,""),
_xlpm.MyAuditVal,_xlfn.XLOOKUP($A708,My_Audit!$A:$A,My_Audit!H:H,""),
_xlfn.IFS(_xlpm.MyAuditVal&lt;&gt;"",UPPER(_xlpm.MyAuditVal),_xlpm.MacVal&lt;&gt;"",_xlpm.MacVal,_xlpm.CSVVal&lt;&gt;"",_xlpm.CSVVal
)),"")</f>
        <v/>
      </c>
      <c r="J708" s="54" t="str" cm="1">
        <f t="array" ref="J708">IFERROR(_xlfn.LET(
_xlpm.CSVVal,_xlfn.XLOOKUP($A708,CSV!$A:$A,CSV!I:I,""),
_xlpm.MacVal,_xlfn.XLOOKUP($A708,Output_Mac!$A:$A,Output_Mac!K:K,""),
_xlpm.MyAuditVal,_xlfn.XLOOKUP($A708,My_Audit!$A:$A,My_Audit!I:I,""),
_xlfn.IFS(_xlpm.MyAuditVal&lt;&gt;"",UPPER(_xlpm.MyAuditVal),_xlpm.MacVal&lt;&gt;"",_xlpm.MacVal,_xlpm.CSVVal&lt;&gt;"",_xlpm.CSVVal
)),"")</f>
        <v/>
      </c>
      <c r="K708" s="54" t="str" cm="1">
        <f t="array" ref="K708">IFERROR(_xlfn.LET(
_xlpm.CSVVal,_xlfn.XLOOKUP($A708,CSV!$A:$A,CSV!M:M,""),
_xlpm.MacVal,_xlfn.XLOOKUP($A708,Output_Mac!$A:$A,Output_Mac!L:L,""),
_xlpm.MyAuditVal,_xlfn.XLOOKUP($A708,My_Audit!$A:$A,My_Audit!J:J,""),
_xlfn.IFS(_xlpm.MyAuditVal&lt;&gt;"",UPPER(_xlpm.MyAuditVal),_xlpm.MacVal&lt;&gt;"",_xlpm.MacVal,_xlpm.CSVVal&lt;&gt;"",_xlpm.CSVVal
)),"")</f>
        <v/>
      </c>
      <c r="L708" s="54" t="str" cm="1">
        <f t="array" ref="L708">IFERROR(_xlfn.LET(
_xlpm.CSVVal,_xlfn.XLOOKUP($A708,CSV!$A:$A,CSV!O:O,""),
_xlpm.MacVal,_xlfn.XLOOKUP($A708,Output_Mac!$A:$A,Output_Mac!M:M,""),
_xlpm.MyAuditVal,_xlfn.XLOOKUP($A708,My_Audit!$A:$A,My_Audit!K:K,""),
_xlfn.IFS(_xlpm.MyAuditVal&lt;&gt;"",UPPER(_xlpm.MyAuditVal),_xlpm.MacVal&lt;&gt;"",_xlpm.MacVal,_xlpm.CSVVal&lt;&gt;"",_xlpm.CSVVal
)),"")</f>
        <v/>
      </c>
      <c r="M708" s="54" t="str">
        <f>_xlfn.LET(
    _xlpm.CSVVal, _xlfn.XLOOKUP($A708, CSV!$A:$A, CSV!AD:AD, ""),
    _xlpm.MacVal, _xlfn.XLOOKUP($A708, Output_Mac!$A:$A, Output_Mac!S:S, ""),
    _xlpm.MyAuditVal, _xlfn.XLOOKUP($A708, My_Audit!$A:$A, My_Audit!N:N, ""),
    _xlfn.TEXTJOIN(", ", TRUE, _xlpm.MyAuditVal, _xlpm.MacVal, _xlpm.CSVVal)
)</f>
        <v/>
      </c>
      <c r="N708" s="54" t="str" cm="1">
        <f t="array" ref="N708">IFERROR(_xlfn.LET(
_xlpm.CSVVal,_xlfn.XLOOKUP($A708,CSV!$A:$A,CSV!AF:AF,""),
_xlpm.MacVal,_xlfn.XLOOKUP($A708,Output_Mac!$A:$A,Output_Mac!U:U,""),
_xlpm.MyAuditVal,_xlfn.XLOOKUP($A708,My_Audit!$A:$A,My_Audit!O:O,""),
_xlfn.IFS(_xlpm.MyAuditVal&lt;&gt;"",UPPER(_xlpm.MyAuditVal),_xlpm.MacVal&lt;&gt;"",_xlpm.MacVal,_xlpm.CSVVal&lt;&gt;"",_xlpm.CSVVal
)),"")</f>
        <v/>
      </c>
      <c r="O708" s="54"/>
      <c r="P708" s="54"/>
      <c r="Q708" s="54"/>
      <c r="R708" s="54"/>
      <c r="S708" s="54"/>
      <c r="T708" s="54"/>
      <c r="U708" s="39"/>
    </row>
    <row r="709" spans="1:21">
      <c r="A709" s="54" t="str">
        <f>_xlfn.TEXTJOIN("",TRUE,Input!$B$2,ROW(My_Audit!A708))</f>
        <v>XX708</v>
      </c>
      <c r="B709" s="54" t="str">
        <f>_xlfn.TEXTJOIN("-",TRUE,"ITD",Input!$A$2,A709)</f>
        <v>ITD-SHRXXX-XX708</v>
      </c>
      <c r="C709" s="54" t="str" cm="1">
        <f t="array" ref="C709">IFERROR(_xlfn.LET(
_xlpm.CSVVal,_xlfn.XLOOKUP($A709,CSV!$A:$A,CSV!B:B,""),
_xlpm.MacVal,_xlfn.XLOOKUP($A709,Output_Mac!$A:$A,Output_Mac!B:B,""),
_xlpm.MyAuditVal,_xlfn.XLOOKUP($A709,My_Audit!$A:$A,My_Audit!B:B,""),
_xlfn.IFS(_xlpm.MyAuditVal&lt;&gt;"",UPPER(_xlpm.MyAuditVal),_xlpm.MacVal&lt;&gt;"",_xlpm.MacVal,_xlpm.CSVVal&lt;&gt;"",_xlpm.CSVVal
)),"")</f>
        <v/>
      </c>
      <c r="D709" s="55" t="str">
        <f>_xlfn.XLOOKUP(A709,My_Audit!A:A,My_Audit!D:D,"")&amp;""</f>
        <v/>
      </c>
      <c r="E709" s="55" t="str" cm="1">
        <f t="array" ref="E709">IFERROR(_xlfn.LET(
_xlpm.CSVVal,_xlfn.XLOOKUP($A709,CSV!$A:$A,CSV!D:D,""),
_xlpm.MacVal,_xlfn.XLOOKUP($A709,Output_Mac!$A:$A,Output_Mac!C:C,""),
_xlpm.MyAuditVal,_xlfn.XLOOKUP($A709,My_Audit!$A:$A,My_Audit!D:D,""),
_xlfn.IFS(_xlpm.MyAuditVal&lt;&gt;"",_xlpm.MyAuditVal,_xlpm.MacVal&lt;&gt;"",_xlpm.MacVal,_xlpm.CSVVal&lt;&gt;"",_xlpm.CSVVal
)),"")</f>
        <v/>
      </c>
      <c r="F709" s="54" t="str" cm="1">
        <f t="array" ref="F709">IFERROR(_xlfn.LET(
_xlpm.CSVVal,_xlfn.XLOOKUP($A709,CSV!$A:$A,CSV!E:E,""),
_xlpm.MacVal,_xlfn.XLOOKUP($A709,Output_Mac!$A:$A,Output_Mac!F:F,""),
_xlpm.MyAuditVal,_xlfn.XLOOKUP($A709,My_Audit!$A:$A,My_Audit!E:E,""),
_xlfn.IFS(_xlpm.MyAuditVal&lt;&gt;"",_xlpm.MyAuditVal,_xlpm.MacVal&lt;&gt;"",_xlpm.MacVal,_xlpm.CSVVal&lt;&gt;"",PROPER(_xlpm.CSVVal)
)),"")</f>
        <v/>
      </c>
      <c r="G709" s="54" t="str" cm="1">
        <f t="array" ref="G709">IFERROR(_xlfn.LET(
_xlpm.CSVVal,_xlfn.XLOOKUP($A709,CSV!$A:$A,CSV!F:F,""),
_xlpm.MacVal,_xlfn.XLOOKUP($A709,Output_Mac!$A:$A,Output_Mac!H:H,""),
_xlpm.MyAuditVal,_xlfn.XLOOKUP($A709,My_Audit!$A:$A,My_Audit!F:F,""),
_xlfn.IFS(_xlpm.MyAuditVal&lt;&gt;"",_xlpm.MyAuditVal,_xlpm.MacVal&lt;&gt;"",_xlpm.MacVal,_xlpm.CSVVal&lt;&gt;"",_xlpm.CSVVal
)),"")</f>
        <v/>
      </c>
      <c r="H709" s="54" t="str">
        <f>_xlfn.XLOOKUP(A709,Output_Mac!A:A,Output_Mac!I:I,"")</f>
        <v/>
      </c>
      <c r="I709" s="54" t="str" cm="1">
        <f t="array" ref="I709">IFERROR(_xlfn.LET(
_xlpm.CSVVal,_xlfn.XLOOKUP($A709,CSV!$A:$A,CSV!G:G,""),
_xlpm.MacVal,_xlfn.XLOOKUP($A709,Output_Mac!$A:$A,Output_Mac!J:J,""),
_xlpm.MyAuditVal,_xlfn.XLOOKUP($A709,My_Audit!$A:$A,My_Audit!H:H,""),
_xlfn.IFS(_xlpm.MyAuditVal&lt;&gt;"",UPPER(_xlpm.MyAuditVal),_xlpm.MacVal&lt;&gt;"",_xlpm.MacVal,_xlpm.CSVVal&lt;&gt;"",_xlpm.CSVVal
)),"")</f>
        <v/>
      </c>
      <c r="J709" s="54" t="str" cm="1">
        <f t="array" ref="J709">IFERROR(_xlfn.LET(
_xlpm.CSVVal,_xlfn.XLOOKUP($A709,CSV!$A:$A,CSV!I:I,""),
_xlpm.MacVal,_xlfn.XLOOKUP($A709,Output_Mac!$A:$A,Output_Mac!K:K,""),
_xlpm.MyAuditVal,_xlfn.XLOOKUP($A709,My_Audit!$A:$A,My_Audit!I:I,""),
_xlfn.IFS(_xlpm.MyAuditVal&lt;&gt;"",UPPER(_xlpm.MyAuditVal),_xlpm.MacVal&lt;&gt;"",_xlpm.MacVal,_xlpm.CSVVal&lt;&gt;"",_xlpm.CSVVal
)),"")</f>
        <v/>
      </c>
      <c r="K709" s="54" t="str" cm="1">
        <f t="array" ref="K709">IFERROR(_xlfn.LET(
_xlpm.CSVVal,_xlfn.XLOOKUP($A709,CSV!$A:$A,CSV!M:M,""),
_xlpm.MacVal,_xlfn.XLOOKUP($A709,Output_Mac!$A:$A,Output_Mac!L:L,""),
_xlpm.MyAuditVal,_xlfn.XLOOKUP($A709,My_Audit!$A:$A,My_Audit!J:J,""),
_xlfn.IFS(_xlpm.MyAuditVal&lt;&gt;"",UPPER(_xlpm.MyAuditVal),_xlpm.MacVal&lt;&gt;"",_xlpm.MacVal,_xlpm.CSVVal&lt;&gt;"",_xlpm.CSVVal
)),"")</f>
        <v/>
      </c>
      <c r="L709" s="54" t="str" cm="1">
        <f t="array" ref="L709">IFERROR(_xlfn.LET(
_xlpm.CSVVal,_xlfn.XLOOKUP($A709,CSV!$A:$A,CSV!O:O,""),
_xlpm.MacVal,_xlfn.XLOOKUP($A709,Output_Mac!$A:$A,Output_Mac!M:M,""),
_xlpm.MyAuditVal,_xlfn.XLOOKUP($A709,My_Audit!$A:$A,My_Audit!K:K,""),
_xlfn.IFS(_xlpm.MyAuditVal&lt;&gt;"",UPPER(_xlpm.MyAuditVal),_xlpm.MacVal&lt;&gt;"",_xlpm.MacVal,_xlpm.CSVVal&lt;&gt;"",_xlpm.CSVVal
)),"")</f>
        <v/>
      </c>
      <c r="M709" s="54" t="str">
        <f>_xlfn.LET(
    _xlpm.CSVVal, _xlfn.XLOOKUP($A709, CSV!$A:$A, CSV!AD:AD, ""),
    _xlpm.MacVal, _xlfn.XLOOKUP($A709, Output_Mac!$A:$A, Output_Mac!S:S, ""),
    _xlpm.MyAuditVal, _xlfn.XLOOKUP($A709, My_Audit!$A:$A, My_Audit!N:N, ""),
    _xlfn.TEXTJOIN(", ", TRUE, _xlpm.MyAuditVal, _xlpm.MacVal, _xlpm.CSVVal)
)</f>
        <v/>
      </c>
      <c r="N709" s="54" t="str" cm="1">
        <f t="array" ref="N709">IFERROR(_xlfn.LET(
_xlpm.CSVVal,_xlfn.XLOOKUP($A709,CSV!$A:$A,CSV!AF:AF,""),
_xlpm.MacVal,_xlfn.XLOOKUP($A709,Output_Mac!$A:$A,Output_Mac!U:U,""),
_xlpm.MyAuditVal,_xlfn.XLOOKUP($A709,My_Audit!$A:$A,My_Audit!O:O,""),
_xlfn.IFS(_xlpm.MyAuditVal&lt;&gt;"",UPPER(_xlpm.MyAuditVal),_xlpm.MacVal&lt;&gt;"",_xlpm.MacVal,_xlpm.CSVVal&lt;&gt;"",_xlpm.CSVVal
)),"")</f>
        <v/>
      </c>
      <c r="O709" s="54"/>
      <c r="P709" s="54"/>
      <c r="Q709" s="54"/>
      <c r="R709" s="54"/>
      <c r="S709" s="54"/>
      <c r="T709" s="54"/>
      <c r="U709" s="39"/>
    </row>
    <row r="710" spans="1:21">
      <c r="A710" s="54" t="str">
        <f>_xlfn.TEXTJOIN("",TRUE,Input!$B$2,ROW(My_Audit!A709))</f>
        <v>XX709</v>
      </c>
      <c r="B710" s="54" t="str">
        <f>_xlfn.TEXTJOIN("-",TRUE,"ITD",Input!$A$2,A710)</f>
        <v>ITD-SHRXXX-XX709</v>
      </c>
      <c r="C710" s="54" t="str" cm="1">
        <f t="array" ref="C710">IFERROR(_xlfn.LET(
_xlpm.CSVVal,_xlfn.XLOOKUP($A710,CSV!$A:$A,CSV!B:B,""),
_xlpm.MacVal,_xlfn.XLOOKUP($A710,Output_Mac!$A:$A,Output_Mac!B:B,""),
_xlpm.MyAuditVal,_xlfn.XLOOKUP($A710,My_Audit!$A:$A,My_Audit!B:B,""),
_xlfn.IFS(_xlpm.MyAuditVal&lt;&gt;"",UPPER(_xlpm.MyAuditVal),_xlpm.MacVal&lt;&gt;"",_xlpm.MacVal,_xlpm.CSVVal&lt;&gt;"",_xlpm.CSVVal
)),"")</f>
        <v/>
      </c>
      <c r="D710" s="55" t="str">
        <f>_xlfn.XLOOKUP(A710,My_Audit!A:A,My_Audit!D:D,"")&amp;""</f>
        <v/>
      </c>
      <c r="E710" s="55" t="str" cm="1">
        <f t="array" ref="E710">IFERROR(_xlfn.LET(
_xlpm.CSVVal,_xlfn.XLOOKUP($A710,CSV!$A:$A,CSV!D:D,""),
_xlpm.MacVal,_xlfn.XLOOKUP($A710,Output_Mac!$A:$A,Output_Mac!C:C,""),
_xlpm.MyAuditVal,_xlfn.XLOOKUP($A710,My_Audit!$A:$A,My_Audit!D:D,""),
_xlfn.IFS(_xlpm.MyAuditVal&lt;&gt;"",_xlpm.MyAuditVal,_xlpm.MacVal&lt;&gt;"",_xlpm.MacVal,_xlpm.CSVVal&lt;&gt;"",_xlpm.CSVVal
)),"")</f>
        <v/>
      </c>
      <c r="F710" s="54" t="str" cm="1">
        <f t="array" ref="F710">IFERROR(_xlfn.LET(
_xlpm.CSVVal,_xlfn.XLOOKUP($A710,CSV!$A:$A,CSV!E:E,""),
_xlpm.MacVal,_xlfn.XLOOKUP($A710,Output_Mac!$A:$A,Output_Mac!F:F,""),
_xlpm.MyAuditVal,_xlfn.XLOOKUP($A710,My_Audit!$A:$A,My_Audit!E:E,""),
_xlfn.IFS(_xlpm.MyAuditVal&lt;&gt;"",_xlpm.MyAuditVal,_xlpm.MacVal&lt;&gt;"",_xlpm.MacVal,_xlpm.CSVVal&lt;&gt;"",PROPER(_xlpm.CSVVal)
)),"")</f>
        <v/>
      </c>
      <c r="G710" s="54" t="str" cm="1">
        <f t="array" ref="G710">IFERROR(_xlfn.LET(
_xlpm.CSVVal,_xlfn.XLOOKUP($A710,CSV!$A:$A,CSV!F:F,""),
_xlpm.MacVal,_xlfn.XLOOKUP($A710,Output_Mac!$A:$A,Output_Mac!H:H,""),
_xlpm.MyAuditVal,_xlfn.XLOOKUP($A710,My_Audit!$A:$A,My_Audit!F:F,""),
_xlfn.IFS(_xlpm.MyAuditVal&lt;&gt;"",_xlpm.MyAuditVal,_xlpm.MacVal&lt;&gt;"",_xlpm.MacVal,_xlpm.CSVVal&lt;&gt;"",_xlpm.CSVVal
)),"")</f>
        <v/>
      </c>
      <c r="H710" s="54" t="str">
        <f>_xlfn.XLOOKUP(A710,Output_Mac!A:A,Output_Mac!I:I,"")</f>
        <v/>
      </c>
      <c r="I710" s="54" t="str" cm="1">
        <f t="array" ref="I710">IFERROR(_xlfn.LET(
_xlpm.CSVVal,_xlfn.XLOOKUP($A710,CSV!$A:$A,CSV!G:G,""),
_xlpm.MacVal,_xlfn.XLOOKUP($A710,Output_Mac!$A:$A,Output_Mac!J:J,""),
_xlpm.MyAuditVal,_xlfn.XLOOKUP($A710,My_Audit!$A:$A,My_Audit!H:H,""),
_xlfn.IFS(_xlpm.MyAuditVal&lt;&gt;"",UPPER(_xlpm.MyAuditVal),_xlpm.MacVal&lt;&gt;"",_xlpm.MacVal,_xlpm.CSVVal&lt;&gt;"",_xlpm.CSVVal
)),"")</f>
        <v/>
      </c>
      <c r="J710" s="54" t="str" cm="1">
        <f t="array" ref="J710">IFERROR(_xlfn.LET(
_xlpm.CSVVal,_xlfn.XLOOKUP($A710,CSV!$A:$A,CSV!I:I,""),
_xlpm.MacVal,_xlfn.XLOOKUP($A710,Output_Mac!$A:$A,Output_Mac!K:K,""),
_xlpm.MyAuditVal,_xlfn.XLOOKUP($A710,My_Audit!$A:$A,My_Audit!I:I,""),
_xlfn.IFS(_xlpm.MyAuditVal&lt;&gt;"",UPPER(_xlpm.MyAuditVal),_xlpm.MacVal&lt;&gt;"",_xlpm.MacVal,_xlpm.CSVVal&lt;&gt;"",_xlpm.CSVVal
)),"")</f>
        <v/>
      </c>
      <c r="K710" s="54" t="str" cm="1">
        <f t="array" ref="K710">IFERROR(_xlfn.LET(
_xlpm.CSVVal,_xlfn.XLOOKUP($A710,CSV!$A:$A,CSV!M:M,""),
_xlpm.MacVal,_xlfn.XLOOKUP($A710,Output_Mac!$A:$A,Output_Mac!L:L,""),
_xlpm.MyAuditVal,_xlfn.XLOOKUP($A710,My_Audit!$A:$A,My_Audit!J:J,""),
_xlfn.IFS(_xlpm.MyAuditVal&lt;&gt;"",UPPER(_xlpm.MyAuditVal),_xlpm.MacVal&lt;&gt;"",_xlpm.MacVal,_xlpm.CSVVal&lt;&gt;"",_xlpm.CSVVal
)),"")</f>
        <v/>
      </c>
      <c r="L710" s="54" t="str" cm="1">
        <f t="array" ref="L710">IFERROR(_xlfn.LET(
_xlpm.CSVVal,_xlfn.XLOOKUP($A710,CSV!$A:$A,CSV!O:O,""),
_xlpm.MacVal,_xlfn.XLOOKUP($A710,Output_Mac!$A:$A,Output_Mac!M:M,""),
_xlpm.MyAuditVal,_xlfn.XLOOKUP($A710,My_Audit!$A:$A,My_Audit!K:K,""),
_xlfn.IFS(_xlpm.MyAuditVal&lt;&gt;"",UPPER(_xlpm.MyAuditVal),_xlpm.MacVal&lt;&gt;"",_xlpm.MacVal,_xlpm.CSVVal&lt;&gt;"",_xlpm.CSVVal
)),"")</f>
        <v/>
      </c>
      <c r="M710" s="54" t="str">
        <f>_xlfn.LET(
    _xlpm.CSVVal, _xlfn.XLOOKUP($A710, CSV!$A:$A, CSV!AD:AD, ""),
    _xlpm.MacVal, _xlfn.XLOOKUP($A710, Output_Mac!$A:$A, Output_Mac!S:S, ""),
    _xlpm.MyAuditVal, _xlfn.XLOOKUP($A710, My_Audit!$A:$A, My_Audit!N:N, ""),
    _xlfn.TEXTJOIN(", ", TRUE, _xlpm.MyAuditVal, _xlpm.MacVal, _xlpm.CSVVal)
)</f>
        <v/>
      </c>
      <c r="N710" s="54" t="str" cm="1">
        <f t="array" ref="N710">IFERROR(_xlfn.LET(
_xlpm.CSVVal,_xlfn.XLOOKUP($A710,CSV!$A:$A,CSV!AF:AF,""),
_xlpm.MacVal,_xlfn.XLOOKUP($A710,Output_Mac!$A:$A,Output_Mac!U:U,""),
_xlpm.MyAuditVal,_xlfn.XLOOKUP($A710,My_Audit!$A:$A,My_Audit!O:O,""),
_xlfn.IFS(_xlpm.MyAuditVal&lt;&gt;"",UPPER(_xlpm.MyAuditVal),_xlpm.MacVal&lt;&gt;"",_xlpm.MacVal,_xlpm.CSVVal&lt;&gt;"",_xlpm.CSVVal
)),"")</f>
        <v/>
      </c>
      <c r="O710" s="54"/>
      <c r="P710" s="54"/>
      <c r="Q710" s="54"/>
      <c r="R710" s="54"/>
      <c r="S710" s="54"/>
      <c r="T710" s="54"/>
      <c r="U710" s="39"/>
    </row>
    <row r="711" spans="1:21">
      <c r="A711" s="54" t="str">
        <f>_xlfn.TEXTJOIN("",TRUE,Input!$B$2,ROW(My_Audit!A710))</f>
        <v>XX710</v>
      </c>
      <c r="B711" s="54" t="str">
        <f>_xlfn.TEXTJOIN("-",TRUE,"ITD",Input!$A$2,A711)</f>
        <v>ITD-SHRXXX-XX710</v>
      </c>
      <c r="C711" s="54" t="str" cm="1">
        <f t="array" ref="C711">IFERROR(_xlfn.LET(
_xlpm.CSVVal,_xlfn.XLOOKUP($A711,CSV!$A:$A,CSV!B:B,""),
_xlpm.MacVal,_xlfn.XLOOKUP($A711,Output_Mac!$A:$A,Output_Mac!B:B,""),
_xlpm.MyAuditVal,_xlfn.XLOOKUP($A711,My_Audit!$A:$A,My_Audit!B:B,""),
_xlfn.IFS(_xlpm.MyAuditVal&lt;&gt;"",UPPER(_xlpm.MyAuditVal),_xlpm.MacVal&lt;&gt;"",_xlpm.MacVal,_xlpm.CSVVal&lt;&gt;"",_xlpm.CSVVal
)),"")</f>
        <v/>
      </c>
      <c r="D711" s="55" t="str">
        <f>_xlfn.XLOOKUP(A711,My_Audit!A:A,My_Audit!D:D,"")&amp;""</f>
        <v/>
      </c>
      <c r="E711" s="55" t="str" cm="1">
        <f t="array" ref="E711">IFERROR(_xlfn.LET(
_xlpm.CSVVal,_xlfn.XLOOKUP($A711,CSV!$A:$A,CSV!D:D,""),
_xlpm.MacVal,_xlfn.XLOOKUP($A711,Output_Mac!$A:$A,Output_Mac!C:C,""),
_xlpm.MyAuditVal,_xlfn.XLOOKUP($A711,My_Audit!$A:$A,My_Audit!D:D,""),
_xlfn.IFS(_xlpm.MyAuditVal&lt;&gt;"",_xlpm.MyAuditVal,_xlpm.MacVal&lt;&gt;"",_xlpm.MacVal,_xlpm.CSVVal&lt;&gt;"",_xlpm.CSVVal
)),"")</f>
        <v/>
      </c>
      <c r="F711" s="54" t="str" cm="1">
        <f t="array" ref="F711">IFERROR(_xlfn.LET(
_xlpm.CSVVal,_xlfn.XLOOKUP($A711,CSV!$A:$A,CSV!E:E,""),
_xlpm.MacVal,_xlfn.XLOOKUP($A711,Output_Mac!$A:$A,Output_Mac!F:F,""),
_xlpm.MyAuditVal,_xlfn.XLOOKUP($A711,My_Audit!$A:$A,My_Audit!E:E,""),
_xlfn.IFS(_xlpm.MyAuditVal&lt;&gt;"",_xlpm.MyAuditVal,_xlpm.MacVal&lt;&gt;"",_xlpm.MacVal,_xlpm.CSVVal&lt;&gt;"",PROPER(_xlpm.CSVVal)
)),"")</f>
        <v/>
      </c>
      <c r="G711" s="54" t="str" cm="1">
        <f t="array" ref="G711">IFERROR(_xlfn.LET(
_xlpm.CSVVal,_xlfn.XLOOKUP($A711,CSV!$A:$A,CSV!F:F,""),
_xlpm.MacVal,_xlfn.XLOOKUP($A711,Output_Mac!$A:$A,Output_Mac!H:H,""),
_xlpm.MyAuditVal,_xlfn.XLOOKUP($A711,My_Audit!$A:$A,My_Audit!F:F,""),
_xlfn.IFS(_xlpm.MyAuditVal&lt;&gt;"",_xlpm.MyAuditVal,_xlpm.MacVal&lt;&gt;"",_xlpm.MacVal,_xlpm.CSVVal&lt;&gt;"",_xlpm.CSVVal
)),"")</f>
        <v/>
      </c>
      <c r="H711" s="54" t="str">
        <f>_xlfn.XLOOKUP(A711,Output_Mac!A:A,Output_Mac!I:I,"")</f>
        <v/>
      </c>
      <c r="I711" s="54" t="str" cm="1">
        <f t="array" ref="I711">IFERROR(_xlfn.LET(
_xlpm.CSVVal,_xlfn.XLOOKUP($A711,CSV!$A:$A,CSV!G:G,""),
_xlpm.MacVal,_xlfn.XLOOKUP($A711,Output_Mac!$A:$A,Output_Mac!J:J,""),
_xlpm.MyAuditVal,_xlfn.XLOOKUP($A711,My_Audit!$A:$A,My_Audit!H:H,""),
_xlfn.IFS(_xlpm.MyAuditVal&lt;&gt;"",UPPER(_xlpm.MyAuditVal),_xlpm.MacVal&lt;&gt;"",_xlpm.MacVal,_xlpm.CSVVal&lt;&gt;"",_xlpm.CSVVal
)),"")</f>
        <v/>
      </c>
      <c r="J711" s="54" t="str" cm="1">
        <f t="array" ref="J711">IFERROR(_xlfn.LET(
_xlpm.CSVVal,_xlfn.XLOOKUP($A711,CSV!$A:$A,CSV!I:I,""),
_xlpm.MacVal,_xlfn.XLOOKUP($A711,Output_Mac!$A:$A,Output_Mac!K:K,""),
_xlpm.MyAuditVal,_xlfn.XLOOKUP($A711,My_Audit!$A:$A,My_Audit!I:I,""),
_xlfn.IFS(_xlpm.MyAuditVal&lt;&gt;"",UPPER(_xlpm.MyAuditVal),_xlpm.MacVal&lt;&gt;"",_xlpm.MacVal,_xlpm.CSVVal&lt;&gt;"",_xlpm.CSVVal
)),"")</f>
        <v/>
      </c>
      <c r="K711" s="54" t="str" cm="1">
        <f t="array" ref="K711">IFERROR(_xlfn.LET(
_xlpm.CSVVal,_xlfn.XLOOKUP($A711,CSV!$A:$A,CSV!M:M,""),
_xlpm.MacVal,_xlfn.XLOOKUP($A711,Output_Mac!$A:$A,Output_Mac!L:L,""),
_xlpm.MyAuditVal,_xlfn.XLOOKUP($A711,My_Audit!$A:$A,My_Audit!J:J,""),
_xlfn.IFS(_xlpm.MyAuditVal&lt;&gt;"",UPPER(_xlpm.MyAuditVal),_xlpm.MacVal&lt;&gt;"",_xlpm.MacVal,_xlpm.CSVVal&lt;&gt;"",_xlpm.CSVVal
)),"")</f>
        <v/>
      </c>
      <c r="L711" s="54" t="str" cm="1">
        <f t="array" ref="L711">IFERROR(_xlfn.LET(
_xlpm.CSVVal,_xlfn.XLOOKUP($A711,CSV!$A:$A,CSV!O:O,""),
_xlpm.MacVal,_xlfn.XLOOKUP($A711,Output_Mac!$A:$A,Output_Mac!M:M,""),
_xlpm.MyAuditVal,_xlfn.XLOOKUP($A711,My_Audit!$A:$A,My_Audit!K:K,""),
_xlfn.IFS(_xlpm.MyAuditVal&lt;&gt;"",UPPER(_xlpm.MyAuditVal),_xlpm.MacVal&lt;&gt;"",_xlpm.MacVal,_xlpm.CSVVal&lt;&gt;"",_xlpm.CSVVal
)),"")</f>
        <v/>
      </c>
      <c r="M711" s="54" t="str">
        <f>_xlfn.LET(
    _xlpm.CSVVal, _xlfn.XLOOKUP($A711, CSV!$A:$A, CSV!AD:AD, ""),
    _xlpm.MacVal, _xlfn.XLOOKUP($A711, Output_Mac!$A:$A, Output_Mac!S:S, ""),
    _xlpm.MyAuditVal, _xlfn.XLOOKUP($A711, My_Audit!$A:$A, My_Audit!N:N, ""),
    _xlfn.TEXTJOIN(", ", TRUE, _xlpm.MyAuditVal, _xlpm.MacVal, _xlpm.CSVVal)
)</f>
        <v/>
      </c>
      <c r="N711" s="54" t="str" cm="1">
        <f t="array" ref="N711">IFERROR(_xlfn.LET(
_xlpm.CSVVal,_xlfn.XLOOKUP($A711,CSV!$A:$A,CSV!AF:AF,""),
_xlpm.MacVal,_xlfn.XLOOKUP($A711,Output_Mac!$A:$A,Output_Mac!U:U,""),
_xlpm.MyAuditVal,_xlfn.XLOOKUP($A711,My_Audit!$A:$A,My_Audit!O:O,""),
_xlfn.IFS(_xlpm.MyAuditVal&lt;&gt;"",UPPER(_xlpm.MyAuditVal),_xlpm.MacVal&lt;&gt;"",_xlpm.MacVal,_xlpm.CSVVal&lt;&gt;"",_xlpm.CSVVal
)),"")</f>
        <v/>
      </c>
      <c r="O711" s="54"/>
      <c r="P711" s="54"/>
      <c r="Q711" s="54"/>
      <c r="R711" s="54"/>
      <c r="S711" s="54"/>
      <c r="T711" s="54"/>
      <c r="U711" s="39"/>
    </row>
    <row r="712" spans="1:21">
      <c r="A712" s="54" t="str">
        <f>_xlfn.TEXTJOIN("",TRUE,Input!$B$2,ROW(My_Audit!A711))</f>
        <v>XX711</v>
      </c>
      <c r="B712" s="54"/>
      <c r="C712" s="54"/>
      <c r="D712" s="55" t="str">
        <f>_xlfn.XLOOKUP(A712,My_Audit!A:A,My_Audit!D:D,"")&amp;""</f>
        <v/>
      </c>
      <c r="E712" s="55" t="str" cm="1">
        <f t="array" ref="E712">IFERROR(_xlfn.LET(
_xlpm.CSVVal,_xlfn.XLOOKUP($A712,CSV!$A:$A,CSV!D:D,""),
_xlpm.MacVal,_xlfn.XLOOKUP($A712,Output_Mac!$A:$A,Output_Mac!C:C,""),
_xlpm.MyAuditVal,_xlfn.XLOOKUP($A712,My_Audit!$A:$A,My_Audit!D:D,""),
_xlfn.IFS(_xlpm.MyAuditVal&lt;&gt;"",_xlpm.MyAuditVal,_xlpm.MacVal&lt;&gt;"",_xlpm.MacVal,_xlpm.CSVVal&lt;&gt;"",_xlpm.CSVVal
)),"")</f>
        <v/>
      </c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39"/>
    </row>
    <row r="713" spans="1:21">
      <c r="A713" s="54" t="str">
        <f>_xlfn.TEXTJOIN("",TRUE,Input!$B$2,ROW(My_Audit!A712))</f>
        <v>XX712</v>
      </c>
      <c r="B713" s="54"/>
      <c r="C713" s="54"/>
      <c r="D713" s="55" t="str">
        <f>_xlfn.XLOOKUP(A713,My_Audit!A:A,My_Audit!D:D,"")&amp;""</f>
        <v/>
      </c>
      <c r="E713" s="55" t="str" cm="1">
        <f t="array" ref="E713">IFERROR(_xlfn.LET(
_xlpm.CSVVal,_xlfn.XLOOKUP($A713,CSV!$A:$A,CSV!D:D,""),
_xlpm.MacVal,_xlfn.XLOOKUP($A713,Output_Mac!$A:$A,Output_Mac!C:C,""),
_xlpm.MyAuditVal,_xlfn.XLOOKUP($A713,My_Audit!$A:$A,My_Audit!D:D,""),
_xlfn.IFS(_xlpm.MyAuditVal&lt;&gt;"",_xlpm.MyAuditVal,_xlpm.MacVal&lt;&gt;"",_xlpm.MacVal,_xlpm.CSVVal&lt;&gt;"",_xlpm.CSVVal
)),"")</f>
        <v/>
      </c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39"/>
    </row>
    <row r="714" spans="1:21">
      <c r="A714" s="54" t="str">
        <f>_xlfn.TEXTJOIN("",TRUE,Input!$B$2,ROW(My_Audit!A713))</f>
        <v>XX713</v>
      </c>
      <c r="B714" s="54"/>
      <c r="C714" s="54"/>
      <c r="D714" s="55" t="str">
        <f>_xlfn.XLOOKUP(A714,My_Audit!A:A,My_Audit!D:D,"")&amp;""</f>
        <v/>
      </c>
      <c r="E714" s="55" t="str" cm="1">
        <f t="array" ref="E714">IFERROR(_xlfn.LET(
_xlpm.CSVVal,_xlfn.XLOOKUP($A714,CSV!$A:$A,CSV!D:D,""),
_xlpm.MacVal,_xlfn.XLOOKUP($A714,Output_Mac!$A:$A,Output_Mac!C:C,""),
_xlpm.MyAuditVal,_xlfn.XLOOKUP($A714,My_Audit!$A:$A,My_Audit!D:D,""),
_xlfn.IFS(_xlpm.MyAuditVal&lt;&gt;"",_xlpm.MyAuditVal,_xlpm.MacVal&lt;&gt;"",_xlpm.MacVal,_xlpm.CSVVal&lt;&gt;"",_xlpm.CSVVal
)),"")</f>
        <v/>
      </c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39"/>
    </row>
    <row r="715" spans="1:21">
      <c r="A715" s="54" t="str">
        <f>_xlfn.TEXTJOIN("",TRUE,Input!$B$2,ROW(My_Audit!A714))</f>
        <v>XX714</v>
      </c>
      <c r="B715" s="54"/>
      <c r="C715" s="54"/>
      <c r="D715" s="55" t="str">
        <f>_xlfn.XLOOKUP(A715,My_Audit!A:A,My_Audit!D:D,"")&amp;""</f>
        <v/>
      </c>
      <c r="E715" s="55" t="str" cm="1">
        <f t="array" ref="E715">IFERROR(_xlfn.LET(
_xlpm.CSVVal,_xlfn.XLOOKUP($A715,CSV!$A:$A,CSV!D:D,""),
_xlpm.MacVal,_xlfn.XLOOKUP($A715,Output_Mac!$A:$A,Output_Mac!C:C,""),
_xlpm.MyAuditVal,_xlfn.XLOOKUP($A715,My_Audit!$A:$A,My_Audit!D:D,""),
_xlfn.IFS(_xlpm.MyAuditVal&lt;&gt;"",_xlpm.MyAuditVal,_xlpm.MacVal&lt;&gt;"",_xlpm.MacVal,_xlpm.CSVVal&lt;&gt;"",_xlpm.CSVVal
)),"")</f>
        <v/>
      </c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39"/>
    </row>
    <row r="716" spans="1:21">
      <c r="A716" s="54" t="str">
        <f>_xlfn.TEXTJOIN("",TRUE,Input!$B$2,ROW(My_Audit!A715))</f>
        <v>XX715</v>
      </c>
      <c r="B716" s="54"/>
      <c r="C716" s="54"/>
      <c r="D716" s="55" t="str">
        <f>_xlfn.XLOOKUP(A716,My_Audit!A:A,My_Audit!D:D,"")&amp;""</f>
        <v/>
      </c>
      <c r="E716" s="55" t="str" cm="1">
        <f t="array" ref="E716">IFERROR(_xlfn.LET(
_xlpm.CSVVal,_xlfn.XLOOKUP($A716,CSV!$A:$A,CSV!D:D,""),
_xlpm.MacVal,_xlfn.XLOOKUP($A716,Output_Mac!$A:$A,Output_Mac!C:C,""),
_xlpm.MyAuditVal,_xlfn.XLOOKUP($A716,My_Audit!$A:$A,My_Audit!D:D,""),
_xlfn.IFS(_xlpm.MyAuditVal&lt;&gt;"",_xlpm.MyAuditVal,_xlpm.MacVal&lt;&gt;"",_xlpm.MacVal,_xlpm.CSVVal&lt;&gt;"",_xlpm.CSVVal
)),"")</f>
        <v/>
      </c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39"/>
    </row>
    <row r="717" spans="1:21">
      <c r="A717" s="54" t="str">
        <f>_xlfn.TEXTJOIN("",TRUE,Input!$B$2,ROW(My_Audit!A716))</f>
        <v>XX716</v>
      </c>
      <c r="B717" s="54"/>
      <c r="C717" s="54"/>
      <c r="D717" s="55" t="str">
        <f>_xlfn.XLOOKUP(A717,My_Audit!A:A,My_Audit!D:D,"")&amp;""</f>
        <v/>
      </c>
      <c r="E717" s="55" t="str" cm="1">
        <f t="array" ref="E717">IFERROR(_xlfn.LET(
_xlpm.CSVVal,_xlfn.XLOOKUP($A717,CSV!$A:$A,CSV!D:D,""),
_xlpm.MacVal,_xlfn.XLOOKUP($A717,Output_Mac!$A:$A,Output_Mac!C:C,""),
_xlpm.MyAuditVal,_xlfn.XLOOKUP($A717,My_Audit!$A:$A,My_Audit!D:D,""),
_xlfn.IFS(_xlpm.MyAuditVal&lt;&gt;"",_xlpm.MyAuditVal,_xlpm.MacVal&lt;&gt;"",_xlpm.MacVal,_xlpm.CSVVal&lt;&gt;"",_xlpm.CSVVal
)),"")</f>
        <v/>
      </c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39"/>
    </row>
    <row r="718" spans="1:21">
      <c r="A718" s="54" t="str">
        <f>_xlfn.TEXTJOIN("",TRUE,Input!$B$2,ROW(My_Audit!A717))</f>
        <v>XX717</v>
      </c>
      <c r="B718" s="54"/>
      <c r="C718" s="54"/>
      <c r="D718" s="55" t="str">
        <f>_xlfn.XLOOKUP(A718,My_Audit!A:A,My_Audit!D:D,"")&amp;""</f>
        <v/>
      </c>
      <c r="E718" s="55" t="str" cm="1">
        <f t="array" ref="E718">IFERROR(_xlfn.LET(
_xlpm.CSVVal,_xlfn.XLOOKUP($A718,CSV!$A:$A,CSV!D:D,""),
_xlpm.MacVal,_xlfn.XLOOKUP($A718,Output_Mac!$A:$A,Output_Mac!C:C,""),
_xlpm.MyAuditVal,_xlfn.XLOOKUP($A718,My_Audit!$A:$A,My_Audit!D:D,""),
_xlfn.IFS(_xlpm.MyAuditVal&lt;&gt;"",_xlpm.MyAuditVal,_xlpm.MacVal&lt;&gt;"",_xlpm.MacVal,_xlpm.CSVVal&lt;&gt;"",_xlpm.CSVVal
)),"")</f>
        <v/>
      </c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39"/>
    </row>
    <row r="719" spans="1:21">
      <c r="A719" s="54" t="str">
        <f>_xlfn.TEXTJOIN("",TRUE,Input!$B$2,ROW(My_Audit!A718))</f>
        <v>XX718</v>
      </c>
      <c r="B719" s="54"/>
      <c r="C719" s="54"/>
      <c r="D719" s="55" t="str">
        <f>_xlfn.XLOOKUP(A719,My_Audit!A:A,My_Audit!D:D,"")&amp;""</f>
        <v/>
      </c>
      <c r="E719" s="55" t="str" cm="1">
        <f t="array" ref="E719">IFERROR(_xlfn.LET(
_xlpm.CSVVal,_xlfn.XLOOKUP($A719,CSV!$A:$A,CSV!D:D,""),
_xlpm.MacVal,_xlfn.XLOOKUP($A719,Output_Mac!$A:$A,Output_Mac!C:C,""),
_xlpm.MyAuditVal,_xlfn.XLOOKUP($A719,My_Audit!$A:$A,My_Audit!D:D,""),
_xlfn.IFS(_xlpm.MyAuditVal&lt;&gt;"",_xlpm.MyAuditVal,_xlpm.MacVal&lt;&gt;"",_xlpm.MacVal,_xlpm.CSVVal&lt;&gt;"",_xlpm.CSVVal
)),"")</f>
        <v/>
      </c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39"/>
    </row>
    <row r="720" spans="1:21">
      <c r="A720" s="54" t="str">
        <f>_xlfn.TEXTJOIN("",TRUE,Input!$B$2,ROW(My_Audit!A719))</f>
        <v>XX719</v>
      </c>
      <c r="B720" s="54"/>
      <c r="C720" s="54"/>
      <c r="D720" s="55" t="str">
        <f>_xlfn.XLOOKUP(A720,My_Audit!A:A,My_Audit!D:D,"")&amp;""</f>
        <v/>
      </c>
      <c r="E720" s="55" t="str" cm="1">
        <f t="array" ref="E720">IFERROR(_xlfn.LET(
_xlpm.CSVVal,_xlfn.XLOOKUP($A720,CSV!$A:$A,CSV!D:D,""),
_xlpm.MacVal,_xlfn.XLOOKUP($A720,Output_Mac!$A:$A,Output_Mac!C:C,""),
_xlpm.MyAuditVal,_xlfn.XLOOKUP($A720,My_Audit!$A:$A,My_Audit!D:D,""),
_xlfn.IFS(_xlpm.MyAuditVal&lt;&gt;"",_xlpm.MyAuditVal,_xlpm.MacVal&lt;&gt;"",_xlpm.MacVal,_xlpm.CSVVal&lt;&gt;"",_xlpm.CSVVal
)),"")</f>
        <v/>
      </c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39"/>
    </row>
    <row r="721" spans="1:21">
      <c r="A721" s="54" t="str">
        <f>_xlfn.TEXTJOIN("",TRUE,Input!$B$2,ROW(My_Audit!A720))</f>
        <v>XX720</v>
      </c>
      <c r="B721" s="54"/>
      <c r="C721" s="54"/>
      <c r="D721" s="55" t="str">
        <f>_xlfn.XLOOKUP(A721,My_Audit!A:A,My_Audit!D:D,"")&amp;""</f>
        <v/>
      </c>
      <c r="E721" s="55" t="str" cm="1">
        <f t="array" ref="E721">IFERROR(_xlfn.LET(
_xlpm.CSVVal,_xlfn.XLOOKUP($A721,CSV!$A:$A,CSV!D:D,""),
_xlpm.MacVal,_xlfn.XLOOKUP($A721,Output_Mac!$A:$A,Output_Mac!C:C,""),
_xlpm.MyAuditVal,_xlfn.XLOOKUP($A721,My_Audit!$A:$A,My_Audit!D:D,""),
_xlfn.IFS(_xlpm.MyAuditVal&lt;&gt;"",_xlpm.MyAuditVal,_xlpm.MacVal&lt;&gt;"",_xlpm.MacVal,_xlpm.CSVVal&lt;&gt;"",_xlpm.CSVVal
)),"")</f>
        <v/>
      </c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39"/>
    </row>
    <row r="722" spans="1:21">
      <c r="A722" s="54" t="str">
        <f>_xlfn.TEXTJOIN("",TRUE,Input!$B$2,ROW(My_Audit!A721))</f>
        <v>XX721</v>
      </c>
      <c r="B722" s="54"/>
      <c r="C722" s="54"/>
      <c r="D722" s="55" t="str">
        <f>_xlfn.XLOOKUP(A722,My_Audit!A:A,My_Audit!D:D,"")&amp;""</f>
        <v/>
      </c>
      <c r="E722" s="55" t="str" cm="1">
        <f t="array" ref="E722">IFERROR(_xlfn.LET(
_xlpm.CSVVal,_xlfn.XLOOKUP($A722,CSV!$A:$A,CSV!D:D,""),
_xlpm.MacVal,_xlfn.XLOOKUP($A722,Output_Mac!$A:$A,Output_Mac!C:C,""),
_xlpm.MyAuditVal,_xlfn.XLOOKUP($A722,My_Audit!$A:$A,My_Audit!D:D,""),
_xlfn.IFS(_xlpm.MyAuditVal&lt;&gt;"",_xlpm.MyAuditVal,_xlpm.MacVal&lt;&gt;"",_xlpm.MacVal,_xlpm.CSVVal&lt;&gt;"",_xlpm.CSVVal
)),"")</f>
        <v/>
      </c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39"/>
    </row>
    <row r="723" spans="1:21">
      <c r="A723" s="54" t="str">
        <f>_xlfn.TEXTJOIN("",TRUE,Input!$B$2,ROW(My_Audit!A722))</f>
        <v>XX722</v>
      </c>
      <c r="B723" s="54"/>
      <c r="C723" s="54"/>
      <c r="D723" s="55" t="str">
        <f>_xlfn.XLOOKUP(A723,My_Audit!A:A,My_Audit!D:D,"")&amp;""</f>
        <v/>
      </c>
      <c r="E723" s="55" t="str" cm="1">
        <f t="array" ref="E723">IFERROR(_xlfn.LET(
_xlpm.CSVVal,_xlfn.XLOOKUP($A723,CSV!$A:$A,CSV!D:D,""),
_xlpm.MacVal,_xlfn.XLOOKUP($A723,Output_Mac!$A:$A,Output_Mac!C:C,""),
_xlpm.MyAuditVal,_xlfn.XLOOKUP($A723,My_Audit!$A:$A,My_Audit!D:D,""),
_xlfn.IFS(_xlpm.MyAuditVal&lt;&gt;"",_xlpm.MyAuditVal,_xlpm.MacVal&lt;&gt;"",_xlpm.MacVal,_xlpm.CSVVal&lt;&gt;"",_xlpm.CSVVal
)),"")</f>
        <v/>
      </c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39"/>
    </row>
    <row r="724" spans="1:21">
      <c r="A724" s="54" t="str">
        <f>_xlfn.TEXTJOIN("",TRUE,Input!$B$2,ROW(My_Audit!A723))</f>
        <v>XX723</v>
      </c>
      <c r="B724" s="54"/>
      <c r="C724" s="54"/>
      <c r="D724" s="55" t="str">
        <f>_xlfn.XLOOKUP(A724,My_Audit!A:A,My_Audit!D:D,"")&amp;""</f>
        <v/>
      </c>
      <c r="E724" s="55" t="str" cm="1">
        <f t="array" ref="E724">IFERROR(_xlfn.LET(
_xlpm.CSVVal,_xlfn.XLOOKUP($A724,CSV!$A:$A,CSV!D:D,""),
_xlpm.MacVal,_xlfn.XLOOKUP($A724,Output_Mac!$A:$A,Output_Mac!C:C,""),
_xlpm.MyAuditVal,_xlfn.XLOOKUP($A724,My_Audit!$A:$A,My_Audit!D:D,""),
_xlfn.IFS(_xlpm.MyAuditVal&lt;&gt;"",_xlpm.MyAuditVal,_xlpm.MacVal&lt;&gt;"",_xlpm.MacVal,_xlpm.CSVVal&lt;&gt;"",_xlpm.CSVVal
)),"")</f>
        <v/>
      </c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39"/>
    </row>
    <row r="725" spans="1:21">
      <c r="A725" s="54" t="str">
        <f>_xlfn.TEXTJOIN("",TRUE,Input!$B$2,ROW(My_Audit!A724))</f>
        <v>XX724</v>
      </c>
      <c r="B725" s="54"/>
      <c r="C725" s="54"/>
      <c r="D725" s="55" t="str">
        <f>_xlfn.XLOOKUP(A725,My_Audit!A:A,My_Audit!D:D,"")&amp;""</f>
        <v/>
      </c>
      <c r="E725" s="55" t="str" cm="1">
        <f t="array" ref="E725">IFERROR(_xlfn.LET(
_xlpm.CSVVal,_xlfn.XLOOKUP($A725,CSV!$A:$A,CSV!D:D,""),
_xlpm.MacVal,_xlfn.XLOOKUP($A725,Output_Mac!$A:$A,Output_Mac!C:C,""),
_xlpm.MyAuditVal,_xlfn.XLOOKUP($A725,My_Audit!$A:$A,My_Audit!D:D,""),
_xlfn.IFS(_xlpm.MyAuditVal&lt;&gt;"",_xlpm.MyAuditVal,_xlpm.MacVal&lt;&gt;"",_xlpm.MacVal,_xlpm.CSVVal&lt;&gt;"",_xlpm.CSVVal
)),"")</f>
        <v/>
      </c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39"/>
    </row>
    <row r="726" spans="1:21">
      <c r="A726" s="54" t="str">
        <f>_xlfn.TEXTJOIN("",TRUE,Input!$B$2,ROW(My_Audit!A725))</f>
        <v>XX725</v>
      </c>
      <c r="B726" s="54"/>
      <c r="C726" s="54"/>
      <c r="D726" s="55" t="str">
        <f>_xlfn.XLOOKUP(A726,My_Audit!A:A,My_Audit!D:D,"")&amp;""</f>
        <v/>
      </c>
      <c r="E726" s="55" t="str" cm="1">
        <f t="array" ref="E726">IFERROR(_xlfn.LET(
_xlpm.CSVVal,_xlfn.XLOOKUP($A726,CSV!$A:$A,CSV!D:D,""),
_xlpm.MacVal,_xlfn.XLOOKUP($A726,Output_Mac!$A:$A,Output_Mac!C:C,""),
_xlpm.MyAuditVal,_xlfn.XLOOKUP($A726,My_Audit!$A:$A,My_Audit!D:D,""),
_xlfn.IFS(_xlpm.MyAuditVal&lt;&gt;"",_xlpm.MyAuditVal,_xlpm.MacVal&lt;&gt;"",_xlpm.MacVal,_xlpm.CSVVal&lt;&gt;"",_xlpm.CSVVal
)),"")</f>
        <v/>
      </c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39"/>
    </row>
    <row r="727" spans="1:21">
      <c r="A727" s="54" t="str">
        <f>_xlfn.TEXTJOIN("",TRUE,Input!$B$2,ROW(My_Audit!A726))</f>
        <v>XX726</v>
      </c>
      <c r="B727" s="54"/>
      <c r="C727" s="54"/>
      <c r="D727" s="55" t="str">
        <f>_xlfn.XLOOKUP(A727,My_Audit!A:A,My_Audit!D:D,"")&amp;""</f>
        <v/>
      </c>
      <c r="E727" s="55" t="str" cm="1">
        <f t="array" ref="E727">IFERROR(_xlfn.LET(
_xlpm.CSVVal,_xlfn.XLOOKUP($A727,CSV!$A:$A,CSV!D:D,""),
_xlpm.MacVal,_xlfn.XLOOKUP($A727,Output_Mac!$A:$A,Output_Mac!C:C,""),
_xlpm.MyAuditVal,_xlfn.XLOOKUP($A727,My_Audit!$A:$A,My_Audit!D:D,""),
_xlfn.IFS(_xlpm.MyAuditVal&lt;&gt;"",_xlpm.MyAuditVal,_xlpm.MacVal&lt;&gt;"",_xlpm.MacVal,_xlpm.CSVVal&lt;&gt;"",_xlpm.CSVVal
)),"")</f>
        <v/>
      </c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39"/>
    </row>
    <row r="728" spans="1:21">
      <c r="A728" s="54" t="str">
        <f>_xlfn.TEXTJOIN("",TRUE,Input!$B$2,ROW(My_Audit!A727))</f>
        <v>XX727</v>
      </c>
      <c r="B728" s="54"/>
      <c r="C728" s="54"/>
      <c r="D728" s="55" t="str">
        <f>_xlfn.XLOOKUP(A728,My_Audit!A:A,My_Audit!D:D,"")&amp;""</f>
        <v/>
      </c>
      <c r="E728" s="55" t="str" cm="1">
        <f t="array" ref="E728">IFERROR(_xlfn.LET(
_xlpm.CSVVal,_xlfn.XLOOKUP($A728,CSV!$A:$A,CSV!D:D,""),
_xlpm.MacVal,_xlfn.XLOOKUP($A728,Output_Mac!$A:$A,Output_Mac!C:C,""),
_xlpm.MyAuditVal,_xlfn.XLOOKUP($A728,My_Audit!$A:$A,My_Audit!D:D,""),
_xlfn.IFS(_xlpm.MyAuditVal&lt;&gt;"",_xlpm.MyAuditVal,_xlpm.MacVal&lt;&gt;"",_xlpm.MacVal,_xlpm.CSVVal&lt;&gt;"",_xlpm.CSVVal
)),"")</f>
        <v/>
      </c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39"/>
    </row>
    <row r="729" spans="1:21">
      <c r="A729" s="54" t="str">
        <f>_xlfn.TEXTJOIN("",TRUE,Input!$B$2,ROW(My_Audit!A728))</f>
        <v>XX728</v>
      </c>
      <c r="B729" s="54"/>
      <c r="C729" s="54"/>
      <c r="D729" s="55" t="str">
        <f>_xlfn.XLOOKUP(A729,My_Audit!A:A,My_Audit!D:D,"")&amp;""</f>
        <v/>
      </c>
      <c r="E729" s="55" t="str" cm="1">
        <f t="array" ref="E729">IFERROR(_xlfn.LET(
_xlpm.CSVVal,_xlfn.XLOOKUP($A729,CSV!$A:$A,CSV!D:D,""),
_xlpm.MacVal,_xlfn.XLOOKUP($A729,Output_Mac!$A:$A,Output_Mac!C:C,""),
_xlpm.MyAuditVal,_xlfn.XLOOKUP($A729,My_Audit!$A:$A,My_Audit!D:D,""),
_xlfn.IFS(_xlpm.MyAuditVal&lt;&gt;"",_xlpm.MyAuditVal,_xlpm.MacVal&lt;&gt;"",_xlpm.MacVal,_xlpm.CSVVal&lt;&gt;"",_xlpm.CSVVal
)),"")</f>
        <v/>
      </c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39"/>
    </row>
    <row r="730" spans="1:21">
      <c r="A730" s="54" t="str">
        <f>_xlfn.TEXTJOIN("",TRUE,Input!$B$2,ROW(My_Audit!A729))</f>
        <v>XX729</v>
      </c>
      <c r="B730" s="54"/>
      <c r="C730" s="54"/>
      <c r="D730" s="55" t="str">
        <f>_xlfn.XLOOKUP(A730,My_Audit!A:A,My_Audit!D:D,"")&amp;""</f>
        <v/>
      </c>
      <c r="E730" s="55" t="str" cm="1">
        <f t="array" ref="E730">IFERROR(_xlfn.LET(
_xlpm.CSVVal,_xlfn.XLOOKUP($A730,CSV!$A:$A,CSV!D:D,""),
_xlpm.MacVal,_xlfn.XLOOKUP($A730,Output_Mac!$A:$A,Output_Mac!C:C,""),
_xlpm.MyAuditVal,_xlfn.XLOOKUP($A730,My_Audit!$A:$A,My_Audit!D:D,""),
_xlfn.IFS(_xlpm.MyAuditVal&lt;&gt;"",_xlpm.MyAuditVal,_xlpm.MacVal&lt;&gt;"",_xlpm.MacVal,_xlpm.CSVVal&lt;&gt;"",_xlpm.CSVVal
)),"")</f>
        <v/>
      </c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39"/>
    </row>
    <row r="731" spans="1:21">
      <c r="A731" s="54" t="str">
        <f>_xlfn.TEXTJOIN("",TRUE,Input!$B$2,ROW(My_Audit!A730))</f>
        <v>XX730</v>
      </c>
      <c r="B731" s="54"/>
      <c r="C731" s="54"/>
      <c r="D731" s="55" t="str">
        <f>_xlfn.XLOOKUP(A731,My_Audit!A:A,My_Audit!D:D,"")&amp;""</f>
        <v/>
      </c>
      <c r="E731" s="55" t="str" cm="1">
        <f t="array" ref="E731">IFERROR(_xlfn.LET(
_xlpm.CSVVal,_xlfn.XLOOKUP($A731,CSV!$A:$A,CSV!D:D,""),
_xlpm.MacVal,_xlfn.XLOOKUP($A731,Output_Mac!$A:$A,Output_Mac!C:C,""),
_xlpm.MyAuditVal,_xlfn.XLOOKUP($A731,My_Audit!$A:$A,My_Audit!D:D,""),
_xlfn.IFS(_xlpm.MyAuditVal&lt;&gt;"",_xlpm.MyAuditVal,_xlpm.MacVal&lt;&gt;"",_xlpm.MacVal,_xlpm.CSVVal&lt;&gt;"",_xlpm.CSVVal
)),"")</f>
        <v/>
      </c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39"/>
    </row>
    <row r="732" spans="1:21">
      <c r="A732" s="54" t="str">
        <f>_xlfn.TEXTJOIN("",TRUE,Input!$B$2,ROW(My_Audit!A731))</f>
        <v>XX731</v>
      </c>
      <c r="B732" s="54"/>
      <c r="C732" s="54"/>
      <c r="D732" s="55" t="str">
        <f>_xlfn.XLOOKUP(A732,My_Audit!A:A,My_Audit!D:D,"")&amp;""</f>
        <v/>
      </c>
      <c r="E732" s="55" t="str" cm="1">
        <f t="array" ref="E732">IFERROR(_xlfn.LET(
_xlpm.CSVVal,_xlfn.XLOOKUP($A732,CSV!$A:$A,CSV!D:D,""),
_xlpm.MacVal,_xlfn.XLOOKUP($A732,Output_Mac!$A:$A,Output_Mac!C:C,""),
_xlpm.MyAuditVal,_xlfn.XLOOKUP($A732,My_Audit!$A:$A,My_Audit!D:D,""),
_xlfn.IFS(_xlpm.MyAuditVal&lt;&gt;"",_xlpm.MyAuditVal,_xlpm.MacVal&lt;&gt;"",_xlpm.MacVal,_xlpm.CSVVal&lt;&gt;"",_xlpm.CSVVal
)),"")</f>
        <v/>
      </c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39"/>
    </row>
    <row r="733" spans="1:21">
      <c r="A733" s="54" t="str">
        <f>_xlfn.TEXTJOIN("",TRUE,Input!$B$2,ROW(My_Audit!A732))</f>
        <v>XX732</v>
      </c>
      <c r="B733" s="54"/>
      <c r="C733" s="54"/>
      <c r="D733" s="55" t="str">
        <f>_xlfn.XLOOKUP(A733,My_Audit!A:A,My_Audit!D:D,"")&amp;""</f>
        <v/>
      </c>
      <c r="E733" s="55" t="str" cm="1">
        <f t="array" ref="E733">IFERROR(_xlfn.LET(
_xlpm.CSVVal,_xlfn.XLOOKUP($A733,CSV!$A:$A,CSV!D:D,""),
_xlpm.MacVal,_xlfn.XLOOKUP($A733,Output_Mac!$A:$A,Output_Mac!C:C,""),
_xlpm.MyAuditVal,_xlfn.XLOOKUP($A733,My_Audit!$A:$A,My_Audit!D:D,""),
_xlfn.IFS(_xlpm.MyAuditVal&lt;&gt;"",_xlpm.MyAuditVal,_xlpm.MacVal&lt;&gt;"",_xlpm.MacVal,_xlpm.CSVVal&lt;&gt;"",_xlpm.CSVVal
)),"")</f>
        <v/>
      </c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39"/>
    </row>
    <row r="734" spans="1:21">
      <c r="A734" s="54" t="str">
        <f>_xlfn.TEXTJOIN("",TRUE,Input!$B$2,ROW(My_Audit!A733))</f>
        <v>XX733</v>
      </c>
      <c r="B734" s="54"/>
      <c r="C734" s="54"/>
      <c r="D734" s="55" t="str">
        <f>_xlfn.XLOOKUP(A734,My_Audit!A:A,My_Audit!D:D,"")&amp;""</f>
        <v/>
      </c>
      <c r="E734" s="55" t="str" cm="1">
        <f t="array" ref="E734">IFERROR(_xlfn.LET(
_xlpm.CSVVal,_xlfn.XLOOKUP($A734,CSV!$A:$A,CSV!D:D,""),
_xlpm.MacVal,_xlfn.XLOOKUP($A734,Output_Mac!$A:$A,Output_Mac!C:C,""),
_xlpm.MyAuditVal,_xlfn.XLOOKUP($A734,My_Audit!$A:$A,My_Audit!D:D,""),
_xlfn.IFS(_xlpm.MyAuditVal&lt;&gt;"",_xlpm.MyAuditVal,_xlpm.MacVal&lt;&gt;"",_xlpm.MacVal,_xlpm.CSVVal&lt;&gt;"",_xlpm.CSVVal
)),"")</f>
        <v/>
      </c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39"/>
    </row>
    <row r="735" spans="1:21">
      <c r="A735" s="54" t="str">
        <f>_xlfn.TEXTJOIN("",TRUE,Input!$B$2,ROW(My_Audit!A734))</f>
        <v>XX734</v>
      </c>
      <c r="B735" s="54"/>
      <c r="C735" s="54"/>
      <c r="D735" s="55" t="str">
        <f>_xlfn.XLOOKUP(A735,My_Audit!A:A,My_Audit!D:D,"")&amp;""</f>
        <v/>
      </c>
      <c r="E735" s="55" t="str" cm="1">
        <f t="array" ref="E735">IFERROR(_xlfn.LET(
_xlpm.CSVVal,_xlfn.XLOOKUP($A735,CSV!$A:$A,CSV!D:D,""),
_xlpm.MacVal,_xlfn.XLOOKUP($A735,Output_Mac!$A:$A,Output_Mac!C:C,""),
_xlpm.MyAuditVal,_xlfn.XLOOKUP($A735,My_Audit!$A:$A,My_Audit!D:D,""),
_xlfn.IFS(_xlpm.MyAuditVal&lt;&gt;"",_xlpm.MyAuditVal,_xlpm.MacVal&lt;&gt;"",_xlpm.MacVal,_xlpm.CSVVal&lt;&gt;"",_xlpm.CSVVal
)),"")</f>
        <v/>
      </c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39"/>
    </row>
    <row r="736" spans="1:21">
      <c r="A736" s="54" t="str">
        <f>_xlfn.TEXTJOIN("",TRUE,Input!$B$2,ROW(My_Audit!A735))</f>
        <v>XX735</v>
      </c>
      <c r="B736" s="54"/>
      <c r="C736" s="54"/>
      <c r="D736" s="55" t="str">
        <f>_xlfn.XLOOKUP(A736,My_Audit!A:A,My_Audit!D:D,"")&amp;""</f>
        <v/>
      </c>
      <c r="E736" s="55" t="str" cm="1">
        <f t="array" ref="E736">IFERROR(_xlfn.LET(
_xlpm.CSVVal,_xlfn.XLOOKUP($A736,CSV!$A:$A,CSV!D:D,""),
_xlpm.MacVal,_xlfn.XLOOKUP($A736,Output_Mac!$A:$A,Output_Mac!C:C,""),
_xlpm.MyAuditVal,_xlfn.XLOOKUP($A736,My_Audit!$A:$A,My_Audit!D:D,""),
_xlfn.IFS(_xlpm.MyAuditVal&lt;&gt;"",_xlpm.MyAuditVal,_xlpm.MacVal&lt;&gt;"",_xlpm.MacVal,_xlpm.CSVVal&lt;&gt;"",_xlpm.CSVVal
)),"")</f>
        <v/>
      </c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39"/>
    </row>
    <row r="737" spans="1:21">
      <c r="A737" s="54" t="str">
        <f>_xlfn.TEXTJOIN("",TRUE,Input!$B$2,ROW(My_Audit!A736))</f>
        <v>XX736</v>
      </c>
      <c r="B737" s="54"/>
      <c r="C737" s="54"/>
      <c r="D737" s="55" t="str">
        <f>_xlfn.XLOOKUP(A737,My_Audit!A:A,My_Audit!D:D,"")&amp;""</f>
        <v/>
      </c>
      <c r="E737" s="55" t="str" cm="1">
        <f t="array" ref="E737">IFERROR(_xlfn.LET(
_xlpm.CSVVal,_xlfn.XLOOKUP($A737,CSV!$A:$A,CSV!D:D,""),
_xlpm.MacVal,_xlfn.XLOOKUP($A737,Output_Mac!$A:$A,Output_Mac!C:C,""),
_xlpm.MyAuditVal,_xlfn.XLOOKUP($A737,My_Audit!$A:$A,My_Audit!D:D,""),
_xlfn.IFS(_xlpm.MyAuditVal&lt;&gt;"",_xlpm.MyAuditVal,_xlpm.MacVal&lt;&gt;"",_xlpm.MacVal,_xlpm.CSVVal&lt;&gt;"",_xlpm.CSVVal
)),"")</f>
        <v/>
      </c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39"/>
    </row>
    <row r="738" spans="1:21">
      <c r="A738" s="54" t="str">
        <f>_xlfn.TEXTJOIN("",TRUE,Input!$B$2,ROW(My_Audit!A737))</f>
        <v>XX737</v>
      </c>
      <c r="B738" s="54"/>
      <c r="C738" s="54"/>
      <c r="D738" s="55" t="str">
        <f>_xlfn.XLOOKUP(A738,My_Audit!A:A,My_Audit!D:D,"")&amp;""</f>
        <v/>
      </c>
      <c r="E738" s="55" t="str" cm="1">
        <f t="array" ref="E738">IFERROR(_xlfn.LET(
_xlpm.CSVVal,_xlfn.XLOOKUP($A738,CSV!$A:$A,CSV!D:D,""),
_xlpm.MacVal,_xlfn.XLOOKUP($A738,Output_Mac!$A:$A,Output_Mac!C:C,""),
_xlpm.MyAuditVal,_xlfn.XLOOKUP($A738,My_Audit!$A:$A,My_Audit!D:D,""),
_xlfn.IFS(_xlpm.MyAuditVal&lt;&gt;"",_xlpm.MyAuditVal,_xlpm.MacVal&lt;&gt;"",_xlpm.MacVal,_xlpm.CSVVal&lt;&gt;"",_xlpm.CSVVal
)),"")</f>
        <v/>
      </c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39"/>
    </row>
    <row r="739" spans="1:21">
      <c r="A739" s="54" t="str">
        <f>_xlfn.TEXTJOIN("",TRUE,Input!$B$2,ROW(My_Audit!A738))</f>
        <v>XX738</v>
      </c>
      <c r="B739" s="54"/>
      <c r="C739" s="54"/>
      <c r="D739" s="55" t="str">
        <f>_xlfn.XLOOKUP(A739,My_Audit!A:A,My_Audit!D:D,"")&amp;""</f>
        <v/>
      </c>
      <c r="E739" s="55" t="str" cm="1">
        <f t="array" ref="E739">IFERROR(_xlfn.LET(
_xlpm.CSVVal,_xlfn.XLOOKUP($A739,CSV!$A:$A,CSV!D:D,""),
_xlpm.MacVal,_xlfn.XLOOKUP($A739,Output_Mac!$A:$A,Output_Mac!C:C,""),
_xlpm.MyAuditVal,_xlfn.XLOOKUP($A739,My_Audit!$A:$A,My_Audit!D:D,""),
_xlfn.IFS(_xlpm.MyAuditVal&lt;&gt;"",_xlpm.MyAuditVal,_xlpm.MacVal&lt;&gt;"",_xlpm.MacVal,_xlpm.CSVVal&lt;&gt;"",_xlpm.CSVVal
)),"")</f>
        <v/>
      </c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39"/>
    </row>
    <row r="740" spans="1:21">
      <c r="A740" s="54" t="str">
        <f>_xlfn.TEXTJOIN("",TRUE,Input!$B$2,ROW(My_Audit!A739))</f>
        <v>XX739</v>
      </c>
      <c r="B740" s="54"/>
      <c r="C740" s="54"/>
      <c r="D740" s="55" t="str">
        <f>_xlfn.XLOOKUP(A740,My_Audit!A:A,My_Audit!D:D,"")&amp;""</f>
        <v/>
      </c>
      <c r="E740" s="55" t="str" cm="1">
        <f t="array" ref="E740">IFERROR(_xlfn.LET(
_xlpm.CSVVal,_xlfn.XLOOKUP($A740,CSV!$A:$A,CSV!D:D,""),
_xlpm.MacVal,_xlfn.XLOOKUP($A740,Output_Mac!$A:$A,Output_Mac!C:C,""),
_xlpm.MyAuditVal,_xlfn.XLOOKUP($A740,My_Audit!$A:$A,My_Audit!D:D,""),
_xlfn.IFS(_xlpm.MyAuditVal&lt;&gt;"",_xlpm.MyAuditVal,_xlpm.MacVal&lt;&gt;"",_xlpm.MacVal,_xlpm.CSVVal&lt;&gt;"",_xlpm.CSVVal
)),"")</f>
        <v/>
      </c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39"/>
    </row>
    <row r="741" spans="1:21">
      <c r="A741" s="54" t="str">
        <f>_xlfn.TEXTJOIN("",TRUE,Input!$B$2,ROW(My_Audit!A740))</f>
        <v>XX740</v>
      </c>
      <c r="B741" s="54"/>
      <c r="C741" s="54"/>
      <c r="D741" s="55" t="str">
        <f>_xlfn.XLOOKUP(A741,My_Audit!A:A,My_Audit!D:D,"")&amp;""</f>
        <v/>
      </c>
      <c r="E741" s="55" t="str" cm="1">
        <f t="array" ref="E741">IFERROR(_xlfn.LET(
_xlpm.CSVVal,_xlfn.XLOOKUP($A741,CSV!$A:$A,CSV!D:D,""),
_xlpm.MacVal,_xlfn.XLOOKUP($A741,Output_Mac!$A:$A,Output_Mac!C:C,""),
_xlpm.MyAuditVal,_xlfn.XLOOKUP($A741,My_Audit!$A:$A,My_Audit!D:D,""),
_xlfn.IFS(_xlpm.MyAuditVal&lt;&gt;"",_xlpm.MyAuditVal,_xlpm.MacVal&lt;&gt;"",_xlpm.MacVal,_xlpm.CSVVal&lt;&gt;"",_xlpm.CSVVal
)),"")</f>
        <v/>
      </c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39"/>
    </row>
    <row r="742" spans="1:21">
      <c r="A742" s="54" t="str">
        <f>_xlfn.TEXTJOIN("",TRUE,Input!$B$2,ROW(My_Audit!A741))</f>
        <v>XX741</v>
      </c>
      <c r="B742" s="54"/>
      <c r="C742" s="54"/>
      <c r="D742" s="55" t="str">
        <f>_xlfn.XLOOKUP(A742,My_Audit!A:A,My_Audit!D:D,"")&amp;""</f>
        <v/>
      </c>
      <c r="E742" s="55" t="str" cm="1">
        <f t="array" ref="E742">IFERROR(_xlfn.LET(
_xlpm.CSVVal,_xlfn.XLOOKUP($A742,CSV!$A:$A,CSV!D:D,""),
_xlpm.MacVal,_xlfn.XLOOKUP($A742,Output_Mac!$A:$A,Output_Mac!C:C,""),
_xlpm.MyAuditVal,_xlfn.XLOOKUP($A742,My_Audit!$A:$A,My_Audit!D:D,""),
_xlfn.IFS(_xlpm.MyAuditVal&lt;&gt;"",_xlpm.MyAuditVal,_xlpm.MacVal&lt;&gt;"",_xlpm.MacVal,_xlpm.CSVVal&lt;&gt;"",_xlpm.CSVVal
)),"")</f>
        <v/>
      </c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39"/>
    </row>
    <row r="743" spans="1:21">
      <c r="A743" s="54" t="str">
        <f>_xlfn.TEXTJOIN("",TRUE,Input!$B$2,ROW(My_Audit!A742))</f>
        <v>XX742</v>
      </c>
      <c r="B743" s="54"/>
      <c r="C743" s="54"/>
      <c r="D743" s="55" t="str">
        <f>_xlfn.XLOOKUP(A743,My_Audit!A:A,My_Audit!D:D,"")&amp;""</f>
        <v/>
      </c>
      <c r="E743" s="55" t="str" cm="1">
        <f t="array" ref="E743">IFERROR(_xlfn.LET(
_xlpm.CSVVal,_xlfn.XLOOKUP($A743,CSV!$A:$A,CSV!D:D,""),
_xlpm.MacVal,_xlfn.XLOOKUP($A743,Output_Mac!$A:$A,Output_Mac!C:C,""),
_xlpm.MyAuditVal,_xlfn.XLOOKUP($A743,My_Audit!$A:$A,My_Audit!D:D,""),
_xlfn.IFS(_xlpm.MyAuditVal&lt;&gt;"",_xlpm.MyAuditVal,_xlpm.MacVal&lt;&gt;"",_xlpm.MacVal,_xlpm.CSVVal&lt;&gt;"",_xlpm.CSVVal
)),"")</f>
        <v/>
      </c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39"/>
    </row>
    <row r="744" spans="1:21">
      <c r="A744" s="54" t="str">
        <f>_xlfn.TEXTJOIN("",TRUE,Input!$B$2,ROW(My_Audit!A743))</f>
        <v>XX743</v>
      </c>
      <c r="B744" s="54"/>
      <c r="C744" s="54"/>
      <c r="D744" s="55" t="str">
        <f>_xlfn.XLOOKUP(A744,My_Audit!A:A,My_Audit!D:D,"")&amp;""</f>
        <v/>
      </c>
      <c r="E744" s="55" t="str" cm="1">
        <f t="array" ref="E744">IFERROR(_xlfn.LET(
_xlpm.CSVVal,_xlfn.XLOOKUP($A744,CSV!$A:$A,CSV!D:D,""),
_xlpm.MacVal,_xlfn.XLOOKUP($A744,Output_Mac!$A:$A,Output_Mac!C:C,""),
_xlpm.MyAuditVal,_xlfn.XLOOKUP($A744,My_Audit!$A:$A,My_Audit!D:D,""),
_xlfn.IFS(_xlpm.MyAuditVal&lt;&gt;"",_xlpm.MyAuditVal,_xlpm.MacVal&lt;&gt;"",_xlpm.MacVal,_xlpm.CSVVal&lt;&gt;"",_xlpm.CSVVal
)),"")</f>
        <v/>
      </c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39"/>
    </row>
    <row r="745" spans="1:21">
      <c r="A745" s="54" t="str">
        <f>_xlfn.TEXTJOIN("",TRUE,Input!$B$2,ROW(My_Audit!A744))</f>
        <v>XX744</v>
      </c>
      <c r="B745" s="54"/>
      <c r="C745" s="54"/>
      <c r="D745" s="55" t="str">
        <f>_xlfn.XLOOKUP(A745,My_Audit!A:A,My_Audit!D:D,"")&amp;""</f>
        <v/>
      </c>
      <c r="E745" s="55" t="str" cm="1">
        <f t="array" ref="E745">IFERROR(_xlfn.LET(
_xlpm.CSVVal,_xlfn.XLOOKUP($A745,CSV!$A:$A,CSV!D:D,""),
_xlpm.MacVal,_xlfn.XLOOKUP($A745,Output_Mac!$A:$A,Output_Mac!C:C,""),
_xlpm.MyAuditVal,_xlfn.XLOOKUP($A745,My_Audit!$A:$A,My_Audit!D:D,""),
_xlfn.IFS(_xlpm.MyAuditVal&lt;&gt;"",_xlpm.MyAuditVal,_xlpm.MacVal&lt;&gt;"",_xlpm.MacVal,_xlpm.CSVVal&lt;&gt;"",_xlpm.CSVVal
)),"")</f>
        <v/>
      </c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39"/>
    </row>
    <row r="746" spans="1:21">
      <c r="A746" s="54" t="str">
        <f>_xlfn.TEXTJOIN("",TRUE,Input!$B$2,ROW(My_Audit!A745))</f>
        <v>XX745</v>
      </c>
      <c r="B746" s="54"/>
      <c r="C746" s="54"/>
      <c r="D746" s="55" t="str">
        <f>_xlfn.XLOOKUP(A746,My_Audit!A:A,My_Audit!D:D,"")&amp;""</f>
        <v/>
      </c>
      <c r="E746" s="55" t="str" cm="1">
        <f t="array" ref="E746">IFERROR(_xlfn.LET(
_xlpm.CSVVal,_xlfn.XLOOKUP($A746,CSV!$A:$A,CSV!D:D,""),
_xlpm.MacVal,_xlfn.XLOOKUP($A746,Output_Mac!$A:$A,Output_Mac!C:C,""),
_xlpm.MyAuditVal,_xlfn.XLOOKUP($A746,My_Audit!$A:$A,My_Audit!D:D,""),
_xlfn.IFS(_xlpm.MyAuditVal&lt;&gt;"",_xlpm.MyAuditVal,_xlpm.MacVal&lt;&gt;"",_xlpm.MacVal,_xlpm.CSVVal&lt;&gt;"",_xlpm.CSVVal
)),"")</f>
        <v/>
      </c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39"/>
    </row>
    <row r="747" spans="1:21">
      <c r="A747" s="54" t="str">
        <f>_xlfn.TEXTJOIN("",TRUE,Input!$B$2,ROW(My_Audit!A746))</f>
        <v>XX746</v>
      </c>
      <c r="B747" s="54"/>
      <c r="C747" s="54"/>
      <c r="D747" s="55" t="str">
        <f>_xlfn.XLOOKUP(A747,My_Audit!A:A,My_Audit!D:D,"")&amp;""</f>
        <v/>
      </c>
      <c r="E747" s="55" t="str" cm="1">
        <f t="array" ref="E747">IFERROR(_xlfn.LET(
_xlpm.CSVVal,_xlfn.XLOOKUP($A747,CSV!$A:$A,CSV!D:D,""),
_xlpm.MacVal,_xlfn.XLOOKUP($A747,Output_Mac!$A:$A,Output_Mac!C:C,""),
_xlpm.MyAuditVal,_xlfn.XLOOKUP($A747,My_Audit!$A:$A,My_Audit!D:D,""),
_xlfn.IFS(_xlpm.MyAuditVal&lt;&gt;"",_xlpm.MyAuditVal,_xlpm.MacVal&lt;&gt;"",_xlpm.MacVal,_xlpm.CSVVal&lt;&gt;"",_xlpm.CSVVal
)),"")</f>
        <v/>
      </c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39"/>
    </row>
    <row r="748" spans="1:21">
      <c r="A748" s="54" t="str">
        <f>_xlfn.TEXTJOIN("",TRUE,Input!$B$2,ROW(My_Audit!A747))</f>
        <v>XX747</v>
      </c>
      <c r="B748" s="54"/>
      <c r="C748" s="54"/>
      <c r="D748" s="55" t="str">
        <f>_xlfn.XLOOKUP(A748,My_Audit!A:A,My_Audit!D:D,"")&amp;""</f>
        <v/>
      </c>
      <c r="E748" s="55" t="str" cm="1">
        <f t="array" ref="E748">IFERROR(_xlfn.LET(
_xlpm.CSVVal,_xlfn.XLOOKUP($A748,CSV!$A:$A,CSV!D:D,""),
_xlpm.MacVal,_xlfn.XLOOKUP($A748,Output_Mac!$A:$A,Output_Mac!C:C,""),
_xlpm.MyAuditVal,_xlfn.XLOOKUP($A748,My_Audit!$A:$A,My_Audit!D:D,""),
_xlfn.IFS(_xlpm.MyAuditVal&lt;&gt;"",_xlpm.MyAuditVal,_xlpm.MacVal&lt;&gt;"",_xlpm.MacVal,_xlpm.CSVVal&lt;&gt;"",_xlpm.CSVVal
)),"")</f>
        <v/>
      </c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39"/>
    </row>
    <row r="749" spans="1:21">
      <c r="A749" s="54" t="str">
        <f>_xlfn.TEXTJOIN("",TRUE,Input!$B$2,ROW(My_Audit!A748))</f>
        <v>XX748</v>
      </c>
      <c r="B749" s="54"/>
      <c r="C749" s="54"/>
      <c r="D749" s="55" t="str">
        <f>_xlfn.XLOOKUP(A749,My_Audit!A:A,My_Audit!D:D,"")&amp;""</f>
        <v/>
      </c>
      <c r="E749" s="55" t="str" cm="1">
        <f t="array" ref="E749">IFERROR(_xlfn.LET(
_xlpm.CSVVal,_xlfn.XLOOKUP($A749,CSV!$A:$A,CSV!D:D,""),
_xlpm.MacVal,_xlfn.XLOOKUP($A749,Output_Mac!$A:$A,Output_Mac!C:C,""),
_xlpm.MyAuditVal,_xlfn.XLOOKUP($A749,My_Audit!$A:$A,My_Audit!D:D,""),
_xlfn.IFS(_xlpm.MyAuditVal&lt;&gt;"",_xlpm.MyAuditVal,_xlpm.MacVal&lt;&gt;"",_xlpm.MacVal,_xlpm.CSVVal&lt;&gt;"",_xlpm.CSVVal
)),"")</f>
        <v/>
      </c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39"/>
    </row>
    <row r="750" spans="1:21">
      <c r="A750" s="54" t="str">
        <f>_xlfn.TEXTJOIN("",TRUE,Input!$B$2,ROW(My_Audit!A749))</f>
        <v>XX749</v>
      </c>
      <c r="B750" s="54"/>
      <c r="C750" s="54"/>
      <c r="D750" s="55" t="str">
        <f>_xlfn.XLOOKUP(A750,My_Audit!A:A,My_Audit!D:D,"")&amp;""</f>
        <v/>
      </c>
      <c r="E750" s="55" t="str" cm="1">
        <f t="array" ref="E750">IFERROR(_xlfn.LET(
_xlpm.CSVVal,_xlfn.XLOOKUP($A750,CSV!$A:$A,CSV!D:D,""),
_xlpm.MacVal,_xlfn.XLOOKUP($A750,Output_Mac!$A:$A,Output_Mac!C:C,""),
_xlpm.MyAuditVal,_xlfn.XLOOKUP($A750,My_Audit!$A:$A,My_Audit!D:D,""),
_xlfn.IFS(_xlpm.MyAuditVal&lt;&gt;"",_xlpm.MyAuditVal,_xlpm.MacVal&lt;&gt;"",_xlpm.MacVal,_xlpm.CSVVal&lt;&gt;"",_xlpm.CSVVal
)),"")</f>
        <v/>
      </c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39"/>
    </row>
    <row r="751" spans="1:21">
      <c r="A751" s="54" t="str">
        <f>_xlfn.TEXTJOIN("",TRUE,Input!$B$2,ROW(My_Audit!A750))</f>
        <v>XX750</v>
      </c>
      <c r="B751" s="54"/>
      <c r="C751" s="54"/>
      <c r="D751" s="55" t="str">
        <f>_xlfn.XLOOKUP(A751,My_Audit!A:A,My_Audit!D:D,"")&amp;""</f>
        <v/>
      </c>
      <c r="E751" s="55" t="str" cm="1">
        <f t="array" ref="E751">IFERROR(_xlfn.LET(
_xlpm.CSVVal,_xlfn.XLOOKUP($A751,CSV!$A:$A,CSV!D:D,""),
_xlpm.MacVal,_xlfn.XLOOKUP($A751,Output_Mac!$A:$A,Output_Mac!C:C,""),
_xlpm.MyAuditVal,_xlfn.XLOOKUP($A751,My_Audit!$A:$A,My_Audit!D:D,""),
_xlfn.IFS(_xlpm.MyAuditVal&lt;&gt;"",_xlpm.MyAuditVal,_xlpm.MacVal&lt;&gt;"",_xlpm.MacVal,_xlpm.CSVVal&lt;&gt;"",_xlpm.CSVVal
)),"")</f>
        <v/>
      </c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39"/>
    </row>
    <row r="752" spans="1:21">
      <c r="A752" s="54" t="str">
        <f>_xlfn.TEXTJOIN("",TRUE,Input!$B$2,ROW(My_Audit!A751))</f>
        <v>XX751</v>
      </c>
      <c r="B752" s="54"/>
      <c r="C752" s="54"/>
      <c r="D752" s="55" t="str">
        <f>_xlfn.XLOOKUP(A752,My_Audit!A:A,My_Audit!D:D,"")&amp;""</f>
        <v/>
      </c>
      <c r="E752" s="55" t="str" cm="1">
        <f t="array" ref="E752">IFERROR(_xlfn.LET(
_xlpm.CSVVal,_xlfn.XLOOKUP($A752,CSV!$A:$A,CSV!D:D,""),
_xlpm.MacVal,_xlfn.XLOOKUP($A752,Output_Mac!$A:$A,Output_Mac!C:C,""),
_xlpm.MyAuditVal,_xlfn.XLOOKUP($A752,My_Audit!$A:$A,My_Audit!D:D,""),
_xlfn.IFS(_xlpm.MyAuditVal&lt;&gt;"",_xlpm.MyAuditVal,_xlpm.MacVal&lt;&gt;"",_xlpm.MacVal,_xlpm.CSVVal&lt;&gt;"",_xlpm.CSVVal
)),"")</f>
        <v/>
      </c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39"/>
    </row>
    <row r="753" spans="1:21">
      <c r="A753" s="54" t="str">
        <f>_xlfn.TEXTJOIN("",TRUE,Input!$B$2,ROW(My_Audit!A752))</f>
        <v>XX752</v>
      </c>
      <c r="B753" s="54"/>
      <c r="C753" s="54"/>
      <c r="D753" s="55" t="str">
        <f>_xlfn.XLOOKUP(A753,My_Audit!A:A,My_Audit!D:D,"")&amp;""</f>
        <v/>
      </c>
      <c r="E753" s="55" t="str" cm="1">
        <f t="array" ref="E753">IFERROR(_xlfn.LET(
_xlpm.CSVVal,_xlfn.XLOOKUP($A753,CSV!$A:$A,CSV!D:D,""),
_xlpm.MacVal,_xlfn.XLOOKUP($A753,Output_Mac!$A:$A,Output_Mac!C:C,""),
_xlpm.MyAuditVal,_xlfn.XLOOKUP($A753,My_Audit!$A:$A,My_Audit!D:D,""),
_xlfn.IFS(_xlpm.MyAuditVal&lt;&gt;"",_xlpm.MyAuditVal,_xlpm.MacVal&lt;&gt;"",_xlpm.MacVal,_xlpm.CSVVal&lt;&gt;"",_xlpm.CSVVal
)),"")</f>
        <v/>
      </c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39"/>
    </row>
    <row r="754" spans="1:21">
      <c r="A754" s="54" t="str">
        <f>_xlfn.TEXTJOIN("",TRUE,Input!$B$2,ROW(My_Audit!A753))</f>
        <v>XX753</v>
      </c>
      <c r="B754" s="54"/>
      <c r="C754" s="54"/>
      <c r="D754" s="55" t="str">
        <f>_xlfn.XLOOKUP(A754,My_Audit!A:A,My_Audit!D:D,"")&amp;""</f>
        <v/>
      </c>
      <c r="E754" s="55" t="str" cm="1">
        <f t="array" ref="E754">IFERROR(_xlfn.LET(
_xlpm.CSVVal,_xlfn.XLOOKUP($A754,CSV!$A:$A,CSV!D:D,""),
_xlpm.MacVal,_xlfn.XLOOKUP($A754,Output_Mac!$A:$A,Output_Mac!C:C,""),
_xlpm.MyAuditVal,_xlfn.XLOOKUP($A754,My_Audit!$A:$A,My_Audit!D:D,""),
_xlfn.IFS(_xlpm.MyAuditVal&lt;&gt;"",_xlpm.MyAuditVal,_xlpm.MacVal&lt;&gt;"",_xlpm.MacVal,_xlpm.CSVVal&lt;&gt;"",_xlpm.CSVVal
)),"")</f>
        <v/>
      </c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39"/>
    </row>
    <row r="755" spans="1:21">
      <c r="A755" s="54" t="str">
        <f>_xlfn.TEXTJOIN("",TRUE,Input!$B$2,ROW(My_Audit!A754))</f>
        <v>XX754</v>
      </c>
      <c r="B755" s="54"/>
      <c r="C755" s="54"/>
      <c r="D755" s="55" t="str">
        <f>_xlfn.XLOOKUP(A755,My_Audit!A:A,My_Audit!D:D,"")&amp;""</f>
        <v/>
      </c>
      <c r="E755" s="55" t="str" cm="1">
        <f t="array" ref="E755">IFERROR(_xlfn.LET(
_xlpm.CSVVal,_xlfn.XLOOKUP($A755,CSV!$A:$A,CSV!D:D,""),
_xlpm.MacVal,_xlfn.XLOOKUP($A755,Output_Mac!$A:$A,Output_Mac!C:C,""),
_xlpm.MyAuditVal,_xlfn.XLOOKUP($A755,My_Audit!$A:$A,My_Audit!D:D,""),
_xlfn.IFS(_xlpm.MyAuditVal&lt;&gt;"",_xlpm.MyAuditVal,_xlpm.MacVal&lt;&gt;"",_xlpm.MacVal,_xlpm.CSVVal&lt;&gt;"",_xlpm.CSVVal
)),"")</f>
        <v/>
      </c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39"/>
    </row>
    <row r="756" spans="1:21">
      <c r="A756" s="54" t="str">
        <f>_xlfn.TEXTJOIN("",TRUE,Input!$B$2,ROW(My_Audit!A755))</f>
        <v>XX755</v>
      </c>
      <c r="B756" s="54"/>
      <c r="C756" s="54"/>
      <c r="D756" s="55" t="str">
        <f>_xlfn.XLOOKUP(A756,My_Audit!A:A,My_Audit!D:D,"")&amp;""</f>
        <v/>
      </c>
      <c r="E756" s="55" t="str" cm="1">
        <f t="array" ref="E756">IFERROR(_xlfn.LET(
_xlpm.CSVVal,_xlfn.XLOOKUP($A756,CSV!$A:$A,CSV!D:D,""),
_xlpm.MacVal,_xlfn.XLOOKUP($A756,Output_Mac!$A:$A,Output_Mac!C:C,""),
_xlpm.MyAuditVal,_xlfn.XLOOKUP($A756,My_Audit!$A:$A,My_Audit!D:D,""),
_xlfn.IFS(_xlpm.MyAuditVal&lt;&gt;"",_xlpm.MyAuditVal,_xlpm.MacVal&lt;&gt;"",_xlpm.MacVal,_xlpm.CSVVal&lt;&gt;"",_xlpm.CSVVal
)),"")</f>
        <v/>
      </c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39"/>
    </row>
    <row r="757" spans="1:21">
      <c r="A757" s="54" t="str">
        <f>_xlfn.TEXTJOIN("",TRUE,Input!$B$2,ROW(My_Audit!A756))</f>
        <v>XX756</v>
      </c>
      <c r="B757" s="54"/>
      <c r="C757" s="54"/>
      <c r="D757" s="55" t="str">
        <f>_xlfn.XLOOKUP(A757,My_Audit!A:A,My_Audit!D:D,"")&amp;""</f>
        <v/>
      </c>
      <c r="E757" s="55" t="str" cm="1">
        <f t="array" ref="E757">IFERROR(_xlfn.LET(
_xlpm.CSVVal,_xlfn.XLOOKUP($A757,CSV!$A:$A,CSV!D:D,""),
_xlpm.MacVal,_xlfn.XLOOKUP($A757,Output_Mac!$A:$A,Output_Mac!C:C,""),
_xlpm.MyAuditVal,_xlfn.XLOOKUP($A757,My_Audit!$A:$A,My_Audit!D:D,""),
_xlfn.IFS(_xlpm.MyAuditVal&lt;&gt;"",_xlpm.MyAuditVal,_xlpm.MacVal&lt;&gt;"",_xlpm.MacVal,_xlpm.CSVVal&lt;&gt;"",_xlpm.CSVVal
)),"")</f>
        <v/>
      </c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39"/>
    </row>
    <row r="758" spans="1:21">
      <c r="A758" s="54" t="str">
        <f>_xlfn.TEXTJOIN("",TRUE,Input!$B$2,ROW(My_Audit!A757))</f>
        <v>XX757</v>
      </c>
      <c r="B758" s="54"/>
      <c r="C758" s="54"/>
      <c r="D758" s="55" t="str">
        <f>_xlfn.XLOOKUP(A758,My_Audit!A:A,My_Audit!D:D,"")&amp;""</f>
        <v/>
      </c>
      <c r="E758" s="55" t="str" cm="1">
        <f t="array" ref="E758">IFERROR(_xlfn.LET(
_xlpm.CSVVal,_xlfn.XLOOKUP($A758,CSV!$A:$A,CSV!D:D,""),
_xlpm.MacVal,_xlfn.XLOOKUP($A758,Output_Mac!$A:$A,Output_Mac!C:C,""),
_xlpm.MyAuditVal,_xlfn.XLOOKUP($A758,My_Audit!$A:$A,My_Audit!D:D,""),
_xlfn.IFS(_xlpm.MyAuditVal&lt;&gt;"",_xlpm.MyAuditVal,_xlpm.MacVal&lt;&gt;"",_xlpm.MacVal,_xlpm.CSVVal&lt;&gt;"",_xlpm.CSVVal
)),"")</f>
        <v/>
      </c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39"/>
    </row>
    <row r="759" spans="1:21">
      <c r="A759" s="54" t="str">
        <f>_xlfn.TEXTJOIN("",TRUE,Input!$B$2,ROW(My_Audit!A758))</f>
        <v>XX758</v>
      </c>
      <c r="B759" s="54"/>
      <c r="C759" s="54"/>
      <c r="D759" s="55" t="str">
        <f>_xlfn.XLOOKUP(A759,My_Audit!A:A,My_Audit!D:D,"")&amp;""</f>
        <v/>
      </c>
      <c r="E759" s="55" t="str" cm="1">
        <f t="array" ref="E759">IFERROR(_xlfn.LET(
_xlpm.CSVVal,_xlfn.XLOOKUP($A759,CSV!$A:$A,CSV!D:D,""),
_xlpm.MacVal,_xlfn.XLOOKUP($A759,Output_Mac!$A:$A,Output_Mac!C:C,""),
_xlpm.MyAuditVal,_xlfn.XLOOKUP($A759,My_Audit!$A:$A,My_Audit!D:D,""),
_xlfn.IFS(_xlpm.MyAuditVal&lt;&gt;"",_xlpm.MyAuditVal,_xlpm.MacVal&lt;&gt;"",_xlpm.MacVal,_xlpm.CSVVal&lt;&gt;"",_xlpm.CSVVal
)),"")</f>
        <v/>
      </c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39"/>
    </row>
    <row r="760" spans="1:21">
      <c r="A760" s="54" t="str">
        <f>_xlfn.TEXTJOIN("",TRUE,Input!$B$2,ROW(My_Audit!A759))</f>
        <v>XX759</v>
      </c>
      <c r="B760" s="54"/>
      <c r="C760" s="54"/>
      <c r="D760" s="55" t="str">
        <f>_xlfn.XLOOKUP(A760,My_Audit!A:A,My_Audit!D:D,"")&amp;""</f>
        <v/>
      </c>
      <c r="E760" s="55" t="str" cm="1">
        <f t="array" ref="E760">IFERROR(_xlfn.LET(
_xlpm.CSVVal,_xlfn.XLOOKUP($A760,CSV!$A:$A,CSV!D:D,""),
_xlpm.MacVal,_xlfn.XLOOKUP($A760,Output_Mac!$A:$A,Output_Mac!C:C,""),
_xlpm.MyAuditVal,_xlfn.XLOOKUP($A760,My_Audit!$A:$A,My_Audit!D:D,""),
_xlfn.IFS(_xlpm.MyAuditVal&lt;&gt;"",_xlpm.MyAuditVal,_xlpm.MacVal&lt;&gt;"",_xlpm.MacVal,_xlpm.CSVVal&lt;&gt;"",_xlpm.CSVVal
)),"")</f>
        <v/>
      </c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39"/>
    </row>
    <row r="761" spans="1:21">
      <c r="A761" s="54" t="str">
        <f>_xlfn.TEXTJOIN("",TRUE,Input!$B$2,ROW(My_Audit!A760))</f>
        <v>XX760</v>
      </c>
      <c r="B761" s="54"/>
      <c r="C761" s="54"/>
      <c r="D761" s="55" t="str">
        <f>_xlfn.XLOOKUP(A761,My_Audit!A:A,My_Audit!D:D,"")&amp;""</f>
        <v/>
      </c>
      <c r="E761" s="55" t="str" cm="1">
        <f t="array" ref="E761">IFERROR(_xlfn.LET(
_xlpm.CSVVal,_xlfn.XLOOKUP($A761,CSV!$A:$A,CSV!D:D,""),
_xlpm.MacVal,_xlfn.XLOOKUP($A761,Output_Mac!$A:$A,Output_Mac!C:C,""),
_xlpm.MyAuditVal,_xlfn.XLOOKUP($A761,My_Audit!$A:$A,My_Audit!D:D,""),
_xlfn.IFS(_xlpm.MyAuditVal&lt;&gt;"",_xlpm.MyAuditVal,_xlpm.MacVal&lt;&gt;"",_xlpm.MacVal,_xlpm.CSVVal&lt;&gt;"",_xlpm.CSVVal
)),"")</f>
        <v/>
      </c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39"/>
    </row>
    <row r="762" spans="1:21">
      <c r="A762" s="54" t="str">
        <f>_xlfn.TEXTJOIN("",TRUE,Input!$B$2,ROW(My_Audit!A761))</f>
        <v>XX761</v>
      </c>
      <c r="B762" s="54"/>
      <c r="C762" s="54"/>
      <c r="D762" s="55" t="str">
        <f>_xlfn.XLOOKUP(A762,My_Audit!A:A,My_Audit!D:D,"")&amp;""</f>
        <v/>
      </c>
      <c r="E762" s="55" t="str" cm="1">
        <f t="array" ref="E762">IFERROR(_xlfn.LET(
_xlpm.CSVVal,_xlfn.XLOOKUP($A762,CSV!$A:$A,CSV!D:D,""),
_xlpm.MacVal,_xlfn.XLOOKUP($A762,Output_Mac!$A:$A,Output_Mac!C:C,""),
_xlpm.MyAuditVal,_xlfn.XLOOKUP($A762,My_Audit!$A:$A,My_Audit!D:D,""),
_xlfn.IFS(_xlpm.MyAuditVal&lt;&gt;"",_xlpm.MyAuditVal,_xlpm.MacVal&lt;&gt;"",_xlpm.MacVal,_xlpm.CSVVal&lt;&gt;"",_xlpm.CSVVal
)),"")</f>
        <v/>
      </c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39"/>
    </row>
    <row r="763" spans="1:21">
      <c r="A763" s="54" t="str">
        <f>_xlfn.TEXTJOIN("",TRUE,Input!$B$2,ROW(My_Audit!A762))</f>
        <v>XX762</v>
      </c>
      <c r="B763" s="54"/>
      <c r="C763" s="54"/>
      <c r="D763" s="55" t="str">
        <f>_xlfn.XLOOKUP(A763,My_Audit!A:A,My_Audit!D:D,"")&amp;""</f>
        <v/>
      </c>
      <c r="E763" s="55" t="str" cm="1">
        <f t="array" ref="E763">IFERROR(_xlfn.LET(
_xlpm.CSVVal,_xlfn.XLOOKUP($A763,CSV!$A:$A,CSV!D:D,""),
_xlpm.MacVal,_xlfn.XLOOKUP($A763,Output_Mac!$A:$A,Output_Mac!C:C,""),
_xlpm.MyAuditVal,_xlfn.XLOOKUP($A763,My_Audit!$A:$A,My_Audit!D:D,""),
_xlfn.IFS(_xlpm.MyAuditVal&lt;&gt;"",_xlpm.MyAuditVal,_xlpm.MacVal&lt;&gt;"",_xlpm.MacVal,_xlpm.CSVVal&lt;&gt;"",_xlpm.CSVVal
)),"")</f>
        <v/>
      </c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39"/>
    </row>
    <row r="764" spans="1:21">
      <c r="A764" s="54" t="str">
        <f>_xlfn.TEXTJOIN("",TRUE,Input!$B$2,ROW(My_Audit!A763))</f>
        <v>XX763</v>
      </c>
      <c r="B764" s="54"/>
      <c r="C764" s="54"/>
      <c r="D764" s="55" t="str">
        <f>_xlfn.XLOOKUP(A764,My_Audit!A:A,My_Audit!D:D,"")&amp;""</f>
        <v/>
      </c>
      <c r="E764" s="55" t="str" cm="1">
        <f t="array" ref="E764">IFERROR(_xlfn.LET(
_xlpm.CSVVal,_xlfn.XLOOKUP($A764,CSV!$A:$A,CSV!D:D,""),
_xlpm.MacVal,_xlfn.XLOOKUP($A764,Output_Mac!$A:$A,Output_Mac!C:C,""),
_xlpm.MyAuditVal,_xlfn.XLOOKUP($A764,My_Audit!$A:$A,My_Audit!D:D,""),
_xlfn.IFS(_xlpm.MyAuditVal&lt;&gt;"",_xlpm.MyAuditVal,_xlpm.MacVal&lt;&gt;"",_xlpm.MacVal,_xlpm.CSVVal&lt;&gt;"",_xlpm.CSVVal
)),"")</f>
        <v/>
      </c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39"/>
    </row>
    <row r="765" spans="1:21">
      <c r="A765" s="54" t="str">
        <f>_xlfn.TEXTJOIN("",TRUE,Input!$B$2,ROW(My_Audit!A764))</f>
        <v>XX764</v>
      </c>
      <c r="B765" s="54"/>
      <c r="C765" s="54"/>
      <c r="D765" s="55" t="str">
        <f>_xlfn.XLOOKUP(A765,My_Audit!A:A,My_Audit!D:D,"")&amp;""</f>
        <v/>
      </c>
      <c r="E765" s="55" t="str" cm="1">
        <f t="array" ref="E765">IFERROR(_xlfn.LET(
_xlpm.CSVVal,_xlfn.XLOOKUP($A765,CSV!$A:$A,CSV!D:D,""),
_xlpm.MacVal,_xlfn.XLOOKUP($A765,Output_Mac!$A:$A,Output_Mac!C:C,""),
_xlpm.MyAuditVal,_xlfn.XLOOKUP($A765,My_Audit!$A:$A,My_Audit!D:D,""),
_xlfn.IFS(_xlpm.MyAuditVal&lt;&gt;"",_xlpm.MyAuditVal,_xlpm.MacVal&lt;&gt;"",_xlpm.MacVal,_xlpm.CSVVal&lt;&gt;"",_xlpm.CSVVal
)),"")</f>
        <v/>
      </c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39"/>
    </row>
    <row r="766" spans="1:21">
      <c r="A766" s="54" t="str">
        <f>_xlfn.TEXTJOIN("",TRUE,Input!$B$2,ROW(My_Audit!A765))</f>
        <v>XX765</v>
      </c>
      <c r="B766" s="54"/>
      <c r="C766" s="54"/>
      <c r="D766" s="55" t="str">
        <f>_xlfn.XLOOKUP(A766,My_Audit!A:A,My_Audit!D:D,"")&amp;""</f>
        <v/>
      </c>
      <c r="E766" s="55" t="str" cm="1">
        <f t="array" ref="E766">IFERROR(_xlfn.LET(
_xlpm.CSVVal,_xlfn.XLOOKUP($A766,CSV!$A:$A,CSV!D:D,""),
_xlpm.MacVal,_xlfn.XLOOKUP($A766,Output_Mac!$A:$A,Output_Mac!C:C,""),
_xlpm.MyAuditVal,_xlfn.XLOOKUP($A766,My_Audit!$A:$A,My_Audit!D:D,""),
_xlfn.IFS(_xlpm.MyAuditVal&lt;&gt;"",_xlpm.MyAuditVal,_xlpm.MacVal&lt;&gt;"",_xlpm.MacVal,_xlpm.CSVVal&lt;&gt;"",_xlpm.CSVVal
)),"")</f>
        <v/>
      </c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39"/>
    </row>
    <row r="767" spans="1:21">
      <c r="A767" s="54" t="str">
        <f>_xlfn.TEXTJOIN("",TRUE,Input!$B$2,ROW(My_Audit!A766))</f>
        <v>XX766</v>
      </c>
      <c r="B767" s="54"/>
      <c r="C767" s="54"/>
      <c r="D767" s="55" t="str">
        <f>_xlfn.XLOOKUP(A767,My_Audit!A:A,My_Audit!D:D,"")&amp;""</f>
        <v/>
      </c>
      <c r="E767" s="55" t="str" cm="1">
        <f t="array" ref="E767">IFERROR(_xlfn.LET(
_xlpm.CSVVal,_xlfn.XLOOKUP($A767,CSV!$A:$A,CSV!D:D,""),
_xlpm.MacVal,_xlfn.XLOOKUP($A767,Output_Mac!$A:$A,Output_Mac!C:C,""),
_xlpm.MyAuditVal,_xlfn.XLOOKUP($A767,My_Audit!$A:$A,My_Audit!D:D,""),
_xlfn.IFS(_xlpm.MyAuditVal&lt;&gt;"",_xlpm.MyAuditVal,_xlpm.MacVal&lt;&gt;"",_xlpm.MacVal,_xlpm.CSVVal&lt;&gt;"",_xlpm.CSVVal
)),"")</f>
        <v/>
      </c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39"/>
    </row>
    <row r="768" spans="1:21">
      <c r="A768" s="54" t="str">
        <f>_xlfn.TEXTJOIN("",TRUE,Input!$B$2,ROW(My_Audit!A767))</f>
        <v>XX767</v>
      </c>
      <c r="B768" s="54"/>
      <c r="C768" s="54"/>
      <c r="D768" s="55" t="str">
        <f>_xlfn.XLOOKUP(A768,My_Audit!A:A,My_Audit!D:D,"")&amp;""</f>
        <v/>
      </c>
      <c r="E768" s="55" t="str" cm="1">
        <f t="array" ref="E768">IFERROR(_xlfn.LET(
_xlpm.CSVVal,_xlfn.XLOOKUP($A768,CSV!$A:$A,CSV!D:D,""),
_xlpm.MacVal,_xlfn.XLOOKUP($A768,Output_Mac!$A:$A,Output_Mac!C:C,""),
_xlpm.MyAuditVal,_xlfn.XLOOKUP($A768,My_Audit!$A:$A,My_Audit!D:D,""),
_xlfn.IFS(_xlpm.MyAuditVal&lt;&gt;"",_xlpm.MyAuditVal,_xlpm.MacVal&lt;&gt;"",_xlpm.MacVal,_xlpm.CSVVal&lt;&gt;"",_xlpm.CSVVal
)),"")</f>
        <v/>
      </c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39"/>
    </row>
    <row r="769" spans="1:21">
      <c r="A769" s="54" t="str">
        <f>_xlfn.TEXTJOIN("",TRUE,Input!$B$2,ROW(My_Audit!A768))</f>
        <v>XX768</v>
      </c>
      <c r="B769" s="54"/>
      <c r="C769" s="54"/>
      <c r="D769" s="55" t="str">
        <f>_xlfn.XLOOKUP(A769,My_Audit!A:A,My_Audit!D:D,"")&amp;""</f>
        <v/>
      </c>
      <c r="E769" s="55" t="str" cm="1">
        <f t="array" ref="E769">IFERROR(_xlfn.LET(
_xlpm.CSVVal,_xlfn.XLOOKUP($A769,CSV!$A:$A,CSV!D:D,""),
_xlpm.MacVal,_xlfn.XLOOKUP($A769,Output_Mac!$A:$A,Output_Mac!C:C,""),
_xlpm.MyAuditVal,_xlfn.XLOOKUP($A769,My_Audit!$A:$A,My_Audit!D:D,""),
_xlfn.IFS(_xlpm.MyAuditVal&lt;&gt;"",_xlpm.MyAuditVal,_xlpm.MacVal&lt;&gt;"",_xlpm.MacVal,_xlpm.CSVVal&lt;&gt;"",_xlpm.CSVVal
)),"")</f>
        <v/>
      </c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39"/>
    </row>
    <row r="770" spans="1:21">
      <c r="A770" s="54" t="str">
        <f>_xlfn.TEXTJOIN("",TRUE,Input!$B$2,ROW(My_Audit!A769))</f>
        <v>XX769</v>
      </c>
      <c r="B770" s="54"/>
      <c r="C770" s="54"/>
      <c r="D770" s="55" t="str">
        <f>_xlfn.XLOOKUP(A770,My_Audit!A:A,My_Audit!D:D,"")&amp;""</f>
        <v/>
      </c>
      <c r="E770" s="55" t="str" cm="1">
        <f t="array" ref="E770">IFERROR(_xlfn.LET(
_xlpm.CSVVal,_xlfn.XLOOKUP($A770,CSV!$A:$A,CSV!D:D,""),
_xlpm.MacVal,_xlfn.XLOOKUP($A770,Output_Mac!$A:$A,Output_Mac!C:C,""),
_xlpm.MyAuditVal,_xlfn.XLOOKUP($A770,My_Audit!$A:$A,My_Audit!D:D,""),
_xlfn.IFS(_xlpm.MyAuditVal&lt;&gt;"",_xlpm.MyAuditVal,_xlpm.MacVal&lt;&gt;"",_xlpm.MacVal,_xlpm.CSVVal&lt;&gt;"",_xlpm.CSVVal
)),"")</f>
        <v/>
      </c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39"/>
    </row>
    <row r="771" spans="1:21">
      <c r="A771" s="54" t="str">
        <f>_xlfn.TEXTJOIN("",TRUE,Input!$B$2,ROW(My_Audit!A770))</f>
        <v>XX770</v>
      </c>
      <c r="B771" s="54"/>
      <c r="C771" s="54"/>
      <c r="D771" s="55" t="str">
        <f>_xlfn.XLOOKUP(A771,My_Audit!A:A,My_Audit!D:D,"")&amp;""</f>
        <v/>
      </c>
      <c r="E771" s="55" t="str" cm="1">
        <f t="array" ref="E771">IFERROR(_xlfn.LET(
_xlpm.CSVVal,_xlfn.XLOOKUP($A771,CSV!$A:$A,CSV!D:D,""),
_xlpm.MacVal,_xlfn.XLOOKUP($A771,Output_Mac!$A:$A,Output_Mac!C:C,""),
_xlpm.MyAuditVal,_xlfn.XLOOKUP($A771,My_Audit!$A:$A,My_Audit!D:D,""),
_xlfn.IFS(_xlpm.MyAuditVal&lt;&gt;"",_xlpm.MyAuditVal,_xlpm.MacVal&lt;&gt;"",_xlpm.MacVal,_xlpm.CSVVal&lt;&gt;"",_xlpm.CSVVal
)),"")</f>
        <v/>
      </c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39"/>
    </row>
    <row r="772" spans="1:21">
      <c r="A772" s="54" t="str">
        <f>_xlfn.TEXTJOIN("",TRUE,Input!$B$2,ROW(My_Audit!A771))</f>
        <v>XX771</v>
      </c>
      <c r="B772" s="54"/>
      <c r="C772" s="54"/>
      <c r="D772" s="55" t="str">
        <f>_xlfn.XLOOKUP(A772,My_Audit!A:A,My_Audit!D:D,"")&amp;""</f>
        <v/>
      </c>
      <c r="E772" s="55" t="str" cm="1">
        <f t="array" ref="E772">IFERROR(_xlfn.LET(
_xlpm.CSVVal,_xlfn.XLOOKUP($A772,CSV!$A:$A,CSV!D:D,""),
_xlpm.MacVal,_xlfn.XLOOKUP($A772,Output_Mac!$A:$A,Output_Mac!C:C,""),
_xlpm.MyAuditVal,_xlfn.XLOOKUP($A772,My_Audit!$A:$A,My_Audit!D:D,""),
_xlfn.IFS(_xlpm.MyAuditVal&lt;&gt;"",_xlpm.MyAuditVal,_xlpm.MacVal&lt;&gt;"",_xlpm.MacVal,_xlpm.CSVVal&lt;&gt;"",_xlpm.CSVVal
)),"")</f>
        <v/>
      </c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39"/>
    </row>
    <row r="773" spans="1:21">
      <c r="A773" s="54" t="str">
        <f>_xlfn.TEXTJOIN("",TRUE,Input!$B$2,ROW(My_Audit!A772))</f>
        <v>XX772</v>
      </c>
      <c r="B773" s="54"/>
      <c r="C773" s="54"/>
      <c r="D773" s="55" t="str">
        <f>_xlfn.XLOOKUP(A773,My_Audit!A:A,My_Audit!D:D,"")&amp;""</f>
        <v/>
      </c>
      <c r="E773" s="55" t="str" cm="1">
        <f t="array" ref="E773">IFERROR(_xlfn.LET(
_xlpm.CSVVal,_xlfn.XLOOKUP($A773,CSV!$A:$A,CSV!D:D,""),
_xlpm.MacVal,_xlfn.XLOOKUP($A773,Output_Mac!$A:$A,Output_Mac!C:C,""),
_xlpm.MyAuditVal,_xlfn.XLOOKUP($A773,My_Audit!$A:$A,My_Audit!D:D,""),
_xlfn.IFS(_xlpm.MyAuditVal&lt;&gt;"",_xlpm.MyAuditVal,_xlpm.MacVal&lt;&gt;"",_xlpm.MacVal,_xlpm.CSVVal&lt;&gt;"",_xlpm.CSVVal
)),"")</f>
        <v/>
      </c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39"/>
    </row>
    <row r="774" spans="1:21">
      <c r="A774" s="54" t="str">
        <f>_xlfn.TEXTJOIN("",TRUE,Input!$B$2,ROW(My_Audit!A773))</f>
        <v>XX773</v>
      </c>
      <c r="B774" s="54"/>
      <c r="C774" s="54"/>
      <c r="D774" s="55" t="str">
        <f>_xlfn.XLOOKUP(A774,My_Audit!A:A,My_Audit!D:D,"")&amp;""</f>
        <v/>
      </c>
      <c r="E774" s="55" t="str" cm="1">
        <f t="array" ref="E774">IFERROR(_xlfn.LET(
_xlpm.CSVVal,_xlfn.XLOOKUP($A774,CSV!$A:$A,CSV!D:D,""),
_xlpm.MacVal,_xlfn.XLOOKUP($A774,Output_Mac!$A:$A,Output_Mac!C:C,""),
_xlpm.MyAuditVal,_xlfn.XLOOKUP($A774,My_Audit!$A:$A,My_Audit!D:D,""),
_xlfn.IFS(_xlpm.MyAuditVal&lt;&gt;"",_xlpm.MyAuditVal,_xlpm.MacVal&lt;&gt;"",_xlpm.MacVal,_xlpm.CSVVal&lt;&gt;"",_xlpm.CSVVal
)),"")</f>
        <v/>
      </c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39"/>
    </row>
    <row r="775" spans="1:21">
      <c r="A775" s="54" t="str">
        <f>_xlfn.TEXTJOIN("",TRUE,Input!$B$2,ROW(My_Audit!A774))</f>
        <v>XX774</v>
      </c>
      <c r="B775" s="54"/>
      <c r="C775" s="54"/>
      <c r="D775" s="55" t="str">
        <f>_xlfn.XLOOKUP(A775,My_Audit!A:A,My_Audit!D:D,"")&amp;""</f>
        <v/>
      </c>
      <c r="E775" s="55" t="str" cm="1">
        <f t="array" ref="E775">IFERROR(_xlfn.LET(
_xlpm.CSVVal,_xlfn.XLOOKUP($A775,CSV!$A:$A,CSV!D:D,""),
_xlpm.MacVal,_xlfn.XLOOKUP($A775,Output_Mac!$A:$A,Output_Mac!C:C,""),
_xlpm.MyAuditVal,_xlfn.XLOOKUP($A775,My_Audit!$A:$A,My_Audit!D:D,""),
_xlfn.IFS(_xlpm.MyAuditVal&lt;&gt;"",_xlpm.MyAuditVal,_xlpm.MacVal&lt;&gt;"",_xlpm.MacVal,_xlpm.CSVVal&lt;&gt;"",_xlpm.CSVVal
)),"")</f>
        <v/>
      </c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39"/>
    </row>
    <row r="776" spans="1:21">
      <c r="A776" s="54" t="str">
        <f>_xlfn.TEXTJOIN("",TRUE,Input!$B$2,ROW(My_Audit!A775))</f>
        <v>XX775</v>
      </c>
      <c r="B776" s="54"/>
      <c r="C776" s="54"/>
      <c r="D776" s="55" t="str">
        <f>_xlfn.XLOOKUP(A776,My_Audit!A:A,My_Audit!D:D,"")&amp;""</f>
        <v/>
      </c>
      <c r="E776" s="55" t="str" cm="1">
        <f t="array" ref="E776">IFERROR(_xlfn.LET(
_xlpm.CSVVal,_xlfn.XLOOKUP($A776,CSV!$A:$A,CSV!D:D,""),
_xlpm.MacVal,_xlfn.XLOOKUP($A776,Output_Mac!$A:$A,Output_Mac!C:C,""),
_xlpm.MyAuditVal,_xlfn.XLOOKUP($A776,My_Audit!$A:$A,My_Audit!D:D,""),
_xlfn.IFS(_xlpm.MyAuditVal&lt;&gt;"",_xlpm.MyAuditVal,_xlpm.MacVal&lt;&gt;"",_xlpm.MacVal,_xlpm.CSVVal&lt;&gt;"",_xlpm.CSVVal
)),"")</f>
        <v/>
      </c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39"/>
    </row>
    <row r="777" spans="1:21">
      <c r="A777" s="54" t="str">
        <f>_xlfn.TEXTJOIN("",TRUE,Input!$B$2,ROW(My_Audit!A776))</f>
        <v>XX776</v>
      </c>
      <c r="B777" s="54"/>
      <c r="C777" s="54"/>
      <c r="D777" s="55" t="str">
        <f>_xlfn.XLOOKUP(A777,My_Audit!A:A,My_Audit!D:D,"")&amp;""</f>
        <v/>
      </c>
      <c r="E777" s="55" t="str" cm="1">
        <f t="array" ref="E777">IFERROR(_xlfn.LET(
_xlpm.CSVVal,_xlfn.XLOOKUP($A777,CSV!$A:$A,CSV!D:D,""),
_xlpm.MacVal,_xlfn.XLOOKUP($A777,Output_Mac!$A:$A,Output_Mac!C:C,""),
_xlpm.MyAuditVal,_xlfn.XLOOKUP($A777,My_Audit!$A:$A,My_Audit!D:D,""),
_xlfn.IFS(_xlpm.MyAuditVal&lt;&gt;"",_xlpm.MyAuditVal,_xlpm.MacVal&lt;&gt;"",_xlpm.MacVal,_xlpm.CSVVal&lt;&gt;"",_xlpm.CSVVal
)),"")</f>
        <v/>
      </c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39"/>
    </row>
    <row r="778" spans="1:21">
      <c r="A778" s="54" t="str">
        <f>_xlfn.TEXTJOIN("",TRUE,Input!$B$2,ROW(My_Audit!A777))</f>
        <v>XX777</v>
      </c>
      <c r="B778" s="54"/>
      <c r="C778" s="54"/>
      <c r="D778" s="55" t="str">
        <f>_xlfn.XLOOKUP(A778,My_Audit!A:A,My_Audit!D:D,"")&amp;""</f>
        <v/>
      </c>
      <c r="E778" s="55" t="str" cm="1">
        <f t="array" ref="E778">IFERROR(_xlfn.LET(
_xlpm.CSVVal,_xlfn.XLOOKUP($A778,CSV!$A:$A,CSV!D:D,""),
_xlpm.MacVal,_xlfn.XLOOKUP($A778,Output_Mac!$A:$A,Output_Mac!C:C,""),
_xlpm.MyAuditVal,_xlfn.XLOOKUP($A778,My_Audit!$A:$A,My_Audit!D:D,""),
_xlfn.IFS(_xlpm.MyAuditVal&lt;&gt;"",_xlpm.MyAuditVal,_xlpm.MacVal&lt;&gt;"",_xlpm.MacVal,_xlpm.CSVVal&lt;&gt;"",_xlpm.CSVVal
)),"")</f>
        <v/>
      </c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39"/>
    </row>
    <row r="779" spans="1:21">
      <c r="A779" s="54" t="str">
        <f>_xlfn.TEXTJOIN("",TRUE,Input!$B$2,ROW(My_Audit!A778))</f>
        <v>XX778</v>
      </c>
      <c r="B779" s="54"/>
      <c r="C779" s="54"/>
      <c r="D779" s="55" t="str">
        <f>_xlfn.XLOOKUP(A779,My_Audit!A:A,My_Audit!D:D,"")&amp;""</f>
        <v/>
      </c>
      <c r="E779" s="55" t="str" cm="1">
        <f t="array" ref="E779">IFERROR(_xlfn.LET(
_xlpm.CSVVal,_xlfn.XLOOKUP($A779,CSV!$A:$A,CSV!D:D,""),
_xlpm.MacVal,_xlfn.XLOOKUP($A779,Output_Mac!$A:$A,Output_Mac!C:C,""),
_xlpm.MyAuditVal,_xlfn.XLOOKUP($A779,My_Audit!$A:$A,My_Audit!D:D,""),
_xlfn.IFS(_xlpm.MyAuditVal&lt;&gt;"",_xlpm.MyAuditVal,_xlpm.MacVal&lt;&gt;"",_xlpm.MacVal,_xlpm.CSVVal&lt;&gt;"",_xlpm.CSVVal
)),"")</f>
        <v/>
      </c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39"/>
    </row>
    <row r="780" spans="1:21">
      <c r="A780" s="54" t="str">
        <f>_xlfn.TEXTJOIN("",TRUE,Input!$B$2,ROW(My_Audit!A779))</f>
        <v>XX779</v>
      </c>
      <c r="B780" s="54"/>
      <c r="C780" s="54"/>
      <c r="D780" s="55" t="str">
        <f>_xlfn.XLOOKUP(A780,My_Audit!A:A,My_Audit!D:D,"")&amp;""</f>
        <v/>
      </c>
      <c r="E780" s="55" t="str" cm="1">
        <f t="array" ref="E780">IFERROR(_xlfn.LET(
_xlpm.CSVVal,_xlfn.XLOOKUP($A780,CSV!$A:$A,CSV!D:D,""),
_xlpm.MacVal,_xlfn.XLOOKUP($A780,Output_Mac!$A:$A,Output_Mac!C:C,""),
_xlpm.MyAuditVal,_xlfn.XLOOKUP($A780,My_Audit!$A:$A,My_Audit!D:D,""),
_xlfn.IFS(_xlpm.MyAuditVal&lt;&gt;"",_xlpm.MyAuditVal,_xlpm.MacVal&lt;&gt;"",_xlpm.MacVal,_xlpm.CSVVal&lt;&gt;"",_xlpm.CSVVal
)),"")</f>
        <v/>
      </c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39"/>
    </row>
    <row r="781" spans="1:21">
      <c r="A781" s="54" t="str">
        <f>_xlfn.TEXTJOIN("",TRUE,Input!$B$2,ROW(My_Audit!A780))</f>
        <v>XX780</v>
      </c>
      <c r="B781" s="54"/>
      <c r="C781" s="54"/>
      <c r="D781" s="55" t="str">
        <f>_xlfn.XLOOKUP(A781,My_Audit!A:A,My_Audit!D:D,"")&amp;""</f>
        <v/>
      </c>
      <c r="E781" s="55" t="str" cm="1">
        <f t="array" ref="E781">IFERROR(_xlfn.LET(
_xlpm.CSVVal,_xlfn.XLOOKUP($A781,CSV!$A:$A,CSV!D:D,""),
_xlpm.MacVal,_xlfn.XLOOKUP($A781,Output_Mac!$A:$A,Output_Mac!C:C,""),
_xlpm.MyAuditVal,_xlfn.XLOOKUP($A781,My_Audit!$A:$A,My_Audit!D:D,""),
_xlfn.IFS(_xlpm.MyAuditVal&lt;&gt;"",_xlpm.MyAuditVal,_xlpm.MacVal&lt;&gt;"",_xlpm.MacVal,_xlpm.CSVVal&lt;&gt;"",_xlpm.CSVVal
)),"")</f>
        <v/>
      </c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39"/>
    </row>
    <row r="782" spans="1:21">
      <c r="A782" s="54" t="str">
        <f>_xlfn.TEXTJOIN("",TRUE,Input!$B$2,ROW(My_Audit!A781))</f>
        <v>XX781</v>
      </c>
      <c r="B782" s="54"/>
      <c r="C782" s="54"/>
      <c r="D782" s="55" t="str">
        <f>_xlfn.XLOOKUP(A782,My_Audit!A:A,My_Audit!D:D,"")&amp;""</f>
        <v/>
      </c>
      <c r="E782" s="55" t="str" cm="1">
        <f t="array" ref="E782">IFERROR(_xlfn.LET(
_xlpm.CSVVal,_xlfn.XLOOKUP($A782,CSV!$A:$A,CSV!D:D,""),
_xlpm.MacVal,_xlfn.XLOOKUP($A782,Output_Mac!$A:$A,Output_Mac!C:C,""),
_xlpm.MyAuditVal,_xlfn.XLOOKUP($A782,My_Audit!$A:$A,My_Audit!D:D,""),
_xlfn.IFS(_xlpm.MyAuditVal&lt;&gt;"",_xlpm.MyAuditVal,_xlpm.MacVal&lt;&gt;"",_xlpm.MacVal,_xlpm.CSVVal&lt;&gt;"",_xlpm.CSVVal
)),"")</f>
        <v/>
      </c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39"/>
    </row>
    <row r="783" spans="1:21">
      <c r="A783" s="54" t="str">
        <f>_xlfn.TEXTJOIN("",TRUE,Input!$B$2,ROW(My_Audit!A782))</f>
        <v>XX782</v>
      </c>
      <c r="B783" s="54"/>
      <c r="C783" s="54"/>
      <c r="D783" s="55" t="str">
        <f>_xlfn.XLOOKUP(A783,My_Audit!A:A,My_Audit!D:D,"")&amp;""</f>
        <v/>
      </c>
      <c r="E783" s="55" t="str" cm="1">
        <f t="array" ref="E783">IFERROR(_xlfn.LET(
_xlpm.CSVVal,_xlfn.XLOOKUP($A783,CSV!$A:$A,CSV!D:D,""),
_xlpm.MacVal,_xlfn.XLOOKUP($A783,Output_Mac!$A:$A,Output_Mac!C:C,""),
_xlpm.MyAuditVal,_xlfn.XLOOKUP($A783,My_Audit!$A:$A,My_Audit!D:D,""),
_xlfn.IFS(_xlpm.MyAuditVal&lt;&gt;"",_xlpm.MyAuditVal,_xlpm.MacVal&lt;&gt;"",_xlpm.MacVal,_xlpm.CSVVal&lt;&gt;"",_xlpm.CSVVal
)),"")</f>
        <v/>
      </c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39"/>
    </row>
    <row r="784" spans="1:21">
      <c r="A784" s="54" t="str">
        <f>_xlfn.TEXTJOIN("",TRUE,Input!$B$2,ROW(My_Audit!A783))</f>
        <v>XX783</v>
      </c>
      <c r="B784" s="54"/>
      <c r="C784" s="54"/>
      <c r="D784" s="55" t="str">
        <f>_xlfn.XLOOKUP(A784,My_Audit!A:A,My_Audit!D:D,"")&amp;""</f>
        <v/>
      </c>
      <c r="E784" s="55" t="str" cm="1">
        <f t="array" ref="E784">IFERROR(_xlfn.LET(
_xlpm.CSVVal,_xlfn.XLOOKUP($A784,CSV!$A:$A,CSV!D:D,""),
_xlpm.MacVal,_xlfn.XLOOKUP($A784,Output_Mac!$A:$A,Output_Mac!C:C,""),
_xlpm.MyAuditVal,_xlfn.XLOOKUP($A784,My_Audit!$A:$A,My_Audit!D:D,""),
_xlfn.IFS(_xlpm.MyAuditVal&lt;&gt;"",_xlpm.MyAuditVal,_xlpm.MacVal&lt;&gt;"",_xlpm.MacVal,_xlpm.CSVVal&lt;&gt;"",_xlpm.CSVVal
)),"")</f>
        <v/>
      </c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39"/>
    </row>
    <row r="785" spans="1:21">
      <c r="A785" s="54" t="str">
        <f>_xlfn.TEXTJOIN("",TRUE,Input!$B$2,ROW(My_Audit!A784))</f>
        <v>XX784</v>
      </c>
      <c r="B785" s="54"/>
      <c r="C785" s="54"/>
      <c r="D785" s="55" t="str">
        <f>_xlfn.XLOOKUP(A785,My_Audit!A:A,My_Audit!D:D,"")&amp;""</f>
        <v/>
      </c>
      <c r="E785" s="55" t="str" cm="1">
        <f t="array" ref="E785">IFERROR(_xlfn.LET(
_xlpm.CSVVal,_xlfn.XLOOKUP($A785,CSV!$A:$A,CSV!D:D,""),
_xlpm.MacVal,_xlfn.XLOOKUP($A785,Output_Mac!$A:$A,Output_Mac!C:C,""),
_xlpm.MyAuditVal,_xlfn.XLOOKUP($A785,My_Audit!$A:$A,My_Audit!D:D,""),
_xlfn.IFS(_xlpm.MyAuditVal&lt;&gt;"",_xlpm.MyAuditVal,_xlpm.MacVal&lt;&gt;"",_xlpm.MacVal,_xlpm.CSVVal&lt;&gt;"",_xlpm.CSVVal
)),"")</f>
        <v/>
      </c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39"/>
    </row>
    <row r="786" spans="1:21">
      <c r="A786" s="54" t="str">
        <f>_xlfn.TEXTJOIN("",TRUE,Input!$B$2,ROW(My_Audit!A785))</f>
        <v>XX785</v>
      </c>
      <c r="B786" s="54"/>
      <c r="C786" s="54"/>
      <c r="D786" s="55" t="str">
        <f>_xlfn.XLOOKUP(A786,My_Audit!A:A,My_Audit!D:D,"")&amp;""</f>
        <v/>
      </c>
      <c r="E786" s="55" t="str" cm="1">
        <f t="array" ref="E786">IFERROR(_xlfn.LET(
_xlpm.CSVVal,_xlfn.XLOOKUP($A786,CSV!$A:$A,CSV!D:D,""),
_xlpm.MacVal,_xlfn.XLOOKUP($A786,Output_Mac!$A:$A,Output_Mac!C:C,""),
_xlpm.MyAuditVal,_xlfn.XLOOKUP($A786,My_Audit!$A:$A,My_Audit!D:D,""),
_xlfn.IFS(_xlpm.MyAuditVal&lt;&gt;"",_xlpm.MyAuditVal,_xlpm.MacVal&lt;&gt;"",_xlpm.MacVal,_xlpm.CSVVal&lt;&gt;"",_xlpm.CSVVal
)),"")</f>
        <v/>
      </c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39"/>
    </row>
    <row r="787" spans="1:21">
      <c r="A787" s="54" t="str">
        <f>_xlfn.TEXTJOIN("",TRUE,Input!$B$2,ROW(My_Audit!A786))</f>
        <v>XX786</v>
      </c>
      <c r="B787" s="54"/>
      <c r="C787" s="54"/>
      <c r="D787" s="55" t="str">
        <f>_xlfn.XLOOKUP(A787,My_Audit!A:A,My_Audit!D:D,"")&amp;""</f>
        <v/>
      </c>
      <c r="E787" s="55" t="str" cm="1">
        <f t="array" ref="E787">IFERROR(_xlfn.LET(
_xlpm.CSVVal,_xlfn.XLOOKUP($A787,CSV!$A:$A,CSV!D:D,""),
_xlpm.MacVal,_xlfn.XLOOKUP($A787,Output_Mac!$A:$A,Output_Mac!C:C,""),
_xlpm.MyAuditVal,_xlfn.XLOOKUP($A787,My_Audit!$A:$A,My_Audit!D:D,""),
_xlfn.IFS(_xlpm.MyAuditVal&lt;&gt;"",_xlpm.MyAuditVal,_xlpm.MacVal&lt;&gt;"",_xlpm.MacVal,_xlpm.CSVVal&lt;&gt;"",_xlpm.CSVVal
)),"")</f>
        <v/>
      </c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39"/>
    </row>
    <row r="788" spans="1:21">
      <c r="A788" s="54" t="str">
        <f>_xlfn.TEXTJOIN("",TRUE,Input!$B$2,ROW(My_Audit!A787))</f>
        <v>XX787</v>
      </c>
      <c r="B788" s="54"/>
      <c r="C788" s="54"/>
      <c r="D788" s="55" t="str">
        <f>_xlfn.XLOOKUP(A788,My_Audit!A:A,My_Audit!D:D,"")&amp;""</f>
        <v/>
      </c>
      <c r="E788" s="55" t="str" cm="1">
        <f t="array" ref="E788">IFERROR(_xlfn.LET(
_xlpm.CSVVal,_xlfn.XLOOKUP($A788,CSV!$A:$A,CSV!D:D,""),
_xlpm.MacVal,_xlfn.XLOOKUP($A788,Output_Mac!$A:$A,Output_Mac!C:C,""),
_xlpm.MyAuditVal,_xlfn.XLOOKUP($A788,My_Audit!$A:$A,My_Audit!D:D,""),
_xlfn.IFS(_xlpm.MyAuditVal&lt;&gt;"",_xlpm.MyAuditVal,_xlpm.MacVal&lt;&gt;"",_xlpm.MacVal,_xlpm.CSVVal&lt;&gt;"",_xlpm.CSVVal
)),"")</f>
        <v/>
      </c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39"/>
    </row>
    <row r="789" spans="1:21">
      <c r="A789" s="54" t="str">
        <f>_xlfn.TEXTJOIN("",TRUE,Input!$B$2,ROW(My_Audit!A788))</f>
        <v>XX788</v>
      </c>
      <c r="B789" s="54"/>
      <c r="C789" s="54"/>
      <c r="D789" s="55" t="str">
        <f>_xlfn.XLOOKUP(A789,My_Audit!A:A,My_Audit!D:D,"")&amp;""</f>
        <v/>
      </c>
      <c r="E789" s="55" t="str" cm="1">
        <f t="array" ref="E789">IFERROR(_xlfn.LET(
_xlpm.CSVVal,_xlfn.XLOOKUP($A789,CSV!$A:$A,CSV!D:D,""),
_xlpm.MacVal,_xlfn.XLOOKUP($A789,Output_Mac!$A:$A,Output_Mac!C:C,""),
_xlpm.MyAuditVal,_xlfn.XLOOKUP($A789,My_Audit!$A:$A,My_Audit!D:D,""),
_xlfn.IFS(_xlpm.MyAuditVal&lt;&gt;"",_xlpm.MyAuditVal,_xlpm.MacVal&lt;&gt;"",_xlpm.MacVal,_xlpm.CSVVal&lt;&gt;"",_xlpm.CSVVal
)),"")</f>
        <v/>
      </c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39"/>
    </row>
    <row r="790" spans="1:21">
      <c r="A790" s="54" t="str">
        <f>_xlfn.TEXTJOIN("",TRUE,Input!$B$2,ROW(My_Audit!A789))</f>
        <v>XX789</v>
      </c>
      <c r="B790" s="54"/>
      <c r="C790" s="54"/>
      <c r="D790" s="55" t="str">
        <f>_xlfn.XLOOKUP(A790,My_Audit!A:A,My_Audit!D:D,"")&amp;""</f>
        <v/>
      </c>
      <c r="E790" s="55" t="str" cm="1">
        <f t="array" ref="E790">IFERROR(_xlfn.LET(
_xlpm.CSVVal,_xlfn.XLOOKUP($A790,CSV!$A:$A,CSV!D:D,""),
_xlpm.MacVal,_xlfn.XLOOKUP($A790,Output_Mac!$A:$A,Output_Mac!C:C,""),
_xlpm.MyAuditVal,_xlfn.XLOOKUP($A790,My_Audit!$A:$A,My_Audit!D:D,""),
_xlfn.IFS(_xlpm.MyAuditVal&lt;&gt;"",_xlpm.MyAuditVal,_xlpm.MacVal&lt;&gt;"",_xlpm.MacVal,_xlpm.CSVVal&lt;&gt;"",_xlpm.CSVVal
)),"")</f>
        <v/>
      </c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39"/>
    </row>
    <row r="791" spans="1:21">
      <c r="A791" s="54" t="str">
        <f>_xlfn.TEXTJOIN("",TRUE,Input!$B$2,ROW(My_Audit!A790))</f>
        <v>XX790</v>
      </c>
      <c r="B791" s="54"/>
      <c r="C791" s="54"/>
      <c r="D791" s="55" t="str">
        <f>_xlfn.XLOOKUP(A791,My_Audit!A:A,My_Audit!D:D,"")&amp;""</f>
        <v/>
      </c>
      <c r="E791" s="55" t="str" cm="1">
        <f t="array" ref="E791">IFERROR(_xlfn.LET(
_xlpm.CSVVal,_xlfn.XLOOKUP($A791,CSV!$A:$A,CSV!D:D,""),
_xlpm.MacVal,_xlfn.XLOOKUP($A791,Output_Mac!$A:$A,Output_Mac!C:C,""),
_xlpm.MyAuditVal,_xlfn.XLOOKUP($A791,My_Audit!$A:$A,My_Audit!D:D,""),
_xlfn.IFS(_xlpm.MyAuditVal&lt;&gt;"",_xlpm.MyAuditVal,_xlpm.MacVal&lt;&gt;"",_xlpm.MacVal,_xlpm.CSVVal&lt;&gt;"",_xlpm.CSVVal
)),"")</f>
        <v/>
      </c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39"/>
    </row>
    <row r="792" spans="1:21">
      <c r="A792" s="54" t="str">
        <f>_xlfn.TEXTJOIN("",TRUE,Input!$B$2,ROW(My_Audit!A791))</f>
        <v>XX791</v>
      </c>
      <c r="B792" s="54"/>
      <c r="C792" s="54"/>
      <c r="D792" s="55" t="str">
        <f>_xlfn.XLOOKUP(A792,My_Audit!A:A,My_Audit!D:D,"")&amp;""</f>
        <v/>
      </c>
      <c r="E792" s="55" t="str" cm="1">
        <f t="array" ref="E792">IFERROR(_xlfn.LET(
_xlpm.CSVVal,_xlfn.XLOOKUP($A792,CSV!$A:$A,CSV!D:D,""),
_xlpm.MacVal,_xlfn.XLOOKUP($A792,Output_Mac!$A:$A,Output_Mac!C:C,""),
_xlpm.MyAuditVal,_xlfn.XLOOKUP($A792,My_Audit!$A:$A,My_Audit!D:D,""),
_xlfn.IFS(_xlpm.MyAuditVal&lt;&gt;"",_xlpm.MyAuditVal,_xlpm.MacVal&lt;&gt;"",_xlpm.MacVal,_xlpm.CSVVal&lt;&gt;"",_xlpm.CSVVal
)),"")</f>
        <v/>
      </c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39"/>
    </row>
    <row r="793" spans="1:21">
      <c r="A793" s="54" t="str">
        <f>_xlfn.TEXTJOIN("",TRUE,Input!$B$2,ROW(My_Audit!A792))</f>
        <v>XX792</v>
      </c>
      <c r="B793" s="54"/>
      <c r="C793" s="54"/>
      <c r="D793" s="55" t="str">
        <f>_xlfn.XLOOKUP(A793,My_Audit!A:A,My_Audit!D:D,"")&amp;""</f>
        <v/>
      </c>
      <c r="E793" s="55" t="str" cm="1">
        <f t="array" ref="E793">IFERROR(_xlfn.LET(
_xlpm.CSVVal,_xlfn.XLOOKUP($A793,CSV!$A:$A,CSV!D:D,""),
_xlpm.MacVal,_xlfn.XLOOKUP($A793,Output_Mac!$A:$A,Output_Mac!C:C,""),
_xlpm.MyAuditVal,_xlfn.XLOOKUP($A793,My_Audit!$A:$A,My_Audit!D:D,""),
_xlfn.IFS(_xlpm.MyAuditVal&lt;&gt;"",_xlpm.MyAuditVal,_xlpm.MacVal&lt;&gt;"",_xlpm.MacVal,_xlpm.CSVVal&lt;&gt;"",_xlpm.CSVVal
)),"")</f>
        <v/>
      </c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39"/>
    </row>
    <row r="794" spans="1:21">
      <c r="A794" s="54" t="str">
        <f>_xlfn.TEXTJOIN("",TRUE,Input!$B$2,ROW(My_Audit!A793))</f>
        <v>XX793</v>
      </c>
      <c r="B794" s="54"/>
      <c r="C794" s="54"/>
      <c r="D794" s="55" t="str">
        <f>_xlfn.XLOOKUP(A794,My_Audit!A:A,My_Audit!D:D,"")&amp;""</f>
        <v/>
      </c>
      <c r="E794" s="55" t="str" cm="1">
        <f t="array" ref="E794">IFERROR(_xlfn.LET(
_xlpm.CSVVal,_xlfn.XLOOKUP($A794,CSV!$A:$A,CSV!D:D,""),
_xlpm.MacVal,_xlfn.XLOOKUP($A794,Output_Mac!$A:$A,Output_Mac!C:C,""),
_xlpm.MyAuditVal,_xlfn.XLOOKUP($A794,My_Audit!$A:$A,My_Audit!D:D,""),
_xlfn.IFS(_xlpm.MyAuditVal&lt;&gt;"",_xlpm.MyAuditVal,_xlpm.MacVal&lt;&gt;"",_xlpm.MacVal,_xlpm.CSVVal&lt;&gt;"",_xlpm.CSVVal
)),"")</f>
        <v/>
      </c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39"/>
    </row>
    <row r="795" spans="1:21">
      <c r="A795" s="54" t="str">
        <f>_xlfn.TEXTJOIN("",TRUE,Input!$B$2,ROW(My_Audit!A794))</f>
        <v>XX794</v>
      </c>
      <c r="B795" s="54"/>
      <c r="C795" s="54"/>
      <c r="D795" s="55" t="str">
        <f>_xlfn.XLOOKUP(A795,My_Audit!A:A,My_Audit!D:D,"")&amp;""</f>
        <v/>
      </c>
      <c r="E795" s="55" t="str" cm="1">
        <f t="array" ref="E795">IFERROR(_xlfn.LET(
_xlpm.CSVVal,_xlfn.XLOOKUP($A795,CSV!$A:$A,CSV!D:D,""),
_xlpm.MacVal,_xlfn.XLOOKUP($A795,Output_Mac!$A:$A,Output_Mac!C:C,""),
_xlpm.MyAuditVal,_xlfn.XLOOKUP($A795,My_Audit!$A:$A,My_Audit!D:D,""),
_xlfn.IFS(_xlpm.MyAuditVal&lt;&gt;"",_xlpm.MyAuditVal,_xlpm.MacVal&lt;&gt;"",_xlpm.MacVal,_xlpm.CSVVal&lt;&gt;"",_xlpm.CSVVal
)),"")</f>
        <v/>
      </c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39"/>
    </row>
    <row r="796" spans="1:21">
      <c r="A796" s="54" t="str">
        <f>_xlfn.TEXTJOIN("",TRUE,Input!$B$2,ROW(My_Audit!A795))</f>
        <v>XX795</v>
      </c>
      <c r="B796" s="54"/>
      <c r="C796" s="54"/>
      <c r="D796" s="55" t="str">
        <f>_xlfn.XLOOKUP(A796,My_Audit!A:A,My_Audit!D:D,"")&amp;""</f>
        <v/>
      </c>
      <c r="E796" s="55" t="str" cm="1">
        <f t="array" ref="E796">IFERROR(_xlfn.LET(
_xlpm.CSVVal,_xlfn.XLOOKUP($A796,CSV!$A:$A,CSV!D:D,""),
_xlpm.MacVal,_xlfn.XLOOKUP($A796,Output_Mac!$A:$A,Output_Mac!C:C,""),
_xlpm.MyAuditVal,_xlfn.XLOOKUP($A796,My_Audit!$A:$A,My_Audit!D:D,""),
_xlfn.IFS(_xlpm.MyAuditVal&lt;&gt;"",_xlpm.MyAuditVal,_xlpm.MacVal&lt;&gt;"",_xlpm.MacVal,_xlpm.CSVVal&lt;&gt;"",_xlpm.CSVVal
)),"")</f>
        <v/>
      </c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39"/>
    </row>
    <row r="797" spans="1:21">
      <c r="A797" s="54" t="str">
        <f>_xlfn.TEXTJOIN("",TRUE,Input!$B$2,ROW(My_Audit!A796))</f>
        <v>XX796</v>
      </c>
      <c r="B797" s="54"/>
      <c r="C797" s="54"/>
      <c r="D797" s="55" t="str">
        <f>_xlfn.XLOOKUP(A797,My_Audit!A:A,My_Audit!D:D,"")&amp;""</f>
        <v/>
      </c>
      <c r="E797" s="55" t="str" cm="1">
        <f t="array" ref="E797">IFERROR(_xlfn.LET(
_xlpm.CSVVal,_xlfn.XLOOKUP($A797,CSV!$A:$A,CSV!D:D,""),
_xlpm.MacVal,_xlfn.XLOOKUP($A797,Output_Mac!$A:$A,Output_Mac!C:C,""),
_xlpm.MyAuditVal,_xlfn.XLOOKUP($A797,My_Audit!$A:$A,My_Audit!D:D,""),
_xlfn.IFS(_xlpm.MyAuditVal&lt;&gt;"",_xlpm.MyAuditVal,_xlpm.MacVal&lt;&gt;"",_xlpm.MacVal,_xlpm.CSVVal&lt;&gt;"",_xlpm.CSVVal
)),"")</f>
        <v/>
      </c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39"/>
    </row>
    <row r="798" spans="1:21">
      <c r="A798" s="54" t="str">
        <f>_xlfn.TEXTJOIN("",TRUE,Input!$B$2,ROW(My_Audit!A797))</f>
        <v>XX797</v>
      </c>
      <c r="B798" s="54"/>
      <c r="C798" s="54"/>
      <c r="D798" s="55" t="str">
        <f>_xlfn.XLOOKUP(A798,My_Audit!A:A,My_Audit!D:D,"")&amp;""</f>
        <v/>
      </c>
      <c r="E798" s="55" t="str" cm="1">
        <f t="array" ref="E798">IFERROR(_xlfn.LET(
_xlpm.CSVVal,_xlfn.XLOOKUP($A798,CSV!$A:$A,CSV!D:D,""),
_xlpm.MacVal,_xlfn.XLOOKUP($A798,Output_Mac!$A:$A,Output_Mac!C:C,""),
_xlpm.MyAuditVal,_xlfn.XLOOKUP($A798,My_Audit!$A:$A,My_Audit!D:D,""),
_xlfn.IFS(_xlpm.MyAuditVal&lt;&gt;"",_xlpm.MyAuditVal,_xlpm.MacVal&lt;&gt;"",_xlpm.MacVal,_xlpm.CSVVal&lt;&gt;"",_xlpm.CSVVal
)),"")</f>
        <v/>
      </c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39"/>
    </row>
    <row r="799" spans="1:21">
      <c r="A799" s="54" t="str">
        <f>_xlfn.TEXTJOIN("",TRUE,Input!$B$2,ROW(My_Audit!A798))</f>
        <v>XX798</v>
      </c>
      <c r="B799" s="54"/>
      <c r="C799" s="54"/>
      <c r="D799" s="55" t="str">
        <f>_xlfn.XLOOKUP(A799,My_Audit!A:A,My_Audit!D:D,"")&amp;""</f>
        <v/>
      </c>
      <c r="E799" s="55" t="str" cm="1">
        <f t="array" ref="E799">IFERROR(_xlfn.LET(
_xlpm.CSVVal,_xlfn.XLOOKUP($A799,CSV!$A:$A,CSV!D:D,""),
_xlpm.MacVal,_xlfn.XLOOKUP($A799,Output_Mac!$A:$A,Output_Mac!C:C,""),
_xlpm.MyAuditVal,_xlfn.XLOOKUP($A799,My_Audit!$A:$A,My_Audit!D:D,""),
_xlfn.IFS(_xlpm.MyAuditVal&lt;&gt;"",_xlpm.MyAuditVal,_xlpm.MacVal&lt;&gt;"",_xlpm.MacVal,_xlpm.CSVVal&lt;&gt;"",_xlpm.CSVVal
)),"")</f>
        <v/>
      </c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39"/>
    </row>
    <row r="800" spans="1:21">
      <c r="A800" s="54" t="str">
        <f>_xlfn.TEXTJOIN("",TRUE,Input!$B$2,ROW(My_Audit!A799))</f>
        <v>XX799</v>
      </c>
      <c r="B800" s="54"/>
      <c r="C800" s="54"/>
      <c r="D800" s="55" t="str">
        <f>_xlfn.XLOOKUP(A800,My_Audit!A:A,My_Audit!D:D,"")&amp;""</f>
        <v/>
      </c>
      <c r="E800" s="55" t="str" cm="1">
        <f t="array" ref="E800">IFERROR(_xlfn.LET(
_xlpm.CSVVal,_xlfn.XLOOKUP($A800,CSV!$A:$A,CSV!D:D,""),
_xlpm.MacVal,_xlfn.XLOOKUP($A800,Output_Mac!$A:$A,Output_Mac!C:C,""),
_xlpm.MyAuditVal,_xlfn.XLOOKUP($A800,My_Audit!$A:$A,My_Audit!D:D,""),
_xlfn.IFS(_xlpm.MyAuditVal&lt;&gt;"",_xlpm.MyAuditVal,_xlpm.MacVal&lt;&gt;"",_xlpm.MacVal,_xlpm.CSVVal&lt;&gt;"",_xlpm.CSVVal
)),"")</f>
        <v/>
      </c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39"/>
    </row>
    <row r="801" spans="1:21">
      <c r="A801" s="54" t="str">
        <f>_xlfn.TEXTJOIN("",TRUE,Input!$B$2,ROW(My_Audit!A800))</f>
        <v>XX800</v>
      </c>
      <c r="B801" s="54"/>
      <c r="C801" s="54"/>
      <c r="D801" s="55" t="str">
        <f>_xlfn.XLOOKUP(A801,My_Audit!A:A,My_Audit!D:D,"")&amp;""</f>
        <v/>
      </c>
      <c r="E801" s="55" t="str" cm="1">
        <f t="array" ref="E801">IFERROR(_xlfn.LET(
_xlpm.CSVVal,_xlfn.XLOOKUP($A801,CSV!$A:$A,CSV!D:D,""),
_xlpm.MacVal,_xlfn.XLOOKUP($A801,Output_Mac!$A:$A,Output_Mac!C:C,""),
_xlpm.MyAuditVal,_xlfn.XLOOKUP($A801,My_Audit!$A:$A,My_Audit!D:D,""),
_xlfn.IFS(_xlpm.MyAuditVal&lt;&gt;"",_xlpm.MyAuditVal,_xlpm.MacVal&lt;&gt;"",_xlpm.MacVal,_xlpm.CSVVal&lt;&gt;"",_xlpm.CSVVal
)),"")</f>
        <v/>
      </c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39"/>
    </row>
    <row r="802" spans="1:21">
      <c r="A802" s="54" t="str">
        <f>_xlfn.TEXTJOIN("",TRUE,Input!$B$2,ROW(My_Audit!A801))</f>
        <v>XX801</v>
      </c>
      <c r="B802" s="54"/>
      <c r="C802" s="54"/>
      <c r="D802" s="55" t="str">
        <f>_xlfn.XLOOKUP(A802,My_Audit!A:A,My_Audit!D:D,"")&amp;""</f>
        <v/>
      </c>
      <c r="E802" s="55" t="str" cm="1">
        <f t="array" ref="E802">IFERROR(_xlfn.LET(
_xlpm.CSVVal,_xlfn.XLOOKUP($A802,CSV!$A:$A,CSV!D:D,""),
_xlpm.MacVal,_xlfn.XLOOKUP($A802,Output_Mac!$A:$A,Output_Mac!C:C,""),
_xlpm.MyAuditVal,_xlfn.XLOOKUP($A802,My_Audit!$A:$A,My_Audit!D:D,""),
_xlfn.IFS(_xlpm.MyAuditVal&lt;&gt;"",_xlpm.MyAuditVal,_xlpm.MacVal&lt;&gt;"",_xlpm.MacVal,_xlpm.CSVVal&lt;&gt;"",_xlpm.CSVVal
)),"")</f>
        <v/>
      </c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39"/>
    </row>
    <row r="803" spans="1:21">
      <c r="A803" s="54" t="str">
        <f>_xlfn.TEXTJOIN("",TRUE,Input!$B$2,ROW(My_Audit!A802))</f>
        <v>XX802</v>
      </c>
      <c r="B803" s="54"/>
      <c r="C803" s="54"/>
      <c r="D803" s="55" t="str">
        <f>_xlfn.XLOOKUP(A803,My_Audit!A:A,My_Audit!D:D,"")&amp;""</f>
        <v/>
      </c>
      <c r="E803" s="55" t="str" cm="1">
        <f t="array" ref="E803">IFERROR(_xlfn.LET(
_xlpm.CSVVal,_xlfn.XLOOKUP($A803,CSV!$A:$A,CSV!D:D,""),
_xlpm.MacVal,_xlfn.XLOOKUP($A803,Output_Mac!$A:$A,Output_Mac!C:C,""),
_xlpm.MyAuditVal,_xlfn.XLOOKUP($A803,My_Audit!$A:$A,My_Audit!D:D,""),
_xlfn.IFS(_xlpm.MyAuditVal&lt;&gt;"",_xlpm.MyAuditVal,_xlpm.MacVal&lt;&gt;"",_xlpm.MacVal,_xlpm.CSVVal&lt;&gt;"",_xlpm.CSVVal
)),"")</f>
        <v/>
      </c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39"/>
    </row>
    <row r="804" spans="1:21">
      <c r="A804" s="54" t="str">
        <f>_xlfn.TEXTJOIN("",TRUE,Input!$B$2,ROW(My_Audit!A803))</f>
        <v>XX803</v>
      </c>
      <c r="B804" s="54"/>
      <c r="C804" s="54"/>
      <c r="D804" s="55" t="str">
        <f>_xlfn.XLOOKUP(A804,My_Audit!A:A,My_Audit!D:D,"")&amp;""</f>
        <v/>
      </c>
      <c r="E804" s="55" t="str" cm="1">
        <f t="array" ref="E804">IFERROR(_xlfn.LET(
_xlpm.CSVVal,_xlfn.XLOOKUP($A804,CSV!$A:$A,CSV!D:D,""),
_xlpm.MacVal,_xlfn.XLOOKUP($A804,Output_Mac!$A:$A,Output_Mac!C:C,""),
_xlpm.MyAuditVal,_xlfn.XLOOKUP($A804,My_Audit!$A:$A,My_Audit!D:D,""),
_xlfn.IFS(_xlpm.MyAuditVal&lt;&gt;"",_xlpm.MyAuditVal,_xlpm.MacVal&lt;&gt;"",_xlpm.MacVal,_xlpm.CSVVal&lt;&gt;"",_xlpm.CSVVal
)),"")</f>
        <v/>
      </c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39"/>
    </row>
    <row r="805" spans="1:21">
      <c r="A805" s="54" t="str">
        <f>_xlfn.TEXTJOIN("",TRUE,Input!$B$2,ROW(My_Audit!A804))</f>
        <v>XX804</v>
      </c>
      <c r="B805" s="54"/>
      <c r="C805" s="54"/>
      <c r="D805" s="55" t="str">
        <f>_xlfn.XLOOKUP(A805,My_Audit!A:A,My_Audit!D:D,"")&amp;""</f>
        <v/>
      </c>
      <c r="E805" s="55" t="str" cm="1">
        <f t="array" ref="E805">IFERROR(_xlfn.LET(
_xlpm.CSVVal,_xlfn.XLOOKUP($A805,CSV!$A:$A,CSV!D:D,""),
_xlpm.MacVal,_xlfn.XLOOKUP($A805,Output_Mac!$A:$A,Output_Mac!C:C,""),
_xlpm.MyAuditVal,_xlfn.XLOOKUP($A805,My_Audit!$A:$A,My_Audit!D:D,""),
_xlfn.IFS(_xlpm.MyAuditVal&lt;&gt;"",_xlpm.MyAuditVal,_xlpm.MacVal&lt;&gt;"",_xlpm.MacVal,_xlpm.CSVVal&lt;&gt;"",_xlpm.CSVVal
)),"")</f>
        <v/>
      </c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39"/>
    </row>
    <row r="806" spans="1:21">
      <c r="A806" s="54" t="str">
        <f>_xlfn.TEXTJOIN("",TRUE,Input!$B$2,ROW(My_Audit!A805))</f>
        <v>XX805</v>
      </c>
      <c r="B806" s="54"/>
      <c r="C806" s="54"/>
      <c r="D806" s="55" t="str">
        <f>_xlfn.XLOOKUP(A806,My_Audit!A:A,My_Audit!D:D,"")&amp;""</f>
        <v/>
      </c>
      <c r="E806" s="55" t="str" cm="1">
        <f t="array" ref="E806">IFERROR(_xlfn.LET(
_xlpm.CSVVal,_xlfn.XLOOKUP($A806,CSV!$A:$A,CSV!D:D,""),
_xlpm.MacVal,_xlfn.XLOOKUP($A806,Output_Mac!$A:$A,Output_Mac!C:C,""),
_xlpm.MyAuditVal,_xlfn.XLOOKUP($A806,My_Audit!$A:$A,My_Audit!D:D,""),
_xlfn.IFS(_xlpm.MyAuditVal&lt;&gt;"",_xlpm.MyAuditVal,_xlpm.MacVal&lt;&gt;"",_xlpm.MacVal,_xlpm.CSVVal&lt;&gt;"",_xlpm.CSVVal
)),"")</f>
        <v/>
      </c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39"/>
    </row>
    <row r="807" spans="1:21">
      <c r="A807" s="54" t="str">
        <f>_xlfn.TEXTJOIN("",TRUE,Input!$B$2,ROW(My_Audit!A806))</f>
        <v>XX806</v>
      </c>
      <c r="B807" s="54"/>
      <c r="C807" s="54"/>
      <c r="D807" s="55" t="str">
        <f>_xlfn.XLOOKUP(A807,My_Audit!A:A,My_Audit!D:D,"")&amp;""</f>
        <v/>
      </c>
      <c r="E807" s="55" t="str" cm="1">
        <f t="array" ref="E807">IFERROR(_xlfn.LET(
_xlpm.CSVVal,_xlfn.XLOOKUP($A807,CSV!$A:$A,CSV!D:D,""),
_xlpm.MacVal,_xlfn.XLOOKUP($A807,Output_Mac!$A:$A,Output_Mac!C:C,""),
_xlpm.MyAuditVal,_xlfn.XLOOKUP($A807,My_Audit!$A:$A,My_Audit!D:D,""),
_xlfn.IFS(_xlpm.MyAuditVal&lt;&gt;"",_xlpm.MyAuditVal,_xlpm.MacVal&lt;&gt;"",_xlpm.MacVal,_xlpm.CSVVal&lt;&gt;"",_xlpm.CSVVal
)),"")</f>
        <v/>
      </c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39"/>
    </row>
    <row r="808" spans="1:21">
      <c r="A808" s="54" t="str">
        <f>_xlfn.TEXTJOIN("",TRUE,Input!$B$2,ROW(My_Audit!A807))</f>
        <v>XX807</v>
      </c>
      <c r="B808" s="54"/>
      <c r="C808" s="54"/>
      <c r="D808" s="55" t="str">
        <f>_xlfn.XLOOKUP(A808,My_Audit!A:A,My_Audit!D:D,"")&amp;""</f>
        <v/>
      </c>
      <c r="E808" s="55" t="str" cm="1">
        <f t="array" ref="E808">IFERROR(_xlfn.LET(
_xlpm.CSVVal,_xlfn.XLOOKUP($A808,CSV!$A:$A,CSV!D:D,""),
_xlpm.MacVal,_xlfn.XLOOKUP($A808,Output_Mac!$A:$A,Output_Mac!C:C,""),
_xlpm.MyAuditVal,_xlfn.XLOOKUP($A808,My_Audit!$A:$A,My_Audit!D:D,""),
_xlfn.IFS(_xlpm.MyAuditVal&lt;&gt;"",_xlpm.MyAuditVal,_xlpm.MacVal&lt;&gt;"",_xlpm.MacVal,_xlpm.CSVVal&lt;&gt;"",_xlpm.CSVVal
)),"")</f>
        <v/>
      </c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39"/>
    </row>
    <row r="809" spans="1:21">
      <c r="A809" s="54" t="str">
        <f>_xlfn.TEXTJOIN("",TRUE,Input!$B$2,ROW(My_Audit!A808))</f>
        <v>XX808</v>
      </c>
      <c r="B809" s="54"/>
      <c r="C809" s="54"/>
      <c r="D809" s="55" t="str">
        <f>_xlfn.XLOOKUP(A809,My_Audit!A:A,My_Audit!D:D,"")&amp;""</f>
        <v/>
      </c>
      <c r="E809" s="55" t="str" cm="1">
        <f t="array" ref="E809">IFERROR(_xlfn.LET(
_xlpm.CSVVal,_xlfn.XLOOKUP($A809,CSV!$A:$A,CSV!D:D,""),
_xlpm.MacVal,_xlfn.XLOOKUP($A809,Output_Mac!$A:$A,Output_Mac!C:C,""),
_xlpm.MyAuditVal,_xlfn.XLOOKUP($A809,My_Audit!$A:$A,My_Audit!D:D,""),
_xlfn.IFS(_xlpm.MyAuditVal&lt;&gt;"",_xlpm.MyAuditVal,_xlpm.MacVal&lt;&gt;"",_xlpm.MacVal,_xlpm.CSVVal&lt;&gt;"",_xlpm.CSVVal
)),"")</f>
        <v/>
      </c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39"/>
    </row>
    <row r="810" spans="1:21">
      <c r="A810" s="54" t="str">
        <f>_xlfn.TEXTJOIN("",TRUE,Input!$B$2,ROW(My_Audit!A809))</f>
        <v>XX809</v>
      </c>
      <c r="B810" s="54"/>
      <c r="C810" s="54"/>
      <c r="D810" s="55" t="str">
        <f>_xlfn.XLOOKUP(A810,My_Audit!A:A,My_Audit!D:D,"")&amp;""</f>
        <v/>
      </c>
      <c r="E810" s="55" t="str" cm="1">
        <f t="array" ref="E810">IFERROR(_xlfn.LET(
_xlpm.CSVVal,_xlfn.XLOOKUP($A810,CSV!$A:$A,CSV!D:D,""),
_xlpm.MacVal,_xlfn.XLOOKUP($A810,Output_Mac!$A:$A,Output_Mac!C:C,""),
_xlpm.MyAuditVal,_xlfn.XLOOKUP($A810,My_Audit!$A:$A,My_Audit!D:D,""),
_xlfn.IFS(_xlpm.MyAuditVal&lt;&gt;"",_xlpm.MyAuditVal,_xlpm.MacVal&lt;&gt;"",_xlpm.MacVal,_xlpm.CSVVal&lt;&gt;"",_xlpm.CSVVal
)),"")</f>
        <v/>
      </c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39"/>
    </row>
    <row r="811" spans="1:21">
      <c r="A811" s="54" t="str">
        <f>_xlfn.TEXTJOIN("",TRUE,Input!$B$2,ROW(My_Audit!A810))</f>
        <v>XX810</v>
      </c>
      <c r="B811" s="54"/>
      <c r="C811" s="54"/>
      <c r="D811" s="55" t="str">
        <f>_xlfn.XLOOKUP(A811,My_Audit!A:A,My_Audit!D:D,"")&amp;""</f>
        <v/>
      </c>
      <c r="E811" s="55" t="str" cm="1">
        <f t="array" ref="E811">IFERROR(_xlfn.LET(
_xlpm.CSVVal,_xlfn.XLOOKUP($A811,CSV!$A:$A,CSV!D:D,""),
_xlpm.MacVal,_xlfn.XLOOKUP($A811,Output_Mac!$A:$A,Output_Mac!C:C,""),
_xlpm.MyAuditVal,_xlfn.XLOOKUP($A811,My_Audit!$A:$A,My_Audit!D:D,""),
_xlfn.IFS(_xlpm.MyAuditVal&lt;&gt;"",_xlpm.MyAuditVal,_xlpm.MacVal&lt;&gt;"",_xlpm.MacVal,_xlpm.CSVVal&lt;&gt;"",_xlpm.CSVVal
)),"")</f>
        <v/>
      </c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39"/>
    </row>
    <row r="812" spans="1:21">
      <c r="A812" s="54" t="str">
        <f>_xlfn.TEXTJOIN("",TRUE,Input!$B$2,ROW(My_Audit!A811))</f>
        <v>XX811</v>
      </c>
      <c r="B812" s="54"/>
      <c r="C812" s="54"/>
      <c r="D812" s="55" t="str">
        <f>_xlfn.XLOOKUP(A812,My_Audit!A:A,My_Audit!D:D,"")&amp;""</f>
        <v/>
      </c>
      <c r="E812" s="55" t="str" cm="1">
        <f t="array" ref="E812">IFERROR(_xlfn.LET(
_xlpm.CSVVal,_xlfn.XLOOKUP($A812,CSV!$A:$A,CSV!D:D,""),
_xlpm.MacVal,_xlfn.XLOOKUP($A812,Output_Mac!$A:$A,Output_Mac!C:C,""),
_xlpm.MyAuditVal,_xlfn.XLOOKUP($A812,My_Audit!$A:$A,My_Audit!D:D,""),
_xlfn.IFS(_xlpm.MyAuditVal&lt;&gt;"",_xlpm.MyAuditVal,_xlpm.MacVal&lt;&gt;"",_xlpm.MacVal,_xlpm.CSVVal&lt;&gt;"",_xlpm.CSVVal
)),"")</f>
        <v/>
      </c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39"/>
    </row>
    <row r="813" spans="1:21">
      <c r="A813" s="54" t="str">
        <f>_xlfn.TEXTJOIN("",TRUE,Input!$B$2,ROW(My_Audit!A812))</f>
        <v>XX812</v>
      </c>
      <c r="B813" s="54"/>
      <c r="C813" s="54"/>
      <c r="D813" s="55" t="str">
        <f>_xlfn.XLOOKUP(A813,My_Audit!A:A,My_Audit!D:D,"")&amp;""</f>
        <v/>
      </c>
      <c r="E813" s="55" t="str" cm="1">
        <f t="array" ref="E813">IFERROR(_xlfn.LET(
_xlpm.CSVVal,_xlfn.XLOOKUP($A813,CSV!$A:$A,CSV!D:D,""),
_xlpm.MacVal,_xlfn.XLOOKUP($A813,Output_Mac!$A:$A,Output_Mac!C:C,""),
_xlpm.MyAuditVal,_xlfn.XLOOKUP($A813,My_Audit!$A:$A,My_Audit!D:D,""),
_xlfn.IFS(_xlpm.MyAuditVal&lt;&gt;"",_xlpm.MyAuditVal,_xlpm.MacVal&lt;&gt;"",_xlpm.MacVal,_xlpm.CSVVal&lt;&gt;"",_xlpm.CSVVal
)),"")</f>
        <v/>
      </c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39"/>
    </row>
    <row r="814" spans="1:21">
      <c r="A814" s="54" t="str">
        <f>_xlfn.TEXTJOIN("",TRUE,Input!$B$2,ROW(My_Audit!A813))</f>
        <v>XX813</v>
      </c>
      <c r="B814" s="54"/>
      <c r="C814" s="54"/>
      <c r="D814" s="55" t="str">
        <f>_xlfn.XLOOKUP(A814,My_Audit!A:A,My_Audit!D:D,"")&amp;""</f>
        <v/>
      </c>
      <c r="E814" s="55" t="str" cm="1">
        <f t="array" ref="E814">IFERROR(_xlfn.LET(
_xlpm.CSVVal,_xlfn.XLOOKUP($A814,CSV!$A:$A,CSV!D:D,""),
_xlpm.MacVal,_xlfn.XLOOKUP($A814,Output_Mac!$A:$A,Output_Mac!C:C,""),
_xlpm.MyAuditVal,_xlfn.XLOOKUP($A814,My_Audit!$A:$A,My_Audit!D:D,""),
_xlfn.IFS(_xlpm.MyAuditVal&lt;&gt;"",_xlpm.MyAuditVal,_xlpm.MacVal&lt;&gt;"",_xlpm.MacVal,_xlpm.CSVVal&lt;&gt;"",_xlpm.CSVVal
)),"")</f>
        <v/>
      </c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39"/>
    </row>
    <row r="815" spans="1:21">
      <c r="A815" s="54" t="str">
        <f>_xlfn.TEXTJOIN("",TRUE,Input!$B$2,ROW(My_Audit!A814))</f>
        <v>XX814</v>
      </c>
      <c r="B815" s="54"/>
      <c r="C815" s="54"/>
      <c r="D815" s="55" t="str">
        <f>_xlfn.XLOOKUP(A815,My_Audit!A:A,My_Audit!D:D,"")&amp;""</f>
        <v/>
      </c>
      <c r="E815" s="55" t="str" cm="1">
        <f t="array" ref="E815">IFERROR(_xlfn.LET(
_xlpm.CSVVal,_xlfn.XLOOKUP($A815,CSV!$A:$A,CSV!D:D,""),
_xlpm.MacVal,_xlfn.XLOOKUP($A815,Output_Mac!$A:$A,Output_Mac!C:C,""),
_xlpm.MyAuditVal,_xlfn.XLOOKUP($A815,My_Audit!$A:$A,My_Audit!D:D,""),
_xlfn.IFS(_xlpm.MyAuditVal&lt;&gt;"",_xlpm.MyAuditVal,_xlpm.MacVal&lt;&gt;"",_xlpm.MacVal,_xlpm.CSVVal&lt;&gt;"",_xlpm.CSVVal
)),"")</f>
        <v/>
      </c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39"/>
    </row>
    <row r="816" spans="1:21">
      <c r="A816" s="54" t="str">
        <f>_xlfn.TEXTJOIN("",TRUE,Input!$B$2,ROW(My_Audit!A815))</f>
        <v>XX815</v>
      </c>
      <c r="B816" s="54"/>
      <c r="C816" s="54"/>
      <c r="D816" s="55" t="str">
        <f>_xlfn.XLOOKUP(A816,My_Audit!A:A,My_Audit!D:D,"")&amp;""</f>
        <v/>
      </c>
      <c r="E816" s="55" t="str" cm="1">
        <f t="array" ref="E816">IFERROR(_xlfn.LET(
_xlpm.CSVVal,_xlfn.XLOOKUP($A816,CSV!$A:$A,CSV!D:D,""),
_xlpm.MacVal,_xlfn.XLOOKUP($A816,Output_Mac!$A:$A,Output_Mac!C:C,""),
_xlpm.MyAuditVal,_xlfn.XLOOKUP($A816,My_Audit!$A:$A,My_Audit!D:D,""),
_xlfn.IFS(_xlpm.MyAuditVal&lt;&gt;"",_xlpm.MyAuditVal,_xlpm.MacVal&lt;&gt;"",_xlpm.MacVal,_xlpm.CSVVal&lt;&gt;"",_xlpm.CSVVal
)),"")</f>
        <v/>
      </c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39"/>
    </row>
    <row r="817" spans="1:21">
      <c r="A817" s="54" t="str">
        <f>_xlfn.TEXTJOIN("",TRUE,Input!$B$2,ROW(My_Audit!A816))</f>
        <v>XX816</v>
      </c>
      <c r="B817" s="54"/>
      <c r="C817" s="54"/>
      <c r="D817" s="55" t="str">
        <f>_xlfn.XLOOKUP(A817,My_Audit!A:A,My_Audit!D:D,"")&amp;""</f>
        <v/>
      </c>
      <c r="E817" s="55" t="str" cm="1">
        <f t="array" ref="E817">IFERROR(_xlfn.LET(
_xlpm.CSVVal,_xlfn.XLOOKUP($A817,CSV!$A:$A,CSV!D:D,""),
_xlpm.MacVal,_xlfn.XLOOKUP($A817,Output_Mac!$A:$A,Output_Mac!C:C,""),
_xlpm.MyAuditVal,_xlfn.XLOOKUP($A817,My_Audit!$A:$A,My_Audit!D:D,""),
_xlfn.IFS(_xlpm.MyAuditVal&lt;&gt;"",_xlpm.MyAuditVal,_xlpm.MacVal&lt;&gt;"",_xlpm.MacVal,_xlpm.CSVVal&lt;&gt;"",_xlpm.CSVVal
)),"")</f>
        <v/>
      </c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39"/>
    </row>
    <row r="818" spans="1:21">
      <c r="A818" s="54" t="str">
        <f>_xlfn.TEXTJOIN("",TRUE,Input!$B$2,ROW(My_Audit!A817))</f>
        <v>XX817</v>
      </c>
      <c r="B818" s="54"/>
      <c r="C818" s="54"/>
      <c r="D818" s="55" t="str">
        <f>_xlfn.XLOOKUP(A818,My_Audit!A:A,My_Audit!D:D,"")&amp;""</f>
        <v/>
      </c>
      <c r="E818" s="55" t="str" cm="1">
        <f t="array" ref="E818">IFERROR(_xlfn.LET(
_xlpm.CSVVal,_xlfn.XLOOKUP($A818,CSV!$A:$A,CSV!D:D,""),
_xlpm.MacVal,_xlfn.XLOOKUP($A818,Output_Mac!$A:$A,Output_Mac!C:C,""),
_xlpm.MyAuditVal,_xlfn.XLOOKUP($A818,My_Audit!$A:$A,My_Audit!D:D,""),
_xlfn.IFS(_xlpm.MyAuditVal&lt;&gt;"",_xlpm.MyAuditVal,_xlpm.MacVal&lt;&gt;"",_xlpm.MacVal,_xlpm.CSVVal&lt;&gt;"",_xlpm.CSVVal
)),"")</f>
        <v/>
      </c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39"/>
    </row>
    <row r="819" spans="1:21">
      <c r="A819" s="54" t="str">
        <f>_xlfn.TEXTJOIN("",TRUE,Input!$B$2,ROW(My_Audit!A818))</f>
        <v>XX818</v>
      </c>
      <c r="B819" s="54"/>
      <c r="C819" s="54"/>
      <c r="D819" s="55" t="str">
        <f>_xlfn.XLOOKUP(A819,My_Audit!A:A,My_Audit!D:D,"")&amp;""</f>
        <v/>
      </c>
      <c r="E819" s="55" t="str" cm="1">
        <f t="array" ref="E819">IFERROR(_xlfn.LET(
_xlpm.CSVVal,_xlfn.XLOOKUP($A819,CSV!$A:$A,CSV!D:D,""),
_xlpm.MacVal,_xlfn.XLOOKUP($A819,Output_Mac!$A:$A,Output_Mac!C:C,""),
_xlpm.MyAuditVal,_xlfn.XLOOKUP($A819,My_Audit!$A:$A,My_Audit!D:D,""),
_xlfn.IFS(_xlpm.MyAuditVal&lt;&gt;"",_xlpm.MyAuditVal,_xlpm.MacVal&lt;&gt;"",_xlpm.MacVal,_xlpm.CSVVal&lt;&gt;"",_xlpm.CSVVal
)),"")</f>
        <v/>
      </c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39"/>
    </row>
    <row r="820" spans="1:21">
      <c r="A820" s="54" t="str">
        <f>_xlfn.TEXTJOIN("",TRUE,Input!$B$2,ROW(My_Audit!A819))</f>
        <v>XX819</v>
      </c>
      <c r="B820" s="54"/>
      <c r="C820" s="54"/>
      <c r="D820" s="55" t="str">
        <f>_xlfn.XLOOKUP(A820,My_Audit!A:A,My_Audit!D:D,"")&amp;""</f>
        <v/>
      </c>
      <c r="E820" s="55" t="str" cm="1">
        <f t="array" ref="E820">IFERROR(_xlfn.LET(
_xlpm.CSVVal,_xlfn.XLOOKUP($A820,CSV!$A:$A,CSV!D:D,""),
_xlpm.MacVal,_xlfn.XLOOKUP($A820,Output_Mac!$A:$A,Output_Mac!C:C,""),
_xlpm.MyAuditVal,_xlfn.XLOOKUP($A820,My_Audit!$A:$A,My_Audit!D:D,""),
_xlfn.IFS(_xlpm.MyAuditVal&lt;&gt;"",_xlpm.MyAuditVal,_xlpm.MacVal&lt;&gt;"",_xlpm.MacVal,_xlpm.CSVVal&lt;&gt;"",_xlpm.CSVVal
)),"")</f>
        <v/>
      </c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39"/>
    </row>
    <row r="821" spans="1:21">
      <c r="A821" s="54" t="str">
        <f>_xlfn.TEXTJOIN("",TRUE,Input!$B$2,ROW(My_Audit!A820))</f>
        <v>XX820</v>
      </c>
      <c r="B821" s="54"/>
      <c r="C821" s="54"/>
      <c r="D821" s="55" t="str">
        <f>_xlfn.XLOOKUP(A821,My_Audit!A:A,My_Audit!D:D,"")&amp;""</f>
        <v/>
      </c>
      <c r="E821" s="55" t="str" cm="1">
        <f t="array" ref="E821">IFERROR(_xlfn.LET(
_xlpm.CSVVal,_xlfn.XLOOKUP($A821,CSV!$A:$A,CSV!D:D,""),
_xlpm.MacVal,_xlfn.XLOOKUP($A821,Output_Mac!$A:$A,Output_Mac!C:C,""),
_xlpm.MyAuditVal,_xlfn.XLOOKUP($A821,My_Audit!$A:$A,My_Audit!D:D,""),
_xlfn.IFS(_xlpm.MyAuditVal&lt;&gt;"",_xlpm.MyAuditVal,_xlpm.MacVal&lt;&gt;"",_xlpm.MacVal,_xlpm.CSVVal&lt;&gt;"",_xlpm.CSVVal
)),"")</f>
        <v/>
      </c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39"/>
    </row>
    <row r="822" spans="1:21">
      <c r="A822" s="54" t="str">
        <f>_xlfn.TEXTJOIN("",TRUE,Input!$B$2,ROW(My_Audit!A821))</f>
        <v>XX821</v>
      </c>
      <c r="B822" s="54"/>
      <c r="C822" s="54"/>
      <c r="D822" s="55" t="str">
        <f>_xlfn.XLOOKUP(A822,My_Audit!A:A,My_Audit!D:D,"")&amp;""</f>
        <v/>
      </c>
      <c r="E822" s="55" t="str" cm="1">
        <f t="array" ref="E822">IFERROR(_xlfn.LET(
_xlpm.CSVVal,_xlfn.XLOOKUP($A822,CSV!$A:$A,CSV!D:D,""),
_xlpm.MacVal,_xlfn.XLOOKUP($A822,Output_Mac!$A:$A,Output_Mac!C:C,""),
_xlpm.MyAuditVal,_xlfn.XLOOKUP($A822,My_Audit!$A:$A,My_Audit!D:D,""),
_xlfn.IFS(_xlpm.MyAuditVal&lt;&gt;"",_xlpm.MyAuditVal,_xlpm.MacVal&lt;&gt;"",_xlpm.MacVal,_xlpm.CSVVal&lt;&gt;"",_xlpm.CSVVal
)),"")</f>
        <v/>
      </c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39"/>
    </row>
    <row r="823" spans="1:21">
      <c r="A823" s="54" t="str">
        <f>_xlfn.TEXTJOIN("",TRUE,Input!$B$2,ROW(My_Audit!A822))</f>
        <v>XX822</v>
      </c>
      <c r="B823" s="54"/>
      <c r="C823" s="54"/>
      <c r="D823" s="55" t="str">
        <f>_xlfn.XLOOKUP(A823,My_Audit!A:A,My_Audit!D:D,"")&amp;""</f>
        <v/>
      </c>
      <c r="E823" s="55" t="str" cm="1">
        <f t="array" ref="E823">IFERROR(_xlfn.LET(
_xlpm.CSVVal,_xlfn.XLOOKUP($A823,CSV!$A:$A,CSV!D:D,""),
_xlpm.MacVal,_xlfn.XLOOKUP($A823,Output_Mac!$A:$A,Output_Mac!C:C,""),
_xlpm.MyAuditVal,_xlfn.XLOOKUP($A823,My_Audit!$A:$A,My_Audit!D:D,""),
_xlfn.IFS(_xlpm.MyAuditVal&lt;&gt;"",_xlpm.MyAuditVal,_xlpm.MacVal&lt;&gt;"",_xlpm.MacVal,_xlpm.CSVVal&lt;&gt;"",_xlpm.CSVVal
)),"")</f>
        <v/>
      </c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39"/>
    </row>
    <row r="824" spans="1:21">
      <c r="A824" s="54" t="str">
        <f>_xlfn.TEXTJOIN("",TRUE,Input!$B$2,ROW(My_Audit!A823))</f>
        <v>XX823</v>
      </c>
      <c r="B824" s="54"/>
      <c r="C824" s="54"/>
      <c r="D824" s="55" t="str">
        <f>_xlfn.XLOOKUP(A824,My_Audit!A:A,My_Audit!D:D,"")&amp;""</f>
        <v/>
      </c>
      <c r="E824" s="55" t="str" cm="1">
        <f t="array" ref="E824">IFERROR(_xlfn.LET(
_xlpm.CSVVal,_xlfn.XLOOKUP($A824,CSV!$A:$A,CSV!D:D,""),
_xlpm.MacVal,_xlfn.XLOOKUP($A824,Output_Mac!$A:$A,Output_Mac!C:C,""),
_xlpm.MyAuditVal,_xlfn.XLOOKUP($A824,My_Audit!$A:$A,My_Audit!D:D,""),
_xlfn.IFS(_xlpm.MyAuditVal&lt;&gt;"",_xlpm.MyAuditVal,_xlpm.MacVal&lt;&gt;"",_xlpm.MacVal,_xlpm.CSVVal&lt;&gt;"",_xlpm.CSVVal
)),"")</f>
        <v/>
      </c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39"/>
    </row>
    <row r="825" spans="1:21">
      <c r="A825" s="54" t="str">
        <f>_xlfn.TEXTJOIN("",TRUE,Input!$B$2,ROW(My_Audit!A824))</f>
        <v>XX824</v>
      </c>
      <c r="B825" s="54"/>
      <c r="C825" s="54"/>
      <c r="D825" s="55" t="str">
        <f>_xlfn.XLOOKUP(A825,My_Audit!A:A,My_Audit!D:D,"")&amp;""</f>
        <v/>
      </c>
      <c r="E825" s="55" t="str" cm="1">
        <f t="array" ref="E825">IFERROR(_xlfn.LET(
_xlpm.CSVVal,_xlfn.XLOOKUP($A825,CSV!$A:$A,CSV!D:D,""),
_xlpm.MacVal,_xlfn.XLOOKUP($A825,Output_Mac!$A:$A,Output_Mac!C:C,""),
_xlpm.MyAuditVal,_xlfn.XLOOKUP($A825,My_Audit!$A:$A,My_Audit!D:D,""),
_xlfn.IFS(_xlpm.MyAuditVal&lt;&gt;"",_xlpm.MyAuditVal,_xlpm.MacVal&lt;&gt;"",_xlpm.MacVal,_xlpm.CSVVal&lt;&gt;"",_xlpm.CSVVal
)),"")</f>
        <v/>
      </c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39"/>
    </row>
    <row r="826" spans="1:21">
      <c r="A826" s="54" t="str">
        <f>_xlfn.TEXTJOIN("",TRUE,Input!$B$2,ROW(My_Audit!A825))</f>
        <v>XX825</v>
      </c>
      <c r="B826" s="54"/>
      <c r="C826" s="54"/>
      <c r="D826" s="55" t="str">
        <f>_xlfn.XLOOKUP(A826,My_Audit!A:A,My_Audit!D:D,"")&amp;""</f>
        <v/>
      </c>
      <c r="E826" s="55" t="str" cm="1">
        <f t="array" ref="E826">IFERROR(_xlfn.LET(
_xlpm.CSVVal,_xlfn.XLOOKUP($A826,CSV!$A:$A,CSV!D:D,""),
_xlpm.MacVal,_xlfn.XLOOKUP($A826,Output_Mac!$A:$A,Output_Mac!C:C,""),
_xlpm.MyAuditVal,_xlfn.XLOOKUP($A826,My_Audit!$A:$A,My_Audit!D:D,""),
_xlfn.IFS(_xlpm.MyAuditVal&lt;&gt;"",_xlpm.MyAuditVal,_xlpm.MacVal&lt;&gt;"",_xlpm.MacVal,_xlpm.CSVVal&lt;&gt;"",_xlpm.CSVVal
)),"")</f>
        <v/>
      </c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39"/>
    </row>
    <row r="827" spans="1:21">
      <c r="A827" s="54" t="str">
        <f>_xlfn.TEXTJOIN("",TRUE,Input!$B$2,ROW(My_Audit!A826))</f>
        <v>XX826</v>
      </c>
      <c r="B827" s="54"/>
      <c r="C827" s="54"/>
      <c r="D827" s="55" t="str">
        <f>_xlfn.XLOOKUP(A827,My_Audit!A:A,My_Audit!D:D,"")&amp;""</f>
        <v/>
      </c>
      <c r="E827" s="55" t="str" cm="1">
        <f t="array" ref="E827">IFERROR(_xlfn.LET(
_xlpm.CSVVal,_xlfn.XLOOKUP($A827,CSV!$A:$A,CSV!D:D,""),
_xlpm.MacVal,_xlfn.XLOOKUP($A827,Output_Mac!$A:$A,Output_Mac!C:C,""),
_xlpm.MyAuditVal,_xlfn.XLOOKUP($A827,My_Audit!$A:$A,My_Audit!D:D,""),
_xlfn.IFS(_xlpm.MyAuditVal&lt;&gt;"",_xlpm.MyAuditVal,_xlpm.MacVal&lt;&gt;"",_xlpm.MacVal,_xlpm.CSVVal&lt;&gt;"",_xlpm.CSVVal
)),"")</f>
        <v/>
      </c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39"/>
    </row>
    <row r="828" spans="1:21">
      <c r="A828" s="54" t="str">
        <f>_xlfn.TEXTJOIN("",TRUE,Input!$B$2,ROW(My_Audit!A827))</f>
        <v>XX827</v>
      </c>
      <c r="B828" s="54"/>
      <c r="C828" s="54"/>
      <c r="D828" s="55" t="str">
        <f>_xlfn.XLOOKUP(A828,My_Audit!A:A,My_Audit!D:D,"")&amp;""</f>
        <v/>
      </c>
      <c r="E828" s="55" t="str" cm="1">
        <f t="array" ref="E828">IFERROR(_xlfn.LET(
_xlpm.CSVVal,_xlfn.XLOOKUP($A828,CSV!$A:$A,CSV!D:D,""),
_xlpm.MacVal,_xlfn.XLOOKUP($A828,Output_Mac!$A:$A,Output_Mac!C:C,""),
_xlpm.MyAuditVal,_xlfn.XLOOKUP($A828,My_Audit!$A:$A,My_Audit!D:D,""),
_xlfn.IFS(_xlpm.MyAuditVal&lt;&gt;"",_xlpm.MyAuditVal,_xlpm.MacVal&lt;&gt;"",_xlpm.MacVal,_xlpm.CSVVal&lt;&gt;"",_xlpm.CSVVal
)),"")</f>
        <v/>
      </c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39"/>
    </row>
    <row r="829" spans="1:21">
      <c r="A829" s="54" t="str">
        <f>_xlfn.TEXTJOIN("",TRUE,Input!$B$2,ROW(My_Audit!A828))</f>
        <v>XX828</v>
      </c>
      <c r="B829" s="54"/>
      <c r="C829" s="54"/>
      <c r="D829" s="55" t="str">
        <f>_xlfn.XLOOKUP(A829,My_Audit!A:A,My_Audit!D:D,"")&amp;""</f>
        <v/>
      </c>
      <c r="E829" s="55" t="str" cm="1">
        <f t="array" ref="E829">IFERROR(_xlfn.LET(
_xlpm.CSVVal,_xlfn.XLOOKUP($A829,CSV!$A:$A,CSV!D:D,""),
_xlpm.MacVal,_xlfn.XLOOKUP($A829,Output_Mac!$A:$A,Output_Mac!C:C,""),
_xlpm.MyAuditVal,_xlfn.XLOOKUP($A829,My_Audit!$A:$A,My_Audit!D:D,""),
_xlfn.IFS(_xlpm.MyAuditVal&lt;&gt;"",_xlpm.MyAuditVal,_xlpm.MacVal&lt;&gt;"",_xlpm.MacVal,_xlpm.CSVVal&lt;&gt;"",_xlpm.CSVVal
)),"")</f>
        <v/>
      </c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39"/>
    </row>
    <row r="830" spans="1:21">
      <c r="A830" s="54" t="str">
        <f>_xlfn.TEXTJOIN("",TRUE,Input!$B$2,ROW(My_Audit!A829))</f>
        <v>XX829</v>
      </c>
      <c r="B830" s="54"/>
      <c r="C830" s="54"/>
      <c r="D830" s="55" t="str">
        <f>_xlfn.XLOOKUP(A830,My_Audit!A:A,My_Audit!D:D,"")&amp;""</f>
        <v/>
      </c>
      <c r="E830" s="55" t="str" cm="1">
        <f t="array" ref="E830">IFERROR(_xlfn.LET(
_xlpm.CSVVal,_xlfn.XLOOKUP($A830,CSV!$A:$A,CSV!D:D,""),
_xlpm.MacVal,_xlfn.XLOOKUP($A830,Output_Mac!$A:$A,Output_Mac!C:C,""),
_xlpm.MyAuditVal,_xlfn.XLOOKUP($A830,My_Audit!$A:$A,My_Audit!D:D,""),
_xlfn.IFS(_xlpm.MyAuditVal&lt;&gt;"",_xlpm.MyAuditVal,_xlpm.MacVal&lt;&gt;"",_xlpm.MacVal,_xlpm.CSVVal&lt;&gt;"",_xlpm.CSVVal
)),"")</f>
        <v/>
      </c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39"/>
    </row>
    <row r="831" spans="1:21">
      <c r="A831" s="54" t="str">
        <f>_xlfn.TEXTJOIN("",TRUE,Input!$B$2,ROW(My_Audit!A830))</f>
        <v>XX830</v>
      </c>
      <c r="B831" s="54"/>
      <c r="C831" s="54"/>
      <c r="D831" s="55" t="str">
        <f>_xlfn.XLOOKUP(A831,My_Audit!A:A,My_Audit!D:D,"")&amp;""</f>
        <v/>
      </c>
      <c r="E831" s="55" t="str" cm="1">
        <f t="array" ref="E831">IFERROR(_xlfn.LET(
_xlpm.CSVVal,_xlfn.XLOOKUP($A831,CSV!$A:$A,CSV!D:D,""),
_xlpm.MacVal,_xlfn.XLOOKUP($A831,Output_Mac!$A:$A,Output_Mac!C:C,""),
_xlpm.MyAuditVal,_xlfn.XLOOKUP($A831,My_Audit!$A:$A,My_Audit!D:D,""),
_xlfn.IFS(_xlpm.MyAuditVal&lt;&gt;"",_xlpm.MyAuditVal,_xlpm.MacVal&lt;&gt;"",_xlpm.MacVal,_xlpm.CSVVal&lt;&gt;"",_xlpm.CSVVal
)),"")</f>
        <v/>
      </c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39"/>
    </row>
    <row r="832" spans="1:21">
      <c r="A832" s="54" t="str">
        <f>_xlfn.TEXTJOIN("",TRUE,Input!$B$2,ROW(My_Audit!A831))</f>
        <v>XX831</v>
      </c>
      <c r="B832" s="54"/>
      <c r="C832" s="54"/>
      <c r="D832" s="55" t="str">
        <f>_xlfn.XLOOKUP(A832,My_Audit!A:A,My_Audit!D:D,"")&amp;""</f>
        <v/>
      </c>
      <c r="E832" s="55" t="str" cm="1">
        <f t="array" ref="E832">IFERROR(_xlfn.LET(
_xlpm.CSVVal,_xlfn.XLOOKUP($A832,CSV!$A:$A,CSV!D:D,""),
_xlpm.MacVal,_xlfn.XLOOKUP($A832,Output_Mac!$A:$A,Output_Mac!C:C,""),
_xlpm.MyAuditVal,_xlfn.XLOOKUP($A832,My_Audit!$A:$A,My_Audit!D:D,""),
_xlfn.IFS(_xlpm.MyAuditVal&lt;&gt;"",_xlpm.MyAuditVal,_xlpm.MacVal&lt;&gt;"",_xlpm.MacVal,_xlpm.CSVVal&lt;&gt;"",_xlpm.CSVVal
)),"")</f>
        <v/>
      </c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39"/>
    </row>
    <row r="833" spans="1:21">
      <c r="A833" s="54" t="str">
        <f>_xlfn.TEXTJOIN("",TRUE,Input!$B$2,ROW(My_Audit!A832))</f>
        <v>XX832</v>
      </c>
      <c r="B833" s="54"/>
      <c r="C833" s="54"/>
      <c r="D833" s="55" t="str">
        <f>_xlfn.XLOOKUP(A833,My_Audit!A:A,My_Audit!D:D,"")&amp;""</f>
        <v/>
      </c>
      <c r="E833" s="55" t="str" cm="1">
        <f t="array" ref="E833">IFERROR(_xlfn.LET(
_xlpm.CSVVal,_xlfn.XLOOKUP($A833,CSV!$A:$A,CSV!D:D,""),
_xlpm.MacVal,_xlfn.XLOOKUP($A833,Output_Mac!$A:$A,Output_Mac!C:C,""),
_xlpm.MyAuditVal,_xlfn.XLOOKUP($A833,My_Audit!$A:$A,My_Audit!D:D,""),
_xlfn.IFS(_xlpm.MyAuditVal&lt;&gt;"",_xlpm.MyAuditVal,_xlpm.MacVal&lt;&gt;"",_xlpm.MacVal,_xlpm.CSVVal&lt;&gt;"",_xlpm.CSVVal
)),"")</f>
        <v/>
      </c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39"/>
    </row>
    <row r="834" spans="1:21">
      <c r="A834" s="54" t="str">
        <f>_xlfn.TEXTJOIN("",TRUE,Input!$B$2,ROW(My_Audit!A833))</f>
        <v>XX833</v>
      </c>
      <c r="B834" s="54"/>
      <c r="C834" s="54"/>
      <c r="D834" s="55" t="str">
        <f>_xlfn.XLOOKUP(A834,My_Audit!A:A,My_Audit!D:D,"")&amp;""</f>
        <v/>
      </c>
      <c r="E834" s="55" t="str" cm="1">
        <f t="array" ref="E834">IFERROR(_xlfn.LET(
_xlpm.CSVVal,_xlfn.XLOOKUP($A834,CSV!$A:$A,CSV!D:D,""),
_xlpm.MacVal,_xlfn.XLOOKUP($A834,Output_Mac!$A:$A,Output_Mac!C:C,""),
_xlpm.MyAuditVal,_xlfn.XLOOKUP($A834,My_Audit!$A:$A,My_Audit!D:D,""),
_xlfn.IFS(_xlpm.MyAuditVal&lt;&gt;"",_xlpm.MyAuditVal,_xlpm.MacVal&lt;&gt;"",_xlpm.MacVal,_xlpm.CSVVal&lt;&gt;"",_xlpm.CSVVal
)),"")</f>
        <v/>
      </c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39"/>
    </row>
    <row r="835" spans="1:21">
      <c r="A835" s="54" t="str">
        <f>_xlfn.TEXTJOIN("",TRUE,Input!$B$2,ROW(My_Audit!A834))</f>
        <v>XX834</v>
      </c>
      <c r="B835" s="54"/>
      <c r="C835" s="54"/>
      <c r="D835" s="55" t="str">
        <f>_xlfn.XLOOKUP(A835,My_Audit!A:A,My_Audit!D:D,"")&amp;""</f>
        <v/>
      </c>
      <c r="E835" s="55" t="str" cm="1">
        <f t="array" ref="E835">IFERROR(_xlfn.LET(
_xlpm.CSVVal,_xlfn.XLOOKUP($A835,CSV!$A:$A,CSV!D:D,""),
_xlpm.MacVal,_xlfn.XLOOKUP($A835,Output_Mac!$A:$A,Output_Mac!C:C,""),
_xlpm.MyAuditVal,_xlfn.XLOOKUP($A835,My_Audit!$A:$A,My_Audit!D:D,""),
_xlfn.IFS(_xlpm.MyAuditVal&lt;&gt;"",_xlpm.MyAuditVal,_xlpm.MacVal&lt;&gt;"",_xlpm.MacVal,_xlpm.CSVVal&lt;&gt;"",_xlpm.CSVVal
)),"")</f>
        <v/>
      </c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39"/>
    </row>
    <row r="836" spans="1:21">
      <c r="A836" s="54" t="str">
        <f>_xlfn.TEXTJOIN("",TRUE,Input!$B$2,ROW(My_Audit!A835))</f>
        <v>XX835</v>
      </c>
      <c r="B836" s="54"/>
      <c r="C836" s="54"/>
      <c r="D836" s="55" t="str">
        <f>_xlfn.XLOOKUP(A836,My_Audit!A:A,My_Audit!D:D,"")&amp;""</f>
        <v/>
      </c>
      <c r="E836" s="55" t="str" cm="1">
        <f t="array" ref="E836">IFERROR(_xlfn.LET(
_xlpm.CSVVal,_xlfn.XLOOKUP($A836,CSV!$A:$A,CSV!D:D,""),
_xlpm.MacVal,_xlfn.XLOOKUP($A836,Output_Mac!$A:$A,Output_Mac!C:C,""),
_xlpm.MyAuditVal,_xlfn.XLOOKUP($A836,My_Audit!$A:$A,My_Audit!D:D,""),
_xlfn.IFS(_xlpm.MyAuditVal&lt;&gt;"",_xlpm.MyAuditVal,_xlpm.MacVal&lt;&gt;"",_xlpm.MacVal,_xlpm.CSVVal&lt;&gt;"",_xlpm.CSVVal
)),"")</f>
        <v/>
      </c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39"/>
    </row>
    <row r="837" spans="1:21">
      <c r="A837" s="54" t="str">
        <f>_xlfn.TEXTJOIN("",TRUE,Input!$B$2,ROW(My_Audit!A836))</f>
        <v>XX836</v>
      </c>
      <c r="B837" s="54"/>
      <c r="C837" s="54"/>
      <c r="D837" s="55" t="str">
        <f>_xlfn.XLOOKUP(A837,My_Audit!A:A,My_Audit!D:D,"")&amp;""</f>
        <v/>
      </c>
      <c r="E837" s="55" t="str" cm="1">
        <f t="array" ref="E837">IFERROR(_xlfn.LET(
_xlpm.CSVVal,_xlfn.XLOOKUP($A837,CSV!$A:$A,CSV!D:D,""),
_xlpm.MacVal,_xlfn.XLOOKUP($A837,Output_Mac!$A:$A,Output_Mac!C:C,""),
_xlpm.MyAuditVal,_xlfn.XLOOKUP($A837,My_Audit!$A:$A,My_Audit!D:D,""),
_xlfn.IFS(_xlpm.MyAuditVal&lt;&gt;"",_xlpm.MyAuditVal,_xlpm.MacVal&lt;&gt;"",_xlpm.MacVal,_xlpm.CSVVal&lt;&gt;"",_xlpm.CSVVal
)),"")</f>
        <v/>
      </c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39"/>
    </row>
    <row r="838" spans="1:21">
      <c r="A838" s="54" t="str">
        <f>_xlfn.TEXTJOIN("",TRUE,Input!$B$2,ROW(My_Audit!A837))</f>
        <v>XX837</v>
      </c>
      <c r="B838" s="54"/>
      <c r="C838" s="54"/>
      <c r="D838" s="55" t="str">
        <f>_xlfn.XLOOKUP(A838,My_Audit!A:A,My_Audit!D:D,"")&amp;""</f>
        <v/>
      </c>
      <c r="E838" s="55" t="str" cm="1">
        <f t="array" ref="E838">IFERROR(_xlfn.LET(
_xlpm.CSVVal,_xlfn.XLOOKUP($A838,CSV!$A:$A,CSV!D:D,""),
_xlpm.MacVal,_xlfn.XLOOKUP($A838,Output_Mac!$A:$A,Output_Mac!C:C,""),
_xlpm.MyAuditVal,_xlfn.XLOOKUP($A838,My_Audit!$A:$A,My_Audit!D:D,""),
_xlfn.IFS(_xlpm.MyAuditVal&lt;&gt;"",_xlpm.MyAuditVal,_xlpm.MacVal&lt;&gt;"",_xlpm.MacVal,_xlpm.CSVVal&lt;&gt;"",_xlpm.CSVVal
)),"")</f>
        <v/>
      </c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39"/>
    </row>
    <row r="839" spans="1:21">
      <c r="A839" s="54" t="str">
        <f>_xlfn.TEXTJOIN("",TRUE,Input!$B$2,ROW(My_Audit!A838))</f>
        <v>XX838</v>
      </c>
      <c r="B839" s="54"/>
      <c r="C839" s="54"/>
      <c r="D839" s="55" t="str">
        <f>_xlfn.XLOOKUP(A839,My_Audit!A:A,My_Audit!D:D,"")&amp;""</f>
        <v/>
      </c>
      <c r="E839" s="55" t="str" cm="1">
        <f t="array" ref="E839">IFERROR(_xlfn.LET(
_xlpm.CSVVal,_xlfn.XLOOKUP($A839,CSV!$A:$A,CSV!D:D,""),
_xlpm.MacVal,_xlfn.XLOOKUP($A839,Output_Mac!$A:$A,Output_Mac!C:C,""),
_xlpm.MyAuditVal,_xlfn.XLOOKUP($A839,My_Audit!$A:$A,My_Audit!D:D,""),
_xlfn.IFS(_xlpm.MyAuditVal&lt;&gt;"",_xlpm.MyAuditVal,_xlpm.MacVal&lt;&gt;"",_xlpm.MacVal,_xlpm.CSVVal&lt;&gt;"",_xlpm.CSVVal
)),"")</f>
        <v/>
      </c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39"/>
    </row>
    <row r="840" spans="1:21">
      <c r="A840" s="54" t="str">
        <f>_xlfn.TEXTJOIN("",TRUE,Input!$B$2,ROW(My_Audit!A839))</f>
        <v>XX839</v>
      </c>
      <c r="B840" s="54"/>
      <c r="C840" s="54"/>
      <c r="D840" s="55" t="str">
        <f>_xlfn.XLOOKUP(A840,My_Audit!A:A,My_Audit!D:D,"")&amp;""</f>
        <v/>
      </c>
      <c r="E840" s="55" t="str" cm="1">
        <f t="array" ref="E840">IFERROR(_xlfn.LET(
_xlpm.CSVVal,_xlfn.XLOOKUP($A840,CSV!$A:$A,CSV!D:D,""),
_xlpm.MacVal,_xlfn.XLOOKUP($A840,Output_Mac!$A:$A,Output_Mac!C:C,""),
_xlpm.MyAuditVal,_xlfn.XLOOKUP($A840,My_Audit!$A:$A,My_Audit!D:D,""),
_xlfn.IFS(_xlpm.MyAuditVal&lt;&gt;"",_xlpm.MyAuditVal,_xlpm.MacVal&lt;&gt;"",_xlpm.MacVal,_xlpm.CSVVal&lt;&gt;"",_xlpm.CSVVal
)),"")</f>
        <v/>
      </c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39"/>
    </row>
    <row r="841" spans="1:21">
      <c r="A841" s="54" t="str">
        <f>_xlfn.TEXTJOIN("",TRUE,Input!$B$2,ROW(My_Audit!A840))</f>
        <v>XX840</v>
      </c>
      <c r="B841" s="54"/>
      <c r="C841" s="54"/>
      <c r="D841" s="55" t="str">
        <f>_xlfn.XLOOKUP(A841,My_Audit!A:A,My_Audit!D:D,"")&amp;""</f>
        <v/>
      </c>
      <c r="E841" s="55" t="str" cm="1">
        <f t="array" ref="E841">IFERROR(_xlfn.LET(
_xlpm.CSVVal,_xlfn.XLOOKUP($A841,CSV!$A:$A,CSV!D:D,""),
_xlpm.MacVal,_xlfn.XLOOKUP($A841,Output_Mac!$A:$A,Output_Mac!C:C,""),
_xlpm.MyAuditVal,_xlfn.XLOOKUP($A841,My_Audit!$A:$A,My_Audit!D:D,""),
_xlfn.IFS(_xlpm.MyAuditVal&lt;&gt;"",_xlpm.MyAuditVal,_xlpm.MacVal&lt;&gt;"",_xlpm.MacVal,_xlpm.CSVVal&lt;&gt;"",_xlpm.CSVVal
)),"")</f>
        <v/>
      </c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39"/>
    </row>
    <row r="842" spans="1:21">
      <c r="A842" s="54" t="str">
        <f>_xlfn.TEXTJOIN("",TRUE,Input!$B$2,ROW(My_Audit!A841))</f>
        <v>XX841</v>
      </c>
      <c r="B842" s="54"/>
      <c r="C842" s="54"/>
      <c r="D842" s="55" t="str">
        <f>_xlfn.XLOOKUP(A842,My_Audit!A:A,My_Audit!D:D,"")&amp;""</f>
        <v/>
      </c>
      <c r="E842" s="55" t="str" cm="1">
        <f t="array" ref="E842">IFERROR(_xlfn.LET(
_xlpm.CSVVal,_xlfn.XLOOKUP($A842,CSV!$A:$A,CSV!D:D,""),
_xlpm.MacVal,_xlfn.XLOOKUP($A842,Output_Mac!$A:$A,Output_Mac!C:C,""),
_xlpm.MyAuditVal,_xlfn.XLOOKUP($A842,My_Audit!$A:$A,My_Audit!D:D,""),
_xlfn.IFS(_xlpm.MyAuditVal&lt;&gt;"",_xlpm.MyAuditVal,_xlpm.MacVal&lt;&gt;"",_xlpm.MacVal,_xlpm.CSVVal&lt;&gt;"",_xlpm.CSVVal
)),"")</f>
        <v/>
      </c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39"/>
    </row>
    <row r="843" spans="1:21">
      <c r="A843" s="54" t="str">
        <f>_xlfn.TEXTJOIN("",TRUE,Input!$B$2,ROW(My_Audit!A842))</f>
        <v>XX842</v>
      </c>
      <c r="B843" s="54"/>
      <c r="C843" s="54"/>
      <c r="D843" s="55" t="str">
        <f>_xlfn.XLOOKUP(A843,My_Audit!A:A,My_Audit!D:D,"")&amp;""</f>
        <v/>
      </c>
      <c r="E843" s="55" t="str" cm="1">
        <f t="array" ref="E843">IFERROR(_xlfn.LET(
_xlpm.CSVVal,_xlfn.XLOOKUP($A843,CSV!$A:$A,CSV!D:D,""),
_xlpm.MacVal,_xlfn.XLOOKUP($A843,Output_Mac!$A:$A,Output_Mac!C:C,""),
_xlpm.MyAuditVal,_xlfn.XLOOKUP($A843,My_Audit!$A:$A,My_Audit!D:D,""),
_xlfn.IFS(_xlpm.MyAuditVal&lt;&gt;"",_xlpm.MyAuditVal,_xlpm.MacVal&lt;&gt;"",_xlpm.MacVal,_xlpm.CSVVal&lt;&gt;"",_xlpm.CSVVal
)),"")</f>
        <v/>
      </c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39"/>
    </row>
    <row r="844" spans="1:21">
      <c r="A844" s="54" t="str">
        <f>_xlfn.TEXTJOIN("",TRUE,Input!$B$2,ROW(My_Audit!A843))</f>
        <v>XX843</v>
      </c>
      <c r="B844" s="54"/>
      <c r="C844" s="54"/>
      <c r="D844" s="55" t="str">
        <f>_xlfn.XLOOKUP(A844,My_Audit!A:A,My_Audit!D:D,"")&amp;""</f>
        <v/>
      </c>
      <c r="E844" s="55" t="str" cm="1">
        <f t="array" ref="E844">IFERROR(_xlfn.LET(
_xlpm.CSVVal,_xlfn.XLOOKUP($A844,CSV!$A:$A,CSV!D:D,""),
_xlpm.MacVal,_xlfn.XLOOKUP($A844,Output_Mac!$A:$A,Output_Mac!C:C,""),
_xlpm.MyAuditVal,_xlfn.XLOOKUP($A844,My_Audit!$A:$A,My_Audit!D:D,""),
_xlfn.IFS(_xlpm.MyAuditVal&lt;&gt;"",_xlpm.MyAuditVal,_xlpm.MacVal&lt;&gt;"",_xlpm.MacVal,_xlpm.CSVVal&lt;&gt;"",_xlpm.CSVVal
)),"")</f>
        <v/>
      </c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39"/>
    </row>
    <row r="845" spans="1:21">
      <c r="A845" s="54" t="str">
        <f>_xlfn.TEXTJOIN("",TRUE,Input!$B$2,ROW(My_Audit!A844))</f>
        <v>XX844</v>
      </c>
      <c r="B845" s="54"/>
      <c r="C845" s="54"/>
      <c r="D845" s="55" t="str">
        <f>_xlfn.XLOOKUP(A845,My_Audit!A:A,My_Audit!D:D,"")&amp;""</f>
        <v/>
      </c>
      <c r="E845" s="55" t="str" cm="1">
        <f t="array" ref="E845">IFERROR(_xlfn.LET(
_xlpm.CSVVal,_xlfn.XLOOKUP($A845,CSV!$A:$A,CSV!D:D,""),
_xlpm.MacVal,_xlfn.XLOOKUP($A845,Output_Mac!$A:$A,Output_Mac!C:C,""),
_xlpm.MyAuditVal,_xlfn.XLOOKUP($A845,My_Audit!$A:$A,My_Audit!D:D,""),
_xlfn.IFS(_xlpm.MyAuditVal&lt;&gt;"",_xlpm.MyAuditVal,_xlpm.MacVal&lt;&gt;"",_xlpm.MacVal,_xlpm.CSVVal&lt;&gt;"",_xlpm.CSVVal
)),"")</f>
        <v/>
      </c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39"/>
    </row>
    <row r="846" spans="1:21">
      <c r="A846" s="54" t="str">
        <f>_xlfn.TEXTJOIN("",TRUE,Input!$B$2,ROW(My_Audit!A845))</f>
        <v>XX845</v>
      </c>
      <c r="B846" s="54"/>
      <c r="C846" s="54"/>
      <c r="D846" s="55" t="str">
        <f>_xlfn.XLOOKUP(A846,My_Audit!A:A,My_Audit!D:D,"")&amp;""</f>
        <v/>
      </c>
      <c r="E846" s="55" t="str" cm="1">
        <f t="array" ref="E846">IFERROR(_xlfn.LET(
_xlpm.CSVVal,_xlfn.XLOOKUP($A846,CSV!$A:$A,CSV!D:D,""),
_xlpm.MacVal,_xlfn.XLOOKUP($A846,Output_Mac!$A:$A,Output_Mac!C:C,""),
_xlpm.MyAuditVal,_xlfn.XLOOKUP($A846,My_Audit!$A:$A,My_Audit!D:D,""),
_xlfn.IFS(_xlpm.MyAuditVal&lt;&gt;"",_xlpm.MyAuditVal,_xlpm.MacVal&lt;&gt;"",_xlpm.MacVal,_xlpm.CSVVal&lt;&gt;"",_xlpm.CSVVal
)),"")</f>
        <v/>
      </c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39"/>
    </row>
    <row r="847" spans="1:21">
      <c r="A847" s="54" t="str">
        <f>_xlfn.TEXTJOIN("",TRUE,Input!$B$2,ROW(My_Audit!A846))</f>
        <v>XX846</v>
      </c>
      <c r="B847" s="54"/>
      <c r="C847" s="54"/>
      <c r="D847" s="55" t="str">
        <f>_xlfn.XLOOKUP(A847,My_Audit!A:A,My_Audit!D:D,"")&amp;""</f>
        <v/>
      </c>
      <c r="E847" s="55" t="str" cm="1">
        <f t="array" ref="E847">IFERROR(_xlfn.LET(
_xlpm.CSVVal,_xlfn.XLOOKUP($A847,CSV!$A:$A,CSV!D:D,""),
_xlpm.MacVal,_xlfn.XLOOKUP($A847,Output_Mac!$A:$A,Output_Mac!C:C,""),
_xlpm.MyAuditVal,_xlfn.XLOOKUP($A847,My_Audit!$A:$A,My_Audit!D:D,""),
_xlfn.IFS(_xlpm.MyAuditVal&lt;&gt;"",_xlpm.MyAuditVal,_xlpm.MacVal&lt;&gt;"",_xlpm.MacVal,_xlpm.CSVVal&lt;&gt;"",_xlpm.CSVVal
)),"")</f>
        <v/>
      </c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39"/>
    </row>
    <row r="848" spans="1:21">
      <c r="A848" s="54" t="str">
        <f>_xlfn.TEXTJOIN("",TRUE,Input!$B$2,ROW(My_Audit!A847))</f>
        <v>XX847</v>
      </c>
      <c r="B848" s="54"/>
      <c r="C848" s="54"/>
      <c r="D848" s="55" t="str">
        <f>_xlfn.XLOOKUP(A848,My_Audit!A:A,My_Audit!D:D,"")&amp;""</f>
        <v/>
      </c>
      <c r="E848" s="55" t="str" cm="1">
        <f t="array" ref="E848">IFERROR(_xlfn.LET(
_xlpm.CSVVal,_xlfn.XLOOKUP($A848,CSV!$A:$A,CSV!D:D,""),
_xlpm.MacVal,_xlfn.XLOOKUP($A848,Output_Mac!$A:$A,Output_Mac!C:C,""),
_xlpm.MyAuditVal,_xlfn.XLOOKUP($A848,My_Audit!$A:$A,My_Audit!D:D,""),
_xlfn.IFS(_xlpm.MyAuditVal&lt;&gt;"",_xlpm.MyAuditVal,_xlpm.MacVal&lt;&gt;"",_xlpm.MacVal,_xlpm.CSVVal&lt;&gt;"",_xlpm.CSVVal
)),"")</f>
        <v/>
      </c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39"/>
    </row>
    <row r="849" spans="1:21">
      <c r="A849" s="54" t="str">
        <f>_xlfn.TEXTJOIN("",TRUE,Input!$B$2,ROW(My_Audit!A848))</f>
        <v>XX848</v>
      </c>
      <c r="B849" s="54"/>
      <c r="C849" s="54"/>
      <c r="D849" s="55" t="str">
        <f>_xlfn.XLOOKUP(A849,My_Audit!A:A,My_Audit!D:D,"")&amp;""</f>
        <v/>
      </c>
      <c r="E849" s="55" t="str" cm="1">
        <f t="array" ref="E849">IFERROR(_xlfn.LET(
_xlpm.CSVVal,_xlfn.XLOOKUP($A849,CSV!$A:$A,CSV!D:D,""),
_xlpm.MacVal,_xlfn.XLOOKUP($A849,Output_Mac!$A:$A,Output_Mac!C:C,""),
_xlpm.MyAuditVal,_xlfn.XLOOKUP($A849,My_Audit!$A:$A,My_Audit!D:D,""),
_xlfn.IFS(_xlpm.MyAuditVal&lt;&gt;"",_xlpm.MyAuditVal,_xlpm.MacVal&lt;&gt;"",_xlpm.MacVal,_xlpm.CSVVal&lt;&gt;"",_xlpm.CSVVal
)),"")</f>
        <v/>
      </c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39"/>
    </row>
    <row r="850" spans="1:21">
      <c r="A850" s="54" t="str">
        <f>_xlfn.TEXTJOIN("",TRUE,Input!$B$2,ROW(My_Audit!A849))</f>
        <v>XX849</v>
      </c>
      <c r="B850" s="54"/>
      <c r="C850" s="54"/>
      <c r="D850" s="55" t="str">
        <f>_xlfn.XLOOKUP(A850,My_Audit!A:A,My_Audit!D:D,"")&amp;""</f>
        <v/>
      </c>
      <c r="E850" s="55" t="str" cm="1">
        <f t="array" ref="E850">IFERROR(_xlfn.LET(
_xlpm.CSVVal,_xlfn.XLOOKUP($A850,CSV!$A:$A,CSV!D:D,""),
_xlpm.MacVal,_xlfn.XLOOKUP($A850,Output_Mac!$A:$A,Output_Mac!C:C,""),
_xlpm.MyAuditVal,_xlfn.XLOOKUP($A850,My_Audit!$A:$A,My_Audit!D:D,""),
_xlfn.IFS(_xlpm.MyAuditVal&lt;&gt;"",_xlpm.MyAuditVal,_xlpm.MacVal&lt;&gt;"",_xlpm.MacVal,_xlpm.CSVVal&lt;&gt;"",_xlpm.CSVVal
)),"")</f>
        <v/>
      </c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39"/>
    </row>
    <row r="851" spans="1:21">
      <c r="A851" s="54" t="str">
        <f>_xlfn.TEXTJOIN("",TRUE,Input!$B$2,ROW(My_Audit!A850))</f>
        <v>XX850</v>
      </c>
      <c r="B851" s="54"/>
      <c r="C851" s="54"/>
      <c r="D851" s="55" t="str">
        <f>_xlfn.XLOOKUP(A851,My_Audit!A:A,My_Audit!D:D,"")&amp;""</f>
        <v/>
      </c>
      <c r="E851" s="55" t="str" cm="1">
        <f t="array" ref="E851">IFERROR(_xlfn.LET(
_xlpm.CSVVal,_xlfn.XLOOKUP($A851,CSV!$A:$A,CSV!D:D,""),
_xlpm.MacVal,_xlfn.XLOOKUP($A851,Output_Mac!$A:$A,Output_Mac!C:C,""),
_xlpm.MyAuditVal,_xlfn.XLOOKUP($A851,My_Audit!$A:$A,My_Audit!D:D,""),
_xlfn.IFS(_xlpm.MyAuditVal&lt;&gt;"",_xlpm.MyAuditVal,_xlpm.MacVal&lt;&gt;"",_xlpm.MacVal,_xlpm.CSVVal&lt;&gt;"",_xlpm.CSVVal
)),"")</f>
        <v/>
      </c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39"/>
    </row>
    <row r="852" spans="1:21">
      <c r="A852" s="54" t="str">
        <f>_xlfn.TEXTJOIN("",TRUE,Input!$B$2,ROW(My_Audit!A851))</f>
        <v>XX851</v>
      </c>
      <c r="B852" s="54"/>
      <c r="C852" s="54"/>
      <c r="D852" s="55" t="str">
        <f>_xlfn.XLOOKUP(A852,My_Audit!A:A,My_Audit!D:D,"")&amp;""</f>
        <v/>
      </c>
      <c r="E852" s="55" t="str" cm="1">
        <f t="array" ref="E852">IFERROR(_xlfn.LET(
_xlpm.CSVVal,_xlfn.XLOOKUP($A852,CSV!$A:$A,CSV!D:D,""),
_xlpm.MacVal,_xlfn.XLOOKUP($A852,Output_Mac!$A:$A,Output_Mac!C:C,""),
_xlpm.MyAuditVal,_xlfn.XLOOKUP($A852,My_Audit!$A:$A,My_Audit!D:D,""),
_xlfn.IFS(_xlpm.MyAuditVal&lt;&gt;"",_xlpm.MyAuditVal,_xlpm.MacVal&lt;&gt;"",_xlpm.MacVal,_xlpm.CSVVal&lt;&gt;"",_xlpm.CSVVal
)),"")</f>
        <v/>
      </c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39"/>
    </row>
    <row r="853" spans="1:21">
      <c r="A853" s="54" t="str">
        <f>_xlfn.TEXTJOIN("",TRUE,Input!$B$2,ROW(My_Audit!A852))</f>
        <v>XX852</v>
      </c>
      <c r="B853" s="54"/>
      <c r="C853" s="54"/>
      <c r="D853" s="55" t="str">
        <f>_xlfn.XLOOKUP(A853,My_Audit!A:A,My_Audit!D:D,"")&amp;""</f>
        <v/>
      </c>
      <c r="E853" s="55" t="str" cm="1">
        <f t="array" ref="E853">IFERROR(_xlfn.LET(
_xlpm.CSVVal,_xlfn.XLOOKUP($A853,CSV!$A:$A,CSV!D:D,""),
_xlpm.MacVal,_xlfn.XLOOKUP($A853,Output_Mac!$A:$A,Output_Mac!C:C,""),
_xlpm.MyAuditVal,_xlfn.XLOOKUP($A853,My_Audit!$A:$A,My_Audit!D:D,""),
_xlfn.IFS(_xlpm.MyAuditVal&lt;&gt;"",_xlpm.MyAuditVal,_xlpm.MacVal&lt;&gt;"",_xlpm.MacVal,_xlpm.CSVVal&lt;&gt;"",_xlpm.CSVVal
)),"")</f>
        <v/>
      </c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39"/>
    </row>
    <row r="854" spans="1:21">
      <c r="A854" s="54" t="str">
        <f>_xlfn.TEXTJOIN("",TRUE,Input!$B$2,ROW(My_Audit!A853))</f>
        <v>XX853</v>
      </c>
      <c r="B854" s="54"/>
      <c r="C854" s="54"/>
      <c r="D854" s="55" t="str">
        <f>_xlfn.XLOOKUP(A854,My_Audit!A:A,My_Audit!D:D,"")&amp;""</f>
        <v/>
      </c>
      <c r="E854" s="55" t="str" cm="1">
        <f t="array" ref="E854">IFERROR(_xlfn.LET(
_xlpm.CSVVal,_xlfn.XLOOKUP($A854,CSV!$A:$A,CSV!D:D,""),
_xlpm.MacVal,_xlfn.XLOOKUP($A854,Output_Mac!$A:$A,Output_Mac!C:C,""),
_xlpm.MyAuditVal,_xlfn.XLOOKUP($A854,My_Audit!$A:$A,My_Audit!D:D,""),
_xlfn.IFS(_xlpm.MyAuditVal&lt;&gt;"",_xlpm.MyAuditVal,_xlpm.MacVal&lt;&gt;"",_xlpm.MacVal,_xlpm.CSVVal&lt;&gt;"",_xlpm.CSVVal
)),"")</f>
        <v/>
      </c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39"/>
    </row>
    <row r="855" spans="1:21">
      <c r="A855" s="54" t="str">
        <f>_xlfn.TEXTJOIN("",TRUE,Input!$B$2,ROW(My_Audit!A854))</f>
        <v>XX854</v>
      </c>
      <c r="B855" s="54"/>
      <c r="C855" s="54"/>
      <c r="D855" s="55" t="str">
        <f>_xlfn.XLOOKUP(A855,My_Audit!A:A,My_Audit!D:D,"")&amp;""</f>
        <v/>
      </c>
      <c r="E855" s="55" t="str" cm="1">
        <f t="array" ref="E855">IFERROR(_xlfn.LET(
_xlpm.CSVVal,_xlfn.XLOOKUP($A855,CSV!$A:$A,CSV!D:D,""),
_xlpm.MacVal,_xlfn.XLOOKUP($A855,Output_Mac!$A:$A,Output_Mac!C:C,""),
_xlpm.MyAuditVal,_xlfn.XLOOKUP($A855,My_Audit!$A:$A,My_Audit!D:D,""),
_xlfn.IFS(_xlpm.MyAuditVal&lt;&gt;"",_xlpm.MyAuditVal,_xlpm.MacVal&lt;&gt;"",_xlpm.MacVal,_xlpm.CSVVal&lt;&gt;"",_xlpm.CSVVal
)),"")</f>
        <v/>
      </c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39"/>
    </row>
    <row r="856" spans="1:21">
      <c r="A856" s="54" t="str">
        <f>_xlfn.TEXTJOIN("",TRUE,Input!$B$2,ROW(My_Audit!A855))</f>
        <v>XX855</v>
      </c>
      <c r="B856" s="54"/>
      <c r="C856" s="54"/>
      <c r="D856" s="55" t="str">
        <f>_xlfn.XLOOKUP(A856,My_Audit!A:A,My_Audit!D:D,"")&amp;""</f>
        <v/>
      </c>
      <c r="E856" s="55" t="str" cm="1">
        <f t="array" ref="E856">IFERROR(_xlfn.LET(
_xlpm.CSVVal,_xlfn.XLOOKUP($A856,CSV!$A:$A,CSV!D:D,""),
_xlpm.MacVal,_xlfn.XLOOKUP($A856,Output_Mac!$A:$A,Output_Mac!C:C,""),
_xlpm.MyAuditVal,_xlfn.XLOOKUP($A856,My_Audit!$A:$A,My_Audit!D:D,""),
_xlfn.IFS(_xlpm.MyAuditVal&lt;&gt;"",_xlpm.MyAuditVal,_xlpm.MacVal&lt;&gt;"",_xlpm.MacVal,_xlpm.CSVVal&lt;&gt;"",_xlpm.CSVVal
)),"")</f>
        <v/>
      </c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39"/>
    </row>
    <row r="857" spans="1:21">
      <c r="A857" s="54" t="str">
        <f>_xlfn.TEXTJOIN("",TRUE,Input!$B$2,ROW(My_Audit!A856))</f>
        <v>XX856</v>
      </c>
      <c r="B857" s="54"/>
      <c r="C857" s="54"/>
      <c r="D857" s="55" t="str">
        <f>_xlfn.XLOOKUP(A857,My_Audit!A:A,My_Audit!D:D,"")&amp;""</f>
        <v/>
      </c>
      <c r="E857" s="55" t="str" cm="1">
        <f t="array" ref="E857">IFERROR(_xlfn.LET(
_xlpm.CSVVal,_xlfn.XLOOKUP($A857,CSV!$A:$A,CSV!D:D,""),
_xlpm.MacVal,_xlfn.XLOOKUP($A857,Output_Mac!$A:$A,Output_Mac!C:C,""),
_xlpm.MyAuditVal,_xlfn.XLOOKUP($A857,My_Audit!$A:$A,My_Audit!D:D,""),
_xlfn.IFS(_xlpm.MyAuditVal&lt;&gt;"",_xlpm.MyAuditVal,_xlpm.MacVal&lt;&gt;"",_xlpm.MacVal,_xlpm.CSVVal&lt;&gt;"",_xlpm.CSVVal
)),"")</f>
        <v/>
      </c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39"/>
    </row>
    <row r="858" spans="1:21">
      <c r="A858" s="54" t="str">
        <f>_xlfn.TEXTJOIN("",TRUE,Input!$B$2,ROW(My_Audit!A857))</f>
        <v>XX857</v>
      </c>
      <c r="B858" s="54"/>
      <c r="C858" s="54"/>
      <c r="D858" s="55" t="str">
        <f>_xlfn.XLOOKUP(A858,My_Audit!A:A,My_Audit!D:D,"")&amp;""</f>
        <v/>
      </c>
      <c r="E858" s="55" t="str" cm="1">
        <f t="array" ref="E858">IFERROR(_xlfn.LET(
_xlpm.CSVVal,_xlfn.XLOOKUP($A858,CSV!$A:$A,CSV!D:D,""),
_xlpm.MacVal,_xlfn.XLOOKUP($A858,Output_Mac!$A:$A,Output_Mac!C:C,""),
_xlpm.MyAuditVal,_xlfn.XLOOKUP($A858,My_Audit!$A:$A,My_Audit!D:D,""),
_xlfn.IFS(_xlpm.MyAuditVal&lt;&gt;"",_xlpm.MyAuditVal,_xlpm.MacVal&lt;&gt;"",_xlpm.MacVal,_xlpm.CSVVal&lt;&gt;"",_xlpm.CSVVal
)),"")</f>
        <v/>
      </c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39"/>
    </row>
    <row r="859" spans="1:21">
      <c r="A859" s="54" t="str">
        <f>_xlfn.TEXTJOIN("",TRUE,Input!$B$2,ROW(My_Audit!A858))</f>
        <v>XX858</v>
      </c>
      <c r="B859" s="54"/>
      <c r="C859" s="54"/>
      <c r="D859" s="55" t="str">
        <f>_xlfn.XLOOKUP(A859,My_Audit!A:A,My_Audit!D:D,"")&amp;""</f>
        <v/>
      </c>
      <c r="E859" s="55" t="str" cm="1">
        <f t="array" ref="E859">IFERROR(_xlfn.LET(
_xlpm.CSVVal,_xlfn.XLOOKUP($A859,CSV!$A:$A,CSV!D:D,""),
_xlpm.MacVal,_xlfn.XLOOKUP($A859,Output_Mac!$A:$A,Output_Mac!C:C,""),
_xlpm.MyAuditVal,_xlfn.XLOOKUP($A859,My_Audit!$A:$A,My_Audit!D:D,""),
_xlfn.IFS(_xlpm.MyAuditVal&lt;&gt;"",_xlpm.MyAuditVal,_xlpm.MacVal&lt;&gt;"",_xlpm.MacVal,_xlpm.CSVVal&lt;&gt;"",_xlpm.CSVVal
)),"")</f>
        <v/>
      </c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39"/>
    </row>
    <row r="860" spans="1:21">
      <c r="A860" s="54" t="str">
        <f>_xlfn.TEXTJOIN("",TRUE,Input!$B$2,ROW(My_Audit!A859))</f>
        <v>XX859</v>
      </c>
      <c r="B860" s="54"/>
      <c r="C860" s="54"/>
      <c r="D860" s="55" t="str">
        <f>_xlfn.XLOOKUP(A860,My_Audit!A:A,My_Audit!D:D,"")&amp;""</f>
        <v/>
      </c>
      <c r="E860" s="55" t="str" cm="1">
        <f t="array" ref="E860">IFERROR(_xlfn.LET(
_xlpm.CSVVal,_xlfn.XLOOKUP($A860,CSV!$A:$A,CSV!D:D,""),
_xlpm.MacVal,_xlfn.XLOOKUP($A860,Output_Mac!$A:$A,Output_Mac!C:C,""),
_xlpm.MyAuditVal,_xlfn.XLOOKUP($A860,My_Audit!$A:$A,My_Audit!D:D,""),
_xlfn.IFS(_xlpm.MyAuditVal&lt;&gt;"",_xlpm.MyAuditVal,_xlpm.MacVal&lt;&gt;"",_xlpm.MacVal,_xlpm.CSVVal&lt;&gt;"",_xlpm.CSVVal
)),"")</f>
        <v/>
      </c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39"/>
    </row>
    <row r="861" spans="1:21">
      <c r="A861" s="54" t="str">
        <f>_xlfn.TEXTJOIN("",TRUE,Input!$B$2,ROW(My_Audit!A860))</f>
        <v>XX860</v>
      </c>
      <c r="B861" s="54"/>
      <c r="C861" s="54"/>
      <c r="D861" s="55" t="str">
        <f>_xlfn.XLOOKUP(A861,My_Audit!A:A,My_Audit!D:D,"")&amp;""</f>
        <v/>
      </c>
      <c r="E861" s="55" t="str" cm="1">
        <f t="array" ref="E861">IFERROR(_xlfn.LET(
_xlpm.CSVVal,_xlfn.XLOOKUP($A861,CSV!$A:$A,CSV!D:D,""),
_xlpm.MacVal,_xlfn.XLOOKUP($A861,Output_Mac!$A:$A,Output_Mac!C:C,""),
_xlpm.MyAuditVal,_xlfn.XLOOKUP($A861,My_Audit!$A:$A,My_Audit!D:D,""),
_xlfn.IFS(_xlpm.MyAuditVal&lt;&gt;"",_xlpm.MyAuditVal,_xlpm.MacVal&lt;&gt;"",_xlpm.MacVal,_xlpm.CSVVal&lt;&gt;"",_xlpm.CSVVal
)),"")</f>
        <v/>
      </c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39"/>
    </row>
    <row r="862" spans="1:21">
      <c r="A862" s="54" t="str">
        <f>_xlfn.TEXTJOIN("",TRUE,Input!$B$2,ROW(My_Audit!A861))</f>
        <v>XX861</v>
      </c>
      <c r="B862" s="54"/>
      <c r="C862" s="54"/>
      <c r="D862" s="55" t="str">
        <f>_xlfn.XLOOKUP(A862,My_Audit!A:A,My_Audit!D:D,"")&amp;""</f>
        <v/>
      </c>
      <c r="E862" s="55" t="str" cm="1">
        <f t="array" ref="E862">IFERROR(_xlfn.LET(
_xlpm.CSVVal,_xlfn.XLOOKUP($A862,CSV!$A:$A,CSV!D:D,""),
_xlpm.MacVal,_xlfn.XLOOKUP($A862,Output_Mac!$A:$A,Output_Mac!C:C,""),
_xlpm.MyAuditVal,_xlfn.XLOOKUP($A862,My_Audit!$A:$A,My_Audit!D:D,""),
_xlfn.IFS(_xlpm.MyAuditVal&lt;&gt;"",_xlpm.MyAuditVal,_xlpm.MacVal&lt;&gt;"",_xlpm.MacVal,_xlpm.CSVVal&lt;&gt;"",_xlpm.CSVVal
)),"")</f>
        <v/>
      </c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39"/>
    </row>
    <row r="863" spans="1:21">
      <c r="A863" s="54" t="str">
        <f>_xlfn.TEXTJOIN("",TRUE,Input!$B$2,ROW(My_Audit!A862))</f>
        <v>XX862</v>
      </c>
      <c r="B863" s="54"/>
      <c r="C863" s="54"/>
      <c r="D863" s="55" t="str">
        <f>_xlfn.XLOOKUP(A863,My_Audit!A:A,My_Audit!D:D,"")&amp;""</f>
        <v/>
      </c>
      <c r="E863" s="55" t="str" cm="1">
        <f t="array" ref="E863">IFERROR(_xlfn.LET(
_xlpm.CSVVal,_xlfn.XLOOKUP($A863,CSV!$A:$A,CSV!D:D,""),
_xlpm.MacVal,_xlfn.XLOOKUP($A863,Output_Mac!$A:$A,Output_Mac!C:C,""),
_xlpm.MyAuditVal,_xlfn.XLOOKUP($A863,My_Audit!$A:$A,My_Audit!D:D,""),
_xlfn.IFS(_xlpm.MyAuditVal&lt;&gt;"",_xlpm.MyAuditVal,_xlpm.MacVal&lt;&gt;"",_xlpm.MacVal,_xlpm.CSVVal&lt;&gt;"",_xlpm.CSVVal
)),"")</f>
        <v/>
      </c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39"/>
    </row>
    <row r="864" spans="1:21">
      <c r="A864" s="54" t="str">
        <f>_xlfn.TEXTJOIN("",TRUE,Input!$B$2,ROW(My_Audit!A863))</f>
        <v>XX863</v>
      </c>
      <c r="B864" s="54"/>
      <c r="C864" s="54"/>
      <c r="D864" s="55" t="str">
        <f>_xlfn.XLOOKUP(A864,My_Audit!A:A,My_Audit!D:D,"")&amp;""</f>
        <v/>
      </c>
      <c r="E864" s="55" t="str" cm="1">
        <f t="array" ref="E864">IFERROR(_xlfn.LET(
_xlpm.CSVVal,_xlfn.XLOOKUP($A864,CSV!$A:$A,CSV!D:D,""),
_xlpm.MacVal,_xlfn.XLOOKUP($A864,Output_Mac!$A:$A,Output_Mac!C:C,""),
_xlpm.MyAuditVal,_xlfn.XLOOKUP($A864,My_Audit!$A:$A,My_Audit!D:D,""),
_xlfn.IFS(_xlpm.MyAuditVal&lt;&gt;"",_xlpm.MyAuditVal,_xlpm.MacVal&lt;&gt;"",_xlpm.MacVal,_xlpm.CSVVal&lt;&gt;"",_xlpm.CSVVal
)),"")</f>
        <v/>
      </c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39"/>
    </row>
    <row r="865" spans="1:21">
      <c r="A865" s="54" t="str">
        <f>_xlfn.TEXTJOIN("",TRUE,Input!$B$2,ROW(My_Audit!A864))</f>
        <v>XX864</v>
      </c>
      <c r="B865" s="54"/>
      <c r="C865" s="54"/>
      <c r="D865" s="55" t="str">
        <f>_xlfn.XLOOKUP(A865,My_Audit!A:A,My_Audit!D:D,"")&amp;""</f>
        <v/>
      </c>
      <c r="E865" s="55" t="str" cm="1">
        <f t="array" ref="E865">IFERROR(_xlfn.LET(
_xlpm.CSVVal,_xlfn.XLOOKUP($A865,CSV!$A:$A,CSV!D:D,""),
_xlpm.MacVal,_xlfn.XLOOKUP($A865,Output_Mac!$A:$A,Output_Mac!C:C,""),
_xlpm.MyAuditVal,_xlfn.XLOOKUP($A865,My_Audit!$A:$A,My_Audit!D:D,""),
_xlfn.IFS(_xlpm.MyAuditVal&lt;&gt;"",_xlpm.MyAuditVal,_xlpm.MacVal&lt;&gt;"",_xlpm.MacVal,_xlpm.CSVVal&lt;&gt;"",_xlpm.CSVVal
)),"")</f>
        <v/>
      </c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39"/>
    </row>
    <row r="866" spans="1:21">
      <c r="A866" s="54" t="str">
        <f>_xlfn.TEXTJOIN("",TRUE,Input!$B$2,ROW(My_Audit!A865))</f>
        <v>XX865</v>
      </c>
      <c r="B866" s="54"/>
      <c r="C866" s="54"/>
      <c r="D866" s="55" t="str">
        <f>_xlfn.XLOOKUP(A866,My_Audit!A:A,My_Audit!D:D,"")&amp;""</f>
        <v/>
      </c>
      <c r="E866" s="55" t="str" cm="1">
        <f t="array" ref="E866">IFERROR(_xlfn.LET(
_xlpm.CSVVal,_xlfn.XLOOKUP($A866,CSV!$A:$A,CSV!D:D,""),
_xlpm.MacVal,_xlfn.XLOOKUP($A866,Output_Mac!$A:$A,Output_Mac!C:C,""),
_xlpm.MyAuditVal,_xlfn.XLOOKUP($A866,My_Audit!$A:$A,My_Audit!D:D,""),
_xlfn.IFS(_xlpm.MyAuditVal&lt;&gt;"",_xlpm.MyAuditVal,_xlpm.MacVal&lt;&gt;"",_xlpm.MacVal,_xlpm.CSVVal&lt;&gt;"",_xlpm.CSVVal
)),"")</f>
        <v/>
      </c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39"/>
    </row>
    <row r="867" spans="1:21">
      <c r="A867" s="54" t="str">
        <f>_xlfn.TEXTJOIN("",TRUE,Input!$B$2,ROW(My_Audit!A866))</f>
        <v>XX866</v>
      </c>
      <c r="B867" s="54"/>
      <c r="C867" s="54"/>
      <c r="D867" s="55" t="str">
        <f>_xlfn.XLOOKUP(A867,My_Audit!A:A,My_Audit!D:D,"")&amp;""</f>
        <v/>
      </c>
      <c r="E867" s="55" t="str" cm="1">
        <f t="array" ref="E867">IFERROR(_xlfn.LET(
_xlpm.CSVVal,_xlfn.XLOOKUP($A867,CSV!$A:$A,CSV!D:D,""),
_xlpm.MacVal,_xlfn.XLOOKUP($A867,Output_Mac!$A:$A,Output_Mac!C:C,""),
_xlpm.MyAuditVal,_xlfn.XLOOKUP($A867,My_Audit!$A:$A,My_Audit!D:D,""),
_xlfn.IFS(_xlpm.MyAuditVal&lt;&gt;"",_xlpm.MyAuditVal,_xlpm.MacVal&lt;&gt;"",_xlpm.MacVal,_xlpm.CSVVal&lt;&gt;"",_xlpm.CSVVal
)),"")</f>
        <v/>
      </c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39"/>
    </row>
    <row r="868" spans="1:21">
      <c r="A868" s="54" t="str">
        <f>_xlfn.TEXTJOIN("",TRUE,Input!$B$2,ROW(My_Audit!A867))</f>
        <v>XX867</v>
      </c>
      <c r="B868" s="54"/>
      <c r="C868" s="54"/>
      <c r="D868" s="55" t="str">
        <f>_xlfn.XLOOKUP(A868,My_Audit!A:A,My_Audit!D:D,"")&amp;""</f>
        <v/>
      </c>
      <c r="E868" s="55" t="str" cm="1">
        <f t="array" ref="E868">IFERROR(_xlfn.LET(
_xlpm.CSVVal,_xlfn.XLOOKUP($A868,CSV!$A:$A,CSV!D:D,""),
_xlpm.MacVal,_xlfn.XLOOKUP($A868,Output_Mac!$A:$A,Output_Mac!C:C,""),
_xlpm.MyAuditVal,_xlfn.XLOOKUP($A868,My_Audit!$A:$A,My_Audit!D:D,""),
_xlfn.IFS(_xlpm.MyAuditVal&lt;&gt;"",_xlpm.MyAuditVal,_xlpm.MacVal&lt;&gt;"",_xlpm.MacVal,_xlpm.CSVVal&lt;&gt;"",_xlpm.CSVVal
)),"")</f>
        <v/>
      </c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39"/>
    </row>
    <row r="869" spans="1:21">
      <c r="A869" s="54" t="str">
        <f>_xlfn.TEXTJOIN("",TRUE,Input!$B$2,ROW(My_Audit!A868))</f>
        <v>XX868</v>
      </c>
      <c r="B869" s="54"/>
      <c r="C869" s="54"/>
      <c r="D869" s="55" t="str">
        <f>_xlfn.XLOOKUP(A869,My_Audit!A:A,My_Audit!D:D,"")&amp;""</f>
        <v/>
      </c>
      <c r="E869" s="55" t="str" cm="1">
        <f t="array" ref="E869">IFERROR(_xlfn.LET(
_xlpm.CSVVal,_xlfn.XLOOKUP($A869,CSV!$A:$A,CSV!D:D,""),
_xlpm.MacVal,_xlfn.XLOOKUP($A869,Output_Mac!$A:$A,Output_Mac!C:C,""),
_xlpm.MyAuditVal,_xlfn.XLOOKUP($A869,My_Audit!$A:$A,My_Audit!D:D,""),
_xlfn.IFS(_xlpm.MyAuditVal&lt;&gt;"",_xlpm.MyAuditVal,_xlpm.MacVal&lt;&gt;"",_xlpm.MacVal,_xlpm.CSVVal&lt;&gt;"",_xlpm.CSVVal
)),"")</f>
        <v/>
      </c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39"/>
    </row>
    <row r="870" spans="1:21">
      <c r="A870" s="54" t="str">
        <f>_xlfn.TEXTJOIN("",TRUE,Input!$B$2,ROW(My_Audit!A869))</f>
        <v>XX869</v>
      </c>
      <c r="B870" s="54"/>
      <c r="C870" s="54"/>
      <c r="D870" s="55" t="str">
        <f>_xlfn.XLOOKUP(A870,My_Audit!A:A,My_Audit!D:D,"")&amp;""</f>
        <v/>
      </c>
      <c r="E870" s="55" t="str" cm="1">
        <f t="array" ref="E870">IFERROR(_xlfn.LET(
_xlpm.CSVVal,_xlfn.XLOOKUP($A870,CSV!$A:$A,CSV!D:D,""),
_xlpm.MacVal,_xlfn.XLOOKUP($A870,Output_Mac!$A:$A,Output_Mac!C:C,""),
_xlpm.MyAuditVal,_xlfn.XLOOKUP($A870,My_Audit!$A:$A,My_Audit!D:D,""),
_xlfn.IFS(_xlpm.MyAuditVal&lt;&gt;"",_xlpm.MyAuditVal,_xlpm.MacVal&lt;&gt;"",_xlpm.MacVal,_xlpm.CSVVal&lt;&gt;"",_xlpm.CSVVal
)),"")</f>
        <v/>
      </c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39"/>
    </row>
    <row r="871" spans="1:21">
      <c r="A871" s="54" t="str">
        <f>_xlfn.TEXTJOIN("",TRUE,Input!$B$2,ROW(My_Audit!A870))</f>
        <v>XX870</v>
      </c>
      <c r="B871" s="54"/>
      <c r="C871" s="54"/>
      <c r="D871" s="55" t="str">
        <f>_xlfn.XLOOKUP(A871,My_Audit!A:A,My_Audit!D:D,"")&amp;""</f>
        <v/>
      </c>
      <c r="E871" s="55" t="str" cm="1">
        <f t="array" ref="E871">IFERROR(_xlfn.LET(
_xlpm.CSVVal,_xlfn.XLOOKUP($A871,CSV!$A:$A,CSV!D:D,""),
_xlpm.MacVal,_xlfn.XLOOKUP($A871,Output_Mac!$A:$A,Output_Mac!C:C,""),
_xlpm.MyAuditVal,_xlfn.XLOOKUP($A871,My_Audit!$A:$A,My_Audit!D:D,""),
_xlfn.IFS(_xlpm.MyAuditVal&lt;&gt;"",_xlpm.MyAuditVal,_xlpm.MacVal&lt;&gt;"",_xlpm.MacVal,_xlpm.CSVVal&lt;&gt;"",_xlpm.CSVVal
)),"")</f>
        <v/>
      </c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39"/>
    </row>
    <row r="872" spans="1:21">
      <c r="A872" s="54" t="str">
        <f>_xlfn.TEXTJOIN("",TRUE,Input!$B$2,ROW(My_Audit!A871))</f>
        <v>XX871</v>
      </c>
      <c r="B872" s="54"/>
      <c r="C872" s="54"/>
      <c r="D872" s="55" t="str">
        <f>_xlfn.XLOOKUP(A872,My_Audit!A:A,My_Audit!D:D,"")&amp;""</f>
        <v/>
      </c>
      <c r="E872" s="55" t="str" cm="1">
        <f t="array" ref="E872">IFERROR(_xlfn.LET(
_xlpm.CSVVal,_xlfn.XLOOKUP($A872,CSV!$A:$A,CSV!D:D,""),
_xlpm.MacVal,_xlfn.XLOOKUP($A872,Output_Mac!$A:$A,Output_Mac!C:C,""),
_xlpm.MyAuditVal,_xlfn.XLOOKUP($A872,My_Audit!$A:$A,My_Audit!D:D,""),
_xlfn.IFS(_xlpm.MyAuditVal&lt;&gt;"",_xlpm.MyAuditVal,_xlpm.MacVal&lt;&gt;"",_xlpm.MacVal,_xlpm.CSVVal&lt;&gt;"",_xlpm.CSVVal
)),"")</f>
        <v/>
      </c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39"/>
    </row>
    <row r="873" spans="1:21">
      <c r="A873" s="54" t="str">
        <f>_xlfn.TEXTJOIN("",TRUE,Input!$B$2,ROW(My_Audit!A872))</f>
        <v>XX872</v>
      </c>
      <c r="B873" s="54"/>
      <c r="C873" s="54"/>
      <c r="D873" s="55" t="str">
        <f>_xlfn.XLOOKUP(A873,My_Audit!A:A,My_Audit!D:D,"")&amp;""</f>
        <v/>
      </c>
      <c r="E873" s="55" t="str" cm="1">
        <f t="array" ref="E873">IFERROR(_xlfn.LET(
_xlpm.CSVVal,_xlfn.XLOOKUP($A873,CSV!$A:$A,CSV!D:D,""),
_xlpm.MacVal,_xlfn.XLOOKUP($A873,Output_Mac!$A:$A,Output_Mac!C:C,""),
_xlpm.MyAuditVal,_xlfn.XLOOKUP($A873,My_Audit!$A:$A,My_Audit!D:D,""),
_xlfn.IFS(_xlpm.MyAuditVal&lt;&gt;"",_xlpm.MyAuditVal,_xlpm.MacVal&lt;&gt;"",_xlpm.MacVal,_xlpm.CSVVal&lt;&gt;"",_xlpm.CSVVal
)),"")</f>
        <v/>
      </c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39"/>
    </row>
    <row r="874" spans="1:21">
      <c r="A874" s="54" t="str">
        <f>_xlfn.TEXTJOIN("",TRUE,Input!$B$2,ROW(My_Audit!A873))</f>
        <v>XX873</v>
      </c>
      <c r="B874" s="54"/>
      <c r="C874" s="54"/>
      <c r="D874" s="55" t="str">
        <f>_xlfn.XLOOKUP(A874,My_Audit!A:A,My_Audit!D:D,"")&amp;""</f>
        <v/>
      </c>
      <c r="E874" s="55" t="str" cm="1">
        <f t="array" ref="E874">IFERROR(_xlfn.LET(
_xlpm.CSVVal,_xlfn.XLOOKUP($A874,CSV!$A:$A,CSV!D:D,""),
_xlpm.MacVal,_xlfn.XLOOKUP($A874,Output_Mac!$A:$A,Output_Mac!C:C,""),
_xlpm.MyAuditVal,_xlfn.XLOOKUP($A874,My_Audit!$A:$A,My_Audit!D:D,""),
_xlfn.IFS(_xlpm.MyAuditVal&lt;&gt;"",_xlpm.MyAuditVal,_xlpm.MacVal&lt;&gt;"",_xlpm.MacVal,_xlpm.CSVVal&lt;&gt;"",_xlpm.CSVVal
)),"")</f>
        <v/>
      </c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39"/>
    </row>
    <row r="875" spans="1:21">
      <c r="A875" s="54" t="str">
        <f>_xlfn.TEXTJOIN("",TRUE,Input!$B$2,ROW(My_Audit!A874))</f>
        <v>XX874</v>
      </c>
      <c r="B875" s="54"/>
      <c r="C875" s="54"/>
      <c r="D875" s="55" t="str">
        <f>_xlfn.XLOOKUP(A875,My_Audit!A:A,My_Audit!D:D,"")&amp;""</f>
        <v/>
      </c>
      <c r="E875" s="55" t="str" cm="1">
        <f t="array" ref="E875">IFERROR(_xlfn.LET(
_xlpm.CSVVal,_xlfn.XLOOKUP($A875,CSV!$A:$A,CSV!D:D,""),
_xlpm.MacVal,_xlfn.XLOOKUP($A875,Output_Mac!$A:$A,Output_Mac!C:C,""),
_xlpm.MyAuditVal,_xlfn.XLOOKUP($A875,My_Audit!$A:$A,My_Audit!D:D,""),
_xlfn.IFS(_xlpm.MyAuditVal&lt;&gt;"",_xlpm.MyAuditVal,_xlpm.MacVal&lt;&gt;"",_xlpm.MacVal,_xlpm.CSVVal&lt;&gt;"",_xlpm.CSVVal
)),"")</f>
        <v/>
      </c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39"/>
    </row>
    <row r="876" spans="1:21">
      <c r="A876" s="54" t="str">
        <f>_xlfn.TEXTJOIN("",TRUE,Input!$B$2,ROW(My_Audit!A875))</f>
        <v>XX875</v>
      </c>
      <c r="B876" s="54"/>
      <c r="C876" s="54"/>
      <c r="D876" s="55" t="str">
        <f>_xlfn.XLOOKUP(A876,My_Audit!A:A,My_Audit!D:D,"")&amp;""</f>
        <v/>
      </c>
      <c r="E876" s="55" t="str" cm="1">
        <f t="array" ref="E876">IFERROR(_xlfn.LET(
_xlpm.CSVVal,_xlfn.XLOOKUP($A876,CSV!$A:$A,CSV!D:D,""),
_xlpm.MacVal,_xlfn.XLOOKUP($A876,Output_Mac!$A:$A,Output_Mac!C:C,""),
_xlpm.MyAuditVal,_xlfn.XLOOKUP($A876,My_Audit!$A:$A,My_Audit!D:D,""),
_xlfn.IFS(_xlpm.MyAuditVal&lt;&gt;"",_xlpm.MyAuditVal,_xlpm.MacVal&lt;&gt;"",_xlpm.MacVal,_xlpm.CSVVal&lt;&gt;"",_xlpm.CSVVal
)),"")</f>
        <v/>
      </c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39"/>
    </row>
    <row r="877" spans="1:21">
      <c r="A877" s="54" t="str">
        <f>_xlfn.TEXTJOIN("",TRUE,Input!$B$2,ROW(My_Audit!A876))</f>
        <v>XX876</v>
      </c>
      <c r="B877" s="54"/>
      <c r="C877" s="54"/>
      <c r="D877" s="55" t="str">
        <f>_xlfn.XLOOKUP(A877,My_Audit!A:A,My_Audit!D:D,"")&amp;""</f>
        <v/>
      </c>
      <c r="E877" s="55" t="str" cm="1">
        <f t="array" ref="E877">IFERROR(_xlfn.LET(
_xlpm.CSVVal,_xlfn.XLOOKUP($A877,CSV!$A:$A,CSV!D:D,""),
_xlpm.MacVal,_xlfn.XLOOKUP($A877,Output_Mac!$A:$A,Output_Mac!C:C,""),
_xlpm.MyAuditVal,_xlfn.XLOOKUP($A877,My_Audit!$A:$A,My_Audit!D:D,""),
_xlfn.IFS(_xlpm.MyAuditVal&lt;&gt;"",_xlpm.MyAuditVal,_xlpm.MacVal&lt;&gt;"",_xlpm.MacVal,_xlpm.CSVVal&lt;&gt;"",_xlpm.CSVVal
)),"")</f>
        <v/>
      </c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39"/>
    </row>
    <row r="878" spans="1:21">
      <c r="A878" s="54" t="str">
        <f>_xlfn.TEXTJOIN("",TRUE,Input!$B$2,ROW(My_Audit!A877))</f>
        <v>XX877</v>
      </c>
      <c r="B878" s="54"/>
      <c r="C878" s="54"/>
      <c r="D878" s="55" t="str">
        <f>_xlfn.XLOOKUP(A878,My_Audit!A:A,My_Audit!D:D,"")&amp;""</f>
        <v/>
      </c>
      <c r="E878" s="55" t="str" cm="1">
        <f t="array" ref="E878">IFERROR(_xlfn.LET(
_xlpm.CSVVal,_xlfn.XLOOKUP($A878,CSV!$A:$A,CSV!D:D,""),
_xlpm.MacVal,_xlfn.XLOOKUP($A878,Output_Mac!$A:$A,Output_Mac!C:C,""),
_xlpm.MyAuditVal,_xlfn.XLOOKUP($A878,My_Audit!$A:$A,My_Audit!D:D,""),
_xlfn.IFS(_xlpm.MyAuditVal&lt;&gt;"",_xlpm.MyAuditVal,_xlpm.MacVal&lt;&gt;"",_xlpm.MacVal,_xlpm.CSVVal&lt;&gt;"",_xlpm.CSVVal
)),"")</f>
        <v/>
      </c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39"/>
    </row>
    <row r="879" spans="1:21">
      <c r="A879" s="54" t="str">
        <f>_xlfn.TEXTJOIN("",TRUE,Input!$B$2,ROW(My_Audit!A878))</f>
        <v>XX878</v>
      </c>
      <c r="B879" s="54"/>
      <c r="C879" s="54"/>
      <c r="D879" s="55" t="str">
        <f>_xlfn.XLOOKUP(A879,My_Audit!A:A,My_Audit!D:D,"")&amp;""</f>
        <v/>
      </c>
      <c r="E879" s="55" t="str" cm="1">
        <f t="array" ref="E879">IFERROR(_xlfn.LET(
_xlpm.CSVVal,_xlfn.XLOOKUP($A879,CSV!$A:$A,CSV!D:D,""),
_xlpm.MacVal,_xlfn.XLOOKUP($A879,Output_Mac!$A:$A,Output_Mac!C:C,""),
_xlpm.MyAuditVal,_xlfn.XLOOKUP($A879,My_Audit!$A:$A,My_Audit!D:D,""),
_xlfn.IFS(_xlpm.MyAuditVal&lt;&gt;"",_xlpm.MyAuditVal,_xlpm.MacVal&lt;&gt;"",_xlpm.MacVal,_xlpm.CSVVal&lt;&gt;"",_xlpm.CSVVal
)),"")</f>
        <v/>
      </c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39"/>
    </row>
    <row r="880" spans="1:21">
      <c r="A880" s="54" t="str">
        <f>_xlfn.TEXTJOIN("",TRUE,Input!$B$2,ROW(My_Audit!A879))</f>
        <v>XX879</v>
      </c>
      <c r="B880" s="54"/>
      <c r="C880" s="54"/>
      <c r="D880" s="55" t="str">
        <f>_xlfn.XLOOKUP(A880,My_Audit!A:A,My_Audit!D:D,"")&amp;""</f>
        <v/>
      </c>
      <c r="E880" s="55" t="str" cm="1">
        <f t="array" ref="E880">IFERROR(_xlfn.LET(
_xlpm.CSVVal,_xlfn.XLOOKUP($A880,CSV!$A:$A,CSV!D:D,""),
_xlpm.MacVal,_xlfn.XLOOKUP($A880,Output_Mac!$A:$A,Output_Mac!C:C,""),
_xlpm.MyAuditVal,_xlfn.XLOOKUP($A880,My_Audit!$A:$A,My_Audit!D:D,""),
_xlfn.IFS(_xlpm.MyAuditVal&lt;&gt;"",_xlpm.MyAuditVal,_xlpm.MacVal&lt;&gt;"",_xlpm.MacVal,_xlpm.CSVVal&lt;&gt;"",_xlpm.CSVVal
)),"")</f>
        <v/>
      </c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39"/>
    </row>
    <row r="881" spans="1:21">
      <c r="A881" s="54" t="str">
        <f>_xlfn.TEXTJOIN("",TRUE,Input!$B$2,ROW(My_Audit!A880))</f>
        <v>XX880</v>
      </c>
      <c r="B881" s="54"/>
      <c r="C881" s="54"/>
      <c r="D881" s="55" t="str">
        <f>_xlfn.XLOOKUP(A881,My_Audit!A:A,My_Audit!D:D,"")&amp;""</f>
        <v/>
      </c>
      <c r="E881" s="55" t="str" cm="1">
        <f t="array" ref="E881">IFERROR(_xlfn.LET(
_xlpm.CSVVal,_xlfn.XLOOKUP($A881,CSV!$A:$A,CSV!D:D,""),
_xlpm.MacVal,_xlfn.XLOOKUP($A881,Output_Mac!$A:$A,Output_Mac!C:C,""),
_xlpm.MyAuditVal,_xlfn.XLOOKUP($A881,My_Audit!$A:$A,My_Audit!D:D,""),
_xlfn.IFS(_xlpm.MyAuditVal&lt;&gt;"",_xlpm.MyAuditVal,_xlpm.MacVal&lt;&gt;"",_xlpm.MacVal,_xlpm.CSVVal&lt;&gt;"",_xlpm.CSVVal
)),"")</f>
        <v/>
      </c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39"/>
    </row>
    <row r="882" spans="1:21">
      <c r="A882" s="54" t="str">
        <f>_xlfn.TEXTJOIN("",TRUE,Input!$B$2,ROW(My_Audit!A881))</f>
        <v>XX881</v>
      </c>
      <c r="B882" s="54"/>
      <c r="C882" s="54"/>
      <c r="D882" s="55" t="str">
        <f>_xlfn.XLOOKUP(A882,My_Audit!A:A,My_Audit!D:D,"")&amp;""</f>
        <v/>
      </c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39"/>
    </row>
    <row r="883" spans="1:21">
      <c r="A883" s="54" t="str">
        <f>_xlfn.TEXTJOIN("",TRUE,Input!$B$2,ROW(My_Audit!A882))</f>
        <v>XX882</v>
      </c>
      <c r="B883" s="54"/>
      <c r="C883" s="54"/>
      <c r="D883" s="55" t="str">
        <f>_xlfn.XLOOKUP(A883,My_Audit!A:A,My_Audit!D:D,"")&amp;""</f>
        <v/>
      </c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39"/>
    </row>
    <row r="884" spans="1:21">
      <c r="A884" s="54" t="str">
        <f>_xlfn.TEXTJOIN("",TRUE,Input!$B$2,ROW(My_Audit!A883))</f>
        <v>XX883</v>
      </c>
      <c r="B884" s="54"/>
      <c r="C884" s="54"/>
      <c r="D884" s="55" t="str">
        <f>_xlfn.XLOOKUP(A884,My_Audit!A:A,My_Audit!D:D,"")&amp;""</f>
        <v/>
      </c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39"/>
    </row>
    <row r="885" spans="1:21">
      <c r="A885" s="54" t="str">
        <f>_xlfn.TEXTJOIN("",TRUE,Input!$B$2,ROW(My_Audit!A884))</f>
        <v>XX884</v>
      </c>
      <c r="B885" s="54"/>
      <c r="C885" s="54"/>
      <c r="D885" s="55" t="str">
        <f>_xlfn.XLOOKUP(A885,My_Audit!A:A,My_Audit!D:D,"")&amp;""</f>
        <v/>
      </c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39"/>
    </row>
    <row r="886" spans="1:21">
      <c r="A886" s="54" t="str">
        <f>_xlfn.TEXTJOIN("",TRUE,Input!$B$2,ROW(My_Audit!A885))</f>
        <v>XX885</v>
      </c>
      <c r="B886" s="54"/>
      <c r="C886" s="54"/>
      <c r="D886" s="55" t="str">
        <f>_xlfn.XLOOKUP(A886,My_Audit!A:A,My_Audit!D:D,"")&amp;""</f>
        <v/>
      </c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39"/>
    </row>
    <row r="887" spans="1:21">
      <c r="A887" s="54" t="str">
        <f>_xlfn.TEXTJOIN("",TRUE,Input!$B$2,ROW(My_Audit!A886))</f>
        <v>XX886</v>
      </c>
      <c r="B887" s="54"/>
      <c r="C887" s="54"/>
      <c r="D887" s="55" t="str">
        <f>_xlfn.XLOOKUP(A887,My_Audit!A:A,My_Audit!D:D,"")&amp;""</f>
        <v/>
      </c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39"/>
    </row>
    <row r="888" spans="1:21">
      <c r="A888" s="54" t="str">
        <f>_xlfn.TEXTJOIN("",TRUE,Input!$B$2,ROW(My_Audit!A887))</f>
        <v>XX887</v>
      </c>
      <c r="B888" s="54"/>
      <c r="C888" s="54"/>
      <c r="D888" s="55" t="str">
        <f>_xlfn.XLOOKUP(A888,My_Audit!A:A,My_Audit!D:D,"")&amp;""</f>
        <v/>
      </c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39"/>
    </row>
    <row r="889" spans="1:21">
      <c r="A889" s="54" t="str">
        <f>_xlfn.TEXTJOIN("",TRUE,Input!$B$2,ROW(My_Audit!A888))</f>
        <v>XX888</v>
      </c>
      <c r="B889" s="54"/>
      <c r="C889" s="54"/>
      <c r="D889" s="55" t="str">
        <f>_xlfn.XLOOKUP(A889,My_Audit!A:A,My_Audit!D:D,"")&amp;""</f>
        <v/>
      </c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39"/>
    </row>
    <row r="890" spans="1:21">
      <c r="A890" s="54" t="str">
        <f>_xlfn.TEXTJOIN("",TRUE,Input!$B$2,ROW(My_Audit!A889))</f>
        <v>XX889</v>
      </c>
      <c r="B890" s="54"/>
      <c r="C890" s="54"/>
      <c r="D890" s="55" t="str">
        <f>_xlfn.XLOOKUP(A890,My_Audit!A:A,My_Audit!D:D,"")&amp;""</f>
        <v/>
      </c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39"/>
    </row>
    <row r="891" spans="1:21">
      <c r="A891" s="54" t="str">
        <f>_xlfn.TEXTJOIN("",TRUE,Input!$B$2,ROW(My_Audit!A890))</f>
        <v>XX890</v>
      </c>
      <c r="B891" s="54"/>
      <c r="C891" s="54"/>
      <c r="D891" s="55" t="str">
        <f>_xlfn.XLOOKUP(A891,My_Audit!A:A,My_Audit!D:D,"")&amp;""</f>
        <v/>
      </c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39"/>
    </row>
    <row r="892" spans="1:21">
      <c r="A892" s="54" t="str">
        <f>_xlfn.TEXTJOIN("",TRUE,Input!$B$2,ROW(My_Audit!A891))</f>
        <v>XX891</v>
      </c>
      <c r="B892" s="54"/>
      <c r="C892" s="54"/>
      <c r="D892" s="55" t="str">
        <f>_xlfn.XLOOKUP(A892,My_Audit!A:A,My_Audit!D:D,"")&amp;""</f>
        <v/>
      </c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39"/>
    </row>
    <row r="893" spans="1:21">
      <c r="A893" s="54" t="str">
        <f>_xlfn.TEXTJOIN("",TRUE,Input!$B$2,ROW(My_Audit!A892))</f>
        <v>XX892</v>
      </c>
      <c r="B893" s="54"/>
      <c r="C893" s="54"/>
      <c r="D893" s="55" t="str">
        <f>_xlfn.XLOOKUP(A893,My_Audit!A:A,My_Audit!D:D,"")&amp;""</f>
        <v/>
      </c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39"/>
    </row>
    <row r="894" spans="1:21">
      <c r="A894" s="54" t="str">
        <f>_xlfn.TEXTJOIN("",TRUE,Input!$B$2,ROW(My_Audit!A893))</f>
        <v>XX893</v>
      </c>
      <c r="B894" s="54"/>
      <c r="C894" s="54"/>
      <c r="D894" s="55" t="str">
        <f>_xlfn.XLOOKUP(A894,My_Audit!A:A,My_Audit!D:D,"")&amp;""</f>
        <v/>
      </c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39"/>
    </row>
    <row r="895" spans="1:21">
      <c r="A895" s="54" t="str">
        <f>_xlfn.TEXTJOIN("",TRUE,Input!$B$2,ROW(My_Audit!A894))</f>
        <v>XX894</v>
      </c>
      <c r="B895" s="54"/>
      <c r="C895" s="54"/>
      <c r="D895" s="55" t="str">
        <f>_xlfn.XLOOKUP(A895,My_Audit!A:A,My_Audit!D:D,"")&amp;""</f>
        <v/>
      </c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39"/>
    </row>
    <row r="896" spans="1:21">
      <c r="A896" s="54" t="str">
        <f>_xlfn.TEXTJOIN("",TRUE,Input!$B$2,ROW(My_Audit!A895))</f>
        <v>XX895</v>
      </c>
      <c r="B896" s="54"/>
      <c r="C896" s="54"/>
      <c r="D896" s="55" t="str">
        <f>_xlfn.XLOOKUP(A896,My_Audit!A:A,My_Audit!D:D,"")&amp;""</f>
        <v/>
      </c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39"/>
    </row>
    <row r="897" spans="1:21">
      <c r="A897" s="54" t="str">
        <f>_xlfn.TEXTJOIN("",TRUE,Input!$B$2,ROW(My_Audit!A896))</f>
        <v>XX896</v>
      </c>
      <c r="B897" s="54"/>
      <c r="C897" s="54"/>
      <c r="D897" s="55" t="str">
        <f>_xlfn.XLOOKUP(A897,My_Audit!A:A,My_Audit!D:D,"")&amp;""</f>
        <v/>
      </c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39"/>
    </row>
    <row r="898" spans="1:21">
      <c r="A898" s="54" t="str">
        <f>_xlfn.TEXTJOIN("",TRUE,Input!$B$2,ROW(My_Audit!A897))</f>
        <v>XX897</v>
      </c>
      <c r="B898" s="54"/>
      <c r="C898" s="54"/>
      <c r="D898" s="55" t="str">
        <f>_xlfn.XLOOKUP(A898,My_Audit!A:A,My_Audit!D:D,"")&amp;""</f>
        <v/>
      </c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39"/>
    </row>
    <row r="899" spans="1:21">
      <c r="A899" s="54" t="str">
        <f>_xlfn.TEXTJOIN("",TRUE,Input!$B$2,ROW(My_Audit!A898))</f>
        <v>XX898</v>
      </c>
      <c r="B899" s="54"/>
      <c r="C899" s="54"/>
      <c r="D899" s="55" t="str">
        <f>_xlfn.XLOOKUP(A899,My_Audit!A:A,My_Audit!D:D,"")&amp;""</f>
        <v/>
      </c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39"/>
    </row>
    <row r="900" spans="1:21">
      <c r="A900" s="54" t="str">
        <f>_xlfn.TEXTJOIN("",TRUE,Input!$B$2,ROW(My_Audit!A899))</f>
        <v>XX899</v>
      </c>
      <c r="B900" s="54"/>
      <c r="C900" s="54"/>
      <c r="D900" s="55" t="str">
        <f>_xlfn.XLOOKUP(A900,My_Audit!A:A,My_Audit!D:D,"")&amp;""</f>
        <v/>
      </c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39"/>
    </row>
    <row r="901" spans="1:21">
      <c r="A901" s="54" t="str">
        <f>_xlfn.TEXTJOIN("",TRUE,Input!$B$2,ROW(My_Audit!A900))</f>
        <v>XX900</v>
      </c>
      <c r="B901" s="54"/>
      <c r="C901" s="54"/>
      <c r="D901" s="55" t="str">
        <f>_xlfn.XLOOKUP(A901,My_Audit!A:A,My_Audit!D:D,"")&amp;""</f>
        <v/>
      </c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39"/>
    </row>
    <row r="902" spans="1:21">
      <c r="A902" s="54" t="str">
        <f>_xlfn.TEXTJOIN("",TRUE,Input!$B$2,ROW(My_Audit!A901))</f>
        <v>XX901</v>
      </c>
      <c r="B902" s="54"/>
      <c r="C902" s="54"/>
      <c r="D902" s="55" t="str">
        <f>_xlfn.XLOOKUP(A902,My_Audit!A:A,My_Audit!D:D,"")&amp;""</f>
        <v/>
      </c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39"/>
    </row>
    <row r="903" spans="1:21">
      <c r="A903" s="54" t="str">
        <f>_xlfn.TEXTJOIN("",TRUE,Input!$B$2,ROW(My_Audit!A902))</f>
        <v>XX902</v>
      </c>
      <c r="B903" s="54"/>
      <c r="C903" s="54"/>
      <c r="D903" s="55" t="str">
        <f>_xlfn.XLOOKUP(A903,My_Audit!A:A,My_Audit!D:D,"")&amp;""</f>
        <v/>
      </c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39"/>
    </row>
    <row r="904" spans="1:21">
      <c r="A904" s="54" t="str">
        <f>_xlfn.TEXTJOIN("",TRUE,Input!$B$2,ROW(My_Audit!A903))</f>
        <v>XX903</v>
      </c>
      <c r="B904" s="54"/>
      <c r="C904" s="54"/>
      <c r="D904" s="55" t="str">
        <f>_xlfn.XLOOKUP(A904,My_Audit!A:A,My_Audit!D:D,"")&amp;""</f>
        <v/>
      </c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39"/>
    </row>
    <row r="905" spans="1:21">
      <c r="A905" s="54" t="str">
        <f>_xlfn.TEXTJOIN("",TRUE,Input!$B$2,ROW(My_Audit!A904))</f>
        <v>XX904</v>
      </c>
      <c r="B905" s="54"/>
      <c r="C905" s="54"/>
      <c r="D905" s="55" t="str">
        <f>_xlfn.XLOOKUP(A905,My_Audit!A:A,My_Audit!D:D,"")&amp;""</f>
        <v/>
      </c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39"/>
    </row>
    <row r="906" spans="1:21">
      <c r="A906" s="54" t="str">
        <f>_xlfn.TEXTJOIN("",TRUE,Input!$B$2,ROW(My_Audit!A905))</f>
        <v>XX905</v>
      </c>
      <c r="B906" s="54"/>
      <c r="C906" s="54"/>
      <c r="D906" s="55" t="str">
        <f>_xlfn.XLOOKUP(A906,My_Audit!A:A,My_Audit!D:D,"")&amp;""</f>
        <v/>
      </c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39"/>
    </row>
    <row r="907" spans="1:21">
      <c r="A907" s="54" t="str">
        <f>_xlfn.TEXTJOIN("",TRUE,Input!$B$2,ROW(My_Audit!A906))</f>
        <v>XX906</v>
      </c>
      <c r="B907" s="54"/>
      <c r="C907" s="54"/>
      <c r="D907" s="55" t="str">
        <f>_xlfn.XLOOKUP(A907,My_Audit!A:A,My_Audit!D:D,"")&amp;""</f>
        <v/>
      </c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39"/>
    </row>
    <row r="908" spans="1:21">
      <c r="A908" s="54" t="str">
        <f>_xlfn.TEXTJOIN("",TRUE,Input!$B$2,ROW(My_Audit!A907))</f>
        <v>XX907</v>
      </c>
      <c r="B908" s="54"/>
      <c r="C908" s="54"/>
      <c r="D908" s="55" t="str">
        <f>_xlfn.XLOOKUP(A908,My_Audit!A:A,My_Audit!D:D,"")&amp;""</f>
        <v/>
      </c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39"/>
    </row>
    <row r="909" spans="1:21">
      <c r="A909" s="54" t="str">
        <f>_xlfn.TEXTJOIN("",TRUE,Input!$B$2,ROW(My_Audit!A908))</f>
        <v>XX908</v>
      </c>
      <c r="B909" s="54"/>
      <c r="C909" s="54"/>
      <c r="D909" s="55" t="str">
        <f>_xlfn.XLOOKUP(A909,My_Audit!A:A,My_Audit!D:D,"")&amp;""</f>
        <v/>
      </c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39"/>
    </row>
    <row r="910" spans="1:21">
      <c r="A910" s="54" t="str">
        <f>_xlfn.TEXTJOIN("",TRUE,Input!$B$2,ROW(My_Audit!A909))</f>
        <v>XX909</v>
      </c>
      <c r="B910" s="54"/>
      <c r="C910" s="54"/>
      <c r="D910" s="55" t="str">
        <f>_xlfn.XLOOKUP(A910,My_Audit!A:A,My_Audit!D:D,"")&amp;""</f>
        <v/>
      </c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39"/>
    </row>
    <row r="911" spans="1:21">
      <c r="A911" s="54" t="str">
        <f>_xlfn.TEXTJOIN("",TRUE,Input!$B$2,ROW(My_Audit!A910))</f>
        <v>XX910</v>
      </c>
      <c r="B911" s="54"/>
      <c r="C911" s="54"/>
      <c r="D911" s="55" t="str">
        <f>_xlfn.XLOOKUP(A911,My_Audit!A:A,My_Audit!D:D,"")&amp;""</f>
        <v/>
      </c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39"/>
    </row>
    <row r="912" spans="1:21">
      <c r="A912" s="54" t="str">
        <f>_xlfn.TEXTJOIN("",TRUE,Input!$B$2,ROW(My_Audit!A911))</f>
        <v>XX911</v>
      </c>
      <c r="B912" s="54"/>
      <c r="C912" s="54"/>
      <c r="D912" s="55" t="str">
        <f>_xlfn.XLOOKUP(A912,My_Audit!A:A,My_Audit!D:D,"")&amp;""</f>
        <v/>
      </c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39"/>
    </row>
    <row r="913" spans="1:21">
      <c r="A913" s="54" t="str">
        <f>_xlfn.TEXTJOIN("",TRUE,Input!$B$2,ROW(My_Audit!A912))</f>
        <v>XX912</v>
      </c>
      <c r="B913" s="54"/>
      <c r="C913" s="54"/>
      <c r="D913" s="55" t="str">
        <f>_xlfn.XLOOKUP(A913,My_Audit!A:A,My_Audit!D:D,"")&amp;""</f>
        <v/>
      </c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39"/>
    </row>
    <row r="914" spans="1:21">
      <c r="A914" s="54" t="str">
        <f>_xlfn.TEXTJOIN("",TRUE,Input!$B$2,ROW(My_Audit!A913))</f>
        <v>XX913</v>
      </c>
      <c r="B914" s="54"/>
      <c r="C914" s="54"/>
      <c r="D914" s="55" t="str">
        <f>_xlfn.XLOOKUP(A914,My_Audit!A:A,My_Audit!D:D,"")&amp;""</f>
        <v/>
      </c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39"/>
    </row>
    <row r="915" spans="1:21">
      <c r="A915" s="54" t="str">
        <f>_xlfn.TEXTJOIN("",TRUE,Input!$B$2,ROW(My_Audit!A914))</f>
        <v>XX914</v>
      </c>
      <c r="B915" s="54"/>
      <c r="C915" s="54"/>
      <c r="D915" s="55" t="str">
        <f>_xlfn.XLOOKUP(A915,My_Audit!A:A,My_Audit!D:D,"")&amp;""</f>
        <v/>
      </c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39"/>
    </row>
    <row r="916" spans="1:21">
      <c r="A916" s="54" t="str">
        <f>_xlfn.TEXTJOIN("",TRUE,Input!$B$2,ROW(My_Audit!A915))</f>
        <v>XX915</v>
      </c>
      <c r="B916" s="54"/>
      <c r="C916" s="54"/>
      <c r="D916" s="55" t="str">
        <f>_xlfn.XLOOKUP(A916,My_Audit!A:A,My_Audit!D:D,"")&amp;""</f>
        <v/>
      </c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39"/>
    </row>
    <row r="917" spans="1:21">
      <c r="A917" s="54" t="str">
        <f>_xlfn.TEXTJOIN("",TRUE,Input!$B$2,ROW(My_Audit!A916))</f>
        <v>XX916</v>
      </c>
      <c r="B917" s="54"/>
      <c r="C917" s="54"/>
      <c r="D917" s="55" t="str">
        <f>_xlfn.XLOOKUP(A917,My_Audit!A:A,My_Audit!D:D,"")&amp;""</f>
        <v/>
      </c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39"/>
    </row>
    <row r="918" spans="1:21">
      <c r="A918" s="54" t="str">
        <f>_xlfn.TEXTJOIN("",TRUE,Input!$B$2,ROW(My_Audit!A917))</f>
        <v>XX917</v>
      </c>
      <c r="B918" s="54"/>
      <c r="C918" s="54"/>
      <c r="D918" s="55" t="str">
        <f>_xlfn.XLOOKUP(A918,My_Audit!A:A,My_Audit!D:D,"")&amp;""</f>
        <v/>
      </c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39"/>
    </row>
    <row r="919" spans="1:21">
      <c r="A919" s="54" t="str">
        <f>_xlfn.TEXTJOIN("",TRUE,Input!$B$2,ROW(My_Audit!A918))</f>
        <v>XX918</v>
      </c>
      <c r="B919" s="54"/>
      <c r="C919" s="54"/>
      <c r="D919" s="55" t="str">
        <f>_xlfn.XLOOKUP(A919,My_Audit!A:A,My_Audit!D:D,"")&amp;""</f>
        <v/>
      </c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39"/>
    </row>
    <row r="920" spans="1:21">
      <c r="A920" s="54" t="str">
        <f>_xlfn.TEXTJOIN("",TRUE,Input!$B$2,ROW(My_Audit!A919))</f>
        <v>XX919</v>
      </c>
      <c r="B920" s="54"/>
      <c r="C920" s="54"/>
      <c r="D920" s="55" t="str">
        <f>_xlfn.XLOOKUP(A920,My_Audit!A:A,My_Audit!D:D,"")&amp;""</f>
        <v/>
      </c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39"/>
    </row>
    <row r="921" spans="1:21">
      <c r="A921" s="54" t="str">
        <f>_xlfn.TEXTJOIN("",TRUE,Input!$B$2,ROW(My_Audit!A920))</f>
        <v>XX920</v>
      </c>
      <c r="B921" s="54"/>
      <c r="C921" s="54"/>
      <c r="D921" s="55" t="str">
        <f>_xlfn.XLOOKUP(A921,My_Audit!A:A,My_Audit!D:D,"")&amp;""</f>
        <v/>
      </c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39"/>
    </row>
    <row r="922" spans="1:21">
      <c r="A922" s="54" t="str">
        <f>_xlfn.TEXTJOIN("",TRUE,Input!$B$2,ROW(My_Audit!A921))</f>
        <v>XX921</v>
      </c>
      <c r="B922" s="54"/>
      <c r="C922" s="54"/>
      <c r="D922" s="55" t="str">
        <f>_xlfn.XLOOKUP(A922,My_Audit!A:A,My_Audit!D:D,"")&amp;""</f>
        <v/>
      </c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39"/>
    </row>
    <row r="923" spans="1:21">
      <c r="A923" s="54" t="str">
        <f>_xlfn.TEXTJOIN("",TRUE,Input!$B$2,ROW(My_Audit!A922))</f>
        <v>XX922</v>
      </c>
      <c r="B923" s="54"/>
      <c r="C923" s="54"/>
      <c r="D923" s="55" t="str">
        <f>_xlfn.XLOOKUP(A923,My_Audit!A:A,My_Audit!D:D,"")&amp;""</f>
        <v/>
      </c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39"/>
    </row>
    <row r="924" spans="1:21">
      <c r="A924" s="54" t="str">
        <f>_xlfn.TEXTJOIN("",TRUE,Input!$B$2,ROW(My_Audit!A923))</f>
        <v>XX923</v>
      </c>
      <c r="B924" s="54"/>
      <c r="C924" s="54"/>
      <c r="D924" s="55" t="str">
        <f>_xlfn.XLOOKUP(A924,My_Audit!A:A,My_Audit!D:D,"")&amp;""</f>
        <v/>
      </c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39"/>
    </row>
    <row r="925" spans="1:21">
      <c r="A925" s="54" t="str">
        <f>_xlfn.TEXTJOIN("",TRUE,Input!$B$2,ROW(My_Audit!A924))</f>
        <v>XX924</v>
      </c>
      <c r="B925" s="54"/>
      <c r="C925" s="54"/>
      <c r="D925" s="55" t="str">
        <f>_xlfn.XLOOKUP(A925,My_Audit!A:A,My_Audit!D:D,"")&amp;""</f>
        <v/>
      </c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39"/>
    </row>
    <row r="926" spans="1:21">
      <c r="A926" s="54" t="str">
        <f>_xlfn.TEXTJOIN("",TRUE,Input!$B$2,ROW(My_Audit!A925))</f>
        <v>XX925</v>
      </c>
      <c r="B926" s="54"/>
      <c r="C926" s="54"/>
      <c r="D926" s="55" t="str">
        <f>_xlfn.XLOOKUP(A926,My_Audit!A:A,My_Audit!D:D,"")&amp;""</f>
        <v/>
      </c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39"/>
    </row>
    <row r="927" spans="1:21">
      <c r="A927" s="54" t="str">
        <f>_xlfn.TEXTJOIN("",TRUE,Input!$B$2,ROW(My_Audit!A926))</f>
        <v>XX926</v>
      </c>
      <c r="B927" s="54"/>
      <c r="C927" s="54"/>
      <c r="D927" s="55" t="str">
        <f>_xlfn.XLOOKUP(A927,My_Audit!A:A,My_Audit!D:D,"")&amp;""</f>
        <v/>
      </c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39"/>
    </row>
    <row r="928" spans="1:21">
      <c r="A928" s="54" t="str">
        <f>_xlfn.TEXTJOIN("",TRUE,Input!$B$2,ROW(My_Audit!A927))</f>
        <v>XX927</v>
      </c>
      <c r="B928" s="54"/>
      <c r="C928" s="54"/>
      <c r="D928" s="55" t="str">
        <f>_xlfn.XLOOKUP(A928,My_Audit!A:A,My_Audit!D:D,"")&amp;""</f>
        <v/>
      </c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39"/>
    </row>
    <row r="929" spans="1:21">
      <c r="A929" s="54" t="str">
        <f>_xlfn.TEXTJOIN("",TRUE,Input!$B$2,ROW(My_Audit!A928))</f>
        <v>XX928</v>
      </c>
      <c r="B929" s="54"/>
      <c r="C929" s="54"/>
      <c r="D929" s="55" t="str">
        <f>_xlfn.XLOOKUP(A929,My_Audit!A:A,My_Audit!D:D,"")&amp;""</f>
        <v/>
      </c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39"/>
    </row>
    <row r="930" spans="1:21">
      <c r="A930" s="54" t="str">
        <f>_xlfn.TEXTJOIN("",TRUE,Input!$B$2,ROW(My_Audit!A929))</f>
        <v>XX929</v>
      </c>
      <c r="B930" s="54"/>
      <c r="C930" s="54"/>
      <c r="D930" s="55" t="str">
        <f>_xlfn.XLOOKUP(A930,My_Audit!A:A,My_Audit!D:D,"")&amp;""</f>
        <v/>
      </c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39"/>
    </row>
    <row r="931" spans="1:21">
      <c r="A931" s="54" t="str">
        <f>_xlfn.TEXTJOIN("",TRUE,Input!$B$2,ROW(My_Audit!A930))</f>
        <v>XX930</v>
      </c>
      <c r="B931" s="54"/>
      <c r="C931" s="54"/>
      <c r="D931" s="55" t="str">
        <f>_xlfn.XLOOKUP(A931,My_Audit!A:A,My_Audit!D:D,"")&amp;""</f>
        <v/>
      </c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39"/>
    </row>
    <row r="932" spans="1:21">
      <c r="A932" s="54" t="str">
        <f>_xlfn.TEXTJOIN("",TRUE,Input!$B$2,ROW(My_Audit!A931))</f>
        <v>XX931</v>
      </c>
      <c r="B932" s="54"/>
      <c r="C932" s="54"/>
      <c r="D932" s="55" t="str">
        <f>_xlfn.XLOOKUP(A932,My_Audit!A:A,My_Audit!D:D,"")&amp;""</f>
        <v/>
      </c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39"/>
    </row>
    <row r="933" spans="1:21">
      <c r="A933" s="54" t="str">
        <f>_xlfn.TEXTJOIN("",TRUE,Input!$B$2,ROW(My_Audit!A932))</f>
        <v>XX932</v>
      </c>
      <c r="B933" s="54"/>
      <c r="C933" s="54"/>
      <c r="D933" s="55" t="str">
        <f>_xlfn.XLOOKUP(A933,My_Audit!A:A,My_Audit!D:D,"")&amp;""</f>
        <v/>
      </c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39"/>
    </row>
    <row r="934" spans="1:21">
      <c r="A934" s="54" t="str">
        <f>_xlfn.TEXTJOIN("",TRUE,Input!$B$2,ROW(My_Audit!A933))</f>
        <v>XX933</v>
      </c>
      <c r="B934" s="54"/>
      <c r="C934" s="54"/>
      <c r="D934" s="55" t="str">
        <f>_xlfn.XLOOKUP(A934,My_Audit!A:A,My_Audit!D:D,"")&amp;""</f>
        <v/>
      </c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39"/>
    </row>
    <row r="935" spans="1:21">
      <c r="A935" s="54" t="str">
        <f>_xlfn.TEXTJOIN("",TRUE,Input!$B$2,ROW(My_Audit!A934))</f>
        <v>XX934</v>
      </c>
      <c r="B935" s="54"/>
      <c r="C935" s="54"/>
      <c r="D935" s="55" t="str">
        <f>_xlfn.XLOOKUP(A935,My_Audit!A:A,My_Audit!D:D,"")&amp;""</f>
        <v/>
      </c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39"/>
    </row>
    <row r="936" spans="1:21">
      <c r="A936" s="54" t="str">
        <f>_xlfn.TEXTJOIN("",TRUE,Input!$B$2,ROW(My_Audit!A935))</f>
        <v>XX935</v>
      </c>
      <c r="B936" s="54"/>
      <c r="C936" s="54"/>
      <c r="D936" s="55" t="str">
        <f>_xlfn.XLOOKUP(A936,My_Audit!A:A,My_Audit!D:D,"")&amp;""</f>
        <v/>
      </c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39"/>
    </row>
    <row r="937" spans="1:21">
      <c r="A937" s="54" t="str">
        <f>_xlfn.TEXTJOIN("",TRUE,Input!$B$2,ROW(My_Audit!A936))</f>
        <v>XX936</v>
      </c>
      <c r="B937" s="54"/>
      <c r="C937" s="54"/>
      <c r="D937" s="55" t="str">
        <f>_xlfn.XLOOKUP(A937,My_Audit!A:A,My_Audit!D:D,"")&amp;""</f>
        <v/>
      </c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39"/>
    </row>
    <row r="938" spans="1:21">
      <c r="A938" s="54" t="str">
        <f>_xlfn.TEXTJOIN("",TRUE,Input!$B$2,ROW(My_Audit!A937))</f>
        <v>XX937</v>
      </c>
      <c r="B938" s="54"/>
      <c r="C938" s="54"/>
      <c r="D938" s="55" t="str">
        <f>_xlfn.XLOOKUP(A938,My_Audit!A:A,My_Audit!D:D,"")&amp;""</f>
        <v/>
      </c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39"/>
    </row>
    <row r="939" spans="1:21">
      <c r="A939" s="54" t="str">
        <f>_xlfn.TEXTJOIN("",TRUE,Input!$B$2,ROW(My_Audit!A938))</f>
        <v>XX938</v>
      </c>
      <c r="B939" s="54"/>
      <c r="C939" s="54"/>
      <c r="D939" s="55" t="str">
        <f>_xlfn.XLOOKUP(A939,My_Audit!A:A,My_Audit!D:D,"")&amp;""</f>
        <v/>
      </c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39"/>
    </row>
    <row r="940" spans="1:21">
      <c r="A940" s="54" t="str">
        <f>_xlfn.TEXTJOIN("",TRUE,Input!$B$2,ROW(My_Audit!A939))</f>
        <v>XX939</v>
      </c>
      <c r="B940" s="54"/>
      <c r="C940" s="54"/>
      <c r="D940" s="55" t="str">
        <f>_xlfn.XLOOKUP(A940,My_Audit!A:A,My_Audit!D:D,"")&amp;""</f>
        <v/>
      </c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39"/>
    </row>
    <row r="941" spans="1:21">
      <c r="A941" s="54" t="str">
        <f>_xlfn.TEXTJOIN("",TRUE,Input!$B$2,ROW(My_Audit!A940))</f>
        <v>XX940</v>
      </c>
      <c r="B941" s="54"/>
      <c r="C941" s="54"/>
      <c r="D941" s="55" t="str">
        <f>_xlfn.XLOOKUP(A941,My_Audit!A:A,My_Audit!D:D,"")&amp;""</f>
        <v/>
      </c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39"/>
    </row>
    <row r="942" spans="1:21">
      <c r="A942" s="54" t="str">
        <f>_xlfn.TEXTJOIN("",TRUE,Input!$B$2,ROW(My_Audit!A941))</f>
        <v>XX941</v>
      </c>
      <c r="B942" s="54"/>
      <c r="C942" s="54"/>
      <c r="D942" s="55" t="str">
        <f>_xlfn.XLOOKUP(A942,My_Audit!A:A,My_Audit!D:D,"")&amp;""</f>
        <v/>
      </c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39"/>
    </row>
    <row r="943" spans="1:21">
      <c r="A943" s="54" t="str">
        <f>_xlfn.TEXTJOIN("",TRUE,Input!$B$2,ROW(My_Audit!A942))</f>
        <v>XX942</v>
      </c>
      <c r="B943" s="54"/>
      <c r="C943" s="54"/>
      <c r="D943" s="55" t="str">
        <f>_xlfn.XLOOKUP(A943,My_Audit!A:A,My_Audit!D:D,"")&amp;""</f>
        <v/>
      </c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39"/>
    </row>
    <row r="944" spans="1:21">
      <c r="A944" s="54" t="str">
        <f>_xlfn.TEXTJOIN("",TRUE,Input!$B$2,ROW(My_Audit!A943))</f>
        <v>XX943</v>
      </c>
      <c r="B944" s="54"/>
      <c r="C944" s="54"/>
      <c r="D944" s="55" t="str">
        <f>_xlfn.XLOOKUP(A944,My_Audit!A:A,My_Audit!D:D,"")&amp;""</f>
        <v/>
      </c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39"/>
    </row>
    <row r="945" spans="1:21">
      <c r="A945" s="54" t="str">
        <f>_xlfn.TEXTJOIN("",TRUE,Input!$B$2,ROW(My_Audit!A944))</f>
        <v>XX944</v>
      </c>
      <c r="B945" s="54"/>
      <c r="C945" s="54"/>
      <c r="D945" s="55" t="str">
        <f>_xlfn.XLOOKUP(A945,My_Audit!A:A,My_Audit!D:D,"")&amp;""</f>
        <v/>
      </c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39"/>
    </row>
    <row r="946" spans="1:21">
      <c r="A946" s="54" t="str">
        <f>_xlfn.TEXTJOIN("",TRUE,Input!$B$2,ROW(My_Audit!A945))</f>
        <v>XX945</v>
      </c>
      <c r="B946" s="54"/>
      <c r="C946" s="54"/>
      <c r="D946" s="55" t="str">
        <f>_xlfn.XLOOKUP(A946,My_Audit!A:A,My_Audit!D:D,"")&amp;""</f>
        <v/>
      </c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39"/>
    </row>
    <row r="947" spans="1:21">
      <c r="A947" s="54" t="str">
        <f>_xlfn.TEXTJOIN("",TRUE,Input!$B$2,ROW(My_Audit!A946))</f>
        <v>XX946</v>
      </c>
      <c r="B947" s="54"/>
      <c r="C947" s="54"/>
      <c r="D947" s="55" t="str">
        <f>_xlfn.XLOOKUP(A947,My_Audit!A:A,My_Audit!D:D,"")&amp;""</f>
        <v/>
      </c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39"/>
    </row>
    <row r="948" spans="1:21">
      <c r="A948" s="54" t="str">
        <f>_xlfn.TEXTJOIN("",TRUE,Input!$B$2,ROW(My_Audit!A947))</f>
        <v>XX947</v>
      </c>
      <c r="B948" s="54"/>
      <c r="C948" s="54"/>
      <c r="D948" s="55" t="str">
        <f>_xlfn.XLOOKUP(A948,My_Audit!A:A,My_Audit!D:D,"")&amp;""</f>
        <v/>
      </c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39"/>
    </row>
    <row r="949" spans="1:21">
      <c r="A949" s="54" t="str">
        <f>_xlfn.TEXTJOIN("",TRUE,Input!$B$2,ROW(My_Audit!A948))</f>
        <v>XX948</v>
      </c>
      <c r="B949" s="54"/>
      <c r="C949" s="54"/>
      <c r="D949" s="55" t="str">
        <f>_xlfn.XLOOKUP(A949,My_Audit!A:A,My_Audit!D:D,"")&amp;""</f>
        <v/>
      </c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39"/>
    </row>
    <row r="950" spans="1:21">
      <c r="A950" s="54" t="str">
        <f>_xlfn.TEXTJOIN("",TRUE,Input!$B$2,ROW(My_Audit!A949))</f>
        <v>XX949</v>
      </c>
      <c r="B950" s="54"/>
      <c r="C950" s="54"/>
      <c r="D950" s="55" t="str">
        <f>_xlfn.XLOOKUP(A950,My_Audit!A:A,My_Audit!D:D,"")&amp;""</f>
        <v/>
      </c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39"/>
    </row>
    <row r="951" spans="1:21">
      <c r="A951" s="54" t="str">
        <f>_xlfn.TEXTJOIN("",TRUE,Input!$B$2,ROW(My_Audit!A950))</f>
        <v>XX950</v>
      </c>
      <c r="B951" s="54"/>
      <c r="C951" s="54"/>
      <c r="D951" s="55" t="str">
        <f>_xlfn.XLOOKUP(A951,My_Audit!A:A,My_Audit!D:D,"")&amp;""</f>
        <v/>
      </c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39"/>
    </row>
    <row r="952" spans="1:21">
      <c r="A952" s="54" t="str">
        <f>_xlfn.TEXTJOIN("",TRUE,Input!$B$2,ROW(My_Audit!A951))</f>
        <v>XX951</v>
      </c>
      <c r="B952" s="54"/>
      <c r="C952" s="54"/>
      <c r="D952" s="55" t="str">
        <f>_xlfn.XLOOKUP(A952,My_Audit!A:A,My_Audit!D:D,"")&amp;""</f>
        <v/>
      </c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39"/>
    </row>
    <row r="953" spans="1:21">
      <c r="A953" s="54" t="str">
        <f>_xlfn.TEXTJOIN("",TRUE,Input!$B$2,ROW(My_Audit!A952))</f>
        <v>XX952</v>
      </c>
      <c r="B953" s="54"/>
      <c r="C953" s="54"/>
      <c r="D953" s="55" t="str">
        <f>_xlfn.XLOOKUP(A953,My_Audit!A:A,My_Audit!D:D,"")&amp;""</f>
        <v/>
      </c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39"/>
    </row>
    <row r="954" spans="1:21">
      <c r="A954" s="54" t="str">
        <f>_xlfn.TEXTJOIN("",TRUE,Input!$B$2,ROW(My_Audit!A953))</f>
        <v>XX953</v>
      </c>
      <c r="B954" s="54"/>
      <c r="C954" s="54"/>
      <c r="D954" s="55" t="str">
        <f>_xlfn.XLOOKUP(A954,My_Audit!A:A,My_Audit!D:D,"")&amp;""</f>
        <v/>
      </c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39"/>
    </row>
    <row r="955" spans="1:21">
      <c r="A955" s="54" t="str">
        <f>_xlfn.TEXTJOIN("",TRUE,Input!$B$2,ROW(My_Audit!A954))</f>
        <v>XX954</v>
      </c>
      <c r="B955" s="54"/>
      <c r="C955" s="54"/>
      <c r="D955" s="55" t="str">
        <f>_xlfn.XLOOKUP(A955,My_Audit!A:A,My_Audit!D:D,"")&amp;""</f>
        <v/>
      </c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39"/>
    </row>
    <row r="956" spans="1:21">
      <c r="A956" s="54" t="str">
        <f>_xlfn.TEXTJOIN("",TRUE,Input!$B$2,ROW(My_Audit!A955))</f>
        <v>XX955</v>
      </c>
      <c r="B956" s="54"/>
      <c r="C956" s="54"/>
      <c r="D956" s="55" t="str">
        <f>_xlfn.XLOOKUP(A956,My_Audit!A:A,My_Audit!D:D,"")&amp;""</f>
        <v/>
      </c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39"/>
    </row>
    <row r="957" spans="1:21">
      <c r="A957" s="54" t="str">
        <f>_xlfn.TEXTJOIN("",TRUE,Input!$B$2,ROW(My_Audit!A956))</f>
        <v>XX956</v>
      </c>
      <c r="B957" s="54"/>
      <c r="C957" s="54"/>
      <c r="D957" s="55" t="str">
        <f>_xlfn.XLOOKUP(A957,My_Audit!A:A,My_Audit!D:D,"")&amp;""</f>
        <v/>
      </c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39"/>
    </row>
    <row r="958" spans="1:21">
      <c r="A958" s="54" t="str">
        <f>_xlfn.TEXTJOIN("",TRUE,Input!$B$2,ROW(My_Audit!A957))</f>
        <v>XX957</v>
      </c>
      <c r="B958" s="54"/>
      <c r="C958" s="54"/>
      <c r="D958" s="55" t="str">
        <f>_xlfn.XLOOKUP(A958,My_Audit!A:A,My_Audit!D:D,"")&amp;""</f>
        <v/>
      </c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39"/>
    </row>
    <row r="959" spans="1:21">
      <c r="A959" s="54" t="str">
        <f>_xlfn.TEXTJOIN("",TRUE,Input!$B$2,ROW(My_Audit!A958))</f>
        <v>XX958</v>
      </c>
      <c r="B959" s="54"/>
      <c r="C959" s="54"/>
      <c r="D959" s="55" t="str">
        <f>_xlfn.XLOOKUP(A959,My_Audit!A:A,My_Audit!D:D,"")&amp;""</f>
        <v/>
      </c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39"/>
    </row>
    <row r="960" spans="1:21">
      <c r="A960" s="54" t="str">
        <f>_xlfn.TEXTJOIN("",TRUE,Input!$B$2,ROW(My_Audit!A959))</f>
        <v>XX959</v>
      </c>
      <c r="B960" s="54"/>
      <c r="C960" s="54"/>
      <c r="D960" s="55" t="str">
        <f>_xlfn.XLOOKUP(A960,My_Audit!A:A,My_Audit!D:D,"")&amp;""</f>
        <v/>
      </c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39"/>
    </row>
    <row r="961" spans="1:21">
      <c r="A961" s="54" t="str">
        <f>_xlfn.TEXTJOIN("",TRUE,Input!$B$2,ROW(My_Audit!A960))</f>
        <v>XX960</v>
      </c>
      <c r="B961" s="54"/>
      <c r="C961" s="54"/>
      <c r="D961" s="55" t="str">
        <f>_xlfn.XLOOKUP(A961,My_Audit!A:A,My_Audit!D:D,"")&amp;""</f>
        <v/>
      </c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39"/>
    </row>
    <row r="962" spans="1:21">
      <c r="A962" s="54" t="str">
        <f>_xlfn.TEXTJOIN("",TRUE,Input!$B$2,ROW(My_Audit!A961))</f>
        <v>XX961</v>
      </c>
      <c r="B962" s="54"/>
      <c r="C962" s="54"/>
      <c r="D962" s="55" t="str">
        <f>_xlfn.XLOOKUP(A962,My_Audit!A:A,My_Audit!D:D,"")&amp;""</f>
        <v/>
      </c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39"/>
    </row>
    <row r="963" spans="1:21">
      <c r="A963" s="54" t="str">
        <f>_xlfn.TEXTJOIN("",TRUE,Input!$B$2,ROW(My_Audit!A962))</f>
        <v>XX962</v>
      </c>
      <c r="B963" s="54"/>
      <c r="C963" s="54"/>
      <c r="D963" s="55" t="str">
        <f>_xlfn.XLOOKUP(A963,My_Audit!A:A,My_Audit!D:D,"")&amp;""</f>
        <v/>
      </c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39"/>
    </row>
    <row r="964" spans="1:21">
      <c r="A964" s="54" t="str">
        <f>_xlfn.TEXTJOIN("",TRUE,Input!$B$2,ROW(My_Audit!A963))</f>
        <v>XX963</v>
      </c>
      <c r="B964" s="54"/>
      <c r="C964" s="54"/>
      <c r="D964" s="55" t="str">
        <f>_xlfn.XLOOKUP(A964,My_Audit!A:A,My_Audit!D:D,"")&amp;""</f>
        <v/>
      </c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39"/>
    </row>
    <row r="965" spans="1:21">
      <c r="A965" s="54" t="str">
        <f>_xlfn.TEXTJOIN("",TRUE,Input!$B$2,ROW(My_Audit!A964))</f>
        <v>XX964</v>
      </c>
      <c r="B965" s="54"/>
      <c r="C965" s="54"/>
      <c r="D965" s="55" t="str">
        <f>_xlfn.XLOOKUP(A965,My_Audit!A:A,My_Audit!D:D,"")&amp;""</f>
        <v/>
      </c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39"/>
    </row>
    <row r="966" spans="1:21">
      <c r="A966" s="54" t="str">
        <f>_xlfn.TEXTJOIN("",TRUE,Input!$B$2,ROW(My_Audit!A965))</f>
        <v>XX965</v>
      </c>
      <c r="B966" s="54"/>
      <c r="C966" s="54"/>
      <c r="D966" s="55" t="str">
        <f>_xlfn.XLOOKUP(A966,My_Audit!A:A,My_Audit!D:D,"")&amp;""</f>
        <v/>
      </c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39"/>
    </row>
    <row r="967" spans="1:21">
      <c r="A967" s="54" t="str">
        <f>_xlfn.TEXTJOIN("",TRUE,Input!$B$2,ROW(My_Audit!A966))</f>
        <v>XX966</v>
      </c>
      <c r="B967" s="54"/>
      <c r="C967" s="54"/>
      <c r="D967" s="55" t="str">
        <f>_xlfn.XLOOKUP(A967,My_Audit!A:A,My_Audit!D:D,"")&amp;""</f>
        <v/>
      </c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39"/>
    </row>
    <row r="968" spans="1:21">
      <c r="A968" s="54" t="str">
        <f>_xlfn.TEXTJOIN("",TRUE,Input!$B$2,ROW(My_Audit!A967))</f>
        <v>XX967</v>
      </c>
      <c r="B968" s="54"/>
      <c r="C968" s="54"/>
      <c r="D968" s="55" t="str">
        <f>_xlfn.XLOOKUP(A968,My_Audit!A:A,My_Audit!D:D,"")&amp;""</f>
        <v/>
      </c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39"/>
    </row>
    <row r="969" spans="1:21">
      <c r="A969" s="54" t="str">
        <f>_xlfn.TEXTJOIN("",TRUE,Input!$B$2,ROW(My_Audit!A968))</f>
        <v>XX968</v>
      </c>
      <c r="B969" s="54"/>
      <c r="C969" s="54"/>
      <c r="D969" s="55" t="str">
        <f>_xlfn.XLOOKUP(A969,My_Audit!A:A,My_Audit!D:D,"")&amp;""</f>
        <v/>
      </c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39"/>
    </row>
    <row r="970" spans="1:21">
      <c r="A970" s="54" t="str">
        <f>_xlfn.TEXTJOIN("",TRUE,Input!$B$2,ROW(My_Audit!A969))</f>
        <v>XX969</v>
      </c>
      <c r="B970" s="54"/>
      <c r="C970" s="54"/>
      <c r="D970" s="55" t="str">
        <f>_xlfn.XLOOKUP(A970,My_Audit!A:A,My_Audit!D:D,"")&amp;""</f>
        <v/>
      </c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39"/>
    </row>
    <row r="971" spans="1:21">
      <c r="A971" s="54" t="str">
        <f>_xlfn.TEXTJOIN("",TRUE,Input!$B$2,ROW(My_Audit!A970))</f>
        <v>XX970</v>
      </c>
      <c r="B971" s="54"/>
      <c r="C971" s="54"/>
      <c r="D971" s="55" t="str">
        <f>_xlfn.XLOOKUP(A971,My_Audit!A:A,My_Audit!D:D,"")&amp;""</f>
        <v/>
      </c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39"/>
    </row>
    <row r="972" spans="1:21">
      <c r="A972" s="54" t="str">
        <f>_xlfn.TEXTJOIN("",TRUE,Input!$B$2,ROW(My_Audit!A971))</f>
        <v>XX971</v>
      </c>
      <c r="B972" s="54"/>
      <c r="C972" s="54"/>
      <c r="D972" s="55" t="str">
        <f>_xlfn.XLOOKUP(A972,My_Audit!A:A,My_Audit!D:D,"")&amp;""</f>
        <v/>
      </c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39"/>
    </row>
    <row r="973" spans="1:21">
      <c r="A973" s="54" t="str">
        <f>_xlfn.TEXTJOIN("",TRUE,Input!$B$2,ROW(My_Audit!A972))</f>
        <v>XX972</v>
      </c>
      <c r="B973" s="54"/>
      <c r="C973" s="54"/>
      <c r="D973" s="55" t="str">
        <f>_xlfn.XLOOKUP(A973,My_Audit!A:A,My_Audit!D:D,"")&amp;""</f>
        <v/>
      </c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39"/>
    </row>
    <row r="974" spans="1:21">
      <c r="A974" s="54" t="str">
        <f>_xlfn.TEXTJOIN("",TRUE,Input!$B$2,ROW(My_Audit!A973))</f>
        <v>XX973</v>
      </c>
      <c r="B974" s="54"/>
      <c r="C974" s="54"/>
      <c r="D974" s="55" t="str">
        <f>_xlfn.XLOOKUP(A974,My_Audit!A:A,My_Audit!D:D,"")&amp;""</f>
        <v/>
      </c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39"/>
    </row>
    <row r="975" spans="1:21">
      <c r="A975" s="54" t="str">
        <f>_xlfn.TEXTJOIN("",TRUE,Input!$B$2,ROW(My_Audit!A974))</f>
        <v>XX974</v>
      </c>
      <c r="B975" s="54"/>
      <c r="C975" s="54"/>
      <c r="D975" s="55" t="str">
        <f>_xlfn.XLOOKUP(A975,My_Audit!A:A,My_Audit!D:D,"")&amp;""</f>
        <v/>
      </c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39"/>
    </row>
    <row r="976" spans="1:21">
      <c r="A976" s="54" t="str">
        <f>_xlfn.TEXTJOIN("",TRUE,Input!$B$2,ROW(My_Audit!A975))</f>
        <v>XX975</v>
      </c>
      <c r="B976" s="54"/>
      <c r="C976" s="54"/>
      <c r="D976" s="55" t="str">
        <f>_xlfn.XLOOKUP(A976,My_Audit!A:A,My_Audit!D:D,"")&amp;""</f>
        <v/>
      </c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39"/>
    </row>
    <row r="977" spans="1:21">
      <c r="A977" s="54" t="str">
        <f>_xlfn.TEXTJOIN("",TRUE,Input!$B$2,ROW(My_Audit!A976))</f>
        <v>XX976</v>
      </c>
      <c r="B977" s="54"/>
      <c r="C977" s="54"/>
      <c r="D977" s="55" t="str">
        <f>_xlfn.XLOOKUP(A977,My_Audit!A:A,My_Audit!D:D,"")&amp;""</f>
        <v/>
      </c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39"/>
    </row>
    <row r="978" spans="1:21">
      <c r="A978" s="54" t="str">
        <f>_xlfn.TEXTJOIN("",TRUE,Input!$B$2,ROW(My_Audit!A977))</f>
        <v>XX977</v>
      </c>
      <c r="B978" s="54"/>
      <c r="C978" s="54"/>
      <c r="D978" s="55" t="str">
        <f>_xlfn.XLOOKUP(A978,My_Audit!A:A,My_Audit!D:D,"")&amp;""</f>
        <v/>
      </c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39"/>
    </row>
    <row r="979" spans="1:21">
      <c r="A979" s="54" t="str">
        <f>_xlfn.TEXTJOIN("",TRUE,Input!$B$2,ROW(My_Audit!A978))</f>
        <v>XX978</v>
      </c>
      <c r="B979" s="54"/>
      <c r="C979" s="54"/>
      <c r="D979" s="55" t="str">
        <f>_xlfn.XLOOKUP(A979,My_Audit!A:A,My_Audit!D:D,"")&amp;""</f>
        <v/>
      </c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39"/>
    </row>
    <row r="980" spans="1:21">
      <c r="A980" s="54" t="str">
        <f>_xlfn.TEXTJOIN("",TRUE,Input!$B$2,ROW(My_Audit!A979))</f>
        <v>XX979</v>
      </c>
      <c r="B980" s="54"/>
      <c r="C980" s="54"/>
      <c r="D980" s="55" t="str">
        <f>_xlfn.XLOOKUP(A980,My_Audit!A:A,My_Audit!D:D,"")&amp;""</f>
        <v/>
      </c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39"/>
    </row>
    <row r="981" spans="1:21">
      <c r="A981" s="54" t="str">
        <f>_xlfn.TEXTJOIN("",TRUE,Input!$B$2,ROW(My_Audit!A980))</f>
        <v>XX980</v>
      </c>
      <c r="B981" s="54"/>
      <c r="C981" s="54"/>
      <c r="D981" s="55" t="str">
        <f>_xlfn.XLOOKUP(A981,My_Audit!A:A,My_Audit!D:D,"")&amp;""</f>
        <v/>
      </c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39"/>
    </row>
    <row r="982" spans="1:21">
      <c r="A982" s="54" t="str">
        <f>_xlfn.TEXTJOIN("",TRUE,Input!$B$2,ROW(My_Audit!A981))</f>
        <v>XX981</v>
      </c>
      <c r="B982" s="54"/>
      <c r="C982" s="54"/>
      <c r="D982" s="55" t="str">
        <f>_xlfn.XLOOKUP(A982,My_Audit!A:A,My_Audit!D:D,"")&amp;""</f>
        <v/>
      </c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39"/>
    </row>
    <row r="983" spans="1:21">
      <c r="A983" s="54" t="str">
        <f>_xlfn.TEXTJOIN("",TRUE,Input!$B$2,ROW(My_Audit!A982))</f>
        <v>XX982</v>
      </c>
      <c r="B983" s="54"/>
      <c r="C983" s="54"/>
      <c r="D983" s="55" t="str">
        <f>_xlfn.XLOOKUP(A983,My_Audit!A:A,My_Audit!D:D,"")&amp;""</f>
        <v/>
      </c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39"/>
    </row>
    <row r="984" spans="1:21">
      <c r="A984" s="54" t="str">
        <f>_xlfn.TEXTJOIN("",TRUE,Input!$B$2,ROW(My_Audit!A983))</f>
        <v>XX983</v>
      </c>
      <c r="B984" s="54"/>
      <c r="C984" s="54"/>
      <c r="D984" s="55" t="str">
        <f>_xlfn.XLOOKUP(A984,My_Audit!A:A,My_Audit!D:D,"")&amp;""</f>
        <v/>
      </c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39"/>
    </row>
    <row r="985" spans="1:21">
      <c r="A985" s="54" t="str">
        <f>_xlfn.TEXTJOIN("",TRUE,Input!$B$2,ROW(My_Audit!A984))</f>
        <v>XX984</v>
      </c>
      <c r="B985" s="54"/>
      <c r="C985" s="54"/>
      <c r="D985" s="55" t="str">
        <f>_xlfn.XLOOKUP(A985,My_Audit!A:A,My_Audit!D:D,"")&amp;""</f>
        <v/>
      </c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39"/>
    </row>
    <row r="986" spans="1:21">
      <c r="A986" s="54" t="str">
        <f>_xlfn.TEXTJOIN("",TRUE,Input!$B$2,ROW(My_Audit!A985))</f>
        <v>XX985</v>
      </c>
      <c r="B986" s="54"/>
      <c r="C986" s="54"/>
      <c r="D986" s="55" t="str">
        <f>_xlfn.XLOOKUP(A986,My_Audit!A:A,My_Audit!D:D,"")&amp;""</f>
        <v/>
      </c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39"/>
    </row>
    <row r="987" spans="1:21">
      <c r="A987" s="54" t="str">
        <f>_xlfn.TEXTJOIN("",TRUE,Input!$B$2,ROW(My_Audit!A986))</f>
        <v>XX986</v>
      </c>
      <c r="B987" s="54"/>
      <c r="C987" s="54"/>
      <c r="D987" s="55" t="str">
        <f>_xlfn.XLOOKUP(A987,My_Audit!A:A,My_Audit!D:D,"")&amp;""</f>
        <v/>
      </c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39"/>
    </row>
    <row r="988" spans="1:21">
      <c r="A988" s="54" t="str">
        <f>_xlfn.TEXTJOIN("",TRUE,Input!$B$2,ROW(My_Audit!A987))</f>
        <v>XX987</v>
      </c>
      <c r="B988" s="54"/>
      <c r="C988" s="54"/>
      <c r="D988" s="55" t="str">
        <f>_xlfn.XLOOKUP(A988,My_Audit!A:A,My_Audit!D:D,"")&amp;""</f>
        <v/>
      </c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39"/>
    </row>
    <row r="989" spans="1:21">
      <c r="A989" s="54" t="str">
        <f>_xlfn.TEXTJOIN("",TRUE,Input!$B$2,ROW(My_Audit!A988))</f>
        <v>XX988</v>
      </c>
      <c r="B989" s="54"/>
      <c r="C989" s="54"/>
      <c r="D989" s="55" t="str">
        <f>_xlfn.XLOOKUP(A989,My_Audit!A:A,My_Audit!D:D,"")&amp;""</f>
        <v/>
      </c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39"/>
    </row>
    <row r="990" spans="1:21">
      <c r="A990" s="54" t="str">
        <f>_xlfn.TEXTJOIN("",TRUE,Input!$B$2,ROW(My_Audit!A989))</f>
        <v>XX989</v>
      </c>
      <c r="B990" s="54"/>
      <c r="C990" s="54"/>
      <c r="D990" s="55" t="str">
        <f>_xlfn.XLOOKUP(A990,My_Audit!A:A,My_Audit!D:D,"")&amp;""</f>
        <v/>
      </c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39"/>
    </row>
    <row r="991" spans="1:21">
      <c r="A991" s="54" t="str">
        <f>_xlfn.TEXTJOIN("",TRUE,Input!$B$2,ROW(My_Audit!A990))</f>
        <v>XX990</v>
      </c>
      <c r="B991" s="54"/>
      <c r="C991" s="54"/>
      <c r="D991" s="55" t="str">
        <f>_xlfn.XLOOKUP(A991,My_Audit!A:A,My_Audit!D:D,"")&amp;""</f>
        <v/>
      </c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39"/>
    </row>
    <row r="992" spans="1:21">
      <c r="A992" s="54" t="str">
        <f>_xlfn.TEXTJOIN("",TRUE,Input!$B$2,ROW(My_Audit!A991))</f>
        <v>XX991</v>
      </c>
      <c r="B992" s="54"/>
      <c r="C992" s="54"/>
      <c r="D992" s="55" t="str">
        <f>_xlfn.XLOOKUP(A992,My_Audit!A:A,My_Audit!D:D,"")&amp;""</f>
        <v/>
      </c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39"/>
    </row>
    <row r="993" spans="1:21">
      <c r="A993" s="54" t="str">
        <f>_xlfn.TEXTJOIN("",TRUE,Input!$B$2,ROW(My_Audit!A992))</f>
        <v>XX992</v>
      </c>
      <c r="B993" s="54"/>
      <c r="C993" s="54"/>
      <c r="D993" s="55" t="str">
        <f>_xlfn.XLOOKUP(A993,My_Audit!A:A,My_Audit!D:D,"")&amp;""</f>
        <v/>
      </c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39"/>
    </row>
    <row r="994" spans="1:21">
      <c r="A994" s="54" t="str">
        <f>_xlfn.TEXTJOIN("",TRUE,Input!$B$2,ROW(My_Audit!A993))</f>
        <v>XX993</v>
      </c>
      <c r="B994" s="54"/>
      <c r="C994" s="54"/>
      <c r="D994" s="55" t="str">
        <f>_xlfn.XLOOKUP(A994,My_Audit!A:A,My_Audit!D:D,"")&amp;""</f>
        <v/>
      </c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39"/>
    </row>
    <row r="995" spans="1:21">
      <c r="A995" s="54" t="str">
        <f>_xlfn.TEXTJOIN("",TRUE,Input!$B$2,ROW(My_Audit!A994))</f>
        <v>XX994</v>
      </c>
      <c r="B995" s="54"/>
      <c r="C995" s="54"/>
      <c r="D995" s="55" t="str">
        <f>_xlfn.XLOOKUP(A995,My_Audit!A:A,My_Audit!D:D,"")&amp;""</f>
        <v/>
      </c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39"/>
    </row>
    <row r="996" spans="1:21">
      <c r="A996" s="54" t="str">
        <f>_xlfn.TEXTJOIN("",TRUE,Input!$B$2,ROW(My_Audit!A995))</f>
        <v>XX995</v>
      </c>
      <c r="B996" s="54"/>
      <c r="C996" s="54"/>
      <c r="D996" s="55" t="str">
        <f>_xlfn.XLOOKUP(A996,My_Audit!A:A,My_Audit!D:D,"")&amp;""</f>
        <v/>
      </c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39"/>
    </row>
    <row r="997" spans="1:21">
      <c r="A997" s="54" t="str">
        <f>_xlfn.TEXTJOIN("",TRUE,Input!$B$2,ROW(My_Audit!A996))</f>
        <v>XX996</v>
      </c>
      <c r="B997" s="54"/>
      <c r="C997" s="54"/>
      <c r="D997" s="55" t="str">
        <f>_xlfn.XLOOKUP(A997,My_Audit!A:A,My_Audit!D:D,"")&amp;""</f>
        <v/>
      </c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39"/>
    </row>
    <row r="998" spans="1:21">
      <c r="A998" s="54" t="str">
        <f>_xlfn.TEXTJOIN("",TRUE,Input!$B$2,ROW(My_Audit!A997))</f>
        <v>XX997</v>
      </c>
      <c r="B998" s="54"/>
      <c r="C998" s="54"/>
      <c r="D998" s="55" t="str">
        <f>_xlfn.XLOOKUP(A998,My_Audit!A:A,My_Audit!D:D,"")&amp;""</f>
        <v/>
      </c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39"/>
    </row>
    <row r="999" spans="1:21">
      <c r="A999" s="54" t="str">
        <f>_xlfn.TEXTJOIN("",TRUE,Input!$B$2,ROW(My_Audit!A998))</f>
        <v>XX998</v>
      </c>
      <c r="B999" s="54"/>
      <c r="C999" s="54"/>
      <c r="D999" s="55" t="str">
        <f>_xlfn.XLOOKUP(A999,My_Audit!A:A,My_Audit!D:D,"")&amp;""</f>
        <v/>
      </c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39"/>
    </row>
    <row r="1000" spans="1:21">
      <c r="A1000" s="54" t="str">
        <f>_xlfn.TEXTJOIN("",TRUE,Input!$B$2,ROW(My_Audit!A999))</f>
        <v>XX999</v>
      </c>
      <c r="B1000" s="54"/>
      <c r="C1000" s="54"/>
      <c r="D1000" s="55" t="str">
        <f>_xlfn.XLOOKUP(A1000,My_Audit!A:A,My_Audit!D:D,"")&amp;""</f>
        <v/>
      </c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39"/>
    </row>
    <row r="1001" spans="1:21">
      <c r="A1001" s="54" t="str">
        <f>_xlfn.TEXTJOIN("",TRUE,Input!$B$2,ROW(My_Audit!A1000))</f>
        <v>XX1000</v>
      </c>
      <c r="B1001" s="54"/>
      <c r="C1001" s="54"/>
      <c r="D1001" s="55" t="str">
        <f>_xlfn.XLOOKUP(A1001,My_Audit!A:A,My_Audit!D:D,"")&amp;""</f>
        <v/>
      </c>
      <c r="E1001" s="54"/>
      <c r="F1001" s="54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  <c r="S1001" s="54"/>
      <c r="T1001" s="54"/>
      <c r="U1001" s="39"/>
    </row>
    <row r="1002" spans="1:21">
      <c r="A1002" s="54" t="str">
        <f>_xlfn.TEXTJOIN("",TRUE,Input!$B$2,ROW(My_Audit!A1001))</f>
        <v>XX1001</v>
      </c>
      <c r="B1002" s="54"/>
      <c r="C1002" s="54"/>
      <c r="D1002" s="55" t="str">
        <f>_xlfn.XLOOKUP(A1002,My_Audit!A:A,My_Audit!D:D,"")&amp;""</f>
        <v/>
      </c>
      <c r="E1002" s="54"/>
      <c r="F1002" s="54"/>
      <c r="G1002" s="54"/>
      <c r="H1002" s="54"/>
      <c r="I1002" s="54"/>
      <c r="J1002" s="54"/>
      <c r="K1002" s="54"/>
      <c r="L1002" s="54"/>
      <c r="M1002" s="54"/>
      <c r="N1002" s="54"/>
      <c r="O1002" s="54"/>
      <c r="P1002" s="54"/>
      <c r="Q1002" s="54"/>
      <c r="R1002" s="54"/>
      <c r="S1002" s="54"/>
      <c r="T1002" s="54"/>
      <c r="U1002" s="39"/>
    </row>
    <row r="1003" spans="1:21">
      <c r="A1003" s="54" t="str">
        <f>_xlfn.TEXTJOIN("",TRUE,Input!$B$2,ROW(My_Audit!A1002))</f>
        <v>XX1002</v>
      </c>
      <c r="B1003" s="54"/>
      <c r="C1003" s="54"/>
      <c r="D1003" s="55" t="str">
        <f>_xlfn.XLOOKUP(A1003,My_Audit!A:A,My_Audit!D:D,"")&amp;""</f>
        <v/>
      </c>
      <c r="E1003" s="54"/>
      <c r="F1003" s="54"/>
      <c r="G1003" s="54"/>
      <c r="H1003" s="54"/>
      <c r="I1003" s="54"/>
      <c r="J1003" s="54"/>
      <c r="K1003" s="54"/>
      <c r="L1003" s="54"/>
      <c r="M1003" s="54"/>
      <c r="N1003" s="54"/>
      <c r="O1003" s="54"/>
      <c r="P1003" s="54"/>
      <c r="Q1003" s="54"/>
      <c r="R1003" s="54"/>
      <c r="S1003" s="54"/>
      <c r="T1003" s="54"/>
      <c r="U1003" s="39"/>
    </row>
    <row r="1004" spans="1:21">
      <c r="A1004" s="54" t="str">
        <f>_xlfn.TEXTJOIN("",TRUE,Input!$B$2,ROW(My_Audit!A1003))</f>
        <v>XX1003</v>
      </c>
      <c r="B1004" s="54"/>
      <c r="C1004" s="54"/>
      <c r="D1004" s="55" t="str">
        <f>_xlfn.XLOOKUP(A1004,My_Audit!A:A,My_Audit!D:D,"")&amp;""</f>
        <v/>
      </c>
      <c r="E1004" s="54"/>
      <c r="F1004" s="54"/>
      <c r="G1004" s="54"/>
      <c r="H1004" s="54"/>
      <c r="I1004" s="54"/>
      <c r="J1004" s="54"/>
      <c r="K1004" s="54"/>
      <c r="L1004" s="54"/>
      <c r="M1004" s="54"/>
      <c r="N1004" s="54"/>
      <c r="O1004" s="54"/>
      <c r="P1004" s="54"/>
      <c r="Q1004" s="54"/>
      <c r="R1004" s="54"/>
      <c r="S1004" s="54"/>
      <c r="T1004" s="54"/>
      <c r="U1004" s="39"/>
    </row>
    <row r="1005" spans="1:21">
      <c r="A1005" s="54" t="str">
        <f>_xlfn.TEXTJOIN("",TRUE,Input!$B$2,ROW(My_Audit!A1004))</f>
        <v>XX1004</v>
      </c>
      <c r="B1005" s="54"/>
      <c r="C1005" s="54"/>
      <c r="D1005" s="55" t="str">
        <f>_xlfn.XLOOKUP(A1005,My_Audit!A:A,My_Audit!D:D,"")&amp;""</f>
        <v/>
      </c>
      <c r="E1005" s="54"/>
      <c r="F1005" s="54"/>
      <c r="G1005" s="54"/>
      <c r="H1005" s="54"/>
      <c r="I1005" s="54"/>
      <c r="J1005" s="54"/>
      <c r="K1005" s="54"/>
      <c r="L1005" s="54"/>
      <c r="M1005" s="54"/>
      <c r="N1005" s="54"/>
      <c r="O1005" s="54"/>
      <c r="P1005" s="54"/>
      <c r="Q1005" s="54"/>
      <c r="R1005" s="54"/>
      <c r="S1005" s="54"/>
      <c r="T1005" s="54"/>
      <c r="U1005" s="39"/>
    </row>
    <row r="1006" spans="1:21">
      <c r="A1006" s="54" t="str">
        <f>_xlfn.TEXTJOIN("",TRUE,Input!$B$2,ROW(My_Audit!A1005))</f>
        <v>XX1005</v>
      </c>
      <c r="B1006" s="54"/>
      <c r="C1006" s="54"/>
      <c r="D1006" s="55" t="str">
        <f>_xlfn.XLOOKUP(A1006,My_Audit!A:A,My_Audit!D:D,"")&amp;""</f>
        <v/>
      </c>
      <c r="E1006" s="54"/>
      <c r="F1006" s="54"/>
      <c r="G1006" s="54"/>
      <c r="H1006" s="54"/>
      <c r="I1006" s="54"/>
      <c r="J1006" s="54"/>
      <c r="K1006" s="54"/>
      <c r="L1006" s="54"/>
      <c r="M1006" s="54"/>
      <c r="N1006" s="54"/>
      <c r="O1006" s="54"/>
      <c r="P1006" s="54"/>
      <c r="Q1006" s="54"/>
      <c r="R1006" s="54"/>
      <c r="S1006" s="54"/>
      <c r="T1006" s="54"/>
      <c r="U1006" s="39"/>
    </row>
    <row r="1007" spans="1:21">
      <c r="A1007" s="54" t="str">
        <f>_xlfn.TEXTJOIN("",TRUE,Input!$B$2,ROW(My_Audit!A1006))</f>
        <v>XX1006</v>
      </c>
      <c r="B1007" s="54"/>
      <c r="C1007" s="54"/>
      <c r="D1007" s="55" t="str">
        <f>_xlfn.XLOOKUP(A1007,My_Audit!A:A,My_Audit!D:D,"")&amp;""</f>
        <v/>
      </c>
      <c r="E1007" s="54"/>
      <c r="F1007" s="54"/>
      <c r="G1007" s="54"/>
      <c r="H1007" s="54"/>
      <c r="I1007" s="54"/>
      <c r="J1007" s="54"/>
      <c r="K1007" s="54"/>
      <c r="L1007" s="54"/>
      <c r="M1007" s="54"/>
      <c r="N1007" s="54"/>
      <c r="O1007" s="54"/>
      <c r="P1007" s="54"/>
      <c r="Q1007" s="54"/>
      <c r="R1007" s="54"/>
      <c r="S1007" s="54"/>
      <c r="T1007" s="54"/>
      <c r="U1007" s="39"/>
    </row>
    <row r="1008" spans="1:21">
      <c r="A1008" s="54" t="str">
        <f>_xlfn.TEXTJOIN("",TRUE,Input!$B$2,ROW(My_Audit!A1007))</f>
        <v>XX1007</v>
      </c>
      <c r="B1008" s="54"/>
      <c r="C1008" s="54"/>
      <c r="D1008" s="55" t="str">
        <f>_xlfn.XLOOKUP(A1008,My_Audit!A:A,My_Audit!D:D,"")&amp;""</f>
        <v/>
      </c>
      <c r="E1008" s="54"/>
      <c r="F1008" s="54"/>
      <c r="G1008" s="54"/>
      <c r="H1008" s="54"/>
      <c r="I1008" s="54"/>
      <c r="J1008" s="54"/>
      <c r="K1008" s="54"/>
      <c r="L1008" s="54"/>
      <c r="M1008" s="54"/>
      <c r="N1008" s="54"/>
      <c r="O1008" s="54"/>
      <c r="P1008" s="54"/>
      <c r="Q1008" s="54"/>
      <c r="R1008" s="54"/>
      <c r="S1008" s="54"/>
      <c r="T1008" s="54"/>
      <c r="U1008" s="39"/>
    </row>
    <row r="1009" spans="1:21">
      <c r="A1009" s="54" t="str">
        <f>_xlfn.TEXTJOIN("",TRUE,Input!$B$2,ROW(My_Audit!A1008))</f>
        <v>XX1008</v>
      </c>
      <c r="B1009" s="54"/>
      <c r="C1009" s="54"/>
      <c r="D1009" s="55" t="str">
        <f>_xlfn.XLOOKUP(A1009,My_Audit!A:A,My_Audit!D:D,"")&amp;""</f>
        <v/>
      </c>
      <c r="E1009" s="54"/>
      <c r="F1009" s="54"/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  <c r="S1009" s="54"/>
      <c r="T1009" s="54"/>
      <c r="U1009" s="39"/>
    </row>
    <row r="1010" spans="1:21">
      <c r="A1010" s="54" t="str">
        <f>_xlfn.TEXTJOIN("",TRUE,Input!$B$2,ROW(My_Audit!A1009))</f>
        <v>XX1009</v>
      </c>
      <c r="B1010" s="54"/>
      <c r="C1010" s="54"/>
      <c r="D1010" s="55" t="str">
        <f>_xlfn.XLOOKUP(A1010,My_Audit!A:A,My_Audit!D:D,"")&amp;""</f>
        <v/>
      </c>
      <c r="E1010" s="54"/>
      <c r="F1010" s="54"/>
      <c r="G1010" s="54"/>
      <c r="H1010" s="54"/>
      <c r="I1010" s="54"/>
      <c r="J1010" s="54"/>
      <c r="K1010" s="54"/>
      <c r="L1010" s="54"/>
      <c r="M1010" s="54"/>
      <c r="N1010" s="54"/>
      <c r="O1010" s="54"/>
      <c r="P1010" s="54"/>
      <c r="Q1010" s="54"/>
      <c r="R1010" s="54"/>
      <c r="S1010" s="54"/>
      <c r="T1010" s="54"/>
      <c r="U1010" s="39"/>
    </row>
    <row r="1011" spans="1:21">
      <c r="A1011" s="54" t="str">
        <f>_xlfn.TEXTJOIN("",TRUE,Input!$B$2,ROW(My_Audit!A1010))</f>
        <v>XX1010</v>
      </c>
      <c r="B1011" s="54"/>
      <c r="C1011" s="54"/>
      <c r="D1011" s="55" t="str">
        <f>_xlfn.XLOOKUP(A1011,My_Audit!A:A,My_Audit!D:D,"")&amp;""</f>
        <v/>
      </c>
      <c r="E1011" s="54"/>
      <c r="F1011" s="54"/>
      <c r="G1011" s="54"/>
      <c r="H1011" s="54"/>
      <c r="I1011" s="54"/>
      <c r="J1011" s="54"/>
      <c r="K1011" s="54"/>
      <c r="L1011" s="54"/>
      <c r="M1011" s="54"/>
      <c r="N1011" s="54"/>
      <c r="O1011" s="54"/>
      <c r="P1011" s="54"/>
      <c r="Q1011" s="54"/>
      <c r="R1011" s="54"/>
      <c r="S1011" s="54"/>
      <c r="T1011" s="54"/>
      <c r="U1011" s="39"/>
    </row>
    <row r="1012" spans="1:21">
      <c r="A1012" s="54" t="str">
        <f>_xlfn.TEXTJOIN("",TRUE,Input!$B$2,ROW(My_Audit!A1011))</f>
        <v>XX1011</v>
      </c>
      <c r="B1012" s="54"/>
      <c r="C1012" s="54"/>
      <c r="D1012" s="55" t="str">
        <f>_xlfn.XLOOKUP(A1012,My_Audit!A:A,My_Audit!D:D,"")&amp;""</f>
        <v/>
      </c>
      <c r="E1012" s="54"/>
      <c r="F1012" s="54"/>
      <c r="G1012" s="54"/>
      <c r="H1012" s="54"/>
      <c r="I1012" s="54"/>
      <c r="J1012" s="54"/>
      <c r="K1012" s="54"/>
      <c r="L1012" s="54"/>
      <c r="M1012" s="54"/>
      <c r="N1012" s="54"/>
      <c r="O1012" s="54"/>
      <c r="P1012" s="54"/>
      <c r="Q1012" s="54"/>
      <c r="R1012" s="54"/>
      <c r="S1012" s="54"/>
      <c r="T1012" s="54"/>
      <c r="U1012" s="39"/>
    </row>
    <row r="1013" spans="1:21">
      <c r="A1013" s="54" t="str">
        <f>_xlfn.TEXTJOIN("",TRUE,Input!$B$2,ROW(My_Audit!A1012))</f>
        <v>XX1012</v>
      </c>
      <c r="B1013" s="54"/>
      <c r="C1013" s="54"/>
      <c r="D1013" s="55" t="str">
        <f>_xlfn.XLOOKUP(A1013,My_Audit!A:A,My_Audit!D:D,"")&amp;""</f>
        <v/>
      </c>
      <c r="E1013" s="54"/>
      <c r="F1013" s="54"/>
      <c r="G1013" s="54"/>
      <c r="H1013" s="54"/>
      <c r="I1013" s="54"/>
      <c r="J1013" s="54"/>
      <c r="K1013" s="54"/>
      <c r="L1013" s="54"/>
      <c r="M1013" s="54"/>
      <c r="N1013" s="54"/>
      <c r="O1013" s="54"/>
      <c r="P1013" s="54"/>
      <c r="Q1013" s="54"/>
      <c r="R1013" s="54"/>
      <c r="S1013" s="54"/>
      <c r="T1013" s="54"/>
      <c r="U1013" s="39"/>
    </row>
    <row r="1014" spans="1:21">
      <c r="A1014" s="54" t="str">
        <f>_xlfn.TEXTJOIN("",TRUE,Input!$B$2,ROW(My_Audit!A1013))</f>
        <v>XX1013</v>
      </c>
      <c r="B1014" s="54"/>
      <c r="C1014" s="54"/>
      <c r="D1014" s="55" t="str">
        <f>_xlfn.XLOOKUP(A1014,My_Audit!A:A,My_Audit!D:D,"")&amp;""</f>
        <v/>
      </c>
      <c r="E1014" s="54"/>
      <c r="F1014" s="54"/>
      <c r="G1014" s="54"/>
      <c r="H1014" s="54"/>
      <c r="I1014" s="54"/>
      <c r="J1014" s="54"/>
      <c r="K1014" s="54"/>
      <c r="L1014" s="54"/>
      <c r="M1014" s="54"/>
      <c r="N1014" s="54"/>
      <c r="O1014" s="54"/>
      <c r="P1014" s="54"/>
      <c r="Q1014" s="54"/>
      <c r="R1014" s="54"/>
      <c r="S1014" s="54"/>
      <c r="T1014" s="54"/>
      <c r="U1014" s="39"/>
    </row>
    <row r="1015" spans="1:21">
      <c r="A1015" s="54" t="str">
        <f>_xlfn.TEXTJOIN("",TRUE,Input!$B$2,ROW(My_Audit!A1014))</f>
        <v>XX1014</v>
      </c>
      <c r="B1015" s="54"/>
      <c r="C1015" s="54"/>
      <c r="D1015" s="55" t="str">
        <f>_xlfn.XLOOKUP(A1015,My_Audit!A:A,My_Audit!D:D,"")&amp;""</f>
        <v/>
      </c>
      <c r="E1015" s="54"/>
      <c r="F1015" s="54"/>
      <c r="G1015" s="54"/>
      <c r="H1015" s="54"/>
      <c r="I1015" s="54"/>
      <c r="J1015" s="54"/>
      <c r="K1015" s="54"/>
      <c r="L1015" s="54"/>
      <c r="M1015" s="54"/>
      <c r="N1015" s="54"/>
      <c r="O1015" s="54"/>
      <c r="P1015" s="54"/>
      <c r="Q1015" s="54"/>
      <c r="R1015" s="54"/>
      <c r="S1015" s="54"/>
      <c r="T1015" s="54"/>
      <c r="U1015" s="39"/>
    </row>
    <row r="1016" spans="1:21">
      <c r="A1016" s="54" t="str">
        <f>_xlfn.TEXTJOIN("",TRUE,Input!$B$2,ROW(My_Audit!A1015))</f>
        <v>XX1015</v>
      </c>
      <c r="B1016" s="54"/>
      <c r="C1016" s="54"/>
      <c r="D1016" s="55" t="str">
        <f>_xlfn.XLOOKUP(A1016,My_Audit!A:A,My_Audit!D:D,"")&amp;""</f>
        <v/>
      </c>
      <c r="E1016" s="54"/>
      <c r="F1016" s="54"/>
      <c r="G1016" s="54"/>
      <c r="H1016" s="54"/>
      <c r="I1016" s="54"/>
      <c r="J1016" s="54"/>
      <c r="K1016" s="54"/>
      <c r="L1016" s="54"/>
      <c r="M1016" s="54"/>
      <c r="N1016" s="54"/>
      <c r="O1016" s="54"/>
      <c r="P1016" s="54"/>
      <c r="Q1016" s="54"/>
      <c r="R1016" s="54"/>
      <c r="S1016" s="54"/>
      <c r="T1016" s="54"/>
      <c r="U1016" s="39"/>
    </row>
    <row r="1017" spans="1:21">
      <c r="A1017" s="54" t="str">
        <f>_xlfn.TEXTJOIN("",TRUE,Input!$B$2,ROW(My_Audit!A1016))</f>
        <v>XX1016</v>
      </c>
      <c r="B1017" s="54"/>
      <c r="C1017" s="54"/>
      <c r="D1017" s="55" t="str">
        <f>_xlfn.XLOOKUP(A1017,My_Audit!A:A,My_Audit!D:D,"")&amp;""</f>
        <v/>
      </c>
      <c r="E1017" s="54"/>
      <c r="F1017" s="54"/>
      <c r="G1017" s="54"/>
      <c r="H1017" s="54"/>
      <c r="I1017" s="54"/>
      <c r="J1017" s="54"/>
      <c r="K1017" s="54"/>
      <c r="L1017" s="54"/>
      <c r="M1017" s="54"/>
      <c r="N1017" s="54"/>
      <c r="O1017" s="54"/>
      <c r="P1017" s="54"/>
      <c r="Q1017" s="54"/>
      <c r="R1017" s="54"/>
      <c r="S1017" s="54"/>
      <c r="T1017" s="54"/>
      <c r="U1017" s="39"/>
    </row>
    <row r="1018" spans="1:21">
      <c r="A1018" s="54" t="str">
        <f>_xlfn.TEXTJOIN("",TRUE,Input!$B$2,ROW(My_Audit!A1017))</f>
        <v>XX1017</v>
      </c>
      <c r="B1018" s="54"/>
      <c r="C1018" s="54"/>
      <c r="D1018" s="55" t="str">
        <f>_xlfn.XLOOKUP(A1018,My_Audit!A:A,My_Audit!D:D,"")&amp;""</f>
        <v/>
      </c>
      <c r="E1018" s="54"/>
      <c r="F1018" s="54"/>
      <c r="G1018" s="54"/>
      <c r="H1018" s="54"/>
      <c r="I1018" s="54"/>
      <c r="J1018" s="54"/>
      <c r="K1018" s="54"/>
      <c r="L1018" s="54"/>
      <c r="M1018" s="54"/>
      <c r="N1018" s="54"/>
      <c r="O1018" s="54"/>
      <c r="P1018" s="54"/>
      <c r="Q1018" s="54"/>
      <c r="R1018" s="54"/>
      <c r="S1018" s="54"/>
      <c r="T1018" s="54"/>
      <c r="U1018" s="39"/>
    </row>
    <row r="1019" spans="1:21">
      <c r="A1019" s="54" t="str">
        <f>_xlfn.TEXTJOIN("",TRUE,Input!$B$2,ROW(My_Audit!A1018))</f>
        <v>XX1018</v>
      </c>
      <c r="B1019" s="54"/>
      <c r="C1019" s="54"/>
      <c r="D1019" s="55" t="str">
        <f>_xlfn.XLOOKUP(A1019,My_Audit!A:A,My_Audit!D:D,"")&amp;""</f>
        <v/>
      </c>
      <c r="E1019" s="54"/>
      <c r="F1019" s="54"/>
      <c r="G1019" s="54"/>
      <c r="H1019" s="54"/>
      <c r="I1019" s="54"/>
      <c r="J1019" s="54"/>
      <c r="K1019" s="54"/>
      <c r="L1019" s="54"/>
      <c r="M1019" s="54"/>
      <c r="N1019" s="54"/>
      <c r="O1019" s="54"/>
      <c r="P1019" s="54"/>
      <c r="Q1019" s="54"/>
      <c r="R1019" s="54"/>
      <c r="S1019" s="54"/>
      <c r="T1019" s="54"/>
      <c r="U1019" s="39"/>
    </row>
    <row r="1020" spans="1:21">
      <c r="A1020" s="54" t="str">
        <f>_xlfn.TEXTJOIN("",TRUE,Input!$B$2,ROW(My_Audit!A1019))</f>
        <v>XX1019</v>
      </c>
      <c r="B1020" s="54"/>
      <c r="C1020" s="54"/>
      <c r="D1020" s="55" t="str">
        <f>_xlfn.XLOOKUP(A1020,My_Audit!A:A,My_Audit!D:D,"")&amp;""</f>
        <v/>
      </c>
      <c r="E1020" s="54"/>
      <c r="F1020" s="54"/>
      <c r="G1020" s="54"/>
      <c r="H1020" s="54"/>
      <c r="I1020" s="54"/>
      <c r="J1020" s="54"/>
      <c r="K1020" s="54"/>
      <c r="L1020" s="54"/>
      <c r="M1020" s="54"/>
      <c r="N1020" s="54"/>
      <c r="O1020" s="54"/>
      <c r="P1020" s="54"/>
      <c r="Q1020" s="54"/>
      <c r="R1020" s="54"/>
      <c r="S1020" s="54"/>
      <c r="T1020" s="54"/>
      <c r="U1020" s="39"/>
    </row>
    <row r="1021" spans="1:21">
      <c r="A1021" s="54" t="str">
        <f>_xlfn.TEXTJOIN("",TRUE,Input!$B$2,ROW(My_Audit!A1020))</f>
        <v>XX1020</v>
      </c>
      <c r="B1021" s="54"/>
      <c r="C1021" s="54"/>
      <c r="D1021" s="55" t="str">
        <f>_xlfn.XLOOKUP(A1021,My_Audit!A:A,My_Audit!D:D,"")&amp;""</f>
        <v/>
      </c>
      <c r="E1021" s="54"/>
      <c r="F1021" s="54"/>
      <c r="G1021" s="54"/>
      <c r="H1021" s="54"/>
      <c r="I1021" s="54"/>
      <c r="J1021" s="54"/>
      <c r="K1021" s="54"/>
      <c r="L1021" s="54"/>
      <c r="M1021" s="54"/>
      <c r="N1021" s="54"/>
      <c r="O1021" s="54"/>
      <c r="P1021" s="54"/>
      <c r="Q1021" s="54"/>
      <c r="R1021" s="54"/>
      <c r="S1021" s="54"/>
      <c r="T1021" s="54"/>
      <c r="U1021" s="39"/>
    </row>
    <row r="1022" spans="1:21">
      <c r="A1022" s="54" t="str">
        <f>_xlfn.TEXTJOIN("",TRUE,Input!$B$2,ROW(My_Audit!A1021))</f>
        <v>XX1021</v>
      </c>
      <c r="B1022" s="54"/>
      <c r="C1022" s="54"/>
      <c r="D1022" s="55" t="str">
        <f>_xlfn.XLOOKUP(A1022,My_Audit!A:A,My_Audit!D:D,"")&amp;""</f>
        <v/>
      </c>
      <c r="E1022" s="54"/>
      <c r="F1022" s="54"/>
      <c r="G1022" s="54"/>
      <c r="H1022" s="54"/>
      <c r="I1022" s="54"/>
      <c r="J1022" s="54"/>
      <c r="K1022" s="54"/>
      <c r="L1022" s="54"/>
      <c r="M1022" s="54"/>
      <c r="N1022" s="54"/>
      <c r="O1022" s="54"/>
      <c r="P1022" s="54"/>
      <c r="Q1022" s="54"/>
      <c r="R1022" s="54"/>
      <c r="S1022" s="54"/>
      <c r="T1022" s="54"/>
      <c r="U1022" s="39"/>
    </row>
    <row r="1023" spans="1:21">
      <c r="A1023" s="54" t="str">
        <f>_xlfn.TEXTJOIN("",TRUE,Input!$B$2,ROW(My_Audit!A1022))</f>
        <v>XX1022</v>
      </c>
      <c r="B1023" s="54"/>
      <c r="C1023" s="54"/>
      <c r="D1023" s="55" t="str">
        <f>_xlfn.XLOOKUP(A1023,My_Audit!A:A,My_Audit!D:D,"")&amp;""</f>
        <v/>
      </c>
      <c r="E1023" s="54"/>
      <c r="F1023" s="54"/>
      <c r="G1023" s="54"/>
      <c r="H1023" s="54"/>
      <c r="I1023" s="54"/>
      <c r="J1023" s="54"/>
      <c r="K1023" s="54"/>
      <c r="L1023" s="54"/>
      <c r="M1023" s="54"/>
      <c r="N1023" s="54"/>
      <c r="O1023" s="54"/>
      <c r="P1023" s="54"/>
      <c r="Q1023" s="54"/>
      <c r="R1023" s="54"/>
      <c r="S1023" s="54"/>
      <c r="T1023" s="54"/>
      <c r="U1023" s="39"/>
    </row>
    <row r="1024" spans="1:21">
      <c r="A1024" s="54" t="str">
        <f>_xlfn.TEXTJOIN("",TRUE,Input!$B$2,ROW(My_Audit!A1023))</f>
        <v>XX1023</v>
      </c>
      <c r="B1024" s="54"/>
      <c r="C1024" s="54"/>
      <c r="D1024" s="55" t="str">
        <f>_xlfn.XLOOKUP(A1024,My_Audit!A:A,My_Audit!D:D,"")&amp;""</f>
        <v/>
      </c>
      <c r="E1024" s="54"/>
      <c r="F1024" s="54"/>
      <c r="G1024" s="54"/>
      <c r="H1024" s="54"/>
      <c r="I1024" s="54"/>
      <c r="J1024" s="54"/>
      <c r="K1024" s="54"/>
      <c r="L1024" s="54"/>
      <c r="M1024" s="54"/>
      <c r="N1024" s="54"/>
      <c r="O1024" s="54"/>
      <c r="P1024" s="54"/>
      <c r="Q1024" s="54"/>
      <c r="R1024" s="54"/>
      <c r="S1024" s="54"/>
      <c r="T1024" s="54"/>
      <c r="U1024" s="39"/>
    </row>
    <row r="1025" spans="1:21">
      <c r="A1025" s="54" t="str">
        <f>_xlfn.TEXTJOIN("",TRUE,Input!$B$2,ROW(My_Audit!A1024))</f>
        <v>XX1024</v>
      </c>
      <c r="B1025" s="54"/>
      <c r="C1025" s="54"/>
      <c r="D1025" s="55" t="str">
        <f>_xlfn.XLOOKUP(A1025,My_Audit!A:A,My_Audit!D:D,"")&amp;""</f>
        <v/>
      </c>
      <c r="E1025" s="54"/>
      <c r="F1025" s="54"/>
      <c r="G1025" s="54"/>
      <c r="H1025" s="54"/>
      <c r="I1025" s="54"/>
      <c r="J1025" s="54"/>
      <c r="K1025" s="54"/>
      <c r="L1025" s="54"/>
      <c r="M1025" s="54"/>
      <c r="N1025" s="54"/>
      <c r="O1025" s="54"/>
      <c r="P1025" s="54"/>
      <c r="Q1025" s="54"/>
      <c r="R1025" s="54"/>
      <c r="S1025" s="54"/>
      <c r="T1025" s="54"/>
      <c r="U1025" s="39"/>
    </row>
    <row r="1026" spans="1:21">
      <c r="A1026" s="54" t="str">
        <f>_xlfn.TEXTJOIN("",TRUE,Input!$B$2,ROW(My_Audit!A1025))</f>
        <v>XX1025</v>
      </c>
      <c r="B1026" s="54"/>
      <c r="C1026" s="54"/>
      <c r="D1026" s="55" t="str">
        <f>_xlfn.XLOOKUP(A1026,My_Audit!A:A,My_Audit!D:D,"")&amp;""</f>
        <v/>
      </c>
      <c r="E1026" s="54"/>
      <c r="F1026" s="54"/>
      <c r="G1026" s="54"/>
      <c r="H1026" s="54"/>
      <c r="I1026" s="54"/>
      <c r="J1026" s="54"/>
      <c r="K1026" s="54"/>
      <c r="L1026" s="54"/>
      <c r="M1026" s="54"/>
      <c r="N1026" s="54"/>
      <c r="O1026" s="54"/>
      <c r="P1026" s="54"/>
      <c r="Q1026" s="54"/>
      <c r="R1026" s="54"/>
      <c r="S1026" s="54"/>
      <c r="T1026" s="54"/>
      <c r="U1026" s="39"/>
    </row>
    <row r="1027" spans="1:21">
      <c r="A1027" s="54" t="str">
        <f>_xlfn.TEXTJOIN("",TRUE,Input!$B$2,ROW(My_Audit!A1026))</f>
        <v>XX1026</v>
      </c>
      <c r="B1027" s="54"/>
      <c r="C1027" s="54"/>
      <c r="D1027" s="55" t="str">
        <f>_xlfn.XLOOKUP(A1027,My_Audit!A:A,My_Audit!D:D,"")&amp;""</f>
        <v/>
      </c>
      <c r="E1027" s="54"/>
      <c r="F1027" s="54"/>
      <c r="G1027" s="54"/>
      <c r="H1027" s="54"/>
      <c r="I1027" s="54"/>
      <c r="J1027" s="54"/>
      <c r="K1027" s="54"/>
      <c r="L1027" s="54"/>
      <c r="M1027" s="54"/>
      <c r="N1027" s="54"/>
      <c r="O1027" s="54"/>
      <c r="P1027" s="54"/>
      <c r="Q1027" s="54"/>
      <c r="R1027" s="54"/>
      <c r="S1027" s="54"/>
      <c r="T1027" s="54"/>
      <c r="U1027" s="39"/>
    </row>
    <row r="1028" spans="1:21">
      <c r="A1028" s="54" t="str">
        <f>_xlfn.TEXTJOIN("",TRUE,Input!$B$2,ROW(My_Audit!A1027))</f>
        <v>XX1027</v>
      </c>
      <c r="B1028" s="54"/>
      <c r="C1028" s="54"/>
      <c r="D1028" s="55" t="str">
        <f>_xlfn.XLOOKUP(A1028,My_Audit!A:A,My_Audit!D:D,"")&amp;""</f>
        <v/>
      </c>
      <c r="E1028" s="54"/>
      <c r="F1028" s="54"/>
      <c r="G1028" s="54"/>
      <c r="H1028" s="54"/>
      <c r="I1028" s="54"/>
      <c r="J1028" s="54"/>
      <c r="K1028" s="54"/>
      <c r="L1028" s="54"/>
      <c r="M1028" s="54"/>
      <c r="N1028" s="54"/>
      <c r="O1028" s="54"/>
      <c r="P1028" s="54"/>
      <c r="Q1028" s="54"/>
      <c r="R1028" s="54"/>
      <c r="S1028" s="54"/>
      <c r="T1028" s="54"/>
      <c r="U1028" s="39"/>
    </row>
    <row r="1029" spans="1:21">
      <c r="A1029" s="54" t="str">
        <f>_xlfn.TEXTJOIN("",TRUE,Input!$B$2,ROW(My_Audit!A1028))</f>
        <v>XX1028</v>
      </c>
      <c r="B1029" s="54"/>
      <c r="C1029" s="54"/>
      <c r="D1029" s="55" t="str">
        <f>_xlfn.XLOOKUP(A1029,My_Audit!A:A,My_Audit!D:D,"")&amp;""</f>
        <v/>
      </c>
      <c r="E1029" s="54"/>
      <c r="F1029" s="54"/>
      <c r="G1029" s="54"/>
      <c r="H1029" s="54"/>
      <c r="I1029" s="54"/>
      <c r="J1029" s="54"/>
      <c r="K1029" s="54"/>
      <c r="L1029" s="54"/>
      <c r="M1029" s="54"/>
      <c r="N1029" s="54"/>
      <c r="O1029" s="54"/>
      <c r="P1029" s="54"/>
      <c r="Q1029" s="54"/>
      <c r="R1029" s="54"/>
      <c r="S1029" s="54"/>
      <c r="T1029" s="54"/>
      <c r="U1029" s="39"/>
    </row>
    <row r="1030" spans="1:21">
      <c r="A1030" s="54" t="str">
        <f>_xlfn.TEXTJOIN("",TRUE,Input!$B$2,ROW(My_Audit!A1029))</f>
        <v>XX1029</v>
      </c>
      <c r="B1030" s="54"/>
      <c r="C1030" s="54"/>
      <c r="D1030" s="55" t="str">
        <f>_xlfn.XLOOKUP(A1030,My_Audit!A:A,My_Audit!D:D,"")&amp;""</f>
        <v/>
      </c>
      <c r="E1030" s="54"/>
      <c r="F1030" s="54"/>
      <c r="G1030" s="54"/>
      <c r="H1030" s="54"/>
      <c r="I1030" s="54"/>
      <c r="J1030" s="54"/>
      <c r="K1030" s="54"/>
      <c r="L1030" s="54"/>
      <c r="M1030" s="54"/>
      <c r="N1030" s="54"/>
      <c r="O1030" s="54"/>
      <c r="P1030" s="54"/>
      <c r="Q1030" s="54"/>
      <c r="R1030" s="54"/>
      <c r="S1030" s="54"/>
      <c r="T1030" s="54"/>
      <c r="U1030" s="39"/>
    </row>
    <row r="1031" spans="1:21">
      <c r="A1031" s="54" t="str">
        <f>_xlfn.TEXTJOIN("",TRUE,Input!$B$2,ROW(My_Audit!A1030))</f>
        <v>XX1030</v>
      </c>
      <c r="B1031" s="54"/>
      <c r="C1031" s="54"/>
      <c r="D1031" s="55" t="str">
        <f>_xlfn.XLOOKUP(A1031,My_Audit!A:A,My_Audit!D:D,"")&amp;""</f>
        <v/>
      </c>
      <c r="E1031" s="54"/>
      <c r="F1031" s="54"/>
      <c r="G1031" s="54"/>
      <c r="H1031" s="54"/>
      <c r="I1031" s="54"/>
      <c r="J1031" s="54"/>
      <c r="K1031" s="54"/>
      <c r="L1031" s="54"/>
      <c r="M1031" s="54"/>
      <c r="N1031" s="54"/>
      <c r="O1031" s="54"/>
      <c r="P1031" s="54"/>
      <c r="Q1031" s="54"/>
      <c r="R1031" s="54"/>
      <c r="S1031" s="54"/>
      <c r="T1031" s="54"/>
      <c r="U1031" s="39"/>
    </row>
    <row r="1032" spans="1:21">
      <c r="A1032" s="54" t="str">
        <f>_xlfn.TEXTJOIN("",TRUE,Input!$B$2,ROW(My_Audit!A1031))</f>
        <v>XX1031</v>
      </c>
      <c r="B1032" s="54"/>
      <c r="C1032" s="54"/>
      <c r="D1032" s="55" t="str">
        <f>_xlfn.XLOOKUP(A1032,My_Audit!A:A,My_Audit!D:D,"")&amp;""</f>
        <v/>
      </c>
      <c r="E1032" s="54"/>
      <c r="F1032" s="54"/>
      <c r="G1032" s="54"/>
      <c r="H1032" s="54"/>
      <c r="I1032" s="54"/>
      <c r="J1032" s="54"/>
      <c r="K1032" s="54"/>
      <c r="L1032" s="54"/>
      <c r="M1032" s="54"/>
      <c r="N1032" s="54"/>
      <c r="O1032" s="54"/>
      <c r="P1032" s="54"/>
      <c r="Q1032" s="54"/>
      <c r="R1032" s="54"/>
      <c r="S1032" s="54"/>
      <c r="T1032" s="54"/>
      <c r="U1032" s="39"/>
    </row>
    <row r="1033" spans="1:21">
      <c r="A1033" s="54" t="str">
        <f>_xlfn.TEXTJOIN("",TRUE,Input!$B$2,ROW(My_Audit!A1032))</f>
        <v>XX1032</v>
      </c>
      <c r="B1033" s="54"/>
      <c r="C1033" s="54"/>
      <c r="D1033" s="55" t="str">
        <f>_xlfn.XLOOKUP(A1033,My_Audit!A:A,My_Audit!D:D,"")&amp;""</f>
        <v/>
      </c>
      <c r="E1033" s="54"/>
      <c r="F1033" s="54"/>
      <c r="G1033" s="54"/>
      <c r="H1033" s="54"/>
      <c r="I1033" s="54"/>
      <c r="J1033" s="54"/>
      <c r="K1033" s="54"/>
      <c r="L1033" s="54"/>
      <c r="M1033" s="54"/>
      <c r="N1033" s="54"/>
      <c r="O1033" s="54"/>
      <c r="P1033" s="54"/>
      <c r="Q1033" s="54"/>
      <c r="R1033" s="54"/>
      <c r="S1033" s="54"/>
      <c r="T1033" s="54"/>
      <c r="U1033" s="39"/>
    </row>
    <row r="1034" spans="1:21">
      <c r="A1034" s="54" t="str">
        <f>_xlfn.TEXTJOIN("",TRUE,Input!$B$2,ROW(My_Audit!A1033))</f>
        <v>XX1033</v>
      </c>
      <c r="B1034" s="54"/>
      <c r="C1034" s="54"/>
      <c r="D1034" s="55" t="str">
        <f>_xlfn.XLOOKUP(A1034,My_Audit!A:A,My_Audit!D:D,"")&amp;""</f>
        <v/>
      </c>
      <c r="E1034" s="54"/>
      <c r="F1034" s="54"/>
      <c r="G1034" s="54"/>
      <c r="H1034" s="54"/>
      <c r="I1034" s="54"/>
      <c r="J1034" s="54"/>
      <c r="K1034" s="54"/>
      <c r="L1034" s="54"/>
      <c r="M1034" s="54"/>
      <c r="N1034" s="54"/>
      <c r="O1034" s="54"/>
      <c r="P1034" s="54"/>
      <c r="Q1034" s="54"/>
      <c r="R1034" s="54"/>
      <c r="S1034" s="54"/>
      <c r="T1034" s="54"/>
      <c r="U1034" s="39"/>
    </row>
    <row r="1035" spans="1:21">
      <c r="A1035" s="54" t="str">
        <f>_xlfn.TEXTJOIN("",TRUE,Input!$B$2,ROW(My_Audit!A1034))</f>
        <v>XX1034</v>
      </c>
      <c r="B1035" s="54"/>
      <c r="C1035" s="54"/>
      <c r="D1035" s="55" t="str">
        <f>_xlfn.XLOOKUP(A1035,My_Audit!A:A,My_Audit!D:D,"")&amp;""</f>
        <v/>
      </c>
      <c r="E1035" s="54"/>
      <c r="F1035" s="54"/>
      <c r="G1035" s="54"/>
      <c r="H1035" s="54"/>
      <c r="I1035" s="54"/>
      <c r="J1035" s="54"/>
      <c r="K1035" s="54"/>
      <c r="L1035" s="54"/>
      <c r="M1035" s="54"/>
      <c r="N1035" s="54"/>
      <c r="O1035" s="54"/>
      <c r="P1035" s="54"/>
      <c r="Q1035" s="54"/>
      <c r="R1035" s="54"/>
      <c r="S1035" s="54"/>
      <c r="T1035" s="54"/>
      <c r="U1035" s="39"/>
    </row>
    <row r="1036" spans="1:21">
      <c r="A1036" s="54" t="str">
        <f>_xlfn.TEXTJOIN("",TRUE,Input!$B$2,ROW(My_Audit!A1035))</f>
        <v>XX1035</v>
      </c>
      <c r="B1036" s="54"/>
      <c r="C1036" s="54"/>
      <c r="D1036" s="55" t="str">
        <f>_xlfn.XLOOKUP(A1036,My_Audit!A:A,My_Audit!D:D,"")&amp;""</f>
        <v/>
      </c>
      <c r="E1036" s="54"/>
      <c r="F1036" s="54"/>
      <c r="G1036" s="54"/>
      <c r="H1036" s="54"/>
      <c r="I1036" s="54"/>
      <c r="J1036" s="54"/>
      <c r="K1036" s="54"/>
      <c r="L1036" s="54"/>
      <c r="M1036" s="54"/>
      <c r="N1036" s="54"/>
      <c r="O1036" s="54"/>
      <c r="P1036" s="54"/>
      <c r="Q1036" s="54"/>
      <c r="R1036" s="54"/>
      <c r="S1036" s="54"/>
      <c r="T1036" s="54"/>
      <c r="U1036" s="39"/>
    </row>
    <row r="1037" spans="1:21">
      <c r="A1037" s="54" t="str">
        <f>_xlfn.TEXTJOIN("",TRUE,Input!$B$2,ROW(My_Audit!A1036))</f>
        <v>XX1036</v>
      </c>
      <c r="B1037" s="54"/>
      <c r="C1037" s="54"/>
      <c r="D1037" s="55" t="str">
        <f>_xlfn.XLOOKUP(A1037,My_Audit!A:A,My_Audit!D:D,"")&amp;""</f>
        <v/>
      </c>
      <c r="E1037" s="54"/>
      <c r="F1037" s="54"/>
      <c r="G1037" s="54"/>
      <c r="H1037" s="54"/>
      <c r="I1037" s="54"/>
      <c r="J1037" s="54"/>
      <c r="K1037" s="54"/>
      <c r="L1037" s="54"/>
      <c r="M1037" s="54"/>
      <c r="N1037" s="54"/>
      <c r="O1037" s="54"/>
      <c r="P1037" s="54"/>
      <c r="Q1037" s="54"/>
      <c r="R1037" s="54"/>
      <c r="S1037" s="54"/>
      <c r="T1037" s="54"/>
      <c r="U1037" s="39"/>
    </row>
    <row r="1038" spans="1:21">
      <c r="A1038" s="54" t="str">
        <f>_xlfn.TEXTJOIN("",TRUE,Input!$B$2,ROW(My_Audit!A1037))</f>
        <v>XX1037</v>
      </c>
      <c r="B1038" s="54"/>
      <c r="C1038" s="54"/>
      <c r="D1038" s="55" t="str">
        <f>_xlfn.XLOOKUP(A1038,My_Audit!A:A,My_Audit!D:D,"")&amp;""</f>
        <v/>
      </c>
      <c r="E1038" s="54"/>
      <c r="F1038" s="54"/>
      <c r="G1038" s="54"/>
      <c r="H1038" s="54"/>
      <c r="I1038" s="54"/>
      <c r="J1038" s="54"/>
      <c r="K1038" s="54"/>
      <c r="L1038" s="54"/>
      <c r="M1038" s="54"/>
      <c r="N1038" s="54"/>
      <c r="O1038" s="54"/>
      <c r="P1038" s="54"/>
      <c r="Q1038" s="54"/>
      <c r="R1038" s="54"/>
      <c r="S1038" s="54"/>
      <c r="T1038" s="54"/>
      <c r="U1038" s="39"/>
    </row>
    <row r="1039" spans="1:21">
      <c r="A1039" s="54" t="str">
        <f>_xlfn.TEXTJOIN("",TRUE,Input!$B$2,ROW(My_Audit!A1038))</f>
        <v>XX1038</v>
      </c>
      <c r="B1039" s="54"/>
      <c r="C1039" s="54"/>
      <c r="D1039" s="55" t="str">
        <f>_xlfn.XLOOKUP(A1039,My_Audit!A:A,My_Audit!D:D,"")&amp;""</f>
        <v/>
      </c>
      <c r="E1039" s="54"/>
      <c r="F1039" s="54"/>
      <c r="G1039" s="54"/>
      <c r="H1039" s="54"/>
      <c r="I1039" s="54"/>
      <c r="J1039" s="54"/>
      <c r="K1039" s="54"/>
      <c r="L1039" s="54"/>
      <c r="M1039" s="54"/>
      <c r="N1039" s="54"/>
      <c r="O1039" s="54"/>
      <c r="P1039" s="54"/>
      <c r="Q1039" s="54"/>
      <c r="R1039" s="54"/>
      <c r="S1039" s="54"/>
      <c r="T1039" s="54"/>
      <c r="U1039" s="39"/>
    </row>
    <row r="1040" spans="1:21">
      <c r="A1040" s="54" t="str">
        <f>_xlfn.TEXTJOIN("",TRUE,Input!$B$2,ROW(My_Audit!A1039))</f>
        <v>XX1039</v>
      </c>
      <c r="B1040" s="54"/>
      <c r="C1040" s="54"/>
      <c r="D1040" s="55" t="str">
        <f>_xlfn.XLOOKUP(A1040,My_Audit!A:A,My_Audit!D:D,"")&amp;""</f>
        <v/>
      </c>
      <c r="E1040" s="54"/>
      <c r="F1040" s="54"/>
      <c r="G1040" s="54"/>
      <c r="H1040" s="54"/>
      <c r="I1040" s="54"/>
      <c r="J1040" s="54"/>
      <c r="K1040" s="54"/>
      <c r="L1040" s="54"/>
      <c r="M1040" s="54"/>
      <c r="N1040" s="54"/>
      <c r="O1040" s="54"/>
      <c r="P1040" s="54"/>
      <c r="Q1040" s="54"/>
      <c r="R1040" s="54"/>
      <c r="S1040" s="54"/>
      <c r="T1040" s="54"/>
      <c r="U1040" s="39"/>
    </row>
    <row r="1041" spans="1:21">
      <c r="A1041" s="54" t="str">
        <f>_xlfn.TEXTJOIN("",TRUE,Input!$B$2,ROW(My_Audit!A1040))</f>
        <v>XX1040</v>
      </c>
      <c r="B1041" s="54"/>
      <c r="C1041" s="54"/>
      <c r="D1041" s="55" t="str">
        <f>_xlfn.XLOOKUP(A1041,My_Audit!A:A,My_Audit!D:D,"")&amp;""</f>
        <v/>
      </c>
      <c r="E1041" s="54"/>
      <c r="F1041" s="54"/>
      <c r="G1041" s="54"/>
      <c r="H1041" s="54"/>
      <c r="I1041" s="54"/>
      <c r="J1041" s="54"/>
      <c r="K1041" s="54"/>
      <c r="L1041" s="54"/>
      <c r="M1041" s="54"/>
      <c r="N1041" s="54"/>
      <c r="O1041" s="54"/>
      <c r="P1041" s="54"/>
      <c r="Q1041" s="54"/>
      <c r="R1041" s="54"/>
      <c r="S1041" s="54"/>
      <c r="T1041" s="54"/>
      <c r="U1041" s="39"/>
    </row>
    <row r="1042" spans="1:21">
      <c r="A1042" s="54" t="str">
        <f>_xlfn.TEXTJOIN("",TRUE,Input!$B$2,ROW(My_Audit!A1041))</f>
        <v>XX1041</v>
      </c>
      <c r="B1042" s="54"/>
      <c r="C1042" s="54"/>
      <c r="D1042" s="55" t="str">
        <f>_xlfn.XLOOKUP(A1042,My_Audit!A:A,My_Audit!D:D,"")&amp;""</f>
        <v/>
      </c>
      <c r="E1042" s="54"/>
      <c r="F1042" s="54"/>
      <c r="G1042" s="54"/>
      <c r="H1042" s="54"/>
      <c r="I1042" s="54"/>
      <c r="J1042" s="54"/>
      <c r="K1042" s="54"/>
      <c r="L1042" s="54"/>
      <c r="M1042" s="54"/>
      <c r="N1042" s="54"/>
      <c r="O1042" s="54"/>
      <c r="P1042" s="54"/>
      <c r="Q1042" s="54"/>
      <c r="R1042" s="54"/>
      <c r="S1042" s="54"/>
      <c r="T1042" s="54"/>
      <c r="U1042" s="39"/>
    </row>
    <row r="1043" spans="1:21">
      <c r="A1043" s="54" t="str">
        <f>_xlfn.TEXTJOIN("",TRUE,Input!$B$2,ROW(My_Audit!A1042))</f>
        <v>XX1042</v>
      </c>
      <c r="B1043" s="54"/>
      <c r="C1043" s="54"/>
      <c r="D1043" s="55" t="str">
        <f>_xlfn.XLOOKUP(A1043,My_Audit!A:A,My_Audit!D:D,"")&amp;""</f>
        <v/>
      </c>
      <c r="E1043" s="54"/>
      <c r="F1043" s="54"/>
      <c r="G1043" s="54"/>
      <c r="H1043" s="54"/>
      <c r="I1043" s="54"/>
      <c r="J1043" s="54"/>
      <c r="K1043" s="54"/>
      <c r="L1043" s="54"/>
      <c r="M1043" s="54"/>
      <c r="N1043" s="54"/>
      <c r="O1043" s="54"/>
      <c r="P1043" s="54"/>
      <c r="Q1043" s="54"/>
      <c r="R1043" s="54"/>
      <c r="S1043" s="54"/>
      <c r="T1043" s="54"/>
      <c r="U1043" s="39"/>
    </row>
    <row r="1044" spans="1:21">
      <c r="A1044" s="54" t="str">
        <f>_xlfn.TEXTJOIN("",TRUE,Input!$B$2,ROW(My_Audit!A1043))</f>
        <v>XX1043</v>
      </c>
      <c r="B1044" s="54"/>
      <c r="C1044" s="54"/>
      <c r="D1044" s="55" t="str">
        <f>_xlfn.XLOOKUP(A1044,My_Audit!A:A,My_Audit!D:D,"")&amp;""</f>
        <v/>
      </c>
      <c r="E1044" s="54"/>
      <c r="F1044" s="54"/>
      <c r="G1044" s="54"/>
      <c r="H1044" s="54"/>
      <c r="I1044" s="54"/>
      <c r="J1044" s="54"/>
      <c r="K1044" s="54"/>
      <c r="L1044" s="54"/>
      <c r="M1044" s="54"/>
      <c r="N1044" s="54"/>
      <c r="O1044" s="54"/>
      <c r="P1044" s="54"/>
      <c r="Q1044" s="54"/>
      <c r="R1044" s="54"/>
      <c r="S1044" s="54"/>
      <c r="T1044" s="54"/>
      <c r="U1044" s="39"/>
    </row>
    <row r="1045" spans="1:21">
      <c r="A1045" s="54" t="str">
        <f>_xlfn.TEXTJOIN("",TRUE,Input!$B$2,ROW(My_Audit!A1044))</f>
        <v>XX1044</v>
      </c>
      <c r="B1045" s="54"/>
      <c r="C1045" s="54"/>
      <c r="D1045" s="55" t="str">
        <f>_xlfn.XLOOKUP(A1045,My_Audit!A:A,My_Audit!D:D,"")&amp;""</f>
        <v/>
      </c>
      <c r="E1045" s="54"/>
      <c r="F1045" s="54"/>
      <c r="G1045" s="54"/>
      <c r="H1045" s="54"/>
      <c r="I1045" s="54"/>
      <c r="J1045" s="54"/>
      <c r="K1045" s="54"/>
      <c r="L1045" s="54"/>
      <c r="M1045" s="54"/>
      <c r="N1045" s="54"/>
      <c r="O1045" s="54"/>
      <c r="P1045" s="54"/>
      <c r="Q1045" s="54"/>
      <c r="R1045" s="54"/>
      <c r="S1045" s="54"/>
      <c r="T1045" s="54"/>
      <c r="U1045" s="39"/>
    </row>
    <row r="1046" spans="1:21">
      <c r="A1046" s="54" t="str">
        <f>_xlfn.TEXTJOIN("",TRUE,Input!$B$2,ROW(My_Audit!A1045))</f>
        <v>XX1045</v>
      </c>
      <c r="B1046" s="54"/>
      <c r="C1046" s="54"/>
      <c r="D1046" s="55" t="str">
        <f>_xlfn.XLOOKUP(A1046,My_Audit!A:A,My_Audit!D:D,"")&amp;""</f>
        <v/>
      </c>
      <c r="E1046" s="54"/>
      <c r="F1046" s="54"/>
      <c r="G1046" s="54"/>
      <c r="H1046" s="54"/>
      <c r="I1046" s="54"/>
      <c r="J1046" s="54"/>
      <c r="K1046" s="54"/>
      <c r="L1046" s="54"/>
      <c r="M1046" s="54"/>
      <c r="N1046" s="54"/>
      <c r="O1046" s="54"/>
      <c r="P1046" s="54"/>
      <c r="Q1046" s="54"/>
      <c r="R1046" s="54"/>
      <c r="S1046" s="54"/>
      <c r="T1046" s="54"/>
      <c r="U1046" s="39"/>
    </row>
    <row r="1047" spans="1:21">
      <c r="A1047" s="54" t="str">
        <f>_xlfn.TEXTJOIN("",TRUE,Input!$B$2,ROW(My_Audit!A1046))</f>
        <v>XX1046</v>
      </c>
      <c r="B1047" s="54"/>
      <c r="C1047" s="54"/>
      <c r="D1047" s="55" t="str">
        <f>_xlfn.XLOOKUP(A1047,My_Audit!A:A,My_Audit!D:D,"")&amp;""</f>
        <v/>
      </c>
      <c r="E1047" s="54"/>
      <c r="F1047" s="54"/>
      <c r="G1047" s="54"/>
      <c r="H1047" s="54"/>
      <c r="I1047" s="54"/>
      <c r="J1047" s="54"/>
      <c r="K1047" s="54"/>
      <c r="L1047" s="54"/>
      <c r="M1047" s="54"/>
      <c r="N1047" s="54"/>
      <c r="O1047" s="54"/>
      <c r="P1047" s="54"/>
      <c r="Q1047" s="54"/>
      <c r="R1047" s="54"/>
      <c r="S1047" s="54"/>
      <c r="T1047" s="54"/>
      <c r="U1047" s="39"/>
    </row>
    <row r="1048" spans="1:21">
      <c r="A1048" s="54" t="str">
        <f>_xlfn.TEXTJOIN("",TRUE,Input!$B$2,ROW(My_Audit!A1047))</f>
        <v>XX1047</v>
      </c>
      <c r="B1048" s="54"/>
      <c r="C1048" s="54"/>
      <c r="D1048" s="55" t="str">
        <f>_xlfn.XLOOKUP(A1048,My_Audit!A:A,My_Audit!D:D,"")&amp;""</f>
        <v/>
      </c>
      <c r="E1048" s="54"/>
      <c r="F1048" s="54"/>
      <c r="G1048" s="54"/>
      <c r="H1048" s="54"/>
      <c r="I1048" s="54"/>
      <c r="J1048" s="54"/>
      <c r="K1048" s="54"/>
      <c r="L1048" s="54"/>
      <c r="M1048" s="54"/>
      <c r="N1048" s="54"/>
      <c r="O1048" s="54"/>
      <c r="P1048" s="54"/>
      <c r="Q1048" s="54"/>
      <c r="R1048" s="54"/>
      <c r="S1048" s="54"/>
      <c r="T1048" s="54"/>
      <c r="U1048" s="39"/>
    </row>
    <row r="1049" spans="1:21">
      <c r="A1049" s="54" t="str">
        <f>_xlfn.TEXTJOIN("",TRUE,Input!$B$2,ROW(My_Audit!A1048))</f>
        <v>XX1048</v>
      </c>
      <c r="B1049" s="54"/>
      <c r="C1049" s="54"/>
      <c r="D1049" s="55" t="str">
        <f>_xlfn.XLOOKUP(A1049,My_Audit!A:A,My_Audit!D:D,"")&amp;""</f>
        <v/>
      </c>
      <c r="E1049" s="54"/>
      <c r="F1049" s="54"/>
      <c r="G1049" s="54"/>
      <c r="H1049" s="54"/>
      <c r="I1049" s="54"/>
      <c r="J1049" s="54"/>
      <c r="K1049" s="54"/>
      <c r="L1049" s="54"/>
      <c r="M1049" s="54"/>
      <c r="N1049" s="54"/>
      <c r="O1049" s="54"/>
      <c r="P1049" s="54"/>
      <c r="Q1049" s="54"/>
      <c r="R1049" s="54"/>
      <c r="S1049" s="54"/>
      <c r="T1049" s="54"/>
      <c r="U1049" s="39"/>
    </row>
    <row r="1050" spans="1:21">
      <c r="A1050" s="54" t="str">
        <f>_xlfn.TEXTJOIN("",TRUE,Input!$B$2,ROW(My_Audit!A1049))</f>
        <v>XX1049</v>
      </c>
      <c r="B1050" s="54"/>
      <c r="C1050" s="54"/>
      <c r="D1050" s="55" t="str">
        <f>_xlfn.XLOOKUP(A1050,My_Audit!A:A,My_Audit!D:D,"")&amp;""</f>
        <v/>
      </c>
      <c r="E1050" s="54"/>
      <c r="F1050" s="54"/>
      <c r="G1050" s="54"/>
      <c r="H1050" s="54"/>
      <c r="I1050" s="54"/>
      <c r="J1050" s="54"/>
      <c r="K1050" s="54"/>
      <c r="L1050" s="54"/>
      <c r="M1050" s="54"/>
      <c r="N1050" s="54"/>
      <c r="O1050" s="54"/>
      <c r="P1050" s="54"/>
      <c r="Q1050" s="54"/>
      <c r="R1050" s="54"/>
      <c r="S1050" s="54"/>
      <c r="T1050" s="54"/>
      <c r="U1050" s="39"/>
    </row>
    <row r="1051" spans="1:21">
      <c r="A1051" s="54" t="str">
        <f>_xlfn.TEXTJOIN("",TRUE,Input!$B$2,ROW(My_Audit!A1050))</f>
        <v>XX1050</v>
      </c>
      <c r="B1051" s="54"/>
      <c r="C1051" s="54"/>
      <c r="D1051" s="55" t="str">
        <f>_xlfn.XLOOKUP(A1051,My_Audit!A:A,My_Audit!D:D,"")&amp;""</f>
        <v/>
      </c>
      <c r="E1051" s="54"/>
      <c r="F1051" s="54"/>
      <c r="G1051" s="54"/>
      <c r="H1051" s="54"/>
      <c r="I1051" s="54"/>
      <c r="J1051" s="54"/>
      <c r="K1051" s="54"/>
      <c r="L1051" s="54"/>
      <c r="M1051" s="54"/>
      <c r="N1051" s="54"/>
      <c r="O1051" s="54"/>
      <c r="P1051" s="54"/>
      <c r="Q1051" s="54"/>
      <c r="R1051" s="54"/>
      <c r="S1051" s="54"/>
      <c r="T1051" s="54"/>
      <c r="U1051" s="39"/>
    </row>
    <row r="1052" spans="1:21">
      <c r="A1052" s="54" t="str">
        <f>_xlfn.TEXTJOIN("",TRUE,Input!$B$2,ROW(My_Audit!A1051))</f>
        <v>XX1051</v>
      </c>
      <c r="B1052" s="54"/>
      <c r="C1052" s="54"/>
      <c r="D1052" s="55" t="str">
        <f>_xlfn.XLOOKUP(A1052,My_Audit!A:A,My_Audit!D:D,"")&amp;""</f>
        <v/>
      </c>
      <c r="E1052" s="54"/>
      <c r="F1052" s="54"/>
      <c r="G1052" s="54"/>
      <c r="H1052" s="54"/>
      <c r="I1052" s="54"/>
      <c r="J1052" s="54"/>
      <c r="K1052" s="54"/>
      <c r="L1052" s="54"/>
      <c r="M1052" s="54"/>
      <c r="N1052" s="54"/>
      <c r="O1052" s="54"/>
      <c r="P1052" s="54"/>
      <c r="Q1052" s="54"/>
      <c r="R1052" s="54"/>
      <c r="S1052" s="54"/>
      <c r="T1052" s="54"/>
      <c r="U1052" s="39"/>
    </row>
    <row r="1053" spans="1:21">
      <c r="A1053" s="54" t="str">
        <f>_xlfn.TEXTJOIN("",TRUE,Input!$B$2,ROW(My_Audit!A1052))</f>
        <v>XX1052</v>
      </c>
      <c r="B1053" s="54"/>
      <c r="C1053" s="54"/>
      <c r="D1053" s="55" t="str">
        <f>_xlfn.XLOOKUP(A1053,My_Audit!A:A,My_Audit!D:D,"")&amp;""</f>
        <v/>
      </c>
      <c r="E1053" s="54"/>
      <c r="F1053" s="54"/>
      <c r="G1053" s="54"/>
      <c r="H1053" s="54"/>
      <c r="I1053" s="54"/>
      <c r="J1053" s="54"/>
      <c r="K1053" s="54"/>
      <c r="L1053" s="54"/>
      <c r="M1053" s="54"/>
      <c r="N1053" s="54"/>
      <c r="O1053" s="54"/>
      <c r="P1053" s="54"/>
      <c r="Q1053" s="54"/>
      <c r="R1053" s="54"/>
      <c r="S1053" s="54"/>
      <c r="T1053" s="54"/>
      <c r="U1053" s="39"/>
    </row>
    <row r="1054" spans="1:21">
      <c r="A1054" s="54" t="str">
        <f>_xlfn.TEXTJOIN("",TRUE,Input!$B$2,ROW(My_Audit!A1053))</f>
        <v>XX1053</v>
      </c>
      <c r="B1054" s="54"/>
      <c r="C1054" s="54"/>
      <c r="D1054" s="55" t="str">
        <f>_xlfn.XLOOKUP(A1054,My_Audit!A:A,My_Audit!D:D,"")&amp;""</f>
        <v/>
      </c>
      <c r="E1054" s="54"/>
      <c r="F1054" s="54"/>
      <c r="G1054" s="54"/>
      <c r="H1054" s="54"/>
      <c r="I1054" s="54"/>
      <c r="J1054" s="54"/>
      <c r="K1054" s="54"/>
      <c r="L1054" s="54"/>
      <c r="M1054" s="54"/>
      <c r="N1054" s="54"/>
      <c r="O1054" s="54"/>
      <c r="P1054" s="54"/>
      <c r="Q1054" s="54"/>
      <c r="R1054" s="54"/>
      <c r="S1054" s="54"/>
      <c r="T1054" s="54"/>
      <c r="U1054" s="39"/>
    </row>
    <row r="1055" spans="1:21">
      <c r="A1055" s="54" t="str">
        <f>_xlfn.TEXTJOIN("",TRUE,Input!$B$2,ROW(My_Audit!A1054))</f>
        <v>XX1054</v>
      </c>
      <c r="B1055" s="54"/>
      <c r="C1055" s="54"/>
      <c r="D1055" s="55" t="str">
        <f>_xlfn.XLOOKUP(A1055,My_Audit!A:A,My_Audit!D:D,"")&amp;""</f>
        <v/>
      </c>
      <c r="E1055" s="54"/>
      <c r="F1055" s="54"/>
      <c r="G1055" s="54"/>
      <c r="H1055" s="54"/>
      <c r="I1055" s="54"/>
      <c r="J1055" s="54"/>
      <c r="K1055" s="54"/>
      <c r="L1055" s="54"/>
      <c r="M1055" s="54"/>
      <c r="N1055" s="54"/>
      <c r="O1055" s="54"/>
      <c r="P1055" s="54"/>
      <c r="Q1055" s="54"/>
      <c r="R1055" s="54"/>
      <c r="S1055" s="54"/>
      <c r="T1055" s="54"/>
      <c r="U1055" s="39"/>
    </row>
    <row r="1056" spans="1:21">
      <c r="A1056" s="54" t="str">
        <f>_xlfn.TEXTJOIN("",TRUE,Input!$B$2,ROW(My_Audit!A1055))</f>
        <v>XX1055</v>
      </c>
      <c r="B1056" s="54"/>
      <c r="C1056" s="54"/>
      <c r="D1056" s="55" t="str">
        <f>_xlfn.XLOOKUP(A1056,My_Audit!A:A,My_Audit!D:D,"")&amp;""</f>
        <v/>
      </c>
      <c r="E1056" s="54"/>
      <c r="F1056" s="54"/>
      <c r="G1056" s="54"/>
      <c r="H1056" s="54"/>
      <c r="I1056" s="54"/>
      <c r="J1056" s="54"/>
      <c r="K1056" s="54"/>
      <c r="L1056" s="54"/>
      <c r="M1056" s="54"/>
      <c r="N1056" s="54"/>
      <c r="O1056" s="54"/>
      <c r="P1056" s="54"/>
      <c r="Q1056" s="54"/>
      <c r="R1056" s="54"/>
      <c r="S1056" s="54"/>
      <c r="T1056" s="54"/>
      <c r="U1056" s="39"/>
    </row>
    <row r="1057" spans="1:21">
      <c r="A1057" s="54" t="str">
        <f>_xlfn.TEXTJOIN("",TRUE,Input!$B$2,ROW(My_Audit!A1056))</f>
        <v>XX1056</v>
      </c>
      <c r="B1057" s="54"/>
      <c r="C1057" s="54"/>
      <c r="D1057" s="55" t="str">
        <f>_xlfn.XLOOKUP(A1057,My_Audit!A:A,My_Audit!D:D,"")&amp;""</f>
        <v/>
      </c>
      <c r="E1057" s="54"/>
      <c r="F1057" s="54"/>
      <c r="G1057" s="54"/>
      <c r="H1057" s="54"/>
      <c r="I1057" s="54"/>
      <c r="J1057" s="54"/>
      <c r="K1057" s="54"/>
      <c r="L1057" s="54"/>
      <c r="M1057" s="54"/>
      <c r="N1057" s="54"/>
      <c r="O1057" s="54"/>
      <c r="P1057" s="54"/>
      <c r="Q1057" s="54"/>
      <c r="R1057" s="54"/>
      <c r="S1057" s="54"/>
      <c r="T1057" s="54"/>
      <c r="U1057" s="39"/>
    </row>
    <row r="1058" spans="1:21">
      <c r="A1058" s="54" t="str">
        <f>_xlfn.TEXTJOIN("",TRUE,Input!$B$2,ROW(My_Audit!A1057))</f>
        <v>XX1057</v>
      </c>
      <c r="B1058" s="54"/>
      <c r="C1058" s="54"/>
      <c r="D1058" s="55" t="str">
        <f>_xlfn.XLOOKUP(A1058,My_Audit!A:A,My_Audit!D:D,"")&amp;""</f>
        <v/>
      </c>
      <c r="E1058" s="54"/>
      <c r="F1058" s="54"/>
      <c r="G1058" s="54"/>
      <c r="H1058" s="54"/>
      <c r="I1058" s="54"/>
      <c r="J1058" s="54"/>
      <c r="K1058" s="54"/>
      <c r="L1058" s="54"/>
      <c r="M1058" s="54"/>
      <c r="N1058" s="54"/>
      <c r="O1058" s="54"/>
      <c r="P1058" s="54"/>
      <c r="Q1058" s="54"/>
      <c r="R1058" s="54"/>
      <c r="S1058" s="54"/>
      <c r="T1058" s="54"/>
      <c r="U1058" s="39"/>
    </row>
    <row r="1059" spans="1:21">
      <c r="A1059" s="54" t="str">
        <f>_xlfn.TEXTJOIN("",TRUE,Input!$B$2,ROW(My_Audit!A1058))</f>
        <v>XX1058</v>
      </c>
      <c r="B1059" s="54"/>
      <c r="C1059" s="54"/>
      <c r="D1059" s="55" t="str">
        <f>_xlfn.XLOOKUP(A1059,My_Audit!A:A,My_Audit!D:D,"")&amp;""</f>
        <v/>
      </c>
      <c r="E1059" s="54"/>
      <c r="F1059" s="54"/>
      <c r="G1059" s="54"/>
      <c r="H1059" s="54"/>
      <c r="I1059" s="54"/>
      <c r="J1059" s="54"/>
      <c r="K1059" s="54"/>
      <c r="L1059" s="54"/>
      <c r="M1059" s="54"/>
      <c r="N1059" s="54"/>
      <c r="O1059" s="54"/>
      <c r="P1059" s="54"/>
      <c r="Q1059" s="54"/>
      <c r="R1059" s="54"/>
      <c r="S1059" s="54"/>
      <c r="T1059" s="54"/>
      <c r="U1059" s="39"/>
    </row>
    <row r="1060" spans="1:21">
      <c r="A1060" s="54" t="str">
        <f>_xlfn.TEXTJOIN("",TRUE,Input!$B$2,ROW(My_Audit!A1059))</f>
        <v>XX1059</v>
      </c>
      <c r="B1060" s="54"/>
      <c r="C1060" s="54"/>
      <c r="D1060" s="55" t="str">
        <f>_xlfn.XLOOKUP(A1060,My_Audit!A:A,My_Audit!D:D,"")&amp;""</f>
        <v/>
      </c>
      <c r="E1060" s="54"/>
      <c r="F1060" s="54"/>
      <c r="G1060" s="54"/>
      <c r="H1060" s="54"/>
      <c r="I1060" s="54"/>
      <c r="J1060" s="54"/>
      <c r="K1060" s="54"/>
      <c r="L1060" s="54"/>
      <c r="M1060" s="54"/>
      <c r="N1060" s="54"/>
      <c r="O1060" s="54"/>
      <c r="P1060" s="54"/>
      <c r="Q1060" s="54"/>
      <c r="R1060" s="54"/>
      <c r="S1060" s="54"/>
      <c r="T1060" s="54"/>
      <c r="U1060" s="39"/>
    </row>
    <row r="1061" spans="1:21">
      <c r="A1061" s="54" t="str">
        <f>_xlfn.TEXTJOIN("",TRUE,Input!$B$2,ROW(My_Audit!A1060))</f>
        <v>XX1060</v>
      </c>
      <c r="B1061" s="54"/>
      <c r="C1061" s="54"/>
      <c r="D1061" s="55" t="str">
        <f>_xlfn.XLOOKUP(A1061,My_Audit!A:A,My_Audit!D:D,"")&amp;""</f>
        <v/>
      </c>
      <c r="E1061" s="54"/>
      <c r="F1061" s="54"/>
      <c r="G1061" s="54"/>
      <c r="H1061" s="54"/>
      <c r="I1061" s="54"/>
      <c r="J1061" s="54"/>
      <c r="K1061" s="54"/>
      <c r="L1061" s="54"/>
      <c r="M1061" s="54"/>
      <c r="N1061" s="54"/>
      <c r="O1061" s="54"/>
      <c r="P1061" s="54"/>
      <c r="Q1061" s="54"/>
      <c r="R1061" s="54"/>
      <c r="S1061" s="54"/>
      <c r="T1061" s="54"/>
      <c r="U1061" s="39"/>
    </row>
    <row r="1062" spans="1:21">
      <c r="A1062" s="54" t="str">
        <f>_xlfn.TEXTJOIN("",TRUE,Input!$B$2,ROW(My_Audit!A1061))</f>
        <v>XX1061</v>
      </c>
      <c r="B1062" s="54"/>
      <c r="C1062" s="54"/>
      <c r="D1062" s="55" t="str">
        <f>_xlfn.XLOOKUP(A1062,My_Audit!A:A,My_Audit!D:D,"")&amp;""</f>
        <v/>
      </c>
      <c r="E1062" s="54"/>
      <c r="F1062" s="54"/>
      <c r="G1062" s="54"/>
      <c r="H1062" s="54"/>
      <c r="I1062" s="54"/>
      <c r="J1062" s="54"/>
      <c r="K1062" s="54"/>
      <c r="L1062" s="54"/>
      <c r="M1062" s="54"/>
      <c r="N1062" s="54"/>
      <c r="O1062" s="54"/>
      <c r="P1062" s="54"/>
      <c r="Q1062" s="54"/>
      <c r="R1062" s="54"/>
      <c r="S1062" s="54"/>
      <c r="T1062" s="54"/>
      <c r="U1062" s="39"/>
    </row>
    <row r="1063" spans="1:21">
      <c r="A1063" s="54" t="str">
        <f>_xlfn.TEXTJOIN("",TRUE,Input!$B$2,ROW(My_Audit!A1062))</f>
        <v>XX1062</v>
      </c>
      <c r="B1063" s="54"/>
      <c r="C1063" s="54"/>
      <c r="D1063" s="55" t="str">
        <f>_xlfn.XLOOKUP(A1063,My_Audit!A:A,My_Audit!D:D,"")&amp;""</f>
        <v/>
      </c>
      <c r="E1063" s="54"/>
      <c r="F1063" s="54"/>
      <c r="G1063" s="54"/>
      <c r="H1063" s="54"/>
      <c r="I1063" s="54"/>
      <c r="J1063" s="54"/>
      <c r="K1063" s="54"/>
      <c r="L1063" s="54"/>
      <c r="M1063" s="54"/>
      <c r="N1063" s="54"/>
      <c r="O1063" s="54"/>
      <c r="P1063" s="54"/>
      <c r="Q1063" s="54"/>
      <c r="R1063" s="54"/>
      <c r="S1063" s="54"/>
      <c r="T1063" s="54"/>
      <c r="U1063" s="39"/>
    </row>
    <row r="1064" spans="1:21">
      <c r="A1064" s="54" t="str">
        <f>_xlfn.TEXTJOIN("",TRUE,Input!$B$2,ROW(My_Audit!A1063))</f>
        <v>XX1063</v>
      </c>
      <c r="B1064" s="54"/>
      <c r="C1064" s="54"/>
      <c r="D1064" s="55" t="str">
        <f>_xlfn.XLOOKUP(A1064,My_Audit!A:A,My_Audit!D:D,"")&amp;""</f>
        <v/>
      </c>
      <c r="E1064" s="54"/>
      <c r="F1064" s="54"/>
      <c r="G1064" s="54"/>
      <c r="H1064" s="54"/>
      <c r="I1064" s="54"/>
      <c r="J1064" s="54"/>
      <c r="K1064" s="54"/>
      <c r="L1064" s="54"/>
      <c r="M1064" s="54"/>
      <c r="N1064" s="54"/>
      <c r="O1064" s="54"/>
      <c r="P1064" s="54"/>
      <c r="Q1064" s="54"/>
      <c r="R1064" s="54"/>
      <c r="S1064" s="54"/>
      <c r="T1064" s="54"/>
      <c r="U1064" s="39"/>
    </row>
    <row r="1065" spans="1:21">
      <c r="A1065" s="54" t="str">
        <f>_xlfn.TEXTJOIN("",TRUE,Input!$B$2,ROW(My_Audit!A1064))</f>
        <v>XX1064</v>
      </c>
      <c r="B1065" s="54"/>
      <c r="C1065" s="54"/>
      <c r="D1065" s="55" t="str">
        <f>_xlfn.XLOOKUP(A1065,My_Audit!A:A,My_Audit!D:D,"")&amp;""</f>
        <v/>
      </c>
      <c r="E1065" s="54"/>
      <c r="F1065" s="54"/>
      <c r="G1065" s="54"/>
      <c r="H1065" s="54"/>
      <c r="I1065" s="54"/>
      <c r="J1065" s="54"/>
      <c r="K1065" s="54"/>
      <c r="L1065" s="54"/>
      <c r="M1065" s="54"/>
      <c r="N1065" s="54"/>
      <c r="O1065" s="54"/>
      <c r="P1065" s="54"/>
      <c r="Q1065" s="54"/>
      <c r="R1065" s="54"/>
      <c r="S1065" s="54"/>
      <c r="T1065" s="54"/>
      <c r="U1065" s="39"/>
    </row>
    <row r="1066" spans="1:21">
      <c r="A1066" s="54" t="str">
        <f>_xlfn.TEXTJOIN("",TRUE,Input!$B$2,ROW(My_Audit!A1065))</f>
        <v>XX1065</v>
      </c>
      <c r="B1066" s="54"/>
      <c r="C1066" s="54"/>
      <c r="D1066" s="55" t="str">
        <f>_xlfn.XLOOKUP(A1066,My_Audit!A:A,My_Audit!D:D,"")&amp;""</f>
        <v/>
      </c>
      <c r="E1066" s="54"/>
      <c r="F1066" s="54"/>
      <c r="G1066" s="54"/>
      <c r="H1066" s="54"/>
      <c r="I1066" s="54"/>
      <c r="J1066" s="54"/>
      <c r="K1066" s="54"/>
      <c r="L1066" s="54"/>
      <c r="M1066" s="54"/>
      <c r="N1066" s="54"/>
      <c r="O1066" s="54"/>
      <c r="P1066" s="54"/>
      <c r="Q1066" s="54"/>
      <c r="R1066" s="54"/>
      <c r="S1066" s="54"/>
      <c r="T1066" s="54"/>
      <c r="U1066" s="39"/>
    </row>
    <row r="1067" spans="1:21">
      <c r="A1067" s="54" t="str">
        <f>_xlfn.TEXTJOIN("",TRUE,Input!$B$2,ROW(My_Audit!A1066))</f>
        <v>XX1066</v>
      </c>
      <c r="B1067" s="54"/>
      <c r="C1067" s="54"/>
      <c r="D1067" s="55" t="str">
        <f>_xlfn.XLOOKUP(A1067,My_Audit!A:A,My_Audit!D:D,"")&amp;""</f>
        <v/>
      </c>
      <c r="E1067" s="54"/>
      <c r="F1067" s="54"/>
      <c r="G1067" s="54"/>
      <c r="H1067" s="54"/>
      <c r="I1067" s="54"/>
      <c r="J1067" s="54"/>
      <c r="K1067" s="54"/>
      <c r="L1067" s="54"/>
      <c r="M1067" s="54"/>
      <c r="N1067" s="54"/>
      <c r="O1067" s="54"/>
      <c r="P1067" s="54"/>
      <c r="Q1067" s="54"/>
      <c r="R1067" s="54"/>
      <c r="S1067" s="54"/>
      <c r="T1067" s="54"/>
      <c r="U1067" s="39"/>
    </row>
    <row r="1068" spans="1:21">
      <c r="A1068" s="54" t="str">
        <f>_xlfn.TEXTJOIN("",TRUE,Input!$B$2,ROW(My_Audit!A1067))</f>
        <v>XX1067</v>
      </c>
      <c r="B1068" s="54"/>
      <c r="C1068" s="54"/>
      <c r="D1068" s="55" t="str">
        <f>_xlfn.XLOOKUP(A1068,My_Audit!A:A,My_Audit!D:D,"")&amp;""</f>
        <v/>
      </c>
      <c r="E1068" s="54"/>
      <c r="F1068" s="54"/>
      <c r="G1068" s="54"/>
      <c r="H1068" s="54"/>
      <c r="I1068" s="54"/>
      <c r="J1068" s="54"/>
      <c r="K1068" s="54"/>
      <c r="L1068" s="54"/>
      <c r="M1068" s="54"/>
      <c r="N1068" s="54"/>
      <c r="O1068" s="54"/>
      <c r="P1068" s="54"/>
      <c r="Q1068" s="54"/>
      <c r="R1068" s="54"/>
      <c r="S1068" s="54"/>
      <c r="T1068" s="54"/>
      <c r="U1068" s="39"/>
    </row>
    <row r="1069" spans="1:21">
      <c r="A1069" s="54" t="str">
        <f>_xlfn.TEXTJOIN("",TRUE,Input!$B$2,ROW(My_Audit!A1068))</f>
        <v>XX1068</v>
      </c>
      <c r="B1069" s="54"/>
      <c r="C1069" s="54"/>
      <c r="D1069" s="55" t="str">
        <f>_xlfn.XLOOKUP(A1069,My_Audit!A:A,My_Audit!D:D,"")&amp;""</f>
        <v/>
      </c>
      <c r="E1069" s="54"/>
      <c r="F1069" s="54"/>
      <c r="G1069" s="54"/>
      <c r="H1069" s="54"/>
      <c r="I1069" s="54"/>
      <c r="J1069" s="54"/>
      <c r="K1069" s="54"/>
      <c r="L1069" s="54"/>
      <c r="M1069" s="54"/>
      <c r="N1069" s="54"/>
      <c r="O1069" s="54"/>
      <c r="P1069" s="54"/>
      <c r="Q1069" s="54"/>
      <c r="R1069" s="54"/>
      <c r="S1069" s="54"/>
      <c r="T1069" s="54"/>
      <c r="U1069" s="39"/>
    </row>
    <row r="1070" spans="1:21">
      <c r="A1070" s="54" t="str">
        <f>_xlfn.TEXTJOIN("",TRUE,Input!$B$2,ROW(My_Audit!A1069))</f>
        <v>XX1069</v>
      </c>
      <c r="B1070" s="54"/>
      <c r="C1070" s="54"/>
      <c r="D1070" s="55" t="str">
        <f>_xlfn.XLOOKUP(A1070,My_Audit!A:A,My_Audit!D:D,"")&amp;""</f>
        <v/>
      </c>
      <c r="E1070" s="54"/>
      <c r="F1070" s="54"/>
      <c r="G1070" s="54"/>
      <c r="H1070" s="54"/>
      <c r="I1070" s="54"/>
      <c r="J1070" s="54"/>
      <c r="K1070" s="54"/>
      <c r="L1070" s="54"/>
      <c r="M1070" s="54"/>
      <c r="N1070" s="54"/>
      <c r="O1070" s="54"/>
      <c r="P1070" s="54"/>
      <c r="Q1070" s="54"/>
      <c r="R1070" s="54"/>
      <c r="S1070" s="54"/>
      <c r="T1070" s="54"/>
      <c r="U1070" s="39"/>
    </row>
    <row r="1071" spans="1:21">
      <c r="A1071" s="54" t="str">
        <f>_xlfn.TEXTJOIN("",TRUE,Input!$B$2,ROW(My_Audit!A1070))</f>
        <v>XX1070</v>
      </c>
      <c r="B1071" s="54"/>
      <c r="C1071" s="54"/>
      <c r="D1071" s="55" t="str">
        <f>_xlfn.XLOOKUP(A1071,My_Audit!A:A,My_Audit!D:D,"")&amp;""</f>
        <v/>
      </c>
      <c r="E1071" s="54"/>
      <c r="F1071" s="54"/>
      <c r="G1071" s="54"/>
      <c r="H1071" s="54"/>
      <c r="I1071" s="54"/>
      <c r="J1071" s="54"/>
      <c r="K1071" s="54"/>
      <c r="L1071" s="54"/>
      <c r="M1071" s="54"/>
      <c r="N1071" s="54"/>
      <c r="O1071" s="54"/>
      <c r="P1071" s="54"/>
      <c r="Q1071" s="54"/>
      <c r="R1071" s="54"/>
      <c r="S1071" s="54"/>
      <c r="T1071" s="54"/>
      <c r="U1071" s="39"/>
    </row>
    <row r="1072" spans="1:21">
      <c r="A1072" s="54" t="str">
        <f>_xlfn.TEXTJOIN("",TRUE,Input!$B$2,ROW(My_Audit!A1071))</f>
        <v>XX1071</v>
      </c>
      <c r="B1072" s="54"/>
      <c r="C1072" s="54"/>
      <c r="D1072" s="55" t="str">
        <f>_xlfn.XLOOKUP(A1072,My_Audit!A:A,My_Audit!D:D,"")&amp;""</f>
        <v/>
      </c>
      <c r="E1072" s="54"/>
      <c r="F1072" s="54"/>
      <c r="G1072" s="54"/>
      <c r="H1072" s="54"/>
      <c r="I1072" s="54"/>
      <c r="J1072" s="54"/>
      <c r="K1072" s="54"/>
      <c r="L1072" s="54"/>
      <c r="M1072" s="54"/>
      <c r="N1072" s="54"/>
      <c r="O1072" s="54"/>
      <c r="P1072" s="54"/>
      <c r="Q1072" s="54"/>
      <c r="R1072" s="54"/>
      <c r="S1072" s="54"/>
      <c r="T1072" s="54"/>
      <c r="U1072" s="39"/>
    </row>
    <row r="1073" spans="1:21">
      <c r="A1073" s="54" t="str">
        <f>_xlfn.TEXTJOIN("",TRUE,Input!$B$2,ROW(My_Audit!A1072))</f>
        <v>XX1072</v>
      </c>
      <c r="B1073" s="54"/>
      <c r="C1073" s="54"/>
      <c r="D1073" s="55" t="str">
        <f>_xlfn.XLOOKUP(A1073,My_Audit!A:A,My_Audit!D:D,"")&amp;""</f>
        <v/>
      </c>
      <c r="E1073" s="54"/>
      <c r="F1073" s="54"/>
      <c r="G1073" s="54"/>
      <c r="H1073" s="54"/>
      <c r="I1073" s="54"/>
      <c r="J1073" s="54"/>
      <c r="K1073" s="54"/>
      <c r="L1073" s="54"/>
      <c r="M1073" s="54"/>
      <c r="N1073" s="54"/>
      <c r="O1073" s="54"/>
      <c r="P1073" s="54"/>
      <c r="Q1073" s="54"/>
      <c r="R1073" s="54"/>
      <c r="S1073" s="54"/>
      <c r="T1073" s="54"/>
      <c r="U1073" s="39"/>
    </row>
    <row r="1074" spans="1:21">
      <c r="A1074" s="54" t="str">
        <f>_xlfn.TEXTJOIN("",TRUE,Input!$B$2,ROW(My_Audit!A1073))</f>
        <v>XX1073</v>
      </c>
      <c r="B1074" s="54"/>
      <c r="C1074" s="54"/>
      <c r="D1074" s="55" t="str">
        <f>_xlfn.XLOOKUP(A1074,My_Audit!A:A,My_Audit!D:D,"")&amp;""</f>
        <v/>
      </c>
      <c r="E1074" s="54"/>
      <c r="F1074" s="54"/>
      <c r="G1074" s="54"/>
      <c r="H1074" s="54"/>
      <c r="I1074" s="54"/>
      <c r="J1074" s="54"/>
      <c r="K1074" s="54"/>
      <c r="L1074" s="54"/>
      <c r="M1074" s="54"/>
      <c r="N1074" s="54"/>
      <c r="O1074" s="54"/>
      <c r="P1074" s="54"/>
      <c r="Q1074" s="54"/>
      <c r="R1074" s="54"/>
      <c r="S1074" s="54"/>
      <c r="T1074" s="54"/>
      <c r="U1074" s="39"/>
    </row>
    <row r="1075" spans="1:21">
      <c r="A1075" s="54" t="str">
        <f>_xlfn.TEXTJOIN("",TRUE,Input!$B$2,ROW(My_Audit!A1074))</f>
        <v>XX1074</v>
      </c>
      <c r="B1075" s="54"/>
      <c r="C1075" s="54"/>
      <c r="D1075" s="55" t="str">
        <f>_xlfn.XLOOKUP(A1075,My_Audit!A:A,My_Audit!D:D,"")&amp;""</f>
        <v/>
      </c>
      <c r="E1075" s="54"/>
      <c r="F1075" s="54"/>
      <c r="G1075" s="54"/>
      <c r="H1075" s="54"/>
      <c r="I1075" s="54"/>
      <c r="J1075" s="54"/>
      <c r="K1075" s="54"/>
      <c r="L1075" s="54"/>
      <c r="M1075" s="54"/>
      <c r="N1075" s="54"/>
      <c r="O1075" s="54"/>
      <c r="P1075" s="54"/>
      <c r="Q1075" s="54"/>
      <c r="R1075" s="54"/>
      <c r="S1075" s="54"/>
      <c r="T1075" s="54"/>
      <c r="U1075" s="39"/>
    </row>
    <row r="1076" spans="1:21">
      <c r="A1076" s="54" t="str">
        <f>_xlfn.TEXTJOIN("",TRUE,Input!$B$2,ROW(My_Audit!A1075))</f>
        <v>XX1075</v>
      </c>
      <c r="B1076" s="54"/>
      <c r="C1076" s="54"/>
      <c r="D1076" s="55" t="str">
        <f>_xlfn.XLOOKUP(A1076,My_Audit!A:A,My_Audit!D:D,"")&amp;""</f>
        <v/>
      </c>
      <c r="E1076" s="54"/>
      <c r="F1076" s="54"/>
      <c r="G1076" s="54"/>
      <c r="H1076" s="54"/>
      <c r="I1076" s="54"/>
      <c r="J1076" s="54"/>
      <c r="K1076" s="54"/>
      <c r="L1076" s="54"/>
      <c r="M1076" s="54"/>
      <c r="N1076" s="54"/>
      <c r="O1076" s="54"/>
      <c r="P1076" s="54"/>
      <c r="Q1076" s="54"/>
      <c r="R1076" s="54"/>
      <c r="S1076" s="54"/>
      <c r="T1076" s="54"/>
      <c r="U1076" s="39"/>
    </row>
    <row r="1077" spans="1:21">
      <c r="A1077" s="54" t="str">
        <f>_xlfn.TEXTJOIN("",TRUE,Input!$B$2,ROW(My_Audit!A1076))</f>
        <v>XX1076</v>
      </c>
      <c r="B1077" s="54"/>
      <c r="C1077" s="54"/>
      <c r="D1077" s="55" t="str">
        <f>_xlfn.XLOOKUP(A1077,My_Audit!A:A,My_Audit!D:D,"")&amp;""</f>
        <v/>
      </c>
      <c r="E1077" s="54"/>
      <c r="F1077" s="54"/>
      <c r="G1077" s="54"/>
      <c r="H1077" s="54"/>
      <c r="I1077" s="54"/>
      <c r="J1077" s="54"/>
      <c r="K1077" s="54"/>
      <c r="L1077" s="54"/>
      <c r="M1077" s="54"/>
      <c r="N1077" s="54"/>
      <c r="O1077" s="54"/>
      <c r="P1077" s="54"/>
      <c r="Q1077" s="54"/>
      <c r="R1077" s="54"/>
      <c r="S1077" s="54"/>
      <c r="T1077" s="54"/>
      <c r="U1077" s="39"/>
    </row>
    <row r="1078" spans="1:21">
      <c r="A1078" s="54" t="str">
        <f>_xlfn.TEXTJOIN("",TRUE,Input!$B$2,ROW(My_Audit!A1077))</f>
        <v>XX1077</v>
      </c>
      <c r="B1078" s="54"/>
      <c r="C1078" s="54"/>
      <c r="D1078" s="55" t="str">
        <f>_xlfn.XLOOKUP(A1078,My_Audit!A:A,My_Audit!D:D,"")&amp;""</f>
        <v/>
      </c>
      <c r="E1078" s="54"/>
      <c r="F1078" s="54"/>
      <c r="G1078" s="54"/>
      <c r="H1078" s="54"/>
      <c r="I1078" s="54"/>
      <c r="J1078" s="54"/>
      <c r="K1078" s="54"/>
      <c r="L1078" s="54"/>
      <c r="M1078" s="54"/>
      <c r="N1078" s="54"/>
      <c r="O1078" s="54"/>
      <c r="P1078" s="54"/>
      <c r="Q1078" s="54"/>
      <c r="R1078" s="54"/>
      <c r="S1078" s="54"/>
      <c r="T1078" s="54"/>
      <c r="U1078" s="39"/>
    </row>
    <row r="1079" spans="1:21">
      <c r="A1079" s="54" t="str">
        <f>_xlfn.TEXTJOIN("",TRUE,Input!$B$2,ROW(My_Audit!A1078))</f>
        <v>XX1078</v>
      </c>
      <c r="B1079" s="54"/>
      <c r="C1079" s="54"/>
      <c r="D1079" s="55" t="str">
        <f>_xlfn.XLOOKUP(A1079,My_Audit!A:A,My_Audit!D:D,"")&amp;""</f>
        <v/>
      </c>
      <c r="E1079" s="54"/>
      <c r="F1079" s="54"/>
      <c r="G1079" s="54"/>
      <c r="H1079" s="54"/>
      <c r="I1079" s="54"/>
      <c r="J1079" s="54"/>
      <c r="K1079" s="54"/>
      <c r="L1079" s="54"/>
      <c r="M1079" s="54"/>
      <c r="N1079" s="54"/>
      <c r="O1079" s="54"/>
      <c r="P1079" s="54"/>
      <c r="Q1079" s="54"/>
      <c r="R1079" s="54"/>
      <c r="S1079" s="54"/>
      <c r="T1079" s="54"/>
      <c r="U1079" s="39"/>
    </row>
    <row r="1080" spans="1:21">
      <c r="A1080" s="54" t="str">
        <f>_xlfn.TEXTJOIN("",TRUE,Input!$B$2,ROW(My_Audit!A1079))</f>
        <v>XX1079</v>
      </c>
      <c r="B1080" s="54"/>
      <c r="C1080" s="54"/>
      <c r="D1080" s="55" t="str">
        <f>_xlfn.XLOOKUP(A1080,My_Audit!A:A,My_Audit!D:D,"")&amp;""</f>
        <v/>
      </c>
      <c r="E1080" s="54"/>
      <c r="F1080" s="54"/>
      <c r="G1080" s="54"/>
      <c r="H1080" s="54"/>
      <c r="I1080" s="54"/>
      <c r="J1080" s="54"/>
      <c r="K1080" s="54"/>
      <c r="L1080" s="54"/>
      <c r="M1080" s="54"/>
      <c r="N1080" s="54"/>
      <c r="O1080" s="54"/>
      <c r="P1080" s="54"/>
      <c r="Q1080" s="54"/>
      <c r="R1080" s="54"/>
      <c r="S1080" s="54"/>
      <c r="T1080" s="54"/>
      <c r="U1080" s="39"/>
    </row>
    <row r="1081" spans="1:21">
      <c r="A1081" s="54" t="str">
        <f>_xlfn.TEXTJOIN("",TRUE,Input!$B$2,ROW(My_Audit!A1080))</f>
        <v>XX1080</v>
      </c>
      <c r="B1081" s="54"/>
      <c r="C1081" s="54"/>
      <c r="D1081" s="55" t="str">
        <f>_xlfn.XLOOKUP(A1081,My_Audit!A:A,My_Audit!D:D,"")&amp;""</f>
        <v/>
      </c>
      <c r="E1081" s="54"/>
      <c r="F1081" s="54"/>
      <c r="G1081" s="54"/>
      <c r="H1081" s="54"/>
      <c r="I1081" s="54"/>
      <c r="J1081" s="54"/>
      <c r="K1081" s="54"/>
      <c r="L1081" s="54"/>
      <c r="M1081" s="54"/>
      <c r="N1081" s="54"/>
      <c r="O1081" s="54"/>
      <c r="P1081" s="54"/>
      <c r="Q1081" s="54"/>
      <c r="R1081" s="54"/>
      <c r="S1081" s="54"/>
      <c r="T1081" s="54"/>
      <c r="U1081" s="39"/>
    </row>
    <row r="1082" spans="1:21">
      <c r="A1082" s="54" t="str">
        <f>_xlfn.TEXTJOIN("",TRUE,Input!$B$2,ROW(My_Audit!A1081))</f>
        <v>XX1081</v>
      </c>
      <c r="B1082" s="54"/>
      <c r="C1082" s="54"/>
      <c r="D1082" s="55" t="str">
        <f>_xlfn.XLOOKUP(A1082,My_Audit!A:A,My_Audit!D:D,"")&amp;""</f>
        <v/>
      </c>
      <c r="E1082" s="54"/>
      <c r="F1082" s="54"/>
      <c r="G1082" s="54"/>
      <c r="H1082" s="54"/>
      <c r="I1082" s="54"/>
      <c r="J1082" s="54"/>
      <c r="K1082" s="54"/>
      <c r="L1082" s="54"/>
      <c r="M1082" s="54"/>
      <c r="N1082" s="54"/>
      <c r="O1082" s="54"/>
      <c r="P1082" s="54"/>
      <c r="Q1082" s="54"/>
      <c r="R1082" s="54"/>
      <c r="S1082" s="54"/>
      <c r="T1082" s="54"/>
      <c r="U1082" s="39"/>
    </row>
    <row r="1083" spans="1:21">
      <c r="A1083" s="54" t="str">
        <f>_xlfn.TEXTJOIN("",TRUE,Input!$B$2,ROW(My_Audit!A1082))</f>
        <v>XX1082</v>
      </c>
      <c r="B1083" s="54"/>
      <c r="C1083" s="54"/>
      <c r="D1083" s="55" t="str">
        <f>_xlfn.XLOOKUP(A1083,My_Audit!A:A,My_Audit!D:D,"")&amp;""</f>
        <v/>
      </c>
      <c r="E1083" s="54"/>
      <c r="F1083" s="54"/>
      <c r="G1083" s="54"/>
      <c r="H1083" s="54"/>
      <c r="I1083" s="54"/>
      <c r="J1083" s="54"/>
      <c r="K1083" s="54"/>
      <c r="L1083" s="54"/>
      <c r="M1083" s="54"/>
      <c r="N1083" s="54"/>
      <c r="O1083" s="54"/>
      <c r="P1083" s="54"/>
      <c r="Q1083" s="54"/>
      <c r="R1083" s="54"/>
      <c r="S1083" s="54"/>
      <c r="T1083" s="54"/>
      <c r="U1083" s="39"/>
    </row>
    <row r="1084" spans="1:21">
      <c r="A1084" s="54" t="str">
        <f>_xlfn.TEXTJOIN("",TRUE,Input!$B$2,ROW(My_Audit!A1083))</f>
        <v>XX1083</v>
      </c>
      <c r="B1084" s="54"/>
      <c r="C1084" s="54"/>
      <c r="D1084" s="55" t="str">
        <f>_xlfn.XLOOKUP(A1084,My_Audit!A:A,My_Audit!D:D,"")&amp;""</f>
        <v/>
      </c>
      <c r="E1084" s="54"/>
      <c r="F1084" s="54"/>
      <c r="G1084" s="54"/>
      <c r="H1084" s="54"/>
      <c r="I1084" s="54"/>
      <c r="J1084" s="54"/>
      <c r="K1084" s="54"/>
      <c r="L1084" s="54"/>
      <c r="M1084" s="54"/>
      <c r="N1084" s="54"/>
      <c r="O1084" s="54"/>
      <c r="P1084" s="54"/>
      <c r="Q1084" s="54"/>
      <c r="R1084" s="54"/>
      <c r="S1084" s="54"/>
      <c r="T1084" s="54"/>
      <c r="U1084" s="39"/>
    </row>
    <row r="1085" spans="1:21">
      <c r="A1085" s="54" t="str">
        <f>_xlfn.TEXTJOIN("",TRUE,Input!$B$2,ROW(My_Audit!A1084))</f>
        <v>XX1084</v>
      </c>
      <c r="B1085" s="54"/>
      <c r="C1085" s="54"/>
      <c r="D1085" s="55" t="str">
        <f>_xlfn.XLOOKUP(A1085,My_Audit!A:A,My_Audit!D:D,"")&amp;""</f>
        <v/>
      </c>
      <c r="E1085" s="54"/>
      <c r="F1085" s="54"/>
      <c r="G1085" s="54"/>
      <c r="H1085" s="54"/>
      <c r="I1085" s="54"/>
      <c r="J1085" s="54"/>
      <c r="K1085" s="54"/>
      <c r="L1085" s="54"/>
      <c r="M1085" s="54"/>
      <c r="N1085" s="54"/>
      <c r="O1085" s="54"/>
      <c r="P1085" s="54"/>
      <c r="Q1085" s="54"/>
      <c r="R1085" s="54"/>
      <c r="S1085" s="54"/>
      <c r="T1085" s="54"/>
      <c r="U1085" s="39"/>
    </row>
    <row r="1086" spans="1:21">
      <c r="A1086" s="54" t="str">
        <f>_xlfn.TEXTJOIN("",TRUE,Input!$B$2,ROW(My_Audit!A1085))</f>
        <v>XX1085</v>
      </c>
      <c r="B1086" s="54"/>
      <c r="C1086" s="54"/>
      <c r="D1086" s="55" t="str">
        <f>_xlfn.XLOOKUP(A1086,My_Audit!A:A,My_Audit!D:D,"")&amp;""</f>
        <v/>
      </c>
      <c r="E1086" s="54"/>
      <c r="F1086" s="54"/>
      <c r="G1086" s="54"/>
      <c r="H1086" s="54"/>
      <c r="I1086" s="54"/>
      <c r="J1086" s="54"/>
      <c r="K1086" s="54"/>
      <c r="L1086" s="54"/>
      <c r="M1086" s="54"/>
      <c r="N1086" s="54"/>
      <c r="O1086" s="54"/>
      <c r="P1086" s="54"/>
      <c r="Q1086" s="54"/>
      <c r="R1086" s="54"/>
      <c r="S1086" s="54"/>
      <c r="T1086" s="54"/>
      <c r="U1086" s="39"/>
    </row>
    <row r="1087" spans="1:21">
      <c r="A1087" s="54" t="str">
        <f>_xlfn.TEXTJOIN("",TRUE,Input!$B$2,ROW(My_Audit!A1086))</f>
        <v>XX1086</v>
      </c>
      <c r="B1087" s="54"/>
      <c r="C1087" s="54"/>
      <c r="D1087" s="55" t="str">
        <f>_xlfn.XLOOKUP(A1087,My_Audit!A:A,My_Audit!D:D,"")&amp;""</f>
        <v/>
      </c>
      <c r="E1087" s="54"/>
      <c r="F1087" s="54"/>
      <c r="G1087" s="54"/>
      <c r="H1087" s="54"/>
      <c r="I1087" s="54"/>
      <c r="J1087" s="54"/>
      <c r="K1087" s="54"/>
      <c r="L1087" s="54"/>
      <c r="M1087" s="54"/>
      <c r="N1087" s="54"/>
      <c r="O1087" s="54"/>
      <c r="P1087" s="54"/>
      <c r="Q1087" s="54"/>
      <c r="R1087" s="54"/>
      <c r="S1087" s="54"/>
      <c r="T1087" s="54"/>
      <c r="U1087" s="39"/>
    </row>
    <row r="1088" spans="1:21">
      <c r="A1088" s="54" t="str">
        <f>_xlfn.TEXTJOIN("",TRUE,Input!$B$2,ROW(My_Audit!A1087))</f>
        <v>XX1087</v>
      </c>
      <c r="B1088" s="54"/>
      <c r="C1088" s="54"/>
      <c r="D1088" s="55" t="str">
        <f>_xlfn.XLOOKUP(A1088,My_Audit!A:A,My_Audit!D:D,"")&amp;""</f>
        <v/>
      </c>
      <c r="E1088" s="54"/>
      <c r="F1088" s="54"/>
      <c r="G1088" s="54"/>
      <c r="H1088" s="54"/>
      <c r="I1088" s="54"/>
      <c r="J1088" s="54"/>
      <c r="K1088" s="54"/>
      <c r="L1088" s="54"/>
      <c r="M1088" s="54"/>
      <c r="N1088" s="54"/>
      <c r="O1088" s="54"/>
      <c r="P1088" s="54"/>
      <c r="Q1088" s="54"/>
      <c r="R1088" s="54"/>
      <c r="S1088" s="54"/>
      <c r="T1088" s="54"/>
      <c r="U1088" s="39"/>
    </row>
    <row r="1089" spans="1:21">
      <c r="A1089" s="54" t="str">
        <f>_xlfn.TEXTJOIN("",TRUE,Input!$B$2,ROW(My_Audit!A1088))</f>
        <v>XX1088</v>
      </c>
      <c r="B1089" s="54"/>
      <c r="C1089" s="54"/>
      <c r="D1089" s="55" t="str">
        <f>_xlfn.XLOOKUP(A1089,My_Audit!A:A,My_Audit!D:D,"")&amp;""</f>
        <v/>
      </c>
      <c r="E1089" s="54"/>
      <c r="F1089" s="54"/>
      <c r="G1089" s="54"/>
      <c r="H1089" s="54"/>
      <c r="I1089" s="54"/>
      <c r="J1089" s="54"/>
      <c r="K1089" s="54"/>
      <c r="L1089" s="54"/>
      <c r="M1089" s="54"/>
      <c r="N1089" s="54"/>
      <c r="O1089" s="54"/>
      <c r="P1089" s="54"/>
      <c r="Q1089" s="54"/>
      <c r="R1089" s="54"/>
      <c r="S1089" s="54"/>
      <c r="T1089" s="54"/>
      <c r="U1089" s="39"/>
    </row>
    <row r="1090" spans="1:21">
      <c r="A1090" s="54" t="str">
        <f>_xlfn.TEXTJOIN("",TRUE,Input!$B$2,ROW(My_Audit!A1089))</f>
        <v>XX1089</v>
      </c>
      <c r="B1090" s="54"/>
      <c r="C1090" s="54"/>
      <c r="D1090" s="55" t="str">
        <f>_xlfn.XLOOKUP(A1090,My_Audit!A:A,My_Audit!D:D,"")&amp;""</f>
        <v/>
      </c>
      <c r="E1090" s="54"/>
      <c r="F1090" s="54"/>
      <c r="G1090" s="54"/>
      <c r="H1090" s="54"/>
      <c r="I1090" s="54"/>
      <c r="J1090" s="54"/>
      <c r="K1090" s="54"/>
      <c r="L1090" s="54"/>
      <c r="M1090" s="54"/>
      <c r="N1090" s="54"/>
      <c r="O1090" s="54"/>
      <c r="P1090" s="54"/>
      <c r="Q1090" s="54"/>
      <c r="R1090" s="54"/>
      <c r="S1090" s="54"/>
      <c r="T1090" s="54"/>
      <c r="U1090" s="39"/>
    </row>
    <row r="1091" spans="1:21">
      <c r="A1091" s="54" t="str">
        <f>_xlfn.TEXTJOIN("",TRUE,Input!$B$2,ROW(My_Audit!A1090))</f>
        <v>XX1090</v>
      </c>
      <c r="B1091" s="54"/>
      <c r="C1091" s="54"/>
      <c r="D1091" s="55" t="str">
        <f>_xlfn.XLOOKUP(A1091,My_Audit!A:A,My_Audit!D:D,"")&amp;""</f>
        <v/>
      </c>
      <c r="E1091" s="54"/>
      <c r="F1091" s="54"/>
      <c r="G1091" s="54"/>
      <c r="H1091" s="54"/>
      <c r="I1091" s="54"/>
      <c r="J1091" s="54"/>
      <c r="K1091" s="54"/>
      <c r="L1091" s="54"/>
      <c r="M1091" s="54"/>
      <c r="N1091" s="54"/>
      <c r="O1091" s="54"/>
      <c r="P1091" s="54"/>
      <c r="Q1091" s="54"/>
      <c r="R1091" s="54"/>
      <c r="S1091" s="54"/>
      <c r="T1091" s="54"/>
      <c r="U1091" s="39"/>
    </row>
    <row r="1092" spans="1:21">
      <c r="A1092" s="54" t="str">
        <f>_xlfn.TEXTJOIN("",TRUE,Input!$B$2,ROW(My_Audit!A1091))</f>
        <v>XX1091</v>
      </c>
      <c r="B1092" s="54"/>
      <c r="C1092" s="54"/>
      <c r="D1092" s="55" t="str">
        <f>_xlfn.XLOOKUP(A1092,My_Audit!A:A,My_Audit!D:D,"")&amp;""</f>
        <v/>
      </c>
      <c r="E1092" s="54"/>
      <c r="F1092" s="54"/>
      <c r="G1092" s="54"/>
      <c r="H1092" s="54"/>
      <c r="I1092" s="54"/>
      <c r="J1092" s="54"/>
      <c r="K1092" s="54"/>
      <c r="L1092" s="54"/>
      <c r="M1092" s="54"/>
      <c r="N1092" s="54"/>
      <c r="O1092" s="54"/>
      <c r="P1092" s="54"/>
      <c r="Q1092" s="54"/>
      <c r="R1092" s="54"/>
      <c r="S1092" s="54"/>
      <c r="T1092" s="54"/>
      <c r="U1092" s="39"/>
    </row>
    <row r="1093" spans="1:21">
      <c r="A1093" s="54" t="str">
        <f>_xlfn.TEXTJOIN("",TRUE,Input!$B$2,ROW(My_Audit!A1092))</f>
        <v>XX1092</v>
      </c>
      <c r="B1093" s="54"/>
      <c r="C1093" s="54"/>
      <c r="D1093" s="55" t="str">
        <f>_xlfn.XLOOKUP(A1093,My_Audit!A:A,My_Audit!D:D,"")&amp;""</f>
        <v/>
      </c>
      <c r="E1093" s="54"/>
      <c r="F1093" s="54"/>
      <c r="G1093" s="54"/>
      <c r="H1093" s="54"/>
      <c r="I1093" s="54"/>
      <c r="J1093" s="54"/>
      <c r="K1093" s="54"/>
      <c r="L1093" s="54"/>
      <c r="M1093" s="54"/>
      <c r="N1093" s="54"/>
      <c r="O1093" s="54"/>
      <c r="P1093" s="54"/>
      <c r="Q1093" s="54"/>
      <c r="R1093" s="54"/>
      <c r="S1093" s="54"/>
      <c r="T1093" s="54"/>
      <c r="U1093" s="39"/>
    </row>
    <row r="1094" spans="1:21">
      <c r="A1094" s="54" t="str">
        <f>_xlfn.TEXTJOIN("",TRUE,Input!$B$2,ROW(My_Audit!A1093))</f>
        <v>XX1093</v>
      </c>
      <c r="B1094" s="54"/>
      <c r="C1094" s="54"/>
      <c r="D1094" s="55" t="str">
        <f>_xlfn.XLOOKUP(A1094,My_Audit!A:A,My_Audit!D:D,"")&amp;""</f>
        <v/>
      </c>
      <c r="E1094" s="54"/>
      <c r="F1094" s="54"/>
      <c r="G1094" s="54"/>
      <c r="H1094" s="54"/>
      <c r="I1094" s="54"/>
      <c r="J1094" s="54"/>
      <c r="K1094" s="54"/>
      <c r="L1094" s="54"/>
      <c r="M1094" s="54"/>
      <c r="N1094" s="54"/>
      <c r="O1094" s="54"/>
      <c r="P1094" s="54"/>
      <c r="Q1094" s="54"/>
      <c r="R1094" s="54"/>
      <c r="S1094" s="54"/>
      <c r="T1094" s="54"/>
      <c r="U1094" s="39"/>
    </row>
    <row r="1095" spans="1:21">
      <c r="A1095" s="54" t="str">
        <f>_xlfn.TEXTJOIN("",TRUE,Input!$B$2,ROW(My_Audit!A1094))</f>
        <v>XX1094</v>
      </c>
      <c r="B1095" s="54"/>
      <c r="C1095" s="54"/>
      <c r="D1095" s="55" t="str">
        <f>_xlfn.XLOOKUP(A1095,My_Audit!A:A,My_Audit!D:D,"")&amp;""</f>
        <v/>
      </c>
      <c r="E1095" s="54"/>
      <c r="F1095" s="54"/>
      <c r="G1095" s="54"/>
      <c r="H1095" s="54"/>
      <c r="I1095" s="54"/>
      <c r="J1095" s="54"/>
      <c r="K1095" s="54"/>
      <c r="L1095" s="54"/>
      <c r="M1095" s="54"/>
      <c r="N1095" s="54"/>
      <c r="O1095" s="54"/>
      <c r="P1095" s="54"/>
      <c r="Q1095" s="54"/>
      <c r="R1095" s="54"/>
      <c r="S1095" s="54"/>
      <c r="T1095" s="54"/>
      <c r="U1095" s="39"/>
    </row>
    <row r="1096" spans="1:21">
      <c r="A1096" s="54" t="str">
        <f>_xlfn.TEXTJOIN("",TRUE,Input!$B$2,ROW(My_Audit!A1095))</f>
        <v>XX1095</v>
      </c>
      <c r="B1096" s="54"/>
      <c r="C1096" s="54"/>
      <c r="D1096" s="55" t="str">
        <f>_xlfn.XLOOKUP(A1096,My_Audit!A:A,My_Audit!D:D,"")&amp;""</f>
        <v/>
      </c>
      <c r="E1096" s="54"/>
      <c r="F1096" s="54"/>
      <c r="G1096" s="54"/>
      <c r="H1096" s="54"/>
      <c r="I1096" s="54"/>
      <c r="J1096" s="54"/>
      <c r="K1096" s="54"/>
      <c r="L1096" s="54"/>
      <c r="M1096" s="54"/>
      <c r="N1096" s="54"/>
      <c r="O1096" s="54"/>
      <c r="P1096" s="54"/>
      <c r="Q1096" s="54"/>
      <c r="R1096" s="54"/>
      <c r="S1096" s="54"/>
      <c r="T1096" s="54"/>
      <c r="U1096" s="39"/>
    </row>
    <row r="1097" spans="1:21">
      <c r="A1097" s="54" t="str">
        <f>_xlfn.TEXTJOIN("",TRUE,Input!$B$2,ROW(My_Audit!A1096))</f>
        <v>XX1096</v>
      </c>
      <c r="B1097" s="54"/>
      <c r="C1097" s="54"/>
      <c r="D1097" s="55" t="str">
        <f>_xlfn.XLOOKUP(A1097,My_Audit!A:A,My_Audit!D:D,"")&amp;""</f>
        <v/>
      </c>
      <c r="E1097" s="54"/>
      <c r="F1097" s="54"/>
      <c r="G1097" s="54"/>
      <c r="H1097" s="54"/>
      <c r="I1097" s="54"/>
      <c r="J1097" s="54"/>
      <c r="K1097" s="54"/>
      <c r="L1097" s="54"/>
      <c r="M1097" s="54"/>
      <c r="N1097" s="54"/>
      <c r="O1097" s="54"/>
      <c r="P1097" s="54"/>
      <c r="Q1097" s="54"/>
      <c r="R1097" s="54"/>
      <c r="S1097" s="54"/>
      <c r="T1097" s="54"/>
      <c r="U1097" s="39"/>
    </row>
    <row r="1098" spans="1:21">
      <c r="A1098" s="54" t="str">
        <f>_xlfn.TEXTJOIN("",TRUE,Input!$B$2,ROW(My_Audit!A1097))</f>
        <v>XX1097</v>
      </c>
      <c r="B1098" s="54"/>
      <c r="C1098" s="54"/>
      <c r="D1098" s="55" t="str">
        <f>_xlfn.XLOOKUP(A1098,My_Audit!A:A,My_Audit!D:D,"")&amp;""</f>
        <v/>
      </c>
      <c r="E1098" s="54"/>
      <c r="F1098" s="54"/>
      <c r="G1098" s="54"/>
      <c r="H1098" s="54"/>
      <c r="I1098" s="54"/>
      <c r="J1098" s="54"/>
      <c r="K1098" s="54"/>
      <c r="L1098" s="54"/>
      <c r="M1098" s="54"/>
      <c r="N1098" s="54"/>
      <c r="O1098" s="54"/>
      <c r="P1098" s="54"/>
      <c r="Q1098" s="54"/>
      <c r="R1098" s="54"/>
      <c r="S1098" s="54"/>
      <c r="T1098" s="54"/>
      <c r="U1098" s="39"/>
    </row>
    <row r="1099" spans="1:21">
      <c r="A1099" s="54" t="str">
        <f>_xlfn.TEXTJOIN("",TRUE,Input!$B$2,ROW(My_Audit!A1098))</f>
        <v>XX1098</v>
      </c>
      <c r="B1099" s="54"/>
      <c r="C1099" s="54"/>
      <c r="D1099" s="55" t="str">
        <f>_xlfn.XLOOKUP(A1099,My_Audit!A:A,My_Audit!D:D,"")&amp;""</f>
        <v/>
      </c>
      <c r="E1099" s="54"/>
      <c r="F1099" s="54"/>
      <c r="G1099" s="54"/>
      <c r="H1099" s="54"/>
      <c r="I1099" s="54"/>
      <c r="J1099" s="54"/>
      <c r="K1099" s="54"/>
      <c r="L1099" s="54"/>
      <c r="M1099" s="54"/>
      <c r="N1099" s="54"/>
      <c r="O1099" s="54"/>
      <c r="P1099" s="54"/>
      <c r="Q1099" s="54"/>
      <c r="R1099" s="54"/>
      <c r="S1099" s="54"/>
      <c r="T1099" s="54"/>
      <c r="U1099" s="39"/>
    </row>
    <row r="1100" spans="1:21">
      <c r="A1100" s="54" t="str">
        <f>_xlfn.TEXTJOIN("",TRUE,Input!$B$2,ROW(My_Audit!A1099))</f>
        <v>XX1099</v>
      </c>
      <c r="B1100" s="54"/>
      <c r="C1100" s="54"/>
      <c r="D1100" s="55" t="str">
        <f>_xlfn.XLOOKUP(A1100,My_Audit!A:A,My_Audit!D:D,"")&amp;""</f>
        <v/>
      </c>
      <c r="E1100" s="54"/>
      <c r="F1100" s="54"/>
      <c r="G1100" s="54"/>
      <c r="H1100" s="54"/>
      <c r="I1100" s="54"/>
      <c r="J1100" s="54"/>
      <c r="K1100" s="54"/>
      <c r="L1100" s="54"/>
      <c r="M1100" s="54"/>
      <c r="N1100" s="54"/>
      <c r="O1100" s="54"/>
      <c r="P1100" s="54"/>
      <c r="Q1100" s="54"/>
      <c r="R1100" s="54"/>
      <c r="S1100" s="54"/>
      <c r="T1100" s="54"/>
      <c r="U1100" s="39"/>
    </row>
    <row r="1101" spans="1:21">
      <c r="A1101" s="54" t="str">
        <f>_xlfn.TEXTJOIN("",TRUE,Input!$B$2,ROW(My_Audit!A1100))</f>
        <v>XX1100</v>
      </c>
      <c r="B1101" s="54"/>
      <c r="C1101" s="54"/>
      <c r="D1101" s="55" t="str">
        <f>_xlfn.XLOOKUP(A1101,My_Audit!A:A,My_Audit!D:D,"")&amp;""</f>
        <v/>
      </c>
      <c r="E1101" s="54"/>
      <c r="F1101" s="54"/>
      <c r="G1101" s="54"/>
      <c r="H1101" s="54"/>
      <c r="I1101" s="54"/>
      <c r="J1101" s="54"/>
      <c r="K1101" s="54"/>
      <c r="L1101" s="54"/>
      <c r="M1101" s="54"/>
      <c r="N1101" s="54"/>
      <c r="O1101" s="54"/>
      <c r="P1101" s="54"/>
      <c r="Q1101" s="54"/>
      <c r="R1101" s="54"/>
      <c r="S1101" s="54"/>
      <c r="T1101" s="54"/>
      <c r="U1101" s="39"/>
    </row>
    <row r="1102" spans="1:21">
      <c r="A1102" s="54" t="str">
        <f>_xlfn.TEXTJOIN("",TRUE,Input!$B$2,ROW(My_Audit!A1101))</f>
        <v>XX1101</v>
      </c>
      <c r="B1102" s="54"/>
      <c r="C1102" s="54"/>
      <c r="D1102" s="55" t="str">
        <f>_xlfn.XLOOKUP(A1102,My_Audit!A:A,My_Audit!D:D,"")&amp;""</f>
        <v/>
      </c>
      <c r="E1102" s="54"/>
      <c r="F1102" s="54"/>
      <c r="G1102" s="54"/>
      <c r="H1102" s="54"/>
      <c r="I1102" s="54"/>
      <c r="J1102" s="54"/>
      <c r="K1102" s="54"/>
      <c r="L1102" s="54"/>
      <c r="M1102" s="54"/>
      <c r="N1102" s="54"/>
      <c r="O1102" s="54"/>
      <c r="P1102" s="54"/>
      <c r="Q1102" s="54"/>
      <c r="R1102" s="54"/>
      <c r="S1102" s="54"/>
      <c r="T1102" s="54"/>
      <c r="U1102" s="39"/>
    </row>
    <row r="1103" spans="1:21">
      <c r="A1103" s="54" t="str">
        <f>_xlfn.TEXTJOIN("",TRUE,Input!$B$2,ROW(My_Audit!A1102))</f>
        <v>XX1102</v>
      </c>
      <c r="B1103" s="54"/>
      <c r="C1103" s="54"/>
      <c r="D1103" s="55" t="str">
        <f>_xlfn.XLOOKUP(A1103,My_Audit!A:A,My_Audit!D:D,"")&amp;""</f>
        <v/>
      </c>
      <c r="E1103" s="54"/>
      <c r="F1103" s="54"/>
      <c r="G1103" s="54"/>
      <c r="H1103" s="54"/>
      <c r="I1103" s="54"/>
      <c r="J1103" s="54"/>
      <c r="K1103" s="54"/>
      <c r="L1103" s="54"/>
      <c r="M1103" s="54"/>
      <c r="N1103" s="54"/>
      <c r="O1103" s="54"/>
      <c r="P1103" s="54"/>
      <c r="Q1103" s="54"/>
      <c r="R1103" s="54"/>
      <c r="S1103" s="54"/>
      <c r="T1103" s="54"/>
      <c r="U1103" s="39"/>
    </row>
    <row r="1104" spans="1:21">
      <c r="A1104" s="54" t="str">
        <f>_xlfn.TEXTJOIN("",TRUE,Input!$B$2,ROW(My_Audit!A1103))</f>
        <v>XX1103</v>
      </c>
      <c r="B1104" s="54"/>
      <c r="C1104" s="54"/>
      <c r="D1104" s="55" t="str">
        <f>_xlfn.XLOOKUP(A1104,My_Audit!A:A,My_Audit!D:D,"")&amp;""</f>
        <v/>
      </c>
      <c r="E1104" s="54"/>
      <c r="F1104" s="54"/>
      <c r="G1104" s="54"/>
      <c r="H1104" s="54"/>
      <c r="I1104" s="54"/>
      <c r="J1104" s="54"/>
      <c r="K1104" s="54"/>
      <c r="L1104" s="54"/>
      <c r="M1104" s="54"/>
      <c r="N1104" s="54"/>
      <c r="O1104" s="54"/>
      <c r="P1104" s="54"/>
      <c r="Q1104" s="54"/>
      <c r="R1104" s="54"/>
      <c r="S1104" s="54"/>
      <c r="T1104" s="54"/>
      <c r="U1104" s="39"/>
    </row>
    <row r="1105" spans="1:21">
      <c r="A1105" s="54" t="str">
        <f>_xlfn.TEXTJOIN("",TRUE,Input!$B$2,ROW(My_Audit!A1104))</f>
        <v>XX1104</v>
      </c>
      <c r="B1105" s="54"/>
      <c r="C1105" s="54"/>
      <c r="D1105" s="55" t="str">
        <f>_xlfn.XLOOKUP(A1105,My_Audit!A:A,My_Audit!D:D,"")&amp;""</f>
        <v/>
      </c>
      <c r="E1105" s="54"/>
      <c r="F1105" s="54"/>
      <c r="G1105" s="54"/>
      <c r="H1105" s="54"/>
      <c r="I1105" s="54"/>
      <c r="J1105" s="54"/>
      <c r="K1105" s="54"/>
      <c r="L1105" s="54"/>
      <c r="M1105" s="54"/>
      <c r="N1105" s="54"/>
      <c r="O1105" s="54"/>
      <c r="P1105" s="54"/>
      <c r="Q1105" s="54"/>
      <c r="R1105" s="54"/>
      <c r="S1105" s="54"/>
      <c r="T1105" s="54"/>
      <c r="U1105" s="39"/>
    </row>
    <row r="1106" spans="1:21">
      <c r="A1106" s="54" t="str">
        <f>_xlfn.TEXTJOIN("",TRUE,Input!$B$2,ROW(My_Audit!A1105))</f>
        <v>XX1105</v>
      </c>
      <c r="B1106" s="54"/>
      <c r="C1106" s="54"/>
      <c r="D1106" s="55" t="str">
        <f>_xlfn.XLOOKUP(A1106,My_Audit!A:A,My_Audit!D:D,"")&amp;""</f>
        <v/>
      </c>
      <c r="E1106" s="54"/>
      <c r="F1106" s="54"/>
      <c r="G1106" s="54"/>
      <c r="H1106" s="54"/>
      <c r="I1106" s="54"/>
      <c r="J1106" s="54"/>
      <c r="K1106" s="54"/>
      <c r="L1106" s="54"/>
      <c r="M1106" s="54"/>
      <c r="N1106" s="54"/>
      <c r="O1106" s="54"/>
      <c r="P1106" s="54"/>
      <c r="Q1106" s="54"/>
      <c r="R1106" s="54"/>
      <c r="S1106" s="54"/>
      <c r="T1106" s="54"/>
      <c r="U1106" s="39"/>
    </row>
    <row r="1107" spans="1:21">
      <c r="A1107" s="54" t="str">
        <f>_xlfn.TEXTJOIN("",TRUE,Input!$B$2,ROW(My_Audit!A1106))</f>
        <v>XX1106</v>
      </c>
      <c r="B1107" s="54"/>
      <c r="C1107" s="54"/>
      <c r="D1107" s="55" t="str">
        <f>_xlfn.XLOOKUP(A1107,My_Audit!A:A,My_Audit!D:D,"")&amp;""</f>
        <v/>
      </c>
      <c r="E1107" s="54"/>
      <c r="F1107" s="54"/>
      <c r="G1107" s="54"/>
      <c r="H1107" s="54"/>
      <c r="I1107" s="54"/>
      <c r="J1107" s="54"/>
      <c r="K1107" s="54"/>
      <c r="L1107" s="54"/>
      <c r="M1107" s="54"/>
      <c r="N1107" s="54"/>
      <c r="O1107" s="54"/>
      <c r="P1107" s="54"/>
      <c r="Q1107" s="54"/>
      <c r="R1107" s="54"/>
      <c r="S1107" s="54"/>
      <c r="T1107" s="54"/>
      <c r="U1107" s="39"/>
    </row>
    <row r="1108" spans="1:21">
      <c r="A1108" s="54" t="str">
        <f>_xlfn.TEXTJOIN("",TRUE,Input!$B$2,ROW(My_Audit!A1107))</f>
        <v>XX1107</v>
      </c>
      <c r="B1108" s="54"/>
      <c r="C1108" s="54"/>
      <c r="D1108" s="55" t="str">
        <f>_xlfn.XLOOKUP(A1108,My_Audit!A:A,My_Audit!D:D,"")&amp;""</f>
        <v/>
      </c>
      <c r="E1108" s="54"/>
      <c r="F1108" s="54"/>
      <c r="G1108" s="54"/>
      <c r="H1108" s="54"/>
      <c r="I1108" s="54"/>
      <c r="J1108" s="54"/>
      <c r="K1108" s="54"/>
      <c r="L1108" s="54"/>
      <c r="M1108" s="54"/>
      <c r="N1108" s="54"/>
      <c r="O1108" s="54"/>
      <c r="P1108" s="54"/>
      <c r="Q1108" s="54"/>
      <c r="R1108" s="54"/>
      <c r="S1108" s="54"/>
      <c r="T1108" s="54"/>
      <c r="U1108" s="39"/>
    </row>
    <row r="1109" spans="1:21">
      <c r="A1109" s="54" t="str">
        <f>_xlfn.TEXTJOIN("",TRUE,Input!$B$2,ROW(My_Audit!A1108))</f>
        <v>XX1108</v>
      </c>
      <c r="B1109" s="54"/>
      <c r="C1109" s="54"/>
      <c r="D1109" s="55" t="str">
        <f>_xlfn.XLOOKUP(A1109,My_Audit!A:A,My_Audit!D:D,"")&amp;""</f>
        <v/>
      </c>
      <c r="E1109" s="54"/>
      <c r="F1109" s="54"/>
      <c r="G1109" s="54"/>
      <c r="H1109" s="54"/>
      <c r="I1109" s="54"/>
      <c r="J1109" s="54"/>
      <c r="K1109" s="54"/>
      <c r="L1109" s="54"/>
      <c r="M1109" s="54"/>
      <c r="N1109" s="54"/>
      <c r="O1109" s="54"/>
      <c r="P1109" s="54"/>
      <c r="Q1109" s="54"/>
      <c r="R1109" s="54"/>
      <c r="S1109" s="54"/>
      <c r="T1109" s="54"/>
      <c r="U1109" s="39"/>
    </row>
    <row r="1110" spans="1:21">
      <c r="A1110" s="54" t="str">
        <f>_xlfn.TEXTJOIN("",TRUE,Input!$B$2,ROW(My_Audit!A1109))</f>
        <v>XX1109</v>
      </c>
      <c r="B1110" s="54"/>
      <c r="C1110" s="54"/>
      <c r="D1110" s="55" t="str">
        <f>_xlfn.XLOOKUP(A1110,My_Audit!A:A,My_Audit!D:D,"")&amp;""</f>
        <v/>
      </c>
      <c r="E1110" s="54"/>
      <c r="F1110" s="54"/>
      <c r="G1110" s="54"/>
      <c r="H1110" s="54"/>
      <c r="I1110" s="54"/>
      <c r="J1110" s="54"/>
      <c r="K1110" s="54"/>
      <c r="L1110" s="54"/>
      <c r="M1110" s="54"/>
      <c r="N1110" s="54"/>
      <c r="O1110" s="54"/>
      <c r="P1110" s="54"/>
      <c r="Q1110" s="54"/>
      <c r="R1110" s="54"/>
      <c r="S1110" s="54"/>
      <c r="T1110" s="54"/>
      <c r="U1110" s="39"/>
    </row>
    <row r="1111" spans="1:21">
      <c r="A1111" s="54" t="str">
        <f>_xlfn.TEXTJOIN("",TRUE,Input!$B$2,ROW(My_Audit!A1110))</f>
        <v>XX1110</v>
      </c>
      <c r="B1111" s="54"/>
      <c r="C1111" s="54"/>
      <c r="D1111" s="55" t="str">
        <f>_xlfn.XLOOKUP(A1111,My_Audit!A:A,My_Audit!D:D,"")&amp;""</f>
        <v/>
      </c>
      <c r="E1111" s="54"/>
      <c r="F1111" s="54"/>
      <c r="G1111" s="54"/>
      <c r="H1111" s="54"/>
      <c r="I1111" s="54"/>
      <c r="J1111" s="54"/>
      <c r="K1111" s="54"/>
      <c r="L1111" s="54"/>
      <c r="M1111" s="54"/>
      <c r="N1111" s="54"/>
      <c r="O1111" s="54"/>
      <c r="P1111" s="54"/>
      <c r="Q1111" s="54"/>
      <c r="R1111" s="54"/>
      <c r="S1111" s="54"/>
      <c r="T1111" s="54"/>
      <c r="U1111" s="39"/>
    </row>
    <row r="1112" spans="1:21">
      <c r="A1112" s="54" t="str">
        <f>_xlfn.TEXTJOIN("",TRUE,Input!$B$2,ROW(My_Audit!A1111))</f>
        <v>XX1111</v>
      </c>
      <c r="B1112" s="54"/>
      <c r="C1112" s="54"/>
      <c r="D1112" s="55" t="str">
        <f>_xlfn.XLOOKUP(A1112,My_Audit!A:A,My_Audit!D:D,"")&amp;""</f>
        <v/>
      </c>
      <c r="E1112" s="54"/>
      <c r="F1112" s="54"/>
      <c r="G1112" s="54"/>
      <c r="H1112" s="54"/>
      <c r="I1112" s="54"/>
      <c r="J1112" s="54"/>
      <c r="K1112" s="54"/>
      <c r="L1112" s="54"/>
      <c r="M1112" s="54"/>
      <c r="N1112" s="54"/>
      <c r="O1112" s="54"/>
      <c r="P1112" s="54"/>
      <c r="Q1112" s="54"/>
      <c r="R1112" s="54"/>
      <c r="S1112" s="54"/>
      <c r="T1112" s="54"/>
      <c r="U1112" s="39"/>
    </row>
    <row r="1113" spans="1:21">
      <c r="A1113" s="54" t="str">
        <f>_xlfn.TEXTJOIN("",TRUE,Input!$B$2,ROW(My_Audit!A1112))</f>
        <v>XX1112</v>
      </c>
      <c r="B1113" s="54"/>
      <c r="C1113" s="54"/>
      <c r="D1113" s="55" t="str">
        <f>_xlfn.XLOOKUP(A1113,My_Audit!A:A,My_Audit!D:D,"")&amp;""</f>
        <v/>
      </c>
      <c r="E1113" s="54"/>
      <c r="F1113" s="54"/>
      <c r="G1113" s="54"/>
      <c r="H1113" s="54"/>
      <c r="I1113" s="54"/>
      <c r="J1113" s="54"/>
      <c r="K1113" s="54"/>
      <c r="L1113" s="54"/>
      <c r="M1113" s="54"/>
      <c r="N1113" s="54"/>
      <c r="O1113" s="54"/>
      <c r="P1113" s="54"/>
      <c r="Q1113" s="54"/>
      <c r="R1113" s="54"/>
      <c r="S1113" s="54"/>
      <c r="T1113" s="54"/>
      <c r="U1113" s="39"/>
    </row>
    <row r="1114" spans="1:21">
      <c r="A1114" s="54" t="str">
        <f>_xlfn.TEXTJOIN("",TRUE,Input!$B$2,ROW(My_Audit!A1113))</f>
        <v>XX1113</v>
      </c>
      <c r="B1114" s="54"/>
      <c r="C1114" s="54"/>
      <c r="D1114" s="55" t="str">
        <f>_xlfn.XLOOKUP(A1114,My_Audit!A:A,My_Audit!D:D,"")&amp;""</f>
        <v/>
      </c>
      <c r="E1114" s="54"/>
      <c r="F1114" s="54"/>
      <c r="G1114" s="54"/>
      <c r="H1114" s="54"/>
      <c r="I1114" s="54"/>
      <c r="J1114" s="54"/>
      <c r="K1114" s="54"/>
      <c r="L1114" s="54"/>
      <c r="M1114" s="54"/>
      <c r="N1114" s="54"/>
      <c r="O1114" s="54"/>
      <c r="P1114" s="54"/>
      <c r="Q1114" s="54"/>
      <c r="R1114" s="54"/>
      <c r="S1114" s="54"/>
      <c r="T1114" s="54"/>
      <c r="U1114" s="39"/>
    </row>
    <row r="1115" spans="1:21">
      <c r="A1115" s="54" t="str">
        <f>_xlfn.TEXTJOIN("",TRUE,Input!$B$2,ROW(My_Audit!A1114))</f>
        <v>XX1114</v>
      </c>
      <c r="B1115" s="54"/>
      <c r="C1115" s="54"/>
      <c r="D1115" s="55" t="str">
        <f>_xlfn.XLOOKUP(A1115,My_Audit!A:A,My_Audit!D:D,"")&amp;""</f>
        <v/>
      </c>
      <c r="E1115" s="54"/>
      <c r="F1115" s="54"/>
      <c r="G1115" s="54"/>
      <c r="H1115" s="54"/>
      <c r="I1115" s="54"/>
      <c r="J1115" s="54"/>
      <c r="K1115" s="54"/>
      <c r="L1115" s="54"/>
      <c r="M1115" s="54"/>
      <c r="N1115" s="54"/>
      <c r="O1115" s="54"/>
      <c r="P1115" s="54"/>
      <c r="Q1115" s="54"/>
      <c r="R1115" s="54"/>
      <c r="S1115" s="54"/>
      <c r="T1115" s="54"/>
      <c r="U1115" s="39"/>
    </row>
    <row r="1116" spans="1:21">
      <c r="A1116" s="54" t="str">
        <f>_xlfn.TEXTJOIN("",TRUE,Input!$B$2,ROW(My_Audit!A1115))</f>
        <v>XX1115</v>
      </c>
      <c r="B1116" s="54"/>
      <c r="C1116" s="54"/>
      <c r="D1116" s="55" t="str">
        <f>_xlfn.XLOOKUP(A1116,My_Audit!A:A,My_Audit!D:D,"")&amp;""</f>
        <v/>
      </c>
      <c r="E1116" s="54"/>
      <c r="F1116" s="54"/>
      <c r="G1116" s="54"/>
      <c r="H1116" s="54"/>
      <c r="I1116" s="54"/>
      <c r="J1116" s="54"/>
      <c r="K1116" s="54"/>
      <c r="L1116" s="54"/>
      <c r="M1116" s="54"/>
      <c r="N1116" s="54"/>
      <c r="O1116" s="54"/>
      <c r="P1116" s="54"/>
      <c r="Q1116" s="54"/>
      <c r="R1116" s="54"/>
      <c r="S1116" s="54"/>
      <c r="T1116" s="54"/>
      <c r="U1116" s="39"/>
    </row>
    <row r="1117" spans="1:21">
      <c r="A1117" s="54" t="str">
        <f>_xlfn.TEXTJOIN("",TRUE,Input!$B$2,ROW(My_Audit!A1116))</f>
        <v>XX1116</v>
      </c>
      <c r="B1117" s="54"/>
      <c r="C1117" s="54"/>
      <c r="D1117" s="55" t="str">
        <f>_xlfn.XLOOKUP(A1117,My_Audit!A:A,My_Audit!D:D,"")&amp;""</f>
        <v/>
      </c>
      <c r="E1117" s="54"/>
      <c r="F1117" s="54"/>
      <c r="G1117" s="54"/>
      <c r="H1117" s="54"/>
      <c r="I1117" s="54"/>
      <c r="J1117" s="54"/>
      <c r="K1117" s="54"/>
      <c r="L1117" s="54"/>
      <c r="M1117" s="54"/>
      <c r="N1117" s="54"/>
      <c r="O1117" s="54"/>
      <c r="P1117" s="54"/>
      <c r="Q1117" s="54"/>
      <c r="R1117" s="54"/>
      <c r="S1117" s="54"/>
      <c r="T1117" s="54"/>
      <c r="U1117" s="39"/>
    </row>
    <row r="1118" spans="1:21">
      <c r="A1118" s="54" t="str">
        <f>_xlfn.TEXTJOIN("",TRUE,Input!$B$2,ROW(My_Audit!A1117))</f>
        <v>XX1117</v>
      </c>
      <c r="B1118" s="54"/>
      <c r="C1118" s="54"/>
      <c r="D1118" s="55" t="str">
        <f>_xlfn.XLOOKUP(A1118,My_Audit!A:A,My_Audit!D:D,"")&amp;""</f>
        <v/>
      </c>
      <c r="E1118" s="54"/>
      <c r="F1118" s="54"/>
      <c r="G1118" s="54"/>
      <c r="H1118" s="54"/>
      <c r="I1118" s="54"/>
      <c r="J1118" s="54"/>
      <c r="K1118" s="54"/>
      <c r="L1118" s="54"/>
      <c r="M1118" s="54"/>
      <c r="N1118" s="54"/>
      <c r="O1118" s="54"/>
      <c r="P1118" s="54"/>
      <c r="Q1118" s="54"/>
      <c r="R1118" s="54"/>
      <c r="S1118" s="54"/>
      <c r="T1118" s="54"/>
      <c r="U1118" s="39"/>
    </row>
    <row r="1119" spans="1:21">
      <c r="A1119" s="54" t="str">
        <f>_xlfn.TEXTJOIN("",TRUE,Input!$B$2,ROW(My_Audit!A1118))</f>
        <v>XX1118</v>
      </c>
      <c r="B1119" s="54"/>
      <c r="C1119" s="54"/>
      <c r="D1119" s="55" t="str">
        <f>_xlfn.XLOOKUP(A1119,My_Audit!A:A,My_Audit!D:D,"")&amp;""</f>
        <v/>
      </c>
      <c r="E1119" s="54"/>
      <c r="F1119" s="54"/>
      <c r="G1119" s="54"/>
      <c r="H1119" s="54"/>
      <c r="I1119" s="54"/>
      <c r="J1119" s="54"/>
      <c r="K1119" s="54"/>
      <c r="L1119" s="54"/>
      <c r="M1119" s="54"/>
      <c r="N1119" s="54"/>
      <c r="O1119" s="54"/>
      <c r="P1119" s="54"/>
      <c r="Q1119" s="54"/>
      <c r="R1119" s="54"/>
      <c r="S1119" s="54"/>
      <c r="T1119" s="54"/>
      <c r="U1119" s="39"/>
    </row>
    <row r="1120" spans="1:21">
      <c r="A1120" s="54" t="str">
        <f>_xlfn.TEXTJOIN("",TRUE,Input!$B$2,ROW(My_Audit!A1119))</f>
        <v>XX1119</v>
      </c>
      <c r="B1120" s="54"/>
      <c r="C1120" s="54"/>
      <c r="D1120" s="55" t="str">
        <f>_xlfn.XLOOKUP(A1120,My_Audit!A:A,My_Audit!D:D,"")&amp;""</f>
        <v/>
      </c>
      <c r="E1120" s="54"/>
      <c r="F1120" s="54"/>
      <c r="G1120" s="54"/>
      <c r="H1120" s="54"/>
      <c r="I1120" s="54"/>
      <c r="J1120" s="54"/>
      <c r="K1120" s="54"/>
      <c r="L1120" s="54"/>
      <c r="M1120" s="54"/>
      <c r="N1120" s="54"/>
      <c r="O1120" s="54"/>
      <c r="P1120" s="54"/>
      <c r="Q1120" s="54"/>
      <c r="R1120" s="54"/>
      <c r="S1120" s="54"/>
      <c r="T1120" s="54"/>
      <c r="U1120" s="39"/>
    </row>
    <row r="1121" spans="1:21">
      <c r="A1121" s="54" t="str">
        <f>_xlfn.TEXTJOIN("",TRUE,Input!$B$2,ROW(My_Audit!A1120))</f>
        <v>XX1120</v>
      </c>
      <c r="B1121" s="54"/>
      <c r="C1121" s="54"/>
      <c r="D1121" s="55" t="str">
        <f>_xlfn.XLOOKUP(A1121,My_Audit!A:A,My_Audit!D:D,"")&amp;""</f>
        <v/>
      </c>
      <c r="E1121" s="54"/>
      <c r="F1121" s="54"/>
      <c r="G1121" s="54"/>
      <c r="H1121" s="54"/>
      <c r="I1121" s="54"/>
      <c r="J1121" s="54"/>
      <c r="K1121" s="54"/>
      <c r="L1121" s="54"/>
      <c r="M1121" s="54"/>
      <c r="N1121" s="54"/>
      <c r="O1121" s="54"/>
      <c r="P1121" s="54"/>
      <c r="Q1121" s="54"/>
      <c r="R1121" s="54"/>
      <c r="S1121" s="54"/>
      <c r="T1121" s="54"/>
      <c r="U1121" s="39"/>
    </row>
    <row r="1122" spans="1:21">
      <c r="A1122" s="54" t="str">
        <f>_xlfn.TEXTJOIN("",TRUE,Input!$B$2,ROW(My_Audit!A1121))</f>
        <v>XX1121</v>
      </c>
      <c r="B1122" s="54"/>
      <c r="C1122" s="54"/>
      <c r="D1122" s="55" t="str">
        <f>_xlfn.XLOOKUP(A1122,My_Audit!A:A,My_Audit!D:D,"")&amp;""</f>
        <v/>
      </c>
      <c r="E1122" s="54"/>
      <c r="F1122" s="54"/>
      <c r="G1122" s="54"/>
      <c r="H1122" s="54"/>
      <c r="I1122" s="54"/>
      <c r="J1122" s="54"/>
      <c r="K1122" s="54"/>
      <c r="L1122" s="54"/>
      <c r="M1122" s="54"/>
      <c r="N1122" s="54"/>
      <c r="O1122" s="54"/>
      <c r="P1122" s="54"/>
      <c r="Q1122" s="54"/>
      <c r="R1122" s="54"/>
      <c r="S1122" s="54"/>
      <c r="T1122" s="54"/>
      <c r="U1122" s="39"/>
    </row>
    <row r="1123" spans="1:21">
      <c r="A1123" s="54" t="str">
        <f>_xlfn.TEXTJOIN("",TRUE,Input!$B$2,ROW(My_Audit!A1122))</f>
        <v>XX1122</v>
      </c>
      <c r="B1123" s="54"/>
      <c r="C1123" s="54"/>
      <c r="D1123" s="55" t="str">
        <f>_xlfn.XLOOKUP(A1123,My_Audit!A:A,My_Audit!D:D,"")&amp;""</f>
        <v/>
      </c>
      <c r="E1123" s="54"/>
      <c r="F1123" s="54"/>
      <c r="G1123" s="54"/>
      <c r="H1123" s="54"/>
      <c r="I1123" s="54"/>
      <c r="J1123" s="54"/>
      <c r="K1123" s="54"/>
      <c r="L1123" s="54"/>
      <c r="M1123" s="54"/>
      <c r="N1123" s="54"/>
      <c r="O1123" s="54"/>
      <c r="P1123" s="54"/>
      <c r="Q1123" s="54"/>
      <c r="R1123" s="54"/>
      <c r="S1123" s="54"/>
      <c r="T1123" s="54"/>
      <c r="U1123" s="39"/>
    </row>
    <row r="1124" spans="1:21">
      <c r="A1124" s="54" t="str">
        <f>_xlfn.TEXTJOIN("",TRUE,Input!$B$2,ROW(My_Audit!A1123))</f>
        <v>XX1123</v>
      </c>
      <c r="B1124" s="54"/>
      <c r="C1124" s="54"/>
      <c r="D1124" s="55" t="str">
        <f>_xlfn.XLOOKUP(A1124,My_Audit!A:A,My_Audit!D:D,"")&amp;""</f>
        <v/>
      </c>
      <c r="E1124" s="54"/>
      <c r="F1124" s="54"/>
      <c r="G1124" s="54"/>
      <c r="H1124" s="54"/>
      <c r="I1124" s="54"/>
      <c r="J1124" s="54"/>
      <c r="K1124" s="54"/>
      <c r="L1124" s="54"/>
      <c r="M1124" s="54"/>
      <c r="N1124" s="54"/>
      <c r="O1124" s="54"/>
      <c r="P1124" s="54"/>
      <c r="Q1124" s="54"/>
      <c r="R1124" s="54"/>
      <c r="S1124" s="54"/>
      <c r="T1124" s="54"/>
      <c r="U1124" s="39"/>
    </row>
    <row r="1125" spans="1:21">
      <c r="A1125" s="54" t="str">
        <f>_xlfn.TEXTJOIN("",TRUE,Input!$B$2,ROW(My_Audit!A1124))</f>
        <v>XX1124</v>
      </c>
      <c r="B1125" s="54"/>
      <c r="C1125" s="54"/>
      <c r="D1125" s="55" t="str">
        <f>_xlfn.XLOOKUP(A1125,My_Audit!A:A,My_Audit!D:D,"")&amp;""</f>
        <v/>
      </c>
      <c r="E1125" s="54"/>
      <c r="F1125" s="54"/>
      <c r="G1125" s="54"/>
      <c r="H1125" s="54"/>
      <c r="I1125" s="54"/>
      <c r="J1125" s="54"/>
      <c r="K1125" s="54"/>
      <c r="L1125" s="54"/>
      <c r="M1125" s="54"/>
      <c r="N1125" s="54"/>
      <c r="O1125" s="54"/>
      <c r="P1125" s="54"/>
      <c r="Q1125" s="54"/>
      <c r="R1125" s="54"/>
      <c r="S1125" s="54"/>
      <c r="T1125" s="54"/>
      <c r="U1125" s="39"/>
    </row>
    <row r="1126" spans="1:21">
      <c r="A1126" s="54" t="str">
        <f>_xlfn.TEXTJOIN("",TRUE,Input!$B$2,ROW(My_Audit!A1125))</f>
        <v>XX1125</v>
      </c>
      <c r="B1126" s="54"/>
      <c r="C1126" s="54"/>
      <c r="D1126" s="55" t="str">
        <f>_xlfn.XLOOKUP(A1126,My_Audit!A:A,My_Audit!D:D,"")&amp;""</f>
        <v/>
      </c>
      <c r="E1126" s="54"/>
      <c r="F1126" s="54"/>
      <c r="G1126" s="54"/>
      <c r="H1126" s="54"/>
      <c r="I1126" s="54"/>
      <c r="J1126" s="54"/>
      <c r="K1126" s="54"/>
      <c r="L1126" s="54"/>
      <c r="M1126" s="54"/>
      <c r="N1126" s="54"/>
      <c r="O1126" s="54"/>
      <c r="P1126" s="54"/>
      <c r="Q1126" s="54"/>
      <c r="R1126" s="54"/>
      <c r="S1126" s="54"/>
      <c r="T1126" s="54"/>
      <c r="U1126" s="39"/>
    </row>
    <row r="1127" spans="1:21">
      <c r="A1127" s="54" t="str">
        <f>_xlfn.TEXTJOIN("",TRUE,Input!$B$2,ROW(My_Audit!A1126))</f>
        <v>XX1126</v>
      </c>
      <c r="B1127" s="54"/>
      <c r="C1127" s="54"/>
      <c r="D1127" s="55" t="str">
        <f>_xlfn.XLOOKUP(A1127,My_Audit!A:A,My_Audit!D:D,"")&amp;""</f>
        <v/>
      </c>
      <c r="E1127" s="54"/>
      <c r="F1127" s="54"/>
      <c r="G1127" s="54"/>
      <c r="H1127" s="54"/>
      <c r="I1127" s="54"/>
      <c r="J1127" s="54"/>
      <c r="K1127" s="54"/>
      <c r="L1127" s="54"/>
      <c r="M1127" s="54"/>
      <c r="N1127" s="54"/>
      <c r="O1127" s="54"/>
      <c r="P1127" s="54"/>
      <c r="Q1127" s="54"/>
      <c r="R1127" s="54"/>
      <c r="S1127" s="54"/>
      <c r="T1127" s="54"/>
      <c r="U1127" s="39"/>
    </row>
    <row r="1128" spans="1:21">
      <c r="A1128" s="54" t="str">
        <f>_xlfn.TEXTJOIN("",TRUE,Input!$B$2,ROW(My_Audit!A1127))</f>
        <v>XX1127</v>
      </c>
      <c r="B1128" s="54"/>
      <c r="C1128" s="54"/>
      <c r="D1128" s="55" t="str">
        <f>_xlfn.XLOOKUP(A1128,My_Audit!A:A,My_Audit!D:D,"")&amp;""</f>
        <v/>
      </c>
      <c r="E1128" s="54"/>
      <c r="F1128" s="54"/>
      <c r="G1128" s="54"/>
      <c r="H1128" s="54"/>
      <c r="I1128" s="54"/>
      <c r="J1128" s="54"/>
      <c r="K1128" s="54"/>
      <c r="L1128" s="54"/>
      <c r="M1128" s="54"/>
      <c r="N1128" s="54"/>
      <c r="O1128" s="54"/>
      <c r="P1128" s="54"/>
      <c r="Q1128" s="54"/>
      <c r="R1128" s="54"/>
      <c r="S1128" s="54"/>
      <c r="T1128" s="54"/>
      <c r="U1128" s="39"/>
    </row>
    <row r="1129" spans="1:21">
      <c r="A1129" s="54" t="str">
        <f>_xlfn.TEXTJOIN("",TRUE,Input!$B$2,ROW(My_Audit!A1128))</f>
        <v>XX1128</v>
      </c>
      <c r="B1129" s="54"/>
      <c r="C1129" s="54"/>
      <c r="D1129" s="55" t="str">
        <f>_xlfn.XLOOKUP(A1129,My_Audit!A:A,My_Audit!D:D,"")&amp;""</f>
        <v/>
      </c>
      <c r="E1129" s="54"/>
      <c r="F1129" s="54"/>
      <c r="G1129" s="54"/>
      <c r="H1129" s="54"/>
      <c r="I1129" s="54"/>
      <c r="J1129" s="54"/>
      <c r="K1129" s="54"/>
      <c r="L1129" s="54"/>
      <c r="M1129" s="54"/>
      <c r="N1129" s="54"/>
      <c r="O1129" s="54"/>
      <c r="P1129" s="54"/>
      <c r="Q1129" s="54"/>
      <c r="R1129" s="54"/>
      <c r="S1129" s="54"/>
      <c r="T1129" s="54"/>
      <c r="U1129" s="39"/>
    </row>
    <row r="1130" spans="1:21">
      <c r="A1130" s="54" t="str">
        <f>_xlfn.TEXTJOIN("",TRUE,Input!$B$2,ROW(My_Audit!A1129))</f>
        <v>XX1129</v>
      </c>
      <c r="B1130" s="54"/>
      <c r="C1130" s="54"/>
      <c r="D1130" s="55" t="str">
        <f>_xlfn.XLOOKUP(A1130,My_Audit!A:A,My_Audit!D:D,"")&amp;""</f>
        <v/>
      </c>
      <c r="E1130" s="54"/>
      <c r="F1130" s="54"/>
      <c r="G1130" s="54"/>
      <c r="H1130" s="54"/>
      <c r="I1130" s="54"/>
      <c r="J1130" s="54"/>
      <c r="K1130" s="54"/>
      <c r="L1130" s="54"/>
      <c r="M1130" s="54"/>
      <c r="N1130" s="54"/>
      <c r="O1130" s="54"/>
      <c r="P1130" s="54"/>
      <c r="Q1130" s="54"/>
      <c r="R1130" s="54"/>
      <c r="S1130" s="54"/>
      <c r="T1130" s="54"/>
      <c r="U1130" s="39"/>
    </row>
    <row r="1131" spans="1:21">
      <c r="A1131" s="54" t="str">
        <f>_xlfn.TEXTJOIN("",TRUE,Input!$B$2,ROW(My_Audit!A1130))</f>
        <v>XX1130</v>
      </c>
      <c r="B1131" s="54"/>
      <c r="C1131" s="54"/>
      <c r="D1131" s="55" t="str">
        <f>_xlfn.XLOOKUP(A1131,My_Audit!A:A,My_Audit!D:D,"")&amp;""</f>
        <v/>
      </c>
      <c r="E1131" s="54"/>
      <c r="F1131" s="54"/>
      <c r="G1131" s="54"/>
      <c r="H1131" s="54"/>
      <c r="I1131" s="54"/>
      <c r="J1131" s="54"/>
      <c r="K1131" s="54"/>
      <c r="L1131" s="54"/>
      <c r="M1131" s="54"/>
      <c r="N1131" s="54"/>
      <c r="O1131" s="54"/>
      <c r="P1131" s="54"/>
      <c r="Q1131" s="54"/>
      <c r="R1131" s="54"/>
      <c r="S1131" s="54"/>
      <c r="T1131" s="54"/>
      <c r="U1131" s="39"/>
    </row>
    <row r="1132" spans="1:21">
      <c r="A1132" s="54" t="str">
        <f>_xlfn.TEXTJOIN("",TRUE,Input!$B$2,ROW(My_Audit!A1131))</f>
        <v>XX1131</v>
      </c>
      <c r="B1132" s="54"/>
      <c r="C1132" s="54"/>
      <c r="D1132" s="55" t="str">
        <f>_xlfn.XLOOKUP(A1132,My_Audit!A:A,My_Audit!D:D,"")&amp;""</f>
        <v/>
      </c>
      <c r="E1132" s="54"/>
      <c r="F1132" s="54"/>
      <c r="G1132" s="54"/>
      <c r="H1132" s="54"/>
      <c r="I1132" s="54"/>
      <c r="J1132" s="54"/>
      <c r="K1132" s="54"/>
      <c r="L1132" s="54"/>
      <c r="M1132" s="54"/>
      <c r="N1132" s="54"/>
      <c r="O1132" s="54"/>
      <c r="P1132" s="54"/>
      <c r="Q1132" s="54"/>
      <c r="R1132" s="54"/>
      <c r="S1132" s="54"/>
      <c r="T1132" s="54"/>
      <c r="U1132" s="39"/>
    </row>
    <row r="1133" spans="1:21">
      <c r="A1133" s="54" t="str">
        <f>_xlfn.TEXTJOIN("",TRUE,Input!$B$2,ROW(My_Audit!A1132))</f>
        <v>XX1132</v>
      </c>
      <c r="B1133" s="54"/>
      <c r="C1133" s="54"/>
      <c r="D1133" s="55" t="str">
        <f>_xlfn.XLOOKUP(A1133,My_Audit!A:A,My_Audit!D:D,"")&amp;""</f>
        <v/>
      </c>
      <c r="E1133" s="54"/>
      <c r="F1133" s="54"/>
      <c r="G1133" s="54"/>
      <c r="H1133" s="54"/>
      <c r="I1133" s="54"/>
      <c r="J1133" s="54"/>
      <c r="K1133" s="54"/>
      <c r="L1133" s="54"/>
      <c r="M1133" s="54"/>
      <c r="N1133" s="54"/>
      <c r="O1133" s="54"/>
      <c r="P1133" s="54"/>
      <c r="Q1133" s="54"/>
      <c r="R1133" s="54"/>
      <c r="S1133" s="54"/>
      <c r="T1133" s="54"/>
      <c r="U1133" s="39"/>
    </row>
    <row r="1134" spans="1:21">
      <c r="A1134" s="54" t="str">
        <f>_xlfn.TEXTJOIN("",TRUE,Input!$B$2,ROW(My_Audit!A1133))</f>
        <v>XX1133</v>
      </c>
      <c r="B1134" s="54"/>
      <c r="C1134" s="54"/>
      <c r="D1134" s="55" t="str">
        <f>_xlfn.XLOOKUP(A1134,My_Audit!A:A,My_Audit!D:D,"")&amp;""</f>
        <v/>
      </c>
      <c r="E1134" s="54"/>
      <c r="F1134" s="54"/>
      <c r="G1134" s="54"/>
      <c r="H1134" s="54"/>
      <c r="I1134" s="54"/>
      <c r="J1134" s="54"/>
      <c r="K1134" s="54"/>
      <c r="L1134" s="54"/>
      <c r="M1134" s="54"/>
      <c r="N1134" s="54"/>
      <c r="O1134" s="54"/>
      <c r="P1134" s="54"/>
      <c r="Q1134" s="54"/>
      <c r="R1134" s="54"/>
      <c r="S1134" s="54"/>
      <c r="T1134" s="54"/>
      <c r="U1134" s="39"/>
    </row>
    <row r="1135" spans="1:21">
      <c r="A1135" s="54" t="str">
        <f>_xlfn.TEXTJOIN("",TRUE,Input!$B$2,ROW(My_Audit!A1134))</f>
        <v>XX1134</v>
      </c>
      <c r="B1135" s="54"/>
      <c r="C1135" s="54"/>
      <c r="D1135" s="55" t="str">
        <f>_xlfn.XLOOKUP(A1135,My_Audit!A:A,My_Audit!D:D,"")&amp;""</f>
        <v/>
      </c>
      <c r="E1135" s="54"/>
      <c r="F1135" s="54"/>
      <c r="G1135" s="54"/>
      <c r="H1135" s="54"/>
      <c r="I1135" s="54"/>
      <c r="J1135" s="54"/>
      <c r="K1135" s="54"/>
      <c r="L1135" s="54"/>
      <c r="M1135" s="54"/>
      <c r="N1135" s="54"/>
      <c r="O1135" s="54"/>
      <c r="P1135" s="54"/>
      <c r="Q1135" s="54"/>
      <c r="R1135" s="54"/>
      <c r="S1135" s="54"/>
      <c r="T1135" s="54"/>
      <c r="U1135" s="39"/>
    </row>
    <row r="1136" spans="1:21">
      <c r="A1136" s="54" t="str">
        <f>_xlfn.TEXTJOIN("",TRUE,Input!$B$2,ROW(My_Audit!A1135))</f>
        <v>XX1135</v>
      </c>
      <c r="B1136" s="54"/>
      <c r="C1136" s="54"/>
      <c r="D1136" s="55" t="str">
        <f>_xlfn.XLOOKUP(A1136,My_Audit!A:A,My_Audit!D:D,"")&amp;""</f>
        <v/>
      </c>
      <c r="E1136" s="54"/>
      <c r="F1136" s="54"/>
      <c r="G1136" s="54"/>
      <c r="H1136" s="54"/>
      <c r="I1136" s="54"/>
      <c r="J1136" s="54"/>
      <c r="K1136" s="54"/>
      <c r="L1136" s="54"/>
      <c r="M1136" s="54"/>
      <c r="N1136" s="54"/>
      <c r="O1136" s="54"/>
      <c r="P1136" s="54"/>
      <c r="Q1136" s="54"/>
      <c r="R1136" s="54"/>
      <c r="S1136" s="54"/>
      <c r="T1136" s="54"/>
      <c r="U1136" s="39"/>
    </row>
    <row r="1137" spans="1:21">
      <c r="A1137" s="54" t="str">
        <f>_xlfn.TEXTJOIN("",TRUE,Input!$B$2,ROW(My_Audit!A1136))</f>
        <v>XX1136</v>
      </c>
      <c r="B1137" s="54"/>
      <c r="C1137" s="54"/>
      <c r="D1137" s="55" t="str">
        <f>_xlfn.XLOOKUP(A1137,My_Audit!A:A,My_Audit!D:D,"")&amp;""</f>
        <v/>
      </c>
      <c r="E1137" s="54"/>
      <c r="F1137" s="54"/>
      <c r="G1137" s="54"/>
      <c r="H1137" s="54"/>
      <c r="I1137" s="54"/>
      <c r="J1137" s="54"/>
      <c r="K1137" s="54"/>
      <c r="L1137" s="54"/>
      <c r="M1137" s="54"/>
      <c r="N1137" s="54"/>
      <c r="O1137" s="54"/>
      <c r="P1137" s="54"/>
      <c r="Q1137" s="54"/>
      <c r="R1137" s="54"/>
      <c r="S1137" s="54"/>
      <c r="T1137" s="54"/>
      <c r="U1137" s="39"/>
    </row>
    <row r="1138" spans="1:21">
      <c r="A1138" s="54" t="str">
        <f>_xlfn.TEXTJOIN("",TRUE,Input!$B$2,ROW(My_Audit!A1137))</f>
        <v>XX1137</v>
      </c>
      <c r="B1138" s="54"/>
      <c r="C1138" s="54"/>
      <c r="D1138" s="55" t="str">
        <f>_xlfn.XLOOKUP(A1138,My_Audit!A:A,My_Audit!D:D,"")&amp;""</f>
        <v/>
      </c>
      <c r="E1138" s="54"/>
      <c r="F1138" s="54"/>
      <c r="G1138" s="54"/>
      <c r="H1138" s="54"/>
      <c r="I1138" s="54"/>
      <c r="J1138" s="54"/>
      <c r="K1138" s="54"/>
      <c r="L1138" s="54"/>
      <c r="M1138" s="54"/>
      <c r="N1138" s="54"/>
      <c r="O1138" s="54"/>
      <c r="P1138" s="54"/>
      <c r="Q1138" s="54"/>
      <c r="R1138" s="54"/>
      <c r="S1138" s="54"/>
      <c r="T1138" s="54"/>
      <c r="U1138" s="39"/>
    </row>
    <row r="1139" spans="1:21">
      <c r="A1139" s="54" t="str">
        <f>_xlfn.TEXTJOIN("",TRUE,Input!$B$2,ROW(My_Audit!A1138))</f>
        <v>XX1138</v>
      </c>
      <c r="B1139" s="54"/>
      <c r="C1139" s="54"/>
      <c r="D1139" s="55" t="str">
        <f>_xlfn.XLOOKUP(A1139,My_Audit!A:A,My_Audit!D:D,"")&amp;""</f>
        <v/>
      </c>
      <c r="E1139" s="54"/>
      <c r="F1139" s="54"/>
      <c r="G1139" s="54"/>
      <c r="H1139" s="54"/>
      <c r="I1139" s="54"/>
      <c r="J1139" s="54"/>
      <c r="K1139" s="54"/>
      <c r="L1139" s="54"/>
      <c r="M1139" s="54"/>
      <c r="N1139" s="54"/>
      <c r="O1139" s="54"/>
      <c r="P1139" s="54"/>
      <c r="Q1139" s="54"/>
      <c r="R1139" s="54"/>
      <c r="S1139" s="54"/>
      <c r="T1139" s="54"/>
      <c r="U1139" s="39"/>
    </row>
    <row r="1140" spans="1:21">
      <c r="A1140" s="54" t="str">
        <f>_xlfn.TEXTJOIN("",TRUE,Input!$B$2,ROW(My_Audit!A1139))</f>
        <v>XX1139</v>
      </c>
      <c r="B1140" s="54"/>
      <c r="C1140" s="54"/>
      <c r="D1140" s="55" t="str">
        <f>_xlfn.XLOOKUP(A1140,My_Audit!A:A,My_Audit!D:D,"")&amp;""</f>
        <v/>
      </c>
      <c r="E1140" s="54"/>
      <c r="F1140" s="54"/>
      <c r="G1140" s="54"/>
      <c r="H1140" s="54"/>
      <c r="I1140" s="54"/>
      <c r="J1140" s="54"/>
      <c r="K1140" s="54"/>
      <c r="L1140" s="54"/>
      <c r="M1140" s="54"/>
      <c r="N1140" s="54"/>
      <c r="O1140" s="54"/>
      <c r="P1140" s="54"/>
      <c r="Q1140" s="54"/>
      <c r="R1140" s="54"/>
      <c r="S1140" s="54"/>
      <c r="T1140" s="54"/>
      <c r="U1140" s="39"/>
    </row>
    <row r="1141" spans="1:21">
      <c r="A1141" s="54" t="str">
        <f>_xlfn.TEXTJOIN("",TRUE,Input!$B$2,ROW(My_Audit!A1140))</f>
        <v>XX1140</v>
      </c>
      <c r="B1141" s="54"/>
      <c r="C1141" s="54"/>
      <c r="D1141" s="55" t="str">
        <f>_xlfn.XLOOKUP(A1141,My_Audit!A:A,My_Audit!D:D,"")&amp;""</f>
        <v/>
      </c>
      <c r="E1141" s="54"/>
      <c r="F1141" s="54"/>
      <c r="G1141" s="54"/>
      <c r="H1141" s="54"/>
      <c r="I1141" s="54"/>
      <c r="J1141" s="54"/>
      <c r="K1141" s="54"/>
      <c r="L1141" s="54"/>
      <c r="M1141" s="54"/>
      <c r="N1141" s="54"/>
      <c r="O1141" s="54"/>
      <c r="P1141" s="54"/>
      <c r="Q1141" s="54"/>
      <c r="R1141" s="54"/>
      <c r="S1141" s="54"/>
      <c r="T1141" s="54"/>
      <c r="U1141" s="39"/>
    </row>
    <row r="1142" spans="1:21">
      <c r="A1142" s="54" t="str">
        <f>_xlfn.TEXTJOIN("",TRUE,Input!$B$2,ROW(My_Audit!A1141))</f>
        <v>XX1141</v>
      </c>
      <c r="B1142" s="54"/>
      <c r="C1142" s="54"/>
      <c r="D1142" s="55" t="str">
        <f>_xlfn.XLOOKUP(A1142,My_Audit!A:A,My_Audit!D:D,"")&amp;""</f>
        <v/>
      </c>
      <c r="E1142" s="54"/>
      <c r="F1142" s="54"/>
      <c r="G1142" s="54"/>
      <c r="H1142" s="54"/>
      <c r="I1142" s="54"/>
      <c r="J1142" s="54"/>
      <c r="K1142" s="54"/>
      <c r="L1142" s="54"/>
      <c r="M1142" s="54"/>
      <c r="N1142" s="54"/>
      <c r="O1142" s="54"/>
      <c r="P1142" s="54"/>
      <c r="Q1142" s="54"/>
      <c r="R1142" s="54"/>
      <c r="S1142" s="54"/>
      <c r="T1142" s="54"/>
      <c r="U1142" s="39"/>
    </row>
    <row r="1143" spans="1:21">
      <c r="A1143" s="54" t="str">
        <f>_xlfn.TEXTJOIN("",TRUE,Input!$B$2,ROW(My_Audit!A1142))</f>
        <v>XX1142</v>
      </c>
      <c r="B1143" s="54"/>
      <c r="C1143" s="54"/>
      <c r="D1143" s="55" t="str">
        <f>_xlfn.XLOOKUP(A1143,My_Audit!A:A,My_Audit!D:D,"")&amp;""</f>
        <v/>
      </c>
      <c r="E1143" s="54"/>
      <c r="F1143" s="54"/>
      <c r="G1143" s="54"/>
      <c r="H1143" s="54"/>
      <c r="I1143" s="54"/>
      <c r="J1143" s="54"/>
      <c r="K1143" s="54"/>
      <c r="L1143" s="54"/>
      <c r="M1143" s="54"/>
      <c r="N1143" s="54"/>
      <c r="O1143" s="54"/>
      <c r="P1143" s="54"/>
      <c r="Q1143" s="54"/>
      <c r="R1143" s="54"/>
      <c r="S1143" s="54"/>
      <c r="T1143" s="54"/>
      <c r="U1143" s="39"/>
    </row>
    <row r="1144" spans="1:21">
      <c r="A1144" s="54" t="str">
        <f>_xlfn.TEXTJOIN("",TRUE,Input!$B$2,ROW(My_Audit!A1143))</f>
        <v>XX1143</v>
      </c>
      <c r="B1144" s="54"/>
      <c r="C1144" s="54"/>
      <c r="D1144" s="55" t="str">
        <f>_xlfn.XLOOKUP(A1144,My_Audit!A:A,My_Audit!D:D,"")&amp;""</f>
        <v/>
      </c>
      <c r="E1144" s="54"/>
      <c r="F1144" s="54"/>
      <c r="G1144" s="54"/>
      <c r="H1144" s="54"/>
      <c r="I1144" s="54"/>
      <c r="J1144" s="54"/>
      <c r="K1144" s="54"/>
      <c r="L1144" s="54"/>
      <c r="M1144" s="54"/>
      <c r="N1144" s="54"/>
      <c r="O1144" s="54"/>
      <c r="P1144" s="54"/>
      <c r="Q1144" s="54"/>
      <c r="R1144" s="54"/>
      <c r="S1144" s="54"/>
      <c r="T1144" s="54"/>
      <c r="U1144" s="39"/>
    </row>
    <row r="1145" spans="1:21">
      <c r="A1145" s="54" t="str">
        <f>_xlfn.TEXTJOIN("",TRUE,Input!$B$2,ROW(My_Audit!A1144))</f>
        <v>XX1144</v>
      </c>
      <c r="B1145" s="54"/>
      <c r="C1145" s="54"/>
      <c r="D1145" s="55" t="str">
        <f>_xlfn.XLOOKUP(A1145,My_Audit!A:A,My_Audit!D:D,"")&amp;""</f>
        <v/>
      </c>
      <c r="E1145" s="54"/>
      <c r="F1145" s="54"/>
      <c r="G1145" s="54"/>
      <c r="H1145" s="54"/>
      <c r="I1145" s="54"/>
      <c r="J1145" s="54"/>
      <c r="K1145" s="54"/>
      <c r="L1145" s="54"/>
      <c r="M1145" s="54"/>
      <c r="N1145" s="54"/>
      <c r="O1145" s="54"/>
      <c r="P1145" s="54"/>
      <c r="Q1145" s="54"/>
      <c r="R1145" s="54"/>
      <c r="S1145" s="54"/>
      <c r="T1145" s="54"/>
      <c r="U1145" s="39"/>
    </row>
    <row r="1146" spans="1:21">
      <c r="A1146" s="54" t="str">
        <f>_xlfn.TEXTJOIN("",TRUE,Input!$B$2,ROW(My_Audit!A1145))</f>
        <v>XX1145</v>
      </c>
      <c r="B1146" s="54"/>
      <c r="C1146" s="54"/>
      <c r="D1146" s="55" t="str">
        <f>_xlfn.XLOOKUP(A1146,My_Audit!A:A,My_Audit!D:D,"")&amp;""</f>
        <v/>
      </c>
      <c r="E1146" s="54"/>
      <c r="F1146" s="54"/>
      <c r="G1146" s="54"/>
      <c r="H1146" s="54"/>
      <c r="I1146" s="54"/>
      <c r="J1146" s="54"/>
      <c r="K1146" s="54"/>
      <c r="L1146" s="54"/>
      <c r="M1146" s="54"/>
      <c r="N1146" s="54"/>
      <c r="O1146" s="54"/>
      <c r="P1146" s="54"/>
      <c r="Q1146" s="54"/>
      <c r="R1146" s="54"/>
      <c r="S1146" s="54"/>
      <c r="T1146" s="54"/>
      <c r="U1146" s="39"/>
    </row>
    <row r="1147" spans="1:21">
      <c r="A1147" s="54" t="str">
        <f>_xlfn.TEXTJOIN("",TRUE,Input!$B$2,ROW(My_Audit!A1146))</f>
        <v>XX1146</v>
      </c>
      <c r="B1147" s="54"/>
      <c r="C1147" s="54"/>
      <c r="D1147" s="55" t="str">
        <f>_xlfn.XLOOKUP(A1147,My_Audit!A:A,My_Audit!D:D,"")&amp;""</f>
        <v/>
      </c>
      <c r="E1147" s="54"/>
      <c r="F1147" s="54"/>
      <c r="G1147" s="54"/>
      <c r="H1147" s="54"/>
      <c r="I1147" s="54"/>
      <c r="J1147" s="54"/>
      <c r="K1147" s="54"/>
      <c r="L1147" s="54"/>
      <c r="M1147" s="54"/>
      <c r="N1147" s="54"/>
      <c r="O1147" s="54"/>
      <c r="P1147" s="54"/>
      <c r="Q1147" s="54"/>
      <c r="R1147" s="54"/>
      <c r="S1147" s="54"/>
      <c r="T1147" s="54"/>
      <c r="U1147" s="39"/>
    </row>
    <row r="1148" spans="1:21">
      <c r="A1148" s="54" t="str">
        <f>_xlfn.TEXTJOIN("",TRUE,Input!$B$2,ROW(My_Audit!A1147))</f>
        <v>XX1147</v>
      </c>
      <c r="B1148" s="54"/>
      <c r="C1148" s="54"/>
      <c r="D1148" s="55" t="str">
        <f>_xlfn.XLOOKUP(A1148,My_Audit!A:A,My_Audit!D:D,"")&amp;""</f>
        <v/>
      </c>
      <c r="E1148" s="54"/>
      <c r="F1148" s="54"/>
      <c r="G1148" s="54"/>
      <c r="H1148" s="54"/>
      <c r="I1148" s="54"/>
      <c r="J1148" s="54"/>
      <c r="K1148" s="54"/>
      <c r="L1148" s="54"/>
      <c r="M1148" s="54"/>
      <c r="N1148" s="54"/>
      <c r="O1148" s="54"/>
      <c r="P1148" s="54"/>
      <c r="Q1148" s="54"/>
      <c r="R1148" s="54"/>
      <c r="S1148" s="54"/>
      <c r="T1148" s="54"/>
      <c r="U1148" s="39"/>
    </row>
    <row r="1149" spans="1:21">
      <c r="A1149" s="54" t="str">
        <f>_xlfn.TEXTJOIN("",TRUE,Input!$B$2,ROW(My_Audit!A1148))</f>
        <v>XX1148</v>
      </c>
      <c r="B1149" s="54"/>
      <c r="C1149" s="54"/>
      <c r="D1149" s="55" t="str">
        <f>_xlfn.XLOOKUP(A1149,My_Audit!A:A,My_Audit!D:D,"")&amp;""</f>
        <v/>
      </c>
      <c r="E1149" s="54"/>
      <c r="F1149" s="54"/>
      <c r="G1149" s="54"/>
      <c r="H1149" s="54"/>
      <c r="I1149" s="54"/>
      <c r="J1149" s="54"/>
      <c r="K1149" s="54"/>
      <c r="L1149" s="54"/>
      <c r="M1149" s="54"/>
      <c r="N1149" s="54"/>
      <c r="O1149" s="54"/>
      <c r="P1149" s="54"/>
      <c r="Q1149" s="54"/>
      <c r="R1149" s="54"/>
      <c r="S1149" s="54"/>
      <c r="T1149" s="54"/>
      <c r="U1149" s="39"/>
    </row>
    <row r="1150" spans="1:21">
      <c r="A1150" s="54" t="str">
        <f>_xlfn.TEXTJOIN("",TRUE,Input!$B$2,ROW(My_Audit!A1149))</f>
        <v>XX1149</v>
      </c>
      <c r="B1150" s="54"/>
      <c r="C1150" s="54"/>
      <c r="D1150" s="55" t="str">
        <f>_xlfn.XLOOKUP(A1150,My_Audit!A:A,My_Audit!D:D,"")&amp;""</f>
        <v/>
      </c>
      <c r="E1150" s="54"/>
      <c r="F1150" s="54"/>
      <c r="G1150" s="54"/>
      <c r="H1150" s="54"/>
      <c r="I1150" s="54"/>
      <c r="J1150" s="54"/>
      <c r="K1150" s="54"/>
      <c r="L1150" s="54"/>
      <c r="M1150" s="54"/>
      <c r="N1150" s="54"/>
      <c r="O1150" s="54"/>
      <c r="P1150" s="54"/>
      <c r="Q1150" s="54"/>
      <c r="R1150" s="54"/>
      <c r="S1150" s="54"/>
      <c r="T1150" s="54"/>
      <c r="U1150" s="39"/>
    </row>
    <row r="1151" spans="1:21">
      <c r="A1151" s="54" t="str">
        <f>_xlfn.TEXTJOIN("",TRUE,Input!$B$2,ROW(My_Audit!A1150))</f>
        <v>XX1150</v>
      </c>
      <c r="B1151" s="54"/>
      <c r="C1151" s="54"/>
      <c r="D1151" s="55" t="str">
        <f>_xlfn.XLOOKUP(A1151,My_Audit!A:A,My_Audit!D:D,"")&amp;""</f>
        <v/>
      </c>
      <c r="E1151" s="54"/>
      <c r="F1151" s="54"/>
      <c r="G1151" s="54"/>
      <c r="H1151" s="54"/>
      <c r="I1151" s="54"/>
      <c r="J1151" s="54"/>
      <c r="K1151" s="54"/>
      <c r="L1151" s="54"/>
      <c r="M1151" s="54"/>
      <c r="N1151" s="54"/>
      <c r="O1151" s="54"/>
      <c r="P1151" s="54"/>
      <c r="Q1151" s="54"/>
      <c r="R1151" s="54"/>
      <c r="S1151" s="54"/>
      <c r="T1151" s="54"/>
      <c r="U1151" s="39"/>
    </row>
    <row r="1152" spans="1:21">
      <c r="A1152" s="54" t="str">
        <f>_xlfn.TEXTJOIN("",TRUE,Input!$B$2,ROW(My_Audit!A1151))</f>
        <v>XX1151</v>
      </c>
      <c r="B1152" s="54"/>
      <c r="C1152" s="54"/>
      <c r="D1152" s="55" t="str">
        <f>_xlfn.XLOOKUP(A1152,My_Audit!A:A,My_Audit!D:D,"")&amp;""</f>
        <v/>
      </c>
      <c r="E1152" s="54"/>
      <c r="F1152" s="54"/>
      <c r="G1152" s="54"/>
      <c r="H1152" s="54"/>
      <c r="I1152" s="54"/>
      <c r="J1152" s="54"/>
      <c r="K1152" s="54"/>
      <c r="L1152" s="54"/>
      <c r="M1152" s="54"/>
      <c r="N1152" s="54"/>
      <c r="O1152" s="54"/>
      <c r="P1152" s="54"/>
      <c r="Q1152" s="54"/>
      <c r="R1152" s="54"/>
      <c r="S1152" s="54"/>
      <c r="T1152" s="54"/>
      <c r="U1152" s="39"/>
    </row>
    <row r="1153" spans="1:21">
      <c r="A1153" s="54" t="str">
        <f>_xlfn.TEXTJOIN("",TRUE,Input!$B$2,ROW(My_Audit!A1152))</f>
        <v>XX1152</v>
      </c>
      <c r="B1153" s="54"/>
      <c r="C1153" s="54"/>
      <c r="D1153" s="55" t="str">
        <f>_xlfn.XLOOKUP(A1153,My_Audit!A:A,My_Audit!D:D,"")&amp;""</f>
        <v/>
      </c>
      <c r="E1153" s="54"/>
      <c r="F1153" s="54"/>
      <c r="G1153" s="54"/>
      <c r="H1153" s="54"/>
      <c r="I1153" s="54"/>
      <c r="J1153" s="54"/>
      <c r="K1153" s="54"/>
      <c r="L1153" s="54"/>
      <c r="M1153" s="54"/>
      <c r="N1153" s="54"/>
      <c r="O1153" s="54"/>
      <c r="P1153" s="54"/>
      <c r="Q1153" s="54"/>
      <c r="R1153" s="54"/>
      <c r="S1153" s="54"/>
      <c r="T1153" s="54"/>
      <c r="U1153" s="39"/>
    </row>
    <row r="1154" spans="1:21">
      <c r="A1154" s="54" t="str">
        <f>_xlfn.TEXTJOIN("",TRUE,Input!$B$2,ROW(My_Audit!A1153))</f>
        <v>XX1153</v>
      </c>
      <c r="B1154" s="54"/>
      <c r="C1154" s="54"/>
      <c r="D1154" s="55" t="str">
        <f>_xlfn.XLOOKUP(A1154,My_Audit!A:A,My_Audit!D:D,"")&amp;""</f>
        <v/>
      </c>
      <c r="E1154" s="54"/>
      <c r="F1154" s="54"/>
      <c r="G1154" s="54"/>
      <c r="H1154" s="54"/>
      <c r="I1154" s="54"/>
      <c r="J1154" s="54"/>
      <c r="K1154" s="54"/>
      <c r="L1154" s="54"/>
      <c r="M1154" s="54"/>
      <c r="N1154" s="54"/>
      <c r="O1154" s="54"/>
      <c r="P1154" s="54"/>
      <c r="Q1154" s="54"/>
      <c r="R1154" s="54"/>
      <c r="S1154" s="54"/>
      <c r="T1154" s="54"/>
      <c r="U1154" s="39"/>
    </row>
    <row r="1155" spans="1:21">
      <c r="A1155" s="54" t="str">
        <f>_xlfn.TEXTJOIN("",TRUE,Input!$B$2,ROW(My_Audit!A1154))</f>
        <v>XX1154</v>
      </c>
      <c r="B1155" s="54"/>
      <c r="C1155" s="54"/>
      <c r="D1155" s="55" t="str">
        <f>_xlfn.XLOOKUP(A1155,My_Audit!A:A,My_Audit!D:D,"")&amp;""</f>
        <v/>
      </c>
      <c r="E1155" s="54"/>
      <c r="F1155" s="54"/>
      <c r="G1155" s="54"/>
      <c r="H1155" s="54"/>
      <c r="I1155" s="54"/>
      <c r="J1155" s="54"/>
      <c r="K1155" s="54"/>
      <c r="L1155" s="54"/>
      <c r="M1155" s="54"/>
      <c r="N1155" s="54"/>
      <c r="O1155" s="54"/>
      <c r="P1155" s="54"/>
      <c r="Q1155" s="54"/>
      <c r="R1155" s="54"/>
      <c r="S1155" s="54"/>
      <c r="T1155" s="54"/>
      <c r="U1155" s="39"/>
    </row>
    <row r="1156" spans="1:21">
      <c r="A1156" s="54" t="str">
        <f>_xlfn.TEXTJOIN("",TRUE,Input!$B$2,ROW(My_Audit!A1155))</f>
        <v>XX1155</v>
      </c>
      <c r="B1156" s="54"/>
      <c r="C1156" s="54"/>
      <c r="D1156" s="55" t="str">
        <f>_xlfn.XLOOKUP(A1156,My_Audit!A:A,My_Audit!D:D,"")&amp;""</f>
        <v/>
      </c>
      <c r="E1156" s="54"/>
      <c r="F1156" s="54"/>
      <c r="G1156" s="54"/>
      <c r="H1156" s="54"/>
      <c r="I1156" s="54"/>
      <c r="J1156" s="54"/>
      <c r="K1156" s="54"/>
      <c r="L1156" s="54"/>
      <c r="M1156" s="54"/>
      <c r="N1156" s="54"/>
      <c r="O1156" s="54"/>
      <c r="P1156" s="54"/>
      <c r="Q1156" s="54"/>
      <c r="R1156" s="54"/>
      <c r="S1156" s="54"/>
      <c r="T1156" s="54"/>
      <c r="U1156" s="39"/>
    </row>
    <row r="1157" spans="1:21">
      <c r="A1157" s="54" t="str">
        <f>_xlfn.TEXTJOIN("",TRUE,Input!$B$2,ROW(My_Audit!A1156))</f>
        <v>XX1156</v>
      </c>
      <c r="B1157" s="54"/>
      <c r="C1157" s="54"/>
      <c r="D1157" s="55" t="str">
        <f>_xlfn.XLOOKUP(A1157,My_Audit!A:A,My_Audit!D:D,"")&amp;""</f>
        <v/>
      </c>
      <c r="E1157" s="54"/>
      <c r="F1157" s="54"/>
      <c r="G1157" s="54"/>
      <c r="H1157" s="54"/>
      <c r="I1157" s="54"/>
      <c r="J1157" s="54"/>
      <c r="K1157" s="54"/>
      <c r="L1157" s="54"/>
      <c r="M1157" s="54"/>
      <c r="N1157" s="54"/>
      <c r="O1157" s="54"/>
      <c r="P1157" s="54"/>
      <c r="Q1157" s="54"/>
      <c r="R1157" s="54"/>
      <c r="S1157" s="54"/>
      <c r="T1157" s="54"/>
      <c r="U1157" s="39"/>
    </row>
    <row r="1158" spans="1:21">
      <c r="A1158" s="54" t="str">
        <f>_xlfn.TEXTJOIN("",TRUE,Input!$B$2,ROW(My_Audit!A1157))</f>
        <v>XX1157</v>
      </c>
      <c r="B1158" s="54"/>
      <c r="C1158" s="54"/>
      <c r="D1158" s="55" t="str">
        <f>_xlfn.XLOOKUP(A1158,My_Audit!A:A,My_Audit!D:D,"")&amp;""</f>
        <v/>
      </c>
      <c r="E1158" s="54"/>
      <c r="F1158" s="54"/>
      <c r="G1158" s="54"/>
      <c r="H1158" s="54"/>
      <c r="I1158" s="54"/>
      <c r="J1158" s="54"/>
      <c r="K1158" s="54"/>
      <c r="L1158" s="54"/>
      <c r="M1158" s="54"/>
      <c r="N1158" s="54"/>
      <c r="O1158" s="54"/>
      <c r="P1158" s="54"/>
      <c r="Q1158" s="54"/>
      <c r="R1158" s="54"/>
      <c r="S1158" s="54"/>
      <c r="T1158" s="54"/>
      <c r="U1158" s="39"/>
    </row>
    <row r="1159" spans="1:21">
      <c r="A1159" s="54" t="str">
        <f>_xlfn.TEXTJOIN("",TRUE,Input!$B$2,ROW(My_Audit!A1158))</f>
        <v>XX1158</v>
      </c>
      <c r="B1159" s="54"/>
      <c r="C1159" s="54"/>
      <c r="D1159" s="55" t="str">
        <f>_xlfn.XLOOKUP(A1159,My_Audit!A:A,My_Audit!D:D,"")&amp;""</f>
        <v/>
      </c>
      <c r="E1159" s="54"/>
      <c r="F1159" s="54"/>
      <c r="G1159" s="54"/>
      <c r="H1159" s="54"/>
      <c r="I1159" s="54"/>
      <c r="J1159" s="54"/>
      <c r="K1159" s="54"/>
      <c r="L1159" s="54"/>
      <c r="M1159" s="54"/>
      <c r="N1159" s="54"/>
      <c r="O1159" s="54"/>
      <c r="P1159" s="54"/>
      <c r="Q1159" s="54"/>
      <c r="R1159" s="54"/>
      <c r="S1159" s="54"/>
      <c r="T1159" s="54"/>
      <c r="U1159" s="39"/>
    </row>
    <row r="1160" spans="1:21">
      <c r="A1160" s="54" t="str">
        <f>_xlfn.TEXTJOIN("",TRUE,Input!$B$2,ROW(My_Audit!A1159))</f>
        <v>XX1159</v>
      </c>
      <c r="B1160" s="54"/>
      <c r="C1160" s="54"/>
      <c r="D1160" s="55" t="str">
        <f>_xlfn.XLOOKUP(A1160,My_Audit!A:A,My_Audit!D:D,"")&amp;""</f>
        <v/>
      </c>
      <c r="E1160" s="54"/>
      <c r="F1160" s="54"/>
      <c r="G1160" s="54"/>
      <c r="H1160" s="54"/>
      <c r="I1160" s="54"/>
      <c r="J1160" s="54"/>
      <c r="K1160" s="54"/>
      <c r="L1160" s="54"/>
      <c r="M1160" s="54"/>
      <c r="N1160" s="54"/>
      <c r="O1160" s="54"/>
      <c r="P1160" s="54"/>
      <c r="Q1160" s="54"/>
      <c r="R1160" s="54"/>
      <c r="S1160" s="54"/>
      <c r="T1160" s="54"/>
      <c r="U1160" s="39"/>
    </row>
    <row r="1161" spans="1:21">
      <c r="A1161" s="54" t="str">
        <f>_xlfn.TEXTJOIN("",TRUE,Input!$B$2,ROW(My_Audit!A1160))</f>
        <v>XX1160</v>
      </c>
      <c r="B1161" s="54"/>
      <c r="C1161" s="54"/>
      <c r="D1161" s="55" t="str">
        <f>_xlfn.XLOOKUP(A1161,My_Audit!A:A,My_Audit!D:D,"")&amp;""</f>
        <v/>
      </c>
      <c r="E1161" s="54"/>
      <c r="F1161" s="54"/>
      <c r="G1161" s="54"/>
      <c r="H1161" s="54"/>
      <c r="I1161" s="54"/>
      <c r="J1161" s="54"/>
      <c r="K1161" s="54"/>
      <c r="L1161" s="54"/>
      <c r="M1161" s="54"/>
      <c r="N1161" s="54"/>
      <c r="O1161" s="54"/>
      <c r="P1161" s="54"/>
      <c r="Q1161" s="54"/>
      <c r="R1161" s="54"/>
      <c r="S1161" s="54"/>
      <c r="T1161" s="54"/>
      <c r="U1161" s="39"/>
    </row>
    <row r="1162" spans="1:21">
      <c r="A1162" s="54" t="str">
        <f>_xlfn.TEXTJOIN("",TRUE,Input!$B$2,ROW(My_Audit!A1161))</f>
        <v>XX1161</v>
      </c>
      <c r="B1162" s="54"/>
      <c r="C1162" s="54"/>
      <c r="D1162" s="55" t="str">
        <f>_xlfn.XLOOKUP(A1162,My_Audit!A:A,My_Audit!D:D,"")&amp;""</f>
        <v/>
      </c>
      <c r="E1162" s="54"/>
      <c r="F1162" s="54"/>
      <c r="G1162" s="54"/>
      <c r="H1162" s="54"/>
      <c r="I1162" s="54"/>
      <c r="J1162" s="54"/>
      <c r="K1162" s="54"/>
      <c r="L1162" s="54"/>
      <c r="M1162" s="54"/>
      <c r="N1162" s="54"/>
      <c r="O1162" s="54"/>
      <c r="P1162" s="54"/>
      <c r="Q1162" s="54"/>
      <c r="R1162" s="54"/>
      <c r="S1162" s="54"/>
      <c r="T1162" s="54"/>
      <c r="U1162" s="39"/>
    </row>
    <row r="1163" spans="1:21">
      <c r="A1163" s="54" t="str">
        <f>_xlfn.TEXTJOIN("",TRUE,Input!$B$2,ROW(My_Audit!A1162))</f>
        <v>XX1162</v>
      </c>
      <c r="B1163" s="54"/>
      <c r="C1163" s="54"/>
      <c r="D1163" s="55" t="str">
        <f>_xlfn.XLOOKUP(A1163,My_Audit!A:A,My_Audit!D:D,"")&amp;""</f>
        <v/>
      </c>
      <c r="E1163" s="54"/>
      <c r="F1163" s="54"/>
      <c r="G1163" s="54"/>
      <c r="H1163" s="54"/>
      <c r="I1163" s="54"/>
      <c r="J1163" s="54"/>
      <c r="K1163" s="54"/>
      <c r="L1163" s="54"/>
      <c r="M1163" s="54"/>
      <c r="N1163" s="54"/>
      <c r="O1163" s="54"/>
      <c r="P1163" s="54"/>
      <c r="Q1163" s="54"/>
      <c r="R1163" s="54"/>
      <c r="S1163" s="54"/>
      <c r="T1163" s="54"/>
      <c r="U1163" s="39"/>
    </row>
    <row r="1164" spans="1:21">
      <c r="A1164" s="54" t="str">
        <f>_xlfn.TEXTJOIN("",TRUE,Input!$B$2,ROW(My_Audit!A1163))</f>
        <v>XX1163</v>
      </c>
      <c r="B1164" s="54"/>
      <c r="C1164" s="54"/>
      <c r="D1164" s="55" t="str">
        <f>_xlfn.XLOOKUP(A1164,My_Audit!A:A,My_Audit!D:D,"")&amp;""</f>
        <v/>
      </c>
      <c r="E1164" s="54"/>
      <c r="F1164" s="54"/>
      <c r="G1164" s="54"/>
      <c r="H1164" s="54"/>
      <c r="I1164" s="54"/>
      <c r="J1164" s="54"/>
      <c r="K1164" s="54"/>
      <c r="L1164" s="54"/>
      <c r="M1164" s="54"/>
      <c r="N1164" s="54"/>
      <c r="O1164" s="54"/>
      <c r="P1164" s="54"/>
      <c r="Q1164" s="54"/>
      <c r="R1164" s="54"/>
      <c r="S1164" s="54"/>
      <c r="T1164" s="54"/>
      <c r="U1164" s="39"/>
    </row>
    <row r="1165" spans="1:21">
      <c r="A1165" s="54" t="str">
        <f>_xlfn.TEXTJOIN("",TRUE,Input!$B$2,ROW(My_Audit!A1164))</f>
        <v>XX1164</v>
      </c>
      <c r="B1165" s="54"/>
      <c r="C1165" s="54"/>
      <c r="D1165" s="55" t="str">
        <f>_xlfn.XLOOKUP(A1165,My_Audit!A:A,My_Audit!D:D,"")&amp;""</f>
        <v/>
      </c>
      <c r="E1165" s="54"/>
      <c r="F1165" s="54"/>
      <c r="G1165" s="54"/>
      <c r="H1165" s="54"/>
      <c r="I1165" s="54"/>
      <c r="J1165" s="54"/>
      <c r="K1165" s="54"/>
      <c r="L1165" s="54"/>
      <c r="M1165" s="54"/>
      <c r="N1165" s="54"/>
      <c r="O1165" s="54"/>
      <c r="P1165" s="54"/>
      <c r="Q1165" s="54"/>
      <c r="R1165" s="54"/>
      <c r="S1165" s="54"/>
      <c r="T1165" s="54"/>
      <c r="U1165" s="39"/>
    </row>
    <row r="1166" spans="1:21">
      <c r="A1166" s="54" t="str">
        <f>_xlfn.TEXTJOIN("",TRUE,Input!$B$2,ROW(My_Audit!A1165))</f>
        <v>XX1165</v>
      </c>
      <c r="B1166" s="54"/>
      <c r="C1166" s="54"/>
      <c r="D1166" s="55" t="str">
        <f>_xlfn.XLOOKUP(A1166,My_Audit!A:A,My_Audit!D:D,"")&amp;""</f>
        <v/>
      </c>
      <c r="E1166" s="54"/>
      <c r="F1166" s="54"/>
      <c r="G1166" s="54"/>
      <c r="H1166" s="54"/>
      <c r="I1166" s="54"/>
      <c r="J1166" s="54"/>
      <c r="K1166" s="54"/>
      <c r="L1166" s="54"/>
      <c r="M1166" s="54"/>
      <c r="N1166" s="54"/>
      <c r="O1166" s="54"/>
      <c r="P1166" s="54"/>
      <c r="Q1166" s="54"/>
      <c r="R1166" s="54"/>
      <c r="S1166" s="54"/>
      <c r="T1166" s="54"/>
      <c r="U1166" s="39"/>
    </row>
    <row r="1167" spans="1:21">
      <c r="A1167" s="54" t="str">
        <f>_xlfn.TEXTJOIN("",TRUE,Input!$B$2,ROW(My_Audit!A1166))</f>
        <v>XX1166</v>
      </c>
      <c r="B1167" s="54"/>
      <c r="C1167" s="54"/>
      <c r="D1167" s="55" t="str">
        <f>_xlfn.XLOOKUP(A1167,My_Audit!A:A,My_Audit!D:D,"")&amp;""</f>
        <v/>
      </c>
      <c r="E1167" s="54"/>
      <c r="F1167" s="54"/>
      <c r="G1167" s="54"/>
      <c r="H1167" s="54"/>
      <c r="I1167" s="54"/>
      <c r="J1167" s="54"/>
      <c r="K1167" s="54"/>
      <c r="L1167" s="54"/>
      <c r="M1167" s="54"/>
      <c r="N1167" s="54"/>
      <c r="O1167" s="54"/>
      <c r="P1167" s="54"/>
      <c r="Q1167" s="54"/>
      <c r="R1167" s="54"/>
      <c r="S1167" s="54"/>
      <c r="T1167" s="54"/>
      <c r="U1167" s="39"/>
    </row>
    <row r="1168" spans="1:21">
      <c r="A1168" s="54" t="str">
        <f>_xlfn.TEXTJOIN("",TRUE,Input!$B$2,ROW(My_Audit!A1167))</f>
        <v>XX1167</v>
      </c>
      <c r="B1168" s="54"/>
      <c r="C1168" s="54"/>
      <c r="D1168" s="55" t="str">
        <f>_xlfn.XLOOKUP(A1168,My_Audit!A:A,My_Audit!D:D,"")&amp;""</f>
        <v/>
      </c>
      <c r="E1168" s="54"/>
      <c r="F1168" s="54"/>
      <c r="G1168" s="54"/>
      <c r="H1168" s="54"/>
      <c r="I1168" s="54"/>
      <c r="J1168" s="54"/>
      <c r="K1168" s="54"/>
      <c r="L1168" s="54"/>
      <c r="M1168" s="54"/>
      <c r="N1168" s="54"/>
      <c r="O1168" s="54"/>
      <c r="P1168" s="54"/>
      <c r="Q1168" s="54"/>
      <c r="R1168" s="54"/>
      <c r="S1168" s="54"/>
      <c r="T1168" s="54"/>
      <c r="U1168" s="39"/>
    </row>
    <row r="1169" spans="1:21">
      <c r="A1169" s="54" t="str">
        <f>_xlfn.TEXTJOIN("",TRUE,Input!$B$2,ROW(My_Audit!A1168))</f>
        <v>XX1168</v>
      </c>
      <c r="B1169" s="54"/>
      <c r="C1169" s="54"/>
      <c r="D1169" s="55" t="str">
        <f>_xlfn.XLOOKUP(A1169,My_Audit!A:A,My_Audit!D:D,"")&amp;""</f>
        <v/>
      </c>
      <c r="E1169" s="54"/>
      <c r="F1169" s="54"/>
      <c r="G1169" s="54"/>
      <c r="H1169" s="54"/>
      <c r="I1169" s="54"/>
      <c r="J1169" s="54"/>
      <c r="K1169" s="54"/>
      <c r="L1169" s="54"/>
      <c r="M1169" s="54"/>
      <c r="N1169" s="54"/>
      <c r="O1169" s="54"/>
      <c r="P1169" s="54"/>
      <c r="Q1169" s="54"/>
      <c r="R1169" s="54"/>
      <c r="S1169" s="54"/>
      <c r="T1169" s="54"/>
      <c r="U1169" s="39"/>
    </row>
    <row r="1170" spans="1:21">
      <c r="A1170" s="54" t="str">
        <f>_xlfn.TEXTJOIN("",TRUE,Input!$B$2,ROW(My_Audit!A1169))</f>
        <v>XX1169</v>
      </c>
      <c r="B1170" s="54"/>
      <c r="C1170" s="54"/>
      <c r="D1170" s="55" t="str">
        <f>_xlfn.XLOOKUP(A1170,My_Audit!A:A,My_Audit!D:D,"")&amp;""</f>
        <v/>
      </c>
      <c r="E1170" s="54"/>
      <c r="F1170" s="54"/>
      <c r="G1170" s="54"/>
      <c r="H1170" s="54"/>
      <c r="I1170" s="54"/>
      <c r="J1170" s="54"/>
      <c r="K1170" s="54"/>
      <c r="L1170" s="54"/>
      <c r="M1170" s="54"/>
      <c r="N1170" s="54"/>
      <c r="O1170" s="54"/>
      <c r="P1170" s="54"/>
      <c r="Q1170" s="54"/>
      <c r="R1170" s="54"/>
      <c r="S1170" s="54"/>
      <c r="T1170" s="54"/>
      <c r="U1170" s="39"/>
    </row>
    <row r="1171" spans="1:21">
      <c r="A1171" s="54" t="str">
        <f>_xlfn.TEXTJOIN("",TRUE,Input!$B$2,ROW(My_Audit!A1170))</f>
        <v>XX1170</v>
      </c>
      <c r="B1171" s="54"/>
      <c r="C1171" s="54"/>
      <c r="D1171" s="55" t="str">
        <f>_xlfn.XLOOKUP(A1171,My_Audit!A:A,My_Audit!D:D,"")&amp;""</f>
        <v/>
      </c>
      <c r="E1171" s="54"/>
      <c r="F1171" s="54"/>
      <c r="G1171" s="54"/>
      <c r="H1171" s="54"/>
      <c r="I1171" s="54"/>
      <c r="J1171" s="54"/>
      <c r="K1171" s="54"/>
      <c r="L1171" s="54"/>
      <c r="M1171" s="54"/>
      <c r="N1171" s="54"/>
      <c r="O1171" s="54"/>
      <c r="P1171" s="54"/>
      <c r="Q1171" s="54"/>
      <c r="R1171" s="54"/>
      <c r="S1171" s="54"/>
      <c r="T1171" s="54"/>
      <c r="U1171" s="39"/>
    </row>
    <row r="1172" spans="1:21">
      <c r="A1172" s="54" t="str">
        <f>_xlfn.TEXTJOIN("",TRUE,Input!$B$2,ROW(My_Audit!A1171))</f>
        <v>XX1171</v>
      </c>
      <c r="B1172" s="54"/>
      <c r="C1172" s="54"/>
      <c r="D1172" s="55" t="str">
        <f>_xlfn.XLOOKUP(A1172,My_Audit!A:A,My_Audit!D:D,"")&amp;""</f>
        <v/>
      </c>
      <c r="E1172" s="54"/>
      <c r="F1172" s="54"/>
      <c r="G1172" s="54"/>
      <c r="H1172" s="54"/>
      <c r="I1172" s="54"/>
      <c r="J1172" s="54"/>
      <c r="K1172" s="54"/>
      <c r="L1172" s="54"/>
      <c r="M1172" s="54"/>
      <c r="N1172" s="54"/>
      <c r="O1172" s="54"/>
      <c r="P1172" s="54"/>
      <c r="Q1172" s="54"/>
      <c r="R1172" s="54"/>
      <c r="S1172" s="54"/>
      <c r="T1172" s="54"/>
      <c r="U1172" s="39"/>
    </row>
    <row r="1173" spans="1:21">
      <c r="A1173" s="54" t="str">
        <f>_xlfn.TEXTJOIN("",TRUE,Input!$B$2,ROW(My_Audit!A1172))</f>
        <v>XX1172</v>
      </c>
      <c r="B1173" s="54"/>
      <c r="C1173" s="54"/>
      <c r="D1173" s="55" t="str">
        <f>_xlfn.XLOOKUP(A1173,My_Audit!A:A,My_Audit!D:D,"")&amp;""</f>
        <v/>
      </c>
      <c r="E1173" s="54"/>
      <c r="F1173" s="54"/>
      <c r="G1173" s="54"/>
      <c r="H1173" s="54"/>
      <c r="I1173" s="54"/>
      <c r="J1173" s="54"/>
      <c r="K1173" s="54"/>
      <c r="L1173" s="54"/>
      <c r="M1173" s="54"/>
      <c r="N1173" s="54"/>
      <c r="O1173" s="54"/>
      <c r="P1173" s="54"/>
      <c r="Q1173" s="54"/>
      <c r="R1173" s="54"/>
      <c r="S1173" s="54"/>
      <c r="T1173" s="54"/>
      <c r="U1173" s="39"/>
    </row>
    <row r="1174" spans="1:21">
      <c r="A1174" s="54" t="str">
        <f>_xlfn.TEXTJOIN("",TRUE,Input!$B$2,ROW(My_Audit!A1173))</f>
        <v>XX1173</v>
      </c>
      <c r="B1174" s="54"/>
      <c r="C1174" s="54"/>
      <c r="D1174" s="55" t="str">
        <f>_xlfn.XLOOKUP(A1174,My_Audit!A:A,My_Audit!D:D,"")&amp;""</f>
        <v/>
      </c>
      <c r="E1174" s="54"/>
      <c r="F1174" s="54"/>
      <c r="G1174" s="54"/>
      <c r="H1174" s="54"/>
      <c r="I1174" s="54"/>
      <c r="J1174" s="54"/>
      <c r="K1174" s="54"/>
      <c r="L1174" s="54"/>
      <c r="M1174" s="54"/>
      <c r="N1174" s="54"/>
      <c r="O1174" s="54"/>
      <c r="P1174" s="54"/>
      <c r="Q1174" s="54"/>
      <c r="R1174" s="54"/>
      <c r="S1174" s="54"/>
      <c r="T1174" s="54"/>
      <c r="U1174" s="39"/>
    </row>
    <row r="1175" spans="1:21">
      <c r="A1175" s="54" t="str">
        <f>_xlfn.TEXTJOIN("",TRUE,Input!$B$2,ROW(My_Audit!A1174))</f>
        <v>XX1174</v>
      </c>
      <c r="B1175" s="54"/>
      <c r="C1175" s="54"/>
      <c r="D1175" s="55" t="str">
        <f>_xlfn.XLOOKUP(A1175,My_Audit!A:A,My_Audit!D:D,"")&amp;""</f>
        <v/>
      </c>
      <c r="E1175" s="54"/>
      <c r="F1175" s="54"/>
      <c r="G1175" s="54"/>
      <c r="H1175" s="54"/>
      <c r="I1175" s="54"/>
      <c r="J1175" s="54"/>
      <c r="K1175" s="54"/>
      <c r="L1175" s="54"/>
      <c r="M1175" s="54"/>
      <c r="N1175" s="54"/>
      <c r="O1175" s="54"/>
      <c r="P1175" s="54"/>
      <c r="Q1175" s="54"/>
      <c r="R1175" s="54"/>
      <c r="S1175" s="54"/>
      <c r="T1175" s="54"/>
      <c r="U1175" s="39"/>
    </row>
    <row r="1176" spans="1:21">
      <c r="A1176" s="54" t="str">
        <f>_xlfn.TEXTJOIN("",TRUE,Input!$B$2,ROW(My_Audit!A1175))</f>
        <v>XX1175</v>
      </c>
      <c r="B1176" s="54"/>
      <c r="C1176" s="54"/>
      <c r="D1176" s="55" t="str">
        <f>_xlfn.XLOOKUP(A1176,My_Audit!A:A,My_Audit!D:D,"")&amp;""</f>
        <v/>
      </c>
      <c r="E1176" s="54"/>
      <c r="F1176" s="54"/>
      <c r="G1176" s="54"/>
      <c r="H1176" s="54"/>
      <c r="I1176" s="54"/>
      <c r="J1176" s="54"/>
      <c r="K1176" s="54"/>
      <c r="L1176" s="54"/>
      <c r="M1176" s="54"/>
      <c r="N1176" s="54"/>
      <c r="O1176" s="54"/>
      <c r="P1176" s="54"/>
      <c r="Q1176" s="54"/>
      <c r="R1176" s="54"/>
      <c r="S1176" s="54"/>
      <c r="T1176" s="54"/>
      <c r="U1176" s="39"/>
    </row>
    <row r="1177" spans="1:21">
      <c r="A1177" s="54" t="str">
        <f>_xlfn.TEXTJOIN("",TRUE,Input!$B$2,ROW(My_Audit!A1176))</f>
        <v>XX1176</v>
      </c>
      <c r="B1177" s="54"/>
      <c r="C1177" s="54"/>
      <c r="D1177" s="55" t="str">
        <f>_xlfn.XLOOKUP(A1177,My_Audit!A:A,My_Audit!D:D,"")&amp;""</f>
        <v/>
      </c>
      <c r="E1177" s="54"/>
      <c r="F1177" s="54"/>
      <c r="G1177" s="54"/>
      <c r="H1177" s="54"/>
      <c r="I1177" s="54"/>
      <c r="J1177" s="54"/>
      <c r="K1177" s="54"/>
      <c r="L1177" s="54"/>
      <c r="M1177" s="54"/>
      <c r="N1177" s="54"/>
      <c r="O1177" s="54"/>
      <c r="P1177" s="54"/>
      <c r="Q1177" s="54"/>
      <c r="R1177" s="54"/>
      <c r="S1177" s="54"/>
      <c r="T1177" s="54"/>
      <c r="U1177" s="39"/>
    </row>
    <row r="1178" spans="1:21">
      <c r="A1178" s="54" t="str">
        <f>_xlfn.TEXTJOIN("",TRUE,Input!$B$2,ROW(My_Audit!A1177))</f>
        <v>XX1177</v>
      </c>
      <c r="B1178" s="54"/>
      <c r="C1178" s="54"/>
      <c r="D1178" s="55" t="str">
        <f>_xlfn.XLOOKUP(A1178,My_Audit!A:A,My_Audit!D:D,"")&amp;""</f>
        <v/>
      </c>
      <c r="E1178" s="54"/>
      <c r="F1178" s="54"/>
      <c r="G1178" s="54"/>
      <c r="H1178" s="54"/>
      <c r="I1178" s="54"/>
      <c r="J1178" s="54"/>
      <c r="K1178" s="54"/>
      <c r="L1178" s="54"/>
      <c r="M1178" s="54"/>
      <c r="N1178" s="54"/>
      <c r="O1178" s="54"/>
      <c r="P1178" s="54"/>
      <c r="Q1178" s="54"/>
      <c r="R1178" s="54"/>
      <c r="S1178" s="54"/>
      <c r="T1178" s="54"/>
      <c r="U1178" s="39"/>
    </row>
    <row r="1179" spans="1:21">
      <c r="A1179" s="54" t="str">
        <f>_xlfn.TEXTJOIN("",TRUE,Input!$B$2,ROW(My_Audit!A1178))</f>
        <v>XX1178</v>
      </c>
      <c r="B1179" s="54"/>
      <c r="C1179" s="54"/>
      <c r="D1179" s="55" t="str">
        <f>_xlfn.XLOOKUP(A1179,My_Audit!A:A,My_Audit!D:D,"")&amp;""</f>
        <v/>
      </c>
      <c r="E1179" s="54"/>
      <c r="F1179" s="54"/>
      <c r="G1179" s="54"/>
      <c r="H1179" s="54"/>
      <c r="I1179" s="54"/>
      <c r="J1179" s="54"/>
      <c r="K1179" s="54"/>
      <c r="L1179" s="54"/>
      <c r="M1179" s="54"/>
      <c r="N1179" s="54"/>
      <c r="O1179" s="54"/>
      <c r="P1179" s="54"/>
      <c r="Q1179" s="54"/>
      <c r="R1179" s="54"/>
      <c r="S1179" s="54"/>
      <c r="T1179" s="54"/>
      <c r="U1179" s="39"/>
    </row>
    <row r="1180" spans="1:21">
      <c r="A1180" s="54" t="str">
        <f>_xlfn.TEXTJOIN("",TRUE,Input!$B$2,ROW(My_Audit!A1179))</f>
        <v>XX1179</v>
      </c>
      <c r="B1180" s="54"/>
      <c r="C1180" s="54"/>
      <c r="D1180" s="55" t="str">
        <f>_xlfn.XLOOKUP(A1180,My_Audit!A:A,My_Audit!D:D,"")&amp;""</f>
        <v/>
      </c>
      <c r="E1180" s="54"/>
      <c r="F1180" s="54"/>
      <c r="G1180" s="54"/>
      <c r="H1180" s="54"/>
      <c r="I1180" s="54"/>
      <c r="J1180" s="54"/>
      <c r="K1180" s="54"/>
      <c r="L1180" s="54"/>
      <c r="M1180" s="54"/>
      <c r="N1180" s="54"/>
      <c r="O1180" s="54"/>
      <c r="P1180" s="54"/>
      <c r="Q1180" s="54"/>
      <c r="R1180" s="54"/>
      <c r="S1180" s="54"/>
      <c r="T1180" s="54"/>
      <c r="U1180" s="39"/>
    </row>
    <row r="1181" spans="1:21">
      <c r="A1181" s="54" t="str">
        <f>_xlfn.TEXTJOIN("",TRUE,Input!$B$2,ROW(My_Audit!A1180))</f>
        <v>XX1180</v>
      </c>
      <c r="B1181" s="54"/>
      <c r="C1181" s="54"/>
      <c r="D1181" s="55" t="str">
        <f>_xlfn.XLOOKUP(A1181,My_Audit!A:A,My_Audit!D:D,"")&amp;""</f>
        <v/>
      </c>
      <c r="E1181" s="54"/>
      <c r="F1181" s="54"/>
      <c r="G1181" s="54"/>
      <c r="H1181" s="54"/>
      <c r="I1181" s="54"/>
      <c r="J1181" s="54"/>
      <c r="K1181" s="54"/>
      <c r="L1181" s="54"/>
      <c r="M1181" s="54"/>
      <c r="N1181" s="54"/>
      <c r="O1181" s="54"/>
      <c r="P1181" s="54"/>
      <c r="Q1181" s="54"/>
      <c r="R1181" s="54"/>
      <c r="S1181" s="54"/>
      <c r="T1181" s="54"/>
      <c r="U1181" s="39"/>
    </row>
    <row r="1182" spans="1:21">
      <c r="A1182" s="54" t="str">
        <f>_xlfn.TEXTJOIN("",TRUE,Input!$B$2,ROW(My_Audit!A1181))</f>
        <v>XX1181</v>
      </c>
      <c r="B1182" s="54"/>
      <c r="C1182" s="54"/>
      <c r="D1182" s="55" t="str">
        <f>_xlfn.XLOOKUP(A1182,My_Audit!A:A,My_Audit!D:D,"")&amp;""</f>
        <v/>
      </c>
      <c r="E1182" s="54"/>
      <c r="F1182" s="54"/>
      <c r="G1182" s="54"/>
      <c r="H1182" s="54"/>
      <c r="I1182" s="54"/>
      <c r="J1182" s="54"/>
      <c r="K1182" s="54"/>
      <c r="L1182" s="54"/>
      <c r="M1182" s="54"/>
      <c r="N1182" s="54"/>
      <c r="O1182" s="54"/>
      <c r="P1182" s="54"/>
      <c r="Q1182" s="54"/>
      <c r="R1182" s="54"/>
      <c r="S1182" s="54"/>
      <c r="T1182" s="54"/>
      <c r="U1182" s="39"/>
    </row>
    <row r="1183" spans="1:21">
      <c r="A1183" s="54" t="str">
        <f>_xlfn.TEXTJOIN("",TRUE,Input!$B$2,ROW(My_Audit!A1182))</f>
        <v>XX1182</v>
      </c>
      <c r="B1183" s="54"/>
      <c r="C1183" s="54"/>
      <c r="D1183" s="55" t="str">
        <f>_xlfn.XLOOKUP(A1183,My_Audit!A:A,My_Audit!D:D,"")&amp;""</f>
        <v/>
      </c>
      <c r="E1183" s="54"/>
      <c r="F1183" s="54"/>
      <c r="G1183" s="54"/>
      <c r="H1183" s="54"/>
      <c r="I1183" s="54"/>
      <c r="J1183" s="54"/>
      <c r="K1183" s="54"/>
      <c r="L1183" s="54"/>
      <c r="M1183" s="54"/>
      <c r="N1183" s="54"/>
      <c r="O1183" s="54"/>
      <c r="P1183" s="54"/>
      <c r="Q1183" s="54"/>
      <c r="R1183" s="54"/>
      <c r="S1183" s="54"/>
      <c r="T1183" s="54"/>
      <c r="U1183" s="39"/>
    </row>
    <row r="1184" spans="1:21">
      <c r="A1184" s="54" t="str">
        <f>_xlfn.TEXTJOIN("",TRUE,Input!$B$2,ROW(My_Audit!A1183))</f>
        <v>XX1183</v>
      </c>
      <c r="B1184" s="54"/>
      <c r="C1184" s="54"/>
      <c r="D1184" s="55" t="str">
        <f>_xlfn.XLOOKUP(A1184,My_Audit!A:A,My_Audit!D:D,"")&amp;""</f>
        <v/>
      </c>
      <c r="E1184" s="54"/>
      <c r="F1184" s="54"/>
      <c r="G1184" s="54"/>
      <c r="H1184" s="54"/>
      <c r="I1184" s="54"/>
      <c r="J1184" s="54"/>
      <c r="K1184" s="54"/>
      <c r="L1184" s="54"/>
      <c r="M1184" s="54"/>
      <c r="N1184" s="54"/>
      <c r="O1184" s="54"/>
      <c r="P1184" s="54"/>
      <c r="Q1184" s="54"/>
      <c r="R1184" s="54"/>
      <c r="S1184" s="54"/>
      <c r="T1184" s="54"/>
      <c r="U1184" s="39"/>
    </row>
    <row r="1185" spans="1:21">
      <c r="A1185" s="54" t="str">
        <f>_xlfn.TEXTJOIN("",TRUE,Input!$B$2,ROW(My_Audit!A1184))</f>
        <v>XX1184</v>
      </c>
      <c r="B1185" s="54"/>
      <c r="C1185" s="54"/>
      <c r="D1185" s="55" t="str">
        <f>_xlfn.XLOOKUP(A1185,My_Audit!A:A,My_Audit!D:D,"")&amp;""</f>
        <v/>
      </c>
      <c r="E1185" s="54"/>
      <c r="F1185" s="54"/>
      <c r="G1185" s="54"/>
      <c r="H1185" s="54"/>
      <c r="I1185" s="54"/>
      <c r="J1185" s="54"/>
      <c r="K1185" s="54"/>
      <c r="L1185" s="54"/>
      <c r="M1185" s="54"/>
      <c r="N1185" s="54"/>
      <c r="O1185" s="54"/>
      <c r="P1185" s="54"/>
      <c r="Q1185" s="54"/>
      <c r="R1185" s="54"/>
      <c r="S1185" s="54"/>
      <c r="T1185" s="54"/>
      <c r="U1185" s="39"/>
    </row>
    <row r="1186" spans="1:21">
      <c r="A1186" s="54" t="str">
        <f>_xlfn.TEXTJOIN("",TRUE,Input!$B$2,ROW(My_Audit!A1185))</f>
        <v>XX1185</v>
      </c>
      <c r="B1186" s="54"/>
      <c r="C1186" s="54"/>
      <c r="D1186" s="55" t="str">
        <f>_xlfn.XLOOKUP(A1186,My_Audit!A:A,My_Audit!D:D,"")&amp;""</f>
        <v/>
      </c>
      <c r="E1186" s="54"/>
      <c r="F1186" s="54"/>
      <c r="G1186" s="54"/>
      <c r="H1186" s="54"/>
      <c r="I1186" s="54"/>
      <c r="J1186" s="54"/>
      <c r="K1186" s="54"/>
      <c r="L1186" s="54"/>
      <c r="M1186" s="54"/>
      <c r="N1186" s="54"/>
      <c r="O1186" s="54"/>
      <c r="P1186" s="54"/>
      <c r="Q1186" s="54"/>
      <c r="R1186" s="54"/>
      <c r="S1186" s="54"/>
      <c r="T1186" s="54"/>
      <c r="U1186" s="39"/>
    </row>
    <row r="1187" spans="1:21">
      <c r="A1187" s="54" t="str">
        <f>_xlfn.TEXTJOIN("",TRUE,Input!$B$2,ROW(My_Audit!A1186))</f>
        <v>XX1186</v>
      </c>
      <c r="B1187" s="54"/>
      <c r="C1187" s="54"/>
      <c r="D1187" s="55" t="str">
        <f>_xlfn.XLOOKUP(A1187,My_Audit!A:A,My_Audit!D:D,"")&amp;""</f>
        <v/>
      </c>
      <c r="E1187" s="54"/>
      <c r="F1187" s="54"/>
      <c r="G1187" s="54"/>
      <c r="H1187" s="54"/>
      <c r="I1187" s="54"/>
      <c r="J1187" s="54"/>
      <c r="K1187" s="54"/>
      <c r="L1187" s="54"/>
      <c r="M1187" s="54"/>
      <c r="N1187" s="54"/>
      <c r="O1187" s="54"/>
      <c r="P1187" s="54"/>
      <c r="Q1187" s="54"/>
      <c r="R1187" s="54"/>
      <c r="S1187" s="54"/>
      <c r="T1187" s="54"/>
      <c r="U1187" s="39"/>
    </row>
    <row r="1188" spans="1:21">
      <c r="A1188" s="54" t="str">
        <f>_xlfn.TEXTJOIN("",TRUE,Input!$B$2,ROW(My_Audit!A1187))</f>
        <v>XX1187</v>
      </c>
      <c r="B1188" s="54"/>
      <c r="C1188" s="54"/>
      <c r="D1188" s="55" t="str">
        <f>_xlfn.XLOOKUP(A1188,My_Audit!A:A,My_Audit!D:D,"")&amp;""</f>
        <v/>
      </c>
      <c r="E1188" s="54"/>
      <c r="F1188" s="54"/>
      <c r="G1188" s="54"/>
      <c r="H1188" s="54"/>
      <c r="I1188" s="54"/>
      <c r="J1188" s="54"/>
      <c r="K1188" s="54"/>
      <c r="L1188" s="54"/>
      <c r="M1188" s="54"/>
      <c r="N1188" s="54"/>
      <c r="O1188" s="54"/>
      <c r="P1188" s="54"/>
      <c r="Q1188" s="54"/>
      <c r="R1188" s="54"/>
      <c r="S1188" s="54"/>
      <c r="T1188" s="54"/>
      <c r="U1188" s="39"/>
    </row>
    <row r="1189" spans="1:21">
      <c r="A1189" s="54" t="str">
        <f>_xlfn.TEXTJOIN("",TRUE,Input!$B$2,ROW(My_Audit!A1188))</f>
        <v>XX1188</v>
      </c>
      <c r="B1189" s="54"/>
      <c r="C1189" s="54"/>
      <c r="D1189" s="55" t="str">
        <f>_xlfn.XLOOKUP(A1189,My_Audit!A:A,My_Audit!D:D,"")&amp;""</f>
        <v/>
      </c>
      <c r="E1189" s="54"/>
      <c r="F1189" s="54"/>
      <c r="G1189" s="54"/>
      <c r="H1189" s="54"/>
      <c r="I1189" s="54"/>
      <c r="J1189" s="54"/>
      <c r="K1189" s="54"/>
      <c r="L1189" s="54"/>
      <c r="M1189" s="54"/>
      <c r="N1189" s="54"/>
      <c r="O1189" s="54"/>
      <c r="P1189" s="54"/>
      <c r="Q1189" s="54"/>
      <c r="R1189" s="54"/>
      <c r="S1189" s="54"/>
      <c r="T1189" s="54"/>
      <c r="U1189" s="39"/>
    </row>
    <row r="1190" spans="1:21">
      <c r="A1190" s="54" t="str">
        <f>_xlfn.TEXTJOIN("",TRUE,Input!$B$2,ROW(My_Audit!A1189))</f>
        <v>XX1189</v>
      </c>
      <c r="B1190" s="54"/>
      <c r="C1190" s="54"/>
      <c r="D1190" s="55" t="str">
        <f>_xlfn.XLOOKUP(A1190,My_Audit!A:A,My_Audit!D:D,"")&amp;""</f>
        <v/>
      </c>
      <c r="E1190" s="54"/>
      <c r="F1190" s="54"/>
      <c r="G1190" s="54"/>
      <c r="H1190" s="54"/>
      <c r="I1190" s="54"/>
      <c r="J1190" s="54"/>
      <c r="K1190" s="54"/>
      <c r="L1190" s="54"/>
      <c r="M1190" s="54"/>
      <c r="N1190" s="54"/>
      <c r="O1190" s="54"/>
      <c r="P1190" s="54"/>
      <c r="Q1190" s="54"/>
      <c r="R1190" s="54"/>
      <c r="S1190" s="54"/>
      <c r="T1190" s="54"/>
      <c r="U1190" s="39"/>
    </row>
    <row r="1191" spans="1:21">
      <c r="A1191" s="54" t="str">
        <f>_xlfn.TEXTJOIN("",TRUE,Input!$B$2,ROW(My_Audit!A1190))</f>
        <v>XX1190</v>
      </c>
      <c r="B1191" s="54"/>
      <c r="C1191" s="54"/>
      <c r="D1191" s="55" t="str">
        <f>_xlfn.XLOOKUP(A1191,My_Audit!A:A,My_Audit!D:D,"")&amp;""</f>
        <v/>
      </c>
      <c r="E1191" s="54"/>
      <c r="F1191" s="54"/>
      <c r="G1191" s="54"/>
      <c r="H1191" s="54"/>
      <c r="I1191" s="54"/>
      <c r="J1191" s="54"/>
      <c r="K1191" s="54"/>
      <c r="L1191" s="54"/>
      <c r="M1191" s="54"/>
      <c r="N1191" s="54"/>
      <c r="O1191" s="54"/>
      <c r="P1191" s="54"/>
      <c r="Q1191" s="54"/>
      <c r="R1191" s="54"/>
      <c r="S1191" s="54"/>
      <c r="T1191" s="54"/>
      <c r="U1191" s="39"/>
    </row>
    <row r="1192" spans="1:21">
      <c r="A1192" s="54" t="str">
        <f>_xlfn.TEXTJOIN("",TRUE,Input!$B$2,ROW(My_Audit!A1191))</f>
        <v>XX1191</v>
      </c>
      <c r="B1192" s="54"/>
      <c r="C1192" s="54"/>
      <c r="D1192" s="55" t="str">
        <f>_xlfn.XLOOKUP(A1192,My_Audit!A:A,My_Audit!D:D,"")&amp;""</f>
        <v/>
      </c>
      <c r="E1192" s="54"/>
      <c r="F1192" s="54"/>
      <c r="G1192" s="54"/>
      <c r="H1192" s="54"/>
      <c r="I1192" s="54"/>
      <c r="J1192" s="54"/>
      <c r="K1192" s="54"/>
      <c r="L1192" s="54"/>
      <c r="M1192" s="54"/>
      <c r="N1192" s="54"/>
      <c r="O1192" s="54"/>
      <c r="P1192" s="54"/>
      <c r="Q1192" s="54"/>
      <c r="R1192" s="54"/>
      <c r="S1192" s="54"/>
      <c r="T1192" s="54"/>
      <c r="U1192" s="39"/>
    </row>
    <row r="1193" spans="1:21">
      <c r="A1193" s="54" t="str">
        <f>_xlfn.TEXTJOIN("",TRUE,Input!$B$2,ROW(My_Audit!A1192))</f>
        <v>XX1192</v>
      </c>
      <c r="B1193" s="54"/>
      <c r="C1193" s="54"/>
      <c r="D1193" s="55" t="str">
        <f>_xlfn.XLOOKUP(A1193,My_Audit!A:A,My_Audit!D:D,"")&amp;""</f>
        <v/>
      </c>
      <c r="E1193" s="54"/>
      <c r="F1193" s="54"/>
      <c r="G1193" s="54"/>
      <c r="H1193" s="54"/>
      <c r="I1193" s="54"/>
      <c r="J1193" s="54"/>
      <c r="K1193" s="54"/>
      <c r="L1193" s="54"/>
      <c r="M1193" s="54"/>
      <c r="N1193" s="54"/>
      <c r="O1193" s="54"/>
      <c r="P1193" s="54"/>
      <c r="Q1193" s="54"/>
      <c r="R1193" s="54"/>
      <c r="S1193" s="54"/>
      <c r="T1193" s="54"/>
      <c r="U1193" s="39"/>
    </row>
    <row r="1194" spans="1:21">
      <c r="A1194" s="54" t="str">
        <f>_xlfn.TEXTJOIN("",TRUE,Input!$B$2,ROW(My_Audit!A1193))</f>
        <v>XX1193</v>
      </c>
      <c r="B1194" s="54"/>
      <c r="C1194" s="54"/>
      <c r="D1194" s="55" t="str">
        <f>_xlfn.XLOOKUP(A1194,My_Audit!A:A,My_Audit!D:D,"")&amp;""</f>
        <v/>
      </c>
      <c r="E1194" s="54"/>
      <c r="F1194" s="54"/>
      <c r="G1194" s="54"/>
      <c r="H1194" s="54"/>
      <c r="I1194" s="54"/>
      <c r="J1194" s="54"/>
      <c r="K1194" s="54"/>
      <c r="L1194" s="54"/>
      <c r="M1194" s="54"/>
      <c r="N1194" s="54"/>
      <c r="O1194" s="54"/>
      <c r="P1194" s="54"/>
      <c r="Q1194" s="54"/>
      <c r="R1194" s="54"/>
      <c r="S1194" s="54"/>
      <c r="T1194" s="54"/>
      <c r="U1194" s="39"/>
    </row>
    <row r="1195" spans="1:21">
      <c r="A1195" s="54" t="str">
        <f>_xlfn.TEXTJOIN("",TRUE,Input!$B$2,ROW(My_Audit!A1194))</f>
        <v>XX1194</v>
      </c>
      <c r="B1195" s="54"/>
      <c r="C1195" s="54"/>
      <c r="D1195" s="55" t="str">
        <f>_xlfn.XLOOKUP(A1195,My_Audit!A:A,My_Audit!D:D,"")&amp;""</f>
        <v/>
      </c>
      <c r="E1195" s="54"/>
      <c r="F1195" s="54"/>
      <c r="G1195" s="54"/>
      <c r="H1195" s="54"/>
      <c r="I1195" s="54"/>
      <c r="J1195" s="54"/>
      <c r="K1195" s="54"/>
      <c r="L1195" s="54"/>
      <c r="M1195" s="54"/>
      <c r="N1195" s="54"/>
      <c r="O1195" s="54"/>
      <c r="P1195" s="54"/>
      <c r="Q1195" s="54"/>
      <c r="R1195" s="54"/>
      <c r="S1195" s="54"/>
      <c r="T1195" s="54"/>
      <c r="U1195" s="39"/>
    </row>
    <row r="1196" spans="1:21">
      <c r="A1196" s="54" t="str">
        <f>_xlfn.TEXTJOIN("",TRUE,Input!$B$2,ROW(My_Audit!A1195))</f>
        <v>XX1195</v>
      </c>
      <c r="B1196" s="54"/>
      <c r="C1196" s="54"/>
      <c r="D1196" s="55" t="str">
        <f>_xlfn.XLOOKUP(A1196,My_Audit!A:A,My_Audit!D:D,"")&amp;""</f>
        <v/>
      </c>
      <c r="E1196" s="54"/>
      <c r="F1196" s="54"/>
      <c r="G1196" s="54"/>
      <c r="H1196" s="54"/>
      <c r="I1196" s="54"/>
      <c r="J1196" s="54"/>
      <c r="K1196" s="54"/>
      <c r="L1196" s="54"/>
      <c r="M1196" s="54"/>
      <c r="N1196" s="54"/>
      <c r="O1196" s="54"/>
      <c r="P1196" s="54"/>
      <c r="Q1196" s="54"/>
      <c r="R1196" s="54"/>
      <c r="S1196" s="54"/>
      <c r="T1196" s="54"/>
      <c r="U1196" s="39"/>
    </row>
    <row r="1197" spans="1:21">
      <c r="A1197" s="54" t="str">
        <f>_xlfn.TEXTJOIN("",TRUE,Input!$B$2,ROW(My_Audit!A1196))</f>
        <v>XX1196</v>
      </c>
      <c r="B1197" s="54"/>
      <c r="C1197" s="54"/>
      <c r="D1197" s="55" t="str">
        <f>_xlfn.XLOOKUP(A1197,My_Audit!A:A,My_Audit!D:D,"")&amp;""</f>
        <v/>
      </c>
      <c r="E1197" s="54"/>
      <c r="F1197" s="54"/>
      <c r="G1197" s="54"/>
      <c r="H1197" s="54"/>
      <c r="I1197" s="54"/>
      <c r="J1197" s="54"/>
      <c r="K1197" s="54"/>
      <c r="L1197" s="54"/>
      <c r="M1197" s="54"/>
      <c r="N1197" s="54"/>
      <c r="O1197" s="54"/>
      <c r="P1197" s="54"/>
      <c r="Q1197" s="54"/>
      <c r="R1197" s="54"/>
      <c r="S1197" s="54"/>
      <c r="T1197" s="54"/>
      <c r="U1197" s="39"/>
    </row>
    <row r="1198" spans="1:21">
      <c r="A1198" s="54" t="str">
        <f>_xlfn.TEXTJOIN("",TRUE,Input!$B$2,ROW(My_Audit!A1197))</f>
        <v>XX1197</v>
      </c>
      <c r="B1198" s="54"/>
      <c r="C1198" s="54"/>
      <c r="D1198" s="55" t="str">
        <f>_xlfn.XLOOKUP(A1198,My_Audit!A:A,My_Audit!D:D,"")&amp;""</f>
        <v/>
      </c>
      <c r="E1198" s="54"/>
      <c r="F1198" s="54"/>
      <c r="G1198" s="54"/>
      <c r="H1198" s="54"/>
      <c r="I1198" s="54"/>
      <c r="J1198" s="54"/>
      <c r="K1198" s="54"/>
      <c r="L1198" s="54"/>
      <c r="M1198" s="54"/>
      <c r="N1198" s="54"/>
      <c r="O1198" s="54"/>
      <c r="P1198" s="54"/>
      <c r="Q1198" s="54"/>
      <c r="R1198" s="54"/>
      <c r="S1198" s="54"/>
      <c r="T1198" s="54"/>
      <c r="U1198" s="39"/>
    </row>
    <row r="1199" spans="1:21">
      <c r="A1199" s="54" t="str">
        <f>_xlfn.TEXTJOIN("",TRUE,Input!$B$2,ROW(My_Audit!A1198))</f>
        <v>XX1198</v>
      </c>
      <c r="B1199" s="54"/>
      <c r="C1199" s="54"/>
      <c r="D1199" s="55" t="str">
        <f>_xlfn.XLOOKUP(A1199,My_Audit!A:A,My_Audit!D:D,"")&amp;""</f>
        <v/>
      </c>
      <c r="E1199" s="54"/>
      <c r="F1199" s="54"/>
      <c r="G1199" s="54"/>
      <c r="H1199" s="54"/>
      <c r="I1199" s="54"/>
      <c r="J1199" s="54"/>
      <c r="K1199" s="54"/>
      <c r="L1199" s="54"/>
      <c r="M1199" s="54"/>
      <c r="N1199" s="54"/>
      <c r="O1199" s="54"/>
      <c r="P1199" s="54"/>
      <c r="Q1199" s="54"/>
      <c r="R1199" s="54"/>
      <c r="S1199" s="54"/>
      <c r="T1199" s="54"/>
      <c r="U1199" s="39"/>
    </row>
    <row r="1200" spans="1:21">
      <c r="A1200" s="54" t="str">
        <f>_xlfn.TEXTJOIN("",TRUE,Input!$B$2,ROW(My_Audit!A1199))</f>
        <v>XX1199</v>
      </c>
      <c r="B1200" s="54"/>
      <c r="C1200" s="54"/>
      <c r="D1200" s="55" t="str">
        <f>_xlfn.XLOOKUP(A1200,My_Audit!A:A,My_Audit!D:D,"")&amp;""</f>
        <v/>
      </c>
      <c r="E1200" s="54"/>
      <c r="F1200" s="54"/>
      <c r="G1200" s="54"/>
      <c r="H1200" s="54"/>
      <c r="I1200" s="54"/>
      <c r="J1200" s="54"/>
      <c r="K1200" s="54"/>
      <c r="L1200" s="54"/>
      <c r="M1200" s="54"/>
      <c r="N1200" s="54"/>
      <c r="O1200" s="54"/>
      <c r="P1200" s="54"/>
      <c r="Q1200" s="54"/>
      <c r="R1200" s="54"/>
      <c r="S1200" s="54"/>
      <c r="T1200" s="54"/>
      <c r="U1200" s="39"/>
    </row>
    <row r="1201" spans="1:21">
      <c r="A1201" s="54" t="str">
        <f>_xlfn.TEXTJOIN("",TRUE,Input!$B$2,ROW(My_Audit!A1200))</f>
        <v>XX1200</v>
      </c>
      <c r="B1201" s="54"/>
      <c r="C1201" s="54"/>
      <c r="D1201" s="55" t="str">
        <f>_xlfn.XLOOKUP(A1201,My_Audit!A:A,My_Audit!D:D,"")&amp;""</f>
        <v/>
      </c>
      <c r="E1201" s="54"/>
      <c r="F1201" s="54"/>
      <c r="G1201" s="54"/>
      <c r="H1201" s="54"/>
      <c r="I1201" s="54"/>
      <c r="J1201" s="54"/>
      <c r="K1201" s="54"/>
      <c r="L1201" s="54"/>
      <c r="M1201" s="54"/>
      <c r="N1201" s="54"/>
      <c r="O1201" s="54"/>
      <c r="P1201" s="54"/>
      <c r="Q1201" s="54"/>
      <c r="R1201" s="54"/>
      <c r="S1201" s="54"/>
      <c r="T1201" s="54"/>
      <c r="U1201" s="39"/>
    </row>
    <row r="1202" spans="1:21">
      <c r="A1202" s="54" t="str">
        <f>_xlfn.TEXTJOIN("",TRUE,Input!$B$2,ROW(My_Audit!A1201))</f>
        <v>XX1201</v>
      </c>
      <c r="B1202" s="54"/>
      <c r="C1202" s="54"/>
      <c r="D1202" s="55" t="str">
        <f>_xlfn.XLOOKUP(A1202,My_Audit!A:A,My_Audit!D:D,"")&amp;""</f>
        <v/>
      </c>
      <c r="E1202" s="54"/>
      <c r="F1202" s="54"/>
      <c r="G1202" s="54"/>
      <c r="H1202" s="54"/>
      <c r="I1202" s="54"/>
      <c r="J1202" s="54"/>
      <c r="K1202" s="54"/>
      <c r="L1202" s="54"/>
      <c r="M1202" s="54"/>
      <c r="N1202" s="54"/>
      <c r="O1202" s="54"/>
      <c r="P1202" s="54"/>
      <c r="Q1202" s="54"/>
      <c r="R1202" s="54"/>
      <c r="S1202" s="54"/>
      <c r="T1202" s="54"/>
      <c r="U1202" s="39"/>
    </row>
    <row r="1203" spans="1:21">
      <c r="A1203" s="54" t="str">
        <f>_xlfn.TEXTJOIN("",TRUE,Input!$B$2,ROW(My_Audit!A1202))</f>
        <v>XX1202</v>
      </c>
      <c r="B1203" s="54"/>
      <c r="C1203" s="54"/>
      <c r="D1203" s="55" t="str">
        <f>_xlfn.XLOOKUP(A1203,My_Audit!A:A,My_Audit!D:D,"")&amp;""</f>
        <v/>
      </c>
      <c r="E1203" s="54"/>
      <c r="F1203" s="54"/>
      <c r="G1203" s="54"/>
      <c r="H1203" s="54"/>
      <c r="I1203" s="54"/>
      <c r="J1203" s="54"/>
      <c r="K1203" s="54"/>
      <c r="L1203" s="54"/>
      <c r="M1203" s="54"/>
      <c r="N1203" s="54"/>
      <c r="O1203" s="54"/>
      <c r="P1203" s="54"/>
      <c r="Q1203" s="54"/>
      <c r="R1203" s="54"/>
      <c r="S1203" s="54"/>
      <c r="T1203" s="54"/>
      <c r="U1203" s="39"/>
    </row>
    <row r="1204" spans="1:21">
      <c r="A1204" s="54" t="str">
        <f>_xlfn.TEXTJOIN("",TRUE,Input!$B$2,ROW(My_Audit!A1203))</f>
        <v>XX1203</v>
      </c>
      <c r="B1204" s="54"/>
      <c r="C1204" s="54"/>
      <c r="D1204" s="55" t="str">
        <f>_xlfn.XLOOKUP(A1204,My_Audit!A:A,My_Audit!D:D,"")&amp;""</f>
        <v/>
      </c>
      <c r="E1204" s="54"/>
      <c r="F1204" s="54"/>
      <c r="G1204" s="54"/>
      <c r="H1204" s="54"/>
      <c r="I1204" s="54"/>
      <c r="J1204" s="54"/>
      <c r="K1204" s="54"/>
      <c r="L1204" s="54"/>
      <c r="M1204" s="54"/>
      <c r="N1204" s="54"/>
      <c r="O1204" s="54"/>
      <c r="P1204" s="54"/>
      <c r="Q1204" s="54"/>
      <c r="R1204" s="54"/>
      <c r="S1204" s="54"/>
      <c r="T1204" s="54"/>
      <c r="U1204" s="39"/>
    </row>
    <row r="1205" spans="1:21">
      <c r="A1205" s="54" t="str">
        <f>_xlfn.TEXTJOIN("",TRUE,Input!$B$2,ROW(My_Audit!A1204))</f>
        <v>XX1204</v>
      </c>
      <c r="B1205" s="54"/>
      <c r="C1205" s="54"/>
      <c r="D1205" s="55" t="str">
        <f>_xlfn.XLOOKUP(A1205,My_Audit!A:A,My_Audit!D:D,"")&amp;""</f>
        <v/>
      </c>
      <c r="E1205" s="54"/>
      <c r="F1205" s="54"/>
      <c r="G1205" s="54"/>
      <c r="H1205" s="54"/>
      <c r="I1205" s="54"/>
      <c r="J1205" s="54"/>
      <c r="K1205" s="54"/>
      <c r="L1205" s="54"/>
      <c r="M1205" s="54"/>
      <c r="N1205" s="54"/>
      <c r="O1205" s="54"/>
      <c r="P1205" s="54"/>
      <c r="Q1205" s="54"/>
      <c r="R1205" s="54"/>
      <c r="S1205" s="54"/>
      <c r="T1205" s="54"/>
      <c r="U1205" s="39"/>
    </row>
    <row r="1206" spans="1:21">
      <c r="A1206" s="54" t="str">
        <f>_xlfn.TEXTJOIN("",TRUE,Input!$B$2,ROW(My_Audit!A1205))</f>
        <v>XX1205</v>
      </c>
      <c r="B1206" s="54"/>
      <c r="C1206" s="54"/>
      <c r="D1206" s="55" t="str">
        <f>_xlfn.XLOOKUP(A1206,My_Audit!A:A,My_Audit!D:D,"")&amp;""</f>
        <v/>
      </c>
      <c r="E1206" s="54"/>
      <c r="F1206" s="54"/>
      <c r="G1206" s="54"/>
      <c r="H1206" s="54"/>
      <c r="I1206" s="54"/>
      <c r="J1206" s="54"/>
      <c r="K1206" s="54"/>
      <c r="L1206" s="54"/>
      <c r="M1206" s="54"/>
      <c r="N1206" s="54"/>
      <c r="O1206" s="54"/>
      <c r="P1206" s="54"/>
      <c r="Q1206" s="54"/>
      <c r="R1206" s="54"/>
      <c r="S1206" s="54"/>
      <c r="T1206" s="54"/>
      <c r="U1206" s="39"/>
    </row>
    <row r="1207" spans="1:21">
      <c r="A1207" s="54" t="str">
        <f>_xlfn.TEXTJOIN("",TRUE,Input!$B$2,ROW(My_Audit!A1206))</f>
        <v>XX1206</v>
      </c>
      <c r="B1207" s="54"/>
      <c r="C1207" s="54"/>
      <c r="D1207" s="55" t="str">
        <f>_xlfn.XLOOKUP(A1207,My_Audit!A:A,My_Audit!D:D,"")&amp;""</f>
        <v/>
      </c>
      <c r="E1207" s="54"/>
      <c r="F1207" s="54"/>
      <c r="G1207" s="54"/>
      <c r="H1207" s="54"/>
      <c r="I1207" s="54"/>
      <c r="J1207" s="54"/>
      <c r="K1207" s="54"/>
      <c r="L1207" s="54"/>
      <c r="M1207" s="54"/>
      <c r="N1207" s="54"/>
      <c r="O1207" s="54"/>
      <c r="P1207" s="54"/>
      <c r="Q1207" s="54"/>
      <c r="R1207" s="54"/>
      <c r="S1207" s="54"/>
      <c r="T1207" s="54"/>
      <c r="U1207" s="39"/>
    </row>
    <row r="1208" spans="1:21">
      <c r="A1208" s="54" t="str">
        <f>_xlfn.TEXTJOIN("",TRUE,Input!$B$2,ROW(My_Audit!A1207))</f>
        <v>XX1207</v>
      </c>
      <c r="B1208" s="54"/>
      <c r="C1208" s="54"/>
      <c r="D1208" s="55" t="str">
        <f>_xlfn.XLOOKUP(A1208,My_Audit!A:A,My_Audit!D:D,"")&amp;""</f>
        <v/>
      </c>
      <c r="E1208" s="54"/>
      <c r="F1208" s="54"/>
      <c r="G1208" s="54"/>
      <c r="H1208" s="54"/>
      <c r="I1208" s="54"/>
      <c r="J1208" s="54"/>
      <c r="K1208" s="54"/>
      <c r="L1208" s="54"/>
      <c r="M1208" s="54"/>
      <c r="N1208" s="54"/>
      <c r="O1208" s="54"/>
      <c r="P1208" s="54"/>
      <c r="Q1208" s="54"/>
      <c r="R1208" s="54"/>
      <c r="S1208" s="54"/>
      <c r="T1208" s="54"/>
      <c r="U1208" s="39"/>
    </row>
    <row r="1209" spans="1:21">
      <c r="A1209" s="54" t="str">
        <f>_xlfn.TEXTJOIN("",TRUE,Input!$B$2,ROW(My_Audit!A1208))</f>
        <v>XX1208</v>
      </c>
      <c r="B1209" s="54"/>
      <c r="C1209" s="54"/>
      <c r="D1209" s="55" t="str">
        <f>_xlfn.XLOOKUP(A1209,My_Audit!A:A,My_Audit!D:D,"")&amp;""</f>
        <v/>
      </c>
      <c r="E1209" s="54"/>
      <c r="F1209" s="54"/>
      <c r="G1209" s="54"/>
      <c r="H1209" s="54"/>
      <c r="I1209" s="54"/>
      <c r="J1209" s="54"/>
      <c r="K1209" s="54"/>
      <c r="L1209" s="54"/>
      <c r="M1209" s="54"/>
      <c r="N1209" s="54"/>
      <c r="O1209" s="54"/>
      <c r="P1209" s="54"/>
      <c r="Q1209" s="54"/>
      <c r="R1209" s="54"/>
      <c r="S1209" s="54"/>
      <c r="T1209" s="54"/>
      <c r="U1209" s="39"/>
    </row>
    <row r="1210" spans="1:21">
      <c r="A1210" s="54" t="str">
        <f>_xlfn.TEXTJOIN("",TRUE,Input!$B$2,ROW(My_Audit!A1209))</f>
        <v>XX1209</v>
      </c>
      <c r="B1210" s="54"/>
      <c r="C1210" s="54"/>
      <c r="D1210" s="55" t="str">
        <f>_xlfn.XLOOKUP(A1210,My_Audit!A:A,My_Audit!D:D,"")&amp;""</f>
        <v/>
      </c>
      <c r="E1210" s="54"/>
      <c r="F1210" s="54"/>
      <c r="G1210" s="54"/>
      <c r="H1210" s="54"/>
      <c r="I1210" s="54"/>
      <c r="J1210" s="54"/>
      <c r="K1210" s="54"/>
      <c r="L1210" s="54"/>
      <c r="M1210" s="54"/>
      <c r="N1210" s="54"/>
      <c r="O1210" s="54"/>
      <c r="P1210" s="54"/>
      <c r="Q1210" s="54"/>
      <c r="R1210" s="54"/>
      <c r="S1210" s="54"/>
      <c r="T1210" s="54"/>
      <c r="U1210" s="39"/>
    </row>
    <row r="1211" spans="1:21">
      <c r="A1211" s="54" t="str">
        <f>_xlfn.TEXTJOIN("",TRUE,Input!$B$2,ROW(My_Audit!A1210))</f>
        <v>XX1210</v>
      </c>
      <c r="B1211" s="54"/>
      <c r="C1211" s="54"/>
      <c r="D1211" s="55" t="str">
        <f>_xlfn.XLOOKUP(A1211,My_Audit!A:A,My_Audit!D:D,"")&amp;""</f>
        <v/>
      </c>
      <c r="E1211" s="54"/>
      <c r="F1211" s="54"/>
      <c r="G1211" s="54"/>
      <c r="H1211" s="54"/>
      <c r="I1211" s="54"/>
      <c r="J1211" s="54"/>
      <c r="K1211" s="54"/>
      <c r="L1211" s="54"/>
      <c r="M1211" s="54"/>
      <c r="N1211" s="54"/>
      <c r="O1211" s="54"/>
      <c r="P1211" s="54"/>
      <c r="Q1211" s="54"/>
      <c r="R1211" s="54"/>
      <c r="S1211" s="54"/>
      <c r="T1211" s="54"/>
      <c r="U1211" s="39"/>
    </row>
    <row r="1212" spans="1:21">
      <c r="A1212" s="54" t="str">
        <f>_xlfn.TEXTJOIN("",TRUE,Input!$B$2,ROW(My_Audit!A1211))</f>
        <v>XX1211</v>
      </c>
      <c r="B1212" s="54"/>
      <c r="C1212" s="54"/>
      <c r="D1212" s="55" t="str">
        <f>_xlfn.XLOOKUP(A1212,My_Audit!A:A,My_Audit!D:D,"")&amp;""</f>
        <v/>
      </c>
      <c r="E1212" s="54"/>
      <c r="F1212" s="54"/>
      <c r="G1212" s="54"/>
      <c r="H1212" s="54"/>
      <c r="I1212" s="54"/>
      <c r="J1212" s="54"/>
      <c r="K1212" s="54"/>
      <c r="L1212" s="54"/>
      <c r="M1212" s="54"/>
      <c r="N1212" s="54"/>
      <c r="O1212" s="54"/>
      <c r="P1212" s="54"/>
      <c r="Q1212" s="54"/>
      <c r="R1212" s="54"/>
      <c r="S1212" s="54"/>
      <c r="T1212" s="54"/>
      <c r="U1212" s="39"/>
    </row>
    <row r="1213" spans="1:21">
      <c r="A1213" s="54" t="str">
        <f>_xlfn.TEXTJOIN("",TRUE,Input!$B$2,ROW(My_Audit!A1212))</f>
        <v>XX1212</v>
      </c>
      <c r="B1213" s="54"/>
      <c r="C1213" s="54"/>
      <c r="D1213" s="55" t="str">
        <f>_xlfn.XLOOKUP(A1213,My_Audit!A:A,My_Audit!D:D,"")&amp;""</f>
        <v/>
      </c>
      <c r="E1213" s="54"/>
      <c r="F1213" s="54"/>
      <c r="G1213" s="54"/>
      <c r="H1213" s="54"/>
      <c r="I1213" s="54"/>
      <c r="J1213" s="54"/>
      <c r="K1213" s="54"/>
      <c r="L1213" s="54"/>
      <c r="M1213" s="54"/>
      <c r="N1213" s="54"/>
      <c r="O1213" s="54"/>
      <c r="P1213" s="54"/>
      <c r="Q1213" s="54"/>
      <c r="R1213" s="54"/>
      <c r="S1213" s="54"/>
      <c r="T1213" s="54"/>
      <c r="U1213" s="39"/>
    </row>
    <row r="1214" spans="1:21">
      <c r="A1214" s="54" t="str">
        <f>_xlfn.TEXTJOIN("",TRUE,Input!$B$2,ROW(My_Audit!A1213))</f>
        <v>XX1213</v>
      </c>
      <c r="B1214" s="54"/>
      <c r="C1214" s="54"/>
      <c r="D1214" s="55" t="str">
        <f>_xlfn.XLOOKUP(A1214,My_Audit!A:A,My_Audit!D:D,"")&amp;""</f>
        <v/>
      </c>
      <c r="E1214" s="54"/>
      <c r="F1214" s="54"/>
      <c r="G1214" s="54"/>
      <c r="H1214" s="54"/>
      <c r="I1214" s="54"/>
      <c r="J1214" s="54"/>
      <c r="K1214" s="54"/>
      <c r="L1214" s="54"/>
      <c r="M1214" s="54"/>
      <c r="N1214" s="54"/>
      <c r="O1214" s="54"/>
      <c r="P1214" s="54"/>
      <c r="Q1214" s="54"/>
      <c r="R1214" s="54"/>
      <c r="S1214" s="54"/>
      <c r="T1214" s="54"/>
      <c r="U1214" s="39"/>
    </row>
    <row r="1215" spans="1:21">
      <c r="A1215" s="54" t="str">
        <f>_xlfn.TEXTJOIN("",TRUE,Input!$B$2,ROW(My_Audit!A1214))</f>
        <v>XX1214</v>
      </c>
      <c r="B1215" s="54"/>
      <c r="C1215" s="54"/>
      <c r="D1215" s="55" t="str">
        <f>_xlfn.XLOOKUP(A1215,My_Audit!A:A,My_Audit!D:D,"")&amp;""</f>
        <v/>
      </c>
      <c r="E1215" s="54"/>
      <c r="F1215" s="54"/>
      <c r="G1215" s="54"/>
      <c r="H1215" s="54"/>
      <c r="I1215" s="54"/>
      <c r="J1215" s="54"/>
      <c r="K1215" s="54"/>
      <c r="L1215" s="54"/>
      <c r="M1215" s="54"/>
      <c r="N1215" s="54"/>
      <c r="O1215" s="54"/>
      <c r="P1215" s="54"/>
      <c r="Q1215" s="54"/>
      <c r="R1215" s="54"/>
      <c r="S1215" s="54"/>
      <c r="T1215" s="54"/>
      <c r="U1215" s="39"/>
    </row>
    <row r="1216" spans="1:21">
      <c r="A1216" s="54" t="str">
        <f>_xlfn.TEXTJOIN("",TRUE,Input!$B$2,ROW(My_Audit!A1215))</f>
        <v>XX1215</v>
      </c>
      <c r="B1216" s="54"/>
      <c r="C1216" s="54"/>
      <c r="D1216" s="55" t="str">
        <f>_xlfn.XLOOKUP(A1216,My_Audit!A:A,My_Audit!D:D,"")&amp;""</f>
        <v/>
      </c>
      <c r="E1216" s="54"/>
      <c r="F1216" s="54"/>
      <c r="G1216" s="54"/>
      <c r="H1216" s="54"/>
      <c r="I1216" s="54"/>
      <c r="J1216" s="54"/>
      <c r="K1216" s="54"/>
      <c r="L1216" s="54"/>
      <c r="M1216" s="54"/>
      <c r="N1216" s="54"/>
      <c r="O1216" s="54"/>
      <c r="P1216" s="54"/>
      <c r="Q1216" s="54"/>
      <c r="R1216" s="54"/>
      <c r="S1216" s="54"/>
      <c r="T1216" s="54"/>
      <c r="U1216" s="39"/>
    </row>
    <row r="1217" spans="1:21">
      <c r="A1217" s="54" t="str">
        <f>_xlfn.TEXTJOIN("",TRUE,Input!$B$2,ROW(My_Audit!A1216))</f>
        <v>XX1216</v>
      </c>
      <c r="B1217" s="54"/>
      <c r="C1217" s="54"/>
      <c r="D1217" s="55" t="str">
        <f>_xlfn.XLOOKUP(A1217,My_Audit!A:A,My_Audit!D:D,"")&amp;""</f>
        <v/>
      </c>
      <c r="E1217" s="54"/>
      <c r="F1217" s="54"/>
      <c r="G1217" s="54"/>
      <c r="H1217" s="54"/>
      <c r="I1217" s="54"/>
      <c r="J1217" s="54"/>
      <c r="K1217" s="54"/>
      <c r="L1217" s="54"/>
      <c r="M1217" s="54"/>
      <c r="N1217" s="54"/>
      <c r="O1217" s="54"/>
      <c r="P1217" s="54"/>
      <c r="Q1217" s="54"/>
      <c r="R1217" s="54"/>
      <c r="S1217" s="54"/>
      <c r="T1217" s="54"/>
      <c r="U1217" s="39"/>
    </row>
    <row r="1218" spans="1:21">
      <c r="A1218" s="54" t="str">
        <f>_xlfn.TEXTJOIN("",TRUE,Input!$B$2,ROW(My_Audit!A1217))</f>
        <v>XX1217</v>
      </c>
      <c r="B1218" s="54"/>
      <c r="C1218" s="54"/>
      <c r="D1218" s="55" t="str">
        <f>_xlfn.XLOOKUP(A1218,My_Audit!A:A,My_Audit!D:D,"")&amp;""</f>
        <v/>
      </c>
      <c r="E1218" s="54"/>
      <c r="F1218" s="54"/>
      <c r="G1218" s="54"/>
      <c r="H1218" s="54"/>
      <c r="I1218" s="54"/>
      <c r="J1218" s="54"/>
      <c r="K1218" s="54"/>
      <c r="L1218" s="54"/>
      <c r="M1218" s="54"/>
      <c r="N1218" s="54"/>
      <c r="O1218" s="54"/>
      <c r="P1218" s="54"/>
      <c r="Q1218" s="54"/>
      <c r="R1218" s="54"/>
      <c r="S1218" s="54"/>
      <c r="T1218" s="54"/>
      <c r="U1218" s="39"/>
    </row>
    <row r="1219" spans="1:21">
      <c r="A1219" s="54" t="str">
        <f>_xlfn.TEXTJOIN("",TRUE,Input!$B$2,ROW(My_Audit!A1218))</f>
        <v>XX1218</v>
      </c>
      <c r="B1219" s="54"/>
      <c r="C1219" s="54"/>
      <c r="D1219" s="55" t="str">
        <f>_xlfn.XLOOKUP(A1219,My_Audit!A:A,My_Audit!D:D,"")&amp;""</f>
        <v/>
      </c>
      <c r="E1219" s="54"/>
      <c r="F1219" s="54"/>
      <c r="G1219" s="54"/>
      <c r="H1219" s="54"/>
      <c r="I1219" s="54"/>
      <c r="J1219" s="54"/>
      <c r="K1219" s="54"/>
      <c r="L1219" s="54"/>
      <c r="M1219" s="54"/>
      <c r="N1219" s="54"/>
      <c r="O1219" s="54"/>
      <c r="P1219" s="54"/>
      <c r="Q1219" s="54"/>
      <c r="R1219" s="54"/>
      <c r="S1219" s="54"/>
      <c r="T1219" s="54"/>
      <c r="U1219" s="39"/>
    </row>
    <row r="1220" spans="1:21">
      <c r="A1220" s="54" t="str">
        <f>_xlfn.TEXTJOIN("",TRUE,Input!$B$2,ROW(My_Audit!A1219))</f>
        <v>XX1219</v>
      </c>
      <c r="B1220" s="54"/>
      <c r="C1220" s="54"/>
      <c r="D1220" s="55" t="str">
        <f>_xlfn.XLOOKUP(A1220,My_Audit!A:A,My_Audit!D:D,"")&amp;""</f>
        <v/>
      </c>
      <c r="E1220" s="54"/>
      <c r="F1220" s="54"/>
      <c r="G1220" s="54"/>
      <c r="H1220" s="54"/>
      <c r="I1220" s="54"/>
      <c r="J1220" s="54"/>
      <c r="K1220" s="54"/>
      <c r="L1220" s="54"/>
      <c r="M1220" s="54"/>
      <c r="N1220" s="54"/>
      <c r="O1220" s="54"/>
      <c r="P1220" s="54"/>
      <c r="Q1220" s="54"/>
      <c r="R1220" s="54"/>
      <c r="S1220" s="54"/>
      <c r="T1220" s="54"/>
      <c r="U1220" s="39"/>
    </row>
    <row r="1221" spans="1:21">
      <c r="A1221" s="54" t="str">
        <f>_xlfn.TEXTJOIN("",TRUE,Input!$B$2,ROW(My_Audit!A1220))</f>
        <v>XX1220</v>
      </c>
      <c r="B1221" s="54"/>
      <c r="C1221" s="54"/>
      <c r="D1221" s="55" t="str">
        <f>_xlfn.XLOOKUP(A1221,My_Audit!A:A,My_Audit!D:D,"")&amp;""</f>
        <v/>
      </c>
      <c r="E1221" s="54"/>
      <c r="F1221" s="54"/>
      <c r="G1221" s="54"/>
      <c r="H1221" s="54"/>
      <c r="I1221" s="54"/>
      <c r="J1221" s="54"/>
      <c r="K1221" s="54"/>
      <c r="L1221" s="54"/>
      <c r="M1221" s="54"/>
      <c r="N1221" s="54"/>
      <c r="O1221" s="54"/>
      <c r="P1221" s="54"/>
      <c r="Q1221" s="54"/>
      <c r="R1221" s="54"/>
      <c r="S1221" s="54"/>
      <c r="T1221" s="54"/>
      <c r="U1221" s="39"/>
    </row>
    <row r="1222" spans="1:21">
      <c r="A1222" s="54" t="str">
        <f>_xlfn.TEXTJOIN("",TRUE,Input!$B$2,ROW(My_Audit!A1221))</f>
        <v>XX1221</v>
      </c>
      <c r="B1222" s="54"/>
      <c r="C1222" s="54"/>
      <c r="D1222" s="55" t="str">
        <f>_xlfn.XLOOKUP(A1222,My_Audit!A:A,My_Audit!D:D,"")&amp;""</f>
        <v/>
      </c>
      <c r="E1222" s="54"/>
      <c r="F1222" s="54"/>
      <c r="G1222" s="54"/>
      <c r="H1222" s="54"/>
      <c r="I1222" s="54"/>
      <c r="J1222" s="54"/>
      <c r="K1222" s="54"/>
      <c r="L1222" s="54"/>
      <c r="M1222" s="54"/>
      <c r="N1222" s="54"/>
      <c r="O1222" s="54"/>
      <c r="P1222" s="54"/>
      <c r="Q1222" s="54"/>
      <c r="R1222" s="54"/>
      <c r="S1222" s="54"/>
      <c r="T1222" s="54"/>
      <c r="U1222" s="39"/>
    </row>
    <row r="1223" spans="1:21">
      <c r="A1223" s="54" t="str">
        <f>_xlfn.TEXTJOIN("",TRUE,Input!$B$2,ROW(My_Audit!A1222))</f>
        <v>XX1222</v>
      </c>
      <c r="B1223" s="54"/>
      <c r="C1223" s="54"/>
      <c r="D1223" s="55" t="str">
        <f>_xlfn.XLOOKUP(A1223,My_Audit!A:A,My_Audit!D:D,"")&amp;""</f>
        <v/>
      </c>
      <c r="E1223" s="54"/>
      <c r="F1223" s="54"/>
      <c r="G1223" s="54"/>
      <c r="H1223" s="54"/>
      <c r="I1223" s="54"/>
      <c r="J1223" s="54"/>
      <c r="K1223" s="54"/>
      <c r="L1223" s="54"/>
      <c r="M1223" s="54"/>
      <c r="N1223" s="54"/>
      <c r="O1223" s="54"/>
      <c r="P1223" s="54"/>
      <c r="Q1223" s="54"/>
      <c r="R1223" s="54"/>
      <c r="S1223" s="54"/>
      <c r="T1223" s="54"/>
      <c r="U1223" s="39"/>
    </row>
    <row r="1224" spans="1:21">
      <c r="A1224" s="54" t="str">
        <f>_xlfn.TEXTJOIN("",TRUE,Input!$B$2,ROW(My_Audit!A1223))</f>
        <v>XX1223</v>
      </c>
      <c r="B1224" s="54"/>
      <c r="C1224" s="54"/>
      <c r="D1224" s="55" t="str">
        <f>_xlfn.XLOOKUP(A1224,My_Audit!A:A,My_Audit!D:D,"")&amp;""</f>
        <v/>
      </c>
      <c r="E1224" s="54"/>
      <c r="F1224" s="54"/>
      <c r="G1224" s="54"/>
      <c r="H1224" s="54"/>
      <c r="I1224" s="54"/>
      <c r="J1224" s="54"/>
      <c r="K1224" s="54"/>
      <c r="L1224" s="54"/>
      <c r="M1224" s="54"/>
      <c r="N1224" s="54"/>
      <c r="O1224" s="54"/>
      <c r="P1224" s="54"/>
      <c r="Q1224" s="54"/>
      <c r="R1224" s="54"/>
      <c r="S1224" s="54"/>
      <c r="T1224" s="54"/>
      <c r="U1224" s="39"/>
    </row>
    <row r="1225" spans="1:21">
      <c r="A1225" s="54" t="str">
        <f>_xlfn.TEXTJOIN("",TRUE,Input!$B$2,ROW(My_Audit!A1224))</f>
        <v>XX1224</v>
      </c>
      <c r="B1225" s="54"/>
      <c r="C1225" s="54"/>
      <c r="D1225" s="55" t="str">
        <f>_xlfn.XLOOKUP(A1225,My_Audit!A:A,My_Audit!D:D,"")&amp;""</f>
        <v/>
      </c>
      <c r="E1225" s="54"/>
      <c r="F1225" s="54"/>
      <c r="G1225" s="54"/>
      <c r="H1225" s="54"/>
      <c r="I1225" s="54"/>
      <c r="J1225" s="54"/>
      <c r="K1225" s="54"/>
      <c r="L1225" s="54"/>
      <c r="M1225" s="54"/>
      <c r="N1225" s="54"/>
      <c r="O1225" s="54"/>
      <c r="P1225" s="54"/>
      <c r="Q1225" s="54"/>
      <c r="R1225" s="54"/>
      <c r="S1225" s="54"/>
      <c r="T1225" s="54"/>
      <c r="U1225" s="39"/>
    </row>
    <row r="1226" spans="1:21">
      <c r="A1226" s="54" t="str">
        <f>_xlfn.TEXTJOIN("",TRUE,Input!$B$2,ROW(My_Audit!A1225))</f>
        <v>XX1225</v>
      </c>
      <c r="B1226" s="54"/>
      <c r="C1226" s="54"/>
      <c r="D1226" s="55" t="str">
        <f>_xlfn.XLOOKUP(A1226,My_Audit!A:A,My_Audit!D:D,"")&amp;""</f>
        <v/>
      </c>
      <c r="E1226" s="54"/>
      <c r="F1226" s="54"/>
      <c r="G1226" s="54"/>
      <c r="H1226" s="54"/>
      <c r="I1226" s="54"/>
      <c r="J1226" s="54"/>
      <c r="K1226" s="54"/>
      <c r="L1226" s="54"/>
      <c r="M1226" s="54"/>
      <c r="N1226" s="54"/>
      <c r="O1226" s="54"/>
      <c r="P1226" s="54"/>
      <c r="Q1226" s="54"/>
      <c r="R1226" s="54"/>
      <c r="S1226" s="54"/>
      <c r="T1226" s="54"/>
      <c r="U1226" s="39"/>
    </row>
    <row r="1227" spans="1:21">
      <c r="A1227" s="54" t="str">
        <f>_xlfn.TEXTJOIN("",TRUE,Input!$B$2,ROW(My_Audit!A1226))</f>
        <v>XX1226</v>
      </c>
      <c r="B1227" s="54"/>
      <c r="C1227" s="54"/>
      <c r="D1227" s="55" t="str">
        <f>_xlfn.XLOOKUP(A1227,My_Audit!A:A,My_Audit!D:D,"")&amp;""</f>
        <v/>
      </c>
      <c r="E1227" s="54"/>
      <c r="F1227" s="54"/>
      <c r="G1227" s="54"/>
      <c r="H1227" s="54"/>
      <c r="I1227" s="54"/>
      <c r="J1227" s="54"/>
      <c r="K1227" s="54"/>
      <c r="L1227" s="54"/>
      <c r="M1227" s="54"/>
      <c r="N1227" s="54"/>
      <c r="O1227" s="54"/>
      <c r="P1227" s="54"/>
      <c r="Q1227" s="54"/>
      <c r="R1227" s="54"/>
      <c r="S1227" s="54"/>
      <c r="T1227" s="54"/>
      <c r="U1227" s="39"/>
    </row>
    <row r="1228" spans="1:21">
      <c r="A1228" s="54" t="str">
        <f>_xlfn.TEXTJOIN("",TRUE,Input!$B$2,ROW(My_Audit!A1227))</f>
        <v>XX1227</v>
      </c>
      <c r="B1228" s="54"/>
      <c r="C1228" s="54"/>
      <c r="D1228" s="55" t="str">
        <f>_xlfn.XLOOKUP(A1228,My_Audit!A:A,My_Audit!D:D,"")&amp;""</f>
        <v/>
      </c>
      <c r="E1228" s="54"/>
      <c r="F1228" s="54"/>
      <c r="G1228" s="54"/>
      <c r="H1228" s="54"/>
      <c r="I1228" s="54"/>
      <c r="J1228" s="54"/>
      <c r="K1228" s="54"/>
      <c r="L1228" s="54"/>
      <c r="M1228" s="54"/>
      <c r="N1228" s="54"/>
      <c r="O1228" s="54"/>
      <c r="P1228" s="54"/>
      <c r="Q1228" s="54"/>
      <c r="R1228" s="54"/>
      <c r="S1228" s="54"/>
      <c r="T1228" s="54"/>
      <c r="U1228" s="39"/>
    </row>
    <row r="1229" spans="1:21">
      <c r="A1229" s="54" t="str">
        <f>_xlfn.TEXTJOIN("",TRUE,Input!$B$2,ROW(My_Audit!A1228))</f>
        <v>XX1228</v>
      </c>
      <c r="B1229" s="54"/>
      <c r="C1229" s="54"/>
      <c r="D1229" s="55" t="str">
        <f>_xlfn.XLOOKUP(A1229,My_Audit!A:A,My_Audit!D:D,"")&amp;""</f>
        <v/>
      </c>
      <c r="E1229" s="54"/>
      <c r="F1229" s="54"/>
      <c r="G1229" s="54"/>
      <c r="H1229" s="54"/>
      <c r="I1229" s="54"/>
      <c r="J1229" s="54"/>
      <c r="K1229" s="54"/>
      <c r="L1229" s="54"/>
      <c r="M1229" s="54"/>
      <c r="N1229" s="54"/>
      <c r="O1229" s="54"/>
      <c r="P1229" s="54"/>
      <c r="Q1229" s="54"/>
      <c r="R1229" s="54"/>
      <c r="S1229" s="54"/>
      <c r="T1229" s="54"/>
      <c r="U1229" s="39"/>
    </row>
    <row r="1230" spans="1:21">
      <c r="A1230" s="54" t="str">
        <f>_xlfn.TEXTJOIN("",TRUE,Input!$B$2,ROW(My_Audit!A1229))</f>
        <v>XX1229</v>
      </c>
      <c r="B1230" s="54"/>
      <c r="C1230" s="54"/>
      <c r="D1230" s="55" t="str">
        <f>_xlfn.XLOOKUP(A1230,My_Audit!A:A,My_Audit!D:D,"")&amp;""</f>
        <v/>
      </c>
      <c r="E1230" s="54"/>
      <c r="F1230" s="54"/>
      <c r="G1230" s="54"/>
      <c r="H1230" s="54"/>
      <c r="I1230" s="54"/>
      <c r="J1230" s="54"/>
      <c r="K1230" s="54"/>
      <c r="L1230" s="54"/>
      <c r="M1230" s="54"/>
      <c r="N1230" s="54"/>
      <c r="O1230" s="54"/>
      <c r="P1230" s="54"/>
      <c r="Q1230" s="54"/>
      <c r="R1230" s="54"/>
      <c r="S1230" s="54"/>
      <c r="T1230" s="54"/>
      <c r="U1230" s="39"/>
    </row>
    <row r="1231" spans="1:21">
      <c r="A1231" s="54" t="str">
        <f>_xlfn.TEXTJOIN("",TRUE,Input!$B$2,ROW(My_Audit!A1230))</f>
        <v>XX1230</v>
      </c>
      <c r="B1231" s="54"/>
      <c r="C1231" s="54"/>
      <c r="D1231" s="55" t="str">
        <f>_xlfn.XLOOKUP(A1231,My_Audit!A:A,My_Audit!D:D,"")&amp;""</f>
        <v/>
      </c>
      <c r="E1231" s="54"/>
      <c r="F1231" s="54"/>
      <c r="G1231" s="54"/>
      <c r="H1231" s="54"/>
      <c r="I1231" s="54"/>
      <c r="J1231" s="54"/>
      <c r="K1231" s="54"/>
      <c r="L1231" s="54"/>
      <c r="M1231" s="54"/>
      <c r="N1231" s="54"/>
      <c r="O1231" s="54"/>
      <c r="P1231" s="54"/>
      <c r="Q1231" s="54"/>
      <c r="R1231" s="54"/>
      <c r="S1231" s="54"/>
      <c r="T1231" s="54"/>
      <c r="U1231" s="39"/>
    </row>
    <row r="1232" spans="1:21">
      <c r="A1232" s="54" t="str">
        <f>_xlfn.TEXTJOIN("",TRUE,Input!$B$2,ROW(My_Audit!A1231))</f>
        <v>XX1231</v>
      </c>
      <c r="B1232" s="54"/>
      <c r="C1232" s="54"/>
      <c r="D1232" s="55" t="str">
        <f>_xlfn.XLOOKUP(A1232,My_Audit!A:A,My_Audit!D:D,"")&amp;""</f>
        <v/>
      </c>
      <c r="E1232" s="54"/>
      <c r="F1232" s="54"/>
      <c r="G1232" s="54"/>
      <c r="H1232" s="54"/>
      <c r="I1232" s="54"/>
      <c r="J1232" s="54"/>
      <c r="K1232" s="54"/>
      <c r="L1232" s="54"/>
      <c r="M1232" s="54"/>
      <c r="N1232" s="54"/>
      <c r="O1232" s="54"/>
      <c r="P1232" s="54"/>
      <c r="Q1232" s="54"/>
      <c r="R1232" s="54"/>
      <c r="S1232" s="54"/>
      <c r="T1232" s="54"/>
      <c r="U1232" s="39"/>
    </row>
    <row r="1233" spans="1:21">
      <c r="A1233" s="54" t="str">
        <f>_xlfn.TEXTJOIN("",TRUE,Input!$B$2,ROW(My_Audit!A1232))</f>
        <v>XX1232</v>
      </c>
      <c r="B1233" s="54"/>
      <c r="C1233" s="54"/>
      <c r="D1233" s="55" t="str">
        <f>_xlfn.XLOOKUP(A1233,My_Audit!A:A,My_Audit!D:D,"")&amp;""</f>
        <v/>
      </c>
      <c r="E1233" s="54"/>
      <c r="F1233" s="54"/>
      <c r="G1233" s="54"/>
      <c r="H1233" s="54"/>
      <c r="I1233" s="54"/>
      <c r="J1233" s="54"/>
      <c r="K1233" s="54"/>
      <c r="L1233" s="54"/>
      <c r="M1233" s="54"/>
      <c r="N1233" s="54"/>
      <c r="O1233" s="54"/>
      <c r="P1233" s="54"/>
      <c r="Q1233" s="54"/>
      <c r="R1233" s="54"/>
      <c r="S1233" s="54"/>
      <c r="T1233" s="54"/>
      <c r="U1233" s="39"/>
    </row>
    <row r="1234" spans="1:21">
      <c r="A1234" s="54" t="str">
        <f>_xlfn.TEXTJOIN("",TRUE,Input!$B$2,ROW(My_Audit!A1233))</f>
        <v>XX1233</v>
      </c>
      <c r="B1234" s="54"/>
      <c r="C1234" s="54"/>
      <c r="D1234" s="55" t="str">
        <f>_xlfn.XLOOKUP(A1234,My_Audit!A:A,My_Audit!D:D,"")&amp;""</f>
        <v/>
      </c>
      <c r="E1234" s="54"/>
      <c r="F1234" s="54"/>
      <c r="G1234" s="54"/>
      <c r="H1234" s="54"/>
      <c r="I1234" s="54"/>
      <c r="J1234" s="54"/>
      <c r="K1234" s="54"/>
      <c r="L1234" s="54"/>
      <c r="M1234" s="54"/>
      <c r="N1234" s="54"/>
      <c r="O1234" s="54"/>
      <c r="P1234" s="54"/>
      <c r="Q1234" s="54"/>
      <c r="R1234" s="54"/>
      <c r="S1234" s="54"/>
      <c r="T1234" s="54"/>
      <c r="U1234" s="39"/>
    </row>
    <row r="1235" spans="1:21">
      <c r="A1235" s="54" t="str">
        <f>_xlfn.TEXTJOIN("",TRUE,Input!$B$2,ROW(My_Audit!A1234))</f>
        <v>XX1234</v>
      </c>
      <c r="B1235" s="54"/>
      <c r="C1235" s="54"/>
      <c r="D1235" s="55" t="str">
        <f>_xlfn.XLOOKUP(A1235,My_Audit!A:A,My_Audit!D:D,"")&amp;""</f>
        <v/>
      </c>
      <c r="E1235" s="54"/>
      <c r="F1235" s="54"/>
      <c r="G1235" s="54"/>
      <c r="H1235" s="54"/>
      <c r="I1235" s="54"/>
      <c r="J1235" s="54"/>
      <c r="K1235" s="54"/>
      <c r="L1235" s="54"/>
      <c r="M1235" s="54"/>
      <c r="N1235" s="54"/>
      <c r="O1235" s="54"/>
      <c r="P1235" s="54"/>
      <c r="Q1235" s="54"/>
      <c r="R1235" s="54"/>
      <c r="S1235" s="54"/>
      <c r="T1235" s="54"/>
      <c r="U1235" s="39"/>
    </row>
    <row r="1236" spans="1:21">
      <c r="A1236" s="54" t="str">
        <f>_xlfn.TEXTJOIN("",TRUE,Input!$B$2,ROW(My_Audit!A1235))</f>
        <v>XX1235</v>
      </c>
      <c r="B1236" s="54"/>
      <c r="C1236" s="54"/>
      <c r="D1236" s="55" t="str">
        <f>_xlfn.XLOOKUP(A1236,My_Audit!A:A,My_Audit!D:D,"")&amp;""</f>
        <v/>
      </c>
      <c r="E1236" s="54"/>
      <c r="F1236" s="54"/>
      <c r="G1236" s="54"/>
      <c r="H1236" s="54"/>
      <c r="I1236" s="54"/>
      <c r="J1236" s="54"/>
      <c r="K1236" s="54"/>
      <c r="L1236" s="54"/>
      <c r="M1236" s="54"/>
      <c r="N1236" s="54"/>
      <c r="O1236" s="54"/>
      <c r="P1236" s="54"/>
      <c r="Q1236" s="54"/>
      <c r="R1236" s="54"/>
      <c r="S1236" s="54"/>
      <c r="T1236" s="54"/>
      <c r="U1236" s="39"/>
    </row>
    <row r="1237" spans="1:21">
      <c r="A1237" s="54" t="str">
        <f>_xlfn.TEXTJOIN("",TRUE,Input!$B$2,ROW(My_Audit!A1236))</f>
        <v>XX1236</v>
      </c>
      <c r="B1237" s="54"/>
      <c r="C1237" s="54"/>
      <c r="D1237" s="55" t="str">
        <f>_xlfn.XLOOKUP(A1237,My_Audit!A:A,My_Audit!D:D,"")&amp;""</f>
        <v/>
      </c>
      <c r="E1237" s="54"/>
      <c r="F1237" s="54"/>
      <c r="G1237" s="54"/>
      <c r="H1237" s="54"/>
      <c r="I1237" s="54"/>
      <c r="J1237" s="54"/>
      <c r="K1237" s="54"/>
      <c r="L1237" s="54"/>
      <c r="M1237" s="54"/>
      <c r="N1237" s="54"/>
      <c r="O1237" s="54"/>
      <c r="P1237" s="54"/>
      <c r="Q1237" s="54"/>
      <c r="R1237" s="54"/>
      <c r="S1237" s="54"/>
      <c r="T1237" s="54"/>
      <c r="U1237" s="39"/>
    </row>
    <row r="1238" spans="1:21">
      <c r="A1238" s="54" t="str">
        <f>_xlfn.TEXTJOIN("",TRUE,Input!$B$2,ROW(My_Audit!A1237))</f>
        <v>XX1237</v>
      </c>
      <c r="B1238" s="54"/>
      <c r="C1238" s="54"/>
      <c r="D1238" s="54"/>
      <c r="E1238" s="54"/>
      <c r="F1238" s="54"/>
      <c r="G1238" s="54"/>
      <c r="H1238" s="54"/>
      <c r="I1238" s="54"/>
      <c r="J1238" s="54"/>
      <c r="K1238" s="54"/>
      <c r="L1238" s="54"/>
      <c r="M1238" s="54"/>
      <c r="N1238" s="54"/>
      <c r="O1238" s="54"/>
      <c r="P1238" s="54"/>
      <c r="Q1238" s="54"/>
      <c r="R1238" s="54"/>
      <c r="S1238" s="54"/>
      <c r="T1238" s="54"/>
      <c r="U1238" s="39"/>
    </row>
    <row r="1239" spans="1:21">
      <c r="A1239" s="54" t="str">
        <f>_xlfn.TEXTJOIN("",TRUE,Input!$B$2,ROW(My_Audit!A1238))</f>
        <v>XX1238</v>
      </c>
      <c r="B1239" s="54"/>
      <c r="C1239" s="54"/>
      <c r="D1239" s="54"/>
      <c r="E1239" s="54"/>
      <c r="F1239" s="54"/>
      <c r="G1239" s="54"/>
      <c r="H1239" s="54"/>
      <c r="I1239" s="54"/>
      <c r="J1239" s="54"/>
      <c r="K1239" s="54"/>
      <c r="L1239" s="54"/>
      <c r="M1239" s="54"/>
      <c r="N1239" s="54"/>
      <c r="O1239" s="54"/>
      <c r="P1239" s="54"/>
      <c r="Q1239" s="54"/>
      <c r="R1239" s="54"/>
      <c r="S1239" s="54"/>
      <c r="T1239" s="54"/>
      <c r="U1239" s="39"/>
    </row>
    <row r="1240" spans="1:21">
      <c r="A1240" s="54" t="str">
        <f>_xlfn.TEXTJOIN("",TRUE,Input!$B$2,ROW(My_Audit!A1239))</f>
        <v>XX1239</v>
      </c>
      <c r="B1240" s="54"/>
      <c r="C1240" s="54"/>
      <c r="D1240" s="54"/>
      <c r="E1240" s="54"/>
      <c r="F1240" s="54"/>
      <c r="G1240" s="54"/>
      <c r="H1240" s="54"/>
      <c r="I1240" s="54"/>
      <c r="J1240" s="54"/>
      <c r="K1240" s="54"/>
      <c r="L1240" s="54"/>
      <c r="M1240" s="54"/>
      <c r="N1240" s="54"/>
      <c r="O1240" s="54"/>
      <c r="P1240" s="54"/>
      <c r="Q1240" s="54"/>
      <c r="R1240" s="54"/>
      <c r="S1240" s="54"/>
      <c r="T1240" s="54"/>
      <c r="U1240" s="39"/>
    </row>
    <row r="1241" spans="1:21">
      <c r="A1241" s="54" t="str">
        <f>_xlfn.TEXTJOIN("",TRUE,Input!$B$2,ROW(My_Audit!A1240))</f>
        <v>XX1240</v>
      </c>
      <c r="B1241" s="54"/>
      <c r="C1241" s="54"/>
      <c r="D1241" s="54"/>
      <c r="E1241" s="54"/>
      <c r="F1241" s="54"/>
      <c r="G1241" s="54"/>
      <c r="H1241" s="54"/>
      <c r="I1241" s="54"/>
      <c r="J1241" s="54"/>
      <c r="K1241" s="54"/>
      <c r="L1241" s="54"/>
      <c r="M1241" s="54"/>
      <c r="N1241" s="54"/>
      <c r="O1241" s="54"/>
      <c r="P1241" s="54"/>
      <c r="Q1241" s="54"/>
      <c r="R1241" s="54"/>
      <c r="S1241" s="54"/>
      <c r="T1241" s="54"/>
      <c r="U1241" s="39"/>
    </row>
    <row r="1242" spans="1:21">
      <c r="A1242" s="54" t="str">
        <f>_xlfn.TEXTJOIN("",TRUE,Input!$B$2,ROW(My_Audit!A1241))</f>
        <v>XX1241</v>
      </c>
      <c r="B1242" s="54"/>
      <c r="C1242" s="54"/>
      <c r="D1242" s="54"/>
      <c r="E1242" s="54"/>
      <c r="F1242" s="54"/>
      <c r="G1242" s="54"/>
      <c r="H1242" s="54"/>
      <c r="I1242" s="54"/>
      <c r="J1242" s="54"/>
      <c r="K1242" s="54"/>
      <c r="L1242" s="54"/>
      <c r="M1242" s="54"/>
      <c r="N1242" s="54"/>
      <c r="O1242" s="54"/>
      <c r="P1242" s="54"/>
      <c r="Q1242" s="54"/>
      <c r="R1242" s="54"/>
      <c r="S1242" s="54"/>
      <c r="T1242" s="54"/>
      <c r="U1242" s="39"/>
    </row>
    <row r="1243" spans="1:21">
      <c r="A1243" s="54" t="str">
        <f>_xlfn.TEXTJOIN("",TRUE,Input!$B$2,ROW(My_Audit!A1242))</f>
        <v>XX1242</v>
      </c>
      <c r="B1243" s="54"/>
      <c r="C1243" s="54"/>
      <c r="D1243" s="54"/>
      <c r="E1243" s="54"/>
      <c r="F1243" s="54"/>
      <c r="G1243" s="54"/>
      <c r="H1243" s="54"/>
      <c r="I1243" s="54"/>
      <c r="J1243" s="54"/>
      <c r="K1243" s="54"/>
      <c r="L1243" s="54"/>
      <c r="M1243" s="54"/>
      <c r="N1243" s="54"/>
      <c r="O1243" s="54"/>
      <c r="P1243" s="54"/>
      <c r="Q1243" s="54"/>
      <c r="R1243" s="54"/>
      <c r="S1243" s="54"/>
      <c r="T1243" s="54"/>
      <c r="U1243" s="39"/>
    </row>
    <row r="1244" spans="1:21">
      <c r="A1244" s="54" t="str">
        <f>_xlfn.TEXTJOIN("",TRUE,Input!$B$2,ROW(My_Audit!A1243))</f>
        <v>XX1243</v>
      </c>
      <c r="B1244" s="54"/>
      <c r="C1244" s="54"/>
      <c r="D1244" s="54"/>
      <c r="E1244" s="54"/>
      <c r="F1244" s="54"/>
      <c r="G1244" s="54"/>
      <c r="H1244" s="54"/>
      <c r="I1244" s="54"/>
      <c r="J1244" s="54"/>
      <c r="K1244" s="54"/>
      <c r="L1244" s="54"/>
      <c r="M1244" s="54"/>
      <c r="N1244" s="54"/>
      <c r="O1244" s="54"/>
      <c r="P1244" s="54"/>
      <c r="Q1244" s="54"/>
      <c r="R1244" s="54"/>
      <c r="S1244" s="54"/>
      <c r="T1244" s="54"/>
      <c r="U1244" s="39"/>
    </row>
    <row r="1245" spans="1:21">
      <c r="A1245" s="54" t="str">
        <f>_xlfn.TEXTJOIN("",TRUE,Input!$B$2,ROW(My_Audit!A1244))</f>
        <v>XX1244</v>
      </c>
      <c r="B1245" s="54"/>
      <c r="C1245" s="54"/>
      <c r="D1245" s="54"/>
      <c r="E1245" s="54"/>
      <c r="F1245" s="54"/>
      <c r="G1245" s="54"/>
      <c r="H1245" s="54"/>
      <c r="I1245" s="54"/>
      <c r="J1245" s="54"/>
      <c r="K1245" s="54"/>
      <c r="L1245" s="54"/>
      <c r="M1245" s="54"/>
      <c r="N1245" s="54"/>
      <c r="O1245" s="54"/>
      <c r="P1245" s="54"/>
      <c r="Q1245" s="54"/>
      <c r="R1245" s="54"/>
      <c r="S1245" s="54"/>
      <c r="T1245" s="54"/>
      <c r="U1245" s="39"/>
    </row>
  </sheetData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7E89-1EFC-41FD-AEA1-41E7D2128A33}">
  <sheetPr>
    <tabColor theme="9"/>
  </sheetPr>
  <dimension ref="A1:AM1365"/>
  <sheetViews>
    <sheetView workbookViewId="0">
      <selection activeCell="G19" sqref="G19"/>
    </sheetView>
  </sheetViews>
  <sheetFormatPr defaultRowHeight="15"/>
  <cols>
    <col min="1" max="1" width="9" bestFit="1" customWidth="1"/>
    <col min="2" max="2" width="21" customWidth="1"/>
    <col min="3" max="3" width="18.5703125" customWidth="1"/>
    <col min="4" max="4" width="20.5703125" bestFit="1" customWidth="1"/>
    <col min="5" max="5" width="12.28515625" bestFit="1" customWidth="1"/>
    <col min="7" max="7" width="19.7109375" customWidth="1"/>
    <col min="8" max="8" width="21.7109375" customWidth="1"/>
    <col min="9" max="9" width="8.140625" bestFit="1" customWidth="1"/>
    <col min="10" max="10" width="13.7109375" customWidth="1"/>
    <col min="11" max="11" width="14.42578125" customWidth="1"/>
    <col min="12" max="12" width="40.7109375" customWidth="1"/>
    <col min="13" max="13" width="41.85546875" customWidth="1"/>
    <col min="14" max="14" width="23.5703125" customWidth="1"/>
    <col min="15" max="15" width="19.5703125" customWidth="1"/>
    <col min="16" max="16" width="5.7109375" bestFit="1" customWidth="1"/>
    <col min="17" max="17" width="6" bestFit="1" customWidth="1"/>
    <col min="18" max="18" width="6.85546875" bestFit="1" customWidth="1"/>
    <col min="19" max="19" width="7.42578125" customWidth="1"/>
    <col min="20" max="20" width="15.85546875" customWidth="1"/>
    <col min="22" max="22" width="8.28515625" bestFit="1" customWidth="1"/>
  </cols>
  <sheetData>
    <row r="1" spans="1:39" ht="34.5" thickBot="1">
      <c r="A1" s="41" t="s">
        <v>732</v>
      </c>
      <c r="B1" s="42" t="s">
        <v>733</v>
      </c>
      <c r="C1" s="42" t="s">
        <v>734</v>
      </c>
      <c r="D1" s="42" t="s">
        <v>735</v>
      </c>
      <c r="E1" s="42" t="s">
        <v>736</v>
      </c>
      <c r="F1" s="43"/>
      <c r="G1" s="42" t="s">
        <v>737</v>
      </c>
      <c r="H1" s="42" t="s">
        <v>738</v>
      </c>
      <c r="I1" s="42" t="s">
        <v>739</v>
      </c>
      <c r="J1" s="42" t="s">
        <v>6</v>
      </c>
      <c r="K1" s="42" t="s">
        <v>740</v>
      </c>
      <c r="L1" s="42" t="s">
        <v>741</v>
      </c>
      <c r="M1" s="44"/>
      <c r="N1" s="42" t="s">
        <v>742</v>
      </c>
      <c r="O1" s="42" t="s">
        <v>743</v>
      </c>
      <c r="P1" s="45" t="s">
        <v>744</v>
      </c>
      <c r="Q1" s="45" t="s">
        <v>745</v>
      </c>
      <c r="R1" s="42" t="s">
        <v>746</v>
      </c>
      <c r="S1" s="42" t="s">
        <v>747</v>
      </c>
      <c r="T1" s="42" t="s">
        <v>748</v>
      </c>
      <c r="U1" s="46" t="s">
        <v>749</v>
      </c>
      <c r="V1" s="46" t="s">
        <v>750</v>
      </c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</row>
    <row r="2" spans="1:39">
      <c r="D2" t="str">
        <f>'Audit Report'!B2</f>
        <v>ITD-SHRXXX-XX01</v>
      </c>
      <c r="E2" t="str">
        <f>'Audit Report'!C2</f>
        <v/>
      </c>
      <c r="I2" t="str">
        <f>'Audit Report'!E2</f>
        <v/>
      </c>
      <c r="J2" t="str">
        <f>'Audit Report'!G2</f>
        <v/>
      </c>
      <c r="L2" t="str">
        <f>_xlfn.TEXTJOIN(", ", FALSE, 'Audit Report'!J2,'Audit Report'!K2,'Audit Report'!L2)</f>
        <v xml:space="preserve">, , </v>
      </c>
      <c r="M2" t="str">
        <f>'Audit Report'!M2</f>
        <v/>
      </c>
      <c r="N2" t="str" cm="1">
        <f t="array" ref="N2">IF(M2="","",
_xlfn.TEXTJOIN(", ",TRUE,
    _xlfn.MAP(_xlfn.TEXTSPLIT(M2,","),_xlfn.LAMBDA(_xlpm.x,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" t="e">
        <f>'Audit Report'!#REF!</f>
        <v>#REF!</v>
      </c>
      <c r="S2" t="str">
        <f>'Audit Report'!N2</f>
        <v/>
      </c>
    </row>
    <row r="3" spans="1:39">
      <c r="D3" t="str">
        <f>'Audit Report'!B3</f>
        <v>ITD-SHRXXX-XX02</v>
      </c>
      <c r="E3" t="str">
        <f>'Audit Report'!C3</f>
        <v/>
      </c>
      <c r="I3" t="str">
        <f>'Audit Report'!E3</f>
        <v/>
      </c>
      <c r="J3" t="str">
        <f>'Audit Report'!G3</f>
        <v/>
      </c>
      <c r="L3" t="str">
        <f>_xlfn.TEXTJOIN(", ", FALSE, 'Audit Report'!J3,'Audit Report'!K3,'Audit Report'!L3)</f>
        <v xml:space="preserve">, , </v>
      </c>
      <c r="M3" t="str">
        <f>'Audit Report'!M3</f>
        <v/>
      </c>
      <c r="N3" t="str" cm="1">
        <f t="array" ref="N3">IF(M3="","",
_xlfn.TEXTJOIN(", ",TRUE,
    _xlfn.MAP(_xlfn.TEXTSPLIT(M3,","),_xlfn.LAMBDA(_xlpm.x,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" t="e">
        <f>'Audit Report'!#REF!</f>
        <v>#REF!</v>
      </c>
      <c r="S3" t="str">
        <f>'Audit Report'!N3</f>
        <v/>
      </c>
    </row>
    <row r="4" spans="1:39">
      <c r="D4" t="str">
        <f>'Audit Report'!B4</f>
        <v>ITD-SHRXXX-XX03</v>
      </c>
      <c r="E4" t="str">
        <f>'Audit Report'!C4</f>
        <v/>
      </c>
      <c r="I4" t="str">
        <f>'Audit Report'!E4</f>
        <v/>
      </c>
      <c r="J4" t="str">
        <f>'Audit Report'!G4</f>
        <v/>
      </c>
      <c r="L4" t="str">
        <f>_xlfn.TEXTJOIN(", ", FALSE, 'Audit Report'!J4,'Audit Report'!K4,'Audit Report'!L4)</f>
        <v xml:space="preserve">, , </v>
      </c>
      <c r="M4" t="str">
        <f>'Audit Report'!M4</f>
        <v/>
      </c>
      <c r="N4" t="str" cm="1">
        <f t="array" ref="N4">IF(M4="","",
_xlfn.TEXTJOIN(", ",TRUE,
    _xlfn.MAP(_xlfn.TEXTSPLIT(M4,","),_xlfn.LAMBDA(_xlpm.x,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" t="e">
        <f>'Audit Report'!#REF!</f>
        <v>#REF!</v>
      </c>
      <c r="S4" t="str">
        <f>'Audit Report'!N4</f>
        <v/>
      </c>
    </row>
    <row r="5" spans="1:39">
      <c r="D5" t="str">
        <f>'Audit Report'!B5</f>
        <v>ITD-SHRXXX-XX04</v>
      </c>
      <c r="E5" t="str">
        <f>'Audit Report'!C5</f>
        <v/>
      </c>
      <c r="I5" t="str">
        <f>'Audit Report'!E5</f>
        <v/>
      </c>
      <c r="J5" t="str">
        <f>'Audit Report'!G5</f>
        <v/>
      </c>
      <c r="L5" t="str">
        <f>_xlfn.TEXTJOIN(", ", FALSE, 'Audit Report'!J5,'Audit Report'!K5,'Audit Report'!L5)</f>
        <v xml:space="preserve">, , </v>
      </c>
      <c r="M5" t="str">
        <f>'Audit Report'!M5</f>
        <v/>
      </c>
      <c r="N5" t="str" cm="1">
        <f t="array" ref="N5">IF(M5="","",
_xlfn.TEXTJOIN(", ",TRUE,
    _xlfn.MAP(_xlfn.TEXTSPLIT(M5,","),_xlfn.LAMBDA(_xlpm.x,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" t="e">
        <f>'Audit Report'!#REF!</f>
        <v>#REF!</v>
      </c>
      <c r="S5" t="str">
        <f>'Audit Report'!N5</f>
        <v/>
      </c>
    </row>
    <row r="6" spans="1:39">
      <c r="D6" t="str">
        <f>'Audit Report'!B6</f>
        <v>ITD-SHRXXX-XX05</v>
      </c>
      <c r="E6" t="str">
        <f>'Audit Report'!C6</f>
        <v/>
      </c>
      <c r="I6" t="str">
        <f>'Audit Report'!E6</f>
        <v/>
      </c>
      <c r="J6" t="str">
        <f>'Audit Report'!G6</f>
        <v/>
      </c>
      <c r="L6" t="str">
        <f>_xlfn.TEXTJOIN(", ", FALSE, 'Audit Report'!J6,'Audit Report'!K6,'Audit Report'!L6)</f>
        <v xml:space="preserve">, , </v>
      </c>
      <c r="M6" t="str">
        <f>'Audit Report'!M6</f>
        <v/>
      </c>
      <c r="N6" t="str" cm="1">
        <f t="array" ref="N6">IF(M6="","",
_xlfn.TEXTJOIN(", ",TRUE,
    _xlfn.MAP(_xlfn.TEXTSPLIT(M6,","),_xlfn.LAMBDA(_xlpm.x,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" t="e">
        <f>'Audit Report'!#REF!</f>
        <v>#REF!</v>
      </c>
      <c r="S6" t="str">
        <f>'Audit Report'!N6</f>
        <v/>
      </c>
    </row>
    <row r="7" spans="1:39">
      <c r="D7" t="str">
        <f>'Audit Report'!B7</f>
        <v>ITD-SHRXXX-XX06</v>
      </c>
      <c r="E7" t="str">
        <f>'Audit Report'!C7</f>
        <v/>
      </c>
      <c r="I7" t="str">
        <f>'Audit Report'!E7</f>
        <v/>
      </c>
      <c r="J7" t="str">
        <f>'Audit Report'!G7</f>
        <v/>
      </c>
      <c r="L7" t="str">
        <f>_xlfn.TEXTJOIN(", ", FALSE, 'Audit Report'!J7,'Audit Report'!K7,'Audit Report'!L7)</f>
        <v xml:space="preserve">, , </v>
      </c>
      <c r="M7" t="str">
        <f>'Audit Report'!M7</f>
        <v/>
      </c>
      <c r="N7" t="str" cm="1">
        <f t="array" ref="N7">IF(M7="","",
_xlfn.TEXTJOIN(", ",TRUE,
    _xlfn.MAP(_xlfn.TEXTSPLIT(M7,","),_xlfn.LAMBDA(_xlpm.x,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" t="e">
        <f>'Audit Report'!#REF!</f>
        <v>#REF!</v>
      </c>
      <c r="S7" t="str">
        <f>'Audit Report'!N7</f>
        <v/>
      </c>
    </row>
    <row r="8" spans="1:39">
      <c r="D8" t="str">
        <f>'Audit Report'!B8</f>
        <v>ITD-SHRXXX-XX07</v>
      </c>
      <c r="E8" t="str">
        <f>'Audit Report'!C8</f>
        <v/>
      </c>
      <c r="I8" t="str">
        <f>'Audit Report'!E8</f>
        <v/>
      </c>
      <c r="J8" t="str">
        <f>'Audit Report'!G8</f>
        <v/>
      </c>
      <c r="L8" t="str">
        <f>_xlfn.TEXTJOIN(", ", FALSE, 'Audit Report'!J8,'Audit Report'!K8,'Audit Report'!L8)</f>
        <v xml:space="preserve">, , </v>
      </c>
      <c r="M8" t="str">
        <f>'Audit Report'!M8</f>
        <v/>
      </c>
      <c r="N8" t="str" cm="1">
        <f t="array" ref="N8">IF(M8="","",
_xlfn.TEXTJOIN(", ",TRUE,
    _xlfn.MAP(_xlfn.TEXTSPLIT(M8,","),_xlfn.LAMBDA(_xlpm.x,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" t="e">
        <f>'Audit Report'!#REF!</f>
        <v>#REF!</v>
      </c>
      <c r="S8" t="str">
        <f>'Audit Report'!N8</f>
        <v/>
      </c>
    </row>
    <row r="9" spans="1:39">
      <c r="D9" t="str">
        <f>'Audit Report'!B9</f>
        <v>ITD-SHRXXX-XX08</v>
      </c>
      <c r="E9" t="str">
        <f>'Audit Report'!C9</f>
        <v/>
      </c>
      <c r="I9" t="str">
        <f>'Audit Report'!E9</f>
        <v/>
      </c>
      <c r="J9" t="str">
        <f>'Audit Report'!G9</f>
        <v/>
      </c>
      <c r="L9" t="str">
        <f>_xlfn.TEXTJOIN(", ", FALSE, 'Audit Report'!J9,'Audit Report'!K9,'Audit Report'!L9)</f>
        <v xml:space="preserve">, , </v>
      </c>
      <c r="M9" t="str">
        <f>'Audit Report'!M9</f>
        <v/>
      </c>
      <c r="N9" t="str" cm="1">
        <f t="array" ref="N9">IF(M9="","",
_xlfn.TEXTJOIN(", ",TRUE,
    _xlfn.MAP(_xlfn.TEXTSPLIT(M9,","),_xlfn.LAMBDA(_xlpm.x,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" t="e">
        <f>'Audit Report'!#REF!</f>
        <v>#REF!</v>
      </c>
      <c r="S9" t="str">
        <f>'Audit Report'!N9</f>
        <v/>
      </c>
    </row>
    <row r="10" spans="1:39">
      <c r="D10" t="str">
        <f>'Audit Report'!B10</f>
        <v>ITD-SHRXXX-XX09</v>
      </c>
      <c r="E10" t="str">
        <f>'Audit Report'!C10</f>
        <v/>
      </c>
      <c r="I10" t="str">
        <f>'Audit Report'!E10</f>
        <v/>
      </c>
      <c r="J10" t="str">
        <f>'Audit Report'!G10</f>
        <v/>
      </c>
      <c r="L10" t="str">
        <f>_xlfn.TEXTJOIN(", ", FALSE, 'Audit Report'!J10,'Audit Report'!K10,'Audit Report'!L10)</f>
        <v xml:space="preserve">, , </v>
      </c>
      <c r="M10" t="str">
        <f>'Audit Report'!M10</f>
        <v/>
      </c>
      <c r="N10" t="str" cm="1">
        <f t="array" ref="N10">IF(M10="","",
_xlfn.TEXTJOIN(", ",TRUE,
    _xlfn.MAP(_xlfn.TEXTSPLIT(M10,","),_xlfn.LAMBDA(_xlpm.x,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" t="e">
        <f>'Audit Report'!#REF!</f>
        <v>#REF!</v>
      </c>
      <c r="S10" t="str">
        <f>'Audit Report'!N10</f>
        <v/>
      </c>
    </row>
    <row r="11" spans="1:39">
      <c r="D11" t="str">
        <f>'Audit Report'!B11</f>
        <v>ITD-SHRXXX-XX10</v>
      </c>
      <c r="E11" t="str">
        <f>'Audit Report'!C11</f>
        <v/>
      </c>
      <c r="I11" t="str">
        <f>'Audit Report'!E11</f>
        <v/>
      </c>
      <c r="J11" t="str">
        <f>'Audit Report'!G11</f>
        <v/>
      </c>
      <c r="L11" t="str">
        <f>_xlfn.TEXTJOIN(", ", FALSE, 'Audit Report'!J11,'Audit Report'!K11,'Audit Report'!L11)</f>
        <v xml:space="preserve">, , </v>
      </c>
      <c r="M11" t="str">
        <f>'Audit Report'!M11</f>
        <v/>
      </c>
      <c r="N11" t="str" cm="1">
        <f t="array" ref="N11">IF(M11="","",
_xlfn.TEXTJOIN(", ",TRUE,
    _xlfn.MAP(_xlfn.TEXTSPLIT(M11,","),_xlfn.LAMBDA(_xlpm.x,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" t="e">
        <f>'Audit Report'!#REF!</f>
        <v>#REF!</v>
      </c>
      <c r="S11" t="str">
        <f>'Audit Report'!N11</f>
        <v/>
      </c>
    </row>
    <row r="12" spans="1:39">
      <c r="D12" t="str">
        <f>'Audit Report'!B12</f>
        <v>ITD-SHRXXX-XX11</v>
      </c>
      <c r="E12" t="str">
        <f>'Audit Report'!C12</f>
        <v/>
      </c>
      <c r="I12" t="str">
        <f>'Audit Report'!E12</f>
        <v/>
      </c>
      <c r="J12" t="str">
        <f>'Audit Report'!G12</f>
        <v/>
      </c>
      <c r="L12" t="str">
        <f>_xlfn.TEXTJOIN(", ", FALSE, 'Audit Report'!J12,'Audit Report'!K12,'Audit Report'!L12)</f>
        <v xml:space="preserve">, , </v>
      </c>
      <c r="M12" t="str">
        <f>'Audit Report'!M12</f>
        <v/>
      </c>
      <c r="N12" t="str" cm="1">
        <f t="array" ref="N12">IF(M12="","",
_xlfn.TEXTJOIN(", ",TRUE,
    _xlfn.MAP(_xlfn.TEXTSPLIT(M12,","),_xlfn.LAMBDA(_xlpm.x,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" t="e">
        <f>'Audit Report'!#REF!</f>
        <v>#REF!</v>
      </c>
      <c r="S12" t="str">
        <f>'Audit Report'!N12</f>
        <v/>
      </c>
    </row>
    <row r="13" spans="1:39">
      <c r="D13" t="str">
        <f>'Audit Report'!B13</f>
        <v>ITD-SHRXXX-XX12</v>
      </c>
      <c r="E13" t="str">
        <f>'Audit Report'!C13</f>
        <v/>
      </c>
      <c r="I13" t="str">
        <f>'Audit Report'!E13</f>
        <v/>
      </c>
      <c r="J13" t="str">
        <f>'Audit Report'!G13</f>
        <v/>
      </c>
      <c r="L13" t="str">
        <f>_xlfn.TEXTJOIN(", ", FALSE, 'Audit Report'!J13,'Audit Report'!K13,'Audit Report'!L13)</f>
        <v xml:space="preserve">, , </v>
      </c>
      <c r="M13" t="str">
        <f>'Audit Report'!M13</f>
        <v/>
      </c>
      <c r="N13" t="str" cm="1">
        <f t="array" ref="N13">IF(M13="","",
_xlfn.TEXTJOIN(", ",TRUE,
    _xlfn.MAP(_xlfn.TEXTSPLIT(M13,","),_xlfn.LAMBDA(_xlpm.x,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" t="e">
        <f>'Audit Report'!#REF!</f>
        <v>#REF!</v>
      </c>
      <c r="S13" t="str">
        <f>'Audit Report'!N13</f>
        <v/>
      </c>
    </row>
    <row r="14" spans="1:39">
      <c r="D14" t="str">
        <f>'Audit Report'!B14</f>
        <v>ITD-SHRXXX-XX13</v>
      </c>
      <c r="E14" t="str">
        <f>'Audit Report'!C14</f>
        <v/>
      </c>
      <c r="I14" t="str">
        <f>'Audit Report'!E14</f>
        <v/>
      </c>
      <c r="J14" t="str">
        <f>'Audit Report'!G14</f>
        <v/>
      </c>
      <c r="L14" t="str">
        <f>_xlfn.TEXTJOIN(", ", FALSE, 'Audit Report'!J14,'Audit Report'!K14,'Audit Report'!L14)</f>
        <v xml:space="preserve">, , </v>
      </c>
      <c r="M14" t="str">
        <f>'Audit Report'!M14</f>
        <v/>
      </c>
      <c r="N14" t="str" cm="1">
        <f t="array" ref="N14">IF(M14="","",
_xlfn.TEXTJOIN(", ",TRUE,
    _xlfn.MAP(_xlfn.TEXTSPLIT(M14,","),_xlfn.LAMBDA(_xlpm.x,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" t="e">
        <f>'Audit Report'!#REF!</f>
        <v>#REF!</v>
      </c>
      <c r="S14" t="str">
        <f>'Audit Report'!N14</f>
        <v/>
      </c>
    </row>
    <row r="15" spans="1:39">
      <c r="D15" t="str">
        <f>'Audit Report'!B15</f>
        <v>ITD-SHRXXX-XX14</v>
      </c>
      <c r="E15" t="str">
        <f>'Audit Report'!C15</f>
        <v/>
      </c>
      <c r="I15" t="str">
        <f>'Audit Report'!E15</f>
        <v/>
      </c>
      <c r="J15" t="str">
        <f>'Audit Report'!G15</f>
        <v/>
      </c>
      <c r="L15" t="str">
        <f>_xlfn.TEXTJOIN(", ", FALSE, 'Audit Report'!J15,'Audit Report'!K15,'Audit Report'!L15)</f>
        <v xml:space="preserve">, , </v>
      </c>
      <c r="M15" t="str">
        <f>'Audit Report'!M15</f>
        <v/>
      </c>
      <c r="N15" t="str" cm="1">
        <f t="array" ref="N15">IF(M15="","",
_xlfn.TEXTJOIN(", ",TRUE,
    _xlfn.MAP(_xlfn.TEXTSPLIT(M15,","),_xlfn.LAMBDA(_xlpm.x,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" t="e">
        <f>'Audit Report'!#REF!</f>
        <v>#REF!</v>
      </c>
      <c r="S15" t="str">
        <f>'Audit Report'!N15</f>
        <v/>
      </c>
    </row>
    <row r="16" spans="1:39">
      <c r="D16" t="str">
        <f>'Audit Report'!B16</f>
        <v>ITD-SHRXXX-XX15</v>
      </c>
      <c r="E16" t="str">
        <f>'Audit Report'!C16</f>
        <v/>
      </c>
      <c r="I16" t="str">
        <f>'Audit Report'!E16</f>
        <v/>
      </c>
      <c r="J16" t="str">
        <f>'Audit Report'!G16</f>
        <v/>
      </c>
      <c r="L16" t="str">
        <f>_xlfn.TEXTJOIN(", ", FALSE, 'Audit Report'!J16,'Audit Report'!K16,'Audit Report'!L16)</f>
        <v xml:space="preserve">, , </v>
      </c>
      <c r="M16" t="str">
        <f>'Audit Report'!M16</f>
        <v/>
      </c>
      <c r="N16" t="str" cm="1">
        <f t="array" ref="N16">IF(M16="","",
_xlfn.TEXTJOIN(", ",TRUE,
    _xlfn.MAP(_xlfn.TEXTSPLIT(M16,","),_xlfn.LAMBDA(_xlpm.x,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" t="e">
        <f>'Audit Report'!#REF!</f>
        <v>#REF!</v>
      </c>
      <c r="S16" t="str">
        <f>'Audit Report'!N16</f>
        <v/>
      </c>
    </row>
    <row r="17" spans="4:19">
      <c r="D17" t="str">
        <f>'Audit Report'!B17</f>
        <v>ITD-SHRXXX-XX16</v>
      </c>
      <c r="E17" t="str">
        <f>'Audit Report'!C17</f>
        <v/>
      </c>
      <c r="I17" t="str">
        <f>'Audit Report'!E17</f>
        <v/>
      </c>
      <c r="J17" t="str">
        <f>'Audit Report'!G17</f>
        <v/>
      </c>
      <c r="L17" t="str">
        <f>_xlfn.TEXTJOIN(", ", FALSE, 'Audit Report'!J17,'Audit Report'!K17,'Audit Report'!L17)</f>
        <v xml:space="preserve">, , </v>
      </c>
      <c r="M17" t="str">
        <f>'Audit Report'!M17</f>
        <v/>
      </c>
      <c r="N17" t="str" cm="1">
        <f t="array" ref="N17">IF(M17="","",
_xlfn.TEXTJOIN(", ",TRUE,
    _xlfn.MAP(_xlfn.TEXTSPLIT(M17,","),_xlfn.LAMBDA(_xlpm.x,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" t="e">
        <f>'Audit Report'!#REF!</f>
        <v>#REF!</v>
      </c>
      <c r="S17" t="str">
        <f>'Audit Report'!N17</f>
        <v/>
      </c>
    </row>
    <row r="18" spans="4:19">
      <c r="D18" t="str">
        <f>'Audit Report'!B18</f>
        <v>ITD-SHRXXX-XX17</v>
      </c>
      <c r="E18" t="str">
        <f>'Audit Report'!C18</f>
        <v/>
      </c>
      <c r="I18" t="str">
        <f>'Audit Report'!E18</f>
        <v/>
      </c>
      <c r="J18" t="str">
        <f>'Audit Report'!G18</f>
        <v/>
      </c>
      <c r="L18" t="str">
        <f>_xlfn.TEXTJOIN(", ", FALSE, 'Audit Report'!J18,'Audit Report'!K18,'Audit Report'!L18)</f>
        <v xml:space="preserve">, , </v>
      </c>
      <c r="M18" t="str">
        <f>'Audit Report'!M18</f>
        <v/>
      </c>
      <c r="N18" t="str" cm="1">
        <f t="array" ref="N18">IF(M18="","",
_xlfn.TEXTJOIN(", ",TRUE,
    _xlfn.MAP(_xlfn.TEXTSPLIT(M18,","),_xlfn.LAMBDA(_xlpm.x,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" t="e">
        <f>'Audit Report'!#REF!</f>
        <v>#REF!</v>
      </c>
      <c r="S18" t="str">
        <f>'Audit Report'!N18</f>
        <v/>
      </c>
    </row>
    <row r="19" spans="4:19">
      <c r="D19" t="str">
        <f>'Audit Report'!B19</f>
        <v>ITD-SHRXXX-XX18</v>
      </c>
      <c r="E19" t="str">
        <f>'Audit Report'!C19</f>
        <v/>
      </c>
      <c r="I19" t="str">
        <f>'Audit Report'!E19</f>
        <v/>
      </c>
      <c r="J19" t="str">
        <f>'Audit Report'!G19</f>
        <v/>
      </c>
      <c r="L19" t="str">
        <f>_xlfn.TEXTJOIN(", ", FALSE, 'Audit Report'!J19,'Audit Report'!K19,'Audit Report'!L19)</f>
        <v xml:space="preserve">, , </v>
      </c>
      <c r="M19" t="str">
        <f>'Audit Report'!M19</f>
        <v/>
      </c>
      <c r="N19" t="str" cm="1">
        <f t="array" ref="N19">IF(M19="","",
_xlfn.TEXTJOIN(", ",TRUE,
    _xlfn.MAP(_xlfn.TEXTSPLIT(M19,","),_xlfn.LAMBDA(_xlpm.x,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" t="e">
        <f>'Audit Report'!#REF!</f>
        <v>#REF!</v>
      </c>
      <c r="S19" t="str">
        <f>'Audit Report'!N19</f>
        <v/>
      </c>
    </row>
    <row r="20" spans="4:19">
      <c r="D20" t="str">
        <f>'Audit Report'!B20</f>
        <v>ITD-SHRXXX-XX19</v>
      </c>
      <c r="E20" t="str">
        <f>'Audit Report'!C20</f>
        <v/>
      </c>
      <c r="I20" t="str">
        <f>'Audit Report'!E20</f>
        <v/>
      </c>
      <c r="J20" t="str">
        <f>'Audit Report'!G20</f>
        <v/>
      </c>
      <c r="L20" t="str">
        <f>_xlfn.TEXTJOIN(", ", FALSE, 'Audit Report'!J20,'Audit Report'!K20,'Audit Report'!L20)</f>
        <v xml:space="preserve">, , </v>
      </c>
      <c r="M20" t="str">
        <f>'Audit Report'!M20</f>
        <v/>
      </c>
      <c r="N20" t="str" cm="1">
        <f t="array" ref="N20">IF(M20="","",
_xlfn.TEXTJOIN(", ",TRUE,
    _xlfn.MAP(_xlfn.TEXTSPLIT(M20,","),_xlfn.LAMBDA(_xlpm.x,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" t="e">
        <f>'Audit Report'!#REF!</f>
        <v>#REF!</v>
      </c>
      <c r="S20" t="str">
        <f>'Audit Report'!N20</f>
        <v/>
      </c>
    </row>
    <row r="21" spans="4:19">
      <c r="D21" t="str">
        <f>'Audit Report'!B21</f>
        <v>ITD-SHRXXX-XX20</v>
      </c>
      <c r="E21" t="str">
        <f>'Audit Report'!C21</f>
        <v/>
      </c>
      <c r="I21" t="str">
        <f>'Audit Report'!E21</f>
        <v/>
      </c>
      <c r="J21" t="str">
        <f>'Audit Report'!G21</f>
        <v/>
      </c>
      <c r="L21" t="str">
        <f>_xlfn.TEXTJOIN(", ", FALSE, 'Audit Report'!J21,'Audit Report'!K21,'Audit Report'!L21)</f>
        <v xml:space="preserve">, , </v>
      </c>
      <c r="M21" t="str">
        <f>'Audit Report'!M21</f>
        <v/>
      </c>
      <c r="N21" t="str" cm="1">
        <f t="array" ref="N21">IF(M21="","",
_xlfn.TEXTJOIN(", ",TRUE,
    _xlfn.MAP(_xlfn.TEXTSPLIT(M21,","),_xlfn.LAMBDA(_xlpm.x,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" t="e">
        <f>'Audit Report'!#REF!</f>
        <v>#REF!</v>
      </c>
      <c r="S21" t="str">
        <f>'Audit Report'!N21</f>
        <v/>
      </c>
    </row>
    <row r="22" spans="4:19">
      <c r="D22" t="str">
        <f>'Audit Report'!B22</f>
        <v>ITD-SHRXXX-XX21</v>
      </c>
      <c r="E22" t="str">
        <f>'Audit Report'!C22</f>
        <v/>
      </c>
      <c r="I22" t="str">
        <f>'Audit Report'!E22</f>
        <v/>
      </c>
      <c r="J22" t="str">
        <f>'Audit Report'!G22</f>
        <v/>
      </c>
      <c r="L22" t="str">
        <f>_xlfn.TEXTJOIN(", ", FALSE, 'Audit Report'!J22,'Audit Report'!K22,'Audit Report'!L22)</f>
        <v xml:space="preserve">, , </v>
      </c>
      <c r="M22" t="str">
        <f>'Audit Report'!M22</f>
        <v/>
      </c>
      <c r="N22" t="str" cm="1">
        <f t="array" ref="N22">IF(M22="","",
_xlfn.TEXTJOIN(", ",TRUE,
    _xlfn.MAP(_xlfn.TEXTSPLIT(M22,","),_xlfn.LAMBDA(_xlpm.x,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" t="e">
        <f>'Audit Report'!#REF!</f>
        <v>#REF!</v>
      </c>
      <c r="S22" t="str">
        <f>'Audit Report'!N22</f>
        <v/>
      </c>
    </row>
    <row r="23" spans="4:19">
      <c r="D23" t="str">
        <f>'Audit Report'!B23</f>
        <v>ITD-SHRXXX-XX22</v>
      </c>
      <c r="E23" t="str">
        <f>'Audit Report'!C23</f>
        <v/>
      </c>
      <c r="I23" t="str">
        <f>'Audit Report'!E23</f>
        <v/>
      </c>
      <c r="J23" t="str">
        <f>'Audit Report'!G23</f>
        <v/>
      </c>
      <c r="L23" t="str">
        <f>_xlfn.TEXTJOIN(", ", FALSE, 'Audit Report'!J23,'Audit Report'!K23,'Audit Report'!L23)</f>
        <v xml:space="preserve">, , </v>
      </c>
      <c r="M23" t="str">
        <f>'Audit Report'!M23</f>
        <v/>
      </c>
      <c r="N23" t="str" cm="1">
        <f t="array" ref="N23">IF(M23="","",
_xlfn.TEXTJOIN(", ",TRUE,
    _xlfn.MAP(_xlfn.TEXTSPLIT(M23,","),_xlfn.LAMBDA(_xlpm.x,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" t="e">
        <f>'Audit Report'!#REF!</f>
        <v>#REF!</v>
      </c>
      <c r="S23" t="str">
        <f>'Audit Report'!N23</f>
        <v/>
      </c>
    </row>
    <row r="24" spans="4:19">
      <c r="D24" t="str">
        <f>'Audit Report'!B24</f>
        <v>ITD-SHRXXX-XX23</v>
      </c>
      <c r="E24" t="str">
        <f>'Audit Report'!C24</f>
        <v/>
      </c>
      <c r="I24" t="str">
        <f>'Audit Report'!E24</f>
        <v/>
      </c>
      <c r="J24" t="str">
        <f>'Audit Report'!G24</f>
        <v/>
      </c>
      <c r="L24" t="str">
        <f>_xlfn.TEXTJOIN(", ", FALSE, 'Audit Report'!J24,'Audit Report'!K24,'Audit Report'!L24)</f>
        <v xml:space="preserve">, , </v>
      </c>
      <c r="M24" t="str">
        <f>'Audit Report'!M24</f>
        <v/>
      </c>
      <c r="N24" t="str" cm="1">
        <f t="array" ref="N24">IF(M24="","",
_xlfn.TEXTJOIN(", ",TRUE,
    _xlfn.MAP(_xlfn.TEXTSPLIT(M24,","),_xlfn.LAMBDA(_xlpm.x,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" t="e">
        <f>'Audit Report'!#REF!</f>
        <v>#REF!</v>
      </c>
      <c r="S24" t="str">
        <f>'Audit Report'!N24</f>
        <v/>
      </c>
    </row>
    <row r="25" spans="4:19">
      <c r="D25" t="str">
        <f>'Audit Report'!B25</f>
        <v>ITD-SHRXXX-XX24</v>
      </c>
      <c r="E25" t="str">
        <f>'Audit Report'!C25</f>
        <v/>
      </c>
      <c r="I25" t="str">
        <f>'Audit Report'!E25</f>
        <v/>
      </c>
      <c r="J25" t="str">
        <f>'Audit Report'!G25</f>
        <v/>
      </c>
      <c r="L25" t="str">
        <f>_xlfn.TEXTJOIN(", ", FALSE, 'Audit Report'!J25,'Audit Report'!K25,'Audit Report'!L25)</f>
        <v xml:space="preserve">, , </v>
      </c>
      <c r="M25" t="str">
        <f>'Audit Report'!M25</f>
        <v/>
      </c>
      <c r="N25" t="str" cm="1">
        <f t="array" ref="N25">IF(M25="","",
_xlfn.TEXTJOIN(", ",TRUE,
    _xlfn.MAP(_xlfn.TEXTSPLIT(M25,","),_xlfn.LAMBDA(_xlpm.x,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" t="e">
        <f>'Audit Report'!#REF!</f>
        <v>#REF!</v>
      </c>
      <c r="S25" t="str">
        <f>'Audit Report'!N25</f>
        <v/>
      </c>
    </row>
    <row r="26" spans="4:19">
      <c r="D26" t="str">
        <f>'Audit Report'!B26</f>
        <v>ITD-SHRXXX-XX25</v>
      </c>
      <c r="E26" t="str">
        <f>'Audit Report'!C26</f>
        <v/>
      </c>
      <c r="I26" t="str">
        <f>'Audit Report'!E26</f>
        <v/>
      </c>
      <c r="J26" t="str">
        <f>'Audit Report'!G26</f>
        <v/>
      </c>
      <c r="L26" t="str">
        <f>_xlfn.TEXTJOIN(", ", FALSE, 'Audit Report'!J26,'Audit Report'!K26,'Audit Report'!L26)</f>
        <v xml:space="preserve">, , </v>
      </c>
      <c r="M26" t="str">
        <f>'Audit Report'!M26</f>
        <v/>
      </c>
      <c r="N26" t="str" cm="1">
        <f t="array" ref="N26">IF(M26="","",
_xlfn.TEXTJOIN(", ",TRUE,
    _xlfn.MAP(_xlfn.TEXTSPLIT(M26,","),_xlfn.LAMBDA(_xlpm.x,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" t="e">
        <f>'Audit Report'!#REF!</f>
        <v>#REF!</v>
      </c>
      <c r="S26" t="str">
        <f>'Audit Report'!N26</f>
        <v/>
      </c>
    </row>
    <row r="27" spans="4:19">
      <c r="D27" t="str">
        <f>'Audit Report'!B27</f>
        <v>ITD-SHRXXX-XX26</v>
      </c>
      <c r="E27" t="str">
        <f>'Audit Report'!C27</f>
        <v/>
      </c>
      <c r="I27" t="str">
        <f>'Audit Report'!E27</f>
        <v/>
      </c>
      <c r="J27" t="str">
        <f>'Audit Report'!G27</f>
        <v/>
      </c>
      <c r="L27" t="str">
        <f>_xlfn.TEXTJOIN(", ", FALSE, 'Audit Report'!J27,'Audit Report'!K27,'Audit Report'!L27)</f>
        <v xml:space="preserve">, , </v>
      </c>
      <c r="M27" t="str">
        <f>'Audit Report'!M27</f>
        <v/>
      </c>
      <c r="N27" t="str" cm="1">
        <f t="array" ref="N27">IF(M27="","",
_xlfn.TEXTJOIN(", ",TRUE,
    _xlfn.MAP(_xlfn.TEXTSPLIT(M27,","),_xlfn.LAMBDA(_xlpm.x,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" t="e">
        <f>'Audit Report'!#REF!</f>
        <v>#REF!</v>
      </c>
      <c r="S27" t="str">
        <f>'Audit Report'!N27</f>
        <v/>
      </c>
    </row>
    <row r="28" spans="4:19">
      <c r="D28" t="str">
        <f>'Audit Report'!B28</f>
        <v>ITD-SHRXXX-XX27</v>
      </c>
      <c r="E28" t="str">
        <f>'Audit Report'!C28</f>
        <v/>
      </c>
      <c r="I28" t="str">
        <f>'Audit Report'!E28</f>
        <v/>
      </c>
      <c r="J28" t="str">
        <f>'Audit Report'!G28</f>
        <v/>
      </c>
      <c r="L28" t="str">
        <f>_xlfn.TEXTJOIN(", ", FALSE, 'Audit Report'!J28,'Audit Report'!K28,'Audit Report'!L28)</f>
        <v xml:space="preserve">, , </v>
      </c>
      <c r="M28" t="str">
        <f>'Audit Report'!M28</f>
        <v/>
      </c>
      <c r="N28" t="str" cm="1">
        <f t="array" ref="N28">IF(M28="","",
_xlfn.TEXTJOIN(", ",TRUE,
    _xlfn.MAP(_xlfn.TEXTSPLIT(M28,","),_xlfn.LAMBDA(_xlpm.x,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" t="e">
        <f>'Audit Report'!#REF!</f>
        <v>#REF!</v>
      </c>
      <c r="S28" t="str">
        <f>'Audit Report'!N28</f>
        <v/>
      </c>
    </row>
    <row r="29" spans="4:19">
      <c r="D29" t="str">
        <f>'Audit Report'!B29</f>
        <v>ITD-SHRXXX-XX28</v>
      </c>
      <c r="E29" t="str">
        <f>'Audit Report'!C29</f>
        <v/>
      </c>
      <c r="I29" t="str">
        <f>'Audit Report'!E29</f>
        <v/>
      </c>
      <c r="J29" t="str">
        <f>'Audit Report'!G29</f>
        <v/>
      </c>
      <c r="L29" t="str">
        <f>_xlfn.TEXTJOIN(", ", FALSE, 'Audit Report'!J29,'Audit Report'!K29,'Audit Report'!L29)</f>
        <v xml:space="preserve">, , </v>
      </c>
      <c r="M29" t="str">
        <f>'Audit Report'!M29</f>
        <v/>
      </c>
      <c r="N29" t="str" cm="1">
        <f t="array" ref="N29">IF(M29="","",
_xlfn.TEXTJOIN(", ",TRUE,
    _xlfn.MAP(_xlfn.TEXTSPLIT(M29,","),_xlfn.LAMBDA(_xlpm.x,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" t="e">
        <f>'Audit Report'!#REF!</f>
        <v>#REF!</v>
      </c>
      <c r="S29" t="str">
        <f>'Audit Report'!N29</f>
        <v/>
      </c>
    </row>
    <row r="30" spans="4:19">
      <c r="D30" t="str">
        <f>'Audit Report'!B30</f>
        <v>ITD-SHRXXX-XX29</v>
      </c>
      <c r="E30" t="str">
        <f>'Audit Report'!C30</f>
        <v/>
      </c>
      <c r="I30" t="str">
        <f>'Audit Report'!E30</f>
        <v/>
      </c>
      <c r="J30" t="str">
        <f>'Audit Report'!G30</f>
        <v/>
      </c>
      <c r="L30" t="str">
        <f>_xlfn.TEXTJOIN(", ", FALSE, 'Audit Report'!J30,'Audit Report'!K30,'Audit Report'!L30)</f>
        <v xml:space="preserve">, , </v>
      </c>
      <c r="M30" t="str">
        <f>'Audit Report'!M30</f>
        <v/>
      </c>
      <c r="N30" t="str" cm="1">
        <f t="array" ref="N30">IF(M30="","",
_xlfn.TEXTJOIN(", ",TRUE,
    _xlfn.MAP(_xlfn.TEXTSPLIT(M30,","),_xlfn.LAMBDA(_xlpm.x,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" t="e">
        <f>'Audit Report'!#REF!</f>
        <v>#REF!</v>
      </c>
      <c r="S30" t="str">
        <f>'Audit Report'!N30</f>
        <v/>
      </c>
    </row>
    <row r="31" spans="4:19">
      <c r="D31" t="str">
        <f>'Audit Report'!B31</f>
        <v>ITD-SHRXXX-XX30</v>
      </c>
      <c r="E31" t="str">
        <f>'Audit Report'!C31</f>
        <v/>
      </c>
      <c r="I31" t="str">
        <f>'Audit Report'!E31</f>
        <v/>
      </c>
      <c r="J31" t="str">
        <f>'Audit Report'!G31</f>
        <v/>
      </c>
      <c r="L31" t="str">
        <f>_xlfn.TEXTJOIN(", ", FALSE, 'Audit Report'!J31,'Audit Report'!K31,'Audit Report'!L31)</f>
        <v xml:space="preserve">, , </v>
      </c>
      <c r="M31" t="str">
        <f>'Audit Report'!M31</f>
        <v/>
      </c>
      <c r="N31" t="str" cm="1">
        <f t="array" ref="N31">IF(M31="","",
_xlfn.TEXTJOIN(", ",TRUE,
    _xlfn.MAP(_xlfn.TEXTSPLIT(M31,","),_xlfn.LAMBDA(_xlpm.x,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" t="e">
        <f>'Audit Report'!#REF!</f>
        <v>#REF!</v>
      </c>
      <c r="S31" t="str">
        <f>'Audit Report'!N31</f>
        <v/>
      </c>
    </row>
    <row r="32" spans="4:19">
      <c r="D32" t="str">
        <f>'Audit Report'!B32</f>
        <v>ITD-SHRXXX-XX31</v>
      </c>
      <c r="E32" t="str">
        <f>'Audit Report'!C32</f>
        <v/>
      </c>
      <c r="I32" t="str">
        <f>'Audit Report'!E32</f>
        <v/>
      </c>
      <c r="J32" t="str">
        <f>'Audit Report'!G32</f>
        <v/>
      </c>
      <c r="L32" t="str">
        <f>_xlfn.TEXTJOIN(", ", FALSE, 'Audit Report'!J32,'Audit Report'!K32,'Audit Report'!L32)</f>
        <v xml:space="preserve">, , </v>
      </c>
      <c r="M32" t="str">
        <f>'Audit Report'!M32</f>
        <v/>
      </c>
      <c r="N32" t="str" cm="1">
        <f t="array" ref="N32">IF(M32="","",
_xlfn.TEXTJOIN(", ",TRUE,
    _xlfn.MAP(_xlfn.TEXTSPLIT(M32,","),_xlfn.LAMBDA(_xlpm.x,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" t="e">
        <f>'Audit Report'!#REF!</f>
        <v>#REF!</v>
      </c>
      <c r="S32" t="str">
        <f>'Audit Report'!N32</f>
        <v/>
      </c>
    </row>
    <row r="33" spans="4:19">
      <c r="D33" t="str">
        <f>'Audit Report'!B33</f>
        <v>ITD-SHRXXX-XX32</v>
      </c>
      <c r="E33" t="str">
        <f>'Audit Report'!C33</f>
        <v/>
      </c>
      <c r="I33" t="str">
        <f>'Audit Report'!E33</f>
        <v/>
      </c>
      <c r="J33" t="str">
        <f>'Audit Report'!G33</f>
        <v/>
      </c>
      <c r="L33" t="str">
        <f>_xlfn.TEXTJOIN(", ", FALSE, 'Audit Report'!J33,'Audit Report'!K33,'Audit Report'!L33)</f>
        <v xml:space="preserve">, , </v>
      </c>
      <c r="M33" t="str">
        <f>'Audit Report'!M33</f>
        <v/>
      </c>
      <c r="N33" t="str" cm="1">
        <f t="array" ref="N33">IF(M33="","",
_xlfn.TEXTJOIN(", ",TRUE,
    _xlfn.MAP(_xlfn.TEXTSPLIT(M33,","),_xlfn.LAMBDA(_xlpm.x,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" t="e">
        <f>'Audit Report'!#REF!</f>
        <v>#REF!</v>
      </c>
      <c r="S33" t="str">
        <f>'Audit Report'!N33</f>
        <v/>
      </c>
    </row>
    <row r="34" spans="4:19">
      <c r="D34" t="str">
        <f>'Audit Report'!B34</f>
        <v>ITD-SHRXXX-XX33</v>
      </c>
      <c r="E34" t="str">
        <f>'Audit Report'!C34</f>
        <v/>
      </c>
      <c r="I34" t="str">
        <f>'Audit Report'!E34</f>
        <v/>
      </c>
      <c r="J34" t="str">
        <f>'Audit Report'!G34</f>
        <v/>
      </c>
      <c r="L34" t="str">
        <f>_xlfn.TEXTJOIN(", ", FALSE, 'Audit Report'!J34,'Audit Report'!K34,'Audit Report'!L34)</f>
        <v xml:space="preserve">, , </v>
      </c>
      <c r="M34" t="str">
        <f>'Audit Report'!M34</f>
        <v/>
      </c>
      <c r="N34" t="str" cm="1">
        <f t="array" ref="N34">IF(M34="","",
_xlfn.TEXTJOIN(", ",TRUE,
    _xlfn.MAP(_xlfn.TEXTSPLIT(M34,","),_xlfn.LAMBDA(_xlpm.x,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" t="e">
        <f>'Audit Report'!#REF!</f>
        <v>#REF!</v>
      </c>
      <c r="S34" t="str">
        <f>'Audit Report'!N34</f>
        <v/>
      </c>
    </row>
    <row r="35" spans="4:19">
      <c r="D35" t="str">
        <f>'Audit Report'!B35</f>
        <v>ITD-SHRXXX-XX34</v>
      </c>
      <c r="E35" t="str">
        <f>'Audit Report'!C35</f>
        <v/>
      </c>
      <c r="I35" t="str">
        <f>'Audit Report'!E35</f>
        <v/>
      </c>
      <c r="J35" t="str">
        <f>'Audit Report'!G35</f>
        <v/>
      </c>
      <c r="L35" t="str">
        <f>_xlfn.TEXTJOIN(", ", FALSE, 'Audit Report'!J35,'Audit Report'!K35,'Audit Report'!L35)</f>
        <v xml:space="preserve">, , </v>
      </c>
      <c r="M35" t="str">
        <f>'Audit Report'!M35</f>
        <v/>
      </c>
      <c r="N35" t="str" cm="1">
        <f t="array" ref="N35">IF(M35="","",
_xlfn.TEXTJOIN(", ",TRUE,
    _xlfn.MAP(_xlfn.TEXTSPLIT(M35,","),_xlfn.LAMBDA(_xlpm.x,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" t="e">
        <f>'Audit Report'!#REF!</f>
        <v>#REF!</v>
      </c>
      <c r="S35" t="str">
        <f>'Audit Report'!N35</f>
        <v/>
      </c>
    </row>
    <row r="36" spans="4:19">
      <c r="D36" t="str">
        <f>'Audit Report'!B36</f>
        <v>ITD-SHRXXX-XX35</v>
      </c>
      <c r="E36" t="str">
        <f>'Audit Report'!C36</f>
        <v/>
      </c>
      <c r="I36" t="str">
        <f>'Audit Report'!E36</f>
        <v/>
      </c>
      <c r="J36" t="str">
        <f>'Audit Report'!G36</f>
        <v/>
      </c>
      <c r="L36" t="str">
        <f>_xlfn.TEXTJOIN(", ", FALSE, 'Audit Report'!J36,'Audit Report'!K36,'Audit Report'!L36)</f>
        <v xml:space="preserve">, , </v>
      </c>
      <c r="M36" t="str">
        <f>'Audit Report'!M36</f>
        <v/>
      </c>
      <c r="N36" t="str" cm="1">
        <f t="array" ref="N36">IF(M36="","",
_xlfn.TEXTJOIN(", ",TRUE,
    _xlfn.MAP(_xlfn.TEXTSPLIT(M36,","),_xlfn.LAMBDA(_xlpm.x,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" t="e">
        <f>'Audit Report'!#REF!</f>
        <v>#REF!</v>
      </c>
      <c r="S36" t="str">
        <f>'Audit Report'!N36</f>
        <v/>
      </c>
    </row>
    <row r="37" spans="4:19">
      <c r="D37" t="str">
        <f>'Audit Report'!B37</f>
        <v>ITD-SHRXXX-XX36</v>
      </c>
      <c r="E37" t="str">
        <f>'Audit Report'!C37</f>
        <v/>
      </c>
      <c r="I37" t="str">
        <f>'Audit Report'!E37</f>
        <v/>
      </c>
      <c r="J37" t="str">
        <f>'Audit Report'!G37</f>
        <v/>
      </c>
      <c r="L37" t="str">
        <f>_xlfn.TEXTJOIN(", ", FALSE, 'Audit Report'!J37,'Audit Report'!K37,'Audit Report'!L37)</f>
        <v xml:space="preserve">, , </v>
      </c>
      <c r="M37" t="str">
        <f>'Audit Report'!M37</f>
        <v/>
      </c>
      <c r="N37" t="str" cm="1">
        <f t="array" ref="N37">IF(M37="","",
_xlfn.TEXTJOIN(", ",TRUE,
    _xlfn.MAP(_xlfn.TEXTSPLIT(M37,","),_xlfn.LAMBDA(_xlpm.x,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" t="e">
        <f>'Audit Report'!#REF!</f>
        <v>#REF!</v>
      </c>
      <c r="S37" t="str">
        <f>'Audit Report'!N37</f>
        <v/>
      </c>
    </row>
    <row r="38" spans="4:19">
      <c r="D38" t="str">
        <f>'Audit Report'!B38</f>
        <v>ITD-SHRXXX-XX37</v>
      </c>
      <c r="E38" t="str">
        <f>'Audit Report'!C38</f>
        <v/>
      </c>
      <c r="I38" t="str">
        <f>'Audit Report'!E38</f>
        <v/>
      </c>
      <c r="J38" t="str">
        <f>'Audit Report'!G38</f>
        <v/>
      </c>
      <c r="L38" t="str">
        <f>_xlfn.TEXTJOIN(", ", FALSE, 'Audit Report'!J38,'Audit Report'!K38,'Audit Report'!L38)</f>
        <v xml:space="preserve">, , </v>
      </c>
      <c r="M38" t="str">
        <f>'Audit Report'!M38</f>
        <v/>
      </c>
      <c r="N38" t="str" cm="1">
        <f t="array" ref="N38">IF(M38="","",
_xlfn.TEXTJOIN(", ",TRUE,
    _xlfn.MAP(_xlfn.TEXTSPLIT(M38,","),_xlfn.LAMBDA(_xlpm.x,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" t="e">
        <f>'Audit Report'!#REF!</f>
        <v>#REF!</v>
      </c>
      <c r="S38" t="str">
        <f>'Audit Report'!N38</f>
        <v/>
      </c>
    </row>
    <row r="39" spans="4:19">
      <c r="D39" t="str">
        <f>'Audit Report'!B39</f>
        <v>ITD-SHRXXX-XX38</v>
      </c>
      <c r="E39" t="str">
        <f>'Audit Report'!C39</f>
        <v/>
      </c>
      <c r="I39" t="str">
        <f>'Audit Report'!E39</f>
        <v/>
      </c>
      <c r="J39" t="str">
        <f>'Audit Report'!G39</f>
        <v/>
      </c>
      <c r="L39" t="str">
        <f>_xlfn.TEXTJOIN(", ", FALSE, 'Audit Report'!J39,'Audit Report'!K39,'Audit Report'!L39)</f>
        <v xml:space="preserve">, , </v>
      </c>
      <c r="M39" t="str">
        <f>'Audit Report'!M39</f>
        <v/>
      </c>
      <c r="N39" t="str" cm="1">
        <f t="array" ref="N39">IF(M39="","",
_xlfn.TEXTJOIN(", ",TRUE,
    _xlfn.MAP(_xlfn.TEXTSPLIT(M39,","),_xlfn.LAMBDA(_xlpm.x,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" t="e">
        <f>'Audit Report'!#REF!</f>
        <v>#REF!</v>
      </c>
      <c r="S39" t="str">
        <f>'Audit Report'!N39</f>
        <v/>
      </c>
    </row>
    <row r="40" spans="4:19">
      <c r="D40" t="str">
        <f>'Audit Report'!B40</f>
        <v>ITD-SHRXXX-XX39</v>
      </c>
      <c r="E40" t="str">
        <f>'Audit Report'!C40</f>
        <v/>
      </c>
      <c r="I40" t="str">
        <f>'Audit Report'!E40</f>
        <v/>
      </c>
      <c r="J40" t="str">
        <f>'Audit Report'!G40</f>
        <v/>
      </c>
      <c r="L40" t="str">
        <f>_xlfn.TEXTJOIN(", ", FALSE, 'Audit Report'!J40,'Audit Report'!K40,'Audit Report'!L40)</f>
        <v xml:space="preserve">, , </v>
      </c>
      <c r="M40" t="str">
        <f>'Audit Report'!M40</f>
        <v/>
      </c>
      <c r="N40" t="str" cm="1">
        <f t="array" ref="N40">IF(M40="","",
_xlfn.TEXTJOIN(", ",TRUE,
    _xlfn.MAP(_xlfn.TEXTSPLIT(M40,","),_xlfn.LAMBDA(_xlpm.x,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" t="e">
        <f>'Audit Report'!#REF!</f>
        <v>#REF!</v>
      </c>
      <c r="S40" t="str">
        <f>'Audit Report'!N40</f>
        <v/>
      </c>
    </row>
    <row r="41" spans="4:19">
      <c r="D41" t="str">
        <f>'Audit Report'!B41</f>
        <v>ITD-SHRXXX-XX40</v>
      </c>
      <c r="E41" t="str">
        <f>'Audit Report'!C41</f>
        <v/>
      </c>
      <c r="I41" t="str">
        <f>'Audit Report'!E41</f>
        <v/>
      </c>
      <c r="J41" t="str">
        <f>'Audit Report'!G41</f>
        <v/>
      </c>
      <c r="L41" t="str">
        <f>_xlfn.TEXTJOIN(", ", FALSE, 'Audit Report'!J41,'Audit Report'!K41,'Audit Report'!L41)</f>
        <v xml:space="preserve">, , </v>
      </c>
      <c r="M41" t="str">
        <f>'Audit Report'!M41</f>
        <v/>
      </c>
      <c r="N41" t="str" cm="1">
        <f t="array" ref="N41">IF(M41="","",
_xlfn.TEXTJOIN(", ",TRUE,
    _xlfn.MAP(_xlfn.TEXTSPLIT(M41,","),_xlfn.LAMBDA(_xlpm.x,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" t="e">
        <f>'Audit Report'!#REF!</f>
        <v>#REF!</v>
      </c>
      <c r="S41" t="str">
        <f>'Audit Report'!N41</f>
        <v/>
      </c>
    </row>
    <row r="42" spans="4:19">
      <c r="D42" t="str">
        <f>'Audit Report'!B42</f>
        <v>ITD-SHRXXX-XX41</v>
      </c>
      <c r="E42" t="str">
        <f>'Audit Report'!C42</f>
        <v/>
      </c>
      <c r="I42" t="str">
        <f>'Audit Report'!E42</f>
        <v/>
      </c>
      <c r="J42" t="str">
        <f>'Audit Report'!G42</f>
        <v/>
      </c>
      <c r="L42" t="str">
        <f>_xlfn.TEXTJOIN(", ", FALSE, 'Audit Report'!J42,'Audit Report'!K42,'Audit Report'!L42)</f>
        <v xml:space="preserve">, , </v>
      </c>
      <c r="M42" t="str">
        <f>'Audit Report'!M42</f>
        <v/>
      </c>
      <c r="N42" t="str" cm="1">
        <f t="array" ref="N42">IF(M42="","",
_xlfn.TEXTJOIN(", ",TRUE,
    _xlfn.MAP(_xlfn.TEXTSPLIT(M42,","),_xlfn.LAMBDA(_xlpm.x,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" t="e">
        <f>'Audit Report'!#REF!</f>
        <v>#REF!</v>
      </c>
      <c r="S42" t="str">
        <f>'Audit Report'!N42</f>
        <v/>
      </c>
    </row>
    <row r="43" spans="4:19">
      <c r="D43" t="str">
        <f>'Audit Report'!B43</f>
        <v>ITD-SHRXXX-XX42</v>
      </c>
      <c r="E43" t="str">
        <f>'Audit Report'!C43</f>
        <v/>
      </c>
      <c r="I43" t="str">
        <f>'Audit Report'!E43</f>
        <v/>
      </c>
      <c r="J43" t="str">
        <f>'Audit Report'!G43</f>
        <v/>
      </c>
      <c r="L43" t="str">
        <f>_xlfn.TEXTJOIN(", ", FALSE, 'Audit Report'!J43,'Audit Report'!K43,'Audit Report'!L43)</f>
        <v xml:space="preserve">, , </v>
      </c>
      <c r="M43" t="str">
        <f>'Audit Report'!M43</f>
        <v/>
      </c>
      <c r="N43" t="str" cm="1">
        <f t="array" ref="N43">IF(M43="","",
_xlfn.TEXTJOIN(", ",TRUE,
    _xlfn.MAP(_xlfn.TEXTSPLIT(M43,","),_xlfn.LAMBDA(_xlpm.x,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" t="e">
        <f>'Audit Report'!#REF!</f>
        <v>#REF!</v>
      </c>
      <c r="S43" t="str">
        <f>'Audit Report'!N43</f>
        <v/>
      </c>
    </row>
    <row r="44" spans="4:19">
      <c r="D44" t="str">
        <f>'Audit Report'!B44</f>
        <v>ITD-SHRXXX-XX43</v>
      </c>
      <c r="E44" t="str">
        <f>'Audit Report'!C44</f>
        <v/>
      </c>
      <c r="I44" t="str">
        <f>'Audit Report'!E44</f>
        <v/>
      </c>
      <c r="J44" t="str">
        <f>'Audit Report'!G44</f>
        <v/>
      </c>
      <c r="L44" t="str">
        <f>_xlfn.TEXTJOIN(", ", FALSE, 'Audit Report'!J44,'Audit Report'!K44,'Audit Report'!L44)</f>
        <v xml:space="preserve">, , </v>
      </c>
      <c r="M44" t="str">
        <f>'Audit Report'!M44</f>
        <v/>
      </c>
      <c r="N44" t="str" cm="1">
        <f t="array" ref="N44">IF(M44="","",
_xlfn.TEXTJOIN(", ",TRUE,
    _xlfn.MAP(_xlfn.TEXTSPLIT(M44,","),_xlfn.LAMBDA(_xlpm.x,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" t="e">
        <f>'Audit Report'!#REF!</f>
        <v>#REF!</v>
      </c>
      <c r="S44" t="str">
        <f>'Audit Report'!N44</f>
        <v/>
      </c>
    </row>
    <row r="45" spans="4:19">
      <c r="D45" t="str">
        <f>'Audit Report'!B45</f>
        <v>ITD-SHRXXX-XX44</v>
      </c>
      <c r="E45" t="str">
        <f>'Audit Report'!C45</f>
        <v/>
      </c>
      <c r="I45" t="str">
        <f>'Audit Report'!E45</f>
        <v/>
      </c>
      <c r="J45" t="str">
        <f>'Audit Report'!G45</f>
        <v/>
      </c>
      <c r="L45" t="str">
        <f>_xlfn.TEXTJOIN(", ", FALSE, 'Audit Report'!J45,'Audit Report'!K45,'Audit Report'!L45)</f>
        <v xml:space="preserve">, , </v>
      </c>
      <c r="M45" t="str">
        <f>'Audit Report'!M45</f>
        <v/>
      </c>
      <c r="N45" t="str" cm="1">
        <f t="array" ref="N45">IF(M45="","",
_xlfn.TEXTJOIN(", ",TRUE,
    _xlfn.MAP(_xlfn.TEXTSPLIT(M45,","),_xlfn.LAMBDA(_xlpm.x,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" t="e">
        <f>'Audit Report'!#REF!</f>
        <v>#REF!</v>
      </c>
      <c r="S45" t="str">
        <f>'Audit Report'!N45</f>
        <v/>
      </c>
    </row>
    <row r="46" spans="4:19">
      <c r="D46" t="str">
        <f>'Audit Report'!B46</f>
        <v>ITD-SHRXXX-XX45</v>
      </c>
      <c r="E46" t="str">
        <f>'Audit Report'!C46</f>
        <v/>
      </c>
      <c r="I46" t="str">
        <f>'Audit Report'!E46</f>
        <v/>
      </c>
      <c r="J46" t="str">
        <f>'Audit Report'!G46</f>
        <v/>
      </c>
      <c r="L46" t="str">
        <f>_xlfn.TEXTJOIN(", ", FALSE, 'Audit Report'!J46,'Audit Report'!K46,'Audit Report'!L46)</f>
        <v xml:space="preserve">, , </v>
      </c>
      <c r="M46" t="str">
        <f>'Audit Report'!M46</f>
        <v/>
      </c>
      <c r="N46" t="str" cm="1">
        <f t="array" ref="N46">IF(M46="","",
_xlfn.TEXTJOIN(", ",TRUE,
    _xlfn.MAP(_xlfn.TEXTSPLIT(M46,","),_xlfn.LAMBDA(_xlpm.x,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" t="e">
        <f>'Audit Report'!#REF!</f>
        <v>#REF!</v>
      </c>
      <c r="S46" t="str">
        <f>'Audit Report'!N46</f>
        <v/>
      </c>
    </row>
    <row r="47" spans="4:19">
      <c r="D47" t="str">
        <f>'Audit Report'!B47</f>
        <v>ITD-SHRXXX-XX46</v>
      </c>
      <c r="E47" t="str">
        <f>'Audit Report'!C47</f>
        <v/>
      </c>
      <c r="I47" t="str">
        <f>'Audit Report'!E47</f>
        <v/>
      </c>
      <c r="J47" t="str">
        <f>'Audit Report'!G47</f>
        <v/>
      </c>
      <c r="L47" t="str">
        <f>_xlfn.TEXTJOIN(", ", FALSE, 'Audit Report'!J47,'Audit Report'!K47,'Audit Report'!L47)</f>
        <v xml:space="preserve">, , </v>
      </c>
      <c r="M47" t="str">
        <f>'Audit Report'!M47</f>
        <v/>
      </c>
      <c r="N47" t="str" cm="1">
        <f t="array" ref="N47">IF(M47="","",
_xlfn.TEXTJOIN(", ",TRUE,
    _xlfn.MAP(_xlfn.TEXTSPLIT(M47,","),_xlfn.LAMBDA(_xlpm.x,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" t="e">
        <f>'Audit Report'!#REF!</f>
        <v>#REF!</v>
      </c>
      <c r="S47" t="str">
        <f>'Audit Report'!N47</f>
        <v/>
      </c>
    </row>
    <row r="48" spans="4:19">
      <c r="D48" t="str">
        <f>'Audit Report'!B48</f>
        <v>ITD-SHRXXX-XX47</v>
      </c>
      <c r="E48" t="str">
        <f>'Audit Report'!C48</f>
        <v/>
      </c>
      <c r="I48" t="str">
        <f>'Audit Report'!E48</f>
        <v/>
      </c>
      <c r="J48" t="str">
        <f>'Audit Report'!G48</f>
        <v/>
      </c>
      <c r="L48" t="str">
        <f>_xlfn.TEXTJOIN(", ", FALSE, 'Audit Report'!J48,'Audit Report'!K48,'Audit Report'!L48)</f>
        <v xml:space="preserve">, , </v>
      </c>
      <c r="M48" t="str">
        <f>'Audit Report'!M48</f>
        <v/>
      </c>
      <c r="N48" t="str" cm="1">
        <f t="array" ref="N48">IF(M48="","",
_xlfn.TEXTJOIN(", ",TRUE,
    _xlfn.MAP(_xlfn.TEXTSPLIT(M48,","),_xlfn.LAMBDA(_xlpm.x,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" t="e">
        <f>'Audit Report'!#REF!</f>
        <v>#REF!</v>
      </c>
      <c r="S48" t="str">
        <f>'Audit Report'!N48</f>
        <v/>
      </c>
    </row>
    <row r="49" spans="4:19">
      <c r="D49" t="str">
        <f>'Audit Report'!B49</f>
        <v>ITD-SHRXXX-XX48</v>
      </c>
      <c r="E49" t="str">
        <f>'Audit Report'!C49</f>
        <v/>
      </c>
      <c r="I49" t="str">
        <f>'Audit Report'!E49</f>
        <v/>
      </c>
      <c r="J49" t="str">
        <f>'Audit Report'!G49</f>
        <v/>
      </c>
      <c r="L49" t="str">
        <f>_xlfn.TEXTJOIN(", ", FALSE, 'Audit Report'!J49,'Audit Report'!K49,'Audit Report'!L49)</f>
        <v xml:space="preserve">, , </v>
      </c>
      <c r="M49" t="str">
        <f>'Audit Report'!M49</f>
        <v/>
      </c>
      <c r="N49" t="str" cm="1">
        <f t="array" ref="N49">IF(M49="","",
_xlfn.TEXTJOIN(", ",TRUE,
    _xlfn.MAP(_xlfn.TEXTSPLIT(M49,","),_xlfn.LAMBDA(_xlpm.x,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" t="e">
        <f>'Audit Report'!#REF!</f>
        <v>#REF!</v>
      </c>
      <c r="S49" t="str">
        <f>'Audit Report'!N49</f>
        <v/>
      </c>
    </row>
    <row r="50" spans="4:19">
      <c r="D50" t="str">
        <f>'Audit Report'!B50</f>
        <v>ITD-SHRXXX-XX49</v>
      </c>
      <c r="E50" t="str">
        <f>'Audit Report'!C50</f>
        <v/>
      </c>
      <c r="I50" t="str">
        <f>'Audit Report'!E50</f>
        <v/>
      </c>
      <c r="J50" t="str">
        <f>'Audit Report'!G50</f>
        <v/>
      </c>
      <c r="L50" t="str">
        <f>_xlfn.TEXTJOIN(", ", FALSE, 'Audit Report'!J50,'Audit Report'!K50,'Audit Report'!L50)</f>
        <v xml:space="preserve">, , </v>
      </c>
      <c r="M50" t="str">
        <f>'Audit Report'!M50</f>
        <v/>
      </c>
      <c r="N50" t="str" cm="1">
        <f t="array" ref="N50">IF(M50="","",
_xlfn.TEXTJOIN(", ",TRUE,
    _xlfn.MAP(_xlfn.TEXTSPLIT(M50,","),_xlfn.LAMBDA(_xlpm.x,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" t="e">
        <f>'Audit Report'!#REF!</f>
        <v>#REF!</v>
      </c>
      <c r="S50" t="str">
        <f>'Audit Report'!N50</f>
        <v/>
      </c>
    </row>
    <row r="51" spans="4:19">
      <c r="D51" t="str">
        <f>'Audit Report'!B51</f>
        <v>ITD-SHRXXX-XX50</v>
      </c>
      <c r="E51" t="str">
        <f>'Audit Report'!C51</f>
        <v/>
      </c>
      <c r="I51" t="str">
        <f>'Audit Report'!E51</f>
        <v/>
      </c>
      <c r="J51" t="str">
        <f>'Audit Report'!G51</f>
        <v/>
      </c>
      <c r="L51" t="str">
        <f>_xlfn.TEXTJOIN(", ", FALSE, 'Audit Report'!J51,'Audit Report'!K51,'Audit Report'!L51)</f>
        <v xml:space="preserve">, , </v>
      </c>
      <c r="M51" t="str">
        <f>'Audit Report'!M51</f>
        <v/>
      </c>
      <c r="N51" t="str" cm="1">
        <f t="array" ref="N51">IF(M51="","",
_xlfn.TEXTJOIN(", ",TRUE,
    _xlfn.MAP(_xlfn.TEXTSPLIT(M51,","),_xlfn.LAMBDA(_xlpm.x,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" t="e">
        <f>'Audit Report'!#REF!</f>
        <v>#REF!</v>
      </c>
      <c r="S51" t="str">
        <f>'Audit Report'!N51</f>
        <v/>
      </c>
    </row>
    <row r="52" spans="4:19">
      <c r="D52" t="str">
        <f>'Audit Report'!B52</f>
        <v>ITD-SHRXXX-XX51</v>
      </c>
      <c r="E52" t="str">
        <f>'Audit Report'!C52</f>
        <v/>
      </c>
      <c r="I52" t="str">
        <f>'Audit Report'!E52</f>
        <v/>
      </c>
      <c r="J52" t="str">
        <f>'Audit Report'!G52</f>
        <v/>
      </c>
      <c r="L52" t="str">
        <f>_xlfn.TEXTJOIN(", ", FALSE, 'Audit Report'!J52,'Audit Report'!K52,'Audit Report'!L52)</f>
        <v xml:space="preserve">, , </v>
      </c>
      <c r="M52" t="str">
        <f>'Audit Report'!M52</f>
        <v/>
      </c>
      <c r="N52" t="str" cm="1">
        <f t="array" ref="N52">IF(M52="","",
_xlfn.TEXTJOIN(", ",TRUE,
    _xlfn.MAP(_xlfn.TEXTSPLIT(M52,","),_xlfn.LAMBDA(_xlpm.x,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" t="e">
        <f>'Audit Report'!#REF!</f>
        <v>#REF!</v>
      </c>
      <c r="S52" t="str">
        <f>'Audit Report'!N52</f>
        <v/>
      </c>
    </row>
    <row r="53" spans="4:19">
      <c r="D53" t="str">
        <f>'Audit Report'!B53</f>
        <v>ITD-SHRXXX-XX52</v>
      </c>
      <c r="E53" t="str">
        <f>'Audit Report'!C53</f>
        <v/>
      </c>
      <c r="I53" t="str">
        <f>'Audit Report'!E53</f>
        <v/>
      </c>
      <c r="J53" t="str">
        <f>'Audit Report'!G53</f>
        <v/>
      </c>
      <c r="L53" t="str">
        <f>_xlfn.TEXTJOIN(", ", FALSE, 'Audit Report'!J53,'Audit Report'!K53,'Audit Report'!L53)</f>
        <v xml:space="preserve">, , </v>
      </c>
      <c r="M53" t="str">
        <f>'Audit Report'!M53</f>
        <v/>
      </c>
      <c r="N53" t="str" cm="1">
        <f t="array" ref="N53">IF(M53="","",
_xlfn.TEXTJOIN(", ",TRUE,
    _xlfn.MAP(_xlfn.TEXTSPLIT(M53,","),_xlfn.LAMBDA(_xlpm.x,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" t="e">
        <f>'Audit Report'!#REF!</f>
        <v>#REF!</v>
      </c>
      <c r="S53" t="str">
        <f>'Audit Report'!N53</f>
        <v/>
      </c>
    </row>
    <row r="54" spans="4:19">
      <c r="D54" t="str">
        <f>'Audit Report'!B54</f>
        <v>ITD-SHRXXX-XX53</v>
      </c>
      <c r="E54" t="str">
        <f>'Audit Report'!C54</f>
        <v/>
      </c>
      <c r="I54" t="str">
        <f>'Audit Report'!E54</f>
        <v/>
      </c>
      <c r="J54" t="str">
        <f>'Audit Report'!G54</f>
        <v/>
      </c>
      <c r="L54" t="str">
        <f>_xlfn.TEXTJOIN(", ", FALSE, 'Audit Report'!J54,'Audit Report'!K54,'Audit Report'!L54)</f>
        <v xml:space="preserve">, , </v>
      </c>
      <c r="M54" t="str">
        <f>'Audit Report'!M54</f>
        <v/>
      </c>
      <c r="N54" t="str" cm="1">
        <f t="array" ref="N54">IF(M54="","",
_xlfn.TEXTJOIN(", ",TRUE,
    _xlfn.MAP(_xlfn.TEXTSPLIT(M54,","),_xlfn.LAMBDA(_xlpm.x,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" t="e">
        <f>'Audit Report'!#REF!</f>
        <v>#REF!</v>
      </c>
      <c r="S54" t="str">
        <f>'Audit Report'!N54</f>
        <v/>
      </c>
    </row>
    <row r="55" spans="4:19">
      <c r="D55" t="str">
        <f>'Audit Report'!B55</f>
        <v>ITD-SHRXXX-XX54</v>
      </c>
      <c r="E55" t="str">
        <f>'Audit Report'!C55</f>
        <v/>
      </c>
      <c r="I55" t="str">
        <f>'Audit Report'!E55</f>
        <v/>
      </c>
      <c r="J55" t="str">
        <f>'Audit Report'!G55</f>
        <v/>
      </c>
      <c r="L55" t="str">
        <f>_xlfn.TEXTJOIN(", ", FALSE, 'Audit Report'!J55,'Audit Report'!K55,'Audit Report'!L55)</f>
        <v xml:space="preserve">, , </v>
      </c>
      <c r="M55" t="str">
        <f>'Audit Report'!M55</f>
        <v/>
      </c>
      <c r="N55" t="str" cm="1">
        <f t="array" ref="N55">IF(M55="","",
_xlfn.TEXTJOIN(", ",TRUE,
    _xlfn.MAP(_xlfn.TEXTSPLIT(M55,","),_xlfn.LAMBDA(_xlpm.x,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" t="e">
        <f>'Audit Report'!#REF!</f>
        <v>#REF!</v>
      </c>
      <c r="S55" t="str">
        <f>'Audit Report'!N55</f>
        <v/>
      </c>
    </row>
    <row r="56" spans="4:19">
      <c r="D56" t="str">
        <f>'Audit Report'!B56</f>
        <v>ITD-SHRXXX-XX55</v>
      </c>
      <c r="E56" t="str">
        <f>'Audit Report'!C56</f>
        <v/>
      </c>
      <c r="I56" t="str">
        <f>'Audit Report'!E56</f>
        <v/>
      </c>
      <c r="J56" t="str">
        <f>'Audit Report'!G56</f>
        <v/>
      </c>
      <c r="L56" t="str">
        <f>_xlfn.TEXTJOIN(", ", FALSE, 'Audit Report'!J56,'Audit Report'!K56,'Audit Report'!L56)</f>
        <v xml:space="preserve">, , </v>
      </c>
      <c r="M56" t="str">
        <f>'Audit Report'!M56</f>
        <v/>
      </c>
      <c r="N56" t="str" cm="1">
        <f t="array" ref="N56">IF(M56="","",
_xlfn.TEXTJOIN(", ",TRUE,
    _xlfn.MAP(_xlfn.TEXTSPLIT(M56,","),_xlfn.LAMBDA(_xlpm.x,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" t="e">
        <f>'Audit Report'!#REF!</f>
        <v>#REF!</v>
      </c>
      <c r="S56" t="str">
        <f>'Audit Report'!N56</f>
        <v/>
      </c>
    </row>
    <row r="57" spans="4:19">
      <c r="D57" t="str">
        <f>'Audit Report'!B57</f>
        <v>ITD-SHRXXX-XX56</v>
      </c>
      <c r="E57" t="str">
        <f>'Audit Report'!C57</f>
        <v/>
      </c>
      <c r="I57" t="str">
        <f>'Audit Report'!E57</f>
        <v/>
      </c>
      <c r="J57" t="str">
        <f>'Audit Report'!G57</f>
        <v/>
      </c>
      <c r="L57" t="str">
        <f>_xlfn.TEXTJOIN(", ", FALSE, 'Audit Report'!J57,'Audit Report'!K57,'Audit Report'!L57)</f>
        <v xml:space="preserve">, , </v>
      </c>
      <c r="M57" t="str">
        <f>'Audit Report'!M57</f>
        <v/>
      </c>
      <c r="N57" t="str" cm="1">
        <f t="array" ref="N57">IF(M57="","",
_xlfn.TEXTJOIN(", ",TRUE,
    _xlfn.MAP(_xlfn.TEXTSPLIT(M57,","),_xlfn.LAMBDA(_xlpm.x,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" t="e">
        <f>'Audit Report'!#REF!</f>
        <v>#REF!</v>
      </c>
      <c r="S57" t="str">
        <f>'Audit Report'!N57</f>
        <v/>
      </c>
    </row>
    <row r="58" spans="4:19">
      <c r="D58" t="str">
        <f>'Audit Report'!B58</f>
        <v>ITD-SHRXXX-XX57</v>
      </c>
      <c r="E58" t="str">
        <f>'Audit Report'!C58</f>
        <v/>
      </c>
      <c r="I58" t="str">
        <f>'Audit Report'!E58</f>
        <v/>
      </c>
      <c r="J58" t="str">
        <f>'Audit Report'!G58</f>
        <v/>
      </c>
      <c r="L58" t="str">
        <f>_xlfn.TEXTJOIN(", ", FALSE, 'Audit Report'!J58,'Audit Report'!K58,'Audit Report'!L58)</f>
        <v xml:space="preserve">, , </v>
      </c>
      <c r="M58" t="str">
        <f>'Audit Report'!M58</f>
        <v/>
      </c>
      <c r="N58" t="str" cm="1">
        <f t="array" ref="N58">IF(M58="","",
_xlfn.TEXTJOIN(", ",TRUE,
    _xlfn.MAP(_xlfn.TEXTSPLIT(M58,","),_xlfn.LAMBDA(_xlpm.x,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" t="e">
        <f>'Audit Report'!#REF!</f>
        <v>#REF!</v>
      </c>
      <c r="S58" t="str">
        <f>'Audit Report'!N58</f>
        <v/>
      </c>
    </row>
    <row r="59" spans="4:19">
      <c r="D59" t="str">
        <f>'Audit Report'!B59</f>
        <v>ITD-SHRXXX-XX58</v>
      </c>
      <c r="E59" t="str">
        <f>'Audit Report'!C59</f>
        <v/>
      </c>
      <c r="I59" t="str">
        <f>'Audit Report'!E59</f>
        <v/>
      </c>
      <c r="J59" t="str">
        <f>'Audit Report'!G59</f>
        <v/>
      </c>
      <c r="L59" t="str">
        <f>_xlfn.TEXTJOIN(", ", FALSE, 'Audit Report'!J59,'Audit Report'!K59,'Audit Report'!L59)</f>
        <v xml:space="preserve">, , </v>
      </c>
      <c r="M59" t="str">
        <f>'Audit Report'!M59</f>
        <v/>
      </c>
      <c r="N59" t="str" cm="1">
        <f t="array" ref="N59">IF(M59="","",
_xlfn.TEXTJOIN(", ",TRUE,
    _xlfn.MAP(_xlfn.TEXTSPLIT(M59,","),_xlfn.LAMBDA(_xlpm.x,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" t="e">
        <f>'Audit Report'!#REF!</f>
        <v>#REF!</v>
      </c>
      <c r="S59" t="str">
        <f>'Audit Report'!N59</f>
        <v/>
      </c>
    </row>
    <row r="60" spans="4:19">
      <c r="D60" t="str">
        <f>'Audit Report'!B60</f>
        <v>ITD-SHRXXX-XX59</v>
      </c>
      <c r="E60" t="str">
        <f>'Audit Report'!C60</f>
        <v/>
      </c>
      <c r="I60" t="str">
        <f>'Audit Report'!E60</f>
        <v/>
      </c>
      <c r="J60" t="str">
        <f>'Audit Report'!G60</f>
        <v/>
      </c>
      <c r="L60" t="str">
        <f>_xlfn.TEXTJOIN(", ", FALSE, 'Audit Report'!J60,'Audit Report'!K60,'Audit Report'!L60)</f>
        <v xml:space="preserve">, , </v>
      </c>
      <c r="M60" t="str">
        <f>'Audit Report'!M60</f>
        <v/>
      </c>
      <c r="N60" t="str" cm="1">
        <f t="array" ref="N60">IF(M60="","",
_xlfn.TEXTJOIN(", ",TRUE,
    _xlfn.MAP(_xlfn.TEXTSPLIT(M60,","),_xlfn.LAMBDA(_xlpm.x,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" t="e">
        <f>'Audit Report'!#REF!</f>
        <v>#REF!</v>
      </c>
      <c r="S60" t="str">
        <f>'Audit Report'!N60</f>
        <v/>
      </c>
    </row>
    <row r="61" spans="4:19">
      <c r="D61" t="str">
        <f>'Audit Report'!B61</f>
        <v>ITD-SHRXXX-XX60</v>
      </c>
      <c r="E61" t="str">
        <f>'Audit Report'!C61</f>
        <v/>
      </c>
      <c r="I61" t="str">
        <f>'Audit Report'!E61</f>
        <v/>
      </c>
      <c r="J61" t="str">
        <f>'Audit Report'!G61</f>
        <v/>
      </c>
      <c r="L61" t="str">
        <f>_xlfn.TEXTJOIN(", ", FALSE, 'Audit Report'!J61,'Audit Report'!K61,'Audit Report'!L61)</f>
        <v xml:space="preserve">, , </v>
      </c>
      <c r="M61" t="str">
        <f>'Audit Report'!M61</f>
        <v/>
      </c>
      <c r="N61" t="str" cm="1">
        <f t="array" ref="N61">IF(M61="","",
_xlfn.TEXTJOIN(", ",TRUE,
    _xlfn.MAP(_xlfn.TEXTSPLIT(M61,","),_xlfn.LAMBDA(_xlpm.x,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" t="e">
        <f>'Audit Report'!#REF!</f>
        <v>#REF!</v>
      </c>
      <c r="S61" t="str">
        <f>'Audit Report'!N61</f>
        <v/>
      </c>
    </row>
    <row r="62" spans="4:19">
      <c r="D62" t="str">
        <f>'Audit Report'!B62</f>
        <v>ITD-SHRXXX-XX61</v>
      </c>
      <c r="E62" t="str">
        <f>'Audit Report'!C62</f>
        <v/>
      </c>
      <c r="I62" t="str">
        <f>'Audit Report'!E62</f>
        <v/>
      </c>
      <c r="J62" t="str">
        <f>'Audit Report'!G62</f>
        <v/>
      </c>
      <c r="L62" t="str">
        <f>_xlfn.TEXTJOIN(", ", FALSE, 'Audit Report'!J62,'Audit Report'!K62,'Audit Report'!L62)</f>
        <v xml:space="preserve">, , </v>
      </c>
      <c r="M62" t="str">
        <f>'Audit Report'!M62</f>
        <v/>
      </c>
      <c r="N62" t="str" cm="1">
        <f t="array" ref="N62">IF(M62="","",
_xlfn.TEXTJOIN(", ",TRUE,
    _xlfn.MAP(_xlfn.TEXTSPLIT(M62,","),_xlfn.LAMBDA(_xlpm.x,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" t="e">
        <f>'Audit Report'!#REF!</f>
        <v>#REF!</v>
      </c>
      <c r="S62" t="str">
        <f>'Audit Report'!N62</f>
        <v/>
      </c>
    </row>
    <row r="63" spans="4:19">
      <c r="D63" t="str">
        <f>'Audit Report'!B63</f>
        <v>ITD-SHRXXX-XX62</v>
      </c>
      <c r="E63" t="str">
        <f>'Audit Report'!C63</f>
        <v/>
      </c>
      <c r="I63" t="str">
        <f>'Audit Report'!E63</f>
        <v/>
      </c>
      <c r="J63" t="str">
        <f>'Audit Report'!G63</f>
        <v/>
      </c>
      <c r="L63" t="str">
        <f>_xlfn.TEXTJOIN(", ", FALSE, 'Audit Report'!J63,'Audit Report'!K63,'Audit Report'!L63)</f>
        <v xml:space="preserve">, , </v>
      </c>
      <c r="M63" t="str">
        <f>'Audit Report'!M63</f>
        <v/>
      </c>
      <c r="N63" t="str" cm="1">
        <f t="array" ref="N63">IF(M63="","",
_xlfn.TEXTJOIN(", ",TRUE,
    _xlfn.MAP(_xlfn.TEXTSPLIT(M63,","),_xlfn.LAMBDA(_xlpm.x,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" t="e">
        <f>'Audit Report'!#REF!</f>
        <v>#REF!</v>
      </c>
      <c r="S63" t="str">
        <f>'Audit Report'!N63</f>
        <v/>
      </c>
    </row>
    <row r="64" spans="4:19">
      <c r="D64" t="str">
        <f>'Audit Report'!B64</f>
        <v>ITD-SHRXXX-XX63</v>
      </c>
      <c r="E64" t="str">
        <f>'Audit Report'!C64</f>
        <v/>
      </c>
      <c r="I64" t="str">
        <f>'Audit Report'!E64</f>
        <v/>
      </c>
      <c r="J64" t="str">
        <f>'Audit Report'!G64</f>
        <v/>
      </c>
      <c r="L64" t="str">
        <f>_xlfn.TEXTJOIN(", ", FALSE, 'Audit Report'!J64,'Audit Report'!K64,'Audit Report'!L64)</f>
        <v xml:space="preserve">, , </v>
      </c>
      <c r="M64" t="str">
        <f>'Audit Report'!M64</f>
        <v/>
      </c>
      <c r="N64" t="str" cm="1">
        <f t="array" ref="N64">IF(M64="","",
_xlfn.TEXTJOIN(", ",TRUE,
    _xlfn.MAP(_xlfn.TEXTSPLIT(M64,","),_xlfn.LAMBDA(_xlpm.x,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" t="e">
        <f>'Audit Report'!#REF!</f>
        <v>#REF!</v>
      </c>
      <c r="S64" t="str">
        <f>'Audit Report'!N64</f>
        <v/>
      </c>
    </row>
    <row r="65" spans="4:19">
      <c r="D65" t="str">
        <f>'Audit Report'!B65</f>
        <v>ITD-SHRXXX-XX64</v>
      </c>
      <c r="E65" t="str">
        <f>'Audit Report'!C65</f>
        <v/>
      </c>
      <c r="I65" t="str">
        <f>'Audit Report'!E65</f>
        <v/>
      </c>
      <c r="J65" t="str">
        <f>'Audit Report'!G65</f>
        <v/>
      </c>
      <c r="L65" t="str">
        <f>_xlfn.TEXTJOIN(", ", FALSE, 'Audit Report'!J65,'Audit Report'!K65,'Audit Report'!L65)</f>
        <v xml:space="preserve">, , </v>
      </c>
      <c r="M65" t="str">
        <f>'Audit Report'!M65</f>
        <v/>
      </c>
      <c r="N65" t="str" cm="1">
        <f t="array" ref="N65">IF(M65="","",
_xlfn.TEXTJOIN(", ",TRUE,
    _xlfn.MAP(_xlfn.TEXTSPLIT(M65,","),_xlfn.LAMBDA(_xlpm.x,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" t="e">
        <f>'Audit Report'!#REF!</f>
        <v>#REF!</v>
      </c>
      <c r="S65" t="str">
        <f>'Audit Report'!N65</f>
        <v/>
      </c>
    </row>
    <row r="66" spans="4:19">
      <c r="D66" t="str">
        <f>'Audit Report'!B66</f>
        <v>ITD-SHRXXX-XX65</v>
      </c>
      <c r="E66" t="str">
        <f>'Audit Report'!C66</f>
        <v/>
      </c>
      <c r="I66" t="str">
        <f>'Audit Report'!E66</f>
        <v/>
      </c>
      <c r="J66" t="str">
        <f>'Audit Report'!G66</f>
        <v/>
      </c>
      <c r="L66" t="str">
        <f>_xlfn.TEXTJOIN(", ", FALSE, 'Audit Report'!J66,'Audit Report'!K66,'Audit Report'!L66)</f>
        <v xml:space="preserve">, , </v>
      </c>
      <c r="M66" t="str">
        <f>'Audit Report'!M66</f>
        <v/>
      </c>
      <c r="N66" t="str" cm="1">
        <f t="array" ref="N66">IF(M66="","",
_xlfn.TEXTJOIN(", ",TRUE,
    _xlfn.MAP(_xlfn.TEXTSPLIT(M66,","),_xlfn.LAMBDA(_xlpm.x,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" t="e">
        <f>'Audit Report'!#REF!</f>
        <v>#REF!</v>
      </c>
      <c r="S66" t="str">
        <f>'Audit Report'!N66</f>
        <v/>
      </c>
    </row>
    <row r="67" spans="4:19">
      <c r="D67" t="str">
        <f>'Audit Report'!B67</f>
        <v>ITD-SHRXXX-XX66</v>
      </c>
      <c r="E67" t="str">
        <f>'Audit Report'!C67</f>
        <v/>
      </c>
      <c r="I67" t="str">
        <f>'Audit Report'!E67</f>
        <v/>
      </c>
      <c r="J67" t="str">
        <f>'Audit Report'!G67</f>
        <v/>
      </c>
      <c r="L67" t="str">
        <f>_xlfn.TEXTJOIN(", ", FALSE, 'Audit Report'!J67,'Audit Report'!K67,'Audit Report'!L67)</f>
        <v xml:space="preserve">, , </v>
      </c>
      <c r="M67" t="str">
        <f>'Audit Report'!M67</f>
        <v/>
      </c>
      <c r="N67" t="str" cm="1">
        <f t="array" ref="N67">IF(M67="","",
_xlfn.TEXTJOIN(", ",TRUE,
    _xlfn.MAP(_xlfn.TEXTSPLIT(M67,","),_xlfn.LAMBDA(_xlpm.x,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" t="e">
        <f>'Audit Report'!#REF!</f>
        <v>#REF!</v>
      </c>
      <c r="S67" t="str">
        <f>'Audit Report'!N67</f>
        <v/>
      </c>
    </row>
    <row r="68" spans="4:19">
      <c r="D68" t="str">
        <f>'Audit Report'!B68</f>
        <v>ITD-SHRXXX-XX67</v>
      </c>
      <c r="E68" t="str">
        <f>'Audit Report'!C68</f>
        <v/>
      </c>
      <c r="I68" t="str">
        <f>'Audit Report'!E68</f>
        <v/>
      </c>
      <c r="J68" t="str">
        <f>'Audit Report'!G68</f>
        <v/>
      </c>
      <c r="L68" t="str">
        <f>_xlfn.TEXTJOIN(", ", FALSE, 'Audit Report'!J68,'Audit Report'!K68,'Audit Report'!L68)</f>
        <v xml:space="preserve">, , </v>
      </c>
      <c r="M68" t="str">
        <f>'Audit Report'!M68</f>
        <v/>
      </c>
      <c r="N68" t="str" cm="1">
        <f t="array" ref="N68">IF(M68="","",
_xlfn.TEXTJOIN(", ",TRUE,
    _xlfn.MAP(_xlfn.TEXTSPLIT(M68,","),_xlfn.LAMBDA(_xlpm.x,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" t="e">
        <f>'Audit Report'!#REF!</f>
        <v>#REF!</v>
      </c>
      <c r="S68" t="str">
        <f>'Audit Report'!N68</f>
        <v/>
      </c>
    </row>
    <row r="69" spans="4:19">
      <c r="D69" t="str">
        <f>'Audit Report'!B69</f>
        <v>ITD-SHRXXX-XX68</v>
      </c>
      <c r="E69" t="str">
        <f>'Audit Report'!C69</f>
        <v/>
      </c>
      <c r="I69" t="str">
        <f>'Audit Report'!E69</f>
        <v/>
      </c>
      <c r="J69" t="str">
        <f>'Audit Report'!G69</f>
        <v/>
      </c>
      <c r="L69" t="str">
        <f>_xlfn.TEXTJOIN(", ", FALSE, 'Audit Report'!J69,'Audit Report'!K69,'Audit Report'!L69)</f>
        <v xml:space="preserve">, , </v>
      </c>
      <c r="M69" t="str">
        <f>'Audit Report'!M69</f>
        <v/>
      </c>
      <c r="N69" t="str" cm="1">
        <f t="array" ref="N69">IF(M69="","",
_xlfn.TEXTJOIN(", ",TRUE,
    _xlfn.MAP(_xlfn.TEXTSPLIT(M69,","),_xlfn.LAMBDA(_xlpm.x,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" t="e">
        <f>'Audit Report'!#REF!</f>
        <v>#REF!</v>
      </c>
      <c r="S69" t="str">
        <f>'Audit Report'!N69</f>
        <v/>
      </c>
    </row>
    <row r="70" spans="4:19">
      <c r="D70" t="str">
        <f>'Audit Report'!B70</f>
        <v>ITD-SHRXXX-XX69</v>
      </c>
      <c r="E70" t="str">
        <f>'Audit Report'!C70</f>
        <v/>
      </c>
      <c r="I70" t="str">
        <f>'Audit Report'!E70</f>
        <v/>
      </c>
      <c r="J70" t="str">
        <f>'Audit Report'!G70</f>
        <v/>
      </c>
      <c r="L70" t="str">
        <f>_xlfn.TEXTJOIN(", ", FALSE, 'Audit Report'!J70,'Audit Report'!K70,'Audit Report'!L70)</f>
        <v xml:space="preserve">, , </v>
      </c>
      <c r="M70" t="str">
        <f>'Audit Report'!M70</f>
        <v/>
      </c>
      <c r="N70" t="str" cm="1">
        <f t="array" ref="N70">IF(M70="","",
_xlfn.TEXTJOIN(", ",TRUE,
    _xlfn.MAP(_xlfn.TEXTSPLIT(M70,","),_xlfn.LAMBDA(_xlpm.x,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" t="e">
        <f>'Audit Report'!#REF!</f>
        <v>#REF!</v>
      </c>
      <c r="S70" t="str">
        <f>'Audit Report'!N70</f>
        <v/>
      </c>
    </row>
    <row r="71" spans="4:19">
      <c r="D71" t="str">
        <f>'Audit Report'!B71</f>
        <v>ITD-SHRXXX-XX70</v>
      </c>
      <c r="E71" t="str">
        <f>'Audit Report'!C71</f>
        <v/>
      </c>
      <c r="I71" t="str">
        <f>'Audit Report'!E71</f>
        <v/>
      </c>
      <c r="J71" t="str">
        <f>'Audit Report'!G71</f>
        <v/>
      </c>
      <c r="L71" t="str">
        <f>_xlfn.TEXTJOIN(", ", FALSE, 'Audit Report'!J71,'Audit Report'!K71,'Audit Report'!L71)</f>
        <v xml:space="preserve">, , </v>
      </c>
      <c r="M71" t="str">
        <f>'Audit Report'!M71</f>
        <v/>
      </c>
      <c r="N71" t="str" cm="1">
        <f t="array" ref="N71">IF(M71="","",
_xlfn.TEXTJOIN(", ",TRUE,
    _xlfn.MAP(_xlfn.TEXTSPLIT(M71,","),_xlfn.LAMBDA(_xlpm.x,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" t="e">
        <f>'Audit Report'!#REF!</f>
        <v>#REF!</v>
      </c>
      <c r="S71" t="str">
        <f>'Audit Report'!N71</f>
        <v/>
      </c>
    </row>
    <row r="72" spans="4:19">
      <c r="D72" t="str">
        <f>'Audit Report'!B72</f>
        <v>ITD-SHRXXX-XX71</v>
      </c>
      <c r="E72" t="str">
        <f>'Audit Report'!C72</f>
        <v/>
      </c>
      <c r="I72" t="str">
        <f>'Audit Report'!E72</f>
        <v/>
      </c>
      <c r="J72" t="str">
        <f>'Audit Report'!G72</f>
        <v/>
      </c>
      <c r="L72" t="str">
        <f>_xlfn.TEXTJOIN(", ", FALSE, 'Audit Report'!J72,'Audit Report'!K72,'Audit Report'!L72)</f>
        <v xml:space="preserve">, , </v>
      </c>
      <c r="M72" t="str">
        <f>'Audit Report'!M72</f>
        <v/>
      </c>
      <c r="N72" t="str" cm="1">
        <f t="array" ref="N72">IF(M72="","",
_xlfn.TEXTJOIN(", ",TRUE,
    _xlfn.MAP(_xlfn.TEXTSPLIT(M72,","),_xlfn.LAMBDA(_xlpm.x,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" t="e">
        <f>'Audit Report'!#REF!</f>
        <v>#REF!</v>
      </c>
      <c r="S72" t="str">
        <f>'Audit Report'!N72</f>
        <v/>
      </c>
    </row>
    <row r="73" spans="4:19">
      <c r="D73" t="str">
        <f>'Audit Report'!B73</f>
        <v>ITD-SHRXXX-XX72</v>
      </c>
      <c r="E73" t="str">
        <f>'Audit Report'!C73</f>
        <v/>
      </c>
      <c r="I73" t="str">
        <f>'Audit Report'!E73</f>
        <v/>
      </c>
      <c r="J73" t="str">
        <f>'Audit Report'!G73</f>
        <v/>
      </c>
      <c r="L73" t="str">
        <f>_xlfn.TEXTJOIN(", ", FALSE, 'Audit Report'!J73,'Audit Report'!K73,'Audit Report'!L73)</f>
        <v xml:space="preserve">, , </v>
      </c>
      <c r="M73" t="str">
        <f>'Audit Report'!M73</f>
        <v/>
      </c>
      <c r="N73" t="str" cm="1">
        <f t="array" ref="N73">IF(M73="","",
_xlfn.TEXTJOIN(", ",TRUE,
    _xlfn.MAP(_xlfn.TEXTSPLIT(M73,","),_xlfn.LAMBDA(_xlpm.x,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" t="e">
        <f>'Audit Report'!#REF!</f>
        <v>#REF!</v>
      </c>
      <c r="S73" t="str">
        <f>'Audit Report'!N73</f>
        <v/>
      </c>
    </row>
    <row r="74" spans="4:19">
      <c r="D74" t="str">
        <f>'Audit Report'!B74</f>
        <v>ITD-SHRXXX-XX73</v>
      </c>
      <c r="E74" t="str">
        <f>'Audit Report'!C74</f>
        <v/>
      </c>
      <c r="I74" t="str">
        <f>'Audit Report'!E74</f>
        <v/>
      </c>
      <c r="J74" t="str">
        <f>'Audit Report'!G74</f>
        <v/>
      </c>
      <c r="L74" t="str">
        <f>_xlfn.TEXTJOIN(", ", FALSE, 'Audit Report'!J74,'Audit Report'!K74,'Audit Report'!L74)</f>
        <v xml:space="preserve">, , </v>
      </c>
      <c r="M74" t="str">
        <f>'Audit Report'!M74</f>
        <v/>
      </c>
      <c r="N74" t="str" cm="1">
        <f t="array" ref="N74">IF(M74="","",
_xlfn.TEXTJOIN(", ",TRUE,
    _xlfn.MAP(_xlfn.TEXTSPLIT(M74,","),_xlfn.LAMBDA(_xlpm.x,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" t="e">
        <f>'Audit Report'!#REF!</f>
        <v>#REF!</v>
      </c>
      <c r="S74" t="str">
        <f>'Audit Report'!N74</f>
        <v/>
      </c>
    </row>
    <row r="75" spans="4:19">
      <c r="D75" t="str">
        <f>'Audit Report'!B75</f>
        <v>ITD-SHRXXX-XX74</v>
      </c>
      <c r="E75" t="str">
        <f>'Audit Report'!C75</f>
        <v/>
      </c>
      <c r="I75" t="str">
        <f>'Audit Report'!E75</f>
        <v/>
      </c>
      <c r="J75" t="str">
        <f>'Audit Report'!G75</f>
        <v/>
      </c>
      <c r="L75" t="str">
        <f>_xlfn.TEXTJOIN(", ", FALSE, 'Audit Report'!J75,'Audit Report'!K75,'Audit Report'!L75)</f>
        <v xml:space="preserve">, , </v>
      </c>
      <c r="M75" t="str">
        <f>'Audit Report'!M75</f>
        <v/>
      </c>
      <c r="N75" t="str" cm="1">
        <f t="array" ref="N75">IF(M75="","",
_xlfn.TEXTJOIN(", ",TRUE,
    _xlfn.MAP(_xlfn.TEXTSPLIT(M75,","),_xlfn.LAMBDA(_xlpm.x,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" t="e">
        <f>'Audit Report'!#REF!</f>
        <v>#REF!</v>
      </c>
      <c r="S75" t="str">
        <f>'Audit Report'!N75</f>
        <v/>
      </c>
    </row>
    <row r="76" spans="4:19">
      <c r="D76" t="str">
        <f>'Audit Report'!B76</f>
        <v>ITD-SHRXXX-XX75</v>
      </c>
      <c r="E76" t="str">
        <f>'Audit Report'!C76</f>
        <v/>
      </c>
      <c r="I76" t="str">
        <f>'Audit Report'!E76</f>
        <v/>
      </c>
      <c r="J76" t="str">
        <f>'Audit Report'!G76</f>
        <v/>
      </c>
      <c r="L76" t="str">
        <f>_xlfn.TEXTJOIN(", ", FALSE, 'Audit Report'!J76,'Audit Report'!K76,'Audit Report'!L76)</f>
        <v xml:space="preserve">, , </v>
      </c>
      <c r="M76" t="str">
        <f>'Audit Report'!M76</f>
        <v/>
      </c>
      <c r="N76" t="str" cm="1">
        <f t="array" ref="N76">IF(M76="","",
_xlfn.TEXTJOIN(", ",TRUE,
    _xlfn.MAP(_xlfn.TEXTSPLIT(M76,","),_xlfn.LAMBDA(_xlpm.x,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" t="e">
        <f>'Audit Report'!#REF!</f>
        <v>#REF!</v>
      </c>
      <c r="S76" t="str">
        <f>'Audit Report'!N76</f>
        <v/>
      </c>
    </row>
    <row r="77" spans="4:19">
      <c r="D77" t="str">
        <f>'Audit Report'!B77</f>
        <v>ITD-SHRXXX-XX76</v>
      </c>
      <c r="E77" t="str">
        <f>'Audit Report'!C77</f>
        <v/>
      </c>
      <c r="I77" t="str">
        <f>'Audit Report'!E77</f>
        <v/>
      </c>
      <c r="J77" t="str">
        <f>'Audit Report'!G77</f>
        <v/>
      </c>
      <c r="L77" t="str">
        <f>_xlfn.TEXTJOIN(", ", FALSE, 'Audit Report'!J77,'Audit Report'!K77,'Audit Report'!L77)</f>
        <v xml:space="preserve">, , </v>
      </c>
      <c r="M77" t="str">
        <f>'Audit Report'!M77</f>
        <v/>
      </c>
      <c r="N77" t="str" cm="1">
        <f t="array" ref="N77">IF(M77="","",
_xlfn.TEXTJOIN(", ",TRUE,
    _xlfn.MAP(_xlfn.TEXTSPLIT(M77,","),_xlfn.LAMBDA(_xlpm.x,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" t="e">
        <f>'Audit Report'!#REF!</f>
        <v>#REF!</v>
      </c>
      <c r="S77" t="str">
        <f>'Audit Report'!N77</f>
        <v/>
      </c>
    </row>
    <row r="78" spans="4:19">
      <c r="D78" t="str">
        <f>'Audit Report'!B78</f>
        <v>ITD-SHRXXX-XX77</v>
      </c>
      <c r="E78" t="str">
        <f>'Audit Report'!C78</f>
        <v/>
      </c>
      <c r="I78" t="str">
        <f>'Audit Report'!E78</f>
        <v/>
      </c>
      <c r="J78" t="str">
        <f>'Audit Report'!G78</f>
        <v/>
      </c>
      <c r="L78" t="str">
        <f>_xlfn.TEXTJOIN(", ", FALSE, 'Audit Report'!J78,'Audit Report'!K78,'Audit Report'!L78)</f>
        <v xml:space="preserve">, , </v>
      </c>
      <c r="M78" t="str">
        <f>'Audit Report'!M78</f>
        <v/>
      </c>
      <c r="N78" t="str" cm="1">
        <f t="array" ref="N78">IF(M78="","",
_xlfn.TEXTJOIN(", ",TRUE,
    _xlfn.MAP(_xlfn.TEXTSPLIT(M78,","),_xlfn.LAMBDA(_xlpm.x,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" t="e">
        <f>'Audit Report'!#REF!</f>
        <v>#REF!</v>
      </c>
      <c r="S78" t="str">
        <f>'Audit Report'!N78</f>
        <v/>
      </c>
    </row>
    <row r="79" spans="4:19">
      <c r="D79" t="str">
        <f>'Audit Report'!B79</f>
        <v>ITD-SHRXXX-XX78</v>
      </c>
      <c r="E79" t="str">
        <f>'Audit Report'!C79</f>
        <v/>
      </c>
      <c r="I79" t="str">
        <f>'Audit Report'!E79</f>
        <v/>
      </c>
      <c r="J79" t="str">
        <f>'Audit Report'!G79</f>
        <v/>
      </c>
      <c r="L79" t="str">
        <f>_xlfn.TEXTJOIN(", ", FALSE, 'Audit Report'!J79,'Audit Report'!K79,'Audit Report'!L79)</f>
        <v xml:space="preserve">, , </v>
      </c>
      <c r="M79" t="str">
        <f>'Audit Report'!M79</f>
        <v/>
      </c>
      <c r="N79" t="str" cm="1">
        <f t="array" ref="N79">IF(M79="","",
_xlfn.TEXTJOIN(", ",TRUE,
    _xlfn.MAP(_xlfn.TEXTSPLIT(M79,","),_xlfn.LAMBDA(_xlpm.x,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" t="e">
        <f>'Audit Report'!#REF!</f>
        <v>#REF!</v>
      </c>
      <c r="S79" t="str">
        <f>'Audit Report'!N79</f>
        <v/>
      </c>
    </row>
    <row r="80" spans="4:19">
      <c r="D80" t="str">
        <f>'Audit Report'!B80</f>
        <v>ITD-SHRXXX-XX79</v>
      </c>
      <c r="E80" t="str">
        <f>'Audit Report'!C80</f>
        <v/>
      </c>
      <c r="I80" t="str">
        <f>'Audit Report'!E80</f>
        <v/>
      </c>
      <c r="J80" t="str">
        <f>'Audit Report'!G80</f>
        <v/>
      </c>
      <c r="L80" t="str">
        <f>_xlfn.TEXTJOIN(", ", FALSE, 'Audit Report'!J80,'Audit Report'!K80,'Audit Report'!L80)</f>
        <v xml:space="preserve">, , </v>
      </c>
      <c r="M80" t="str">
        <f>'Audit Report'!M80</f>
        <v/>
      </c>
      <c r="N80" t="str" cm="1">
        <f t="array" ref="N80">IF(M80="","",
_xlfn.TEXTJOIN(", ",TRUE,
    _xlfn.MAP(_xlfn.TEXTSPLIT(M80,","),_xlfn.LAMBDA(_xlpm.x,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" t="e">
        <f>'Audit Report'!#REF!</f>
        <v>#REF!</v>
      </c>
      <c r="S80" t="str">
        <f>'Audit Report'!N80</f>
        <v/>
      </c>
    </row>
    <row r="81" spans="4:19">
      <c r="D81" t="str">
        <f>'Audit Report'!B81</f>
        <v>ITD-SHRXXX-XX80</v>
      </c>
      <c r="E81" t="str">
        <f>'Audit Report'!C81</f>
        <v/>
      </c>
      <c r="I81" t="str">
        <f>'Audit Report'!E81</f>
        <v/>
      </c>
      <c r="J81" t="str">
        <f>'Audit Report'!G81</f>
        <v/>
      </c>
      <c r="L81" t="str">
        <f>_xlfn.TEXTJOIN(", ", FALSE, 'Audit Report'!J81,'Audit Report'!K81,'Audit Report'!L81)</f>
        <v xml:space="preserve">, , </v>
      </c>
      <c r="M81" t="str">
        <f>'Audit Report'!M81</f>
        <v/>
      </c>
      <c r="N81" t="str" cm="1">
        <f t="array" ref="N81">IF(M81="","",
_xlfn.TEXTJOIN(", ",TRUE,
    _xlfn.MAP(_xlfn.TEXTSPLIT(M81,","),_xlfn.LAMBDA(_xlpm.x,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" t="e">
        <f>'Audit Report'!#REF!</f>
        <v>#REF!</v>
      </c>
      <c r="S81" t="str">
        <f>'Audit Report'!N81</f>
        <v/>
      </c>
    </row>
    <row r="82" spans="4:19">
      <c r="D82" t="str">
        <f>'Audit Report'!B82</f>
        <v>ITD-SHRXXX-XX81</v>
      </c>
      <c r="E82" t="str">
        <f>'Audit Report'!C82</f>
        <v/>
      </c>
      <c r="I82" t="str">
        <f>'Audit Report'!E82</f>
        <v/>
      </c>
      <c r="J82" t="str">
        <f>'Audit Report'!G82</f>
        <v/>
      </c>
      <c r="L82" t="str">
        <f>_xlfn.TEXTJOIN(", ", FALSE, 'Audit Report'!J82,'Audit Report'!K82,'Audit Report'!L82)</f>
        <v xml:space="preserve">, , </v>
      </c>
      <c r="M82" t="str">
        <f>'Audit Report'!M82</f>
        <v/>
      </c>
      <c r="N82" t="str" cm="1">
        <f t="array" ref="N82">IF(M82="","",
_xlfn.TEXTJOIN(", ",TRUE,
    _xlfn.MAP(_xlfn.TEXTSPLIT(M82,","),_xlfn.LAMBDA(_xlpm.x,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" t="e">
        <f>'Audit Report'!#REF!</f>
        <v>#REF!</v>
      </c>
      <c r="S82" t="str">
        <f>'Audit Report'!N82</f>
        <v/>
      </c>
    </row>
    <row r="83" spans="4:19">
      <c r="D83" t="str">
        <f>'Audit Report'!B83</f>
        <v>ITD-SHRXXX-XX82</v>
      </c>
      <c r="E83" t="str">
        <f>'Audit Report'!C83</f>
        <v/>
      </c>
      <c r="I83" t="str">
        <f>'Audit Report'!E83</f>
        <v/>
      </c>
      <c r="J83" t="str">
        <f>'Audit Report'!G83</f>
        <v/>
      </c>
      <c r="L83" t="str">
        <f>_xlfn.TEXTJOIN(", ", FALSE, 'Audit Report'!J83,'Audit Report'!K83,'Audit Report'!L83)</f>
        <v xml:space="preserve">, , </v>
      </c>
      <c r="M83" t="str">
        <f>'Audit Report'!M83</f>
        <v/>
      </c>
      <c r="N83" t="str" cm="1">
        <f t="array" ref="N83">IF(M83="","",
_xlfn.TEXTJOIN(", ",TRUE,
    _xlfn.MAP(_xlfn.TEXTSPLIT(M83,","),_xlfn.LAMBDA(_xlpm.x,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" t="e">
        <f>'Audit Report'!#REF!</f>
        <v>#REF!</v>
      </c>
      <c r="S83" t="str">
        <f>'Audit Report'!N83</f>
        <v/>
      </c>
    </row>
    <row r="84" spans="4:19">
      <c r="D84" t="str">
        <f>'Audit Report'!B84</f>
        <v>ITD-SHRXXX-XX83</v>
      </c>
      <c r="E84" t="str">
        <f>'Audit Report'!C84</f>
        <v/>
      </c>
      <c r="I84" t="str">
        <f>'Audit Report'!E84</f>
        <v/>
      </c>
      <c r="J84" t="str">
        <f>'Audit Report'!G84</f>
        <v/>
      </c>
      <c r="L84" t="str">
        <f>_xlfn.TEXTJOIN(", ", FALSE, 'Audit Report'!J84,'Audit Report'!K84,'Audit Report'!L84)</f>
        <v xml:space="preserve">, , </v>
      </c>
      <c r="M84" t="str">
        <f>'Audit Report'!M84</f>
        <v/>
      </c>
      <c r="N84" t="str" cm="1">
        <f t="array" ref="N84">IF(M84="","",
_xlfn.TEXTJOIN(", ",TRUE,
    _xlfn.MAP(_xlfn.TEXTSPLIT(M84,","),_xlfn.LAMBDA(_xlpm.x,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" t="e">
        <f>'Audit Report'!#REF!</f>
        <v>#REF!</v>
      </c>
      <c r="S84" t="str">
        <f>'Audit Report'!N84</f>
        <v/>
      </c>
    </row>
    <row r="85" spans="4:19">
      <c r="D85" t="str">
        <f>'Audit Report'!B85</f>
        <v>ITD-SHRXXX-XX84</v>
      </c>
      <c r="E85" t="str">
        <f>'Audit Report'!C85</f>
        <v/>
      </c>
      <c r="I85" t="str">
        <f>'Audit Report'!E85</f>
        <v/>
      </c>
      <c r="J85" t="str">
        <f>'Audit Report'!G85</f>
        <v/>
      </c>
      <c r="L85" t="str">
        <f>_xlfn.TEXTJOIN(", ", FALSE, 'Audit Report'!J85,'Audit Report'!K85,'Audit Report'!L85)</f>
        <v xml:space="preserve">, , </v>
      </c>
      <c r="M85" t="str">
        <f>'Audit Report'!M85</f>
        <v/>
      </c>
      <c r="N85" t="str" cm="1">
        <f t="array" ref="N85">IF(M85="","",
_xlfn.TEXTJOIN(", ",TRUE,
    _xlfn.MAP(_xlfn.TEXTSPLIT(M85,","),_xlfn.LAMBDA(_xlpm.x,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" t="e">
        <f>'Audit Report'!#REF!</f>
        <v>#REF!</v>
      </c>
      <c r="S85" t="str">
        <f>'Audit Report'!N85</f>
        <v/>
      </c>
    </row>
    <row r="86" spans="4:19">
      <c r="D86" t="str">
        <f>'Audit Report'!B86</f>
        <v>ITD-SHRXXX-XX85</v>
      </c>
      <c r="E86" t="str">
        <f>'Audit Report'!C86</f>
        <v/>
      </c>
      <c r="I86" t="str">
        <f>'Audit Report'!E86</f>
        <v/>
      </c>
      <c r="J86" t="str">
        <f>'Audit Report'!G86</f>
        <v/>
      </c>
      <c r="L86" t="str">
        <f>_xlfn.TEXTJOIN(", ", FALSE, 'Audit Report'!J86,'Audit Report'!K86,'Audit Report'!L86)</f>
        <v xml:space="preserve">, , </v>
      </c>
      <c r="M86" t="str">
        <f>'Audit Report'!M86</f>
        <v/>
      </c>
      <c r="N86" t="str" cm="1">
        <f t="array" ref="N86">IF(M86="","",
_xlfn.TEXTJOIN(", ",TRUE,
    _xlfn.MAP(_xlfn.TEXTSPLIT(M86,","),_xlfn.LAMBDA(_xlpm.x,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" t="e">
        <f>'Audit Report'!#REF!</f>
        <v>#REF!</v>
      </c>
      <c r="S86" t="str">
        <f>'Audit Report'!N86</f>
        <v/>
      </c>
    </row>
    <row r="87" spans="4:19">
      <c r="D87" t="str">
        <f>'Audit Report'!B87</f>
        <v>ITD-SHRXXX-XX86</v>
      </c>
      <c r="E87" t="str">
        <f>'Audit Report'!C87</f>
        <v/>
      </c>
      <c r="I87" t="str">
        <f>'Audit Report'!E87</f>
        <v/>
      </c>
      <c r="J87" t="str">
        <f>'Audit Report'!G87</f>
        <v/>
      </c>
      <c r="L87" t="str">
        <f>_xlfn.TEXTJOIN(", ", FALSE, 'Audit Report'!J87,'Audit Report'!K87,'Audit Report'!L87)</f>
        <v xml:space="preserve">, , </v>
      </c>
      <c r="M87" t="str">
        <f>'Audit Report'!M87</f>
        <v/>
      </c>
      <c r="N87" t="str" cm="1">
        <f t="array" ref="N87">IF(M87="","",
_xlfn.TEXTJOIN(", ",TRUE,
    _xlfn.MAP(_xlfn.TEXTSPLIT(M87,","),_xlfn.LAMBDA(_xlpm.x,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" t="e">
        <f>'Audit Report'!#REF!</f>
        <v>#REF!</v>
      </c>
      <c r="S87" t="str">
        <f>'Audit Report'!N87</f>
        <v/>
      </c>
    </row>
    <row r="88" spans="4:19">
      <c r="D88" t="str">
        <f>'Audit Report'!B88</f>
        <v>ITD-SHRXXX-XX87</v>
      </c>
      <c r="E88" t="str">
        <f>'Audit Report'!C88</f>
        <v/>
      </c>
      <c r="I88" t="str">
        <f>'Audit Report'!E88</f>
        <v/>
      </c>
      <c r="J88" t="str">
        <f>'Audit Report'!G88</f>
        <v/>
      </c>
      <c r="L88" t="str">
        <f>_xlfn.TEXTJOIN(", ", FALSE, 'Audit Report'!J88,'Audit Report'!K88,'Audit Report'!L88)</f>
        <v xml:space="preserve">, , </v>
      </c>
      <c r="M88" t="str">
        <f>'Audit Report'!M88</f>
        <v/>
      </c>
      <c r="N88" t="str" cm="1">
        <f t="array" ref="N88">IF(M88="","",
_xlfn.TEXTJOIN(", ",TRUE,
    _xlfn.MAP(_xlfn.TEXTSPLIT(M88,","),_xlfn.LAMBDA(_xlpm.x,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" t="e">
        <f>'Audit Report'!#REF!</f>
        <v>#REF!</v>
      </c>
      <c r="S88" t="str">
        <f>'Audit Report'!N88</f>
        <v/>
      </c>
    </row>
    <row r="89" spans="4:19">
      <c r="D89" t="str">
        <f>'Audit Report'!B89</f>
        <v>ITD-SHRXXX-XX88</v>
      </c>
      <c r="E89" t="str">
        <f>'Audit Report'!C89</f>
        <v/>
      </c>
      <c r="I89" t="str">
        <f>'Audit Report'!E89</f>
        <v/>
      </c>
      <c r="J89" t="str">
        <f>'Audit Report'!G89</f>
        <v/>
      </c>
      <c r="L89" t="str">
        <f>_xlfn.TEXTJOIN(", ", FALSE, 'Audit Report'!J89,'Audit Report'!K89,'Audit Report'!L89)</f>
        <v xml:space="preserve">, , </v>
      </c>
      <c r="M89" t="str">
        <f>'Audit Report'!M89</f>
        <v/>
      </c>
      <c r="N89" t="str" cm="1">
        <f t="array" ref="N89">IF(M89="","",
_xlfn.TEXTJOIN(", ",TRUE,
    _xlfn.MAP(_xlfn.TEXTSPLIT(M89,","),_xlfn.LAMBDA(_xlpm.x,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" t="e">
        <f>'Audit Report'!#REF!</f>
        <v>#REF!</v>
      </c>
      <c r="S89" t="str">
        <f>'Audit Report'!N89</f>
        <v/>
      </c>
    </row>
    <row r="90" spans="4:19">
      <c r="D90" t="str">
        <f>'Audit Report'!B90</f>
        <v>ITD-SHRXXX-XX89</v>
      </c>
      <c r="E90" t="str">
        <f>'Audit Report'!C90</f>
        <v/>
      </c>
      <c r="I90" t="str">
        <f>'Audit Report'!E90</f>
        <v/>
      </c>
      <c r="J90" t="str">
        <f>'Audit Report'!G90</f>
        <v/>
      </c>
      <c r="L90" t="str">
        <f>_xlfn.TEXTJOIN(", ", FALSE, 'Audit Report'!J90,'Audit Report'!K90,'Audit Report'!L90)</f>
        <v xml:space="preserve">, , </v>
      </c>
      <c r="M90" t="str">
        <f>'Audit Report'!M90</f>
        <v/>
      </c>
      <c r="N90" t="str" cm="1">
        <f t="array" ref="N90">IF(M90="","",
_xlfn.TEXTJOIN(", ",TRUE,
    _xlfn.MAP(_xlfn.TEXTSPLIT(M90,","),_xlfn.LAMBDA(_xlpm.x,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" t="e">
        <f>'Audit Report'!#REF!</f>
        <v>#REF!</v>
      </c>
      <c r="S90" t="str">
        <f>'Audit Report'!N90</f>
        <v/>
      </c>
    </row>
    <row r="91" spans="4:19">
      <c r="D91" t="str">
        <f>'Audit Report'!B91</f>
        <v>ITD-SHRXXX-XX90</v>
      </c>
      <c r="E91" t="str">
        <f>'Audit Report'!C91</f>
        <v/>
      </c>
      <c r="I91" t="str">
        <f>'Audit Report'!E91</f>
        <v/>
      </c>
      <c r="J91" t="str">
        <f>'Audit Report'!G91</f>
        <v/>
      </c>
      <c r="L91" t="str">
        <f>_xlfn.TEXTJOIN(", ", FALSE, 'Audit Report'!J91,'Audit Report'!K91,'Audit Report'!L91)</f>
        <v xml:space="preserve">, , </v>
      </c>
      <c r="M91" t="str">
        <f>'Audit Report'!M91</f>
        <v/>
      </c>
      <c r="N91" t="str" cm="1">
        <f t="array" ref="N91">IF(M91="","",
_xlfn.TEXTJOIN(", ",TRUE,
    _xlfn.MAP(_xlfn.TEXTSPLIT(M91,","),_xlfn.LAMBDA(_xlpm.x,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" t="e">
        <f>'Audit Report'!#REF!</f>
        <v>#REF!</v>
      </c>
      <c r="S91" t="str">
        <f>'Audit Report'!N91</f>
        <v/>
      </c>
    </row>
    <row r="92" spans="4:19">
      <c r="D92" t="str">
        <f>'Audit Report'!B92</f>
        <v>ITD-SHRXXX-XX91</v>
      </c>
      <c r="E92" t="str">
        <f>'Audit Report'!C92</f>
        <v/>
      </c>
      <c r="I92" t="str">
        <f>'Audit Report'!E92</f>
        <v/>
      </c>
      <c r="J92" t="str">
        <f>'Audit Report'!G92</f>
        <v/>
      </c>
      <c r="L92" t="str">
        <f>_xlfn.TEXTJOIN(", ", FALSE, 'Audit Report'!J92,'Audit Report'!K92,'Audit Report'!L92)</f>
        <v xml:space="preserve">, , </v>
      </c>
      <c r="M92" t="str">
        <f>'Audit Report'!M92</f>
        <v/>
      </c>
      <c r="N92" t="str" cm="1">
        <f t="array" ref="N92">IF(M92="","",
_xlfn.TEXTJOIN(", ",TRUE,
    _xlfn.MAP(_xlfn.TEXTSPLIT(M92,","),_xlfn.LAMBDA(_xlpm.x,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" t="e">
        <f>'Audit Report'!#REF!</f>
        <v>#REF!</v>
      </c>
      <c r="S92" t="str">
        <f>'Audit Report'!N92</f>
        <v/>
      </c>
    </row>
    <row r="93" spans="4:19">
      <c r="D93" t="str">
        <f>'Audit Report'!B93</f>
        <v>ITD-SHRXXX-XX92</v>
      </c>
      <c r="E93" t="str">
        <f>'Audit Report'!C93</f>
        <v/>
      </c>
      <c r="I93" t="str">
        <f>'Audit Report'!E93</f>
        <v/>
      </c>
      <c r="J93" t="str">
        <f>'Audit Report'!G93</f>
        <v/>
      </c>
      <c r="L93" t="str">
        <f>_xlfn.TEXTJOIN(", ", FALSE, 'Audit Report'!J93,'Audit Report'!K93,'Audit Report'!L93)</f>
        <v xml:space="preserve">, , </v>
      </c>
      <c r="M93" t="str">
        <f>'Audit Report'!M93</f>
        <v/>
      </c>
      <c r="N93" t="str" cm="1">
        <f t="array" ref="N93">IF(M93="","",
_xlfn.TEXTJOIN(", ",TRUE,
    _xlfn.MAP(_xlfn.TEXTSPLIT(M93,","),_xlfn.LAMBDA(_xlpm.x,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" t="e">
        <f>'Audit Report'!#REF!</f>
        <v>#REF!</v>
      </c>
      <c r="S93" t="str">
        <f>'Audit Report'!N93</f>
        <v/>
      </c>
    </row>
    <row r="94" spans="4:19">
      <c r="D94" t="str">
        <f>'Audit Report'!B94</f>
        <v>ITD-SHRXXX-XX93</v>
      </c>
      <c r="E94" t="str">
        <f>'Audit Report'!C94</f>
        <v/>
      </c>
      <c r="I94" t="str">
        <f>'Audit Report'!E94</f>
        <v/>
      </c>
      <c r="J94" t="str">
        <f>'Audit Report'!G94</f>
        <v/>
      </c>
      <c r="L94" t="str">
        <f>_xlfn.TEXTJOIN(", ", FALSE, 'Audit Report'!J94,'Audit Report'!K94,'Audit Report'!L94)</f>
        <v xml:space="preserve">, , </v>
      </c>
      <c r="M94" t="str">
        <f>'Audit Report'!M94</f>
        <v/>
      </c>
      <c r="N94" t="str" cm="1">
        <f t="array" ref="N94">IF(M94="","",
_xlfn.TEXTJOIN(", ",TRUE,
    _xlfn.MAP(_xlfn.TEXTSPLIT(M94,","),_xlfn.LAMBDA(_xlpm.x,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" t="e">
        <f>'Audit Report'!#REF!</f>
        <v>#REF!</v>
      </c>
      <c r="S94" t="str">
        <f>'Audit Report'!N94</f>
        <v/>
      </c>
    </row>
    <row r="95" spans="4:19">
      <c r="D95" t="str">
        <f>'Audit Report'!B95</f>
        <v>ITD-SHRXXX-XX94</v>
      </c>
      <c r="E95" t="str">
        <f>'Audit Report'!C95</f>
        <v/>
      </c>
      <c r="I95" t="str">
        <f>'Audit Report'!E95</f>
        <v/>
      </c>
      <c r="J95" t="str">
        <f>'Audit Report'!G95</f>
        <v/>
      </c>
      <c r="L95" t="str">
        <f>_xlfn.TEXTJOIN(", ", FALSE, 'Audit Report'!J95,'Audit Report'!K95,'Audit Report'!L95)</f>
        <v xml:space="preserve">, , </v>
      </c>
      <c r="M95" t="str">
        <f>'Audit Report'!M95</f>
        <v/>
      </c>
      <c r="N95" t="str" cm="1">
        <f t="array" ref="N95">IF(M95="","",
_xlfn.TEXTJOIN(", ",TRUE,
    _xlfn.MAP(_xlfn.TEXTSPLIT(M95,","),_xlfn.LAMBDA(_xlpm.x,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" t="e">
        <f>'Audit Report'!#REF!</f>
        <v>#REF!</v>
      </c>
      <c r="S95" t="str">
        <f>'Audit Report'!N95</f>
        <v/>
      </c>
    </row>
    <row r="96" spans="4:19">
      <c r="D96" t="str">
        <f>'Audit Report'!B96</f>
        <v>ITD-SHRXXX-XX95</v>
      </c>
      <c r="E96" t="str">
        <f>'Audit Report'!C96</f>
        <v/>
      </c>
      <c r="I96" t="str">
        <f>'Audit Report'!E96</f>
        <v/>
      </c>
      <c r="J96" t="str">
        <f>'Audit Report'!G96</f>
        <v/>
      </c>
      <c r="L96" t="str">
        <f>_xlfn.TEXTJOIN(", ", FALSE, 'Audit Report'!J96,'Audit Report'!K96,'Audit Report'!L96)</f>
        <v xml:space="preserve">, , </v>
      </c>
      <c r="M96" t="str">
        <f>'Audit Report'!M96</f>
        <v/>
      </c>
      <c r="N96" t="str" cm="1">
        <f t="array" ref="N96">IF(M96="","",
_xlfn.TEXTJOIN(", ",TRUE,
    _xlfn.MAP(_xlfn.TEXTSPLIT(M96,","),_xlfn.LAMBDA(_xlpm.x,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" t="e">
        <f>'Audit Report'!#REF!</f>
        <v>#REF!</v>
      </c>
      <c r="S96" t="str">
        <f>'Audit Report'!N96</f>
        <v/>
      </c>
    </row>
    <row r="97" spans="4:19">
      <c r="D97" t="str">
        <f>'Audit Report'!B97</f>
        <v>ITD-SHRXXX-XX96</v>
      </c>
      <c r="E97" t="str">
        <f>'Audit Report'!C97</f>
        <v/>
      </c>
      <c r="I97" t="str">
        <f>'Audit Report'!E97</f>
        <v/>
      </c>
      <c r="J97" t="str">
        <f>'Audit Report'!G97</f>
        <v/>
      </c>
      <c r="L97" t="str">
        <f>_xlfn.TEXTJOIN(", ", FALSE, 'Audit Report'!J97,'Audit Report'!K97,'Audit Report'!L97)</f>
        <v xml:space="preserve">, , </v>
      </c>
      <c r="M97" t="str">
        <f>'Audit Report'!M97</f>
        <v/>
      </c>
      <c r="N97" t="str" cm="1">
        <f t="array" ref="N97">IF(M97="","",
_xlfn.TEXTJOIN(", ",TRUE,
    _xlfn.MAP(_xlfn.TEXTSPLIT(M97,","),_xlfn.LAMBDA(_xlpm.x,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" t="e">
        <f>'Audit Report'!#REF!</f>
        <v>#REF!</v>
      </c>
      <c r="S97" t="str">
        <f>'Audit Report'!N97</f>
        <v/>
      </c>
    </row>
    <row r="98" spans="4:19">
      <c r="D98" t="str">
        <f>'Audit Report'!B98</f>
        <v>ITD-SHRXXX-XX97</v>
      </c>
      <c r="E98" t="str">
        <f>'Audit Report'!C98</f>
        <v/>
      </c>
      <c r="I98" t="str">
        <f>'Audit Report'!E98</f>
        <v/>
      </c>
      <c r="J98" t="str">
        <f>'Audit Report'!G98</f>
        <v/>
      </c>
      <c r="L98" t="str">
        <f>_xlfn.TEXTJOIN(", ", FALSE, 'Audit Report'!J98,'Audit Report'!K98,'Audit Report'!L98)</f>
        <v xml:space="preserve">, , </v>
      </c>
      <c r="M98" t="str">
        <f>'Audit Report'!M98</f>
        <v/>
      </c>
      <c r="N98" t="str" cm="1">
        <f t="array" ref="N98">IF(M98="","",
_xlfn.TEXTJOIN(", ",TRUE,
    _xlfn.MAP(_xlfn.TEXTSPLIT(M98,","),_xlfn.LAMBDA(_xlpm.x,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" t="e">
        <f>'Audit Report'!#REF!</f>
        <v>#REF!</v>
      </c>
      <c r="S98" t="str">
        <f>'Audit Report'!N98</f>
        <v/>
      </c>
    </row>
    <row r="99" spans="4:19">
      <c r="D99" t="str">
        <f>'Audit Report'!B99</f>
        <v>ITD-SHRXXX-XX98</v>
      </c>
      <c r="E99" t="str">
        <f>'Audit Report'!C99</f>
        <v/>
      </c>
      <c r="I99" t="str">
        <f>'Audit Report'!E99</f>
        <v/>
      </c>
      <c r="J99" t="str">
        <f>'Audit Report'!G99</f>
        <v/>
      </c>
      <c r="L99" t="str">
        <f>_xlfn.TEXTJOIN(", ", FALSE, 'Audit Report'!J99,'Audit Report'!K99,'Audit Report'!L99)</f>
        <v xml:space="preserve">, , </v>
      </c>
      <c r="M99" t="str">
        <f>'Audit Report'!M99</f>
        <v/>
      </c>
      <c r="N99" t="str" cm="1">
        <f t="array" ref="N99">IF(M99="","",
_xlfn.TEXTJOIN(", ",TRUE,
    _xlfn.MAP(_xlfn.TEXTSPLIT(M99,","),_xlfn.LAMBDA(_xlpm.x,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" t="e">
        <f>'Audit Report'!#REF!</f>
        <v>#REF!</v>
      </c>
      <c r="S99" t="str">
        <f>'Audit Report'!N99</f>
        <v/>
      </c>
    </row>
    <row r="100" spans="4:19">
      <c r="D100" t="str">
        <f>'Audit Report'!B100</f>
        <v>ITD-SHRXXX-XX99</v>
      </c>
      <c r="E100" t="str">
        <f>'Audit Report'!C100</f>
        <v/>
      </c>
      <c r="I100" t="str">
        <f>'Audit Report'!E100</f>
        <v/>
      </c>
      <c r="J100" t="str">
        <f>'Audit Report'!G100</f>
        <v/>
      </c>
      <c r="L100" t="str">
        <f>_xlfn.TEXTJOIN(", ", FALSE, 'Audit Report'!J100,'Audit Report'!K100,'Audit Report'!L100)</f>
        <v xml:space="preserve">, , </v>
      </c>
      <c r="M100" t="str">
        <f>'Audit Report'!M100</f>
        <v/>
      </c>
      <c r="N100" t="str" cm="1">
        <f t="array" ref="N100">IF(M100="","",
_xlfn.TEXTJOIN(", ",TRUE,
    _xlfn.MAP(_xlfn.TEXTSPLIT(M100,","),_xlfn.LAMBDA(_xlpm.x,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" t="e">
        <f>'Audit Report'!#REF!</f>
        <v>#REF!</v>
      </c>
      <c r="S100" t="str">
        <f>'Audit Report'!N100</f>
        <v/>
      </c>
    </row>
    <row r="101" spans="4:19">
      <c r="D101" t="str">
        <f>'Audit Report'!B101</f>
        <v>ITD-SHRXXX-XX100</v>
      </c>
      <c r="E101" t="str">
        <f>'Audit Report'!C101</f>
        <v/>
      </c>
      <c r="I101" t="str">
        <f>'Audit Report'!E101</f>
        <v/>
      </c>
      <c r="J101" t="str">
        <f>'Audit Report'!G101</f>
        <v/>
      </c>
      <c r="L101" t="str">
        <f>_xlfn.TEXTJOIN(", ", FALSE, 'Audit Report'!J101,'Audit Report'!K101,'Audit Report'!L101)</f>
        <v xml:space="preserve">, , </v>
      </c>
      <c r="M101" t="str">
        <f>'Audit Report'!M101</f>
        <v/>
      </c>
      <c r="N101" t="str" cm="1">
        <f t="array" ref="N101">IF(M101="","",
_xlfn.TEXTJOIN(", ",TRUE,
    _xlfn.MAP(_xlfn.TEXTSPLIT(M101,","),_xlfn.LAMBDA(_xlpm.x,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" t="e">
        <f>'Audit Report'!#REF!</f>
        <v>#REF!</v>
      </c>
      <c r="S101" t="str">
        <f>'Audit Report'!N101</f>
        <v/>
      </c>
    </row>
    <row r="102" spans="4:19">
      <c r="D102" t="str">
        <f>'Audit Report'!B102</f>
        <v>ITD-SHRXXX-XX101</v>
      </c>
      <c r="E102" t="str">
        <f>'Audit Report'!C102</f>
        <v/>
      </c>
      <c r="I102" t="str">
        <f>'Audit Report'!E102</f>
        <v/>
      </c>
      <c r="J102" t="str">
        <f>'Audit Report'!G102</f>
        <v/>
      </c>
      <c r="L102" t="str">
        <f>_xlfn.TEXTJOIN(", ", FALSE, 'Audit Report'!J102,'Audit Report'!K102,'Audit Report'!L102)</f>
        <v xml:space="preserve">, , </v>
      </c>
      <c r="M102" t="str">
        <f>'Audit Report'!M102</f>
        <v/>
      </c>
      <c r="N102" t="str" cm="1">
        <f t="array" ref="N102">IF(M102="","",
_xlfn.TEXTJOIN(", ",TRUE,
    _xlfn.MAP(_xlfn.TEXTSPLIT(M102,","),_xlfn.LAMBDA(_xlpm.x,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" t="e">
        <f>'Audit Report'!#REF!</f>
        <v>#REF!</v>
      </c>
      <c r="S102" t="str">
        <f>'Audit Report'!N102</f>
        <v/>
      </c>
    </row>
    <row r="103" spans="4:19">
      <c r="D103" t="str">
        <f>'Audit Report'!B103</f>
        <v>ITD-SHRXXX-XX102</v>
      </c>
      <c r="E103" t="str">
        <f>'Audit Report'!C103</f>
        <v/>
      </c>
      <c r="I103" t="str">
        <f>'Audit Report'!E103</f>
        <v/>
      </c>
      <c r="J103" t="str">
        <f>'Audit Report'!G103</f>
        <v/>
      </c>
      <c r="L103" t="str">
        <f>_xlfn.TEXTJOIN(", ", FALSE, 'Audit Report'!J103,'Audit Report'!K103,'Audit Report'!L103)</f>
        <v xml:space="preserve">, , </v>
      </c>
      <c r="M103" t="str">
        <f>'Audit Report'!M103</f>
        <v/>
      </c>
      <c r="N103" t="str" cm="1">
        <f t="array" ref="N103">IF(M103="","",
_xlfn.TEXTJOIN(", ",TRUE,
    _xlfn.MAP(_xlfn.TEXTSPLIT(M103,","),_xlfn.LAMBDA(_xlpm.x,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" t="e">
        <f>'Audit Report'!#REF!</f>
        <v>#REF!</v>
      </c>
      <c r="S103" t="str">
        <f>'Audit Report'!N103</f>
        <v/>
      </c>
    </row>
    <row r="104" spans="4:19">
      <c r="D104" t="str">
        <f>'Audit Report'!B104</f>
        <v>ITD-SHRXXX-XX103</v>
      </c>
      <c r="E104" t="str">
        <f>'Audit Report'!C104</f>
        <v/>
      </c>
      <c r="I104" t="str">
        <f>'Audit Report'!E104</f>
        <v/>
      </c>
      <c r="J104" t="str">
        <f>'Audit Report'!G104</f>
        <v/>
      </c>
      <c r="L104" t="str">
        <f>_xlfn.TEXTJOIN(", ", FALSE, 'Audit Report'!J104,'Audit Report'!K104,'Audit Report'!L104)</f>
        <v xml:space="preserve">, , </v>
      </c>
      <c r="M104" t="str">
        <f>'Audit Report'!M104</f>
        <v/>
      </c>
      <c r="N104" t="str" cm="1">
        <f t="array" ref="N104">IF(M104="","",
_xlfn.TEXTJOIN(", ",TRUE,
    _xlfn.MAP(_xlfn.TEXTSPLIT(M104,","),_xlfn.LAMBDA(_xlpm.x,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" t="e">
        <f>'Audit Report'!#REF!</f>
        <v>#REF!</v>
      </c>
      <c r="S104" t="str">
        <f>'Audit Report'!N104</f>
        <v/>
      </c>
    </row>
    <row r="105" spans="4:19">
      <c r="D105" t="str">
        <f>'Audit Report'!B105</f>
        <v>ITD-SHRXXX-XX104</v>
      </c>
      <c r="E105" t="str">
        <f>'Audit Report'!C105</f>
        <v/>
      </c>
      <c r="I105" t="str">
        <f>'Audit Report'!E105</f>
        <v/>
      </c>
      <c r="J105" t="str">
        <f>'Audit Report'!G105</f>
        <v/>
      </c>
      <c r="L105" t="str">
        <f>_xlfn.TEXTJOIN(", ", FALSE, 'Audit Report'!J105,'Audit Report'!K105,'Audit Report'!L105)</f>
        <v xml:space="preserve">, , </v>
      </c>
      <c r="M105" t="str">
        <f>'Audit Report'!M105</f>
        <v/>
      </c>
      <c r="N105" t="str" cm="1">
        <f t="array" ref="N105">IF(M105="","",
_xlfn.TEXTJOIN(", ",TRUE,
    _xlfn.MAP(_xlfn.TEXTSPLIT(M105,","),_xlfn.LAMBDA(_xlpm.x,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" t="e">
        <f>'Audit Report'!#REF!</f>
        <v>#REF!</v>
      </c>
      <c r="S105" t="str">
        <f>'Audit Report'!N105</f>
        <v/>
      </c>
    </row>
    <row r="106" spans="4:19">
      <c r="D106" t="str">
        <f>'Audit Report'!B106</f>
        <v>ITD-SHRXXX-XX105</v>
      </c>
      <c r="E106" t="str">
        <f>'Audit Report'!C106</f>
        <v/>
      </c>
      <c r="I106" t="str">
        <f>'Audit Report'!E106</f>
        <v/>
      </c>
      <c r="J106" t="str">
        <f>'Audit Report'!G106</f>
        <v/>
      </c>
      <c r="L106" t="str">
        <f>_xlfn.TEXTJOIN(", ", FALSE, 'Audit Report'!J106,'Audit Report'!K106,'Audit Report'!L106)</f>
        <v xml:space="preserve">, , </v>
      </c>
      <c r="M106" t="str">
        <f>'Audit Report'!M106</f>
        <v/>
      </c>
      <c r="N106" t="str" cm="1">
        <f t="array" ref="N106">IF(M106="","",
_xlfn.TEXTJOIN(", ",TRUE,
    _xlfn.MAP(_xlfn.TEXTSPLIT(M106,","),_xlfn.LAMBDA(_xlpm.x,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" t="e">
        <f>'Audit Report'!#REF!</f>
        <v>#REF!</v>
      </c>
      <c r="S106" t="str">
        <f>'Audit Report'!N106</f>
        <v/>
      </c>
    </row>
    <row r="107" spans="4:19">
      <c r="D107" t="str">
        <f>'Audit Report'!B107</f>
        <v>ITD-SHRXXX-XX106</v>
      </c>
      <c r="E107" t="str">
        <f>'Audit Report'!C107</f>
        <v/>
      </c>
      <c r="I107" t="str">
        <f>'Audit Report'!E107</f>
        <v/>
      </c>
      <c r="J107" t="str">
        <f>'Audit Report'!G107</f>
        <v/>
      </c>
      <c r="L107" t="str">
        <f>_xlfn.TEXTJOIN(", ", FALSE, 'Audit Report'!J107,'Audit Report'!K107,'Audit Report'!L107)</f>
        <v xml:space="preserve">, , </v>
      </c>
      <c r="M107" t="str">
        <f>'Audit Report'!M107</f>
        <v/>
      </c>
      <c r="N107" t="str" cm="1">
        <f t="array" ref="N107">IF(M107="","",
_xlfn.TEXTJOIN(", ",TRUE,
    _xlfn.MAP(_xlfn.TEXTSPLIT(M107,","),_xlfn.LAMBDA(_xlpm.x,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" t="e">
        <f>'Audit Report'!#REF!</f>
        <v>#REF!</v>
      </c>
      <c r="S107" t="str">
        <f>'Audit Report'!N107</f>
        <v/>
      </c>
    </row>
    <row r="108" spans="4:19">
      <c r="D108" t="str">
        <f>'Audit Report'!B108</f>
        <v>ITD-SHRXXX-XX107</v>
      </c>
      <c r="E108" t="str">
        <f>'Audit Report'!C108</f>
        <v/>
      </c>
      <c r="I108" t="str">
        <f>'Audit Report'!E108</f>
        <v/>
      </c>
      <c r="J108" t="str">
        <f>'Audit Report'!G108</f>
        <v/>
      </c>
      <c r="L108" t="str">
        <f>_xlfn.TEXTJOIN(", ", FALSE, 'Audit Report'!J108,'Audit Report'!K108,'Audit Report'!L108)</f>
        <v xml:space="preserve">, , </v>
      </c>
      <c r="M108" t="str">
        <f>'Audit Report'!M108</f>
        <v/>
      </c>
      <c r="N108" t="str" cm="1">
        <f t="array" ref="N108">IF(M108="","",
_xlfn.TEXTJOIN(", ",TRUE,
    _xlfn.MAP(_xlfn.TEXTSPLIT(M108,","),_xlfn.LAMBDA(_xlpm.x,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" t="e">
        <f>'Audit Report'!#REF!</f>
        <v>#REF!</v>
      </c>
      <c r="S108" t="str">
        <f>'Audit Report'!N108</f>
        <v/>
      </c>
    </row>
    <row r="109" spans="4:19">
      <c r="D109" t="str">
        <f>'Audit Report'!B109</f>
        <v>ITD-SHRXXX-XX108</v>
      </c>
      <c r="E109" t="str">
        <f>'Audit Report'!C109</f>
        <v/>
      </c>
      <c r="I109" t="str">
        <f>'Audit Report'!E109</f>
        <v/>
      </c>
      <c r="J109" t="str">
        <f>'Audit Report'!G109</f>
        <v/>
      </c>
      <c r="L109" t="str">
        <f>_xlfn.TEXTJOIN(", ", FALSE, 'Audit Report'!J109,'Audit Report'!K109,'Audit Report'!L109)</f>
        <v xml:space="preserve">, , </v>
      </c>
      <c r="M109" t="str">
        <f>'Audit Report'!M109</f>
        <v/>
      </c>
      <c r="N109" t="str" cm="1">
        <f t="array" ref="N109">IF(M109="","",
_xlfn.TEXTJOIN(", ",TRUE,
    _xlfn.MAP(_xlfn.TEXTSPLIT(M109,","),_xlfn.LAMBDA(_xlpm.x,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" t="e">
        <f>'Audit Report'!#REF!</f>
        <v>#REF!</v>
      </c>
      <c r="S109" t="str">
        <f>'Audit Report'!N109</f>
        <v/>
      </c>
    </row>
    <row r="110" spans="4:19">
      <c r="D110" t="str">
        <f>'Audit Report'!B110</f>
        <v>ITD-SHRXXX-XX109</v>
      </c>
      <c r="E110" t="str">
        <f>'Audit Report'!C110</f>
        <v/>
      </c>
      <c r="I110" t="str">
        <f>'Audit Report'!E110</f>
        <v/>
      </c>
      <c r="J110" t="str">
        <f>'Audit Report'!G110</f>
        <v/>
      </c>
      <c r="L110" t="str">
        <f>_xlfn.TEXTJOIN(", ", FALSE, 'Audit Report'!J110,'Audit Report'!K110,'Audit Report'!L110)</f>
        <v xml:space="preserve">, , </v>
      </c>
      <c r="M110" t="str">
        <f>'Audit Report'!M110</f>
        <v/>
      </c>
      <c r="N110" t="str" cm="1">
        <f t="array" ref="N110">IF(M110="","",
_xlfn.TEXTJOIN(", ",TRUE,
    _xlfn.MAP(_xlfn.TEXTSPLIT(M110,","),_xlfn.LAMBDA(_xlpm.x,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" t="e">
        <f>'Audit Report'!#REF!</f>
        <v>#REF!</v>
      </c>
      <c r="S110" t="str">
        <f>'Audit Report'!N110</f>
        <v/>
      </c>
    </row>
    <row r="111" spans="4:19">
      <c r="D111" t="str">
        <f>'Audit Report'!B111</f>
        <v>ITD-SHRXXX-XX110</v>
      </c>
      <c r="E111" t="str">
        <f>'Audit Report'!C111</f>
        <v/>
      </c>
      <c r="I111" t="str">
        <f>'Audit Report'!E111</f>
        <v/>
      </c>
      <c r="J111" t="str">
        <f>'Audit Report'!G111</f>
        <v/>
      </c>
      <c r="L111" t="str">
        <f>_xlfn.TEXTJOIN(", ", FALSE, 'Audit Report'!J111,'Audit Report'!K111,'Audit Report'!L111)</f>
        <v xml:space="preserve">, , </v>
      </c>
      <c r="M111" t="str">
        <f>'Audit Report'!M111</f>
        <v/>
      </c>
      <c r="N111" t="str" cm="1">
        <f t="array" ref="N111">IF(M111="","",
_xlfn.TEXTJOIN(", ",TRUE,
    _xlfn.MAP(_xlfn.TEXTSPLIT(M111,","),_xlfn.LAMBDA(_xlpm.x,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" t="e">
        <f>'Audit Report'!#REF!</f>
        <v>#REF!</v>
      </c>
      <c r="S111" t="str">
        <f>'Audit Report'!N111</f>
        <v/>
      </c>
    </row>
    <row r="112" spans="4:19">
      <c r="D112" t="str">
        <f>'Audit Report'!B112</f>
        <v>ITD-SHRXXX-XX111</v>
      </c>
      <c r="E112" t="str">
        <f>'Audit Report'!C112</f>
        <v/>
      </c>
      <c r="I112" t="str">
        <f>'Audit Report'!E112</f>
        <v/>
      </c>
      <c r="J112" t="str">
        <f>'Audit Report'!G112</f>
        <v/>
      </c>
      <c r="L112" t="str">
        <f>_xlfn.TEXTJOIN(", ", FALSE, 'Audit Report'!J112,'Audit Report'!K112,'Audit Report'!L112)</f>
        <v xml:space="preserve">, , </v>
      </c>
      <c r="M112" t="str">
        <f>'Audit Report'!M112</f>
        <v/>
      </c>
      <c r="N112" t="str" cm="1">
        <f t="array" ref="N112">IF(M112="","",
_xlfn.TEXTJOIN(", ",TRUE,
    _xlfn.MAP(_xlfn.TEXTSPLIT(M112,","),_xlfn.LAMBDA(_xlpm.x,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" t="e">
        <f>'Audit Report'!#REF!</f>
        <v>#REF!</v>
      </c>
      <c r="S112" t="str">
        <f>'Audit Report'!N112</f>
        <v/>
      </c>
    </row>
    <row r="113" spans="4:19">
      <c r="D113" t="str">
        <f>'Audit Report'!B113</f>
        <v>ITD-SHRXXX-XX112</v>
      </c>
      <c r="E113" t="str">
        <f>'Audit Report'!C113</f>
        <v/>
      </c>
      <c r="I113" t="str">
        <f>'Audit Report'!E113</f>
        <v/>
      </c>
      <c r="J113" t="str">
        <f>'Audit Report'!G113</f>
        <v/>
      </c>
      <c r="L113" t="str">
        <f>_xlfn.TEXTJOIN(", ", FALSE, 'Audit Report'!J113,'Audit Report'!K113,'Audit Report'!L113)</f>
        <v xml:space="preserve">, , </v>
      </c>
      <c r="M113" t="str">
        <f>'Audit Report'!M113</f>
        <v/>
      </c>
      <c r="N113" t="str" cm="1">
        <f t="array" ref="N113">IF(M113="","",
_xlfn.TEXTJOIN(", ",TRUE,
    _xlfn.MAP(_xlfn.TEXTSPLIT(M113,","),_xlfn.LAMBDA(_xlpm.x,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" t="e">
        <f>'Audit Report'!#REF!</f>
        <v>#REF!</v>
      </c>
      <c r="S113" t="str">
        <f>'Audit Report'!N113</f>
        <v/>
      </c>
    </row>
    <row r="114" spans="4:19">
      <c r="D114" t="str">
        <f>'Audit Report'!B114</f>
        <v>ITD-SHRXXX-XX113</v>
      </c>
      <c r="E114" t="str">
        <f>'Audit Report'!C114</f>
        <v/>
      </c>
      <c r="I114" t="str">
        <f>'Audit Report'!E114</f>
        <v/>
      </c>
      <c r="J114" t="str">
        <f>'Audit Report'!G114</f>
        <v/>
      </c>
      <c r="L114" t="str">
        <f>_xlfn.TEXTJOIN(", ", FALSE, 'Audit Report'!J114,'Audit Report'!K114,'Audit Report'!L114)</f>
        <v xml:space="preserve">, , </v>
      </c>
      <c r="M114" t="str">
        <f>'Audit Report'!M114</f>
        <v/>
      </c>
      <c r="N114" t="str" cm="1">
        <f t="array" ref="N114">IF(M114="","",
_xlfn.TEXTJOIN(", ",TRUE,
    _xlfn.MAP(_xlfn.TEXTSPLIT(M114,","),_xlfn.LAMBDA(_xlpm.x,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" t="e">
        <f>'Audit Report'!#REF!</f>
        <v>#REF!</v>
      </c>
      <c r="S114" t="str">
        <f>'Audit Report'!N114</f>
        <v/>
      </c>
    </row>
    <row r="115" spans="4:19">
      <c r="D115" t="str">
        <f>'Audit Report'!B115</f>
        <v>ITD-SHRXXX-XX114</v>
      </c>
      <c r="E115" t="str">
        <f>'Audit Report'!C115</f>
        <v/>
      </c>
      <c r="I115" t="str">
        <f>'Audit Report'!E115</f>
        <v/>
      </c>
      <c r="J115" t="str">
        <f>'Audit Report'!G115</f>
        <v/>
      </c>
      <c r="L115" t="str">
        <f>_xlfn.TEXTJOIN(", ", FALSE, 'Audit Report'!J115,'Audit Report'!K115,'Audit Report'!L115)</f>
        <v xml:space="preserve">, , </v>
      </c>
      <c r="M115" t="str">
        <f>'Audit Report'!M115</f>
        <v/>
      </c>
      <c r="N115" t="str" cm="1">
        <f t="array" ref="N115">IF(M115="","",
_xlfn.TEXTJOIN(", ",TRUE,
    _xlfn.MAP(_xlfn.TEXTSPLIT(M115,","),_xlfn.LAMBDA(_xlpm.x,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" t="e">
        <f>'Audit Report'!#REF!</f>
        <v>#REF!</v>
      </c>
      <c r="S115" t="str">
        <f>'Audit Report'!N115</f>
        <v/>
      </c>
    </row>
    <row r="116" spans="4:19">
      <c r="D116" t="str">
        <f>'Audit Report'!B116</f>
        <v>ITD-SHRXXX-XX115</v>
      </c>
      <c r="E116" t="str">
        <f>'Audit Report'!C116</f>
        <v/>
      </c>
      <c r="I116" t="str">
        <f>'Audit Report'!E116</f>
        <v/>
      </c>
      <c r="J116" t="str">
        <f>'Audit Report'!G116</f>
        <v/>
      </c>
      <c r="L116" t="str">
        <f>_xlfn.TEXTJOIN(", ", FALSE, 'Audit Report'!J116,'Audit Report'!K116,'Audit Report'!L116)</f>
        <v xml:space="preserve">, , </v>
      </c>
      <c r="M116" t="str">
        <f>'Audit Report'!M116</f>
        <v/>
      </c>
      <c r="N116" t="str" cm="1">
        <f t="array" ref="N116">IF(M116="","",
_xlfn.TEXTJOIN(", ",TRUE,
    _xlfn.MAP(_xlfn.TEXTSPLIT(M116,","),_xlfn.LAMBDA(_xlpm.x,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" t="e">
        <f>'Audit Report'!#REF!</f>
        <v>#REF!</v>
      </c>
      <c r="S116" t="str">
        <f>'Audit Report'!N116</f>
        <v/>
      </c>
    </row>
    <row r="117" spans="4:19">
      <c r="D117" t="str">
        <f>'Audit Report'!B117</f>
        <v>ITD-SHRXXX-XX116</v>
      </c>
      <c r="E117" t="str">
        <f>'Audit Report'!C117</f>
        <v/>
      </c>
      <c r="I117" t="str">
        <f>'Audit Report'!E117</f>
        <v/>
      </c>
      <c r="J117" t="str">
        <f>'Audit Report'!G117</f>
        <v/>
      </c>
      <c r="L117" t="str">
        <f>_xlfn.TEXTJOIN(", ", FALSE, 'Audit Report'!J117,'Audit Report'!K117,'Audit Report'!L117)</f>
        <v xml:space="preserve">, , </v>
      </c>
      <c r="M117" t="str">
        <f>'Audit Report'!M117</f>
        <v/>
      </c>
      <c r="N117" t="str" cm="1">
        <f t="array" ref="N117">IF(M117="","",
_xlfn.TEXTJOIN(", ",TRUE,
    _xlfn.MAP(_xlfn.TEXTSPLIT(M117,","),_xlfn.LAMBDA(_xlpm.x,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" t="e">
        <f>'Audit Report'!#REF!</f>
        <v>#REF!</v>
      </c>
      <c r="S117" t="str">
        <f>'Audit Report'!N117</f>
        <v/>
      </c>
    </row>
    <row r="118" spans="4:19">
      <c r="D118" t="str">
        <f>'Audit Report'!B118</f>
        <v>ITD-SHRXXX-XX117</v>
      </c>
      <c r="E118" t="str">
        <f>'Audit Report'!C118</f>
        <v/>
      </c>
      <c r="I118" t="str">
        <f>'Audit Report'!E118</f>
        <v/>
      </c>
      <c r="J118" t="str">
        <f>'Audit Report'!G118</f>
        <v/>
      </c>
      <c r="L118" t="str">
        <f>_xlfn.TEXTJOIN(", ", FALSE, 'Audit Report'!J118,'Audit Report'!K118,'Audit Report'!L118)</f>
        <v xml:space="preserve">, , </v>
      </c>
      <c r="M118" t="str">
        <f>'Audit Report'!M118</f>
        <v/>
      </c>
      <c r="N118" t="str" cm="1">
        <f t="array" ref="N118">IF(M118="","",
_xlfn.TEXTJOIN(", ",TRUE,
    _xlfn.MAP(_xlfn.TEXTSPLIT(M118,","),_xlfn.LAMBDA(_xlpm.x,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" t="e">
        <f>'Audit Report'!#REF!</f>
        <v>#REF!</v>
      </c>
      <c r="S118" t="str">
        <f>'Audit Report'!N118</f>
        <v/>
      </c>
    </row>
    <row r="119" spans="4:19">
      <c r="D119" t="str">
        <f>'Audit Report'!B119</f>
        <v>ITD-SHRXXX-XX118</v>
      </c>
      <c r="E119" t="str">
        <f>'Audit Report'!C119</f>
        <v/>
      </c>
      <c r="I119" t="str">
        <f>'Audit Report'!E119</f>
        <v/>
      </c>
      <c r="J119" t="str">
        <f>'Audit Report'!G119</f>
        <v/>
      </c>
      <c r="L119" t="str">
        <f>_xlfn.TEXTJOIN(", ", FALSE, 'Audit Report'!J119,'Audit Report'!K119,'Audit Report'!L119)</f>
        <v xml:space="preserve">, , </v>
      </c>
      <c r="M119" t="str">
        <f>'Audit Report'!M119</f>
        <v/>
      </c>
      <c r="N119" t="str" cm="1">
        <f t="array" ref="N119">IF(M119="","",
_xlfn.TEXTJOIN(", ",TRUE,
    _xlfn.MAP(_xlfn.TEXTSPLIT(M119,","),_xlfn.LAMBDA(_xlpm.x,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" t="e">
        <f>'Audit Report'!#REF!</f>
        <v>#REF!</v>
      </c>
      <c r="S119" t="str">
        <f>'Audit Report'!N119</f>
        <v/>
      </c>
    </row>
    <row r="120" spans="4:19">
      <c r="D120" t="str">
        <f>'Audit Report'!B120</f>
        <v>ITD-SHRXXX-XX119</v>
      </c>
      <c r="E120" t="str">
        <f>'Audit Report'!C120</f>
        <v/>
      </c>
      <c r="I120" t="str">
        <f>'Audit Report'!E120</f>
        <v/>
      </c>
      <c r="J120" t="str">
        <f>'Audit Report'!G120</f>
        <v/>
      </c>
      <c r="L120" t="str">
        <f>_xlfn.TEXTJOIN(", ", FALSE, 'Audit Report'!J120,'Audit Report'!K120,'Audit Report'!L120)</f>
        <v xml:space="preserve">, , </v>
      </c>
      <c r="M120" t="str">
        <f>'Audit Report'!M120</f>
        <v/>
      </c>
      <c r="N120" t="str" cm="1">
        <f t="array" ref="N120">IF(M120="","",
_xlfn.TEXTJOIN(", ",TRUE,
    _xlfn.MAP(_xlfn.TEXTSPLIT(M120,","),_xlfn.LAMBDA(_xlpm.x,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" t="e">
        <f>'Audit Report'!#REF!</f>
        <v>#REF!</v>
      </c>
      <c r="S120" t="str">
        <f>'Audit Report'!N120</f>
        <v/>
      </c>
    </row>
    <row r="121" spans="4:19">
      <c r="D121" t="str">
        <f>'Audit Report'!B121</f>
        <v>ITD-SHRXXX-XX120</v>
      </c>
      <c r="E121" t="str">
        <f>'Audit Report'!C121</f>
        <v/>
      </c>
      <c r="I121" t="str">
        <f>'Audit Report'!E121</f>
        <v/>
      </c>
      <c r="J121" t="str">
        <f>'Audit Report'!G121</f>
        <v/>
      </c>
      <c r="L121" t="str">
        <f>_xlfn.TEXTJOIN(", ", FALSE, 'Audit Report'!J121,'Audit Report'!K121,'Audit Report'!L121)</f>
        <v xml:space="preserve">, , </v>
      </c>
      <c r="M121" t="str">
        <f>'Audit Report'!M121</f>
        <v/>
      </c>
      <c r="N121" t="str" cm="1">
        <f t="array" ref="N121">IF(M121="","",
_xlfn.TEXTJOIN(", ",TRUE,
    _xlfn.MAP(_xlfn.TEXTSPLIT(M121,","),_xlfn.LAMBDA(_xlpm.x,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" t="e">
        <f>'Audit Report'!#REF!</f>
        <v>#REF!</v>
      </c>
      <c r="S121" t="str">
        <f>'Audit Report'!N121</f>
        <v/>
      </c>
    </row>
    <row r="122" spans="4:19">
      <c r="D122" t="str">
        <f>'Audit Report'!B122</f>
        <v>ITD-SHRXXX-XX121</v>
      </c>
      <c r="E122" t="str">
        <f>'Audit Report'!C122</f>
        <v/>
      </c>
      <c r="I122" t="str">
        <f>'Audit Report'!E122</f>
        <v/>
      </c>
      <c r="J122" t="str">
        <f>'Audit Report'!G122</f>
        <v/>
      </c>
      <c r="L122" t="str">
        <f>_xlfn.TEXTJOIN(", ", FALSE, 'Audit Report'!J122,'Audit Report'!K122,'Audit Report'!L122)</f>
        <v xml:space="preserve">, , </v>
      </c>
      <c r="M122" t="str">
        <f>'Audit Report'!M122</f>
        <v/>
      </c>
      <c r="N122" t="str" cm="1">
        <f t="array" ref="N122">IF(M122="","",
_xlfn.TEXTJOIN(", ",TRUE,
    _xlfn.MAP(_xlfn.TEXTSPLIT(M122,","),_xlfn.LAMBDA(_xlpm.x,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" t="e">
        <f>'Audit Report'!#REF!</f>
        <v>#REF!</v>
      </c>
      <c r="S122" t="str">
        <f>'Audit Report'!N122</f>
        <v/>
      </c>
    </row>
    <row r="123" spans="4:19">
      <c r="D123" t="str">
        <f>'Audit Report'!B123</f>
        <v>ITD-SHRXXX-XX122</v>
      </c>
      <c r="E123" t="str">
        <f>'Audit Report'!C123</f>
        <v/>
      </c>
      <c r="I123" t="str">
        <f>'Audit Report'!E123</f>
        <v/>
      </c>
      <c r="J123" t="str">
        <f>'Audit Report'!G123</f>
        <v/>
      </c>
      <c r="L123" t="str">
        <f>_xlfn.TEXTJOIN(", ", FALSE, 'Audit Report'!J123,'Audit Report'!K123,'Audit Report'!L123)</f>
        <v xml:space="preserve">, , </v>
      </c>
      <c r="M123" t="str">
        <f>'Audit Report'!M123</f>
        <v/>
      </c>
      <c r="N123" t="str" cm="1">
        <f t="array" ref="N123">IF(M123="","",
_xlfn.TEXTJOIN(", ",TRUE,
    _xlfn.MAP(_xlfn.TEXTSPLIT(M123,","),_xlfn.LAMBDA(_xlpm.x,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3" t="e">
        <f>'Audit Report'!#REF!</f>
        <v>#REF!</v>
      </c>
      <c r="S123" t="str">
        <f>'Audit Report'!N123</f>
        <v/>
      </c>
    </row>
    <row r="124" spans="4:19">
      <c r="D124" t="str">
        <f>'Audit Report'!B124</f>
        <v>ITD-SHRXXX-XX123</v>
      </c>
      <c r="E124" t="str">
        <f>'Audit Report'!C124</f>
        <v/>
      </c>
      <c r="I124" t="str">
        <f>'Audit Report'!E124</f>
        <v/>
      </c>
      <c r="J124" t="str">
        <f>'Audit Report'!G124</f>
        <v/>
      </c>
      <c r="L124" t="str">
        <f>_xlfn.TEXTJOIN(", ", FALSE, 'Audit Report'!J124,'Audit Report'!K124,'Audit Report'!L124)</f>
        <v xml:space="preserve">, , </v>
      </c>
      <c r="M124" t="str">
        <f>'Audit Report'!M124</f>
        <v/>
      </c>
      <c r="N124" t="str" cm="1">
        <f t="array" ref="N124">IF(M124="","",
_xlfn.TEXTJOIN(", ",TRUE,
    _xlfn.MAP(_xlfn.TEXTSPLIT(M124,","),_xlfn.LAMBDA(_xlpm.x,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4" t="e">
        <f>'Audit Report'!#REF!</f>
        <v>#REF!</v>
      </c>
      <c r="S124" t="str">
        <f>'Audit Report'!N124</f>
        <v/>
      </c>
    </row>
    <row r="125" spans="4:19">
      <c r="D125" t="str">
        <f>'Audit Report'!B125</f>
        <v>ITD-SHRXXX-XX124</v>
      </c>
      <c r="E125" t="str">
        <f>'Audit Report'!C125</f>
        <v/>
      </c>
      <c r="I125" t="str">
        <f>'Audit Report'!E125</f>
        <v/>
      </c>
      <c r="J125" t="str">
        <f>'Audit Report'!G125</f>
        <v/>
      </c>
      <c r="L125" t="str">
        <f>_xlfn.TEXTJOIN(", ", FALSE, 'Audit Report'!J125,'Audit Report'!K125,'Audit Report'!L125)</f>
        <v xml:space="preserve">, , </v>
      </c>
      <c r="M125" t="str">
        <f>'Audit Report'!M125</f>
        <v/>
      </c>
      <c r="N125" t="str" cm="1">
        <f t="array" ref="N125">IF(M125="","",
_xlfn.TEXTJOIN(", ",TRUE,
    _xlfn.MAP(_xlfn.TEXTSPLIT(M125,","),_xlfn.LAMBDA(_xlpm.x,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5" t="e">
        <f>'Audit Report'!#REF!</f>
        <v>#REF!</v>
      </c>
      <c r="S125" t="str">
        <f>'Audit Report'!N125</f>
        <v/>
      </c>
    </row>
    <row r="126" spans="4:19">
      <c r="D126" t="str">
        <f>'Audit Report'!B126</f>
        <v>ITD-SHRXXX-XX125</v>
      </c>
      <c r="E126" t="str">
        <f>'Audit Report'!C126</f>
        <v/>
      </c>
      <c r="I126" t="str">
        <f>'Audit Report'!E126</f>
        <v/>
      </c>
      <c r="J126" t="str">
        <f>'Audit Report'!G126</f>
        <v/>
      </c>
      <c r="L126" t="str">
        <f>_xlfn.TEXTJOIN(", ", FALSE, 'Audit Report'!J126,'Audit Report'!K126,'Audit Report'!L126)</f>
        <v xml:space="preserve">, , </v>
      </c>
      <c r="M126" t="str">
        <f>'Audit Report'!M126</f>
        <v/>
      </c>
      <c r="N126" t="str" cm="1">
        <f t="array" ref="N126">IF(M126="","",
_xlfn.TEXTJOIN(", ",TRUE,
    _xlfn.MAP(_xlfn.TEXTSPLIT(M126,","),_xlfn.LAMBDA(_xlpm.x,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6" t="e">
        <f>'Audit Report'!#REF!</f>
        <v>#REF!</v>
      </c>
      <c r="S126" t="str">
        <f>'Audit Report'!N126</f>
        <v/>
      </c>
    </row>
    <row r="127" spans="4:19">
      <c r="D127" t="str">
        <f>'Audit Report'!B127</f>
        <v>ITD-SHRXXX-XX126</v>
      </c>
      <c r="E127" t="str">
        <f>'Audit Report'!C127</f>
        <v/>
      </c>
      <c r="I127" t="str">
        <f>'Audit Report'!E127</f>
        <v/>
      </c>
      <c r="J127" t="str">
        <f>'Audit Report'!G127</f>
        <v/>
      </c>
      <c r="L127" t="str">
        <f>_xlfn.TEXTJOIN(", ", FALSE, 'Audit Report'!J127,'Audit Report'!K127,'Audit Report'!L127)</f>
        <v xml:space="preserve">, , </v>
      </c>
      <c r="M127" t="str">
        <f>'Audit Report'!M127</f>
        <v/>
      </c>
      <c r="N127" t="str" cm="1">
        <f t="array" ref="N127">IF(M127="","",
_xlfn.TEXTJOIN(", ",TRUE,
    _xlfn.MAP(_xlfn.TEXTSPLIT(M127,","),_xlfn.LAMBDA(_xlpm.x,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7" t="e">
        <f>'Audit Report'!#REF!</f>
        <v>#REF!</v>
      </c>
      <c r="S127" t="str">
        <f>'Audit Report'!N127</f>
        <v/>
      </c>
    </row>
    <row r="128" spans="4:19">
      <c r="D128" t="str">
        <f>'Audit Report'!B128</f>
        <v>ITD-SHRXXX-XX127</v>
      </c>
      <c r="E128" t="str">
        <f>'Audit Report'!C128</f>
        <v/>
      </c>
      <c r="I128" t="str">
        <f>'Audit Report'!E128</f>
        <v/>
      </c>
      <c r="J128" t="str">
        <f>'Audit Report'!G128</f>
        <v/>
      </c>
      <c r="L128" t="str">
        <f>_xlfn.TEXTJOIN(", ", FALSE, 'Audit Report'!J128,'Audit Report'!K128,'Audit Report'!L128)</f>
        <v xml:space="preserve">, , </v>
      </c>
      <c r="M128" t="str">
        <f>'Audit Report'!M128</f>
        <v/>
      </c>
      <c r="N128" t="str" cm="1">
        <f t="array" ref="N128">IF(M128="","",
_xlfn.TEXTJOIN(", ",TRUE,
    _xlfn.MAP(_xlfn.TEXTSPLIT(M128,","),_xlfn.LAMBDA(_xlpm.x,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8" t="e">
        <f>'Audit Report'!#REF!</f>
        <v>#REF!</v>
      </c>
      <c r="S128" t="str">
        <f>'Audit Report'!N128</f>
        <v/>
      </c>
    </row>
    <row r="129" spans="4:19">
      <c r="D129" t="str">
        <f>'Audit Report'!B129</f>
        <v>ITD-SHRXXX-XX128</v>
      </c>
      <c r="E129" t="str">
        <f>'Audit Report'!C129</f>
        <v/>
      </c>
      <c r="I129" t="str">
        <f>'Audit Report'!E129</f>
        <v/>
      </c>
      <c r="J129" t="str">
        <f>'Audit Report'!G129</f>
        <v/>
      </c>
      <c r="L129" t="str">
        <f>_xlfn.TEXTJOIN(", ", FALSE, 'Audit Report'!J129,'Audit Report'!K129,'Audit Report'!L129)</f>
        <v xml:space="preserve">, , </v>
      </c>
      <c r="M129" t="str">
        <f>'Audit Report'!M129</f>
        <v/>
      </c>
      <c r="N129" t="str" cm="1">
        <f t="array" ref="N129">IF(M129="","",
_xlfn.TEXTJOIN(", ",TRUE,
    _xlfn.MAP(_xlfn.TEXTSPLIT(M129,","),_xlfn.LAMBDA(_xlpm.x,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9" t="e">
        <f>'Audit Report'!#REF!</f>
        <v>#REF!</v>
      </c>
      <c r="S129" t="str">
        <f>'Audit Report'!N129</f>
        <v/>
      </c>
    </row>
    <row r="130" spans="4:19">
      <c r="D130" t="str">
        <f>'Audit Report'!B130</f>
        <v>ITD-SHRXXX-XX129</v>
      </c>
      <c r="E130" t="str">
        <f>'Audit Report'!C130</f>
        <v/>
      </c>
      <c r="I130" t="str">
        <f>'Audit Report'!E130</f>
        <v/>
      </c>
      <c r="J130" t="str">
        <f>'Audit Report'!G130</f>
        <v/>
      </c>
      <c r="L130" t="str">
        <f>_xlfn.TEXTJOIN(", ", FALSE, 'Audit Report'!J130,'Audit Report'!K130,'Audit Report'!L130)</f>
        <v xml:space="preserve">, , </v>
      </c>
      <c r="M130" t="str">
        <f>'Audit Report'!M130</f>
        <v/>
      </c>
      <c r="N130" t="str" cm="1">
        <f t="array" ref="N130">IF(M130="","",
_xlfn.TEXTJOIN(", ",TRUE,
    _xlfn.MAP(_xlfn.TEXTSPLIT(M130,","),_xlfn.LAMBDA(_xlpm.x,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0" t="e">
        <f>'Audit Report'!#REF!</f>
        <v>#REF!</v>
      </c>
      <c r="S130" t="str">
        <f>'Audit Report'!N130</f>
        <v/>
      </c>
    </row>
    <row r="131" spans="4:19">
      <c r="D131" t="str">
        <f>'Audit Report'!B131</f>
        <v>ITD-SHRXXX-XX130</v>
      </c>
      <c r="E131" t="str">
        <f>'Audit Report'!C131</f>
        <v/>
      </c>
      <c r="I131" t="str">
        <f>'Audit Report'!E131</f>
        <v/>
      </c>
      <c r="J131" t="str">
        <f>'Audit Report'!G131</f>
        <v/>
      </c>
      <c r="L131" t="str">
        <f>_xlfn.TEXTJOIN(", ", FALSE, 'Audit Report'!J131,'Audit Report'!K131,'Audit Report'!L131)</f>
        <v xml:space="preserve">, , </v>
      </c>
      <c r="M131" t="str">
        <f>'Audit Report'!M131</f>
        <v/>
      </c>
      <c r="N131" t="str" cm="1">
        <f t="array" ref="N131">IF(M131="","",
_xlfn.TEXTJOIN(", ",TRUE,
    _xlfn.MAP(_xlfn.TEXTSPLIT(M131,","),_xlfn.LAMBDA(_xlpm.x,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1" t="e">
        <f>'Audit Report'!#REF!</f>
        <v>#REF!</v>
      </c>
      <c r="S131" t="str">
        <f>'Audit Report'!N131</f>
        <v/>
      </c>
    </row>
    <row r="132" spans="4:19">
      <c r="D132" t="str">
        <f>'Audit Report'!B132</f>
        <v>ITD-SHRXXX-XX131</v>
      </c>
      <c r="E132" t="str">
        <f>'Audit Report'!C132</f>
        <v/>
      </c>
      <c r="I132" t="str">
        <f>'Audit Report'!E132</f>
        <v/>
      </c>
      <c r="J132" t="str">
        <f>'Audit Report'!G132</f>
        <v/>
      </c>
      <c r="L132" t="str">
        <f>_xlfn.TEXTJOIN(", ", FALSE, 'Audit Report'!J132,'Audit Report'!K132,'Audit Report'!L132)</f>
        <v xml:space="preserve">, , </v>
      </c>
      <c r="M132" t="str">
        <f>'Audit Report'!M132</f>
        <v/>
      </c>
      <c r="N132" t="str" cm="1">
        <f t="array" ref="N132">IF(M132="","",
_xlfn.TEXTJOIN(", ",TRUE,
    _xlfn.MAP(_xlfn.TEXTSPLIT(M132,","),_xlfn.LAMBDA(_xlpm.x,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2" t="e">
        <f>'Audit Report'!#REF!</f>
        <v>#REF!</v>
      </c>
      <c r="S132" t="str">
        <f>'Audit Report'!N132</f>
        <v/>
      </c>
    </row>
    <row r="133" spans="4:19">
      <c r="D133" t="str">
        <f>'Audit Report'!B133</f>
        <v>ITD-SHRXXX-XX132</v>
      </c>
      <c r="E133" t="str">
        <f>'Audit Report'!C133</f>
        <v/>
      </c>
      <c r="I133" t="str">
        <f>'Audit Report'!E133</f>
        <v/>
      </c>
      <c r="J133" t="str">
        <f>'Audit Report'!G133</f>
        <v/>
      </c>
      <c r="L133" t="str">
        <f>_xlfn.TEXTJOIN(", ", FALSE, 'Audit Report'!J133,'Audit Report'!K133,'Audit Report'!L133)</f>
        <v xml:space="preserve">, , </v>
      </c>
      <c r="M133" t="str">
        <f>'Audit Report'!M133</f>
        <v/>
      </c>
      <c r="N133" t="str" cm="1">
        <f t="array" ref="N133">IF(M133="","",
_xlfn.TEXTJOIN(", ",TRUE,
    _xlfn.MAP(_xlfn.TEXTSPLIT(M133,","),_xlfn.LAMBDA(_xlpm.x,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3" t="e">
        <f>'Audit Report'!#REF!</f>
        <v>#REF!</v>
      </c>
      <c r="S133" t="str">
        <f>'Audit Report'!N133</f>
        <v/>
      </c>
    </row>
    <row r="134" spans="4:19">
      <c r="D134" t="str">
        <f>'Audit Report'!B134</f>
        <v>ITD-SHRXXX-XX133</v>
      </c>
      <c r="E134" t="str">
        <f>'Audit Report'!C134</f>
        <v/>
      </c>
      <c r="I134" t="str">
        <f>'Audit Report'!E134</f>
        <v/>
      </c>
      <c r="J134" t="str">
        <f>'Audit Report'!G134</f>
        <v/>
      </c>
      <c r="L134" t="str">
        <f>_xlfn.TEXTJOIN(", ", FALSE, 'Audit Report'!J134,'Audit Report'!K134,'Audit Report'!L134)</f>
        <v xml:space="preserve">, , </v>
      </c>
      <c r="M134" t="str">
        <f>'Audit Report'!M134</f>
        <v/>
      </c>
      <c r="N134" t="str" cm="1">
        <f t="array" ref="N134">IF(M134="","",
_xlfn.TEXTJOIN(", ",TRUE,
    _xlfn.MAP(_xlfn.TEXTSPLIT(M134,","),_xlfn.LAMBDA(_xlpm.x,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4" t="e">
        <f>'Audit Report'!#REF!</f>
        <v>#REF!</v>
      </c>
      <c r="S134" t="str">
        <f>'Audit Report'!N134</f>
        <v/>
      </c>
    </row>
    <row r="135" spans="4:19">
      <c r="D135" t="str">
        <f>'Audit Report'!B135</f>
        <v>ITD-SHRXXX-XX134</v>
      </c>
      <c r="E135" t="str">
        <f>'Audit Report'!C135</f>
        <v/>
      </c>
      <c r="I135" t="str">
        <f>'Audit Report'!E135</f>
        <v/>
      </c>
      <c r="J135" t="str">
        <f>'Audit Report'!G135</f>
        <v/>
      </c>
      <c r="L135" t="str">
        <f>_xlfn.TEXTJOIN(", ", FALSE, 'Audit Report'!J135,'Audit Report'!K135,'Audit Report'!L135)</f>
        <v xml:space="preserve">, , </v>
      </c>
      <c r="M135" t="str">
        <f>'Audit Report'!M135</f>
        <v/>
      </c>
      <c r="N135" t="str" cm="1">
        <f t="array" ref="N135">IF(M135="","",
_xlfn.TEXTJOIN(", ",TRUE,
    _xlfn.MAP(_xlfn.TEXTSPLIT(M135,","),_xlfn.LAMBDA(_xlpm.x,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5" t="e">
        <f>'Audit Report'!#REF!</f>
        <v>#REF!</v>
      </c>
      <c r="S135" t="str">
        <f>'Audit Report'!N135</f>
        <v/>
      </c>
    </row>
    <row r="136" spans="4:19">
      <c r="D136" t="str">
        <f>'Audit Report'!B136</f>
        <v>ITD-SHRXXX-XX135</v>
      </c>
      <c r="E136" t="str">
        <f>'Audit Report'!C136</f>
        <v/>
      </c>
      <c r="I136" t="str">
        <f>'Audit Report'!E136</f>
        <v/>
      </c>
      <c r="J136" t="str">
        <f>'Audit Report'!G136</f>
        <v/>
      </c>
      <c r="L136" t="str">
        <f>_xlfn.TEXTJOIN(", ", FALSE, 'Audit Report'!J136,'Audit Report'!K136,'Audit Report'!L136)</f>
        <v xml:space="preserve">, , </v>
      </c>
      <c r="M136" t="str">
        <f>'Audit Report'!M136</f>
        <v/>
      </c>
      <c r="N136" t="str" cm="1">
        <f t="array" ref="N136">IF(M136="","",
_xlfn.TEXTJOIN(", ",TRUE,
    _xlfn.MAP(_xlfn.TEXTSPLIT(M136,","),_xlfn.LAMBDA(_xlpm.x,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6" t="e">
        <f>'Audit Report'!#REF!</f>
        <v>#REF!</v>
      </c>
      <c r="S136" t="str">
        <f>'Audit Report'!N136</f>
        <v/>
      </c>
    </row>
    <row r="137" spans="4:19">
      <c r="D137" t="str">
        <f>'Audit Report'!B137</f>
        <v>ITD-SHRXXX-XX136</v>
      </c>
      <c r="E137" t="str">
        <f>'Audit Report'!C137</f>
        <v/>
      </c>
      <c r="I137" t="str">
        <f>'Audit Report'!E137</f>
        <v/>
      </c>
      <c r="J137" t="str">
        <f>'Audit Report'!G137</f>
        <v/>
      </c>
      <c r="L137" t="str">
        <f>_xlfn.TEXTJOIN(", ", FALSE, 'Audit Report'!J137,'Audit Report'!K137,'Audit Report'!L137)</f>
        <v xml:space="preserve">, , </v>
      </c>
      <c r="M137" t="str">
        <f>'Audit Report'!M137</f>
        <v/>
      </c>
      <c r="N137" t="str" cm="1">
        <f t="array" ref="N137">IF(M137="","",
_xlfn.TEXTJOIN(", ",TRUE,
    _xlfn.MAP(_xlfn.TEXTSPLIT(M137,","),_xlfn.LAMBDA(_xlpm.x,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7" t="e">
        <f>'Audit Report'!#REF!</f>
        <v>#REF!</v>
      </c>
      <c r="S137" t="str">
        <f>'Audit Report'!N137</f>
        <v/>
      </c>
    </row>
    <row r="138" spans="4:19">
      <c r="D138" t="str">
        <f>'Audit Report'!B138</f>
        <v>ITD-SHRXXX-XX137</v>
      </c>
      <c r="E138" t="str">
        <f>'Audit Report'!C138</f>
        <v/>
      </c>
      <c r="I138" t="str">
        <f>'Audit Report'!E138</f>
        <v/>
      </c>
      <c r="J138" t="str">
        <f>'Audit Report'!G138</f>
        <v/>
      </c>
      <c r="L138" t="str">
        <f>_xlfn.TEXTJOIN(", ", FALSE, 'Audit Report'!J138,'Audit Report'!K138,'Audit Report'!L138)</f>
        <v xml:space="preserve">, , </v>
      </c>
      <c r="M138" t="str">
        <f>'Audit Report'!M138</f>
        <v/>
      </c>
      <c r="N138" t="str" cm="1">
        <f t="array" ref="N138">IF(M138="","",
_xlfn.TEXTJOIN(", ",TRUE,
    _xlfn.MAP(_xlfn.TEXTSPLIT(M138,","),_xlfn.LAMBDA(_xlpm.x,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8" t="e">
        <f>'Audit Report'!#REF!</f>
        <v>#REF!</v>
      </c>
      <c r="S138" t="str">
        <f>'Audit Report'!N138</f>
        <v/>
      </c>
    </row>
    <row r="139" spans="4:19">
      <c r="D139" t="str">
        <f>'Audit Report'!B139</f>
        <v>ITD-SHRXXX-XX138</v>
      </c>
      <c r="E139" t="str">
        <f>'Audit Report'!C139</f>
        <v/>
      </c>
      <c r="I139" t="str">
        <f>'Audit Report'!E139</f>
        <v/>
      </c>
      <c r="J139" t="str">
        <f>'Audit Report'!G139</f>
        <v/>
      </c>
      <c r="L139" t="str">
        <f>_xlfn.TEXTJOIN(", ", FALSE, 'Audit Report'!J139,'Audit Report'!K139,'Audit Report'!L139)</f>
        <v xml:space="preserve">, , </v>
      </c>
      <c r="M139" t="str">
        <f>'Audit Report'!M139</f>
        <v/>
      </c>
      <c r="N139" t="str" cm="1">
        <f t="array" ref="N139">IF(M139="","",
_xlfn.TEXTJOIN(", ",TRUE,
    _xlfn.MAP(_xlfn.TEXTSPLIT(M139,","),_xlfn.LAMBDA(_xlpm.x,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9" t="e">
        <f>'Audit Report'!#REF!</f>
        <v>#REF!</v>
      </c>
      <c r="S139" t="str">
        <f>'Audit Report'!N139</f>
        <v/>
      </c>
    </row>
    <row r="140" spans="4:19">
      <c r="D140" t="str">
        <f>'Audit Report'!B140</f>
        <v>ITD-SHRXXX-XX139</v>
      </c>
      <c r="E140" t="str">
        <f>'Audit Report'!C140</f>
        <v/>
      </c>
      <c r="I140" t="str">
        <f>'Audit Report'!E140</f>
        <v/>
      </c>
      <c r="J140" t="str">
        <f>'Audit Report'!G140</f>
        <v/>
      </c>
      <c r="L140" t="str">
        <f>_xlfn.TEXTJOIN(", ", FALSE, 'Audit Report'!J140,'Audit Report'!K140,'Audit Report'!L140)</f>
        <v xml:space="preserve">, , </v>
      </c>
      <c r="M140" t="str">
        <f>'Audit Report'!M140</f>
        <v/>
      </c>
      <c r="N140" t="str" cm="1">
        <f t="array" ref="N140">IF(M140="","",
_xlfn.TEXTJOIN(", ",TRUE,
    _xlfn.MAP(_xlfn.TEXTSPLIT(M140,","),_xlfn.LAMBDA(_xlpm.x,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0" t="e">
        <f>'Audit Report'!#REF!</f>
        <v>#REF!</v>
      </c>
      <c r="S140" t="str">
        <f>'Audit Report'!N140</f>
        <v/>
      </c>
    </row>
    <row r="141" spans="4:19">
      <c r="D141" t="str">
        <f>'Audit Report'!B141</f>
        <v>ITD-SHRXXX-XX140</v>
      </c>
      <c r="E141" t="str">
        <f>'Audit Report'!C141</f>
        <v/>
      </c>
      <c r="I141" t="str">
        <f>'Audit Report'!E141</f>
        <v/>
      </c>
      <c r="J141" t="str">
        <f>'Audit Report'!G141</f>
        <v/>
      </c>
      <c r="L141" t="str">
        <f>_xlfn.TEXTJOIN(", ", FALSE, 'Audit Report'!J141,'Audit Report'!K141,'Audit Report'!L141)</f>
        <v xml:space="preserve">, , </v>
      </c>
      <c r="M141" t="str">
        <f>'Audit Report'!M141</f>
        <v/>
      </c>
      <c r="N141" t="str" cm="1">
        <f t="array" ref="N141">IF(M141="","",
_xlfn.TEXTJOIN(", ",TRUE,
    _xlfn.MAP(_xlfn.TEXTSPLIT(M141,","),_xlfn.LAMBDA(_xlpm.x,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1" t="e">
        <f>'Audit Report'!#REF!</f>
        <v>#REF!</v>
      </c>
      <c r="S141" t="str">
        <f>'Audit Report'!N141</f>
        <v/>
      </c>
    </row>
    <row r="142" spans="4:19">
      <c r="D142" t="str">
        <f>'Audit Report'!B142</f>
        <v>ITD-SHRXXX-XX141</v>
      </c>
      <c r="E142" t="str">
        <f>'Audit Report'!C142</f>
        <v/>
      </c>
      <c r="I142" t="str">
        <f>'Audit Report'!E142</f>
        <v/>
      </c>
      <c r="J142" t="str">
        <f>'Audit Report'!G142</f>
        <v/>
      </c>
      <c r="L142" t="str">
        <f>_xlfn.TEXTJOIN(", ", FALSE, 'Audit Report'!J142,'Audit Report'!K142,'Audit Report'!L142)</f>
        <v xml:space="preserve">, , </v>
      </c>
      <c r="M142" t="str">
        <f>'Audit Report'!M142</f>
        <v/>
      </c>
      <c r="N142" t="str" cm="1">
        <f t="array" ref="N142">IF(M142="","",
_xlfn.TEXTJOIN(", ",TRUE,
    _xlfn.MAP(_xlfn.TEXTSPLIT(M142,","),_xlfn.LAMBDA(_xlpm.x,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2" t="e">
        <f>'Audit Report'!#REF!</f>
        <v>#REF!</v>
      </c>
      <c r="S142" t="str">
        <f>'Audit Report'!N142</f>
        <v/>
      </c>
    </row>
    <row r="143" spans="4:19">
      <c r="D143" t="str">
        <f>'Audit Report'!B143</f>
        <v>ITD-SHRXXX-XX142</v>
      </c>
      <c r="E143" t="str">
        <f>'Audit Report'!C143</f>
        <v/>
      </c>
      <c r="I143" t="str">
        <f>'Audit Report'!E143</f>
        <v/>
      </c>
      <c r="J143" t="str">
        <f>'Audit Report'!G143</f>
        <v/>
      </c>
      <c r="L143" t="str">
        <f>_xlfn.TEXTJOIN(", ", FALSE, 'Audit Report'!J143,'Audit Report'!K143,'Audit Report'!L143)</f>
        <v xml:space="preserve">, , </v>
      </c>
      <c r="M143" t="str">
        <f>'Audit Report'!M143</f>
        <v/>
      </c>
      <c r="N143" t="str" cm="1">
        <f t="array" ref="N143">IF(M143="","",
_xlfn.TEXTJOIN(", ",TRUE,
    _xlfn.MAP(_xlfn.TEXTSPLIT(M143,","),_xlfn.LAMBDA(_xlpm.x,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3" t="e">
        <f>'Audit Report'!#REF!</f>
        <v>#REF!</v>
      </c>
      <c r="S143" t="str">
        <f>'Audit Report'!N143</f>
        <v/>
      </c>
    </row>
    <row r="144" spans="4:19">
      <c r="D144" t="str">
        <f>'Audit Report'!B144</f>
        <v>ITD-SHRXXX-XX143</v>
      </c>
      <c r="E144" t="str">
        <f>'Audit Report'!C144</f>
        <v/>
      </c>
      <c r="I144" t="str">
        <f>'Audit Report'!E144</f>
        <v/>
      </c>
      <c r="J144" t="str">
        <f>'Audit Report'!G144</f>
        <v/>
      </c>
      <c r="L144" t="str">
        <f>_xlfn.TEXTJOIN(", ", FALSE, 'Audit Report'!J144,'Audit Report'!K144,'Audit Report'!L144)</f>
        <v xml:space="preserve">, , </v>
      </c>
      <c r="M144" t="str">
        <f>'Audit Report'!M144</f>
        <v/>
      </c>
      <c r="N144" t="str" cm="1">
        <f t="array" ref="N144">IF(M144="","",
_xlfn.TEXTJOIN(", ",TRUE,
    _xlfn.MAP(_xlfn.TEXTSPLIT(M144,","),_xlfn.LAMBDA(_xlpm.x,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4" t="e">
        <f>'Audit Report'!#REF!</f>
        <v>#REF!</v>
      </c>
      <c r="S144" t="str">
        <f>'Audit Report'!N144</f>
        <v/>
      </c>
    </row>
    <row r="145" spans="4:19">
      <c r="D145" t="str">
        <f>'Audit Report'!B145</f>
        <v>ITD-SHRXXX-XX144</v>
      </c>
      <c r="E145" t="str">
        <f>'Audit Report'!C145</f>
        <v/>
      </c>
      <c r="I145" t="str">
        <f>'Audit Report'!E145</f>
        <v/>
      </c>
      <c r="J145" t="str">
        <f>'Audit Report'!G145</f>
        <v/>
      </c>
      <c r="L145" t="str">
        <f>_xlfn.TEXTJOIN(", ", FALSE, 'Audit Report'!J145,'Audit Report'!K145,'Audit Report'!L145)</f>
        <v xml:space="preserve">, , </v>
      </c>
      <c r="M145" t="str">
        <f>'Audit Report'!M145</f>
        <v/>
      </c>
      <c r="N145" t="str" cm="1">
        <f t="array" ref="N145">IF(M145="","",
_xlfn.TEXTJOIN(", ",TRUE,
    _xlfn.MAP(_xlfn.TEXTSPLIT(M145,","),_xlfn.LAMBDA(_xlpm.x,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5" t="e">
        <f>'Audit Report'!#REF!</f>
        <v>#REF!</v>
      </c>
      <c r="S145" t="str">
        <f>'Audit Report'!N145</f>
        <v/>
      </c>
    </row>
    <row r="146" spans="4:19">
      <c r="D146" t="str">
        <f>'Audit Report'!B146</f>
        <v>ITD-SHRXXX-XX145</v>
      </c>
      <c r="E146" t="str">
        <f>'Audit Report'!C146</f>
        <v/>
      </c>
      <c r="I146" t="str">
        <f>'Audit Report'!E146</f>
        <v/>
      </c>
      <c r="J146" t="str">
        <f>'Audit Report'!G146</f>
        <v/>
      </c>
      <c r="L146" t="str">
        <f>_xlfn.TEXTJOIN(", ", FALSE, 'Audit Report'!J146,'Audit Report'!K146,'Audit Report'!L146)</f>
        <v xml:space="preserve">, , </v>
      </c>
      <c r="M146" t="str">
        <f>'Audit Report'!M146</f>
        <v/>
      </c>
      <c r="N146" t="str" cm="1">
        <f t="array" ref="N146">IF(M146="","",
_xlfn.TEXTJOIN(", ",TRUE,
    _xlfn.MAP(_xlfn.TEXTSPLIT(M146,","),_xlfn.LAMBDA(_xlpm.x,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6" t="e">
        <f>'Audit Report'!#REF!</f>
        <v>#REF!</v>
      </c>
      <c r="S146" t="str">
        <f>'Audit Report'!N146</f>
        <v/>
      </c>
    </row>
    <row r="147" spans="4:19">
      <c r="D147" t="str">
        <f>'Audit Report'!B147</f>
        <v>ITD-SHRXXX-XX146</v>
      </c>
      <c r="E147" t="str">
        <f>'Audit Report'!C147</f>
        <v/>
      </c>
      <c r="I147" t="str">
        <f>'Audit Report'!E147</f>
        <v/>
      </c>
      <c r="J147" t="str">
        <f>'Audit Report'!G147</f>
        <v/>
      </c>
      <c r="L147" t="str">
        <f>_xlfn.TEXTJOIN(", ", FALSE, 'Audit Report'!J147,'Audit Report'!K147,'Audit Report'!L147)</f>
        <v xml:space="preserve">, , </v>
      </c>
      <c r="M147" t="str">
        <f>'Audit Report'!M147</f>
        <v/>
      </c>
      <c r="N147" t="str" cm="1">
        <f t="array" ref="N147">IF(M147="","",
_xlfn.TEXTJOIN(", ",TRUE,
    _xlfn.MAP(_xlfn.TEXTSPLIT(M147,","),_xlfn.LAMBDA(_xlpm.x,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7" t="e">
        <f>'Audit Report'!#REF!</f>
        <v>#REF!</v>
      </c>
      <c r="S147" t="str">
        <f>'Audit Report'!N147</f>
        <v/>
      </c>
    </row>
    <row r="148" spans="4:19">
      <c r="D148" t="str">
        <f>'Audit Report'!B148</f>
        <v>ITD-SHRXXX-XX147</v>
      </c>
      <c r="E148" t="str">
        <f>'Audit Report'!C148</f>
        <v/>
      </c>
      <c r="I148" t="str">
        <f>'Audit Report'!E148</f>
        <v/>
      </c>
      <c r="J148" t="str">
        <f>'Audit Report'!G148</f>
        <v/>
      </c>
      <c r="L148" t="str">
        <f>_xlfn.TEXTJOIN(", ", FALSE, 'Audit Report'!J148,'Audit Report'!K148,'Audit Report'!L148)</f>
        <v xml:space="preserve">, , </v>
      </c>
      <c r="M148" t="str">
        <f>'Audit Report'!M148</f>
        <v/>
      </c>
      <c r="N148" t="str" cm="1">
        <f t="array" ref="N148">IF(M148="","",
_xlfn.TEXTJOIN(", ",TRUE,
    _xlfn.MAP(_xlfn.TEXTSPLIT(M148,","),_xlfn.LAMBDA(_xlpm.x,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8" t="e">
        <f>'Audit Report'!#REF!</f>
        <v>#REF!</v>
      </c>
      <c r="S148" t="str">
        <f>'Audit Report'!N148</f>
        <v/>
      </c>
    </row>
    <row r="149" spans="4:19">
      <c r="D149" t="str">
        <f>'Audit Report'!B149</f>
        <v>ITD-SHRXXX-XX148</v>
      </c>
      <c r="E149" t="str">
        <f>'Audit Report'!C149</f>
        <v/>
      </c>
      <c r="I149" t="str">
        <f>'Audit Report'!E149</f>
        <v/>
      </c>
      <c r="J149" t="str">
        <f>'Audit Report'!G149</f>
        <v/>
      </c>
      <c r="L149" t="str">
        <f>_xlfn.TEXTJOIN(", ", FALSE, 'Audit Report'!J149,'Audit Report'!K149,'Audit Report'!L149)</f>
        <v xml:space="preserve">, , </v>
      </c>
      <c r="M149" t="str">
        <f>'Audit Report'!M149</f>
        <v/>
      </c>
      <c r="N149" t="str" cm="1">
        <f t="array" ref="N149">IF(M149="","",
_xlfn.TEXTJOIN(", ",TRUE,
    _xlfn.MAP(_xlfn.TEXTSPLIT(M149,","),_xlfn.LAMBDA(_xlpm.x,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9" t="e">
        <f>'Audit Report'!#REF!</f>
        <v>#REF!</v>
      </c>
      <c r="S149" t="str">
        <f>'Audit Report'!N149</f>
        <v/>
      </c>
    </row>
    <row r="150" spans="4:19">
      <c r="D150" t="str">
        <f>'Audit Report'!B150</f>
        <v>ITD-SHRXXX-XX149</v>
      </c>
      <c r="E150" t="str">
        <f>'Audit Report'!C150</f>
        <v/>
      </c>
      <c r="I150" t="str">
        <f>'Audit Report'!E150</f>
        <v/>
      </c>
      <c r="J150" t="str">
        <f>'Audit Report'!G150</f>
        <v/>
      </c>
      <c r="L150" t="str">
        <f>_xlfn.TEXTJOIN(", ", FALSE, 'Audit Report'!J150,'Audit Report'!K150,'Audit Report'!L150)</f>
        <v xml:space="preserve">, , </v>
      </c>
      <c r="M150" t="str">
        <f>'Audit Report'!M150</f>
        <v/>
      </c>
      <c r="N150" t="str" cm="1">
        <f t="array" ref="N150">IF(M150="","",
_xlfn.TEXTJOIN(", ",TRUE,
    _xlfn.MAP(_xlfn.TEXTSPLIT(M150,","),_xlfn.LAMBDA(_xlpm.x,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0" t="e">
        <f>'Audit Report'!#REF!</f>
        <v>#REF!</v>
      </c>
      <c r="S150" t="str">
        <f>'Audit Report'!N150</f>
        <v/>
      </c>
    </row>
    <row r="151" spans="4:19">
      <c r="D151" t="str">
        <f>'Audit Report'!B151</f>
        <v>ITD-SHRXXX-XX150</v>
      </c>
      <c r="E151" t="str">
        <f>'Audit Report'!C151</f>
        <v/>
      </c>
      <c r="I151" t="str">
        <f>'Audit Report'!E151</f>
        <v/>
      </c>
      <c r="J151" t="str">
        <f>'Audit Report'!G151</f>
        <v/>
      </c>
      <c r="L151" t="str">
        <f>_xlfn.TEXTJOIN(", ", FALSE, 'Audit Report'!J151,'Audit Report'!K151,'Audit Report'!L151)</f>
        <v xml:space="preserve">, , </v>
      </c>
      <c r="M151" t="str">
        <f>'Audit Report'!M151</f>
        <v/>
      </c>
      <c r="N151" t="str" cm="1">
        <f t="array" ref="N151">IF(M151="","",
_xlfn.TEXTJOIN(", ",TRUE,
    _xlfn.MAP(_xlfn.TEXTSPLIT(M151,","),_xlfn.LAMBDA(_xlpm.x,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1" t="e">
        <f>'Audit Report'!#REF!</f>
        <v>#REF!</v>
      </c>
      <c r="S151" t="str">
        <f>'Audit Report'!N151</f>
        <v/>
      </c>
    </row>
    <row r="152" spans="4:19">
      <c r="D152" t="str">
        <f>'Audit Report'!B152</f>
        <v>ITD-SHRXXX-XX151</v>
      </c>
      <c r="E152" t="str">
        <f>'Audit Report'!C152</f>
        <v/>
      </c>
      <c r="I152" t="str">
        <f>'Audit Report'!E152</f>
        <v/>
      </c>
      <c r="J152" t="str">
        <f>'Audit Report'!G152</f>
        <v/>
      </c>
      <c r="L152" t="str">
        <f>_xlfn.TEXTJOIN(", ", FALSE, 'Audit Report'!J152,'Audit Report'!K152,'Audit Report'!L152)</f>
        <v xml:space="preserve">, , </v>
      </c>
      <c r="M152" t="str">
        <f>'Audit Report'!M152</f>
        <v/>
      </c>
      <c r="N152" t="str" cm="1">
        <f t="array" ref="N152">IF(M152="","",
_xlfn.TEXTJOIN(", ",TRUE,
    _xlfn.MAP(_xlfn.TEXTSPLIT(M152,","),_xlfn.LAMBDA(_xlpm.x,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2" t="e">
        <f>'Audit Report'!#REF!</f>
        <v>#REF!</v>
      </c>
      <c r="S152" t="str">
        <f>'Audit Report'!N152</f>
        <v/>
      </c>
    </row>
    <row r="153" spans="4:19">
      <c r="D153" t="str">
        <f>'Audit Report'!B153</f>
        <v>ITD-SHRXXX-XX152</v>
      </c>
      <c r="E153" t="str">
        <f>'Audit Report'!C153</f>
        <v/>
      </c>
      <c r="I153" t="str">
        <f>'Audit Report'!E153</f>
        <v/>
      </c>
      <c r="J153" t="str">
        <f>'Audit Report'!G153</f>
        <v/>
      </c>
      <c r="L153" t="str">
        <f>_xlfn.TEXTJOIN(", ", FALSE, 'Audit Report'!J153,'Audit Report'!K153,'Audit Report'!L153)</f>
        <v xml:space="preserve">, , </v>
      </c>
      <c r="M153" t="str">
        <f>'Audit Report'!M153</f>
        <v/>
      </c>
      <c r="N153" t="str" cm="1">
        <f t="array" ref="N153">IF(M153="","",
_xlfn.TEXTJOIN(", ",TRUE,
    _xlfn.MAP(_xlfn.TEXTSPLIT(M153,","),_xlfn.LAMBDA(_xlpm.x,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3" t="e">
        <f>'Audit Report'!#REF!</f>
        <v>#REF!</v>
      </c>
      <c r="S153" t="str">
        <f>'Audit Report'!N153</f>
        <v/>
      </c>
    </row>
    <row r="154" spans="4:19">
      <c r="D154" t="str">
        <f>'Audit Report'!B154</f>
        <v>ITD-SHRXXX-XX153</v>
      </c>
      <c r="E154" t="str">
        <f>'Audit Report'!C154</f>
        <v/>
      </c>
      <c r="I154" t="str">
        <f>'Audit Report'!E154</f>
        <v/>
      </c>
      <c r="J154" t="str">
        <f>'Audit Report'!G154</f>
        <v/>
      </c>
      <c r="L154" t="str">
        <f>_xlfn.TEXTJOIN(", ", FALSE, 'Audit Report'!J154,'Audit Report'!K154,'Audit Report'!L154)</f>
        <v xml:space="preserve">, , </v>
      </c>
      <c r="M154" t="str">
        <f>'Audit Report'!M154</f>
        <v/>
      </c>
      <c r="N154" t="str" cm="1">
        <f t="array" ref="N154">IF(M154="","",
_xlfn.TEXTJOIN(", ",TRUE,
    _xlfn.MAP(_xlfn.TEXTSPLIT(M154,","),_xlfn.LAMBDA(_xlpm.x,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4" t="e">
        <f>'Audit Report'!#REF!</f>
        <v>#REF!</v>
      </c>
      <c r="S154" t="str">
        <f>'Audit Report'!N154</f>
        <v/>
      </c>
    </row>
    <row r="155" spans="4:19">
      <c r="D155" t="str">
        <f>'Audit Report'!B155</f>
        <v>ITD-SHRXXX-XX154</v>
      </c>
      <c r="E155" t="str">
        <f>'Audit Report'!C155</f>
        <v/>
      </c>
      <c r="I155" t="str">
        <f>'Audit Report'!E155</f>
        <v/>
      </c>
      <c r="J155" t="str">
        <f>'Audit Report'!G155</f>
        <v/>
      </c>
      <c r="L155" t="str">
        <f>_xlfn.TEXTJOIN(", ", FALSE, 'Audit Report'!J155,'Audit Report'!K155,'Audit Report'!L155)</f>
        <v xml:space="preserve">, , </v>
      </c>
      <c r="M155" t="str">
        <f>'Audit Report'!M155</f>
        <v/>
      </c>
      <c r="N155" t="str" cm="1">
        <f t="array" ref="N155">IF(M155="","",
_xlfn.TEXTJOIN(", ",TRUE,
    _xlfn.MAP(_xlfn.TEXTSPLIT(M155,","),_xlfn.LAMBDA(_xlpm.x,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5" t="e">
        <f>'Audit Report'!#REF!</f>
        <v>#REF!</v>
      </c>
      <c r="S155" t="str">
        <f>'Audit Report'!N155</f>
        <v/>
      </c>
    </row>
    <row r="156" spans="4:19">
      <c r="D156" t="str">
        <f>'Audit Report'!B156</f>
        <v>ITD-SHRXXX-XX155</v>
      </c>
      <c r="E156" t="str">
        <f>'Audit Report'!C156</f>
        <v/>
      </c>
      <c r="I156" t="str">
        <f>'Audit Report'!E156</f>
        <v/>
      </c>
      <c r="J156" t="str">
        <f>'Audit Report'!G156</f>
        <v/>
      </c>
      <c r="L156" t="str">
        <f>_xlfn.TEXTJOIN(", ", FALSE, 'Audit Report'!J156,'Audit Report'!K156,'Audit Report'!L156)</f>
        <v xml:space="preserve">, , </v>
      </c>
      <c r="M156" t="str">
        <f>'Audit Report'!M156</f>
        <v/>
      </c>
      <c r="N156" t="str" cm="1">
        <f t="array" ref="N156">IF(M156="","",
_xlfn.TEXTJOIN(", ",TRUE,
    _xlfn.MAP(_xlfn.TEXTSPLIT(M156,","),_xlfn.LAMBDA(_xlpm.x,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6" t="e">
        <f>'Audit Report'!#REF!</f>
        <v>#REF!</v>
      </c>
      <c r="S156" t="str">
        <f>'Audit Report'!N156</f>
        <v/>
      </c>
    </row>
    <row r="157" spans="4:19">
      <c r="D157" t="str">
        <f>'Audit Report'!B157</f>
        <v>ITD-SHRXXX-XX156</v>
      </c>
      <c r="E157" t="str">
        <f>'Audit Report'!C157</f>
        <v/>
      </c>
      <c r="I157" t="str">
        <f>'Audit Report'!E157</f>
        <v/>
      </c>
      <c r="J157" t="str">
        <f>'Audit Report'!G157</f>
        <v/>
      </c>
      <c r="L157" t="str">
        <f>_xlfn.TEXTJOIN(", ", FALSE, 'Audit Report'!J157,'Audit Report'!K157,'Audit Report'!L157)</f>
        <v xml:space="preserve">, , </v>
      </c>
      <c r="M157" t="str">
        <f>'Audit Report'!M157</f>
        <v/>
      </c>
      <c r="N157" t="str" cm="1">
        <f t="array" ref="N157">IF(M157="","",
_xlfn.TEXTJOIN(", ",TRUE,
    _xlfn.MAP(_xlfn.TEXTSPLIT(M157,","),_xlfn.LAMBDA(_xlpm.x,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7" t="e">
        <f>'Audit Report'!#REF!</f>
        <v>#REF!</v>
      </c>
      <c r="S157" t="str">
        <f>'Audit Report'!N157</f>
        <v/>
      </c>
    </row>
    <row r="158" spans="4:19">
      <c r="D158" t="str">
        <f>'Audit Report'!B158</f>
        <v>ITD-SHRXXX-XX157</v>
      </c>
      <c r="E158" t="str">
        <f>'Audit Report'!C158</f>
        <v/>
      </c>
      <c r="I158" t="str">
        <f>'Audit Report'!E158</f>
        <v/>
      </c>
      <c r="J158" t="str">
        <f>'Audit Report'!G158</f>
        <v/>
      </c>
      <c r="L158" t="str">
        <f>_xlfn.TEXTJOIN(", ", FALSE, 'Audit Report'!J158,'Audit Report'!K158,'Audit Report'!L158)</f>
        <v xml:space="preserve">, , </v>
      </c>
      <c r="M158" t="str">
        <f>'Audit Report'!M158</f>
        <v/>
      </c>
      <c r="N158" t="str" cm="1">
        <f t="array" ref="N158">IF(M158="","",
_xlfn.TEXTJOIN(", ",TRUE,
    _xlfn.MAP(_xlfn.TEXTSPLIT(M158,","),_xlfn.LAMBDA(_xlpm.x,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8" t="e">
        <f>'Audit Report'!#REF!</f>
        <v>#REF!</v>
      </c>
      <c r="S158" t="str">
        <f>'Audit Report'!N158</f>
        <v/>
      </c>
    </row>
    <row r="159" spans="4:19">
      <c r="D159" t="str">
        <f>'Audit Report'!B159</f>
        <v>ITD-SHRXXX-XX158</v>
      </c>
      <c r="E159" t="str">
        <f>'Audit Report'!C159</f>
        <v/>
      </c>
      <c r="I159" t="str">
        <f>'Audit Report'!E159</f>
        <v/>
      </c>
      <c r="J159" t="str">
        <f>'Audit Report'!G159</f>
        <v/>
      </c>
      <c r="L159" t="str">
        <f>_xlfn.TEXTJOIN(", ", FALSE, 'Audit Report'!J159,'Audit Report'!K159,'Audit Report'!L159)</f>
        <v xml:space="preserve">, , </v>
      </c>
      <c r="M159" t="str">
        <f>'Audit Report'!M159</f>
        <v/>
      </c>
      <c r="N159" t="str" cm="1">
        <f t="array" ref="N159">IF(M159="","",
_xlfn.TEXTJOIN(", ",TRUE,
    _xlfn.MAP(_xlfn.TEXTSPLIT(M159,","),_xlfn.LAMBDA(_xlpm.x,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9" t="e">
        <f>'Audit Report'!#REF!</f>
        <v>#REF!</v>
      </c>
      <c r="S159" t="str">
        <f>'Audit Report'!N159</f>
        <v/>
      </c>
    </row>
    <row r="160" spans="4:19">
      <c r="D160" t="str">
        <f>'Audit Report'!B160</f>
        <v>ITD-SHRXXX-XX159</v>
      </c>
      <c r="E160" t="str">
        <f>'Audit Report'!C160</f>
        <v/>
      </c>
      <c r="I160" t="str">
        <f>'Audit Report'!E160</f>
        <v/>
      </c>
      <c r="J160" t="str">
        <f>'Audit Report'!G160</f>
        <v/>
      </c>
      <c r="L160" t="str">
        <f>_xlfn.TEXTJOIN(", ", FALSE, 'Audit Report'!J160,'Audit Report'!K160,'Audit Report'!L160)</f>
        <v xml:space="preserve">, , </v>
      </c>
      <c r="M160" t="str">
        <f>'Audit Report'!M160</f>
        <v/>
      </c>
      <c r="N160" t="str" cm="1">
        <f t="array" ref="N160">IF(M160="","",
_xlfn.TEXTJOIN(", ",TRUE,
    _xlfn.MAP(_xlfn.TEXTSPLIT(M160,","),_xlfn.LAMBDA(_xlpm.x,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0" t="e">
        <f>'Audit Report'!#REF!</f>
        <v>#REF!</v>
      </c>
      <c r="S160" t="str">
        <f>'Audit Report'!N160</f>
        <v/>
      </c>
    </row>
    <row r="161" spans="4:19">
      <c r="D161" t="str">
        <f>'Audit Report'!B161</f>
        <v>ITD-SHRXXX-XX160</v>
      </c>
      <c r="E161" t="str">
        <f>'Audit Report'!C161</f>
        <v/>
      </c>
      <c r="I161" t="str">
        <f>'Audit Report'!E161</f>
        <v/>
      </c>
      <c r="J161" t="str">
        <f>'Audit Report'!G161</f>
        <v/>
      </c>
      <c r="L161" t="str">
        <f>_xlfn.TEXTJOIN(", ", FALSE, 'Audit Report'!J161,'Audit Report'!K161,'Audit Report'!L161)</f>
        <v xml:space="preserve">, , </v>
      </c>
      <c r="M161" t="str">
        <f>'Audit Report'!M161</f>
        <v/>
      </c>
      <c r="N161" t="str" cm="1">
        <f t="array" ref="N161">IF(M161="","",
_xlfn.TEXTJOIN(", ",TRUE,
    _xlfn.MAP(_xlfn.TEXTSPLIT(M161,","),_xlfn.LAMBDA(_xlpm.x,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1" t="e">
        <f>'Audit Report'!#REF!</f>
        <v>#REF!</v>
      </c>
      <c r="S161" t="str">
        <f>'Audit Report'!N161</f>
        <v/>
      </c>
    </row>
    <row r="162" spans="4:19">
      <c r="D162" t="str">
        <f>'Audit Report'!B162</f>
        <v>ITD-SHRXXX-XX161</v>
      </c>
      <c r="E162" t="str">
        <f>'Audit Report'!C162</f>
        <v/>
      </c>
      <c r="I162" t="str">
        <f>'Audit Report'!E162</f>
        <v/>
      </c>
      <c r="J162" t="str">
        <f>'Audit Report'!G162</f>
        <v/>
      </c>
      <c r="L162" t="str">
        <f>_xlfn.TEXTJOIN(", ", FALSE, 'Audit Report'!J162,'Audit Report'!K162,'Audit Report'!L162)</f>
        <v xml:space="preserve">, , </v>
      </c>
      <c r="M162" t="str">
        <f>'Audit Report'!M162</f>
        <v/>
      </c>
      <c r="N162" t="str" cm="1">
        <f t="array" ref="N162">IF(M162="","",
_xlfn.TEXTJOIN(", ",TRUE,
    _xlfn.MAP(_xlfn.TEXTSPLIT(M162,","),_xlfn.LAMBDA(_xlpm.x,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2" t="e">
        <f>'Audit Report'!#REF!</f>
        <v>#REF!</v>
      </c>
      <c r="S162" t="str">
        <f>'Audit Report'!N162</f>
        <v/>
      </c>
    </row>
    <row r="163" spans="4:19">
      <c r="D163" t="str">
        <f>'Audit Report'!B163</f>
        <v>ITD-SHRXXX-XX162</v>
      </c>
      <c r="E163" t="str">
        <f>'Audit Report'!C163</f>
        <v/>
      </c>
      <c r="I163" t="str">
        <f>'Audit Report'!E163</f>
        <v/>
      </c>
      <c r="J163" t="str">
        <f>'Audit Report'!G163</f>
        <v/>
      </c>
      <c r="L163" t="str">
        <f>_xlfn.TEXTJOIN(", ", FALSE, 'Audit Report'!J163,'Audit Report'!K163,'Audit Report'!L163)</f>
        <v xml:space="preserve">, , </v>
      </c>
      <c r="M163" t="str">
        <f>'Audit Report'!M163</f>
        <v/>
      </c>
      <c r="N163" t="str" cm="1">
        <f t="array" ref="N163">IF(M163="","",
_xlfn.TEXTJOIN(", ",TRUE,
    _xlfn.MAP(_xlfn.TEXTSPLIT(M163,","),_xlfn.LAMBDA(_xlpm.x,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3" t="e">
        <f>'Audit Report'!#REF!</f>
        <v>#REF!</v>
      </c>
      <c r="S163" t="str">
        <f>'Audit Report'!N163</f>
        <v/>
      </c>
    </row>
    <row r="164" spans="4:19">
      <c r="D164" t="str">
        <f>'Audit Report'!B164</f>
        <v>ITD-SHRXXX-XX163</v>
      </c>
      <c r="E164" t="str">
        <f>'Audit Report'!C164</f>
        <v/>
      </c>
      <c r="I164" t="str">
        <f>'Audit Report'!E164</f>
        <v/>
      </c>
      <c r="J164" t="str">
        <f>'Audit Report'!G164</f>
        <v/>
      </c>
      <c r="L164" t="str">
        <f>_xlfn.TEXTJOIN(", ", FALSE, 'Audit Report'!J164,'Audit Report'!K164,'Audit Report'!L164)</f>
        <v xml:space="preserve">, , </v>
      </c>
      <c r="M164" t="str">
        <f>'Audit Report'!M164</f>
        <v/>
      </c>
      <c r="N164" t="str" cm="1">
        <f t="array" ref="N164">IF(M164="","",
_xlfn.TEXTJOIN(", ",TRUE,
    _xlfn.MAP(_xlfn.TEXTSPLIT(M164,","),_xlfn.LAMBDA(_xlpm.x,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4" t="e">
        <f>'Audit Report'!#REF!</f>
        <v>#REF!</v>
      </c>
      <c r="S164" t="str">
        <f>'Audit Report'!N164</f>
        <v/>
      </c>
    </row>
    <row r="165" spans="4:19">
      <c r="D165" t="str">
        <f>'Audit Report'!B165</f>
        <v>ITD-SHRXXX-XX164</v>
      </c>
      <c r="E165" t="str">
        <f>'Audit Report'!C165</f>
        <v/>
      </c>
      <c r="I165" t="str">
        <f>'Audit Report'!E165</f>
        <v/>
      </c>
      <c r="J165" t="str">
        <f>'Audit Report'!G165</f>
        <v/>
      </c>
      <c r="L165" t="str">
        <f>_xlfn.TEXTJOIN(", ", FALSE, 'Audit Report'!J165,'Audit Report'!K165,'Audit Report'!L165)</f>
        <v xml:space="preserve">, , </v>
      </c>
      <c r="M165" t="str">
        <f>'Audit Report'!M165</f>
        <v/>
      </c>
      <c r="N165" t="str" cm="1">
        <f t="array" ref="N165">IF(M165="","",
_xlfn.TEXTJOIN(", ",TRUE,
    _xlfn.MAP(_xlfn.TEXTSPLIT(M165,","),_xlfn.LAMBDA(_xlpm.x,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5" t="e">
        <f>'Audit Report'!#REF!</f>
        <v>#REF!</v>
      </c>
      <c r="S165" t="str">
        <f>'Audit Report'!N165</f>
        <v/>
      </c>
    </row>
    <row r="166" spans="4:19">
      <c r="D166" t="str">
        <f>'Audit Report'!B166</f>
        <v>ITD-SHRXXX-XX165</v>
      </c>
      <c r="E166" t="str">
        <f>'Audit Report'!C166</f>
        <v/>
      </c>
      <c r="I166" t="str">
        <f>'Audit Report'!E166</f>
        <v/>
      </c>
      <c r="J166" t="str">
        <f>'Audit Report'!G166</f>
        <v/>
      </c>
      <c r="L166" t="str">
        <f>_xlfn.TEXTJOIN(", ", FALSE, 'Audit Report'!J166,'Audit Report'!K166,'Audit Report'!L166)</f>
        <v xml:space="preserve">, , </v>
      </c>
      <c r="M166" t="str">
        <f>'Audit Report'!M166</f>
        <v/>
      </c>
      <c r="N166" t="str" cm="1">
        <f t="array" ref="N166">IF(M166="","",
_xlfn.TEXTJOIN(", ",TRUE,
    _xlfn.MAP(_xlfn.TEXTSPLIT(M166,","),_xlfn.LAMBDA(_xlpm.x,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6" t="e">
        <f>'Audit Report'!#REF!</f>
        <v>#REF!</v>
      </c>
      <c r="S166" t="str">
        <f>'Audit Report'!N166</f>
        <v/>
      </c>
    </row>
    <row r="167" spans="4:19">
      <c r="D167" t="str">
        <f>'Audit Report'!B167</f>
        <v>ITD-SHRXXX-XX166</v>
      </c>
      <c r="E167" t="str">
        <f>'Audit Report'!C167</f>
        <v/>
      </c>
      <c r="I167" t="str">
        <f>'Audit Report'!E167</f>
        <v/>
      </c>
      <c r="J167" t="str">
        <f>'Audit Report'!G167</f>
        <v/>
      </c>
      <c r="L167" t="str">
        <f>_xlfn.TEXTJOIN(", ", FALSE, 'Audit Report'!J167,'Audit Report'!K167,'Audit Report'!L167)</f>
        <v xml:space="preserve">, , </v>
      </c>
      <c r="M167" t="str">
        <f>'Audit Report'!M167</f>
        <v/>
      </c>
      <c r="N167" t="str" cm="1">
        <f t="array" ref="N167">IF(M167="","",
_xlfn.TEXTJOIN(", ",TRUE,
    _xlfn.MAP(_xlfn.TEXTSPLIT(M167,","),_xlfn.LAMBDA(_xlpm.x,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7" t="e">
        <f>'Audit Report'!#REF!</f>
        <v>#REF!</v>
      </c>
      <c r="S167" t="str">
        <f>'Audit Report'!N167</f>
        <v/>
      </c>
    </row>
    <row r="168" spans="4:19">
      <c r="D168" t="str">
        <f>'Audit Report'!B168</f>
        <v>ITD-SHRXXX-XX167</v>
      </c>
      <c r="E168" t="str">
        <f>'Audit Report'!C168</f>
        <v/>
      </c>
      <c r="I168" t="str">
        <f>'Audit Report'!E168</f>
        <v/>
      </c>
      <c r="J168" t="str">
        <f>'Audit Report'!G168</f>
        <v/>
      </c>
      <c r="L168" t="str">
        <f>_xlfn.TEXTJOIN(", ", FALSE, 'Audit Report'!J168,'Audit Report'!K168,'Audit Report'!L168)</f>
        <v xml:space="preserve">, , </v>
      </c>
      <c r="M168" t="str">
        <f>'Audit Report'!M168</f>
        <v/>
      </c>
      <c r="N168" t="str" cm="1">
        <f t="array" ref="N168">IF(M168="","",
_xlfn.TEXTJOIN(", ",TRUE,
    _xlfn.MAP(_xlfn.TEXTSPLIT(M168,","),_xlfn.LAMBDA(_xlpm.x,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8" t="e">
        <f>'Audit Report'!#REF!</f>
        <v>#REF!</v>
      </c>
      <c r="S168" t="str">
        <f>'Audit Report'!N168</f>
        <v/>
      </c>
    </row>
    <row r="169" spans="4:19">
      <c r="D169" t="str">
        <f>'Audit Report'!B169</f>
        <v>ITD-SHRXXX-XX168</v>
      </c>
      <c r="E169" t="str">
        <f>'Audit Report'!C169</f>
        <v/>
      </c>
      <c r="I169" t="str">
        <f>'Audit Report'!E169</f>
        <v/>
      </c>
      <c r="J169" t="str">
        <f>'Audit Report'!G169</f>
        <v/>
      </c>
      <c r="L169" t="str">
        <f>_xlfn.TEXTJOIN(", ", FALSE, 'Audit Report'!J169,'Audit Report'!K169,'Audit Report'!L169)</f>
        <v xml:space="preserve">, , </v>
      </c>
      <c r="M169" t="str">
        <f>'Audit Report'!M169</f>
        <v/>
      </c>
      <c r="N169" t="str" cm="1">
        <f t="array" ref="N169">IF(M169="","",
_xlfn.TEXTJOIN(", ",TRUE,
    _xlfn.MAP(_xlfn.TEXTSPLIT(M169,","),_xlfn.LAMBDA(_xlpm.x,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9" t="e">
        <f>'Audit Report'!#REF!</f>
        <v>#REF!</v>
      </c>
      <c r="S169" t="str">
        <f>'Audit Report'!N169</f>
        <v/>
      </c>
    </row>
    <row r="170" spans="4:19">
      <c r="D170" t="str">
        <f>'Audit Report'!B170</f>
        <v>ITD-SHRXXX-XX169</v>
      </c>
      <c r="E170" t="str">
        <f>'Audit Report'!C170</f>
        <v/>
      </c>
      <c r="I170" t="str">
        <f>'Audit Report'!E170</f>
        <v/>
      </c>
      <c r="J170" t="str">
        <f>'Audit Report'!G170</f>
        <v/>
      </c>
      <c r="L170" t="str">
        <f>_xlfn.TEXTJOIN(", ", FALSE, 'Audit Report'!J170,'Audit Report'!K170,'Audit Report'!L170)</f>
        <v xml:space="preserve">, , </v>
      </c>
      <c r="M170" t="str">
        <f>'Audit Report'!M170</f>
        <v/>
      </c>
      <c r="N170" t="str" cm="1">
        <f t="array" ref="N170">IF(M170="","",
_xlfn.TEXTJOIN(", ",TRUE,
    _xlfn.MAP(_xlfn.TEXTSPLIT(M170,","),_xlfn.LAMBDA(_xlpm.x,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0" t="e">
        <f>'Audit Report'!#REF!</f>
        <v>#REF!</v>
      </c>
      <c r="S170" t="str">
        <f>'Audit Report'!N170</f>
        <v/>
      </c>
    </row>
    <row r="171" spans="4:19">
      <c r="D171" t="str">
        <f>'Audit Report'!B171</f>
        <v>ITD-SHRXXX-XX170</v>
      </c>
      <c r="E171" t="str">
        <f>'Audit Report'!C171</f>
        <v/>
      </c>
      <c r="I171" t="str">
        <f>'Audit Report'!E171</f>
        <v/>
      </c>
      <c r="J171" t="str">
        <f>'Audit Report'!G171</f>
        <v/>
      </c>
      <c r="L171" t="str">
        <f>_xlfn.TEXTJOIN(", ", FALSE, 'Audit Report'!J171,'Audit Report'!K171,'Audit Report'!L171)</f>
        <v xml:space="preserve">, , </v>
      </c>
      <c r="M171" t="str">
        <f>'Audit Report'!M171</f>
        <v/>
      </c>
      <c r="N171" t="str" cm="1">
        <f t="array" ref="N171">IF(M171="","",
_xlfn.TEXTJOIN(", ",TRUE,
    _xlfn.MAP(_xlfn.TEXTSPLIT(M171,","),_xlfn.LAMBDA(_xlpm.x,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1" t="e">
        <f>'Audit Report'!#REF!</f>
        <v>#REF!</v>
      </c>
      <c r="S171" t="str">
        <f>'Audit Report'!N171</f>
        <v/>
      </c>
    </row>
    <row r="172" spans="4:19">
      <c r="D172" t="str">
        <f>'Audit Report'!B172</f>
        <v>ITD-SHRXXX-XX171</v>
      </c>
      <c r="E172" t="str">
        <f>'Audit Report'!C172</f>
        <v/>
      </c>
      <c r="I172" t="str">
        <f>'Audit Report'!E172</f>
        <v/>
      </c>
      <c r="J172" t="str">
        <f>'Audit Report'!G172</f>
        <v/>
      </c>
      <c r="L172" t="str">
        <f>_xlfn.TEXTJOIN(", ", FALSE, 'Audit Report'!J172,'Audit Report'!K172,'Audit Report'!L172)</f>
        <v xml:space="preserve">, , </v>
      </c>
      <c r="M172" t="str">
        <f>'Audit Report'!M172</f>
        <v/>
      </c>
      <c r="N172" t="str" cm="1">
        <f t="array" ref="N172">IF(M172="","",
_xlfn.TEXTJOIN(", ",TRUE,
    _xlfn.MAP(_xlfn.TEXTSPLIT(M172,","),_xlfn.LAMBDA(_xlpm.x,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2" t="e">
        <f>'Audit Report'!#REF!</f>
        <v>#REF!</v>
      </c>
      <c r="S172" t="str">
        <f>'Audit Report'!N172</f>
        <v/>
      </c>
    </row>
    <row r="173" spans="4:19">
      <c r="D173" t="str">
        <f>'Audit Report'!B173</f>
        <v>ITD-SHRXXX-XX172</v>
      </c>
      <c r="E173" t="str">
        <f>'Audit Report'!C173</f>
        <v/>
      </c>
      <c r="I173" t="str">
        <f>'Audit Report'!E173</f>
        <v/>
      </c>
      <c r="J173" t="str">
        <f>'Audit Report'!G173</f>
        <v/>
      </c>
      <c r="L173" t="str">
        <f>_xlfn.TEXTJOIN(", ", FALSE, 'Audit Report'!J173,'Audit Report'!K173,'Audit Report'!L173)</f>
        <v xml:space="preserve">, , </v>
      </c>
      <c r="M173" t="str">
        <f>'Audit Report'!M173</f>
        <v/>
      </c>
      <c r="N173" t="str" cm="1">
        <f t="array" ref="N173">IF(M173="","",
_xlfn.TEXTJOIN(", ",TRUE,
    _xlfn.MAP(_xlfn.TEXTSPLIT(M173,","),_xlfn.LAMBDA(_xlpm.x,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3" t="e">
        <f>'Audit Report'!#REF!</f>
        <v>#REF!</v>
      </c>
      <c r="S173" t="str">
        <f>'Audit Report'!N173</f>
        <v/>
      </c>
    </row>
    <row r="174" spans="4:19">
      <c r="D174" t="str">
        <f>'Audit Report'!B174</f>
        <v>ITD-SHRXXX-XX173</v>
      </c>
      <c r="E174" t="str">
        <f>'Audit Report'!C174</f>
        <v/>
      </c>
      <c r="I174" t="str">
        <f>'Audit Report'!E174</f>
        <v/>
      </c>
      <c r="J174" t="str">
        <f>'Audit Report'!G174</f>
        <v/>
      </c>
      <c r="L174" t="str">
        <f>_xlfn.TEXTJOIN(", ", FALSE, 'Audit Report'!J174,'Audit Report'!K174,'Audit Report'!L174)</f>
        <v xml:space="preserve">, , </v>
      </c>
      <c r="M174" t="str">
        <f>'Audit Report'!M174</f>
        <v/>
      </c>
      <c r="N174" t="str" cm="1">
        <f t="array" ref="N174">IF(M174="","",
_xlfn.TEXTJOIN(", ",TRUE,
    _xlfn.MAP(_xlfn.TEXTSPLIT(M174,","),_xlfn.LAMBDA(_xlpm.x,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4" t="e">
        <f>'Audit Report'!#REF!</f>
        <v>#REF!</v>
      </c>
      <c r="S174" t="str">
        <f>'Audit Report'!N174</f>
        <v/>
      </c>
    </row>
    <row r="175" spans="4:19">
      <c r="D175" t="str">
        <f>'Audit Report'!B175</f>
        <v>ITD-SHRXXX-XX174</v>
      </c>
      <c r="E175" t="str">
        <f>'Audit Report'!C175</f>
        <v/>
      </c>
      <c r="I175" t="str">
        <f>'Audit Report'!E175</f>
        <v/>
      </c>
      <c r="J175" t="str">
        <f>'Audit Report'!G175</f>
        <v/>
      </c>
      <c r="L175" t="str">
        <f>_xlfn.TEXTJOIN(", ", FALSE, 'Audit Report'!J175,'Audit Report'!K175,'Audit Report'!L175)</f>
        <v xml:space="preserve">, , </v>
      </c>
      <c r="M175" t="str">
        <f>'Audit Report'!M175</f>
        <v/>
      </c>
      <c r="N175" t="str" cm="1">
        <f t="array" ref="N175">IF(M175="","",
_xlfn.TEXTJOIN(", ",TRUE,
    _xlfn.MAP(_xlfn.TEXTSPLIT(M175,","),_xlfn.LAMBDA(_xlpm.x,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5" t="e">
        <f>'Audit Report'!#REF!</f>
        <v>#REF!</v>
      </c>
      <c r="S175" t="str">
        <f>'Audit Report'!N175</f>
        <v/>
      </c>
    </row>
    <row r="176" spans="4:19">
      <c r="D176" t="str">
        <f>'Audit Report'!B176</f>
        <v>ITD-SHRXXX-XX175</v>
      </c>
      <c r="E176" t="str">
        <f>'Audit Report'!C176</f>
        <v/>
      </c>
      <c r="I176" t="str">
        <f>'Audit Report'!E176</f>
        <v/>
      </c>
      <c r="J176" t="str">
        <f>'Audit Report'!G176</f>
        <v/>
      </c>
      <c r="L176" t="str">
        <f>_xlfn.TEXTJOIN(", ", FALSE, 'Audit Report'!J176,'Audit Report'!K176,'Audit Report'!L176)</f>
        <v xml:space="preserve">, , </v>
      </c>
      <c r="M176" t="str">
        <f>'Audit Report'!M176</f>
        <v/>
      </c>
      <c r="N176" t="str" cm="1">
        <f t="array" ref="N176">IF(M176="","",
_xlfn.TEXTJOIN(", ",TRUE,
    _xlfn.MAP(_xlfn.TEXTSPLIT(M176,","),_xlfn.LAMBDA(_xlpm.x,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6" t="e">
        <f>'Audit Report'!#REF!</f>
        <v>#REF!</v>
      </c>
      <c r="S176" t="str">
        <f>'Audit Report'!N176</f>
        <v/>
      </c>
    </row>
    <row r="177" spans="4:19">
      <c r="D177" t="str">
        <f>'Audit Report'!B177</f>
        <v>ITD-SHRXXX-XX176</v>
      </c>
      <c r="E177" t="str">
        <f>'Audit Report'!C177</f>
        <v/>
      </c>
      <c r="I177" t="str">
        <f>'Audit Report'!E177</f>
        <v/>
      </c>
      <c r="J177" t="str">
        <f>'Audit Report'!G177</f>
        <v/>
      </c>
      <c r="L177" t="str">
        <f>_xlfn.TEXTJOIN(", ", FALSE, 'Audit Report'!J177,'Audit Report'!K177,'Audit Report'!L177)</f>
        <v xml:space="preserve">, , </v>
      </c>
      <c r="M177" t="str">
        <f>'Audit Report'!M177</f>
        <v/>
      </c>
      <c r="N177" t="str" cm="1">
        <f t="array" ref="N177">IF(M177="","",
_xlfn.TEXTJOIN(", ",TRUE,
    _xlfn.MAP(_xlfn.TEXTSPLIT(M177,","),_xlfn.LAMBDA(_xlpm.x,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7" t="e">
        <f>'Audit Report'!#REF!</f>
        <v>#REF!</v>
      </c>
      <c r="S177" t="str">
        <f>'Audit Report'!N177</f>
        <v/>
      </c>
    </row>
    <row r="178" spans="4:19">
      <c r="D178" t="str">
        <f>'Audit Report'!B178</f>
        <v>ITD-SHRXXX-XX177</v>
      </c>
      <c r="E178" t="str">
        <f>'Audit Report'!C178</f>
        <v/>
      </c>
      <c r="I178" t="str">
        <f>'Audit Report'!E178</f>
        <v/>
      </c>
      <c r="J178" t="str">
        <f>'Audit Report'!G178</f>
        <v/>
      </c>
      <c r="L178" t="str">
        <f>_xlfn.TEXTJOIN(", ", FALSE, 'Audit Report'!J178,'Audit Report'!K178,'Audit Report'!L178)</f>
        <v xml:space="preserve">, , </v>
      </c>
      <c r="M178" t="str">
        <f>'Audit Report'!M178</f>
        <v/>
      </c>
      <c r="N178" t="str" cm="1">
        <f t="array" ref="N178">IF(M178="","",
_xlfn.TEXTJOIN(", ",TRUE,
    _xlfn.MAP(_xlfn.TEXTSPLIT(M178,","),_xlfn.LAMBDA(_xlpm.x,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8" t="e">
        <f>'Audit Report'!#REF!</f>
        <v>#REF!</v>
      </c>
      <c r="S178" t="str">
        <f>'Audit Report'!N178</f>
        <v/>
      </c>
    </row>
    <row r="179" spans="4:19">
      <c r="D179" t="str">
        <f>'Audit Report'!B179</f>
        <v>ITD-SHRXXX-XX178</v>
      </c>
      <c r="E179" t="str">
        <f>'Audit Report'!C179</f>
        <v/>
      </c>
      <c r="I179" t="str">
        <f>'Audit Report'!E179</f>
        <v/>
      </c>
      <c r="J179" t="str">
        <f>'Audit Report'!G179</f>
        <v/>
      </c>
      <c r="L179" t="str">
        <f>_xlfn.TEXTJOIN(", ", FALSE, 'Audit Report'!J179,'Audit Report'!K179,'Audit Report'!L179)</f>
        <v xml:space="preserve">, , </v>
      </c>
      <c r="M179" t="str">
        <f>'Audit Report'!M179</f>
        <v/>
      </c>
      <c r="N179" t="str" cm="1">
        <f t="array" ref="N179">IF(M179="","",
_xlfn.TEXTJOIN(", ",TRUE,
    _xlfn.MAP(_xlfn.TEXTSPLIT(M179,","),_xlfn.LAMBDA(_xlpm.x,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9" t="e">
        <f>'Audit Report'!#REF!</f>
        <v>#REF!</v>
      </c>
      <c r="S179" t="str">
        <f>'Audit Report'!N179</f>
        <v/>
      </c>
    </row>
    <row r="180" spans="4:19">
      <c r="D180" t="str">
        <f>'Audit Report'!B180</f>
        <v>ITD-SHRXXX-XX179</v>
      </c>
      <c r="E180" t="str">
        <f>'Audit Report'!C180</f>
        <v/>
      </c>
      <c r="I180" t="str">
        <f>'Audit Report'!E180</f>
        <v/>
      </c>
      <c r="J180" t="str">
        <f>'Audit Report'!G180</f>
        <v/>
      </c>
      <c r="L180" t="str">
        <f>_xlfn.TEXTJOIN(", ", FALSE, 'Audit Report'!J180,'Audit Report'!K180,'Audit Report'!L180)</f>
        <v xml:space="preserve">, , </v>
      </c>
      <c r="M180" t="str">
        <f>'Audit Report'!M180</f>
        <v/>
      </c>
      <c r="N180" t="str" cm="1">
        <f t="array" ref="N180">IF(M180="","",
_xlfn.TEXTJOIN(", ",TRUE,
    _xlfn.MAP(_xlfn.TEXTSPLIT(M180,","),_xlfn.LAMBDA(_xlpm.x,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0" t="e">
        <f>'Audit Report'!#REF!</f>
        <v>#REF!</v>
      </c>
      <c r="S180" t="str">
        <f>'Audit Report'!N180</f>
        <v/>
      </c>
    </row>
    <row r="181" spans="4:19">
      <c r="D181" t="str">
        <f>'Audit Report'!B181</f>
        <v>ITD-SHRXXX-XX180</v>
      </c>
      <c r="E181" t="str">
        <f>'Audit Report'!C181</f>
        <v/>
      </c>
      <c r="I181" t="str">
        <f>'Audit Report'!E181</f>
        <v/>
      </c>
      <c r="J181" t="str">
        <f>'Audit Report'!G181</f>
        <v/>
      </c>
      <c r="L181" t="str">
        <f>_xlfn.TEXTJOIN(", ", FALSE, 'Audit Report'!J181,'Audit Report'!K181,'Audit Report'!L181)</f>
        <v xml:space="preserve">, , </v>
      </c>
      <c r="M181" t="str">
        <f>'Audit Report'!M181</f>
        <v/>
      </c>
      <c r="N181" t="str" cm="1">
        <f t="array" ref="N181">IF(M181="","",
_xlfn.TEXTJOIN(", ",TRUE,
    _xlfn.MAP(_xlfn.TEXTSPLIT(M181,","),_xlfn.LAMBDA(_xlpm.x,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1" t="e">
        <f>'Audit Report'!#REF!</f>
        <v>#REF!</v>
      </c>
      <c r="S181" t="str">
        <f>'Audit Report'!N181</f>
        <v/>
      </c>
    </row>
    <row r="182" spans="4:19">
      <c r="D182" t="str">
        <f>'Audit Report'!B182</f>
        <v>ITD-SHRXXX-XX181</v>
      </c>
      <c r="E182" t="str">
        <f>'Audit Report'!C182</f>
        <v/>
      </c>
      <c r="I182" t="str">
        <f>'Audit Report'!E182</f>
        <v/>
      </c>
      <c r="J182" t="str">
        <f>'Audit Report'!G182</f>
        <v/>
      </c>
      <c r="L182" t="str">
        <f>_xlfn.TEXTJOIN(", ", FALSE, 'Audit Report'!J182,'Audit Report'!K182,'Audit Report'!L182)</f>
        <v xml:space="preserve">, , </v>
      </c>
      <c r="M182" t="str">
        <f>'Audit Report'!M182</f>
        <v/>
      </c>
      <c r="N182" t="str" cm="1">
        <f t="array" ref="N182">IF(M182="","",
_xlfn.TEXTJOIN(", ",TRUE,
    _xlfn.MAP(_xlfn.TEXTSPLIT(M182,","),_xlfn.LAMBDA(_xlpm.x,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2" t="e">
        <f>'Audit Report'!#REF!</f>
        <v>#REF!</v>
      </c>
      <c r="S182" t="str">
        <f>'Audit Report'!N182</f>
        <v/>
      </c>
    </row>
    <row r="183" spans="4:19">
      <c r="D183" t="str">
        <f>'Audit Report'!B183</f>
        <v>ITD-SHRXXX-XX182</v>
      </c>
      <c r="E183" t="str">
        <f>'Audit Report'!C183</f>
        <v/>
      </c>
      <c r="I183" t="str">
        <f>'Audit Report'!E183</f>
        <v/>
      </c>
      <c r="J183" t="str">
        <f>'Audit Report'!G183</f>
        <v/>
      </c>
      <c r="L183" t="str">
        <f>_xlfn.TEXTJOIN(", ", FALSE, 'Audit Report'!J183,'Audit Report'!K183,'Audit Report'!L183)</f>
        <v xml:space="preserve">, , </v>
      </c>
      <c r="M183" t="str">
        <f>'Audit Report'!M183</f>
        <v/>
      </c>
      <c r="N183" t="str" cm="1">
        <f t="array" ref="N183">IF(M183="","",
_xlfn.TEXTJOIN(", ",TRUE,
    _xlfn.MAP(_xlfn.TEXTSPLIT(M183,","),_xlfn.LAMBDA(_xlpm.x,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3" t="e">
        <f>'Audit Report'!#REF!</f>
        <v>#REF!</v>
      </c>
      <c r="S183" t="str">
        <f>'Audit Report'!N183</f>
        <v/>
      </c>
    </row>
    <row r="184" spans="4:19">
      <c r="D184" t="str">
        <f>'Audit Report'!B184</f>
        <v>ITD-SHRXXX-XX183</v>
      </c>
      <c r="E184" t="str">
        <f>'Audit Report'!C184</f>
        <v/>
      </c>
      <c r="I184" t="str">
        <f>'Audit Report'!E184</f>
        <v/>
      </c>
      <c r="J184" t="str">
        <f>'Audit Report'!G184</f>
        <v/>
      </c>
      <c r="L184" t="str">
        <f>_xlfn.TEXTJOIN(", ", FALSE, 'Audit Report'!J184,'Audit Report'!K184,'Audit Report'!L184)</f>
        <v xml:space="preserve">, , </v>
      </c>
      <c r="M184" t="str">
        <f>'Audit Report'!M184</f>
        <v/>
      </c>
      <c r="N184" t="str" cm="1">
        <f t="array" ref="N184">IF(M184="","",
_xlfn.TEXTJOIN(", ",TRUE,
    _xlfn.MAP(_xlfn.TEXTSPLIT(M184,","),_xlfn.LAMBDA(_xlpm.x,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4" t="e">
        <f>'Audit Report'!#REF!</f>
        <v>#REF!</v>
      </c>
      <c r="S184" t="str">
        <f>'Audit Report'!N184</f>
        <v/>
      </c>
    </row>
    <row r="185" spans="4:19">
      <c r="D185" t="str">
        <f>'Audit Report'!B185</f>
        <v>ITD-SHRXXX-XX184</v>
      </c>
      <c r="E185" t="str">
        <f>'Audit Report'!C185</f>
        <v/>
      </c>
      <c r="I185" t="str">
        <f>'Audit Report'!E185</f>
        <v/>
      </c>
      <c r="J185" t="str">
        <f>'Audit Report'!G185</f>
        <v/>
      </c>
      <c r="L185" t="str">
        <f>_xlfn.TEXTJOIN(", ", FALSE, 'Audit Report'!J185,'Audit Report'!K185,'Audit Report'!L185)</f>
        <v xml:space="preserve">, , </v>
      </c>
      <c r="M185" t="str">
        <f>'Audit Report'!M185</f>
        <v/>
      </c>
      <c r="N185" t="str" cm="1">
        <f t="array" ref="N185">IF(M185="","",
_xlfn.TEXTJOIN(", ",TRUE,
    _xlfn.MAP(_xlfn.TEXTSPLIT(M185,","),_xlfn.LAMBDA(_xlpm.x,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5" t="e">
        <f>'Audit Report'!#REF!</f>
        <v>#REF!</v>
      </c>
      <c r="S185" t="str">
        <f>'Audit Report'!N185</f>
        <v/>
      </c>
    </row>
    <row r="186" spans="4:19">
      <c r="D186" t="str">
        <f>'Audit Report'!B186</f>
        <v>ITD-SHRXXX-XX185</v>
      </c>
      <c r="E186" t="str">
        <f>'Audit Report'!C186</f>
        <v/>
      </c>
      <c r="I186" t="str">
        <f>'Audit Report'!E186</f>
        <v/>
      </c>
      <c r="J186" t="str">
        <f>'Audit Report'!G186</f>
        <v/>
      </c>
      <c r="L186" t="str">
        <f>_xlfn.TEXTJOIN(", ", FALSE, 'Audit Report'!J186,'Audit Report'!K186,'Audit Report'!L186)</f>
        <v xml:space="preserve">, , </v>
      </c>
      <c r="M186" t="str">
        <f>'Audit Report'!M186</f>
        <v/>
      </c>
      <c r="N186" t="str" cm="1">
        <f t="array" ref="N186">IF(M186="","",
_xlfn.TEXTJOIN(", ",TRUE,
    _xlfn.MAP(_xlfn.TEXTSPLIT(M186,","),_xlfn.LAMBDA(_xlpm.x,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6" t="e">
        <f>'Audit Report'!#REF!</f>
        <v>#REF!</v>
      </c>
      <c r="S186" t="str">
        <f>'Audit Report'!N186</f>
        <v/>
      </c>
    </row>
    <row r="187" spans="4:19">
      <c r="D187" t="str">
        <f>'Audit Report'!B187</f>
        <v>ITD-SHRXXX-XX186</v>
      </c>
      <c r="E187" t="str">
        <f>'Audit Report'!C187</f>
        <v/>
      </c>
      <c r="I187" t="str">
        <f>'Audit Report'!E187</f>
        <v/>
      </c>
      <c r="J187" t="str">
        <f>'Audit Report'!G187</f>
        <v/>
      </c>
      <c r="L187" t="str">
        <f>_xlfn.TEXTJOIN(", ", FALSE, 'Audit Report'!J187,'Audit Report'!K187,'Audit Report'!L187)</f>
        <v xml:space="preserve">, , </v>
      </c>
      <c r="M187" t="str">
        <f>'Audit Report'!M187</f>
        <v/>
      </c>
      <c r="N187" t="str" cm="1">
        <f t="array" ref="N187">IF(M187="","",
_xlfn.TEXTJOIN(", ",TRUE,
    _xlfn.MAP(_xlfn.TEXTSPLIT(M187,","),_xlfn.LAMBDA(_xlpm.x,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7" t="e">
        <f>'Audit Report'!#REF!</f>
        <v>#REF!</v>
      </c>
      <c r="S187" t="str">
        <f>'Audit Report'!N187</f>
        <v/>
      </c>
    </row>
    <row r="188" spans="4:19">
      <c r="D188" t="str">
        <f>'Audit Report'!B188</f>
        <v>ITD-SHRXXX-XX187</v>
      </c>
      <c r="E188" t="str">
        <f>'Audit Report'!C188</f>
        <v/>
      </c>
      <c r="I188" t="str">
        <f>'Audit Report'!E188</f>
        <v/>
      </c>
      <c r="J188" t="str">
        <f>'Audit Report'!G188</f>
        <v/>
      </c>
      <c r="L188" t="str">
        <f>_xlfn.TEXTJOIN(", ", FALSE, 'Audit Report'!J188,'Audit Report'!K188,'Audit Report'!L188)</f>
        <v xml:space="preserve">, , </v>
      </c>
      <c r="M188" t="str">
        <f>'Audit Report'!M188</f>
        <v/>
      </c>
      <c r="N188" t="str" cm="1">
        <f t="array" ref="N188">IF(M188="","",
_xlfn.TEXTJOIN(", ",TRUE,
    _xlfn.MAP(_xlfn.TEXTSPLIT(M188,","),_xlfn.LAMBDA(_xlpm.x,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8" t="e">
        <f>'Audit Report'!#REF!</f>
        <v>#REF!</v>
      </c>
      <c r="S188" t="str">
        <f>'Audit Report'!N188</f>
        <v/>
      </c>
    </row>
    <row r="189" spans="4:19">
      <c r="D189" t="str">
        <f>'Audit Report'!B189</f>
        <v>ITD-SHRXXX-XX188</v>
      </c>
      <c r="E189" t="str">
        <f>'Audit Report'!C189</f>
        <v/>
      </c>
      <c r="I189" t="str">
        <f>'Audit Report'!E189</f>
        <v/>
      </c>
      <c r="J189" t="str">
        <f>'Audit Report'!G189</f>
        <v/>
      </c>
      <c r="L189" t="str">
        <f>_xlfn.TEXTJOIN(", ", FALSE, 'Audit Report'!J189,'Audit Report'!K189,'Audit Report'!L189)</f>
        <v xml:space="preserve">, , </v>
      </c>
      <c r="M189" t="str">
        <f>'Audit Report'!M189</f>
        <v/>
      </c>
      <c r="N189" t="str" cm="1">
        <f t="array" ref="N189">IF(M189="","",
_xlfn.TEXTJOIN(", ",TRUE,
    _xlfn.MAP(_xlfn.TEXTSPLIT(M189,","),_xlfn.LAMBDA(_xlpm.x,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9" t="e">
        <f>'Audit Report'!#REF!</f>
        <v>#REF!</v>
      </c>
      <c r="S189" t="str">
        <f>'Audit Report'!N189</f>
        <v/>
      </c>
    </row>
    <row r="190" spans="4:19">
      <c r="D190" t="str">
        <f>'Audit Report'!B190</f>
        <v>ITD-SHRXXX-XX189</v>
      </c>
      <c r="E190" t="str">
        <f>'Audit Report'!C190</f>
        <v/>
      </c>
      <c r="I190" t="str">
        <f>'Audit Report'!E190</f>
        <v/>
      </c>
      <c r="J190" t="str">
        <f>'Audit Report'!G190</f>
        <v/>
      </c>
      <c r="L190" t="str">
        <f>_xlfn.TEXTJOIN(", ", FALSE, 'Audit Report'!J190,'Audit Report'!K190,'Audit Report'!L190)</f>
        <v xml:space="preserve">, , </v>
      </c>
      <c r="M190" t="str">
        <f>'Audit Report'!M190</f>
        <v/>
      </c>
      <c r="N190" t="str" cm="1">
        <f t="array" ref="N190">IF(M190="","",
_xlfn.TEXTJOIN(", ",TRUE,
    _xlfn.MAP(_xlfn.TEXTSPLIT(M190,","),_xlfn.LAMBDA(_xlpm.x,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0" t="e">
        <f>'Audit Report'!#REF!</f>
        <v>#REF!</v>
      </c>
      <c r="S190" t="str">
        <f>'Audit Report'!N190</f>
        <v/>
      </c>
    </row>
    <row r="191" spans="4:19">
      <c r="D191" t="str">
        <f>'Audit Report'!B191</f>
        <v>ITD-SHRXXX-XX190</v>
      </c>
      <c r="E191" t="str">
        <f>'Audit Report'!C191</f>
        <v/>
      </c>
      <c r="I191" t="str">
        <f>'Audit Report'!E191</f>
        <v/>
      </c>
      <c r="J191" t="str">
        <f>'Audit Report'!G191</f>
        <v/>
      </c>
      <c r="L191" t="str">
        <f>_xlfn.TEXTJOIN(", ", FALSE, 'Audit Report'!J191,'Audit Report'!K191,'Audit Report'!L191)</f>
        <v xml:space="preserve">, , </v>
      </c>
      <c r="M191" t="str">
        <f>'Audit Report'!M191</f>
        <v/>
      </c>
      <c r="N191" t="str" cm="1">
        <f t="array" ref="N191">IF(M191="","",
_xlfn.TEXTJOIN(", ",TRUE,
    _xlfn.MAP(_xlfn.TEXTSPLIT(M191,","),_xlfn.LAMBDA(_xlpm.x,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1" t="e">
        <f>'Audit Report'!#REF!</f>
        <v>#REF!</v>
      </c>
      <c r="S191" t="str">
        <f>'Audit Report'!N191</f>
        <v/>
      </c>
    </row>
    <row r="192" spans="4:19">
      <c r="D192" t="str">
        <f>'Audit Report'!B192</f>
        <v>ITD-SHRXXX-XX191</v>
      </c>
      <c r="E192" t="str">
        <f>'Audit Report'!C192</f>
        <v/>
      </c>
      <c r="I192" t="str">
        <f>'Audit Report'!E192</f>
        <v/>
      </c>
      <c r="J192" t="str">
        <f>'Audit Report'!G192</f>
        <v/>
      </c>
      <c r="L192" t="str">
        <f>_xlfn.TEXTJOIN(", ", FALSE, 'Audit Report'!J192,'Audit Report'!K192,'Audit Report'!L192)</f>
        <v xml:space="preserve">, , </v>
      </c>
      <c r="M192" t="str">
        <f>'Audit Report'!M192</f>
        <v/>
      </c>
      <c r="N192" t="str" cm="1">
        <f t="array" ref="N192">IF(M192="","",
_xlfn.TEXTJOIN(", ",TRUE,
    _xlfn.MAP(_xlfn.TEXTSPLIT(M192,","),_xlfn.LAMBDA(_xlpm.x,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2" t="e">
        <f>'Audit Report'!#REF!</f>
        <v>#REF!</v>
      </c>
      <c r="S192" t="str">
        <f>'Audit Report'!N192</f>
        <v/>
      </c>
    </row>
    <row r="193" spans="4:19">
      <c r="D193" t="str">
        <f>'Audit Report'!B193</f>
        <v>ITD-SHRXXX-XX192</v>
      </c>
      <c r="E193" t="str">
        <f>'Audit Report'!C193</f>
        <v/>
      </c>
      <c r="I193" t="str">
        <f>'Audit Report'!E193</f>
        <v/>
      </c>
      <c r="J193" t="str">
        <f>'Audit Report'!G193</f>
        <v/>
      </c>
      <c r="L193" t="str">
        <f>_xlfn.TEXTJOIN(", ", FALSE, 'Audit Report'!J193,'Audit Report'!K193,'Audit Report'!L193)</f>
        <v xml:space="preserve">, , </v>
      </c>
      <c r="M193" t="str">
        <f>'Audit Report'!M193</f>
        <v/>
      </c>
      <c r="N193" t="str" cm="1">
        <f t="array" ref="N193">IF(M193="","",
_xlfn.TEXTJOIN(", ",TRUE,
    _xlfn.MAP(_xlfn.TEXTSPLIT(M193,","),_xlfn.LAMBDA(_xlpm.x,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3" t="e">
        <f>'Audit Report'!#REF!</f>
        <v>#REF!</v>
      </c>
      <c r="S193" t="str">
        <f>'Audit Report'!N193</f>
        <v/>
      </c>
    </row>
    <row r="194" spans="4:19">
      <c r="D194" t="str">
        <f>'Audit Report'!B194</f>
        <v>ITD-SHRXXX-XX193</v>
      </c>
      <c r="E194" t="str">
        <f>'Audit Report'!C194</f>
        <v/>
      </c>
      <c r="I194" t="str">
        <f>'Audit Report'!E194</f>
        <v/>
      </c>
      <c r="J194" t="str">
        <f>'Audit Report'!G194</f>
        <v/>
      </c>
      <c r="L194" t="str">
        <f>_xlfn.TEXTJOIN(", ", FALSE, 'Audit Report'!J194,'Audit Report'!K194,'Audit Report'!L194)</f>
        <v xml:space="preserve">, , </v>
      </c>
      <c r="M194" t="str">
        <f>'Audit Report'!M194</f>
        <v/>
      </c>
      <c r="N194" t="str" cm="1">
        <f t="array" ref="N194">IF(M194="","",
_xlfn.TEXTJOIN(", ",TRUE,
    _xlfn.MAP(_xlfn.TEXTSPLIT(M194,","),_xlfn.LAMBDA(_xlpm.x,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4" t="e">
        <f>'Audit Report'!#REF!</f>
        <v>#REF!</v>
      </c>
      <c r="S194" t="str">
        <f>'Audit Report'!N194</f>
        <v/>
      </c>
    </row>
    <row r="195" spans="4:19">
      <c r="D195" t="str">
        <f>'Audit Report'!B195</f>
        <v>ITD-SHRXXX-XX194</v>
      </c>
      <c r="E195" t="str">
        <f>'Audit Report'!C195</f>
        <v/>
      </c>
      <c r="I195" t="str">
        <f>'Audit Report'!E195</f>
        <v/>
      </c>
      <c r="J195" t="str">
        <f>'Audit Report'!G195</f>
        <v/>
      </c>
      <c r="L195" t="str">
        <f>_xlfn.TEXTJOIN(", ", FALSE, 'Audit Report'!J195,'Audit Report'!K195,'Audit Report'!L195)</f>
        <v xml:space="preserve">, , </v>
      </c>
      <c r="M195" t="str">
        <f>'Audit Report'!M195</f>
        <v/>
      </c>
      <c r="N195" t="str" cm="1">
        <f t="array" ref="N195">IF(M195="","",
_xlfn.TEXTJOIN(", ",TRUE,
    _xlfn.MAP(_xlfn.TEXTSPLIT(M195,","),_xlfn.LAMBDA(_xlpm.x,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5" t="e">
        <f>'Audit Report'!#REF!</f>
        <v>#REF!</v>
      </c>
      <c r="S195" t="str">
        <f>'Audit Report'!N195</f>
        <v/>
      </c>
    </row>
    <row r="196" spans="4:19">
      <c r="D196" t="str">
        <f>'Audit Report'!B196</f>
        <v>ITD-SHRXXX-XX195</v>
      </c>
      <c r="E196" t="str">
        <f>'Audit Report'!C196</f>
        <v/>
      </c>
      <c r="I196" t="str">
        <f>'Audit Report'!E196</f>
        <v/>
      </c>
      <c r="J196" t="str">
        <f>'Audit Report'!G196</f>
        <v/>
      </c>
      <c r="L196" t="str">
        <f>_xlfn.TEXTJOIN(", ", FALSE, 'Audit Report'!J196,'Audit Report'!K196,'Audit Report'!L196)</f>
        <v xml:space="preserve">, , </v>
      </c>
      <c r="M196" t="str">
        <f>'Audit Report'!M196</f>
        <v/>
      </c>
      <c r="N196" t="str" cm="1">
        <f t="array" ref="N196">IF(M196="","",
_xlfn.TEXTJOIN(", ",TRUE,
    _xlfn.MAP(_xlfn.TEXTSPLIT(M196,","),_xlfn.LAMBDA(_xlpm.x,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6" t="e">
        <f>'Audit Report'!#REF!</f>
        <v>#REF!</v>
      </c>
      <c r="S196" t="str">
        <f>'Audit Report'!N196</f>
        <v/>
      </c>
    </row>
    <row r="197" spans="4:19">
      <c r="D197" t="str">
        <f>'Audit Report'!B197</f>
        <v>ITD-SHRXXX-XX196</v>
      </c>
      <c r="E197" t="str">
        <f>'Audit Report'!C197</f>
        <v/>
      </c>
      <c r="I197" t="str">
        <f>'Audit Report'!E197</f>
        <v/>
      </c>
      <c r="J197" t="str">
        <f>'Audit Report'!G197</f>
        <v/>
      </c>
      <c r="L197" t="str">
        <f>_xlfn.TEXTJOIN(", ", FALSE, 'Audit Report'!J197,'Audit Report'!K197,'Audit Report'!L197)</f>
        <v xml:space="preserve">, , </v>
      </c>
      <c r="M197" t="str">
        <f>'Audit Report'!M197</f>
        <v/>
      </c>
      <c r="N197" t="str" cm="1">
        <f t="array" ref="N197">IF(M197="","",
_xlfn.TEXTJOIN(", ",TRUE,
    _xlfn.MAP(_xlfn.TEXTSPLIT(M197,","),_xlfn.LAMBDA(_xlpm.x,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7" t="e">
        <f>'Audit Report'!#REF!</f>
        <v>#REF!</v>
      </c>
      <c r="S197" t="str">
        <f>'Audit Report'!N197</f>
        <v/>
      </c>
    </row>
    <row r="198" spans="4:19">
      <c r="D198" t="str">
        <f>'Audit Report'!B198</f>
        <v>ITD-SHRXXX-XX197</v>
      </c>
      <c r="E198" t="str">
        <f>'Audit Report'!C198</f>
        <v/>
      </c>
      <c r="I198" t="str">
        <f>'Audit Report'!E198</f>
        <v/>
      </c>
      <c r="J198" t="str">
        <f>'Audit Report'!G198</f>
        <v/>
      </c>
      <c r="L198" t="str">
        <f>_xlfn.TEXTJOIN(", ", FALSE, 'Audit Report'!J198,'Audit Report'!K198,'Audit Report'!L198)</f>
        <v xml:space="preserve">, , </v>
      </c>
      <c r="M198" t="str">
        <f>'Audit Report'!M198</f>
        <v/>
      </c>
      <c r="N198" t="str" cm="1">
        <f t="array" ref="N198">IF(M198="","",
_xlfn.TEXTJOIN(", ",TRUE,
    _xlfn.MAP(_xlfn.TEXTSPLIT(M198,","),_xlfn.LAMBDA(_xlpm.x,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8" t="e">
        <f>'Audit Report'!#REF!</f>
        <v>#REF!</v>
      </c>
      <c r="S198" t="str">
        <f>'Audit Report'!N198</f>
        <v/>
      </c>
    </row>
    <row r="199" spans="4:19">
      <c r="D199" t="str">
        <f>'Audit Report'!B199</f>
        <v>ITD-SHRXXX-XX198</v>
      </c>
      <c r="E199" t="str">
        <f>'Audit Report'!C199</f>
        <v/>
      </c>
      <c r="I199" t="str">
        <f>'Audit Report'!E199</f>
        <v/>
      </c>
      <c r="J199" t="str">
        <f>'Audit Report'!G199</f>
        <v/>
      </c>
      <c r="L199" t="str">
        <f>_xlfn.TEXTJOIN(", ", FALSE, 'Audit Report'!J199,'Audit Report'!K199,'Audit Report'!L199)</f>
        <v xml:space="preserve">, , </v>
      </c>
      <c r="M199" t="str">
        <f>'Audit Report'!M199</f>
        <v/>
      </c>
      <c r="N199" t="str" cm="1">
        <f t="array" ref="N199">IF(M199="","",
_xlfn.TEXTJOIN(", ",TRUE,
    _xlfn.MAP(_xlfn.TEXTSPLIT(M199,","),_xlfn.LAMBDA(_xlpm.x,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9" t="e">
        <f>'Audit Report'!#REF!</f>
        <v>#REF!</v>
      </c>
      <c r="S199" t="str">
        <f>'Audit Report'!N199</f>
        <v/>
      </c>
    </row>
    <row r="200" spans="4:19">
      <c r="D200" t="str">
        <f>'Audit Report'!B200</f>
        <v>ITD-SHRXXX-XX199</v>
      </c>
      <c r="E200" t="str">
        <f>'Audit Report'!C200</f>
        <v/>
      </c>
      <c r="I200" t="str">
        <f>'Audit Report'!E200</f>
        <v/>
      </c>
      <c r="J200" t="str">
        <f>'Audit Report'!G200</f>
        <v/>
      </c>
      <c r="L200" t="str">
        <f>_xlfn.TEXTJOIN(", ", FALSE, 'Audit Report'!J200,'Audit Report'!K200,'Audit Report'!L200)</f>
        <v xml:space="preserve">, , </v>
      </c>
      <c r="M200" t="str">
        <f>'Audit Report'!M200</f>
        <v/>
      </c>
      <c r="N200" t="str" cm="1">
        <f t="array" ref="N200">IF(M200="","",
_xlfn.TEXTJOIN(", ",TRUE,
    _xlfn.MAP(_xlfn.TEXTSPLIT(M200,","),_xlfn.LAMBDA(_xlpm.x,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0" t="e">
        <f>'Audit Report'!#REF!</f>
        <v>#REF!</v>
      </c>
      <c r="S200" t="str">
        <f>'Audit Report'!N200</f>
        <v/>
      </c>
    </row>
    <row r="201" spans="4:19">
      <c r="D201" t="str">
        <f>'Audit Report'!B201</f>
        <v>ITD-SHRXXX-XX200</v>
      </c>
      <c r="E201" t="str">
        <f>'Audit Report'!C201</f>
        <v/>
      </c>
      <c r="I201" t="str">
        <f>'Audit Report'!E201</f>
        <v/>
      </c>
      <c r="J201" t="str">
        <f>'Audit Report'!G201</f>
        <v/>
      </c>
      <c r="L201" t="str">
        <f>_xlfn.TEXTJOIN(", ", FALSE, 'Audit Report'!J201,'Audit Report'!K201,'Audit Report'!L201)</f>
        <v xml:space="preserve">, , </v>
      </c>
      <c r="M201" t="str">
        <f>'Audit Report'!M201</f>
        <v/>
      </c>
      <c r="N201" t="str" cm="1">
        <f t="array" ref="N201">IF(M201="","",
_xlfn.TEXTJOIN(", ",TRUE,
    _xlfn.MAP(_xlfn.TEXTSPLIT(M201,","),_xlfn.LAMBDA(_xlpm.x,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1" t="e">
        <f>'Audit Report'!#REF!</f>
        <v>#REF!</v>
      </c>
      <c r="S201" t="str">
        <f>'Audit Report'!N201</f>
        <v/>
      </c>
    </row>
    <row r="202" spans="4:19">
      <c r="D202" t="str">
        <f>'Audit Report'!B202</f>
        <v>ITD-SHRXXX-XX201</v>
      </c>
      <c r="E202" t="str">
        <f>'Audit Report'!C202</f>
        <v/>
      </c>
      <c r="I202" t="str">
        <f>'Audit Report'!E202</f>
        <v/>
      </c>
      <c r="J202" t="str">
        <f>'Audit Report'!G202</f>
        <v/>
      </c>
      <c r="L202" t="str">
        <f>_xlfn.TEXTJOIN(", ", FALSE, 'Audit Report'!J202,'Audit Report'!K202,'Audit Report'!L202)</f>
        <v xml:space="preserve">, , </v>
      </c>
      <c r="M202" t="str">
        <f>'Audit Report'!M202</f>
        <v/>
      </c>
      <c r="N202" t="str" cm="1">
        <f t="array" ref="N202">IF(M202="","",
_xlfn.TEXTJOIN(", ",TRUE,
    _xlfn.MAP(_xlfn.TEXTSPLIT(M202,","),_xlfn.LAMBDA(_xlpm.x,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2" t="e">
        <f>'Audit Report'!#REF!</f>
        <v>#REF!</v>
      </c>
      <c r="S202" t="str">
        <f>'Audit Report'!N202</f>
        <v/>
      </c>
    </row>
    <row r="203" spans="4:19">
      <c r="D203" t="str">
        <f>'Audit Report'!B203</f>
        <v>ITD-SHRXXX-XX202</v>
      </c>
      <c r="E203" t="str">
        <f>'Audit Report'!C203</f>
        <v/>
      </c>
      <c r="I203" t="str">
        <f>'Audit Report'!E203</f>
        <v/>
      </c>
      <c r="J203" t="str">
        <f>'Audit Report'!G203</f>
        <v/>
      </c>
      <c r="L203" t="str">
        <f>_xlfn.TEXTJOIN(", ", FALSE, 'Audit Report'!J203,'Audit Report'!K203,'Audit Report'!L203)</f>
        <v xml:space="preserve">, , </v>
      </c>
      <c r="M203" t="str">
        <f>'Audit Report'!M203</f>
        <v/>
      </c>
      <c r="N203" t="str" cm="1">
        <f t="array" ref="N203">IF(M203="","",
_xlfn.TEXTJOIN(", ",TRUE,
    _xlfn.MAP(_xlfn.TEXTSPLIT(M203,","),_xlfn.LAMBDA(_xlpm.x,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3" t="e">
        <f>'Audit Report'!#REF!</f>
        <v>#REF!</v>
      </c>
      <c r="S203" t="str">
        <f>'Audit Report'!N203</f>
        <v/>
      </c>
    </row>
    <row r="204" spans="4:19">
      <c r="D204" t="str">
        <f>'Audit Report'!B204</f>
        <v>ITD-SHRXXX-XX203</v>
      </c>
      <c r="E204" t="str">
        <f>'Audit Report'!C204</f>
        <v/>
      </c>
      <c r="I204" t="str">
        <f>'Audit Report'!E204</f>
        <v/>
      </c>
      <c r="J204" t="str">
        <f>'Audit Report'!G204</f>
        <v/>
      </c>
      <c r="L204" t="str">
        <f>_xlfn.TEXTJOIN(", ", FALSE, 'Audit Report'!J204,'Audit Report'!K204,'Audit Report'!L204)</f>
        <v xml:space="preserve">, , </v>
      </c>
      <c r="M204" t="str">
        <f>'Audit Report'!M204</f>
        <v/>
      </c>
      <c r="N204" t="str" cm="1">
        <f t="array" ref="N204">IF(M204="","",
_xlfn.TEXTJOIN(", ",TRUE,
    _xlfn.MAP(_xlfn.TEXTSPLIT(M204,","),_xlfn.LAMBDA(_xlpm.x,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4" t="e">
        <f>'Audit Report'!#REF!</f>
        <v>#REF!</v>
      </c>
      <c r="S204" t="str">
        <f>'Audit Report'!N204</f>
        <v/>
      </c>
    </row>
    <row r="205" spans="4:19">
      <c r="D205" t="str">
        <f>'Audit Report'!B205</f>
        <v>ITD-SHRXXX-XX204</v>
      </c>
      <c r="E205" t="str">
        <f>'Audit Report'!C205</f>
        <v/>
      </c>
      <c r="I205" t="str">
        <f>'Audit Report'!E205</f>
        <v/>
      </c>
      <c r="J205" t="str">
        <f>'Audit Report'!G205</f>
        <v/>
      </c>
      <c r="L205" t="str">
        <f>_xlfn.TEXTJOIN(", ", FALSE, 'Audit Report'!J205,'Audit Report'!K205,'Audit Report'!L205)</f>
        <v xml:space="preserve">, , </v>
      </c>
      <c r="M205" t="str">
        <f>'Audit Report'!M205</f>
        <v/>
      </c>
      <c r="N205" t="str" cm="1">
        <f t="array" ref="N205">IF(M205="","",
_xlfn.TEXTJOIN(", ",TRUE,
    _xlfn.MAP(_xlfn.TEXTSPLIT(M205,","),_xlfn.LAMBDA(_xlpm.x,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5" t="e">
        <f>'Audit Report'!#REF!</f>
        <v>#REF!</v>
      </c>
      <c r="S205" t="str">
        <f>'Audit Report'!N205</f>
        <v/>
      </c>
    </row>
    <row r="206" spans="4:19">
      <c r="D206" t="str">
        <f>'Audit Report'!B206</f>
        <v>ITD-SHRXXX-XX205</v>
      </c>
      <c r="E206" t="str">
        <f>'Audit Report'!C206</f>
        <v/>
      </c>
      <c r="I206" t="str">
        <f>'Audit Report'!E206</f>
        <v/>
      </c>
      <c r="J206" t="str">
        <f>'Audit Report'!G206</f>
        <v/>
      </c>
      <c r="L206" t="str">
        <f>_xlfn.TEXTJOIN(", ", FALSE, 'Audit Report'!J206,'Audit Report'!K206,'Audit Report'!L206)</f>
        <v xml:space="preserve">, , </v>
      </c>
      <c r="M206" t="str">
        <f>'Audit Report'!M206</f>
        <v/>
      </c>
      <c r="N206" t="str" cm="1">
        <f t="array" ref="N206">IF(M206="","",
_xlfn.TEXTJOIN(", ",TRUE,
    _xlfn.MAP(_xlfn.TEXTSPLIT(M206,","),_xlfn.LAMBDA(_xlpm.x,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6" t="e">
        <f>'Audit Report'!#REF!</f>
        <v>#REF!</v>
      </c>
      <c r="S206" t="str">
        <f>'Audit Report'!N206</f>
        <v/>
      </c>
    </row>
    <row r="207" spans="4:19">
      <c r="D207" t="str">
        <f>'Audit Report'!B207</f>
        <v>ITD-SHRXXX-XX206</v>
      </c>
      <c r="E207" t="str">
        <f>'Audit Report'!C207</f>
        <v/>
      </c>
      <c r="I207" t="str">
        <f>'Audit Report'!E207</f>
        <v/>
      </c>
      <c r="J207" t="str">
        <f>'Audit Report'!G207</f>
        <v/>
      </c>
      <c r="L207" t="str">
        <f>_xlfn.TEXTJOIN(", ", FALSE, 'Audit Report'!J207,'Audit Report'!K207,'Audit Report'!L207)</f>
        <v xml:space="preserve">, , </v>
      </c>
      <c r="M207" t="str">
        <f>'Audit Report'!M207</f>
        <v/>
      </c>
      <c r="N207" t="str" cm="1">
        <f t="array" ref="N207">IF(M207="","",
_xlfn.TEXTJOIN(", ",TRUE,
    _xlfn.MAP(_xlfn.TEXTSPLIT(M207,","),_xlfn.LAMBDA(_xlpm.x,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7" t="e">
        <f>'Audit Report'!#REF!</f>
        <v>#REF!</v>
      </c>
      <c r="S207" t="str">
        <f>'Audit Report'!N207</f>
        <v/>
      </c>
    </row>
    <row r="208" spans="4:19">
      <c r="D208" t="str">
        <f>'Audit Report'!B208</f>
        <v>ITD-SHRXXX-XX207</v>
      </c>
      <c r="E208" t="str">
        <f>'Audit Report'!C208</f>
        <v/>
      </c>
      <c r="I208" t="str">
        <f>'Audit Report'!E208</f>
        <v/>
      </c>
      <c r="J208" t="str">
        <f>'Audit Report'!G208</f>
        <v/>
      </c>
      <c r="L208" t="str">
        <f>_xlfn.TEXTJOIN(", ", FALSE, 'Audit Report'!J208,'Audit Report'!K208,'Audit Report'!L208)</f>
        <v xml:space="preserve">, , </v>
      </c>
      <c r="M208" t="str">
        <f>'Audit Report'!M208</f>
        <v/>
      </c>
      <c r="N208" t="str" cm="1">
        <f t="array" ref="N208">IF(M208="","",
_xlfn.TEXTJOIN(", ",TRUE,
    _xlfn.MAP(_xlfn.TEXTSPLIT(M208,","),_xlfn.LAMBDA(_xlpm.x,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8" t="e">
        <f>'Audit Report'!#REF!</f>
        <v>#REF!</v>
      </c>
      <c r="S208" t="str">
        <f>'Audit Report'!N208</f>
        <v/>
      </c>
    </row>
    <row r="209" spans="4:19">
      <c r="D209" t="str">
        <f>'Audit Report'!B209</f>
        <v>ITD-SHRXXX-XX208</v>
      </c>
      <c r="E209" t="str">
        <f>'Audit Report'!C209</f>
        <v/>
      </c>
      <c r="I209" t="str">
        <f>'Audit Report'!E209</f>
        <v/>
      </c>
      <c r="J209" t="str">
        <f>'Audit Report'!G209</f>
        <v/>
      </c>
      <c r="L209" t="str">
        <f>_xlfn.TEXTJOIN(", ", FALSE, 'Audit Report'!J209,'Audit Report'!K209,'Audit Report'!L209)</f>
        <v xml:space="preserve">, , </v>
      </c>
      <c r="M209" t="str">
        <f>'Audit Report'!M209</f>
        <v/>
      </c>
      <c r="N209" t="str" cm="1">
        <f t="array" ref="N209">IF(M209="","",
_xlfn.TEXTJOIN(", ",TRUE,
    _xlfn.MAP(_xlfn.TEXTSPLIT(M209,","),_xlfn.LAMBDA(_xlpm.x,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9" t="e">
        <f>'Audit Report'!#REF!</f>
        <v>#REF!</v>
      </c>
      <c r="S209" t="str">
        <f>'Audit Report'!N209</f>
        <v/>
      </c>
    </row>
    <row r="210" spans="4:19">
      <c r="D210" t="str">
        <f>'Audit Report'!B210</f>
        <v>ITD-SHRXXX-XX209</v>
      </c>
      <c r="E210" t="str">
        <f>'Audit Report'!C210</f>
        <v/>
      </c>
      <c r="I210" t="str">
        <f>'Audit Report'!E210</f>
        <v/>
      </c>
      <c r="J210" t="str">
        <f>'Audit Report'!G210</f>
        <v/>
      </c>
      <c r="L210" t="str">
        <f>_xlfn.TEXTJOIN(", ", FALSE, 'Audit Report'!J210,'Audit Report'!K210,'Audit Report'!L210)</f>
        <v xml:space="preserve">, , </v>
      </c>
      <c r="M210" t="str">
        <f>'Audit Report'!M210</f>
        <v/>
      </c>
      <c r="N210" t="str" cm="1">
        <f t="array" ref="N210">IF(M210="","",
_xlfn.TEXTJOIN(", ",TRUE,
    _xlfn.MAP(_xlfn.TEXTSPLIT(M210,","),_xlfn.LAMBDA(_xlpm.x,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0" t="e">
        <f>'Audit Report'!#REF!</f>
        <v>#REF!</v>
      </c>
      <c r="S210" t="str">
        <f>'Audit Report'!N210</f>
        <v/>
      </c>
    </row>
    <row r="211" spans="4:19">
      <c r="D211" t="str">
        <f>'Audit Report'!B211</f>
        <v>ITD-SHRXXX-XX210</v>
      </c>
      <c r="E211" t="str">
        <f>'Audit Report'!C211</f>
        <v/>
      </c>
      <c r="I211" t="str">
        <f>'Audit Report'!E211</f>
        <v/>
      </c>
      <c r="J211" t="str">
        <f>'Audit Report'!G211</f>
        <v/>
      </c>
      <c r="L211" t="str">
        <f>_xlfn.TEXTJOIN(", ", FALSE, 'Audit Report'!J211,'Audit Report'!K211,'Audit Report'!L211)</f>
        <v xml:space="preserve">, , </v>
      </c>
      <c r="M211" t="str">
        <f>'Audit Report'!M211</f>
        <v/>
      </c>
      <c r="N211" t="str" cm="1">
        <f t="array" ref="N211">IF(M211="","",
_xlfn.TEXTJOIN(", ",TRUE,
    _xlfn.MAP(_xlfn.TEXTSPLIT(M211,","),_xlfn.LAMBDA(_xlpm.x,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1" t="e">
        <f>'Audit Report'!#REF!</f>
        <v>#REF!</v>
      </c>
      <c r="S211" t="str">
        <f>'Audit Report'!N211</f>
        <v/>
      </c>
    </row>
    <row r="212" spans="4:19">
      <c r="D212" t="str">
        <f>'Audit Report'!B212</f>
        <v>ITD-SHRXXX-XX211</v>
      </c>
      <c r="E212" t="str">
        <f>'Audit Report'!C212</f>
        <v/>
      </c>
      <c r="I212" t="str">
        <f>'Audit Report'!E212</f>
        <v/>
      </c>
      <c r="J212" t="str">
        <f>'Audit Report'!G212</f>
        <v/>
      </c>
      <c r="L212" t="str">
        <f>_xlfn.TEXTJOIN(", ", FALSE, 'Audit Report'!J212,'Audit Report'!K212,'Audit Report'!L212)</f>
        <v xml:space="preserve">, , </v>
      </c>
      <c r="M212" t="str">
        <f>'Audit Report'!M212</f>
        <v/>
      </c>
      <c r="N212" t="str" cm="1">
        <f t="array" ref="N212">IF(M212="","",
_xlfn.TEXTJOIN(", ",TRUE,
    _xlfn.MAP(_xlfn.TEXTSPLIT(M212,","),_xlfn.LAMBDA(_xlpm.x,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2" t="e">
        <f>'Audit Report'!#REF!</f>
        <v>#REF!</v>
      </c>
      <c r="S212" t="str">
        <f>'Audit Report'!N212</f>
        <v/>
      </c>
    </row>
    <row r="213" spans="4:19">
      <c r="D213" t="str">
        <f>'Audit Report'!B213</f>
        <v>ITD-SHRXXX-XX212</v>
      </c>
      <c r="E213" t="str">
        <f>'Audit Report'!C213</f>
        <v/>
      </c>
      <c r="I213" t="str">
        <f>'Audit Report'!E213</f>
        <v/>
      </c>
      <c r="J213" t="str">
        <f>'Audit Report'!G213</f>
        <v/>
      </c>
      <c r="L213" t="str">
        <f>_xlfn.TEXTJOIN(", ", FALSE, 'Audit Report'!J213,'Audit Report'!K213,'Audit Report'!L213)</f>
        <v xml:space="preserve">, , </v>
      </c>
      <c r="M213" t="str">
        <f>'Audit Report'!M213</f>
        <v/>
      </c>
      <c r="N213" t="str" cm="1">
        <f t="array" ref="N213">IF(M213="","",
_xlfn.TEXTJOIN(", ",TRUE,
    _xlfn.MAP(_xlfn.TEXTSPLIT(M213,","),_xlfn.LAMBDA(_xlpm.x,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3" t="e">
        <f>'Audit Report'!#REF!</f>
        <v>#REF!</v>
      </c>
      <c r="S213" t="str">
        <f>'Audit Report'!N213</f>
        <v/>
      </c>
    </row>
    <row r="214" spans="4:19">
      <c r="D214" t="str">
        <f>'Audit Report'!B214</f>
        <v>ITD-SHRXXX-XX213</v>
      </c>
      <c r="E214" t="str">
        <f>'Audit Report'!C214</f>
        <v/>
      </c>
      <c r="I214" t="str">
        <f>'Audit Report'!E214</f>
        <v/>
      </c>
      <c r="J214" t="str">
        <f>'Audit Report'!G214</f>
        <v/>
      </c>
      <c r="L214" t="str">
        <f>_xlfn.TEXTJOIN(", ", FALSE, 'Audit Report'!J214,'Audit Report'!K214,'Audit Report'!L214)</f>
        <v xml:space="preserve">, , </v>
      </c>
      <c r="M214" t="str">
        <f>'Audit Report'!M214</f>
        <v/>
      </c>
      <c r="N214" t="str" cm="1">
        <f t="array" ref="N214">IF(M214="","",
_xlfn.TEXTJOIN(", ",TRUE,
    _xlfn.MAP(_xlfn.TEXTSPLIT(M214,","),_xlfn.LAMBDA(_xlpm.x,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4" t="e">
        <f>'Audit Report'!#REF!</f>
        <v>#REF!</v>
      </c>
      <c r="S214" t="str">
        <f>'Audit Report'!N214</f>
        <v/>
      </c>
    </row>
    <row r="215" spans="4:19">
      <c r="D215" t="str">
        <f>'Audit Report'!B215</f>
        <v>ITD-SHRXXX-XX214</v>
      </c>
      <c r="E215" t="str">
        <f>'Audit Report'!C215</f>
        <v/>
      </c>
      <c r="I215" t="str">
        <f>'Audit Report'!E215</f>
        <v/>
      </c>
      <c r="J215" t="str">
        <f>'Audit Report'!G215</f>
        <v/>
      </c>
      <c r="L215" t="str">
        <f>_xlfn.TEXTJOIN(", ", FALSE, 'Audit Report'!J215,'Audit Report'!K215,'Audit Report'!L215)</f>
        <v xml:space="preserve">, , </v>
      </c>
      <c r="M215" t="str">
        <f>'Audit Report'!M215</f>
        <v/>
      </c>
      <c r="N215" t="str" cm="1">
        <f t="array" ref="N215">IF(M215="","",
_xlfn.TEXTJOIN(", ",TRUE,
    _xlfn.MAP(_xlfn.TEXTSPLIT(M215,","),_xlfn.LAMBDA(_xlpm.x,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5" t="e">
        <f>'Audit Report'!#REF!</f>
        <v>#REF!</v>
      </c>
      <c r="S215" t="str">
        <f>'Audit Report'!N215</f>
        <v/>
      </c>
    </row>
    <row r="216" spans="4:19">
      <c r="D216" t="str">
        <f>'Audit Report'!B216</f>
        <v>ITD-SHRXXX-XX215</v>
      </c>
      <c r="E216" t="str">
        <f>'Audit Report'!C216</f>
        <v/>
      </c>
      <c r="I216" t="str">
        <f>'Audit Report'!E216</f>
        <v/>
      </c>
      <c r="J216" t="str">
        <f>'Audit Report'!G216</f>
        <v/>
      </c>
      <c r="L216" t="str">
        <f>_xlfn.TEXTJOIN(", ", FALSE, 'Audit Report'!J216,'Audit Report'!K216,'Audit Report'!L216)</f>
        <v xml:space="preserve">, , </v>
      </c>
      <c r="M216" t="str">
        <f>'Audit Report'!M216</f>
        <v/>
      </c>
      <c r="N216" t="str" cm="1">
        <f t="array" ref="N216">IF(M216="","",
_xlfn.TEXTJOIN(", ",TRUE,
    _xlfn.MAP(_xlfn.TEXTSPLIT(M216,","),_xlfn.LAMBDA(_xlpm.x,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6" t="e">
        <f>'Audit Report'!#REF!</f>
        <v>#REF!</v>
      </c>
      <c r="S216" t="str">
        <f>'Audit Report'!N216</f>
        <v/>
      </c>
    </row>
    <row r="217" spans="4:19">
      <c r="D217" t="str">
        <f>'Audit Report'!B217</f>
        <v>ITD-SHRXXX-XX216</v>
      </c>
      <c r="E217" t="str">
        <f>'Audit Report'!C217</f>
        <v/>
      </c>
      <c r="I217" t="str">
        <f>'Audit Report'!E217</f>
        <v/>
      </c>
      <c r="J217" t="str">
        <f>'Audit Report'!G217</f>
        <v/>
      </c>
      <c r="L217" t="str">
        <f>_xlfn.TEXTJOIN(", ", FALSE, 'Audit Report'!J217,'Audit Report'!K217,'Audit Report'!L217)</f>
        <v xml:space="preserve">, , </v>
      </c>
      <c r="M217" t="str">
        <f>'Audit Report'!M217</f>
        <v/>
      </c>
      <c r="N217" t="str" cm="1">
        <f t="array" ref="N217">IF(M217="","",
_xlfn.TEXTJOIN(", ",TRUE,
    _xlfn.MAP(_xlfn.TEXTSPLIT(M217,","),_xlfn.LAMBDA(_xlpm.x,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7" t="e">
        <f>'Audit Report'!#REF!</f>
        <v>#REF!</v>
      </c>
      <c r="S217" t="str">
        <f>'Audit Report'!N217</f>
        <v/>
      </c>
    </row>
    <row r="218" spans="4:19">
      <c r="D218" t="str">
        <f>'Audit Report'!B218</f>
        <v>ITD-SHRXXX-XX217</v>
      </c>
      <c r="E218" t="str">
        <f>'Audit Report'!C218</f>
        <v/>
      </c>
      <c r="I218" t="str">
        <f>'Audit Report'!E218</f>
        <v/>
      </c>
      <c r="J218" t="str">
        <f>'Audit Report'!G218</f>
        <v/>
      </c>
      <c r="L218" t="str">
        <f>_xlfn.TEXTJOIN(", ", FALSE, 'Audit Report'!J218,'Audit Report'!K218,'Audit Report'!L218)</f>
        <v xml:space="preserve">, , </v>
      </c>
      <c r="M218" t="str">
        <f>'Audit Report'!M218</f>
        <v/>
      </c>
      <c r="N218" t="str" cm="1">
        <f t="array" ref="N218">IF(M218="","",
_xlfn.TEXTJOIN(", ",TRUE,
    _xlfn.MAP(_xlfn.TEXTSPLIT(M218,","),_xlfn.LAMBDA(_xlpm.x,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8" t="e">
        <f>'Audit Report'!#REF!</f>
        <v>#REF!</v>
      </c>
      <c r="S218" t="str">
        <f>'Audit Report'!N218</f>
        <v/>
      </c>
    </row>
    <row r="219" spans="4:19">
      <c r="D219" t="str">
        <f>'Audit Report'!B219</f>
        <v>ITD-SHRXXX-XX218</v>
      </c>
      <c r="E219" t="str">
        <f>'Audit Report'!C219</f>
        <v/>
      </c>
      <c r="I219" t="str">
        <f>'Audit Report'!E219</f>
        <v/>
      </c>
      <c r="J219" t="str">
        <f>'Audit Report'!G219</f>
        <v/>
      </c>
      <c r="L219" t="str">
        <f>_xlfn.TEXTJOIN(", ", FALSE, 'Audit Report'!J219,'Audit Report'!K219,'Audit Report'!L219)</f>
        <v xml:space="preserve">, , </v>
      </c>
      <c r="M219" t="str">
        <f>'Audit Report'!M219</f>
        <v/>
      </c>
      <c r="N219" t="str" cm="1">
        <f t="array" ref="N219">IF(M219="","",
_xlfn.TEXTJOIN(", ",TRUE,
    _xlfn.MAP(_xlfn.TEXTSPLIT(M219,","),_xlfn.LAMBDA(_xlpm.x,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9" t="e">
        <f>'Audit Report'!#REF!</f>
        <v>#REF!</v>
      </c>
      <c r="S219" t="str">
        <f>'Audit Report'!N219</f>
        <v/>
      </c>
    </row>
    <row r="220" spans="4:19">
      <c r="D220" t="str">
        <f>'Audit Report'!B220</f>
        <v>ITD-SHRXXX-XX219</v>
      </c>
      <c r="E220" t="str">
        <f>'Audit Report'!C220</f>
        <v/>
      </c>
      <c r="I220" t="str">
        <f>'Audit Report'!E220</f>
        <v/>
      </c>
      <c r="J220" t="str">
        <f>'Audit Report'!G220</f>
        <v/>
      </c>
      <c r="L220" t="str">
        <f>_xlfn.TEXTJOIN(", ", FALSE, 'Audit Report'!J220,'Audit Report'!K220,'Audit Report'!L220)</f>
        <v xml:space="preserve">, , </v>
      </c>
      <c r="M220" t="str">
        <f>'Audit Report'!M220</f>
        <v/>
      </c>
      <c r="N220" t="str" cm="1">
        <f t="array" ref="N220">IF(M220="","",
_xlfn.TEXTJOIN(", ",TRUE,
    _xlfn.MAP(_xlfn.TEXTSPLIT(M220,","),_xlfn.LAMBDA(_xlpm.x,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0" t="e">
        <f>'Audit Report'!#REF!</f>
        <v>#REF!</v>
      </c>
      <c r="S220" t="str">
        <f>'Audit Report'!N220</f>
        <v/>
      </c>
    </row>
    <row r="221" spans="4:19">
      <c r="D221" t="str">
        <f>'Audit Report'!B221</f>
        <v>ITD-SHRXXX-XX220</v>
      </c>
      <c r="E221" t="str">
        <f>'Audit Report'!C221</f>
        <v/>
      </c>
      <c r="I221" t="str">
        <f>'Audit Report'!E221</f>
        <v/>
      </c>
      <c r="J221" t="str">
        <f>'Audit Report'!G221</f>
        <v/>
      </c>
      <c r="L221" t="str">
        <f>_xlfn.TEXTJOIN(", ", FALSE, 'Audit Report'!J221,'Audit Report'!K221,'Audit Report'!L221)</f>
        <v xml:space="preserve">, , </v>
      </c>
      <c r="M221" t="str">
        <f>'Audit Report'!M221</f>
        <v/>
      </c>
      <c r="N221" t="str" cm="1">
        <f t="array" ref="N221">IF(M221="","",
_xlfn.TEXTJOIN(", ",TRUE,
    _xlfn.MAP(_xlfn.TEXTSPLIT(M221,","),_xlfn.LAMBDA(_xlpm.x,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1" t="e">
        <f>'Audit Report'!#REF!</f>
        <v>#REF!</v>
      </c>
      <c r="S221" t="str">
        <f>'Audit Report'!N221</f>
        <v/>
      </c>
    </row>
    <row r="222" spans="4:19">
      <c r="D222" t="str">
        <f>'Audit Report'!B222</f>
        <v>ITD-SHRXXX-XX221</v>
      </c>
      <c r="E222" t="str">
        <f>'Audit Report'!C222</f>
        <v/>
      </c>
      <c r="I222" t="str">
        <f>'Audit Report'!E222</f>
        <v/>
      </c>
      <c r="J222" t="str">
        <f>'Audit Report'!G222</f>
        <v/>
      </c>
      <c r="L222" t="str">
        <f>_xlfn.TEXTJOIN(", ", FALSE, 'Audit Report'!J222,'Audit Report'!K222,'Audit Report'!L222)</f>
        <v xml:space="preserve">, , </v>
      </c>
      <c r="M222" t="str">
        <f>'Audit Report'!M222</f>
        <v/>
      </c>
      <c r="N222" t="str" cm="1">
        <f t="array" ref="N222">IF(M222="","",
_xlfn.TEXTJOIN(", ",TRUE,
    _xlfn.MAP(_xlfn.TEXTSPLIT(M222,","),_xlfn.LAMBDA(_xlpm.x,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2" t="e">
        <f>'Audit Report'!#REF!</f>
        <v>#REF!</v>
      </c>
      <c r="S222" t="str">
        <f>'Audit Report'!N222</f>
        <v/>
      </c>
    </row>
    <row r="223" spans="4:19">
      <c r="D223" t="str">
        <f>'Audit Report'!B223</f>
        <v>ITD-SHRXXX-XX222</v>
      </c>
      <c r="E223" t="str">
        <f>'Audit Report'!C223</f>
        <v/>
      </c>
      <c r="I223" t="str">
        <f>'Audit Report'!E223</f>
        <v/>
      </c>
      <c r="J223" t="str">
        <f>'Audit Report'!G223</f>
        <v/>
      </c>
      <c r="L223" t="str">
        <f>_xlfn.TEXTJOIN(", ", FALSE, 'Audit Report'!J223,'Audit Report'!K223,'Audit Report'!L223)</f>
        <v xml:space="preserve">, , </v>
      </c>
      <c r="M223" t="str">
        <f>'Audit Report'!M223</f>
        <v/>
      </c>
      <c r="N223" t="str" cm="1">
        <f t="array" ref="N223">IF(M223="","",
_xlfn.TEXTJOIN(", ",TRUE,
    _xlfn.MAP(_xlfn.TEXTSPLIT(M223,","),_xlfn.LAMBDA(_xlpm.x,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3" t="e">
        <f>'Audit Report'!#REF!</f>
        <v>#REF!</v>
      </c>
      <c r="S223" t="str">
        <f>'Audit Report'!N223</f>
        <v/>
      </c>
    </row>
    <row r="224" spans="4:19">
      <c r="D224" t="str">
        <f>'Audit Report'!B224</f>
        <v>ITD-SHRXXX-XX223</v>
      </c>
      <c r="E224" t="str">
        <f>'Audit Report'!C224</f>
        <v/>
      </c>
      <c r="I224" t="str">
        <f>'Audit Report'!E224</f>
        <v/>
      </c>
      <c r="J224" t="str">
        <f>'Audit Report'!G224</f>
        <v/>
      </c>
      <c r="L224" t="str">
        <f>_xlfn.TEXTJOIN(", ", FALSE, 'Audit Report'!J224,'Audit Report'!K224,'Audit Report'!L224)</f>
        <v xml:space="preserve">, , </v>
      </c>
      <c r="M224" t="str">
        <f>'Audit Report'!M224</f>
        <v/>
      </c>
      <c r="N224" t="str" cm="1">
        <f t="array" ref="N224">IF(M224="","",
_xlfn.TEXTJOIN(", ",TRUE,
    _xlfn.MAP(_xlfn.TEXTSPLIT(M224,","),_xlfn.LAMBDA(_xlpm.x,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4" t="e">
        <f>'Audit Report'!#REF!</f>
        <v>#REF!</v>
      </c>
      <c r="S224" t="str">
        <f>'Audit Report'!N224</f>
        <v/>
      </c>
    </row>
    <row r="225" spans="4:19">
      <c r="D225" t="str">
        <f>'Audit Report'!B225</f>
        <v>ITD-SHRXXX-XX224</v>
      </c>
      <c r="E225" t="str">
        <f>'Audit Report'!C225</f>
        <v/>
      </c>
      <c r="I225" t="str">
        <f>'Audit Report'!E225</f>
        <v/>
      </c>
      <c r="J225" t="str">
        <f>'Audit Report'!G225</f>
        <v/>
      </c>
      <c r="L225" t="str">
        <f>_xlfn.TEXTJOIN(", ", FALSE, 'Audit Report'!J225,'Audit Report'!K225,'Audit Report'!L225)</f>
        <v xml:space="preserve">, , </v>
      </c>
      <c r="M225" t="str">
        <f>'Audit Report'!M225</f>
        <v/>
      </c>
      <c r="N225" t="str" cm="1">
        <f t="array" ref="N225">IF(M225="","",
_xlfn.TEXTJOIN(", ",TRUE,
    _xlfn.MAP(_xlfn.TEXTSPLIT(M225,","),_xlfn.LAMBDA(_xlpm.x,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5" t="e">
        <f>'Audit Report'!#REF!</f>
        <v>#REF!</v>
      </c>
      <c r="S225" t="str">
        <f>'Audit Report'!N225</f>
        <v/>
      </c>
    </row>
    <row r="226" spans="4:19">
      <c r="D226" t="str">
        <f>'Audit Report'!B226</f>
        <v>ITD-SHRXXX-XX225</v>
      </c>
      <c r="E226" t="str">
        <f>'Audit Report'!C226</f>
        <v/>
      </c>
      <c r="I226" t="str">
        <f>'Audit Report'!E226</f>
        <v/>
      </c>
      <c r="J226" t="str">
        <f>'Audit Report'!G226</f>
        <v/>
      </c>
      <c r="L226" t="str">
        <f>_xlfn.TEXTJOIN(", ", FALSE, 'Audit Report'!J226,'Audit Report'!K226,'Audit Report'!L226)</f>
        <v xml:space="preserve">, , </v>
      </c>
      <c r="M226" t="str">
        <f>'Audit Report'!M226</f>
        <v/>
      </c>
      <c r="N226" t="str" cm="1">
        <f t="array" ref="N226">IF(M226="","",
_xlfn.TEXTJOIN(", ",TRUE,
    _xlfn.MAP(_xlfn.TEXTSPLIT(M226,","),_xlfn.LAMBDA(_xlpm.x,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6" t="e">
        <f>'Audit Report'!#REF!</f>
        <v>#REF!</v>
      </c>
      <c r="S226" t="str">
        <f>'Audit Report'!N226</f>
        <v/>
      </c>
    </row>
    <row r="227" spans="4:19">
      <c r="D227" t="str">
        <f>'Audit Report'!B227</f>
        <v>ITD-SHRXXX-XX226</v>
      </c>
      <c r="E227" t="str">
        <f>'Audit Report'!C227</f>
        <v/>
      </c>
      <c r="I227" t="str">
        <f>'Audit Report'!E227</f>
        <v/>
      </c>
      <c r="J227" t="str">
        <f>'Audit Report'!G227</f>
        <v/>
      </c>
      <c r="L227" t="str">
        <f>_xlfn.TEXTJOIN(", ", FALSE, 'Audit Report'!J227,'Audit Report'!K227,'Audit Report'!L227)</f>
        <v xml:space="preserve">, , </v>
      </c>
      <c r="M227" t="str">
        <f>'Audit Report'!M227</f>
        <v/>
      </c>
      <c r="N227" t="str" cm="1">
        <f t="array" ref="N227">IF(M227="","",
_xlfn.TEXTJOIN(", ",TRUE,
    _xlfn.MAP(_xlfn.TEXTSPLIT(M227,","),_xlfn.LAMBDA(_xlpm.x,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7" t="e">
        <f>'Audit Report'!#REF!</f>
        <v>#REF!</v>
      </c>
      <c r="S227" t="str">
        <f>'Audit Report'!N227</f>
        <v/>
      </c>
    </row>
    <row r="228" spans="4:19">
      <c r="D228" t="str">
        <f>'Audit Report'!B228</f>
        <v>ITD-SHRXXX-XX227</v>
      </c>
      <c r="E228" t="str">
        <f>'Audit Report'!C228</f>
        <v/>
      </c>
      <c r="I228" t="str">
        <f>'Audit Report'!E228</f>
        <v/>
      </c>
      <c r="J228" t="str">
        <f>'Audit Report'!G228</f>
        <v/>
      </c>
      <c r="L228" t="str">
        <f>_xlfn.TEXTJOIN(", ", FALSE, 'Audit Report'!J228,'Audit Report'!K228,'Audit Report'!L228)</f>
        <v xml:space="preserve">, , </v>
      </c>
      <c r="M228" t="str">
        <f>'Audit Report'!M228</f>
        <v/>
      </c>
      <c r="N228" t="str" cm="1">
        <f t="array" ref="N228">IF(M228="","",
_xlfn.TEXTJOIN(", ",TRUE,
    _xlfn.MAP(_xlfn.TEXTSPLIT(M228,","),_xlfn.LAMBDA(_xlpm.x,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8" t="e">
        <f>'Audit Report'!#REF!</f>
        <v>#REF!</v>
      </c>
      <c r="S228" t="str">
        <f>'Audit Report'!N228</f>
        <v/>
      </c>
    </row>
    <row r="229" spans="4:19">
      <c r="D229" t="str">
        <f>'Audit Report'!B229</f>
        <v>ITD-SHRXXX-XX228</v>
      </c>
      <c r="E229" t="str">
        <f>'Audit Report'!C229</f>
        <v/>
      </c>
      <c r="I229" t="str">
        <f>'Audit Report'!E229</f>
        <v/>
      </c>
      <c r="J229" t="str">
        <f>'Audit Report'!G229</f>
        <v/>
      </c>
      <c r="L229" t="str">
        <f>_xlfn.TEXTJOIN(", ", FALSE, 'Audit Report'!J229,'Audit Report'!K229,'Audit Report'!L229)</f>
        <v xml:space="preserve">, , </v>
      </c>
      <c r="M229" t="str">
        <f>'Audit Report'!M229</f>
        <v/>
      </c>
      <c r="N229" t="str" cm="1">
        <f t="array" ref="N229">IF(M229="","",
_xlfn.TEXTJOIN(", ",TRUE,
    _xlfn.MAP(_xlfn.TEXTSPLIT(M229,","),_xlfn.LAMBDA(_xlpm.x,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9" t="e">
        <f>'Audit Report'!#REF!</f>
        <v>#REF!</v>
      </c>
      <c r="S229" t="str">
        <f>'Audit Report'!N229</f>
        <v/>
      </c>
    </row>
    <row r="230" spans="4:19">
      <c r="D230" t="str">
        <f>'Audit Report'!B230</f>
        <v>ITD-SHRXXX-XX229</v>
      </c>
      <c r="E230" t="str">
        <f>'Audit Report'!C230</f>
        <v/>
      </c>
      <c r="I230" t="str">
        <f>'Audit Report'!E230</f>
        <v/>
      </c>
      <c r="J230" t="str">
        <f>'Audit Report'!G230</f>
        <v/>
      </c>
      <c r="L230" t="str">
        <f>_xlfn.TEXTJOIN(", ", FALSE, 'Audit Report'!J230,'Audit Report'!K230,'Audit Report'!L230)</f>
        <v xml:space="preserve">, , </v>
      </c>
      <c r="M230" t="str">
        <f>'Audit Report'!M230</f>
        <v/>
      </c>
      <c r="N230" t="str" cm="1">
        <f t="array" ref="N230">IF(M230="","",
_xlfn.TEXTJOIN(", ",TRUE,
    _xlfn.MAP(_xlfn.TEXTSPLIT(M230,","),_xlfn.LAMBDA(_xlpm.x,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0" t="e">
        <f>'Audit Report'!#REF!</f>
        <v>#REF!</v>
      </c>
      <c r="S230" t="str">
        <f>'Audit Report'!N230</f>
        <v/>
      </c>
    </row>
    <row r="231" spans="4:19">
      <c r="D231" t="str">
        <f>'Audit Report'!B231</f>
        <v>ITD-SHRXXX-XX230</v>
      </c>
      <c r="E231" t="str">
        <f>'Audit Report'!C231</f>
        <v/>
      </c>
      <c r="I231" t="str">
        <f>'Audit Report'!E231</f>
        <v/>
      </c>
      <c r="J231" t="str">
        <f>'Audit Report'!G231</f>
        <v/>
      </c>
      <c r="L231" t="str">
        <f>_xlfn.TEXTJOIN(", ", FALSE, 'Audit Report'!J231,'Audit Report'!K231,'Audit Report'!L231)</f>
        <v xml:space="preserve">, , </v>
      </c>
      <c r="M231" t="str">
        <f>'Audit Report'!M231</f>
        <v/>
      </c>
      <c r="N231" t="str" cm="1">
        <f t="array" ref="N231">IF(M231="","",
_xlfn.TEXTJOIN(", ",TRUE,
    _xlfn.MAP(_xlfn.TEXTSPLIT(M231,","),_xlfn.LAMBDA(_xlpm.x,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1" t="e">
        <f>'Audit Report'!#REF!</f>
        <v>#REF!</v>
      </c>
      <c r="S231" t="str">
        <f>'Audit Report'!N231</f>
        <v/>
      </c>
    </row>
    <row r="232" spans="4:19">
      <c r="D232" t="str">
        <f>'Audit Report'!B232</f>
        <v>ITD-SHRXXX-XX231</v>
      </c>
      <c r="E232" t="str">
        <f>'Audit Report'!C232</f>
        <v/>
      </c>
      <c r="I232" t="str">
        <f>'Audit Report'!E232</f>
        <v/>
      </c>
      <c r="J232" t="str">
        <f>'Audit Report'!G232</f>
        <v/>
      </c>
      <c r="L232" t="str">
        <f>_xlfn.TEXTJOIN(", ", FALSE, 'Audit Report'!J232,'Audit Report'!K232,'Audit Report'!L232)</f>
        <v xml:space="preserve">, , </v>
      </c>
      <c r="M232" t="str">
        <f>'Audit Report'!M232</f>
        <v/>
      </c>
      <c r="N232" t="str" cm="1">
        <f t="array" ref="N232">IF(M232="","",
_xlfn.TEXTJOIN(", ",TRUE,
    _xlfn.MAP(_xlfn.TEXTSPLIT(M232,","),_xlfn.LAMBDA(_xlpm.x,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2" t="e">
        <f>'Audit Report'!#REF!</f>
        <v>#REF!</v>
      </c>
      <c r="S232" t="str">
        <f>'Audit Report'!N232</f>
        <v/>
      </c>
    </row>
    <row r="233" spans="4:19">
      <c r="D233" t="str">
        <f>'Audit Report'!B233</f>
        <v>ITD-SHRXXX-XX232</v>
      </c>
      <c r="E233" t="str">
        <f>'Audit Report'!C233</f>
        <v/>
      </c>
      <c r="I233" t="str">
        <f>'Audit Report'!E233</f>
        <v/>
      </c>
      <c r="J233" t="str">
        <f>'Audit Report'!G233</f>
        <v/>
      </c>
      <c r="L233" t="str">
        <f>_xlfn.TEXTJOIN(", ", FALSE, 'Audit Report'!J233,'Audit Report'!K233,'Audit Report'!L233)</f>
        <v xml:space="preserve">, , </v>
      </c>
      <c r="M233" t="str">
        <f>'Audit Report'!M233</f>
        <v/>
      </c>
      <c r="N233" t="str" cm="1">
        <f t="array" ref="N233">IF(M233="","",
_xlfn.TEXTJOIN(", ",TRUE,
    _xlfn.MAP(_xlfn.TEXTSPLIT(M233,","),_xlfn.LAMBDA(_xlpm.x,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3" t="e">
        <f>'Audit Report'!#REF!</f>
        <v>#REF!</v>
      </c>
      <c r="S233" t="str">
        <f>'Audit Report'!N233</f>
        <v/>
      </c>
    </row>
    <row r="234" spans="4:19">
      <c r="D234" t="str">
        <f>'Audit Report'!B234</f>
        <v>ITD-SHRXXX-XX233</v>
      </c>
      <c r="E234" t="str">
        <f>'Audit Report'!C234</f>
        <v/>
      </c>
      <c r="I234" t="str">
        <f>'Audit Report'!E234</f>
        <v/>
      </c>
      <c r="J234" t="str">
        <f>'Audit Report'!G234</f>
        <v/>
      </c>
      <c r="L234" t="str">
        <f>_xlfn.TEXTJOIN(", ", FALSE, 'Audit Report'!J234,'Audit Report'!K234,'Audit Report'!L234)</f>
        <v xml:space="preserve">, , </v>
      </c>
      <c r="M234" t="str">
        <f>'Audit Report'!M234</f>
        <v/>
      </c>
      <c r="N234" t="str" cm="1">
        <f t="array" ref="N234">IF(M234="","",
_xlfn.TEXTJOIN(", ",TRUE,
    _xlfn.MAP(_xlfn.TEXTSPLIT(M234,","),_xlfn.LAMBDA(_xlpm.x,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4" t="e">
        <f>'Audit Report'!#REF!</f>
        <v>#REF!</v>
      </c>
      <c r="S234" t="str">
        <f>'Audit Report'!N234</f>
        <v/>
      </c>
    </row>
    <row r="235" spans="4:19">
      <c r="D235" t="str">
        <f>'Audit Report'!B235</f>
        <v>ITD-SHRXXX-XX234</v>
      </c>
      <c r="E235" t="str">
        <f>'Audit Report'!C235</f>
        <v/>
      </c>
      <c r="I235" t="str">
        <f>'Audit Report'!E235</f>
        <v/>
      </c>
      <c r="J235" t="str">
        <f>'Audit Report'!G235</f>
        <v/>
      </c>
      <c r="L235" t="str">
        <f>_xlfn.TEXTJOIN(", ", FALSE, 'Audit Report'!J235,'Audit Report'!K235,'Audit Report'!L235)</f>
        <v xml:space="preserve">, , </v>
      </c>
      <c r="M235" t="str">
        <f>'Audit Report'!M235</f>
        <v/>
      </c>
      <c r="N235" t="str" cm="1">
        <f t="array" ref="N235">IF(M235="","",
_xlfn.TEXTJOIN(", ",TRUE,
    _xlfn.MAP(_xlfn.TEXTSPLIT(M235,","),_xlfn.LAMBDA(_xlpm.x,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5" t="e">
        <f>'Audit Report'!#REF!</f>
        <v>#REF!</v>
      </c>
      <c r="S235" t="str">
        <f>'Audit Report'!N235</f>
        <v/>
      </c>
    </row>
    <row r="236" spans="4:19">
      <c r="D236" t="str">
        <f>'Audit Report'!B236</f>
        <v>ITD-SHRXXX-XX235</v>
      </c>
      <c r="E236" t="str">
        <f>'Audit Report'!C236</f>
        <v/>
      </c>
      <c r="I236" t="str">
        <f>'Audit Report'!E236</f>
        <v/>
      </c>
      <c r="J236" t="str">
        <f>'Audit Report'!G236</f>
        <v/>
      </c>
      <c r="L236" t="str">
        <f>_xlfn.TEXTJOIN(", ", FALSE, 'Audit Report'!J236,'Audit Report'!K236,'Audit Report'!L236)</f>
        <v xml:space="preserve">, , </v>
      </c>
      <c r="M236" t="str">
        <f>'Audit Report'!M236</f>
        <v/>
      </c>
      <c r="N236" t="str" cm="1">
        <f t="array" ref="N236">IF(M236="","",
_xlfn.TEXTJOIN(", ",TRUE,
    _xlfn.MAP(_xlfn.TEXTSPLIT(M236,","),_xlfn.LAMBDA(_xlpm.x,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6" t="e">
        <f>'Audit Report'!#REF!</f>
        <v>#REF!</v>
      </c>
      <c r="S236" t="str">
        <f>'Audit Report'!N236</f>
        <v/>
      </c>
    </row>
    <row r="237" spans="4:19">
      <c r="D237" t="str">
        <f>'Audit Report'!B237</f>
        <v>ITD-SHRXXX-XX236</v>
      </c>
      <c r="E237" t="str">
        <f>'Audit Report'!C237</f>
        <v/>
      </c>
      <c r="I237" t="str">
        <f>'Audit Report'!E237</f>
        <v/>
      </c>
      <c r="J237" t="str">
        <f>'Audit Report'!G237</f>
        <v/>
      </c>
      <c r="L237" t="str">
        <f>_xlfn.TEXTJOIN(", ", FALSE, 'Audit Report'!J237,'Audit Report'!K237,'Audit Report'!L237)</f>
        <v xml:space="preserve">, , </v>
      </c>
      <c r="M237" t="str">
        <f>'Audit Report'!M237</f>
        <v/>
      </c>
      <c r="N237" t="str" cm="1">
        <f t="array" ref="N237">IF(M237="","",
_xlfn.TEXTJOIN(", ",TRUE,
    _xlfn.MAP(_xlfn.TEXTSPLIT(M237,","),_xlfn.LAMBDA(_xlpm.x,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7" t="e">
        <f>'Audit Report'!#REF!</f>
        <v>#REF!</v>
      </c>
      <c r="S237" t="str">
        <f>'Audit Report'!N237</f>
        <v/>
      </c>
    </row>
    <row r="238" spans="4:19">
      <c r="D238" t="str">
        <f>'Audit Report'!B238</f>
        <v>ITD-SHRXXX-XX237</v>
      </c>
      <c r="E238" t="str">
        <f>'Audit Report'!C238</f>
        <v/>
      </c>
      <c r="I238" t="str">
        <f>'Audit Report'!E238</f>
        <v/>
      </c>
      <c r="J238" t="str">
        <f>'Audit Report'!G238</f>
        <v/>
      </c>
      <c r="L238" t="str">
        <f>_xlfn.TEXTJOIN(", ", FALSE, 'Audit Report'!J238,'Audit Report'!K238,'Audit Report'!L238)</f>
        <v xml:space="preserve">, , </v>
      </c>
      <c r="M238" t="str">
        <f>'Audit Report'!M238</f>
        <v/>
      </c>
      <c r="N238" t="str" cm="1">
        <f t="array" ref="N238">IF(M238="","",
_xlfn.TEXTJOIN(", ",TRUE,
    _xlfn.MAP(_xlfn.TEXTSPLIT(M238,","),_xlfn.LAMBDA(_xlpm.x,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8" t="e">
        <f>'Audit Report'!#REF!</f>
        <v>#REF!</v>
      </c>
      <c r="S238" t="str">
        <f>'Audit Report'!N238</f>
        <v/>
      </c>
    </row>
    <row r="239" spans="4:19">
      <c r="D239" t="str">
        <f>'Audit Report'!B239</f>
        <v>ITD-SHRXXX-XX238</v>
      </c>
      <c r="E239" t="str">
        <f>'Audit Report'!C239</f>
        <v/>
      </c>
      <c r="I239" t="str">
        <f>'Audit Report'!E239</f>
        <v/>
      </c>
      <c r="J239" t="str">
        <f>'Audit Report'!G239</f>
        <v/>
      </c>
      <c r="L239" t="str">
        <f>_xlfn.TEXTJOIN(", ", FALSE, 'Audit Report'!J239,'Audit Report'!K239,'Audit Report'!L239)</f>
        <v xml:space="preserve">, , </v>
      </c>
      <c r="M239" t="str">
        <f>'Audit Report'!M239</f>
        <v/>
      </c>
      <c r="N239" t="str" cm="1">
        <f t="array" ref="N239">IF(M239="","",
_xlfn.TEXTJOIN(", ",TRUE,
    _xlfn.MAP(_xlfn.TEXTSPLIT(M239,","),_xlfn.LAMBDA(_xlpm.x,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9" t="e">
        <f>'Audit Report'!#REF!</f>
        <v>#REF!</v>
      </c>
      <c r="S239" t="str">
        <f>'Audit Report'!N239</f>
        <v/>
      </c>
    </row>
    <row r="240" spans="4:19">
      <c r="D240" t="str">
        <f>'Audit Report'!B240</f>
        <v>ITD-SHRXXX-XX239</v>
      </c>
      <c r="E240" t="str">
        <f>'Audit Report'!C240</f>
        <v/>
      </c>
      <c r="I240" t="str">
        <f>'Audit Report'!E240</f>
        <v/>
      </c>
      <c r="J240" t="str">
        <f>'Audit Report'!G240</f>
        <v/>
      </c>
      <c r="L240" t="str">
        <f>_xlfn.TEXTJOIN(", ", FALSE, 'Audit Report'!J240,'Audit Report'!K240,'Audit Report'!L240)</f>
        <v xml:space="preserve">, , </v>
      </c>
      <c r="M240" t="str">
        <f>'Audit Report'!M240</f>
        <v/>
      </c>
      <c r="N240" t="str" cm="1">
        <f t="array" ref="N240">IF(M240="","",
_xlfn.TEXTJOIN(", ",TRUE,
    _xlfn.MAP(_xlfn.TEXTSPLIT(M240,","),_xlfn.LAMBDA(_xlpm.x,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0" t="e">
        <f>'Audit Report'!#REF!</f>
        <v>#REF!</v>
      </c>
      <c r="S240" t="str">
        <f>'Audit Report'!N240</f>
        <v/>
      </c>
    </row>
    <row r="241" spans="4:19">
      <c r="D241" t="str">
        <f>'Audit Report'!B241</f>
        <v>ITD-SHRXXX-XX240</v>
      </c>
      <c r="E241" t="str">
        <f>'Audit Report'!C241</f>
        <v/>
      </c>
      <c r="I241" t="str">
        <f>'Audit Report'!E241</f>
        <v/>
      </c>
      <c r="J241" t="str">
        <f>'Audit Report'!G241</f>
        <v/>
      </c>
      <c r="L241" t="str">
        <f>_xlfn.TEXTJOIN(", ", FALSE, 'Audit Report'!J241,'Audit Report'!K241,'Audit Report'!L241)</f>
        <v xml:space="preserve">, , </v>
      </c>
      <c r="M241" t="str">
        <f>'Audit Report'!M241</f>
        <v/>
      </c>
      <c r="N241" t="str" cm="1">
        <f t="array" ref="N241">IF(M241="","",
_xlfn.TEXTJOIN(", ",TRUE,
    _xlfn.MAP(_xlfn.TEXTSPLIT(M241,","),_xlfn.LAMBDA(_xlpm.x,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1" t="e">
        <f>'Audit Report'!#REF!</f>
        <v>#REF!</v>
      </c>
      <c r="S241" t="str">
        <f>'Audit Report'!N241</f>
        <v/>
      </c>
    </row>
    <row r="242" spans="4:19">
      <c r="D242" t="str">
        <f>'Audit Report'!B242</f>
        <v>ITD-SHRXXX-XX241</v>
      </c>
      <c r="E242" t="str">
        <f>'Audit Report'!C242</f>
        <v/>
      </c>
      <c r="I242" t="str">
        <f>'Audit Report'!E242</f>
        <v/>
      </c>
      <c r="J242" t="str">
        <f>'Audit Report'!G242</f>
        <v/>
      </c>
      <c r="L242" t="str">
        <f>_xlfn.TEXTJOIN(", ", FALSE, 'Audit Report'!J242,'Audit Report'!K242,'Audit Report'!L242)</f>
        <v xml:space="preserve">, , </v>
      </c>
      <c r="M242" t="str">
        <f>'Audit Report'!M242</f>
        <v/>
      </c>
      <c r="N242" t="str" cm="1">
        <f t="array" ref="N242">IF(M242="","",
_xlfn.TEXTJOIN(", ",TRUE,
    _xlfn.MAP(_xlfn.TEXTSPLIT(M242,","),_xlfn.LAMBDA(_xlpm.x,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2" t="e">
        <f>'Audit Report'!#REF!</f>
        <v>#REF!</v>
      </c>
      <c r="S242" t="str">
        <f>'Audit Report'!N242</f>
        <v/>
      </c>
    </row>
    <row r="243" spans="4:19">
      <c r="D243" t="str">
        <f>'Audit Report'!B243</f>
        <v>ITD-SHRXXX-XX242</v>
      </c>
      <c r="E243" t="str">
        <f>'Audit Report'!C243</f>
        <v/>
      </c>
      <c r="I243" t="str">
        <f>'Audit Report'!E243</f>
        <v/>
      </c>
      <c r="J243" t="str">
        <f>'Audit Report'!G243</f>
        <v/>
      </c>
      <c r="L243" t="str">
        <f>_xlfn.TEXTJOIN(", ", FALSE, 'Audit Report'!J243,'Audit Report'!K243,'Audit Report'!L243)</f>
        <v xml:space="preserve">, , </v>
      </c>
      <c r="M243" t="str">
        <f>'Audit Report'!M243</f>
        <v/>
      </c>
      <c r="N243" t="str" cm="1">
        <f t="array" ref="N243">IF(M243="","",
_xlfn.TEXTJOIN(", ",TRUE,
    _xlfn.MAP(_xlfn.TEXTSPLIT(M243,","),_xlfn.LAMBDA(_xlpm.x,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3" t="e">
        <f>'Audit Report'!#REF!</f>
        <v>#REF!</v>
      </c>
      <c r="S243" t="str">
        <f>'Audit Report'!N243</f>
        <v/>
      </c>
    </row>
    <row r="244" spans="4:19">
      <c r="D244" t="str">
        <f>'Audit Report'!B244</f>
        <v>ITD-SHRXXX-XX243</v>
      </c>
      <c r="E244" t="str">
        <f>'Audit Report'!C244</f>
        <v/>
      </c>
      <c r="I244" t="str">
        <f>'Audit Report'!E244</f>
        <v/>
      </c>
      <c r="J244" t="str">
        <f>'Audit Report'!G244</f>
        <v/>
      </c>
      <c r="L244" t="str">
        <f>_xlfn.TEXTJOIN(", ", FALSE, 'Audit Report'!J244,'Audit Report'!K244,'Audit Report'!L244)</f>
        <v xml:space="preserve">, , </v>
      </c>
      <c r="M244" t="str">
        <f>'Audit Report'!M244</f>
        <v/>
      </c>
      <c r="N244" t="str" cm="1">
        <f t="array" ref="N244">IF(M244="","",
_xlfn.TEXTJOIN(", ",TRUE,
    _xlfn.MAP(_xlfn.TEXTSPLIT(M244,","),_xlfn.LAMBDA(_xlpm.x,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4" t="e">
        <f>'Audit Report'!#REF!</f>
        <v>#REF!</v>
      </c>
      <c r="S244" t="str">
        <f>'Audit Report'!N244</f>
        <v/>
      </c>
    </row>
    <row r="245" spans="4:19">
      <c r="D245" t="str">
        <f>'Audit Report'!B245</f>
        <v>ITD-SHRXXX-XX244</v>
      </c>
      <c r="E245" t="str">
        <f>'Audit Report'!C245</f>
        <v/>
      </c>
      <c r="I245" t="str">
        <f>'Audit Report'!E245</f>
        <v/>
      </c>
      <c r="J245" t="str">
        <f>'Audit Report'!G245</f>
        <v/>
      </c>
      <c r="L245" t="str">
        <f>_xlfn.TEXTJOIN(", ", FALSE, 'Audit Report'!J245,'Audit Report'!K245,'Audit Report'!L245)</f>
        <v xml:space="preserve">, , </v>
      </c>
      <c r="M245" t="str">
        <f>'Audit Report'!M245</f>
        <v/>
      </c>
      <c r="N245" t="str" cm="1">
        <f t="array" ref="N245">IF(M245="","",
_xlfn.TEXTJOIN(", ",TRUE,
    _xlfn.MAP(_xlfn.TEXTSPLIT(M245,","),_xlfn.LAMBDA(_xlpm.x,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5" t="e">
        <f>'Audit Report'!#REF!</f>
        <v>#REF!</v>
      </c>
      <c r="S245" t="str">
        <f>'Audit Report'!N245</f>
        <v/>
      </c>
    </row>
    <row r="246" spans="4:19">
      <c r="D246" t="str">
        <f>'Audit Report'!B246</f>
        <v>ITD-SHRXXX-XX245</v>
      </c>
      <c r="E246" t="str">
        <f>'Audit Report'!C246</f>
        <v/>
      </c>
      <c r="I246" t="str">
        <f>'Audit Report'!E246</f>
        <v/>
      </c>
      <c r="J246" t="str">
        <f>'Audit Report'!G246</f>
        <v/>
      </c>
      <c r="L246" t="str">
        <f>_xlfn.TEXTJOIN(", ", FALSE, 'Audit Report'!J246,'Audit Report'!K246,'Audit Report'!L246)</f>
        <v xml:space="preserve">, , </v>
      </c>
      <c r="M246" t="str">
        <f>'Audit Report'!M246</f>
        <v/>
      </c>
      <c r="N246" t="str" cm="1">
        <f t="array" ref="N246">IF(M246="","",
_xlfn.TEXTJOIN(", ",TRUE,
    _xlfn.MAP(_xlfn.TEXTSPLIT(M246,","),_xlfn.LAMBDA(_xlpm.x,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6" t="e">
        <f>'Audit Report'!#REF!</f>
        <v>#REF!</v>
      </c>
      <c r="S246" t="str">
        <f>'Audit Report'!N246</f>
        <v/>
      </c>
    </row>
    <row r="247" spans="4:19">
      <c r="D247" t="str">
        <f>'Audit Report'!B247</f>
        <v>ITD-SHRXXX-XX246</v>
      </c>
      <c r="E247" t="str">
        <f>'Audit Report'!C247</f>
        <v/>
      </c>
      <c r="I247" t="str">
        <f>'Audit Report'!E247</f>
        <v/>
      </c>
      <c r="J247" t="str">
        <f>'Audit Report'!G247</f>
        <v/>
      </c>
      <c r="L247" t="str">
        <f>_xlfn.TEXTJOIN(", ", FALSE, 'Audit Report'!J247,'Audit Report'!K247,'Audit Report'!L247)</f>
        <v xml:space="preserve">, , </v>
      </c>
      <c r="M247" t="str">
        <f>'Audit Report'!M247</f>
        <v/>
      </c>
      <c r="N247" t="str" cm="1">
        <f t="array" ref="N247">IF(M247="","",
_xlfn.TEXTJOIN(", ",TRUE,
    _xlfn.MAP(_xlfn.TEXTSPLIT(M247,","),_xlfn.LAMBDA(_xlpm.x,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7" t="e">
        <f>'Audit Report'!#REF!</f>
        <v>#REF!</v>
      </c>
      <c r="S247" t="str">
        <f>'Audit Report'!N247</f>
        <v/>
      </c>
    </row>
    <row r="248" spans="4:19">
      <c r="D248" t="str">
        <f>'Audit Report'!B248</f>
        <v>ITD-SHRXXX-XX247</v>
      </c>
      <c r="E248" t="str">
        <f>'Audit Report'!C248</f>
        <v/>
      </c>
      <c r="I248" t="str">
        <f>'Audit Report'!E248</f>
        <v/>
      </c>
      <c r="J248" t="str">
        <f>'Audit Report'!G248</f>
        <v/>
      </c>
      <c r="L248" t="str">
        <f>_xlfn.TEXTJOIN(", ", FALSE, 'Audit Report'!J248,'Audit Report'!K248,'Audit Report'!L248)</f>
        <v xml:space="preserve">, , </v>
      </c>
      <c r="M248" t="str">
        <f>'Audit Report'!M248</f>
        <v/>
      </c>
      <c r="N248" t="str" cm="1">
        <f t="array" ref="N248">IF(M248="","",
_xlfn.TEXTJOIN(", ",TRUE,
    _xlfn.MAP(_xlfn.TEXTSPLIT(M248,","),_xlfn.LAMBDA(_xlpm.x,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8" t="e">
        <f>'Audit Report'!#REF!</f>
        <v>#REF!</v>
      </c>
      <c r="S248" t="str">
        <f>'Audit Report'!N248</f>
        <v/>
      </c>
    </row>
    <row r="249" spans="4:19">
      <c r="D249" t="str">
        <f>'Audit Report'!B249</f>
        <v>ITD-SHRXXX-XX248</v>
      </c>
      <c r="E249" t="str">
        <f>'Audit Report'!C249</f>
        <v/>
      </c>
      <c r="I249" t="str">
        <f>'Audit Report'!E249</f>
        <v/>
      </c>
      <c r="J249" t="str">
        <f>'Audit Report'!G249</f>
        <v/>
      </c>
      <c r="L249" t="str">
        <f>_xlfn.TEXTJOIN(", ", FALSE, 'Audit Report'!J249,'Audit Report'!K249,'Audit Report'!L249)</f>
        <v xml:space="preserve">, , </v>
      </c>
      <c r="M249" t="str">
        <f>'Audit Report'!M249</f>
        <v/>
      </c>
      <c r="N249" t="str" cm="1">
        <f t="array" ref="N249">IF(M249="","",
_xlfn.TEXTJOIN(", ",TRUE,
    _xlfn.MAP(_xlfn.TEXTSPLIT(M249,","),_xlfn.LAMBDA(_xlpm.x,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9" t="e">
        <f>'Audit Report'!#REF!</f>
        <v>#REF!</v>
      </c>
      <c r="S249" t="str">
        <f>'Audit Report'!N249</f>
        <v/>
      </c>
    </row>
    <row r="250" spans="4:19">
      <c r="D250" t="str">
        <f>'Audit Report'!B250</f>
        <v>ITD-SHRXXX-XX249</v>
      </c>
      <c r="E250" t="str">
        <f>'Audit Report'!C250</f>
        <v/>
      </c>
      <c r="I250" t="str">
        <f>'Audit Report'!E250</f>
        <v/>
      </c>
      <c r="J250" t="str">
        <f>'Audit Report'!G250</f>
        <v/>
      </c>
      <c r="L250" t="str">
        <f>_xlfn.TEXTJOIN(", ", FALSE, 'Audit Report'!J250,'Audit Report'!K250,'Audit Report'!L250)</f>
        <v xml:space="preserve">, , </v>
      </c>
      <c r="M250" t="str">
        <f>'Audit Report'!M250</f>
        <v/>
      </c>
      <c r="N250" t="str" cm="1">
        <f t="array" ref="N250">IF(M250="","",
_xlfn.TEXTJOIN(", ",TRUE,
    _xlfn.MAP(_xlfn.TEXTSPLIT(M250,","),_xlfn.LAMBDA(_xlpm.x,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0" t="e">
        <f>'Audit Report'!#REF!</f>
        <v>#REF!</v>
      </c>
      <c r="S250" t="str">
        <f>'Audit Report'!N250</f>
        <v/>
      </c>
    </row>
    <row r="251" spans="4:19">
      <c r="D251" t="str">
        <f>'Audit Report'!B251</f>
        <v>ITD-SHRXXX-XX250</v>
      </c>
      <c r="E251" t="str">
        <f>'Audit Report'!C251</f>
        <v/>
      </c>
      <c r="I251" t="str">
        <f>'Audit Report'!E251</f>
        <v/>
      </c>
      <c r="J251" t="str">
        <f>'Audit Report'!G251</f>
        <v/>
      </c>
      <c r="L251" t="str">
        <f>_xlfn.TEXTJOIN(", ", FALSE, 'Audit Report'!J251,'Audit Report'!K251,'Audit Report'!L251)</f>
        <v xml:space="preserve">, , </v>
      </c>
      <c r="M251" t="str">
        <f>'Audit Report'!M251</f>
        <v/>
      </c>
      <c r="N251" t="str" cm="1">
        <f t="array" ref="N251">IF(M251="","",
_xlfn.TEXTJOIN(", ",TRUE,
    _xlfn.MAP(_xlfn.TEXTSPLIT(M251,","),_xlfn.LAMBDA(_xlpm.x,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1" t="e">
        <f>'Audit Report'!#REF!</f>
        <v>#REF!</v>
      </c>
      <c r="S251" t="str">
        <f>'Audit Report'!N251</f>
        <v/>
      </c>
    </row>
    <row r="252" spans="4:19">
      <c r="D252" t="str">
        <f>'Audit Report'!B252</f>
        <v>ITD-SHRXXX-XX251</v>
      </c>
      <c r="E252" t="str">
        <f>'Audit Report'!C252</f>
        <v/>
      </c>
      <c r="I252" t="str">
        <f>'Audit Report'!E252</f>
        <v/>
      </c>
      <c r="J252" t="str">
        <f>'Audit Report'!G252</f>
        <v/>
      </c>
      <c r="L252" t="str">
        <f>_xlfn.TEXTJOIN(", ", FALSE, 'Audit Report'!J252,'Audit Report'!K252,'Audit Report'!L252)</f>
        <v xml:space="preserve">, , </v>
      </c>
      <c r="M252" t="str">
        <f>'Audit Report'!M252</f>
        <v/>
      </c>
      <c r="N252" t="str" cm="1">
        <f t="array" ref="N252">IF(M252="","",
_xlfn.TEXTJOIN(", ",TRUE,
    _xlfn.MAP(_xlfn.TEXTSPLIT(M252,","),_xlfn.LAMBDA(_xlpm.x,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2" t="e">
        <f>'Audit Report'!#REF!</f>
        <v>#REF!</v>
      </c>
      <c r="S252" t="str">
        <f>'Audit Report'!N252</f>
        <v/>
      </c>
    </row>
    <row r="253" spans="4:19">
      <c r="D253" t="str">
        <f>'Audit Report'!B253</f>
        <v>ITD-SHRXXX-XX252</v>
      </c>
      <c r="E253" t="str">
        <f>'Audit Report'!C253</f>
        <v/>
      </c>
      <c r="I253" t="str">
        <f>'Audit Report'!E253</f>
        <v/>
      </c>
      <c r="J253" t="str">
        <f>'Audit Report'!G253</f>
        <v/>
      </c>
      <c r="L253" t="str">
        <f>_xlfn.TEXTJOIN(", ", FALSE, 'Audit Report'!J253,'Audit Report'!K253,'Audit Report'!L253)</f>
        <v xml:space="preserve">, , </v>
      </c>
      <c r="M253" t="str">
        <f>'Audit Report'!M253</f>
        <v/>
      </c>
      <c r="N253" t="str" cm="1">
        <f t="array" ref="N253">IF(M253="","",
_xlfn.TEXTJOIN(", ",TRUE,
    _xlfn.MAP(_xlfn.TEXTSPLIT(M253,","),_xlfn.LAMBDA(_xlpm.x,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3" t="e">
        <f>'Audit Report'!#REF!</f>
        <v>#REF!</v>
      </c>
      <c r="S253" t="str">
        <f>'Audit Report'!N253</f>
        <v/>
      </c>
    </row>
    <row r="254" spans="4:19">
      <c r="D254" t="str">
        <f>'Audit Report'!B254</f>
        <v>ITD-SHRXXX-XX253</v>
      </c>
      <c r="E254" t="str">
        <f>'Audit Report'!C254</f>
        <v/>
      </c>
      <c r="I254" t="str">
        <f>'Audit Report'!E254</f>
        <v/>
      </c>
      <c r="J254" t="str">
        <f>'Audit Report'!G254</f>
        <v/>
      </c>
      <c r="L254" t="str">
        <f>_xlfn.TEXTJOIN(", ", FALSE, 'Audit Report'!J254,'Audit Report'!K254,'Audit Report'!L254)</f>
        <v xml:space="preserve">, , </v>
      </c>
      <c r="M254" t="str">
        <f>'Audit Report'!M254</f>
        <v/>
      </c>
      <c r="N254" t="str" cm="1">
        <f t="array" ref="N254">IF(M254="","",
_xlfn.TEXTJOIN(", ",TRUE,
    _xlfn.MAP(_xlfn.TEXTSPLIT(M254,","),_xlfn.LAMBDA(_xlpm.x,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4" t="e">
        <f>'Audit Report'!#REF!</f>
        <v>#REF!</v>
      </c>
      <c r="S254" t="str">
        <f>'Audit Report'!N254</f>
        <v/>
      </c>
    </row>
    <row r="255" spans="4:19">
      <c r="D255" t="str">
        <f>'Audit Report'!B255</f>
        <v>ITD-SHRXXX-XX254</v>
      </c>
      <c r="E255" t="str">
        <f>'Audit Report'!C255</f>
        <v/>
      </c>
      <c r="I255" t="str">
        <f>'Audit Report'!E255</f>
        <v/>
      </c>
      <c r="J255" t="str">
        <f>'Audit Report'!G255</f>
        <v/>
      </c>
      <c r="L255" t="str">
        <f>_xlfn.TEXTJOIN(", ", FALSE, 'Audit Report'!J255,'Audit Report'!K255,'Audit Report'!L255)</f>
        <v xml:space="preserve">, , </v>
      </c>
      <c r="M255" t="str">
        <f>'Audit Report'!M255</f>
        <v/>
      </c>
      <c r="N255" t="str" cm="1">
        <f t="array" ref="N255">IF(M255="","",
_xlfn.TEXTJOIN(", ",TRUE,
    _xlfn.MAP(_xlfn.TEXTSPLIT(M255,","),_xlfn.LAMBDA(_xlpm.x,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5" t="e">
        <f>'Audit Report'!#REF!</f>
        <v>#REF!</v>
      </c>
      <c r="S255" t="str">
        <f>'Audit Report'!N255</f>
        <v/>
      </c>
    </row>
    <row r="256" spans="4:19">
      <c r="D256" t="str">
        <f>'Audit Report'!B256</f>
        <v>ITD-SHRXXX-XX255</v>
      </c>
      <c r="E256" t="str">
        <f>'Audit Report'!C256</f>
        <v/>
      </c>
      <c r="I256" t="str">
        <f>'Audit Report'!E256</f>
        <v/>
      </c>
      <c r="J256" t="str">
        <f>'Audit Report'!G256</f>
        <v/>
      </c>
      <c r="L256" t="str">
        <f>_xlfn.TEXTJOIN(", ", FALSE, 'Audit Report'!J256,'Audit Report'!K256,'Audit Report'!L256)</f>
        <v xml:space="preserve">, , </v>
      </c>
      <c r="M256" t="str">
        <f>'Audit Report'!M256</f>
        <v/>
      </c>
      <c r="N256" t="str" cm="1">
        <f t="array" ref="N256">IF(M256="","",
_xlfn.TEXTJOIN(", ",TRUE,
    _xlfn.MAP(_xlfn.TEXTSPLIT(M256,","),_xlfn.LAMBDA(_xlpm.x,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6" t="e">
        <f>'Audit Report'!#REF!</f>
        <v>#REF!</v>
      </c>
      <c r="S256" t="str">
        <f>'Audit Report'!N256</f>
        <v/>
      </c>
    </row>
    <row r="257" spans="4:19">
      <c r="D257" t="str">
        <f>'Audit Report'!B257</f>
        <v>ITD-SHRXXX-XX256</v>
      </c>
      <c r="E257" t="str">
        <f>'Audit Report'!C257</f>
        <v/>
      </c>
      <c r="I257" t="str">
        <f>'Audit Report'!E257</f>
        <v/>
      </c>
      <c r="J257" t="str">
        <f>'Audit Report'!G257</f>
        <v/>
      </c>
      <c r="L257" t="str">
        <f>_xlfn.TEXTJOIN(", ", FALSE, 'Audit Report'!J257,'Audit Report'!K257,'Audit Report'!L257)</f>
        <v xml:space="preserve">, , </v>
      </c>
      <c r="M257" t="str">
        <f>'Audit Report'!M257</f>
        <v/>
      </c>
      <c r="N257" t="str" cm="1">
        <f t="array" ref="N257">IF(M257="","",
_xlfn.TEXTJOIN(", ",TRUE,
    _xlfn.MAP(_xlfn.TEXTSPLIT(M257,","),_xlfn.LAMBDA(_xlpm.x,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7" t="e">
        <f>'Audit Report'!#REF!</f>
        <v>#REF!</v>
      </c>
      <c r="S257" t="str">
        <f>'Audit Report'!N257</f>
        <v/>
      </c>
    </row>
    <row r="258" spans="4:19">
      <c r="D258" t="str">
        <f>'Audit Report'!B258</f>
        <v>ITD-SHRXXX-XX257</v>
      </c>
      <c r="E258" t="str">
        <f>'Audit Report'!C258</f>
        <v/>
      </c>
      <c r="I258" t="str">
        <f>'Audit Report'!E258</f>
        <v/>
      </c>
      <c r="J258" t="str">
        <f>'Audit Report'!G258</f>
        <v/>
      </c>
      <c r="L258" t="str">
        <f>_xlfn.TEXTJOIN(", ", FALSE, 'Audit Report'!J258,'Audit Report'!K258,'Audit Report'!L258)</f>
        <v xml:space="preserve">, , </v>
      </c>
      <c r="M258" t="str">
        <f>'Audit Report'!M258</f>
        <v/>
      </c>
      <c r="N258" t="str" cm="1">
        <f t="array" ref="N258">IF(M258="","",
_xlfn.TEXTJOIN(", ",TRUE,
    _xlfn.MAP(_xlfn.TEXTSPLIT(M258,","),_xlfn.LAMBDA(_xlpm.x,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8" t="e">
        <f>'Audit Report'!#REF!</f>
        <v>#REF!</v>
      </c>
      <c r="S258" t="str">
        <f>'Audit Report'!N258</f>
        <v/>
      </c>
    </row>
    <row r="259" spans="4:19">
      <c r="D259" t="str">
        <f>'Audit Report'!B259</f>
        <v>ITD-SHRXXX-XX258</v>
      </c>
      <c r="E259" t="str">
        <f>'Audit Report'!C259</f>
        <v/>
      </c>
      <c r="I259" t="str">
        <f>'Audit Report'!E259</f>
        <v/>
      </c>
      <c r="J259" t="str">
        <f>'Audit Report'!G259</f>
        <v/>
      </c>
      <c r="L259" t="str">
        <f>_xlfn.TEXTJOIN(", ", FALSE, 'Audit Report'!J259,'Audit Report'!K259,'Audit Report'!L259)</f>
        <v xml:space="preserve">, , </v>
      </c>
      <c r="M259" t="str">
        <f>'Audit Report'!M259</f>
        <v/>
      </c>
      <c r="N259" t="str" cm="1">
        <f t="array" ref="N259">IF(M259="","",
_xlfn.TEXTJOIN(", ",TRUE,
    _xlfn.MAP(_xlfn.TEXTSPLIT(M259,","),_xlfn.LAMBDA(_xlpm.x,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9" t="e">
        <f>'Audit Report'!#REF!</f>
        <v>#REF!</v>
      </c>
      <c r="S259" t="str">
        <f>'Audit Report'!N259</f>
        <v/>
      </c>
    </row>
    <row r="260" spans="4:19">
      <c r="D260" t="str">
        <f>'Audit Report'!B260</f>
        <v>ITD-SHRXXX-XX259</v>
      </c>
      <c r="E260" t="str">
        <f>'Audit Report'!C260</f>
        <v/>
      </c>
      <c r="I260" t="str">
        <f>'Audit Report'!E260</f>
        <v/>
      </c>
      <c r="J260" t="str">
        <f>'Audit Report'!G260</f>
        <v/>
      </c>
      <c r="L260" t="str">
        <f>_xlfn.TEXTJOIN(", ", FALSE, 'Audit Report'!J260,'Audit Report'!K260,'Audit Report'!L260)</f>
        <v xml:space="preserve">, , </v>
      </c>
      <c r="M260" t="str">
        <f>'Audit Report'!M260</f>
        <v/>
      </c>
      <c r="N260" t="str" cm="1">
        <f t="array" ref="N260">IF(M260="","",
_xlfn.TEXTJOIN(", ",TRUE,
    _xlfn.MAP(_xlfn.TEXTSPLIT(M260,","),_xlfn.LAMBDA(_xlpm.x,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0" t="e">
        <f>'Audit Report'!#REF!</f>
        <v>#REF!</v>
      </c>
      <c r="S260" t="str">
        <f>'Audit Report'!N260</f>
        <v/>
      </c>
    </row>
    <row r="261" spans="4:19">
      <c r="D261" t="str">
        <f>'Audit Report'!B261</f>
        <v>ITD-SHRXXX-XX260</v>
      </c>
      <c r="E261" t="str">
        <f>'Audit Report'!C261</f>
        <v/>
      </c>
      <c r="I261" t="str">
        <f>'Audit Report'!E261</f>
        <v/>
      </c>
      <c r="J261" t="str">
        <f>'Audit Report'!G261</f>
        <v/>
      </c>
      <c r="L261" t="str">
        <f>_xlfn.TEXTJOIN(", ", FALSE, 'Audit Report'!J261,'Audit Report'!K261,'Audit Report'!L261)</f>
        <v xml:space="preserve">, , </v>
      </c>
      <c r="M261" t="str">
        <f>'Audit Report'!M261</f>
        <v/>
      </c>
      <c r="N261" t="str" cm="1">
        <f t="array" ref="N261">IF(M261="","",
_xlfn.TEXTJOIN(", ",TRUE,
    _xlfn.MAP(_xlfn.TEXTSPLIT(M261,","),_xlfn.LAMBDA(_xlpm.x,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1" t="e">
        <f>'Audit Report'!#REF!</f>
        <v>#REF!</v>
      </c>
      <c r="S261" t="str">
        <f>'Audit Report'!N261</f>
        <v/>
      </c>
    </row>
    <row r="262" spans="4:19">
      <c r="D262" t="str">
        <f>'Audit Report'!B262</f>
        <v>ITD-SHRXXX-XX261</v>
      </c>
      <c r="E262" t="str">
        <f>'Audit Report'!C262</f>
        <v/>
      </c>
      <c r="I262" t="str">
        <f>'Audit Report'!E262</f>
        <v/>
      </c>
      <c r="J262" t="str">
        <f>'Audit Report'!G262</f>
        <v/>
      </c>
      <c r="L262" t="str">
        <f>_xlfn.TEXTJOIN(", ", FALSE, 'Audit Report'!J262,'Audit Report'!K262,'Audit Report'!L262)</f>
        <v xml:space="preserve">, , </v>
      </c>
      <c r="M262" t="str">
        <f>'Audit Report'!M262</f>
        <v/>
      </c>
      <c r="N262" t="str" cm="1">
        <f t="array" ref="N262">IF(M262="","",
_xlfn.TEXTJOIN(", ",TRUE,
    _xlfn.MAP(_xlfn.TEXTSPLIT(M262,","),_xlfn.LAMBDA(_xlpm.x,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2" t="e">
        <f>'Audit Report'!#REF!</f>
        <v>#REF!</v>
      </c>
      <c r="S262" t="str">
        <f>'Audit Report'!N262</f>
        <v/>
      </c>
    </row>
    <row r="263" spans="4:19">
      <c r="D263" t="str">
        <f>'Audit Report'!B263</f>
        <v>ITD-SHRXXX-XX262</v>
      </c>
      <c r="E263" t="str">
        <f>'Audit Report'!C263</f>
        <v/>
      </c>
      <c r="I263" t="str">
        <f>'Audit Report'!E263</f>
        <v/>
      </c>
      <c r="J263" t="str">
        <f>'Audit Report'!G263</f>
        <v/>
      </c>
      <c r="L263" t="str">
        <f>_xlfn.TEXTJOIN(", ", FALSE, 'Audit Report'!J263,'Audit Report'!K263,'Audit Report'!L263)</f>
        <v xml:space="preserve">, , </v>
      </c>
      <c r="M263" t="str">
        <f>'Audit Report'!M263</f>
        <v/>
      </c>
      <c r="N263" t="str" cm="1">
        <f t="array" ref="N263">IF(M263="","",
_xlfn.TEXTJOIN(", ",TRUE,
    _xlfn.MAP(_xlfn.TEXTSPLIT(M263,","),_xlfn.LAMBDA(_xlpm.x,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3" t="e">
        <f>'Audit Report'!#REF!</f>
        <v>#REF!</v>
      </c>
      <c r="S263" t="str">
        <f>'Audit Report'!N263</f>
        <v/>
      </c>
    </row>
    <row r="264" spans="4:19">
      <c r="D264" t="str">
        <f>'Audit Report'!B264</f>
        <v>ITD-SHRXXX-XX263</v>
      </c>
      <c r="E264" t="str">
        <f>'Audit Report'!C264</f>
        <v/>
      </c>
      <c r="I264" t="str">
        <f>'Audit Report'!E264</f>
        <v/>
      </c>
      <c r="J264" t="str">
        <f>'Audit Report'!G264</f>
        <v/>
      </c>
      <c r="L264" t="str">
        <f>_xlfn.TEXTJOIN(", ", FALSE, 'Audit Report'!J264,'Audit Report'!K264,'Audit Report'!L264)</f>
        <v xml:space="preserve">, , </v>
      </c>
      <c r="M264" t="str">
        <f>'Audit Report'!M264</f>
        <v/>
      </c>
      <c r="N264" t="str" cm="1">
        <f t="array" ref="N264">IF(M264="","",
_xlfn.TEXTJOIN(", ",TRUE,
    _xlfn.MAP(_xlfn.TEXTSPLIT(M264,","),_xlfn.LAMBDA(_xlpm.x,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4" t="e">
        <f>'Audit Report'!#REF!</f>
        <v>#REF!</v>
      </c>
      <c r="S264" t="str">
        <f>'Audit Report'!N264</f>
        <v/>
      </c>
    </row>
    <row r="265" spans="4:19">
      <c r="D265" t="str">
        <f>'Audit Report'!B265</f>
        <v>ITD-SHRXXX-XX264</v>
      </c>
      <c r="E265" t="str">
        <f>'Audit Report'!C265</f>
        <v/>
      </c>
      <c r="I265" t="str">
        <f>'Audit Report'!E265</f>
        <v/>
      </c>
      <c r="J265" t="str">
        <f>'Audit Report'!G265</f>
        <v/>
      </c>
      <c r="L265" t="str">
        <f>_xlfn.TEXTJOIN(", ", FALSE, 'Audit Report'!J265,'Audit Report'!K265,'Audit Report'!L265)</f>
        <v xml:space="preserve">, , </v>
      </c>
      <c r="M265" t="str">
        <f>'Audit Report'!M265</f>
        <v/>
      </c>
      <c r="N265" t="str" cm="1">
        <f t="array" ref="N265">IF(M265="","",
_xlfn.TEXTJOIN(", ",TRUE,
    _xlfn.MAP(_xlfn.TEXTSPLIT(M265,","),_xlfn.LAMBDA(_xlpm.x,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5" t="e">
        <f>'Audit Report'!#REF!</f>
        <v>#REF!</v>
      </c>
      <c r="S265" t="str">
        <f>'Audit Report'!N265</f>
        <v/>
      </c>
    </row>
    <row r="266" spans="4:19">
      <c r="D266" t="str">
        <f>'Audit Report'!B266</f>
        <v>ITD-SHRXXX-XX265</v>
      </c>
      <c r="E266" t="str">
        <f>'Audit Report'!C266</f>
        <v/>
      </c>
      <c r="I266" t="str">
        <f>'Audit Report'!E266</f>
        <v/>
      </c>
      <c r="J266" t="str">
        <f>'Audit Report'!G266</f>
        <v/>
      </c>
      <c r="L266" t="str">
        <f>_xlfn.TEXTJOIN(", ", FALSE, 'Audit Report'!J266,'Audit Report'!K266,'Audit Report'!L266)</f>
        <v xml:space="preserve">, , </v>
      </c>
      <c r="M266" t="str">
        <f>'Audit Report'!M266</f>
        <v/>
      </c>
      <c r="N266" t="str" cm="1">
        <f t="array" ref="N266">IF(M266="","",
_xlfn.TEXTJOIN(", ",TRUE,
    _xlfn.MAP(_xlfn.TEXTSPLIT(M266,","),_xlfn.LAMBDA(_xlpm.x,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6" t="e">
        <f>'Audit Report'!#REF!</f>
        <v>#REF!</v>
      </c>
      <c r="S266" t="str">
        <f>'Audit Report'!N266</f>
        <v/>
      </c>
    </row>
    <row r="267" spans="4:19">
      <c r="D267" t="str">
        <f>'Audit Report'!B267</f>
        <v>ITD-SHRXXX-XX266</v>
      </c>
      <c r="E267" t="str">
        <f>'Audit Report'!C267</f>
        <v/>
      </c>
      <c r="I267" t="str">
        <f>'Audit Report'!E267</f>
        <v/>
      </c>
      <c r="J267" t="str">
        <f>'Audit Report'!G267</f>
        <v/>
      </c>
      <c r="L267" t="str">
        <f>_xlfn.TEXTJOIN(", ", FALSE, 'Audit Report'!J267,'Audit Report'!K267,'Audit Report'!L267)</f>
        <v xml:space="preserve">, , </v>
      </c>
      <c r="M267" t="str">
        <f>'Audit Report'!M267</f>
        <v/>
      </c>
      <c r="N267" t="str" cm="1">
        <f t="array" ref="N267">IF(M267="","",
_xlfn.TEXTJOIN(", ",TRUE,
    _xlfn.MAP(_xlfn.TEXTSPLIT(M267,","),_xlfn.LAMBDA(_xlpm.x,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7" t="e">
        <f>'Audit Report'!#REF!</f>
        <v>#REF!</v>
      </c>
      <c r="S267" t="str">
        <f>'Audit Report'!N267</f>
        <v/>
      </c>
    </row>
    <row r="268" spans="4:19">
      <c r="D268" t="str">
        <f>'Audit Report'!B268</f>
        <v>ITD-SHRXXX-XX267</v>
      </c>
      <c r="E268" t="str">
        <f>'Audit Report'!C268</f>
        <v/>
      </c>
      <c r="I268" t="str">
        <f>'Audit Report'!E268</f>
        <v/>
      </c>
      <c r="J268" t="str">
        <f>'Audit Report'!G268</f>
        <v/>
      </c>
      <c r="L268" t="str">
        <f>_xlfn.TEXTJOIN(", ", FALSE, 'Audit Report'!J268,'Audit Report'!K268,'Audit Report'!L268)</f>
        <v xml:space="preserve">, , </v>
      </c>
      <c r="M268" t="str">
        <f>'Audit Report'!M268</f>
        <v/>
      </c>
      <c r="N268" t="str" cm="1">
        <f t="array" ref="N268">IF(M268="","",
_xlfn.TEXTJOIN(", ",TRUE,
    _xlfn.MAP(_xlfn.TEXTSPLIT(M268,","),_xlfn.LAMBDA(_xlpm.x,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8" t="e">
        <f>'Audit Report'!#REF!</f>
        <v>#REF!</v>
      </c>
      <c r="S268" t="str">
        <f>'Audit Report'!N268</f>
        <v/>
      </c>
    </row>
    <row r="269" spans="4:19">
      <c r="D269" t="str">
        <f>'Audit Report'!B269</f>
        <v>ITD-SHRXXX-XX268</v>
      </c>
      <c r="E269" t="str">
        <f>'Audit Report'!C269</f>
        <v/>
      </c>
      <c r="I269" t="str">
        <f>'Audit Report'!E269</f>
        <v/>
      </c>
      <c r="J269" t="str">
        <f>'Audit Report'!G269</f>
        <v/>
      </c>
      <c r="L269" t="str">
        <f>_xlfn.TEXTJOIN(", ", FALSE, 'Audit Report'!J269,'Audit Report'!K269,'Audit Report'!L269)</f>
        <v xml:space="preserve">, , </v>
      </c>
      <c r="M269" t="str">
        <f>'Audit Report'!M269</f>
        <v/>
      </c>
      <c r="N269" t="str" cm="1">
        <f t="array" ref="N269">IF(M269="","",
_xlfn.TEXTJOIN(", ",TRUE,
    _xlfn.MAP(_xlfn.TEXTSPLIT(M269,","),_xlfn.LAMBDA(_xlpm.x,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9" t="e">
        <f>'Audit Report'!#REF!</f>
        <v>#REF!</v>
      </c>
      <c r="S269" t="str">
        <f>'Audit Report'!N269</f>
        <v/>
      </c>
    </row>
    <row r="270" spans="4:19">
      <c r="D270" t="str">
        <f>'Audit Report'!B270</f>
        <v>ITD-SHRXXX-XX269</v>
      </c>
      <c r="E270" t="str">
        <f>'Audit Report'!C270</f>
        <v/>
      </c>
      <c r="I270" t="str">
        <f>'Audit Report'!E270</f>
        <v/>
      </c>
      <c r="J270" t="str">
        <f>'Audit Report'!G270</f>
        <v/>
      </c>
      <c r="L270" t="str">
        <f>_xlfn.TEXTJOIN(", ", FALSE, 'Audit Report'!J270,'Audit Report'!K270,'Audit Report'!L270)</f>
        <v xml:space="preserve">, , </v>
      </c>
      <c r="M270" t="str">
        <f>'Audit Report'!M270</f>
        <v/>
      </c>
      <c r="N270" t="str" cm="1">
        <f t="array" ref="N270">IF(M270="","",
_xlfn.TEXTJOIN(", ",TRUE,
    _xlfn.MAP(_xlfn.TEXTSPLIT(M270,","),_xlfn.LAMBDA(_xlpm.x,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0" t="e">
        <f>'Audit Report'!#REF!</f>
        <v>#REF!</v>
      </c>
      <c r="S270" t="str">
        <f>'Audit Report'!N270</f>
        <v/>
      </c>
    </row>
    <row r="271" spans="4:19">
      <c r="D271" t="str">
        <f>'Audit Report'!B271</f>
        <v>ITD-SHRXXX-XX270</v>
      </c>
      <c r="E271" t="str">
        <f>'Audit Report'!C271</f>
        <v/>
      </c>
      <c r="I271" t="str">
        <f>'Audit Report'!E271</f>
        <v/>
      </c>
      <c r="J271" t="str">
        <f>'Audit Report'!G271</f>
        <v/>
      </c>
      <c r="L271" t="str">
        <f>_xlfn.TEXTJOIN(", ", FALSE, 'Audit Report'!J271,'Audit Report'!K271,'Audit Report'!L271)</f>
        <v xml:space="preserve">, , </v>
      </c>
      <c r="M271" t="str">
        <f>'Audit Report'!M271</f>
        <v/>
      </c>
      <c r="N271" t="str" cm="1">
        <f t="array" ref="N271">IF(M271="","",
_xlfn.TEXTJOIN(", ",TRUE,
    _xlfn.MAP(_xlfn.TEXTSPLIT(M271,","),_xlfn.LAMBDA(_xlpm.x,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1" t="e">
        <f>'Audit Report'!#REF!</f>
        <v>#REF!</v>
      </c>
      <c r="S271" t="str">
        <f>'Audit Report'!N271</f>
        <v/>
      </c>
    </row>
    <row r="272" spans="4:19">
      <c r="D272" t="str">
        <f>'Audit Report'!B272</f>
        <v>ITD-SHRXXX-XX271</v>
      </c>
      <c r="E272" t="str">
        <f>'Audit Report'!C272</f>
        <v/>
      </c>
      <c r="I272" t="str">
        <f>'Audit Report'!E272</f>
        <v/>
      </c>
      <c r="J272" t="str">
        <f>'Audit Report'!G272</f>
        <v/>
      </c>
      <c r="L272" t="str">
        <f>_xlfn.TEXTJOIN(", ", FALSE, 'Audit Report'!J272,'Audit Report'!K272,'Audit Report'!L272)</f>
        <v xml:space="preserve">, , </v>
      </c>
      <c r="M272" t="str">
        <f>'Audit Report'!M272</f>
        <v/>
      </c>
      <c r="N272" t="str" cm="1">
        <f t="array" ref="N272">IF(M272="","",
_xlfn.TEXTJOIN(", ",TRUE,
    _xlfn.MAP(_xlfn.TEXTSPLIT(M272,","),_xlfn.LAMBDA(_xlpm.x,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2" t="e">
        <f>'Audit Report'!#REF!</f>
        <v>#REF!</v>
      </c>
      <c r="S272" t="str">
        <f>'Audit Report'!N272</f>
        <v/>
      </c>
    </row>
    <row r="273" spans="4:19">
      <c r="D273" t="str">
        <f>'Audit Report'!B273</f>
        <v>ITD-SHRXXX-XX272</v>
      </c>
      <c r="E273" t="str">
        <f>'Audit Report'!C273</f>
        <v/>
      </c>
      <c r="I273" t="str">
        <f>'Audit Report'!E273</f>
        <v/>
      </c>
      <c r="J273" t="str">
        <f>'Audit Report'!G273</f>
        <v/>
      </c>
      <c r="L273" t="str">
        <f>_xlfn.TEXTJOIN(", ", FALSE, 'Audit Report'!J273,'Audit Report'!K273,'Audit Report'!L273)</f>
        <v xml:space="preserve">, , </v>
      </c>
      <c r="M273" t="str">
        <f>'Audit Report'!M273</f>
        <v/>
      </c>
      <c r="N273" t="str" cm="1">
        <f t="array" ref="N273">IF(M273="","",
_xlfn.TEXTJOIN(", ",TRUE,
    _xlfn.MAP(_xlfn.TEXTSPLIT(M273,","),_xlfn.LAMBDA(_xlpm.x,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3" t="e">
        <f>'Audit Report'!#REF!</f>
        <v>#REF!</v>
      </c>
      <c r="S273" t="str">
        <f>'Audit Report'!N273</f>
        <v/>
      </c>
    </row>
    <row r="274" spans="4:19">
      <c r="D274" t="str">
        <f>'Audit Report'!B274</f>
        <v>ITD-SHRXXX-XX273</v>
      </c>
      <c r="E274" t="str">
        <f>'Audit Report'!C274</f>
        <v/>
      </c>
      <c r="I274" t="str">
        <f>'Audit Report'!E274</f>
        <v/>
      </c>
      <c r="J274" t="str">
        <f>'Audit Report'!G274</f>
        <v/>
      </c>
      <c r="L274" t="str">
        <f>_xlfn.TEXTJOIN(", ", FALSE, 'Audit Report'!J274,'Audit Report'!K274,'Audit Report'!L274)</f>
        <v xml:space="preserve">, , </v>
      </c>
      <c r="M274" t="str">
        <f>'Audit Report'!M274</f>
        <v/>
      </c>
      <c r="N274" t="str" cm="1">
        <f t="array" ref="N274">IF(M274="","",
_xlfn.TEXTJOIN(", ",TRUE,
    _xlfn.MAP(_xlfn.TEXTSPLIT(M274,","),_xlfn.LAMBDA(_xlpm.x,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4" t="e">
        <f>'Audit Report'!#REF!</f>
        <v>#REF!</v>
      </c>
      <c r="S274" t="str">
        <f>'Audit Report'!N274</f>
        <v/>
      </c>
    </row>
    <row r="275" spans="4:19">
      <c r="D275" t="str">
        <f>'Audit Report'!B275</f>
        <v>ITD-SHRXXX-XX274</v>
      </c>
      <c r="E275" t="str">
        <f>'Audit Report'!C275</f>
        <v/>
      </c>
      <c r="I275" t="str">
        <f>'Audit Report'!E275</f>
        <v/>
      </c>
      <c r="J275" t="str">
        <f>'Audit Report'!G275</f>
        <v/>
      </c>
      <c r="L275" t="str">
        <f>_xlfn.TEXTJOIN(", ", FALSE, 'Audit Report'!J275,'Audit Report'!K275,'Audit Report'!L275)</f>
        <v xml:space="preserve">, , </v>
      </c>
      <c r="M275" t="str">
        <f>'Audit Report'!M275</f>
        <v/>
      </c>
      <c r="N275" t="str" cm="1">
        <f t="array" ref="N275">IF(M275="","",
_xlfn.TEXTJOIN(", ",TRUE,
    _xlfn.MAP(_xlfn.TEXTSPLIT(M275,","),_xlfn.LAMBDA(_xlpm.x,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5" t="e">
        <f>'Audit Report'!#REF!</f>
        <v>#REF!</v>
      </c>
      <c r="S275" t="str">
        <f>'Audit Report'!N275</f>
        <v/>
      </c>
    </row>
    <row r="276" spans="4:19">
      <c r="D276" t="str">
        <f>'Audit Report'!B276</f>
        <v>ITD-SHRXXX-XX275</v>
      </c>
      <c r="E276" t="str">
        <f>'Audit Report'!C276</f>
        <v/>
      </c>
      <c r="I276" t="str">
        <f>'Audit Report'!E276</f>
        <v/>
      </c>
      <c r="J276" t="str">
        <f>'Audit Report'!G276</f>
        <v/>
      </c>
      <c r="L276" t="str">
        <f>_xlfn.TEXTJOIN(", ", FALSE, 'Audit Report'!J276,'Audit Report'!K276,'Audit Report'!L276)</f>
        <v xml:space="preserve">, , </v>
      </c>
      <c r="M276" t="str">
        <f>'Audit Report'!M276</f>
        <v/>
      </c>
      <c r="N276" t="str" cm="1">
        <f t="array" ref="N276">IF(M276="","",
_xlfn.TEXTJOIN(", ",TRUE,
    _xlfn.MAP(_xlfn.TEXTSPLIT(M276,","),_xlfn.LAMBDA(_xlpm.x,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6" t="e">
        <f>'Audit Report'!#REF!</f>
        <v>#REF!</v>
      </c>
      <c r="S276" t="str">
        <f>'Audit Report'!N276</f>
        <v/>
      </c>
    </row>
    <row r="277" spans="4:19">
      <c r="D277" t="str">
        <f>'Audit Report'!B277</f>
        <v>ITD-SHRXXX-XX276</v>
      </c>
      <c r="E277" t="str">
        <f>'Audit Report'!C277</f>
        <v/>
      </c>
      <c r="I277" t="str">
        <f>'Audit Report'!E277</f>
        <v/>
      </c>
      <c r="J277" t="str">
        <f>'Audit Report'!G277</f>
        <v/>
      </c>
      <c r="L277" t="str">
        <f>_xlfn.TEXTJOIN(", ", FALSE, 'Audit Report'!J277,'Audit Report'!K277,'Audit Report'!L277)</f>
        <v xml:space="preserve">, , </v>
      </c>
      <c r="M277" t="str">
        <f>'Audit Report'!M277</f>
        <v/>
      </c>
      <c r="N277" t="str" cm="1">
        <f t="array" ref="N277">IF(M277="","",
_xlfn.TEXTJOIN(", ",TRUE,
    _xlfn.MAP(_xlfn.TEXTSPLIT(M277,","),_xlfn.LAMBDA(_xlpm.x,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7" t="e">
        <f>'Audit Report'!#REF!</f>
        <v>#REF!</v>
      </c>
      <c r="S277" t="str">
        <f>'Audit Report'!N277</f>
        <v/>
      </c>
    </row>
    <row r="278" spans="4:19">
      <c r="D278" t="str">
        <f>'Audit Report'!B278</f>
        <v>ITD-SHRXXX-XX277</v>
      </c>
      <c r="E278" t="str">
        <f>'Audit Report'!C278</f>
        <v/>
      </c>
      <c r="I278" t="str">
        <f>'Audit Report'!E278</f>
        <v/>
      </c>
      <c r="J278" t="str">
        <f>'Audit Report'!G278</f>
        <v/>
      </c>
      <c r="L278" t="str">
        <f>_xlfn.TEXTJOIN(", ", FALSE, 'Audit Report'!J278,'Audit Report'!K278,'Audit Report'!L278)</f>
        <v xml:space="preserve">, , </v>
      </c>
      <c r="M278" t="str">
        <f>'Audit Report'!M278</f>
        <v/>
      </c>
      <c r="N278" t="str" cm="1">
        <f t="array" ref="N278">IF(M278="","",
_xlfn.TEXTJOIN(", ",TRUE,
    _xlfn.MAP(_xlfn.TEXTSPLIT(M278,","),_xlfn.LAMBDA(_xlpm.x,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8" t="e">
        <f>'Audit Report'!#REF!</f>
        <v>#REF!</v>
      </c>
      <c r="S278" t="str">
        <f>'Audit Report'!N278</f>
        <v/>
      </c>
    </row>
    <row r="279" spans="4:19">
      <c r="D279" t="str">
        <f>'Audit Report'!B279</f>
        <v>ITD-SHRXXX-XX278</v>
      </c>
      <c r="E279" t="str">
        <f>'Audit Report'!C279</f>
        <v/>
      </c>
      <c r="I279" t="str">
        <f>'Audit Report'!E279</f>
        <v/>
      </c>
      <c r="J279" t="str">
        <f>'Audit Report'!G279</f>
        <v/>
      </c>
      <c r="L279" t="str">
        <f>_xlfn.TEXTJOIN(", ", FALSE, 'Audit Report'!J279,'Audit Report'!K279,'Audit Report'!L279)</f>
        <v xml:space="preserve">, , </v>
      </c>
      <c r="M279" t="str">
        <f>'Audit Report'!M279</f>
        <v/>
      </c>
      <c r="N279" t="str" cm="1">
        <f t="array" ref="N279">IF(M279="","",
_xlfn.TEXTJOIN(", ",TRUE,
    _xlfn.MAP(_xlfn.TEXTSPLIT(M279,","),_xlfn.LAMBDA(_xlpm.x,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9" t="e">
        <f>'Audit Report'!#REF!</f>
        <v>#REF!</v>
      </c>
      <c r="S279" t="str">
        <f>'Audit Report'!N279</f>
        <v/>
      </c>
    </row>
    <row r="280" spans="4:19">
      <c r="D280" t="str">
        <f>'Audit Report'!B280</f>
        <v>ITD-SHRXXX-XX279</v>
      </c>
      <c r="E280" t="str">
        <f>'Audit Report'!C280</f>
        <v/>
      </c>
      <c r="I280" t="str">
        <f>'Audit Report'!E280</f>
        <v/>
      </c>
      <c r="J280" t="str">
        <f>'Audit Report'!G280</f>
        <v/>
      </c>
      <c r="L280" t="str">
        <f>_xlfn.TEXTJOIN(", ", FALSE, 'Audit Report'!J280,'Audit Report'!K280,'Audit Report'!L280)</f>
        <v xml:space="preserve">, , </v>
      </c>
      <c r="M280" t="str">
        <f>'Audit Report'!M280</f>
        <v/>
      </c>
      <c r="N280" t="str" cm="1">
        <f t="array" ref="N280">IF(M280="","",
_xlfn.TEXTJOIN(", ",TRUE,
    _xlfn.MAP(_xlfn.TEXTSPLIT(M280,","),_xlfn.LAMBDA(_xlpm.x,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0" t="e">
        <f>'Audit Report'!#REF!</f>
        <v>#REF!</v>
      </c>
      <c r="S280" t="str">
        <f>'Audit Report'!N280</f>
        <v/>
      </c>
    </row>
    <row r="281" spans="4:19">
      <c r="D281" t="str">
        <f>'Audit Report'!B281</f>
        <v>ITD-SHRXXX-XX280</v>
      </c>
      <c r="E281" t="str">
        <f>'Audit Report'!C281</f>
        <v/>
      </c>
      <c r="I281" t="str">
        <f>'Audit Report'!E281</f>
        <v/>
      </c>
      <c r="J281" t="str">
        <f>'Audit Report'!G281</f>
        <v/>
      </c>
      <c r="L281" t="str">
        <f>_xlfn.TEXTJOIN(", ", FALSE, 'Audit Report'!J281,'Audit Report'!K281,'Audit Report'!L281)</f>
        <v xml:space="preserve">, , </v>
      </c>
      <c r="M281" t="str">
        <f>'Audit Report'!M281</f>
        <v/>
      </c>
      <c r="N281" t="str" cm="1">
        <f t="array" ref="N281">IF(M281="","",
_xlfn.TEXTJOIN(", ",TRUE,
    _xlfn.MAP(_xlfn.TEXTSPLIT(M281,","),_xlfn.LAMBDA(_xlpm.x,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1" t="e">
        <f>'Audit Report'!#REF!</f>
        <v>#REF!</v>
      </c>
      <c r="S281" t="str">
        <f>'Audit Report'!N281</f>
        <v/>
      </c>
    </row>
    <row r="282" spans="4:19">
      <c r="D282" t="str">
        <f>'Audit Report'!B282</f>
        <v>ITD-SHRXXX-XX281</v>
      </c>
      <c r="E282" t="str">
        <f>'Audit Report'!C282</f>
        <v/>
      </c>
      <c r="I282" t="str">
        <f>'Audit Report'!E282</f>
        <v/>
      </c>
      <c r="J282" t="str">
        <f>'Audit Report'!G282</f>
        <v/>
      </c>
      <c r="L282" t="str">
        <f>_xlfn.TEXTJOIN(", ", FALSE, 'Audit Report'!J282,'Audit Report'!K282,'Audit Report'!L282)</f>
        <v xml:space="preserve">, , </v>
      </c>
      <c r="M282" t="str">
        <f>'Audit Report'!M282</f>
        <v/>
      </c>
      <c r="N282" t="str" cm="1">
        <f t="array" ref="N282">IF(M282="","",
_xlfn.TEXTJOIN(", ",TRUE,
    _xlfn.MAP(_xlfn.TEXTSPLIT(M282,","),_xlfn.LAMBDA(_xlpm.x,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2" t="e">
        <f>'Audit Report'!#REF!</f>
        <v>#REF!</v>
      </c>
      <c r="S282" t="str">
        <f>'Audit Report'!N282</f>
        <v/>
      </c>
    </row>
    <row r="283" spans="4:19">
      <c r="D283" t="str">
        <f>'Audit Report'!B283</f>
        <v>ITD-SHRXXX-XX282</v>
      </c>
      <c r="E283" t="str">
        <f>'Audit Report'!C283</f>
        <v/>
      </c>
      <c r="I283" t="str">
        <f>'Audit Report'!E283</f>
        <v/>
      </c>
      <c r="J283" t="str">
        <f>'Audit Report'!G283</f>
        <v/>
      </c>
      <c r="L283" t="str">
        <f>_xlfn.TEXTJOIN(", ", FALSE, 'Audit Report'!J283,'Audit Report'!K283,'Audit Report'!L283)</f>
        <v xml:space="preserve">, , </v>
      </c>
      <c r="M283" t="str">
        <f>'Audit Report'!M283</f>
        <v/>
      </c>
      <c r="N283" t="str" cm="1">
        <f t="array" ref="N283">IF(M283="","",
_xlfn.TEXTJOIN(", ",TRUE,
    _xlfn.MAP(_xlfn.TEXTSPLIT(M283,","),_xlfn.LAMBDA(_xlpm.x,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3" t="e">
        <f>'Audit Report'!#REF!</f>
        <v>#REF!</v>
      </c>
      <c r="S283" t="str">
        <f>'Audit Report'!N283</f>
        <v/>
      </c>
    </row>
    <row r="284" spans="4:19">
      <c r="D284" t="str">
        <f>'Audit Report'!B284</f>
        <v>ITD-SHRXXX-XX283</v>
      </c>
      <c r="E284" t="str">
        <f>'Audit Report'!C284</f>
        <v/>
      </c>
      <c r="I284" t="str">
        <f>'Audit Report'!E284</f>
        <v/>
      </c>
      <c r="J284" t="str">
        <f>'Audit Report'!G284</f>
        <v/>
      </c>
      <c r="L284" t="str">
        <f>_xlfn.TEXTJOIN(", ", FALSE, 'Audit Report'!J284,'Audit Report'!K284,'Audit Report'!L284)</f>
        <v xml:space="preserve">, , </v>
      </c>
      <c r="M284" t="str">
        <f>'Audit Report'!M284</f>
        <v/>
      </c>
      <c r="N284" t="str" cm="1">
        <f t="array" ref="N284">IF(M284="","",
_xlfn.TEXTJOIN(", ",TRUE,
    _xlfn.MAP(_xlfn.TEXTSPLIT(M284,","),_xlfn.LAMBDA(_xlpm.x,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4" t="e">
        <f>'Audit Report'!#REF!</f>
        <v>#REF!</v>
      </c>
      <c r="S284" t="str">
        <f>'Audit Report'!N284</f>
        <v/>
      </c>
    </row>
    <row r="285" spans="4:19">
      <c r="D285" t="str">
        <f>'Audit Report'!B285</f>
        <v>ITD-SHRXXX-XX284</v>
      </c>
      <c r="E285" t="str">
        <f>'Audit Report'!C285</f>
        <v/>
      </c>
      <c r="I285" t="str">
        <f>'Audit Report'!E285</f>
        <v/>
      </c>
      <c r="J285" t="str">
        <f>'Audit Report'!G285</f>
        <v/>
      </c>
      <c r="L285" t="str">
        <f>_xlfn.TEXTJOIN(", ", FALSE, 'Audit Report'!J285,'Audit Report'!K285,'Audit Report'!L285)</f>
        <v xml:space="preserve">, , </v>
      </c>
      <c r="M285" t="str">
        <f>'Audit Report'!M285</f>
        <v/>
      </c>
      <c r="N285" t="str" cm="1">
        <f t="array" ref="N285">IF(M285="","",
_xlfn.TEXTJOIN(", ",TRUE,
    _xlfn.MAP(_xlfn.TEXTSPLIT(M285,","),_xlfn.LAMBDA(_xlpm.x,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5" t="e">
        <f>'Audit Report'!#REF!</f>
        <v>#REF!</v>
      </c>
      <c r="S285" t="str">
        <f>'Audit Report'!N285</f>
        <v/>
      </c>
    </row>
    <row r="286" spans="4:19">
      <c r="D286" t="str">
        <f>'Audit Report'!B286</f>
        <v>ITD-SHRXXX-XX285</v>
      </c>
      <c r="E286" t="str">
        <f>'Audit Report'!C286</f>
        <v/>
      </c>
      <c r="I286" t="str">
        <f>'Audit Report'!E286</f>
        <v/>
      </c>
      <c r="J286" t="str">
        <f>'Audit Report'!G286</f>
        <v/>
      </c>
      <c r="L286" t="str">
        <f>_xlfn.TEXTJOIN(", ", FALSE, 'Audit Report'!J286,'Audit Report'!K286,'Audit Report'!L286)</f>
        <v xml:space="preserve">, , </v>
      </c>
      <c r="M286" t="str">
        <f>'Audit Report'!M286</f>
        <v/>
      </c>
      <c r="N286" t="str" cm="1">
        <f t="array" ref="N286">IF(M286="","",
_xlfn.TEXTJOIN(", ",TRUE,
    _xlfn.MAP(_xlfn.TEXTSPLIT(M286,","),_xlfn.LAMBDA(_xlpm.x,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6" t="e">
        <f>'Audit Report'!#REF!</f>
        <v>#REF!</v>
      </c>
      <c r="S286" t="str">
        <f>'Audit Report'!N286</f>
        <v/>
      </c>
    </row>
    <row r="287" spans="4:19">
      <c r="D287" t="str">
        <f>'Audit Report'!B287</f>
        <v>ITD-SHRXXX-XX286</v>
      </c>
      <c r="E287" t="str">
        <f>'Audit Report'!C287</f>
        <v/>
      </c>
      <c r="I287" t="str">
        <f>'Audit Report'!E287</f>
        <v/>
      </c>
      <c r="J287" t="str">
        <f>'Audit Report'!G287</f>
        <v/>
      </c>
      <c r="L287" t="str">
        <f>_xlfn.TEXTJOIN(", ", FALSE, 'Audit Report'!J287,'Audit Report'!K287,'Audit Report'!L287)</f>
        <v xml:space="preserve">, , </v>
      </c>
      <c r="M287" t="str">
        <f>'Audit Report'!M287</f>
        <v/>
      </c>
      <c r="N287" t="str" cm="1">
        <f t="array" ref="N287">IF(M287="","",
_xlfn.TEXTJOIN(", ",TRUE,
    _xlfn.MAP(_xlfn.TEXTSPLIT(M287,","),_xlfn.LAMBDA(_xlpm.x,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7" t="e">
        <f>'Audit Report'!#REF!</f>
        <v>#REF!</v>
      </c>
      <c r="S287" t="str">
        <f>'Audit Report'!N287</f>
        <v/>
      </c>
    </row>
    <row r="288" spans="4:19">
      <c r="D288" t="str">
        <f>'Audit Report'!B288</f>
        <v>ITD-SHRXXX-XX287</v>
      </c>
      <c r="E288" t="str">
        <f>'Audit Report'!C288</f>
        <v/>
      </c>
      <c r="I288" t="str">
        <f>'Audit Report'!E288</f>
        <v/>
      </c>
      <c r="J288" t="str">
        <f>'Audit Report'!G288</f>
        <v/>
      </c>
      <c r="L288" t="str">
        <f>_xlfn.TEXTJOIN(", ", FALSE, 'Audit Report'!J288,'Audit Report'!K288,'Audit Report'!L288)</f>
        <v xml:space="preserve">, , </v>
      </c>
      <c r="M288" t="str">
        <f>'Audit Report'!M288</f>
        <v/>
      </c>
      <c r="N288" t="str" cm="1">
        <f t="array" ref="N288">IF(M288="","",
_xlfn.TEXTJOIN(", ",TRUE,
    _xlfn.MAP(_xlfn.TEXTSPLIT(M288,","),_xlfn.LAMBDA(_xlpm.x,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8" t="e">
        <f>'Audit Report'!#REF!</f>
        <v>#REF!</v>
      </c>
      <c r="S288" t="str">
        <f>'Audit Report'!N288</f>
        <v/>
      </c>
    </row>
    <row r="289" spans="4:19">
      <c r="D289" t="str">
        <f>'Audit Report'!B289</f>
        <v>ITD-SHRXXX-XX288</v>
      </c>
      <c r="E289" t="str">
        <f>'Audit Report'!C289</f>
        <v/>
      </c>
      <c r="I289" t="str">
        <f>'Audit Report'!E289</f>
        <v/>
      </c>
      <c r="J289" t="str">
        <f>'Audit Report'!G289</f>
        <v/>
      </c>
      <c r="L289" t="str">
        <f>_xlfn.TEXTJOIN(", ", FALSE, 'Audit Report'!J289,'Audit Report'!K289,'Audit Report'!L289)</f>
        <v xml:space="preserve">, , </v>
      </c>
      <c r="M289" t="str">
        <f>'Audit Report'!M289</f>
        <v/>
      </c>
      <c r="N289" t="str" cm="1">
        <f t="array" ref="N289">IF(M289="","",
_xlfn.TEXTJOIN(", ",TRUE,
    _xlfn.MAP(_xlfn.TEXTSPLIT(M289,","),_xlfn.LAMBDA(_xlpm.x,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9" t="e">
        <f>'Audit Report'!#REF!</f>
        <v>#REF!</v>
      </c>
      <c r="S289" t="str">
        <f>'Audit Report'!N289</f>
        <v/>
      </c>
    </row>
    <row r="290" spans="4:19">
      <c r="D290" t="str">
        <f>'Audit Report'!B290</f>
        <v>ITD-SHRXXX-XX289</v>
      </c>
      <c r="E290" t="str">
        <f>'Audit Report'!C290</f>
        <v/>
      </c>
      <c r="I290" t="str">
        <f>'Audit Report'!E290</f>
        <v/>
      </c>
      <c r="J290" t="str">
        <f>'Audit Report'!G290</f>
        <v/>
      </c>
      <c r="L290" t="str">
        <f>_xlfn.TEXTJOIN(", ", FALSE, 'Audit Report'!J290,'Audit Report'!K290,'Audit Report'!L290)</f>
        <v xml:space="preserve">, , </v>
      </c>
      <c r="M290" t="str">
        <f>'Audit Report'!M290</f>
        <v/>
      </c>
      <c r="N290" t="str" cm="1">
        <f t="array" ref="N290">IF(M290="","",
_xlfn.TEXTJOIN(", ",TRUE,
    _xlfn.MAP(_xlfn.TEXTSPLIT(M290,","),_xlfn.LAMBDA(_xlpm.x,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0" t="e">
        <f>'Audit Report'!#REF!</f>
        <v>#REF!</v>
      </c>
      <c r="S290" t="str">
        <f>'Audit Report'!N290</f>
        <v/>
      </c>
    </row>
    <row r="291" spans="4:19">
      <c r="D291" t="str">
        <f>'Audit Report'!B291</f>
        <v>ITD-SHRXXX-XX290</v>
      </c>
      <c r="E291" t="str">
        <f>'Audit Report'!C291</f>
        <v/>
      </c>
      <c r="I291" t="str">
        <f>'Audit Report'!E291</f>
        <v/>
      </c>
      <c r="J291" t="str">
        <f>'Audit Report'!G291</f>
        <v/>
      </c>
      <c r="L291" t="str">
        <f>_xlfn.TEXTJOIN(", ", FALSE, 'Audit Report'!J291,'Audit Report'!K291,'Audit Report'!L291)</f>
        <v xml:space="preserve">, , </v>
      </c>
      <c r="M291" t="str">
        <f>'Audit Report'!M291</f>
        <v/>
      </c>
      <c r="N291" t="str" cm="1">
        <f t="array" ref="N291">IF(M291="","",
_xlfn.TEXTJOIN(", ",TRUE,
    _xlfn.MAP(_xlfn.TEXTSPLIT(M291,","),_xlfn.LAMBDA(_xlpm.x,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1" t="e">
        <f>'Audit Report'!#REF!</f>
        <v>#REF!</v>
      </c>
      <c r="S291" t="str">
        <f>'Audit Report'!N291</f>
        <v/>
      </c>
    </row>
    <row r="292" spans="4:19">
      <c r="D292" t="str">
        <f>'Audit Report'!B292</f>
        <v>ITD-SHRXXX-XX291</v>
      </c>
      <c r="E292" t="str">
        <f>'Audit Report'!C292</f>
        <v/>
      </c>
      <c r="I292" t="str">
        <f>'Audit Report'!E292</f>
        <v/>
      </c>
      <c r="J292" t="str">
        <f>'Audit Report'!G292</f>
        <v/>
      </c>
      <c r="L292" t="str">
        <f>_xlfn.TEXTJOIN(", ", FALSE, 'Audit Report'!J292,'Audit Report'!K292,'Audit Report'!L292)</f>
        <v xml:space="preserve">, , </v>
      </c>
      <c r="M292" t="str">
        <f>'Audit Report'!M292</f>
        <v/>
      </c>
      <c r="N292" t="str" cm="1">
        <f t="array" ref="N292">IF(M292="","",
_xlfn.TEXTJOIN(", ",TRUE,
    _xlfn.MAP(_xlfn.TEXTSPLIT(M292,","),_xlfn.LAMBDA(_xlpm.x,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2" t="e">
        <f>'Audit Report'!#REF!</f>
        <v>#REF!</v>
      </c>
      <c r="S292" t="str">
        <f>'Audit Report'!N292</f>
        <v/>
      </c>
    </row>
    <row r="293" spans="4:19">
      <c r="D293" t="str">
        <f>'Audit Report'!B293</f>
        <v>ITD-SHRXXX-XX292</v>
      </c>
      <c r="E293" t="str">
        <f>'Audit Report'!C293</f>
        <v/>
      </c>
      <c r="I293" t="str">
        <f>'Audit Report'!E293</f>
        <v/>
      </c>
      <c r="J293" t="str">
        <f>'Audit Report'!G293</f>
        <v/>
      </c>
      <c r="L293" t="str">
        <f>_xlfn.TEXTJOIN(", ", FALSE, 'Audit Report'!J293,'Audit Report'!K293,'Audit Report'!L293)</f>
        <v xml:space="preserve">, , </v>
      </c>
      <c r="M293" t="str">
        <f>'Audit Report'!M293</f>
        <v/>
      </c>
      <c r="N293" t="str" cm="1">
        <f t="array" ref="N293">IF(M293="","",
_xlfn.TEXTJOIN(", ",TRUE,
    _xlfn.MAP(_xlfn.TEXTSPLIT(M293,","),_xlfn.LAMBDA(_xlpm.x,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3" t="e">
        <f>'Audit Report'!#REF!</f>
        <v>#REF!</v>
      </c>
      <c r="S293" t="str">
        <f>'Audit Report'!N293</f>
        <v/>
      </c>
    </row>
    <row r="294" spans="4:19">
      <c r="D294" t="str">
        <f>'Audit Report'!B294</f>
        <v>ITD-SHRXXX-XX293</v>
      </c>
      <c r="E294" t="str">
        <f>'Audit Report'!C294</f>
        <v/>
      </c>
      <c r="I294" t="str">
        <f>'Audit Report'!E294</f>
        <v/>
      </c>
      <c r="J294" t="str">
        <f>'Audit Report'!G294</f>
        <v/>
      </c>
      <c r="L294" t="str">
        <f>_xlfn.TEXTJOIN(", ", FALSE, 'Audit Report'!J294,'Audit Report'!K294,'Audit Report'!L294)</f>
        <v xml:space="preserve">, , </v>
      </c>
      <c r="M294" t="str">
        <f>'Audit Report'!M294</f>
        <v/>
      </c>
      <c r="N294" t="str" cm="1">
        <f t="array" ref="N294">IF(M294="","",
_xlfn.TEXTJOIN(", ",TRUE,
    _xlfn.MAP(_xlfn.TEXTSPLIT(M294,","),_xlfn.LAMBDA(_xlpm.x,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4" t="e">
        <f>'Audit Report'!#REF!</f>
        <v>#REF!</v>
      </c>
      <c r="S294" t="str">
        <f>'Audit Report'!N294</f>
        <v/>
      </c>
    </row>
    <row r="295" spans="4:19">
      <c r="D295" t="str">
        <f>'Audit Report'!B295</f>
        <v>ITD-SHRXXX-XX294</v>
      </c>
      <c r="E295" t="str">
        <f>'Audit Report'!C295</f>
        <v/>
      </c>
      <c r="I295" t="str">
        <f>'Audit Report'!E295</f>
        <v/>
      </c>
      <c r="J295" t="str">
        <f>'Audit Report'!G295</f>
        <v/>
      </c>
      <c r="L295" t="str">
        <f>_xlfn.TEXTJOIN(", ", FALSE, 'Audit Report'!J295,'Audit Report'!K295,'Audit Report'!L295)</f>
        <v xml:space="preserve">, , </v>
      </c>
      <c r="M295" t="str">
        <f>'Audit Report'!M295</f>
        <v/>
      </c>
      <c r="N295" t="str" cm="1">
        <f t="array" ref="N295">IF(M295="","",
_xlfn.TEXTJOIN(", ",TRUE,
    _xlfn.MAP(_xlfn.TEXTSPLIT(M295,","),_xlfn.LAMBDA(_xlpm.x,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5" t="e">
        <f>'Audit Report'!#REF!</f>
        <v>#REF!</v>
      </c>
      <c r="S295" t="str">
        <f>'Audit Report'!N295</f>
        <v/>
      </c>
    </row>
    <row r="296" spans="4:19">
      <c r="D296" t="str">
        <f>'Audit Report'!B296</f>
        <v>ITD-SHRXXX-XX295</v>
      </c>
      <c r="E296" t="str">
        <f>'Audit Report'!C296</f>
        <v/>
      </c>
      <c r="I296" t="str">
        <f>'Audit Report'!E296</f>
        <v/>
      </c>
      <c r="J296" t="str">
        <f>'Audit Report'!G296</f>
        <v/>
      </c>
      <c r="L296" t="str">
        <f>_xlfn.TEXTJOIN(", ", FALSE, 'Audit Report'!J296,'Audit Report'!K296,'Audit Report'!L296)</f>
        <v xml:space="preserve">, , </v>
      </c>
      <c r="M296" t="str">
        <f>'Audit Report'!M296</f>
        <v/>
      </c>
      <c r="N296" t="str" cm="1">
        <f t="array" ref="N296">IF(M296="","",
_xlfn.TEXTJOIN(", ",TRUE,
    _xlfn.MAP(_xlfn.TEXTSPLIT(M296,","),_xlfn.LAMBDA(_xlpm.x,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6" t="e">
        <f>'Audit Report'!#REF!</f>
        <v>#REF!</v>
      </c>
      <c r="S296" t="str">
        <f>'Audit Report'!N296</f>
        <v/>
      </c>
    </row>
    <row r="297" spans="4:19">
      <c r="D297" t="str">
        <f>'Audit Report'!B297</f>
        <v>ITD-SHRXXX-XX296</v>
      </c>
      <c r="E297" t="str">
        <f>'Audit Report'!C297</f>
        <v/>
      </c>
      <c r="I297" t="str">
        <f>'Audit Report'!E297</f>
        <v/>
      </c>
      <c r="J297" t="str">
        <f>'Audit Report'!G297</f>
        <v/>
      </c>
      <c r="L297" t="str">
        <f>_xlfn.TEXTJOIN(", ", FALSE, 'Audit Report'!J297,'Audit Report'!K297,'Audit Report'!L297)</f>
        <v xml:space="preserve">, , </v>
      </c>
      <c r="M297" t="str">
        <f>'Audit Report'!M297</f>
        <v/>
      </c>
      <c r="N297" t="str" cm="1">
        <f t="array" ref="N297">IF(M297="","",
_xlfn.TEXTJOIN(", ",TRUE,
    _xlfn.MAP(_xlfn.TEXTSPLIT(M297,","),_xlfn.LAMBDA(_xlpm.x,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7" t="e">
        <f>'Audit Report'!#REF!</f>
        <v>#REF!</v>
      </c>
      <c r="S297" t="str">
        <f>'Audit Report'!N297</f>
        <v/>
      </c>
    </row>
    <row r="298" spans="4:19">
      <c r="D298" t="str">
        <f>'Audit Report'!B298</f>
        <v>ITD-SHRXXX-XX297</v>
      </c>
      <c r="E298" t="str">
        <f>'Audit Report'!C298</f>
        <v/>
      </c>
      <c r="I298" t="str">
        <f>'Audit Report'!E298</f>
        <v/>
      </c>
      <c r="J298" t="str">
        <f>'Audit Report'!G298</f>
        <v/>
      </c>
      <c r="L298" t="str">
        <f>_xlfn.TEXTJOIN(", ", FALSE, 'Audit Report'!J298,'Audit Report'!K298,'Audit Report'!L298)</f>
        <v xml:space="preserve">, , </v>
      </c>
      <c r="M298" t="str">
        <f>'Audit Report'!M298</f>
        <v/>
      </c>
      <c r="N298" t="str" cm="1">
        <f t="array" ref="N298">IF(M298="","",
_xlfn.TEXTJOIN(", ",TRUE,
    _xlfn.MAP(_xlfn.TEXTSPLIT(M298,","),_xlfn.LAMBDA(_xlpm.x,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8" t="e">
        <f>'Audit Report'!#REF!</f>
        <v>#REF!</v>
      </c>
      <c r="S298" t="str">
        <f>'Audit Report'!N298</f>
        <v/>
      </c>
    </row>
    <row r="299" spans="4:19">
      <c r="D299" t="str">
        <f>'Audit Report'!B299</f>
        <v>ITD-SHRXXX-XX298</v>
      </c>
      <c r="E299" t="str">
        <f>'Audit Report'!C299</f>
        <v/>
      </c>
      <c r="I299" t="str">
        <f>'Audit Report'!E299</f>
        <v/>
      </c>
      <c r="J299" t="str">
        <f>'Audit Report'!G299</f>
        <v/>
      </c>
      <c r="L299" t="str">
        <f>_xlfn.TEXTJOIN(", ", FALSE, 'Audit Report'!J299,'Audit Report'!K299,'Audit Report'!L299)</f>
        <v xml:space="preserve">, , </v>
      </c>
      <c r="M299" t="str">
        <f>'Audit Report'!M299</f>
        <v/>
      </c>
      <c r="N299" t="str" cm="1">
        <f t="array" ref="N299">IF(M299="","",
_xlfn.TEXTJOIN(", ",TRUE,
    _xlfn.MAP(_xlfn.TEXTSPLIT(M299,","),_xlfn.LAMBDA(_xlpm.x,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9" t="e">
        <f>'Audit Report'!#REF!</f>
        <v>#REF!</v>
      </c>
      <c r="S299" t="str">
        <f>'Audit Report'!N299</f>
        <v/>
      </c>
    </row>
    <row r="300" spans="4:19">
      <c r="D300" t="str">
        <f>'Audit Report'!B300</f>
        <v>ITD-SHRXXX-XX299</v>
      </c>
      <c r="E300" t="str">
        <f>'Audit Report'!C300</f>
        <v/>
      </c>
      <c r="I300" t="str">
        <f>'Audit Report'!E300</f>
        <v/>
      </c>
      <c r="J300" t="str">
        <f>'Audit Report'!G300</f>
        <v/>
      </c>
      <c r="L300" t="str">
        <f>_xlfn.TEXTJOIN(", ", FALSE, 'Audit Report'!J300,'Audit Report'!K300,'Audit Report'!L300)</f>
        <v xml:space="preserve">, , </v>
      </c>
      <c r="M300" t="str">
        <f>'Audit Report'!M300</f>
        <v/>
      </c>
      <c r="N300" t="str" cm="1">
        <f t="array" ref="N300">IF(M300="","",
_xlfn.TEXTJOIN(", ",TRUE,
    _xlfn.MAP(_xlfn.TEXTSPLIT(M300,","),_xlfn.LAMBDA(_xlpm.x,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0" t="e">
        <f>'Audit Report'!#REF!</f>
        <v>#REF!</v>
      </c>
      <c r="S300" t="str">
        <f>'Audit Report'!N300</f>
        <v/>
      </c>
    </row>
    <row r="301" spans="4:19">
      <c r="D301" t="str">
        <f>'Audit Report'!B301</f>
        <v>ITD-SHRXXX-XX300</v>
      </c>
      <c r="E301" t="str">
        <f>'Audit Report'!C301</f>
        <v/>
      </c>
      <c r="I301" t="str">
        <f>'Audit Report'!E301</f>
        <v/>
      </c>
      <c r="J301" t="str">
        <f>'Audit Report'!G301</f>
        <v/>
      </c>
      <c r="L301" t="str">
        <f>_xlfn.TEXTJOIN(", ", FALSE, 'Audit Report'!J301,'Audit Report'!K301,'Audit Report'!L301)</f>
        <v xml:space="preserve">, , </v>
      </c>
      <c r="M301" t="str">
        <f>'Audit Report'!M301</f>
        <v/>
      </c>
      <c r="N301" t="str" cm="1">
        <f t="array" ref="N301">IF(M301="","",
_xlfn.TEXTJOIN(", ",TRUE,
    _xlfn.MAP(_xlfn.TEXTSPLIT(M301,","),_xlfn.LAMBDA(_xlpm.x,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1" t="e">
        <f>'Audit Report'!#REF!</f>
        <v>#REF!</v>
      </c>
      <c r="S301" t="str">
        <f>'Audit Report'!N301</f>
        <v/>
      </c>
    </row>
    <row r="302" spans="4:19">
      <c r="D302" t="str">
        <f>'Audit Report'!B302</f>
        <v>ITD-SHRXXX-XX301</v>
      </c>
      <c r="E302" t="str">
        <f>'Audit Report'!C302</f>
        <v/>
      </c>
      <c r="I302" t="str">
        <f>'Audit Report'!E302</f>
        <v/>
      </c>
      <c r="J302" t="str">
        <f>'Audit Report'!G302</f>
        <v/>
      </c>
      <c r="L302" t="str">
        <f>_xlfn.TEXTJOIN(", ", FALSE, 'Audit Report'!J302,'Audit Report'!K302,'Audit Report'!L302)</f>
        <v xml:space="preserve">, , </v>
      </c>
      <c r="M302" t="str">
        <f>'Audit Report'!M302</f>
        <v/>
      </c>
      <c r="N302" t="str" cm="1">
        <f t="array" ref="N302">IF(M302="","",
_xlfn.TEXTJOIN(", ",TRUE,
    _xlfn.MAP(_xlfn.TEXTSPLIT(M302,","),_xlfn.LAMBDA(_xlpm.x,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2" t="e">
        <f>'Audit Report'!#REF!</f>
        <v>#REF!</v>
      </c>
      <c r="S302" t="str">
        <f>'Audit Report'!N302</f>
        <v/>
      </c>
    </row>
    <row r="303" spans="4:19">
      <c r="D303" t="str">
        <f>'Audit Report'!B303</f>
        <v>ITD-SHRXXX-XX302</v>
      </c>
      <c r="E303" t="str">
        <f>'Audit Report'!C303</f>
        <v/>
      </c>
      <c r="I303" t="str">
        <f>'Audit Report'!E303</f>
        <v/>
      </c>
      <c r="J303" t="str">
        <f>'Audit Report'!G303</f>
        <v/>
      </c>
      <c r="L303" t="str">
        <f>_xlfn.TEXTJOIN(", ", FALSE, 'Audit Report'!J303,'Audit Report'!K303,'Audit Report'!L303)</f>
        <v xml:space="preserve">, , </v>
      </c>
      <c r="M303" t="str">
        <f>'Audit Report'!M303</f>
        <v/>
      </c>
      <c r="N303" t="str" cm="1">
        <f t="array" ref="N303">IF(M303="","",
_xlfn.TEXTJOIN(", ",TRUE,
    _xlfn.MAP(_xlfn.TEXTSPLIT(M303,","),_xlfn.LAMBDA(_xlpm.x,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3" t="e">
        <f>'Audit Report'!#REF!</f>
        <v>#REF!</v>
      </c>
      <c r="S303" t="str">
        <f>'Audit Report'!N303</f>
        <v/>
      </c>
    </row>
    <row r="304" spans="4:19">
      <c r="D304" t="str">
        <f>'Audit Report'!B304</f>
        <v>ITD-SHRXXX-XX303</v>
      </c>
      <c r="E304" t="str">
        <f>'Audit Report'!C304</f>
        <v/>
      </c>
      <c r="I304" t="str">
        <f>'Audit Report'!E304</f>
        <v/>
      </c>
      <c r="J304" t="str">
        <f>'Audit Report'!G304</f>
        <v/>
      </c>
      <c r="L304" t="str">
        <f>_xlfn.TEXTJOIN(", ", FALSE, 'Audit Report'!J304,'Audit Report'!K304,'Audit Report'!L304)</f>
        <v xml:space="preserve">, , </v>
      </c>
      <c r="M304" t="str">
        <f>'Audit Report'!M304</f>
        <v/>
      </c>
      <c r="N304" t="str" cm="1">
        <f t="array" ref="N304">IF(M304="","",
_xlfn.TEXTJOIN(", ",TRUE,
    _xlfn.MAP(_xlfn.TEXTSPLIT(M304,","),_xlfn.LAMBDA(_xlpm.x,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4" t="e">
        <f>'Audit Report'!#REF!</f>
        <v>#REF!</v>
      </c>
      <c r="S304" t="str">
        <f>'Audit Report'!N304</f>
        <v/>
      </c>
    </row>
    <row r="305" spans="4:19">
      <c r="D305" t="str">
        <f>'Audit Report'!B305</f>
        <v>ITD-SHRXXX-XX304</v>
      </c>
      <c r="E305" t="str">
        <f>'Audit Report'!C305</f>
        <v/>
      </c>
      <c r="I305" t="str">
        <f>'Audit Report'!E305</f>
        <v/>
      </c>
      <c r="J305" t="str">
        <f>'Audit Report'!G305</f>
        <v/>
      </c>
      <c r="L305" t="str">
        <f>_xlfn.TEXTJOIN(", ", FALSE, 'Audit Report'!J305,'Audit Report'!K305,'Audit Report'!L305)</f>
        <v xml:space="preserve">, , </v>
      </c>
      <c r="M305" t="str">
        <f>'Audit Report'!M305</f>
        <v/>
      </c>
      <c r="N305" t="str" cm="1">
        <f t="array" ref="N305">IF(M305="","",
_xlfn.TEXTJOIN(", ",TRUE,
    _xlfn.MAP(_xlfn.TEXTSPLIT(M305,","),_xlfn.LAMBDA(_xlpm.x,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5" t="e">
        <f>'Audit Report'!#REF!</f>
        <v>#REF!</v>
      </c>
      <c r="S305" t="str">
        <f>'Audit Report'!N305</f>
        <v/>
      </c>
    </row>
    <row r="306" spans="4:19">
      <c r="D306" t="str">
        <f>'Audit Report'!B306</f>
        <v>ITD-SHRXXX-XX305</v>
      </c>
      <c r="E306" t="str">
        <f>'Audit Report'!C306</f>
        <v/>
      </c>
      <c r="I306" t="str">
        <f>'Audit Report'!E306</f>
        <v/>
      </c>
      <c r="J306" t="str">
        <f>'Audit Report'!G306</f>
        <v/>
      </c>
      <c r="L306" t="str">
        <f>_xlfn.TEXTJOIN(", ", FALSE, 'Audit Report'!J306,'Audit Report'!K306,'Audit Report'!L306)</f>
        <v xml:space="preserve">, , </v>
      </c>
      <c r="M306" t="str">
        <f>'Audit Report'!M306</f>
        <v/>
      </c>
      <c r="N306" t="str" cm="1">
        <f t="array" ref="N306">IF(M306="","",
_xlfn.TEXTJOIN(", ",TRUE,
    _xlfn.MAP(_xlfn.TEXTSPLIT(M306,","),_xlfn.LAMBDA(_xlpm.x,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6" t="e">
        <f>'Audit Report'!#REF!</f>
        <v>#REF!</v>
      </c>
      <c r="S306" t="str">
        <f>'Audit Report'!N306</f>
        <v/>
      </c>
    </row>
    <row r="307" spans="4:19">
      <c r="D307" t="str">
        <f>'Audit Report'!B307</f>
        <v>ITD-SHRXXX-XX306</v>
      </c>
      <c r="E307" t="str">
        <f>'Audit Report'!C307</f>
        <v/>
      </c>
      <c r="I307" t="str">
        <f>'Audit Report'!E307</f>
        <v/>
      </c>
      <c r="J307" t="str">
        <f>'Audit Report'!G307</f>
        <v/>
      </c>
      <c r="L307" t="str">
        <f>_xlfn.TEXTJOIN(", ", FALSE, 'Audit Report'!J307,'Audit Report'!K307,'Audit Report'!L307)</f>
        <v xml:space="preserve">, , </v>
      </c>
      <c r="M307" t="str">
        <f>'Audit Report'!M307</f>
        <v/>
      </c>
      <c r="N307" t="str" cm="1">
        <f t="array" ref="N307">IF(M307="","",
_xlfn.TEXTJOIN(", ",TRUE,
    _xlfn.MAP(_xlfn.TEXTSPLIT(M307,","),_xlfn.LAMBDA(_xlpm.x,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7" t="e">
        <f>'Audit Report'!#REF!</f>
        <v>#REF!</v>
      </c>
      <c r="S307" t="str">
        <f>'Audit Report'!N307</f>
        <v/>
      </c>
    </row>
    <row r="308" spans="4:19">
      <c r="D308" t="str">
        <f>'Audit Report'!B308</f>
        <v>ITD-SHRXXX-XX307</v>
      </c>
      <c r="E308" t="str">
        <f>'Audit Report'!C308</f>
        <v/>
      </c>
      <c r="I308" t="str">
        <f>'Audit Report'!E308</f>
        <v/>
      </c>
      <c r="J308" t="str">
        <f>'Audit Report'!G308</f>
        <v/>
      </c>
      <c r="L308" t="str">
        <f>_xlfn.TEXTJOIN(", ", FALSE, 'Audit Report'!J308,'Audit Report'!K308,'Audit Report'!L308)</f>
        <v xml:space="preserve">, , </v>
      </c>
      <c r="M308" t="str">
        <f>'Audit Report'!M308</f>
        <v/>
      </c>
      <c r="N308" t="str" cm="1">
        <f t="array" ref="N308">IF(M308="","",
_xlfn.TEXTJOIN(", ",TRUE,
    _xlfn.MAP(_xlfn.TEXTSPLIT(M308,","),_xlfn.LAMBDA(_xlpm.x,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8" t="e">
        <f>'Audit Report'!#REF!</f>
        <v>#REF!</v>
      </c>
      <c r="S308" t="str">
        <f>'Audit Report'!N308</f>
        <v/>
      </c>
    </row>
    <row r="309" spans="4:19">
      <c r="D309" t="str">
        <f>'Audit Report'!B309</f>
        <v>ITD-SHRXXX-XX308</v>
      </c>
      <c r="E309" t="str">
        <f>'Audit Report'!C309</f>
        <v/>
      </c>
      <c r="I309" t="str">
        <f>'Audit Report'!E309</f>
        <v/>
      </c>
      <c r="J309" t="str">
        <f>'Audit Report'!G309</f>
        <v/>
      </c>
      <c r="L309" t="str">
        <f>_xlfn.TEXTJOIN(", ", FALSE, 'Audit Report'!J309,'Audit Report'!K309,'Audit Report'!L309)</f>
        <v xml:space="preserve">, , </v>
      </c>
      <c r="M309" t="str">
        <f>'Audit Report'!M309</f>
        <v/>
      </c>
      <c r="N309" t="str" cm="1">
        <f t="array" ref="N309">IF(M309="","",
_xlfn.TEXTJOIN(", ",TRUE,
    _xlfn.MAP(_xlfn.TEXTSPLIT(M309,","),_xlfn.LAMBDA(_xlpm.x,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9" t="e">
        <f>'Audit Report'!#REF!</f>
        <v>#REF!</v>
      </c>
      <c r="S309" t="str">
        <f>'Audit Report'!N309</f>
        <v/>
      </c>
    </row>
    <row r="310" spans="4:19">
      <c r="D310" t="str">
        <f>'Audit Report'!B310</f>
        <v>ITD-SHRXXX-XX309</v>
      </c>
      <c r="E310" t="str">
        <f>'Audit Report'!C310</f>
        <v/>
      </c>
      <c r="I310" t="str">
        <f>'Audit Report'!E310</f>
        <v/>
      </c>
      <c r="J310" t="str">
        <f>'Audit Report'!G310</f>
        <v/>
      </c>
      <c r="L310" t="str">
        <f>_xlfn.TEXTJOIN(", ", FALSE, 'Audit Report'!J310,'Audit Report'!K310,'Audit Report'!L310)</f>
        <v xml:space="preserve">, , </v>
      </c>
      <c r="M310" t="str">
        <f>'Audit Report'!M310</f>
        <v/>
      </c>
      <c r="N310" t="str" cm="1">
        <f t="array" ref="N310">IF(M310="","",
_xlfn.TEXTJOIN(", ",TRUE,
    _xlfn.MAP(_xlfn.TEXTSPLIT(M310,","),_xlfn.LAMBDA(_xlpm.x,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0" t="e">
        <f>'Audit Report'!#REF!</f>
        <v>#REF!</v>
      </c>
      <c r="S310" t="str">
        <f>'Audit Report'!N310</f>
        <v/>
      </c>
    </row>
    <row r="311" spans="4:19">
      <c r="D311" t="str">
        <f>'Audit Report'!B311</f>
        <v>ITD-SHRXXX-XX310</v>
      </c>
      <c r="E311" t="str">
        <f>'Audit Report'!C311</f>
        <v/>
      </c>
      <c r="I311" t="str">
        <f>'Audit Report'!E311</f>
        <v/>
      </c>
      <c r="J311" t="str">
        <f>'Audit Report'!G311</f>
        <v/>
      </c>
      <c r="L311" t="str">
        <f>_xlfn.TEXTJOIN(", ", FALSE, 'Audit Report'!J311,'Audit Report'!K311,'Audit Report'!L311)</f>
        <v xml:space="preserve">, , </v>
      </c>
      <c r="M311" t="str">
        <f>'Audit Report'!M311</f>
        <v/>
      </c>
      <c r="N311" t="str" cm="1">
        <f t="array" ref="N311">IF(M311="","",
_xlfn.TEXTJOIN(", ",TRUE,
    _xlfn.MAP(_xlfn.TEXTSPLIT(M311,","),_xlfn.LAMBDA(_xlpm.x,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1" t="e">
        <f>'Audit Report'!#REF!</f>
        <v>#REF!</v>
      </c>
      <c r="S311" t="str">
        <f>'Audit Report'!N311</f>
        <v/>
      </c>
    </row>
    <row r="312" spans="4:19">
      <c r="D312" t="str">
        <f>'Audit Report'!B312</f>
        <v>ITD-SHRXXX-XX311</v>
      </c>
      <c r="E312" t="str">
        <f>'Audit Report'!C312</f>
        <v/>
      </c>
      <c r="I312" t="str">
        <f>'Audit Report'!E312</f>
        <v/>
      </c>
      <c r="J312" t="str">
        <f>'Audit Report'!G312</f>
        <v/>
      </c>
      <c r="L312" t="str">
        <f>_xlfn.TEXTJOIN(", ", FALSE, 'Audit Report'!J312,'Audit Report'!K312,'Audit Report'!L312)</f>
        <v xml:space="preserve">, , </v>
      </c>
      <c r="M312" t="str">
        <f>'Audit Report'!M312</f>
        <v/>
      </c>
      <c r="N312" t="str" cm="1">
        <f t="array" ref="N312">IF(M312="","",
_xlfn.TEXTJOIN(", ",TRUE,
    _xlfn.MAP(_xlfn.TEXTSPLIT(M312,","),_xlfn.LAMBDA(_xlpm.x,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2" t="e">
        <f>'Audit Report'!#REF!</f>
        <v>#REF!</v>
      </c>
      <c r="S312" t="str">
        <f>'Audit Report'!N312</f>
        <v/>
      </c>
    </row>
    <row r="313" spans="4:19">
      <c r="D313" t="str">
        <f>'Audit Report'!B313</f>
        <v>ITD-SHRXXX-XX312</v>
      </c>
      <c r="E313" t="str">
        <f>'Audit Report'!C313</f>
        <v/>
      </c>
      <c r="I313" t="str">
        <f>'Audit Report'!E313</f>
        <v/>
      </c>
      <c r="J313" t="str">
        <f>'Audit Report'!G313</f>
        <v/>
      </c>
      <c r="L313" t="str">
        <f>_xlfn.TEXTJOIN(", ", FALSE, 'Audit Report'!J313,'Audit Report'!K313,'Audit Report'!L313)</f>
        <v xml:space="preserve">, , </v>
      </c>
      <c r="M313" t="str">
        <f>'Audit Report'!M313</f>
        <v/>
      </c>
      <c r="N313" t="str" cm="1">
        <f t="array" ref="N313">IF(M313="","",
_xlfn.TEXTJOIN(", ",TRUE,
    _xlfn.MAP(_xlfn.TEXTSPLIT(M313,","),_xlfn.LAMBDA(_xlpm.x,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3" t="e">
        <f>'Audit Report'!#REF!</f>
        <v>#REF!</v>
      </c>
      <c r="S313" t="str">
        <f>'Audit Report'!N313</f>
        <v/>
      </c>
    </row>
    <row r="314" spans="4:19">
      <c r="D314" t="str">
        <f>'Audit Report'!B314</f>
        <v>ITD-SHRXXX-XX313</v>
      </c>
      <c r="E314" t="str">
        <f>'Audit Report'!C314</f>
        <v/>
      </c>
      <c r="I314" t="str">
        <f>'Audit Report'!E314</f>
        <v/>
      </c>
      <c r="J314" t="str">
        <f>'Audit Report'!G314</f>
        <v/>
      </c>
      <c r="L314" t="str">
        <f>_xlfn.TEXTJOIN(", ", FALSE, 'Audit Report'!J314,'Audit Report'!K314,'Audit Report'!L314)</f>
        <v xml:space="preserve">, , </v>
      </c>
      <c r="M314" t="str">
        <f>'Audit Report'!M314</f>
        <v/>
      </c>
      <c r="N314" t="str" cm="1">
        <f t="array" ref="N314">IF(M314="","",
_xlfn.TEXTJOIN(", ",TRUE,
    _xlfn.MAP(_xlfn.TEXTSPLIT(M314,","),_xlfn.LAMBDA(_xlpm.x,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4" t="e">
        <f>'Audit Report'!#REF!</f>
        <v>#REF!</v>
      </c>
      <c r="S314" t="str">
        <f>'Audit Report'!N314</f>
        <v/>
      </c>
    </row>
    <row r="315" spans="4:19">
      <c r="D315" t="str">
        <f>'Audit Report'!B315</f>
        <v>ITD-SHRXXX-XX314</v>
      </c>
      <c r="E315" t="str">
        <f>'Audit Report'!C315</f>
        <v/>
      </c>
      <c r="I315" t="str">
        <f>'Audit Report'!E315</f>
        <v/>
      </c>
      <c r="J315" t="str">
        <f>'Audit Report'!G315</f>
        <v/>
      </c>
      <c r="L315" t="str">
        <f>_xlfn.TEXTJOIN(", ", FALSE, 'Audit Report'!J315,'Audit Report'!K315,'Audit Report'!L315)</f>
        <v xml:space="preserve">, , </v>
      </c>
      <c r="M315" t="str">
        <f>'Audit Report'!M315</f>
        <v/>
      </c>
      <c r="N315" t="str" cm="1">
        <f t="array" ref="N315">IF(M315="","",
_xlfn.TEXTJOIN(", ",TRUE,
    _xlfn.MAP(_xlfn.TEXTSPLIT(M315,","),_xlfn.LAMBDA(_xlpm.x,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5" t="e">
        <f>'Audit Report'!#REF!</f>
        <v>#REF!</v>
      </c>
      <c r="S315" t="str">
        <f>'Audit Report'!N315</f>
        <v/>
      </c>
    </row>
    <row r="316" spans="4:19">
      <c r="D316" t="str">
        <f>'Audit Report'!B316</f>
        <v>ITD-SHRXXX-XX315</v>
      </c>
      <c r="E316" t="str">
        <f>'Audit Report'!C316</f>
        <v/>
      </c>
      <c r="I316" t="str">
        <f>'Audit Report'!E316</f>
        <v/>
      </c>
      <c r="J316" t="str">
        <f>'Audit Report'!G316</f>
        <v/>
      </c>
      <c r="L316" t="str">
        <f>_xlfn.TEXTJOIN(", ", FALSE, 'Audit Report'!J316,'Audit Report'!K316,'Audit Report'!L316)</f>
        <v xml:space="preserve">, , </v>
      </c>
      <c r="M316" t="str">
        <f>'Audit Report'!M316</f>
        <v/>
      </c>
      <c r="N316" t="str" cm="1">
        <f t="array" ref="N316">IF(M316="","",
_xlfn.TEXTJOIN(", ",TRUE,
    _xlfn.MAP(_xlfn.TEXTSPLIT(M316,","),_xlfn.LAMBDA(_xlpm.x,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6" t="e">
        <f>'Audit Report'!#REF!</f>
        <v>#REF!</v>
      </c>
      <c r="S316" t="str">
        <f>'Audit Report'!N316</f>
        <v/>
      </c>
    </row>
    <row r="317" spans="4:19">
      <c r="D317" t="str">
        <f>'Audit Report'!B317</f>
        <v>ITD-SHRXXX-XX316</v>
      </c>
      <c r="E317" t="str">
        <f>'Audit Report'!C317</f>
        <v/>
      </c>
      <c r="I317" t="str">
        <f>'Audit Report'!E317</f>
        <v/>
      </c>
      <c r="J317" t="str">
        <f>'Audit Report'!G317</f>
        <v/>
      </c>
      <c r="L317" t="str">
        <f>_xlfn.TEXTJOIN(", ", FALSE, 'Audit Report'!J317,'Audit Report'!K317,'Audit Report'!L317)</f>
        <v xml:space="preserve">, , </v>
      </c>
      <c r="M317" t="str">
        <f>'Audit Report'!M317</f>
        <v/>
      </c>
      <c r="N317" t="str" cm="1">
        <f t="array" ref="N317">IF(M317="","",
_xlfn.TEXTJOIN(", ",TRUE,
    _xlfn.MAP(_xlfn.TEXTSPLIT(M317,","),_xlfn.LAMBDA(_xlpm.x,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7" t="e">
        <f>'Audit Report'!#REF!</f>
        <v>#REF!</v>
      </c>
      <c r="S317" t="str">
        <f>'Audit Report'!N317</f>
        <v/>
      </c>
    </row>
    <row r="318" spans="4:19">
      <c r="D318" t="str">
        <f>'Audit Report'!B318</f>
        <v>ITD-SHRXXX-XX317</v>
      </c>
      <c r="E318" t="str">
        <f>'Audit Report'!C318</f>
        <v/>
      </c>
      <c r="I318" t="str">
        <f>'Audit Report'!E318</f>
        <v/>
      </c>
      <c r="J318" t="str">
        <f>'Audit Report'!G318</f>
        <v/>
      </c>
      <c r="L318" t="str">
        <f>_xlfn.TEXTJOIN(", ", FALSE, 'Audit Report'!J318,'Audit Report'!K318,'Audit Report'!L318)</f>
        <v xml:space="preserve">, , </v>
      </c>
      <c r="M318" t="str">
        <f>'Audit Report'!M318</f>
        <v/>
      </c>
      <c r="N318" t="str" cm="1">
        <f t="array" ref="N318">IF(M318="","",
_xlfn.TEXTJOIN(", ",TRUE,
    _xlfn.MAP(_xlfn.TEXTSPLIT(M318,","),_xlfn.LAMBDA(_xlpm.x,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8" t="e">
        <f>'Audit Report'!#REF!</f>
        <v>#REF!</v>
      </c>
      <c r="S318" t="str">
        <f>'Audit Report'!N318</f>
        <v/>
      </c>
    </row>
    <row r="319" spans="4:19">
      <c r="D319" t="str">
        <f>'Audit Report'!B319</f>
        <v>ITD-SHRXXX-XX318</v>
      </c>
      <c r="E319" t="str">
        <f>'Audit Report'!C319</f>
        <v/>
      </c>
      <c r="I319" t="str">
        <f>'Audit Report'!E319</f>
        <v/>
      </c>
      <c r="J319" t="str">
        <f>'Audit Report'!G319</f>
        <v/>
      </c>
      <c r="L319" t="str">
        <f>_xlfn.TEXTJOIN(", ", FALSE, 'Audit Report'!J319,'Audit Report'!K319,'Audit Report'!L319)</f>
        <v xml:space="preserve">, , </v>
      </c>
      <c r="M319" t="str">
        <f>'Audit Report'!M319</f>
        <v/>
      </c>
      <c r="N319" t="str" cm="1">
        <f t="array" ref="N319">IF(M319="","",
_xlfn.TEXTJOIN(", ",TRUE,
    _xlfn.MAP(_xlfn.TEXTSPLIT(M319,","),_xlfn.LAMBDA(_xlpm.x,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9" t="e">
        <f>'Audit Report'!#REF!</f>
        <v>#REF!</v>
      </c>
      <c r="S319" t="str">
        <f>'Audit Report'!N319</f>
        <v/>
      </c>
    </row>
    <row r="320" spans="4:19">
      <c r="D320" t="str">
        <f>'Audit Report'!B320</f>
        <v>ITD-SHRXXX-XX319</v>
      </c>
      <c r="E320" t="str">
        <f>'Audit Report'!C320</f>
        <v/>
      </c>
      <c r="I320" t="str">
        <f>'Audit Report'!E320</f>
        <v/>
      </c>
      <c r="J320" t="str">
        <f>'Audit Report'!G320</f>
        <v/>
      </c>
      <c r="L320" t="str">
        <f>_xlfn.TEXTJOIN(", ", FALSE, 'Audit Report'!J320,'Audit Report'!K320,'Audit Report'!L320)</f>
        <v xml:space="preserve">, , </v>
      </c>
      <c r="M320" t="str">
        <f>'Audit Report'!M320</f>
        <v/>
      </c>
      <c r="N320" t="str" cm="1">
        <f t="array" ref="N320">IF(M320="","",
_xlfn.TEXTJOIN(", ",TRUE,
    _xlfn.MAP(_xlfn.TEXTSPLIT(M320,","),_xlfn.LAMBDA(_xlpm.x,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0" t="e">
        <f>'Audit Report'!#REF!</f>
        <v>#REF!</v>
      </c>
      <c r="S320" t="str">
        <f>'Audit Report'!N320</f>
        <v/>
      </c>
    </row>
    <row r="321" spans="4:19">
      <c r="D321" t="str">
        <f>'Audit Report'!B321</f>
        <v>ITD-SHRXXX-XX320</v>
      </c>
      <c r="E321" t="str">
        <f>'Audit Report'!C321</f>
        <v/>
      </c>
      <c r="I321" t="str">
        <f>'Audit Report'!E321</f>
        <v/>
      </c>
      <c r="J321" t="str">
        <f>'Audit Report'!G321</f>
        <v/>
      </c>
      <c r="L321" t="str">
        <f>_xlfn.TEXTJOIN(", ", FALSE, 'Audit Report'!J321,'Audit Report'!K321,'Audit Report'!L321)</f>
        <v xml:space="preserve">, , </v>
      </c>
      <c r="M321" t="str">
        <f>'Audit Report'!M321</f>
        <v/>
      </c>
      <c r="N321" t="str" cm="1">
        <f t="array" ref="N321">IF(M321="","",
_xlfn.TEXTJOIN(", ",TRUE,
    _xlfn.MAP(_xlfn.TEXTSPLIT(M321,","),_xlfn.LAMBDA(_xlpm.x,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1" t="e">
        <f>'Audit Report'!#REF!</f>
        <v>#REF!</v>
      </c>
      <c r="S321" t="str">
        <f>'Audit Report'!N321</f>
        <v/>
      </c>
    </row>
    <row r="322" spans="4:19">
      <c r="D322" t="str">
        <f>'Audit Report'!B322</f>
        <v>ITD-SHRXXX-XX321</v>
      </c>
      <c r="E322" t="str">
        <f>'Audit Report'!C322</f>
        <v/>
      </c>
      <c r="I322" t="str">
        <f>'Audit Report'!E322</f>
        <v/>
      </c>
      <c r="J322" t="str">
        <f>'Audit Report'!G322</f>
        <v/>
      </c>
      <c r="L322" t="str">
        <f>_xlfn.TEXTJOIN(", ", FALSE, 'Audit Report'!J322,'Audit Report'!K322,'Audit Report'!L322)</f>
        <v xml:space="preserve">, , </v>
      </c>
      <c r="M322" t="str">
        <f>'Audit Report'!M322</f>
        <v/>
      </c>
      <c r="N322" t="str" cm="1">
        <f t="array" ref="N322">IF(M322="","",
_xlfn.TEXTJOIN(", ",TRUE,
    _xlfn.MAP(_xlfn.TEXTSPLIT(M322,","),_xlfn.LAMBDA(_xlpm.x,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2" t="e">
        <f>'Audit Report'!#REF!</f>
        <v>#REF!</v>
      </c>
      <c r="S322" t="str">
        <f>'Audit Report'!N322</f>
        <v/>
      </c>
    </row>
    <row r="323" spans="4:19">
      <c r="D323" t="str">
        <f>'Audit Report'!B323</f>
        <v>ITD-SHRXXX-XX322</v>
      </c>
      <c r="E323" t="str">
        <f>'Audit Report'!C323</f>
        <v/>
      </c>
      <c r="I323" t="str">
        <f>'Audit Report'!E323</f>
        <v/>
      </c>
      <c r="J323" t="str">
        <f>'Audit Report'!G323</f>
        <v/>
      </c>
      <c r="L323" t="str">
        <f>_xlfn.TEXTJOIN(", ", FALSE, 'Audit Report'!J323,'Audit Report'!K323,'Audit Report'!L323)</f>
        <v xml:space="preserve">, , </v>
      </c>
      <c r="M323" t="str">
        <f>'Audit Report'!M323</f>
        <v/>
      </c>
      <c r="N323" t="str" cm="1">
        <f t="array" ref="N323">IF(M323="","",
_xlfn.TEXTJOIN(", ",TRUE,
    _xlfn.MAP(_xlfn.TEXTSPLIT(M323,","),_xlfn.LAMBDA(_xlpm.x,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3" t="e">
        <f>'Audit Report'!#REF!</f>
        <v>#REF!</v>
      </c>
      <c r="S323" t="str">
        <f>'Audit Report'!N323</f>
        <v/>
      </c>
    </row>
    <row r="324" spans="4:19">
      <c r="D324" t="str">
        <f>'Audit Report'!B324</f>
        <v>ITD-SHRXXX-XX323</v>
      </c>
      <c r="E324" t="str">
        <f>'Audit Report'!C324</f>
        <v/>
      </c>
      <c r="I324" t="str">
        <f>'Audit Report'!E324</f>
        <v/>
      </c>
      <c r="J324" t="str">
        <f>'Audit Report'!G324</f>
        <v/>
      </c>
      <c r="L324" t="str">
        <f>_xlfn.TEXTJOIN(", ", FALSE, 'Audit Report'!J324,'Audit Report'!K324,'Audit Report'!L324)</f>
        <v xml:space="preserve">, , </v>
      </c>
      <c r="M324" t="str">
        <f>'Audit Report'!M324</f>
        <v/>
      </c>
      <c r="N324" t="str" cm="1">
        <f t="array" ref="N324">IF(M324="","",
_xlfn.TEXTJOIN(", ",TRUE,
    _xlfn.MAP(_xlfn.TEXTSPLIT(M324,","),_xlfn.LAMBDA(_xlpm.x,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4" t="e">
        <f>'Audit Report'!#REF!</f>
        <v>#REF!</v>
      </c>
      <c r="S324" t="str">
        <f>'Audit Report'!N324</f>
        <v/>
      </c>
    </row>
    <row r="325" spans="4:19">
      <c r="D325" t="str">
        <f>'Audit Report'!B325</f>
        <v>ITD-SHRXXX-XX324</v>
      </c>
      <c r="E325" t="str">
        <f>'Audit Report'!C325</f>
        <v/>
      </c>
      <c r="I325" t="str">
        <f>'Audit Report'!E325</f>
        <v/>
      </c>
      <c r="J325" t="str">
        <f>'Audit Report'!G325</f>
        <v/>
      </c>
      <c r="L325" t="str">
        <f>_xlfn.TEXTJOIN(", ", FALSE, 'Audit Report'!J325,'Audit Report'!K325,'Audit Report'!L325)</f>
        <v xml:space="preserve">, , </v>
      </c>
      <c r="M325" t="str">
        <f>'Audit Report'!M325</f>
        <v/>
      </c>
      <c r="N325" t="str" cm="1">
        <f t="array" ref="N325">IF(M325="","",
_xlfn.TEXTJOIN(", ",TRUE,
    _xlfn.MAP(_xlfn.TEXTSPLIT(M325,","),_xlfn.LAMBDA(_xlpm.x,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5" t="e">
        <f>'Audit Report'!#REF!</f>
        <v>#REF!</v>
      </c>
      <c r="S325" t="str">
        <f>'Audit Report'!N325</f>
        <v/>
      </c>
    </row>
    <row r="326" spans="4:19">
      <c r="D326" t="str">
        <f>'Audit Report'!B326</f>
        <v>ITD-SHRXXX-XX325</v>
      </c>
      <c r="E326" t="str">
        <f>'Audit Report'!C326</f>
        <v/>
      </c>
      <c r="I326" t="str">
        <f>'Audit Report'!E326</f>
        <v/>
      </c>
      <c r="J326" t="str">
        <f>'Audit Report'!G326</f>
        <v/>
      </c>
      <c r="L326" t="str">
        <f>_xlfn.TEXTJOIN(", ", FALSE, 'Audit Report'!J326,'Audit Report'!K326,'Audit Report'!L326)</f>
        <v xml:space="preserve">, , </v>
      </c>
      <c r="M326" t="str">
        <f>'Audit Report'!M326</f>
        <v/>
      </c>
      <c r="N326" t="str" cm="1">
        <f t="array" ref="N326">IF(M326="","",
_xlfn.TEXTJOIN(", ",TRUE,
    _xlfn.MAP(_xlfn.TEXTSPLIT(M326,","),_xlfn.LAMBDA(_xlpm.x,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6" t="e">
        <f>'Audit Report'!#REF!</f>
        <v>#REF!</v>
      </c>
      <c r="S326" t="str">
        <f>'Audit Report'!N326</f>
        <v/>
      </c>
    </row>
    <row r="327" spans="4:19">
      <c r="D327" t="str">
        <f>'Audit Report'!B327</f>
        <v>ITD-SHRXXX-XX326</v>
      </c>
      <c r="E327" t="str">
        <f>'Audit Report'!C327</f>
        <v/>
      </c>
      <c r="I327" t="str">
        <f>'Audit Report'!E327</f>
        <v/>
      </c>
      <c r="J327" t="str">
        <f>'Audit Report'!G327</f>
        <v/>
      </c>
      <c r="L327" t="str">
        <f>_xlfn.TEXTJOIN(", ", FALSE, 'Audit Report'!J327,'Audit Report'!K327,'Audit Report'!L327)</f>
        <v xml:space="preserve">, , </v>
      </c>
      <c r="M327" t="str">
        <f>'Audit Report'!M327</f>
        <v/>
      </c>
      <c r="N327" t="str" cm="1">
        <f t="array" ref="N327">IF(M327="","",
_xlfn.TEXTJOIN(", ",TRUE,
    _xlfn.MAP(_xlfn.TEXTSPLIT(M327,","),_xlfn.LAMBDA(_xlpm.x,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7" t="e">
        <f>'Audit Report'!#REF!</f>
        <v>#REF!</v>
      </c>
      <c r="S327" t="str">
        <f>'Audit Report'!N327</f>
        <v/>
      </c>
    </row>
    <row r="328" spans="4:19">
      <c r="D328" t="str">
        <f>'Audit Report'!B328</f>
        <v>ITD-SHRXXX-XX327</v>
      </c>
      <c r="E328" t="str">
        <f>'Audit Report'!C328</f>
        <v/>
      </c>
      <c r="I328" t="str">
        <f>'Audit Report'!E328</f>
        <v/>
      </c>
      <c r="J328" t="str">
        <f>'Audit Report'!G328</f>
        <v/>
      </c>
      <c r="L328" t="str">
        <f>_xlfn.TEXTJOIN(", ", FALSE, 'Audit Report'!J328,'Audit Report'!K328,'Audit Report'!L328)</f>
        <v xml:space="preserve">, , </v>
      </c>
      <c r="M328" t="str">
        <f>'Audit Report'!M328</f>
        <v/>
      </c>
      <c r="N328" t="str" cm="1">
        <f t="array" ref="N328">IF(M328="","",
_xlfn.TEXTJOIN(", ",TRUE,
    _xlfn.MAP(_xlfn.TEXTSPLIT(M328,","),_xlfn.LAMBDA(_xlpm.x,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8" t="e">
        <f>'Audit Report'!#REF!</f>
        <v>#REF!</v>
      </c>
      <c r="S328" t="str">
        <f>'Audit Report'!N328</f>
        <v/>
      </c>
    </row>
    <row r="329" spans="4:19">
      <c r="D329" t="str">
        <f>'Audit Report'!B329</f>
        <v>ITD-SHRXXX-XX328</v>
      </c>
      <c r="E329" t="str">
        <f>'Audit Report'!C329</f>
        <v/>
      </c>
      <c r="I329" t="str">
        <f>'Audit Report'!E329</f>
        <v/>
      </c>
      <c r="J329" t="str">
        <f>'Audit Report'!G329</f>
        <v/>
      </c>
      <c r="L329" t="str">
        <f>_xlfn.TEXTJOIN(", ", FALSE, 'Audit Report'!J329,'Audit Report'!K329,'Audit Report'!L329)</f>
        <v xml:space="preserve">, , </v>
      </c>
      <c r="M329" t="str">
        <f>'Audit Report'!M329</f>
        <v/>
      </c>
      <c r="N329" t="str" cm="1">
        <f t="array" ref="N329">IF(M329="","",
_xlfn.TEXTJOIN(", ",TRUE,
    _xlfn.MAP(_xlfn.TEXTSPLIT(M329,","),_xlfn.LAMBDA(_xlpm.x,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9" t="e">
        <f>'Audit Report'!#REF!</f>
        <v>#REF!</v>
      </c>
      <c r="S329" t="str">
        <f>'Audit Report'!N329</f>
        <v/>
      </c>
    </row>
    <row r="330" spans="4:19">
      <c r="D330" t="str">
        <f>'Audit Report'!B330</f>
        <v>ITD-SHRXXX-XX329</v>
      </c>
      <c r="E330" t="str">
        <f>'Audit Report'!C330</f>
        <v/>
      </c>
      <c r="I330" t="str">
        <f>'Audit Report'!E330</f>
        <v/>
      </c>
      <c r="J330" t="str">
        <f>'Audit Report'!G330</f>
        <v/>
      </c>
      <c r="L330" t="str">
        <f>_xlfn.TEXTJOIN(", ", FALSE, 'Audit Report'!J330,'Audit Report'!K330,'Audit Report'!L330)</f>
        <v xml:space="preserve">, , </v>
      </c>
      <c r="M330" t="str">
        <f>'Audit Report'!M330</f>
        <v/>
      </c>
      <c r="N330" t="str" cm="1">
        <f t="array" ref="N330">IF(M330="","",
_xlfn.TEXTJOIN(", ",TRUE,
    _xlfn.MAP(_xlfn.TEXTSPLIT(M330,","),_xlfn.LAMBDA(_xlpm.x,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0" t="e">
        <f>'Audit Report'!#REF!</f>
        <v>#REF!</v>
      </c>
      <c r="S330" t="str">
        <f>'Audit Report'!N330</f>
        <v/>
      </c>
    </row>
    <row r="331" spans="4:19">
      <c r="D331" t="str">
        <f>'Audit Report'!B331</f>
        <v>ITD-SHRXXX-XX330</v>
      </c>
      <c r="E331" t="str">
        <f>'Audit Report'!C331</f>
        <v/>
      </c>
      <c r="I331" t="str">
        <f>'Audit Report'!E331</f>
        <v/>
      </c>
      <c r="J331" t="str">
        <f>'Audit Report'!G331</f>
        <v/>
      </c>
      <c r="L331" t="str">
        <f>_xlfn.TEXTJOIN(", ", FALSE, 'Audit Report'!J331,'Audit Report'!K331,'Audit Report'!L331)</f>
        <v xml:space="preserve">, , </v>
      </c>
      <c r="M331" t="str">
        <f>'Audit Report'!M331</f>
        <v/>
      </c>
      <c r="N331" t="str" cm="1">
        <f t="array" ref="N331">IF(M331="","",
_xlfn.TEXTJOIN(", ",TRUE,
    _xlfn.MAP(_xlfn.TEXTSPLIT(M331,","),_xlfn.LAMBDA(_xlpm.x,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1" t="e">
        <f>'Audit Report'!#REF!</f>
        <v>#REF!</v>
      </c>
      <c r="S331" t="str">
        <f>'Audit Report'!N331</f>
        <v/>
      </c>
    </row>
    <row r="332" spans="4:19">
      <c r="D332" t="str">
        <f>'Audit Report'!B332</f>
        <v>ITD-SHRXXX-XX331</v>
      </c>
      <c r="E332" t="str">
        <f>'Audit Report'!C332</f>
        <v/>
      </c>
      <c r="I332" t="str">
        <f>'Audit Report'!E332</f>
        <v/>
      </c>
      <c r="J332" t="str">
        <f>'Audit Report'!G332</f>
        <v/>
      </c>
      <c r="L332" t="str">
        <f>_xlfn.TEXTJOIN(", ", FALSE, 'Audit Report'!J332,'Audit Report'!K332,'Audit Report'!L332)</f>
        <v xml:space="preserve">, , </v>
      </c>
      <c r="M332" t="str">
        <f>'Audit Report'!M332</f>
        <v/>
      </c>
      <c r="N332" t="str" cm="1">
        <f t="array" ref="N332">IF(M332="","",
_xlfn.TEXTJOIN(", ",TRUE,
    _xlfn.MAP(_xlfn.TEXTSPLIT(M332,","),_xlfn.LAMBDA(_xlpm.x,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2" t="e">
        <f>'Audit Report'!#REF!</f>
        <v>#REF!</v>
      </c>
      <c r="S332" t="str">
        <f>'Audit Report'!N332</f>
        <v/>
      </c>
    </row>
    <row r="333" spans="4:19">
      <c r="D333" t="str">
        <f>'Audit Report'!B333</f>
        <v>ITD-SHRXXX-XX332</v>
      </c>
      <c r="E333" t="str">
        <f>'Audit Report'!C333</f>
        <v/>
      </c>
      <c r="I333" t="str">
        <f>'Audit Report'!E333</f>
        <v/>
      </c>
      <c r="J333" t="str">
        <f>'Audit Report'!G333</f>
        <v/>
      </c>
      <c r="L333" t="str">
        <f>_xlfn.TEXTJOIN(", ", FALSE, 'Audit Report'!J333,'Audit Report'!K333,'Audit Report'!L333)</f>
        <v xml:space="preserve">, , </v>
      </c>
      <c r="M333" t="str">
        <f>'Audit Report'!M333</f>
        <v/>
      </c>
      <c r="N333" t="str" cm="1">
        <f t="array" ref="N333">IF(M333="","",
_xlfn.TEXTJOIN(", ",TRUE,
    _xlfn.MAP(_xlfn.TEXTSPLIT(M333,","),_xlfn.LAMBDA(_xlpm.x,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3" t="e">
        <f>'Audit Report'!#REF!</f>
        <v>#REF!</v>
      </c>
      <c r="S333" t="str">
        <f>'Audit Report'!N333</f>
        <v/>
      </c>
    </row>
    <row r="334" spans="4:19">
      <c r="D334" t="str">
        <f>'Audit Report'!B334</f>
        <v>ITD-SHRXXX-XX333</v>
      </c>
      <c r="E334" t="str">
        <f>'Audit Report'!C334</f>
        <v/>
      </c>
      <c r="I334" t="str">
        <f>'Audit Report'!E334</f>
        <v/>
      </c>
      <c r="J334" t="str">
        <f>'Audit Report'!G334</f>
        <v/>
      </c>
      <c r="L334" t="str">
        <f>_xlfn.TEXTJOIN(", ", FALSE, 'Audit Report'!J334,'Audit Report'!K334,'Audit Report'!L334)</f>
        <v xml:space="preserve">, , </v>
      </c>
      <c r="M334" t="str">
        <f>'Audit Report'!M334</f>
        <v/>
      </c>
      <c r="N334" t="str" cm="1">
        <f t="array" ref="N334">IF(M334="","",
_xlfn.TEXTJOIN(", ",TRUE,
    _xlfn.MAP(_xlfn.TEXTSPLIT(M334,","),_xlfn.LAMBDA(_xlpm.x,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4" t="e">
        <f>'Audit Report'!#REF!</f>
        <v>#REF!</v>
      </c>
      <c r="S334" t="str">
        <f>'Audit Report'!N334</f>
        <v/>
      </c>
    </row>
    <row r="335" spans="4:19">
      <c r="D335" t="str">
        <f>'Audit Report'!B335</f>
        <v>ITD-SHRXXX-XX334</v>
      </c>
      <c r="E335" t="str">
        <f>'Audit Report'!C335</f>
        <v/>
      </c>
      <c r="I335" t="str">
        <f>'Audit Report'!E335</f>
        <v/>
      </c>
      <c r="J335" t="str">
        <f>'Audit Report'!G335</f>
        <v/>
      </c>
      <c r="L335" t="str">
        <f>_xlfn.TEXTJOIN(", ", FALSE, 'Audit Report'!J335,'Audit Report'!K335,'Audit Report'!L335)</f>
        <v xml:space="preserve">, , </v>
      </c>
      <c r="M335" t="str">
        <f>'Audit Report'!M335</f>
        <v/>
      </c>
      <c r="N335" t="str" cm="1">
        <f t="array" ref="N335">IF(M335="","",
_xlfn.TEXTJOIN(", ",TRUE,
    _xlfn.MAP(_xlfn.TEXTSPLIT(M335,","),_xlfn.LAMBDA(_xlpm.x,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5" t="e">
        <f>'Audit Report'!#REF!</f>
        <v>#REF!</v>
      </c>
      <c r="S335" t="str">
        <f>'Audit Report'!N335</f>
        <v/>
      </c>
    </row>
    <row r="336" spans="4:19">
      <c r="D336" t="str">
        <f>'Audit Report'!B336</f>
        <v>ITD-SHRXXX-XX335</v>
      </c>
      <c r="E336" t="str">
        <f>'Audit Report'!C336</f>
        <v/>
      </c>
      <c r="I336" t="str">
        <f>'Audit Report'!E336</f>
        <v/>
      </c>
      <c r="J336" t="str">
        <f>'Audit Report'!G336</f>
        <v/>
      </c>
      <c r="L336" t="str">
        <f>_xlfn.TEXTJOIN(", ", FALSE, 'Audit Report'!J336,'Audit Report'!K336,'Audit Report'!L336)</f>
        <v xml:space="preserve">, , </v>
      </c>
      <c r="M336" t="str">
        <f>'Audit Report'!M336</f>
        <v/>
      </c>
      <c r="N336" t="str" cm="1">
        <f t="array" ref="N336">IF(M336="","",
_xlfn.TEXTJOIN(", ",TRUE,
    _xlfn.MAP(_xlfn.TEXTSPLIT(M336,","),_xlfn.LAMBDA(_xlpm.x,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6" t="e">
        <f>'Audit Report'!#REF!</f>
        <v>#REF!</v>
      </c>
      <c r="S336" t="str">
        <f>'Audit Report'!N336</f>
        <v/>
      </c>
    </row>
    <row r="337" spans="4:19">
      <c r="D337" t="str">
        <f>'Audit Report'!B337</f>
        <v>ITD-SHRXXX-XX336</v>
      </c>
      <c r="E337" t="str">
        <f>'Audit Report'!C337</f>
        <v/>
      </c>
      <c r="I337" t="str">
        <f>'Audit Report'!E337</f>
        <v/>
      </c>
      <c r="J337" t="str">
        <f>'Audit Report'!G337</f>
        <v/>
      </c>
      <c r="L337" t="str">
        <f>_xlfn.TEXTJOIN(", ", FALSE, 'Audit Report'!J337,'Audit Report'!K337,'Audit Report'!L337)</f>
        <v xml:space="preserve">, , </v>
      </c>
      <c r="M337" t="str">
        <f>'Audit Report'!M337</f>
        <v/>
      </c>
      <c r="N337" t="str" cm="1">
        <f t="array" ref="N337">IF(M337="","",
_xlfn.TEXTJOIN(", ",TRUE,
    _xlfn.MAP(_xlfn.TEXTSPLIT(M337,","),_xlfn.LAMBDA(_xlpm.x,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7" t="e">
        <f>'Audit Report'!#REF!</f>
        <v>#REF!</v>
      </c>
      <c r="S337" t="str">
        <f>'Audit Report'!N337</f>
        <v/>
      </c>
    </row>
    <row r="338" spans="4:19">
      <c r="D338" t="str">
        <f>'Audit Report'!B338</f>
        <v>ITD-SHRXXX-XX337</v>
      </c>
      <c r="E338" t="str">
        <f>'Audit Report'!C338</f>
        <v/>
      </c>
      <c r="I338" t="str">
        <f>'Audit Report'!E338</f>
        <v/>
      </c>
      <c r="J338" t="str">
        <f>'Audit Report'!G338</f>
        <v/>
      </c>
      <c r="L338" t="str">
        <f>_xlfn.TEXTJOIN(", ", FALSE, 'Audit Report'!J338,'Audit Report'!K338,'Audit Report'!L338)</f>
        <v xml:space="preserve">, , </v>
      </c>
      <c r="M338" t="str">
        <f>'Audit Report'!M338</f>
        <v/>
      </c>
      <c r="N338" t="str" cm="1">
        <f t="array" ref="N338">IF(M338="","",
_xlfn.TEXTJOIN(", ",TRUE,
    _xlfn.MAP(_xlfn.TEXTSPLIT(M338,","),_xlfn.LAMBDA(_xlpm.x,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8" t="e">
        <f>'Audit Report'!#REF!</f>
        <v>#REF!</v>
      </c>
      <c r="S338" t="str">
        <f>'Audit Report'!N338</f>
        <v/>
      </c>
    </row>
    <row r="339" spans="4:19">
      <c r="D339" t="str">
        <f>'Audit Report'!B339</f>
        <v>ITD-SHRXXX-XX338</v>
      </c>
      <c r="E339" t="str">
        <f>'Audit Report'!C339</f>
        <v/>
      </c>
      <c r="I339" t="str">
        <f>'Audit Report'!E339</f>
        <v/>
      </c>
      <c r="J339" t="str">
        <f>'Audit Report'!G339</f>
        <v/>
      </c>
      <c r="L339" t="str">
        <f>_xlfn.TEXTJOIN(", ", FALSE, 'Audit Report'!J339,'Audit Report'!K339,'Audit Report'!L339)</f>
        <v xml:space="preserve">, , </v>
      </c>
      <c r="M339" t="str">
        <f>'Audit Report'!M339</f>
        <v/>
      </c>
      <c r="N339" t="str" cm="1">
        <f t="array" ref="N339">IF(M339="","",
_xlfn.TEXTJOIN(", ",TRUE,
    _xlfn.MAP(_xlfn.TEXTSPLIT(M339,","),_xlfn.LAMBDA(_xlpm.x,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9" t="e">
        <f>'Audit Report'!#REF!</f>
        <v>#REF!</v>
      </c>
      <c r="S339" t="str">
        <f>'Audit Report'!N339</f>
        <v/>
      </c>
    </row>
    <row r="340" spans="4:19">
      <c r="D340" t="str">
        <f>'Audit Report'!B340</f>
        <v>ITD-SHRXXX-XX339</v>
      </c>
      <c r="E340" t="str">
        <f>'Audit Report'!C340</f>
        <v/>
      </c>
      <c r="I340" t="str">
        <f>'Audit Report'!E340</f>
        <v/>
      </c>
      <c r="J340" t="str">
        <f>'Audit Report'!G340</f>
        <v/>
      </c>
      <c r="L340" t="str">
        <f>_xlfn.TEXTJOIN(", ", FALSE, 'Audit Report'!J340,'Audit Report'!K340,'Audit Report'!L340)</f>
        <v xml:space="preserve">, , </v>
      </c>
      <c r="M340" t="str">
        <f>'Audit Report'!M340</f>
        <v/>
      </c>
      <c r="N340" t="str" cm="1">
        <f t="array" ref="N340">IF(M340="","",
_xlfn.TEXTJOIN(", ",TRUE,
    _xlfn.MAP(_xlfn.TEXTSPLIT(M340,","),_xlfn.LAMBDA(_xlpm.x,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0" t="e">
        <f>'Audit Report'!#REF!</f>
        <v>#REF!</v>
      </c>
      <c r="S340" t="str">
        <f>'Audit Report'!N340</f>
        <v/>
      </c>
    </row>
    <row r="341" spans="4:19">
      <c r="D341" t="str">
        <f>'Audit Report'!B341</f>
        <v>ITD-SHRXXX-XX340</v>
      </c>
      <c r="E341" t="str">
        <f>'Audit Report'!C341</f>
        <v/>
      </c>
      <c r="I341" t="str">
        <f>'Audit Report'!E341</f>
        <v/>
      </c>
      <c r="J341" t="str">
        <f>'Audit Report'!G341</f>
        <v/>
      </c>
      <c r="L341" t="str">
        <f>_xlfn.TEXTJOIN(", ", FALSE, 'Audit Report'!J341,'Audit Report'!K341,'Audit Report'!L341)</f>
        <v xml:space="preserve">, , </v>
      </c>
      <c r="M341" t="str">
        <f>'Audit Report'!M341</f>
        <v/>
      </c>
      <c r="N341" t="str" cm="1">
        <f t="array" ref="N341">IF(M341="","",
_xlfn.TEXTJOIN(", ",TRUE,
    _xlfn.MAP(_xlfn.TEXTSPLIT(M341,","),_xlfn.LAMBDA(_xlpm.x,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1" t="e">
        <f>'Audit Report'!#REF!</f>
        <v>#REF!</v>
      </c>
      <c r="S341" t="str">
        <f>'Audit Report'!N341</f>
        <v/>
      </c>
    </row>
    <row r="342" spans="4:19">
      <c r="D342" t="str">
        <f>'Audit Report'!B342</f>
        <v>ITD-SHRXXX-XX341</v>
      </c>
      <c r="E342" t="str">
        <f>'Audit Report'!C342</f>
        <v/>
      </c>
      <c r="I342" t="str">
        <f>'Audit Report'!E342</f>
        <v/>
      </c>
      <c r="J342" t="str">
        <f>'Audit Report'!G342</f>
        <v/>
      </c>
      <c r="L342" t="str">
        <f>_xlfn.TEXTJOIN(", ", FALSE, 'Audit Report'!J342,'Audit Report'!K342,'Audit Report'!L342)</f>
        <v xml:space="preserve">, , </v>
      </c>
      <c r="M342" t="str">
        <f>'Audit Report'!M342</f>
        <v/>
      </c>
      <c r="N342" t="str" cm="1">
        <f t="array" ref="N342">IF(M342="","",
_xlfn.TEXTJOIN(", ",TRUE,
    _xlfn.MAP(_xlfn.TEXTSPLIT(M342,","),_xlfn.LAMBDA(_xlpm.x,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2" t="e">
        <f>'Audit Report'!#REF!</f>
        <v>#REF!</v>
      </c>
      <c r="S342" t="str">
        <f>'Audit Report'!N342</f>
        <v/>
      </c>
    </row>
    <row r="343" spans="4:19">
      <c r="D343" t="str">
        <f>'Audit Report'!B343</f>
        <v>ITD-SHRXXX-XX342</v>
      </c>
      <c r="E343" t="str">
        <f>'Audit Report'!C343</f>
        <v/>
      </c>
      <c r="I343" t="str">
        <f>'Audit Report'!E343</f>
        <v/>
      </c>
      <c r="J343" t="str">
        <f>'Audit Report'!G343</f>
        <v/>
      </c>
      <c r="L343" t="str">
        <f>_xlfn.TEXTJOIN(", ", FALSE, 'Audit Report'!J343,'Audit Report'!K343,'Audit Report'!L343)</f>
        <v xml:space="preserve">, , </v>
      </c>
      <c r="M343" t="str">
        <f>'Audit Report'!M343</f>
        <v/>
      </c>
      <c r="N343" t="str" cm="1">
        <f t="array" ref="N343">IF(M343="","",
_xlfn.TEXTJOIN(", ",TRUE,
    _xlfn.MAP(_xlfn.TEXTSPLIT(M343,","),_xlfn.LAMBDA(_xlpm.x,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3" t="e">
        <f>'Audit Report'!#REF!</f>
        <v>#REF!</v>
      </c>
      <c r="S343" t="str">
        <f>'Audit Report'!N343</f>
        <v/>
      </c>
    </row>
    <row r="344" spans="4:19">
      <c r="D344" t="str">
        <f>'Audit Report'!B344</f>
        <v>ITD-SHRXXX-XX343</v>
      </c>
      <c r="E344" t="str">
        <f>'Audit Report'!C344</f>
        <v/>
      </c>
      <c r="I344" t="str">
        <f>'Audit Report'!E344</f>
        <v/>
      </c>
      <c r="J344" t="str">
        <f>'Audit Report'!G344</f>
        <v/>
      </c>
      <c r="L344" t="str">
        <f>_xlfn.TEXTJOIN(", ", FALSE, 'Audit Report'!J344,'Audit Report'!K344,'Audit Report'!L344)</f>
        <v xml:space="preserve">, , </v>
      </c>
      <c r="M344" t="str">
        <f>'Audit Report'!M344</f>
        <v/>
      </c>
      <c r="N344" t="str" cm="1">
        <f t="array" ref="N344">IF(M344="","",
_xlfn.TEXTJOIN(", ",TRUE,
    _xlfn.MAP(_xlfn.TEXTSPLIT(M344,","),_xlfn.LAMBDA(_xlpm.x,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4" t="e">
        <f>'Audit Report'!#REF!</f>
        <v>#REF!</v>
      </c>
      <c r="S344" t="str">
        <f>'Audit Report'!N344</f>
        <v/>
      </c>
    </row>
    <row r="345" spans="4:19">
      <c r="D345" t="str">
        <f>'Audit Report'!B345</f>
        <v>ITD-SHRXXX-XX344</v>
      </c>
      <c r="E345" t="str">
        <f>'Audit Report'!C345</f>
        <v/>
      </c>
      <c r="I345" t="str">
        <f>'Audit Report'!E345</f>
        <v/>
      </c>
      <c r="J345" t="str">
        <f>'Audit Report'!G345</f>
        <v/>
      </c>
      <c r="L345" t="str">
        <f>_xlfn.TEXTJOIN(", ", FALSE, 'Audit Report'!J345,'Audit Report'!K345,'Audit Report'!L345)</f>
        <v xml:space="preserve">, , </v>
      </c>
      <c r="M345" t="str">
        <f>'Audit Report'!M345</f>
        <v/>
      </c>
      <c r="N345" t="str" cm="1">
        <f t="array" ref="N345">IF(M345="","",
_xlfn.TEXTJOIN(", ",TRUE,
    _xlfn.MAP(_xlfn.TEXTSPLIT(M345,","),_xlfn.LAMBDA(_xlpm.x,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5" t="e">
        <f>'Audit Report'!#REF!</f>
        <v>#REF!</v>
      </c>
      <c r="S345" t="str">
        <f>'Audit Report'!N345</f>
        <v/>
      </c>
    </row>
    <row r="346" spans="4:19">
      <c r="D346" t="str">
        <f>'Audit Report'!B346</f>
        <v>ITD-SHRXXX-XX345</v>
      </c>
      <c r="E346" t="str">
        <f>'Audit Report'!C346</f>
        <v/>
      </c>
      <c r="I346" t="str">
        <f>'Audit Report'!E346</f>
        <v/>
      </c>
      <c r="J346" t="str">
        <f>'Audit Report'!G346</f>
        <v/>
      </c>
      <c r="L346" t="str">
        <f>_xlfn.TEXTJOIN(", ", FALSE, 'Audit Report'!J346,'Audit Report'!K346,'Audit Report'!L346)</f>
        <v xml:space="preserve">, , </v>
      </c>
      <c r="M346" t="str">
        <f>'Audit Report'!M346</f>
        <v/>
      </c>
      <c r="N346" t="str" cm="1">
        <f t="array" ref="N346">IF(M346="","",
_xlfn.TEXTJOIN(", ",TRUE,
    _xlfn.MAP(_xlfn.TEXTSPLIT(M346,","),_xlfn.LAMBDA(_xlpm.x,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6" t="e">
        <f>'Audit Report'!#REF!</f>
        <v>#REF!</v>
      </c>
      <c r="S346" t="str">
        <f>'Audit Report'!N346</f>
        <v/>
      </c>
    </row>
    <row r="347" spans="4:19">
      <c r="D347" t="str">
        <f>'Audit Report'!B347</f>
        <v>ITD-SHRXXX-XX346</v>
      </c>
      <c r="E347" t="str">
        <f>'Audit Report'!C347</f>
        <v/>
      </c>
      <c r="I347" t="str">
        <f>'Audit Report'!E347</f>
        <v/>
      </c>
      <c r="J347" t="str">
        <f>'Audit Report'!G347</f>
        <v/>
      </c>
      <c r="L347" t="str">
        <f>_xlfn.TEXTJOIN(", ", FALSE, 'Audit Report'!J347,'Audit Report'!K347,'Audit Report'!L347)</f>
        <v xml:space="preserve">, , </v>
      </c>
      <c r="M347" t="str">
        <f>'Audit Report'!M347</f>
        <v/>
      </c>
      <c r="N347" t="str" cm="1">
        <f t="array" ref="N347">IF(M347="","",
_xlfn.TEXTJOIN(", ",TRUE,
    _xlfn.MAP(_xlfn.TEXTSPLIT(M347,","),_xlfn.LAMBDA(_xlpm.x,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7" t="e">
        <f>'Audit Report'!#REF!</f>
        <v>#REF!</v>
      </c>
      <c r="S347" t="str">
        <f>'Audit Report'!N347</f>
        <v/>
      </c>
    </row>
    <row r="348" spans="4:19">
      <c r="D348" t="str">
        <f>'Audit Report'!B348</f>
        <v>ITD-SHRXXX-XX347</v>
      </c>
      <c r="E348" t="str">
        <f>'Audit Report'!C348</f>
        <v/>
      </c>
      <c r="I348" t="str">
        <f>'Audit Report'!E348</f>
        <v/>
      </c>
      <c r="J348" t="str">
        <f>'Audit Report'!G348</f>
        <v/>
      </c>
      <c r="L348" t="str">
        <f>_xlfn.TEXTJOIN(", ", FALSE, 'Audit Report'!J348,'Audit Report'!K348,'Audit Report'!L348)</f>
        <v xml:space="preserve">, , </v>
      </c>
      <c r="M348" t="str">
        <f>'Audit Report'!M348</f>
        <v/>
      </c>
      <c r="N348" t="str" cm="1">
        <f t="array" ref="N348">IF(M348="","",
_xlfn.TEXTJOIN(", ",TRUE,
    _xlfn.MAP(_xlfn.TEXTSPLIT(M348,","),_xlfn.LAMBDA(_xlpm.x,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8" t="e">
        <f>'Audit Report'!#REF!</f>
        <v>#REF!</v>
      </c>
      <c r="S348" t="str">
        <f>'Audit Report'!N348</f>
        <v/>
      </c>
    </row>
    <row r="349" spans="4:19">
      <c r="D349" t="str">
        <f>'Audit Report'!B349</f>
        <v>ITD-SHRXXX-XX348</v>
      </c>
      <c r="E349" t="str">
        <f>'Audit Report'!C349</f>
        <v/>
      </c>
      <c r="I349" t="str">
        <f>'Audit Report'!E349</f>
        <v/>
      </c>
      <c r="J349" t="str">
        <f>'Audit Report'!G349</f>
        <v/>
      </c>
      <c r="L349" t="str">
        <f>_xlfn.TEXTJOIN(", ", FALSE, 'Audit Report'!J349,'Audit Report'!K349,'Audit Report'!L349)</f>
        <v xml:space="preserve">, , </v>
      </c>
      <c r="M349" t="str">
        <f>'Audit Report'!M349</f>
        <v/>
      </c>
      <c r="N349" t="str" cm="1">
        <f t="array" ref="N349">IF(M349="","",
_xlfn.TEXTJOIN(", ",TRUE,
    _xlfn.MAP(_xlfn.TEXTSPLIT(M349,","),_xlfn.LAMBDA(_xlpm.x,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9" t="e">
        <f>'Audit Report'!#REF!</f>
        <v>#REF!</v>
      </c>
      <c r="S349" t="str">
        <f>'Audit Report'!N349</f>
        <v/>
      </c>
    </row>
    <row r="350" spans="4:19">
      <c r="D350" t="str">
        <f>'Audit Report'!B350</f>
        <v>ITD-SHRXXX-XX349</v>
      </c>
      <c r="E350" t="str">
        <f>'Audit Report'!C350</f>
        <v/>
      </c>
      <c r="I350" t="str">
        <f>'Audit Report'!E350</f>
        <v/>
      </c>
      <c r="J350" t="str">
        <f>'Audit Report'!G350</f>
        <v/>
      </c>
      <c r="L350" t="str">
        <f>_xlfn.TEXTJOIN(", ", FALSE, 'Audit Report'!J350,'Audit Report'!K350,'Audit Report'!L350)</f>
        <v xml:space="preserve">, , </v>
      </c>
      <c r="M350" t="str">
        <f>'Audit Report'!M350</f>
        <v/>
      </c>
      <c r="N350" t="str" cm="1">
        <f t="array" ref="N350">IF(M350="","",
_xlfn.TEXTJOIN(", ",TRUE,
    _xlfn.MAP(_xlfn.TEXTSPLIT(M350,","),_xlfn.LAMBDA(_xlpm.x,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0" t="e">
        <f>'Audit Report'!#REF!</f>
        <v>#REF!</v>
      </c>
      <c r="S350" t="str">
        <f>'Audit Report'!N350</f>
        <v/>
      </c>
    </row>
    <row r="351" spans="4:19">
      <c r="D351" t="str">
        <f>'Audit Report'!B351</f>
        <v>ITD-SHRXXX-XX350</v>
      </c>
      <c r="E351" t="str">
        <f>'Audit Report'!C351</f>
        <v/>
      </c>
      <c r="I351" t="str">
        <f>'Audit Report'!E351</f>
        <v/>
      </c>
      <c r="J351" t="str">
        <f>'Audit Report'!G351</f>
        <v/>
      </c>
      <c r="L351" t="str">
        <f>_xlfn.TEXTJOIN(", ", FALSE, 'Audit Report'!J351,'Audit Report'!K351,'Audit Report'!L351)</f>
        <v xml:space="preserve">, , </v>
      </c>
      <c r="M351" t="str">
        <f>'Audit Report'!M351</f>
        <v/>
      </c>
      <c r="N351" t="str" cm="1">
        <f t="array" ref="N351">IF(M351="","",
_xlfn.TEXTJOIN(", ",TRUE,
    _xlfn.MAP(_xlfn.TEXTSPLIT(M351,","),_xlfn.LAMBDA(_xlpm.x,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1" t="e">
        <f>'Audit Report'!#REF!</f>
        <v>#REF!</v>
      </c>
      <c r="S351" t="str">
        <f>'Audit Report'!N351</f>
        <v/>
      </c>
    </row>
    <row r="352" spans="4:19">
      <c r="D352" t="str">
        <f>'Audit Report'!B352</f>
        <v>ITD-SHRXXX-XX351</v>
      </c>
      <c r="E352" t="str">
        <f>'Audit Report'!C352</f>
        <v/>
      </c>
      <c r="I352" t="str">
        <f>'Audit Report'!E352</f>
        <v/>
      </c>
      <c r="J352" t="str">
        <f>'Audit Report'!G352</f>
        <v/>
      </c>
      <c r="L352" t="str">
        <f>_xlfn.TEXTJOIN(", ", FALSE, 'Audit Report'!J352,'Audit Report'!K352,'Audit Report'!L352)</f>
        <v xml:space="preserve">, , </v>
      </c>
      <c r="M352" t="str">
        <f>'Audit Report'!M352</f>
        <v/>
      </c>
      <c r="N352" t="str" cm="1">
        <f t="array" ref="N352">IF(M352="","",
_xlfn.TEXTJOIN(", ",TRUE,
    _xlfn.MAP(_xlfn.TEXTSPLIT(M352,","),_xlfn.LAMBDA(_xlpm.x,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2" t="e">
        <f>'Audit Report'!#REF!</f>
        <v>#REF!</v>
      </c>
      <c r="S352" t="str">
        <f>'Audit Report'!N352</f>
        <v/>
      </c>
    </row>
    <row r="353" spans="4:19">
      <c r="D353" t="str">
        <f>'Audit Report'!B353</f>
        <v>ITD-SHRXXX-XX352</v>
      </c>
      <c r="E353" t="str">
        <f>'Audit Report'!C353</f>
        <v/>
      </c>
      <c r="I353" t="str">
        <f>'Audit Report'!E353</f>
        <v/>
      </c>
      <c r="J353" t="str">
        <f>'Audit Report'!G353</f>
        <v/>
      </c>
      <c r="L353" t="str">
        <f>_xlfn.TEXTJOIN(", ", FALSE, 'Audit Report'!J353,'Audit Report'!K353,'Audit Report'!L353)</f>
        <v xml:space="preserve">, , </v>
      </c>
      <c r="M353" t="str">
        <f>'Audit Report'!M353</f>
        <v/>
      </c>
      <c r="N353" t="str" cm="1">
        <f t="array" ref="N353">IF(M353="","",
_xlfn.TEXTJOIN(", ",TRUE,
    _xlfn.MAP(_xlfn.TEXTSPLIT(M353,","),_xlfn.LAMBDA(_xlpm.x,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3" t="e">
        <f>'Audit Report'!#REF!</f>
        <v>#REF!</v>
      </c>
      <c r="S353" t="str">
        <f>'Audit Report'!N353</f>
        <v/>
      </c>
    </row>
    <row r="354" spans="4:19">
      <c r="D354" t="str">
        <f>'Audit Report'!B354</f>
        <v>ITD-SHRXXX-XX353</v>
      </c>
      <c r="E354" t="str">
        <f>'Audit Report'!C354</f>
        <v/>
      </c>
      <c r="I354" t="str">
        <f>'Audit Report'!E354</f>
        <v/>
      </c>
      <c r="J354" t="str">
        <f>'Audit Report'!G354</f>
        <v/>
      </c>
      <c r="L354" t="str">
        <f>_xlfn.TEXTJOIN(", ", FALSE, 'Audit Report'!J354,'Audit Report'!K354,'Audit Report'!L354)</f>
        <v xml:space="preserve">, , </v>
      </c>
      <c r="M354" t="str">
        <f>'Audit Report'!M354</f>
        <v/>
      </c>
      <c r="N354" t="str" cm="1">
        <f t="array" ref="N354">IF(M354="","",
_xlfn.TEXTJOIN(", ",TRUE,
    _xlfn.MAP(_xlfn.TEXTSPLIT(M354,","),_xlfn.LAMBDA(_xlpm.x,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4" t="e">
        <f>'Audit Report'!#REF!</f>
        <v>#REF!</v>
      </c>
      <c r="S354" t="str">
        <f>'Audit Report'!N354</f>
        <v/>
      </c>
    </row>
    <row r="355" spans="4:19">
      <c r="D355" t="str">
        <f>'Audit Report'!B355</f>
        <v>ITD-SHRXXX-XX354</v>
      </c>
      <c r="E355" t="str">
        <f>'Audit Report'!C355</f>
        <v/>
      </c>
      <c r="I355" t="str">
        <f>'Audit Report'!E355</f>
        <v/>
      </c>
      <c r="J355" t="str">
        <f>'Audit Report'!G355</f>
        <v/>
      </c>
      <c r="L355" t="str">
        <f>_xlfn.TEXTJOIN(", ", FALSE, 'Audit Report'!J355,'Audit Report'!K355,'Audit Report'!L355)</f>
        <v xml:space="preserve">, , </v>
      </c>
      <c r="M355" t="str">
        <f>'Audit Report'!M355</f>
        <v/>
      </c>
      <c r="N355" t="str" cm="1">
        <f t="array" ref="N355">IF(M355="","",
_xlfn.TEXTJOIN(", ",TRUE,
    _xlfn.MAP(_xlfn.TEXTSPLIT(M355,","),_xlfn.LAMBDA(_xlpm.x,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5" t="e">
        <f>'Audit Report'!#REF!</f>
        <v>#REF!</v>
      </c>
      <c r="S355" t="str">
        <f>'Audit Report'!N355</f>
        <v/>
      </c>
    </row>
    <row r="356" spans="4:19">
      <c r="D356" t="str">
        <f>'Audit Report'!B356</f>
        <v>ITD-SHRXXX-XX355</v>
      </c>
      <c r="E356" t="str">
        <f>'Audit Report'!C356</f>
        <v/>
      </c>
      <c r="I356" t="str">
        <f>'Audit Report'!E356</f>
        <v/>
      </c>
      <c r="J356" t="str">
        <f>'Audit Report'!G356</f>
        <v/>
      </c>
      <c r="L356" t="str">
        <f>_xlfn.TEXTJOIN(", ", FALSE, 'Audit Report'!J356,'Audit Report'!K356,'Audit Report'!L356)</f>
        <v xml:space="preserve">, , </v>
      </c>
      <c r="M356" t="str">
        <f>'Audit Report'!M356</f>
        <v/>
      </c>
      <c r="N356" t="str" cm="1">
        <f t="array" ref="N356">IF(M356="","",
_xlfn.TEXTJOIN(", ",TRUE,
    _xlfn.MAP(_xlfn.TEXTSPLIT(M356,","),_xlfn.LAMBDA(_xlpm.x,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6" t="e">
        <f>'Audit Report'!#REF!</f>
        <v>#REF!</v>
      </c>
      <c r="S356" t="str">
        <f>'Audit Report'!N356</f>
        <v/>
      </c>
    </row>
    <row r="357" spans="4:19">
      <c r="D357" t="str">
        <f>'Audit Report'!B357</f>
        <v>ITD-SHRXXX-XX356</v>
      </c>
      <c r="E357" t="str">
        <f>'Audit Report'!C357</f>
        <v/>
      </c>
      <c r="I357" t="str">
        <f>'Audit Report'!E357</f>
        <v/>
      </c>
      <c r="J357" t="str">
        <f>'Audit Report'!G357</f>
        <v/>
      </c>
      <c r="L357" t="str">
        <f>_xlfn.TEXTJOIN(", ", FALSE, 'Audit Report'!J357,'Audit Report'!K357,'Audit Report'!L357)</f>
        <v xml:space="preserve">, , </v>
      </c>
      <c r="M357" t="str">
        <f>'Audit Report'!M357</f>
        <v/>
      </c>
      <c r="N357" t="str" cm="1">
        <f t="array" ref="N357">IF(M357="","",
_xlfn.TEXTJOIN(", ",TRUE,
    _xlfn.MAP(_xlfn.TEXTSPLIT(M357,","),_xlfn.LAMBDA(_xlpm.x,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7" t="e">
        <f>'Audit Report'!#REF!</f>
        <v>#REF!</v>
      </c>
      <c r="S357" t="str">
        <f>'Audit Report'!N357</f>
        <v/>
      </c>
    </row>
    <row r="358" spans="4:19">
      <c r="D358" t="str">
        <f>'Audit Report'!B358</f>
        <v>ITD-SHRXXX-XX357</v>
      </c>
      <c r="E358" t="str">
        <f>'Audit Report'!C358</f>
        <v/>
      </c>
      <c r="I358" t="str">
        <f>'Audit Report'!E358</f>
        <v/>
      </c>
      <c r="J358" t="str">
        <f>'Audit Report'!G358</f>
        <v/>
      </c>
      <c r="L358" t="str">
        <f>_xlfn.TEXTJOIN(", ", FALSE, 'Audit Report'!J358,'Audit Report'!K358,'Audit Report'!L358)</f>
        <v xml:space="preserve">, , </v>
      </c>
      <c r="M358" t="str">
        <f>'Audit Report'!M358</f>
        <v/>
      </c>
      <c r="N358" t="str" cm="1">
        <f t="array" ref="N358">IF(M358="","",
_xlfn.TEXTJOIN(", ",TRUE,
    _xlfn.MAP(_xlfn.TEXTSPLIT(M358,","),_xlfn.LAMBDA(_xlpm.x,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8" t="e">
        <f>'Audit Report'!#REF!</f>
        <v>#REF!</v>
      </c>
      <c r="S358" t="str">
        <f>'Audit Report'!N358</f>
        <v/>
      </c>
    </row>
    <row r="359" spans="4:19">
      <c r="D359" t="str">
        <f>'Audit Report'!B359</f>
        <v>ITD-SHRXXX-XX358</v>
      </c>
      <c r="E359" t="str">
        <f>'Audit Report'!C359</f>
        <v/>
      </c>
      <c r="I359" t="str">
        <f>'Audit Report'!E359</f>
        <v/>
      </c>
      <c r="J359" t="str">
        <f>'Audit Report'!G359</f>
        <v/>
      </c>
      <c r="L359" t="str">
        <f>_xlfn.TEXTJOIN(", ", FALSE, 'Audit Report'!J359,'Audit Report'!K359,'Audit Report'!L359)</f>
        <v xml:space="preserve">, , </v>
      </c>
      <c r="M359" t="str">
        <f>'Audit Report'!M359</f>
        <v/>
      </c>
      <c r="N359" t="str" cm="1">
        <f t="array" ref="N359">IF(M359="","",
_xlfn.TEXTJOIN(", ",TRUE,
    _xlfn.MAP(_xlfn.TEXTSPLIT(M359,","),_xlfn.LAMBDA(_xlpm.x,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9" t="e">
        <f>'Audit Report'!#REF!</f>
        <v>#REF!</v>
      </c>
      <c r="S359" t="str">
        <f>'Audit Report'!N359</f>
        <v/>
      </c>
    </row>
    <row r="360" spans="4:19">
      <c r="D360" t="str">
        <f>'Audit Report'!B360</f>
        <v>ITD-SHRXXX-XX359</v>
      </c>
      <c r="E360" t="str">
        <f>'Audit Report'!C360</f>
        <v/>
      </c>
      <c r="I360" t="str">
        <f>'Audit Report'!E360</f>
        <v/>
      </c>
      <c r="J360" t="str">
        <f>'Audit Report'!G360</f>
        <v/>
      </c>
      <c r="L360" t="str">
        <f>_xlfn.TEXTJOIN(", ", FALSE, 'Audit Report'!J360,'Audit Report'!K360,'Audit Report'!L360)</f>
        <v xml:space="preserve">, , </v>
      </c>
      <c r="M360" t="str">
        <f>'Audit Report'!M360</f>
        <v/>
      </c>
      <c r="N360" t="str" cm="1">
        <f t="array" ref="N360">IF(M360="","",
_xlfn.TEXTJOIN(", ",TRUE,
    _xlfn.MAP(_xlfn.TEXTSPLIT(M360,","),_xlfn.LAMBDA(_xlpm.x,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0" t="e">
        <f>'Audit Report'!#REF!</f>
        <v>#REF!</v>
      </c>
      <c r="S360" t="str">
        <f>'Audit Report'!N360</f>
        <v/>
      </c>
    </row>
    <row r="361" spans="4:19">
      <c r="D361" t="str">
        <f>'Audit Report'!B361</f>
        <v>ITD-SHRXXX-XX360</v>
      </c>
      <c r="E361" t="str">
        <f>'Audit Report'!C361</f>
        <v/>
      </c>
      <c r="I361" t="str">
        <f>'Audit Report'!E361</f>
        <v/>
      </c>
      <c r="J361" t="str">
        <f>'Audit Report'!G361</f>
        <v/>
      </c>
      <c r="L361" t="str">
        <f>_xlfn.TEXTJOIN(", ", FALSE, 'Audit Report'!J361,'Audit Report'!K361,'Audit Report'!L361)</f>
        <v xml:space="preserve">, , </v>
      </c>
      <c r="M361" t="str">
        <f>'Audit Report'!M361</f>
        <v/>
      </c>
      <c r="N361" t="str" cm="1">
        <f t="array" ref="N361">IF(M361="","",
_xlfn.TEXTJOIN(", ",TRUE,
    _xlfn.MAP(_xlfn.TEXTSPLIT(M361,","),_xlfn.LAMBDA(_xlpm.x,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1" t="e">
        <f>'Audit Report'!#REF!</f>
        <v>#REF!</v>
      </c>
      <c r="S361" t="str">
        <f>'Audit Report'!N361</f>
        <v/>
      </c>
    </row>
    <row r="362" spans="4:19">
      <c r="D362" t="str">
        <f>'Audit Report'!B362</f>
        <v>ITD-SHRXXX-XX361</v>
      </c>
      <c r="E362" t="str">
        <f>'Audit Report'!C362</f>
        <v/>
      </c>
      <c r="I362" t="str">
        <f>'Audit Report'!E362</f>
        <v/>
      </c>
      <c r="J362" t="str">
        <f>'Audit Report'!G362</f>
        <v/>
      </c>
      <c r="L362" t="str">
        <f>_xlfn.TEXTJOIN(", ", FALSE, 'Audit Report'!J362,'Audit Report'!K362,'Audit Report'!L362)</f>
        <v xml:space="preserve">, , </v>
      </c>
      <c r="M362" t="str">
        <f>'Audit Report'!M362</f>
        <v/>
      </c>
      <c r="N362" t="str" cm="1">
        <f t="array" ref="N362">IF(M362="","",
_xlfn.TEXTJOIN(", ",TRUE,
    _xlfn.MAP(_xlfn.TEXTSPLIT(M362,","),_xlfn.LAMBDA(_xlpm.x,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2" t="e">
        <f>'Audit Report'!#REF!</f>
        <v>#REF!</v>
      </c>
      <c r="S362" t="str">
        <f>'Audit Report'!N362</f>
        <v/>
      </c>
    </row>
    <row r="363" spans="4:19">
      <c r="D363" t="str">
        <f>'Audit Report'!B363</f>
        <v>ITD-SHRXXX-XX362</v>
      </c>
      <c r="E363" t="str">
        <f>'Audit Report'!C363</f>
        <v/>
      </c>
      <c r="I363" t="str">
        <f>'Audit Report'!E363</f>
        <v/>
      </c>
      <c r="J363" t="str">
        <f>'Audit Report'!G363</f>
        <v/>
      </c>
      <c r="L363" t="str">
        <f>_xlfn.TEXTJOIN(", ", FALSE, 'Audit Report'!J363,'Audit Report'!K363,'Audit Report'!L363)</f>
        <v xml:space="preserve">, , </v>
      </c>
      <c r="M363" t="str">
        <f>'Audit Report'!M363</f>
        <v/>
      </c>
      <c r="N363" t="str" cm="1">
        <f t="array" ref="N363">IF(M363="","",
_xlfn.TEXTJOIN(", ",TRUE,
    _xlfn.MAP(_xlfn.TEXTSPLIT(M363,","),_xlfn.LAMBDA(_xlpm.x,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3" t="e">
        <f>'Audit Report'!#REF!</f>
        <v>#REF!</v>
      </c>
      <c r="S363" t="str">
        <f>'Audit Report'!N363</f>
        <v/>
      </c>
    </row>
    <row r="364" spans="4:19">
      <c r="D364" t="str">
        <f>'Audit Report'!B364</f>
        <v>ITD-SHRXXX-XX363</v>
      </c>
      <c r="E364" t="str">
        <f>'Audit Report'!C364</f>
        <v/>
      </c>
      <c r="I364" t="str">
        <f>'Audit Report'!E364</f>
        <v/>
      </c>
      <c r="J364" t="str">
        <f>'Audit Report'!G364</f>
        <v/>
      </c>
      <c r="L364" t="str">
        <f>_xlfn.TEXTJOIN(", ", FALSE, 'Audit Report'!J364,'Audit Report'!K364,'Audit Report'!L364)</f>
        <v xml:space="preserve">, , </v>
      </c>
      <c r="M364" t="str">
        <f>'Audit Report'!M364</f>
        <v/>
      </c>
      <c r="N364" t="str" cm="1">
        <f t="array" ref="N364">IF(M364="","",
_xlfn.TEXTJOIN(", ",TRUE,
    _xlfn.MAP(_xlfn.TEXTSPLIT(M364,","),_xlfn.LAMBDA(_xlpm.x,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4" t="e">
        <f>'Audit Report'!#REF!</f>
        <v>#REF!</v>
      </c>
      <c r="S364" t="str">
        <f>'Audit Report'!N364</f>
        <v/>
      </c>
    </row>
    <row r="365" spans="4:19">
      <c r="D365" t="str">
        <f>'Audit Report'!B365</f>
        <v>ITD-SHRXXX-XX364</v>
      </c>
      <c r="E365" t="str">
        <f>'Audit Report'!C365</f>
        <v/>
      </c>
      <c r="I365" t="str">
        <f>'Audit Report'!E365</f>
        <v/>
      </c>
      <c r="J365" t="str">
        <f>'Audit Report'!G365</f>
        <v/>
      </c>
      <c r="L365" t="str">
        <f>_xlfn.TEXTJOIN(", ", FALSE, 'Audit Report'!J365,'Audit Report'!K365,'Audit Report'!L365)</f>
        <v xml:space="preserve">, , </v>
      </c>
      <c r="M365" t="str">
        <f>'Audit Report'!M365</f>
        <v/>
      </c>
      <c r="N365" t="str" cm="1">
        <f t="array" ref="N365">IF(M365="","",
_xlfn.TEXTJOIN(", ",TRUE,
    _xlfn.MAP(_xlfn.TEXTSPLIT(M365,","),_xlfn.LAMBDA(_xlpm.x,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5" t="e">
        <f>'Audit Report'!#REF!</f>
        <v>#REF!</v>
      </c>
      <c r="S365" t="str">
        <f>'Audit Report'!N365</f>
        <v/>
      </c>
    </row>
    <row r="366" spans="4:19">
      <c r="D366" t="str">
        <f>'Audit Report'!B366</f>
        <v>ITD-SHRXXX-XX365</v>
      </c>
      <c r="E366" t="str">
        <f>'Audit Report'!C366</f>
        <v/>
      </c>
      <c r="I366" t="str">
        <f>'Audit Report'!E366</f>
        <v/>
      </c>
      <c r="J366" t="str">
        <f>'Audit Report'!G366</f>
        <v/>
      </c>
      <c r="L366" t="str">
        <f>_xlfn.TEXTJOIN(", ", FALSE, 'Audit Report'!J366,'Audit Report'!K366,'Audit Report'!L366)</f>
        <v xml:space="preserve">, , </v>
      </c>
      <c r="M366" t="str">
        <f>'Audit Report'!M366</f>
        <v/>
      </c>
      <c r="N366" t="str" cm="1">
        <f t="array" ref="N366">IF(M366="","",
_xlfn.TEXTJOIN(", ",TRUE,
    _xlfn.MAP(_xlfn.TEXTSPLIT(M366,","),_xlfn.LAMBDA(_xlpm.x,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6" t="e">
        <f>'Audit Report'!#REF!</f>
        <v>#REF!</v>
      </c>
      <c r="S366" t="str">
        <f>'Audit Report'!N366</f>
        <v/>
      </c>
    </row>
    <row r="367" spans="4:19">
      <c r="D367" t="str">
        <f>'Audit Report'!B367</f>
        <v>ITD-SHRXXX-XX366</v>
      </c>
      <c r="E367" t="str">
        <f>'Audit Report'!C367</f>
        <v/>
      </c>
      <c r="I367" t="str">
        <f>'Audit Report'!E367</f>
        <v/>
      </c>
      <c r="J367" t="str">
        <f>'Audit Report'!G367</f>
        <v/>
      </c>
      <c r="L367" t="str">
        <f>_xlfn.TEXTJOIN(", ", FALSE, 'Audit Report'!J367,'Audit Report'!K367,'Audit Report'!L367)</f>
        <v xml:space="preserve">, , </v>
      </c>
      <c r="M367" t="str">
        <f>'Audit Report'!M367</f>
        <v/>
      </c>
      <c r="N367" t="str" cm="1">
        <f t="array" ref="N367">IF(M367="","",
_xlfn.TEXTJOIN(", ",TRUE,
    _xlfn.MAP(_xlfn.TEXTSPLIT(M367,","),_xlfn.LAMBDA(_xlpm.x,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7" t="e">
        <f>'Audit Report'!#REF!</f>
        <v>#REF!</v>
      </c>
      <c r="S367" t="str">
        <f>'Audit Report'!N367</f>
        <v/>
      </c>
    </row>
    <row r="368" spans="4:19">
      <c r="D368" t="str">
        <f>'Audit Report'!B368</f>
        <v>ITD-SHRXXX-XX367</v>
      </c>
      <c r="E368" t="str">
        <f>'Audit Report'!C368</f>
        <v/>
      </c>
      <c r="I368" t="str">
        <f>'Audit Report'!E368</f>
        <v/>
      </c>
      <c r="J368" t="str">
        <f>'Audit Report'!G368</f>
        <v/>
      </c>
      <c r="L368" t="str">
        <f>_xlfn.TEXTJOIN(", ", FALSE, 'Audit Report'!J368,'Audit Report'!K368,'Audit Report'!L368)</f>
        <v xml:space="preserve">, , </v>
      </c>
      <c r="M368" t="str">
        <f>'Audit Report'!M368</f>
        <v/>
      </c>
      <c r="N368" t="str" cm="1">
        <f t="array" ref="N368">IF(M368="","",
_xlfn.TEXTJOIN(", ",TRUE,
    _xlfn.MAP(_xlfn.TEXTSPLIT(M368,","),_xlfn.LAMBDA(_xlpm.x,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8" t="e">
        <f>'Audit Report'!#REF!</f>
        <v>#REF!</v>
      </c>
      <c r="S368" t="str">
        <f>'Audit Report'!N368</f>
        <v/>
      </c>
    </row>
    <row r="369" spans="4:19">
      <c r="D369" t="str">
        <f>'Audit Report'!B369</f>
        <v>ITD-SHRXXX-XX368</v>
      </c>
      <c r="E369" t="str">
        <f>'Audit Report'!C369</f>
        <v/>
      </c>
      <c r="I369" t="str">
        <f>'Audit Report'!E369</f>
        <v/>
      </c>
      <c r="J369" t="str">
        <f>'Audit Report'!G369</f>
        <v/>
      </c>
      <c r="L369" t="str">
        <f>_xlfn.TEXTJOIN(", ", FALSE, 'Audit Report'!J369,'Audit Report'!K369,'Audit Report'!L369)</f>
        <v xml:space="preserve">, , </v>
      </c>
      <c r="M369" t="str">
        <f>'Audit Report'!M369</f>
        <v/>
      </c>
      <c r="N369" t="str" cm="1">
        <f t="array" ref="N369">IF(M369="","",
_xlfn.TEXTJOIN(", ",TRUE,
    _xlfn.MAP(_xlfn.TEXTSPLIT(M369,","),_xlfn.LAMBDA(_xlpm.x,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9" t="e">
        <f>'Audit Report'!#REF!</f>
        <v>#REF!</v>
      </c>
      <c r="S369" t="str">
        <f>'Audit Report'!N369</f>
        <v/>
      </c>
    </row>
    <row r="370" spans="4:19">
      <c r="D370" t="str">
        <f>'Audit Report'!B370</f>
        <v>ITD-SHRXXX-XX369</v>
      </c>
      <c r="E370" t="str">
        <f>'Audit Report'!C370</f>
        <v/>
      </c>
      <c r="I370" t="str">
        <f>'Audit Report'!E370</f>
        <v/>
      </c>
      <c r="J370" t="str">
        <f>'Audit Report'!G370</f>
        <v/>
      </c>
      <c r="L370" t="str">
        <f>_xlfn.TEXTJOIN(", ", FALSE, 'Audit Report'!J370,'Audit Report'!K370,'Audit Report'!L370)</f>
        <v xml:space="preserve">, , </v>
      </c>
      <c r="M370" t="str">
        <f>'Audit Report'!M370</f>
        <v/>
      </c>
      <c r="N370" t="str" cm="1">
        <f t="array" ref="N370">IF(M370="","",
_xlfn.TEXTJOIN(", ",TRUE,
    _xlfn.MAP(_xlfn.TEXTSPLIT(M370,","),_xlfn.LAMBDA(_xlpm.x,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0" t="e">
        <f>'Audit Report'!#REF!</f>
        <v>#REF!</v>
      </c>
      <c r="S370" t="str">
        <f>'Audit Report'!N370</f>
        <v/>
      </c>
    </row>
    <row r="371" spans="4:19">
      <c r="D371" t="str">
        <f>'Audit Report'!B371</f>
        <v>ITD-SHRXXX-XX370</v>
      </c>
      <c r="E371" t="str">
        <f>'Audit Report'!C371</f>
        <v/>
      </c>
      <c r="I371" t="str">
        <f>'Audit Report'!E371</f>
        <v/>
      </c>
      <c r="J371" t="str">
        <f>'Audit Report'!G371</f>
        <v/>
      </c>
      <c r="L371" t="str">
        <f>_xlfn.TEXTJOIN(", ", FALSE, 'Audit Report'!J371,'Audit Report'!K371,'Audit Report'!L371)</f>
        <v xml:space="preserve">, , </v>
      </c>
      <c r="M371" t="str">
        <f>'Audit Report'!M371</f>
        <v/>
      </c>
      <c r="N371" t="str" cm="1">
        <f t="array" ref="N371">IF(M371="","",
_xlfn.TEXTJOIN(", ",TRUE,
    _xlfn.MAP(_xlfn.TEXTSPLIT(M371,","),_xlfn.LAMBDA(_xlpm.x,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1" t="e">
        <f>'Audit Report'!#REF!</f>
        <v>#REF!</v>
      </c>
      <c r="S371" t="str">
        <f>'Audit Report'!N371</f>
        <v/>
      </c>
    </row>
    <row r="372" spans="4:19">
      <c r="D372" t="str">
        <f>'Audit Report'!B372</f>
        <v>ITD-SHRXXX-XX371</v>
      </c>
      <c r="E372" t="str">
        <f>'Audit Report'!C372</f>
        <v/>
      </c>
      <c r="I372" t="str">
        <f>'Audit Report'!E372</f>
        <v/>
      </c>
      <c r="J372" t="str">
        <f>'Audit Report'!G372</f>
        <v/>
      </c>
      <c r="L372" t="str">
        <f>_xlfn.TEXTJOIN(", ", FALSE, 'Audit Report'!J372,'Audit Report'!K372,'Audit Report'!L372)</f>
        <v xml:space="preserve">, , </v>
      </c>
      <c r="M372" t="str">
        <f>'Audit Report'!M372</f>
        <v/>
      </c>
      <c r="N372" t="str" cm="1">
        <f t="array" ref="N372">IF(M372="","",
_xlfn.TEXTJOIN(", ",TRUE,
    _xlfn.MAP(_xlfn.TEXTSPLIT(M372,","),_xlfn.LAMBDA(_xlpm.x,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2" t="e">
        <f>'Audit Report'!#REF!</f>
        <v>#REF!</v>
      </c>
      <c r="S372" t="str">
        <f>'Audit Report'!N372</f>
        <v/>
      </c>
    </row>
    <row r="373" spans="4:19">
      <c r="D373" t="str">
        <f>'Audit Report'!B373</f>
        <v>ITD-SHRXXX-XX372</v>
      </c>
      <c r="E373" t="str">
        <f>'Audit Report'!C373</f>
        <v/>
      </c>
      <c r="I373" t="str">
        <f>'Audit Report'!E373</f>
        <v/>
      </c>
      <c r="J373" t="str">
        <f>'Audit Report'!G373</f>
        <v/>
      </c>
      <c r="L373" t="str">
        <f>_xlfn.TEXTJOIN(", ", FALSE, 'Audit Report'!J373,'Audit Report'!K373,'Audit Report'!L373)</f>
        <v xml:space="preserve">, , </v>
      </c>
      <c r="M373" t="str">
        <f>'Audit Report'!M373</f>
        <v/>
      </c>
      <c r="N373" t="str" cm="1">
        <f t="array" ref="N373">IF(M373="","",
_xlfn.TEXTJOIN(", ",TRUE,
    _xlfn.MAP(_xlfn.TEXTSPLIT(M373,","),_xlfn.LAMBDA(_xlpm.x,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3" t="e">
        <f>'Audit Report'!#REF!</f>
        <v>#REF!</v>
      </c>
      <c r="S373" t="str">
        <f>'Audit Report'!N373</f>
        <v/>
      </c>
    </row>
    <row r="374" spans="4:19">
      <c r="D374" t="str">
        <f>'Audit Report'!B374</f>
        <v>ITD-SHRXXX-XX373</v>
      </c>
      <c r="E374" t="str">
        <f>'Audit Report'!C374</f>
        <v/>
      </c>
      <c r="I374" t="str">
        <f>'Audit Report'!E374</f>
        <v/>
      </c>
      <c r="J374" t="str">
        <f>'Audit Report'!G374</f>
        <v/>
      </c>
      <c r="L374" t="str">
        <f>_xlfn.TEXTJOIN(", ", FALSE, 'Audit Report'!J374,'Audit Report'!K374,'Audit Report'!L374)</f>
        <v xml:space="preserve">, , </v>
      </c>
      <c r="M374" t="str">
        <f>'Audit Report'!M374</f>
        <v/>
      </c>
      <c r="N374" t="str" cm="1">
        <f t="array" ref="N374">IF(M374="","",
_xlfn.TEXTJOIN(", ",TRUE,
    _xlfn.MAP(_xlfn.TEXTSPLIT(M374,","),_xlfn.LAMBDA(_xlpm.x,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4" t="e">
        <f>'Audit Report'!#REF!</f>
        <v>#REF!</v>
      </c>
      <c r="S374" t="str">
        <f>'Audit Report'!N374</f>
        <v/>
      </c>
    </row>
    <row r="375" spans="4:19">
      <c r="D375" t="str">
        <f>'Audit Report'!B375</f>
        <v>ITD-SHRXXX-XX374</v>
      </c>
      <c r="E375" t="str">
        <f>'Audit Report'!C375</f>
        <v/>
      </c>
      <c r="I375" t="str">
        <f>'Audit Report'!E375</f>
        <v/>
      </c>
      <c r="J375" t="str">
        <f>'Audit Report'!G375</f>
        <v/>
      </c>
      <c r="L375" t="str">
        <f>_xlfn.TEXTJOIN(", ", FALSE, 'Audit Report'!J375,'Audit Report'!K375,'Audit Report'!L375)</f>
        <v xml:space="preserve">, , </v>
      </c>
      <c r="M375" t="str">
        <f>'Audit Report'!M375</f>
        <v/>
      </c>
      <c r="N375" t="str" cm="1">
        <f t="array" ref="N375">IF(M375="","",
_xlfn.TEXTJOIN(", ",TRUE,
    _xlfn.MAP(_xlfn.TEXTSPLIT(M375,","),_xlfn.LAMBDA(_xlpm.x,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5" t="e">
        <f>'Audit Report'!#REF!</f>
        <v>#REF!</v>
      </c>
      <c r="S375" t="str">
        <f>'Audit Report'!N375</f>
        <v/>
      </c>
    </row>
    <row r="376" spans="4:19">
      <c r="D376" t="str">
        <f>'Audit Report'!B376</f>
        <v>ITD-SHRXXX-XX375</v>
      </c>
      <c r="E376" t="str">
        <f>'Audit Report'!C376</f>
        <v/>
      </c>
      <c r="I376" t="str">
        <f>'Audit Report'!E376</f>
        <v/>
      </c>
      <c r="J376" t="str">
        <f>'Audit Report'!G376</f>
        <v/>
      </c>
      <c r="L376" t="str">
        <f>_xlfn.TEXTJOIN(", ", FALSE, 'Audit Report'!J376,'Audit Report'!K376,'Audit Report'!L376)</f>
        <v xml:space="preserve">, , </v>
      </c>
      <c r="M376" t="str">
        <f>'Audit Report'!M376</f>
        <v/>
      </c>
      <c r="N376" t="str" cm="1">
        <f t="array" ref="N376">IF(M376="","",
_xlfn.TEXTJOIN(", ",TRUE,
    _xlfn.MAP(_xlfn.TEXTSPLIT(M376,","),_xlfn.LAMBDA(_xlpm.x,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6" t="e">
        <f>'Audit Report'!#REF!</f>
        <v>#REF!</v>
      </c>
      <c r="S376" t="str">
        <f>'Audit Report'!N376</f>
        <v/>
      </c>
    </row>
    <row r="377" spans="4:19">
      <c r="D377" t="str">
        <f>'Audit Report'!B377</f>
        <v>ITD-SHRXXX-XX376</v>
      </c>
      <c r="E377" t="str">
        <f>'Audit Report'!C377</f>
        <v/>
      </c>
      <c r="I377" t="str">
        <f>'Audit Report'!E377</f>
        <v/>
      </c>
      <c r="J377" t="str">
        <f>'Audit Report'!G377</f>
        <v/>
      </c>
      <c r="L377" t="str">
        <f>_xlfn.TEXTJOIN(", ", FALSE, 'Audit Report'!J377,'Audit Report'!K377,'Audit Report'!L377)</f>
        <v xml:space="preserve">, , </v>
      </c>
      <c r="M377" t="str">
        <f>'Audit Report'!M377</f>
        <v/>
      </c>
      <c r="N377" t="str" cm="1">
        <f t="array" ref="N377">IF(M377="","",
_xlfn.TEXTJOIN(", ",TRUE,
    _xlfn.MAP(_xlfn.TEXTSPLIT(M377,","),_xlfn.LAMBDA(_xlpm.x,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7" t="e">
        <f>'Audit Report'!#REF!</f>
        <v>#REF!</v>
      </c>
      <c r="S377" t="str">
        <f>'Audit Report'!N377</f>
        <v/>
      </c>
    </row>
    <row r="378" spans="4:19">
      <c r="D378" t="str">
        <f>'Audit Report'!B378</f>
        <v>ITD-SHRXXX-XX377</v>
      </c>
      <c r="E378" t="str">
        <f>'Audit Report'!C378</f>
        <v/>
      </c>
      <c r="I378" t="str">
        <f>'Audit Report'!E378</f>
        <v/>
      </c>
      <c r="J378" t="str">
        <f>'Audit Report'!G378</f>
        <v/>
      </c>
      <c r="L378" t="str">
        <f>_xlfn.TEXTJOIN(", ", FALSE, 'Audit Report'!J378,'Audit Report'!K378,'Audit Report'!L378)</f>
        <v xml:space="preserve">, , </v>
      </c>
      <c r="M378" t="str">
        <f>'Audit Report'!M378</f>
        <v/>
      </c>
      <c r="N378" t="str" cm="1">
        <f t="array" ref="N378">IF(M378="","",
_xlfn.TEXTJOIN(", ",TRUE,
    _xlfn.MAP(_xlfn.TEXTSPLIT(M378,","),_xlfn.LAMBDA(_xlpm.x,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8" t="e">
        <f>'Audit Report'!#REF!</f>
        <v>#REF!</v>
      </c>
      <c r="S378" t="str">
        <f>'Audit Report'!N378</f>
        <v/>
      </c>
    </row>
    <row r="379" spans="4:19">
      <c r="D379" t="str">
        <f>'Audit Report'!B379</f>
        <v>ITD-SHRXXX-XX378</v>
      </c>
      <c r="E379" t="str">
        <f>'Audit Report'!C379</f>
        <v/>
      </c>
      <c r="I379" t="str">
        <f>'Audit Report'!E379</f>
        <v/>
      </c>
      <c r="J379" t="str">
        <f>'Audit Report'!G379</f>
        <v/>
      </c>
      <c r="L379" t="str">
        <f>_xlfn.TEXTJOIN(", ", FALSE, 'Audit Report'!J379,'Audit Report'!K379,'Audit Report'!L379)</f>
        <v xml:space="preserve">, , </v>
      </c>
      <c r="M379" t="str">
        <f>'Audit Report'!M379</f>
        <v/>
      </c>
      <c r="N379" t="str" cm="1">
        <f t="array" ref="N379">IF(M379="","",
_xlfn.TEXTJOIN(", ",TRUE,
    _xlfn.MAP(_xlfn.TEXTSPLIT(M379,","),_xlfn.LAMBDA(_xlpm.x,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9" t="e">
        <f>'Audit Report'!#REF!</f>
        <v>#REF!</v>
      </c>
      <c r="S379" t="str">
        <f>'Audit Report'!N379</f>
        <v/>
      </c>
    </row>
    <row r="380" spans="4:19">
      <c r="D380" t="str">
        <f>'Audit Report'!B380</f>
        <v>ITD-SHRXXX-XX379</v>
      </c>
      <c r="E380" t="str">
        <f>'Audit Report'!C380</f>
        <v/>
      </c>
      <c r="I380" t="str">
        <f>'Audit Report'!E380</f>
        <v/>
      </c>
      <c r="J380" t="str">
        <f>'Audit Report'!G380</f>
        <v/>
      </c>
      <c r="L380" t="str">
        <f>_xlfn.TEXTJOIN(", ", FALSE, 'Audit Report'!J380,'Audit Report'!K380,'Audit Report'!L380)</f>
        <v xml:space="preserve">, , </v>
      </c>
      <c r="M380" t="str">
        <f>'Audit Report'!M380</f>
        <v/>
      </c>
      <c r="N380" t="str" cm="1">
        <f t="array" ref="N380">IF(M380="","",
_xlfn.TEXTJOIN(", ",TRUE,
    _xlfn.MAP(_xlfn.TEXTSPLIT(M380,","),_xlfn.LAMBDA(_xlpm.x,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0" t="e">
        <f>'Audit Report'!#REF!</f>
        <v>#REF!</v>
      </c>
      <c r="S380" t="str">
        <f>'Audit Report'!N380</f>
        <v/>
      </c>
    </row>
    <row r="381" spans="4:19">
      <c r="D381" t="str">
        <f>'Audit Report'!B381</f>
        <v>ITD-SHRXXX-XX380</v>
      </c>
      <c r="E381" t="str">
        <f>'Audit Report'!C381</f>
        <v/>
      </c>
      <c r="I381" t="str">
        <f>'Audit Report'!E381</f>
        <v/>
      </c>
      <c r="J381" t="str">
        <f>'Audit Report'!G381</f>
        <v/>
      </c>
      <c r="L381" t="str">
        <f>_xlfn.TEXTJOIN(", ", FALSE, 'Audit Report'!J381,'Audit Report'!K381,'Audit Report'!L381)</f>
        <v xml:space="preserve">, , </v>
      </c>
      <c r="M381" t="str">
        <f>'Audit Report'!M381</f>
        <v/>
      </c>
      <c r="N381" t="str" cm="1">
        <f t="array" ref="N381">IF(M381="","",
_xlfn.TEXTJOIN(", ",TRUE,
    _xlfn.MAP(_xlfn.TEXTSPLIT(M381,","),_xlfn.LAMBDA(_xlpm.x,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1" t="e">
        <f>'Audit Report'!#REF!</f>
        <v>#REF!</v>
      </c>
      <c r="S381" t="str">
        <f>'Audit Report'!N381</f>
        <v/>
      </c>
    </row>
    <row r="382" spans="4:19">
      <c r="D382" t="str">
        <f>'Audit Report'!B382</f>
        <v>ITD-SHRXXX-XX381</v>
      </c>
      <c r="E382" t="str">
        <f>'Audit Report'!C382</f>
        <v/>
      </c>
      <c r="I382" t="str">
        <f>'Audit Report'!E382</f>
        <v/>
      </c>
      <c r="J382" t="str">
        <f>'Audit Report'!G382</f>
        <v/>
      </c>
      <c r="L382" t="str">
        <f>_xlfn.TEXTJOIN(", ", FALSE, 'Audit Report'!J382,'Audit Report'!K382,'Audit Report'!L382)</f>
        <v xml:space="preserve">, , </v>
      </c>
      <c r="M382" t="str">
        <f>'Audit Report'!M382</f>
        <v/>
      </c>
      <c r="N382" t="str" cm="1">
        <f t="array" ref="N382">IF(M382="","",
_xlfn.TEXTJOIN(", ",TRUE,
    _xlfn.MAP(_xlfn.TEXTSPLIT(M382,","),_xlfn.LAMBDA(_xlpm.x,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2" t="e">
        <f>'Audit Report'!#REF!</f>
        <v>#REF!</v>
      </c>
      <c r="S382" t="str">
        <f>'Audit Report'!N382</f>
        <v/>
      </c>
    </row>
    <row r="383" spans="4:19">
      <c r="D383" t="str">
        <f>'Audit Report'!B383</f>
        <v>ITD-SHRXXX-XX382</v>
      </c>
      <c r="E383" t="str">
        <f>'Audit Report'!C383</f>
        <v/>
      </c>
      <c r="I383" t="str">
        <f>'Audit Report'!E383</f>
        <v/>
      </c>
      <c r="J383" t="str">
        <f>'Audit Report'!G383</f>
        <v/>
      </c>
      <c r="L383" t="str">
        <f>_xlfn.TEXTJOIN(", ", FALSE, 'Audit Report'!J383,'Audit Report'!K383,'Audit Report'!L383)</f>
        <v xml:space="preserve">, , </v>
      </c>
      <c r="M383" t="str">
        <f>'Audit Report'!M383</f>
        <v/>
      </c>
      <c r="N383" t="str" cm="1">
        <f t="array" ref="N383">IF(M383="","",
_xlfn.TEXTJOIN(", ",TRUE,
    _xlfn.MAP(_xlfn.TEXTSPLIT(M383,","),_xlfn.LAMBDA(_xlpm.x,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3" t="e">
        <f>'Audit Report'!#REF!</f>
        <v>#REF!</v>
      </c>
      <c r="S383" t="str">
        <f>'Audit Report'!N383</f>
        <v/>
      </c>
    </row>
    <row r="384" spans="4:19">
      <c r="D384" t="str">
        <f>'Audit Report'!B384</f>
        <v>ITD-SHRXXX-XX383</v>
      </c>
      <c r="E384" t="str">
        <f>'Audit Report'!C384</f>
        <v/>
      </c>
      <c r="I384" t="str">
        <f>'Audit Report'!E384</f>
        <v/>
      </c>
      <c r="J384" t="str">
        <f>'Audit Report'!G384</f>
        <v/>
      </c>
      <c r="L384" t="str">
        <f>_xlfn.TEXTJOIN(", ", FALSE, 'Audit Report'!J384,'Audit Report'!K384,'Audit Report'!L384)</f>
        <v xml:space="preserve">, , </v>
      </c>
      <c r="M384" t="str">
        <f>'Audit Report'!M384</f>
        <v/>
      </c>
      <c r="N384" t="str" cm="1">
        <f t="array" ref="N384">IF(M384="","",
_xlfn.TEXTJOIN(", ",TRUE,
    _xlfn.MAP(_xlfn.TEXTSPLIT(M384,","),_xlfn.LAMBDA(_xlpm.x,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4" t="e">
        <f>'Audit Report'!#REF!</f>
        <v>#REF!</v>
      </c>
      <c r="S384" t="str">
        <f>'Audit Report'!N384</f>
        <v/>
      </c>
    </row>
    <row r="385" spans="4:19">
      <c r="D385" t="str">
        <f>'Audit Report'!B385</f>
        <v>ITD-SHRXXX-XX384</v>
      </c>
      <c r="E385" t="str">
        <f>'Audit Report'!C385</f>
        <v/>
      </c>
      <c r="I385" t="str">
        <f>'Audit Report'!E385</f>
        <v/>
      </c>
      <c r="J385" t="str">
        <f>'Audit Report'!G385</f>
        <v/>
      </c>
      <c r="L385" t="str">
        <f>_xlfn.TEXTJOIN(", ", FALSE, 'Audit Report'!J385,'Audit Report'!K385,'Audit Report'!L385)</f>
        <v xml:space="preserve">, , </v>
      </c>
      <c r="M385" t="str">
        <f>'Audit Report'!M385</f>
        <v/>
      </c>
      <c r="N385" t="str" cm="1">
        <f t="array" ref="N385">IF(M385="","",
_xlfn.TEXTJOIN(", ",TRUE,
    _xlfn.MAP(_xlfn.TEXTSPLIT(M385,","),_xlfn.LAMBDA(_xlpm.x,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5" t="e">
        <f>'Audit Report'!#REF!</f>
        <v>#REF!</v>
      </c>
      <c r="S385" t="str">
        <f>'Audit Report'!N385</f>
        <v/>
      </c>
    </row>
    <row r="386" spans="4:19">
      <c r="D386" t="str">
        <f>'Audit Report'!B386</f>
        <v>ITD-SHRXXX-XX385</v>
      </c>
      <c r="E386" t="str">
        <f>'Audit Report'!C386</f>
        <v/>
      </c>
      <c r="I386" t="str">
        <f>'Audit Report'!E386</f>
        <v/>
      </c>
      <c r="J386" t="str">
        <f>'Audit Report'!G386</f>
        <v/>
      </c>
      <c r="L386" t="str">
        <f>_xlfn.TEXTJOIN(", ", FALSE, 'Audit Report'!J386,'Audit Report'!K386,'Audit Report'!L386)</f>
        <v xml:space="preserve">, , </v>
      </c>
      <c r="M386" t="str">
        <f>'Audit Report'!M386</f>
        <v/>
      </c>
      <c r="N386" t="str" cm="1">
        <f t="array" ref="N386">IF(M386="","",
_xlfn.TEXTJOIN(", ",TRUE,
    _xlfn.MAP(_xlfn.TEXTSPLIT(M386,","),_xlfn.LAMBDA(_xlpm.x,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6" t="e">
        <f>'Audit Report'!#REF!</f>
        <v>#REF!</v>
      </c>
      <c r="S386" t="str">
        <f>'Audit Report'!N386</f>
        <v/>
      </c>
    </row>
    <row r="387" spans="4:19">
      <c r="D387" t="str">
        <f>'Audit Report'!B387</f>
        <v>ITD-SHRXXX-XX386</v>
      </c>
      <c r="E387" t="str">
        <f>'Audit Report'!C387</f>
        <v/>
      </c>
      <c r="I387" t="str">
        <f>'Audit Report'!E387</f>
        <v/>
      </c>
      <c r="J387" t="str">
        <f>'Audit Report'!G387</f>
        <v/>
      </c>
      <c r="L387" t="str">
        <f>_xlfn.TEXTJOIN(", ", FALSE, 'Audit Report'!J387,'Audit Report'!K387,'Audit Report'!L387)</f>
        <v xml:space="preserve">, , </v>
      </c>
      <c r="M387" t="str">
        <f>'Audit Report'!M387</f>
        <v/>
      </c>
      <c r="N387" t="str" cm="1">
        <f t="array" ref="N387">IF(M387="","",
_xlfn.TEXTJOIN(", ",TRUE,
    _xlfn.MAP(_xlfn.TEXTSPLIT(M387,","),_xlfn.LAMBDA(_xlpm.x,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7" t="e">
        <f>'Audit Report'!#REF!</f>
        <v>#REF!</v>
      </c>
      <c r="S387" t="str">
        <f>'Audit Report'!N387</f>
        <v/>
      </c>
    </row>
    <row r="388" spans="4:19">
      <c r="D388" t="str">
        <f>'Audit Report'!B388</f>
        <v>ITD-SHRXXX-XX387</v>
      </c>
      <c r="E388" t="str">
        <f>'Audit Report'!C388</f>
        <v/>
      </c>
      <c r="I388" t="str">
        <f>'Audit Report'!E388</f>
        <v/>
      </c>
      <c r="J388" t="str">
        <f>'Audit Report'!G388</f>
        <v/>
      </c>
      <c r="L388" t="str">
        <f>_xlfn.TEXTJOIN(", ", FALSE, 'Audit Report'!J388,'Audit Report'!K388,'Audit Report'!L388)</f>
        <v xml:space="preserve">, , </v>
      </c>
      <c r="M388" t="str">
        <f>'Audit Report'!M388</f>
        <v/>
      </c>
      <c r="N388" t="str" cm="1">
        <f t="array" ref="N388">IF(M388="","",
_xlfn.TEXTJOIN(", ",TRUE,
    _xlfn.MAP(_xlfn.TEXTSPLIT(M388,","),_xlfn.LAMBDA(_xlpm.x,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8" t="e">
        <f>'Audit Report'!#REF!</f>
        <v>#REF!</v>
      </c>
      <c r="S388" t="str">
        <f>'Audit Report'!N388</f>
        <v/>
      </c>
    </row>
    <row r="389" spans="4:19">
      <c r="D389" t="str">
        <f>'Audit Report'!B389</f>
        <v>ITD-SHRXXX-XX388</v>
      </c>
      <c r="E389" t="str">
        <f>'Audit Report'!C389</f>
        <v/>
      </c>
      <c r="I389" t="str">
        <f>'Audit Report'!E389</f>
        <v/>
      </c>
      <c r="J389" t="str">
        <f>'Audit Report'!G389</f>
        <v/>
      </c>
      <c r="L389" t="str">
        <f>_xlfn.TEXTJOIN(", ", FALSE, 'Audit Report'!J389,'Audit Report'!K389,'Audit Report'!L389)</f>
        <v xml:space="preserve">, , </v>
      </c>
      <c r="M389" t="str">
        <f>'Audit Report'!M389</f>
        <v/>
      </c>
      <c r="N389" t="str" cm="1">
        <f t="array" ref="N389">IF(M389="","",
_xlfn.TEXTJOIN(", ",TRUE,
    _xlfn.MAP(_xlfn.TEXTSPLIT(M389,","),_xlfn.LAMBDA(_xlpm.x,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9" t="e">
        <f>'Audit Report'!#REF!</f>
        <v>#REF!</v>
      </c>
      <c r="S389" t="str">
        <f>'Audit Report'!N389</f>
        <v/>
      </c>
    </row>
    <row r="390" spans="4:19">
      <c r="D390" t="str">
        <f>'Audit Report'!B390</f>
        <v>ITD-SHRXXX-XX389</v>
      </c>
      <c r="E390" t="str">
        <f>'Audit Report'!C390</f>
        <v/>
      </c>
      <c r="I390" t="str">
        <f>'Audit Report'!E390</f>
        <v/>
      </c>
      <c r="J390" t="str">
        <f>'Audit Report'!G390</f>
        <v/>
      </c>
      <c r="L390" t="str">
        <f>_xlfn.TEXTJOIN(", ", FALSE, 'Audit Report'!J390,'Audit Report'!K390,'Audit Report'!L390)</f>
        <v xml:space="preserve">, , </v>
      </c>
      <c r="M390" t="str">
        <f>'Audit Report'!M390</f>
        <v/>
      </c>
      <c r="N390" t="str" cm="1">
        <f t="array" ref="N390">IF(M390="","",
_xlfn.TEXTJOIN(", ",TRUE,
    _xlfn.MAP(_xlfn.TEXTSPLIT(M390,","),_xlfn.LAMBDA(_xlpm.x,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0" t="e">
        <f>'Audit Report'!#REF!</f>
        <v>#REF!</v>
      </c>
      <c r="S390" t="str">
        <f>'Audit Report'!N390</f>
        <v/>
      </c>
    </row>
    <row r="391" spans="4:19">
      <c r="D391" t="str">
        <f>'Audit Report'!B391</f>
        <v>ITD-SHRXXX-XX390</v>
      </c>
      <c r="E391" t="str">
        <f>'Audit Report'!C391</f>
        <v/>
      </c>
      <c r="I391" t="str">
        <f>'Audit Report'!E391</f>
        <v/>
      </c>
      <c r="J391" t="str">
        <f>'Audit Report'!G391</f>
        <v/>
      </c>
      <c r="L391" t="str">
        <f>_xlfn.TEXTJOIN(", ", FALSE, 'Audit Report'!J391,'Audit Report'!K391,'Audit Report'!L391)</f>
        <v xml:space="preserve">, , </v>
      </c>
      <c r="M391" t="str">
        <f>'Audit Report'!M391</f>
        <v/>
      </c>
      <c r="N391" t="str" cm="1">
        <f t="array" ref="N391">IF(M391="","",
_xlfn.TEXTJOIN(", ",TRUE,
    _xlfn.MAP(_xlfn.TEXTSPLIT(M391,","),_xlfn.LAMBDA(_xlpm.x,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1" t="e">
        <f>'Audit Report'!#REF!</f>
        <v>#REF!</v>
      </c>
      <c r="S391" t="str">
        <f>'Audit Report'!N391</f>
        <v/>
      </c>
    </row>
    <row r="392" spans="4:19">
      <c r="D392" t="str">
        <f>'Audit Report'!B392</f>
        <v>ITD-SHRXXX-XX391</v>
      </c>
      <c r="E392" t="str">
        <f>'Audit Report'!C392</f>
        <v/>
      </c>
      <c r="I392" t="str">
        <f>'Audit Report'!E392</f>
        <v/>
      </c>
      <c r="J392" t="str">
        <f>'Audit Report'!G392</f>
        <v/>
      </c>
      <c r="L392" t="str">
        <f>_xlfn.TEXTJOIN(", ", FALSE, 'Audit Report'!J392,'Audit Report'!K392,'Audit Report'!L392)</f>
        <v xml:space="preserve">, , </v>
      </c>
      <c r="M392" t="str">
        <f>'Audit Report'!M392</f>
        <v/>
      </c>
      <c r="N392" t="str" cm="1">
        <f t="array" ref="N392">IF(M392="","",
_xlfn.TEXTJOIN(", ",TRUE,
    _xlfn.MAP(_xlfn.TEXTSPLIT(M392,","),_xlfn.LAMBDA(_xlpm.x,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2" t="e">
        <f>'Audit Report'!#REF!</f>
        <v>#REF!</v>
      </c>
      <c r="S392" t="str">
        <f>'Audit Report'!N392</f>
        <v/>
      </c>
    </row>
    <row r="393" spans="4:19">
      <c r="D393" t="str">
        <f>'Audit Report'!B393</f>
        <v>ITD-SHRXXX-XX392</v>
      </c>
      <c r="E393" t="str">
        <f>'Audit Report'!C393</f>
        <v/>
      </c>
      <c r="I393" t="str">
        <f>'Audit Report'!E393</f>
        <v/>
      </c>
      <c r="J393" t="str">
        <f>'Audit Report'!G393</f>
        <v/>
      </c>
      <c r="L393" t="str">
        <f>_xlfn.TEXTJOIN(", ", FALSE, 'Audit Report'!J393,'Audit Report'!K393,'Audit Report'!L393)</f>
        <v xml:space="preserve">, , </v>
      </c>
      <c r="M393" t="str">
        <f>'Audit Report'!M393</f>
        <v/>
      </c>
      <c r="N393" t="str" cm="1">
        <f t="array" ref="N393">IF(M393="","",
_xlfn.TEXTJOIN(", ",TRUE,
    _xlfn.MAP(_xlfn.TEXTSPLIT(M393,","),_xlfn.LAMBDA(_xlpm.x,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3" t="e">
        <f>'Audit Report'!#REF!</f>
        <v>#REF!</v>
      </c>
      <c r="S393" t="str">
        <f>'Audit Report'!N393</f>
        <v/>
      </c>
    </row>
    <row r="394" spans="4:19">
      <c r="D394" t="str">
        <f>'Audit Report'!B394</f>
        <v>ITD-SHRXXX-XX393</v>
      </c>
      <c r="E394" t="str">
        <f>'Audit Report'!C394</f>
        <v/>
      </c>
      <c r="I394" t="str">
        <f>'Audit Report'!E394</f>
        <v/>
      </c>
      <c r="J394" t="str">
        <f>'Audit Report'!G394</f>
        <v/>
      </c>
      <c r="L394" t="str">
        <f>_xlfn.TEXTJOIN(", ", FALSE, 'Audit Report'!J394,'Audit Report'!K394,'Audit Report'!L394)</f>
        <v xml:space="preserve">, , </v>
      </c>
      <c r="M394" t="str">
        <f>'Audit Report'!M394</f>
        <v/>
      </c>
      <c r="N394" t="str" cm="1">
        <f t="array" ref="N394">IF(M394="","",
_xlfn.TEXTJOIN(", ",TRUE,
    _xlfn.MAP(_xlfn.TEXTSPLIT(M394,","),_xlfn.LAMBDA(_xlpm.x,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4" t="e">
        <f>'Audit Report'!#REF!</f>
        <v>#REF!</v>
      </c>
      <c r="S394" t="str">
        <f>'Audit Report'!N394</f>
        <v/>
      </c>
    </row>
    <row r="395" spans="4:19">
      <c r="D395" t="str">
        <f>'Audit Report'!B395</f>
        <v>ITD-SHRXXX-XX394</v>
      </c>
      <c r="E395" t="str">
        <f>'Audit Report'!C395</f>
        <v/>
      </c>
      <c r="I395" t="str">
        <f>'Audit Report'!E395</f>
        <v/>
      </c>
      <c r="J395" t="str">
        <f>'Audit Report'!G395</f>
        <v/>
      </c>
      <c r="L395" t="str">
        <f>_xlfn.TEXTJOIN(", ", FALSE, 'Audit Report'!J395,'Audit Report'!K395,'Audit Report'!L395)</f>
        <v xml:space="preserve">, , </v>
      </c>
      <c r="M395" t="str">
        <f>'Audit Report'!M395</f>
        <v/>
      </c>
      <c r="N395" t="str" cm="1">
        <f t="array" ref="N395">IF(M395="","",
_xlfn.TEXTJOIN(", ",TRUE,
    _xlfn.MAP(_xlfn.TEXTSPLIT(M395,","),_xlfn.LAMBDA(_xlpm.x,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5" t="e">
        <f>'Audit Report'!#REF!</f>
        <v>#REF!</v>
      </c>
      <c r="S395" t="str">
        <f>'Audit Report'!N395</f>
        <v/>
      </c>
    </row>
    <row r="396" spans="4:19">
      <c r="D396" t="str">
        <f>'Audit Report'!B396</f>
        <v>ITD-SHRXXX-XX395</v>
      </c>
      <c r="E396" t="str">
        <f>'Audit Report'!C396</f>
        <v/>
      </c>
      <c r="I396" t="str">
        <f>'Audit Report'!E396</f>
        <v/>
      </c>
      <c r="J396" t="str">
        <f>'Audit Report'!G396</f>
        <v/>
      </c>
      <c r="L396" t="str">
        <f>_xlfn.TEXTJOIN(", ", FALSE, 'Audit Report'!J396,'Audit Report'!K396,'Audit Report'!L396)</f>
        <v xml:space="preserve">, , </v>
      </c>
      <c r="M396" t="str">
        <f>'Audit Report'!M396</f>
        <v/>
      </c>
      <c r="N396" t="str" cm="1">
        <f t="array" ref="N396">IF(M396="","",
_xlfn.TEXTJOIN(", ",TRUE,
    _xlfn.MAP(_xlfn.TEXTSPLIT(M396,","),_xlfn.LAMBDA(_xlpm.x,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6" t="e">
        <f>'Audit Report'!#REF!</f>
        <v>#REF!</v>
      </c>
      <c r="S396" t="str">
        <f>'Audit Report'!N396</f>
        <v/>
      </c>
    </row>
    <row r="397" spans="4:19">
      <c r="D397" t="str">
        <f>'Audit Report'!B397</f>
        <v>ITD-SHRXXX-XX396</v>
      </c>
      <c r="E397" t="str">
        <f>'Audit Report'!C397</f>
        <v/>
      </c>
      <c r="I397" t="str">
        <f>'Audit Report'!E397</f>
        <v/>
      </c>
      <c r="J397" t="str">
        <f>'Audit Report'!G397</f>
        <v/>
      </c>
      <c r="L397" t="str">
        <f>_xlfn.TEXTJOIN(", ", FALSE, 'Audit Report'!J397,'Audit Report'!K397,'Audit Report'!L397)</f>
        <v xml:space="preserve">, , </v>
      </c>
      <c r="M397" t="str">
        <f>'Audit Report'!M397</f>
        <v/>
      </c>
      <c r="N397" t="str" cm="1">
        <f t="array" ref="N397">IF(M397="","",
_xlfn.TEXTJOIN(", ",TRUE,
    _xlfn.MAP(_xlfn.TEXTSPLIT(M397,","),_xlfn.LAMBDA(_xlpm.x,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7" t="e">
        <f>'Audit Report'!#REF!</f>
        <v>#REF!</v>
      </c>
      <c r="S397" t="str">
        <f>'Audit Report'!N397</f>
        <v/>
      </c>
    </row>
    <row r="398" spans="4:19">
      <c r="D398" t="str">
        <f>'Audit Report'!B398</f>
        <v>ITD-SHRXXX-XX397</v>
      </c>
      <c r="E398" t="str">
        <f>'Audit Report'!C398</f>
        <v/>
      </c>
      <c r="I398" t="str">
        <f>'Audit Report'!E398</f>
        <v/>
      </c>
      <c r="J398" t="str">
        <f>'Audit Report'!G398</f>
        <v/>
      </c>
      <c r="L398" t="str">
        <f>_xlfn.TEXTJOIN(", ", FALSE, 'Audit Report'!J398,'Audit Report'!K398,'Audit Report'!L398)</f>
        <v xml:space="preserve">, , </v>
      </c>
      <c r="M398" t="str">
        <f>'Audit Report'!M398</f>
        <v/>
      </c>
      <c r="N398" t="str" cm="1">
        <f t="array" ref="N398">IF(M398="","",
_xlfn.TEXTJOIN(", ",TRUE,
    _xlfn.MAP(_xlfn.TEXTSPLIT(M398,","),_xlfn.LAMBDA(_xlpm.x,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8" t="e">
        <f>'Audit Report'!#REF!</f>
        <v>#REF!</v>
      </c>
      <c r="S398" t="str">
        <f>'Audit Report'!N398</f>
        <v/>
      </c>
    </row>
    <row r="399" spans="4:19">
      <c r="D399" t="str">
        <f>'Audit Report'!B399</f>
        <v>ITD-SHRXXX-XX398</v>
      </c>
      <c r="E399" t="str">
        <f>'Audit Report'!C399</f>
        <v/>
      </c>
      <c r="I399" t="str">
        <f>'Audit Report'!E399</f>
        <v/>
      </c>
      <c r="J399" t="str">
        <f>'Audit Report'!G399</f>
        <v/>
      </c>
      <c r="L399" t="str">
        <f>_xlfn.TEXTJOIN(", ", FALSE, 'Audit Report'!J399,'Audit Report'!K399,'Audit Report'!L399)</f>
        <v xml:space="preserve">, , </v>
      </c>
      <c r="M399" t="str">
        <f>'Audit Report'!M399</f>
        <v/>
      </c>
      <c r="N399" t="str" cm="1">
        <f t="array" ref="N399">IF(M399="","",
_xlfn.TEXTJOIN(", ",TRUE,
    _xlfn.MAP(_xlfn.TEXTSPLIT(M399,","),_xlfn.LAMBDA(_xlpm.x,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9" t="e">
        <f>'Audit Report'!#REF!</f>
        <v>#REF!</v>
      </c>
      <c r="S399" t="str">
        <f>'Audit Report'!N399</f>
        <v/>
      </c>
    </row>
    <row r="400" spans="4:19">
      <c r="D400" t="str">
        <f>'Audit Report'!B400</f>
        <v>ITD-SHRXXX-XX399</v>
      </c>
      <c r="E400" t="str">
        <f>'Audit Report'!C400</f>
        <v/>
      </c>
      <c r="I400" t="str">
        <f>'Audit Report'!E400</f>
        <v/>
      </c>
      <c r="J400" t="str">
        <f>'Audit Report'!G400</f>
        <v/>
      </c>
      <c r="L400" t="str">
        <f>_xlfn.TEXTJOIN(", ", FALSE, 'Audit Report'!J400,'Audit Report'!K400,'Audit Report'!L400)</f>
        <v xml:space="preserve">, , </v>
      </c>
      <c r="M400" t="str">
        <f>'Audit Report'!M400</f>
        <v/>
      </c>
      <c r="N400" t="str" cm="1">
        <f t="array" ref="N400">IF(M400="","",
_xlfn.TEXTJOIN(", ",TRUE,
    _xlfn.MAP(_xlfn.TEXTSPLIT(M400,","),_xlfn.LAMBDA(_xlpm.x,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0" t="e">
        <f>'Audit Report'!#REF!</f>
        <v>#REF!</v>
      </c>
      <c r="S400" t="str">
        <f>'Audit Report'!N400</f>
        <v/>
      </c>
    </row>
    <row r="401" spans="4:19">
      <c r="D401" t="str">
        <f>'Audit Report'!B401</f>
        <v>ITD-SHRXXX-XX400</v>
      </c>
      <c r="E401" t="str">
        <f>'Audit Report'!C401</f>
        <v/>
      </c>
      <c r="I401" t="str">
        <f>'Audit Report'!E401</f>
        <v/>
      </c>
      <c r="J401" t="str">
        <f>'Audit Report'!G401</f>
        <v/>
      </c>
      <c r="L401" t="str">
        <f>_xlfn.TEXTJOIN(", ", FALSE, 'Audit Report'!J401,'Audit Report'!K401,'Audit Report'!L401)</f>
        <v xml:space="preserve">, , </v>
      </c>
      <c r="M401" t="str">
        <f>'Audit Report'!M401</f>
        <v/>
      </c>
      <c r="N401" t="str" cm="1">
        <f t="array" ref="N401">IF(M401="","",
_xlfn.TEXTJOIN(", ",TRUE,
    _xlfn.MAP(_xlfn.TEXTSPLIT(M401,","),_xlfn.LAMBDA(_xlpm.x,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1" t="e">
        <f>'Audit Report'!#REF!</f>
        <v>#REF!</v>
      </c>
      <c r="S401" t="str">
        <f>'Audit Report'!N401</f>
        <v/>
      </c>
    </row>
    <row r="402" spans="4:19">
      <c r="D402" t="str">
        <f>'Audit Report'!B402</f>
        <v>ITD-SHRXXX-XX401</v>
      </c>
      <c r="E402" t="str">
        <f>'Audit Report'!C402</f>
        <v/>
      </c>
      <c r="I402" t="str">
        <f>'Audit Report'!E402</f>
        <v/>
      </c>
      <c r="J402" t="str">
        <f>'Audit Report'!G402</f>
        <v/>
      </c>
      <c r="L402" t="str">
        <f>_xlfn.TEXTJOIN(", ", FALSE, 'Audit Report'!J402,'Audit Report'!K402,'Audit Report'!L402)</f>
        <v xml:space="preserve">, , </v>
      </c>
      <c r="M402" t="str">
        <f>'Audit Report'!M402</f>
        <v/>
      </c>
      <c r="N402" t="str" cm="1">
        <f t="array" ref="N402">IF(M402="","",
_xlfn.TEXTJOIN(", ",TRUE,
    _xlfn.MAP(_xlfn.TEXTSPLIT(M402,","),_xlfn.LAMBDA(_xlpm.x,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2" t="e">
        <f>'Audit Report'!#REF!</f>
        <v>#REF!</v>
      </c>
      <c r="S402" t="str">
        <f>'Audit Report'!N402</f>
        <v/>
      </c>
    </row>
    <row r="403" spans="4:19">
      <c r="D403" t="str">
        <f>'Audit Report'!B403</f>
        <v>ITD-SHRXXX-XX402</v>
      </c>
      <c r="E403" t="str">
        <f>'Audit Report'!C403</f>
        <v/>
      </c>
      <c r="I403" t="str">
        <f>'Audit Report'!E403</f>
        <v/>
      </c>
      <c r="J403" t="str">
        <f>'Audit Report'!G403</f>
        <v/>
      </c>
      <c r="L403" t="str">
        <f>_xlfn.TEXTJOIN(", ", FALSE, 'Audit Report'!J403,'Audit Report'!K403,'Audit Report'!L403)</f>
        <v xml:space="preserve">, , </v>
      </c>
      <c r="M403" t="str">
        <f>'Audit Report'!M403</f>
        <v/>
      </c>
      <c r="N403" t="str" cm="1">
        <f t="array" ref="N403">IF(M403="","",
_xlfn.TEXTJOIN(", ",TRUE,
    _xlfn.MAP(_xlfn.TEXTSPLIT(M403,","),_xlfn.LAMBDA(_xlpm.x,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3" t="e">
        <f>'Audit Report'!#REF!</f>
        <v>#REF!</v>
      </c>
      <c r="S403" t="str">
        <f>'Audit Report'!N403</f>
        <v/>
      </c>
    </row>
    <row r="404" spans="4:19">
      <c r="D404" t="str">
        <f>'Audit Report'!B404</f>
        <v>ITD-SHRXXX-XX403</v>
      </c>
      <c r="E404" t="str">
        <f>'Audit Report'!C404</f>
        <v/>
      </c>
      <c r="I404" t="str">
        <f>'Audit Report'!E404</f>
        <v/>
      </c>
      <c r="J404" t="str">
        <f>'Audit Report'!G404</f>
        <v/>
      </c>
      <c r="L404" t="str">
        <f>_xlfn.TEXTJOIN(", ", FALSE, 'Audit Report'!J404,'Audit Report'!K404,'Audit Report'!L404)</f>
        <v xml:space="preserve">, , </v>
      </c>
      <c r="M404" t="str">
        <f>'Audit Report'!M404</f>
        <v/>
      </c>
      <c r="N404" t="str" cm="1">
        <f t="array" ref="N404">IF(M404="","",
_xlfn.TEXTJOIN(", ",TRUE,
    _xlfn.MAP(_xlfn.TEXTSPLIT(M404,","),_xlfn.LAMBDA(_xlpm.x,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4" t="e">
        <f>'Audit Report'!#REF!</f>
        <v>#REF!</v>
      </c>
      <c r="S404" t="str">
        <f>'Audit Report'!N404</f>
        <v/>
      </c>
    </row>
    <row r="405" spans="4:19">
      <c r="D405" t="str">
        <f>'Audit Report'!B405</f>
        <v>ITD-SHRXXX-XX404</v>
      </c>
      <c r="E405" t="str">
        <f>'Audit Report'!C405</f>
        <v/>
      </c>
      <c r="I405" t="str">
        <f>'Audit Report'!E405</f>
        <v/>
      </c>
      <c r="J405" t="str">
        <f>'Audit Report'!G405</f>
        <v/>
      </c>
      <c r="L405" t="str">
        <f>_xlfn.TEXTJOIN(", ", FALSE, 'Audit Report'!J405,'Audit Report'!K405,'Audit Report'!L405)</f>
        <v xml:space="preserve">, , </v>
      </c>
      <c r="M405" t="str">
        <f>'Audit Report'!M405</f>
        <v/>
      </c>
      <c r="N405" t="str" cm="1">
        <f t="array" ref="N405">IF(M405="","",
_xlfn.TEXTJOIN(", ",TRUE,
    _xlfn.MAP(_xlfn.TEXTSPLIT(M405,","),_xlfn.LAMBDA(_xlpm.x,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5" t="e">
        <f>'Audit Report'!#REF!</f>
        <v>#REF!</v>
      </c>
      <c r="S405" t="str">
        <f>'Audit Report'!N405</f>
        <v/>
      </c>
    </row>
    <row r="406" spans="4:19">
      <c r="D406" t="str">
        <f>'Audit Report'!B406</f>
        <v>ITD-SHRXXX-XX405</v>
      </c>
      <c r="E406" t="str">
        <f>'Audit Report'!C406</f>
        <v/>
      </c>
      <c r="I406" t="str">
        <f>'Audit Report'!E406</f>
        <v/>
      </c>
      <c r="J406" t="str">
        <f>'Audit Report'!G406</f>
        <v/>
      </c>
      <c r="L406" t="str">
        <f>_xlfn.TEXTJOIN(", ", FALSE, 'Audit Report'!J406,'Audit Report'!K406,'Audit Report'!L406)</f>
        <v xml:space="preserve">, , </v>
      </c>
      <c r="M406" t="str">
        <f>'Audit Report'!M406</f>
        <v/>
      </c>
      <c r="N406" t="str" cm="1">
        <f t="array" ref="N406">IF(M406="","",
_xlfn.TEXTJOIN(", ",TRUE,
    _xlfn.MAP(_xlfn.TEXTSPLIT(M406,","),_xlfn.LAMBDA(_xlpm.x,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6" t="e">
        <f>'Audit Report'!#REF!</f>
        <v>#REF!</v>
      </c>
      <c r="S406" t="str">
        <f>'Audit Report'!N406</f>
        <v/>
      </c>
    </row>
    <row r="407" spans="4:19">
      <c r="D407" t="str">
        <f>'Audit Report'!B407</f>
        <v>ITD-SHRXXX-XX406</v>
      </c>
      <c r="E407" t="str">
        <f>'Audit Report'!C407</f>
        <v/>
      </c>
      <c r="I407" t="str">
        <f>'Audit Report'!E407</f>
        <v/>
      </c>
      <c r="J407" t="str">
        <f>'Audit Report'!G407</f>
        <v/>
      </c>
      <c r="L407" t="str">
        <f>_xlfn.TEXTJOIN(", ", FALSE, 'Audit Report'!J407,'Audit Report'!K407,'Audit Report'!L407)</f>
        <v xml:space="preserve">, , </v>
      </c>
      <c r="M407" t="str">
        <f>'Audit Report'!M407</f>
        <v/>
      </c>
      <c r="N407" t="str" cm="1">
        <f t="array" ref="N407">IF(M407="","",
_xlfn.TEXTJOIN(", ",TRUE,
    _xlfn.MAP(_xlfn.TEXTSPLIT(M407,","),_xlfn.LAMBDA(_xlpm.x,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7" t="e">
        <f>'Audit Report'!#REF!</f>
        <v>#REF!</v>
      </c>
      <c r="S407" t="str">
        <f>'Audit Report'!N407</f>
        <v/>
      </c>
    </row>
    <row r="408" spans="4:19">
      <c r="D408" t="str">
        <f>'Audit Report'!B408</f>
        <v>ITD-SHRXXX-XX407</v>
      </c>
      <c r="E408" t="str">
        <f>'Audit Report'!C408</f>
        <v/>
      </c>
      <c r="I408" t="str">
        <f>'Audit Report'!E408</f>
        <v/>
      </c>
      <c r="J408" t="str">
        <f>'Audit Report'!G408</f>
        <v/>
      </c>
      <c r="L408" t="str">
        <f>_xlfn.TEXTJOIN(", ", FALSE, 'Audit Report'!J408,'Audit Report'!K408,'Audit Report'!L408)</f>
        <v xml:space="preserve">, , </v>
      </c>
      <c r="M408" t="str">
        <f>'Audit Report'!M408</f>
        <v/>
      </c>
      <c r="N408" t="str" cm="1">
        <f t="array" ref="N408">IF(M408="","",
_xlfn.TEXTJOIN(", ",TRUE,
    _xlfn.MAP(_xlfn.TEXTSPLIT(M408,","),_xlfn.LAMBDA(_xlpm.x,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8" t="e">
        <f>'Audit Report'!#REF!</f>
        <v>#REF!</v>
      </c>
      <c r="S408" t="str">
        <f>'Audit Report'!N408</f>
        <v/>
      </c>
    </row>
    <row r="409" spans="4:19">
      <c r="D409" t="str">
        <f>'Audit Report'!B409</f>
        <v>ITD-SHRXXX-XX408</v>
      </c>
      <c r="E409" t="str">
        <f>'Audit Report'!C409</f>
        <v/>
      </c>
      <c r="I409" t="str">
        <f>'Audit Report'!E409</f>
        <v/>
      </c>
      <c r="J409" t="str">
        <f>'Audit Report'!G409</f>
        <v/>
      </c>
      <c r="L409" t="str">
        <f>_xlfn.TEXTJOIN(", ", FALSE, 'Audit Report'!J409,'Audit Report'!K409,'Audit Report'!L409)</f>
        <v xml:space="preserve">, , </v>
      </c>
      <c r="M409" t="str">
        <f>'Audit Report'!M409</f>
        <v/>
      </c>
      <c r="N409" t="str" cm="1">
        <f t="array" ref="N409">IF(M409="","",
_xlfn.TEXTJOIN(", ",TRUE,
    _xlfn.MAP(_xlfn.TEXTSPLIT(M409,","),_xlfn.LAMBDA(_xlpm.x,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9" t="e">
        <f>'Audit Report'!#REF!</f>
        <v>#REF!</v>
      </c>
      <c r="S409" t="str">
        <f>'Audit Report'!N409</f>
        <v/>
      </c>
    </row>
    <row r="410" spans="4:19">
      <c r="D410" t="str">
        <f>'Audit Report'!B410</f>
        <v>ITD-SHRXXX-XX409</v>
      </c>
      <c r="E410" t="str">
        <f>'Audit Report'!C410</f>
        <v/>
      </c>
      <c r="I410" t="str">
        <f>'Audit Report'!E410</f>
        <v/>
      </c>
      <c r="J410" t="str">
        <f>'Audit Report'!G410</f>
        <v/>
      </c>
      <c r="L410" t="str">
        <f>_xlfn.TEXTJOIN(", ", FALSE, 'Audit Report'!J410,'Audit Report'!K410,'Audit Report'!L410)</f>
        <v xml:space="preserve">, , </v>
      </c>
      <c r="M410" t="str">
        <f>'Audit Report'!M410</f>
        <v/>
      </c>
      <c r="N410" t="str" cm="1">
        <f t="array" ref="N410">IF(M410="","",
_xlfn.TEXTJOIN(", ",TRUE,
    _xlfn.MAP(_xlfn.TEXTSPLIT(M410,","),_xlfn.LAMBDA(_xlpm.x,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0" t="e">
        <f>'Audit Report'!#REF!</f>
        <v>#REF!</v>
      </c>
      <c r="S410" t="str">
        <f>'Audit Report'!N410</f>
        <v/>
      </c>
    </row>
    <row r="411" spans="4:19">
      <c r="D411" t="str">
        <f>'Audit Report'!B411</f>
        <v>ITD-SHRXXX-XX410</v>
      </c>
      <c r="E411" t="str">
        <f>'Audit Report'!C411</f>
        <v/>
      </c>
      <c r="I411" t="str">
        <f>'Audit Report'!E411</f>
        <v/>
      </c>
      <c r="J411" t="str">
        <f>'Audit Report'!G411</f>
        <v/>
      </c>
      <c r="L411" t="str">
        <f>_xlfn.TEXTJOIN(", ", FALSE, 'Audit Report'!J411,'Audit Report'!K411,'Audit Report'!L411)</f>
        <v xml:space="preserve">, , </v>
      </c>
      <c r="M411" t="str">
        <f>'Audit Report'!M411</f>
        <v/>
      </c>
      <c r="N411" t="str" cm="1">
        <f t="array" ref="N411">IF(M411="","",
_xlfn.TEXTJOIN(", ",TRUE,
    _xlfn.MAP(_xlfn.TEXTSPLIT(M411,","),_xlfn.LAMBDA(_xlpm.x,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1" t="e">
        <f>'Audit Report'!#REF!</f>
        <v>#REF!</v>
      </c>
      <c r="S411" t="str">
        <f>'Audit Report'!N411</f>
        <v/>
      </c>
    </row>
    <row r="412" spans="4:19">
      <c r="D412" t="str">
        <f>'Audit Report'!B412</f>
        <v>ITD-SHRXXX-XX411</v>
      </c>
      <c r="E412" t="str">
        <f>'Audit Report'!C412</f>
        <v/>
      </c>
      <c r="I412" t="str">
        <f>'Audit Report'!E412</f>
        <v/>
      </c>
      <c r="J412" t="str">
        <f>'Audit Report'!G412</f>
        <v/>
      </c>
      <c r="L412" t="str">
        <f>_xlfn.TEXTJOIN(", ", FALSE, 'Audit Report'!J412,'Audit Report'!K412,'Audit Report'!L412)</f>
        <v xml:space="preserve">, , </v>
      </c>
      <c r="M412" t="str">
        <f>'Audit Report'!M412</f>
        <v/>
      </c>
      <c r="N412" t="str" cm="1">
        <f t="array" ref="N412">IF(M412="","",
_xlfn.TEXTJOIN(", ",TRUE,
    _xlfn.MAP(_xlfn.TEXTSPLIT(M412,","),_xlfn.LAMBDA(_xlpm.x,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2" t="e">
        <f>'Audit Report'!#REF!</f>
        <v>#REF!</v>
      </c>
      <c r="S412" t="str">
        <f>'Audit Report'!N412</f>
        <v/>
      </c>
    </row>
    <row r="413" spans="4:19">
      <c r="D413" t="str">
        <f>'Audit Report'!B413</f>
        <v>ITD-SHRXXX-XX412</v>
      </c>
      <c r="E413" t="str">
        <f>'Audit Report'!C413</f>
        <v/>
      </c>
      <c r="I413" t="str">
        <f>'Audit Report'!E413</f>
        <v/>
      </c>
      <c r="J413" t="str">
        <f>'Audit Report'!G413</f>
        <v/>
      </c>
      <c r="L413" t="str">
        <f>_xlfn.TEXTJOIN(", ", FALSE, 'Audit Report'!J413,'Audit Report'!K413,'Audit Report'!L413)</f>
        <v xml:space="preserve">, , </v>
      </c>
      <c r="M413" t="str">
        <f>'Audit Report'!M413</f>
        <v/>
      </c>
      <c r="N413" t="str" cm="1">
        <f t="array" ref="N413">IF(M413="","",
_xlfn.TEXTJOIN(", ",TRUE,
    _xlfn.MAP(_xlfn.TEXTSPLIT(M413,","),_xlfn.LAMBDA(_xlpm.x,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3" t="e">
        <f>'Audit Report'!#REF!</f>
        <v>#REF!</v>
      </c>
      <c r="S413" t="str">
        <f>'Audit Report'!N413</f>
        <v/>
      </c>
    </row>
    <row r="414" spans="4:19">
      <c r="D414" t="str">
        <f>'Audit Report'!B414</f>
        <v>ITD-SHRXXX-XX413</v>
      </c>
      <c r="E414" t="str">
        <f>'Audit Report'!C414</f>
        <v/>
      </c>
      <c r="I414" t="str">
        <f>'Audit Report'!E414</f>
        <v/>
      </c>
      <c r="J414" t="str">
        <f>'Audit Report'!G414</f>
        <v/>
      </c>
      <c r="L414" t="str">
        <f>_xlfn.TEXTJOIN(", ", FALSE, 'Audit Report'!J414,'Audit Report'!K414,'Audit Report'!L414)</f>
        <v xml:space="preserve">, , </v>
      </c>
      <c r="M414" t="str">
        <f>'Audit Report'!M414</f>
        <v/>
      </c>
      <c r="N414" t="str" cm="1">
        <f t="array" ref="N414">IF(M414="","",
_xlfn.TEXTJOIN(", ",TRUE,
    _xlfn.MAP(_xlfn.TEXTSPLIT(M414,","),_xlfn.LAMBDA(_xlpm.x,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4" t="e">
        <f>'Audit Report'!#REF!</f>
        <v>#REF!</v>
      </c>
      <c r="S414" t="str">
        <f>'Audit Report'!N414</f>
        <v/>
      </c>
    </row>
    <row r="415" spans="4:19">
      <c r="D415" t="str">
        <f>'Audit Report'!B415</f>
        <v>ITD-SHRXXX-XX414</v>
      </c>
      <c r="E415" t="str">
        <f>'Audit Report'!C415</f>
        <v/>
      </c>
      <c r="I415" t="str">
        <f>'Audit Report'!E415</f>
        <v/>
      </c>
      <c r="J415" t="str">
        <f>'Audit Report'!G415</f>
        <v/>
      </c>
      <c r="L415" t="str">
        <f>_xlfn.TEXTJOIN(", ", FALSE, 'Audit Report'!J415,'Audit Report'!K415,'Audit Report'!L415)</f>
        <v xml:space="preserve">, , </v>
      </c>
      <c r="M415" t="str">
        <f>'Audit Report'!M415</f>
        <v/>
      </c>
      <c r="N415" t="str" cm="1">
        <f t="array" ref="N415">IF(M415="","",
_xlfn.TEXTJOIN(", ",TRUE,
    _xlfn.MAP(_xlfn.TEXTSPLIT(M415,","),_xlfn.LAMBDA(_xlpm.x,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5" t="e">
        <f>'Audit Report'!#REF!</f>
        <v>#REF!</v>
      </c>
      <c r="S415" t="str">
        <f>'Audit Report'!N415</f>
        <v/>
      </c>
    </row>
    <row r="416" spans="4:19">
      <c r="D416" t="str">
        <f>'Audit Report'!B416</f>
        <v>ITD-SHRXXX-XX415</v>
      </c>
      <c r="E416" t="str">
        <f>'Audit Report'!C416</f>
        <v/>
      </c>
      <c r="I416" t="str">
        <f>'Audit Report'!E416</f>
        <v/>
      </c>
      <c r="J416" t="str">
        <f>'Audit Report'!G416</f>
        <v/>
      </c>
      <c r="L416" t="str">
        <f>_xlfn.TEXTJOIN(", ", FALSE, 'Audit Report'!J416,'Audit Report'!K416,'Audit Report'!L416)</f>
        <v xml:space="preserve">, , </v>
      </c>
      <c r="M416" t="str">
        <f>'Audit Report'!M416</f>
        <v/>
      </c>
      <c r="N416" t="str" cm="1">
        <f t="array" ref="N416">IF(M416="","",
_xlfn.TEXTJOIN(", ",TRUE,
    _xlfn.MAP(_xlfn.TEXTSPLIT(M416,","),_xlfn.LAMBDA(_xlpm.x,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6" t="e">
        <f>'Audit Report'!#REF!</f>
        <v>#REF!</v>
      </c>
      <c r="S416" t="str">
        <f>'Audit Report'!N416</f>
        <v/>
      </c>
    </row>
    <row r="417" spans="4:19">
      <c r="D417" t="str">
        <f>'Audit Report'!B417</f>
        <v>ITD-SHRXXX-XX416</v>
      </c>
      <c r="E417" t="str">
        <f>'Audit Report'!C417</f>
        <v/>
      </c>
      <c r="I417" t="str">
        <f>'Audit Report'!E417</f>
        <v/>
      </c>
      <c r="J417" t="str">
        <f>'Audit Report'!G417</f>
        <v/>
      </c>
      <c r="L417" t="str">
        <f>_xlfn.TEXTJOIN(", ", FALSE, 'Audit Report'!J417,'Audit Report'!K417,'Audit Report'!L417)</f>
        <v xml:space="preserve">, , </v>
      </c>
      <c r="M417" t="str">
        <f>'Audit Report'!M417</f>
        <v/>
      </c>
      <c r="N417" t="str" cm="1">
        <f t="array" ref="N417">IF(M417="","",
_xlfn.TEXTJOIN(", ",TRUE,
    _xlfn.MAP(_xlfn.TEXTSPLIT(M417,","),_xlfn.LAMBDA(_xlpm.x,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7" t="e">
        <f>'Audit Report'!#REF!</f>
        <v>#REF!</v>
      </c>
      <c r="S417" t="str">
        <f>'Audit Report'!N417</f>
        <v/>
      </c>
    </row>
    <row r="418" spans="4:19">
      <c r="D418" t="str">
        <f>'Audit Report'!B418</f>
        <v>ITD-SHRXXX-XX417</v>
      </c>
      <c r="E418" t="str">
        <f>'Audit Report'!C418</f>
        <v/>
      </c>
      <c r="I418" t="str">
        <f>'Audit Report'!E418</f>
        <v/>
      </c>
      <c r="J418" t="str">
        <f>'Audit Report'!G418</f>
        <v/>
      </c>
      <c r="L418" t="str">
        <f>_xlfn.TEXTJOIN(", ", FALSE, 'Audit Report'!J418,'Audit Report'!K418,'Audit Report'!L418)</f>
        <v xml:space="preserve">, , </v>
      </c>
      <c r="M418" t="str">
        <f>'Audit Report'!M418</f>
        <v/>
      </c>
      <c r="N418" t="str" cm="1">
        <f t="array" ref="N418">IF(M418="","",
_xlfn.TEXTJOIN(", ",TRUE,
    _xlfn.MAP(_xlfn.TEXTSPLIT(M418,","),_xlfn.LAMBDA(_xlpm.x,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8" t="e">
        <f>'Audit Report'!#REF!</f>
        <v>#REF!</v>
      </c>
      <c r="S418" t="str">
        <f>'Audit Report'!N418</f>
        <v/>
      </c>
    </row>
    <row r="419" spans="4:19">
      <c r="D419" t="str">
        <f>'Audit Report'!B419</f>
        <v>ITD-SHRXXX-XX418</v>
      </c>
      <c r="E419" t="str">
        <f>'Audit Report'!C419</f>
        <v/>
      </c>
      <c r="I419" t="str">
        <f>'Audit Report'!E419</f>
        <v/>
      </c>
      <c r="J419" t="str">
        <f>'Audit Report'!G419</f>
        <v/>
      </c>
      <c r="L419" t="str">
        <f>_xlfn.TEXTJOIN(", ", FALSE, 'Audit Report'!J419,'Audit Report'!K419,'Audit Report'!L419)</f>
        <v xml:space="preserve">, , </v>
      </c>
      <c r="M419" t="str">
        <f>'Audit Report'!M419</f>
        <v/>
      </c>
      <c r="N419" t="str" cm="1">
        <f t="array" ref="N419">IF(M419="","",
_xlfn.TEXTJOIN(", ",TRUE,
    _xlfn.MAP(_xlfn.TEXTSPLIT(M419,","),_xlfn.LAMBDA(_xlpm.x,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9" t="e">
        <f>'Audit Report'!#REF!</f>
        <v>#REF!</v>
      </c>
      <c r="S419" t="str">
        <f>'Audit Report'!N419</f>
        <v/>
      </c>
    </row>
    <row r="420" spans="4:19">
      <c r="D420" t="str">
        <f>'Audit Report'!B420</f>
        <v>ITD-SHRXXX-XX419</v>
      </c>
      <c r="E420" t="str">
        <f>'Audit Report'!C420</f>
        <v/>
      </c>
      <c r="I420" t="str">
        <f>'Audit Report'!E420</f>
        <v/>
      </c>
      <c r="J420" t="str">
        <f>'Audit Report'!G420</f>
        <v/>
      </c>
      <c r="L420" t="str">
        <f>_xlfn.TEXTJOIN(", ", FALSE, 'Audit Report'!J420,'Audit Report'!K420,'Audit Report'!L420)</f>
        <v xml:space="preserve">, , </v>
      </c>
      <c r="M420" t="str">
        <f>'Audit Report'!M420</f>
        <v/>
      </c>
      <c r="N420" t="str" cm="1">
        <f t="array" ref="N420">IF(M420="","",
_xlfn.TEXTJOIN(", ",TRUE,
    _xlfn.MAP(_xlfn.TEXTSPLIT(M420,","),_xlfn.LAMBDA(_xlpm.x,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0" t="e">
        <f>'Audit Report'!#REF!</f>
        <v>#REF!</v>
      </c>
      <c r="S420" t="str">
        <f>'Audit Report'!N420</f>
        <v/>
      </c>
    </row>
    <row r="421" spans="4:19">
      <c r="D421" t="str">
        <f>'Audit Report'!B421</f>
        <v>ITD-SHRXXX-XX420</v>
      </c>
      <c r="E421" t="str">
        <f>'Audit Report'!C421</f>
        <v/>
      </c>
      <c r="I421" t="str">
        <f>'Audit Report'!E421</f>
        <v/>
      </c>
      <c r="J421" t="str">
        <f>'Audit Report'!G421</f>
        <v/>
      </c>
      <c r="L421" t="str">
        <f>_xlfn.TEXTJOIN(", ", FALSE, 'Audit Report'!J421,'Audit Report'!K421,'Audit Report'!L421)</f>
        <v xml:space="preserve">, , </v>
      </c>
      <c r="M421" t="str">
        <f>'Audit Report'!M421</f>
        <v/>
      </c>
      <c r="N421" t="str" cm="1">
        <f t="array" ref="N421">IF(M421="","",
_xlfn.TEXTJOIN(", ",TRUE,
    _xlfn.MAP(_xlfn.TEXTSPLIT(M421,","),_xlfn.LAMBDA(_xlpm.x,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1" t="e">
        <f>'Audit Report'!#REF!</f>
        <v>#REF!</v>
      </c>
      <c r="S421" t="str">
        <f>'Audit Report'!N421</f>
        <v/>
      </c>
    </row>
    <row r="422" spans="4:19">
      <c r="D422" t="str">
        <f>'Audit Report'!B422</f>
        <v>ITD-SHRXXX-XX421</v>
      </c>
      <c r="E422" t="str">
        <f>'Audit Report'!C422</f>
        <v/>
      </c>
      <c r="I422" t="str">
        <f>'Audit Report'!E422</f>
        <v/>
      </c>
      <c r="J422" t="str">
        <f>'Audit Report'!G422</f>
        <v/>
      </c>
      <c r="L422" t="str">
        <f>_xlfn.TEXTJOIN(", ", FALSE, 'Audit Report'!J422,'Audit Report'!K422,'Audit Report'!L422)</f>
        <v xml:space="preserve">, , </v>
      </c>
      <c r="M422" t="str">
        <f>'Audit Report'!M422</f>
        <v/>
      </c>
      <c r="N422" t="str" cm="1">
        <f t="array" ref="N422">IF(M422="","",
_xlfn.TEXTJOIN(", ",TRUE,
    _xlfn.MAP(_xlfn.TEXTSPLIT(M422,","),_xlfn.LAMBDA(_xlpm.x,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2" t="e">
        <f>'Audit Report'!#REF!</f>
        <v>#REF!</v>
      </c>
      <c r="S422" t="str">
        <f>'Audit Report'!N422</f>
        <v/>
      </c>
    </row>
    <row r="423" spans="4:19">
      <c r="D423" t="str">
        <f>'Audit Report'!B423</f>
        <v>ITD-SHRXXX-XX422</v>
      </c>
      <c r="E423" t="str">
        <f>'Audit Report'!C423</f>
        <v/>
      </c>
      <c r="I423" t="str">
        <f>'Audit Report'!E423</f>
        <v/>
      </c>
      <c r="J423" t="str">
        <f>'Audit Report'!G423</f>
        <v/>
      </c>
      <c r="L423" t="str">
        <f>_xlfn.TEXTJOIN(", ", FALSE, 'Audit Report'!J423,'Audit Report'!K423,'Audit Report'!L423)</f>
        <v xml:space="preserve">, , </v>
      </c>
      <c r="M423" t="str">
        <f>'Audit Report'!M423</f>
        <v/>
      </c>
      <c r="N423" t="str" cm="1">
        <f t="array" ref="N423">IF(M423="","",
_xlfn.TEXTJOIN(", ",TRUE,
    _xlfn.MAP(_xlfn.TEXTSPLIT(M423,","),_xlfn.LAMBDA(_xlpm.x,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3" t="e">
        <f>'Audit Report'!#REF!</f>
        <v>#REF!</v>
      </c>
      <c r="S423" t="str">
        <f>'Audit Report'!N423</f>
        <v/>
      </c>
    </row>
    <row r="424" spans="4:19">
      <c r="D424" t="str">
        <f>'Audit Report'!B424</f>
        <v>ITD-SHRXXX-XX423</v>
      </c>
      <c r="E424" t="str">
        <f>'Audit Report'!C424</f>
        <v/>
      </c>
      <c r="I424" t="str">
        <f>'Audit Report'!E424</f>
        <v/>
      </c>
      <c r="J424" t="str">
        <f>'Audit Report'!G424</f>
        <v/>
      </c>
      <c r="L424" t="str">
        <f>_xlfn.TEXTJOIN(", ", FALSE, 'Audit Report'!J424,'Audit Report'!K424,'Audit Report'!L424)</f>
        <v xml:space="preserve">, , </v>
      </c>
      <c r="M424" t="str">
        <f>'Audit Report'!M424</f>
        <v/>
      </c>
      <c r="N424" t="str" cm="1">
        <f t="array" ref="N424">IF(M424="","",
_xlfn.TEXTJOIN(", ",TRUE,
    _xlfn.MAP(_xlfn.TEXTSPLIT(M424,","),_xlfn.LAMBDA(_xlpm.x,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4" t="e">
        <f>'Audit Report'!#REF!</f>
        <v>#REF!</v>
      </c>
      <c r="S424" t="str">
        <f>'Audit Report'!N424</f>
        <v/>
      </c>
    </row>
    <row r="425" spans="4:19">
      <c r="D425" t="str">
        <f>'Audit Report'!B425</f>
        <v>ITD-SHRXXX-XX424</v>
      </c>
      <c r="E425" t="str">
        <f>'Audit Report'!C425</f>
        <v/>
      </c>
      <c r="I425" t="str">
        <f>'Audit Report'!E425</f>
        <v/>
      </c>
      <c r="J425" t="str">
        <f>'Audit Report'!G425</f>
        <v/>
      </c>
      <c r="L425" t="str">
        <f>_xlfn.TEXTJOIN(", ", FALSE, 'Audit Report'!J425,'Audit Report'!K425,'Audit Report'!L425)</f>
        <v xml:space="preserve">, , </v>
      </c>
      <c r="M425" t="str">
        <f>'Audit Report'!M425</f>
        <v/>
      </c>
      <c r="N425" t="str" cm="1">
        <f t="array" ref="N425">IF(M425="","",
_xlfn.TEXTJOIN(", ",TRUE,
    _xlfn.MAP(_xlfn.TEXTSPLIT(M425,","),_xlfn.LAMBDA(_xlpm.x,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5" t="e">
        <f>'Audit Report'!#REF!</f>
        <v>#REF!</v>
      </c>
      <c r="S425" t="str">
        <f>'Audit Report'!N425</f>
        <v/>
      </c>
    </row>
    <row r="426" spans="4:19">
      <c r="D426" t="str">
        <f>'Audit Report'!B426</f>
        <v>ITD-SHRXXX-XX425</v>
      </c>
      <c r="E426" t="str">
        <f>'Audit Report'!C426</f>
        <v/>
      </c>
      <c r="I426" t="str">
        <f>'Audit Report'!E426</f>
        <v/>
      </c>
      <c r="J426" t="str">
        <f>'Audit Report'!G426</f>
        <v/>
      </c>
      <c r="L426" t="str">
        <f>_xlfn.TEXTJOIN(", ", FALSE, 'Audit Report'!J426,'Audit Report'!K426,'Audit Report'!L426)</f>
        <v xml:space="preserve">, , </v>
      </c>
      <c r="M426" t="str">
        <f>'Audit Report'!M426</f>
        <v/>
      </c>
      <c r="N426" t="str" cm="1">
        <f t="array" ref="N426">IF(M426="","",
_xlfn.TEXTJOIN(", ",TRUE,
    _xlfn.MAP(_xlfn.TEXTSPLIT(M426,","),_xlfn.LAMBDA(_xlpm.x,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6" t="e">
        <f>'Audit Report'!#REF!</f>
        <v>#REF!</v>
      </c>
      <c r="S426" t="str">
        <f>'Audit Report'!N426</f>
        <v/>
      </c>
    </row>
    <row r="427" spans="4:19">
      <c r="D427" t="str">
        <f>'Audit Report'!B427</f>
        <v>ITD-SHRXXX-XX426</v>
      </c>
      <c r="E427" t="str">
        <f>'Audit Report'!C427</f>
        <v/>
      </c>
      <c r="I427" t="str">
        <f>'Audit Report'!E427</f>
        <v/>
      </c>
      <c r="J427" t="str">
        <f>'Audit Report'!G427</f>
        <v/>
      </c>
      <c r="L427" t="str">
        <f>_xlfn.TEXTJOIN(", ", FALSE, 'Audit Report'!J427,'Audit Report'!K427,'Audit Report'!L427)</f>
        <v xml:space="preserve">, , </v>
      </c>
      <c r="M427" t="str">
        <f>'Audit Report'!M427</f>
        <v/>
      </c>
      <c r="N427" t="str" cm="1">
        <f t="array" ref="N427">IF(M427="","",
_xlfn.TEXTJOIN(", ",TRUE,
    _xlfn.MAP(_xlfn.TEXTSPLIT(M427,","),_xlfn.LAMBDA(_xlpm.x,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7" t="e">
        <f>'Audit Report'!#REF!</f>
        <v>#REF!</v>
      </c>
      <c r="S427" t="str">
        <f>'Audit Report'!N427</f>
        <v/>
      </c>
    </row>
    <row r="428" spans="4:19">
      <c r="D428" t="str">
        <f>'Audit Report'!B428</f>
        <v>ITD-SHRXXX-XX427</v>
      </c>
      <c r="E428" t="str">
        <f>'Audit Report'!C428</f>
        <v/>
      </c>
      <c r="I428" t="str">
        <f>'Audit Report'!E428</f>
        <v/>
      </c>
      <c r="J428" t="str">
        <f>'Audit Report'!G428</f>
        <v/>
      </c>
      <c r="L428" t="str">
        <f>_xlfn.TEXTJOIN(", ", FALSE, 'Audit Report'!J428,'Audit Report'!K428,'Audit Report'!L428)</f>
        <v xml:space="preserve">, , </v>
      </c>
      <c r="M428" t="str">
        <f>'Audit Report'!M428</f>
        <v/>
      </c>
      <c r="N428" t="str" cm="1">
        <f t="array" ref="N428">IF(M428="","",
_xlfn.TEXTJOIN(", ",TRUE,
    _xlfn.MAP(_xlfn.TEXTSPLIT(M428,","),_xlfn.LAMBDA(_xlpm.x,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8" t="e">
        <f>'Audit Report'!#REF!</f>
        <v>#REF!</v>
      </c>
      <c r="S428" t="str">
        <f>'Audit Report'!N428</f>
        <v/>
      </c>
    </row>
    <row r="429" spans="4:19">
      <c r="D429" t="str">
        <f>'Audit Report'!B429</f>
        <v>ITD-SHRXXX-XX428</v>
      </c>
      <c r="E429" t="str">
        <f>'Audit Report'!C429</f>
        <v/>
      </c>
      <c r="I429" t="str">
        <f>'Audit Report'!E429</f>
        <v/>
      </c>
      <c r="J429" t="str">
        <f>'Audit Report'!G429</f>
        <v/>
      </c>
      <c r="L429" t="str">
        <f>_xlfn.TEXTJOIN(", ", FALSE, 'Audit Report'!J429,'Audit Report'!K429,'Audit Report'!L429)</f>
        <v xml:space="preserve">, , </v>
      </c>
      <c r="M429" t="str">
        <f>'Audit Report'!M429</f>
        <v/>
      </c>
      <c r="N429" t="str" cm="1">
        <f t="array" ref="N429">IF(M429="","",
_xlfn.TEXTJOIN(", ",TRUE,
    _xlfn.MAP(_xlfn.TEXTSPLIT(M429,","),_xlfn.LAMBDA(_xlpm.x,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9" t="e">
        <f>'Audit Report'!#REF!</f>
        <v>#REF!</v>
      </c>
      <c r="S429" t="str">
        <f>'Audit Report'!N429</f>
        <v/>
      </c>
    </row>
    <row r="430" spans="4:19">
      <c r="D430" t="str">
        <f>'Audit Report'!B430</f>
        <v>ITD-SHRXXX-XX429</v>
      </c>
      <c r="E430" t="str">
        <f>'Audit Report'!C430</f>
        <v/>
      </c>
      <c r="I430" t="str">
        <f>'Audit Report'!E430</f>
        <v/>
      </c>
      <c r="J430" t="str">
        <f>'Audit Report'!G430</f>
        <v/>
      </c>
      <c r="L430" t="str">
        <f>_xlfn.TEXTJOIN(", ", FALSE, 'Audit Report'!J430,'Audit Report'!K430,'Audit Report'!L430)</f>
        <v xml:space="preserve">, , </v>
      </c>
      <c r="M430" t="str">
        <f>'Audit Report'!M430</f>
        <v/>
      </c>
      <c r="N430" t="str" cm="1">
        <f t="array" ref="N430">IF(M430="","",
_xlfn.TEXTJOIN(", ",TRUE,
    _xlfn.MAP(_xlfn.TEXTSPLIT(M430,","),_xlfn.LAMBDA(_xlpm.x,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0" t="e">
        <f>'Audit Report'!#REF!</f>
        <v>#REF!</v>
      </c>
      <c r="S430" t="str">
        <f>'Audit Report'!N430</f>
        <v/>
      </c>
    </row>
    <row r="431" spans="4:19">
      <c r="D431" t="str">
        <f>'Audit Report'!B431</f>
        <v>ITD-SHRXXX-XX430</v>
      </c>
      <c r="E431" t="str">
        <f>'Audit Report'!C431</f>
        <v/>
      </c>
      <c r="I431" t="str">
        <f>'Audit Report'!E431</f>
        <v/>
      </c>
      <c r="J431" t="str">
        <f>'Audit Report'!G431</f>
        <v/>
      </c>
      <c r="L431" t="str">
        <f>_xlfn.TEXTJOIN(", ", FALSE, 'Audit Report'!J431,'Audit Report'!K431,'Audit Report'!L431)</f>
        <v xml:space="preserve">, , </v>
      </c>
      <c r="M431" t="str">
        <f>'Audit Report'!M431</f>
        <v/>
      </c>
      <c r="N431" t="str" cm="1">
        <f t="array" ref="N431">IF(M431="","",
_xlfn.TEXTJOIN(", ",TRUE,
    _xlfn.MAP(_xlfn.TEXTSPLIT(M431,","),_xlfn.LAMBDA(_xlpm.x,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1" t="e">
        <f>'Audit Report'!#REF!</f>
        <v>#REF!</v>
      </c>
      <c r="S431" t="str">
        <f>'Audit Report'!N431</f>
        <v/>
      </c>
    </row>
    <row r="432" spans="4:19">
      <c r="D432" t="str">
        <f>'Audit Report'!B432</f>
        <v>ITD-SHRXXX-XX431</v>
      </c>
      <c r="E432" t="str">
        <f>'Audit Report'!C432</f>
        <v/>
      </c>
      <c r="I432" t="str">
        <f>'Audit Report'!E432</f>
        <v/>
      </c>
      <c r="J432" t="str">
        <f>'Audit Report'!G432</f>
        <v/>
      </c>
      <c r="L432" t="str">
        <f>_xlfn.TEXTJOIN(", ", FALSE, 'Audit Report'!J432,'Audit Report'!K432,'Audit Report'!L432)</f>
        <v xml:space="preserve">, , </v>
      </c>
      <c r="M432" t="str">
        <f>'Audit Report'!M432</f>
        <v/>
      </c>
      <c r="N432" t="str" cm="1">
        <f t="array" ref="N432">IF(M432="","",
_xlfn.TEXTJOIN(", ",TRUE,
    _xlfn.MAP(_xlfn.TEXTSPLIT(M432,","),_xlfn.LAMBDA(_xlpm.x,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2" t="e">
        <f>'Audit Report'!#REF!</f>
        <v>#REF!</v>
      </c>
      <c r="S432" t="str">
        <f>'Audit Report'!N432</f>
        <v/>
      </c>
    </row>
    <row r="433" spans="4:19">
      <c r="D433" t="str">
        <f>'Audit Report'!B433</f>
        <v>ITD-SHRXXX-XX432</v>
      </c>
      <c r="E433" t="str">
        <f>'Audit Report'!C433</f>
        <v/>
      </c>
      <c r="I433" t="str">
        <f>'Audit Report'!E433</f>
        <v/>
      </c>
      <c r="J433" t="str">
        <f>'Audit Report'!G433</f>
        <v/>
      </c>
      <c r="L433" t="str">
        <f>_xlfn.TEXTJOIN(", ", FALSE, 'Audit Report'!J433,'Audit Report'!K433,'Audit Report'!L433)</f>
        <v xml:space="preserve">, , </v>
      </c>
      <c r="M433" t="str">
        <f>'Audit Report'!M433</f>
        <v/>
      </c>
      <c r="N433" t="str" cm="1">
        <f t="array" ref="N433">IF(M433="","",
_xlfn.TEXTJOIN(", ",TRUE,
    _xlfn.MAP(_xlfn.TEXTSPLIT(M433,","),_xlfn.LAMBDA(_xlpm.x,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3" t="e">
        <f>'Audit Report'!#REF!</f>
        <v>#REF!</v>
      </c>
      <c r="S433" t="str">
        <f>'Audit Report'!N433</f>
        <v/>
      </c>
    </row>
    <row r="434" spans="4:19">
      <c r="D434" t="str">
        <f>'Audit Report'!B434</f>
        <v>ITD-SHRXXX-XX433</v>
      </c>
      <c r="E434" t="str">
        <f>'Audit Report'!C434</f>
        <v/>
      </c>
      <c r="I434" t="str">
        <f>'Audit Report'!E434</f>
        <v/>
      </c>
      <c r="J434" t="str">
        <f>'Audit Report'!G434</f>
        <v/>
      </c>
      <c r="L434" t="str">
        <f>_xlfn.TEXTJOIN(", ", FALSE, 'Audit Report'!J434,'Audit Report'!K434,'Audit Report'!L434)</f>
        <v xml:space="preserve">, , </v>
      </c>
      <c r="M434" t="str">
        <f>'Audit Report'!M434</f>
        <v/>
      </c>
      <c r="N434" t="str" cm="1">
        <f t="array" ref="N434">IF(M434="","",
_xlfn.TEXTJOIN(", ",TRUE,
    _xlfn.MAP(_xlfn.TEXTSPLIT(M434,","),_xlfn.LAMBDA(_xlpm.x,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4" t="e">
        <f>'Audit Report'!#REF!</f>
        <v>#REF!</v>
      </c>
      <c r="S434" t="str">
        <f>'Audit Report'!N434</f>
        <v/>
      </c>
    </row>
    <row r="435" spans="4:19">
      <c r="D435" t="str">
        <f>'Audit Report'!B435</f>
        <v>ITD-SHRXXX-XX434</v>
      </c>
      <c r="E435" t="str">
        <f>'Audit Report'!C435</f>
        <v/>
      </c>
      <c r="I435" t="str">
        <f>'Audit Report'!E435</f>
        <v/>
      </c>
      <c r="J435" t="str">
        <f>'Audit Report'!G435</f>
        <v/>
      </c>
      <c r="L435" t="str">
        <f>_xlfn.TEXTJOIN(", ", FALSE, 'Audit Report'!J435,'Audit Report'!K435,'Audit Report'!L435)</f>
        <v xml:space="preserve">, , </v>
      </c>
      <c r="M435" t="str">
        <f>'Audit Report'!M435</f>
        <v/>
      </c>
      <c r="N435" t="str" cm="1">
        <f t="array" ref="N435">IF(M435="","",
_xlfn.TEXTJOIN(", ",TRUE,
    _xlfn.MAP(_xlfn.TEXTSPLIT(M435,","),_xlfn.LAMBDA(_xlpm.x,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5" t="e">
        <f>'Audit Report'!#REF!</f>
        <v>#REF!</v>
      </c>
      <c r="S435" t="str">
        <f>'Audit Report'!N435</f>
        <v/>
      </c>
    </row>
    <row r="436" spans="4:19">
      <c r="D436" t="str">
        <f>'Audit Report'!B436</f>
        <v>ITD-SHRXXX-XX435</v>
      </c>
      <c r="E436" t="str">
        <f>'Audit Report'!C436</f>
        <v/>
      </c>
      <c r="I436" t="str">
        <f>'Audit Report'!E436</f>
        <v/>
      </c>
      <c r="J436" t="str">
        <f>'Audit Report'!G436</f>
        <v/>
      </c>
      <c r="L436" t="str">
        <f>_xlfn.TEXTJOIN(", ", FALSE, 'Audit Report'!J436,'Audit Report'!K436,'Audit Report'!L436)</f>
        <v xml:space="preserve">, , </v>
      </c>
      <c r="M436" t="str">
        <f>'Audit Report'!M436</f>
        <v/>
      </c>
      <c r="N436" t="str" cm="1">
        <f t="array" ref="N436">IF(M436="","",
_xlfn.TEXTJOIN(", ",TRUE,
    _xlfn.MAP(_xlfn.TEXTSPLIT(M436,","),_xlfn.LAMBDA(_xlpm.x,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6" t="e">
        <f>'Audit Report'!#REF!</f>
        <v>#REF!</v>
      </c>
      <c r="S436" t="str">
        <f>'Audit Report'!N436</f>
        <v/>
      </c>
    </row>
    <row r="437" spans="4:19">
      <c r="D437" t="str">
        <f>'Audit Report'!B437</f>
        <v>ITD-SHRXXX-XX436</v>
      </c>
      <c r="E437" t="str">
        <f>'Audit Report'!C437</f>
        <v/>
      </c>
      <c r="I437" t="str">
        <f>'Audit Report'!E437</f>
        <v/>
      </c>
      <c r="J437" t="str">
        <f>'Audit Report'!G437</f>
        <v/>
      </c>
      <c r="L437" t="str">
        <f>_xlfn.TEXTJOIN(", ", FALSE, 'Audit Report'!J437,'Audit Report'!K437,'Audit Report'!L437)</f>
        <v xml:space="preserve">, , </v>
      </c>
      <c r="M437" t="str">
        <f>'Audit Report'!M437</f>
        <v/>
      </c>
      <c r="N437" t="str" cm="1">
        <f t="array" ref="N437">IF(M437="","",
_xlfn.TEXTJOIN(", ",TRUE,
    _xlfn.MAP(_xlfn.TEXTSPLIT(M437,","),_xlfn.LAMBDA(_xlpm.x,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7" t="e">
        <f>'Audit Report'!#REF!</f>
        <v>#REF!</v>
      </c>
      <c r="S437" t="str">
        <f>'Audit Report'!N437</f>
        <v/>
      </c>
    </row>
    <row r="438" spans="4:19">
      <c r="D438" t="str">
        <f>'Audit Report'!B438</f>
        <v>ITD-SHRXXX-XX437</v>
      </c>
      <c r="E438" t="str">
        <f>'Audit Report'!C438</f>
        <v/>
      </c>
      <c r="I438" t="str">
        <f>'Audit Report'!E438</f>
        <v/>
      </c>
      <c r="J438" t="str">
        <f>'Audit Report'!G438</f>
        <v/>
      </c>
      <c r="L438" t="str">
        <f>_xlfn.TEXTJOIN(", ", FALSE, 'Audit Report'!J438,'Audit Report'!K438,'Audit Report'!L438)</f>
        <v xml:space="preserve">, , </v>
      </c>
      <c r="M438" t="str">
        <f>'Audit Report'!M438</f>
        <v/>
      </c>
      <c r="N438" t="str" cm="1">
        <f t="array" ref="N438">IF(M438="","",
_xlfn.TEXTJOIN(", ",TRUE,
    _xlfn.MAP(_xlfn.TEXTSPLIT(M438,","),_xlfn.LAMBDA(_xlpm.x,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8" t="e">
        <f>'Audit Report'!#REF!</f>
        <v>#REF!</v>
      </c>
      <c r="S438" t="str">
        <f>'Audit Report'!N438</f>
        <v/>
      </c>
    </row>
    <row r="439" spans="4:19">
      <c r="D439" t="str">
        <f>'Audit Report'!B439</f>
        <v>ITD-SHRXXX-XX438</v>
      </c>
      <c r="E439" t="str">
        <f>'Audit Report'!C439</f>
        <v/>
      </c>
      <c r="I439" t="str">
        <f>'Audit Report'!E439</f>
        <v/>
      </c>
      <c r="J439" t="str">
        <f>'Audit Report'!G439</f>
        <v/>
      </c>
      <c r="L439" t="str">
        <f>_xlfn.TEXTJOIN(", ", FALSE, 'Audit Report'!J439,'Audit Report'!K439,'Audit Report'!L439)</f>
        <v xml:space="preserve">, , </v>
      </c>
      <c r="M439" t="str">
        <f>'Audit Report'!M439</f>
        <v/>
      </c>
      <c r="N439" t="str" cm="1">
        <f t="array" ref="N439">IF(M439="","",
_xlfn.TEXTJOIN(", ",TRUE,
    _xlfn.MAP(_xlfn.TEXTSPLIT(M439,","),_xlfn.LAMBDA(_xlpm.x,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9" t="e">
        <f>'Audit Report'!#REF!</f>
        <v>#REF!</v>
      </c>
      <c r="S439" t="str">
        <f>'Audit Report'!N439</f>
        <v/>
      </c>
    </row>
    <row r="440" spans="4:19">
      <c r="D440" t="str">
        <f>'Audit Report'!B440</f>
        <v>ITD-SHRXXX-XX439</v>
      </c>
      <c r="E440" t="str">
        <f>'Audit Report'!C440</f>
        <v/>
      </c>
      <c r="I440" t="str">
        <f>'Audit Report'!E440</f>
        <v/>
      </c>
      <c r="J440" t="str">
        <f>'Audit Report'!G440</f>
        <v/>
      </c>
      <c r="L440" t="str">
        <f>_xlfn.TEXTJOIN(", ", FALSE, 'Audit Report'!J440,'Audit Report'!K440,'Audit Report'!L440)</f>
        <v xml:space="preserve">, , </v>
      </c>
      <c r="M440" t="str">
        <f>'Audit Report'!M440</f>
        <v/>
      </c>
      <c r="N440" t="str" cm="1">
        <f t="array" ref="N440">IF(M440="","",
_xlfn.TEXTJOIN(", ",TRUE,
    _xlfn.MAP(_xlfn.TEXTSPLIT(M440,","),_xlfn.LAMBDA(_xlpm.x,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0" t="e">
        <f>'Audit Report'!#REF!</f>
        <v>#REF!</v>
      </c>
      <c r="S440" t="str">
        <f>'Audit Report'!N440</f>
        <v/>
      </c>
    </row>
    <row r="441" spans="4:19">
      <c r="D441" t="str">
        <f>'Audit Report'!B441</f>
        <v>ITD-SHRXXX-XX440</v>
      </c>
      <c r="E441" t="str">
        <f>'Audit Report'!C441</f>
        <v/>
      </c>
      <c r="I441" t="str">
        <f>'Audit Report'!E441</f>
        <v/>
      </c>
      <c r="J441" t="str">
        <f>'Audit Report'!G441</f>
        <v/>
      </c>
      <c r="L441" t="str">
        <f>_xlfn.TEXTJOIN(", ", FALSE, 'Audit Report'!J441,'Audit Report'!K441,'Audit Report'!L441)</f>
        <v xml:space="preserve">, , </v>
      </c>
      <c r="M441" t="str">
        <f>'Audit Report'!M441</f>
        <v/>
      </c>
      <c r="N441" t="str" cm="1">
        <f t="array" ref="N441">IF(M441="","",
_xlfn.TEXTJOIN(", ",TRUE,
    _xlfn.MAP(_xlfn.TEXTSPLIT(M441,","),_xlfn.LAMBDA(_xlpm.x,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1" t="e">
        <f>'Audit Report'!#REF!</f>
        <v>#REF!</v>
      </c>
      <c r="S441" t="str">
        <f>'Audit Report'!N441</f>
        <v/>
      </c>
    </row>
    <row r="442" spans="4:19">
      <c r="D442" t="str">
        <f>'Audit Report'!B442</f>
        <v>ITD-SHRXXX-XX441</v>
      </c>
      <c r="E442" t="str">
        <f>'Audit Report'!C442</f>
        <v/>
      </c>
      <c r="I442" t="str">
        <f>'Audit Report'!E442</f>
        <v/>
      </c>
      <c r="J442" t="str">
        <f>'Audit Report'!G442</f>
        <v/>
      </c>
      <c r="L442" t="str">
        <f>_xlfn.TEXTJOIN(", ", FALSE, 'Audit Report'!J442,'Audit Report'!K442,'Audit Report'!L442)</f>
        <v xml:space="preserve">, , </v>
      </c>
      <c r="M442" t="str">
        <f>'Audit Report'!M442</f>
        <v/>
      </c>
      <c r="N442" t="str" cm="1">
        <f t="array" ref="N442">IF(M442="","",
_xlfn.TEXTJOIN(", ",TRUE,
    _xlfn.MAP(_xlfn.TEXTSPLIT(M442,","),_xlfn.LAMBDA(_xlpm.x,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2" t="e">
        <f>'Audit Report'!#REF!</f>
        <v>#REF!</v>
      </c>
      <c r="S442" t="str">
        <f>'Audit Report'!N442</f>
        <v/>
      </c>
    </row>
    <row r="443" spans="4:19">
      <c r="D443" t="str">
        <f>'Audit Report'!B443</f>
        <v>ITD-SHRXXX-XX442</v>
      </c>
      <c r="E443" t="str">
        <f>'Audit Report'!C443</f>
        <v/>
      </c>
      <c r="I443" t="str">
        <f>'Audit Report'!E443</f>
        <v/>
      </c>
      <c r="J443" t="str">
        <f>'Audit Report'!G443</f>
        <v/>
      </c>
      <c r="L443" t="str">
        <f>_xlfn.TEXTJOIN(", ", FALSE, 'Audit Report'!J443,'Audit Report'!K443,'Audit Report'!L443)</f>
        <v xml:space="preserve">, , </v>
      </c>
      <c r="M443" t="str">
        <f>'Audit Report'!M443</f>
        <v/>
      </c>
      <c r="N443" t="str" cm="1">
        <f t="array" ref="N443">IF(M443="","",
_xlfn.TEXTJOIN(", ",TRUE,
    _xlfn.MAP(_xlfn.TEXTSPLIT(M443,","),_xlfn.LAMBDA(_xlpm.x,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3" t="e">
        <f>'Audit Report'!#REF!</f>
        <v>#REF!</v>
      </c>
      <c r="S443" t="str">
        <f>'Audit Report'!N443</f>
        <v/>
      </c>
    </row>
    <row r="444" spans="4:19">
      <c r="D444" t="str">
        <f>'Audit Report'!B444</f>
        <v>ITD-SHRXXX-XX443</v>
      </c>
      <c r="E444" t="str">
        <f>'Audit Report'!C444</f>
        <v/>
      </c>
      <c r="I444" t="str">
        <f>'Audit Report'!E444</f>
        <v/>
      </c>
      <c r="J444" t="str">
        <f>'Audit Report'!G444</f>
        <v/>
      </c>
      <c r="L444" t="str">
        <f>_xlfn.TEXTJOIN(", ", FALSE, 'Audit Report'!J444,'Audit Report'!K444,'Audit Report'!L444)</f>
        <v xml:space="preserve">, , </v>
      </c>
      <c r="M444" t="str">
        <f>'Audit Report'!M444</f>
        <v/>
      </c>
      <c r="N444" t="str" cm="1">
        <f t="array" ref="N444">IF(M444="","",
_xlfn.TEXTJOIN(", ",TRUE,
    _xlfn.MAP(_xlfn.TEXTSPLIT(M444,","),_xlfn.LAMBDA(_xlpm.x,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4" t="e">
        <f>'Audit Report'!#REF!</f>
        <v>#REF!</v>
      </c>
      <c r="S444" t="str">
        <f>'Audit Report'!N444</f>
        <v/>
      </c>
    </row>
    <row r="445" spans="4:19">
      <c r="D445" t="str">
        <f>'Audit Report'!B445</f>
        <v>ITD-SHRXXX-XX444</v>
      </c>
      <c r="E445" t="str">
        <f>'Audit Report'!C445</f>
        <v/>
      </c>
      <c r="I445" t="str">
        <f>'Audit Report'!E445</f>
        <v/>
      </c>
      <c r="J445" t="str">
        <f>'Audit Report'!G445</f>
        <v/>
      </c>
      <c r="L445" t="str">
        <f>_xlfn.TEXTJOIN(", ", FALSE, 'Audit Report'!J445,'Audit Report'!K445,'Audit Report'!L445)</f>
        <v xml:space="preserve">, , </v>
      </c>
      <c r="M445" t="str">
        <f>'Audit Report'!M445</f>
        <v/>
      </c>
      <c r="N445" t="str" cm="1">
        <f t="array" ref="N445">IF(M445="","",
_xlfn.TEXTJOIN(", ",TRUE,
    _xlfn.MAP(_xlfn.TEXTSPLIT(M445,","),_xlfn.LAMBDA(_xlpm.x,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5" t="e">
        <f>'Audit Report'!#REF!</f>
        <v>#REF!</v>
      </c>
      <c r="S445" t="str">
        <f>'Audit Report'!N445</f>
        <v/>
      </c>
    </row>
    <row r="446" spans="4:19">
      <c r="D446" t="str">
        <f>'Audit Report'!B446</f>
        <v>ITD-SHRXXX-XX445</v>
      </c>
      <c r="E446" t="str">
        <f>'Audit Report'!C446</f>
        <v/>
      </c>
      <c r="I446" t="str">
        <f>'Audit Report'!E446</f>
        <v/>
      </c>
      <c r="J446" t="str">
        <f>'Audit Report'!G446</f>
        <v/>
      </c>
      <c r="L446" t="str">
        <f>_xlfn.TEXTJOIN(", ", FALSE, 'Audit Report'!J446,'Audit Report'!K446,'Audit Report'!L446)</f>
        <v xml:space="preserve">, , </v>
      </c>
      <c r="M446" t="str">
        <f>'Audit Report'!M446</f>
        <v/>
      </c>
      <c r="N446" t="str" cm="1">
        <f t="array" ref="N446">IF(M446="","",
_xlfn.TEXTJOIN(", ",TRUE,
    _xlfn.MAP(_xlfn.TEXTSPLIT(M446,","),_xlfn.LAMBDA(_xlpm.x,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6" t="e">
        <f>'Audit Report'!#REF!</f>
        <v>#REF!</v>
      </c>
      <c r="S446" t="str">
        <f>'Audit Report'!N446</f>
        <v/>
      </c>
    </row>
    <row r="447" spans="4:19">
      <c r="D447" t="str">
        <f>'Audit Report'!B447</f>
        <v>ITD-SHRXXX-XX446</v>
      </c>
      <c r="E447" t="str">
        <f>'Audit Report'!C447</f>
        <v/>
      </c>
      <c r="I447" t="str">
        <f>'Audit Report'!E447</f>
        <v/>
      </c>
      <c r="J447" t="str">
        <f>'Audit Report'!G447</f>
        <v/>
      </c>
      <c r="L447" t="str">
        <f>_xlfn.TEXTJOIN(", ", FALSE, 'Audit Report'!J447,'Audit Report'!K447,'Audit Report'!L447)</f>
        <v xml:space="preserve">, , </v>
      </c>
      <c r="M447" t="str">
        <f>'Audit Report'!M447</f>
        <v/>
      </c>
      <c r="N447" t="str" cm="1">
        <f t="array" ref="N447">IF(M447="","",
_xlfn.TEXTJOIN(", ",TRUE,
    _xlfn.MAP(_xlfn.TEXTSPLIT(M447,","),_xlfn.LAMBDA(_xlpm.x,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7" t="e">
        <f>'Audit Report'!#REF!</f>
        <v>#REF!</v>
      </c>
      <c r="S447" t="str">
        <f>'Audit Report'!N447</f>
        <v/>
      </c>
    </row>
    <row r="448" spans="4:19">
      <c r="D448" t="str">
        <f>'Audit Report'!B448</f>
        <v>ITD-SHRXXX-XX447</v>
      </c>
      <c r="E448" t="str">
        <f>'Audit Report'!C448</f>
        <v/>
      </c>
      <c r="I448" t="str">
        <f>'Audit Report'!E448</f>
        <v/>
      </c>
      <c r="J448" t="str">
        <f>'Audit Report'!G448</f>
        <v/>
      </c>
      <c r="L448" t="str">
        <f>_xlfn.TEXTJOIN(", ", FALSE, 'Audit Report'!J448,'Audit Report'!K448,'Audit Report'!L448)</f>
        <v xml:space="preserve">, , </v>
      </c>
      <c r="M448" t="str">
        <f>'Audit Report'!M448</f>
        <v/>
      </c>
      <c r="N448" t="str" cm="1">
        <f t="array" ref="N448">IF(M448="","",
_xlfn.TEXTJOIN(", ",TRUE,
    _xlfn.MAP(_xlfn.TEXTSPLIT(M448,","),_xlfn.LAMBDA(_xlpm.x,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8" t="e">
        <f>'Audit Report'!#REF!</f>
        <v>#REF!</v>
      </c>
      <c r="S448" t="str">
        <f>'Audit Report'!N448</f>
        <v/>
      </c>
    </row>
    <row r="449" spans="4:19">
      <c r="D449" t="str">
        <f>'Audit Report'!B449</f>
        <v>ITD-SHRXXX-XX448</v>
      </c>
      <c r="E449" t="str">
        <f>'Audit Report'!C449</f>
        <v/>
      </c>
      <c r="I449" t="str">
        <f>'Audit Report'!E449</f>
        <v/>
      </c>
      <c r="J449" t="str">
        <f>'Audit Report'!G449</f>
        <v/>
      </c>
      <c r="L449" t="str">
        <f>_xlfn.TEXTJOIN(", ", FALSE, 'Audit Report'!J449,'Audit Report'!K449,'Audit Report'!L449)</f>
        <v xml:space="preserve">, , </v>
      </c>
      <c r="M449" t="str">
        <f>'Audit Report'!M449</f>
        <v/>
      </c>
      <c r="N449" t="str" cm="1">
        <f t="array" ref="N449">IF(M449="","",
_xlfn.TEXTJOIN(", ",TRUE,
    _xlfn.MAP(_xlfn.TEXTSPLIT(M449,","),_xlfn.LAMBDA(_xlpm.x,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9" t="e">
        <f>'Audit Report'!#REF!</f>
        <v>#REF!</v>
      </c>
      <c r="S449" t="str">
        <f>'Audit Report'!N449</f>
        <v/>
      </c>
    </row>
    <row r="450" spans="4:19">
      <c r="D450" t="str">
        <f>'Audit Report'!B450</f>
        <v>ITD-SHRXXX-XX449</v>
      </c>
      <c r="E450" t="str">
        <f>'Audit Report'!C450</f>
        <v/>
      </c>
      <c r="I450" t="str">
        <f>'Audit Report'!E450</f>
        <v/>
      </c>
      <c r="J450" t="str">
        <f>'Audit Report'!G450</f>
        <v/>
      </c>
      <c r="L450" t="str">
        <f>_xlfn.TEXTJOIN(", ", FALSE, 'Audit Report'!J450,'Audit Report'!K450,'Audit Report'!L450)</f>
        <v xml:space="preserve">, , </v>
      </c>
      <c r="M450" t="str">
        <f>'Audit Report'!M450</f>
        <v/>
      </c>
      <c r="N450" t="str" cm="1">
        <f t="array" ref="N450">IF(M450="","",
_xlfn.TEXTJOIN(", ",TRUE,
    _xlfn.MAP(_xlfn.TEXTSPLIT(M450,","),_xlfn.LAMBDA(_xlpm.x,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0" t="e">
        <f>'Audit Report'!#REF!</f>
        <v>#REF!</v>
      </c>
      <c r="S450" t="str">
        <f>'Audit Report'!N450</f>
        <v/>
      </c>
    </row>
    <row r="451" spans="4:19">
      <c r="D451" t="str">
        <f>'Audit Report'!B451</f>
        <v>ITD-SHRXXX-XX450</v>
      </c>
      <c r="E451" t="str">
        <f>'Audit Report'!C451</f>
        <v/>
      </c>
      <c r="I451" t="str">
        <f>'Audit Report'!E451</f>
        <v/>
      </c>
      <c r="J451" t="str">
        <f>'Audit Report'!G451</f>
        <v/>
      </c>
      <c r="L451" t="str">
        <f>_xlfn.TEXTJOIN(", ", FALSE, 'Audit Report'!J451,'Audit Report'!K451,'Audit Report'!L451)</f>
        <v xml:space="preserve">, , </v>
      </c>
      <c r="M451" t="str">
        <f>'Audit Report'!M451</f>
        <v/>
      </c>
      <c r="N451" t="str" cm="1">
        <f t="array" ref="N451">IF(M451="","",
_xlfn.TEXTJOIN(", ",TRUE,
    _xlfn.MAP(_xlfn.TEXTSPLIT(M451,","),_xlfn.LAMBDA(_xlpm.x,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1" t="e">
        <f>'Audit Report'!#REF!</f>
        <v>#REF!</v>
      </c>
      <c r="S451" t="str">
        <f>'Audit Report'!N451</f>
        <v/>
      </c>
    </row>
    <row r="452" spans="4:19">
      <c r="D452" t="str">
        <f>'Audit Report'!B452</f>
        <v>ITD-SHRXXX-XX451</v>
      </c>
      <c r="E452" t="str">
        <f>'Audit Report'!C452</f>
        <v/>
      </c>
      <c r="I452" t="str">
        <f>'Audit Report'!E452</f>
        <v/>
      </c>
      <c r="J452" t="str">
        <f>'Audit Report'!G452</f>
        <v/>
      </c>
      <c r="L452" t="str">
        <f>_xlfn.TEXTJOIN(", ", FALSE, 'Audit Report'!J452,'Audit Report'!K452,'Audit Report'!L452)</f>
        <v xml:space="preserve">, , </v>
      </c>
      <c r="M452" t="str">
        <f>'Audit Report'!M452</f>
        <v/>
      </c>
      <c r="N452" t="str" cm="1">
        <f t="array" ref="N452">IF(M452="","",
_xlfn.TEXTJOIN(", ",TRUE,
    _xlfn.MAP(_xlfn.TEXTSPLIT(M452,","),_xlfn.LAMBDA(_xlpm.x,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2" t="e">
        <f>'Audit Report'!#REF!</f>
        <v>#REF!</v>
      </c>
      <c r="S452" t="str">
        <f>'Audit Report'!N452</f>
        <v/>
      </c>
    </row>
    <row r="453" spans="4:19">
      <c r="D453" t="str">
        <f>'Audit Report'!B453</f>
        <v>ITD-SHRXXX-XX452</v>
      </c>
      <c r="E453" t="str">
        <f>'Audit Report'!C453</f>
        <v/>
      </c>
      <c r="I453" t="str">
        <f>'Audit Report'!E453</f>
        <v/>
      </c>
      <c r="J453" t="str">
        <f>'Audit Report'!G453</f>
        <v/>
      </c>
      <c r="L453" t="str">
        <f>_xlfn.TEXTJOIN(", ", FALSE, 'Audit Report'!J453,'Audit Report'!K453,'Audit Report'!L453)</f>
        <v xml:space="preserve">, , </v>
      </c>
      <c r="M453" t="str">
        <f>'Audit Report'!M453</f>
        <v/>
      </c>
      <c r="N453" t="str" cm="1">
        <f t="array" ref="N453">IF(M453="","",
_xlfn.TEXTJOIN(", ",TRUE,
    _xlfn.MAP(_xlfn.TEXTSPLIT(M453,","),_xlfn.LAMBDA(_xlpm.x,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3" t="e">
        <f>'Audit Report'!#REF!</f>
        <v>#REF!</v>
      </c>
      <c r="S453" t="str">
        <f>'Audit Report'!N453</f>
        <v/>
      </c>
    </row>
    <row r="454" spans="4:19">
      <c r="D454" t="str">
        <f>'Audit Report'!B454</f>
        <v>ITD-SHRXXX-XX453</v>
      </c>
      <c r="E454" t="str">
        <f>'Audit Report'!C454</f>
        <v/>
      </c>
      <c r="I454" t="str">
        <f>'Audit Report'!E454</f>
        <v/>
      </c>
      <c r="J454" t="str">
        <f>'Audit Report'!G454</f>
        <v/>
      </c>
      <c r="L454" t="str">
        <f>_xlfn.TEXTJOIN(", ", FALSE, 'Audit Report'!J454,'Audit Report'!K454,'Audit Report'!L454)</f>
        <v xml:space="preserve">, , </v>
      </c>
      <c r="M454" t="str">
        <f>'Audit Report'!M454</f>
        <v/>
      </c>
      <c r="N454" t="str" cm="1">
        <f t="array" ref="N454">IF(M454="","",
_xlfn.TEXTJOIN(", ",TRUE,
    _xlfn.MAP(_xlfn.TEXTSPLIT(M454,","),_xlfn.LAMBDA(_xlpm.x,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4" t="e">
        <f>'Audit Report'!#REF!</f>
        <v>#REF!</v>
      </c>
      <c r="S454" t="str">
        <f>'Audit Report'!N454</f>
        <v/>
      </c>
    </row>
    <row r="455" spans="4:19">
      <c r="D455" t="str">
        <f>'Audit Report'!B455</f>
        <v>ITD-SHRXXX-XX454</v>
      </c>
      <c r="E455" t="str">
        <f>'Audit Report'!C455</f>
        <v/>
      </c>
      <c r="I455" t="str">
        <f>'Audit Report'!E455</f>
        <v/>
      </c>
      <c r="J455" t="str">
        <f>'Audit Report'!G455</f>
        <v/>
      </c>
      <c r="L455" t="str">
        <f>_xlfn.TEXTJOIN(", ", FALSE, 'Audit Report'!J455,'Audit Report'!K455,'Audit Report'!L455)</f>
        <v xml:space="preserve">, , </v>
      </c>
      <c r="M455" t="str">
        <f>'Audit Report'!M455</f>
        <v/>
      </c>
      <c r="N455" t="str" cm="1">
        <f t="array" ref="N455">IF(M455="","",
_xlfn.TEXTJOIN(", ",TRUE,
    _xlfn.MAP(_xlfn.TEXTSPLIT(M455,","),_xlfn.LAMBDA(_xlpm.x,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5" t="e">
        <f>'Audit Report'!#REF!</f>
        <v>#REF!</v>
      </c>
      <c r="S455" t="str">
        <f>'Audit Report'!N455</f>
        <v/>
      </c>
    </row>
    <row r="456" spans="4:19">
      <c r="D456" t="str">
        <f>'Audit Report'!B456</f>
        <v>ITD-SHRXXX-XX455</v>
      </c>
      <c r="E456" t="str">
        <f>'Audit Report'!C456</f>
        <v/>
      </c>
      <c r="I456" t="str">
        <f>'Audit Report'!E456</f>
        <v/>
      </c>
      <c r="J456" t="str">
        <f>'Audit Report'!G456</f>
        <v/>
      </c>
      <c r="L456" t="str">
        <f>_xlfn.TEXTJOIN(", ", FALSE, 'Audit Report'!J456,'Audit Report'!K456,'Audit Report'!L456)</f>
        <v xml:space="preserve">, , </v>
      </c>
      <c r="M456" t="str">
        <f>'Audit Report'!M456</f>
        <v/>
      </c>
      <c r="N456" t="str" cm="1">
        <f t="array" ref="N456">IF(M456="","",
_xlfn.TEXTJOIN(", ",TRUE,
    _xlfn.MAP(_xlfn.TEXTSPLIT(M456,","),_xlfn.LAMBDA(_xlpm.x,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6" t="e">
        <f>'Audit Report'!#REF!</f>
        <v>#REF!</v>
      </c>
      <c r="S456" t="str">
        <f>'Audit Report'!N456</f>
        <v/>
      </c>
    </row>
    <row r="457" spans="4:19">
      <c r="D457" t="str">
        <f>'Audit Report'!B457</f>
        <v>ITD-SHRXXX-XX456</v>
      </c>
      <c r="E457" t="str">
        <f>'Audit Report'!C457</f>
        <v/>
      </c>
      <c r="I457" t="str">
        <f>'Audit Report'!E457</f>
        <v/>
      </c>
      <c r="J457" t="str">
        <f>'Audit Report'!G457</f>
        <v/>
      </c>
      <c r="L457" t="str">
        <f>_xlfn.TEXTJOIN(", ", FALSE, 'Audit Report'!J457,'Audit Report'!K457,'Audit Report'!L457)</f>
        <v xml:space="preserve">, , </v>
      </c>
      <c r="M457" t="str">
        <f>'Audit Report'!M457</f>
        <v/>
      </c>
      <c r="N457" t="str" cm="1">
        <f t="array" ref="N457">IF(M457="","",
_xlfn.TEXTJOIN(", ",TRUE,
    _xlfn.MAP(_xlfn.TEXTSPLIT(M457,","),_xlfn.LAMBDA(_xlpm.x,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7" t="e">
        <f>'Audit Report'!#REF!</f>
        <v>#REF!</v>
      </c>
      <c r="S457" t="str">
        <f>'Audit Report'!N457</f>
        <v/>
      </c>
    </row>
    <row r="458" spans="4:19">
      <c r="D458" t="str">
        <f>'Audit Report'!B458</f>
        <v>ITD-SHRXXX-XX457</v>
      </c>
      <c r="E458" t="str">
        <f>'Audit Report'!C458</f>
        <v/>
      </c>
      <c r="I458" t="str">
        <f>'Audit Report'!E458</f>
        <v/>
      </c>
      <c r="J458" t="str">
        <f>'Audit Report'!G458</f>
        <v/>
      </c>
      <c r="L458" t="str">
        <f>_xlfn.TEXTJOIN(", ", FALSE, 'Audit Report'!J458,'Audit Report'!K458,'Audit Report'!L458)</f>
        <v xml:space="preserve">, , </v>
      </c>
      <c r="M458" t="str">
        <f>'Audit Report'!M458</f>
        <v/>
      </c>
      <c r="N458" t="str" cm="1">
        <f t="array" ref="N458">IF(M458="","",
_xlfn.TEXTJOIN(", ",TRUE,
    _xlfn.MAP(_xlfn.TEXTSPLIT(M458,","),_xlfn.LAMBDA(_xlpm.x,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8" t="e">
        <f>'Audit Report'!#REF!</f>
        <v>#REF!</v>
      </c>
      <c r="S458" t="str">
        <f>'Audit Report'!N458</f>
        <v/>
      </c>
    </row>
    <row r="459" spans="4:19">
      <c r="D459" t="str">
        <f>'Audit Report'!B459</f>
        <v>ITD-SHRXXX-XX458</v>
      </c>
      <c r="E459" t="str">
        <f>'Audit Report'!C459</f>
        <v/>
      </c>
      <c r="I459" t="str">
        <f>'Audit Report'!E459</f>
        <v/>
      </c>
      <c r="J459" t="str">
        <f>'Audit Report'!G459</f>
        <v/>
      </c>
      <c r="L459" t="str">
        <f>_xlfn.TEXTJOIN(", ", FALSE, 'Audit Report'!J459,'Audit Report'!K459,'Audit Report'!L459)</f>
        <v xml:space="preserve">, , </v>
      </c>
      <c r="M459" t="str">
        <f>'Audit Report'!M459</f>
        <v/>
      </c>
      <c r="N459" t="str" cm="1">
        <f t="array" ref="N459">IF(M459="","",
_xlfn.TEXTJOIN(", ",TRUE,
    _xlfn.MAP(_xlfn.TEXTSPLIT(M459,","),_xlfn.LAMBDA(_xlpm.x,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9" t="e">
        <f>'Audit Report'!#REF!</f>
        <v>#REF!</v>
      </c>
      <c r="S459" t="str">
        <f>'Audit Report'!N459</f>
        <v/>
      </c>
    </row>
    <row r="460" spans="4:19">
      <c r="D460" t="str">
        <f>'Audit Report'!B460</f>
        <v>ITD-SHRXXX-XX459</v>
      </c>
      <c r="E460" t="str">
        <f>'Audit Report'!C460</f>
        <v/>
      </c>
      <c r="I460" t="str">
        <f>'Audit Report'!E460</f>
        <v/>
      </c>
      <c r="J460" t="str">
        <f>'Audit Report'!G460</f>
        <v/>
      </c>
      <c r="L460" t="str">
        <f>_xlfn.TEXTJOIN(", ", FALSE, 'Audit Report'!J460,'Audit Report'!K460,'Audit Report'!L460)</f>
        <v xml:space="preserve">, , </v>
      </c>
      <c r="M460" t="str">
        <f>'Audit Report'!M460</f>
        <v/>
      </c>
      <c r="N460" t="str" cm="1">
        <f t="array" ref="N460">IF(M460="","",
_xlfn.TEXTJOIN(", ",TRUE,
    _xlfn.MAP(_xlfn.TEXTSPLIT(M460,","),_xlfn.LAMBDA(_xlpm.x,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0" t="e">
        <f>'Audit Report'!#REF!</f>
        <v>#REF!</v>
      </c>
      <c r="S460" t="str">
        <f>'Audit Report'!N460</f>
        <v/>
      </c>
    </row>
    <row r="461" spans="4:19">
      <c r="D461" t="str">
        <f>'Audit Report'!B461</f>
        <v>ITD-SHRXXX-XX460</v>
      </c>
      <c r="E461" t="str">
        <f>'Audit Report'!C461</f>
        <v/>
      </c>
      <c r="I461" t="str">
        <f>'Audit Report'!E461</f>
        <v/>
      </c>
      <c r="J461" t="str">
        <f>'Audit Report'!G461</f>
        <v/>
      </c>
      <c r="L461" t="str">
        <f>_xlfn.TEXTJOIN(", ", FALSE, 'Audit Report'!J461,'Audit Report'!K461,'Audit Report'!L461)</f>
        <v xml:space="preserve">, , </v>
      </c>
      <c r="M461" t="str">
        <f>'Audit Report'!M461</f>
        <v/>
      </c>
      <c r="N461" t="str" cm="1">
        <f t="array" ref="N461">IF(M461="","",
_xlfn.TEXTJOIN(", ",TRUE,
    _xlfn.MAP(_xlfn.TEXTSPLIT(M461,","),_xlfn.LAMBDA(_xlpm.x,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1" t="e">
        <f>'Audit Report'!#REF!</f>
        <v>#REF!</v>
      </c>
      <c r="S461" t="str">
        <f>'Audit Report'!N461</f>
        <v/>
      </c>
    </row>
    <row r="462" spans="4:19">
      <c r="D462" t="str">
        <f>'Audit Report'!B462</f>
        <v>ITD-SHRXXX-XX461</v>
      </c>
      <c r="E462" t="str">
        <f>'Audit Report'!C462</f>
        <v/>
      </c>
      <c r="I462" t="str">
        <f>'Audit Report'!E462</f>
        <v/>
      </c>
      <c r="J462" t="str">
        <f>'Audit Report'!G462</f>
        <v/>
      </c>
      <c r="L462" t="str">
        <f>_xlfn.TEXTJOIN(", ", FALSE, 'Audit Report'!J462,'Audit Report'!K462,'Audit Report'!L462)</f>
        <v xml:space="preserve">, , </v>
      </c>
      <c r="M462" t="str">
        <f>'Audit Report'!M462</f>
        <v/>
      </c>
      <c r="N462" t="str" cm="1">
        <f t="array" ref="N462">IF(M462="","",
_xlfn.TEXTJOIN(", ",TRUE,
    _xlfn.MAP(_xlfn.TEXTSPLIT(M462,","),_xlfn.LAMBDA(_xlpm.x,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2" t="e">
        <f>'Audit Report'!#REF!</f>
        <v>#REF!</v>
      </c>
      <c r="S462" t="str">
        <f>'Audit Report'!N462</f>
        <v/>
      </c>
    </row>
    <row r="463" spans="4:19">
      <c r="D463" t="str">
        <f>'Audit Report'!B463</f>
        <v>ITD-SHRXXX-XX462</v>
      </c>
      <c r="E463" t="str">
        <f>'Audit Report'!C463</f>
        <v/>
      </c>
      <c r="I463" t="str">
        <f>'Audit Report'!E463</f>
        <v/>
      </c>
      <c r="J463" t="str">
        <f>'Audit Report'!G463</f>
        <v/>
      </c>
      <c r="L463" t="str">
        <f>_xlfn.TEXTJOIN(", ", FALSE, 'Audit Report'!J463,'Audit Report'!K463,'Audit Report'!L463)</f>
        <v xml:space="preserve">, , </v>
      </c>
      <c r="M463" t="str">
        <f>'Audit Report'!M463</f>
        <v/>
      </c>
      <c r="N463" t="str" cm="1">
        <f t="array" ref="N463">IF(M463="","",
_xlfn.TEXTJOIN(", ",TRUE,
    _xlfn.MAP(_xlfn.TEXTSPLIT(M463,","),_xlfn.LAMBDA(_xlpm.x,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3" t="e">
        <f>'Audit Report'!#REF!</f>
        <v>#REF!</v>
      </c>
      <c r="S463" t="str">
        <f>'Audit Report'!N463</f>
        <v/>
      </c>
    </row>
    <row r="464" spans="4:19">
      <c r="D464" t="str">
        <f>'Audit Report'!B464</f>
        <v>ITD-SHRXXX-XX463</v>
      </c>
      <c r="E464" t="str">
        <f>'Audit Report'!C464</f>
        <v/>
      </c>
      <c r="I464" t="str">
        <f>'Audit Report'!E464</f>
        <v/>
      </c>
      <c r="J464" t="str">
        <f>'Audit Report'!G464</f>
        <v/>
      </c>
      <c r="L464" t="str">
        <f>_xlfn.TEXTJOIN(", ", FALSE, 'Audit Report'!J464,'Audit Report'!K464,'Audit Report'!L464)</f>
        <v xml:space="preserve">, , </v>
      </c>
      <c r="M464" t="str">
        <f>'Audit Report'!M464</f>
        <v/>
      </c>
      <c r="N464" t="str" cm="1">
        <f t="array" ref="N464">IF(M464="","",
_xlfn.TEXTJOIN(", ",TRUE,
    _xlfn.MAP(_xlfn.TEXTSPLIT(M464,","),_xlfn.LAMBDA(_xlpm.x,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4" t="e">
        <f>'Audit Report'!#REF!</f>
        <v>#REF!</v>
      </c>
      <c r="S464" t="str">
        <f>'Audit Report'!N464</f>
        <v/>
      </c>
    </row>
    <row r="465" spans="4:19">
      <c r="D465" t="str">
        <f>'Audit Report'!B465</f>
        <v>ITD-SHRXXX-XX464</v>
      </c>
      <c r="E465" t="str">
        <f>'Audit Report'!C465</f>
        <v/>
      </c>
      <c r="I465" t="str">
        <f>'Audit Report'!E465</f>
        <v/>
      </c>
      <c r="J465" t="str">
        <f>'Audit Report'!G465</f>
        <v/>
      </c>
      <c r="L465" t="str">
        <f>_xlfn.TEXTJOIN(", ", FALSE, 'Audit Report'!J465,'Audit Report'!K465,'Audit Report'!L465)</f>
        <v xml:space="preserve">, , </v>
      </c>
      <c r="M465" t="str">
        <f>'Audit Report'!M465</f>
        <v/>
      </c>
      <c r="N465" t="str" cm="1">
        <f t="array" ref="N465">IF(M465="","",
_xlfn.TEXTJOIN(", ",TRUE,
    _xlfn.MAP(_xlfn.TEXTSPLIT(M465,","),_xlfn.LAMBDA(_xlpm.x,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5" t="e">
        <f>'Audit Report'!#REF!</f>
        <v>#REF!</v>
      </c>
      <c r="S465" t="str">
        <f>'Audit Report'!N465</f>
        <v/>
      </c>
    </row>
    <row r="466" spans="4:19">
      <c r="D466" t="str">
        <f>'Audit Report'!B466</f>
        <v>ITD-SHRXXX-XX465</v>
      </c>
      <c r="E466" t="str">
        <f>'Audit Report'!C466</f>
        <v/>
      </c>
      <c r="I466" t="str">
        <f>'Audit Report'!E466</f>
        <v/>
      </c>
      <c r="J466" t="str">
        <f>'Audit Report'!G466</f>
        <v/>
      </c>
      <c r="L466" t="str">
        <f>_xlfn.TEXTJOIN(", ", FALSE, 'Audit Report'!J466,'Audit Report'!K466,'Audit Report'!L466)</f>
        <v xml:space="preserve">, , </v>
      </c>
      <c r="M466" t="str">
        <f>'Audit Report'!M466</f>
        <v/>
      </c>
      <c r="N466" t="str" cm="1">
        <f t="array" ref="N466">IF(M466="","",
_xlfn.TEXTJOIN(", ",TRUE,
    _xlfn.MAP(_xlfn.TEXTSPLIT(M466,","),_xlfn.LAMBDA(_xlpm.x,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6" t="e">
        <f>'Audit Report'!#REF!</f>
        <v>#REF!</v>
      </c>
      <c r="S466" t="str">
        <f>'Audit Report'!N466</f>
        <v/>
      </c>
    </row>
    <row r="467" spans="4:19">
      <c r="D467" t="str">
        <f>'Audit Report'!B467</f>
        <v>ITD-SHRXXX-XX466</v>
      </c>
      <c r="E467" t="str">
        <f>'Audit Report'!C467</f>
        <v/>
      </c>
      <c r="I467" t="str">
        <f>'Audit Report'!E467</f>
        <v/>
      </c>
      <c r="J467" t="str">
        <f>'Audit Report'!G467</f>
        <v/>
      </c>
      <c r="L467" t="str">
        <f>_xlfn.TEXTJOIN(", ", FALSE, 'Audit Report'!J467,'Audit Report'!K467,'Audit Report'!L467)</f>
        <v xml:space="preserve">, , </v>
      </c>
      <c r="M467" t="str">
        <f>'Audit Report'!M467</f>
        <v/>
      </c>
      <c r="N467" t="str" cm="1">
        <f t="array" ref="N467">IF(M467="","",
_xlfn.TEXTJOIN(", ",TRUE,
    _xlfn.MAP(_xlfn.TEXTSPLIT(M467,","),_xlfn.LAMBDA(_xlpm.x,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7" t="e">
        <f>'Audit Report'!#REF!</f>
        <v>#REF!</v>
      </c>
      <c r="S467" t="str">
        <f>'Audit Report'!N467</f>
        <v/>
      </c>
    </row>
    <row r="468" spans="4:19">
      <c r="D468" t="str">
        <f>'Audit Report'!B468</f>
        <v>ITD-SHRXXX-XX467</v>
      </c>
      <c r="E468" t="str">
        <f>'Audit Report'!C468</f>
        <v/>
      </c>
      <c r="I468" t="str">
        <f>'Audit Report'!E468</f>
        <v/>
      </c>
      <c r="J468" t="str">
        <f>'Audit Report'!G468</f>
        <v/>
      </c>
      <c r="L468" t="str">
        <f>_xlfn.TEXTJOIN(", ", FALSE, 'Audit Report'!J468,'Audit Report'!K468,'Audit Report'!L468)</f>
        <v xml:space="preserve">, , </v>
      </c>
      <c r="M468" t="str">
        <f>'Audit Report'!M468</f>
        <v/>
      </c>
      <c r="N468" t="str" cm="1">
        <f t="array" ref="N468">IF(M468="","",
_xlfn.TEXTJOIN(", ",TRUE,
    _xlfn.MAP(_xlfn.TEXTSPLIT(M468,","),_xlfn.LAMBDA(_xlpm.x,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8" t="e">
        <f>'Audit Report'!#REF!</f>
        <v>#REF!</v>
      </c>
      <c r="S468" t="str">
        <f>'Audit Report'!N468</f>
        <v/>
      </c>
    </row>
    <row r="469" spans="4:19">
      <c r="D469" t="str">
        <f>'Audit Report'!B469</f>
        <v>ITD-SHRXXX-XX468</v>
      </c>
      <c r="E469" t="str">
        <f>'Audit Report'!C469</f>
        <v/>
      </c>
      <c r="I469" t="str">
        <f>'Audit Report'!E469</f>
        <v/>
      </c>
      <c r="J469" t="str">
        <f>'Audit Report'!G469</f>
        <v/>
      </c>
      <c r="L469" t="str">
        <f>_xlfn.TEXTJOIN(", ", FALSE, 'Audit Report'!J469,'Audit Report'!K469,'Audit Report'!L469)</f>
        <v xml:space="preserve">, , </v>
      </c>
      <c r="M469" t="str">
        <f>'Audit Report'!M469</f>
        <v/>
      </c>
      <c r="N469" t="str" cm="1">
        <f t="array" ref="N469">IF(M469="","",
_xlfn.TEXTJOIN(", ",TRUE,
    _xlfn.MAP(_xlfn.TEXTSPLIT(M469,","),_xlfn.LAMBDA(_xlpm.x,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9" t="e">
        <f>'Audit Report'!#REF!</f>
        <v>#REF!</v>
      </c>
      <c r="S469" t="str">
        <f>'Audit Report'!N469</f>
        <v/>
      </c>
    </row>
    <row r="470" spans="4:19">
      <c r="D470" t="str">
        <f>'Audit Report'!B470</f>
        <v>ITD-SHRXXX-XX469</v>
      </c>
      <c r="E470" t="str">
        <f>'Audit Report'!C470</f>
        <v/>
      </c>
      <c r="I470" t="str">
        <f>'Audit Report'!E470</f>
        <v/>
      </c>
      <c r="J470" t="str">
        <f>'Audit Report'!G470</f>
        <v/>
      </c>
      <c r="L470" t="str">
        <f>_xlfn.TEXTJOIN(", ", FALSE, 'Audit Report'!J470,'Audit Report'!K470,'Audit Report'!L470)</f>
        <v xml:space="preserve">, , </v>
      </c>
      <c r="M470" t="str">
        <f>'Audit Report'!M470</f>
        <v/>
      </c>
      <c r="N470" t="str" cm="1">
        <f t="array" ref="N470">IF(M470="","",
_xlfn.TEXTJOIN(", ",TRUE,
    _xlfn.MAP(_xlfn.TEXTSPLIT(M470,","),_xlfn.LAMBDA(_xlpm.x,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0" t="e">
        <f>'Audit Report'!#REF!</f>
        <v>#REF!</v>
      </c>
      <c r="S470" t="str">
        <f>'Audit Report'!N470</f>
        <v/>
      </c>
    </row>
    <row r="471" spans="4:19">
      <c r="D471" t="str">
        <f>'Audit Report'!B471</f>
        <v>ITD-SHRXXX-XX470</v>
      </c>
      <c r="E471" t="str">
        <f>'Audit Report'!C471</f>
        <v/>
      </c>
      <c r="I471" t="str">
        <f>'Audit Report'!E471</f>
        <v/>
      </c>
      <c r="J471" t="str">
        <f>'Audit Report'!G471</f>
        <v/>
      </c>
      <c r="L471" t="str">
        <f>_xlfn.TEXTJOIN(", ", FALSE, 'Audit Report'!J471,'Audit Report'!K471,'Audit Report'!L471)</f>
        <v xml:space="preserve">, , </v>
      </c>
      <c r="M471" t="str">
        <f>'Audit Report'!M471</f>
        <v/>
      </c>
      <c r="N471" t="str" cm="1">
        <f t="array" ref="N471">IF(M471="","",
_xlfn.TEXTJOIN(", ",TRUE,
    _xlfn.MAP(_xlfn.TEXTSPLIT(M471,","),_xlfn.LAMBDA(_xlpm.x,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1" t="e">
        <f>'Audit Report'!#REF!</f>
        <v>#REF!</v>
      </c>
      <c r="S471" t="str">
        <f>'Audit Report'!N471</f>
        <v/>
      </c>
    </row>
    <row r="472" spans="4:19">
      <c r="D472" t="str">
        <f>'Audit Report'!B472</f>
        <v>ITD-SHRXXX-XX471</v>
      </c>
      <c r="E472" t="str">
        <f>'Audit Report'!C472</f>
        <v/>
      </c>
      <c r="I472" t="str">
        <f>'Audit Report'!E472</f>
        <v/>
      </c>
      <c r="J472" t="str">
        <f>'Audit Report'!G472</f>
        <v/>
      </c>
      <c r="L472" t="str">
        <f>_xlfn.TEXTJOIN(", ", FALSE, 'Audit Report'!J472,'Audit Report'!K472,'Audit Report'!L472)</f>
        <v xml:space="preserve">, , </v>
      </c>
      <c r="M472" t="str">
        <f>'Audit Report'!M472</f>
        <v/>
      </c>
      <c r="N472" t="str" cm="1">
        <f t="array" ref="N472">IF(M472="","",
_xlfn.TEXTJOIN(", ",TRUE,
    _xlfn.MAP(_xlfn.TEXTSPLIT(M472,","),_xlfn.LAMBDA(_xlpm.x,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2" t="e">
        <f>'Audit Report'!#REF!</f>
        <v>#REF!</v>
      </c>
      <c r="S472" t="str">
        <f>'Audit Report'!N472</f>
        <v/>
      </c>
    </row>
    <row r="473" spans="4:19">
      <c r="D473" t="str">
        <f>'Audit Report'!B473</f>
        <v>ITD-SHRXXX-XX472</v>
      </c>
      <c r="E473" t="str">
        <f>'Audit Report'!C473</f>
        <v/>
      </c>
      <c r="I473" t="str">
        <f>'Audit Report'!E473</f>
        <v/>
      </c>
      <c r="J473" t="str">
        <f>'Audit Report'!G473</f>
        <v/>
      </c>
      <c r="L473" t="str">
        <f>_xlfn.TEXTJOIN(", ", FALSE, 'Audit Report'!J473,'Audit Report'!K473,'Audit Report'!L473)</f>
        <v xml:space="preserve">, , </v>
      </c>
      <c r="M473" t="str">
        <f>'Audit Report'!M473</f>
        <v/>
      </c>
      <c r="N473" t="str" cm="1">
        <f t="array" ref="N473">IF(M473="","",
_xlfn.TEXTJOIN(", ",TRUE,
    _xlfn.MAP(_xlfn.TEXTSPLIT(M473,","),_xlfn.LAMBDA(_xlpm.x,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3" t="e">
        <f>'Audit Report'!#REF!</f>
        <v>#REF!</v>
      </c>
      <c r="S473" t="str">
        <f>'Audit Report'!N473</f>
        <v/>
      </c>
    </row>
    <row r="474" spans="4:19">
      <c r="D474" t="str">
        <f>'Audit Report'!B474</f>
        <v>ITD-SHRXXX-XX473</v>
      </c>
      <c r="E474" t="str">
        <f>'Audit Report'!C474</f>
        <v/>
      </c>
      <c r="I474" t="str">
        <f>'Audit Report'!E474</f>
        <v/>
      </c>
      <c r="J474" t="str">
        <f>'Audit Report'!G474</f>
        <v/>
      </c>
      <c r="L474" t="str">
        <f>_xlfn.TEXTJOIN(", ", FALSE, 'Audit Report'!J474,'Audit Report'!K474,'Audit Report'!L474)</f>
        <v xml:space="preserve">, , </v>
      </c>
      <c r="M474" t="str">
        <f>'Audit Report'!M474</f>
        <v/>
      </c>
      <c r="N474" t="str" cm="1">
        <f t="array" ref="N474">IF(M474="","",
_xlfn.TEXTJOIN(", ",TRUE,
    _xlfn.MAP(_xlfn.TEXTSPLIT(M474,","),_xlfn.LAMBDA(_xlpm.x,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4" t="e">
        <f>'Audit Report'!#REF!</f>
        <v>#REF!</v>
      </c>
      <c r="S474" t="str">
        <f>'Audit Report'!N474</f>
        <v/>
      </c>
    </row>
    <row r="475" spans="4:19">
      <c r="D475" t="str">
        <f>'Audit Report'!B475</f>
        <v>ITD-SHRXXX-XX474</v>
      </c>
      <c r="E475" t="str">
        <f>'Audit Report'!C475</f>
        <v/>
      </c>
      <c r="I475" t="str">
        <f>'Audit Report'!E475</f>
        <v/>
      </c>
      <c r="J475" t="str">
        <f>'Audit Report'!G475</f>
        <v/>
      </c>
      <c r="L475" t="str">
        <f>_xlfn.TEXTJOIN(", ", FALSE, 'Audit Report'!J475,'Audit Report'!K475,'Audit Report'!L475)</f>
        <v xml:space="preserve">, , </v>
      </c>
      <c r="M475" t="str">
        <f>'Audit Report'!M475</f>
        <v/>
      </c>
      <c r="N475" t="str" cm="1">
        <f t="array" ref="N475">IF(M475="","",
_xlfn.TEXTJOIN(", ",TRUE,
    _xlfn.MAP(_xlfn.TEXTSPLIT(M475,","),_xlfn.LAMBDA(_xlpm.x,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5" t="e">
        <f>'Audit Report'!#REF!</f>
        <v>#REF!</v>
      </c>
      <c r="S475" t="str">
        <f>'Audit Report'!N475</f>
        <v/>
      </c>
    </row>
    <row r="476" spans="4:19">
      <c r="D476" t="str">
        <f>'Audit Report'!B476</f>
        <v>ITD-SHRXXX-XX475</v>
      </c>
      <c r="E476" t="str">
        <f>'Audit Report'!C476</f>
        <v/>
      </c>
      <c r="I476" t="str">
        <f>'Audit Report'!E476</f>
        <v/>
      </c>
      <c r="J476" t="str">
        <f>'Audit Report'!G476</f>
        <v/>
      </c>
      <c r="L476" t="str">
        <f>_xlfn.TEXTJOIN(", ", FALSE, 'Audit Report'!J476,'Audit Report'!K476,'Audit Report'!L476)</f>
        <v xml:space="preserve">, , </v>
      </c>
      <c r="M476" t="str">
        <f>'Audit Report'!M476</f>
        <v/>
      </c>
      <c r="N476" t="str" cm="1">
        <f t="array" ref="N476">IF(M476="","",
_xlfn.TEXTJOIN(", ",TRUE,
    _xlfn.MAP(_xlfn.TEXTSPLIT(M476,","),_xlfn.LAMBDA(_xlpm.x,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6" t="e">
        <f>'Audit Report'!#REF!</f>
        <v>#REF!</v>
      </c>
      <c r="S476" t="str">
        <f>'Audit Report'!N476</f>
        <v/>
      </c>
    </row>
    <row r="477" spans="4:19">
      <c r="D477" t="str">
        <f>'Audit Report'!B477</f>
        <v>ITD-SHRXXX-XX476</v>
      </c>
      <c r="E477" t="str">
        <f>'Audit Report'!C477</f>
        <v/>
      </c>
      <c r="I477" t="str">
        <f>'Audit Report'!E477</f>
        <v/>
      </c>
      <c r="J477" t="str">
        <f>'Audit Report'!G477</f>
        <v/>
      </c>
      <c r="L477" t="str">
        <f>_xlfn.TEXTJOIN(", ", FALSE, 'Audit Report'!J477,'Audit Report'!K477,'Audit Report'!L477)</f>
        <v xml:space="preserve">, , </v>
      </c>
      <c r="M477" t="str">
        <f>'Audit Report'!M477</f>
        <v/>
      </c>
      <c r="N477" t="str" cm="1">
        <f t="array" ref="N477">IF(M477="","",
_xlfn.TEXTJOIN(", ",TRUE,
    _xlfn.MAP(_xlfn.TEXTSPLIT(M477,","),_xlfn.LAMBDA(_xlpm.x,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7" t="e">
        <f>'Audit Report'!#REF!</f>
        <v>#REF!</v>
      </c>
      <c r="S477" t="str">
        <f>'Audit Report'!N477</f>
        <v/>
      </c>
    </row>
    <row r="478" spans="4:19">
      <c r="D478" t="str">
        <f>'Audit Report'!B478</f>
        <v>ITD-SHRXXX-XX477</v>
      </c>
      <c r="E478" t="str">
        <f>'Audit Report'!C478</f>
        <v/>
      </c>
      <c r="I478" t="str">
        <f>'Audit Report'!E478</f>
        <v/>
      </c>
      <c r="J478" t="str">
        <f>'Audit Report'!G478</f>
        <v/>
      </c>
      <c r="L478" t="str">
        <f>_xlfn.TEXTJOIN(", ", FALSE, 'Audit Report'!J478,'Audit Report'!K478,'Audit Report'!L478)</f>
        <v xml:space="preserve">, , </v>
      </c>
      <c r="M478" t="str">
        <f>'Audit Report'!M478</f>
        <v/>
      </c>
      <c r="N478" t="str" cm="1">
        <f t="array" ref="N478">IF(M478="","",
_xlfn.TEXTJOIN(", ",TRUE,
    _xlfn.MAP(_xlfn.TEXTSPLIT(M478,","),_xlfn.LAMBDA(_xlpm.x,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8" t="e">
        <f>'Audit Report'!#REF!</f>
        <v>#REF!</v>
      </c>
      <c r="S478" t="str">
        <f>'Audit Report'!N478</f>
        <v/>
      </c>
    </row>
    <row r="479" spans="4:19">
      <c r="D479" t="str">
        <f>'Audit Report'!B479</f>
        <v>ITD-SHRXXX-XX478</v>
      </c>
      <c r="E479" t="str">
        <f>'Audit Report'!C479</f>
        <v/>
      </c>
      <c r="I479" t="str">
        <f>'Audit Report'!E479</f>
        <v/>
      </c>
      <c r="J479" t="str">
        <f>'Audit Report'!G479</f>
        <v/>
      </c>
      <c r="L479" t="str">
        <f>_xlfn.TEXTJOIN(", ", FALSE, 'Audit Report'!J479,'Audit Report'!K479,'Audit Report'!L479)</f>
        <v xml:space="preserve">, , </v>
      </c>
      <c r="M479" t="str">
        <f>'Audit Report'!M479</f>
        <v/>
      </c>
      <c r="N479" t="str" cm="1">
        <f t="array" ref="N479">IF(M479="","",
_xlfn.TEXTJOIN(", ",TRUE,
    _xlfn.MAP(_xlfn.TEXTSPLIT(M479,","),_xlfn.LAMBDA(_xlpm.x,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9" t="e">
        <f>'Audit Report'!#REF!</f>
        <v>#REF!</v>
      </c>
      <c r="S479" t="str">
        <f>'Audit Report'!N479</f>
        <v/>
      </c>
    </row>
    <row r="480" spans="4:19">
      <c r="D480" t="str">
        <f>'Audit Report'!B480</f>
        <v>ITD-SHRXXX-XX479</v>
      </c>
      <c r="E480" t="str">
        <f>'Audit Report'!C480</f>
        <v/>
      </c>
      <c r="I480" t="str">
        <f>'Audit Report'!E480</f>
        <v/>
      </c>
      <c r="J480" t="str">
        <f>'Audit Report'!G480</f>
        <v/>
      </c>
      <c r="L480" t="str">
        <f>_xlfn.TEXTJOIN(", ", FALSE, 'Audit Report'!J480,'Audit Report'!K480,'Audit Report'!L480)</f>
        <v xml:space="preserve">, , </v>
      </c>
      <c r="M480" t="str">
        <f>'Audit Report'!M480</f>
        <v/>
      </c>
      <c r="N480" t="str" cm="1">
        <f t="array" ref="N480">IF(M480="","",
_xlfn.TEXTJOIN(", ",TRUE,
    _xlfn.MAP(_xlfn.TEXTSPLIT(M480,","),_xlfn.LAMBDA(_xlpm.x,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0" t="e">
        <f>'Audit Report'!#REF!</f>
        <v>#REF!</v>
      </c>
      <c r="S480" t="str">
        <f>'Audit Report'!N480</f>
        <v/>
      </c>
    </row>
    <row r="481" spans="4:19">
      <c r="D481" t="str">
        <f>'Audit Report'!B481</f>
        <v>ITD-SHRXXX-XX480</v>
      </c>
      <c r="E481" t="str">
        <f>'Audit Report'!C481</f>
        <v/>
      </c>
      <c r="I481" t="str">
        <f>'Audit Report'!E481</f>
        <v/>
      </c>
      <c r="J481" t="str">
        <f>'Audit Report'!G481</f>
        <v/>
      </c>
      <c r="L481" t="str">
        <f>_xlfn.TEXTJOIN(", ", FALSE, 'Audit Report'!J481,'Audit Report'!K481,'Audit Report'!L481)</f>
        <v xml:space="preserve">, , </v>
      </c>
      <c r="M481" t="str">
        <f>'Audit Report'!M481</f>
        <v/>
      </c>
      <c r="N481" t="str" cm="1">
        <f t="array" ref="N481">IF(M481="","",
_xlfn.TEXTJOIN(", ",TRUE,
    _xlfn.MAP(_xlfn.TEXTSPLIT(M481,","),_xlfn.LAMBDA(_xlpm.x,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1" t="e">
        <f>'Audit Report'!#REF!</f>
        <v>#REF!</v>
      </c>
      <c r="S481" t="str">
        <f>'Audit Report'!N481</f>
        <v/>
      </c>
    </row>
    <row r="482" spans="4:19">
      <c r="D482" t="str">
        <f>'Audit Report'!B482</f>
        <v>ITD-SHRXXX-XX481</v>
      </c>
      <c r="E482" t="str">
        <f>'Audit Report'!C482</f>
        <v/>
      </c>
      <c r="I482" t="str">
        <f>'Audit Report'!E482</f>
        <v/>
      </c>
      <c r="J482" t="str">
        <f>'Audit Report'!G482</f>
        <v/>
      </c>
      <c r="L482" t="str">
        <f>_xlfn.TEXTJOIN(", ", FALSE, 'Audit Report'!J482,'Audit Report'!K482,'Audit Report'!L482)</f>
        <v xml:space="preserve">, , </v>
      </c>
      <c r="M482" t="str">
        <f>'Audit Report'!M482</f>
        <v/>
      </c>
      <c r="N482" t="str" cm="1">
        <f t="array" ref="N482">IF(M482="","",
_xlfn.TEXTJOIN(", ",TRUE,
    _xlfn.MAP(_xlfn.TEXTSPLIT(M482,","),_xlfn.LAMBDA(_xlpm.x,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2" t="e">
        <f>'Audit Report'!#REF!</f>
        <v>#REF!</v>
      </c>
      <c r="S482" t="str">
        <f>'Audit Report'!N482</f>
        <v/>
      </c>
    </row>
    <row r="483" spans="4:19">
      <c r="D483" t="str">
        <f>'Audit Report'!B483</f>
        <v>ITD-SHRXXX-XX482</v>
      </c>
      <c r="E483" t="str">
        <f>'Audit Report'!C483</f>
        <v/>
      </c>
      <c r="I483" t="str">
        <f>'Audit Report'!E483</f>
        <v/>
      </c>
      <c r="J483" t="str">
        <f>'Audit Report'!G483</f>
        <v/>
      </c>
      <c r="L483" t="str">
        <f>_xlfn.TEXTJOIN(", ", FALSE, 'Audit Report'!J483,'Audit Report'!K483,'Audit Report'!L483)</f>
        <v xml:space="preserve">, , </v>
      </c>
      <c r="M483" t="str">
        <f>'Audit Report'!M483</f>
        <v/>
      </c>
      <c r="N483" t="str" cm="1">
        <f t="array" ref="N483">IF(M483="","",
_xlfn.TEXTJOIN(", ",TRUE,
    _xlfn.MAP(_xlfn.TEXTSPLIT(M483,","),_xlfn.LAMBDA(_xlpm.x,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3" t="e">
        <f>'Audit Report'!#REF!</f>
        <v>#REF!</v>
      </c>
      <c r="S483" t="str">
        <f>'Audit Report'!N483</f>
        <v/>
      </c>
    </row>
    <row r="484" spans="4:19">
      <c r="D484" t="str">
        <f>'Audit Report'!B484</f>
        <v>ITD-SHRXXX-XX483</v>
      </c>
      <c r="E484" t="str">
        <f>'Audit Report'!C484</f>
        <v/>
      </c>
      <c r="I484" t="str">
        <f>'Audit Report'!E484</f>
        <v/>
      </c>
      <c r="J484" t="str">
        <f>'Audit Report'!G484</f>
        <v/>
      </c>
      <c r="L484" t="str">
        <f>_xlfn.TEXTJOIN(", ", FALSE, 'Audit Report'!J484,'Audit Report'!K484,'Audit Report'!L484)</f>
        <v xml:space="preserve">, , </v>
      </c>
      <c r="M484" t="str">
        <f>'Audit Report'!M484</f>
        <v/>
      </c>
      <c r="N484" t="str" cm="1">
        <f t="array" ref="N484">IF(M484="","",
_xlfn.TEXTJOIN(", ",TRUE,
    _xlfn.MAP(_xlfn.TEXTSPLIT(M484,","),_xlfn.LAMBDA(_xlpm.x,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4" t="e">
        <f>'Audit Report'!#REF!</f>
        <v>#REF!</v>
      </c>
      <c r="S484" t="str">
        <f>'Audit Report'!N484</f>
        <v/>
      </c>
    </row>
    <row r="485" spans="4:19">
      <c r="D485" t="str">
        <f>'Audit Report'!B485</f>
        <v>ITD-SHRXXX-XX484</v>
      </c>
      <c r="E485" t="str">
        <f>'Audit Report'!C485</f>
        <v/>
      </c>
      <c r="I485" t="str">
        <f>'Audit Report'!E485</f>
        <v/>
      </c>
      <c r="J485" t="str">
        <f>'Audit Report'!G485</f>
        <v/>
      </c>
      <c r="L485" t="str">
        <f>_xlfn.TEXTJOIN(", ", FALSE, 'Audit Report'!J485,'Audit Report'!K485,'Audit Report'!L485)</f>
        <v xml:space="preserve">, , </v>
      </c>
      <c r="M485" t="str">
        <f>'Audit Report'!M485</f>
        <v/>
      </c>
      <c r="N485" t="str" cm="1">
        <f t="array" ref="N485">IF(M485="","",
_xlfn.TEXTJOIN(", ",TRUE,
    _xlfn.MAP(_xlfn.TEXTSPLIT(M485,","),_xlfn.LAMBDA(_xlpm.x,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5" t="e">
        <f>'Audit Report'!#REF!</f>
        <v>#REF!</v>
      </c>
      <c r="S485" t="str">
        <f>'Audit Report'!N485</f>
        <v/>
      </c>
    </row>
    <row r="486" spans="4:19">
      <c r="D486" t="str">
        <f>'Audit Report'!B486</f>
        <v>ITD-SHRXXX-XX485</v>
      </c>
      <c r="E486" t="str">
        <f>'Audit Report'!C486</f>
        <v/>
      </c>
      <c r="I486" t="str">
        <f>'Audit Report'!E486</f>
        <v/>
      </c>
      <c r="J486" t="str">
        <f>'Audit Report'!G486</f>
        <v/>
      </c>
      <c r="L486" t="str">
        <f>_xlfn.TEXTJOIN(", ", FALSE, 'Audit Report'!J486,'Audit Report'!K486,'Audit Report'!L486)</f>
        <v xml:space="preserve">, , </v>
      </c>
      <c r="M486" t="str">
        <f>'Audit Report'!M486</f>
        <v/>
      </c>
      <c r="N486" t="str" cm="1">
        <f t="array" ref="N486">IF(M486="","",
_xlfn.TEXTJOIN(", ",TRUE,
    _xlfn.MAP(_xlfn.TEXTSPLIT(M486,","),_xlfn.LAMBDA(_xlpm.x,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6" t="e">
        <f>'Audit Report'!#REF!</f>
        <v>#REF!</v>
      </c>
      <c r="S486" t="str">
        <f>'Audit Report'!N486</f>
        <v/>
      </c>
    </row>
    <row r="487" spans="4:19">
      <c r="D487" t="str">
        <f>'Audit Report'!B487</f>
        <v>ITD-SHRXXX-XX486</v>
      </c>
      <c r="E487" t="str">
        <f>'Audit Report'!C487</f>
        <v/>
      </c>
      <c r="I487" t="str">
        <f>'Audit Report'!E487</f>
        <v/>
      </c>
      <c r="J487" t="str">
        <f>'Audit Report'!G487</f>
        <v/>
      </c>
      <c r="L487" t="str">
        <f>_xlfn.TEXTJOIN(", ", FALSE, 'Audit Report'!J487,'Audit Report'!K487,'Audit Report'!L487)</f>
        <v xml:space="preserve">, , </v>
      </c>
      <c r="M487" t="str">
        <f>'Audit Report'!M487</f>
        <v/>
      </c>
      <c r="N487" t="str" cm="1">
        <f t="array" ref="N487">IF(M487="","",
_xlfn.TEXTJOIN(", ",TRUE,
    _xlfn.MAP(_xlfn.TEXTSPLIT(M487,","),_xlfn.LAMBDA(_xlpm.x,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7" t="e">
        <f>'Audit Report'!#REF!</f>
        <v>#REF!</v>
      </c>
      <c r="S487" t="str">
        <f>'Audit Report'!N487</f>
        <v/>
      </c>
    </row>
    <row r="488" spans="4:19">
      <c r="D488" t="str">
        <f>'Audit Report'!B488</f>
        <v>ITD-SHRXXX-XX487</v>
      </c>
      <c r="E488" t="str">
        <f>'Audit Report'!C488</f>
        <v/>
      </c>
      <c r="I488" t="str">
        <f>'Audit Report'!E488</f>
        <v/>
      </c>
      <c r="J488" t="str">
        <f>'Audit Report'!G488</f>
        <v/>
      </c>
      <c r="L488" t="str">
        <f>_xlfn.TEXTJOIN(", ", FALSE, 'Audit Report'!J488,'Audit Report'!K488,'Audit Report'!L488)</f>
        <v xml:space="preserve">, , </v>
      </c>
      <c r="M488" t="str">
        <f>'Audit Report'!M488</f>
        <v/>
      </c>
      <c r="N488" t="str" cm="1">
        <f t="array" ref="N488">IF(M488="","",
_xlfn.TEXTJOIN(", ",TRUE,
    _xlfn.MAP(_xlfn.TEXTSPLIT(M488,","),_xlfn.LAMBDA(_xlpm.x,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8" t="e">
        <f>'Audit Report'!#REF!</f>
        <v>#REF!</v>
      </c>
      <c r="S488" t="str">
        <f>'Audit Report'!N488</f>
        <v/>
      </c>
    </row>
    <row r="489" spans="4:19">
      <c r="D489" t="str">
        <f>'Audit Report'!B489</f>
        <v>ITD-SHRXXX-XX488</v>
      </c>
      <c r="E489" t="str">
        <f>'Audit Report'!C489</f>
        <v/>
      </c>
      <c r="I489" t="str">
        <f>'Audit Report'!E489</f>
        <v/>
      </c>
      <c r="J489" t="str">
        <f>'Audit Report'!G489</f>
        <v/>
      </c>
      <c r="L489" t="str">
        <f>_xlfn.TEXTJOIN(", ", FALSE, 'Audit Report'!J489,'Audit Report'!K489,'Audit Report'!L489)</f>
        <v xml:space="preserve">, , </v>
      </c>
      <c r="M489" t="str">
        <f>'Audit Report'!M489</f>
        <v/>
      </c>
      <c r="N489" t="str" cm="1">
        <f t="array" ref="N489">IF(M489="","",
_xlfn.TEXTJOIN(", ",TRUE,
    _xlfn.MAP(_xlfn.TEXTSPLIT(M489,","),_xlfn.LAMBDA(_xlpm.x,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9" t="e">
        <f>'Audit Report'!#REF!</f>
        <v>#REF!</v>
      </c>
      <c r="S489" t="str">
        <f>'Audit Report'!N489</f>
        <v/>
      </c>
    </row>
    <row r="490" spans="4:19">
      <c r="D490" t="str">
        <f>'Audit Report'!B490</f>
        <v>ITD-SHRXXX-XX489</v>
      </c>
      <c r="E490" t="str">
        <f>'Audit Report'!C490</f>
        <v/>
      </c>
      <c r="I490" t="str">
        <f>'Audit Report'!E490</f>
        <v/>
      </c>
      <c r="J490" t="str">
        <f>'Audit Report'!G490</f>
        <v/>
      </c>
      <c r="L490" t="str">
        <f>_xlfn.TEXTJOIN(", ", FALSE, 'Audit Report'!J490,'Audit Report'!K490,'Audit Report'!L490)</f>
        <v xml:space="preserve">, , </v>
      </c>
      <c r="M490" t="str">
        <f>'Audit Report'!M490</f>
        <v/>
      </c>
      <c r="N490" t="str" cm="1">
        <f t="array" ref="N490">IF(M490="","",
_xlfn.TEXTJOIN(", ",TRUE,
    _xlfn.MAP(_xlfn.TEXTSPLIT(M490,","),_xlfn.LAMBDA(_xlpm.x,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0" t="e">
        <f>'Audit Report'!#REF!</f>
        <v>#REF!</v>
      </c>
      <c r="S490" t="str">
        <f>'Audit Report'!N490</f>
        <v/>
      </c>
    </row>
    <row r="491" spans="4:19">
      <c r="D491" t="str">
        <f>'Audit Report'!B491</f>
        <v>ITD-SHRXXX-XX490</v>
      </c>
      <c r="E491" t="str">
        <f>'Audit Report'!C491</f>
        <v/>
      </c>
      <c r="I491" t="str">
        <f>'Audit Report'!E491</f>
        <v/>
      </c>
      <c r="J491" t="str">
        <f>'Audit Report'!G491</f>
        <v/>
      </c>
      <c r="L491" t="str">
        <f>_xlfn.TEXTJOIN(", ", FALSE, 'Audit Report'!J491,'Audit Report'!K491,'Audit Report'!L491)</f>
        <v xml:space="preserve">, , </v>
      </c>
      <c r="M491" t="str">
        <f>'Audit Report'!M491</f>
        <v/>
      </c>
      <c r="N491" t="str" cm="1">
        <f t="array" ref="N491">IF(M491="","",
_xlfn.TEXTJOIN(", ",TRUE,
    _xlfn.MAP(_xlfn.TEXTSPLIT(M491,","),_xlfn.LAMBDA(_xlpm.x,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1" t="e">
        <f>'Audit Report'!#REF!</f>
        <v>#REF!</v>
      </c>
      <c r="S491" t="str">
        <f>'Audit Report'!N491</f>
        <v/>
      </c>
    </row>
    <row r="492" spans="4:19">
      <c r="D492" t="str">
        <f>'Audit Report'!B492</f>
        <v>ITD-SHRXXX-XX491</v>
      </c>
      <c r="E492" t="str">
        <f>'Audit Report'!C492</f>
        <v/>
      </c>
      <c r="I492" t="str">
        <f>'Audit Report'!E492</f>
        <v/>
      </c>
      <c r="J492" t="str">
        <f>'Audit Report'!G492</f>
        <v/>
      </c>
      <c r="L492" t="str">
        <f>_xlfn.TEXTJOIN(", ", FALSE, 'Audit Report'!J492,'Audit Report'!K492,'Audit Report'!L492)</f>
        <v xml:space="preserve">, , </v>
      </c>
      <c r="M492" t="str">
        <f>'Audit Report'!M492</f>
        <v/>
      </c>
      <c r="N492" t="str" cm="1">
        <f t="array" ref="N492">IF(M492="","",
_xlfn.TEXTJOIN(", ",TRUE,
    _xlfn.MAP(_xlfn.TEXTSPLIT(M492,","),_xlfn.LAMBDA(_xlpm.x,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2" t="e">
        <f>'Audit Report'!#REF!</f>
        <v>#REF!</v>
      </c>
      <c r="S492" t="str">
        <f>'Audit Report'!N492</f>
        <v/>
      </c>
    </row>
    <row r="493" spans="4:19">
      <c r="D493" t="str">
        <f>'Audit Report'!B493</f>
        <v>ITD-SHRXXX-XX492</v>
      </c>
      <c r="E493" t="str">
        <f>'Audit Report'!C493</f>
        <v/>
      </c>
      <c r="I493" t="str">
        <f>'Audit Report'!E493</f>
        <v/>
      </c>
      <c r="J493" t="str">
        <f>'Audit Report'!G493</f>
        <v/>
      </c>
      <c r="L493" t="str">
        <f>_xlfn.TEXTJOIN(", ", FALSE, 'Audit Report'!J493,'Audit Report'!K493,'Audit Report'!L493)</f>
        <v xml:space="preserve">, , </v>
      </c>
      <c r="M493" t="str">
        <f>'Audit Report'!M493</f>
        <v/>
      </c>
      <c r="N493" t="str" cm="1">
        <f t="array" ref="N493">IF(M493="","",
_xlfn.TEXTJOIN(", ",TRUE,
    _xlfn.MAP(_xlfn.TEXTSPLIT(M493,","),_xlfn.LAMBDA(_xlpm.x,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3" t="e">
        <f>'Audit Report'!#REF!</f>
        <v>#REF!</v>
      </c>
      <c r="S493" t="str">
        <f>'Audit Report'!N493</f>
        <v/>
      </c>
    </row>
    <row r="494" spans="4:19">
      <c r="D494" t="str">
        <f>'Audit Report'!B494</f>
        <v>ITD-SHRXXX-XX493</v>
      </c>
      <c r="E494" t="str">
        <f>'Audit Report'!C494</f>
        <v/>
      </c>
      <c r="I494" t="str">
        <f>'Audit Report'!E494</f>
        <v/>
      </c>
      <c r="J494" t="str">
        <f>'Audit Report'!G494</f>
        <v/>
      </c>
      <c r="L494" t="str">
        <f>_xlfn.TEXTJOIN(", ", FALSE, 'Audit Report'!J494,'Audit Report'!K494,'Audit Report'!L494)</f>
        <v xml:space="preserve">, , </v>
      </c>
      <c r="M494" t="str">
        <f>'Audit Report'!M494</f>
        <v/>
      </c>
      <c r="N494" t="str" cm="1">
        <f t="array" ref="N494">IF(M494="","",
_xlfn.TEXTJOIN(", ",TRUE,
    _xlfn.MAP(_xlfn.TEXTSPLIT(M494,","),_xlfn.LAMBDA(_xlpm.x,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4" t="e">
        <f>'Audit Report'!#REF!</f>
        <v>#REF!</v>
      </c>
      <c r="S494" t="str">
        <f>'Audit Report'!N494</f>
        <v/>
      </c>
    </row>
    <row r="495" spans="4:19">
      <c r="D495" t="str">
        <f>'Audit Report'!B495</f>
        <v>ITD-SHRXXX-XX494</v>
      </c>
      <c r="E495" t="str">
        <f>'Audit Report'!C495</f>
        <v/>
      </c>
      <c r="I495" t="str">
        <f>'Audit Report'!E495</f>
        <v/>
      </c>
      <c r="J495" t="str">
        <f>'Audit Report'!G495</f>
        <v/>
      </c>
      <c r="L495" t="str">
        <f>_xlfn.TEXTJOIN(", ", FALSE, 'Audit Report'!J495,'Audit Report'!K495,'Audit Report'!L495)</f>
        <v xml:space="preserve">, , </v>
      </c>
      <c r="M495" t="str">
        <f>'Audit Report'!M495</f>
        <v/>
      </c>
      <c r="N495" t="str" cm="1">
        <f t="array" ref="N495">IF(M495="","",
_xlfn.TEXTJOIN(", ",TRUE,
    _xlfn.MAP(_xlfn.TEXTSPLIT(M495,","),_xlfn.LAMBDA(_xlpm.x,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5" t="e">
        <f>'Audit Report'!#REF!</f>
        <v>#REF!</v>
      </c>
      <c r="S495" t="str">
        <f>'Audit Report'!N495</f>
        <v/>
      </c>
    </row>
    <row r="496" spans="4:19">
      <c r="D496" t="str">
        <f>'Audit Report'!B496</f>
        <v>ITD-SHRXXX-XX495</v>
      </c>
      <c r="E496" t="str">
        <f>'Audit Report'!C496</f>
        <v/>
      </c>
      <c r="I496" t="str">
        <f>'Audit Report'!E496</f>
        <v/>
      </c>
      <c r="J496" t="str">
        <f>'Audit Report'!G496</f>
        <v/>
      </c>
      <c r="L496" t="str">
        <f>_xlfn.TEXTJOIN(", ", FALSE, 'Audit Report'!J496,'Audit Report'!K496,'Audit Report'!L496)</f>
        <v xml:space="preserve">, , </v>
      </c>
      <c r="M496" t="str">
        <f>'Audit Report'!M496</f>
        <v/>
      </c>
      <c r="N496" t="str" cm="1">
        <f t="array" ref="N496">IF(M496="","",
_xlfn.TEXTJOIN(", ",TRUE,
    _xlfn.MAP(_xlfn.TEXTSPLIT(M496,","),_xlfn.LAMBDA(_xlpm.x,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6" t="e">
        <f>'Audit Report'!#REF!</f>
        <v>#REF!</v>
      </c>
      <c r="S496" t="str">
        <f>'Audit Report'!N496</f>
        <v/>
      </c>
    </row>
    <row r="497" spans="4:19">
      <c r="D497" t="str">
        <f>'Audit Report'!B497</f>
        <v>ITD-SHRXXX-XX496</v>
      </c>
      <c r="E497" t="str">
        <f>'Audit Report'!C497</f>
        <v/>
      </c>
      <c r="I497" t="str">
        <f>'Audit Report'!E497</f>
        <v/>
      </c>
      <c r="J497" t="str">
        <f>'Audit Report'!G497</f>
        <v/>
      </c>
      <c r="L497" t="str">
        <f>_xlfn.TEXTJOIN(", ", FALSE, 'Audit Report'!J497,'Audit Report'!K497,'Audit Report'!L497)</f>
        <v xml:space="preserve">, , </v>
      </c>
      <c r="M497" t="str">
        <f>'Audit Report'!M497</f>
        <v/>
      </c>
      <c r="N497" t="str" cm="1">
        <f t="array" ref="N497">IF(M497="","",
_xlfn.TEXTJOIN(", ",TRUE,
    _xlfn.MAP(_xlfn.TEXTSPLIT(M497,","),_xlfn.LAMBDA(_xlpm.x,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7" t="e">
        <f>'Audit Report'!#REF!</f>
        <v>#REF!</v>
      </c>
      <c r="S497" t="str">
        <f>'Audit Report'!N497</f>
        <v/>
      </c>
    </row>
    <row r="498" spans="4:19">
      <c r="D498" t="str">
        <f>'Audit Report'!B498</f>
        <v>ITD-SHRXXX-XX497</v>
      </c>
      <c r="E498" t="str">
        <f>'Audit Report'!C498</f>
        <v/>
      </c>
      <c r="I498" t="str">
        <f>'Audit Report'!E498</f>
        <v/>
      </c>
      <c r="J498" t="str">
        <f>'Audit Report'!G498</f>
        <v/>
      </c>
      <c r="L498" t="str">
        <f>_xlfn.TEXTJOIN(", ", FALSE, 'Audit Report'!J498,'Audit Report'!K498,'Audit Report'!L498)</f>
        <v xml:space="preserve">, , </v>
      </c>
      <c r="M498" t="str">
        <f>'Audit Report'!M498</f>
        <v/>
      </c>
      <c r="N498" t="str" cm="1">
        <f t="array" ref="N498">IF(M498="","",
_xlfn.TEXTJOIN(", ",TRUE,
    _xlfn.MAP(_xlfn.TEXTSPLIT(M498,","),_xlfn.LAMBDA(_xlpm.x,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8" t="e">
        <f>'Audit Report'!#REF!</f>
        <v>#REF!</v>
      </c>
      <c r="S498" t="str">
        <f>'Audit Report'!N498</f>
        <v/>
      </c>
    </row>
    <row r="499" spans="4:19">
      <c r="D499" t="str">
        <f>'Audit Report'!B499</f>
        <v>ITD-SHRXXX-XX498</v>
      </c>
      <c r="E499" t="str">
        <f>'Audit Report'!C499</f>
        <v/>
      </c>
      <c r="I499" t="str">
        <f>'Audit Report'!E499</f>
        <v/>
      </c>
      <c r="J499" t="str">
        <f>'Audit Report'!G499</f>
        <v/>
      </c>
      <c r="L499" t="str">
        <f>_xlfn.TEXTJOIN(", ", FALSE, 'Audit Report'!J499,'Audit Report'!K499,'Audit Report'!L499)</f>
        <v xml:space="preserve">, , </v>
      </c>
      <c r="M499" t="str">
        <f>'Audit Report'!M499</f>
        <v/>
      </c>
      <c r="N499" t="str" cm="1">
        <f t="array" ref="N499">IF(M499="","",
_xlfn.TEXTJOIN(", ",TRUE,
    _xlfn.MAP(_xlfn.TEXTSPLIT(M499,","),_xlfn.LAMBDA(_xlpm.x,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9" t="e">
        <f>'Audit Report'!#REF!</f>
        <v>#REF!</v>
      </c>
      <c r="S499" t="str">
        <f>'Audit Report'!N499</f>
        <v/>
      </c>
    </row>
    <row r="500" spans="4:19">
      <c r="D500" t="str">
        <f>'Audit Report'!B500</f>
        <v>ITD-SHRXXX-XX499</v>
      </c>
      <c r="E500" t="str">
        <f>'Audit Report'!C500</f>
        <v/>
      </c>
      <c r="I500" t="str">
        <f>'Audit Report'!E500</f>
        <v/>
      </c>
      <c r="J500" t="str">
        <f>'Audit Report'!G500</f>
        <v/>
      </c>
      <c r="L500" t="str">
        <f>_xlfn.TEXTJOIN(", ", FALSE, 'Audit Report'!J500,'Audit Report'!K500,'Audit Report'!L500)</f>
        <v xml:space="preserve">, , </v>
      </c>
      <c r="M500" t="str">
        <f>'Audit Report'!M500</f>
        <v/>
      </c>
      <c r="N500" t="str" cm="1">
        <f t="array" ref="N500">IF(M500="","",
_xlfn.TEXTJOIN(", ",TRUE,
    _xlfn.MAP(_xlfn.TEXTSPLIT(M500,","),_xlfn.LAMBDA(_xlpm.x,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0" t="e">
        <f>'Audit Report'!#REF!</f>
        <v>#REF!</v>
      </c>
      <c r="S500" t="str">
        <f>'Audit Report'!N500</f>
        <v/>
      </c>
    </row>
    <row r="501" spans="4:19">
      <c r="D501" t="str">
        <f>'Audit Report'!B501</f>
        <v>ITD-SHRXXX-XX500</v>
      </c>
      <c r="E501" t="str">
        <f>'Audit Report'!C501</f>
        <v/>
      </c>
      <c r="I501" t="str">
        <f>'Audit Report'!E501</f>
        <v/>
      </c>
      <c r="J501" t="str">
        <f>'Audit Report'!G501</f>
        <v/>
      </c>
      <c r="L501" t="str">
        <f>_xlfn.TEXTJOIN(", ", FALSE, 'Audit Report'!J501,'Audit Report'!K501,'Audit Report'!L501)</f>
        <v xml:space="preserve">, , </v>
      </c>
      <c r="M501" t="str">
        <f>'Audit Report'!M501</f>
        <v/>
      </c>
      <c r="N501" t="str" cm="1">
        <f t="array" ref="N501">IF(M501="","",
_xlfn.TEXTJOIN(", ",TRUE,
    _xlfn.MAP(_xlfn.TEXTSPLIT(M501,","),_xlfn.LAMBDA(_xlpm.x,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1" t="e">
        <f>'Audit Report'!#REF!</f>
        <v>#REF!</v>
      </c>
      <c r="S501" t="str">
        <f>'Audit Report'!N501</f>
        <v/>
      </c>
    </row>
    <row r="502" spans="4:19">
      <c r="D502" t="str">
        <f>'Audit Report'!B502</f>
        <v>ITD-SHRXXX-XX501</v>
      </c>
      <c r="E502" t="str">
        <f>'Audit Report'!C502</f>
        <v/>
      </c>
      <c r="I502" t="str">
        <f>'Audit Report'!E502</f>
        <v/>
      </c>
      <c r="J502" t="str">
        <f>'Audit Report'!G502</f>
        <v/>
      </c>
      <c r="L502" t="str">
        <f>_xlfn.TEXTJOIN(", ", FALSE, 'Audit Report'!J502,'Audit Report'!K502,'Audit Report'!L502)</f>
        <v xml:space="preserve">, , </v>
      </c>
      <c r="M502" t="str">
        <f>'Audit Report'!M502</f>
        <v/>
      </c>
      <c r="N502" t="str" cm="1">
        <f t="array" ref="N502">IF(M502="","",
_xlfn.TEXTJOIN(", ",TRUE,
    _xlfn.MAP(_xlfn.TEXTSPLIT(M502,","),_xlfn.LAMBDA(_xlpm.x,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2" t="e">
        <f>'Audit Report'!#REF!</f>
        <v>#REF!</v>
      </c>
      <c r="S502" t="str">
        <f>'Audit Report'!N502</f>
        <v/>
      </c>
    </row>
    <row r="503" spans="4:19">
      <c r="D503" t="str">
        <f>'Audit Report'!B503</f>
        <v>ITD-SHRXXX-XX502</v>
      </c>
      <c r="E503" t="str">
        <f>'Audit Report'!C503</f>
        <v/>
      </c>
      <c r="I503" t="str">
        <f>'Audit Report'!E503</f>
        <v/>
      </c>
      <c r="J503" t="str">
        <f>'Audit Report'!G503</f>
        <v/>
      </c>
      <c r="L503" t="str">
        <f>_xlfn.TEXTJOIN(", ", FALSE, 'Audit Report'!J503,'Audit Report'!K503,'Audit Report'!L503)</f>
        <v xml:space="preserve">, , </v>
      </c>
      <c r="M503" t="str">
        <f>'Audit Report'!M503</f>
        <v/>
      </c>
      <c r="N503" t="str" cm="1">
        <f t="array" ref="N503">IF(M503="","",
_xlfn.TEXTJOIN(", ",TRUE,
    _xlfn.MAP(_xlfn.TEXTSPLIT(M503,","),_xlfn.LAMBDA(_xlpm.x,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3" t="e">
        <f>'Audit Report'!#REF!</f>
        <v>#REF!</v>
      </c>
      <c r="S503" t="str">
        <f>'Audit Report'!N503</f>
        <v/>
      </c>
    </row>
    <row r="504" spans="4:19">
      <c r="D504" t="str">
        <f>'Audit Report'!B504</f>
        <v>ITD-SHRXXX-XX503</v>
      </c>
      <c r="E504" t="str">
        <f>'Audit Report'!C504</f>
        <v/>
      </c>
      <c r="I504" t="str">
        <f>'Audit Report'!E504</f>
        <v/>
      </c>
      <c r="J504" t="str">
        <f>'Audit Report'!G504</f>
        <v/>
      </c>
      <c r="L504" t="str">
        <f>_xlfn.TEXTJOIN(", ", FALSE, 'Audit Report'!J504,'Audit Report'!K504,'Audit Report'!L504)</f>
        <v xml:space="preserve">, , </v>
      </c>
      <c r="M504" t="str">
        <f>'Audit Report'!M504</f>
        <v/>
      </c>
      <c r="N504" t="str" cm="1">
        <f t="array" ref="N504">IF(M504="","",
_xlfn.TEXTJOIN(", ",TRUE,
    _xlfn.MAP(_xlfn.TEXTSPLIT(M504,","),_xlfn.LAMBDA(_xlpm.x,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4" t="e">
        <f>'Audit Report'!#REF!</f>
        <v>#REF!</v>
      </c>
      <c r="S504" t="str">
        <f>'Audit Report'!N504</f>
        <v/>
      </c>
    </row>
    <row r="505" spans="4:19">
      <c r="D505" t="str">
        <f>'Audit Report'!B505</f>
        <v>ITD-SHRXXX-XX504</v>
      </c>
      <c r="E505" t="str">
        <f>'Audit Report'!C505</f>
        <v/>
      </c>
      <c r="I505" t="str">
        <f>'Audit Report'!E505</f>
        <v/>
      </c>
      <c r="J505" t="str">
        <f>'Audit Report'!G505</f>
        <v/>
      </c>
      <c r="L505" t="str">
        <f>_xlfn.TEXTJOIN(", ", FALSE, 'Audit Report'!J505,'Audit Report'!K505,'Audit Report'!L505)</f>
        <v xml:space="preserve">, , </v>
      </c>
      <c r="M505" t="str">
        <f>'Audit Report'!M505</f>
        <v/>
      </c>
      <c r="N505" t="str" cm="1">
        <f t="array" ref="N505">IF(M505="","",
_xlfn.TEXTJOIN(", ",TRUE,
    _xlfn.MAP(_xlfn.TEXTSPLIT(M505,","),_xlfn.LAMBDA(_xlpm.x,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5" t="e">
        <f>'Audit Report'!#REF!</f>
        <v>#REF!</v>
      </c>
      <c r="S505" t="str">
        <f>'Audit Report'!N505</f>
        <v/>
      </c>
    </row>
    <row r="506" spans="4:19">
      <c r="D506" t="str">
        <f>'Audit Report'!B506</f>
        <v>ITD-SHRXXX-XX505</v>
      </c>
      <c r="E506" t="str">
        <f>'Audit Report'!C506</f>
        <v/>
      </c>
      <c r="I506" t="str">
        <f>'Audit Report'!E506</f>
        <v/>
      </c>
      <c r="J506" t="str">
        <f>'Audit Report'!G506</f>
        <v/>
      </c>
      <c r="L506" t="str">
        <f>_xlfn.TEXTJOIN(", ", FALSE, 'Audit Report'!J506,'Audit Report'!K506,'Audit Report'!L506)</f>
        <v xml:space="preserve">, , </v>
      </c>
      <c r="M506" t="str">
        <f>'Audit Report'!M506</f>
        <v/>
      </c>
      <c r="N506" t="str" cm="1">
        <f t="array" ref="N506">IF(M506="","",
_xlfn.TEXTJOIN(", ",TRUE,
    _xlfn.MAP(_xlfn.TEXTSPLIT(M506,","),_xlfn.LAMBDA(_xlpm.x,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6" t="e">
        <f>'Audit Report'!#REF!</f>
        <v>#REF!</v>
      </c>
      <c r="S506" t="str">
        <f>'Audit Report'!N506</f>
        <v/>
      </c>
    </row>
    <row r="507" spans="4:19">
      <c r="D507" t="str">
        <f>'Audit Report'!B507</f>
        <v>ITD-SHRXXX-XX506</v>
      </c>
      <c r="E507" t="str">
        <f>'Audit Report'!C507</f>
        <v/>
      </c>
      <c r="I507" t="str">
        <f>'Audit Report'!E507</f>
        <v/>
      </c>
      <c r="J507" t="str">
        <f>'Audit Report'!G507</f>
        <v/>
      </c>
      <c r="L507" t="str">
        <f>_xlfn.TEXTJOIN(", ", FALSE, 'Audit Report'!J507,'Audit Report'!K507,'Audit Report'!L507)</f>
        <v xml:space="preserve">, , </v>
      </c>
      <c r="M507" t="str">
        <f>'Audit Report'!M507</f>
        <v/>
      </c>
      <c r="N507" t="str" cm="1">
        <f t="array" ref="N507">IF(M507="","",
_xlfn.TEXTJOIN(", ",TRUE,
    _xlfn.MAP(_xlfn.TEXTSPLIT(M507,","),_xlfn.LAMBDA(_xlpm.x,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7" t="e">
        <f>'Audit Report'!#REF!</f>
        <v>#REF!</v>
      </c>
      <c r="S507" t="str">
        <f>'Audit Report'!N507</f>
        <v/>
      </c>
    </row>
    <row r="508" spans="4:19">
      <c r="D508" t="str">
        <f>'Audit Report'!B508</f>
        <v>ITD-SHRXXX-XX507</v>
      </c>
      <c r="E508" t="str">
        <f>'Audit Report'!C508</f>
        <v/>
      </c>
      <c r="I508" t="str">
        <f>'Audit Report'!E508</f>
        <v/>
      </c>
      <c r="J508" t="str">
        <f>'Audit Report'!G508</f>
        <v/>
      </c>
      <c r="L508" t="str">
        <f>_xlfn.TEXTJOIN(", ", FALSE, 'Audit Report'!J508,'Audit Report'!K508,'Audit Report'!L508)</f>
        <v xml:space="preserve">, , </v>
      </c>
      <c r="M508" t="str">
        <f>'Audit Report'!M508</f>
        <v/>
      </c>
      <c r="N508" t="str" cm="1">
        <f t="array" ref="N508">IF(M508="","",
_xlfn.TEXTJOIN(", ",TRUE,
    _xlfn.MAP(_xlfn.TEXTSPLIT(M508,","),_xlfn.LAMBDA(_xlpm.x,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8" t="e">
        <f>'Audit Report'!#REF!</f>
        <v>#REF!</v>
      </c>
      <c r="S508" t="str">
        <f>'Audit Report'!N508</f>
        <v/>
      </c>
    </row>
    <row r="509" spans="4:19">
      <c r="D509" t="str">
        <f>'Audit Report'!B509</f>
        <v>ITD-SHRXXX-XX508</v>
      </c>
      <c r="E509" t="str">
        <f>'Audit Report'!C509</f>
        <v/>
      </c>
      <c r="I509" t="str">
        <f>'Audit Report'!E509</f>
        <v/>
      </c>
      <c r="J509" t="str">
        <f>'Audit Report'!G509</f>
        <v/>
      </c>
      <c r="L509" t="str">
        <f>_xlfn.TEXTJOIN(", ", FALSE, 'Audit Report'!J509,'Audit Report'!K509,'Audit Report'!L509)</f>
        <v xml:space="preserve">, , </v>
      </c>
      <c r="M509" t="str">
        <f>'Audit Report'!M509</f>
        <v/>
      </c>
      <c r="N509" t="str" cm="1">
        <f t="array" ref="N509">IF(M509="","",
_xlfn.TEXTJOIN(", ",TRUE,
    _xlfn.MAP(_xlfn.TEXTSPLIT(M509,","),_xlfn.LAMBDA(_xlpm.x,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9" t="e">
        <f>'Audit Report'!#REF!</f>
        <v>#REF!</v>
      </c>
      <c r="S509" t="str">
        <f>'Audit Report'!N509</f>
        <v/>
      </c>
    </row>
    <row r="510" spans="4:19">
      <c r="D510" t="str">
        <f>'Audit Report'!B510</f>
        <v>ITD-SHRXXX-XX509</v>
      </c>
      <c r="E510" t="str">
        <f>'Audit Report'!C510</f>
        <v/>
      </c>
      <c r="I510" t="str">
        <f>'Audit Report'!E510</f>
        <v/>
      </c>
      <c r="J510" t="str">
        <f>'Audit Report'!G510</f>
        <v/>
      </c>
      <c r="L510" t="str">
        <f>_xlfn.TEXTJOIN(", ", FALSE, 'Audit Report'!J510,'Audit Report'!K510,'Audit Report'!L510)</f>
        <v xml:space="preserve">, , </v>
      </c>
      <c r="M510" t="str">
        <f>'Audit Report'!M510</f>
        <v/>
      </c>
      <c r="N510" t="str" cm="1">
        <f t="array" ref="N510">IF(M510="","",
_xlfn.TEXTJOIN(", ",TRUE,
    _xlfn.MAP(_xlfn.TEXTSPLIT(M510,","),_xlfn.LAMBDA(_xlpm.x,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0" t="e">
        <f>'Audit Report'!#REF!</f>
        <v>#REF!</v>
      </c>
      <c r="S510" t="str">
        <f>'Audit Report'!N510</f>
        <v/>
      </c>
    </row>
    <row r="511" spans="4:19">
      <c r="D511" t="str">
        <f>'Audit Report'!B511</f>
        <v>ITD-SHRXXX-XX510</v>
      </c>
      <c r="E511" t="str">
        <f>'Audit Report'!C511</f>
        <v/>
      </c>
      <c r="I511" t="str">
        <f>'Audit Report'!E511</f>
        <v/>
      </c>
      <c r="J511" t="str">
        <f>'Audit Report'!G511</f>
        <v/>
      </c>
      <c r="L511" t="str">
        <f>_xlfn.TEXTJOIN(", ", FALSE, 'Audit Report'!J511,'Audit Report'!K511,'Audit Report'!L511)</f>
        <v xml:space="preserve">, , </v>
      </c>
      <c r="M511" t="str">
        <f>'Audit Report'!M511</f>
        <v/>
      </c>
      <c r="N511" t="str" cm="1">
        <f t="array" ref="N511">IF(M511="","",
_xlfn.TEXTJOIN(", ",TRUE,
    _xlfn.MAP(_xlfn.TEXTSPLIT(M511,","),_xlfn.LAMBDA(_xlpm.x,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1" t="e">
        <f>'Audit Report'!#REF!</f>
        <v>#REF!</v>
      </c>
      <c r="S511" t="str">
        <f>'Audit Report'!N511</f>
        <v/>
      </c>
    </row>
    <row r="512" spans="4:19">
      <c r="D512" t="str">
        <f>'Audit Report'!B512</f>
        <v>ITD-SHRXXX-XX511</v>
      </c>
      <c r="E512" t="str">
        <f>'Audit Report'!C512</f>
        <v/>
      </c>
      <c r="I512" t="str">
        <f>'Audit Report'!E512</f>
        <v/>
      </c>
      <c r="J512" t="str">
        <f>'Audit Report'!G512</f>
        <v/>
      </c>
      <c r="L512" t="str">
        <f>_xlfn.TEXTJOIN(", ", FALSE, 'Audit Report'!J512,'Audit Report'!K512,'Audit Report'!L512)</f>
        <v xml:space="preserve">, , </v>
      </c>
      <c r="M512" t="str">
        <f>'Audit Report'!M512</f>
        <v/>
      </c>
      <c r="N512" t="str" cm="1">
        <f t="array" ref="N512">IF(M512="","",
_xlfn.TEXTJOIN(", ",TRUE,
    _xlfn.MAP(_xlfn.TEXTSPLIT(M512,","),_xlfn.LAMBDA(_xlpm.x,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2" t="e">
        <f>'Audit Report'!#REF!</f>
        <v>#REF!</v>
      </c>
      <c r="S512" t="str">
        <f>'Audit Report'!N512</f>
        <v/>
      </c>
    </row>
    <row r="513" spans="4:19">
      <c r="D513" t="str">
        <f>'Audit Report'!B513</f>
        <v>ITD-SHRXXX-XX512</v>
      </c>
      <c r="E513" t="str">
        <f>'Audit Report'!C513</f>
        <v/>
      </c>
      <c r="I513" t="str">
        <f>'Audit Report'!E513</f>
        <v/>
      </c>
      <c r="J513" t="str">
        <f>'Audit Report'!G513</f>
        <v/>
      </c>
      <c r="L513" t="str">
        <f>_xlfn.TEXTJOIN(", ", FALSE, 'Audit Report'!J513,'Audit Report'!K513,'Audit Report'!L513)</f>
        <v xml:space="preserve">, , </v>
      </c>
      <c r="M513" t="str">
        <f>'Audit Report'!M513</f>
        <v/>
      </c>
      <c r="N513" t="str" cm="1">
        <f t="array" ref="N513">IF(M513="","",
_xlfn.TEXTJOIN(", ",TRUE,
    _xlfn.MAP(_xlfn.TEXTSPLIT(M513,","),_xlfn.LAMBDA(_xlpm.x,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3" t="e">
        <f>'Audit Report'!#REF!</f>
        <v>#REF!</v>
      </c>
      <c r="S513" t="str">
        <f>'Audit Report'!N513</f>
        <v/>
      </c>
    </row>
    <row r="514" spans="4:19">
      <c r="D514" t="str">
        <f>'Audit Report'!B514</f>
        <v>ITD-SHRXXX-XX513</v>
      </c>
      <c r="E514" t="str">
        <f>'Audit Report'!C514</f>
        <v/>
      </c>
      <c r="I514" t="str">
        <f>'Audit Report'!E514</f>
        <v/>
      </c>
      <c r="J514" t="str">
        <f>'Audit Report'!G514</f>
        <v/>
      </c>
      <c r="L514" t="str">
        <f>_xlfn.TEXTJOIN(", ", FALSE, 'Audit Report'!J514,'Audit Report'!K514,'Audit Report'!L514)</f>
        <v xml:space="preserve">, , </v>
      </c>
      <c r="M514" t="str">
        <f>'Audit Report'!M514</f>
        <v/>
      </c>
      <c r="N514" t="str" cm="1">
        <f t="array" ref="N514">IF(M514="","",
_xlfn.TEXTJOIN(", ",TRUE,
    _xlfn.MAP(_xlfn.TEXTSPLIT(M514,","),_xlfn.LAMBDA(_xlpm.x,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4" t="e">
        <f>'Audit Report'!#REF!</f>
        <v>#REF!</v>
      </c>
      <c r="S514" t="str">
        <f>'Audit Report'!N514</f>
        <v/>
      </c>
    </row>
    <row r="515" spans="4:19">
      <c r="D515" t="str">
        <f>'Audit Report'!B515</f>
        <v>ITD-SHRXXX-XX514</v>
      </c>
      <c r="E515" t="str">
        <f>'Audit Report'!C515</f>
        <v/>
      </c>
      <c r="I515" t="str">
        <f>'Audit Report'!E515</f>
        <v/>
      </c>
      <c r="J515" t="str">
        <f>'Audit Report'!G515</f>
        <v/>
      </c>
      <c r="L515" t="str">
        <f>_xlfn.TEXTJOIN(", ", FALSE, 'Audit Report'!J515,'Audit Report'!K515,'Audit Report'!L515)</f>
        <v xml:space="preserve">, , </v>
      </c>
      <c r="M515" t="str">
        <f>'Audit Report'!M515</f>
        <v/>
      </c>
      <c r="N515" t="str" cm="1">
        <f t="array" ref="N515">IF(M515="","",
_xlfn.TEXTJOIN(", ",TRUE,
    _xlfn.MAP(_xlfn.TEXTSPLIT(M515,","),_xlfn.LAMBDA(_xlpm.x,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5" t="e">
        <f>'Audit Report'!#REF!</f>
        <v>#REF!</v>
      </c>
      <c r="S515" t="str">
        <f>'Audit Report'!N515</f>
        <v/>
      </c>
    </row>
    <row r="516" spans="4:19">
      <c r="D516" t="str">
        <f>'Audit Report'!B516</f>
        <v>ITD-SHRXXX-XX515</v>
      </c>
      <c r="E516" t="str">
        <f>'Audit Report'!C516</f>
        <v/>
      </c>
      <c r="I516" t="str">
        <f>'Audit Report'!E516</f>
        <v/>
      </c>
      <c r="J516" t="str">
        <f>'Audit Report'!G516</f>
        <v/>
      </c>
      <c r="L516" t="str">
        <f>_xlfn.TEXTJOIN(", ", FALSE, 'Audit Report'!J516,'Audit Report'!K516,'Audit Report'!L516)</f>
        <v xml:space="preserve">, , </v>
      </c>
      <c r="M516" t="str">
        <f>'Audit Report'!M516</f>
        <v/>
      </c>
      <c r="N516" t="str" cm="1">
        <f t="array" ref="N516">IF(M516="","",
_xlfn.TEXTJOIN(", ",TRUE,
    _xlfn.MAP(_xlfn.TEXTSPLIT(M516,","),_xlfn.LAMBDA(_xlpm.x,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6" t="e">
        <f>'Audit Report'!#REF!</f>
        <v>#REF!</v>
      </c>
      <c r="S516" t="str">
        <f>'Audit Report'!N516</f>
        <v/>
      </c>
    </row>
    <row r="517" spans="4:19">
      <c r="D517" t="str">
        <f>'Audit Report'!B517</f>
        <v>ITD-SHRXXX-XX516</v>
      </c>
      <c r="E517" t="str">
        <f>'Audit Report'!C517</f>
        <v/>
      </c>
      <c r="I517" t="str">
        <f>'Audit Report'!E517</f>
        <v/>
      </c>
      <c r="J517" t="str">
        <f>'Audit Report'!G517</f>
        <v/>
      </c>
      <c r="L517" t="str">
        <f>_xlfn.TEXTJOIN(", ", FALSE, 'Audit Report'!J517,'Audit Report'!K517,'Audit Report'!L517)</f>
        <v xml:space="preserve">, , </v>
      </c>
      <c r="M517" t="str">
        <f>'Audit Report'!M517</f>
        <v/>
      </c>
      <c r="N517" t="str" cm="1">
        <f t="array" ref="N517">IF(M517="","",
_xlfn.TEXTJOIN(", ",TRUE,
    _xlfn.MAP(_xlfn.TEXTSPLIT(M517,","),_xlfn.LAMBDA(_xlpm.x,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7" t="e">
        <f>'Audit Report'!#REF!</f>
        <v>#REF!</v>
      </c>
      <c r="S517" t="str">
        <f>'Audit Report'!N517</f>
        <v/>
      </c>
    </row>
    <row r="518" spans="4:19">
      <c r="D518" t="str">
        <f>'Audit Report'!B518</f>
        <v>ITD-SHRXXX-XX517</v>
      </c>
      <c r="E518" t="str">
        <f>'Audit Report'!C518</f>
        <v/>
      </c>
      <c r="I518" t="str">
        <f>'Audit Report'!E518</f>
        <v/>
      </c>
      <c r="J518" t="str">
        <f>'Audit Report'!G518</f>
        <v/>
      </c>
      <c r="L518" t="str">
        <f>_xlfn.TEXTJOIN(", ", FALSE, 'Audit Report'!J518,'Audit Report'!K518,'Audit Report'!L518)</f>
        <v xml:space="preserve">, , </v>
      </c>
      <c r="M518" t="str">
        <f>'Audit Report'!M518</f>
        <v/>
      </c>
      <c r="N518" t="str" cm="1">
        <f t="array" ref="N518">IF(M518="","",
_xlfn.TEXTJOIN(", ",TRUE,
    _xlfn.MAP(_xlfn.TEXTSPLIT(M518,","),_xlfn.LAMBDA(_xlpm.x,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8" t="e">
        <f>'Audit Report'!#REF!</f>
        <v>#REF!</v>
      </c>
      <c r="S518" t="str">
        <f>'Audit Report'!N518</f>
        <v/>
      </c>
    </row>
    <row r="519" spans="4:19">
      <c r="D519" t="str">
        <f>'Audit Report'!B519</f>
        <v>ITD-SHRXXX-XX518</v>
      </c>
      <c r="E519" t="str">
        <f>'Audit Report'!C519</f>
        <v/>
      </c>
      <c r="I519" t="str">
        <f>'Audit Report'!E519</f>
        <v/>
      </c>
      <c r="J519" t="str">
        <f>'Audit Report'!G519</f>
        <v/>
      </c>
      <c r="L519" t="str">
        <f>_xlfn.TEXTJOIN(", ", FALSE, 'Audit Report'!J519,'Audit Report'!K519,'Audit Report'!L519)</f>
        <v xml:space="preserve">, , </v>
      </c>
      <c r="M519" t="str">
        <f>'Audit Report'!M519</f>
        <v/>
      </c>
      <c r="N519" t="str" cm="1">
        <f t="array" ref="N519">IF(M519="","",
_xlfn.TEXTJOIN(", ",TRUE,
    _xlfn.MAP(_xlfn.TEXTSPLIT(M519,","),_xlfn.LAMBDA(_xlpm.x,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9" t="e">
        <f>'Audit Report'!#REF!</f>
        <v>#REF!</v>
      </c>
      <c r="S519" t="str">
        <f>'Audit Report'!N519</f>
        <v/>
      </c>
    </row>
    <row r="520" spans="4:19">
      <c r="D520" t="str">
        <f>'Audit Report'!B520</f>
        <v>ITD-SHRXXX-XX519</v>
      </c>
      <c r="E520" t="str">
        <f>'Audit Report'!C520</f>
        <v/>
      </c>
      <c r="I520" t="str">
        <f>'Audit Report'!E520</f>
        <v/>
      </c>
      <c r="J520" t="str">
        <f>'Audit Report'!G520</f>
        <v/>
      </c>
      <c r="L520" t="str">
        <f>_xlfn.TEXTJOIN(", ", FALSE, 'Audit Report'!J520,'Audit Report'!K520,'Audit Report'!L520)</f>
        <v xml:space="preserve">, , </v>
      </c>
      <c r="M520" t="str">
        <f>'Audit Report'!M520</f>
        <v/>
      </c>
      <c r="N520" t="str" cm="1">
        <f t="array" ref="N520">IF(M520="","",
_xlfn.TEXTJOIN(", ",TRUE,
    _xlfn.MAP(_xlfn.TEXTSPLIT(M520,","),_xlfn.LAMBDA(_xlpm.x,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0" t="e">
        <f>'Audit Report'!#REF!</f>
        <v>#REF!</v>
      </c>
      <c r="S520" t="str">
        <f>'Audit Report'!N520</f>
        <v/>
      </c>
    </row>
    <row r="521" spans="4:19">
      <c r="D521" t="str">
        <f>'Audit Report'!B521</f>
        <v>ITD-SHRXXX-XX520</v>
      </c>
      <c r="E521" t="str">
        <f>'Audit Report'!C521</f>
        <v/>
      </c>
      <c r="I521" t="str">
        <f>'Audit Report'!E521</f>
        <v/>
      </c>
      <c r="J521" t="str">
        <f>'Audit Report'!G521</f>
        <v/>
      </c>
      <c r="L521" t="str">
        <f>_xlfn.TEXTJOIN(", ", FALSE, 'Audit Report'!J521,'Audit Report'!K521,'Audit Report'!L521)</f>
        <v xml:space="preserve">, , </v>
      </c>
      <c r="M521" t="str">
        <f>'Audit Report'!M521</f>
        <v/>
      </c>
      <c r="N521" t="str" cm="1">
        <f t="array" ref="N521">IF(M521="","",
_xlfn.TEXTJOIN(", ",TRUE,
    _xlfn.MAP(_xlfn.TEXTSPLIT(M521,","),_xlfn.LAMBDA(_xlpm.x,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1" t="e">
        <f>'Audit Report'!#REF!</f>
        <v>#REF!</v>
      </c>
      <c r="S521" t="str">
        <f>'Audit Report'!N521</f>
        <v/>
      </c>
    </row>
    <row r="522" spans="4:19">
      <c r="D522" t="str">
        <f>'Audit Report'!B522</f>
        <v>ITD-SHRXXX-XX521</v>
      </c>
      <c r="E522" t="str">
        <f>'Audit Report'!C522</f>
        <v/>
      </c>
      <c r="I522" t="str">
        <f>'Audit Report'!E522</f>
        <v/>
      </c>
      <c r="J522" t="str">
        <f>'Audit Report'!G522</f>
        <v/>
      </c>
      <c r="L522" t="str">
        <f>_xlfn.TEXTJOIN(", ", FALSE, 'Audit Report'!J522,'Audit Report'!K522,'Audit Report'!L522)</f>
        <v xml:space="preserve">, , </v>
      </c>
      <c r="M522" t="str">
        <f>'Audit Report'!M522</f>
        <v/>
      </c>
      <c r="N522" t="str" cm="1">
        <f t="array" ref="N522">IF(M522="","",
_xlfn.TEXTJOIN(", ",TRUE,
    _xlfn.MAP(_xlfn.TEXTSPLIT(M522,","),_xlfn.LAMBDA(_xlpm.x,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2" t="e">
        <f>'Audit Report'!#REF!</f>
        <v>#REF!</v>
      </c>
      <c r="S522" t="str">
        <f>'Audit Report'!N522</f>
        <v/>
      </c>
    </row>
    <row r="523" spans="4:19">
      <c r="D523" t="str">
        <f>'Audit Report'!B523</f>
        <v>ITD-SHRXXX-XX522</v>
      </c>
      <c r="E523" t="str">
        <f>'Audit Report'!C523</f>
        <v/>
      </c>
      <c r="I523" t="str">
        <f>'Audit Report'!E523</f>
        <v/>
      </c>
      <c r="J523" t="str">
        <f>'Audit Report'!G523</f>
        <v/>
      </c>
      <c r="L523" t="str">
        <f>_xlfn.TEXTJOIN(", ", FALSE, 'Audit Report'!J523,'Audit Report'!K523,'Audit Report'!L523)</f>
        <v xml:space="preserve">, , </v>
      </c>
      <c r="M523" t="str">
        <f>'Audit Report'!M523</f>
        <v/>
      </c>
      <c r="N523" t="str" cm="1">
        <f t="array" ref="N523">IF(M523="","",
_xlfn.TEXTJOIN(", ",TRUE,
    _xlfn.MAP(_xlfn.TEXTSPLIT(M523,","),_xlfn.LAMBDA(_xlpm.x,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3" t="e">
        <f>'Audit Report'!#REF!</f>
        <v>#REF!</v>
      </c>
      <c r="S523" t="str">
        <f>'Audit Report'!N523</f>
        <v/>
      </c>
    </row>
    <row r="524" spans="4:19">
      <c r="D524" t="str">
        <f>'Audit Report'!B524</f>
        <v>ITD-SHRXXX-XX523</v>
      </c>
      <c r="E524" t="str">
        <f>'Audit Report'!C524</f>
        <v/>
      </c>
      <c r="I524" t="str">
        <f>'Audit Report'!E524</f>
        <v/>
      </c>
      <c r="J524" t="str">
        <f>'Audit Report'!G524</f>
        <v/>
      </c>
      <c r="L524" t="str">
        <f>_xlfn.TEXTJOIN(", ", FALSE, 'Audit Report'!J524,'Audit Report'!K524,'Audit Report'!L524)</f>
        <v xml:space="preserve">, , </v>
      </c>
      <c r="M524" t="str">
        <f>'Audit Report'!M524</f>
        <v/>
      </c>
      <c r="N524" t="str" cm="1">
        <f t="array" ref="N524">IF(M524="","",
_xlfn.TEXTJOIN(", ",TRUE,
    _xlfn.MAP(_xlfn.TEXTSPLIT(M524,","),_xlfn.LAMBDA(_xlpm.x,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4" t="e">
        <f>'Audit Report'!#REF!</f>
        <v>#REF!</v>
      </c>
      <c r="S524" t="str">
        <f>'Audit Report'!N524</f>
        <v/>
      </c>
    </row>
    <row r="525" spans="4:19">
      <c r="D525" t="str">
        <f>'Audit Report'!B525</f>
        <v>ITD-SHRXXX-XX524</v>
      </c>
      <c r="E525" t="str">
        <f>'Audit Report'!C525</f>
        <v/>
      </c>
      <c r="I525" t="str">
        <f>'Audit Report'!E525</f>
        <v/>
      </c>
      <c r="J525" t="str">
        <f>'Audit Report'!G525</f>
        <v/>
      </c>
      <c r="L525" t="str">
        <f>_xlfn.TEXTJOIN(", ", FALSE, 'Audit Report'!J525,'Audit Report'!K525,'Audit Report'!L525)</f>
        <v xml:space="preserve">, , </v>
      </c>
      <c r="M525" t="str">
        <f>'Audit Report'!M525</f>
        <v/>
      </c>
      <c r="N525" t="str" cm="1">
        <f t="array" ref="N525">IF(M525="","",
_xlfn.TEXTJOIN(", ",TRUE,
    _xlfn.MAP(_xlfn.TEXTSPLIT(M525,","),_xlfn.LAMBDA(_xlpm.x,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5" t="e">
        <f>'Audit Report'!#REF!</f>
        <v>#REF!</v>
      </c>
      <c r="S525" t="str">
        <f>'Audit Report'!N525</f>
        <v/>
      </c>
    </row>
    <row r="526" spans="4:19">
      <c r="D526" t="str">
        <f>'Audit Report'!B526</f>
        <v>ITD-SHRXXX-XX525</v>
      </c>
      <c r="E526" t="str">
        <f>'Audit Report'!C526</f>
        <v/>
      </c>
      <c r="I526" t="str">
        <f>'Audit Report'!E526</f>
        <v/>
      </c>
      <c r="J526" t="str">
        <f>'Audit Report'!G526</f>
        <v/>
      </c>
      <c r="L526" t="str">
        <f>_xlfn.TEXTJOIN(", ", FALSE, 'Audit Report'!J526,'Audit Report'!K526,'Audit Report'!L526)</f>
        <v xml:space="preserve">, , </v>
      </c>
      <c r="M526" t="str">
        <f>'Audit Report'!M526</f>
        <v/>
      </c>
      <c r="N526" t="str" cm="1">
        <f t="array" ref="N526">IF(M526="","",
_xlfn.TEXTJOIN(", ",TRUE,
    _xlfn.MAP(_xlfn.TEXTSPLIT(M526,","),_xlfn.LAMBDA(_xlpm.x,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6" t="e">
        <f>'Audit Report'!#REF!</f>
        <v>#REF!</v>
      </c>
      <c r="S526" t="str">
        <f>'Audit Report'!N526</f>
        <v/>
      </c>
    </row>
    <row r="527" spans="4:19">
      <c r="D527" t="str">
        <f>'Audit Report'!B527</f>
        <v>ITD-SHRXXX-XX526</v>
      </c>
      <c r="E527" t="str">
        <f>'Audit Report'!C527</f>
        <v/>
      </c>
      <c r="I527" t="str">
        <f>'Audit Report'!E527</f>
        <v/>
      </c>
      <c r="J527" t="str">
        <f>'Audit Report'!G527</f>
        <v/>
      </c>
      <c r="L527" t="str">
        <f>_xlfn.TEXTJOIN(", ", FALSE, 'Audit Report'!J527,'Audit Report'!K527,'Audit Report'!L527)</f>
        <v xml:space="preserve">, , </v>
      </c>
      <c r="M527" t="str">
        <f>'Audit Report'!M527</f>
        <v/>
      </c>
      <c r="N527" t="str" cm="1">
        <f t="array" ref="N527">IF(M527="","",
_xlfn.TEXTJOIN(", ",TRUE,
    _xlfn.MAP(_xlfn.TEXTSPLIT(M527,","),_xlfn.LAMBDA(_xlpm.x,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7" t="e">
        <f>'Audit Report'!#REF!</f>
        <v>#REF!</v>
      </c>
      <c r="S527" t="str">
        <f>'Audit Report'!N527</f>
        <v/>
      </c>
    </row>
    <row r="528" spans="4:19">
      <c r="D528" t="str">
        <f>'Audit Report'!B528</f>
        <v>ITD-SHRXXX-XX527</v>
      </c>
      <c r="E528" t="str">
        <f>'Audit Report'!C528</f>
        <v/>
      </c>
      <c r="I528" t="str">
        <f>'Audit Report'!E528</f>
        <v/>
      </c>
      <c r="J528" t="str">
        <f>'Audit Report'!G528</f>
        <v/>
      </c>
      <c r="L528" t="str">
        <f>_xlfn.TEXTJOIN(", ", FALSE, 'Audit Report'!J528,'Audit Report'!K528,'Audit Report'!L528)</f>
        <v xml:space="preserve">, , </v>
      </c>
      <c r="M528" t="str">
        <f>'Audit Report'!M528</f>
        <v/>
      </c>
      <c r="N528" t="str" cm="1">
        <f t="array" ref="N528">IF(M528="","",
_xlfn.TEXTJOIN(", ",TRUE,
    _xlfn.MAP(_xlfn.TEXTSPLIT(M528,","),_xlfn.LAMBDA(_xlpm.x,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8" t="e">
        <f>'Audit Report'!#REF!</f>
        <v>#REF!</v>
      </c>
      <c r="S528" t="str">
        <f>'Audit Report'!N528</f>
        <v/>
      </c>
    </row>
    <row r="529" spans="4:19">
      <c r="D529" t="str">
        <f>'Audit Report'!B529</f>
        <v>ITD-SHRXXX-XX528</v>
      </c>
      <c r="E529" t="str">
        <f>'Audit Report'!C529</f>
        <v/>
      </c>
      <c r="I529" t="str">
        <f>'Audit Report'!E529</f>
        <v/>
      </c>
      <c r="J529" t="str">
        <f>'Audit Report'!G529</f>
        <v/>
      </c>
      <c r="L529" t="str">
        <f>_xlfn.TEXTJOIN(", ", FALSE, 'Audit Report'!J529,'Audit Report'!K529,'Audit Report'!L529)</f>
        <v xml:space="preserve">, , </v>
      </c>
      <c r="M529" t="str">
        <f>'Audit Report'!M529</f>
        <v/>
      </c>
      <c r="N529" t="str" cm="1">
        <f t="array" ref="N529">IF(M529="","",
_xlfn.TEXTJOIN(", ",TRUE,
    _xlfn.MAP(_xlfn.TEXTSPLIT(M529,","),_xlfn.LAMBDA(_xlpm.x,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9" t="e">
        <f>'Audit Report'!#REF!</f>
        <v>#REF!</v>
      </c>
      <c r="S529" t="str">
        <f>'Audit Report'!N529</f>
        <v/>
      </c>
    </row>
    <row r="530" spans="4:19">
      <c r="D530" t="str">
        <f>'Audit Report'!B530</f>
        <v>ITD-SHRXXX-XX529</v>
      </c>
      <c r="E530" t="str">
        <f>'Audit Report'!C530</f>
        <v/>
      </c>
      <c r="I530" t="str">
        <f>'Audit Report'!E530</f>
        <v/>
      </c>
      <c r="J530" t="str">
        <f>'Audit Report'!G530</f>
        <v/>
      </c>
      <c r="L530" t="str">
        <f>_xlfn.TEXTJOIN(", ", FALSE, 'Audit Report'!J530,'Audit Report'!K530,'Audit Report'!L530)</f>
        <v xml:space="preserve">, , </v>
      </c>
      <c r="M530" t="str">
        <f>'Audit Report'!M530</f>
        <v/>
      </c>
      <c r="N530" t="str" cm="1">
        <f t="array" ref="N530">IF(M530="","",
_xlfn.TEXTJOIN(", ",TRUE,
    _xlfn.MAP(_xlfn.TEXTSPLIT(M530,","),_xlfn.LAMBDA(_xlpm.x,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0" t="e">
        <f>'Audit Report'!#REF!</f>
        <v>#REF!</v>
      </c>
      <c r="S530" t="str">
        <f>'Audit Report'!N530</f>
        <v/>
      </c>
    </row>
    <row r="531" spans="4:19">
      <c r="D531" t="str">
        <f>'Audit Report'!B531</f>
        <v>ITD-SHRXXX-XX530</v>
      </c>
      <c r="E531" t="str">
        <f>'Audit Report'!C531</f>
        <v/>
      </c>
      <c r="I531" t="str">
        <f>'Audit Report'!E531</f>
        <v/>
      </c>
      <c r="J531" t="str">
        <f>'Audit Report'!G531</f>
        <v/>
      </c>
      <c r="L531" t="str">
        <f>_xlfn.TEXTJOIN(", ", FALSE, 'Audit Report'!J531,'Audit Report'!K531,'Audit Report'!L531)</f>
        <v xml:space="preserve">, , </v>
      </c>
      <c r="M531" t="str">
        <f>'Audit Report'!M531</f>
        <v/>
      </c>
      <c r="N531" t="str" cm="1">
        <f t="array" ref="N531">IF(M531="","",
_xlfn.TEXTJOIN(", ",TRUE,
    _xlfn.MAP(_xlfn.TEXTSPLIT(M531,","),_xlfn.LAMBDA(_xlpm.x,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1" t="e">
        <f>'Audit Report'!#REF!</f>
        <v>#REF!</v>
      </c>
      <c r="S531" t="str">
        <f>'Audit Report'!N531</f>
        <v/>
      </c>
    </row>
    <row r="532" spans="4:19">
      <c r="D532" t="str">
        <f>'Audit Report'!B532</f>
        <v>ITD-SHRXXX-XX531</v>
      </c>
      <c r="E532" t="str">
        <f>'Audit Report'!C532</f>
        <v/>
      </c>
      <c r="I532" t="str">
        <f>'Audit Report'!E532</f>
        <v/>
      </c>
      <c r="J532" t="str">
        <f>'Audit Report'!G532</f>
        <v/>
      </c>
      <c r="L532" t="str">
        <f>_xlfn.TEXTJOIN(", ", FALSE, 'Audit Report'!J532,'Audit Report'!K532,'Audit Report'!L532)</f>
        <v xml:space="preserve">, , </v>
      </c>
      <c r="M532" t="str">
        <f>'Audit Report'!M532</f>
        <v/>
      </c>
      <c r="N532" t="str" cm="1">
        <f t="array" ref="N532">IF(M532="","",
_xlfn.TEXTJOIN(", ",TRUE,
    _xlfn.MAP(_xlfn.TEXTSPLIT(M532,","),_xlfn.LAMBDA(_xlpm.x,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2" t="e">
        <f>'Audit Report'!#REF!</f>
        <v>#REF!</v>
      </c>
      <c r="S532" t="str">
        <f>'Audit Report'!N532</f>
        <v/>
      </c>
    </row>
    <row r="533" spans="4:19">
      <c r="D533" t="str">
        <f>'Audit Report'!B533</f>
        <v>ITD-SHRXXX-XX532</v>
      </c>
      <c r="E533" t="str">
        <f>'Audit Report'!C533</f>
        <v/>
      </c>
      <c r="I533" t="str">
        <f>'Audit Report'!E533</f>
        <v/>
      </c>
      <c r="J533" t="str">
        <f>'Audit Report'!G533</f>
        <v/>
      </c>
      <c r="L533" t="str">
        <f>_xlfn.TEXTJOIN(", ", FALSE, 'Audit Report'!J533,'Audit Report'!K533,'Audit Report'!L533)</f>
        <v xml:space="preserve">, , </v>
      </c>
      <c r="M533" t="str">
        <f>'Audit Report'!M533</f>
        <v/>
      </c>
      <c r="N533" t="str" cm="1">
        <f t="array" ref="N533">IF(M533="","",
_xlfn.TEXTJOIN(", ",TRUE,
    _xlfn.MAP(_xlfn.TEXTSPLIT(M533,","),_xlfn.LAMBDA(_xlpm.x,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3" t="e">
        <f>'Audit Report'!#REF!</f>
        <v>#REF!</v>
      </c>
      <c r="S533" t="str">
        <f>'Audit Report'!N533</f>
        <v/>
      </c>
    </row>
    <row r="534" spans="4:19">
      <c r="D534" t="str">
        <f>'Audit Report'!B534</f>
        <v>ITD-SHRXXX-XX533</v>
      </c>
      <c r="E534" t="str">
        <f>'Audit Report'!C534</f>
        <v/>
      </c>
      <c r="I534" t="str">
        <f>'Audit Report'!E534</f>
        <v/>
      </c>
      <c r="J534" t="str">
        <f>'Audit Report'!G534</f>
        <v/>
      </c>
      <c r="L534" t="str">
        <f>_xlfn.TEXTJOIN(", ", FALSE, 'Audit Report'!J534,'Audit Report'!K534,'Audit Report'!L534)</f>
        <v xml:space="preserve">, , </v>
      </c>
      <c r="M534" t="str">
        <f>'Audit Report'!M534</f>
        <v/>
      </c>
      <c r="N534" t="str" cm="1">
        <f t="array" ref="N534">IF(M534="","",
_xlfn.TEXTJOIN(", ",TRUE,
    _xlfn.MAP(_xlfn.TEXTSPLIT(M534,","),_xlfn.LAMBDA(_xlpm.x,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4" t="e">
        <f>'Audit Report'!#REF!</f>
        <v>#REF!</v>
      </c>
      <c r="S534" t="str">
        <f>'Audit Report'!N534</f>
        <v/>
      </c>
    </row>
    <row r="535" spans="4:19">
      <c r="D535" t="str">
        <f>'Audit Report'!B535</f>
        <v>ITD-SHRXXX-XX534</v>
      </c>
      <c r="E535" t="str">
        <f>'Audit Report'!C535</f>
        <v/>
      </c>
      <c r="I535" t="str">
        <f>'Audit Report'!E535</f>
        <v/>
      </c>
      <c r="J535" t="str">
        <f>'Audit Report'!G535</f>
        <v/>
      </c>
      <c r="L535" t="str">
        <f>_xlfn.TEXTJOIN(", ", FALSE, 'Audit Report'!J535,'Audit Report'!K535,'Audit Report'!L535)</f>
        <v xml:space="preserve">, , </v>
      </c>
      <c r="M535" t="str">
        <f>'Audit Report'!M535</f>
        <v/>
      </c>
      <c r="N535" t="str" cm="1">
        <f t="array" ref="N535">IF(M535="","",
_xlfn.TEXTJOIN(", ",TRUE,
    _xlfn.MAP(_xlfn.TEXTSPLIT(M535,","),_xlfn.LAMBDA(_xlpm.x,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5" t="e">
        <f>'Audit Report'!#REF!</f>
        <v>#REF!</v>
      </c>
      <c r="S535" t="str">
        <f>'Audit Report'!N535</f>
        <v/>
      </c>
    </row>
    <row r="536" spans="4:19">
      <c r="D536" t="str">
        <f>'Audit Report'!B536</f>
        <v>ITD-SHRXXX-XX535</v>
      </c>
      <c r="E536" t="str">
        <f>'Audit Report'!C536</f>
        <v/>
      </c>
      <c r="I536" t="str">
        <f>'Audit Report'!E536</f>
        <v/>
      </c>
      <c r="J536" t="str">
        <f>'Audit Report'!G536</f>
        <v/>
      </c>
      <c r="L536" t="str">
        <f>_xlfn.TEXTJOIN(", ", FALSE, 'Audit Report'!J536,'Audit Report'!K536,'Audit Report'!L536)</f>
        <v xml:space="preserve">, , </v>
      </c>
      <c r="M536" t="str">
        <f>'Audit Report'!M536</f>
        <v/>
      </c>
      <c r="N536" t="str" cm="1">
        <f t="array" ref="N536">IF(M536="","",
_xlfn.TEXTJOIN(", ",TRUE,
    _xlfn.MAP(_xlfn.TEXTSPLIT(M536,","),_xlfn.LAMBDA(_xlpm.x,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6" t="e">
        <f>'Audit Report'!#REF!</f>
        <v>#REF!</v>
      </c>
      <c r="S536" t="str">
        <f>'Audit Report'!N536</f>
        <v/>
      </c>
    </row>
    <row r="537" spans="4:19">
      <c r="D537" t="str">
        <f>'Audit Report'!B537</f>
        <v>ITD-SHRXXX-XX536</v>
      </c>
      <c r="E537" t="str">
        <f>'Audit Report'!C537</f>
        <v/>
      </c>
      <c r="I537" t="str">
        <f>'Audit Report'!E537</f>
        <v/>
      </c>
      <c r="J537" t="str">
        <f>'Audit Report'!G537</f>
        <v/>
      </c>
      <c r="L537" t="str">
        <f>_xlfn.TEXTJOIN(", ", FALSE, 'Audit Report'!J537,'Audit Report'!K537,'Audit Report'!L537)</f>
        <v xml:space="preserve">, , </v>
      </c>
      <c r="M537" t="str">
        <f>'Audit Report'!M537</f>
        <v/>
      </c>
      <c r="N537" t="str" cm="1">
        <f t="array" ref="N537">IF(M537="","",
_xlfn.TEXTJOIN(", ",TRUE,
    _xlfn.MAP(_xlfn.TEXTSPLIT(M537,","),_xlfn.LAMBDA(_xlpm.x,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7" t="e">
        <f>'Audit Report'!#REF!</f>
        <v>#REF!</v>
      </c>
      <c r="S537" t="str">
        <f>'Audit Report'!N537</f>
        <v/>
      </c>
    </row>
    <row r="538" spans="4:19">
      <c r="D538" t="str">
        <f>'Audit Report'!B538</f>
        <v>ITD-SHRXXX-XX537</v>
      </c>
      <c r="E538" t="str">
        <f>'Audit Report'!C538</f>
        <v/>
      </c>
      <c r="I538" t="str">
        <f>'Audit Report'!E538</f>
        <v/>
      </c>
      <c r="J538" t="str">
        <f>'Audit Report'!G538</f>
        <v/>
      </c>
      <c r="L538" t="str">
        <f>_xlfn.TEXTJOIN(", ", FALSE, 'Audit Report'!J538,'Audit Report'!K538,'Audit Report'!L538)</f>
        <v xml:space="preserve">, , </v>
      </c>
      <c r="M538" t="str">
        <f>'Audit Report'!M538</f>
        <v/>
      </c>
      <c r="N538" t="str" cm="1">
        <f t="array" ref="N538">IF(M538="","",
_xlfn.TEXTJOIN(", ",TRUE,
    _xlfn.MAP(_xlfn.TEXTSPLIT(M538,","),_xlfn.LAMBDA(_xlpm.x,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8" t="e">
        <f>'Audit Report'!#REF!</f>
        <v>#REF!</v>
      </c>
      <c r="S538" t="str">
        <f>'Audit Report'!N538</f>
        <v/>
      </c>
    </row>
    <row r="539" spans="4:19">
      <c r="D539" t="str">
        <f>'Audit Report'!B539</f>
        <v>ITD-SHRXXX-XX538</v>
      </c>
      <c r="E539" t="str">
        <f>'Audit Report'!C539</f>
        <v/>
      </c>
      <c r="I539" t="str">
        <f>'Audit Report'!E539</f>
        <v/>
      </c>
      <c r="J539" t="str">
        <f>'Audit Report'!G539</f>
        <v/>
      </c>
      <c r="L539" t="str">
        <f>_xlfn.TEXTJOIN(", ", FALSE, 'Audit Report'!J539,'Audit Report'!K539,'Audit Report'!L539)</f>
        <v xml:space="preserve">, , </v>
      </c>
      <c r="M539" t="str">
        <f>'Audit Report'!M539</f>
        <v/>
      </c>
      <c r="N539" t="str" cm="1">
        <f t="array" ref="N539">IF(M539="","",
_xlfn.TEXTJOIN(", ",TRUE,
    _xlfn.MAP(_xlfn.TEXTSPLIT(M539,","),_xlfn.LAMBDA(_xlpm.x,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9" t="e">
        <f>'Audit Report'!#REF!</f>
        <v>#REF!</v>
      </c>
      <c r="S539" t="str">
        <f>'Audit Report'!N539</f>
        <v/>
      </c>
    </row>
    <row r="540" spans="4:19">
      <c r="D540" t="str">
        <f>'Audit Report'!B540</f>
        <v>ITD-SHRXXX-XX539</v>
      </c>
      <c r="E540" t="str">
        <f>'Audit Report'!C540</f>
        <v/>
      </c>
      <c r="I540" t="str">
        <f>'Audit Report'!E540</f>
        <v/>
      </c>
      <c r="J540" t="str">
        <f>'Audit Report'!G540</f>
        <v/>
      </c>
      <c r="L540" t="str">
        <f>_xlfn.TEXTJOIN(", ", FALSE, 'Audit Report'!J540,'Audit Report'!K540,'Audit Report'!L540)</f>
        <v xml:space="preserve">, , </v>
      </c>
      <c r="M540" t="str">
        <f>'Audit Report'!M540</f>
        <v/>
      </c>
      <c r="N540" t="str" cm="1">
        <f t="array" ref="N540">IF(M540="","",
_xlfn.TEXTJOIN(", ",TRUE,
    _xlfn.MAP(_xlfn.TEXTSPLIT(M540,","),_xlfn.LAMBDA(_xlpm.x,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0" t="e">
        <f>'Audit Report'!#REF!</f>
        <v>#REF!</v>
      </c>
      <c r="S540" t="str">
        <f>'Audit Report'!N540</f>
        <v/>
      </c>
    </row>
    <row r="541" spans="4:19">
      <c r="D541" t="str">
        <f>'Audit Report'!B541</f>
        <v>ITD-SHRXXX-XX540</v>
      </c>
      <c r="E541" t="str">
        <f>'Audit Report'!C541</f>
        <v/>
      </c>
      <c r="I541" t="str">
        <f>'Audit Report'!E541</f>
        <v/>
      </c>
      <c r="J541" t="str">
        <f>'Audit Report'!G541</f>
        <v/>
      </c>
      <c r="L541" t="str">
        <f>_xlfn.TEXTJOIN(", ", FALSE, 'Audit Report'!J541,'Audit Report'!K541,'Audit Report'!L541)</f>
        <v xml:space="preserve">, , </v>
      </c>
      <c r="M541" t="str">
        <f>'Audit Report'!M541</f>
        <v/>
      </c>
      <c r="N541" t="str" cm="1">
        <f t="array" ref="N541">IF(M541="","",
_xlfn.TEXTJOIN(", ",TRUE,
    _xlfn.MAP(_xlfn.TEXTSPLIT(M541,","),_xlfn.LAMBDA(_xlpm.x,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1" t="e">
        <f>'Audit Report'!#REF!</f>
        <v>#REF!</v>
      </c>
      <c r="S541" t="str">
        <f>'Audit Report'!N541</f>
        <v/>
      </c>
    </row>
    <row r="542" spans="4:19">
      <c r="D542" t="str">
        <f>'Audit Report'!B542</f>
        <v>ITD-SHRXXX-XX541</v>
      </c>
      <c r="E542" t="str">
        <f>'Audit Report'!C542</f>
        <v/>
      </c>
      <c r="I542" t="str">
        <f>'Audit Report'!E542</f>
        <v/>
      </c>
      <c r="J542" t="str">
        <f>'Audit Report'!G542</f>
        <v/>
      </c>
      <c r="L542" t="str">
        <f>_xlfn.TEXTJOIN(", ", FALSE, 'Audit Report'!J542,'Audit Report'!K542,'Audit Report'!L542)</f>
        <v xml:space="preserve">, , </v>
      </c>
      <c r="M542" t="str">
        <f>'Audit Report'!M542</f>
        <v/>
      </c>
      <c r="N542" t="str" cm="1">
        <f t="array" ref="N542">IF(M542="","",
_xlfn.TEXTJOIN(", ",TRUE,
    _xlfn.MAP(_xlfn.TEXTSPLIT(M542,","),_xlfn.LAMBDA(_xlpm.x,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2" t="e">
        <f>'Audit Report'!#REF!</f>
        <v>#REF!</v>
      </c>
      <c r="S542" t="str">
        <f>'Audit Report'!N542</f>
        <v/>
      </c>
    </row>
    <row r="543" spans="4:19">
      <c r="D543" t="str">
        <f>'Audit Report'!B543</f>
        <v>ITD-SHRXXX-XX542</v>
      </c>
      <c r="E543" t="str">
        <f>'Audit Report'!C543</f>
        <v/>
      </c>
      <c r="I543" t="str">
        <f>'Audit Report'!E543</f>
        <v/>
      </c>
      <c r="J543" t="str">
        <f>'Audit Report'!G543</f>
        <v/>
      </c>
      <c r="L543" t="str">
        <f>_xlfn.TEXTJOIN(", ", FALSE, 'Audit Report'!J543,'Audit Report'!K543,'Audit Report'!L543)</f>
        <v xml:space="preserve">, , </v>
      </c>
      <c r="M543" t="str">
        <f>'Audit Report'!M543</f>
        <v/>
      </c>
      <c r="N543" t="str" cm="1">
        <f t="array" ref="N543">IF(M543="","",
_xlfn.TEXTJOIN(", ",TRUE,
    _xlfn.MAP(_xlfn.TEXTSPLIT(M543,","),_xlfn.LAMBDA(_xlpm.x,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3" t="e">
        <f>'Audit Report'!#REF!</f>
        <v>#REF!</v>
      </c>
      <c r="S543" t="str">
        <f>'Audit Report'!N543</f>
        <v/>
      </c>
    </row>
    <row r="544" spans="4:19">
      <c r="D544" t="str">
        <f>'Audit Report'!B544</f>
        <v>ITD-SHRXXX-XX543</v>
      </c>
      <c r="E544" t="str">
        <f>'Audit Report'!C544</f>
        <v/>
      </c>
      <c r="I544" t="str">
        <f>'Audit Report'!E544</f>
        <v/>
      </c>
      <c r="J544" t="str">
        <f>'Audit Report'!G544</f>
        <v/>
      </c>
      <c r="L544" t="str">
        <f>_xlfn.TEXTJOIN(", ", FALSE, 'Audit Report'!J544,'Audit Report'!K544,'Audit Report'!L544)</f>
        <v xml:space="preserve">, , </v>
      </c>
      <c r="M544" t="str">
        <f>'Audit Report'!M544</f>
        <v/>
      </c>
      <c r="N544" t="str" cm="1">
        <f t="array" ref="N544">IF(M544="","",
_xlfn.TEXTJOIN(", ",TRUE,
    _xlfn.MAP(_xlfn.TEXTSPLIT(M544,","),_xlfn.LAMBDA(_xlpm.x,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4" t="e">
        <f>'Audit Report'!#REF!</f>
        <v>#REF!</v>
      </c>
      <c r="S544" t="str">
        <f>'Audit Report'!N544</f>
        <v/>
      </c>
    </row>
    <row r="545" spans="4:19">
      <c r="D545" t="str">
        <f>'Audit Report'!B545</f>
        <v>ITD-SHRXXX-XX544</v>
      </c>
      <c r="E545" t="str">
        <f>'Audit Report'!C545</f>
        <v/>
      </c>
      <c r="I545" t="str">
        <f>'Audit Report'!E545</f>
        <v/>
      </c>
      <c r="J545" t="str">
        <f>'Audit Report'!G545</f>
        <v/>
      </c>
      <c r="L545" t="str">
        <f>_xlfn.TEXTJOIN(", ", FALSE, 'Audit Report'!J545,'Audit Report'!K545,'Audit Report'!L545)</f>
        <v xml:space="preserve">, , </v>
      </c>
      <c r="M545" t="str">
        <f>'Audit Report'!M545</f>
        <v/>
      </c>
      <c r="N545" t="str" cm="1">
        <f t="array" ref="N545">IF(M545="","",
_xlfn.TEXTJOIN(", ",TRUE,
    _xlfn.MAP(_xlfn.TEXTSPLIT(M545,","),_xlfn.LAMBDA(_xlpm.x,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5" t="e">
        <f>'Audit Report'!#REF!</f>
        <v>#REF!</v>
      </c>
      <c r="S545" t="str">
        <f>'Audit Report'!N545</f>
        <v/>
      </c>
    </row>
    <row r="546" spans="4:19">
      <c r="D546" t="str">
        <f>'Audit Report'!B546</f>
        <v>ITD-SHRXXX-XX545</v>
      </c>
      <c r="E546" t="str">
        <f>'Audit Report'!C546</f>
        <v/>
      </c>
      <c r="I546" t="str">
        <f>'Audit Report'!E546</f>
        <v/>
      </c>
      <c r="J546" t="str">
        <f>'Audit Report'!G546</f>
        <v/>
      </c>
      <c r="L546" t="str">
        <f>_xlfn.TEXTJOIN(", ", FALSE, 'Audit Report'!J546,'Audit Report'!K546,'Audit Report'!L546)</f>
        <v xml:space="preserve">, , </v>
      </c>
      <c r="M546" t="str">
        <f>'Audit Report'!M546</f>
        <v/>
      </c>
      <c r="N546" t="str" cm="1">
        <f t="array" ref="N546">IF(M546="","",
_xlfn.TEXTJOIN(", ",TRUE,
    _xlfn.MAP(_xlfn.TEXTSPLIT(M546,","),_xlfn.LAMBDA(_xlpm.x,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6" t="e">
        <f>'Audit Report'!#REF!</f>
        <v>#REF!</v>
      </c>
      <c r="S546" t="str">
        <f>'Audit Report'!N546</f>
        <v/>
      </c>
    </row>
    <row r="547" spans="4:19">
      <c r="D547" t="str">
        <f>'Audit Report'!B547</f>
        <v>ITD-SHRXXX-XX546</v>
      </c>
      <c r="E547" t="str">
        <f>'Audit Report'!C547</f>
        <v/>
      </c>
      <c r="I547" t="str">
        <f>'Audit Report'!E547</f>
        <v/>
      </c>
      <c r="J547" t="str">
        <f>'Audit Report'!G547</f>
        <v/>
      </c>
      <c r="L547" t="str">
        <f>_xlfn.TEXTJOIN(", ", FALSE, 'Audit Report'!J547,'Audit Report'!K547,'Audit Report'!L547)</f>
        <v xml:space="preserve">, , </v>
      </c>
      <c r="M547" t="str">
        <f>'Audit Report'!M547</f>
        <v/>
      </c>
      <c r="N547" t="str" cm="1">
        <f t="array" ref="N547">IF(M547="","",
_xlfn.TEXTJOIN(", ",TRUE,
    _xlfn.MAP(_xlfn.TEXTSPLIT(M547,","),_xlfn.LAMBDA(_xlpm.x,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7" t="e">
        <f>'Audit Report'!#REF!</f>
        <v>#REF!</v>
      </c>
      <c r="S547" t="str">
        <f>'Audit Report'!N547</f>
        <v/>
      </c>
    </row>
    <row r="548" spans="4:19">
      <c r="D548" t="str">
        <f>'Audit Report'!B548</f>
        <v>ITD-SHRXXX-XX547</v>
      </c>
      <c r="E548" t="str">
        <f>'Audit Report'!C548</f>
        <v/>
      </c>
      <c r="I548" t="str">
        <f>'Audit Report'!E548</f>
        <v/>
      </c>
      <c r="J548" t="str">
        <f>'Audit Report'!G548</f>
        <v/>
      </c>
      <c r="L548" t="str">
        <f>_xlfn.TEXTJOIN(", ", FALSE, 'Audit Report'!J548,'Audit Report'!K548,'Audit Report'!L548)</f>
        <v xml:space="preserve">, , </v>
      </c>
      <c r="M548" t="str">
        <f>'Audit Report'!M548</f>
        <v/>
      </c>
      <c r="N548" t="str" cm="1">
        <f t="array" ref="N548">IF(M548="","",
_xlfn.TEXTJOIN(", ",TRUE,
    _xlfn.MAP(_xlfn.TEXTSPLIT(M548,","),_xlfn.LAMBDA(_xlpm.x,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8" t="e">
        <f>'Audit Report'!#REF!</f>
        <v>#REF!</v>
      </c>
      <c r="S548" t="str">
        <f>'Audit Report'!N548</f>
        <v/>
      </c>
    </row>
    <row r="549" spans="4:19">
      <c r="D549" t="str">
        <f>'Audit Report'!B549</f>
        <v>ITD-SHRXXX-XX548</v>
      </c>
      <c r="E549" t="str">
        <f>'Audit Report'!C549</f>
        <v/>
      </c>
      <c r="I549" t="str">
        <f>'Audit Report'!E549</f>
        <v/>
      </c>
      <c r="J549" t="str">
        <f>'Audit Report'!G549</f>
        <v/>
      </c>
      <c r="L549" t="str">
        <f>_xlfn.TEXTJOIN(", ", FALSE, 'Audit Report'!J549,'Audit Report'!K549,'Audit Report'!L549)</f>
        <v xml:space="preserve">, , </v>
      </c>
      <c r="M549" t="str">
        <f>'Audit Report'!M549</f>
        <v/>
      </c>
      <c r="N549" t="str" cm="1">
        <f t="array" ref="N549">IF(M549="","",
_xlfn.TEXTJOIN(", ",TRUE,
    _xlfn.MAP(_xlfn.TEXTSPLIT(M549,","),_xlfn.LAMBDA(_xlpm.x,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9" t="e">
        <f>'Audit Report'!#REF!</f>
        <v>#REF!</v>
      </c>
      <c r="S549" t="str">
        <f>'Audit Report'!N549</f>
        <v/>
      </c>
    </row>
    <row r="550" spans="4:19">
      <c r="D550" t="str">
        <f>'Audit Report'!B550</f>
        <v>ITD-SHRXXX-XX549</v>
      </c>
      <c r="E550" t="str">
        <f>'Audit Report'!C550</f>
        <v/>
      </c>
      <c r="I550" t="str">
        <f>'Audit Report'!E550</f>
        <v/>
      </c>
      <c r="J550" t="str">
        <f>'Audit Report'!G550</f>
        <v/>
      </c>
      <c r="L550" t="str">
        <f>_xlfn.TEXTJOIN(", ", FALSE, 'Audit Report'!J550,'Audit Report'!K550,'Audit Report'!L550)</f>
        <v xml:space="preserve">, , </v>
      </c>
      <c r="M550" t="str">
        <f>'Audit Report'!M550</f>
        <v/>
      </c>
      <c r="N550" t="str" cm="1">
        <f t="array" ref="N550">IF(M550="","",
_xlfn.TEXTJOIN(", ",TRUE,
    _xlfn.MAP(_xlfn.TEXTSPLIT(M550,","),_xlfn.LAMBDA(_xlpm.x,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0" t="e">
        <f>'Audit Report'!#REF!</f>
        <v>#REF!</v>
      </c>
      <c r="S550" t="str">
        <f>'Audit Report'!N550</f>
        <v/>
      </c>
    </row>
    <row r="551" spans="4:19">
      <c r="D551" t="str">
        <f>'Audit Report'!B551</f>
        <v>ITD-SHRXXX-XX550</v>
      </c>
      <c r="E551" t="str">
        <f>'Audit Report'!C551</f>
        <v/>
      </c>
      <c r="I551" t="str">
        <f>'Audit Report'!E551</f>
        <v/>
      </c>
      <c r="J551" t="str">
        <f>'Audit Report'!G551</f>
        <v/>
      </c>
      <c r="L551" t="str">
        <f>_xlfn.TEXTJOIN(", ", FALSE, 'Audit Report'!J551,'Audit Report'!K551,'Audit Report'!L551)</f>
        <v xml:space="preserve">, , </v>
      </c>
      <c r="M551" t="str">
        <f>'Audit Report'!M551</f>
        <v/>
      </c>
      <c r="N551" t="str" cm="1">
        <f t="array" ref="N551">IF(M551="","",
_xlfn.TEXTJOIN(", ",TRUE,
    _xlfn.MAP(_xlfn.TEXTSPLIT(M551,","),_xlfn.LAMBDA(_xlpm.x,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1" t="e">
        <f>'Audit Report'!#REF!</f>
        <v>#REF!</v>
      </c>
      <c r="S551" t="str">
        <f>'Audit Report'!N551</f>
        <v/>
      </c>
    </row>
    <row r="552" spans="4:19">
      <c r="D552" t="str">
        <f>'Audit Report'!B552</f>
        <v>ITD-SHRXXX-XX551</v>
      </c>
      <c r="E552" t="str">
        <f>'Audit Report'!C552</f>
        <v/>
      </c>
      <c r="I552" t="str">
        <f>'Audit Report'!E552</f>
        <v/>
      </c>
      <c r="J552" t="str">
        <f>'Audit Report'!G552</f>
        <v/>
      </c>
      <c r="L552" t="str">
        <f>_xlfn.TEXTJOIN(", ", FALSE, 'Audit Report'!J552,'Audit Report'!K552,'Audit Report'!L552)</f>
        <v xml:space="preserve">, , </v>
      </c>
      <c r="M552" t="str">
        <f>'Audit Report'!M552</f>
        <v/>
      </c>
      <c r="N552" t="str" cm="1">
        <f t="array" ref="N552">IF(M552="","",
_xlfn.TEXTJOIN(", ",TRUE,
    _xlfn.MAP(_xlfn.TEXTSPLIT(M552,","),_xlfn.LAMBDA(_xlpm.x,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2" t="e">
        <f>'Audit Report'!#REF!</f>
        <v>#REF!</v>
      </c>
      <c r="S552" t="str">
        <f>'Audit Report'!N552</f>
        <v/>
      </c>
    </row>
    <row r="553" spans="4:19">
      <c r="D553" t="str">
        <f>'Audit Report'!B553</f>
        <v>ITD-SHRXXX-XX552</v>
      </c>
      <c r="E553" t="str">
        <f>'Audit Report'!C553</f>
        <v/>
      </c>
      <c r="I553" t="str">
        <f>'Audit Report'!E553</f>
        <v/>
      </c>
      <c r="J553" t="str">
        <f>'Audit Report'!G553</f>
        <v/>
      </c>
      <c r="L553" t="str">
        <f>_xlfn.TEXTJOIN(", ", FALSE, 'Audit Report'!J553,'Audit Report'!K553,'Audit Report'!L553)</f>
        <v xml:space="preserve">, , </v>
      </c>
      <c r="M553" t="str">
        <f>'Audit Report'!M553</f>
        <v/>
      </c>
      <c r="N553" t="str" cm="1">
        <f t="array" ref="N553">IF(M553="","",
_xlfn.TEXTJOIN(", ",TRUE,
    _xlfn.MAP(_xlfn.TEXTSPLIT(M553,","),_xlfn.LAMBDA(_xlpm.x,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3" t="e">
        <f>'Audit Report'!#REF!</f>
        <v>#REF!</v>
      </c>
      <c r="S553" t="str">
        <f>'Audit Report'!N553</f>
        <v/>
      </c>
    </row>
    <row r="554" spans="4:19">
      <c r="D554" t="str">
        <f>'Audit Report'!B554</f>
        <v>ITD-SHRXXX-XX553</v>
      </c>
      <c r="E554" t="str">
        <f>'Audit Report'!C554</f>
        <v/>
      </c>
      <c r="I554" t="str">
        <f>'Audit Report'!E554</f>
        <v/>
      </c>
      <c r="J554" t="str">
        <f>'Audit Report'!G554</f>
        <v/>
      </c>
      <c r="L554" t="str">
        <f>_xlfn.TEXTJOIN(", ", FALSE, 'Audit Report'!J554,'Audit Report'!K554,'Audit Report'!L554)</f>
        <v xml:space="preserve">, , </v>
      </c>
      <c r="M554" t="str">
        <f>'Audit Report'!M554</f>
        <v/>
      </c>
      <c r="N554" t="str" cm="1">
        <f t="array" ref="N554">IF(M554="","",
_xlfn.TEXTJOIN(", ",TRUE,
    _xlfn.MAP(_xlfn.TEXTSPLIT(M554,","),_xlfn.LAMBDA(_xlpm.x,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4" t="e">
        <f>'Audit Report'!#REF!</f>
        <v>#REF!</v>
      </c>
      <c r="S554" t="str">
        <f>'Audit Report'!N554</f>
        <v/>
      </c>
    </row>
    <row r="555" spans="4:19">
      <c r="D555" t="str">
        <f>'Audit Report'!B555</f>
        <v>ITD-SHRXXX-XX554</v>
      </c>
      <c r="E555" t="str">
        <f>'Audit Report'!C555</f>
        <v/>
      </c>
      <c r="I555" t="str">
        <f>'Audit Report'!E555</f>
        <v/>
      </c>
      <c r="J555" t="str">
        <f>'Audit Report'!G555</f>
        <v/>
      </c>
      <c r="L555" t="str">
        <f>_xlfn.TEXTJOIN(", ", FALSE, 'Audit Report'!J555,'Audit Report'!K555,'Audit Report'!L555)</f>
        <v xml:space="preserve">, , </v>
      </c>
      <c r="M555" t="str">
        <f>'Audit Report'!M555</f>
        <v/>
      </c>
      <c r="N555" t="str" cm="1">
        <f t="array" ref="N555">IF(M555="","",
_xlfn.TEXTJOIN(", ",TRUE,
    _xlfn.MAP(_xlfn.TEXTSPLIT(M555,","),_xlfn.LAMBDA(_xlpm.x,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5" t="e">
        <f>'Audit Report'!#REF!</f>
        <v>#REF!</v>
      </c>
      <c r="S555" t="str">
        <f>'Audit Report'!N555</f>
        <v/>
      </c>
    </row>
    <row r="556" spans="4:19">
      <c r="D556" t="str">
        <f>'Audit Report'!B556</f>
        <v>ITD-SHRXXX-XX555</v>
      </c>
      <c r="E556" t="str">
        <f>'Audit Report'!C556</f>
        <v/>
      </c>
      <c r="I556" t="str">
        <f>'Audit Report'!E556</f>
        <v/>
      </c>
      <c r="J556" t="str">
        <f>'Audit Report'!G556</f>
        <v/>
      </c>
      <c r="L556" t="str">
        <f>_xlfn.TEXTJOIN(", ", FALSE, 'Audit Report'!J556,'Audit Report'!K556,'Audit Report'!L556)</f>
        <v xml:space="preserve">, , </v>
      </c>
      <c r="M556" t="str">
        <f>'Audit Report'!M556</f>
        <v/>
      </c>
      <c r="N556" t="str" cm="1">
        <f t="array" ref="N556">IF(M556="","",
_xlfn.TEXTJOIN(", ",TRUE,
    _xlfn.MAP(_xlfn.TEXTSPLIT(M556,","),_xlfn.LAMBDA(_xlpm.x,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6" t="e">
        <f>'Audit Report'!#REF!</f>
        <v>#REF!</v>
      </c>
      <c r="S556" t="str">
        <f>'Audit Report'!N556</f>
        <v/>
      </c>
    </row>
    <row r="557" spans="4:19">
      <c r="D557" t="str">
        <f>'Audit Report'!B557</f>
        <v>ITD-SHRXXX-XX556</v>
      </c>
      <c r="E557" t="str">
        <f>'Audit Report'!C557</f>
        <v/>
      </c>
      <c r="I557" t="str">
        <f>'Audit Report'!E557</f>
        <v/>
      </c>
      <c r="J557" t="str">
        <f>'Audit Report'!G557</f>
        <v/>
      </c>
      <c r="L557" t="str">
        <f>_xlfn.TEXTJOIN(", ", FALSE, 'Audit Report'!J557,'Audit Report'!K557,'Audit Report'!L557)</f>
        <v xml:space="preserve">, , </v>
      </c>
      <c r="M557" t="str">
        <f>'Audit Report'!M557</f>
        <v/>
      </c>
      <c r="N557" t="str" cm="1">
        <f t="array" ref="N557">IF(M557="","",
_xlfn.TEXTJOIN(", ",TRUE,
    _xlfn.MAP(_xlfn.TEXTSPLIT(M557,","),_xlfn.LAMBDA(_xlpm.x,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7" t="e">
        <f>'Audit Report'!#REF!</f>
        <v>#REF!</v>
      </c>
      <c r="S557" t="str">
        <f>'Audit Report'!N557</f>
        <v/>
      </c>
    </row>
    <row r="558" spans="4:19">
      <c r="D558" t="str">
        <f>'Audit Report'!B558</f>
        <v>ITD-SHRXXX-XX557</v>
      </c>
      <c r="E558" t="str">
        <f>'Audit Report'!C558</f>
        <v/>
      </c>
      <c r="I558" t="str">
        <f>'Audit Report'!E558</f>
        <v/>
      </c>
      <c r="J558" t="str">
        <f>'Audit Report'!G558</f>
        <v/>
      </c>
      <c r="L558" t="str">
        <f>_xlfn.TEXTJOIN(", ", FALSE, 'Audit Report'!J558,'Audit Report'!K558,'Audit Report'!L558)</f>
        <v xml:space="preserve">, , </v>
      </c>
      <c r="M558" t="str">
        <f>'Audit Report'!M558</f>
        <v/>
      </c>
      <c r="N558" t="str" cm="1">
        <f t="array" ref="N558">IF(M558="","",
_xlfn.TEXTJOIN(", ",TRUE,
    _xlfn.MAP(_xlfn.TEXTSPLIT(M558,","),_xlfn.LAMBDA(_xlpm.x,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8" t="e">
        <f>'Audit Report'!#REF!</f>
        <v>#REF!</v>
      </c>
      <c r="S558" t="str">
        <f>'Audit Report'!N558</f>
        <v/>
      </c>
    </row>
    <row r="559" spans="4:19">
      <c r="D559" t="str">
        <f>'Audit Report'!B559</f>
        <v>ITD-SHRXXX-XX558</v>
      </c>
      <c r="E559" t="str">
        <f>'Audit Report'!C559</f>
        <v/>
      </c>
      <c r="I559" t="str">
        <f>'Audit Report'!E559</f>
        <v/>
      </c>
      <c r="J559" t="str">
        <f>'Audit Report'!G559</f>
        <v/>
      </c>
      <c r="L559" t="str">
        <f>_xlfn.TEXTJOIN(", ", FALSE, 'Audit Report'!J559,'Audit Report'!K559,'Audit Report'!L559)</f>
        <v xml:space="preserve">, , </v>
      </c>
      <c r="M559" t="str">
        <f>'Audit Report'!M559</f>
        <v/>
      </c>
      <c r="N559" t="str" cm="1">
        <f t="array" ref="N559">IF(M559="","",
_xlfn.TEXTJOIN(", ",TRUE,
    _xlfn.MAP(_xlfn.TEXTSPLIT(M559,","),_xlfn.LAMBDA(_xlpm.x,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9" t="e">
        <f>'Audit Report'!#REF!</f>
        <v>#REF!</v>
      </c>
      <c r="S559" t="str">
        <f>'Audit Report'!N559</f>
        <v/>
      </c>
    </row>
    <row r="560" spans="4:19">
      <c r="D560" t="str">
        <f>'Audit Report'!B560</f>
        <v>ITD-SHRXXX-XX559</v>
      </c>
      <c r="E560" t="str">
        <f>'Audit Report'!C560</f>
        <v/>
      </c>
      <c r="I560" t="str">
        <f>'Audit Report'!E560</f>
        <v/>
      </c>
      <c r="J560" t="str">
        <f>'Audit Report'!G560</f>
        <v/>
      </c>
      <c r="L560" t="str">
        <f>_xlfn.TEXTJOIN(", ", FALSE, 'Audit Report'!J560,'Audit Report'!K560,'Audit Report'!L560)</f>
        <v xml:space="preserve">, , </v>
      </c>
      <c r="M560" t="str">
        <f>'Audit Report'!M560</f>
        <v/>
      </c>
      <c r="N560" t="str" cm="1">
        <f t="array" ref="N560">IF(M560="","",
_xlfn.TEXTJOIN(", ",TRUE,
    _xlfn.MAP(_xlfn.TEXTSPLIT(M560,","),_xlfn.LAMBDA(_xlpm.x,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0" t="e">
        <f>'Audit Report'!#REF!</f>
        <v>#REF!</v>
      </c>
      <c r="S560" t="str">
        <f>'Audit Report'!N560</f>
        <v/>
      </c>
    </row>
    <row r="561" spans="4:19">
      <c r="D561" t="str">
        <f>'Audit Report'!B561</f>
        <v>ITD-SHRXXX-XX560</v>
      </c>
      <c r="E561" t="str">
        <f>'Audit Report'!C561</f>
        <v/>
      </c>
      <c r="I561" t="str">
        <f>'Audit Report'!E561</f>
        <v/>
      </c>
      <c r="J561" t="str">
        <f>'Audit Report'!G561</f>
        <v/>
      </c>
      <c r="L561" t="str">
        <f>_xlfn.TEXTJOIN(", ", FALSE, 'Audit Report'!J561,'Audit Report'!K561,'Audit Report'!L561)</f>
        <v xml:space="preserve">, , </v>
      </c>
      <c r="M561" t="str">
        <f>'Audit Report'!M561</f>
        <v/>
      </c>
      <c r="N561" t="str" cm="1">
        <f t="array" ref="N561">IF(M561="","",
_xlfn.TEXTJOIN(", ",TRUE,
    _xlfn.MAP(_xlfn.TEXTSPLIT(M561,","),_xlfn.LAMBDA(_xlpm.x,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1" t="e">
        <f>'Audit Report'!#REF!</f>
        <v>#REF!</v>
      </c>
      <c r="S561" t="str">
        <f>'Audit Report'!N561</f>
        <v/>
      </c>
    </row>
    <row r="562" spans="4:19">
      <c r="D562" t="str">
        <f>'Audit Report'!B562</f>
        <v>ITD-SHRXXX-XX561</v>
      </c>
      <c r="E562" t="str">
        <f>'Audit Report'!C562</f>
        <v/>
      </c>
      <c r="I562" t="str">
        <f>'Audit Report'!E562</f>
        <v/>
      </c>
      <c r="J562" t="str">
        <f>'Audit Report'!G562</f>
        <v/>
      </c>
      <c r="L562" t="str">
        <f>_xlfn.TEXTJOIN(", ", FALSE, 'Audit Report'!J562,'Audit Report'!K562,'Audit Report'!L562)</f>
        <v xml:space="preserve">, , </v>
      </c>
      <c r="M562" t="str">
        <f>'Audit Report'!M562</f>
        <v/>
      </c>
      <c r="N562" t="str" cm="1">
        <f t="array" ref="N562">IF(M562="","",
_xlfn.TEXTJOIN(", ",TRUE,
    _xlfn.MAP(_xlfn.TEXTSPLIT(M562,","),_xlfn.LAMBDA(_xlpm.x,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2" t="e">
        <f>'Audit Report'!#REF!</f>
        <v>#REF!</v>
      </c>
      <c r="S562" t="str">
        <f>'Audit Report'!N562</f>
        <v/>
      </c>
    </row>
    <row r="563" spans="4:19">
      <c r="D563" t="str">
        <f>'Audit Report'!B563</f>
        <v>ITD-SHRXXX-XX562</v>
      </c>
      <c r="E563" t="str">
        <f>'Audit Report'!C563</f>
        <v/>
      </c>
      <c r="I563" t="str">
        <f>'Audit Report'!E563</f>
        <v/>
      </c>
      <c r="J563" t="str">
        <f>'Audit Report'!G563</f>
        <v/>
      </c>
      <c r="L563" t="str">
        <f>_xlfn.TEXTJOIN(", ", FALSE, 'Audit Report'!J563,'Audit Report'!K563,'Audit Report'!L563)</f>
        <v xml:space="preserve">, , </v>
      </c>
      <c r="M563" t="str">
        <f>'Audit Report'!M563</f>
        <v/>
      </c>
      <c r="N563" t="str" cm="1">
        <f t="array" ref="N563">IF(M563="","",
_xlfn.TEXTJOIN(", ",TRUE,
    _xlfn.MAP(_xlfn.TEXTSPLIT(M563,","),_xlfn.LAMBDA(_xlpm.x,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3" t="e">
        <f>'Audit Report'!#REF!</f>
        <v>#REF!</v>
      </c>
      <c r="S563" t="str">
        <f>'Audit Report'!N563</f>
        <v/>
      </c>
    </row>
    <row r="564" spans="4:19">
      <c r="D564" t="str">
        <f>'Audit Report'!B564</f>
        <v>ITD-SHRXXX-XX563</v>
      </c>
      <c r="E564" t="str">
        <f>'Audit Report'!C564</f>
        <v/>
      </c>
      <c r="I564" t="str">
        <f>'Audit Report'!E564</f>
        <v/>
      </c>
      <c r="J564" t="str">
        <f>'Audit Report'!G564</f>
        <v/>
      </c>
      <c r="L564" t="str">
        <f>_xlfn.TEXTJOIN(", ", FALSE, 'Audit Report'!J564,'Audit Report'!K564,'Audit Report'!L564)</f>
        <v xml:space="preserve">, , </v>
      </c>
      <c r="M564" t="str">
        <f>'Audit Report'!M564</f>
        <v/>
      </c>
      <c r="N564" t="str" cm="1">
        <f t="array" ref="N564">IF(M564="","",
_xlfn.TEXTJOIN(", ",TRUE,
    _xlfn.MAP(_xlfn.TEXTSPLIT(M564,","),_xlfn.LAMBDA(_xlpm.x,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4" t="e">
        <f>'Audit Report'!#REF!</f>
        <v>#REF!</v>
      </c>
      <c r="S564" t="str">
        <f>'Audit Report'!N564</f>
        <v/>
      </c>
    </row>
    <row r="565" spans="4:19">
      <c r="D565" t="str">
        <f>'Audit Report'!B565</f>
        <v>ITD-SHRXXX-XX564</v>
      </c>
      <c r="E565" t="str">
        <f>'Audit Report'!C565</f>
        <v/>
      </c>
      <c r="I565" t="str">
        <f>'Audit Report'!E565</f>
        <v/>
      </c>
      <c r="J565" t="str">
        <f>'Audit Report'!G565</f>
        <v/>
      </c>
      <c r="L565" t="str">
        <f>_xlfn.TEXTJOIN(", ", FALSE, 'Audit Report'!J565,'Audit Report'!K565,'Audit Report'!L565)</f>
        <v xml:space="preserve">, , </v>
      </c>
      <c r="M565" t="str">
        <f>'Audit Report'!M565</f>
        <v/>
      </c>
      <c r="N565" t="str" cm="1">
        <f t="array" ref="N565">IF(M565="","",
_xlfn.TEXTJOIN(", ",TRUE,
    _xlfn.MAP(_xlfn.TEXTSPLIT(M565,","),_xlfn.LAMBDA(_xlpm.x,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5" t="e">
        <f>'Audit Report'!#REF!</f>
        <v>#REF!</v>
      </c>
      <c r="S565" t="str">
        <f>'Audit Report'!N565</f>
        <v/>
      </c>
    </row>
    <row r="566" spans="4:19">
      <c r="D566" t="str">
        <f>'Audit Report'!B566</f>
        <v>ITD-SHRXXX-XX565</v>
      </c>
      <c r="E566" t="str">
        <f>'Audit Report'!C566</f>
        <v/>
      </c>
      <c r="I566" t="str">
        <f>'Audit Report'!E566</f>
        <v/>
      </c>
      <c r="J566" t="str">
        <f>'Audit Report'!G566</f>
        <v/>
      </c>
      <c r="L566" t="str">
        <f>_xlfn.TEXTJOIN(", ", FALSE, 'Audit Report'!J566,'Audit Report'!K566,'Audit Report'!L566)</f>
        <v xml:space="preserve">, , </v>
      </c>
      <c r="M566" t="str">
        <f>'Audit Report'!M566</f>
        <v/>
      </c>
      <c r="N566" t="str" cm="1">
        <f t="array" ref="N566">IF(M566="","",
_xlfn.TEXTJOIN(", ",TRUE,
    _xlfn.MAP(_xlfn.TEXTSPLIT(M566,","),_xlfn.LAMBDA(_xlpm.x,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6" t="e">
        <f>'Audit Report'!#REF!</f>
        <v>#REF!</v>
      </c>
      <c r="S566" t="str">
        <f>'Audit Report'!N566</f>
        <v/>
      </c>
    </row>
    <row r="567" spans="4:19">
      <c r="D567" t="str">
        <f>'Audit Report'!B567</f>
        <v>ITD-SHRXXX-XX566</v>
      </c>
      <c r="E567" t="str">
        <f>'Audit Report'!C567</f>
        <v/>
      </c>
      <c r="I567" t="str">
        <f>'Audit Report'!E567</f>
        <v/>
      </c>
      <c r="J567" t="str">
        <f>'Audit Report'!G567</f>
        <v/>
      </c>
      <c r="L567" t="str">
        <f>_xlfn.TEXTJOIN(", ", FALSE, 'Audit Report'!J567,'Audit Report'!K567,'Audit Report'!L567)</f>
        <v xml:space="preserve">, , </v>
      </c>
      <c r="M567" t="str">
        <f>'Audit Report'!M567</f>
        <v/>
      </c>
      <c r="N567" t="str" cm="1">
        <f t="array" ref="N567">IF(M567="","",
_xlfn.TEXTJOIN(", ",TRUE,
    _xlfn.MAP(_xlfn.TEXTSPLIT(M567,","),_xlfn.LAMBDA(_xlpm.x,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7" t="e">
        <f>'Audit Report'!#REF!</f>
        <v>#REF!</v>
      </c>
      <c r="S567" t="str">
        <f>'Audit Report'!N567</f>
        <v/>
      </c>
    </row>
    <row r="568" spans="4:19">
      <c r="D568" t="str">
        <f>'Audit Report'!B568</f>
        <v>ITD-SHRXXX-XX567</v>
      </c>
      <c r="E568" t="str">
        <f>'Audit Report'!C568</f>
        <v/>
      </c>
      <c r="I568" t="str">
        <f>'Audit Report'!E568</f>
        <v/>
      </c>
      <c r="J568" t="str">
        <f>'Audit Report'!G568</f>
        <v/>
      </c>
      <c r="L568" t="str">
        <f>_xlfn.TEXTJOIN(", ", FALSE, 'Audit Report'!J568,'Audit Report'!K568,'Audit Report'!L568)</f>
        <v xml:space="preserve">, , </v>
      </c>
      <c r="M568" t="str">
        <f>'Audit Report'!M568</f>
        <v/>
      </c>
      <c r="N568" t="str" cm="1">
        <f t="array" ref="N568">IF(M568="","",
_xlfn.TEXTJOIN(", ",TRUE,
    _xlfn.MAP(_xlfn.TEXTSPLIT(M568,","),_xlfn.LAMBDA(_xlpm.x,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8" t="e">
        <f>'Audit Report'!#REF!</f>
        <v>#REF!</v>
      </c>
      <c r="S568" t="str">
        <f>'Audit Report'!N568</f>
        <v/>
      </c>
    </row>
    <row r="569" spans="4:19">
      <c r="D569" t="str">
        <f>'Audit Report'!B569</f>
        <v>ITD-SHRXXX-XX568</v>
      </c>
      <c r="E569" t="str">
        <f>'Audit Report'!C569</f>
        <v/>
      </c>
      <c r="I569" t="str">
        <f>'Audit Report'!E569</f>
        <v/>
      </c>
      <c r="J569" t="str">
        <f>'Audit Report'!G569</f>
        <v/>
      </c>
      <c r="L569" t="str">
        <f>_xlfn.TEXTJOIN(", ", FALSE, 'Audit Report'!J569,'Audit Report'!K569,'Audit Report'!L569)</f>
        <v xml:space="preserve">, , </v>
      </c>
      <c r="M569" t="str">
        <f>'Audit Report'!M569</f>
        <v/>
      </c>
      <c r="N569" t="str" cm="1">
        <f t="array" ref="N569">IF(M569="","",
_xlfn.TEXTJOIN(", ",TRUE,
    _xlfn.MAP(_xlfn.TEXTSPLIT(M569,","),_xlfn.LAMBDA(_xlpm.x,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9" t="e">
        <f>'Audit Report'!#REF!</f>
        <v>#REF!</v>
      </c>
      <c r="S569" t="str">
        <f>'Audit Report'!N569</f>
        <v/>
      </c>
    </row>
    <row r="570" spans="4:19">
      <c r="D570" t="str">
        <f>'Audit Report'!B570</f>
        <v>ITD-SHRXXX-XX569</v>
      </c>
      <c r="E570" t="str">
        <f>'Audit Report'!C570</f>
        <v/>
      </c>
      <c r="I570" t="str">
        <f>'Audit Report'!E570</f>
        <v/>
      </c>
      <c r="J570" t="str">
        <f>'Audit Report'!G570</f>
        <v/>
      </c>
      <c r="L570" t="str">
        <f>_xlfn.TEXTJOIN(", ", FALSE, 'Audit Report'!J570,'Audit Report'!K570,'Audit Report'!L570)</f>
        <v xml:space="preserve">, , </v>
      </c>
      <c r="M570" t="str">
        <f>'Audit Report'!M570</f>
        <v/>
      </c>
      <c r="N570" t="str" cm="1">
        <f t="array" ref="N570">IF(M570="","",
_xlfn.TEXTJOIN(", ",TRUE,
    _xlfn.MAP(_xlfn.TEXTSPLIT(M570,","),_xlfn.LAMBDA(_xlpm.x,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0" t="e">
        <f>'Audit Report'!#REF!</f>
        <v>#REF!</v>
      </c>
      <c r="S570" t="str">
        <f>'Audit Report'!N570</f>
        <v/>
      </c>
    </row>
    <row r="571" spans="4:19">
      <c r="D571" t="str">
        <f>'Audit Report'!B571</f>
        <v>ITD-SHRXXX-XX570</v>
      </c>
      <c r="E571" t="str">
        <f>'Audit Report'!C571</f>
        <v/>
      </c>
      <c r="I571" t="str">
        <f>'Audit Report'!E571</f>
        <v/>
      </c>
      <c r="J571" t="str">
        <f>'Audit Report'!G571</f>
        <v/>
      </c>
      <c r="L571" t="str">
        <f>_xlfn.TEXTJOIN(", ", FALSE, 'Audit Report'!J571,'Audit Report'!K571,'Audit Report'!L571)</f>
        <v xml:space="preserve">, , </v>
      </c>
      <c r="M571" t="str">
        <f>'Audit Report'!M571</f>
        <v/>
      </c>
      <c r="N571" t="str" cm="1">
        <f t="array" ref="N571">IF(M571="","",
_xlfn.TEXTJOIN(", ",TRUE,
    _xlfn.MAP(_xlfn.TEXTSPLIT(M571,","),_xlfn.LAMBDA(_xlpm.x,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1" t="e">
        <f>'Audit Report'!#REF!</f>
        <v>#REF!</v>
      </c>
      <c r="S571" t="str">
        <f>'Audit Report'!N571</f>
        <v/>
      </c>
    </row>
    <row r="572" spans="4:19">
      <c r="D572" t="str">
        <f>'Audit Report'!B572</f>
        <v>ITD-SHRXXX-XX571</v>
      </c>
      <c r="E572" t="str">
        <f>'Audit Report'!C572</f>
        <v/>
      </c>
      <c r="I572" t="str">
        <f>'Audit Report'!E572</f>
        <v/>
      </c>
      <c r="J572" t="str">
        <f>'Audit Report'!G572</f>
        <v/>
      </c>
      <c r="L572" t="str">
        <f>_xlfn.TEXTJOIN(", ", FALSE, 'Audit Report'!J572,'Audit Report'!K572,'Audit Report'!L572)</f>
        <v xml:space="preserve">, , </v>
      </c>
      <c r="M572" t="str">
        <f>'Audit Report'!M572</f>
        <v/>
      </c>
      <c r="N572" t="str" cm="1">
        <f t="array" ref="N572">IF(M572="","",
_xlfn.TEXTJOIN(", ",TRUE,
    _xlfn.MAP(_xlfn.TEXTSPLIT(M572,","),_xlfn.LAMBDA(_xlpm.x,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2" t="e">
        <f>'Audit Report'!#REF!</f>
        <v>#REF!</v>
      </c>
      <c r="S572" t="str">
        <f>'Audit Report'!N572</f>
        <v/>
      </c>
    </row>
    <row r="573" spans="4:19">
      <c r="D573" t="str">
        <f>'Audit Report'!B573</f>
        <v>ITD-SHRXXX-XX572</v>
      </c>
      <c r="E573" t="str">
        <f>'Audit Report'!C573</f>
        <v/>
      </c>
      <c r="I573" t="str">
        <f>'Audit Report'!E573</f>
        <v/>
      </c>
      <c r="J573" t="str">
        <f>'Audit Report'!G573</f>
        <v/>
      </c>
      <c r="L573" t="str">
        <f>_xlfn.TEXTJOIN(", ", FALSE, 'Audit Report'!J573,'Audit Report'!K573,'Audit Report'!L573)</f>
        <v xml:space="preserve">, , </v>
      </c>
      <c r="M573" t="str">
        <f>'Audit Report'!M573</f>
        <v/>
      </c>
      <c r="N573" t="str" cm="1">
        <f t="array" ref="N573">IF(M573="","",
_xlfn.TEXTJOIN(", ",TRUE,
    _xlfn.MAP(_xlfn.TEXTSPLIT(M573,","),_xlfn.LAMBDA(_xlpm.x,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3" t="e">
        <f>'Audit Report'!#REF!</f>
        <v>#REF!</v>
      </c>
      <c r="S573" t="str">
        <f>'Audit Report'!N573</f>
        <v/>
      </c>
    </row>
    <row r="574" spans="4:19">
      <c r="D574" t="str">
        <f>'Audit Report'!B574</f>
        <v>ITD-SHRXXX-XX573</v>
      </c>
      <c r="E574" t="str">
        <f>'Audit Report'!C574</f>
        <v/>
      </c>
      <c r="I574" t="str">
        <f>'Audit Report'!E574</f>
        <v/>
      </c>
      <c r="J574" t="str">
        <f>'Audit Report'!G574</f>
        <v/>
      </c>
      <c r="L574" t="str">
        <f>_xlfn.TEXTJOIN(", ", FALSE, 'Audit Report'!J574,'Audit Report'!K574,'Audit Report'!L574)</f>
        <v xml:space="preserve">, , </v>
      </c>
      <c r="M574" t="str">
        <f>'Audit Report'!M574</f>
        <v/>
      </c>
      <c r="N574" t="str" cm="1">
        <f t="array" ref="N574">IF(M574="","",
_xlfn.TEXTJOIN(", ",TRUE,
    _xlfn.MAP(_xlfn.TEXTSPLIT(M574,","),_xlfn.LAMBDA(_xlpm.x,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4" t="e">
        <f>'Audit Report'!#REF!</f>
        <v>#REF!</v>
      </c>
      <c r="S574" t="str">
        <f>'Audit Report'!N574</f>
        <v/>
      </c>
    </row>
    <row r="575" spans="4:19">
      <c r="D575" t="str">
        <f>'Audit Report'!B575</f>
        <v>ITD-SHRXXX-XX574</v>
      </c>
      <c r="E575" t="str">
        <f>'Audit Report'!C575</f>
        <v/>
      </c>
      <c r="I575" t="str">
        <f>'Audit Report'!E575</f>
        <v/>
      </c>
      <c r="J575" t="str">
        <f>'Audit Report'!G575</f>
        <v/>
      </c>
      <c r="L575" t="str">
        <f>_xlfn.TEXTJOIN(", ", FALSE, 'Audit Report'!J575,'Audit Report'!K575,'Audit Report'!L575)</f>
        <v xml:space="preserve">, , </v>
      </c>
      <c r="M575" t="str">
        <f>'Audit Report'!M575</f>
        <v/>
      </c>
      <c r="N575" t="str" cm="1">
        <f t="array" ref="N575">IF(M575="","",
_xlfn.TEXTJOIN(", ",TRUE,
    _xlfn.MAP(_xlfn.TEXTSPLIT(M575,","),_xlfn.LAMBDA(_xlpm.x,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5" t="e">
        <f>'Audit Report'!#REF!</f>
        <v>#REF!</v>
      </c>
      <c r="S575" t="str">
        <f>'Audit Report'!N575</f>
        <v/>
      </c>
    </row>
    <row r="576" spans="4:19">
      <c r="D576" t="str">
        <f>'Audit Report'!B576</f>
        <v>ITD-SHRXXX-XX575</v>
      </c>
      <c r="E576" t="str">
        <f>'Audit Report'!C576</f>
        <v/>
      </c>
      <c r="I576" t="str">
        <f>'Audit Report'!E576</f>
        <v/>
      </c>
      <c r="J576" t="str">
        <f>'Audit Report'!G576</f>
        <v/>
      </c>
      <c r="L576" t="str">
        <f>_xlfn.TEXTJOIN(", ", FALSE, 'Audit Report'!J576,'Audit Report'!K576,'Audit Report'!L576)</f>
        <v xml:space="preserve">, , </v>
      </c>
      <c r="M576" t="str">
        <f>'Audit Report'!M576</f>
        <v/>
      </c>
      <c r="N576" t="str" cm="1">
        <f t="array" ref="N576">IF(M576="","",
_xlfn.TEXTJOIN(", ",TRUE,
    _xlfn.MAP(_xlfn.TEXTSPLIT(M576,","),_xlfn.LAMBDA(_xlpm.x,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6" t="e">
        <f>'Audit Report'!#REF!</f>
        <v>#REF!</v>
      </c>
      <c r="S576" t="str">
        <f>'Audit Report'!N576</f>
        <v/>
      </c>
    </row>
    <row r="577" spans="4:19">
      <c r="D577" t="str">
        <f>'Audit Report'!B577</f>
        <v>ITD-SHRXXX-XX576</v>
      </c>
      <c r="E577" t="str">
        <f>'Audit Report'!C577</f>
        <v/>
      </c>
      <c r="I577" t="str">
        <f>'Audit Report'!E577</f>
        <v/>
      </c>
      <c r="J577" t="str">
        <f>'Audit Report'!G577</f>
        <v/>
      </c>
      <c r="L577" t="str">
        <f>_xlfn.TEXTJOIN(", ", FALSE, 'Audit Report'!J577,'Audit Report'!K577,'Audit Report'!L577)</f>
        <v xml:space="preserve">, , </v>
      </c>
      <c r="M577" t="str">
        <f>'Audit Report'!M577</f>
        <v/>
      </c>
      <c r="N577" t="str" cm="1">
        <f t="array" ref="N577">IF(M577="","",
_xlfn.TEXTJOIN(", ",TRUE,
    _xlfn.MAP(_xlfn.TEXTSPLIT(M577,","),_xlfn.LAMBDA(_xlpm.x,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7" t="e">
        <f>'Audit Report'!#REF!</f>
        <v>#REF!</v>
      </c>
      <c r="S577" t="str">
        <f>'Audit Report'!N577</f>
        <v/>
      </c>
    </row>
    <row r="578" spans="4:19">
      <c r="D578" t="str">
        <f>'Audit Report'!B578</f>
        <v>ITD-SHRXXX-XX577</v>
      </c>
      <c r="E578" t="str">
        <f>'Audit Report'!C578</f>
        <v/>
      </c>
      <c r="I578" t="str">
        <f>'Audit Report'!E578</f>
        <v/>
      </c>
      <c r="J578" t="str">
        <f>'Audit Report'!G578</f>
        <v/>
      </c>
      <c r="L578" t="str">
        <f>_xlfn.TEXTJOIN(", ", FALSE, 'Audit Report'!J578,'Audit Report'!K578,'Audit Report'!L578)</f>
        <v xml:space="preserve">, , </v>
      </c>
      <c r="M578" t="str">
        <f>'Audit Report'!M578</f>
        <v/>
      </c>
      <c r="N578" t="str" cm="1">
        <f t="array" ref="N578">IF(M578="","",
_xlfn.TEXTJOIN(", ",TRUE,
    _xlfn.MAP(_xlfn.TEXTSPLIT(M578,","),_xlfn.LAMBDA(_xlpm.x,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8" t="e">
        <f>'Audit Report'!#REF!</f>
        <v>#REF!</v>
      </c>
      <c r="S578" t="str">
        <f>'Audit Report'!N578</f>
        <v/>
      </c>
    </row>
    <row r="579" spans="4:19">
      <c r="D579" t="str">
        <f>'Audit Report'!B579</f>
        <v>ITD-SHRXXX-XX578</v>
      </c>
      <c r="E579" t="str">
        <f>'Audit Report'!C579</f>
        <v/>
      </c>
      <c r="I579" t="str">
        <f>'Audit Report'!E579</f>
        <v/>
      </c>
      <c r="J579" t="str">
        <f>'Audit Report'!G579</f>
        <v/>
      </c>
      <c r="L579" t="str">
        <f>_xlfn.TEXTJOIN(", ", FALSE, 'Audit Report'!J579,'Audit Report'!K579,'Audit Report'!L579)</f>
        <v xml:space="preserve">, , </v>
      </c>
      <c r="M579" t="str">
        <f>'Audit Report'!M579</f>
        <v/>
      </c>
      <c r="N579" t="str" cm="1">
        <f t="array" ref="N579">IF(M579="","",
_xlfn.TEXTJOIN(", ",TRUE,
    _xlfn.MAP(_xlfn.TEXTSPLIT(M579,","),_xlfn.LAMBDA(_xlpm.x,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9" t="e">
        <f>'Audit Report'!#REF!</f>
        <v>#REF!</v>
      </c>
      <c r="S579" t="str">
        <f>'Audit Report'!N579</f>
        <v/>
      </c>
    </row>
    <row r="580" spans="4:19">
      <c r="D580" t="str">
        <f>'Audit Report'!B580</f>
        <v>ITD-SHRXXX-XX579</v>
      </c>
      <c r="E580" t="str">
        <f>'Audit Report'!C580</f>
        <v/>
      </c>
      <c r="I580" t="str">
        <f>'Audit Report'!E580</f>
        <v/>
      </c>
      <c r="J580" t="str">
        <f>'Audit Report'!G580</f>
        <v/>
      </c>
      <c r="L580" t="str">
        <f>_xlfn.TEXTJOIN(", ", FALSE, 'Audit Report'!J580,'Audit Report'!K580,'Audit Report'!L580)</f>
        <v xml:space="preserve">, , </v>
      </c>
      <c r="M580" t="str">
        <f>'Audit Report'!M580</f>
        <v/>
      </c>
      <c r="N580" t="str" cm="1">
        <f t="array" ref="N580">IF(M580="","",
_xlfn.TEXTJOIN(", ",TRUE,
    _xlfn.MAP(_xlfn.TEXTSPLIT(M580,","),_xlfn.LAMBDA(_xlpm.x,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0" t="e">
        <f>'Audit Report'!#REF!</f>
        <v>#REF!</v>
      </c>
      <c r="S580" t="str">
        <f>'Audit Report'!N580</f>
        <v/>
      </c>
    </row>
    <row r="581" spans="4:19">
      <c r="D581" t="str">
        <f>'Audit Report'!B581</f>
        <v>ITD-SHRXXX-XX580</v>
      </c>
      <c r="E581" t="str">
        <f>'Audit Report'!C581</f>
        <v/>
      </c>
      <c r="I581" t="str">
        <f>'Audit Report'!E581</f>
        <v/>
      </c>
      <c r="J581" t="str">
        <f>'Audit Report'!G581</f>
        <v/>
      </c>
      <c r="L581" t="str">
        <f>_xlfn.TEXTJOIN(", ", FALSE, 'Audit Report'!J581,'Audit Report'!K581,'Audit Report'!L581)</f>
        <v xml:space="preserve">, , </v>
      </c>
      <c r="M581" t="str">
        <f>'Audit Report'!M581</f>
        <v/>
      </c>
      <c r="N581" t="str" cm="1">
        <f t="array" ref="N581">IF(M581="","",
_xlfn.TEXTJOIN(", ",TRUE,
    _xlfn.MAP(_xlfn.TEXTSPLIT(M581,","),_xlfn.LAMBDA(_xlpm.x,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1" t="e">
        <f>'Audit Report'!#REF!</f>
        <v>#REF!</v>
      </c>
      <c r="S581" t="str">
        <f>'Audit Report'!N581</f>
        <v/>
      </c>
    </row>
    <row r="582" spans="4:19">
      <c r="D582" t="str">
        <f>'Audit Report'!B582</f>
        <v>ITD-SHRXXX-XX581</v>
      </c>
      <c r="E582" t="str">
        <f>'Audit Report'!C582</f>
        <v/>
      </c>
      <c r="I582" t="str">
        <f>'Audit Report'!E582</f>
        <v/>
      </c>
      <c r="J582" t="str">
        <f>'Audit Report'!G582</f>
        <v/>
      </c>
      <c r="L582" t="str">
        <f>_xlfn.TEXTJOIN(", ", FALSE, 'Audit Report'!J582,'Audit Report'!K582,'Audit Report'!L582)</f>
        <v xml:space="preserve">, , </v>
      </c>
      <c r="M582" t="str">
        <f>'Audit Report'!M582</f>
        <v/>
      </c>
      <c r="N582" t="str" cm="1">
        <f t="array" ref="N582">IF(M582="","",
_xlfn.TEXTJOIN(", ",TRUE,
    _xlfn.MAP(_xlfn.TEXTSPLIT(M582,","),_xlfn.LAMBDA(_xlpm.x,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2" t="e">
        <f>'Audit Report'!#REF!</f>
        <v>#REF!</v>
      </c>
      <c r="S582" t="str">
        <f>'Audit Report'!N582</f>
        <v/>
      </c>
    </row>
    <row r="583" spans="4:19">
      <c r="D583" t="str">
        <f>'Audit Report'!B583</f>
        <v>ITD-SHRXXX-XX582</v>
      </c>
      <c r="E583" t="str">
        <f>'Audit Report'!C583</f>
        <v/>
      </c>
      <c r="I583" t="str">
        <f>'Audit Report'!E583</f>
        <v/>
      </c>
      <c r="J583" t="str">
        <f>'Audit Report'!G583</f>
        <v/>
      </c>
      <c r="L583" t="str">
        <f>_xlfn.TEXTJOIN(", ", FALSE, 'Audit Report'!J583,'Audit Report'!K583,'Audit Report'!L583)</f>
        <v xml:space="preserve">, , </v>
      </c>
      <c r="M583" t="str">
        <f>'Audit Report'!M583</f>
        <v/>
      </c>
      <c r="N583" t="str" cm="1">
        <f t="array" ref="N583">IF(M583="","",
_xlfn.TEXTJOIN(", ",TRUE,
    _xlfn.MAP(_xlfn.TEXTSPLIT(M583,","),_xlfn.LAMBDA(_xlpm.x,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3" t="e">
        <f>'Audit Report'!#REF!</f>
        <v>#REF!</v>
      </c>
      <c r="S583" t="str">
        <f>'Audit Report'!N583</f>
        <v/>
      </c>
    </row>
    <row r="584" spans="4:19">
      <c r="D584" t="str">
        <f>'Audit Report'!B584</f>
        <v>ITD-SHRXXX-XX583</v>
      </c>
      <c r="E584" t="str">
        <f>'Audit Report'!C584</f>
        <v/>
      </c>
      <c r="I584" t="str">
        <f>'Audit Report'!E584</f>
        <v/>
      </c>
      <c r="J584" t="str">
        <f>'Audit Report'!G584</f>
        <v/>
      </c>
      <c r="L584" t="str">
        <f>_xlfn.TEXTJOIN(", ", FALSE, 'Audit Report'!J584,'Audit Report'!K584,'Audit Report'!L584)</f>
        <v xml:space="preserve">, , </v>
      </c>
      <c r="M584" t="str">
        <f>'Audit Report'!M584</f>
        <v/>
      </c>
      <c r="N584" t="str" cm="1">
        <f t="array" ref="N584">IF(M584="","",
_xlfn.TEXTJOIN(", ",TRUE,
    _xlfn.MAP(_xlfn.TEXTSPLIT(M584,","),_xlfn.LAMBDA(_xlpm.x,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4" t="e">
        <f>'Audit Report'!#REF!</f>
        <v>#REF!</v>
      </c>
      <c r="S584" t="str">
        <f>'Audit Report'!N584</f>
        <v/>
      </c>
    </row>
    <row r="585" spans="4:19">
      <c r="D585" t="str">
        <f>'Audit Report'!B585</f>
        <v>ITD-SHRXXX-XX584</v>
      </c>
      <c r="E585" t="str">
        <f>'Audit Report'!C585</f>
        <v/>
      </c>
      <c r="I585" t="str">
        <f>'Audit Report'!E585</f>
        <v/>
      </c>
      <c r="J585" t="str">
        <f>'Audit Report'!G585</f>
        <v/>
      </c>
      <c r="L585" t="str">
        <f>_xlfn.TEXTJOIN(", ", FALSE, 'Audit Report'!J585,'Audit Report'!K585,'Audit Report'!L585)</f>
        <v xml:space="preserve">, , </v>
      </c>
      <c r="M585" t="str">
        <f>'Audit Report'!M585</f>
        <v/>
      </c>
      <c r="N585" t="str" cm="1">
        <f t="array" ref="N585">IF(M585="","",
_xlfn.TEXTJOIN(", ",TRUE,
    _xlfn.MAP(_xlfn.TEXTSPLIT(M585,","),_xlfn.LAMBDA(_xlpm.x,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5" t="e">
        <f>'Audit Report'!#REF!</f>
        <v>#REF!</v>
      </c>
      <c r="S585" t="str">
        <f>'Audit Report'!N585</f>
        <v/>
      </c>
    </row>
    <row r="586" spans="4:19">
      <c r="D586" t="str">
        <f>'Audit Report'!B586</f>
        <v>ITD-SHRXXX-XX585</v>
      </c>
      <c r="E586" t="str">
        <f>'Audit Report'!C586</f>
        <v/>
      </c>
      <c r="I586" t="str">
        <f>'Audit Report'!E586</f>
        <v/>
      </c>
      <c r="J586" t="str">
        <f>'Audit Report'!G586</f>
        <v/>
      </c>
      <c r="L586" t="str">
        <f>_xlfn.TEXTJOIN(", ", FALSE, 'Audit Report'!J586,'Audit Report'!K586,'Audit Report'!L586)</f>
        <v xml:space="preserve">, , </v>
      </c>
      <c r="M586" t="str">
        <f>'Audit Report'!M586</f>
        <v/>
      </c>
      <c r="N586" t="str" cm="1">
        <f t="array" ref="N586">IF(M586="","",
_xlfn.TEXTJOIN(", ",TRUE,
    _xlfn.MAP(_xlfn.TEXTSPLIT(M586,","),_xlfn.LAMBDA(_xlpm.x,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6" t="e">
        <f>'Audit Report'!#REF!</f>
        <v>#REF!</v>
      </c>
      <c r="S586" t="str">
        <f>'Audit Report'!N586</f>
        <v/>
      </c>
    </row>
    <row r="587" spans="4:19">
      <c r="D587" t="str">
        <f>'Audit Report'!B587</f>
        <v>ITD-SHRXXX-XX586</v>
      </c>
      <c r="E587" t="str">
        <f>'Audit Report'!C587</f>
        <v/>
      </c>
      <c r="I587" t="str">
        <f>'Audit Report'!E587</f>
        <v/>
      </c>
      <c r="J587" t="str">
        <f>'Audit Report'!G587</f>
        <v/>
      </c>
      <c r="L587" t="str">
        <f>_xlfn.TEXTJOIN(", ", FALSE, 'Audit Report'!J587,'Audit Report'!K587,'Audit Report'!L587)</f>
        <v xml:space="preserve">, , </v>
      </c>
      <c r="M587" t="str">
        <f>'Audit Report'!M587</f>
        <v/>
      </c>
      <c r="N587" t="str" cm="1">
        <f t="array" ref="N587">IF(M587="","",
_xlfn.TEXTJOIN(", ",TRUE,
    _xlfn.MAP(_xlfn.TEXTSPLIT(M587,","),_xlfn.LAMBDA(_xlpm.x,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7" t="e">
        <f>'Audit Report'!#REF!</f>
        <v>#REF!</v>
      </c>
      <c r="S587" t="str">
        <f>'Audit Report'!N587</f>
        <v/>
      </c>
    </row>
    <row r="588" spans="4:19">
      <c r="D588" t="str">
        <f>'Audit Report'!B588</f>
        <v>ITD-SHRXXX-XX587</v>
      </c>
      <c r="E588" t="str">
        <f>'Audit Report'!C588</f>
        <v/>
      </c>
      <c r="I588" t="str">
        <f>'Audit Report'!E588</f>
        <v/>
      </c>
      <c r="J588" t="str">
        <f>'Audit Report'!G588</f>
        <v/>
      </c>
      <c r="L588" t="str">
        <f>_xlfn.TEXTJOIN(", ", FALSE, 'Audit Report'!J588,'Audit Report'!K588,'Audit Report'!L588)</f>
        <v xml:space="preserve">, , </v>
      </c>
      <c r="M588" t="str">
        <f>'Audit Report'!M588</f>
        <v/>
      </c>
      <c r="N588" t="str" cm="1">
        <f t="array" ref="N588">IF(M588="","",
_xlfn.TEXTJOIN(", ",TRUE,
    _xlfn.MAP(_xlfn.TEXTSPLIT(M588,","),_xlfn.LAMBDA(_xlpm.x,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8" t="e">
        <f>'Audit Report'!#REF!</f>
        <v>#REF!</v>
      </c>
      <c r="S588" t="str">
        <f>'Audit Report'!N588</f>
        <v/>
      </c>
    </row>
    <row r="589" spans="4:19">
      <c r="D589" t="str">
        <f>'Audit Report'!B589</f>
        <v>ITD-SHRXXX-XX588</v>
      </c>
      <c r="E589" t="str">
        <f>'Audit Report'!C589</f>
        <v/>
      </c>
      <c r="I589" t="str">
        <f>'Audit Report'!E589</f>
        <v/>
      </c>
      <c r="J589" t="str">
        <f>'Audit Report'!G589</f>
        <v/>
      </c>
      <c r="L589" t="str">
        <f>_xlfn.TEXTJOIN(", ", FALSE, 'Audit Report'!J589,'Audit Report'!K589,'Audit Report'!L589)</f>
        <v xml:space="preserve">, , </v>
      </c>
      <c r="M589" t="str">
        <f>'Audit Report'!M589</f>
        <v/>
      </c>
      <c r="N589" t="str" cm="1">
        <f t="array" ref="N589">IF(M589="","",
_xlfn.TEXTJOIN(", ",TRUE,
    _xlfn.MAP(_xlfn.TEXTSPLIT(M589,","),_xlfn.LAMBDA(_xlpm.x,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9" t="e">
        <f>'Audit Report'!#REF!</f>
        <v>#REF!</v>
      </c>
      <c r="S589" t="str">
        <f>'Audit Report'!N589</f>
        <v/>
      </c>
    </row>
    <row r="590" spans="4:19">
      <c r="D590" t="str">
        <f>'Audit Report'!B590</f>
        <v>ITD-SHRXXX-XX589</v>
      </c>
      <c r="E590" t="str">
        <f>'Audit Report'!C590</f>
        <v/>
      </c>
      <c r="I590" t="str">
        <f>'Audit Report'!E590</f>
        <v/>
      </c>
      <c r="J590" t="str">
        <f>'Audit Report'!G590</f>
        <v/>
      </c>
      <c r="L590" t="str">
        <f>_xlfn.TEXTJOIN(", ", FALSE, 'Audit Report'!J590,'Audit Report'!K590,'Audit Report'!L590)</f>
        <v xml:space="preserve">, , </v>
      </c>
      <c r="M590" t="str">
        <f>'Audit Report'!M590</f>
        <v/>
      </c>
      <c r="N590" t="str" cm="1">
        <f t="array" ref="N590">IF(M590="","",
_xlfn.TEXTJOIN(", ",TRUE,
    _xlfn.MAP(_xlfn.TEXTSPLIT(M590,","),_xlfn.LAMBDA(_xlpm.x,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0" t="e">
        <f>'Audit Report'!#REF!</f>
        <v>#REF!</v>
      </c>
      <c r="S590" t="str">
        <f>'Audit Report'!N590</f>
        <v/>
      </c>
    </row>
    <row r="591" spans="4:19">
      <c r="D591" t="str">
        <f>'Audit Report'!B591</f>
        <v>ITD-SHRXXX-XX590</v>
      </c>
      <c r="E591" t="str">
        <f>'Audit Report'!C591</f>
        <v/>
      </c>
      <c r="I591" t="str">
        <f>'Audit Report'!E591</f>
        <v/>
      </c>
      <c r="J591" t="str">
        <f>'Audit Report'!G591</f>
        <v/>
      </c>
      <c r="L591" t="str">
        <f>_xlfn.TEXTJOIN(", ", FALSE, 'Audit Report'!J591,'Audit Report'!K591,'Audit Report'!L591)</f>
        <v xml:space="preserve">, , </v>
      </c>
      <c r="M591" t="str">
        <f>'Audit Report'!M591</f>
        <v/>
      </c>
      <c r="N591" t="str" cm="1">
        <f t="array" ref="N591">IF(M591="","",
_xlfn.TEXTJOIN(", ",TRUE,
    _xlfn.MAP(_xlfn.TEXTSPLIT(M591,","),_xlfn.LAMBDA(_xlpm.x,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1" t="e">
        <f>'Audit Report'!#REF!</f>
        <v>#REF!</v>
      </c>
      <c r="S591" t="str">
        <f>'Audit Report'!N591</f>
        <v/>
      </c>
    </row>
    <row r="592" spans="4:19">
      <c r="D592" t="str">
        <f>'Audit Report'!B592</f>
        <v>ITD-SHRXXX-XX591</v>
      </c>
      <c r="E592" t="str">
        <f>'Audit Report'!C592</f>
        <v/>
      </c>
      <c r="I592" t="str">
        <f>'Audit Report'!E592</f>
        <v/>
      </c>
      <c r="J592" t="str">
        <f>'Audit Report'!G592</f>
        <v/>
      </c>
      <c r="L592" t="str">
        <f>_xlfn.TEXTJOIN(", ", FALSE, 'Audit Report'!J592,'Audit Report'!K592,'Audit Report'!L592)</f>
        <v xml:space="preserve">, , </v>
      </c>
      <c r="M592" t="str">
        <f>'Audit Report'!M592</f>
        <v/>
      </c>
      <c r="N592" t="str" cm="1">
        <f t="array" ref="N592">IF(M592="","",
_xlfn.TEXTJOIN(", ",TRUE,
    _xlfn.MAP(_xlfn.TEXTSPLIT(M592,","),_xlfn.LAMBDA(_xlpm.x,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2" t="e">
        <f>'Audit Report'!#REF!</f>
        <v>#REF!</v>
      </c>
      <c r="S592" t="str">
        <f>'Audit Report'!N592</f>
        <v/>
      </c>
    </row>
    <row r="593" spans="4:19">
      <c r="D593" t="str">
        <f>'Audit Report'!B593</f>
        <v>ITD-SHRXXX-XX592</v>
      </c>
      <c r="E593" t="str">
        <f>'Audit Report'!C593</f>
        <v/>
      </c>
      <c r="I593" t="str">
        <f>'Audit Report'!E593</f>
        <v/>
      </c>
      <c r="J593" t="str">
        <f>'Audit Report'!G593</f>
        <v/>
      </c>
      <c r="L593" t="str">
        <f>_xlfn.TEXTJOIN(", ", FALSE, 'Audit Report'!J593,'Audit Report'!K593,'Audit Report'!L593)</f>
        <v xml:space="preserve">, , </v>
      </c>
      <c r="M593" t="str">
        <f>'Audit Report'!M593</f>
        <v/>
      </c>
      <c r="N593" t="str" cm="1">
        <f t="array" ref="N593">IF(M593="","",
_xlfn.TEXTJOIN(", ",TRUE,
    _xlfn.MAP(_xlfn.TEXTSPLIT(M593,","),_xlfn.LAMBDA(_xlpm.x,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3" t="e">
        <f>'Audit Report'!#REF!</f>
        <v>#REF!</v>
      </c>
      <c r="S593" t="str">
        <f>'Audit Report'!N593</f>
        <v/>
      </c>
    </row>
    <row r="594" spans="4:19">
      <c r="D594" t="str">
        <f>'Audit Report'!B594</f>
        <v>ITD-SHRXXX-XX593</v>
      </c>
      <c r="E594" t="str">
        <f>'Audit Report'!C594</f>
        <v/>
      </c>
      <c r="I594" t="str">
        <f>'Audit Report'!E594</f>
        <v/>
      </c>
      <c r="J594" t="str">
        <f>'Audit Report'!G594</f>
        <v/>
      </c>
      <c r="L594" t="str">
        <f>_xlfn.TEXTJOIN(", ", FALSE, 'Audit Report'!J594,'Audit Report'!K594,'Audit Report'!L594)</f>
        <v xml:space="preserve">, , </v>
      </c>
      <c r="M594" t="str">
        <f>'Audit Report'!M594</f>
        <v/>
      </c>
      <c r="N594" t="str" cm="1">
        <f t="array" ref="N594">IF(M594="","",
_xlfn.TEXTJOIN(", ",TRUE,
    _xlfn.MAP(_xlfn.TEXTSPLIT(M594,","),_xlfn.LAMBDA(_xlpm.x,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4" t="e">
        <f>'Audit Report'!#REF!</f>
        <v>#REF!</v>
      </c>
      <c r="S594" t="str">
        <f>'Audit Report'!N594</f>
        <v/>
      </c>
    </row>
    <row r="595" spans="4:19">
      <c r="D595" t="str">
        <f>'Audit Report'!B595</f>
        <v>ITD-SHRXXX-XX594</v>
      </c>
      <c r="E595" t="str">
        <f>'Audit Report'!C595</f>
        <v/>
      </c>
      <c r="I595" t="str">
        <f>'Audit Report'!E595</f>
        <v/>
      </c>
      <c r="J595" t="str">
        <f>'Audit Report'!G595</f>
        <v/>
      </c>
      <c r="L595" t="str">
        <f>_xlfn.TEXTJOIN(", ", FALSE, 'Audit Report'!J595,'Audit Report'!K595,'Audit Report'!L595)</f>
        <v xml:space="preserve">, , </v>
      </c>
      <c r="M595" t="str">
        <f>'Audit Report'!M595</f>
        <v/>
      </c>
      <c r="N595" t="str" cm="1">
        <f t="array" ref="N595">IF(M595="","",
_xlfn.TEXTJOIN(", ",TRUE,
    _xlfn.MAP(_xlfn.TEXTSPLIT(M595,","),_xlfn.LAMBDA(_xlpm.x,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5" t="e">
        <f>'Audit Report'!#REF!</f>
        <v>#REF!</v>
      </c>
      <c r="S595" t="str">
        <f>'Audit Report'!N595</f>
        <v/>
      </c>
    </row>
    <row r="596" spans="4:19">
      <c r="D596" t="str">
        <f>'Audit Report'!B596</f>
        <v>ITD-SHRXXX-XX595</v>
      </c>
      <c r="E596" t="str">
        <f>'Audit Report'!C596</f>
        <v/>
      </c>
      <c r="I596" t="str">
        <f>'Audit Report'!E596</f>
        <v/>
      </c>
      <c r="J596" t="str">
        <f>'Audit Report'!G596</f>
        <v/>
      </c>
      <c r="L596" t="str">
        <f>_xlfn.TEXTJOIN(", ", FALSE, 'Audit Report'!J596,'Audit Report'!K596,'Audit Report'!L596)</f>
        <v xml:space="preserve">, , </v>
      </c>
      <c r="M596" t="str">
        <f>'Audit Report'!M596</f>
        <v/>
      </c>
      <c r="N596" t="str" cm="1">
        <f t="array" ref="N596">IF(M596="","",
_xlfn.TEXTJOIN(", ",TRUE,
    _xlfn.MAP(_xlfn.TEXTSPLIT(M596,","),_xlfn.LAMBDA(_xlpm.x,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6" t="e">
        <f>'Audit Report'!#REF!</f>
        <v>#REF!</v>
      </c>
      <c r="S596" t="str">
        <f>'Audit Report'!N596</f>
        <v/>
      </c>
    </row>
    <row r="597" spans="4:19">
      <c r="D597" t="str">
        <f>'Audit Report'!B597</f>
        <v>ITD-SHRXXX-XX596</v>
      </c>
      <c r="E597" t="str">
        <f>'Audit Report'!C597</f>
        <v/>
      </c>
      <c r="I597" t="str">
        <f>'Audit Report'!E597</f>
        <v/>
      </c>
      <c r="J597" t="str">
        <f>'Audit Report'!G597</f>
        <v/>
      </c>
      <c r="L597" t="str">
        <f>_xlfn.TEXTJOIN(", ", FALSE, 'Audit Report'!J597,'Audit Report'!K597,'Audit Report'!L597)</f>
        <v xml:space="preserve">, , </v>
      </c>
      <c r="M597" t="str">
        <f>'Audit Report'!M597</f>
        <v/>
      </c>
      <c r="N597" t="str" cm="1">
        <f t="array" ref="N597">IF(M597="","",
_xlfn.TEXTJOIN(", ",TRUE,
    _xlfn.MAP(_xlfn.TEXTSPLIT(M597,","),_xlfn.LAMBDA(_xlpm.x,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7" t="e">
        <f>'Audit Report'!#REF!</f>
        <v>#REF!</v>
      </c>
      <c r="S597" t="str">
        <f>'Audit Report'!N597</f>
        <v/>
      </c>
    </row>
    <row r="598" spans="4:19">
      <c r="D598" t="str">
        <f>'Audit Report'!B598</f>
        <v>ITD-SHRXXX-XX597</v>
      </c>
      <c r="E598" t="str">
        <f>'Audit Report'!C598</f>
        <v/>
      </c>
      <c r="I598" t="str">
        <f>'Audit Report'!E598</f>
        <v/>
      </c>
      <c r="J598" t="str">
        <f>'Audit Report'!G598</f>
        <v/>
      </c>
      <c r="L598" t="str">
        <f>_xlfn.TEXTJOIN(", ", FALSE, 'Audit Report'!J598,'Audit Report'!K598,'Audit Report'!L598)</f>
        <v xml:space="preserve">, , </v>
      </c>
      <c r="M598" t="str">
        <f>'Audit Report'!M598</f>
        <v/>
      </c>
      <c r="N598" t="str" cm="1">
        <f t="array" ref="N598">IF(M598="","",
_xlfn.TEXTJOIN(", ",TRUE,
    _xlfn.MAP(_xlfn.TEXTSPLIT(M598,","),_xlfn.LAMBDA(_xlpm.x,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8" t="e">
        <f>'Audit Report'!#REF!</f>
        <v>#REF!</v>
      </c>
      <c r="S598" t="str">
        <f>'Audit Report'!N598</f>
        <v/>
      </c>
    </row>
    <row r="599" spans="4:19">
      <c r="D599" t="str">
        <f>'Audit Report'!B599</f>
        <v>ITD-SHRXXX-XX598</v>
      </c>
      <c r="E599" t="str">
        <f>'Audit Report'!C599</f>
        <v/>
      </c>
      <c r="I599" t="str">
        <f>'Audit Report'!E599</f>
        <v/>
      </c>
      <c r="J599" t="str">
        <f>'Audit Report'!G599</f>
        <v/>
      </c>
      <c r="L599" t="str">
        <f>_xlfn.TEXTJOIN(", ", FALSE, 'Audit Report'!J599,'Audit Report'!K599,'Audit Report'!L599)</f>
        <v xml:space="preserve">, , </v>
      </c>
      <c r="M599" t="str">
        <f>'Audit Report'!M599</f>
        <v/>
      </c>
      <c r="N599" t="str" cm="1">
        <f t="array" ref="N599">IF(M599="","",
_xlfn.TEXTJOIN(", ",TRUE,
    _xlfn.MAP(_xlfn.TEXTSPLIT(M599,","),_xlfn.LAMBDA(_xlpm.x,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9" t="e">
        <f>'Audit Report'!#REF!</f>
        <v>#REF!</v>
      </c>
      <c r="S599" t="str">
        <f>'Audit Report'!N599</f>
        <v/>
      </c>
    </row>
    <row r="600" spans="4:19">
      <c r="D600" t="str">
        <f>'Audit Report'!B600</f>
        <v>ITD-SHRXXX-XX599</v>
      </c>
      <c r="E600" t="str">
        <f>'Audit Report'!C600</f>
        <v/>
      </c>
      <c r="I600" t="str">
        <f>'Audit Report'!E600</f>
        <v/>
      </c>
      <c r="J600" t="str">
        <f>'Audit Report'!G600</f>
        <v/>
      </c>
      <c r="L600" t="str">
        <f>_xlfn.TEXTJOIN(", ", FALSE, 'Audit Report'!J600,'Audit Report'!K600,'Audit Report'!L600)</f>
        <v xml:space="preserve">, , </v>
      </c>
      <c r="M600" t="str">
        <f>'Audit Report'!M600</f>
        <v/>
      </c>
      <c r="N600" t="str" cm="1">
        <f t="array" ref="N600">IF(M600="","",
_xlfn.TEXTJOIN(", ",TRUE,
    _xlfn.MAP(_xlfn.TEXTSPLIT(M600,","),_xlfn.LAMBDA(_xlpm.x,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0" t="e">
        <f>'Audit Report'!#REF!</f>
        <v>#REF!</v>
      </c>
      <c r="S600" t="str">
        <f>'Audit Report'!N600</f>
        <v/>
      </c>
    </row>
    <row r="601" spans="4:19">
      <c r="D601" t="str">
        <f>'Audit Report'!B601</f>
        <v>ITD-SHRXXX-XX600</v>
      </c>
      <c r="E601" t="str">
        <f>'Audit Report'!C601</f>
        <v/>
      </c>
      <c r="I601" t="str">
        <f>'Audit Report'!E601</f>
        <v/>
      </c>
      <c r="J601" t="str">
        <f>'Audit Report'!G601</f>
        <v/>
      </c>
      <c r="L601" t="str">
        <f>_xlfn.TEXTJOIN(", ", FALSE, 'Audit Report'!J601,'Audit Report'!K601,'Audit Report'!L601)</f>
        <v xml:space="preserve">, , </v>
      </c>
      <c r="M601" t="str">
        <f>'Audit Report'!M601</f>
        <v/>
      </c>
      <c r="N601" t="str" cm="1">
        <f t="array" ref="N601">IF(M601="","",
_xlfn.TEXTJOIN(", ",TRUE,
    _xlfn.MAP(_xlfn.TEXTSPLIT(M601,","),_xlfn.LAMBDA(_xlpm.x,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1" t="e">
        <f>'Audit Report'!#REF!</f>
        <v>#REF!</v>
      </c>
      <c r="S601" t="str">
        <f>'Audit Report'!N601</f>
        <v/>
      </c>
    </row>
    <row r="602" spans="4:19">
      <c r="D602" t="str">
        <f>'Audit Report'!B602</f>
        <v>ITD-SHRXXX-XX601</v>
      </c>
      <c r="E602" t="str">
        <f>'Audit Report'!C602</f>
        <v/>
      </c>
      <c r="I602" t="str">
        <f>'Audit Report'!E602</f>
        <v/>
      </c>
      <c r="J602" t="str">
        <f>'Audit Report'!G602</f>
        <v/>
      </c>
      <c r="L602" t="str">
        <f>_xlfn.TEXTJOIN(", ", FALSE, 'Audit Report'!J602,'Audit Report'!K602,'Audit Report'!L602)</f>
        <v xml:space="preserve">, , </v>
      </c>
      <c r="M602" t="str">
        <f>'Audit Report'!M602</f>
        <v/>
      </c>
      <c r="N602" t="str" cm="1">
        <f t="array" ref="N602">IF(M602="","",
_xlfn.TEXTJOIN(", ",TRUE,
    _xlfn.MAP(_xlfn.TEXTSPLIT(M602,","),_xlfn.LAMBDA(_xlpm.x,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2" t="e">
        <f>'Audit Report'!#REF!</f>
        <v>#REF!</v>
      </c>
      <c r="S602" t="str">
        <f>'Audit Report'!N602</f>
        <v/>
      </c>
    </row>
    <row r="603" spans="4:19">
      <c r="D603" t="str">
        <f>'Audit Report'!B603</f>
        <v>ITD-SHRXXX-XX602</v>
      </c>
      <c r="E603" t="str">
        <f>'Audit Report'!C603</f>
        <v/>
      </c>
      <c r="I603" t="str">
        <f>'Audit Report'!E603</f>
        <v/>
      </c>
      <c r="J603" t="str">
        <f>'Audit Report'!G603</f>
        <v/>
      </c>
      <c r="L603" t="str">
        <f>_xlfn.TEXTJOIN(", ", FALSE, 'Audit Report'!J603,'Audit Report'!K603,'Audit Report'!L603)</f>
        <v xml:space="preserve">, , </v>
      </c>
      <c r="M603" t="str">
        <f>'Audit Report'!M603</f>
        <v/>
      </c>
      <c r="N603" t="str" cm="1">
        <f t="array" ref="N603">IF(M603="","",
_xlfn.TEXTJOIN(", ",TRUE,
    _xlfn.MAP(_xlfn.TEXTSPLIT(M603,","),_xlfn.LAMBDA(_xlpm.x,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3" t="e">
        <f>'Audit Report'!#REF!</f>
        <v>#REF!</v>
      </c>
      <c r="S603" t="str">
        <f>'Audit Report'!N603</f>
        <v/>
      </c>
    </row>
    <row r="604" spans="4:19">
      <c r="D604" t="str">
        <f>'Audit Report'!B604</f>
        <v>ITD-SHRXXX-XX603</v>
      </c>
      <c r="E604" t="str">
        <f>'Audit Report'!C604</f>
        <v/>
      </c>
      <c r="I604" t="str">
        <f>'Audit Report'!E604</f>
        <v/>
      </c>
      <c r="J604" t="str">
        <f>'Audit Report'!G604</f>
        <v/>
      </c>
      <c r="L604" t="str">
        <f>_xlfn.TEXTJOIN(", ", FALSE, 'Audit Report'!J604,'Audit Report'!K604,'Audit Report'!L604)</f>
        <v xml:space="preserve">, , </v>
      </c>
      <c r="M604" t="str">
        <f>'Audit Report'!M604</f>
        <v/>
      </c>
      <c r="N604" t="str" cm="1">
        <f t="array" ref="N604">IF(M604="","",
_xlfn.TEXTJOIN(", ",TRUE,
    _xlfn.MAP(_xlfn.TEXTSPLIT(M604,","),_xlfn.LAMBDA(_xlpm.x,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4" t="e">
        <f>'Audit Report'!#REF!</f>
        <v>#REF!</v>
      </c>
      <c r="S604" t="str">
        <f>'Audit Report'!N604</f>
        <v/>
      </c>
    </row>
    <row r="605" spans="4:19">
      <c r="D605" t="str">
        <f>'Audit Report'!B605</f>
        <v>ITD-SHRXXX-XX604</v>
      </c>
      <c r="E605" t="str">
        <f>'Audit Report'!C605</f>
        <v/>
      </c>
      <c r="I605" t="str">
        <f>'Audit Report'!E605</f>
        <v/>
      </c>
      <c r="J605" t="str">
        <f>'Audit Report'!G605</f>
        <v/>
      </c>
      <c r="L605" t="str">
        <f>_xlfn.TEXTJOIN(", ", FALSE, 'Audit Report'!J605,'Audit Report'!K605,'Audit Report'!L605)</f>
        <v xml:space="preserve">, , </v>
      </c>
      <c r="M605" t="str">
        <f>'Audit Report'!M605</f>
        <v/>
      </c>
      <c r="N605" t="str" cm="1">
        <f t="array" ref="N605">IF(M605="","",
_xlfn.TEXTJOIN(", ",TRUE,
    _xlfn.MAP(_xlfn.TEXTSPLIT(M605,","),_xlfn.LAMBDA(_xlpm.x,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5" t="e">
        <f>'Audit Report'!#REF!</f>
        <v>#REF!</v>
      </c>
      <c r="S605" t="str">
        <f>'Audit Report'!N605</f>
        <v/>
      </c>
    </row>
    <row r="606" spans="4:19">
      <c r="D606" t="str">
        <f>'Audit Report'!B606</f>
        <v>ITD-SHRXXX-XX605</v>
      </c>
      <c r="E606" t="str">
        <f>'Audit Report'!C606</f>
        <v/>
      </c>
      <c r="I606" t="str">
        <f>'Audit Report'!E606</f>
        <v/>
      </c>
      <c r="J606" t="str">
        <f>'Audit Report'!G606</f>
        <v/>
      </c>
      <c r="L606" t="str">
        <f>_xlfn.TEXTJOIN(", ", FALSE, 'Audit Report'!J606,'Audit Report'!K606,'Audit Report'!L606)</f>
        <v xml:space="preserve">, , </v>
      </c>
      <c r="M606" t="str">
        <f>'Audit Report'!M606</f>
        <v/>
      </c>
      <c r="N606" t="str" cm="1">
        <f t="array" ref="N606">IF(M606="","",
_xlfn.TEXTJOIN(", ",TRUE,
    _xlfn.MAP(_xlfn.TEXTSPLIT(M606,","),_xlfn.LAMBDA(_xlpm.x,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6" t="e">
        <f>'Audit Report'!#REF!</f>
        <v>#REF!</v>
      </c>
      <c r="S606" t="str">
        <f>'Audit Report'!N606</f>
        <v/>
      </c>
    </row>
    <row r="607" spans="4:19">
      <c r="D607" t="str">
        <f>'Audit Report'!B607</f>
        <v>ITD-SHRXXX-XX606</v>
      </c>
      <c r="E607" t="str">
        <f>'Audit Report'!C607</f>
        <v/>
      </c>
      <c r="I607" t="str">
        <f>'Audit Report'!E607</f>
        <v/>
      </c>
      <c r="J607" t="str">
        <f>'Audit Report'!G607</f>
        <v/>
      </c>
      <c r="L607" t="str">
        <f>_xlfn.TEXTJOIN(", ", FALSE, 'Audit Report'!J607,'Audit Report'!K607,'Audit Report'!L607)</f>
        <v xml:space="preserve">, , </v>
      </c>
      <c r="M607" t="str">
        <f>'Audit Report'!M607</f>
        <v/>
      </c>
      <c r="N607" t="str" cm="1">
        <f t="array" ref="N607">IF(M607="","",
_xlfn.TEXTJOIN(", ",TRUE,
    _xlfn.MAP(_xlfn.TEXTSPLIT(M607,","),_xlfn.LAMBDA(_xlpm.x,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7" t="e">
        <f>'Audit Report'!#REF!</f>
        <v>#REF!</v>
      </c>
      <c r="S607" t="str">
        <f>'Audit Report'!N607</f>
        <v/>
      </c>
    </row>
    <row r="608" spans="4:19">
      <c r="D608" t="str">
        <f>'Audit Report'!B608</f>
        <v>ITD-SHRXXX-XX607</v>
      </c>
      <c r="E608" t="str">
        <f>'Audit Report'!C608</f>
        <v/>
      </c>
      <c r="I608" t="str">
        <f>'Audit Report'!E608</f>
        <v/>
      </c>
      <c r="J608" t="str">
        <f>'Audit Report'!G608</f>
        <v/>
      </c>
      <c r="L608" t="str">
        <f>_xlfn.TEXTJOIN(", ", FALSE, 'Audit Report'!J608,'Audit Report'!K608,'Audit Report'!L608)</f>
        <v xml:space="preserve">, , </v>
      </c>
      <c r="M608" t="str">
        <f>'Audit Report'!M608</f>
        <v/>
      </c>
      <c r="N608" t="str" cm="1">
        <f t="array" ref="N608">IF(M608="","",
_xlfn.TEXTJOIN(", ",TRUE,
    _xlfn.MAP(_xlfn.TEXTSPLIT(M608,","),_xlfn.LAMBDA(_xlpm.x,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8" t="e">
        <f>'Audit Report'!#REF!</f>
        <v>#REF!</v>
      </c>
      <c r="S608" t="str">
        <f>'Audit Report'!N608</f>
        <v/>
      </c>
    </row>
    <row r="609" spans="4:19">
      <c r="D609" t="str">
        <f>'Audit Report'!B609</f>
        <v>ITD-SHRXXX-XX608</v>
      </c>
      <c r="E609" t="str">
        <f>'Audit Report'!C609</f>
        <v/>
      </c>
      <c r="I609" t="str">
        <f>'Audit Report'!E609</f>
        <v/>
      </c>
      <c r="J609" t="str">
        <f>'Audit Report'!G609</f>
        <v/>
      </c>
      <c r="L609" t="str">
        <f>_xlfn.TEXTJOIN(", ", FALSE, 'Audit Report'!J609,'Audit Report'!K609,'Audit Report'!L609)</f>
        <v xml:space="preserve">, , </v>
      </c>
      <c r="M609" t="str">
        <f>'Audit Report'!M609</f>
        <v/>
      </c>
      <c r="N609" t="str" cm="1">
        <f t="array" ref="N609">IF(M609="","",
_xlfn.TEXTJOIN(", ",TRUE,
    _xlfn.MAP(_xlfn.TEXTSPLIT(M609,","),_xlfn.LAMBDA(_xlpm.x,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9" t="e">
        <f>'Audit Report'!#REF!</f>
        <v>#REF!</v>
      </c>
      <c r="S609" t="str">
        <f>'Audit Report'!N609</f>
        <v/>
      </c>
    </row>
    <row r="610" spans="4:19">
      <c r="D610" t="str">
        <f>'Audit Report'!B610</f>
        <v>ITD-SHRXXX-XX609</v>
      </c>
      <c r="E610" t="str">
        <f>'Audit Report'!C610</f>
        <v/>
      </c>
      <c r="I610" t="str">
        <f>'Audit Report'!E610</f>
        <v/>
      </c>
      <c r="J610" t="str">
        <f>'Audit Report'!G610</f>
        <v/>
      </c>
      <c r="L610" t="str">
        <f>_xlfn.TEXTJOIN(", ", FALSE, 'Audit Report'!J610,'Audit Report'!K610,'Audit Report'!L610)</f>
        <v xml:space="preserve">, , </v>
      </c>
      <c r="M610" t="str">
        <f>'Audit Report'!M610</f>
        <v/>
      </c>
      <c r="N610" t="str" cm="1">
        <f t="array" ref="N610">IF(M610="","",
_xlfn.TEXTJOIN(", ",TRUE,
    _xlfn.MAP(_xlfn.TEXTSPLIT(M610,","),_xlfn.LAMBDA(_xlpm.x,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0" t="e">
        <f>'Audit Report'!#REF!</f>
        <v>#REF!</v>
      </c>
      <c r="S610" t="str">
        <f>'Audit Report'!N610</f>
        <v/>
      </c>
    </row>
    <row r="611" spans="4:19">
      <c r="D611" t="str">
        <f>'Audit Report'!B611</f>
        <v>ITD-SHRXXX-XX610</v>
      </c>
      <c r="E611" t="str">
        <f>'Audit Report'!C611</f>
        <v/>
      </c>
      <c r="I611" t="str">
        <f>'Audit Report'!E611</f>
        <v/>
      </c>
      <c r="J611" t="str">
        <f>'Audit Report'!G611</f>
        <v/>
      </c>
      <c r="L611" t="str">
        <f>_xlfn.TEXTJOIN(", ", FALSE, 'Audit Report'!J611,'Audit Report'!K611,'Audit Report'!L611)</f>
        <v xml:space="preserve">, , </v>
      </c>
      <c r="M611" t="str">
        <f>'Audit Report'!M611</f>
        <v/>
      </c>
      <c r="N611" t="str" cm="1">
        <f t="array" ref="N611">IF(M611="","",
_xlfn.TEXTJOIN(", ",TRUE,
    _xlfn.MAP(_xlfn.TEXTSPLIT(M611,","),_xlfn.LAMBDA(_xlpm.x,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1" t="e">
        <f>'Audit Report'!#REF!</f>
        <v>#REF!</v>
      </c>
      <c r="S611" t="str">
        <f>'Audit Report'!N611</f>
        <v/>
      </c>
    </row>
    <row r="612" spans="4:19">
      <c r="D612" t="str">
        <f>'Audit Report'!B612</f>
        <v>ITD-SHRXXX-XX611</v>
      </c>
      <c r="E612" t="str">
        <f>'Audit Report'!C612</f>
        <v/>
      </c>
      <c r="I612" t="str">
        <f>'Audit Report'!E612</f>
        <v/>
      </c>
      <c r="J612" t="str">
        <f>'Audit Report'!G612</f>
        <v/>
      </c>
      <c r="L612" t="str">
        <f>_xlfn.TEXTJOIN(", ", FALSE, 'Audit Report'!J612,'Audit Report'!K612,'Audit Report'!L612)</f>
        <v xml:space="preserve">, , </v>
      </c>
      <c r="M612" t="str">
        <f>'Audit Report'!M612</f>
        <v/>
      </c>
      <c r="N612" t="str" cm="1">
        <f t="array" ref="N612">IF(M612="","",
_xlfn.TEXTJOIN(", ",TRUE,
    _xlfn.MAP(_xlfn.TEXTSPLIT(M612,","),_xlfn.LAMBDA(_xlpm.x,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2" t="e">
        <f>'Audit Report'!#REF!</f>
        <v>#REF!</v>
      </c>
      <c r="S612" t="str">
        <f>'Audit Report'!N612</f>
        <v/>
      </c>
    </row>
    <row r="613" spans="4:19">
      <c r="D613" t="str">
        <f>'Audit Report'!B613</f>
        <v>ITD-SHRXXX-XX612</v>
      </c>
      <c r="E613" t="str">
        <f>'Audit Report'!C613</f>
        <v/>
      </c>
      <c r="I613" t="str">
        <f>'Audit Report'!E613</f>
        <v/>
      </c>
      <c r="J613" t="str">
        <f>'Audit Report'!G613</f>
        <v/>
      </c>
      <c r="L613" t="str">
        <f>_xlfn.TEXTJOIN(", ", FALSE, 'Audit Report'!J613,'Audit Report'!K613,'Audit Report'!L613)</f>
        <v xml:space="preserve">, , </v>
      </c>
      <c r="M613" t="str">
        <f>'Audit Report'!M613</f>
        <v/>
      </c>
      <c r="N613" t="str" cm="1">
        <f t="array" ref="N613">IF(M613="","",
_xlfn.TEXTJOIN(", ",TRUE,
    _xlfn.MAP(_xlfn.TEXTSPLIT(M613,","),_xlfn.LAMBDA(_xlpm.x,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3" t="e">
        <f>'Audit Report'!#REF!</f>
        <v>#REF!</v>
      </c>
      <c r="S613" t="str">
        <f>'Audit Report'!N613</f>
        <v/>
      </c>
    </row>
    <row r="614" spans="4:19">
      <c r="D614" t="str">
        <f>'Audit Report'!B614</f>
        <v>ITD-SHRXXX-XX613</v>
      </c>
      <c r="E614" t="str">
        <f>'Audit Report'!C614</f>
        <v/>
      </c>
      <c r="I614" t="str">
        <f>'Audit Report'!E614</f>
        <v/>
      </c>
      <c r="J614" t="str">
        <f>'Audit Report'!G614</f>
        <v/>
      </c>
      <c r="L614" t="str">
        <f>_xlfn.TEXTJOIN(", ", FALSE, 'Audit Report'!J614,'Audit Report'!K614,'Audit Report'!L614)</f>
        <v xml:space="preserve">, , </v>
      </c>
      <c r="M614" t="str">
        <f>'Audit Report'!M614</f>
        <v/>
      </c>
      <c r="N614" t="str" cm="1">
        <f t="array" ref="N614">IF(M614="","",
_xlfn.TEXTJOIN(", ",TRUE,
    _xlfn.MAP(_xlfn.TEXTSPLIT(M614,","),_xlfn.LAMBDA(_xlpm.x,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4" t="e">
        <f>'Audit Report'!#REF!</f>
        <v>#REF!</v>
      </c>
      <c r="S614" t="str">
        <f>'Audit Report'!N614</f>
        <v/>
      </c>
    </row>
    <row r="615" spans="4:19">
      <c r="D615" t="str">
        <f>'Audit Report'!B615</f>
        <v>ITD-SHRXXX-XX614</v>
      </c>
      <c r="E615" t="str">
        <f>'Audit Report'!C615</f>
        <v/>
      </c>
      <c r="I615" t="str">
        <f>'Audit Report'!E615</f>
        <v/>
      </c>
      <c r="J615" t="str">
        <f>'Audit Report'!G615</f>
        <v/>
      </c>
      <c r="L615" t="str">
        <f>_xlfn.TEXTJOIN(", ", FALSE, 'Audit Report'!J615,'Audit Report'!K615,'Audit Report'!L615)</f>
        <v xml:space="preserve">, , </v>
      </c>
      <c r="M615" t="str">
        <f>'Audit Report'!M615</f>
        <v/>
      </c>
      <c r="N615" t="str" cm="1">
        <f t="array" ref="N615">IF(M615="","",
_xlfn.TEXTJOIN(", ",TRUE,
    _xlfn.MAP(_xlfn.TEXTSPLIT(M615,","),_xlfn.LAMBDA(_xlpm.x,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5" t="e">
        <f>'Audit Report'!#REF!</f>
        <v>#REF!</v>
      </c>
      <c r="S615" t="str">
        <f>'Audit Report'!N615</f>
        <v/>
      </c>
    </row>
    <row r="616" spans="4:19">
      <c r="D616" t="str">
        <f>'Audit Report'!B616</f>
        <v>ITD-SHRXXX-XX615</v>
      </c>
      <c r="E616" t="str">
        <f>'Audit Report'!C616</f>
        <v/>
      </c>
      <c r="I616" t="str">
        <f>'Audit Report'!E616</f>
        <v/>
      </c>
      <c r="J616" t="str">
        <f>'Audit Report'!G616</f>
        <v/>
      </c>
      <c r="L616" t="str">
        <f>_xlfn.TEXTJOIN(", ", FALSE, 'Audit Report'!J616,'Audit Report'!K616,'Audit Report'!L616)</f>
        <v xml:space="preserve">, , </v>
      </c>
      <c r="M616" t="str">
        <f>'Audit Report'!M616</f>
        <v/>
      </c>
      <c r="N616" t="str" cm="1">
        <f t="array" ref="N616">IF(M616="","",
_xlfn.TEXTJOIN(", ",TRUE,
    _xlfn.MAP(_xlfn.TEXTSPLIT(M616,","),_xlfn.LAMBDA(_xlpm.x,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6" t="e">
        <f>'Audit Report'!#REF!</f>
        <v>#REF!</v>
      </c>
      <c r="S616" t="str">
        <f>'Audit Report'!N616</f>
        <v/>
      </c>
    </row>
    <row r="617" spans="4:19">
      <c r="D617" t="str">
        <f>'Audit Report'!B617</f>
        <v>ITD-SHRXXX-XX616</v>
      </c>
      <c r="E617" t="str">
        <f>'Audit Report'!C617</f>
        <v/>
      </c>
      <c r="I617" t="str">
        <f>'Audit Report'!E617</f>
        <v/>
      </c>
      <c r="J617" t="str">
        <f>'Audit Report'!G617</f>
        <v/>
      </c>
      <c r="L617" t="str">
        <f>_xlfn.TEXTJOIN(", ", FALSE, 'Audit Report'!J617,'Audit Report'!K617,'Audit Report'!L617)</f>
        <v xml:space="preserve">, , </v>
      </c>
      <c r="M617" t="str">
        <f>'Audit Report'!M617</f>
        <v/>
      </c>
      <c r="N617" t="str" cm="1">
        <f t="array" ref="N617">IF(M617="","",
_xlfn.TEXTJOIN(", ",TRUE,
    _xlfn.MAP(_xlfn.TEXTSPLIT(M617,","),_xlfn.LAMBDA(_xlpm.x,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7" t="e">
        <f>'Audit Report'!#REF!</f>
        <v>#REF!</v>
      </c>
      <c r="S617" t="str">
        <f>'Audit Report'!N617</f>
        <v/>
      </c>
    </row>
    <row r="618" spans="4:19">
      <c r="D618" t="str">
        <f>'Audit Report'!B618</f>
        <v>ITD-SHRXXX-XX617</v>
      </c>
      <c r="E618" t="str">
        <f>'Audit Report'!C618</f>
        <v/>
      </c>
      <c r="I618" t="str">
        <f>'Audit Report'!E618</f>
        <v/>
      </c>
      <c r="J618" t="str">
        <f>'Audit Report'!G618</f>
        <v/>
      </c>
      <c r="L618" t="str">
        <f>_xlfn.TEXTJOIN(", ", FALSE, 'Audit Report'!J618,'Audit Report'!K618,'Audit Report'!L618)</f>
        <v xml:space="preserve">, , </v>
      </c>
      <c r="M618" t="str">
        <f>'Audit Report'!M618</f>
        <v/>
      </c>
      <c r="N618" t="str" cm="1">
        <f t="array" ref="N618">IF(M618="","",
_xlfn.TEXTJOIN(", ",TRUE,
    _xlfn.MAP(_xlfn.TEXTSPLIT(M618,","),_xlfn.LAMBDA(_xlpm.x,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8" t="e">
        <f>'Audit Report'!#REF!</f>
        <v>#REF!</v>
      </c>
      <c r="S618" t="str">
        <f>'Audit Report'!N618</f>
        <v/>
      </c>
    </row>
    <row r="619" spans="4:19">
      <c r="D619" t="str">
        <f>'Audit Report'!B619</f>
        <v>ITD-SHRXXX-XX618</v>
      </c>
      <c r="E619" t="str">
        <f>'Audit Report'!C619</f>
        <v/>
      </c>
      <c r="I619" t="str">
        <f>'Audit Report'!E619</f>
        <v/>
      </c>
      <c r="J619" t="str">
        <f>'Audit Report'!G619</f>
        <v/>
      </c>
      <c r="L619" t="str">
        <f>_xlfn.TEXTJOIN(", ", FALSE, 'Audit Report'!J619,'Audit Report'!K619,'Audit Report'!L619)</f>
        <v xml:space="preserve">, , </v>
      </c>
      <c r="M619" t="str">
        <f>'Audit Report'!M619</f>
        <v/>
      </c>
      <c r="N619" t="str" cm="1">
        <f t="array" ref="N619">IF(M619="","",
_xlfn.TEXTJOIN(", ",TRUE,
    _xlfn.MAP(_xlfn.TEXTSPLIT(M619,","),_xlfn.LAMBDA(_xlpm.x,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9" t="e">
        <f>'Audit Report'!#REF!</f>
        <v>#REF!</v>
      </c>
      <c r="S619" t="str">
        <f>'Audit Report'!N619</f>
        <v/>
      </c>
    </row>
    <row r="620" spans="4:19">
      <c r="D620" t="str">
        <f>'Audit Report'!B620</f>
        <v>ITD-SHRXXX-XX619</v>
      </c>
      <c r="E620" t="str">
        <f>'Audit Report'!C620</f>
        <v/>
      </c>
      <c r="I620" t="str">
        <f>'Audit Report'!E620</f>
        <v/>
      </c>
      <c r="J620" t="str">
        <f>'Audit Report'!G620</f>
        <v/>
      </c>
      <c r="L620" t="str">
        <f>_xlfn.TEXTJOIN(", ", FALSE, 'Audit Report'!J620,'Audit Report'!K620,'Audit Report'!L620)</f>
        <v xml:space="preserve">, , </v>
      </c>
      <c r="M620" t="str">
        <f>'Audit Report'!M620</f>
        <v/>
      </c>
      <c r="N620" t="str" cm="1">
        <f t="array" ref="N620">IF(M620="","",
_xlfn.TEXTJOIN(", ",TRUE,
    _xlfn.MAP(_xlfn.TEXTSPLIT(M620,","),_xlfn.LAMBDA(_xlpm.x,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0" t="e">
        <f>'Audit Report'!#REF!</f>
        <v>#REF!</v>
      </c>
      <c r="S620" t="str">
        <f>'Audit Report'!N620</f>
        <v/>
      </c>
    </row>
    <row r="621" spans="4:19">
      <c r="D621" t="str">
        <f>'Audit Report'!B621</f>
        <v>ITD-SHRXXX-XX620</v>
      </c>
      <c r="E621" t="str">
        <f>'Audit Report'!C621</f>
        <v/>
      </c>
      <c r="I621" t="str">
        <f>'Audit Report'!E621</f>
        <v/>
      </c>
      <c r="J621" t="str">
        <f>'Audit Report'!G621</f>
        <v/>
      </c>
      <c r="L621" t="str">
        <f>_xlfn.TEXTJOIN(", ", FALSE, 'Audit Report'!J621,'Audit Report'!K621,'Audit Report'!L621)</f>
        <v xml:space="preserve">, , </v>
      </c>
      <c r="M621" t="str">
        <f>'Audit Report'!M621</f>
        <v/>
      </c>
      <c r="N621" t="str" cm="1">
        <f t="array" ref="N621">IF(M621="","",
_xlfn.TEXTJOIN(", ",TRUE,
    _xlfn.MAP(_xlfn.TEXTSPLIT(M621,","),_xlfn.LAMBDA(_xlpm.x,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1" t="e">
        <f>'Audit Report'!#REF!</f>
        <v>#REF!</v>
      </c>
      <c r="S621" t="str">
        <f>'Audit Report'!N621</f>
        <v/>
      </c>
    </row>
    <row r="622" spans="4:19">
      <c r="D622" t="str">
        <f>'Audit Report'!B622</f>
        <v>ITD-SHRXXX-XX621</v>
      </c>
      <c r="E622" t="str">
        <f>'Audit Report'!C622</f>
        <v/>
      </c>
      <c r="I622" t="str">
        <f>'Audit Report'!E622</f>
        <v/>
      </c>
      <c r="J622" t="str">
        <f>'Audit Report'!G622</f>
        <v/>
      </c>
      <c r="L622" t="str">
        <f>_xlfn.TEXTJOIN(", ", FALSE, 'Audit Report'!J622,'Audit Report'!K622,'Audit Report'!L622)</f>
        <v xml:space="preserve">, , </v>
      </c>
      <c r="M622" t="str">
        <f>'Audit Report'!M622</f>
        <v/>
      </c>
      <c r="N622" t="str" cm="1">
        <f t="array" ref="N622">IF(M622="","",
_xlfn.TEXTJOIN(", ",TRUE,
    _xlfn.MAP(_xlfn.TEXTSPLIT(M622,","),_xlfn.LAMBDA(_xlpm.x,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2" t="e">
        <f>'Audit Report'!#REF!</f>
        <v>#REF!</v>
      </c>
      <c r="S622" t="str">
        <f>'Audit Report'!N622</f>
        <v/>
      </c>
    </row>
    <row r="623" spans="4:19">
      <c r="D623" t="str">
        <f>'Audit Report'!B623</f>
        <v>ITD-SHRXXX-XX622</v>
      </c>
      <c r="E623" t="str">
        <f>'Audit Report'!C623</f>
        <v/>
      </c>
      <c r="I623" t="str">
        <f>'Audit Report'!E623</f>
        <v/>
      </c>
      <c r="J623" t="str">
        <f>'Audit Report'!G623</f>
        <v/>
      </c>
      <c r="L623" t="str">
        <f>_xlfn.TEXTJOIN(", ", FALSE, 'Audit Report'!J623,'Audit Report'!K623,'Audit Report'!L623)</f>
        <v xml:space="preserve">, , </v>
      </c>
      <c r="M623" t="str">
        <f>'Audit Report'!M623</f>
        <v/>
      </c>
      <c r="N623" t="str" cm="1">
        <f t="array" ref="N623">IF(M623="","",
_xlfn.TEXTJOIN(", ",TRUE,
    _xlfn.MAP(_xlfn.TEXTSPLIT(M623,","),_xlfn.LAMBDA(_xlpm.x,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3" t="e">
        <f>'Audit Report'!#REF!</f>
        <v>#REF!</v>
      </c>
      <c r="S623" t="str">
        <f>'Audit Report'!N623</f>
        <v/>
      </c>
    </row>
    <row r="624" spans="4:19">
      <c r="D624" t="str">
        <f>'Audit Report'!B624</f>
        <v>ITD-SHRXXX-XX623</v>
      </c>
      <c r="E624" t="str">
        <f>'Audit Report'!C624</f>
        <v/>
      </c>
      <c r="I624" t="str">
        <f>'Audit Report'!E624</f>
        <v/>
      </c>
      <c r="J624" t="str">
        <f>'Audit Report'!G624</f>
        <v/>
      </c>
      <c r="L624" t="str">
        <f>_xlfn.TEXTJOIN(", ", FALSE, 'Audit Report'!J624,'Audit Report'!K624,'Audit Report'!L624)</f>
        <v xml:space="preserve">, , </v>
      </c>
      <c r="M624" t="str">
        <f>'Audit Report'!M624</f>
        <v/>
      </c>
      <c r="N624" t="str" cm="1">
        <f t="array" ref="N624">IF(M624="","",
_xlfn.TEXTJOIN(", ",TRUE,
    _xlfn.MAP(_xlfn.TEXTSPLIT(M624,","),_xlfn.LAMBDA(_xlpm.x,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4" t="e">
        <f>'Audit Report'!#REF!</f>
        <v>#REF!</v>
      </c>
      <c r="S624" t="str">
        <f>'Audit Report'!N624</f>
        <v/>
      </c>
    </row>
    <row r="625" spans="4:19">
      <c r="D625" t="str">
        <f>'Audit Report'!B625</f>
        <v>ITD-SHRXXX-XX624</v>
      </c>
      <c r="E625" t="str">
        <f>'Audit Report'!C625</f>
        <v/>
      </c>
      <c r="I625" t="str">
        <f>'Audit Report'!E625</f>
        <v/>
      </c>
      <c r="J625" t="str">
        <f>'Audit Report'!G625</f>
        <v/>
      </c>
      <c r="L625" t="str">
        <f>_xlfn.TEXTJOIN(", ", FALSE, 'Audit Report'!J625,'Audit Report'!K625,'Audit Report'!L625)</f>
        <v xml:space="preserve">, , </v>
      </c>
      <c r="M625" t="str">
        <f>'Audit Report'!M625</f>
        <v/>
      </c>
      <c r="N625" t="str" cm="1">
        <f t="array" ref="N625">IF(M625="","",
_xlfn.TEXTJOIN(", ",TRUE,
    _xlfn.MAP(_xlfn.TEXTSPLIT(M625,","),_xlfn.LAMBDA(_xlpm.x,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5" t="e">
        <f>'Audit Report'!#REF!</f>
        <v>#REF!</v>
      </c>
      <c r="S625" t="str">
        <f>'Audit Report'!N625</f>
        <v/>
      </c>
    </row>
    <row r="626" spans="4:19">
      <c r="D626" t="str">
        <f>'Audit Report'!B626</f>
        <v>ITD-SHRXXX-XX625</v>
      </c>
      <c r="E626" t="str">
        <f>'Audit Report'!C626</f>
        <v/>
      </c>
      <c r="I626" t="str">
        <f>'Audit Report'!E626</f>
        <v/>
      </c>
      <c r="J626" t="str">
        <f>'Audit Report'!G626</f>
        <v/>
      </c>
      <c r="L626" t="str">
        <f>_xlfn.TEXTJOIN(", ", FALSE, 'Audit Report'!J626,'Audit Report'!K626,'Audit Report'!L626)</f>
        <v xml:space="preserve">, , </v>
      </c>
      <c r="M626" t="str">
        <f>'Audit Report'!M626</f>
        <v/>
      </c>
      <c r="N626" t="str" cm="1">
        <f t="array" ref="N626">IF(M626="","",
_xlfn.TEXTJOIN(", ",TRUE,
    _xlfn.MAP(_xlfn.TEXTSPLIT(M626,","),_xlfn.LAMBDA(_xlpm.x,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6" t="e">
        <f>'Audit Report'!#REF!</f>
        <v>#REF!</v>
      </c>
      <c r="S626" t="str">
        <f>'Audit Report'!N626</f>
        <v/>
      </c>
    </row>
    <row r="627" spans="4:19">
      <c r="D627" t="str">
        <f>'Audit Report'!B627</f>
        <v>ITD-SHRXXX-XX626</v>
      </c>
      <c r="E627" t="str">
        <f>'Audit Report'!C627</f>
        <v/>
      </c>
      <c r="I627" t="str">
        <f>'Audit Report'!E627</f>
        <v/>
      </c>
      <c r="J627" t="str">
        <f>'Audit Report'!G627</f>
        <v/>
      </c>
      <c r="L627" t="str">
        <f>_xlfn.TEXTJOIN(", ", FALSE, 'Audit Report'!J627,'Audit Report'!K627,'Audit Report'!L627)</f>
        <v xml:space="preserve">, , </v>
      </c>
      <c r="M627" t="str">
        <f>'Audit Report'!M627</f>
        <v/>
      </c>
      <c r="N627" t="str" cm="1">
        <f t="array" ref="N627">IF(M627="","",
_xlfn.TEXTJOIN(", ",TRUE,
    _xlfn.MAP(_xlfn.TEXTSPLIT(M627,","),_xlfn.LAMBDA(_xlpm.x,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7" t="e">
        <f>'Audit Report'!#REF!</f>
        <v>#REF!</v>
      </c>
      <c r="S627" t="str">
        <f>'Audit Report'!N627</f>
        <v/>
      </c>
    </row>
    <row r="628" spans="4:19">
      <c r="D628" t="str">
        <f>'Audit Report'!B628</f>
        <v>ITD-SHRXXX-XX627</v>
      </c>
      <c r="E628" t="str">
        <f>'Audit Report'!C628</f>
        <v/>
      </c>
      <c r="I628" t="str">
        <f>'Audit Report'!E628</f>
        <v/>
      </c>
      <c r="J628" t="str">
        <f>'Audit Report'!G628</f>
        <v/>
      </c>
      <c r="L628" t="str">
        <f>_xlfn.TEXTJOIN(", ", FALSE, 'Audit Report'!J628,'Audit Report'!K628,'Audit Report'!L628)</f>
        <v xml:space="preserve">, , </v>
      </c>
      <c r="M628" t="str">
        <f>'Audit Report'!M628</f>
        <v/>
      </c>
      <c r="N628" t="str" cm="1">
        <f t="array" ref="N628">IF(M628="","",
_xlfn.TEXTJOIN(", ",TRUE,
    _xlfn.MAP(_xlfn.TEXTSPLIT(M628,","),_xlfn.LAMBDA(_xlpm.x,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8" t="e">
        <f>'Audit Report'!#REF!</f>
        <v>#REF!</v>
      </c>
      <c r="S628" t="str">
        <f>'Audit Report'!N628</f>
        <v/>
      </c>
    </row>
    <row r="629" spans="4:19">
      <c r="D629" t="str">
        <f>'Audit Report'!B629</f>
        <v>ITD-SHRXXX-XX628</v>
      </c>
      <c r="E629" t="str">
        <f>'Audit Report'!C629</f>
        <v/>
      </c>
      <c r="I629" t="str">
        <f>'Audit Report'!E629</f>
        <v/>
      </c>
      <c r="J629" t="str">
        <f>'Audit Report'!G629</f>
        <v/>
      </c>
      <c r="L629" t="str">
        <f>_xlfn.TEXTJOIN(", ", FALSE, 'Audit Report'!J629,'Audit Report'!K629,'Audit Report'!L629)</f>
        <v xml:space="preserve">, , </v>
      </c>
      <c r="M629" t="str">
        <f>'Audit Report'!M629</f>
        <v/>
      </c>
      <c r="N629" t="str" cm="1">
        <f t="array" ref="N629">IF(M629="","",
_xlfn.TEXTJOIN(", ",TRUE,
    _xlfn.MAP(_xlfn.TEXTSPLIT(M629,","),_xlfn.LAMBDA(_xlpm.x,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9" t="e">
        <f>'Audit Report'!#REF!</f>
        <v>#REF!</v>
      </c>
      <c r="S629" t="str">
        <f>'Audit Report'!N629</f>
        <v/>
      </c>
    </row>
    <row r="630" spans="4:19">
      <c r="D630" t="str">
        <f>'Audit Report'!B630</f>
        <v>ITD-SHRXXX-XX629</v>
      </c>
      <c r="E630" t="str">
        <f>'Audit Report'!C630</f>
        <v/>
      </c>
      <c r="I630" t="str">
        <f>'Audit Report'!E630</f>
        <v/>
      </c>
      <c r="J630" t="str">
        <f>'Audit Report'!G630</f>
        <v/>
      </c>
      <c r="L630" t="str">
        <f>_xlfn.TEXTJOIN(", ", FALSE, 'Audit Report'!J630,'Audit Report'!K630,'Audit Report'!L630)</f>
        <v xml:space="preserve">, , </v>
      </c>
      <c r="M630" t="str">
        <f>'Audit Report'!M630</f>
        <v/>
      </c>
      <c r="N630" t="str" cm="1">
        <f t="array" ref="N630">IF(M630="","",
_xlfn.TEXTJOIN(", ",TRUE,
    _xlfn.MAP(_xlfn.TEXTSPLIT(M630,","),_xlfn.LAMBDA(_xlpm.x,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0" t="e">
        <f>'Audit Report'!#REF!</f>
        <v>#REF!</v>
      </c>
      <c r="S630" t="str">
        <f>'Audit Report'!N630</f>
        <v/>
      </c>
    </row>
    <row r="631" spans="4:19">
      <c r="D631" t="str">
        <f>'Audit Report'!B631</f>
        <v>ITD-SHRXXX-XX630</v>
      </c>
      <c r="E631" t="str">
        <f>'Audit Report'!C631</f>
        <v/>
      </c>
      <c r="I631" t="str">
        <f>'Audit Report'!E631</f>
        <v/>
      </c>
      <c r="J631" t="str">
        <f>'Audit Report'!G631</f>
        <v/>
      </c>
      <c r="L631" t="str">
        <f>_xlfn.TEXTJOIN(", ", FALSE, 'Audit Report'!J631,'Audit Report'!K631,'Audit Report'!L631)</f>
        <v xml:space="preserve">, , </v>
      </c>
      <c r="M631" t="str">
        <f>'Audit Report'!M631</f>
        <v/>
      </c>
      <c r="N631" t="str" cm="1">
        <f t="array" ref="N631">IF(M631="","",
_xlfn.TEXTJOIN(", ",TRUE,
    _xlfn.MAP(_xlfn.TEXTSPLIT(M631,","),_xlfn.LAMBDA(_xlpm.x,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1" t="e">
        <f>'Audit Report'!#REF!</f>
        <v>#REF!</v>
      </c>
      <c r="S631" t="str">
        <f>'Audit Report'!N631</f>
        <v/>
      </c>
    </row>
    <row r="632" spans="4:19">
      <c r="D632" t="str">
        <f>'Audit Report'!B632</f>
        <v>ITD-SHRXXX-XX631</v>
      </c>
      <c r="E632" t="str">
        <f>'Audit Report'!C632</f>
        <v/>
      </c>
      <c r="I632" t="str">
        <f>'Audit Report'!E632</f>
        <v/>
      </c>
      <c r="J632" t="str">
        <f>'Audit Report'!G632</f>
        <v/>
      </c>
      <c r="L632" t="str">
        <f>_xlfn.TEXTJOIN(", ", FALSE, 'Audit Report'!J632,'Audit Report'!K632,'Audit Report'!L632)</f>
        <v xml:space="preserve">, , </v>
      </c>
      <c r="M632" t="str">
        <f>'Audit Report'!M632</f>
        <v/>
      </c>
      <c r="N632" t="str" cm="1">
        <f t="array" ref="N632">IF(M632="","",
_xlfn.TEXTJOIN(", ",TRUE,
    _xlfn.MAP(_xlfn.TEXTSPLIT(M632,","),_xlfn.LAMBDA(_xlpm.x,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2" t="e">
        <f>'Audit Report'!#REF!</f>
        <v>#REF!</v>
      </c>
      <c r="S632" t="str">
        <f>'Audit Report'!N632</f>
        <v/>
      </c>
    </row>
    <row r="633" spans="4:19">
      <c r="D633" t="str">
        <f>'Audit Report'!B633</f>
        <v>ITD-SHRXXX-XX632</v>
      </c>
      <c r="E633" t="str">
        <f>'Audit Report'!C633</f>
        <v/>
      </c>
      <c r="I633" t="str">
        <f>'Audit Report'!E633</f>
        <v/>
      </c>
      <c r="J633" t="str">
        <f>'Audit Report'!G633</f>
        <v/>
      </c>
      <c r="L633" t="str">
        <f>_xlfn.TEXTJOIN(", ", FALSE, 'Audit Report'!J633,'Audit Report'!K633,'Audit Report'!L633)</f>
        <v xml:space="preserve">, , </v>
      </c>
      <c r="M633" t="str">
        <f>'Audit Report'!M633</f>
        <v/>
      </c>
      <c r="N633" t="str" cm="1">
        <f t="array" ref="N633">IF(M633="","",
_xlfn.TEXTJOIN(", ",TRUE,
    _xlfn.MAP(_xlfn.TEXTSPLIT(M633,","),_xlfn.LAMBDA(_xlpm.x,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3" t="e">
        <f>'Audit Report'!#REF!</f>
        <v>#REF!</v>
      </c>
      <c r="S633" t="str">
        <f>'Audit Report'!N633</f>
        <v/>
      </c>
    </row>
    <row r="634" spans="4:19">
      <c r="D634" t="str">
        <f>'Audit Report'!B634</f>
        <v>ITD-SHRXXX-XX633</v>
      </c>
      <c r="E634" t="str">
        <f>'Audit Report'!C634</f>
        <v/>
      </c>
      <c r="I634" t="str">
        <f>'Audit Report'!E634</f>
        <v/>
      </c>
      <c r="J634" t="str">
        <f>'Audit Report'!G634</f>
        <v/>
      </c>
      <c r="L634" t="str">
        <f>_xlfn.TEXTJOIN(", ", FALSE, 'Audit Report'!J634,'Audit Report'!K634,'Audit Report'!L634)</f>
        <v xml:space="preserve">, , </v>
      </c>
      <c r="M634" t="str">
        <f>'Audit Report'!M634</f>
        <v/>
      </c>
      <c r="N634" t="str" cm="1">
        <f t="array" ref="N634">IF(M634="","",
_xlfn.TEXTJOIN(", ",TRUE,
    _xlfn.MAP(_xlfn.TEXTSPLIT(M634,","),_xlfn.LAMBDA(_xlpm.x,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4" t="e">
        <f>'Audit Report'!#REF!</f>
        <v>#REF!</v>
      </c>
      <c r="S634" t="str">
        <f>'Audit Report'!N634</f>
        <v/>
      </c>
    </row>
    <row r="635" spans="4:19">
      <c r="D635" t="str">
        <f>'Audit Report'!B635</f>
        <v>ITD-SHRXXX-XX634</v>
      </c>
      <c r="E635" t="str">
        <f>'Audit Report'!C635</f>
        <v/>
      </c>
      <c r="I635" t="str">
        <f>'Audit Report'!E635</f>
        <v/>
      </c>
      <c r="J635" t="str">
        <f>'Audit Report'!G635</f>
        <v/>
      </c>
      <c r="L635" t="str">
        <f>_xlfn.TEXTJOIN(", ", FALSE, 'Audit Report'!J635,'Audit Report'!K635,'Audit Report'!L635)</f>
        <v xml:space="preserve">, , </v>
      </c>
      <c r="M635" t="str">
        <f>'Audit Report'!M635</f>
        <v/>
      </c>
      <c r="N635" t="str" cm="1">
        <f t="array" ref="N635">IF(M635="","",
_xlfn.TEXTJOIN(", ",TRUE,
    _xlfn.MAP(_xlfn.TEXTSPLIT(M635,","),_xlfn.LAMBDA(_xlpm.x,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5" t="e">
        <f>'Audit Report'!#REF!</f>
        <v>#REF!</v>
      </c>
      <c r="S635" t="str">
        <f>'Audit Report'!N635</f>
        <v/>
      </c>
    </row>
    <row r="636" spans="4:19">
      <c r="D636" t="str">
        <f>'Audit Report'!B636</f>
        <v>ITD-SHRXXX-XX635</v>
      </c>
      <c r="E636" t="str">
        <f>'Audit Report'!C636</f>
        <v/>
      </c>
      <c r="I636" t="str">
        <f>'Audit Report'!E636</f>
        <v/>
      </c>
      <c r="J636" t="str">
        <f>'Audit Report'!G636</f>
        <v/>
      </c>
      <c r="L636" t="str">
        <f>_xlfn.TEXTJOIN(", ", FALSE, 'Audit Report'!J636,'Audit Report'!K636,'Audit Report'!L636)</f>
        <v xml:space="preserve">, , </v>
      </c>
      <c r="M636" t="str">
        <f>'Audit Report'!M636</f>
        <v/>
      </c>
      <c r="N636" t="str" cm="1">
        <f t="array" ref="N636">IF(M636="","",
_xlfn.TEXTJOIN(", ",TRUE,
    _xlfn.MAP(_xlfn.TEXTSPLIT(M636,","),_xlfn.LAMBDA(_xlpm.x,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6" t="e">
        <f>'Audit Report'!#REF!</f>
        <v>#REF!</v>
      </c>
      <c r="S636" t="str">
        <f>'Audit Report'!N636</f>
        <v/>
      </c>
    </row>
    <row r="637" spans="4:19">
      <c r="D637" t="str">
        <f>'Audit Report'!B637</f>
        <v>ITD-SHRXXX-XX636</v>
      </c>
      <c r="E637" t="str">
        <f>'Audit Report'!C637</f>
        <v/>
      </c>
      <c r="I637" t="str">
        <f>'Audit Report'!E637</f>
        <v/>
      </c>
      <c r="J637" t="str">
        <f>'Audit Report'!G637</f>
        <v/>
      </c>
      <c r="L637" t="str">
        <f>_xlfn.TEXTJOIN(", ", FALSE, 'Audit Report'!J637,'Audit Report'!K637,'Audit Report'!L637)</f>
        <v xml:space="preserve">, , </v>
      </c>
      <c r="M637" t="str">
        <f>'Audit Report'!M637</f>
        <v/>
      </c>
      <c r="N637" t="str" cm="1">
        <f t="array" ref="N637">IF(M637="","",
_xlfn.TEXTJOIN(", ",TRUE,
    _xlfn.MAP(_xlfn.TEXTSPLIT(M637,","),_xlfn.LAMBDA(_xlpm.x,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7" t="e">
        <f>'Audit Report'!#REF!</f>
        <v>#REF!</v>
      </c>
      <c r="S637" t="str">
        <f>'Audit Report'!N637</f>
        <v/>
      </c>
    </row>
    <row r="638" spans="4:19">
      <c r="D638" t="str">
        <f>'Audit Report'!B638</f>
        <v>ITD-SHRXXX-XX637</v>
      </c>
      <c r="E638" t="str">
        <f>'Audit Report'!C638</f>
        <v/>
      </c>
      <c r="I638" t="str">
        <f>'Audit Report'!E638</f>
        <v/>
      </c>
      <c r="J638" t="str">
        <f>'Audit Report'!G638</f>
        <v/>
      </c>
      <c r="L638" t="str">
        <f>_xlfn.TEXTJOIN(", ", FALSE, 'Audit Report'!J638,'Audit Report'!K638,'Audit Report'!L638)</f>
        <v xml:space="preserve">, , </v>
      </c>
      <c r="M638" t="str">
        <f>'Audit Report'!M638</f>
        <v/>
      </c>
      <c r="N638" t="str" cm="1">
        <f t="array" ref="N638">IF(M638="","",
_xlfn.TEXTJOIN(", ",TRUE,
    _xlfn.MAP(_xlfn.TEXTSPLIT(M638,","),_xlfn.LAMBDA(_xlpm.x,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8" t="e">
        <f>'Audit Report'!#REF!</f>
        <v>#REF!</v>
      </c>
      <c r="S638" t="str">
        <f>'Audit Report'!N638</f>
        <v/>
      </c>
    </row>
    <row r="639" spans="4:19">
      <c r="D639" t="str">
        <f>'Audit Report'!B639</f>
        <v>ITD-SHRXXX-XX638</v>
      </c>
      <c r="E639" t="str">
        <f>'Audit Report'!C639</f>
        <v/>
      </c>
      <c r="I639" t="str">
        <f>'Audit Report'!E639</f>
        <v/>
      </c>
      <c r="J639" t="str">
        <f>'Audit Report'!G639</f>
        <v/>
      </c>
      <c r="L639" t="str">
        <f>_xlfn.TEXTJOIN(", ", FALSE, 'Audit Report'!J639,'Audit Report'!K639,'Audit Report'!L639)</f>
        <v xml:space="preserve">, , </v>
      </c>
      <c r="M639" t="str">
        <f>'Audit Report'!M639</f>
        <v/>
      </c>
      <c r="N639" t="str" cm="1">
        <f t="array" ref="N639">IF(M639="","",
_xlfn.TEXTJOIN(", ",TRUE,
    _xlfn.MAP(_xlfn.TEXTSPLIT(M639,","),_xlfn.LAMBDA(_xlpm.x,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9" t="e">
        <f>'Audit Report'!#REF!</f>
        <v>#REF!</v>
      </c>
      <c r="S639" t="str">
        <f>'Audit Report'!N639</f>
        <v/>
      </c>
    </row>
    <row r="640" spans="4:19">
      <c r="D640" t="str">
        <f>'Audit Report'!B640</f>
        <v>ITD-SHRXXX-XX639</v>
      </c>
      <c r="E640" t="str">
        <f>'Audit Report'!C640</f>
        <v/>
      </c>
      <c r="I640" t="str">
        <f>'Audit Report'!E640</f>
        <v/>
      </c>
      <c r="J640" t="str">
        <f>'Audit Report'!G640</f>
        <v/>
      </c>
      <c r="L640" t="str">
        <f>_xlfn.TEXTJOIN(", ", FALSE, 'Audit Report'!J640,'Audit Report'!K640,'Audit Report'!L640)</f>
        <v xml:space="preserve">, , </v>
      </c>
      <c r="M640" t="str">
        <f>'Audit Report'!M640</f>
        <v/>
      </c>
      <c r="N640" t="str" cm="1">
        <f t="array" ref="N640">IF(M640="","",
_xlfn.TEXTJOIN(", ",TRUE,
    _xlfn.MAP(_xlfn.TEXTSPLIT(M640,","),_xlfn.LAMBDA(_xlpm.x,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0" t="e">
        <f>'Audit Report'!#REF!</f>
        <v>#REF!</v>
      </c>
      <c r="S640" t="str">
        <f>'Audit Report'!N640</f>
        <v/>
      </c>
    </row>
    <row r="641" spans="4:19">
      <c r="D641" t="str">
        <f>'Audit Report'!B641</f>
        <v>ITD-SHRXXX-XX640</v>
      </c>
      <c r="E641" t="str">
        <f>'Audit Report'!C641</f>
        <v/>
      </c>
      <c r="I641" t="str">
        <f>'Audit Report'!E641</f>
        <v/>
      </c>
      <c r="J641" t="str">
        <f>'Audit Report'!G641</f>
        <v/>
      </c>
      <c r="L641" t="str">
        <f>_xlfn.TEXTJOIN(", ", FALSE, 'Audit Report'!J641,'Audit Report'!K641,'Audit Report'!L641)</f>
        <v xml:space="preserve">, , </v>
      </c>
      <c r="M641" t="str">
        <f>'Audit Report'!M641</f>
        <v/>
      </c>
      <c r="N641" t="str" cm="1">
        <f t="array" ref="N641">IF(M641="","",
_xlfn.TEXTJOIN(", ",TRUE,
    _xlfn.MAP(_xlfn.TEXTSPLIT(M641,","),_xlfn.LAMBDA(_xlpm.x,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1" t="e">
        <f>'Audit Report'!#REF!</f>
        <v>#REF!</v>
      </c>
      <c r="S641" t="str">
        <f>'Audit Report'!N641</f>
        <v/>
      </c>
    </row>
    <row r="642" spans="4:19">
      <c r="D642" t="str">
        <f>'Audit Report'!B642</f>
        <v>ITD-SHRXXX-XX641</v>
      </c>
      <c r="E642" t="str">
        <f>'Audit Report'!C642</f>
        <v/>
      </c>
      <c r="I642" t="str">
        <f>'Audit Report'!E642</f>
        <v/>
      </c>
      <c r="J642" t="str">
        <f>'Audit Report'!G642</f>
        <v/>
      </c>
      <c r="L642" t="str">
        <f>_xlfn.TEXTJOIN(", ", FALSE, 'Audit Report'!J642,'Audit Report'!K642,'Audit Report'!L642)</f>
        <v xml:space="preserve">, , </v>
      </c>
      <c r="M642" t="str">
        <f>'Audit Report'!M642</f>
        <v/>
      </c>
      <c r="N642" t="str" cm="1">
        <f t="array" ref="N642">IF(M642="","",
_xlfn.TEXTJOIN(", ",TRUE,
    _xlfn.MAP(_xlfn.TEXTSPLIT(M642,","),_xlfn.LAMBDA(_xlpm.x,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2" t="e">
        <f>'Audit Report'!#REF!</f>
        <v>#REF!</v>
      </c>
      <c r="S642" t="str">
        <f>'Audit Report'!N642</f>
        <v/>
      </c>
    </row>
    <row r="643" spans="4:19">
      <c r="D643" t="str">
        <f>'Audit Report'!B643</f>
        <v>ITD-SHRXXX-XX642</v>
      </c>
      <c r="E643" t="str">
        <f>'Audit Report'!C643</f>
        <v/>
      </c>
      <c r="I643" t="str">
        <f>'Audit Report'!E643</f>
        <v/>
      </c>
      <c r="J643" t="str">
        <f>'Audit Report'!G643</f>
        <v/>
      </c>
      <c r="L643" t="str">
        <f>_xlfn.TEXTJOIN(", ", FALSE, 'Audit Report'!J643,'Audit Report'!K643,'Audit Report'!L643)</f>
        <v xml:space="preserve">, , </v>
      </c>
      <c r="M643" t="str">
        <f>'Audit Report'!M643</f>
        <v/>
      </c>
      <c r="N643" t="str" cm="1">
        <f t="array" ref="N643">IF(M643="","",
_xlfn.TEXTJOIN(", ",TRUE,
    _xlfn.MAP(_xlfn.TEXTSPLIT(M643,","),_xlfn.LAMBDA(_xlpm.x,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3" t="e">
        <f>'Audit Report'!#REF!</f>
        <v>#REF!</v>
      </c>
      <c r="S643" t="str">
        <f>'Audit Report'!N643</f>
        <v/>
      </c>
    </row>
    <row r="644" spans="4:19">
      <c r="D644" t="str">
        <f>'Audit Report'!B644</f>
        <v>ITD-SHRXXX-XX643</v>
      </c>
      <c r="E644" t="str">
        <f>'Audit Report'!C644</f>
        <v/>
      </c>
      <c r="I644" t="str">
        <f>'Audit Report'!E644</f>
        <v/>
      </c>
      <c r="J644" t="str">
        <f>'Audit Report'!G644</f>
        <v/>
      </c>
      <c r="L644" t="str">
        <f>_xlfn.TEXTJOIN(", ", FALSE, 'Audit Report'!J644,'Audit Report'!K644,'Audit Report'!L644)</f>
        <v xml:space="preserve">, , </v>
      </c>
      <c r="M644" t="str">
        <f>'Audit Report'!M644</f>
        <v/>
      </c>
      <c r="N644" t="str" cm="1">
        <f t="array" ref="N644">IF(M644="","",
_xlfn.TEXTJOIN(", ",TRUE,
    _xlfn.MAP(_xlfn.TEXTSPLIT(M644,","),_xlfn.LAMBDA(_xlpm.x,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4" t="e">
        <f>'Audit Report'!#REF!</f>
        <v>#REF!</v>
      </c>
      <c r="S644" t="str">
        <f>'Audit Report'!N644</f>
        <v/>
      </c>
    </row>
    <row r="645" spans="4:19">
      <c r="D645" t="str">
        <f>'Audit Report'!B645</f>
        <v>ITD-SHRXXX-XX644</v>
      </c>
      <c r="E645" t="str">
        <f>'Audit Report'!C645</f>
        <v/>
      </c>
      <c r="I645" t="str">
        <f>'Audit Report'!E645</f>
        <v/>
      </c>
      <c r="J645" t="str">
        <f>'Audit Report'!G645</f>
        <v/>
      </c>
      <c r="L645" t="str">
        <f>_xlfn.TEXTJOIN(", ", FALSE, 'Audit Report'!J645,'Audit Report'!K645,'Audit Report'!L645)</f>
        <v xml:space="preserve">, , </v>
      </c>
      <c r="M645" t="str">
        <f>'Audit Report'!M645</f>
        <v/>
      </c>
      <c r="N645" t="str" cm="1">
        <f t="array" ref="N645">IF(M645="","",
_xlfn.TEXTJOIN(", ",TRUE,
    _xlfn.MAP(_xlfn.TEXTSPLIT(M645,","),_xlfn.LAMBDA(_xlpm.x,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5" t="e">
        <f>'Audit Report'!#REF!</f>
        <v>#REF!</v>
      </c>
      <c r="S645" t="str">
        <f>'Audit Report'!N645</f>
        <v/>
      </c>
    </row>
    <row r="646" spans="4:19">
      <c r="D646" t="str">
        <f>'Audit Report'!B646</f>
        <v>ITD-SHRXXX-XX645</v>
      </c>
      <c r="E646" t="str">
        <f>'Audit Report'!C646</f>
        <v/>
      </c>
      <c r="I646" t="str">
        <f>'Audit Report'!E646</f>
        <v/>
      </c>
      <c r="J646" t="str">
        <f>'Audit Report'!G646</f>
        <v/>
      </c>
      <c r="L646" t="str">
        <f>_xlfn.TEXTJOIN(", ", FALSE, 'Audit Report'!J646,'Audit Report'!K646,'Audit Report'!L646)</f>
        <v xml:space="preserve">, , </v>
      </c>
      <c r="M646" t="str">
        <f>'Audit Report'!M646</f>
        <v/>
      </c>
      <c r="N646" t="str" cm="1">
        <f t="array" ref="N646">IF(M646="","",
_xlfn.TEXTJOIN(", ",TRUE,
    _xlfn.MAP(_xlfn.TEXTSPLIT(M646,","),_xlfn.LAMBDA(_xlpm.x,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6" t="e">
        <f>'Audit Report'!#REF!</f>
        <v>#REF!</v>
      </c>
      <c r="S646" t="str">
        <f>'Audit Report'!N646</f>
        <v/>
      </c>
    </row>
    <row r="647" spans="4:19">
      <c r="D647" t="str">
        <f>'Audit Report'!B647</f>
        <v>ITD-SHRXXX-XX646</v>
      </c>
      <c r="E647" t="str">
        <f>'Audit Report'!C647</f>
        <v/>
      </c>
      <c r="I647" t="str">
        <f>'Audit Report'!E647</f>
        <v/>
      </c>
      <c r="J647" t="str">
        <f>'Audit Report'!G647</f>
        <v/>
      </c>
      <c r="L647" t="str">
        <f>_xlfn.TEXTJOIN(", ", FALSE, 'Audit Report'!J647,'Audit Report'!K647,'Audit Report'!L647)</f>
        <v xml:space="preserve">, , </v>
      </c>
      <c r="M647" t="str">
        <f>'Audit Report'!M647</f>
        <v/>
      </c>
      <c r="N647" t="str" cm="1">
        <f t="array" ref="N647">IF(M647="","",
_xlfn.TEXTJOIN(", ",TRUE,
    _xlfn.MAP(_xlfn.TEXTSPLIT(M647,","),_xlfn.LAMBDA(_xlpm.x,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7" t="e">
        <f>'Audit Report'!#REF!</f>
        <v>#REF!</v>
      </c>
      <c r="S647" t="str">
        <f>'Audit Report'!N647</f>
        <v/>
      </c>
    </row>
    <row r="648" spans="4:19">
      <c r="D648" t="str">
        <f>'Audit Report'!B648</f>
        <v>ITD-SHRXXX-XX647</v>
      </c>
      <c r="E648" t="str">
        <f>'Audit Report'!C648</f>
        <v/>
      </c>
      <c r="I648" t="str">
        <f>'Audit Report'!E648</f>
        <v/>
      </c>
      <c r="J648" t="str">
        <f>'Audit Report'!G648</f>
        <v/>
      </c>
      <c r="L648" t="str">
        <f>_xlfn.TEXTJOIN(", ", FALSE, 'Audit Report'!J648,'Audit Report'!K648,'Audit Report'!L648)</f>
        <v xml:space="preserve">, , </v>
      </c>
      <c r="M648" t="str">
        <f>'Audit Report'!M648</f>
        <v/>
      </c>
      <c r="N648" t="str" cm="1">
        <f t="array" ref="N648">IF(M648="","",
_xlfn.TEXTJOIN(", ",TRUE,
    _xlfn.MAP(_xlfn.TEXTSPLIT(M648,","),_xlfn.LAMBDA(_xlpm.x,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8" t="e">
        <f>'Audit Report'!#REF!</f>
        <v>#REF!</v>
      </c>
      <c r="S648" t="str">
        <f>'Audit Report'!N648</f>
        <v/>
      </c>
    </row>
    <row r="649" spans="4:19">
      <c r="D649" t="str">
        <f>'Audit Report'!B649</f>
        <v>ITD-SHRXXX-XX648</v>
      </c>
      <c r="E649" t="str">
        <f>'Audit Report'!C649</f>
        <v/>
      </c>
      <c r="I649" t="str">
        <f>'Audit Report'!E649</f>
        <v/>
      </c>
      <c r="J649" t="str">
        <f>'Audit Report'!G649</f>
        <v/>
      </c>
      <c r="L649" t="str">
        <f>_xlfn.TEXTJOIN(", ", FALSE, 'Audit Report'!J649,'Audit Report'!K649,'Audit Report'!L649)</f>
        <v xml:space="preserve">, , </v>
      </c>
      <c r="M649" t="str">
        <f>'Audit Report'!M649</f>
        <v/>
      </c>
      <c r="N649" t="str" cm="1">
        <f t="array" ref="N649">IF(M649="","",
_xlfn.TEXTJOIN(", ",TRUE,
    _xlfn.MAP(_xlfn.TEXTSPLIT(M649,","),_xlfn.LAMBDA(_xlpm.x,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9" t="e">
        <f>'Audit Report'!#REF!</f>
        <v>#REF!</v>
      </c>
      <c r="S649" t="str">
        <f>'Audit Report'!N649</f>
        <v/>
      </c>
    </row>
    <row r="650" spans="4:19">
      <c r="D650" t="str">
        <f>'Audit Report'!B650</f>
        <v>ITD-SHRXXX-XX649</v>
      </c>
      <c r="E650" t="str">
        <f>'Audit Report'!C650</f>
        <v/>
      </c>
      <c r="I650" t="str">
        <f>'Audit Report'!E650</f>
        <v/>
      </c>
      <c r="J650" t="str">
        <f>'Audit Report'!G650</f>
        <v/>
      </c>
      <c r="L650" t="str">
        <f>_xlfn.TEXTJOIN(", ", FALSE, 'Audit Report'!J650,'Audit Report'!K650,'Audit Report'!L650)</f>
        <v xml:space="preserve">, , </v>
      </c>
      <c r="M650" t="str">
        <f>'Audit Report'!M650</f>
        <v/>
      </c>
      <c r="N650" t="str" cm="1">
        <f t="array" ref="N650">IF(M650="","",
_xlfn.TEXTJOIN(", ",TRUE,
    _xlfn.MAP(_xlfn.TEXTSPLIT(M650,","),_xlfn.LAMBDA(_xlpm.x,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0" t="e">
        <f>'Audit Report'!#REF!</f>
        <v>#REF!</v>
      </c>
      <c r="S650" t="str">
        <f>'Audit Report'!N650</f>
        <v/>
      </c>
    </row>
    <row r="651" spans="4:19">
      <c r="D651" t="str">
        <f>'Audit Report'!B651</f>
        <v>ITD-SHRXXX-XX650</v>
      </c>
      <c r="E651" t="str">
        <f>'Audit Report'!C651</f>
        <v/>
      </c>
      <c r="I651" t="str">
        <f>'Audit Report'!E651</f>
        <v/>
      </c>
      <c r="J651" t="str">
        <f>'Audit Report'!G651</f>
        <v/>
      </c>
      <c r="L651" t="str">
        <f>_xlfn.TEXTJOIN(", ", FALSE, 'Audit Report'!J651,'Audit Report'!K651,'Audit Report'!L651)</f>
        <v xml:space="preserve">, , </v>
      </c>
      <c r="M651" t="str">
        <f>'Audit Report'!M651</f>
        <v/>
      </c>
      <c r="N651" t="str" cm="1">
        <f t="array" ref="N651">IF(M651="","",
_xlfn.TEXTJOIN(", ",TRUE,
    _xlfn.MAP(_xlfn.TEXTSPLIT(M651,","),_xlfn.LAMBDA(_xlpm.x,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1" t="e">
        <f>'Audit Report'!#REF!</f>
        <v>#REF!</v>
      </c>
      <c r="S651" t="str">
        <f>'Audit Report'!N651</f>
        <v/>
      </c>
    </row>
    <row r="652" spans="4:19">
      <c r="D652" t="str">
        <f>'Audit Report'!B652</f>
        <v>ITD-SHRXXX-XX651</v>
      </c>
      <c r="E652" t="str">
        <f>'Audit Report'!C652</f>
        <v/>
      </c>
      <c r="I652" t="str">
        <f>'Audit Report'!E652</f>
        <v/>
      </c>
      <c r="J652" t="str">
        <f>'Audit Report'!G652</f>
        <v/>
      </c>
      <c r="L652" t="str">
        <f>_xlfn.TEXTJOIN(", ", FALSE, 'Audit Report'!J652,'Audit Report'!K652,'Audit Report'!L652)</f>
        <v xml:space="preserve">, , </v>
      </c>
      <c r="M652" t="str">
        <f>'Audit Report'!M652</f>
        <v/>
      </c>
      <c r="N652" t="str" cm="1">
        <f t="array" ref="N652">IF(M652="","",
_xlfn.TEXTJOIN(", ",TRUE,
    _xlfn.MAP(_xlfn.TEXTSPLIT(M652,","),_xlfn.LAMBDA(_xlpm.x,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2" t="e">
        <f>'Audit Report'!#REF!</f>
        <v>#REF!</v>
      </c>
      <c r="S652" t="str">
        <f>'Audit Report'!N652</f>
        <v/>
      </c>
    </row>
    <row r="653" spans="4:19">
      <c r="D653" t="str">
        <f>'Audit Report'!B653</f>
        <v>ITD-SHRXXX-XX652</v>
      </c>
      <c r="E653" t="str">
        <f>'Audit Report'!C653</f>
        <v/>
      </c>
      <c r="I653" t="str">
        <f>'Audit Report'!E653</f>
        <v/>
      </c>
      <c r="J653" t="str">
        <f>'Audit Report'!G653</f>
        <v/>
      </c>
      <c r="L653" t="str">
        <f>_xlfn.TEXTJOIN(", ", FALSE, 'Audit Report'!J653,'Audit Report'!K653,'Audit Report'!L653)</f>
        <v xml:space="preserve">, , </v>
      </c>
      <c r="M653" t="str">
        <f>'Audit Report'!M653</f>
        <v/>
      </c>
      <c r="N653" t="str" cm="1">
        <f t="array" ref="N653">IF(M653="","",
_xlfn.TEXTJOIN(", ",TRUE,
    _xlfn.MAP(_xlfn.TEXTSPLIT(M653,","),_xlfn.LAMBDA(_xlpm.x,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3" t="e">
        <f>'Audit Report'!#REF!</f>
        <v>#REF!</v>
      </c>
      <c r="S653" t="str">
        <f>'Audit Report'!N653</f>
        <v/>
      </c>
    </row>
    <row r="654" spans="4:19">
      <c r="D654" t="str">
        <f>'Audit Report'!B654</f>
        <v>ITD-SHRXXX-XX653</v>
      </c>
      <c r="E654" t="str">
        <f>'Audit Report'!C654</f>
        <v/>
      </c>
      <c r="I654" t="str">
        <f>'Audit Report'!E654</f>
        <v/>
      </c>
      <c r="J654" t="str">
        <f>'Audit Report'!G654</f>
        <v/>
      </c>
      <c r="L654" t="str">
        <f>_xlfn.TEXTJOIN(", ", FALSE, 'Audit Report'!J654,'Audit Report'!K654,'Audit Report'!L654)</f>
        <v xml:space="preserve">, , </v>
      </c>
      <c r="M654" t="str">
        <f>'Audit Report'!M654</f>
        <v/>
      </c>
      <c r="N654" t="str" cm="1">
        <f t="array" ref="N654">IF(M654="","",
_xlfn.TEXTJOIN(", ",TRUE,
    _xlfn.MAP(_xlfn.TEXTSPLIT(M654,","),_xlfn.LAMBDA(_xlpm.x,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4" t="e">
        <f>'Audit Report'!#REF!</f>
        <v>#REF!</v>
      </c>
      <c r="S654" t="str">
        <f>'Audit Report'!N654</f>
        <v/>
      </c>
    </row>
    <row r="655" spans="4:19">
      <c r="D655" t="str">
        <f>'Audit Report'!B655</f>
        <v>ITD-SHRXXX-XX654</v>
      </c>
      <c r="E655" t="str">
        <f>'Audit Report'!C655</f>
        <v/>
      </c>
      <c r="I655" t="str">
        <f>'Audit Report'!E655</f>
        <v/>
      </c>
      <c r="J655" t="str">
        <f>'Audit Report'!G655</f>
        <v/>
      </c>
      <c r="L655" t="str">
        <f>_xlfn.TEXTJOIN(", ", FALSE, 'Audit Report'!J655,'Audit Report'!K655,'Audit Report'!L655)</f>
        <v xml:space="preserve">, , </v>
      </c>
      <c r="M655" t="str">
        <f>'Audit Report'!M655</f>
        <v/>
      </c>
      <c r="N655" t="str" cm="1">
        <f t="array" ref="N655">IF(M655="","",
_xlfn.TEXTJOIN(", ",TRUE,
    _xlfn.MAP(_xlfn.TEXTSPLIT(M655,","),_xlfn.LAMBDA(_xlpm.x,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5" t="e">
        <f>'Audit Report'!#REF!</f>
        <v>#REF!</v>
      </c>
      <c r="S655" t="str">
        <f>'Audit Report'!N655</f>
        <v/>
      </c>
    </row>
    <row r="656" spans="4:19">
      <c r="D656" t="str">
        <f>'Audit Report'!B656</f>
        <v>ITD-SHRXXX-XX655</v>
      </c>
      <c r="E656" t="str">
        <f>'Audit Report'!C656</f>
        <v/>
      </c>
      <c r="I656" t="str">
        <f>'Audit Report'!E656</f>
        <v/>
      </c>
      <c r="J656" t="str">
        <f>'Audit Report'!G656</f>
        <v/>
      </c>
      <c r="L656" t="str">
        <f>_xlfn.TEXTJOIN(", ", FALSE, 'Audit Report'!J656,'Audit Report'!K656,'Audit Report'!L656)</f>
        <v xml:space="preserve">, , </v>
      </c>
      <c r="M656" t="str">
        <f>'Audit Report'!M656</f>
        <v/>
      </c>
      <c r="N656" t="str" cm="1">
        <f t="array" ref="N656">IF(M656="","",
_xlfn.TEXTJOIN(", ",TRUE,
    _xlfn.MAP(_xlfn.TEXTSPLIT(M656,","),_xlfn.LAMBDA(_xlpm.x,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6" t="e">
        <f>'Audit Report'!#REF!</f>
        <v>#REF!</v>
      </c>
      <c r="S656" t="str">
        <f>'Audit Report'!N656</f>
        <v/>
      </c>
    </row>
    <row r="657" spans="4:19">
      <c r="D657" t="str">
        <f>'Audit Report'!B657</f>
        <v>ITD-SHRXXX-XX656</v>
      </c>
      <c r="E657" t="str">
        <f>'Audit Report'!C657</f>
        <v/>
      </c>
      <c r="I657" t="str">
        <f>'Audit Report'!E657</f>
        <v/>
      </c>
      <c r="J657" t="str">
        <f>'Audit Report'!G657</f>
        <v/>
      </c>
      <c r="L657" t="str">
        <f>_xlfn.TEXTJOIN(", ", FALSE, 'Audit Report'!J657,'Audit Report'!K657,'Audit Report'!L657)</f>
        <v xml:space="preserve">, , </v>
      </c>
      <c r="M657" t="str">
        <f>'Audit Report'!M657</f>
        <v/>
      </c>
      <c r="N657" t="str" cm="1">
        <f t="array" ref="N657">IF(M657="","",
_xlfn.TEXTJOIN(", ",TRUE,
    _xlfn.MAP(_xlfn.TEXTSPLIT(M657,","),_xlfn.LAMBDA(_xlpm.x,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7" t="e">
        <f>'Audit Report'!#REF!</f>
        <v>#REF!</v>
      </c>
      <c r="S657" t="str">
        <f>'Audit Report'!N657</f>
        <v/>
      </c>
    </row>
    <row r="658" spans="4:19">
      <c r="D658" t="str">
        <f>'Audit Report'!B658</f>
        <v>ITD-SHRXXX-XX657</v>
      </c>
      <c r="E658" t="str">
        <f>'Audit Report'!C658</f>
        <v/>
      </c>
      <c r="I658" t="str">
        <f>'Audit Report'!E658</f>
        <v/>
      </c>
      <c r="J658" t="str">
        <f>'Audit Report'!G658</f>
        <v/>
      </c>
      <c r="L658" t="str">
        <f>_xlfn.TEXTJOIN(", ", FALSE, 'Audit Report'!J658,'Audit Report'!K658,'Audit Report'!L658)</f>
        <v xml:space="preserve">, , </v>
      </c>
      <c r="M658" t="str">
        <f>'Audit Report'!M658</f>
        <v/>
      </c>
      <c r="N658" t="str" cm="1">
        <f t="array" ref="N658">IF(M658="","",
_xlfn.TEXTJOIN(", ",TRUE,
    _xlfn.MAP(_xlfn.TEXTSPLIT(M658,","),_xlfn.LAMBDA(_xlpm.x,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8" t="e">
        <f>'Audit Report'!#REF!</f>
        <v>#REF!</v>
      </c>
      <c r="S658" t="str">
        <f>'Audit Report'!N658</f>
        <v/>
      </c>
    </row>
    <row r="659" spans="4:19">
      <c r="D659" t="str">
        <f>'Audit Report'!B659</f>
        <v>ITD-SHRXXX-XX658</v>
      </c>
      <c r="E659" t="str">
        <f>'Audit Report'!C659</f>
        <v/>
      </c>
      <c r="I659" t="str">
        <f>'Audit Report'!E659</f>
        <v/>
      </c>
      <c r="J659" t="str">
        <f>'Audit Report'!G659</f>
        <v/>
      </c>
      <c r="L659" t="str">
        <f>_xlfn.TEXTJOIN(", ", FALSE, 'Audit Report'!J659,'Audit Report'!K659,'Audit Report'!L659)</f>
        <v xml:space="preserve">, , </v>
      </c>
      <c r="M659" t="str">
        <f>'Audit Report'!M659</f>
        <v/>
      </c>
      <c r="N659" t="str" cm="1">
        <f t="array" ref="N659">IF(M659="","",
_xlfn.TEXTJOIN(", ",TRUE,
    _xlfn.MAP(_xlfn.TEXTSPLIT(M659,","),_xlfn.LAMBDA(_xlpm.x,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9" t="e">
        <f>'Audit Report'!#REF!</f>
        <v>#REF!</v>
      </c>
      <c r="S659" t="str">
        <f>'Audit Report'!N659</f>
        <v/>
      </c>
    </row>
    <row r="660" spans="4:19">
      <c r="D660" t="str">
        <f>'Audit Report'!B660</f>
        <v>ITD-SHRXXX-XX659</v>
      </c>
      <c r="E660" t="str">
        <f>'Audit Report'!C660</f>
        <v/>
      </c>
      <c r="I660" t="str">
        <f>'Audit Report'!E660</f>
        <v/>
      </c>
      <c r="J660" t="str">
        <f>'Audit Report'!G660</f>
        <v/>
      </c>
      <c r="L660" t="str">
        <f>_xlfn.TEXTJOIN(", ", FALSE, 'Audit Report'!J660,'Audit Report'!K660,'Audit Report'!L660)</f>
        <v xml:space="preserve">, , </v>
      </c>
      <c r="M660" t="str">
        <f>'Audit Report'!M660</f>
        <v/>
      </c>
      <c r="N660" t="str" cm="1">
        <f t="array" ref="N660">IF(M660="","",
_xlfn.TEXTJOIN(", ",TRUE,
    _xlfn.MAP(_xlfn.TEXTSPLIT(M660,","),_xlfn.LAMBDA(_xlpm.x,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0" t="e">
        <f>'Audit Report'!#REF!</f>
        <v>#REF!</v>
      </c>
      <c r="S660" t="str">
        <f>'Audit Report'!N660</f>
        <v/>
      </c>
    </row>
    <row r="661" spans="4:19">
      <c r="D661" t="str">
        <f>'Audit Report'!B661</f>
        <v>ITD-SHRXXX-XX660</v>
      </c>
      <c r="E661" t="str">
        <f>'Audit Report'!C661</f>
        <v/>
      </c>
      <c r="I661" t="str">
        <f>'Audit Report'!E661</f>
        <v/>
      </c>
      <c r="J661" t="str">
        <f>'Audit Report'!G661</f>
        <v/>
      </c>
      <c r="L661" t="str">
        <f>_xlfn.TEXTJOIN(", ", FALSE, 'Audit Report'!J661,'Audit Report'!K661,'Audit Report'!L661)</f>
        <v xml:space="preserve">, , </v>
      </c>
      <c r="M661" t="str">
        <f>'Audit Report'!M661</f>
        <v/>
      </c>
      <c r="N661" t="str" cm="1">
        <f t="array" ref="N661">IF(M661="","",
_xlfn.TEXTJOIN(", ",TRUE,
    _xlfn.MAP(_xlfn.TEXTSPLIT(M661,","),_xlfn.LAMBDA(_xlpm.x,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1" t="e">
        <f>'Audit Report'!#REF!</f>
        <v>#REF!</v>
      </c>
      <c r="S661" t="str">
        <f>'Audit Report'!N661</f>
        <v/>
      </c>
    </row>
    <row r="662" spans="4:19">
      <c r="D662" t="str">
        <f>'Audit Report'!B662</f>
        <v>ITD-SHRXXX-XX661</v>
      </c>
      <c r="E662" t="str">
        <f>'Audit Report'!C662</f>
        <v/>
      </c>
      <c r="I662" t="str">
        <f>'Audit Report'!E662</f>
        <v/>
      </c>
      <c r="J662" t="str">
        <f>'Audit Report'!G662</f>
        <v/>
      </c>
      <c r="L662" t="str">
        <f>_xlfn.TEXTJOIN(", ", FALSE, 'Audit Report'!J662,'Audit Report'!K662,'Audit Report'!L662)</f>
        <v xml:space="preserve">, , </v>
      </c>
      <c r="M662" t="str">
        <f>'Audit Report'!M662</f>
        <v/>
      </c>
      <c r="N662" t="str" cm="1">
        <f t="array" ref="N662">IF(M662="","",
_xlfn.TEXTJOIN(", ",TRUE,
    _xlfn.MAP(_xlfn.TEXTSPLIT(M662,","),_xlfn.LAMBDA(_xlpm.x,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2" t="e">
        <f>'Audit Report'!#REF!</f>
        <v>#REF!</v>
      </c>
      <c r="S662" t="str">
        <f>'Audit Report'!N662</f>
        <v/>
      </c>
    </row>
    <row r="663" spans="4:19">
      <c r="D663" t="str">
        <f>'Audit Report'!B663</f>
        <v>ITD-SHRXXX-XX662</v>
      </c>
      <c r="E663" t="str">
        <f>'Audit Report'!C663</f>
        <v/>
      </c>
      <c r="I663" t="str">
        <f>'Audit Report'!E663</f>
        <v/>
      </c>
      <c r="J663" t="str">
        <f>'Audit Report'!G663</f>
        <v/>
      </c>
      <c r="L663" t="str">
        <f>_xlfn.TEXTJOIN(", ", FALSE, 'Audit Report'!J663,'Audit Report'!K663,'Audit Report'!L663)</f>
        <v xml:space="preserve">, , </v>
      </c>
      <c r="M663" t="str">
        <f>'Audit Report'!M663</f>
        <v/>
      </c>
      <c r="N663" t="str" cm="1">
        <f t="array" ref="N663">IF(M663="","",
_xlfn.TEXTJOIN(", ",TRUE,
    _xlfn.MAP(_xlfn.TEXTSPLIT(M663,","),_xlfn.LAMBDA(_xlpm.x,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3" t="e">
        <f>'Audit Report'!#REF!</f>
        <v>#REF!</v>
      </c>
      <c r="S663" t="str">
        <f>'Audit Report'!N663</f>
        <v/>
      </c>
    </row>
    <row r="664" spans="4:19">
      <c r="D664" t="str">
        <f>'Audit Report'!B664</f>
        <v>ITD-SHRXXX-XX663</v>
      </c>
      <c r="E664" t="str">
        <f>'Audit Report'!C664</f>
        <v/>
      </c>
      <c r="I664" t="str">
        <f>'Audit Report'!E664</f>
        <v/>
      </c>
      <c r="J664" t="str">
        <f>'Audit Report'!G664</f>
        <v/>
      </c>
      <c r="L664" t="str">
        <f>_xlfn.TEXTJOIN(", ", FALSE, 'Audit Report'!J664,'Audit Report'!K664,'Audit Report'!L664)</f>
        <v xml:space="preserve">, , </v>
      </c>
      <c r="M664" t="str">
        <f>'Audit Report'!M664</f>
        <v/>
      </c>
      <c r="N664" t="str" cm="1">
        <f t="array" ref="N664">IF(M664="","",
_xlfn.TEXTJOIN(", ",TRUE,
    _xlfn.MAP(_xlfn.TEXTSPLIT(M664,","),_xlfn.LAMBDA(_xlpm.x,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4" t="e">
        <f>'Audit Report'!#REF!</f>
        <v>#REF!</v>
      </c>
      <c r="S664" t="str">
        <f>'Audit Report'!N664</f>
        <v/>
      </c>
    </row>
    <row r="665" spans="4:19">
      <c r="D665" t="str">
        <f>'Audit Report'!B665</f>
        <v>ITD-SHRXXX-XX664</v>
      </c>
      <c r="E665" t="str">
        <f>'Audit Report'!C665</f>
        <v/>
      </c>
      <c r="I665" t="str">
        <f>'Audit Report'!E665</f>
        <v/>
      </c>
      <c r="J665" t="str">
        <f>'Audit Report'!G665</f>
        <v/>
      </c>
      <c r="L665" t="str">
        <f>_xlfn.TEXTJOIN(", ", FALSE, 'Audit Report'!J665,'Audit Report'!K665,'Audit Report'!L665)</f>
        <v xml:space="preserve">, , </v>
      </c>
      <c r="M665" t="str">
        <f>'Audit Report'!M665</f>
        <v/>
      </c>
      <c r="N665" t="str" cm="1">
        <f t="array" ref="N665">IF(M665="","",
_xlfn.TEXTJOIN(", ",TRUE,
    _xlfn.MAP(_xlfn.TEXTSPLIT(M665,","),_xlfn.LAMBDA(_xlpm.x,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5" t="e">
        <f>'Audit Report'!#REF!</f>
        <v>#REF!</v>
      </c>
      <c r="S665" t="str">
        <f>'Audit Report'!N665</f>
        <v/>
      </c>
    </row>
    <row r="666" spans="4:19">
      <c r="D666" t="str">
        <f>'Audit Report'!B666</f>
        <v>ITD-SHRXXX-XX665</v>
      </c>
      <c r="E666" t="str">
        <f>'Audit Report'!C666</f>
        <v/>
      </c>
      <c r="I666" t="str">
        <f>'Audit Report'!E666</f>
        <v/>
      </c>
      <c r="J666" t="str">
        <f>'Audit Report'!G666</f>
        <v/>
      </c>
      <c r="L666" t="str">
        <f>_xlfn.TEXTJOIN(", ", FALSE, 'Audit Report'!J666,'Audit Report'!K666,'Audit Report'!L666)</f>
        <v xml:space="preserve">, , </v>
      </c>
      <c r="M666" t="str">
        <f>'Audit Report'!M666</f>
        <v/>
      </c>
      <c r="N666" t="str" cm="1">
        <f t="array" ref="N666">IF(M666="","",
_xlfn.TEXTJOIN(", ",TRUE,
    _xlfn.MAP(_xlfn.TEXTSPLIT(M666,","),_xlfn.LAMBDA(_xlpm.x,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6" t="e">
        <f>'Audit Report'!#REF!</f>
        <v>#REF!</v>
      </c>
      <c r="S666" t="str">
        <f>'Audit Report'!N666</f>
        <v/>
      </c>
    </row>
    <row r="667" spans="4:19">
      <c r="D667" t="str">
        <f>'Audit Report'!B667</f>
        <v>ITD-SHRXXX-XX666</v>
      </c>
      <c r="E667" t="str">
        <f>'Audit Report'!C667</f>
        <v/>
      </c>
      <c r="I667" t="str">
        <f>'Audit Report'!E667</f>
        <v/>
      </c>
      <c r="J667" t="str">
        <f>'Audit Report'!G667</f>
        <v/>
      </c>
      <c r="L667" t="str">
        <f>_xlfn.TEXTJOIN(", ", FALSE, 'Audit Report'!J667,'Audit Report'!K667,'Audit Report'!L667)</f>
        <v xml:space="preserve">, , </v>
      </c>
      <c r="M667" t="str">
        <f>'Audit Report'!M667</f>
        <v/>
      </c>
      <c r="N667" t="str" cm="1">
        <f t="array" ref="N667">IF(M667="","",
_xlfn.TEXTJOIN(", ",TRUE,
    _xlfn.MAP(_xlfn.TEXTSPLIT(M667,","),_xlfn.LAMBDA(_xlpm.x,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7" t="e">
        <f>'Audit Report'!#REF!</f>
        <v>#REF!</v>
      </c>
      <c r="S667" t="str">
        <f>'Audit Report'!N667</f>
        <v/>
      </c>
    </row>
    <row r="668" spans="4:19">
      <c r="D668" t="str">
        <f>'Audit Report'!B668</f>
        <v>ITD-SHRXXX-XX667</v>
      </c>
      <c r="E668" t="str">
        <f>'Audit Report'!C668</f>
        <v/>
      </c>
      <c r="I668" t="str">
        <f>'Audit Report'!E668</f>
        <v/>
      </c>
      <c r="J668" t="str">
        <f>'Audit Report'!G668</f>
        <v/>
      </c>
      <c r="L668" t="str">
        <f>_xlfn.TEXTJOIN(", ", FALSE, 'Audit Report'!J668,'Audit Report'!K668,'Audit Report'!L668)</f>
        <v xml:space="preserve">, , </v>
      </c>
      <c r="M668" t="str">
        <f>'Audit Report'!M668</f>
        <v/>
      </c>
      <c r="N668" t="str" cm="1">
        <f t="array" ref="N668">IF(M668="","",
_xlfn.TEXTJOIN(", ",TRUE,
    _xlfn.MAP(_xlfn.TEXTSPLIT(M668,","),_xlfn.LAMBDA(_xlpm.x,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8" t="e">
        <f>'Audit Report'!#REF!</f>
        <v>#REF!</v>
      </c>
      <c r="S668" t="str">
        <f>'Audit Report'!N668</f>
        <v/>
      </c>
    </row>
    <row r="669" spans="4:19">
      <c r="D669" t="str">
        <f>'Audit Report'!B669</f>
        <v>ITD-SHRXXX-XX668</v>
      </c>
      <c r="E669" t="str">
        <f>'Audit Report'!C669</f>
        <v/>
      </c>
      <c r="I669" t="str">
        <f>'Audit Report'!E669</f>
        <v/>
      </c>
      <c r="J669" t="str">
        <f>'Audit Report'!G669</f>
        <v/>
      </c>
      <c r="L669" t="str">
        <f>_xlfn.TEXTJOIN(", ", FALSE, 'Audit Report'!J669,'Audit Report'!K669,'Audit Report'!L669)</f>
        <v xml:space="preserve">, , </v>
      </c>
      <c r="M669" t="str">
        <f>'Audit Report'!M669</f>
        <v/>
      </c>
      <c r="N669" t="str" cm="1">
        <f t="array" ref="N669">IF(M669="","",
_xlfn.TEXTJOIN(", ",TRUE,
    _xlfn.MAP(_xlfn.TEXTSPLIT(M669,","),_xlfn.LAMBDA(_xlpm.x,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9" t="e">
        <f>'Audit Report'!#REF!</f>
        <v>#REF!</v>
      </c>
      <c r="S669" t="str">
        <f>'Audit Report'!N669</f>
        <v/>
      </c>
    </row>
    <row r="670" spans="4:19">
      <c r="D670" t="str">
        <f>'Audit Report'!B670</f>
        <v>ITD-SHRXXX-XX669</v>
      </c>
      <c r="E670" t="str">
        <f>'Audit Report'!C670</f>
        <v/>
      </c>
      <c r="I670" t="str">
        <f>'Audit Report'!E670</f>
        <v/>
      </c>
      <c r="J670" t="str">
        <f>'Audit Report'!G670</f>
        <v/>
      </c>
      <c r="L670" t="str">
        <f>_xlfn.TEXTJOIN(", ", FALSE, 'Audit Report'!J670,'Audit Report'!K670,'Audit Report'!L670)</f>
        <v xml:space="preserve">, , </v>
      </c>
      <c r="M670" t="str">
        <f>'Audit Report'!M670</f>
        <v/>
      </c>
      <c r="N670" t="str" cm="1">
        <f t="array" ref="N670">IF(M670="","",
_xlfn.TEXTJOIN(", ",TRUE,
    _xlfn.MAP(_xlfn.TEXTSPLIT(M670,","),_xlfn.LAMBDA(_xlpm.x,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0" t="e">
        <f>'Audit Report'!#REF!</f>
        <v>#REF!</v>
      </c>
      <c r="S670" t="str">
        <f>'Audit Report'!N670</f>
        <v/>
      </c>
    </row>
    <row r="671" spans="4:19">
      <c r="D671" t="str">
        <f>'Audit Report'!B671</f>
        <v>ITD-SHRXXX-XX670</v>
      </c>
      <c r="E671" t="str">
        <f>'Audit Report'!C671</f>
        <v/>
      </c>
      <c r="I671" t="str">
        <f>'Audit Report'!E671</f>
        <v/>
      </c>
      <c r="J671" t="str">
        <f>'Audit Report'!G671</f>
        <v/>
      </c>
      <c r="L671" t="str">
        <f>_xlfn.TEXTJOIN(", ", FALSE, 'Audit Report'!J671,'Audit Report'!K671,'Audit Report'!L671)</f>
        <v xml:space="preserve">, , </v>
      </c>
      <c r="M671" t="str">
        <f>'Audit Report'!M671</f>
        <v/>
      </c>
      <c r="N671" t="str" cm="1">
        <f t="array" ref="N671">IF(M671="","",
_xlfn.TEXTJOIN(", ",TRUE,
    _xlfn.MAP(_xlfn.TEXTSPLIT(M671,","),_xlfn.LAMBDA(_xlpm.x,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1" t="e">
        <f>'Audit Report'!#REF!</f>
        <v>#REF!</v>
      </c>
      <c r="S671" t="str">
        <f>'Audit Report'!N671</f>
        <v/>
      </c>
    </row>
    <row r="672" spans="4:19">
      <c r="D672" t="str">
        <f>'Audit Report'!B672</f>
        <v>ITD-SHRXXX-XX671</v>
      </c>
      <c r="E672" t="str">
        <f>'Audit Report'!C672</f>
        <v/>
      </c>
      <c r="I672" t="str">
        <f>'Audit Report'!E672</f>
        <v/>
      </c>
      <c r="J672" t="str">
        <f>'Audit Report'!G672</f>
        <v/>
      </c>
      <c r="L672" t="str">
        <f>_xlfn.TEXTJOIN(", ", FALSE, 'Audit Report'!J672,'Audit Report'!K672,'Audit Report'!L672)</f>
        <v xml:space="preserve">, , </v>
      </c>
      <c r="M672" t="str">
        <f>'Audit Report'!M672</f>
        <v/>
      </c>
      <c r="N672" t="str" cm="1">
        <f t="array" ref="N672">IF(M672="","",
_xlfn.TEXTJOIN(", ",TRUE,
    _xlfn.MAP(_xlfn.TEXTSPLIT(M672,","),_xlfn.LAMBDA(_xlpm.x,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2" t="e">
        <f>'Audit Report'!#REF!</f>
        <v>#REF!</v>
      </c>
      <c r="S672" t="str">
        <f>'Audit Report'!N672</f>
        <v/>
      </c>
    </row>
    <row r="673" spans="4:19">
      <c r="D673" t="str">
        <f>'Audit Report'!B673</f>
        <v>ITD-SHRXXX-XX672</v>
      </c>
      <c r="E673" t="str">
        <f>'Audit Report'!C673</f>
        <v/>
      </c>
      <c r="I673" t="str">
        <f>'Audit Report'!E673</f>
        <v/>
      </c>
      <c r="J673" t="str">
        <f>'Audit Report'!G673</f>
        <v/>
      </c>
      <c r="L673" t="str">
        <f>_xlfn.TEXTJOIN(", ", FALSE, 'Audit Report'!J673,'Audit Report'!K673,'Audit Report'!L673)</f>
        <v xml:space="preserve">, , </v>
      </c>
      <c r="M673" t="str">
        <f>'Audit Report'!M673</f>
        <v/>
      </c>
      <c r="N673" t="str" cm="1">
        <f t="array" ref="N673">IF(M673="","",
_xlfn.TEXTJOIN(", ",TRUE,
    _xlfn.MAP(_xlfn.TEXTSPLIT(M673,","),_xlfn.LAMBDA(_xlpm.x,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3" t="e">
        <f>'Audit Report'!#REF!</f>
        <v>#REF!</v>
      </c>
      <c r="S673" t="str">
        <f>'Audit Report'!N673</f>
        <v/>
      </c>
    </row>
    <row r="674" spans="4:19">
      <c r="D674" t="str">
        <f>'Audit Report'!B674</f>
        <v>ITD-SHRXXX-XX673</v>
      </c>
      <c r="E674" t="str">
        <f>'Audit Report'!C674</f>
        <v/>
      </c>
      <c r="I674" t="str">
        <f>'Audit Report'!E674</f>
        <v/>
      </c>
      <c r="J674" t="str">
        <f>'Audit Report'!G674</f>
        <v/>
      </c>
      <c r="L674" t="str">
        <f>_xlfn.TEXTJOIN(", ", FALSE, 'Audit Report'!J674,'Audit Report'!K674,'Audit Report'!L674)</f>
        <v xml:space="preserve">, , </v>
      </c>
      <c r="M674" t="str">
        <f>'Audit Report'!M674</f>
        <v/>
      </c>
      <c r="N674" t="str" cm="1">
        <f t="array" ref="N674">IF(M674="","",
_xlfn.TEXTJOIN(", ",TRUE,
    _xlfn.MAP(_xlfn.TEXTSPLIT(M674,","),_xlfn.LAMBDA(_xlpm.x,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4" t="e">
        <f>'Audit Report'!#REF!</f>
        <v>#REF!</v>
      </c>
      <c r="S674" t="str">
        <f>'Audit Report'!N674</f>
        <v/>
      </c>
    </row>
    <row r="675" spans="4:19">
      <c r="D675" t="str">
        <f>'Audit Report'!B675</f>
        <v>ITD-SHRXXX-XX674</v>
      </c>
      <c r="E675" t="str">
        <f>'Audit Report'!C675</f>
        <v/>
      </c>
      <c r="I675" t="str">
        <f>'Audit Report'!E675</f>
        <v/>
      </c>
      <c r="J675" t="str">
        <f>'Audit Report'!G675</f>
        <v/>
      </c>
      <c r="L675" t="str">
        <f>_xlfn.TEXTJOIN(", ", FALSE, 'Audit Report'!J675,'Audit Report'!K675,'Audit Report'!L675)</f>
        <v xml:space="preserve">, , </v>
      </c>
      <c r="M675" t="str">
        <f>'Audit Report'!M675</f>
        <v/>
      </c>
      <c r="N675" t="str" cm="1">
        <f t="array" ref="N675">IF(M675="","",
_xlfn.TEXTJOIN(", ",TRUE,
    _xlfn.MAP(_xlfn.TEXTSPLIT(M675,","),_xlfn.LAMBDA(_xlpm.x,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5" t="e">
        <f>'Audit Report'!#REF!</f>
        <v>#REF!</v>
      </c>
      <c r="S675" t="str">
        <f>'Audit Report'!N675</f>
        <v/>
      </c>
    </row>
    <row r="676" spans="4:19">
      <c r="D676" t="str">
        <f>'Audit Report'!B676</f>
        <v>ITD-SHRXXX-XX675</v>
      </c>
      <c r="E676" t="str">
        <f>'Audit Report'!C676</f>
        <v/>
      </c>
      <c r="I676" t="str">
        <f>'Audit Report'!E676</f>
        <v/>
      </c>
      <c r="J676" t="str">
        <f>'Audit Report'!G676</f>
        <v/>
      </c>
      <c r="L676" t="str">
        <f>_xlfn.TEXTJOIN(", ", FALSE, 'Audit Report'!J676,'Audit Report'!K676,'Audit Report'!L676)</f>
        <v xml:space="preserve">, , </v>
      </c>
      <c r="M676" t="str">
        <f>'Audit Report'!M676</f>
        <v/>
      </c>
      <c r="N676" t="str" cm="1">
        <f t="array" ref="N676">IF(M676="","",
_xlfn.TEXTJOIN(", ",TRUE,
    _xlfn.MAP(_xlfn.TEXTSPLIT(M676,","),_xlfn.LAMBDA(_xlpm.x,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6" t="e">
        <f>'Audit Report'!#REF!</f>
        <v>#REF!</v>
      </c>
      <c r="S676" t="str">
        <f>'Audit Report'!N676</f>
        <v/>
      </c>
    </row>
    <row r="677" spans="4:19">
      <c r="D677" t="str">
        <f>'Audit Report'!B677</f>
        <v>ITD-SHRXXX-XX676</v>
      </c>
      <c r="E677" t="str">
        <f>'Audit Report'!C677</f>
        <v/>
      </c>
      <c r="I677" t="str">
        <f>'Audit Report'!E677</f>
        <v/>
      </c>
      <c r="J677" t="str">
        <f>'Audit Report'!G677</f>
        <v/>
      </c>
      <c r="L677" t="str">
        <f>_xlfn.TEXTJOIN(", ", FALSE, 'Audit Report'!J677,'Audit Report'!K677,'Audit Report'!L677)</f>
        <v xml:space="preserve">, , </v>
      </c>
      <c r="M677" t="str">
        <f>'Audit Report'!M677</f>
        <v/>
      </c>
      <c r="N677" t="str" cm="1">
        <f t="array" ref="N677">IF(M677="","",
_xlfn.TEXTJOIN(", ",TRUE,
    _xlfn.MAP(_xlfn.TEXTSPLIT(M677,","),_xlfn.LAMBDA(_xlpm.x,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7" t="e">
        <f>'Audit Report'!#REF!</f>
        <v>#REF!</v>
      </c>
      <c r="S677" t="str">
        <f>'Audit Report'!N677</f>
        <v/>
      </c>
    </row>
    <row r="678" spans="4:19">
      <c r="D678" t="str">
        <f>'Audit Report'!B678</f>
        <v>ITD-SHRXXX-XX677</v>
      </c>
      <c r="E678" t="str">
        <f>'Audit Report'!C678</f>
        <v/>
      </c>
      <c r="I678" t="str">
        <f>'Audit Report'!E678</f>
        <v/>
      </c>
      <c r="J678" t="str">
        <f>'Audit Report'!G678</f>
        <v/>
      </c>
      <c r="L678" t="str">
        <f>_xlfn.TEXTJOIN(", ", FALSE, 'Audit Report'!J678,'Audit Report'!K678,'Audit Report'!L678)</f>
        <v xml:space="preserve">, , </v>
      </c>
      <c r="M678" t="str">
        <f>'Audit Report'!M678</f>
        <v/>
      </c>
      <c r="N678" t="str" cm="1">
        <f t="array" ref="N678">IF(M678="","",
_xlfn.TEXTJOIN(", ",TRUE,
    _xlfn.MAP(_xlfn.TEXTSPLIT(M678,","),_xlfn.LAMBDA(_xlpm.x,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8" t="e">
        <f>'Audit Report'!#REF!</f>
        <v>#REF!</v>
      </c>
      <c r="S678" t="str">
        <f>'Audit Report'!N678</f>
        <v/>
      </c>
    </row>
    <row r="679" spans="4:19">
      <c r="D679" t="str">
        <f>'Audit Report'!B679</f>
        <v>ITD-SHRXXX-XX678</v>
      </c>
      <c r="E679" t="str">
        <f>'Audit Report'!C679</f>
        <v/>
      </c>
      <c r="I679" t="str">
        <f>'Audit Report'!E679</f>
        <v/>
      </c>
      <c r="J679" t="str">
        <f>'Audit Report'!G679</f>
        <v/>
      </c>
      <c r="L679" t="str">
        <f>_xlfn.TEXTJOIN(", ", FALSE, 'Audit Report'!J679,'Audit Report'!K679,'Audit Report'!L679)</f>
        <v xml:space="preserve">, , </v>
      </c>
      <c r="M679" t="str">
        <f>'Audit Report'!M679</f>
        <v/>
      </c>
      <c r="N679" t="str" cm="1">
        <f t="array" ref="N679">IF(M679="","",
_xlfn.TEXTJOIN(", ",TRUE,
    _xlfn.MAP(_xlfn.TEXTSPLIT(M679,","),_xlfn.LAMBDA(_xlpm.x,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9" t="e">
        <f>'Audit Report'!#REF!</f>
        <v>#REF!</v>
      </c>
      <c r="S679" t="str">
        <f>'Audit Report'!N679</f>
        <v/>
      </c>
    </row>
    <row r="680" spans="4:19">
      <c r="D680" t="str">
        <f>'Audit Report'!B680</f>
        <v>ITD-SHRXXX-XX679</v>
      </c>
      <c r="E680" t="str">
        <f>'Audit Report'!C680</f>
        <v/>
      </c>
      <c r="I680" t="str">
        <f>'Audit Report'!E680</f>
        <v/>
      </c>
      <c r="J680" t="str">
        <f>'Audit Report'!G680</f>
        <v/>
      </c>
      <c r="L680" t="str">
        <f>_xlfn.TEXTJOIN(", ", FALSE, 'Audit Report'!J680,'Audit Report'!K680,'Audit Report'!L680)</f>
        <v xml:space="preserve">, , </v>
      </c>
      <c r="M680" t="str">
        <f>'Audit Report'!M680</f>
        <v/>
      </c>
      <c r="N680" t="str" cm="1">
        <f t="array" ref="N680">IF(M680="","",
_xlfn.TEXTJOIN(", ",TRUE,
    _xlfn.MAP(_xlfn.TEXTSPLIT(M680,","),_xlfn.LAMBDA(_xlpm.x,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0" t="e">
        <f>'Audit Report'!#REF!</f>
        <v>#REF!</v>
      </c>
      <c r="S680" t="str">
        <f>'Audit Report'!N680</f>
        <v/>
      </c>
    </row>
    <row r="681" spans="4:19">
      <c r="D681" t="str">
        <f>'Audit Report'!B681</f>
        <v>ITD-SHRXXX-XX680</v>
      </c>
      <c r="E681" t="str">
        <f>'Audit Report'!C681</f>
        <v/>
      </c>
      <c r="I681" t="str">
        <f>'Audit Report'!E681</f>
        <v/>
      </c>
      <c r="J681" t="str">
        <f>'Audit Report'!G681</f>
        <v/>
      </c>
      <c r="L681" t="str">
        <f>_xlfn.TEXTJOIN(", ", FALSE, 'Audit Report'!J681,'Audit Report'!K681,'Audit Report'!L681)</f>
        <v xml:space="preserve">, , </v>
      </c>
      <c r="M681" t="str">
        <f>'Audit Report'!M681</f>
        <v/>
      </c>
      <c r="N681" t="str" cm="1">
        <f t="array" ref="N681">IF(M681="","",
_xlfn.TEXTJOIN(", ",TRUE,
    _xlfn.MAP(_xlfn.TEXTSPLIT(M681,","),_xlfn.LAMBDA(_xlpm.x,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1" t="e">
        <f>'Audit Report'!#REF!</f>
        <v>#REF!</v>
      </c>
      <c r="S681" t="str">
        <f>'Audit Report'!N681</f>
        <v/>
      </c>
    </row>
    <row r="682" spans="4:19">
      <c r="D682" t="str">
        <f>'Audit Report'!B682</f>
        <v>ITD-SHRXXX-XX681</v>
      </c>
      <c r="E682" t="str">
        <f>'Audit Report'!C682</f>
        <v/>
      </c>
      <c r="I682" t="str">
        <f>'Audit Report'!E682</f>
        <v/>
      </c>
      <c r="J682" t="str">
        <f>'Audit Report'!G682</f>
        <v/>
      </c>
      <c r="L682" t="str">
        <f>_xlfn.TEXTJOIN(", ", FALSE, 'Audit Report'!J682,'Audit Report'!K682,'Audit Report'!L682)</f>
        <v xml:space="preserve">, , </v>
      </c>
      <c r="M682" t="str">
        <f>'Audit Report'!M682</f>
        <v/>
      </c>
      <c r="N682" t="str" cm="1">
        <f t="array" ref="N682">IF(M682="","",
_xlfn.TEXTJOIN(", ",TRUE,
    _xlfn.MAP(_xlfn.TEXTSPLIT(M682,","),_xlfn.LAMBDA(_xlpm.x,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2" t="e">
        <f>'Audit Report'!#REF!</f>
        <v>#REF!</v>
      </c>
      <c r="S682" t="str">
        <f>'Audit Report'!N682</f>
        <v/>
      </c>
    </row>
    <row r="683" spans="4:19">
      <c r="D683" t="str">
        <f>'Audit Report'!B683</f>
        <v>ITD-SHRXXX-XX682</v>
      </c>
      <c r="E683" t="str">
        <f>'Audit Report'!C683</f>
        <v/>
      </c>
      <c r="I683" t="str">
        <f>'Audit Report'!E683</f>
        <v/>
      </c>
      <c r="J683" t="str">
        <f>'Audit Report'!G683</f>
        <v/>
      </c>
      <c r="L683" t="str">
        <f>_xlfn.TEXTJOIN(", ", FALSE, 'Audit Report'!J683,'Audit Report'!K683,'Audit Report'!L683)</f>
        <v xml:space="preserve">, , </v>
      </c>
      <c r="M683" t="str">
        <f>'Audit Report'!M683</f>
        <v/>
      </c>
      <c r="N683" t="str" cm="1">
        <f t="array" ref="N683">IF(M683="","",
_xlfn.TEXTJOIN(", ",TRUE,
    _xlfn.MAP(_xlfn.TEXTSPLIT(M683,","),_xlfn.LAMBDA(_xlpm.x,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3" t="e">
        <f>'Audit Report'!#REF!</f>
        <v>#REF!</v>
      </c>
      <c r="S683" t="str">
        <f>'Audit Report'!N683</f>
        <v/>
      </c>
    </row>
    <row r="684" spans="4:19">
      <c r="D684" t="str">
        <f>'Audit Report'!B684</f>
        <v>ITD-SHRXXX-XX683</v>
      </c>
      <c r="E684" t="str">
        <f>'Audit Report'!C684</f>
        <v/>
      </c>
      <c r="I684" t="str">
        <f>'Audit Report'!E684</f>
        <v/>
      </c>
      <c r="J684" t="str">
        <f>'Audit Report'!G684</f>
        <v/>
      </c>
      <c r="L684" t="str">
        <f>_xlfn.TEXTJOIN(", ", FALSE, 'Audit Report'!J684,'Audit Report'!K684,'Audit Report'!L684)</f>
        <v xml:space="preserve">, , </v>
      </c>
      <c r="M684" t="str">
        <f>'Audit Report'!M684</f>
        <v/>
      </c>
      <c r="N684" t="str" cm="1">
        <f t="array" ref="N684">IF(M684="","",
_xlfn.TEXTJOIN(", ",TRUE,
    _xlfn.MAP(_xlfn.TEXTSPLIT(M684,","),_xlfn.LAMBDA(_xlpm.x,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4" t="e">
        <f>'Audit Report'!#REF!</f>
        <v>#REF!</v>
      </c>
      <c r="S684" t="str">
        <f>'Audit Report'!N684</f>
        <v/>
      </c>
    </row>
    <row r="685" spans="4:19">
      <c r="D685" t="str">
        <f>'Audit Report'!B685</f>
        <v>ITD-SHRXXX-XX684</v>
      </c>
      <c r="E685" t="str">
        <f>'Audit Report'!C685</f>
        <v/>
      </c>
      <c r="I685" t="str">
        <f>'Audit Report'!E685</f>
        <v/>
      </c>
      <c r="J685" t="str">
        <f>'Audit Report'!G685</f>
        <v/>
      </c>
      <c r="L685" t="str">
        <f>_xlfn.TEXTJOIN(", ", FALSE, 'Audit Report'!J685,'Audit Report'!K685,'Audit Report'!L685)</f>
        <v xml:space="preserve">, , </v>
      </c>
      <c r="M685" t="str">
        <f>'Audit Report'!M685</f>
        <v/>
      </c>
      <c r="N685" t="str" cm="1">
        <f t="array" ref="N685">IF(M685="","",
_xlfn.TEXTJOIN(", ",TRUE,
    _xlfn.MAP(_xlfn.TEXTSPLIT(M685,","),_xlfn.LAMBDA(_xlpm.x,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5" t="e">
        <f>'Audit Report'!#REF!</f>
        <v>#REF!</v>
      </c>
      <c r="S685" t="str">
        <f>'Audit Report'!N685</f>
        <v/>
      </c>
    </row>
    <row r="686" spans="4:19">
      <c r="D686" t="str">
        <f>'Audit Report'!B686</f>
        <v>ITD-SHRXXX-XX685</v>
      </c>
      <c r="E686" t="str">
        <f>'Audit Report'!C686</f>
        <v/>
      </c>
      <c r="I686" t="str">
        <f>'Audit Report'!E686</f>
        <v/>
      </c>
      <c r="J686" t="str">
        <f>'Audit Report'!G686</f>
        <v/>
      </c>
      <c r="L686" t="str">
        <f>_xlfn.TEXTJOIN(", ", FALSE, 'Audit Report'!J686,'Audit Report'!K686,'Audit Report'!L686)</f>
        <v xml:space="preserve">, , </v>
      </c>
      <c r="M686" t="str">
        <f>'Audit Report'!M686</f>
        <v/>
      </c>
      <c r="N686" t="str" cm="1">
        <f t="array" ref="N686">IF(M686="","",
_xlfn.TEXTJOIN(", ",TRUE,
    _xlfn.MAP(_xlfn.TEXTSPLIT(M686,","),_xlfn.LAMBDA(_xlpm.x,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6" t="e">
        <f>'Audit Report'!#REF!</f>
        <v>#REF!</v>
      </c>
      <c r="S686" t="str">
        <f>'Audit Report'!N686</f>
        <v/>
      </c>
    </row>
    <row r="687" spans="4:19">
      <c r="D687" t="str">
        <f>'Audit Report'!B687</f>
        <v>ITD-SHRXXX-XX686</v>
      </c>
      <c r="E687" t="str">
        <f>'Audit Report'!C687</f>
        <v/>
      </c>
      <c r="I687" t="str">
        <f>'Audit Report'!E687</f>
        <v/>
      </c>
      <c r="J687" t="str">
        <f>'Audit Report'!G687</f>
        <v/>
      </c>
      <c r="L687" t="str">
        <f>_xlfn.TEXTJOIN(", ", FALSE, 'Audit Report'!J687,'Audit Report'!K687,'Audit Report'!L687)</f>
        <v xml:space="preserve">, , </v>
      </c>
      <c r="M687" t="str">
        <f>'Audit Report'!M687</f>
        <v/>
      </c>
      <c r="N687" t="str" cm="1">
        <f t="array" ref="N687">IF(M687="","",
_xlfn.TEXTJOIN(", ",TRUE,
    _xlfn.MAP(_xlfn.TEXTSPLIT(M687,","),_xlfn.LAMBDA(_xlpm.x,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7" t="e">
        <f>'Audit Report'!#REF!</f>
        <v>#REF!</v>
      </c>
      <c r="S687" t="str">
        <f>'Audit Report'!N687</f>
        <v/>
      </c>
    </row>
    <row r="688" spans="4:19">
      <c r="D688" t="str">
        <f>'Audit Report'!B688</f>
        <v>ITD-SHRXXX-XX687</v>
      </c>
      <c r="E688" t="str">
        <f>'Audit Report'!C688</f>
        <v/>
      </c>
      <c r="I688" t="str">
        <f>'Audit Report'!E688</f>
        <v/>
      </c>
      <c r="J688" t="str">
        <f>'Audit Report'!G688</f>
        <v/>
      </c>
      <c r="L688" t="str">
        <f>_xlfn.TEXTJOIN(", ", FALSE, 'Audit Report'!J688,'Audit Report'!K688,'Audit Report'!L688)</f>
        <v xml:space="preserve">, , </v>
      </c>
      <c r="M688" t="str">
        <f>'Audit Report'!M688</f>
        <v/>
      </c>
      <c r="N688" t="str" cm="1">
        <f t="array" ref="N688">IF(M688="","",
_xlfn.TEXTJOIN(", ",TRUE,
    _xlfn.MAP(_xlfn.TEXTSPLIT(M688,","),_xlfn.LAMBDA(_xlpm.x,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8" t="e">
        <f>'Audit Report'!#REF!</f>
        <v>#REF!</v>
      </c>
      <c r="S688" t="str">
        <f>'Audit Report'!N688</f>
        <v/>
      </c>
    </row>
    <row r="689" spans="4:19">
      <c r="D689" t="str">
        <f>'Audit Report'!B689</f>
        <v>ITD-SHRXXX-XX688</v>
      </c>
      <c r="E689" t="str">
        <f>'Audit Report'!C689</f>
        <v/>
      </c>
      <c r="I689" t="str">
        <f>'Audit Report'!E689</f>
        <v/>
      </c>
      <c r="J689" t="str">
        <f>'Audit Report'!G689</f>
        <v/>
      </c>
      <c r="L689" t="str">
        <f>_xlfn.TEXTJOIN(", ", FALSE, 'Audit Report'!J689,'Audit Report'!K689,'Audit Report'!L689)</f>
        <v xml:space="preserve">, , </v>
      </c>
      <c r="M689" t="str">
        <f>'Audit Report'!M689</f>
        <v/>
      </c>
      <c r="N689" t="str" cm="1">
        <f t="array" ref="N689">IF(M689="","",
_xlfn.TEXTJOIN(", ",TRUE,
    _xlfn.MAP(_xlfn.TEXTSPLIT(M689,","),_xlfn.LAMBDA(_xlpm.x,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9" t="e">
        <f>'Audit Report'!#REF!</f>
        <v>#REF!</v>
      </c>
      <c r="S689" t="str">
        <f>'Audit Report'!N689</f>
        <v/>
      </c>
    </row>
    <row r="690" spans="4:19">
      <c r="D690" t="str">
        <f>'Audit Report'!B690</f>
        <v>ITD-SHRXXX-XX689</v>
      </c>
      <c r="E690" t="str">
        <f>'Audit Report'!C690</f>
        <v/>
      </c>
      <c r="I690" t="str">
        <f>'Audit Report'!E690</f>
        <v/>
      </c>
      <c r="J690" t="str">
        <f>'Audit Report'!G690</f>
        <v/>
      </c>
      <c r="L690" t="str">
        <f>_xlfn.TEXTJOIN(", ", FALSE, 'Audit Report'!J690,'Audit Report'!K690,'Audit Report'!L690)</f>
        <v xml:space="preserve">, , </v>
      </c>
      <c r="M690" t="str">
        <f>'Audit Report'!M690</f>
        <v/>
      </c>
      <c r="N690" t="str" cm="1">
        <f t="array" ref="N690">IF(M690="","",
_xlfn.TEXTJOIN(", ",TRUE,
    _xlfn.MAP(_xlfn.TEXTSPLIT(M690,","),_xlfn.LAMBDA(_xlpm.x,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0" t="e">
        <f>'Audit Report'!#REF!</f>
        <v>#REF!</v>
      </c>
      <c r="S690" t="str">
        <f>'Audit Report'!N690</f>
        <v/>
      </c>
    </row>
    <row r="691" spans="4:19">
      <c r="D691" t="str">
        <f>'Audit Report'!B691</f>
        <v>ITD-SHRXXX-XX690</v>
      </c>
      <c r="E691" t="str">
        <f>'Audit Report'!C691</f>
        <v/>
      </c>
      <c r="I691" t="str">
        <f>'Audit Report'!E691</f>
        <v/>
      </c>
      <c r="J691" t="str">
        <f>'Audit Report'!G691</f>
        <v/>
      </c>
      <c r="L691" t="str">
        <f>_xlfn.TEXTJOIN(", ", FALSE, 'Audit Report'!J691,'Audit Report'!K691,'Audit Report'!L691)</f>
        <v xml:space="preserve">, , </v>
      </c>
      <c r="M691" t="str">
        <f>'Audit Report'!M691</f>
        <v/>
      </c>
      <c r="N691" t="str" cm="1">
        <f t="array" ref="N691">IF(M691="","",
_xlfn.TEXTJOIN(", ",TRUE,
    _xlfn.MAP(_xlfn.TEXTSPLIT(M691,","),_xlfn.LAMBDA(_xlpm.x,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1" t="e">
        <f>'Audit Report'!#REF!</f>
        <v>#REF!</v>
      </c>
      <c r="S691" t="str">
        <f>'Audit Report'!N691</f>
        <v/>
      </c>
    </row>
    <row r="692" spans="4:19">
      <c r="D692" t="str">
        <f>'Audit Report'!B692</f>
        <v>ITD-SHRXXX-XX691</v>
      </c>
      <c r="E692" t="str">
        <f>'Audit Report'!C692</f>
        <v/>
      </c>
      <c r="I692" t="str">
        <f>'Audit Report'!E692</f>
        <v/>
      </c>
      <c r="J692" t="str">
        <f>'Audit Report'!G692</f>
        <v/>
      </c>
      <c r="L692" t="str">
        <f>_xlfn.TEXTJOIN(", ", FALSE, 'Audit Report'!J692,'Audit Report'!K692,'Audit Report'!L692)</f>
        <v xml:space="preserve">, , </v>
      </c>
      <c r="M692" t="str">
        <f>'Audit Report'!M692</f>
        <v/>
      </c>
      <c r="N692" t="str" cm="1">
        <f t="array" ref="N692">IF(M692="","",
_xlfn.TEXTJOIN(", ",TRUE,
    _xlfn.MAP(_xlfn.TEXTSPLIT(M692,","),_xlfn.LAMBDA(_xlpm.x,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2" t="e">
        <f>'Audit Report'!#REF!</f>
        <v>#REF!</v>
      </c>
      <c r="S692" t="str">
        <f>'Audit Report'!N692</f>
        <v/>
      </c>
    </row>
    <row r="693" spans="4:19">
      <c r="D693" t="str">
        <f>'Audit Report'!B693</f>
        <v>ITD-SHRXXX-XX692</v>
      </c>
      <c r="E693" t="str">
        <f>'Audit Report'!C693</f>
        <v/>
      </c>
      <c r="I693" t="str">
        <f>'Audit Report'!E693</f>
        <v/>
      </c>
      <c r="J693" t="str">
        <f>'Audit Report'!G693</f>
        <v/>
      </c>
      <c r="L693" t="str">
        <f>_xlfn.TEXTJOIN(", ", FALSE, 'Audit Report'!J693,'Audit Report'!K693,'Audit Report'!L693)</f>
        <v xml:space="preserve">, , </v>
      </c>
      <c r="M693" t="str">
        <f>'Audit Report'!M693</f>
        <v/>
      </c>
      <c r="N693" t="str" cm="1">
        <f t="array" ref="N693">IF(M693="","",
_xlfn.TEXTJOIN(", ",TRUE,
    _xlfn.MAP(_xlfn.TEXTSPLIT(M693,","),_xlfn.LAMBDA(_xlpm.x,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3" t="e">
        <f>'Audit Report'!#REF!</f>
        <v>#REF!</v>
      </c>
      <c r="S693" t="str">
        <f>'Audit Report'!N693</f>
        <v/>
      </c>
    </row>
    <row r="694" spans="4:19">
      <c r="D694" t="str">
        <f>'Audit Report'!B694</f>
        <v>ITD-SHRXXX-XX693</v>
      </c>
      <c r="E694" t="str">
        <f>'Audit Report'!C694</f>
        <v/>
      </c>
      <c r="I694" t="str">
        <f>'Audit Report'!E694</f>
        <v/>
      </c>
      <c r="J694" t="str">
        <f>'Audit Report'!G694</f>
        <v/>
      </c>
      <c r="L694" t="str">
        <f>_xlfn.TEXTJOIN(", ", FALSE, 'Audit Report'!J694,'Audit Report'!K694,'Audit Report'!L694)</f>
        <v xml:space="preserve">, , </v>
      </c>
      <c r="M694" t="str">
        <f>'Audit Report'!M694</f>
        <v/>
      </c>
      <c r="N694" t="str" cm="1">
        <f t="array" ref="N694">IF(M694="","",
_xlfn.TEXTJOIN(", ",TRUE,
    _xlfn.MAP(_xlfn.TEXTSPLIT(M694,","),_xlfn.LAMBDA(_xlpm.x,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4" t="e">
        <f>'Audit Report'!#REF!</f>
        <v>#REF!</v>
      </c>
      <c r="S694" t="str">
        <f>'Audit Report'!N694</f>
        <v/>
      </c>
    </row>
    <row r="695" spans="4:19">
      <c r="D695" t="str">
        <f>'Audit Report'!B695</f>
        <v>ITD-SHRXXX-XX694</v>
      </c>
      <c r="E695" t="str">
        <f>'Audit Report'!C695</f>
        <v/>
      </c>
      <c r="I695" t="str">
        <f>'Audit Report'!E695</f>
        <v/>
      </c>
      <c r="J695" t="str">
        <f>'Audit Report'!G695</f>
        <v/>
      </c>
      <c r="L695" t="str">
        <f>_xlfn.TEXTJOIN(", ", FALSE, 'Audit Report'!J695,'Audit Report'!K695,'Audit Report'!L695)</f>
        <v xml:space="preserve">, , </v>
      </c>
      <c r="M695" t="str">
        <f>'Audit Report'!M695</f>
        <v/>
      </c>
      <c r="N695" t="str" cm="1">
        <f t="array" ref="N695">IF(M695="","",
_xlfn.TEXTJOIN(", ",TRUE,
    _xlfn.MAP(_xlfn.TEXTSPLIT(M695,","),_xlfn.LAMBDA(_xlpm.x,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5" t="e">
        <f>'Audit Report'!#REF!</f>
        <v>#REF!</v>
      </c>
      <c r="S695" t="str">
        <f>'Audit Report'!N695</f>
        <v/>
      </c>
    </row>
    <row r="696" spans="4:19">
      <c r="D696" t="str">
        <f>'Audit Report'!B696</f>
        <v>ITD-SHRXXX-XX695</v>
      </c>
      <c r="E696" t="str">
        <f>'Audit Report'!C696</f>
        <v/>
      </c>
      <c r="I696" t="str">
        <f>'Audit Report'!E696</f>
        <v/>
      </c>
      <c r="J696" t="str">
        <f>'Audit Report'!G696</f>
        <v/>
      </c>
      <c r="L696" t="str">
        <f>_xlfn.TEXTJOIN(", ", FALSE, 'Audit Report'!J696,'Audit Report'!K696,'Audit Report'!L696)</f>
        <v xml:space="preserve">, , </v>
      </c>
      <c r="M696" t="str">
        <f>'Audit Report'!M696</f>
        <v/>
      </c>
      <c r="N696" t="str" cm="1">
        <f t="array" ref="N696">IF(M696="","",
_xlfn.TEXTJOIN(", ",TRUE,
    _xlfn.MAP(_xlfn.TEXTSPLIT(M696,","),_xlfn.LAMBDA(_xlpm.x,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6" t="e">
        <f>'Audit Report'!#REF!</f>
        <v>#REF!</v>
      </c>
      <c r="S696" t="str">
        <f>'Audit Report'!N696</f>
        <v/>
      </c>
    </row>
    <row r="697" spans="4:19">
      <c r="D697" t="str">
        <f>'Audit Report'!B697</f>
        <v>ITD-SHRXXX-XX696</v>
      </c>
      <c r="E697" t="str">
        <f>'Audit Report'!C697</f>
        <v/>
      </c>
      <c r="I697" t="str">
        <f>'Audit Report'!E697</f>
        <v/>
      </c>
      <c r="J697" t="str">
        <f>'Audit Report'!G697</f>
        <v/>
      </c>
      <c r="L697" t="str">
        <f>_xlfn.TEXTJOIN(", ", FALSE, 'Audit Report'!J697,'Audit Report'!K697,'Audit Report'!L697)</f>
        <v xml:space="preserve">, , </v>
      </c>
      <c r="M697" t="str">
        <f>'Audit Report'!M697</f>
        <v/>
      </c>
      <c r="N697" t="str" cm="1">
        <f t="array" ref="N697">IF(M697="","",
_xlfn.TEXTJOIN(", ",TRUE,
    _xlfn.MAP(_xlfn.TEXTSPLIT(M697,","),_xlfn.LAMBDA(_xlpm.x,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7" t="e">
        <f>'Audit Report'!#REF!</f>
        <v>#REF!</v>
      </c>
      <c r="S697" t="str">
        <f>'Audit Report'!N697</f>
        <v/>
      </c>
    </row>
    <row r="698" spans="4:19">
      <c r="D698" t="str">
        <f>'Audit Report'!B698</f>
        <v>ITD-SHRXXX-XX697</v>
      </c>
      <c r="E698" t="str">
        <f>'Audit Report'!C698</f>
        <v/>
      </c>
      <c r="I698" t="str">
        <f>'Audit Report'!E698</f>
        <v/>
      </c>
      <c r="J698" t="str">
        <f>'Audit Report'!G698</f>
        <v/>
      </c>
      <c r="L698" t="str">
        <f>_xlfn.TEXTJOIN(", ", FALSE, 'Audit Report'!J698,'Audit Report'!K698,'Audit Report'!L698)</f>
        <v xml:space="preserve">, , </v>
      </c>
      <c r="M698" t="str">
        <f>'Audit Report'!M698</f>
        <v/>
      </c>
      <c r="N698" t="str" cm="1">
        <f t="array" ref="N698">IF(M698="","",
_xlfn.TEXTJOIN(", ",TRUE,
    _xlfn.MAP(_xlfn.TEXTSPLIT(M698,","),_xlfn.LAMBDA(_xlpm.x,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8" t="e">
        <f>'Audit Report'!#REF!</f>
        <v>#REF!</v>
      </c>
      <c r="S698" t="str">
        <f>'Audit Report'!N698</f>
        <v/>
      </c>
    </row>
    <row r="699" spans="4:19">
      <c r="D699" t="str">
        <f>'Audit Report'!B699</f>
        <v>ITD-SHRXXX-XX698</v>
      </c>
      <c r="E699" t="str">
        <f>'Audit Report'!C699</f>
        <v/>
      </c>
      <c r="I699" t="str">
        <f>'Audit Report'!E699</f>
        <v/>
      </c>
      <c r="J699" t="str">
        <f>'Audit Report'!G699</f>
        <v/>
      </c>
      <c r="L699" t="str">
        <f>_xlfn.TEXTJOIN(", ", FALSE, 'Audit Report'!J699,'Audit Report'!K699,'Audit Report'!L699)</f>
        <v xml:space="preserve">, , </v>
      </c>
      <c r="M699" t="str">
        <f>'Audit Report'!M699</f>
        <v/>
      </c>
      <c r="N699" t="str" cm="1">
        <f t="array" ref="N699">IF(M699="","",
_xlfn.TEXTJOIN(", ",TRUE,
    _xlfn.MAP(_xlfn.TEXTSPLIT(M699,","),_xlfn.LAMBDA(_xlpm.x,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9" t="e">
        <f>'Audit Report'!#REF!</f>
        <v>#REF!</v>
      </c>
      <c r="S699" t="str">
        <f>'Audit Report'!N699</f>
        <v/>
      </c>
    </row>
    <row r="700" spans="4:19">
      <c r="D700" t="str">
        <f>'Audit Report'!B700</f>
        <v>ITD-SHRXXX-XX699</v>
      </c>
      <c r="E700" t="str">
        <f>'Audit Report'!C700</f>
        <v/>
      </c>
      <c r="I700" t="str">
        <f>'Audit Report'!E700</f>
        <v/>
      </c>
      <c r="J700" t="str">
        <f>'Audit Report'!G700</f>
        <v/>
      </c>
      <c r="L700" t="str">
        <f>_xlfn.TEXTJOIN(", ", FALSE, 'Audit Report'!J700,'Audit Report'!K700,'Audit Report'!L700)</f>
        <v xml:space="preserve">, , </v>
      </c>
      <c r="M700" t="str">
        <f>'Audit Report'!M700</f>
        <v/>
      </c>
      <c r="N700" t="str" cm="1">
        <f t="array" ref="N700">IF(M700="","",
_xlfn.TEXTJOIN(", ",TRUE,
    _xlfn.MAP(_xlfn.TEXTSPLIT(M700,","),_xlfn.LAMBDA(_xlpm.x,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0" t="e">
        <f>'Audit Report'!#REF!</f>
        <v>#REF!</v>
      </c>
      <c r="S700" t="str">
        <f>'Audit Report'!N700</f>
        <v/>
      </c>
    </row>
    <row r="701" spans="4:19">
      <c r="D701" t="str">
        <f>'Audit Report'!B701</f>
        <v>ITD-SHRXXX-XX700</v>
      </c>
      <c r="E701" t="str">
        <f>'Audit Report'!C701</f>
        <v/>
      </c>
      <c r="I701" t="str">
        <f>'Audit Report'!E701</f>
        <v/>
      </c>
      <c r="J701" t="str">
        <f>'Audit Report'!G701</f>
        <v/>
      </c>
      <c r="L701" t="str">
        <f>_xlfn.TEXTJOIN(", ", FALSE, 'Audit Report'!J701,'Audit Report'!K701,'Audit Report'!L701)</f>
        <v xml:space="preserve">, , </v>
      </c>
      <c r="M701" t="str">
        <f>'Audit Report'!M701</f>
        <v/>
      </c>
      <c r="N701" t="str" cm="1">
        <f t="array" ref="N701">IF(M701="","",
_xlfn.TEXTJOIN(", ",TRUE,
    _xlfn.MAP(_xlfn.TEXTSPLIT(M701,","),_xlfn.LAMBDA(_xlpm.x,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1" t="e">
        <f>'Audit Report'!#REF!</f>
        <v>#REF!</v>
      </c>
      <c r="S701" t="str">
        <f>'Audit Report'!N701</f>
        <v/>
      </c>
    </row>
    <row r="702" spans="4:19">
      <c r="D702" t="str">
        <f>'Audit Report'!B702</f>
        <v>ITD-SHRXXX-XX701</v>
      </c>
      <c r="E702" t="str">
        <f>'Audit Report'!C702</f>
        <v/>
      </c>
      <c r="I702" t="str">
        <f>'Audit Report'!E702</f>
        <v/>
      </c>
      <c r="J702" t="str">
        <f>'Audit Report'!G702</f>
        <v/>
      </c>
      <c r="L702" t="str">
        <f>_xlfn.TEXTJOIN(", ", FALSE, 'Audit Report'!J702,'Audit Report'!K702,'Audit Report'!L702)</f>
        <v xml:space="preserve">, , </v>
      </c>
      <c r="M702" t="str">
        <f>'Audit Report'!M702</f>
        <v/>
      </c>
      <c r="N702" t="str" cm="1">
        <f t="array" ref="N702">IF(M702="","",
_xlfn.TEXTJOIN(", ",TRUE,
    _xlfn.MAP(_xlfn.TEXTSPLIT(M702,","),_xlfn.LAMBDA(_xlpm.x,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2" t="e">
        <f>'Audit Report'!#REF!</f>
        <v>#REF!</v>
      </c>
      <c r="S702" t="str">
        <f>'Audit Report'!N702</f>
        <v/>
      </c>
    </row>
    <row r="703" spans="4:19">
      <c r="D703" t="str">
        <f>'Audit Report'!B703</f>
        <v>ITD-SHRXXX-XX702</v>
      </c>
      <c r="E703" t="str">
        <f>'Audit Report'!C703</f>
        <v/>
      </c>
      <c r="I703" t="str">
        <f>'Audit Report'!E703</f>
        <v/>
      </c>
      <c r="J703" t="str">
        <f>'Audit Report'!G703</f>
        <v/>
      </c>
      <c r="L703" t="str">
        <f>_xlfn.TEXTJOIN(", ", FALSE, 'Audit Report'!J703,'Audit Report'!K703,'Audit Report'!L703)</f>
        <v xml:space="preserve">, , </v>
      </c>
      <c r="M703" t="str">
        <f>'Audit Report'!M703</f>
        <v/>
      </c>
      <c r="N703" t="str" cm="1">
        <f t="array" ref="N703">IF(M703="","",
_xlfn.TEXTJOIN(", ",TRUE,
    _xlfn.MAP(_xlfn.TEXTSPLIT(M703,","),_xlfn.LAMBDA(_xlpm.x,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3" t="e">
        <f>'Audit Report'!#REF!</f>
        <v>#REF!</v>
      </c>
      <c r="S703" t="str">
        <f>'Audit Report'!N703</f>
        <v/>
      </c>
    </row>
    <row r="704" spans="4:19">
      <c r="D704" t="str">
        <f>'Audit Report'!B704</f>
        <v>ITD-SHRXXX-XX703</v>
      </c>
      <c r="E704" t="str">
        <f>'Audit Report'!C704</f>
        <v/>
      </c>
      <c r="I704" t="str">
        <f>'Audit Report'!E704</f>
        <v/>
      </c>
      <c r="J704" t="str">
        <f>'Audit Report'!G704</f>
        <v/>
      </c>
      <c r="L704" t="str">
        <f>_xlfn.TEXTJOIN(", ", FALSE, 'Audit Report'!J704,'Audit Report'!K704,'Audit Report'!L704)</f>
        <v xml:space="preserve">, , </v>
      </c>
      <c r="M704" t="str">
        <f>'Audit Report'!M704</f>
        <v/>
      </c>
      <c r="N704" t="str" cm="1">
        <f t="array" ref="N704">IF(M704="","",
_xlfn.TEXTJOIN(", ",TRUE,
    _xlfn.MAP(_xlfn.TEXTSPLIT(M704,","),_xlfn.LAMBDA(_xlpm.x,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4" t="e">
        <f>'Audit Report'!#REF!</f>
        <v>#REF!</v>
      </c>
      <c r="S704" t="str">
        <f>'Audit Report'!N704</f>
        <v/>
      </c>
    </row>
    <row r="705" spans="4:19">
      <c r="D705" t="str">
        <f>'Audit Report'!B705</f>
        <v>ITD-SHRXXX-XX704</v>
      </c>
      <c r="E705" t="str">
        <f>'Audit Report'!C705</f>
        <v/>
      </c>
      <c r="I705" t="str">
        <f>'Audit Report'!E705</f>
        <v/>
      </c>
      <c r="J705" t="str">
        <f>'Audit Report'!G705</f>
        <v/>
      </c>
      <c r="L705" t="str">
        <f>_xlfn.TEXTJOIN(", ", FALSE, 'Audit Report'!J705,'Audit Report'!K705,'Audit Report'!L705)</f>
        <v xml:space="preserve">, , </v>
      </c>
      <c r="M705" t="str">
        <f>'Audit Report'!M705</f>
        <v/>
      </c>
      <c r="N705" t="str" cm="1">
        <f t="array" ref="N705">IF(M705="","",
_xlfn.TEXTJOIN(", ",TRUE,
    _xlfn.MAP(_xlfn.TEXTSPLIT(M705,","),_xlfn.LAMBDA(_xlpm.x,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5" t="e">
        <f>'Audit Report'!#REF!</f>
        <v>#REF!</v>
      </c>
      <c r="S705" t="str">
        <f>'Audit Report'!N705</f>
        <v/>
      </c>
    </row>
    <row r="706" spans="4:19">
      <c r="D706" t="str">
        <f>'Audit Report'!B706</f>
        <v>ITD-SHRXXX-XX705</v>
      </c>
      <c r="E706" t="str">
        <f>'Audit Report'!C706</f>
        <v/>
      </c>
      <c r="I706" t="str">
        <f>'Audit Report'!E706</f>
        <v/>
      </c>
      <c r="J706" t="str">
        <f>'Audit Report'!G706</f>
        <v/>
      </c>
      <c r="L706" t="str">
        <f>_xlfn.TEXTJOIN(", ", FALSE, 'Audit Report'!J706,'Audit Report'!K706,'Audit Report'!L706)</f>
        <v xml:space="preserve">, , </v>
      </c>
      <c r="M706" t="str">
        <f>'Audit Report'!M706</f>
        <v/>
      </c>
      <c r="N706" t="str" cm="1">
        <f t="array" ref="N706">IF(M706="","",
_xlfn.TEXTJOIN(", ",TRUE,
    _xlfn.MAP(_xlfn.TEXTSPLIT(M706,","),_xlfn.LAMBDA(_xlpm.x,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6" t="e">
        <f>'Audit Report'!#REF!</f>
        <v>#REF!</v>
      </c>
      <c r="S706" t="str">
        <f>'Audit Report'!N706</f>
        <v/>
      </c>
    </row>
    <row r="707" spans="4:19">
      <c r="D707" t="str">
        <f>'Audit Report'!B707</f>
        <v>ITD-SHRXXX-XX706</v>
      </c>
      <c r="E707" t="str">
        <f>'Audit Report'!C707</f>
        <v/>
      </c>
      <c r="I707" t="str">
        <f>'Audit Report'!E707</f>
        <v/>
      </c>
      <c r="J707" t="str">
        <f>'Audit Report'!G707</f>
        <v/>
      </c>
      <c r="L707" t="str">
        <f>_xlfn.TEXTJOIN(", ", FALSE, 'Audit Report'!J707,'Audit Report'!K707,'Audit Report'!L707)</f>
        <v xml:space="preserve">, , </v>
      </c>
      <c r="M707" t="str">
        <f>'Audit Report'!M707</f>
        <v/>
      </c>
      <c r="N707" t="str" cm="1">
        <f t="array" ref="N707">IF(M707="","",
_xlfn.TEXTJOIN(", ",TRUE,
    _xlfn.MAP(_xlfn.TEXTSPLIT(M707,","),_xlfn.LAMBDA(_xlpm.x,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7" t="e">
        <f>'Audit Report'!#REF!</f>
        <v>#REF!</v>
      </c>
      <c r="S707" t="str">
        <f>'Audit Report'!N707</f>
        <v/>
      </c>
    </row>
    <row r="708" spans="4:19">
      <c r="D708" t="str">
        <f>'Audit Report'!B708</f>
        <v>ITD-SHRXXX-XX707</v>
      </c>
      <c r="E708" t="str">
        <f>'Audit Report'!C708</f>
        <v/>
      </c>
      <c r="I708" t="str">
        <f>'Audit Report'!E708</f>
        <v/>
      </c>
      <c r="J708" t="str">
        <f>'Audit Report'!G708</f>
        <v/>
      </c>
      <c r="L708" t="str">
        <f>_xlfn.TEXTJOIN(", ", FALSE, 'Audit Report'!J708,'Audit Report'!K708,'Audit Report'!L708)</f>
        <v xml:space="preserve">, , </v>
      </c>
      <c r="M708" t="str">
        <f>'Audit Report'!M708</f>
        <v/>
      </c>
      <c r="N708" t="str" cm="1">
        <f t="array" ref="N708">IF(M708="","",
_xlfn.TEXTJOIN(", ",TRUE,
    _xlfn.MAP(_xlfn.TEXTSPLIT(M708,","),_xlfn.LAMBDA(_xlpm.x,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8" t="e">
        <f>'Audit Report'!#REF!</f>
        <v>#REF!</v>
      </c>
      <c r="S708" t="str">
        <f>'Audit Report'!N708</f>
        <v/>
      </c>
    </row>
    <row r="709" spans="4:19">
      <c r="D709" t="str">
        <f>'Audit Report'!B709</f>
        <v>ITD-SHRXXX-XX708</v>
      </c>
      <c r="E709" t="str">
        <f>'Audit Report'!C709</f>
        <v/>
      </c>
      <c r="I709" t="str">
        <f>'Audit Report'!E709</f>
        <v/>
      </c>
      <c r="J709" t="str">
        <f>'Audit Report'!G709</f>
        <v/>
      </c>
      <c r="L709" t="str">
        <f>_xlfn.TEXTJOIN(", ", FALSE, 'Audit Report'!J709,'Audit Report'!K709,'Audit Report'!L709)</f>
        <v xml:space="preserve">, , </v>
      </c>
      <c r="M709" t="str">
        <f>'Audit Report'!M709</f>
        <v/>
      </c>
      <c r="N709" t="str" cm="1">
        <f t="array" ref="N709">IF(M709="","",
_xlfn.TEXTJOIN(", ",TRUE,
    _xlfn.MAP(_xlfn.TEXTSPLIT(M709,","),_xlfn.LAMBDA(_xlpm.x,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9" t="e">
        <f>'Audit Report'!#REF!</f>
        <v>#REF!</v>
      </c>
      <c r="S709" t="str">
        <f>'Audit Report'!N709</f>
        <v/>
      </c>
    </row>
    <row r="710" spans="4:19">
      <c r="D710" t="str">
        <f>'Audit Report'!B710</f>
        <v>ITD-SHRXXX-XX709</v>
      </c>
      <c r="E710" t="str">
        <f>'Audit Report'!C710</f>
        <v/>
      </c>
      <c r="I710" t="str">
        <f>'Audit Report'!E710</f>
        <v/>
      </c>
      <c r="J710" t="str">
        <f>'Audit Report'!G710</f>
        <v/>
      </c>
      <c r="L710" t="str">
        <f>_xlfn.TEXTJOIN(", ", FALSE, 'Audit Report'!J710,'Audit Report'!K710,'Audit Report'!L710)</f>
        <v xml:space="preserve">, , </v>
      </c>
      <c r="M710" t="str">
        <f>'Audit Report'!M710</f>
        <v/>
      </c>
      <c r="N710" t="str" cm="1">
        <f t="array" ref="N710">IF(M710="","",
_xlfn.TEXTJOIN(", ",TRUE,
    _xlfn.MAP(_xlfn.TEXTSPLIT(M710,","),_xlfn.LAMBDA(_xlpm.x,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0" t="e">
        <f>'Audit Report'!#REF!</f>
        <v>#REF!</v>
      </c>
      <c r="S710" t="str">
        <f>'Audit Report'!N710</f>
        <v/>
      </c>
    </row>
    <row r="711" spans="4:19">
      <c r="D711" t="str">
        <f>'Audit Report'!B711</f>
        <v>ITD-SHRXXX-XX710</v>
      </c>
      <c r="E711" t="str">
        <f>'Audit Report'!C711</f>
        <v/>
      </c>
      <c r="I711" t="str">
        <f>'Audit Report'!E711</f>
        <v/>
      </c>
      <c r="J711" t="str">
        <f>'Audit Report'!G711</f>
        <v/>
      </c>
      <c r="L711" t="str">
        <f>_xlfn.TEXTJOIN(", ", FALSE, 'Audit Report'!J711,'Audit Report'!K711,'Audit Report'!L711)</f>
        <v xml:space="preserve">, , </v>
      </c>
      <c r="M711" t="str">
        <f>'Audit Report'!M711</f>
        <v/>
      </c>
      <c r="N711" t="str" cm="1">
        <f t="array" ref="N711">IF(M711="","",
_xlfn.TEXTJOIN(", ",TRUE,
    _xlfn.MAP(_xlfn.TEXTSPLIT(M711,","),_xlfn.LAMBDA(_xlpm.x,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1" t="e">
        <f>'Audit Report'!#REF!</f>
        <v>#REF!</v>
      </c>
      <c r="S711" t="str">
        <f>'Audit Report'!N711</f>
        <v/>
      </c>
    </row>
    <row r="712" spans="4:19">
      <c r="D712">
        <f>'Audit Report'!B712</f>
        <v>0</v>
      </c>
      <c r="E712">
        <f>'Audit Report'!C712</f>
        <v>0</v>
      </c>
      <c r="I712" t="str">
        <f>'Audit Report'!E712</f>
        <v/>
      </c>
      <c r="J712">
        <f>'Audit Report'!G712</f>
        <v>0</v>
      </c>
      <c r="L712" t="str">
        <f>_xlfn.TEXTJOIN(", ", FALSE, 'Audit Report'!J712,'Audit Report'!K712,'Audit Report'!L712)</f>
        <v xml:space="preserve">, , </v>
      </c>
      <c r="M712">
        <f>'Audit Report'!M712</f>
        <v>0</v>
      </c>
      <c r="N712" t="str" cm="1">
        <f t="array" ref="N712">IF(M712="","",
_xlfn.TEXTJOIN(", ",TRUE,
    _xlfn.MAP(_xlfn.TEXTSPLIT(M712,","),_xlfn.LAMBDA(_xlpm.x,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2" t="e">
        <f>'Audit Report'!#REF!</f>
        <v>#REF!</v>
      </c>
      <c r="S712">
        <f>'Audit Report'!N712</f>
        <v>0</v>
      </c>
    </row>
    <row r="713" spans="4:19">
      <c r="D713">
        <f>'Audit Report'!B713</f>
        <v>0</v>
      </c>
      <c r="E713">
        <f>'Audit Report'!C713</f>
        <v>0</v>
      </c>
      <c r="I713" t="str">
        <f>'Audit Report'!E713</f>
        <v/>
      </c>
      <c r="J713">
        <f>'Audit Report'!G713</f>
        <v>0</v>
      </c>
      <c r="L713" t="str">
        <f>_xlfn.TEXTJOIN(", ", FALSE, 'Audit Report'!J713,'Audit Report'!K713,'Audit Report'!L713)</f>
        <v xml:space="preserve">, , </v>
      </c>
      <c r="M713">
        <f>'Audit Report'!M713</f>
        <v>0</v>
      </c>
      <c r="N713" t="str" cm="1">
        <f t="array" ref="N713">IF(M713="","",
_xlfn.TEXTJOIN(", ",TRUE,
    _xlfn.MAP(_xlfn.TEXTSPLIT(M713,","),_xlfn.LAMBDA(_xlpm.x,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3" t="e">
        <f>'Audit Report'!#REF!</f>
        <v>#REF!</v>
      </c>
      <c r="S713">
        <f>'Audit Report'!N713</f>
        <v>0</v>
      </c>
    </row>
    <row r="714" spans="4:19">
      <c r="D714">
        <f>'Audit Report'!B714</f>
        <v>0</v>
      </c>
      <c r="E714">
        <f>'Audit Report'!C714</f>
        <v>0</v>
      </c>
      <c r="I714" t="str">
        <f>'Audit Report'!E714</f>
        <v/>
      </c>
      <c r="J714">
        <f>'Audit Report'!G714</f>
        <v>0</v>
      </c>
      <c r="L714" t="str">
        <f>_xlfn.TEXTJOIN(", ", FALSE, 'Audit Report'!J714,'Audit Report'!K714,'Audit Report'!L714)</f>
        <v xml:space="preserve">, , </v>
      </c>
      <c r="M714">
        <f>'Audit Report'!M714</f>
        <v>0</v>
      </c>
      <c r="N714" t="str" cm="1">
        <f t="array" ref="N714">IF(M714="","",
_xlfn.TEXTJOIN(", ",TRUE,
    _xlfn.MAP(_xlfn.TEXTSPLIT(M714,","),_xlfn.LAMBDA(_xlpm.x,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4" t="e">
        <f>'Audit Report'!#REF!</f>
        <v>#REF!</v>
      </c>
      <c r="S714">
        <f>'Audit Report'!N714</f>
        <v>0</v>
      </c>
    </row>
    <row r="715" spans="4:19">
      <c r="D715">
        <f>'Audit Report'!B715</f>
        <v>0</v>
      </c>
      <c r="E715">
        <f>'Audit Report'!C715</f>
        <v>0</v>
      </c>
      <c r="I715" t="str">
        <f>'Audit Report'!E715</f>
        <v/>
      </c>
      <c r="J715">
        <f>'Audit Report'!G715</f>
        <v>0</v>
      </c>
      <c r="L715" t="str">
        <f>_xlfn.TEXTJOIN(", ", FALSE, 'Audit Report'!J715,'Audit Report'!K715,'Audit Report'!L715)</f>
        <v xml:space="preserve">, , </v>
      </c>
      <c r="M715">
        <f>'Audit Report'!M715</f>
        <v>0</v>
      </c>
      <c r="N715" t="str" cm="1">
        <f t="array" ref="N715">IF(M715="","",
_xlfn.TEXTJOIN(", ",TRUE,
    _xlfn.MAP(_xlfn.TEXTSPLIT(M715,","),_xlfn.LAMBDA(_xlpm.x,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5" t="e">
        <f>'Audit Report'!#REF!</f>
        <v>#REF!</v>
      </c>
      <c r="S715">
        <f>'Audit Report'!N715</f>
        <v>0</v>
      </c>
    </row>
    <row r="716" spans="4:19">
      <c r="D716">
        <f>'Audit Report'!B716</f>
        <v>0</v>
      </c>
      <c r="E716">
        <f>'Audit Report'!C716</f>
        <v>0</v>
      </c>
      <c r="I716" t="str">
        <f>'Audit Report'!E716</f>
        <v/>
      </c>
      <c r="J716">
        <f>'Audit Report'!G716</f>
        <v>0</v>
      </c>
      <c r="L716" t="str">
        <f>_xlfn.TEXTJOIN(", ", FALSE, 'Audit Report'!J716,'Audit Report'!K716,'Audit Report'!L716)</f>
        <v xml:space="preserve">, , </v>
      </c>
      <c r="M716">
        <f>'Audit Report'!M716</f>
        <v>0</v>
      </c>
      <c r="N716" t="str" cm="1">
        <f t="array" ref="N716">IF(M716="","",
_xlfn.TEXTJOIN(", ",TRUE,
    _xlfn.MAP(_xlfn.TEXTSPLIT(M716,","),_xlfn.LAMBDA(_xlpm.x,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6" t="e">
        <f>'Audit Report'!#REF!</f>
        <v>#REF!</v>
      </c>
      <c r="S716">
        <f>'Audit Report'!N716</f>
        <v>0</v>
      </c>
    </row>
    <row r="717" spans="4:19">
      <c r="D717">
        <f>'Audit Report'!B717</f>
        <v>0</v>
      </c>
      <c r="E717">
        <f>'Audit Report'!C717</f>
        <v>0</v>
      </c>
      <c r="I717" t="str">
        <f>'Audit Report'!E717</f>
        <v/>
      </c>
      <c r="J717">
        <f>'Audit Report'!G717</f>
        <v>0</v>
      </c>
      <c r="L717" t="str">
        <f>_xlfn.TEXTJOIN(", ", FALSE, 'Audit Report'!J717,'Audit Report'!K717,'Audit Report'!L717)</f>
        <v xml:space="preserve">, , </v>
      </c>
      <c r="M717">
        <f>'Audit Report'!M717</f>
        <v>0</v>
      </c>
      <c r="N717" t="str" cm="1">
        <f t="array" ref="N717">IF(M717="","",
_xlfn.TEXTJOIN(", ",TRUE,
    _xlfn.MAP(_xlfn.TEXTSPLIT(M717,","),_xlfn.LAMBDA(_xlpm.x,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7" t="e">
        <f>'Audit Report'!#REF!</f>
        <v>#REF!</v>
      </c>
      <c r="S717">
        <f>'Audit Report'!N717</f>
        <v>0</v>
      </c>
    </row>
    <row r="718" spans="4:19">
      <c r="D718">
        <f>'Audit Report'!B718</f>
        <v>0</v>
      </c>
      <c r="E718">
        <f>'Audit Report'!C718</f>
        <v>0</v>
      </c>
      <c r="I718" t="str">
        <f>'Audit Report'!E718</f>
        <v/>
      </c>
      <c r="J718">
        <f>'Audit Report'!G718</f>
        <v>0</v>
      </c>
      <c r="L718" t="str">
        <f>_xlfn.TEXTJOIN(", ", FALSE, 'Audit Report'!J718,'Audit Report'!K718,'Audit Report'!L718)</f>
        <v xml:space="preserve">, , </v>
      </c>
      <c r="M718">
        <f>'Audit Report'!M718</f>
        <v>0</v>
      </c>
      <c r="N718" t="str" cm="1">
        <f t="array" ref="N718">IF(M718="","",
_xlfn.TEXTJOIN(", ",TRUE,
    _xlfn.MAP(_xlfn.TEXTSPLIT(M718,","),_xlfn.LAMBDA(_xlpm.x,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8" t="e">
        <f>'Audit Report'!#REF!</f>
        <v>#REF!</v>
      </c>
      <c r="S718">
        <f>'Audit Report'!N718</f>
        <v>0</v>
      </c>
    </row>
    <row r="719" spans="4:19">
      <c r="D719">
        <f>'Audit Report'!B719</f>
        <v>0</v>
      </c>
      <c r="E719">
        <f>'Audit Report'!C719</f>
        <v>0</v>
      </c>
      <c r="I719" t="str">
        <f>'Audit Report'!E719</f>
        <v/>
      </c>
      <c r="J719">
        <f>'Audit Report'!G719</f>
        <v>0</v>
      </c>
      <c r="L719" t="str">
        <f>_xlfn.TEXTJOIN(", ", FALSE, 'Audit Report'!J719,'Audit Report'!K719,'Audit Report'!L719)</f>
        <v xml:space="preserve">, , </v>
      </c>
      <c r="M719">
        <f>'Audit Report'!M719</f>
        <v>0</v>
      </c>
      <c r="N719" t="str" cm="1">
        <f t="array" ref="N719">IF(M719="","",
_xlfn.TEXTJOIN(", ",TRUE,
    _xlfn.MAP(_xlfn.TEXTSPLIT(M719,","),_xlfn.LAMBDA(_xlpm.x,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9" t="e">
        <f>'Audit Report'!#REF!</f>
        <v>#REF!</v>
      </c>
      <c r="S719">
        <f>'Audit Report'!N719</f>
        <v>0</v>
      </c>
    </row>
    <row r="720" spans="4:19">
      <c r="D720">
        <f>'Audit Report'!B720</f>
        <v>0</v>
      </c>
      <c r="E720">
        <f>'Audit Report'!C720</f>
        <v>0</v>
      </c>
      <c r="I720" t="str">
        <f>'Audit Report'!E720</f>
        <v/>
      </c>
      <c r="J720">
        <f>'Audit Report'!G720</f>
        <v>0</v>
      </c>
      <c r="L720" t="str">
        <f>_xlfn.TEXTJOIN(", ", FALSE, 'Audit Report'!J720,'Audit Report'!K720,'Audit Report'!L720)</f>
        <v xml:space="preserve">, , </v>
      </c>
      <c r="M720">
        <f>'Audit Report'!M720</f>
        <v>0</v>
      </c>
      <c r="N720" t="str" cm="1">
        <f t="array" ref="N720">IF(M720="","",
_xlfn.TEXTJOIN(", ",TRUE,
    _xlfn.MAP(_xlfn.TEXTSPLIT(M720,","),_xlfn.LAMBDA(_xlpm.x,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0" t="e">
        <f>'Audit Report'!#REF!</f>
        <v>#REF!</v>
      </c>
      <c r="S720">
        <f>'Audit Report'!N720</f>
        <v>0</v>
      </c>
    </row>
    <row r="721" spans="4:19">
      <c r="D721">
        <f>'Audit Report'!B721</f>
        <v>0</v>
      </c>
      <c r="E721">
        <f>'Audit Report'!C721</f>
        <v>0</v>
      </c>
      <c r="I721" t="str">
        <f>'Audit Report'!E721</f>
        <v/>
      </c>
      <c r="J721">
        <f>'Audit Report'!G721</f>
        <v>0</v>
      </c>
      <c r="L721" t="str">
        <f>_xlfn.TEXTJOIN(", ", FALSE, 'Audit Report'!J721,'Audit Report'!K721,'Audit Report'!L721)</f>
        <v xml:space="preserve">, , </v>
      </c>
      <c r="M721">
        <f>'Audit Report'!M721</f>
        <v>0</v>
      </c>
      <c r="N721" t="str" cm="1">
        <f t="array" ref="N721">IF(M721="","",
_xlfn.TEXTJOIN(", ",TRUE,
    _xlfn.MAP(_xlfn.TEXTSPLIT(M721,","),_xlfn.LAMBDA(_xlpm.x,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1" t="e">
        <f>'Audit Report'!#REF!</f>
        <v>#REF!</v>
      </c>
      <c r="S721">
        <f>'Audit Report'!N721</f>
        <v>0</v>
      </c>
    </row>
    <row r="722" spans="4:19">
      <c r="D722">
        <f>'Audit Report'!B722</f>
        <v>0</v>
      </c>
      <c r="E722">
        <f>'Audit Report'!C722</f>
        <v>0</v>
      </c>
      <c r="I722" t="str">
        <f>'Audit Report'!E722</f>
        <v/>
      </c>
      <c r="J722">
        <f>'Audit Report'!G722</f>
        <v>0</v>
      </c>
      <c r="L722" t="str">
        <f>_xlfn.TEXTJOIN(", ", FALSE, 'Audit Report'!J722,'Audit Report'!K722,'Audit Report'!L722)</f>
        <v xml:space="preserve">, , </v>
      </c>
      <c r="M722">
        <f>'Audit Report'!M722</f>
        <v>0</v>
      </c>
      <c r="N722" t="str" cm="1">
        <f t="array" ref="N722">IF(M722="","",
_xlfn.TEXTJOIN(", ",TRUE,
    _xlfn.MAP(_xlfn.TEXTSPLIT(M722,","),_xlfn.LAMBDA(_xlpm.x,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2" t="e">
        <f>'Audit Report'!#REF!</f>
        <v>#REF!</v>
      </c>
      <c r="S722">
        <f>'Audit Report'!N722</f>
        <v>0</v>
      </c>
    </row>
    <row r="723" spans="4:19">
      <c r="D723">
        <f>'Audit Report'!B723</f>
        <v>0</v>
      </c>
      <c r="E723">
        <f>'Audit Report'!C723</f>
        <v>0</v>
      </c>
      <c r="I723" t="str">
        <f>'Audit Report'!E723</f>
        <v/>
      </c>
      <c r="J723">
        <f>'Audit Report'!G723</f>
        <v>0</v>
      </c>
      <c r="L723" t="str">
        <f>_xlfn.TEXTJOIN(", ", FALSE, 'Audit Report'!J723,'Audit Report'!K723,'Audit Report'!L723)</f>
        <v xml:space="preserve">, , </v>
      </c>
      <c r="M723">
        <f>'Audit Report'!M723</f>
        <v>0</v>
      </c>
      <c r="N723" t="str" cm="1">
        <f t="array" ref="N723">IF(M723="","",
_xlfn.TEXTJOIN(", ",TRUE,
    _xlfn.MAP(_xlfn.TEXTSPLIT(M723,","),_xlfn.LAMBDA(_xlpm.x,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3" t="e">
        <f>'Audit Report'!#REF!</f>
        <v>#REF!</v>
      </c>
      <c r="S723">
        <f>'Audit Report'!N723</f>
        <v>0</v>
      </c>
    </row>
    <row r="724" spans="4:19">
      <c r="D724">
        <f>'Audit Report'!B724</f>
        <v>0</v>
      </c>
      <c r="E724">
        <f>'Audit Report'!C724</f>
        <v>0</v>
      </c>
      <c r="I724" t="str">
        <f>'Audit Report'!E724</f>
        <v/>
      </c>
      <c r="J724">
        <f>'Audit Report'!G724</f>
        <v>0</v>
      </c>
      <c r="L724" t="str">
        <f>_xlfn.TEXTJOIN(", ", FALSE, 'Audit Report'!J724,'Audit Report'!K724,'Audit Report'!L724)</f>
        <v xml:space="preserve">, , </v>
      </c>
      <c r="M724">
        <f>'Audit Report'!M724</f>
        <v>0</v>
      </c>
      <c r="N724" t="str" cm="1">
        <f t="array" ref="N724">IF(M724="","",
_xlfn.TEXTJOIN(", ",TRUE,
    _xlfn.MAP(_xlfn.TEXTSPLIT(M724,","),_xlfn.LAMBDA(_xlpm.x,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4" t="e">
        <f>'Audit Report'!#REF!</f>
        <v>#REF!</v>
      </c>
      <c r="S724">
        <f>'Audit Report'!N724</f>
        <v>0</v>
      </c>
    </row>
    <row r="725" spans="4:19">
      <c r="D725">
        <f>'Audit Report'!B725</f>
        <v>0</v>
      </c>
      <c r="E725">
        <f>'Audit Report'!C725</f>
        <v>0</v>
      </c>
      <c r="I725" t="str">
        <f>'Audit Report'!E725</f>
        <v/>
      </c>
      <c r="J725">
        <f>'Audit Report'!G725</f>
        <v>0</v>
      </c>
      <c r="L725" t="str">
        <f>_xlfn.TEXTJOIN(", ", FALSE, 'Audit Report'!J725,'Audit Report'!K725,'Audit Report'!L725)</f>
        <v xml:space="preserve">, , </v>
      </c>
      <c r="M725">
        <f>'Audit Report'!M725</f>
        <v>0</v>
      </c>
      <c r="N725" t="str" cm="1">
        <f t="array" ref="N725">IF(M725="","",
_xlfn.TEXTJOIN(", ",TRUE,
    _xlfn.MAP(_xlfn.TEXTSPLIT(M725,","),_xlfn.LAMBDA(_xlpm.x,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5" t="e">
        <f>'Audit Report'!#REF!</f>
        <v>#REF!</v>
      </c>
      <c r="S725">
        <f>'Audit Report'!N725</f>
        <v>0</v>
      </c>
    </row>
    <row r="726" spans="4:19">
      <c r="D726">
        <f>'Audit Report'!B726</f>
        <v>0</v>
      </c>
      <c r="E726">
        <f>'Audit Report'!C726</f>
        <v>0</v>
      </c>
      <c r="I726" t="str">
        <f>'Audit Report'!E726</f>
        <v/>
      </c>
      <c r="J726">
        <f>'Audit Report'!G726</f>
        <v>0</v>
      </c>
      <c r="L726" t="str">
        <f>_xlfn.TEXTJOIN(", ", FALSE, 'Audit Report'!J726,'Audit Report'!K726,'Audit Report'!L726)</f>
        <v xml:space="preserve">, , </v>
      </c>
      <c r="M726">
        <f>'Audit Report'!M726</f>
        <v>0</v>
      </c>
      <c r="N726" t="str" cm="1">
        <f t="array" ref="N726">IF(M726="","",
_xlfn.TEXTJOIN(", ",TRUE,
    _xlfn.MAP(_xlfn.TEXTSPLIT(M726,","),_xlfn.LAMBDA(_xlpm.x,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6" t="e">
        <f>'Audit Report'!#REF!</f>
        <v>#REF!</v>
      </c>
      <c r="S726">
        <f>'Audit Report'!N726</f>
        <v>0</v>
      </c>
    </row>
    <row r="727" spans="4:19">
      <c r="D727">
        <f>'Audit Report'!B727</f>
        <v>0</v>
      </c>
      <c r="E727">
        <f>'Audit Report'!C727</f>
        <v>0</v>
      </c>
      <c r="I727" t="str">
        <f>'Audit Report'!E727</f>
        <v/>
      </c>
      <c r="J727">
        <f>'Audit Report'!G727</f>
        <v>0</v>
      </c>
      <c r="L727" t="str">
        <f>_xlfn.TEXTJOIN(", ", FALSE, 'Audit Report'!J727,'Audit Report'!K727,'Audit Report'!L727)</f>
        <v xml:space="preserve">, , </v>
      </c>
      <c r="M727">
        <f>'Audit Report'!M727</f>
        <v>0</v>
      </c>
      <c r="N727" t="str" cm="1">
        <f t="array" ref="N727">IF(M727="","",
_xlfn.TEXTJOIN(", ",TRUE,
    _xlfn.MAP(_xlfn.TEXTSPLIT(M727,","),_xlfn.LAMBDA(_xlpm.x,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7" t="e">
        <f>'Audit Report'!#REF!</f>
        <v>#REF!</v>
      </c>
      <c r="S727">
        <f>'Audit Report'!N727</f>
        <v>0</v>
      </c>
    </row>
    <row r="728" spans="4:19">
      <c r="D728">
        <f>'Audit Report'!B728</f>
        <v>0</v>
      </c>
      <c r="E728">
        <f>'Audit Report'!C728</f>
        <v>0</v>
      </c>
      <c r="I728" t="str">
        <f>'Audit Report'!E728</f>
        <v/>
      </c>
      <c r="J728">
        <f>'Audit Report'!G728</f>
        <v>0</v>
      </c>
      <c r="L728" t="str">
        <f>_xlfn.TEXTJOIN(", ", FALSE, 'Audit Report'!J728,'Audit Report'!K728,'Audit Report'!L728)</f>
        <v xml:space="preserve">, , </v>
      </c>
      <c r="M728">
        <f>'Audit Report'!M728</f>
        <v>0</v>
      </c>
      <c r="N728" t="str" cm="1">
        <f t="array" ref="N728">IF(M728="","",
_xlfn.TEXTJOIN(", ",TRUE,
    _xlfn.MAP(_xlfn.TEXTSPLIT(M728,","),_xlfn.LAMBDA(_xlpm.x,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8" t="e">
        <f>'Audit Report'!#REF!</f>
        <v>#REF!</v>
      </c>
      <c r="S728">
        <f>'Audit Report'!N728</f>
        <v>0</v>
      </c>
    </row>
    <row r="729" spans="4:19">
      <c r="D729">
        <f>'Audit Report'!B729</f>
        <v>0</v>
      </c>
      <c r="E729">
        <f>'Audit Report'!C729</f>
        <v>0</v>
      </c>
      <c r="I729" t="str">
        <f>'Audit Report'!E729</f>
        <v/>
      </c>
      <c r="J729">
        <f>'Audit Report'!G729</f>
        <v>0</v>
      </c>
      <c r="L729" t="str">
        <f>_xlfn.TEXTJOIN(", ", FALSE, 'Audit Report'!J729,'Audit Report'!K729,'Audit Report'!L729)</f>
        <v xml:space="preserve">, , </v>
      </c>
      <c r="M729">
        <f>'Audit Report'!M729</f>
        <v>0</v>
      </c>
      <c r="N729" t="str" cm="1">
        <f t="array" ref="N729">IF(M729="","",
_xlfn.TEXTJOIN(", ",TRUE,
    _xlfn.MAP(_xlfn.TEXTSPLIT(M729,","),_xlfn.LAMBDA(_xlpm.x,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9" t="e">
        <f>'Audit Report'!#REF!</f>
        <v>#REF!</v>
      </c>
      <c r="S729">
        <f>'Audit Report'!N729</f>
        <v>0</v>
      </c>
    </row>
    <row r="730" spans="4:19">
      <c r="D730">
        <f>'Audit Report'!B730</f>
        <v>0</v>
      </c>
      <c r="E730">
        <f>'Audit Report'!C730</f>
        <v>0</v>
      </c>
      <c r="I730" t="str">
        <f>'Audit Report'!E730</f>
        <v/>
      </c>
      <c r="J730">
        <f>'Audit Report'!G730</f>
        <v>0</v>
      </c>
      <c r="L730" t="str">
        <f>_xlfn.TEXTJOIN(", ", FALSE, 'Audit Report'!J730,'Audit Report'!K730,'Audit Report'!L730)</f>
        <v xml:space="preserve">, , </v>
      </c>
      <c r="M730">
        <f>'Audit Report'!M730</f>
        <v>0</v>
      </c>
      <c r="N730" t="str" cm="1">
        <f t="array" ref="N730">IF(M730="","",
_xlfn.TEXTJOIN(", ",TRUE,
    _xlfn.MAP(_xlfn.TEXTSPLIT(M730,","),_xlfn.LAMBDA(_xlpm.x,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0" t="e">
        <f>'Audit Report'!#REF!</f>
        <v>#REF!</v>
      </c>
      <c r="S730">
        <f>'Audit Report'!N730</f>
        <v>0</v>
      </c>
    </row>
    <row r="731" spans="4:19">
      <c r="D731">
        <f>'Audit Report'!B731</f>
        <v>0</v>
      </c>
      <c r="E731">
        <f>'Audit Report'!C731</f>
        <v>0</v>
      </c>
      <c r="I731" t="str">
        <f>'Audit Report'!E731</f>
        <v/>
      </c>
      <c r="J731">
        <f>'Audit Report'!G731</f>
        <v>0</v>
      </c>
      <c r="L731" t="str">
        <f>_xlfn.TEXTJOIN(", ", FALSE, 'Audit Report'!J731,'Audit Report'!K731,'Audit Report'!L731)</f>
        <v xml:space="preserve">, , </v>
      </c>
      <c r="M731">
        <f>'Audit Report'!M731</f>
        <v>0</v>
      </c>
      <c r="N731" t="str" cm="1">
        <f t="array" ref="N731">IF(M731="","",
_xlfn.TEXTJOIN(", ",TRUE,
    _xlfn.MAP(_xlfn.TEXTSPLIT(M731,","),_xlfn.LAMBDA(_xlpm.x,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1" t="e">
        <f>'Audit Report'!#REF!</f>
        <v>#REF!</v>
      </c>
      <c r="S731">
        <f>'Audit Report'!N731</f>
        <v>0</v>
      </c>
    </row>
    <row r="732" spans="4:19">
      <c r="D732">
        <f>'Audit Report'!B732</f>
        <v>0</v>
      </c>
      <c r="E732">
        <f>'Audit Report'!C732</f>
        <v>0</v>
      </c>
      <c r="I732" t="str">
        <f>'Audit Report'!E732</f>
        <v/>
      </c>
      <c r="J732">
        <f>'Audit Report'!G732</f>
        <v>0</v>
      </c>
      <c r="L732" t="str">
        <f>_xlfn.TEXTJOIN(", ", FALSE, 'Audit Report'!J732,'Audit Report'!K732,'Audit Report'!L732)</f>
        <v xml:space="preserve">, , </v>
      </c>
      <c r="M732">
        <f>'Audit Report'!M732</f>
        <v>0</v>
      </c>
      <c r="N732" t="str" cm="1">
        <f t="array" ref="N732">IF(M732="","",
_xlfn.TEXTJOIN(", ",TRUE,
    _xlfn.MAP(_xlfn.TEXTSPLIT(M732,","),_xlfn.LAMBDA(_xlpm.x,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2" t="e">
        <f>'Audit Report'!#REF!</f>
        <v>#REF!</v>
      </c>
      <c r="S732">
        <f>'Audit Report'!N732</f>
        <v>0</v>
      </c>
    </row>
    <row r="733" spans="4:19">
      <c r="D733">
        <f>'Audit Report'!B733</f>
        <v>0</v>
      </c>
      <c r="E733">
        <f>'Audit Report'!C733</f>
        <v>0</v>
      </c>
      <c r="I733" t="str">
        <f>'Audit Report'!E733</f>
        <v/>
      </c>
      <c r="J733">
        <f>'Audit Report'!G733</f>
        <v>0</v>
      </c>
      <c r="L733" t="str">
        <f>_xlfn.TEXTJOIN(", ", FALSE, 'Audit Report'!J733,'Audit Report'!K733,'Audit Report'!L733)</f>
        <v xml:space="preserve">, , </v>
      </c>
      <c r="M733">
        <f>'Audit Report'!M733</f>
        <v>0</v>
      </c>
      <c r="N733" t="str" cm="1">
        <f t="array" ref="N733">IF(M733="","",
_xlfn.TEXTJOIN(", ",TRUE,
    _xlfn.MAP(_xlfn.TEXTSPLIT(M733,","),_xlfn.LAMBDA(_xlpm.x,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3" t="e">
        <f>'Audit Report'!#REF!</f>
        <v>#REF!</v>
      </c>
      <c r="S733">
        <f>'Audit Report'!N733</f>
        <v>0</v>
      </c>
    </row>
    <row r="734" spans="4:19">
      <c r="D734">
        <f>'Audit Report'!B734</f>
        <v>0</v>
      </c>
      <c r="E734">
        <f>'Audit Report'!C734</f>
        <v>0</v>
      </c>
      <c r="I734" t="str">
        <f>'Audit Report'!E734</f>
        <v/>
      </c>
      <c r="J734">
        <f>'Audit Report'!G734</f>
        <v>0</v>
      </c>
      <c r="L734" t="str">
        <f>_xlfn.TEXTJOIN(", ", FALSE, 'Audit Report'!J734,'Audit Report'!K734,'Audit Report'!L734)</f>
        <v xml:space="preserve">, , </v>
      </c>
      <c r="M734">
        <f>'Audit Report'!M734</f>
        <v>0</v>
      </c>
      <c r="N734" t="str" cm="1">
        <f t="array" ref="N734">IF(M734="","",
_xlfn.TEXTJOIN(", ",TRUE,
    _xlfn.MAP(_xlfn.TEXTSPLIT(M734,","),_xlfn.LAMBDA(_xlpm.x,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4" t="e">
        <f>'Audit Report'!#REF!</f>
        <v>#REF!</v>
      </c>
      <c r="S734">
        <f>'Audit Report'!N734</f>
        <v>0</v>
      </c>
    </row>
    <row r="735" spans="4:19">
      <c r="D735">
        <f>'Audit Report'!B735</f>
        <v>0</v>
      </c>
      <c r="E735">
        <f>'Audit Report'!C735</f>
        <v>0</v>
      </c>
      <c r="I735" t="str">
        <f>'Audit Report'!E735</f>
        <v/>
      </c>
      <c r="J735">
        <f>'Audit Report'!G735</f>
        <v>0</v>
      </c>
      <c r="L735" t="str">
        <f>_xlfn.TEXTJOIN(", ", FALSE, 'Audit Report'!J735,'Audit Report'!K735,'Audit Report'!L735)</f>
        <v xml:space="preserve">, , </v>
      </c>
      <c r="M735">
        <f>'Audit Report'!M735</f>
        <v>0</v>
      </c>
      <c r="N735" t="str" cm="1">
        <f t="array" ref="N735">IF(M735="","",
_xlfn.TEXTJOIN(", ",TRUE,
    _xlfn.MAP(_xlfn.TEXTSPLIT(M735,","),_xlfn.LAMBDA(_xlpm.x,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5" t="e">
        <f>'Audit Report'!#REF!</f>
        <v>#REF!</v>
      </c>
      <c r="S735">
        <f>'Audit Report'!N735</f>
        <v>0</v>
      </c>
    </row>
    <row r="736" spans="4:19">
      <c r="D736">
        <f>'Audit Report'!B736</f>
        <v>0</v>
      </c>
      <c r="E736">
        <f>'Audit Report'!C736</f>
        <v>0</v>
      </c>
      <c r="I736" t="str">
        <f>'Audit Report'!E736</f>
        <v/>
      </c>
      <c r="J736">
        <f>'Audit Report'!G736</f>
        <v>0</v>
      </c>
      <c r="L736" t="str">
        <f>_xlfn.TEXTJOIN(", ", FALSE, 'Audit Report'!J736,'Audit Report'!K736,'Audit Report'!L736)</f>
        <v xml:space="preserve">, , </v>
      </c>
      <c r="M736">
        <f>'Audit Report'!M736</f>
        <v>0</v>
      </c>
      <c r="N736" t="str" cm="1">
        <f t="array" ref="N736">IF(M736="","",
_xlfn.TEXTJOIN(", ",TRUE,
    _xlfn.MAP(_xlfn.TEXTSPLIT(M736,","),_xlfn.LAMBDA(_xlpm.x,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6" t="e">
        <f>'Audit Report'!#REF!</f>
        <v>#REF!</v>
      </c>
      <c r="S736">
        <f>'Audit Report'!N736</f>
        <v>0</v>
      </c>
    </row>
    <row r="737" spans="4:19">
      <c r="D737">
        <f>'Audit Report'!B737</f>
        <v>0</v>
      </c>
      <c r="E737">
        <f>'Audit Report'!C737</f>
        <v>0</v>
      </c>
      <c r="I737" t="str">
        <f>'Audit Report'!E737</f>
        <v/>
      </c>
      <c r="J737">
        <f>'Audit Report'!G737</f>
        <v>0</v>
      </c>
      <c r="L737" t="str">
        <f>_xlfn.TEXTJOIN(", ", FALSE, 'Audit Report'!J737,'Audit Report'!K737,'Audit Report'!L737)</f>
        <v xml:space="preserve">, , </v>
      </c>
      <c r="M737">
        <f>'Audit Report'!M737</f>
        <v>0</v>
      </c>
      <c r="N737" t="str" cm="1">
        <f t="array" ref="N737">IF(M737="","",
_xlfn.TEXTJOIN(", ",TRUE,
    _xlfn.MAP(_xlfn.TEXTSPLIT(M737,","),_xlfn.LAMBDA(_xlpm.x,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7" t="e">
        <f>'Audit Report'!#REF!</f>
        <v>#REF!</v>
      </c>
      <c r="S737">
        <f>'Audit Report'!N737</f>
        <v>0</v>
      </c>
    </row>
    <row r="738" spans="4:19">
      <c r="D738">
        <f>'Audit Report'!B738</f>
        <v>0</v>
      </c>
      <c r="E738">
        <f>'Audit Report'!C738</f>
        <v>0</v>
      </c>
      <c r="I738" t="str">
        <f>'Audit Report'!E738</f>
        <v/>
      </c>
      <c r="J738">
        <f>'Audit Report'!G738</f>
        <v>0</v>
      </c>
      <c r="L738" t="str">
        <f>_xlfn.TEXTJOIN(", ", FALSE, 'Audit Report'!J738,'Audit Report'!K738,'Audit Report'!L738)</f>
        <v xml:space="preserve">, , </v>
      </c>
      <c r="M738">
        <f>'Audit Report'!M738</f>
        <v>0</v>
      </c>
      <c r="N738" t="str" cm="1">
        <f t="array" ref="N738">IF(M738="","",
_xlfn.TEXTJOIN(", ",TRUE,
    _xlfn.MAP(_xlfn.TEXTSPLIT(M738,","),_xlfn.LAMBDA(_xlpm.x,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8" t="e">
        <f>'Audit Report'!#REF!</f>
        <v>#REF!</v>
      </c>
      <c r="S738">
        <f>'Audit Report'!N738</f>
        <v>0</v>
      </c>
    </row>
    <row r="739" spans="4:19">
      <c r="D739">
        <f>'Audit Report'!B739</f>
        <v>0</v>
      </c>
      <c r="E739">
        <f>'Audit Report'!C739</f>
        <v>0</v>
      </c>
      <c r="I739" t="str">
        <f>'Audit Report'!E739</f>
        <v/>
      </c>
      <c r="J739">
        <f>'Audit Report'!G739</f>
        <v>0</v>
      </c>
      <c r="L739" t="str">
        <f>_xlfn.TEXTJOIN(", ", FALSE, 'Audit Report'!J739,'Audit Report'!K739,'Audit Report'!L739)</f>
        <v xml:space="preserve">, , </v>
      </c>
      <c r="M739">
        <f>'Audit Report'!M739</f>
        <v>0</v>
      </c>
      <c r="N739" t="str" cm="1">
        <f t="array" ref="N739">IF(M739="","",
_xlfn.TEXTJOIN(", ",TRUE,
    _xlfn.MAP(_xlfn.TEXTSPLIT(M739,","),_xlfn.LAMBDA(_xlpm.x,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9" t="e">
        <f>'Audit Report'!#REF!</f>
        <v>#REF!</v>
      </c>
      <c r="S739">
        <f>'Audit Report'!N739</f>
        <v>0</v>
      </c>
    </row>
    <row r="740" spans="4:19">
      <c r="D740">
        <f>'Audit Report'!B740</f>
        <v>0</v>
      </c>
      <c r="E740">
        <f>'Audit Report'!C740</f>
        <v>0</v>
      </c>
      <c r="I740" t="str">
        <f>'Audit Report'!E740</f>
        <v/>
      </c>
      <c r="J740">
        <f>'Audit Report'!G740</f>
        <v>0</v>
      </c>
      <c r="L740" t="str">
        <f>_xlfn.TEXTJOIN(", ", FALSE, 'Audit Report'!J740,'Audit Report'!K740,'Audit Report'!L740)</f>
        <v xml:space="preserve">, , </v>
      </c>
      <c r="M740">
        <f>'Audit Report'!M740</f>
        <v>0</v>
      </c>
      <c r="N740" t="str" cm="1">
        <f t="array" ref="N740">IF(M740="","",
_xlfn.TEXTJOIN(", ",TRUE,
    _xlfn.MAP(_xlfn.TEXTSPLIT(M740,","),_xlfn.LAMBDA(_xlpm.x,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0" t="e">
        <f>'Audit Report'!#REF!</f>
        <v>#REF!</v>
      </c>
      <c r="S740">
        <f>'Audit Report'!N740</f>
        <v>0</v>
      </c>
    </row>
    <row r="741" spans="4:19">
      <c r="D741">
        <f>'Audit Report'!B741</f>
        <v>0</v>
      </c>
      <c r="E741">
        <f>'Audit Report'!C741</f>
        <v>0</v>
      </c>
      <c r="I741" t="str">
        <f>'Audit Report'!E741</f>
        <v/>
      </c>
      <c r="J741">
        <f>'Audit Report'!G741</f>
        <v>0</v>
      </c>
      <c r="L741" t="str">
        <f>_xlfn.TEXTJOIN(", ", FALSE, 'Audit Report'!J741,'Audit Report'!K741,'Audit Report'!L741)</f>
        <v xml:space="preserve">, , </v>
      </c>
      <c r="M741">
        <f>'Audit Report'!M741</f>
        <v>0</v>
      </c>
      <c r="N741" t="str" cm="1">
        <f t="array" ref="N741">IF(M741="","",
_xlfn.TEXTJOIN(", ",TRUE,
    _xlfn.MAP(_xlfn.TEXTSPLIT(M741,","),_xlfn.LAMBDA(_xlpm.x,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1" t="e">
        <f>'Audit Report'!#REF!</f>
        <v>#REF!</v>
      </c>
      <c r="S741">
        <f>'Audit Report'!N741</f>
        <v>0</v>
      </c>
    </row>
    <row r="742" spans="4:19">
      <c r="D742">
        <f>'Audit Report'!B742</f>
        <v>0</v>
      </c>
      <c r="E742">
        <f>'Audit Report'!C742</f>
        <v>0</v>
      </c>
      <c r="I742" t="str">
        <f>'Audit Report'!E742</f>
        <v/>
      </c>
      <c r="J742">
        <f>'Audit Report'!G742</f>
        <v>0</v>
      </c>
      <c r="L742" t="str">
        <f>_xlfn.TEXTJOIN(", ", FALSE, 'Audit Report'!J742,'Audit Report'!K742,'Audit Report'!L742)</f>
        <v xml:space="preserve">, , </v>
      </c>
      <c r="M742">
        <f>'Audit Report'!M742</f>
        <v>0</v>
      </c>
      <c r="N742" t="str" cm="1">
        <f t="array" ref="N742">IF(M742="","",
_xlfn.TEXTJOIN(", ",TRUE,
    _xlfn.MAP(_xlfn.TEXTSPLIT(M742,","),_xlfn.LAMBDA(_xlpm.x,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2" t="e">
        <f>'Audit Report'!#REF!</f>
        <v>#REF!</v>
      </c>
      <c r="S742">
        <f>'Audit Report'!N742</f>
        <v>0</v>
      </c>
    </row>
    <row r="743" spans="4:19">
      <c r="D743">
        <f>'Audit Report'!B743</f>
        <v>0</v>
      </c>
      <c r="E743">
        <f>'Audit Report'!C743</f>
        <v>0</v>
      </c>
      <c r="I743" t="str">
        <f>'Audit Report'!E743</f>
        <v/>
      </c>
      <c r="J743">
        <f>'Audit Report'!G743</f>
        <v>0</v>
      </c>
      <c r="L743" t="str">
        <f>_xlfn.TEXTJOIN(", ", FALSE, 'Audit Report'!J743,'Audit Report'!K743,'Audit Report'!L743)</f>
        <v xml:space="preserve">, , </v>
      </c>
      <c r="M743">
        <f>'Audit Report'!M743</f>
        <v>0</v>
      </c>
      <c r="N743" t="str" cm="1">
        <f t="array" ref="N743">IF(M743="","",
_xlfn.TEXTJOIN(", ",TRUE,
    _xlfn.MAP(_xlfn.TEXTSPLIT(M743,","),_xlfn.LAMBDA(_xlpm.x,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3" t="e">
        <f>'Audit Report'!#REF!</f>
        <v>#REF!</v>
      </c>
      <c r="S743">
        <f>'Audit Report'!N743</f>
        <v>0</v>
      </c>
    </row>
    <row r="744" spans="4:19">
      <c r="D744">
        <f>'Audit Report'!B744</f>
        <v>0</v>
      </c>
      <c r="E744">
        <f>'Audit Report'!C744</f>
        <v>0</v>
      </c>
      <c r="I744" t="str">
        <f>'Audit Report'!E744</f>
        <v/>
      </c>
      <c r="J744">
        <f>'Audit Report'!G744</f>
        <v>0</v>
      </c>
      <c r="L744" t="str">
        <f>_xlfn.TEXTJOIN(", ", FALSE, 'Audit Report'!J744,'Audit Report'!K744,'Audit Report'!L744)</f>
        <v xml:space="preserve">, , </v>
      </c>
      <c r="M744">
        <f>'Audit Report'!M744</f>
        <v>0</v>
      </c>
      <c r="N744" t="str" cm="1">
        <f t="array" ref="N744">IF(M744="","",
_xlfn.TEXTJOIN(", ",TRUE,
    _xlfn.MAP(_xlfn.TEXTSPLIT(M744,","),_xlfn.LAMBDA(_xlpm.x,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4" t="e">
        <f>'Audit Report'!#REF!</f>
        <v>#REF!</v>
      </c>
      <c r="S744">
        <f>'Audit Report'!N744</f>
        <v>0</v>
      </c>
    </row>
    <row r="745" spans="4:19">
      <c r="D745">
        <f>'Audit Report'!B745</f>
        <v>0</v>
      </c>
      <c r="E745">
        <f>'Audit Report'!C745</f>
        <v>0</v>
      </c>
      <c r="I745" t="str">
        <f>'Audit Report'!E745</f>
        <v/>
      </c>
      <c r="J745">
        <f>'Audit Report'!G745</f>
        <v>0</v>
      </c>
      <c r="L745" t="str">
        <f>_xlfn.TEXTJOIN(", ", FALSE, 'Audit Report'!J745,'Audit Report'!K745,'Audit Report'!L745)</f>
        <v xml:space="preserve">, , </v>
      </c>
      <c r="M745">
        <f>'Audit Report'!M745</f>
        <v>0</v>
      </c>
      <c r="N745" t="str" cm="1">
        <f t="array" ref="N745">IF(M745="","",
_xlfn.TEXTJOIN(", ",TRUE,
    _xlfn.MAP(_xlfn.TEXTSPLIT(M745,","),_xlfn.LAMBDA(_xlpm.x,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5" t="e">
        <f>'Audit Report'!#REF!</f>
        <v>#REF!</v>
      </c>
      <c r="S745">
        <f>'Audit Report'!N745</f>
        <v>0</v>
      </c>
    </row>
    <row r="746" spans="4:19">
      <c r="D746">
        <f>'Audit Report'!B746</f>
        <v>0</v>
      </c>
      <c r="E746">
        <f>'Audit Report'!C746</f>
        <v>0</v>
      </c>
      <c r="I746" t="str">
        <f>'Audit Report'!E746</f>
        <v/>
      </c>
      <c r="J746">
        <f>'Audit Report'!G746</f>
        <v>0</v>
      </c>
      <c r="L746" t="str">
        <f>_xlfn.TEXTJOIN(", ", FALSE, 'Audit Report'!J746,'Audit Report'!K746,'Audit Report'!L746)</f>
        <v xml:space="preserve">, , </v>
      </c>
      <c r="M746">
        <f>'Audit Report'!M746</f>
        <v>0</v>
      </c>
      <c r="N746" t="str" cm="1">
        <f t="array" ref="N746">IF(M746="","",
_xlfn.TEXTJOIN(", ",TRUE,
    _xlfn.MAP(_xlfn.TEXTSPLIT(M746,","),_xlfn.LAMBDA(_xlpm.x,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6" t="e">
        <f>'Audit Report'!#REF!</f>
        <v>#REF!</v>
      </c>
      <c r="S746">
        <f>'Audit Report'!N746</f>
        <v>0</v>
      </c>
    </row>
    <row r="747" spans="4:19">
      <c r="D747">
        <f>'Audit Report'!B747</f>
        <v>0</v>
      </c>
      <c r="E747">
        <f>'Audit Report'!C747</f>
        <v>0</v>
      </c>
      <c r="I747" t="str">
        <f>'Audit Report'!E747</f>
        <v/>
      </c>
      <c r="J747">
        <f>'Audit Report'!G747</f>
        <v>0</v>
      </c>
      <c r="L747" t="str">
        <f>_xlfn.TEXTJOIN(", ", FALSE, 'Audit Report'!J747,'Audit Report'!K747,'Audit Report'!L747)</f>
        <v xml:space="preserve">, , </v>
      </c>
      <c r="M747">
        <f>'Audit Report'!M747</f>
        <v>0</v>
      </c>
      <c r="N747" t="str" cm="1">
        <f t="array" ref="N747">IF(M747="","",
_xlfn.TEXTJOIN(", ",TRUE,
    _xlfn.MAP(_xlfn.TEXTSPLIT(M747,","),_xlfn.LAMBDA(_xlpm.x,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7" t="e">
        <f>'Audit Report'!#REF!</f>
        <v>#REF!</v>
      </c>
      <c r="S747">
        <f>'Audit Report'!N747</f>
        <v>0</v>
      </c>
    </row>
    <row r="748" spans="4:19">
      <c r="D748">
        <f>'Audit Report'!B748</f>
        <v>0</v>
      </c>
      <c r="E748">
        <f>'Audit Report'!C748</f>
        <v>0</v>
      </c>
      <c r="I748" t="str">
        <f>'Audit Report'!E748</f>
        <v/>
      </c>
      <c r="J748">
        <f>'Audit Report'!G748</f>
        <v>0</v>
      </c>
      <c r="L748" t="str">
        <f>_xlfn.TEXTJOIN(", ", FALSE, 'Audit Report'!J748,'Audit Report'!K748,'Audit Report'!L748)</f>
        <v xml:space="preserve">, , </v>
      </c>
      <c r="M748">
        <f>'Audit Report'!M748</f>
        <v>0</v>
      </c>
      <c r="N748" t="str" cm="1">
        <f t="array" ref="N748">IF(M748="","",
_xlfn.TEXTJOIN(", ",TRUE,
    _xlfn.MAP(_xlfn.TEXTSPLIT(M748,","),_xlfn.LAMBDA(_xlpm.x,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8" t="e">
        <f>'Audit Report'!#REF!</f>
        <v>#REF!</v>
      </c>
      <c r="S748">
        <f>'Audit Report'!N748</f>
        <v>0</v>
      </c>
    </row>
    <row r="749" spans="4:19">
      <c r="D749">
        <f>'Audit Report'!B749</f>
        <v>0</v>
      </c>
      <c r="E749">
        <f>'Audit Report'!C749</f>
        <v>0</v>
      </c>
      <c r="I749" t="str">
        <f>'Audit Report'!E749</f>
        <v/>
      </c>
      <c r="J749">
        <f>'Audit Report'!G749</f>
        <v>0</v>
      </c>
      <c r="L749" t="str">
        <f>_xlfn.TEXTJOIN(", ", FALSE, 'Audit Report'!J749,'Audit Report'!K749,'Audit Report'!L749)</f>
        <v xml:space="preserve">, , </v>
      </c>
      <c r="M749">
        <f>'Audit Report'!M749</f>
        <v>0</v>
      </c>
      <c r="N749" t="str" cm="1">
        <f t="array" ref="N749">IF(M749="","",
_xlfn.TEXTJOIN(", ",TRUE,
    _xlfn.MAP(_xlfn.TEXTSPLIT(M749,","),_xlfn.LAMBDA(_xlpm.x,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9" t="e">
        <f>'Audit Report'!#REF!</f>
        <v>#REF!</v>
      </c>
      <c r="S749">
        <f>'Audit Report'!N749</f>
        <v>0</v>
      </c>
    </row>
    <row r="750" spans="4:19">
      <c r="D750">
        <f>'Audit Report'!B750</f>
        <v>0</v>
      </c>
      <c r="E750">
        <f>'Audit Report'!C750</f>
        <v>0</v>
      </c>
      <c r="I750" t="str">
        <f>'Audit Report'!E750</f>
        <v/>
      </c>
      <c r="J750">
        <f>'Audit Report'!G750</f>
        <v>0</v>
      </c>
      <c r="L750" t="str">
        <f>_xlfn.TEXTJOIN(", ", FALSE, 'Audit Report'!J750,'Audit Report'!K750,'Audit Report'!L750)</f>
        <v xml:space="preserve">, , </v>
      </c>
      <c r="M750">
        <f>'Audit Report'!M750</f>
        <v>0</v>
      </c>
      <c r="N750" t="str" cm="1">
        <f t="array" ref="N750">IF(M750="","",
_xlfn.TEXTJOIN(", ",TRUE,
    _xlfn.MAP(_xlfn.TEXTSPLIT(M750,","),_xlfn.LAMBDA(_xlpm.x,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0" t="e">
        <f>'Audit Report'!#REF!</f>
        <v>#REF!</v>
      </c>
      <c r="S750">
        <f>'Audit Report'!N750</f>
        <v>0</v>
      </c>
    </row>
    <row r="751" spans="4:19">
      <c r="D751">
        <f>'Audit Report'!B751</f>
        <v>0</v>
      </c>
      <c r="E751">
        <f>'Audit Report'!C751</f>
        <v>0</v>
      </c>
      <c r="I751" t="str">
        <f>'Audit Report'!E751</f>
        <v/>
      </c>
      <c r="J751">
        <f>'Audit Report'!G751</f>
        <v>0</v>
      </c>
      <c r="L751" t="str">
        <f>_xlfn.TEXTJOIN(", ", FALSE, 'Audit Report'!J751,'Audit Report'!K751,'Audit Report'!L751)</f>
        <v xml:space="preserve">, , </v>
      </c>
      <c r="M751">
        <f>'Audit Report'!M751</f>
        <v>0</v>
      </c>
      <c r="N751" t="str" cm="1">
        <f t="array" ref="N751">IF(M751="","",
_xlfn.TEXTJOIN(", ",TRUE,
    _xlfn.MAP(_xlfn.TEXTSPLIT(M751,","),_xlfn.LAMBDA(_xlpm.x,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1" t="e">
        <f>'Audit Report'!#REF!</f>
        <v>#REF!</v>
      </c>
      <c r="S751">
        <f>'Audit Report'!N751</f>
        <v>0</v>
      </c>
    </row>
    <row r="752" spans="4:19">
      <c r="D752">
        <f>'Audit Report'!B752</f>
        <v>0</v>
      </c>
      <c r="E752">
        <f>'Audit Report'!C752</f>
        <v>0</v>
      </c>
      <c r="I752" t="str">
        <f>'Audit Report'!E752</f>
        <v/>
      </c>
      <c r="J752">
        <f>'Audit Report'!G752</f>
        <v>0</v>
      </c>
      <c r="L752" t="str">
        <f>_xlfn.TEXTJOIN(", ", FALSE, 'Audit Report'!J752,'Audit Report'!K752,'Audit Report'!L752)</f>
        <v xml:space="preserve">, , </v>
      </c>
      <c r="M752">
        <f>'Audit Report'!M752</f>
        <v>0</v>
      </c>
      <c r="N752" t="str" cm="1">
        <f t="array" ref="N752">IF(M752="","",
_xlfn.TEXTJOIN(", ",TRUE,
    _xlfn.MAP(_xlfn.TEXTSPLIT(M752,","),_xlfn.LAMBDA(_xlpm.x,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2" t="e">
        <f>'Audit Report'!#REF!</f>
        <v>#REF!</v>
      </c>
      <c r="S752">
        <f>'Audit Report'!N752</f>
        <v>0</v>
      </c>
    </row>
    <row r="753" spans="4:19">
      <c r="D753">
        <f>'Audit Report'!B753</f>
        <v>0</v>
      </c>
      <c r="E753">
        <f>'Audit Report'!C753</f>
        <v>0</v>
      </c>
      <c r="I753" t="str">
        <f>'Audit Report'!E753</f>
        <v/>
      </c>
      <c r="J753">
        <f>'Audit Report'!G753</f>
        <v>0</v>
      </c>
      <c r="L753" t="str">
        <f>_xlfn.TEXTJOIN(", ", FALSE, 'Audit Report'!J753,'Audit Report'!K753,'Audit Report'!L753)</f>
        <v xml:space="preserve">, , </v>
      </c>
      <c r="M753">
        <f>'Audit Report'!M753</f>
        <v>0</v>
      </c>
      <c r="N753" t="str" cm="1">
        <f t="array" ref="N753">IF(M753="","",
_xlfn.TEXTJOIN(", ",TRUE,
    _xlfn.MAP(_xlfn.TEXTSPLIT(M753,","),_xlfn.LAMBDA(_xlpm.x,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3" t="e">
        <f>'Audit Report'!#REF!</f>
        <v>#REF!</v>
      </c>
      <c r="S753">
        <f>'Audit Report'!N753</f>
        <v>0</v>
      </c>
    </row>
    <row r="754" spans="4:19">
      <c r="D754">
        <f>'Audit Report'!B754</f>
        <v>0</v>
      </c>
      <c r="E754">
        <f>'Audit Report'!C754</f>
        <v>0</v>
      </c>
      <c r="I754" t="str">
        <f>'Audit Report'!E754</f>
        <v/>
      </c>
      <c r="J754">
        <f>'Audit Report'!G754</f>
        <v>0</v>
      </c>
      <c r="L754" t="str">
        <f>_xlfn.TEXTJOIN(", ", FALSE, 'Audit Report'!J754,'Audit Report'!K754,'Audit Report'!L754)</f>
        <v xml:space="preserve">, , </v>
      </c>
      <c r="M754">
        <f>'Audit Report'!M754</f>
        <v>0</v>
      </c>
      <c r="N754" t="str" cm="1">
        <f t="array" ref="N754">IF(M754="","",
_xlfn.TEXTJOIN(", ",TRUE,
    _xlfn.MAP(_xlfn.TEXTSPLIT(M754,","),_xlfn.LAMBDA(_xlpm.x,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4" t="e">
        <f>'Audit Report'!#REF!</f>
        <v>#REF!</v>
      </c>
      <c r="S754">
        <f>'Audit Report'!N754</f>
        <v>0</v>
      </c>
    </row>
    <row r="755" spans="4:19">
      <c r="D755">
        <f>'Audit Report'!B755</f>
        <v>0</v>
      </c>
      <c r="E755">
        <f>'Audit Report'!C755</f>
        <v>0</v>
      </c>
      <c r="I755" t="str">
        <f>'Audit Report'!E755</f>
        <v/>
      </c>
      <c r="J755">
        <f>'Audit Report'!G755</f>
        <v>0</v>
      </c>
      <c r="L755" t="str">
        <f>_xlfn.TEXTJOIN(", ", FALSE, 'Audit Report'!J755,'Audit Report'!K755,'Audit Report'!L755)</f>
        <v xml:space="preserve">, , </v>
      </c>
      <c r="M755">
        <f>'Audit Report'!M755</f>
        <v>0</v>
      </c>
      <c r="N755" t="str" cm="1">
        <f t="array" ref="N755">IF(M755="","",
_xlfn.TEXTJOIN(", ",TRUE,
    _xlfn.MAP(_xlfn.TEXTSPLIT(M755,","),_xlfn.LAMBDA(_xlpm.x,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5" t="e">
        <f>'Audit Report'!#REF!</f>
        <v>#REF!</v>
      </c>
      <c r="S755">
        <f>'Audit Report'!N755</f>
        <v>0</v>
      </c>
    </row>
    <row r="756" spans="4:19">
      <c r="D756">
        <f>'Audit Report'!B756</f>
        <v>0</v>
      </c>
      <c r="E756">
        <f>'Audit Report'!C756</f>
        <v>0</v>
      </c>
      <c r="I756" t="str">
        <f>'Audit Report'!E756</f>
        <v/>
      </c>
      <c r="J756">
        <f>'Audit Report'!G756</f>
        <v>0</v>
      </c>
      <c r="L756" t="str">
        <f>_xlfn.TEXTJOIN(", ", FALSE, 'Audit Report'!J756,'Audit Report'!K756,'Audit Report'!L756)</f>
        <v xml:space="preserve">, , </v>
      </c>
      <c r="M756">
        <f>'Audit Report'!M756</f>
        <v>0</v>
      </c>
      <c r="N756" t="str" cm="1">
        <f t="array" ref="N756">IF(M756="","",
_xlfn.TEXTJOIN(", ",TRUE,
    _xlfn.MAP(_xlfn.TEXTSPLIT(M756,","),_xlfn.LAMBDA(_xlpm.x,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6" t="e">
        <f>'Audit Report'!#REF!</f>
        <v>#REF!</v>
      </c>
      <c r="S756">
        <f>'Audit Report'!N756</f>
        <v>0</v>
      </c>
    </row>
    <row r="757" spans="4:19">
      <c r="D757">
        <f>'Audit Report'!B757</f>
        <v>0</v>
      </c>
      <c r="E757">
        <f>'Audit Report'!C757</f>
        <v>0</v>
      </c>
      <c r="I757" t="str">
        <f>'Audit Report'!E757</f>
        <v/>
      </c>
      <c r="J757">
        <f>'Audit Report'!G757</f>
        <v>0</v>
      </c>
      <c r="L757" t="str">
        <f>_xlfn.TEXTJOIN(", ", FALSE, 'Audit Report'!J757,'Audit Report'!K757,'Audit Report'!L757)</f>
        <v xml:space="preserve">, , </v>
      </c>
      <c r="M757">
        <f>'Audit Report'!M757</f>
        <v>0</v>
      </c>
      <c r="N757" t="str" cm="1">
        <f t="array" ref="N757">IF(M757="","",
_xlfn.TEXTJOIN(", ",TRUE,
    _xlfn.MAP(_xlfn.TEXTSPLIT(M757,","),_xlfn.LAMBDA(_xlpm.x,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7" t="e">
        <f>'Audit Report'!#REF!</f>
        <v>#REF!</v>
      </c>
      <c r="S757">
        <f>'Audit Report'!N757</f>
        <v>0</v>
      </c>
    </row>
    <row r="758" spans="4:19">
      <c r="D758">
        <f>'Audit Report'!B758</f>
        <v>0</v>
      </c>
      <c r="E758">
        <f>'Audit Report'!C758</f>
        <v>0</v>
      </c>
      <c r="I758" t="str">
        <f>'Audit Report'!E758</f>
        <v/>
      </c>
      <c r="J758">
        <f>'Audit Report'!G758</f>
        <v>0</v>
      </c>
      <c r="L758" t="str">
        <f>_xlfn.TEXTJOIN(", ", FALSE, 'Audit Report'!J758,'Audit Report'!K758,'Audit Report'!L758)</f>
        <v xml:space="preserve">, , </v>
      </c>
      <c r="M758">
        <f>'Audit Report'!M758</f>
        <v>0</v>
      </c>
      <c r="N758" t="str" cm="1">
        <f t="array" ref="N758">IF(M758="","",
_xlfn.TEXTJOIN(", ",TRUE,
    _xlfn.MAP(_xlfn.TEXTSPLIT(M758,","),_xlfn.LAMBDA(_xlpm.x,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8" t="e">
        <f>'Audit Report'!#REF!</f>
        <v>#REF!</v>
      </c>
      <c r="S758">
        <f>'Audit Report'!N758</f>
        <v>0</v>
      </c>
    </row>
    <row r="759" spans="4:19">
      <c r="D759">
        <f>'Audit Report'!B759</f>
        <v>0</v>
      </c>
      <c r="E759">
        <f>'Audit Report'!C759</f>
        <v>0</v>
      </c>
      <c r="I759" t="str">
        <f>'Audit Report'!E759</f>
        <v/>
      </c>
      <c r="J759">
        <f>'Audit Report'!G759</f>
        <v>0</v>
      </c>
      <c r="L759" t="str">
        <f>_xlfn.TEXTJOIN(", ", FALSE, 'Audit Report'!J759,'Audit Report'!K759,'Audit Report'!L759)</f>
        <v xml:space="preserve">, , </v>
      </c>
      <c r="M759">
        <f>'Audit Report'!M759</f>
        <v>0</v>
      </c>
      <c r="N759" t="str" cm="1">
        <f t="array" ref="N759">IF(M759="","",
_xlfn.TEXTJOIN(", ",TRUE,
    _xlfn.MAP(_xlfn.TEXTSPLIT(M759,","),_xlfn.LAMBDA(_xlpm.x,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9" t="e">
        <f>'Audit Report'!#REF!</f>
        <v>#REF!</v>
      </c>
      <c r="S759">
        <f>'Audit Report'!N759</f>
        <v>0</v>
      </c>
    </row>
    <row r="760" spans="4:19">
      <c r="D760">
        <f>'Audit Report'!B760</f>
        <v>0</v>
      </c>
      <c r="E760">
        <f>'Audit Report'!C760</f>
        <v>0</v>
      </c>
      <c r="I760" t="str">
        <f>'Audit Report'!E760</f>
        <v/>
      </c>
      <c r="J760">
        <f>'Audit Report'!G760</f>
        <v>0</v>
      </c>
      <c r="L760" t="str">
        <f>_xlfn.TEXTJOIN(", ", FALSE, 'Audit Report'!J760,'Audit Report'!K760,'Audit Report'!L760)</f>
        <v xml:space="preserve">, , </v>
      </c>
      <c r="M760">
        <f>'Audit Report'!M760</f>
        <v>0</v>
      </c>
      <c r="N760" t="str" cm="1">
        <f t="array" ref="N760">IF(M760="","",
_xlfn.TEXTJOIN(", ",TRUE,
    _xlfn.MAP(_xlfn.TEXTSPLIT(M760,","),_xlfn.LAMBDA(_xlpm.x,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0" t="e">
        <f>'Audit Report'!#REF!</f>
        <v>#REF!</v>
      </c>
      <c r="S760">
        <f>'Audit Report'!N760</f>
        <v>0</v>
      </c>
    </row>
    <row r="761" spans="4:19">
      <c r="D761">
        <f>'Audit Report'!B761</f>
        <v>0</v>
      </c>
      <c r="E761">
        <f>'Audit Report'!C761</f>
        <v>0</v>
      </c>
      <c r="I761" t="str">
        <f>'Audit Report'!E761</f>
        <v/>
      </c>
      <c r="J761">
        <f>'Audit Report'!G761</f>
        <v>0</v>
      </c>
      <c r="L761" t="str">
        <f>_xlfn.TEXTJOIN(", ", FALSE, 'Audit Report'!J761,'Audit Report'!K761,'Audit Report'!L761)</f>
        <v xml:space="preserve">, , </v>
      </c>
      <c r="M761">
        <f>'Audit Report'!M761</f>
        <v>0</v>
      </c>
      <c r="N761" t="str" cm="1">
        <f t="array" ref="N761">IF(M761="","",
_xlfn.TEXTJOIN(", ",TRUE,
    _xlfn.MAP(_xlfn.TEXTSPLIT(M761,","),_xlfn.LAMBDA(_xlpm.x,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1" t="e">
        <f>'Audit Report'!#REF!</f>
        <v>#REF!</v>
      </c>
      <c r="S761">
        <f>'Audit Report'!N761</f>
        <v>0</v>
      </c>
    </row>
    <row r="762" spans="4:19">
      <c r="D762">
        <f>'Audit Report'!B762</f>
        <v>0</v>
      </c>
      <c r="E762">
        <f>'Audit Report'!C762</f>
        <v>0</v>
      </c>
      <c r="I762" t="str">
        <f>'Audit Report'!E762</f>
        <v/>
      </c>
      <c r="J762">
        <f>'Audit Report'!G762</f>
        <v>0</v>
      </c>
      <c r="L762" t="str">
        <f>_xlfn.TEXTJOIN(", ", FALSE, 'Audit Report'!J762,'Audit Report'!K762,'Audit Report'!L762)</f>
        <v xml:space="preserve">, , </v>
      </c>
      <c r="M762">
        <f>'Audit Report'!M762</f>
        <v>0</v>
      </c>
      <c r="N762" t="str" cm="1">
        <f t="array" ref="N762">IF(M762="","",
_xlfn.TEXTJOIN(", ",TRUE,
    _xlfn.MAP(_xlfn.TEXTSPLIT(M762,","),_xlfn.LAMBDA(_xlpm.x,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2" t="e">
        <f>'Audit Report'!#REF!</f>
        <v>#REF!</v>
      </c>
      <c r="S762">
        <f>'Audit Report'!N762</f>
        <v>0</v>
      </c>
    </row>
    <row r="763" spans="4:19">
      <c r="D763">
        <f>'Audit Report'!B763</f>
        <v>0</v>
      </c>
      <c r="E763">
        <f>'Audit Report'!C763</f>
        <v>0</v>
      </c>
      <c r="I763" t="str">
        <f>'Audit Report'!E763</f>
        <v/>
      </c>
      <c r="J763">
        <f>'Audit Report'!G763</f>
        <v>0</v>
      </c>
      <c r="L763" t="str">
        <f>_xlfn.TEXTJOIN(", ", FALSE, 'Audit Report'!J763,'Audit Report'!K763,'Audit Report'!L763)</f>
        <v xml:space="preserve">, , </v>
      </c>
      <c r="M763">
        <f>'Audit Report'!M763</f>
        <v>0</v>
      </c>
      <c r="N763" t="str" cm="1">
        <f t="array" ref="N763">IF(M763="","",
_xlfn.TEXTJOIN(", ",TRUE,
    _xlfn.MAP(_xlfn.TEXTSPLIT(M763,","),_xlfn.LAMBDA(_xlpm.x,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3" t="e">
        <f>'Audit Report'!#REF!</f>
        <v>#REF!</v>
      </c>
      <c r="S763">
        <f>'Audit Report'!N763</f>
        <v>0</v>
      </c>
    </row>
    <row r="764" spans="4:19">
      <c r="D764">
        <f>'Audit Report'!B764</f>
        <v>0</v>
      </c>
      <c r="E764">
        <f>'Audit Report'!C764</f>
        <v>0</v>
      </c>
      <c r="I764" t="str">
        <f>'Audit Report'!E764</f>
        <v/>
      </c>
      <c r="J764">
        <f>'Audit Report'!G764</f>
        <v>0</v>
      </c>
      <c r="L764" t="str">
        <f>_xlfn.TEXTJOIN(", ", FALSE, 'Audit Report'!J764,'Audit Report'!K764,'Audit Report'!L764)</f>
        <v xml:space="preserve">, , </v>
      </c>
      <c r="M764">
        <f>'Audit Report'!M764</f>
        <v>0</v>
      </c>
      <c r="N764" t="str" cm="1">
        <f t="array" ref="N764">IF(M764="","",
_xlfn.TEXTJOIN(", ",TRUE,
    _xlfn.MAP(_xlfn.TEXTSPLIT(M764,","),_xlfn.LAMBDA(_xlpm.x,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4" t="e">
        <f>'Audit Report'!#REF!</f>
        <v>#REF!</v>
      </c>
      <c r="S764">
        <f>'Audit Report'!N764</f>
        <v>0</v>
      </c>
    </row>
    <row r="765" spans="4:19">
      <c r="D765">
        <f>'Audit Report'!B765</f>
        <v>0</v>
      </c>
      <c r="E765">
        <f>'Audit Report'!C765</f>
        <v>0</v>
      </c>
      <c r="I765" t="str">
        <f>'Audit Report'!E765</f>
        <v/>
      </c>
      <c r="J765">
        <f>'Audit Report'!G765</f>
        <v>0</v>
      </c>
      <c r="L765" t="str">
        <f>_xlfn.TEXTJOIN(", ", FALSE, 'Audit Report'!J765,'Audit Report'!K765,'Audit Report'!L765)</f>
        <v xml:space="preserve">, , </v>
      </c>
      <c r="M765">
        <f>'Audit Report'!M765</f>
        <v>0</v>
      </c>
      <c r="N765" t="str" cm="1">
        <f t="array" ref="N765">IF(M765="","",
_xlfn.TEXTJOIN(", ",TRUE,
    _xlfn.MAP(_xlfn.TEXTSPLIT(M765,","),_xlfn.LAMBDA(_xlpm.x,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5" t="e">
        <f>'Audit Report'!#REF!</f>
        <v>#REF!</v>
      </c>
      <c r="S765">
        <f>'Audit Report'!N765</f>
        <v>0</v>
      </c>
    </row>
    <row r="766" spans="4:19">
      <c r="D766">
        <f>'Audit Report'!B766</f>
        <v>0</v>
      </c>
      <c r="E766">
        <f>'Audit Report'!C766</f>
        <v>0</v>
      </c>
      <c r="I766" t="str">
        <f>'Audit Report'!E766</f>
        <v/>
      </c>
      <c r="J766">
        <f>'Audit Report'!G766</f>
        <v>0</v>
      </c>
      <c r="L766" t="str">
        <f>_xlfn.TEXTJOIN(", ", FALSE, 'Audit Report'!J766,'Audit Report'!K766,'Audit Report'!L766)</f>
        <v xml:space="preserve">, , </v>
      </c>
      <c r="M766">
        <f>'Audit Report'!M766</f>
        <v>0</v>
      </c>
      <c r="N766" t="str" cm="1">
        <f t="array" ref="N766">IF(M766="","",
_xlfn.TEXTJOIN(", ",TRUE,
    _xlfn.MAP(_xlfn.TEXTSPLIT(M766,","),_xlfn.LAMBDA(_xlpm.x,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6" t="e">
        <f>'Audit Report'!#REF!</f>
        <v>#REF!</v>
      </c>
      <c r="S766">
        <f>'Audit Report'!N766</f>
        <v>0</v>
      </c>
    </row>
    <row r="767" spans="4:19">
      <c r="D767">
        <f>'Audit Report'!B767</f>
        <v>0</v>
      </c>
      <c r="E767">
        <f>'Audit Report'!C767</f>
        <v>0</v>
      </c>
      <c r="I767" t="str">
        <f>'Audit Report'!E767</f>
        <v/>
      </c>
      <c r="J767">
        <f>'Audit Report'!G767</f>
        <v>0</v>
      </c>
      <c r="L767" t="str">
        <f>_xlfn.TEXTJOIN(", ", FALSE, 'Audit Report'!J767,'Audit Report'!K767,'Audit Report'!L767)</f>
        <v xml:space="preserve">, , </v>
      </c>
      <c r="M767">
        <f>'Audit Report'!M767</f>
        <v>0</v>
      </c>
      <c r="N767" t="str" cm="1">
        <f t="array" ref="N767">IF(M767="","",
_xlfn.TEXTJOIN(", ",TRUE,
    _xlfn.MAP(_xlfn.TEXTSPLIT(M767,","),_xlfn.LAMBDA(_xlpm.x,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7" t="e">
        <f>'Audit Report'!#REF!</f>
        <v>#REF!</v>
      </c>
      <c r="S767">
        <f>'Audit Report'!N767</f>
        <v>0</v>
      </c>
    </row>
    <row r="768" spans="4:19">
      <c r="D768">
        <f>'Audit Report'!B768</f>
        <v>0</v>
      </c>
      <c r="E768">
        <f>'Audit Report'!C768</f>
        <v>0</v>
      </c>
      <c r="I768" t="str">
        <f>'Audit Report'!E768</f>
        <v/>
      </c>
      <c r="J768">
        <f>'Audit Report'!G768</f>
        <v>0</v>
      </c>
      <c r="L768" t="str">
        <f>_xlfn.TEXTJOIN(", ", FALSE, 'Audit Report'!J768,'Audit Report'!K768,'Audit Report'!L768)</f>
        <v xml:space="preserve">, , </v>
      </c>
      <c r="M768">
        <f>'Audit Report'!M768</f>
        <v>0</v>
      </c>
      <c r="N768" t="str" cm="1">
        <f t="array" ref="N768">IF(M768="","",
_xlfn.TEXTJOIN(", ",TRUE,
    _xlfn.MAP(_xlfn.TEXTSPLIT(M768,","),_xlfn.LAMBDA(_xlpm.x,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8" t="e">
        <f>'Audit Report'!#REF!</f>
        <v>#REF!</v>
      </c>
      <c r="S768">
        <f>'Audit Report'!N768</f>
        <v>0</v>
      </c>
    </row>
    <row r="769" spans="4:19">
      <c r="D769">
        <f>'Audit Report'!B769</f>
        <v>0</v>
      </c>
      <c r="E769">
        <f>'Audit Report'!C769</f>
        <v>0</v>
      </c>
      <c r="I769" t="str">
        <f>'Audit Report'!E769</f>
        <v/>
      </c>
      <c r="J769">
        <f>'Audit Report'!G769</f>
        <v>0</v>
      </c>
      <c r="L769" t="str">
        <f>_xlfn.TEXTJOIN(", ", FALSE, 'Audit Report'!J769,'Audit Report'!K769,'Audit Report'!L769)</f>
        <v xml:space="preserve">, , </v>
      </c>
      <c r="M769">
        <f>'Audit Report'!M769</f>
        <v>0</v>
      </c>
      <c r="N769" t="str" cm="1">
        <f t="array" ref="N769">IF(M769="","",
_xlfn.TEXTJOIN(", ",TRUE,
    _xlfn.MAP(_xlfn.TEXTSPLIT(M769,","),_xlfn.LAMBDA(_xlpm.x,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9" t="e">
        <f>'Audit Report'!#REF!</f>
        <v>#REF!</v>
      </c>
      <c r="S769">
        <f>'Audit Report'!N769</f>
        <v>0</v>
      </c>
    </row>
    <row r="770" spans="4:19">
      <c r="D770">
        <f>'Audit Report'!B770</f>
        <v>0</v>
      </c>
      <c r="E770">
        <f>'Audit Report'!C770</f>
        <v>0</v>
      </c>
      <c r="I770" t="str">
        <f>'Audit Report'!E770</f>
        <v/>
      </c>
      <c r="J770">
        <f>'Audit Report'!G770</f>
        <v>0</v>
      </c>
      <c r="L770" t="str">
        <f>_xlfn.TEXTJOIN(", ", FALSE, 'Audit Report'!J770,'Audit Report'!K770,'Audit Report'!L770)</f>
        <v xml:space="preserve">, , </v>
      </c>
      <c r="M770">
        <f>'Audit Report'!M770</f>
        <v>0</v>
      </c>
      <c r="N770" t="str" cm="1">
        <f t="array" ref="N770">IF(M770="","",
_xlfn.TEXTJOIN(", ",TRUE,
    _xlfn.MAP(_xlfn.TEXTSPLIT(M770,","),_xlfn.LAMBDA(_xlpm.x,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0" t="e">
        <f>'Audit Report'!#REF!</f>
        <v>#REF!</v>
      </c>
      <c r="S770">
        <f>'Audit Report'!N770</f>
        <v>0</v>
      </c>
    </row>
    <row r="771" spans="4:19">
      <c r="D771">
        <f>'Audit Report'!B771</f>
        <v>0</v>
      </c>
      <c r="E771">
        <f>'Audit Report'!C771</f>
        <v>0</v>
      </c>
      <c r="I771" t="str">
        <f>'Audit Report'!E771</f>
        <v/>
      </c>
      <c r="J771">
        <f>'Audit Report'!G771</f>
        <v>0</v>
      </c>
      <c r="L771" t="str">
        <f>_xlfn.TEXTJOIN(", ", FALSE, 'Audit Report'!J771,'Audit Report'!K771,'Audit Report'!L771)</f>
        <v xml:space="preserve">, , </v>
      </c>
      <c r="M771">
        <f>'Audit Report'!M771</f>
        <v>0</v>
      </c>
      <c r="N771" t="str" cm="1">
        <f t="array" ref="N771">IF(M771="","",
_xlfn.TEXTJOIN(", ",TRUE,
    _xlfn.MAP(_xlfn.TEXTSPLIT(M771,","),_xlfn.LAMBDA(_xlpm.x,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1" t="e">
        <f>'Audit Report'!#REF!</f>
        <v>#REF!</v>
      </c>
      <c r="S771">
        <f>'Audit Report'!N771</f>
        <v>0</v>
      </c>
    </row>
    <row r="772" spans="4:19">
      <c r="D772">
        <f>'Audit Report'!B772</f>
        <v>0</v>
      </c>
      <c r="E772">
        <f>'Audit Report'!C772</f>
        <v>0</v>
      </c>
      <c r="I772" t="str">
        <f>'Audit Report'!E772</f>
        <v/>
      </c>
      <c r="J772">
        <f>'Audit Report'!G772</f>
        <v>0</v>
      </c>
      <c r="L772" t="str">
        <f>_xlfn.TEXTJOIN(", ", FALSE, 'Audit Report'!J772,'Audit Report'!K772,'Audit Report'!L772)</f>
        <v xml:space="preserve">, , </v>
      </c>
      <c r="M772">
        <f>'Audit Report'!M772</f>
        <v>0</v>
      </c>
      <c r="N772" t="str" cm="1">
        <f t="array" ref="N772">IF(M772="","",
_xlfn.TEXTJOIN(", ",TRUE,
    _xlfn.MAP(_xlfn.TEXTSPLIT(M772,","),_xlfn.LAMBDA(_xlpm.x,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2" t="e">
        <f>'Audit Report'!#REF!</f>
        <v>#REF!</v>
      </c>
      <c r="S772">
        <f>'Audit Report'!N772</f>
        <v>0</v>
      </c>
    </row>
    <row r="773" spans="4:19">
      <c r="D773">
        <f>'Audit Report'!B773</f>
        <v>0</v>
      </c>
      <c r="E773">
        <f>'Audit Report'!C773</f>
        <v>0</v>
      </c>
      <c r="I773" t="str">
        <f>'Audit Report'!E773</f>
        <v/>
      </c>
      <c r="J773">
        <f>'Audit Report'!G773</f>
        <v>0</v>
      </c>
      <c r="L773" t="str">
        <f>_xlfn.TEXTJOIN(", ", FALSE, 'Audit Report'!J773,'Audit Report'!K773,'Audit Report'!L773)</f>
        <v xml:space="preserve">, , </v>
      </c>
      <c r="M773">
        <f>'Audit Report'!M773</f>
        <v>0</v>
      </c>
      <c r="N773" t="str" cm="1">
        <f t="array" ref="N773">IF(M773="","",
_xlfn.TEXTJOIN(", ",TRUE,
    _xlfn.MAP(_xlfn.TEXTSPLIT(M773,","),_xlfn.LAMBDA(_xlpm.x,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3" t="e">
        <f>'Audit Report'!#REF!</f>
        <v>#REF!</v>
      </c>
      <c r="S773">
        <f>'Audit Report'!N773</f>
        <v>0</v>
      </c>
    </row>
    <row r="774" spans="4:19">
      <c r="D774">
        <f>'Audit Report'!B774</f>
        <v>0</v>
      </c>
      <c r="E774">
        <f>'Audit Report'!C774</f>
        <v>0</v>
      </c>
      <c r="I774" t="str">
        <f>'Audit Report'!E774</f>
        <v/>
      </c>
      <c r="J774">
        <f>'Audit Report'!G774</f>
        <v>0</v>
      </c>
      <c r="L774" t="str">
        <f>_xlfn.TEXTJOIN(", ", FALSE, 'Audit Report'!J774,'Audit Report'!K774,'Audit Report'!L774)</f>
        <v xml:space="preserve">, , </v>
      </c>
      <c r="M774">
        <f>'Audit Report'!M774</f>
        <v>0</v>
      </c>
      <c r="N774" t="str" cm="1">
        <f t="array" ref="N774">IF(M774="","",
_xlfn.TEXTJOIN(", ",TRUE,
    _xlfn.MAP(_xlfn.TEXTSPLIT(M774,","),_xlfn.LAMBDA(_xlpm.x,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4" t="e">
        <f>'Audit Report'!#REF!</f>
        <v>#REF!</v>
      </c>
      <c r="S774">
        <f>'Audit Report'!N774</f>
        <v>0</v>
      </c>
    </row>
    <row r="775" spans="4:19">
      <c r="D775">
        <f>'Audit Report'!B775</f>
        <v>0</v>
      </c>
      <c r="E775">
        <f>'Audit Report'!C775</f>
        <v>0</v>
      </c>
      <c r="I775" t="str">
        <f>'Audit Report'!E775</f>
        <v/>
      </c>
      <c r="J775">
        <f>'Audit Report'!G775</f>
        <v>0</v>
      </c>
      <c r="L775" t="str">
        <f>_xlfn.TEXTJOIN(", ", FALSE, 'Audit Report'!J775,'Audit Report'!K775,'Audit Report'!L775)</f>
        <v xml:space="preserve">, , </v>
      </c>
      <c r="M775">
        <f>'Audit Report'!M775</f>
        <v>0</v>
      </c>
      <c r="N775" t="str" cm="1">
        <f t="array" ref="N775">IF(M775="","",
_xlfn.TEXTJOIN(", ",TRUE,
    _xlfn.MAP(_xlfn.TEXTSPLIT(M775,","),_xlfn.LAMBDA(_xlpm.x,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5" t="e">
        <f>'Audit Report'!#REF!</f>
        <v>#REF!</v>
      </c>
      <c r="S775">
        <f>'Audit Report'!N775</f>
        <v>0</v>
      </c>
    </row>
    <row r="776" spans="4:19">
      <c r="D776">
        <f>'Audit Report'!B776</f>
        <v>0</v>
      </c>
      <c r="E776">
        <f>'Audit Report'!C776</f>
        <v>0</v>
      </c>
      <c r="I776" t="str">
        <f>'Audit Report'!E776</f>
        <v/>
      </c>
      <c r="J776">
        <f>'Audit Report'!G776</f>
        <v>0</v>
      </c>
      <c r="L776" t="str">
        <f>_xlfn.TEXTJOIN(", ", FALSE, 'Audit Report'!J776,'Audit Report'!K776,'Audit Report'!L776)</f>
        <v xml:space="preserve">, , </v>
      </c>
      <c r="M776">
        <f>'Audit Report'!M776</f>
        <v>0</v>
      </c>
      <c r="N776" t="str" cm="1">
        <f t="array" ref="N776">IF(M776="","",
_xlfn.TEXTJOIN(", ",TRUE,
    _xlfn.MAP(_xlfn.TEXTSPLIT(M776,","),_xlfn.LAMBDA(_xlpm.x,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6" t="e">
        <f>'Audit Report'!#REF!</f>
        <v>#REF!</v>
      </c>
      <c r="S776">
        <f>'Audit Report'!N776</f>
        <v>0</v>
      </c>
    </row>
    <row r="777" spans="4:19">
      <c r="D777">
        <f>'Audit Report'!B777</f>
        <v>0</v>
      </c>
      <c r="E777">
        <f>'Audit Report'!C777</f>
        <v>0</v>
      </c>
      <c r="I777" t="str">
        <f>'Audit Report'!E777</f>
        <v/>
      </c>
      <c r="J777">
        <f>'Audit Report'!G777</f>
        <v>0</v>
      </c>
      <c r="L777" t="str">
        <f>_xlfn.TEXTJOIN(", ", FALSE, 'Audit Report'!J777,'Audit Report'!K777,'Audit Report'!L777)</f>
        <v xml:space="preserve">, , </v>
      </c>
      <c r="M777">
        <f>'Audit Report'!M777</f>
        <v>0</v>
      </c>
      <c r="N777" t="str" cm="1">
        <f t="array" ref="N777">IF(M777="","",
_xlfn.TEXTJOIN(", ",TRUE,
    _xlfn.MAP(_xlfn.TEXTSPLIT(M777,","),_xlfn.LAMBDA(_xlpm.x,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7" t="e">
        <f>'Audit Report'!#REF!</f>
        <v>#REF!</v>
      </c>
      <c r="S777">
        <f>'Audit Report'!N777</f>
        <v>0</v>
      </c>
    </row>
    <row r="778" spans="4:19">
      <c r="D778">
        <f>'Audit Report'!B778</f>
        <v>0</v>
      </c>
      <c r="E778">
        <f>'Audit Report'!C778</f>
        <v>0</v>
      </c>
      <c r="I778" t="str">
        <f>'Audit Report'!E778</f>
        <v/>
      </c>
      <c r="J778">
        <f>'Audit Report'!G778</f>
        <v>0</v>
      </c>
      <c r="L778" t="str">
        <f>_xlfn.TEXTJOIN(", ", FALSE, 'Audit Report'!J778,'Audit Report'!K778,'Audit Report'!L778)</f>
        <v xml:space="preserve">, , </v>
      </c>
      <c r="M778">
        <f>'Audit Report'!M778</f>
        <v>0</v>
      </c>
      <c r="N778" t="str" cm="1">
        <f t="array" ref="N778">IF(M778="","",
_xlfn.TEXTJOIN(", ",TRUE,
    _xlfn.MAP(_xlfn.TEXTSPLIT(M778,","),_xlfn.LAMBDA(_xlpm.x,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8" t="e">
        <f>'Audit Report'!#REF!</f>
        <v>#REF!</v>
      </c>
      <c r="S778">
        <f>'Audit Report'!N778</f>
        <v>0</v>
      </c>
    </row>
    <row r="779" spans="4:19">
      <c r="D779">
        <f>'Audit Report'!B779</f>
        <v>0</v>
      </c>
      <c r="E779">
        <f>'Audit Report'!C779</f>
        <v>0</v>
      </c>
      <c r="I779" t="str">
        <f>'Audit Report'!E779</f>
        <v/>
      </c>
      <c r="J779">
        <f>'Audit Report'!G779</f>
        <v>0</v>
      </c>
      <c r="L779" t="str">
        <f>_xlfn.TEXTJOIN(", ", FALSE, 'Audit Report'!J779,'Audit Report'!K779,'Audit Report'!L779)</f>
        <v xml:space="preserve">, , </v>
      </c>
      <c r="M779">
        <f>'Audit Report'!M779</f>
        <v>0</v>
      </c>
      <c r="N779" t="str" cm="1">
        <f t="array" ref="N779">IF(M779="","",
_xlfn.TEXTJOIN(", ",TRUE,
    _xlfn.MAP(_xlfn.TEXTSPLIT(M779,","),_xlfn.LAMBDA(_xlpm.x,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9" t="e">
        <f>'Audit Report'!#REF!</f>
        <v>#REF!</v>
      </c>
      <c r="S779">
        <f>'Audit Report'!N779</f>
        <v>0</v>
      </c>
    </row>
    <row r="780" spans="4:19">
      <c r="D780">
        <f>'Audit Report'!B780</f>
        <v>0</v>
      </c>
      <c r="E780">
        <f>'Audit Report'!C780</f>
        <v>0</v>
      </c>
      <c r="I780" t="str">
        <f>'Audit Report'!E780</f>
        <v/>
      </c>
      <c r="J780">
        <f>'Audit Report'!G780</f>
        <v>0</v>
      </c>
      <c r="L780" t="str">
        <f>_xlfn.TEXTJOIN(", ", FALSE, 'Audit Report'!J780,'Audit Report'!K780,'Audit Report'!L780)</f>
        <v xml:space="preserve">, , </v>
      </c>
      <c r="M780">
        <f>'Audit Report'!M780</f>
        <v>0</v>
      </c>
      <c r="N780" t="str" cm="1">
        <f t="array" ref="N780">IF(M780="","",
_xlfn.TEXTJOIN(", ",TRUE,
    _xlfn.MAP(_xlfn.TEXTSPLIT(M780,","),_xlfn.LAMBDA(_xlpm.x,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0" t="e">
        <f>'Audit Report'!#REF!</f>
        <v>#REF!</v>
      </c>
      <c r="S780">
        <f>'Audit Report'!N780</f>
        <v>0</v>
      </c>
    </row>
    <row r="781" spans="4:19">
      <c r="D781">
        <f>'Audit Report'!B781</f>
        <v>0</v>
      </c>
      <c r="E781">
        <f>'Audit Report'!C781</f>
        <v>0</v>
      </c>
      <c r="I781" t="str">
        <f>'Audit Report'!E781</f>
        <v/>
      </c>
      <c r="J781">
        <f>'Audit Report'!G781</f>
        <v>0</v>
      </c>
      <c r="L781" t="str">
        <f>_xlfn.TEXTJOIN(", ", FALSE, 'Audit Report'!J781,'Audit Report'!K781,'Audit Report'!L781)</f>
        <v xml:space="preserve">, , </v>
      </c>
      <c r="M781">
        <f>'Audit Report'!M781</f>
        <v>0</v>
      </c>
      <c r="N781" t="str" cm="1">
        <f t="array" ref="N781">IF(M781="","",
_xlfn.TEXTJOIN(", ",TRUE,
    _xlfn.MAP(_xlfn.TEXTSPLIT(M781,","),_xlfn.LAMBDA(_xlpm.x,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1" t="e">
        <f>'Audit Report'!#REF!</f>
        <v>#REF!</v>
      </c>
      <c r="S781">
        <f>'Audit Report'!N781</f>
        <v>0</v>
      </c>
    </row>
    <row r="782" spans="4:19">
      <c r="D782">
        <f>'Audit Report'!B782</f>
        <v>0</v>
      </c>
      <c r="E782">
        <f>'Audit Report'!C782</f>
        <v>0</v>
      </c>
      <c r="I782" t="str">
        <f>'Audit Report'!E782</f>
        <v/>
      </c>
      <c r="J782">
        <f>'Audit Report'!G782</f>
        <v>0</v>
      </c>
      <c r="L782" t="str">
        <f>_xlfn.TEXTJOIN(", ", FALSE, 'Audit Report'!J782,'Audit Report'!K782,'Audit Report'!L782)</f>
        <v xml:space="preserve">, , </v>
      </c>
      <c r="M782">
        <f>'Audit Report'!M782</f>
        <v>0</v>
      </c>
      <c r="N782" t="str" cm="1">
        <f t="array" ref="N782">IF(M782="","",
_xlfn.TEXTJOIN(", ",TRUE,
    _xlfn.MAP(_xlfn.TEXTSPLIT(M782,","),_xlfn.LAMBDA(_xlpm.x,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2" t="e">
        <f>'Audit Report'!#REF!</f>
        <v>#REF!</v>
      </c>
      <c r="S782">
        <f>'Audit Report'!N782</f>
        <v>0</v>
      </c>
    </row>
    <row r="783" spans="4:19">
      <c r="D783">
        <f>'Audit Report'!B783</f>
        <v>0</v>
      </c>
      <c r="E783">
        <f>'Audit Report'!C783</f>
        <v>0</v>
      </c>
      <c r="I783" t="str">
        <f>'Audit Report'!E783</f>
        <v/>
      </c>
      <c r="J783">
        <f>'Audit Report'!G783</f>
        <v>0</v>
      </c>
      <c r="L783" t="str">
        <f>_xlfn.TEXTJOIN(", ", FALSE, 'Audit Report'!J783,'Audit Report'!K783,'Audit Report'!L783)</f>
        <v xml:space="preserve">, , </v>
      </c>
      <c r="M783">
        <f>'Audit Report'!M783</f>
        <v>0</v>
      </c>
      <c r="N783" t="str" cm="1">
        <f t="array" ref="N783">IF(M783="","",
_xlfn.TEXTJOIN(", ",TRUE,
    _xlfn.MAP(_xlfn.TEXTSPLIT(M783,","),_xlfn.LAMBDA(_xlpm.x,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3" t="e">
        <f>'Audit Report'!#REF!</f>
        <v>#REF!</v>
      </c>
      <c r="S783">
        <f>'Audit Report'!N783</f>
        <v>0</v>
      </c>
    </row>
    <row r="784" spans="4:19">
      <c r="D784">
        <f>'Audit Report'!B784</f>
        <v>0</v>
      </c>
      <c r="E784">
        <f>'Audit Report'!C784</f>
        <v>0</v>
      </c>
      <c r="I784" t="str">
        <f>'Audit Report'!E784</f>
        <v/>
      </c>
      <c r="J784">
        <f>'Audit Report'!G784</f>
        <v>0</v>
      </c>
      <c r="L784" t="str">
        <f>_xlfn.TEXTJOIN(", ", FALSE, 'Audit Report'!J784,'Audit Report'!K784,'Audit Report'!L784)</f>
        <v xml:space="preserve">, , </v>
      </c>
      <c r="M784">
        <f>'Audit Report'!M784</f>
        <v>0</v>
      </c>
      <c r="N784" t="str" cm="1">
        <f t="array" ref="N784">IF(M784="","",
_xlfn.TEXTJOIN(", ",TRUE,
    _xlfn.MAP(_xlfn.TEXTSPLIT(M784,","),_xlfn.LAMBDA(_xlpm.x,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4" t="e">
        <f>'Audit Report'!#REF!</f>
        <v>#REF!</v>
      </c>
      <c r="S784">
        <f>'Audit Report'!N784</f>
        <v>0</v>
      </c>
    </row>
    <row r="785" spans="4:19">
      <c r="D785">
        <f>'Audit Report'!B785</f>
        <v>0</v>
      </c>
      <c r="E785">
        <f>'Audit Report'!C785</f>
        <v>0</v>
      </c>
      <c r="I785" t="str">
        <f>'Audit Report'!E785</f>
        <v/>
      </c>
      <c r="J785">
        <f>'Audit Report'!G785</f>
        <v>0</v>
      </c>
      <c r="L785" t="str">
        <f>_xlfn.TEXTJOIN(", ", FALSE, 'Audit Report'!J785,'Audit Report'!K785,'Audit Report'!L785)</f>
        <v xml:space="preserve">, , </v>
      </c>
      <c r="M785">
        <f>'Audit Report'!M785</f>
        <v>0</v>
      </c>
      <c r="N785" t="str" cm="1">
        <f t="array" ref="N785">IF(M785="","",
_xlfn.TEXTJOIN(", ",TRUE,
    _xlfn.MAP(_xlfn.TEXTSPLIT(M785,","),_xlfn.LAMBDA(_xlpm.x,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5" t="e">
        <f>'Audit Report'!#REF!</f>
        <v>#REF!</v>
      </c>
      <c r="S785">
        <f>'Audit Report'!N785</f>
        <v>0</v>
      </c>
    </row>
    <row r="786" spans="4:19">
      <c r="D786">
        <f>'Audit Report'!B786</f>
        <v>0</v>
      </c>
      <c r="E786">
        <f>'Audit Report'!C786</f>
        <v>0</v>
      </c>
      <c r="I786" t="str">
        <f>'Audit Report'!E786</f>
        <v/>
      </c>
      <c r="J786">
        <f>'Audit Report'!G786</f>
        <v>0</v>
      </c>
      <c r="L786" t="str">
        <f>_xlfn.TEXTJOIN(", ", FALSE, 'Audit Report'!J786,'Audit Report'!K786,'Audit Report'!L786)</f>
        <v xml:space="preserve">, , </v>
      </c>
      <c r="M786">
        <f>'Audit Report'!M786</f>
        <v>0</v>
      </c>
      <c r="N786" t="str" cm="1">
        <f t="array" ref="N786">IF(M786="","",
_xlfn.TEXTJOIN(", ",TRUE,
    _xlfn.MAP(_xlfn.TEXTSPLIT(M786,","),_xlfn.LAMBDA(_xlpm.x,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6" t="e">
        <f>'Audit Report'!#REF!</f>
        <v>#REF!</v>
      </c>
      <c r="S786">
        <f>'Audit Report'!N786</f>
        <v>0</v>
      </c>
    </row>
    <row r="787" spans="4:19">
      <c r="D787">
        <f>'Audit Report'!B787</f>
        <v>0</v>
      </c>
      <c r="E787">
        <f>'Audit Report'!C787</f>
        <v>0</v>
      </c>
      <c r="I787" t="str">
        <f>'Audit Report'!E787</f>
        <v/>
      </c>
      <c r="J787">
        <f>'Audit Report'!G787</f>
        <v>0</v>
      </c>
      <c r="L787" t="str">
        <f>_xlfn.TEXTJOIN(", ", FALSE, 'Audit Report'!J787,'Audit Report'!K787,'Audit Report'!L787)</f>
        <v xml:space="preserve">, , </v>
      </c>
      <c r="M787">
        <f>'Audit Report'!M787</f>
        <v>0</v>
      </c>
      <c r="N787" t="str" cm="1">
        <f t="array" ref="N787">IF(M787="","",
_xlfn.TEXTJOIN(", ",TRUE,
    _xlfn.MAP(_xlfn.TEXTSPLIT(M787,","),_xlfn.LAMBDA(_xlpm.x,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7" t="e">
        <f>'Audit Report'!#REF!</f>
        <v>#REF!</v>
      </c>
      <c r="S787">
        <f>'Audit Report'!N787</f>
        <v>0</v>
      </c>
    </row>
    <row r="788" spans="4:19">
      <c r="D788">
        <f>'Audit Report'!B788</f>
        <v>0</v>
      </c>
      <c r="E788">
        <f>'Audit Report'!C788</f>
        <v>0</v>
      </c>
      <c r="I788" t="str">
        <f>'Audit Report'!E788</f>
        <v/>
      </c>
      <c r="J788">
        <f>'Audit Report'!G788</f>
        <v>0</v>
      </c>
      <c r="L788" t="str">
        <f>_xlfn.TEXTJOIN(", ", FALSE, 'Audit Report'!J788,'Audit Report'!K788,'Audit Report'!L788)</f>
        <v xml:space="preserve">, , </v>
      </c>
      <c r="M788">
        <f>'Audit Report'!M788</f>
        <v>0</v>
      </c>
      <c r="N788" t="str" cm="1">
        <f t="array" ref="N788">IF(M788="","",
_xlfn.TEXTJOIN(", ",TRUE,
    _xlfn.MAP(_xlfn.TEXTSPLIT(M788,","),_xlfn.LAMBDA(_xlpm.x,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8" t="e">
        <f>'Audit Report'!#REF!</f>
        <v>#REF!</v>
      </c>
      <c r="S788">
        <f>'Audit Report'!N788</f>
        <v>0</v>
      </c>
    </row>
    <row r="789" spans="4:19">
      <c r="D789">
        <f>'Audit Report'!B789</f>
        <v>0</v>
      </c>
      <c r="E789">
        <f>'Audit Report'!C789</f>
        <v>0</v>
      </c>
      <c r="I789" t="str">
        <f>'Audit Report'!E789</f>
        <v/>
      </c>
      <c r="J789">
        <f>'Audit Report'!G789</f>
        <v>0</v>
      </c>
      <c r="L789" t="str">
        <f>_xlfn.TEXTJOIN(", ", FALSE, 'Audit Report'!J789,'Audit Report'!K789,'Audit Report'!L789)</f>
        <v xml:space="preserve">, , </v>
      </c>
      <c r="M789">
        <f>'Audit Report'!M789</f>
        <v>0</v>
      </c>
      <c r="N789" t="str" cm="1">
        <f t="array" ref="N789">IF(M789="","",
_xlfn.TEXTJOIN(", ",TRUE,
    _xlfn.MAP(_xlfn.TEXTSPLIT(M789,","),_xlfn.LAMBDA(_xlpm.x,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9" t="e">
        <f>'Audit Report'!#REF!</f>
        <v>#REF!</v>
      </c>
      <c r="S789">
        <f>'Audit Report'!N789</f>
        <v>0</v>
      </c>
    </row>
    <row r="790" spans="4:19">
      <c r="D790">
        <f>'Audit Report'!B790</f>
        <v>0</v>
      </c>
      <c r="E790">
        <f>'Audit Report'!C790</f>
        <v>0</v>
      </c>
      <c r="I790" t="str">
        <f>'Audit Report'!E790</f>
        <v/>
      </c>
      <c r="J790">
        <f>'Audit Report'!G790</f>
        <v>0</v>
      </c>
      <c r="L790" t="str">
        <f>_xlfn.TEXTJOIN(", ", FALSE, 'Audit Report'!J790,'Audit Report'!K790,'Audit Report'!L790)</f>
        <v xml:space="preserve">, , </v>
      </c>
      <c r="M790">
        <f>'Audit Report'!M790</f>
        <v>0</v>
      </c>
      <c r="N790" t="str" cm="1">
        <f t="array" ref="N790">IF(M790="","",
_xlfn.TEXTJOIN(", ",TRUE,
    _xlfn.MAP(_xlfn.TEXTSPLIT(M790,","),_xlfn.LAMBDA(_xlpm.x,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0" t="e">
        <f>'Audit Report'!#REF!</f>
        <v>#REF!</v>
      </c>
      <c r="S790">
        <f>'Audit Report'!N790</f>
        <v>0</v>
      </c>
    </row>
    <row r="791" spans="4:19">
      <c r="D791">
        <f>'Audit Report'!B791</f>
        <v>0</v>
      </c>
      <c r="E791">
        <f>'Audit Report'!C791</f>
        <v>0</v>
      </c>
      <c r="I791" t="str">
        <f>'Audit Report'!E791</f>
        <v/>
      </c>
      <c r="J791">
        <f>'Audit Report'!G791</f>
        <v>0</v>
      </c>
      <c r="L791" t="str">
        <f>_xlfn.TEXTJOIN(", ", FALSE, 'Audit Report'!J791,'Audit Report'!K791,'Audit Report'!L791)</f>
        <v xml:space="preserve">, , </v>
      </c>
      <c r="M791">
        <f>'Audit Report'!M791</f>
        <v>0</v>
      </c>
      <c r="N791" t="str" cm="1">
        <f t="array" ref="N791">IF(M791="","",
_xlfn.TEXTJOIN(", ",TRUE,
    _xlfn.MAP(_xlfn.TEXTSPLIT(M791,","),_xlfn.LAMBDA(_xlpm.x,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1" t="e">
        <f>'Audit Report'!#REF!</f>
        <v>#REF!</v>
      </c>
      <c r="S791">
        <f>'Audit Report'!N791</f>
        <v>0</v>
      </c>
    </row>
    <row r="792" spans="4:19">
      <c r="D792">
        <f>'Audit Report'!B792</f>
        <v>0</v>
      </c>
      <c r="E792">
        <f>'Audit Report'!C792</f>
        <v>0</v>
      </c>
      <c r="I792" t="str">
        <f>'Audit Report'!E792</f>
        <v/>
      </c>
      <c r="J792">
        <f>'Audit Report'!G792</f>
        <v>0</v>
      </c>
      <c r="L792" t="str">
        <f>_xlfn.TEXTJOIN(", ", FALSE, 'Audit Report'!J792,'Audit Report'!K792,'Audit Report'!L792)</f>
        <v xml:space="preserve">, , </v>
      </c>
      <c r="M792">
        <f>'Audit Report'!M792</f>
        <v>0</v>
      </c>
      <c r="N792" t="str" cm="1">
        <f t="array" ref="N792">IF(M792="","",
_xlfn.TEXTJOIN(", ",TRUE,
    _xlfn.MAP(_xlfn.TEXTSPLIT(M792,","),_xlfn.LAMBDA(_xlpm.x,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2" t="e">
        <f>'Audit Report'!#REF!</f>
        <v>#REF!</v>
      </c>
      <c r="S792">
        <f>'Audit Report'!N792</f>
        <v>0</v>
      </c>
    </row>
    <row r="793" spans="4:19">
      <c r="D793">
        <f>'Audit Report'!B793</f>
        <v>0</v>
      </c>
      <c r="E793">
        <f>'Audit Report'!C793</f>
        <v>0</v>
      </c>
      <c r="I793" t="str">
        <f>'Audit Report'!E793</f>
        <v/>
      </c>
      <c r="J793">
        <f>'Audit Report'!G793</f>
        <v>0</v>
      </c>
      <c r="L793" t="str">
        <f>_xlfn.TEXTJOIN(", ", FALSE, 'Audit Report'!J793,'Audit Report'!K793,'Audit Report'!L793)</f>
        <v xml:space="preserve">, , </v>
      </c>
      <c r="M793">
        <f>'Audit Report'!M793</f>
        <v>0</v>
      </c>
      <c r="N793" t="str" cm="1">
        <f t="array" ref="N793">IF(M793="","",
_xlfn.TEXTJOIN(", ",TRUE,
    _xlfn.MAP(_xlfn.TEXTSPLIT(M793,","),_xlfn.LAMBDA(_xlpm.x,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3" t="e">
        <f>'Audit Report'!#REF!</f>
        <v>#REF!</v>
      </c>
      <c r="S793">
        <f>'Audit Report'!N793</f>
        <v>0</v>
      </c>
    </row>
    <row r="794" spans="4:19">
      <c r="D794">
        <f>'Audit Report'!B794</f>
        <v>0</v>
      </c>
      <c r="E794">
        <f>'Audit Report'!C794</f>
        <v>0</v>
      </c>
      <c r="I794" t="str">
        <f>'Audit Report'!E794</f>
        <v/>
      </c>
      <c r="J794">
        <f>'Audit Report'!G794</f>
        <v>0</v>
      </c>
      <c r="L794" t="str">
        <f>_xlfn.TEXTJOIN(", ", FALSE, 'Audit Report'!J794,'Audit Report'!K794,'Audit Report'!L794)</f>
        <v xml:space="preserve">, , </v>
      </c>
      <c r="M794">
        <f>'Audit Report'!M794</f>
        <v>0</v>
      </c>
      <c r="N794" t="str" cm="1">
        <f t="array" ref="N794">IF(M794="","",
_xlfn.TEXTJOIN(", ",TRUE,
    _xlfn.MAP(_xlfn.TEXTSPLIT(M794,","),_xlfn.LAMBDA(_xlpm.x,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4" t="e">
        <f>'Audit Report'!#REF!</f>
        <v>#REF!</v>
      </c>
      <c r="S794">
        <f>'Audit Report'!N794</f>
        <v>0</v>
      </c>
    </row>
    <row r="795" spans="4:19">
      <c r="D795">
        <f>'Audit Report'!B795</f>
        <v>0</v>
      </c>
      <c r="E795">
        <f>'Audit Report'!C795</f>
        <v>0</v>
      </c>
      <c r="I795" t="str">
        <f>'Audit Report'!E795</f>
        <v/>
      </c>
      <c r="J795">
        <f>'Audit Report'!G795</f>
        <v>0</v>
      </c>
      <c r="L795" t="str">
        <f>_xlfn.TEXTJOIN(", ", FALSE, 'Audit Report'!J795,'Audit Report'!K795,'Audit Report'!L795)</f>
        <v xml:space="preserve">, , </v>
      </c>
      <c r="M795">
        <f>'Audit Report'!M795</f>
        <v>0</v>
      </c>
      <c r="N795" t="str" cm="1">
        <f t="array" ref="N795">IF(M795="","",
_xlfn.TEXTJOIN(", ",TRUE,
    _xlfn.MAP(_xlfn.TEXTSPLIT(M795,","),_xlfn.LAMBDA(_xlpm.x,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5" t="e">
        <f>'Audit Report'!#REF!</f>
        <v>#REF!</v>
      </c>
      <c r="S795">
        <f>'Audit Report'!N795</f>
        <v>0</v>
      </c>
    </row>
    <row r="796" spans="4:19">
      <c r="D796">
        <f>'Audit Report'!B796</f>
        <v>0</v>
      </c>
      <c r="E796">
        <f>'Audit Report'!C796</f>
        <v>0</v>
      </c>
      <c r="I796" t="str">
        <f>'Audit Report'!E796</f>
        <v/>
      </c>
      <c r="J796">
        <f>'Audit Report'!G796</f>
        <v>0</v>
      </c>
      <c r="L796" t="str">
        <f>_xlfn.TEXTJOIN(", ", FALSE, 'Audit Report'!J796,'Audit Report'!K796,'Audit Report'!L796)</f>
        <v xml:space="preserve">, , </v>
      </c>
      <c r="M796">
        <f>'Audit Report'!M796</f>
        <v>0</v>
      </c>
      <c r="N796" t="str" cm="1">
        <f t="array" ref="N796">IF(M796="","",
_xlfn.TEXTJOIN(", ",TRUE,
    _xlfn.MAP(_xlfn.TEXTSPLIT(M796,","),_xlfn.LAMBDA(_xlpm.x,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6" t="e">
        <f>'Audit Report'!#REF!</f>
        <v>#REF!</v>
      </c>
      <c r="S796">
        <f>'Audit Report'!N796</f>
        <v>0</v>
      </c>
    </row>
    <row r="797" spans="4:19">
      <c r="D797">
        <f>'Audit Report'!B797</f>
        <v>0</v>
      </c>
      <c r="E797">
        <f>'Audit Report'!C797</f>
        <v>0</v>
      </c>
      <c r="I797" t="str">
        <f>'Audit Report'!E797</f>
        <v/>
      </c>
      <c r="J797">
        <f>'Audit Report'!G797</f>
        <v>0</v>
      </c>
      <c r="L797" t="str">
        <f>_xlfn.TEXTJOIN(", ", FALSE, 'Audit Report'!J797,'Audit Report'!K797,'Audit Report'!L797)</f>
        <v xml:space="preserve">, , </v>
      </c>
      <c r="M797">
        <f>'Audit Report'!M797</f>
        <v>0</v>
      </c>
      <c r="N797" t="str" cm="1">
        <f t="array" ref="N797">IF(M797="","",
_xlfn.TEXTJOIN(", ",TRUE,
    _xlfn.MAP(_xlfn.TEXTSPLIT(M797,","),_xlfn.LAMBDA(_xlpm.x,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7" t="e">
        <f>'Audit Report'!#REF!</f>
        <v>#REF!</v>
      </c>
      <c r="S797">
        <f>'Audit Report'!N797</f>
        <v>0</v>
      </c>
    </row>
    <row r="798" spans="4:19">
      <c r="D798">
        <f>'Audit Report'!B798</f>
        <v>0</v>
      </c>
      <c r="E798">
        <f>'Audit Report'!C798</f>
        <v>0</v>
      </c>
      <c r="I798" t="str">
        <f>'Audit Report'!E798</f>
        <v/>
      </c>
      <c r="J798">
        <f>'Audit Report'!G798</f>
        <v>0</v>
      </c>
      <c r="L798" t="str">
        <f>_xlfn.TEXTJOIN(", ", FALSE, 'Audit Report'!J798,'Audit Report'!K798,'Audit Report'!L798)</f>
        <v xml:space="preserve">, , </v>
      </c>
      <c r="M798">
        <f>'Audit Report'!M798</f>
        <v>0</v>
      </c>
      <c r="N798" t="str" cm="1">
        <f t="array" ref="N798">IF(M798="","",
_xlfn.TEXTJOIN(", ",TRUE,
    _xlfn.MAP(_xlfn.TEXTSPLIT(M798,","),_xlfn.LAMBDA(_xlpm.x,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8" t="e">
        <f>'Audit Report'!#REF!</f>
        <v>#REF!</v>
      </c>
      <c r="S798">
        <f>'Audit Report'!N798</f>
        <v>0</v>
      </c>
    </row>
    <row r="799" spans="4:19">
      <c r="D799">
        <f>'Audit Report'!B799</f>
        <v>0</v>
      </c>
      <c r="E799">
        <f>'Audit Report'!C799</f>
        <v>0</v>
      </c>
      <c r="I799" t="str">
        <f>'Audit Report'!E799</f>
        <v/>
      </c>
      <c r="J799">
        <f>'Audit Report'!G799</f>
        <v>0</v>
      </c>
      <c r="L799" t="str">
        <f>_xlfn.TEXTJOIN(", ", FALSE, 'Audit Report'!J799,'Audit Report'!K799,'Audit Report'!L799)</f>
        <v xml:space="preserve">, , </v>
      </c>
      <c r="M799">
        <f>'Audit Report'!M799</f>
        <v>0</v>
      </c>
      <c r="N799" t="str" cm="1">
        <f t="array" ref="N799">IF(M799="","",
_xlfn.TEXTJOIN(", ",TRUE,
    _xlfn.MAP(_xlfn.TEXTSPLIT(M799,","),_xlfn.LAMBDA(_xlpm.x,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9" t="e">
        <f>'Audit Report'!#REF!</f>
        <v>#REF!</v>
      </c>
      <c r="S799">
        <f>'Audit Report'!N799</f>
        <v>0</v>
      </c>
    </row>
    <row r="800" spans="4:19">
      <c r="D800">
        <f>'Audit Report'!B800</f>
        <v>0</v>
      </c>
      <c r="E800">
        <f>'Audit Report'!C800</f>
        <v>0</v>
      </c>
      <c r="I800" t="str">
        <f>'Audit Report'!E800</f>
        <v/>
      </c>
      <c r="J800">
        <f>'Audit Report'!G800</f>
        <v>0</v>
      </c>
      <c r="L800" t="str">
        <f>_xlfn.TEXTJOIN(", ", FALSE, 'Audit Report'!J800,'Audit Report'!K800,'Audit Report'!L800)</f>
        <v xml:space="preserve">, , </v>
      </c>
      <c r="M800">
        <f>'Audit Report'!M800</f>
        <v>0</v>
      </c>
      <c r="N800" t="str" cm="1">
        <f t="array" ref="N800">IF(M800="","",
_xlfn.TEXTJOIN(", ",TRUE,
    _xlfn.MAP(_xlfn.TEXTSPLIT(M800,","),_xlfn.LAMBDA(_xlpm.x,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0" t="e">
        <f>'Audit Report'!#REF!</f>
        <v>#REF!</v>
      </c>
      <c r="S800">
        <f>'Audit Report'!N800</f>
        <v>0</v>
      </c>
    </row>
    <row r="801" spans="4:19">
      <c r="D801">
        <f>'Audit Report'!B801</f>
        <v>0</v>
      </c>
      <c r="E801">
        <f>'Audit Report'!C801</f>
        <v>0</v>
      </c>
      <c r="I801" t="str">
        <f>'Audit Report'!E801</f>
        <v/>
      </c>
      <c r="J801">
        <f>'Audit Report'!G801</f>
        <v>0</v>
      </c>
      <c r="L801" t="str">
        <f>_xlfn.TEXTJOIN(", ", FALSE, 'Audit Report'!J801,'Audit Report'!K801,'Audit Report'!L801)</f>
        <v xml:space="preserve">, , </v>
      </c>
      <c r="M801">
        <f>'Audit Report'!M801</f>
        <v>0</v>
      </c>
      <c r="N801" t="str" cm="1">
        <f t="array" ref="N801">IF(M801="","",
_xlfn.TEXTJOIN(", ",TRUE,
    _xlfn.MAP(_xlfn.TEXTSPLIT(M801,","),_xlfn.LAMBDA(_xlpm.x,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1" t="e">
        <f>'Audit Report'!#REF!</f>
        <v>#REF!</v>
      </c>
      <c r="S801">
        <f>'Audit Report'!N801</f>
        <v>0</v>
      </c>
    </row>
    <row r="802" spans="4:19">
      <c r="D802">
        <f>'Audit Report'!B802</f>
        <v>0</v>
      </c>
      <c r="E802">
        <f>'Audit Report'!C802</f>
        <v>0</v>
      </c>
      <c r="I802" t="str">
        <f>'Audit Report'!E802</f>
        <v/>
      </c>
      <c r="J802">
        <f>'Audit Report'!G802</f>
        <v>0</v>
      </c>
      <c r="L802" t="str">
        <f>_xlfn.TEXTJOIN(", ", FALSE, 'Audit Report'!J802,'Audit Report'!K802,'Audit Report'!L802)</f>
        <v xml:space="preserve">, , </v>
      </c>
      <c r="M802">
        <f>'Audit Report'!M802</f>
        <v>0</v>
      </c>
      <c r="N802" t="str" cm="1">
        <f t="array" ref="N802">IF(M802="","",
_xlfn.TEXTJOIN(", ",TRUE,
    _xlfn.MAP(_xlfn.TEXTSPLIT(M802,","),_xlfn.LAMBDA(_xlpm.x,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2" t="e">
        <f>'Audit Report'!#REF!</f>
        <v>#REF!</v>
      </c>
      <c r="S802">
        <f>'Audit Report'!N802</f>
        <v>0</v>
      </c>
    </row>
    <row r="803" spans="4:19">
      <c r="D803">
        <f>'Audit Report'!B803</f>
        <v>0</v>
      </c>
      <c r="E803">
        <f>'Audit Report'!C803</f>
        <v>0</v>
      </c>
      <c r="I803" t="str">
        <f>'Audit Report'!E803</f>
        <v/>
      </c>
      <c r="J803">
        <f>'Audit Report'!G803</f>
        <v>0</v>
      </c>
      <c r="L803" t="str">
        <f>_xlfn.TEXTJOIN(", ", FALSE, 'Audit Report'!J803,'Audit Report'!K803,'Audit Report'!L803)</f>
        <v xml:space="preserve">, , </v>
      </c>
      <c r="M803">
        <f>'Audit Report'!M803</f>
        <v>0</v>
      </c>
      <c r="N803" t="str" cm="1">
        <f t="array" ref="N803">IF(M803="","",
_xlfn.TEXTJOIN(", ",TRUE,
    _xlfn.MAP(_xlfn.TEXTSPLIT(M803,","),_xlfn.LAMBDA(_xlpm.x,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3" t="e">
        <f>'Audit Report'!#REF!</f>
        <v>#REF!</v>
      </c>
      <c r="S803">
        <f>'Audit Report'!N803</f>
        <v>0</v>
      </c>
    </row>
    <row r="804" spans="4:19">
      <c r="D804">
        <f>'Audit Report'!B804</f>
        <v>0</v>
      </c>
      <c r="E804">
        <f>'Audit Report'!C804</f>
        <v>0</v>
      </c>
      <c r="I804" t="str">
        <f>'Audit Report'!E804</f>
        <v/>
      </c>
      <c r="J804">
        <f>'Audit Report'!G804</f>
        <v>0</v>
      </c>
      <c r="L804" t="str">
        <f>_xlfn.TEXTJOIN(", ", FALSE, 'Audit Report'!J804,'Audit Report'!K804,'Audit Report'!L804)</f>
        <v xml:space="preserve">, , </v>
      </c>
      <c r="M804">
        <f>'Audit Report'!M804</f>
        <v>0</v>
      </c>
      <c r="N804" t="str" cm="1">
        <f t="array" ref="N804">IF(M804="","",
_xlfn.TEXTJOIN(", ",TRUE,
    _xlfn.MAP(_xlfn.TEXTSPLIT(M804,","),_xlfn.LAMBDA(_xlpm.x,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4" t="e">
        <f>'Audit Report'!#REF!</f>
        <v>#REF!</v>
      </c>
      <c r="S804">
        <f>'Audit Report'!N804</f>
        <v>0</v>
      </c>
    </row>
    <row r="805" spans="4:19">
      <c r="D805">
        <f>'Audit Report'!B805</f>
        <v>0</v>
      </c>
      <c r="E805">
        <f>'Audit Report'!C805</f>
        <v>0</v>
      </c>
      <c r="I805" t="str">
        <f>'Audit Report'!E805</f>
        <v/>
      </c>
      <c r="J805">
        <f>'Audit Report'!G805</f>
        <v>0</v>
      </c>
      <c r="L805" t="str">
        <f>_xlfn.TEXTJOIN(", ", FALSE, 'Audit Report'!J805,'Audit Report'!K805,'Audit Report'!L805)</f>
        <v xml:space="preserve">, , </v>
      </c>
      <c r="M805">
        <f>'Audit Report'!M805</f>
        <v>0</v>
      </c>
      <c r="N805" t="str" cm="1">
        <f t="array" ref="N805">IF(M805="","",
_xlfn.TEXTJOIN(", ",TRUE,
    _xlfn.MAP(_xlfn.TEXTSPLIT(M805,","),_xlfn.LAMBDA(_xlpm.x,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5" t="e">
        <f>'Audit Report'!#REF!</f>
        <v>#REF!</v>
      </c>
      <c r="S805">
        <f>'Audit Report'!N805</f>
        <v>0</v>
      </c>
    </row>
    <row r="806" spans="4:19">
      <c r="D806">
        <f>'Audit Report'!B806</f>
        <v>0</v>
      </c>
      <c r="E806">
        <f>'Audit Report'!C806</f>
        <v>0</v>
      </c>
      <c r="I806" t="str">
        <f>'Audit Report'!E806</f>
        <v/>
      </c>
      <c r="J806">
        <f>'Audit Report'!G806</f>
        <v>0</v>
      </c>
      <c r="L806" t="str">
        <f>_xlfn.TEXTJOIN(", ", FALSE, 'Audit Report'!J806,'Audit Report'!K806,'Audit Report'!L806)</f>
        <v xml:space="preserve">, , </v>
      </c>
      <c r="M806">
        <f>'Audit Report'!M806</f>
        <v>0</v>
      </c>
      <c r="N806" t="str" cm="1">
        <f t="array" ref="N806">IF(M806="","",
_xlfn.TEXTJOIN(", ",TRUE,
    _xlfn.MAP(_xlfn.TEXTSPLIT(M806,","),_xlfn.LAMBDA(_xlpm.x,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6" t="e">
        <f>'Audit Report'!#REF!</f>
        <v>#REF!</v>
      </c>
      <c r="S806">
        <f>'Audit Report'!N806</f>
        <v>0</v>
      </c>
    </row>
    <row r="807" spans="4:19">
      <c r="D807">
        <f>'Audit Report'!B807</f>
        <v>0</v>
      </c>
      <c r="E807">
        <f>'Audit Report'!C807</f>
        <v>0</v>
      </c>
      <c r="I807" t="str">
        <f>'Audit Report'!E807</f>
        <v/>
      </c>
      <c r="J807">
        <f>'Audit Report'!G807</f>
        <v>0</v>
      </c>
      <c r="L807" t="str">
        <f>_xlfn.TEXTJOIN(", ", FALSE, 'Audit Report'!J807,'Audit Report'!K807,'Audit Report'!L807)</f>
        <v xml:space="preserve">, , </v>
      </c>
      <c r="M807">
        <f>'Audit Report'!M807</f>
        <v>0</v>
      </c>
      <c r="N807" t="str" cm="1">
        <f t="array" ref="N807">IF(M807="","",
_xlfn.TEXTJOIN(", ",TRUE,
    _xlfn.MAP(_xlfn.TEXTSPLIT(M807,","),_xlfn.LAMBDA(_xlpm.x,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7" t="e">
        <f>'Audit Report'!#REF!</f>
        <v>#REF!</v>
      </c>
      <c r="S807">
        <f>'Audit Report'!N807</f>
        <v>0</v>
      </c>
    </row>
    <row r="808" spans="4:19">
      <c r="D808">
        <f>'Audit Report'!B808</f>
        <v>0</v>
      </c>
      <c r="E808">
        <f>'Audit Report'!C808</f>
        <v>0</v>
      </c>
      <c r="I808" t="str">
        <f>'Audit Report'!E808</f>
        <v/>
      </c>
      <c r="J808">
        <f>'Audit Report'!G808</f>
        <v>0</v>
      </c>
      <c r="L808" t="str">
        <f>_xlfn.TEXTJOIN(", ", FALSE, 'Audit Report'!J808,'Audit Report'!K808,'Audit Report'!L808)</f>
        <v xml:space="preserve">, , </v>
      </c>
      <c r="M808">
        <f>'Audit Report'!M808</f>
        <v>0</v>
      </c>
      <c r="N808" t="str" cm="1">
        <f t="array" ref="N808">IF(M808="","",
_xlfn.TEXTJOIN(", ",TRUE,
    _xlfn.MAP(_xlfn.TEXTSPLIT(M808,","),_xlfn.LAMBDA(_xlpm.x,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8" t="e">
        <f>'Audit Report'!#REF!</f>
        <v>#REF!</v>
      </c>
      <c r="S808">
        <f>'Audit Report'!N808</f>
        <v>0</v>
      </c>
    </row>
    <row r="809" spans="4:19">
      <c r="D809">
        <f>'Audit Report'!B809</f>
        <v>0</v>
      </c>
      <c r="E809">
        <f>'Audit Report'!C809</f>
        <v>0</v>
      </c>
      <c r="I809" t="str">
        <f>'Audit Report'!E809</f>
        <v/>
      </c>
      <c r="J809">
        <f>'Audit Report'!G809</f>
        <v>0</v>
      </c>
      <c r="L809" t="str">
        <f>_xlfn.TEXTJOIN(", ", FALSE, 'Audit Report'!J809,'Audit Report'!K809,'Audit Report'!L809)</f>
        <v xml:space="preserve">, , </v>
      </c>
      <c r="M809">
        <f>'Audit Report'!M809</f>
        <v>0</v>
      </c>
      <c r="N809" t="str" cm="1">
        <f t="array" ref="N809">IF(M809="","",
_xlfn.TEXTJOIN(", ",TRUE,
    _xlfn.MAP(_xlfn.TEXTSPLIT(M809,","),_xlfn.LAMBDA(_xlpm.x,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9" t="e">
        <f>'Audit Report'!#REF!</f>
        <v>#REF!</v>
      </c>
      <c r="S809">
        <f>'Audit Report'!N809</f>
        <v>0</v>
      </c>
    </row>
    <row r="810" spans="4:19">
      <c r="D810">
        <f>'Audit Report'!B810</f>
        <v>0</v>
      </c>
      <c r="E810">
        <f>'Audit Report'!C810</f>
        <v>0</v>
      </c>
      <c r="I810" t="str">
        <f>'Audit Report'!E810</f>
        <v/>
      </c>
      <c r="J810">
        <f>'Audit Report'!G810</f>
        <v>0</v>
      </c>
      <c r="L810" t="str">
        <f>_xlfn.TEXTJOIN(", ", FALSE, 'Audit Report'!J810,'Audit Report'!K810,'Audit Report'!L810)</f>
        <v xml:space="preserve">, , </v>
      </c>
      <c r="M810">
        <f>'Audit Report'!M810</f>
        <v>0</v>
      </c>
      <c r="N810" t="str" cm="1">
        <f t="array" ref="N810">IF(M810="","",
_xlfn.TEXTJOIN(", ",TRUE,
    _xlfn.MAP(_xlfn.TEXTSPLIT(M810,","),_xlfn.LAMBDA(_xlpm.x,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0" t="e">
        <f>'Audit Report'!#REF!</f>
        <v>#REF!</v>
      </c>
      <c r="S810">
        <f>'Audit Report'!N810</f>
        <v>0</v>
      </c>
    </row>
    <row r="811" spans="4:19">
      <c r="D811">
        <f>'Audit Report'!B811</f>
        <v>0</v>
      </c>
      <c r="E811">
        <f>'Audit Report'!C811</f>
        <v>0</v>
      </c>
      <c r="I811" t="str">
        <f>'Audit Report'!E811</f>
        <v/>
      </c>
      <c r="J811">
        <f>'Audit Report'!G811</f>
        <v>0</v>
      </c>
      <c r="L811" t="str">
        <f>_xlfn.TEXTJOIN(", ", FALSE, 'Audit Report'!J811,'Audit Report'!K811,'Audit Report'!L811)</f>
        <v xml:space="preserve">, , </v>
      </c>
      <c r="M811">
        <f>'Audit Report'!M811</f>
        <v>0</v>
      </c>
      <c r="N811" t="str" cm="1">
        <f t="array" ref="N811">IF(M811="","",
_xlfn.TEXTJOIN(", ",TRUE,
    _xlfn.MAP(_xlfn.TEXTSPLIT(M811,","),_xlfn.LAMBDA(_xlpm.x,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1" t="e">
        <f>'Audit Report'!#REF!</f>
        <v>#REF!</v>
      </c>
      <c r="S811">
        <f>'Audit Report'!N811</f>
        <v>0</v>
      </c>
    </row>
    <row r="812" spans="4:19">
      <c r="D812">
        <f>'Audit Report'!B812</f>
        <v>0</v>
      </c>
      <c r="E812">
        <f>'Audit Report'!C812</f>
        <v>0</v>
      </c>
      <c r="I812" t="str">
        <f>'Audit Report'!E812</f>
        <v/>
      </c>
      <c r="J812">
        <f>'Audit Report'!G812</f>
        <v>0</v>
      </c>
      <c r="L812" t="str">
        <f>_xlfn.TEXTJOIN(", ", FALSE, 'Audit Report'!J812,'Audit Report'!K812,'Audit Report'!L812)</f>
        <v xml:space="preserve">, , </v>
      </c>
      <c r="M812">
        <f>'Audit Report'!M812</f>
        <v>0</v>
      </c>
      <c r="N812" t="str" cm="1">
        <f t="array" ref="N812">IF(M812="","",
_xlfn.TEXTJOIN(", ",TRUE,
    _xlfn.MAP(_xlfn.TEXTSPLIT(M812,","),_xlfn.LAMBDA(_xlpm.x,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2" t="e">
        <f>'Audit Report'!#REF!</f>
        <v>#REF!</v>
      </c>
      <c r="S812">
        <f>'Audit Report'!N812</f>
        <v>0</v>
      </c>
    </row>
    <row r="813" spans="4:19">
      <c r="D813">
        <f>'Audit Report'!B813</f>
        <v>0</v>
      </c>
      <c r="E813">
        <f>'Audit Report'!C813</f>
        <v>0</v>
      </c>
      <c r="I813" t="str">
        <f>'Audit Report'!E813</f>
        <v/>
      </c>
      <c r="J813">
        <f>'Audit Report'!G813</f>
        <v>0</v>
      </c>
      <c r="L813" t="str">
        <f>_xlfn.TEXTJOIN(", ", FALSE, 'Audit Report'!J813,'Audit Report'!K813,'Audit Report'!L813)</f>
        <v xml:space="preserve">, , </v>
      </c>
      <c r="M813">
        <f>'Audit Report'!M813</f>
        <v>0</v>
      </c>
      <c r="N813" t="str" cm="1">
        <f t="array" ref="N813">IF(M813="","",
_xlfn.TEXTJOIN(", ",TRUE,
    _xlfn.MAP(_xlfn.TEXTSPLIT(M813,","),_xlfn.LAMBDA(_xlpm.x,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3" t="e">
        <f>'Audit Report'!#REF!</f>
        <v>#REF!</v>
      </c>
      <c r="S813">
        <f>'Audit Report'!N813</f>
        <v>0</v>
      </c>
    </row>
    <row r="814" spans="4:19">
      <c r="D814">
        <f>'Audit Report'!B814</f>
        <v>0</v>
      </c>
      <c r="E814">
        <f>'Audit Report'!C814</f>
        <v>0</v>
      </c>
      <c r="I814" t="str">
        <f>'Audit Report'!E814</f>
        <v/>
      </c>
      <c r="J814">
        <f>'Audit Report'!G814</f>
        <v>0</v>
      </c>
      <c r="L814" t="str">
        <f>_xlfn.TEXTJOIN(", ", FALSE, 'Audit Report'!J814,'Audit Report'!K814,'Audit Report'!L814)</f>
        <v xml:space="preserve">, , </v>
      </c>
      <c r="M814">
        <f>'Audit Report'!M814</f>
        <v>0</v>
      </c>
      <c r="N814" t="str" cm="1">
        <f t="array" ref="N814">IF(M814="","",
_xlfn.TEXTJOIN(", ",TRUE,
    _xlfn.MAP(_xlfn.TEXTSPLIT(M814,","),_xlfn.LAMBDA(_xlpm.x,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4" t="e">
        <f>'Audit Report'!#REF!</f>
        <v>#REF!</v>
      </c>
      <c r="S814">
        <f>'Audit Report'!N814</f>
        <v>0</v>
      </c>
    </row>
    <row r="815" spans="4:19">
      <c r="D815">
        <f>'Audit Report'!B815</f>
        <v>0</v>
      </c>
      <c r="E815">
        <f>'Audit Report'!C815</f>
        <v>0</v>
      </c>
      <c r="I815" t="str">
        <f>'Audit Report'!E815</f>
        <v/>
      </c>
      <c r="J815">
        <f>'Audit Report'!G815</f>
        <v>0</v>
      </c>
      <c r="L815" t="str">
        <f>_xlfn.TEXTJOIN(", ", FALSE, 'Audit Report'!J815,'Audit Report'!K815,'Audit Report'!L815)</f>
        <v xml:space="preserve">, , </v>
      </c>
      <c r="M815">
        <f>'Audit Report'!M815</f>
        <v>0</v>
      </c>
      <c r="N815" t="str" cm="1">
        <f t="array" ref="N815">IF(M815="","",
_xlfn.TEXTJOIN(", ",TRUE,
    _xlfn.MAP(_xlfn.TEXTSPLIT(M815,","),_xlfn.LAMBDA(_xlpm.x,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5" t="e">
        <f>'Audit Report'!#REF!</f>
        <v>#REF!</v>
      </c>
      <c r="S815">
        <f>'Audit Report'!N815</f>
        <v>0</v>
      </c>
    </row>
    <row r="816" spans="4:19">
      <c r="D816">
        <f>'Audit Report'!B816</f>
        <v>0</v>
      </c>
      <c r="E816">
        <f>'Audit Report'!C816</f>
        <v>0</v>
      </c>
      <c r="I816" t="str">
        <f>'Audit Report'!E816</f>
        <v/>
      </c>
      <c r="J816">
        <f>'Audit Report'!G816</f>
        <v>0</v>
      </c>
      <c r="L816" t="str">
        <f>_xlfn.TEXTJOIN(", ", FALSE, 'Audit Report'!J816,'Audit Report'!K816,'Audit Report'!L816)</f>
        <v xml:space="preserve">, , </v>
      </c>
      <c r="M816">
        <f>'Audit Report'!M816</f>
        <v>0</v>
      </c>
      <c r="N816" t="str" cm="1">
        <f t="array" ref="N816">IF(M816="","",
_xlfn.TEXTJOIN(", ",TRUE,
    _xlfn.MAP(_xlfn.TEXTSPLIT(M816,","),_xlfn.LAMBDA(_xlpm.x,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6" t="e">
        <f>'Audit Report'!#REF!</f>
        <v>#REF!</v>
      </c>
      <c r="S816">
        <f>'Audit Report'!N816</f>
        <v>0</v>
      </c>
    </row>
    <row r="817" spans="4:19">
      <c r="D817">
        <f>'Audit Report'!B817</f>
        <v>0</v>
      </c>
      <c r="E817">
        <f>'Audit Report'!C817</f>
        <v>0</v>
      </c>
      <c r="I817" t="str">
        <f>'Audit Report'!E817</f>
        <v/>
      </c>
      <c r="J817">
        <f>'Audit Report'!G817</f>
        <v>0</v>
      </c>
      <c r="L817" t="str">
        <f>_xlfn.TEXTJOIN(", ", FALSE, 'Audit Report'!J817,'Audit Report'!K817,'Audit Report'!L817)</f>
        <v xml:space="preserve">, , </v>
      </c>
      <c r="M817">
        <f>'Audit Report'!M817</f>
        <v>0</v>
      </c>
      <c r="N817" t="str" cm="1">
        <f t="array" ref="N817">IF(M817="","",
_xlfn.TEXTJOIN(", ",TRUE,
    _xlfn.MAP(_xlfn.TEXTSPLIT(M817,","),_xlfn.LAMBDA(_xlpm.x,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7" t="e">
        <f>'Audit Report'!#REF!</f>
        <v>#REF!</v>
      </c>
      <c r="S817">
        <f>'Audit Report'!N817</f>
        <v>0</v>
      </c>
    </row>
    <row r="818" spans="4:19">
      <c r="D818">
        <f>'Audit Report'!B818</f>
        <v>0</v>
      </c>
      <c r="E818">
        <f>'Audit Report'!C818</f>
        <v>0</v>
      </c>
      <c r="I818" t="str">
        <f>'Audit Report'!E818</f>
        <v/>
      </c>
      <c r="J818">
        <f>'Audit Report'!G818</f>
        <v>0</v>
      </c>
      <c r="L818" t="str">
        <f>_xlfn.TEXTJOIN(", ", FALSE, 'Audit Report'!J818,'Audit Report'!K818,'Audit Report'!L818)</f>
        <v xml:space="preserve">, , </v>
      </c>
      <c r="M818">
        <f>'Audit Report'!M818</f>
        <v>0</v>
      </c>
      <c r="N818" t="str" cm="1">
        <f t="array" ref="N818">IF(M818="","",
_xlfn.TEXTJOIN(", ",TRUE,
    _xlfn.MAP(_xlfn.TEXTSPLIT(M818,","),_xlfn.LAMBDA(_xlpm.x,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8" t="e">
        <f>'Audit Report'!#REF!</f>
        <v>#REF!</v>
      </c>
      <c r="S818">
        <f>'Audit Report'!N818</f>
        <v>0</v>
      </c>
    </row>
    <row r="819" spans="4:19">
      <c r="D819">
        <f>'Audit Report'!B819</f>
        <v>0</v>
      </c>
      <c r="E819">
        <f>'Audit Report'!C819</f>
        <v>0</v>
      </c>
      <c r="I819" t="str">
        <f>'Audit Report'!E819</f>
        <v/>
      </c>
      <c r="J819">
        <f>'Audit Report'!G819</f>
        <v>0</v>
      </c>
      <c r="L819" t="str">
        <f>_xlfn.TEXTJOIN(", ", FALSE, 'Audit Report'!J819,'Audit Report'!K819,'Audit Report'!L819)</f>
        <v xml:space="preserve">, , </v>
      </c>
      <c r="M819">
        <f>'Audit Report'!M819</f>
        <v>0</v>
      </c>
      <c r="N819" t="str" cm="1">
        <f t="array" ref="N819">IF(M819="","",
_xlfn.TEXTJOIN(", ",TRUE,
    _xlfn.MAP(_xlfn.TEXTSPLIT(M819,","),_xlfn.LAMBDA(_xlpm.x,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9" t="e">
        <f>'Audit Report'!#REF!</f>
        <v>#REF!</v>
      </c>
      <c r="S819">
        <f>'Audit Report'!N819</f>
        <v>0</v>
      </c>
    </row>
    <row r="820" spans="4:19">
      <c r="D820">
        <f>'Audit Report'!B820</f>
        <v>0</v>
      </c>
      <c r="E820">
        <f>'Audit Report'!C820</f>
        <v>0</v>
      </c>
      <c r="I820" t="str">
        <f>'Audit Report'!E820</f>
        <v/>
      </c>
      <c r="J820">
        <f>'Audit Report'!G820</f>
        <v>0</v>
      </c>
      <c r="L820" t="str">
        <f>_xlfn.TEXTJOIN(", ", FALSE, 'Audit Report'!J820,'Audit Report'!K820,'Audit Report'!L820)</f>
        <v xml:space="preserve">, , </v>
      </c>
      <c r="M820">
        <f>'Audit Report'!M820</f>
        <v>0</v>
      </c>
      <c r="N820" t="str" cm="1">
        <f t="array" ref="N820">IF(M820="","",
_xlfn.TEXTJOIN(", ",TRUE,
    _xlfn.MAP(_xlfn.TEXTSPLIT(M820,","),_xlfn.LAMBDA(_xlpm.x,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0" t="e">
        <f>'Audit Report'!#REF!</f>
        <v>#REF!</v>
      </c>
      <c r="S820">
        <f>'Audit Report'!N820</f>
        <v>0</v>
      </c>
    </row>
    <row r="821" spans="4:19">
      <c r="D821">
        <f>'Audit Report'!B821</f>
        <v>0</v>
      </c>
      <c r="E821">
        <f>'Audit Report'!C821</f>
        <v>0</v>
      </c>
      <c r="I821" t="str">
        <f>'Audit Report'!E821</f>
        <v/>
      </c>
      <c r="J821">
        <f>'Audit Report'!G821</f>
        <v>0</v>
      </c>
      <c r="L821" t="str">
        <f>_xlfn.TEXTJOIN(", ", FALSE, 'Audit Report'!J821,'Audit Report'!K821,'Audit Report'!L821)</f>
        <v xml:space="preserve">, , </v>
      </c>
      <c r="M821">
        <f>'Audit Report'!M821</f>
        <v>0</v>
      </c>
      <c r="N821" t="str" cm="1">
        <f t="array" ref="N821">IF(M821="","",
_xlfn.TEXTJOIN(", ",TRUE,
    _xlfn.MAP(_xlfn.TEXTSPLIT(M821,","),_xlfn.LAMBDA(_xlpm.x,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1" t="e">
        <f>'Audit Report'!#REF!</f>
        <v>#REF!</v>
      </c>
      <c r="S821">
        <f>'Audit Report'!N821</f>
        <v>0</v>
      </c>
    </row>
    <row r="822" spans="4:19">
      <c r="D822">
        <f>'Audit Report'!B822</f>
        <v>0</v>
      </c>
      <c r="E822">
        <f>'Audit Report'!C822</f>
        <v>0</v>
      </c>
      <c r="I822" t="str">
        <f>'Audit Report'!E822</f>
        <v/>
      </c>
      <c r="J822">
        <f>'Audit Report'!G822</f>
        <v>0</v>
      </c>
      <c r="L822" t="str">
        <f>_xlfn.TEXTJOIN(", ", FALSE, 'Audit Report'!J822,'Audit Report'!K822,'Audit Report'!L822)</f>
        <v xml:space="preserve">, , </v>
      </c>
      <c r="M822">
        <f>'Audit Report'!M822</f>
        <v>0</v>
      </c>
      <c r="N822" t="str" cm="1">
        <f t="array" ref="N822">IF(M822="","",
_xlfn.TEXTJOIN(", ",TRUE,
    _xlfn.MAP(_xlfn.TEXTSPLIT(M822,","),_xlfn.LAMBDA(_xlpm.x,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2" t="e">
        <f>'Audit Report'!#REF!</f>
        <v>#REF!</v>
      </c>
      <c r="S822">
        <f>'Audit Report'!N822</f>
        <v>0</v>
      </c>
    </row>
    <row r="823" spans="4:19">
      <c r="D823">
        <f>'Audit Report'!B823</f>
        <v>0</v>
      </c>
      <c r="E823">
        <f>'Audit Report'!C823</f>
        <v>0</v>
      </c>
      <c r="I823" t="str">
        <f>'Audit Report'!E823</f>
        <v/>
      </c>
      <c r="J823">
        <f>'Audit Report'!G823</f>
        <v>0</v>
      </c>
      <c r="L823" t="str">
        <f>_xlfn.TEXTJOIN(", ", FALSE, 'Audit Report'!J823,'Audit Report'!K823,'Audit Report'!L823)</f>
        <v xml:space="preserve">, , </v>
      </c>
      <c r="M823">
        <f>'Audit Report'!M823</f>
        <v>0</v>
      </c>
      <c r="N823" t="str" cm="1">
        <f t="array" ref="N823">IF(M823="","",
_xlfn.TEXTJOIN(", ",TRUE,
    _xlfn.MAP(_xlfn.TEXTSPLIT(M823,","),_xlfn.LAMBDA(_xlpm.x,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3" t="e">
        <f>'Audit Report'!#REF!</f>
        <v>#REF!</v>
      </c>
      <c r="S823">
        <f>'Audit Report'!N823</f>
        <v>0</v>
      </c>
    </row>
    <row r="824" spans="4:19">
      <c r="D824">
        <f>'Audit Report'!B824</f>
        <v>0</v>
      </c>
      <c r="E824">
        <f>'Audit Report'!C824</f>
        <v>0</v>
      </c>
      <c r="I824" t="str">
        <f>'Audit Report'!E824</f>
        <v/>
      </c>
      <c r="J824">
        <f>'Audit Report'!G824</f>
        <v>0</v>
      </c>
      <c r="L824" t="str">
        <f>_xlfn.TEXTJOIN(", ", FALSE, 'Audit Report'!J824,'Audit Report'!K824,'Audit Report'!L824)</f>
        <v xml:space="preserve">, , </v>
      </c>
      <c r="M824">
        <f>'Audit Report'!M824</f>
        <v>0</v>
      </c>
      <c r="N824" t="str" cm="1">
        <f t="array" ref="N824">IF(M824="","",
_xlfn.TEXTJOIN(", ",TRUE,
    _xlfn.MAP(_xlfn.TEXTSPLIT(M824,","),_xlfn.LAMBDA(_xlpm.x,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4" t="e">
        <f>'Audit Report'!#REF!</f>
        <v>#REF!</v>
      </c>
      <c r="S824">
        <f>'Audit Report'!N824</f>
        <v>0</v>
      </c>
    </row>
    <row r="825" spans="4:19">
      <c r="D825">
        <f>'Audit Report'!B825</f>
        <v>0</v>
      </c>
      <c r="E825">
        <f>'Audit Report'!C825</f>
        <v>0</v>
      </c>
      <c r="I825" t="str">
        <f>'Audit Report'!E825</f>
        <v/>
      </c>
      <c r="J825">
        <f>'Audit Report'!G825</f>
        <v>0</v>
      </c>
      <c r="L825" t="str">
        <f>_xlfn.TEXTJOIN(", ", FALSE, 'Audit Report'!J825,'Audit Report'!K825,'Audit Report'!L825)</f>
        <v xml:space="preserve">, , </v>
      </c>
      <c r="M825">
        <f>'Audit Report'!M825</f>
        <v>0</v>
      </c>
      <c r="N825" t="str" cm="1">
        <f t="array" ref="N825">IF(M825="","",
_xlfn.TEXTJOIN(", ",TRUE,
    _xlfn.MAP(_xlfn.TEXTSPLIT(M825,","),_xlfn.LAMBDA(_xlpm.x,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5" t="e">
        <f>'Audit Report'!#REF!</f>
        <v>#REF!</v>
      </c>
      <c r="S825">
        <f>'Audit Report'!N825</f>
        <v>0</v>
      </c>
    </row>
    <row r="826" spans="4:19">
      <c r="D826">
        <f>'Audit Report'!B826</f>
        <v>0</v>
      </c>
      <c r="E826">
        <f>'Audit Report'!C826</f>
        <v>0</v>
      </c>
      <c r="I826" t="str">
        <f>'Audit Report'!E826</f>
        <v/>
      </c>
      <c r="J826">
        <f>'Audit Report'!G826</f>
        <v>0</v>
      </c>
      <c r="L826" t="str">
        <f>_xlfn.TEXTJOIN(", ", FALSE, 'Audit Report'!J826,'Audit Report'!K826,'Audit Report'!L826)</f>
        <v xml:space="preserve">, , </v>
      </c>
      <c r="M826">
        <f>'Audit Report'!M826</f>
        <v>0</v>
      </c>
      <c r="N826" t="str" cm="1">
        <f t="array" ref="N826">IF(M826="","",
_xlfn.TEXTJOIN(", ",TRUE,
    _xlfn.MAP(_xlfn.TEXTSPLIT(M826,","),_xlfn.LAMBDA(_xlpm.x,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6" t="e">
        <f>'Audit Report'!#REF!</f>
        <v>#REF!</v>
      </c>
      <c r="S826">
        <f>'Audit Report'!N826</f>
        <v>0</v>
      </c>
    </row>
    <row r="827" spans="4:19">
      <c r="D827">
        <f>'Audit Report'!B827</f>
        <v>0</v>
      </c>
      <c r="E827">
        <f>'Audit Report'!C827</f>
        <v>0</v>
      </c>
      <c r="I827" t="str">
        <f>'Audit Report'!E827</f>
        <v/>
      </c>
      <c r="J827">
        <f>'Audit Report'!G827</f>
        <v>0</v>
      </c>
      <c r="L827" t="str">
        <f>_xlfn.TEXTJOIN(", ", FALSE, 'Audit Report'!J827,'Audit Report'!K827,'Audit Report'!L827)</f>
        <v xml:space="preserve">, , </v>
      </c>
      <c r="M827">
        <f>'Audit Report'!M827</f>
        <v>0</v>
      </c>
      <c r="N827" t="str" cm="1">
        <f t="array" ref="N827">IF(M827="","",
_xlfn.TEXTJOIN(", ",TRUE,
    _xlfn.MAP(_xlfn.TEXTSPLIT(M827,","),_xlfn.LAMBDA(_xlpm.x,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7" t="e">
        <f>'Audit Report'!#REF!</f>
        <v>#REF!</v>
      </c>
      <c r="S827">
        <f>'Audit Report'!N827</f>
        <v>0</v>
      </c>
    </row>
    <row r="828" spans="4:19">
      <c r="D828">
        <f>'Audit Report'!B828</f>
        <v>0</v>
      </c>
      <c r="E828">
        <f>'Audit Report'!C828</f>
        <v>0</v>
      </c>
      <c r="I828" t="str">
        <f>'Audit Report'!E828</f>
        <v/>
      </c>
      <c r="J828">
        <f>'Audit Report'!G828</f>
        <v>0</v>
      </c>
      <c r="L828" t="str">
        <f>_xlfn.TEXTJOIN(", ", FALSE, 'Audit Report'!J828,'Audit Report'!K828,'Audit Report'!L828)</f>
        <v xml:space="preserve">, , </v>
      </c>
      <c r="M828">
        <f>'Audit Report'!M828</f>
        <v>0</v>
      </c>
      <c r="N828" t="str" cm="1">
        <f t="array" ref="N828">IF(M828="","",
_xlfn.TEXTJOIN(", ",TRUE,
    _xlfn.MAP(_xlfn.TEXTSPLIT(M828,","),_xlfn.LAMBDA(_xlpm.x,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8" t="e">
        <f>'Audit Report'!#REF!</f>
        <v>#REF!</v>
      </c>
      <c r="S828">
        <f>'Audit Report'!N828</f>
        <v>0</v>
      </c>
    </row>
    <row r="829" spans="4:19">
      <c r="D829">
        <f>'Audit Report'!B829</f>
        <v>0</v>
      </c>
      <c r="E829">
        <f>'Audit Report'!C829</f>
        <v>0</v>
      </c>
      <c r="I829" t="str">
        <f>'Audit Report'!E829</f>
        <v/>
      </c>
      <c r="J829">
        <f>'Audit Report'!G829</f>
        <v>0</v>
      </c>
      <c r="L829" t="str">
        <f>_xlfn.TEXTJOIN(", ", FALSE, 'Audit Report'!J829,'Audit Report'!K829,'Audit Report'!L829)</f>
        <v xml:space="preserve">, , </v>
      </c>
      <c r="M829">
        <f>'Audit Report'!M829</f>
        <v>0</v>
      </c>
      <c r="N829" t="str" cm="1">
        <f t="array" ref="N829">IF(M829="","",
_xlfn.TEXTJOIN(", ",TRUE,
    _xlfn.MAP(_xlfn.TEXTSPLIT(M829,","),_xlfn.LAMBDA(_xlpm.x,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9" t="e">
        <f>'Audit Report'!#REF!</f>
        <v>#REF!</v>
      </c>
      <c r="S829">
        <f>'Audit Report'!N829</f>
        <v>0</v>
      </c>
    </row>
    <row r="830" spans="4:19">
      <c r="D830">
        <f>'Audit Report'!B830</f>
        <v>0</v>
      </c>
      <c r="E830">
        <f>'Audit Report'!C830</f>
        <v>0</v>
      </c>
      <c r="I830" t="str">
        <f>'Audit Report'!E830</f>
        <v/>
      </c>
      <c r="J830">
        <f>'Audit Report'!G830</f>
        <v>0</v>
      </c>
      <c r="L830" t="str">
        <f>_xlfn.TEXTJOIN(", ", FALSE, 'Audit Report'!J830,'Audit Report'!K830,'Audit Report'!L830)</f>
        <v xml:space="preserve">, , </v>
      </c>
      <c r="M830">
        <f>'Audit Report'!M830</f>
        <v>0</v>
      </c>
      <c r="N830" t="str" cm="1">
        <f t="array" ref="N830">IF(M830="","",
_xlfn.TEXTJOIN(", ",TRUE,
    _xlfn.MAP(_xlfn.TEXTSPLIT(M830,","),_xlfn.LAMBDA(_xlpm.x,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0" t="e">
        <f>'Audit Report'!#REF!</f>
        <v>#REF!</v>
      </c>
      <c r="S830">
        <f>'Audit Report'!N830</f>
        <v>0</v>
      </c>
    </row>
    <row r="831" spans="4:19">
      <c r="D831">
        <f>'Audit Report'!B831</f>
        <v>0</v>
      </c>
      <c r="E831">
        <f>'Audit Report'!C831</f>
        <v>0</v>
      </c>
      <c r="I831" t="str">
        <f>'Audit Report'!E831</f>
        <v/>
      </c>
      <c r="J831">
        <f>'Audit Report'!G831</f>
        <v>0</v>
      </c>
      <c r="L831" t="str">
        <f>_xlfn.TEXTJOIN(", ", FALSE, 'Audit Report'!J831,'Audit Report'!K831,'Audit Report'!L831)</f>
        <v xml:space="preserve">, , </v>
      </c>
      <c r="M831">
        <f>'Audit Report'!M831</f>
        <v>0</v>
      </c>
      <c r="N831" t="str" cm="1">
        <f t="array" ref="N831">IF(M831="","",
_xlfn.TEXTJOIN(", ",TRUE,
    _xlfn.MAP(_xlfn.TEXTSPLIT(M831,","),_xlfn.LAMBDA(_xlpm.x,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1" t="e">
        <f>'Audit Report'!#REF!</f>
        <v>#REF!</v>
      </c>
      <c r="S831">
        <f>'Audit Report'!N831</f>
        <v>0</v>
      </c>
    </row>
    <row r="832" spans="4:19">
      <c r="D832">
        <f>'Audit Report'!B832</f>
        <v>0</v>
      </c>
      <c r="E832">
        <f>'Audit Report'!C832</f>
        <v>0</v>
      </c>
      <c r="I832" t="str">
        <f>'Audit Report'!E832</f>
        <v/>
      </c>
      <c r="J832">
        <f>'Audit Report'!G832</f>
        <v>0</v>
      </c>
      <c r="L832" t="str">
        <f>_xlfn.TEXTJOIN(", ", FALSE, 'Audit Report'!J832,'Audit Report'!K832,'Audit Report'!L832)</f>
        <v xml:space="preserve">, , </v>
      </c>
      <c r="M832">
        <f>'Audit Report'!M832</f>
        <v>0</v>
      </c>
      <c r="N832" t="str" cm="1">
        <f t="array" ref="N832">IF(M832="","",
_xlfn.TEXTJOIN(", ",TRUE,
    _xlfn.MAP(_xlfn.TEXTSPLIT(M832,","),_xlfn.LAMBDA(_xlpm.x,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2" t="e">
        <f>'Audit Report'!#REF!</f>
        <v>#REF!</v>
      </c>
      <c r="S832">
        <f>'Audit Report'!N832</f>
        <v>0</v>
      </c>
    </row>
    <row r="833" spans="4:19">
      <c r="D833">
        <f>'Audit Report'!B833</f>
        <v>0</v>
      </c>
      <c r="E833">
        <f>'Audit Report'!C833</f>
        <v>0</v>
      </c>
      <c r="I833" t="str">
        <f>'Audit Report'!E833</f>
        <v/>
      </c>
      <c r="J833">
        <f>'Audit Report'!G833</f>
        <v>0</v>
      </c>
      <c r="L833" t="str">
        <f>_xlfn.TEXTJOIN(", ", FALSE, 'Audit Report'!J833,'Audit Report'!K833,'Audit Report'!L833)</f>
        <v xml:space="preserve">, , </v>
      </c>
      <c r="M833">
        <f>'Audit Report'!M833</f>
        <v>0</v>
      </c>
      <c r="N833" t="str" cm="1">
        <f t="array" ref="N833">IF(M833="","",
_xlfn.TEXTJOIN(", ",TRUE,
    _xlfn.MAP(_xlfn.TEXTSPLIT(M833,","),_xlfn.LAMBDA(_xlpm.x,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3" t="e">
        <f>'Audit Report'!#REF!</f>
        <v>#REF!</v>
      </c>
      <c r="S833">
        <f>'Audit Report'!N833</f>
        <v>0</v>
      </c>
    </row>
    <row r="834" spans="4:19">
      <c r="D834">
        <f>'Audit Report'!B834</f>
        <v>0</v>
      </c>
      <c r="E834">
        <f>'Audit Report'!C834</f>
        <v>0</v>
      </c>
      <c r="I834" t="str">
        <f>'Audit Report'!E834</f>
        <v/>
      </c>
      <c r="J834">
        <f>'Audit Report'!G834</f>
        <v>0</v>
      </c>
      <c r="L834" t="str">
        <f>_xlfn.TEXTJOIN(", ", FALSE, 'Audit Report'!J834,'Audit Report'!K834,'Audit Report'!L834)</f>
        <v xml:space="preserve">, , </v>
      </c>
      <c r="M834">
        <f>'Audit Report'!M834</f>
        <v>0</v>
      </c>
      <c r="N834" t="str" cm="1">
        <f t="array" ref="N834">IF(M834="","",
_xlfn.TEXTJOIN(", ",TRUE,
    _xlfn.MAP(_xlfn.TEXTSPLIT(M834,","),_xlfn.LAMBDA(_xlpm.x,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4" t="e">
        <f>'Audit Report'!#REF!</f>
        <v>#REF!</v>
      </c>
      <c r="S834">
        <f>'Audit Report'!N834</f>
        <v>0</v>
      </c>
    </row>
    <row r="835" spans="4:19">
      <c r="D835">
        <f>'Audit Report'!B835</f>
        <v>0</v>
      </c>
      <c r="E835">
        <f>'Audit Report'!C835</f>
        <v>0</v>
      </c>
      <c r="I835" t="str">
        <f>'Audit Report'!E835</f>
        <v/>
      </c>
      <c r="J835">
        <f>'Audit Report'!G835</f>
        <v>0</v>
      </c>
      <c r="L835" t="str">
        <f>_xlfn.TEXTJOIN(", ", FALSE, 'Audit Report'!J835,'Audit Report'!K835,'Audit Report'!L835)</f>
        <v xml:space="preserve">, , </v>
      </c>
      <c r="M835">
        <f>'Audit Report'!M835</f>
        <v>0</v>
      </c>
      <c r="N835" t="str" cm="1">
        <f t="array" ref="N835">IF(M835="","",
_xlfn.TEXTJOIN(", ",TRUE,
    _xlfn.MAP(_xlfn.TEXTSPLIT(M835,","),_xlfn.LAMBDA(_xlpm.x,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5" t="e">
        <f>'Audit Report'!#REF!</f>
        <v>#REF!</v>
      </c>
      <c r="S835">
        <f>'Audit Report'!N835</f>
        <v>0</v>
      </c>
    </row>
    <row r="836" spans="4:19">
      <c r="D836">
        <f>'Audit Report'!B836</f>
        <v>0</v>
      </c>
      <c r="E836">
        <f>'Audit Report'!C836</f>
        <v>0</v>
      </c>
      <c r="I836" t="str">
        <f>'Audit Report'!E836</f>
        <v/>
      </c>
      <c r="J836">
        <f>'Audit Report'!G836</f>
        <v>0</v>
      </c>
      <c r="L836" t="str">
        <f>_xlfn.TEXTJOIN(", ", FALSE, 'Audit Report'!J836,'Audit Report'!K836,'Audit Report'!L836)</f>
        <v xml:space="preserve">, , </v>
      </c>
      <c r="M836">
        <f>'Audit Report'!M836</f>
        <v>0</v>
      </c>
      <c r="N836" t="str" cm="1">
        <f t="array" ref="N836">IF(M836="","",
_xlfn.TEXTJOIN(", ",TRUE,
    _xlfn.MAP(_xlfn.TEXTSPLIT(M836,","),_xlfn.LAMBDA(_xlpm.x,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6" t="e">
        <f>'Audit Report'!#REF!</f>
        <v>#REF!</v>
      </c>
      <c r="S836">
        <f>'Audit Report'!N836</f>
        <v>0</v>
      </c>
    </row>
    <row r="837" spans="4:19">
      <c r="D837">
        <f>'Audit Report'!B837</f>
        <v>0</v>
      </c>
      <c r="E837">
        <f>'Audit Report'!C837</f>
        <v>0</v>
      </c>
      <c r="I837" t="str">
        <f>'Audit Report'!E837</f>
        <v/>
      </c>
      <c r="J837">
        <f>'Audit Report'!G837</f>
        <v>0</v>
      </c>
      <c r="L837" t="str">
        <f>_xlfn.TEXTJOIN(", ", FALSE, 'Audit Report'!J837,'Audit Report'!K837,'Audit Report'!L837)</f>
        <v xml:space="preserve">, , </v>
      </c>
      <c r="M837">
        <f>'Audit Report'!M837</f>
        <v>0</v>
      </c>
      <c r="N837" t="str" cm="1">
        <f t="array" ref="N837">IF(M837="","",
_xlfn.TEXTJOIN(", ",TRUE,
    _xlfn.MAP(_xlfn.TEXTSPLIT(M837,","),_xlfn.LAMBDA(_xlpm.x,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7" t="e">
        <f>'Audit Report'!#REF!</f>
        <v>#REF!</v>
      </c>
      <c r="S837">
        <f>'Audit Report'!N837</f>
        <v>0</v>
      </c>
    </row>
    <row r="838" spans="4:19">
      <c r="D838">
        <f>'Audit Report'!B838</f>
        <v>0</v>
      </c>
      <c r="E838">
        <f>'Audit Report'!C838</f>
        <v>0</v>
      </c>
      <c r="I838" t="str">
        <f>'Audit Report'!E838</f>
        <v/>
      </c>
      <c r="J838">
        <f>'Audit Report'!G838</f>
        <v>0</v>
      </c>
      <c r="L838" t="str">
        <f>_xlfn.TEXTJOIN(", ", FALSE, 'Audit Report'!J838,'Audit Report'!K838,'Audit Report'!L838)</f>
        <v xml:space="preserve">, , </v>
      </c>
      <c r="M838">
        <f>'Audit Report'!M838</f>
        <v>0</v>
      </c>
      <c r="N838" t="str" cm="1">
        <f t="array" ref="N838">IF(M838="","",
_xlfn.TEXTJOIN(", ",TRUE,
    _xlfn.MAP(_xlfn.TEXTSPLIT(M838,","),_xlfn.LAMBDA(_xlpm.x,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8" t="e">
        <f>'Audit Report'!#REF!</f>
        <v>#REF!</v>
      </c>
      <c r="S838">
        <f>'Audit Report'!N838</f>
        <v>0</v>
      </c>
    </row>
    <row r="839" spans="4:19">
      <c r="D839">
        <f>'Audit Report'!B839</f>
        <v>0</v>
      </c>
      <c r="E839">
        <f>'Audit Report'!C839</f>
        <v>0</v>
      </c>
      <c r="I839" t="str">
        <f>'Audit Report'!E839</f>
        <v/>
      </c>
      <c r="J839">
        <f>'Audit Report'!G839</f>
        <v>0</v>
      </c>
      <c r="L839" t="str">
        <f>_xlfn.TEXTJOIN(", ", FALSE, 'Audit Report'!J839,'Audit Report'!K839,'Audit Report'!L839)</f>
        <v xml:space="preserve">, , </v>
      </c>
      <c r="M839">
        <f>'Audit Report'!M839</f>
        <v>0</v>
      </c>
      <c r="N839" t="str" cm="1">
        <f t="array" ref="N839">IF(M839="","",
_xlfn.TEXTJOIN(", ",TRUE,
    _xlfn.MAP(_xlfn.TEXTSPLIT(M839,","),_xlfn.LAMBDA(_xlpm.x,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9" t="e">
        <f>'Audit Report'!#REF!</f>
        <v>#REF!</v>
      </c>
      <c r="S839">
        <f>'Audit Report'!N839</f>
        <v>0</v>
      </c>
    </row>
    <row r="840" spans="4:19">
      <c r="D840">
        <f>'Audit Report'!B840</f>
        <v>0</v>
      </c>
      <c r="E840">
        <f>'Audit Report'!C840</f>
        <v>0</v>
      </c>
      <c r="I840" t="str">
        <f>'Audit Report'!E840</f>
        <v/>
      </c>
      <c r="J840">
        <f>'Audit Report'!G840</f>
        <v>0</v>
      </c>
      <c r="L840" t="str">
        <f>_xlfn.TEXTJOIN(", ", FALSE, 'Audit Report'!J840,'Audit Report'!K840,'Audit Report'!L840)</f>
        <v xml:space="preserve">, , </v>
      </c>
      <c r="M840">
        <f>'Audit Report'!M840</f>
        <v>0</v>
      </c>
      <c r="N840" t="str" cm="1">
        <f t="array" ref="N840">IF(M840="","",
_xlfn.TEXTJOIN(", ",TRUE,
    _xlfn.MAP(_xlfn.TEXTSPLIT(M840,","),_xlfn.LAMBDA(_xlpm.x,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0" t="e">
        <f>'Audit Report'!#REF!</f>
        <v>#REF!</v>
      </c>
      <c r="S840">
        <f>'Audit Report'!N840</f>
        <v>0</v>
      </c>
    </row>
    <row r="841" spans="4:19">
      <c r="D841">
        <f>'Audit Report'!B841</f>
        <v>0</v>
      </c>
      <c r="E841">
        <f>'Audit Report'!C841</f>
        <v>0</v>
      </c>
      <c r="I841" t="str">
        <f>'Audit Report'!E841</f>
        <v/>
      </c>
      <c r="J841">
        <f>'Audit Report'!G841</f>
        <v>0</v>
      </c>
      <c r="L841" t="str">
        <f>_xlfn.TEXTJOIN(", ", FALSE, 'Audit Report'!J841,'Audit Report'!K841,'Audit Report'!L841)</f>
        <v xml:space="preserve">, , </v>
      </c>
      <c r="M841">
        <f>'Audit Report'!M841</f>
        <v>0</v>
      </c>
      <c r="N841" t="str" cm="1">
        <f t="array" ref="N841">IF(M841="","",
_xlfn.TEXTJOIN(", ",TRUE,
    _xlfn.MAP(_xlfn.TEXTSPLIT(M841,","),_xlfn.LAMBDA(_xlpm.x,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1" t="e">
        <f>'Audit Report'!#REF!</f>
        <v>#REF!</v>
      </c>
      <c r="S841">
        <f>'Audit Report'!N841</f>
        <v>0</v>
      </c>
    </row>
    <row r="842" spans="4:19">
      <c r="D842">
        <f>'Audit Report'!B842</f>
        <v>0</v>
      </c>
      <c r="E842">
        <f>'Audit Report'!C842</f>
        <v>0</v>
      </c>
      <c r="I842" t="str">
        <f>'Audit Report'!E842</f>
        <v/>
      </c>
      <c r="J842">
        <f>'Audit Report'!G842</f>
        <v>0</v>
      </c>
      <c r="L842" t="str">
        <f>_xlfn.TEXTJOIN(", ", FALSE, 'Audit Report'!J842,'Audit Report'!K842,'Audit Report'!L842)</f>
        <v xml:space="preserve">, , </v>
      </c>
      <c r="M842">
        <f>'Audit Report'!M842</f>
        <v>0</v>
      </c>
      <c r="N842" t="str" cm="1">
        <f t="array" ref="N842">IF(M842="","",
_xlfn.TEXTJOIN(", ",TRUE,
    _xlfn.MAP(_xlfn.TEXTSPLIT(M842,","),_xlfn.LAMBDA(_xlpm.x,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2" t="e">
        <f>'Audit Report'!#REF!</f>
        <v>#REF!</v>
      </c>
      <c r="S842">
        <f>'Audit Report'!N842</f>
        <v>0</v>
      </c>
    </row>
    <row r="843" spans="4:19">
      <c r="D843">
        <f>'Audit Report'!B843</f>
        <v>0</v>
      </c>
      <c r="E843">
        <f>'Audit Report'!C843</f>
        <v>0</v>
      </c>
      <c r="I843" t="str">
        <f>'Audit Report'!E843</f>
        <v/>
      </c>
      <c r="J843">
        <f>'Audit Report'!G843</f>
        <v>0</v>
      </c>
      <c r="L843" t="str">
        <f>_xlfn.TEXTJOIN(", ", FALSE, 'Audit Report'!J843,'Audit Report'!K843,'Audit Report'!L843)</f>
        <v xml:space="preserve">, , </v>
      </c>
      <c r="M843">
        <f>'Audit Report'!M843</f>
        <v>0</v>
      </c>
      <c r="N843" t="str" cm="1">
        <f t="array" ref="N843">IF(M843="","",
_xlfn.TEXTJOIN(", ",TRUE,
    _xlfn.MAP(_xlfn.TEXTSPLIT(M843,","),_xlfn.LAMBDA(_xlpm.x,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3" t="e">
        <f>'Audit Report'!#REF!</f>
        <v>#REF!</v>
      </c>
      <c r="S843">
        <f>'Audit Report'!N843</f>
        <v>0</v>
      </c>
    </row>
    <row r="844" spans="4:19">
      <c r="D844">
        <f>'Audit Report'!B844</f>
        <v>0</v>
      </c>
      <c r="E844">
        <f>'Audit Report'!C844</f>
        <v>0</v>
      </c>
      <c r="I844" t="str">
        <f>'Audit Report'!E844</f>
        <v/>
      </c>
      <c r="J844">
        <f>'Audit Report'!G844</f>
        <v>0</v>
      </c>
      <c r="L844" t="str">
        <f>_xlfn.TEXTJOIN(", ", FALSE, 'Audit Report'!J844,'Audit Report'!K844,'Audit Report'!L844)</f>
        <v xml:space="preserve">, , </v>
      </c>
      <c r="M844">
        <f>'Audit Report'!M844</f>
        <v>0</v>
      </c>
      <c r="N844" t="str" cm="1">
        <f t="array" ref="N844">IF(M844="","",
_xlfn.TEXTJOIN(", ",TRUE,
    _xlfn.MAP(_xlfn.TEXTSPLIT(M844,","),_xlfn.LAMBDA(_xlpm.x,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4" t="e">
        <f>'Audit Report'!#REF!</f>
        <v>#REF!</v>
      </c>
      <c r="S844">
        <f>'Audit Report'!N844</f>
        <v>0</v>
      </c>
    </row>
    <row r="845" spans="4:19">
      <c r="D845">
        <f>'Audit Report'!B845</f>
        <v>0</v>
      </c>
      <c r="E845">
        <f>'Audit Report'!C845</f>
        <v>0</v>
      </c>
      <c r="I845" t="str">
        <f>'Audit Report'!E845</f>
        <v/>
      </c>
      <c r="J845">
        <f>'Audit Report'!G845</f>
        <v>0</v>
      </c>
      <c r="L845" t="str">
        <f>_xlfn.TEXTJOIN(", ", FALSE, 'Audit Report'!J845,'Audit Report'!K845,'Audit Report'!L845)</f>
        <v xml:space="preserve">, , </v>
      </c>
      <c r="M845">
        <f>'Audit Report'!M845</f>
        <v>0</v>
      </c>
      <c r="N845" t="str" cm="1">
        <f t="array" ref="N845">IF(M845="","",
_xlfn.TEXTJOIN(", ",TRUE,
    _xlfn.MAP(_xlfn.TEXTSPLIT(M845,","),_xlfn.LAMBDA(_xlpm.x,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5" t="e">
        <f>'Audit Report'!#REF!</f>
        <v>#REF!</v>
      </c>
      <c r="S845">
        <f>'Audit Report'!N845</f>
        <v>0</v>
      </c>
    </row>
    <row r="846" spans="4:19">
      <c r="D846">
        <f>'Audit Report'!B846</f>
        <v>0</v>
      </c>
      <c r="E846">
        <f>'Audit Report'!C846</f>
        <v>0</v>
      </c>
      <c r="I846" t="str">
        <f>'Audit Report'!E846</f>
        <v/>
      </c>
      <c r="J846">
        <f>'Audit Report'!G846</f>
        <v>0</v>
      </c>
      <c r="L846" t="str">
        <f>_xlfn.TEXTJOIN(", ", FALSE, 'Audit Report'!J846,'Audit Report'!K846,'Audit Report'!L846)</f>
        <v xml:space="preserve">, , </v>
      </c>
      <c r="M846">
        <f>'Audit Report'!M846</f>
        <v>0</v>
      </c>
      <c r="N846" t="str" cm="1">
        <f t="array" ref="N846">IF(M846="","",
_xlfn.TEXTJOIN(", ",TRUE,
    _xlfn.MAP(_xlfn.TEXTSPLIT(M846,","),_xlfn.LAMBDA(_xlpm.x,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6" t="e">
        <f>'Audit Report'!#REF!</f>
        <v>#REF!</v>
      </c>
      <c r="S846">
        <f>'Audit Report'!N846</f>
        <v>0</v>
      </c>
    </row>
    <row r="847" spans="4:19">
      <c r="D847">
        <f>'Audit Report'!B847</f>
        <v>0</v>
      </c>
      <c r="E847">
        <f>'Audit Report'!C847</f>
        <v>0</v>
      </c>
      <c r="I847" t="str">
        <f>'Audit Report'!E847</f>
        <v/>
      </c>
      <c r="J847">
        <f>'Audit Report'!G847</f>
        <v>0</v>
      </c>
      <c r="L847" t="str">
        <f>_xlfn.TEXTJOIN(", ", FALSE, 'Audit Report'!J847,'Audit Report'!K847,'Audit Report'!L847)</f>
        <v xml:space="preserve">, , </v>
      </c>
      <c r="M847">
        <f>'Audit Report'!M847</f>
        <v>0</v>
      </c>
      <c r="N847" t="str" cm="1">
        <f t="array" ref="N847">IF(M847="","",
_xlfn.TEXTJOIN(", ",TRUE,
    _xlfn.MAP(_xlfn.TEXTSPLIT(M847,","),_xlfn.LAMBDA(_xlpm.x,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7" t="e">
        <f>'Audit Report'!#REF!</f>
        <v>#REF!</v>
      </c>
      <c r="S847">
        <f>'Audit Report'!N847</f>
        <v>0</v>
      </c>
    </row>
    <row r="848" spans="4:19">
      <c r="D848">
        <f>'Audit Report'!B848</f>
        <v>0</v>
      </c>
      <c r="E848">
        <f>'Audit Report'!C848</f>
        <v>0</v>
      </c>
      <c r="I848" t="str">
        <f>'Audit Report'!E848</f>
        <v/>
      </c>
      <c r="J848">
        <f>'Audit Report'!G848</f>
        <v>0</v>
      </c>
      <c r="L848" t="str">
        <f>_xlfn.TEXTJOIN(", ", FALSE, 'Audit Report'!J848,'Audit Report'!K848,'Audit Report'!L848)</f>
        <v xml:space="preserve">, , </v>
      </c>
      <c r="M848">
        <f>'Audit Report'!M848</f>
        <v>0</v>
      </c>
      <c r="N848" t="str" cm="1">
        <f t="array" ref="N848">IF(M848="","",
_xlfn.TEXTJOIN(", ",TRUE,
    _xlfn.MAP(_xlfn.TEXTSPLIT(M848,","),_xlfn.LAMBDA(_xlpm.x,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8" t="e">
        <f>'Audit Report'!#REF!</f>
        <v>#REF!</v>
      </c>
      <c r="S848">
        <f>'Audit Report'!N848</f>
        <v>0</v>
      </c>
    </row>
    <row r="849" spans="4:19">
      <c r="D849">
        <f>'Audit Report'!B849</f>
        <v>0</v>
      </c>
      <c r="E849">
        <f>'Audit Report'!C849</f>
        <v>0</v>
      </c>
      <c r="I849" t="str">
        <f>'Audit Report'!E849</f>
        <v/>
      </c>
      <c r="J849">
        <f>'Audit Report'!G849</f>
        <v>0</v>
      </c>
      <c r="L849" t="str">
        <f>_xlfn.TEXTJOIN(", ", FALSE, 'Audit Report'!J849,'Audit Report'!K849,'Audit Report'!L849)</f>
        <v xml:space="preserve">, , </v>
      </c>
      <c r="M849">
        <f>'Audit Report'!M849</f>
        <v>0</v>
      </c>
      <c r="N849" t="str" cm="1">
        <f t="array" ref="N849">IF(M849="","",
_xlfn.TEXTJOIN(", ",TRUE,
    _xlfn.MAP(_xlfn.TEXTSPLIT(M849,","),_xlfn.LAMBDA(_xlpm.x,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9" t="e">
        <f>'Audit Report'!#REF!</f>
        <v>#REF!</v>
      </c>
      <c r="S849">
        <f>'Audit Report'!N849</f>
        <v>0</v>
      </c>
    </row>
    <row r="850" spans="4:19">
      <c r="D850">
        <f>'Audit Report'!B850</f>
        <v>0</v>
      </c>
      <c r="E850">
        <f>'Audit Report'!C850</f>
        <v>0</v>
      </c>
      <c r="I850" t="str">
        <f>'Audit Report'!E850</f>
        <v/>
      </c>
      <c r="J850">
        <f>'Audit Report'!G850</f>
        <v>0</v>
      </c>
      <c r="L850" t="str">
        <f>_xlfn.TEXTJOIN(", ", FALSE, 'Audit Report'!J850,'Audit Report'!K850,'Audit Report'!L850)</f>
        <v xml:space="preserve">, , </v>
      </c>
      <c r="M850">
        <f>'Audit Report'!M850</f>
        <v>0</v>
      </c>
      <c r="N850" t="str" cm="1">
        <f t="array" ref="N850">IF(M850="","",
_xlfn.TEXTJOIN(", ",TRUE,
    _xlfn.MAP(_xlfn.TEXTSPLIT(M850,","),_xlfn.LAMBDA(_xlpm.x,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0" t="e">
        <f>'Audit Report'!#REF!</f>
        <v>#REF!</v>
      </c>
      <c r="S850">
        <f>'Audit Report'!N850</f>
        <v>0</v>
      </c>
    </row>
    <row r="851" spans="4:19">
      <c r="D851">
        <f>'Audit Report'!B851</f>
        <v>0</v>
      </c>
      <c r="E851">
        <f>'Audit Report'!C851</f>
        <v>0</v>
      </c>
      <c r="I851" t="str">
        <f>'Audit Report'!E851</f>
        <v/>
      </c>
      <c r="J851">
        <f>'Audit Report'!G851</f>
        <v>0</v>
      </c>
      <c r="L851" t="str">
        <f>_xlfn.TEXTJOIN(", ", FALSE, 'Audit Report'!J851,'Audit Report'!K851,'Audit Report'!L851)</f>
        <v xml:space="preserve">, , </v>
      </c>
      <c r="M851">
        <f>'Audit Report'!M851</f>
        <v>0</v>
      </c>
      <c r="N851" t="str" cm="1">
        <f t="array" ref="N851">IF(M851="","",
_xlfn.TEXTJOIN(", ",TRUE,
    _xlfn.MAP(_xlfn.TEXTSPLIT(M851,","),_xlfn.LAMBDA(_xlpm.x,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1" t="e">
        <f>'Audit Report'!#REF!</f>
        <v>#REF!</v>
      </c>
      <c r="S851">
        <f>'Audit Report'!N851</f>
        <v>0</v>
      </c>
    </row>
    <row r="852" spans="4:19">
      <c r="D852">
        <f>'Audit Report'!B852</f>
        <v>0</v>
      </c>
      <c r="E852">
        <f>'Audit Report'!C852</f>
        <v>0</v>
      </c>
      <c r="I852" t="str">
        <f>'Audit Report'!E852</f>
        <v/>
      </c>
      <c r="J852">
        <f>'Audit Report'!G852</f>
        <v>0</v>
      </c>
      <c r="L852" t="str">
        <f>_xlfn.TEXTJOIN(", ", FALSE, 'Audit Report'!J852,'Audit Report'!K852,'Audit Report'!L852)</f>
        <v xml:space="preserve">, , </v>
      </c>
      <c r="M852">
        <f>'Audit Report'!M852</f>
        <v>0</v>
      </c>
      <c r="N852" t="str" cm="1">
        <f t="array" ref="N852">IF(M852="","",
_xlfn.TEXTJOIN(", ",TRUE,
    _xlfn.MAP(_xlfn.TEXTSPLIT(M852,","),_xlfn.LAMBDA(_xlpm.x,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2" t="e">
        <f>'Audit Report'!#REF!</f>
        <v>#REF!</v>
      </c>
      <c r="S852">
        <f>'Audit Report'!N852</f>
        <v>0</v>
      </c>
    </row>
    <row r="853" spans="4:19">
      <c r="D853">
        <f>'Audit Report'!B853</f>
        <v>0</v>
      </c>
      <c r="E853">
        <f>'Audit Report'!C853</f>
        <v>0</v>
      </c>
      <c r="I853" t="str">
        <f>'Audit Report'!E853</f>
        <v/>
      </c>
      <c r="J853">
        <f>'Audit Report'!G853</f>
        <v>0</v>
      </c>
      <c r="L853" t="str">
        <f>_xlfn.TEXTJOIN(", ", FALSE, 'Audit Report'!J853,'Audit Report'!K853,'Audit Report'!L853)</f>
        <v xml:space="preserve">, , </v>
      </c>
      <c r="M853">
        <f>'Audit Report'!M853</f>
        <v>0</v>
      </c>
      <c r="N853" t="str" cm="1">
        <f t="array" ref="N853">IF(M853="","",
_xlfn.TEXTJOIN(", ",TRUE,
    _xlfn.MAP(_xlfn.TEXTSPLIT(M853,","),_xlfn.LAMBDA(_xlpm.x,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3" t="e">
        <f>'Audit Report'!#REF!</f>
        <v>#REF!</v>
      </c>
      <c r="S853">
        <f>'Audit Report'!N853</f>
        <v>0</v>
      </c>
    </row>
    <row r="854" spans="4:19">
      <c r="D854">
        <f>'Audit Report'!B854</f>
        <v>0</v>
      </c>
      <c r="E854">
        <f>'Audit Report'!C854</f>
        <v>0</v>
      </c>
      <c r="I854" t="str">
        <f>'Audit Report'!E854</f>
        <v/>
      </c>
      <c r="J854">
        <f>'Audit Report'!G854</f>
        <v>0</v>
      </c>
      <c r="L854" t="str">
        <f>_xlfn.TEXTJOIN(", ", FALSE, 'Audit Report'!J854,'Audit Report'!K854,'Audit Report'!L854)</f>
        <v xml:space="preserve">, , </v>
      </c>
      <c r="M854">
        <f>'Audit Report'!M854</f>
        <v>0</v>
      </c>
      <c r="N854" t="str" cm="1">
        <f t="array" ref="N854">IF(M854="","",
_xlfn.TEXTJOIN(", ",TRUE,
    _xlfn.MAP(_xlfn.TEXTSPLIT(M854,","),_xlfn.LAMBDA(_xlpm.x,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4" t="e">
        <f>'Audit Report'!#REF!</f>
        <v>#REF!</v>
      </c>
      <c r="S854">
        <f>'Audit Report'!N854</f>
        <v>0</v>
      </c>
    </row>
    <row r="855" spans="4:19">
      <c r="D855">
        <f>'Audit Report'!B855</f>
        <v>0</v>
      </c>
      <c r="E855">
        <f>'Audit Report'!C855</f>
        <v>0</v>
      </c>
      <c r="I855" t="str">
        <f>'Audit Report'!E855</f>
        <v/>
      </c>
      <c r="J855">
        <f>'Audit Report'!G855</f>
        <v>0</v>
      </c>
      <c r="L855" t="str">
        <f>_xlfn.TEXTJOIN(", ", FALSE, 'Audit Report'!J855,'Audit Report'!K855,'Audit Report'!L855)</f>
        <v xml:space="preserve">, , </v>
      </c>
      <c r="M855">
        <f>'Audit Report'!M855</f>
        <v>0</v>
      </c>
      <c r="N855" t="str" cm="1">
        <f t="array" ref="N855">IF(M855="","",
_xlfn.TEXTJOIN(", ",TRUE,
    _xlfn.MAP(_xlfn.TEXTSPLIT(M855,","),_xlfn.LAMBDA(_xlpm.x,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5" t="e">
        <f>'Audit Report'!#REF!</f>
        <v>#REF!</v>
      </c>
      <c r="S855">
        <f>'Audit Report'!N855</f>
        <v>0</v>
      </c>
    </row>
    <row r="856" spans="4:19">
      <c r="D856">
        <f>'Audit Report'!B856</f>
        <v>0</v>
      </c>
      <c r="E856">
        <f>'Audit Report'!C856</f>
        <v>0</v>
      </c>
      <c r="I856" t="str">
        <f>'Audit Report'!E856</f>
        <v/>
      </c>
      <c r="J856">
        <f>'Audit Report'!G856</f>
        <v>0</v>
      </c>
      <c r="L856" t="str">
        <f>_xlfn.TEXTJOIN(", ", FALSE, 'Audit Report'!J856,'Audit Report'!K856,'Audit Report'!L856)</f>
        <v xml:space="preserve">, , </v>
      </c>
      <c r="M856">
        <f>'Audit Report'!M856</f>
        <v>0</v>
      </c>
      <c r="N856" t="str" cm="1">
        <f t="array" ref="N856">IF(M856="","",
_xlfn.TEXTJOIN(", ",TRUE,
    _xlfn.MAP(_xlfn.TEXTSPLIT(M856,","),_xlfn.LAMBDA(_xlpm.x,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6" t="e">
        <f>'Audit Report'!#REF!</f>
        <v>#REF!</v>
      </c>
      <c r="S856">
        <f>'Audit Report'!N856</f>
        <v>0</v>
      </c>
    </row>
    <row r="857" spans="4:19">
      <c r="D857">
        <f>'Audit Report'!B857</f>
        <v>0</v>
      </c>
      <c r="E857">
        <f>'Audit Report'!C857</f>
        <v>0</v>
      </c>
      <c r="I857" t="str">
        <f>'Audit Report'!E857</f>
        <v/>
      </c>
      <c r="J857">
        <f>'Audit Report'!G857</f>
        <v>0</v>
      </c>
      <c r="L857" t="str">
        <f>_xlfn.TEXTJOIN(", ", FALSE, 'Audit Report'!J857,'Audit Report'!K857,'Audit Report'!L857)</f>
        <v xml:space="preserve">, , </v>
      </c>
      <c r="M857">
        <f>'Audit Report'!M857</f>
        <v>0</v>
      </c>
      <c r="N857" t="str" cm="1">
        <f t="array" ref="N857">IF(M857="","",
_xlfn.TEXTJOIN(", ",TRUE,
    _xlfn.MAP(_xlfn.TEXTSPLIT(M857,","),_xlfn.LAMBDA(_xlpm.x,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7" t="e">
        <f>'Audit Report'!#REF!</f>
        <v>#REF!</v>
      </c>
      <c r="S857">
        <f>'Audit Report'!N857</f>
        <v>0</v>
      </c>
    </row>
    <row r="858" spans="4:19">
      <c r="D858">
        <f>'Audit Report'!B858</f>
        <v>0</v>
      </c>
      <c r="E858">
        <f>'Audit Report'!C858</f>
        <v>0</v>
      </c>
      <c r="I858" t="str">
        <f>'Audit Report'!E858</f>
        <v/>
      </c>
      <c r="J858">
        <f>'Audit Report'!G858</f>
        <v>0</v>
      </c>
      <c r="L858" t="str">
        <f>_xlfn.TEXTJOIN(", ", FALSE, 'Audit Report'!J858,'Audit Report'!K858,'Audit Report'!L858)</f>
        <v xml:space="preserve">, , </v>
      </c>
      <c r="M858">
        <f>'Audit Report'!M858</f>
        <v>0</v>
      </c>
      <c r="N858" t="str" cm="1">
        <f t="array" ref="N858">IF(M858="","",
_xlfn.TEXTJOIN(", ",TRUE,
    _xlfn.MAP(_xlfn.TEXTSPLIT(M858,","),_xlfn.LAMBDA(_xlpm.x,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8" t="e">
        <f>'Audit Report'!#REF!</f>
        <v>#REF!</v>
      </c>
      <c r="S858">
        <f>'Audit Report'!N858</f>
        <v>0</v>
      </c>
    </row>
    <row r="859" spans="4:19">
      <c r="D859">
        <f>'Audit Report'!B859</f>
        <v>0</v>
      </c>
      <c r="E859">
        <f>'Audit Report'!C859</f>
        <v>0</v>
      </c>
      <c r="I859" t="str">
        <f>'Audit Report'!E859</f>
        <v/>
      </c>
      <c r="J859">
        <f>'Audit Report'!G859</f>
        <v>0</v>
      </c>
      <c r="L859" t="str">
        <f>_xlfn.TEXTJOIN(", ", FALSE, 'Audit Report'!J859,'Audit Report'!K859,'Audit Report'!L859)</f>
        <v xml:space="preserve">, , </v>
      </c>
      <c r="M859">
        <f>'Audit Report'!M859</f>
        <v>0</v>
      </c>
      <c r="N859" t="str" cm="1">
        <f t="array" ref="N859">IF(M859="","",
_xlfn.TEXTJOIN(", ",TRUE,
    _xlfn.MAP(_xlfn.TEXTSPLIT(M859,","),_xlfn.LAMBDA(_xlpm.x,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9" t="e">
        <f>'Audit Report'!#REF!</f>
        <v>#REF!</v>
      </c>
      <c r="S859">
        <f>'Audit Report'!N859</f>
        <v>0</v>
      </c>
    </row>
    <row r="860" spans="4:19">
      <c r="D860">
        <f>'Audit Report'!B860</f>
        <v>0</v>
      </c>
      <c r="E860">
        <f>'Audit Report'!C860</f>
        <v>0</v>
      </c>
      <c r="I860" t="str">
        <f>'Audit Report'!E860</f>
        <v/>
      </c>
      <c r="J860">
        <f>'Audit Report'!G860</f>
        <v>0</v>
      </c>
      <c r="L860" t="str">
        <f>_xlfn.TEXTJOIN(", ", FALSE, 'Audit Report'!J860,'Audit Report'!K860,'Audit Report'!L860)</f>
        <v xml:space="preserve">, , </v>
      </c>
      <c r="M860">
        <f>'Audit Report'!M860</f>
        <v>0</v>
      </c>
      <c r="N860" t="str" cm="1">
        <f t="array" ref="N860">IF(M860="","",
_xlfn.TEXTJOIN(", ",TRUE,
    _xlfn.MAP(_xlfn.TEXTSPLIT(M860,","),_xlfn.LAMBDA(_xlpm.x,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0" t="e">
        <f>'Audit Report'!#REF!</f>
        <v>#REF!</v>
      </c>
      <c r="S860">
        <f>'Audit Report'!N860</f>
        <v>0</v>
      </c>
    </row>
    <row r="861" spans="4:19">
      <c r="D861">
        <f>'Audit Report'!B861</f>
        <v>0</v>
      </c>
      <c r="E861">
        <f>'Audit Report'!C861</f>
        <v>0</v>
      </c>
      <c r="I861" t="str">
        <f>'Audit Report'!E861</f>
        <v/>
      </c>
      <c r="J861">
        <f>'Audit Report'!G861</f>
        <v>0</v>
      </c>
      <c r="L861" t="str">
        <f>_xlfn.TEXTJOIN(", ", FALSE, 'Audit Report'!J861,'Audit Report'!K861,'Audit Report'!L861)</f>
        <v xml:space="preserve">, , </v>
      </c>
      <c r="M861">
        <f>'Audit Report'!M861</f>
        <v>0</v>
      </c>
      <c r="N861" t="str" cm="1">
        <f t="array" ref="N861">IF(M861="","",
_xlfn.TEXTJOIN(", ",TRUE,
    _xlfn.MAP(_xlfn.TEXTSPLIT(M861,","),_xlfn.LAMBDA(_xlpm.x,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1" t="e">
        <f>'Audit Report'!#REF!</f>
        <v>#REF!</v>
      </c>
      <c r="S861">
        <f>'Audit Report'!N861</f>
        <v>0</v>
      </c>
    </row>
    <row r="862" spans="4:19">
      <c r="D862">
        <f>'Audit Report'!B862</f>
        <v>0</v>
      </c>
      <c r="E862">
        <f>'Audit Report'!C862</f>
        <v>0</v>
      </c>
      <c r="I862" t="str">
        <f>'Audit Report'!E862</f>
        <v/>
      </c>
      <c r="J862">
        <f>'Audit Report'!G862</f>
        <v>0</v>
      </c>
      <c r="L862" t="str">
        <f>_xlfn.TEXTJOIN(", ", FALSE, 'Audit Report'!J862,'Audit Report'!K862,'Audit Report'!L862)</f>
        <v xml:space="preserve">, , </v>
      </c>
      <c r="M862">
        <f>'Audit Report'!M862</f>
        <v>0</v>
      </c>
      <c r="N862" t="str" cm="1">
        <f t="array" ref="N862">IF(M862="","",
_xlfn.TEXTJOIN(", ",TRUE,
    _xlfn.MAP(_xlfn.TEXTSPLIT(M862,","),_xlfn.LAMBDA(_xlpm.x,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2" t="e">
        <f>'Audit Report'!#REF!</f>
        <v>#REF!</v>
      </c>
      <c r="S862">
        <f>'Audit Report'!N862</f>
        <v>0</v>
      </c>
    </row>
    <row r="863" spans="4:19">
      <c r="D863">
        <f>'Audit Report'!B863</f>
        <v>0</v>
      </c>
      <c r="E863">
        <f>'Audit Report'!C863</f>
        <v>0</v>
      </c>
      <c r="I863" t="str">
        <f>'Audit Report'!E863</f>
        <v/>
      </c>
      <c r="J863">
        <f>'Audit Report'!G863</f>
        <v>0</v>
      </c>
      <c r="L863" t="str">
        <f>_xlfn.TEXTJOIN(", ", FALSE, 'Audit Report'!J863,'Audit Report'!K863,'Audit Report'!L863)</f>
        <v xml:space="preserve">, , </v>
      </c>
      <c r="M863">
        <f>'Audit Report'!M863</f>
        <v>0</v>
      </c>
      <c r="N863" t="str" cm="1">
        <f t="array" ref="N863">IF(M863="","",
_xlfn.TEXTJOIN(", ",TRUE,
    _xlfn.MAP(_xlfn.TEXTSPLIT(M863,","),_xlfn.LAMBDA(_xlpm.x,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3" t="e">
        <f>'Audit Report'!#REF!</f>
        <v>#REF!</v>
      </c>
      <c r="S863">
        <f>'Audit Report'!N863</f>
        <v>0</v>
      </c>
    </row>
    <row r="864" spans="4:19">
      <c r="D864">
        <f>'Audit Report'!B864</f>
        <v>0</v>
      </c>
      <c r="E864">
        <f>'Audit Report'!C864</f>
        <v>0</v>
      </c>
      <c r="I864" t="str">
        <f>'Audit Report'!E864</f>
        <v/>
      </c>
      <c r="J864">
        <f>'Audit Report'!G864</f>
        <v>0</v>
      </c>
      <c r="L864" t="str">
        <f>_xlfn.TEXTJOIN(", ", FALSE, 'Audit Report'!J864,'Audit Report'!K864,'Audit Report'!L864)</f>
        <v xml:space="preserve">, , </v>
      </c>
      <c r="M864">
        <f>'Audit Report'!M864</f>
        <v>0</v>
      </c>
      <c r="N864" t="str" cm="1">
        <f t="array" ref="N864">IF(M864="","",
_xlfn.TEXTJOIN(", ",TRUE,
    _xlfn.MAP(_xlfn.TEXTSPLIT(M864,","),_xlfn.LAMBDA(_xlpm.x,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4" t="e">
        <f>'Audit Report'!#REF!</f>
        <v>#REF!</v>
      </c>
      <c r="S864">
        <f>'Audit Report'!N864</f>
        <v>0</v>
      </c>
    </row>
    <row r="865" spans="4:19">
      <c r="D865">
        <f>'Audit Report'!B865</f>
        <v>0</v>
      </c>
      <c r="E865">
        <f>'Audit Report'!C865</f>
        <v>0</v>
      </c>
      <c r="I865" t="str">
        <f>'Audit Report'!E865</f>
        <v/>
      </c>
      <c r="J865">
        <f>'Audit Report'!G865</f>
        <v>0</v>
      </c>
      <c r="L865" t="str">
        <f>_xlfn.TEXTJOIN(", ", FALSE, 'Audit Report'!J865,'Audit Report'!K865,'Audit Report'!L865)</f>
        <v xml:space="preserve">, , </v>
      </c>
      <c r="M865">
        <f>'Audit Report'!M865</f>
        <v>0</v>
      </c>
      <c r="N865" t="str" cm="1">
        <f t="array" ref="N865">IF(M865="","",
_xlfn.TEXTJOIN(", ",TRUE,
    _xlfn.MAP(_xlfn.TEXTSPLIT(M865,","),_xlfn.LAMBDA(_xlpm.x,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5" t="e">
        <f>'Audit Report'!#REF!</f>
        <v>#REF!</v>
      </c>
      <c r="S865">
        <f>'Audit Report'!N865</f>
        <v>0</v>
      </c>
    </row>
    <row r="866" spans="4:19">
      <c r="D866">
        <f>'Audit Report'!B866</f>
        <v>0</v>
      </c>
      <c r="E866">
        <f>'Audit Report'!C866</f>
        <v>0</v>
      </c>
      <c r="I866" t="str">
        <f>'Audit Report'!E866</f>
        <v/>
      </c>
      <c r="J866">
        <f>'Audit Report'!G866</f>
        <v>0</v>
      </c>
      <c r="L866" t="str">
        <f>_xlfn.TEXTJOIN(", ", FALSE, 'Audit Report'!J866,'Audit Report'!K866,'Audit Report'!L866)</f>
        <v xml:space="preserve">, , </v>
      </c>
      <c r="M866">
        <f>'Audit Report'!M866</f>
        <v>0</v>
      </c>
      <c r="N866" t="str" cm="1">
        <f t="array" ref="N866">IF(M866="","",
_xlfn.TEXTJOIN(", ",TRUE,
    _xlfn.MAP(_xlfn.TEXTSPLIT(M866,","),_xlfn.LAMBDA(_xlpm.x,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6" t="e">
        <f>'Audit Report'!#REF!</f>
        <v>#REF!</v>
      </c>
      <c r="S866">
        <f>'Audit Report'!N866</f>
        <v>0</v>
      </c>
    </row>
    <row r="867" spans="4:19">
      <c r="D867">
        <f>'Audit Report'!B867</f>
        <v>0</v>
      </c>
      <c r="E867">
        <f>'Audit Report'!C867</f>
        <v>0</v>
      </c>
      <c r="I867" t="str">
        <f>'Audit Report'!E867</f>
        <v/>
      </c>
      <c r="J867">
        <f>'Audit Report'!G867</f>
        <v>0</v>
      </c>
      <c r="L867" t="str">
        <f>_xlfn.TEXTJOIN(", ", FALSE, 'Audit Report'!J867,'Audit Report'!K867,'Audit Report'!L867)</f>
        <v xml:space="preserve">, , </v>
      </c>
      <c r="M867">
        <f>'Audit Report'!M867</f>
        <v>0</v>
      </c>
      <c r="N867" t="str" cm="1">
        <f t="array" ref="N867">IF(M867="","",
_xlfn.TEXTJOIN(", ",TRUE,
    _xlfn.MAP(_xlfn.TEXTSPLIT(M867,","),_xlfn.LAMBDA(_xlpm.x,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7" t="e">
        <f>'Audit Report'!#REF!</f>
        <v>#REF!</v>
      </c>
      <c r="S867">
        <f>'Audit Report'!N867</f>
        <v>0</v>
      </c>
    </row>
    <row r="868" spans="4:19">
      <c r="D868">
        <f>'Audit Report'!B868</f>
        <v>0</v>
      </c>
      <c r="E868">
        <f>'Audit Report'!C868</f>
        <v>0</v>
      </c>
      <c r="I868" t="str">
        <f>'Audit Report'!E868</f>
        <v/>
      </c>
      <c r="J868">
        <f>'Audit Report'!G868</f>
        <v>0</v>
      </c>
      <c r="L868" t="str">
        <f>_xlfn.TEXTJOIN(", ", FALSE, 'Audit Report'!J868,'Audit Report'!K868,'Audit Report'!L868)</f>
        <v xml:space="preserve">, , </v>
      </c>
      <c r="M868">
        <f>'Audit Report'!M868</f>
        <v>0</v>
      </c>
      <c r="N868" t="str" cm="1">
        <f t="array" ref="N868">IF(M868="","",
_xlfn.TEXTJOIN(", ",TRUE,
    _xlfn.MAP(_xlfn.TEXTSPLIT(M868,","),_xlfn.LAMBDA(_xlpm.x,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8" t="e">
        <f>'Audit Report'!#REF!</f>
        <v>#REF!</v>
      </c>
      <c r="S868">
        <f>'Audit Report'!N868</f>
        <v>0</v>
      </c>
    </row>
    <row r="869" spans="4:19">
      <c r="D869">
        <f>'Audit Report'!B869</f>
        <v>0</v>
      </c>
      <c r="E869">
        <f>'Audit Report'!C869</f>
        <v>0</v>
      </c>
      <c r="I869" t="str">
        <f>'Audit Report'!E869</f>
        <v/>
      </c>
      <c r="J869">
        <f>'Audit Report'!G869</f>
        <v>0</v>
      </c>
      <c r="L869" t="str">
        <f>_xlfn.TEXTJOIN(", ", FALSE, 'Audit Report'!J869,'Audit Report'!K869,'Audit Report'!L869)</f>
        <v xml:space="preserve">, , </v>
      </c>
      <c r="M869">
        <f>'Audit Report'!M869</f>
        <v>0</v>
      </c>
      <c r="N869" t="str" cm="1">
        <f t="array" ref="N869">IF(M869="","",
_xlfn.TEXTJOIN(", ",TRUE,
    _xlfn.MAP(_xlfn.TEXTSPLIT(M869,","),_xlfn.LAMBDA(_xlpm.x,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9" t="e">
        <f>'Audit Report'!#REF!</f>
        <v>#REF!</v>
      </c>
      <c r="S869">
        <f>'Audit Report'!N869</f>
        <v>0</v>
      </c>
    </row>
    <row r="870" spans="4:19">
      <c r="D870">
        <f>'Audit Report'!B870</f>
        <v>0</v>
      </c>
      <c r="E870">
        <f>'Audit Report'!C870</f>
        <v>0</v>
      </c>
      <c r="I870" t="str">
        <f>'Audit Report'!E870</f>
        <v/>
      </c>
      <c r="J870">
        <f>'Audit Report'!G870</f>
        <v>0</v>
      </c>
      <c r="L870" t="str">
        <f>_xlfn.TEXTJOIN(", ", FALSE, 'Audit Report'!J870,'Audit Report'!K870,'Audit Report'!L870)</f>
        <v xml:space="preserve">, , </v>
      </c>
      <c r="M870">
        <f>'Audit Report'!M870</f>
        <v>0</v>
      </c>
      <c r="N870" t="str" cm="1">
        <f t="array" ref="N870">IF(M870="","",
_xlfn.TEXTJOIN(", ",TRUE,
    _xlfn.MAP(_xlfn.TEXTSPLIT(M870,","),_xlfn.LAMBDA(_xlpm.x,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0" t="e">
        <f>'Audit Report'!#REF!</f>
        <v>#REF!</v>
      </c>
      <c r="S870">
        <f>'Audit Report'!N870</f>
        <v>0</v>
      </c>
    </row>
    <row r="871" spans="4:19">
      <c r="D871">
        <f>'Audit Report'!B871</f>
        <v>0</v>
      </c>
      <c r="E871">
        <f>'Audit Report'!C871</f>
        <v>0</v>
      </c>
      <c r="I871" t="str">
        <f>'Audit Report'!E871</f>
        <v/>
      </c>
      <c r="J871">
        <f>'Audit Report'!G871</f>
        <v>0</v>
      </c>
      <c r="L871" t="str">
        <f>_xlfn.TEXTJOIN(", ", FALSE, 'Audit Report'!J871,'Audit Report'!K871,'Audit Report'!L871)</f>
        <v xml:space="preserve">, , </v>
      </c>
      <c r="M871">
        <f>'Audit Report'!M871</f>
        <v>0</v>
      </c>
      <c r="N871" t="str" cm="1">
        <f t="array" ref="N871">IF(M871="","",
_xlfn.TEXTJOIN(", ",TRUE,
    _xlfn.MAP(_xlfn.TEXTSPLIT(M871,","),_xlfn.LAMBDA(_xlpm.x,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1" t="e">
        <f>'Audit Report'!#REF!</f>
        <v>#REF!</v>
      </c>
      <c r="S871">
        <f>'Audit Report'!N871</f>
        <v>0</v>
      </c>
    </row>
    <row r="872" spans="4:19">
      <c r="D872">
        <f>'Audit Report'!B872</f>
        <v>0</v>
      </c>
      <c r="E872">
        <f>'Audit Report'!C872</f>
        <v>0</v>
      </c>
      <c r="I872" t="str">
        <f>'Audit Report'!E872</f>
        <v/>
      </c>
      <c r="J872">
        <f>'Audit Report'!G872</f>
        <v>0</v>
      </c>
      <c r="L872" t="str">
        <f>_xlfn.TEXTJOIN(", ", FALSE, 'Audit Report'!J872,'Audit Report'!K872,'Audit Report'!L872)</f>
        <v xml:space="preserve">, , </v>
      </c>
      <c r="M872">
        <f>'Audit Report'!M872</f>
        <v>0</v>
      </c>
      <c r="N872" t="str" cm="1">
        <f t="array" ref="N872">IF(M872="","",
_xlfn.TEXTJOIN(", ",TRUE,
    _xlfn.MAP(_xlfn.TEXTSPLIT(M872,","),_xlfn.LAMBDA(_xlpm.x,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2" t="e">
        <f>'Audit Report'!#REF!</f>
        <v>#REF!</v>
      </c>
      <c r="S872">
        <f>'Audit Report'!N872</f>
        <v>0</v>
      </c>
    </row>
    <row r="873" spans="4:19">
      <c r="D873">
        <f>'Audit Report'!B873</f>
        <v>0</v>
      </c>
      <c r="E873">
        <f>'Audit Report'!C873</f>
        <v>0</v>
      </c>
      <c r="I873" t="str">
        <f>'Audit Report'!E873</f>
        <v/>
      </c>
      <c r="J873">
        <f>'Audit Report'!G873</f>
        <v>0</v>
      </c>
      <c r="L873" t="str">
        <f>_xlfn.TEXTJOIN(", ", FALSE, 'Audit Report'!J873,'Audit Report'!K873,'Audit Report'!L873)</f>
        <v xml:space="preserve">, , </v>
      </c>
      <c r="M873">
        <f>'Audit Report'!M873</f>
        <v>0</v>
      </c>
      <c r="N873" t="str" cm="1">
        <f t="array" ref="N873">IF(M873="","",
_xlfn.TEXTJOIN(", ",TRUE,
    _xlfn.MAP(_xlfn.TEXTSPLIT(M873,","),_xlfn.LAMBDA(_xlpm.x,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3" t="e">
        <f>'Audit Report'!#REF!</f>
        <v>#REF!</v>
      </c>
      <c r="S873">
        <f>'Audit Report'!N873</f>
        <v>0</v>
      </c>
    </row>
    <row r="874" spans="4:19">
      <c r="D874">
        <f>'Audit Report'!B874</f>
        <v>0</v>
      </c>
      <c r="E874">
        <f>'Audit Report'!C874</f>
        <v>0</v>
      </c>
      <c r="I874" t="str">
        <f>'Audit Report'!E874</f>
        <v/>
      </c>
      <c r="J874">
        <f>'Audit Report'!G874</f>
        <v>0</v>
      </c>
      <c r="L874" t="str">
        <f>_xlfn.TEXTJOIN(", ", FALSE, 'Audit Report'!J874,'Audit Report'!K874,'Audit Report'!L874)</f>
        <v xml:space="preserve">, , </v>
      </c>
      <c r="M874">
        <f>'Audit Report'!M874</f>
        <v>0</v>
      </c>
      <c r="N874" t="str" cm="1">
        <f t="array" ref="N874">IF(M874="","",
_xlfn.TEXTJOIN(", ",TRUE,
    _xlfn.MAP(_xlfn.TEXTSPLIT(M874,","),_xlfn.LAMBDA(_xlpm.x,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4" t="e">
        <f>'Audit Report'!#REF!</f>
        <v>#REF!</v>
      </c>
      <c r="S874">
        <f>'Audit Report'!N874</f>
        <v>0</v>
      </c>
    </row>
    <row r="875" spans="4:19">
      <c r="D875">
        <f>'Audit Report'!B875</f>
        <v>0</v>
      </c>
      <c r="E875">
        <f>'Audit Report'!C875</f>
        <v>0</v>
      </c>
      <c r="I875" t="str">
        <f>'Audit Report'!E875</f>
        <v/>
      </c>
      <c r="J875">
        <f>'Audit Report'!G875</f>
        <v>0</v>
      </c>
      <c r="L875" t="str">
        <f>_xlfn.TEXTJOIN(", ", FALSE, 'Audit Report'!J875,'Audit Report'!K875,'Audit Report'!L875)</f>
        <v xml:space="preserve">, , </v>
      </c>
      <c r="M875">
        <f>'Audit Report'!M875</f>
        <v>0</v>
      </c>
      <c r="N875" t="str" cm="1">
        <f t="array" ref="N875">IF(M875="","",
_xlfn.TEXTJOIN(", ",TRUE,
    _xlfn.MAP(_xlfn.TEXTSPLIT(M875,","),_xlfn.LAMBDA(_xlpm.x,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5" t="e">
        <f>'Audit Report'!#REF!</f>
        <v>#REF!</v>
      </c>
      <c r="S875">
        <f>'Audit Report'!N875</f>
        <v>0</v>
      </c>
    </row>
    <row r="876" spans="4:19">
      <c r="D876">
        <f>'Audit Report'!B876</f>
        <v>0</v>
      </c>
      <c r="E876">
        <f>'Audit Report'!C876</f>
        <v>0</v>
      </c>
      <c r="I876" t="str">
        <f>'Audit Report'!E876</f>
        <v/>
      </c>
      <c r="J876">
        <f>'Audit Report'!G876</f>
        <v>0</v>
      </c>
      <c r="L876" t="str">
        <f>_xlfn.TEXTJOIN(", ", FALSE, 'Audit Report'!J876,'Audit Report'!K876,'Audit Report'!L876)</f>
        <v xml:space="preserve">, , </v>
      </c>
      <c r="M876">
        <f>'Audit Report'!M876</f>
        <v>0</v>
      </c>
      <c r="N876" t="str" cm="1">
        <f t="array" ref="N876">IF(M876="","",
_xlfn.TEXTJOIN(", ",TRUE,
    _xlfn.MAP(_xlfn.TEXTSPLIT(M876,","),_xlfn.LAMBDA(_xlpm.x,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6" t="e">
        <f>'Audit Report'!#REF!</f>
        <v>#REF!</v>
      </c>
      <c r="S876">
        <f>'Audit Report'!N876</f>
        <v>0</v>
      </c>
    </row>
    <row r="877" spans="4:19">
      <c r="D877">
        <f>'Audit Report'!B877</f>
        <v>0</v>
      </c>
      <c r="E877">
        <f>'Audit Report'!C877</f>
        <v>0</v>
      </c>
      <c r="I877" t="str">
        <f>'Audit Report'!E877</f>
        <v/>
      </c>
      <c r="J877">
        <f>'Audit Report'!G877</f>
        <v>0</v>
      </c>
      <c r="L877" t="str">
        <f>_xlfn.TEXTJOIN(", ", FALSE, 'Audit Report'!J877,'Audit Report'!K877,'Audit Report'!L877)</f>
        <v xml:space="preserve">, , </v>
      </c>
      <c r="M877">
        <f>'Audit Report'!M877</f>
        <v>0</v>
      </c>
      <c r="N877" t="str" cm="1">
        <f t="array" ref="N877">IF(M877="","",
_xlfn.TEXTJOIN(", ",TRUE,
    _xlfn.MAP(_xlfn.TEXTSPLIT(M877,","),_xlfn.LAMBDA(_xlpm.x,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7" t="e">
        <f>'Audit Report'!#REF!</f>
        <v>#REF!</v>
      </c>
      <c r="S877">
        <f>'Audit Report'!N877</f>
        <v>0</v>
      </c>
    </row>
    <row r="878" spans="4:19">
      <c r="D878">
        <f>'Audit Report'!B878</f>
        <v>0</v>
      </c>
      <c r="E878">
        <f>'Audit Report'!C878</f>
        <v>0</v>
      </c>
      <c r="I878" t="str">
        <f>'Audit Report'!E878</f>
        <v/>
      </c>
      <c r="J878">
        <f>'Audit Report'!G878</f>
        <v>0</v>
      </c>
      <c r="L878" t="str">
        <f>_xlfn.TEXTJOIN(", ", FALSE, 'Audit Report'!J878,'Audit Report'!K878,'Audit Report'!L878)</f>
        <v xml:space="preserve">, , </v>
      </c>
      <c r="M878">
        <f>'Audit Report'!M878</f>
        <v>0</v>
      </c>
      <c r="N878" t="str" cm="1">
        <f t="array" ref="N878">IF(M878="","",
_xlfn.TEXTJOIN(", ",TRUE,
    _xlfn.MAP(_xlfn.TEXTSPLIT(M878,","),_xlfn.LAMBDA(_xlpm.x,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8" t="e">
        <f>'Audit Report'!#REF!</f>
        <v>#REF!</v>
      </c>
      <c r="S878">
        <f>'Audit Report'!N878</f>
        <v>0</v>
      </c>
    </row>
    <row r="879" spans="4:19">
      <c r="D879">
        <f>'Audit Report'!B879</f>
        <v>0</v>
      </c>
      <c r="E879">
        <f>'Audit Report'!C879</f>
        <v>0</v>
      </c>
      <c r="I879" t="str">
        <f>'Audit Report'!E879</f>
        <v/>
      </c>
      <c r="J879">
        <f>'Audit Report'!G879</f>
        <v>0</v>
      </c>
      <c r="L879" t="str">
        <f>_xlfn.TEXTJOIN(", ", FALSE, 'Audit Report'!J879,'Audit Report'!K879,'Audit Report'!L879)</f>
        <v xml:space="preserve">, , </v>
      </c>
      <c r="M879">
        <f>'Audit Report'!M879</f>
        <v>0</v>
      </c>
      <c r="N879" t="str" cm="1">
        <f t="array" ref="N879">IF(M879="","",
_xlfn.TEXTJOIN(", ",TRUE,
    _xlfn.MAP(_xlfn.TEXTSPLIT(M879,","),_xlfn.LAMBDA(_xlpm.x,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9" t="e">
        <f>'Audit Report'!#REF!</f>
        <v>#REF!</v>
      </c>
      <c r="S879">
        <f>'Audit Report'!N879</f>
        <v>0</v>
      </c>
    </row>
    <row r="880" spans="4:19">
      <c r="D880">
        <f>'Audit Report'!B880</f>
        <v>0</v>
      </c>
      <c r="E880">
        <f>'Audit Report'!C880</f>
        <v>0</v>
      </c>
      <c r="I880" t="str">
        <f>'Audit Report'!E880</f>
        <v/>
      </c>
      <c r="J880">
        <f>'Audit Report'!G880</f>
        <v>0</v>
      </c>
      <c r="L880" t="str">
        <f>_xlfn.TEXTJOIN(", ", FALSE, 'Audit Report'!J880,'Audit Report'!K880,'Audit Report'!L880)</f>
        <v xml:space="preserve">, , </v>
      </c>
      <c r="M880">
        <f>'Audit Report'!M880</f>
        <v>0</v>
      </c>
      <c r="N880" t="str" cm="1">
        <f t="array" ref="N880">IF(M880="","",
_xlfn.TEXTJOIN(", ",TRUE,
    _xlfn.MAP(_xlfn.TEXTSPLIT(M880,","),_xlfn.LAMBDA(_xlpm.x,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0" t="e">
        <f>'Audit Report'!#REF!</f>
        <v>#REF!</v>
      </c>
      <c r="S880">
        <f>'Audit Report'!N880</f>
        <v>0</v>
      </c>
    </row>
    <row r="881" spans="4:19">
      <c r="D881">
        <f>'Audit Report'!B881</f>
        <v>0</v>
      </c>
      <c r="E881">
        <f>'Audit Report'!C881</f>
        <v>0</v>
      </c>
      <c r="I881" t="str">
        <f>'Audit Report'!E881</f>
        <v/>
      </c>
      <c r="J881">
        <f>'Audit Report'!G881</f>
        <v>0</v>
      </c>
      <c r="L881" t="str">
        <f>_xlfn.TEXTJOIN(", ", FALSE, 'Audit Report'!J881,'Audit Report'!K881,'Audit Report'!L881)</f>
        <v xml:space="preserve">, , </v>
      </c>
      <c r="M881">
        <f>'Audit Report'!M881</f>
        <v>0</v>
      </c>
      <c r="N881" t="str" cm="1">
        <f t="array" ref="N881">IF(M881="","",
_xlfn.TEXTJOIN(", ",TRUE,
    _xlfn.MAP(_xlfn.TEXTSPLIT(M881,","),_xlfn.LAMBDA(_xlpm.x,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1" t="e">
        <f>'Audit Report'!#REF!</f>
        <v>#REF!</v>
      </c>
      <c r="S881">
        <f>'Audit Report'!N881</f>
        <v>0</v>
      </c>
    </row>
    <row r="882" spans="4:19">
      <c r="D882">
        <f>'Audit Report'!B882</f>
        <v>0</v>
      </c>
      <c r="E882">
        <f>'Audit Report'!C882</f>
        <v>0</v>
      </c>
      <c r="I882">
        <f>'Audit Report'!E882</f>
        <v>0</v>
      </c>
      <c r="J882">
        <f>'Audit Report'!G882</f>
        <v>0</v>
      </c>
      <c r="L882" t="str">
        <f>_xlfn.TEXTJOIN(", ", FALSE, 'Audit Report'!J882,'Audit Report'!K882,'Audit Report'!L882)</f>
        <v xml:space="preserve">, , </v>
      </c>
      <c r="M882">
        <f>'Audit Report'!M882</f>
        <v>0</v>
      </c>
      <c r="N882" t="str" cm="1">
        <f t="array" ref="N882">IF(M882="","",
_xlfn.TEXTJOIN(", ",TRUE,
    _xlfn.MAP(_xlfn.TEXTSPLIT(M882,","),_xlfn.LAMBDA(_xlpm.x,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2" t="e">
        <f>'Audit Report'!#REF!</f>
        <v>#REF!</v>
      </c>
      <c r="S882">
        <f>'Audit Report'!N882</f>
        <v>0</v>
      </c>
    </row>
    <row r="883" spans="4:19">
      <c r="D883">
        <f>'Audit Report'!B883</f>
        <v>0</v>
      </c>
      <c r="E883">
        <f>'Audit Report'!C883</f>
        <v>0</v>
      </c>
      <c r="I883">
        <f>'Audit Report'!E883</f>
        <v>0</v>
      </c>
      <c r="J883">
        <f>'Audit Report'!G883</f>
        <v>0</v>
      </c>
      <c r="L883" t="str">
        <f>_xlfn.TEXTJOIN(", ", FALSE, 'Audit Report'!J883,'Audit Report'!K883,'Audit Report'!L883)</f>
        <v xml:space="preserve">, , </v>
      </c>
      <c r="M883">
        <f>'Audit Report'!M883</f>
        <v>0</v>
      </c>
      <c r="N883" t="str" cm="1">
        <f t="array" ref="N883">IF(M883="","",
_xlfn.TEXTJOIN(", ",TRUE,
    _xlfn.MAP(_xlfn.TEXTSPLIT(M883,","),_xlfn.LAMBDA(_xlpm.x,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3" t="e">
        <f>'Audit Report'!#REF!</f>
        <v>#REF!</v>
      </c>
      <c r="S883">
        <f>'Audit Report'!N883</f>
        <v>0</v>
      </c>
    </row>
    <row r="884" spans="4:19">
      <c r="D884">
        <f>'Audit Report'!B884</f>
        <v>0</v>
      </c>
      <c r="E884">
        <f>'Audit Report'!C884</f>
        <v>0</v>
      </c>
      <c r="I884">
        <f>'Audit Report'!E884</f>
        <v>0</v>
      </c>
      <c r="J884">
        <f>'Audit Report'!G884</f>
        <v>0</v>
      </c>
      <c r="L884" t="str">
        <f>_xlfn.TEXTJOIN(", ", FALSE, 'Audit Report'!J884,'Audit Report'!K884,'Audit Report'!L884)</f>
        <v xml:space="preserve">, , </v>
      </c>
      <c r="M884">
        <f>'Audit Report'!M884</f>
        <v>0</v>
      </c>
      <c r="N884" t="str" cm="1">
        <f t="array" ref="N884">IF(M884="","",
_xlfn.TEXTJOIN(", ",TRUE,
    _xlfn.MAP(_xlfn.TEXTSPLIT(M884,","),_xlfn.LAMBDA(_xlpm.x,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4" t="e">
        <f>'Audit Report'!#REF!</f>
        <v>#REF!</v>
      </c>
      <c r="S884">
        <f>'Audit Report'!N884</f>
        <v>0</v>
      </c>
    </row>
    <row r="885" spans="4:19">
      <c r="D885">
        <f>'Audit Report'!B885</f>
        <v>0</v>
      </c>
      <c r="E885">
        <f>'Audit Report'!C885</f>
        <v>0</v>
      </c>
      <c r="I885">
        <f>'Audit Report'!E885</f>
        <v>0</v>
      </c>
      <c r="J885">
        <f>'Audit Report'!G885</f>
        <v>0</v>
      </c>
      <c r="L885" t="str">
        <f>_xlfn.TEXTJOIN(", ", FALSE, 'Audit Report'!J885,'Audit Report'!K885,'Audit Report'!L885)</f>
        <v xml:space="preserve">, , </v>
      </c>
      <c r="M885">
        <f>'Audit Report'!M885</f>
        <v>0</v>
      </c>
      <c r="N885" t="str" cm="1">
        <f t="array" ref="N885">IF(M885="","",
_xlfn.TEXTJOIN(", ",TRUE,
    _xlfn.MAP(_xlfn.TEXTSPLIT(M885,","),_xlfn.LAMBDA(_xlpm.x,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5" t="e">
        <f>'Audit Report'!#REF!</f>
        <v>#REF!</v>
      </c>
      <c r="S885">
        <f>'Audit Report'!N885</f>
        <v>0</v>
      </c>
    </row>
    <row r="886" spans="4:19">
      <c r="D886">
        <f>'Audit Report'!B886</f>
        <v>0</v>
      </c>
      <c r="E886">
        <f>'Audit Report'!C886</f>
        <v>0</v>
      </c>
      <c r="I886">
        <f>'Audit Report'!E886</f>
        <v>0</v>
      </c>
      <c r="J886">
        <f>'Audit Report'!G886</f>
        <v>0</v>
      </c>
      <c r="L886" t="str">
        <f>_xlfn.TEXTJOIN(", ", FALSE, 'Audit Report'!J886,'Audit Report'!K886,'Audit Report'!L886)</f>
        <v xml:space="preserve">, , </v>
      </c>
      <c r="M886">
        <f>'Audit Report'!M886</f>
        <v>0</v>
      </c>
      <c r="N886" t="str" cm="1">
        <f t="array" ref="N886">IF(M886="","",
_xlfn.TEXTJOIN(", ",TRUE,
    _xlfn.MAP(_xlfn.TEXTSPLIT(M886,","),_xlfn.LAMBDA(_xlpm.x,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6" t="e">
        <f>'Audit Report'!#REF!</f>
        <v>#REF!</v>
      </c>
      <c r="S886">
        <f>'Audit Report'!N886</f>
        <v>0</v>
      </c>
    </row>
    <row r="887" spans="4:19">
      <c r="D887">
        <f>'Audit Report'!B887</f>
        <v>0</v>
      </c>
      <c r="E887">
        <f>'Audit Report'!C887</f>
        <v>0</v>
      </c>
      <c r="I887">
        <f>'Audit Report'!E887</f>
        <v>0</v>
      </c>
      <c r="J887">
        <f>'Audit Report'!G887</f>
        <v>0</v>
      </c>
      <c r="L887" t="str">
        <f>_xlfn.TEXTJOIN(", ", FALSE, 'Audit Report'!J887,'Audit Report'!K887,'Audit Report'!L887)</f>
        <v xml:space="preserve">, , </v>
      </c>
      <c r="M887">
        <f>'Audit Report'!M887</f>
        <v>0</v>
      </c>
      <c r="N887" t="str" cm="1">
        <f t="array" ref="N887">IF(M887="","",
_xlfn.TEXTJOIN(", ",TRUE,
    _xlfn.MAP(_xlfn.TEXTSPLIT(M887,","),_xlfn.LAMBDA(_xlpm.x,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7" t="e">
        <f>'Audit Report'!#REF!</f>
        <v>#REF!</v>
      </c>
      <c r="S887">
        <f>'Audit Report'!N887</f>
        <v>0</v>
      </c>
    </row>
    <row r="888" spans="4:19">
      <c r="D888">
        <f>'Audit Report'!B888</f>
        <v>0</v>
      </c>
      <c r="E888">
        <f>'Audit Report'!C888</f>
        <v>0</v>
      </c>
      <c r="I888">
        <f>'Audit Report'!E888</f>
        <v>0</v>
      </c>
      <c r="J888">
        <f>'Audit Report'!G888</f>
        <v>0</v>
      </c>
      <c r="L888" t="str">
        <f>_xlfn.TEXTJOIN(", ", FALSE, 'Audit Report'!J888,'Audit Report'!K888,'Audit Report'!L888)</f>
        <v xml:space="preserve">, , </v>
      </c>
      <c r="M888">
        <f>'Audit Report'!M888</f>
        <v>0</v>
      </c>
      <c r="N888" t="str" cm="1">
        <f t="array" ref="N888">IF(M888="","",
_xlfn.TEXTJOIN(", ",TRUE,
    _xlfn.MAP(_xlfn.TEXTSPLIT(M888,","),_xlfn.LAMBDA(_xlpm.x,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8" t="e">
        <f>'Audit Report'!#REF!</f>
        <v>#REF!</v>
      </c>
      <c r="S888">
        <f>'Audit Report'!N888</f>
        <v>0</v>
      </c>
    </row>
    <row r="889" spans="4:19">
      <c r="D889">
        <f>'Audit Report'!B889</f>
        <v>0</v>
      </c>
      <c r="E889">
        <f>'Audit Report'!C889</f>
        <v>0</v>
      </c>
      <c r="I889">
        <f>'Audit Report'!E889</f>
        <v>0</v>
      </c>
      <c r="J889">
        <f>'Audit Report'!G889</f>
        <v>0</v>
      </c>
      <c r="L889" t="str">
        <f>_xlfn.TEXTJOIN(", ", FALSE, 'Audit Report'!J889,'Audit Report'!K889,'Audit Report'!L889)</f>
        <v xml:space="preserve">, , </v>
      </c>
      <c r="M889">
        <f>'Audit Report'!M889</f>
        <v>0</v>
      </c>
      <c r="N889" t="str" cm="1">
        <f t="array" ref="N889">IF(M889="","",
_xlfn.TEXTJOIN(", ",TRUE,
    _xlfn.MAP(_xlfn.TEXTSPLIT(M889,","),_xlfn.LAMBDA(_xlpm.x,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9" t="e">
        <f>'Audit Report'!#REF!</f>
        <v>#REF!</v>
      </c>
      <c r="S889">
        <f>'Audit Report'!N889</f>
        <v>0</v>
      </c>
    </row>
    <row r="890" spans="4:19">
      <c r="D890">
        <f>'Audit Report'!B890</f>
        <v>0</v>
      </c>
      <c r="E890">
        <f>'Audit Report'!C890</f>
        <v>0</v>
      </c>
      <c r="I890">
        <f>'Audit Report'!E890</f>
        <v>0</v>
      </c>
      <c r="J890">
        <f>'Audit Report'!G890</f>
        <v>0</v>
      </c>
      <c r="L890" t="str">
        <f>_xlfn.TEXTJOIN(", ", FALSE, 'Audit Report'!J890,'Audit Report'!K890,'Audit Report'!L890)</f>
        <v xml:space="preserve">, , </v>
      </c>
      <c r="M890">
        <f>'Audit Report'!M890</f>
        <v>0</v>
      </c>
      <c r="N890" t="str" cm="1">
        <f t="array" ref="N890">IF(M890="","",
_xlfn.TEXTJOIN(", ",TRUE,
    _xlfn.MAP(_xlfn.TEXTSPLIT(M890,","),_xlfn.LAMBDA(_xlpm.x,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0" t="e">
        <f>'Audit Report'!#REF!</f>
        <v>#REF!</v>
      </c>
      <c r="S890">
        <f>'Audit Report'!N890</f>
        <v>0</v>
      </c>
    </row>
    <row r="891" spans="4:19">
      <c r="D891">
        <f>'Audit Report'!B891</f>
        <v>0</v>
      </c>
      <c r="E891">
        <f>'Audit Report'!C891</f>
        <v>0</v>
      </c>
      <c r="I891">
        <f>'Audit Report'!E891</f>
        <v>0</v>
      </c>
      <c r="J891">
        <f>'Audit Report'!G891</f>
        <v>0</v>
      </c>
      <c r="L891" t="str">
        <f>_xlfn.TEXTJOIN(", ", FALSE, 'Audit Report'!J891,'Audit Report'!K891,'Audit Report'!L891)</f>
        <v xml:space="preserve">, , </v>
      </c>
      <c r="M891">
        <f>'Audit Report'!M891</f>
        <v>0</v>
      </c>
      <c r="N891" t="str" cm="1">
        <f t="array" ref="N891">IF(M891="","",
_xlfn.TEXTJOIN(", ",TRUE,
    _xlfn.MAP(_xlfn.TEXTSPLIT(M891,","),_xlfn.LAMBDA(_xlpm.x,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1" t="e">
        <f>'Audit Report'!#REF!</f>
        <v>#REF!</v>
      </c>
      <c r="S891">
        <f>'Audit Report'!N891</f>
        <v>0</v>
      </c>
    </row>
    <row r="892" spans="4:19">
      <c r="D892">
        <f>'Audit Report'!B892</f>
        <v>0</v>
      </c>
      <c r="E892">
        <f>'Audit Report'!C892</f>
        <v>0</v>
      </c>
      <c r="I892">
        <f>'Audit Report'!E892</f>
        <v>0</v>
      </c>
      <c r="J892">
        <f>'Audit Report'!G892</f>
        <v>0</v>
      </c>
      <c r="L892" t="str">
        <f>_xlfn.TEXTJOIN(", ", FALSE, 'Audit Report'!J892,'Audit Report'!K892,'Audit Report'!L892)</f>
        <v xml:space="preserve">, , </v>
      </c>
      <c r="M892">
        <f>'Audit Report'!M892</f>
        <v>0</v>
      </c>
      <c r="N892" t="str" cm="1">
        <f t="array" ref="N892">IF(M892="","",
_xlfn.TEXTJOIN(", ",TRUE,
    _xlfn.MAP(_xlfn.TEXTSPLIT(M892,","),_xlfn.LAMBDA(_xlpm.x,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2" t="e">
        <f>'Audit Report'!#REF!</f>
        <v>#REF!</v>
      </c>
      <c r="S892">
        <f>'Audit Report'!N892</f>
        <v>0</v>
      </c>
    </row>
    <row r="893" spans="4:19">
      <c r="D893">
        <f>'Audit Report'!B893</f>
        <v>0</v>
      </c>
      <c r="E893">
        <f>'Audit Report'!C893</f>
        <v>0</v>
      </c>
      <c r="I893">
        <f>'Audit Report'!E893</f>
        <v>0</v>
      </c>
      <c r="J893">
        <f>'Audit Report'!G893</f>
        <v>0</v>
      </c>
      <c r="L893" t="str">
        <f>_xlfn.TEXTJOIN(", ", FALSE, 'Audit Report'!J893,'Audit Report'!K893,'Audit Report'!L893)</f>
        <v xml:space="preserve">, , </v>
      </c>
      <c r="M893">
        <f>'Audit Report'!M893</f>
        <v>0</v>
      </c>
      <c r="N893" t="str" cm="1">
        <f t="array" ref="N893">IF(M893="","",
_xlfn.TEXTJOIN(", ",TRUE,
    _xlfn.MAP(_xlfn.TEXTSPLIT(M893,","),_xlfn.LAMBDA(_xlpm.x,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3" t="e">
        <f>'Audit Report'!#REF!</f>
        <v>#REF!</v>
      </c>
      <c r="S893">
        <f>'Audit Report'!N893</f>
        <v>0</v>
      </c>
    </row>
    <row r="894" spans="4:19">
      <c r="D894">
        <f>'Audit Report'!B894</f>
        <v>0</v>
      </c>
      <c r="E894">
        <f>'Audit Report'!C894</f>
        <v>0</v>
      </c>
      <c r="I894">
        <f>'Audit Report'!E894</f>
        <v>0</v>
      </c>
      <c r="J894">
        <f>'Audit Report'!G894</f>
        <v>0</v>
      </c>
      <c r="L894" t="str">
        <f>_xlfn.TEXTJOIN(", ", FALSE, 'Audit Report'!J894,'Audit Report'!K894,'Audit Report'!L894)</f>
        <v xml:space="preserve">, , </v>
      </c>
      <c r="M894">
        <f>'Audit Report'!M894</f>
        <v>0</v>
      </c>
      <c r="N894" t="str" cm="1">
        <f t="array" ref="N894">IF(M894="","",
_xlfn.TEXTJOIN(", ",TRUE,
    _xlfn.MAP(_xlfn.TEXTSPLIT(M894,","),_xlfn.LAMBDA(_xlpm.x,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4" t="e">
        <f>'Audit Report'!#REF!</f>
        <v>#REF!</v>
      </c>
      <c r="S894">
        <f>'Audit Report'!N894</f>
        <v>0</v>
      </c>
    </row>
    <row r="895" spans="4:19">
      <c r="D895">
        <f>'Audit Report'!B895</f>
        <v>0</v>
      </c>
      <c r="E895">
        <f>'Audit Report'!C895</f>
        <v>0</v>
      </c>
      <c r="I895">
        <f>'Audit Report'!E895</f>
        <v>0</v>
      </c>
      <c r="J895">
        <f>'Audit Report'!G895</f>
        <v>0</v>
      </c>
      <c r="L895" t="str">
        <f>_xlfn.TEXTJOIN(", ", FALSE, 'Audit Report'!J895,'Audit Report'!K895,'Audit Report'!L895)</f>
        <v xml:space="preserve">, , </v>
      </c>
      <c r="M895">
        <f>'Audit Report'!M895</f>
        <v>0</v>
      </c>
      <c r="N895" t="str" cm="1">
        <f t="array" ref="N895">IF(M895="","",
_xlfn.TEXTJOIN(", ",TRUE,
    _xlfn.MAP(_xlfn.TEXTSPLIT(M895,","),_xlfn.LAMBDA(_xlpm.x,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5" t="e">
        <f>'Audit Report'!#REF!</f>
        <v>#REF!</v>
      </c>
      <c r="S895">
        <f>'Audit Report'!N895</f>
        <v>0</v>
      </c>
    </row>
    <row r="896" spans="4:19">
      <c r="D896">
        <f>'Audit Report'!B896</f>
        <v>0</v>
      </c>
      <c r="E896">
        <f>'Audit Report'!C896</f>
        <v>0</v>
      </c>
      <c r="I896">
        <f>'Audit Report'!E896</f>
        <v>0</v>
      </c>
      <c r="J896">
        <f>'Audit Report'!G896</f>
        <v>0</v>
      </c>
      <c r="L896" t="str">
        <f>_xlfn.TEXTJOIN(", ", FALSE, 'Audit Report'!J896,'Audit Report'!K896,'Audit Report'!L896)</f>
        <v xml:space="preserve">, , </v>
      </c>
      <c r="M896">
        <f>'Audit Report'!M896</f>
        <v>0</v>
      </c>
      <c r="N896" t="str" cm="1">
        <f t="array" ref="N896">IF(M896="","",
_xlfn.TEXTJOIN(", ",TRUE,
    _xlfn.MAP(_xlfn.TEXTSPLIT(M896,","),_xlfn.LAMBDA(_xlpm.x,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6" t="e">
        <f>'Audit Report'!#REF!</f>
        <v>#REF!</v>
      </c>
      <c r="S896">
        <f>'Audit Report'!N896</f>
        <v>0</v>
      </c>
    </row>
    <row r="897" spans="4:19">
      <c r="D897">
        <f>'Audit Report'!B897</f>
        <v>0</v>
      </c>
      <c r="E897">
        <f>'Audit Report'!C897</f>
        <v>0</v>
      </c>
      <c r="I897">
        <f>'Audit Report'!E897</f>
        <v>0</v>
      </c>
      <c r="J897">
        <f>'Audit Report'!G897</f>
        <v>0</v>
      </c>
      <c r="L897" t="str">
        <f>_xlfn.TEXTJOIN(", ", FALSE, 'Audit Report'!J897,'Audit Report'!K897,'Audit Report'!L897)</f>
        <v xml:space="preserve">, , </v>
      </c>
      <c r="M897">
        <f>'Audit Report'!M897</f>
        <v>0</v>
      </c>
      <c r="N897" t="str" cm="1">
        <f t="array" ref="N897">IF(M897="","",
_xlfn.TEXTJOIN(", ",TRUE,
    _xlfn.MAP(_xlfn.TEXTSPLIT(M897,","),_xlfn.LAMBDA(_xlpm.x,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7" t="e">
        <f>'Audit Report'!#REF!</f>
        <v>#REF!</v>
      </c>
      <c r="S897">
        <f>'Audit Report'!N897</f>
        <v>0</v>
      </c>
    </row>
    <row r="898" spans="4:19">
      <c r="D898">
        <f>'Audit Report'!B898</f>
        <v>0</v>
      </c>
      <c r="E898">
        <f>'Audit Report'!C898</f>
        <v>0</v>
      </c>
      <c r="I898">
        <f>'Audit Report'!E898</f>
        <v>0</v>
      </c>
      <c r="J898">
        <f>'Audit Report'!G898</f>
        <v>0</v>
      </c>
      <c r="L898" t="str">
        <f>_xlfn.TEXTJOIN(", ", FALSE, 'Audit Report'!J898,'Audit Report'!K898,'Audit Report'!L898)</f>
        <v xml:space="preserve">, , </v>
      </c>
      <c r="M898">
        <f>'Audit Report'!M898</f>
        <v>0</v>
      </c>
      <c r="N898" t="str" cm="1">
        <f t="array" ref="N898">IF(M898="","",
_xlfn.TEXTJOIN(", ",TRUE,
    _xlfn.MAP(_xlfn.TEXTSPLIT(M898,","),_xlfn.LAMBDA(_xlpm.x,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8" t="e">
        <f>'Audit Report'!#REF!</f>
        <v>#REF!</v>
      </c>
      <c r="S898">
        <f>'Audit Report'!N898</f>
        <v>0</v>
      </c>
    </row>
    <row r="899" spans="4:19">
      <c r="D899">
        <f>'Audit Report'!B899</f>
        <v>0</v>
      </c>
      <c r="E899">
        <f>'Audit Report'!C899</f>
        <v>0</v>
      </c>
      <c r="I899">
        <f>'Audit Report'!E899</f>
        <v>0</v>
      </c>
      <c r="J899">
        <f>'Audit Report'!G899</f>
        <v>0</v>
      </c>
      <c r="L899" t="str">
        <f>_xlfn.TEXTJOIN(", ", FALSE, 'Audit Report'!J899,'Audit Report'!K899,'Audit Report'!L899)</f>
        <v xml:space="preserve">, , </v>
      </c>
      <c r="M899">
        <f>'Audit Report'!M899</f>
        <v>0</v>
      </c>
      <c r="N899" t="str" cm="1">
        <f t="array" ref="N899">IF(M899="","",
_xlfn.TEXTJOIN(", ",TRUE,
    _xlfn.MAP(_xlfn.TEXTSPLIT(M899,","),_xlfn.LAMBDA(_xlpm.x,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9" t="e">
        <f>'Audit Report'!#REF!</f>
        <v>#REF!</v>
      </c>
      <c r="S899">
        <f>'Audit Report'!N899</f>
        <v>0</v>
      </c>
    </row>
    <row r="900" spans="4:19">
      <c r="D900">
        <f>'Audit Report'!B900</f>
        <v>0</v>
      </c>
      <c r="E900">
        <f>'Audit Report'!C900</f>
        <v>0</v>
      </c>
      <c r="I900">
        <f>'Audit Report'!E900</f>
        <v>0</v>
      </c>
      <c r="J900">
        <f>'Audit Report'!G900</f>
        <v>0</v>
      </c>
      <c r="L900" t="str">
        <f>_xlfn.TEXTJOIN(", ", FALSE, 'Audit Report'!J900,'Audit Report'!K900,'Audit Report'!L900)</f>
        <v xml:space="preserve">, , </v>
      </c>
      <c r="M900">
        <f>'Audit Report'!M900</f>
        <v>0</v>
      </c>
      <c r="N900" t="str" cm="1">
        <f t="array" ref="N900">IF(M900="","",
_xlfn.TEXTJOIN(", ",TRUE,
    _xlfn.MAP(_xlfn.TEXTSPLIT(M900,","),_xlfn.LAMBDA(_xlpm.x,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0" t="e">
        <f>'Audit Report'!#REF!</f>
        <v>#REF!</v>
      </c>
      <c r="S900">
        <f>'Audit Report'!N900</f>
        <v>0</v>
      </c>
    </row>
    <row r="901" spans="4:19">
      <c r="D901">
        <f>'Audit Report'!B901</f>
        <v>0</v>
      </c>
      <c r="E901">
        <f>'Audit Report'!C901</f>
        <v>0</v>
      </c>
      <c r="I901">
        <f>'Audit Report'!E901</f>
        <v>0</v>
      </c>
      <c r="J901">
        <f>'Audit Report'!G901</f>
        <v>0</v>
      </c>
      <c r="L901" t="str">
        <f>_xlfn.TEXTJOIN(", ", FALSE, 'Audit Report'!J901,'Audit Report'!K901,'Audit Report'!L901)</f>
        <v xml:space="preserve">, , </v>
      </c>
      <c r="M901">
        <f>'Audit Report'!M901</f>
        <v>0</v>
      </c>
      <c r="N901" t="str" cm="1">
        <f t="array" ref="N901">IF(M901="","",
_xlfn.TEXTJOIN(", ",TRUE,
    _xlfn.MAP(_xlfn.TEXTSPLIT(M901,","),_xlfn.LAMBDA(_xlpm.x,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1" t="e">
        <f>'Audit Report'!#REF!</f>
        <v>#REF!</v>
      </c>
      <c r="S901">
        <f>'Audit Report'!N901</f>
        <v>0</v>
      </c>
    </row>
    <row r="902" spans="4:19">
      <c r="D902">
        <f>'Audit Report'!B902</f>
        <v>0</v>
      </c>
      <c r="E902">
        <f>'Audit Report'!C902</f>
        <v>0</v>
      </c>
      <c r="I902">
        <f>'Audit Report'!E902</f>
        <v>0</v>
      </c>
      <c r="J902">
        <f>'Audit Report'!G902</f>
        <v>0</v>
      </c>
      <c r="L902" t="str">
        <f>_xlfn.TEXTJOIN(", ", FALSE, 'Audit Report'!J902,'Audit Report'!K902,'Audit Report'!L902)</f>
        <v xml:space="preserve">, , </v>
      </c>
      <c r="M902">
        <f>'Audit Report'!M902</f>
        <v>0</v>
      </c>
      <c r="N902" t="str" cm="1">
        <f t="array" ref="N902">IF(M902="","",
_xlfn.TEXTJOIN(", ",TRUE,
    _xlfn.MAP(_xlfn.TEXTSPLIT(M902,","),_xlfn.LAMBDA(_xlpm.x,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2" t="e">
        <f>'Audit Report'!#REF!</f>
        <v>#REF!</v>
      </c>
      <c r="S902">
        <f>'Audit Report'!N902</f>
        <v>0</v>
      </c>
    </row>
    <row r="903" spans="4:19">
      <c r="D903">
        <f>'Audit Report'!B903</f>
        <v>0</v>
      </c>
      <c r="E903">
        <f>'Audit Report'!C903</f>
        <v>0</v>
      </c>
      <c r="I903">
        <f>'Audit Report'!E903</f>
        <v>0</v>
      </c>
      <c r="J903">
        <f>'Audit Report'!G903</f>
        <v>0</v>
      </c>
      <c r="L903" t="str">
        <f>_xlfn.TEXTJOIN(", ", FALSE, 'Audit Report'!J903,'Audit Report'!K903,'Audit Report'!L903)</f>
        <v xml:space="preserve">, , </v>
      </c>
      <c r="M903">
        <f>'Audit Report'!M903</f>
        <v>0</v>
      </c>
      <c r="N903" t="str" cm="1">
        <f t="array" ref="N903">IF(M903="","",
_xlfn.TEXTJOIN(", ",TRUE,
    _xlfn.MAP(_xlfn.TEXTSPLIT(M903,","),_xlfn.LAMBDA(_xlpm.x,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3" t="e">
        <f>'Audit Report'!#REF!</f>
        <v>#REF!</v>
      </c>
      <c r="S903">
        <f>'Audit Report'!N903</f>
        <v>0</v>
      </c>
    </row>
    <row r="904" spans="4:19">
      <c r="D904">
        <f>'Audit Report'!B904</f>
        <v>0</v>
      </c>
      <c r="E904">
        <f>'Audit Report'!C904</f>
        <v>0</v>
      </c>
      <c r="I904">
        <f>'Audit Report'!E904</f>
        <v>0</v>
      </c>
      <c r="J904">
        <f>'Audit Report'!G904</f>
        <v>0</v>
      </c>
      <c r="L904" t="str">
        <f>_xlfn.TEXTJOIN(", ", FALSE, 'Audit Report'!J904,'Audit Report'!K904,'Audit Report'!L904)</f>
        <v xml:space="preserve">, , </v>
      </c>
      <c r="M904">
        <f>'Audit Report'!M904</f>
        <v>0</v>
      </c>
      <c r="N904" t="str" cm="1">
        <f t="array" ref="N904">IF(M904="","",
_xlfn.TEXTJOIN(", ",TRUE,
    _xlfn.MAP(_xlfn.TEXTSPLIT(M904,","),_xlfn.LAMBDA(_xlpm.x,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4" t="e">
        <f>'Audit Report'!#REF!</f>
        <v>#REF!</v>
      </c>
      <c r="S904">
        <f>'Audit Report'!N904</f>
        <v>0</v>
      </c>
    </row>
    <row r="905" spans="4:19">
      <c r="D905">
        <f>'Audit Report'!B905</f>
        <v>0</v>
      </c>
      <c r="E905">
        <f>'Audit Report'!C905</f>
        <v>0</v>
      </c>
      <c r="I905">
        <f>'Audit Report'!E905</f>
        <v>0</v>
      </c>
      <c r="J905">
        <f>'Audit Report'!G905</f>
        <v>0</v>
      </c>
      <c r="L905" t="str">
        <f>_xlfn.TEXTJOIN(", ", FALSE, 'Audit Report'!J905,'Audit Report'!K905,'Audit Report'!L905)</f>
        <v xml:space="preserve">, , </v>
      </c>
      <c r="M905">
        <f>'Audit Report'!M905</f>
        <v>0</v>
      </c>
      <c r="N905" t="str" cm="1">
        <f t="array" ref="N905">IF(M905="","",
_xlfn.TEXTJOIN(", ",TRUE,
    _xlfn.MAP(_xlfn.TEXTSPLIT(M905,","),_xlfn.LAMBDA(_xlpm.x,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5" t="e">
        <f>'Audit Report'!#REF!</f>
        <v>#REF!</v>
      </c>
      <c r="S905">
        <f>'Audit Report'!N905</f>
        <v>0</v>
      </c>
    </row>
    <row r="906" spans="4:19">
      <c r="D906">
        <f>'Audit Report'!B906</f>
        <v>0</v>
      </c>
      <c r="E906">
        <f>'Audit Report'!C906</f>
        <v>0</v>
      </c>
      <c r="I906">
        <f>'Audit Report'!E906</f>
        <v>0</v>
      </c>
      <c r="J906">
        <f>'Audit Report'!G906</f>
        <v>0</v>
      </c>
      <c r="L906" t="str">
        <f>_xlfn.TEXTJOIN(", ", FALSE, 'Audit Report'!J906,'Audit Report'!K906,'Audit Report'!L906)</f>
        <v xml:space="preserve">, , </v>
      </c>
      <c r="M906">
        <f>'Audit Report'!M906</f>
        <v>0</v>
      </c>
      <c r="N906" t="str" cm="1">
        <f t="array" ref="N906">IF(M906="","",
_xlfn.TEXTJOIN(", ",TRUE,
    _xlfn.MAP(_xlfn.TEXTSPLIT(M906,","),_xlfn.LAMBDA(_xlpm.x,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6" t="e">
        <f>'Audit Report'!#REF!</f>
        <v>#REF!</v>
      </c>
      <c r="S906">
        <f>'Audit Report'!N906</f>
        <v>0</v>
      </c>
    </row>
    <row r="907" spans="4:19">
      <c r="D907">
        <f>'Audit Report'!B907</f>
        <v>0</v>
      </c>
      <c r="E907">
        <f>'Audit Report'!C907</f>
        <v>0</v>
      </c>
      <c r="I907">
        <f>'Audit Report'!E907</f>
        <v>0</v>
      </c>
      <c r="J907">
        <f>'Audit Report'!G907</f>
        <v>0</v>
      </c>
      <c r="L907" t="str">
        <f>_xlfn.TEXTJOIN(", ", FALSE, 'Audit Report'!J907,'Audit Report'!K907,'Audit Report'!L907)</f>
        <v xml:space="preserve">, , </v>
      </c>
      <c r="M907">
        <f>'Audit Report'!M907</f>
        <v>0</v>
      </c>
      <c r="N907" t="str" cm="1">
        <f t="array" ref="N907">IF(M907="","",
_xlfn.TEXTJOIN(", ",TRUE,
    _xlfn.MAP(_xlfn.TEXTSPLIT(M907,","),_xlfn.LAMBDA(_xlpm.x,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7" t="e">
        <f>'Audit Report'!#REF!</f>
        <v>#REF!</v>
      </c>
      <c r="S907">
        <f>'Audit Report'!N907</f>
        <v>0</v>
      </c>
    </row>
    <row r="908" spans="4:19">
      <c r="D908">
        <f>'Audit Report'!B908</f>
        <v>0</v>
      </c>
      <c r="E908">
        <f>'Audit Report'!C908</f>
        <v>0</v>
      </c>
      <c r="I908">
        <f>'Audit Report'!E908</f>
        <v>0</v>
      </c>
      <c r="J908">
        <f>'Audit Report'!G908</f>
        <v>0</v>
      </c>
      <c r="L908" t="str">
        <f>_xlfn.TEXTJOIN(", ", FALSE, 'Audit Report'!J908,'Audit Report'!K908,'Audit Report'!L908)</f>
        <v xml:space="preserve">, , </v>
      </c>
      <c r="M908">
        <f>'Audit Report'!M908</f>
        <v>0</v>
      </c>
      <c r="N908" t="str" cm="1">
        <f t="array" ref="N908">IF(M908="","",
_xlfn.TEXTJOIN(", ",TRUE,
    _xlfn.MAP(_xlfn.TEXTSPLIT(M908,","),_xlfn.LAMBDA(_xlpm.x,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8" t="e">
        <f>'Audit Report'!#REF!</f>
        <v>#REF!</v>
      </c>
      <c r="S908">
        <f>'Audit Report'!N908</f>
        <v>0</v>
      </c>
    </row>
    <row r="909" spans="4:19">
      <c r="D909">
        <f>'Audit Report'!B909</f>
        <v>0</v>
      </c>
      <c r="E909">
        <f>'Audit Report'!C909</f>
        <v>0</v>
      </c>
      <c r="I909">
        <f>'Audit Report'!E909</f>
        <v>0</v>
      </c>
      <c r="J909">
        <f>'Audit Report'!G909</f>
        <v>0</v>
      </c>
      <c r="L909" t="str">
        <f>_xlfn.TEXTJOIN(", ", FALSE, 'Audit Report'!J909,'Audit Report'!K909,'Audit Report'!L909)</f>
        <v xml:space="preserve">, , </v>
      </c>
      <c r="M909">
        <f>'Audit Report'!M909</f>
        <v>0</v>
      </c>
      <c r="N909" t="str" cm="1">
        <f t="array" ref="N909">IF(M909="","",
_xlfn.TEXTJOIN(", ",TRUE,
    _xlfn.MAP(_xlfn.TEXTSPLIT(M909,","),_xlfn.LAMBDA(_xlpm.x,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9" t="e">
        <f>'Audit Report'!#REF!</f>
        <v>#REF!</v>
      </c>
      <c r="S909">
        <f>'Audit Report'!N909</f>
        <v>0</v>
      </c>
    </row>
    <row r="910" spans="4:19">
      <c r="D910">
        <f>'Audit Report'!B910</f>
        <v>0</v>
      </c>
      <c r="E910">
        <f>'Audit Report'!C910</f>
        <v>0</v>
      </c>
      <c r="I910">
        <f>'Audit Report'!E910</f>
        <v>0</v>
      </c>
      <c r="J910">
        <f>'Audit Report'!G910</f>
        <v>0</v>
      </c>
      <c r="L910" t="str">
        <f>_xlfn.TEXTJOIN(", ", FALSE, 'Audit Report'!J910,'Audit Report'!K910,'Audit Report'!L910)</f>
        <v xml:space="preserve">, , </v>
      </c>
      <c r="M910">
        <f>'Audit Report'!M910</f>
        <v>0</v>
      </c>
      <c r="N910" t="str" cm="1">
        <f t="array" ref="N910">IF(M910="","",
_xlfn.TEXTJOIN(", ",TRUE,
    _xlfn.MAP(_xlfn.TEXTSPLIT(M910,","),_xlfn.LAMBDA(_xlpm.x,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0" t="e">
        <f>'Audit Report'!#REF!</f>
        <v>#REF!</v>
      </c>
      <c r="S910">
        <f>'Audit Report'!N910</f>
        <v>0</v>
      </c>
    </row>
    <row r="911" spans="4:19">
      <c r="D911">
        <f>'Audit Report'!B911</f>
        <v>0</v>
      </c>
      <c r="E911">
        <f>'Audit Report'!C911</f>
        <v>0</v>
      </c>
      <c r="I911">
        <f>'Audit Report'!E911</f>
        <v>0</v>
      </c>
      <c r="J911">
        <f>'Audit Report'!G911</f>
        <v>0</v>
      </c>
      <c r="L911" t="str">
        <f>_xlfn.TEXTJOIN(", ", FALSE, 'Audit Report'!J911,'Audit Report'!K911,'Audit Report'!L911)</f>
        <v xml:space="preserve">, , </v>
      </c>
      <c r="M911">
        <f>'Audit Report'!M911</f>
        <v>0</v>
      </c>
      <c r="N911" t="str" cm="1">
        <f t="array" ref="N911">IF(M911="","",
_xlfn.TEXTJOIN(", ",TRUE,
    _xlfn.MAP(_xlfn.TEXTSPLIT(M911,","),_xlfn.LAMBDA(_xlpm.x,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1" t="e">
        <f>'Audit Report'!#REF!</f>
        <v>#REF!</v>
      </c>
      <c r="S911">
        <f>'Audit Report'!N911</f>
        <v>0</v>
      </c>
    </row>
    <row r="912" spans="4:19">
      <c r="D912">
        <f>'Audit Report'!B912</f>
        <v>0</v>
      </c>
      <c r="E912">
        <f>'Audit Report'!C912</f>
        <v>0</v>
      </c>
      <c r="I912">
        <f>'Audit Report'!E912</f>
        <v>0</v>
      </c>
      <c r="J912">
        <f>'Audit Report'!G912</f>
        <v>0</v>
      </c>
      <c r="L912" t="str">
        <f>_xlfn.TEXTJOIN(", ", FALSE, 'Audit Report'!J912,'Audit Report'!K912,'Audit Report'!L912)</f>
        <v xml:space="preserve">, , </v>
      </c>
      <c r="M912">
        <f>'Audit Report'!M912</f>
        <v>0</v>
      </c>
      <c r="N912" t="str" cm="1">
        <f t="array" ref="N912">IF(M912="","",
_xlfn.TEXTJOIN(", ",TRUE,
    _xlfn.MAP(_xlfn.TEXTSPLIT(M912,","),_xlfn.LAMBDA(_xlpm.x,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2" t="e">
        <f>'Audit Report'!#REF!</f>
        <v>#REF!</v>
      </c>
      <c r="S912">
        <f>'Audit Report'!N912</f>
        <v>0</v>
      </c>
    </row>
    <row r="913" spans="4:19">
      <c r="D913">
        <f>'Audit Report'!B913</f>
        <v>0</v>
      </c>
      <c r="E913">
        <f>'Audit Report'!C913</f>
        <v>0</v>
      </c>
      <c r="I913">
        <f>'Audit Report'!E913</f>
        <v>0</v>
      </c>
      <c r="J913">
        <f>'Audit Report'!G913</f>
        <v>0</v>
      </c>
      <c r="L913" t="str">
        <f>_xlfn.TEXTJOIN(", ", FALSE, 'Audit Report'!J913,'Audit Report'!K913,'Audit Report'!L913)</f>
        <v xml:space="preserve">, , </v>
      </c>
      <c r="M913">
        <f>'Audit Report'!M913</f>
        <v>0</v>
      </c>
      <c r="N913" t="str" cm="1">
        <f t="array" ref="N913">IF(M913="","",
_xlfn.TEXTJOIN(", ",TRUE,
    _xlfn.MAP(_xlfn.TEXTSPLIT(M913,","),_xlfn.LAMBDA(_xlpm.x,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3" t="e">
        <f>'Audit Report'!#REF!</f>
        <v>#REF!</v>
      </c>
      <c r="S913">
        <f>'Audit Report'!N913</f>
        <v>0</v>
      </c>
    </row>
    <row r="914" spans="4:19">
      <c r="D914">
        <f>'Audit Report'!B914</f>
        <v>0</v>
      </c>
      <c r="E914">
        <f>'Audit Report'!C914</f>
        <v>0</v>
      </c>
      <c r="I914">
        <f>'Audit Report'!E914</f>
        <v>0</v>
      </c>
      <c r="J914">
        <f>'Audit Report'!G914</f>
        <v>0</v>
      </c>
      <c r="L914" t="str">
        <f>_xlfn.TEXTJOIN(", ", FALSE, 'Audit Report'!J914,'Audit Report'!K914,'Audit Report'!L914)</f>
        <v xml:space="preserve">, , </v>
      </c>
      <c r="M914">
        <f>'Audit Report'!M914</f>
        <v>0</v>
      </c>
      <c r="N914" t="str" cm="1">
        <f t="array" ref="N914">IF(M914="","",
_xlfn.TEXTJOIN(", ",TRUE,
    _xlfn.MAP(_xlfn.TEXTSPLIT(M914,","),_xlfn.LAMBDA(_xlpm.x,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4" t="e">
        <f>'Audit Report'!#REF!</f>
        <v>#REF!</v>
      </c>
      <c r="S914">
        <f>'Audit Report'!N914</f>
        <v>0</v>
      </c>
    </row>
    <row r="915" spans="4:19">
      <c r="D915">
        <f>'Audit Report'!B915</f>
        <v>0</v>
      </c>
      <c r="E915">
        <f>'Audit Report'!C915</f>
        <v>0</v>
      </c>
      <c r="I915">
        <f>'Audit Report'!E915</f>
        <v>0</v>
      </c>
      <c r="J915">
        <f>'Audit Report'!G915</f>
        <v>0</v>
      </c>
      <c r="L915" t="str">
        <f>_xlfn.TEXTJOIN(", ", FALSE, 'Audit Report'!J915,'Audit Report'!K915,'Audit Report'!L915)</f>
        <v xml:space="preserve">, , </v>
      </c>
      <c r="M915">
        <f>'Audit Report'!M915</f>
        <v>0</v>
      </c>
      <c r="N915" t="str" cm="1">
        <f t="array" ref="N915">IF(M915="","",
_xlfn.TEXTJOIN(", ",TRUE,
    _xlfn.MAP(_xlfn.TEXTSPLIT(M915,","),_xlfn.LAMBDA(_xlpm.x,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5" t="e">
        <f>'Audit Report'!#REF!</f>
        <v>#REF!</v>
      </c>
      <c r="S915">
        <f>'Audit Report'!N915</f>
        <v>0</v>
      </c>
    </row>
    <row r="916" spans="4:19">
      <c r="D916">
        <f>'Audit Report'!B916</f>
        <v>0</v>
      </c>
      <c r="E916">
        <f>'Audit Report'!C916</f>
        <v>0</v>
      </c>
      <c r="I916">
        <f>'Audit Report'!E916</f>
        <v>0</v>
      </c>
      <c r="J916">
        <f>'Audit Report'!G916</f>
        <v>0</v>
      </c>
      <c r="L916" t="str">
        <f>_xlfn.TEXTJOIN(", ", FALSE, 'Audit Report'!J916,'Audit Report'!K916,'Audit Report'!L916)</f>
        <v xml:space="preserve">, , </v>
      </c>
      <c r="M916">
        <f>'Audit Report'!M916</f>
        <v>0</v>
      </c>
      <c r="N916" t="str" cm="1">
        <f t="array" ref="N916">IF(M916="","",
_xlfn.TEXTJOIN(", ",TRUE,
    _xlfn.MAP(_xlfn.TEXTSPLIT(M916,","),_xlfn.LAMBDA(_xlpm.x,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6" t="e">
        <f>'Audit Report'!#REF!</f>
        <v>#REF!</v>
      </c>
      <c r="S916">
        <f>'Audit Report'!N916</f>
        <v>0</v>
      </c>
    </row>
    <row r="917" spans="4:19">
      <c r="D917">
        <f>'Audit Report'!B917</f>
        <v>0</v>
      </c>
      <c r="E917">
        <f>'Audit Report'!C917</f>
        <v>0</v>
      </c>
      <c r="I917">
        <f>'Audit Report'!E917</f>
        <v>0</v>
      </c>
      <c r="J917">
        <f>'Audit Report'!G917</f>
        <v>0</v>
      </c>
      <c r="L917" t="str">
        <f>_xlfn.TEXTJOIN(", ", FALSE, 'Audit Report'!J917,'Audit Report'!K917,'Audit Report'!L917)</f>
        <v xml:space="preserve">, , </v>
      </c>
      <c r="M917">
        <f>'Audit Report'!M917</f>
        <v>0</v>
      </c>
      <c r="N917" t="str" cm="1">
        <f t="array" ref="N917">IF(M917="","",
_xlfn.TEXTJOIN(", ",TRUE,
    _xlfn.MAP(_xlfn.TEXTSPLIT(M917,","),_xlfn.LAMBDA(_xlpm.x,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7" t="e">
        <f>'Audit Report'!#REF!</f>
        <v>#REF!</v>
      </c>
      <c r="S917">
        <f>'Audit Report'!N917</f>
        <v>0</v>
      </c>
    </row>
    <row r="918" spans="4:19">
      <c r="D918">
        <f>'Audit Report'!B918</f>
        <v>0</v>
      </c>
      <c r="E918">
        <f>'Audit Report'!C918</f>
        <v>0</v>
      </c>
      <c r="I918">
        <f>'Audit Report'!E918</f>
        <v>0</v>
      </c>
      <c r="J918">
        <f>'Audit Report'!G918</f>
        <v>0</v>
      </c>
      <c r="L918" t="str">
        <f>_xlfn.TEXTJOIN(", ", FALSE, 'Audit Report'!J918,'Audit Report'!K918,'Audit Report'!L918)</f>
        <v xml:space="preserve">, , </v>
      </c>
      <c r="M918">
        <f>'Audit Report'!M918</f>
        <v>0</v>
      </c>
      <c r="N918" t="str" cm="1">
        <f t="array" ref="N918">IF(M918="","",
_xlfn.TEXTJOIN(", ",TRUE,
    _xlfn.MAP(_xlfn.TEXTSPLIT(M918,","),_xlfn.LAMBDA(_xlpm.x,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8" t="e">
        <f>'Audit Report'!#REF!</f>
        <v>#REF!</v>
      </c>
      <c r="S918">
        <f>'Audit Report'!N918</f>
        <v>0</v>
      </c>
    </row>
    <row r="919" spans="4:19">
      <c r="D919">
        <f>'Audit Report'!B919</f>
        <v>0</v>
      </c>
      <c r="E919">
        <f>'Audit Report'!C919</f>
        <v>0</v>
      </c>
      <c r="I919">
        <f>'Audit Report'!E919</f>
        <v>0</v>
      </c>
      <c r="J919">
        <f>'Audit Report'!G919</f>
        <v>0</v>
      </c>
      <c r="L919" t="str">
        <f>_xlfn.TEXTJOIN(", ", FALSE, 'Audit Report'!J919,'Audit Report'!K919,'Audit Report'!L919)</f>
        <v xml:space="preserve">, , </v>
      </c>
      <c r="M919">
        <f>'Audit Report'!M919</f>
        <v>0</v>
      </c>
      <c r="N919" t="str" cm="1">
        <f t="array" ref="N919">IF(M919="","",
_xlfn.TEXTJOIN(", ",TRUE,
    _xlfn.MAP(_xlfn.TEXTSPLIT(M919,","),_xlfn.LAMBDA(_xlpm.x,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9" t="e">
        <f>'Audit Report'!#REF!</f>
        <v>#REF!</v>
      </c>
      <c r="S919">
        <f>'Audit Report'!N919</f>
        <v>0</v>
      </c>
    </row>
    <row r="920" spans="4:19">
      <c r="D920">
        <f>'Audit Report'!B920</f>
        <v>0</v>
      </c>
      <c r="E920">
        <f>'Audit Report'!C920</f>
        <v>0</v>
      </c>
      <c r="I920">
        <f>'Audit Report'!E920</f>
        <v>0</v>
      </c>
      <c r="J920">
        <f>'Audit Report'!G920</f>
        <v>0</v>
      </c>
      <c r="L920" t="str">
        <f>_xlfn.TEXTJOIN(", ", FALSE, 'Audit Report'!J920,'Audit Report'!K920,'Audit Report'!L920)</f>
        <v xml:space="preserve">, , </v>
      </c>
      <c r="M920">
        <f>'Audit Report'!M920</f>
        <v>0</v>
      </c>
      <c r="N920" t="str" cm="1">
        <f t="array" ref="N920">IF(M920="","",
_xlfn.TEXTJOIN(", ",TRUE,
    _xlfn.MAP(_xlfn.TEXTSPLIT(M920,","),_xlfn.LAMBDA(_xlpm.x,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0" t="e">
        <f>'Audit Report'!#REF!</f>
        <v>#REF!</v>
      </c>
      <c r="S920">
        <f>'Audit Report'!N920</f>
        <v>0</v>
      </c>
    </row>
    <row r="921" spans="4:19">
      <c r="D921">
        <f>'Audit Report'!B921</f>
        <v>0</v>
      </c>
      <c r="E921">
        <f>'Audit Report'!C921</f>
        <v>0</v>
      </c>
      <c r="I921">
        <f>'Audit Report'!E921</f>
        <v>0</v>
      </c>
      <c r="J921">
        <f>'Audit Report'!G921</f>
        <v>0</v>
      </c>
      <c r="L921" t="str">
        <f>_xlfn.TEXTJOIN(", ", FALSE, 'Audit Report'!J921,'Audit Report'!K921,'Audit Report'!L921)</f>
        <v xml:space="preserve">, , </v>
      </c>
      <c r="M921">
        <f>'Audit Report'!M921</f>
        <v>0</v>
      </c>
      <c r="N921" t="str" cm="1">
        <f t="array" ref="N921">IF(M921="","",
_xlfn.TEXTJOIN(", ",TRUE,
    _xlfn.MAP(_xlfn.TEXTSPLIT(M921,","),_xlfn.LAMBDA(_xlpm.x,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1" t="e">
        <f>'Audit Report'!#REF!</f>
        <v>#REF!</v>
      </c>
      <c r="S921">
        <f>'Audit Report'!N921</f>
        <v>0</v>
      </c>
    </row>
    <row r="922" spans="4:19">
      <c r="D922">
        <f>'Audit Report'!B922</f>
        <v>0</v>
      </c>
      <c r="E922">
        <f>'Audit Report'!C922</f>
        <v>0</v>
      </c>
      <c r="I922">
        <f>'Audit Report'!E922</f>
        <v>0</v>
      </c>
      <c r="J922">
        <f>'Audit Report'!G922</f>
        <v>0</v>
      </c>
      <c r="L922" t="str">
        <f>_xlfn.TEXTJOIN(", ", FALSE, 'Audit Report'!J922,'Audit Report'!K922,'Audit Report'!L922)</f>
        <v xml:space="preserve">, , </v>
      </c>
      <c r="M922">
        <f>'Audit Report'!M922</f>
        <v>0</v>
      </c>
      <c r="N922" t="str" cm="1">
        <f t="array" ref="N922">IF(M922="","",
_xlfn.TEXTJOIN(", ",TRUE,
    _xlfn.MAP(_xlfn.TEXTSPLIT(M922,","),_xlfn.LAMBDA(_xlpm.x,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2" t="e">
        <f>'Audit Report'!#REF!</f>
        <v>#REF!</v>
      </c>
      <c r="S922">
        <f>'Audit Report'!N922</f>
        <v>0</v>
      </c>
    </row>
    <row r="923" spans="4:19">
      <c r="D923">
        <f>'Audit Report'!B923</f>
        <v>0</v>
      </c>
      <c r="E923">
        <f>'Audit Report'!C923</f>
        <v>0</v>
      </c>
      <c r="I923">
        <f>'Audit Report'!E923</f>
        <v>0</v>
      </c>
      <c r="J923">
        <f>'Audit Report'!G923</f>
        <v>0</v>
      </c>
      <c r="L923" t="str">
        <f>_xlfn.TEXTJOIN(", ", FALSE, 'Audit Report'!J923,'Audit Report'!K923,'Audit Report'!L923)</f>
        <v xml:space="preserve">, , </v>
      </c>
      <c r="M923">
        <f>'Audit Report'!M923</f>
        <v>0</v>
      </c>
      <c r="N923" t="str" cm="1">
        <f t="array" ref="N923">IF(M923="","",
_xlfn.TEXTJOIN(", ",TRUE,
    _xlfn.MAP(_xlfn.TEXTSPLIT(M923,","),_xlfn.LAMBDA(_xlpm.x,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3" t="e">
        <f>'Audit Report'!#REF!</f>
        <v>#REF!</v>
      </c>
      <c r="S923">
        <f>'Audit Report'!N923</f>
        <v>0</v>
      </c>
    </row>
    <row r="924" spans="4:19">
      <c r="D924">
        <f>'Audit Report'!B924</f>
        <v>0</v>
      </c>
      <c r="E924">
        <f>'Audit Report'!C924</f>
        <v>0</v>
      </c>
      <c r="I924">
        <f>'Audit Report'!E924</f>
        <v>0</v>
      </c>
      <c r="J924">
        <f>'Audit Report'!G924</f>
        <v>0</v>
      </c>
      <c r="L924" t="str">
        <f>_xlfn.TEXTJOIN(", ", FALSE, 'Audit Report'!J924,'Audit Report'!K924,'Audit Report'!L924)</f>
        <v xml:space="preserve">, , </v>
      </c>
      <c r="M924">
        <f>'Audit Report'!M924</f>
        <v>0</v>
      </c>
      <c r="N924" t="str" cm="1">
        <f t="array" ref="N924">IF(M924="","",
_xlfn.TEXTJOIN(", ",TRUE,
    _xlfn.MAP(_xlfn.TEXTSPLIT(M924,","),_xlfn.LAMBDA(_xlpm.x,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4" t="e">
        <f>'Audit Report'!#REF!</f>
        <v>#REF!</v>
      </c>
      <c r="S924">
        <f>'Audit Report'!N924</f>
        <v>0</v>
      </c>
    </row>
    <row r="925" spans="4:19">
      <c r="D925">
        <f>'Audit Report'!B925</f>
        <v>0</v>
      </c>
      <c r="E925">
        <f>'Audit Report'!C925</f>
        <v>0</v>
      </c>
      <c r="I925">
        <f>'Audit Report'!E925</f>
        <v>0</v>
      </c>
      <c r="J925">
        <f>'Audit Report'!G925</f>
        <v>0</v>
      </c>
      <c r="L925" t="str">
        <f>_xlfn.TEXTJOIN(", ", FALSE, 'Audit Report'!J925,'Audit Report'!K925,'Audit Report'!L925)</f>
        <v xml:space="preserve">, , </v>
      </c>
      <c r="M925">
        <f>'Audit Report'!M925</f>
        <v>0</v>
      </c>
      <c r="N925" t="str" cm="1">
        <f t="array" ref="N925">IF(M925="","",
_xlfn.TEXTJOIN(", ",TRUE,
    _xlfn.MAP(_xlfn.TEXTSPLIT(M925,","),_xlfn.LAMBDA(_xlpm.x,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5" t="e">
        <f>'Audit Report'!#REF!</f>
        <v>#REF!</v>
      </c>
      <c r="S925">
        <f>'Audit Report'!N925</f>
        <v>0</v>
      </c>
    </row>
    <row r="926" spans="4:19">
      <c r="D926">
        <f>'Audit Report'!B926</f>
        <v>0</v>
      </c>
      <c r="E926">
        <f>'Audit Report'!C926</f>
        <v>0</v>
      </c>
      <c r="I926">
        <f>'Audit Report'!E926</f>
        <v>0</v>
      </c>
      <c r="J926">
        <f>'Audit Report'!G926</f>
        <v>0</v>
      </c>
      <c r="L926" t="str">
        <f>_xlfn.TEXTJOIN(", ", FALSE, 'Audit Report'!J926,'Audit Report'!K926,'Audit Report'!L926)</f>
        <v xml:space="preserve">, , </v>
      </c>
      <c r="M926">
        <f>'Audit Report'!M926</f>
        <v>0</v>
      </c>
      <c r="N926" t="str" cm="1">
        <f t="array" ref="N926">IF(M926="","",
_xlfn.TEXTJOIN(", ",TRUE,
    _xlfn.MAP(_xlfn.TEXTSPLIT(M926,","),_xlfn.LAMBDA(_xlpm.x,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6" t="e">
        <f>'Audit Report'!#REF!</f>
        <v>#REF!</v>
      </c>
      <c r="S926">
        <f>'Audit Report'!N926</f>
        <v>0</v>
      </c>
    </row>
    <row r="927" spans="4:19">
      <c r="D927">
        <f>'Audit Report'!B927</f>
        <v>0</v>
      </c>
      <c r="E927">
        <f>'Audit Report'!C927</f>
        <v>0</v>
      </c>
      <c r="I927">
        <f>'Audit Report'!E927</f>
        <v>0</v>
      </c>
      <c r="J927">
        <f>'Audit Report'!G927</f>
        <v>0</v>
      </c>
      <c r="L927" t="str">
        <f>_xlfn.TEXTJOIN(", ", FALSE, 'Audit Report'!J927,'Audit Report'!K927,'Audit Report'!L927)</f>
        <v xml:space="preserve">, , </v>
      </c>
      <c r="M927">
        <f>'Audit Report'!M927</f>
        <v>0</v>
      </c>
      <c r="N927" t="str" cm="1">
        <f t="array" ref="N927">IF(M927="","",
_xlfn.TEXTJOIN(", ",TRUE,
    _xlfn.MAP(_xlfn.TEXTSPLIT(M927,","),_xlfn.LAMBDA(_xlpm.x,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7" t="e">
        <f>'Audit Report'!#REF!</f>
        <v>#REF!</v>
      </c>
      <c r="S927">
        <f>'Audit Report'!N927</f>
        <v>0</v>
      </c>
    </row>
    <row r="928" spans="4:19">
      <c r="D928">
        <f>'Audit Report'!B928</f>
        <v>0</v>
      </c>
      <c r="E928">
        <f>'Audit Report'!C928</f>
        <v>0</v>
      </c>
      <c r="I928">
        <f>'Audit Report'!E928</f>
        <v>0</v>
      </c>
      <c r="J928">
        <f>'Audit Report'!G928</f>
        <v>0</v>
      </c>
      <c r="L928" t="str">
        <f>_xlfn.TEXTJOIN(", ", FALSE, 'Audit Report'!J928,'Audit Report'!K928,'Audit Report'!L928)</f>
        <v xml:space="preserve">, , </v>
      </c>
      <c r="M928">
        <f>'Audit Report'!M928</f>
        <v>0</v>
      </c>
      <c r="N928" t="str" cm="1">
        <f t="array" ref="N928">IF(M928="","",
_xlfn.TEXTJOIN(", ",TRUE,
    _xlfn.MAP(_xlfn.TEXTSPLIT(M928,","),_xlfn.LAMBDA(_xlpm.x,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8" t="e">
        <f>'Audit Report'!#REF!</f>
        <v>#REF!</v>
      </c>
      <c r="S928">
        <f>'Audit Report'!N928</f>
        <v>0</v>
      </c>
    </row>
    <row r="929" spans="4:19">
      <c r="D929">
        <f>'Audit Report'!B929</f>
        <v>0</v>
      </c>
      <c r="E929">
        <f>'Audit Report'!C929</f>
        <v>0</v>
      </c>
      <c r="I929">
        <f>'Audit Report'!E929</f>
        <v>0</v>
      </c>
      <c r="J929">
        <f>'Audit Report'!G929</f>
        <v>0</v>
      </c>
      <c r="L929" t="str">
        <f>_xlfn.TEXTJOIN(", ", FALSE, 'Audit Report'!J929,'Audit Report'!K929,'Audit Report'!L929)</f>
        <v xml:space="preserve">, , </v>
      </c>
      <c r="M929">
        <f>'Audit Report'!M929</f>
        <v>0</v>
      </c>
      <c r="N929" t="str" cm="1">
        <f t="array" ref="N929">IF(M929="","",
_xlfn.TEXTJOIN(", ",TRUE,
    _xlfn.MAP(_xlfn.TEXTSPLIT(M929,","),_xlfn.LAMBDA(_xlpm.x,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9" t="e">
        <f>'Audit Report'!#REF!</f>
        <v>#REF!</v>
      </c>
      <c r="S929">
        <f>'Audit Report'!N929</f>
        <v>0</v>
      </c>
    </row>
    <row r="930" spans="4:19">
      <c r="D930">
        <f>'Audit Report'!B930</f>
        <v>0</v>
      </c>
      <c r="E930">
        <f>'Audit Report'!C930</f>
        <v>0</v>
      </c>
      <c r="I930">
        <f>'Audit Report'!E930</f>
        <v>0</v>
      </c>
      <c r="J930">
        <f>'Audit Report'!G930</f>
        <v>0</v>
      </c>
      <c r="L930" t="str">
        <f>_xlfn.TEXTJOIN(", ", FALSE, 'Audit Report'!J930,'Audit Report'!K930,'Audit Report'!L930)</f>
        <v xml:space="preserve">, , </v>
      </c>
      <c r="M930">
        <f>'Audit Report'!M930</f>
        <v>0</v>
      </c>
      <c r="N930" t="str" cm="1">
        <f t="array" ref="N930">IF(M930="","",
_xlfn.TEXTJOIN(", ",TRUE,
    _xlfn.MAP(_xlfn.TEXTSPLIT(M930,","),_xlfn.LAMBDA(_xlpm.x,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0" t="e">
        <f>'Audit Report'!#REF!</f>
        <v>#REF!</v>
      </c>
      <c r="S930">
        <f>'Audit Report'!N930</f>
        <v>0</v>
      </c>
    </row>
    <row r="931" spans="4:19">
      <c r="D931">
        <f>'Audit Report'!B931</f>
        <v>0</v>
      </c>
      <c r="E931">
        <f>'Audit Report'!C931</f>
        <v>0</v>
      </c>
      <c r="I931">
        <f>'Audit Report'!E931</f>
        <v>0</v>
      </c>
      <c r="J931">
        <f>'Audit Report'!G931</f>
        <v>0</v>
      </c>
      <c r="L931" t="str">
        <f>_xlfn.TEXTJOIN(", ", FALSE, 'Audit Report'!J931,'Audit Report'!K931,'Audit Report'!L931)</f>
        <v xml:space="preserve">, , </v>
      </c>
      <c r="M931">
        <f>'Audit Report'!M931</f>
        <v>0</v>
      </c>
      <c r="N931" t="str" cm="1">
        <f t="array" ref="N931">IF(M931="","",
_xlfn.TEXTJOIN(", ",TRUE,
    _xlfn.MAP(_xlfn.TEXTSPLIT(M931,","),_xlfn.LAMBDA(_xlpm.x,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1" t="e">
        <f>'Audit Report'!#REF!</f>
        <v>#REF!</v>
      </c>
      <c r="S931">
        <f>'Audit Report'!N931</f>
        <v>0</v>
      </c>
    </row>
    <row r="932" spans="4:19">
      <c r="D932">
        <f>'Audit Report'!B932</f>
        <v>0</v>
      </c>
      <c r="E932">
        <f>'Audit Report'!C932</f>
        <v>0</v>
      </c>
      <c r="I932">
        <f>'Audit Report'!E932</f>
        <v>0</v>
      </c>
      <c r="J932">
        <f>'Audit Report'!G932</f>
        <v>0</v>
      </c>
      <c r="L932" t="str">
        <f>_xlfn.TEXTJOIN(", ", FALSE, 'Audit Report'!J932,'Audit Report'!K932,'Audit Report'!L932)</f>
        <v xml:space="preserve">, , </v>
      </c>
      <c r="M932">
        <f>'Audit Report'!M932</f>
        <v>0</v>
      </c>
      <c r="N932" t="str" cm="1">
        <f t="array" ref="N932">IF(M932="","",
_xlfn.TEXTJOIN(", ",TRUE,
    _xlfn.MAP(_xlfn.TEXTSPLIT(M932,","),_xlfn.LAMBDA(_xlpm.x,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2" t="e">
        <f>'Audit Report'!#REF!</f>
        <v>#REF!</v>
      </c>
      <c r="S932">
        <f>'Audit Report'!N932</f>
        <v>0</v>
      </c>
    </row>
    <row r="933" spans="4:19">
      <c r="D933">
        <f>'Audit Report'!B933</f>
        <v>0</v>
      </c>
      <c r="E933">
        <f>'Audit Report'!C933</f>
        <v>0</v>
      </c>
      <c r="I933">
        <f>'Audit Report'!E933</f>
        <v>0</v>
      </c>
      <c r="J933">
        <f>'Audit Report'!G933</f>
        <v>0</v>
      </c>
      <c r="L933" t="str">
        <f>_xlfn.TEXTJOIN(", ", FALSE, 'Audit Report'!J933,'Audit Report'!K933,'Audit Report'!L933)</f>
        <v xml:space="preserve">, , </v>
      </c>
      <c r="M933">
        <f>'Audit Report'!M933</f>
        <v>0</v>
      </c>
      <c r="N933" t="str" cm="1">
        <f t="array" ref="N933">IF(M933="","",
_xlfn.TEXTJOIN(", ",TRUE,
    _xlfn.MAP(_xlfn.TEXTSPLIT(M933,","),_xlfn.LAMBDA(_xlpm.x,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3" t="e">
        <f>'Audit Report'!#REF!</f>
        <v>#REF!</v>
      </c>
      <c r="S933">
        <f>'Audit Report'!N933</f>
        <v>0</v>
      </c>
    </row>
    <row r="934" spans="4:19">
      <c r="D934">
        <f>'Audit Report'!B934</f>
        <v>0</v>
      </c>
      <c r="E934">
        <f>'Audit Report'!C934</f>
        <v>0</v>
      </c>
      <c r="I934">
        <f>'Audit Report'!E934</f>
        <v>0</v>
      </c>
      <c r="J934">
        <f>'Audit Report'!G934</f>
        <v>0</v>
      </c>
      <c r="L934" t="str">
        <f>_xlfn.TEXTJOIN(", ", FALSE, 'Audit Report'!J934,'Audit Report'!K934,'Audit Report'!L934)</f>
        <v xml:space="preserve">, , </v>
      </c>
      <c r="M934">
        <f>'Audit Report'!M934</f>
        <v>0</v>
      </c>
      <c r="N934" t="str" cm="1">
        <f t="array" ref="N934">IF(M934="","",
_xlfn.TEXTJOIN(", ",TRUE,
    _xlfn.MAP(_xlfn.TEXTSPLIT(M934,","),_xlfn.LAMBDA(_xlpm.x,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4" t="e">
        <f>'Audit Report'!#REF!</f>
        <v>#REF!</v>
      </c>
      <c r="S934">
        <f>'Audit Report'!N934</f>
        <v>0</v>
      </c>
    </row>
    <row r="935" spans="4:19">
      <c r="D935">
        <f>'Audit Report'!B935</f>
        <v>0</v>
      </c>
      <c r="E935">
        <f>'Audit Report'!C935</f>
        <v>0</v>
      </c>
      <c r="I935">
        <f>'Audit Report'!E935</f>
        <v>0</v>
      </c>
      <c r="J935">
        <f>'Audit Report'!G935</f>
        <v>0</v>
      </c>
      <c r="L935" t="str">
        <f>_xlfn.TEXTJOIN(", ", FALSE, 'Audit Report'!J935,'Audit Report'!K935,'Audit Report'!L935)</f>
        <v xml:space="preserve">, , </v>
      </c>
      <c r="M935">
        <f>'Audit Report'!M935</f>
        <v>0</v>
      </c>
      <c r="N935" t="str" cm="1">
        <f t="array" ref="N935">IF(M935="","",
_xlfn.TEXTJOIN(", ",TRUE,
    _xlfn.MAP(_xlfn.TEXTSPLIT(M935,","),_xlfn.LAMBDA(_xlpm.x,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5" t="e">
        <f>'Audit Report'!#REF!</f>
        <v>#REF!</v>
      </c>
      <c r="S935">
        <f>'Audit Report'!N935</f>
        <v>0</v>
      </c>
    </row>
    <row r="936" spans="4:19">
      <c r="D936">
        <f>'Audit Report'!B936</f>
        <v>0</v>
      </c>
      <c r="E936">
        <f>'Audit Report'!C936</f>
        <v>0</v>
      </c>
      <c r="I936">
        <f>'Audit Report'!E936</f>
        <v>0</v>
      </c>
      <c r="J936">
        <f>'Audit Report'!G936</f>
        <v>0</v>
      </c>
      <c r="L936" t="str">
        <f>_xlfn.TEXTJOIN(", ", FALSE, 'Audit Report'!J936,'Audit Report'!K936,'Audit Report'!L936)</f>
        <v xml:space="preserve">, , </v>
      </c>
      <c r="M936">
        <f>'Audit Report'!M936</f>
        <v>0</v>
      </c>
      <c r="N936" t="str" cm="1">
        <f t="array" ref="N936">IF(M936="","",
_xlfn.TEXTJOIN(", ",TRUE,
    _xlfn.MAP(_xlfn.TEXTSPLIT(M936,","),_xlfn.LAMBDA(_xlpm.x,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6" t="e">
        <f>'Audit Report'!#REF!</f>
        <v>#REF!</v>
      </c>
      <c r="S936">
        <f>'Audit Report'!N936</f>
        <v>0</v>
      </c>
    </row>
    <row r="937" spans="4:19">
      <c r="D937">
        <f>'Audit Report'!B937</f>
        <v>0</v>
      </c>
      <c r="E937">
        <f>'Audit Report'!C937</f>
        <v>0</v>
      </c>
      <c r="I937">
        <f>'Audit Report'!E937</f>
        <v>0</v>
      </c>
      <c r="J937">
        <f>'Audit Report'!G937</f>
        <v>0</v>
      </c>
      <c r="L937" t="str">
        <f>_xlfn.TEXTJOIN(", ", FALSE, 'Audit Report'!J937,'Audit Report'!K937,'Audit Report'!L937)</f>
        <v xml:space="preserve">, , </v>
      </c>
      <c r="M937">
        <f>'Audit Report'!M937</f>
        <v>0</v>
      </c>
      <c r="N937" t="str" cm="1">
        <f t="array" ref="N937">IF(M937="","",
_xlfn.TEXTJOIN(", ",TRUE,
    _xlfn.MAP(_xlfn.TEXTSPLIT(M937,","),_xlfn.LAMBDA(_xlpm.x,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7" t="e">
        <f>'Audit Report'!#REF!</f>
        <v>#REF!</v>
      </c>
      <c r="S937">
        <f>'Audit Report'!N937</f>
        <v>0</v>
      </c>
    </row>
    <row r="938" spans="4:19">
      <c r="D938">
        <f>'Audit Report'!B938</f>
        <v>0</v>
      </c>
      <c r="E938">
        <f>'Audit Report'!C938</f>
        <v>0</v>
      </c>
      <c r="I938">
        <f>'Audit Report'!E938</f>
        <v>0</v>
      </c>
      <c r="J938">
        <f>'Audit Report'!G938</f>
        <v>0</v>
      </c>
      <c r="L938" t="str">
        <f>_xlfn.TEXTJOIN(", ", FALSE, 'Audit Report'!J938,'Audit Report'!K938,'Audit Report'!L938)</f>
        <v xml:space="preserve">, , </v>
      </c>
      <c r="M938">
        <f>'Audit Report'!M938</f>
        <v>0</v>
      </c>
      <c r="N938" t="str" cm="1">
        <f t="array" ref="N938">IF(M938="","",
_xlfn.TEXTJOIN(", ",TRUE,
    _xlfn.MAP(_xlfn.TEXTSPLIT(M938,","),_xlfn.LAMBDA(_xlpm.x,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8" t="e">
        <f>'Audit Report'!#REF!</f>
        <v>#REF!</v>
      </c>
      <c r="S938">
        <f>'Audit Report'!N938</f>
        <v>0</v>
      </c>
    </row>
    <row r="939" spans="4:19">
      <c r="D939">
        <f>'Audit Report'!B939</f>
        <v>0</v>
      </c>
      <c r="E939">
        <f>'Audit Report'!C939</f>
        <v>0</v>
      </c>
      <c r="I939">
        <f>'Audit Report'!E939</f>
        <v>0</v>
      </c>
      <c r="J939">
        <f>'Audit Report'!G939</f>
        <v>0</v>
      </c>
      <c r="L939" t="str">
        <f>_xlfn.TEXTJOIN(", ", FALSE, 'Audit Report'!J939,'Audit Report'!K939,'Audit Report'!L939)</f>
        <v xml:space="preserve">, , </v>
      </c>
      <c r="M939">
        <f>'Audit Report'!M939</f>
        <v>0</v>
      </c>
      <c r="N939" t="str" cm="1">
        <f t="array" ref="N939">IF(M939="","",
_xlfn.TEXTJOIN(", ",TRUE,
    _xlfn.MAP(_xlfn.TEXTSPLIT(M939,","),_xlfn.LAMBDA(_xlpm.x,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9" t="e">
        <f>'Audit Report'!#REF!</f>
        <v>#REF!</v>
      </c>
      <c r="S939">
        <f>'Audit Report'!N939</f>
        <v>0</v>
      </c>
    </row>
    <row r="940" spans="4:19">
      <c r="D940">
        <f>'Audit Report'!B940</f>
        <v>0</v>
      </c>
      <c r="E940">
        <f>'Audit Report'!C940</f>
        <v>0</v>
      </c>
      <c r="I940">
        <f>'Audit Report'!E940</f>
        <v>0</v>
      </c>
      <c r="J940">
        <f>'Audit Report'!G940</f>
        <v>0</v>
      </c>
      <c r="L940" t="str">
        <f>_xlfn.TEXTJOIN(", ", FALSE, 'Audit Report'!J940,'Audit Report'!K940,'Audit Report'!L940)</f>
        <v xml:space="preserve">, , </v>
      </c>
      <c r="M940">
        <f>'Audit Report'!M940</f>
        <v>0</v>
      </c>
      <c r="N940" t="str" cm="1">
        <f t="array" ref="N940">IF(M940="","",
_xlfn.TEXTJOIN(", ",TRUE,
    _xlfn.MAP(_xlfn.TEXTSPLIT(M940,","),_xlfn.LAMBDA(_xlpm.x,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0" t="e">
        <f>'Audit Report'!#REF!</f>
        <v>#REF!</v>
      </c>
      <c r="S940">
        <f>'Audit Report'!N940</f>
        <v>0</v>
      </c>
    </row>
    <row r="941" spans="4:19">
      <c r="D941">
        <f>'Audit Report'!B941</f>
        <v>0</v>
      </c>
      <c r="E941">
        <f>'Audit Report'!C941</f>
        <v>0</v>
      </c>
      <c r="I941">
        <f>'Audit Report'!E941</f>
        <v>0</v>
      </c>
      <c r="J941">
        <f>'Audit Report'!G941</f>
        <v>0</v>
      </c>
      <c r="L941" t="str">
        <f>_xlfn.TEXTJOIN(", ", FALSE, 'Audit Report'!J941,'Audit Report'!K941,'Audit Report'!L941)</f>
        <v xml:space="preserve">, , </v>
      </c>
      <c r="M941">
        <f>'Audit Report'!M941</f>
        <v>0</v>
      </c>
      <c r="N941" t="str" cm="1">
        <f t="array" ref="N941">IF(M941="","",
_xlfn.TEXTJOIN(", ",TRUE,
    _xlfn.MAP(_xlfn.TEXTSPLIT(M941,","),_xlfn.LAMBDA(_xlpm.x,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1" t="e">
        <f>'Audit Report'!#REF!</f>
        <v>#REF!</v>
      </c>
      <c r="S941">
        <f>'Audit Report'!N941</f>
        <v>0</v>
      </c>
    </row>
    <row r="942" spans="4:19">
      <c r="D942">
        <f>'Audit Report'!B942</f>
        <v>0</v>
      </c>
      <c r="E942">
        <f>'Audit Report'!C942</f>
        <v>0</v>
      </c>
      <c r="I942">
        <f>'Audit Report'!E942</f>
        <v>0</v>
      </c>
      <c r="J942">
        <f>'Audit Report'!G942</f>
        <v>0</v>
      </c>
      <c r="L942" t="str">
        <f>_xlfn.TEXTJOIN(", ", FALSE, 'Audit Report'!J942,'Audit Report'!K942,'Audit Report'!L942)</f>
        <v xml:space="preserve">, , </v>
      </c>
      <c r="M942">
        <f>'Audit Report'!M942</f>
        <v>0</v>
      </c>
      <c r="N942" t="str" cm="1">
        <f t="array" ref="N942">IF(M942="","",
_xlfn.TEXTJOIN(", ",TRUE,
    _xlfn.MAP(_xlfn.TEXTSPLIT(M942,","),_xlfn.LAMBDA(_xlpm.x,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2" t="e">
        <f>'Audit Report'!#REF!</f>
        <v>#REF!</v>
      </c>
      <c r="S942">
        <f>'Audit Report'!N942</f>
        <v>0</v>
      </c>
    </row>
    <row r="943" spans="4:19">
      <c r="D943">
        <f>'Audit Report'!B943</f>
        <v>0</v>
      </c>
      <c r="E943">
        <f>'Audit Report'!C943</f>
        <v>0</v>
      </c>
      <c r="I943">
        <f>'Audit Report'!E943</f>
        <v>0</v>
      </c>
      <c r="J943">
        <f>'Audit Report'!G943</f>
        <v>0</v>
      </c>
      <c r="L943" t="str">
        <f>_xlfn.TEXTJOIN(", ", FALSE, 'Audit Report'!J943,'Audit Report'!K943,'Audit Report'!L943)</f>
        <v xml:space="preserve">, , </v>
      </c>
      <c r="M943">
        <f>'Audit Report'!M943</f>
        <v>0</v>
      </c>
      <c r="N943" t="str" cm="1">
        <f t="array" ref="N943">IF(M943="","",
_xlfn.TEXTJOIN(", ",TRUE,
    _xlfn.MAP(_xlfn.TEXTSPLIT(M943,","),_xlfn.LAMBDA(_xlpm.x,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3" t="e">
        <f>'Audit Report'!#REF!</f>
        <v>#REF!</v>
      </c>
      <c r="S943">
        <f>'Audit Report'!N943</f>
        <v>0</v>
      </c>
    </row>
    <row r="944" spans="4:19">
      <c r="D944">
        <f>'Audit Report'!B944</f>
        <v>0</v>
      </c>
      <c r="E944">
        <f>'Audit Report'!C944</f>
        <v>0</v>
      </c>
      <c r="I944">
        <f>'Audit Report'!E944</f>
        <v>0</v>
      </c>
      <c r="J944">
        <f>'Audit Report'!G944</f>
        <v>0</v>
      </c>
      <c r="L944" t="str">
        <f>_xlfn.TEXTJOIN(", ", FALSE, 'Audit Report'!J944,'Audit Report'!K944,'Audit Report'!L944)</f>
        <v xml:space="preserve">, , </v>
      </c>
      <c r="M944">
        <f>'Audit Report'!M944</f>
        <v>0</v>
      </c>
      <c r="N944" t="str" cm="1">
        <f t="array" ref="N944">IF(M944="","",
_xlfn.TEXTJOIN(", ",TRUE,
    _xlfn.MAP(_xlfn.TEXTSPLIT(M944,","),_xlfn.LAMBDA(_xlpm.x,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4" t="e">
        <f>'Audit Report'!#REF!</f>
        <v>#REF!</v>
      </c>
      <c r="S944">
        <f>'Audit Report'!N944</f>
        <v>0</v>
      </c>
    </row>
    <row r="945" spans="4:19">
      <c r="D945">
        <f>'Audit Report'!B945</f>
        <v>0</v>
      </c>
      <c r="E945">
        <f>'Audit Report'!C945</f>
        <v>0</v>
      </c>
      <c r="I945">
        <f>'Audit Report'!E945</f>
        <v>0</v>
      </c>
      <c r="J945">
        <f>'Audit Report'!G945</f>
        <v>0</v>
      </c>
      <c r="L945" t="str">
        <f>_xlfn.TEXTJOIN(", ", FALSE, 'Audit Report'!J945,'Audit Report'!K945,'Audit Report'!L945)</f>
        <v xml:space="preserve">, , </v>
      </c>
      <c r="M945">
        <f>'Audit Report'!M945</f>
        <v>0</v>
      </c>
      <c r="N945" t="str" cm="1">
        <f t="array" ref="N945">IF(M945="","",
_xlfn.TEXTJOIN(", ",TRUE,
    _xlfn.MAP(_xlfn.TEXTSPLIT(M945,","),_xlfn.LAMBDA(_xlpm.x,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5" t="e">
        <f>'Audit Report'!#REF!</f>
        <v>#REF!</v>
      </c>
      <c r="S945">
        <f>'Audit Report'!N945</f>
        <v>0</v>
      </c>
    </row>
    <row r="946" spans="4:19">
      <c r="D946">
        <f>'Audit Report'!B946</f>
        <v>0</v>
      </c>
      <c r="E946">
        <f>'Audit Report'!C946</f>
        <v>0</v>
      </c>
      <c r="I946">
        <f>'Audit Report'!E946</f>
        <v>0</v>
      </c>
      <c r="J946">
        <f>'Audit Report'!G946</f>
        <v>0</v>
      </c>
      <c r="L946" t="str">
        <f>_xlfn.TEXTJOIN(", ", FALSE, 'Audit Report'!J946,'Audit Report'!K946,'Audit Report'!L946)</f>
        <v xml:space="preserve">, , </v>
      </c>
      <c r="M946">
        <f>'Audit Report'!M946</f>
        <v>0</v>
      </c>
      <c r="N946" t="str" cm="1">
        <f t="array" ref="N946">IF(M946="","",
_xlfn.TEXTJOIN(", ",TRUE,
    _xlfn.MAP(_xlfn.TEXTSPLIT(M946,","),_xlfn.LAMBDA(_xlpm.x,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6" t="e">
        <f>'Audit Report'!#REF!</f>
        <v>#REF!</v>
      </c>
      <c r="S946">
        <f>'Audit Report'!N946</f>
        <v>0</v>
      </c>
    </row>
    <row r="947" spans="4:19">
      <c r="D947">
        <f>'Audit Report'!B947</f>
        <v>0</v>
      </c>
      <c r="E947">
        <f>'Audit Report'!C947</f>
        <v>0</v>
      </c>
      <c r="I947">
        <f>'Audit Report'!E947</f>
        <v>0</v>
      </c>
      <c r="J947">
        <f>'Audit Report'!G947</f>
        <v>0</v>
      </c>
      <c r="L947" t="str">
        <f>_xlfn.TEXTJOIN(", ", FALSE, 'Audit Report'!J947,'Audit Report'!K947,'Audit Report'!L947)</f>
        <v xml:space="preserve">, , </v>
      </c>
      <c r="M947">
        <f>'Audit Report'!M947</f>
        <v>0</v>
      </c>
      <c r="N947" t="str" cm="1">
        <f t="array" ref="N947">IF(M947="","",
_xlfn.TEXTJOIN(", ",TRUE,
    _xlfn.MAP(_xlfn.TEXTSPLIT(M947,","),_xlfn.LAMBDA(_xlpm.x,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7" t="e">
        <f>'Audit Report'!#REF!</f>
        <v>#REF!</v>
      </c>
      <c r="S947">
        <f>'Audit Report'!N947</f>
        <v>0</v>
      </c>
    </row>
    <row r="948" spans="4:19">
      <c r="D948">
        <f>'Audit Report'!B948</f>
        <v>0</v>
      </c>
      <c r="E948">
        <f>'Audit Report'!C948</f>
        <v>0</v>
      </c>
      <c r="I948">
        <f>'Audit Report'!E948</f>
        <v>0</v>
      </c>
      <c r="J948">
        <f>'Audit Report'!G948</f>
        <v>0</v>
      </c>
      <c r="L948" t="str">
        <f>_xlfn.TEXTJOIN(", ", FALSE, 'Audit Report'!J948,'Audit Report'!K948,'Audit Report'!L948)</f>
        <v xml:space="preserve">, , </v>
      </c>
      <c r="M948">
        <f>'Audit Report'!M948</f>
        <v>0</v>
      </c>
      <c r="N948" t="str" cm="1">
        <f t="array" ref="N948">IF(M948="","",
_xlfn.TEXTJOIN(", ",TRUE,
    _xlfn.MAP(_xlfn.TEXTSPLIT(M948,","),_xlfn.LAMBDA(_xlpm.x,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8" t="e">
        <f>'Audit Report'!#REF!</f>
        <v>#REF!</v>
      </c>
      <c r="S948">
        <f>'Audit Report'!N948</f>
        <v>0</v>
      </c>
    </row>
    <row r="949" spans="4:19">
      <c r="D949">
        <f>'Audit Report'!B949</f>
        <v>0</v>
      </c>
      <c r="E949">
        <f>'Audit Report'!C949</f>
        <v>0</v>
      </c>
      <c r="I949">
        <f>'Audit Report'!E949</f>
        <v>0</v>
      </c>
      <c r="J949">
        <f>'Audit Report'!G949</f>
        <v>0</v>
      </c>
      <c r="L949" t="str">
        <f>_xlfn.TEXTJOIN(", ", FALSE, 'Audit Report'!J949,'Audit Report'!K949,'Audit Report'!L949)</f>
        <v xml:space="preserve">, , </v>
      </c>
      <c r="M949">
        <f>'Audit Report'!M949</f>
        <v>0</v>
      </c>
      <c r="N949" t="str" cm="1">
        <f t="array" ref="N949">IF(M949="","",
_xlfn.TEXTJOIN(", ",TRUE,
    _xlfn.MAP(_xlfn.TEXTSPLIT(M949,","),_xlfn.LAMBDA(_xlpm.x,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9" t="e">
        <f>'Audit Report'!#REF!</f>
        <v>#REF!</v>
      </c>
      <c r="S949">
        <f>'Audit Report'!N949</f>
        <v>0</v>
      </c>
    </row>
    <row r="950" spans="4:19">
      <c r="D950">
        <f>'Audit Report'!B950</f>
        <v>0</v>
      </c>
      <c r="E950">
        <f>'Audit Report'!C950</f>
        <v>0</v>
      </c>
      <c r="I950">
        <f>'Audit Report'!E950</f>
        <v>0</v>
      </c>
      <c r="J950">
        <f>'Audit Report'!G950</f>
        <v>0</v>
      </c>
      <c r="L950" t="str">
        <f>_xlfn.TEXTJOIN(", ", FALSE, 'Audit Report'!J950,'Audit Report'!K950,'Audit Report'!L950)</f>
        <v xml:space="preserve">, , </v>
      </c>
      <c r="M950">
        <f>'Audit Report'!M950</f>
        <v>0</v>
      </c>
      <c r="N950" t="str" cm="1">
        <f t="array" ref="N950">IF(M950="","",
_xlfn.TEXTJOIN(", ",TRUE,
    _xlfn.MAP(_xlfn.TEXTSPLIT(M950,","),_xlfn.LAMBDA(_xlpm.x,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0" t="e">
        <f>'Audit Report'!#REF!</f>
        <v>#REF!</v>
      </c>
      <c r="S950">
        <f>'Audit Report'!N950</f>
        <v>0</v>
      </c>
    </row>
    <row r="951" spans="4:19">
      <c r="D951">
        <f>'Audit Report'!B951</f>
        <v>0</v>
      </c>
      <c r="E951">
        <f>'Audit Report'!C951</f>
        <v>0</v>
      </c>
      <c r="I951">
        <f>'Audit Report'!E951</f>
        <v>0</v>
      </c>
      <c r="J951">
        <f>'Audit Report'!G951</f>
        <v>0</v>
      </c>
      <c r="L951" t="str">
        <f>_xlfn.TEXTJOIN(", ", FALSE, 'Audit Report'!J951,'Audit Report'!K951,'Audit Report'!L951)</f>
        <v xml:space="preserve">, , </v>
      </c>
      <c r="M951">
        <f>'Audit Report'!M951</f>
        <v>0</v>
      </c>
      <c r="N951" t="str" cm="1">
        <f t="array" ref="N951">IF(M951="","",
_xlfn.TEXTJOIN(", ",TRUE,
    _xlfn.MAP(_xlfn.TEXTSPLIT(M951,","),_xlfn.LAMBDA(_xlpm.x,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1" t="e">
        <f>'Audit Report'!#REF!</f>
        <v>#REF!</v>
      </c>
      <c r="S951">
        <f>'Audit Report'!N951</f>
        <v>0</v>
      </c>
    </row>
    <row r="952" spans="4:19">
      <c r="D952">
        <f>'Audit Report'!B952</f>
        <v>0</v>
      </c>
      <c r="E952">
        <f>'Audit Report'!C952</f>
        <v>0</v>
      </c>
      <c r="I952">
        <f>'Audit Report'!E952</f>
        <v>0</v>
      </c>
      <c r="J952">
        <f>'Audit Report'!G952</f>
        <v>0</v>
      </c>
      <c r="L952" t="str">
        <f>_xlfn.TEXTJOIN(", ", FALSE, 'Audit Report'!J952,'Audit Report'!K952,'Audit Report'!L952)</f>
        <v xml:space="preserve">, , </v>
      </c>
      <c r="M952">
        <f>'Audit Report'!M952</f>
        <v>0</v>
      </c>
      <c r="N952" t="str" cm="1">
        <f t="array" ref="N952">IF(M952="","",
_xlfn.TEXTJOIN(", ",TRUE,
    _xlfn.MAP(_xlfn.TEXTSPLIT(M952,","),_xlfn.LAMBDA(_xlpm.x,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2" t="e">
        <f>'Audit Report'!#REF!</f>
        <v>#REF!</v>
      </c>
      <c r="S952">
        <f>'Audit Report'!N952</f>
        <v>0</v>
      </c>
    </row>
    <row r="953" spans="4:19">
      <c r="D953">
        <f>'Audit Report'!B953</f>
        <v>0</v>
      </c>
      <c r="E953">
        <f>'Audit Report'!C953</f>
        <v>0</v>
      </c>
      <c r="I953">
        <f>'Audit Report'!E953</f>
        <v>0</v>
      </c>
      <c r="J953">
        <f>'Audit Report'!G953</f>
        <v>0</v>
      </c>
      <c r="L953" t="str">
        <f>_xlfn.TEXTJOIN(", ", FALSE, 'Audit Report'!J953,'Audit Report'!K953,'Audit Report'!L953)</f>
        <v xml:space="preserve">, , </v>
      </c>
      <c r="M953">
        <f>'Audit Report'!M953</f>
        <v>0</v>
      </c>
      <c r="N953" t="str" cm="1">
        <f t="array" ref="N953">IF(M953="","",
_xlfn.TEXTJOIN(", ",TRUE,
    _xlfn.MAP(_xlfn.TEXTSPLIT(M953,","),_xlfn.LAMBDA(_xlpm.x,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3" t="e">
        <f>'Audit Report'!#REF!</f>
        <v>#REF!</v>
      </c>
      <c r="S953">
        <f>'Audit Report'!N953</f>
        <v>0</v>
      </c>
    </row>
    <row r="954" spans="4:19">
      <c r="D954">
        <f>'Audit Report'!B954</f>
        <v>0</v>
      </c>
      <c r="E954">
        <f>'Audit Report'!C954</f>
        <v>0</v>
      </c>
      <c r="I954">
        <f>'Audit Report'!E954</f>
        <v>0</v>
      </c>
      <c r="J954">
        <f>'Audit Report'!G954</f>
        <v>0</v>
      </c>
      <c r="L954" t="str">
        <f>_xlfn.TEXTJOIN(", ", FALSE, 'Audit Report'!J954,'Audit Report'!K954,'Audit Report'!L954)</f>
        <v xml:space="preserve">, , </v>
      </c>
      <c r="M954">
        <f>'Audit Report'!M954</f>
        <v>0</v>
      </c>
      <c r="N954" t="str" cm="1">
        <f t="array" ref="N954">IF(M954="","",
_xlfn.TEXTJOIN(", ",TRUE,
    _xlfn.MAP(_xlfn.TEXTSPLIT(M954,","),_xlfn.LAMBDA(_xlpm.x,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4" t="e">
        <f>'Audit Report'!#REF!</f>
        <v>#REF!</v>
      </c>
      <c r="S954">
        <f>'Audit Report'!N954</f>
        <v>0</v>
      </c>
    </row>
    <row r="955" spans="4:19">
      <c r="D955">
        <f>'Audit Report'!B955</f>
        <v>0</v>
      </c>
      <c r="E955">
        <f>'Audit Report'!C955</f>
        <v>0</v>
      </c>
      <c r="I955">
        <f>'Audit Report'!E955</f>
        <v>0</v>
      </c>
      <c r="J955">
        <f>'Audit Report'!G955</f>
        <v>0</v>
      </c>
      <c r="L955" t="str">
        <f>_xlfn.TEXTJOIN(", ", FALSE, 'Audit Report'!J955,'Audit Report'!K955,'Audit Report'!L955)</f>
        <v xml:space="preserve">, , </v>
      </c>
      <c r="M955">
        <f>'Audit Report'!M955</f>
        <v>0</v>
      </c>
      <c r="N955" t="str" cm="1">
        <f t="array" ref="N955">IF(M955="","",
_xlfn.TEXTJOIN(", ",TRUE,
    _xlfn.MAP(_xlfn.TEXTSPLIT(M955,","),_xlfn.LAMBDA(_xlpm.x,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5" t="e">
        <f>'Audit Report'!#REF!</f>
        <v>#REF!</v>
      </c>
      <c r="S955">
        <f>'Audit Report'!N955</f>
        <v>0</v>
      </c>
    </row>
    <row r="956" spans="4:19">
      <c r="D956">
        <f>'Audit Report'!B956</f>
        <v>0</v>
      </c>
      <c r="E956">
        <f>'Audit Report'!C956</f>
        <v>0</v>
      </c>
      <c r="I956">
        <f>'Audit Report'!E956</f>
        <v>0</v>
      </c>
      <c r="J956">
        <f>'Audit Report'!G956</f>
        <v>0</v>
      </c>
      <c r="L956" t="str">
        <f>_xlfn.TEXTJOIN(", ", FALSE, 'Audit Report'!J956,'Audit Report'!K956,'Audit Report'!L956)</f>
        <v xml:space="preserve">, , </v>
      </c>
      <c r="M956">
        <f>'Audit Report'!M956</f>
        <v>0</v>
      </c>
      <c r="N956" t="str" cm="1">
        <f t="array" ref="N956">IF(M956="","",
_xlfn.TEXTJOIN(", ",TRUE,
    _xlfn.MAP(_xlfn.TEXTSPLIT(M956,","),_xlfn.LAMBDA(_xlpm.x,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6" t="e">
        <f>'Audit Report'!#REF!</f>
        <v>#REF!</v>
      </c>
      <c r="S956">
        <f>'Audit Report'!N956</f>
        <v>0</v>
      </c>
    </row>
    <row r="957" spans="4:19">
      <c r="D957">
        <f>'Audit Report'!B957</f>
        <v>0</v>
      </c>
      <c r="E957">
        <f>'Audit Report'!C957</f>
        <v>0</v>
      </c>
      <c r="I957">
        <f>'Audit Report'!E957</f>
        <v>0</v>
      </c>
      <c r="J957">
        <f>'Audit Report'!G957</f>
        <v>0</v>
      </c>
      <c r="L957" t="str">
        <f>_xlfn.TEXTJOIN(", ", FALSE, 'Audit Report'!J957,'Audit Report'!K957,'Audit Report'!L957)</f>
        <v xml:space="preserve">, , </v>
      </c>
      <c r="M957">
        <f>'Audit Report'!M957</f>
        <v>0</v>
      </c>
      <c r="N957" t="str" cm="1">
        <f t="array" ref="N957">IF(M957="","",
_xlfn.TEXTJOIN(", ",TRUE,
    _xlfn.MAP(_xlfn.TEXTSPLIT(M957,","),_xlfn.LAMBDA(_xlpm.x,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7" t="e">
        <f>'Audit Report'!#REF!</f>
        <v>#REF!</v>
      </c>
      <c r="S957">
        <f>'Audit Report'!N957</f>
        <v>0</v>
      </c>
    </row>
    <row r="958" spans="4:19">
      <c r="D958">
        <f>'Audit Report'!B958</f>
        <v>0</v>
      </c>
      <c r="E958">
        <f>'Audit Report'!C958</f>
        <v>0</v>
      </c>
      <c r="I958">
        <f>'Audit Report'!E958</f>
        <v>0</v>
      </c>
      <c r="J958">
        <f>'Audit Report'!G958</f>
        <v>0</v>
      </c>
      <c r="L958" t="str">
        <f>_xlfn.TEXTJOIN(", ", FALSE, 'Audit Report'!J958,'Audit Report'!K958,'Audit Report'!L958)</f>
        <v xml:space="preserve">, , </v>
      </c>
      <c r="M958">
        <f>'Audit Report'!M958</f>
        <v>0</v>
      </c>
      <c r="N958" t="str" cm="1">
        <f t="array" ref="N958">IF(M958="","",
_xlfn.TEXTJOIN(", ",TRUE,
    _xlfn.MAP(_xlfn.TEXTSPLIT(M958,","),_xlfn.LAMBDA(_xlpm.x,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8" t="e">
        <f>'Audit Report'!#REF!</f>
        <v>#REF!</v>
      </c>
      <c r="S958">
        <f>'Audit Report'!N958</f>
        <v>0</v>
      </c>
    </row>
    <row r="959" spans="4:19">
      <c r="D959">
        <f>'Audit Report'!B959</f>
        <v>0</v>
      </c>
      <c r="E959">
        <f>'Audit Report'!C959</f>
        <v>0</v>
      </c>
      <c r="I959">
        <f>'Audit Report'!E959</f>
        <v>0</v>
      </c>
      <c r="J959">
        <f>'Audit Report'!G959</f>
        <v>0</v>
      </c>
      <c r="L959" t="str">
        <f>_xlfn.TEXTJOIN(", ", FALSE, 'Audit Report'!J959,'Audit Report'!K959,'Audit Report'!L959)</f>
        <v xml:space="preserve">, , </v>
      </c>
      <c r="M959">
        <f>'Audit Report'!M959</f>
        <v>0</v>
      </c>
      <c r="N959" t="str" cm="1">
        <f t="array" ref="N959">IF(M959="","",
_xlfn.TEXTJOIN(", ",TRUE,
    _xlfn.MAP(_xlfn.TEXTSPLIT(M959,","),_xlfn.LAMBDA(_xlpm.x,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9" t="e">
        <f>'Audit Report'!#REF!</f>
        <v>#REF!</v>
      </c>
      <c r="S959">
        <f>'Audit Report'!N959</f>
        <v>0</v>
      </c>
    </row>
    <row r="960" spans="4:19">
      <c r="D960">
        <f>'Audit Report'!B960</f>
        <v>0</v>
      </c>
      <c r="E960">
        <f>'Audit Report'!C960</f>
        <v>0</v>
      </c>
      <c r="I960">
        <f>'Audit Report'!E960</f>
        <v>0</v>
      </c>
      <c r="J960">
        <f>'Audit Report'!G960</f>
        <v>0</v>
      </c>
      <c r="L960" t="str">
        <f>_xlfn.TEXTJOIN(", ", FALSE, 'Audit Report'!J960,'Audit Report'!K960,'Audit Report'!L960)</f>
        <v xml:space="preserve">, , </v>
      </c>
      <c r="M960">
        <f>'Audit Report'!M960</f>
        <v>0</v>
      </c>
      <c r="N960" t="str" cm="1">
        <f t="array" ref="N960">IF(M960="","",
_xlfn.TEXTJOIN(", ",TRUE,
    _xlfn.MAP(_xlfn.TEXTSPLIT(M960,","),_xlfn.LAMBDA(_xlpm.x,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0" t="e">
        <f>'Audit Report'!#REF!</f>
        <v>#REF!</v>
      </c>
      <c r="S960">
        <f>'Audit Report'!N960</f>
        <v>0</v>
      </c>
    </row>
    <row r="961" spans="4:19">
      <c r="D961">
        <f>'Audit Report'!B961</f>
        <v>0</v>
      </c>
      <c r="E961">
        <f>'Audit Report'!C961</f>
        <v>0</v>
      </c>
      <c r="I961">
        <f>'Audit Report'!E961</f>
        <v>0</v>
      </c>
      <c r="J961">
        <f>'Audit Report'!G961</f>
        <v>0</v>
      </c>
      <c r="L961" t="str">
        <f>_xlfn.TEXTJOIN(", ", FALSE, 'Audit Report'!J961,'Audit Report'!K961,'Audit Report'!L961)</f>
        <v xml:space="preserve">, , </v>
      </c>
      <c r="M961">
        <f>'Audit Report'!M961</f>
        <v>0</v>
      </c>
      <c r="N961" t="str" cm="1">
        <f t="array" ref="N961">IF(M961="","",
_xlfn.TEXTJOIN(", ",TRUE,
    _xlfn.MAP(_xlfn.TEXTSPLIT(M961,","),_xlfn.LAMBDA(_xlpm.x,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1" t="e">
        <f>'Audit Report'!#REF!</f>
        <v>#REF!</v>
      </c>
      <c r="S961">
        <f>'Audit Report'!N961</f>
        <v>0</v>
      </c>
    </row>
    <row r="962" spans="4:19">
      <c r="D962">
        <f>'Audit Report'!B962</f>
        <v>0</v>
      </c>
      <c r="E962">
        <f>'Audit Report'!C962</f>
        <v>0</v>
      </c>
      <c r="I962">
        <f>'Audit Report'!E962</f>
        <v>0</v>
      </c>
      <c r="J962">
        <f>'Audit Report'!G962</f>
        <v>0</v>
      </c>
      <c r="L962" t="str">
        <f>_xlfn.TEXTJOIN(", ", FALSE, 'Audit Report'!J962,'Audit Report'!K962,'Audit Report'!L962)</f>
        <v xml:space="preserve">, , </v>
      </c>
      <c r="M962">
        <f>'Audit Report'!M962</f>
        <v>0</v>
      </c>
      <c r="N962" t="str" cm="1">
        <f t="array" ref="N962">IF(M962="","",
_xlfn.TEXTJOIN(", ",TRUE,
    _xlfn.MAP(_xlfn.TEXTSPLIT(M962,","),_xlfn.LAMBDA(_xlpm.x,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2" t="e">
        <f>'Audit Report'!#REF!</f>
        <v>#REF!</v>
      </c>
      <c r="S962">
        <f>'Audit Report'!N962</f>
        <v>0</v>
      </c>
    </row>
    <row r="963" spans="4:19">
      <c r="D963">
        <f>'Audit Report'!B963</f>
        <v>0</v>
      </c>
      <c r="E963">
        <f>'Audit Report'!C963</f>
        <v>0</v>
      </c>
      <c r="I963">
        <f>'Audit Report'!E963</f>
        <v>0</v>
      </c>
      <c r="J963">
        <f>'Audit Report'!G963</f>
        <v>0</v>
      </c>
      <c r="L963" t="str">
        <f>_xlfn.TEXTJOIN(", ", FALSE, 'Audit Report'!J963,'Audit Report'!K963,'Audit Report'!L963)</f>
        <v xml:space="preserve">, , </v>
      </c>
      <c r="M963">
        <f>'Audit Report'!M963</f>
        <v>0</v>
      </c>
      <c r="N963" t="str" cm="1">
        <f t="array" ref="N963">IF(M963="","",
_xlfn.TEXTJOIN(", ",TRUE,
    _xlfn.MAP(_xlfn.TEXTSPLIT(M963,","),_xlfn.LAMBDA(_xlpm.x,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3" t="e">
        <f>'Audit Report'!#REF!</f>
        <v>#REF!</v>
      </c>
      <c r="S963">
        <f>'Audit Report'!N963</f>
        <v>0</v>
      </c>
    </row>
    <row r="964" spans="4:19">
      <c r="D964">
        <f>'Audit Report'!B964</f>
        <v>0</v>
      </c>
      <c r="E964">
        <f>'Audit Report'!C964</f>
        <v>0</v>
      </c>
      <c r="I964">
        <f>'Audit Report'!E964</f>
        <v>0</v>
      </c>
      <c r="J964">
        <f>'Audit Report'!G964</f>
        <v>0</v>
      </c>
      <c r="L964" t="str">
        <f>_xlfn.TEXTJOIN(", ", FALSE, 'Audit Report'!J964,'Audit Report'!K964,'Audit Report'!L964)</f>
        <v xml:space="preserve">, , </v>
      </c>
      <c r="M964">
        <f>'Audit Report'!M964</f>
        <v>0</v>
      </c>
      <c r="N964" t="str" cm="1">
        <f t="array" ref="N964">IF(M964="","",
_xlfn.TEXTJOIN(", ",TRUE,
    _xlfn.MAP(_xlfn.TEXTSPLIT(M964,","),_xlfn.LAMBDA(_xlpm.x,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4" t="e">
        <f>'Audit Report'!#REF!</f>
        <v>#REF!</v>
      </c>
      <c r="S964">
        <f>'Audit Report'!N964</f>
        <v>0</v>
      </c>
    </row>
    <row r="965" spans="4:19">
      <c r="D965">
        <f>'Audit Report'!B965</f>
        <v>0</v>
      </c>
      <c r="E965">
        <f>'Audit Report'!C965</f>
        <v>0</v>
      </c>
      <c r="I965">
        <f>'Audit Report'!E965</f>
        <v>0</v>
      </c>
      <c r="J965">
        <f>'Audit Report'!G965</f>
        <v>0</v>
      </c>
      <c r="L965" t="str">
        <f>_xlfn.TEXTJOIN(", ", FALSE, 'Audit Report'!J965,'Audit Report'!K965,'Audit Report'!L965)</f>
        <v xml:space="preserve">, , </v>
      </c>
      <c r="M965">
        <f>'Audit Report'!M965</f>
        <v>0</v>
      </c>
      <c r="N965" t="str" cm="1">
        <f t="array" ref="N965">IF(M965="","",
_xlfn.TEXTJOIN(", ",TRUE,
    _xlfn.MAP(_xlfn.TEXTSPLIT(M965,","),_xlfn.LAMBDA(_xlpm.x,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5" t="e">
        <f>'Audit Report'!#REF!</f>
        <v>#REF!</v>
      </c>
      <c r="S965">
        <f>'Audit Report'!N965</f>
        <v>0</v>
      </c>
    </row>
    <row r="966" spans="4:19">
      <c r="D966">
        <f>'Audit Report'!B966</f>
        <v>0</v>
      </c>
      <c r="E966">
        <f>'Audit Report'!C966</f>
        <v>0</v>
      </c>
      <c r="I966">
        <f>'Audit Report'!E966</f>
        <v>0</v>
      </c>
      <c r="J966">
        <f>'Audit Report'!G966</f>
        <v>0</v>
      </c>
      <c r="L966" t="str">
        <f>_xlfn.TEXTJOIN(", ", FALSE, 'Audit Report'!J966,'Audit Report'!K966,'Audit Report'!L966)</f>
        <v xml:space="preserve">, , </v>
      </c>
      <c r="M966">
        <f>'Audit Report'!M966</f>
        <v>0</v>
      </c>
      <c r="N966" t="str" cm="1">
        <f t="array" ref="N966">IF(M966="","",
_xlfn.TEXTJOIN(", ",TRUE,
    _xlfn.MAP(_xlfn.TEXTSPLIT(M966,","),_xlfn.LAMBDA(_xlpm.x,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6" t="e">
        <f>'Audit Report'!#REF!</f>
        <v>#REF!</v>
      </c>
      <c r="S966">
        <f>'Audit Report'!N966</f>
        <v>0</v>
      </c>
    </row>
    <row r="967" spans="4:19">
      <c r="D967">
        <f>'Audit Report'!B967</f>
        <v>0</v>
      </c>
      <c r="E967">
        <f>'Audit Report'!C967</f>
        <v>0</v>
      </c>
      <c r="I967">
        <f>'Audit Report'!E967</f>
        <v>0</v>
      </c>
      <c r="J967">
        <f>'Audit Report'!G967</f>
        <v>0</v>
      </c>
      <c r="L967" t="str">
        <f>_xlfn.TEXTJOIN(", ", FALSE, 'Audit Report'!J967,'Audit Report'!K967,'Audit Report'!L967)</f>
        <v xml:space="preserve">, , </v>
      </c>
      <c r="M967">
        <f>'Audit Report'!M967</f>
        <v>0</v>
      </c>
      <c r="N967" t="str" cm="1">
        <f t="array" ref="N967">IF(M967="","",
_xlfn.TEXTJOIN(", ",TRUE,
    _xlfn.MAP(_xlfn.TEXTSPLIT(M967,","),_xlfn.LAMBDA(_xlpm.x,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7" t="e">
        <f>'Audit Report'!#REF!</f>
        <v>#REF!</v>
      </c>
      <c r="S967">
        <f>'Audit Report'!N967</f>
        <v>0</v>
      </c>
    </row>
    <row r="968" spans="4:19">
      <c r="D968">
        <f>'Audit Report'!B968</f>
        <v>0</v>
      </c>
      <c r="E968">
        <f>'Audit Report'!C968</f>
        <v>0</v>
      </c>
      <c r="I968">
        <f>'Audit Report'!E968</f>
        <v>0</v>
      </c>
      <c r="J968">
        <f>'Audit Report'!G968</f>
        <v>0</v>
      </c>
      <c r="L968" t="str">
        <f>_xlfn.TEXTJOIN(", ", FALSE, 'Audit Report'!J968,'Audit Report'!K968,'Audit Report'!L968)</f>
        <v xml:space="preserve">, , </v>
      </c>
      <c r="M968">
        <f>'Audit Report'!M968</f>
        <v>0</v>
      </c>
      <c r="N968" t="str" cm="1">
        <f t="array" ref="N968">IF(M968="","",
_xlfn.TEXTJOIN(", ",TRUE,
    _xlfn.MAP(_xlfn.TEXTSPLIT(M968,","),_xlfn.LAMBDA(_xlpm.x,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8" t="e">
        <f>'Audit Report'!#REF!</f>
        <v>#REF!</v>
      </c>
      <c r="S968">
        <f>'Audit Report'!N968</f>
        <v>0</v>
      </c>
    </row>
    <row r="969" spans="4:19">
      <c r="D969">
        <f>'Audit Report'!B969</f>
        <v>0</v>
      </c>
      <c r="E969">
        <f>'Audit Report'!C969</f>
        <v>0</v>
      </c>
      <c r="I969">
        <f>'Audit Report'!E969</f>
        <v>0</v>
      </c>
      <c r="J969">
        <f>'Audit Report'!G969</f>
        <v>0</v>
      </c>
      <c r="L969" t="str">
        <f>_xlfn.TEXTJOIN(", ", FALSE, 'Audit Report'!J969,'Audit Report'!K969,'Audit Report'!L969)</f>
        <v xml:space="preserve">, , </v>
      </c>
      <c r="M969">
        <f>'Audit Report'!M969</f>
        <v>0</v>
      </c>
      <c r="N969" t="str" cm="1">
        <f t="array" ref="N969">IF(M969="","",
_xlfn.TEXTJOIN(", ",TRUE,
    _xlfn.MAP(_xlfn.TEXTSPLIT(M969,","),_xlfn.LAMBDA(_xlpm.x,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9" t="e">
        <f>'Audit Report'!#REF!</f>
        <v>#REF!</v>
      </c>
      <c r="S969">
        <f>'Audit Report'!N969</f>
        <v>0</v>
      </c>
    </row>
    <row r="970" spans="4:19">
      <c r="D970">
        <f>'Audit Report'!B970</f>
        <v>0</v>
      </c>
      <c r="E970">
        <f>'Audit Report'!C970</f>
        <v>0</v>
      </c>
      <c r="I970">
        <f>'Audit Report'!E970</f>
        <v>0</v>
      </c>
      <c r="J970">
        <f>'Audit Report'!G970</f>
        <v>0</v>
      </c>
      <c r="L970" t="str">
        <f>_xlfn.TEXTJOIN(", ", FALSE, 'Audit Report'!J970,'Audit Report'!K970,'Audit Report'!L970)</f>
        <v xml:space="preserve">, , </v>
      </c>
      <c r="M970">
        <f>'Audit Report'!M970</f>
        <v>0</v>
      </c>
      <c r="N970" t="str" cm="1">
        <f t="array" ref="N970">IF(M970="","",
_xlfn.TEXTJOIN(", ",TRUE,
    _xlfn.MAP(_xlfn.TEXTSPLIT(M970,","),_xlfn.LAMBDA(_xlpm.x,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0" t="e">
        <f>'Audit Report'!#REF!</f>
        <v>#REF!</v>
      </c>
      <c r="S970">
        <f>'Audit Report'!N970</f>
        <v>0</v>
      </c>
    </row>
    <row r="971" spans="4:19">
      <c r="D971">
        <f>'Audit Report'!B971</f>
        <v>0</v>
      </c>
      <c r="E971">
        <f>'Audit Report'!C971</f>
        <v>0</v>
      </c>
      <c r="I971">
        <f>'Audit Report'!E971</f>
        <v>0</v>
      </c>
      <c r="J971">
        <f>'Audit Report'!G971</f>
        <v>0</v>
      </c>
      <c r="L971" t="str">
        <f>_xlfn.TEXTJOIN(", ", FALSE, 'Audit Report'!J971,'Audit Report'!K971,'Audit Report'!L971)</f>
        <v xml:space="preserve">, , </v>
      </c>
      <c r="M971">
        <f>'Audit Report'!M971</f>
        <v>0</v>
      </c>
      <c r="N971" t="str" cm="1">
        <f t="array" ref="N971">IF(M971="","",
_xlfn.TEXTJOIN(", ",TRUE,
    _xlfn.MAP(_xlfn.TEXTSPLIT(M971,","),_xlfn.LAMBDA(_xlpm.x,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1" t="e">
        <f>'Audit Report'!#REF!</f>
        <v>#REF!</v>
      </c>
      <c r="S971">
        <f>'Audit Report'!N971</f>
        <v>0</v>
      </c>
    </row>
    <row r="972" spans="4:19">
      <c r="D972">
        <f>'Audit Report'!B972</f>
        <v>0</v>
      </c>
      <c r="E972">
        <f>'Audit Report'!C972</f>
        <v>0</v>
      </c>
      <c r="I972">
        <f>'Audit Report'!E972</f>
        <v>0</v>
      </c>
      <c r="J972">
        <f>'Audit Report'!G972</f>
        <v>0</v>
      </c>
      <c r="L972" t="str">
        <f>_xlfn.TEXTJOIN(", ", FALSE, 'Audit Report'!J972,'Audit Report'!K972,'Audit Report'!L972)</f>
        <v xml:space="preserve">, , </v>
      </c>
      <c r="M972">
        <f>'Audit Report'!M972</f>
        <v>0</v>
      </c>
      <c r="N972" t="str" cm="1">
        <f t="array" ref="N972">IF(M972="","",
_xlfn.TEXTJOIN(", ",TRUE,
    _xlfn.MAP(_xlfn.TEXTSPLIT(M972,","),_xlfn.LAMBDA(_xlpm.x,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2" t="e">
        <f>'Audit Report'!#REF!</f>
        <v>#REF!</v>
      </c>
      <c r="S972">
        <f>'Audit Report'!N972</f>
        <v>0</v>
      </c>
    </row>
    <row r="973" spans="4:19">
      <c r="D973">
        <f>'Audit Report'!B973</f>
        <v>0</v>
      </c>
      <c r="E973">
        <f>'Audit Report'!C973</f>
        <v>0</v>
      </c>
      <c r="I973">
        <f>'Audit Report'!E973</f>
        <v>0</v>
      </c>
      <c r="J973">
        <f>'Audit Report'!G973</f>
        <v>0</v>
      </c>
      <c r="L973" t="str">
        <f>_xlfn.TEXTJOIN(", ", FALSE, 'Audit Report'!J973,'Audit Report'!K973,'Audit Report'!L973)</f>
        <v xml:space="preserve">, , </v>
      </c>
      <c r="M973">
        <f>'Audit Report'!M973</f>
        <v>0</v>
      </c>
      <c r="N973" t="str" cm="1">
        <f t="array" ref="N973">IF(M973="","",
_xlfn.TEXTJOIN(", ",TRUE,
    _xlfn.MAP(_xlfn.TEXTSPLIT(M973,","),_xlfn.LAMBDA(_xlpm.x,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3" t="e">
        <f>'Audit Report'!#REF!</f>
        <v>#REF!</v>
      </c>
      <c r="S973">
        <f>'Audit Report'!N973</f>
        <v>0</v>
      </c>
    </row>
    <row r="974" spans="4:19">
      <c r="D974">
        <f>'Audit Report'!B974</f>
        <v>0</v>
      </c>
      <c r="E974">
        <f>'Audit Report'!C974</f>
        <v>0</v>
      </c>
      <c r="I974">
        <f>'Audit Report'!E974</f>
        <v>0</v>
      </c>
      <c r="J974">
        <f>'Audit Report'!G974</f>
        <v>0</v>
      </c>
      <c r="L974" t="str">
        <f>_xlfn.TEXTJOIN(", ", FALSE, 'Audit Report'!J974,'Audit Report'!K974,'Audit Report'!L974)</f>
        <v xml:space="preserve">, , </v>
      </c>
      <c r="M974">
        <f>'Audit Report'!M974</f>
        <v>0</v>
      </c>
      <c r="N974" t="str" cm="1">
        <f t="array" ref="N974">IF(M974="","",
_xlfn.TEXTJOIN(", ",TRUE,
    _xlfn.MAP(_xlfn.TEXTSPLIT(M974,","),_xlfn.LAMBDA(_xlpm.x,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4" t="e">
        <f>'Audit Report'!#REF!</f>
        <v>#REF!</v>
      </c>
      <c r="S974">
        <f>'Audit Report'!N974</f>
        <v>0</v>
      </c>
    </row>
    <row r="975" spans="4:19">
      <c r="D975">
        <f>'Audit Report'!B975</f>
        <v>0</v>
      </c>
      <c r="E975">
        <f>'Audit Report'!C975</f>
        <v>0</v>
      </c>
      <c r="I975">
        <f>'Audit Report'!E975</f>
        <v>0</v>
      </c>
      <c r="J975">
        <f>'Audit Report'!G975</f>
        <v>0</v>
      </c>
      <c r="L975" t="str">
        <f>_xlfn.TEXTJOIN(", ", FALSE, 'Audit Report'!J975,'Audit Report'!K975,'Audit Report'!L975)</f>
        <v xml:space="preserve">, , </v>
      </c>
      <c r="M975">
        <f>'Audit Report'!M975</f>
        <v>0</v>
      </c>
      <c r="N975" t="str" cm="1">
        <f t="array" ref="N975">IF(M975="","",
_xlfn.TEXTJOIN(", ",TRUE,
    _xlfn.MAP(_xlfn.TEXTSPLIT(M975,","),_xlfn.LAMBDA(_xlpm.x,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5" t="e">
        <f>'Audit Report'!#REF!</f>
        <v>#REF!</v>
      </c>
      <c r="S975">
        <f>'Audit Report'!N975</f>
        <v>0</v>
      </c>
    </row>
    <row r="976" spans="4:19">
      <c r="D976">
        <f>'Audit Report'!B976</f>
        <v>0</v>
      </c>
      <c r="E976">
        <f>'Audit Report'!C976</f>
        <v>0</v>
      </c>
      <c r="I976">
        <f>'Audit Report'!E976</f>
        <v>0</v>
      </c>
      <c r="J976">
        <f>'Audit Report'!G976</f>
        <v>0</v>
      </c>
      <c r="L976" t="str">
        <f>_xlfn.TEXTJOIN(", ", FALSE, 'Audit Report'!J976,'Audit Report'!K976,'Audit Report'!L976)</f>
        <v xml:space="preserve">, , </v>
      </c>
      <c r="M976">
        <f>'Audit Report'!M976</f>
        <v>0</v>
      </c>
      <c r="N976" t="str" cm="1">
        <f t="array" ref="N976">IF(M976="","",
_xlfn.TEXTJOIN(", ",TRUE,
    _xlfn.MAP(_xlfn.TEXTSPLIT(M976,","),_xlfn.LAMBDA(_xlpm.x,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6" t="e">
        <f>'Audit Report'!#REF!</f>
        <v>#REF!</v>
      </c>
      <c r="S976">
        <f>'Audit Report'!N976</f>
        <v>0</v>
      </c>
    </row>
    <row r="977" spans="4:19">
      <c r="D977">
        <f>'Audit Report'!B977</f>
        <v>0</v>
      </c>
      <c r="E977">
        <f>'Audit Report'!C977</f>
        <v>0</v>
      </c>
      <c r="I977">
        <f>'Audit Report'!E977</f>
        <v>0</v>
      </c>
      <c r="J977">
        <f>'Audit Report'!G977</f>
        <v>0</v>
      </c>
      <c r="L977" t="str">
        <f>_xlfn.TEXTJOIN(", ", FALSE, 'Audit Report'!J977,'Audit Report'!K977,'Audit Report'!L977)</f>
        <v xml:space="preserve">, , </v>
      </c>
      <c r="M977">
        <f>'Audit Report'!M977</f>
        <v>0</v>
      </c>
      <c r="N977" t="str" cm="1">
        <f t="array" ref="N977">IF(M977="","",
_xlfn.TEXTJOIN(", ",TRUE,
    _xlfn.MAP(_xlfn.TEXTSPLIT(M977,","),_xlfn.LAMBDA(_xlpm.x,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7" t="e">
        <f>'Audit Report'!#REF!</f>
        <v>#REF!</v>
      </c>
      <c r="S977">
        <f>'Audit Report'!N977</f>
        <v>0</v>
      </c>
    </row>
    <row r="978" spans="4:19">
      <c r="D978">
        <f>'Audit Report'!B978</f>
        <v>0</v>
      </c>
      <c r="E978">
        <f>'Audit Report'!C978</f>
        <v>0</v>
      </c>
      <c r="I978">
        <f>'Audit Report'!E978</f>
        <v>0</v>
      </c>
      <c r="J978">
        <f>'Audit Report'!G978</f>
        <v>0</v>
      </c>
      <c r="L978" t="str">
        <f>_xlfn.TEXTJOIN(", ", FALSE, 'Audit Report'!J978,'Audit Report'!K978,'Audit Report'!L978)</f>
        <v xml:space="preserve">, , </v>
      </c>
      <c r="M978">
        <f>'Audit Report'!M978</f>
        <v>0</v>
      </c>
      <c r="N978" t="str" cm="1">
        <f t="array" ref="N978">IF(M978="","",
_xlfn.TEXTJOIN(", ",TRUE,
    _xlfn.MAP(_xlfn.TEXTSPLIT(M978,","),_xlfn.LAMBDA(_xlpm.x,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8" t="e">
        <f>'Audit Report'!#REF!</f>
        <v>#REF!</v>
      </c>
      <c r="S978">
        <f>'Audit Report'!N978</f>
        <v>0</v>
      </c>
    </row>
    <row r="979" spans="4:19">
      <c r="D979">
        <f>'Audit Report'!B979</f>
        <v>0</v>
      </c>
      <c r="E979">
        <f>'Audit Report'!C979</f>
        <v>0</v>
      </c>
      <c r="I979">
        <f>'Audit Report'!E979</f>
        <v>0</v>
      </c>
      <c r="J979">
        <f>'Audit Report'!G979</f>
        <v>0</v>
      </c>
      <c r="L979" t="str">
        <f>_xlfn.TEXTJOIN(", ", FALSE, 'Audit Report'!J979,'Audit Report'!K979,'Audit Report'!L979)</f>
        <v xml:space="preserve">, , </v>
      </c>
      <c r="M979">
        <f>'Audit Report'!M979</f>
        <v>0</v>
      </c>
      <c r="N979" t="str" cm="1">
        <f t="array" ref="N979">IF(M979="","",
_xlfn.TEXTJOIN(", ",TRUE,
    _xlfn.MAP(_xlfn.TEXTSPLIT(M979,","),_xlfn.LAMBDA(_xlpm.x,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9" t="e">
        <f>'Audit Report'!#REF!</f>
        <v>#REF!</v>
      </c>
      <c r="S979">
        <f>'Audit Report'!N979</f>
        <v>0</v>
      </c>
    </row>
    <row r="980" spans="4:19">
      <c r="D980">
        <f>'Audit Report'!B980</f>
        <v>0</v>
      </c>
      <c r="E980">
        <f>'Audit Report'!C980</f>
        <v>0</v>
      </c>
      <c r="I980">
        <f>'Audit Report'!E980</f>
        <v>0</v>
      </c>
      <c r="J980">
        <f>'Audit Report'!G980</f>
        <v>0</v>
      </c>
      <c r="L980" t="str">
        <f>_xlfn.TEXTJOIN(", ", FALSE, 'Audit Report'!J980,'Audit Report'!K980,'Audit Report'!L980)</f>
        <v xml:space="preserve">, , </v>
      </c>
      <c r="M980">
        <f>'Audit Report'!M980</f>
        <v>0</v>
      </c>
      <c r="N980" t="str" cm="1">
        <f t="array" ref="N980">IF(M980="","",
_xlfn.TEXTJOIN(", ",TRUE,
    _xlfn.MAP(_xlfn.TEXTSPLIT(M980,","),_xlfn.LAMBDA(_xlpm.x,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0" t="e">
        <f>'Audit Report'!#REF!</f>
        <v>#REF!</v>
      </c>
      <c r="S980">
        <f>'Audit Report'!N980</f>
        <v>0</v>
      </c>
    </row>
    <row r="981" spans="4:19">
      <c r="D981">
        <f>'Audit Report'!B981</f>
        <v>0</v>
      </c>
      <c r="E981">
        <f>'Audit Report'!C981</f>
        <v>0</v>
      </c>
      <c r="I981">
        <f>'Audit Report'!E981</f>
        <v>0</v>
      </c>
      <c r="J981">
        <f>'Audit Report'!G981</f>
        <v>0</v>
      </c>
      <c r="L981" t="str">
        <f>_xlfn.TEXTJOIN(", ", FALSE, 'Audit Report'!J981,'Audit Report'!K981,'Audit Report'!L981)</f>
        <v xml:space="preserve">, , </v>
      </c>
      <c r="M981">
        <f>'Audit Report'!M981</f>
        <v>0</v>
      </c>
      <c r="N981" t="str" cm="1">
        <f t="array" ref="N981">IF(M981="","",
_xlfn.TEXTJOIN(", ",TRUE,
    _xlfn.MAP(_xlfn.TEXTSPLIT(M981,","),_xlfn.LAMBDA(_xlpm.x,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1" t="e">
        <f>'Audit Report'!#REF!</f>
        <v>#REF!</v>
      </c>
      <c r="S981">
        <f>'Audit Report'!N981</f>
        <v>0</v>
      </c>
    </row>
    <row r="982" spans="4:19">
      <c r="D982">
        <f>'Audit Report'!B982</f>
        <v>0</v>
      </c>
      <c r="E982">
        <f>'Audit Report'!C982</f>
        <v>0</v>
      </c>
      <c r="I982">
        <f>'Audit Report'!E982</f>
        <v>0</v>
      </c>
      <c r="J982">
        <f>'Audit Report'!G982</f>
        <v>0</v>
      </c>
      <c r="L982" t="str">
        <f>_xlfn.TEXTJOIN(", ", FALSE, 'Audit Report'!J982,'Audit Report'!K982,'Audit Report'!L982)</f>
        <v xml:space="preserve">, , </v>
      </c>
      <c r="M982">
        <f>'Audit Report'!M982</f>
        <v>0</v>
      </c>
      <c r="N982" t="str" cm="1">
        <f t="array" ref="N982">IF(M982="","",
_xlfn.TEXTJOIN(", ",TRUE,
    _xlfn.MAP(_xlfn.TEXTSPLIT(M982,","),_xlfn.LAMBDA(_xlpm.x,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2" t="e">
        <f>'Audit Report'!#REF!</f>
        <v>#REF!</v>
      </c>
      <c r="S982">
        <f>'Audit Report'!N982</f>
        <v>0</v>
      </c>
    </row>
    <row r="983" spans="4:19">
      <c r="D983">
        <f>'Audit Report'!B983</f>
        <v>0</v>
      </c>
      <c r="E983">
        <f>'Audit Report'!C983</f>
        <v>0</v>
      </c>
      <c r="I983">
        <f>'Audit Report'!E983</f>
        <v>0</v>
      </c>
      <c r="J983">
        <f>'Audit Report'!G983</f>
        <v>0</v>
      </c>
      <c r="L983" t="str">
        <f>_xlfn.TEXTJOIN(", ", FALSE, 'Audit Report'!J983,'Audit Report'!K983,'Audit Report'!L983)</f>
        <v xml:space="preserve">, , </v>
      </c>
      <c r="M983">
        <f>'Audit Report'!M983</f>
        <v>0</v>
      </c>
      <c r="N983" t="str" cm="1">
        <f t="array" ref="N983">IF(M983="","",
_xlfn.TEXTJOIN(", ",TRUE,
    _xlfn.MAP(_xlfn.TEXTSPLIT(M983,","),_xlfn.LAMBDA(_xlpm.x,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3" t="e">
        <f>'Audit Report'!#REF!</f>
        <v>#REF!</v>
      </c>
      <c r="S983">
        <f>'Audit Report'!N983</f>
        <v>0</v>
      </c>
    </row>
    <row r="984" spans="4:19">
      <c r="D984">
        <f>'Audit Report'!B984</f>
        <v>0</v>
      </c>
      <c r="E984">
        <f>'Audit Report'!C984</f>
        <v>0</v>
      </c>
      <c r="I984">
        <f>'Audit Report'!E984</f>
        <v>0</v>
      </c>
      <c r="J984">
        <f>'Audit Report'!G984</f>
        <v>0</v>
      </c>
      <c r="L984" t="str">
        <f>_xlfn.TEXTJOIN(", ", FALSE, 'Audit Report'!J984,'Audit Report'!K984,'Audit Report'!L984)</f>
        <v xml:space="preserve">, , </v>
      </c>
      <c r="M984">
        <f>'Audit Report'!M984</f>
        <v>0</v>
      </c>
      <c r="N984" t="str" cm="1">
        <f t="array" ref="N984">IF(M984="","",
_xlfn.TEXTJOIN(", ",TRUE,
    _xlfn.MAP(_xlfn.TEXTSPLIT(M984,","),_xlfn.LAMBDA(_xlpm.x,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4" t="e">
        <f>'Audit Report'!#REF!</f>
        <v>#REF!</v>
      </c>
      <c r="S984">
        <f>'Audit Report'!N984</f>
        <v>0</v>
      </c>
    </row>
    <row r="985" spans="4:19">
      <c r="D985">
        <f>'Audit Report'!B985</f>
        <v>0</v>
      </c>
      <c r="E985">
        <f>'Audit Report'!C985</f>
        <v>0</v>
      </c>
      <c r="I985">
        <f>'Audit Report'!E985</f>
        <v>0</v>
      </c>
      <c r="J985">
        <f>'Audit Report'!G985</f>
        <v>0</v>
      </c>
      <c r="L985" t="str">
        <f>_xlfn.TEXTJOIN(", ", FALSE, 'Audit Report'!J985,'Audit Report'!K985,'Audit Report'!L985)</f>
        <v xml:space="preserve">, , </v>
      </c>
      <c r="M985">
        <f>'Audit Report'!M985</f>
        <v>0</v>
      </c>
      <c r="N985" t="str" cm="1">
        <f t="array" ref="N985">IF(M985="","",
_xlfn.TEXTJOIN(", ",TRUE,
    _xlfn.MAP(_xlfn.TEXTSPLIT(M985,","),_xlfn.LAMBDA(_xlpm.x,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5" t="e">
        <f>'Audit Report'!#REF!</f>
        <v>#REF!</v>
      </c>
      <c r="S985">
        <f>'Audit Report'!N985</f>
        <v>0</v>
      </c>
    </row>
    <row r="986" spans="4:19">
      <c r="D986">
        <f>'Audit Report'!B986</f>
        <v>0</v>
      </c>
      <c r="E986">
        <f>'Audit Report'!C986</f>
        <v>0</v>
      </c>
      <c r="I986">
        <f>'Audit Report'!E986</f>
        <v>0</v>
      </c>
      <c r="J986">
        <f>'Audit Report'!G986</f>
        <v>0</v>
      </c>
      <c r="L986" t="str">
        <f>_xlfn.TEXTJOIN(", ", FALSE, 'Audit Report'!J986,'Audit Report'!K986,'Audit Report'!L986)</f>
        <v xml:space="preserve">, , </v>
      </c>
      <c r="M986">
        <f>'Audit Report'!M986</f>
        <v>0</v>
      </c>
      <c r="N986" t="str" cm="1">
        <f t="array" ref="N986">IF(M986="","",
_xlfn.TEXTJOIN(", ",TRUE,
    _xlfn.MAP(_xlfn.TEXTSPLIT(M986,","),_xlfn.LAMBDA(_xlpm.x,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6" t="e">
        <f>'Audit Report'!#REF!</f>
        <v>#REF!</v>
      </c>
      <c r="S986">
        <f>'Audit Report'!N986</f>
        <v>0</v>
      </c>
    </row>
    <row r="987" spans="4:19">
      <c r="D987">
        <f>'Audit Report'!B987</f>
        <v>0</v>
      </c>
      <c r="E987">
        <f>'Audit Report'!C987</f>
        <v>0</v>
      </c>
      <c r="I987">
        <f>'Audit Report'!E987</f>
        <v>0</v>
      </c>
      <c r="J987">
        <f>'Audit Report'!G987</f>
        <v>0</v>
      </c>
      <c r="L987" t="str">
        <f>_xlfn.TEXTJOIN(", ", FALSE, 'Audit Report'!J987,'Audit Report'!K987,'Audit Report'!L987)</f>
        <v xml:space="preserve">, , </v>
      </c>
      <c r="M987">
        <f>'Audit Report'!M987</f>
        <v>0</v>
      </c>
      <c r="N987" t="str" cm="1">
        <f t="array" ref="N987">IF(M987="","",
_xlfn.TEXTJOIN(", ",TRUE,
    _xlfn.MAP(_xlfn.TEXTSPLIT(M987,","),_xlfn.LAMBDA(_xlpm.x,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7" t="e">
        <f>'Audit Report'!#REF!</f>
        <v>#REF!</v>
      </c>
      <c r="S987">
        <f>'Audit Report'!N987</f>
        <v>0</v>
      </c>
    </row>
    <row r="988" spans="4:19">
      <c r="D988">
        <f>'Audit Report'!B988</f>
        <v>0</v>
      </c>
      <c r="E988">
        <f>'Audit Report'!C988</f>
        <v>0</v>
      </c>
      <c r="I988">
        <f>'Audit Report'!E988</f>
        <v>0</v>
      </c>
      <c r="J988">
        <f>'Audit Report'!G988</f>
        <v>0</v>
      </c>
      <c r="L988" t="str">
        <f>_xlfn.TEXTJOIN(", ", FALSE, 'Audit Report'!J988,'Audit Report'!K988,'Audit Report'!L988)</f>
        <v xml:space="preserve">, , </v>
      </c>
      <c r="M988">
        <f>'Audit Report'!M988</f>
        <v>0</v>
      </c>
      <c r="N988" t="str" cm="1">
        <f t="array" ref="N988">IF(M988="","",
_xlfn.TEXTJOIN(", ",TRUE,
    _xlfn.MAP(_xlfn.TEXTSPLIT(M988,","),_xlfn.LAMBDA(_xlpm.x,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8" t="e">
        <f>'Audit Report'!#REF!</f>
        <v>#REF!</v>
      </c>
      <c r="S988">
        <f>'Audit Report'!N988</f>
        <v>0</v>
      </c>
    </row>
    <row r="989" spans="4:19">
      <c r="D989">
        <f>'Audit Report'!B989</f>
        <v>0</v>
      </c>
      <c r="E989">
        <f>'Audit Report'!C989</f>
        <v>0</v>
      </c>
      <c r="I989">
        <f>'Audit Report'!E989</f>
        <v>0</v>
      </c>
      <c r="J989">
        <f>'Audit Report'!G989</f>
        <v>0</v>
      </c>
      <c r="L989" t="str">
        <f>_xlfn.TEXTJOIN(", ", FALSE, 'Audit Report'!J989,'Audit Report'!K989,'Audit Report'!L989)</f>
        <v xml:space="preserve">, , </v>
      </c>
      <c r="M989">
        <f>'Audit Report'!M989</f>
        <v>0</v>
      </c>
      <c r="N989" t="str" cm="1">
        <f t="array" ref="N989">IF(M989="","",
_xlfn.TEXTJOIN(", ",TRUE,
    _xlfn.MAP(_xlfn.TEXTSPLIT(M989,","),_xlfn.LAMBDA(_xlpm.x,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9" t="e">
        <f>'Audit Report'!#REF!</f>
        <v>#REF!</v>
      </c>
      <c r="S989">
        <f>'Audit Report'!N989</f>
        <v>0</v>
      </c>
    </row>
    <row r="990" spans="4:19">
      <c r="D990">
        <f>'Audit Report'!B990</f>
        <v>0</v>
      </c>
      <c r="E990">
        <f>'Audit Report'!C990</f>
        <v>0</v>
      </c>
      <c r="I990">
        <f>'Audit Report'!E990</f>
        <v>0</v>
      </c>
      <c r="J990">
        <f>'Audit Report'!G990</f>
        <v>0</v>
      </c>
      <c r="L990" t="str">
        <f>_xlfn.TEXTJOIN(", ", FALSE, 'Audit Report'!J990,'Audit Report'!K990,'Audit Report'!L990)</f>
        <v xml:space="preserve">, , </v>
      </c>
      <c r="M990">
        <f>'Audit Report'!M990</f>
        <v>0</v>
      </c>
      <c r="N990" t="str" cm="1">
        <f t="array" ref="N990">IF(M990="","",
_xlfn.TEXTJOIN(", ",TRUE,
    _xlfn.MAP(_xlfn.TEXTSPLIT(M990,","),_xlfn.LAMBDA(_xlpm.x,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0" t="e">
        <f>'Audit Report'!#REF!</f>
        <v>#REF!</v>
      </c>
      <c r="S990">
        <f>'Audit Report'!N990</f>
        <v>0</v>
      </c>
    </row>
    <row r="991" spans="4:19">
      <c r="D991">
        <f>'Audit Report'!B991</f>
        <v>0</v>
      </c>
      <c r="E991">
        <f>'Audit Report'!C991</f>
        <v>0</v>
      </c>
      <c r="I991">
        <f>'Audit Report'!E991</f>
        <v>0</v>
      </c>
      <c r="J991">
        <f>'Audit Report'!G991</f>
        <v>0</v>
      </c>
      <c r="L991" t="str">
        <f>_xlfn.TEXTJOIN(", ", FALSE, 'Audit Report'!J991,'Audit Report'!K991,'Audit Report'!L991)</f>
        <v xml:space="preserve">, , </v>
      </c>
      <c r="M991">
        <f>'Audit Report'!M991</f>
        <v>0</v>
      </c>
      <c r="N991" t="str" cm="1">
        <f t="array" ref="N991">IF(M991="","",
_xlfn.TEXTJOIN(", ",TRUE,
    _xlfn.MAP(_xlfn.TEXTSPLIT(M991,","),_xlfn.LAMBDA(_xlpm.x,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1" t="e">
        <f>'Audit Report'!#REF!</f>
        <v>#REF!</v>
      </c>
      <c r="S991">
        <f>'Audit Report'!N991</f>
        <v>0</v>
      </c>
    </row>
    <row r="992" spans="4:19">
      <c r="D992">
        <f>'Audit Report'!B992</f>
        <v>0</v>
      </c>
      <c r="E992">
        <f>'Audit Report'!C992</f>
        <v>0</v>
      </c>
      <c r="I992">
        <f>'Audit Report'!E992</f>
        <v>0</v>
      </c>
      <c r="J992">
        <f>'Audit Report'!G992</f>
        <v>0</v>
      </c>
      <c r="L992" t="str">
        <f>_xlfn.TEXTJOIN(", ", FALSE, 'Audit Report'!J992,'Audit Report'!K992,'Audit Report'!L992)</f>
        <v xml:space="preserve">, , </v>
      </c>
      <c r="M992">
        <f>'Audit Report'!M992</f>
        <v>0</v>
      </c>
      <c r="N992" t="str" cm="1">
        <f t="array" ref="N992">IF(M992="","",
_xlfn.TEXTJOIN(", ",TRUE,
    _xlfn.MAP(_xlfn.TEXTSPLIT(M992,","),_xlfn.LAMBDA(_xlpm.x,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2" t="e">
        <f>'Audit Report'!#REF!</f>
        <v>#REF!</v>
      </c>
      <c r="S992">
        <f>'Audit Report'!N992</f>
        <v>0</v>
      </c>
    </row>
    <row r="993" spans="4:19">
      <c r="D993">
        <f>'Audit Report'!B993</f>
        <v>0</v>
      </c>
      <c r="E993">
        <f>'Audit Report'!C993</f>
        <v>0</v>
      </c>
      <c r="I993">
        <f>'Audit Report'!E993</f>
        <v>0</v>
      </c>
      <c r="J993">
        <f>'Audit Report'!G993</f>
        <v>0</v>
      </c>
      <c r="L993" t="str">
        <f>_xlfn.TEXTJOIN(", ", FALSE, 'Audit Report'!J993,'Audit Report'!K993,'Audit Report'!L993)</f>
        <v xml:space="preserve">, , </v>
      </c>
      <c r="M993">
        <f>'Audit Report'!M993</f>
        <v>0</v>
      </c>
      <c r="N993" t="str" cm="1">
        <f t="array" ref="N993">IF(M993="","",
_xlfn.TEXTJOIN(", ",TRUE,
    _xlfn.MAP(_xlfn.TEXTSPLIT(M993,","),_xlfn.LAMBDA(_xlpm.x,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3" t="e">
        <f>'Audit Report'!#REF!</f>
        <v>#REF!</v>
      </c>
      <c r="S993">
        <f>'Audit Report'!N993</f>
        <v>0</v>
      </c>
    </row>
    <row r="994" spans="4:19">
      <c r="D994">
        <f>'Audit Report'!B994</f>
        <v>0</v>
      </c>
      <c r="E994">
        <f>'Audit Report'!C994</f>
        <v>0</v>
      </c>
      <c r="I994">
        <f>'Audit Report'!E994</f>
        <v>0</v>
      </c>
      <c r="J994">
        <f>'Audit Report'!G994</f>
        <v>0</v>
      </c>
      <c r="L994" t="str">
        <f>_xlfn.TEXTJOIN(", ", FALSE, 'Audit Report'!J994,'Audit Report'!K994,'Audit Report'!L994)</f>
        <v xml:space="preserve">, , </v>
      </c>
      <c r="M994">
        <f>'Audit Report'!M994</f>
        <v>0</v>
      </c>
      <c r="N994" t="str" cm="1">
        <f t="array" ref="N994">IF(M994="","",
_xlfn.TEXTJOIN(", ",TRUE,
    _xlfn.MAP(_xlfn.TEXTSPLIT(M994,","),_xlfn.LAMBDA(_xlpm.x,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4" t="e">
        <f>'Audit Report'!#REF!</f>
        <v>#REF!</v>
      </c>
      <c r="S994">
        <f>'Audit Report'!N994</f>
        <v>0</v>
      </c>
    </row>
    <row r="995" spans="4:19">
      <c r="D995">
        <f>'Audit Report'!B995</f>
        <v>0</v>
      </c>
      <c r="E995">
        <f>'Audit Report'!C995</f>
        <v>0</v>
      </c>
      <c r="I995">
        <f>'Audit Report'!E995</f>
        <v>0</v>
      </c>
      <c r="J995">
        <f>'Audit Report'!G995</f>
        <v>0</v>
      </c>
      <c r="L995" t="str">
        <f>_xlfn.TEXTJOIN(", ", FALSE, 'Audit Report'!J995,'Audit Report'!K995,'Audit Report'!L995)</f>
        <v xml:space="preserve">, , </v>
      </c>
      <c r="M995">
        <f>'Audit Report'!M995</f>
        <v>0</v>
      </c>
      <c r="N995" t="str" cm="1">
        <f t="array" ref="N995">IF(M995="","",
_xlfn.TEXTJOIN(", ",TRUE,
    _xlfn.MAP(_xlfn.TEXTSPLIT(M995,","),_xlfn.LAMBDA(_xlpm.x,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5" t="e">
        <f>'Audit Report'!#REF!</f>
        <v>#REF!</v>
      </c>
      <c r="S995">
        <f>'Audit Report'!N995</f>
        <v>0</v>
      </c>
    </row>
    <row r="996" spans="4:19">
      <c r="D996">
        <f>'Audit Report'!B996</f>
        <v>0</v>
      </c>
      <c r="E996">
        <f>'Audit Report'!C996</f>
        <v>0</v>
      </c>
      <c r="I996">
        <f>'Audit Report'!E996</f>
        <v>0</v>
      </c>
      <c r="J996">
        <f>'Audit Report'!G996</f>
        <v>0</v>
      </c>
      <c r="L996" t="str">
        <f>_xlfn.TEXTJOIN(", ", FALSE, 'Audit Report'!J996,'Audit Report'!K996,'Audit Report'!L996)</f>
        <v xml:space="preserve">, , </v>
      </c>
      <c r="M996">
        <f>'Audit Report'!M996</f>
        <v>0</v>
      </c>
      <c r="N996" t="str" cm="1">
        <f t="array" ref="N996">IF(M996="","",
_xlfn.TEXTJOIN(", ",TRUE,
    _xlfn.MAP(_xlfn.TEXTSPLIT(M996,","),_xlfn.LAMBDA(_xlpm.x,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6" t="e">
        <f>'Audit Report'!#REF!</f>
        <v>#REF!</v>
      </c>
      <c r="S996">
        <f>'Audit Report'!N996</f>
        <v>0</v>
      </c>
    </row>
    <row r="997" spans="4:19">
      <c r="D997">
        <f>'Audit Report'!B997</f>
        <v>0</v>
      </c>
      <c r="E997">
        <f>'Audit Report'!C997</f>
        <v>0</v>
      </c>
      <c r="I997">
        <f>'Audit Report'!E997</f>
        <v>0</v>
      </c>
      <c r="J997">
        <f>'Audit Report'!G997</f>
        <v>0</v>
      </c>
      <c r="L997" t="str">
        <f>_xlfn.TEXTJOIN(", ", FALSE, 'Audit Report'!J997,'Audit Report'!K997,'Audit Report'!L997)</f>
        <v xml:space="preserve">, , </v>
      </c>
      <c r="M997">
        <f>'Audit Report'!M997</f>
        <v>0</v>
      </c>
      <c r="N997" t="str" cm="1">
        <f t="array" ref="N997">IF(M997="","",
_xlfn.TEXTJOIN(", ",TRUE,
    _xlfn.MAP(_xlfn.TEXTSPLIT(M997,","),_xlfn.LAMBDA(_xlpm.x,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7" t="e">
        <f>'Audit Report'!#REF!</f>
        <v>#REF!</v>
      </c>
      <c r="S997">
        <f>'Audit Report'!N997</f>
        <v>0</v>
      </c>
    </row>
    <row r="998" spans="4:19">
      <c r="D998">
        <f>'Audit Report'!B998</f>
        <v>0</v>
      </c>
      <c r="E998">
        <f>'Audit Report'!C998</f>
        <v>0</v>
      </c>
      <c r="I998">
        <f>'Audit Report'!E998</f>
        <v>0</v>
      </c>
      <c r="J998">
        <f>'Audit Report'!G998</f>
        <v>0</v>
      </c>
      <c r="L998" t="str">
        <f>_xlfn.TEXTJOIN(", ", FALSE, 'Audit Report'!J998,'Audit Report'!K998,'Audit Report'!L998)</f>
        <v xml:space="preserve">, , </v>
      </c>
      <c r="M998">
        <f>'Audit Report'!M998</f>
        <v>0</v>
      </c>
      <c r="N998" t="str" cm="1">
        <f t="array" ref="N998">IF(M998="","",
_xlfn.TEXTJOIN(", ",TRUE,
    _xlfn.MAP(_xlfn.TEXTSPLIT(M998,","),_xlfn.LAMBDA(_xlpm.x,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8" t="e">
        <f>'Audit Report'!#REF!</f>
        <v>#REF!</v>
      </c>
      <c r="S998">
        <f>'Audit Report'!N998</f>
        <v>0</v>
      </c>
    </row>
    <row r="999" spans="4:19">
      <c r="D999">
        <f>'Audit Report'!B999</f>
        <v>0</v>
      </c>
      <c r="E999">
        <f>'Audit Report'!C999</f>
        <v>0</v>
      </c>
      <c r="I999">
        <f>'Audit Report'!E999</f>
        <v>0</v>
      </c>
      <c r="J999">
        <f>'Audit Report'!G999</f>
        <v>0</v>
      </c>
      <c r="L999" t="str">
        <f>_xlfn.TEXTJOIN(", ", FALSE, 'Audit Report'!J999,'Audit Report'!K999,'Audit Report'!L999)</f>
        <v xml:space="preserve">, , </v>
      </c>
      <c r="M999">
        <f>'Audit Report'!M999</f>
        <v>0</v>
      </c>
      <c r="N999" t="str" cm="1">
        <f t="array" ref="N999">IF(M999="","",
_xlfn.TEXTJOIN(", ",TRUE,
    _xlfn.MAP(_xlfn.TEXTSPLIT(M999,","),_xlfn.LAMBDA(_xlpm.x,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9" t="e">
        <f>'Audit Report'!#REF!</f>
        <v>#REF!</v>
      </c>
      <c r="S999">
        <f>'Audit Report'!N999</f>
        <v>0</v>
      </c>
    </row>
    <row r="1000" spans="4:19">
      <c r="D1000">
        <f>'Audit Report'!B1000</f>
        <v>0</v>
      </c>
      <c r="E1000">
        <f>'Audit Report'!C1000</f>
        <v>0</v>
      </c>
      <c r="I1000">
        <f>'Audit Report'!E1000</f>
        <v>0</v>
      </c>
      <c r="J1000">
        <f>'Audit Report'!G1000</f>
        <v>0</v>
      </c>
      <c r="L1000" t="str">
        <f>_xlfn.TEXTJOIN(", ", FALSE, 'Audit Report'!J1000,'Audit Report'!K1000,'Audit Report'!L1000)</f>
        <v xml:space="preserve">, , </v>
      </c>
      <c r="M1000">
        <f>'Audit Report'!M1000</f>
        <v>0</v>
      </c>
      <c r="N1000" t="str" cm="1">
        <f t="array" ref="N1000">IF(M1000="","",
_xlfn.TEXTJOIN(", ",TRUE,
    _xlfn.MAP(_xlfn.TEXTSPLIT(M1000,","),_xlfn.LAMBDA(_xlpm.x,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0" t="e">
        <f>'Audit Report'!#REF!</f>
        <v>#REF!</v>
      </c>
      <c r="S1000">
        <f>'Audit Report'!N1000</f>
        <v>0</v>
      </c>
    </row>
    <row r="1001" spans="4:19">
      <c r="D1001">
        <f>'Audit Report'!B1001</f>
        <v>0</v>
      </c>
      <c r="E1001">
        <f>'Audit Report'!C1001</f>
        <v>0</v>
      </c>
      <c r="I1001">
        <f>'Audit Report'!E1001</f>
        <v>0</v>
      </c>
      <c r="J1001">
        <f>'Audit Report'!G1001</f>
        <v>0</v>
      </c>
      <c r="L1001" t="str">
        <f>_xlfn.TEXTJOIN(", ", FALSE, 'Audit Report'!J1001,'Audit Report'!K1001,'Audit Report'!L1001)</f>
        <v xml:space="preserve">, , </v>
      </c>
      <c r="M1001">
        <f>'Audit Report'!M1001</f>
        <v>0</v>
      </c>
      <c r="N1001" t="str" cm="1">
        <f t="array" ref="N1001">IF(M1001="","",
_xlfn.TEXTJOIN(", ",TRUE,
    _xlfn.MAP(_xlfn.TEXTSPLIT(M1001,","),_xlfn.LAMBDA(_xlpm.x,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1" t="e">
        <f>'Audit Report'!#REF!</f>
        <v>#REF!</v>
      </c>
      <c r="S1001">
        <f>'Audit Report'!N1001</f>
        <v>0</v>
      </c>
    </row>
    <row r="1002" spans="4:19">
      <c r="D1002">
        <f>'Audit Report'!B1002</f>
        <v>0</v>
      </c>
      <c r="E1002">
        <f>'Audit Report'!C1002</f>
        <v>0</v>
      </c>
      <c r="I1002">
        <f>'Audit Report'!E1002</f>
        <v>0</v>
      </c>
      <c r="J1002">
        <f>'Audit Report'!G1002</f>
        <v>0</v>
      </c>
      <c r="L1002" t="str">
        <f>_xlfn.TEXTJOIN(", ", FALSE, 'Audit Report'!J1002,'Audit Report'!K1002,'Audit Report'!L1002)</f>
        <v xml:space="preserve">, , </v>
      </c>
      <c r="M1002">
        <f>'Audit Report'!M1002</f>
        <v>0</v>
      </c>
      <c r="N1002" t="str" cm="1">
        <f t="array" ref="N1002">IF(M1002="","",
_xlfn.TEXTJOIN(", ",TRUE,
    _xlfn.MAP(_xlfn.TEXTSPLIT(M1002,","),_xlfn.LAMBDA(_xlpm.x,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2" t="e">
        <f>'Audit Report'!#REF!</f>
        <v>#REF!</v>
      </c>
      <c r="S1002">
        <f>'Audit Report'!N1002</f>
        <v>0</v>
      </c>
    </row>
    <row r="1003" spans="4:19">
      <c r="D1003">
        <f>'Audit Report'!B1003</f>
        <v>0</v>
      </c>
      <c r="E1003">
        <f>'Audit Report'!C1003</f>
        <v>0</v>
      </c>
      <c r="I1003">
        <f>'Audit Report'!E1003</f>
        <v>0</v>
      </c>
      <c r="J1003">
        <f>'Audit Report'!G1003</f>
        <v>0</v>
      </c>
      <c r="L1003" t="str">
        <f>_xlfn.TEXTJOIN(", ", FALSE, 'Audit Report'!J1003,'Audit Report'!K1003,'Audit Report'!L1003)</f>
        <v xml:space="preserve">, , </v>
      </c>
      <c r="M1003">
        <f>'Audit Report'!M1003</f>
        <v>0</v>
      </c>
      <c r="N1003" t="str" cm="1">
        <f t="array" ref="N1003">IF(M1003="","",
_xlfn.TEXTJOIN(", ",TRUE,
    _xlfn.MAP(_xlfn.TEXTSPLIT(M1003,","),_xlfn.LAMBDA(_xlpm.x,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3" t="e">
        <f>'Audit Report'!#REF!</f>
        <v>#REF!</v>
      </c>
      <c r="S1003">
        <f>'Audit Report'!N1003</f>
        <v>0</v>
      </c>
    </row>
    <row r="1004" spans="4:19">
      <c r="D1004">
        <f>'Audit Report'!B1004</f>
        <v>0</v>
      </c>
      <c r="E1004">
        <f>'Audit Report'!C1004</f>
        <v>0</v>
      </c>
      <c r="I1004">
        <f>'Audit Report'!E1004</f>
        <v>0</v>
      </c>
      <c r="J1004">
        <f>'Audit Report'!G1004</f>
        <v>0</v>
      </c>
      <c r="L1004" t="str">
        <f>_xlfn.TEXTJOIN(", ", FALSE, 'Audit Report'!J1004,'Audit Report'!K1004,'Audit Report'!L1004)</f>
        <v xml:space="preserve">, , </v>
      </c>
      <c r="M1004">
        <f>'Audit Report'!M1004</f>
        <v>0</v>
      </c>
      <c r="N1004" t="str" cm="1">
        <f t="array" ref="N1004">IF(M1004="","",
_xlfn.TEXTJOIN(", ",TRUE,
    _xlfn.MAP(_xlfn.TEXTSPLIT(M1004,","),_xlfn.LAMBDA(_xlpm.x,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4" t="e">
        <f>'Audit Report'!#REF!</f>
        <v>#REF!</v>
      </c>
      <c r="S1004">
        <f>'Audit Report'!N1004</f>
        <v>0</v>
      </c>
    </row>
    <row r="1005" spans="4:19">
      <c r="D1005">
        <f>'Audit Report'!B1005</f>
        <v>0</v>
      </c>
      <c r="E1005">
        <f>'Audit Report'!C1005</f>
        <v>0</v>
      </c>
      <c r="I1005">
        <f>'Audit Report'!E1005</f>
        <v>0</v>
      </c>
      <c r="J1005">
        <f>'Audit Report'!G1005</f>
        <v>0</v>
      </c>
      <c r="L1005" t="str">
        <f>_xlfn.TEXTJOIN(", ", FALSE, 'Audit Report'!J1005,'Audit Report'!K1005,'Audit Report'!L1005)</f>
        <v xml:space="preserve">, , </v>
      </c>
      <c r="M1005">
        <f>'Audit Report'!M1005</f>
        <v>0</v>
      </c>
      <c r="N1005" t="str" cm="1">
        <f t="array" ref="N1005">IF(M1005="","",
_xlfn.TEXTJOIN(", ",TRUE,
    _xlfn.MAP(_xlfn.TEXTSPLIT(M1005,","),_xlfn.LAMBDA(_xlpm.x,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5" t="e">
        <f>'Audit Report'!#REF!</f>
        <v>#REF!</v>
      </c>
      <c r="S1005">
        <f>'Audit Report'!N1005</f>
        <v>0</v>
      </c>
    </row>
    <row r="1006" spans="4:19">
      <c r="D1006">
        <f>'Audit Report'!B1006</f>
        <v>0</v>
      </c>
      <c r="E1006">
        <f>'Audit Report'!C1006</f>
        <v>0</v>
      </c>
      <c r="I1006">
        <f>'Audit Report'!E1006</f>
        <v>0</v>
      </c>
      <c r="J1006">
        <f>'Audit Report'!G1006</f>
        <v>0</v>
      </c>
      <c r="L1006" t="str">
        <f>_xlfn.TEXTJOIN(", ", FALSE, 'Audit Report'!J1006,'Audit Report'!K1006,'Audit Report'!L1006)</f>
        <v xml:space="preserve">, , </v>
      </c>
      <c r="M1006">
        <f>'Audit Report'!M1006</f>
        <v>0</v>
      </c>
      <c r="N1006" t="str" cm="1">
        <f t="array" ref="N1006">IF(M1006="","",
_xlfn.TEXTJOIN(", ",TRUE,
    _xlfn.MAP(_xlfn.TEXTSPLIT(M1006,","),_xlfn.LAMBDA(_xlpm.x,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6" t="e">
        <f>'Audit Report'!#REF!</f>
        <v>#REF!</v>
      </c>
      <c r="S1006">
        <f>'Audit Report'!N1006</f>
        <v>0</v>
      </c>
    </row>
    <row r="1007" spans="4:19">
      <c r="D1007">
        <f>'Audit Report'!B1007</f>
        <v>0</v>
      </c>
      <c r="E1007">
        <f>'Audit Report'!C1007</f>
        <v>0</v>
      </c>
      <c r="I1007">
        <f>'Audit Report'!E1007</f>
        <v>0</v>
      </c>
      <c r="J1007">
        <f>'Audit Report'!G1007</f>
        <v>0</v>
      </c>
      <c r="L1007" t="str">
        <f>_xlfn.TEXTJOIN(", ", FALSE, 'Audit Report'!J1007,'Audit Report'!K1007,'Audit Report'!L1007)</f>
        <v xml:space="preserve">, , </v>
      </c>
      <c r="M1007">
        <f>'Audit Report'!M1007</f>
        <v>0</v>
      </c>
      <c r="N1007" t="str" cm="1">
        <f t="array" ref="N1007">IF(M1007="","",
_xlfn.TEXTJOIN(", ",TRUE,
    _xlfn.MAP(_xlfn.TEXTSPLIT(M1007,","),_xlfn.LAMBDA(_xlpm.x,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7" t="e">
        <f>'Audit Report'!#REF!</f>
        <v>#REF!</v>
      </c>
      <c r="S1007">
        <f>'Audit Report'!N1007</f>
        <v>0</v>
      </c>
    </row>
    <row r="1008" spans="4:19">
      <c r="D1008">
        <f>'Audit Report'!B1008</f>
        <v>0</v>
      </c>
      <c r="E1008">
        <f>'Audit Report'!C1008</f>
        <v>0</v>
      </c>
      <c r="I1008">
        <f>'Audit Report'!E1008</f>
        <v>0</v>
      </c>
      <c r="J1008">
        <f>'Audit Report'!G1008</f>
        <v>0</v>
      </c>
      <c r="L1008" t="str">
        <f>_xlfn.TEXTJOIN(", ", FALSE, 'Audit Report'!J1008,'Audit Report'!K1008,'Audit Report'!L1008)</f>
        <v xml:space="preserve">, , </v>
      </c>
      <c r="M1008">
        <f>'Audit Report'!M1008</f>
        <v>0</v>
      </c>
      <c r="N1008" t="str" cm="1">
        <f t="array" ref="N1008">IF(M1008="","",
_xlfn.TEXTJOIN(", ",TRUE,
    _xlfn.MAP(_xlfn.TEXTSPLIT(M1008,","),_xlfn.LAMBDA(_xlpm.x,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8" t="e">
        <f>'Audit Report'!#REF!</f>
        <v>#REF!</v>
      </c>
      <c r="S1008">
        <f>'Audit Report'!N1008</f>
        <v>0</v>
      </c>
    </row>
    <row r="1009" spans="4:19">
      <c r="D1009">
        <f>'Audit Report'!B1009</f>
        <v>0</v>
      </c>
      <c r="E1009">
        <f>'Audit Report'!C1009</f>
        <v>0</v>
      </c>
      <c r="I1009">
        <f>'Audit Report'!E1009</f>
        <v>0</v>
      </c>
      <c r="J1009">
        <f>'Audit Report'!G1009</f>
        <v>0</v>
      </c>
      <c r="L1009" t="str">
        <f>_xlfn.TEXTJOIN(", ", FALSE, 'Audit Report'!J1009,'Audit Report'!K1009,'Audit Report'!L1009)</f>
        <v xml:space="preserve">, , </v>
      </c>
      <c r="M1009">
        <f>'Audit Report'!M1009</f>
        <v>0</v>
      </c>
      <c r="N1009" t="str" cm="1">
        <f t="array" ref="N1009">IF(M1009="","",
_xlfn.TEXTJOIN(", ",TRUE,
    _xlfn.MAP(_xlfn.TEXTSPLIT(M1009,","),_xlfn.LAMBDA(_xlpm.x,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9" t="e">
        <f>'Audit Report'!#REF!</f>
        <v>#REF!</v>
      </c>
      <c r="S1009">
        <f>'Audit Report'!N1009</f>
        <v>0</v>
      </c>
    </row>
    <row r="1010" spans="4:19">
      <c r="D1010">
        <f>'Audit Report'!B1010</f>
        <v>0</v>
      </c>
      <c r="E1010">
        <f>'Audit Report'!C1010</f>
        <v>0</v>
      </c>
      <c r="I1010">
        <f>'Audit Report'!E1010</f>
        <v>0</v>
      </c>
      <c r="J1010">
        <f>'Audit Report'!G1010</f>
        <v>0</v>
      </c>
      <c r="L1010" t="str">
        <f>_xlfn.TEXTJOIN(", ", FALSE, 'Audit Report'!J1010,'Audit Report'!K1010,'Audit Report'!L1010)</f>
        <v xml:space="preserve">, , </v>
      </c>
      <c r="M1010">
        <f>'Audit Report'!M1010</f>
        <v>0</v>
      </c>
      <c r="N1010" t="str" cm="1">
        <f t="array" ref="N1010">IF(M1010="","",
_xlfn.TEXTJOIN(", ",TRUE,
    _xlfn.MAP(_xlfn.TEXTSPLIT(M1010,","),_xlfn.LAMBDA(_xlpm.x,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0" t="e">
        <f>'Audit Report'!#REF!</f>
        <v>#REF!</v>
      </c>
      <c r="S1010">
        <f>'Audit Report'!N1010</f>
        <v>0</v>
      </c>
    </row>
    <row r="1011" spans="4:19">
      <c r="D1011">
        <f>'Audit Report'!B1011</f>
        <v>0</v>
      </c>
      <c r="E1011">
        <f>'Audit Report'!C1011</f>
        <v>0</v>
      </c>
      <c r="I1011">
        <f>'Audit Report'!E1011</f>
        <v>0</v>
      </c>
      <c r="J1011">
        <f>'Audit Report'!G1011</f>
        <v>0</v>
      </c>
      <c r="L1011" t="str">
        <f>_xlfn.TEXTJOIN(", ", FALSE, 'Audit Report'!J1011,'Audit Report'!K1011,'Audit Report'!L1011)</f>
        <v xml:space="preserve">, , </v>
      </c>
      <c r="M1011">
        <f>'Audit Report'!M1011</f>
        <v>0</v>
      </c>
      <c r="N1011" t="str" cm="1">
        <f t="array" ref="N1011">IF(M1011="","",
_xlfn.TEXTJOIN(", ",TRUE,
    _xlfn.MAP(_xlfn.TEXTSPLIT(M1011,","),_xlfn.LAMBDA(_xlpm.x,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1" t="e">
        <f>'Audit Report'!#REF!</f>
        <v>#REF!</v>
      </c>
      <c r="S1011">
        <f>'Audit Report'!N1011</f>
        <v>0</v>
      </c>
    </row>
    <row r="1012" spans="4:19">
      <c r="D1012">
        <f>'Audit Report'!B1012</f>
        <v>0</v>
      </c>
      <c r="E1012">
        <f>'Audit Report'!C1012</f>
        <v>0</v>
      </c>
      <c r="I1012">
        <f>'Audit Report'!E1012</f>
        <v>0</v>
      </c>
      <c r="J1012">
        <f>'Audit Report'!G1012</f>
        <v>0</v>
      </c>
      <c r="L1012" t="str">
        <f>_xlfn.TEXTJOIN(", ", FALSE, 'Audit Report'!J1012,'Audit Report'!K1012,'Audit Report'!L1012)</f>
        <v xml:space="preserve">, , </v>
      </c>
      <c r="M1012">
        <f>'Audit Report'!M1012</f>
        <v>0</v>
      </c>
      <c r="N1012" t="str" cm="1">
        <f t="array" ref="N1012">IF(M1012="","",
_xlfn.TEXTJOIN(", ",TRUE,
    _xlfn.MAP(_xlfn.TEXTSPLIT(M1012,","),_xlfn.LAMBDA(_xlpm.x,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2" t="e">
        <f>'Audit Report'!#REF!</f>
        <v>#REF!</v>
      </c>
      <c r="S1012">
        <f>'Audit Report'!N1012</f>
        <v>0</v>
      </c>
    </row>
    <row r="1013" spans="4:19">
      <c r="D1013">
        <f>'Audit Report'!B1013</f>
        <v>0</v>
      </c>
      <c r="E1013">
        <f>'Audit Report'!C1013</f>
        <v>0</v>
      </c>
      <c r="I1013">
        <f>'Audit Report'!E1013</f>
        <v>0</v>
      </c>
      <c r="J1013">
        <f>'Audit Report'!G1013</f>
        <v>0</v>
      </c>
      <c r="L1013" t="str">
        <f>_xlfn.TEXTJOIN(", ", FALSE, 'Audit Report'!J1013,'Audit Report'!K1013,'Audit Report'!L1013)</f>
        <v xml:space="preserve">, , </v>
      </c>
      <c r="M1013">
        <f>'Audit Report'!M1013</f>
        <v>0</v>
      </c>
      <c r="N1013" t="str" cm="1">
        <f t="array" ref="N1013">IF(M1013="","",
_xlfn.TEXTJOIN(", ",TRUE,
    _xlfn.MAP(_xlfn.TEXTSPLIT(M1013,","),_xlfn.LAMBDA(_xlpm.x,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3" t="e">
        <f>'Audit Report'!#REF!</f>
        <v>#REF!</v>
      </c>
      <c r="S1013">
        <f>'Audit Report'!N1013</f>
        <v>0</v>
      </c>
    </row>
    <row r="1014" spans="4:19">
      <c r="D1014">
        <f>'Audit Report'!B1014</f>
        <v>0</v>
      </c>
      <c r="E1014">
        <f>'Audit Report'!C1014</f>
        <v>0</v>
      </c>
      <c r="I1014">
        <f>'Audit Report'!E1014</f>
        <v>0</v>
      </c>
      <c r="J1014">
        <f>'Audit Report'!G1014</f>
        <v>0</v>
      </c>
      <c r="L1014" t="str">
        <f>_xlfn.TEXTJOIN(", ", FALSE, 'Audit Report'!J1014,'Audit Report'!K1014,'Audit Report'!L1014)</f>
        <v xml:space="preserve">, , </v>
      </c>
      <c r="M1014">
        <f>'Audit Report'!M1014</f>
        <v>0</v>
      </c>
      <c r="N1014" t="str" cm="1">
        <f t="array" ref="N1014">IF(M1014="","",
_xlfn.TEXTJOIN(", ",TRUE,
    _xlfn.MAP(_xlfn.TEXTSPLIT(M1014,","),_xlfn.LAMBDA(_xlpm.x,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4" t="e">
        <f>'Audit Report'!#REF!</f>
        <v>#REF!</v>
      </c>
      <c r="S1014">
        <f>'Audit Report'!N1014</f>
        <v>0</v>
      </c>
    </row>
    <row r="1015" spans="4:19">
      <c r="D1015">
        <f>'Audit Report'!B1015</f>
        <v>0</v>
      </c>
      <c r="E1015">
        <f>'Audit Report'!C1015</f>
        <v>0</v>
      </c>
      <c r="I1015">
        <f>'Audit Report'!E1015</f>
        <v>0</v>
      </c>
      <c r="J1015">
        <f>'Audit Report'!G1015</f>
        <v>0</v>
      </c>
      <c r="L1015" t="str">
        <f>_xlfn.TEXTJOIN(", ", FALSE, 'Audit Report'!J1015,'Audit Report'!K1015,'Audit Report'!L1015)</f>
        <v xml:space="preserve">, , </v>
      </c>
      <c r="M1015">
        <f>'Audit Report'!M1015</f>
        <v>0</v>
      </c>
      <c r="N1015" t="str" cm="1">
        <f t="array" ref="N1015">IF(M1015="","",
_xlfn.TEXTJOIN(", ",TRUE,
    _xlfn.MAP(_xlfn.TEXTSPLIT(M1015,","),_xlfn.LAMBDA(_xlpm.x,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5" t="e">
        <f>'Audit Report'!#REF!</f>
        <v>#REF!</v>
      </c>
      <c r="S1015">
        <f>'Audit Report'!N1015</f>
        <v>0</v>
      </c>
    </row>
    <row r="1016" spans="4:19">
      <c r="D1016">
        <f>'Audit Report'!B1016</f>
        <v>0</v>
      </c>
      <c r="E1016">
        <f>'Audit Report'!C1016</f>
        <v>0</v>
      </c>
      <c r="I1016">
        <f>'Audit Report'!E1016</f>
        <v>0</v>
      </c>
      <c r="J1016">
        <f>'Audit Report'!G1016</f>
        <v>0</v>
      </c>
      <c r="L1016" t="str">
        <f>_xlfn.TEXTJOIN(", ", FALSE, 'Audit Report'!J1016,'Audit Report'!K1016,'Audit Report'!L1016)</f>
        <v xml:space="preserve">, , </v>
      </c>
      <c r="M1016">
        <f>'Audit Report'!M1016</f>
        <v>0</v>
      </c>
      <c r="N1016" t="str" cm="1">
        <f t="array" ref="N1016">IF(M1016="","",
_xlfn.TEXTJOIN(", ",TRUE,
    _xlfn.MAP(_xlfn.TEXTSPLIT(M1016,","),_xlfn.LAMBDA(_xlpm.x,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6" t="e">
        <f>'Audit Report'!#REF!</f>
        <v>#REF!</v>
      </c>
      <c r="S1016">
        <f>'Audit Report'!N1016</f>
        <v>0</v>
      </c>
    </row>
    <row r="1017" spans="4:19">
      <c r="D1017">
        <f>'Audit Report'!B1017</f>
        <v>0</v>
      </c>
      <c r="E1017">
        <f>'Audit Report'!C1017</f>
        <v>0</v>
      </c>
      <c r="I1017">
        <f>'Audit Report'!E1017</f>
        <v>0</v>
      </c>
      <c r="J1017">
        <f>'Audit Report'!G1017</f>
        <v>0</v>
      </c>
      <c r="L1017" t="str">
        <f>_xlfn.TEXTJOIN(", ", FALSE, 'Audit Report'!J1017,'Audit Report'!K1017,'Audit Report'!L1017)</f>
        <v xml:space="preserve">, , </v>
      </c>
      <c r="M1017">
        <f>'Audit Report'!M1017</f>
        <v>0</v>
      </c>
      <c r="N1017" t="str" cm="1">
        <f t="array" ref="N1017">IF(M1017="","",
_xlfn.TEXTJOIN(", ",TRUE,
    _xlfn.MAP(_xlfn.TEXTSPLIT(M1017,","),_xlfn.LAMBDA(_xlpm.x,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7" t="e">
        <f>'Audit Report'!#REF!</f>
        <v>#REF!</v>
      </c>
      <c r="S1017">
        <f>'Audit Report'!N1017</f>
        <v>0</v>
      </c>
    </row>
    <row r="1018" spans="4:19">
      <c r="D1018">
        <f>'Audit Report'!B1018</f>
        <v>0</v>
      </c>
      <c r="E1018">
        <f>'Audit Report'!C1018</f>
        <v>0</v>
      </c>
      <c r="I1018">
        <f>'Audit Report'!E1018</f>
        <v>0</v>
      </c>
      <c r="J1018">
        <f>'Audit Report'!G1018</f>
        <v>0</v>
      </c>
      <c r="L1018" t="str">
        <f>_xlfn.TEXTJOIN(", ", FALSE, 'Audit Report'!J1018,'Audit Report'!K1018,'Audit Report'!L1018)</f>
        <v xml:space="preserve">, , </v>
      </c>
      <c r="M1018">
        <f>'Audit Report'!M1018</f>
        <v>0</v>
      </c>
      <c r="N1018" t="str" cm="1">
        <f t="array" ref="N1018">IF(M1018="","",
_xlfn.TEXTJOIN(", ",TRUE,
    _xlfn.MAP(_xlfn.TEXTSPLIT(M1018,","),_xlfn.LAMBDA(_xlpm.x,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8" t="e">
        <f>'Audit Report'!#REF!</f>
        <v>#REF!</v>
      </c>
      <c r="S1018">
        <f>'Audit Report'!N1018</f>
        <v>0</v>
      </c>
    </row>
    <row r="1019" spans="4:19">
      <c r="D1019">
        <f>'Audit Report'!B1019</f>
        <v>0</v>
      </c>
      <c r="E1019">
        <f>'Audit Report'!C1019</f>
        <v>0</v>
      </c>
      <c r="I1019">
        <f>'Audit Report'!E1019</f>
        <v>0</v>
      </c>
      <c r="J1019">
        <f>'Audit Report'!G1019</f>
        <v>0</v>
      </c>
      <c r="L1019" t="str">
        <f>_xlfn.TEXTJOIN(", ", FALSE, 'Audit Report'!J1019,'Audit Report'!K1019,'Audit Report'!L1019)</f>
        <v xml:space="preserve">, , </v>
      </c>
      <c r="M1019">
        <f>'Audit Report'!M1019</f>
        <v>0</v>
      </c>
      <c r="N1019" t="str" cm="1">
        <f t="array" ref="N1019">IF(M1019="","",
_xlfn.TEXTJOIN(", ",TRUE,
    _xlfn.MAP(_xlfn.TEXTSPLIT(M1019,","),_xlfn.LAMBDA(_xlpm.x,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9" t="e">
        <f>'Audit Report'!#REF!</f>
        <v>#REF!</v>
      </c>
      <c r="S1019">
        <f>'Audit Report'!N1019</f>
        <v>0</v>
      </c>
    </row>
    <row r="1020" spans="4:19">
      <c r="D1020">
        <f>'Audit Report'!B1020</f>
        <v>0</v>
      </c>
      <c r="E1020">
        <f>'Audit Report'!C1020</f>
        <v>0</v>
      </c>
      <c r="I1020">
        <f>'Audit Report'!E1020</f>
        <v>0</v>
      </c>
      <c r="J1020">
        <f>'Audit Report'!G1020</f>
        <v>0</v>
      </c>
      <c r="L1020" t="str">
        <f>_xlfn.TEXTJOIN(", ", FALSE, 'Audit Report'!J1020,'Audit Report'!K1020,'Audit Report'!L1020)</f>
        <v xml:space="preserve">, , </v>
      </c>
      <c r="M1020">
        <f>'Audit Report'!M1020</f>
        <v>0</v>
      </c>
      <c r="N1020" t="str" cm="1">
        <f t="array" ref="N1020">IF(M1020="","",
_xlfn.TEXTJOIN(", ",TRUE,
    _xlfn.MAP(_xlfn.TEXTSPLIT(M1020,","),_xlfn.LAMBDA(_xlpm.x,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0" t="e">
        <f>'Audit Report'!#REF!</f>
        <v>#REF!</v>
      </c>
      <c r="S1020">
        <f>'Audit Report'!N1020</f>
        <v>0</v>
      </c>
    </row>
    <row r="1021" spans="4:19">
      <c r="D1021">
        <f>'Audit Report'!B1021</f>
        <v>0</v>
      </c>
      <c r="E1021">
        <f>'Audit Report'!C1021</f>
        <v>0</v>
      </c>
      <c r="I1021">
        <f>'Audit Report'!E1021</f>
        <v>0</v>
      </c>
      <c r="J1021">
        <f>'Audit Report'!G1021</f>
        <v>0</v>
      </c>
      <c r="L1021" t="str">
        <f>_xlfn.TEXTJOIN(", ", FALSE, 'Audit Report'!J1021,'Audit Report'!K1021,'Audit Report'!L1021)</f>
        <v xml:space="preserve">, , </v>
      </c>
      <c r="M1021">
        <f>'Audit Report'!M1021</f>
        <v>0</v>
      </c>
      <c r="N1021" t="str" cm="1">
        <f t="array" ref="N1021">IF(M1021="","",
_xlfn.TEXTJOIN(", ",TRUE,
    _xlfn.MAP(_xlfn.TEXTSPLIT(M1021,","),_xlfn.LAMBDA(_xlpm.x,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1" t="e">
        <f>'Audit Report'!#REF!</f>
        <v>#REF!</v>
      </c>
      <c r="S1021">
        <f>'Audit Report'!N1021</f>
        <v>0</v>
      </c>
    </row>
    <row r="1022" spans="4:19">
      <c r="D1022">
        <f>'Audit Report'!B1022</f>
        <v>0</v>
      </c>
      <c r="E1022">
        <f>'Audit Report'!C1022</f>
        <v>0</v>
      </c>
      <c r="I1022">
        <f>'Audit Report'!E1022</f>
        <v>0</v>
      </c>
      <c r="J1022">
        <f>'Audit Report'!G1022</f>
        <v>0</v>
      </c>
      <c r="L1022" t="str">
        <f>_xlfn.TEXTJOIN(", ", FALSE, 'Audit Report'!J1022,'Audit Report'!K1022,'Audit Report'!L1022)</f>
        <v xml:space="preserve">, , </v>
      </c>
      <c r="M1022">
        <f>'Audit Report'!M1022</f>
        <v>0</v>
      </c>
      <c r="N1022" t="str" cm="1">
        <f t="array" ref="N1022">IF(M1022="","",
_xlfn.TEXTJOIN(", ",TRUE,
    _xlfn.MAP(_xlfn.TEXTSPLIT(M1022,","),_xlfn.LAMBDA(_xlpm.x,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2" t="e">
        <f>'Audit Report'!#REF!</f>
        <v>#REF!</v>
      </c>
      <c r="S1022">
        <f>'Audit Report'!N1022</f>
        <v>0</v>
      </c>
    </row>
    <row r="1023" spans="4:19">
      <c r="D1023">
        <f>'Audit Report'!B1023</f>
        <v>0</v>
      </c>
      <c r="E1023">
        <f>'Audit Report'!C1023</f>
        <v>0</v>
      </c>
      <c r="I1023">
        <f>'Audit Report'!E1023</f>
        <v>0</v>
      </c>
      <c r="J1023">
        <f>'Audit Report'!G1023</f>
        <v>0</v>
      </c>
      <c r="L1023" t="str">
        <f>_xlfn.TEXTJOIN(", ", FALSE, 'Audit Report'!J1023,'Audit Report'!K1023,'Audit Report'!L1023)</f>
        <v xml:space="preserve">, , </v>
      </c>
      <c r="M1023">
        <f>'Audit Report'!M1023</f>
        <v>0</v>
      </c>
      <c r="N1023" t="str" cm="1">
        <f t="array" ref="N1023">IF(M1023="","",
_xlfn.TEXTJOIN(", ",TRUE,
    _xlfn.MAP(_xlfn.TEXTSPLIT(M1023,","),_xlfn.LAMBDA(_xlpm.x,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3" t="e">
        <f>'Audit Report'!#REF!</f>
        <v>#REF!</v>
      </c>
      <c r="S1023">
        <f>'Audit Report'!N1023</f>
        <v>0</v>
      </c>
    </row>
    <row r="1024" spans="4:19">
      <c r="D1024">
        <f>'Audit Report'!B1024</f>
        <v>0</v>
      </c>
      <c r="E1024">
        <f>'Audit Report'!C1024</f>
        <v>0</v>
      </c>
      <c r="I1024">
        <f>'Audit Report'!E1024</f>
        <v>0</v>
      </c>
      <c r="J1024">
        <f>'Audit Report'!G1024</f>
        <v>0</v>
      </c>
      <c r="L1024" t="str">
        <f>_xlfn.TEXTJOIN(", ", FALSE, 'Audit Report'!J1024,'Audit Report'!K1024,'Audit Report'!L1024)</f>
        <v xml:space="preserve">, , </v>
      </c>
      <c r="M1024">
        <f>'Audit Report'!M1024</f>
        <v>0</v>
      </c>
      <c r="N1024" t="str" cm="1">
        <f t="array" ref="N1024">IF(M1024="","",
_xlfn.TEXTJOIN(", ",TRUE,
    _xlfn.MAP(_xlfn.TEXTSPLIT(M1024,","),_xlfn.LAMBDA(_xlpm.x,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4" t="e">
        <f>'Audit Report'!#REF!</f>
        <v>#REF!</v>
      </c>
      <c r="S1024">
        <f>'Audit Report'!N1024</f>
        <v>0</v>
      </c>
    </row>
    <row r="1025" spans="4:19">
      <c r="D1025">
        <f>'Audit Report'!B1025</f>
        <v>0</v>
      </c>
      <c r="E1025">
        <f>'Audit Report'!C1025</f>
        <v>0</v>
      </c>
      <c r="I1025">
        <f>'Audit Report'!E1025</f>
        <v>0</v>
      </c>
      <c r="J1025">
        <f>'Audit Report'!G1025</f>
        <v>0</v>
      </c>
      <c r="L1025" t="str">
        <f>_xlfn.TEXTJOIN(", ", FALSE, 'Audit Report'!J1025,'Audit Report'!K1025,'Audit Report'!L1025)</f>
        <v xml:space="preserve">, , </v>
      </c>
      <c r="M1025">
        <f>'Audit Report'!M1025</f>
        <v>0</v>
      </c>
      <c r="N1025" t="str" cm="1">
        <f t="array" ref="N1025">IF(M1025="","",
_xlfn.TEXTJOIN(", ",TRUE,
    _xlfn.MAP(_xlfn.TEXTSPLIT(M1025,","),_xlfn.LAMBDA(_xlpm.x,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5" t="e">
        <f>'Audit Report'!#REF!</f>
        <v>#REF!</v>
      </c>
      <c r="S1025">
        <f>'Audit Report'!N1025</f>
        <v>0</v>
      </c>
    </row>
    <row r="1026" spans="4:19">
      <c r="D1026">
        <f>'Audit Report'!B1026</f>
        <v>0</v>
      </c>
      <c r="E1026">
        <f>'Audit Report'!C1026</f>
        <v>0</v>
      </c>
      <c r="I1026">
        <f>'Audit Report'!E1026</f>
        <v>0</v>
      </c>
      <c r="J1026">
        <f>'Audit Report'!G1026</f>
        <v>0</v>
      </c>
      <c r="L1026" t="str">
        <f>_xlfn.TEXTJOIN(", ", FALSE, 'Audit Report'!J1026,'Audit Report'!K1026,'Audit Report'!L1026)</f>
        <v xml:space="preserve">, , </v>
      </c>
      <c r="M1026">
        <f>'Audit Report'!M1026</f>
        <v>0</v>
      </c>
      <c r="N1026" t="str" cm="1">
        <f t="array" ref="N1026">IF(M1026="","",
_xlfn.TEXTJOIN(", ",TRUE,
    _xlfn.MAP(_xlfn.TEXTSPLIT(M1026,","),_xlfn.LAMBDA(_xlpm.x,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6" t="e">
        <f>'Audit Report'!#REF!</f>
        <v>#REF!</v>
      </c>
      <c r="S1026">
        <f>'Audit Report'!N1026</f>
        <v>0</v>
      </c>
    </row>
    <row r="1027" spans="4:19">
      <c r="D1027">
        <f>'Audit Report'!B1027</f>
        <v>0</v>
      </c>
      <c r="E1027">
        <f>'Audit Report'!C1027</f>
        <v>0</v>
      </c>
      <c r="I1027">
        <f>'Audit Report'!E1027</f>
        <v>0</v>
      </c>
      <c r="J1027">
        <f>'Audit Report'!G1027</f>
        <v>0</v>
      </c>
      <c r="L1027" t="str">
        <f>_xlfn.TEXTJOIN(", ", FALSE, 'Audit Report'!J1027,'Audit Report'!K1027,'Audit Report'!L1027)</f>
        <v xml:space="preserve">, , </v>
      </c>
      <c r="M1027">
        <f>'Audit Report'!M1027</f>
        <v>0</v>
      </c>
      <c r="N1027" t="str" cm="1">
        <f t="array" ref="N1027">IF(M1027="","",
_xlfn.TEXTJOIN(", ",TRUE,
    _xlfn.MAP(_xlfn.TEXTSPLIT(M1027,","),_xlfn.LAMBDA(_xlpm.x,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7" t="e">
        <f>'Audit Report'!#REF!</f>
        <v>#REF!</v>
      </c>
      <c r="S1027">
        <f>'Audit Report'!N1027</f>
        <v>0</v>
      </c>
    </row>
    <row r="1028" spans="4:19">
      <c r="D1028">
        <f>'Audit Report'!B1028</f>
        <v>0</v>
      </c>
      <c r="E1028">
        <f>'Audit Report'!C1028</f>
        <v>0</v>
      </c>
      <c r="I1028">
        <f>'Audit Report'!E1028</f>
        <v>0</v>
      </c>
      <c r="J1028">
        <f>'Audit Report'!G1028</f>
        <v>0</v>
      </c>
      <c r="L1028" t="str">
        <f>_xlfn.TEXTJOIN(", ", FALSE, 'Audit Report'!J1028,'Audit Report'!K1028,'Audit Report'!L1028)</f>
        <v xml:space="preserve">, , </v>
      </c>
      <c r="M1028">
        <f>'Audit Report'!M1028</f>
        <v>0</v>
      </c>
      <c r="N1028" t="str" cm="1">
        <f t="array" ref="N1028">IF(M1028="","",
_xlfn.TEXTJOIN(", ",TRUE,
    _xlfn.MAP(_xlfn.TEXTSPLIT(M1028,","),_xlfn.LAMBDA(_xlpm.x,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8" t="e">
        <f>'Audit Report'!#REF!</f>
        <v>#REF!</v>
      </c>
      <c r="S1028">
        <f>'Audit Report'!N1028</f>
        <v>0</v>
      </c>
    </row>
    <row r="1029" spans="4:19">
      <c r="D1029">
        <f>'Audit Report'!B1029</f>
        <v>0</v>
      </c>
      <c r="E1029">
        <f>'Audit Report'!C1029</f>
        <v>0</v>
      </c>
      <c r="I1029">
        <f>'Audit Report'!E1029</f>
        <v>0</v>
      </c>
      <c r="J1029">
        <f>'Audit Report'!G1029</f>
        <v>0</v>
      </c>
      <c r="L1029" t="str">
        <f>_xlfn.TEXTJOIN(", ", FALSE, 'Audit Report'!J1029,'Audit Report'!K1029,'Audit Report'!L1029)</f>
        <v xml:space="preserve">, , </v>
      </c>
      <c r="M1029">
        <f>'Audit Report'!M1029</f>
        <v>0</v>
      </c>
      <c r="N1029" t="str" cm="1">
        <f t="array" ref="N1029">IF(M1029="","",
_xlfn.TEXTJOIN(", ",TRUE,
    _xlfn.MAP(_xlfn.TEXTSPLIT(M1029,","),_xlfn.LAMBDA(_xlpm.x,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9" t="e">
        <f>'Audit Report'!#REF!</f>
        <v>#REF!</v>
      </c>
      <c r="S1029">
        <f>'Audit Report'!N1029</f>
        <v>0</v>
      </c>
    </row>
    <row r="1030" spans="4:19">
      <c r="D1030">
        <f>'Audit Report'!B1030</f>
        <v>0</v>
      </c>
      <c r="E1030">
        <f>'Audit Report'!C1030</f>
        <v>0</v>
      </c>
      <c r="I1030">
        <f>'Audit Report'!E1030</f>
        <v>0</v>
      </c>
      <c r="J1030">
        <f>'Audit Report'!G1030</f>
        <v>0</v>
      </c>
      <c r="L1030" t="str">
        <f>_xlfn.TEXTJOIN(", ", FALSE, 'Audit Report'!J1030,'Audit Report'!K1030,'Audit Report'!L1030)</f>
        <v xml:space="preserve">, , </v>
      </c>
      <c r="M1030">
        <f>'Audit Report'!M1030</f>
        <v>0</v>
      </c>
      <c r="N1030" t="str" cm="1">
        <f t="array" ref="N1030">IF(M1030="","",
_xlfn.TEXTJOIN(", ",TRUE,
    _xlfn.MAP(_xlfn.TEXTSPLIT(M1030,","),_xlfn.LAMBDA(_xlpm.x,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0" t="e">
        <f>'Audit Report'!#REF!</f>
        <v>#REF!</v>
      </c>
      <c r="S1030">
        <f>'Audit Report'!N1030</f>
        <v>0</v>
      </c>
    </row>
    <row r="1031" spans="4:19">
      <c r="D1031">
        <f>'Audit Report'!B1031</f>
        <v>0</v>
      </c>
      <c r="E1031">
        <f>'Audit Report'!C1031</f>
        <v>0</v>
      </c>
      <c r="I1031">
        <f>'Audit Report'!E1031</f>
        <v>0</v>
      </c>
      <c r="J1031">
        <f>'Audit Report'!G1031</f>
        <v>0</v>
      </c>
      <c r="L1031" t="str">
        <f>_xlfn.TEXTJOIN(", ", FALSE, 'Audit Report'!J1031,'Audit Report'!K1031,'Audit Report'!L1031)</f>
        <v xml:space="preserve">, , </v>
      </c>
      <c r="M1031">
        <f>'Audit Report'!M1031</f>
        <v>0</v>
      </c>
      <c r="N1031" t="str" cm="1">
        <f t="array" ref="N1031">IF(M1031="","",
_xlfn.TEXTJOIN(", ",TRUE,
    _xlfn.MAP(_xlfn.TEXTSPLIT(M1031,","),_xlfn.LAMBDA(_xlpm.x,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1" t="e">
        <f>'Audit Report'!#REF!</f>
        <v>#REF!</v>
      </c>
      <c r="S1031">
        <f>'Audit Report'!N1031</f>
        <v>0</v>
      </c>
    </row>
    <row r="1032" spans="4:19">
      <c r="D1032">
        <f>'Audit Report'!B1032</f>
        <v>0</v>
      </c>
      <c r="E1032">
        <f>'Audit Report'!C1032</f>
        <v>0</v>
      </c>
      <c r="I1032">
        <f>'Audit Report'!E1032</f>
        <v>0</v>
      </c>
      <c r="J1032">
        <f>'Audit Report'!G1032</f>
        <v>0</v>
      </c>
      <c r="L1032" t="str">
        <f>_xlfn.TEXTJOIN(", ", FALSE, 'Audit Report'!J1032,'Audit Report'!K1032,'Audit Report'!L1032)</f>
        <v xml:space="preserve">, , </v>
      </c>
      <c r="M1032">
        <f>'Audit Report'!M1032</f>
        <v>0</v>
      </c>
      <c r="N1032" t="str" cm="1">
        <f t="array" ref="N1032">IF(M1032="","",
_xlfn.TEXTJOIN(", ",TRUE,
    _xlfn.MAP(_xlfn.TEXTSPLIT(M1032,","),_xlfn.LAMBDA(_xlpm.x,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2" t="e">
        <f>'Audit Report'!#REF!</f>
        <v>#REF!</v>
      </c>
      <c r="S1032">
        <f>'Audit Report'!N1032</f>
        <v>0</v>
      </c>
    </row>
    <row r="1033" spans="4:19">
      <c r="D1033">
        <f>'Audit Report'!B1033</f>
        <v>0</v>
      </c>
      <c r="E1033">
        <f>'Audit Report'!C1033</f>
        <v>0</v>
      </c>
      <c r="I1033">
        <f>'Audit Report'!E1033</f>
        <v>0</v>
      </c>
      <c r="J1033">
        <f>'Audit Report'!G1033</f>
        <v>0</v>
      </c>
      <c r="L1033" t="str">
        <f>_xlfn.TEXTJOIN(", ", FALSE, 'Audit Report'!J1033,'Audit Report'!K1033,'Audit Report'!L1033)</f>
        <v xml:space="preserve">, , </v>
      </c>
      <c r="M1033">
        <f>'Audit Report'!M1033</f>
        <v>0</v>
      </c>
      <c r="N1033" t="str" cm="1">
        <f t="array" ref="N1033">IF(M1033="","",
_xlfn.TEXTJOIN(", ",TRUE,
    _xlfn.MAP(_xlfn.TEXTSPLIT(M1033,","),_xlfn.LAMBDA(_xlpm.x,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3" t="e">
        <f>'Audit Report'!#REF!</f>
        <v>#REF!</v>
      </c>
      <c r="S1033">
        <f>'Audit Report'!N1033</f>
        <v>0</v>
      </c>
    </row>
    <row r="1034" spans="4:19">
      <c r="D1034">
        <f>'Audit Report'!B1034</f>
        <v>0</v>
      </c>
      <c r="E1034">
        <f>'Audit Report'!C1034</f>
        <v>0</v>
      </c>
      <c r="I1034">
        <f>'Audit Report'!E1034</f>
        <v>0</v>
      </c>
      <c r="J1034">
        <f>'Audit Report'!G1034</f>
        <v>0</v>
      </c>
      <c r="L1034" t="str">
        <f>_xlfn.TEXTJOIN(", ", FALSE, 'Audit Report'!J1034,'Audit Report'!K1034,'Audit Report'!L1034)</f>
        <v xml:space="preserve">, , </v>
      </c>
      <c r="M1034">
        <f>'Audit Report'!M1034</f>
        <v>0</v>
      </c>
      <c r="N1034" t="str" cm="1">
        <f t="array" ref="N1034">IF(M1034="","",
_xlfn.TEXTJOIN(", ",TRUE,
    _xlfn.MAP(_xlfn.TEXTSPLIT(M1034,","),_xlfn.LAMBDA(_xlpm.x,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4" t="e">
        <f>'Audit Report'!#REF!</f>
        <v>#REF!</v>
      </c>
      <c r="S1034">
        <f>'Audit Report'!N1034</f>
        <v>0</v>
      </c>
    </row>
    <row r="1035" spans="4:19">
      <c r="D1035">
        <f>'Audit Report'!B1035</f>
        <v>0</v>
      </c>
      <c r="E1035">
        <f>'Audit Report'!C1035</f>
        <v>0</v>
      </c>
      <c r="I1035">
        <f>'Audit Report'!E1035</f>
        <v>0</v>
      </c>
      <c r="J1035">
        <f>'Audit Report'!G1035</f>
        <v>0</v>
      </c>
      <c r="L1035" t="str">
        <f>_xlfn.TEXTJOIN(", ", FALSE, 'Audit Report'!J1035,'Audit Report'!K1035,'Audit Report'!L1035)</f>
        <v xml:space="preserve">, , </v>
      </c>
      <c r="M1035">
        <f>'Audit Report'!M1035</f>
        <v>0</v>
      </c>
      <c r="N1035" t="str" cm="1">
        <f t="array" ref="N1035">IF(M1035="","",
_xlfn.TEXTJOIN(", ",TRUE,
    _xlfn.MAP(_xlfn.TEXTSPLIT(M1035,","),_xlfn.LAMBDA(_xlpm.x,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5" t="e">
        <f>'Audit Report'!#REF!</f>
        <v>#REF!</v>
      </c>
      <c r="S1035">
        <f>'Audit Report'!N1035</f>
        <v>0</v>
      </c>
    </row>
    <row r="1036" spans="4:19">
      <c r="D1036">
        <f>'Audit Report'!B1036</f>
        <v>0</v>
      </c>
      <c r="E1036">
        <f>'Audit Report'!C1036</f>
        <v>0</v>
      </c>
      <c r="I1036">
        <f>'Audit Report'!E1036</f>
        <v>0</v>
      </c>
      <c r="J1036">
        <f>'Audit Report'!G1036</f>
        <v>0</v>
      </c>
      <c r="L1036" t="str">
        <f>_xlfn.TEXTJOIN(", ", FALSE, 'Audit Report'!J1036,'Audit Report'!K1036,'Audit Report'!L1036)</f>
        <v xml:space="preserve">, , </v>
      </c>
      <c r="M1036">
        <f>'Audit Report'!M1036</f>
        <v>0</v>
      </c>
      <c r="N1036" t="str" cm="1">
        <f t="array" ref="N1036">IF(M1036="","",
_xlfn.TEXTJOIN(", ",TRUE,
    _xlfn.MAP(_xlfn.TEXTSPLIT(M1036,","),_xlfn.LAMBDA(_xlpm.x,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6" t="e">
        <f>'Audit Report'!#REF!</f>
        <v>#REF!</v>
      </c>
      <c r="S1036">
        <f>'Audit Report'!N1036</f>
        <v>0</v>
      </c>
    </row>
    <row r="1037" spans="4:19">
      <c r="D1037">
        <f>'Audit Report'!B1037</f>
        <v>0</v>
      </c>
      <c r="E1037">
        <f>'Audit Report'!C1037</f>
        <v>0</v>
      </c>
      <c r="I1037">
        <f>'Audit Report'!E1037</f>
        <v>0</v>
      </c>
      <c r="J1037">
        <f>'Audit Report'!G1037</f>
        <v>0</v>
      </c>
      <c r="L1037" t="str">
        <f>_xlfn.TEXTJOIN(", ", FALSE, 'Audit Report'!J1037,'Audit Report'!K1037,'Audit Report'!L1037)</f>
        <v xml:space="preserve">, , </v>
      </c>
      <c r="M1037">
        <f>'Audit Report'!M1037</f>
        <v>0</v>
      </c>
      <c r="N1037" t="str" cm="1">
        <f t="array" ref="N1037">IF(M1037="","",
_xlfn.TEXTJOIN(", ",TRUE,
    _xlfn.MAP(_xlfn.TEXTSPLIT(M1037,","),_xlfn.LAMBDA(_xlpm.x,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7" t="e">
        <f>'Audit Report'!#REF!</f>
        <v>#REF!</v>
      </c>
      <c r="S1037">
        <f>'Audit Report'!N1037</f>
        <v>0</v>
      </c>
    </row>
    <row r="1038" spans="4:19">
      <c r="D1038">
        <f>'Audit Report'!B1038</f>
        <v>0</v>
      </c>
      <c r="E1038">
        <f>'Audit Report'!C1038</f>
        <v>0</v>
      </c>
      <c r="I1038">
        <f>'Audit Report'!E1038</f>
        <v>0</v>
      </c>
      <c r="J1038">
        <f>'Audit Report'!G1038</f>
        <v>0</v>
      </c>
      <c r="L1038" t="str">
        <f>_xlfn.TEXTJOIN(", ", FALSE, 'Audit Report'!J1038,'Audit Report'!K1038,'Audit Report'!L1038)</f>
        <v xml:space="preserve">, , </v>
      </c>
      <c r="M1038">
        <f>'Audit Report'!M1038</f>
        <v>0</v>
      </c>
      <c r="N1038" t="str" cm="1">
        <f t="array" ref="N1038">IF(M1038="","",
_xlfn.TEXTJOIN(", ",TRUE,
    _xlfn.MAP(_xlfn.TEXTSPLIT(M1038,","),_xlfn.LAMBDA(_xlpm.x,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8" t="e">
        <f>'Audit Report'!#REF!</f>
        <v>#REF!</v>
      </c>
      <c r="S1038">
        <f>'Audit Report'!N1038</f>
        <v>0</v>
      </c>
    </row>
    <row r="1039" spans="4:19">
      <c r="D1039">
        <f>'Audit Report'!B1039</f>
        <v>0</v>
      </c>
      <c r="E1039">
        <f>'Audit Report'!C1039</f>
        <v>0</v>
      </c>
      <c r="I1039">
        <f>'Audit Report'!E1039</f>
        <v>0</v>
      </c>
      <c r="J1039">
        <f>'Audit Report'!G1039</f>
        <v>0</v>
      </c>
      <c r="L1039" t="str">
        <f>_xlfn.TEXTJOIN(", ", FALSE, 'Audit Report'!J1039,'Audit Report'!K1039,'Audit Report'!L1039)</f>
        <v xml:space="preserve">, , </v>
      </c>
      <c r="M1039">
        <f>'Audit Report'!M1039</f>
        <v>0</v>
      </c>
      <c r="N1039" t="str" cm="1">
        <f t="array" ref="N1039">IF(M1039="","",
_xlfn.TEXTJOIN(", ",TRUE,
    _xlfn.MAP(_xlfn.TEXTSPLIT(M1039,","),_xlfn.LAMBDA(_xlpm.x,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9" t="e">
        <f>'Audit Report'!#REF!</f>
        <v>#REF!</v>
      </c>
      <c r="S1039">
        <f>'Audit Report'!N1039</f>
        <v>0</v>
      </c>
    </row>
    <row r="1040" spans="4:19">
      <c r="D1040">
        <f>'Audit Report'!B1040</f>
        <v>0</v>
      </c>
      <c r="E1040">
        <f>'Audit Report'!C1040</f>
        <v>0</v>
      </c>
      <c r="I1040">
        <f>'Audit Report'!E1040</f>
        <v>0</v>
      </c>
      <c r="J1040">
        <f>'Audit Report'!G1040</f>
        <v>0</v>
      </c>
      <c r="L1040" t="str">
        <f>_xlfn.TEXTJOIN(", ", FALSE, 'Audit Report'!J1040,'Audit Report'!K1040,'Audit Report'!L1040)</f>
        <v xml:space="preserve">, , </v>
      </c>
      <c r="M1040">
        <f>'Audit Report'!M1040</f>
        <v>0</v>
      </c>
      <c r="N1040" t="str" cm="1">
        <f t="array" ref="N1040">IF(M1040="","",
_xlfn.TEXTJOIN(", ",TRUE,
    _xlfn.MAP(_xlfn.TEXTSPLIT(M1040,","),_xlfn.LAMBDA(_xlpm.x,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0" t="e">
        <f>'Audit Report'!#REF!</f>
        <v>#REF!</v>
      </c>
      <c r="S1040">
        <f>'Audit Report'!N1040</f>
        <v>0</v>
      </c>
    </row>
    <row r="1041" spans="4:19">
      <c r="D1041">
        <f>'Audit Report'!B1041</f>
        <v>0</v>
      </c>
      <c r="E1041">
        <f>'Audit Report'!C1041</f>
        <v>0</v>
      </c>
      <c r="I1041">
        <f>'Audit Report'!E1041</f>
        <v>0</v>
      </c>
      <c r="J1041">
        <f>'Audit Report'!G1041</f>
        <v>0</v>
      </c>
      <c r="L1041" t="str">
        <f>_xlfn.TEXTJOIN(", ", FALSE, 'Audit Report'!J1041,'Audit Report'!K1041,'Audit Report'!L1041)</f>
        <v xml:space="preserve">, , </v>
      </c>
      <c r="M1041">
        <f>'Audit Report'!M1041</f>
        <v>0</v>
      </c>
      <c r="N1041" t="str" cm="1">
        <f t="array" ref="N1041">IF(M1041="","",
_xlfn.TEXTJOIN(", ",TRUE,
    _xlfn.MAP(_xlfn.TEXTSPLIT(M1041,","),_xlfn.LAMBDA(_xlpm.x,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1" t="e">
        <f>'Audit Report'!#REF!</f>
        <v>#REF!</v>
      </c>
      <c r="S1041">
        <f>'Audit Report'!N1041</f>
        <v>0</v>
      </c>
    </row>
    <row r="1042" spans="4:19">
      <c r="D1042">
        <f>'Audit Report'!B1042</f>
        <v>0</v>
      </c>
      <c r="E1042">
        <f>'Audit Report'!C1042</f>
        <v>0</v>
      </c>
      <c r="I1042">
        <f>'Audit Report'!E1042</f>
        <v>0</v>
      </c>
      <c r="J1042">
        <f>'Audit Report'!G1042</f>
        <v>0</v>
      </c>
      <c r="L1042" t="str">
        <f>_xlfn.TEXTJOIN(", ", FALSE, 'Audit Report'!J1042,'Audit Report'!K1042,'Audit Report'!L1042)</f>
        <v xml:space="preserve">, , </v>
      </c>
      <c r="M1042">
        <f>'Audit Report'!M1042</f>
        <v>0</v>
      </c>
      <c r="N1042" t="str" cm="1">
        <f t="array" ref="N1042">IF(M1042="","",
_xlfn.TEXTJOIN(", ",TRUE,
    _xlfn.MAP(_xlfn.TEXTSPLIT(M1042,","),_xlfn.LAMBDA(_xlpm.x,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2" t="e">
        <f>'Audit Report'!#REF!</f>
        <v>#REF!</v>
      </c>
      <c r="S1042">
        <f>'Audit Report'!N1042</f>
        <v>0</v>
      </c>
    </row>
    <row r="1043" spans="4:19">
      <c r="D1043">
        <f>'Audit Report'!B1043</f>
        <v>0</v>
      </c>
      <c r="E1043">
        <f>'Audit Report'!C1043</f>
        <v>0</v>
      </c>
      <c r="I1043">
        <f>'Audit Report'!E1043</f>
        <v>0</v>
      </c>
      <c r="J1043">
        <f>'Audit Report'!G1043</f>
        <v>0</v>
      </c>
      <c r="L1043" t="str">
        <f>_xlfn.TEXTJOIN(", ", FALSE, 'Audit Report'!J1043,'Audit Report'!K1043,'Audit Report'!L1043)</f>
        <v xml:space="preserve">, , </v>
      </c>
      <c r="M1043">
        <f>'Audit Report'!M1043</f>
        <v>0</v>
      </c>
      <c r="N1043" t="str" cm="1">
        <f t="array" ref="N1043">IF(M1043="","",
_xlfn.TEXTJOIN(", ",TRUE,
    _xlfn.MAP(_xlfn.TEXTSPLIT(M1043,","),_xlfn.LAMBDA(_xlpm.x,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3" t="e">
        <f>'Audit Report'!#REF!</f>
        <v>#REF!</v>
      </c>
      <c r="S1043">
        <f>'Audit Report'!N1043</f>
        <v>0</v>
      </c>
    </row>
    <row r="1044" spans="4:19">
      <c r="D1044">
        <f>'Audit Report'!B1044</f>
        <v>0</v>
      </c>
      <c r="E1044">
        <f>'Audit Report'!C1044</f>
        <v>0</v>
      </c>
      <c r="I1044">
        <f>'Audit Report'!E1044</f>
        <v>0</v>
      </c>
      <c r="J1044">
        <f>'Audit Report'!G1044</f>
        <v>0</v>
      </c>
      <c r="L1044" t="str">
        <f>_xlfn.TEXTJOIN(", ", FALSE, 'Audit Report'!J1044,'Audit Report'!K1044,'Audit Report'!L1044)</f>
        <v xml:space="preserve">, , </v>
      </c>
      <c r="M1044">
        <f>'Audit Report'!M1044</f>
        <v>0</v>
      </c>
      <c r="N1044" t="str" cm="1">
        <f t="array" ref="N1044">IF(M1044="","",
_xlfn.TEXTJOIN(", ",TRUE,
    _xlfn.MAP(_xlfn.TEXTSPLIT(M1044,","),_xlfn.LAMBDA(_xlpm.x,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4" t="e">
        <f>'Audit Report'!#REF!</f>
        <v>#REF!</v>
      </c>
      <c r="S1044">
        <f>'Audit Report'!N1044</f>
        <v>0</v>
      </c>
    </row>
    <row r="1045" spans="4:19">
      <c r="D1045">
        <f>'Audit Report'!B1045</f>
        <v>0</v>
      </c>
      <c r="E1045">
        <f>'Audit Report'!C1045</f>
        <v>0</v>
      </c>
      <c r="I1045">
        <f>'Audit Report'!E1045</f>
        <v>0</v>
      </c>
      <c r="J1045">
        <f>'Audit Report'!G1045</f>
        <v>0</v>
      </c>
      <c r="L1045" t="str">
        <f>_xlfn.TEXTJOIN(", ", FALSE, 'Audit Report'!J1045,'Audit Report'!K1045,'Audit Report'!L1045)</f>
        <v xml:space="preserve">, , </v>
      </c>
      <c r="M1045">
        <f>'Audit Report'!M1045</f>
        <v>0</v>
      </c>
      <c r="N1045" t="str" cm="1">
        <f t="array" ref="N1045">IF(M1045="","",
_xlfn.TEXTJOIN(", ",TRUE,
    _xlfn.MAP(_xlfn.TEXTSPLIT(M1045,","),_xlfn.LAMBDA(_xlpm.x,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5" t="e">
        <f>'Audit Report'!#REF!</f>
        <v>#REF!</v>
      </c>
      <c r="S1045">
        <f>'Audit Report'!N1045</f>
        <v>0</v>
      </c>
    </row>
    <row r="1046" spans="4:19">
      <c r="D1046">
        <f>'Audit Report'!B1046</f>
        <v>0</v>
      </c>
      <c r="E1046">
        <f>'Audit Report'!C1046</f>
        <v>0</v>
      </c>
      <c r="I1046">
        <f>'Audit Report'!E1046</f>
        <v>0</v>
      </c>
      <c r="J1046">
        <f>'Audit Report'!G1046</f>
        <v>0</v>
      </c>
      <c r="L1046" t="str">
        <f>_xlfn.TEXTJOIN(", ", FALSE, 'Audit Report'!J1046,'Audit Report'!K1046,'Audit Report'!L1046)</f>
        <v xml:space="preserve">, , </v>
      </c>
      <c r="M1046">
        <f>'Audit Report'!M1046</f>
        <v>0</v>
      </c>
      <c r="N1046" t="str" cm="1">
        <f t="array" ref="N1046">IF(M1046="","",
_xlfn.TEXTJOIN(", ",TRUE,
    _xlfn.MAP(_xlfn.TEXTSPLIT(M1046,","),_xlfn.LAMBDA(_xlpm.x,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6" t="e">
        <f>'Audit Report'!#REF!</f>
        <v>#REF!</v>
      </c>
      <c r="S1046">
        <f>'Audit Report'!N1046</f>
        <v>0</v>
      </c>
    </row>
    <row r="1047" spans="4:19">
      <c r="D1047">
        <f>'Audit Report'!B1047</f>
        <v>0</v>
      </c>
      <c r="E1047">
        <f>'Audit Report'!C1047</f>
        <v>0</v>
      </c>
      <c r="I1047">
        <f>'Audit Report'!E1047</f>
        <v>0</v>
      </c>
      <c r="J1047">
        <f>'Audit Report'!G1047</f>
        <v>0</v>
      </c>
      <c r="L1047" t="str">
        <f>_xlfn.TEXTJOIN(", ", FALSE, 'Audit Report'!J1047,'Audit Report'!K1047,'Audit Report'!L1047)</f>
        <v xml:space="preserve">, , </v>
      </c>
      <c r="M1047">
        <f>'Audit Report'!M1047</f>
        <v>0</v>
      </c>
      <c r="N1047" t="str" cm="1">
        <f t="array" ref="N1047">IF(M1047="","",
_xlfn.TEXTJOIN(", ",TRUE,
    _xlfn.MAP(_xlfn.TEXTSPLIT(M1047,","),_xlfn.LAMBDA(_xlpm.x,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7" t="e">
        <f>'Audit Report'!#REF!</f>
        <v>#REF!</v>
      </c>
      <c r="S1047">
        <f>'Audit Report'!N1047</f>
        <v>0</v>
      </c>
    </row>
    <row r="1048" spans="4:19">
      <c r="D1048">
        <f>'Audit Report'!B1048</f>
        <v>0</v>
      </c>
      <c r="E1048">
        <f>'Audit Report'!C1048</f>
        <v>0</v>
      </c>
      <c r="I1048">
        <f>'Audit Report'!E1048</f>
        <v>0</v>
      </c>
      <c r="J1048">
        <f>'Audit Report'!G1048</f>
        <v>0</v>
      </c>
      <c r="L1048" t="str">
        <f>_xlfn.TEXTJOIN(", ", FALSE, 'Audit Report'!J1048,'Audit Report'!K1048,'Audit Report'!L1048)</f>
        <v xml:space="preserve">, , </v>
      </c>
      <c r="M1048">
        <f>'Audit Report'!M1048</f>
        <v>0</v>
      </c>
      <c r="N1048" t="str" cm="1">
        <f t="array" ref="N1048">IF(M1048="","",
_xlfn.TEXTJOIN(", ",TRUE,
    _xlfn.MAP(_xlfn.TEXTSPLIT(M1048,","),_xlfn.LAMBDA(_xlpm.x,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8" t="e">
        <f>'Audit Report'!#REF!</f>
        <v>#REF!</v>
      </c>
      <c r="S1048">
        <f>'Audit Report'!N1048</f>
        <v>0</v>
      </c>
    </row>
    <row r="1049" spans="4:19">
      <c r="D1049">
        <f>'Audit Report'!B1049</f>
        <v>0</v>
      </c>
      <c r="E1049">
        <f>'Audit Report'!C1049</f>
        <v>0</v>
      </c>
      <c r="I1049">
        <f>'Audit Report'!E1049</f>
        <v>0</v>
      </c>
      <c r="J1049">
        <f>'Audit Report'!G1049</f>
        <v>0</v>
      </c>
      <c r="L1049" t="str">
        <f>_xlfn.TEXTJOIN(", ", FALSE, 'Audit Report'!J1049,'Audit Report'!K1049,'Audit Report'!L1049)</f>
        <v xml:space="preserve">, , </v>
      </c>
      <c r="M1049">
        <f>'Audit Report'!M1049</f>
        <v>0</v>
      </c>
      <c r="N1049" t="str" cm="1">
        <f t="array" ref="N1049">IF(M1049="","",
_xlfn.TEXTJOIN(", ",TRUE,
    _xlfn.MAP(_xlfn.TEXTSPLIT(M1049,","),_xlfn.LAMBDA(_xlpm.x,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9" t="e">
        <f>'Audit Report'!#REF!</f>
        <v>#REF!</v>
      </c>
      <c r="S1049">
        <f>'Audit Report'!N1049</f>
        <v>0</v>
      </c>
    </row>
    <row r="1050" spans="4:19">
      <c r="D1050">
        <f>'Audit Report'!B1050</f>
        <v>0</v>
      </c>
      <c r="E1050">
        <f>'Audit Report'!C1050</f>
        <v>0</v>
      </c>
      <c r="I1050">
        <f>'Audit Report'!E1050</f>
        <v>0</v>
      </c>
      <c r="J1050">
        <f>'Audit Report'!G1050</f>
        <v>0</v>
      </c>
      <c r="L1050" t="str">
        <f>_xlfn.TEXTJOIN(", ", FALSE, 'Audit Report'!J1050,'Audit Report'!K1050,'Audit Report'!L1050)</f>
        <v xml:space="preserve">, , </v>
      </c>
      <c r="M1050">
        <f>'Audit Report'!M1050</f>
        <v>0</v>
      </c>
      <c r="N1050" t="str" cm="1">
        <f t="array" ref="N1050">IF(M1050="","",
_xlfn.TEXTJOIN(", ",TRUE,
    _xlfn.MAP(_xlfn.TEXTSPLIT(M1050,","),_xlfn.LAMBDA(_xlpm.x,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0" t="e">
        <f>'Audit Report'!#REF!</f>
        <v>#REF!</v>
      </c>
      <c r="S1050">
        <f>'Audit Report'!N1050</f>
        <v>0</v>
      </c>
    </row>
    <row r="1051" spans="4:19">
      <c r="D1051">
        <f>'Audit Report'!B1051</f>
        <v>0</v>
      </c>
      <c r="E1051">
        <f>'Audit Report'!C1051</f>
        <v>0</v>
      </c>
      <c r="I1051">
        <f>'Audit Report'!E1051</f>
        <v>0</v>
      </c>
      <c r="J1051">
        <f>'Audit Report'!G1051</f>
        <v>0</v>
      </c>
      <c r="L1051" t="str">
        <f>_xlfn.TEXTJOIN(", ", FALSE, 'Audit Report'!J1051,'Audit Report'!K1051,'Audit Report'!L1051)</f>
        <v xml:space="preserve">, , </v>
      </c>
      <c r="M1051">
        <f>'Audit Report'!M1051</f>
        <v>0</v>
      </c>
      <c r="N1051" t="str" cm="1">
        <f t="array" ref="N1051">IF(M1051="","",
_xlfn.TEXTJOIN(", ",TRUE,
    _xlfn.MAP(_xlfn.TEXTSPLIT(M1051,","),_xlfn.LAMBDA(_xlpm.x,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1" t="e">
        <f>'Audit Report'!#REF!</f>
        <v>#REF!</v>
      </c>
      <c r="S1051">
        <f>'Audit Report'!N1051</f>
        <v>0</v>
      </c>
    </row>
    <row r="1052" spans="4:19">
      <c r="D1052">
        <f>'Audit Report'!B1052</f>
        <v>0</v>
      </c>
      <c r="E1052">
        <f>'Audit Report'!C1052</f>
        <v>0</v>
      </c>
      <c r="I1052">
        <f>'Audit Report'!E1052</f>
        <v>0</v>
      </c>
      <c r="J1052">
        <f>'Audit Report'!G1052</f>
        <v>0</v>
      </c>
      <c r="L1052" t="str">
        <f>_xlfn.TEXTJOIN(", ", FALSE, 'Audit Report'!J1052,'Audit Report'!K1052,'Audit Report'!L1052)</f>
        <v xml:space="preserve">, , </v>
      </c>
      <c r="M1052">
        <f>'Audit Report'!M1052</f>
        <v>0</v>
      </c>
      <c r="N1052" t="str" cm="1">
        <f t="array" ref="N1052">IF(M1052="","",
_xlfn.TEXTJOIN(", ",TRUE,
    _xlfn.MAP(_xlfn.TEXTSPLIT(M1052,","),_xlfn.LAMBDA(_xlpm.x,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2" t="e">
        <f>'Audit Report'!#REF!</f>
        <v>#REF!</v>
      </c>
      <c r="S1052">
        <f>'Audit Report'!N1052</f>
        <v>0</v>
      </c>
    </row>
    <row r="1053" spans="4:19">
      <c r="D1053">
        <f>'Audit Report'!B1053</f>
        <v>0</v>
      </c>
      <c r="E1053">
        <f>'Audit Report'!C1053</f>
        <v>0</v>
      </c>
      <c r="I1053">
        <f>'Audit Report'!E1053</f>
        <v>0</v>
      </c>
      <c r="J1053">
        <f>'Audit Report'!G1053</f>
        <v>0</v>
      </c>
      <c r="L1053" t="str">
        <f>_xlfn.TEXTJOIN(", ", FALSE, 'Audit Report'!J1053,'Audit Report'!K1053,'Audit Report'!L1053)</f>
        <v xml:space="preserve">, , </v>
      </c>
      <c r="M1053">
        <f>'Audit Report'!M1053</f>
        <v>0</v>
      </c>
      <c r="N1053" t="str" cm="1">
        <f t="array" ref="N1053">IF(M1053="","",
_xlfn.TEXTJOIN(", ",TRUE,
    _xlfn.MAP(_xlfn.TEXTSPLIT(M1053,","),_xlfn.LAMBDA(_xlpm.x,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3" t="e">
        <f>'Audit Report'!#REF!</f>
        <v>#REF!</v>
      </c>
      <c r="S1053">
        <f>'Audit Report'!N1053</f>
        <v>0</v>
      </c>
    </row>
    <row r="1054" spans="4:19">
      <c r="D1054">
        <f>'Audit Report'!B1054</f>
        <v>0</v>
      </c>
      <c r="E1054">
        <f>'Audit Report'!C1054</f>
        <v>0</v>
      </c>
      <c r="I1054">
        <f>'Audit Report'!E1054</f>
        <v>0</v>
      </c>
      <c r="J1054">
        <f>'Audit Report'!G1054</f>
        <v>0</v>
      </c>
      <c r="L1054" t="str">
        <f>_xlfn.TEXTJOIN(", ", FALSE, 'Audit Report'!J1054,'Audit Report'!K1054,'Audit Report'!L1054)</f>
        <v xml:space="preserve">, , </v>
      </c>
      <c r="M1054">
        <f>'Audit Report'!M1054</f>
        <v>0</v>
      </c>
      <c r="N1054" t="str" cm="1">
        <f t="array" ref="N1054">IF(M1054="","",
_xlfn.TEXTJOIN(", ",TRUE,
    _xlfn.MAP(_xlfn.TEXTSPLIT(M1054,","),_xlfn.LAMBDA(_xlpm.x,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4" t="e">
        <f>'Audit Report'!#REF!</f>
        <v>#REF!</v>
      </c>
      <c r="S1054">
        <f>'Audit Report'!N1054</f>
        <v>0</v>
      </c>
    </row>
    <row r="1055" spans="4:19">
      <c r="D1055">
        <f>'Audit Report'!B1055</f>
        <v>0</v>
      </c>
      <c r="E1055">
        <f>'Audit Report'!C1055</f>
        <v>0</v>
      </c>
      <c r="I1055">
        <f>'Audit Report'!E1055</f>
        <v>0</v>
      </c>
      <c r="J1055">
        <f>'Audit Report'!G1055</f>
        <v>0</v>
      </c>
      <c r="L1055" t="str">
        <f>_xlfn.TEXTJOIN(", ", FALSE, 'Audit Report'!J1055,'Audit Report'!K1055,'Audit Report'!L1055)</f>
        <v xml:space="preserve">, , </v>
      </c>
      <c r="M1055">
        <f>'Audit Report'!M1055</f>
        <v>0</v>
      </c>
      <c r="N1055" t="str" cm="1">
        <f t="array" ref="N1055">IF(M1055="","",
_xlfn.TEXTJOIN(", ",TRUE,
    _xlfn.MAP(_xlfn.TEXTSPLIT(M1055,","),_xlfn.LAMBDA(_xlpm.x,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5" t="e">
        <f>'Audit Report'!#REF!</f>
        <v>#REF!</v>
      </c>
      <c r="S1055">
        <f>'Audit Report'!N1055</f>
        <v>0</v>
      </c>
    </row>
    <row r="1056" spans="4:19">
      <c r="D1056">
        <f>'Audit Report'!B1056</f>
        <v>0</v>
      </c>
      <c r="E1056">
        <f>'Audit Report'!C1056</f>
        <v>0</v>
      </c>
      <c r="I1056">
        <f>'Audit Report'!E1056</f>
        <v>0</v>
      </c>
      <c r="J1056">
        <f>'Audit Report'!G1056</f>
        <v>0</v>
      </c>
      <c r="L1056" t="str">
        <f>_xlfn.TEXTJOIN(", ", FALSE, 'Audit Report'!J1056,'Audit Report'!K1056,'Audit Report'!L1056)</f>
        <v xml:space="preserve">, , </v>
      </c>
      <c r="M1056">
        <f>'Audit Report'!M1056</f>
        <v>0</v>
      </c>
      <c r="N1056" t="str" cm="1">
        <f t="array" ref="N1056">IF(M1056="","",
_xlfn.TEXTJOIN(", ",TRUE,
    _xlfn.MAP(_xlfn.TEXTSPLIT(M1056,","),_xlfn.LAMBDA(_xlpm.x,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6" t="e">
        <f>'Audit Report'!#REF!</f>
        <v>#REF!</v>
      </c>
      <c r="S1056">
        <f>'Audit Report'!N1056</f>
        <v>0</v>
      </c>
    </row>
    <row r="1057" spans="4:19">
      <c r="D1057">
        <f>'Audit Report'!B1057</f>
        <v>0</v>
      </c>
      <c r="E1057">
        <f>'Audit Report'!C1057</f>
        <v>0</v>
      </c>
      <c r="I1057">
        <f>'Audit Report'!E1057</f>
        <v>0</v>
      </c>
      <c r="J1057">
        <f>'Audit Report'!G1057</f>
        <v>0</v>
      </c>
      <c r="L1057" t="str">
        <f>_xlfn.TEXTJOIN(", ", FALSE, 'Audit Report'!J1057,'Audit Report'!K1057,'Audit Report'!L1057)</f>
        <v xml:space="preserve">, , </v>
      </c>
      <c r="M1057">
        <f>'Audit Report'!M1057</f>
        <v>0</v>
      </c>
      <c r="N1057" t="str" cm="1">
        <f t="array" ref="N1057">IF(M1057="","",
_xlfn.TEXTJOIN(", ",TRUE,
    _xlfn.MAP(_xlfn.TEXTSPLIT(M1057,","),_xlfn.LAMBDA(_xlpm.x,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7" t="e">
        <f>'Audit Report'!#REF!</f>
        <v>#REF!</v>
      </c>
      <c r="S1057">
        <f>'Audit Report'!N1057</f>
        <v>0</v>
      </c>
    </row>
    <row r="1058" spans="4:19">
      <c r="D1058">
        <f>'Audit Report'!B1058</f>
        <v>0</v>
      </c>
      <c r="E1058">
        <f>'Audit Report'!C1058</f>
        <v>0</v>
      </c>
      <c r="I1058">
        <f>'Audit Report'!E1058</f>
        <v>0</v>
      </c>
      <c r="J1058">
        <f>'Audit Report'!G1058</f>
        <v>0</v>
      </c>
      <c r="L1058" t="str">
        <f>_xlfn.TEXTJOIN(", ", FALSE, 'Audit Report'!J1058,'Audit Report'!K1058,'Audit Report'!L1058)</f>
        <v xml:space="preserve">, , </v>
      </c>
      <c r="M1058">
        <f>'Audit Report'!M1058</f>
        <v>0</v>
      </c>
      <c r="N1058" t="str" cm="1">
        <f t="array" ref="N1058">IF(M1058="","",
_xlfn.TEXTJOIN(", ",TRUE,
    _xlfn.MAP(_xlfn.TEXTSPLIT(M1058,","),_xlfn.LAMBDA(_xlpm.x,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8" t="e">
        <f>'Audit Report'!#REF!</f>
        <v>#REF!</v>
      </c>
      <c r="S1058">
        <f>'Audit Report'!N1058</f>
        <v>0</v>
      </c>
    </row>
    <row r="1059" spans="4:19">
      <c r="D1059">
        <f>'Audit Report'!B1059</f>
        <v>0</v>
      </c>
      <c r="E1059">
        <f>'Audit Report'!C1059</f>
        <v>0</v>
      </c>
      <c r="I1059">
        <f>'Audit Report'!E1059</f>
        <v>0</v>
      </c>
      <c r="J1059">
        <f>'Audit Report'!G1059</f>
        <v>0</v>
      </c>
      <c r="L1059" t="str">
        <f>_xlfn.TEXTJOIN(", ", FALSE, 'Audit Report'!J1059,'Audit Report'!K1059,'Audit Report'!L1059)</f>
        <v xml:space="preserve">, , </v>
      </c>
      <c r="M1059">
        <f>'Audit Report'!M1059</f>
        <v>0</v>
      </c>
      <c r="N1059" t="str" cm="1">
        <f t="array" ref="N1059">IF(M1059="","",
_xlfn.TEXTJOIN(", ",TRUE,
    _xlfn.MAP(_xlfn.TEXTSPLIT(M1059,","),_xlfn.LAMBDA(_xlpm.x,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9" t="e">
        <f>'Audit Report'!#REF!</f>
        <v>#REF!</v>
      </c>
      <c r="S1059">
        <f>'Audit Report'!N1059</f>
        <v>0</v>
      </c>
    </row>
    <row r="1060" spans="4:19">
      <c r="D1060">
        <f>'Audit Report'!B1060</f>
        <v>0</v>
      </c>
      <c r="E1060">
        <f>'Audit Report'!C1060</f>
        <v>0</v>
      </c>
      <c r="I1060">
        <f>'Audit Report'!E1060</f>
        <v>0</v>
      </c>
      <c r="J1060">
        <f>'Audit Report'!G1060</f>
        <v>0</v>
      </c>
      <c r="L1060" t="str">
        <f>_xlfn.TEXTJOIN(", ", FALSE, 'Audit Report'!J1060,'Audit Report'!K1060,'Audit Report'!L1060)</f>
        <v xml:space="preserve">, , </v>
      </c>
      <c r="M1060">
        <f>'Audit Report'!M1060</f>
        <v>0</v>
      </c>
      <c r="N1060" t="str" cm="1">
        <f t="array" ref="N1060">IF(M1060="","",
_xlfn.TEXTJOIN(", ",TRUE,
    _xlfn.MAP(_xlfn.TEXTSPLIT(M1060,","),_xlfn.LAMBDA(_xlpm.x,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0" t="e">
        <f>'Audit Report'!#REF!</f>
        <v>#REF!</v>
      </c>
      <c r="S1060">
        <f>'Audit Report'!N1060</f>
        <v>0</v>
      </c>
    </row>
    <row r="1061" spans="4:19">
      <c r="D1061">
        <f>'Audit Report'!B1061</f>
        <v>0</v>
      </c>
      <c r="E1061">
        <f>'Audit Report'!C1061</f>
        <v>0</v>
      </c>
      <c r="I1061">
        <f>'Audit Report'!E1061</f>
        <v>0</v>
      </c>
      <c r="J1061">
        <f>'Audit Report'!G1061</f>
        <v>0</v>
      </c>
      <c r="L1061" t="str">
        <f>_xlfn.TEXTJOIN(", ", FALSE, 'Audit Report'!J1061,'Audit Report'!K1061,'Audit Report'!L1061)</f>
        <v xml:space="preserve">, , </v>
      </c>
      <c r="M1061">
        <f>'Audit Report'!M1061</f>
        <v>0</v>
      </c>
      <c r="N1061" t="str" cm="1">
        <f t="array" ref="N1061">IF(M1061="","",
_xlfn.TEXTJOIN(", ",TRUE,
    _xlfn.MAP(_xlfn.TEXTSPLIT(M1061,","),_xlfn.LAMBDA(_xlpm.x,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1" t="e">
        <f>'Audit Report'!#REF!</f>
        <v>#REF!</v>
      </c>
      <c r="S1061">
        <f>'Audit Report'!N1061</f>
        <v>0</v>
      </c>
    </row>
    <row r="1062" spans="4:19">
      <c r="D1062">
        <f>'Audit Report'!B1062</f>
        <v>0</v>
      </c>
      <c r="E1062">
        <f>'Audit Report'!C1062</f>
        <v>0</v>
      </c>
      <c r="I1062">
        <f>'Audit Report'!E1062</f>
        <v>0</v>
      </c>
      <c r="J1062">
        <f>'Audit Report'!G1062</f>
        <v>0</v>
      </c>
      <c r="L1062" t="str">
        <f>_xlfn.TEXTJOIN(", ", FALSE, 'Audit Report'!J1062,'Audit Report'!K1062,'Audit Report'!L1062)</f>
        <v xml:space="preserve">, , </v>
      </c>
      <c r="M1062">
        <f>'Audit Report'!M1062</f>
        <v>0</v>
      </c>
      <c r="N1062" t="str" cm="1">
        <f t="array" ref="N1062">IF(M1062="","",
_xlfn.TEXTJOIN(", ",TRUE,
    _xlfn.MAP(_xlfn.TEXTSPLIT(M1062,","),_xlfn.LAMBDA(_xlpm.x,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2" t="e">
        <f>'Audit Report'!#REF!</f>
        <v>#REF!</v>
      </c>
      <c r="S1062">
        <f>'Audit Report'!N1062</f>
        <v>0</v>
      </c>
    </row>
    <row r="1063" spans="4:19">
      <c r="D1063">
        <f>'Audit Report'!B1063</f>
        <v>0</v>
      </c>
      <c r="E1063">
        <f>'Audit Report'!C1063</f>
        <v>0</v>
      </c>
      <c r="I1063">
        <f>'Audit Report'!E1063</f>
        <v>0</v>
      </c>
      <c r="J1063">
        <f>'Audit Report'!G1063</f>
        <v>0</v>
      </c>
      <c r="L1063" t="str">
        <f>_xlfn.TEXTJOIN(", ", FALSE, 'Audit Report'!J1063,'Audit Report'!K1063,'Audit Report'!L1063)</f>
        <v xml:space="preserve">, , </v>
      </c>
      <c r="M1063">
        <f>'Audit Report'!M1063</f>
        <v>0</v>
      </c>
      <c r="N1063" t="str" cm="1">
        <f t="array" ref="N1063">IF(M1063="","",
_xlfn.TEXTJOIN(", ",TRUE,
    _xlfn.MAP(_xlfn.TEXTSPLIT(M1063,","),_xlfn.LAMBDA(_xlpm.x,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3" t="e">
        <f>'Audit Report'!#REF!</f>
        <v>#REF!</v>
      </c>
      <c r="S1063">
        <f>'Audit Report'!N1063</f>
        <v>0</v>
      </c>
    </row>
    <row r="1064" spans="4:19">
      <c r="D1064">
        <f>'Audit Report'!B1064</f>
        <v>0</v>
      </c>
      <c r="E1064">
        <f>'Audit Report'!C1064</f>
        <v>0</v>
      </c>
      <c r="I1064">
        <f>'Audit Report'!E1064</f>
        <v>0</v>
      </c>
      <c r="J1064">
        <f>'Audit Report'!G1064</f>
        <v>0</v>
      </c>
      <c r="L1064" t="str">
        <f>_xlfn.TEXTJOIN(", ", FALSE, 'Audit Report'!J1064,'Audit Report'!K1064,'Audit Report'!L1064)</f>
        <v xml:space="preserve">, , </v>
      </c>
      <c r="M1064">
        <f>'Audit Report'!M1064</f>
        <v>0</v>
      </c>
      <c r="N1064" t="str" cm="1">
        <f t="array" ref="N1064">IF(M1064="","",
_xlfn.TEXTJOIN(", ",TRUE,
    _xlfn.MAP(_xlfn.TEXTSPLIT(M1064,","),_xlfn.LAMBDA(_xlpm.x,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4" t="e">
        <f>'Audit Report'!#REF!</f>
        <v>#REF!</v>
      </c>
      <c r="S1064">
        <f>'Audit Report'!N1064</f>
        <v>0</v>
      </c>
    </row>
    <row r="1065" spans="4:19">
      <c r="D1065">
        <f>'Audit Report'!B1065</f>
        <v>0</v>
      </c>
      <c r="E1065">
        <f>'Audit Report'!C1065</f>
        <v>0</v>
      </c>
      <c r="I1065">
        <f>'Audit Report'!E1065</f>
        <v>0</v>
      </c>
      <c r="J1065">
        <f>'Audit Report'!G1065</f>
        <v>0</v>
      </c>
      <c r="L1065" t="str">
        <f>_xlfn.TEXTJOIN(", ", FALSE, 'Audit Report'!J1065,'Audit Report'!K1065,'Audit Report'!L1065)</f>
        <v xml:space="preserve">, , </v>
      </c>
      <c r="M1065">
        <f>'Audit Report'!M1065</f>
        <v>0</v>
      </c>
      <c r="N1065" t="str" cm="1">
        <f t="array" ref="N1065">IF(M1065="","",
_xlfn.TEXTJOIN(", ",TRUE,
    _xlfn.MAP(_xlfn.TEXTSPLIT(M1065,","),_xlfn.LAMBDA(_xlpm.x,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5" t="e">
        <f>'Audit Report'!#REF!</f>
        <v>#REF!</v>
      </c>
      <c r="S1065">
        <f>'Audit Report'!N1065</f>
        <v>0</v>
      </c>
    </row>
    <row r="1066" spans="4:19">
      <c r="D1066">
        <f>'Audit Report'!B1066</f>
        <v>0</v>
      </c>
      <c r="E1066">
        <f>'Audit Report'!C1066</f>
        <v>0</v>
      </c>
      <c r="I1066">
        <f>'Audit Report'!E1066</f>
        <v>0</v>
      </c>
      <c r="J1066">
        <f>'Audit Report'!G1066</f>
        <v>0</v>
      </c>
      <c r="L1066" t="str">
        <f>_xlfn.TEXTJOIN(", ", FALSE, 'Audit Report'!J1066,'Audit Report'!K1066,'Audit Report'!L1066)</f>
        <v xml:space="preserve">, , </v>
      </c>
      <c r="M1066">
        <f>'Audit Report'!M1066</f>
        <v>0</v>
      </c>
      <c r="N1066" t="str" cm="1">
        <f t="array" ref="N1066">IF(M1066="","",
_xlfn.TEXTJOIN(", ",TRUE,
    _xlfn.MAP(_xlfn.TEXTSPLIT(M1066,","),_xlfn.LAMBDA(_xlpm.x,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6" t="e">
        <f>'Audit Report'!#REF!</f>
        <v>#REF!</v>
      </c>
      <c r="S1066">
        <f>'Audit Report'!N1066</f>
        <v>0</v>
      </c>
    </row>
    <row r="1067" spans="4:19">
      <c r="D1067">
        <f>'Audit Report'!B1067</f>
        <v>0</v>
      </c>
      <c r="E1067">
        <f>'Audit Report'!C1067</f>
        <v>0</v>
      </c>
      <c r="I1067">
        <f>'Audit Report'!E1067</f>
        <v>0</v>
      </c>
      <c r="J1067">
        <f>'Audit Report'!G1067</f>
        <v>0</v>
      </c>
      <c r="L1067" t="str">
        <f>_xlfn.TEXTJOIN(", ", FALSE, 'Audit Report'!J1067,'Audit Report'!K1067,'Audit Report'!L1067)</f>
        <v xml:space="preserve">, , </v>
      </c>
      <c r="M1067">
        <f>'Audit Report'!M1067</f>
        <v>0</v>
      </c>
      <c r="N1067" t="str" cm="1">
        <f t="array" ref="N1067">IF(M1067="","",
_xlfn.TEXTJOIN(", ",TRUE,
    _xlfn.MAP(_xlfn.TEXTSPLIT(M1067,","),_xlfn.LAMBDA(_xlpm.x,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7" t="e">
        <f>'Audit Report'!#REF!</f>
        <v>#REF!</v>
      </c>
      <c r="S1067">
        <f>'Audit Report'!N1067</f>
        <v>0</v>
      </c>
    </row>
    <row r="1068" spans="4:19">
      <c r="D1068">
        <f>'Audit Report'!B1068</f>
        <v>0</v>
      </c>
      <c r="E1068">
        <f>'Audit Report'!C1068</f>
        <v>0</v>
      </c>
      <c r="I1068">
        <f>'Audit Report'!E1068</f>
        <v>0</v>
      </c>
      <c r="J1068">
        <f>'Audit Report'!G1068</f>
        <v>0</v>
      </c>
      <c r="L1068" t="str">
        <f>_xlfn.TEXTJOIN(", ", FALSE, 'Audit Report'!J1068,'Audit Report'!K1068,'Audit Report'!L1068)</f>
        <v xml:space="preserve">, , </v>
      </c>
      <c r="M1068">
        <f>'Audit Report'!M1068</f>
        <v>0</v>
      </c>
      <c r="N1068" t="str" cm="1">
        <f t="array" ref="N1068">IF(M1068="","",
_xlfn.TEXTJOIN(", ",TRUE,
    _xlfn.MAP(_xlfn.TEXTSPLIT(M1068,","),_xlfn.LAMBDA(_xlpm.x,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8" t="e">
        <f>'Audit Report'!#REF!</f>
        <v>#REF!</v>
      </c>
      <c r="S1068">
        <f>'Audit Report'!N1068</f>
        <v>0</v>
      </c>
    </row>
    <row r="1069" spans="4:19">
      <c r="D1069">
        <f>'Audit Report'!B1069</f>
        <v>0</v>
      </c>
      <c r="E1069">
        <f>'Audit Report'!C1069</f>
        <v>0</v>
      </c>
      <c r="I1069">
        <f>'Audit Report'!E1069</f>
        <v>0</v>
      </c>
      <c r="J1069">
        <f>'Audit Report'!G1069</f>
        <v>0</v>
      </c>
      <c r="L1069" t="str">
        <f>_xlfn.TEXTJOIN(", ", FALSE, 'Audit Report'!J1069,'Audit Report'!K1069,'Audit Report'!L1069)</f>
        <v xml:space="preserve">, , </v>
      </c>
      <c r="M1069">
        <f>'Audit Report'!M1069</f>
        <v>0</v>
      </c>
      <c r="N1069" t="str" cm="1">
        <f t="array" ref="N1069">IF(M1069="","",
_xlfn.TEXTJOIN(", ",TRUE,
    _xlfn.MAP(_xlfn.TEXTSPLIT(M1069,","),_xlfn.LAMBDA(_xlpm.x,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9" t="e">
        <f>'Audit Report'!#REF!</f>
        <v>#REF!</v>
      </c>
      <c r="S1069">
        <f>'Audit Report'!N1069</f>
        <v>0</v>
      </c>
    </row>
    <row r="1070" spans="4:19">
      <c r="D1070">
        <f>'Audit Report'!B1070</f>
        <v>0</v>
      </c>
      <c r="E1070">
        <f>'Audit Report'!C1070</f>
        <v>0</v>
      </c>
      <c r="I1070">
        <f>'Audit Report'!E1070</f>
        <v>0</v>
      </c>
      <c r="J1070">
        <f>'Audit Report'!G1070</f>
        <v>0</v>
      </c>
      <c r="L1070" t="str">
        <f>_xlfn.TEXTJOIN(", ", FALSE, 'Audit Report'!J1070,'Audit Report'!K1070,'Audit Report'!L1070)</f>
        <v xml:space="preserve">, , </v>
      </c>
      <c r="M1070">
        <f>'Audit Report'!M1070</f>
        <v>0</v>
      </c>
      <c r="N1070" t="str" cm="1">
        <f t="array" ref="N1070">IF(M1070="","",
_xlfn.TEXTJOIN(", ",TRUE,
    _xlfn.MAP(_xlfn.TEXTSPLIT(M1070,","),_xlfn.LAMBDA(_xlpm.x,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0" t="e">
        <f>'Audit Report'!#REF!</f>
        <v>#REF!</v>
      </c>
      <c r="S1070">
        <f>'Audit Report'!N1070</f>
        <v>0</v>
      </c>
    </row>
    <row r="1071" spans="4:19">
      <c r="D1071">
        <f>'Audit Report'!B1071</f>
        <v>0</v>
      </c>
      <c r="E1071">
        <f>'Audit Report'!C1071</f>
        <v>0</v>
      </c>
      <c r="I1071">
        <f>'Audit Report'!E1071</f>
        <v>0</v>
      </c>
      <c r="J1071">
        <f>'Audit Report'!G1071</f>
        <v>0</v>
      </c>
      <c r="L1071" t="str">
        <f>_xlfn.TEXTJOIN(", ", FALSE, 'Audit Report'!J1071,'Audit Report'!K1071,'Audit Report'!L1071)</f>
        <v xml:space="preserve">, , </v>
      </c>
      <c r="M1071">
        <f>'Audit Report'!M1071</f>
        <v>0</v>
      </c>
      <c r="N1071" t="str" cm="1">
        <f t="array" ref="N1071">IF(M1071="","",
_xlfn.TEXTJOIN(", ",TRUE,
    _xlfn.MAP(_xlfn.TEXTSPLIT(M1071,","),_xlfn.LAMBDA(_xlpm.x,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1" t="e">
        <f>'Audit Report'!#REF!</f>
        <v>#REF!</v>
      </c>
      <c r="S1071">
        <f>'Audit Report'!N1071</f>
        <v>0</v>
      </c>
    </row>
    <row r="1072" spans="4:19">
      <c r="D1072">
        <f>'Audit Report'!B1072</f>
        <v>0</v>
      </c>
      <c r="E1072">
        <f>'Audit Report'!C1072</f>
        <v>0</v>
      </c>
      <c r="I1072">
        <f>'Audit Report'!E1072</f>
        <v>0</v>
      </c>
      <c r="J1072">
        <f>'Audit Report'!G1072</f>
        <v>0</v>
      </c>
      <c r="L1072" t="str">
        <f>_xlfn.TEXTJOIN(", ", FALSE, 'Audit Report'!J1072,'Audit Report'!K1072,'Audit Report'!L1072)</f>
        <v xml:space="preserve">, , </v>
      </c>
      <c r="M1072">
        <f>'Audit Report'!M1072</f>
        <v>0</v>
      </c>
      <c r="N1072" t="str" cm="1">
        <f t="array" ref="N1072">IF(M1072="","",
_xlfn.TEXTJOIN(", ",TRUE,
    _xlfn.MAP(_xlfn.TEXTSPLIT(M1072,","),_xlfn.LAMBDA(_xlpm.x,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2" t="e">
        <f>'Audit Report'!#REF!</f>
        <v>#REF!</v>
      </c>
      <c r="S1072">
        <f>'Audit Report'!N1072</f>
        <v>0</v>
      </c>
    </row>
    <row r="1073" spans="4:19">
      <c r="D1073">
        <f>'Audit Report'!B1073</f>
        <v>0</v>
      </c>
      <c r="E1073">
        <f>'Audit Report'!C1073</f>
        <v>0</v>
      </c>
      <c r="I1073">
        <f>'Audit Report'!E1073</f>
        <v>0</v>
      </c>
      <c r="J1073">
        <f>'Audit Report'!G1073</f>
        <v>0</v>
      </c>
      <c r="L1073" t="str">
        <f>_xlfn.TEXTJOIN(", ", FALSE, 'Audit Report'!J1073,'Audit Report'!K1073,'Audit Report'!L1073)</f>
        <v xml:space="preserve">, , </v>
      </c>
      <c r="M1073">
        <f>'Audit Report'!M1073</f>
        <v>0</v>
      </c>
      <c r="N1073" t="str" cm="1">
        <f t="array" ref="N1073">IF(M1073="","",
_xlfn.TEXTJOIN(", ",TRUE,
    _xlfn.MAP(_xlfn.TEXTSPLIT(M1073,","),_xlfn.LAMBDA(_xlpm.x,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3" t="e">
        <f>'Audit Report'!#REF!</f>
        <v>#REF!</v>
      </c>
      <c r="S1073">
        <f>'Audit Report'!N1073</f>
        <v>0</v>
      </c>
    </row>
    <row r="1074" spans="4:19">
      <c r="D1074">
        <f>'Audit Report'!B1074</f>
        <v>0</v>
      </c>
      <c r="E1074">
        <f>'Audit Report'!C1074</f>
        <v>0</v>
      </c>
      <c r="I1074">
        <f>'Audit Report'!E1074</f>
        <v>0</v>
      </c>
      <c r="J1074">
        <f>'Audit Report'!G1074</f>
        <v>0</v>
      </c>
      <c r="L1074" t="str">
        <f>_xlfn.TEXTJOIN(", ", FALSE, 'Audit Report'!J1074,'Audit Report'!K1074,'Audit Report'!L1074)</f>
        <v xml:space="preserve">, , </v>
      </c>
      <c r="M1074">
        <f>'Audit Report'!M1074</f>
        <v>0</v>
      </c>
      <c r="N1074" t="str" cm="1">
        <f t="array" ref="N1074">IF(M1074="","",
_xlfn.TEXTJOIN(", ",TRUE,
    _xlfn.MAP(_xlfn.TEXTSPLIT(M1074,","),_xlfn.LAMBDA(_xlpm.x,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4" t="e">
        <f>'Audit Report'!#REF!</f>
        <v>#REF!</v>
      </c>
      <c r="S1074">
        <f>'Audit Report'!N1074</f>
        <v>0</v>
      </c>
    </row>
    <row r="1075" spans="4:19">
      <c r="D1075">
        <f>'Audit Report'!B1075</f>
        <v>0</v>
      </c>
      <c r="E1075">
        <f>'Audit Report'!C1075</f>
        <v>0</v>
      </c>
      <c r="I1075">
        <f>'Audit Report'!E1075</f>
        <v>0</v>
      </c>
      <c r="J1075">
        <f>'Audit Report'!G1075</f>
        <v>0</v>
      </c>
      <c r="L1075" t="str">
        <f>_xlfn.TEXTJOIN(", ", FALSE, 'Audit Report'!J1075,'Audit Report'!K1075,'Audit Report'!L1075)</f>
        <v xml:space="preserve">, , </v>
      </c>
      <c r="M1075">
        <f>'Audit Report'!M1075</f>
        <v>0</v>
      </c>
      <c r="N1075" t="str" cm="1">
        <f t="array" ref="N1075">IF(M1075="","",
_xlfn.TEXTJOIN(", ",TRUE,
    _xlfn.MAP(_xlfn.TEXTSPLIT(M1075,","),_xlfn.LAMBDA(_xlpm.x,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5" t="e">
        <f>'Audit Report'!#REF!</f>
        <v>#REF!</v>
      </c>
      <c r="S1075">
        <f>'Audit Report'!N1075</f>
        <v>0</v>
      </c>
    </row>
    <row r="1076" spans="4:19">
      <c r="D1076">
        <f>'Audit Report'!B1076</f>
        <v>0</v>
      </c>
      <c r="E1076">
        <f>'Audit Report'!C1076</f>
        <v>0</v>
      </c>
      <c r="I1076">
        <f>'Audit Report'!E1076</f>
        <v>0</v>
      </c>
      <c r="J1076">
        <f>'Audit Report'!G1076</f>
        <v>0</v>
      </c>
      <c r="L1076" t="str">
        <f>_xlfn.TEXTJOIN(", ", FALSE, 'Audit Report'!J1076,'Audit Report'!K1076,'Audit Report'!L1076)</f>
        <v xml:space="preserve">, , </v>
      </c>
      <c r="M1076">
        <f>'Audit Report'!M1076</f>
        <v>0</v>
      </c>
      <c r="N1076" t="str" cm="1">
        <f t="array" ref="N1076">IF(M1076="","",
_xlfn.TEXTJOIN(", ",TRUE,
    _xlfn.MAP(_xlfn.TEXTSPLIT(M1076,","),_xlfn.LAMBDA(_xlpm.x,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6" t="e">
        <f>'Audit Report'!#REF!</f>
        <v>#REF!</v>
      </c>
      <c r="S1076">
        <f>'Audit Report'!N1076</f>
        <v>0</v>
      </c>
    </row>
    <row r="1077" spans="4:19">
      <c r="D1077">
        <f>'Audit Report'!B1077</f>
        <v>0</v>
      </c>
      <c r="E1077">
        <f>'Audit Report'!C1077</f>
        <v>0</v>
      </c>
      <c r="I1077">
        <f>'Audit Report'!E1077</f>
        <v>0</v>
      </c>
      <c r="J1077">
        <f>'Audit Report'!G1077</f>
        <v>0</v>
      </c>
      <c r="L1077" t="str">
        <f>_xlfn.TEXTJOIN(", ", FALSE, 'Audit Report'!J1077,'Audit Report'!K1077,'Audit Report'!L1077)</f>
        <v xml:space="preserve">, , </v>
      </c>
      <c r="M1077">
        <f>'Audit Report'!M1077</f>
        <v>0</v>
      </c>
      <c r="N1077" t="str" cm="1">
        <f t="array" ref="N1077">IF(M1077="","",
_xlfn.TEXTJOIN(", ",TRUE,
    _xlfn.MAP(_xlfn.TEXTSPLIT(M1077,","),_xlfn.LAMBDA(_xlpm.x,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7" t="e">
        <f>'Audit Report'!#REF!</f>
        <v>#REF!</v>
      </c>
      <c r="S1077">
        <f>'Audit Report'!N1077</f>
        <v>0</v>
      </c>
    </row>
    <row r="1078" spans="4:19">
      <c r="D1078">
        <f>'Audit Report'!B1078</f>
        <v>0</v>
      </c>
      <c r="E1078">
        <f>'Audit Report'!C1078</f>
        <v>0</v>
      </c>
      <c r="I1078">
        <f>'Audit Report'!E1078</f>
        <v>0</v>
      </c>
      <c r="J1078">
        <f>'Audit Report'!G1078</f>
        <v>0</v>
      </c>
      <c r="L1078" t="str">
        <f>_xlfn.TEXTJOIN(", ", FALSE, 'Audit Report'!J1078,'Audit Report'!K1078,'Audit Report'!L1078)</f>
        <v xml:space="preserve">, , </v>
      </c>
      <c r="M1078">
        <f>'Audit Report'!M1078</f>
        <v>0</v>
      </c>
      <c r="N1078" t="str" cm="1">
        <f t="array" ref="N1078">IF(M1078="","",
_xlfn.TEXTJOIN(", ",TRUE,
    _xlfn.MAP(_xlfn.TEXTSPLIT(M1078,","),_xlfn.LAMBDA(_xlpm.x,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8" t="e">
        <f>'Audit Report'!#REF!</f>
        <v>#REF!</v>
      </c>
      <c r="S1078">
        <f>'Audit Report'!N1078</f>
        <v>0</v>
      </c>
    </row>
    <row r="1079" spans="4:19">
      <c r="D1079">
        <f>'Audit Report'!B1079</f>
        <v>0</v>
      </c>
      <c r="E1079">
        <f>'Audit Report'!C1079</f>
        <v>0</v>
      </c>
      <c r="I1079">
        <f>'Audit Report'!E1079</f>
        <v>0</v>
      </c>
      <c r="J1079">
        <f>'Audit Report'!G1079</f>
        <v>0</v>
      </c>
      <c r="L1079" t="str">
        <f>_xlfn.TEXTJOIN(", ", FALSE, 'Audit Report'!J1079,'Audit Report'!K1079,'Audit Report'!L1079)</f>
        <v xml:space="preserve">, , </v>
      </c>
      <c r="M1079">
        <f>'Audit Report'!M1079</f>
        <v>0</v>
      </c>
      <c r="N1079" t="str" cm="1">
        <f t="array" ref="N1079">IF(M1079="","",
_xlfn.TEXTJOIN(", ",TRUE,
    _xlfn.MAP(_xlfn.TEXTSPLIT(M1079,","),_xlfn.LAMBDA(_xlpm.x,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9" t="e">
        <f>'Audit Report'!#REF!</f>
        <v>#REF!</v>
      </c>
      <c r="S1079">
        <f>'Audit Report'!N1079</f>
        <v>0</v>
      </c>
    </row>
    <row r="1080" spans="4:19">
      <c r="D1080">
        <f>'Audit Report'!B1080</f>
        <v>0</v>
      </c>
      <c r="E1080">
        <f>'Audit Report'!C1080</f>
        <v>0</v>
      </c>
      <c r="I1080">
        <f>'Audit Report'!E1080</f>
        <v>0</v>
      </c>
      <c r="J1080">
        <f>'Audit Report'!G1080</f>
        <v>0</v>
      </c>
      <c r="L1080" t="str">
        <f>_xlfn.TEXTJOIN(", ", FALSE, 'Audit Report'!J1080,'Audit Report'!K1080,'Audit Report'!L1080)</f>
        <v xml:space="preserve">, , </v>
      </c>
      <c r="M1080">
        <f>'Audit Report'!M1080</f>
        <v>0</v>
      </c>
      <c r="N1080" t="str" cm="1">
        <f t="array" ref="N1080">IF(M1080="","",
_xlfn.TEXTJOIN(", ",TRUE,
    _xlfn.MAP(_xlfn.TEXTSPLIT(M1080,","),_xlfn.LAMBDA(_xlpm.x,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0" t="e">
        <f>'Audit Report'!#REF!</f>
        <v>#REF!</v>
      </c>
      <c r="S1080">
        <f>'Audit Report'!N1080</f>
        <v>0</v>
      </c>
    </row>
    <row r="1081" spans="4:19">
      <c r="D1081">
        <f>'Audit Report'!B1081</f>
        <v>0</v>
      </c>
      <c r="E1081">
        <f>'Audit Report'!C1081</f>
        <v>0</v>
      </c>
      <c r="I1081">
        <f>'Audit Report'!E1081</f>
        <v>0</v>
      </c>
      <c r="J1081">
        <f>'Audit Report'!G1081</f>
        <v>0</v>
      </c>
      <c r="L1081" t="str">
        <f>_xlfn.TEXTJOIN(", ", FALSE, 'Audit Report'!J1081,'Audit Report'!K1081,'Audit Report'!L1081)</f>
        <v xml:space="preserve">, , </v>
      </c>
      <c r="M1081">
        <f>'Audit Report'!M1081</f>
        <v>0</v>
      </c>
      <c r="N1081" t="str" cm="1">
        <f t="array" ref="N1081">IF(M1081="","",
_xlfn.TEXTJOIN(", ",TRUE,
    _xlfn.MAP(_xlfn.TEXTSPLIT(M1081,","),_xlfn.LAMBDA(_xlpm.x,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1" t="e">
        <f>'Audit Report'!#REF!</f>
        <v>#REF!</v>
      </c>
      <c r="S1081">
        <f>'Audit Report'!N1081</f>
        <v>0</v>
      </c>
    </row>
    <row r="1082" spans="4:19">
      <c r="D1082">
        <f>'Audit Report'!B1082</f>
        <v>0</v>
      </c>
      <c r="E1082">
        <f>'Audit Report'!C1082</f>
        <v>0</v>
      </c>
      <c r="I1082">
        <f>'Audit Report'!E1082</f>
        <v>0</v>
      </c>
      <c r="J1082">
        <f>'Audit Report'!G1082</f>
        <v>0</v>
      </c>
      <c r="L1082" t="str">
        <f>_xlfn.TEXTJOIN(", ", FALSE, 'Audit Report'!J1082,'Audit Report'!K1082,'Audit Report'!L1082)</f>
        <v xml:space="preserve">, , </v>
      </c>
      <c r="M1082">
        <f>'Audit Report'!M1082</f>
        <v>0</v>
      </c>
      <c r="N1082" t="str" cm="1">
        <f t="array" ref="N1082">IF(M1082="","",
_xlfn.TEXTJOIN(", ",TRUE,
    _xlfn.MAP(_xlfn.TEXTSPLIT(M1082,","),_xlfn.LAMBDA(_xlpm.x,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2" t="e">
        <f>'Audit Report'!#REF!</f>
        <v>#REF!</v>
      </c>
      <c r="S1082">
        <f>'Audit Report'!N1082</f>
        <v>0</v>
      </c>
    </row>
    <row r="1083" spans="4:19">
      <c r="D1083">
        <f>'Audit Report'!B1083</f>
        <v>0</v>
      </c>
      <c r="E1083">
        <f>'Audit Report'!C1083</f>
        <v>0</v>
      </c>
      <c r="I1083">
        <f>'Audit Report'!E1083</f>
        <v>0</v>
      </c>
      <c r="J1083">
        <f>'Audit Report'!G1083</f>
        <v>0</v>
      </c>
      <c r="L1083" t="str">
        <f>_xlfn.TEXTJOIN(", ", FALSE, 'Audit Report'!J1083,'Audit Report'!K1083,'Audit Report'!L1083)</f>
        <v xml:space="preserve">, , </v>
      </c>
      <c r="M1083">
        <f>'Audit Report'!M1083</f>
        <v>0</v>
      </c>
      <c r="N1083" t="str" cm="1">
        <f t="array" ref="N1083">IF(M1083="","",
_xlfn.TEXTJOIN(", ",TRUE,
    _xlfn.MAP(_xlfn.TEXTSPLIT(M1083,","),_xlfn.LAMBDA(_xlpm.x,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3" t="e">
        <f>'Audit Report'!#REF!</f>
        <v>#REF!</v>
      </c>
      <c r="S1083">
        <f>'Audit Report'!N1083</f>
        <v>0</v>
      </c>
    </row>
    <row r="1084" spans="4:19">
      <c r="D1084">
        <f>'Audit Report'!B1084</f>
        <v>0</v>
      </c>
      <c r="E1084">
        <f>'Audit Report'!C1084</f>
        <v>0</v>
      </c>
      <c r="I1084">
        <f>'Audit Report'!E1084</f>
        <v>0</v>
      </c>
      <c r="J1084">
        <f>'Audit Report'!G1084</f>
        <v>0</v>
      </c>
      <c r="L1084" t="str">
        <f>_xlfn.TEXTJOIN(", ", FALSE, 'Audit Report'!J1084,'Audit Report'!K1084,'Audit Report'!L1084)</f>
        <v xml:space="preserve">, , </v>
      </c>
      <c r="M1084">
        <f>'Audit Report'!M1084</f>
        <v>0</v>
      </c>
      <c r="N1084" t="str" cm="1">
        <f t="array" ref="N1084">IF(M1084="","",
_xlfn.TEXTJOIN(", ",TRUE,
    _xlfn.MAP(_xlfn.TEXTSPLIT(M1084,","),_xlfn.LAMBDA(_xlpm.x,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4" t="e">
        <f>'Audit Report'!#REF!</f>
        <v>#REF!</v>
      </c>
      <c r="S1084">
        <f>'Audit Report'!N1084</f>
        <v>0</v>
      </c>
    </row>
    <row r="1085" spans="4:19">
      <c r="D1085">
        <f>'Audit Report'!B1085</f>
        <v>0</v>
      </c>
      <c r="E1085">
        <f>'Audit Report'!C1085</f>
        <v>0</v>
      </c>
      <c r="I1085">
        <f>'Audit Report'!E1085</f>
        <v>0</v>
      </c>
      <c r="J1085">
        <f>'Audit Report'!G1085</f>
        <v>0</v>
      </c>
      <c r="L1085" t="str">
        <f>_xlfn.TEXTJOIN(", ", FALSE, 'Audit Report'!J1085,'Audit Report'!K1085,'Audit Report'!L1085)</f>
        <v xml:space="preserve">, , </v>
      </c>
      <c r="M1085">
        <f>'Audit Report'!M1085</f>
        <v>0</v>
      </c>
      <c r="N1085" t="str" cm="1">
        <f t="array" ref="N1085">IF(M1085="","",
_xlfn.TEXTJOIN(", ",TRUE,
    _xlfn.MAP(_xlfn.TEXTSPLIT(M1085,","),_xlfn.LAMBDA(_xlpm.x,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5" t="e">
        <f>'Audit Report'!#REF!</f>
        <v>#REF!</v>
      </c>
      <c r="S1085">
        <f>'Audit Report'!N1085</f>
        <v>0</v>
      </c>
    </row>
    <row r="1086" spans="4:19">
      <c r="D1086">
        <f>'Audit Report'!B1086</f>
        <v>0</v>
      </c>
      <c r="E1086">
        <f>'Audit Report'!C1086</f>
        <v>0</v>
      </c>
      <c r="I1086">
        <f>'Audit Report'!E1086</f>
        <v>0</v>
      </c>
      <c r="J1086">
        <f>'Audit Report'!G1086</f>
        <v>0</v>
      </c>
      <c r="L1086" t="str">
        <f>_xlfn.TEXTJOIN(", ", FALSE, 'Audit Report'!J1086,'Audit Report'!K1086,'Audit Report'!L1086)</f>
        <v xml:space="preserve">, , </v>
      </c>
      <c r="M1086">
        <f>'Audit Report'!M1086</f>
        <v>0</v>
      </c>
      <c r="N1086" t="str" cm="1">
        <f t="array" ref="N1086">IF(M1086="","",
_xlfn.TEXTJOIN(", ",TRUE,
    _xlfn.MAP(_xlfn.TEXTSPLIT(M1086,","),_xlfn.LAMBDA(_xlpm.x,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6" t="e">
        <f>'Audit Report'!#REF!</f>
        <v>#REF!</v>
      </c>
      <c r="S1086">
        <f>'Audit Report'!N1086</f>
        <v>0</v>
      </c>
    </row>
    <row r="1087" spans="4:19">
      <c r="D1087">
        <f>'Audit Report'!B1087</f>
        <v>0</v>
      </c>
      <c r="E1087">
        <f>'Audit Report'!C1087</f>
        <v>0</v>
      </c>
      <c r="I1087">
        <f>'Audit Report'!E1087</f>
        <v>0</v>
      </c>
      <c r="J1087">
        <f>'Audit Report'!G1087</f>
        <v>0</v>
      </c>
      <c r="L1087" t="str">
        <f>_xlfn.TEXTJOIN(", ", FALSE, 'Audit Report'!J1087,'Audit Report'!K1087,'Audit Report'!L1087)</f>
        <v xml:space="preserve">, , </v>
      </c>
      <c r="M1087">
        <f>'Audit Report'!M1087</f>
        <v>0</v>
      </c>
      <c r="N1087" t="str" cm="1">
        <f t="array" ref="N1087">IF(M1087="","",
_xlfn.TEXTJOIN(", ",TRUE,
    _xlfn.MAP(_xlfn.TEXTSPLIT(M1087,","),_xlfn.LAMBDA(_xlpm.x,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7" t="e">
        <f>'Audit Report'!#REF!</f>
        <v>#REF!</v>
      </c>
      <c r="S1087">
        <f>'Audit Report'!N1087</f>
        <v>0</v>
      </c>
    </row>
    <row r="1088" spans="4:19">
      <c r="D1088">
        <f>'Audit Report'!B1088</f>
        <v>0</v>
      </c>
      <c r="E1088">
        <f>'Audit Report'!C1088</f>
        <v>0</v>
      </c>
      <c r="I1088">
        <f>'Audit Report'!E1088</f>
        <v>0</v>
      </c>
      <c r="J1088">
        <f>'Audit Report'!G1088</f>
        <v>0</v>
      </c>
      <c r="L1088" t="str">
        <f>_xlfn.TEXTJOIN(", ", FALSE, 'Audit Report'!J1088,'Audit Report'!K1088,'Audit Report'!L1088)</f>
        <v xml:space="preserve">, , </v>
      </c>
      <c r="M1088">
        <f>'Audit Report'!M1088</f>
        <v>0</v>
      </c>
      <c r="N1088" t="str" cm="1">
        <f t="array" ref="N1088">IF(M1088="","",
_xlfn.TEXTJOIN(", ",TRUE,
    _xlfn.MAP(_xlfn.TEXTSPLIT(M1088,","),_xlfn.LAMBDA(_xlpm.x,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8" t="e">
        <f>'Audit Report'!#REF!</f>
        <v>#REF!</v>
      </c>
      <c r="S1088">
        <f>'Audit Report'!N1088</f>
        <v>0</v>
      </c>
    </row>
    <row r="1089" spans="4:19">
      <c r="D1089">
        <f>'Audit Report'!B1089</f>
        <v>0</v>
      </c>
      <c r="E1089">
        <f>'Audit Report'!C1089</f>
        <v>0</v>
      </c>
      <c r="I1089">
        <f>'Audit Report'!E1089</f>
        <v>0</v>
      </c>
      <c r="J1089">
        <f>'Audit Report'!G1089</f>
        <v>0</v>
      </c>
      <c r="L1089" t="str">
        <f>_xlfn.TEXTJOIN(", ", FALSE, 'Audit Report'!J1089,'Audit Report'!K1089,'Audit Report'!L1089)</f>
        <v xml:space="preserve">, , </v>
      </c>
      <c r="M1089">
        <f>'Audit Report'!M1089</f>
        <v>0</v>
      </c>
      <c r="N1089" t="str" cm="1">
        <f t="array" ref="N1089">IF(M1089="","",
_xlfn.TEXTJOIN(", ",TRUE,
    _xlfn.MAP(_xlfn.TEXTSPLIT(M1089,","),_xlfn.LAMBDA(_xlpm.x,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9" t="e">
        <f>'Audit Report'!#REF!</f>
        <v>#REF!</v>
      </c>
      <c r="S1089">
        <f>'Audit Report'!N1089</f>
        <v>0</v>
      </c>
    </row>
    <row r="1090" spans="4:19">
      <c r="D1090">
        <f>'Audit Report'!B1090</f>
        <v>0</v>
      </c>
      <c r="E1090">
        <f>'Audit Report'!C1090</f>
        <v>0</v>
      </c>
      <c r="I1090">
        <f>'Audit Report'!E1090</f>
        <v>0</v>
      </c>
      <c r="J1090">
        <f>'Audit Report'!G1090</f>
        <v>0</v>
      </c>
      <c r="L1090" t="str">
        <f>_xlfn.TEXTJOIN(", ", FALSE, 'Audit Report'!J1090,'Audit Report'!K1090,'Audit Report'!L1090)</f>
        <v xml:space="preserve">, , </v>
      </c>
      <c r="M1090">
        <f>'Audit Report'!M1090</f>
        <v>0</v>
      </c>
      <c r="N1090" t="str" cm="1">
        <f t="array" ref="N1090">IF(M1090="","",
_xlfn.TEXTJOIN(", ",TRUE,
    _xlfn.MAP(_xlfn.TEXTSPLIT(M1090,","),_xlfn.LAMBDA(_xlpm.x,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0" t="e">
        <f>'Audit Report'!#REF!</f>
        <v>#REF!</v>
      </c>
      <c r="S1090">
        <f>'Audit Report'!N1090</f>
        <v>0</v>
      </c>
    </row>
    <row r="1091" spans="4:19">
      <c r="D1091">
        <f>'Audit Report'!B1091</f>
        <v>0</v>
      </c>
      <c r="E1091">
        <f>'Audit Report'!C1091</f>
        <v>0</v>
      </c>
      <c r="I1091">
        <f>'Audit Report'!E1091</f>
        <v>0</v>
      </c>
      <c r="J1091">
        <f>'Audit Report'!G1091</f>
        <v>0</v>
      </c>
      <c r="L1091" t="str">
        <f>_xlfn.TEXTJOIN(", ", FALSE, 'Audit Report'!J1091,'Audit Report'!K1091,'Audit Report'!L1091)</f>
        <v xml:space="preserve">, , </v>
      </c>
      <c r="M1091">
        <f>'Audit Report'!M1091</f>
        <v>0</v>
      </c>
      <c r="N1091" t="str" cm="1">
        <f t="array" ref="N1091">IF(M1091="","",
_xlfn.TEXTJOIN(", ",TRUE,
    _xlfn.MAP(_xlfn.TEXTSPLIT(M1091,","),_xlfn.LAMBDA(_xlpm.x,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1" t="e">
        <f>'Audit Report'!#REF!</f>
        <v>#REF!</v>
      </c>
      <c r="S1091">
        <f>'Audit Report'!N1091</f>
        <v>0</v>
      </c>
    </row>
    <row r="1092" spans="4:19">
      <c r="D1092">
        <f>'Audit Report'!B1092</f>
        <v>0</v>
      </c>
      <c r="E1092">
        <f>'Audit Report'!C1092</f>
        <v>0</v>
      </c>
      <c r="I1092">
        <f>'Audit Report'!E1092</f>
        <v>0</v>
      </c>
      <c r="J1092">
        <f>'Audit Report'!G1092</f>
        <v>0</v>
      </c>
      <c r="L1092" t="str">
        <f>_xlfn.TEXTJOIN(", ", FALSE, 'Audit Report'!J1092,'Audit Report'!K1092,'Audit Report'!L1092)</f>
        <v xml:space="preserve">, , </v>
      </c>
      <c r="M1092">
        <f>'Audit Report'!M1092</f>
        <v>0</v>
      </c>
      <c r="N1092" t="str" cm="1">
        <f t="array" ref="N1092">IF(M1092="","",
_xlfn.TEXTJOIN(", ",TRUE,
    _xlfn.MAP(_xlfn.TEXTSPLIT(M1092,","),_xlfn.LAMBDA(_xlpm.x,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2" t="e">
        <f>'Audit Report'!#REF!</f>
        <v>#REF!</v>
      </c>
      <c r="S1092">
        <f>'Audit Report'!N1092</f>
        <v>0</v>
      </c>
    </row>
    <row r="1093" spans="4:19">
      <c r="D1093">
        <f>'Audit Report'!B1093</f>
        <v>0</v>
      </c>
      <c r="E1093">
        <f>'Audit Report'!C1093</f>
        <v>0</v>
      </c>
      <c r="I1093">
        <f>'Audit Report'!E1093</f>
        <v>0</v>
      </c>
      <c r="J1093">
        <f>'Audit Report'!G1093</f>
        <v>0</v>
      </c>
      <c r="L1093" t="str">
        <f>_xlfn.TEXTJOIN(", ", FALSE, 'Audit Report'!J1093,'Audit Report'!K1093,'Audit Report'!L1093)</f>
        <v xml:space="preserve">, , </v>
      </c>
      <c r="M1093">
        <f>'Audit Report'!M1093</f>
        <v>0</v>
      </c>
      <c r="N1093" t="str" cm="1">
        <f t="array" ref="N1093">IF(M1093="","",
_xlfn.TEXTJOIN(", ",TRUE,
    _xlfn.MAP(_xlfn.TEXTSPLIT(M1093,","),_xlfn.LAMBDA(_xlpm.x,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3" t="e">
        <f>'Audit Report'!#REF!</f>
        <v>#REF!</v>
      </c>
      <c r="S1093">
        <f>'Audit Report'!N1093</f>
        <v>0</v>
      </c>
    </row>
    <row r="1094" spans="4:19">
      <c r="D1094">
        <f>'Audit Report'!B1094</f>
        <v>0</v>
      </c>
      <c r="E1094">
        <f>'Audit Report'!C1094</f>
        <v>0</v>
      </c>
      <c r="I1094">
        <f>'Audit Report'!E1094</f>
        <v>0</v>
      </c>
      <c r="J1094">
        <f>'Audit Report'!G1094</f>
        <v>0</v>
      </c>
      <c r="L1094" t="str">
        <f>_xlfn.TEXTJOIN(", ", FALSE, 'Audit Report'!J1094,'Audit Report'!K1094,'Audit Report'!L1094)</f>
        <v xml:space="preserve">, , </v>
      </c>
      <c r="M1094">
        <f>'Audit Report'!M1094</f>
        <v>0</v>
      </c>
      <c r="N1094" t="str" cm="1">
        <f t="array" ref="N1094">IF(M1094="","",
_xlfn.TEXTJOIN(", ",TRUE,
    _xlfn.MAP(_xlfn.TEXTSPLIT(M1094,","),_xlfn.LAMBDA(_xlpm.x,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4" t="e">
        <f>'Audit Report'!#REF!</f>
        <v>#REF!</v>
      </c>
      <c r="S1094">
        <f>'Audit Report'!N1094</f>
        <v>0</v>
      </c>
    </row>
    <row r="1095" spans="4:19">
      <c r="D1095">
        <f>'Audit Report'!B1095</f>
        <v>0</v>
      </c>
      <c r="E1095">
        <f>'Audit Report'!C1095</f>
        <v>0</v>
      </c>
      <c r="I1095">
        <f>'Audit Report'!E1095</f>
        <v>0</v>
      </c>
      <c r="J1095">
        <f>'Audit Report'!G1095</f>
        <v>0</v>
      </c>
      <c r="L1095" t="str">
        <f>_xlfn.TEXTJOIN(", ", FALSE, 'Audit Report'!J1095,'Audit Report'!K1095,'Audit Report'!L1095)</f>
        <v xml:space="preserve">, , </v>
      </c>
      <c r="M1095">
        <f>'Audit Report'!M1095</f>
        <v>0</v>
      </c>
      <c r="N1095" t="str" cm="1">
        <f t="array" ref="N1095">IF(M1095="","",
_xlfn.TEXTJOIN(", ",TRUE,
    _xlfn.MAP(_xlfn.TEXTSPLIT(M1095,","),_xlfn.LAMBDA(_xlpm.x,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5" t="e">
        <f>'Audit Report'!#REF!</f>
        <v>#REF!</v>
      </c>
      <c r="S1095">
        <f>'Audit Report'!N1095</f>
        <v>0</v>
      </c>
    </row>
    <row r="1096" spans="4:19">
      <c r="D1096">
        <f>'Audit Report'!B1096</f>
        <v>0</v>
      </c>
      <c r="E1096">
        <f>'Audit Report'!C1096</f>
        <v>0</v>
      </c>
      <c r="I1096">
        <f>'Audit Report'!E1096</f>
        <v>0</v>
      </c>
      <c r="J1096">
        <f>'Audit Report'!G1096</f>
        <v>0</v>
      </c>
      <c r="L1096" t="str">
        <f>_xlfn.TEXTJOIN(", ", FALSE, 'Audit Report'!J1096,'Audit Report'!K1096,'Audit Report'!L1096)</f>
        <v xml:space="preserve">, , </v>
      </c>
      <c r="M1096">
        <f>'Audit Report'!M1096</f>
        <v>0</v>
      </c>
      <c r="N1096" t="str" cm="1">
        <f t="array" ref="N1096">IF(M1096="","",
_xlfn.TEXTJOIN(", ",TRUE,
    _xlfn.MAP(_xlfn.TEXTSPLIT(M1096,","),_xlfn.LAMBDA(_xlpm.x,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6" t="e">
        <f>'Audit Report'!#REF!</f>
        <v>#REF!</v>
      </c>
      <c r="S1096">
        <f>'Audit Report'!N1096</f>
        <v>0</v>
      </c>
    </row>
    <row r="1097" spans="4:19">
      <c r="D1097">
        <f>'Audit Report'!B1097</f>
        <v>0</v>
      </c>
      <c r="E1097">
        <f>'Audit Report'!C1097</f>
        <v>0</v>
      </c>
      <c r="I1097">
        <f>'Audit Report'!E1097</f>
        <v>0</v>
      </c>
      <c r="J1097">
        <f>'Audit Report'!G1097</f>
        <v>0</v>
      </c>
      <c r="L1097" t="str">
        <f>_xlfn.TEXTJOIN(", ", FALSE, 'Audit Report'!J1097,'Audit Report'!K1097,'Audit Report'!L1097)</f>
        <v xml:space="preserve">, , </v>
      </c>
      <c r="M1097">
        <f>'Audit Report'!M1097</f>
        <v>0</v>
      </c>
      <c r="N1097" t="str" cm="1">
        <f t="array" ref="N1097">IF(M1097="","",
_xlfn.TEXTJOIN(", ",TRUE,
    _xlfn.MAP(_xlfn.TEXTSPLIT(M1097,","),_xlfn.LAMBDA(_xlpm.x,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7" t="e">
        <f>'Audit Report'!#REF!</f>
        <v>#REF!</v>
      </c>
      <c r="S1097">
        <f>'Audit Report'!N1097</f>
        <v>0</v>
      </c>
    </row>
    <row r="1098" spans="4:19">
      <c r="D1098">
        <f>'Audit Report'!B1098</f>
        <v>0</v>
      </c>
      <c r="E1098">
        <f>'Audit Report'!C1098</f>
        <v>0</v>
      </c>
      <c r="I1098">
        <f>'Audit Report'!E1098</f>
        <v>0</v>
      </c>
      <c r="J1098">
        <f>'Audit Report'!G1098</f>
        <v>0</v>
      </c>
      <c r="L1098" t="str">
        <f>_xlfn.TEXTJOIN(", ", FALSE, 'Audit Report'!J1098,'Audit Report'!K1098,'Audit Report'!L1098)</f>
        <v xml:space="preserve">, , </v>
      </c>
      <c r="M1098">
        <f>'Audit Report'!M1098</f>
        <v>0</v>
      </c>
      <c r="N1098" t="str" cm="1">
        <f t="array" ref="N1098">IF(M1098="","",
_xlfn.TEXTJOIN(", ",TRUE,
    _xlfn.MAP(_xlfn.TEXTSPLIT(M1098,","),_xlfn.LAMBDA(_xlpm.x,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8" t="e">
        <f>'Audit Report'!#REF!</f>
        <v>#REF!</v>
      </c>
      <c r="S1098">
        <f>'Audit Report'!N1098</f>
        <v>0</v>
      </c>
    </row>
    <row r="1099" spans="4:19">
      <c r="D1099">
        <f>'Audit Report'!B1099</f>
        <v>0</v>
      </c>
      <c r="E1099">
        <f>'Audit Report'!C1099</f>
        <v>0</v>
      </c>
      <c r="I1099">
        <f>'Audit Report'!E1099</f>
        <v>0</v>
      </c>
      <c r="J1099">
        <f>'Audit Report'!G1099</f>
        <v>0</v>
      </c>
      <c r="L1099" t="str">
        <f>_xlfn.TEXTJOIN(", ", FALSE, 'Audit Report'!J1099,'Audit Report'!K1099,'Audit Report'!L1099)</f>
        <v xml:space="preserve">, , </v>
      </c>
      <c r="M1099">
        <f>'Audit Report'!M1099</f>
        <v>0</v>
      </c>
      <c r="N1099" t="str" cm="1">
        <f t="array" ref="N1099">IF(M1099="","",
_xlfn.TEXTJOIN(", ",TRUE,
    _xlfn.MAP(_xlfn.TEXTSPLIT(M1099,","),_xlfn.LAMBDA(_xlpm.x,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9" t="e">
        <f>'Audit Report'!#REF!</f>
        <v>#REF!</v>
      </c>
      <c r="S1099">
        <f>'Audit Report'!N1099</f>
        <v>0</v>
      </c>
    </row>
    <row r="1100" spans="4:19">
      <c r="D1100">
        <f>'Audit Report'!B1100</f>
        <v>0</v>
      </c>
      <c r="E1100">
        <f>'Audit Report'!C1100</f>
        <v>0</v>
      </c>
      <c r="I1100">
        <f>'Audit Report'!E1100</f>
        <v>0</v>
      </c>
      <c r="J1100">
        <f>'Audit Report'!G1100</f>
        <v>0</v>
      </c>
      <c r="L1100" t="str">
        <f>_xlfn.TEXTJOIN(", ", FALSE, 'Audit Report'!J1100,'Audit Report'!K1100,'Audit Report'!L1100)</f>
        <v xml:space="preserve">, , </v>
      </c>
      <c r="M1100">
        <f>'Audit Report'!M1100</f>
        <v>0</v>
      </c>
      <c r="N1100" t="str" cm="1">
        <f t="array" ref="N1100">IF(M1100="","",
_xlfn.TEXTJOIN(", ",TRUE,
    _xlfn.MAP(_xlfn.TEXTSPLIT(M1100,","),_xlfn.LAMBDA(_xlpm.x,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0" t="e">
        <f>'Audit Report'!#REF!</f>
        <v>#REF!</v>
      </c>
      <c r="S1100">
        <f>'Audit Report'!N1100</f>
        <v>0</v>
      </c>
    </row>
    <row r="1101" spans="4:19">
      <c r="D1101">
        <f>'Audit Report'!B1101</f>
        <v>0</v>
      </c>
      <c r="E1101">
        <f>'Audit Report'!C1101</f>
        <v>0</v>
      </c>
      <c r="I1101">
        <f>'Audit Report'!E1101</f>
        <v>0</v>
      </c>
      <c r="J1101">
        <f>'Audit Report'!G1101</f>
        <v>0</v>
      </c>
      <c r="L1101" t="str">
        <f>_xlfn.TEXTJOIN(", ", FALSE, 'Audit Report'!J1101,'Audit Report'!K1101,'Audit Report'!L1101)</f>
        <v xml:space="preserve">, , </v>
      </c>
      <c r="M1101">
        <f>'Audit Report'!M1101</f>
        <v>0</v>
      </c>
      <c r="N1101" t="str" cm="1">
        <f t="array" ref="N1101">IF(M1101="","",
_xlfn.TEXTJOIN(", ",TRUE,
    _xlfn.MAP(_xlfn.TEXTSPLIT(M1101,","),_xlfn.LAMBDA(_xlpm.x,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1" t="e">
        <f>'Audit Report'!#REF!</f>
        <v>#REF!</v>
      </c>
      <c r="S1101">
        <f>'Audit Report'!N1101</f>
        <v>0</v>
      </c>
    </row>
    <row r="1102" spans="4:19">
      <c r="D1102">
        <f>'Audit Report'!B1102</f>
        <v>0</v>
      </c>
      <c r="E1102">
        <f>'Audit Report'!C1102</f>
        <v>0</v>
      </c>
      <c r="I1102">
        <f>'Audit Report'!E1102</f>
        <v>0</v>
      </c>
      <c r="J1102">
        <f>'Audit Report'!G1102</f>
        <v>0</v>
      </c>
      <c r="L1102" t="str">
        <f>_xlfn.TEXTJOIN(", ", FALSE, 'Audit Report'!J1102,'Audit Report'!K1102,'Audit Report'!L1102)</f>
        <v xml:space="preserve">, , </v>
      </c>
      <c r="M1102">
        <f>'Audit Report'!M1102</f>
        <v>0</v>
      </c>
      <c r="N1102" t="str" cm="1">
        <f t="array" ref="N1102">IF(M1102="","",
_xlfn.TEXTJOIN(", ",TRUE,
    _xlfn.MAP(_xlfn.TEXTSPLIT(M1102,","),_xlfn.LAMBDA(_xlpm.x,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2" t="e">
        <f>'Audit Report'!#REF!</f>
        <v>#REF!</v>
      </c>
      <c r="S1102">
        <f>'Audit Report'!N1102</f>
        <v>0</v>
      </c>
    </row>
    <row r="1103" spans="4:19">
      <c r="D1103">
        <f>'Audit Report'!B1103</f>
        <v>0</v>
      </c>
      <c r="E1103">
        <f>'Audit Report'!C1103</f>
        <v>0</v>
      </c>
      <c r="I1103">
        <f>'Audit Report'!E1103</f>
        <v>0</v>
      </c>
      <c r="J1103">
        <f>'Audit Report'!G1103</f>
        <v>0</v>
      </c>
      <c r="L1103" t="str">
        <f>_xlfn.TEXTJOIN(", ", FALSE, 'Audit Report'!J1103,'Audit Report'!K1103,'Audit Report'!L1103)</f>
        <v xml:space="preserve">, , </v>
      </c>
      <c r="M1103">
        <f>'Audit Report'!M1103</f>
        <v>0</v>
      </c>
      <c r="N1103" t="str" cm="1">
        <f t="array" ref="N1103">IF(M1103="","",
_xlfn.TEXTJOIN(", ",TRUE,
    _xlfn.MAP(_xlfn.TEXTSPLIT(M1103,","),_xlfn.LAMBDA(_xlpm.x,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3" t="e">
        <f>'Audit Report'!#REF!</f>
        <v>#REF!</v>
      </c>
      <c r="S1103">
        <f>'Audit Report'!N1103</f>
        <v>0</v>
      </c>
    </row>
    <row r="1104" spans="4:19">
      <c r="D1104">
        <f>'Audit Report'!B1104</f>
        <v>0</v>
      </c>
      <c r="E1104">
        <f>'Audit Report'!C1104</f>
        <v>0</v>
      </c>
      <c r="I1104">
        <f>'Audit Report'!E1104</f>
        <v>0</v>
      </c>
      <c r="J1104">
        <f>'Audit Report'!G1104</f>
        <v>0</v>
      </c>
      <c r="L1104" t="str">
        <f>_xlfn.TEXTJOIN(", ", FALSE, 'Audit Report'!J1104,'Audit Report'!K1104,'Audit Report'!L1104)</f>
        <v xml:space="preserve">, , </v>
      </c>
      <c r="M1104">
        <f>'Audit Report'!M1104</f>
        <v>0</v>
      </c>
      <c r="N1104" t="str" cm="1">
        <f t="array" ref="N1104">IF(M1104="","",
_xlfn.TEXTJOIN(", ",TRUE,
    _xlfn.MAP(_xlfn.TEXTSPLIT(M1104,","),_xlfn.LAMBDA(_xlpm.x,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4" t="e">
        <f>'Audit Report'!#REF!</f>
        <v>#REF!</v>
      </c>
      <c r="S1104">
        <f>'Audit Report'!N1104</f>
        <v>0</v>
      </c>
    </row>
    <row r="1105" spans="4:19">
      <c r="D1105">
        <f>'Audit Report'!B1105</f>
        <v>0</v>
      </c>
      <c r="E1105">
        <f>'Audit Report'!C1105</f>
        <v>0</v>
      </c>
      <c r="I1105">
        <f>'Audit Report'!E1105</f>
        <v>0</v>
      </c>
      <c r="J1105">
        <f>'Audit Report'!G1105</f>
        <v>0</v>
      </c>
      <c r="L1105" t="str">
        <f>_xlfn.TEXTJOIN(", ", FALSE, 'Audit Report'!J1105,'Audit Report'!K1105,'Audit Report'!L1105)</f>
        <v xml:space="preserve">, , </v>
      </c>
      <c r="M1105">
        <f>'Audit Report'!M1105</f>
        <v>0</v>
      </c>
      <c r="N1105" t="str" cm="1">
        <f t="array" ref="N1105">IF(M1105="","",
_xlfn.TEXTJOIN(", ",TRUE,
    _xlfn.MAP(_xlfn.TEXTSPLIT(M1105,","),_xlfn.LAMBDA(_xlpm.x,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5" t="e">
        <f>'Audit Report'!#REF!</f>
        <v>#REF!</v>
      </c>
      <c r="S1105">
        <f>'Audit Report'!N1105</f>
        <v>0</v>
      </c>
    </row>
    <row r="1106" spans="4:19">
      <c r="D1106">
        <f>'Audit Report'!B1106</f>
        <v>0</v>
      </c>
      <c r="E1106">
        <f>'Audit Report'!C1106</f>
        <v>0</v>
      </c>
      <c r="I1106">
        <f>'Audit Report'!E1106</f>
        <v>0</v>
      </c>
      <c r="J1106">
        <f>'Audit Report'!G1106</f>
        <v>0</v>
      </c>
      <c r="L1106" t="str">
        <f>_xlfn.TEXTJOIN(", ", FALSE, 'Audit Report'!J1106,'Audit Report'!K1106,'Audit Report'!L1106)</f>
        <v xml:space="preserve">, , </v>
      </c>
      <c r="M1106">
        <f>'Audit Report'!M1106</f>
        <v>0</v>
      </c>
      <c r="N1106" t="str" cm="1">
        <f t="array" ref="N1106">IF(M1106="","",
_xlfn.TEXTJOIN(", ",TRUE,
    _xlfn.MAP(_xlfn.TEXTSPLIT(M1106,","),_xlfn.LAMBDA(_xlpm.x,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6" t="e">
        <f>'Audit Report'!#REF!</f>
        <v>#REF!</v>
      </c>
      <c r="S1106">
        <f>'Audit Report'!N1106</f>
        <v>0</v>
      </c>
    </row>
    <row r="1107" spans="4:19">
      <c r="D1107">
        <f>'Audit Report'!B1107</f>
        <v>0</v>
      </c>
      <c r="E1107">
        <f>'Audit Report'!C1107</f>
        <v>0</v>
      </c>
      <c r="I1107">
        <f>'Audit Report'!E1107</f>
        <v>0</v>
      </c>
      <c r="J1107">
        <f>'Audit Report'!G1107</f>
        <v>0</v>
      </c>
      <c r="L1107" t="str">
        <f>_xlfn.TEXTJOIN(", ", FALSE, 'Audit Report'!J1107,'Audit Report'!K1107,'Audit Report'!L1107)</f>
        <v xml:space="preserve">, , </v>
      </c>
      <c r="M1107">
        <f>'Audit Report'!M1107</f>
        <v>0</v>
      </c>
      <c r="N1107" t="str" cm="1">
        <f t="array" ref="N1107">IF(M1107="","",
_xlfn.TEXTJOIN(", ",TRUE,
    _xlfn.MAP(_xlfn.TEXTSPLIT(M1107,","),_xlfn.LAMBDA(_xlpm.x,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7" t="e">
        <f>'Audit Report'!#REF!</f>
        <v>#REF!</v>
      </c>
      <c r="S1107">
        <f>'Audit Report'!N1107</f>
        <v>0</v>
      </c>
    </row>
    <row r="1108" spans="4:19">
      <c r="D1108">
        <f>'Audit Report'!B1108</f>
        <v>0</v>
      </c>
      <c r="E1108">
        <f>'Audit Report'!C1108</f>
        <v>0</v>
      </c>
      <c r="I1108">
        <f>'Audit Report'!E1108</f>
        <v>0</v>
      </c>
      <c r="J1108">
        <f>'Audit Report'!G1108</f>
        <v>0</v>
      </c>
      <c r="L1108" t="str">
        <f>_xlfn.TEXTJOIN(", ", FALSE, 'Audit Report'!J1108,'Audit Report'!K1108,'Audit Report'!L1108)</f>
        <v xml:space="preserve">, , </v>
      </c>
      <c r="M1108">
        <f>'Audit Report'!M1108</f>
        <v>0</v>
      </c>
      <c r="N1108" t="str" cm="1">
        <f t="array" ref="N1108">IF(M1108="","",
_xlfn.TEXTJOIN(", ",TRUE,
    _xlfn.MAP(_xlfn.TEXTSPLIT(M1108,","),_xlfn.LAMBDA(_xlpm.x,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8" t="e">
        <f>'Audit Report'!#REF!</f>
        <v>#REF!</v>
      </c>
      <c r="S1108">
        <f>'Audit Report'!N1108</f>
        <v>0</v>
      </c>
    </row>
    <row r="1109" spans="4:19">
      <c r="D1109">
        <f>'Audit Report'!B1109</f>
        <v>0</v>
      </c>
      <c r="E1109">
        <f>'Audit Report'!C1109</f>
        <v>0</v>
      </c>
      <c r="I1109">
        <f>'Audit Report'!E1109</f>
        <v>0</v>
      </c>
      <c r="J1109">
        <f>'Audit Report'!G1109</f>
        <v>0</v>
      </c>
      <c r="L1109" t="str">
        <f>_xlfn.TEXTJOIN(", ", FALSE, 'Audit Report'!J1109,'Audit Report'!K1109,'Audit Report'!L1109)</f>
        <v xml:space="preserve">, , </v>
      </c>
      <c r="M1109">
        <f>'Audit Report'!M1109</f>
        <v>0</v>
      </c>
      <c r="N1109" t="str" cm="1">
        <f t="array" ref="N1109">IF(M1109="","",
_xlfn.TEXTJOIN(", ",TRUE,
    _xlfn.MAP(_xlfn.TEXTSPLIT(M1109,","),_xlfn.LAMBDA(_xlpm.x,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9" t="e">
        <f>'Audit Report'!#REF!</f>
        <v>#REF!</v>
      </c>
      <c r="S1109">
        <f>'Audit Report'!N1109</f>
        <v>0</v>
      </c>
    </row>
    <row r="1110" spans="4:19">
      <c r="D1110">
        <f>'Audit Report'!B1110</f>
        <v>0</v>
      </c>
      <c r="E1110">
        <f>'Audit Report'!C1110</f>
        <v>0</v>
      </c>
      <c r="I1110">
        <f>'Audit Report'!E1110</f>
        <v>0</v>
      </c>
      <c r="J1110">
        <f>'Audit Report'!G1110</f>
        <v>0</v>
      </c>
      <c r="L1110" t="str">
        <f>_xlfn.TEXTJOIN(", ", FALSE, 'Audit Report'!J1110,'Audit Report'!K1110,'Audit Report'!L1110)</f>
        <v xml:space="preserve">, , </v>
      </c>
      <c r="M1110">
        <f>'Audit Report'!M1110</f>
        <v>0</v>
      </c>
      <c r="N1110" t="str" cm="1">
        <f t="array" ref="N1110">IF(M1110="","",
_xlfn.TEXTJOIN(", ",TRUE,
    _xlfn.MAP(_xlfn.TEXTSPLIT(M1110,","),_xlfn.LAMBDA(_xlpm.x,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0" t="e">
        <f>'Audit Report'!#REF!</f>
        <v>#REF!</v>
      </c>
      <c r="S1110">
        <f>'Audit Report'!N1110</f>
        <v>0</v>
      </c>
    </row>
    <row r="1111" spans="4:19">
      <c r="D1111">
        <f>'Audit Report'!B1111</f>
        <v>0</v>
      </c>
      <c r="E1111">
        <f>'Audit Report'!C1111</f>
        <v>0</v>
      </c>
      <c r="I1111">
        <f>'Audit Report'!E1111</f>
        <v>0</v>
      </c>
      <c r="J1111">
        <f>'Audit Report'!G1111</f>
        <v>0</v>
      </c>
      <c r="L1111" t="str">
        <f>_xlfn.TEXTJOIN(", ", FALSE, 'Audit Report'!J1111,'Audit Report'!K1111,'Audit Report'!L1111)</f>
        <v xml:space="preserve">, , </v>
      </c>
      <c r="M1111">
        <f>'Audit Report'!M1111</f>
        <v>0</v>
      </c>
      <c r="N1111" t="str" cm="1">
        <f t="array" ref="N1111">IF(M1111="","",
_xlfn.TEXTJOIN(", ",TRUE,
    _xlfn.MAP(_xlfn.TEXTSPLIT(M1111,","),_xlfn.LAMBDA(_xlpm.x,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1" t="e">
        <f>'Audit Report'!#REF!</f>
        <v>#REF!</v>
      </c>
      <c r="S1111">
        <f>'Audit Report'!N1111</f>
        <v>0</v>
      </c>
    </row>
    <row r="1112" spans="4:19">
      <c r="D1112">
        <f>'Audit Report'!B1112</f>
        <v>0</v>
      </c>
      <c r="E1112">
        <f>'Audit Report'!C1112</f>
        <v>0</v>
      </c>
      <c r="I1112">
        <f>'Audit Report'!E1112</f>
        <v>0</v>
      </c>
      <c r="J1112">
        <f>'Audit Report'!G1112</f>
        <v>0</v>
      </c>
      <c r="L1112" t="str">
        <f>_xlfn.TEXTJOIN(", ", FALSE, 'Audit Report'!J1112,'Audit Report'!K1112,'Audit Report'!L1112)</f>
        <v xml:space="preserve">, , </v>
      </c>
      <c r="M1112">
        <f>'Audit Report'!M1112</f>
        <v>0</v>
      </c>
      <c r="N1112" t="str" cm="1">
        <f t="array" ref="N1112">IF(M1112="","",
_xlfn.TEXTJOIN(", ",TRUE,
    _xlfn.MAP(_xlfn.TEXTSPLIT(M1112,","),_xlfn.LAMBDA(_xlpm.x,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2" t="e">
        <f>'Audit Report'!#REF!</f>
        <v>#REF!</v>
      </c>
      <c r="S1112">
        <f>'Audit Report'!N1112</f>
        <v>0</v>
      </c>
    </row>
    <row r="1113" spans="4:19">
      <c r="D1113">
        <f>'Audit Report'!B1113</f>
        <v>0</v>
      </c>
      <c r="E1113">
        <f>'Audit Report'!C1113</f>
        <v>0</v>
      </c>
      <c r="I1113">
        <f>'Audit Report'!E1113</f>
        <v>0</v>
      </c>
      <c r="J1113">
        <f>'Audit Report'!G1113</f>
        <v>0</v>
      </c>
      <c r="L1113" t="str">
        <f>_xlfn.TEXTJOIN(", ", FALSE, 'Audit Report'!J1113,'Audit Report'!K1113,'Audit Report'!L1113)</f>
        <v xml:space="preserve">, , </v>
      </c>
      <c r="M1113">
        <f>'Audit Report'!M1113</f>
        <v>0</v>
      </c>
      <c r="N1113" t="str" cm="1">
        <f t="array" ref="N1113">IF(M1113="","",
_xlfn.TEXTJOIN(", ",TRUE,
    _xlfn.MAP(_xlfn.TEXTSPLIT(M1113,","),_xlfn.LAMBDA(_xlpm.x,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3" t="e">
        <f>'Audit Report'!#REF!</f>
        <v>#REF!</v>
      </c>
      <c r="S1113">
        <f>'Audit Report'!N1113</f>
        <v>0</v>
      </c>
    </row>
    <row r="1114" spans="4:19">
      <c r="D1114">
        <f>'Audit Report'!B1114</f>
        <v>0</v>
      </c>
      <c r="E1114">
        <f>'Audit Report'!C1114</f>
        <v>0</v>
      </c>
      <c r="I1114">
        <f>'Audit Report'!E1114</f>
        <v>0</v>
      </c>
      <c r="J1114">
        <f>'Audit Report'!G1114</f>
        <v>0</v>
      </c>
      <c r="L1114" t="str">
        <f>_xlfn.TEXTJOIN(", ", FALSE, 'Audit Report'!J1114,'Audit Report'!K1114,'Audit Report'!L1114)</f>
        <v xml:space="preserve">, , </v>
      </c>
      <c r="M1114">
        <f>'Audit Report'!M1114</f>
        <v>0</v>
      </c>
      <c r="N1114" t="str" cm="1">
        <f t="array" ref="N1114">IF(M1114="","",
_xlfn.TEXTJOIN(", ",TRUE,
    _xlfn.MAP(_xlfn.TEXTSPLIT(M1114,","),_xlfn.LAMBDA(_xlpm.x,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4" t="e">
        <f>'Audit Report'!#REF!</f>
        <v>#REF!</v>
      </c>
      <c r="S1114">
        <f>'Audit Report'!N1114</f>
        <v>0</v>
      </c>
    </row>
    <row r="1115" spans="4:19">
      <c r="D1115">
        <f>'Audit Report'!B1115</f>
        <v>0</v>
      </c>
      <c r="E1115">
        <f>'Audit Report'!C1115</f>
        <v>0</v>
      </c>
      <c r="I1115">
        <f>'Audit Report'!E1115</f>
        <v>0</v>
      </c>
      <c r="J1115">
        <f>'Audit Report'!G1115</f>
        <v>0</v>
      </c>
      <c r="L1115" t="str">
        <f>_xlfn.TEXTJOIN(", ", FALSE, 'Audit Report'!J1115,'Audit Report'!K1115,'Audit Report'!L1115)</f>
        <v xml:space="preserve">, , </v>
      </c>
      <c r="M1115">
        <f>'Audit Report'!M1115</f>
        <v>0</v>
      </c>
      <c r="N1115" t="str" cm="1">
        <f t="array" ref="N1115">IF(M1115="","",
_xlfn.TEXTJOIN(", ",TRUE,
    _xlfn.MAP(_xlfn.TEXTSPLIT(M1115,","),_xlfn.LAMBDA(_xlpm.x,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5" t="e">
        <f>'Audit Report'!#REF!</f>
        <v>#REF!</v>
      </c>
      <c r="S1115">
        <f>'Audit Report'!N1115</f>
        <v>0</v>
      </c>
    </row>
    <row r="1116" spans="4:19">
      <c r="D1116">
        <f>'Audit Report'!B1116</f>
        <v>0</v>
      </c>
      <c r="E1116">
        <f>'Audit Report'!C1116</f>
        <v>0</v>
      </c>
      <c r="I1116">
        <f>'Audit Report'!E1116</f>
        <v>0</v>
      </c>
      <c r="J1116">
        <f>'Audit Report'!G1116</f>
        <v>0</v>
      </c>
      <c r="L1116" t="str">
        <f>_xlfn.TEXTJOIN(", ", FALSE, 'Audit Report'!J1116,'Audit Report'!K1116,'Audit Report'!L1116)</f>
        <v xml:space="preserve">, , </v>
      </c>
      <c r="M1116">
        <f>'Audit Report'!M1116</f>
        <v>0</v>
      </c>
      <c r="N1116" t="str" cm="1">
        <f t="array" ref="N1116">IF(M1116="","",
_xlfn.TEXTJOIN(", ",TRUE,
    _xlfn.MAP(_xlfn.TEXTSPLIT(M1116,","),_xlfn.LAMBDA(_xlpm.x,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6" t="e">
        <f>'Audit Report'!#REF!</f>
        <v>#REF!</v>
      </c>
      <c r="S1116">
        <f>'Audit Report'!N1116</f>
        <v>0</v>
      </c>
    </row>
    <row r="1117" spans="4:19">
      <c r="D1117">
        <f>'Audit Report'!B1117</f>
        <v>0</v>
      </c>
      <c r="E1117">
        <f>'Audit Report'!C1117</f>
        <v>0</v>
      </c>
      <c r="I1117">
        <f>'Audit Report'!E1117</f>
        <v>0</v>
      </c>
      <c r="J1117">
        <f>'Audit Report'!G1117</f>
        <v>0</v>
      </c>
      <c r="L1117" t="str">
        <f>_xlfn.TEXTJOIN(", ", FALSE, 'Audit Report'!J1117,'Audit Report'!K1117,'Audit Report'!L1117)</f>
        <v xml:space="preserve">, , </v>
      </c>
      <c r="M1117">
        <f>'Audit Report'!M1117</f>
        <v>0</v>
      </c>
      <c r="N1117" t="str" cm="1">
        <f t="array" ref="N1117">IF(M1117="","",
_xlfn.TEXTJOIN(", ",TRUE,
    _xlfn.MAP(_xlfn.TEXTSPLIT(M1117,","),_xlfn.LAMBDA(_xlpm.x,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7" t="e">
        <f>'Audit Report'!#REF!</f>
        <v>#REF!</v>
      </c>
      <c r="S1117">
        <f>'Audit Report'!N1117</f>
        <v>0</v>
      </c>
    </row>
    <row r="1118" spans="4:19">
      <c r="D1118">
        <f>'Audit Report'!B1118</f>
        <v>0</v>
      </c>
      <c r="E1118">
        <f>'Audit Report'!C1118</f>
        <v>0</v>
      </c>
      <c r="I1118">
        <f>'Audit Report'!E1118</f>
        <v>0</v>
      </c>
      <c r="J1118">
        <f>'Audit Report'!G1118</f>
        <v>0</v>
      </c>
      <c r="L1118" t="str">
        <f>_xlfn.TEXTJOIN(", ", FALSE, 'Audit Report'!J1118,'Audit Report'!K1118,'Audit Report'!L1118)</f>
        <v xml:space="preserve">, , </v>
      </c>
      <c r="M1118">
        <f>'Audit Report'!M1118</f>
        <v>0</v>
      </c>
      <c r="N1118" t="str" cm="1">
        <f t="array" ref="N1118">IF(M1118="","",
_xlfn.TEXTJOIN(", ",TRUE,
    _xlfn.MAP(_xlfn.TEXTSPLIT(M1118,","),_xlfn.LAMBDA(_xlpm.x,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8" t="e">
        <f>'Audit Report'!#REF!</f>
        <v>#REF!</v>
      </c>
      <c r="S1118">
        <f>'Audit Report'!N1118</f>
        <v>0</v>
      </c>
    </row>
    <row r="1119" spans="4:19">
      <c r="D1119">
        <f>'Audit Report'!B1119</f>
        <v>0</v>
      </c>
      <c r="E1119">
        <f>'Audit Report'!C1119</f>
        <v>0</v>
      </c>
      <c r="I1119">
        <f>'Audit Report'!E1119</f>
        <v>0</v>
      </c>
      <c r="J1119">
        <f>'Audit Report'!G1119</f>
        <v>0</v>
      </c>
      <c r="L1119" t="str">
        <f>_xlfn.TEXTJOIN(", ", FALSE, 'Audit Report'!J1119,'Audit Report'!K1119,'Audit Report'!L1119)</f>
        <v xml:space="preserve">, , </v>
      </c>
      <c r="M1119">
        <f>'Audit Report'!M1119</f>
        <v>0</v>
      </c>
      <c r="N1119" t="str" cm="1">
        <f t="array" ref="N1119">IF(M1119="","",
_xlfn.TEXTJOIN(", ",TRUE,
    _xlfn.MAP(_xlfn.TEXTSPLIT(M1119,","),_xlfn.LAMBDA(_xlpm.x,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9" t="e">
        <f>'Audit Report'!#REF!</f>
        <v>#REF!</v>
      </c>
      <c r="S1119">
        <f>'Audit Report'!N1119</f>
        <v>0</v>
      </c>
    </row>
    <row r="1120" spans="4:19">
      <c r="D1120">
        <f>'Audit Report'!B1120</f>
        <v>0</v>
      </c>
      <c r="E1120">
        <f>'Audit Report'!C1120</f>
        <v>0</v>
      </c>
      <c r="I1120">
        <f>'Audit Report'!E1120</f>
        <v>0</v>
      </c>
      <c r="J1120">
        <f>'Audit Report'!G1120</f>
        <v>0</v>
      </c>
      <c r="L1120" t="str">
        <f>_xlfn.TEXTJOIN(", ", FALSE, 'Audit Report'!J1120,'Audit Report'!K1120,'Audit Report'!L1120)</f>
        <v xml:space="preserve">, , </v>
      </c>
      <c r="M1120">
        <f>'Audit Report'!M1120</f>
        <v>0</v>
      </c>
      <c r="N1120" t="str" cm="1">
        <f t="array" ref="N1120">IF(M1120="","",
_xlfn.TEXTJOIN(", ",TRUE,
    _xlfn.MAP(_xlfn.TEXTSPLIT(M1120,","),_xlfn.LAMBDA(_xlpm.x,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0" t="e">
        <f>'Audit Report'!#REF!</f>
        <v>#REF!</v>
      </c>
      <c r="S1120">
        <f>'Audit Report'!N1120</f>
        <v>0</v>
      </c>
    </row>
    <row r="1121" spans="4:19">
      <c r="D1121">
        <f>'Audit Report'!B1121</f>
        <v>0</v>
      </c>
      <c r="E1121">
        <f>'Audit Report'!C1121</f>
        <v>0</v>
      </c>
      <c r="I1121">
        <f>'Audit Report'!E1121</f>
        <v>0</v>
      </c>
      <c r="J1121">
        <f>'Audit Report'!G1121</f>
        <v>0</v>
      </c>
      <c r="L1121" t="str">
        <f>_xlfn.TEXTJOIN(", ", FALSE, 'Audit Report'!J1121,'Audit Report'!K1121,'Audit Report'!L1121)</f>
        <v xml:space="preserve">, , </v>
      </c>
      <c r="M1121">
        <f>'Audit Report'!M1121</f>
        <v>0</v>
      </c>
      <c r="N1121" t="str" cm="1">
        <f t="array" ref="N1121">IF(M1121="","",
_xlfn.TEXTJOIN(", ",TRUE,
    _xlfn.MAP(_xlfn.TEXTSPLIT(M1121,","),_xlfn.LAMBDA(_xlpm.x,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1" t="e">
        <f>'Audit Report'!#REF!</f>
        <v>#REF!</v>
      </c>
      <c r="S1121">
        <f>'Audit Report'!N1121</f>
        <v>0</v>
      </c>
    </row>
    <row r="1122" spans="4:19">
      <c r="D1122">
        <f>'Audit Report'!B1122</f>
        <v>0</v>
      </c>
      <c r="E1122">
        <f>'Audit Report'!C1122</f>
        <v>0</v>
      </c>
      <c r="I1122">
        <f>'Audit Report'!E1122</f>
        <v>0</v>
      </c>
      <c r="J1122">
        <f>'Audit Report'!G1122</f>
        <v>0</v>
      </c>
      <c r="L1122" t="str">
        <f>_xlfn.TEXTJOIN(", ", FALSE, 'Audit Report'!J1122,'Audit Report'!K1122,'Audit Report'!L1122)</f>
        <v xml:space="preserve">, , </v>
      </c>
      <c r="M1122">
        <f>'Audit Report'!M1122</f>
        <v>0</v>
      </c>
      <c r="N1122" t="str" cm="1">
        <f t="array" ref="N1122">IF(M1122="","",
_xlfn.TEXTJOIN(", ",TRUE,
    _xlfn.MAP(_xlfn.TEXTSPLIT(M1122,","),_xlfn.LAMBDA(_xlpm.x,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2" t="e">
        <f>'Audit Report'!#REF!</f>
        <v>#REF!</v>
      </c>
      <c r="S1122">
        <f>'Audit Report'!N1122</f>
        <v>0</v>
      </c>
    </row>
    <row r="1123" spans="4:19">
      <c r="D1123">
        <f>'Audit Report'!B1123</f>
        <v>0</v>
      </c>
      <c r="E1123">
        <f>'Audit Report'!C1123</f>
        <v>0</v>
      </c>
      <c r="I1123">
        <f>'Audit Report'!E1123</f>
        <v>0</v>
      </c>
      <c r="J1123">
        <f>'Audit Report'!G1123</f>
        <v>0</v>
      </c>
      <c r="L1123" t="str">
        <f>_xlfn.TEXTJOIN(", ", FALSE, 'Audit Report'!J1123,'Audit Report'!K1123,'Audit Report'!L1123)</f>
        <v xml:space="preserve">, , </v>
      </c>
      <c r="M1123">
        <f>'Audit Report'!M1123</f>
        <v>0</v>
      </c>
      <c r="N1123" t="str" cm="1">
        <f t="array" ref="N1123">IF(M1123="","",
_xlfn.TEXTJOIN(", ",TRUE,
    _xlfn.MAP(_xlfn.TEXTSPLIT(M1123,","),_xlfn.LAMBDA(_xlpm.x,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3" t="e">
        <f>'Audit Report'!#REF!</f>
        <v>#REF!</v>
      </c>
      <c r="S1123">
        <f>'Audit Report'!N1123</f>
        <v>0</v>
      </c>
    </row>
    <row r="1124" spans="4:19">
      <c r="D1124">
        <f>'Audit Report'!B1124</f>
        <v>0</v>
      </c>
      <c r="E1124">
        <f>'Audit Report'!C1124</f>
        <v>0</v>
      </c>
      <c r="I1124">
        <f>'Audit Report'!E1124</f>
        <v>0</v>
      </c>
      <c r="J1124">
        <f>'Audit Report'!G1124</f>
        <v>0</v>
      </c>
      <c r="L1124" t="str">
        <f>_xlfn.TEXTJOIN(", ", FALSE, 'Audit Report'!J1124,'Audit Report'!K1124,'Audit Report'!L1124)</f>
        <v xml:space="preserve">, , </v>
      </c>
      <c r="M1124">
        <f>'Audit Report'!M1124</f>
        <v>0</v>
      </c>
      <c r="N1124" t="str" cm="1">
        <f t="array" ref="N1124">IF(M1124="","",
_xlfn.TEXTJOIN(", ",TRUE,
    _xlfn.MAP(_xlfn.TEXTSPLIT(M1124,","),_xlfn.LAMBDA(_xlpm.x,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4" t="e">
        <f>'Audit Report'!#REF!</f>
        <v>#REF!</v>
      </c>
      <c r="S1124">
        <f>'Audit Report'!N1124</f>
        <v>0</v>
      </c>
    </row>
    <row r="1125" spans="4:19">
      <c r="D1125">
        <f>'Audit Report'!B1125</f>
        <v>0</v>
      </c>
      <c r="E1125">
        <f>'Audit Report'!C1125</f>
        <v>0</v>
      </c>
      <c r="I1125">
        <f>'Audit Report'!E1125</f>
        <v>0</v>
      </c>
      <c r="J1125">
        <f>'Audit Report'!G1125</f>
        <v>0</v>
      </c>
      <c r="L1125" t="str">
        <f>_xlfn.TEXTJOIN(", ", FALSE, 'Audit Report'!J1125,'Audit Report'!K1125,'Audit Report'!L1125)</f>
        <v xml:space="preserve">, , </v>
      </c>
      <c r="M1125">
        <f>'Audit Report'!M1125</f>
        <v>0</v>
      </c>
      <c r="N1125" t="str" cm="1">
        <f t="array" ref="N1125">IF(M1125="","",
_xlfn.TEXTJOIN(", ",TRUE,
    _xlfn.MAP(_xlfn.TEXTSPLIT(M1125,","),_xlfn.LAMBDA(_xlpm.x,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5" t="e">
        <f>'Audit Report'!#REF!</f>
        <v>#REF!</v>
      </c>
      <c r="S1125">
        <f>'Audit Report'!N1125</f>
        <v>0</v>
      </c>
    </row>
    <row r="1126" spans="4:19">
      <c r="D1126">
        <f>'Audit Report'!B1126</f>
        <v>0</v>
      </c>
      <c r="E1126">
        <f>'Audit Report'!C1126</f>
        <v>0</v>
      </c>
      <c r="I1126">
        <f>'Audit Report'!E1126</f>
        <v>0</v>
      </c>
      <c r="J1126">
        <f>'Audit Report'!G1126</f>
        <v>0</v>
      </c>
      <c r="L1126" t="str">
        <f>_xlfn.TEXTJOIN(", ", FALSE, 'Audit Report'!J1126,'Audit Report'!K1126,'Audit Report'!L1126)</f>
        <v xml:space="preserve">, , </v>
      </c>
      <c r="M1126">
        <f>'Audit Report'!M1126</f>
        <v>0</v>
      </c>
      <c r="N1126" t="str" cm="1">
        <f t="array" ref="N1126">IF(M1126="","",
_xlfn.TEXTJOIN(", ",TRUE,
    _xlfn.MAP(_xlfn.TEXTSPLIT(M1126,","),_xlfn.LAMBDA(_xlpm.x,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6" t="e">
        <f>'Audit Report'!#REF!</f>
        <v>#REF!</v>
      </c>
      <c r="S1126">
        <f>'Audit Report'!N1126</f>
        <v>0</v>
      </c>
    </row>
    <row r="1127" spans="4:19">
      <c r="D1127">
        <f>'Audit Report'!B1127</f>
        <v>0</v>
      </c>
      <c r="E1127">
        <f>'Audit Report'!C1127</f>
        <v>0</v>
      </c>
      <c r="I1127">
        <f>'Audit Report'!E1127</f>
        <v>0</v>
      </c>
      <c r="J1127">
        <f>'Audit Report'!G1127</f>
        <v>0</v>
      </c>
      <c r="L1127" t="str">
        <f>_xlfn.TEXTJOIN(", ", FALSE, 'Audit Report'!J1127,'Audit Report'!K1127,'Audit Report'!L1127)</f>
        <v xml:space="preserve">, , </v>
      </c>
      <c r="M1127">
        <f>'Audit Report'!M1127</f>
        <v>0</v>
      </c>
      <c r="N1127" t="str" cm="1">
        <f t="array" ref="N1127">IF(M1127="","",
_xlfn.TEXTJOIN(", ",TRUE,
    _xlfn.MAP(_xlfn.TEXTSPLIT(M1127,","),_xlfn.LAMBDA(_xlpm.x,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7" t="e">
        <f>'Audit Report'!#REF!</f>
        <v>#REF!</v>
      </c>
      <c r="S1127">
        <f>'Audit Report'!N1127</f>
        <v>0</v>
      </c>
    </row>
    <row r="1128" spans="4:19">
      <c r="D1128">
        <f>'Audit Report'!B1128</f>
        <v>0</v>
      </c>
      <c r="E1128">
        <f>'Audit Report'!C1128</f>
        <v>0</v>
      </c>
      <c r="I1128">
        <f>'Audit Report'!E1128</f>
        <v>0</v>
      </c>
      <c r="J1128">
        <f>'Audit Report'!G1128</f>
        <v>0</v>
      </c>
      <c r="L1128" t="str">
        <f>_xlfn.TEXTJOIN(", ", FALSE, 'Audit Report'!J1128,'Audit Report'!K1128,'Audit Report'!L1128)</f>
        <v xml:space="preserve">, , </v>
      </c>
      <c r="M1128">
        <f>'Audit Report'!M1128</f>
        <v>0</v>
      </c>
      <c r="N1128" t="str" cm="1">
        <f t="array" ref="N1128">IF(M1128="","",
_xlfn.TEXTJOIN(", ",TRUE,
    _xlfn.MAP(_xlfn.TEXTSPLIT(M1128,","),_xlfn.LAMBDA(_xlpm.x,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8" t="e">
        <f>'Audit Report'!#REF!</f>
        <v>#REF!</v>
      </c>
      <c r="S1128">
        <f>'Audit Report'!N1128</f>
        <v>0</v>
      </c>
    </row>
    <row r="1129" spans="4:19">
      <c r="D1129">
        <f>'Audit Report'!B1129</f>
        <v>0</v>
      </c>
      <c r="E1129">
        <f>'Audit Report'!C1129</f>
        <v>0</v>
      </c>
      <c r="I1129">
        <f>'Audit Report'!E1129</f>
        <v>0</v>
      </c>
      <c r="J1129">
        <f>'Audit Report'!G1129</f>
        <v>0</v>
      </c>
      <c r="L1129" t="str">
        <f>_xlfn.TEXTJOIN(", ", FALSE, 'Audit Report'!J1129,'Audit Report'!K1129,'Audit Report'!L1129)</f>
        <v xml:space="preserve">, , </v>
      </c>
      <c r="M1129">
        <f>'Audit Report'!M1129</f>
        <v>0</v>
      </c>
      <c r="N1129" t="str" cm="1">
        <f t="array" ref="N1129">IF(M1129="","",
_xlfn.TEXTJOIN(", ",TRUE,
    _xlfn.MAP(_xlfn.TEXTSPLIT(M1129,","),_xlfn.LAMBDA(_xlpm.x,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9" t="e">
        <f>'Audit Report'!#REF!</f>
        <v>#REF!</v>
      </c>
      <c r="S1129">
        <f>'Audit Report'!N1129</f>
        <v>0</v>
      </c>
    </row>
    <row r="1130" spans="4:19">
      <c r="D1130">
        <f>'Audit Report'!B1130</f>
        <v>0</v>
      </c>
      <c r="E1130">
        <f>'Audit Report'!C1130</f>
        <v>0</v>
      </c>
      <c r="I1130">
        <f>'Audit Report'!E1130</f>
        <v>0</v>
      </c>
      <c r="J1130">
        <f>'Audit Report'!G1130</f>
        <v>0</v>
      </c>
      <c r="L1130" t="str">
        <f>_xlfn.TEXTJOIN(", ", FALSE, 'Audit Report'!J1130,'Audit Report'!K1130,'Audit Report'!L1130)</f>
        <v xml:space="preserve">, , </v>
      </c>
      <c r="M1130">
        <f>'Audit Report'!M1130</f>
        <v>0</v>
      </c>
      <c r="N1130" t="str" cm="1">
        <f t="array" ref="N1130">IF(M1130="","",
_xlfn.TEXTJOIN(", ",TRUE,
    _xlfn.MAP(_xlfn.TEXTSPLIT(M1130,","),_xlfn.LAMBDA(_xlpm.x,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0" t="e">
        <f>'Audit Report'!#REF!</f>
        <v>#REF!</v>
      </c>
      <c r="S1130">
        <f>'Audit Report'!N1130</f>
        <v>0</v>
      </c>
    </row>
    <row r="1131" spans="4:19">
      <c r="D1131">
        <f>'Audit Report'!B1131</f>
        <v>0</v>
      </c>
      <c r="E1131">
        <f>'Audit Report'!C1131</f>
        <v>0</v>
      </c>
      <c r="I1131">
        <f>'Audit Report'!E1131</f>
        <v>0</v>
      </c>
      <c r="J1131">
        <f>'Audit Report'!G1131</f>
        <v>0</v>
      </c>
      <c r="L1131" t="str">
        <f>_xlfn.TEXTJOIN(", ", FALSE, 'Audit Report'!J1131,'Audit Report'!K1131,'Audit Report'!L1131)</f>
        <v xml:space="preserve">, , </v>
      </c>
      <c r="M1131">
        <f>'Audit Report'!M1131</f>
        <v>0</v>
      </c>
      <c r="N1131" t="str" cm="1">
        <f t="array" ref="N1131">IF(M1131="","",
_xlfn.TEXTJOIN(", ",TRUE,
    _xlfn.MAP(_xlfn.TEXTSPLIT(M1131,","),_xlfn.LAMBDA(_xlpm.x,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1" t="e">
        <f>'Audit Report'!#REF!</f>
        <v>#REF!</v>
      </c>
      <c r="S1131">
        <f>'Audit Report'!N1131</f>
        <v>0</v>
      </c>
    </row>
    <row r="1132" spans="4:19">
      <c r="D1132">
        <f>'Audit Report'!B1132</f>
        <v>0</v>
      </c>
      <c r="E1132">
        <f>'Audit Report'!C1132</f>
        <v>0</v>
      </c>
      <c r="I1132">
        <f>'Audit Report'!E1132</f>
        <v>0</v>
      </c>
      <c r="J1132">
        <f>'Audit Report'!G1132</f>
        <v>0</v>
      </c>
      <c r="L1132" t="str">
        <f>_xlfn.TEXTJOIN(", ", FALSE, 'Audit Report'!J1132,'Audit Report'!K1132,'Audit Report'!L1132)</f>
        <v xml:space="preserve">, , </v>
      </c>
      <c r="M1132">
        <f>'Audit Report'!M1132</f>
        <v>0</v>
      </c>
      <c r="N1132" t="str" cm="1">
        <f t="array" ref="N1132">IF(M1132="","",
_xlfn.TEXTJOIN(", ",TRUE,
    _xlfn.MAP(_xlfn.TEXTSPLIT(M1132,","),_xlfn.LAMBDA(_xlpm.x,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2" t="e">
        <f>'Audit Report'!#REF!</f>
        <v>#REF!</v>
      </c>
      <c r="S1132">
        <f>'Audit Report'!N1132</f>
        <v>0</v>
      </c>
    </row>
    <row r="1133" spans="4:19">
      <c r="D1133">
        <f>'Audit Report'!B1133</f>
        <v>0</v>
      </c>
      <c r="E1133">
        <f>'Audit Report'!C1133</f>
        <v>0</v>
      </c>
      <c r="I1133">
        <f>'Audit Report'!E1133</f>
        <v>0</v>
      </c>
      <c r="J1133">
        <f>'Audit Report'!G1133</f>
        <v>0</v>
      </c>
      <c r="L1133" t="str">
        <f>_xlfn.TEXTJOIN(", ", FALSE, 'Audit Report'!J1133,'Audit Report'!K1133,'Audit Report'!L1133)</f>
        <v xml:space="preserve">, , </v>
      </c>
      <c r="M1133">
        <f>'Audit Report'!M1133</f>
        <v>0</v>
      </c>
      <c r="N1133" t="str" cm="1">
        <f t="array" ref="N1133">IF(M1133="","",
_xlfn.TEXTJOIN(", ",TRUE,
    _xlfn.MAP(_xlfn.TEXTSPLIT(M1133,","),_xlfn.LAMBDA(_xlpm.x,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3" t="e">
        <f>'Audit Report'!#REF!</f>
        <v>#REF!</v>
      </c>
      <c r="S1133">
        <f>'Audit Report'!N1133</f>
        <v>0</v>
      </c>
    </row>
    <row r="1134" spans="4:19">
      <c r="D1134">
        <f>'Audit Report'!B1134</f>
        <v>0</v>
      </c>
      <c r="E1134">
        <f>'Audit Report'!C1134</f>
        <v>0</v>
      </c>
      <c r="I1134">
        <f>'Audit Report'!E1134</f>
        <v>0</v>
      </c>
      <c r="J1134">
        <f>'Audit Report'!G1134</f>
        <v>0</v>
      </c>
      <c r="L1134" t="str">
        <f>_xlfn.TEXTJOIN(", ", FALSE, 'Audit Report'!J1134,'Audit Report'!K1134,'Audit Report'!L1134)</f>
        <v xml:space="preserve">, , </v>
      </c>
      <c r="M1134">
        <f>'Audit Report'!M1134</f>
        <v>0</v>
      </c>
      <c r="N1134" t="str" cm="1">
        <f t="array" ref="N1134">IF(M1134="","",
_xlfn.TEXTJOIN(", ",TRUE,
    _xlfn.MAP(_xlfn.TEXTSPLIT(M1134,","),_xlfn.LAMBDA(_xlpm.x,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4" t="e">
        <f>'Audit Report'!#REF!</f>
        <v>#REF!</v>
      </c>
      <c r="S1134">
        <f>'Audit Report'!N1134</f>
        <v>0</v>
      </c>
    </row>
    <row r="1135" spans="4:19">
      <c r="D1135">
        <f>'Audit Report'!B1135</f>
        <v>0</v>
      </c>
      <c r="E1135">
        <f>'Audit Report'!C1135</f>
        <v>0</v>
      </c>
      <c r="I1135">
        <f>'Audit Report'!E1135</f>
        <v>0</v>
      </c>
      <c r="J1135">
        <f>'Audit Report'!G1135</f>
        <v>0</v>
      </c>
      <c r="L1135" t="str">
        <f>_xlfn.TEXTJOIN(", ", FALSE, 'Audit Report'!J1135,'Audit Report'!K1135,'Audit Report'!L1135)</f>
        <v xml:space="preserve">, , </v>
      </c>
      <c r="M1135">
        <f>'Audit Report'!M1135</f>
        <v>0</v>
      </c>
      <c r="N1135" t="str" cm="1">
        <f t="array" ref="N1135">IF(M1135="","",
_xlfn.TEXTJOIN(", ",TRUE,
    _xlfn.MAP(_xlfn.TEXTSPLIT(M1135,","),_xlfn.LAMBDA(_xlpm.x,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5" t="e">
        <f>'Audit Report'!#REF!</f>
        <v>#REF!</v>
      </c>
      <c r="S1135">
        <f>'Audit Report'!N1135</f>
        <v>0</v>
      </c>
    </row>
    <row r="1136" spans="4:19">
      <c r="D1136">
        <f>'Audit Report'!B1136</f>
        <v>0</v>
      </c>
      <c r="E1136">
        <f>'Audit Report'!C1136</f>
        <v>0</v>
      </c>
      <c r="I1136">
        <f>'Audit Report'!E1136</f>
        <v>0</v>
      </c>
      <c r="J1136">
        <f>'Audit Report'!G1136</f>
        <v>0</v>
      </c>
      <c r="L1136" t="str">
        <f>_xlfn.TEXTJOIN(", ", FALSE, 'Audit Report'!J1136,'Audit Report'!K1136,'Audit Report'!L1136)</f>
        <v xml:space="preserve">, , </v>
      </c>
      <c r="M1136">
        <f>'Audit Report'!M1136</f>
        <v>0</v>
      </c>
      <c r="N1136" t="str" cm="1">
        <f t="array" ref="N1136">IF(M1136="","",
_xlfn.TEXTJOIN(", ",TRUE,
    _xlfn.MAP(_xlfn.TEXTSPLIT(M1136,","),_xlfn.LAMBDA(_xlpm.x,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6" t="e">
        <f>'Audit Report'!#REF!</f>
        <v>#REF!</v>
      </c>
      <c r="S1136">
        <f>'Audit Report'!N1136</f>
        <v>0</v>
      </c>
    </row>
    <row r="1137" spans="4:19">
      <c r="D1137">
        <f>'Audit Report'!B1137</f>
        <v>0</v>
      </c>
      <c r="E1137">
        <f>'Audit Report'!C1137</f>
        <v>0</v>
      </c>
      <c r="I1137">
        <f>'Audit Report'!E1137</f>
        <v>0</v>
      </c>
      <c r="J1137">
        <f>'Audit Report'!G1137</f>
        <v>0</v>
      </c>
      <c r="L1137" t="str">
        <f>_xlfn.TEXTJOIN(", ", FALSE, 'Audit Report'!J1137,'Audit Report'!K1137,'Audit Report'!L1137)</f>
        <v xml:space="preserve">, , </v>
      </c>
      <c r="M1137">
        <f>'Audit Report'!M1137</f>
        <v>0</v>
      </c>
      <c r="N1137" t="str" cm="1">
        <f t="array" ref="N1137">IF(M1137="","",
_xlfn.TEXTJOIN(", ",TRUE,
    _xlfn.MAP(_xlfn.TEXTSPLIT(M1137,","),_xlfn.LAMBDA(_xlpm.x,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7" t="e">
        <f>'Audit Report'!#REF!</f>
        <v>#REF!</v>
      </c>
      <c r="S1137">
        <f>'Audit Report'!N1137</f>
        <v>0</v>
      </c>
    </row>
    <row r="1138" spans="4:19">
      <c r="D1138">
        <f>'Audit Report'!B1138</f>
        <v>0</v>
      </c>
      <c r="E1138">
        <f>'Audit Report'!C1138</f>
        <v>0</v>
      </c>
      <c r="I1138">
        <f>'Audit Report'!E1138</f>
        <v>0</v>
      </c>
      <c r="J1138">
        <f>'Audit Report'!G1138</f>
        <v>0</v>
      </c>
      <c r="L1138" t="str">
        <f>_xlfn.TEXTJOIN(", ", FALSE, 'Audit Report'!J1138,'Audit Report'!K1138,'Audit Report'!L1138)</f>
        <v xml:space="preserve">, , </v>
      </c>
      <c r="M1138">
        <f>'Audit Report'!M1138</f>
        <v>0</v>
      </c>
      <c r="N1138" t="str" cm="1">
        <f t="array" ref="N1138">IF(M1138="","",
_xlfn.TEXTJOIN(", ",TRUE,
    _xlfn.MAP(_xlfn.TEXTSPLIT(M1138,","),_xlfn.LAMBDA(_xlpm.x,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8" t="e">
        <f>'Audit Report'!#REF!</f>
        <v>#REF!</v>
      </c>
      <c r="S1138">
        <f>'Audit Report'!N1138</f>
        <v>0</v>
      </c>
    </row>
    <row r="1139" spans="4:19">
      <c r="D1139">
        <f>'Audit Report'!B1139</f>
        <v>0</v>
      </c>
      <c r="E1139">
        <f>'Audit Report'!C1139</f>
        <v>0</v>
      </c>
      <c r="I1139">
        <f>'Audit Report'!E1139</f>
        <v>0</v>
      </c>
      <c r="J1139">
        <f>'Audit Report'!G1139</f>
        <v>0</v>
      </c>
      <c r="L1139" t="str">
        <f>_xlfn.TEXTJOIN(", ", FALSE, 'Audit Report'!J1139,'Audit Report'!K1139,'Audit Report'!L1139)</f>
        <v xml:space="preserve">, , </v>
      </c>
      <c r="M1139">
        <f>'Audit Report'!M1139</f>
        <v>0</v>
      </c>
      <c r="N1139" t="str" cm="1">
        <f t="array" ref="N1139">IF(M1139="","",
_xlfn.TEXTJOIN(", ",TRUE,
    _xlfn.MAP(_xlfn.TEXTSPLIT(M1139,","),_xlfn.LAMBDA(_xlpm.x,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9" t="e">
        <f>'Audit Report'!#REF!</f>
        <v>#REF!</v>
      </c>
      <c r="S1139">
        <f>'Audit Report'!N1139</f>
        <v>0</v>
      </c>
    </row>
    <row r="1140" spans="4:19">
      <c r="D1140">
        <f>'Audit Report'!B1140</f>
        <v>0</v>
      </c>
      <c r="E1140">
        <f>'Audit Report'!C1140</f>
        <v>0</v>
      </c>
      <c r="I1140">
        <f>'Audit Report'!E1140</f>
        <v>0</v>
      </c>
      <c r="J1140">
        <f>'Audit Report'!G1140</f>
        <v>0</v>
      </c>
      <c r="L1140" t="str">
        <f>_xlfn.TEXTJOIN(", ", FALSE, 'Audit Report'!J1140,'Audit Report'!K1140,'Audit Report'!L1140)</f>
        <v xml:space="preserve">, , </v>
      </c>
      <c r="M1140">
        <f>'Audit Report'!M1140</f>
        <v>0</v>
      </c>
      <c r="N1140" t="str" cm="1">
        <f t="array" ref="N1140">IF(M1140="","",
_xlfn.TEXTJOIN(", ",TRUE,
    _xlfn.MAP(_xlfn.TEXTSPLIT(M1140,","),_xlfn.LAMBDA(_xlpm.x,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0" t="e">
        <f>'Audit Report'!#REF!</f>
        <v>#REF!</v>
      </c>
      <c r="S1140">
        <f>'Audit Report'!N1140</f>
        <v>0</v>
      </c>
    </row>
    <row r="1141" spans="4:19">
      <c r="D1141">
        <f>'Audit Report'!B1141</f>
        <v>0</v>
      </c>
      <c r="E1141">
        <f>'Audit Report'!C1141</f>
        <v>0</v>
      </c>
      <c r="I1141">
        <f>'Audit Report'!E1141</f>
        <v>0</v>
      </c>
      <c r="J1141">
        <f>'Audit Report'!G1141</f>
        <v>0</v>
      </c>
      <c r="L1141" t="str">
        <f>_xlfn.TEXTJOIN(", ", FALSE, 'Audit Report'!J1141,'Audit Report'!K1141,'Audit Report'!L1141)</f>
        <v xml:space="preserve">, , </v>
      </c>
      <c r="M1141">
        <f>'Audit Report'!M1141</f>
        <v>0</v>
      </c>
      <c r="N1141" t="str" cm="1">
        <f t="array" ref="N1141">IF(M1141="","",
_xlfn.TEXTJOIN(", ",TRUE,
    _xlfn.MAP(_xlfn.TEXTSPLIT(M1141,","),_xlfn.LAMBDA(_xlpm.x,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1" t="e">
        <f>'Audit Report'!#REF!</f>
        <v>#REF!</v>
      </c>
      <c r="S1141">
        <f>'Audit Report'!N1141</f>
        <v>0</v>
      </c>
    </row>
    <row r="1142" spans="4:19">
      <c r="D1142">
        <f>'Audit Report'!B1142</f>
        <v>0</v>
      </c>
      <c r="E1142">
        <f>'Audit Report'!C1142</f>
        <v>0</v>
      </c>
      <c r="I1142">
        <f>'Audit Report'!E1142</f>
        <v>0</v>
      </c>
      <c r="J1142">
        <f>'Audit Report'!G1142</f>
        <v>0</v>
      </c>
      <c r="L1142" t="str">
        <f>_xlfn.TEXTJOIN(", ", FALSE, 'Audit Report'!J1142,'Audit Report'!K1142,'Audit Report'!L1142)</f>
        <v xml:space="preserve">, , </v>
      </c>
      <c r="M1142">
        <f>'Audit Report'!M1142</f>
        <v>0</v>
      </c>
      <c r="N1142" t="str" cm="1">
        <f t="array" ref="N1142">IF(M1142="","",
_xlfn.TEXTJOIN(", ",TRUE,
    _xlfn.MAP(_xlfn.TEXTSPLIT(M1142,","),_xlfn.LAMBDA(_xlpm.x,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2" t="e">
        <f>'Audit Report'!#REF!</f>
        <v>#REF!</v>
      </c>
      <c r="S1142">
        <f>'Audit Report'!N1142</f>
        <v>0</v>
      </c>
    </row>
    <row r="1143" spans="4:19">
      <c r="D1143">
        <f>'Audit Report'!B1143</f>
        <v>0</v>
      </c>
      <c r="E1143">
        <f>'Audit Report'!C1143</f>
        <v>0</v>
      </c>
      <c r="I1143">
        <f>'Audit Report'!E1143</f>
        <v>0</v>
      </c>
      <c r="J1143">
        <f>'Audit Report'!G1143</f>
        <v>0</v>
      </c>
      <c r="L1143" t="str">
        <f>_xlfn.TEXTJOIN(", ", FALSE, 'Audit Report'!J1143,'Audit Report'!K1143,'Audit Report'!L1143)</f>
        <v xml:space="preserve">, , </v>
      </c>
      <c r="M1143">
        <f>'Audit Report'!M1143</f>
        <v>0</v>
      </c>
      <c r="N1143" t="str" cm="1">
        <f t="array" ref="N1143">IF(M1143="","",
_xlfn.TEXTJOIN(", ",TRUE,
    _xlfn.MAP(_xlfn.TEXTSPLIT(M1143,","),_xlfn.LAMBDA(_xlpm.x,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3" t="e">
        <f>'Audit Report'!#REF!</f>
        <v>#REF!</v>
      </c>
      <c r="S1143">
        <f>'Audit Report'!N1143</f>
        <v>0</v>
      </c>
    </row>
    <row r="1144" spans="4:19">
      <c r="D1144">
        <f>'Audit Report'!B1144</f>
        <v>0</v>
      </c>
      <c r="E1144">
        <f>'Audit Report'!C1144</f>
        <v>0</v>
      </c>
      <c r="I1144">
        <f>'Audit Report'!E1144</f>
        <v>0</v>
      </c>
      <c r="J1144">
        <f>'Audit Report'!G1144</f>
        <v>0</v>
      </c>
      <c r="L1144" t="str">
        <f>_xlfn.TEXTJOIN(", ", FALSE, 'Audit Report'!J1144,'Audit Report'!K1144,'Audit Report'!L1144)</f>
        <v xml:space="preserve">, , </v>
      </c>
      <c r="M1144">
        <f>'Audit Report'!M1144</f>
        <v>0</v>
      </c>
      <c r="N1144" t="str" cm="1">
        <f t="array" ref="N1144">IF(M1144="","",
_xlfn.TEXTJOIN(", ",TRUE,
    _xlfn.MAP(_xlfn.TEXTSPLIT(M1144,","),_xlfn.LAMBDA(_xlpm.x,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4" t="e">
        <f>'Audit Report'!#REF!</f>
        <v>#REF!</v>
      </c>
      <c r="S1144">
        <f>'Audit Report'!N1144</f>
        <v>0</v>
      </c>
    </row>
    <row r="1145" spans="4:19">
      <c r="D1145">
        <f>'Audit Report'!B1145</f>
        <v>0</v>
      </c>
      <c r="E1145">
        <f>'Audit Report'!C1145</f>
        <v>0</v>
      </c>
      <c r="I1145">
        <f>'Audit Report'!E1145</f>
        <v>0</v>
      </c>
      <c r="J1145">
        <f>'Audit Report'!G1145</f>
        <v>0</v>
      </c>
      <c r="L1145" t="str">
        <f>_xlfn.TEXTJOIN(", ", FALSE, 'Audit Report'!J1145,'Audit Report'!K1145,'Audit Report'!L1145)</f>
        <v xml:space="preserve">, , </v>
      </c>
      <c r="M1145">
        <f>'Audit Report'!M1145</f>
        <v>0</v>
      </c>
      <c r="N1145" t="str" cm="1">
        <f t="array" ref="N1145">IF(M1145="","",
_xlfn.TEXTJOIN(", ",TRUE,
    _xlfn.MAP(_xlfn.TEXTSPLIT(M1145,","),_xlfn.LAMBDA(_xlpm.x,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5" t="e">
        <f>'Audit Report'!#REF!</f>
        <v>#REF!</v>
      </c>
      <c r="S1145">
        <f>'Audit Report'!N1145</f>
        <v>0</v>
      </c>
    </row>
    <row r="1146" spans="4:19">
      <c r="D1146">
        <f>'Audit Report'!B1146</f>
        <v>0</v>
      </c>
      <c r="E1146">
        <f>'Audit Report'!C1146</f>
        <v>0</v>
      </c>
      <c r="I1146">
        <f>'Audit Report'!E1146</f>
        <v>0</v>
      </c>
      <c r="J1146">
        <f>'Audit Report'!G1146</f>
        <v>0</v>
      </c>
      <c r="L1146" t="str">
        <f>_xlfn.TEXTJOIN(", ", FALSE, 'Audit Report'!J1146,'Audit Report'!K1146,'Audit Report'!L1146)</f>
        <v xml:space="preserve">, , </v>
      </c>
      <c r="M1146">
        <f>'Audit Report'!M1146</f>
        <v>0</v>
      </c>
      <c r="N1146" t="str" cm="1">
        <f t="array" ref="N1146">IF(M1146="","",
_xlfn.TEXTJOIN(", ",TRUE,
    _xlfn.MAP(_xlfn.TEXTSPLIT(M1146,","),_xlfn.LAMBDA(_xlpm.x,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6" t="e">
        <f>'Audit Report'!#REF!</f>
        <v>#REF!</v>
      </c>
      <c r="S1146">
        <f>'Audit Report'!N1146</f>
        <v>0</v>
      </c>
    </row>
    <row r="1147" spans="4:19">
      <c r="D1147">
        <f>'Audit Report'!B1147</f>
        <v>0</v>
      </c>
      <c r="E1147">
        <f>'Audit Report'!C1147</f>
        <v>0</v>
      </c>
      <c r="I1147">
        <f>'Audit Report'!E1147</f>
        <v>0</v>
      </c>
      <c r="J1147">
        <f>'Audit Report'!G1147</f>
        <v>0</v>
      </c>
      <c r="L1147" t="str">
        <f>_xlfn.TEXTJOIN(", ", FALSE, 'Audit Report'!J1147,'Audit Report'!K1147,'Audit Report'!L1147)</f>
        <v xml:space="preserve">, , </v>
      </c>
      <c r="M1147">
        <f>'Audit Report'!M1147</f>
        <v>0</v>
      </c>
      <c r="N1147" t="str" cm="1">
        <f t="array" ref="N1147">IF(M1147="","",
_xlfn.TEXTJOIN(", ",TRUE,
    _xlfn.MAP(_xlfn.TEXTSPLIT(M1147,","),_xlfn.LAMBDA(_xlpm.x,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7" t="e">
        <f>'Audit Report'!#REF!</f>
        <v>#REF!</v>
      </c>
      <c r="S1147">
        <f>'Audit Report'!N1147</f>
        <v>0</v>
      </c>
    </row>
    <row r="1148" spans="4:19">
      <c r="D1148">
        <f>'Audit Report'!B1148</f>
        <v>0</v>
      </c>
      <c r="E1148">
        <f>'Audit Report'!C1148</f>
        <v>0</v>
      </c>
      <c r="I1148">
        <f>'Audit Report'!E1148</f>
        <v>0</v>
      </c>
      <c r="J1148">
        <f>'Audit Report'!G1148</f>
        <v>0</v>
      </c>
      <c r="L1148" t="str">
        <f>_xlfn.TEXTJOIN(", ", FALSE, 'Audit Report'!J1148,'Audit Report'!K1148,'Audit Report'!L1148)</f>
        <v xml:space="preserve">, , </v>
      </c>
      <c r="M1148">
        <f>'Audit Report'!M1148</f>
        <v>0</v>
      </c>
      <c r="N1148" t="str" cm="1">
        <f t="array" ref="N1148">IF(M1148="","",
_xlfn.TEXTJOIN(", ",TRUE,
    _xlfn.MAP(_xlfn.TEXTSPLIT(M1148,","),_xlfn.LAMBDA(_xlpm.x,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8" t="e">
        <f>'Audit Report'!#REF!</f>
        <v>#REF!</v>
      </c>
      <c r="S1148">
        <f>'Audit Report'!N1148</f>
        <v>0</v>
      </c>
    </row>
    <row r="1149" spans="4:19">
      <c r="D1149">
        <f>'Audit Report'!B1149</f>
        <v>0</v>
      </c>
      <c r="E1149">
        <f>'Audit Report'!C1149</f>
        <v>0</v>
      </c>
      <c r="I1149">
        <f>'Audit Report'!E1149</f>
        <v>0</v>
      </c>
      <c r="J1149">
        <f>'Audit Report'!G1149</f>
        <v>0</v>
      </c>
      <c r="L1149" t="str">
        <f>_xlfn.TEXTJOIN(", ", FALSE, 'Audit Report'!J1149,'Audit Report'!K1149,'Audit Report'!L1149)</f>
        <v xml:space="preserve">, , </v>
      </c>
      <c r="M1149">
        <f>'Audit Report'!M1149</f>
        <v>0</v>
      </c>
      <c r="N1149" t="str" cm="1">
        <f t="array" ref="N1149">IF(M1149="","",
_xlfn.TEXTJOIN(", ",TRUE,
    _xlfn.MAP(_xlfn.TEXTSPLIT(M1149,","),_xlfn.LAMBDA(_xlpm.x,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9" t="e">
        <f>'Audit Report'!#REF!</f>
        <v>#REF!</v>
      </c>
      <c r="S1149">
        <f>'Audit Report'!N1149</f>
        <v>0</v>
      </c>
    </row>
    <row r="1150" spans="4:19">
      <c r="D1150">
        <f>'Audit Report'!B1150</f>
        <v>0</v>
      </c>
      <c r="E1150">
        <f>'Audit Report'!C1150</f>
        <v>0</v>
      </c>
      <c r="I1150">
        <f>'Audit Report'!E1150</f>
        <v>0</v>
      </c>
      <c r="J1150">
        <f>'Audit Report'!G1150</f>
        <v>0</v>
      </c>
      <c r="L1150" t="str">
        <f>_xlfn.TEXTJOIN(", ", FALSE, 'Audit Report'!J1150,'Audit Report'!K1150,'Audit Report'!L1150)</f>
        <v xml:space="preserve">, , </v>
      </c>
      <c r="M1150">
        <f>'Audit Report'!M1150</f>
        <v>0</v>
      </c>
      <c r="N1150" t="str" cm="1">
        <f t="array" ref="N1150">IF(M1150="","",
_xlfn.TEXTJOIN(", ",TRUE,
    _xlfn.MAP(_xlfn.TEXTSPLIT(M1150,","),_xlfn.LAMBDA(_xlpm.x,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0" t="e">
        <f>'Audit Report'!#REF!</f>
        <v>#REF!</v>
      </c>
      <c r="S1150">
        <f>'Audit Report'!N1150</f>
        <v>0</v>
      </c>
    </row>
    <row r="1151" spans="4:19">
      <c r="D1151">
        <f>'Audit Report'!B1151</f>
        <v>0</v>
      </c>
      <c r="E1151">
        <f>'Audit Report'!C1151</f>
        <v>0</v>
      </c>
      <c r="I1151">
        <f>'Audit Report'!E1151</f>
        <v>0</v>
      </c>
      <c r="J1151">
        <f>'Audit Report'!G1151</f>
        <v>0</v>
      </c>
      <c r="L1151" t="str">
        <f>_xlfn.TEXTJOIN(", ", FALSE, 'Audit Report'!J1151,'Audit Report'!K1151,'Audit Report'!L1151)</f>
        <v xml:space="preserve">, , </v>
      </c>
      <c r="M1151">
        <f>'Audit Report'!M1151</f>
        <v>0</v>
      </c>
      <c r="N1151" t="str" cm="1">
        <f t="array" ref="N1151">IF(M1151="","",
_xlfn.TEXTJOIN(", ",TRUE,
    _xlfn.MAP(_xlfn.TEXTSPLIT(M1151,","),_xlfn.LAMBDA(_xlpm.x,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1" t="e">
        <f>'Audit Report'!#REF!</f>
        <v>#REF!</v>
      </c>
      <c r="S1151">
        <f>'Audit Report'!N1151</f>
        <v>0</v>
      </c>
    </row>
    <row r="1152" spans="4:19">
      <c r="D1152">
        <f>'Audit Report'!B1152</f>
        <v>0</v>
      </c>
      <c r="E1152">
        <f>'Audit Report'!C1152</f>
        <v>0</v>
      </c>
      <c r="I1152">
        <f>'Audit Report'!E1152</f>
        <v>0</v>
      </c>
      <c r="J1152">
        <f>'Audit Report'!G1152</f>
        <v>0</v>
      </c>
      <c r="L1152" t="str">
        <f>_xlfn.TEXTJOIN(", ", FALSE, 'Audit Report'!J1152,'Audit Report'!K1152,'Audit Report'!L1152)</f>
        <v xml:space="preserve">, , </v>
      </c>
      <c r="M1152">
        <f>'Audit Report'!M1152</f>
        <v>0</v>
      </c>
      <c r="N1152" t="str" cm="1">
        <f t="array" ref="N1152">IF(M1152="","",
_xlfn.TEXTJOIN(", ",TRUE,
    _xlfn.MAP(_xlfn.TEXTSPLIT(M1152,","),_xlfn.LAMBDA(_xlpm.x,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2" t="e">
        <f>'Audit Report'!#REF!</f>
        <v>#REF!</v>
      </c>
      <c r="S1152">
        <f>'Audit Report'!N1152</f>
        <v>0</v>
      </c>
    </row>
    <row r="1153" spans="4:19">
      <c r="D1153">
        <f>'Audit Report'!B1153</f>
        <v>0</v>
      </c>
      <c r="E1153">
        <f>'Audit Report'!C1153</f>
        <v>0</v>
      </c>
      <c r="I1153">
        <f>'Audit Report'!E1153</f>
        <v>0</v>
      </c>
      <c r="J1153">
        <f>'Audit Report'!G1153</f>
        <v>0</v>
      </c>
      <c r="L1153" t="str">
        <f>_xlfn.TEXTJOIN(", ", FALSE, 'Audit Report'!J1153,'Audit Report'!K1153,'Audit Report'!L1153)</f>
        <v xml:space="preserve">, , </v>
      </c>
      <c r="M1153">
        <f>'Audit Report'!M1153</f>
        <v>0</v>
      </c>
      <c r="N1153" t="str" cm="1">
        <f t="array" ref="N1153">IF(M1153="","",
_xlfn.TEXTJOIN(", ",TRUE,
    _xlfn.MAP(_xlfn.TEXTSPLIT(M1153,","),_xlfn.LAMBDA(_xlpm.x,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3" t="e">
        <f>'Audit Report'!#REF!</f>
        <v>#REF!</v>
      </c>
      <c r="S1153">
        <f>'Audit Report'!N1153</f>
        <v>0</v>
      </c>
    </row>
    <row r="1154" spans="4:19">
      <c r="D1154">
        <f>'Audit Report'!B1154</f>
        <v>0</v>
      </c>
      <c r="E1154">
        <f>'Audit Report'!C1154</f>
        <v>0</v>
      </c>
      <c r="I1154">
        <f>'Audit Report'!E1154</f>
        <v>0</v>
      </c>
      <c r="J1154">
        <f>'Audit Report'!G1154</f>
        <v>0</v>
      </c>
      <c r="L1154" t="str">
        <f>_xlfn.TEXTJOIN(", ", FALSE, 'Audit Report'!J1154,'Audit Report'!K1154,'Audit Report'!L1154)</f>
        <v xml:space="preserve">, , </v>
      </c>
      <c r="M1154">
        <f>'Audit Report'!M1154</f>
        <v>0</v>
      </c>
      <c r="N1154" t="str" cm="1">
        <f t="array" ref="N1154">IF(M1154="","",
_xlfn.TEXTJOIN(", ",TRUE,
    _xlfn.MAP(_xlfn.TEXTSPLIT(M1154,","),_xlfn.LAMBDA(_xlpm.x,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4" t="e">
        <f>'Audit Report'!#REF!</f>
        <v>#REF!</v>
      </c>
      <c r="S1154">
        <f>'Audit Report'!N1154</f>
        <v>0</v>
      </c>
    </row>
    <row r="1155" spans="4:19">
      <c r="D1155">
        <f>'Audit Report'!B1155</f>
        <v>0</v>
      </c>
      <c r="E1155">
        <f>'Audit Report'!C1155</f>
        <v>0</v>
      </c>
      <c r="I1155">
        <f>'Audit Report'!E1155</f>
        <v>0</v>
      </c>
      <c r="J1155">
        <f>'Audit Report'!G1155</f>
        <v>0</v>
      </c>
      <c r="L1155" t="str">
        <f>_xlfn.TEXTJOIN(", ", FALSE, 'Audit Report'!J1155,'Audit Report'!K1155,'Audit Report'!L1155)</f>
        <v xml:space="preserve">, , </v>
      </c>
      <c r="M1155">
        <f>'Audit Report'!M1155</f>
        <v>0</v>
      </c>
      <c r="N1155" t="str" cm="1">
        <f t="array" ref="N1155">IF(M1155="","",
_xlfn.TEXTJOIN(", ",TRUE,
    _xlfn.MAP(_xlfn.TEXTSPLIT(M1155,","),_xlfn.LAMBDA(_xlpm.x,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5" t="e">
        <f>'Audit Report'!#REF!</f>
        <v>#REF!</v>
      </c>
      <c r="S1155">
        <f>'Audit Report'!N1155</f>
        <v>0</v>
      </c>
    </row>
    <row r="1156" spans="4:19">
      <c r="D1156">
        <f>'Audit Report'!B1156</f>
        <v>0</v>
      </c>
      <c r="E1156">
        <f>'Audit Report'!C1156</f>
        <v>0</v>
      </c>
      <c r="I1156">
        <f>'Audit Report'!E1156</f>
        <v>0</v>
      </c>
      <c r="J1156">
        <f>'Audit Report'!G1156</f>
        <v>0</v>
      </c>
      <c r="L1156" t="str">
        <f>_xlfn.TEXTJOIN(", ", FALSE, 'Audit Report'!J1156,'Audit Report'!K1156,'Audit Report'!L1156)</f>
        <v xml:space="preserve">, , </v>
      </c>
      <c r="M1156">
        <f>'Audit Report'!M1156</f>
        <v>0</v>
      </c>
      <c r="N1156" t="str" cm="1">
        <f t="array" ref="N1156">IF(M1156="","",
_xlfn.TEXTJOIN(", ",TRUE,
    _xlfn.MAP(_xlfn.TEXTSPLIT(M1156,","),_xlfn.LAMBDA(_xlpm.x,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6" t="e">
        <f>'Audit Report'!#REF!</f>
        <v>#REF!</v>
      </c>
      <c r="S1156">
        <f>'Audit Report'!N1156</f>
        <v>0</v>
      </c>
    </row>
    <row r="1157" spans="4:19">
      <c r="D1157">
        <f>'Audit Report'!B1157</f>
        <v>0</v>
      </c>
      <c r="E1157">
        <f>'Audit Report'!C1157</f>
        <v>0</v>
      </c>
      <c r="I1157">
        <f>'Audit Report'!E1157</f>
        <v>0</v>
      </c>
      <c r="J1157">
        <f>'Audit Report'!G1157</f>
        <v>0</v>
      </c>
      <c r="L1157" t="str">
        <f>_xlfn.TEXTJOIN(", ", FALSE, 'Audit Report'!J1157,'Audit Report'!K1157,'Audit Report'!L1157)</f>
        <v xml:space="preserve">, , </v>
      </c>
      <c r="M1157">
        <f>'Audit Report'!M1157</f>
        <v>0</v>
      </c>
      <c r="N1157" t="str" cm="1">
        <f t="array" ref="N1157">IF(M1157="","",
_xlfn.TEXTJOIN(", ",TRUE,
    _xlfn.MAP(_xlfn.TEXTSPLIT(M1157,","),_xlfn.LAMBDA(_xlpm.x,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7" t="e">
        <f>'Audit Report'!#REF!</f>
        <v>#REF!</v>
      </c>
      <c r="S1157">
        <f>'Audit Report'!N1157</f>
        <v>0</v>
      </c>
    </row>
    <row r="1158" spans="4:19">
      <c r="D1158">
        <f>'Audit Report'!B1158</f>
        <v>0</v>
      </c>
      <c r="E1158">
        <f>'Audit Report'!C1158</f>
        <v>0</v>
      </c>
      <c r="I1158">
        <f>'Audit Report'!E1158</f>
        <v>0</v>
      </c>
      <c r="J1158">
        <f>'Audit Report'!G1158</f>
        <v>0</v>
      </c>
      <c r="L1158" t="str">
        <f>_xlfn.TEXTJOIN(", ", FALSE, 'Audit Report'!J1158,'Audit Report'!K1158,'Audit Report'!L1158)</f>
        <v xml:space="preserve">, , </v>
      </c>
      <c r="M1158">
        <f>'Audit Report'!M1158</f>
        <v>0</v>
      </c>
      <c r="N1158" t="str" cm="1">
        <f t="array" ref="N1158">IF(M1158="","",
_xlfn.TEXTJOIN(", ",TRUE,
    _xlfn.MAP(_xlfn.TEXTSPLIT(M1158,","),_xlfn.LAMBDA(_xlpm.x,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8" t="e">
        <f>'Audit Report'!#REF!</f>
        <v>#REF!</v>
      </c>
      <c r="S1158">
        <f>'Audit Report'!N1158</f>
        <v>0</v>
      </c>
    </row>
    <row r="1159" spans="4:19">
      <c r="D1159">
        <f>'Audit Report'!B1159</f>
        <v>0</v>
      </c>
      <c r="E1159">
        <f>'Audit Report'!C1159</f>
        <v>0</v>
      </c>
      <c r="I1159">
        <f>'Audit Report'!E1159</f>
        <v>0</v>
      </c>
      <c r="J1159">
        <f>'Audit Report'!G1159</f>
        <v>0</v>
      </c>
      <c r="L1159" t="str">
        <f>_xlfn.TEXTJOIN(", ", FALSE, 'Audit Report'!J1159,'Audit Report'!K1159,'Audit Report'!L1159)</f>
        <v xml:space="preserve">, , </v>
      </c>
      <c r="M1159">
        <f>'Audit Report'!M1159</f>
        <v>0</v>
      </c>
      <c r="N1159" t="str" cm="1">
        <f t="array" ref="N1159">IF(M1159="","",
_xlfn.TEXTJOIN(", ",TRUE,
    _xlfn.MAP(_xlfn.TEXTSPLIT(M1159,","),_xlfn.LAMBDA(_xlpm.x,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9" t="e">
        <f>'Audit Report'!#REF!</f>
        <v>#REF!</v>
      </c>
      <c r="S1159">
        <f>'Audit Report'!N1159</f>
        <v>0</v>
      </c>
    </row>
    <row r="1160" spans="4:19">
      <c r="D1160">
        <f>'Audit Report'!B1160</f>
        <v>0</v>
      </c>
      <c r="E1160">
        <f>'Audit Report'!C1160</f>
        <v>0</v>
      </c>
      <c r="I1160">
        <f>'Audit Report'!E1160</f>
        <v>0</v>
      </c>
      <c r="J1160">
        <f>'Audit Report'!G1160</f>
        <v>0</v>
      </c>
      <c r="L1160" t="str">
        <f>_xlfn.TEXTJOIN(", ", FALSE, 'Audit Report'!J1160,'Audit Report'!K1160,'Audit Report'!L1160)</f>
        <v xml:space="preserve">, , </v>
      </c>
      <c r="M1160">
        <f>'Audit Report'!M1160</f>
        <v>0</v>
      </c>
      <c r="N1160" t="str" cm="1">
        <f t="array" ref="N1160">IF(M1160="","",
_xlfn.TEXTJOIN(", ",TRUE,
    _xlfn.MAP(_xlfn.TEXTSPLIT(M1160,","),_xlfn.LAMBDA(_xlpm.x,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0" t="e">
        <f>'Audit Report'!#REF!</f>
        <v>#REF!</v>
      </c>
      <c r="S1160">
        <f>'Audit Report'!N1160</f>
        <v>0</v>
      </c>
    </row>
    <row r="1161" spans="4:19">
      <c r="I1161">
        <f>'Audit Report'!E1161</f>
        <v>0</v>
      </c>
      <c r="J1161">
        <f>'Audit Report'!G1161</f>
        <v>0</v>
      </c>
      <c r="L1161" t="str">
        <f>_xlfn.TEXTJOIN(", ", FALSE, 'Audit Report'!J1161,'Audit Report'!K1161,'Audit Report'!L1161)</f>
        <v xml:space="preserve">, , </v>
      </c>
      <c r="M1161">
        <f>'Audit Report'!M1161</f>
        <v>0</v>
      </c>
      <c r="N1161" t="str" cm="1">
        <f t="array" ref="N1161">IF(M1161="","",
_xlfn.TEXTJOIN(", ",TRUE,
    _xlfn.MAP(_xlfn.TEXTSPLIT(M1161,","),_xlfn.LAMBDA(_xlpm.x,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1" t="e">
        <f>'Audit Report'!#REF!</f>
        <v>#REF!</v>
      </c>
      <c r="S1161">
        <f>'Audit Report'!N1161</f>
        <v>0</v>
      </c>
    </row>
    <row r="1162" spans="4:19">
      <c r="I1162">
        <f>'Audit Report'!E1162</f>
        <v>0</v>
      </c>
      <c r="J1162">
        <f>'Audit Report'!G1162</f>
        <v>0</v>
      </c>
      <c r="L1162" t="str">
        <f>_xlfn.TEXTJOIN(", ", FALSE, 'Audit Report'!J1162,'Audit Report'!K1162,'Audit Report'!L1162)</f>
        <v xml:space="preserve">, , </v>
      </c>
      <c r="M1162">
        <f>'Audit Report'!M1162</f>
        <v>0</v>
      </c>
      <c r="N1162" t="str" cm="1">
        <f t="array" ref="N1162">IF(M1162="","",
_xlfn.TEXTJOIN(", ",TRUE,
    _xlfn.MAP(_xlfn.TEXTSPLIT(M1162,","),_xlfn.LAMBDA(_xlpm.x,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2" t="e">
        <f>'Audit Report'!#REF!</f>
        <v>#REF!</v>
      </c>
      <c r="S1162">
        <f>'Audit Report'!N1162</f>
        <v>0</v>
      </c>
    </row>
    <row r="1163" spans="4:19">
      <c r="I1163">
        <f>'Audit Report'!E1163</f>
        <v>0</v>
      </c>
      <c r="J1163">
        <f>'Audit Report'!G1163</f>
        <v>0</v>
      </c>
      <c r="L1163" t="str">
        <f>_xlfn.TEXTJOIN(", ", FALSE, 'Audit Report'!J1163,'Audit Report'!K1163,'Audit Report'!L1163)</f>
        <v xml:space="preserve">, , </v>
      </c>
      <c r="M1163">
        <f>'Audit Report'!M1163</f>
        <v>0</v>
      </c>
      <c r="N1163" t="str" cm="1">
        <f t="array" ref="N1163">IF(M1163="","",
_xlfn.TEXTJOIN(", ",TRUE,
    _xlfn.MAP(_xlfn.TEXTSPLIT(M1163,","),_xlfn.LAMBDA(_xlpm.x,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3" t="e">
        <f>'Audit Report'!#REF!</f>
        <v>#REF!</v>
      </c>
      <c r="S1163">
        <f>'Audit Report'!N1163</f>
        <v>0</v>
      </c>
    </row>
    <row r="1164" spans="4:19">
      <c r="I1164">
        <f>'Audit Report'!E1164</f>
        <v>0</v>
      </c>
      <c r="J1164">
        <f>'Audit Report'!G1164</f>
        <v>0</v>
      </c>
      <c r="L1164" t="str">
        <f>_xlfn.TEXTJOIN(", ", FALSE, 'Audit Report'!J1164,'Audit Report'!K1164,'Audit Report'!L1164)</f>
        <v xml:space="preserve">, , </v>
      </c>
      <c r="M1164">
        <f>'Audit Report'!M1164</f>
        <v>0</v>
      </c>
      <c r="N1164" t="str" cm="1">
        <f t="array" ref="N1164">IF(M1164="","",
_xlfn.TEXTJOIN(", ",TRUE,
    _xlfn.MAP(_xlfn.TEXTSPLIT(M1164,","),_xlfn.LAMBDA(_xlpm.x,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4" t="e">
        <f>'Audit Report'!#REF!</f>
        <v>#REF!</v>
      </c>
      <c r="S1164">
        <f>'Audit Report'!N1164</f>
        <v>0</v>
      </c>
    </row>
    <row r="1165" spans="4:19">
      <c r="I1165">
        <f>'Audit Report'!E1165</f>
        <v>0</v>
      </c>
      <c r="J1165">
        <f>'Audit Report'!G1165</f>
        <v>0</v>
      </c>
      <c r="L1165" t="str">
        <f>_xlfn.TEXTJOIN(", ", FALSE, 'Audit Report'!J1165,'Audit Report'!K1165,'Audit Report'!L1165)</f>
        <v xml:space="preserve">, , </v>
      </c>
      <c r="M1165">
        <f>'Audit Report'!M1165</f>
        <v>0</v>
      </c>
      <c r="N1165" t="str" cm="1">
        <f t="array" ref="N1165">IF(M1165="","",
_xlfn.TEXTJOIN(", ",TRUE,
    _xlfn.MAP(_xlfn.TEXTSPLIT(M1165,","),_xlfn.LAMBDA(_xlpm.x,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5" t="e">
        <f>'Audit Report'!#REF!</f>
        <v>#REF!</v>
      </c>
      <c r="S1165">
        <f>'Audit Report'!N1165</f>
        <v>0</v>
      </c>
    </row>
    <row r="1166" spans="4:19">
      <c r="I1166">
        <f>'Audit Report'!E1166</f>
        <v>0</v>
      </c>
      <c r="J1166">
        <f>'Audit Report'!G1166</f>
        <v>0</v>
      </c>
      <c r="L1166" t="str">
        <f>_xlfn.TEXTJOIN(", ", FALSE, 'Audit Report'!J1166,'Audit Report'!K1166,'Audit Report'!L1166)</f>
        <v xml:space="preserve">, , </v>
      </c>
      <c r="M1166">
        <f>'Audit Report'!M1166</f>
        <v>0</v>
      </c>
      <c r="N1166" t="str" cm="1">
        <f t="array" ref="N1166">IF(M1166="","",
_xlfn.TEXTJOIN(", ",TRUE,
    _xlfn.MAP(_xlfn.TEXTSPLIT(M1166,","),_xlfn.LAMBDA(_xlpm.x,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6" t="e">
        <f>'Audit Report'!#REF!</f>
        <v>#REF!</v>
      </c>
      <c r="S1166">
        <f>'Audit Report'!N1166</f>
        <v>0</v>
      </c>
    </row>
    <row r="1167" spans="4:19">
      <c r="I1167">
        <f>'Audit Report'!E1167</f>
        <v>0</v>
      </c>
      <c r="J1167">
        <f>'Audit Report'!G1167</f>
        <v>0</v>
      </c>
      <c r="L1167" t="str">
        <f>_xlfn.TEXTJOIN(", ", FALSE, 'Audit Report'!J1167,'Audit Report'!K1167,'Audit Report'!L1167)</f>
        <v xml:space="preserve">, , </v>
      </c>
      <c r="M1167">
        <f>'Audit Report'!M1167</f>
        <v>0</v>
      </c>
      <c r="N1167" t="str" cm="1">
        <f t="array" ref="N1167">IF(M1167="","",
_xlfn.TEXTJOIN(", ",TRUE,
    _xlfn.MAP(_xlfn.TEXTSPLIT(M1167,","),_xlfn.LAMBDA(_xlpm.x,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7" t="e">
        <f>'Audit Report'!#REF!</f>
        <v>#REF!</v>
      </c>
      <c r="S1167">
        <f>'Audit Report'!N1167</f>
        <v>0</v>
      </c>
    </row>
    <row r="1168" spans="4:19">
      <c r="I1168">
        <f>'Audit Report'!E1168</f>
        <v>0</v>
      </c>
      <c r="J1168">
        <f>'Audit Report'!G1168</f>
        <v>0</v>
      </c>
      <c r="L1168" t="str">
        <f>_xlfn.TEXTJOIN(", ", FALSE, 'Audit Report'!J1168,'Audit Report'!K1168,'Audit Report'!L1168)</f>
        <v xml:space="preserve">, , </v>
      </c>
      <c r="M1168">
        <f>'Audit Report'!M1168</f>
        <v>0</v>
      </c>
      <c r="N1168" t="str" cm="1">
        <f t="array" ref="N1168">IF(M1168="","",
_xlfn.TEXTJOIN(", ",TRUE,
    _xlfn.MAP(_xlfn.TEXTSPLIT(M1168,","),_xlfn.LAMBDA(_xlpm.x,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8" t="e">
        <f>'Audit Report'!#REF!</f>
        <v>#REF!</v>
      </c>
      <c r="S1168">
        <f>'Audit Report'!N1168</f>
        <v>0</v>
      </c>
    </row>
    <row r="1169" spans="9:19">
      <c r="I1169">
        <f>'Audit Report'!E1169</f>
        <v>0</v>
      </c>
      <c r="J1169">
        <f>'Audit Report'!G1169</f>
        <v>0</v>
      </c>
      <c r="L1169" t="str">
        <f>_xlfn.TEXTJOIN(", ", FALSE, 'Audit Report'!J1169,'Audit Report'!K1169,'Audit Report'!L1169)</f>
        <v xml:space="preserve">, , </v>
      </c>
      <c r="M1169">
        <f>'Audit Report'!M1169</f>
        <v>0</v>
      </c>
      <c r="N1169" t="str" cm="1">
        <f t="array" ref="N1169">IF(M1169="","",
_xlfn.TEXTJOIN(", ",TRUE,
    _xlfn.MAP(_xlfn.TEXTSPLIT(M1169,","),_xlfn.LAMBDA(_xlpm.x,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9" t="e">
        <f>'Audit Report'!#REF!</f>
        <v>#REF!</v>
      </c>
      <c r="S1169">
        <f>'Audit Report'!N1169</f>
        <v>0</v>
      </c>
    </row>
    <row r="1170" spans="9:19">
      <c r="I1170">
        <f>'Audit Report'!E1170</f>
        <v>0</v>
      </c>
      <c r="J1170">
        <f>'Audit Report'!G1170</f>
        <v>0</v>
      </c>
      <c r="L1170" t="str">
        <f>_xlfn.TEXTJOIN(", ", FALSE, 'Audit Report'!J1170,'Audit Report'!K1170,'Audit Report'!L1170)</f>
        <v xml:space="preserve">, , </v>
      </c>
      <c r="M1170">
        <f>'Audit Report'!M1170</f>
        <v>0</v>
      </c>
      <c r="N1170" t="str" cm="1">
        <f t="array" ref="N1170">IF(M1170="","",
_xlfn.TEXTJOIN(", ",TRUE,
    _xlfn.MAP(_xlfn.TEXTSPLIT(M1170,","),_xlfn.LAMBDA(_xlpm.x,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0" t="e">
        <f>'Audit Report'!#REF!</f>
        <v>#REF!</v>
      </c>
      <c r="S1170">
        <f>'Audit Report'!N1170</f>
        <v>0</v>
      </c>
    </row>
    <row r="1171" spans="9:19">
      <c r="I1171">
        <f>'Audit Report'!E1171</f>
        <v>0</v>
      </c>
      <c r="J1171">
        <f>'Audit Report'!G1171</f>
        <v>0</v>
      </c>
      <c r="L1171" t="str">
        <f>_xlfn.TEXTJOIN(", ", FALSE, 'Audit Report'!J1171,'Audit Report'!K1171,'Audit Report'!L1171)</f>
        <v xml:space="preserve">, , </v>
      </c>
      <c r="M1171">
        <f>'Audit Report'!M1171</f>
        <v>0</v>
      </c>
      <c r="N1171" t="str" cm="1">
        <f t="array" ref="N1171">IF(M1171="","",
_xlfn.TEXTJOIN(", ",TRUE,
    _xlfn.MAP(_xlfn.TEXTSPLIT(M1171,","),_xlfn.LAMBDA(_xlpm.x,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1" t="e">
        <f>'Audit Report'!#REF!</f>
        <v>#REF!</v>
      </c>
      <c r="S1171">
        <f>'Audit Report'!N1171</f>
        <v>0</v>
      </c>
    </row>
    <row r="1172" spans="9:19">
      <c r="I1172">
        <f>'Audit Report'!E1172</f>
        <v>0</v>
      </c>
      <c r="J1172">
        <f>'Audit Report'!G1172</f>
        <v>0</v>
      </c>
      <c r="L1172" t="str">
        <f>_xlfn.TEXTJOIN(", ", FALSE, 'Audit Report'!J1172,'Audit Report'!K1172,'Audit Report'!L1172)</f>
        <v xml:space="preserve">, , </v>
      </c>
      <c r="M1172">
        <f>'Audit Report'!M1172</f>
        <v>0</v>
      </c>
      <c r="N1172" t="str" cm="1">
        <f t="array" ref="N1172">IF(M1172="","",
_xlfn.TEXTJOIN(", ",TRUE,
    _xlfn.MAP(_xlfn.TEXTSPLIT(M1172,","),_xlfn.LAMBDA(_xlpm.x,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2" t="e">
        <f>'Audit Report'!#REF!</f>
        <v>#REF!</v>
      </c>
      <c r="S1172">
        <f>'Audit Report'!N1172</f>
        <v>0</v>
      </c>
    </row>
    <row r="1173" spans="9:19">
      <c r="I1173">
        <f>'Audit Report'!E1173</f>
        <v>0</v>
      </c>
      <c r="J1173">
        <f>'Audit Report'!G1173</f>
        <v>0</v>
      </c>
      <c r="L1173" t="str">
        <f>_xlfn.TEXTJOIN(", ", FALSE, 'Audit Report'!J1173,'Audit Report'!K1173,'Audit Report'!L1173)</f>
        <v xml:space="preserve">, , </v>
      </c>
      <c r="M1173">
        <f>'Audit Report'!M1173</f>
        <v>0</v>
      </c>
      <c r="N1173" t="str" cm="1">
        <f t="array" ref="N1173">IF(M1173="","",
_xlfn.TEXTJOIN(", ",TRUE,
    _xlfn.MAP(_xlfn.TEXTSPLIT(M1173,","),_xlfn.LAMBDA(_xlpm.x,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3" t="e">
        <f>'Audit Report'!#REF!</f>
        <v>#REF!</v>
      </c>
      <c r="S1173">
        <f>'Audit Report'!N1173</f>
        <v>0</v>
      </c>
    </row>
    <row r="1174" spans="9:19">
      <c r="I1174">
        <f>'Audit Report'!E1174</f>
        <v>0</v>
      </c>
      <c r="J1174">
        <f>'Audit Report'!G1174</f>
        <v>0</v>
      </c>
      <c r="L1174" t="str">
        <f>_xlfn.TEXTJOIN(", ", FALSE, 'Audit Report'!J1174,'Audit Report'!K1174,'Audit Report'!L1174)</f>
        <v xml:space="preserve">, , </v>
      </c>
      <c r="M1174">
        <f>'Audit Report'!M1174</f>
        <v>0</v>
      </c>
      <c r="N1174" t="str" cm="1">
        <f t="array" ref="N1174">IF(M1174="","",
_xlfn.TEXTJOIN(", ",TRUE,
    _xlfn.MAP(_xlfn.TEXTSPLIT(M1174,","),_xlfn.LAMBDA(_xlpm.x,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4" t="e">
        <f>'Audit Report'!#REF!</f>
        <v>#REF!</v>
      </c>
      <c r="S1174">
        <f>'Audit Report'!N1174</f>
        <v>0</v>
      </c>
    </row>
    <row r="1175" spans="9:19">
      <c r="I1175">
        <f>'Audit Report'!E1175</f>
        <v>0</v>
      </c>
      <c r="J1175">
        <f>'Audit Report'!G1175</f>
        <v>0</v>
      </c>
      <c r="L1175" t="str">
        <f>_xlfn.TEXTJOIN(", ", FALSE, 'Audit Report'!J1175,'Audit Report'!K1175,'Audit Report'!L1175)</f>
        <v xml:space="preserve">, , </v>
      </c>
      <c r="M1175">
        <f>'Audit Report'!M1175</f>
        <v>0</v>
      </c>
      <c r="N1175" t="str" cm="1">
        <f t="array" ref="N1175">IF(M1175="","",
_xlfn.TEXTJOIN(", ",TRUE,
    _xlfn.MAP(_xlfn.TEXTSPLIT(M1175,","),_xlfn.LAMBDA(_xlpm.x,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5" t="e">
        <f>'Audit Report'!#REF!</f>
        <v>#REF!</v>
      </c>
      <c r="S1175">
        <f>'Audit Report'!N1175</f>
        <v>0</v>
      </c>
    </row>
    <row r="1176" spans="9:19">
      <c r="I1176">
        <f>'Audit Report'!E1176</f>
        <v>0</v>
      </c>
      <c r="J1176">
        <f>'Audit Report'!G1176</f>
        <v>0</v>
      </c>
      <c r="L1176" t="str">
        <f>_xlfn.TEXTJOIN(", ", FALSE, 'Audit Report'!J1176,'Audit Report'!K1176,'Audit Report'!L1176)</f>
        <v xml:space="preserve">, , </v>
      </c>
      <c r="M1176">
        <f>'Audit Report'!M1176</f>
        <v>0</v>
      </c>
      <c r="N1176" t="str" cm="1">
        <f t="array" ref="N1176">IF(M1176="","",
_xlfn.TEXTJOIN(", ",TRUE,
    _xlfn.MAP(_xlfn.TEXTSPLIT(M1176,","),_xlfn.LAMBDA(_xlpm.x,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6" t="e">
        <f>'Audit Report'!#REF!</f>
        <v>#REF!</v>
      </c>
      <c r="S1176">
        <f>'Audit Report'!N1176</f>
        <v>0</v>
      </c>
    </row>
    <row r="1177" spans="9:19">
      <c r="I1177">
        <f>'Audit Report'!E1177</f>
        <v>0</v>
      </c>
      <c r="J1177">
        <f>'Audit Report'!G1177</f>
        <v>0</v>
      </c>
      <c r="L1177" t="str">
        <f>_xlfn.TEXTJOIN(", ", FALSE, 'Audit Report'!J1177,'Audit Report'!K1177,'Audit Report'!L1177)</f>
        <v xml:space="preserve">, , </v>
      </c>
      <c r="M1177">
        <f>'Audit Report'!M1177</f>
        <v>0</v>
      </c>
      <c r="N1177" t="str" cm="1">
        <f t="array" ref="N1177">IF(M1177="","",
_xlfn.TEXTJOIN(", ",TRUE,
    _xlfn.MAP(_xlfn.TEXTSPLIT(M1177,","),_xlfn.LAMBDA(_xlpm.x,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7" t="e">
        <f>'Audit Report'!#REF!</f>
        <v>#REF!</v>
      </c>
      <c r="S1177">
        <f>'Audit Report'!N1177</f>
        <v>0</v>
      </c>
    </row>
    <row r="1178" spans="9:19">
      <c r="I1178">
        <f>'Audit Report'!E1178</f>
        <v>0</v>
      </c>
      <c r="J1178">
        <f>'Audit Report'!G1178</f>
        <v>0</v>
      </c>
      <c r="L1178" t="str">
        <f>_xlfn.TEXTJOIN(", ", FALSE, 'Audit Report'!J1178,'Audit Report'!K1178,'Audit Report'!L1178)</f>
        <v xml:space="preserve">, , </v>
      </c>
      <c r="M1178">
        <f>'Audit Report'!M1178</f>
        <v>0</v>
      </c>
      <c r="N1178" t="str" cm="1">
        <f t="array" ref="N1178">IF(M1178="","",
_xlfn.TEXTJOIN(", ",TRUE,
    _xlfn.MAP(_xlfn.TEXTSPLIT(M1178,","),_xlfn.LAMBDA(_xlpm.x,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8" t="e">
        <f>'Audit Report'!#REF!</f>
        <v>#REF!</v>
      </c>
      <c r="S1178">
        <f>'Audit Report'!N1178</f>
        <v>0</v>
      </c>
    </row>
    <row r="1179" spans="9:19">
      <c r="I1179">
        <f>'Audit Report'!E1179</f>
        <v>0</v>
      </c>
      <c r="J1179">
        <f>'Audit Report'!G1179</f>
        <v>0</v>
      </c>
      <c r="L1179" t="str">
        <f>_xlfn.TEXTJOIN(", ", FALSE, 'Audit Report'!J1179,'Audit Report'!K1179,'Audit Report'!L1179)</f>
        <v xml:space="preserve">, , </v>
      </c>
      <c r="M1179">
        <f>'Audit Report'!M1179</f>
        <v>0</v>
      </c>
      <c r="N1179" t="str" cm="1">
        <f t="array" ref="N1179">IF(M1179="","",
_xlfn.TEXTJOIN(", ",TRUE,
    _xlfn.MAP(_xlfn.TEXTSPLIT(M1179,","),_xlfn.LAMBDA(_xlpm.x,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9" t="e">
        <f>'Audit Report'!#REF!</f>
        <v>#REF!</v>
      </c>
      <c r="S1179">
        <f>'Audit Report'!N1179</f>
        <v>0</v>
      </c>
    </row>
    <row r="1180" spans="9:19">
      <c r="I1180">
        <f>'Audit Report'!E1180</f>
        <v>0</v>
      </c>
      <c r="J1180">
        <f>'Audit Report'!G1180</f>
        <v>0</v>
      </c>
      <c r="L1180" t="str">
        <f>_xlfn.TEXTJOIN(", ", FALSE, 'Audit Report'!J1180,'Audit Report'!K1180,'Audit Report'!L1180)</f>
        <v xml:space="preserve">, , </v>
      </c>
      <c r="M1180">
        <f>'Audit Report'!M1180</f>
        <v>0</v>
      </c>
      <c r="N1180" t="str" cm="1">
        <f t="array" ref="N1180">IF(M1180="","",
_xlfn.TEXTJOIN(", ",TRUE,
    _xlfn.MAP(_xlfn.TEXTSPLIT(M1180,","),_xlfn.LAMBDA(_xlpm.x,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0" t="e">
        <f>'Audit Report'!#REF!</f>
        <v>#REF!</v>
      </c>
      <c r="S1180">
        <f>'Audit Report'!N1180</f>
        <v>0</v>
      </c>
    </row>
    <row r="1181" spans="9:19">
      <c r="I1181">
        <f>'Audit Report'!E1181</f>
        <v>0</v>
      </c>
      <c r="J1181">
        <f>'Audit Report'!G1181</f>
        <v>0</v>
      </c>
      <c r="L1181" t="str">
        <f>_xlfn.TEXTJOIN(", ", FALSE, 'Audit Report'!J1181,'Audit Report'!K1181,'Audit Report'!L1181)</f>
        <v xml:space="preserve">, , </v>
      </c>
      <c r="M1181">
        <f>'Audit Report'!M1181</f>
        <v>0</v>
      </c>
      <c r="N1181" t="str" cm="1">
        <f t="array" ref="N1181">IF(M1181="","",
_xlfn.TEXTJOIN(", ",TRUE,
    _xlfn.MAP(_xlfn.TEXTSPLIT(M1181,","),_xlfn.LAMBDA(_xlpm.x,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1" t="e">
        <f>'Audit Report'!#REF!</f>
        <v>#REF!</v>
      </c>
      <c r="S1181">
        <f>'Audit Report'!N1181</f>
        <v>0</v>
      </c>
    </row>
    <row r="1182" spans="9:19">
      <c r="I1182">
        <f>'Audit Report'!E1182</f>
        <v>0</v>
      </c>
      <c r="J1182">
        <f>'Audit Report'!G1182</f>
        <v>0</v>
      </c>
      <c r="L1182" t="str">
        <f>_xlfn.TEXTJOIN(", ", FALSE, 'Audit Report'!J1182,'Audit Report'!K1182,'Audit Report'!L1182)</f>
        <v xml:space="preserve">, , </v>
      </c>
      <c r="M1182">
        <f>'Audit Report'!M1182</f>
        <v>0</v>
      </c>
      <c r="N1182" t="str" cm="1">
        <f t="array" ref="N1182">IF(M1182="","",
_xlfn.TEXTJOIN(", ",TRUE,
    _xlfn.MAP(_xlfn.TEXTSPLIT(M1182,","),_xlfn.LAMBDA(_xlpm.x,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2" t="e">
        <f>'Audit Report'!#REF!</f>
        <v>#REF!</v>
      </c>
      <c r="S1182">
        <f>'Audit Report'!N1182</f>
        <v>0</v>
      </c>
    </row>
    <row r="1183" spans="9:19">
      <c r="I1183">
        <f>'Audit Report'!E1183</f>
        <v>0</v>
      </c>
      <c r="J1183">
        <f>'Audit Report'!G1183</f>
        <v>0</v>
      </c>
      <c r="L1183" t="str">
        <f>_xlfn.TEXTJOIN(", ", FALSE, 'Audit Report'!J1183,'Audit Report'!K1183,'Audit Report'!L1183)</f>
        <v xml:space="preserve">, , </v>
      </c>
      <c r="M1183">
        <f>'Audit Report'!M1183</f>
        <v>0</v>
      </c>
      <c r="N1183" t="str" cm="1">
        <f t="array" ref="N1183">IF(M1183="","",
_xlfn.TEXTJOIN(", ",TRUE,
    _xlfn.MAP(_xlfn.TEXTSPLIT(M1183,","),_xlfn.LAMBDA(_xlpm.x,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3" t="e">
        <f>'Audit Report'!#REF!</f>
        <v>#REF!</v>
      </c>
      <c r="S1183">
        <f>'Audit Report'!N1183</f>
        <v>0</v>
      </c>
    </row>
    <row r="1184" spans="9:19">
      <c r="I1184">
        <f>'Audit Report'!E1184</f>
        <v>0</v>
      </c>
      <c r="J1184">
        <f>'Audit Report'!G1184</f>
        <v>0</v>
      </c>
      <c r="L1184" t="str">
        <f>_xlfn.TEXTJOIN(", ", FALSE, 'Audit Report'!J1184,'Audit Report'!K1184,'Audit Report'!L1184)</f>
        <v xml:space="preserve">, , </v>
      </c>
      <c r="M1184">
        <f>'Audit Report'!M1184</f>
        <v>0</v>
      </c>
      <c r="N1184" t="str" cm="1">
        <f t="array" ref="N1184">IF(M1184="","",
_xlfn.TEXTJOIN(", ",TRUE,
    _xlfn.MAP(_xlfn.TEXTSPLIT(M1184,","),_xlfn.LAMBDA(_xlpm.x,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4" t="e">
        <f>'Audit Report'!#REF!</f>
        <v>#REF!</v>
      </c>
      <c r="S1184">
        <f>'Audit Report'!N1184</f>
        <v>0</v>
      </c>
    </row>
    <row r="1185" spans="9:19">
      <c r="I1185">
        <f>'Audit Report'!E1185</f>
        <v>0</v>
      </c>
      <c r="J1185">
        <f>'Audit Report'!G1185</f>
        <v>0</v>
      </c>
      <c r="L1185" t="str">
        <f>_xlfn.TEXTJOIN(", ", FALSE, 'Audit Report'!J1185,'Audit Report'!K1185,'Audit Report'!L1185)</f>
        <v xml:space="preserve">, , </v>
      </c>
      <c r="M1185">
        <f>'Audit Report'!M1185</f>
        <v>0</v>
      </c>
      <c r="N1185" t="str" cm="1">
        <f t="array" ref="N1185">IF(M1185="","",
_xlfn.TEXTJOIN(", ",TRUE,
    _xlfn.MAP(_xlfn.TEXTSPLIT(M1185,","),_xlfn.LAMBDA(_xlpm.x,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5" t="e">
        <f>'Audit Report'!#REF!</f>
        <v>#REF!</v>
      </c>
      <c r="S1185">
        <f>'Audit Report'!N1185</f>
        <v>0</v>
      </c>
    </row>
    <row r="1186" spans="9:19">
      <c r="I1186">
        <f>'Audit Report'!E1186</f>
        <v>0</v>
      </c>
      <c r="J1186">
        <f>'Audit Report'!G1186</f>
        <v>0</v>
      </c>
      <c r="L1186" t="str">
        <f>_xlfn.TEXTJOIN(", ", FALSE, 'Audit Report'!J1186,'Audit Report'!K1186,'Audit Report'!L1186)</f>
        <v xml:space="preserve">, , </v>
      </c>
      <c r="M1186">
        <f>'Audit Report'!M1186</f>
        <v>0</v>
      </c>
      <c r="N1186" t="str" cm="1">
        <f t="array" ref="N1186">IF(M1186="","",
_xlfn.TEXTJOIN(", ",TRUE,
    _xlfn.MAP(_xlfn.TEXTSPLIT(M1186,","),_xlfn.LAMBDA(_xlpm.x,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6" t="e">
        <f>'Audit Report'!#REF!</f>
        <v>#REF!</v>
      </c>
      <c r="S1186">
        <f>'Audit Report'!N1186</f>
        <v>0</v>
      </c>
    </row>
    <row r="1187" spans="9:19">
      <c r="I1187">
        <f>'Audit Report'!E1187</f>
        <v>0</v>
      </c>
      <c r="J1187">
        <f>'Audit Report'!G1187</f>
        <v>0</v>
      </c>
      <c r="L1187" t="str">
        <f>_xlfn.TEXTJOIN(", ", FALSE, 'Audit Report'!J1187,'Audit Report'!K1187,'Audit Report'!L1187)</f>
        <v xml:space="preserve">, , </v>
      </c>
      <c r="M1187">
        <f>'Audit Report'!M1187</f>
        <v>0</v>
      </c>
      <c r="N1187" t="str" cm="1">
        <f t="array" ref="N1187">IF(M1187="","",
_xlfn.TEXTJOIN(", ",TRUE,
    _xlfn.MAP(_xlfn.TEXTSPLIT(M1187,","),_xlfn.LAMBDA(_xlpm.x,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7" t="e">
        <f>'Audit Report'!#REF!</f>
        <v>#REF!</v>
      </c>
      <c r="S1187">
        <f>'Audit Report'!N1187</f>
        <v>0</v>
      </c>
    </row>
    <row r="1188" spans="9:19">
      <c r="I1188">
        <f>'Audit Report'!E1188</f>
        <v>0</v>
      </c>
      <c r="J1188">
        <f>'Audit Report'!G1188</f>
        <v>0</v>
      </c>
      <c r="L1188" t="str">
        <f>_xlfn.TEXTJOIN(", ", FALSE, 'Audit Report'!J1188,'Audit Report'!K1188,'Audit Report'!L1188)</f>
        <v xml:space="preserve">, , </v>
      </c>
      <c r="M1188">
        <f>'Audit Report'!M1188</f>
        <v>0</v>
      </c>
      <c r="N1188" t="str" cm="1">
        <f t="array" ref="N1188">IF(M1188="","",
_xlfn.TEXTJOIN(", ",TRUE,
    _xlfn.MAP(_xlfn.TEXTSPLIT(M1188,","),_xlfn.LAMBDA(_xlpm.x,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8" t="e">
        <f>'Audit Report'!#REF!</f>
        <v>#REF!</v>
      </c>
      <c r="S1188">
        <f>'Audit Report'!N1188</f>
        <v>0</v>
      </c>
    </row>
    <row r="1189" spans="9:19">
      <c r="I1189">
        <f>'Audit Report'!E1189</f>
        <v>0</v>
      </c>
      <c r="J1189">
        <f>'Audit Report'!G1189</f>
        <v>0</v>
      </c>
      <c r="L1189" t="str">
        <f>_xlfn.TEXTJOIN(", ", FALSE, 'Audit Report'!J1189,'Audit Report'!K1189,'Audit Report'!L1189)</f>
        <v xml:space="preserve">, , </v>
      </c>
      <c r="M1189">
        <f>'Audit Report'!M1189</f>
        <v>0</v>
      </c>
      <c r="N1189" t="str" cm="1">
        <f t="array" ref="N1189">IF(M1189="","",
_xlfn.TEXTJOIN(", ",TRUE,
    _xlfn.MAP(_xlfn.TEXTSPLIT(M1189,","),_xlfn.LAMBDA(_xlpm.x,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9" t="e">
        <f>'Audit Report'!#REF!</f>
        <v>#REF!</v>
      </c>
      <c r="S1189">
        <f>'Audit Report'!N1189</f>
        <v>0</v>
      </c>
    </row>
    <row r="1190" spans="9:19">
      <c r="I1190">
        <f>'Audit Report'!E1190</f>
        <v>0</v>
      </c>
      <c r="J1190">
        <f>'Audit Report'!G1190</f>
        <v>0</v>
      </c>
      <c r="L1190" t="str">
        <f>_xlfn.TEXTJOIN(", ", FALSE, 'Audit Report'!J1190,'Audit Report'!K1190,'Audit Report'!L1190)</f>
        <v xml:space="preserve">, , </v>
      </c>
      <c r="M1190">
        <f>'Audit Report'!M1190</f>
        <v>0</v>
      </c>
      <c r="N1190" t="str" cm="1">
        <f t="array" ref="N1190">IF(M1190="","",
_xlfn.TEXTJOIN(", ",TRUE,
    _xlfn.MAP(_xlfn.TEXTSPLIT(M1190,","),_xlfn.LAMBDA(_xlpm.x,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0" t="e">
        <f>'Audit Report'!#REF!</f>
        <v>#REF!</v>
      </c>
      <c r="S1190">
        <f>'Audit Report'!N1190</f>
        <v>0</v>
      </c>
    </row>
    <row r="1191" spans="9:19">
      <c r="I1191">
        <f>'Audit Report'!E1191</f>
        <v>0</v>
      </c>
      <c r="J1191">
        <f>'Audit Report'!G1191</f>
        <v>0</v>
      </c>
      <c r="L1191" t="str">
        <f>_xlfn.TEXTJOIN(", ", FALSE, 'Audit Report'!J1191,'Audit Report'!K1191,'Audit Report'!L1191)</f>
        <v xml:space="preserve">, , </v>
      </c>
      <c r="M1191">
        <f>'Audit Report'!M1191</f>
        <v>0</v>
      </c>
      <c r="N1191" t="str" cm="1">
        <f t="array" ref="N1191">IF(M1191="","",
_xlfn.TEXTJOIN(", ",TRUE,
    _xlfn.MAP(_xlfn.TEXTSPLIT(M1191,","),_xlfn.LAMBDA(_xlpm.x,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1" t="e">
        <f>'Audit Report'!#REF!</f>
        <v>#REF!</v>
      </c>
      <c r="S1191">
        <f>'Audit Report'!N1191</f>
        <v>0</v>
      </c>
    </row>
    <row r="1192" spans="9:19">
      <c r="I1192">
        <f>'Audit Report'!E1192</f>
        <v>0</v>
      </c>
      <c r="J1192">
        <f>'Audit Report'!G1192</f>
        <v>0</v>
      </c>
      <c r="L1192" t="str">
        <f>_xlfn.TEXTJOIN(", ", FALSE, 'Audit Report'!J1192,'Audit Report'!K1192,'Audit Report'!L1192)</f>
        <v xml:space="preserve">, , </v>
      </c>
      <c r="M1192">
        <f>'Audit Report'!M1192</f>
        <v>0</v>
      </c>
      <c r="N1192" t="str" cm="1">
        <f t="array" ref="N1192">IF(M1192="","",
_xlfn.TEXTJOIN(", ",TRUE,
    _xlfn.MAP(_xlfn.TEXTSPLIT(M1192,","),_xlfn.LAMBDA(_xlpm.x,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2" t="e">
        <f>'Audit Report'!#REF!</f>
        <v>#REF!</v>
      </c>
      <c r="S1192">
        <f>'Audit Report'!N1192</f>
        <v>0</v>
      </c>
    </row>
    <row r="1193" spans="9:19">
      <c r="I1193">
        <f>'Audit Report'!E1193</f>
        <v>0</v>
      </c>
      <c r="J1193">
        <f>'Audit Report'!G1193</f>
        <v>0</v>
      </c>
      <c r="L1193" t="str">
        <f>_xlfn.TEXTJOIN(", ", FALSE, 'Audit Report'!J1193,'Audit Report'!K1193,'Audit Report'!L1193)</f>
        <v xml:space="preserve">, , </v>
      </c>
      <c r="M1193">
        <f>'Audit Report'!M1193</f>
        <v>0</v>
      </c>
      <c r="N1193" t="str" cm="1">
        <f t="array" ref="N1193">IF(M1193="","",
_xlfn.TEXTJOIN(", ",TRUE,
    _xlfn.MAP(_xlfn.TEXTSPLIT(M1193,","),_xlfn.LAMBDA(_xlpm.x,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3" t="e">
        <f>'Audit Report'!#REF!</f>
        <v>#REF!</v>
      </c>
      <c r="S1193">
        <f>'Audit Report'!N1193</f>
        <v>0</v>
      </c>
    </row>
    <row r="1194" spans="9:19">
      <c r="I1194">
        <f>'Audit Report'!E1194</f>
        <v>0</v>
      </c>
      <c r="J1194">
        <f>'Audit Report'!G1194</f>
        <v>0</v>
      </c>
      <c r="L1194" t="str">
        <f>_xlfn.TEXTJOIN(", ", FALSE, 'Audit Report'!J1194,'Audit Report'!K1194,'Audit Report'!L1194)</f>
        <v xml:space="preserve">, , </v>
      </c>
      <c r="M1194">
        <f>'Audit Report'!M1194</f>
        <v>0</v>
      </c>
      <c r="N1194" t="str" cm="1">
        <f t="array" ref="N1194">IF(M1194="","",
_xlfn.TEXTJOIN(", ",TRUE,
    _xlfn.MAP(_xlfn.TEXTSPLIT(M1194,","),_xlfn.LAMBDA(_xlpm.x,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4" t="e">
        <f>'Audit Report'!#REF!</f>
        <v>#REF!</v>
      </c>
      <c r="S1194">
        <f>'Audit Report'!N1194</f>
        <v>0</v>
      </c>
    </row>
    <row r="1195" spans="9:19">
      <c r="I1195">
        <f>'Audit Report'!E1195</f>
        <v>0</v>
      </c>
      <c r="J1195">
        <f>'Audit Report'!G1195</f>
        <v>0</v>
      </c>
      <c r="L1195" t="str">
        <f>_xlfn.TEXTJOIN(", ", FALSE, 'Audit Report'!J1195,'Audit Report'!K1195,'Audit Report'!L1195)</f>
        <v xml:space="preserve">, , </v>
      </c>
      <c r="M1195">
        <f>'Audit Report'!M1195</f>
        <v>0</v>
      </c>
      <c r="N1195" t="str" cm="1">
        <f t="array" ref="N1195">IF(M1195="","",
_xlfn.TEXTJOIN(", ",TRUE,
    _xlfn.MAP(_xlfn.TEXTSPLIT(M1195,","),_xlfn.LAMBDA(_xlpm.x,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5" t="e">
        <f>'Audit Report'!#REF!</f>
        <v>#REF!</v>
      </c>
      <c r="S1195">
        <f>'Audit Report'!N1195</f>
        <v>0</v>
      </c>
    </row>
    <row r="1196" spans="9:19">
      <c r="I1196">
        <f>'Audit Report'!E1196</f>
        <v>0</v>
      </c>
      <c r="J1196">
        <f>'Audit Report'!G1196</f>
        <v>0</v>
      </c>
      <c r="L1196" t="str">
        <f>_xlfn.TEXTJOIN(", ", FALSE, 'Audit Report'!J1196,'Audit Report'!K1196,'Audit Report'!L1196)</f>
        <v xml:space="preserve">, , </v>
      </c>
      <c r="M1196">
        <f>'Audit Report'!M1196</f>
        <v>0</v>
      </c>
      <c r="N1196" t="str" cm="1">
        <f t="array" ref="N1196">IF(M1196="","",
_xlfn.TEXTJOIN(", ",TRUE,
    _xlfn.MAP(_xlfn.TEXTSPLIT(M1196,","),_xlfn.LAMBDA(_xlpm.x,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6" t="e">
        <f>'Audit Report'!#REF!</f>
        <v>#REF!</v>
      </c>
      <c r="S1196">
        <f>'Audit Report'!N1196</f>
        <v>0</v>
      </c>
    </row>
    <row r="1197" spans="9:19">
      <c r="I1197">
        <f>'Audit Report'!E1197</f>
        <v>0</v>
      </c>
      <c r="J1197">
        <f>'Audit Report'!G1197</f>
        <v>0</v>
      </c>
      <c r="L1197" t="str">
        <f>_xlfn.TEXTJOIN(", ", FALSE, 'Audit Report'!J1197,'Audit Report'!K1197,'Audit Report'!L1197)</f>
        <v xml:space="preserve">, , </v>
      </c>
      <c r="M1197">
        <f>'Audit Report'!M1197</f>
        <v>0</v>
      </c>
      <c r="N1197" t="str" cm="1">
        <f t="array" ref="N1197">IF(M1197="","",
_xlfn.TEXTJOIN(", ",TRUE,
    _xlfn.MAP(_xlfn.TEXTSPLIT(M1197,","),_xlfn.LAMBDA(_xlpm.x,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7" t="e">
        <f>'Audit Report'!#REF!</f>
        <v>#REF!</v>
      </c>
      <c r="S1197">
        <f>'Audit Report'!N1197</f>
        <v>0</v>
      </c>
    </row>
    <row r="1198" spans="9:19">
      <c r="I1198">
        <f>'Audit Report'!E1198</f>
        <v>0</v>
      </c>
      <c r="J1198">
        <f>'Audit Report'!G1198</f>
        <v>0</v>
      </c>
      <c r="L1198" t="str">
        <f>_xlfn.TEXTJOIN(", ", FALSE, 'Audit Report'!J1198,'Audit Report'!K1198,'Audit Report'!L1198)</f>
        <v xml:space="preserve">, , </v>
      </c>
      <c r="M1198">
        <f>'Audit Report'!M1198</f>
        <v>0</v>
      </c>
      <c r="N1198" t="str" cm="1">
        <f t="array" ref="N1198">IF(M1198="","",
_xlfn.TEXTJOIN(", ",TRUE,
    _xlfn.MAP(_xlfn.TEXTSPLIT(M1198,","),_xlfn.LAMBDA(_xlpm.x,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8" t="e">
        <f>'Audit Report'!#REF!</f>
        <v>#REF!</v>
      </c>
      <c r="S1198">
        <f>'Audit Report'!N1198</f>
        <v>0</v>
      </c>
    </row>
    <row r="1199" spans="9:19">
      <c r="I1199">
        <f>'Audit Report'!E1199</f>
        <v>0</v>
      </c>
      <c r="J1199">
        <f>'Audit Report'!G1199</f>
        <v>0</v>
      </c>
      <c r="L1199" t="str">
        <f>_xlfn.TEXTJOIN(", ", FALSE, 'Audit Report'!J1199,'Audit Report'!K1199,'Audit Report'!L1199)</f>
        <v xml:space="preserve">, , </v>
      </c>
      <c r="M1199">
        <f>'Audit Report'!M1199</f>
        <v>0</v>
      </c>
      <c r="N1199" t="str" cm="1">
        <f t="array" ref="N1199">IF(M1199="","",
_xlfn.TEXTJOIN(", ",TRUE,
    _xlfn.MAP(_xlfn.TEXTSPLIT(M1199,","),_xlfn.LAMBDA(_xlpm.x,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9" t="e">
        <f>'Audit Report'!#REF!</f>
        <v>#REF!</v>
      </c>
      <c r="S1199">
        <f>'Audit Report'!N1199</f>
        <v>0</v>
      </c>
    </row>
    <row r="1200" spans="9:19">
      <c r="I1200">
        <f>'Audit Report'!E1200</f>
        <v>0</v>
      </c>
      <c r="J1200">
        <f>'Audit Report'!G1200</f>
        <v>0</v>
      </c>
      <c r="L1200" t="str">
        <f>_xlfn.TEXTJOIN(", ", FALSE, 'Audit Report'!J1200,'Audit Report'!K1200,'Audit Report'!L1200)</f>
        <v xml:space="preserve">, , </v>
      </c>
      <c r="M1200">
        <f>'Audit Report'!M1200</f>
        <v>0</v>
      </c>
      <c r="N1200" t="str" cm="1">
        <f t="array" ref="N1200">IF(M1200="","",
_xlfn.TEXTJOIN(", ",TRUE,
    _xlfn.MAP(_xlfn.TEXTSPLIT(M1200,","),_xlfn.LAMBDA(_xlpm.x,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0" t="e">
        <f>'Audit Report'!#REF!</f>
        <v>#REF!</v>
      </c>
      <c r="S1200">
        <f>'Audit Report'!N1200</f>
        <v>0</v>
      </c>
    </row>
    <row r="1201" spans="9:19">
      <c r="I1201">
        <f>'Audit Report'!E1201</f>
        <v>0</v>
      </c>
      <c r="J1201">
        <f>'Audit Report'!G1201</f>
        <v>0</v>
      </c>
      <c r="L1201" t="str">
        <f>_xlfn.TEXTJOIN(", ", FALSE, 'Audit Report'!J1201,'Audit Report'!K1201,'Audit Report'!L1201)</f>
        <v xml:space="preserve">, , </v>
      </c>
      <c r="M1201">
        <f>'Audit Report'!M1201</f>
        <v>0</v>
      </c>
      <c r="N1201" t="str" cm="1">
        <f t="array" ref="N1201">IF(M1201="","",
_xlfn.TEXTJOIN(", ",TRUE,
    _xlfn.MAP(_xlfn.TEXTSPLIT(M1201,","),_xlfn.LAMBDA(_xlpm.x,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1" t="e">
        <f>'Audit Report'!#REF!</f>
        <v>#REF!</v>
      </c>
      <c r="S1201">
        <f>'Audit Report'!N1201</f>
        <v>0</v>
      </c>
    </row>
    <row r="1202" spans="9:19">
      <c r="I1202">
        <f>'Audit Report'!E1202</f>
        <v>0</v>
      </c>
      <c r="J1202">
        <f>'Audit Report'!G1202</f>
        <v>0</v>
      </c>
      <c r="L1202" t="str">
        <f>_xlfn.TEXTJOIN(", ", FALSE, 'Audit Report'!J1202,'Audit Report'!K1202,'Audit Report'!L1202)</f>
        <v xml:space="preserve">, , </v>
      </c>
      <c r="M1202">
        <f>'Audit Report'!M1202</f>
        <v>0</v>
      </c>
      <c r="N1202" t="str" cm="1">
        <f t="array" ref="N1202">IF(M1202="","",
_xlfn.TEXTJOIN(", ",TRUE,
    _xlfn.MAP(_xlfn.TEXTSPLIT(M1202,","),_xlfn.LAMBDA(_xlpm.x,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2" t="e">
        <f>'Audit Report'!#REF!</f>
        <v>#REF!</v>
      </c>
      <c r="S1202">
        <f>'Audit Report'!N1202</f>
        <v>0</v>
      </c>
    </row>
    <row r="1203" spans="9:19">
      <c r="I1203">
        <f>'Audit Report'!E1203</f>
        <v>0</v>
      </c>
      <c r="J1203">
        <f>'Audit Report'!G1203</f>
        <v>0</v>
      </c>
      <c r="L1203" t="str">
        <f>_xlfn.TEXTJOIN(", ", FALSE, 'Audit Report'!J1203,'Audit Report'!K1203,'Audit Report'!L1203)</f>
        <v xml:space="preserve">, , </v>
      </c>
      <c r="M1203">
        <f>'Audit Report'!M1203</f>
        <v>0</v>
      </c>
      <c r="N1203" t="str" cm="1">
        <f t="array" ref="N1203">IF(M1203="","",
_xlfn.TEXTJOIN(", ",TRUE,
    _xlfn.MAP(_xlfn.TEXTSPLIT(M1203,","),_xlfn.LAMBDA(_xlpm.x,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3" t="e">
        <f>'Audit Report'!#REF!</f>
        <v>#REF!</v>
      </c>
      <c r="S1203">
        <f>'Audit Report'!N1203</f>
        <v>0</v>
      </c>
    </row>
    <row r="1204" spans="9:19">
      <c r="I1204">
        <f>'Audit Report'!E1204</f>
        <v>0</v>
      </c>
      <c r="J1204">
        <f>'Audit Report'!G1204</f>
        <v>0</v>
      </c>
      <c r="L1204" t="str">
        <f>_xlfn.TEXTJOIN(", ", FALSE, 'Audit Report'!J1204,'Audit Report'!K1204,'Audit Report'!L1204)</f>
        <v xml:space="preserve">, , </v>
      </c>
      <c r="M1204">
        <f>'Audit Report'!M1204</f>
        <v>0</v>
      </c>
      <c r="N1204" t="str" cm="1">
        <f t="array" ref="N1204">IF(M1204="","",
_xlfn.TEXTJOIN(", ",TRUE,
    _xlfn.MAP(_xlfn.TEXTSPLIT(M1204,","),_xlfn.LAMBDA(_xlpm.x,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4" t="e">
        <f>'Audit Report'!#REF!</f>
        <v>#REF!</v>
      </c>
      <c r="S1204">
        <f>'Audit Report'!N1204</f>
        <v>0</v>
      </c>
    </row>
    <row r="1205" spans="9:19">
      <c r="I1205">
        <f>'Audit Report'!E1205</f>
        <v>0</v>
      </c>
      <c r="J1205">
        <f>'Audit Report'!G1205</f>
        <v>0</v>
      </c>
      <c r="L1205" t="str">
        <f>_xlfn.TEXTJOIN(", ", FALSE, 'Audit Report'!J1205,'Audit Report'!K1205,'Audit Report'!L1205)</f>
        <v xml:space="preserve">, , </v>
      </c>
      <c r="M1205">
        <f>'Audit Report'!M1205</f>
        <v>0</v>
      </c>
      <c r="N1205" t="str" cm="1">
        <f t="array" ref="N1205">IF(M1205="","",
_xlfn.TEXTJOIN(", ",TRUE,
    _xlfn.MAP(_xlfn.TEXTSPLIT(M1205,","),_xlfn.LAMBDA(_xlpm.x,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5" t="e">
        <f>'Audit Report'!#REF!</f>
        <v>#REF!</v>
      </c>
      <c r="S1205">
        <f>'Audit Report'!N1205</f>
        <v>0</v>
      </c>
    </row>
    <row r="1206" spans="9:19">
      <c r="I1206">
        <f>'Audit Report'!E1206</f>
        <v>0</v>
      </c>
      <c r="J1206">
        <f>'Audit Report'!G1206</f>
        <v>0</v>
      </c>
      <c r="L1206" t="str">
        <f>_xlfn.TEXTJOIN(", ", FALSE, 'Audit Report'!J1206,'Audit Report'!K1206,'Audit Report'!L1206)</f>
        <v xml:space="preserve">, , </v>
      </c>
      <c r="M1206">
        <f>'Audit Report'!M1206</f>
        <v>0</v>
      </c>
      <c r="N1206" t="str" cm="1">
        <f t="array" ref="N1206">IF(M1206="","",
_xlfn.TEXTJOIN(", ",TRUE,
    _xlfn.MAP(_xlfn.TEXTSPLIT(M1206,","),_xlfn.LAMBDA(_xlpm.x,
        _xlfn.LET(
            _xlpm.item,TRIM(_xlpm.x),
            _xlpm.descCode, _xlfn.XLOOKUP(_xlpm.item,'Diagnostics Codes'!C1206:C1404,'Diagnostics Codes'!B1206:B1404,""),
            _xlpm.itadCode, IFERROR(
                INDEX('Diagnostics Codes'!B1206:B1404,
                    MATCH(TRUE,
                        _xlfn.BYROW('Diagnostics Codes'!D1206:D1404,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6" t="e">
        <f>'Audit Report'!#REF!</f>
        <v>#REF!</v>
      </c>
      <c r="S1206">
        <f>'Audit Report'!N1206</f>
        <v>0</v>
      </c>
    </row>
    <row r="1207" spans="9:19">
      <c r="I1207">
        <f>'Audit Report'!E1207</f>
        <v>0</v>
      </c>
      <c r="J1207">
        <f>'Audit Report'!G1207</f>
        <v>0</v>
      </c>
      <c r="L1207" t="str">
        <f>_xlfn.TEXTJOIN(", ", FALSE, 'Audit Report'!J1207,'Audit Report'!K1207,'Audit Report'!L1207)</f>
        <v xml:space="preserve">, , </v>
      </c>
      <c r="M1207">
        <f>'Audit Report'!M1207</f>
        <v>0</v>
      </c>
      <c r="N1207" t="str" cm="1">
        <f t="array" ref="N1207">IF(M1207="","",
_xlfn.TEXTJOIN(", ",TRUE,
    _xlfn.MAP(_xlfn.TEXTSPLIT(M1207,","),_xlfn.LAMBDA(_xlpm.x,
        _xlfn.LET(
            _xlpm.item,TRIM(_xlpm.x),
            _xlpm.descCode, _xlfn.XLOOKUP(_xlpm.item,'Diagnostics Codes'!C1207:C1405,'Diagnostics Codes'!B1207:B1405,""),
            _xlpm.itadCode, IFERROR(
                INDEX('Diagnostics Codes'!B1207:B1405,
                    MATCH(TRUE,
                        _xlfn.BYROW('Diagnostics Codes'!D1207:D1405,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7" t="e">
        <f>'Audit Report'!#REF!</f>
        <v>#REF!</v>
      </c>
      <c r="S1207">
        <f>'Audit Report'!N1207</f>
        <v>0</v>
      </c>
    </row>
    <row r="1208" spans="9:19">
      <c r="I1208">
        <f>'Audit Report'!E1208</f>
        <v>0</v>
      </c>
      <c r="J1208">
        <f>'Audit Report'!G1208</f>
        <v>0</v>
      </c>
      <c r="L1208" t="str">
        <f>_xlfn.TEXTJOIN(", ", FALSE, 'Audit Report'!J1208,'Audit Report'!K1208,'Audit Report'!L1208)</f>
        <v xml:space="preserve">, , </v>
      </c>
      <c r="M1208">
        <f>'Audit Report'!M1208</f>
        <v>0</v>
      </c>
      <c r="N1208" t="str" cm="1">
        <f t="array" ref="N1208">IF(M1208="","",
_xlfn.TEXTJOIN(", ",TRUE,
    _xlfn.MAP(_xlfn.TEXTSPLIT(M1208,","),_xlfn.LAMBDA(_xlpm.x,
        _xlfn.LET(
            _xlpm.item,TRIM(_xlpm.x),
            _xlpm.descCode, _xlfn.XLOOKUP(_xlpm.item,'Diagnostics Codes'!C1208:C1406,'Diagnostics Codes'!B1208:B1406,""),
            _xlpm.itadCode, IFERROR(
                INDEX('Diagnostics Codes'!B1208:B1406,
                    MATCH(TRUE,
                        _xlfn.BYROW('Diagnostics Codes'!D1208:D1406,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8" t="e">
        <f>'Audit Report'!#REF!</f>
        <v>#REF!</v>
      </c>
      <c r="S1208">
        <f>'Audit Report'!N1208</f>
        <v>0</v>
      </c>
    </row>
    <row r="1209" spans="9:19">
      <c r="I1209">
        <f>'Audit Report'!E1209</f>
        <v>0</v>
      </c>
      <c r="J1209">
        <f>'Audit Report'!G1209</f>
        <v>0</v>
      </c>
      <c r="L1209" t="str">
        <f>_xlfn.TEXTJOIN(", ", FALSE, 'Audit Report'!J1209,'Audit Report'!K1209,'Audit Report'!L1209)</f>
        <v xml:space="preserve">, , </v>
      </c>
      <c r="M1209">
        <f>'Audit Report'!M1209</f>
        <v>0</v>
      </c>
      <c r="N1209" t="str" cm="1">
        <f t="array" ref="N1209">IF(M1209="","",
_xlfn.TEXTJOIN(", ",TRUE,
    _xlfn.MAP(_xlfn.TEXTSPLIT(M1209,","),_xlfn.LAMBDA(_xlpm.x,
        _xlfn.LET(
            _xlpm.item,TRIM(_xlpm.x),
            _xlpm.descCode, _xlfn.XLOOKUP(_xlpm.item,'Diagnostics Codes'!C1209:C1407,'Diagnostics Codes'!B1209:B1407,""),
            _xlpm.itadCode, IFERROR(
                INDEX('Diagnostics Codes'!B1209:B1407,
                    MATCH(TRUE,
                        _xlfn.BYROW('Diagnostics Codes'!D1209:D1407,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9" t="e">
        <f>'Audit Report'!#REF!</f>
        <v>#REF!</v>
      </c>
      <c r="S1209">
        <f>'Audit Report'!N1209</f>
        <v>0</v>
      </c>
    </row>
    <row r="1210" spans="9:19">
      <c r="I1210">
        <f>'Audit Report'!E1210</f>
        <v>0</v>
      </c>
      <c r="J1210">
        <f>'Audit Report'!G1210</f>
        <v>0</v>
      </c>
      <c r="L1210" t="str">
        <f>_xlfn.TEXTJOIN(", ", FALSE, 'Audit Report'!J1210,'Audit Report'!K1210,'Audit Report'!L1210)</f>
        <v xml:space="preserve">, , </v>
      </c>
      <c r="M1210">
        <f>'Audit Report'!M1210</f>
        <v>0</v>
      </c>
      <c r="N1210" t="str" cm="1">
        <f t="array" ref="N1210">IF(M1210="","",
_xlfn.TEXTJOIN(", ",TRUE,
    _xlfn.MAP(_xlfn.TEXTSPLIT(M1210,","),_xlfn.LAMBDA(_xlpm.x,
        _xlfn.LET(
            _xlpm.item,TRIM(_xlpm.x),
            _xlpm.descCode, _xlfn.XLOOKUP(_xlpm.item,'Diagnostics Codes'!C1210:C1408,'Diagnostics Codes'!B1210:B1408,""),
            _xlpm.itadCode, IFERROR(
                INDEX('Diagnostics Codes'!B1210:B1408,
                    MATCH(TRUE,
                        _xlfn.BYROW('Diagnostics Codes'!D1210:D1408,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0" t="e">
        <f>'Audit Report'!#REF!</f>
        <v>#REF!</v>
      </c>
      <c r="S1210">
        <f>'Audit Report'!N1210</f>
        <v>0</v>
      </c>
    </row>
    <row r="1211" spans="9:19">
      <c r="I1211">
        <f>'Audit Report'!E1211</f>
        <v>0</v>
      </c>
      <c r="J1211">
        <f>'Audit Report'!G1211</f>
        <v>0</v>
      </c>
      <c r="L1211" t="str">
        <f>_xlfn.TEXTJOIN(", ", FALSE, 'Audit Report'!J1211,'Audit Report'!K1211,'Audit Report'!L1211)</f>
        <v xml:space="preserve">, , </v>
      </c>
      <c r="M1211">
        <f>'Audit Report'!M1211</f>
        <v>0</v>
      </c>
      <c r="N1211" t="str" cm="1">
        <f t="array" ref="N1211">IF(M1211="","",
_xlfn.TEXTJOIN(", ",TRUE,
    _xlfn.MAP(_xlfn.TEXTSPLIT(M1211,","),_xlfn.LAMBDA(_xlpm.x,
        _xlfn.LET(
            _xlpm.item,TRIM(_xlpm.x),
            _xlpm.descCode, _xlfn.XLOOKUP(_xlpm.item,'Diagnostics Codes'!C1211:C1409,'Diagnostics Codes'!B1211:B1409,""),
            _xlpm.itadCode, IFERROR(
                INDEX('Diagnostics Codes'!B1211:B1409,
                    MATCH(TRUE,
                        _xlfn.BYROW('Diagnostics Codes'!D1211:D1409,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1" t="e">
        <f>'Audit Report'!#REF!</f>
        <v>#REF!</v>
      </c>
      <c r="S1211">
        <f>'Audit Report'!N1211</f>
        <v>0</v>
      </c>
    </row>
    <row r="1212" spans="9:19">
      <c r="I1212">
        <f>'Audit Report'!E1212</f>
        <v>0</v>
      </c>
      <c r="J1212">
        <f>'Audit Report'!G1212</f>
        <v>0</v>
      </c>
      <c r="L1212" t="str">
        <f>_xlfn.TEXTJOIN(", ", FALSE, 'Audit Report'!J1212,'Audit Report'!K1212,'Audit Report'!L1212)</f>
        <v xml:space="preserve">, , </v>
      </c>
      <c r="M1212">
        <f>'Audit Report'!M1212</f>
        <v>0</v>
      </c>
      <c r="N1212" t="str" cm="1">
        <f t="array" ref="N1212">IF(M1212="","",
_xlfn.TEXTJOIN(", ",TRUE,
    _xlfn.MAP(_xlfn.TEXTSPLIT(M1212,","),_xlfn.LAMBDA(_xlpm.x,
        _xlfn.LET(
            _xlpm.item,TRIM(_xlpm.x),
            _xlpm.descCode, _xlfn.XLOOKUP(_xlpm.item,'Diagnostics Codes'!C1212:C1410,'Diagnostics Codes'!B1212:B1410,""),
            _xlpm.itadCode, IFERROR(
                INDEX('Diagnostics Codes'!B1212:B1410,
                    MATCH(TRUE,
                        _xlfn.BYROW('Diagnostics Codes'!D1212:D1410,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2" t="e">
        <f>'Audit Report'!#REF!</f>
        <v>#REF!</v>
      </c>
      <c r="S1212">
        <f>'Audit Report'!N1212</f>
        <v>0</v>
      </c>
    </row>
    <row r="1213" spans="9:19">
      <c r="I1213">
        <f>'Audit Report'!E1213</f>
        <v>0</v>
      </c>
      <c r="J1213">
        <f>'Audit Report'!G1213</f>
        <v>0</v>
      </c>
      <c r="L1213" t="str">
        <f>_xlfn.TEXTJOIN(", ", FALSE, 'Audit Report'!J1213,'Audit Report'!K1213,'Audit Report'!L1213)</f>
        <v xml:space="preserve">, , </v>
      </c>
      <c r="M1213">
        <f>'Audit Report'!M1213</f>
        <v>0</v>
      </c>
      <c r="N1213" t="str" cm="1">
        <f t="array" ref="N1213">IF(M1213="","",
_xlfn.TEXTJOIN(", ",TRUE,
    _xlfn.MAP(_xlfn.TEXTSPLIT(M1213,","),_xlfn.LAMBDA(_xlpm.x,
        _xlfn.LET(
            _xlpm.item,TRIM(_xlpm.x),
            _xlpm.descCode, _xlfn.XLOOKUP(_xlpm.item,'Diagnostics Codes'!C1213:C1411,'Diagnostics Codes'!B1213:B1411,""),
            _xlpm.itadCode, IFERROR(
                INDEX('Diagnostics Codes'!B1213:B1411,
                    MATCH(TRUE,
                        _xlfn.BYROW('Diagnostics Codes'!D1213:D1411,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3" t="e">
        <f>'Audit Report'!#REF!</f>
        <v>#REF!</v>
      </c>
      <c r="S1213">
        <f>'Audit Report'!N1213</f>
        <v>0</v>
      </c>
    </row>
    <row r="1214" spans="9:19">
      <c r="I1214">
        <f>'Audit Report'!E1214</f>
        <v>0</v>
      </c>
      <c r="J1214">
        <f>'Audit Report'!G1214</f>
        <v>0</v>
      </c>
      <c r="L1214" t="str">
        <f>_xlfn.TEXTJOIN(", ", FALSE, 'Audit Report'!J1214,'Audit Report'!K1214,'Audit Report'!L1214)</f>
        <v xml:space="preserve">, , </v>
      </c>
      <c r="M1214">
        <f>'Audit Report'!M1214</f>
        <v>0</v>
      </c>
      <c r="N1214" t="str" cm="1">
        <f t="array" ref="N1214">IF(M1214="","",
_xlfn.TEXTJOIN(", ",TRUE,
    _xlfn.MAP(_xlfn.TEXTSPLIT(M1214,","),_xlfn.LAMBDA(_xlpm.x,
        _xlfn.LET(
            _xlpm.item,TRIM(_xlpm.x),
            _xlpm.descCode, _xlfn.XLOOKUP(_xlpm.item,'Diagnostics Codes'!C1214:C1412,'Diagnostics Codes'!B1214:B1412,""),
            _xlpm.itadCode, IFERROR(
                INDEX('Diagnostics Codes'!B1214:B1412,
                    MATCH(TRUE,
                        _xlfn.BYROW('Diagnostics Codes'!D1214:D1412,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4" t="e">
        <f>'Audit Report'!#REF!</f>
        <v>#REF!</v>
      </c>
      <c r="S1214">
        <f>'Audit Report'!N1214</f>
        <v>0</v>
      </c>
    </row>
    <row r="1215" spans="9:19">
      <c r="I1215">
        <f>'Audit Report'!E1215</f>
        <v>0</v>
      </c>
      <c r="J1215">
        <f>'Audit Report'!G1215</f>
        <v>0</v>
      </c>
      <c r="L1215" t="str">
        <f>_xlfn.TEXTJOIN(", ", FALSE, 'Audit Report'!J1215,'Audit Report'!K1215,'Audit Report'!L1215)</f>
        <v xml:space="preserve">, , </v>
      </c>
      <c r="M1215">
        <f>'Audit Report'!M1215</f>
        <v>0</v>
      </c>
      <c r="N1215" t="str" cm="1">
        <f t="array" ref="N1215">IF(M1215="","",
_xlfn.TEXTJOIN(", ",TRUE,
    _xlfn.MAP(_xlfn.TEXTSPLIT(M1215,","),_xlfn.LAMBDA(_xlpm.x,
        _xlfn.LET(
            _xlpm.item,TRIM(_xlpm.x),
            _xlpm.descCode, _xlfn.XLOOKUP(_xlpm.item,'Diagnostics Codes'!C1215:C1413,'Diagnostics Codes'!B1215:B1413,""),
            _xlpm.itadCode, IFERROR(
                INDEX('Diagnostics Codes'!B1215:B1413,
                    MATCH(TRUE,
                        _xlfn.BYROW('Diagnostics Codes'!D1215:D1413,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5" t="e">
        <f>'Audit Report'!#REF!</f>
        <v>#REF!</v>
      </c>
      <c r="S1215">
        <f>'Audit Report'!N1215</f>
        <v>0</v>
      </c>
    </row>
    <row r="1216" spans="9:19">
      <c r="I1216">
        <f>'Audit Report'!E1216</f>
        <v>0</v>
      </c>
      <c r="J1216">
        <f>'Audit Report'!G1216</f>
        <v>0</v>
      </c>
      <c r="L1216" t="str">
        <f>_xlfn.TEXTJOIN(", ", FALSE, 'Audit Report'!J1216,'Audit Report'!K1216,'Audit Report'!L1216)</f>
        <v xml:space="preserve">, , </v>
      </c>
      <c r="M1216">
        <f>'Audit Report'!M1216</f>
        <v>0</v>
      </c>
      <c r="N1216" t="str" cm="1">
        <f t="array" ref="N1216">IF(M1216="","",
_xlfn.TEXTJOIN(", ",TRUE,
    _xlfn.MAP(_xlfn.TEXTSPLIT(M1216,","),_xlfn.LAMBDA(_xlpm.x,
        _xlfn.LET(
            _xlpm.item,TRIM(_xlpm.x),
            _xlpm.descCode, _xlfn.XLOOKUP(_xlpm.item,'Diagnostics Codes'!C1216:C1414,'Diagnostics Codes'!B1216:B1414,""),
            _xlpm.itadCode, IFERROR(
                INDEX('Diagnostics Codes'!B1216:B1414,
                    MATCH(TRUE,
                        _xlfn.BYROW('Diagnostics Codes'!D1216:D1414,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6" t="e">
        <f>'Audit Report'!#REF!</f>
        <v>#REF!</v>
      </c>
      <c r="S1216">
        <f>'Audit Report'!N1216</f>
        <v>0</v>
      </c>
    </row>
    <row r="1217" spans="9:19">
      <c r="I1217">
        <f>'Audit Report'!E1217</f>
        <v>0</v>
      </c>
      <c r="J1217">
        <f>'Audit Report'!G1217</f>
        <v>0</v>
      </c>
      <c r="L1217" t="str">
        <f>_xlfn.TEXTJOIN(", ", FALSE, 'Audit Report'!J1217,'Audit Report'!K1217,'Audit Report'!L1217)</f>
        <v xml:space="preserve">, , </v>
      </c>
      <c r="M1217">
        <f>'Audit Report'!M1217</f>
        <v>0</v>
      </c>
      <c r="N1217" t="str" cm="1">
        <f t="array" ref="N1217">IF(M1217="","",
_xlfn.TEXTJOIN(", ",TRUE,
    _xlfn.MAP(_xlfn.TEXTSPLIT(M1217,","),_xlfn.LAMBDA(_xlpm.x,
        _xlfn.LET(
            _xlpm.item,TRIM(_xlpm.x),
            _xlpm.descCode, _xlfn.XLOOKUP(_xlpm.item,'Diagnostics Codes'!C1217:C1415,'Diagnostics Codes'!B1217:B1415,""),
            _xlpm.itadCode, IFERROR(
                INDEX('Diagnostics Codes'!B1217:B1415,
                    MATCH(TRUE,
                        _xlfn.BYROW('Diagnostics Codes'!D1217:D1415,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7" t="e">
        <f>'Audit Report'!#REF!</f>
        <v>#REF!</v>
      </c>
      <c r="S1217">
        <f>'Audit Report'!N1217</f>
        <v>0</v>
      </c>
    </row>
    <row r="1218" spans="9:19">
      <c r="I1218">
        <f>'Audit Report'!E1218</f>
        <v>0</v>
      </c>
      <c r="J1218">
        <f>'Audit Report'!G1218</f>
        <v>0</v>
      </c>
      <c r="L1218" t="str">
        <f>_xlfn.TEXTJOIN(", ", FALSE, 'Audit Report'!J1218,'Audit Report'!K1218,'Audit Report'!L1218)</f>
        <v xml:space="preserve">, , </v>
      </c>
      <c r="M1218">
        <f>'Audit Report'!M1218</f>
        <v>0</v>
      </c>
      <c r="N1218" t="str" cm="1">
        <f t="array" ref="N1218">IF(M1218="","",
_xlfn.TEXTJOIN(", ",TRUE,
    _xlfn.MAP(_xlfn.TEXTSPLIT(M1218,","),_xlfn.LAMBDA(_xlpm.x,
        _xlfn.LET(
            _xlpm.item,TRIM(_xlpm.x),
            _xlpm.descCode, _xlfn.XLOOKUP(_xlpm.item,'Diagnostics Codes'!C1218:C1416,'Diagnostics Codes'!B1218:B1416,""),
            _xlpm.itadCode, IFERROR(
                INDEX('Diagnostics Codes'!B1218:B1416,
                    MATCH(TRUE,
                        _xlfn.BYROW('Diagnostics Codes'!D1218:D1416,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8" t="e">
        <f>'Audit Report'!#REF!</f>
        <v>#REF!</v>
      </c>
      <c r="S1218">
        <f>'Audit Report'!N1218</f>
        <v>0</v>
      </c>
    </row>
    <row r="1219" spans="9:19">
      <c r="I1219">
        <f>'Audit Report'!E1219</f>
        <v>0</v>
      </c>
      <c r="J1219">
        <f>'Audit Report'!G1219</f>
        <v>0</v>
      </c>
      <c r="L1219" t="str">
        <f>_xlfn.TEXTJOIN(", ", FALSE, 'Audit Report'!J1219,'Audit Report'!K1219,'Audit Report'!L1219)</f>
        <v xml:space="preserve">, , </v>
      </c>
      <c r="M1219">
        <f>'Audit Report'!M1219</f>
        <v>0</v>
      </c>
      <c r="N1219" t="str" cm="1">
        <f t="array" ref="N1219">IF(M1219="","",
_xlfn.TEXTJOIN(", ",TRUE,
    _xlfn.MAP(_xlfn.TEXTSPLIT(M1219,","),_xlfn.LAMBDA(_xlpm.x,
        _xlfn.LET(
            _xlpm.item,TRIM(_xlpm.x),
            _xlpm.descCode, _xlfn.XLOOKUP(_xlpm.item,'Diagnostics Codes'!C1219:C1417,'Diagnostics Codes'!B1219:B1417,""),
            _xlpm.itadCode, IFERROR(
                INDEX('Diagnostics Codes'!B1219:B1417,
                    MATCH(TRUE,
                        _xlfn.BYROW('Diagnostics Codes'!D1219:D1417,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9" t="e">
        <f>'Audit Report'!#REF!</f>
        <v>#REF!</v>
      </c>
      <c r="S1219">
        <f>'Audit Report'!N1219</f>
        <v>0</v>
      </c>
    </row>
    <row r="1220" spans="9:19">
      <c r="I1220">
        <f>'Audit Report'!E1220</f>
        <v>0</v>
      </c>
      <c r="J1220">
        <f>'Audit Report'!G1220</f>
        <v>0</v>
      </c>
      <c r="L1220" t="str">
        <f>_xlfn.TEXTJOIN(", ", FALSE, 'Audit Report'!J1220,'Audit Report'!K1220,'Audit Report'!L1220)</f>
        <v xml:space="preserve">, , </v>
      </c>
      <c r="M1220">
        <f>'Audit Report'!M1220</f>
        <v>0</v>
      </c>
      <c r="N1220" t="str" cm="1">
        <f t="array" ref="N1220">IF(M1220="","",
_xlfn.TEXTJOIN(", ",TRUE,
    _xlfn.MAP(_xlfn.TEXTSPLIT(M1220,","),_xlfn.LAMBDA(_xlpm.x,
        _xlfn.LET(
            _xlpm.item,TRIM(_xlpm.x),
            _xlpm.descCode, _xlfn.XLOOKUP(_xlpm.item,'Diagnostics Codes'!C1220:C1418,'Diagnostics Codes'!B1220:B1418,""),
            _xlpm.itadCode, IFERROR(
                INDEX('Diagnostics Codes'!B1220:B1418,
                    MATCH(TRUE,
                        _xlfn.BYROW('Diagnostics Codes'!D1220:D1418,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0" t="e">
        <f>'Audit Report'!#REF!</f>
        <v>#REF!</v>
      </c>
      <c r="S1220">
        <f>'Audit Report'!N1220</f>
        <v>0</v>
      </c>
    </row>
    <row r="1221" spans="9:19">
      <c r="I1221">
        <f>'Audit Report'!E1221</f>
        <v>0</v>
      </c>
      <c r="J1221">
        <f>'Audit Report'!G1221</f>
        <v>0</v>
      </c>
      <c r="L1221" t="str">
        <f>_xlfn.TEXTJOIN(", ", FALSE, 'Audit Report'!J1221,'Audit Report'!K1221,'Audit Report'!L1221)</f>
        <v xml:space="preserve">, , </v>
      </c>
      <c r="M1221">
        <f>'Audit Report'!M1221</f>
        <v>0</v>
      </c>
      <c r="N1221" t="str" cm="1">
        <f t="array" ref="N1221">IF(M1221="","",
_xlfn.TEXTJOIN(", ",TRUE,
    _xlfn.MAP(_xlfn.TEXTSPLIT(M1221,","),_xlfn.LAMBDA(_xlpm.x,
        _xlfn.LET(
            _xlpm.item,TRIM(_xlpm.x),
            _xlpm.descCode, _xlfn.XLOOKUP(_xlpm.item,'Diagnostics Codes'!C1221:C1419,'Diagnostics Codes'!B1221:B1419,""),
            _xlpm.itadCode, IFERROR(
                INDEX('Diagnostics Codes'!B1221:B1419,
                    MATCH(TRUE,
                        _xlfn.BYROW('Diagnostics Codes'!D1221:D1419,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1" t="e">
        <f>'Audit Report'!#REF!</f>
        <v>#REF!</v>
      </c>
      <c r="S1221">
        <f>'Audit Report'!N1221</f>
        <v>0</v>
      </c>
    </row>
    <row r="1222" spans="9:19">
      <c r="I1222">
        <f>'Audit Report'!E1222</f>
        <v>0</v>
      </c>
      <c r="J1222">
        <f>'Audit Report'!G1222</f>
        <v>0</v>
      </c>
      <c r="L1222" t="str">
        <f>_xlfn.TEXTJOIN(", ", FALSE, 'Audit Report'!J1222,'Audit Report'!K1222,'Audit Report'!L1222)</f>
        <v xml:space="preserve">, , </v>
      </c>
      <c r="M1222">
        <f>'Audit Report'!M1222</f>
        <v>0</v>
      </c>
      <c r="N1222" t="str" cm="1">
        <f t="array" ref="N1222">IF(M1222="","",
_xlfn.TEXTJOIN(", ",TRUE,
    _xlfn.MAP(_xlfn.TEXTSPLIT(M1222,","),_xlfn.LAMBDA(_xlpm.x,
        _xlfn.LET(
            _xlpm.item,TRIM(_xlpm.x),
            _xlpm.descCode, _xlfn.XLOOKUP(_xlpm.item,'Diagnostics Codes'!C1222:C1420,'Diagnostics Codes'!B1222:B1420,""),
            _xlpm.itadCode, IFERROR(
                INDEX('Diagnostics Codes'!B1222:B1420,
                    MATCH(TRUE,
                        _xlfn.BYROW('Diagnostics Codes'!D1222:D1420,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2" t="e">
        <f>'Audit Report'!#REF!</f>
        <v>#REF!</v>
      </c>
      <c r="S1222">
        <f>'Audit Report'!N1222</f>
        <v>0</v>
      </c>
    </row>
    <row r="1223" spans="9:19">
      <c r="I1223">
        <f>'Audit Report'!E1223</f>
        <v>0</v>
      </c>
      <c r="J1223">
        <f>'Audit Report'!G1223</f>
        <v>0</v>
      </c>
      <c r="L1223" t="str">
        <f>_xlfn.TEXTJOIN(", ", FALSE, 'Audit Report'!J1223,'Audit Report'!K1223,'Audit Report'!L1223)</f>
        <v xml:space="preserve">, , </v>
      </c>
      <c r="M1223">
        <f>'Audit Report'!M1223</f>
        <v>0</v>
      </c>
      <c r="N1223" t="str" cm="1">
        <f t="array" ref="N1223">IF(M1223="","",
_xlfn.TEXTJOIN(", ",TRUE,
    _xlfn.MAP(_xlfn.TEXTSPLIT(M1223,","),_xlfn.LAMBDA(_xlpm.x,
        _xlfn.LET(
            _xlpm.item,TRIM(_xlpm.x),
            _xlpm.descCode, _xlfn.XLOOKUP(_xlpm.item,'Diagnostics Codes'!C1223:C1421,'Diagnostics Codes'!B1223:B1421,""),
            _xlpm.itadCode, IFERROR(
                INDEX('Diagnostics Codes'!B1223:B1421,
                    MATCH(TRUE,
                        _xlfn.BYROW('Diagnostics Codes'!D1223:D1421,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3" t="e">
        <f>'Audit Report'!#REF!</f>
        <v>#REF!</v>
      </c>
      <c r="S1223">
        <f>'Audit Report'!N1223</f>
        <v>0</v>
      </c>
    </row>
    <row r="1224" spans="9:19">
      <c r="I1224">
        <f>'Audit Report'!E1224</f>
        <v>0</v>
      </c>
      <c r="J1224">
        <f>'Audit Report'!G1224</f>
        <v>0</v>
      </c>
      <c r="L1224" t="str">
        <f>_xlfn.TEXTJOIN(", ", FALSE, 'Audit Report'!J1224,'Audit Report'!K1224,'Audit Report'!L1224)</f>
        <v xml:space="preserve">, , </v>
      </c>
      <c r="M1224">
        <f>'Audit Report'!M1224</f>
        <v>0</v>
      </c>
      <c r="N1224" t="str" cm="1">
        <f t="array" ref="N1224">IF(M1224="","",
_xlfn.TEXTJOIN(", ",TRUE,
    _xlfn.MAP(_xlfn.TEXTSPLIT(M1224,","),_xlfn.LAMBDA(_xlpm.x,
        _xlfn.LET(
            _xlpm.item,TRIM(_xlpm.x),
            _xlpm.descCode, _xlfn.XLOOKUP(_xlpm.item,'Diagnostics Codes'!C1224:C1422,'Diagnostics Codes'!B1224:B1422,""),
            _xlpm.itadCode, IFERROR(
                INDEX('Diagnostics Codes'!B1224:B1422,
                    MATCH(TRUE,
                        _xlfn.BYROW('Diagnostics Codes'!D1224:D1422,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4" t="e">
        <f>'Audit Report'!#REF!</f>
        <v>#REF!</v>
      </c>
      <c r="S1224">
        <f>'Audit Report'!N1224</f>
        <v>0</v>
      </c>
    </row>
    <row r="1225" spans="9:19">
      <c r="I1225">
        <f>'Audit Report'!E1225</f>
        <v>0</v>
      </c>
      <c r="J1225">
        <f>'Audit Report'!G1225</f>
        <v>0</v>
      </c>
      <c r="L1225" t="str">
        <f>_xlfn.TEXTJOIN(", ", FALSE, 'Audit Report'!J1225,'Audit Report'!K1225,'Audit Report'!L1225)</f>
        <v xml:space="preserve">, , </v>
      </c>
      <c r="M1225">
        <f>'Audit Report'!M1225</f>
        <v>0</v>
      </c>
      <c r="N1225" t="str" cm="1">
        <f t="array" ref="N1225">IF(M1225="","",
_xlfn.TEXTJOIN(", ",TRUE,
    _xlfn.MAP(_xlfn.TEXTSPLIT(M1225,","),_xlfn.LAMBDA(_xlpm.x,
        _xlfn.LET(
            _xlpm.item,TRIM(_xlpm.x),
            _xlpm.descCode, _xlfn.XLOOKUP(_xlpm.item,'Diagnostics Codes'!C1225:C1423,'Diagnostics Codes'!B1225:B1423,""),
            _xlpm.itadCode, IFERROR(
                INDEX('Diagnostics Codes'!B1225:B1423,
                    MATCH(TRUE,
                        _xlfn.BYROW('Diagnostics Codes'!D1225:D1423,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5" t="e">
        <f>'Audit Report'!#REF!</f>
        <v>#REF!</v>
      </c>
      <c r="S1225">
        <f>'Audit Report'!N1225</f>
        <v>0</v>
      </c>
    </row>
    <row r="1226" spans="9:19">
      <c r="I1226">
        <f>'Audit Report'!E1226</f>
        <v>0</v>
      </c>
      <c r="J1226">
        <f>'Audit Report'!G1226</f>
        <v>0</v>
      </c>
      <c r="L1226" t="str">
        <f>_xlfn.TEXTJOIN(", ", FALSE, 'Audit Report'!J1226,'Audit Report'!K1226,'Audit Report'!L1226)</f>
        <v xml:space="preserve">, , </v>
      </c>
      <c r="M1226">
        <f>'Audit Report'!M1226</f>
        <v>0</v>
      </c>
      <c r="N1226" t="str" cm="1">
        <f t="array" ref="N1226">IF(M1226="","",
_xlfn.TEXTJOIN(", ",TRUE,
    _xlfn.MAP(_xlfn.TEXTSPLIT(M1226,","),_xlfn.LAMBDA(_xlpm.x,
        _xlfn.LET(
            _xlpm.item,TRIM(_xlpm.x),
            _xlpm.descCode, _xlfn.XLOOKUP(_xlpm.item,'Diagnostics Codes'!C1226:C1424,'Diagnostics Codes'!B1226:B1424,""),
            _xlpm.itadCode, IFERROR(
                INDEX('Diagnostics Codes'!B1226:B1424,
                    MATCH(TRUE,
                        _xlfn.BYROW('Diagnostics Codes'!D1226:D1424,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6" t="e">
        <f>'Audit Report'!#REF!</f>
        <v>#REF!</v>
      </c>
      <c r="S1226">
        <f>'Audit Report'!N1226</f>
        <v>0</v>
      </c>
    </row>
    <row r="1227" spans="9:19">
      <c r="I1227">
        <f>'Audit Report'!E1227</f>
        <v>0</v>
      </c>
      <c r="J1227">
        <f>'Audit Report'!G1227</f>
        <v>0</v>
      </c>
      <c r="L1227" t="str">
        <f>_xlfn.TEXTJOIN(", ", FALSE, 'Audit Report'!J1227,'Audit Report'!K1227,'Audit Report'!L1227)</f>
        <v xml:space="preserve">, , </v>
      </c>
      <c r="M1227">
        <f>'Audit Report'!M1227</f>
        <v>0</v>
      </c>
      <c r="N1227" t="str" cm="1">
        <f t="array" ref="N1227">IF(M1227="","",
_xlfn.TEXTJOIN(", ",TRUE,
    _xlfn.MAP(_xlfn.TEXTSPLIT(M1227,","),_xlfn.LAMBDA(_xlpm.x,
        _xlfn.LET(
            _xlpm.item,TRIM(_xlpm.x),
            _xlpm.descCode, _xlfn.XLOOKUP(_xlpm.item,'Diagnostics Codes'!C1227:C1425,'Diagnostics Codes'!B1227:B1425,""),
            _xlpm.itadCode, IFERROR(
                INDEX('Diagnostics Codes'!B1227:B1425,
                    MATCH(TRUE,
                        _xlfn.BYROW('Diagnostics Codes'!D1227:D1425,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7" t="e">
        <f>'Audit Report'!#REF!</f>
        <v>#REF!</v>
      </c>
      <c r="S1227">
        <f>'Audit Report'!N1227</f>
        <v>0</v>
      </c>
    </row>
    <row r="1228" spans="9:19">
      <c r="I1228">
        <f>'Audit Report'!E1228</f>
        <v>0</v>
      </c>
      <c r="J1228">
        <f>'Audit Report'!G1228</f>
        <v>0</v>
      </c>
      <c r="L1228" t="str">
        <f>_xlfn.TEXTJOIN(", ", FALSE, 'Audit Report'!J1228,'Audit Report'!K1228,'Audit Report'!L1228)</f>
        <v xml:space="preserve">, , </v>
      </c>
      <c r="M1228">
        <f>'Audit Report'!M1228</f>
        <v>0</v>
      </c>
      <c r="N1228" t="str" cm="1">
        <f t="array" ref="N1228">IF(M1228="","",
_xlfn.TEXTJOIN(", ",TRUE,
    _xlfn.MAP(_xlfn.TEXTSPLIT(M1228,","),_xlfn.LAMBDA(_xlpm.x,
        _xlfn.LET(
            _xlpm.item,TRIM(_xlpm.x),
            _xlpm.descCode, _xlfn.XLOOKUP(_xlpm.item,'Diagnostics Codes'!C1228:C1426,'Diagnostics Codes'!B1228:B1426,""),
            _xlpm.itadCode, IFERROR(
                INDEX('Diagnostics Codes'!B1228:B1426,
                    MATCH(TRUE,
                        _xlfn.BYROW('Diagnostics Codes'!D1228:D1426,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8" t="e">
        <f>'Audit Report'!#REF!</f>
        <v>#REF!</v>
      </c>
      <c r="S1228">
        <f>'Audit Report'!N1228</f>
        <v>0</v>
      </c>
    </row>
    <row r="1229" spans="9:19">
      <c r="I1229">
        <f>'Audit Report'!E1229</f>
        <v>0</v>
      </c>
      <c r="J1229">
        <f>'Audit Report'!G1229</f>
        <v>0</v>
      </c>
      <c r="L1229" t="str">
        <f>_xlfn.TEXTJOIN(", ", FALSE, 'Audit Report'!J1229,'Audit Report'!K1229,'Audit Report'!L1229)</f>
        <v xml:space="preserve">, , </v>
      </c>
      <c r="M1229">
        <f>'Audit Report'!M1229</f>
        <v>0</v>
      </c>
      <c r="N1229" t="str" cm="1">
        <f t="array" ref="N1229">IF(M1229="","",
_xlfn.TEXTJOIN(", ",TRUE,
    _xlfn.MAP(_xlfn.TEXTSPLIT(M1229,","),_xlfn.LAMBDA(_xlpm.x,
        _xlfn.LET(
            _xlpm.item,TRIM(_xlpm.x),
            _xlpm.descCode, _xlfn.XLOOKUP(_xlpm.item,'Diagnostics Codes'!C1229:C1427,'Diagnostics Codes'!B1229:B1427,""),
            _xlpm.itadCode, IFERROR(
                INDEX('Diagnostics Codes'!B1229:B1427,
                    MATCH(TRUE,
                        _xlfn.BYROW('Diagnostics Codes'!D1229:D1427,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9" t="e">
        <f>'Audit Report'!#REF!</f>
        <v>#REF!</v>
      </c>
      <c r="S1229">
        <f>'Audit Report'!N1229</f>
        <v>0</v>
      </c>
    </row>
    <row r="1230" spans="9:19">
      <c r="I1230">
        <f>'Audit Report'!E1230</f>
        <v>0</v>
      </c>
      <c r="J1230">
        <f>'Audit Report'!G1230</f>
        <v>0</v>
      </c>
      <c r="L1230" t="str">
        <f>_xlfn.TEXTJOIN(", ", FALSE, 'Audit Report'!J1230,'Audit Report'!K1230,'Audit Report'!L1230)</f>
        <v xml:space="preserve">, , </v>
      </c>
      <c r="M1230">
        <f>'Audit Report'!M1230</f>
        <v>0</v>
      </c>
      <c r="N1230" t="str" cm="1">
        <f t="array" ref="N1230">IF(M1230="","",
_xlfn.TEXTJOIN(", ",TRUE,
    _xlfn.MAP(_xlfn.TEXTSPLIT(M1230,","),_xlfn.LAMBDA(_xlpm.x,
        _xlfn.LET(
            _xlpm.item,TRIM(_xlpm.x),
            _xlpm.descCode, _xlfn.XLOOKUP(_xlpm.item,'Diagnostics Codes'!C1230:C1428,'Diagnostics Codes'!B1230:B1428,""),
            _xlpm.itadCode, IFERROR(
                INDEX('Diagnostics Codes'!B1230:B1428,
                    MATCH(TRUE,
                        _xlfn.BYROW('Diagnostics Codes'!D1230:D1428,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30" t="e">
        <f>'Audit Report'!#REF!</f>
        <v>#REF!</v>
      </c>
      <c r="S1230">
        <f>'Audit Report'!N1230</f>
        <v>0</v>
      </c>
    </row>
    <row r="1231" spans="9:19">
      <c r="I1231">
        <f>'Audit Report'!E1231</f>
        <v>0</v>
      </c>
      <c r="J1231">
        <f>'Audit Report'!G1231</f>
        <v>0</v>
      </c>
      <c r="L1231" t="str">
        <f>_xlfn.TEXTJOIN(", ", FALSE, 'Audit Report'!J1231,'Audit Report'!K1231,'Audit Report'!L1231)</f>
        <v xml:space="preserve">, , </v>
      </c>
      <c r="M1231">
        <f>'Audit Report'!M1231</f>
        <v>0</v>
      </c>
      <c r="R1231" t="e">
        <f>'Audit Report'!#REF!</f>
        <v>#REF!</v>
      </c>
      <c r="S1231">
        <f>'Audit Report'!N1231</f>
        <v>0</v>
      </c>
    </row>
    <row r="1232" spans="9:19">
      <c r="I1232">
        <f>'Audit Report'!E1232</f>
        <v>0</v>
      </c>
      <c r="J1232">
        <f>'Audit Report'!G1232</f>
        <v>0</v>
      </c>
      <c r="L1232" t="str">
        <f>_xlfn.TEXTJOIN(", ", FALSE, 'Audit Report'!J1232,'Audit Report'!K1232,'Audit Report'!L1232)</f>
        <v xml:space="preserve">, , </v>
      </c>
      <c r="M1232">
        <f>'Audit Report'!M1232</f>
        <v>0</v>
      </c>
      <c r="R1232" t="e">
        <f>'Audit Report'!#REF!</f>
        <v>#REF!</v>
      </c>
      <c r="S1232">
        <f>'Audit Report'!N1232</f>
        <v>0</v>
      </c>
    </row>
    <row r="1233" spans="9:19">
      <c r="I1233">
        <f>'Audit Report'!E1233</f>
        <v>0</v>
      </c>
      <c r="J1233">
        <f>'Audit Report'!G1233</f>
        <v>0</v>
      </c>
      <c r="L1233" t="str">
        <f>_xlfn.TEXTJOIN(", ", FALSE, 'Audit Report'!J1233,'Audit Report'!K1233,'Audit Report'!L1233)</f>
        <v xml:space="preserve">, , </v>
      </c>
      <c r="M1233">
        <f>'Audit Report'!M1233</f>
        <v>0</v>
      </c>
      <c r="R1233" t="e">
        <f>'Audit Report'!#REF!</f>
        <v>#REF!</v>
      </c>
      <c r="S1233">
        <f>'Audit Report'!N1233</f>
        <v>0</v>
      </c>
    </row>
    <row r="1234" spans="9:19">
      <c r="I1234">
        <f>'Audit Report'!E1234</f>
        <v>0</v>
      </c>
      <c r="J1234">
        <f>'Audit Report'!G1234</f>
        <v>0</v>
      </c>
      <c r="L1234" t="str">
        <f>_xlfn.TEXTJOIN(", ", FALSE, 'Audit Report'!J1234,'Audit Report'!K1234,'Audit Report'!L1234)</f>
        <v xml:space="preserve">, , </v>
      </c>
      <c r="M1234">
        <f>'Audit Report'!M1234</f>
        <v>0</v>
      </c>
      <c r="R1234" t="e">
        <f>'Audit Report'!#REF!</f>
        <v>#REF!</v>
      </c>
      <c r="S1234">
        <f>'Audit Report'!N1234</f>
        <v>0</v>
      </c>
    </row>
    <row r="1235" spans="9:19">
      <c r="I1235">
        <f>'Audit Report'!E1235</f>
        <v>0</v>
      </c>
      <c r="J1235">
        <f>'Audit Report'!G1235</f>
        <v>0</v>
      </c>
      <c r="L1235" t="str">
        <f>_xlfn.TEXTJOIN(", ", FALSE, 'Audit Report'!J1235,'Audit Report'!K1235,'Audit Report'!L1235)</f>
        <v xml:space="preserve">, , </v>
      </c>
      <c r="M1235">
        <f>'Audit Report'!M1235</f>
        <v>0</v>
      </c>
      <c r="R1235" t="e">
        <f>'Audit Report'!#REF!</f>
        <v>#REF!</v>
      </c>
      <c r="S1235">
        <f>'Audit Report'!N1235</f>
        <v>0</v>
      </c>
    </row>
    <row r="1236" spans="9:19">
      <c r="I1236">
        <f>'Audit Report'!E1236</f>
        <v>0</v>
      </c>
      <c r="J1236">
        <f>'Audit Report'!G1236</f>
        <v>0</v>
      </c>
      <c r="L1236" t="str">
        <f>_xlfn.TEXTJOIN(", ", FALSE, 'Audit Report'!J1236,'Audit Report'!K1236,'Audit Report'!L1236)</f>
        <v xml:space="preserve">, , </v>
      </c>
      <c r="M1236">
        <f>'Audit Report'!M1236</f>
        <v>0</v>
      </c>
      <c r="R1236" t="e">
        <f>'Audit Report'!#REF!</f>
        <v>#REF!</v>
      </c>
      <c r="S1236">
        <f>'Audit Report'!N1236</f>
        <v>0</v>
      </c>
    </row>
    <row r="1237" spans="9:19">
      <c r="I1237">
        <f>'Audit Report'!E1237</f>
        <v>0</v>
      </c>
      <c r="J1237">
        <f>'Audit Report'!G1237</f>
        <v>0</v>
      </c>
      <c r="L1237" t="str">
        <f>_xlfn.TEXTJOIN(", ", FALSE, 'Audit Report'!J1237,'Audit Report'!K1237,'Audit Report'!L1237)</f>
        <v xml:space="preserve">, , </v>
      </c>
      <c r="M1237">
        <f>'Audit Report'!M1237</f>
        <v>0</v>
      </c>
      <c r="R1237" t="e">
        <f>'Audit Report'!#REF!</f>
        <v>#REF!</v>
      </c>
      <c r="S1237">
        <f>'Audit Report'!N1237</f>
        <v>0</v>
      </c>
    </row>
    <row r="1238" spans="9:19">
      <c r="I1238">
        <f>'Audit Report'!E1238</f>
        <v>0</v>
      </c>
      <c r="J1238">
        <f>'Audit Report'!G1238</f>
        <v>0</v>
      </c>
      <c r="L1238" t="str">
        <f>_xlfn.TEXTJOIN(", ", FALSE, 'Audit Report'!J1238,'Audit Report'!K1238,'Audit Report'!L1238)</f>
        <v xml:space="preserve">, , </v>
      </c>
      <c r="M1238">
        <f>'Audit Report'!M1238</f>
        <v>0</v>
      </c>
      <c r="R1238" t="e">
        <f>'Audit Report'!#REF!</f>
        <v>#REF!</v>
      </c>
      <c r="S1238">
        <f>'Audit Report'!N1238</f>
        <v>0</v>
      </c>
    </row>
    <row r="1239" spans="9:19">
      <c r="I1239">
        <f>'Audit Report'!E1239</f>
        <v>0</v>
      </c>
      <c r="J1239">
        <f>'Audit Report'!G1239</f>
        <v>0</v>
      </c>
      <c r="L1239" t="str">
        <f>_xlfn.TEXTJOIN(", ", FALSE, 'Audit Report'!J1239,'Audit Report'!K1239,'Audit Report'!L1239)</f>
        <v xml:space="preserve">, , </v>
      </c>
      <c r="M1239">
        <f>'Audit Report'!M1239</f>
        <v>0</v>
      </c>
      <c r="R1239" t="e">
        <f>'Audit Report'!#REF!</f>
        <v>#REF!</v>
      </c>
      <c r="S1239">
        <f>'Audit Report'!N1239</f>
        <v>0</v>
      </c>
    </row>
    <row r="1240" spans="9:19">
      <c r="I1240">
        <f>'Audit Report'!E1240</f>
        <v>0</v>
      </c>
      <c r="J1240">
        <f>'Audit Report'!G1240</f>
        <v>0</v>
      </c>
      <c r="L1240" t="str">
        <f>_xlfn.TEXTJOIN(", ", FALSE, 'Audit Report'!J1240,'Audit Report'!K1240,'Audit Report'!L1240)</f>
        <v xml:space="preserve">, , </v>
      </c>
      <c r="M1240">
        <f>'Audit Report'!M1240</f>
        <v>0</v>
      </c>
      <c r="R1240" t="e">
        <f>'Audit Report'!#REF!</f>
        <v>#REF!</v>
      </c>
      <c r="S1240">
        <f>'Audit Report'!N1240</f>
        <v>0</v>
      </c>
    </row>
    <row r="1241" spans="9:19">
      <c r="I1241">
        <f>'Audit Report'!E1241</f>
        <v>0</v>
      </c>
      <c r="J1241">
        <f>'Audit Report'!G1241</f>
        <v>0</v>
      </c>
      <c r="L1241" t="str">
        <f>_xlfn.TEXTJOIN(", ", FALSE, 'Audit Report'!J1241,'Audit Report'!K1241,'Audit Report'!L1241)</f>
        <v xml:space="preserve">, , </v>
      </c>
      <c r="M1241">
        <f>'Audit Report'!M1241</f>
        <v>0</v>
      </c>
      <c r="R1241" t="e">
        <f>'Audit Report'!#REF!</f>
        <v>#REF!</v>
      </c>
      <c r="S1241">
        <f>'Audit Report'!N1241</f>
        <v>0</v>
      </c>
    </row>
    <row r="1242" spans="9:19">
      <c r="I1242">
        <f>'Audit Report'!E1242</f>
        <v>0</v>
      </c>
      <c r="J1242">
        <f>'Audit Report'!G1242</f>
        <v>0</v>
      </c>
      <c r="L1242" t="str">
        <f>_xlfn.TEXTJOIN(", ", FALSE, 'Audit Report'!J1242,'Audit Report'!K1242,'Audit Report'!L1242)</f>
        <v xml:space="preserve">, , </v>
      </c>
      <c r="M1242">
        <f>'Audit Report'!M1242</f>
        <v>0</v>
      </c>
      <c r="R1242" t="e">
        <f>'Audit Report'!#REF!</f>
        <v>#REF!</v>
      </c>
      <c r="S1242">
        <f>'Audit Report'!N1242</f>
        <v>0</v>
      </c>
    </row>
    <row r="1243" spans="9:19">
      <c r="I1243">
        <f>'Audit Report'!E1243</f>
        <v>0</v>
      </c>
      <c r="J1243">
        <f>'Audit Report'!G1243</f>
        <v>0</v>
      </c>
      <c r="L1243" t="str">
        <f>_xlfn.TEXTJOIN(", ", FALSE, 'Audit Report'!J1243,'Audit Report'!K1243,'Audit Report'!L1243)</f>
        <v xml:space="preserve">, , </v>
      </c>
      <c r="M1243">
        <f>'Audit Report'!M1243</f>
        <v>0</v>
      </c>
      <c r="R1243" t="e">
        <f>'Audit Report'!#REF!</f>
        <v>#REF!</v>
      </c>
      <c r="S1243">
        <f>'Audit Report'!N1243</f>
        <v>0</v>
      </c>
    </row>
    <row r="1244" spans="9:19">
      <c r="I1244">
        <f>'Audit Report'!E1244</f>
        <v>0</v>
      </c>
      <c r="J1244">
        <f>'Audit Report'!G1244</f>
        <v>0</v>
      </c>
      <c r="L1244" t="str">
        <f>_xlfn.TEXTJOIN(", ", FALSE, 'Audit Report'!J1244,'Audit Report'!K1244,'Audit Report'!L1244)</f>
        <v xml:space="preserve">, , </v>
      </c>
      <c r="M1244">
        <f>'Audit Report'!M1244</f>
        <v>0</v>
      </c>
      <c r="R1244" t="e">
        <f>'Audit Report'!#REF!</f>
        <v>#REF!</v>
      </c>
      <c r="S1244">
        <f>'Audit Report'!N1244</f>
        <v>0</v>
      </c>
    </row>
    <row r="1245" spans="9:19">
      <c r="I1245">
        <f>'Audit Report'!E1245</f>
        <v>0</v>
      </c>
      <c r="J1245">
        <f>'Audit Report'!G1245</f>
        <v>0</v>
      </c>
      <c r="L1245" t="str">
        <f>_xlfn.TEXTJOIN(", ", FALSE, 'Audit Report'!J1245,'Audit Report'!K1245,'Audit Report'!L1245)</f>
        <v xml:space="preserve">, , </v>
      </c>
      <c r="M1245">
        <f>'Audit Report'!M1245</f>
        <v>0</v>
      </c>
      <c r="R1245" t="e">
        <f>'Audit Report'!#REF!</f>
        <v>#REF!</v>
      </c>
      <c r="S1245">
        <f>'Audit Report'!N1245</f>
        <v>0</v>
      </c>
    </row>
    <row r="1246" spans="9:19">
      <c r="I1246">
        <f>'Audit Report'!E1246</f>
        <v>0</v>
      </c>
      <c r="J1246">
        <f>'Audit Report'!G1246</f>
        <v>0</v>
      </c>
      <c r="L1246" t="str">
        <f>_xlfn.TEXTJOIN(", ", FALSE, 'Audit Report'!J1246,'Audit Report'!K1246,'Audit Report'!L1246)</f>
        <v xml:space="preserve">, , </v>
      </c>
      <c r="M1246">
        <f>'Audit Report'!M1246</f>
        <v>0</v>
      </c>
      <c r="R1246" t="e">
        <f>'Audit Report'!#REF!</f>
        <v>#REF!</v>
      </c>
      <c r="S1246">
        <f>'Audit Report'!N1246</f>
        <v>0</v>
      </c>
    </row>
    <row r="1247" spans="9:19">
      <c r="I1247">
        <f>'Audit Report'!E1247</f>
        <v>0</v>
      </c>
      <c r="J1247">
        <f>'Audit Report'!G1247</f>
        <v>0</v>
      </c>
      <c r="L1247" t="str">
        <f>_xlfn.TEXTJOIN(", ", FALSE, 'Audit Report'!J1247,'Audit Report'!K1247,'Audit Report'!L1247)</f>
        <v xml:space="preserve">, , </v>
      </c>
      <c r="M1247">
        <f>'Audit Report'!M1247</f>
        <v>0</v>
      </c>
      <c r="R1247" t="e">
        <f>'Audit Report'!#REF!</f>
        <v>#REF!</v>
      </c>
      <c r="S1247">
        <f>'Audit Report'!N1247</f>
        <v>0</v>
      </c>
    </row>
    <row r="1248" spans="9:19">
      <c r="I1248">
        <f>'Audit Report'!E1248</f>
        <v>0</v>
      </c>
      <c r="J1248">
        <f>'Audit Report'!G1248</f>
        <v>0</v>
      </c>
      <c r="L1248" t="str">
        <f>_xlfn.TEXTJOIN(", ", FALSE, 'Audit Report'!J1248,'Audit Report'!K1248,'Audit Report'!L1248)</f>
        <v xml:space="preserve">, , </v>
      </c>
      <c r="M1248">
        <f>'Audit Report'!M1248</f>
        <v>0</v>
      </c>
      <c r="R1248" t="e">
        <f>'Audit Report'!#REF!</f>
        <v>#REF!</v>
      </c>
      <c r="S1248">
        <f>'Audit Report'!N1248</f>
        <v>0</v>
      </c>
    </row>
    <row r="1249" spans="9:19">
      <c r="I1249">
        <f>'Audit Report'!E1249</f>
        <v>0</v>
      </c>
      <c r="J1249">
        <f>'Audit Report'!G1249</f>
        <v>0</v>
      </c>
      <c r="L1249" t="str">
        <f>_xlfn.TEXTJOIN(", ", FALSE, 'Audit Report'!J1249,'Audit Report'!K1249,'Audit Report'!L1249)</f>
        <v xml:space="preserve">, , </v>
      </c>
      <c r="M1249">
        <f>'Audit Report'!M1249</f>
        <v>0</v>
      </c>
      <c r="R1249" t="e">
        <f>'Audit Report'!#REF!</f>
        <v>#REF!</v>
      </c>
      <c r="S1249">
        <f>'Audit Report'!N1249</f>
        <v>0</v>
      </c>
    </row>
    <row r="1250" spans="9:19">
      <c r="I1250">
        <f>'Audit Report'!E1250</f>
        <v>0</v>
      </c>
      <c r="J1250">
        <f>'Audit Report'!G1250</f>
        <v>0</v>
      </c>
      <c r="L1250" t="str">
        <f>_xlfn.TEXTJOIN(", ", FALSE, 'Audit Report'!J1250,'Audit Report'!K1250,'Audit Report'!L1250)</f>
        <v xml:space="preserve">, , </v>
      </c>
      <c r="M1250">
        <f>'Audit Report'!M1250</f>
        <v>0</v>
      </c>
      <c r="R1250" t="e">
        <f>'Audit Report'!#REF!</f>
        <v>#REF!</v>
      </c>
      <c r="S1250">
        <f>'Audit Report'!N1250</f>
        <v>0</v>
      </c>
    </row>
    <row r="1251" spans="9:19">
      <c r="I1251">
        <f>'Audit Report'!E1251</f>
        <v>0</v>
      </c>
      <c r="J1251">
        <f>'Audit Report'!G1251</f>
        <v>0</v>
      </c>
      <c r="L1251" t="str">
        <f>_xlfn.TEXTJOIN(", ", FALSE, 'Audit Report'!J1251,'Audit Report'!K1251,'Audit Report'!L1251)</f>
        <v xml:space="preserve">, , </v>
      </c>
      <c r="M1251">
        <f>'Audit Report'!M1251</f>
        <v>0</v>
      </c>
      <c r="R1251" t="e">
        <f>'Audit Report'!#REF!</f>
        <v>#REF!</v>
      </c>
      <c r="S1251">
        <f>'Audit Report'!N1251</f>
        <v>0</v>
      </c>
    </row>
    <row r="1252" spans="9:19">
      <c r="I1252">
        <f>'Audit Report'!E1252</f>
        <v>0</v>
      </c>
      <c r="J1252">
        <f>'Audit Report'!G1252</f>
        <v>0</v>
      </c>
      <c r="L1252" t="str">
        <f>_xlfn.TEXTJOIN(", ", FALSE, 'Audit Report'!J1252,'Audit Report'!K1252,'Audit Report'!L1252)</f>
        <v xml:space="preserve">, , </v>
      </c>
      <c r="M1252">
        <f>'Audit Report'!M1252</f>
        <v>0</v>
      </c>
      <c r="R1252" t="e">
        <f>'Audit Report'!#REF!</f>
        <v>#REF!</v>
      </c>
      <c r="S1252">
        <f>'Audit Report'!N1252</f>
        <v>0</v>
      </c>
    </row>
    <row r="1253" spans="9:19">
      <c r="I1253">
        <f>'Audit Report'!E1253</f>
        <v>0</v>
      </c>
      <c r="J1253">
        <f>'Audit Report'!G1253</f>
        <v>0</v>
      </c>
      <c r="L1253" t="str">
        <f>_xlfn.TEXTJOIN(", ", FALSE, 'Audit Report'!J1253,'Audit Report'!K1253,'Audit Report'!L1253)</f>
        <v xml:space="preserve">, , </v>
      </c>
      <c r="M1253">
        <f>'Audit Report'!M1253</f>
        <v>0</v>
      </c>
      <c r="R1253" t="e">
        <f>'Audit Report'!#REF!</f>
        <v>#REF!</v>
      </c>
      <c r="S1253">
        <f>'Audit Report'!N1253</f>
        <v>0</v>
      </c>
    </row>
    <row r="1254" spans="9:19">
      <c r="I1254">
        <f>'Audit Report'!E1254</f>
        <v>0</v>
      </c>
      <c r="J1254">
        <f>'Audit Report'!G1254</f>
        <v>0</v>
      </c>
      <c r="L1254" t="str">
        <f>_xlfn.TEXTJOIN(", ", FALSE, 'Audit Report'!J1254,'Audit Report'!K1254,'Audit Report'!L1254)</f>
        <v xml:space="preserve">, , </v>
      </c>
      <c r="M1254">
        <f>'Audit Report'!M1254</f>
        <v>0</v>
      </c>
      <c r="R1254" t="e">
        <f>'Audit Report'!#REF!</f>
        <v>#REF!</v>
      </c>
      <c r="S1254">
        <f>'Audit Report'!N1254</f>
        <v>0</v>
      </c>
    </row>
    <row r="1255" spans="9:19">
      <c r="I1255">
        <f>'Audit Report'!E1255</f>
        <v>0</v>
      </c>
      <c r="J1255">
        <f>'Audit Report'!G1255</f>
        <v>0</v>
      </c>
      <c r="L1255" t="str">
        <f>_xlfn.TEXTJOIN(", ", FALSE, 'Audit Report'!J1255,'Audit Report'!K1255,'Audit Report'!L1255)</f>
        <v xml:space="preserve">, , </v>
      </c>
      <c r="M1255">
        <f>'Audit Report'!M1255</f>
        <v>0</v>
      </c>
      <c r="R1255" t="e">
        <f>'Audit Report'!#REF!</f>
        <v>#REF!</v>
      </c>
      <c r="S1255">
        <f>'Audit Report'!N1255</f>
        <v>0</v>
      </c>
    </row>
    <row r="1256" spans="9:19">
      <c r="I1256">
        <f>'Audit Report'!E1256</f>
        <v>0</v>
      </c>
      <c r="J1256">
        <f>'Audit Report'!G1256</f>
        <v>0</v>
      </c>
      <c r="L1256" t="str">
        <f>_xlfn.TEXTJOIN(", ", FALSE, 'Audit Report'!J1256,'Audit Report'!K1256,'Audit Report'!L1256)</f>
        <v xml:space="preserve">, , </v>
      </c>
      <c r="M1256">
        <f>'Audit Report'!M1256</f>
        <v>0</v>
      </c>
      <c r="R1256" t="e">
        <f>'Audit Report'!#REF!</f>
        <v>#REF!</v>
      </c>
      <c r="S1256">
        <f>'Audit Report'!N1256</f>
        <v>0</v>
      </c>
    </row>
    <row r="1257" spans="9:19">
      <c r="I1257">
        <f>'Audit Report'!E1257</f>
        <v>0</v>
      </c>
      <c r="J1257">
        <f>'Audit Report'!G1257</f>
        <v>0</v>
      </c>
      <c r="L1257" t="str">
        <f>_xlfn.TEXTJOIN(", ", FALSE, 'Audit Report'!J1257,'Audit Report'!K1257,'Audit Report'!L1257)</f>
        <v xml:space="preserve">, , </v>
      </c>
      <c r="M1257">
        <f>'Audit Report'!M1257</f>
        <v>0</v>
      </c>
      <c r="R1257" t="e">
        <f>'Audit Report'!#REF!</f>
        <v>#REF!</v>
      </c>
      <c r="S1257">
        <f>'Audit Report'!N1257</f>
        <v>0</v>
      </c>
    </row>
    <row r="1258" spans="9:19">
      <c r="I1258">
        <f>'Audit Report'!E1258</f>
        <v>0</v>
      </c>
      <c r="J1258">
        <f>'Audit Report'!G1258</f>
        <v>0</v>
      </c>
      <c r="L1258" t="str">
        <f>_xlfn.TEXTJOIN(", ", FALSE, 'Audit Report'!J1258,'Audit Report'!K1258,'Audit Report'!L1258)</f>
        <v xml:space="preserve">, , </v>
      </c>
      <c r="M1258">
        <f>'Audit Report'!M1258</f>
        <v>0</v>
      </c>
      <c r="R1258" t="e">
        <f>'Audit Report'!#REF!</f>
        <v>#REF!</v>
      </c>
      <c r="S1258">
        <f>'Audit Report'!N1258</f>
        <v>0</v>
      </c>
    </row>
    <row r="1259" spans="9:19">
      <c r="I1259">
        <f>'Audit Report'!E1259</f>
        <v>0</v>
      </c>
      <c r="J1259">
        <f>'Audit Report'!G1259</f>
        <v>0</v>
      </c>
      <c r="L1259" t="str">
        <f>_xlfn.TEXTJOIN(", ", FALSE, 'Audit Report'!J1259,'Audit Report'!K1259,'Audit Report'!L1259)</f>
        <v xml:space="preserve">, , </v>
      </c>
      <c r="M1259">
        <f>'Audit Report'!M1259</f>
        <v>0</v>
      </c>
      <c r="R1259" t="e">
        <f>'Audit Report'!#REF!</f>
        <v>#REF!</v>
      </c>
      <c r="S1259">
        <f>'Audit Report'!N1259</f>
        <v>0</v>
      </c>
    </row>
    <row r="1260" spans="9:19">
      <c r="I1260">
        <f>'Audit Report'!E1260</f>
        <v>0</v>
      </c>
      <c r="J1260">
        <f>'Audit Report'!G1260</f>
        <v>0</v>
      </c>
      <c r="L1260" t="str">
        <f>_xlfn.TEXTJOIN(", ", FALSE, 'Audit Report'!J1260,'Audit Report'!K1260,'Audit Report'!L1260)</f>
        <v xml:space="preserve">, , </v>
      </c>
      <c r="M1260">
        <f>'Audit Report'!M1260</f>
        <v>0</v>
      </c>
      <c r="R1260" t="e">
        <f>'Audit Report'!#REF!</f>
        <v>#REF!</v>
      </c>
      <c r="S1260">
        <f>'Audit Report'!N1260</f>
        <v>0</v>
      </c>
    </row>
    <row r="1261" spans="9:19">
      <c r="I1261">
        <f>'Audit Report'!E1261</f>
        <v>0</v>
      </c>
      <c r="J1261">
        <f>'Audit Report'!G1261</f>
        <v>0</v>
      </c>
      <c r="L1261" t="str">
        <f>_xlfn.TEXTJOIN(", ", FALSE, 'Audit Report'!J1261,'Audit Report'!K1261,'Audit Report'!L1261)</f>
        <v xml:space="preserve">, , </v>
      </c>
      <c r="M1261">
        <f>'Audit Report'!M1261</f>
        <v>0</v>
      </c>
      <c r="R1261" t="e">
        <f>'Audit Report'!#REF!</f>
        <v>#REF!</v>
      </c>
      <c r="S1261">
        <f>'Audit Report'!N1261</f>
        <v>0</v>
      </c>
    </row>
    <row r="1262" spans="9:19">
      <c r="I1262">
        <f>'Audit Report'!E1262</f>
        <v>0</v>
      </c>
      <c r="J1262">
        <f>'Audit Report'!G1262</f>
        <v>0</v>
      </c>
      <c r="L1262" t="str">
        <f>_xlfn.TEXTJOIN(", ", FALSE, 'Audit Report'!J1262,'Audit Report'!K1262,'Audit Report'!L1262)</f>
        <v xml:space="preserve">, , </v>
      </c>
      <c r="M1262">
        <f>'Audit Report'!M1262</f>
        <v>0</v>
      </c>
      <c r="R1262" t="e">
        <f>'Audit Report'!#REF!</f>
        <v>#REF!</v>
      </c>
      <c r="S1262">
        <f>'Audit Report'!N1262</f>
        <v>0</v>
      </c>
    </row>
    <row r="1263" spans="9:19">
      <c r="I1263">
        <f>'Audit Report'!E1263</f>
        <v>0</v>
      </c>
      <c r="J1263">
        <f>'Audit Report'!G1263</f>
        <v>0</v>
      </c>
      <c r="L1263" t="str">
        <f>_xlfn.TEXTJOIN(", ", FALSE, 'Audit Report'!J1263,'Audit Report'!K1263,'Audit Report'!L1263)</f>
        <v xml:space="preserve">, , </v>
      </c>
      <c r="M1263">
        <f>'Audit Report'!M1263</f>
        <v>0</v>
      </c>
      <c r="R1263" t="e">
        <f>'Audit Report'!#REF!</f>
        <v>#REF!</v>
      </c>
      <c r="S1263">
        <f>'Audit Report'!N1263</f>
        <v>0</v>
      </c>
    </row>
    <row r="1264" spans="9:19">
      <c r="I1264">
        <f>'Audit Report'!E1264</f>
        <v>0</v>
      </c>
      <c r="J1264">
        <f>'Audit Report'!G1264</f>
        <v>0</v>
      </c>
      <c r="L1264" t="str">
        <f>_xlfn.TEXTJOIN(", ", FALSE, 'Audit Report'!J1264,'Audit Report'!K1264,'Audit Report'!L1264)</f>
        <v xml:space="preserve">, , </v>
      </c>
      <c r="M1264">
        <f>'Audit Report'!M1264</f>
        <v>0</v>
      </c>
      <c r="R1264" t="e">
        <f>'Audit Report'!#REF!</f>
        <v>#REF!</v>
      </c>
      <c r="S1264">
        <f>'Audit Report'!N1264</f>
        <v>0</v>
      </c>
    </row>
    <row r="1265" spans="9:19">
      <c r="I1265">
        <f>'Audit Report'!E1265</f>
        <v>0</v>
      </c>
      <c r="J1265">
        <f>'Audit Report'!G1265</f>
        <v>0</v>
      </c>
      <c r="L1265" t="str">
        <f>_xlfn.TEXTJOIN(", ", FALSE, 'Audit Report'!J1265,'Audit Report'!K1265,'Audit Report'!L1265)</f>
        <v xml:space="preserve">, , </v>
      </c>
      <c r="M1265">
        <f>'Audit Report'!M1265</f>
        <v>0</v>
      </c>
      <c r="R1265" t="e">
        <f>'Audit Report'!#REF!</f>
        <v>#REF!</v>
      </c>
      <c r="S1265">
        <f>'Audit Report'!N1265</f>
        <v>0</v>
      </c>
    </row>
    <row r="1266" spans="9:19">
      <c r="I1266">
        <f>'Audit Report'!E1266</f>
        <v>0</v>
      </c>
      <c r="J1266">
        <f>'Audit Report'!G1266</f>
        <v>0</v>
      </c>
      <c r="L1266" t="str">
        <f>_xlfn.TEXTJOIN(", ", FALSE, 'Audit Report'!J1266,'Audit Report'!K1266,'Audit Report'!L1266)</f>
        <v xml:space="preserve">, , </v>
      </c>
      <c r="M1266">
        <f>'Audit Report'!M1266</f>
        <v>0</v>
      </c>
      <c r="R1266" t="e">
        <f>'Audit Report'!#REF!</f>
        <v>#REF!</v>
      </c>
      <c r="S1266">
        <f>'Audit Report'!N1266</f>
        <v>0</v>
      </c>
    </row>
    <row r="1267" spans="9:19">
      <c r="I1267">
        <f>'Audit Report'!E1267</f>
        <v>0</v>
      </c>
      <c r="J1267">
        <f>'Audit Report'!G1267</f>
        <v>0</v>
      </c>
      <c r="L1267" t="str">
        <f>_xlfn.TEXTJOIN(", ", FALSE, 'Audit Report'!J1267,'Audit Report'!K1267,'Audit Report'!L1267)</f>
        <v xml:space="preserve">, , </v>
      </c>
      <c r="M1267">
        <f>'Audit Report'!M1267</f>
        <v>0</v>
      </c>
      <c r="R1267" t="e">
        <f>'Audit Report'!#REF!</f>
        <v>#REF!</v>
      </c>
      <c r="S1267">
        <f>'Audit Report'!N1267</f>
        <v>0</v>
      </c>
    </row>
    <row r="1268" spans="9:19">
      <c r="I1268">
        <f>'Audit Report'!E1268</f>
        <v>0</v>
      </c>
      <c r="J1268">
        <f>'Audit Report'!G1268</f>
        <v>0</v>
      </c>
      <c r="L1268" t="str">
        <f>_xlfn.TEXTJOIN(", ", FALSE, 'Audit Report'!J1268,'Audit Report'!K1268,'Audit Report'!L1268)</f>
        <v xml:space="preserve">, , </v>
      </c>
      <c r="M1268">
        <f>'Audit Report'!M1268</f>
        <v>0</v>
      </c>
      <c r="R1268" t="e">
        <f>'Audit Report'!#REF!</f>
        <v>#REF!</v>
      </c>
      <c r="S1268">
        <f>'Audit Report'!N1268</f>
        <v>0</v>
      </c>
    </row>
    <row r="1269" spans="9:19">
      <c r="I1269">
        <f>'Audit Report'!E1269</f>
        <v>0</v>
      </c>
      <c r="J1269">
        <f>'Audit Report'!G1269</f>
        <v>0</v>
      </c>
      <c r="L1269" t="str">
        <f>_xlfn.TEXTJOIN(", ", FALSE, 'Audit Report'!J1269,'Audit Report'!K1269,'Audit Report'!L1269)</f>
        <v xml:space="preserve">, , </v>
      </c>
      <c r="M1269">
        <f>'Audit Report'!M1269</f>
        <v>0</v>
      </c>
      <c r="R1269" t="e">
        <f>'Audit Report'!#REF!</f>
        <v>#REF!</v>
      </c>
      <c r="S1269">
        <f>'Audit Report'!N1269</f>
        <v>0</v>
      </c>
    </row>
    <row r="1270" spans="9:19">
      <c r="I1270">
        <f>'Audit Report'!E1270</f>
        <v>0</v>
      </c>
      <c r="J1270">
        <f>'Audit Report'!G1270</f>
        <v>0</v>
      </c>
      <c r="L1270" t="str">
        <f>_xlfn.TEXTJOIN(", ", FALSE, 'Audit Report'!J1270,'Audit Report'!K1270,'Audit Report'!L1270)</f>
        <v xml:space="preserve">, , </v>
      </c>
      <c r="M1270">
        <f>'Audit Report'!M1270</f>
        <v>0</v>
      </c>
      <c r="R1270" t="e">
        <f>'Audit Report'!#REF!</f>
        <v>#REF!</v>
      </c>
      <c r="S1270">
        <f>'Audit Report'!N1270</f>
        <v>0</v>
      </c>
    </row>
    <row r="1271" spans="9:19">
      <c r="I1271">
        <f>'Audit Report'!E1271</f>
        <v>0</v>
      </c>
      <c r="J1271">
        <f>'Audit Report'!G1271</f>
        <v>0</v>
      </c>
      <c r="L1271" t="str">
        <f>_xlfn.TEXTJOIN(", ", FALSE, 'Audit Report'!J1271,'Audit Report'!K1271,'Audit Report'!L1271)</f>
        <v xml:space="preserve">, , </v>
      </c>
      <c r="M1271">
        <f>'Audit Report'!M1271</f>
        <v>0</v>
      </c>
      <c r="R1271" t="e">
        <f>'Audit Report'!#REF!</f>
        <v>#REF!</v>
      </c>
      <c r="S1271">
        <f>'Audit Report'!N1271</f>
        <v>0</v>
      </c>
    </row>
    <row r="1272" spans="9:19">
      <c r="I1272">
        <f>'Audit Report'!E1272</f>
        <v>0</v>
      </c>
      <c r="J1272">
        <f>'Audit Report'!G1272</f>
        <v>0</v>
      </c>
      <c r="L1272" t="str">
        <f>_xlfn.TEXTJOIN(", ", FALSE, 'Audit Report'!J1272,'Audit Report'!K1272,'Audit Report'!L1272)</f>
        <v xml:space="preserve">, , </v>
      </c>
      <c r="M1272">
        <f>'Audit Report'!M1272</f>
        <v>0</v>
      </c>
      <c r="R1272" t="e">
        <f>'Audit Report'!#REF!</f>
        <v>#REF!</v>
      </c>
      <c r="S1272">
        <f>'Audit Report'!N1272</f>
        <v>0</v>
      </c>
    </row>
    <row r="1273" spans="9:19">
      <c r="I1273">
        <f>'Audit Report'!E1273</f>
        <v>0</v>
      </c>
      <c r="J1273">
        <f>'Audit Report'!G1273</f>
        <v>0</v>
      </c>
      <c r="L1273" t="str">
        <f>_xlfn.TEXTJOIN(", ", FALSE, 'Audit Report'!J1273,'Audit Report'!K1273,'Audit Report'!L1273)</f>
        <v xml:space="preserve">, , </v>
      </c>
      <c r="M1273">
        <f>'Audit Report'!M1273</f>
        <v>0</v>
      </c>
      <c r="R1273" t="e">
        <f>'Audit Report'!#REF!</f>
        <v>#REF!</v>
      </c>
      <c r="S1273">
        <f>'Audit Report'!N1273</f>
        <v>0</v>
      </c>
    </row>
    <row r="1274" spans="9:19">
      <c r="I1274">
        <f>'Audit Report'!E1274</f>
        <v>0</v>
      </c>
      <c r="J1274">
        <f>'Audit Report'!G1274</f>
        <v>0</v>
      </c>
      <c r="L1274" t="str">
        <f>_xlfn.TEXTJOIN(", ", FALSE, 'Audit Report'!J1274,'Audit Report'!K1274,'Audit Report'!L1274)</f>
        <v xml:space="preserve">, , </v>
      </c>
      <c r="M1274">
        <f>'Audit Report'!M1274</f>
        <v>0</v>
      </c>
      <c r="R1274" t="e">
        <f>'Audit Report'!#REF!</f>
        <v>#REF!</v>
      </c>
      <c r="S1274">
        <f>'Audit Report'!N1274</f>
        <v>0</v>
      </c>
    </row>
    <row r="1275" spans="9:19">
      <c r="I1275">
        <f>'Audit Report'!E1275</f>
        <v>0</v>
      </c>
      <c r="J1275">
        <f>'Audit Report'!G1275</f>
        <v>0</v>
      </c>
      <c r="L1275" t="str">
        <f>_xlfn.TEXTJOIN(", ", FALSE, 'Audit Report'!J1275,'Audit Report'!K1275,'Audit Report'!L1275)</f>
        <v xml:space="preserve">, , </v>
      </c>
      <c r="M1275">
        <f>'Audit Report'!M1275</f>
        <v>0</v>
      </c>
      <c r="R1275" t="e">
        <f>'Audit Report'!#REF!</f>
        <v>#REF!</v>
      </c>
      <c r="S1275">
        <f>'Audit Report'!N1275</f>
        <v>0</v>
      </c>
    </row>
    <row r="1276" spans="9:19">
      <c r="I1276">
        <f>'Audit Report'!E1276</f>
        <v>0</v>
      </c>
      <c r="J1276">
        <f>'Audit Report'!G1276</f>
        <v>0</v>
      </c>
      <c r="L1276" t="str">
        <f>_xlfn.TEXTJOIN(", ", FALSE, 'Audit Report'!J1276,'Audit Report'!K1276,'Audit Report'!L1276)</f>
        <v xml:space="preserve">, , </v>
      </c>
      <c r="M1276">
        <f>'Audit Report'!M1276</f>
        <v>0</v>
      </c>
      <c r="R1276" t="e">
        <f>'Audit Report'!#REF!</f>
        <v>#REF!</v>
      </c>
      <c r="S1276">
        <f>'Audit Report'!N1276</f>
        <v>0</v>
      </c>
    </row>
    <row r="1277" spans="9:19">
      <c r="I1277">
        <f>'Audit Report'!E1277</f>
        <v>0</v>
      </c>
      <c r="J1277">
        <f>'Audit Report'!G1277</f>
        <v>0</v>
      </c>
      <c r="L1277" t="str">
        <f>_xlfn.TEXTJOIN(", ", FALSE, 'Audit Report'!J1277,'Audit Report'!K1277,'Audit Report'!L1277)</f>
        <v xml:space="preserve">, , </v>
      </c>
      <c r="M1277">
        <f>'Audit Report'!M1277</f>
        <v>0</v>
      </c>
      <c r="R1277" t="e">
        <f>'Audit Report'!#REF!</f>
        <v>#REF!</v>
      </c>
      <c r="S1277">
        <f>'Audit Report'!N1277</f>
        <v>0</v>
      </c>
    </row>
    <row r="1278" spans="9:19">
      <c r="I1278">
        <f>'Audit Report'!E1278</f>
        <v>0</v>
      </c>
      <c r="J1278">
        <f>'Audit Report'!G1278</f>
        <v>0</v>
      </c>
      <c r="L1278" t="str">
        <f>_xlfn.TEXTJOIN(", ", FALSE, 'Audit Report'!J1278,'Audit Report'!K1278,'Audit Report'!L1278)</f>
        <v xml:space="preserve">, , </v>
      </c>
      <c r="M1278">
        <f>'Audit Report'!M1278</f>
        <v>0</v>
      </c>
      <c r="R1278" t="e">
        <f>'Audit Report'!#REF!</f>
        <v>#REF!</v>
      </c>
      <c r="S1278">
        <f>'Audit Report'!N1278</f>
        <v>0</v>
      </c>
    </row>
    <row r="1279" spans="9:19">
      <c r="I1279">
        <f>'Audit Report'!E1279</f>
        <v>0</v>
      </c>
      <c r="J1279">
        <f>'Audit Report'!G1279</f>
        <v>0</v>
      </c>
      <c r="L1279" t="str">
        <f>_xlfn.TEXTJOIN(", ", FALSE, 'Audit Report'!J1279,'Audit Report'!K1279,'Audit Report'!L1279)</f>
        <v xml:space="preserve">, , </v>
      </c>
      <c r="M1279">
        <f>'Audit Report'!M1279</f>
        <v>0</v>
      </c>
      <c r="R1279" t="e">
        <f>'Audit Report'!#REF!</f>
        <v>#REF!</v>
      </c>
      <c r="S1279">
        <f>'Audit Report'!N1279</f>
        <v>0</v>
      </c>
    </row>
    <row r="1280" spans="9:19">
      <c r="I1280">
        <f>'Audit Report'!E1280</f>
        <v>0</v>
      </c>
      <c r="J1280">
        <f>'Audit Report'!G1280</f>
        <v>0</v>
      </c>
      <c r="L1280" t="str">
        <f>_xlfn.TEXTJOIN(", ", FALSE, 'Audit Report'!J1280,'Audit Report'!K1280,'Audit Report'!L1280)</f>
        <v xml:space="preserve">, , </v>
      </c>
      <c r="M1280">
        <f>'Audit Report'!M1280</f>
        <v>0</v>
      </c>
      <c r="R1280" t="e">
        <f>'Audit Report'!#REF!</f>
        <v>#REF!</v>
      </c>
      <c r="S1280">
        <f>'Audit Report'!N1280</f>
        <v>0</v>
      </c>
    </row>
    <row r="1281" spans="9:19">
      <c r="I1281">
        <f>'Audit Report'!E1281</f>
        <v>0</v>
      </c>
      <c r="J1281">
        <f>'Audit Report'!G1281</f>
        <v>0</v>
      </c>
      <c r="L1281" t="str">
        <f>_xlfn.TEXTJOIN(", ", FALSE, 'Audit Report'!J1281,'Audit Report'!K1281,'Audit Report'!L1281)</f>
        <v xml:space="preserve">, , </v>
      </c>
      <c r="M1281">
        <f>'Audit Report'!M1281</f>
        <v>0</v>
      </c>
      <c r="R1281" t="e">
        <f>'Audit Report'!#REF!</f>
        <v>#REF!</v>
      </c>
      <c r="S1281">
        <f>'Audit Report'!N1281</f>
        <v>0</v>
      </c>
    </row>
    <row r="1282" spans="9:19">
      <c r="I1282">
        <f>'Audit Report'!E1282</f>
        <v>0</v>
      </c>
      <c r="J1282">
        <f>'Audit Report'!G1282</f>
        <v>0</v>
      </c>
      <c r="L1282" t="str">
        <f>_xlfn.TEXTJOIN(", ", FALSE, 'Audit Report'!J1282,'Audit Report'!K1282,'Audit Report'!L1282)</f>
        <v xml:space="preserve">, , </v>
      </c>
      <c r="M1282">
        <f>'Audit Report'!M1282</f>
        <v>0</v>
      </c>
      <c r="R1282" t="e">
        <f>'Audit Report'!#REF!</f>
        <v>#REF!</v>
      </c>
      <c r="S1282">
        <f>'Audit Report'!N1282</f>
        <v>0</v>
      </c>
    </row>
    <row r="1283" spans="9:19">
      <c r="I1283">
        <f>'Audit Report'!E1283</f>
        <v>0</v>
      </c>
      <c r="J1283">
        <f>'Audit Report'!G1283</f>
        <v>0</v>
      </c>
      <c r="L1283" t="str">
        <f>_xlfn.TEXTJOIN(", ", FALSE, 'Audit Report'!J1283,'Audit Report'!K1283,'Audit Report'!L1283)</f>
        <v xml:space="preserve">, , </v>
      </c>
      <c r="M1283">
        <f>'Audit Report'!M1283</f>
        <v>0</v>
      </c>
      <c r="R1283" t="e">
        <f>'Audit Report'!#REF!</f>
        <v>#REF!</v>
      </c>
      <c r="S1283">
        <f>'Audit Report'!N1283</f>
        <v>0</v>
      </c>
    </row>
    <row r="1284" spans="9:19">
      <c r="I1284">
        <f>'Audit Report'!E1284</f>
        <v>0</v>
      </c>
      <c r="J1284">
        <f>'Audit Report'!G1284</f>
        <v>0</v>
      </c>
      <c r="L1284" t="str">
        <f>_xlfn.TEXTJOIN(", ", FALSE, 'Audit Report'!J1284,'Audit Report'!K1284,'Audit Report'!L1284)</f>
        <v xml:space="preserve">, , </v>
      </c>
      <c r="M1284">
        <f>'Audit Report'!M1284</f>
        <v>0</v>
      </c>
      <c r="R1284" t="e">
        <f>'Audit Report'!#REF!</f>
        <v>#REF!</v>
      </c>
      <c r="S1284">
        <f>'Audit Report'!N1284</f>
        <v>0</v>
      </c>
    </row>
    <row r="1285" spans="9:19">
      <c r="I1285">
        <f>'Audit Report'!E1285</f>
        <v>0</v>
      </c>
      <c r="J1285">
        <f>'Audit Report'!G1285</f>
        <v>0</v>
      </c>
      <c r="L1285" t="str">
        <f>_xlfn.TEXTJOIN(", ", FALSE, 'Audit Report'!J1285,'Audit Report'!K1285,'Audit Report'!L1285)</f>
        <v xml:space="preserve">, , </v>
      </c>
      <c r="M1285">
        <f>'Audit Report'!M1285</f>
        <v>0</v>
      </c>
      <c r="R1285" t="e">
        <f>'Audit Report'!#REF!</f>
        <v>#REF!</v>
      </c>
      <c r="S1285">
        <f>'Audit Report'!N1285</f>
        <v>0</v>
      </c>
    </row>
    <row r="1286" spans="9:19">
      <c r="I1286">
        <f>'Audit Report'!E1286</f>
        <v>0</v>
      </c>
      <c r="J1286">
        <f>'Audit Report'!G1286</f>
        <v>0</v>
      </c>
      <c r="L1286" t="str">
        <f>_xlfn.TEXTJOIN(", ", FALSE, 'Audit Report'!J1286,'Audit Report'!K1286,'Audit Report'!L1286)</f>
        <v xml:space="preserve">, , </v>
      </c>
      <c r="M1286">
        <f>'Audit Report'!M1286</f>
        <v>0</v>
      </c>
      <c r="R1286" t="e">
        <f>'Audit Report'!#REF!</f>
        <v>#REF!</v>
      </c>
      <c r="S1286">
        <f>'Audit Report'!N1286</f>
        <v>0</v>
      </c>
    </row>
    <row r="1287" spans="9:19">
      <c r="I1287">
        <f>'Audit Report'!E1287</f>
        <v>0</v>
      </c>
      <c r="J1287">
        <f>'Audit Report'!G1287</f>
        <v>0</v>
      </c>
      <c r="L1287" t="str">
        <f>_xlfn.TEXTJOIN(", ", FALSE, 'Audit Report'!J1287,'Audit Report'!K1287,'Audit Report'!L1287)</f>
        <v xml:space="preserve">, , </v>
      </c>
      <c r="M1287">
        <f>'Audit Report'!M1287</f>
        <v>0</v>
      </c>
      <c r="R1287" t="e">
        <f>'Audit Report'!#REF!</f>
        <v>#REF!</v>
      </c>
      <c r="S1287">
        <f>'Audit Report'!N1287</f>
        <v>0</v>
      </c>
    </row>
    <row r="1288" spans="9:19">
      <c r="I1288">
        <f>'Audit Report'!E1288</f>
        <v>0</v>
      </c>
      <c r="J1288">
        <f>'Audit Report'!G1288</f>
        <v>0</v>
      </c>
      <c r="L1288" t="str">
        <f>_xlfn.TEXTJOIN(", ", FALSE, 'Audit Report'!J1288,'Audit Report'!K1288,'Audit Report'!L1288)</f>
        <v xml:space="preserve">, , </v>
      </c>
      <c r="M1288">
        <f>'Audit Report'!M1288</f>
        <v>0</v>
      </c>
      <c r="R1288" t="e">
        <f>'Audit Report'!#REF!</f>
        <v>#REF!</v>
      </c>
      <c r="S1288">
        <f>'Audit Report'!N1288</f>
        <v>0</v>
      </c>
    </row>
    <row r="1289" spans="9:19">
      <c r="I1289">
        <f>'Audit Report'!E1289</f>
        <v>0</v>
      </c>
      <c r="J1289">
        <f>'Audit Report'!G1289</f>
        <v>0</v>
      </c>
      <c r="L1289" t="str">
        <f>_xlfn.TEXTJOIN(", ", FALSE, 'Audit Report'!J1289,'Audit Report'!K1289,'Audit Report'!L1289)</f>
        <v xml:space="preserve">, , </v>
      </c>
      <c r="M1289">
        <f>'Audit Report'!M1289</f>
        <v>0</v>
      </c>
      <c r="R1289" t="e">
        <f>'Audit Report'!#REF!</f>
        <v>#REF!</v>
      </c>
      <c r="S1289">
        <f>'Audit Report'!N1289</f>
        <v>0</v>
      </c>
    </row>
    <row r="1290" spans="9:19">
      <c r="I1290">
        <f>'Audit Report'!E1290</f>
        <v>0</v>
      </c>
      <c r="J1290">
        <f>'Audit Report'!G1290</f>
        <v>0</v>
      </c>
      <c r="L1290" t="str">
        <f>_xlfn.TEXTJOIN(", ", FALSE, 'Audit Report'!J1290,'Audit Report'!K1290,'Audit Report'!L1290)</f>
        <v xml:space="preserve">, , </v>
      </c>
      <c r="M1290">
        <f>'Audit Report'!M1290</f>
        <v>0</v>
      </c>
      <c r="R1290" t="e">
        <f>'Audit Report'!#REF!</f>
        <v>#REF!</v>
      </c>
      <c r="S1290">
        <f>'Audit Report'!N1290</f>
        <v>0</v>
      </c>
    </row>
    <row r="1291" spans="9:19">
      <c r="I1291">
        <f>'Audit Report'!E1291</f>
        <v>0</v>
      </c>
      <c r="J1291">
        <f>'Audit Report'!G1291</f>
        <v>0</v>
      </c>
      <c r="L1291" t="str">
        <f>_xlfn.TEXTJOIN(", ", FALSE, 'Audit Report'!J1291,'Audit Report'!K1291,'Audit Report'!L1291)</f>
        <v xml:space="preserve">, , </v>
      </c>
      <c r="M1291">
        <f>'Audit Report'!M1291</f>
        <v>0</v>
      </c>
      <c r="R1291" t="e">
        <f>'Audit Report'!#REF!</f>
        <v>#REF!</v>
      </c>
      <c r="S1291">
        <f>'Audit Report'!N1291</f>
        <v>0</v>
      </c>
    </row>
    <row r="1292" spans="9:19">
      <c r="I1292">
        <f>'Audit Report'!E1292</f>
        <v>0</v>
      </c>
      <c r="J1292">
        <f>'Audit Report'!G1292</f>
        <v>0</v>
      </c>
      <c r="L1292" t="str">
        <f>_xlfn.TEXTJOIN(", ", FALSE, 'Audit Report'!J1292,'Audit Report'!K1292,'Audit Report'!L1292)</f>
        <v xml:space="preserve">, , </v>
      </c>
      <c r="M1292">
        <f>'Audit Report'!M1292</f>
        <v>0</v>
      </c>
      <c r="R1292" t="e">
        <f>'Audit Report'!#REF!</f>
        <v>#REF!</v>
      </c>
      <c r="S1292">
        <f>'Audit Report'!N1292</f>
        <v>0</v>
      </c>
    </row>
    <row r="1293" spans="9:19">
      <c r="I1293">
        <f>'Audit Report'!E1293</f>
        <v>0</v>
      </c>
      <c r="J1293">
        <f>'Audit Report'!G1293</f>
        <v>0</v>
      </c>
      <c r="L1293" t="str">
        <f>_xlfn.TEXTJOIN(", ", FALSE, 'Audit Report'!J1293,'Audit Report'!K1293,'Audit Report'!L1293)</f>
        <v xml:space="preserve">, , </v>
      </c>
      <c r="M1293">
        <f>'Audit Report'!M1293</f>
        <v>0</v>
      </c>
      <c r="R1293" t="e">
        <f>'Audit Report'!#REF!</f>
        <v>#REF!</v>
      </c>
      <c r="S1293">
        <f>'Audit Report'!N1293</f>
        <v>0</v>
      </c>
    </row>
    <row r="1294" spans="9:19">
      <c r="I1294">
        <f>'Audit Report'!E1294</f>
        <v>0</v>
      </c>
      <c r="J1294">
        <f>'Audit Report'!G1294</f>
        <v>0</v>
      </c>
      <c r="L1294" t="str">
        <f>_xlfn.TEXTJOIN(", ", FALSE, 'Audit Report'!J1294,'Audit Report'!K1294,'Audit Report'!L1294)</f>
        <v xml:space="preserve">, , </v>
      </c>
      <c r="M1294">
        <f>'Audit Report'!M1294</f>
        <v>0</v>
      </c>
      <c r="R1294" t="e">
        <f>'Audit Report'!#REF!</f>
        <v>#REF!</v>
      </c>
      <c r="S1294">
        <f>'Audit Report'!N1294</f>
        <v>0</v>
      </c>
    </row>
    <row r="1295" spans="9:19">
      <c r="I1295">
        <f>'Audit Report'!E1295</f>
        <v>0</v>
      </c>
      <c r="J1295">
        <f>'Audit Report'!G1295</f>
        <v>0</v>
      </c>
      <c r="L1295" t="str">
        <f>_xlfn.TEXTJOIN(", ", FALSE, 'Audit Report'!J1295,'Audit Report'!K1295,'Audit Report'!L1295)</f>
        <v xml:space="preserve">, , </v>
      </c>
      <c r="M1295">
        <f>'Audit Report'!M1295</f>
        <v>0</v>
      </c>
      <c r="R1295" t="e">
        <f>'Audit Report'!#REF!</f>
        <v>#REF!</v>
      </c>
      <c r="S1295">
        <f>'Audit Report'!N1295</f>
        <v>0</v>
      </c>
    </row>
    <row r="1296" spans="9:19">
      <c r="I1296">
        <f>'Audit Report'!E1296</f>
        <v>0</v>
      </c>
      <c r="J1296">
        <f>'Audit Report'!G1296</f>
        <v>0</v>
      </c>
      <c r="L1296" t="str">
        <f>_xlfn.TEXTJOIN(", ", FALSE, 'Audit Report'!J1296,'Audit Report'!K1296,'Audit Report'!L1296)</f>
        <v xml:space="preserve">, , </v>
      </c>
      <c r="M1296">
        <f>'Audit Report'!M1296</f>
        <v>0</v>
      </c>
      <c r="R1296" t="e">
        <f>'Audit Report'!#REF!</f>
        <v>#REF!</v>
      </c>
      <c r="S1296">
        <f>'Audit Report'!N1296</f>
        <v>0</v>
      </c>
    </row>
    <row r="1297" spans="9:19">
      <c r="I1297">
        <f>'Audit Report'!E1297</f>
        <v>0</v>
      </c>
      <c r="J1297">
        <f>'Audit Report'!G1297</f>
        <v>0</v>
      </c>
      <c r="L1297" t="str">
        <f>_xlfn.TEXTJOIN(", ", FALSE, 'Audit Report'!J1297,'Audit Report'!K1297,'Audit Report'!L1297)</f>
        <v xml:space="preserve">, , </v>
      </c>
      <c r="M1297">
        <f>'Audit Report'!M1297</f>
        <v>0</v>
      </c>
      <c r="R1297" t="e">
        <f>'Audit Report'!#REF!</f>
        <v>#REF!</v>
      </c>
      <c r="S1297">
        <f>'Audit Report'!N1297</f>
        <v>0</v>
      </c>
    </row>
    <row r="1298" spans="9:19">
      <c r="I1298">
        <f>'Audit Report'!E1298</f>
        <v>0</v>
      </c>
      <c r="J1298">
        <f>'Audit Report'!G1298</f>
        <v>0</v>
      </c>
      <c r="L1298" t="str">
        <f>_xlfn.TEXTJOIN(", ", FALSE, 'Audit Report'!J1298,'Audit Report'!K1298,'Audit Report'!L1298)</f>
        <v xml:space="preserve">, , </v>
      </c>
      <c r="M1298">
        <f>'Audit Report'!M1298</f>
        <v>0</v>
      </c>
      <c r="R1298" t="e">
        <f>'Audit Report'!#REF!</f>
        <v>#REF!</v>
      </c>
      <c r="S1298">
        <f>'Audit Report'!N1298</f>
        <v>0</v>
      </c>
    </row>
    <row r="1299" spans="9:19">
      <c r="I1299">
        <f>'Audit Report'!E1299</f>
        <v>0</v>
      </c>
      <c r="J1299">
        <f>'Audit Report'!G1299</f>
        <v>0</v>
      </c>
      <c r="L1299" t="str">
        <f>_xlfn.TEXTJOIN(", ", FALSE, 'Audit Report'!J1299,'Audit Report'!K1299,'Audit Report'!L1299)</f>
        <v xml:space="preserve">, , </v>
      </c>
      <c r="M1299">
        <f>'Audit Report'!M1299</f>
        <v>0</v>
      </c>
      <c r="R1299" t="e">
        <f>'Audit Report'!#REF!</f>
        <v>#REF!</v>
      </c>
      <c r="S1299">
        <f>'Audit Report'!N1299</f>
        <v>0</v>
      </c>
    </row>
    <row r="1300" spans="9:19">
      <c r="I1300">
        <f>'Audit Report'!E1300</f>
        <v>0</v>
      </c>
      <c r="J1300">
        <f>'Audit Report'!G1300</f>
        <v>0</v>
      </c>
      <c r="L1300" t="str">
        <f>_xlfn.TEXTJOIN(", ", FALSE, 'Audit Report'!J1300,'Audit Report'!K1300,'Audit Report'!L1300)</f>
        <v xml:space="preserve">, , </v>
      </c>
      <c r="M1300">
        <f>'Audit Report'!M1300</f>
        <v>0</v>
      </c>
      <c r="R1300" t="e">
        <f>'Audit Report'!#REF!</f>
        <v>#REF!</v>
      </c>
      <c r="S1300">
        <f>'Audit Report'!N1300</f>
        <v>0</v>
      </c>
    </row>
    <row r="1301" spans="9:19">
      <c r="I1301">
        <f>'Audit Report'!E1301</f>
        <v>0</v>
      </c>
      <c r="J1301">
        <f>'Audit Report'!G1301</f>
        <v>0</v>
      </c>
      <c r="L1301" t="str">
        <f>_xlfn.TEXTJOIN(", ", FALSE, 'Audit Report'!J1301,'Audit Report'!K1301,'Audit Report'!L1301)</f>
        <v xml:space="preserve">, , </v>
      </c>
      <c r="M1301">
        <f>'Audit Report'!M1301</f>
        <v>0</v>
      </c>
      <c r="R1301" t="e">
        <f>'Audit Report'!#REF!</f>
        <v>#REF!</v>
      </c>
      <c r="S1301">
        <f>'Audit Report'!N1301</f>
        <v>0</v>
      </c>
    </row>
    <row r="1302" spans="9:19">
      <c r="I1302">
        <f>'Audit Report'!E1302</f>
        <v>0</v>
      </c>
      <c r="J1302">
        <f>'Audit Report'!G1302</f>
        <v>0</v>
      </c>
      <c r="L1302" t="str">
        <f>_xlfn.TEXTJOIN(", ", FALSE, 'Audit Report'!J1302,'Audit Report'!K1302,'Audit Report'!L1302)</f>
        <v xml:space="preserve">, , </v>
      </c>
      <c r="M1302">
        <f>'Audit Report'!M1302</f>
        <v>0</v>
      </c>
      <c r="R1302" t="e">
        <f>'Audit Report'!#REF!</f>
        <v>#REF!</v>
      </c>
      <c r="S1302">
        <f>'Audit Report'!N1302</f>
        <v>0</v>
      </c>
    </row>
    <row r="1303" spans="9:19">
      <c r="I1303">
        <f>'Audit Report'!E1303</f>
        <v>0</v>
      </c>
      <c r="J1303">
        <f>'Audit Report'!G1303</f>
        <v>0</v>
      </c>
      <c r="L1303" t="str">
        <f>_xlfn.TEXTJOIN(", ", FALSE, 'Audit Report'!J1303,'Audit Report'!K1303,'Audit Report'!L1303)</f>
        <v xml:space="preserve">, , </v>
      </c>
      <c r="M1303">
        <f>'Audit Report'!M1303</f>
        <v>0</v>
      </c>
      <c r="R1303" t="e">
        <f>'Audit Report'!#REF!</f>
        <v>#REF!</v>
      </c>
      <c r="S1303">
        <f>'Audit Report'!N1303</f>
        <v>0</v>
      </c>
    </row>
    <row r="1304" spans="9:19">
      <c r="I1304">
        <f>'Audit Report'!E1304</f>
        <v>0</v>
      </c>
      <c r="J1304">
        <f>'Audit Report'!G1304</f>
        <v>0</v>
      </c>
      <c r="L1304" t="str">
        <f>_xlfn.TEXTJOIN(", ", FALSE, 'Audit Report'!J1304,'Audit Report'!K1304,'Audit Report'!L1304)</f>
        <v xml:space="preserve">, , </v>
      </c>
      <c r="M1304">
        <f>'Audit Report'!M1304</f>
        <v>0</v>
      </c>
      <c r="R1304" t="e">
        <f>'Audit Report'!#REF!</f>
        <v>#REF!</v>
      </c>
      <c r="S1304">
        <f>'Audit Report'!N1304</f>
        <v>0</v>
      </c>
    </row>
    <row r="1305" spans="9:19">
      <c r="I1305">
        <f>'Audit Report'!E1305</f>
        <v>0</v>
      </c>
      <c r="J1305">
        <f>'Audit Report'!G1305</f>
        <v>0</v>
      </c>
      <c r="L1305" t="str">
        <f>_xlfn.TEXTJOIN(", ", FALSE, 'Audit Report'!J1305,'Audit Report'!K1305,'Audit Report'!L1305)</f>
        <v xml:space="preserve">, , </v>
      </c>
      <c r="M1305">
        <f>'Audit Report'!M1305</f>
        <v>0</v>
      </c>
      <c r="R1305" t="e">
        <f>'Audit Report'!#REF!</f>
        <v>#REF!</v>
      </c>
      <c r="S1305">
        <f>'Audit Report'!N1305</f>
        <v>0</v>
      </c>
    </row>
    <row r="1306" spans="9:19">
      <c r="I1306">
        <f>'Audit Report'!E1306</f>
        <v>0</v>
      </c>
      <c r="J1306">
        <f>'Audit Report'!G1306</f>
        <v>0</v>
      </c>
      <c r="L1306" t="str">
        <f>_xlfn.TEXTJOIN(", ", FALSE, 'Audit Report'!J1306,'Audit Report'!K1306,'Audit Report'!L1306)</f>
        <v xml:space="preserve">, , </v>
      </c>
      <c r="M1306">
        <f>'Audit Report'!M1306</f>
        <v>0</v>
      </c>
      <c r="R1306" t="e">
        <f>'Audit Report'!#REF!</f>
        <v>#REF!</v>
      </c>
      <c r="S1306">
        <f>'Audit Report'!N1306</f>
        <v>0</v>
      </c>
    </row>
    <row r="1307" spans="9:19">
      <c r="I1307">
        <f>'Audit Report'!E1307</f>
        <v>0</v>
      </c>
      <c r="J1307">
        <f>'Audit Report'!G1307</f>
        <v>0</v>
      </c>
      <c r="L1307" t="str">
        <f>_xlfn.TEXTJOIN(", ", FALSE, 'Audit Report'!J1307,'Audit Report'!K1307,'Audit Report'!L1307)</f>
        <v xml:space="preserve">, , </v>
      </c>
      <c r="M1307">
        <f>'Audit Report'!M1307</f>
        <v>0</v>
      </c>
      <c r="R1307" t="e">
        <f>'Audit Report'!#REF!</f>
        <v>#REF!</v>
      </c>
      <c r="S1307">
        <f>'Audit Report'!N1307</f>
        <v>0</v>
      </c>
    </row>
    <row r="1308" spans="9:19">
      <c r="I1308">
        <f>'Audit Report'!E1308</f>
        <v>0</v>
      </c>
      <c r="J1308">
        <f>'Audit Report'!G1308</f>
        <v>0</v>
      </c>
      <c r="L1308" t="str">
        <f>_xlfn.TEXTJOIN(", ", FALSE, 'Audit Report'!J1308,'Audit Report'!K1308,'Audit Report'!L1308)</f>
        <v xml:space="preserve">, , </v>
      </c>
      <c r="M1308">
        <f>'Audit Report'!M1308</f>
        <v>0</v>
      </c>
      <c r="R1308" t="e">
        <f>'Audit Report'!#REF!</f>
        <v>#REF!</v>
      </c>
      <c r="S1308">
        <f>'Audit Report'!N1308</f>
        <v>0</v>
      </c>
    </row>
    <row r="1309" spans="9:19">
      <c r="I1309">
        <f>'Audit Report'!E1309</f>
        <v>0</v>
      </c>
      <c r="J1309">
        <f>'Audit Report'!G1309</f>
        <v>0</v>
      </c>
      <c r="L1309" t="str">
        <f>_xlfn.TEXTJOIN(", ", FALSE, 'Audit Report'!J1309,'Audit Report'!K1309,'Audit Report'!L1309)</f>
        <v xml:space="preserve">, , </v>
      </c>
      <c r="M1309">
        <f>'Audit Report'!M1309</f>
        <v>0</v>
      </c>
      <c r="R1309" t="e">
        <f>'Audit Report'!#REF!</f>
        <v>#REF!</v>
      </c>
      <c r="S1309">
        <f>'Audit Report'!N1309</f>
        <v>0</v>
      </c>
    </row>
    <row r="1310" spans="9:19">
      <c r="I1310">
        <f>'Audit Report'!E1310</f>
        <v>0</v>
      </c>
      <c r="J1310">
        <f>'Audit Report'!G1310</f>
        <v>0</v>
      </c>
      <c r="L1310" t="str">
        <f>_xlfn.TEXTJOIN(", ", FALSE, 'Audit Report'!J1310,'Audit Report'!K1310,'Audit Report'!L1310)</f>
        <v xml:space="preserve">, , </v>
      </c>
      <c r="M1310">
        <f>'Audit Report'!M1310</f>
        <v>0</v>
      </c>
      <c r="R1310" t="e">
        <f>'Audit Report'!#REF!</f>
        <v>#REF!</v>
      </c>
      <c r="S1310">
        <f>'Audit Report'!N1310</f>
        <v>0</v>
      </c>
    </row>
    <row r="1311" spans="9:19">
      <c r="I1311">
        <f>'Audit Report'!E1311</f>
        <v>0</v>
      </c>
      <c r="J1311">
        <f>'Audit Report'!G1311</f>
        <v>0</v>
      </c>
      <c r="L1311" t="str">
        <f>_xlfn.TEXTJOIN(", ", FALSE, 'Audit Report'!J1311,'Audit Report'!K1311,'Audit Report'!L1311)</f>
        <v xml:space="preserve">, , </v>
      </c>
      <c r="M1311">
        <f>'Audit Report'!M1311</f>
        <v>0</v>
      </c>
      <c r="R1311" t="e">
        <f>'Audit Report'!#REF!</f>
        <v>#REF!</v>
      </c>
      <c r="S1311">
        <f>'Audit Report'!N1311</f>
        <v>0</v>
      </c>
    </row>
    <row r="1312" spans="9:19">
      <c r="I1312">
        <f>'Audit Report'!E1312</f>
        <v>0</v>
      </c>
      <c r="J1312">
        <f>'Audit Report'!G1312</f>
        <v>0</v>
      </c>
      <c r="L1312" t="str">
        <f>_xlfn.TEXTJOIN(", ", FALSE, 'Audit Report'!J1312,'Audit Report'!K1312,'Audit Report'!L1312)</f>
        <v xml:space="preserve">, , </v>
      </c>
      <c r="M1312">
        <f>'Audit Report'!M1312</f>
        <v>0</v>
      </c>
      <c r="R1312" t="e">
        <f>'Audit Report'!#REF!</f>
        <v>#REF!</v>
      </c>
      <c r="S1312">
        <f>'Audit Report'!N1312</f>
        <v>0</v>
      </c>
    </row>
    <row r="1313" spans="9:19">
      <c r="I1313">
        <f>'Audit Report'!E1313</f>
        <v>0</v>
      </c>
      <c r="J1313">
        <f>'Audit Report'!G1313</f>
        <v>0</v>
      </c>
      <c r="L1313" t="str">
        <f>_xlfn.TEXTJOIN(", ", FALSE, 'Audit Report'!J1313,'Audit Report'!K1313,'Audit Report'!L1313)</f>
        <v xml:space="preserve">, , </v>
      </c>
      <c r="M1313">
        <f>'Audit Report'!M1313</f>
        <v>0</v>
      </c>
      <c r="R1313" t="e">
        <f>'Audit Report'!#REF!</f>
        <v>#REF!</v>
      </c>
      <c r="S1313">
        <f>'Audit Report'!N1313</f>
        <v>0</v>
      </c>
    </row>
    <row r="1314" spans="9:19">
      <c r="I1314">
        <f>'Audit Report'!E1314</f>
        <v>0</v>
      </c>
      <c r="J1314">
        <f>'Audit Report'!G1314</f>
        <v>0</v>
      </c>
      <c r="L1314" t="str">
        <f>_xlfn.TEXTJOIN(", ", FALSE, 'Audit Report'!J1314,'Audit Report'!K1314,'Audit Report'!L1314)</f>
        <v xml:space="preserve">, , </v>
      </c>
      <c r="M1314">
        <f>'Audit Report'!M1314</f>
        <v>0</v>
      </c>
      <c r="R1314" t="e">
        <f>'Audit Report'!#REF!</f>
        <v>#REF!</v>
      </c>
      <c r="S1314">
        <f>'Audit Report'!N1314</f>
        <v>0</v>
      </c>
    </row>
    <row r="1315" spans="9:19">
      <c r="I1315">
        <f>'Audit Report'!E1315</f>
        <v>0</v>
      </c>
      <c r="J1315">
        <f>'Audit Report'!G1315</f>
        <v>0</v>
      </c>
      <c r="L1315" t="str">
        <f>_xlfn.TEXTJOIN(", ", FALSE, 'Audit Report'!J1315,'Audit Report'!K1315,'Audit Report'!L1315)</f>
        <v xml:space="preserve">, , </v>
      </c>
      <c r="M1315">
        <f>'Audit Report'!M1315</f>
        <v>0</v>
      </c>
      <c r="R1315" t="e">
        <f>'Audit Report'!#REF!</f>
        <v>#REF!</v>
      </c>
      <c r="S1315">
        <f>'Audit Report'!N1315</f>
        <v>0</v>
      </c>
    </row>
    <row r="1316" spans="9:19">
      <c r="I1316">
        <f>'Audit Report'!E1316</f>
        <v>0</v>
      </c>
      <c r="J1316">
        <f>'Audit Report'!G1316</f>
        <v>0</v>
      </c>
      <c r="L1316" t="str">
        <f>_xlfn.TEXTJOIN(", ", FALSE, 'Audit Report'!J1316,'Audit Report'!K1316,'Audit Report'!L1316)</f>
        <v xml:space="preserve">, , </v>
      </c>
      <c r="M1316">
        <f>'Audit Report'!M1316</f>
        <v>0</v>
      </c>
      <c r="R1316" t="e">
        <f>'Audit Report'!#REF!</f>
        <v>#REF!</v>
      </c>
      <c r="S1316">
        <f>'Audit Report'!N1316</f>
        <v>0</v>
      </c>
    </row>
    <row r="1317" spans="9:19">
      <c r="I1317">
        <f>'Audit Report'!E1317</f>
        <v>0</v>
      </c>
      <c r="J1317">
        <f>'Audit Report'!G1317</f>
        <v>0</v>
      </c>
      <c r="L1317" t="str">
        <f>_xlfn.TEXTJOIN(", ", FALSE, 'Audit Report'!J1317,'Audit Report'!K1317,'Audit Report'!L1317)</f>
        <v xml:space="preserve">, , </v>
      </c>
      <c r="M1317">
        <f>'Audit Report'!M1317</f>
        <v>0</v>
      </c>
      <c r="R1317" t="e">
        <f>'Audit Report'!#REF!</f>
        <v>#REF!</v>
      </c>
      <c r="S1317">
        <f>'Audit Report'!N1317</f>
        <v>0</v>
      </c>
    </row>
    <row r="1318" spans="9:19">
      <c r="I1318">
        <f>'Audit Report'!E1318</f>
        <v>0</v>
      </c>
      <c r="J1318">
        <f>'Audit Report'!G1318</f>
        <v>0</v>
      </c>
      <c r="L1318" t="str">
        <f>_xlfn.TEXTJOIN(", ", FALSE, 'Audit Report'!J1318,'Audit Report'!K1318,'Audit Report'!L1318)</f>
        <v xml:space="preserve">, , </v>
      </c>
      <c r="M1318">
        <f>'Audit Report'!M1318</f>
        <v>0</v>
      </c>
      <c r="R1318" t="e">
        <f>'Audit Report'!#REF!</f>
        <v>#REF!</v>
      </c>
      <c r="S1318">
        <f>'Audit Report'!N1318</f>
        <v>0</v>
      </c>
    </row>
    <row r="1319" spans="9:19">
      <c r="I1319">
        <f>'Audit Report'!E1319</f>
        <v>0</v>
      </c>
      <c r="J1319">
        <f>'Audit Report'!G1319</f>
        <v>0</v>
      </c>
      <c r="L1319" t="str">
        <f>_xlfn.TEXTJOIN(", ", FALSE, 'Audit Report'!J1319,'Audit Report'!K1319,'Audit Report'!L1319)</f>
        <v xml:space="preserve">, , </v>
      </c>
      <c r="M1319">
        <f>'Audit Report'!M1319</f>
        <v>0</v>
      </c>
      <c r="R1319" t="e">
        <f>'Audit Report'!#REF!</f>
        <v>#REF!</v>
      </c>
      <c r="S1319">
        <f>'Audit Report'!N1319</f>
        <v>0</v>
      </c>
    </row>
    <row r="1320" spans="9:19">
      <c r="I1320">
        <f>'Audit Report'!E1320</f>
        <v>0</v>
      </c>
      <c r="J1320">
        <f>'Audit Report'!G1320</f>
        <v>0</v>
      </c>
      <c r="L1320" t="str">
        <f>_xlfn.TEXTJOIN(", ", FALSE, 'Audit Report'!J1320,'Audit Report'!K1320,'Audit Report'!L1320)</f>
        <v xml:space="preserve">, , </v>
      </c>
      <c r="M1320">
        <f>'Audit Report'!M1320</f>
        <v>0</v>
      </c>
      <c r="R1320" t="e">
        <f>'Audit Report'!#REF!</f>
        <v>#REF!</v>
      </c>
      <c r="S1320">
        <f>'Audit Report'!N1320</f>
        <v>0</v>
      </c>
    </row>
    <row r="1321" spans="9:19">
      <c r="I1321">
        <f>'Audit Report'!E1321</f>
        <v>0</v>
      </c>
      <c r="J1321">
        <f>'Audit Report'!G1321</f>
        <v>0</v>
      </c>
      <c r="L1321" t="str">
        <f>_xlfn.TEXTJOIN(", ", FALSE, 'Audit Report'!J1321,'Audit Report'!K1321,'Audit Report'!L1321)</f>
        <v xml:space="preserve">, , </v>
      </c>
      <c r="M1321">
        <f>'Audit Report'!M1321</f>
        <v>0</v>
      </c>
      <c r="R1321" t="e">
        <f>'Audit Report'!#REF!</f>
        <v>#REF!</v>
      </c>
      <c r="S1321">
        <f>'Audit Report'!N1321</f>
        <v>0</v>
      </c>
    </row>
    <row r="1322" spans="9:19">
      <c r="I1322">
        <f>'Audit Report'!E1322</f>
        <v>0</v>
      </c>
      <c r="J1322">
        <f>'Audit Report'!G1322</f>
        <v>0</v>
      </c>
      <c r="L1322" t="str">
        <f>_xlfn.TEXTJOIN(", ", FALSE, 'Audit Report'!J1322,'Audit Report'!K1322,'Audit Report'!L1322)</f>
        <v xml:space="preserve">, , </v>
      </c>
      <c r="M1322">
        <f>'Audit Report'!M1322</f>
        <v>0</v>
      </c>
      <c r="R1322" t="e">
        <f>'Audit Report'!#REF!</f>
        <v>#REF!</v>
      </c>
      <c r="S1322">
        <f>'Audit Report'!N1322</f>
        <v>0</v>
      </c>
    </row>
    <row r="1323" spans="9:19">
      <c r="L1323" t="str">
        <f>_xlfn.TEXTJOIN(", ", FALSE, 'Audit Report'!J1323,'Audit Report'!K1323,'Audit Report'!L1323)</f>
        <v xml:space="preserve">, , </v>
      </c>
    </row>
    <row r="1324" spans="9:19">
      <c r="L1324" t="str">
        <f>_xlfn.TEXTJOIN(", ", FALSE, 'Audit Report'!J1324,'Audit Report'!K1324,'Audit Report'!L1324)</f>
        <v xml:space="preserve">, , </v>
      </c>
    </row>
    <row r="1325" spans="9:19">
      <c r="L1325" t="str">
        <f>_xlfn.TEXTJOIN(", ", FALSE, 'Audit Report'!J1325,'Audit Report'!K1325,'Audit Report'!L1325)</f>
        <v xml:space="preserve">, , </v>
      </c>
    </row>
    <row r="1326" spans="9:19">
      <c r="L1326" t="str">
        <f>_xlfn.TEXTJOIN(", ", FALSE, 'Audit Report'!J1326,'Audit Report'!K1326,'Audit Report'!L1326)</f>
        <v xml:space="preserve">, , </v>
      </c>
    </row>
    <row r="1327" spans="9:19">
      <c r="L1327" t="str">
        <f>_xlfn.TEXTJOIN(", ", FALSE, 'Audit Report'!J1327,'Audit Report'!K1327,'Audit Report'!L1327)</f>
        <v xml:space="preserve">, , </v>
      </c>
    </row>
    <row r="1328" spans="9:19">
      <c r="L1328" t="str">
        <f>_xlfn.TEXTJOIN(", ", FALSE, 'Audit Report'!J1328,'Audit Report'!K1328,'Audit Report'!L1328)</f>
        <v xml:space="preserve">, , </v>
      </c>
    </row>
    <row r="1329" spans="12:12">
      <c r="L1329" t="str">
        <f>_xlfn.TEXTJOIN(", ", FALSE, 'Audit Report'!J1329,'Audit Report'!K1329,'Audit Report'!L1329)</f>
        <v xml:space="preserve">, , </v>
      </c>
    </row>
    <row r="1330" spans="12:12">
      <c r="L1330" t="str">
        <f>_xlfn.TEXTJOIN(", ", FALSE, 'Audit Report'!J1330,'Audit Report'!K1330,'Audit Report'!L1330)</f>
        <v xml:space="preserve">, , </v>
      </c>
    </row>
    <row r="1331" spans="12:12">
      <c r="L1331" t="str">
        <f>_xlfn.TEXTJOIN(", ", FALSE, 'Audit Report'!J1331,'Audit Report'!K1331,'Audit Report'!L1331)</f>
        <v xml:space="preserve">, , </v>
      </c>
    </row>
    <row r="1332" spans="12:12">
      <c r="L1332" t="str">
        <f>_xlfn.TEXTJOIN(", ", FALSE, 'Audit Report'!J1332,'Audit Report'!K1332,'Audit Report'!L1332)</f>
        <v xml:space="preserve">, , </v>
      </c>
    </row>
    <row r="1333" spans="12:12">
      <c r="L1333" t="str">
        <f>_xlfn.TEXTJOIN(", ", FALSE, 'Audit Report'!J1333,'Audit Report'!K1333,'Audit Report'!L1333)</f>
        <v xml:space="preserve">, , </v>
      </c>
    </row>
    <row r="1334" spans="12:12">
      <c r="L1334" t="str">
        <f>_xlfn.TEXTJOIN(", ", FALSE, 'Audit Report'!J1334,'Audit Report'!K1334,'Audit Report'!L1334)</f>
        <v xml:space="preserve">, , </v>
      </c>
    </row>
    <row r="1335" spans="12:12">
      <c r="L1335" t="str">
        <f>_xlfn.TEXTJOIN(", ", FALSE, 'Audit Report'!J1335,'Audit Report'!K1335,'Audit Report'!L1335)</f>
        <v xml:space="preserve">, , </v>
      </c>
    </row>
    <row r="1336" spans="12:12">
      <c r="L1336" t="str">
        <f>_xlfn.TEXTJOIN(", ", FALSE, 'Audit Report'!J1336,'Audit Report'!K1336,'Audit Report'!L1336)</f>
        <v xml:space="preserve">, , </v>
      </c>
    </row>
    <row r="1337" spans="12:12">
      <c r="L1337" t="str">
        <f>_xlfn.TEXTJOIN(", ", FALSE, 'Audit Report'!J1337,'Audit Report'!K1337,'Audit Report'!L1337)</f>
        <v xml:space="preserve">, , </v>
      </c>
    </row>
    <row r="1338" spans="12:12">
      <c r="L1338" t="str">
        <f>_xlfn.TEXTJOIN(", ", FALSE, 'Audit Report'!J1338,'Audit Report'!K1338,'Audit Report'!L1338)</f>
        <v xml:space="preserve">, , </v>
      </c>
    </row>
    <row r="1339" spans="12:12">
      <c r="L1339" t="str">
        <f>_xlfn.TEXTJOIN(", ", FALSE, 'Audit Report'!J1339,'Audit Report'!K1339,'Audit Report'!L1339)</f>
        <v xml:space="preserve">, , </v>
      </c>
    </row>
    <row r="1340" spans="12:12">
      <c r="L1340" t="str">
        <f>_xlfn.TEXTJOIN(", ", FALSE, 'Audit Report'!J1340,'Audit Report'!K1340,'Audit Report'!L1340)</f>
        <v xml:space="preserve">, , </v>
      </c>
    </row>
    <row r="1341" spans="12:12">
      <c r="L1341" t="str">
        <f>_xlfn.TEXTJOIN(", ", FALSE, 'Audit Report'!J1341,'Audit Report'!K1341,'Audit Report'!L1341)</f>
        <v xml:space="preserve">, , </v>
      </c>
    </row>
    <row r="1342" spans="12:12">
      <c r="L1342" t="str">
        <f>_xlfn.TEXTJOIN(", ", FALSE, 'Audit Report'!J1342,'Audit Report'!K1342,'Audit Report'!L1342)</f>
        <v xml:space="preserve">, , </v>
      </c>
    </row>
    <row r="1343" spans="12:12">
      <c r="L1343" t="str">
        <f>_xlfn.TEXTJOIN(", ", FALSE, 'Audit Report'!J1343,'Audit Report'!K1343,'Audit Report'!L1343)</f>
        <v xml:space="preserve">, , </v>
      </c>
    </row>
    <row r="1344" spans="12:12">
      <c r="L1344" t="str">
        <f>_xlfn.TEXTJOIN(", ", FALSE, 'Audit Report'!J1344,'Audit Report'!K1344,'Audit Report'!L1344)</f>
        <v xml:space="preserve">, , </v>
      </c>
    </row>
    <row r="1345" spans="12:12">
      <c r="L1345" t="str">
        <f>_xlfn.TEXTJOIN(", ", FALSE, 'Audit Report'!J1345,'Audit Report'!K1345,'Audit Report'!L1345)</f>
        <v xml:space="preserve">, , </v>
      </c>
    </row>
    <row r="1346" spans="12:12">
      <c r="L1346" t="str">
        <f>_xlfn.TEXTJOIN(", ", FALSE, 'Audit Report'!J1346,'Audit Report'!K1346,'Audit Report'!L1346)</f>
        <v xml:space="preserve">, , </v>
      </c>
    </row>
    <row r="1347" spans="12:12">
      <c r="L1347" t="str">
        <f>_xlfn.TEXTJOIN(", ", FALSE, 'Audit Report'!J1347,'Audit Report'!K1347,'Audit Report'!L1347)</f>
        <v xml:space="preserve">, , </v>
      </c>
    </row>
    <row r="1348" spans="12:12">
      <c r="L1348" t="str">
        <f>_xlfn.TEXTJOIN(", ", FALSE, 'Audit Report'!J1348,'Audit Report'!K1348,'Audit Report'!L1348)</f>
        <v xml:space="preserve">, , </v>
      </c>
    </row>
    <row r="1349" spans="12:12">
      <c r="L1349" t="str">
        <f>_xlfn.TEXTJOIN(", ", FALSE, 'Audit Report'!J1349,'Audit Report'!K1349,'Audit Report'!L1349)</f>
        <v xml:space="preserve">, , </v>
      </c>
    </row>
    <row r="1350" spans="12:12">
      <c r="L1350" t="str">
        <f>_xlfn.TEXTJOIN(", ", FALSE, 'Audit Report'!J1350,'Audit Report'!K1350,'Audit Report'!L1350)</f>
        <v xml:space="preserve">, , </v>
      </c>
    </row>
    <row r="1351" spans="12:12">
      <c r="L1351" t="str">
        <f>_xlfn.TEXTJOIN(", ", FALSE, 'Audit Report'!J1351,'Audit Report'!K1351,'Audit Report'!L1351)</f>
        <v xml:space="preserve">, , </v>
      </c>
    </row>
    <row r="1352" spans="12:12">
      <c r="L1352" t="str">
        <f>_xlfn.TEXTJOIN(", ", FALSE, 'Audit Report'!J1352,'Audit Report'!K1352,'Audit Report'!L1352)</f>
        <v xml:space="preserve">, , </v>
      </c>
    </row>
    <row r="1353" spans="12:12">
      <c r="L1353" t="str">
        <f>_xlfn.TEXTJOIN(", ", FALSE, 'Audit Report'!J1353,'Audit Report'!K1353,'Audit Report'!L1353)</f>
        <v xml:space="preserve">, , </v>
      </c>
    </row>
    <row r="1354" spans="12:12">
      <c r="L1354" t="str">
        <f>_xlfn.TEXTJOIN(", ", FALSE, 'Audit Report'!J1354,'Audit Report'!K1354,'Audit Report'!L1354)</f>
        <v xml:space="preserve">, , </v>
      </c>
    </row>
    <row r="1355" spans="12:12">
      <c r="L1355" t="str">
        <f>_xlfn.TEXTJOIN(", ", FALSE, 'Audit Report'!J1355,'Audit Report'!K1355,'Audit Report'!L1355)</f>
        <v xml:space="preserve">, , </v>
      </c>
    </row>
    <row r="1356" spans="12:12">
      <c r="L1356" t="str">
        <f>_xlfn.TEXTJOIN(", ", FALSE, 'Audit Report'!J1356,'Audit Report'!K1356,'Audit Report'!L1356)</f>
        <v xml:space="preserve">, , </v>
      </c>
    </row>
    <row r="1357" spans="12:12">
      <c r="L1357" t="str">
        <f>_xlfn.TEXTJOIN(", ", FALSE, 'Audit Report'!J1357,'Audit Report'!K1357,'Audit Report'!L1357)</f>
        <v xml:space="preserve">, , </v>
      </c>
    </row>
    <row r="1358" spans="12:12">
      <c r="L1358" t="str">
        <f>_xlfn.TEXTJOIN(", ", FALSE, 'Audit Report'!J1358,'Audit Report'!K1358,'Audit Report'!L1358)</f>
        <v xml:space="preserve">, , </v>
      </c>
    </row>
    <row r="1359" spans="12:12">
      <c r="L1359" t="str">
        <f>_xlfn.TEXTJOIN(", ", FALSE, 'Audit Report'!J1359,'Audit Report'!K1359,'Audit Report'!L1359)</f>
        <v xml:space="preserve">, , </v>
      </c>
    </row>
    <row r="1360" spans="12:12">
      <c r="L1360" t="str">
        <f>_xlfn.TEXTJOIN(", ", FALSE, 'Audit Report'!J1360,'Audit Report'!K1360,'Audit Report'!L1360)</f>
        <v xml:space="preserve">, , </v>
      </c>
    </row>
    <row r="1361" spans="12:12">
      <c r="L1361" t="str">
        <f>_xlfn.TEXTJOIN(", ", FALSE, 'Audit Report'!J1361,'Audit Report'!K1361,'Audit Report'!L1361)</f>
        <v xml:space="preserve">, , </v>
      </c>
    </row>
    <row r="1362" spans="12:12">
      <c r="L1362" t="str">
        <f>_xlfn.TEXTJOIN(", ", FALSE, 'Audit Report'!J1362,'Audit Report'!K1362,'Audit Report'!L1362)</f>
        <v xml:space="preserve">, , </v>
      </c>
    </row>
    <row r="1363" spans="12:12">
      <c r="L1363" t="str">
        <f>_xlfn.TEXTJOIN(", ", FALSE, 'Audit Report'!J1363,'Audit Report'!K1363,'Audit Report'!L1363)</f>
        <v xml:space="preserve">, , </v>
      </c>
    </row>
    <row r="1364" spans="12:12">
      <c r="L1364" t="str">
        <f>_xlfn.TEXTJOIN(", ", FALSE, 'Audit Report'!J1364,'Audit Report'!K1364,'Audit Report'!L1364)</f>
        <v xml:space="preserve">, , </v>
      </c>
    </row>
    <row r="1365" spans="12:12">
      <c r="L1365" t="str">
        <f>_xlfn.TEXTJOIN(", ", FALSE, 'Audit Report'!J1365,'Audit Report'!K1365,'Audit Report'!L1365)</f>
        <v xml:space="preserve">, , 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F82"/>
  <sheetViews>
    <sheetView workbookViewId="0">
      <selection activeCell="E3" sqref="E3"/>
    </sheetView>
  </sheetViews>
  <sheetFormatPr defaultRowHeight="15"/>
  <cols>
    <col min="1" max="1" width="17.140625" customWidth="1"/>
    <col min="5" max="5" width="18.5703125" customWidth="1"/>
  </cols>
  <sheetData>
    <row r="1" spans="1:6" ht="18" customHeight="1" thickBot="1">
      <c r="A1" s="35" t="s">
        <v>1</v>
      </c>
      <c r="B1" s="36" t="s">
        <v>2</v>
      </c>
      <c r="C1" s="36" t="s">
        <v>5</v>
      </c>
      <c r="D1" s="36" t="s">
        <v>6</v>
      </c>
      <c r="E1" s="36" t="s">
        <v>486</v>
      </c>
      <c r="F1" s="36" t="s">
        <v>487</v>
      </c>
    </row>
    <row r="2" spans="1:6">
      <c r="A2" t="e" cm="1" vm="1">
        <f t="array" ref="A2">_xlfn._xlws.FILTER('Audit Report'!C2:C500,'Audit Report'!U2:U500&lt;&gt;"")</f>
        <v>#VALUE!</v>
      </c>
      <c r="B2" t="e" vm="2">
        <f>_xlfn.XLOOKUP($A2,'Audit Report'!$C:$C,'Audit Report'!E:E)</f>
        <v>#VALUE!</v>
      </c>
      <c r="C2" t="e" vm="2">
        <f>_xlfn.XLOOKUP($A2,'Audit Report'!$C:$C,'Audit Report'!F:F)</f>
        <v>#VALUE!</v>
      </c>
      <c r="D2" t="e" vm="2">
        <f>_xlfn.XLOOKUP($A2,'Audit Report'!$C:$C,'Audit Report'!G:G)</f>
        <v>#VALUE!</v>
      </c>
      <c r="E2" t="e" vm="2">
        <f>_xlfn.XLOOKUP($A2,'Audit Report'!$C:$C,'Audit Report'!U:U)</f>
        <v>#VALUE!</v>
      </c>
      <c r="F2" t="e" vm="2">
        <f>_xlfn.XLOOKUP($A2,'Audit Report'!$C:$C,'Audit Report'!#REF!)</f>
        <v>#VALUE!</v>
      </c>
    </row>
    <row r="3" spans="1:6">
      <c r="B3" t="str">
        <f>_xlfn.XLOOKUP($A3,'Audit Report'!$C:$C,'Audit Report'!E:E)</f>
        <v/>
      </c>
      <c r="C3">
        <f>_xlfn.XLOOKUP($A3,'Audit Report'!$C:$C,'Audit Report'!F:F)</f>
        <v>0</v>
      </c>
      <c r="D3">
        <f>_xlfn.XLOOKUP($A3,'Audit Report'!$C:$C,'Audit Report'!G:G)</f>
        <v>0</v>
      </c>
      <c r="E3">
        <f>_xlfn.XLOOKUP($A3,'Audit Report'!$C:$C,'Audit Report'!U:U)</f>
        <v>0</v>
      </c>
      <c r="F3" t="e">
        <f>_xlfn.XLOOKUP($A3,'Audit Report'!$C:$C,'Audit Report'!#REF!)</f>
        <v>#REF!</v>
      </c>
    </row>
    <row r="4" spans="1:6">
      <c r="B4" t="str">
        <f>_xlfn.XLOOKUP($A4,'Audit Report'!$C:$C,'Audit Report'!E:E)</f>
        <v/>
      </c>
      <c r="C4">
        <f>_xlfn.XLOOKUP($A4,'Audit Report'!$C:$C,'Audit Report'!F:F)</f>
        <v>0</v>
      </c>
      <c r="D4">
        <f>_xlfn.XLOOKUP($A4,'Audit Report'!$C:$C,'Audit Report'!G:G)</f>
        <v>0</v>
      </c>
      <c r="E4">
        <f>_xlfn.XLOOKUP($A4,'Audit Report'!$C:$C,'Audit Report'!U:U)</f>
        <v>0</v>
      </c>
      <c r="F4" t="e">
        <f>_xlfn.XLOOKUP($A4,'Audit Report'!$C:$C,'Audit Report'!#REF!)</f>
        <v>#REF!</v>
      </c>
    </row>
    <row r="5" spans="1:6">
      <c r="B5" t="str">
        <f>_xlfn.XLOOKUP($A5,'Audit Report'!$C:$C,'Audit Report'!E:E)</f>
        <v/>
      </c>
      <c r="C5">
        <f>_xlfn.XLOOKUP($A5,'Audit Report'!$C:$C,'Audit Report'!F:F)</f>
        <v>0</v>
      </c>
      <c r="D5">
        <f>_xlfn.XLOOKUP($A5,'Audit Report'!$C:$C,'Audit Report'!G:G)</f>
        <v>0</v>
      </c>
      <c r="E5">
        <f>_xlfn.XLOOKUP($A5,'Audit Report'!$C:$C,'Audit Report'!U:U)</f>
        <v>0</v>
      </c>
      <c r="F5" t="e">
        <f>_xlfn.XLOOKUP($A5,'Audit Report'!$C:$C,'Audit Report'!#REF!)</f>
        <v>#REF!</v>
      </c>
    </row>
    <row r="6" spans="1:6">
      <c r="B6" t="str">
        <f>_xlfn.XLOOKUP($A6,'Audit Report'!$C:$C,'Audit Report'!E:E)</f>
        <v/>
      </c>
      <c r="C6">
        <f>_xlfn.XLOOKUP($A6,'Audit Report'!$C:$C,'Audit Report'!F:F)</f>
        <v>0</v>
      </c>
      <c r="D6">
        <f>_xlfn.XLOOKUP($A6,'Audit Report'!$C:$C,'Audit Report'!G:G)</f>
        <v>0</v>
      </c>
      <c r="E6">
        <f>_xlfn.XLOOKUP($A6,'Audit Report'!$C:$C,'Audit Report'!U:U)</f>
        <v>0</v>
      </c>
      <c r="F6" t="e">
        <f>_xlfn.XLOOKUP($A6,'Audit Report'!$C:$C,'Audit Report'!#REF!)</f>
        <v>#REF!</v>
      </c>
    </row>
    <row r="7" spans="1:6">
      <c r="B7" t="str">
        <f>_xlfn.XLOOKUP($A7,'Audit Report'!$C:$C,'Audit Report'!E:E)</f>
        <v/>
      </c>
      <c r="C7">
        <f>_xlfn.XLOOKUP($A7,'Audit Report'!$C:$C,'Audit Report'!F:F)</f>
        <v>0</v>
      </c>
      <c r="D7">
        <f>_xlfn.XLOOKUP($A7,'Audit Report'!$C:$C,'Audit Report'!G:G)</f>
        <v>0</v>
      </c>
      <c r="E7">
        <f>_xlfn.XLOOKUP($A7,'Audit Report'!$C:$C,'Audit Report'!U:U)</f>
        <v>0</v>
      </c>
      <c r="F7" t="e">
        <f>_xlfn.XLOOKUP($A7,'Audit Report'!$C:$C,'Audit Report'!#REF!)</f>
        <v>#REF!</v>
      </c>
    </row>
    <row r="8" spans="1:6">
      <c r="B8" t="str">
        <f>_xlfn.XLOOKUP($A8,'Audit Report'!$C:$C,'Audit Report'!E:E)</f>
        <v/>
      </c>
      <c r="C8">
        <f>_xlfn.XLOOKUP($A8,'Audit Report'!$C:$C,'Audit Report'!F:F)</f>
        <v>0</v>
      </c>
      <c r="D8">
        <f>_xlfn.XLOOKUP($A8,'Audit Report'!$C:$C,'Audit Report'!G:G)</f>
        <v>0</v>
      </c>
      <c r="E8">
        <f>_xlfn.XLOOKUP($A8,'Audit Report'!$C:$C,'Audit Report'!U:U)</f>
        <v>0</v>
      </c>
      <c r="F8" t="e">
        <f>_xlfn.XLOOKUP($A8,'Audit Report'!$C:$C,'Audit Report'!#REF!)</f>
        <v>#REF!</v>
      </c>
    </row>
    <row r="9" spans="1:6">
      <c r="B9" t="str">
        <f>_xlfn.XLOOKUP($A9,'Audit Report'!$C:$C,'Audit Report'!E:E)</f>
        <v/>
      </c>
      <c r="C9">
        <f>_xlfn.XLOOKUP($A9,'Audit Report'!$C:$C,'Audit Report'!F:F)</f>
        <v>0</v>
      </c>
      <c r="D9">
        <f>_xlfn.XLOOKUP($A9,'Audit Report'!$C:$C,'Audit Report'!G:G)</f>
        <v>0</v>
      </c>
      <c r="E9">
        <f>_xlfn.XLOOKUP($A9,'Audit Report'!$C:$C,'Audit Report'!U:U)</f>
        <v>0</v>
      </c>
      <c r="F9" t="e">
        <f>_xlfn.XLOOKUP($A9,'Audit Report'!$C:$C,'Audit Report'!#REF!)</f>
        <v>#REF!</v>
      </c>
    </row>
    <row r="10" spans="1:6">
      <c r="B10" t="str">
        <f>_xlfn.XLOOKUP($A10,'Audit Report'!$C:$C,'Audit Report'!E:E)</f>
        <v/>
      </c>
      <c r="C10">
        <f>_xlfn.XLOOKUP($A10,'Audit Report'!$C:$C,'Audit Report'!F:F)</f>
        <v>0</v>
      </c>
      <c r="D10">
        <f>_xlfn.XLOOKUP($A10,'Audit Report'!$C:$C,'Audit Report'!G:G)</f>
        <v>0</v>
      </c>
      <c r="E10">
        <f>_xlfn.XLOOKUP($A10,'Audit Report'!$C:$C,'Audit Report'!U:U)</f>
        <v>0</v>
      </c>
      <c r="F10" t="e">
        <f>_xlfn.XLOOKUP($A10,'Audit Report'!$C:$C,'Audit Report'!#REF!)</f>
        <v>#REF!</v>
      </c>
    </row>
    <row r="11" spans="1:6">
      <c r="B11" t="str">
        <f>_xlfn.XLOOKUP($A11,'Audit Report'!$C:$C,'Audit Report'!E:E)</f>
        <v/>
      </c>
      <c r="C11">
        <f>_xlfn.XLOOKUP($A11,'Audit Report'!$C:$C,'Audit Report'!F:F)</f>
        <v>0</v>
      </c>
      <c r="D11">
        <f>_xlfn.XLOOKUP($A11,'Audit Report'!$C:$C,'Audit Report'!G:G)</f>
        <v>0</v>
      </c>
      <c r="E11">
        <f>_xlfn.XLOOKUP($A11,'Audit Report'!$C:$C,'Audit Report'!U:U)</f>
        <v>0</v>
      </c>
      <c r="F11" t="e">
        <f>_xlfn.XLOOKUP($A11,'Audit Report'!$C:$C,'Audit Report'!#REF!)</f>
        <v>#REF!</v>
      </c>
    </row>
    <row r="12" spans="1:6">
      <c r="B12" t="str">
        <f>_xlfn.XLOOKUP($A12,'Audit Report'!$C:$C,'Audit Report'!E:E)</f>
        <v/>
      </c>
      <c r="C12">
        <f>_xlfn.XLOOKUP($A12,'Audit Report'!$C:$C,'Audit Report'!F:F)</f>
        <v>0</v>
      </c>
      <c r="D12">
        <f>_xlfn.XLOOKUP($A12,'Audit Report'!$C:$C,'Audit Report'!G:G)</f>
        <v>0</v>
      </c>
      <c r="E12">
        <f>_xlfn.XLOOKUP($A12,'Audit Report'!$C:$C,'Audit Report'!U:U)</f>
        <v>0</v>
      </c>
      <c r="F12" t="e">
        <f>_xlfn.XLOOKUP($A12,'Audit Report'!$C:$C,'Audit Report'!#REF!)</f>
        <v>#REF!</v>
      </c>
    </row>
    <row r="13" spans="1:6">
      <c r="B13" t="str">
        <f>_xlfn.XLOOKUP($A13,'Audit Report'!$C:$C,'Audit Report'!E:E)</f>
        <v/>
      </c>
      <c r="C13">
        <f>_xlfn.XLOOKUP($A13,'Audit Report'!$C:$C,'Audit Report'!F:F)</f>
        <v>0</v>
      </c>
      <c r="D13">
        <f>_xlfn.XLOOKUP($A13,'Audit Report'!$C:$C,'Audit Report'!G:G)</f>
        <v>0</v>
      </c>
      <c r="E13">
        <f>_xlfn.XLOOKUP($A13,'Audit Report'!$C:$C,'Audit Report'!U:U)</f>
        <v>0</v>
      </c>
      <c r="F13" t="e">
        <f>_xlfn.XLOOKUP($A13,'Audit Report'!$C:$C,'Audit Report'!#REF!)</f>
        <v>#REF!</v>
      </c>
    </row>
    <row r="14" spans="1:6">
      <c r="B14" t="str">
        <f>_xlfn.XLOOKUP($A14,'Audit Report'!$C:$C,'Audit Report'!E:E)</f>
        <v/>
      </c>
      <c r="C14">
        <f>_xlfn.XLOOKUP($A14,'Audit Report'!$C:$C,'Audit Report'!F:F)</f>
        <v>0</v>
      </c>
      <c r="D14">
        <f>_xlfn.XLOOKUP($A14,'Audit Report'!$C:$C,'Audit Report'!G:G)</f>
        <v>0</v>
      </c>
      <c r="E14">
        <f>_xlfn.XLOOKUP($A14,'Audit Report'!$C:$C,'Audit Report'!U:U)</f>
        <v>0</v>
      </c>
      <c r="F14" t="e">
        <f>_xlfn.XLOOKUP($A14,'Audit Report'!$C:$C,'Audit Report'!#REF!)</f>
        <v>#REF!</v>
      </c>
    </row>
    <row r="15" spans="1:6">
      <c r="B15" t="str">
        <f>_xlfn.XLOOKUP($A15,'Audit Report'!$C:$C,'Audit Report'!E:E)</f>
        <v/>
      </c>
      <c r="C15">
        <f>_xlfn.XLOOKUP($A15,'Audit Report'!$C:$C,'Audit Report'!F:F)</f>
        <v>0</v>
      </c>
      <c r="D15">
        <f>_xlfn.XLOOKUP($A15,'Audit Report'!$C:$C,'Audit Report'!G:G)</f>
        <v>0</v>
      </c>
      <c r="E15">
        <f>_xlfn.XLOOKUP($A15,'Audit Report'!$C:$C,'Audit Report'!U:U)</f>
        <v>0</v>
      </c>
      <c r="F15" t="e">
        <f>_xlfn.XLOOKUP($A15,'Audit Report'!$C:$C,'Audit Report'!#REF!)</f>
        <v>#REF!</v>
      </c>
    </row>
    <row r="16" spans="1:6">
      <c r="B16" t="str">
        <f>_xlfn.XLOOKUP($A16,'Audit Report'!$C:$C,'Audit Report'!E:E)</f>
        <v/>
      </c>
      <c r="C16">
        <f>_xlfn.XLOOKUP($A16,'Audit Report'!$C:$C,'Audit Report'!F:F)</f>
        <v>0</v>
      </c>
      <c r="D16">
        <f>_xlfn.XLOOKUP($A16,'Audit Report'!$C:$C,'Audit Report'!G:G)</f>
        <v>0</v>
      </c>
      <c r="E16">
        <f>_xlfn.XLOOKUP($A16,'Audit Report'!$C:$C,'Audit Report'!U:U)</f>
        <v>0</v>
      </c>
      <c r="F16" t="e">
        <f>_xlfn.XLOOKUP($A16,'Audit Report'!$C:$C,'Audit Report'!#REF!)</f>
        <v>#REF!</v>
      </c>
    </row>
    <row r="17" spans="2:6">
      <c r="B17" t="str">
        <f>_xlfn.XLOOKUP($A17,'Audit Report'!$C:$C,'Audit Report'!E:E)</f>
        <v/>
      </c>
      <c r="C17">
        <f>_xlfn.XLOOKUP($A17,'Audit Report'!$C:$C,'Audit Report'!F:F)</f>
        <v>0</v>
      </c>
      <c r="D17">
        <f>_xlfn.XLOOKUP($A17,'Audit Report'!$C:$C,'Audit Report'!G:G)</f>
        <v>0</v>
      </c>
      <c r="E17">
        <f>_xlfn.XLOOKUP($A17,'Audit Report'!$C:$C,'Audit Report'!U:U)</f>
        <v>0</v>
      </c>
      <c r="F17" t="e">
        <f>_xlfn.XLOOKUP($A17,'Audit Report'!$C:$C,'Audit Report'!#REF!)</f>
        <v>#REF!</v>
      </c>
    </row>
    <row r="18" spans="2:6">
      <c r="B18" t="str">
        <f>_xlfn.XLOOKUP($A18,'Audit Report'!$C:$C,'Audit Report'!E:E)</f>
        <v/>
      </c>
      <c r="C18">
        <f>_xlfn.XLOOKUP($A18,'Audit Report'!$C:$C,'Audit Report'!F:F)</f>
        <v>0</v>
      </c>
      <c r="D18">
        <f>_xlfn.XLOOKUP($A18,'Audit Report'!$C:$C,'Audit Report'!G:G)</f>
        <v>0</v>
      </c>
      <c r="E18">
        <f>_xlfn.XLOOKUP($A18,'Audit Report'!$C:$C,'Audit Report'!U:U)</f>
        <v>0</v>
      </c>
      <c r="F18" t="e">
        <f>_xlfn.XLOOKUP($A18,'Audit Report'!$C:$C,'Audit Report'!#REF!)</f>
        <v>#REF!</v>
      </c>
    </row>
    <row r="19" spans="2:6">
      <c r="B19" t="str">
        <f>_xlfn.XLOOKUP($A19,'Audit Report'!$C:$C,'Audit Report'!E:E)</f>
        <v/>
      </c>
      <c r="C19">
        <f>_xlfn.XLOOKUP($A19,'Audit Report'!$C:$C,'Audit Report'!F:F)</f>
        <v>0</v>
      </c>
      <c r="D19">
        <f>_xlfn.XLOOKUP($A19,'Audit Report'!$C:$C,'Audit Report'!G:G)</f>
        <v>0</v>
      </c>
      <c r="E19">
        <f>_xlfn.XLOOKUP($A19,'Audit Report'!$C:$C,'Audit Report'!U:U)</f>
        <v>0</v>
      </c>
      <c r="F19" t="e">
        <f>_xlfn.XLOOKUP($A19,'Audit Report'!$C:$C,'Audit Report'!#REF!)</f>
        <v>#REF!</v>
      </c>
    </row>
    <row r="20" spans="2:6">
      <c r="B20" t="str">
        <f>_xlfn.XLOOKUP($A20,'Audit Report'!$C:$C,'Audit Report'!E:E)</f>
        <v/>
      </c>
      <c r="C20">
        <f>_xlfn.XLOOKUP($A20,'Audit Report'!$C:$C,'Audit Report'!F:F)</f>
        <v>0</v>
      </c>
      <c r="D20">
        <f>_xlfn.XLOOKUP($A20,'Audit Report'!$C:$C,'Audit Report'!G:G)</f>
        <v>0</v>
      </c>
      <c r="E20">
        <f>_xlfn.XLOOKUP($A20,'Audit Report'!$C:$C,'Audit Report'!U:U)</f>
        <v>0</v>
      </c>
      <c r="F20" t="e">
        <f>_xlfn.XLOOKUP($A20,'Audit Report'!$C:$C,'Audit Report'!#REF!)</f>
        <v>#REF!</v>
      </c>
    </row>
    <row r="21" spans="2:6">
      <c r="B21" t="str">
        <f>_xlfn.XLOOKUP($A21,'Audit Report'!$C:$C,'Audit Report'!E:E)</f>
        <v/>
      </c>
      <c r="C21">
        <f>_xlfn.XLOOKUP($A21,'Audit Report'!$C:$C,'Audit Report'!F:F)</f>
        <v>0</v>
      </c>
      <c r="D21">
        <f>_xlfn.XLOOKUP($A21,'Audit Report'!$C:$C,'Audit Report'!G:G)</f>
        <v>0</v>
      </c>
      <c r="E21">
        <f>_xlfn.XLOOKUP($A21,'Audit Report'!$C:$C,'Audit Report'!U:U)</f>
        <v>0</v>
      </c>
      <c r="F21" t="e">
        <f>_xlfn.XLOOKUP($A21,'Audit Report'!$C:$C,'Audit Report'!#REF!)</f>
        <v>#REF!</v>
      </c>
    </row>
    <row r="22" spans="2:6">
      <c r="B22" t="str">
        <f>_xlfn.XLOOKUP($A22,'Audit Report'!$C:$C,'Audit Report'!E:E)</f>
        <v/>
      </c>
      <c r="C22">
        <f>_xlfn.XLOOKUP($A22,'Audit Report'!$C:$C,'Audit Report'!F:F)</f>
        <v>0</v>
      </c>
      <c r="D22">
        <f>_xlfn.XLOOKUP($A22,'Audit Report'!$C:$C,'Audit Report'!G:G)</f>
        <v>0</v>
      </c>
      <c r="E22">
        <f>_xlfn.XLOOKUP($A22,'Audit Report'!$C:$C,'Audit Report'!U:U)</f>
        <v>0</v>
      </c>
      <c r="F22" t="e">
        <f>_xlfn.XLOOKUP($A22,'Audit Report'!$C:$C,'Audit Report'!#REF!)</f>
        <v>#REF!</v>
      </c>
    </row>
    <row r="23" spans="2:6">
      <c r="B23" t="str">
        <f>_xlfn.XLOOKUP($A23,'Audit Report'!$C:$C,'Audit Report'!E:E)</f>
        <v/>
      </c>
      <c r="C23">
        <f>_xlfn.XLOOKUP($A23,'Audit Report'!$C:$C,'Audit Report'!F:F)</f>
        <v>0</v>
      </c>
      <c r="D23">
        <f>_xlfn.XLOOKUP($A23,'Audit Report'!$C:$C,'Audit Report'!G:G)</f>
        <v>0</v>
      </c>
      <c r="E23">
        <f>_xlfn.XLOOKUP($A23,'Audit Report'!$C:$C,'Audit Report'!U:U)</f>
        <v>0</v>
      </c>
      <c r="F23" t="e">
        <f>_xlfn.XLOOKUP($A23,'Audit Report'!$C:$C,'Audit Report'!#REF!)</f>
        <v>#REF!</v>
      </c>
    </row>
    <row r="24" spans="2:6">
      <c r="B24" t="str">
        <f>_xlfn.XLOOKUP($A24,'Audit Report'!$C:$C,'Audit Report'!E:E)</f>
        <v/>
      </c>
      <c r="C24">
        <f>_xlfn.XLOOKUP($A24,'Audit Report'!$C:$C,'Audit Report'!F:F)</f>
        <v>0</v>
      </c>
      <c r="D24">
        <f>_xlfn.XLOOKUP($A24,'Audit Report'!$C:$C,'Audit Report'!G:G)</f>
        <v>0</v>
      </c>
      <c r="E24">
        <f>_xlfn.XLOOKUP($A24,'Audit Report'!$C:$C,'Audit Report'!U:U)</f>
        <v>0</v>
      </c>
      <c r="F24" t="e">
        <f>_xlfn.XLOOKUP($A24,'Audit Report'!$C:$C,'Audit Report'!#REF!)</f>
        <v>#REF!</v>
      </c>
    </row>
    <row r="25" spans="2:6">
      <c r="B25" t="str">
        <f>_xlfn.XLOOKUP($A25,'Audit Report'!$C:$C,'Audit Report'!E:E)</f>
        <v/>
      </c>
      <c r="C25">
        <f>_xlfn.XLOOKUP($A25,'Audit Report'!$C:$C,'Audit Report'!F:F)</f>
        <v>0</v>
      </c>
      <c r="D25">
        <f>_xlfn.XLOOKUP($A25,'Audit Report'!$C:$C,'Audit Report'!G:G)</f>
        <v>0</v>
      </c>
      <c r="E25">
        <f>_xlfn.XLOOKUP($A25,'Audit Report'!$C:$C,'Audit Report'!U:U)</f>
        <v>0</v>
      </c>
      <c r="F25" t="e">
        <f>_xlfn.XLOOKUP($A25,'Audit Report'!$C:$C,'Audit Report'!#REF!)</f>
        <v>#REF!</v>
      </c>
    </row>
    <row r="26" spans="2:6">
      <c r="B26" t="str">
        <f>_xlfn.XLOOKUP($A26,'Audit Report'!$C:$C,'Audit Report'!E:E)</f>
        <v/>
      </c>
      <c r="C26">
        <f>_xlfn.XLOOKUP($A26,'Audit Report'!$C:$C,'Audit Report'!F:F)</f>
        <v>0</v>
      </c>
      <c r="D26">
        <f>_xlfn.XLOOKUP($A26,'Audit Report'!$C:$C,'Audit Report'!G:G)</f>
        <v>0</v>
      </c>
      <c r="E26">
        <f>_xlfn.XLOOKUP($A26,'Audit Report'!$C:$C,'Audit Report'!U:U)</f>
        <v>0</v>
      </c>
      <c r="F26" t="e">
        <f>_xlfn.XLOOKUP($A26,'Audit Report'!$C:$C,'Audit Report'!#REF!)</f>
        <v>#REF!</v>
      </c>
    </row>
    <row r="27" spans="2:6">
      <c r="B27" t="str">
        <f>_xlfn.XLOOKUP($A27,'Audit Report'!$C:$C,'Audit Report'!E:E)</f>
        <v/>
      </c>
      <c r="C27">
        <f>_xlfn.XLOOKUP($A27,'Audit Report'!$C:$C,'Audit Report'!F:F)</f>
        <v>0</v>
      </c>
      <c r="D27">
        <f>_xlfn.XLOOKUP($A27,'Audit Report'!$C:$C,'Audit Report'!G:G)</f>
        <v>0</v>
      </c>
      <c r="E27">
        <f>_xlfn.XLOOKUP($A27,'Audit Report'!$C:$C,'Audit Report'!U:U)</f>
        <v>0</v>
      </c>
      <c r="F27" t="e">
        <f>_xlfn.XLOOKUP($A27,'Audit Report'!$C:$C,'Audit Report'!#REF!)</f>
        <v>#REF!</v>
      </c>
    </row>
    <row r="28" spans="2:6">
      <c r="B28" t="str">
        <f>_xlfn.XLOOKUP($A28,'Audit Report'!$C:$C,'Audit Report'!E:E)</f>
        <v/>
      </c>
      <c r="C28">
        <f>_xlfn.XLOOKUP($A28,'Audit Report'!$C:$C,'Audit Report'!F:F)</f>
        <v>0</v>
      </c>
      <c r="D28">
        <f>_xlfn.XLOOKUP($A28,'Audit Report'!$C:$C,'Audit Report'!G:G)</f>
        <v>0</v>
      </c>
      <c r="E28">
        <f>_xlfn.XLOOKUP($A28,'Audit Report'!$C:$C,'Audit Report'!U:U)</f>
        <v>0</v>
      </c>
      <c r="F28" t="e">
        <f>_xlfn.XLOOKUP($A28,'Audit Report'!$C:$C,'Audit Report'!#REF!)</f>
        <v>#REF!</v>
      </c>
    </row>
    <row r="29" spans="2:6">
      <c r="B29" t="str">
        <f>_xlfn.XLOOKUP($A29,'Audit Report'!$C:$C,'Audit Report'!E:E)</f>
        <v/>
      </c>
      <c r="C29">
        <f>_xlfn.XLOOKUP($A29,'Audit Report'!$C:$C,'Audit Report'!F:F)</f>
        <v>0</v>
      </c>
      <c r="D29">
        <f>_xlfn.XLOOKUP($A29,'Audit Report'!$C:$C,'Audit Report'!G:G)</f>
        <v>0</v>
      </c>
      <c r="E29">
        <f>_xlfn.XLOOKUP($A29,'Audit Report'!$C:$C,'Audit Report'!U:U)</f>
        <v>0</v>
      </c>
      <c r="F29" t="e">
        <f>_xlfn.XLOOKUP($A29,'Audit Report'!$C:$C,'Audit Report'!#REF!)</f>
        <v>#REF!</v>
      </c>
    </row>
    <row r="30" spans="2:6">
      <c r="B30" t="str">
        <f>_xlfn.XLOOKUP($A30,'Audit Report'!$C:$C,'Audit Report'!E:E)</f>
        <v/>
      </c>
      <c r="C30">
        <f>_xlfn.XLOOKUP($A30,'Audit Report'!$C:$C,'Audit Report'!F:F)</f>
        <v>0</v>
      </c>
      <c r="D30">
        <f>_xlfn.XLOOKUP($A30,'Audit Report'!$C:$C,'Audit Report'!G:G)</f>
        <v>0</v>
      </c>
      <c r="E30">
        <f>_xlfn.XLOOKUP($A30,'Audit Report'!$C:$C,'Audit Report'!U:U)</f>
        <v>0</v>
      </c>
      <c r="F30" t="e">
        <f>_xlfn.XLOOKUP($A30,'Audit Report'!$C:$C,'Audit Report'!#REF!)</f>
        <v>#REF!</v>
      </c>
    </row>
    <row r="31" spans="2:6">
      <c r="B31" t="str">
        <f>_xlfn.XLOOKUP($A31,'Audit Report'!$C:$C,'Audit Report'!E:E)</f>
        <v/>
      </c>
      <c r="C31">
        <f>_xlfn.XLOOKUP($A31,'Audit Report'!$C:$C,'Audit Report'!F:F)</f>
        <v>0</v>
      </c>
      <c r="D31">
        <f>_xlfn.XLOOKUP($A31,'Audit Report'!$C:$C,'Audit Report'!G:G)</f>
        <v>0</v>
      </c>
      <c r="E31">
        <f>_xlfn.XLOOKUP($A31,'Audit Report'!$C:$C,'Audit Report'!U:U)</f>
        <v>0</v>
      </c>
      <c r="F31" t="e">
        <f>_xlfn.XLOOKUP($A31,'Audit Report'!$C:$C,'Audit Report'!#REF!)</f>
        <v>#REF!</v>
      </c>
    </row>
    <row r="32" spans="2:6">
      <c r="B32" t="str">
        <f>_xlfn.XLOOKUP($A32,'Audit Report'!$C:$C,'Audit Report'!E:E)</f>
        <v/>
      </c>
      <c r="C32">
        <f>_xlfn.XLOOKUP($A32,'Audit Report'!$C:$C,'Audit Report'!F:F)</f>
        <v>0</v>
      </c>
      <c r="D32">
        <f>_xlfn.XLOOKUP($A32,'Audit Report'!$C:$C,'Audit Report'!G:G)</f>
        <v>0</v>
      </c>
      <c r="E32">
        <f>_xlfn.XLOOKUP($A32,'Audit Report'!$C:$C,'Audit Report'!U:U)</f>
        <v>0</v>
      </c>
      <c r="F32" t="e">
        <f>_xlfn.XLOOKUP($A32,'Audit Report'!$C:$C,'Audit Report'!#REF!)</f>
        <v>#REF!</v>
      </c>
    </row>
    <row r="33" spans="2:6">
      <c r="B33" t="str">
        <f>_xlfn.XLOOKUP($A33,'Audit Report'!$C:$C,'Audit Report'!E:E)</f>
        <v/>
      </c>
      <c r="C33">
        <f>_xlfn.XLOOKUP($A33,'Audit Report'!$C:$C,'Audit Report'!F:F)</f>
        <v>0</v>
      </c>
      <c r="D33">
        <f>_xlfn.XLOOKUP($A33,'Audit Report'!$C:$C,'Audit Report'!G:G)</f>
        <v>0</v>
      </c>
      <c r="E33">
        <f>_xlfn.XLOOKUP($A33,'Audit Report'!$C:$C,'Audit Report'!U:U)</f>
        <v>0</v>
      </c>
      <c r="F33" t="e">
        <f>_xlfn.XLOOKUP($A33,'Audit Report'!$C:$C,'Audit Report'!#REF!)</f>
        <v>#REF!</v>
      </c>
    </row>
    <row r="34" spans="2:6">
      <c r="B34" t="str">
        <f>_xlfn.XLOOKUP($A34,'Audit Report'!$C:$C,'Audit Report'!E:E)</f>
        <v/>
      </c>
      <c r="C34">
        <f>_xlfn.XLOOKUP($A34,'Audit Report'!$C:$C,'Audit Report'!F:F)</f>
        <v>0</v>
      </c>
      <c r="D34">
        <f>_xlfn.XLOOKUP($A34,'Audit Report'!$C:$C,'Audit Report'!G:G)</f>
        <v>0</v>
      </c>
      <c r="E34">
        <f>_xlfn.XLOOKUP($A34,'Audit Report'!$C:$C,'Audit Report'!U:U)</f>
        <v>0</v>
      </c>
      <c r="F34" t="e">
        <f>_xlfn.XLOOKUP($A34,'Audit Report'!$C:$C,'Audit Report'!#REF!)</f>
        <v>#REF!</v>
      </c>
    </row>
    <row r="35" spans="2:6">
      <c r="B35" t="str">
        <f>_xlfn.XLOOKUP($A35,'Audit Report'!$C:$C,'Audit Report'!E:E)</f>
        <v/>
      </c>
      <c r="C35">
        <f>_xlfn.XLOOKUP($A35,'Audit Report'!$C:$C,'Audit Report'!F:F)</f>
        <v>0</v>
      </c>
      <c r="D35">
        <f>_xlfn.XLOOKUP($A35,'Audit Report'!$C:$C,'Audit Report'!G:G)</f>
        <v>0</v>
      </c>
      <c r="E35">
        <f>_xlfn.XLOOKUP($A35,'Audit Report'!$C:$C,'Audit Report'!U:U)</f>
        <v>0</v>
      </c>
      <c r="F35" t="e">
        <f>_xlfn.XLOOKUP($A35,'Audit Report'!$C:$C,'Audit Report'!#REF!)</f>
        <v>#REF!</v>
      </c>
    </row>
    <row r="36" spans="2:6">
      <c r="B36" t="str">
        <f>_xlfn.XLOOKUP($A36,'Audit Report'!$C:$C,'Audit Report'!E:E)</f>
        <v/>
      </c>
      <c r="C36">
        <f>_xlfn.XLOOKUP($A36,'Audit Report'!$C:$C,'Audit Report'!F:F)</f>
        <v>0</v>
      </c>
      <c r="D36">
        <f>_xlfn.XLOOKUP($A36,'Audit Report'!$C:$C,'Audit Report'!G:G)</f>
        <v>0</v>
      </c>
      <c r="E36">
        <f>_xlfn.XLOOKUP($A36,'Audit Report'!$C:$C,'Audit Report'!U:U)</f>
        <v>0</v>
      </c>
      <c r="F36" t="e">
        <f>_xlfn.XLOOKUP($A36,'Audit Report'!$C:$C,'Audit Report'!#REF!)</f>
        <v>#REF!</v>
      </c>
    </row>
    <row r="37" spans="2:6">
      <c r="B37" t="str">
        <f>_xlfn.XLOOKUP($A37,'Audit Report'!$C:$C,'Audit Report'!E:E)</f>
        <v/>
      </c>
      <c r="C37">
        <f>_xlfn.XLOOKUP($A37,'Audit Report'!$C:$C,'Audit Report'!F:F)</f>
        <v>0</v>
      </c>
      <c r="D37">
        <f>_xlfn.XLOOKUP($A37,'Audit Report'!$C:$C,'Audit Report'!G:G)</f>
        <v>0</v>
      </c>
      <c r="E37">
        <f>_xlfn.XLOOKUP($A37,'Audit Report'!$C:$C,'Audit Report'!U:U)</f>
        <v>0</v>
      </c>
      <c r="F37" t="e">
        <f>_xlfn.XLOOKUP($A37,'Audit Report'!$C:$C,'Audit Report'!#REF!)</f>
        <v>#REF!</v>
      </c>
    </row>
    <row r="38" spans="2:6">
      <c r="B38" t="str">
        <f>_xlfn.XLOOKUP($A38,'Audit Report'!$C:$C,'Audit Report'!E:E)</f>
        <v/>
      </c>
      <c r="C38">
        <f>_xlfn.XLOOKUP($A38,'Audit Report'!$C:$C,'Audit Report'!F:F)</f>
        <v>0</v>
      </c>
      <c r="D38">
        <f>_xlfn.XLOOKUP($A38,'Audit Report'!$C:$C,'Audit Report'!G:G)</f>
        <v>0</v>
      </c>
      <c r="E38">
        <f>_xlfn.XLOOKUP($A38,'Audit Report'!$C:$C,'Audit Report'!U:U)</f>
        <v>0</v>
      </c>
      <c r="F38" t="e">
        <f>_xlfn.XLOOKUP($A38,'Audit Report'!$C:$C,'Audit Report'!#REF!)</f>
        <v>#REF!</v>
      </c>
    </row>
    <row r="39" spans="2:6">
      <c r="B39" t="str">
        <f>_xlfn.XLOOKUP($A39,'Audit Report'!$C:$C,'Audit Report'!E:E)</f>
        <v/>
      </c>
      <c r="C39">
        <f>_xlfn.XLOOKUP($A39,'Audit Report'!$C:$C,'Audit Report'!F:F)</f>
        <v>0</v>
      </c>
      <c r="D39">
        <f>_xlfn.XLOOKUP($A39,'Audit Report'!$C:$C,'Audit Report'!G:G)</f>
        <v>0</v>
      </c>
      <c r="E39">
        <f>_xlfn.XLOOKUP($A39,'Audit Report'!$C:$C,'Audit Report'!U:U)</f>
        <v>0</v>
      </c>
      <c r="F39" t="e">
        <f>_xlfn.XLOOKUP($A39,'Audit Report'!$C:$C,'Audit Report'!#REF!)</f>
        <v>#REF!</v>
      </c>
    </row>
    <row r="40" spans="2:6">
      <c r="B40" t="str">
        <f>_xlfn.XLOOKUP($A40,'Audit Report'!$C:$C,'Audit Report'!E:E)</f>
        <v/>
      </c>
      <c r="C40">
        <f>_xlfn.XLOOKUP($A40,'Audit Report'!$C:$C,'Audit Report'!F:F)</f>
        <v>0</v>
      </c>
      <c r="D40">
        <f>_xlfn.XLOOKUP($A40,'Audit Report'!$C:$C,'Audit Report'!G:G)</f>
        <v>0</v>
      </c>
      <c r="E40">
        <f>_xlfn.XLOOKUP($A40,'Audit Report'!$C:$C,'Audit Report'!U:U)</f>
        <v>0</v>
      </c>
      <c r="F40" t="e">
        <f>_xlfn.XLOOKUP($A40,'Audit Report'!$C:$C,'Audit Report'!#REF!)</f>
        <v>#REF!</v>
      </c>
    </row>
    <row r="41" spans="2:6">
      <c r="B41" t="str">
        <f>_xlfn.XLOOKUP($A41,'Audit Report'!$C:$C,'Audit Report'!E:E)</f>
        <v/>
      </c>
      <c r="C41">
        <f>_xlfn.XLOOKUP($A41,'Audit Report'!$C:$C,'Audit Report'!F:F)</f>
        <v>0</v>
      </c>
      <c r="D41">
        <f>_xlfn.XLOOKUP($A41,'Audit Report'!$C:$C,'Audit Report'!G:G)</f>
        <v>0</v>
      </c>
      <c r="E41">
        <f>_xlfn.XLOOKUP($A41,'Audit Report'!$C:$C,'Audit Report'!U:U)</f>
        <v>0</v>
      </c>
      <c r="F41" t="e">
        <f>_xlfn.XLOOKUP($A41,'Audit Report'!$C:$C,'Audit Report'!#REF!)</f>
        <v>#REF!</v>
      </c>
    </row>
    <row r="42" spans="2:6">
      <c r="B42" t="str">
        <f>_xlfn.XLOOKUP($A42,'Audit Report'!$C:$C,'Audit Report'!E:E)</f>
        <v/>
      </c>
      <c r="C42">
        <f>_xlfn.XLOOKUP($A42,'Audit Report'!$C:$C,'Audit Report'!F:F)</f>
        <v>0</v>
      </c>
      <c r="D42">
        <f>_xlfn.XLOOKUP($A42,'Audit Report'!$C:$C,'Audit Report'!G:G)</f>
        <v>0</v>
      </c>
      <c r="E42">
        <f>_xlfn.XLOOKUP($A42,'Audit Report'!$C:$C,'Audit Report'!U:U)</f>
        <v>0</v>
      </c>
      <c r="F42" t="e">
        <f>_xlfn.XLOOKUP($A42,'Audit Report'!$C:$C,'Audit Report'!#REF!)</f>
        <v>#REF!</v>
      </c>
    </row>
    <row r="43" spans="2:6">
      <c r="B43" t="str">
        <f>_xlfn.XLOOKUP($A43,'Audit Report'!$C:$C,'Audit Report'!E:E)</f>
        <v/>
      </c>
      <c r="C43">
        <f>_xlfn.XLOOKUP($A43,'Audit Report'!$C:$C,'Audit Report'!F:F)</f>
        <v>0</v>
      </c>
      <c r="D43">
        <f>_xlfn.XLOOKUP($A43,'Audit Report'!$C:$C,'Audit Report'!G:G)</f>
        <v>0</v>
      </c>
      <c r="E43">
        <f>_xlfn.XLOOKUP($A43,'Audit Report'!$C:$C,'Audit Report'!U:U)</f>
        <v>0</v>
      </c>
      <c r="F43" t="e">
        <f>_xlfn.XLOOKUP($A43,'Audit Report'!$C:$C,'Audit Report'!#REF!)</f>
        <v>#REF!</v>
      </c>
    </row>
    <row r="44" spans="2:6">
      <c r="B44" t="str">
        <f>_xlfn.XLOOKUP($A44,'Audit Report'!$C:$C,'Audit Report'!E:E)</f>
        <v/>
      </c>
      <c r="C44">
        <f>_xlfn.XLOOKUP($A44,'Audit Report'!$C:$C,'Audit Report'!F:F)</f>
        <v>0</v>
      </c>
      <c r="D44">
        <f>_xlfn.XLOOKUP($A44,'Audit Report'!$C:$C,'Audit Report'!G:G)</f>
        <v>0</v>
      </c>
      <c r="E44">
        <f>_xlfn.XLOOKUP($A44,'Audit Report'!$C:$C,'Audit Report'!U:U)</f>
        <v>0</v>
      </c>
      <c r="F44" t="e">
        <f>_xlfn.XLOOKUP($A44,'Audit Report'!$C:$C,'Audit Report'!#REF!)</f>
        <v>#REF!</v>
      </c>
    </row>
    <row r="45" spans="2:6">
      <c r="B45" t="str">
        <f>_xlfn.XLOOKUP($A45,'Audit Report'!$C:$C,'Audit Report'!E:E)</f>
        <v/>
      </c>
      <c r="C45">
        <f>_xlfn.XLOOKUP($A45,'Audit Report'!$C:$C,'Audit Report'!F:F)</f>
        <v>0</v>
      </c>
      <c r="D45">
        <f>_xlfn.XLOOKUP($A45,'Audit Report'!$C:$C,'Audit Report'!G:G)</f>
        <v>0</v>
      </c>
      <c r="E45">
        <f>_xlfn.XLOOKUP($A45,'Audit Report'!$C:$C,'Audit Report'!U:U)</f>
        <v>0</v>
      </c>
      <c r="F45" t="e">
        <f>_xlfn.XLOOKUP($A45,'Audit Report'!$C:$C,'Audit Report'!#REF!)</f>
        <v>#REF!</v>
      </c>
    </row>
    <row r="46" spans="2:6">
      <c r="B46" t="str">
        <f>_xlfn.XLOOKUP($A46,'Audit Report'!$C:$C,'Audit Report'!E:E)</f>
        <v/>
      </c>
      <c r="C46">
        <f>_xlfn.XLOOKUP($A46,'Audit Report'!$C:$C,'Audit Report'!F:F)</f>
        <v>0</v>
      </c>
      <c r="D46">
        <f>_xlfn.XLOOKUP($A46,'Audit Report'!$C:$C,'Audit Report'!G:G)</f>
        <v>0</v>
      </c>
      <c r="E46">
        <f>_xlfn.XLOOKUP($A46,'Audit Report'!$C:$C,'Audit Report'!U:U)</f>
        <v>0</v>
      </c>
      <c r="F46" t="e">
        <f>_xlfn.XLOOKUP($A46,'Audit Report'!$C:$C,'Audit Report'!#REF!)</f>
        <v>#REF!</v>
      </c>
    </row>
    <row r="47" spans="2:6">
      <c r="B47" t="str">
        <f>_xlfn.XLOOKUP($A47,'Audit Report'!$C:$C,'Audit Report'!E:E)</f>
        <v/>
      </c>
      <c r="C47">
        <f>_xlfn.XLOOKUP($A47,'Audit Report'!$C:$C,'Audit Report'!F:F)</f>
        <v>0</v>
      </c>
      <c r="D47">
        <f>_xlfn.XLOOKUP($A47,'Audit Report'!$C:$C,'Audit Report'!G:G)</f>
        <v>0</v>
      </c>
      <c r="E47">
        <f>_xlfn.XLOOKUP($A47,'Audit Report'!$C:$C,'Audit Report'!U:U)</f>
        <v>0</v>
      </c>
      <c r="F47" t="e">
        <f>_xlfn.XLOOKUP($A47,'Audit Report'!$C:$C,'Audit Report'!#REF!)</f>
        <v>#REF!</v>
      </c>
    </row>
    <row r="48" spans="2:6">
      <c r="B48" t="str">
        <f>_xlfn.XLOOKUP($A48,'Audit Report'!$C:$C,'Audit Report'!E:E)</f>
        <v/>
      </c>
      <c r="C48">
        <f>_xlfn.XLOOKUP($A48,'Audit Report'!$C:$C,'Audit Report'!F:F)</f>
        <v>0</v>
      </c>
      <c r="D48">
        <f>_xlfn.XLOOKUP($A48,'Audit Report'!$C:$C,'Audit Report'!G:G)</f>
        <v>0</v>
      </c>
      <c r="E48">
        <f>_xlfn.XLOOKUP($A48,'Audit Report'!$C:$C,'Audit Report'!U:U)</f>
        <v>0</v>
      </c>
      <c r="F48" t="e">
        <f>_xlfn.XLOOKUP($A48,'Audit Report'!$C:$C,'Audit Report'!#REF!)</f>
        <v>#REF!</v>
      </c>
    </row>
    <row r="49" spans="2:6">
      <c r="B49" t="str">
        <f>_xlfn.XLOOKUP($A49,'Audit Report'!$C:$C,'Audit Report'!E:E)</f>
        <v/>
      </c>
      <c r="C49">
        <f>_xlfn.XLOOKUP($A49,'Audit Report'!$C:$C,'Audit Report'!F:F)</f>
        <v>0</v>
      </c>
      <c r="D49">
        <f>_xlfn.XLOOKUP($A49,'Audit Report'!$C:$C,'Audit Report'!G:G)</f>
        <v>0</v>
      </c>
      <c r="E49">
        <f>_xlfn.XLOOKUP($A49,'Audit Report'!$C:$C,'Audit Report'!U:U)</f>
        <v>0</v>
      </c>
      <c r="F49" t="e">
        <f>_xlfn.XLOOKUP($A49,'Audit Report'!$C:$C,'Audit Report'!#REF!)</f>
        <v>#REF!</v>
      </c>
    </row>
    <row r="50" spans="2:6">
      <c r="B50" t="str">
        <f>_xlfn.XLOOKUP($A50,'Audit Report'!$C:$C,'Audit Report'!E:E)</f>
        <v/>
      </c>
      <c r="C50">
        <f>_xlfn.XLOOKUP($A50,'Audit Report'!$C:$C,'Audit Report'!F:F)</f>
        <v>0</v>
      </c>
      <c r="D50">
        <f>_xlfn.XLOOKUP($A50,'Audit Report'!$C:$C,'Audit Report'!G:G)</f>
        <v>0</v>
      </c>
      <c r="E50">
        <f>_xlfn.XLOOKUP($A50,'Audit Report'!$C:$C,'Audit Report'!U:U)</f>
        <v>0</v>
      </c>
      <c r="F50" t="e">
        <f>_xlfn.XLOOKUP($A50,'Audit Report'!$C:$C,'Audit Report'!#REF!)</f>
        <v>#REF!</v>
      </c>
    </row>
    <row r="51" spans="2:6">
      <c r="B51" t="str">
        <f>_xlfn.XLOOKUP($A51,'Audit Report'!$C:$C,'Audit Report'!E:E)</f>
        <v/>
      </c>
      <c r="C51">
        <f>_xlfn.XLOOKUP($A51,'Audit Report'!$C:$C,'Audit Report'!F:F)</f>
        <v>0</v>
      </c>
      <c r="D51">
        <f>_xlfn.XLOOKUP($A51,'Audit Report'!$C:$C,'Audit Report'!G:G)</f>
        <v>0</v>
      </c>
      <c r="E51">
        <f>_xlfn.XLOOKUP($A51,'Audit Report'!$C:$C,'Audit Report'!U:U)</f>
        <v>0</v>
      </c>
      <c r="F51" t="e">
        <f>_xlfn.XLOOKUP($A51,'Audit Report'!$C:$C,'Audit Report'!#REF!)</f>
        <v>#REF!</v>
      </c>
    </row>
    <row r="52" spans="2:6">
      <c r="B52" t="str">
        <f>_xlfn.XLOOKUP($A52,'Audit Report'!$C:$C,'Audit Report'!E:E)</f>
        <v/>
      </c>
      <c r="C52">
        <f>_xlfn.XLOOKUP($A52,'Audit Report'!$C:$C,'Audit Report'!F:F)</f>
        <v>0</v>
      </c>
      <c r="D52">
        <f>_xlfn.XLOOKUP($A52,'Audit Report'!$C:$C,'Audit Report'!G:G)</f>
        <v>0</v>
      </c>
      <c r="E52">
        <f>_xlfn.XLOOKUP($A52,'Audit Report'!$C:$C,'Audit Report'!U:U)</f>
        <v>0</v>
      </c>
      <c r="F52" t="e">
        <f>_xlfn.XLOOKUP($A52,'Audit Report'!$C:$C,'Audit Report'!#REF!)</f>
        <v>#REF!</v>
      </c>
    </row>
    <row r="53" spans="2:6">
      <c r="B53" t="str">
        <f>_xlfn.XLOOKUP($A53,'Audit Report'!$C:$C,'Audit Report'!E:E)</f>
        <v/>
      </c>
      <c r="C53">
        <f>_xlfn.XLOOKUP($A53,'Audit Report'!$C:$C,'Audit Report'!F:F)</f>
        <v>0</v>
      </c>
      <c r="D53">
        <f>_xlfn.XLOOKUP($A53,'Audit Report'!$C:$C,'Audit Report'!G:G)</f>
        <v>0</v>
      </c>
      <c r="E53">
        <f>_xlfn.XLOOKUP($A53,'Audit Report'!$C:$C,'Audit Report'!U:U)</f>
        <v>0</v>
      </c>
      <c r="F53" t="e">
        <f>_xlfn.XLOOKUP($A53,'Audit Report'!$C:$C,'Audit Report'!#REF!)</f>
        <v>#REF!</v>
      </c>
    </row>
    <row r="54" spans="2:6">
      <c r="B54" t="str">
        <f>_xlfn.XLOOKUP($A54,'Audit Report'!$C:$C,'Audit Report'!E:E)</f>
        <v/>
      </c>
      <c r="C54">
        <f>_xlfn.XLOOKUP($A54,'Audit Report'!$C:$C,'Audit Report'!F:F)</f>
        <v>0</v>
      </c>
      <c r="D54">
        <f>_xlfn.XLOOKUP($A54,'Audit Report'!$C:$C,'Audit Report'!G:G)</f>
        <v>0</v>
      </c>
      <c r="E54">
        <f>_xlfn.XLOOKUP($A54,'Audit Report'!$C:$C,'Audit Report'!U:U)</f>
        <v>0</v>
      </c>
      <c r="F54" t="e">
        <f>_xlfn.XLOOKUP($A54,'Audit Report'!$C:$C,'Audit Report'!#REF!)</f>
        <v>#REF!</v>
      </c>
    </row>
    <row r="55" spans="2:6">
      <c r="B55" t="str">
        <f>_xlfn.XLOOKUP($A55,'Audit Report'!$C:$C,'Audit Report'!E:E)</f>
        <v/>
      </c>
      <c r="C55">
        <f>_xlfn.XLOOKUP($A55,'Audit Report'!$C:$C,'Audit Report'!F:F)</f>
        <v>0</v>
      </c>
      <c r="D55">
        <f>_xlfn.XLOOKUP($A55,'Audit Report'!$C:$C,'Audit Report'!G:G)</f>
        <v>0</v>
      </c>
      <c r="E55">
        <f>_xlfn.XLOOKUP($A55,'Audit Report'!$C:$C,'Audit Report'!U:U)</f>
        <v>0</v>
      </c>
      <c r="F55" t="e">
        <f>_xlfn.XLOOKUP($A55,'Audit Report'!$C:$C,'Audit Report'!#REF!)</f>
        <v>#REF!</v>
      </c>
    </row>
    <row r="56" spans="2:6">
      <c r="B56" t="str">
        <f>_xlfn.XLOOKUP($A56,'Audit Report'!$C:$C,'Audit Report'!E:E)</f>
        <v/>
      </c>
      <c r="C56">
        <f>_xlfn.XLOOKUP($A56,'Audit Report'!$C:$C,'Audit Report'!F:F)</f>
        <v>0</v>
      </c>
      <c r="D56">
        <f>_xlfn.XLOOKUP($A56,'Audit Report'!$C:$C,'Audit Report'!G:G)</f>
        <v>0</v>
      </c>
      <c r="E56">
        <f>_xlfn.XLOOKUP($A56,'Audit Report'!$C:$C,'Audit Report'!U:U)</f>
        <v>0</v>
      </c>
      <c r="F56" t="e">
        <f>_xlfn.XLOOKUP($A56,'Audit Report'!$C:$C,'Audit Report'!#REF!)</f>
        <v>#REF!</v>
      </c>
    </row>
    <row r="57" spans="2:6">
      <c r="B57" t="str">
        <f>_xlfn.XLOOKUP($A57,'Audit Report'!$C:$C,'Audit Report'!E:E)</f>
        <v/>
      </c>
      <c r="C57">
        <f>_xlfn.XLOOKUP($A57,'Audit Report'!$C:$C,'Audit Report'!F:F)</f>
        <v>0</v>
      </c>
      <c r="D57">
        <f>_xlfn.XLOOKUP($A57,'Audit Report'!$C:$C,'Audit Report'!G:G)</f>
        <v>0</v>
      </c>
      <c r="E57">
        <f>_xlfn.XLOOKUP($A57,'Audit Report'!$C:$C,'Audit Report'!U:U)</f>
        <v>0</v>
      </c>
      <c r="F57" t="e">
        <f>_xlfn.XLOOKUP($A57,'Audit Report'!$C:$C,'Audit Report'!#REF!)</f>
        <v>#REF!</v>
      </c>
    </row>
    <row r="58" spans="2:6">
      <c r="B58" t="str">
        <f>_xlfn.XLOOKUP($A58,'Audit Report'!$C:$C,'Audit Report'!E:E)</f>
        <v/>
      </c>
      <c r="C58">
        <f>_xlfn.XLOOKUP($A58,'Audit Report'!$C:$C,'Audit Report'!F:F)</f>
        <v>0</v>
      </c>
      <c r="D58">
        <f>_xlfn.XLOOKUP($A58,'Audit Report'!$C:$C,'Audit Report'!G:G)</f>
        <v>0</v>
      </c>
      <c r="E58">
        <f>_xlfn.XLOOKUP($A58,'Audit Report'!$C:$C,'Audit Report'!U:U)</f>
        <v>0</v>
      </c>
      <c r="F58" t="e">
        <f>_xlfn.XLOOKUP($A58,'Audit Report'!$C:$C,'Audit Report'!#REF!)</f>
        <v>#REF!</v>
      </c>
    </row>
    <row r="59" spans="2:6">
      <c r="B59" t="str">
        <f>_xlfn.XLOOKUP($A59,'Audit Report'!$C:$C,'Audit Report'!E:E)</f>
        <v/>
      </c>
      <c r="C59">
        <f>_xlfn.XLOOKUP($A59,'Audit Report'!$C:$C,'Audit Report'!F:F)</f>
        <v>0</v>
      </c>
      <c r="D59">
        <f>_xlfn.XLOOKUP($A59,'Audit Report'!$C:$C,'Audit Report'!G:G)</f>
        <v>0</v>
      </c>
      <c r="E59">
        <f>_xlfn.XLOOKUP($A59,'Audit Report'!$C:$C,'Audit Report'!U:U)</f>
        <v>0</v>
      </c>
      <c r="F59" t="e">
        <f>_xlfn.XLOOKUP($A59,'Audit Report'!$C:$C,'Audit Report'!#REF!)</f>
        <v>#REF!</v>
      </c>
    </row>
    <row r="60" spans="2:6">
      <c r="B60" t="str">
        <f>_xlfn.XLOOKUP($A60,'Audit Report'!$C:$C,'Audit Report'!E:E)</f>
        <v/>
      </c>
      <c r="C60">
        <f>_xlfn.XLOOKUP($A60,'Audit Report'!$C:$C,'Audit Report'!F:F)</f>
        <v>0</v>
      </c>
      <c r="D60">
        <f>_xlfn.XLOOKUP($A60,'Audit Report'!$C:$C,'Audit Report'!G:G)</f>
        <v>0</v>
      </c>
      <c r="E60">
        <f>_xlfn.XLOOKUP($A60,'Audit Report'!$C:$C,'Audit Report'!U:U)</f>
        <v>0</v>
      </c>
      <c r="F60" t="e">
        <f>_xlfn.XLOOKUP($A60,'Audit Report'!$C:$C,'Audit Report'!#REF!)</f>
        <v>#REF!</v>
      </c>
    </row>
    <row r="61" spans="2:6">
      <c r="B61" t="str">
        <f>_xlfn.XLOOKUP($A61,'Audit Report'!$C:$C,'Audit Report'!E:E)</f>
        <v/>
      </c>
      <c r="C61">
        <f>_xlfn.XLOOKUP($A61,'Audit Report'!$C:$C,'Audit Report'!F:F)</f>
        <v>0</v>
      </c>
      <c r="D61">
        <f>_xlfn.XLOOKUP($A61,'Audit Report'!$C:$C,'Audit Report'!G:G)</f>
        <v>0</v>
      </c>
      <c r="E61">
        <f>_xlfn.XLOOKUP($A61,'Audit Report'!$C:$C,'Audit Report'!U:U)</f>
        <v>0</v>
      </c>
      <c r="F61" t="e">
        <f>_xlfn.XLOOKUP($A61,'Audit Report'!$C:$C,'Audit Report'!#REF!)</f>
        <v>#REF!</v>
      </c>
    </row>
    <row r="62" spans="2:6">
      <c r="B62" t="str">
        <f>_xlfn.XLOOKUP($A62,'Audit Report'!$C:$C,'Audit Report'!E:E)</f>
        <v/>
      </c>
      <c r="C62">
        <f>_xlfn.XLOOKUP($A62,'Audit Report'!$C:$C,'Audit Report'!F:F)</f>
        <v>0</v>
      </c>
      <c r="D62">
        <f>_xlfn.XLOOKUP($A62,'Audit Report'!$C:$C,'Audit Report'!G:G)</f>
        <v>0</v>
      </c>
      <c r="E62">
        <f>_xlfn.XLOOKUP($A62,'Audit Report'!$C:$C,'Audit Report'!U:U)</f>
        <v>0</v>
      </c>
      <c r="F62" t="e">
        <f>_xlfn.XLOOKUP($A62,'Audit Report'!$C:$C,'Audit Report'!#REF!)</f>
        <v>#REF!</v>
      </c>
    </row>
    <row r="63" spans="2:6">
      <c r="B63" t="str">
        <f>_xlfn.XLOOKUP($A63,'Audit Report'!$C:$C,'Audit Report'!E:E)</f>
        <v/>
      </c>
      <c r="C63">
        <f>_xlfn.XLOOKUP($A63,'Audit Report'!$C:$C,'Audit Report'!F:F)</f>
        <v>0</v>
      </c>
      <c r="D63">
        <f>_xlfn.XLOOKUP($A63,'Audit Report'!$C:$C,'Audit Report'!G:G)</f>
        <v>0</v>
      </c>
      <c r="E63">
        <f>_xlfn.XLOOKUP($A63,'Audit Report'!$C:$C,'Audit Report'!U:U)</f>
        <v>0</v>
      </c>
      <c r="F63" t="e">
        <f>_xlfn.XLOOKUP($A63,'Audit Report'!$C:$C,'Audit Report'!#REF!)</f>
        <v>#REF!</v>
      </c>
    </row>
    <row r="64" spans="2:6">
      <c r="B64" t="str">
        <f>_xlfn.XLOOKUP($A64,'Audit Report'!$C:$C,'Audit Report'!E:E)</f>
        <v/>
      </c>
      <c r="C64">
        <f>_xlfn.XLOOKUP($A64,'Audit Report'!$C:$C,'Audit Report'!F:F)</f>
        <v>0</v>
      </c>
      <c r="D64">
        <f>_xlfn.XLOOKUP($A64,'Audit Report'!$C:$C,'Audit Report'!G:G)</f>
        <v>0</v>
      </c>
      <c r="E64">
        <f>_xlfn.XLOOKUP($A64,'Audit Report'!$C:$C,'Audit Report'!U:U)</f>
        <v>0</v>
      </c>
      <c r="F64" t="e">
        <f>_xlfn.XLOOKUP($A64,'Audit Report'!$C:$C,'Audit Report'!#REF!)</f>
        <v>#REF!</v>
      </c>
    </row>
    <row r="65" spans="2:6">
      <c r="B65" t="str">
        <f>_xlfn.XLOOKUP($A65,'Audit Report'!$C:$C,'Audit Report'!E:E)</f>
        <v/>
      </c>
      <c r="C65">
        <f>_xlfn.XLOOKUP($A65,'Audit Report'!$C:$C,'Audit Report'!F:F)</f>
        <v>0</v>
      </c>
      <c r="D65">
        <f>_xlfn.XLOOKUP($A65,'Audit Report'!$C:$C,'Audit Report'!G:G)</f>
        <v>0</v>
      </c>
      <c r="E65">
        <f>_xlfn.XLOOKUP($A65,'Audit Report'!$C:$C,'Audit Report'!U:U)</f>
        <v>0</v>
      </c>
      <c r="F65" t="e">
        <f>_xlfn.XLOOKUP($A65,'Audit Report'!$C:$C,'Audit Report'!#REF!)</f>
        <v>#REF!</v>
      </c>
    </row>
    <row r="66" spans="2:6">
      <c r="B66" t="str">
        <f>_xlfn.XLOOKUP($A66,'Audit Report'!$C:$C,'Audit Report'!E:E)</f>
        <v/>
      </c>
      <c r="C66">
        <f>_xlfn.XLOOKUP($A66,'Audit Report'!$C:$C,'Audit Report'!F:F)</f>
        <v>0</v>
      </c>
      <c r="D66">
        <f>_xlfn.XLOOKUP($A66,'Audit Report'!$C:$C,'Audit Report'!G:G)</f>
        <v>0</v>
      </c>
      <c r="E66">
        <f>_xlfn.XLOOKUP($A66,'Audit Report'!$C:$C,'Audit Report'!U:U)</f>
        <v>0</v>
      </c>
      <c r="F66" t="e">
        <f>_xlfn.XLOOKUP($A66,'Audit Report'!$C:$C,'Audit Report'!#REF!)</f>
        <v>#REF!</v>
      </c>
    </row>
    <row r="67" spans="2:6">
      <c r="B67" t="str">
        <f>_xlfn.XLOOKUP($A67,'Audit Report'!$C:$C,'Audit Report'!E:E)</f>
        <v/>
      </c>
      <c r="C67">
        <f>_xlfn.XLOOKUP($A67,'Audit Report'!$C:$C,'Audit Report'!F:F)</f>
        <v>0</v>
      </c>
      <c r="D67">
        <f>_xlfn.XLOOKUP($A67,'Audit Report'!$C:$C,'Audit Report'!G:G)</f>
        <v>0</v>
      </c>
      <c r="E67">
        <f>_xlfn.XLOOKUP($A67,'Audit Report'!$C:$C,'Audit Report'!U:U)</f>
        <v>0</v>
      </c>
      <c r="F67" t="e">
        <f>_xlfn.XLOOKUP($A67,'Audit Report'!$C:$C,'Audit Report'!#REF!)</f>
        <v>#REF!</v>
      </c>
    </row>
    <row r="68" spans="2:6">
      <c r="B68" t="str">
        <f>_xlfn.XLOOKUP($A68,'Audit Report'!$C:$C,'Audit Report'!E:E)</f>
        <v/>
      </c>
      <c r="C68">
        <f>_xlfn.XLOOKUP($A68,'Audit Report'!$C:$C,'Audit Report'!F:F)</f>
        <v>0</v>
      </c>
      <c r="D68">
        <f>_xlfn.XLOOKUP($A68,'Audit Report'!$C:$C,'Audit Report'!G:G)</f>
        <v>0</v>
      </c>
      <c r="E68">
        <f>_xlfn.XLOOKUP($A68,'Audit Report'!$C:$C,'Audit Report'!U:U)</f>
        <v>0</v>
      </c>
      <c r="F68" t="e">
        <f>_xlfn.XLOOKUP($A68,'Audit Report'!$C:$C,'Audit Report'!#REF!)</f>
        <v>#REF!</v>
      </c>
    </row>
    <row r="69" spans="2:6">
      <c r="B69" t="str">
        <f>_xlfn.XLOOKUP($A69,'Audit Report'!$C:$C,'Audit Report'!E:E)</f>
        <v/>
      </c>
      <c r="C69">
        <f>_xlfn.XLOOKUP($A69,'Audit Report'!$C:$C,'Audit Report'!F:F)</f>
        <v>0</v>
      </c>
      <c r="D69">
        <f>_xlfn.XLOOKUP($A69,'Audit Report'!$C:$C,'Audit Report'!G:G)</f>
        <v>0</v>
      </c>
      <c r="E69">
        <f>_xlfn.XLOOKUP($A69,'Audit Report'!$C:$C,'Audit Report'!U:U)</f>
        <v>0</v>
      </c>
      <c r="F69" t="e">
        <f>_xlfn.XLOOKUP($A69,'Audit Report'!$C:$C,'Audit Report'!#REF!)</f>
        <v>#REF!</v>
      </c>
    </row>
    <row r="70" spans="2:6">
      <c r="B70" t="str">
        <f>_xlfn.XLOOKUP($A70,'Audit Report'!$C:$C,'Audit Report'!E:E)</f>
        <v/>
      </c>
      <c r="C70">
        <f>_xlfn.XLOOKUP($A70,'Audit Report'!$C:$C,'Audit Report'!F:F)</f>
        <v>0</v>
      </c>
      <c r="D70">
        <f>_xlfn.XLOOKUP($A70,'Audit Report'!$C:$C,'Audit Report'!G:G)</f>
        <v>0</v>
      </c>
      <c r="E70">
        <f>_xlfn.XLOOKUP($A70,'Audit Report'!$C:$C,'Audit Report'!U:U)</f>
        <v>0</v>
      </c>
      <c r="F70" t="e">
        <f>_xlfn.XLOOKUP($A70,'Audit Report'!$C:$C,'Audit Report'!#REF!)</f>
        <v>#REF!</v>
      </c>
    </row>
    <row r="71" spans="2:6">
      <c r="B71" t="str">
        <f>_xlfn.XLOOKUP($A71,'Audit Report'!$C:$C,'Audit Report'!E:E)</f>
        <v/>
      </c>
      <c r="C71">
        <f>_xlfn.XLOOKUP($A71,'Audit Report'!$C:$C,'Audit Report'!F:F)</f>
        <v>0</v>
      </c>
      <c r="D71">
        <f>_xlfn.XLOOKUP($A71,'Audit Report'!$C:$C,'Audit Report'!G:G)</f>
        <v>0</v>
      </c>
      <c r="E71">
        <f>_xlfn.XLOOKUP($A71,'Audit Report'!$C:$C,'Audit Report'!U:U)</f>
        <v>0</v>
      </c>
      <c r="F71" t="e">
        <f>_xlfn.XLOOKUP($A71,'Audit Report'!$C:$C,'Audit Report'!#REF!)</f>
        <v>#REF!</v>
      </c>
    </row>
    <row r="72" spans="2:6">
      <c r="B72" t="str">
        <f>_xlfn.XLOOKUP($A72,'Audit Report'!$C:$C,'Audit Report'!E:E)</f>
        <v/>
      </c>
      <c r="C72">
        <f>_xlfn.XLOOKUP($A72,'Audit Report'!$C:$C,'Audit Report'!F:F)</f>
        <v>0</v>
      </c>
      <c r="D72">
        <f>_xlfn.XLOOKUP($A72,'Audit Report'!$C:$C,'Audit Report'!G:G)</f>
        <v>0</v>
      </c>
      <c r="E72">
        <f>_xlfn.XLOOKUP($A72,'Audit Report'!$C:$C,'Audit Report'!U:U)</f>
        <v>0</v>
      </c>
      <c r="F72" t="e">
        <f>_xlfn.XLOOKUP($A72,'Audit Report'!$C:$C,'Audit Report'!#REF!)</f>
        <v>#REF!</v>
      </c>
    </row>
    <row r="73" spans="2:6">
      <c r="B73" t="str">
        <f>_xlfn.XLOOKUP($A73,'Audit Report'!$C:$C,'Audit Report'!E:E)</f>
        <v/>
      </c>
      <c r="C73">
        <f>_xlfn.XLOOKUP($A73,'Audit Report'!$C:$C,'Audit Report'!F:F)</f>
        <v>0</v>
      </c>
      <c r="D73">
        <f>_xlfn.XLOOKUP($A73,'Audit Report'!$C:$C,'Audit Report'!G:G)</f>
        <v>0</v>
      </c>
      <c r="E73">
        <f>_xlfn.XLOOKUP($A73,'Audit Report'!$C:$C,'Audit Report'!U:U)</f>
        <v>0</v>
      </c>
      <c r="F73" t="e">
        <f>_xlfn.XLOOKUP($A73,'Audit Report'!$C:$C,'Audit Report'!#REF!)</f>
        <v>#REF!</v>
      </c>
    </row>
    <row r="74" spans="2:6">
      <c r="B74" t="str">
        <f>_xlfn.XLOOKUP($A74,'Audit Report'!$C:$C,'Audit Report'!E:E)</f>
        <v/>
      </c>
      <c r="C74">
        <f>_xlfn.XLOOKUP($A74,'Audit Report'!$C:$C,'Audit Report'!F:F)</f>
        <v>0</v>
      </c>
      <c r="D74">
        <f>_xlfn.XLOOKUP($A74,'Audit Report'!$C:$C,'Audit Report'!G:G)</f>
        <v>0</v>
      </c>
      <c r="E74">
        <f>_xlfn.XLOOKUP($A74,'Audit Report'!$C:$C,'Audit Report'!U:U)</f>
        <v>0</v>
      </c>
      <c r="F74" t="e">
        <f>_xlfn.XLOOKUP($A74,'Audit Report'!$C:$C,'Audit Report'!#REF!)</f>
        <v>#REF!</v>
      </c>
    </row>
    <row r="75" spans="2:6">
      <c r="B75" t="str">
        <f>_xlfn.XLOOKUP($A75,'Audit Report'!$C:$C,'Audit Report'!E:E)</f>
        <v/>
      </c>
      <c r="C75">
        <f>_xlfn.XLOOKUP($A75,'Audit Report'!$C:$C,'Audit Report'!F:F)</f>
        <v>0</v>
      </c>
      <c r="D75">
        <f>_xlfn.XLOOKUP($A75,'Audit Report'!$C:$C,'Audit Report'!G:G)</f>
        <v>0</v>
      </c>
      <c r="E75">
        <f>_xlfn.XLOOKUP($A75,'Audit Report'!$C:$C,'Audit Report'!U:U)</f>
        <v>0</v>
      </c>
      <c r="F75" t="e">
        <f>_xlfn.XLOOKUP($A75,'Audit Report'!$C:$C,'Audit Report'!#REF!)</f>
        <v>#REF!</v>
      </c>
    </row>
    <row r="76" spans="2:6">
      <c r="B76" t="str">
        <f>_xlfn.XLOOKUP($A76,'Audit Report'!$C:$C,'Audit Report'!E:E)</f>
        <v/>
      </c>
      <c r="C76">
        <f>_xlfn.XLOOKUP($A76,'Audit Report'!$C:$C,'Audit Report'!F:F)</f>
        <v>0</v>
      </c>
      <c r="D76">
        <f>_xlfn.XLOOKUP($A76,'Audit Report'!$C:$C,'Audit Report'!G:G)</f>
        <v>0</v>
      </c>
      <c r="E76">
        <f>_xlfn.XLOOKUP($A76,'Audit Report'!$C:$C,'Audit Report'!U:U)</f>
        <v>0</v>
      </c>
      <c r="F76" t="e">
        <f>_xlfn.XLOOKUP($A76,'Audit Report'!$C:$C,'Audit Report'!#REF!)</f>
        <v>#REF!</v>
      </c>
    </row>
    <row r="77" spans="2:6">
      <c r="B77" t="str">
        <f>_xlfn.XLOOKUP($A77,'Audit Report'!$C:$C,'Audit Report'!E:E)</f>
        <v/>
      </c>
      <c r="C77">
        <f>_xlfn.XLOOKUP($A77,'Audit Report'!$C:$C,'Audit Report'!F:F)</f>
        <v>0</v>
      </c>
      <c r="D77">
        <f>_xlfn.XLOOKUP($A77,'Audit Report'!$C:$C,'Audit Report'!G:G)</f>
        <v>0</v>
      </c>
      <c r="E77">
        <f>_xlfn.XLOOKUP($A77,'Audit Report'!$C:$C,'Audit Report'!U:U)</f>
        <v>0</v>
      </c>
      <c r="F77" t="e">
        <f>_xlfn.XLOOKUP($A77,'Audit Report'!$C:$C,'Audit Report'!#REF!)</f>
        <v>#REF!</v>
      </c>
    </row>
    <row r="78" spans="2:6">
      <c r="B78" t="str">
        <f>_xlfn.XLOOKUP($A78,'Audit Report'!$C:$C,'Audit Report'!E:E)</f>
        <v/>
      </c>
      <c r="C78">
        <f>_xlfn.XLOOKUP($A78,'Audit Report'!$C:$C,'Audit Report'!F:F)</f>
        <v>0</v>
      </c>
      <c r="D78">
        <f>_xlfn.XLOOKUP($A78,'Audit Report'!$C:$C,'Audit Report'!G:G)</f>
        <v>0</v>
      </c>
      <c r="E78">
        <f>_xlfn.XLOOKUP($A78,'Audit Report'!$C:$C,'Audit Report'!U:U)</f>
        <v>0</v>
      </c>
      <c r="F78" t="e">
        <f>_xlfn.XLOOKUP($A78,'Audit Report'!$C:$C,'Audit Report'!#REF!)</f>
        <v>#REF!</v>
      </c>
    </row>
    <row r="79" spans="2:6">
      <c r="B79" t="str">
        <f>_xlfn.XLOOKUP($A79,'Audit Report'!$C:$C,'Audit Report'!E:E)</f>
        <v/>
      </c>
      <c r="C79">
        <f>_xlfn.XLOOKUP($A79,'Audit Report'!$C:$C,'Audit Report'!F:F)</f>
        <v>0</v>
      </c>
      <c r="D79">
        <f>_xlfn.XLOOKUP($A79,'Audit Report'!$C:$C,'Audit Report'!G:G)</f>
        <v>0</v>
      </c>
      <c r="E79">
        <f>_xlfn.XLOOKUP($A79,'Audit Report'!$C:$C,'Audit Report'!U:U)</f>
        <v>0</v>
      </c>
      <c r="F79" t="e">
        <f>_xlfn.XLOOKUP($A79,'Audit Report'!$C:$C,'Audit Report'!#REF!)</f>
        <v>#REF!</v>
      </c>
    </row>
    <row r="80" spans="2:6">
      <c r="B80" t="str">
        <f>_xlfn.XLOOKUP($A80,'Audit Report'!$C:$C,'Audit Report'!E:E)</f>
        <v/>
      </c>
      <c r="C80">
        <f>_xlfn.XLOOKUP($A80,'Audit Report'!$C:$C,'Audit Report'!F:F)</f>
        <v>0</v>
      </c>
      <c r="D80">
        <f>_xlfn.XLOOKUP($A80,'Audit Report'!$C:$C,'Audit Report'!G:G)</f>
        <v>0</v>
      </c>
      <c r="E80">
        <f>_xlfn.XLOOKUP($A80,'Audit Report'!$C:$C,'Audit Report'!U:U)</f>
        <v>0</v>
      </c>
      <c r="F80" t="e">
        <f>_xlfn.XLOOKUP($A80,'Audit Report'!$C:$C,'Audit Report'!#REF!)</f>
        <v>#REF!</v>
      </c>
    </row>
    <row r="81" spans="2:6">
      <c r="B81" t="str">
        <f>_xlfn.XLOOKUP($A81,'Audit Report'!$C:$C,'Audit Report'!E:E)</f>
        <v/>
      </c>
      <c r="C81">
        <f>_xlfn.XLOOKUP($A81,'Audit Report'!$C:$C,'Audit Report'!F:F)</f>
        <v>0</v>
      </c>
      <c r="D81">
        <f>_xlfn.XLOOKUP($A81,'Audit Report'!$C:$C,'Audit Report'!G:G)</f>
        <v>0</v>
      </c>
      <c r="E81">
        <f>_xlfn.XLOOKUP($A81,'Audit Report'!$C:$C,'Audit Report'!U:U)</f>
        <v>0</v>
      </c>
      <c r="F81" t="e">
        <f>_xlfn.XLOOKUP($A81,'Audit Report'!$C:$C,'Audit Report'!#REF!)</f>
        <v>#REF!</v>
      </c>
    </row>
    <row r="82" spans="2:6">
      <c r="B82" t="str">
        <f>_xlfn.XLOOKUP($A82,'Audit Report'!$C:$C,'Audit Report'!E:E)</f>
        <v/>
      </c>
      <c r="C82">
        <f>_xlfn.XLOOKUP($A82,'Audit Report'!$C:$C,'Audit Report'!F:F)</f>
        <v>0</v>
      </c>
      <c r="D82">
        <f>_xlfn.XLOOKUP($A82,'Audit Report'!$C:$C,'Audit Report'!G:G)</f>
        <v>0</v>
      </c>
      <c r="E82">
        <f>_xlfn.XLOOKUP($A82,'Audit Report'!$C:$C,'Audit Report'!U:U)</f>
        <v>0</v>
      </c>
      <c r="F82" t="e">
        <f>_xlfn.XLOOKUP($A82,'Audit Report'!$C:$C,'Audit Report'!#REF!)</f>
        <v>#REF!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U456"/>
  <sheetViews>
    <sheetView workbookViewId="0">
      <pane ySplit="1" topLeftCell="A2" activePane="bottomLeft" state="frozen"/>
      <selection pane="bottomLeft" activeCell="D6" sqref="D6"/>
    </sheetView>
  </sheetViews>
  <sheetFormatPr defaultRowHeight="15"/>
  <cols>
    <col min="1" max="1" width="7" style="53" customWidth="1"/>
    <col min="2" max="2" width="30.42578125" customWidth="1"/>
    <col min="3" max="3" width="21.85546875" customWidth="1"/>
    <col min="4" max="4" width="10.7109375" bestFit="1" customWidth="1"/>
    <col min="5" max="5" width="6.85546875" bestFit="1" customWidth="1"/>
    <col min="6" max="6" width="29.42578125" customWidth="1"/>
    <col min="7" max="7" width="8.42578125" bestFit="1" customWidth="1"/>
    <col min="8" max="8" width="5.85546875" bestFit="1" customWidth="1"/>
    <col min="9" max="9" width="9.85546875" bestFit="1" customWidth="1"/>
    <col min="10" max="10" width="10.28515625" bestFit="1" customWidth="1"/>
    <col min="11" max="11" width="15" bestFit="1" customWidth="1"/>
    <col min="12" max="12" width="19.42578125" customWidth="1"/>
    <col min="13" max="13" width="60.5703125" customWidth="1"/>
    <col min="14" max="14" width="32.28515625" style="53" hidden="1" customWidth="1"/>
    <col min="15" max="15" width="14.7109375" bestFit="1" customWidth="1"/>
    <col min="16" max="16" width="39" style="18" customWidth="1"/>
    <col min="17" max="17" width="17.140625" bestFit="1" customWidth="1"/>
    <col min="18" max="18" width="26.7109375" bestFit="1" customWidth="1"/>
    <col min="19" max="20" width="12.5703125" bestFit="1" customWidth="1"/>
    <col min="21" max="21" width="11.28515625" bestFit="1" customWidth="1"/>
  </cols>
  <sheetData>
    <row r="1" spans="1:21" s="62" customFormat="1" ht="17.25">
      <c r="A1" s="60" t="s">
        <v>0</v>
      </c>
      <c r="B1" s="60" t="s">
        <v>1</v>
      </c>
      <c r="C1" s="60" t="s">
        <v>483</v>
      </c>
      <c r="D1" s="60" t="s">
        <v>2</v>
      </c>
      <c r="E1" s="60" t="s">
        <v>5</v>
      </c>
      <c r="F1" s="60" t="s">
        <v>6</v>
      </c>
      <c r="G1" s="60" t="s">
        <v>7</v>
      </c>
      <c r="H1" s="60" t="s">
        <v>8</v>
      </c>
      <c r="I1" s="60" t="s">
        <v>9</v>
      </c>
      <c r="J1" s="60" t="s">
        <v>10</v>
      </c>
      <c r="K1" s="60" t="s">
        <v>484</v>
      </c>
      <c r="L1" s="60" t="s">
        <v>489</v>
      </c>
      <c r="M1" s="60" t="s">
        <v>12</v>
      </c>
      <c r="N1" s="60" t="s">
        <v>759</v>
      </c>
      <c r="O1" s="60" t="s">
        <v>485</v>
      </c>
      <c r="P1" s="61" t="s">
        <v>15</v>
      </c>
      <c r="Q1" s="60" t="s">
        <v>16</v>
      </c>
      <c r="R1" s="60" t="s">
        <v>17</v>
      </c>
      <c r="S1" s="60" t="s">
        <v>18</v>
      </c>
      <c r="T1" s="60" t="s">
        <v>19</v>
      </c>
      <c r="U1" s="60" t="s">
        <v>20</v>
      </c>
    </row>
    <row r="2" spans="1:21">
      <c r="A2" s="52" t="str">
        <f>_xlfn.TEXTJOIN("",TRUE,Input!$B$2,"0",ROW(My_Audit!A1))</f>
        <v>XX01</v>
      </c>
      <c r="B2" s="39"/>
      <c r="C2" s="39"/>
      <c r="D2" s="48"/>
      <c r="E2" s="39"/>
      <c r="F2" s="39"/>
      <c r="G2" s="39"/>
      <c r="H2" s="39"/>
      <c r="I2" s="39"/>
      <c r="J2" s="39"/>
      <c r="K2" s="39"/>
      <c r="L2" s="39"/>
      <c r="M2" s="39"/>
      <c r="N2" s="52" t="str">
        <f>_xlfn.TEXTJOIN(", ",TRUE, L2, M2)</f>
        <v/>
      </c>
      <c r="O2" s="39"/>
      <c r="P2" s="50"/>
      <c r="Q2" s="39"/>
      <c r="R2" s="39"/>
      <c r="S2" s="39"/>
      <c r="T2" s="39"/>
      <c r="U2" s="39"/>
    </row>
    <row r="3" spans="1:21">
      <c r="A3" s="52" t="str">
        <f>_xlfn.TEXTJOIN("",TRUE,Input!$B$2,"0",ROW(My_Audit!A2))</f>
        <v>XX02</v>
      </c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52" t="str">
        <f t="shared" ref="N3:N66" si="0">_xlfn.TEXTJOIN(", ",TRUE, L3, M3)</f>
        <v/>
      </c>
      <c r="O3" s="39"/>
      <c r="P3" s="50"/>
      <c r="Q3" s="39"/>
      <c r="R3" s="39"/>
      <c r="S3" s="39"/>
      <c r="T3" s="39"/>
      <c r="U3" s="39"/>
    </row>
    <row r="4" spans="1:21">
      <c r="A4" s="52" t="str">
        <f>_xlfn.TEXTJOIN("",TRUE,Input!$B$2,"0",ROW(My_Audit!A3))</f>
        <v>XX03</v>
      </c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52" t="str">
        <f t="shared" si="0"/>
        <v/>
      </c>
      <c r="O4" s="39"/>
      <c r="P4" s="50"/>
      <c r="Q4" s="39"/>
      <c r="R4" s="39"/>
      <c r="S4" s="39"/>
      <c r="T4" s="39"/>
      <c r="U4" s="39"/>
    </row>
    <row r="5" spans="1:21">
      <c r="A5" s="52" t="str">
        <f>_xlfn.TEXTJOIN("",TRUE,Input!$B$2,"0",ROW(My_Audit!A4))</f>
        <v>XX04</v>
      </c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52" t="str">
        <f t="shared" si="0"/>
        <v/>
      </c>
      <c r="O5" s="39"/>
      <c r="P5" s="50"/>
      <c r="Q5" s="39"/>
      <c r="R5" s="39"/>
      <c r="S5" s="39"/>
      <c r="T5" s="39"/>
      <c r="U5" s="39"/>
    </row>
    <row r="6" spans="1:21">
      <c r="A6" s="52" t="str">
        <f>_xlfn.TEXTJOIN("",TRUE,Input!$B$2,"0",ROW(My_Audit!A5))</f>
        <v>XX05</v>
      </c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52" t="str">
        <f t="shared" si="0"/>
        <v/>
      </c>
      <c r="O6" s="39"/>
      <c r="P6" s="50"/>
      <c r="Q6" s="39"/>
      <c r="R6" s="39"/>
      <c r="S6" s="39"/>
      <c r="T6" s="39"/>
      <c r="U6" s="39"/>
    </row>
    <row r="7" spans="1:21">
      <c r="A7" s="52" t="str">
        <f>_xlfn.TEXTJOIN("",TRUE,Input!$B$2,"0",ROW(My_Audit!A6))</f>
        <v>XX06</v>
      </c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52" t="str">
        <f t="shared" si="0"/>
        <v/>
      </c>
      <c r="O7" s="39"/>
      <c r="P7" s="50"/>
      <c r="Q7" s="39"/>
      <c r="R7" s="39"/>
      <c r="S7" s="39"/>
      <c r="T7" s="39"/>
      <c r="U7" s="39"/>
    </row>
    <row r="8" spans="1:21">
      <c r="A8" s="52" t="str">
        <f>_xlfn.TEXTJOIN("",TRUE,Input!$B$2,"0",ROW(My_Audit!A7))</f>
        <v>XX07</v>
      </c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52" t="str">
        <f t="shared" si="0"/>
        <v/>
      </c>
      <c r="O8" s="39"/>
      <c r="P8" s="50"/>
      <c r="Q8" s="39"/>
      <c r="R8" s="39"/>
      <c r="S8" s="39"/>
      <c r="T8" s="39"/>
      <c r="U8" s="39"/>
    </row>
    <row r="9" spans="1:21">
      <c r="A9" s="52" t="str">
        <f>_xlfn.TEXTJOIN("",TRUE,Input!$B$2,"0",ROW(My_Audit!A8))</f>
        <v>XX08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52" t="str">
        <f t="shared" si="0"/>
        <v/>
      </c>
      <c r="O9" s="39"/>
      <c r="P9" s="50"/>
      <c r="Q9" s="39"/>
      <c r="R9" s="39"/>
      <c r="S9" s="39"/>
      <c r="T9" s="39"/>
      <c r="U9" s="39"/>
    </row>
    <row r="10" spans="1:21">
      <c r="A10" s="52" t="str">
        <f>_xlfn.TEXTJOIN("",TRUE,Input!$B$2,"0",ROW(My_Audit!A9))</f>
        <v>XX09</v>
      </c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52" t="str">
        <f t="shared" si="0"/>
        <v/>
      </c>
      <c r="O10" s="39"/>
      <c r="P10" s="50"/>
      <c r="Q10" s="39"/>
      <c r="R10" s="39"/>
      <c r="S10" s="39"/>
      <c r="T10" s="39"/>
      <c r="U10" s="39"/>
    </row>
    <row r="11" spans="1:21">
      <c r="A11" s="52" t="str">
        <f>_xlfn.TEXTJOIN("",TRUE,Input!$B$2,ROW(My_Audit!A10))</f>
        <v>XX10</v>
      </c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52" t="str">
        <f t="shared" si="0"/>
        <v/>
      </c>
      <c r="O11" s="39"/>
      <c r="P11" s="50"/>
      <c r="Q11" s="39"/>
      <c r="R11" s="39"/>
      <c r="S11" s="39"/>
      <c r="T11" s="39"/>
      <c r="U11" s="39"/>
    </row>
    <row r="12" spans="1:21">
      <c r="A12" s="52" t="str">
        <f>_xlfn.TEXTJOIN("",TRUE,Input!$B$2,ROW(My_Audit!A11))</f>
        <v>XX11</v>
      </c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52" t="str">
        <f t="shared" si="0"/>
        <v/>
      </c>
      <c r="O12" s="39"/>
      <c r="P12" s="50"/>
      <c r="Q12" s="39"/>
      <c r="R12" s="39"/>
      <c r="S12" s="39"/>
      <c r="T12" s="39"/>
      <c r="U12" s="39"/>
    </row>
    <row r="13" spans="1:21">
      <c r="A13" s="52" t="str">
        <f>_xlfn.TEXTJOIN("",TRUE,Input!$B$2,ROW(My_Audit!A12))</f>
        <v>XX12</v>
      </c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52" t="str">
        <f t="shared" si="0"/>
        <v/>
      </c>
      <c r="O13" s="39"/>
      <c r="P13" s="50"/>
      <c r="Q13" s="39"/>
      <c r="R13" s="39"/>
      <c r="S13" s="39"/>
      <c r="T13" s="39"/>
      <c r="U13" s="39"/>
    </row>
    <row r="14" spans="1:21">
      <c r="A14" s="52" t="str">
        <f>_xlfn.TEXTJOIN("",TRUE,Input!$B$2,ROW(My_Audit!A13))</f>
        <v>XX13</v>
      </c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52" t="str">
        <f t="shared" si="0"/>
        <v/>
      </c>
      <c r="O14" s="39"/>
      <c r="P14" s="50"/>
      <c r="Q14" s="39"/>
      <c r="R14" s="39"/>
      <c r="S14" s="39"/>
      <c r="T14" s="39"/>
      <c r="U14" s="39"/>
    </row>
    <row r="15" spans="1:21">
      <c r="A15" s="52" t="str">
        <f>_xlfn.TEXTJOIN("",TRUE,Input!$B$2,ROW(My_Audit!A14))</f>
        <v>XX14</v>
      </c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52" t="str">
        <f t="shared" si="0"/>
        <v/>
      </c>
      <c r="O15" s="39"/>
      <c r="P15" s="50"/>
      <c r="Q15" s="39"/>
      <c r="R15" s="39"/>
      <c r="S15" s="39"/>
      <c r="T15" s="39"/>
      <c r="U15" s="39"/>
    </row>
    <row r="16" spans="1:21">
      <c r="A16" s="52" t="str">
        <f>_xlfn.TEXTJOIN("",TRUE,Input!$B$2,ROW(My_Audit!A15))</f>
        <v>XX15</v>
      </c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52" t="str">
        <f t="shared" si="0"/>
        <v/>
      </c>
      <c r="O16" s="39"/>
      <c r="P16" s="50"/>
      <c r="Q16" s="39"/>
      <c r="R16" s="39"/>
      <c r="S16" s="39"/>
      <c r="T16" s="39"/>
      <c r="U16" s="39"/>
    </row>
    <row r="17" spans="1:21">
      <c r="A17" s="52" t="str">
        <f>_xlfn.TEXTJOIN("",TRUE,Input!$B$2,ROW(My_Audit!A16))</f>
        <v>XX16</v>
      </c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52" t="str">
        <f t="shared" si="0"/>
        <v/>
      </c>
      <c r="O17" s="39"/>
      <c r="P17" s="50"/>
      <c r="Q17" s="39"/>
      <c r="R17" s="39"/>
      <c r="S17" s="39"/>
      <c r="T17" s="39"/>
      <c r="U17" s="39"/>
    </row>
    <row r="18" spans="1:21">
      <c r="A18" s="52" t="str">
        <f>_xlfn.TEXTJOIN("",TRUE,Input!$B$2,ROW(My_Audit!A17))</f>
        <v>XX17</v>
      </c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52" t="str">
        <f t="shared" si="0"/>
        <v/>
      </c>
      <c r="O18" s="39"/>
      <c r="P18" s="50"/>
      <c r="Q18" s="39"/>
      <c r="R18" s="39"/>
      <c r="S18" s="39"/>
      <c r="T18" s="39"/>
      <c r="U18" s="39"/>
    </row>
    <row r="19" spans="1:21">
      <c r="A19" s="52" t="str">
        <f>_xlfn.TEXTJOIN("",TRUE,Input!$B$2,ROW(My_Audit!A18))</f>
        <v>XX18</v>
      </c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52" t="str">
        <f t="shared" si="0"/>
        <v/>
      </c>
      <c r="O19" s="39"/>
      <c r="P19" s="50"/>
      <c r="Q19" s="39"/>
      <c r="R19" s="39"/>
      <c r="S19" s="39"/>
      <c r="T19" s="39"/>
      <c r="U19" s="39"/>
    </row>
    <row r="20" spans="1:21">
      <c r="A20" s="52" t="str">
        <f>_xlfn.TEXTJOIN("",TRUE,Input!$B$2,ROW(My_Audit!A19))</f>
        <v>XX19</v>
      </c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52" t="str">
        <f t="shared" si="0"/>
        <v/>
      </c>
      <c r="O20" s="39"/>
      <c r="P20" s="50"/>
      <c r="Q20" s="39"/>
      <c r="R20" s="39"/>
      <c r="S20" s="39"/>
      <c r="T20" s="39"/>
      <c r="U20" s="39"/>
    </row>
    <row r="21" spans="1:21">
      <c r="A21" s="52" t="str">
        <f>_xlfn.TEXTJOIN("",TRUE,Input!$B$2,ROW(My_Audit!A20))</f>
        <v>XX20</v>
      </c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52" t="str">
        <f t="shared" si="0"/>
        <v/>
      </c>
      <c r="O21" s="39"/>
      <c r="P21" s="50"/>
      <c r="Q21" s="39"/>
      <c r="R21" s="39"/>
      <c r="S21" s="39"/>
      <c r="T21" s="39"/>
      <c r="U21" s="39"/>
    </row>
    <row r="22" spans="1:21">
      <c r="A22" s="52" t="str">
        <f>_xlfn.TEXTJOIN("",TRUE,Input!$B$2,ROW(My_Audit!A21))</f>
        <v>XX21</v>
      </c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52" t="str">
        <f t="shared" si="0"/>
        <v/>
      </c>
      <c r="O22" s="39"/>
      <c r="P22" s="50"/>
      <c r="Q22" s="39"/>
      <c r="R22" s="39"/>
      <c r="S22" s="39"/>
      <c r="T22" s="39"/>
      <c r="U22" s="39"/>
    </row>
    <row r="23" spans="1:21">
      <c r="A23" s="52" t="str">
        <f>_xlfn.TEXTJOIN("",TRUE,Input!$B$2,ROW(My_Audit!A22))</f>
        <v>XX22</v>
      </c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52" t="str">
        <f t="shared" si="0"/>
        <v/>
      </c>
      <c r="O23" s="39"/>
      <c r="P23" s="50"/>
      <c r="Q23" s="39"/>
      <c r="R23" s="39"/>
      <c r="S23" s="39"/>
      <c r="T23" s="39"/>
      <c r="U23" s="39"/>
    </row>
    <row r="24" spans="1:21">
      <c r="A24" s="52" t="str">
        <f>_xlfn.TEXTJOIN("",TRUE,Input!$B$2,ROW(My_Audit!A23))</f>
        <v>XX23</v>
      </c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52" t="str">
        <f t="shared" si="0"/>
        <v/>
      </c>
      <c r="O24" s="39"/>
      <c r="P24" s="50"/>
      <c r="Q24" s="39"/>
      <c r="R24" s="39"/>
      <c r="S24" s="39"/>
      <c r="T24" s="39"/>
      <c r="U24" s="39"/>
    </row>
    <row r="25" spans="1:21">
      <c r="A25" s="52" t="str">
        <f>_xlfn.TEXTJOIN("",TRUE,Input!$B$2,ROW(My_Audit!A24))</f>
        <v>XX24</v>
      </c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52" t="str">
        <f t="shared" si="0"/>
        <v/>
      </c>
      <c r="O25" s="39"/>
      <c r="P25" s="50"/>
      <c r="Q25" s="39"/>
      <c r="R25" s="39"/>
      <c r="S25" s="39"/>
      <c r="T25" s="39"/>
      <c r="U25" s="39"/>
    </row>
    <row r="26" spans="1:21">
      <c r="A26" s="52" t="str">
        <f>_xlfn.TEXTJOIN("",TRUE,Input!$B$2,ROW(My_Audit!A25))</f>
        <v>XX25</v>
      </c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52" t="str">
        <f t="shared" si="0"/>
        <v/>
      </c>
      <c r="O26" s="39"/>
      <c r="P26" s="50"/>
      <c r="Q26" s="39"/>
      <c r="R26" s="39"/>
      <c r="S26" s="39"/>
      <c r="T26" s="39"/>
      <c r="U26" s="39"/>
    </row>
    <row r="27" spans="1:21">
      <c r="A27" s="52" t="str">
        <f>_xlfn.TEXTJOIN("",TRUE,Input!$B$2,ROW(My_Audit!A26))</f>
        <v>XX26</v>
      </c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52" t="str">
        <f t="shared" si="0"/>
        <v/>
      </c>
      <c r="O27" s="39"/>
      <c r="P27" s="50"/>
      <c r="Q27" s="39"/>
      <c r="R27" s="39"/>
      <c r="S27" s="39"/>
      <c r="T27" s="39"/>
      <c r="U27" s="39"/>
    </row>
    <row r="28" spans="1:21">
      <c r="A28" s="52" t="str">
        <f>_xlfn.TEXTJOIN("",TRUE,Input!$B$2,ROW(My_Audit!A27))</f>
        <v>XX27</v>
      </c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52" t="str">
        <f t="shared" si="0"/>
        <v/>
      </c>
      <c r="O28" s="39"/>
      <c r="P28" s="50"/>
      <c r="Q28" s="39"/>
      <c r="R28" s="39"/>
      <c r="S28" s="39"/>
      <c r="T28" s="39"/>
      <c r="U28" s="39"/>
    </row>
    <row r="29" spans="1:21">
      <c r="A29" s="52" t="str">
        <f>_xlfn.TEXTJOIN("",TRUE,Input!$B$2,ROW(My_Audit!A28))</f>
        <v>XX28</v>
      </c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52" t="str">
        <f t="shared" si="0"/>
        <v/>
      </c>
      <c r="O29" s="39"/>
      <c r="P29" s="50"/>
      <c r="Q29" s="39"/>
      <c r="R29" s="39"/>
      <c r="S29" s="39"/>
      <c r="T29" s="39"/>
      <c r="U29" s="39"/>
    </row>
    <row r="30" spans="1:21">
      <c r="A30" s="52" t="str">
        <f>_xlfn.TEXTJOIN("",TRUE,Input!$B$2,ROW(My_Audit!A29))</f>
        <v>XX29</v>
      </c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52" t="str">
        <f t="shared" si="0"/>
        <v/>
      </c>
      <c r="O30" s="39"/>
      <c r="P30" s="50"/>
      <c r="Q30" s="39"/>
      <c r="R30" s="39"/>
      <c r="S30" s="39"/>
      <c r="T30" s="39"/>
      <c r="U30" s="39"/>
    </row>
    <row r="31" spans="1:21">
      <c r="A31" s="52" t="str">
        <f>_xlfn.TEXTJOIN("",TRUE,Input!$B$2,ROW(My_Audit!A30))</f>
        <v>XX30</v>
      </c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52" t="str">
        <f t="shared" si="0"/>
        <v/>
      </c>
      <c r="O31" s="39"/>
      <c r="P31" s="50"/>
      <c r="Q31" s="39"/>
      <c r="R31" s="39"/>
      <c r="S31" s="39"/>
      <c r="T31" s="39"/>
      <c r="U31" s="39"/>
    </row>
    <row r="32" spans="1:21">
      <c r="A32" s="52" t="str">
        <f>_xlfn.TEXTJOIN("",TRUE,Input!$B$2,ROW(My_Audit!A31))</f>
        <v>XX31</v>
      </c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52" t="str">
        <f t="shared" si="0"/>
        <v/>
      </c>
      <c r="O32" s="39"/>
      <c r="P32" s="50"/>
      <c r="Q32" s="39"/>
      <c r="R32" s="39"/>
      <c r="S32" s="39"/>
      <c r="T32" s="39"/>
      <c r="U32" s="39"/>
    </row>
    <row r="33" spans="1:21">
      <c r="A33" s="52" t="str">
        <f>_xlfn.TEXTJOIN("",TRUE,Input!$B$2,ROW(My_Audit!A32))</f>
        <v>XX32</v>
      </c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52" t="str">
        <f t="shared" si="0"/>
        <v/>
      </c>
      <c r="O33" s="39"/>
      <c r="P33" s="50"/>
      <c r="Q33" s="39"/>
      <c r="R33" s="39"/>
      <c r="S33" s="39"/>
      <c r="T33" s="39"/>
      <c r="U33" s="39"/>
    </row>
    <row r="34" spans="1:21">
      <c r="A34" s="52" t="str">
        <f>_xlfn.TEXTJOIN("",TRUE,Input!$B$2,ROW(My_Audit!A33))</f>
        <v>XX33</v>
      </c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52" t="str">
        <f t="shared" si="0"/>
        <v/>
      </c>
      <c r="O34" s="39"/>
      <c r="P34" s="50"/>
      <c r="Q34" s="39"/>
      <c r="R34" s="39"/>
      <c r="S34" s="39"/>
      <c r="T34" s="39"/>
      <c r="U34" s="39"/>
    </row>
    <row r="35" spans="1:21">
      <c r="A35" s="52" t="str">
        <f>_xlfn.TEXTJOIN("",TRUE,Input!$B$2,ROW(My_Audit!A34))</f>
        <v>XX34</v>
      </c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52" t="str">
        <f t="shared" si="0"/>
        <v/>
      </c>
      <c r="O35" s="39"/>
      <c r="P35" s="50"/>
      <c r="Q35" s="39"/>
      <c r="R35" s="39"/>
      <c r="S35" s="39"/>
      <c r="T35" s="39"/>
      <c r="U35" s="39"/>
    </row>
    <row r="36" spans="1:21">
      <c r="A36" s="52" t="str">
        <f>_xlfn.TEXTJOIN("",TRUE,Input!$B$2,ROW(My_Audit!A35))</f>
        <v>XX35</v>
      </c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52" t="str">
        <f t="shared" si="0"/>
        <v/>
      </c>
      <c r="O36" s="39"/>
      <c r="P36" s="50"/>
      <c r="Q36" s="39"/>
      <c r="R36" s="39"/>
      <c r="S36" s="39"/>
      <c r="T36" s="39"/>
      <c r="U36" s="39"/>
    </row>
    <row r="37" spans="1:21">
      <c r="A37" s="52" t="str">
        <f>_xlfn.TEXTJOIN("",TRUE,Input!$B$2,ROW(My_Audit!A36))</f>
        <v>XX36</v>
      </c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52" t="str">
        <f t="shared" si="0"/>
        <v/>
      </c>
      <c r="O37" s="39"/>
      <c r="P37" s="50"/>
      <c r="Q37" s="39"/>
      <c r="R37" s="39"/>
      <c r="S37" s="39"/>
      <c r="T37" s="39"/>
      <c r="U37" s="39"/>
    </row>
    <row r="38" spans="1:21">
      <c r="A38" s="52" t="str">
        <f>_xlfn.TEXTJOIN("",TRUE,Input!$B$2,ROW(My_Audit!A37))</f>
        <v>XX37</v>
      </c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52" t="str">
        <f t="shared" si="0"/>
        <v/>
      </c>
      <c r="O38" s="39"/>
      <c r="P38" s="50"/>
      <c r="Q38" s="39"/>
      <c r="R38" s="39"/>
      <c r="S38" s="39"/>
      <c r="T38" s="39"/>
      <c r="U38" s="39"/>
    </row>
    <row r="39" spans="1:21">
      <c r="A39" s="52" t="str">
        <f>_xlfn.TEXTJOIN("",TRUE,Input!$B$2,ROW(My_Audit!A38))</f>
        <v>XX38</v>
      </c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52" t="str">
        <f t="shared" si="0"/>
        <v/>
      </c>
      <c r="O39" s="39"/>
      <c r="P39" s="50"/>
      <c r="Q39" s="39"/>
      <c r="R39" s="39"/>
      <c r="S39" s="39"/>
      <c r="T39" s="39"/>
      <c r="U39" s="39"/>
    </row>
    <row r="40" spans="1:21">
      <c r="A40" s="52" t="str">
        <f>_xlfn.TEXTJOIN("",TRUE,Input!$B$2,ROW(My_Audit!A39))</f>
        <v>XX39</v>
      </c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52" t="str">
        <f t="shared" si="0"/>
        <v/>
      </c>
      <c r="O40" s="39"/>
      <c r="P40" s="50"/>
      <c r="Q40" s="39"/>
      <c r="R40" s="39"/>
      <c r="S40" s="39"/>
      <c r="T40" s="39"/>
      <c r="U40" s="39"/>
    </row>
    <row r="41" spans="1:21">
      <c r="A41" s="52" t="str">
        <f>_xlfn.TEXTJOIN("",TRUE,Input!$B$2,ROW(My_Audit!A40))</f>
        <v>XX40</v>
      </c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52" t="str">
        <f t="shared" si="0"/>
        <v/>
      </c>
      <c r="O41" s="39"/>
      <c r="P41" s="50"/>
      <c r="Q41" s="39"/>
      <c r="R41" s="39"/>
      <c r="S41" s="39"/>
      <c r="T41" s="39"/>
      <c r="U41" s="39"/>
    </row>
    <row r="42" spans="1:21">
      <c r="A42" s="52" t="str">
        <f>_xlfn.TEXTJOIN("",TRUE,Input!$B$2,ROW(My_Audit!A41))</f>
        <v>XX41</v>
      </c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52" t="str">
        <f t="shared" si="0"/>
        <v/>
      </c>
      <c r="O42" s="39"/>
      <c r="P42" s="50"/>
      <c r="Q42" s="39"/>
      <c r="R42" s="39"/>
      <c r="S42" s="39"/>
      <c r="T42" s="39"/>
      <c r="U42" s="39"/>
    </row>
    <row r="43" spans="1:21">
      <c r="A43" s="52" t="str">
        <f>_xlfn.TEXTJOIN("",TRUE,Input!$B$2,ROW(My_Audit!A42))</f>
        <v>XX42</v>
      </c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52" t="str">
        <f t="shared" si="0"/>
        <v/>
      </c>
      <c r="O43" s="39"/>
      <c r="P43" s="50"/>
      <c r="Q43" s="39"/>
      <c r="R43" s="39"/>
      <c r="S43" s="39"/>
      <c r="T43" s="39"/>
      <c r="U43" s="39"/>
    </row>
    <row r="44" spans="1:21">
      <c r="A44" s="52" t="str">
        <f>_xlfn.TEXTJOIN("",TRUE,Input!$B$2,ROW(My_Audit!A43))</f>
        <v>XX43</v>
      </c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52" t="str">
        <f t="shared" si="0"/>
        <v/>
      </c>
      <c r="O44" s="39"/>
      <c r="P44" s="50"/>
      <c r="Q44" s="39"/>
      <c r="R44" s="39"/>
      <c r="S44" s="39"/>
      <c r="T44" s="39"/>
      <c r="U44" s="39"/>
    </row>
    <row r="45" spans="1:21">
      <c r="A45" s="52" t="str">
        <f>_xlfn.TEXTJOIN("",TRUE,Input!$B$2,ROW(My_Audit!A44))</f>
        <v>XX44</v>
      </c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52" t="str">
        <f t="shared" si="0"/>
        <v/>
      </c>
      <c r="O45" s="39"/>
      <c r="P45" s="50"/>
      <c r="Q45" s="39"/>
      <c r="R45" s="39"/>
      <c r="S45" s="39"/>
      <c r="T45" s="39"/>
      <c r="U45" s="39"/>
    </row>
    <row r="46" spans="1:21">
      <c r="A46" s="52" t="str">
        <f>_xlfn.TEXTJOIN("",TRUE,Input!$B$2,ROW(My_Audit!A45))</f>
        <v>XX45</v>
      </c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52" t="str">
        <f t="shared" si="0"/>
        <v/>
      </c>
      <c r="O46" s="39"/>
      <c r="P46" s="50"/>
      <c r="Q46" s="39"/>
      <c r="R46" s="39"/>
      <c r="S46" s="39"/>
      <c r="T46" s="39"/>
      <c r="U46" s="39"/>
    </row>
    <row r="47" spans="1:21">
      <c r="A47" s="52" t="str">
        <f>_xlfn.TEXTJOIN("",TRUE,Input!$B$2,ROW(My_Audit!A46))</f>
        <v>XX46</v>
      </c>
      <c r="B47" s="49"/>
      <c r="C47" s="49"/>
      <c r="D47" s="49"/>
      <c r="E47" s="49"/>
      <c r="F47" s="49"/>
      <c r="G47" s="39"/>
      <c r="H47" s="39"/>
      <c r="I47" s="39"/>
      <c r="J47" s="39"/>
      <c r="K47" s="39"/>
      <c r="L47" s="39"/>
      <c r="M47" s="39"/>
      <c r="N47" s="52" t="str">
        <f t="shared" si="0"/>
        <v/>
      </c>
      <c r="O47" s="39"/>
      <c r="P47" s="50"/>
      <c r="Q47" s="39"/>
      <c r="R47" s="39"/>
      <c r="S47" s="39"/>
      <c r="T47" s="39"/>
      <c r="U47" s="39"/>
    </row>
    <row r="48" spans="1:21">
      <c r="A48" s="52" t="str">
        <f>_xlfn.TEXTJOIN("",TRUE,Input!$B$2,ROW(My_Audit!A47))</f>
        <v>XX47</v>
      </c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52" t="str">
        <f t="shared" si="0"/>
        <v/>
      </c>
      <c r="O48" s="39"/>
      <c r="P48" s="50"/>
      <c r="Q48" s="39"/>
      <c r="R48" s="39"/>
      <c r="S48" s="39"/>
      <c r="T48" s="39"/>
      <c r="U48" s="39"/>
    </row>
    <row r="49" spans="1:21">
      <c r="A49" s="52" t="str">
        <f>_xlfn.TEXTJOIN("",TRUE,Input!$B$2,ROW(My_Audit!A48))</f>
        <v>XX48</v>
      </c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52" t="str">
        <f t="shared" si="0"/>
        <v/>
      </c>
      <c r="O49" s="39"/>
      <c r="P49" s="50"/>
      <c r="Q49" s="39"/>
      <c r="R49" s="39"/>
      <c r="S49" s="39"/>
      <c r="T49" s="39"/>
      <c r="U49" s="39"/>
    </row>
    <row r="50" spans="1:21">
      <c r="A50" s="52" t="str">
        <f>_xlfn.TEXTJOIN("",TRUE,Input!$B$2,ROW(My_Audit!A49))</f>
        <v>XX49</v>
      </c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52" t="str">
        <f t="shared" si="0"/>
        <v/>
      </c>
      <c r="O50" s="39"/>
      <c r="P50" s="50"/>
      <c r="Q50" s="39"/>
      <c r="R50" s="39"/>
      <c r="S50" s="39"/>
      <c r="T50" s="39"/>
      <c r="U50" s="39"/>
    </row>
    <row r="51" spans="1:21">
      <c r="A51" s="52" t="str">
        <f>_xlfn.TEXTJOIN("",TRUE,Input!$B$2,ROW(My_Audit!A50))</f>
        <v>XX50</v>
      </c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52" t="str">
        <f t="shared" si="0"/>
        <v/>
      </c>
      <c r="O51" s="39"/>
      <c r="P51" s="50"/>
      <c r="Q51" s="39"/>
      <c r="R51" s="39"/>
      <c r="S51" s="39"/>
      <c r="T51" s="39"/>
      <c r="U51" s="39"/>
    </row>
    <row r="52" spans="1:21">
      <c r="A52" s="52" t="str">
        <f>_xlfn.TEXTJOIN("",TRUE,Input!$B$2,ROW(My_Audit!A51))</f>
        <v>XX51</v>
      </c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52" t="str">
        <f t="shared" si="0"/>
        <v/>
      </c>
      <c r="O52" s="39"/>
      <c r="P52" s="50"/>
      <c r="Q52" s="39"/>
      <c r="R52" s="39"/>
      <c r="S52" s="39"/>
      <c r="T52" s="39"/>
      <c r="U52" s="39"/>
    </row>
    <row r="53" spans="1:21">
      <c r="A53" s="52" t="str">
        <f>_xlfn.TEXTJOIN("",TRUE,Input!$B$2,ROW(My_Audit!A52))</f>
        <v>XX52</v>
      </c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52" t="str">
        <f t="shared" si="0"/>
        <v/>
      </c>
      <c r="O53" s="39"/>
      <c r="P53" s="50"/>
      <c r="Q53" s="39"/>
      <c r="R53" s="39"/>
      <c r="S53" s="39"/>
      <c r="T53" s="39"/>
      <c r="U53" s="39"/>
    </row>
    <row r="54" spans="1:21">
      <c r="A54" s="52" t="str">
        <f>_xlfn.TEXTJOIN("",TRUE,Input!$B$2,ROW(My_Audit!A53))</f>
        <v>XX53</v>
      </c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52" t="str">
        <f t="shared" si="0"/>
        <v/>
      </c>
      <c r="O54" s="39"/>
      <c r="P54" s="50"/>
      <c r="Q54" s="39"/>
      <c r="R54" s="39"/>
      <c r="S54" s="39"/>
      <c r="T54" s="39"/>
      <c r="U54" s="39"/>
    </row>
    <row r="55" spans="1:21">
      <c r="A55" s="52" t="str">
        <f>_xlfn.TEXTJOIN("",TRUE,Input!$B$2,ROW(My_Audit!A54))</f>
        <v>XX54</v>
      </c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52" t="str">
        <f t="shared" si="0"/>
        <v/>
      </c>
      <c r="O55" s="39"/>
      <c r="P55" s="50"/>
      <c r="Q55" s="39"/>
      <c r="R55" s="39"/>
      <c r="S55" s="39"/>
      <c r="T55" s="39"/>
      <c r="U55" s="39"/>
    </row>
    <row r="56" spans="1:21">
      <c r="A56" s="52" t="str">
        <f>_xlfn.TEXTJOIN("",TRUE,Input!$B$2,ROW(My_Audit!A55))</f>
        <v>XX55</v>
      </c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52" t="str">
        <f t="shared" si="0"/>
        <v/>
      </c>
      <c r="O56" s="39"/>
      <c r="P56" s="50"/>
      <c r="Q56" s="39"/>
      <c r="R56" s="39"/>
      <c r="S56" s="39"/>
      <c r="T56" s="39"/>
      <c r="U56" s="39"/>
    </row>
    <row r="57" spans="1:21">
      <c r="A57" s="52" t="str">
        <f>_xlfn.TEXTJOIN("",TRUE,Input!$B$2,ROW(My_Audit!A56))</f>
        <v>XX56</v>
      </c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52" t="str">
        <f t="shared" si="0"/>
        <v/>
      </c>
      <c r="O57" s="39"/>
      <c r="P57" s="50"/>
      <c r="Q57" s="39"/>
      <c r="R57" s="39"/>
      <c r="S57" s="39"/>
      <c r="T57" s="39"/>
      <c r="U57" s="39"/>
    </row>
    <row r="58" spans="1:21">
      <c r="A58" s="52" t="str">
        <f>_xlfn.TEXTJOIN("",TRUE,Input!$B$2,ROW(My_Audit!A57))</f>
        <v>XX57</v>
      </c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52" t="str">
        <f t="shared" si="0"/>
        <v/>
      </c>
      <c r="O58" s="39"/>
      <c r="P58" s="50"/>
      <c r="Q58" s="39"/>
      <c r="R58" s="39"/>
      <c r="S58" s="39"/>
      <c r="T58" s="39"/>
      <c r="U58" s="39"/>
    </row>
    <row r="59" spans="1:21">
      <c r="A59" s="52" t="str">
        <f>_xlfn.TEXTJOIN("",TRUE,Input!$B$2,ROW(My_Audit!A58))</f>
        <v>XX58</v>
      </c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52" t="str">
        <f t="shared" si="0"/>
        <v/>
      </c>
      <c r="O59" s="39"/>
      <c r="P59" s="50"/>
      <c r="Q59" s="39"/>
      <c r="R59" s="39"/>
      <c r="S59" s="39"/>
      <c r="T59" s="39"/>
      <c r="U59" s="39"/>
    </row>
    <row r="60" spans="1:21">
      <c r="A60" s="52" t="str">
        <f>_xlfn.TEXTJOIN("",TRUE,Input!$B$2,ROW(My_Audit!A59))</f>
        <v>XX59</v>
      </c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52" t="str">
        <f t="shared" si="0"/>
        <v/>
      </c>
      <c r="O60" s="39"/>
      <c r="P60" s="50"/>
      <c r="Q60" s="39"/>
      <c r="R60" s="39"/>
      <c r="S60" s="39"/>
      <c r="T60" s="39"/>
      <c r="U60" s="39"/>
    </row>
    <row r="61" spans="1:21">
      <c r="A61" s="52" t="str">
        <f>_xlfn.TEXTJOIN("",TRUE,Input!$B$2,ROW(My_Audit!A60))</f>
        <v>XX60</v>
      </c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52" t="str">
        <f t="shared" si="0"/>
        <v/>
      </c>
      <c r="O61" s="39"/>
      <c r="P61" s="50"/>
      <c r="Q61" s="39"/>
      <c r="R61" s="39"/>
      <c r="S61" s="39"/>
      <c r="T61" s="39"/>
      <c r="U61" s="39"/>
    </row>
    <row r="62" spans="1:21">
      <c r="A62" s="52" t="str">
        <f>_xlfn.TEXTJOIN("",TRUE,Input!$B$2,ROW(My_Audit!A61))</f>
        <v>XX61</v>
      </c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52" t="str">
        <f t="shared" si="0"/>
        <v/>
      </c>
      <c r="O62" s="39"/>
      <c r="P62" s="50"/>
      <c r="Q62" s="39"/>
      <c r="R62" s="39"/>
      <c r="S62" s="39"/>
      <c r="T62" s="39"/>
      <c r="U62" s="39"/>
    </row>
    <row r="63" spans="1:21">
      <c r="A63" s="52" t="str">
        <f>_xlfn.TEXTJOIN("",TRUE,Input!$B$2,ROW(My_Audit!A62))</f>
        <v>XX62</v>
      </c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52" t="str">
        <f t="shared" si="0"/>
        <v/>
      </c>
      <c r="O63" s="39"/>
      <c r="P63" s="50"/>
      <c r="Q63" s="39"/>
      <c r="R63" s="39"/>
      <c r="S63" s="39"/>
      <c r="T63" s="39"/>
      <c r="U63" s="39"/>
    </row>
    <row r="64" spans="1:21">
      <c r="A64" s="52" t="str">
        <f>_xlfn.TEXTJOIN("",TRUE,Input!$B$2,ROW(My_Audit!A63))</f>
        <v>XX63</v>
      </c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52" t="str">
        <f t="shared" si="0"/>
        <v/>
      </c>
      <c r="O64" s="39"/>
      <c r="P64" s="50"/>
      <c r="Q64" s="39"/>
      <c r="R64" s="39"/>
      <c r="S64" s="39"/>
      <c r="T64" s="39"/>
      <c r="U64" s="39"/>
    </row>
    <row r="65" spans="1:21">
      <c r="A65" s="52" t="str">
        <f>_xlfn.TEXTJOIN("",TRUE,Input!$B$2,ROW(My_Audit!A64))</f>
        <v>XX64</v>
      </c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52" t="str">
        <f t="shared" si="0"/>
        <v/>
      </c>
      <c r="O65" s="39"/>
      <c r="P65" s="50"/>
      <c r="Q65" s="39"/>
      <c r="R65" s="39"/>
      <c r="S65" s="39"/>
      <c r="T65" s="39"/>
      <c r="U65" s="39"/>
    </row>
    <row r="66" spans="1:21">
      <c r="A66" s="52" t="str">
        <f>_xlfn.TEXTJOIN("",TRUE,Input!$B$2,ROW(My_Audit!A65))</f>
        <v>XX65</v>
      </c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52" t="str">
        <f t="shared" si="0"/>
        <v/>
      </c>
      <c r="O66" s="39"/>
      <c r="P66" s="50"/>
      <c r="Q66" s="39"/>
      <c r="R66" s="39"/>
      <c r="S66" s="39"/>
      <c r="T66" s="39"/>
      <c r="U66" s="39"/>
    </row>
    <row r="67" spans="1:21">
      <c r="A67" s="52" t="str">
        <f>_xlfn.TEXTJOIN("",TRUE,Input!$B$2,ROW(My_Audit!A66))</f>
        <v>XX66</v>
      </c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52" t="str">
        <f t="shared" ref="N67:N130" si="1">_xlfn.TEXTJOIN(", ",TRUE, L67, M67)</f>
        <v/>
      </c>
      <c r="O67" s="39"/>
      <c r="P67" s="50"/>
      <c r="Q67" s="39"/>
      <c r="R67" s="39"/>
      <c r="S67" s="39"/>
      <c r="T67" s="39"/>
      <c r="U67" s="39"/>
    </row>
    <row r="68" spans="1:21">
      <c r="A68" s="52" t="str">
        <f>_xlfn.TEXTJOIN("",TRUE,Input!$B$2,ROW(My_Audit!A67))</f>
        <v>XX67</v>
      </c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52" t="str">
        <f t="shared" si="1"/>
        <v/>
      </c>
      <c r="O68" s="39"/>
      <c r="P68" s="50"/>
      <c r="Q68" s="39"/>
      <c r="R68" s="39"/>
      <c r="S68" s="39"/>
      <c r="T68" s="39"/>
      <c r="U68" s="39"/>
    </row>
    <row r="69" spans="1:21">
      <c r="A69" s="52" t="str">
        <f>_xlfn.TEXTJOIN("",TRUE,Input!$B$2,ROW(My_Audit!A68))</f>
        <v>XX68</v>
      </c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52" t="str">
        <f t="shared" si="1"/>
        <v/>
      </c>
      <c r="O69" s="39"/>
      <c r="P69" s="50"/>
      <c r="Q69" s="39"/>
      <c r="R69" s="39"/>
      <c r="S69" s="39"/>
      <c r="T69" s="39"/>
      <c r="U69" s="39"/>
    </row>
    <row r="70" spans="1:21">
      <c r="A70" s="52" t="str">
        <f>_xlfn.TEXTJOIN("",TRUE,Input!$B$2,ROW(My_Audit!A69))</f>
        <v>XX69</v>
      </c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52" t="str">
        <f t="shared" si="1"/>
        <v/>
      </c>
      <c r="O70" s="39"/>
      <c r="P70" s="50"/>
      <c r="Q70" s="39"/>
      <c r="R70" s="39"/>
      <c r="S70" s="39"/>
      <c r="T70" s="39"/>
      <c r="U70" s="39"/>
    </row>
    <row r="71" spans="1:21">
      <c r="A71" s="52" t="str">
        <f>_xlfn.TEXTJOIN("",TRUE,Input!$B$2,ROW(My_Audit!A70))</f>
        <v>XX70</v>
      </c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52" t="str">
        <f t="shared" si="1"/>
        <v/>
      </c>
      <c r="O71" s="39"/>
      <c r="P71" s="50"/>
      <c r="Q71" s="39"/>
      <c r="R71" s="39"/>
      <c r="S71" s="39"/>
      <c r="T71" s="39"/>
      <c r="U71" s="39"/>
    </row>
    <row r="72" spans="1:21">
      <c r="A72" s="52" t="str">
        <f>_xlfn.TEXTJOIN("",TRUE,Input!$B$2,ROW(My_Audit!A71))</f>
        <v>XX71</v>
      </c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52" t="str">
        <f t="shared" si="1"/>
        <v/>
      </c>
      <c r="O72" s="39"/>
      <c r="P72" s="50"/>
      <c r="Q72" s="39"/>
      <c r="R72" s="39"/>
      <c r="S72" s="39"/>
      <c r="T72" s="39"/>
      <c r="U72" s="39"/>
    </row>
    <row r="73" spans="1:21">
      <c r="A73" s="52" t="str">
        <f>_xlfn.TEXTJOIN("",TRUE,Input!$B$2,ROW(My_Audit!A72))</f>
        <v>XX72</v>
      </c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52" t="str">
        <f t="shared" si="1"/>
        <v/>
      </c>
      <c r="O73" s="39"/>
      <c r="P73" s="50"/>
      <c r="Q73" s="39"/>
      <c r="R73" s="39"/>
      <c r="S73" s="39"/>
      <c r="T73" s="39"/>
      <c r="U73" s="39"/>
    </row>
    <row r="74" spans="1:21">
      <c r="A74" s="52" t="str">
        <f>_xlfn.TEXTJOIN("",TRUE,Input!$B$2,ROW(My_Audit!A73))</f>
        <v>XX73</v>
      </c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52" t="str">
        <f t="shared" si="1"/>
        <v/>
      </c>
      <c r="O74" s="39"/>
      <c r="P74" s="50"/>
      <c r="Q74" s="39"/>
      <c r="R74" s="39"/>
      <c r="S74" s="39"/>
      <c r="T74" s="39"/>
      <c r="U74" s="39"/>
    </row>
    <row r="75" spans="1:21">
      <c r="A75" s="52" t="str">
        <f>_xlfn.TEXTJOIN("",TRUE,Input!$B$2,ROW(My_Audit!A74))</f>
        <v>XX74</v>
      </c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52" t="str">
        <f t="shared" si="1"/>
        <v/>
      </c>
      <c r="O75" s="39"/>
      <c r="P75" s="50"/>
      <c r="Q75" s="39"/>
      <c r="R75" s="39"/>
      <c r="S75" s="39"/>
      <c r="T75" s="39"/>
      <c r="U75" s="39"/>
    </row>
    <row r="76" spans="1:21">
      <c r="A76" s="52" t="str">
        <f>_xlfn.TEXTJOIN("",TRUE,Input!$B$2,ROW(My_Audit!A75))</f>
        <v>XX75</v>
      </c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52" t="str">
        <f t="shared" si="1"/>
        <v/>
      </c>
      <c r="O76" s="39"/>
      <c r="P76" s="50"/>
      <c r="Q76" s="39"/>
      <c r="R76" s="39"/>
      <c r="S76" s="39"/>
      <c r="T76" s="39"/>
      <c r="U76" s="39"/>
    </row>
    <row r="77" spans="1:21">
      <c r="A77" s="52" t="str">
        <f>_xlfn.TEXTJOIN("",TRUE,Input!$B$2,ROW(My_Audit!A76))</f>
        <v>XX76</v>
      </c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52" t="str">
        <f t="shared" si="1"/>
        <v/>
      </c>
      <c r="O77" s="39"/>
      <c r="P77" s="50"/>
      <c r="Q77" s="39"/>
      <c r="R77" s="39"/>
      <c r="S77" s="39"/>
      <c r="T77" s="39"/>
      <c r="U77" s="39"/>
    </row>
    <row r="78" spans="1:21">
      <c r="A78" s="52" t="str">
        <f>_xlfn.TEXTJOIN("",TRUE,Input!$B$2,ROW(My_Audit!A77))</f>
        <v>XX77</v>
      </c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52" t="str">
        <f t="shared" si="1"/>
        <v/>
      </c>
      <c r="O78" s="39"/>
      <c r="P78" s="50"/>
      <c r="Q78" s="39"/>
      <c r="R78" s="39"/>
      <c r="S78" s="39"/>
      <c r="T78" s="39"/>
      <c r="U78" s="39"/>
    </row>
    <row r="79" spans="1:21">
      <c r="A79" s="52" t="str">
        <f>_xlfn.TEXTJOIN("",TRUE,Input!$B$2,ROW(My_Audit!A78))</f>
        <v>XX78</v>
      </c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52" t="str">
        <f t="shared" si="1"/>
        <v/>
      </c>
      <c r="O79" s="39"/>
      <c r="P79" s="50"/>
      <c r="Q79" s="39"/>
      <c r="R79" s="39"/>
      <c r="S79" s="39"/>
      <c r="T79" s="39"/>
      <c r="U79" s="39"/>
    </row>
    <row r="80" spans="1:21">
      <c r="A80" s="52" t="str">
        <f>_xlfn.TEXTJOIN("",TRUE,Input!$B$2,ROW(My_Audit!A79))</f>
        <v>XX79</v>
      </c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52" t="str">
        <f t="shared" si="1"/>
        <v/>
      </c>
      <c r="O80" s="39"/>
      <c r="P80" s="50"/>
      <c r="Q80" s="39"/>
      <c r="R80" s="39"/>
      <c r="S80" s="39"/>
      <c r="T80" s="39"/>
      <c r="U80" s="39"/>
    </row>
    <row r="81" spans="1:21">
      <c r="A81" s="52" t="str">
        <f>_xlfn.TEXTJOIN("",TRUE,Input!$B$2,ROW(My_Audit!A80))</f>
        <v>XX80</v>
      </c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52" t="str">
        <f t="shared" si="1"/>
        <v/>
      </c>
      <c r="O81" s="39"/>
      <c r="P81" s="50"/>
      <c r="Q81" s="39"/>
      <c r="R81" s="39"/>
      <c r="S81" s="39"/>
      <c r="T81" s="39"/>
      <c r="U81" s="39"/>
    </row>
    <row r="82" spans="1:21">
      <c r="A82" s="52" t="str">
        <f>_xlfn.TEXTJOIN("",TRUE,Input!$B$2,ROW(My_Audit!A81))</f>
        <v>XX81</v>
      </c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52" t="str">
        <f t="shared" si="1"/>
        <v/>
      </c>
      <c r="O82" s="39"/>
      <c r="P82" s="50"/>
      <c r="Q82" s="39"/>
      <c r="R82" s="39"/>
      <c r="S82" s="39"/>
      <c r="T82" s="39"/>
      <c r="U82" s="39"/>
    </row>
    <row r="83" spans="1:21">
      <c r="A83" s="52" t="str">
        <f>_xlfn.TEXTJOIN("",TRUE,Input!$B$2,ROW(My_Audit!A82))</f>
        <v>XX82</v>
      </c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52" t="str">
        <f t="shared" si="1"/>
        <v/>
      </c>
      <c r="O83" s="39"/>
      <c r="P83" s="50"/>
      <c r="Q83" s="39"/>
      <c r="R83" s="39"/>
      <c r="S83" s="39"/>
      <c r="T83" s="39"/>
      <c r="U83" s="39"/>
    </row>
    <row r="84" spans="1:21">
      <c r="A84" s="52" t="str">
        <f>_xlfn.TEXTJOIN("",TRUE,Input!$B$2,ROW(My_Audit!A83))</f>
        <v>XX83</v>
      </c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52" t="str">
        <f t="shared" si="1"/>
        <v/>
      </c>
      <c r="O84" s="39"/>
      <c r="P84" s="50"/>
      <c r="Q84" s="39"/>
      <c r="R84" s="39"/>
      <c r="S84" s="39"/>
      <c r="T84" s="39"/>
      <c r="U84" s="39"/>
    </row>
    <row r="85" spans="1:21">
      <c r="A85" s="52" t="str">
        <f>_xlfn.TEXTJOIN("",TRUE,Input!$B$2,ROW(My_Audit!A84))</f>
        <v>XX84</v>
      </c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52" t="str">
        <f t="shared" si="1"/>
        <v/>
      </c>
      <c r="O85" s="39"/>
      <c r="P85" s="50"/>
      <c r="Q85" s="39"/>
      <c r="R85" s="39"/>
      <c r="S85" s="39"/>
      <c r="T85" s="39"/>
      <c r="U85" s="39"/>
    </row>
    <row r="86" spans="1:21">
      <c r="A86" s="52" t="str">
        <f>_xlfn.TEXTJOIN("",TRUE,Input!$B$2,ROW(My_Audit!A85))</f>
        <v>XX85</v>
      </c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52" t="str">
        <f t="shared" si="1"/>
        <v/>
      </c>
      <c r="O86" s="39"/>
      <c r="P86" s="50"/>
      <c r="Q86" s="39"/>
      <c r="R86" s="39"/>
      <c r="S86" s="39"/>
      <c r="T86" s="39"/>
      <c r="U86" s="39"/>
    </row>
    <row r="87" spans="1:21">
      <c r="A87" s="52" t="str">
        <f>_xlfn.TEXTJOIN("",TRUE,Input!$B$2,ROW(My_Audit!A86))</f>
        <v>XX86</v>
      </c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52" t="str">
        <f t="shared" si="1"/>
        <v/>
      </c>
      <c r="O87" s="39"/>
      <c r="P87" s="50"/>
      <c r="Q87" s="39"/>
      <c r="R87" s="39"/>
      <c r="S87" s="39"/>
      <c r="T87" s="39"/>
      <c r="U87" s="39"/>
    </row>
    <row r="88" spans="1:21">
      <c r="A88" s="52" t="str">
        <f>_xlfn.TEXTJOIN("",TRUE,Input!$B$2,ROW(My_Audit!A87))</f>
        <v>XX87</v>
      </c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52" t="str">
        <f t="shared" si="1"/>
        <v/>
      </c>
      <c r="O88" s="39"/>
      <c r="P88" s="50"/>
      <c r="Q88" s="39"/>
      <c r="R88" s="39"/>
      <c r="S88" s="39"/>
      <c r="T88" s="39"/>
      <c r="U88" s="39"/>
    </row>
    <row r="89" spans="1:21">
      <c r="A89" s="52" t="str">
        <f>_xlfn.TEXTJOIN("",TRUE,Input!$B$2,ROW(My_Audit!A88))</f>
        <v>XX88</v>
      </c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52" t="str">
        <f t="shared" si="1"/>
        <v/>
      </c>
      <c r="O89" s="39"/>
      <c r="P89" s="50"/>
      <c r="Q89" s="39"/>
      <c r="R89" s="39"/>
      <c r="S89" s="39"/>
      <c r="T89" s="39"/>
      <c r="U89" s="39"/>
    </row>
    <row r="90" spans="1:21">
      <c r="A90" s="52" t="str">
        <f>_xlfn.TEXTJOIN("",TRUE,Input!$B$2,ROW(My_Audit!A89))</f>
        <v>XX89</v>
      </c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52" t="str">
        <f t="shared" si="1"/>
        <v/>
      </c>
      <c r="O90" s="39"/>
      <c r="P90" s="50"/>
      <c r="Q90" s="39"/>
      <c r="R90" s="39"/>
      <c r="S90" s="39"/>
      <c r="T90" s="39"/>
      <c r="U90" s="39"/>
    </row>
    <row r="91" spans="1:21">
      <c r="A91" s="52" t="str">
        <f>_xlfn.TEXTJOIN("",TRUE,Input!$B$2,ROW(My_Audit!A90))</f>
        <v>XX90</v>
      </c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52" t="str">
        <f t="shared" si="1"/>
        <v/>
      </c>
      <c r="O91" s="39"/>
      <c r="P91" s="50"/>
      <c r="Q91" s="39"/>
      <c r="R91" s="39"/>
      <c r="S91" s="39"/>
      <c r="T91" s="39"/>
      <c r="U91" s="39"/>
    </row>
    <row r="92" spans="1:21">
      <c r="A92" s="52" t="str">
        <f>_xlfn.TEXTJOIN("",TRUE,Input!$B$2,ROW(My_Audit!A91))</f>
        <v>XX91</v>
      </c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52" t="str">
        <f t="shared" si="1"/>
        <v/>
      </c>
      <c r="O92" s="39"/>
      <c r="P92" s="50"/>
      <c r="Q92" s="39"/>
      <c r="R92" s="39"/>
      <c r="S92" s="39"/>
      <c r="T92" s="39"/>
      <c r="U92" s="39"/>
    </row>
    <row r="93" spans="1:21">
      <c r="A93" s="52" t="str">
        <f>_xlfn.TEXTJOIN("",TRUE,Input!$B$2,ROW(My_Audit!A92))</f>
        <v>XX92</v>
      </c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52" t="str">
        <f t="shared" si="1"/>
        <v/>
      </c>
      <c r="O93" s="39"/>
      <c r="P93" s="50"/>
      <c r="Q93" s="39"/>
      <c r="R93" s="39"/>
      <c r="S93" s="39"/>
      <c r="T93" s="39"/>
      <c r="U93" s="39"/>
    </row>
    <row r="94" spans="1:21">
      <c r="A94" s="52" t="str">
        <f>_xlfn.TEXTJOIN("",TRUE,Input!$B$2,ROW(My_Audit!A93))</f>
        <v>XX93</v>
      </c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52" t="str">
        <f t="shared" si="1"/>
        <v/>
      </c>
      <c r="O94" s="39"/>
      <c r="P94" s="50"/>
      <c r="Q94" s="39"/>
      <c r="R94" s="39"/>
      <c r="S94" s="39"/>
      <c r="T94" s="39"/>
      <c r="U94" s="39"/>
    </row>
    <row r="95" spans="1:21">
      <c r="A95" s="52" t="str">
        <f>_xlfn.TEXTJOIN("",TRUE,Input!$B$2,ROW(My_Audit!A94))</f>
        <v>XX94</v>
      </c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52" t="str">
        <f t="shared" si="1"/>
        <v/>
      </c>
      <c r="O95" s="39"/>
      <c r="P95" s="50"/>
      <c r="Q95" s="39"/>
      <c r="R95" s="39"/>
      <c r="S95" s="39"/>
      <c r="T95" s="39"/>
      <c r="U95" s="39"/>
    </row>
    <row r="96" spans="1:21">
      <c r="A96" s="52" t="str">
        <f>_xlfn.TEXTJOIN("",TRUE,Input!$B$2,ROW(My_Audit!A95))</f>
        <v>XX95</v>
      </c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52" t="str">
        <f t="shared" si="1"/>
        <v/>
      </c>
      <c r="O96" s="39"/>
      <c r="P96" s="50"/>
      <c r="Q96" s="39"/>
      <c r="R96" s="39"/>
      <c r="S96" s="39"/>
      <c r="T96" s="39"/>
      <c r="U96" s="39"/>
    </row>
    <row r="97" spans="1:21">
      <c r="A97" s="52" t="str">
        <f>_xlfn.TEXTJOIN("",TRUE,Input!$B$2,ROW(My_Audit!A96))</f>
        <v>XX96</v>
      </c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52" t="str">
        <f t="shared" si="1"/>
        <v/>
      </c>
      <c r="O97" s="39"/>
      <c r="P97" s="50"/>
      <c r="Q97" s="39"/>
      <c r="R97" s="39"/>
      <c r="S97" s="39"/>
      <c r="T97" s="39"/>
      <c r="U97" s="39"/>
    </row>
    <row r="98" spans="1:21">
      <c r="A98" s="52" t="str">
        <f>_xlfn.TEXTJOIN("",TRUE,Input!$B$2,ROW(My_Audit!A97))</f>
        <v>XX97</v>
      </c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52" t="str">
        <f t="shared" si="1"/>
        <v/>
      </c>
      <c r="O98" s="39"/>
      <c r="P98" s="50"/>
      <c r="Q98" s="39"/>
      <c r="R98" s="39"/>
      <c r="S98" s="39"/>
      <c r="T98" s="39"/>
      <c r="U98" s="39"/>
    </row>
    <row r="99" spans="1:21">
      <c r="A99" s="52" t="str">
        <f>_xlfn.TEXTJOIN("",TRUE,Input!$B$2,ROW(My_Audit!A98))</f>
        <v>XX98</v>
      </c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52" t="str">
        <f t="shared" si="1"/>
        <v/>
      </c>
      <c r="O99" s="39"/>
      <c r="P99" s="50"/>
      <c r="Q99" s="39"/>
      <c r="R99" s="39"/>
      <c r="S99" s="39"/>
      <c r="T99" s="39"/>
      <c r="U99" s="39"/>
    </row>
    <row r="100" spans="1:21">
      <c r="A100" s="52" t="str">
        <f>_xlfn.TEXTJOIN("",TRUE,Input!$B$2,ROW(My_Audit!A99))</f>
        <v>XX99</v>
      </c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52" t="str">
        <f t="shared" si="1"/>
        <v/>
      </c>
      <c r="O100" s="39"/>
      <c r="P100" s="50"/>
      <c r="Q100" s="39"/>
      <c r="R100" s="39"/>
      <c r="S100" s="39"/>
      <c r="T100" s="39"/>
      <c r="U100" s="39"/>
    </row>
    <row r="101" spans="1:21">
      <c r="A101" s="52" t="str">
        <f>_xlfn.TEXTJOIN("",TRUE,Input!$B$2,ROW(My_Audit!A100))</f>
        <v>XX100</v>
      </c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52" t="str">
        <f t="shared" si="1"/>
        <v/>
      </c>
      <c r="O101" s="39"/>
      <c r="P101" s="50"/>
      <c r="Q101" s="39"/>
      <c r="R101" s="39"/>
      <c r="S101" s="39"/>
      <c r="T101" s="39"/>
      <c r="U101" s="39"/>
    </row>
    <row r="102" spans="1:21">
      <c r="A102" s="52" t="str">
        <f>_xlfn.TEXTJOIN("",TRUE,Input!$B$2,ROW(My_Audit!A101))</f>
        <v>XX101</v>
      </c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52" t="str">
        <f t="shared" si="1"/>
        <v/>
      </c>
      <c r="O102" s="39"/>
      <c r="P102" s="50"/>
      <c r="Q102" s="39"/>
      <c r="R102" s="39"/>
      <c r="S102" s="39"/>
      <c r="T102" s="39"/>
      <c r="U102" s="39"/>
    </row>
    <row r="103" spans="1:21">
      <c r="A103" s="52" t="str">
        <f>_xlfn.TEXTJOIN("",TRUE,Input!$B$2,ROW(My_Audit!A102))</f>
        <v>XX102</v>
      </c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52" t="str">
        <f t="shared" si="1"/>
        <v/>
      </c>
      <c r="O103" s="39"/>
      <c r="P103" s="50"/>
      <c r="Q103" s="39"/>
      <c r="R103" s="39"/>
      <c r="S103" s="39"/>
      <c r="T103" s="39"/>
      <c r="U103" s="39"/>
    </row>
    <row r="104" spans="1:21">
      <c r="A104" s="52" t="str">
        <f>_xlfn.TEXTJOIN("",TRUE,Input!$B$2,ROW(My_Audit!A103))</f>
        <v>XX103</v>
      </c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52" t="str">
        <f t="shared" si="1"/>
        <v/>
      </c>
      <c r="O104" s="39"/>
      <c r="P104" s="50"/>
      <c r="Q104" s="39"/>
      <c r="R104" s="39"/>
      <c r="S104" s="39"/>
      <c r="T104" s="39"/>
      <c r="U104" s="39"/>
    </row>
    <row r="105" spans="1:21">
      <c r="A105" s="52" t="str">
        <f>_xlfn.TEXTJOIN("",TRUE,Input!$B$2,ROW(My_Audit!A104))</f>
        <v>XX104</v>
      </c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52" t="str">
        <f t="shared" si="1"/>
        <v/>
      </c>
      <c r="O105" s="39"/>
      <c r="P105" s="50"/>
      <c r="Q105" s="39"/>
      <c r="R105" s="39"/>
      <c r="S105" s="39"/>
      <c r="T105" s="39"/>
      <c r="U105" s="39"/>
    </row>
    <row r="106" spans="1:21">
      <c r="A106" s="52" t="str">
        <f>_xlfn.TEXTJOIN("",TRUE,Input!$B$2,ROW(My_Audit!A105))</f>
        <v>XX105</v>
      </c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52" t="str">
        <f t="shared" si="1"/>
        <v/>
      </c>
      <c r="O106" s="39"/>
      <c r="P106" s="50"/>
      <c r="Q106" s="39"/>
      <c r="R106" s="39"/>
      <c r="S106" s="39"/>
      <c r="T106" s="39"/>
      <c r="U106" s="39"/>
    </row>
    <row r="107" spans="1:21">
      <c r="A107" s="52" t="str">
        <f>_xlfn.TEXTJOIN("",TRUE,Input!$B$2,ROW(My_Audit!A106))</f>
        <v>XX106</v>
      </c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52" t="str">
        <f t="shared" si="1"/>
        <v/>
      </c>
      <c r="O107" s="39"/>
      <c r="P107" s="50"/>
      <c r="Q107" s="39"/>
      <c r="R107" s="39"/>
      <c r="S107" s="39"/>
      <c r="T107" s="39"/>
      <c r="U107" s="39"/>
    </row>
    <row r="108" spans="1:21">
      <c r="A108" s="52" t="str">
        <f>_xlfn.TEXTJOIN("",TRUE,Input!$B$2,ROW(My_Audit!A107))</f>
        <v>XX107</v>
      </c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52" t="str">
        <f t="shared" si="1"/>
        <v/>
      </c>
      <c r="O108" s="39"/>
      <c r="P108" s="50"/>
      <c r="Q108" s="39"/>
      <c r="R108" s="39"/>
      <c r="S108" s="39"/>
      <c r="T108" s="39"/>
      <c r="U108" s="39"/>
    </row>
    <row r="109" spans="1:21">
      <c r="A109" s="52" t="str">
        <f>_xlfn.TEXTJOIN("",TRUE,Input!$B$2,ROW(My_Audit!A108))</f>
        <v>XX108</v>
      </c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52" t="str">
        <f t="shared" si="1"/>
        <v/>
      </c>
      <c r="O109" s="39"/>
      <c r="P109" s="50"/>
      <c r="Q109" s="39"/>
      <c r="R109" s="39"/>
      <c r="S109" s="39"/>
      <c r="T109" s="39"/>
      <c r="U109" s="39"/>
    </row>
    <row r="110" spans="1:21">
      <c r="A110" s="52" t="str">
        <f>_xlfn.TEXTJOIN("",TRUE,Input!$B$2,ROW(My_Audit!A109))</f>
        <v>XX109</v>
      </c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52" t="str">
        <f t="shared" si="1"/>
        <v/>
      </c>
      <c r="O110" s="39"/>
      <c r="P110" s="50"/>
      <c r="Q110" s="39"/>
      <c r="R110" s="39"/>
      <c r="S110" s="39"/>
      <c r="T110" s="39"/>
      <c r="U110" s="39"/>
    </row>
    <row r="111" spans="1:21">
      <c r="A111" s="52" t="str">
        <f>_xlfn.TEXTJOIN("",TRUE,Input!$B$2,ROW(My_Audit!A110))</f>
        <v>XX110</v>
      </c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52" t="str">
        <f t="shared" si="1"/>
        <v/>
      </c>
      <c r="O111" s="39"/>
      <c r="P111" s="50"/>
      <c r="Q111" s="39"/>
      <c r="R111" s="39"/>
      <c r="S111" s="39"/>
      <c r="T111" s="39"/>
      <c r="U111" s="39"/>
    </row>
    <row r="112" spans="1:21">
      <c r="A112" s="52" t="str">
        <f>_xlfn.TEXTJOIN("",TRUE,Input!$B$2,ROW(My_Audit!A111))</f>
        <v>XX111</v>
      </c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52" t="str">
        <f t="shared" si="1"/>
        <v/>
      </c>
      <c r="O112" s="39"/>
      <c r="P112" s="50"/>
      <c r="Q112" s="39"/>
      <c r="R112" s="39"/>
      <c r="S112" s="39"/>
      <c r="T112" s="39"/>
      <c r="U112" s="39"/>
    </row>
    <row r="113" spans="1:21">
      <c r="A113" s="52" t="str">
        <f>_xlfn.TEXTJOIN("",TRUE,Input!$B$2,ROW(My_Audit!A112))</f>
        <v>XX112</v>
      </c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52" t="str">
        <f t="shared" si="1"/>
        <v/>
      </c>
      <c r="O113" s="39"/>
      <c r="P113" s="50"/>
      <c r="Q113" s="39"/>
      <c r="R113" s="39"/>
      <c r="S113" s="39"/>
      <c r="T113" s="39"/>
      <c r="U113" s="39"/>
    </row>
    <row r="114" spans="1:21">
      <c r="A114" s="52" t="str">
        <f>_xlfn.TEXTJOIN("",TRUE,Input!$B$2,ROW(My_Audit!A113))</f>
        <v>XX113</v>
      </c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52" t="str">
        <f t="shared" si="1"/>
        <v/>
      </c>
      <c r="O114" s="39"/>
      <c r="P114" s="50"/>
      <c r="Q114" s="39"/>
      <c r="R114" s="39"/>
      <c r="S114" s="39"/>
      <c r="T114" s="39"/>
      <c r="U114" s="39"/>
    </row>
    <row r="115" spans="1:21">
      <c r="A115" s="52" t="str">
        <f>_xlfn.TEXTJOIN("",TRUE,Input!$B$2,ROW(My_Audit!A114))</f>
        <v>XX114</v>
      </c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52" t="str">
        <f t="shared" si="1"/>
        <v/>
      </c>
      <c r="O115" s="39"/>
      <c r="P115" s="50"/>
      <c r="Q115" s="39"/>
      <c r="R115" s="39"/>
      <c r="S115" s="39"/>
      <c r="T115" s="39"/>
      <c r="U115" s="39"/>
    </row>
    <row r="116" spans="1:21">
      <c r="A116" s="52" t="str">
        <f>_xlfn.TEXTJOIN("",TRUE,Input!$B$2,ROW(My_Audit!A115))</f>
        <v>XX115</v>
      </c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52" t="str">
        <f t="shared" si="1"/>
        <v/>
      </c>
      <c r="O116" s="39"/>
      <c r="P116" s="50"/>
      <c r="Q116" s="39"/>
      <c r="R116" s="39"/>
      <c r="S116" s="39"/>
      <c r="T116" s="39"/>
      <c r="U116" s="39"/>
    </row>
    <row r="117" spans="1:21">
      <c r="A117" s="52" t="str">
        <f>_xlfn.TEXTJOIN("",TRUE,Input!$B$2,ROW(My_Audit!A116))</f>
        <v>XX116</v>
      </c>
      <c r="D117" s="39"/>
      <c r="F117" s="39"/>
      <c r="G117" s="39"/>
      <c r="H117" s="39"/>
      <c r="I117" s="39"/>
      <c r="J117" s="39"/>
      <c r="K117" s="39"/>
      <c r="L117" s="39"/>
      <c r="M117" s="39"/>
      <c r="N117" s="52" t="str">
        <f t="shared" si="1"/>
        <v/>
      </c>
      <c r="O117" s="39"/>
      <c r="P117" s="50"/>
      <c r="Q117" s="39"/>
      <c r="R117" s="39"/>
      <c r="S117" s="39"/>
      <c r="T117" s="39"/>
      <c r="U117" s="39"/>
    </row>
    <row r="118" spans="1:21">
      <c r="A118" s="52" t="str">
        <f>_xlfn.TEXTJOIN("",TRUE,Input!$B$2,ROW(My_Audit!A117))</f>
        <v>XX117</v>
      </c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52" t="str">
        <f t="shared" si="1"/>
        <v/>
      </c>
      <c r="O118" s="39"/>
      <c r="P118" s="50"/>
      <c r="Q118" s="39"/>
      <c r="R118" s="39"/>
      <c r="S118" s="39"/>
      <c r="T118" s="39"/>
      <c r="U118" s="39"/>
    </row>
    <row r="119" spans="1:21">
      <c r="A119" s="52" t="str">
        <f>_xlfn.TEXTJOIN("",TRUE,Input!$B$2,ROW(My_Audit!A118))</f>
        <v>XX118</v>
      </c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52" t="str">
        <f t="shared" si="1"/>
        <v/>
      </c>
      <c r="O119" s="39"/>
      <c r="P119" s="50"/>
      <c r="Q119" s="39"/>
      <c r="R119" s="39"/>
      <c r="S119" s="39"/>
      <c r="T119" s="39"/>
      <c r="U119" s="39"/>
    </row>
    <row r="120" spans="1:21">
      <c r="A120" s="52" t="str">
        <f>_xlfn.TEXTJOIN("",TRUE,Input!$B$2,ROW(My_Audit!A119))</f>
        <v>XX119</v>
      </c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52" t="str">
        <f t="shared" si="1"/>
        <v/>
      </c>
      <c r="O120" s="39"/>
      <c r="P120" s="50"/>
      <c r="Q120" s="39"/>
      <c r="R120" s="39"/>
      <c r="S120" s="39"/>
      <c r="T120" s="39"/>
      <c r="U120" s="39"/>
    </row>
    <row r="121" spans="1:21">
      <c r="A121" s="52" t="str">
        <f>_xlfn.TEXTJOIN("",TRUE,Input!$B$2,ROW(My_Audit!A120))</f>
        <v>XX120</v>
      </c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52" t="str">
        <f t="shared" si="1"/>
        <v/>
      </c>
      <c r="O121" s="39"/>
      <c r="P121" s="50"/>
      <c r="Q121" s="39"/>
      <c r="R121" s="39"/>
      <c r="S121" s="39"/>
      <c r="T121" s="39"/>
      <c r="U121" s="39"/>
    </row>
    <row r="122" spans="1:21">
      <c r="A122" s="52" t="str">
        <f>_xlfn.TEXTJOIN("",TRUE,Input!$B$2,ROW(My_Audit!A121))</f>
        <v>XX121</v>
      </c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52" t="str">
        <f t="shared" si="1"/>
        <v/>
      </c>
      <c r="O122" s="39"/>
      <c r="P122" s="50"/>
      <c r="Q122" s="39"/>
      <c r="R122" s="39"/>
      <c r="S122" s="39"/>
      <c r="T122" s="39"/>
      <c r="U122" s="39"/>
    </row>
    <row r="123" spans="1:21">
      <c r="A123" s="52" t="str">
        <f>_xlfn.TEXTJOIN("",TRUE,Input!$B$2,ROW(My_Audit!A122))</f>
        <v>XX122</v>
      </c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52" t="str">
        <f t="shared" si="1"/>
        <v/>
      </c>
      <c r="O123" s="39"/>
      <c r="P123" s="50"/>
      <c r="Q123" s="39"/>
      <c r="R123" s="39"/>
      <c r="S123" s="39"/>
      <c r="T123" s="39"/>
      <c r="U123" s="39"/>
    </row>
    <row r="124" spans="1:21">
      <c r="A124" s="52" t="str">
        <f>_xlfn.TEXTJOIN("",TRUE,Input!$B$2,ROW(My_Audit!A123))</f>
        <v>XX123</v>
      </c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52" t="str">
        <f t="shared" si="1"/>
        <v/>
      </c>
      <c r="O124" s="39"/>
      <c r="P124" s="50"/>
      <c r="Q124" s="39"/>
      <c r="R124" s="39"/>
      <c r="S124" s="39"/>
      <c r="T124" s="39"/>
      <c r="U124" s="39"/>
    </row>
    <row r="125" spans="1:21">
      <c r="A125" s="52" t="str">
        <f>_xlfn.TEXTJOIN("",TRUE,Input!$B$2,ROW(My_Audit!A124))</f>
        <v>XX124</v>
      </c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52" t="str">
        <f t="shared" si="1"/>
        <v/>
      </c>
      <c r="O125" s="39"/>
      <c r="P125" s="50"/>
      <c r="Q125" s="39"/>
      <c r="R125" s="39"/>
      <c r="S125" s="39"/>
      <c r="T125" s="39"/>
      <c r="U125" s="39"/>
    </row>
    <row r="126" spans="1:21">
      <c r="A126" s="52" t="str">
        <f>_xlfn.TEXTJOIN("",TRUE,Input!$B$2,ROW(My_Audit!A125))</f>
        <v>XX125</v>
      </c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52" t="str">
        <f t="shared" si="1"/>
        <v/>
      </c>
      <c r="O126" s="39"/>
      <c r="P126" s="50"/>
      <c r="Q126" s="39"/>
      <c r="R126" s="39"/>
      <c r="S126" s="39"/>
      <c r="T126" s="39"/>
      <c r="U126" s="39"/>
    </row>
    <row r="127" spans="1:21">
      <c r="A127" s="52" t="str">
        <f>_xlfn.TEXTJOIN("",TRUE,Input!$B$2,ROW(My_Audit!A126))</f>
        <v>XX126</v>
      </c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52" t="str">
        <f t="shared" si="1"/>
        <v/>
      </c>
      <c r="O127" s="39"/>
      <c r="P127" s="50"/>
      <c r="Q127" s="39"/>
      <c r="R127" s="39"/>
      <c r="S127" s="39"/>
      <c r="T127" s="39"/>
      <c r="U127" s="39"/>
    </row>
    <row r="128" spans="1:21">
      <c r="A128" s="52" t="str">
        <f>_xlfn.TEXTJOIN("",TRUE,Input!$B$2,ROW(My_Audit!A127))</f>
        <v>XX127</v>
      </c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52" t="str">
        <f t="shared" si="1"/>
        <v/>
      </c>
      <c r="O128" s="39"/>
      <c r="P128" s="50"/>
      <c r="Q128" s="39"/>
      <c r="R128" s="39"/>
      <c r="S128" s="39"/>
      <c r="T128" s="39"/>
      <c r="U128" s="39"/>
    </row>
    <row r="129" spans="1:21">
      <c r="A129" s="52" t="str">
        <f>_xlfn.TEXTJOIN("",TRUE,Input!$B$2,ROW(My_Audit!A128))</f>
        <v>XX128</v>
      </c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52" t="str">
        <f t="shared" si="1"/>
        <v/>
      </c>
      <c r="O129" s="39"/>
      <c r="P129" s="50"/>
      <c r="Q129" s="39"/>
      <c r="R129" s="39"/>
      <c r="S129" s="39"/>
      <c r="T129" s="39"/>
      <c r="U129" s="39"/>
    </row>
    <row r="130" spans="1:21">
      <c r="A130" s="52" t="str">
        <f>_xlfn.TEXTJOIN("",TRUE,Input!$B$2,ROW(My_Audit!A129))</f>
        <v>XX129</v>
      </c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52" t="str">
        <f t="shared" si="1"/>
        <v/>
      </c>
      <c r="O130" s="39"/>
      <c r="P130" s="50"/>
      <c r="Q130" s="39"/>
      <c r="R130" s="39"/>
      <c r="S130" s="39"/>
      <c r="T130" s="39"/>
      <c r="U130" s="39"/>
    </row>
    <row r="131" spans="1:21">
      <c r="A131" s="52" t="str">
        <f>_xlfn.TEXTJOIN("",TRUE,Input!$B$2,ROW(My_Audit!A130))</f>
        <v>XX130</v>
      </c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52" t="str">
        <f t="shared" ref="N131:N194" si="2">_xlfn.TEXTJOIN(", ",TRUE, L131, M131)</f>
        <v/>
      </c>
      <c r="O131" s="39"/>
      <c r="P131" s="50"/>
      <c r="Q131" s="39"/>
      <c r="R131" s="39"/>
      <c r="S131" s="39"/>
      <c r="T131" s="39"/>
      <c r="U131" s="39"/>
    </row>
    <row r="132" spans="1:21">
      <c r="A132" s="52" t="str">
        <f>_xlfn.TEXTJOIN("",TRUE,Input!$B$2,ROW(My_Audit!A131))</f>
        <v>XX131</v>
      </c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52" t="str">
        <f t="shared" si="2"/>
        <v/>
      </c>
      <c r="O132" s="39"/>
      <c r="P132" s="50"/>
      <c r="Q132" s="39"/>
      <c r="R132" s="39"/>
      <c r="S132" s="39"/>
      <c r="T132" s="39"/>
      <c r="U132" s="39"/>
    </row>
    <row r="133" spans="1:21">
      <c r="A133" s="52" t="str">
        <f>_xlfn.TEXTJOIN("",TRUE,Input!$B$2,ROW(My_Audit!A132))</f>
        <v>XX132</v>
      </c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52" t="str">
        <f t="shared" si="2"/>
        <v/>
      </c>
      <c r="O133" s="39"/>
      <c r="P133" s="50"/>
      <c r="Q133" s="39"/>
      <c r="R133" s="39"/>
      <c r="S133" s="39"/>
      <c r="T133" s="39"/>
      <c r="U133" s="39"/>
    </row>
    <row r="134" spans="1:21">
      <c r="A134" s="52" t="str">
        <f>_xlfn.TEXTJOIN("",TRUE,Input!$B$2,ROW(My_Audit!A133))</f>
        <v>XX133</v>
      </c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52" t="str">
        <f t="shared" si="2"/>
        <v/>
      </c>
      <c r="O134" s="39"/>
      <c r="P134" s="50"/>
      <c r="Q134" s="39"/>
      <c r="R134" s="39"/>
      <c r="S134" s="39"/>
      <c r="T134" s="39"/>
      <c r="U134" s="39"/>
    </row>
    <row r="135" spans="1:21">
      <c r="A135" s="52" t="str">
        <f>_xlfn.TEXTJOIN("",TRUE,Input!$B$2,ROW(My_Audit!A134))</f>
        <v>XX134</v>
      </c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52" t="str">
        <f t="shared" si="2"/>
        <v/>
      </c>
      <c r="O135" s="39"/>
      <c r="P135" s="50"/>
      <c r="Q135" s="39"/>
      <c r="R135" s="39"/>
      <c r="S135" s="39"/>
      <c r="T135" s="39"/>
      <c r="U135" s="39"/>
    </row>
    <row r="136" spans="1:21">
      <c r="A136" s="52" t="str">
        <f>_xlfn.TEXTJOIN("",TRUE,Input!$B$2,ROW(My_Audit!A135))</f>
        <v>XX135</v>
      </c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52" t="str">
        <f t="shared" si="2"/>
        <v/>
      </c>
      <c r="O136" s="39"/>
      <c r="P136" s="50"/>
      <c r="Q136" s="39"/>
      <c r="R136" s="39"/>
      <c r="S136" s="39"/>
      <c r="T136" s="39"/>
      <c r="U136" s="39"/>
    </row>
    <row r="137" spans="1:21">
      <c r="A137" s="52" t="str">
        <f>_xlfn.TEXTJOIN("",TRUE,Input!$B$2,ROW(My_Audit!A136))</f>
        <v>XX136</v>
      </c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52" t="str">
        <f t="shared" si="2"/>
        <v/>
      </c>
      <c r="O137" s="39"/>
      <c r="P137" s="50"/>
      <c r="Q137" s="39"/>
      <c r="R137" s="39"/>
      <c r="S137" s="39"/>
      <c r="T137" s="39"/>
      <c r="U137" s="39"/>
    </row>
    <row r="138" spans="1:21">
      <c r="A138" s="52" t="str">
        <f>_xlfn.TEXTJOIN("",TRUE,Input!$B$2,ROW(My_Audit!A137))</f>
        <v>XX137</v>
      </c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52" t="str">
        <f t="shared" si="2"/>
        <v/>
      </c>
      <c r="O138" s="39"/>
      <c r="P138" s="50"/>
      <c r="Q138" s="39"/>
      <c r="R138" s="39"/>
      <c r="S138" s="39"/>
      <c r="T138" s="39"/>
      <c r="U138" s="39"/>
    </row>
    <row r="139" spans="1:21">
      <c r="A139" s="52" t="str">
        <f>_xlfn.TEXTJOIN("",TRUE,Input!$B$2,ROW(My_Audit!A138))</f>
        <v>XX138</v>
      </c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52" t="str">
        <f t="shared" si="2"/>
        <v/>
      </c>
      <c r="O139" s="39"/>
      <c r="P139" s="50"/>
      <c r="Q139" s="39"/>
      <c r="R139" s="39"/>
      <c r="S139" s="39"/>
      <c r="T139" s="39"/>
      <c r="U139" s="39"/>
    </row>
    <row r="140" spans="1:21">
      <c r="A140" s="52" t="str">
        <f>_xlfn.TEXTJOIN("",TRUE,Input!$B$2,ROW(My_Audit!A139))</f>
        <v>XX139</v>
      </c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52" t="str">
        <f t="shared" si="2"/>
        <v/>
      </c>
      <c r="O140" s="39"/>
      <c r="P140" s="50"/>
      <c r="Q140" s="39"/>
      <c r="R140" s="39"/>
      <c r="S140" s="39"/>
      <c r="T140" s="39"/>
      <c r="U140" s="39"/>
    </row>
    <row r="141" spans="1:21">
      <c r="A141" s="52" t="str">
        <f>_xlfn.TEXTJOIN("",TRUE,Input!$B$2,ROW(My_Audit!A140))</f>
        <v>XX140</v>
      </c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52" t="str">
        <f t="shared" si="2"/>
        <v/>
      </c>
      <c r="O141" s="39"/>
      <c r="P141" s="50"/>
      <c r="Q141" s="39"/>
      <c r="R141" s="39"/>
      <c r="S141" s="39"/>
      <c r="T141" s="39"/>
      <c r="U141" s="39"/>
    </row>
    <row r="142" spans="1:21">
      <c r="A142" s="52" t="str">
        <f>_xlfn.TEXTJOIN("",TRUE,Input!$B$2,ROW(My_Audit!A141))</f>
        <v>XX141</v>
      </c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52" t="str">
        <f t="shared" si="2"/>
        <v/>
      </c>
      <c r="O142" s="39"/>
      <c r="P142" s="50"/>
      <c r="Q142" s="39"/>
      <c r="R142" s="39"/>
      <c r="S142" s="39"/>
      <c r="T142" s="39"/>
      <c r="U142" s="39"/>
    </row>
    <row r="143" spans="1:21">
      <c r="A143" s="52" t="str">
        <f>_xlfn.TEXTJOIN("",TRUE,Input!$B$2,ROW(My_Audit!A142))</f>
        <v>XX142</v>
      </c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52" t="str">
        <f t="shared" si="2"/>
        <v/>
      </c>
      <c r="O143" s="39"/>
      <c r="P143" s="50"/>
      <c r="Q143" s="39"/>
      <c r="R143" s="39"/>
      <c r="S143" s="39"/>
      <c r="T143" s="39"/>
      <c r="U143" s="39"/>
    </row>
    <row r="144" spans="1:21">
      <c r="A144" s="52" t="str">
        <f>_xlfn.TEXTJOIN("",TRUE,Input!$B$2,ROW(My_Audit!A143))</f>
        <v>XX143</v>
      </c>
      <c r="B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52" t="str">
        <f t="shared" si="2"/>
        <v/>
      </c>
      <c r="O144" s="39"/>
      <c r="P144" s="50"/>
      <c r="Q144" s="39"/>
      <c r="R144" s="39"/>
      <c r="S144" s="39"/>
      <c r="T144" s="39"/>
      <c r="U144" s="39"/>
    </row>
    <row r="145" spans="1:21">
      <c r="A145" s="52" t="str">
        <f>_xlfn.TEXTJOIN("",TRUE,Input!$B$2,ROW(My_Audit!A144))</f>
        <v>XX144</v>
      </c>
      <c r="B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52" t="str">
        <f t="shared" si="2"/>
        <v/>
      </c>
      <c r="O145" s="39"/>
      <c r="P145" s="50"/>
      <c r="Q145" s="39"/>
      <c r="R145" s="39"/>
      <c r="S145" s="39"/>
      <c r="T145" s="39"/>
      <c r="U145" s="39"/>
    </row>
    <row r="146" spans="1:21">
      <c r="A146" s="52" t="str">
        <f>_xlfn.TEXTJOIN("",TRUE,Input!$B$2,ROW(My_Audit!A145))</f>
        <v>XX145</v>
      </c>
      <c r="B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52" t="str">
        <f t="shared" si="2"/>
        <v/>
      </c>
      <c r="O146" s="39"/>
      <c r="P146" s="50"/>
      <c r="Q146" s="39"/>
      <c r="R146" s="39"/>
      <c r="S146" s="39"/>
      <c r="T146" s="39"/>
      <c r="U146" s="39"/>
    </row>
    <row r="147" spans="1:21">
      <c r="A147" s="52" t="str">
        <f>_xlfn.TEXTJOIN("",TRUE,Input!$B$2,ROW(My_Audit!A146))</f>
        <v>XX146</v>
      </c>
      <c r="B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52" t="str">
        <f t="shared" si="2"/>
        <v/>
      </c>
      <c r="O147" s="39"/>
      <c r="P147" s="50"/>
      <c r="Q147" s="39"/>
      <c r="R147" s="39"/>
      <c r="S147" s="39"/>
      <c r="T147" s="39"/>
      <c r="U147" s="39"/>
    </row>
    <row r="148" spans="1:21">
      <c r="A148" s="52" t="str">
        <f>_xlfn.TEXTJOIN("",TRUE,Input!$B$2,ROW(My_Audit!A147))</f>
        <v>XX147</v>
      </c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52" t="str">
        <f t="shared" si="2"/>
        <v/>
      </c>
      <c r="O148" s="39"/>
      <c r="P148" s="50"/>
      <c r="Q148" s="39"/>
      <c r="R148" s="39"/>
      <c r="S148" s="39"/>
      <c r="T148" s="39"/>
      <c r="U148" s="39"/>
    </row>
    <row r="149" spans="1:21">
      <c r="A149" s="52" t="str">
        <f>_xlfn.TEXTJOIN("",TRUE,Input!$B$2,ROW(My_Audit!A148))</f>
        <v>XX148</v>
      </c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52" t="str">
        <f t="shared" si="2"/>
        <v/>
      </c>
      <c r="O149" s="39"/>
      <c r="P149" s="50"/>
      <c r="Q149" s="39"/>
      <c r="R149" s="39"/>
      <c r="S149" s="39"/>
      <c r="T149" s="39"/>
      <c r="U149" s="39"/>
    </row>
    <row r="150" spans="1:21">
      <c r="A150" s="52" t="str">
        <f>_xlfn.TEXTJOIN("",TRUE,Input!$B$2,ROW(My_Audit!A149))</f>
        <v>XX149</v>
      </c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52" t="str">
        <f t="shared" si="2"/>
        <v/>
      </c>
      <c r="O150" s="39"/>
      <c r="P150" s="50"/>
      <c r="Q150" s="39"/>
      <c r="R150" s="39"/>
      <c r="S150" s="39"/>
      <c r="T150" s="39"/>
      <c r="U150" s="39"/>
    </row>
    <row r="151" spans="1:21">
      <c r="A151" s="52" t="str">
        <f>_xlfn.TEXTJOIN("",TRUE,Input!$B$2,ROW(My_Audit!A150))</f>
        <v>XX150</v>
      </c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52" t="str">
        <f t="shared" si="2"/>
        <v/>
      </c>
      <c r="O151" s="39"/>
      <c r="P151" s="50"/>
      <c r="Q151" s="39"/>
      <c r="R151" s="39"/>
      <c r="S151" s="39"/>
      <c r="T151" s="39"/>
      <c r="U151" s="39"/>
    </row>
    <row r="152" spans="1:21">
      <c r="A152" s="52" t="str">
        <f>_xlfn.TEXTJOIN("",TRUE,Input!$B$2,ROW(My_Audit!A151))</f>
        <v>XX151</v>
      </c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52" t="str">
        <f t="shared" si="2"/>
        <v/>
      </c>
      <c r="O152" s="39"/>
      <c r="P152" s="50"/>
      <c r="Q152" s="39"/>
      <c r="R152" s="39"/>
      <c r="S152" s="39"/>
      <c r="T152" s="39"/>
      <c r="U152" s="39"/>
    </row>
    <row r="153" spans="1:21">
      <c r="A153" s="52" t="str">
        <f>_xlfn.TEXTJOIN("",TRUE,Input!$B$2,ROW(My_Audit!A152))</f>
        <v>XX152</v>
      </c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52" t="str">
        <f t="shared" si="2"/>
        <v/>
      </c>
      <c r="O153" s="39"/>
      <c r="P153" s="50"/>
      <c r="Q153" s="39"/>
      <c r="R153" s="39"/>
      <c r="S153" s="39"/>
      <c r="T153" s="39"/>
      <c r="U153" s="39"/>
    </row>
    <row r="154" spans="1:21">
      <c r="A154" s="52" t="str">
        <f>_xlfn.TEXTJOIN("",TRUE,Input!$B$2,ROW(My_Audit!A153))</f>
        <v>XX153</v>
      </c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52" t="str">
        <f t="shared" si="2"/>
        <v/>
      </c>
      <c r="O154" s="39"/>
      <c r="P154" s="50"/>
      <c r="Q154" s="39"/>
      <c r="R154" s="39"/>
      <c r="S154" s="39"/>
      <c r="T154" s="39"/>
      <c r="U154" s="39"/>
    </row>
    <row r="155" spans="1:21">
      <c r="A155" s="52" t="str">
        <f>_xlfn.TEXTJOIN("",TRUE,Input!$B$2,ROW(My_Audit!A154))</f>
        <v>XX154</v>
      </c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52" t="str">
        <f t="shared" si="2"/>
        <v/>
      </c>
      <c r="O155" s="39"/>
      <c r="P155" s="50"/>
      <c r="Q155" s="39"/>
      <c r="R155" s="39"/>
      <c r="S155" s="39"/>
      <c r="T155" s="39"/>
      <c r="U155" s="39"/>
    </row>
    <row r="156" spans="1:21">
      <c r="A156" s="52" t="str">
        <f>_xlfn.TEXTJOIN("",TRUE,Input!$B$2,ROW(My_Audit!A155))</f>
        <v>XX155</v>
      </c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52" t="str">
        <f t="shared" si="2"/>
        <v/>
      </c>
      <c r="O156" s="39"/>
      <c r="P156" s="50"/>
      <c r="Q156" s="39"/>
      <c r="R156" s="39"/>
      <c r="S156" s="39"/>
      <c r="T156" s="39"/>
      <c r="U156" s="39"/>
    </row>
    <row r="157" spans="1:21">
      <c r="A157" s="52" t="str">
        <f>_xlfn.TEXTJOIN("",TRUE,Input!$B$2,ROW(My_Audit!A156))</f>
        <v>XX156</v>
      </c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52" t="str">
        <f t="shared" si="2"/>
        <v/>
      </c>
      <c r="O157" s="39"/>
      <c r="P157" s="50"/>
      <c r="Q157" s="39"/>
      <c r="R157" s="39"/>
      <c r="S157" s="39"/>
      <c r="T157" s="39"/>
      <c r="U157" s="39"/>
    </row>
    <row r="158" spans="1:21">
      <c r="A158" s="52" t="str">
        <f>_xlfn.TEXTJOIN("",TRUE,Input!$B$2,ROW(My_Audit!A157))</f>
        <v>XX157</v>
      </c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52" t="str">
        <f t="shared" si="2"/>
        <v/>
      </c>
      <c r="O158" s="39"/>
      <c r="P158" s="50"/>
      <c r="Q158" s="39"/>
      <c r="R158" s="39"/>
      <c r="S158" s="39"/>
      <c r="T158" s="39"/>
      <c r="U158" s="39"/>
    </row>
    <row r="159" spans="1:21">
      <c r="A159" s="52" t="str">
        <f>_xlfn.TEXTJOIN("",TRUE,Input!$B$2,ROW(My_Audit!A158))</f>
        <v>XX158</v>
      </c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52" t="str">
        <f t="shared" si="2"/>
        <v/>
      </c>
      <c r="O159" s="39"/>
      <c r="P159" s="50"/>
      <c r="Q159" s="39"/>
      <c r="R159" s="39"/>
      <c r="S159" s="39"/>
      <c r="T159" s="39"/>
      <c r="U159" s="39"/>
    </row>
    <row r="160" spans="1:21">
      <c r="A160" s="52" t="str">
        <f>_xlfn.TEXTJOIN("",TRUE,Input!$B$2,ROW(My_Audit!A159))</f>
        <v>XX159</v>
      </c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52" t="str">
        <f t="shared" si="2"/>
        <v/>
      </c>
      <c r="O160" s="39"/>
      <c r="P160" s="50"/>
      <c r="Q160" s="39"/>
      <c r="R160" s="39"/>
      <c r="S160" s="39"/>
      <c r="T160" s="39"/>
      <c r="U160" s="39"/>
    </row>
    <row r="161" spans="1:21">
      <c r="A161" s="52" t="str">
        <f>_xlfn.TEXTJOIN("",TRUE,Input!$B$2,ROW(My_Audit!A160))</f>
        <v>XX160</v>
      </c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52" t="str">
        <f t="shared" si="2"/>
        <v/>
      </c>
      <c r="O161" s="39"/>
      <c r="P161" s="50"/>
      <c r="Q161" s="39"/>
      <c r="R161" s="39"/>
      <c r="S161" s="39"/>
      <c r="T161" s="39"/>
      <c r="U161" s="39"/>
    </row>
    <row r="162" spans="1:21">
      <c r="A162" s="52" t="str">
        <f>_xlfn.TEXTJOIN("",TRUE,Input!$B$2,ROW(My_Audit!A161))</f>
        <v>XX161</v>
      </c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52" t="str">
        <f t="shared" si="2"/>
        <v/>
      </c>
      <c r="O162" s="39"/>
      <c r="P162" s="50"/>
      <c r="Q162" s="39"/>
      <c r="R162" s="39"/>
      <c r="S162" s="39"/>
      <c r="T162" s="39"/>
      <c r="U162" s="39"/>
    </row>
    <row r="163" spans="1:21">
      <c r="A163" s="52" t="str">
        <f>_xlfn.TEXTJOIN("",TRUE,Input!$B$2,ROW(My_Audit!A162))</f>
        <v>XX162</v>
      </c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52" t="str">
        <f t="shared" si="2"/>
        <v/>
      </c>
      <c r="O163" s="39"/>
      <c r="P163" s="50"/>
      <c r="Q163" s="39"/>
      <c r="R163" s="39"/>
      <c r="S163" s="39"/>
      <c r="T163" s="39"/>
      <c r="U163" s="39"/>
    </row>
    <row r="164" spans="1:21">
      <c r="A164" s="52" t="str">
        <f>_xlfn.TEXTJOIN("",TRUE,Input!$B$2,ROW(My_Audit!A163))</f>
        <v>XX163</v>
      </c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52" t="str">
        <f t="shared" si="2"/>
        <v/>
      </c>
      <c r="O164" s="39"/>
      <c r="P164" s="50"/>
      <c r="Q164" s="39"/>
      <c r="R164" s="39"/>
      <c r="S164" s="39"/>
      <c r="T164" s="39"/>
      <c r="U164" s="39"/>
    </row>
    <row r="165" spans="1:21">
      <c r="A165" s="52" t="str">
        <f>_xlfn.TEXTJOIN("",TRUE,Input!$B$2,ROW(My_Audit!A164))</f>
        <v>XX164</v>
      </c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52" t="str">
        <f t="shared" si="2"/>
        <v/>
      </c>
      <c r="O165" s="39"/>
      <c r="P165" s="50"/>
      <c r="Q165" s="39"/>
      <c r="R165" s="39"/>
      <c r="S165" s="39"/>
      <c r="T165" s="39"/>
      <c r="U165" s="39"/>
    </row>
    <row r="166" spans="1:21">
      <c r="A166" s="52" t="str">
        <f>_xlfn.TEXTJOIN("",TRUE,Input!$B$2,ROW(My_Audit!A165))</f>
        <v>XX165</v>
      </c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52" t="str">
        <f t="shared" si="2"/>
        <v/>
      </c>
      <c r="O166" s="39"/>
      <c r="P166" s="50"/>
      <c r="Q166" s="39"/>
      <c r="R166" s="39"/>
      <c r="S166" s="39"/>
      <c r="T166" s="39"/>
      <c r="U166" s="39"/>
    </row>
    <row r="167" spans="1:21">
      <c r="A167" s="52" t="str">
        <f>_xlfn.TEXTJOIN("",TRUE,Input!$B$2,ROW(My_Audit!A166))</f>
        <v>XX166</v>
      </c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52" t="str">
        <f t="shared" si="2"/>
        <v/>
      </c>
      <c r="O167" s="39"/>
      <c r="P167" s="50"/>
      <c r="Q167" s="39"/>
      <c r="R167" s="39"/>
      <c r="S167" s="39"/>
      <c r="T167" s="39"/>
      <c r="U167" s="39"/>
    </row>
    <row r="168" spans="1:21">
      <c r="A168" s="52" t="str">
        <f>_xlfn.TEXTJOIN("",TRUE,Input!$B$2,ROW(My_Audit!A167))</f>
        <v>XX167</v>
      </c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52" t="str">
        <f t="shared" si="2"/>
        <v/>
      </c>
      <c r="O168" s="39"/>
      <c r="P168" s="50"/>
      <c r="Q168" s="39"/>
      <c r="R168" s="39"/>
      <c r="S168" s="39"/>
      <c r="T168" s="39"/>
      <c r="U168" s="39"/>
    </row>
    <row r="169" spans="1:21">
      <c r="A169" s="52" t="str">
        <f>_xlfn.TEXTJOIN("",TRUE,Input!$B$2,ROW(My_Audit!A168))</f>
        <v>XX168</v>
      </c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N169" s="52" t="str">
        <f t="shared" si="2"/>
        <v/>
      </c>
      <c r="O169" s="39"/>
      <c r="P169" s="50"/>
      <c r="Q169" s="39"/>
      <c r="R169" s="39"/>
      <c r="S169" s="39"/>
      <c r="T169" s="39"/>
      <c r="U169" s="39"/>
    </row>
    <row r="170" spans="1:21">
      <c r="A170" s="52" t="str">
        <f>_xlfn.TEXTJOIN("",TRUE,Input!$B$2,ROW(My_Audit!A169))</f>
        <v>XX169</v>
      </c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52" t="str">
        <f t="shared" si="2"/>
        <v/>
      </c>
      <c r="O170" s="39"/>
      <c r="P170" s="50"/>
      <c r="Q170" s="39"/>
      <c r="R170" s="39"/>
      <c r="S170" s="39"/>
      <c r="T170" s="39"/>
      <c r="U170" s="39"/>
    </row>
    <row r="171" spans="1:21">
      <c r="A171" s="52" t="str">
        <f>_xlfn.TEXTJOIN("",TRUE,Input!$B$2,ROW(My_Audit!A170))</f>
        <v>XX170</v>
      </c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52" t="str">
        <f t="shared" si="2"/>
        <v/>
      </c>
      <c r="O171" s="39"/>
      <c r="P171" s="50"/>
      <c r="Q171" s="39"/>
      <c r="R171" s="39"/>
      <c r="S171" s="39"/>
      <c r="T171" s="39"/>
      <c r="U171" s="39"/>
    </row>
    <row r="172" spans="1:21">
      <c r="A172" s="52" t="str">
        <f>_xlfn.TEXTJOIN("",TRUE,Input!$B$2,ROW(My_Audit!A171))</f>
        <v>XX171</v>
      </c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52" t="str">
        <f t="shared" si="2"/>
        <v/>
      </c>
      <c r="O172" s="39"/>
      <c r="P172" s="50"/>
      <c r="Q172" s="39"/>
      <c r="R172" s="39"/>
      <c r="S172" s="39"/>
      <c r="T172" s="39"/>
      <c r="U172" s="39"/>
    </row>
    <row r="173" spans="1:21">
      <c r="A173" s="52" t="str">
        <f>_xlfn.TEXTJOIN("",TRUE,Input!$B$2,ROW(My_Audit!A172))</f>
        <v>XX172</v>
      </c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52" t="str">
        <f t="shared" si="2"/>
        <v/>
      </c>
      <c r="O173" s="39"/>
      <c r="P173" s="50"/>
      <c r="Q173" s="39"/>
      <c r="R173" s="39"/>
      <c r="S173" s="39"/>
      <c r="T173" s="39"/>
      <c r="U173" s="39"/>
    </row>
    <row r="174" spans="1:21">
      <c r="A174" s="52" t="str">
        <f>_xlfn.TEXTJOIN("",TRUE,Input!$B$2,ROW(My_Audit!A173))</f>
        <v>XX173</v>
      </c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52" t="str">
        <f t="shared" si="2"/>
        <v/>
      </c>
      <c r="O174" s="39"/>
      <c r="P174" s="50"/>
      <c r="Q174" s="39"/>
      <c r="R174" s="39"/>
      <c r="S174" s="39"/>
      <c r="T174" s="39"/>
      <c r="U174" s="39"/>
    </row>
    <row r="175" spans="1:21">
      <c r="A175" s="52" t="str">
        <f>_xlfn.TEXTJOIN("",TRUE,Input!$B$2,ROW(My_Audit!A174))</f>
        <v>XX174</v>
      </c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52" t="str">
        <f t="shared" si="2"/>
        <v/>
      </c>
      <c r="O175" s="39"/>
      <c r="P175" s="50"/>
      <c r="Q175" s="39"/>
      <c r="R175" s="39"/>
      <c r="S175" s="39"/>
      <c r="T175" s="39"/>
      <c r="U175" s="39"/>
    </row>
    <row r="176" spans="1:21">
      <c r="A176" s="52" t="str">
        <f>_xlfn.TEXTJOIN("",TRUE,Input!$B$2,ROW(My_Audit!A175))</f>
        <v>XX175</v>
      </c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52" t="str">
        <f t="shared" si="2"/>
        <v/>
      </c>
      <c r="O176" s="39"/>
      <c r="P176" s="50"/>
      <c r="Q176" s="39"/>
      <c r="R176" s="39"/>
      <c r="S176" s="39"/>
      <c r="T176" s="39"/>
      <c r="U176" s="39"/>
    </row>
    <row r="177" spans="1:21">
      <c r="A177" s="52" t="str">
        <f>_xlfn.TEXTJOIN("",TRUE,Input!$B$2,ROW(My_Audit!A176))</f>
        <v>XX176</v>
      </c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52" t="str">
        <f t="shared" si="2"/>
        <v/>
      </c>
      <c r="O177" s="39"/>
      <c r="P177" s="50"/>
      <c r="Q177" s="39"/>
      <c r="R177" s="39"/>
      <c r="S177" s="39"/>
      <c r="T177" s="39"/>
      <c r="U177" s="39"/>
    </row>
    <row r="178" spans="1:21">
      <c r="A178" s="52" t="str">
        <f>_xlfn.TEXTJOIN("",TRUE,Input!$B$2,ROW(My_Audit!A177))</f>
        <v>XX177</v>
      </c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52" t="str">
        <f t="shared" si="2"/>
        <v/>
      </c>
      <c r="O178" s="39"/>
      <c r="P178" s="50"/>
      <c r="Q178" s="39"/>
      <c r="R178" s="39"/>
      <c r="S178" s="39"/>
      <c r="T178" s="39"/>
      <c r="U178" s="39"/>
    </row>
    <row r="179" spans="1:21">
      <c r="A179" s="52" t="str">
        <f>_xlfn.TEXTJOIN("",TRUE,Input!$B$2,ROW(My_Audit!A178))</f>
        <v>XX178</v>
      </c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52" t="str">
        <f t="shared" si="2"/>
        <v/>
      </c>
      <c r="O179" s="39"/>
      <c r="P179" s="50"/>
      <c r="Q179" s="39"/>
      <c r="R179" s="39"/>
      <c r="S179" s="39"/>
      <c r="T179" s="39"/>
      <c r="U179" s="39"/>
    </row>
    <row r="180" spans="1:21">
      <c r="A180" s="52" t="str">
        <f>_xlfn.TEXTJOIN("",TRUE,Input!$B$2,ROW(My_Audit!A179))</f>
        <v>XX179</v>
      </c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52" t="str">
        <f t="shared" si="2"/>
        <v/>
      </c>
      <c r="O180" s="39"/>
      <c r="P180" s="50"/>
      <c r="Q180" s="39"/>
      <c r="R180" s="39"/>
      <c r="S180" s="39"/>
      <c r="T180" s="39"/>
      <c r="U180" s="39"/>
    </row>
    <row r="181" spans="1:21">
      <c r="A181" s="52" t="str">
        <f>_xlfn.TEXTJOIN("",TRUE,Input!$B$2,ROW(My_Audit!A180))</f>
        <v>XX180</v>
      </c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52" t="str">
        <f t="shared" si="2"/>
        <v/>
      </c>
      <c r="O181" s="39"/>
      <c r="P181" s="50"/>
      <c r="Q181" s="39"/>
      <c r="R181" s="39"/>
      <c r="S181" s="39"/>
      <c r="T181" s="39"/>
      <c r="U181" s="39"/>
    </row>
    <row r="182" spans="1:21">
      <c r="A182" s="52" t="str">
        <f>_xlfn.TEXTJOIN("",TRUE,Input!$B$2,ROW(My_Audit!A181))</f>
        <v>XX181</v>
      </c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52" t="str">
        <f t="shared" si="2"/>
        <v/>
      </c>
      <c r="O182" s="39"/>
      <c r="P182" s="50"/>
      <c r="Q182" s="39"/>
      <c r="R182" s="39"/>
      <c r="S182" s="39"/>
      <c r="T182" s="39"/>
      <c r="U182" s="39"/>
    </row>
    <row r="183" spans="1:21">
      <c r="A183" s="52" t="str">
        <f>_xlfn.TEXTJOIN("",TRUE,Input!$B$2,ROW(My_Audit!A182))</f>
        <v>XX182</v>
      </c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52" t="str">
        <f t="shared" si="2"/>
        <v/>
      </c>
      <c r="O183" s="39"/>
      <c r="P183" s="50"/>
      <c r="Q183" s="39"/>
      <c r="R183" s="39"/>
      <c r="S183" s="39"/>
      <c r="T183" s="39"/>
      <c r="U183" s="39"/>
    </row>
    <row r="184" spans="1:21">
      <c r="A184" s="52" t="str">
        <f>_xlfn.TEXTJOIN("",TRUE,Input!$B$2,ROW(My_Audit!A183))</f>
        <v>XX183</v>
      </c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52" t="str">
        <f t="shared" si="2"/>
        <v/>
      </c>
      <c r="O184" s="39"/>
      <c r="P184" s="50"/>
      <c r="Q184" s="39"/>
      <c r="R184" s="39"/>
      <c r="S184" s="39"/>
      <c r="T184" s="39"/>
      <c r="U184" s="39"/>
    </row>
    <row r="185" spans="1:21">
      <c r="A185" s="52" t="str">
        <f>_xlfn.TEXTJOIN("",TRUE,Input!$B$2,ROW(My_Audit!A184))</f>
        <v>XX184</v>
      </c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52" t="str">
        <f t="shared" si="2"/>
        <v/>
      </c>
      <c r="O185" s="39"/>
      <c r="P185" s="50"/>
      <c r="Q185" s="39"/>
      <c r="R185" s="39"/>
      <c r="S185" s="39"/>
      <c r="T185" s="39"/>
      <c r="U185" s="39"/>
    </row>
    <row r="186" spans="1:21">
      <c r="A186" s="52" t="str">
        <f>_xlfn.TEXTJOIN("",TRUE,Input!$B$2,ROW(My_Audit!A185))</f>
        <v>XX185</v>
      </c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52" t="str">
        <f t="shared" si="2"/>
        <v/>
      </c>
      <c r="O186" s="39"/>
      <c r="P186" s="50"/>
      <c r="Q186" s="39"/>
      <c r="R186" s="39"/>
      <c r="S186" s="39"/>
      <c r="T186" s="39"/>
      <c r="U186" s="39"/>
    </row>
    <row r="187" spans="1:21">
      <c r="A187" s="52" t="str">
        <f>_xlfn.TEXTJOIN("",TRUE,Input!$B$2,ROW(My_Audit!A186))</f>
        <v>XX186</v>
      </c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52" t="str">
        <f t="shared" si="2"/>
        <v/>
      </c>
      <c r="O187" s="39"/>
      <c r="P187" s="50"/>
      <c r="Q187" s="39"/>
      <c r="R187" s="39"/>
      <c r="S187" s="39"/>
      <c r="T187" s="39"/>
      <c r="U187" s="39"/>
    </row>
    <row r="188" spans="1:21">
      <c r="A188" s="52" t="str">
        <f>_xlfn.TEXTJOIN("",TRUE,Input!$B$2,ROW(My_Audit!A187))</f>
        <v>XX187</v>
      </c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52" t="str">
        <f t="shared" si="2"/>
        <v/>
      </c>
      <c r="O188" s="39"/>
      <c r="P188" s="50"/>
      <c r="Q188" s="39"/>
      <c r="R188" s="39"/>
      <c r="S188" s="39"/>
      <c r="T188" s="39"/>
      <c r="U188" s="39"/>
    </row>
    <row r="189" spans="1:21">
      <c r="A189" s="52" t="str">
        <f>_xlfn.TEXTJOIN("",TRUE,Input!$B$2,ROW(My_Audit!A188))</f>
        <v>XX188</v>
      </c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52" t="str">
        <f t="shared" si="2"/>
        <v/>
      </c>
      <c r="O189" s="39"/>
      <c r="P189" s="50"/>
      <c r="Q189" s="39"/>
      <c r="R189" s="39"/>
      <c r="S189" s="39"/>
      <c r="T189" s="39"/>
      <c r="U189" s="39"/>
    </row>
    <row r="190" spans="1:21">
      <c r="A190" s="52" t="str">
        <f>_xlfn.TEXTJOIN("",TRUE,Input!$B$2,ROW(My_Audit!A189))</f>
        <v>XX189</v>
      </c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52" t="str">
        <f t="shared" si="2"/>
        <v/>
      </c>
      <c r="O190" s="39"/>
      <c r="P190" s="50"/>
      <c r="Q190" s="39"/>
      <c r="R190" s="39"/>
      <c r="S190" s="39"/>
      <c r="T190" s="39"/>
      <c r="U190" s="39"/>
    </row>
    <row r="191" spans="1:21">
      <c r="A191" s="52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52" t="str">
        <f t="shared" si="2"/>
        <v/>
      </c>
      <c r="O191" s="39"/>
      <c r="P191" s="50"/>
      <c r="Q191" s="39"/>
      <c r="R191" s="39"/>
      <c r="S191" s="39"/>
      <c r="T191" s="39"/>
      <c r="U191" s="39"/>
    </row>
    <row r="192" spans="1:21">
      <c r="A192" s="52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52" t="str">
        <f t="shared" si="2"/>
        <v/>
      </c>
      <c r="O192" s="39"/>
      <c r="P192" s="50"/>
      <c r="Q192" s="39"/>
      <c r="R192" s="39"/>
      <c r="S192" s="39"/>
      <c r="T192" s="39"/>
      <c r="U192" s="39"/>
    </row>
    <row r="193" spans="1:21">
      <c r="A193" s="52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52" t="str">
        <f t="shared" si="2"/>
        <v/>
      </c>
      <c r="O193" s="39"/>
      <c r="P193" s="50"/>
      <c r="Q193" s="39"/>
      <c r="R193" s="39"/>
      <c r="S193" s="39"/>
      <c r="T193" s="39"/>
      <c r="U193" s="39"/>
    </row>
    <row r="194" spans="1:21">
      <c r="A194" s="52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52" t="str">
        <f t="shared" si="2"/>
        <v/>
      </c>
      <c r="O194" s="39"/>
      <c r="P194" s="50"/>
      <c r="Q194" s="39"/>
      <c r="R194" s="39"/>
      <c r="S194" s="39"/>
      <c r="T194" s="39"/>
      <c r="U194" s="39"/>
    </row>
    <row r="195" spans="1:21">
      <c r="A195" s="52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52" t="str">
        <f t="shared" ref="N195:N258" si="3">_xlfn.TEXTJOIN(", ",TRUE, L195, M195)</f>
        <v/>
      </c>
      <c r="O195" s="39"/>
      <c r="P195" s="50"/>
      <c r="Q195" s="39"/>
      <c r="R195" s="39"/>
      <c r="S195" s="39"/>
      <c r="T195" s="39"/>
      <c r="U195" s="39"/>
    </row>
    <row r="196" spans="1:21">
      <c r="A196" s="52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52" t="str">
        <f t="shared" si="3"/>
        <v/>
      </c>
      <c r="O196" s="39"/>
      <c r="P196" s="50"/>
      <c r="Q196" s="39"/>
      <c r="R196" s="39"/>
      <c r="S196" s="39"/>
      <c r="T196" s="39"/>
      <c r="U196" s="39"/>
    </row>
    <row r="197" spans="1:21">
      <c r="A197" s="52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52" t="str">
        <f t="shared" si="3"/>
        <v/>
      </c>
      <c r="O197" s="39"/>
      <c r="P197" s="50"/>
      <c r="Q197" s="39"/>
      <c r="R197" s="39"/>
      <c r="S197" s="39"/>
      <c r="T197" s="39"/>
      <c r="U197" s="39"/>
    </row>
    <row r="198" spans="1:21">
      <c r="A198" s="52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52" t="str">
        <f t="shared" si="3"/>
        <v/>
      </c>
      <c r="O198" s="39"/>
      <c r="P198" s="50"/>
      <c r="Q198" s="39"/>
      <c r="R198" s="39"/>
      <c r="S198" s="39"/>
      <c r="T198" s="39"/>
      <c r="U198" s="39"/>
    </row>
    <row r="199" spans="1:21">
      <c r="A199" s="52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52" t="str">
        <f t="shared" si="3"/>
        <v/>
      </c>
      <c r="O199" s="39"/>
      <c r="P199" s="50"/>
      <c r="Q199" s="39"/>
      <c r="R199" s="39"/>
      <c r="S199" s="39"/>
      <c r="T199" s="39"/>
      <c r="U199" s="39"/>
    </row>
    <row r="200" spans="1:21">
      <c r="A200" s="52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52" t="str">
        <f t="shared" si="3"/>
        <v/>
      </c>
      <c r="O200" s="39"/>
      <c r="P200" s="50"/>
      <c r="Q200" s="39"/>
      <c r="R200" s="39"/>
      <c r="S200" s="39"/>
      <c r="T200" s="39"/>
      <c r="U200" s="39"/>
    </row>
    <row r="201" spans="1:21">
      <c r="A201" s="52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52" t="str">
        <f t="shared" si="3"/>
        <v/>
      </c>
      <c r="O201" s="39"/>
      <c r="P201" s="50"/>
      <c r="Q201" s="39"/>
      <c r="R201" s="39"/>
      <c r="S201" s="39"/>
      <c r="T201" s="39"/>
      <c r="U201" s="39"/>
    </row>
    <row r="202" spans="1:21">
      <c r="A202" s="52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52" t="str">
        <f t="shared" si="3"/>
        <v/>
      </c>
      <c r="O202" s="39"/>
      <c r="P202" s="50"/>
      <c r="Q202" s="39"/>
      <c r="R202" s="39"/>
      <c r="S202" s="39"/>
      <c r="T202" s="39"/>
      <c r="U202" s="39"/>
    </row>
    <row r="203" spans="1:21">
      <c r="A203" s="52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52" t="str">
        <f t="shared" si="3"/>
        <v/>
      </c>
      <c r="O203" s="39"/>
      <c r="P203" s="50"/>
      <c r="Q203" s="39"/>
      <c r="R203" s="39"/>
      <c r="S203" s="39"/>
      <c r="T203" s="39"/>
      <c r="U203" s="39"/>
    </row>
    <row r="204" spans="1:21">
      <c r="A204" s="52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52" t="str">
        <f t="shared" si="3"/>
        <v/>
      </c>
      <c r="O204" s="39"/>
      <c r="P204" s="50"/>
      <c r="Q204" s="39"/>
      <c r="R204" s="39"/>
      <c r="S204" s="39"/>
      <c r="T204" s="39"/>
      <c r="U204" s="39"/>
    </row>
    <row r="205" spans="1:21">
      <c r="A205" s="52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52" t="str">
        <f t="shared" si="3"/>
        <v/>
      </c>
      <c r="O205" s="39"/>
      <c r="P205" s="50"/>
      <c r="Q205" s="39"/>
      <c r="R205" s="39"/>
      <c r="S205" s="39"/>
      <c r="T205" s="39"/>
      <c r="U205" s="39"/>
    </row>
    <row r="206" spans="1:21">
      <c r="A206" s="52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52" t="str">
        <f t="shared" si="3"/>
        <v/>
      </c>
      <c r="O206" s="39"/>
      <c r="P206" s="50"/>
      <c r="Q206" s="39"/>
      <c r="R206" s="39"/>
      <c r="S206" s="39"/>
      <c r="T206" s="39"/>
      <c r="U206" s="39"/>
    </row>
    <row r="207" spans="1:21">
      <c r="A207" s="52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52" t="str">
        <f t="shared" si="3"/>
        <v/>
      </c>
      <c r="O207" s="39"/>
      <c r="P207" s="50"/>
      <c r="Q207" s="39"/>
      <c r="R207" s="39"/>
      <c r="S207" s="39"/>
      <c r="T207" s="39"/>
      <c r="U207" s="39"/>
    </row>
    <row r="208" spans="1:21">
      <c r="A208" s="52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52" t="str">
        <f t="shared" si="3"/>
        <v/>
      </c>
      <c r="O208" s="39"/>
      <c r="P208" s="50"/>
      <c r="Q208" s="39"/>
      <c r="R208" s="39"/>
      <c r="S208" s="39"/>
      <c r="T208" s="39"/>
      <c r="U208" s="39"/>
    </row>
    <row r="209" spans="1:21">
      <c r="A209" s="52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52" t="str">
        <f t="shared" si="3"/>
        <v/>
      </c>
      <c r="O209" s="39"/>
      <c r="P209" s="50"/>
      <c r="Q209" s="39"/>
      <c r="R209" s="39"/>
      <c r="S209" s="39"/>
      <c r="T209" s="39"/>
      <c r="U209" s="39"/>
    </row>
    <row r="210" spans="1:21">
      <c r="A210" s="52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52" t="str">
        <f t="shared" si="3"/>
        <v/>
      </c>
      <c r="O210" s="39"/>
      <c r="P210" s="50"/>
      <c r="Q210" s="39"/>
      <c r="R210" s="39"/>
      <c r="S210" s="39"/>
      <c r="T210" s="39"/>
      <c r="U210" s="39"/>
    </row>
    <row r="211" spans="1:21">
      <c r="A211" s="52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52" t="str">
        <f t="shared" si="3"/>
        <v/>
      </c>
      <c r="O211" s="39"/>
      <c r="P211" s="50"/>
      <c r="Q211" s="39"/>
      <c r="R211" s="39"/>
      <c r="S211" s="39"/>
      <c r="T211" s="39"/>
      <c r="U211" s="39"/>
    </row>
    <row r="212" spans="1:21">
      <c r="A212" s="52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52" t="str">
        <f t="shared" si="3"/>
        <v/>
      </c>
      <c r="O212" s="39"/>
      <c r="P212" s="50"/>
      <c r="Q212" s="39"/>
      <c r="R212" s="39"/>
      <c r="S212" s="39"/>
      <c r="T212" s="39"/>
      <c r="U212" s="39"/>
    </row>
    <row r="213" spans="1:21">
      <c r="A213" s="52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52" t="str">
        <f t="shared" si="3"/>
        <v/>
      </c>
      <c r="O213" s="39"/>
      <c r="P213" s="50"/>
      <c r="Q213" s="39"/>
      <c r="R213" s="39"/>
      <c r="S213" s="39"/>
      <c r="T213" s="39"/>
      <c r="U213" s="39"/>
    </row>
    <row r="214" spans="1:21">
      <c r="A214" s="52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52" t="str">
        <f t="shared" si="3"/>
        <v/>
      </c>
      <c r="O214" s="39"/>
      <c r="P214" s="50"/>
      <c r="Q214" s="39"/>
      <c r="R214" s="39"/>
      <c r="S214" s="39"/>
      <c r="T214" s="39"/>
      <c r="U214" s="39"/>
    </row>
    <row r="215" spans="1:21">
      <c r="A215" s="52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52" t="str">
        <f t="shared" si="3"/>
        <v/>
      </c>
      <c r="O215" s="39"/>
      <c r="P215" s="50"/>
      <c r="Q215" s="39"/>
      <c r="R215" s="39"/>
      <c r="S215" s="39"/>
      <c r="T215" s="39"/>
      <c r="U215" s="39"/>
    </row>
    <row r="216" spans="1:21">
      <c r="A216" s="52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52" t="str">
        <f t="shared" si="3"/>
        <v/>
      </c>
      <c r="O216" s="39"/>
      <c r="P216" s="50"/>
      <c r="Q216" s="39"/>
      <c r="R216" s="39"/>
      <c r="S216" s="39"/>
      <c r="T216" s="39"/>
      <c r="U216" s="39"/>
    </row>
    <row r="217" spans="1:21">
      <c r="A217" s="52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52" t="str">
        <f t="shared" si="3"/>
        <v/>
      </c>
      <c r="O217" s="39"/>
      <c r="P217" s="50"/>
      <c r="Q217" s="39"/>
      <c r="R217" s="39"/>
      <c r="S217" s="39"/>
      <c r="T217" s="39"/>
      <c r="U217" s="39"/>
    </row>
    <row r="218" spans="1:21">
      <c r="A218" s="52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52" t="str">
        <f t="shared" si="3"/>
        <v/>
      </c>
      <c r="O218" s="39"/>
      <c r="P218" s="50"/>
      <c r="Q218" s="39"/>
      <c r="R218" s="39"/>
      <c r="S218" s="39"/>
      <c r="T218" s="39"/>
      <c r="U218" s="39"/>
    </row>
    <row r="219" spans="1:21">
      <c r="A219" s="52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52" t="str">
        <f t="shared" si="3"/>
        <v/>
      </c>
      <c r="O219" s="39"/>
      <c r="P219" s="50"/>
      <c r="Q219" s="39"/>
      <c r="R219" s="39"/>
      <c r="S219" s="39"/>
      <c r="T219" s="39"/>
      <c r="U219" s="39"/>
    </row>
    <row r="220" spans="1:21">
      <c r="A220" s="52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52" t="str">
        <f t="shared" si="3"/>
        <v/>
      </c>
      <c r="O220" s="39"/>
      <c r="P220" s="50"/>
      <c r="Q220" s="39"/>
      <c r="R220" s="39"/>
      <c r="S220" s="39"/>
      <c r="T220" s="39"/>
      <c r="U220" s="39"/>
    </row>
    <row r="221" spans="1:21">
      <c r="A221" s="52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52" t="str">
        <f t="shared" si="3"/>
        <v/>
      </c>
      <c r="O221" s="39"/>
      <c r="P221" s="50"/>
      <c r="Q221" s="39"/>
      <c r="R221" s="39"/>
      <c r="S221" s="39"/>
      <c r="T221" s="39"/>
      <c r="U221" s="39"/>
    </row>
    <row r="222" spans="1:21">
      <c r="A222" s="52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52" t="str">
        <f t="shared" si="3"/>
        <v/>
      </c>
      <c r="O222" s="39"/>
      <c r="P222" s="50"/>
      <c r="Q222" s="39"/>
      <c r="R222" s="39"/>
      <c r="S222" s="39"/>
      <c r="T222" s="39"/>
      <c r="U222" s="39"/>
    </row>
    <row r="223" spans="1:21">
      <c r="A223" s="52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52" t="str">
        <f t="shared" si="3"/>
        <v/>
      </c>
      <c r="O223" s="39"/>
      <c r="P223" s="50"/>
      <c r="Q223" s="39"/>
      <c r="R223" s="39"/>
      <c r="S223" s="39"/>
      <c r="T223" s="39"/>
      <c r="U223" s="39"/>
    </row>
    <row r="224" spans="1:21">
      <c r="A224" s="52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52" t="str">
        <f t="shared" si="3"/>
        <v/>
      </c>
      <c r="O224" s="39"/>
      <c r="P224" s="50"/>
      <c r="Q224" s="39"/>
      <c r="R224" s="39"/>
      <c r="S224" s="39"/>
      <c r="T224" s="39"/>
      <c r="U224" s="39"/>
    </row>
    <row r="225" spans="1:21">
      <c r="A225" s="52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52" t="str">
        <f t="shared" si="3"/>
        <v/>
      </c>
      <c r="O225" s="39"/>
      <c r="P225" s="50"/>
      <c r="Q225" s="39"/>
      <c r="R225" s="39"/>
      <c r="S225" s="39"/>
      <c r="T225" s="39"/>
      <c r="U225" s="39"/>
    </row>
    <row r="226" spans="1:21">
      <c r="A226" s="52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52" t="str">
        <f t="shared" si="3"/>
        <v/>
      </c>
      <c r="O226" s="39"/>
      <c r="P226" s="50"/>
      <c r="Q226" s="39"/>
      <c r="R226" s="39"/>
      <c r="S226" s="39"/>
      <c r="T226" s="39"/>
      <c r="U226" s="39"/>
    </row>
    <row r="227" spans="1:21">
      <c r="A227" s="52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52" t="str">
        <f t="shared" si="3"/>
        <v/>
      </c>
      <c r="O227" s="39"/>
      <c r="P227" s="50"/>
      <c r="Q227" s="39"/>
      <c r="R227" s="39"/>
      <c r="S227" s="39"/>
      <c r="T227" s="39"/>
      <c r="U227" s="39"/>
    </row>
    <row r="228" spans="1:21">
      <c r="A228" s="52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52" t="str">
        <f t="shared" si="3"/>
        <v/>
      </c>
      <c r="O228" s="39"/>
      <c r="P228" s="50"/>
      <c r="Q228" s="39"/>
      <c r="R228" s="39"/>
      <c r="S228" s="39"/>
      <c r="T228" s="39"/>
      <c r="U228" s="39"/>
    </row>
    <row r="229" spans="1:21">
      <c r="A229" s="52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52" t="str">
        <f t="shared" si="3"/>
        <v/>
      </c>
      <c r="O229" s="39"/>
      <c r="P229" s="50"/>
      <c r="Q229" s="39"/>
      <c r="R229" s="39"/>
      <c r="S229" s="39"/>
      <c r="T229" s="39"/>
      <c r="U229" s="39"/>
    </row>
    <row r="230" spans="1:21">
      <c r="A230" s="52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52" t="str">
        <f t="shared" si="3"/>
        <v/>
      </c>
      <c r="O230" s="39"/>
      <c r="P230" s="50"/>
      <c r="Q230" s="39"/>
      <c r="R230" s="39"/>
      <c r="S230" s="39"/>
      <c r="T230" s="39"/>
      <c r="U230" s="39"/>
    </row>
    <row r="231" spans="1:21">
      <c r="A231" s="52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52" t="str">
        <f t="shared" si="3"/>
        <v/>
      </c>
      <c r="O231" s="39"/>
      <c r="P231" s="50"/>
      <c r="Q231" s="39"/>
      <c r="R231" s="39"/>
      <c r="S231" s="39"/>
      <c r="T231" s="39"/>
      <c r="U231" s="39"/>
    </row>
    <row r="232" spans="1:21">
      <c r="A232" s="52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52" t="str">
        <f t="shared" si="3"/>
        <v/>
      </c>
      <c r="O232" s="39"/>
      <c r="P232" s="50"/>
      <c r="Q232" s="39"/>
      <c r="R232" s="39"/>
      <c r="S232" s="39"/>
      <c r="T232" s="39"/>
      <c r="U232" s="39"/>
    </row>
    <row r="233" spans="1:21">
      <c r="A233" s="52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52" t="str">
        <f t="shared" si="3"/>
        <v/>
      </c>
      <c r="O233" s="39"/>
      <c r="P233" s="50"/>
      <c r="Q233" s="39"/>
      <c r="R233" s="39"/>
      <c r="S233" s="39"/>
      <c r="T233" s="39"/>
      <c r="U233" s="39"/>
    </row>
    <row r="234" spans="1:21">
      <c r="A234" s="52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52" t="str">
        <f t="shared" si="3"/>
        <v/>
      </c>
      <c r="O234" s="39"/>
      <c r="P234" s="50"/>
      <c r="Q234" s="39"/>
      <c r="R234" s="39"/>
      <c r="S234" s="39"/>
      <c r="T234" s="39"/>
      <c r="U234" s="39"/>
    </row>
    <row r="235" spans="1:21">
      <c r="A235" s="52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52" t="str">
        <f t="shared" si="3"/>
        <v/>
      </c>
      <c r="O235" s="39"/>
      <c r="P235" s="50"/>
      <c r="Q235" s="39"/>
      <c r="R235" s="39"/>
      <c r="S235" s="39"/>
      <c r="T235" s="39"/>
      <c r="U235" s="39"/>
    </row>
    <row r="236" spans="1:21">
      <c r="A236" s="52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52" t="str">
        <f t="shared" si="3"/>
        <v/>
      </c>
      <c r="O236" s="39"/>
      <c r="P236" s="50"/>
      <c r="Q236" s="39"/>
      <c r="R236" s="39"/>
      <c r="S236" s="39"/>
      <c r="T236" s="39"/>
      <c r="U236" s="39"/>
    </row>
    <row r="237" spans="1:21">
      <c r="A237" s="52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52" t="str">
        <f t="shared" si="3"/>
        <v/>
      </c>
      <c r="O237" s="39"/>
      <c r="P237" s="50"/>
      <c r="Q237" s="39"/>
      <c r="R237" s="39"/>
      <c r="S237" s="39"/>
      <c r="T237" s="39"/>
      <c r="U237" s="39"/>
    </row>
    <row r="238" spans="1:21">
      <c r="A238" s="52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52" t="str">
        <f t="shared" si="3"/>
        <v/>
      </c>
      <c r="O238" s="39"/>
      <c r="P238" s="50"/>
      <c r="Q238" s="39"/>
      <c r="R238" s="39"/>
      <c r="S238" s="39"/>
      <c r="T238" s="39"/>
      <c r="U238" s="39"/>
    </row>
    <row r="239" spans="1:21">
      <c r="A239" s="52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52" t="str">
        <f t="shared" si="3"/>
        <v/>
      </c>
      <c r="O239" s="39"/>
      <c r="P239" s="50"/>
      <c r="Q239" s="39"/>
      <c r="R239" s="39"/>
      <c r="S239" s="39"/>
      <c r="T239" s="39"/>
      <c r="U239" s="39"/>
    </row>
    <row r="240" spans="1:21">
      <c r="A240" s="52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52" t="str">
        <f t="shared" si="3"/>
        <v/>
      </c>
      <c r="O240" s="39"/>
      <c r="P240" s="50"/>
      <c r="Q240" s="39"/>
      <c r="R240" s="39"/>
      <c r="S240" s="39"/>
      <c r="T240" s="39"/>
      <c r="U240" s="39"/>
    </row>
    <row r="241" spans="1:21">
      <c r="A241" s="52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52" t="str">
        <f t="shared" si="3"/>
        <v/>
      </c>
      <c r="O241" s="39"/>
      <c r="P241" s="50"/>
      <c r="Q241" s="39"/>
      <c r="R241" s="39"/>
      <c r="S241" s="39"/>
      <c r="T241" s="39"/>
      <c r="U241" s="39"/>
    </row>
    <row r="242" spans="1:21">
      <c r="A242" s="52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52" t="str">
        <f t="shared" si="3"/>
        <v/>
      </c>
      <c r="O242" s="39"/>
      <c r="P242" s="50"/>
      <c r="Q242" s="39"/>
      <c r="R242" s="39"/>
      <c r="S242" s="39"/>
      <c r="T242" s="39"/>
      <c r="U242" s="39"/>
    </row>
    <row r="243" spans="1:21">
      <c r="A243" s="52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52" t="str">
        <f t="shared" si="3"/>
        <v/>
      </c>
      <c r="O243" s="39"/>
      <c r="P243" s="50"/>
      <c r="Q243" s="39"/>
      <c r="R243" s="39"/>
      <c r="S243" s="39"/>
      <c r="T243" s="39"/>
      <c r="U243" s="39"/>
    </row>
    <row r="244" spans="1:21">
      <c r="A244" s="52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52" t="str">
        <f t="shared" si="3"/>
        <v/>
      </c>
      <c r="O244" s="39"/>
      <c r="P244" s="50"/>
      <c r="Q244" s="39"/>
      <c r="R244" s="39"/>
      <c r="S244" s="39"/>
      <c r="T244" s="39"/>
      <c r="U244" s="39"/>
    </row>
    <row r="245" spans="1:21">
      <c r="A245" s="52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52" t="str">
        <f t="shared" si="3"/>
        <v/>
      </c>
      <c r="O245" s="39"/>
      <c r="P245" s="50"/>
      <c r="Q245" s="39"/>
      <c r="R245" s="39"/>
      <c r="S245" s="39"/>
      <c r="T245" s="39"/>
      <c r="U245" s="39"/>
    </row>
    <row r="246" spans="1:21">
      <c r="A246" s="52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52" t="str">
        <f t="shared" si="3"/>
        <v/>
      </c>
      <c r="O246" s="39"/>
      <c r="P246" s="50"/>
      <c r="Q246" s="39"/>
      <c r="R246" s="39"/>
      <c r="S246" s="39"/>
      <c r="T246" s="39"/>
      <c r="U246" s="39"/>
    </row>
    <row r="247" spans="1:21">
      <c r="A247" s="52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52" t="str">
        <f t="shared" si="3"/>
        <v/>
      </c>
      <c r="O247" s="39"/>
      <c r="P247" s="50"/>
      <c r="Q247" s="39"/>
      <c r="R247" s="39"/>
      <c r="S247" s="39"/>
      <c r="T247" s="39"/>
      <c r="U247" s="39"/>
    </row>
    <row r="248" spans="1:21">
      <c r="A248" s="52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52" t="str">
        <f t="shared" si="3"/>
        <v/>
      </c>
      <c r="O248" s="39"/>
      <c r="P248" s="50"/>
      <c r="Q248" s="39"/>
      <c r="R248" s="39"/>
      <c r="S248" s="39"/>
      <c r="T248" s="39"/>
      <c r="U248" s="39"/>
    </row>
    <row r="249" spans="1:21">
      <c r="A249" s="52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52" t="str">
        <f t="shared" si="3"/>
        <v/>
      </c>
      <c r="O249" s="39"/>
      <c r="P249" s="50"/>
      <c r="Q249" s="39"/>
      <c r="R249" s="39"/>
      <c r="S249" s="39"/>
      <c r="T249" s="39"/>
      <c r="U249" s="39"/>
    </row>
    <row r="250" spans="1:21">
      <c r="A250" s="52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52" t="str">
        <f t="shared" si="3"/>
        <v/>
      </c>
      <c r="O250" s="39"/>
      <c r="P250" s="50"/>
      <c r="Q250" s="39"/>
      <c r="R250" s="39"/>
      <c r="S250" s="39"/>
      <c r="T250" s="39"/>
      <c r="U250" s="39"/>
    </row>
    <row r="251" spans="1:21">
      <c r="A251" s="52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52" t="str">
        <f t="shared" si="3"/>
        <v/>
      </c>
      <c r="O251" s="39"/>
      <c r="P251" s="50"/>
      <c r="Q251" s="39"/>
      <c r="R251" s="39"/>
      <c r="S251" s="39"/>
      <c r="T251" s="39"/>
      <c r="U251" s="39"/>
    </row>
    <row r="252" spans="1:21">
      <c r="A252" s="52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52" t="str">
        <f t="shared" si="3"/>
        <v/>
      </c>
      <c r="O252" s="39"/>
      <c r="P252" s="50"/>
      <c r="Q252" s="39"/>
      <c r="R252" s="39"/>
      <c r="S252" s="39"/>
      <c r="T252" s="39"/>
      <c r="U252" s="39"/>
    </row>
    <row r="253" spans="1:21">
      <c r="A253" s="52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52" t="str">
        <f t="shared" si="3"/>
        <v/>
      </c>
      <c r="O253" s="39"/>
      <c r="P253" s="50"/>
      <c r="Q253" s="39"/>
      <c r="R253" s="39"/>
      <c r="S253" s="39"/>
      <c r="T253" s="39"/>
      <c r="U253" s="39"/>
    </row>
    <row r="254" spans="1:21">
      <c r="A254" s="52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52" t="str">
        <f t="shared" si="3"/>
        <v/>
      </c>
      <c r="O254" s="39"/>
      <c r="P254" s="50"/>
      <c r="Q254" s="39"/>
      <c r="R254" s="39"/>
      <c r="S254" s="39"/>
      <c r="T254" s="39"/>
      <c r="U254" s="39"/>
    </row>
    <row r="255" spans="1:21">
      <c r="A255" s="52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52" t="str">
        <f t="shared" si="3"/>
        <v/>
      </c>
      <c r="O255" s="39"/>
      <c r="P255" s="50"/>
      <c r="Q255" s="39"/>
      <c r="R255" s="39"/>
      <c r="S255" s="39"/>
      <c r="T255" s="39"/>
      <c r="U255" s="39"/>
    </row>
    <row r="256" spans="1:21">
      <c r="A256" s="52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52" t="str">
        <f t="shared" si="3"/>
        <v/>
      </c>
      <c r="O256" s="39"/>
      <c r="P256" s="50"/>
      <c r="Q256" s="39"/>
      <c r="R256" s="39"/>
      <c r="S256" s="39"/>
      <c r="T256" s="39"/>
      <c r="U256" s="39"/>
    </row>
    <row r="257" spans="1:21">
      <c r="A257" s="52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52" t="str">
        <f t="shared" si="3"/>
        <v/>
      </c>
      <c r="O257" s="39"/>
      <c r="P257" s="50"/>
      <c r="Q257" s="39"/>
      <c r="R257" s="39"/>
      <c r="S257" s="39"/>
      <c r="T257" s="39"/>
      <c r="U257" s="39"/>
    </row>
    <row r="258" spans="1:21">
      <c r="A258" s="52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52" t="str">
        <f t="shared" si="3"/>
        <v/>
      </c>
      <c r="O258" s="39"/>
      <c r="P258" s="50"/>
      <c r="Q258" s="39"/>
      <c r="R258" s="39"/>
      <c r="S258" s="39"/>
      <c r="T258" s="39"/>
      <c r="U258" s="39"/>
    </row>
    <row r="259" spans="1:21">
      <c r="A259" s="52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52" t="str">
        <f t="shared" ref="N259:N322" si="4">_xlfn.TEXTJOIN(", ",TRUE, L259, M259)</f>
        <v/>
      </c>
      <c r="O259" s="39"/>
      <c r="P259" s="50"/>
      <c r="Q259" s="39"/>
      <c r="R259" s="39"/>
      <c r="S259" s="39"/>
      <c r="T259" s="39"/>
      <c r="U259" s="39"/>
    </row>
    <row r="260" spans="1:21">
      <c r="A260" s="52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52" t="str">
        <f t="shared" si="4"/>
        <v/>
      </c>
      <c r="O260" s="39"/>
      <c r="P260" s="50"/>
      <c r="Q260" s="39"/>
      <c r="R260" s="39"/>
      <c r="S260" s="39"/>
      <c r="T260" s="39"/>
      <c r="U260" s="39"/>
    </row>
    <row r="261" spans="1:21">
      <c r="A261" s="52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52" t="str">
        <f t="shared" si="4"/>
        <v/>
      </c>
      <c r="O261" s="39"/>
      <c r="P261" s="50"/>
      <c r="Q261" s="39"/>
      <c r="R261" s="39"/>
      <c r="S261" s="39"/>
      <c r="T261" s="39"/>
      <c r="U261" s="39"/>
    </row>
    <row r="262" spans="1:21">
      <c r="A262" s="52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52" t="str">
        <f t="shared" si="4"/>
        <v/>
      </c>
      <c r="O262" s="39"/>
      <c r="P262" s="50"/>
      <c r="Q262" s="39"/>
      <c r="R262" s="39"/>
      <c r="S262" s="39"/>
      <c r="T262" s="39"/>
      <c r="U262" s="39"/>
    </row>
    <row r="263" spans="1:21">
      <c r="A263" s="52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52" t="str">
        <f t="shared" si="4"/>
        <v/>
      </c>
      <c r="O263" s="39"/>
      <c r="P263" s="50"/>
      <c r="Q263" s="39"/>
      <c r="R263" s="39"/>
      <c r="S263" s="39"/>
      <c r="T263" s="39"/>
      <c r="U263" s="39"/>
    </row>
    <row r="264" spans="1:21">
      <c r="A264" s="52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52" t="str">
        <f t="shared" si="4"/>
        <v/>
      </c>
      <c r="O264" s="39"/>
      <c r="P264" s="50"/>
      <c r="Q264" s="39"/>
      <c r="R264" s="39"/>
      <c r="S264" s="39"/>
      <c r="T264" s="39"/>
      <c r="U264" s="39"/>
    </row>
    <row r="265" spans="1:21">
      <c r="A265" s="52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52" t="str">
        <f t="shared" si="4"/>
        <v/>
      </c>
      <c r="O265" s="39"/>
      <c r="P265" s="50"/>
      <c r="Q265" s="39"/>
      <c r="R265" s="39"/>
      <c r="S265" s="39"/>
      <c r="T265" s="39"/>
      <c r="U265" s="39"/>
    </row>
    <row r="266" spans="1:21">
      <c r="A266" s="52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52" t="str">
        <f t="shared" si="4"/>
        <v/>
      </c>
      <c r="O266" s="39"/>
      <c r="P266" s="50"/>
      <c r="Q266" s="39"/>
      <c r="R266" s="39"/>
      <c r="S266" s="39"/>
      <c r="T266" s="39"/>
      <c r="U266" s="39"/>
    </row>
    <row r="267" spans="1:21">
      <c r="A267" s="52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52" t="str">
        <f t="shared" si="4"/>
        <v/>
      </c>
      <c r="O267" s="39"/>
      <c r="P267" s="50"/>
      <c r="Q267" s="39"/>
      <c r="R267" s="39"/>
      <c r="S267" s="39"/>
      <c r="T267" s="39"/>
      <c r="U267" s="39"/>
    </row>
    <row r="268" spans="1:21">
      <c r="A268" s="52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52" t="str">
        <f t="shared" si="4"/>
        <v/>
      </c>
      <c r="O268" s="39"/>
      <c r="P268" s="50"/>
      <c r="Q268" s="39"/>
      <c r="R268" s="39"/>
      <c r="S268" s="39"/>
      <c r="T268" s="39"/>
      <c r="U268" s="39"/>
    </row>
    <row r="269" spans="1:21">
      <c r="A269" s="52"/>
      <c r="B269" s="39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52" t="str">
        <f t="shared" si="4"/>
        <v/>
      </c>
      <c r="O269" s="39"/>
      <c r="P269" s="50"/>
      <c r="Q269" s="39"/>
      <c r="R269" s="39"/>
      <c r="S269" s="39"/>
      <c r="T269" s="39"/>
      <c r="U269" s="39"/>
    </row>
    <row r="270" spans="1:21">
      <c r="A270" s="52"/>
      <c r="B270" s="39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52" t="str">
        <f t="shared" si="4"/>
        <v/>
      </c>
      <c r="O270" s="39"/>
      <c r="P270" s="50"/>
      <c r="Q270" s="39"/>
      <c r="R270" s="39"/>
      <c r="S270" s="39"/>
      <c r="T270" s="39"/>
      <c r="U270" s="39"/>
    </row>
    <row r="271" spans="1:21">
      <c r="A271" s="52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52" t="str">
        <f t="shared" si="4"/>
        <v/>
      </c>
      <c r="O271" s="39"/>
      <c r="P271" s="50"/>
      <c r="Q271" s="39"/>
      <c r="R271" s="39"/>
      <c r="S271" s="39"/>
      <c r="T271" s="39"/>
      <c r="U271" s="39"/>
    </row>
    <row r="272" spans="1:21">
      <c r="A272" s="52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52" t="str">
        <f t="shared" si="4"/>
        <v/>
      </c>
      <c r="O272" s="39"/>
      <c r="P272" s="50"/>
      <c r="Q272" s="39"/>
      <c r="R272" s="39"/>
      <c r="S272" s="39"/>
      <c r="T272" s="39"/>
      <c r="U272" s="39"/>
    </row>
    <row r="273" spans="1:21">
      <c r="A273" s="52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52" t="str">
        <f t="shared" si="4"/>
        <v/>
      </c>
      <c r="O273" s="39"/>
      <c r="P273" s="50"/>
      <c r="Q273" s="39"/>
      <c r="R273" s="39"/>
      <c r="S273" s="39"/>
      <c r="T273" s="39"/>
      <c r="U273" s="39"/>
    </row>
    <row r="274" spans="1:21">
      <c r="A274" s="52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52" t="str">
        <f t="shared" si="4"/>
        <v/>
      </c>
      <c r="O274" s="39"/>
      <c r="P274" s="50"/>
      <c r="Q274" s="39"/>
      <c r="R274" s="39"/>
      <c r="S274" s="39"/>
      <c r="T274" s="39"/>
      <c r="U274" s="39"/>
    </row>
    <row r="275" spans="1:21">
      <c r="A275" s="52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52" t="str">
        <f t="shared" si="4"/>
        <v/>
      </c>
      <c r="O275" s="39"/>
      <c r="P275" s="50"/>
      <c r="Q275" s="39"/>
      <c r="R275" s="39"/>
      <c r="S275" s="39"/>
      <c r="T275" s="39"/>
      <c r="U275" s="39"/>
    </row>
    <row r="276" spans="1:21">
      <c r="A276" s="52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52" t="str">
        <f t="shared" si="4"/>
        <v/>
      </c>
      <c r="O276" s="39"/>
      <c r="P276" s="50"/>
      <c r="Q276" s="39"/>
      <c r="R276" s="39"/>
      <c r="S276" s="39"/>
      <c r="T276" s="39"/>
      <c r="U276" s="39"/>
    </row>
    <row r="277" spans="1:21">
      <c r="A277" s="52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52" t="str">
        <f t="shared" si="4"/>
        <v/>
      </c>
      <c r="O277" s="39"/>
      <c r="P277" s="50"/>
      <c r="Q277" s="39"/>
      <c r="R277" s="39"/>
      <c r="S277" s="39"/>
      <c r="T277" s="39"/>
      <c r="U277" s="39"/>
    </row>
    <row r="278" spans="1:21">
      <c r="A278" s="52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52" t="str">
        <f t="shared" si="4"/>
        <v/>
      </c>
      <c r="O278" s="39"/>
      <c r="P278" s="50"/>
      <c r="Q278" s="39"/>
      <c r="R278" s="39"/>
      <c r="S278" s="39"/>
      <c r="T278" s="39"/>
      <c r="U278" s="39"/>
    </row>
    <row r="279" spans="1:21">
      <c r="A279" s="52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52" t="str">
        <f t="shared" si="4"/>
        <v/>
      </c>
      <c r="O279" s="39"/>
      <c r="P279" s="50"/>
      <c r="Q279" s="39"/>
      <c r="R279" s="39"/>
      <c r="S279" s="39"/>
      <c r="T279" s="39"/>
      <c r="U279" s="39"/>
    </row>
    <row r="280" spans="1:21">
      <c r="A280" s="52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52" t="str">
        <f t="shared" si="4"/>
        <v/>
      </c>
      <c r="O280" s="39"/>
      <c r="P280" s="50"/>
      <c r="Q280" s="39"/>
      <c r="R280" s="39"/>
      <c r="S280" s="39"/>
      <c r="T280" s="39"/>
      <c r="U280" s="39"/>
    </row>
    <row r="281" spans="1:21">
      <c r="A281" s="52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52" t="str">
        <f t="shared" si="4"/>
        <v/>
      </c>
      <c r="O281" s="39"/>
      <c r="P281" s="50"/>
      <c r="Q281" s="39"/>
      <c r="R281" s="39"/>
      <c r="S281" s="39"/>
      <c r="T281" s="39"/>
      <c r="U281" s="39"/>
    </row>
    <row r="282" spans="1:21">
      <c r="A282" s="52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52" t="str">
        <f t="shared" si="4"/>
        <v/>
      </c>
      <c r="O282" s="39"/>
      <c r="P282" s="50"/>
      <c r="Q282" s="39"/>
      <c r="R282" s="39"/>
      <c r="S282" s="39"/>
      <c r="T282" s="39"/>
      <c r="U282" s="39"/>
    </row>
    <row r="283" spans="1:21">
      <c r="A283" s="52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52" t="str">
        <f t="shared" si="4"/>
        <v/>
      </c>
      <c r="O283" s="39"/>
      <c r="P283" s="50"/>
      <c r="Q283" s="39"/>
      <c r="R283" s="39"/>
      <c r="S283" s="39"/>
      <c r="T283" s="39"/>
      <c r="U283" s="39"/>
    </row>
    <row r="284" spans="1:21">
      <c r="A284" s="52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52" t="str">
        <f t="shared" si="4"/>
        <v/>
      </c>
      <c r="O284" s="39"/>
      <c r="P284" s="50"/>
      <c r="Q284" s="39"/>
      <c r="R284" s="39"/>
      <c r="S284" s="39"/>
      <c r="T284" s="39"/>
      <c r="U284" s="39"/>
    </row>
    <row r="285" spans="1:21">
      <c r="A285" s="52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52" t="str">
        <f t="shared" si="4"/>
        <v/>
      </c>
      <c r="O285" s="39"/>
      <c r="P285" s="50"/>
      <c r="Q285" s="39"/>
      <c r="R285" s="39"/>
      <c r="S285" s="39"/>
      <c r="T285" s="39"/>
      <c r="U285" s="39"/>
    </row>
    <row r="286" spans="1:21">
      <c r="A286" s="52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52" t="str">
        <f t="shared" si="4"/>
        <v/>
      </c>
      <c r="O286" s="39"/>
      <c r="P286" s="50"/>
      <c r="Q286" s="39"/>
      <c r="R286" s="39"/>
      <c r="S286" s="39"/>
      <c r="T286" s="39"/>
      <c r="U286" s="39"/>
    </row>
    <row r="287" spans="1:21">
      <c r="A287" s="52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52" t="str">
        <f t="shared" si="4"/>
        <v/>
      </c>
      <c r="O287" s="39"/>
      <c r="P287" s="50"/>
      <c r="Q287" s="39"/>
      <c r="R287" s="39"/>
      <c r="S287" s="39"/>
      <c r="T287" s="39"/>
      <c r="U287" s="39"/>
    </row>
    <row r="288" spans="1:21">
      <c r="A288" s="52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52" t="str">
        <f t="shared" si="4"/>
        <v/>
      </c>
      <c r="O288" s="39"/>
      <c r="P288" s="50"/>
      <c r="Q288" s="39"/>
      <c r="R288" s="39"/>
      <c r="S288" s="39"/>
      <c r="T288" s="39"/>
      <c r="U288" s="39"/>
    </row>
    <row r="289" spans="1:21">
      <c r="A289" s="52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52" t="str">
        <f t="shared" si="4"/>
        <v/>
      </c>
      <c r="O289" s="39"/>
      <c r="P289" s="50"/>
      <c r="Q289" s="39"/>
      <c r="R289" s="39"/>
      <c r="S289" s="39"/>
      <c r="T289" s="39"/>
      <c r="U289" s="39"/>
    </row>
    <row r="290" spans="1:21">
      <c r="A290" s="52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52" t="str">
        <f t="shared" si="4"/>
        <v/>
      </c>
      <c r="O290" s="39"/>
      <c r="P290" s="50"/>
      <c r="Q290" s="39"/>
      <c r="R290" s="39"/>
      <c r="S290" s="39"/>
      <c r="T290" s="39"/>
      <c r="U290" s="39"/>
    </row>
    <row r="291" spans="1:21">
      <c r="A291" s="52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52" t="str">
        <f t="shared" si="4"/>
        <v/>
      </c>
      <c r="O291" s="39"/>
      <c r="P291" s="50"/>
      <c r="Q291" s="39"/>
      <c r="R291" s="39"/>
      <c r="S291" s="39"/>
      <c r="T291" s="39"/>
      <c r="U291" s="39"/>
    </row>
    <row r="292" spans="1:21">
      <c r="A292" s="52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52" t="str">
        <f t="shared" si="4"/>
        <v/>
      </c>
      <c r="O292" s="39"/>
      <c r="P292" s="50"/>
      <c r="Q292" s="39"/>
      <c r="R292" s="39"/>
      <c r="S292" s="39"/>
      <c r="T292" s="39"/>
      <c r="U292" s="39"/>
    </row>
    <row r="293" spans="1:21">
      <c r="A293" s="52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52" t="str">
        <f t="shared" si="4"/>
        <v/>
      </c>
      <c r="O293" s="39"/>
      <c r="P293" s="50"/>
      <c r="Q293" s="39"/>
      <c r="R293" s="39"/>
      <c r="S293" s="39"/>
      <c r="T293" s="39"/>
      <c r="U293" s="39"/>
    </row>
    <row r="294" spans="1:21">
      <c r="A294" s="52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52" t="str">
        <f t="shared" si="4"/>
        <v/>
      </c>
      <c r="O294" s="39"/>
      <c r="P294" s="50"/>
      <c r="Q294" s="39"/>
      <c r="R294" s="39"/>
      <c r="S294" s="39"/>
      <c r="T294" s="39"/>
      <c r="U294" s="39"/>
    </row>
    <row r="295" spans="1:21">
      <c r="A295" s="52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52" t="str">
        <f t="shared" si="4"/>
        <v/>
      </c>
      <c r="O295" s="39"/>
      <c r="P295" s="50"/>
      <c r="Q295" s="39"/>
      <c r="R295" s="39"/>
      <c r="S295" s="39"/>
      <c r="T295" s="39"/>
      <c r="U295" s="39"/>
    </row>
    <row r="296" spans="1:21">
      <c r="A296" s="52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52" t="str">
        <f t="shared" si="4"/>
        <v/>
      </c>
      <c r="O296" s="39"/>
      <c r="P296" s="50"/>
      <c r="Q296" s="39"/>
      <c r="R296" s="39"/>
      <c r="S296" s="39"/>
      <c r="T296" s="39"/>
      <c r="U296" s="39"/>
    </row>
    <row r="297" spans="1:21">
      <c r="A297" s="52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52" t="str">
        <f t="shared" si="4"/>
        <v/>
      </c>
      <c r="O297" s="39"/>
      <c r="P297" s="50"/>
      <c r="Q297" s="39"/>
      <c r="R297" s="39"/>
      <c r="S297" s="39"/>
      <c r="T297" s="39"/>
      <c r="U297" s="39"/>
    </row>
    <row r="298" spans="1:21">
      <c r="A298" s="52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52" t="str">
        <f t="shared" si="4"/>
        <v/>
      </c>
      <c r="O298" s="39"/>
      <c r="P298" s="50"/>
      <c r="Q298" s="39"/>
      <c r="R298" s="39"/>
      <c r="S298" s="39"/>
      <c r="T298" s="39"/>
      <c r="U298" s="39"/>
    </row>
    <row r="299" spans="1:21">
      <c r="A299" s="52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52" t="str">
        <f t="shared" si="4"/>
        <v/>
      </c>
      <c r="O299" s="39"/>
      <c r="P299" s="50"/>
      <c r="Q299" s="39"/>
      <c r="R299" s="39"/>
      <c r="S299" s="39"/>
      <c r="T299" s="39"/>
      <c r="U299" s="39"/>
    </row>
    <row r="300" spans="1:21">
      <c r="A300" s="52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52" t="str">
        <f t="shared" si="4"/>
        <v/>
      </c>
      <c r="O300" s="39"/>
      <c r="P300" s="50"/>
      <c r="Q300" s="39"/>
      <c r="R300" s="39"/>
      <c r="S300" s="39"/>
      <c r="T300" s="39"/>
      <c r="U300" s="39"/>
    </row>
    <row r="301" spans="1:21">
      <c r="A301" s="52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52" t="str">
        <f t="shared" si="4"/>
        <v/>
      </c>
      <c r="O301" s="39"/>
      <c r="P301" s="50"/>
      <c r="Q301" s="39"/>
      <c r="R301" s="39"/>
      <c r="S301" s="39"/>
      <c r="T301" s="39"/>
      <c r="U301" s="39"/>
    </row>
    <row r="302" spans="1:21">
      <c r="A302" s="52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52" t="str">
        <f t="shared" si="4"/>
        <v/>
      </c>
      <c r="O302" s="39"/>
      <c r="P302" s="50"/>
      <c r="Q302" s="39"/>
      <c r="R302" s="39"/>
      <c r="S302" s="39"/>
      <c r="T302" s="39"/>
      <c r="U302" s="39"/>
    </row>
    <row r="303" spans="1:21">
      <c r="A303" s="52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52" t="str">
        <f t="shared" si="4"/>
        <v/>
      </c>
      <c r="O303" s="39"/>
      <c r="P303" s="50"/>
      <c r="Q303" s="39"/>
      <c r="R303" s="39"/>
      <c r="S303" s="39"/>
      <c r="T303" s="39"/>
      <c r="U303" s="39"/>
    </row>
    <row r="304" spans="1:21">
      <c r="A304" s="52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52" t="str">
        <f t="shared" si="4"/>
        <v/>
      </c>
      <c r="O304" s="39"/>
      <c r="P304" s="50"/>
      <c r="Q304" s="39"/>
      <c r="R304" s="39"/>
      <c r="S304" s="39"/>
      <c r="T304" s="39"/>
      <c r="U304" s="39"/>
    </row>
    <row r="305" spans="1:21">
      <c r="A305" s="52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52" t="str">
        <f t="shared" si="4"/>
        <v/>
      </c>
      <c r="O305" s="39"/>
      <c r="P305" s="50"/>
      <c r="Q305" s="39"/>
      <c r="R305" s="39"/>
      <c r="S305" s="39"/>
      <c r="T305" s="39"/>
      <c r="U305" s="39"/>
    </row>
    <row r="306" spans="1:21">
      <c r="A306" s="52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52" t="str">
        <f t="shared" si="4"/>
        <v/>
      </c>
      <c r="O306" s="39"/>
      <c r="P306" s="50"/>
      <c r="Q306" s="39"/>
      <c r="R306" s="39"/>
      <c r="S306" s="39"/>
      <c r="T306" s="39"/>
      <c r="U306" s="39"/>
    </row>
    <row r="307" spans="1:21">
      <c r="A307" s="52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52" t="str">
        <f t="shared" si="4"/>
        <v/>
      </c>
      <c r="O307" s="39"/>
      <c r="P307" s="50"/>
      <c r="Q307" s="39"/>
      <c r="R307" s="39"/>
      <c r="S307" s="39"/>
      <c r="T307" s="39"/>
      <c r="U307" s="39"/>
    </row>
    <row r="308" spans="1:21">
      <c r="A308" s="52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52" t="str">
        <f t="shared" si="4"/>
        <v/>
      </c>
      <c r="O308" s="39"/>
      <c r="P308" s="50"/>
      <c r="Q308" s="39"/>
      <c r="R308" s="39"/>
      <c r="S308" s="39"/>
      <c r="T308" s="39"/>
      <c r="U308" s="39"/>
    </row>
    <row r="309" spans="1:21">
      <c r="A309" s="52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52" t="str">
        <f t="shared" si="4"/>
        <v/>
      </c>
      <c r="O309" s="39"/>
      <c r="P309" s="50"/>
      <c r="Q309" s="39"/>
      <c r="R309" s="39"/>
      <c r="S309" s="39"/>
      <c r="T309" s="39"/>
      <c r="U309" s="39"/>
    </row>
    <row r="310" spans="1:21">
      <c r="A310" s="52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52" t="str">
        <f t="shared" si="4"/>
        <v/>
      </c>
      <c r="O310" s="39"/>
      <c r="P310" s="50"/>
      <c r="Q310" s="39"/>
      <c r="R310" s="39"/>
      <c r="S310" s="39"/>
      <c r="T310" s="39"/>
      <c r="U310" s="39"/>
    </row>
    <row r="311" spans="1:21">
      <c r="A311" s="52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52" t="str">
        <f t="shared" si="4"/>
        <v/>
      </c>
      <c r="O311" s="39"/>
      <c r="P311" s="50"/>
      <c r="Q311" s="39"/>
      <c r="R311" s="39"/>
      <c r="S311" s="39"/>
      <c r="T311" s="39"/>
      <c r="U311" s="39"/>
    </row>
    <row r="312" spans="1:21">
      <c r="A312" s="52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52" t="str">
        <f t="shared" si="4"/>
        <v/>
      </c>
      <c r="O312" s="39"/>
      <c r="P312" s="50"/>
      <c r="Q312" s="39"/>
      <c r="R312" s="39"/>
      <c r="S312" s="39"/>
      <c r="T312" s="39"/>
      <c r="U312" s="39"/>
    </row>
    <row r="313" spans="1:21">
      <c r="A313" s="52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52" t="str">
        <f t="shared" si="4"/>
        <v/>
      </c>
      <c r="O313" s="39"/>
      <c r="P313" s="50"/>
      <c r="Q313" s="39"/>
      <c r="R313" s="39"/>
      <c r="S313" s="39"/>
      <c r="T313" s="39"/>
      <c r="U313" s="39"/>
    </row>
    <row r="314" spans="1:21">
      <c r="A314" s="52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52" t="str">
        <f t="shared" si="4"/>
        <v/>
      </c>
      <c r="O314" s="39"/>
      <c r="P314" s="50"/>
      <c r="Q314" s="39"/>
      <c r="R314" s="39"/>
      <c r="S314" s="39"/>
      <c r="T314" s="39"/>
      <c r="U314" s="39"/>
    </row>
    <row r="315" spans="1:21">
      <c r="A315" s="52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52" t="str">
        <f t="shared" si="4"/>
        <v/>
      </c>
      <c r="O315" s="39"/>
      <c r="P315" s="50"/>
      <c r="Q315" s="39"/>
      <c r="R315" s="39"/>
      <c r="S315" s="39"/>
      <c r="T315" s="39"/>
      <c r="U315" s="39"/>
    </row>
    <row r="316" spans="1:21">
      <c r="A316" s="52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52" t="str">
        <f t="shared" si="4"/>
        <v/>
      </c>
      <c r="O316" s="39"/>
      <c r="P316" s="50"/>
      <c r="Q316" s="39"/>
      <c r="R316" s="39"/>
      <c r="S316" s="39"/>
      <c r="T316" s="39"/>
      <c r="U316" s="39"/>
    </row>
    <row r="317" spans="1:21">
      <c r="A317" s="52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52" t="str">
        <f t="shared" si="4"/>
        <v/>
      </c>
      <c r="O317" s="39"/>
      <c r="P317" s="50"/>
      <c r="Q317" s="39"/>
      <c r="R317" s="39"/>
      <c r="S317" s="39"/>
      <c r="T317" s="39"/>
      <c r="U317" s="39"/>
    </row>
    <row r="318" spans="1:21">
      <c r="A318" s="52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52" t="str">
        <f t="shared" si="4"/>
        <v/>
      </c>
      <c r="O318" s="39"/>
      <c r="P318" s="50"/>
      <c r="Q318" s="39"/>
      <c r="R318" s="39"/>
      <c r="S318" s="39"/>
      <c r="T318" s="39"/>
      <c r="U318" s="39"/>
    </row>
    <row r="319" spans="1:21">
      <c r="A319" s="52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52" t="str">
        <f t="shared" si="4"/>
        <v/>
      </c>
      <c r="O319" s="39"/>
      <c r="P319" s="50"/>
      <c r="Q319" s="39"/>
      <c r="R319" s="39"/>
      <c r="S319" s="39"/>
      <c r="T319" s="39"/>
      <c r="U319" s="39"/>
    </row>
    <row r="320" spans="1:21">
      <c r="A320" s="52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52" t="str">
        <f t="shared" si="4"/>
        <v/>
      </c>
      <c r="O320" s="39"/>
      <c r="P320" s="50"/>
      <c r="Q320" s="39"/>
      <c r="R320" s="39"/>
      <c r="S320" s="39"/>
      <c r="T320" s="39"/>
      <c r="U320" s="39"/>
    </row>
    <row r="321" spans="1:21">
      <c r="A321" s="52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52" t="str">
        <f t="shared" si="4"/>
        <v/>
      </c>
      <c r="O321" s="39"/>
      <c r="P321" s="50"/>
      <c r="Q321" s="39"/>
      <c r="R321" s="39"/>
      <c r="S321" s="39"/>
      <c r="T321" s="39"/>
      <c r="U321" s="39"/>
    </row>
    <row r="322" spans="1:21">
      <c r="A322" s="52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52" t="str">
        <f t="shared" si="4"/>
        <v/>
      </c>
      <c r="O322" s="39"/>
      <c r="P322" s="50"/>
      <c r="Q322" s="39"/>
      <c r="R322" s="39"/>
      <c r="S322" s="39"/>
      <c r="T322" s="39"/>
      <c r="U322" s="39"/>
    </row>
    <row r="323" spans="1:21">
      <c r="A323" s="52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52" t="str">
        <f t="shared" ref="N323:N386" si="5">_xlfn.TEXTJOIN(", ",TRUE, L323, M323)</f>
        <v/>
      </c>
      <c r="O323" s="39"/>
      <c r="P323" s="50"/>
      <c r="Q323" s="39"/>
      <c r="R323" s="39"/>
      <c r="S323" s="39"/>
      <c r="T323" s="39"/>
      <c r="U323" s="39"/>
    </row>
    <row r="324" spans="1:21">
      <c r="A324" s="52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52" t="str">
        <f t="shared" si="5"/>
        <v/>
      </c>
      <c r="O324" s="39"/>
      <c r="P324" s="50"/>
      <c r="Q324" s="39"/>
      <c r="R324" s="39"/>
      <c r="S324" s="39"/>
      <c r="T324" s="39"/>
      <c r="U324" s="39"/>
    </row>
    <row r="325" spans="1:21">
      <c r="A325" s="52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52" t="str">
        <f t="shared" si="5"/>
        <v/>
      </c>
      <c r="O325" s="39"/>
      <c r="P325" s="50"/>
      <c r="Q325" s="39"/>
      <c r="R325" s="39"/>
      <c r="S325" s="39"/>
      <c r="T325" s="39"/>
      <c r="U325" s="39"/>
    </row>
    <row r="326" spans="1:21">
      <c r="A326" s="52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52" t="str">
        <f t="shared" si="5"/>
        <v/>
      </c>
      <c r="O326" s="39"/>
      <c r="P326" s="50"/>
      <c r="Q326" s="39"/>
      <c r="R326" s="39"/>
      <c r="S326" s="39"/>
      <c r="T326" s="39"/>
      <c r="U326" s="39"/>
    </row>
    <row r="327" spans="1:21">
      <c r="A327" s="52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52" t="str">
        <f t="shared" si="5"/>
        <v/>
      </c>
      <c r="O327" s="39"/>
      <c r="P327" s="50"/>
      <c r="Q327" s="39"/>
      <c r="R327" s="39"/>
      <c r="S327" s="39"/>
      <c r="T327" s="39"/>
      <c r="U327" s="39"/>
    </row>
    <row r="328" spans="1:21">
      <c r="A328" s="52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52" t="str">
        <f t="shared" si="5"/>
        <v/>
      </c>
      <c r="O328" s="39"/>
      <c r="P328" s="50"/>
      <c r="Q328" s="39"/>
      <c r="R328" s="39"/>
      <c r="S328" s="39"/>
      <c r="T328" s="39"/>
      <c r="U328" s="39"/>
    </row>
    <row r="329" spans="1:21">
      <c r="A329" s="52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52" t="str">
        <f t="shared" si="5"/>
        <v/>
      </c>
      <c r="O329" s="39"/>
      <c r="P329" s="50"/>
      <c r="Q329" s="39"/>
      <c r="R329" s="39"/>
      <c r="S329" s="39"/>
      <c r="T329" s="39"/>
      <c r="U329" s="39"/>
    </row>
    <row r="330" spans="1:21">
      <c r="A330" s="52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52" t="str">
        <f t="shared" si="5"/>
        <v/>
      </c>
      <c r="O330" s="39"/>
      <c r="P330" s="50"/>
      <c r="Q330" s="39"/>
      <c r="R330" s="39"/>
      <c r="S330" s="39"/>
      <c r="T330" s="39"/>
      <c r="U330" s="39"/>
    </row>
    <row r="331" spans="1:21">
      <c r="A331" s="52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52" t="str">
        <f t="shared" si="5"/>
        <v/>
      </c>
      <c r="O331" s="39"/>
      <c r="P331" s="50"/>
      <c r="Q331" s="39"/>
      <c r="R331" s="39"/>
      <c r="S331" s="39"/>
      <c r="T331" s="39"/>
      <c r="U331" s="39"/>
    </row>
    <row r="332" spans="1:21">
      <c r="A332" s="52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52" t="str">
        <f t="shared" si="5"/>
        <v/>
      </c>
      <c r="O332" s="39"/>
      <c r="P332" s="50"/>
      <c r="Q332" s="39"/>
      <c r="R332" s="39"/>
      <c r="S332" s="39"/>
      <c r="T332" s="39"/>
      <c r="U332" s="39"/>
    </row>
    <row r="333" spans="1:21">
      <c r="A333" s="52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52" t="str">
        <f t="shared" si="5"/>
        <v/>
      </c>
      <c r="O333" s="39"/>
      <c r="P333" s="50"/>
      <c r="Q333" s="39"/>
      <c r="R333" s="39"/>
      <c r="S333" s="39"/>
      <c r="T333" s="39"/>
      <c r="U333" s="39"/>
    </row>
    <row r="334" spans="1:21">
      <c r="A334" s="52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52" t="str">
        <f t="shared" si="5"/>
        <v/>
      </c>
      <c r="O334" s="39"/>
      <c r="P334" s="50"/>
      <c r="Q334" s="39"/>
      <c r="R334" s="39"/>
      <c r="S334" s="39"/>
      <c r="T334" s="39"/>
      <c r="U334" s="39"/>
    </row>
    <row r="335" spans="1:21">
      <c r="A335" s="52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52" t="str">
        <f t="shared" si="5"/>
        <v/>
      </c>
      <c r="O335" s="39"/>
      <c r="P335" s="50"/>
      <c r="Q335" s="39"/>
      <c r="R335" s="39"/>
      <c r="S335" s="39"/>
      <c r="T335" s="39"/>
      <c r="U335" s="39"/>
    </row>
    <row r="336" spans="1:21">
      <c r="A336" s="52"/>
      <c r="B336" s="39"/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52" t="str">
        <f t="shared" si="5"/>
        <v/>
      </c>
      <c r="O336" s="39"/>
      <c r="P336" s="50"/>
      <c r="Q336" s="39"/>
      <c r="R336" s="39"/>
      <c r="S336" s="39"/>
      <c r="T336" s="39"/>
      <c r="U336" s="39"/>
    </row>
    <row r="337" spans="1:21">
      <c r="A337" s="52"/>
      <c r="B337" s="39"/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52" t="str">
        <f t="shared" si="5"/>
        <v/>
      </c>
      <c r="O337" s="39"/>
      <c r="P337" s="50"/>
      <c r="Q337" s="39"/>
      <c r="R337" s="39"/>
      <c r="S337" s="39"/>
      <c r="T337" s="39"/>
      <c r="U337" s="39"/>
    </row>
    <row r="338" spans="1:21">
      <c r="A338" s="52"/>
      <c r="B338" s="39"/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52" t="str">
        <f t="shared" si="5"/>
        <v/>
      </c>
      <c r="O338" s="39"/>
      <c r="P338" s="50"/>
      <c r="Q338" s="39"/>
      <c r="R338" s="39"/>
      <c r="S338" s="39"/>
      <c r="T338" s="39"/>
      <c r="U338" s="39"/>
    </row>
    <row r="339" spans="1:21">
      <c r="A339" s="52"/>
      <c r="B339" s="39"/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52" t="str">
        <f t="shared" si="5"/>
        <v/>
      </c>
      <c r="O339" s="39"/>
      <c r="P339" s="50"/>
      <c r="Q339" s="39"/>
      <c r="R339" s="39"/>
      <c r="S339" s="39"/>
      <c r="T339" s="39"/>
      <c r="U339" s="39"/>
    </row>
    <row r="340" spans="1:21">
      <c r="A340" s="52"/>
      <c r="B340" s="39"/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52" t="str">
        <f t="shared" si="5"/>
        <v/>
      </c>
      <c r="O340" s="39"/>
      <c r="P340" s="50"/>
      <c r="Q340" s="39"/>
      <c r="R340" s="39"/>
      <c r="S340" s="39"/>
      <c r="T340" s="39"/>
      <c r="U340" s="39"/>
    </row>
    <row r="341" spans="1:21">
      <c r="A341" s="52"/>
      <c r="B341" s="39"/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52" t="str">
        <f t="shared" si="5"/>
        <v/>
      </c>
      <c r="O341" s="39"/>
      <c r="P341" s="50"/>
      <c r="Q341" s="39"/>
      <c r="R341" s="39"/>
      <c r="S341" s="39"/>
      <c r="T341" s="39"/>
      <c r="U341" s="39"/>
    </row>
    <row r="342" spans="1:21">
      <c r="A342" s="52"/>
      <c r="B342" s="39"/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52" t="str">
        <f t="shared" si="5"/>
        <v/>
      </c>
      <c r="O342" s="39"/>
      <c r="P342" s="50"/>
      <c r="Q342" s="39"/>
      <c r="R342" s="39"/>
      <c r="S342" s="39"/>
      <c r="T342" s="39"/>
      <c r="U342" s="39"/>
    </row>
    <row r="343" spans="1:21">
      <c r="A343" s="52"/>
      <c r="B343" s="39"/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52" t="str">
        <f t="shared" si="5"/>
        <v/>
      </c>
      <c r="O343" s="39"/>
      <c r="P343" s="50"/>
      <c r="Q343" s="39"/>
      <c r="R343" s="39"/>
      <c r="S343" s="39"/>
      <c r="T343" s="39"/>
      <c r="U343" s="39"/>
    </row>
    <row r="344" spans="1:21">
      <c r="A344" s="52"/>
      <c r="B344" s="39"/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52" t="str">
        <f t="shared" si="5"/>
        <v/>
      </c>
      <c r="O344" s="39"/>
      <c r="P344" s="50"/>
      <c r="Q344" s="39"/>
      <c r="R344" s="39"/>
      <c r="S344" s="39"/>
      <c r="T344" s="39"/>
      <c r="U344" s="39"/>
    </row>
    <row r="345" spans="1:21">
      <c r="A345" s="52"/>
      <c r="B345" s="39"/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52" t="str">
        <f t="shared" si="5"/>
        <v/>
      </c>
      <c r="O345" s="39"/>
      <c r="P345" s="50"/>
      <c r="Q345" s="39"/>
      <c r="R345" s="39"/>
      <c r="S345" s="39"/>
      <c r="T345" s="39"/>
      <c r="U345" s="39"/>
    </row>
    <row r="346" spans="1:21">
      <c r="A346" s="52"/>
      <c r="B346" s="39"/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52" t="str">
        <f t="shared" si="5"/>
        <v/>
      </c>
      <c r="O346" s="39"/>
      <c r="P346" s="50"/>
      <c r="Q346" s="39"/>
      <c r="R346" s="39"/>
      <c r="S346" s="39"/>
      <c r="T346" s="39"/>
      <c r="U346" s="39"/>
    </row>
    <row r="347" spans="1:21">
      <c r="A347" s="52"/>
      <c r="B347" s="39"/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52" t="str">
        <f t="shared" si="5"/>
        <v/>
      </c>
      <c r="O347" s="39"/>
      <c r="P347" s="50"/>
      <c r="Q347" s="39"/>
      <c r="R347" s="39"/>
      <c r="S347" s="39"/>
      <c r="T347" s="39"/>
      <c r="U347" s="39"/>
    </row>
    <row r="348" spans="1:21">
      <c r="A348" s="52"/>
      <c r="B348" s="39"/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52" t="str">
        <f t="shared" si="5"/>
        <v/>
      </c>
      <c r="O348" s="39"/>
      <c r="P348" s="50"/>
      <c r="Q348" s="39"/>
      <c r="R348" s="39"/>
      <c r="S348" s="39"/>
      <c r="T348" s="39"/>
      <c r="U348" s="39"/>
    </row>
    <row r="349" spans="1:21">
      <c r="A349" s="52"/>
      <c r="B349" s="39"/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52" t="str">
        <f t="shared" si="5"/>
        <v/>
      </c>
      <c r="O349" s="39"/>
      <c r="P349" s="50"/>
      <c r="Q349" s="39"/>
      <c r="R349" s="39"/>
      <c r="S349" s="39"/>
      <c r="T349" s="39"/>
      <c r="U349" s="39"/>
    </row>
    <row r="350" spans="1:21">
      <c r="A350" s="52"/>
      <c r="B350" s="39"/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52" t="str">
        <f t="shared" si="5"/>
        <v/>
      </c>
      <c r="O350" s="39"/>
      <c r="P350" s="50"/>
      <c r="Q350" s="39"/>
      <c r="R350" s="39"/>
      <c r="S350" s="39"/>
      <c r="T350" s="39"/>
      <c r="U350" s="39"/>
    </row>
    <row r="351" spans="1:21">
      <c r="A351" s="52"/>
      <c r="B351" s="39"/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52" t="str">
        <f t="shared" si="5"/>
        <v/>
      </c>
      <c r="O351" s="39"/>
      <c r="P351" s="50"/>
      <c r="Q351" s="39"/>
      <c r="R351" s="39"/>
      <c r="S351" s="39"/>
      <c r="T351" s="39"/>
      <c r="U351" s="39"/>
    </row>
    <row r="352" spans="1:21">
      <c r="A352" s="52"/>
      <c r="B352" s="39"/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52" t="str">
        <f t="shared" si="5"/>
        <v/>
      </c>
      <c r="O352" s="39"/>
      <c r="P352" s="50"/>
      <c r="Q352" s="39"/>
      <c r="R352" s="39"/>
      <c r="S352" s="39"/>
      <c r="T352" s="39"/>
      <c r="U352" s="39"/>
    </row>
    <row r="353" spans="1:21">
      <c r="A353" s="52"/>
      <c r="B353" s="39"/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52" t="str">
        <f t="shared" si="5"/>
        <v/>
      </c>
      <c r="O353" s="39"/>
      <c r="P353" s="50"/>
      <c r="Q353" s="39"/>
      <c r="R353" s="39"/>
      <c r="S353" s="39"/>
      <c r="T353" s="39"/>
      <c r="U353" s="39"/>
    </row>
    <row r="354" spans="1:21">
      <c r="A354" s="52"/>
      <c r="B354" s="39"/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52" t="str">
        <f t="shared" si="5"/>
        <v/>
      </c>
      <c r="O354" s="39"/>
      <c r="P354" s="50"/>
      <c r="Q354" s="39"/>
      <c r="R354" s="39"/>
      <c r="S354" s="39"/>
      <c r="T354" s="39"/>
      <c r="U354" s="39"/>
    </row>
    <row r="355" spans="1:21">
      <c r="A355" s="52"/>
      <c r="B355" s="39"/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52" t="str">
        <f t="shared" si="5"/>
        <v/>
      </c>
      <c r="O355" s="39"/>
      <c r="P355" s="50"/>
      <c r="Q355" s="39"/>
      <c r="R355" s="39"/>
      <c r="S355" s="39"/>
      <c r="T355" s="39"/>
      <c r="U355" s="39"/>
    </row>
    <row r="356" spans="1:21">
      <c r="A356" s="52"/>
      <c r="B356" s="39"/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52" t="str">
        <f t="shared" si="5"/>
        <v/>
      </c>
      <c r="O356" s="39"/>
      <c r="P356" s="50"/>
      <c r="Q356" s="39"/>
      <c r="R356" s="39"/>
      <c r="S356" s="39"/>
      <c r="T356" s="39"/>
      <c r="U356" s="39"/>
    </row>
    <row r="357" spans="1:21">
      <c r="A357" s="52"/>
      <c r="B357" s="39"/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52" t="str">
        <f t="shared" si="5"/>
        <v/>
      </c>
      <c r="O357" s="39"/>
      <c r="P357" s="50"/>
      <c r="Q357" s="39"/>
      <c r="R357" s="39"/>
      <c r="S357" s="39"/>
      <c r="T357" s="39"/>
      <c r="U357" s="39"/>
    </row>
    <row r="358" spans="1:21">
      <c r="A358" s="52"/>
      <c r="B358" s="39"/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52" t="str">
        <f t="shared" si="5"/>
        <v/>
      </c>
      <c r="O358" s="39"/>
      <c r="P358" s="50"/>
      <c r="Q358" s="39"/>
      <c r="R358" s="39"/>
      <c r="S358" s="39"/>
      <c r="T358" s="39"/>
      <c r="U358" s="39"/>
    </row>
    <row r="359" spans="1:21">
      <c r="A359" s="52"/>
      <c r="B359" s="39"/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52" t="str">
        <f t="shared" si="5"/>
        <v/>
      </c>
      <c r="O359" s="39"/>
      <c r="P359" s="50"/>
      <c r="Q359" s="39"/>
      <c r="R359" s="39"/>
      <c r="S359" s="39"/>
      <c r="T359" s="39"/>
      <c r="U359" s="39"/>
    </row>
    <row r="360" spans="1:21">
      <c r="A360" s="52"/>
      <c r="B360" s="39"/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52" t="str">
        <f t="shared" si="5"/>
        <v/>
      </c>
      <c r="O360" s="39"/>
      <c r="P360" s="50"/>
      <c r="Q360" s="39"/>
      <c r="R360" s="39"/>
      <c r="S360" s="39"/>
      <c r="T360" s="39"/>
      <c r="U360" s="39"/>
    </row>
    <row r="361" spans="1:21">
      <c r="A361" s="52"/>
      <c r="B361" s="39"/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52" t="str">
        <f t="shared" si="5"/>
        <v/>
      </c>
      <c r="O361" s="39"/>
      <c r="P361" s="50"/>
      <c r="Q361" s="39"/>
      <c r="R361" s="39"/>
      <c r="S361" s="39"/>
      <c r="T361" s="39"/>
      <c r="U361" s="39"/>
    </row>
    <row r="362" spans="1:21">
      <c r="A362" s="52"/>
      <c r="B362" s="39"/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52" t="str">
        <f t="shared" si="5"/>
        <v/>
      </c>
      <c r="O362" s="39"/>
      <c r="P362" s="50"/>
      <c r="Q362" s="39"/>
      <c r="R362" s="39"/>
      <c r="S362" s="39"/>
      <c r="T362" s="39"/>
      <c r="U362" s="39"/>
    </row>
    <row r="363" spans="1:21">
      <c r="A363" s="52"/>
      <c r="B363" s="39"/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52" t="str">
        <f t="shared" si="5"/>
        <v/>
      </c>
      <c r="O363" s="39"/>
      <c r="P363" s="50"/>
      <c r="Q363" s="39"/>
      <c r="R363" s="39"/>
      <c r="S363" s="39"/>
      <c r="T363" s="39"/>
      <c r="U363" s="39"/>
    </row>
    <row r="364" spans="1:21">
      <c r="A364" s="52"/>
      <c r="B364" s="39"/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52" t="str">
        <f t="shared" si="5"/>
        <v/>
      </c>
      <c r="O364" s="39"/>
      <c r="P364" s="50"/>
      <c r="Q364" s="39"/>
      <c r="R364" s="39"/>
      <c r="S364" s="39"/>
      <c r="T364" s="39"/>
      <c r="U364" s="39"/>
    </row>
    <row r="365" spans="1:21">
      <c r="A365" s="52"/>
      <c r="B365" s="39"/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52" t="str">
        <f t="shared" si="5"/>
        <v/>
      </c>
      <c r="O365" s="39"/>
      <c r="P365" s="50"/>
      <c r="Q365" s="39"/>
      <c r="R365" s="39"/>
      <c r="S365" s="39"/>
      <c r="T365" s="39"/>
      <c r="U365" s="39"/>
    </row>
    <row r="366" spans="1:21">
      <c r="A366" s="52"/>
      <c r="B366" s="39"/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52" t="str">
        <f t="shared" si="5"/>
        <v/>
      </c>
      <c r="O366" s="39"/>
      <c r="P366" s="50"/>
      <c r="Q366" s="39"/>
      <c r="R366" s="39"/>
      <c r="S366" s="39"/>
      <c r="T366" s="39"/>
      <c r="U366" s="39"/>
    </row>
    <row r="367" spans="1:21">
      <c r="A367" s="52"/>
      <c r="B367" s="39"/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52" t="str">
        <f t="shared" si="5"/>
        <v/>
      </c>
      <c r="O367" s="39"/>
      <c r="P367" s="50"/>
      <c r="Q367" s="39"/>
      <c r="R367" s="39"/>
      <c r="S367" s="39"/>
      <c r="T367" s="39"/>
      <c r="U367" s="39"/>
    </row>
    <row r="368" spans="1:21">
      <c r="A368" s="52"/>
      <c r="B368" s="39"/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52" t="str">
        <f t="shared" si="5"/>
        <v/>
      </c>
      <c r="O368" s="39"/>
      <c r="P368" s="50"/>
      <c r="Q368" s="39"/>
      <c r="R368" s="39"/>
      <c r="S368" s="39"/>
      <c r="T368" s="39"/>
      <c r="U368" s="39"/>
    </row>
    <row r="369" spans="1:21">
      <c r="A369" s="52"/>
      <c r="B369" s="39"/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52" t="str">
        <f t="shared" si="5"/>
        <v/>
      </c>
      <c r="O369" s="39"/>
      <c r="P369" s="50"/>
      <c r="Q369" s="39"/>
      <c r="R369" s="39"/>
      <c r="S369" s="39"/>
      <c r="T369" s="39"/>
      <c r="U369" s="39"/>
    </row>
    <row r="370" spans="1:21">
      <c r="A370" s="52"/>
      <c r="B370" s="39"/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52" t="str">
        <f t="shared" si="5"/>
        <v/>
      </c>
      <c r="O370" s="39"/>
      <c r="P370" s="50"/>
      <c r="Q370" s="39"/>
      <c r="R370" s="39"/>
      <c r="S370" s="39"/>
      <c r="T370" s="39"/>
      <c r="U370" s="39"/>
    </row>
    <row r="371" spans="1:21">
      <c r="A371" s="52"/>
      <c r="B371" s="39"/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52" t="str">
        <f t="shared" si="5"/>
        <v/>
      </c>
      <c r="O371" s="39"/>
      <c r="P371" s="50"/>
      <c r="Q371" s="39"/>
      <c r="R371" s="39"/>
      <c r="S371" s="39"/>
      <c r="T371" s="39"/>
      <c r="U371" s="39"/>
    </row>
    <row r="372" spans="1:21">
      <c r="A372" s="52"/>
      <c r="B372" s="39"/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52" t="str">
        <f t="shared" si="5"/>
        <v/>
      </c>
      <c r="O372" s="39"/>
      <c r="P372" s="50"/>
      <c r="Q372" s="39"/>
      <c r="R372" s="39"/>
      <c r="S372" s="39"/>
      <c r="T372" s="39"/>
      <c r="U372" s="39"/>
    </row>
    <row r="373" spans="1:21">
      <c r="A373" s="52"/>
      <c r="B373" s="39"/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52" t="str">
        <f t="shared" si="5"/>
        <v/>
      </c>
      <c r="O373" s="39"/>
      <c r="P373" s="50"/>
      <c r="Q373" s="39"/>
      <c r="R373" s="39"/>
      <c r="S373" s="39"/>
      <c r="T373" s="39"/>
      <c r="U373" s="39"/>
    </row>
    <row r="374" spans="1:21">
      <c r="A374" s="52"/>
      <c r="B374" s="39"/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52" t="str">
        <f t="shared" si="5"/>
        <v/>
      </c>
      <c r="O374" s="39"/>
      <c r="P374" s="50"/>
      <c r="Q374" s="39"/>
      <c r="R374" s="39"/>
      <c r="S374" s="39"/>
      <c r="T374" s="39"/>
      <c r="U374" s="39"/>
    </row>
    <row r="375" spans="1:21">
      <c r="A375" s="52"/>
      <c r="B375" s="39"/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52" t="str">
        <f t="shared" si="5"/>
        <v/>
      </c>
      <c r="O375" s="39"/>
      <c r="P375" s="50"/>
      <c r="Q375" s="39"/>
      <c r="R375" s="39"/>
      <c r="S375" s="39"/>
      <c r="T375" s="39"/>
      <c r="U375" s="39"/>
    </row>
    <row r="376" spans="1:21">
      <c r="A376" s="52"/>
      <c r="B376" s="39"/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52" t="str">
        <f t="shared" si="5"/>
        <v/>
      </c>
      <c r="O376" s="39"/>
      <c r="P376" s="50"/>
      <c r="Q376" s="39"/>
      <c r="R376" s="39"/>
      <c r="S376" s="39"/>
      <c r="T376" s="39"/>
      <c r="U376" s="39"/>
    </row>
    <row r="377" spans="1:21">
      <c r="A377" s="52"/>
      <c r="B377" s="39"/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52" t="str">
        <f t="shared" si="5"/>
        <v/>
      </c>
      <c r="O377" s="39"/>
      <c r="P377" s="50"/>
      <c r="Q377" s="39"/>
      <c r="R377" s="39"/>
      <c r="S377" s="39"/>
      <c r="T377" s="39"/>
      <c r="U377" s="39"/>
    </row>
    <row r="378" spans="1:21">
      <c r="A378" s="52"/>
      <c r="B378" s="39"/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52" t="str">
        <f t="shared" si="5"/>
        <v/>
      </c>
      <c r="O378" s="39"/>
      <c r="P378" s="50"/>
      <c r="Q378" s="39"/>
      <c r="R378" s="39"/>
      <c r="S378" s="39"/>
      <c r="T378" s="39"/>
      <c r="U378" s="39"/>
    </row>
    <row r="379" spans="1:21">
      <c r="A379" s="52"/>
      <c r="B379" s="39"/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52" t="str">
        <f t="shared" si="5"/>
        <v/>
      </c>
      <c r="O379" s="39"/>
      <c r="P379" s="50"/>
      <c r="Q379" s="39"/>
      <c r="R379" s="39"/>
      <c r="S379" s="39"/>
      <c r="T379" s="39"/>
      <c r="U379" s="39"/>
    </row>
    <row r="380" spans="1:21">
      <c r="A380" s="52"/>
      <c r="B380" s="39"/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52" t="str">
        <f t="shared" si="5"/>
        <v/>
      </c>
      <c r="O380" s="39"/>
      <c r="P380" s="50"/>
      <c r="Q380" s="39"/>
      <c r="R380" s="39"/>
      <c r="S380" s="39"/>
      <c r="T380" s="39"/>
      <c r="U380" s="39"/>
    </row>
    <row r="381" spans="1:21">
      <c r="A381" s="52"/>
      <c r="B381" s="39"/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52" t="str">
        <f t="shared" si="5"/>
        <v/>
      </c>
      <c r="O381" s="39"/>
      <c r="P381" s="50"/>
      <c r="Q381" s="39"/>
      <c r="R381" s="39"/>
      <c r="S381" s="39"/>
      <c r="T381" s="39"/>
      <c r="U381" s="39"/>
    </row>
    <row r="382" spans="1:21">
      <c r="A382" s="52"/>
      <c r="B382" s="39"/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52" t="str">
        <f t="shared" si="5"/>
        <v/>
      </c>
      <c r="O382" s="39"/>
      <c r="P382" s="50"/>
      <c r="Q382" s="39"/>
      <c r="R382" s="39"/>
      <c r="S382" s="39"/>
      <c r="T382" s="39"/>
      <c r="U382" s="39"/>
    </row>
    <row r="383" spans="1:21">
      <c r="A383" s="52"/>
      <c r="B383" s="39"/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52" t="str">
        <f t="shared" si="5"/>
        <v/>
      </c>
      <c r="O383" s="39"/>
      <c r="P383" s="50"/>
      <c r="Q383" s="39"/>
      <c r="R383" s="39"/>
      <c r="S383" s="39"/>
      <c r="T383" s="39"/>
      <c r="U383" s="39"/>
    </row>
    <row r="384" spans="1:21">
      <c r="A384" s="52"/>
      <c r="B384" s="39"/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52" t="str">
        <f t="shared" si="5"/>
        <v/>
      </c>
      <c r="O384" s="39"/>
      <c r="P384" s="50"/>
      <c r="Q384" s="39"/>
      <c r="R384" s="39"/>
      <c r="S384" s="39"/>
      <c r="T384" s="39"/>
      <c r="U384" s="39"/>
    </row>
    <row r="385" spans="1:21">
      <c r="A385" s="52"/>
      <c r="B385" s="39"/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52" t="str">
        <f t="shared" si="5"/>
        <v/>
      </c>
      <c r="O385" s="39"/>
      <c r="P385" s="50"/>
      <c r="Q385" s="39"/>
      <c r="R385" s="39"/>
      <c r="S385" s="39"/>
      <c r="T385" s="39"/>
      <c r="U385" s="39"/>
    </row>
    <row r="386" spans="1:21">
      <c r="A386" s="52"/>
      <c r="B386" s="39"/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52" t="str">
        <f t="shared" si="5"/>
        <v/>
      </c>
      <c r="O386" s="39"/>
      <c r="P386" s="50"/>
      <c r="Q386" s="39"/>
      <c r="R386" s="39"/>
      <c r="S386" s="39"/>
      <c r="T386" s="39"/>
      <c r="U386" s="39"/>
    </row>
    <row r="387" spans="1:21">
      <c r="A387" s="52"/>
      <c r="B387" s="39"/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52" t="str">
        <f t="shared" ref="N387:N450" si="6">_xlfn.TEXTJOIN(", ",TRUE, L387, M387)</f>
        <v/>
      </c>
      <c r="O387" s="39"/>
      <c r="P387" s="50"/>
      <c r="Q387" s="39"/>
      <c r="R387" s="39"/>
      <c r="S387" s="39"/>
      <c r="T387" s="39"/>
      <c r="U387" s="39"/>
    </row>
    <row r="388" spans="1:21">
      <c r="A388" s="52"/>
      <c r="B388" s="39"/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52" t="str">
        <f t="shared" si="6"/>
        <v/>
      </c>
      <c r="O388" s="39"/>
      <c r="P388" s="50"/>
      <c r="Q388" s="39"/>
      <c r="R388" s="39"/>
      <c r="S388" s="39"/>
      <c r="T388" s="39"/>
      <c r="U388" s="39"/>
    </row>
    <row r="389" spans="1:21">
      <c r="A389" s="52"/>
      <c r="B389" s="39"/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52" t="str">
        <f t="shared" si="6"/>
        <v/>
      </c>
      <c r="O389" s="39"/>
      <c r="P389" s="50"/>
      <c r="Q389" s="39"/>
      <c r="R389" s="39"/>
      <c r="S389" s="39"/>
      <c r="T389" s="39"/>
      <c r="U389" s="39"/>
    </row>
    <row r="390" spans="1:21">
      <c r="A390" s="52"/>
      <c r="B390" s="39"/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52" t="str">
        <f t="shared" si="6"/>
        <v/>
      </c>
      <c r="O390" s="39"/>
      <c r="P390" s="50"/>
      <c r="Q390" s="39"/>
      <c r="R390" s="39"/>
      <c r="S390" s="39"/>
      <c r="T390" s="39"/>
      <c r="U390" s="39"/>
    </row>
    <row r="391" spans="1:21">
      <c r="A391" s="52"/>
      <c r="B391" s="39"/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52" t="str">
        <f t="shared" si="6"/>
        <v/>
      </c>
      <c r="O391" s="39"/>
      <c r="P391" s="50"/>
      <c r="Q391" s="39"/>
      <c r="R391" s="39"/>
      <c r="S391" s="39"/>
      <c r="T391" s="39"/>
      <c r="U391" s="39"/>
    </row>
    <row r="392" spans="1:21">
      <c r="A392" s="52"/>
      <c r="B392" s="39"/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52" t="str">
        <f t="shared" si="6"/>
        <v/>
      </c>
      <c r="O392" s="39"/>
      <c r="P392" s="50"/>
      <c r="Q392" s="39"/>
      <c r="R392" s="39"/>
      <c r="S392" s="39"/>
      <c r="T392" s="39"/>
      <c r="U392" s="39"/>
    </row>
    <row r="393" spans="1:21">
      <c r="A393" s="52"/>
      <c r="B393" s="39"/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52" t="str">
        <f t="shared" si="6"/>
        <v/>
      </c>
      <c r="O393" s="39"/>
      <c r="P393" s="50"/>
      <c r="Q393" s="39"/>
      <c r="R393" s="39"/>
      <c r="S393" s="39"/>
      <c r="T393" s="39"/>
      <c r="U393" s="39"/>
    </row>
    <row r="394" spans="1:21">
      <c r="A394" s="52"/>
      <c r="B394" s="39"/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52" t="str">
        <f t="shared" si="6"/>
        <v/>
      </c>
      <c r="O394" s="39"/>
      <c r="P394" s="50"/>
      <c r="Q394" s="39"/>
      <c r="R394" s="39"/>
      <c r="S394" s="39"/>
      <c r="T394" s="39"/>
      <c r="U394" s="39"/>
    </row>
    <row r="395" spans="1:21">
      <c r="A395" s="52"/>
      <c r="B395" s="39"/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52" t="str">
        <f t="shared" si="6"/>
        <v/>
      </c>
      <c r="O395" s="39"/>
      <c r="P395" s="50"/>
      <c r="Q395" s="39"/>
      <c r="R395" s="39"/>
      <c r="S395" s="39"/>
      <c r="T395" s="39"/>
      <c r="U395" s="39"/>
    </row>
    <row r="396" spans="1:21">
      <c r="A396" s="52"/>
      <c r="B396" s="39"/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52" t="str">
        <f t="shared" si="6"/>
        <v/>
      </c>
      <c r="O396" s="39"/>
      <c r="P396" s="50"/>
      <c r="Q396" s="39"/>
      <c r="R396" s="39"/>
      <c r="S396" s="39"/>
      <c r="T396" s="39"/>
      <c r="U396" s="39"/>
    </row>
    <row r="397" spans="1:21">
      <c r="A397" s="52"/>
      <c r="B397" s="39"/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52" t="str">
        <f t="shared" si="6"/>
        <v/>
      </c>
      <c r="O397" s="39"/>
      <c r="P397" s="50"/>
      <c r="Q397" s="39"/>
      <c r="R397" s="39"/>
      <c r="S397" s="39"/>
      <c r="T397" s="39"/>
      <c r="U397" s="39"/>
    </row>
    <row r="398" spans="1:21">
      <c r="A398" s="52"/>
      <c r="B398" s="39"/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52" t="str">
        <f t="shared" si="6"/>
        <v/>
      </c>
      <c r="O398" s="39"/>
      <c r="P398" s="50"/>
      <c r="Q398" s="39"/>
      <c r="R398" s="39"/>
      <c r="S398" s="39"/>
      <c r="T398" s="39"/>
      <c r="U398" s="39"/>
    </row>
    <row r="399" spans="1:21">
      <c r="A399" s="52"/>
      <c r="B399" s="39"/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52" t="str">
        <f t="shared" si="6"/>
        <v/>
      </c>
      <c r="O399" s="39"/>
      <c r="P399" s="50"/>
      <c r="Q399" s="39"/>
      <c r="R399" s="39"/>
      <c r="S399" s="39"/>
      <c r="T399" s="39"/>
      <c r="U399" s="39"/>
    </row>
    <row r="400" spans="1:21">
      <c r="A400" s="52"/>
      <c r="B400" s="39"/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52" t="str">
        <f t="shared" si="6"/>
        <v/>
      </c>
      <c r="O400" s="39"/>
      <c r="P400" s="50"/>
      <c r="Q400" s="39"/>
      <c r="R400" s="39"/>
      <c r="S400" s="39"/>
      <c r="T400" s="39"/>
      <c r="U400" s="39"/>
    </row>
    <row r="401" spans="1:21">
      <c r="A401" s="52"/>
      <c r="B401" s="39"/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52" t="str">
        <f t="shared" si="6"/>
        <v/>
      </c>
      <c r="O401" s="39"/>
      <c r="P401" s="50"/>
      <c r="Q401" s="39"/>
      <c r="R401" s="39"/>
      <c r="S401" s="39"/>
      <c r="T401" s="39"/>
      <c r="U401" s="39"/>
    </row>
    <row r="402" spans="1:21">
      <c r="A402" s="52"/>
      <c r="B402" s="39"/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52" t="str">
        <f t="shared" si="6"/>
        <v/>
      </c>
      <c r="O402" s="39"/>
      <c r="P402" s="50"/>
      <c r="Q402" s="39"/>
      <c r="R402" s="39"/>
      <c r="S402" s="39"/>
      <c r="T402" s="39"/>
      <c r="U402" s="39"/>
    </row>
    <row r="403" spans="1:21">
      <c r="A403" s="52"/>
      <c r="B403" s="39"/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52" t="str">
        <f t="shared" si="6"/>
        <v/>
      </c>
      <c r="O403" s="39"/>
      <c r="P403" s="50"/>
      <c r="Q403" s="39"/>
      <c r="R403" s="39"/>
      <c r="S403" s="39"/>
      <c r="T403" s="39"/>
      <c r="U403" s="39"/>
    </row>
    <row r="404" spans="1:21">
      <c r="A404" s="52"/>
      <c r="B404" s="39"/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52" t="str">
        <f t="shared" si="6"/>
        <v/>
      </c>
      <c r="O404" s="39"/>
      <c r="P404" s="50"/>
      <c r="Q404" s="39"/>
      <c r="R404" s="39"/>
      <c r="S404" s="39"/>
      <c r="T404" s="39"/>
      <c r="U404" s="39"/>
    </row>
    <row r="405" spans="1:21">
      <c r="A405" s="52"/>
      <c r="B405" s="39"/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52" t="str">
        <f t="shared" si="6"/>
        <v/>
      </c>
      <c r="O405" s="39"/>
      <c r="P405" s="50"/>
      <c r="Q405" s="39"/>
      <c r="R405" s="39"/>
      <c r="S405" s="39"/>
      <c r="T405" s="39"/>
      <c r="U405" s="39"/>
    </row>
    <row r="406" spans="1:21">
      <c r="A406" s="52"/>
      <c r="B406" s="39"/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52" t="str">
        <f t="shared" si="6"/>
        <v/>
      </c>
      <c r="O406" s="39"/>
      <c r="P406" s="50"/>
      <c r="Q406" s="39"/>
      <c r="R406" s="39"/>
      <c r="S406" s="39"/>
      <c r="T406" s="39"/>
      <c r="U406" s="39"/>
    </row>
    <row r="407" spans="1:21">
      <c r="A407" s="52"/>
      <c r="B407" s="39"/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52" t="str">
        <f t="shared" si="6"/>
        <v/>
      </c>
      <c r="O407" s="39"/>
      <c r="P407" s="50"/>
      <c r="Q407" s="39"/>
      <c r="R407" s="39"/>
      <c r="S407" s="39"/>
      <c r="T407" s="39"/>
      <c r="U407" s="39"/>
    </row>
    <row r="408" spans="1:21">
      <c r="A408" s="52"/>
      <c r="B408" s="39"/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52" t="str">
        <f t="shared" si="6"/>
        <v/>
      </c>
      <c r="O408" s="39"/>
      <c r="P408" s="50"/>
      <c r="Q408" s="39"/>
      <c r="R408" s="39"/>
      <c r="S408" s="39"/>
      <c r="T408" s="39"/>
      <c r="U408" s="39"/>
    </row>
    <row r="409" spans="1:21">
      <c r="A409" s="52"/>
      <c r="B409" s="39"/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52" t="str">
        <f t="shared" si="6"/>
        <v/>
      </c>
      <c r="O409" s="39"/>
      <c r="P409" s="50"/>
      <c r="Q409" s="39"/>
      <c r="R409" s="39"/>
      <c r="S409" s="39"/>
      <c r="T409" s="39"/>
      <c r="U409" s="39"/>
    </row>
    <row r="410" spans="1:21">
      <c r="A410" s="52"/>
      <c r="B410" s="39"/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52" t="str">
        <f t="shared" si="6"/>
        <v/>
      </c>
      <c r="O410" s="39"/>
      <c r="P410" s="50"/>
      <c r="Q410" s="39"/>
      <c r="R410" s="39"/>
      <c r="S410" s="39"/>
      <c r="T410" s="39"/>
      <c r="U410" s="39"/>
    </row>
    <row r="411" spans="1:21">
      <c r="A411" s="52"/>
      <c r="B411" s="39"/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52" t="str">
        <f t="shared" si="6"/>
        <v/>
      </c>
      <c r="O411" s="39"/>
      <c r="P411" s="50"/>
      <c r="Q411" s="39"/>
      <c r="R411" s="39"/>
      <c r="S411" s="39"/>
      <c r="T411" s="39"/>
      <c r="U411" s="39"/>
    </row>
    <row r="412" spans="1:21">
      <c r="A412" s="52"/>
      <c r="B412" s="39"/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52" t="str">
        <f t="shared" si="6"/>
        <v/>
      </c>
      <c r="O412" s="39"/>
      <c r="P412" s="50"/>
      <c r="Q412" s="39"/>
      <c r="R412" s="39"/>
      <c r="S412" s="39"/>
      <c r="T412" s="39"/>
      <c r="U412" s="39"/>
    </row>
    <row r="413" spans="1:21">
      <c r="A413" s="52"/>
      <c r="B413" s="39"/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52" t="str">
        <f t="shared" si="6"/>
        <v/>
      </c>
      <c r="O413" s="39"/>
      <c r="P413" s="50"/>
      <c r="Q413" s="39"/>
      <c r="R413" s="39"/>
      <c r="S413" s="39"/>
      <c r="T413" s="39"/>
      <c r="U413" s="39"/>
    </row>
    <row r="414" spans="1:21">
      <c r="A414" s="52"/>
      <c r="B414" s="39"/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52" t="str">
        <f t="shared" si="6"/>
        <v/>
      </c>
      <c r="O414" s="39"/>
      <c r="P414" s="50"/>
      <c r="Q414" s="39"/>
      <c r="R414" s="39"/>
      <c r="S414" s="39"/>
      <c r="T414" s="39"/>
      <c r="U414" s="39"/>
    </row>
    <row r="415" spans="1:21">
      <c r="A415" s="52"/>
      <c r="B415" s="39"/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52" t="str">
        <f t="shared" si="6"/>
        <v/>
      </c>
      <c r="O415" s="39"/>
      <c r="P415" s="50"/>
      <c r="Q415" s="39"/>
      <c r="R415" s="39"/>
      <c r="S415" s="39"/>
      <c r="T415" s="39"/>
      <c r="U415" s="39"/>
    </row>
    <row r="416" spans="1:21">
      <c r="A416" s="52"/>
      <c r="B416" s="39"/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52" t="str">
        <f t="shared" si="6"/>
        <v/>
      </c>
      <c r="O416" s="39"/>
      <c r="P416" s="50"/>
      <c r="Q416" s="39"/>
      <c r="R416" s="39"/>
      <c r="S416" s="39"/>
      <c r="T416" s="39"/>
      <c r="U416" s="39"/>
    </row>
    <row r="417" spans="1:21">
      <c r="A417" s="52"/>
      <c r="B417" s="39"/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52" t="str">
        <f t="shared" si="6"/>
        <v/>
      </c>
      <c r="O417" s="39"/>
      <c r="P417" s="50"/>
      <c r="Q417" s="39"/>
      <c r="R417" s="39"/>
      <c r="S417" s="39"/>
      <c r="T417" s="39"/>
      <c r="U417" s="39"/>
    </row>
    <row r="418" spans="1:21">
      <c r="A418" s="52"/>
      <c r="B418" s="39"/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52" t="str">
        <f t="shared" si="6"/>
        <v/>
      </c>
      <c r="O418" s="39"/>
      <c r="P418" s="50"/>
      <c r="Q418" s="39"/>
      <c r="R418" s="39"/>
      <c r="S418" s="39"/>
      <c r="T418" s="39"/>
      <c r="U418" s="39"/>
    </row>
    <row r="419" spans="1:21">
      <c r="A419" s="52"/>
      <c r="B419" s="39"/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52" t="str">
        <f t="shared" si="6"/>
        <v/>
      </c>
      <c r="O419" s="39"/>
      <c r="P419" s="50"/>
      <c r="Q419" s="39"/>
      <c r="R419" s="39"/>
      <c r="S419" s="39"/>
      <c r="T419" s="39"/>
      <c r="U419" s="39"/>
    </row>
    <row r="420" spans="1:21">
      <c r="A420" s="52"/>
      <c r="B420" s="39"/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52" t="str">
        <f t="shared" si="6"/>
        <v/>
      </c>
      <c r="O420" s="39"/>
      <c r="P420" s="50"/>
      <c r="Q420" s="39"/>
      <c r="R420" s="39"/>
      <c r="S420" s="39"/>
      <c r="T420" s="39"/>
      <c r="U420" s="39"/>
    </row>
    <row r="421" spans="1:21">
      <c r="A421" s="52"/>
      <c r="B421" s="39"/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52" t="str">
        <f t="shared" si="6"/>
        <v/>
      </c>
      <c r="O421" s="39"/>
      <c r="P421" s="50"/>
      <c r="Q421" s="39"/>
      <c r="R421" s="39"/>
      <c r="S421" s="39"/>
      <c r="T421" s="39"/>
      <c r="U421" s="39"/>
    </row>
    <row r="422" spans="1:21">
      <c r="A422" s="52"/>
      <c r="B422" s="39"/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52" t="str">
        <f t="shared" si="6"/>
        <v/>
      </c>
      <c r="O422" s="39"/>
      <c r="P422" s="50"/>
      <c r="Q422" s="39"/>
      <c r="R422" s="39"/>
      <c r="S422" s="39"/>
      <c r="T422" s="39"/>
      <c r="U422" s="39"/>
    </row>
    <row r="423" spans="1:21">
      <c r="A423" s="52"/>
      <c r="B423" s="39"/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52" t="str">
        <f t="shared" si="6"/>
        <v/>
      </c>
      <c r="O423" s="39"/>
      <c r="P423" s="50"/>
      <c r="Q423" s="39"/>
      <c r="R423" s="39"/>
      <c r="S423" s="39"/>
      <c r="T423" s="39"/>
      <c r="U423" s="39"/>
    </row>
    <row r="424" spans="1:21">
      <c r="A424" s="52"/>
      <c r="B424" s="39"/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52" t="str">
        <f t="shared" si="6"/>
        <v/>
      </c>
      <c r="O424" s="39"/>
      <c r="P424" s="50"/>
      <c r="Q424" s="39"/>
      <c r="R424" s="39"/>
      <c r="S424" s="39"/>
      <c r="T424" s="39"/>
      <c r="U424" s="39"/>
    </row>
    <row r="425" spans="1:21">
      <c r="A425" s="52"/>
      <c r="B425" s="39"/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52" t="str">
        <f t="shared" si="6"/>
        <v/>
      </c>
      <c r="O425" s="39"/>
      <c r="P425" s="50"/>
      <c r="Q425" s="39"/>
      <c r="R425" s="39"/>
      <c r="S425" s="39"/>
      <c r="T425" s="39"/>
      <c r="U425" s="39"/>
    </row>
    <row r="426" spans="1:21">
      <c r="A426" s="52"/>
      <c r="B426" s="39"/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52" t="str">
        <f t="shared" si="6"/>
        <v/>
      </c>
      <c r="O426" s="39"/>
      <c r="P426" s="50"/>
      <c r="Q426" s="39"/>
      <c r="R426" s="39"/>
      <c r="S426" s="39"/>
      <c r="T426" s="39"/>
      <c r="U426" s="39"/>
    </row>
    <row r="427" spans="1:21">
      <c r="A427" s="52"/>
      <c r="B427" s="39"/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52" t="str">
        <f t="shared" si="6"/>
        <v/>
      </c>
      <c r="O427" s="39"/>
      <c r="P427" s="50"/>
      <c r="Q427" s="39"/>
      <c r="R427" s="39"/>
      <c r="S427" s="39"/>
      <c r="T427" s="39"/>
      <c r="U427" s="39"/>
    </row>
    <row r="428" spans="1:21">
      <c r="A428" s="52"/>
      <c r="B428" s="39"/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52" t="str">
        <f t="shared" si="6"/>
        <v/>
      </c>
      <c r="O428" s="39"/>
      <c r="P428" s="50"/>
      <c r="Q428" s="39"/>
      <c r="R428" s="39"/>
      <c r="S428" s="39"/>
      <c r="T428" s="39"/>
      <c r="U428" s="39"/>
    </row>
    <row r="429" spans="1:21">
      <c r="A429" s="52"/>
      <c r="B429" s="39"/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52" t="str">
        <f t="shared" si="6"/>
        <v/>
      </c>
      <c r="O429" s="39"/>
      <c r="P429" s="50"/>
      <c r="Q429" s="39"/>
      <c r="R429" s="39"/>
      <c r="S429" s="39"/>
      <c r="T429" s="39"/>
      <c r="U429" s="39"/>
    </row>
    <row r="430" spans="1:21">
      <c r="A430" s="52"/>
      <c r="B430" s="39"/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52" t="str">
        <f t="shared" si="6"/>
        <v/>
      </c>
      <c r="O430" s="39"/>
      <c r="P430" s="50"/>
      <c r="Q430" s="39"/>
      <c r="R430" s="39"/>
      <c r="S430" s="39"/>
      <c r="T430" s="39"/>
      <c r="U430" s="39"/>
    </row>
    <row r="431" spans="1:21">
      <c r="A431" s="52"/>
      <c r="B431" s="39"/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52" t="str">
        <f t="shared" si="6"/>
        <v/>
      </c>
      <c r="O431" s="39"/>
      <c r="P431" s="50"/>
      <c r="Q431" s="39"/>
      <c r="R431" s="39"/>
      <c r="S431" s="39"/>
      <c r="T431" s="39"/>
      <c r="U431" s="39"/>
    </row>
    <row r="432" spans="1:21">
      <c r="A432" s="52"/>
      <c r="B432" s="39"/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52" t="str">
        <f t="shared" si="6"/>
        <v/>
      </c>
      <c r="O432" s="39"/>
      <c r="P432" s="50"/>
      <c r="Q432" s="39"/>
      <c r="R432" s="39"/>
      <c r="S432" s="39"/>
      <c r="T432" s="39"/>
      <c r="U432" s="39"/>
    </row>
    <row r="433" spans="1:21">
      <c r="A433" s="52"/>
      <c r="B433" s="39"/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52" t="str">
        <f t="shared" si="6"/>
        <v/>
      </c>
      <c r="O433" s="39"/>
      <c r="P433" s="50"/>
      <c r="Q433" s="39"/>
      <c r="R433" s="39"/>
      <c r="S433" s="39"/>
      <c r="T433" s="39"/>
      <c r="U433" s="39"/>
    </row>
    <row r="434" spans="1:21">
      <c r="A434" s="52"/>
      <c r="B434" s="39"/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52" t="str">
        <f t="shared" si="6"/>
        <v/>
      </c>
      <c r="O434" s="39"/>
      <c r="P434" s="50"/>
      <c r="Q434" s="39"/>
      <c r="R434" s="39"/>
      <c r="S434" s="39"/>
      <c r="T434" s="39"/>
      <c r="U434" s="39"/>
    </row>
    <row r="435" spans="1:21">
      <c r="A435" s="52"/>
      <c r="B435" s="39"/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52" t="str">
        <f t="shared" si="6"/>
        <v/>
      </c>
      <c r="O435" s="39"/>
      <c r="P435" s="50"/>
      <c r="Q435" s="39"/>
      <c r="R435" s="39"/>
      <c r="S435" s="39"/>
      <c r="T435" s="39"/>
      <c r="U435" s="39"/>
    </row>
    <row r="436" spans="1:21">
      <c r="A436" s="52"/>
      <c r="B436" s="39"/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52" t="str">
        <f t="shared" si="6"/>
        <v/>
      </c>
      <c r="O436" s="39"/>
      <c r="P436" s="50"/>
      <c r="Q436" s="39"/>
      <c r="R436" s="39"/>
      <c r="S436" s="39"/>
      <c r="T436" s="39"/>
      <c r="U436" s="39"/>
    </row>
    <row r="437" spans="1:21">
      <c r="A437" s="52"/>
      <c r="B437" s="39"/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52" t="str">
        <f t="shared" si="6"/>
        <v/>
      </c>
      <c r="O437" s="39"/>
      <c r="P437" s="50"/>
      <c r="Q437" s="39"/>
      <c r="R437" s="39"/>
      <c r="S437" s="39"/>
      <c r="T437" s="39"/>
      <c r="U437" s="39"/>
    </row>
    <row r="438" spans="1:21">
      <c r="A438" s="52"/>
      <c r="B438" s="39"/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52" t="str">
        <f t="shared" si="6"/>
        <v/>
      </c>
      <c r="O438" s="39"/>
      <c r="P438" s="50"/>
      <c r="Q438" s="39"/>
      <c r="R438" s="39"/>
      <c r="S438" s="39"/>
      <c r="T438" s="39"/>
      <c r="U438" s="39"/>
    </row>
    <row r="439" spans="1:21">
      <c r="A439" s="52"/>
      <c r="B439" s="39"/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52" t="str">
        <f t="shared" si="6"/>
        <v/>
      </c>
      <c r="O439" s="39"/>
      <c r="P439" s="50"/>
      <c r="Q439" s="39"/>
      <c r="R439" s="39"/>
      <c r="S439" s="39"/>
      <c r="T439" s="39"/>
      <c r="U439" s="39"/>
    </row>
    <row r="440" spans="1:21">
      <c r="A440" s="52"/>
      <c r="B440" s="39"/>
      <c r="C440" s="39"/>
      <c r="D440" s="39"/>
      <c r="E440" s="39"/>
      <c r="F440" s="39"/>
      <c r="G440" s="39"/>
      <c r="H440" s="39"/>
      <c r="I440" s="39"/>
      <c r="J440" s="39"/>
      <c r="K440" s="39"/>
      <c r="L440" s="39"/>
      <c r="M440" s="39"/>
      <c r="N440" s="52" t="str">
        <f t="shared" si="6"/>
        <v/>
      </c>
      <c r="O440" s="39"/>
      <c r="P440" s="50"/>
      <c r="Q440" s="39"/>
      <c r="R440" s="39"/>
      <c r="S440" s="39"/>
      <c r="T440" s="39"/>
      <c r="U440" s="39"/>
    </row>
    <row r="441" spans="1:21">
      <c r="A441" s="52"/>
      <c r="B441" s="39"/>
      <c r="C441" s="39"/>
      <c r="D441" s="39"/>
      <c r="E441" s="39"/>
      <c r="F441" s="39"/>
      <c r="G441" s="39"/>
      <c r="H441" s="39"/>
      <c r="I441" s="39"/>
      <c r="J441" s="39"/>
      <c r="K441" s="39"/>
      <c r="L441" s="39"/>
      <c r="M441" s="39"/>
      <c r="N441" s="52" t="str">
        <f t="shared" si="6"/>
        <v/>
      </c>
      <c r="O441" s="39"/>
      <c r="P441" s="50"/>
      <c r="Q441" s="39"/>
      <c r="R441" s="39"/>
      <c r="S441" s="39"/>
      <c r="T441" s="39"/>
      <c r="U441" s="39"/>
    </row>
    <row r="442" spans="1:21">
      <c r="A442" s="52"/>
      <c r="B442" s="39"/>
      <c r="C442" s="39"/>
      <c r="D442" s="39"/>
      <c r="E442" s="39"/>
      <c r="F442" s="39"/>
      <c r="G442" s="39"/>
      <c r="H442" s="39"/>
      <c r="I442" s="39"/>
      <c r="J442" s="39"/>
      <c r="K442" s="39"/>
      <c r="L442" s="39"/>
      <c r="M442" s="39"/>
      <c r="N442" s="52" t="str">
        <f t="shared" si="6"/>
        <v/>
      </c>
      <c r="O442" s="39"/>
      <c r="P442" s="50"/>
      <c r="Q442" s="39"/>
      <c r="R442" s="39"/>
      <c r="S442" s="39"/>
      <c r="T442" s="39"/>
      <c r="U442" s="39"/>
    </row>
    <row r="443" spans="1:21">
      <c r="A443" s="52"/>
      <c r="B443" s="39"/>
      <c r="C443" s="39"/>
      <c r="D443" s="39"/>
      <c r="E443" s="39"/>
      <c r="F443" s="39"/>
      <c r="G443" s="39"/>
      <c r="H443" s="39"/>
      <c r="I443" s="39"/>
      <c r="J443" s="39"/>
      <c r="K443" s="39"/>
      <c r="L443" s="39"/>
      <c r="M443" s="39"/>
      <c r="N443" s="52" t="str">
        <f t="shared" si="6"/>
        <v/>
      </c>
      <c r="O443" s="39"/>
      <c r="P443" s="50"/>
      <c r="Q443" s="39"/>
      <c r="R443" s="39"/>
      <c r="S443" s="39"/>
      <c r="T443" s="39"/>
      <c r="U443" s="39"/>
    </row>
    <row r="444" spans="1:21">
      <c r="A444" s="52"/>
      <c r="B444" s="39"/>
      <c r="C444" s="39"/>
      <c r="D444" s="39"/>
      <c r="E444" s="39"/>
      <c r="F444" s="39"/>
      <c r="G444" s="39"/>
      <c r="H444" s="39"/>
      <c r="I444" s="39"/>
      <c r="J444" s="39"/>
      <c r="K444" s="39"/>
      <c r="L444" s="39"/>
      <c r="M444" s="39"/>
      <c r="N444" s="52" t="str">
        <f t="shared" si="6"/>
        <v/>
      </c>
      <c r="O444" s="39"/>
      <c r="P444" s="50"/>
      <c r="Q444" s="39"/>
      <c r="R444" s="39"/>
      <c r="S444" s="39"/>
      <c r="T444" s="39"/>
      <c r="U444" s="39"/>
    </row>
    <row r="445" spans="1:21">
      <c r="A445" s="52"/>
      <c r="B445" s="39"/>
      <c r="C445" s="39"/>
      <c r="D445" s="39"/>
      <c r="E445" s="39"/>
      <c r="F445" s="39"/>
      <c r="G445" s="39"/>
      <c r="H445" s="39"/>
      <c r="I445" s="39"/>
      <c r="J445" s="39"/>
      <c r="K445" s="39"/>
      <c r="L445" s="39"/>
      <c r="M445" s="39"/>
      <c r="N445" s="52" t="str">
        <f t="shared" si="6"/>
        <v/>
      </c>
      <c r="O445" s="39"/>
      <c r="P445" s="50"/>
      <c r="Q445" s="39"/>
      <c r="R445" s="39"/>
      <c r="S445" s="39"/>
      <c r="T445" s="39"/>
      <c r="U445" s="39"/>
    </row>
    <row r="446" spans="1:21">
      <c r="A446" s="52"/>
      <c r="B446" s="39"/>
      <c r="C446" s="39"/>
      <c r="D446" s="39"/>
      <c r="E446" s="39"/>
      <c r="F446" s="39"/>
      <c r="G446" s="39"/>
      <c r="H446" s="39"/>
      <c r="I446" s="39"/>
      <c r="J446" s="39"/>
      <c r="K446" s="39"/>
      <c r="L446" s="39"/>
      <c r="M446" s="39"/>
      <c r="N446" s="52" t="str">
        <f t="shared" si="6"/>
        <v/>
      </c>
      <c r="O446" s="39"/>
      <c r="P446" s="50"/>
      <c r="Q446" s="39"/>
      <c r="R446" s="39"/>
      <c r="S446" s="39"/>
      <c r="T446" s="39"/>
      <c r="U446" s="39"/>
    </row>
    <row r="447" spans="1:21">
      <c r="A447" s="52"/>
      <c r="B447" s="39"/>
      <c r="C447" s="39"/>
      <c r="D447" s="39"/>
      <c r="E447" s="39"/>
      <c r="F447" s="39"/>
      <c r="G447" s="39"/>
      <c r="H447" s="39"/>
      <c r="I447" s="39"/>
      <c r="J447" s="39"/>
      <c r="K447" s="39"/>
      <c r="L447" s="39"/>
      <c r="M447" s="39"/>
      <c r="N447" s="52" t="str">
        <f t="shared" si="6"/>
        <v/>
      </c>
      <c r="O447" s="39"/>
      <c r="P447" s="50"/>
      <c r="Q447" s="39"/>
      <c r="R447" s="39"/>
      <c r="S447" s="39"/>
      <c r="T447" s="39"/>
      <c r="U447" s="39"/>
    </row>
    <row r="448" spans="1:21">
      <c r="A448" s="52"/>
      <c r="B448" s="39"/>
      <c r="C448" s="39"/>
      <c r="D448" s="39"/>
      <c r="E448" s="39"/>
      <c r="F448" s="39"/>
      <c r="G448" s="39"/>
      <c r="H448" s="39"/>
      <c r="I448" s="39"/>
      <c r="J448" s="39"/>
      <c r="K448" s="39"/>
      <c r="L448" s="39"/>
      <c r="M448" s="39"/>
      <c r="N448" s="52" t="str">
        <f t="shared" si="6"/>
        <v/>
      </c>
      <c r="O448" s="39"/>
      <c r="P448" s="50"/>
      <c r="Q448" s="39"/>
      <c r="R448" s="39"/>
      <c r="S448" s="39"/>
      <c r="T448" s="39"/>
      <c r="U448" s="39"/>
    </row>
    <row r="449" spans="1:21">
      <c r="A449" s="52"/>
      <c r="B449" s="39"/>
      <c r="C449" s="39"/>
      <c r="D449" s="39"/>
      <c r="E449" s="39"/>
      <c r="F449" s="39"/>
      <c r="G449" s="39"/>
      <c r="H449" s="39"/>
      <c r="I449" s="39"/>
      <c r="J449" s="39"/>
      <c r="K449" s="39"/>
      <c r="L449" s="39"/>
      <c r="M449" s="39"/>
      <c r="N449" s="52" t="str">
        <f t="shared" si="6"/>
        <v/>
      </c>
      <c r="O449" s="39"/>
      <c r="P449" s="50"/>
      <c r="Q449" s="39"/>
      <c r="R449" s="39"/>
      <c r="S449" s="39"/>
      <c r="T449" s="39"/>
      <c r="U449" s="39"/>
    </row>
    <row r="450" spans="1:21">
      <c r="A450" s="52"/>
      <c r="B450" s="39"/>
      <c r="C450" s="39"/>
      <c r="D450" s="39"/>
      <c r="E450" s="39"/>
      <c r="F450" s="39"/>
      <c r="G450" s="39"/>
      <c r="H450" s="39"/>
      <c r="I450" s="39"/>
      <c r="J450" s="39"/>
      <c r="K450" s="39"/>
      <c r="L450" s="39"/>
      <c r="M450" s="39"/>
      <c r="N450" s="52" t="str">
        <f t="shared" si="6"/>
        <v/>
      </c>
      <c r="O450" s="39"/>
      <c r="P450" s="50"/>
      <c r="Q450" s="39"/>
      <c r="R450" s="39"/>
      <c r="S450" s="39"/>
      <c r="T450" s="39"/>
      <c r="U450" s="39"/>
    </row>
    <row r="451" spans="1:21">
      <c r="A451" s="52"/>
      <c r="B451" s="39"/>
      <c r="C451" s="39"/>
      <c r="D451" s="39"/>
      <c r="E451" s="39"/>
      <c r="F451" s="39"/>
      <c r="G451" s="39"/>
      <c r="H451" s="39"/>
      <c r="I451" s="39"/>
      <c r="J451" s="39"/>
      <c r="K451" s="39"/>
      <c r="L451" s="39"/>
      <c r="M451" s="39"/>
      <c r="N451" s="52" t="str">
        <f t="shared" ref="N451:N456" si="7">_xlfn.TEXTJOIN(", ",TRUE, L451, M451)</f>
        <v/>
      </c>
      <c r="O451" s="39"/>
      <c r="P451" s="50"/>
      <c r="Q451" s="39"/>
      <c r="R451" s="39"/>
      <c r="S451" s="39"/>
      <c r="T451" s="39"/>
      <c r="U451" s="39"/>
    </row>
    <row r="452" spans="1:21">
      <c r="A452" s="52"/>
      <c r="B452" s="39"/>
      <c r="C452" s="39"/>
      <c r="D452" s="39"/>
      <c r="E452" s="39"/>
      <c r="F452" s="39"/>
      <c r="G452" s="39"/>
      <c r="H452" s="39"/>
      <c r="I452" s="39"/>
      <c r="J452" s="39"/>
      <c r="K452" s="39"/>
      <c r="L452" s="39"/>
      <c r="M452" s="39"/>
      <c r="N452" s="52" t="str">
        <f t="shared" si="7"/>
        <v/>
      </c>
      <c r="O452" s="39"/>
      <c r="P452" s="50"/>
      <c r="Q452" s="39"/>
      <c r="R452" s="39"/>
      <c r="S452" s="39"/>
      <c r="T452" s="39"/>
      <c r="U452" s="39"/>
    </row>
    <row r="453" spans="1:21">
      <c r="A453" s="52"/>
      <c r="B453" s="39"/>
      <c r="C453" s="39"/>
      <c r="D453" s="39"/>
      <c r="E453" s="39"/>
      <c r="F453" s="39"/>
      <c r="G453" s="39"/>
      <c r="H453" s="39"/>
      <c r="I453" s="39"/>
      <c r="J453" s="39"/>
      <c r="K453" s="39"/>
      <c r="L453" s="39"/>
      <c r="M453" s="39"/>
      <c r="N453" s="52" t="str">
        <f t="shared" si="7"/>
        <v/>
      </c>
      <c r="O453" s="39"/>
      <c r="P453" s="50"/>
      <c r="Q453" s="39"/>
      <c r="R453" s="39"/>
      <c r="S453" s="39"/>
      <c r="T453" s="39"/>
      <c r="U453" s="39"/>
    </row>
    <row r="454" spans="1:21">
      <c r="A454" s="52"/>
      <c r="B454" s="39"/>
      <c r="C454" s="39"/>
      <c r="D454" s="39"/>
      <c r="E454" s="39"/>
      <c r="F454" s="39"/>
      <c r="G454" s="39"/>
      <c r="H454" s="39"/>
      <c r="I454" s="39"/>
      <c r="J454" s="39"/>
      <c r="K454" s="39"/>
      <c r="L454" s="39"/>
      <c r="M454" s="39"/>
      <c r="N454" s="52" t="str">
        <f t="shared" si="7"/>
        <v/>
      </c>
      <c r="O454" s="39"/>
      <c r="P454" s="50"/>
      <c r="Q454" s="39"/>
      <c r="R454" s="39"/>
      <c r="S454" s="39"/>
      <c r="T454" s="39"/>
      <c r="U454" s="39"/>
    </row>
    <row r="455" spans="1:21">
      <c r="A455" s="52"/>
      <c r="B455" s="39"/>
      <c r="C455" s="39"/>
      <c r="D455" s="39"/>
      <c r="E455" s="39"/>
      <c r="F455" s="39"/>
      <c r="G455" s="39"/>
      <c r="H455" s="39"/>
      <c r="I455" s="39"/>
      <c r="J455" s="39"/>
      <c r="K455" s="39"/>
      <c r="L455" s="39"/>
      <c r="M455" s="39"/>
      <c r="N455" s="52" t="str">
        <f t="shared" si="7"/>
        <v/>
      </c>
      <c r="O455" s="39"/>
      <c r="P455" s="50"/>
      <c r="Q455" s="39"/>
      <c r="R455" s="39"/>
      <c r="S455" s="39"/>
      <c r="T455" s="39"/>
      <c r="U455" s="39"/>
    </row>
    <row r="456" spans="1:21">
      <c r="N456" s="52" t="str">
        <f t="shared" si="7"/>
        <v/>
      </c>
    </row>
  </sheetData>
  <phoneticPr fontId="9" type="noConversion"/>
  <pageMargins left="0.7" right="0.7" top="0.75" bottom="0.75" header="0.3" footer="0.3"/>
  <pageSetup paperSize="385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O101"/>
  <sheetViews>
    <sheetView workbookViewId="0">
      <selection activeCell="A10" sqref="A10"/>
    </sheetView>
  </sheetViews>
  <sheetFormatPr defaultRowHeight="15"/>
  <cols>
    <col min="1" max="1" width="177.85546875" bestFit="1" customWidth="1"/>
    <col min="2" max="2" width="11.7109375" customWidth="1"/>
    <col min="3" max="3" width="20.7109375" customWidth="1"/>
    <col min="4" max="4" width="16.7109375" customWidth="1"/>
    <col min="5" max="5" width="22.42578125" customWidth="1"/>
    <col min="6" max="6" width="21.42578125" customWidth="1"/>
    <col min="7" max="7" width="11.7109375" customWidth="1"/>
    <col min="8" max="8" width="18.28515625" customWidth="1"/>
    <col min="9" max="9" width="36.28515625" bestFit="1" customWidth="1"/>
    <col min="10" max="10" width="15.28515625" customWidth="1"/>
    <col min="11" max="11" width="19.85546875" bestFit="1" customWidth="1"/>
    <col min="12" max="12" width="33.85546875" bestFit="1" customWidth="1"/>
    <col min="13" max="13" width="13.5703125" customWidth="1"/>
    <col min="14" max="14" width="22.85546875" customWidth="1"/>
    <col min="15" max="15" width="24.5703125" customWidth="1"/>
    <col min="16" max="16" width="15.42578125" customWidth="1"/>
    <col min="17" max="17" width="22.7109375" customWidth="1"/>
    <col min="18" max="18" width="32.5703125" customWidth="1"/>
    <col min="19" max="19" width="35.42578125" bestFit="1" customWidth="1"/>
    <col min="20" max="20" width="46" bestFit="1" customWidth="1"/>
    <col min="21" max="21" width="23.85546875" bestFit="1" customWidth="1"/>
    <col min="22" max="22" width="15" customWidth="1"/>
    <col min="23" max="23" width="20.140625" customWidth="1"/>
    <col min="24" max="24" width="24.7109375" style="18" bestFit="1" customWidth="1"/>
    <col min="25" max="25" width="34.5703125" bestFit="1" customWidth="1"/>
    <col min="26" max="26" width="49" bestFit="1" customWidth="1"/>
    <col min="27" max="27" width="17.42578125" customWidth="1"/>
    <col min="28" max="28" width="64.5703125" bestFit="1" customWidth="1"/>
    <col min="29" max="29" width="19.85546875" customWidth="1"/>
    <col min="30" max="30" width="38.28515625" bestFit="1" customWidth="1"/>
    <col min="32" max="32" width="38.7109375" bestFit="1" customWidth="1"/>
  </cols>
  <sheetData>
    <row r="1" spans="1:33">
      <c r="A1" s="34" t="s">
        <v>54</v>
      </c>
      <c r="B1" t="s">
        <v>55</v>
      </c>
      <c r="C1" s="34" t="s">
        <v>56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492</v>
      </c>
      <c r="N1" t="s">
        <v>493</v>
      </c>
      <c r="O1" t="s">
        <v>494</v>
      </c>
      <c r="P1" t="s">
        <v>495</v>
      </c>
      <c r="Q1" t="s">
        <v>496</v>
      </c>
      <c r="R1" t="s">
        <v>497</v>
      </c>
      <c r="S1" t="s">
        <v>498</v>
      </c>
      <c r="T1" t="s">
        <v>499</v>
      </c>
      <c r="U1" t="s">
        <v>500</v>
      </c>
      <c r="V1" t="s">
        <v>32</v>
      </c>
      <c r="W1" t="s">
        <v>760</v>
      </c>
      <c r="X1" t="s">
        <v>33</v>
      </c>
      <c r="Y1" t="s">
        <v>34</v>
      </c>
      <c r="Z1" t="s">
        <v>35</v>
      </c>
      <c r="AA1" t="s">
        <v>36</v>
      </c>
      <c r="AB1" t="s">
        <v>37</v>
      </c>
      <c r="AC1" t="s">
        <v>38</v>
      </c>
      <c r="AD1" t="s">
        <v>39</v>
      </c>
      <c r="AE1" t="s">
        <v>40</v>
      </c>
      <c r="AF1" t="s">
        <v>41</v>
      </c>
      <c r="AG1" t="s">
        <v>769</v>
      </c>
    </row>
    <row r="2" spans="1:33">
      <c r="A2" s="34" t="s">
        <v>772</v>
      </c>
      <c r="B2" s="34" t="s">
        <v>758</v>
      </c>
      <c r="C2" s="34" t="s">
        <v>501</v>
      </c>
      <c r="X2"/>
      <c r="AC2" s="3"/>
    </row>
    <row r="3" spans="1:33">
      <c r="B3" s="63" t="s">
        <v>21</v>
      </c>
      <c r="C3" s="64" t="s">
        <v>22</v>
      </c>
      <c r="X3"/>
      <c r="AC3" s="3"/>
    </row>
    <row r="4" spans="1:33">
      <c r="B4" s="63"/>
      <c r="C4" s="64"/>
      <c r="X4"/>
      <c r="AC4" s="3"/>
    </row>
    <row r="5" spans="1:33">
      <c r="B5" s="63"/>
      <c r="C5" s="64"/>
      <c r="X5"/>
    </row>
    <row r="6" spans="1:33">
      <c r="B6" s="63"/>
      <c r="C6" s="64"/>
      <c r="X6"/>
      <c r="AC6" s="3"/>
    </row>
    <row r="7" spans="1:33">
      <c r="B7" s="63"/>
      <c r="C7" s="64"/>
      <c r="X7"/>
      <c r="AC7" s="3"/>
    </row>
    <row r="8" spans="1:33">
      <c r="B8" s="63"/>
      <c r="C8" s="64"/>
      <c r="X8"/>
      <c r="AC8" s="3"/>
    </row>
    <row r="9" spans="1:33">
      <c r="B9" s="63"/>
      <c r="C9" s="64"/>
      <c r="X9"/>
      <c r="AC9" s="3"/>
    </row>
    <row r="10" spans="1:33">
      <c r="B10" s="63"/>
      <c r="C10" s="64"/>
      <c r="X10"/>
    </row>
    <row r="11" spans="1:33">
      <c r="B11" s="63"/>
      <c r="C11" s="64"/>
      <c r="X11"/>
      <c r="AC11" s="3"/>
    </row>
    <row r="12" spans="1:33">
      <c r="B12" s="63"/>
      <c r="C12" s="64"/>
      <c r="X12"/>
    </row>
    <row r="13" spans="1:33">
      <c r="B13" s="63"/>
      <c r="C13" s="64"/>
      <c r="X13"/>
      <c r="AF13" s="4"/>
    </row>
    <row r="14" spans="1:33">
      <c r="B14" s="63"/>
      <c r="C14" s="64"/>
      <c r="X14"/>
      <c r="AC14" s="3"/>
    </row>
    <row r="15" spans="1:33">
      <c r="B15" s="63"/>
      <c r="C15" s="64"/>
      <c r="X15"/>
    </row>
    <row r="16" spans="1:33">
      <c r="B16" s="63"/>
      <c r="C16" s="64"/>
      <c r="X16"/>
      <c r="AC16" s="3"/>
    </row>
    <row r="17" spans="2:37">
      <c r="B17" s="63"/>
      <c r="C17" s="64"/>
      <c r="X17"/>
    </row>
    <row r="18" spans="2:37">
      <c r="B18" s="63"/>
      <c r="C18" s="64"/>
      <c r="X18"/>
      <c r="AC18" s="3"/>
    </row>
    <row r="19" spans="2:37">
      <c r="B19" s="63"/>
      <c r="C19" s="64"/>
      <c r="X19"/>
      <c r="AC19" s="3"/>
    </row>
    <row r="20" spans="2:37">
      <c r="B20" s="63"/>
      <c r="C20" s="64"/>
      <c r="X20"/>
      <c r="AC20" s="3"/>
    </row>
    <row r="21" spans="2:37">
      <c r="B21" s="63"/>
      <c r="C21" s="64"/>
      <c r="X21"/>
      <c r="AC21" s="3"/>
    </row>
    <row r="22" spans="2:37">
      <c r="B22" s="63"/>
      <c r="C22" s="64"/>
      <c r="X22"/>
      <c r="AC22" s="3"/>
    </row>
    <row r="23" spans="2:37">
      <c r="B23" s="63"/>
      <c r="C23" s="64"/>
      <c r="X23"/>
      <c r="AC23" s="3"/>
    </row>
    <row r="24" spans="2:37">
      <c r="B24" s="63"/>
      <c r="C24" s="64"/>
      <c r="X24"/>
      <c r="AC24" s="3"/>
    </row>
    <row r="25" spans="2:37">
      <c r="B25" s="63"/>
      <c r="C25" s="64"/>
      <c r="X25"/>
      <c r="AC25" s="3"/>
      <c r="AK25" s="3"/>
    </row>
    <row r="26" spans="2:37">
      <c r="B26" s="63"/>
      <c r="C26" s="64"/>
      <c r="X26"/>
      <c r="AK26" s="3"/>
    </row>
    <row r="27" spans="2:37">
      <c r="B27" s="63"/>
      <c r="C27" s="64"/>
      <c r="X27"/>
      <c r="AK27" s="3"/>
    </row>
    <row r="28" spans="2:37">
      <c r="B28" s="63"/>
      <c r="C28" s="64"/>
      <c r="X28"/>
      <c r="AK28" s="3"/>
    </row>
    <row r="29" spans="2:37">
      <c r="B29" s="63"/>
      <c r="C29" s="64"/>
      <c r="X29"/>
      <c r="AK29" s="3"/>
    </row>
    <row r="30" spans="2:37">
      <c r="B30" s="63"/>
      <c r="C30" s="64"/>
      <c r="X30"/>
    </row>
    <row r="31" spans="2:37">
      <c r="B31" s="63"/>
      <c r="C31" s="64"/>
      <c r="X31"/>
      <c r="AK31" s="3"/>
    </row>
    <row r="32" spans="2:37">
      <c r="B32" s="63"/>
      <c r="C32" s="64"/>
      <c r="X32"/>
    </row>
    <row r="33" spans="2:41">
      <c r="B33" s="63"/>
      <c r="C33" s="64"/>
      <c r="X33"/>
      <c r="AK33" s="3"/>
    </row>
    <row r="34" spans="2:41">
      <c r="B34" s="63"/>
      <c r="C34" s="64"/>
      <c r="X34"/>
      <c r="AK34" s="3"/>
    </row>
    <row r="35" spans="2:41">
      <c r="B35" s="63"/>
      <c r="C35" s="64"/>
      <c r="X35"/>
      <c r="AK35" s="3"/>
    </row>
    <row r="36" spans="2:41">
      <c r="B36" s="63"/>
      <c r="C36" s="64"/>
      <c r="X36"/>
      <c r="AK36" s="3"/>
    </row>
    <row r="37" spans="2:41">
      <c r="B37" s="63"/>
      <c r="C37" s="64"/>
      <c r="X37"/>
    </row>
    <row r="38" spans="2:41">
      <c r="B38" s="63"/>
      <c r="C38" s="64"/>
      <c r="X38"/>
      <c r="AK38" s="3"/>
    </row>
    <row r="39" spans="2:41">
      <c r="B39" s="63"/>
      <c r="C39" s="64"/>
      <c r="X39"/>
      <c r="AK39" s="3"/>
    </row>
    <row r="40" spans="2:41">
      <c r="B40" s="63"/>
      <c r="C40" s="64"/>
      <c r="X40"/>
      <c r="AK40" s="3"/>
    </row>
    <row r="41" spans="2:41">
      <c r="B41" s="63"/>
      <c r="C41" s="64"/>
      <c r="X41"/>
      <c r="AK41" s="3"/>
    </row>
    <row r="42" spans="2:41">
      <c r="B42" s="63"/>
      <c r="C42" s="64"/>
      <c r="X42"/>
      <c r="AK42" s="3"/>
    </row>
    <row r="43" spans="2:41">
      <c r="B43" s="63"/>
      <c r="C43" s="64"/>
      <c r="X43"/>
      <c r="AO43" s="4"/>
    </row>
    <row r="44" spans="2:41">
      <c r="B44" s="63"/>
      <c r="C44" s="64"/>
      <c r="X44"/>
    </row>
    <row r="45" spans="2:41">
      <c r="B45" s="63"/>
      <c r="C45" s="64"/>
      <c r="X45"/>
      <c r="AK45" s="3"/>
    </row>
    <row r="46" spans="2:41">
      <c r="B46" s="63"/>
      <c r="C46" s="64"/>
      <c r="X46"/>
      <c r="AK46" s="3"/>
    </row>
    <row r="47" spans="2:41">
      <c r="B47" s="63"/>
      <c r="C47" s="64"/>
      <c r="X47"/>
      <c r="AK47" s="3"/>
    </row>
    <row r="48" spans="2:41">
      <c r="B48" s="63"/>
      <c r="C48" s="64"/>
      <c r="X48"/>
    </row>
    <row r="49" spans="2:37">
      <c r="B49" s="63"/>
      <c r="C49" s="64"/>
      <c r="X49"/>
      <c r="AK49" s="3"/>
    </row>
    <row r="50" spans="2:37">
      <c r="B50" s="63"/>
      <c r="C50" s="64"/>
      <c r="X50"/>
      <c r="AK50" s="3"/>
    </row>
    <row r="51" spans="2:37">
      <c r="B51" s="63"/>
      <c r="C51" s="64"/>
      <c r="X51"/>
      <c r="AK51" s="3"/>
    </row>
    <row r="52" spans="2:37">
      <c r="B52" s="63"/>
      <c r="C52" s="64"/>
      <c r="X52"/>
      <c r="AK52" s="3"/>
    </row>
    <row r="53" spans="2:37">
      <c r="B53" s="63"/>
      <c r="C53" s="64"/>
      <c r="X53"/>
    </row>
    <row r="54" spans="2:37">
      <c r="B54" s="63"/>
      <c r="C54" s="64"/>
      <c r="X54"/>
      <c r="AK54" s="3"/>
    </row>
    <row r="55" spans="2:37">
      <c r="B55" s="63"/>
      <c r="C55" s="64"/>
      <c r="U55" s="30"/>
    </row>
    <row r="56" spans="2:37">
      <c r="B56" s="63"/>
      <c r="C56" s="64"/>
      <c r="U56" s="30"/>
    </row>
    <row r="57" spans="2:37">
      <c r="B57" s="63"/>
      <c r="C57" s="64"/>
      <c r="U57" s="30"/>
    </row>
    <row r="58" spans="2:37">
      <c r="B58" s="63"/>
      <c r="C58" s="64"/>
      <c r="U58" s="30"/>
    </row>
    <row r="59" spans="2:37">
      <c r="B59" s="63"/>
      <c r="C59" s="64"/>
      <c r="U59" s="30"/>
    </row>
    <row r="60" spans="2:37">
      <c r="B60" s="63"/>
      <c r="C60" s="64"/>
      <c r="U60" s="30"/>
    </row>
    <row r="61" spans="2:37">
      <c r="B61" s="63"/>
      <c r="C61" s="64"/>
      <c r="U61" s="30"/>
    </row>
    <row r="62" spans="2:37">
      <c r="B62" s="63"/>
      <c r="C62" s="64"/>
      <c r="U62" s="30"/>
    </row>
    <row r="63" spans="2:37">
      <c r="B63" s="63"/>
      <c r="C63" s="64"/>
      <c r="U63" s="30"/>
    </row>
    <row r="64" spans="2:37">
      <c r="B64" s="63"/>
      <c r="C64" s="64"/>
      <c r="U64" s="30"/>
    </row>
    <row r="65" spans="2:26">
      <c r="B65" s="63"/>
      <c r="C65" s="64"/>
      <c r="U65" s="30"/>
    </row>
    <row r="66" spans="2:26">
      <c r="B66" s="63"/>
      <c r="C66" s="64"/>
      <c r="U66" s="30"/>
    </row>
    <row r="67" spans="2:26">
      <c r="B67" s="63"/>
      <c r="C67" s="64"/>
      <c r="U67" s="30"/>
    </row>
    <row r="68" spans="2:26">
      <c r="B68" s="63"/>
      <c r="C68" s="64"/>
      <c r="U68" s="30"/>
    </row>
    <row r="69" spans="2:26">
      <c r="B69" s="63"/>
      <c r="C69" s="64"/>
      <c r="U69" s="30"/>
    </row>
    <row r="70" spans="2:26">
      <c r="B70" s="63"/>
      <c r="C70" s="64"/>
      <c r="U70" s="30"/>
    </row>
    <row r="71" spans="2:26">
      <c r="B71" s="63"/>
      <c r="C71" s="64"/>
      <c r="U71" s="30"/>
    </row>
    <row r="72" spans="2:26">
      <c r="B72" s="63"/>
      <c r="C72" s="64"/>
      <c r="U72" s="30"/>
      <c r="Z72" s="3"/>
    </row>
    <row r="73" spans="2:26">
      <c r="B73" s="63"/>
      <c r="C73" s="64"/>
      <c r="U73" s="30"/>
    </row>
    <row r="74" spans="2:26">
      <c r="B74" s="63"/>
      <c r="C74" s="64"/>
      <c r="U74" s="30"/>
      <c r="Z74" s="3"/>
    </row>
    <row r="75" spans="2:26">
      <c r="B75" s="63"/>
      <c r="C75" s="64"/>
      <c r="U75" s="30"/>
    </row>
    <row r="76" spans="2:26">
      <c r="B76" s="63"/>
      <c r="C76" s="64"/>
      <c r="U76" s="30"/>
    </row>
    <row r="77" spans="2:26">
      <c r="B77" s="63"/>
      <c r="C77" s="64"/>
      <c r="U77" s="30"/>
      <c r="Z77" s="3"/>
    </row>
    <row r="78" spans="2:26">
      <c r="B78" s="63"/>
      <c r="C78" s="64"/>
      <c r="U78" s="30"/>
    </row>
    <row r="79" spans="2:26">
      <c r="B79" s="63"/>
      <c r="C79" s="64"/>
      <c r="U79" s="30"/>
    </row>
    <row r="80" spans="2:26">
      <c r="B80" s="63"/>
      <c r="C80" s="64"/>
      <c r="U80" s="30"/>
    </row>
    <row r="81" spans="2:26">
      <c r="B81" s="63"/>
      <c r="C81" s="64"/>
      <c r="U81" s="30"/>
    </row>
    <row r="82" spans="2:26">
      <c r="B82" s="63"/>
      <c r="C82" s="64"/>
      <c r="U82" s="30"/>
    </row>
    <row r="83" spans="2:26">
      <c r="B83" s="63"/>
      <c r="C83" s="64"/>
      <c r="U83" s="30"/>
    </row>
    <row r="84" spans="2:26">
      <c r="B84" s="63"/>
      <c r="C84" s="64"/>
      <c r="U84" s="30"/>
    </row>
    <row r="85" spans="2:26">
      <c r="B85" s="63"/>
      <c r="C85" s="64"/>
      <c r="U85" s="30"/>
    </row>
    <row r="86" spans="2:26">
      <c r="B86" s="63"/>
      <c r="C86" s="64"/>
      <c r="U86" s="30"/>
    </row>
    <row r="87" spans="2:26">
      <c r="B87" s="63"/>
      <c r="C87" s="64"/>
      <c r="U87" s="30"/>
    </row>
    <row r="88" spans="2:26">
      <c r="B88" s="63"/>
      <c r="C88" s="64"/>
      <c r="U88" s="30"/>
    </row>
    <row r="89" spans="2:26">
      <c r="B89" s="63"/>
      <c r="C89" s="64"/>
      <c r="U89" s="30"/>
    </row>
    <row r="90" spans="2:26">
      <c r="B90" s="63"/>
      <c r="C90" s="64"/>
      <c r="U90" s="30"/>
    </row>
    <row r="91" spans="2:26">
      <c r="B91" s="63"/>
      <c r="C91" s="64"/>
      <c r="U91" s="30"/>
    </row>
    <row r="92" spans="2:26">
      <c r="B92" s="63"/>
      <c r="C92" s="64"/>
      <c r="U92" s="30"/>
    </row>
    <row r="93" spans="2:26">
      <c r="B93" s="63"/>
      <c r="C93" s="64"/>
      <c r="U93" s="30"/>
      <c r="Z93" s="3"/>
    </row>
    <row r="94" spans="2:26">
      <c r="B94" s="63"/>
      <c r="C94" s="64"/>
      <c r="U94" s="30"/>
    </row>
    <row r="95" spans="2:26">
      <c r="B95" s="63"/>
      <c r="C95" s="64"/>
      <c r="U95" s="30"/>
    </row>
    <row r="96" spans="2:26">
      <c r="B96" s="63"/>
      <c r="C96" s="64"/>
      <c r="U96" s="30"/>
    </row>
    <row r="97" spans="2:21">
      <c r="B97" s="63"/>
      <c r="C97" s="64"/>
      <c r="U97" s="30"/>
    </row>
    <row r="98" spans="2:21">
      <c r="U98" s="30"/>
    </row>
    <row r="101" spans="2:21">
      <c r="U101" s="30"/>
    </row>
  </sheetData>
  <mergeCells count="2">
    <mergeCell ref="B3:B97"/>
    <mergeCell ref="C3:C97"/>
  </mergeCells>
  <phoneticPr fontId="9" type="noConversion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475"/>
  <sheetViews>
    <sheetView workbookViewId="0">
      <selection activeCell="C14" sqref="C14"/>
    </sheetView>
  </sheetViews>
  <sheetFormatPr defaultRowHeight="15"/>
  <cols>
    <col min="1" max="1" width="26.7109375" bestFit="1" customWidth="1"/>
    <col min="2" max="2" width="16.85546875" bestFit="1" customWidth="1"/>
    <col min="3" max="3" width="10.85546875" bestFit="1" customWidth="1"/>
    <col min="4" max="4" width="11.28515625" bestFit="1" customWidth="1"/>
    <col min="5" max="5" width="19.85546875" bestFit="1" customWidth="1"/>
    <col min="6" max="6" width="31.7109375" bestFit="1" customWidth="1"/>
    <col min="7" max="7" width="12.85546875" bestFit="1" customWidth="1"/>
    <col min="8" max="8" width="13" style="13" customWidth="1"/>
    <col min="9" max="9" width="17.28515625" bestFit="1" customWidth="1"/>
    <col min="10" max="13" width="17.28515625" style="13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31" t="s">
        <v>292</v>
      </c>
      <c r="B1" s="31" t="s">
        <v>291</v>
      </c>
      <c r="G1" s="33" t="s">
        <v>57</v>
      </c>
      <c r="H1" s="12" t="s">
        <v>288</v>
      </c>
      <c r="I1" s="1" t="s">
        <v>13</v>
      </c>
      <c r="J1" s="12" t="s">
        <v>293</v>
      </c>
      <c r="K1" s="12" t="s">
        <v>294</v>
      </c>
      <c r="L1" s="12" t="s">
        <v>295</v>
      </c>
      <c r="M1" s="12" t="s">
        <v>296</v>
      </c>
      <c r="N1" s="1" t="s">
        <v>14</v>
      </c>
    </row>
    <row r="2" spans="1:14" ht="15.75" thickTop="1">
      <c r="A2" s="31" t="s">
        <v>289</v>
      </c>
      <c r="B2" t="s">
        <v>751</v>
      </c>
      <c r="C2" t="s">
        <v>752</v>
      </c>
      <c r="D2" t="s">
        <v>290</v>
      </c>
      <c r="G2" cm="1">
        <f t="array" ref="G2">_xlfn.UNIQUE(Input!J2:J500)</f>
        <v>0</v>
      </c>
      <c r="H2" s="13">
        <f>IFERROR(GETPIVOTDATA("Successful / Failed",$A$1,"System serial",G2),0)</f>
        <v>2</v>
      </c>
      <c r="I2" t="str" cm="1">
        <f t="array" ref="I2">_xlfn.IFS(H2&lt;1,"No",H2=1,"Yes",H2&gt;1,_xlfn.TEXTJOIN("",TRUE,"Yes x",H2))</f>
        <v>Yes x2</v>
      </c>
      <c r="J2" s="13">
        <f>IFERROR(GETPIVOTDATA("Successful / Failed",$A$1,"System serial",G2,"Successful / Failed","Successful"),0)</f>
        <v>1</v>
      </c>
      <c r="K2" s="13">
        <f>IFERROR(GETPIVOTDATA("Successful / Failed",$A$1,"System serial",G2,"Successful / Failed","Failed"),0)</f>
        <v>1</v>
      </c>
      <c r="L2" s="13" t="str" cm="1">
        <f t="array" ref="L2">_xlfn.IFS(J2&lt;1,"",J2=1,"Pass",J2&gt;1,_xlfn.TEXTJOIN("",TRUE,"Pass x",J2))</f>
        <v>Pass</v>
      </c>
      <c r="M2" s="13" t="str" cm="1">
        <f t="array" ref="M2">_xlfn.IFS(K2&lt;1,"",K2=1,"Fail",K2&gt;1,_xlfn.TEXTJOIN("",TRUE,"Fail x",K2))</f>
        <v>Fail</v>
      </c>
      <c r="N2" t="str">
        <f>_xlfn.TEXTJOIN(", ",TRUE, L2, M2)</f>
        <v>Pass, Fail</v>
      </c>
    </row>
    <row r="3" spans="1:14">
      <c r="A3" s="32">
        <v>0</v>
      </c>
      <c r="B3" s="66">
        <v>1</v>
      </c>
      <c r="C3" s="66">
        <v>1</v>
      </c>
      <c r="D3" s="66">
        <v>2</v>
      </c>
      <c r="H3" s="13">
        <f t="shared" ref="H3:H66" si="0">IFERROR(GETPIVOTDATA("Successful / Failed",$A$1,"System serial",G3),0)</f>
        <v>2</v>
      </c>
      <c r="I3" t="str" cm="1">
        <f t="array" ref="I3">_xlfn.IFS(H3&lt;1,"No",H3=1,"Yes",H3&gt;1,_xlfn.TEXTJOIN("",TRUE,"Yes x",H3))</f>
        <v>Yes x2</v>
      </c>
      <c r="J3" s="13">
        <f t="shared" ref="J3:J66" si="1">IFERROR(GETPIVOTDATA("Successful / Failed",$A$1,"System serial",G3,"Successful / Failed","Successful"),0)</f>
        <v>1</v>
      </c>
      <c r="K3" s="13">
        <f t="shared" ref="K3:K66" si="2">IFERROR(GETPIVOTDATA("Successful / Failed",$A$1,"System serial",G3,"Successful / Failed","Failed"),0)</f>
        <v>1</v>
      </c>
      <c r="L3" s="13" t="str" cm="1">
        <f t="array" ref="L3">_xlfn.IFS(J3&lt;1,"",J3=1,"Pass",J3&gt;1,_xlfn.TEXTJOIN("",TRUE,"Pass x",J3))</f>
        <v>Pass</v>
      </c>
      <c r="M3" s="13" t="str" cm="1">
        <f t="array" ref="M3">_xlfn.IFS(K3&lt;1,"",K3=1,"Fail",K3&gt;1,_xlfn.TEXTJOIN("",TRUE,"Fail x",K3))</f>
        <v>Fail</v>
      </c>
      <c r="N3" t="str">
        <f t="shared" ref="N3:N66" si="3">_xlfn.TEXTJOIN(", ",TRUE, L3, M3)</f>
        <v>Pass, Fail</v>
      </c>
    </row>
    <row r="4" spans="1:14">
      <c r="A4" s="32" t="s">
        <v>290</v>
      </c>
      <c r="B4" s="66">
        <v>1</v>
      </c>
      <c r="C4" s="66">
        <v>1</v>
      </c>
      <c r="D4" s="66">
        <v>2</v>
      </c>
      <c r="H4" s="13">
        <f t="shared" si="0"/>
        <v>2</v>
      </c>
      <c r="I4" t="str" cm="1">
        <f t="array" ref="I4">_xlfn.IFS(H4&lt;1,"No",H4=1,"Yes",H4&gt;1,_xlfn.TEXTJOIN("",TRUE,"Yes x",H4))</f>
        <v>Yes x2</v>
      </c>
      <c r="J4" s="13">
        <f t="shared" si="1"/>
        <v>1</v>
      </c>
      <c r="K4" s="13">
        <f t="shared" si="2"/>
        <v>1</v>
      </c>
      <c r="L4" s="13" t="str" cm="1">
        <f t="array" ref="L4">_xlfn.IFS(J4&lt;1,"",J4=1,"Pass",J4&gt;1,_xlfn.TEXTJOIN("",TRUE,"Pass x",J4))</f>
        <v>Pass</v>
      </c>
      <c r="M4" s="13" t="str" cm="1">
        <f t="array" ref="M4">_xlfn.IFS(K4&lt;1,"",K4=1,"Fail",K4&gt;1,_xlfn.TEXTJOIN("",TRUE,"Fail x",K4))</f>
        <v>Fail</v>
      </c>
      <c r="N4" t="str">
        <f t="shared" si="3"/>
        <v>Pass, Fail</v>
      </c>
    </row>
    <row r="5" spans="1:14">
      <c r="H5" s="13">
        <f t="shared" si="0"/>
        <v>2</v>
      </c>
      <c r="I5" t="str" cm="1">
        <f t="array" ref="I5">_xlfn.IFS(H5&lt;1,"No",H5=1,"Yes",H5&gt;1,_xlfn.TEXTJOIN("",TRUE,"Yes x",H5))</f>
        <v>Yes x2</v>
      </c>
      <c r="J5" s="13">
        <f t="shared" si="1"/>
        <v>1</v>
      </c>
      <c r="K5" s="13">
        <f t="shared" si="2"/>
        <v>1</v>
      </c>
      <c r="L5" s="13" t="str" cm="1">
        <f t="array" ref="L5">_xlfn.IFS(J5&lt;1,"",J5=1,"Pass",J5&gt;1,_xlfn.TEXTJOIN("",TRUE,"Pass x",J5))</f>
        <v>Pass</v>
      </c>
      <c r="M5" s="13" t="str" cm="1">
        <f t="array" ref="M5">_xlfn.IFS(K5&lt;1,"",K5=1,"Fail",K5&gt;1,_xlfn.TEXTJOIN("",TRUE,"Fail x",K5))</f>
        <v>Fail</v>
      </c>
      <c r="N5" t="str">
        <f t="shared" si="3"/>
        <v>Pass, Fail</v>
      </c>
    </row>
    <row r="6" spans="1:14">
      <c r="H6" s="13">
        <f t="shared" si="0"/>
        <v>2</v>
      </c>
      <c r="I6" t="str" cm="1">
        <f t="array" ref="I6">_xlfn.IFS(H6&lt;1,"No",H6=1,"Yes",H6&gt;1,_xlfn.TEXTJOIN("",TRUE,"Yes x",H6))</f>
        <v>Yes x2</v>
      </c>
      <c r="J6" s="13">
        <f t="shared" si="1"/>
        <v>1</v>
      </c>
      <c r="K6" s="13">
        <f t="shared" si="2"/>
        <v>1</v>
      </c>
      <c r="L6" s="13" t="str" cm="1">
        <f t="array" ref="L6">_xlfn.IFS(J6&lt;1,"",J6=1,"Pass",J6&gt;1,_xlfn.TEXTJOIN("",TRUE,"Pass x",J6))</f>
        <v>Pass</v>
      </c>
      <c r="M6" s="13" t="str" cm="1">
        <f t="array" ref="M6">_xlfn.IFS(K6&lt;1,"",K6=1,"Fail",K6&gt;1,_xlfn.TEXTJOIN("",TRUE,"Fail x",K6))</f>
        <v>Fail</v>
      </c>
      <c r="N6" t="str">
        <f t="shared" si="3"/>
        <v>Pass, Fail</v>
      </c>
    </row>
    <row r="7" spans="1:14">
      <c r="H7" s="13">
        <f t="shared" si="0"/>
        <v>2</v>
      </c>
      <c r="I7" t="str" cm="1">
        <f t="array" ref="I7">_xlfn.IFS(H7&lt;1,"No",H7=1,"Yes",H7&gt;1,_xlfn.TEXTJOIN("",TRUE,"Yes x",H7))</f>
        <v>Yes x2</v>
      </c>
      <c r="J7" s="13">
        <f t="shared" si="1"/>
        <v>1</v>
      </c>
      <c r="K7" s="13">
        <f t="shared" si="2"/>
        <v>1</v>
      </c>
      <c r="L7" s="13" t="str" cm="1">
        <f t="array" ref="L7">_xlfn.IFS(J7&lt;1,"",J7=1,"Pass",J7&gt;1,_xlfn.TEXTJOIN("",TRUE,"Pass x",J7))</f>
        <v>Pass</v>
      </c>
      <c r="M7" s="13" t="str" cm="1">
        <f t="array" ref="M7">_xlfn.IFS(K7&lt;1,"",K7=1,"Fail",K7&gt;1,_xlfn.TEXTJOIN("",TRUE,"Fail x",K7))</f>
        <v>Fail</v>
      </c>
      <c r="N7" t="str">
        <f t="shared" si="3"/>
        <v>Pass, Fail</v>
      </c>
    </row>
    <row r="8" spans="1:14">
      <c r="H8" s="13">
        <f t="shared" si="0"/>
        <v>2</v>
      </c>
      <c r="I8" t="str" cm="1">
        <f t="array" ref="I8">_xlfn.IFS(H8&lt;1,"No",H8=1,"Yes",H8&gt;1,_xlfn.TEXTJOIN("",TRUE,"Yes x",H8))</f>
        <v>Yes x2</v>
      </c>
      <c r="J8" s="13">
        <f t="shared" si="1"/>
        <v>1</v>
      </c>
      <c r="K8" s="13">
        <f t="shared" si="2"/>
        <v>1</v>
      </c>
      <c r="L8" s="13" t="str" cm="1">
        <f t="array" ref="L8">_xlfn.IFS(J8&lt;1,"",J8=1,"Pass",J8&gt;1,_xlfn.TEXTJOIN("",TRUE,"Pass x",J8))</f>
        <v>Pass</v>
      </c>
      <c r="M8" s="13" t="str" cm="1">
        <f t="array" ref="M8">_xlfn.IFS(K8&lt;1,"",K8=1,"Fail",K8&gt;1,_xlfn.TEXTJOIN("",TRUE,"Fail x",K8))</f>
        <v>Fail</v>
      </c>
      <c r="N8" t="str">
        <f t="shared" si="3"/>
        <v>Pass, Fail</v>
      </c>
    </row>
    <row r="9" spans="1:14">
      <c r="H9" s="13">
        <f t="shared" si="0"/>
        <v>2</v>
      </c>
      <c r="I9" t="str" cm="1">
        <f t="array" ref="I9">_xlfn.IFS(H9&lt;1,"No",H9=1,"Yes",H9&gt;1,_xlfn.TEXTJOIN("",TRUE,"Yes x",H9))</f>
        <v>Yes x2</v>
      </c>
      <c r="J9" s="13">
        <f t="shared" si="1"/>
        <v>1</v>
      </c>
      <c r="K9" s="13">
        <f t="shared" si="2"/>
        <v>1</v>
      </c>
      <c r="L9" s="13" t="str" cm="1">
        <f t="array" ref="L9">_xlfn.IFS(J9&lt;1,"",J9=1,"Pass",J9&gt;1,_xlfn.TEXTJOIN("",TRUE,"Pass x",J9))</f>
        <v>Pass</v>
      </c>
      <c r="M9" s="13" t="str" cm="1">
        <f t="array" ref="M9">_xlfn.IFS(K9&lt;1,"",K9=1,"Fail",K9&gt;1,_xlfn.TEXTJOIN("",TRUE,"Fail x",K9))</f>
        <v>Fail</v>
      </c>
      <c r="N9" t="str">
        <f t="shared" si="3"/>
        <v>Pass, Fail</v>
      </c>
    </row>
    <row r="10" spans="1:14">
      <c r="H10" s="13">
        <f t="shared" si="0"/>
        <v>2</v>
      </c>
      <c r="I10" t="str" cm="1">
        <f t="array" ref="I10">_xlfn.IFS(H10&lt;1,"No",H10=1,"Yes",H10&gt;1,_xlfn.TEXTJOIN("",TRUE,"Yes x",H10))</f>
        <v>Yes x2</v>
      </c>
      <c r="J10" s="13">
        <f t="shared" si="1"/>
        <v>1</v>
      </c>
      <c r="K10" s="13">
        <f t="shared" si="2"/>
        <v>1</v>
      </c>
      <c r="L10" s="13" t="str" cm="1">
        <f t="array" ref="L10">_xlfn.IFS(J10&lt;1,"",J10=1,"Pass",J10&gt;1,_xlfn.TEXTJOIN("",TRUE,"Pass x",J10))</f>
        <v>Pass</v>
      </c>
      <c r="M10" s="13" t="str" cm="1">
        <f t="array" ref="M10">_xlfn.IFS(K10&lt;1,"",K10=1,"Fail",K10&gt;1,_xlfn.TEXTJOIN("",TRUE,"Fail x",K10))</f>
        <v>Fail</v>
      </c>
      <c r="N10" t="str">
        <f t="shared" si="3"/>
        <v>Pass, Fail</v>
      </c>
    </row>
    <row r="11" spans="1:14">
      <c r="H11" s="13">
        <f t="shared" si="0"/>
        <v>2</v>
      </c>
      <c r="I11" t="str" cm="1">
        <f t="array" ref="I11">_xlfn.IFS(H11&lt;1,"No",H11=1,"Yes",H11&gt;1,_xlfn.TEXTJOIN("",TRUE,"Yes x",H11))</f>
        <v>Yes x2</v>
      </c>
      <c r="J11" s="13">
        <f t="shared" si="1"/>
        <v>1</v>
      </c>
      <c r="K11" s="13">
        <f t="shared" si="2"/>
        <v>1</v>
      </c>
      <c r="L11" s="13" t="str" cm="1">
        <f t="array" ref="L11">_xlfn.IFS(J11&lt;1,"",J11=1,"Pass",J11&gt;1,_xlfn.TEXTJOIN("",TRUE,"Pass x",J11))</f>
        <v>Pass</v>
      </c>
      <c r="M11" s="13" t="str" cm="1">
        <f t="array" ref="M11">_xlfn.IFS(K11&lt;1,"",K11=1,"Fail",K11&gt;1,_xlfn.TEXTJOIN("",TRUE,"Fail x",K11))</f>
        <v>Fail</v>
      </c>
      <c r="N11" t="str">
        <f t="shared" si="3"/>
        <v>Pass, Fail</v>
      </c>
    </row>
    <row r="12" spans="1:14">
      <c r="H12" s="13">
        <f t="shared" si="0"/>
        <v>2</v>
      </c>
      <c r="I12" t="str" cm="1">
        <f t="array" ref="I12">_xlfn.IFS(H12&lt;1,"No",H12=1,"Yes",H12&gt;1,_xlfn.TEXTJOIN("",TRUE,"Yes x",H12))</f>
        <v>Yes x2</v>
      </c>
      <c r="J12" s="13">
        <f t="shared" si="1"/>
        <v>1</v>
      </c>
      <c r="K12" s="13">
        <f t="shared" si="2"/>
        <v>1</v>
      </c>
      <c r="L12" s="13" t="str" cm="1">
        <f t="array" ref="L12">_xlfn.IFS(J12&lt;1,"",J12=1,"Pass",J12&gt;1,_xlfn.TEXTJOIN("",TRUE,"Pass x",J12))</f>
        <v>Pass</v>
      </c>
      <c r="M12" s="13" t="str" cm="1">
        <f t="array" ref="M12">_xlfn.IFS(K12&lt;1,"",K12=1,"Fail",K12&gt;1,_xlfn.TEXTJOIN("",TRUE,"Fail x",K12))</f>
        <v>Fail</v>
      </c>
      <c r="N12" t="str">
        <f t="shared" si="3"/>
        <v>Pass, Fail</v>
      </c>
    </row>
    <row r="13" spans="1:14">
      <c r="H13" s="13">
        <f t="shared" si="0"/>
        <v>2</v>
      </c>
      <c r="I13" t="str" cm="1">
        <f t="array" ref="I13">_xlfn.IFS(H13&lt;1,"No",H13=1,"Yes",H13&gt;1,_xlfn.TEXTJOIN("",TRUE,"Yes x",H13))</f>
        <v>Yes x2</v>
      </c>
      <c r="J13" s="13">
        <f t="shared" si="1"/>
        <v>1</v>
      </c>
      <c r="K13" s="13">
        <f t="shared" si="2"/>
        <v>1</v>
      </c>
      <c r="L13" s="13" t="str" cm="1">
        <f t="array" ref="L13">_xlfn.IFS(J13&lt;1,"",J13=1,"Pass",J13&gt;1,_xlfn.TEXTJOIN("",TRUE,"Pass x",J13))</f>
        <v>Pass</v>
      </c>
      <c r="M13" s="13" t="str" cm="1">
        <f t="array" ref="M13">_xlfn.IFS(K13&lt;1,"",K13=1,"Fail",K13&gt;1,_xlfn.TEXTJOIN("",TRUE,"Fail x",K13))</f>
        <v>Fail</v>
      </c>
      <c r="N13" t="str">
        <f t="shared" si="3"/>
        <v>Pass, Fail</v>
      </c>
    </row>
    <row r="14" spans="1:14">
      <c r="H14" s="13">
        <f t="shared" si="0"/>
        <v>2</v>
      </c>
      <c r="I14" t="str" cm="1">
        <f t="array" ref="I14">_xlfn.IFS(H14&lt;1,"No",H14=1,"Yes",H14&gt;1,_xlfn.TEXTJOIN("",TRUE,"Yes x",H14))</f>
        <v>Yes x2</v>
      </c>
      <c r="J14" s="13">
        <f t="shared" si="1"/>
        <v>1</v>
      </c>
      <c r="K14" s="13">
        <f t="shared" si="2"/>
        <v>1</v>
      </c>
      <c r="L14" s="13" t="str" cm="1">
        <f t="array" ref="L14">_xlfn.IFS(J14&lt;1,"",J14=1,"Pass",J14&gt;1,_xlfn.TEXTJOIN("",TRUE,"Pass x",J14))</f>
        <v>Pass</v>
      </c>
      <c r="M14" s="13" t="str" cm="1">
        <f t="array" ref="M14">_xlfn.IFS(K14&lt;1,"",K14=1,"Fail",K14&gt;1,_xlfn.TEXTJOIN("",TRUE,"Fail x",K14))</f>
        <v>Fail</v>
      </c>
      <c r="N14" t="str">
        <f t="shared" si="3"/>
        <v>Pass, Fail</v>
      </c>
    </row>
    <row r="15" spans="1:14">
      <c r="H15" s="13">
        <f t="shared" si="0"/>
        <v>2</v>
      </c>
      <c r="I15" t="str" cm="1">
        <f t="array" ref="I15">_xlfn.IFS(H15&lt;1,"No",H15=1,"Yes",H15&gt;1,_xlfn.TEXTJOIN("",TRUE,"Yes x",H15))</f>
        <v>Yes x2</v>
      </c>
      <c r="J15" s="13">
        <f t="shared" si="1"/>
        <v>1</v>
      </c>
      <c r="K15" s="13">
        <f t="shared" si="2"/>
        <v>1</v>
      </c>
      <c r="L15" s="13" t="str" cm="1">
        <f t="array" ref="L15">_xlfn.IFS(J15&lt;1,"",J15=1,"Pass",J15&gt;1,_xlfn.TEXTJOIN("",TRUE,"Pass x",J15))</f>
        <v>Pass</v>
      </c>
      <c r="M15" s="13" t="str" cm="1">
        <f t="array" ref="M15">_xlfn.IFS(K15&lt;1,"",K15=1,"Fail",K15&gt;1,_xlfn.TEXTJOIN("",TRUE,"Fail x",K15))</f>
        <v>Fail</v>
      </c>
      <c r="N15" t="str">
        <f t="shared" si="3"/>
        <v>Pass, Fail</v>
      </c>
    </row>
    <row r="16" spans="1:14">
      <c r="H16" s="13">
        <f t="shared" si="0"/>
        <v>2</v>
      </c>
      <c r="I16" t="str" cm="1">
        <f t="array" ref="I16">_xlfn.IFS(H16&lt;1,"No",H16=1,"Yes",H16&gt;1,_xlfn.TEXTJOIN("",TRUE,"Yes x",H16))</f>
        <v>Yes x2</v>
      </c>
      <c r="J16" s="13">
        <f t="shared" si="1"/>
        <v>1</v>
      </c>
      <c r="K16" s="13">
        <f t="shared" si="2"/>
        <v>1</v>
      </c>
      <c r="L16" s="13" t="str" cm="1">
        <f t="array" ref="L16">_xlfn.IFS(J16&lt;1,"",J16=1,"Pass",J16&gt;1,_xlfn.TEXTJOIN("",TRUE,"Pass x",J16))</f>
        <v>Pass</v>
      </c>
      <c r="M16" s="13" t="str" cm="1">
        <f t="array" ref="M16">_xlfn.IFS(K16&lt;1,"",K16=1,"Fail",K16&gt;1,_xlfn.TEXTJOIN("",TRUE,"Fail x",K16))</f>
        <v>Fail</v>
      </c>
      <c r="N16" t="str">
        <f t="shared" si="3"/>
        <v>Pass, Fail</v>
      </c>
    </row>
    <row r="17" spans="8:14">
      <c r="H17" s="13">
        <f t="shared" si="0"/>
        <v>2</v>
      </c>
      <c r="I17" t="str" cm="1">
        <f t="array" ref="I17">_xlfn.IFS(H17&lt;1,"No",H17=1,"Yes",H17&gt;1,_xlfn.TEXTJOIN("",TRUE,"Yes x",H17))</f>
        <v>Yes x2</v>
      </c>
      <c r="J17" s="13">
        <f t="shared" si="1"/>
        <v>1</v>
      </c>
      <c r="K17" s="13">
        <f t="shared" si="2"/>
        <v>1</v>
      </c>
      <c r="L17" s="13" t="str" cm="1">
        <f t="array" ref="L17">_xlfn.IFS(J17&lt;1,"",J17=1,"Pass",J17&gt;1,_xlfn.TEXTJOIN("",TRUE,"Pass x",J17))</f>
        <v>Pass</v>
      </c>
      <c r="M17" s="13" t="str" cm="1">
        <f t="array" ref="M17">_xlfn.IFS(K17&lt;1,"",K17=1,"Fail",K17&gt;1,_xlfn.TEXTJOIN("",TRUE,"Fail x",K17))</f>
        <v>Fail</v>
      </c>
      <c r="N17" t="str">
        <f t="shared" si="3"/>
        <v>Pass, Fail</v>
      </c>
    </row>
    <row r="18" spans="8:14">
      <c r="H18" s="13">
        <f t="shared" si="0"/>
        <v>2</v>
      </c>
      <c r="I18" t="str" cm="1">
        <f t="array" ref="I18">_xlfn.IFS(H18&lt;1,"No",H18=1,"Yes",H18&gt;1,_xlfn.TEXTJOIN("",TRUE,"Yes x",H18))</f>
        <v>Yes x2</v>
      </c>
      <c r="J18" s="13">
        <f t="shared" si="1"/>
        <v>1</v>
      </c>
      <c r="K18" s="13">
        <f t="shared" si="2"/>
        <v>1</v>
      </c>
      <c r="L18" s="13" t="str" cm="1">
        <f t="array" ref="L18">_xlfn.IFS(J18&lt;1,"",J18=1,"Pass",J18&gt;1,_xlfn.TEXTJOIN("",TRUE,"Pass x",J18))</f>
        <v>Pass</v>
      </c>
      <c r="M18" s="13" t="str" cm="1">
        <f t="array" ref="M18">_xlfn.IFS(K18&lt;1,"",K18=1,"Fail",K18&gt;1,_xlfn.TEXTJOIN("",TRUE,"Fail x",K18))</f>
        <v>Fail</v>
      </c>
      <c r="N18" t="str">
        <f t="shared" si="3"/>
        <v>Pass, Fail</v>
      </c>
    </row>
    <row r="19" spans="8:14">
      <c r="H19" s="13">
        <f t="shared" si="0"/>
        <v>2</v>
      </c>
      <c r="I19" t="str" cm="1">
        <f t="array" ref="I19">_xlfn.IFS(H19&lt;1,"No",H19=1,"Yes",H19&gt;1,_xlfn.TEXTJOIN("",TRUE,"Yes x",H19))</f>
        <v>Yes x2</v>
      </c>
      <c r="J19" s="13">
        <f t="shared" si="1"/>
        <v>1</v>
      </c>
      <c r="K19" s="13">
        <f t="shared" si="2"/>
        <v>1</v>
      </c>
      <c r="L19" s="13" t="str" cm="1">
        <f t="array" ref="L19">_xlfn.IFS(J19&lt;1,"",J19=1,"Pass",J19&gt;1,_xlfn.TEXTJOIN("",TRUE,"Pass x",J19))</f>
        <v>Pass</v>
      </c>
      <c r="M19" s="13" t="str" cm="1">
        <f t="array" ref="M19">_xlfn.IFS(K19&lt;1,"",K19=1,"Fail",K19&gt;1,_xlfn.TEXTJOIN("",TRUE,"Fail x",K19))</f>
        <v>Fail</v>
      </c>
      <c r="N19" t="str">
        <f t="shared" si="3"/>
        <v>Pass, Fail</v>
      </c>
    </row>
    <row r="20" spans="8:14">
      <c r="H20" s="13">
        <f t="shared" si="0"/>
        <v>2</v>
      </c>
      <c r="I20" t="str" cm="1">
        <f t="array" ref="I20">_xlfn.IFS(H20&lt;1,"No",H20=1,"Yes",H20&gt;1,_xlfn.TEXTJOIN("",TRUE,"Yes x",H20))</f>
        <v>Yes x2</v>
      </c>
      <c r="J20" s="13">
        <f t="shared" si="1"/>
        <v>1</v>
      </c>
      <c r="K20" s="13">
        <f t="shared" si="2"/>
        <v>1</v>
      </c>
      <c r="L20" s="13" t="str" cm="1">
        <f t="array" ref="L20">_xlfn.IFS(J20&lt;1,"",J20=1,"Pass",J20&gt;1,_xlfn.TEXTJOIN("",TRUE,"Pass x",J20))</f>
        <v>Pass</v>
      </c>
      <c r="M20" s="13" t="str" cm="1">
        <f t="array" ref="M20">_xlfn.IFS(K20&lt;1,"",K20=1,"Fail",K20&gt;1,_xlfn.TEXTJOIN("",TRUE,"Fail x",K20))</f>
        <v>Fail</v>
      </c>
      <c r="N20" t="str">
        <f t="shared" si="3"/>
        <v>Pass, Fail</v>
      </c>
    </row>
    <row r="21" spans="8:14">
      <c r="H21" s="13">
        <f t="shared" si="0"/>
        <v>2</v>
      </c>
      <c r="I21" t="str" cm="1">
        <f t="array" ref="I21">_xlfn.IFS(H21&lt;1,"No",H21=1,"Yes",H21&gt;1,_xlfn.TEXTJOIN("",TRUE,"Yes x",H21))</f>
        <v>Yes x2</v>
      </c>
      <c r="J21" s="13">
        <f t="shared" si="1"/>
        <v>1</v>
      </c>
      <c r="K21" s="13">
        <f t="shared" si="2"/>
        <v>1</v>
      </c>
      <c r="L21" s="13" t="str" cm="1">
        <f t="array" ref="L21">_xlfn.IFS(J21&lt;1,"",J21=1,"Pass",J21&gt;1,_xlfn.TEXTJOIN("",TRUE,"Pass x",J21))</f>
        <v>Pass</v>
      </c>
      <c r="M21" s="13" t="str" cm="1">
        <f t="array" ref="M21">_xlfn.IFS(K21&lt;1,"",K21=1,"Fail",K21&gt;1,_xlfn.TEXTJOIN("",TRUE,"Fail x",K21))</f>
        <v>Fail</v>
      </c>
      <c r="N21" t="str">
        <f t="shared" si="3"/>
        <v>Pass, Fail</v>
      </c>
    </row>
    <row r="22" spans="8:14">
      <c r="H22" s="13">
        <f t="shared" si="0"/>
        <v>2</v>
      </c>
      <c r="I22" t="str" cm="1">
        <f t="array" ref="I22">_xlfn.IFS(H22&lt;1,"No",H22=1,"Yes",H22&gt;1,_xlfn.TEXTJOIN("",TRUE,"Yes x",H22))</f>
        <v>Yes x2</v>
      </c>
      <c r="J22" s="13">
        <f t="shared" si="1"/>
        <v>1</v>
      </c>
      <c r="K22" s="13">
        <f t="shared" si="2"/>
        <v>1</v>
      </c>
      <c r="L22" s="13" t="str" cm="1">
        <f t="array" ref="L22">_xlfn.IFS(J22&lt;1,"",J22=1,"Pass",J22&gt;1,_xlfn.TEXTJOIN("",TRUE,"Pass x",J22))</f>
        <v>Pass</v>
      </c>
      <c r="M22" s="13" t="str" cm="1">
        <f t="array" ref="M22">_xlfn.IFS(K22&lt;1,"",K22=1,"Fail",K22&gt;1,_xlfn.TEXTJOIN("",TRUE,"Fail x",K22))</f>
        <v>Fail</v>
      </c>
      <c r="N22" t="str">
        <f t="shared" si="3"/>
        <v>Pass, Fail</v>
      </c>
    </row>
    <row r="23" spans="8:14">
      <c r="H23" s="13">
        <f t="shared" si="0"/>
        <v>2</v>
      </c>
      <c r="I23" t="str" cm="1">
        <f t="array" ref="I23">_xlfn.IFS(H23&lt;1,"No",H23=1,"Yes",H23&gt;1,_xlfn.TEXTJOIN("",TRUE,"Yes x",H23))</f>
        <v>Yes x2</v>
      </c>
      <c r="J23" s="13">
        <f t="shared" si="1"/>
        <v>1</v>
      </c>
      <c r="K23" s="13">
        <f t="shared" si="2"/>
        <v>1</v>
      </c>
      <c r="L23" s="13" t="str" cm="1">
        <f t="array" ref="L23">_xlfn.IFS(J23&lt;1,"",J23=1,"Pass",J23&gt;1,_xlfn.TEXTJOIN("",TRUE,"Pass x",J23))</f>
        <v>Pass</v>
      </c>
      <c r="M23" s="13" t="str" cm="1">
        <f t="array" ref="M23">_xlfn.IFS(K23&lt;1,"",K23=1,"Fail",K23&gt;1,_xlfn.TEXTJOIN("",TRUE,"Fail x",K23))</f>
        <v>Fail</v>
      </c>
      <c r="N23" t="str">
        <f t="shared" si="3"/>
        <v>Pass, Fail</v>
      </c>
    </row>
    <row r="24" spans="8:14">
      <c r="H24" s="13">
        <f t="shared" si="0"/>
        <v>2</v>
      </c>
      <c r="I24" t="str" cm="1">
        <f t="array" ref="I24">_xlfn.IFS(H24&lt;1,"No",H24=1,"Yes",H24&gt;1,_xlfn.TEXTJOIN("",TRUE,"Yes x",H24))</f>
        <v>Yes x2</v>
      </c>
      <c r="J24" s="13">
        <f t="shared" si="1"/>
        <v>1</v>
      </c>
      <c r="K24" s="13">
        <f t="shared" si="2"/>
        <v>1</v>
      </c>
      <c r="L24" s="13" t="str" cm="1">
        <f t="array" ref="L24">_xlfn.IFS(J24&lt;1,"",J24=1,"Pass",J24&gt;1,_xlfn.TEXTJOIN("",TRUE,"Pass x",J24))</f>
        <v>Pass</v>
      </c>
      <c r="M24" s="13" t="str" cm="1">
        <f t="array" ref="M24">_xlfn.IFS(K24&lt;1,"",K24=1,"Fail",K24&gt;1,_xlfn.TEXTJOIN("",TRUE,"Fail x",K24))</f>
        <v>Fail</v>
      </c>
      <c r="N24" t="str">
        <f t="shared" si="3"/>
        <v>Pass, Fail</v>
      </c>
    </row>
    <row r="25" spans="8:14">
      <c r="H25" s="13">
        <f t="shared" si="0"/>
        <v>2</v>
      </c>
      <c r="I25" t="str" cm="1">
        <f t="array" ref="I25">_xlfn.IFS(H25&lt;1,"No",H25=1,"Yes",H25&gt;1,_xlfn.TEXTJOIN("",TRUE,"Yes x",H25))</f>
        <v>Yes x2</v>
      </c>
      <c r="J25" s="13">
        <f t="shared" si="1"/>
        <v>1</v>
      </c>
      <c r="K25" s="13">
        <f t="shared" si="2"/>
        <v>1</v>
      </c>
      <c r="L25" s="13" t="str" cm="1">
        <f t="array" ref="L25">_xlfn.IFS(J25&lt;1,"",J25=1,"Pass",J25&gt;1,_xlfn.TEXTJOIN("",TRUE,"Pass x",J25))</f>
        <v>Pass</v>
      </c>
      <c r="M25" s="13" t="str" cm="1">
        <f t="array" ref="M25">_xlfn.IFS(K25&lt;1,"",K25=1,"Fail",K25&gt;1,_xlfn.TEXTJOIN("",TRUE,"Fail x",K25))</f>
        <v>Fail</v>
      </c>
      <c r="N25" t="str">
        <f t="shared" si="3"/>
        <v>Pass, Fail</v>
      </c>
    </row>
    <row r="26" spans="8:14">
      <c r="H26" s="13">
        <f t="shared" si="0"/>
        <v>2</v>
      </c>
      <c r="I26" t="str" cm="1">
        <f t="array" ref="I26">_xlfn.IFS(H26&lt;1,"No",H26=1,"Yes",H26&gt;1,_xlfn.TEXTJOIN("",TRUE,"Yes x",H26))</f>
        <v>Yes x2</v>
      </c>
      <c r="J26" s="13">
        <f t="shared" si="1"/>
        <v>1</v>
      </c>
      <c r="K26" s="13">
        <f t="shared" si="2"/>
        <v>1</v>
      </c>
      <c r="L26" s="13" t="str" cm="1">
        <f t="array" ref="L26">_xlfn.IFS(J26&lt;1,"",J26=1,"Pass",J26&gt;1,_xlfn.TEXTJOIN("",TRUE,"Pass x",J26))</f>
        <v>Pass</v>
      </c>
      <c r="M26" s="13" t="str" cm="1">
        <f t="array" ref="M26">_xlfn.IFS(K26&lt;1,"",K26=1,"Fail",K26&gt;1,_xlfn.TEXTJOIN("",TRUE,"Fail x",K26))</f>
        <v>Fail</v>
      </c>
      <c r="N26" t="str">
        <f t="shared" si="3"/>
        <v>Pass, Fail</v>
      </c>
    </row>
    <row r="27" spans="8:14">
      <c r="H27" s="13">
        <f t="shared" si="0"/>
        <v>2</v>
      </c>
      <c r="I27" t="str" cm="1">
        <f t="array" ref="I27">_xlfn.IFS(H27&lt;1,"No",H27=1,"Yes",H27&gt;1,_xlfn.TEXTJOIN("",TRUE,"Yes x",H27))</f>
        <v>Yes x2</v>
      </c>
      <c r="J27" s="13">
        <f t="shared" si="1"/>
        <v>1</v>
      </c>
      <c r="K27" s="13">
        <f t="shared" si="2"/>
        <v>1</v>
      </c>
      <c r="L27" s="13" t="str" cm="1">
        <f t="array" ref="L27">_xlfn.IFS(J27&lt;1,"",J27=1,"Pass",J27&gt;1,_xlfn.TEXTJOIN("",TRUE,"Pass x",J27))</f>
        <v>Pass</v>
      </c>
      <c r="M27" s="13" t="str" cm="1">
        <f t="array" ref="M27">_xlfn.IFS(K27&lt;1,"",K27=1,"Fail",K27&gt;1,_xlfn.TEXTJOIN("",TRUE,"Fail x",K27))</f>
        <v>Fail</v>
      </c>
      <c r="N27" t="str">
        <f t="shared" si="3"/>
        <v>Pass, Fail</v>
      </c>
    </row>
    <row r="28" spans="8:14">
      <c r="H28" s="13">
        <f t="shared" si="0"/>
        <v>2</v>
      </c>
      <c r="I28" t="str" cm="1">
        <f t="array" ref="I28">_xlfn.IFS(H28&lt;1,"No",H28=1,"Yes",H28&gt;1,_xlfn.TEXTJOIN("",TRUE,"Yes x",H28))</f>
        <v>Yes x2</v>
      </c>
      <c r="J28" s="13">
        <f t="shared" si="1"/>
        <v>1</v>
      </c>
      <c r="K28" s="13">
        <f t="shared" si="2"/>
        <v>1</v>
      </c>
      <c r="L28" s="13" t="str" cm="1">
        <f t="array" ref="L28">_xlfn.IFS(J28&lt;1,"",J28=1,"Pass",J28&gt;1,_xlfn.TEXTJOIN("",TRUE,"Pass x",J28))</f>
        <v>Pass</v>
      </c>
      <c r="M28" s="13" t="str" cm="1">
        <f t="array" ref="M28">_xlfn.IFS(K28&lt;1,"",K28=1,"Fail",K28&gt;1,_xlfn.TEXTJOIN("",TRUE,"Fail x",K28))</f>
        <v>Fail</v>
      </c>
      <c r="N28" t="str">
        <f t="shared" si="3"/>
        <v>Pass, Fail</v>
      </c>
    </row>
    <row r="29" spans="8:14">
      <c r="H29" s="13">
        <f t="shared" si="0"/>
        <v>2</v>
      </c>
      <c r="I29" t="str" cm="1">
        <f t="array" ref="I29">_xlfn.IFS(H29&lt;1,"No",H29=1,"Yes",H29&gt;1,_xlfn.TEXTJOIN("",TRUE,"Yes x",H29))</f>
        <v>Yes x2</v>
      </c>
      <c r="J29" s="13">
        <f t="shared" si="1"/>
        <v>1</v>
      </c>
      <c r="K29" s="13">
        <f t="shared" si="2"/>
        <v>1</v>
      </c>
      <c r="L29" s="13" t="str" cm="1">
        <f t="array" ref="L29">_xlfn.IFS(J29&lt;1,"",J29=1,"Pass",J29&gt;1,_xlfn.TEXTJOIN("",TRUE,"Pass x",J29))</f>
        <v>Pass</v>
      </c>
      <c r="M29" s="13" t="str" cm="1">
        <f t="array" ref="M29">_xlfn.IFS(K29&lt;1,"",K29=1,"Fail",K29&gt;1,_xlfn.TEXTJOIN("",TRUE,"Fail x",K29))</f>
        <v>Fail</v>
      </c>
      <c r="N29" t="str">
        <f t="shared" si="3"/>
        <v>Pass, Fail</v>
      </c>
    </row>
    <row r="30" spans="8:14">
      <c r="H30" s="13">
        <f t="shared" si="0"/>
        <v>2</v>
      </c>
      <c r="I30" t="str" cm="1">
        <f t="array" ref="I30">_xlfn.IFS(H30&lt;1,"No",H30=1,"Yes",H30&gt;1,_xlfn.TEXTJOIN("",TRUE,"Yes x",H30))</f>
        <v>Yes x2</v>
      </c>
      <c r="J30" s="13">
        <f t="shared" si="1"/>
        <v>1</v>
      </c>
      <c r="K30" s="13">
        <f t="shared" si="2"/>
        <v>1</v>
      </c>
      <c r="L30" s="13" t="str" cm="1">
        <f t="array" ref="L30">_xlfn.IFS(J30&lt;1,"",J30=1,"Pass",J30&gt;1,_xlfn.TEXTJOIN("",TRUE,"Pass x",J30))</f>
        <v>Pass</v>
      </c>
      <c r="M30" s="13" t="str" cm="1">
        <f t="array" ref="M30">_xlfn.IFS(K30&lt;1,"",K30=1,"Fail",K30&gt;1,_xlfn.TEXTJOIN("",TRUE,"Fail x",K30))</f>
        <v>Fail</v>
      </c>
      <c r="N30" t="str">
        <f t="shared" si="3"/>
        <v>Pass, Fail</v>
      </c>
    </row>
    <row r="31" spans="8:14">
      <c r="H31" s="13">
        <f t="shared" si="0"/>
        <v>2</v>
      </c>
      <c r="I31" t="str" cm="1">
        <f t="array" ref="I31">_xlfn.IFS(H31&lt;1,"No",H31=1,"Yes",H31&gt;1,_xlfn.TEXTJOIN("",TRUE,"Yes x",H31))</f>
        <v>Yes x2</v>
      </c>
      <c r="J31" s="13">
        <f t="shared" si="1"/>
        <v>1</v>
      </c>
      <c r="K31" s="13">
        <f t="shared" si="2"/>
        <v>1</v>
      </c>
      <c r="L31" s="13" t="str" cm="1">
        <f t="array" ref="L31">_xlfn.IFS(J31&lt;1,"",J31=1,"Pass",J31&gt;1,_xlfn.TEXTJOIN("",TRUE,"Pass x",J31))</f>
        <v>Pass</v>
      </c>
      <c r="M31" s="13" t="str" cm="1">
        <f t="array" ref="M31">_xlfn.IFS(K31&lt;1,"",K31=1,"Fail",K31&gt;1,_xlfn.TEXTJOIN("",TRUE,"Fail x",K31))</f>
        <v>Fail</v>
      </c>
      <c r="N31" t="str">
        <f t="shared" si="3"/>
        <v>Pass, Fail</v>
      </c>
    </row>
    <row r="32" spans="8:14">
      <c r="H32" s="13">
        <f t="shared" si="0"/>
        <v>2</v>
      </c>
      <c r="I32" t="str" cm="1">
        <f t="array" ref="I32">_xlfn.IFS(H32&lt;1,"No",H32=1,"Yes",H32&gt;1,_xlfn.TEXTJOIN("",TRUE,"Yes x",H32))</f>
        <v>Yes x2</v>
      </c>
      <c r="J32" s="13">
        <f t="shared" si="1"/>
        <v>1</v>
      </c>
      <c r="K32" s="13">
        <f t="shared" si="2"/>
        <v>1</v>
      </c>
      <c r="L32" s="13" t="str" cm="1">
        <f t="array" ref="L32">_xlfn.IFS(J32&lt;1,"",J32=1,"Pass",J32&gt;1,_xlfn.TEXTJOIN("",TRUE,"Pass x",J32))</f>
        <v>Pass</v>
      </c>
      <c r="M32" s="13" t="str" cm="1">
        <f t="array" ref="M32">_xlfn.IFS(K32&lt;1,"",K32=1,"Fail",K32&gt;1,_xlfn.TEXTJOIN("",TRUE,"Fail x",K32))</f>
        <v>Fail</v>
      </c>
      <c r="N32" t="str">
        <f t="shared" si="3"/>
        <v>Pass, Fail</v>
      </c>
    </row>
    <row r="33" spans="8:14">
      <c r="H33" s="13">
        <f t="shared" si="0"/>
        <v>2</v>
      </c>
      <c r="I33" t="str" cm="1">
        <f t="array" ref="I33">_xlfn.IFS(H33&lt;1,"No",H33=1,"Yes",H33&gt;1,_xlfn.TEXTJOIN("",TRUE,"Yes x",H33))</f>
        <v>Yes x2</v>
      </c>
      <c r="J33" s="13">
        <f t="shared" si="1"/>
        <v>1</v>
      </c>
      <c r="K33" s="13">
        <f t="shared" si="2"/>
        <v>1</v>
      </c>
      <c r="L33" s="13" t="str" cm="1">
        <f t="array" ref="L33">_xlfn.IFS(J33&lt;1,"",J33=1,"Pass",J33&gt;1,_xlfn.TEXTJOIN("",TRUE,"Pass x",J33))</f>
        <v>Pass</v>
      </c>
      <c r="M33" s="13" t="str" cm="1">
        <f t="array" ref="M33">_xlfn.IFS(K33&lt;1,"",K33=1,"Fail",K33&gt;1,_xlfn.TEXTJOIN("",TRUE,"Fail x",K33))</f>
        <v>Fail</v>
      </c>
      <c r="N33" t="str">
        <f t="shared" si="3"/>
        <v>Pass, Fail</v>
      </c>
    </row>
    <row r="34" spans="8:14">
      <c r="H34" s="13">
        <f t="shared" si="0"/>
        <v>2</v>
      </c>
      <c r="I34" t="str" cm="1">
        <f t="array" ref="I34">_xlfn.IFS(H34&lt;1,"No",H34=1,"Yes",H34&gt;1,_xlfn.TEXTJOIN("",TRUE,"Yes x",H34))</f>
        <v>Yes x2</v>
      </c>
      <c r="J34" s="13">
        <f t="shared" si="1"/>
        <v>1</v>
      </c>
      <c r="K34" s="13">
        <f t="shared" si="2"/>
        <v>1</v>
      </c>
      <c r="L34" s="13" t="str" cm="1">
        <f t="array" ref="L34">_xlfn.IFS(J34&lt;1,"",J34=1,"Pass",J34&gt;1,_xlfn.TEXTJOIN("",TRUE,"Pass x",J34))</f>
        <v>Pass</v>
      </c>
      <c r="M34" s="13" t="str" cm="1">
        <f t="array" ref="M34">_xlfn.IFS(K34&lt;1,"",K34=1,"Fail",K34&gt;1,_xlfn.TEXTJOIN("",TRUE,"Fail x",K34))</f>
        <v>Fail</v>
      </c>
      <c r="N34" t="str">
        <f t="shared" si="3"/>
        <v>Pass, Fail</v>
      </c>
    </row>
    <row r="35" spans="8:14">
      <c r="H35" s="13">
        <f t="shared" si="0"/>
        <v>2</v>
      </c>
      <c r="I35" t="str" cm="1">
        <f t="array" ref="I35">_xlfn.IFS(H35&lt;1,"No",H35=1,"Yes",H35&gt;1,_xlfn.TEXTJOIN("",TRUE,"Yes x",H35))</f>
        <v>Yes x2</v>
      </c>
      <c r="J35" s="13">
        <f t="shared" si="1"/>
        <v>1</v>
      </c>
      <c r="K35" s="13">
        <f t="shared" si="2"/>
        <v>1</v>
      </c>
      <c r="L35" s="13" t="str" cm="1">
        <f t="array" ref="L35">_xlfn.IFS(J35&lt;1,"",J35=1,"Pass",J35&gt;1,_xlfn.TEXTJOIN("",TRUE,"Pass x",J35))</f>
        <v>Pass</v>
      </c>
      <c r="M35" s="13" t="str" cm="1">
        <f t="array" ref="M35">_xlfn.IFS(K35&lt;1,"",K35=1,"Fail",K35&gt;1,_xlfn.TEXTJOIN("",TRUE,"Fail x",K35))</f>
        <v>Fail</v>
      </c>
      <c r="N35" t="str">
        <f t="shared" si="3"/>
        <v>Pass, Fail</v>
      </c>
    </row>
    <row r="36" spans="8:14">
      <c r="H36" s="13">
        <f t="shared" si="0"/>
        <v>2</v>
      </c>
      <c r="I36" t="str" cm="1">
        <f t="array" ref="I36">_xlfn.IFS(H36&lt;1,"No",H36=1,"Yes",H36&gt;1,_xlfn.TEXTJOIN("",TRUE,"Yes x",H36))</f>
        <v>Yes x2</v>
      </c>
      <c r="J36" s="13">
        <f t="shared" si="1"/>
        <v>1</v>
      </c>
      <c r="K36" s="13">
        <f t="shared" si="2"/>
        <v>1</v>
      </c>
      <c r="L36" s="13" t="str" cm="1">
        <f t="array" ref="L36">_xlfn.IFS(J36&lt;1,"",J36=1,"Pass",J36&gt;1,_xlfn.TEXTJOIN("",TRUE,"Pass x",J36))</f>
        <v>Pass</v>
      </c>
      <c r="M36" s="13" t="str" cm="1">
        <f t="array" ref="M36">_xlfn.IFS(K36&lt;1,"",K36=1,"Fail",K36&gt;1,_xlfn.TEXTJOIN("",TRUE,"Fail x",K36))</f>
        <v>Fail</v>
      </c>
      <c r="N36" t="str">
        <f t="shared" si="3"/>
        <v>Pass, Fail</v>
      </c>
    </row>
    <row r="37" spans="8:14">
      <c r="H37" s="13">
        <f t="shared" si="0"/>
        <v>2</v>
      </c>
      <c r="I37" t="str" cm="1">
        <f t="array" ref="I37">_xlfn.IFS(H37&lt;1,"No",H37=1,"Yes",H37&gt;1,_xlfn.TEXTJOIN("",TRUE,"Yes x",H37))</f>
        <v>Yes x2</v>
      </c>
      <c r="J37" s="13">
        <f t="shared" si="1"/>
        <v>1</v>
      </c>
      <c r="K37" s="13">
        <f t="shared" si="2"/>
        <v>1</v>
      </c>
      <c r="L37" s="13" t="str" cm="1">
        <f t="array" ref="L37">_xlfn.IFS(J37&lt;1,"",J37=1,"Pass",J37&gt;1,_xlfn.TEXTJOIN("",TRUE,"Pass x",J37))</f>
        <v>Pass</v>
      </c>
      <c r="M37" s="13" t="str" cm="1">
        <f t="array" ref="M37">_xlfn.IFS(K37&lt;1,"",K37=1,"Fail",K37&gt;1,_xlfn.TEXTJOIN("",TRUE,"Fail x",K37))</f>
        <v>Fail</v>
      </c>
      <c r="N37" t="str">
        <f t="shared" si="3"/>
        <v>Pass, Fail</v>
      </c>
    </row>
    <row r="38" spans="8:14">
      <c r="H38" s="13">
        <f t="shared" si="0"/>
        <v>2</v>
      </c>
      <c r="I38" t="str" cm="1">
        <f t="array" ref="I38">_xlfn.IFS(H38&lt;1,"No",H38=1,"Yes",H38&gt;1,_xlfn.TEXTJOIN("",TRUE,"Yes x",H38))</f>
        <v>Yes x2</v>
      </c>
      <c r="J38" s="13">
        <f t="shared" si="1"/>
        <v>1</v>
      </c>
      <c r="K38" s="13">
        <f t="shared" si="2"/>
        <v>1</v>
      </c>
      <c r="L38" s="13" t="str" cm="1">
        <f t="array" ref="L38">_xlfn.IFS(J38&lt;1,"",J38=1,"Pass",J38&gt;1,_xlfn.TEXTJOIN("",TRUE,"Pass x",J38))</f>
        <v>Pass</v>
      </c>
      <c r="M38" s="13" t="str" cm="1">
        <f t="array" ref="M38">_xlfn.IFS(K38&lt;1,"",K38=1,"Fail",K38&gt;1,_xlfn.TEXTJOIN("",TRUE,"Fail x",K38))</f>
        <v>Fail</v>
      </c>
      <c r="N38" t="str">
        <f t="shared" si="3"/>
        <v>Pass, Fail</v>
      </c>
    </row>
    <row r="39" spans="8:14">
      <c r="H39" s="13">
        <f t="shared" si="0"/>
        <v>2</v>
      </c>
      <c r="I39" t="str" cm="1">
        <f t="array" ref="I39">_xlfn.IFS(H39&lt;1,"No",H39=1,"Yes",H39&gt;1,_xlfn.TEXTJOIN("",TRUE,"Yes x",H39))</f>
        <v>Yes x2</v>
      </c>
      <c r="J39" s="13">
        <f t="shared" si="1"/>
        <v>1</v>
      </c>
      <c r="K39" s="13">
        <f t="shared" si="2"/>
        <v>1</v>
      </c>
      <c r="L39" s="13" t="str" cm="1">
        <f t="array" ref="L39">_xlfn.IFS(J39&lt;1,"",J39=1,"Pass",J39&gt;1,_xlfn.TEXTJOIN("",TRUE,"Pass x",J39))</f>
        <v>Pass</v>
      </c>
      <c r="M39" s="13" t="str" cm="1">
        <f t="array" ref="M39">_xlfn.IFS(K39&lt;1,"",K39=1,"Fail",K39&gt;1,_xlfn.TEXTJOIN("",TRUE,"Fail x",K39))</f>
        <v>Fail</v>
      </c>
      <c r="N39" t="str">
        <f t="shared" si="3"/>
        <v>Pass, Fail</v>
      </c>
    </row>
    <row r="40" spans="8:14">
      <c r="H40" s="13">
        <f t="shared" si="0"/>
        <v>2</v>
      </c>
      <c r="I40" t="str" cm="1">
        <f t="array" ref="I40">_xlfn.IFS(H40&lt;1,"No",H40=1,"Yes",H40&gt;1,_xlfn.TEXTJOIN("",TRUE,"Yes x",H40))</f>
        <v>Yes x2</v>
      </c>
      <c r="J40" s="13">
        <f t="shared" si="1"/>
        <v>1</v>
      </c>
      <c r="K40" s="13">
        <f t="shared" si="2"/>
        <v>1</v>
      </c>
      <c r="L40" s="13" t="str" cm="1">
        <f t="array" ref="L40">_xlfn.IFS(J40&lt;1,"",J40=1,"Pass",J40&gt;1,_xlfn.TEXTJOIN("",TRUE,"Pass x",J40))</f>
        <v>Pass</v>
      </c>
      <c r="M40" s="13" t="str" cm="1">
        <f t="array" ref="M40">_xlfn.IFS(K40&lt;1,"",K40=1,"Fail",K40&gt;1,_xlfn.TEXTJOIN("",TRUE,"Fail x",K40))</f>
        <v>Fail</v>
      </c>
      <c r="N40" t="str">
        <f t="shared" si="3"/>
        <v>Pass, Fail</v>
      </c>
    </row>
    <row r="41" spans="8:14">
      <c r="H41" s="13">
        <f t="shared" si="0"/>
        <v>2</v>
      </c>
      <c r="I41" t="str" cm="1">
        <f t="array" ref="I41">_xlfn.IFS(H41&lt;1,"No",H41=1,"Yes",H41&gt;1,_xlfn.TEXTJOIN("",TRUE,"Yes x",H41))</f>
        <v>Yes x2</v>
      </c>
      <c r="J41" s="13">
        <f t="shared" si="1"/>
        <v>1</v>
      </c>
      <c r="K41" s="13">
        <f t="shared" si="2"/>
        <v>1</v>
      </c>
      <c r="L41" s="13" t="str" cm="1">
        <f t="array" ref="L41">_xlfn.IFS(J41&lt;1,"",J41=1,"Pass",J41&gt;1,_xlfn.TEXTJOIN("",TRUE,"Pass x",J41))</f>
        <v>Pass</v>
      </c>
      <c r="M41" s="13" t="str" cm="1">
        <f t="array" ref="M41">_xlfn.IFS(K41&lt;1,"",K41=1,"Fail",K41&gt;1,_xlfn.TEXTJOIN("",TRUE,"Fail x",K41))</f>
        <v>Fail</v>
      </c>
      <c r="N41" t="str">
        <f t="shared" si="3"/>
        <v>Pass, Fail</v>
      </c>
    </row>
    <row r="42" spans="8:14">
      <c r="H42" s="13">
        <f t="shared" si="0"/>
        <v>2</v>
      </c>
      <c r="I42" t="str" cm="1">
        <f t="array" ref="I42">_xlfn.IFS(H42&lt;1,"No",H42=1,"Yes",H42&gt;1,_xlfn.TEXTJOIN("",TRUE,"Yes x",H42))</f>
        <v>Yes x2</v>
      </c>
      <c r="J42" s="13">
        <f t="shared" si="1"/>
        <v>1</v>
      </c>
      <c r="K42" s="13">
        <f t="shared" si="2"/>
        <v>1</v>
      </c>
      <c r="L42" s="13" t="str" cm="1">
        <f t="array" ref="L42">_xlfn.IFS(J42&lt;1,"",J42=1,"Pass",J42&gt;1,_xlfn.TEXTJOIN("",TRUE,"Pass x",J42))</f>
        <v>Pass</v>
      </c>
      <c r="M42" s="13" t="str" cm="1">
        <f t="array" ref="M42">_xlfn.IFS(K42&lt;1,"",K42=1,"Fail",K42&gt;1,_xlfn.TEXTJOIN("",TRUE,"Fail x",K42))</f>
        <v>Fail</v>
      </c>
      <c r="N42" t="str">
        <f t="shared" si="3"/>
        <v>Pass, Fail</v>
      </c>
    </row>
    <row r="43" spans="8:14">
      <c r="H43" s="13">
        <f t="shared" si="0"/>
        <v>2</v>
      </c>
      <c r="I43" t="str" cm="1">
        <f t="array" ref="I43">_xlfn.IFS(H43&lt;1,"No",H43=1,"Yes",H43&gt;1,_xlfn.TEXTJOIN("",TRUE,"Yes x",H43))</f>
        <v>Yes x2</v>
      </c>
      <c r="J43" s="13">
        <f t="shared" si="1"/>
        <v>1</v>
      </c>
      <c r="K43" s="13">
        <f t="shared" si="2"/>
        <v>1</v>
      </c>
      <c r="L43" s="13" t="str" cm="1">
        <f t="array" ref="L43">_xlfn.IFS(J43&lt;1,"",J43=1,"Pass",J43&gt;1,_xlfn.TEXTJOIN("",TRUE,"Pass x",J43))</f>
        <v>Pass</v>
      </c>
      <c r="M43" s="13" t="str" cm="1">
        <f t="array" ref="M43">_xlfn.IFS(K43&lt;1,"",K43=1,"Fail",K43&gt;1,_xlfn.TEXTJOIN("",TRUE,"Fail x",K43))</f>
        <v>Fail</v>
      </c>
      <c r="N43" t="str">
        <f t="shared" si="3"/>
        <v>Pass, Fail</v>
      </c>
    </row>
    <row r="44" spans="8:14">
      <c r="H44" s="13">
        <f t="shared" si="0"/>
        <v>2</v>
      </c>
      <c r="I44" t="str" cm="1">
        <f t="array" ref="I44">_xlfn.IFS(H44&lt;1,"No",H44=1,"Yes",H44&gt;1,_xlfn.TEXTJOIN("",TRUE,"Yes x",H44))</f>
        <v>Yes x2</v>
      </c>
      <c r="J44" s="13">
        <f t="shared" si="1"/>
        <v>1</v>
      </c>
      <c r="K44" s="13">
        <f t="shared" si="2"/>
        <v>1</v>
      </c>
      <c r="L44" s="13" t="str" cm="1">
        <f t="array" ref="L44">_xlfn.IFS(J44&lt;1,"",J44=1,"Pass",J44&gt;1,_xlfn.TEXTJOIN("",TRUE,"Pass x",J44))</f>
        <v>Pass</v>
      </c>
      <c r="M44" s="13" t="str" cm="1">
        <f t="array" ref="M44">_xlfn.IFS(K44&lt;1,"",K44=1,"Fail",K44&gt;1,_xlfn.TEXTJOIN("",TRUE,"Fail x",K44))</f>
        <v>Fail</v>
      </c>
      <c r="N44" t="str">
        <f t="shared" si="3"/>
        <v>Pass, Fail</v>
      </c>
    </row>
    <row r="45" spans="8:14">
      <c r="H45" s="13">
        <f t="shared" si="0"/>
        <v>2</v>
      </c>
      <c r="I45" t="str" cm="1">
        <f t="array" ref="I45">_xlfn.IFS(H45&lt;1,"No",H45=1,"Yes",H45&gt;1,_xlfn.TEXTJOIN("",TRUE,"Yes x",H45))</f>
        <v>Yes x2</v>
      </c>
      <c r="J45" s="13">
        <f t="shared" si="1"/>
        <v>1</v>
      </c>
      <c r="K45" s="13">
        <f t="shared" si="2"/>
        <v>1</v>
      </c>
      <c r="L45" s="13" t="str" cm="1">
        <f t="array" ref="L45">_xlfn.IFS(J45&lt;1,"",J45=1,"Pass",J45&gt;1,_xlfn.TEXTJOIN("",TRUE,"Pass x",J45))</f>
        <v>Pass</v>
      </c>
      <c r="M45" s="13" t="str" cm="1">
        <f t="array" ref="M45">_xlfn.IFS(K45&lt;1,"",K45=1,"Fail",K45&gt;1,_xlfn.TEXTJOIN("",TRUE,"Fail x",K45))</f>
        <v>Fail</v>
      </c>
      <c r="N45" t="str">
        <f t="shared" si="3"/>
        <v>Pass, Fail</v>
      </c>
    </row>
    <row r="46" spans="8:14">
      <c r="H46" s="13">
        <f t="shared" si="0"/>
        <v>2</v>
      </c>
      <c r="I46" t="str" cm="1">
        <f t="array" ref="I46">_xlfn.IFS(H46&lt;1,"No",H46=1,"Yes",H46&gt;1,_xlfn.TEXTJOIN("",TRUE,"Yes x",H46))</f>
        <v>Yes x2</v>
      </c>
      <c r="J46" s="13">
        <f t="shared" si="1"/>
        <v>1</v>
      </c>
      <c r="K46" s="13">
        <f t="shared" si="2"/>
        <v>1</v>
      </c>
      <c r="L46" s="13" t="str" cm="1">
        <f t="array" ref="L46">_xlfn.IFS(J46&lt;1,"",J46=1,"Pass",J46&gt;1,_xlfn.TEXTJOIN("",TRUE,"Pass x",J46))</f>
        <v>Pass</v>
      </c>
      <c r="M46" s="13" t="str" cm="1">
        <f t="array" ref="M46">_xlfn.IFS(K46&lt;1,"",K46=1,"Fail",K46&gt;1,_xlfn.TEXTJOIN("",TRUE,"Fail x",K46))</f>
        <v>Fail</v>
      </c>
      <c r="N46" t="str">
        <f t="shared" si="3"/>
        <v>Pass, Fail</v>
      </c>
    </row>
    <row r="47" spans="8:14">
      <c r="H47" s="13">
        <f t="shared" si="0"/>
        <v>2</v>
      </c>
      <c r="I47" t="str" cm="1">
        <f t="array" ref="I47">_xlfn.IFS(H47&lt;1,"No",H47=1,"Yes",H47&gt;1,_xlfn.TEXTJOIN("",TRUE,"Yes x",H47))</f>
        <v>Yes x2</v>
      </c>
      <c r="J47" s="13">
        <f t="shared" si="1"/>
        <v>1</v>
      </c>
      <c r="K47" s="13">
        <f t="shared" si="2"/>
        <v>1</v>
      </c>
      <c r="L47" s="13" t="str" cm="1">
        <f t="array" ref="L47">_xlfn.IFS(J47&lt;1,"",J47=1,"Pass",J47&gt;1,_xlfn.TEXTJOIN("",TRUE,"Pass x",J47))</f>
        <v>Pass</v>
      </c>
      <c r="M47" s="13" t="str" cm="1">
        <f t="array" ref="M47">_xlfn.IFS(K47&lt;1,"",K47=1,"Fail",K47&gt;1,_xlfn.TEXTJOIN("",TRUE,"Fail x",K47))</f>
        <v>Fail</v>
      </c>
      <c r="N47" t="str">
        <f t="shared" si="3"/>
        <v>Pass, Fail</v>
      </c>
    </row>
    <row r="48" spans="8:14">
      <c r="H48" s="13">
        <f t="shared" si="0"/>
        <v>2</v>
      </c>
      <c r="I48" t="str" cm="1">
        <f t="array" ref="I48">_xlfn.IFS(H48&lt;1,"No",H48=1,"Yes",H48&gt;1,_xlfn.TEXTJOIN("",TRUE,"Yes x",H48))</f>
        <v>Yes x2</v>
      </c>
      <c r="J48" s="13">
        <f t="shared" si="1"/>
        <v>1</v>
      </c>
      <c r="K48" s="13">
        <f t="shared" si="2"/>
        <v>1</v>
      </c>
      <c r="L48" s="13" t="str" cm="1">
        <f t="array" ref="L48">_xlfn.IFS(J48&lt;1,"",J48=1,"Pass",J48&gt;1,_xlfn.TEXTJOIN("",TRUE,"Pass x",J48))</f>
        <v>Pass</v>
      </c>
      <c r="M48" s="13" t="str" cm="1">
        <f t="array" ref="M48">_xlfn.IFS(K48&lt;1,"",K48=1,"Fail",K48&gt;1,_xlfn.TEXTJOIN("",TRUE,"Fail x",K48))</f>
        <v>Fail</v>
      </c>
      <c r="N48" t="str">
        <f t="shared" si="3"/>
        <v>Pass, Fail</v>
      </c>
    </row>
    <row r="49" spans="8:14">
      <c r="H49" s="13">
        <f t="shared" si="0"/>
        <v>2</v>
      </c>
      <c r="I49" t="str" cm="1">
        <f t="array" ref="I49">_xlfn.IFS(H49&lt;1,"No",H49=1,"Yes",H49&gt;1,_xlfn.TEXTJOIN("",TRUE,"Yes x",H49))</f>
        <v>Yes x2</v>
      </c>
      <c r="J49" s="13">
        <f t="shared" si="1"/>
        <v>1</v>
      </c>
      <c r="K49" s="13">
        <f t="shared" si="2"/>
        <v>1</v>
      </c>
      <c r="L49" s="13" t="str" cm="1">
        <f t="array" ref="L49">_xlfn.IFS(J49&lt;1,"",J49=1,"Pass",J49&gt;1,_xlfn.TEXTJOIN("",TRUE,"Pass x",J49))</f>
        <v>Pass</v>
      </c>
      <c r="M49" s="13" t="str" cm="1">
        <f t="array" ref="M49">_xlfn.IFS(K49&lt;1,"",K49=1,"Fail",K49&gt;1,_xlfn.TEXTJOIN("",TRUE,"Fail x",K49))</f>
        <v>Fail</v>
      </c>
      <c r="N49" t="str">
        <f t="shared" si="3"/>
        <v>Pass, Fail</v>
      </c>
    </row>
    <row r="50" spans="8:14">
      <c r="H50" s="13">
        <f t="shared" si="0"/>
        <v>2</v>
      </c>
      <c r="I50" t="str" cm="1">
        <f t="array" ref="I50">_xlfn.IFS(H50&lt;1,"No",H50=1,"Yes",H50&gt;1,_xlfn.TEXTJOIN("",TRUE,"Yes x",H50))</f>
        <v>Yes x2</v>
      </c>
      <c r="J50" s="13">
        <f t="shared" si="1"/>
        <v>1</v>
      </c>
      <c r="K50" s="13">
        <f t="shared" si="2"/>
        <v>1</v>
      </c>
      <c r="L50" s="13" t="str" cm="1">
        <f t="array" ref="L50">_xlfn.IFS(J50&lt;1,"",J50=1,"Pass",J50&gt;1,_xlfn.TEXTJOIN("",TRUE,"Pass x",J50))</f>
        <v>Pass</v>
      </c>
      <c r="M50" s="13" t="str" cm="1">
        <f t="array" ref="M50">_xlfn.IFS(K50&lt;1,"",K50=1,"Fail",K50&gt;1,_xlfn.TEXTJOIN("",TRUE,"Fail x",K50))</f>
        <v>Fail</v>
      </c>
      <c r="N50" t="str">
        <f t="shared" si="3"/>
        <v>Pass, Fail</v>
      </c>
    </row>
    <row r="51" spans="8:14">
      <c r="H51" s="13">
        <f t="shared" si="0"/>
        <v>2</v>
      </c>
      <c r="I51" t="str" cm="1">
        <f t="array" ref="I51">_xlfn.IFS(H51&lt;1,"No",H51=1,"Yes",H51&gt;1,_xlfn.TEXTJOIN("",TRUE,"Yes x",H51))</f>
        <v>Yes x2</v>
      </c>
      <c r="J51" s="13">
        <f t="shared" si="1"/>
        <v>1</v>
      </c>
      <c r="K51" s="13">
        <f t="shared" si="2"/>
        <v>1</v>
      </c>
      <c r="L51" s="13" t="str" cm="1">
        <f t="array" ref="L51">_xlfn.IFS(J51&lt;1,"",J51=1,"Pass",J51&gt;1,_xlfn.TEXTJOIN("",TRUE,"Pass x",J51))</f>
        <v>Pass</v>
      </c>
      <c r="M51" s="13" t="str" cm="1">
        <f t="array" ref="M51">_xlfn.IFS(K51&lt;1,"",K51=1,"Fail",K51&gt;1,_xlfn.TEXTJOIN("",TRUE,"Fail x",K51))</f>
        <v>Fail</v>
      </c>
      <c r="N51" t="str">
        <f t="shared" si="3"/>
        <v>Pass, Fail</v>
      </c>
    </row>
    <row r="52" spans="8:14">
      <c r="H52" s="13">
        <f t="shared" si="0"/>
        <v>2</v>
      </c>
      <c r="I52" t="str" cm="1">
        <f t="array" ref="I52">_xlfn.IFS(H52&lt;1,"No",H52=1,"Yes",H52&gt;1,_xlfn.TEXTJOIN("",TRUE,"Yes x",H52))</f>
        <v>Yes x2</v>
      </c>
      <c r="J52" s="13">
        <f t="shared" si="1"/>
        <v>1</v>
      </c>
      <c r="K52" s="13">
        <f t="shared" si="2"/>
        <v>1</v>
      </c>
      <c r="L52" s="13" t="str" cm="1">
        <f t="array" ref="L52">_xlfn.IFS(J52&lt;1,"",J52=1,"Pass",J52&gt;1,_xlfn.TEXTJOIN("",TRUE,"Pass x",J52))</f>
        <v>Pass</v>
      </c>
      <c r="M52" s="13" t="str" cm="1">
        <f t="array" ref="M52">_xlfn.IFS(K52&lt;1,"",K52=1,"Fail",K52&gt;1,_xlfn.TEXTJOIN("",TRUE,"Fail x",K52))</f>
        <v>Fail</v>
      </c>
      <c r="N52" t="str">
        <f t="shared" si="3"/>
        <v>Pass, Fail</v>
      </c>
    </row>
    <row r="53" spans="8:14">
      <c r="H53" s="13">
        <f t="shared" si="0"/>
        <v>2</v>
      </c>
      <c r="I53" t="str" cm="1">
        <f t="array" ref="I53">_xlfn.IFS(H53&lt;1,"No",H53=1,"Yes",H53&gt;1,_xlfn.TEXTJOIN("",TRUE,"Yes x",H53))</f>
        <v>Yes x2</v>
      </c>
      <c r="J53" s="13">
        <f t="shared" si="1"/>
        <v>1</v>
      </c>
      <c r="K53" s="13">
        <f t="shared" si="2"/>
        <v>1</v>
      </c>
      <c r="L53" s="13" t="str" cm="1">
        <f t="array" ref="L53">_xlfn.IFS(J53&lt;1,"",J53=1,"Pass",J53&gt;1,_xlfn.TEXTJOIN("",TRUE,"Pass x",J53))</f>
        <v>Pass</v>
      </c>
      <c r="M53" s="13" t="str" cm="1">
        <f t="array" ref="M53">_xlfn.IFS(K53&lt;1,"",K53=1,"Fail",K53&gt;1,_xlfn.TEXTJOIN("",TRUE,"Fail x",K53))</f>
        <v>Fail</v>
      </c>
      <c r="N53" t="str">
        <f t="shared" si="3"/>
        <v>Pass, Fail</v>
      </c>
    </row>
    <row r="54" spans="8:14">
      <c r="H54" s="13">
        <f t="shared" si="0"/>
        <v>2</v>
      </c>
      <c r="I54" t="str" cm="1">
        <f t="array" ref="I54">_xlfn.IFS(H54&lt;1,"No",H54=1,"Yes",H54&gt;1,_xlfn.TEXTJOIN("",TRUE,"Yes x",H54))</f>
        <v>Yes x2</v>
      </c>
      <c r="J54" s="13">
        <f t="shared" si="1"/>
        <v>1</v>
      </c>
      <c r="K54" s="13">
        <f t="shared" si="2"/>
        <v>1</v>
      </c>
      <c r="L54" s="13" t="str" cm="1">
        <f t="array" ref="L54">_xlfn.IFS(J54&lt;1,"",J54=1,"Pass",J54&gt;1,_xlfn.TEXTJOIN("",TRUE,"Pass x",J54))</f>
        <v>Pass</v>
      </c>
      <c r="M54" s="13" t="str" cm="1">
        <f t="array" ref="M54">_xlfn.IFS(K54&lt;1,"",K54=1,"Fail",K54&gt;1,_xlfn.TEXTJOIN("",TRUE,"Fail x",K54))</f>
        <v>Fail</v>
      </c>
      <c r="N54" t="str">
        <f t="shared" si="3"/>
        <v>Pass, Fail</v>
      </c>
    </row>
    <row r="55" spans="8:14">
      <c r="H55" s="13">
        <f t="shared" si="0"/>
        <v>2</v>
      </c>
      <c r="I55" t="str" cm="1">
        <f t="array" ref="I55">_xlfn.IFS(H55&lt;1,"No",H55=1,"Yes",H55&gt;1,_xlfn.TEXTJOIN("",TRUE,"Yes x",H55))</f>
        <v>Yes x2</v>
      </c>
      <c r="J55" s="13">
        <f t="shared" si="1"/>
        <v>1</v>
      </c>
      <c r="K55" s="13">
        <f t="shared" si="2"/>
        <v>1</v>
      </c>
      <c r="L55" s="13" t="str" cm="1">
        <f t="array" ref="L55">_xlfn.IFS(J55&lt;1,"",J55=1,"Pass",J55&gt;1,_xlfn.TEXTJOIN("",TRUE,"Pass x",J55))</f>
        <v>Pass</v>
      </c>
      <c r="M55" s="13" t="str" cm="1">
        <f t="array" ref="M55">_xlfn.IFS(K55&lt;1,"",K55=1,"Fail",K55&gt;1,_xlfn.TEXTJOIN("",TRUE,"Fail x",K55))</f>
        <v>Fail</v>
      </c>
      <c r="N55" t="str">
        <f t="shared" si="3"/>
        <v>Pass, Fail</v>
      </c>
    </row>
    <row r="56" spans="8:14">
      <c r="H56" s="13">
        <f t="shared" si="0"/>
        <v>2</v>
      </c>
      <c r="I56" t="str" cm="1">
        <f t="array" ref="I56">_xlfn.IFS(H56&lt;1,"No",H56=1,"Yes",H56&gt;1,_xlfn.TEXTJOIN("",TRUE,"Yes x",H56))</f>
        <v>Yes x2</v>
      </c>
      <c r="J56" s="13">
        <f t="shared" si="1"/>
        <v>1</v>
      </c>
      <c r="K56" s="13">
        <f t="shared" si="2"/>
        <v>1</v>
      </c>
      <c r="L56" s="13" t="str" cm="1">
        <f t="array" ref="L56">_xlfn.IFS(J56&lt;1,"",J56=1,"Pass",J56&gt;1,_xlfn.TEXTJOIN("",TRUE,"Pass x",J56))</f>
        <v>Pass</v>
      </c>
      <c r="M56" s="13" t="str" cm="1">
        <f t="array" ref="M56">_xlfn.IFS(K56&lt;1,"",K56=1,"Fail",K56&gt;1,_xlfn.TEXTJOIN("",TRUE,"Fail x",K56))</f>
        <v>Fail</v>
      </c>
      <c r="N56" t="str">
        <f t="shared" si="3"/>
        <v>Pass, Fail</v>
      </c>
    </row>
    <row r="57" spans="8:14">
      <c r="H57" s="13">
        <f t="shared" si="0"/>
        <v>2</v>
      </c>
      <c r="I57" t="str" cm="1">
        <f t="array" ref="I57">_xlfn.IFS(H57&lt;1,"No",H57=1,"Yes",H57&gt;1,_xlfn.TEXTJOIN("",TRUE,"Yes x",H57))</f>
        <v>Yes x2</v>
      </c>
      <c r="J57" s="13">
        <f t="shared" si="1"/>
        <v>1</v>
      </c>
      <c r="K57" s="13">
        <f t="shared" si="2"/>
        <v>1</v>
      </c>
      <c r="L57" s="13" t="str" cm="1">
        <f t="array" ref="L57">_xlfn.IFS(J57&lt;1,"",J57=1,"Pass",J57&gt;1,_xlfn.TEXTJOIN("",TRUE,"Pass x",J57))</f>
        <v>Pass</v>
      </c>
      <c r="M57" s="13" t="str" cm="1">
        <f t="array" ref="M57">_xlfn.IFS(K57&lt;1,"",K57=1,"Fail",K57&gt;1,_xlfn.TEXTJOIN("",TRUE,"Fail x",K57))</f>
        <v>Fail</v>
      </c>
      <c r="N57" t="str">
        <f t="shared" si="3"/>
        <v>Pass, Fail</v>
      </c>
    </row>
    <row r="58" spans="8:14">
      <c r="H58" s="13">
        <f t="shared" si="0"/>
        <v>2</v>
      </c>
      <c r="I58" t="str" cm="1">
        <f t="array" ref="I58">_xlfn.IFS(H58&lt;1,"No",H58=1,"Yes",H58&gt;1,_xlfn.TEXTJOIN("",TRUE,"Yes x",H58))</f>
        <v>Yes x2</v>
      </c>
      <c r="J58" s="13">
        <f t="shared" si="1"/>
        <v>1</v>
      </c>
      <c r="K58" s="13">
        <f t="shared" si="2"/>
        <v>1</v>
      </c>
      <c r="L58" s="13" t="str" cm="1">
        <f t="array" ref="L58">_xlfn.IFS(J58&lt;1,"",J58=1,"Pass",J58&gt;1,_xlfn.TEXTJOIN("",TRUE,"Pass x",J58))</f>
        <v>Pass</v>
      </c>
      <c r="M58" s="13" t="str" cm="1">
        <f t="array" ref="M58">_xlfn.IFS(K58&lt;1,"",K58=1,"Fail",K58&gt;1,_xlfn.TEXTJOIN("",TRUE,"Fail x",K58))</f>
        <v>Fail</v>
      </c>
      <c r="N58" t="str">
        <f t="shared" si="3"/>
        <v>Pass, Fail</v>
      </c>
    </row>
    <row r="59" spans="8:14">
      <c r="H59" s="13">
        <f t="shared" si="0"/>
        <v>2</v>
      </c>
      <c r="I59" t="str" cm="1">
        <f t="array" ref="I59">_xlfn.IFS(H59&lt;1,"No",H59=1,"Yes",H59&gt;1,_xlfn.TEXTJOIN("",TRUE,"Yes x",H59))</f>
        <v>Yes x2</v>
      </c>
      <c r="J59" s="13">
        <f t="shared" si="1"/>
        <v>1</v>
      </c>
      <c r="K59" s="13">
        <f t="shared" si="2"/>
        <v>1</v>
      </c>
      <c r="L59" s="13" t="str" cm="1">
        <f t="array" ref="L59">_xlfn.IFS(J59&lt;1,"",J59=1,"Pass",J59&gt;1,_xlfn.TEXTJOIN("",TRUE,"Pass x",J59))</f>
        <v>Pass</v>
      </c>
      <c r="M59" s="13" t="str" cm="1">
        <f t="array" ref="M59">_xlfn.IFS(K59&lt;1,"",K59=1,"Fail",K59&gt;1,_xlfn.TEXTJOIN("",TRUE,"Fail x",K59))</f>
        <v>Fail</v>
      </c>
      <c r="N59" t="str">
        <f t="shared" si="3"/>
        <v>Pass, Fail</v>
      </c>
    </row>
    <row r="60" spans="8:14">
      <c r="H60" s="13">
        <f t="shared" si="0"/>
        <v>2</v>
      </c>
      <c r="I60" t="str" cm="1">
        <f t="array" ref="I60">_xlfn.IFS(H60&lt;1,"No",H60=1,"Yes",H60&gt;1,_xlfn.TEXTJOIN("",TRUE,"Yes x",H60))</f>
        <v>Yes x2</v>
      </c>
      <c r="J60" s="13">
        <f t="shared" si="1"/>
        <v>1</v>
      </c>
      <c r="K60" s="13">
        <f t="shared" si="2"/>
        <v>1</v>
      </c>
      <c r="L60" s="13" t="str" cm="1">
        <f t="array" ref="L60">_xlfn.IFS(J60&lt;1,"",J60=1,"Pass",J60&gt;1,_xlfn.TEXTJOIN("",TRUE,"Pass x",J60))</f>
        <v>Pass</v>
      </c>
      <c r="M60" s="13" t="str" cm="1">
        <f t="array" ref="M60">_xlfn.IFS(K60&lt;1,"",K60=1,"Fail",K60&gt;1,_xlfn.TEXTJOIN("",TRUE,"Fail x",K60))</f>
        <v>Fail</v>
      </c>
      <c r="N60" t="str">
        <f t="shared" si="3"/>
        <v>Pass, Fail</v>
      </c>
    </row>
    <row r="61" spans="8:14">
      <c r="H61" s="13">
        <f t="shared" si="0"/>
        <v>2</v>
      </c>
      <c r="I61" t="str" cm="1">
        <f t="array" ref="I61">_xlfn.IFS(H61&lt;1,"No",H61=1,"Yes",H61&gt;1,_xlfn.TEXTJOIN("",TRUE,"Yes x",H61))</f>
        <v>Yes x2</v>
      </c>
      <c r="J61" s="13">
        <f t="shared" si="1"/>
        <v>1</v>
      </c>
      <c r="K61" s="13">
        <f t="shared" si="2"/>
        <v>1</v>
      </c>
      <c r="L61" s="13" t="str" cm="1">
        <f t="array" ref="L61">_xlfn.IFS(J61&lt;1,"",J61=1,"Pass",J61&gt;1,_xlfn.TEXTJOIN("",TRUE,"Pass x",J61))</f>
        <v>Pass</v>
      </c>
      <c r="M61" s="13" t="str" cm="1">
        <f t="array" ref="M61">_xlfn.IFS(K61&lt;1,"",K61=1,"Fail",K61&gt;1,_xlfn.TEXTJOIN("",TRUE,"Fail x",K61))</f>
        <v>Fail</v>
      </c>
      <c r="N61" t="str">
        <f t="shared" si="3"/>
        <v>Pass, Fail</v>
      </c>
    </row>
    <row r="62" spans="8:14">
      <c r="H62" s="13">
        <f t="shared" si="0"/>
        <v>2</v>
      </c>
      <c r="I62" t="str" cm="1">
        <f t="array" ref="I62">_xlfn.IFS(H62&lt;1,"No",H62=1,"Yes",H62&gt;1,_xlfn.TEXTJOIN("",TRUE,"Yes x",H62))</f>
        <v>Yes x2</v>
      </c>
      <c r="J62" s="13">
        <f t="shared" si="1"/>
        <v>1</v>
      </c>
      <c r="K62" s="13">
        <f t="shared" si="2"/>
        <v>1</v>
      </c>
      <c r="L62" s="13" t="str" cm="1">
        <f t="array" ref="L62">_xlfn.IFS(J62&lt;1,"",J62=1,"Pass",J62&gt;1,_xlfn.TEXTJOIN("",TRUE,"Pass x",J62))</f>
        <v>Pass</v>
      </c>
      <c r="M62" s="13" t="str" cm="1">
        <f t="array" ref="M62">_xlfn.IFS(K62&lt;1,"",K62=1,"Fail",K62&gt;1,_xlfn.TEXTJOIN("",TRUE,"Fail x",K62))</f>
        <v>Fail</v>
      </c>
      <c r="N62" t="str">
        <f t="shared" si="3"/>
        <v>Pass, Fail</v>
      </c>
    </row>
    <row r="63" spans="8:14">
      <c r="H63" s="13">
        <f t="shared" si="0"/>
        <v>2</v>
      </c>
      <c r="I63" t="str" cm="1">
        <f t="array" ref="I63">_xlfn.IFS(H63&lt;1,"No",H63=1,"Yes",H63&gt;1,_xlfn.TEXTJOIN("",TRUE,"Yes x",H63))</f>
        <v>Yes x2</v>
      </c>
      <c r="J63" s="13">
        <f t="shared" si="1"/>
        <v>1</v>
      </c>
      <c r="K63" s="13">
        <f t="shared" si="2"/>
        <v>1</v>
      </c>
      <c r="L63" s="13" t="str" cm="1">
        <f t="array" ref="L63">_xlfn.IFS(J63&lt;1,"",J63=1,"Pass",J63&gt;1,_xlfn.TEXTJOIN("",TRUE,"Pass x",J63))</f>
        <v>Pass</v>
      </c>
      <c r="M63" s="13" t="str" cm="1">
        <f t="array" ref="M63">_xlfn.IFS(K63&lt;1,"",K63=1,"Fail",K63&gt;1,_xlfn.TEXTJOIN("",TRUE,"Fail x",K63))</f>
        <v>Fail</v>
      </c>
      <c r="N63" t="str">
        <f t="shared" si="3"/>
        <v>Pass, Fail</v>
      </c>
    </row>
    <row r="64" spans="8:14">
      <c r="H64" s="13">
        <f t="shared" si="0"/>
        <v>2</v>
      </c>
      <c r="I64" t="str" cm="1">
        <f t="array" ref="I64">_xlfn.IFS(H64&lt;1,"No",H64=1,"Yes",H64&gt;1,_xlfn.TEXTJOIN("",TRUE,"Yes x",H64))</f>
        <v>Yes x2</v>
      </c>
      <c r="J64" s="13">
        <f t="shared" si="1"/>
        <v>1</v>
      </c>
      <c r="K64" s="13">
        <f t="shared" si="2"/>
        <v>1</v>
      </c>
      <c r="L64" s="13" t="str" cm="1">
        <f t="array" ref="L64">_xlfn.IFS(J64&lt;1,"",J64=1,"Pass",J64&gt;1,_xlfn.TEXTJOIN("",TRUE,"Pass x",J64))</f>
        <v>Pass</v>
      </c>
      <c r="M64" s="13" t="str" cm="1">
        <f t="array" ref="M64">_xlfn.IFS(K64&lt;1,"",K64=1,"Fail",K64&gt;1,_xlfn.TEXTJOIN("",TRUE,"Fail x",K64))</f>
        <v>Fail</v>
      </c>
      <c r="N64" t="str">
        <f t="shared" si="3"/>
        <v>Pass, Fail</v>
      </c>
    </row>
    <row r="65" spans="8:14">
      <c r="H65" s="13">
        <f t="shared" si="0"/>
        <v>2</v>
      </c>
      <c r="I65" t="str" cm="1">
        <f t="array" ref="I65">_xlfn.IFS(H65&lt;1,"No",H65=1,"Yes",H65&gt;1,_xlfn.TEXTJOIN("",TRUE,"Yes x",H65))</f>
        <v>Yes x2</v>
      </c>
      <c r="J65" s="13">
        <f t="shared" si="1"/>
        <v>1</v>
      </c>
      <c r="K65" s="13">
        <f t="shared" si="2"/>
        <v>1</v>
      </c>
      <c r="L65" s="13" t="str" cm="1">
        <f t="array" ref="L65">_xlfn.IFS(J65&lt;1,"",J65=1,"Pass",J65&gt;1,_xlfn.TEXTJOIN("",TRUE,"Pass x",J65))</f>
        <v>Pass</v>
      </c>
      <c r="M65" s="13" t="str" cm="1">
        <f t="array" ref="M65">_xlfn.IFS(K65&lt;1,"",K65=1,"Fail",K65&gt;1,_xlfn.TEXTJOIN("",TRUE,"Fail x",K65))</f>
        <v>Fail</v>
      </c>
      <c r="N65" t="str">
        <f t="shared" si="3"/>
        <v>Pass, Fail</v>
      </c>
    </row>
    <row r="66" spans="8:14">
      <c r="H66" s="13">
        <f t="shared" si="0"/>
        <v>2</v>
      </c>
      <c r="I66" t="str" cm="1">
        <f t="array" ref="I66">_xlfn.IFS(H66&lt;1,"No",H66=1,"Yes",H66&gt;1,_xlfn.TEXTJOIN("",TRUE,"Yes x",H66))</f>
        <v>Yes x2</v>
      </c>
      <c r="J66" s="13">
        <f t="shared" si="1"/>
        <v>1</v>
      </c>
      <c r="K66" s="13">
        <f t="shared" si="2"/>
        <v>1</v>
      </c>
      <c r="L66" s="13" t="str" cm="1">
        <f t="array" ref="L66">_xlfn.IFS(J66&lt;1,"",J66=1,"Pass",J66&gt;1,_xlfn.TEXTJOIN("",TRUE,"Pass x",J66))</f>
        <v>Pass</v>
      </c>
      <c r="M66" s="13" t="str" cm="1">
        <f t="array" ref="M66">_xlfn.IFS(K66&lt;1,"",K66=1,"Fail",K66&gt;1,_xlfn.TEXTJOIN("",TRUE,"Fail x",K66))</f>
        <v>Fail</v>
      </c>
      <c r="N66" t="str">
        <f t="shared" si="3"/>
        <v>Pass, Fail</v>
      </c>
    </row>
    <row r="67" spans="8:14">
      <c r="H67" s="13">
        <f t="shared" ref="H67:H99" si="4">IFERROR(GETPIVOTDATA("Successful / Failed",$A$1,"System serial",G67),0)</f>
        <v>2</v>
      </c>
      <c r="I67" t="str" cm="1">
        <f t="array" ref="I67">_xlfn.IFS(H67&lt;1,"No",H67=1,"Yes",H67&gt;1,_xlfn.TEXTJOIN("",TRUE,"Yes x",H67))</f>
        <v>Yes x2</v>
      </c>
      <c r="J67" s="13">
        <f t="shared" ref="J67:J99" si="5">IFERROR(GETPIVOTDATA("Successful / Failed",$A$1,"System serial",G67,"Successful / Failed","Successful"),0)</f>
        <v>1</v>
      </c>
      <c r="K67" s="13">
        <f t="shared" ref="K67:K130" si="6">IFERROR(GETPIVOTDATA("Successful / Failed",$A$1,"System serial",G67,"Successful / Failed","Failed"),0)</f>
        <v>1</v>
      </c>
      <c r="L67" s="13" t="str" cm="1">
        <f t="array" ref="L67">_xlfn.IFS(J67&lt;1,"",J67=1,"Pass",J67&gt;1,_xlfn.TEXTJOIN("",TRUE,"Pass x",J67))</f>
        <v>Pass</v>
      </c>
      <c r="M67" s="13" t="str" cm="1">
        <f t="array" ref="M67">_xlfn.IFS(K67&lt;1,"",K67=1,"Fail",K67&gt;1,_xlfn.TEXTJOIN("",TRUE,"Fail x",K67))</f>
        <v>Fail</v>
      </c>
      <c r="N67" t="str">
        <f t="shared" ref="N67:N99" si="7">_xlfn.TEXTJOIN(", ",TRUE, L67, M67)</f>
        <v>Pass, Fail</v>
      </c>
    </row>
    <row r="68" spans="8:14">
      <c r="H68" s="13">
        <f t="shared" si="4"/>
        <v>2</v>
      </c>
      <c r="I68" t="str" cm="1">
        <f t="array" ref="I68">_xlfn.IFS(H68&lt;1,"No",H68=1,"Yes",H68&gt;1,_xlfn.TEXTJOIN("",TRUE,"Yes x",H68))</f>
        <v>Yes x2</v>
      </c>
      <c r="J68" s="13">
        <f t="shared" si="5"/>
        <v>1</v>
      </c>
      <c r="K68" s="13">
        <f t="shared" si="6"/>
        <v>1</v>
      </c>
      <c r="L68" s="13" t="str" cm="1">
        <f t="array" ref="L68">_xlfn.IFS(J68&lt;1,"",J68=1,"Pass",J68&gt;1,_xlfn.TEXTJOIN("",TRUE,"Pass x",J68))</f>
        <v>Pass</v>
      </c>
      <c r="M68" s="13" t="str" cm="1">
        <f t="array" ref="M68">_xlfn.IFS(K68&lt;1,"",K68=1,"Fail",K68&gt;1,_xlfn.TEXTJOIN("",TRUE,"Fail x",K68))</f>
        <v>Fail</v>
      </c>
      <c r="N68" t="str">
        <f t="shared" si="7"/>
        <v>Pass, Fail</v>
      </c>
    </row>
    <row r="69" spans="8:14">
      <c r="H69" s="13">
        <f t="shared" si="4"/>
        <v>2</v>
      </c>
      <c r="I69" t="str" cm="1">
        <f t="array" ref="I69">_xlfn.IFS(H69&lt;1,"No",H69=1,"Yes",H69&gt;1,_xlfn.TEXTJOIN("",TRUE,"Yes x",H69))</f>
        <v>Yes x2</v>
      </c>
      <c r="J69" s="13">
        <f t="shared" si="5"/>
        <v>1</v>
      </c>
      <c r="K69" s="13">
        <f t="shared" si="6"/>
        <v>1</v>
      </c>
      <c r="L69" s="13" t="str" cm="1">
        <f t="array" ref="L69">_xlfn.IFS(J69&lt;1,"",J69=1,"Pass",J69&gt;1,_xlfn.TEXTJOIN("",TRUE,"Pass x",J69))</f>
        <v>Pass</v>
      </c>
      <c r="M69" s="13" t="str" cm="1">
        <f t="array" ref="M69">_xlfn.IFS(K69&lt;1,"",K69=1,"Fail",K69&gt;1,_xlfn.TEXTJOIN("",TRUE,"Fail x",K69))</f>
        <v>Fail</v>
      </c>
      <c r="N69" t="str">
        <f t="shared" si="7"/>
        <v>Pass, Fail</v>
      </c>
    </row>
    <row r="70" spans="8:14">
      <c r="H70" s="13">
        <f t="shared" si="4"/>
        <v>2</v>
      </c>
      <c r="I70" t="str" cm="1">
        <f t="array" ref="I70">_xlfn.IFS(H70&lt;1,"No",H70=1,"Yes",H70&gt;1,_xlfn.TEXTJOIN("",TRUE,"Yes x",H70))</f>
        <v>Yes x2</v>
      </c>
      <c r="J70" s="13">
        <f t="shared" si="5"/>
        <v>1</v>
      </c>
      <c r="K70" s="13">
        <f t="shared" si="6"/>
        <v>1</v>
      </c>
      <c r="L70" s="13" t="str" cm="1">
        <f t="array" ref="L70">_xlfn.IFS(J70&lt;1,"",J70=1,"Pass",J70&gt;1,_xlfn.TEXTJOIN("",TRUE,"Pass x",J70))</f>
        <v>Pass</v>
      </c>
      <c r="M70" s="13" t="str" cm="1">
        <f t="array" ref="M70">_xlfn.IFS(K70&lt;1,"",K70=1,"Fail",K70&gt;1,_xlfn.TEXTJOIN("",TRUE,"Fail x",K70))</f>
        <v>Fail</v>
      </c>
      <c r="N70" t="str">
        <f t="shared" si="7"/>
        <v>Pass, Fail</v>
      </c>
    </row>
    <row r="71" spans="8:14">
      <c r="H71" s="13">
        <f t="shared" si="4"/>
        <v>2</v>
      </c>
      <c r="I71" t="str" cm="1">
        <f t="array" ref="I71">_xlfn.IFS(H71&lt;1,"No",H71=1,"Yes",H71&gt;1,_xlfn.TEXTJOIN("",TRUE,"Yes x",H71))</f>
        <v>Yes x2</v>
      </c>
      <c r="J71" s="13">
        <f t="shared" si="5"/>
        <v>1</v>
      </c>
      <c r="K71" s="13">
        <f t="shared" si="6"/>
        <v>1</v>
      </c>
      <c r="L71" s="13" t="str" cm="1">
        <f t="array" ref="L71">_xlfn.IFS(J71&lt;1,"",J71=1,"Pass",J71&gt;1,_xlfn.TEXTJOIN("",TRUE,"Pass x",J71))</f>
        <v>Pass</v>
      </c>
      <c r="M71" s="13" t="str" cm="1">
        <f t="array" ref="M71">_xlfn.IFS(K71&lt;1,"",K71=1,"Fail",K71&gt;1,_xlfn.TEXTJOIN("",TRUE,"Fail x",K71))</f>
        <v>Fail</v>
      </c>
      <c r="N71" t="str">
        <f t="shared" si="7"/>
        <v>Pass, Fail</v>
      </c>
    </row>
    <row r="72" spans="8:14">
      <c r="H72" s="13">
        <f t="shared" si="4"/>
        <v>2</v>
      </c>
      <c r="I72" t="str" cm="1">
        <f t="array" ref="I72">_xlfn.IFS(H72&lt;1,"No",H72=1,"Yes",H72&gt;1,_xlfn.TEXTJOIN("",TRUE,"Yes x",H72))</f>
        <v>Yes x2</v>
      </c>
      <c r="J72" s="13">
        <f t="shared" si="5"/>
        <v>1</v>
      </c>
      <c r="K72" s="13">
        <f t="shared" si="6"/>
        <v>1</v>
      </c>
      <c r="L72" s="13" t="str" cm="1">
        <f t="array" ref="L72">_xlfn.IFS(J72&lt;1,"",J72=1,"Pass",J72&gt;1,_xlfn.TEXTJOIN("",TRUE,"Pass x",J72))</f>
        <v>Pass</v>
      </c>
      <c r="M72" s="13" t="str" cm="1">
        <f t="array" ref="M72">_xlfn.IFS(K72&lt;1,"",K72=1,"Fail",K72&gt;1,_xlfn.TEXTJOIN("",TRUE,"Fail x",K72))</f>
        <v>Fail</v>
      </c>
      <c r="N72" t="str">
        <f t="shared" si="7"/>
        <v>Pass, Fail</v>
      </c>
    </row>
    <row r="73" spans="8:14">
      <c r="H73" s="13">
        <f t="shared" si="4"/>
        <v>2</v>
      </c>
      <c r="I73" t="str" cm="1">
        <f t="array" ref="I73">_xlfn.IFS(H73&lt;1,"No",H73=1,"Yes",H73&gt;1,_xlfn.TEXTJOIN("",TRUE,"Yes x",H73))</f>
        <v>Yes x2</v>
      </c>
      <c r="J73" s="13">
        <f t="shared" si="5"/>
        <v>1</v>
      </c>
      <c r="K73" s="13">
        <f t="shared" si="6"/>
        <v>1</v>
      </c>
      <c r="L73" s="13" t="str" cm="1">
        <f t="array" ref="L73">_xlfn.IFS(J73&lt;1,"",J73=1,"Pass",J73&gt;1,_xlfn.TEXTJOIN("",TRUE,"Pass x",J73))</f>
        <v>Pass</v>
      </c>
      <c r="M73" s="13" t="str" cm="1">
        <f t="array" ref="M73">_xlfn.IFS(K73&lt;1,"",K73=1,"Fail",K73&gt;1,_xlfn.TEXTJOIN("",TRUE,"Fail x",K73))</f>
        <v>Fail</v>
      </c>
      <c r="N73" t="str">
        <f t="shared" si="7"/>
        <v>Pass, Fail</v>
      </c>
    </row>
    <row r="74" spans="8:14">
      <c r="H74" s="13">
        <f t="shared" si="4"/>
        <v>2</v>
      </c>
      <c r="I74" t="str" cm="1">
        <f t="array" ref="I74">_xlfn.IFS(H74&lt;1,"No",H74=1,"Yes",H74&gt;1,_xlfn.TEXTJOIN("",TRUE,"Yes x",H74))</f>
        <v>Yes x2</v>
      </c>
      <c r="J74" s="13">
        <f t="shared" si="5"/>
        <v>1</v>
      </c>
      <c r="K74" s="13">
        <f t="shared" si="6"/>
        <v>1</v>
      </c>
      <c r="L74" s="13" t="str" cm="1">
        <f t="array" ref="L74">_xlfn.IFS(J74&lt;1,"",J74=1,"Pass",J74&gt;1,_xlfn.TEXTJOIN("",TRUE,"Pass x",J74))</f>
        <v>Pass</v>
      </c>
      <c r="M74" s="13" t="str" cm="1">
        <f t="array" ref="M74">_xlfn.IFS(K74&lt;1,"",K74=1,"Fail",K74&gt;1,_xlfn.TEXTJOIN("",TRUE,"Fail x",K74))</f>
        <v>Fail</v>
      </c>
      <c r="N74" t="str">
        <f t="shared" si="7"/>
        <v>Pass, Fail</v>
      </c>
    </row>
    <row r="75" spans="8:14">
      <c r="H75" s="13">
        <f t="shared" si="4"/>
        <v>2</v>
      </c>
      <c r="I75" t="str" cm="1">
        <f t="array" ref="I75">_xlfn.IFS(H75&lt;1,"No",H75=1,"Yes",H75&gt;1,_xlfn.TEXTJOIN("",TRUE,"Yes x",H75))</f>
        <v>Yes x2</v>
      </c>
      <c r="J75" s="13">
        <f t="shared" si="5"/>
        <v>1</v>
      </c>
      <c r="K75" s="13">
        <f t="shared" si="6"/>
        <v>1</v>
      </c>
      <c r="L75" s="13" t="str" cm="1">
        <f t="array" ref="L75">_xlfn.IFS(J75&lt;1,"",J75=1,"Pass",J75&gt;1,_xlfn.TEXTJOIN("",TRUE,"Pass x",J75))</f>
        <v>Pass</v>
      </c>
      <c r="M75" s="13" t="str" cm="1">
        <f t="array" ref="M75">_xlfn.IFS(K75&lt;1,"",K75=1,"Fail",K75&gt;1,_xlfn.TEXTJOIN("",TRUE,"Fail x",K75))</f>
        <v>Fail</v>
      </c>
      <c r="N75" t="str">
        <f t="shared" si="7"/>
        <v>Pass, Fail</v>
      </c>
    </row>
    <row r="76" spans="8:14">
      <c r="H76" s="13">
        <f t="shared" si="4"/>
        <v>2</v>
      </c>
      <c r="I76" t="str" cm="1">
        <f t="array" ref="I76">_xlfn.IFS(H76&lt;1,"No",H76=1,"Yes",H76&gt;1,_xlfn.TEXTJOIN("",TRUE,"Yes x",H76))</f>
        <v>Yes x2</v>
      </c>
      <c r="J76" s="13">
        <f t="shared" si="5"/>
        <v>1</v>
      </c>
      <c r="K76" s="13">
        <f t="shared" si="6"/>
        <v>1</v>
      </c>
      <c r="L76" s="13" t="str" cm="1">
        <f t="array" ref="L76">_xlfn.IFS(J76&lt;1,"",J76=1,"Pass",J76&gt;1,_xlfn.TEXTJOIN("",TRUE,"Pass x",J76))</f>
        <v>Pass</v>
      </c>
      <c r="M76" s="13" t="str" cm="1">
        <f t="array" ref="M76">_xlfn.IFS(K76&lt;1,"",K76=1,"Fail",K76&gt;1,_xlfn.TEXTJOIN("",TRUE,"Fail x",K76))</f>
        <v>Fail</v>
      </c>
      <c r="N76" t="str">
        <f t="shared" si="7"/>
        <v>Pass, Fail</v>
      </c>
    </row>
    <row r="77" spans="8:14">
      <c r="H77" s="13">
        <f t="shared" si="4"/>
        <v>2</v>
      </c>
      <c r="I77" t="str" cm="1">
        <f t="array" ref="I77">_xlfn.IFS(H77&lt;1,"No",H77=1,"Yes",H77&gt;1,_xlfn.TEXTJOIN("",TRUE,"Yes x",H77))</f>
        <v>Yes x2</v>
      </c>
      <c r="J77" s="13">
        <f t="shared" si="5"/>
        <v>1</v>
      </c>
      <c r="K77" s="13">
        <f t="shared" si="6"/>
        <v>1</v>
      </c>
      <c r="L77" s="13" t="str" cm="1">
        <f t="array" ref="L77">_xlfn.IFS(J77&lt;1,"",J77=1,"Pass",J77&gt;1,_xlfn.TEXTJOIN("",TRUE,"Pass x",J77))</f>
        <v>Pass</v>
      </c>
      <c r="M77" s="13" t="str" cm="1">
        <f t="array" ref="M77">_xlfn.IFS(K77&lt;1,"",K77=1,"Fail",K77&gt;1,_xlfn.TEXTJOIN("",TRUE,"Fail x",K77))</f>
        <v>Fail</v>
      </c>
      <c r="N77" t="str">
        <f t="shared" si="7"/>
        <v>Pass, Fail</v>
      </c>
    </row>
    <row r="78" spans="8:14">
      <c r="H78" s="13">
        <f t="shared" si="4"/>
        <v>2</v>
      </c>
      <c r="I78" t="str" cm="1">
        <f t="array" ref="I78">_xlfn.IFS(H78&lt;1,"No",H78=1,"Yes",H78&gt;1,_xlfn.TEXTJOIN("",TRUE,"Yes x",H78))</f>
        <v>Yes x2</v>
      </c>
      <c r="J78" s="13">
        <f t="shared" si="5"/>
        <v>1</v>
      </c>
      <c r="K78" s="13">
        <f t="shared" si="6"/>
        <v>1</v>
      </c>
      <c r="L78" s="13" t="str" cm="1">
        <f t="array" ref="L78">_xlfn.IFS(J78&lt;1,"",J78=1,"Pass",J78&gt;1,_xlfn.TEXTJOIN("",TRUE,"Pass x",J78))</f>
        <v>Pass</v>
      </c>
      <c r="M78" s="13" t="str" cm="1">
        <f t="array" ref="M78">_xlfn.IFS(K78&lt;1,"",K78=1,"Fail",K78&gt;1,_xlfn.TEXTJOIN("",TRUE,"Fail x",K78))</f>
        <v>Fail</v>
      </c>
      <c r="N78" t="str">
        <f t="shared" si="7"/>
        <v>Pass, Fail</v>
      </c>
    </row>
    <row r="79" spans="8:14">
      <c r="H79" s="13">
        <f t="shared" si="4"/>
        <v>2</v>
      </c>
      <c r="I79" t="str" cm="1">
        <f t="array" ref="I79">_xlfn.IFS(H79&lt;1,"No",H79=1,"Yes",H79&gt;1,_xlfn.TEXTJOIN("",TRUE,"Yes x",H79))</f>
        <v>Yes x2</v>
      </c>
      <c r="J79" s="13">
        <f t="shared" si="5"/>
        <v>1</v>
      </c>
      <c r="K79" s="13">
        <f t="shared" si="6"/>
        <v>1</v>
      </c>
      <c r="L79" s="13" t="str" cm="1">
        <f t="array" ref="L79">_xlfn.IFS(J79&lt;1,"",J79=1,"Pass",J79&gt;1,_xlfn.TEXTJOIN("",TRUE,"Pass x",J79))</f>
        <v>Pass</v>
      </c>
      <c r="M79" s="13" t="str" cm="1">
        <f t="array" ref="M79">_xlfn.IFS(K79&lt;1,"",K79=1,"Fail",K79&gt;1,_xlfn.TEXTJOIN("",TRUE,"Fail x",K79))</f>
        <v>Fail</v>
      </c>
      <c r="N79" t="str">
        <f t="shared" si="7"/>
        <v>Pass, Fail</v>
      </c>
    </row>
    <row r="80" spans="8:14">
      <c r="H80" s="13">
        <f t="shared" si="4"/>
        <v>2</v>
      </c>
      <c r="I80" t="str" cm="1">
        <f t="array" ref="I80">_xlfn.IFS(H80&lt;1,"No",H80=1,"Yes",H80&gt;1,_xlfn.TEXTJOIN("",TRUE,"Yes x",H80))</f>
        <v>Yes x2</v>
      </c>
      <c r="J80" s="13">
        <f t="shared" si="5"/>
        <v>1</v>
      </c>
      <c r="K80" s="13">
        <f t="shared" si="6"/>
        <v>1</v>
      </c>
      <c r="L80" s="13" t="str" cm="1">
        <f t="array" ref="L80">_xlfn.IFS(J80&lt;1,"",J80=1,"Pass",J80&gt;1,_xlfn.TEXTJOIN("",TRUE,"Pass x",J80))</f>
        <v>Pass</v>
      </c>
      <c r="M80" s="13" t="str" cm="1">
        <f t="array" ref="M80">_xlfn.IFS(K80&lt;1,"",K80=1,"Fail",K80&gt;1,_xlfn.TEXTJOIN("",TRUE,"Fail x",K80))</f>
        <v>Fail</v>
      </c>
      <c r="N80" t="str">
        <f t="shared" si="7"/>
        <v>Pass, Fail</v>
      </c>
    </row>
    <row r="81" spans="8:14">
      <c r="H81" s="13">
        <f t="shared" si="4"/>
        <v>2</v>
      </c>
      <c r="I81" t="str" cm="1">
        <f t="array" ref="I81">_xlfn.IFS(H81&lt;1,"No",H81=1,"Yes",H81&gt;1,_xlfn.TEXTJOIN("",TRUE,"Yes x",H81))</f>
        <v>Yes x2</v>
      </c>
      <c r="J81" s="13">
        <f t="shared" si="5"/>
        <v>1</v>
      </c>
      <c r="K81" s="13">
        <f t="shared" si="6"/>
        <v>1</v>
      </c>
      <c r="L81" s="13" t="str" cm="1">
        <f t="array" ref="L81">_xlfn.IFS(J81&lt;1,"",J81=1,"Pass",J81&gt;1,_xlfn.TEXTJOIN("",TRUE,"Pass x",J81))</f>
        <v>Pass</v>
      </c>
      <c r="M81" s="13" t="str" cm="1">
        <f t="array" ref="M81">_xlfn.IFS(K81&lt;1,"",K81=1,"Fail",K81&gt;1,_xlfn.TEXTJOIN("",TRUE,"Fail x",K81))</f>
        <v>Fail</v>
      </c>
      <c r="N81" t="str">
        <f t="shared" si="7"/>
        <v>Pass, Fail</v>
      </c>
    </row>
    <row r="82" spans="8:14">
      <c r="H82" s="13">
        <f t="shared" si="4"/>
        <v>2</v>
      </c>
      <c r="I82" t="str" cm="1">
        <f t="array" ref="I82">_xlfn.IFS(H82&lt;1,"No",H82=1,"Yes",H82&gt;1,_xlfn.TEXTJOIN("",TRUE,"Yes x",H82))</f>
        <v>Yes x2</v>
      </c>
      <c r="J82" s="13">
        <f t="shared" si="5"/>
        <v>1</v>
      </c>
      <c r="K82" s="13">
        <f t="shared" si="6"/>
        <v>1</v>
      </c>
      <c r="L82" s="13" t="str" cm="1">
        <f t="array" ref="L82">_xlfn.IFS(J82&lt;1,"",J82=1,"Pass",J82&gt;1,_xlfn.TEXTJOIN("",TRUE,"Pass x",J82))</f>
        <v>Pass</v>
      </c>
      <c r="M82" s="13" t="str" cm="1">
        <f t="array" ref="M82">_xlfn.IFS(K82&lt;1,"",K82=1,"Fail",K82&gt;1,_xlfn.TEXTJOIN("",TRUE,"Fail x",K82))</f>
        <v>Fail</v>
      </c>
      <c r="N82" t="str">
        <f t="shared" si="7"/>
        <v>Pass, Fail</v>
      </c>
    </row>
    <row r="83" spans="8:14">
      <c r="H83" s="13">
        <f t="shared" si="4"/>
        <v>2</v>
      </c>
      <c r="I83" t="str" cm="1">
        <f t="array" ref="I83">_xlfn.IFS(H83&lt;1,"No",H83=1,"Yes",H83&gt;1,_xlfn.TEXTJOIN("",TRUE,"Yes x",H83))</f>
        <v>Yes x2</v>
      </c>
      <c r="J83" s="13">
        <f t="shared" si="5"/>
        <v>1</v>
      </c>
      <c r="K83" s="13">
        <f t="shared" si="6"/>
        <v>1</v>
      </c>
      <c r="L83" s="13" t="str" cm="1">
        <f t="array" ref="L83">_xlfn.IFS(J83&lt;1,"",J83=1,"Pass",J83&gt;1,_xlfn.TEXTJOIN("",TRUE,"Pass x",J83))</f>
        <v>Pass</v>
      </c>
      <c r="M83" s="13" t="str" cm="1">
        <f t="array" ref="M83">_xlfn.IFS(K83&lt;1,"",K83=1,"Fail",K83&gt;1,_xlfn.TEXTJOIN("",TRUE,"Fail x",K83))</f>
        <v>Fail</v>
      </c>
      <c r="N83" t="str">
        <f t="shared" si="7"/>
        <v>Pass, Fail</v>
      </c>
    </row>
    <row r="84" spans="8:14">
      <c r="H84" s="13">
        <f t="shared" si="4"/>
        <v>2</v>
      </c>
      <c r="I84" t="str" cm="1">
        <f t="array" ref="I84">_xlfn.IFS(H84&lt;1,"No",H84=1,"Yes",H84&gt;1,_xlfn.TEXTJOIN("",TRUE,"Yes x",H84))</f>
        <v>Yes x2</v>
      </c>
      <c r="J84" s="13">
        <f t="shared" si="5"/>
        <v>1</v>
      </c>
      <c r="K84" s="13">
        <f t="shared" si="6"/>
        <v>1</v>
      </c>
      <c r="L84" s="13" t="str" cm="1">
        <f t="array" ref="L84">_xlfn.IFS(J84&lt;1,"",J84=1,"Pass",J84&gt;1,_xlfn.TEXTJOIN("",TRUE,"Pass x",J84))</f>
        <v>Pass</v>
      </c>
      <c r="M84" s="13" t="str" cm="1">
        <f t="array" ref="M84">_xlfn.IFS(K84&lt;1,"",K84=1,"Fail",K84&gt;1,_xlfn.TEXTJOIN("",TRUE,"Fail x",K84))</f>
        <v>Fail</v>
      </c>
      <c r="N84" t="str">
        <f t="shared" si="7"/>
        <v>Pass, Fail</v>
      </c>
    </row>
    <row r="85" spans="8:14">
      <c r="H85" s="13">
        <f t="shared" si="4"/>
        <v>2</v>
      </c>
      <c r="I85" t="str" cm="1">
        <f t="array" ref="I85">_xlfn.IFS(H85&lt;1,"No",H85=1,"Yes",H85&gt;1,_xlfn.TEXTJOIN("",TRUE,"Yes x",H85))</f>
        <v>Yes x2</v>
      </c>
      <c r="J85" s="13">
        <f t="shared" si="5"/>
        <v>1</v>
      </c>
      <c r="K85" s="13">
        <f t="shared" si="6"/>
        <v>1</v>
      </c>
      <c r="L85" s="13" t="str" cm="1">
        <f t="array" ref="L85">_xlfn.IFS(J85&lt;1,"",J85=1,"Pass",J85&gt;1,_xlfn.TEXTJOIN("",TRUE,"Pass x",J85))</f>
        <v>Pass</v>
      </c>
      <c r="M85" s="13" t="str" cm="1">
        <f t="array" ref="M85">_xlfn.IFS(K85&lt;1,"",K85=1,"Fail",K85&gt;1,_xlfn.TEXTJOIN("",TRUE,"Fail x",K85))</f>
        <v>Fail</v>
      </c>
      <c r="N85" t="str">
        <f t="shared" si="7"/>
        <v>Pass, Fail</v>
      </c>
    </row>
    <row r="86" spans="8:14">
      <c r="H86" s="13">
        <f t="shared" si="4"/>
        <v>2</v>
      </c>
      <c r="I86" t="str" cm="1">
        <f t="array" ref="I86">_xlfn.IFS(H86&lt;1,"No",H86=1,"Yes",H86&gt;1,_xlfn.TEXTJOIN("",TRUE,"Yes x",H86))</f>
        <v>Yes x2</v>
      </c>
      <c r="J86" s="13">
        <f t="shared" si="5"/>
        <v>1</v>
      </c>
      <c r="K86" s="13">
        <f t="shared" si="6"/>
        <v>1</v>
      </c>
      <c r="L86" s="13" t="str" cm="1">
        <f t="array" ref="L86">_xlfn.IFS(J86&lt;1,"",J86=1,"Pass",J86&gt;1,_xlfn.TEXTJOIN("",TRUE,"Pass x",J86))</f>
        <v>Pass</v>
      </c>
      <c r="M86" s="13" t="str" cm="1">
        <f t="array" ref="M86">_xlfn.IFS(K86&lt;1,"",K86=1,"Fail",K86&gt;1,_xlfn.TEXTJOIN("",TRUE,"Fail x",K86))</f>
        <v>Fail</v>
      </c>
      <c r="N86" t="str">
        <f t="shared" si="7"/>
        <v>Pass, Fail</v>
      </c>
    </row>
    <row r="87" spans="8:14">
      <c r="H87" s="13">
        <f t="shared" si="4"/>
        <v>2</v>
      </c>
      <c r="I87" t="str" cm="1">
        <f t="array" ref="I87">_xlfn.IFS(H87&lt;1,"No",H87=1,"Yes",H87&gt;1,_xlfn.TEXTJOIN("",TRUE,"Yes x",H87))</f>
        <v>Yes x2</v>
      </c>
      <c r="J87" s="13">
        <f t="shared" si="5"/>
        <v>1</v>
      </c>
      <c r="K87" s="13">
        <f t="shared" si="6"/>
        <v>1</v>
      </c>
      <c r="L87" s="13" t="str" cm="1">
        <f t="array" ref="L87">_xlfn.IFS(J87&lt;1,"",J87=1,"Pass",J87&gt;1,_xlfn.TEXTJOIN("",TRUE,"Pass x",J87))</f>
        <v>Pass</v>
      </c>
      <c r="M87" s="13" t="str" cm="1">
        <f t="array" ref="M87">_xlfn.IFS(K87&lt;1,"",K87=1,"Fail",K87&gt;1,_xlfn.TEXTJOIN("",TRUE,"Fail x",K87))</f>
        <v>Fail</v>
      </c>
      <c r="N87" t="str">
        <f t="shared" si="7"/>
        <v>Pass, Fail</v>
      </c>
    </row>
    <row r="88" spans="8:14">
      <c r="H88" s="13">
        <f t="shared" si="4"/>
        <v>2</v>
      </c>
      <c r="I88" t="str" cm="1">
        <f t="array" ref="I88">_xlfn.IFS(H88&lt;1,"No",H88=1,"Yes",H88&gt;1,_xlfn.TEXTJOIN("",TRUE,"Yes x",H88))</f>
        <v>Yes x2</v>
      </c>
      <c r="J88" s="13">
        <f t="shared" si="5"/>
        <v>1</v>
      </c>
      <c r="K88" s="13">
        <f t="shared" si="6"/>
        <v>1</v>
      </c>
      <c r="L88" s="13" t="str" cm="1">
        <f t="array" ref="L88">_xlfn.IFS(J88&lt;1,"",J88=1,"Pass",J88&gt;1,_xlfn.TEXTJOIN("",TRUE,"Pass x",J88))</f>
        <v>Pass</v>
      </c>
      <c r="M88" s="13" t="str" cm="1">
        <f t="array" ref="M88">_xlfn.IFS(K88&lt;1,"",K88=1,"Fail",K88&gt;1,_xlfn.TEXTJOIN("",TRUE,"Fail x",K88))</f>
        <v>Fail</v>
      </c>
      <c r="N88" t="str">
        <f t="shared" si="7"/>
        <v>Pass, Fail</v>
      </c>
    </row>
    <row r="89" spans="8:14">
      <c r="H89" s="13">
        <f t="shared" si="4"/>
        <v>2</v>
      </c>
      <c r="I89" t="str" cm="1">
        <f t="array" ref="I89">_xlfn.IFS(H89&lt;1,"No",H89=1,"Yes",H89&gt;1,_xlfn.TEXTJOIN("",TRUE,"Yes x",H89))</f>
        <v>Yes x2</v>
      </c>
      <c r="J89" s="13">
        <f t="shared" si="5"/>
        <v>1</v>
      </c>
      <c r="K89" s="13">
        <f t="shared" si="6"/>
        <v>1</v>
      </c>
      <c r="L89" s="13" t="str" cm="1">
        <f t="array" ref="L89">_xlfn.IFS(J89&lt;1,"",J89=1,"Pass",J89&gt;1,_xlfn.TEXTJOIN("",TRUE,"Pass x",J89))</f>
        <v>Pass</v>
      </c>
      <c r="M89" s="13" t="str" cm="1">
        <f t="array" ref="M89">_xlfn.IFS(K89&lt;1,"",K89=1,"Fail",K89&gt;1,_xlfn.TEXTJOIN("",TRUE,"Fail x",K89))</f>
        <v>Fail</v>
      </c>
      <c r="N89" t="str">
        <f t="shared" si="7"/>
        <v>Pass, Fail</v>
      </c>
    </row>
    <row r="90" spans="8:14">
      <c r="H90" s="13">
        <f t="shared" si="4"/>
        <v>2</v>
      </c>
      <c r="I90" t="str" cm="1">
        <f t="array" ref="I90">_xlfn.IFS(H90&lt;1,"No",H90=1,"Yes",H90&gt;1,_xlfn.TEXTJOIN("",TRUE,"Yes x",H90))</f>
        <v>Yes x2</v>
      </c>
      <c r="J90" s="13">
        <f t="shared" si="5"/>
        <v>1</v>
      </c>
      <c r="K90" s="13">
        <f t="shared" si="6"/>
        <v>1</v>
      </c>
      <c r="L90" s="13" t="str" cm="1">
        <f t="array" ref="L90">_xlfn.IFS(J90&lt;1,"",J90=1,"Pass",J90&gt;1,_xlfn.TEXTJOIN("",TRUE,"Pass x",J90))</f>
        <v>Pass</v>
      </c>
      <c r="M90" s="13" t="str" cm="1">
        <f t="array" ref="M90">_xlfn.IFS(K90&lt;1,"",K90=1,"Fail",K90&gt;1,_xlfn.TEXTJOIN("",TRUE,"Fail x",K90))</f>
        <v>Fail</v>
      </c>
      <c r="N90" t="str">
        <f t="shared" si="7"/>
        <v>Pass, Fail</v>
      </c>
    </row>
    <row r="91" spans="8:14">
      <c r="H91" s="13">
        <f t="shared" si="4"/>
        <v>2</v>
      </c>
      <c r="I91" t="str" cm="1">
        <f t="array" ref="I91">_xlfn.IFS(H91&lt;1,"No",H91=1,"Yes",H91&gt;1,_xlfn.TEXTJOIN("",TRUE,"Yes x",H91))</f>
        <v>Yes x2</v>
      </c>
      <c r="J91" s="13">
        <f t="shared" si="5"/>
        <v>1</v>
      </c>
      <c r="K91" s="13">
        <f t="shared" si="6"/>
        <v>1</v>
      </c>
      <c r="L91" s="13" t="str" cm="1">
        <f t="array" ref="L91">_xlfn.IFS(J91&lt;1,"",J91=1,"Pass",J91&gt;1,_xlfn.TEXTJOIN("",TRUE,"Pass x",J91))</f>
        <v>Pass</v>
      </c>
      <c r="M91" s="13" t="str" cm="1">
        <f t="array" ref="M91">_xlfn.IFS(K91&lt;1,"",K91=1,"Fail",K91&gt;1,_xlfn.TEXTJOIN("",TRUE,"Fail x",K91))</f>
        <v>Fail</v>
      </c>
      <c r="N91" t="str">
        <f t="shared" si="7"/>
        <v>Pass, Fail</v>
      </c>
    </row>
    <row r="92" spans="8:14">
      <c r="H92" s="13">
        <f t="shared" si="4"/>
        <v>2</v>
      </c>
      <c r="I92" t="str" cm="1">
        <f t="array" ref="I92">_xlfn.IFS(H92&lt;1,"No",H92=1,"Yes",H92&gt;1,_xlfn.TEXTJOIN("",TRUE,"Yes x",H92))</f>
        <v>Yes x2</v>
      </c>
      <c r="J92" s="13">
        <f t="shared" si="5"/>
        <v>1</v>
      </c>
      <c r="K92" s="13">
        <f t="shared" si="6"/>
        <v>1</v>
      </c>
      <c r="L92" s="13" t="str" cm="1">
        <f t="array" ref="L92">_xlfn.IFS(J92&lt;1,"",J92=1,"Pass",J92&gt;1,_xlfn.TEXTJOIN("",TRUE,"Pass x",J92))</f>
        <v>Pass</v>
      </c>
      <c r="M92" s="13" t="str" cm="1">
        <f t="array" ref="M92">_xlfn.IFS(K92&lt;1,"",K92=1,"Fail",K92&gt;1,_xlfn.TEXTJOIN("",TRUE,"Fail x",K92))</f>
        <v>Fail</v>
      </c>
      <c r="N92" t="str">
        <f t="shared" si="7"/>
        <v>Pass, Fail</v>
      </c>
    </row>
    <row r="93" spans="8:14">
      <c r="H93" s="13">
        <f t="shared" si="4"/>
        <v>2</v>
      </c>
      <c r="I93" t="str" cm="1">
        <f t="array" ref="I93">_xlfn.IFS(H93&lt;1,"No",H93=1,"Yes",H93&gt;1,_xlfn.TEXTJOIN("",TRUE,"Yes x",H93))</f>
        <v>Yes x2</v>
      </c>
      <c r="J93" s="13">
        <f t="shared" si="5"/>
        <v>1</v>
      </c>
      <c r="K93" s="13">
        <f t="shared" si="6"/>
        <v>1</v>
      </c>
      <c r="L93" s="13" t="str" cm="1">
        <f t="array" ref="L93">_xlfn.IFS(J93&lt;1,"",J93=1,"Pass",J93&gt;1,_xlfn.TEXTJOIN("",TRUE,"Pass x",J93))</f>
        <v>Pass</v>
      </c>
      <c r="M93" s="13" t="str" cm="1">
        <f t="array" ref="M93">_xlfn.IFS(K93&lt;1,"",K93=1,"Fail",K93&gt;1,_xlfn.TEXTJOIN("",TRUE,"Fail x",K93))</f>
        <v>Fail</v>
      </c>
      <c r="N93" t="str">
        <f t="shared" si="7"/>
        <v>Pass, Fail</v>
      </c>
    </row>
    <row r="94" spans="8:14">
      <c r="H94" s="13">
        <f t="shared" si="4"/>
        <v>2</v>
      </c>
      <c r="I94" t="str" cm="1">
        <f t="array" ref="I94">_xlfn.IFS(H94&lt;1,"No",H94=1,"Yes",H94&gt;1,_xlfn.TEXTJOIN("",TRUE,"Yes x",H94))</f>
        <v>Yes x2</v>
      </c>
      <c r="J94" s="13">
        <f t="shared" si="5"/>
        <v>1</v>
      </c>
      <c r="K94" s="13">
        <f t="shared" si="6"/>
        <v>1</v>
      </c>
      <c r="L94" s="13" t="str" cm="1">
        <f t="array" ref="L94">_xlfn.IFS(J94&lt;1,"",J94=1,"Pass",J94&gt;1,_xlfn.TEXTJOIN("",TRUE,"Pass x",J94))</f>
        <v>Pass</v>
      </c>
      <c r="M94" s="13" t="str" cm="1">
        <f t="array" ref="M94">_xlfn.IFS(K94&lt;1,"",K94=1,"Fail",K94&gt;1,_xlfn.TEXTJOIN("",TRUE,"Fail x",K94))</f>
        <v>Fail</v>
      </c>
      <c r="N94" t="str">
        <f t="shared" si="7"/>
        <v>Pass, Fail</v>
      </c>
    </row>
    <row r="95" spans="8:14">
      <c r="H95" s="13">
        <f t="shared" si="4"/>
        <v>2</v>
      </c>
      <c r="I95" t="str" cm="1">
        <f t="array" ref="I95">_xlfn.IFS(H95&lt;1,"No",H95=1,"Yes",H95&gt;1,_xlfn.TEXTJOIN("",TRUE,"Yes x",H95))</f>
        <v>Yes x2</v>
      </c>
      <c r="J95" s="13">
        <f t="shared" si="5"/>
        <v>1</v>
      </c>
      <c r="K95" s="13">
        <f t="shared" si="6"/>
        <v>1</v>
      </c>
      <c r="L95" s="13" t="str" cm="1">
        <f t="array" ref="L95">_xlfn.IFS(J95&lt;1,"",J95=1,"Pass",J95&gt;1,_xlfn.TEXTJOIN("",TRUE,"Pass x",J95))</f>
        <v>Pass</v>
      </c>
      <c r="M95" s="13" t="str" cm="1">
        <f t="array" ref="M95">_xlfn.IFS(K95&lt;1,"",K95=1,"Fail",K95&gt;1,_xlfn.TEXTJOIN("",TRUE,"Fail x",K95))</f>
        <v>Fail</v>
      </c>
      <c r="N95" t="str">
        <f t="shared" si="7"/>
        <v>Pass, Fail</v>
      </c>
    </row>
    <row r="96" spans="8:14">
      <c r="H96" s="13">
        <f t="shared" si="4"/>
        <v>2</v>
      </c>
      <c r="I96" t="str" cm="1">
        <f t="array" ref="I96">_xlfn.IFS(H96&lt;1,"No",H96=1,"Yes",H96&gt;1,_xlfn.TEXTJOIN("",TRUE,"Yes x",H96))</f>
        <v>Yes x2</v>
      </c>
      <c r="J96" s="13">
        <f t="shared" si="5"/>
        <v>1</v>
      </c>
      <c r="K96" s="13">
        <f t="shared" si="6"/>
        <v>1</v>
      </c>
      <c r="L96" s="13" t="str" cm="1">
        <f t="array" ref="L96">_xlfn.IFS(J96&lt;1,"",J96=1,"Pass",J96&gt;1,_xlfn.TEXTJOIN("",TRUE,"Pass x",J96))</f>
        <v>Pass</v>
      </c>
      <c r="M96" s="13" t="str" cm="1">
        <f t="array" ref="M96">_xlfn.IFS(K96&lt;1,"",K96=1,"Fail",K96&gt;1,_xlfn.TEXTJOIN("",TRUE,"Fail x",K96))</f>
        <v>Fail</v>
      </c>
      <c r="N96" t="str">
        <f t="shared" si="7"/>
        <v>Pass, Fail</v>
      </c>
    </row>
    <row r="97" spans="8:14">
      <c r="H97" s="13">
        <f t="shared" si="4"/>
        <v>2</v>
      </c>
      <c r="I97" t="str" cm="1">
        <f t="array" ref="I97">_xlfn.IFS(H97&lt;1,"No",H97=1,"Yes",H97&gt;1,_xlfn.TEXTJOIN("",TRUE,"Yes x",H97))</f>
        <v>Yes x2</v>
      </c>
      <c r="J97" s="13">
        <f t="shared" si="5"/>
        <v>1</v>
      </c>
      <c r="K97" s="13">
        <f t="shared" si="6"/>
        <v>1</v>
      </c>
      <c r="L97" s="13" t="str" cm="1">
        <f t="array" ref="L97">_xlfn.IFS(J97&lt;1,"",J97=1,"Pass",J97&gt;1,_xlfn.TEXTJOIN("",TRUE,"Pass x",J97))</f>
        <v>Pass</v>
      </c>
      <c r="M97" s="13" t="str" cm="1">
        <f t="array" ref="M97">_xlfn.IFS(K97&lt;1,"",K97=1,"Fail",K97&gt;1,_xlfn.TEXTJOIN("",TRUE,"Fail x",K97))</f>
        <v>Fail</v>
      </c>
      <c r="N97" t="str">
        <f t="shared" si="7"/>
        <v>Pass, Fail</v>
      </c>
    </row>
    <row r="98" spans="8:14">
      <c r="H98" s="13">
        <f t="shared" si="4"/>
        <v>2</v>
      </c>
      <c r="I98" t="str" cm="1">
        <f t="array" ref="I98">_xlfn.IFS(H98&lt;1,"No",H98=1,"Yes",H98&gt;1,_xlfn.TEXTJOIN("",TRUE,"Yes x",H98))</f>
        <v>Yes x2</v>
      </c>
      <c r="J98" s="13">
        <f t="shared" si="5"/>
        <v>1</v>
      </c>
      <c r="K98" s="13">
        <f t="shared" si="6"/>
        <v>1</v>
      </c>
      <c r="L98" s="13" t="str" cm="1">
        <f t="array" ref="L98">_xlfn.IFS(J98&lt;1,"",J98=1,"Pass",J98&gt;1,_xlfn.TEXTJOIN("",TRUE,"Pass x",J98))</f>
        <v>Pass</v>
      </c>
      <c r="M98" s="13" t="str" cm="1">
        <f t="array" ref="M98">_xlfn.IFS(K98&lt;1,"",K98=1,"Fail",K98&gt;1,_xlfn.TEXTJOIN("",TRUE,"Fail x",K98))</f>
        <v>Fail</v>
      </c>
      <c r="N98" t="str">
        <f t="shared" si="7"/>
        <v>Pass, Fail</v>
      </c>
    </row>
    <row r="99" spans="8:14">
      <c r="H99" s="13">
        <f t="shared" si="4"/>
        <v>2</v>
      </c>
      <c r="I99" t="str" cm="1">
        <f t="array" ref="I99">_xlfn.IFS(H99&lt;1,"No",H99=1,"Yes",H99&gt;1,_xlfn.TEXTJOIN("",TRUE,"Yes x",H99))</f>
        <v>Yes x2</v>
      </c>
      <c r="J99" s="13">
        <f t="shared" si="5"/>
        <v>1</v>
      </c>
      <c r="K99" s="13">
        <f t="shared" si="6"/>
        <v>1</v>
      </c>
      <c r="L99" s="13" t="str" cm="1">
        <f t="array" ref="L99">_xlfn.IFS(J99&lt;1,"",J99=1,"Pass",J99&gt;1,_xlfn.TEXTJOIN("",TRUE,"Pass x",J99))</f>
        <v>Pass</v>
      </c>
      <c r="M99" s="13" t="str" cm="1">
        <f t="array" ref="M99">_xlfn.IFS(K99&lt;1,"",K99=1,"Fail",K99&gt;1,_xlfn.TEXTJOIN("",TRUE,"Fail x",K99))</f>
        <v>Fail</v>
      </c>
      <c r="N99" t="str">
        <f t="shared" si="7"/>
        <v>Pass, Fail</v>
      </c>
    </row>
    <row r="100" spans="8:14">
      <c r="H100" s="13">
        <f t="shared" ref="H100:H163" si="8">IFERROR(GETPIVOTDATA("Successful / Failed",$A$1,"System serial",G100),0)</f>
        <v>2</v>
      </c>
      <c r="I100" t="str" cm="1">
        <f t="array" ref="I100">_xlfn.IFS(H100&lt;1,"No",H100=1,"Yes",H100&gt;1,_xlfn.TEXTJOIN("",TRUE,"Yes x",H100))</f>
        <v>Yes x2</v>
      </c>
      <c r="J100" s="13">
        <f t="shared" ref="J100:J163" si="9">IFERROR(GETPIVOTDATA("Successful / Failed",$A$1,"System serial",G100,"Successful / Failed","Successful"),0)</f>
        <v>1</v>
      </c>
      <c r="K100" s="13">
        <f t="shared" si="6"/>
        <v>1</v>
      </c>
      <c r="L100" s="13" t="str" cm="1">
        <f t="array" ref="L100">_xlfn.IFS(J100&lt;1,"",J100=1,"Pass",J100&gt;1,_xlfn.TEXTJOIN("",TRUE,"Pass x",J100))</f>
        <v>Pass</v>
      </c>
      <c r="M100" s="13" t="str" cm="1">
        <f t="array" ref="M100">_xlfn.IFS(K100&lt;1,"",K100=1,"Fail",K100&gt;1,_xlfn.TEXTJOIN("",TRUE,"Fail x",K100))</f>
        <v>Fail</v>
      </c>
      <c r="N100" t="str">
        <f t="shared" ref="N100:N163" si="10">_xlfn.TEXTJOIN(", ",TRUE, L100, M100)</f>
        <v>Pass, Fail</v>
      </c>
    </row>
    <row r="101" spans="8:14">
      <c r="H101" s="13">
        <f t="shared" si="8"/>
        <v>2</v>
      </c>
      <c r="I101" t="str" cm="1">
        <f t="array" ref="I101">_xlfn.IFS(H101&lt;1,"No",H101=1,"Yes",H101&gt;1,_xlfn.TEXTJOIN("",TRUE,"Yes x",H101))</f>
        <v>Yes x2</v>
      </c>
      <c r="J101" s="13">
        <f t="shared" si="9"/>
        <v>1</v>
      </c>
      <c r="K101" s="13">
        <f t="shared" si="6"/>
        <v>1</v>
      </c>
      <c r="L101" s="13" t="str" cm="1">
        <f t="array" ref="L101">_xlfn.IFS(J101&lt;1,"",J101=1,"Pass",J101&gt;1,_xlfn.TEXTJOIN("",TRUE,"Pass x",J101))</f>
        <v>Pass</v>
      </c>
      <c r="M101" s="13" t="str" cm="1">
        <f t="array" ref="M101">_xlfn.IFS(K101&lt;1,"",K101=1,"Fail",K101&gt;1,_xlfn.TEXTJOIN("",TRUE,"Fail x",K101))</f>
        <v>Fail</v>
      </c>
      <c r="N101" t="str">
        <f t="shared" si="10"/>
        <v>Pass, Fail</v>
      </c>
    </row>
    <row r="102" spans="8:14">
      <c r="H102" s="13">
        <f t="shared" si="8"/>
        <v>2</v>
      </c>
      <c r="I102" t="str" cm="1">
        <f t="array" ref="I102">_xlfn.IFS(H102&lt;1,"No",H102=1,"Yes",H102&gt;1,_xlfn.TEXTJOIN("",TRUE,"Yes x",H102))</f>
        <v>Yes x2</v>
      </c>
      <c r="J102" s="13">
        <f t="shared" si="9"/>
        <v>1</v>
      </c>
      <c r="K102" s="13">
        <f t="shared" si="6"/>
        <v>1</v>
      </c>
      <c r="L102" s="13" t="str" cm="1">
        <f t="array" ref="L102">_xlfn.IFS(J102&lt;1,"",J102=1,"Pass",J102&gt;1,_xlfn.TEXTJOIN("",TRUE,"Pass x",J102))</f>
        <v>Pass</v>
      </c>
      <c r="M102" s="13" t="str" cm="1">
        <f t="array" ref="M102">_xlfn.IFS(K102&lt;1,"",K102=1,"Fail",K102&gt;1,_xlfn.TEXTJOIN("",TRUE,"Fail x",K102))</f>
        <v>Fail</v>
      </c>
      <c r="N102" t="str">
        <f t="shared" si="10"/>
        <v>Pass, Fail</v>
      </c>
    </row>
    <row r="103" spans="8:14">
      <c r="H103" s="13">
        <f t="shared" si="8"/>
        <v>2</v>
      </c>
      <c r="I103" t="str" cm="1">
        <f t="array" ref="I103">_xlfn.IFS(H103&lt;1,"No",H103=1,"Yes",H103&gt;1,_xlfn.TEXTJOIN("",TRUE,"Yes x",H103))</f>
        <v>Yes x2</v>
      </c>
      <c r="J103" s="13">
        <f t="shared" si="9"/>
        <v>1</v>
      </c>
      <c r="K103" s="13">
        <f t="shared" si="6"/>
        <v>1</v>
      </c>
      <c r="L103" s="13" t="str" cm="1">
        <f t="array" ref="L103">_xlfn.IFS(J103&lt;1,"",J103=1,"Pass",J103&gt;1,_xlfn.TEXTJOIN("",TRUE,"Pass x",J103))</f>
        <v>Pass</v>
      </c>
      <c r="M103" s="13" t="str" cm="1">
        <f t="array" ref="M103">_xlfn.IFS(K103&lt;1,"",K103=1,"Fail",K103&gt;1,_xlfn.TEXTJOIN("",TRUE,"Fail x",K103))</f>
        <v>Fail</v>
      </c>
      <c r="N103" t="str">
        <f t="shared" si="10"/>
        <v>Pass, Fail</v>
      </c>
    </row>
    <row r="104" spans="8:14">
      <c r="H104" s="13">
        <f t="shared" si="8"/>
        <v>2</v>
      </c>
      <c r="I104" t="str" cm="1">
        <f t="array" ref="I104">_xlfn.IFS(H104&lt;1,"No",H104=1,"Yes",H104&gt;1,_xlfn.TEXTJOIN("",TRUE,"Yes x",H104))</f>
        <v>Yes x2</v>
      </c>
      <c r="J104" s="13">
        <f t="shared" si="9"/>
        <v>1</v>
      </c>
      <c r="K104" s="13">
        <f t="shared" si="6"/>
        <v>1</v>
      </c>
      <c r="L104" s="13" t="str" cm="1">
        <f t="array" ref="L104">_xlfn.IFS(J104&lt;1,"",J104=1,"Pass",J104&gt;1,_xlfn.TEXTJOIN("",TRUE,"Pass x",J104))</f>
        <v>Pass</v>
      </c>
      <c r="M104" s="13" t="str" cm="1">
        <f t="array" ref="M104">_xlfn.IFS(K104&lt;1,"",K104=1,"Fail",K104&gt;1,_xlfn.TEXTJOIN("",TRUE,"Fail x",K104))</f>
        <v>Fail</v>
      </c>
      <c r="N104" t="str">
        <f t="shared" si="10"/>
        <v>Pass, Fail</v>
      </c>
    </row>
    <row r="105" spans="8:14">
      <c r="H105" s="13">
        <f t="shared" si="8"/>
        <v>2</v>
      </c>
      <c r="I105" t="str" cm="1">
        <f t="array" ref="I105">_xlfn.IFS(H105&lt;1,"No",H105=1,"Yes",H105&gt;1,_xlfn.TEXTJOIN("",TRUE,"Yes x",H105))</f>
        <v>Yes x2</v>
      </c>
      <c r="J105" s="13">
        <f t="shared" si="9"/>
        <v>1</v>
      </c>
      <c r="K105" s="13">
        <f t="shared" si="6"/>
        <v>1</v>
      </c>
      <c r="L105" s="13" t="str" cm="1">
        <f t="array" ref="L105">_xlfn.IFS(J105&lt;1,"",J105=1,"Pass",J105&gt;1,_xlfn.TEXTJOIN("",TRUE,"Pass x",J105))</f>
        <v>Pass</v>
      </c>
      <c r="M105" s="13" t="str" cm="1">
        <f t="array" ref="M105">_xlfn.IFS(K105&lt;1,"",K105=1,"Fail",K105&gt;1,_xlfn.TEXTJOIN("",TRUE,"Fail x",K105))</f>
        <v>Fail</v>
      </c>
      <c r="N105" t="str">
        <f t="shared" si="10"/>
        <v>Pass, Fail</v>
      </c>
    </row>
    <row r="106" spans="8:14">
      <c r="H106" s="13">
        <f t="shared" si="8"/>
        <v>2</v>
      </c>
      <c r="I106" t="str" cm="1">
        <f t="array" ref="I106">_xlfn.IFS(H106&lt;1,"No",H106=1,"Yes",H106&gt;1,_xlfn.TEXTJOIN("",TRUE,"Yes x",H106))</f>
        <v>Yes x2</v>
      </c>
      <c r="J106" s="13">
        <f t="shared" si="9"/>
        <v>1</v>
      </c>
      <c r="K106" s="13">
        <f t="shared" si="6"/>
        <v>1</v>
      </c>
      <c r="L106" s="13" t="str" cm="1">
        <f t="array" ref="L106">_xlfn.IFS(J106&lt;1,"",J106=1,"Pass",J106&gt;1,_xlfn.TEXTJOIN("",TRUE,"Pass x",J106))</f>
        <v>Pass</v>
      </c>
      <c r="M106" s="13" t="str" cm="1">
        <f t="array" ref="M106">_xlfn.IFS(K106&lt;1,"",K106=1,"Fail",K106&gt;1,_xlfn.TEXTJOIN("",TRUE,"Fail x",K106))</f>
        <v>Fail</v>
      </c>
      <c r="N106" t="str">
        <f t="shared" si="10"/>
        <v>Pass, Fail</v>
      </c>
    </row>
    <row r="107" spans="8:14">
      <c r="H107" s="13">
        <f t="shared" si="8"/>
        <v>2</v>
      </c>
      <c r="I107" t="str" cm="1">
        <f t="array" ref="I107">_xlfn.IFS(H107&lt;1,"No",H107=1,"Yes",H107&gt;1,_xlfn.TEXTJOIN("",TRUE,"Yes x",H107))</f>
        <v>Yes x2</v>
      </c>
      <c r="J107" s="13">
        <f t="shared" si="9"/>
        <v>1</v>
      </c>
      <c r="K107" s="13">
        <f t="shared" si="6"/>
        <v>1</v>
      </c>
      <c r="L107" s="13" t="str" cm="1">
        <f t="array" ref="L107">_xlfn.IFS(J107&lt;1,"",J107=1,"Pass",J107&gt;1,_xlfn.TEXTJOIN("",TRUE,"Pass x",J107))</f>
        <v>Pass</v>
      </c>
      <c r="M107" s="13" t="str" cm="1">
        <f t="array" ref="M107">_xlfn.IFS(K107&lt;1,"",K107=1,"Fail",K107&gt;1,_xlfn.TEXTJOIN("",TRUE,"Fail x",K107))</f>
        <v>Fail</v>
      </c>
      <c r="N107" t="str">
        <f t="shared" si="10"/>
        <v>Pass, Fail</v>
      </c>
    </row>
    <row r="108" spans="8:14">
      <c r="H108" s="13">
        <f t="shared" si="8"/>
        <v>2</v>
      </c>
      <c r="I108" t="str" cm="1">
        <f t="array" ref="I108">_xlfn.IFS(H108&lt;1,"No",H108=1,"Yes",H108&gt;1,_xlfn.TEXTJOIN("",TRUE,"Yes x",H108))</f>
        <v>Yes x2</v>
      </c>
      <c r="J108" s="13">
        <f t="shared" si="9"/>
        <v>1</v>
      </c>
      <c r="K108" s="13">
        <f t="shared" si="6"/>
        <v>1</v>
      </c>
      <c r="L108" s="13" t="str" cm="1">
        <f t="array" ref="L108">_xlfn.IFS(J108&lt;1,"",J108=1,"Pass",J108&gt;1,_xlfn.TEXTJOIN("",TRUE,"Pass x",J108))</f>
        <v>Pass</v>
      </c>
      <c r="M108" s="13" t="str" cm="1">
        <f t="array" ref="M108">_xlfn.IFS(K108&lt;1,"",K108=1,"Fail",K108&gt;1,_xlfn.TEXTJOIN("",TRUE,"Fail x",K108))</f>
        <v>Fail</v>
      </c>
      <c r="N108" t="str">
        <f t="shared" si="10"/>
        <v>Pass, Fail</v>
      </c>
    </row>
    <row r="109" spans="8:14">
      <c r="H109" s="13">
        <f t="shared" si="8"/>
        <v>2</v>
      </c>
      <c r="I109" t="str" cm="1">
        <f t="array" ref="I109">_xlfn.IFS(H109&lt;1,"No",H109=1,"Yes",H109&gt;1,_xlfn.TEXTJOIN("",TRUE,"Yes x",H109))</f>
        <v>Yes x2</v>
      </c>
      <c r="J109" s="13">
        <f t="shared" si="9"/>
        <v>1</v>
      </c>
      <c r="K109" s="13">
        <f t="shared" si="6"/>
        <v>1</v>
      </c>
      <c r="L109" s="13" t="str" cm="1">
        <f t="array" ref="L109">_xlfn.IFS(J109&lt;1,"",J109=1,"Pass",J109&gt;1,_xlfn.TEXTJOIN("",TRUE,"Pass x",J109))</f>
        <v>Pass</v>
      </c>
      <c r="M109" s="13" t="str" cm="1">
        <f t="array" ref="M109">_xlfn.IFS(K109&lt;1,"",K109=1,"Fail",K109&gt;1,_xlfn.TEXTJOIN("",TRUE,"Fail x",K109))</f>
        <v>Fail</v>
      </c>
      <c r="N109" t="str">
        <f t="shared" si="10"/>
        <v>Pass, Fail</v>
      </c>
    </row>
    <row r="110" spans="8:14">
      <c r="H110" s="13">
        <f t="shared" si="8"/>
        <v>2</v>
      </c>
      <c r="I110" t="str" cm="1">
        <f t="array" ref="I110">_xlfn.IFS(H110&lt;1,"No",H110=1,"Yes",H110&gt;1,_xlfn.TEXTJOIN("",TRUE,"Yes x",H110))</f>
        <v>Yes x2</v>
      </c>
      <c r="J110" s="13">
        <f t="shared" si="9"/>
        <v>1</v>
      </c>
      <c r="K110" s="13">
        <f t="shared" si="6"/>
        <v>1</v>
      </c>
      <c r="L110" s="13" t="str" cm="1">
        <f t="array" ref="L110">_xlfn.IFS(J110&lt;1,"",J110=1,"Pass",J110&gt;1,_xlfn.TEXTJOIN("",TRUE,"Pass x",J110))</f>
        <v>Pass</v>
      </c>
      <c r="M110" s="13" t="str" cm="1">
        <f t="array" ref="M110">_xlfn.IFS(K110&lt;1,"",K110=1,"Fail",K110&gt;1,_xlfn.TEXTJOIN("",TRUE,"Fail x",K110))</f>
        <v>Fail</v>
      </c>
      <c r="N110" t="str">
        <f t="shared" si="10"/>
        <v>Pass, Fail</v>
      </c>
    </row>
    <row r="111" spans="8:14">
      <c r="H111" s="13">
        <f t="shared" si="8"/>
        <v>2</v>
      </c>
      <c r="I111" t="str" cm="1">
        <f t="array" ref="I111">_xlfn.IFS(H111&lt;1,"No",H111=1,"Yes",H111&gt;1,_xlfn.TEXTJOIN("",TRUE,"Yes x",H111))</f>
        <v>Yes x2</v>
      </c>
      <c r="J111" s="13">
        <f t="shared" si="9"/>
        <v>1</v>
      </c>
      <c r="K111" s="13">
        <f t="shared" si="6"/>
        <v>1</v>
      </c>
      <c r="L111" s="13" t="str" cm="1">
        <f t="array" ref="L111">_xlfn.IFS(J111&lt;1,"",J111=1,"Pass",J111&gt;1,_xlfn.TEXTJOIN("",TRUE,"Pass x",J111))</f>
        <v>Pass</v>
      </c>
      <c r="M111" s="13" t="str" cm="1">
        <f t="array" ref="M111">_xlfn.IFS(K111&lt;1,"",K111=1,"Fail",K111&gt;1,_xlfn.TEXTJOIN("",TRUE,"Fail x",K111))</f>
        <v>Fail</v>
      </c>
      <c r="N111" t="str">
        <f t="shared" si="10"/>
        <v>Pass, Fail</v>
      </c>
    </row>
    <row r="112" spans="8:14">
      <c r="H112" s="13">
        <f t="shared" si="8"/>
        <v>2</v>
      </c>
      <c r="I112" t="str" cm="1">
        <f t="array" ref="I112">_xlfn.IFS(H112&lt;1,"No",H112=1,"Yes",H112&gt;1,_xlfn.TEXTJOIN("",TRUE,"Yes x",H112))</f>
        <v>Yes x2</v>
      </c>
      <c r="J112" s="13">
        <f t="shared" si="9"/>
        <v>1</v>
      </c>
      <c r="K112" s="13">
        <f t="shared" si="6"/>
        <v>1</v>
      </c>
      <c r="L112" s="13" t="str" cm="1">
        <f t="array" ref="L112">_xlfn.IFS(J112&lt;1,"",J112=1,"Pass",J112&gt;1,_xlfn.TEXTJOIN("",TRUE,"Pass x",J112))</f>
        <v>Pass</v>
      </c>
      <c r="M112" s="13" t="str" cm="1">
        <f t="array" ref="M112">_xlfn.IFS(K112&lt;1,"",K112=1,"Fail",K112&gt;1,_xlfn.TEXTJOIN("",TRUE,"Fail x",K112))</f>
        <v>Fail</v>
      </c>
      <c r="N112" t="str">
        <f t="shared" si="10"/>
        <v>Pass, Fail</v>
      </c>
    </row>
    <row r="113" spans="8:14">
      <c r="H113" s="13">
        <f t="shared" si="8"/>
        <v>2</v>
      </c>
      <c r="I113" t="str" cm="1">
        <f t="array" ref="I113">_xlfn.IFS(H113&lt;1,"No",H113=1,"Yes",H113&gt;1,_xlfn.TEXTJOIN("",TRUE,"Yes x",H113))</f>
        <v>Yes x2</v>
      </c>
      <c r="J113" s="13">
        <f t="shared" si="9"/>
        <v>1</v>
      </c>
      <c r="K113" s="13">
        <f t="shared" si="6"/>
        <v>1</v>
      </c>
      <c r="L113" s="13" t="str" cm="1">
        <f t="array" ref="L113">_xlfn.IFS(J113&lt;1,"",J113=1,"Pass",J113&gt;1,_xlfn.TEXTJOIN("",TRUE,"Pass x",J113))</f>
        <v>Pass</v>
      </c>
      <c r="M113" s="13" t="str" cm="1">
        <f t="array" ref="M113">_xlfn.IFS(K113&lt;1,"",K113=1,"Fail",K113&gt;1,_xlfn.TEXTJOIN("",TRUE,"Fail x",K113))</f>
        <v>Fail</v>
      </c>
      <c r="N113" t="str">
        <f t="shared" si="10"/>
        <v>Pass, Fail</v>
      </c>
    </row>
    <row r="114" spans="8:14">
      <c r="H114" s="13">
        <f t="shared" si="8"/>
        <v>2</v>
      </c>
      <c r="I114" t="str" cm="1">
        <f t="array" ref="I114">_xlfn.IFS(H114&lt;1,"No",H114=1,"Yes",H114&gt;1,_xlfn.TEXTJOIN("",TRUE,"Yes x",H114))</f>
        <v>Yes x2</v>
      </c>
      <c r="J114" s="13">
        <f t="shared" si="9"/>
        <v>1</v>
      </c>
      <c r="K114" s="13">
        <f t="shared" si="6"/>
        <v>1</v>
      </c>
      <c r="L114" s="13" t="str" cm="1">
        <f t="array" ref="L114">_xlfn.IFS(J114&lt;1,"",J114=1,"Pass",J114&gt;1,_xlfn.TEXTJOIN("",TRUE,"Pass x",J114))</f>
        <v>Pass</v>
      </c>
      <c r="M114" s="13" t="str" cm="1">
        <f t="array" ref="M114">_xlfn.IFS(K114&lt;1,"",K114=1,"Fail",K114&gt;1,_xlfn.TEXTJOIN("",TRUE,"Fail x",K114))</f>
        <v>Fail</v>
      </c>
      <c r="N114" t="str">
        <f t="shared" si="10"/>
        <v>Pass, Fail</v>
      </c>
    </row>
    <row r="115" spans="8:14">
      <c r="H115" s="13">
        <f t="shared" si="8"/>
        <v>2</v>
      </c>
      <c r="I115" t="str" cm="1">
        <f t="array" ref="I115">_xlfn.IFS(H115&lt;1,"No",H115=1,"Yes",H115&gt;1,_xlfn.TEXTJOIN("",TRUE,"Yes x",H115))</f>
        <v>Yes x2</v>
      </c>
      <c r="J115" s="13">
        <f t="shared" si="9"/>
        <v>1</v>
      </c>
      <c r="K115" s="13">
        <f t="shared" si="6"/>
        <v>1</v>
      </c>
      <c r="L115" s="13" t="str" cm="1">
        <f t="array" ref="L115">_xlfn.IFS(J115&lt;1,"",J115=1,"Pass",J115&gt;1,_xlfn.TEXTJOIN("",TRUE,"Pass x",J115))</f>
        <v>Pass</v>
      </c>
      <c r="M115" s="13" t="str" cm="1">
        <f t="array" ref="M115">_xlfn.IFS(K115&lt;1,"",K115=1,"Fail",K115&gt;1,_xlfn.TEXTJOIN("",TRUE,"Fail x",K115))</f>
        <v>Fail</v>
      </c>
      <c r="N115" t="str">
        <f t="shared" si="10"/>
        <v>Pass, Fail</v>
      </c>
    </row>
    <row r="116" spans="8:14">
      <c r="H116" s="13">
        <f t="shared" si="8"/>
        <v>2</v>
      </c>
      <c r="I116" t="str" cm="1">
        <f t="array" ref="I116">_xlfn.IFS(H116&lt;1,"No",H116=1,"Yes",H116&gt;1,_xlfn.TEXTJOIN("",TRUE,"Yes x",H116))</f>
        <v>Yes x2</v>
      </c>
      <c r="J116" s="13">
        <f t="shared" si="9"/>
        <v>1</v>
      </c>
      <c r="K116" s="13">
        <f t="shared" si="6"/>
        <v>1</v>
      </c>
      <c r="L116" s="13" t="str" cm="1">
        <f t="array" ref="L116">_xlfn.IFS(J116&lt;1,"",J116=1,"Pass",J116&gt;1,_xlfn.TEXTJOIN("",TRUE,"Pass x",J116))</f>
        <v>Pass</v>
      </c>
      <c r="M116" s="13" t="str" cm="1">
        <f t="array" ref="M116">_xlfn.IFS(K116&lt;1,"",K116=1,"Fail",K116&gt;1,_xlfn.TEXTJOIN("",TRUE,"Fail x",K116))</f>
        <v>Fail</v>
      </c>
      <c r="N116" t="str">
        <f t="shared" si="10"/>
        <v>Pass, Fail</v>
      </c>
    </row>
    <row r="117" spans="8:14">
      <c r="H117" s="13">
        <f t="shared" si="8"/>
        <v>2</v>
      </c>
      <c r="I117" t="str" cm="1">
        <f t="array" ref="I117">_xlfn.IFS(H117&lt;1,"No",H117=1,"Yes",H117&gt;1,_xlfn.TEXTJOIN("",TRUE,"Yes x",H117))</f>
        <v>Yes x2</v>
      </c>
      <c r="J117" s="13">
        <f t="shared" si="9"/>
        <v>1</v>
      </c>
      <c r="K117" s="13">
        <f t="shared" si="6"/>
        <v>1</v>
      </c>
      <c r="L117" s="13" t="str" cm="1">
        <f t="array" ref="L117">_xlfn.IFS(J117&lt;1,"",J117=1,"Pass",J117&gt;1,_xlfn.TEXTJOIN("",TRUE,"Pass x",J117))</f>
        <v>Pass</v>
      </c>
      <c r="M117" s="13" t="str" cm="1">
        <f t="array" ref="M117">_xlfn.IFS(K117&lt;1,"",K117=1,"Fail",K117&gt;1,_xlfn.TEXTJOIN("",TRUE,"Fail x",K117))</f>
        <v>Fail</v>
      </c>
      <c r="N117" t="str">
        <f t="shared" si="10"/>
        <v>Pass, Fail</v>
      </c>
    </row>
    <row r="118" spans="8:14">
      <c r="H118" s="13">
        <f t="shared" si="8"/>
        <v>2</v>
      </c>
      <c r="I118" t="str" cm="1">
        <f t="array" ref="I118">_xlfn.IFS(H118&lt;1,"No",H118=1,"Yes",H118&gt;1,_xlfn.TEXTJOIN("",TRUE,"Yes x",H118))</f>
        <v>Yes x2</v>
      </c>
      <c r="J118" s="13">
        <f t="shared" si="9"/>
        <v>1</v>
      </c>
      <c r="K118" s="13">
        <f t="shared" si="6"/>
        <v>1</v>
      </c>
      <c r="L118" s="13" t="str" cm="1">
        <f t="array" ref="L118">_xlfn.IFS(J118&lt;1,"",J118=1,"Pass",J118&gt;1,_xlfn.TEXTJOIN("",TRUE,"Pass x",J118))</f>
        <v>Pass</v>
      </c>
      <c r="M118" s="13" t="str" cm="1">
        <f t="array" ref="M118">_xlfn.IFS(K118&lt;1,"",K118=1,"Fail",K118&gt;1,_xlfn.TEXTJOIN("",TRUE,"Fail x",K118))</f>
        <v>Fail</v>
      </c>
      <c r="N118" t="str">
        <f t="shared" si="10"/>
        <v>Pass, Fail</v>
      </c>
    </row>
    <row r="119" spans="8:14">
      <c r="H119" s="13">
        <f t="shared" si="8"/>
        <v>2</v>
      </c>
      <c r="I119" t="str" cm="1">
        <f t="array" ref="I119">_xlfn.IFS(H119&lt;1,"No",H119=1,"Yes",H119&gt;1,_xlfn.TEXTJOIN("",TRUE,"Yes x",H119))</f>
        <v>Yes x2</v>
      </c>
      <c r="J119" s="13">
        <f t="shared" si="9"/>
        <v>1</v>
      </c>
      <c r="K119" s="13">
        <f t="shared" si="6"/>
        <v>1</v>
      </c>
      <c r="L119" s="13" t="str" cm="1">
        <f t="array" ref="L119">_xlfn.IFS(J119&lt;1,"",J119=1,"Pass",J119&gt;1,_xlfn.TEXTJOIN("",TRUE,"Pass x",J119))</f>
        <v>Pass</v>
      </c>
      <c r="M119" s="13" t="str" cm="1">
        <f t="array" ref="M119">_xlfn.IFS(K119&lt;1,"",K119=1,"Fail",K119&gt;1,_xlfn.TEXTJOIN("",TRUE,"Fail x",K119))</f>
        <v>Fail</v>
      </c>
      <c r="N119" t="str">
        <f t="shared" si="10"/>
        <v>Pass, Fail</v>
      </c>
    </row>
    <row r="120" spans="8:14">
      <c r="H120" s="13">
        <f t="shared" si="8"/>
        <v>2</v>
      </c>
      <c r="I120" t="str" cm="1">
        <f t="array" ref="I120">_xlfn.IFS(H120&lt;1,"No",H120=1,"Yes",H120&gt;1,_xlfn.TEXTJOIN("",TRUE,"Yes x",H120))</f>
        <v>Yes x2</v>
      </c>
      <c r="J120" s="13">
        <f t="shared" si="9"/>
        <v>1</v>
      </c>
      <c r="K120" s="13">
        <f t="shared" si="6"/>
        <v>1</v>
      </c>
      <c r="L120" s="13" t="str" cm="1">
        <f t="array" ref="L120">_xlfn.IFS(J120&lt;1,"",J120=1,"Pass",J120&gt;1,_xlfn.TEXTJOIN("",TRUE,"Pass x",J120))</f>
        <v>Pass</v>
      </c>
      <c r="M120" s="13" t="str" cm="1">
        <f t="array" ref="M120">_xlfn.IFS(K120&lt;1,"",K120=1,"Fail",K120&gt;1,_xlfn.TEXTJOIN("",TRUE,"Fail x",K120))</f>
        <v>Fail</v>
      </c>
      <c r="N120" t="str">
        <f t="shared" si="10"/>
        <v>Pass, Fail</v>
      </c>
    </row>
    <row r="121" spans="8:14">
      <c r="H121" s="13">
        <f t="shared" si="8"/>
        <v>2</v>
      </c>
      <c r="I121" t="str" cm="1">
        <f t="array" ref="I121">_xlfn.IFS(H121&lt;1,"No",H121=1,"Yes",H121&gt;1,_xlfn.TEXTJOIN("",TRUE,"Yes x",H121))</f>
        <v>Yes x2</v>
      </c>
      <c r="J121" s="13">
        <f t="shared" si="9"/>
        <v>1</v>
      </c>
      <c r="K121" s="13">
        <f t="shared" si="6"/>
        <v>1</v>
      </c>
      <c r="L121" s="13" t="str" cm="1">
        <f t="array" ref="L121">_xlfn.IFS(J121&lt;1,"",J121=1,"Pass",J121&gt;1,_xlfn.TEXTJOIN("",TRUE,"Pass x",J121))</f>
        <v>Pass</v>
      </c>
      <c r="M121" s="13" t="str" cm="1">
        <f t="array" ref="M121">_xlfn.IFS(K121&lt;1,"",K121=1,"Fail",K121&gt;1,_xlfn.TEXTJOIN("",TRUE,"Fail x",K121))</f>
        <v>Fail</v>
      </c>
      <c r="N121" t="str">
        <f t="shared" si="10"/>
        <v>Pass, Fail</v>
      </c>
    </row>
    <row r="122" spans="8:14">
      <c r="H122" s="13">
        <f t="shared" si="8"/>
        <v>2</v>
      </c>
      <c r="I122" t="str" cm="1">
        <f t="array" ref="I122">_xlfn.IFS(H122&lt;1,"No",H122=1,"Yes",H122&gt;1,_xlfn.TEXTJOIN("",TRUE,"Yes x",H122))</f>
        <v>Yes x2</v>
      </c>
      <c r="J122" s="13">
        <f t="shared" si="9"/>
        <v>1</v>
      </c>
      <c r="K122" s="13">
        <f t="shared" si="6"/>
        <v>1</v>
      </c>
      <c r="L122" s="13" t="str" cm="1">
        <f t="array" ref="L122">_xlfn.IFS(J122&lt;1,"",J122=1,"Pass",J122&gt;1,_xlfn.TEXTJOIN("",TRUE,"Pass x",J122))</f>
        <v>Pass</v>
      </c>
      <c r="M122" s="13" t="str" cm="1">
        <f t="array" ref="M122">_xlfn.IFS(K122&lt;1,"",K122=1,"Fail",K122&gt;1,_xlfn.TEXTJOIN("",TRUE,"Fail x",K122))</f>
        <v>Fail</v>
      </c>
      <c r="N122" t="str">
        <f t="shared" si="10"/>
        <v>Pass, Fail</v>
      </c>
    </row>
    <row r="123" spans="8:14">
      <c r="H123" s="13">
        <f t="shared" si="8"/>
        <v>2</v>
      </c>
      <c r="I123" t="str" cm="1">
        <f t="array" ref="I123">_xlfn.IFS(H123&lt;1,"No",H123=1,"Yes",H123&gt;1,_xlfn.TEXTJOIN("",TRUE,"Yes x",H123))</f>
        <v>Yes x2</v>
      </c>
      <c r="J123" s="13">
        <f t="shared" si="9"/>
        <v>1</v>
      </c>
      <c r="K123" s="13">
        <f t="shared" si="6"/>
        <v>1</v>
      </c>
      <c r="L123" s="13" t="str" cm="1">
        <f t="array" ref="L123">_xlfn.IFS(J123&lt;1,"",J123=1,"Pass",J123&gt;1,_xlfn.TEXTJOIN("",TRUE,"Pass x",J123))</f>
        <v>Pass</v>
      </c>
      <c r="M123" s="13" t="str" cm="1">
        <f t="array" ref="M123">_xlfn.IFS(K123&lt;1,"",K123=1,"Fail",K123&gt;1,_xlfn.TEXTJOIN("",TRUE,"Fail x",K123))</f>
        <v>Fail</v>
      </c>
      <c r="N123" t="str">
        <f t="shared" si="10"/>
        <v>Pass, Fail</v>
      </c>
    </row>
    <row r="124" spans="8:14">
      <c r="H124" s="13">
        <f t="shared" si="8"/>
        <v>2</v>
      </c>
      <c r="I124" t="str" cm="1">
        <f t="array" ref="I124">_xlfn.IFS(H124&lt;1,"No",H124=1,"Yes",H124&gt;1,_xlfn.TEXTJOIN("",TRUE,"Yes x",H124))</f>
        <v>Yes x2</v>
      </c>
      <c r="J124" s="13">
        <f t="shared" si="9"/>
        <v>1</v>
      </c>
      <c r="K124" s="13">
        <f t="shared" si="6"/>
        <v>1</v>
      </c>
      <c r="L124" s="13" t="str" cm="1">
        <f t="array" ref="L124">_xlfn.IFS(J124&lt;1,"",J124=1,"Pass",J124&gt;1,_xlfn.TEXTJOIN("",TRUE,"Pass x",J124))</f>
        <v>Pass</v>
      </c>
      <c r="M124" s="13" t="str" cm="1">
        <f t="array" ref="M124">_xlfn.IFS(K124&lt;1,"",K124=1,"Fail",K124&gt;1,_xlfn.TEXTJOIN("",TRUE,"Fail x",K124))</f>
        <v>Fail</v>
      </c>
      <c r="N124" t="str">
        <f t="shared" si="10"/>
        <v>Pass, Fail</v>
      </c>
    </row>
    <row r="125" spans="8:14">
      <c r="H125" s="13">
        <f t="shared" si="8"/>
        <v>2</v>
      </c>
      <c r="I125" t="str" cm="1">
        <f t="array" ref="I125">_xlfn.IFS(H125&lt;1,"No",H125=1,"Yes",H125&gt;1,_xlfn.TEXTJOIN("",TRUE,"Yes x",H125))</f>
        <v>Yes x2</v>
      </c>
      <c r="J125" s="13">
        <f t="shared" si="9"/>
        <v>1</v>
      </c>
      <c r="K125" s="13">
        <f t="shared" si="6"/>
        <v>1</v>
      </c>
      <c r="L125" s="13" t="str" cm="1">
        <f t="array" ref="L125">_xlfn.IFS(J125&lt;1,"",J125=1,"Pass",J125&gt;1,_xlfn.TEXTJOIN("",TRUE,"Pass x",J125))</f>
        <v>Pass</v>
      </c>
      <c r="M125" s="13" t="str" cm="1">
        <f t="array" ref="M125">_xlfn.IFS(K125&lt;1,"",K125=1,"Fail",K125&gt;1,_xlfn.TEXTJOIN("",TRUE,"Fail x",K125))</f>
        <v>Fail</v>
      </c>
      <c r="N125" t="str">
        <f t="shared" si="10"/>
        <v>Pass, Fail</v>
      </c>
    </row>
    <row r="126" spans="8:14">
      <c r="H126" s="13">
        <f t="shared" si="8"/>
        <v>2</v>
      </c>
      <c r="I126" t="str" cm="1">
        <f t="array" ref="I126">_xlfn.IFS(H126&lt;1,"No",H126=1,"Yes",H126&gt;1,_xlfn.TEXTJOIN("",TRUE,"Yes x",H126))</f>
        <v>Yes x2</v>
      </c>
      <c r="J126" s="13">
        <f t="shared" si="9"/>
        <v>1</v>
      </c>
      <c r="K126" s="13">
        <f t="shared" si="6"/>
        <v>1</v>
      </c>
      <c r="L126" s="13" t="str" cm="1">
        <f t="array" ref="L126">_xlfn.IFS(J126&lt;1,"",J126=1,"Pass",J126&gt;1,_xlfn.TEXTJOIN("",TRUE,"Pass x",J126))</f>
        <v>Pass</v>
      </c>
      <c r="M126" s="13" t="str" cm="1">
        <f t="array" ref="M126">_xlfn.IFS(K126&lt;1,"",K126=1,"Fail",K126&gt;1,_xlfn.TEXTJOIN("",TRUE,"Fail x",K126))</f>
        <v>Fail</v>
      </c>
      <c r="N126" t="str">
        <f t="shared" si="10"/>
        <v>Pass, Fail</v>
      </c>
    </row>
    <row r="127" spans="8:14">
      <c r="H127" s="13">
        <f t="shared" si="8"/>
        <v>2</v>
      </c>
      <c r="I127" t="str" cm="1">
        <f t="array" ref="I127">_xlfn.IFS(H127&lt;1,"No",H127=1,"Yes",H127&gt;1,_xlfn.TEXTJOIN("",TRUE,"Yes x",H127))</f>
        <v>Yes x2</v>
      </c>
      <c r="J127" s="13">
        <f t="shared" si="9"/>
        <v>1</v>
      </c>
      <c r="K127" s="13">
        <f t="shared" si="6"/>
        <v>1</v>
      </c>
      <c r="L127" s="13" t="str" cm="1">
        <f t="array" ref="L127">_xlfn.IFS(J127&lt;1,"",J127=1,"Pass",J127&gt;1,_xlfn.TEXTJOIN("",TRUE,"Pass x",J127))</f>
        <v>Pass</v>
      </c>
      <c r="M127" s="13" t="str" cm="1">
        <f t="array" ref="M127">_xlfn.IFS(K127&lt;1,"",K127=1,"Fail",K127&gt;1,_xlfn.TEXTJOIN("",TRUE,"Fail x",K127))</f>
        <v>Fail</v>
      </c>
      <c r="N127" t="str">
        <f t="shared" si="10"/>
        <v>Pass, Fail</v>
      </c>
    </row>
    <row r="128" spans="8:14">
      <c r="H128" s="13">
        <f t="shared" si="8"/>
        <v>2</v>
      </c>
      <c r="I128" t="str" cm="1">
        <f t="array" ref="I128">_xlfn.IFS(H128&lt;1,"No",H128=1,"Yes",H128&gt;1,_xlfn.TEXTJOIN("",TRUE,"Yes x",H128))</f>
        <v>Yes x2</v>
      </c>
      <c r="J128" s="13">
        <f t="shared" si="9"/>
        <v>1</v>
      </c>
      <c r="K128" s="13">
        <f t="shared" si="6"/>
        <v>1</v>
      </c>
      <c r="L128" s="13" t="str" cm="1">
        <f t="array" ref="L128">_xlfn.IFS(J128&lt;1,"",J128=1,"Pass",J128&gt;1,_xlfn.TEXTJOIN("",TRUE,"Pass x",J128))</f>
        <v>Pass</v>
      </c>
      <c r="M128" s="13" t="str" cm="1">
        <f t="array" ref="M128">_xlfn.IFS(K128&lt;1,"",K128=1,"Fail",K128&gt;1,_xlfn.TEXTJOIN("",TRUE,"Fail x",K128))</f>
        <v>Fail</v>
      </c>
      <c r="N128" t="str">
        <f t="shared" si="10"/>
        <v>Pass, Fail</v>
      </c>
    </row>
    <row r="129" spans="8:14">
      <c r="H129" s="13">
        <f t="shared" si="8"/>
        <v>2</v>
      </c>
      <c r="I129" t="str" cm="1">
        <f t="array" ref="I129">_xlfn.IFS(H129&lt;1,"No",H129=1,"Yes",H129&gt;1,_xlfn.TEXTJOIN("",TRUE,"Yes x",H129))</f>
        <v>Yes x2</v>
      </c>
      <c r="J129" s="13">
        <f t="shared" si="9"/>
        <v>1</v>
      </c>
      <c r="K129" s="13">
        <f t="shared" si="6"/>
        <v>1</v>
      </c>
      <c r="L129" s="13" t="str" cm="1">
        <f t="array" ref="L129">_xlfn.IFS(J129&lt;1,"",J129=1,"Pass",J129&gt;1,_xlfn.TEXTJOIN("",TRUE,"Pass x",J129))</f>
        <v>Pass</v>
      </c>
      <c r="M129" s="13" t="str" cm="1">
        <f t="array" ref="M129">_xlfn.IFS(K129&lt;1,"",K129=1,"Fail",K129&gt;1,_xlfn.TEXTJOIN("",TRUE,"Fail x",K129))</f>
        <v>Fail</v>
      </c>
      <c r="N129" t="str">
        <f t="shared" si="10"/>
        <v>Pass, Fail</v>
      </c>
    </row>
    <row r="130" spans="8:14">
      <c r="H130" s="13">
        <f t="shared" si="8"/>
        <v>2</v>
      </c>
      <c r="I130" t="str" cm="1">
        <f t="array" ref="I130">_xlfn.IFS(H130&lt;1,"No",H130=1,"Yes",H130&gt;1,_xlfn.TEXTJOIN("",TRUE,"Yes x",H130))</f>
        <v>Yes x2</v>
      </c>
      <c r="J130" s="13">
        <f t="shared" si="9"/>
        <v>1</v>
      </c>
      <c r="K130" s="13">
        <f t="shared" si="6"/>
        <v>1</v>
      </c>
      <c r="L130" s="13" t="str" cm="1">
        <f t="array" ref="L130">_xlfn.IFS(J130&lt;1,"",J130=1,"Pass",J130&gt;1,_xlfn.TEXTJOIN("",TRUE,"Pass x",J130))</f>
        <v>Pass</v>
      </c>
      <c r="M130" s="13" t="str" cm="1">
        <f t="array" ref="M130">_xlfn.IFS(K130&lt;1,"",K130=1,"Fail",K130&gt;1,_xlfn.TEXTJOIN("",TRUE,"Fail x",K130))</f>
        <v>Fail</v>
      </c>
      <c r="N130" t="str">
        <f t="shared" si="10"/>
        <v>Pass, Fail</v>
      </c>
    </row>
    <row r="131" spans="8:14">
      <c r="H131" s="13">
        <f t="shared" si="8"/>
        <v>2</v>
      </c>
      <c r="I131" t="str" cm="1">
        <f t="array" ref="I131">_xlfn.IFS(H131&lt;1,"No",H131=1,"Yes",H131&gt;1,_xlfn.TEXTJOIN("",TRUE,"Yes x",H131))</f>
        <v>Yes x2</v>
      </c>
      <c r="J131" s="13">
        <f t="shared" si="9"/>
        <v>1</v>
      </c>
      <c r="K131" s="13">
        <f t="shared" ref="K131:K194" si="11">IFERROR(GETPIVOTDATA("Successful / Failed",$A$1,"System serial",G131,"Successful / Failed","Failed"),0)</f>
        <v>1</v>
      </c>
      <c r="L131" s="13" t="str" cm="1">
        <f t="array" ref="L131">_xlfn.IFS(J131&lt;1,"",J131=1,"Pass",J131&gt;1,_xlfn.TEXTJOIN("",TRUE,"Pass x",J131))</f>
        <v>Pass</v>
      </c>
      <c r="M131" s="13" t="str" cm="1">
        <f t="array" ref="M131">_xlfn.IFS(K131&lt;1,"",K131=1,"Fail",K131&gt;1,_xlfn.TEXTJOIN("",TRUE,"Fail x",K131))</f>
        <v>Fail</v>
      </c>
      <c r="N131" t="str">
        <f t="shared" si="10"/>
        <v>Pass, Fail</v>
      </c>
    </row>
    <row r="132" spans="8:14">
      <c r="H132" s="13">
        <f t="shared" si="8"/>
        <v>2</v>
      </c>
      <c r="I132" t="str" cm="1">
        <f t="array" ref="I132">_xlfn.IFS(H132&lt;1,"No",H132=1,"Yes",H132&gt;1,_xlfn.TEXTJOIN("",TRUE,"Yes x",H132))</f>
        <v>Yes x2</v>
      </c>
      <c r="J132" s="13">
        <f t="shared" si="9"/>
        <v>1</v>
      </c>
      <c r="K132" s="13">
        <f t="shared" si="11"/>
        <v>1</v>
      </c>
      <c r="L132" s="13" t="str" cm="1">
        <f t="array" ref="L132">_xlfn.IFS(J132&lt;1,"",J132=1,"Pass",J132&gt;1,_xlfn.TEXTJOIN("",TRUE,"Pass x",J132))</f>
        <v>Pass</v>
      </c>
      <c r="M132" s="13" t="str" cm="1">
        <f t="array" ref="M132">_xlfn.IFS(K132&lt;1,"",K132=1,"Fail",K132&gt;1,_xlfn.TEXTJOIN("",TRUE,"Fail x",K132))</f>
        <v>Fail</v>
      </c>
      <c r="N132" t="str">
        <f t="shared" si="10"/>
        <v>Pass, Fail</v>
      </c>
    </row>
    <row r="133" spans="8:14">
      <c r="H133" s="13">
        <f t="shared" si="8"/>
        <v>2</v>
      </c>
      <c r="I133" t="str" cm="1">
        <f t="array" ref="I133">_xlfn.IFS(H133&lt;1,"No",H133=1,"Yes",H133&gt;1,_xlfn.TEXTJOIN("",TRUE,"Yes x",H133))</f>
        <v>Yes x2</v>
      </c>
      <c r="J133" s="13">
        <f t="shared" si="9"/>
        <v>1</v>
      </c>
      <c r="K133" s="13">
        <f t="shared" si="11"/>
        <v>1</v>
      </c>
      <c r="L133" s="13" t="str" cm="1">
        <f t="array" ref="L133">_xlfn.IFS(J133&lt;1,"",J133=1,"Pass",J133&gt;1,_xlfn.TEXTJOIN("",TRUE,"Pass x",J133))</f>
        <v>Pass</v>
      </c>
      <c r="M133" s="13" t="str" cm="1">
        <f t="array" ref="M133">_xlfn.IFS(K133&lt;1,"",K133=1,"Fail",K133&gt;1,_xlfn.TEXTJOIN("",TRUE,"Fail x",K133))</f>
        <v>Fail</v>
      </c>
      <c r="N133" t="str">
        <f t="shared" si="10"/>
        <v>Pass, Fail</v>
      </c>
    </row>
    <row r="134" spans="8:14">
      <c r="H134" s="13">
        <f t="shared" si="8"/>
        <v>2</v>
      </c>
      <c r="I134" t="str" cm="1">
        <f t="array" ref="I134">_xlfn.IFS(H134&lt;1,"No",H134=1,"Yes",H134&gt;1,_xlfn.TEXTJOIN("",TRUE,"Yes x",H134))</f>
        <v>Yes x2</v>
      </c>
      <c r="J134" s="13">
        <f t="shared" si="9"/>
        <v>1</v>
      </c>
      <c r="K134" s="13">
        <f t="shared" si="11"/>
        <v>1</v>
      </c>
      <c r="L134" s="13" t="str" cm="1">
        <f t="array" ref="L134">_xlfn.IFS(J134&lt;1,"",J134=1,"Pass",J134&gt;1,_xlfn.TEXTJOIN("",TRUE,"Pass x",J134))</f>
        <v>Pass</v>
      </c>
      <c r="M134" s="13" t="str" cm="1">
        <f t="array" ref="M134">_xlfn.IFS(K134&lt;1,"",K134=1,"Fail",K134&gt;1,_xlfn.TEXTJOIN("",TRUE,"Fail x",K134))</f>
        <v>Fail</v>
      </c>
      <c r="N134" t="str">
        <f t="shared" si="10"/>
        <v>Pass, Fail</v>
      </c>
    </row>
    <row r="135" spans="8:14">
      <c r="H135" s="13">
        <f t="shared" si="8"/>
        <v>2</v>
      </c>
      <c r="I135" t="str" cm="1">
        <f t="array" ref="I135">_xlfn.IFS(H135&lt;1,"No",H135=1,"Yes",H135&gt;1,_xlfn.TEXTJOIN("",TRUE,"Yes x",H135))</f>
        <v>Yes x2</v>
      </c>
      <c r="J135" s="13">
        <f t="shared" si="9"/>
        <v>1</v>
      </c>
      <c r="K135" s="13">
        <f t="shared" si="11"/>
        <v>1</v>
      </c>
      <c r="L135" s="13" t="str" cm="1">
        <f t="array" ref="L135">_xlfn.IFS(J135&lt;1,"",J135=1,"Pass",J135&gt;1,_xlfn.TEXTJOIN("",TRUE,"Pass x",J135))</f>
        <v>Pass</v>
      </c>
      <c r="M135" s="13" t="str" cm="1">
        <f t="array" ref="M135">_xlfn.IFS(K135&lt;1,"",K135=1,"Fail",K135&gt;1,_xlfn.TEXTJOIN("",TRUE,"Fail x",K135))</f>
        <v>Fail</v>
      </c>
      <c r="N135" t="str">
        <f t="shared" si="10"/>
        <v>Pass, Fail</v>
      </c>
    </row>
    <row r="136" spans="8:14">
      <c r="H136" s="13">
        <f t="shared" si="8"/>
        <v>2</v>
      </c>
      <c r="I136" t="str" cm="1">
        <f t="array" ref="I136">_xlfn.IFS(H136&lt;1,"No",H136=1,"Yes",H136&gt;1,_xlfn.TEXTJOIN("",TRUE,"Yes x",H136))</f>
        <v>Yes x2</v>
      </c>
      <c r="J136" s="13">
        <f t="shared" si="9"/>
        <v>1</v>
      </c>
      <c r="K136" s="13">
        <f t="shared" si="11"/>
        <v>1</v>
      </c>
      <c r="L136" s="13" t="str" cm="1">
        <f t="array" ref="L136">_xlfn.IFS(J136&lt;1,"",J136=1,"Pass",J136&gt;1,_xlfn.TEXTJOIN("",TRUE,"Pass x",J136))</f>
        <v>Pass</v>
      </c>
      <c r="M136" s="13" t="str" cm="1">
        <f t="array" ref="M136">_xlfn.IFS(K136&lt;1,"",K136=1,"Fail",K136&gt;1,_xlfn.TEXTJOIN("",TRUE,"Fail x",K136))</f>
        <v>Fail</v>
      </c>
      <c r="N136" t="str">
        <f t="shared" si="10"/>
        <v>Pass, Fail</v>
      </c>
    </row>
    <row r="137" spans="8:14">
      <c r="H137" s="13">
        <f t="shared" si="8"/>
        <v>2</v>
      </c>
      <c r="I137" t="str" cm="1">
        <f t="array" ref="I137">_xlfn.IFS(H137&lt;1,"No",H137=1,"Yes",H137&gt;1,_xlfn.TEXTJOIN("",TRUE,"Yes x",H137))</f>
        <v>Yes x2</v>
      </c>
      <c r="J137" s="13">
        <f t="shared" si="9"/>
        <v>1</v>
      </c>
      <c r="K137" s="13">
        <f t="shared" si="11"/>
        <v>1</v>
      </c>
      <c r="L137" s="13" t="str" cm="1">
        <f t="array" ref="L137">_xlfn.IFS(J137&lt;1,"",J137=1,"Pass",J137&gt;1,_xlfn.TEXTJOIN("",TRUE,"Pass x",J137))</f>
        <v>Pass</v>
      </c>
      <c r="M137" s="13" t="str" cm="1">
        <f t="array" ref="M137">_xlfn.IFS(K137&lt;1,"",K137=1,"Fail",K137&gt;1,_xlfn.TEXTJOIN("",TRUE,"Fail x",K137))</f>
        <v>Fail</v>
      </c>
      <c r="N137" t="str">
        <f t="shared" si="10"/>
        <v>Pass, Fail</v>
      </c>
    </row>
    <row r="138" spans="8:14">
      <c r="H138" s="13">
        <f t="shared" si="8"/>
        <v>2</v>
      </c>
      <c r="I138" t="str" cm="1">
        <f t="array" ref="I138">_xlfn.IFS(H138&lt;1,"No",H138=1,"Yes",H138&gt;1,_xlfn.TEXTJOIN("",TRUE,"Yes x",H138))</f>
        <v>Yes x2</v>
      </c>
      <c r="J138" s="13">
        <f t="shared" si="9"/>
        <v>1</v>
      </c>
      <c r="K138" s="13">
        <f t="shared" si="11"/>
        <v>1</v>
      </c>
      <c r="L138" s="13" t="str" cm="1">
        <f t="array" ref="L138">_xlfn.IFS(J138&lt;1,"",J138=1,"Pass",J138&gt;1,_xlfn.TEXTJOIN("",TRUE,"Pass x",J138))</f>
        <v>Pass</v>
      </c>
      <c r="M138" s="13" t="str" cm="1">
        <f t="array" ref="M138">_xlfn.IFS(K138&lt;1,"",K138=1,"Fail",K138&gt;1,_xlfn.TEXTJOIN("",TRUE,"Fail x",K138))</f>
        <v>Fail</v>
      </c>
      <c r="N138" t="str">
        <f t="shared" si="10"/>
        <v>Pass, Fail</v>
      </c>
    </row>
    <row r="139" spans="8:14">
      <c r="H139" s="13">
        <f t="shared" si="8"/>
        <v>2</v>
      </c>
      <c r="I139" t="str" cm="1">
        <f t="array" ref="I139">_xlfn.IFS(H139&lt;1,"No",H139=1,"Yes",H139&gt;1,_xlfn.TEXTJOIN("",TRUE,"Yes x",H139))</f>
        <v>Yes x2</v>
      </c>
      <c r="J139" s="13">
        <f t="shared" si="9"/>
        <v>1</v>
      </c>
      <c r="K139" s="13">
        <f t="shared" si="11"/>
        <v>1</v>
      </c>
      <c r="L139" s="13" t="str" cm="1">
        <f t="array" ref="L139">_xlfn.IFS(J139&lt;1,"",J139=1,"Pass",J139&gt;1,_xlfn.TEXTJOIN("",TRUE,"Pass x",J139))</f>
        <v>Pass</v>
      </c>
      <c r="M139" s="13" t="str" cm="1">
        <f t="array" ref="M139">_xlfn.IFS(K139&lt;1,"",K139=1,"Fail",K139&gt;1,_xlfn.TEXTJOIN("",TRUE,"Fail x",K139))</f>
        <v>Fail</v>
      </c>
      <c r="N139" t="str">
        <f t="shared" si="10"/>
        <v>Pass, Fail</v>
      </c>
    </row>
    <row r="140" spans="8:14">
      <c r="H140" s="13">
        <f t="shared" si="8"/>
        <v>2</v>
      </c>
      <c r="I140" t="str" cm="1">
        <f t="array" ref="I140">_xlfn.IFS(H140&lt;1,"No",H140=1,"Yes",H140&gt;1,_xlfn.TEXTJOIN("",TRUE,"Yes x",H140))</f>
        <v>Yes x2</v>
      </c>
      <c r="J140" s="13">
        <f t="shared" si="9"/>
        <v>1</v>
      </c>
      <c r="K140" s="13">
        <f t="shared" si="11"/>
        <v>1</v>
      </c>
      <c r="L140" s="13" t="str" cm="1">
        <f t="array" ref="L140">_xlfn.IFS(J140&lt;1,"",J140=1,"Pass",J140&gt;1,_xlfn.TEXTJOIN("",TRUE,"Pass x",J140))</f>
        <v>Pass</v>
      </c>
      <c r="M140" s="13" t="str" cm="1">
        <f t="array" ref="M140">_xlfn.IFS(K140&lt;1,"",K140=1,"Fail",K140&gt;1,_xlfn.TEXTJOIN("",TRUE,"Fail x",K140))</f>
        <v>Fail</v>
      </c>
      <c r="N140" t="str">
        <f t="shared" si="10"/>
        <v>Pass, Fail</v>
      </c>
    </row>
    <row r="141" spans="8:14">
      <c r="H141" s="13">
        <f t="shared" si="8"/>
        <v>2</v>
      </c>
      <c r="I141" t="str" cm="1">
        <f t="array" ref="I141">_xlfn.IFS(H141&lt;1,"No",H141=1,"Yes",H141&gt;1,_xlfn.TEXTJOIN("",TRUE,"Yes x",H141))</f>
        <v>Yes x2</v>
      </c>
      <c r="J141" s="13">
        <f t="shared" si="9"/>
        <v>1</v>
      </c>
      <c r="K141" s="13">
        <f t="shared" si="11"/>
        <v>1</v>
      </c>
      <c r="L141" s="13" t="str" cm="1">
        <f t="array" ref="L141">_xlfn.IFS(J141&lt;1,"",J141=1,"Pass",J141&gt;1,_xlfn.TEXTJOIN("",TRUE,"Pass x",J141))</f>
        <v>Pass</v>
      </c>
      <c r="M141" s="13" t="str" cm="1">
        <f t="array" ref="M141">_xlfn.IFS(K141&lt;1,"",K141=1,"Fail",K141&gt;1,_xlfn.TEXTJOIN("",TRUE,"Fail x",K141))</f>
        <v>Fail</v>
      </c>
      <c r="N141" t="str">
        <f t="shared" si="10"/>
        <v>Pass, Fail</v>
      </c>
    </row>
    <row r="142" spans="8:14">
      <c r="H142" s="13">
        <f t="shared" si="8"/>
        <v>2</v>
      </c>
      <c r="I142" t="str" cm="1">
        <f t="array" ref="I142">_xlfn.IFS(H142&lt;1,"No",H142=1,"Yes",H142&gt;1,_xlfn.TEXTJOIN("",TRUE,"Yes x",H142))</f>
        <v>Yes x2</v>
      </c>
      <c r="J142" s="13">
        <f t="shared" si="9"/>
        <v>1</v>
      </c>
      <c r="K142" s="13">
        <f t="shared" si="11"/>
        <v>1</v>
      </c>
      <c r="L142" s="13" t="str" cm="1">
        <f t="array" ref="L142">_xlfn.IFS(J142&lt;1,"",J142=1,"Pass",J142&gt;1,_xlfn.TEXTJOIN("",TRUE,"Pass x",J142))</f>
        <v>Pass</v>
      </c>
      <c r="M142" s="13" t="str" cm="1">
        <f t="array" ref="M142">_xlfn.IFS(K142&lt;1,"",K142=1,"Fail",K142&gt;1,_xlfn.TEXTJOIN("",TRUE,"Fail x",K142))</f>
        <v>Fail</v>
      </c>
      <c r="N142" t="str">
        <f t="shared" si="10"/>
        <v>Pass, Fail</v>
      </c>
    </row>
    <row r="143" spans="8:14">
      <c r="H143" s="13">
        <f t="shared" si="8"/>
        <v>2</v>
      </c>
      <c r="I143" t="str" cm="1">
        <f t="array" ref="I143">_xlfn.IFS(H143&lt;1,"No",H143=1,"Yes",H143&gt;1,_xlfn.TEXTJOIN("",TRUE,"Yes x",H143))</f>
        <v>Yes x2</v>
      </c>
      <c r="J143" s="13">
        <f t="shared" si="9"/>
        <v>1</v>
      </c>
      <c r="K143" s="13">
        <f t="shared" si="11"/>
        <v>1</v>
      </c>
      <c r="L143" s="13" t="str" cm="1">
        <f t="array" ref="L143">_xlfn.IFS(J143&lt;1,"",J143=1,"Pass",J143&gt;1,_xlfn.TEXTJOIN("",TRUE,"Pass x",J143))</f>
        <v>Pass</v>
      </c>
      <c r="M143" s="13" t="str" cm="1">
        <f t="array" ref="M143">_xlfn.IFS(K143&lt;1,"",K143=1,"Fail",K143&gt;1,_xlfn.TEXTJOIN("",TRUE,"Fail x",K143))</f>
        <v>Fail</v>
      </c>
      <c r="N143" t="str">
        <f t="shared" si="10"/>
        <v>Pass, Fail</v>
      </c>
    </row>
    <row r="144" spans="8:14">
      <c r="H144" s="13">
        <f t="shared" si="8"/>
        <v>2</v>
      </c>
      <c r="I144" t="str" cm="1">
        <f t="array" ref="I144">_xlfn.IFS(H144&lt;1,"No",H144=1,"Yes",H144&gt;1,_xlfn.TEXTJOIN("",TRUE,"Yes x",H144))</f>
        <v>Yes x2</v>
      </c>
      <c r="J144" s="13">
        <f t="shared" si="9"/>
        <v>1</v>
      </c>
      <c r="K144" s="13">
        <f t="shared" si="11"/>
        <v>1</v>
      </c>
      <c r="L144" s="13" t="str" cm="1">
        <f t="array" ref="L144">_xlfn.IFS(J144&lt;1,"",J144=1,"Pass",J144&gt;1,_xlfn.TEXTJOIN("",TRUE,"Pass x",J144))</f>
        <v>Pass</v>
      </c>
      <c r="M144" s="13" t="str" cm="1">
        <f t="array" ref="M144">_xlfn.IFS(K144&lt;1,"",K144=1,"Fail",K144&gt;1,_xlfn.TEXTJOIN("",TRUE,"Fail x",K144))</f>
        <v>Fail</v>
      </c>
      <c r="N144" t="str">
        <f t="shared" si="10"/>
        <v>Pass, Fail</v>
      </c>
    </row>
    <row r="145" spans="8:14">
      <c r="H145" s="13">
        <f t="shared" si="8"/>
        <v>2</v>
      </c>
      <c r="I145" t="str" cm="1">
        <f t="array" ref="I145">_xlfn.IFS(H145&lt;1,"No",H145=1,"Yes",H145&gt;1,_xlfn.TEXTJOIN("",TRUE,"Yes x",H145))</f>
        <v>Yes x2</v>
      </c>
      <c r="J145" s="13">
        <f t="shared" si="9"/>
        <v>1</v>
      </c>
      <c r="K145" s="13">
        <f t="shared" si="11"/>
        <v>1</v>
      </c>
      <c r="L145" s="13" t="str" cm="1">
        <f t="array" ref="L145">_xlfn.IFS(J145&lt;1,"",J145=1,"Pass",J145&gt;1,_xlfn.TEXTJOIN("",TRUE,"Pass x",J145))</f>
        <v>Pass</v>
      </c>
      <c r="M145" s="13" t="str" cm="1">
        <f t="array" ref="M145">_xlfn.IFS(K145&lt;1,"",K145=1,"Fail",K145&gt;1,_xlfn.TEXTJOIN("",TRUE,"Fail x",K145))</f>
        <v>Fail</v>
      </c>
      <c r="N145" t="str">
        <f t="shared" si="10"/>
        <v>Pass, Fail</v>
      </c>
    </row>
    <row r="146" spans="8:14">
      <c r="H146" s="13">
        <f t="shared" si="8"/>
        <v>2</v>
      </c>
      <c r="I146" t="str" cm="1">
        <f t="array" ref="I146">_xlfn.IFS(H146&lt;1,"No",H146=1,"Yes",H146&gt;1,_xlfn.TEXTJOIN("",TRUE,"Yes x",H146))</f>
        <v>Yes x2</v>
      </c>
      <c r="J146" s="13">
        <f t="shared" si="9"/>
        <v>1</v>
      </c>
      <c r="K146" s="13">
        <f t="shared" si="11"/>
        <v>1</v>
      </c>
      <c r="L146" s="13" t="str" cm="1">
        <f t="array" ref="L146">_xlfn.IFS(J146&lt;1,"",J146=1,"Pass",J146&gt;1,_xlfn.TEXTJOIN("",TRUE,"Pass x",J146))</f>
        <v>Pass</v>
      </c>
      <c r="M146" s="13" t="str" cm="1">
        <f t="array" ref="M146">_xlfn.IFS(K146&lt;1,"",K146=1,"Fail",K146&gt;1,_xlfn.TEXTJOIN("",TRUE,"Fail x",K146))</f>
        <v>Fail</v>
      </c>
      <c r="N146" t="str">
        <f t="shared" si="10"/>
        <v>Pass, Fail</v>
      </c>
    </row>
    <row r="147" spans="8:14">
      <c r="H147" s="13">
        <f t="shared" si="8"/>
        <v>2</v>
      </c>
      <c r="I147" t="str" cm="1">
        <f t="array" ref="I147">_xlfn.IFS(H147&lt;1,"No",H147=1,"Yes",H147&gt;1,_xlfn.TEXTJOIN("",TRUE,"Yes x",H147))</f>
        <v>Yes x2</v>
      </c>
      <c r="J147" s="13">
        <f t="shared" si="9"/>
        <v>1</v>
      </c>
      <c r="K147" s="13">
        <f t="shared" si="11"/>
        <v>1</v>
      </c>
      <c r="L147" s="13" t="str" cm="1">
        <f t="array" ref="L147">_xlfn.IFS(J147&lt;1,"",J147=1,"Pass",J147&gt;1,_xlfn.TEXTJOIN("",TRUE,"Pass x",J147))</f>
        <v>Pass</v>
      </c>
      <c r="M147" s="13" t="str" cm="1">
        <f t="array" ref="M147">_xlfn.IFS(K147&lt;1,"",K147=1,"Fail",K147&gt;1,_xlfn.TEXTJOIN("",TRUE,"Fail x",K147))</f>
        <v>Fail</v>
      </c>
      <c r="N147" t="str">
        <f t="shared" si="10"/>
        <v>Pass, Fail</v>
      </c>
    </row>
    <row r="148" spans="8:14">
      <c r="H148" s="13">
        <f t="shared" si="8"/>
        <v>2</v>
      </c>
      <c r="I148" t="str" cm="1">
        <f t="array" ref="I148">_xlfn.IFS(H148&lt;1,"No",H148=1,"Yes",H148&gt;1,_xlfn.TEXTJOIN("",TRUE,"Yes x",H148))</f>
        <v>Yes x2</v>
      </c>
      <c r="J148" s="13">
        <f t="shared" si="9"/>
        <v>1</v>
      </c>
      <c r="K148" s="13">
        <f t="shared" si="11"/>
        <v>1</v>
      </c>
      <c r="L148" s="13" t="str" cm="1">
        <f t="array" ref="L148">_xlfn.IFS(J148&lt;1,"",J148=1,"Pass",J148&gt;1,_xlfn.TEXTJOIN("",TRUE,"Pass x",J148))</f>
        <v>Pass</v>
      </c>
      <c r="M148" s="13" t="str" cm="1">
        <f t="array" ref="M148">_xlfn.IFS(K148&lt;1,"",K148=1,"Fail",K148&gt;1,_xlfn.TEXTJOIN("",TRUE,"Fail x",K148))</f>
        <v>Fail</v>
      </c>
      <c r="N148" t="str">
        <f t="shared" si="10"/>
        <v>Pass, Fail</v>
      </c>
    </row>
    <row r="149" spans="8:14">
      <c r="H149" s="13">
        <f t="shared" si="8"/>
        <v>2</v>
      </c>
      <c r="I149" t="str" cm="1">
        <f t="array" ref="I149">_xlfn.IFS(H149&lt;1,"No",H149=1,"Yes",H149&gt;1,_xlfn.TEXTJOIN("",TRUE,"Yes x",H149))</f>
        <v>Yes x2</v>
      </c>
      <c r="J149" s="13">
        <f t="shared" si="9"/>
        <v>1</v>
      </c>
      <c r="K149" s="13">
        <f t="shared" si="11"/>
        <v>1</v>
      </c>
      <c r="L149" s="13" t="str" cm="1">
        <f t="array" ref="L149">_xlfn.IFS(J149&lt;1,"",J149=1,"Pass",J149&gt;1,_xlfn.TEXTJOIN("",TRUE,"Pass x",J149))</f>
        <v>Pass</v>
      </c>
      <c r="M149" s="13" t="str" cm="1">
        <f t="array" ref="M149">_xlfn.IFS(K149&lt;1,"",K149=1,"Fail",K149&gt;1,_xlfn.TEXTJOIN("",TRUE,"Fail x",K149))</f>
        <v>Fail</v>
      </c>
      <c r="N149" t="str">
        <f t="shared" si="10"/>
        <v>Pass, Fail</v>
      </c>
    </row>
    <row r="150" spans="8:14">
      <c r="H150" s="13">
        <f t="shared" si="8"/>
        <v>2</v>
      </c>
      <c r="I150" t="str" cm="1">
        <f t="array" ref="I150">_xlfn.IFS(H150&lt;1,"No",H150=1,"Yes",H150&gt;1,_xlfn.TEXTJOIN("",TRUE,"Yes x",H150))</f>
        <v>Yes x2</v>
      </c>
      <c r="J150" s="13">
        <f t="shared" si="9"/>
        <v>1</v>
      </c>
      <c r="K150" s="13">
        <f t="shared" si="11"/>
        <v>1</v>
      </c>
      <c r="L150" s="13" t="str" cm="1">
        <f t="array" ref="L150">_xlfn.IFS(J150&lt;1,"",J150=1,"Pass",J150&gt;1,_xlfn.TEXTJOIN("",TRUE,"Pass x",J150))</f>
        <v>Pass</v>
      </c>
      <c r="M150" s="13" t="str" cm="1">
        <f t="array" ref="M150">_xlfn.IFS(K150&lt;1,"",K150=1,"Fail",K150&gt;1,_xlfn.TEXTJOIN("",TRUE,"Fail x",K150))</f>
        <v>Fail</v>
      </c>
      <c r="N150" t="str">
        <f t="shared" si="10"/>
        <v>Pass, Fail</v>
      </c>
    </row>
    <row r="151" spans="8:14">
      <c r="H151" s="13">
        <f t="shared" si="8"/>
        <v>2</v>
      </c>
      <c r="I151" t="str" cm="1">
        <f t="array" ref="I151">_xlfn.IFS(H151&lt;1,"No",H151=1,"Yes",H151&gt;1,_xlfn.TEXTJOIN("",TRUE,"Yes x",H151))</f>
        <v>Yes x2</v>
      </c>
      <c r="J151" s="13">
        <f t="shared" si="9"/>
        <v>1</v>
      </c>
      <c r="K151" s="13">
        <f t="shared" si="11"/>
        <v>1</v>
      </c>
      <c r="L151" s="13" t="str" cm="1">
        <f t="array" ref="L151">_xlfn.IFS(J151&lt;1,"",J151=1,"Pass",J151&gt;1,_xlfn.TEXTJOIN("",TRUE,"Pass x",J151))</f>
        <v>Pass</v>
      </c>
      <c r="M151" s="13" t="str" cm="1">
        <f t="array" ref="M151">_xlfn.IFS(K151&lt;1,"",K151=1,"Fail",K151&gt;1,_xlfn.TEXTJOIN("",TRUE,"Fail x",K151))</f>
        <v>Fail</v>
      </c>
      <c r="N151" t="str">
        <f t="shared" si="10"/>
        <v>Pass, Fail</v>
      </c>
    </row>
    <row r="152" spans="8:14">
      <c r="H152" s="13">
        <f t="shared" si="8"/>
        <v>2</v>
      </c>
      <c r="I152" t="str" cm="1">
        <f t="array" ref="I152">_xlfn.IFS(H152&lt;1,"No",H152=1,"Yes",H152&gt;1,_xlfn.TEXTJOIN("",TRUE,"Yes x",H152))</f>
        <v>Yes x2</v>
      </c>
      <c r="J152" s="13">
        <f t="shared" si="9"/>
        <v>1</v>
      </c>
      <c r="K152" s="13">
        <f t="shared" si="11"/>
        <v>1</v>
      </c>
      <c r="L152" s="13" t="str" cm="1">
        <f t="array" ref="L152">_xlfn.IFS(J152&lt;1,"",J152=1,"Pass",J152&gt;1,_xlfn.TEXTJOIN("",TRUE,"Pass x",J152))</f>
        <v>Pass</v>
      </c>
      <c r="M152" s="13" t="str" cm="1">
        <f t="array" ref="M152">_xlfn.IFS(K152&lt;1,"",K152=1,"Fail",K152&gt;1,_xlfn.TEXTJOIN("",TRUE,"Fail x",K152))</f>
        <v>Fail</v>
      </c>
      <c r="N152" t="str">
        <f t="shared" si="10"/>
        <v>Pass, Fail</v>
      </c>
    </row>
    <row r="153" spans="8:14">
      <c r="H153" s="13">
        <f t="shared" si="8"/>
        <v>2</v>
      </c>
      <c r="I153" t="str" cm="1">
        <f t="array" ref="I153">_xlfn.IFS(H153&lt;1,"No",H153=1,"Yes",H153&gt;1,_xlfn.TEXTJOIN("",TRUE,"Yes x",H153))</f>
        <v>Yes x2</v>
      </c>
      <c r="J153" s="13">
        <f t="shared" si="9"/>
        <v>1</v>
      </c>
      <c r="K153" s="13">
        <f t="shared" si="11"/>
        <v>1</v>
      </c>
      <c r="L153" s="13" t="str" cm="1">
        <f t="array" ref="L153">_xlfn.IFS(J153&lt;1,"",J153=1,"Pass",J153&gt;1,_xlfn.TEXTJOIN("",TRUE,"Pass x",J153))</f>
        <v>Pass</v>
      </c>
      <c r="M153" s="13" t="str" cm="1">
        <f t="array" ref="M153">_xlfn.IFS(K153&lt;1,"",K153=1,"Fail",K153&gt;1,_xlfn.TEXTJOIN("",TRUE,"Fail x",K153))</f>
        <v>Fail</v>
      </c>
      <c r="N153" t="str">
        <f t="shared" si="10"/>
        <v>Pass, Fail</v>
      </c>
    </row>
    <row r="154" spans="8:14">
      <c r="H154" s="13">
        <f t="shared" si="8"/>
        <v>2</v>
      </c>
      <c r="I154" t="str" cm="1">
        <f t="array" ref="I154">_xlfn.IFS(H154&lt;1,"No",H154=1,"Yes",H154&gt;1,_xlfn.TEXTJOIN("",TRUE,"Yes x",H154))</f>
        <v>Yes x2</v>
      </c>
      <c r="J154" s="13">
        <f t="shared" si="9"/>
        <v>1</v>
      </c>
      <c r="K154" s="13">
        <f t="shared" si="11"/>
        <v>1</v>
      </c>
      <c r="L154" s="13" t="str" cm="1">
        <f t="array" ref="L154">_xlfn.IFS(J154&lt;1,"",J154=1,"Pass",J154&gt;1,_xlfn.TEXTJOIN("",TRUE,"Pass x",J154))</f>
        <v>Pass</v>
      </c>
      <c r="M154" s="13" t="str" cm="1">
        <f t="array" ref="M154">_xlfn.IFS(K154&lt;1,"",K154=1,"Fail",K154&gt;1,_xlfn.TEXTJOIN("",TRUE,"Fail x",K154))</f>
        <v>Fail</v>
      </c>
      <c r="N154" t="str">
        <f t="shared" si="10"/>
        <v>Pass, Fail</v>
      </c>
    </row>
    <row r="155" spans="8:14">
      <c r="H155" s="13">
        <f t="shared" si="8"/>
        <v>2</v>
      </c>
      <c r="I155" t="str" cm="1">
        <f t="array" ref="I155">_xlfn.IFS(H155&lt;1,"No",H155=1,"Yes",H155&gt;1,_xlfn.TEXTJOIN("",TRUE,"Yes x",H155))</f>
        <v>Yes x2</v>
      </c>
      <c r="J155" s="13">
        <f t="shared" si="9"/>
        <v>1</v>
      </c>
      <c r="K155" s="13">
        <f t="shared" si="11"/>
        <v>1</v>
      </c>
      <c r="L155" s="13" t="str" cm="1">
        <f t="array" ref="L155">_xlfn.IFS(J155&lt;1,"",J155=1,"Pass",J155&gt;1,_xlfn.TEXTJOIN("",TRUE,"Pass x",J155))</f>
        <v>Pass</v>
      </c>
      <c r="M155" s="13" t="str" cm="1">
        <f t="array" ref="M155">_xlfn.IFS(K155&lt;1,"",K155=1,"Fail",K155&gt;1,_xlfn.TEXTJOIN("",TRUE,"Fail x",K155))</f>
        <v>Fail</v>
      </c>
      <c r="N155" t="str">
        <f t="shared" si="10"/>
        <v>Pass, Fail</v>
      </c>
    </row>
    <row r="156" spans="8:14">
      <c r="H156" s="13">
        <f t="shared" si="8"/>
        <v>2</v>
      </c>
      <c r="I156" t="str" cm="1">
        <f t="array" ref="I156">_xlfn.IFS(H156&lt;1,"No",H156=1,"Yes",H156&gt;1,_xlfn.TEXTJOIN("",TRUE,"Yes x",H156))</f>
        <v>Yes x2</v>
      </c>
      <c r="J156" s="13">
        <f t="shared" si="9"/>
        <v>1</v>
      </c>
      <c r="K156" s="13">
        <f t="shared" si="11"/>
        <v>1</v>
      </c>
      <c r="L156" s="13" t="str" cm="1">
        <f t="array" ref="L156">_xlfn.IFS(J156&lt;1,"",J156=1,"Pass",J156&gt;1,_xlfn.TEXTJOIN("",TRUE,"Pass x",J156))</f>
        <v>Pass</v>
      </c>
      <c r="M156" s="13" t="str" cm="1">
        <f t="array" ref="M156">_xlfn.IFS(K156&lt;1,"",K156=1,"Fail",K156&gt;1,_xlfn.TEXTJOIN("",TRUE,"Fail x",K156))</f>
        <v>Fail</v>
      </c>
      <c r="N156" t="str">
        <f t="shared" si="10"/>
        <v>Pass, Fail</v>
      </c>
    </row>
    <row r="157" spans="8:14">
      <c r="H157" s="13">
        <f t="shared" si="8"/>
        <v>2</v>
      </c>
      <c r="I157" t="str" cm="1">
        <f t="array" ref="I157">_xlfn.IFS(H157&lt;1,"No",H157=1,"Yes",H157&gt;1,_xlfn.TEXTJOIN("",TRUE,"Yes x",H157))</f>
        <v>Yes x2</v>
      </c>
      <c r="J157" s="13">
        <f t="shared" si="9"/>
        <v>1</v>
      </c>
      <c r="K157" s="13">
        <f t="shared" si="11"/>
        <v>1</v>
      </c>
      <c r="L157" s="13" t="str" cm="1">
        <f t="array" ref="L157">_xlfn.IFS(J157&lt;1,"",J157=1,"Pass",J157&gt;1,_xlfn.TEXTJOIN("",TRUE,"Pass x",J157))</f>
        <v>Pass</v>
      </c>
      <c r="M157" s="13" t="str" cm="1">
        <f t="array" ref="M157">_xlfn.IFS(K157&lt;1,"",K157=1,"Fail",K157&gt;1,_xlfn.TEXTJOIN("",TRUE,"Fail x",K157))</f>
        <v>Fail</v>
      </c>
      <c r="N157" t="str">
        <f t="shared" si="10"/>
        <v>Pass, Fail</v>
      </c>
    </row>
    <row r="158" spans="8:14">
      <c r="H158" s="13">
        <f t="shared" si="8"/>
        <v>2</v>
      </c>
      <c r="I158" t="str" cm="1">
        <f t="array" ref="I158">_xlfn.IFS(H158&lt;1,"No",H158=1,"Yes",H158&gt;1,_xlfn.TEXTJOIN("",TRUE,"Yes x",H158))</f>
        <v>Yes x2</v>
      </c>
      <c r="J158" s="13">
        <f t="shared" si="9"/>
        <v>1</v>
      </c>
      <c r="K158" s="13">
        <f t="shared" si="11"/>
        <v>1</v>
      </c>
      <c r="L158" s="13" t="str" cm="1">
        <f t="array" ref="L158">_xlfn.IFS(J158&lt;1,"",J158=1,"Pass",J158&gt;1,_xlfn.TEXTJOIN("",TRUE,"Pass x",J158))</f>
        <v>Pass</v>
      </c>
      <c r="M158" s="13" t="str" cm="1">
        <f t="array" ref="M158">_xlfn.IFS(K158&lt;1,"",K158=1,"Fail",K158&gt;1,_xlfn.TEXTJOIN("",TRUE,"Fail x",K158))</f>
        <v>Fail</v>
      </c>
      <c r="N158" t="str">
        <f t="shared" si="10"/>
        <v>Pass, Fail</v>
      </c>
    </row>
    <row r="159" spans="8:14">
      <c r="H159" s="13">
        <f t="shared" si="8"/>
        <v>2</v>
      </c>
      <c r="I159" t="str" cm="1">
        <f t="array" ref="I159">_xlfn.IFS(H159&lt;1,"No",H159=1,"Yes",H159&gt;1,_xlfn.TEXTJOIN("",TRUE,"Yes x",H159))</f>
        <v>Yes x2</v>
      </c>
      <c r="J159" s="13">
        <f t="shared" si="9"/>
        <v>1</v>
      </c>
      <c r="K159" s="13">
        <f t="shared" si="11"/>
        <v>1</v>
      </c>
      <c r="L159" s="13" t="str" cm="1">
        <f t="array" ref="L159">_xlfn.IFS(J159&lt;1,"",J159=1,"Pass",J159&gt;1,_xlfn.TEXTJOIN("",TRUE,"Pass x",J159))</f>
        <v>Pass</v>
      </c>
      <c r="M159" s="13" t="str" cm="1">
        <f t="array" ref="M159">_xlfn.IFS(K159&lt;1,"",K159=1,"Fail",K159&gt;1,_xlfn.TEXTJOIN("",TRUE,"Fail x",K159))</f>
        <v>Fail</v>
      </c>
      <c r="N159" t="str">
        <f t="shared" si="10"/>
        <v>Pass, Fail</v>
      </c>
    </row>
    <row r="160" spans="8:14">
      <c r="H160" s="13">
        <f t="shared" si="8"/>
        <v>2</v>
      </c>
      <c r="I160" t="str" cm="1">
        <f t="array" ref="I160">_xlfn.IFS(H160&lt;1,"No",H160=1,"Yes",H160&gt;1,_xlfn.TEXTJOIN("",TRUE,"Yes x",H160))</f>
        <v>Yes x2</v>
      </c>
      <c r="J160" s="13">
        <f t="shared" si="9"/>
        <v>1</v>
      </c>
      <c r="K160" s="13">
        <f t="shared" si="11"/>
        <v>1</v>
      </c>
      <c r="L160" s="13" t="str" cm="1">
        <f t="array" ref="L160">_xlfn.IFS(J160&lt;1,"",J160=1,"Pass",J160&gt;1,_xlfn.TEXTJOIN("",TRUE,"Pass x",J160))</f>
        <v>Pass</v>
      </c>
      <c r="M160" s="13" t="str" cm="1">
        <f t="array" ref="M160">_xlfn.IFS(K160&lt;1,"",K160=1,"Fail",K160&gt;1,_xlfn.TEXTJOIN("",TRUE,"Fail x",K160))</f>
        <v>Fail</v>
      </c>
      <c r="N160" t="str">
        <f t="shared" si="10"/>
        <v>Pass, Fail</v>
      </c>
    </row>
    <row r="161" spans="8:14">
      <c r="H161" s="13">
        <f t="shared" si="8"/>
        <v>2</v>
      </c>
      <c r="I161" t="str" cm="1">
        <f t="array" ref="I161">_xlfn.IFS(H161&lt;1,"No",H161=1,"Yes",H161&gt;1,_xlfn.TEXTJOIN("",TRUE,"Yes x",H161))</f>
        <v>Yes x2</v>
      </c>
      <c r="J161" s="13">
        <f t="shared" si="9"/>
        <v>1</v>
      </c>
      <c r="K161" s="13">
        <f t="shared" si="11"/>
        <v>1</v>
      </c>
      <c r="L161" s="13" t="str" cm="1">
        <f t="array" ref="L161">_xlfn.IFS(J161&lt;1,"",J161=1,"Pass",J161&gt;1,_xlfn.TEXTJOIN("",TRUE,"Pass x",J161))</f>
        <v>Pass</v>
      </c>
      <c r="M161" s="13" t="str" cm="1">
        <f t="array" ref="M161">_xlfn.IFS(K161&lt;1,"",K161=1,"Fail",K161&gt;1,_xlfn.TEXTJOIN("",TRUE,"Fail x",K161))</f>
        <v>Fail</v>
      </c>
      <c r="N161" t="str">
        <f t="shared" si="10"/>
        <v>Pass, Fail</v>
      </c>
    </row>
    <row r="162" spans="8:14">
      <c r="H162" s="13">
        <f t="shared" si="8"/>
        <v>2</v>
      </c>
      <c r="I162" t="str" cm="1">
        <f t="array" ref="I162">_xlfn.IFS(H162&lt;1,"No",H162=1,"Yes",H162&gt;1,_xlfn.TEXTJOIN("",TRUE,"Yes x",H162))</f>
        <v>Yes x2</v>
      </c>
      <c r="J162" s="13">
        <f t="shared" si="9"/>
        <v>1</v>
      </c>
      <c r="K162" s="13">
        <f t="shared" si="11"/>
        <v>1</v>
      </c>
      <c r="L162" s="13" t="str" cm="1">
        <f t="array" ref="L162">_xlfn.IFS(J162&lt;1,"",J162=1,"Pass",J162&gt;1,_xlfn.TEXTJOIN("",TRUE,"Pass x",J162))</f>
        <v>Pass</v>
      </c>
      <c r="M162" s="13" t="str" cm="1">
        <f t="array" ref="M162">_xlfn.IFS(K162&lt;1,"",K162=1,"Fail",K162&gt;1,_xlfn.TEXTJOIN("",TRUE,"Fail x",K162))</f>
        <v>Fail</v>
      </c>
      <c r="N162" t="str">
        <f t="shared" si="10"/>
        <v>Pass, Fail</v>
      </c>
    </row>
    <row r="163" spans="8:14">
      <c r="H163" s="13">
        <f t="shared" si="8"/>
        <v>2</v>
      </c>
      <c r="I163" t="str" cm="1">
        <f t="array" ref="I163">_xlfn.IFS(H163&lt;1,"No",H163=1,"Yes",H163&gt;1,_xlfn.TEXTJOIN("",TRUE,"Yes x",H163))</f>
        <v>Yes x2</v>
      </c>
      <c r="J163" s="13">
        <f t="shared" si="9"/>
        <v>1</v>
      </c>
      <c r="K163" s="13">
        <f t="shared" si="11"/>
        <v>1</v>
      </c>
      <c r="L163" s="13" t="str" cm="1">
        <f t="array" ref="L163">_xlfn.IFS(J163&lt;1,"",J163=1,"Pass",J163&gt;1,_xlfn.TEXTJOIN("",TRUE,"Pass x",J163))</f>
        <v>Pass</v>
      </c>
      <c r="M163" s="13" t="str" cm="1">
        <f t="array" ref="M163">_xlfn.IFS(K163&lt;1,"",K163=1,"Fail",K163&gt;1,_xlfn.TEXTJOIN("",TRUE,"Fail x",K163))</f>
        <v>Fail</v>
      </c>
      <c r="N163" t="str">
        <f t="shared" si="10"/>
        <v>Pass, Fail</v>
      </c>
    </row>
    <row r="164" spans="8:14">
      <c r="H164" s="13">
        <f t="shared" ref="H164:H227" si="12">IFERROR(GETPIVOTDATA("Successful / Failed",$A$1,"System serial",G164),0)</f>
        <v>2</v>
      </c>
      <c r="I164" t="str" cm="1">
        <f t="array" ref="I164">_xlfn.IFS(H164&lt;1,"No",H164=1,"Yes",H164&gt;1,_xlfn.TEXTJOIN("",TRUE,"Yes x",H164))</f>
        <v>Yes x2</v>
      </c>
      <c r="J164" s="13">
        <f t="shared" ref="J164:J227" si="13">IFERROR(GETPIVOTDATA("Successful / Failed",$A$1,"System serial",G164,"Successful / Failed","Successful"),0)</f>
        <v>1</v>
      </c>
      <c r="K164" s="13">
        <f t="shared" si="11"/>
        <v>1</v>
      </c>
      <c r="L164" s="13" t="str" cm="1">
        <f t="array" ref="L164">_xlfn.IFS(J164&lt;1,"",J164=1,"Pass",J164&gt;1,_xlfn.TEXTJOIN("",TRUE,"Pass x",J164))</f>
        <v>Pass</v>
      </c>
      <c r="M164" s="13" t="str" cm="1">
        <f t="array" ref="M164">_xlfn.IFS(K164&lt;1,"",K164=1,"Fail",K164&gt;1,_xlfn.TEXTJOIN("",TRUE,"Fail x",K164))</f>
        <v>Fail</v>
      </c>
      <c r="N164" t="str">
        <f t="shared" ref="N164:N227" si="14">_xlfn.TEXTJOIN(", ",TRUE, L164, M164)</f>
        <v>Pass, Fail</v>
      </c>
    </row>
    <row r="165" spans="8:14">
      <c r="H165" s="13">
        <f t="shared" si="12"/>
        <v>2</v>
      </c>
      <c r="I165" t="str" cm="1">
        <f t="array" ref="I165">_xlfn.IFS(H165&lt;1,"No",H165=1,"Yes",H165&gt;1,_xlfn.TEXTJOIN("",TRUE,"Yes x",H165))</f>
        <v>Yes x2</v>
      </c>
      <c r="J165" s="13">
        <f t="shared" si="13"/>
        <v>1</v>
      </c>
      <c r="K165" s="13">
        <f t="shared" si="11"/>
        <v>1</v>
      </c>
      <c r="L165" s="13" t="str" cm="1">
        <f t="array" ref="L165">_xlfn.IFS(J165&lt;1,"",J165=1,"Pass",J165&gt;1,_xlfn.TEXTJOIN("",TRUE,"Pass x",J165))</f>
        <v>Pass</v>
      </c>
      <c r="M165" s="13" t="str" cm="1">
        <f t="array" ref="M165">_xlfn.IFS(K165&lt;1,"",K165=1,"Fail",K165&gt;1,_xlfn.TEXTJOIN("",TRUE,"Fail x",K165))</f>
        <v>Fail</v>
      </c>
      <c r="N165" t="str">
        <f t="shared" si="14"/>
        <v>Pass, Fail</v>
      </c>
    </row>
    <row r="166" spans="8:14">
      <c r="H166" s="13">
        <f t="shared" si="12"/>
        <v>2</v>
      </c>
      <c r="I166" t="str" cm="1">
        <f t="array" ref="I166">_xlfn.IFS(H166&lt;1,"No",H166=1,"Yes",H166&gt;1,_xlfn.TEXTJOIN("",TRUE,"Yes x",H166))</f>
        <v>Yes x2</v>
      </c>
      <c r="J166" s="13">
        <f t="shared" si="13"/>
        <v>1</v>
      </c>
      <c r="K166" s="13">
        <f t="shared" si="11"/>
        <v>1</v>
      </c>
      <c r="L166" s="13" t="str" cm="1">
        <f t="array" ref="L166">_xlfn.IFS(J166&lt;1,"",J166=1,"Pass",J166&gt;1,_xlfn.TEXTJOIN("",TRUE,"Pass x",J166))</f>
        <v>Pass</v>
      </c>
      <c r="M166" s="13" t="str" cm="1">
        <f t="array" ref="M166">_xlfn.IFS(K166&lt;1,"",K166=1,"Fail",K166&gt;1,_xlfn.TEXTJOIN("",TRUE,"Fail x",K166))</f>
        <v>Fail</v>
      </c>
      <c r="N166" t="str">
        <f t="shared" si="14"/>
        <v>Pass, Fail</v>
      </c>
    </row>
    <row r="167" spans="8:14">
      <c r="H167" s="13">
        <f t="shared" si="12"/>
        <v>2</v>
      </c>
      <c r="I167" t="str" cm="1">
        <f t="array" ref="I167">_xlfn.IFS(H167&lt;1,"No",H167=1,"Yes",H167&gt;1,_xlfn.TEXTJOIN("",TRUE,"Yes x",H167))</f>
        <v>Yes x2</v>
      </c>
      <c r="J167" s="13">
        <f t="shared" si="13"/>
        <v>1</v>
      </c>
      <c r="K167" s="13">
        <f t="shared" si="11"/>
        <v>1</v>
      </c>
      <c r="L167" s="13" t="str" cm="1">
        <f t="array" ref="L167">_xlfn.IFS(J167&lt;1,"",J167=1,"Pass",J167&gt;1,_xlfn.TEXTJOIN("",TRUE,"Pass x",J167))</f>
        <v>Pass</v>
      </c>
      <c r="M167" s="13" t="str" cm="1">
        <f t="array" ref="M167">_xlfn.IFS(K167&lt;1,"",K167=1,"Fail",K167&gt;1,_xlfn.TEXTJOIN("",TRUE,"Fail x",K167))</f>
        <v>Fail</v>
      </c>
      <c r="N167" t="str">
        <f t="shared" si="14"/>
        <v>Pass, Fail</v>
      </c>
    </row>
    <row r="168" spans="8:14">
      <c r="H168" s="13">
        <f t="shared" si="12"/>
        <v>2</v>
      </c>
      <c r="I168" t="str" cm="1">
        <f t="array" ref="I168">_xlfn.IFS(H168&lt;1,"No",H168=1,"Yes",H168&gt;1,_xlfn.TEXTJOIN("",TRUE,"Yes x",H168))</f>
        <v>Yes x2</v>
      </c>
      <c r="J168" s="13">
        <f t="shared" si="13"/>
        <v>1</v>
      </c>
      <c r="K168" s="13">
        <f t="shared" si="11"/>
        <v>1</v>
      </c>
      <c r="L168" s="13" t="str" cm="1">
        <f t="array" ref="L168">_xlfn.IFS(J168&lt;1,"",J168=1,"Pass",J168&gt;1,_xlfn.TEXTJOIN("",TRUE,"Pass x",J168))</f>
        <v>Pass</v>
      </c>
      <c r="M168" s="13" t="str" cm="1">
        <f t="array" ref="M168">_xlfn.IFS(K168&lt;1,"",K168=1,"Fail",K168&gt;1,_xlfn.TEXTJOIN("",TRUE,"Fail x",K168))</f>
        <v>Fail</v>
      </c>
      <c r="N168" t="str">
        <f t="shared" si="14"/>
        <v>Pass, Fail</v>
      </c>
    </row>
    <row r="169" spans="8:14">
      <c r="H169" s="13">
        <f t="shared" si="12"/>
        <v>2</v>
      </c>
      <c r="I169" t="str" cm="1">
        <f t="array" ref="I169">_xlfn.IFS(H169&lt;1,"No",H169=1,"Yes",H169&gt;1,_xlfn.TEXTJOIN("",TRUE,"Yes x",H169))</f>
        <v>Yes x2</v>
      </c>
      <c r="J169" s="13">
        <f t="shared" si="13"/>
        <v>1</v>
      </c>
      <c r="K169" s="13">
        <f t="shared" si="11"/>
        <v>1</v>
      </c>
      <c r="L169" s="13" t="str" cm="1">
        <f t="array" ref="L169">_xlfn.IFS(J169&lt;1,"",J169=1,"Pass",J169&gt;1,_xlfn.TEXTJOIN("",TRUE,"Pass x",J169))</f>
        <v>Pass</v>
      </c>
      <c r="M169" s="13" t="str" cm="1">
        <f t="array" ref="M169">_xlfn.IFS(K169&lt;1,"",K169=1,"Fail",K169&gt;1,_xlfn.TEXTJOIN("",TRUE,"Fail x",K169))</f>
        <v>Fail</v>
      </c>
      <c r="N169" t="str">
        <f t="shared" si="14"/>
        <v>Pass, Fail</v>
      </c>
    </row>
    <row r="170" spans="8:14">
      <c r="H170" s="13">
        <f t="shared" si="12"/>
        <v>2</v>
      </c>
      <c r="I170" t="str" cm="1">
        <f t="array" ref="I170">_xlfn.IFS(H170&lt;1,"No",H170=1,"Yes",H170&gt;1,_xlfn.TEXTJOIN("",TRUE,"Yes x",H170))</f>
        <v>Yes x2</v>
      </c>
      <c r="J170" s="13">
        <f t="shared" si="13"/>
        <v>1</v>
      </c>
      <c r="K170" s="13">
        <f t="shared" si="11"/>
        <v>1</v>
      </c>
      <c r="L170" s="13" t="str" cm="1">
        <f t="array" ref="L170">_xlfn.IFS(J170&lt;1,"",J170=1,"Pass",J170&gt;1,_xlfn.TEXTJOIN("",TRUE,"Pass x",J170))</f>
        <v>Pass</v>
      </c>
      <c r="M170" s="13" t="str" cm="1">
        <f t="array" ref="M170">_xlfn.IFS(K170&lt;1,"",K170=1,"Fail",K170&gt;1,_xlfn.TEXTJOIN("",TRUE,"Fail x",K170))</f>
        <v>Fail</v>
      </c>
      <c r="N170" t="str">
        <f t="shared" si="14"/>
        <v>Pass, Fail</v>
      </c>
    </row>
    <row r="171" spans="8:14">
      <c r="H171" s="13">
        <f t="shared" si="12"/>
        <v>2</v>
      </c>
      <c r="I171" t="str" cm="1">
        <f t="array" ref="I171">_xlfn.IFS(H171&lt;1,"No",H171=1,"Yes",H171&gt;1,_xlfn.TEXTJOIN("",TRUE,"Yes x",H171))</f>
        <v>Yes x2</v>
      </c>
      <c r="J171" s="13">
        <f t="shared" si="13"/>
        <v>1</v>
      </c>
      <c r="K171" s="13">
        <f t="shared" si="11"/>
        <v>1</v>
      </c>
      <c r="L171" s="13" t="str" cm="1">
        <f t="array" ref="L171">_xlfn.IFS(J171&lt;1,"",J171=1,"Pass",J171&gt;1,_xlfn.TEXTJOIN("",TRUE,"Pass x",J171))</f>
        <v>Pass</v>
      </c>
      <c r="M171" s="13" t="str" cm="1">
        <f t="array" ref="M171">_xlfn.IFS(K171&lt;1,"",K171=1,"Fail",K171&gt;1,_xlfn.TEXTJOIN("",TRUE,"Fail x",K171))</f>
        <v>Fail</v>
      </c>
      <c r="N171" t="str">
        <f t="shared" si="14"/>
        <v>Pass, Fail</v>
      </c>
    </row>
    <row r="172" spans="8:14">
      <c r="H172" s="13">
        <f t="shared" si="12"/>
        <v>2</v>
      </c>
      <c r="I172" t="str" cm="1">
        <f t="array" ref="I172">_xlfn.IFS(H172&lt;1,"No",H172=1,"Yes",H172&gt;1,_xlfn.TEXTJOIN("",TRUE,"Yes x",H172))</f>
        <v>Yes x2</v>
      </c>
      <c r="J172" s="13">
        <f t="shared" si="13"/>
        <v>1</v>
      </c>
      <c r="K172" s="13">
        <f t="shared" si="11"/>
        <v>1</v>
      </c>
      <c r="L172" s="13" t="str" cm="1">
        <f t="array" ref="L172">_xlfn.IFS(J172&lt;1,"",J172=1,"Pass",J172&gt;1,_xlfn.TEXTJOIN("",TRUE,"Pass x",J172))</f>
        <v>Pass</v>
      </c>
      <c r="M172" s="13" t="str" cm="1">
        <f t="array" ref="M172">_xlfn.IFS(K172&lt;1,"",K172=1,"Fail",K172&gt;1,_xlfn.TEXTJOIN("",TRUE,"Fail x",K172))</f>
        <v>Fail</v>
      </c>
      <c r="N172" t="str">
        <f t="shared" si="14"/>
        <v>Pass, Fail</v>
      </c>
    </row>
    <row r="173" spans="8:14">
      <c r="H173" s="13">
        <f t="shared" si="12"/>
        <v>2</v>
      </c>
      <c r="I173" t="str" cm="1">
        <f t="array" ref="I173">_xlfn.IFS(H173&lt;1,"No",H173=1,"Yes",H173&gt;1,_xlfn.TEXTJOIN("",TRUE,"Yes x",H173))</f>
        <v>Yes x2</v>
      </c>
      <c r="J173" s="13">
        <f t="shared" si="13"/>
        <v>1</v>
      </c>
      <c r="K173" s="13">
        <f t="shared" si="11"/>
        <v>1</v>
      </c>
      <c r="L173" s="13" t="str" cm="1">
        <f t="array" ref="L173">_xlfn.IFS(J173&lt;1,"",J173=1,"Pass",J173&gt;1,_xlfn.TEXTJOIN("",TRUE,"Pass x",J173))</f>
        <v>Pass</v>
      </c>
      <c r="M173" s="13" t="str" cm="1">
        <f t="array" ref="M173">_xlfn.IFS(K173&lt;1,"",K173=1,"Fail",K173&gt;1,_xlfn.TEXTJOIN("",TRUE,"Fail x",K173))</f>
        <v>Fail</v>
      </c>
      <c r="N173" t="str">
        <f t="shared" si="14"/>
        <v>Pass, Fail</v>
      </c>
    </row>
    <row r="174" spans="8:14">
      <c r="H174" s="13">
        <f t="shared" si="12"/>
        <v>2</v>
      </c>
      <c r="I174" t="str" cm="1">
        <f t="array" ref="I174">_xlfn.IFS(H174&lt;1,"No",H174=1,"Yes",H174&gt;1,_xlfn.TEXTJOIN("",TRUE,"Yes x",H174))</f>
        <v>Yes x2</v>
      </c>
      <c r="J174" s="13">
        <f t="shared" si="13"/>
        <v>1</v>
      </c>
      <c r="K174" s="13">
        <f t="shared" si="11"/>
        <v>1</v>
      </c>
      <c r="L174" s="13" t="str" cm="1">
        <f t="array" ref="L174">_xlfn.IFS(J174&lt;1,"",J174=1,"Pass",J174&gt;1,_xlfn.TEXTJOIN("",TRUE,"Pass x",J174))</f>
        <v>Pass</v>
      </c>
      <c r="M174" s="13" t="str" cm="1">
        <f t="array" ref="M174">_xlfn.IFS(K174&lt;1,"",K174=1,"Fail",K174&gt;1,_xlfn.TEXTJOIN("",TRUE,"Fail x",K174))</f>
        <v>Fail</v>
      </c>
      <c r="N174" t="str">
        <f t="shared" si="14"/>
        <v>Pass, Fail</v>
      </c>
    </row>
    <row r="175" spans="8:14">
      <c r="H175" s="13">
        <f t="shared" si="12"/>
        <v>2</v>
      </c>
      <c r="I175" t="str" cm="1">
        <f t="array" ref="I175">_xlfn.IFS(H175&lt;1,"No",H175=1,"Yes",H175&gt;1,_xlfn.TEXTJOIN("",TRUE,"Yes x",H175))</f>
        <v>Yes x2</v>
      </c>
      <c r="J175" s="13">
        <f t="shared" si="13"/>
        <v>1</v>
      </c>
      <c r="K175" s="13">
        <f t="shared" si="11"/>
        <v>1</v>
      </c>
      <c r="L175" s="13" t="str" cm="1">
        <f t="array" ref="L175">_xlfn.IFS(J175&lt;1,"",J175=1,"Pass",J175&gt;1,_xlfn.TEXTJOIN("",TRUE,"Pass x",J175))</f>
        <v>Pass</v>
      </c>
      <c r="M175" s="13" t="str" cm="1">
        <f t="array" ref="M175">_xlfn.IFS(K175&lt;1,"",K175=1,"Fail",K175&gt;1,_xlfn.TEXTJOIN("",TRUE,"Fail x",K175))</f>
        <v>Fail</v>
      </c>
      <c r="N175" t="str">
        <f t="shared" si="14"/>
        <v>Pass, Fail</v>
      </c>
    </row>
    <row r="176" spans="8:14">
      <c r="H176" s="13">
        <f t="shared" si="12"/>
        <v>2</v>
      </c>
      <c r="I176" t="str" cm="1">
        <f t="array" ref="I176">_xlfn.IFS(H176&lt;1,"No",H176=1,"Yes",H176&gt;1,_xlfn.TEXTJOIN("",TRUE,"Yes x",H176))</f>
        <v>Yes x2</v>
      </c>
      <c r="J176" s="13">
        <f t="shared" si="13"/>
        <v>1</v>
      </c>
      <c r="K176" s="13">
        <f t="shared" si="11"/>
        <v>1</v>
      </c>
      <c r="L176" s="13" t="str" cm="1">
        <f t="array" ref="L176">_xlfn.IFS(J176&lt;1,"",J176=1,"Pass",J176&gt;1,_xlfn.TEXTJOIN("",TRUE,"Pass x",J176))</f>
        <v>Pass</v>
      </c>
      <c r="M176" s="13" t="str" cm="1">
        <f t="array" ref="M176">_xlfn.IFS(K176&lt;1,"",K176=1,"Fail",K176&gt;1,_xlfn.TEXTJOIN("",TRUE,"Fail x",K176))</f>
        <v>Fail</v>
      </c>
      <c r="N176" t="str">
        <f t="shared" si="14"/>
        <v>Pass, Fail</v>
      </c>
    </row>
    <row r="177" spans="8:14">
      <c r="H177" s="13">
        <f t="shared" si="12"/>
        <v>2</v>
      </c>
      <c r="I177" t="str" cm="1">
        <f t="array" ref="I177">_xlfn.IFS(H177&lt;1,"No",H177=1,"Yes",H177&gt;1,_xlfn.TEXTJOIN("",TRUE,"Yes x",H177))</f>
        <v>Yes x2</v>
      </c>
      <c r="J177" s="13">
        <f t="shared" si="13"/>
        <v>1</v>
      </c>
      <c r="K177" s="13">
        <f t="shared" si="11"/>
        <v>1</v>
      </c>
      <c r="L177" s="13" t="str" cm="1">
        <f t="array" ref="L177">_xlfn.IFS(J177&lt;1,"",J177=1,"Pass",J177&gt;1,_xlfn.TEXTJOIN("",TRUE,"Pass x",J177))</f>
        <v>Pass</v>
      </c>
      <c r="M177" s="13" t="str" cm="1">
        <f t="array" ref="M177">_xlfn.IFS(K177&lt;1,"",K177=1,"Fail",K177&gt;1,_xlfn.TEXTJOIN("",TRUE,"Fail x",K177))</f>
        <v>Fail</v>
      </c>
      <c r="N177" t="str">
        <f t="shared" si="14"/>
        <v>Pass, Fail</v>
      </c>
    </row>
    <row r="178" spans="8:14">
      <c r="H178" s="13">
        <f t="shared" si="12"/>
        <v>2</v>
      </c>
      <c r="I178" t="str" cm="1">
        <f t="array" ref="I178">_xlfn.IFS(H178&lt;1,"No",H178=1,"Yes",H178&gt;1,_xlfn.TEXTJOIN("",TRUE,"Yes x",H178))</f>
        <v>Yes x2</v>
      </c>
      <c r="J178" s="13">
        <f t="shared" si="13"/>
        <v>1</v>
      </c>
      <c r="K178" s="13">
        <f t="shared" si="11"/>
        <v>1</v>
      </c>
      <c r="L178" s="13" t="str" cm="1">
        <f t="array" ref="L178">_xlfn.IFS(J178&lt;1,"",J178=1,"Pass",J178&gt;1,_xlfn.TEXTJOIN("",TRUE,"Pass x",J178))</f>
        <v>Pass</v>
      </c>
      <c r="M178" s="13" t="str" cm="1">
        <f t="array" ref="M178">_xlfn.IFS(K178&lt;1,"",K178=1,"Fail",K178&gt;1,_xlfn.TEXTJOIN("",TRUE,"Fail x",K178))</f>
        <v>Fail</v>
      </c>
      <c r="N178" t="str">
        <f t="shared" si="14"/>
        <v>Pass, Fail</v>
      </c>
    </row>
    <row r="179" spans="8:14">
      <c r="H179" s="13">
        <f t="shared" si="12"/>
        <v>2</v>
      </c>
      <c r="I179" t="str" cm="1">
        <f t="array" ref="I179">_xlfn.IFS(H179&lt;1,"No",H179=1,"Yes",H179&gt;1,_xlfn.TEXTJOIN("",TRUE,"Yes x",H179))</f>
        <v>Yes x2</v>
      </c>
      <c r="J179" s="13">
        <f t="shared" si="13"/>
        <v>1</v>
      </c>
      <c r="K179" s="13">
        <f t="shared" si="11"/>
        <v>1</v>
      </c>
      <c r="L179" s="13" t="str" cm="1">
        <f t="array" ref="L179">_xlfn.IFS(J179&lt;1,"",J179=1,"Pass",J179&gt;1,_xlfn.TEXTJOIN("",TRUE,"Pass x",J179))</f>
        <v>Pass</v>
      </c>
      <c r="M179" s="13" t="str" cm="1">
        <f t="array" ref="M179">_xlfn.IFS(K179&lt;1,"",K179=1,"Fail",K179&gt;1,_xlfn.TEXTJOIN("",TRUE,"Fail x",K179))</f>
        <v>Fail</v>
      </c>
      <c r="N179" t="str">
        <f t="shared" si="14"/>
        <v>Pass, Fail</v>
      </c>
    </row>
    <row r="180" spans="8:14">
      <c r="H180" s="13">
        <f t="shared" si="12"/>
        <v>2</v>
      </c>
      <c r="I180" t="str" cm="1">
        <f t="array" ref="I180">_xlfn.IFS(H180&lt;1,"No",H180=1,"Yes",H180&gt;1,_xlfn.TEXTJOIN("",TRUE,"Yes x",H180))</f>
        <v>Yes x2</v>
      </c>
      <c r="J180" s="13">
        <f t="shared" si="13"/>
        <v>1</v>
      </c>
      <c r="K180" s="13">
        <f t="shared" si="11"/>
        <v>1</v>
      </c>
      <c r="L180" s="13" t="str" cm="1">
        <f t="array" ref="L180">_xlfn.IFS(J180&lt;1,"",J180=1,"Pass",J180&gt;1,_xlfn.TEXTJOIN("",TRUE,"Pass x",J180))</f>
        <v>Pass</v>
      </c>
      <c r="M180" s="13" t="str" cm="1">
        <f t="array" ref="M180">_xlfn.IFS(K180&lt;1,"",K180=1,"Fail",K180&gt;1,_xlfn.TEXTJOIN("",TRUE,"Fail x",K180))</f>
        <v>Fail</v>
      </c>
      <c r="N180" t="str">
        <f t="shared" si="14"/>
        <v>Pass, Fail</v>
      </c>
    </row>
    <row r="181" spans="8:14">
      <c r="H181" s="13">
        <f t="shared" si="12"/>
        <v>2</v>
      </c>
      <c r="I181" t="str" cm="1">
        <f t="array" ref="I181">_xlfn.IFS(H181&lt;1,"No",H181=1,"Yes",H181&gt;1,_xlfn.TEXTJOIN("",TRUE,"Yes x",H181))</f>
        <v>Yes x2</v>
      </c>
      <c r="J181" s="13">
        <f t="shared" si="13"/>
        <v>1</v>
      </c>
      <c r="K181" s="13">
        <f t="shared" si="11"/>
        <v>1</v>
      </c>
      <c r="L181" s="13" t="str" cm="1">
        <f t="array" ref="L181">_xlfn.IFS(J181&lt;1,"",J181=1,"Pass",J181&gt;1,_xlfn.TEXTJOIN("",TRUE,"Pass x",J181))</f>
        <v>Pass</v>
      </c>
      <c r="M181" s="13" t="str" cm="1">
        <f t="array" ref="M181">_xlfn.IFS(K181&lt;1,"",K181=1,"Fail",K181&gt;1,_xlfn.TEXTJOIN("",TRUE,"Fail x",K181))</f>
        <v>Fail</v>
      </c>
      <c r="N181" t="str">
        <f t="shared" si="14"/>
        <v>Pass, Fail</v>
      </c>
    </row>
    <row r="182" spans="8:14">
      <c r="H182" s="13">
        <f t="shared" si="12"/>
        <v>2</v>
      </c>
      <c r="I182" t="str" cm="1">
        <f t="array" ref="I182">_xlfn.IFS(H182&lt;1,"No",H182=1,"Yes",H182&gt;1,_xlfn.TEXTJOIN("",TRUE,"Yes x",H182))</f>
        <v>Yes x2</v>
      </c>
      <c r="J182" s="13">
        <f t="shared" si="13"/>
        <v>1</v>
      </c>
      <c r="K182" s="13">
        <f t="shared" si="11"/>
        <v>1</v>
      </c>
      <c r="L182" s="13" t="str" cm="1">
        <f t="array" ref="L182">_xlfn.IFS(J182&lt;1,"",J182=1,"Pass",J182&gt;1,_xlfn.TEXTJOIN("",TRUE,"Pass x",J182))</f>
        <v>Pass</v>
      </c>
      <c r="M182" s="13" t="str" cm="1">
        <f t="array" ref="M182">_xlfn.IFS(K182&lt;1,"",K182=1,"Fail",K182&gt;1,_xlfn.TEXTJOIN("",TRUE,"Fail x",K182))</f>
        <v>Fail</v>
      </c>
      <c r="N182" t="str">
        <f t="shared" si="14"/>
        <v>Pass, Fail</v>
      </c>
    </row>
    <row r="183" spans="8:14">
      <c r="H183" s="13">
        <f t="shared" si="12"/>
        <v>2</v>
      </c>
      <c r="I183" t="str" cm="1">
        <f t="array" ref="I183">_xlfn.IFS(H183&lt;1,"No",H183=1,"Yes",H183&gt;1,_xlfn.TEXTJOIN("",TRUE,"Yes x",H183))</f>
        <v>Yes x2</v>
      </c>
      <c r="J183" s="13">
        <f t="shared" si="13"/>
        <v>1</v>
      </c>
      <c r="K183" s="13">
        <f t="shared" si="11"/>
        <v>1</v>
      </c>
      <c r="L183" s="13" t="str" cm="1">
        <f t="array" ref="L183">_xlfn.IFS(J183&lt;1,"",J183=1,"Pass",J183&gt;1,_xlfn.TEXTJOIN("",TRUE,"Pass x",J183))</f>
        <v>Pass</v>
      </c>
      <c r="M183" s="13" t="str" cm="1">
        <f t="array" ref="M183">_xlfn.IFS(K183&lt;1,"",K183=1,"Fail",K183&gt;1,_xlfn.TEXTJOIN("",TRUE,"Fail x",K183))</f>
        <v>Fail</v>
      </c>
      <c r="N183" t="str">
        <f t="shared" si="14"/>
        <v>Pass, Fail</v>
      </c>
    </row>
    <row r="184" spans="8:14">
      <c r="H184" s="13">
        <f t="shared" si="12"/>
        <v>2</v>
      </c>
      <c r="I184" t="str" cm="1">
        <f t="array" ref="I184">_xlfn.IFS(H184&lt;1,"No",H184=1,"Yes",H184&gt;1,_xlfn.TEXTJOIN("",TRUE,"Yes x",H184))</f>
        <v>Yes x2</v>
      </c>
      <c r="J184" s="13">
        <f t="shared" si="13"/>
        <v>1</v>
      </c>
      <c r="K184" s="13">
        <f t="shared" si="11"/>
        <v>1</v>
      </c>
      <c r="L184" s="13" t="str" cm="1">
        <f t="array" ref="L184">_xlfn.IFS(J184&lt;1,"",J184=1,"Pass",J184&gt;1,_xlfn.TEXTJOIN("",TRUE,"Pass x",J184))</f>
        <v>Pass</v>
      </c>
      <c r="M184" s="13" t="str" cm="1">
        <f t="array" ref="M184">_xlfn.IFS(K184&lt;1,"",K184=1,"Fail",K184&gt;1,_xlfn.TEXTJOIN("",TRUE,"Fail x",K184))</f>
        <v>Fail</v>
      </c>
      <c r="N184" t="str">
        <f t="shared" si="14"/>
        <v>Pass, Fail</v>
      </c>
    </row>
    <row r="185" spans="8:14">
      <c r="H185" s="13">
        <f t="shared" si="12"/>
        <v>2</v>
      </c>
      <c r="I185" t="str" cm="1">
        <f t="array" ref="I185">_xlfn.IFS(H185&lt;1,"No",H185=1,"Yes",H185&gt;1,_xlfn.TEXTJOIN("",TRUE,"Yes x",H185))</f>
        <v>Yes x2</v>
      </c>
      <c r="J185" s="13">
        <f t="shared" si="13"/>
        <v>1</v>
      </c>
      <c r="K185" s="13">
        <f t="shared" si="11"/>
        <v>1</v>
      </c>
      <c r="L185" s="13" t="str" cm="1">
        <f t="array" ref="L185">_xlfn.IFS(J185&lt;1,"",J185=1,"Pass",J185&gt;1,_xlfn.TEXTJOIN("",TRUE,"Pass x",J185))</f>
        <v>Pass</v>
      </c>
      <c r="M185" s="13" t="str" cm="1">
        <f t="array" ref="M185">_xlfn.IFS(K185&lt;1,"",K185=1,"Fail",K185&gt;1,_xlfn.TEXTJOIN("",TRUE,"Fail x",K185))</f>
        <v>Fail</v>
      </c>
      <c r="N185" t="str">
        <f t="shared" si="14"/>
        <v>Pass, Fail</v>
      </c>
    </row>
    <row r="186" spans="8:14">
      <c r="H186" s="13">
        <f t="shared" si="12"/>
        <v>2</v>
      </c>
      <c r="I186" t="str" cm="1">
        <f t="array" ref="I186">_xlfn.IFS(H186&lt;1,"No",H186=1,"Yes",H186&gt;1,_xlfn.TEXTJOIN("",TRUE,"Yes x",H186))</f>
        <v>Yes x2</v>
      </c>
      <c r="J186" s="13">
        <f t="shared" si="13"/>
        <v>1</v>
      </c>
      <c r="K186" s="13">
        <f t="shared" si="11"/>
        <v>1</v>
      </c>
      <c r="L186" s="13" t="str" cm="1">
        <f t="array" ref="L186">_xlfn.IFS(J186&lt;1,"",J186=1,"Pass",J186&gt;1,_xlfn.TEXTJOIN("",TRUE,"Pass x",J186))</f>
        <v>Pass</v>
      </c>
      <c r="M186" s="13" t="str" cm="1">
        <f t="array" ref="M186">_xlfn.IFS(K186&lt;1,"",K186=1,"Fail",K186&gt;1,_xlfn.TEXTJOIN("",TRUE,"Fail x",K186))</f>
        <v>Fail</v>
      </c>
      <c r="N186" t="str">
        <f t="shared" si="14"/>
        <v>Pass, Fail</v>
      </c>
    </row>
    <row r="187" spans="8:14">
      <c r="H187" s="13">
        <f t="shared" si="12"/>
        <v>2</v>
      </c>
      <c r="I187" t="str" cm="1">
        <f t="array" ref="I187">_xlfn.IFS(H187&lt;1,"No",H187=1,"Yes",H187&gt;1,_xlfn.TEXTJOIN("",TRUE,"Yes x",H187))</f>
        <v>Yes x2</v>
      </c>
      <c r="J187" s="13">
        <f t="shared" si="13"/>
        <v>1</v>
      </c>
      <c r="K187" s="13">
        <f t="shared" si="11"/>
        <v>1</v>
      </c>
      <c r="L187" s="13" t="str" cm="1">
        <f t="array" ref="L187">_xlfn.IFS(J187&lt;1,"",J187=1,"Pass",J187&gt;1,_xlfn.TEXTJOIN("",TRUE,"Pass x",J187))</f>
        <v>Pass</v>
      </c>
      <c r="M187" s="13" t="str" cm="1">
        <f t="array" ref="M187">_xlfn.IFS(K187&lt;1,"",K187=1,"Fail",K187&gt;1,_xlfn.TEXTJOIN("",TRUE,"Fail x",K187))</f>
        <v>Fail</v>
      </c>
      <c r="N187" t="str">
        <f t="shared" si="14"/>
        <v>Pass, Fail</v>
      </c>
    </row>
    <row r="188" spans="8:14">
      <c r="H188" s="13">
        <f t="shared" si="12"/>
        <v>2</v>
      </c>
      <c r="I188" t="str" cm="1">
        <f t="array" ref="I188">_xlfn.IFS(H188&lt;1,"No",H188=1,"Yes",H188&gt;1,_xlfn.TEXTJOIN("",TRUE,"Yes x",H188))</f>
        <v>Yes x2</v>
      </c>
      <c r="J188" s="13">
        <f t="shared" si="13"/>
        <v>1</v>
      </c>
      <c r="K188" s="13">
        <f t="shared" si="11"/>
        <v>1</v>
      </c>
      <c r="L188" s="13" t="str" cm="1">
        <f t="array" ref="L188">_xlfn.IFS(J188&lt;1,"",J188=1,"Pass",J188&gt;1,_xlfn.TEXTJOIN("",TRUE,"Pass x",J188))</f>
        <v>Pass</v>
      </c>
      <c r="M188" s="13" t="str" cm="1">
        <f t="array" ref="M188">_xlfn.IFS(K188&lt;1,"",K188=1,"Fail",K188&gt;1,_xlfn.TEXTJOIN("",TRUE,"Fail x",K188))</f>
        <v>Fail</v>
      </c>
      <c r="N188" t="str">
        <f t="shared" si="14"/>
        <v>Pass, Fail</v>
      </c>
    </row>
    <row r="189" spans="8:14">
      <c r="H189" s="13">
        <f t="shared" si="12"/>
        <v>2</v>
      </c>
      <c r="I189" t="str" cm="1">
        <f t="array" ref="I189">_xlfn.IFS(H189&lt;1,"No",H189=1,"Yes",H189&gt;1,_xlfn.TEXTJOIN("",TRUE,"Yes x",H189))</f>
        <v>Yes x2</v>
      </c>
      <c r="J189" s="13">
        <f t="shared" si="13"/>
        <v>1</v>
      </c>
      <c r="K189" s="13">
        <f t="shared" si="11"/>
        <v>1</v>
      </c>
      <c r="L189" s="13" t="str" cm="1">
        <f t="array" ref="L189">_xlfn.IFS(J189&lt;1,"",J189=1,"Pass",J189&gt;1,_xlfn.TEXTJOIN("",TRUE,"Pass x",J189))</f>
        <v>Pass</v>
      </c>
      <c r="M189" s="13" t="str" cm="1">
        <f t="array" ref="M189">_xlfn.IFS(K189&lt;1,"",K189=1,"Fail",K189&gt;1,_xlfn.TEXTJOIN("",TRUE,"Fail x",K189))</f>
        <v>Fail</v>
      </c>
      <c r="N189" t="str">
        <f t="shared" si="14"/>
        <v>Pass, Fail</v>
      </c>
    </row>
    <row r="190" spans="8:14">
      <c r="H190" s="13">
        <f t="shared" si="12"/>
        <v>2</v>
      </c>
      <c r="I190" t="str" cm="1">
        <f t="array" ref="I190">_xlfn.IFS(H190&lt;1,"No",H190=1,"Yes",H190&gt;1,_xlfn.TEXTJOIN("",TRUE,"Yes x",H190))</f>
        <v>Yes x2</v>
      </c>
      <c r="J190" s="13">
        <f t="shared" si="13"/>
        <v>1</v>
      </c>
      <c r="K190" s="13">
        <f t="shared" si="11"/>
        <v>1</v>
      </c>
      <c r="L190" s="13" t="str" cm="1">
        <f t="array" ref="L190">_xlfn.IFS(J190&lt;1,"",J190=1,"Pass",J190&gt;1,_xlfn.TEXTJOIN("",TRUE,"Pass x",J190))</f>
        <v>Pass</v>
      </c>
      <c r="M190" s="13" t="str" cm="1">
        <f t="array" ref="M190">_xlfn.IFS(K190&lt;1,"",K190=1,"Fail",K190&gt;1,_xlfn.TEXTJOIN("",TRUE,"Fail x",K190))</f>
        <v>Fail</v>
      </c>
      <c r="N190" t="str">
        <f t="shared" si="14"/>
        <v>Pass, Fail</v>
      </c>
    </row>
    <row r="191" spans="8:14">
      <c r="H191" s="13">
        <f t="shared" si="12"/>
        <v>2</v>
      </c>
      <c r="I191" t="str" cm="1">
        <f t="array" ref="I191">_xlfn.IFS(H191&lt;1,"No",H191=1,"Yes",H191&gt;1,_xlfn.TEXTJOIN("",TRUE,"Yes x",H191))</f>
        <v>Yes x2</v>
      </c>
      <c r="J191" s="13">
        <f t="shared" si="13"/>
        <v>1</v>
      </c>
      <c r="K191" s="13">
        <f t="shared" si="11"/>
        <v>1</v>
      </c>
      <c r="L191" s="13" t="str" cm="1">
        <f t="array" ref="L191">_xlfn.IFS(J191&lt;1,"",J191=1,"Pass",J191&gt;1,_xlfn.TEXTJOIN("",TRUE,"Pass x",J191))</f>
        <v>Pass</v>
      </c>
      <c r="M191" s="13" t="str" cm="1">
        <f t="array" ref="M191">_xlfn.IFS(K191&lt;1,"",K191=1,"Fail",K191&gt;1,_xlfn.TEXTJOIN("",TRUE,"Fail x",K191))</f>
        <v>Fail</v>
      </c>
      <c r="N191" t="str">
        <f t="shared" si="14"/>
        <v>Pass, Fail</v>
      </c>
    </row>
    <row r="192" spans="8:14">
      <c r="H192" s="13">
        <f t="shared" si="12"/>
        <v>2</v>
      </c>
      <c r="I192" t="str" cm="1">
        <f t="array" ref="I192">_xlfn.IFS(H192&lt;1,"No",H192=1,"Yes",H192&gt;1,_xlfn.TEXTJOIN("",TRUE,"Yes x",H192))</f>
        <v>Yes x2</v>
      </c>
      <c r="J192" s="13">
        <f t="shared" si="13"/>
        <v>1</v>
      </c>
      <c r="K192" s="13">
        <f t="shared" si="11"/>
        <v>1</v>
      </c>
      <c r="L192" s="13" t="str" cm="1">
        <f t="array" ref="L192">_xlfn.IFS(J192&lt;1,"",J192=1,"Pass",J192&gt;1,_xlfn.TEXTJOIN("",TRUE,"Pass x",J192))</f>
        <v>Pass</v>
      </c>
      <c r="M192" s="13" t="str" cm="1">
        <f t="array" ref="M192">_xlfn.IFS(K192&lt;1,"",K192=1,"Fail",K192&gt;1,_xlfn.TEXTJOIN("",TRUE,"Fail x",K192))</f>
        <v>Fail</v>
      </c>
      <c r="N192" t="str">
        <f t="shared" si="14"/>
        <v>Pass, Fail</v>
      </c>
    </row>
    <row r="193" spans="8:14">
      <c r="H193" s="13">
        <f t="shared" si="12"/>
        <v>2</v>
      </c>
      <c r="I193" t="str" cm="1">
        <f t="array" ref="I193">_xlfn.IFS(H193&lt;1,"No",H193=1,"Yes",H193&gt;1,_xlfn.TEXTJOIN("",TRUE,"Yes x",H193))</f>
        <v>Yes x2</v>
      </c>
      <c r="J193" s="13">
        <f t="shared" si="13"/>
        <v>1</v>
      </c>
      <c r="K193" s="13">
        <f t="shared" si="11"/>
        <v>1</v>
      </c>
      <c r="L193" s="13" t="str" cm="1">
        <f t="array" ref="L193">_xlfn.IFS(J193&lt;1,"",J193=1,"Pass",J193&gt;1,_xlfn.TEXTJOIN("",TRUE,"Pass x",J193))</f>
        <v>Pass</v>
      </c>
      <c r="M193" s="13" t="str" cm="1">
        <f t="array" ref="M193">_xlfn.IFS(K193&lt;1,"",K193=1,"Fail",K193&gt;1,_xlfn.TEXTJOIN("",TRUE,"Fail x",K193))</f>
        <v>Fail</v>
      </c>
      <c r="N193" t="str">
        <f t="shared" si="14"/>
        <v>Pass, Fail</v>
      </c>
    </row>
    <row r="194" spans="8:14">
      <c r="H194" s="13">
        <f t="shared" si="12"/>
        <v>2</v>
      </c>
      <c r="I194" t="str" cm="1">
        <f t="array" ref="I194">_xlfn.IFS(H194&lt;1,"No",H194=1,"Yes",H194&gt;1,_xlfn.TEXTJOIN("",TRUE,"Yes x",H194))</f>
        <v>Yes x2</v>
      </c>
      <c r="J194" s="13">
        <f t="shared" si="13"/>
        <v>1</v>
      </c>
      <c r="K194" s="13">
        <f t="shared" si="11"/>
        <v>1</v>
      </c>
      <c r="L194" s="13" t="str" cm="1">
        <f t="array" ref="L194">_xlfn.IFS(J194&lt;1,"",J194=1,"Pass",J194&gt;1,_xlfn.TEXTJOIN("",TRUE,"Pass x",J194))</f>
        <v>Pass</v>
      </c>
      <c r="M194" s="13" t="str" cm="1">
        <f t="array" ref="M194">_xlfn.IFS(K194&lt;1,"",K194=1,"Fail",K194&gt;1,_xlfn.TEXTJOIN("",TRUE,"Fail x",K194))</f>
        <v>Fail</v>
      </c>
      <c r="N194" t="str">
        <f t="shared" si="14"/>
        <v>Pass, Fail</v>
      </c>
    </row>
    <row r="195" spans="8:14">
      <c r="H195" s="13">
        <f t="shared" si="12"/>
        <v>2</v>
      </c>
      <c r="I195" t="str" cm="1">
        <f t="array" ref="I195">_xlfn.IFS(H195&lt;1,"No",H195=1,"Yes",H195&gt;1,_xlfn.TEXTJOIN("",TRUE,"Yes x",H195))</f>
        <v>Yes x2</v>
      </c>
      <c r="J195" s="13">
        <f t="shared" si="13"/>
        <v>1</v>
      </c>
      <c r="K195" s="13">
        <f t="shared" ref="K195:K258" si="15">IFERROR(GETPIVOTDATA("Successful / Failed",$A$1,"System serial",G195,"Successful / Failed","Failed"),0)</f>
        <v>1</v>
      </c>
      <c r="L195" s="13" t="str" cm="1">
        <f t="array" ref="L195">_xlfn.IFS(J195&lt;1,"",J195=1,"Pass",J195&gt;1,_xlfn.TEXTJOIN("",TRUE,"Pass x",J195))</f>
        <v>Pass</v>
      </c>
      <c r="M195" s="13" t="str" cm="1">
        <f t="array" ref="M195">_xlfn.IFS(K195&lt;1,"",K195=1,"Fail",K195&gt;1,_xlfn.TEXTJOIN("",TRUE,"Fail x",K195))</f>
        <v>Fail</v>
      </c>
      <c r="N195" t="str">
        <f t="shared" si="14"/>
        <v>Pass, Fail</v>
      </c>
    </row>
    <row r="196" spans="8:14">
      <c r="H196" s="13">
        <f t="shared" si="12"/>
        <v>2</v>
      </c>
      <c r="I196" t="str" cm="1">
        <f t="array" ref="I196">_xlfn.IFS(H196&lt;1,"No",H196=1,"Yes",H196&gt;1,_xlfn.TEXTJOIN("",TRUE,"Yes x",H196))</f>
        <v>Yes x2</v>
      </c>
      <c r="J196" s="13">
        <f t="shared" si="13"/>
        <v>1</v>
      </c>
      <c r="K196" s="13">
        <f t="shared" si="15"/>
        <v>1</v>
      </c>
      <c r="L196" s="13" t="str" cm="1">
        <f t="array" ref="L196">_xlfn.IFS(J196&lt;1,"",J196=1,"Pass",J196&gt;1,_xlfn.TEXTJOIN("",TRUE,"Pass x",J196))</f>
        <v>Pass</v>
      </c>
      <c r="M196" s="13" t="str" cm="1">
        <f t="array" ref="M196">_xlfn.IFS(K196&lt;1,"",K196=1,"Fail",K196&gt;1,_xlfn.TEXTJOIN("",TRUE,"Fail x",K196))</f>
        <v>Fail</v>
      </c>
      <c r="N196" t="str">
        <f t="shared" si="14"/>
        <v>Pass, Fail</v>
      </c>
    </row>
    <row r="197" spans="8:14">
      <c r="H197" s="13">
        <f t="shared" si="12"/>
        <v>2</v>
      </c>
      <c r="I197" t="str" cm="1">
        <f t="array" ref="I197">_xlfn.IFS(H197&lt;1,"No",H197=1,"Yes",H197&gt;1,_xlfn.TEXTJOIN("",TRUE,"Yes x",H197))</f>
        <v>Yes x2</v>
      </c>
      <c r="J197" s="13">
        <f t="shared" si="13"/>
        <v>1</v>
      </c>
      <c r="K197" s="13">
        <f t="shared" si="15"/>
        <v>1</v>
      </c>
      <c r="L197" s="13" t="str" cm="1">
        <f t="array" ref="L197">_xlfn.IFS(J197&lt;1,"",J197=1,"Pass",J197&gt;1,_xlfn.TEXTJOIN("",TRUE,"Pass x",J197))</f>
        <v>Pass</v>
      </c>
      <c r="M197" s="13" t="str" cm="1">
        <f t="array" ref="M197">_xlfn.IFS(K197&lt;1,"",K197=1,"Fail",K197&gt;1,_xlfn.TEXTJOIN("",TRUE,"Fail x",K197))</f>
        <v>Fail</v>
      </c>
      <c r="N197" t="str">
        <f t="shared" si="14"/>
        <v>Pass, Fail</v>
      </c>
    </row>
    <row r="198" spans="8:14">
      <c r="H198" s="13">
        <f t="shared" si="12"/>
        <v>2</v>
      </c>
      <c r="I198" t="str" cm="1">
        <f t="array" ref="I198">_xlfn.IFS(H198&lt;1,"No",H198=1,"Yes",H198&gt;1,_xlfn.TEXTJOIN("",TRUE,"Yes x",H198))</f>
        <v>Yes x2</v>
      </c>
      <c r="J198" s="13">
        <f t="shared" si="13"/>
        <v>1</v>
      </c>
      <c r="K198" s="13">
        <f t="shared" si="15"/>
        <v>1</v>
      </c>
      <c r="L198" s="13" t="str" cm="1">
        <f t="array" ref="L198">_xlfn.IFS(J198&lt;1,"",J198=1,"Pass",J198&gt;1,_xlfn.TEXTJOIN("",TRUE,"Pass x",J198))</f>
        <v>Pass</v>
      </c>
      <c r="M198" s="13" t="str" cm="1">
        <f t="array" ref="M198">_xlfn.IFS(K198&lt;1,"",K198=1,"Fail",K198&gt;1,_xlfn.TEXTJOIN("",TRUE,"Fail x",K198))</f>
        <v>Fail</v>
      </c>
      <c r="N198" t="str">
        <f t="shared" si="14"/>
        <v>Pass, Fail</v>
      </c>
    </row>
    <row r="199" spans="8:14">
      <c r="H199" s="13">
        <f t="shared" si="12"/>
        <v>2</v>
      </c>
      <c r="I199" t="str" cm="1">
        <f t="array" ref="I199">_xlfn.IFS(H199&lt;1,"No",H199=1,"Yes",H199&gt;1,_xlfn.TEXTJOIN("",TRUE,"Yes x",H199))</f>
        <v>Yes x2</v>
      </c>
      <c r="J199" s="13">
        <f t="shared" si="13"/>
        <v>1</v>
      </c>
      <c r="K199" s="13">
        <f t="shared" si="15"/>
        <v>1</v>
      </c>
      <c r="L199" s="13" t="str" cm="1">
        <f t="array" ref="L199">_xlfn.IFS(J199&lt;1,"",J199=1,"Pass",J199&gt;1,_xlfn.TEXTJOIN("",TRUE,"Pass x",J199))</f>
        <v>Pass</v>
      </c>
      <c r="M199" s="13" t="str" cm="1">
        <f t="array" ref="M199">_xlfn.IFS(K199&lt;1,"",K199=1,"Fail",K199&gt;1,_xlfn.TEXTJOIN("",TRUE,"Fail x",K199))</f>
        <v>Fail</v>
      </c>
      <c r="N199" t="str">
        <f t="shared" si="14"/>
        <v>Pass, Fail</v>
      </c>
    </row>
    <row r="200" spans="8:14">
      <c r="H200" s="13">
        <f t="shared" si="12"/>
        <v>2</v>
      </c>
      <c r="I200" t="str" cm="1">
        <f t="array" ref="I200">_xlfn.IFS(H200&lt;1,"No",H200=1,"Yes",H200&gt;1,_xlfn.TEXTJOIN("",TRUE,"Yes x",H200))</f>
        <v>Yes x2</v>
      </c>
      <c r="J200" s="13">
        <f t="shared" si="13"/>
        <v>1</v>
      </c>
      <c r="K200" s="13">
        <f t="shared" si="15"/>
        <v>1</v>
      </c>
      <c r="L200" s="13" t="str" cm="1">
        <f t="array" ref="L200">_xlfn.IFS(J200&lt;1,"",J200=1,"Pass",J200&gt;1,_xlfn.TEXTJOIN("",TRUE,"Pass x",J200))</f>
        <v>Pass</v>
      </c>
      <c r="M200" s="13" t="str" cm="1">
        <f t="array" ref="M200">_xlfn.IFS(K200&lt;1,"",K200=1,"Fail",K200&gt;1,_xlfn.TEXTJOIN("",TRUE,"Fail x",K200))</f>
        <v>Fail</v>
      </c>
      <c r="N200" t="str">
        <f t="shared" si="14"/>
        <v>Pass, Fail</v>
      </c>
    </row>
    <row r="201" spans="8:14">
      <c r="H201" s="13">
        <f t="shared" si="12"/>
        <v>2</v>
      </c>
      <c r="I201" t="str" cm="1">
        <f t="array" ref="I201">_xlfn.IFS(H201&lt;1,"No",H201=1,"Yes",H201&gt;1,_xlfn.TEXTJOIN("",TRUE,"Yes x",H201))</f>
        <v>Yes x2</v>
      </c>
      <c r="J201" s="13">
        <f t="shared" si="13"/>
        <v>1</v>
      </c>
      <c r="K201" s="13">
        <f t="shared" si="15"/>
        <v>1</v>
      </c>
      <c r="L201" s="13" t="str" cm="1">
        <f t="array" ref="L201">_xlfn.IFS(J201&lt;1,"",J201=1,"Pass",J201&gt;1,_xlfn.TEXTJOIN("",TRUE,"Pass x",J201))</f>
        <v>Pass</v>
      </c>
      <c r="M201" s="13" t="str" cm="1">
        <f t="array" ref="M201">_xlfn.IFS(K201&lt;1,"",K201=1,"Fail",K201&gt;1,_xlfn.TEXTJOIN("",TRUE,"Fail x",K201))</f>
        <v>Fail</v>
      </c>
      <c r="N201" t="str">
        <f t="shared" si="14"/>
        <v>Pass, Fail</v>
      </c>
    </row>
    <row r="202" spans="8:14">
      <c r="H202" s="13">
        <f t="shared" si="12"/>
        <v>2</v>
      </c>
      <c r="I202" t="str" cm="1">
        <f t="array" ref="I202">_xlfn.IFS(H202&lt;1,"No",H202=1,"Yes",H202&gt;1,_xlfn.TEXTJOIN("",TRUE,"Yes x",H202))</f>
        <v>Yes x2</v>
      </c>
      <c r="J202" s="13">
        <f t="shared" si="13"/>
        <v>1</v>
      </c>
      <c r="K202" s="13">
        <f t="shared" si="15"/>
        <v>1</v>
      </c>
      <c r="L202" s="13" t="str" cm="1">
        <f t="array" ref="L202">_xlfn.IFS(J202&lt;1,"",J202=1,"Pass",J202&gt;1,_xlfn.TEXTJOIN("",TRUE,"Pass x",J202))</f>
        <v>Pass</v>
      </c>
      <c r="M202" s="13" t="str" cm="1">
        <f t="array" ref="M202">_xlfn.IFS(K202&lt;1,"",K202=1,"Fail",K202&gt;1,_xlfn.TEXTJOIN("",TRUE,"Fail x",K202))</f>
        <v>Fail</v>
      </c>
      <c r="N202" t="str">
        <f t="shared" si="14"/>
        <v>Pass, Fail</v>
      </c>
    </row>
    <row r="203" spans="8:14">
      <c r="H203" s="13">
        <f t="shared" si="12"/>
        <v>2</v>
      </c>
      <c r="I203" t="str" cm="1">
        <f t="array" ref="I203">_xlfn.IFS(H203&lt;1,"No",H203=1,"Yes",H203&gt;1,_xlfn.TEXTJOIN("",TRUE,"Yes x",H203))</f>
        <v>Yes x2</v>
      </c>
      <c r="J203" s="13">
        <f t="shared" si="13"/>
        <v>1</v>
      </c>
      <c r="K203" s="13">
        <f t="shared" si="15"/>
        <v>1</v>
      </c>
      <c r="L203" s="13" t="str" cm="1">
        <f t="array" ref="L203">_xlfn.IFS(J203&lt;1,"",J203=1,"Pass",J203&gt;1,_xlfn.TEXTJOIN("",TRUE,"Pass x",J203))</f>
        <v>Pass</v>
      </c>
      <c r="M203" s="13" t="str" cm="1">
        <f t="array" ref="M203">_xlfn.IFS(K203&lt;1,"",K203=1,"Fail",K203&gt;1,_xlfn.TEXTJOIN("",TRUE,"Fail x",K203))</f>
        <v>Fail</v>
      </c>
      <c r="N203" t="str">
        <f t="shared" si="14"/>
        <v>Pass, Fail</v>
      </c>
    </row>
    <row r="204" spans="8:14">
      <c r="H204" s="13">
        <f t="shared" si="12"/>
        <v>2</v>
      </c>
      <c r="I204" t="str" cm="1">
        <f t="array" ref="I204">_xlfn.IFS(H204&lt;1,"No",H204=1,"Yes",H204&gt;1,_xlfn.TEXTJOIN("",TRUE,"Yes x",H204))</f>
        <v>Yes x2</v>
      </c>
      <c r="J204" s="13">
        <f t="shared" si="13"/>
        <v>1</v>
      </c>
      <c r="K204" s="13">
        <f t="shared" si="15"/>
        <v>1</v>
      </c>
      <c r="L204" s="13" t="str" cm="1">
        <f t="array" ref="L204">_xlfn.IFS(J204&lt;1,"",J204=1,"Pass",J204&gt;1,_xlfn.TEXTJOIN("",TRUE,"Pass x",J204))</f>
        <v>Pass</v>
      </c>
      <c r="M204" s="13" t="str" cm="1">
        <f t="array" ref="M204">_xlfn.IFS(K204&lt;1,"",K204=1,"Fail",K204&gt;1,_xlfn.TEXTJOIN("",TRUE,"Fail x",K204))</f>
        <v>Fail</v>
      </c>
      <c r="N204" t="str">
        <f t="shared" si="14"/>
        <v>Pass, Fail</v>
      </c>
    </row>
    <row r="205" spans="8:14">
      <c r="H205" s="13">
        <f t="shared" si="12"/>
        <v>2</v>
      </c>
      <c r="I205" t="str" cm="1">
        <f t="array" ref="I205">_xlfn.IFS(H205&lt;1,"No",H205=1,"Yes",H205&gt;1,_xlfn.TEXTJOIN("",TRUE,"Yes x",H205))</f>
        <v>Yes x2</v>
      </c>
      <c r="J205" s="13">
        <f t="shared" si="13"/>
        <v>1</v>
      </c>
      <c r="K205" s="13">
        <f t="shared" si="15"/>
        <v>1</v>
      </c>
      <c r="L205" s="13" t="str" cm="1">
        <f t="array" ref="L205">_xlfn.IFS(J205&lt;1,"",J205=1,"Pass",J205&gt;1,_xlfn.TEXTJOIN("",TRUE,"Pass x",J205))</f>
        <v>Pass</v>
      </c>
      <c r="M205" s="13" t="str" cm="1">
        <f t="array" ref="M205">_xlfn.IFS(K205&lt;1,"",K205=1,"Fail",K205&gt;1,_xlfn.TEXTJOIN("",TRUE,"Fail x",K205))</f>
        <v>Fail</v>
      </c>
      <c r="N205" t="str">
        <f t="shared" si="14"/>
        <v>Pass, Fail</v>
      </c>
    </row>
    <row r="206" spans="8:14">
      <c r="H206" s="13">
        <f t="shared" si="12"/>
        <v>2</v>
      </c>
      <c r="I206" t="str" cm="1">
        <f t="array" ref="I206">_xlfn.IFS(H206&lt;1,"No",H206=1,"Yes",H206&gt;1,_xlfn.TEXTJOIN("",TRUE,"Yes x",H206))</f>
        <v>Yes x2</v>
      </c>
      <c r="J206" s="13">
        <f t="shared" si="13"/>
        <v>1</v>
      </c>
      <c r="K206" s="13">
        <f t="shared" si="15"/>
        <v>1</v>
      </c>
      <c r="L206" s="13" t="str" cm="1">
        <f t="array" ref="L206">_xlfn.IFS(J206&lt;1,"",J206=1,"Pass",J206&gt;1,_xlfn.TEXTJOIN("",TRUE,"Pass x",J206))</f>
        <v>Pass</v>
      </c>
      <c r="M206" s="13" t="str" cm="1">
        <f t="array" ref="M206">_xlfn.IFS(K206&lt;1,"",K206=1,"Fail",K206&gt;1,_xlfn.TEXTJOIN("",TRUE,"Fail x",K206))</f>
        <v>Fail</v>
      </c>
      <c r="N206" t="str">
        <f t="shared" si="14"/>
        <v>Pass, Fail</v>
      </c>
    </row>
    <row r="207" spans="8:14">
      <c r="H207" s="13">
        <f t="shared" si="12"/>
        <v>2</v>
      </c>
      <c r="I207" t="str" cm="1">
        <f t="array" ref="I207">_xlfn.IFS(H207&lt;1,"No",H207=1,"Yes",H207&gt;1,_xlfn.TEXTJOIN("",TRUE,"Yes x",H207))</f>
        <v>Yes x2</v>
      </c>
      <c r="J207" s="13">
        <f t="shared" si="13"/>
        <v>1</v>
      </c>
      <c r="K207" s="13">
        <f t="shared" si="15"/>
        <v>1</v>
      </c>
      <c r="L207" s="13" t="str" cm="1">
        <f t="array" ref="L207">_xlfn.IFS(J207&lt;1,"",J207=1,"Pass",J207&gt;1,_xlfn.TEXTJOIN("",TRUE,"Pass x",J207))</f>
        <v>Pass</v>
      </c>
      <c r="M207" s="13" t="str" cm="1">
        <f t="array" ref="M207">_xlfn.IFS(K207&lt;1,"",K207=1,"Fail",K207&gt;1,_xlfn.TEXTJOIN("",TRUE,"Fail x",K207))</f>
        <v>Fail</v>
      </c>
      <c r="N207" t="str">
        <f t="shared" si="14"/>
        <v>Pass, Fail</v>
      </c>
    </row>
    <row r="208" spans="8:14">
      <c r="H208" s="13">
        <f t="shared" si="12"/>
        <v>2</v>
      </c>
      <c r="I208" t="str" cm="1">
        <f t="array" ref="I208">_xlfn.IFS(H208&lt;1,"No",H208=1,"Yes",H208&gt;1,_xlfn.TEXTJOIN("",TRUE,"Yes x",H208))</f>
        <v>Yes x2</v>
      </c>
      <c r="J208" s="13">
        <f t="shared" si="13"/>
        <v>1</v>
      </c>
      <c r="K208" s="13">
        <f t="shared" si="15"/>
        <v>1</v>
      </c>
      <c r="L208" s="13" t="str" cm="1">
        <f t="array" ref="L208">_xlfn.IFS(J208&lt;1,"",J208=1,"Pass",J208&gt;1,_xlfn.TEXTJOIN("",TRUE,"Pass x",J208))</f>
        <v>Pass</v>
      </c>
      <c r="M208" s="13" t="str" cm="1">
        <f t="array" ref="M208">_xlfn.IFS(K208&lt;1,"",K208=1,"Fail",K208&gt;1,_xlfn.TEXTJOIN("",TRUE,"Fail x",K208))</f>
        <v>Fail</v>
      </c>
      <c r="N208" t="str">
        <f t="shared" si="14"/>
        <v>Pass, Fail</v>
      </c>
    </row>
    <row r="209" spans="8:14">
      <c r="H209" s="13">
        <f t="shared" si="12"/>
        <v>2</v>
      </c>
      <c r="I209" t="str" cm="1">
        <f t="array" ref="I209">_xlfn.IFS(H209&lt;1,"No",H209=1,"Yes",H209&gt;1,_xlfn.TEXTJOIN("",TRUE,"Yes x",H209))</f>
        <v>Yes x2</v>
      </c>
      <c r="J209" s="13">
        <f t="shared" si="13"/>
        <v>1</v>
      </c>
      <c r="K209" s="13">
        <f t="shared" si="15"/>
        <v>1</v>
      </c>
      <c r="L209" s="13" t="str" cm="1">
        <f t="array" ref="L209">_xlfn.IFS(J209&lt;1,"",J209=1,"Pass",J209&gt;1,_xlfn.TEXTJOIN("",TRUE,"Pass x",J209))</f>
        <v>Pass</v>
      </c>
      <c r="M209" s="13" t="str" cm="1">
        <f t="array" ref="M209">_xlfn.IFS(K209&lt;1,"",K209=1,"Fail",K209&gt;1,_xlfn.TEXTJOIN("",TRUE,"Fail x",K209))</f>
        <v>Fail</v>
      </c>
      <c r="N209" t="str">
        <f t="shared" si="14"/>
        <v>Pass, Fail</v>
      </c>
    </row>
    <row r="210" spans="8:14">
      <c r="H210" s="13">
        <f t="shared" si="12"/>
        <v>2</v>
      </c>
      <c r="I210" t="str" cm="1">
        <f t="array" ref="I210">_xlfn.IFS(H210&lt;1,"No",H210=1,"Yes",H210&gt;1,_xlfn.TEXTJOIN("",TRUE,"Yes x",H210))</f>
        <v>Yes x2</v>
      </c>
      <c r="J210" s="13">
        <f t="shared" si="13"/>
        <v>1</v>
      </c>
      <c r="K210" s="13">
        <f t="shared" si="15"/>
        <v>1</v>
      </c>
      <c r="L210" s="13" t="str" cm="1">
        <f t="array" ref="L210">_xlfn.IFS(J210&lt;1,"",J210=1,"Pass",J210&gt;1,_xlfn.TEXTJOIN("",TRUE,"Pass x",J210))</f>
        <v>Pass</v>
      </c>
      <c r="M210" s="13" t="str" cm="1">
        <f t="array" ref="M210">_xlfn.IFS(K210&lt;1,"",K210=1,"Fail",K210&gt;1,_xlfn.TEXTJOIN("",TRUE,"Fail x",K210))</f>
        <v>Fail</v>
      </c>
      <c r="N210" t="str">
        <f t="shared" si="14"/>
        <v>Pass, Fail</v>
      </c>
    </row>
    <row r="211" spans="8:14">
      <c r="H211" s="13">
        <f t="shared" si="12"/>
        <v>2</v>
      </c>
      <c r="I211" t="str" cm="1">
        <f t="array" ref="I211">_xlfn.IFS(H211&lt;1,"No",H211=1,"Yes",H211&gt;1,_xlfn.TEXTJOIN("",TRUE,"Yes x",H211))</f>
        <v>Yes x2</v>
      </c>
      <c r="J211" s="13">
        <f t="shared" si="13"/>
        <v>1</v>
      </c>
      <c r="K211" s="13">
        <f t="shared" si="15"/>
        <v>1</v>
      </c>
      <c r="L211" s="13" t="str" cm="1">
        <f t="array" ref="L211">_xlfn.IFS(J211&lt;1,"",J211=1,"Pass",J211&gt;1,_xlfn.TEXTJOIN("",TRUE,"Pass x",J211))</f>
        <v>Pass</v>
      </c>
      <c r="M211" s="13" t="str" cm="1">
        <f t="array" ref="M211">_xlfn.IFS(K211&lt;1,"",K211=1,"Fail",K211&gt;1,_xlfn.TEXTJOIN("",TRUE,"Fail x",K211))</f>
        <v>Fail</v>
      </c>
      <c r="N211" t="str">
        <f t="shared" si="14"/>
        <v>Pass, Fail</v>
      </c>
    </row>
    <row r="212" spans="8:14">
      <c r="H212" s="13">
        <f t="shared" si="12"/>
        <v>2</v>
      </c>
      <c r="I212" t="str" cm="1">
        <f t="array" ref="I212">_xlfn.IFS(H212&lt;1,"No",H212=1,"Yes",H212&gt;1,_xlfn.TEXTJOIN("",TRUE,"Yes x",H212))</f>
        <v>Yes x2</v>
      </c>
      <c r="J212" s="13">
        <f t="shared" si="13"/>
        <v>1</v>
      </c>
      <c r="K212" s="13">
        <f t="shared" si="15"/>
        <v>1</v>
      </c>
      <c r="L212" s="13" t="str" cm="1">
        <f t="array" ref="L212">_xlfn.IFS(J212&lt;1,"",J212=1,"Pass",J212&gt;1,_xlfn.TEXTJOIN("",TRUE,"Pass x",J212))</f>
        <v>Pass</v>
      </c>
      <c r="M212" s="13" t="str" cm="1">
        <f t="array" ref="M212">_xlfn.IFS(K212&lt;1,"",K212=1,"Fail",K212&gt;1,_xlfn.TEXTJOIN("",TRUE,"Fail x",K212))</f>
        <v>Fail</v>
      </c>
      <c r="N212" t="str">
        <f t="shared" si="14"/>
        <v>Pass, Fail</v>
      </c>
    </row>
    <row r="213" spans="8:14">
      <c r="H213" s="13">
        <f t="shared" si="12"/>
        <v>2</v>
      </c>
      <c r="I213" t="str" cm="1">
        <f t="array" ref="I213">_xlfn.IFS(H213&lt;1,"No",H213=1,"Yes",H213&gt;1,_xlfn.TEXTJOIN("",TRUE,"Yes x",H213))</f>
        <v>Yes x2</v>
      </c>
      <c r="J213" s="13">
        <f t="shared" si="13"/>
        <v>1</v>
      </c>
      <c r="K213" s="13">
        <f t="shared" si="15"/>
        <v>1</v>
      </c>
      <c r="L213" s="13" t="str" cm="1">
        <f t="array" ref="L213">_xlfn.IFS(J213&lt;1,"",J213=1,"Pass",J213&gt;1,_xlfn.TEXTJOIN("",TRUE,"Pass x",J213))</f>
        <v>Pass</v>
      </c>
      <c r="M213" s="13" t="str" cm="1">
        <f t="array" ref="M213">_xlfn.IFS(K213&lt;1,"",K213=1,"Fail",K213&gt;1,_xlfn.TEXTJOIN("",TRUE,"Fail x",K213))</f>
        <v>Fail</v>
      </c>
      <c r="N213" t="str">
        <f t="shared" si="14"/>
        <v>Pass, Fail</v>
      </c>
    </row>
    <row r="214" spans="8:14">
      <c r="H214" s="13">
        <f t="shared" si="12"/>
        <v>2</v>
      </c>
      <c r="I214" t="str" cm="1">
        <f t="array" ref="I214">_xlfn.IFS(H214&lt;1,"No",H214=1,"Yes",H214&gt;1,_xlfn.TEXTJOIN("",TRUE,"Yes x",H214))</f>
        <v>Yes x2</v>
      </c>
      <c r="J214" s="13">
        <f t="shared" si="13"/>
        <v>1</v>
      </c>
      <c r="K214" s="13">
        <f t="shared" si="15"/>
        <v>1</v>
      </c>
      <c r="L214" s="13" t="str" cm="1">
        <f t="array" ref="L214">_xlfn.IFS(J214&lt;1,"",J214=1,"Pass",J214&gt;1,_xlfn.TEXTJOIN("",TRUE,"Pass x",J214))</f>
        <v>Pass</v>
      </c>
      <c r="M214" s="13" t="str" cm="1">
        <f t="array" ref="M214">_xlfn.IFS(K214&lt;1,"",K214=1,"Fail",K214&gt;1,_xlfn.TEXTJOIN("",TRUE,"Fail x",K214))</f>
        <v>Fail</v>
      </c>
      <c r="N214" t="str">
        <f t="shared" si="14"/>
        <v>Pass, Fail</v>
      </c>
    </row>
    <row r="215" spans="8:14">
      <c r="H215" s="13">
        <f t="shared" si="12"/>
        <v>2</v>
      </c>
      <c r="I215" t="str" cm="1">
        <f t="array" ref="I215">_xlfn.IFS(H215&lt;1,"No",H215=1,"Yes",H215&gt;1,_xlfn.TEXTJOIN("",TRUE,"Yes x",H215))</f>
        <v>Yes x2</v>
      </c>
      <c r="J215" s="13">
        <f t="shared" si="13"/>
        <v>1</v>
      </c>
      <c r="K215" s="13">
        <f t="shared" si="15"/>
        <v>1</v>
      </c>
      <c r="L215" s="13" t="str" cm="1">
        <f t="array" ref="L215">_xlfn.IFS(J215&lt;1,"",J215=1,"Pass",J215&gt;1,_xlfn.TEXTJOIN("",TRUE,"Pass x",J215))</f>
        <v>Pass</v>
      </c>
      <c r="M215" s="13" t="str" cm="1">
        <f t="array" ref="M215">_xlfn.IFS(K215&lt;1,"",K215=1,"Fail",K215&gt;1,_xlfn.TEXTJOIN("",TRUE,"Fail x",K215))</f>
        <v>Fail</v>
      </c>
      <c r="N215" t="str">
        <f t="shared" si="14"/>
        <v>Pass, Fail</v>
      </c>
    </row>
    <row r="216" spans="8:14">
      <c r="H216" s="13">
        <f t="shared" si="12"/>
        <v>2</v>
      </c>
      <c r="I216" t="str" cm="1">
        <f t="array" ref="I216">_xlfn.IFS(H216&lt;1,"No",H216=1,"Yes",H216&gt;1,_xlfn.TEXTJOIN("",TRUE,"Yes x",H216))</f>
        <v>Yes x2</v>
      </c>
      <c r="J216" s="13">
        <f t="shared" si="13"/>
        <v>1</v>
      </c>
      <c r="K216" s="13">
        <f t="shared" si="15"/>
        <v>1</v>
      </c>
      <c r="L216" s="13" t="str" cm="1">
        <f t="array" ref="L216">_xlfn.IFS(J216&lt;1,"",J216=1,"Pass",J216&gt;1,_xlfn.TEXTJOIN("",TRUE,"Pass x",J216))</f>
        <v>Pass</v>
      </c>
      <c r="M216" s="13" t="str" cm="1">
        <f t="array" ref="M216">_xlfn.IFS(K216&lt;1,"",K216=1,"Fail",K216&gt;1,_xlfn.TEXTJOIN("",TRUE,"Fail x",K216))</f>
        <v>Fail</v>
      </c>
      <c r="N216" t="str">
        <f t="shared" si="14"/>
        <v>Pass, Fail</v>
      </c>
    </row>
    <row r="217" spans="8:14">
      <c r="H217" s="13">
        <f t="shared" si="12"/>
        <v>2</v>
      </c>
      <c r="I217" t="str" cm="1">
        <f t="array" ref="I217">_xlfn.IFS(H217&lt;1,"No",H217=1,"Yes",H217&gt;1,_xlfn.TEXTJOIN("",TRUE,"Yes x",H217))</f>
        <v>Yes x2</v>
      </c>
      <c r="J217" s="13">
        <f t="shared" si="13"/>
        <v>1</v>
      </c>
      <c r="K217" s="13">
        <f t="shared" si="15"/>
        <v>1</v>
      </c>
      <c r="L217" s="13" t="str" cm="1">
        <f t="array" ref="L217">_xlfn.IFS(J217&lt;1,"",J217=1,"Pass",J217&gt;1,_xlfn.TEXTJOIN("",TRUE,"Pass x",J217))</f>
        <v>Pass</v>
      </c>
      <c r="M217" s="13" t="str" cm="1">
        <f t="array" ref="M217">_xlfn.IFS(K217&lt;1,"",K217=1,"Fail",K217&gt;1,_xlfn.TEXTJOIN("",TRUE,"Fail x",K217))</f>
        <v>Fail</v>
      </c>
      <c r="N217" t="str">
        <f t="shared" si="14"/>
        <v>Pass, Fail</v>
      </c>
    </row>
    <row r="218" spans="8:14">
      <c r="H218" s="13">
        <f t="shared" si="12"/>
        <v>2</v>
      </c>
      <c r="I218" t="str" cm="1">
        <f t="array" ref="I218">_xlfn.IFS(H218&lt;1,"No",H218=1,"Yes",H218&gt;1,_xlfn.TEXTJOIN("",TRUE,"Yes x",H218))</f>
        <v>Yes x2</v>
      </c>
      <c r="J218" s="13">
        <f t="shared" si="13"/>
        <v>1</v>
      </c>
      <c r="K218" s="13">
        <f t="shared" si="15"/>
        <v>1</v>
      </c>
      <c r="L218" s="13" t="str" cm="1">
        <f t="array" ref="L218">_xlfn.IFS(J218&lt;1,"",J218=1,"Pass",J218&gt;1,_xlfn.TEXTJOIN("",TRUE,"Pass x",J218))</f>
        <v>Pass</v>
      </c>
      <c r="M218" s="13" t="str" cm="1">
        <f t="array" ref="M218">_xlfn.IFS(K218&lt;1,"",K218=1,"Fail",K218&gt;1,_xlfn.TEXTJOIN("",TRUE,"Fail x",K218))</f>
        <v>Fail</v>
      </c>
      <c r="N218" t="str">
        <f t="shared" si="14"/>
        <v>Pass, Fail</v>
      </c>
    </row>
    <row r="219" spans="8:14">
      <c r="H219" s="13">
        <f t="shared" si="12"/>
        <v>2</v>
      </c>
      <c r="I219" t="str" cm="1">
        <f t="array" ref="I219">_xlfn.IFS(H219&lt;1,"No",H219=1,"Yes",H219&gt;1,_xlfn.TEXTJOIN("",TRUE,"Yes x",H219))</f>
        <v>Yes x2</v>
      </c>
      <c r="J219" s="13">
        <f t="shared" si="13"/>
        <v>1</v>
      </c>
      <c r="K219" s="13">
        <f t="shared" si="15"/>
        <v>1</v>
      </c>
      <c r="L219" s="13" t="str" cm="1">
        <f t="array" ref="L219">_xlfn.IFS(J219&lt;1,"",J219=1,"Pass",J219&gt;1,_xlfn.TEXTJOIN("",TRUE,"Pass x",J219))</f>
        <v>Pass</v>
      </c>
      <c r="M219" s="13" t="str" cm="1">
        <f t="array" ref="M219">_xlfn.IFS(K219&lt;1,"",K219=1,"Fail",K219&gt;1,_xlfn.TEXTJOIN("",TRUE,"Fail x",K219))</f>
        <v>Fail</v>
      </c>
      <c r="N219" t="str">
        <f t="shared" si="14"/>
        <v>Pass, Fail</v>
      </c>
    </row>
    <row r="220" spans="8:14">
      <c r="H220" s="13">
        <f t="shared" si="12"/>
        <v>2</v>
      </c>
      <c r="I220" t="str" cm="1">
        <f t="array" ref="I220">_xlfn.IFS(H220&lt;1,"No",H220=1,"Yes",H220&gt;1,_xlfn.TEXTJOIN("",TRUE,"Yes x",H220))</f>
        <v>Yes x2</v>
      </c>
      <c r="J220" s="13">
        <f t="shared" si="13"/>
        <v>1</v>
      </c>
      <c r="K220" s="13">
        <f t="shared" si="15"/>
        <v>1</v>
      </c>
      <c r="L220" s="13" t="str" cm="1">
        <f t="array" ref="L220">_xlfn.IFS(J220&lt;1,"",J220=1,"Pass",J220&gt;1,_xlfn.TEXTJOIN("",TRUE,"Pass x",J220))</f>
        <v>Pass</v>
      </c>
      <c r="M220" s="13" t="str" cm="1">
        <f t="array" ref="M220">_xlfn.IFS(K220&lt;1,"",K220=1,"Fail",K220&gt;1,_xlfn.TEXTJOIN("",TRUE,"Fail x",K220))</f>
        <v>Fail</v>
      </c>
      <c r="N220" t="str">
        <f t="shared" si="14"/>
        <v>Pass, Fail</v>
      </c>
    </row>
    <row r="221" spans="8:14">
      <c r="H221" s="13">
        <f t="shared" si="12"/>
        <v>2</v>
      </c>
      <c r="I221" t="str" cm="1">
        <f t="array" ref="I221">_xlfn.IFS(H221&lt;1,"No",H221=1,"Yes",H221&gt;1,_xlfn.TEXTJOIN("",TRUE,"Yes x",H221))</f>
        <v>Yes x2</v>
      </c>
      <c r="J221" s="13">
        <f t="shared" si="13"/>
        <v>1</v>
      </c>
      <c r="K221" s="13">
        <f t="shared" si="15"/>
        <v>1</v>
      </c>
      <c r="L221" s="13" t="str" cm="1">
        <f t="array" ref="L221">_xlfn.IFS(J221&lt;1,"",J221=1,"Pass",J221&gt;1,_xlfn.TEXTJOIN("",TRUE,"Pass x",J221))</f>
        <v>Pass</v>
      </c>
      <c r="M221" s="13" t="str" cm="1">
        <f t="array" ref="M221">_xlfn.IFS(K221&lt;1,"",K221=1,"Fail",K221&gt;1,_xlfn.TEXTJOIN("",TRUE,"Fail x",K221))</f>
        <v>Fail</v>
      </c>
      <c r="N221" t="str">
        <f t="shared" si="14"/>
        <v>Pass, Fail</v>
      </c>
    </row>
    <row r="222" spans="8:14">
      <c r="H222" s="13">
        <f t="shared" si="12"/>
        <v>2</v>
      </c>
      <c r="I222" t="str" cm="1">
        <f t="array" ref="I222">_xlfn.IFS(H222&lt;1,"No",H222=1,"Yes",H222&gt;1,_xlfn.TEXTJOIN("",TRUE,"Yes x",H222))</f>
        <v>Yes x2</v>
      </c>
      <c r="J222" s="13">
        <f t="shared" si="13"/>
        <v>1</v>
      </c>
      <c r="K222" s="13">
        <f t="shared" si="15"/>
        <v>1</v>
      </c>
      <c r="L222" s="13" t="str" cm="1">
        <f t="array" ref="L222">_xlfn.IFS(J222&lt;1,"",J222=1,"Pass",J222&gt;1,_xlfn.TEXTJOIN("",TRUE,"Pass x",J222))</f>
        <v>Pass</v>
      </c>
      <c r="M222" s="13" t="str" cm="1">
        <f t="array" ref="M222">_xlfn.IFS(K222&lt;1,"",K222=1,"Fail",K222&gt;1,_xlfn.TEXTJOIN("",TRUE,"Fail x",K222))</f>
        <v>Fail</v>
      </c>
      <c r="N222" t="str">
        <f t="shared" si="14"/>
        <v>Pass, Fail</v>
      </c>
    </row>
    <row r="223" spans="8:14">
      <c r="H223" s="13">
        <f t="shared" si="12"/>
        <v>2</v>
      </c>
      <c r="I223" t="str" cm="1">
        <f t="array" ref="I223">_xlfn.IFS(H223&lt;1,"No",H223=1,"Yes",H223&gt;1,_xlfn.TEXTJOIN("",TRUE,"Yes x",H223))</f>
        <v>Yes x2</v>
      </c>
      <c r="J223" s="13">
        <f t="shared" si="13"/>
        <v>1</v>
      </c>
      <c r="K223" s="13">
        <f t="shared" si="15"/>
        <v>1</v>
      </c>
      <c r="L223" s="13" t="str" cm="1">
        <f t="array" ref="L223">_xlfn.IFS(J223&lt;1,"",J223=1,"Pass",J223&gt;1,_xlfn.TEXTJOIN("",TRUE,"Pass x",J223))</f>
        <v>Pass</v>
      </c>
      <c r="M223" s="13" t="str" cm="1">
        <f t="array" ref="M223">_xlfn.IFS(K223&lt;1,"",K223=1,"Fail",K223&gt;1,_xlfn.TEXTJOIN("",TRUE,"Fail x",K223))</f>
        <v>Fail</v>
      </c>
      <c r="N223" t="str">
        <f t="shared" si="14"/>
        <v>Pass, Fail</v>
      </c>
    </row>
    <row r="224" spans="8:14">
      <c r="H224" s="13">
        <f t="shared" si="12"/>
        <v>2</v>
      </c>
      <c r="I224" t="str" cm="1">
        <f t="array" ref="I224">_xlfn.IFS(H224&lt;1,"No",H224=1,"Yes",H224&gt;1,_xlfn.TEXTJOIN("",TRUE,"Yes x",H224))</f>
        <v>Yes x2</v>
      </c>
      <c r="J224" s="13">
        <f t="shared" si="13"/>
        <v>1</v>
      </c>
      <c r="K224" s="13">
        <f t="shared" si="15"/>
        <v>1</v>
      </c>
      <c r="L224" s="13" t="str" cm="1">
        <f t="array" ref="L224">_xlfn.IFS(J224&lt;1,"",J224=1,"Pass",J224&gt;1,_xlfn.TEXTJOIN("",TRUE,"Pass x",J224))</f>
        <v>Pass</v>
      </c>
      <c r="M224" s="13" t="str" cm="1">
        <f t="array" ref="M224">_xlfn.IFS(K224&lt;1,"",K224=1,"Fail",K224&gt;1,_xlfn.TEXTJOIN("",TRUE,"Fail x",K224))</f>
        <v>Fail</v>
      </c>
      <c r="N224" t="str">
        <f t="shared" si="14"/>
        <v>Pass, Fail</v>
      </c>
    </row>
    <row r="225" spans="8:14">
      <c r="H225" s="13">
        <f t="shared" si="12"/>
        <v>2</v>
      </c>
      <c r="I225" t="str" cm="1">
        <f t="array" ref="I225">_xlfn.IFS(H225&lt;1,"No",H225=1,"Yes",H225&gt;1,_xlfn.TEXTJOIN("",TRUE,"Yes x",H225))</f>
        <v>Yes x2</v>
      </c>
      <c r="J225" s="13">
        <f t="shared" si="13"/>
        <v>1</v>
      </c>
      <c r="K225" s="13">
        <f t="shared" si="15"/>
        <v>1</v>
      </c>
      <c r="L225" s="13" t="str" cm="1">
        <f t="array" ref="L225">_xlfn.IFS(J225&lt;1,"",J225=1,"Pass",J225&gt;1,_xlfn.TEXTJOIN("",TRUE,"Pass x",J225))</f>
        <v>Pass</v>
      </c>
      <c r="M225" s="13" t="str" cm="1">
        <f t="array" ref="M225">_xlfn.IFS(K225&lt;1,"",K225=1,"Fail",K225&gt;1,_xlfn.TEXTJOIN("",TRUE,"Fail x",K225))</f>
        <v>Fail</v>
      </c>
      <c r="N225" t="str">
        <f t="shared" si="14"/>
        <v>Pass, Fail</v>
      </c>
    </row>
    <row r="226" spans="8:14">
      <c r="H226" s="13">
        <f t="shared" si="12"/>
        <v>2</v>
      </c>
      <c r="I226" t="str" cm="1">
        <f t="array" ref="I226">_xlfn.IFS(H226&lt;1,"No",H226=1,"Yes",H226&gt;1,_xlfn.TEXTJOIN("",TRUE,"Yes x",H226))</f>
        <v>Yes x2</v>
      </c>
      <c r="J226" s="13">
        <f t="shared" si="13"/>
        <v>1</v>
      </c>
      <c r="K226" s="13">
        <f t="shared" si="15"/>
        <v>1</v>
      </c>
      <c r="L226" s="13" t="str" cm="1">
        <f t="array" ref="L226">_xlfn.IFS(J226&lt;1,"",J226=1,"Pass",J226&gt;1,_xlfn.TEXTJOIN("",TRUE,"Pass x",J226))</f>
        <v>Pass</v>
      </c>
      <c r="M226" s="13" t="str" cm="1">
        <f t="array" ref="M226">_xlfn.IFS(K226&lt;1,"",K226=1,"Fail",K226&gt;1,_xlfn.TEXTJOIN("",TRUE,"Fail x",K226))</f>
        <v>Fail</v>
      </c>
      <c r="N226" t="str">
        <f t="shared" si="14"/>
        <v>Pass, Fail</v>
      </c>
    </row>
    <row r="227" spans="8:14">
      <c r="H227" s="13">
        <f t="shared" si="12"/>
        <v>2</v>
      </c>
      <c r="I227" t="str" cm="1">
        <f t="array" ref="I227">_xlfn.IFS(H227&lt;1,"No",H227=1,"Yes",H227&gt;1,_xlfn.TEXTJOIN("",TRUE,"Yes x",H227))</f>
        <v>Yes x2</v>
      </c>
      <c r="J227" s="13">
        <f t="shared" si="13"/>
        <v>1</v>
      </c>
      <c r="K227" s="13">
        <f t="shared" si="15"/>
        <v>1</v>
      </c>
      <c r="L227" s="13" t="str" cm="1">
        <f t="array" ref="L227">_xlfn.IFS(J227&lt;1,"",J227=1,"Pass",J227&gt;1,_xlfn.TEXTJOIN("",TRUE,"Pass x",J227))</f>
        <v>Pass</v>
      </c>
      <c r="M227" s="13" t="str" cm="1">
        <f t="array" ref="M227">_xlfn.IFS(K227&lt;1,"",K227=1,"Fail",K227&gt;1,_xlfn.TEXTJOIN("",TRUE,"Fail x",K227))</f>
        <v>Fail</v>
      </c>
      <c r="N227" t="str">
        <f t="shared" si="14"/>
        <v>Pass, Fail</v>
      </c>
    </row>
    <row r="228" spans="8:14">
      <c r="H228" s="13">
        <f t="shared" ref="H228:H291" si="16">IFERROR(GETPIVOTDATA("Successful / Failed",$A$1,"System serial",G228),0)</f>
        <v>2</v>
      </c>
      <c r="I228" t="str" cm="1">
        <f t="array" ref="I228">_xlfn.IFS(H228&lt;1,"No",H228=1,"Yes",H228&gt;1,_xlfn.TEXTJOIN("",TRUE,"Yes x",H228))</f>
        <v>Yes x2</v>
      </c>
      <c r="J228" s="13">
        <f t="shared" ref="J228:J291" si="17">IFERROR(GETPIVOTDATA("Successful / Failed",$A$1,"System serial",G228,"Successful / Failed","Successful"),0)</f>
        <v>1</v>
      </c>
      <c r="K228" s="13">
        <f t="shared" si="15"/>
        <v>1</v>
      </c>
      <c r="L228" s="13" t="str" cm="1">
        <f t="array" ref="L228">_xlfn.IFS(J228&lt;1,"",J228=1,"Pass",J228&gt;1,_xlfn.TEXTJOIN("",TRUE,"Pass x",J228))</f>
        <v>Pass</v>
      </c>
      <c r="M228" s="13" t="str" cm="1">
        <f t="array" ref="M228">_xlfn.IFS(K228&lt;1,"",K228=1,"Fail",K228&gt;1,_xlfn.TEXTJOIN("",TRUE,"Fail x",K228))</f>
        <v>Fail</v>
      </c>
      <c r="N228" t="str">
        <f t="shared" ref="N228:N291" si="18">_xlfn.TEXTJOIN(", ",TRUE, L228, M228)</f>
        <v>Pass, Fail</v>
      </c>
    </row>
    <row r="229" spans="8:14">
      <c r="H229" s="13">
        <f t="shared" si="16"/>
        <v>2</v>
      </c>
      <c r="I229" t="str" cm="1">
        <f t="array" ref="I229">_xlfn.IFS(H229&lt;1,"No",H229=1,"Yes",H229&gt;1,_xlfn.TEXTJOIN("",TRUE,"Yes x",H229))</f>
        <v>Yes x2</v>
      </c>
      <c r="J229" s="13">
        <f t="shared" si="17"/>
        <v>1</v>
      </c>
      <c r="K229" s="13">
        <f t="shared" si="15"/>
        <v>1</v>
      </c>
      <c r="L229" s="13" t="str" cm="1">
        <f t="array" ref="L229">_xlfn.IFS(J229&lt;1,"",J229=1,"Pass",J229&gt;1,_xlfn.TEXTJOIN("",TRUE,"Pass x",J229))</f>
        <v>Pass</v>
      </c>
      <c r="M229" s="13" t="str" cm="1">
        <f t="array" ref="M229">_xlfn.IFS(K229&lt;1,"",K229=1,"Fail",K229&gt;1,_xlfn.TEXTJOIN("",TRUE,"Fail x",K229))</f>
        <v>Fail</v>
      </c>
      <c r="N229" t="str">
        <f t="shared" si="18"/>
        <v>Pass, Fail</v>
      </c>
    </row>
    <row r="230" spans="8:14">
      <c r="H230" s="13">
        <f t="shared" si="16"/>
        <v>2</v>
      </c>
      <c r="I230" t="str" cm="1">
        <f t="array" ref="I230">_xlfn.IFS(H230&lt;1,"No",H230=1,"Yes",H230&gt;1,_xlfn.TEXTJOIN("",TRUE,"Yes x",H230))</f>
        <v>Yes x2</v>
      </c>
      <c r="J230" s="13">
        <f t="shared" si="17"/>
        <v>1</v>
      </c>
      <c r="K230" s="13">
        <f t="shared" si="15"/>
        <v>1</v>
      </c>
      <c r="L230" s="13" t="str" cm="1">
        <f t="array" ref="L230">_xlfn.IFS(J230&lt;1,"",J230=1,"Pass",J230&gt;1,_xlfn.TEXTJOIN("",TRUE,"Pass x",J230))</f>
        <v>Pass</v>
      </c>
      <c r="M230" s="13" t="str" cm="1">
        <f t="array" ref="M230">_xlfn.IFS(K230&lt;1,"",K230=1,"Fail",K230&gt;1,_xlfn.TEXTJOIN("",TRUE,"Fail x",K230))</f>
        <v>Fail</v>
      </c>
      <c r="N230" t="str">
        <f t="shared" si="18"/>
        <v>Pass, Fail</v>
      </c>
    </row>
    <row r="231" spans="8:14">
      <c r="H231" s="13">
        <f t="shared" si="16"/>
        <v>2</v>
      </c>
      <c r="I231" t="str" cm="1">
        <f t="array" ref="I231">_xlfn.IFS(H231&lt;1,"No",H231=1,"Yes",H231&gt;1,_xlfn.TEXTJOIN("",TRUE,"Yes x",H231))</f>
        <v>Yes x2</v>
      </c>
      <c r="J231" s="13">
        <f t="shared" si="17"/>
        <v>1</v>
      </c>
      <c r="K231" s="13">
        <f t="shared" si="15"/>
        <v>1</v>
      </c>
      <c r="L231" s="13" t="str" cm="1">
        <f t="array" ref="L231">_xlfn.IFS(J231&lt;1,"",J231=1,"Pass",J231&gt;1,_xlfn.TEXTJOIN("",TRUE,"Pass x",J231))</f>
        <v>Pass</v>
      </c>
      <c r="M231" s="13" t="str" cm="1">
        <f t="array" ref="M231">_xlfn.IFS(K231&lt;1,"",K231=1,"Fail",K231&gt;1,_xlfn.TEXTJOIN("",TRUE,"Fail x",K231))</f>
        <v>Fail</v>
      </c>
      <c r="N231" t="str">
        <f t="shared" si="18"/>
        <v>Pass, Fail</v>
      </c>
    </row>
    <row r="232" spans="8:14">
      <c r="H232" s="13">
        <f t="shared" si="16"/>
        <v>2</v>
      </c>
      <c r="I232" t="str" cm="1">
        <f t="array" ref="I232">_xlfn.IFS(H232&lt;1,"No",H232=1,"Yes",H232&gt;1,_xlfn.TEXTJOIN("",TRUE,"Yes x",H232))</f>
        <v>Yes x2</v>
      </c>
      <c r="J232" s="13">
        <f t="shared" si="17"/>
        <v>1</v>
      </c>
      <c r="K232" s="13">
        <f t="shared" si="15"/>
        <v>1</v>
      </c>
      <c r="L232" s="13" t="str" cm="1">
        <f t="array" ref="L232">_xlfn.IFS(J232&lt;1,"",J232=1,"Pass",J232&gt;1,_xlfn.TEXTJOIN("",TRUE,"Pass x",J232))</f>
        <v>Pass</v>
      </c>
      <c r="M232" s="13" t="str" cm="1">
        <f t="array" ref="M232">_xlfn.IFS(K232&lt;1,"",K232=1,"Fail",K232&gt;1,_xlfn.TEXTJOIN("",TRUE,"Fail x",K232))</f>
        <v>Fail</v>
      </c>
      <c r="N232" t="str">
        <f t="shared" si="18"/>
        <v>Pass, Fail</v>
      </c>
    </row>
    <row r="233" spans="8:14">
      <c r="H233" s="13">
        <f t="shared" si="16"/>
        <v>2</v>
      </c>
      <c r="I233" t="str" cm="1">
        <f t="array" ref="I233">_xlfn.IFS(H233&lt;1,"No",H233=1,"Yes",H233&gt;1,_xlfn.TEXTJOIN("",TRUE,"Yes x",H233))</f>
        <v>Yes x2</v>
      </c>
      <c r="J233" s="13">
        <f t="shared" si="17"/>
        <v>1</v>
      </c>
      <c r="K233" s="13">
        <f t="shared" si="15"/>
        <v>1</v>
      </c>
      <c r="L233" s="13" t="str" cm="1">
        <f t="array" ref="L233">_xlfn.IFS(J233&lt;1,"",J233=1,"Pass",J233&gt;1,_xlfn.TEXTJOIN("",TRUE,"Pass x",J233))</f>
        <v>Pass</v>
      </c>
      <c r="M233" s="13" t="str" cm="1">
        <f t="array" ref="M233">_xlfn.IFS(K233&lt;1,"",K233=1,"Fail",K233&gt;1,_xlfn.TEXTJOIN("",TRUE,"Fail x",K233))</f>
        <v>Fail</v>
      </c>
      <c r="N233" t="str">
        <f t="shared" si="18"/>
        <v>Pass, Fail</v>
      </c>
    </row>
    <row r="234" spans="8:14">
      <c r="H234" s="13">
        <f t="shared" si="16"/>
        <v>2</v>
      </c>
      <c r="I234" t="str" cm="1">
        <f t="array" ref="I234">_xlfn.IFS(H234&lt;1,"No",H234=1,"Yes",H234&gt;1,_xlfn.TEXTJOIN("",TRUE,"Yes x",H234))</f>
        <v>Yes x2</v>
      </c>
      <c r="J234" s="13">
        <f t="shared" si="17"/>
        <v>1</v>
      </c>
      <c r="K234" s="13">
        <f t="shared" si="15"/>
        <v>1</v>
      </c>
      <c r="L234" s="13" t="str" cm="1">
        <f t="array" ref="L234">_xlfn.IFS(J234&lt;1,"",J234=1,"Pass",J234&gt;1,_xlfn.TEXTJOIN("",TRUE,"Pass x",J234))</f>
        <v>Pass</v>
      </c>
      <c r="M234" s="13" t="str" cm="1">
        <f t="array" ref="M234">_xlfn.IFS(K234&lt;1,"",K234=1,"Fail",K234&gt;1,_xlfn.TEXTJOIN("",TRUE,"Fail x",K234))</f>
        <v>Fail</v>
      </c>
      <c r="N234" t="str">
        <f t="shared" si="18"/>
        <v>Pass, Fail</v>
      </c>
    </row>
    <row r="235" spans="8:14">
      <c r="H235" s="13">
        <f t="shared" si="16"/>
        <v>2</v>
      </c>
      <c r="I235" t="str" cm="1">
        <f t="array" ref="I235">_xlfn.IFS(H235&lt;1,"No",H235=1,"Yes",H235&gt;1,_xlfn.TEXTJOIN("",TRUE,"Yes x",H235))</f>
        <v>Yes x2</v>
      </c>
      <c r="J235" s="13">
        <f t="shared" si="17"/>
        <v>1</v>
      </c>
      <c r="K235" s="13">
        <f t="shared" si="15"/>
        <v>1</v>
      </c>
      <c r="L235" s="13" t="str" cm="1">
        <f t="array" ref="L235">_xlfn.IFS(J235&lt;1,"",J235=1,"Pass",J235&gt;1,_xlfn.TEXTJOIN("",TRUE,"Pass x",J235))</f>
        <v>Pass</v>
      </c>
      <c r="M235" s="13" t="str" cm="1">
        <f t="array" ref="M235">_xlfn.IFS(K235&lt;1,"",K235=1,"Fail",K235&gt;1,_xlfn.TEXTJOIN("",TRUE,"Fail x",K235))</f>
        <v>Fail</v>
      </c>
      <c r="N235" t="str">
        <f t="shared" si="18"/>
        <v>Pass, Fail</v>
      </c>
    </row>
    <row r="236" spans="8:14">
      <c r="H236" s="13">
        <f t="shared" si="16"/>
        <v>2</v>
      </c>
      <c r="I236" t="str" cm="1">
        <f t="array" ref="I236">_xlfn.IFS(H236&lt;1,"No",H236=1,"Yes",H236&gt;1,_xlfn.TEXTJOIN("",TRUE,"Yes x",H236))</f>
        <v>Yes x2</v>
      </c>
      <c r="J236" s="13">
        <f t="shared" si="17"/>
        <v>1</v>
      </c>
      <c r="K236" s="13">
        <f t="shared" si="15"/>
        <v>1</v>
      </c>
      <c r="L236" s="13" t="str" cm="1">
        <f t="array" ref="L236">_xlfn.IFS(J236&lt;1,"",J236=1,"Pass",J236&gt;1,_xlfn.TEXTJOIN("",TRUE,"Pass x",J236))</f>
        <v>Pass</v>
      </c>
      <c r="M236" s="13" t="str" cm="1">
        <f t="array" ref="M236">_xlfn.IFS(K236&lt;1,"",K236=1,"Fail",K236&gt;1,_xlfn.TEXTJOIN("",TRUE,"Fail x",K236))</f>
        <v>Fail</v>
      </c>
      <c r="N236" t="str">
        <f t="shared" si="18"/>
        <v>Pass, Fail</v>
      </c>
    </row>
    <row r="237" spans="8:14">
      <c r="H237" s="13">
        <f t="shared" si="16"/>
        <v>2</v>
      </c>
      <c r="I237" t="str" cm="1">
        <f t="array" ref="I237">_xlfn.IFS(H237&lt;1,"No",H237=1,"Yes",H237&gt;1,_xlfn.TEXTJOIN("",TRUE,"Yes x",H237))</f>
        <v>Yes x2</v>
      </c>
      <c r="J237" s="13">
        <f t="shared" si="17"/>
        <v>1</v>
      </c>
      <c r="K237" s="13">
        <f t="shared" si="15"/>
        <v>1</v>
      </c>
      <c r="L237" s="13" t="str" cm="1">
        <f t="array" ref="L237">_xlfn.IFS(J237&lt;1,"",J237=1,"Pass",J237&gt;1,_xlfn.TEXTJOIN("",TRUE,"Pass x",J237))</f>
        <v>Pass</v>
      </c>
      <c r="M237" s="13" t="str" cm="1">
        <f t="array" ref="M237">_xlfn.IFS(K237&lt;1,"",K237=1,"Fail",K237&gt;1,_xlfn.TEXTJOIN("",TRUE,"Fail x",K237))</f>
        <v>Fail</v>
      </c>
      <c r="N237" t="str">
        <f t="shared" si="18"/>
        <v>Pass, Fail</v>
      </c>
    </row>
    <row r="238" spans="8:14">
      <c r="H238" s="13">
        <f t="shared" si="16"/>
        <v>2</v>
      </c>
      <c r="I238" t="str" cm="1">
        <f t="array" ref="I238">_xlfn.IFS(H238&lt;1,"No",H238=1,"Yes",H238&gt;1,_xlfn.TEXTJOIN("",TRUE,"Yes x",H238))</f>
        <v>Yes x2</v>
      </c>
      <c r="J238" s="13">
        <f t="shared" si="17"/>
        <v>1</v>
      </c>
      <c r="K238" s="13">
        <f t="shared" si="15"/>
        <v>1</v>
      </c>
      <c r="L238" s="13" t="str" cm="1">
        <f t="array" ref="L238">_xlfn.IFS(J238&lt;1,"",J238=1,"Pass",J238&gt;1,_xlfn.TEXTJOIN("",TRUE,"Pass x",J238))</f>
        <v>Pass</v>
      </c>
      <c r="M238" s="13" t="str" cm="1">
        <f t="array" ref="M238">_xlfn.IFS(K238&lt;1,"",K238=1,"Fail",K238&gt;1,_xlfn.TEXTJOIN("",TRUE,"Fail x",K238))</f>
        <v>Fail</v>
      </c>
      <c r="N238" t="str">
        <f t="shared" si="18"/>
        <v>Pass, Fail</v>
      </c>
    </row>
    <row r="239" spans="8:14">
      <c r="H239" s="13">
        <f t="shared" si="16"/>
        <v>2</v>
      </c>
      <c r="I239" t="str" cm="1">
        <f t="array" ref="I239">_xlfn.IFS(H239&lt;1,"No",H239=1,"Yes",H239&gt;1,_xlfn.TEXTJOIN("",TRUE,"Yes x",H239))</f>
        <v>Yes x2</v>
      </c>
      <c r="J239" s="13">
        <f t="shared" si="17"/>
        <v>1</v>
      </c>
      <c r="K239" s="13">
        <f t="shared" si="15"/>
        <v>1</v>
      </c>
      <c r="L239" s="13" t="str" cm="1">
        <f t="array" ref="L239">_xlfn.IFS(J239&lt;1,"",J239=1,"Pass",J239&gt;1,_xlfn.TEXTJOIN("",TRUE,"Pass x",J239))</f>
        <v>Pass</v>
      </c>
      <c r="M239" s="13" t="str" cm="1">
        <f t="array" ref="M239">_xlfn.IFS(K239&lt;1,"",K239=1,"Fail",K239&gt;1,_xlfn.TEXTJOIN("",TRUE,"Fail x",K239))</f>
        <v>Fail</v>
      </c>
      <c r="N239" t="str">
        <f t="shared" si="18"/>
        <v>Pass, Fail</v>
      </c>
    </row>
    <row r="240" spans="8:14">
      <c r="H240" s="13">
        <f t="shared" si="16"/>
        <v>2</v>
      </c>
      <c r="I240" t="str" cm="1">
        <f t="array" ref="I240">_xlfn.IFS(H240&lt;1,"No",H240=1,"Yes",H240&gt;1,_xlfn.TEXTJOIN("",TRUE,"Yes x",H240))</f>
        <v>Yes x2</v>
      </c>
      <c r="J240" s="13">
        <f t="shared" si="17"/>
        <v>1</v>
      </c>
      <c r="K240" s="13">
        <f t="shared" si="15"/>
        <v>1</v>
      </c>
      <c r="L240" s="13" t="str" cm="1">
        <f t="array" ref="L240">_xlfn.IFS(J240&lt;1,"",J240=1,"Pass",J240&gt;1,_xlfn.TEXTJOIN("",TRUE,"Pass x",J240))</f>
        <v>Pass</v>
      </c>
      <c r="M240" s="13" t="str" cm="1">
        <f t="array" ref="M240">_xlfn.IFS(K240&lt;1,"",K240=1,"Fail",K240&gt;1,_xlfn.TEXTJOIN("",TRUE,"Fail x",K240))</f>
        <v>Fail</v>
      </c>
      <c r="N240" t="str">
        <f t="shared" si="18"/>
        <v>Pass, Fail</v>
      </c>
    </row>
    <row r="241" spans="8:14">
      <c r="H241" s="13">
        <f t="shared" si="16"/>
        <v>2</v>
      </c>
      <c r="I241" t="str" cm="1">
        <f t="array" ref="I241">_xlfn.IFS(H241&lt;1,"No",H241=1,"Yes",H241&gt;1,_xlfn.TEXTJOIN("",TRUE,"Yes x",H241))</f>
        <v>Yes x2</v>
      </c>
      <c r="J241" s="13">
        <f t="shared" si="17"/>
        <v>1</v>
      </c>
      <c r="K241" s="13">
        <f t="shared" si="15"/>
        <v>1</v>
      </c>
      <c r="L241" s="13" t="str" cm="1">
        <f t="array" ref="L241">_xlfn.IFS(J241&lt;1,"",J241=1,"Pass",J241&gt;1,_xlfn.TEXTJOIN("",TRUE,"Pass x",J241))</f>
        <v>Pass</v>
      </c>
      <c r="M241" s="13" t="str" cm="1">
        <f t="array" ref="M241">_xlfn.IFS(K241&lt;1,"",K241=1,"Fail",K241&gt;1,_xlfn.TEXTJOIN("",TRUE,"Fail x",K241))</f>
        <v>Fail</v>
      </c>
      <c r="N241" t="str">
        <f t="shared" si="18"/>
        <v>Pass, Fail</v>
      </c>
    </row>
    <row r="242" spans="8:14">
      <c r="H242" s="13">
        <f t="shared" si="16"/>
        <v>2</v>
      </c>
      <c r="I242" t="str" cm="1">
        <f t="array" ref="I242">_xlfn.IFS(H242&lt;1,"No",H242=1,"Yes",H242&gt;1,_xlfn.TEXTJOIN("",TRUE,"Yes x",H242))</f>
        <v>Yes x2</v>
      </c>
      <c r="J242" s="13">
        <f t="shared" si="17"/>
        <v>1</v>
      </c>
      <c r="K242" s="13">
        <f t="shared" si="15"/>
        <v>1</v>
      </c>
      <c r="L242" s="13" t="str" cm="1">
        <f t="array" ref="L242">_xlfn.IFS(J242&lt;1,"",J242=1,"Pass",J242&gt;1,_xlfn.TEXTJOIN("",TRUE,"Pass x",J242))</f>
        <v>Pass</v>
      </c>
      <c r="M242" s="13" t="str" cm="1">
        <f t="array" ref="M242">_xlfn.IFS(K242&lt;1,"",K242=1,"Fail",K242&gt;1,_xlfn.TEXTJOIN("",TRUE,"Fail x",K242))</f>
        <v>Fail</v>
      </c>
      <c r="N242" t="str">
        <f t="shared" si="18"/>
        <v>Pass, Fail</v>
      </c>
    </row>
    <row r="243" spans="8:14">
      <c r="H243" s="13">
        <f t="shared" si="16"/>
        <v>2</v>
      </c>
      <c r="I243" t="str" cm="1">
        <f t="array" ref="I243">_xlfn.IFS(H243&lt;1,"No",H243=1,"Yes",H243&gt;1,_xlfn.TEXTJOIN("",TRUE,"Yes x",H243))</f>
        <v>Yes x2</v>
      </c>
      <c r="J243" s="13">
        <f t="shared" si="17"/>
        <v>1</v>
      </c>
      <c r="K243" s="13">
        <f t="shared" si="15"/>
        <v>1</v>
      </c>
      <c r="L243" s="13" t="str" cm="1">
        <f t="array" ref="L243">_xlfn.IFS(J243&lt;1,"",J243=1,"Pass",J243&gt;1,_xlfn.TEXTJOIN("",TRUE,"Pass x",J243))</f>
        <v>Pass</v>
      </c>
      <c r="M243" s="13" t="str" cm="1">
        <f t="array" ref="M243">_xlfn.IFS(K243&lt;1,"",K243=1,"Fail",K243&gt;1,_xlfn.TEXTJOIN("",TRUE,"Fail x",K243))</f>
        <v>Fail</v>
      </c>
      <c r="N243" t="str">
        <f t="shared" si="18"/>
        <v>Pass, Fail</v>
      </c>
    </row>
    <row r="244" spans="8:14">
      <c r="H244" s="13">
        <f t="shared" si="16"/>
        <v>2</v>
      </c>
      <c r="I244" t="str" cm="1">
        <f t="array" ref="I244">_xlfn.IFS(H244&lt;1,"No",H244=1,"Yes",H244&gt;1,_xlfn.TEXTJOIN("",TRUE,"Yes x",H244))</f>
        <v>Yes x2</v>
      </c>
      <c r="J244" s="13">
        <f t="shared" si="17"/>
        <v>1</v>
      </c>
      <c r="K244" s="13">
        <f t="shared" si="15"/>
        <v>1</v>
      </c>
      <c r="L244" s="13" t="str" cm="1">
        <f t="array" ref="L244">_xlfn.IFS(J244&lt;1,"",J244=1,"Pass",J244&gt;1,_xlfn.TEXTJOIN("",TRUE,"Pass x",J244))</f>
        <v>Pass</v>
      </c>
      <c r="M244" s="13" t="str" cm="1">
        <f t="array" ref="M244">_xlfn.IFS(K244&lt;1,"",K244=1,"Fail",K244&gt;1,_xlfn.TEXTJOIN("",TRUE,"Fail x",K244))</f>
        <v>Fail</v>
      </c>
      <c r="N244" t="str">
        <f t="shared" si="18"/>
        <v>Pass, Fail</v>
      </c>
    </row>
    <row r="245" spans="8:14">
      <c r="H245" s="13">
        <f t="shared" si="16"/>
        <v>2</v>
      </c>
      <c r="I245" t="str" cm="1">
        <f t="array" ref="I245">_xlfn.IFS(H245&lt;1,"No",H245=1,"Yes",H245&gt;1,_xlfn.TEXTJOIN("",TRUE,"Yes x",H245))</f>
        <v>Yes x2</v>
      </c>
      <c r="J245" s="13">
        <f t="shared" si="17"/>
        <v>1</v>
      </c>
      <c r="K245" s="13">
        <f t="shared" si="15"/>
        <v>1</v>
      </c>
      <c r="L245" s="13" t="str" cm="1">
        <f t="array" ref="L245">_xlfn.IFS(J245&lt;1,"",J245=1,"Pass",J245&gt;1,_xlfn.TEXTJOIN("",TRUE,"Pass x",J245))</f>
        <v>Pass</v>
      </c>
      <c r="M245" s="13" t="str" cm="1">
        <f t="array" ref="M245">_xlfn.IFS(K245&lt;1,"",K245=1,"Fail",K245&gt;1,_xlfn.TEXTJOIN("",TRUE,"Fail x",K245))</f>
        <v>Fail</v>
      </c>
      <c r="N245" t="str">
        <f t="shared" si="18"/>
        <v>Pass, Fail</v>
      </c>
    </row>
    <row r="246" spans="8:14">
      <c r="H246" s="13">
        <f t="shared" si="16"/>
        <v>2</v>
      </c>
      <c r="I246" t="str" cm="1">
        <f t="array" ref="I246">_xlfn.IFS(H246&lt;1,"No",H246=1,"Yes",H246&gt;1,_xlfn.TEXTJOIN("",TRUE,"Yes x",H246))</f>
        <v>Yes x2</v>
      </c>
      <c r="J246" s="13">
        <f t="shared" si="17"/>
        <v>1</v>
      </c>
      <c r="K246" s="13">
        <f t="shared" si="15"/>
        <v>1</v>
      </c>
      <c r="L246" s="13" t="str" cm="1">
        <f t="array" ref="L246">_xlfn.IFS(J246&lt;1,"",J246=1,"Pass",J246&gt;1,_xlfn.TEXTJOIN("",TRUE,"Pass x",J246))</f>
        <v>Pass</v>
      </c>
      <c r="M246" s="13" t="str" cm="1">
        <f t="array" ref="M246">_xlfn.IFS(K246&lt;1,"",K246=1,"Fail",K246&gt;1,_xlfn.TEXTJOIN("",TRUE,"Fail x",K246))</f>
        <v>Fail</v>
      </c>
      <c r="N246" t="str">
        <f t="shared" si="18"/>
        <v>Pass, Fail</v>
      </c>
    </row>
    <row r="247" spans="8:14">
      <c r="H247" s="13">
        <f t="shared" si="16"/>
        <v>2</v>
      </c>
      <c r="I247" t="str" cm="1">
        <f t="array" ref="I247">_xlfn.IFS(H247&lt;1,"No",H247=1,"Yes",H247&gt;1,_xlfn.TEXTJOIN("",TRUE,"Yes x",H247))</f>
        <v>Yes x2</v>
      </c>
      <c r="J247" s="13">
        <f t="shared" si="17"/>
        <v>1</v>
      </c>
      <c r="K247" s="13">
        <f t="shared" si="15"/>
        <v>1</v>
      </c>
      <c r="L247" s="13" t="str" cm="1">
        <f t="array" ref="L247">_xlfn.IFS(J247&lt;1,"",J247=1,"Pass",J247&gt;1,_xlfn.TEXTJOIN("",TRUE,"Pass x",J247))</f>
        <v>Pass</v>
      </c>
      <c r="M247" s="13" t="str" cm="1">
        <f t="array" ref="M247">_xlfn.IFS(K247&lt;1,"",K247=1,"Fail",K247&gt;1,_xlfn.TEXTJOIN("",TRUE,"Fail x",K247))</f>
        <v>Fail</v>
      </c>
      <c r="N247" t="str">
        <f t="shared" si="18"/>
        <v>Pass, Fail</v>
      </c>
    </row>
    <row r="248" spans="8:14">
      <c r="H248" s="13">
        <f t="shared" si="16"/>
        <v>2</v>
      </c>
      <c r="I248" t="str" cm="1">
        <f t="array" ref="I248">_xlfn.IFS(H248&lt;1,"No",H248=1,"Yes",H248&gt;1,_xlfn.TEXTJOIN("",TRUE,"Yes x",H248))</f>
        <v>Yes x2</v>
      </c>
      <c r="J248" s="13">
        <f t="shared" si="17"/>
        <v>1</v>
      </c>
      <c r="K248" s="13">
        <f t="shared" si="15"/>
        <v>1</v>
      </c>
      <c r="L248" s="13" t="str" cm="1">
        <f t="array" ref="L248">_xlfn.IFS(J248&lt;1,"",J248=1,"Pass",J248&gt;1,_xlfn.TEXTJOIN("",TRUE,"Pass x",J248))</f>
        <v>Pass</v>
      </c>
      <c r="M248" s="13" t="str" cm="1">
        <f t="array" ref="M248">_xlfn.IFS(K248&lt;1,"",K248=1,"Fail",K248&gt;1,_xlfn.TEXTJOIN("",TRUE,"Fail x",K248))</f>
        <v>Fail</v>
      </c>
      <c r="N248" t="str">
        <f t="shared" si="18"/>
        <v>Pass, Fail</v>
      </c>
    </row>
    <row r="249" spans="8:14">
      <c r="H249" s="13">
        <f t="shared" si="16"/>
        <v>2</v>
      </c>
      <c r="I249" t="str" cm="1">
        <f t="array" ref="I249">_xlfn.IFS(H249&lt;1,"No",H249=1,"Yes",H249&gt;1,_xlfn.TEXTJOIN("",TRUE,"Yes x",H249))</f>
        <v>Yes x2</v>
      </c>
      <c r="J249" s="13">
        <f t="shared" si="17"/>
        <v>1</v>
      </c>
      <c r="K249" s="13">
        <f t="shared" si="15"/>
        <v>1</v>
      </c>
      <c r="L249" s="13" t="str" cm="1">
        <f t="array" ref="L249">_xlfn.IFS(J249&lt;1,"",J249=1,"Pass",J249&gt;1,_xlfn.TEXTJOIN("",TRUE,"Pass x",J249))</f>
        <v>Pass</v>
      </c>
      <c r="M249" s="13" t="str" cm="1">
        <f t="array" ref="M249">_xlfn.IFS(K249&lt;1,"",K249=1,"Fail",K249&gt;1,_xlfn.TEXTJOIN("",TRUE,"Fail x",K249))</f>
        <v>Fail</v>
      </c>
      <c r="N249" t="str">
        <f t="shared" si="18"/>
        <v>Pass, Fail</v>
      </c>
    </row>
    <row r="250" spans="8:14">
      <c r="H250" s="13">
        <f t="shared" si="16"/>
        <v>2</v>
      </c>
      <c r="I250" t="str" cm="1">
        <f t="array" ref="I250">_xlfn.IFS(H250&lt;1,"No",H250=1,"Yes",H250&gt;1,_xlfn.TEXTJOIN("",TRUE,"Yes x",H250))</f>
        <v>Yes x2</v>
      </c>
      <c r="J250" s="13">
        <f t="shared" si="17"/>
        <v>1</v>
      </c>
      <c r="K250" s="13">
        <f t="shared" si="15"/>
        <v>1</v>
      </c>
      <c r="L250" s="13" t="str" cm="1">
        <f t="array" ref="L250">_xlfn.IFS(J250&lt;1,"",J250=1,"Pass",J250&gt;1,_xlfn.TEXTJOIN("",TRUE,"Pass x",J250))</f>
        <v>Pass</v>
      </c>
      <c r="M250" s="13" t="str" cm="1">
        <f t="array" ref="M250">_xlfn.IFS(K250&lt;1,"",K250=1,"Fail",K250&gt;1,_xlfn.TEXTJOIN("",TRUE,"Fail x",K250))</f>
        <v>Fail</v>
      </c>
      <c r="N250" t="str">
        <f t="shared" si="18"/>
        <v>Pass, Fail</v>
      </c>
    </row>
    <row r="251" spans="8:14">
      <c r="H251" s="13">
        <f t="shared" si="16"/>
        <v>2</v>
      </c>
      <c r="I251" t="str" cm="1">
        <f t="array" ref="I251">_xlfn.IFS(H251&lt;1,"No",H251=1,"Yes",H251&gt;1,_xlfn.TEXTJOIN("",TRUE,"Yes x",H251))</f>
        <v>Yes x2</v>
      </c>
      <c r="J251" s="13">
        <f t="shared" si="17"/>
        <v>1</v>
      </c>
      <c r="K251" s="13">
        <f t="shared" si="15"/>
        <v>1</v>
      </c>
      <c r="L251" s="13" t="str" cm="1">
        <f t="array" ref="L251">_xlfn.IFS(J251&lt;1,"",J251=1,"Pass",J251&gt;1,_xlfn.TEXTJOIN("",TRUE,"Pass x",J251))</f>
        <v>Pass</v>
      </c>
      <c r="M251" s="13" t="str" cm="1">
        <f t="array" ref="M251">_xlfn.IFS(K251&lt;1,"",K251=1,"Fail",K251&gt;1,_xlfn.TEXTJOIN("",TRUE,"Fail x",K251))</f>
        <v>Fail</v>
      </c>
      <c r="N251" t="str">
        <f t="shared" si="18"/>
        <v>Pass, Fail</v>
      </c>
    </row>
    <row r="252" spans="8:14">
      <c r="H252" s="13">
        <f t="shared" si="16"/>
        <v>2</v>
      </c>
      <c r="I252" t="str" cm="1">
        <f t="array" ref="I252">_xlfn.IFS(H252&lt;1,"No",H252=1,"Yes",H252&gt;1,_xlfn.TEXTJOIN("",TRUE,"Yes x",H252))</f>
        <v>Yes x2</v>
      </c>
      <c r="J252" s="13">
        <f t="shared" si="17"/>
        <v>1</v>
      </c>
      <c r="K252" s="13">
        <f t="shared" si="15"/>
        <v>1</v>
      </c>
      <c r="L252" s="13" t="str" cm="1">
        <f t="array" ref="L252">_xlfn.IFS(J252&lt;1,"",J252=1,"Pass",J252&gt;1,_xlfn.TEXTJOIN("",TRUE,"Pass x",J252))</f>
        <v>Pass</v>
      </c>
      <c r="M252" s="13" t="str" cm="1">
        <f t="array" ref="M252">_xlfn.IFS(K252&lt;1,"",K252=1,"Fail",K252&gt;1,_xlfn.TEXTJOIN("",TRUE,"Fail x",K252))</f>
        <v>Fail</v>
      </c>
      <c r="N252" t="str">
        <f t="shared" si="18"/>
        <v>Pass, Fail</v>
      </c>
    </row>
    <row r="253" spans="8:14">
      <c r="H253" s="13">
        <f t="shared" si="16"/>
        <v>2</v>
      </c>
      <c r="I253" t="str" cm="1">
        <f t="array" ref="I253">_xlfn.IFS(H253&lt;1,"No",H253=1,"Yes",H253&gt;1,_xlfn.TEXTJOIN("",TRUE,"Yes x",H253))</f>
        <v>Yes x2</v>
      </c>
      <c r="J253" s="13">
        <f t="shared" si="17"/>
        <v>1</v>
      </c>
      <c r="K253" s="13">
        <f t="shared" si="15"/>
        <v>1</v>
      </c>
      <c r="L253" s="13" t="str" cm="1">
        <f t="array" ref="L253">_xlfn.IFS(J253&lt;1,"",J253=1,"Pass",J253&gt;1,_xlfn.TEXTJOIN("",TRUE,"Pass x",J253))</f>
        <v>Pass</v>
      </c>
      <c r="M253" s="13" t="str" cm="1">
        <f t="array" ref="M253">_xlfn.IFS(K253&lt;1,"",K253=1,"Fail",K253&gt;1,_xlfn.TEXTJOIN("",TRUE,"Fail x",K253))</f>
        <v>Fail</v>
      </c>
      <c r="N253" t="str">
        <f t="shared" si="18"/>
        <v>Pass, Fail</v>
      </c>
    </row>
    <row r="254" spans="8:14">
      <c r="H254" s="13">
        <f t="shared" si="16"/>
        <v>2</v>
      </c>
      <c r="I254" t="str" cm="1">
        <f t="array" ref="I254">_xlfn.IFS(H254&lt;1,"No",H254=1,"Yes",H254&gt;1,_xlfn.TEXTJOIN("",TRUE,"Yes x",H254))</f>
        <v>Yes x2</v>
      </c>
      <c r="J254" s="13">
        <f t="shared" si="17"/>
        <v>1</v>
      </c>
      <c r="K254" s="13">
        <f t="shared" si="15"/>
        <v>1</v>
      </c>
      <c r="L254" s="13" t="str" cm="1">
        <f t="array" ref="L254">_xlfn.IFS(J254&lt;1,"",J254=1,"Pass",J254&gt;1,_xlfn.TEXTJOIN("",TRUE,"Pass x",J254))</f>
        <v>Pass</v>
      </c>
      <c r="M254" s="13" t="str" cm="1">
        <f t="array" ref="M254">_xlfn.IFS(K254&lt;1,"",K254=1,"Fail",K254&gt;1,_xlfn.TEXTJOIN("",TRUE,"Fail x",K254))</f>
        <v>Fail</v>
      </c>
      <c r="N254" t="str">
        <f t="shared" si="18"/>
        <v>Pass, Fail</v>
      </c>
    </row>
    <row r="255" spans="8:14">
      <c r="H255" s="13">
        <f t="shared" si="16"/>
        <v>2</v>
      </c>
      <c r="I255" t="str" cm="1">
        <f t="array" ref="I255">_xlfn.IFS(H255&lt;1,"No",H255=1,"Yes",H255&gt;1,_xlfn.TEXTJOIN("",TRUE,"Yes x",H255))</f>
        <v>Yes x2</v>
      </c>
      <c r="J255" s="13">
        <f t="shared" si="17"/>
        <v>1</v>
      </c>
      <c r="K255" s="13">
        <f t="shared" si="15"/>
        <v>1</v>
      </c>
      <c r="L255" s="13" t="str" cm="1">
        <f t="array" ref="L255">_xlfn.IFS(J255&lt;1,"",J255=1,"Pass",J255&gt;1,_xlfn.TEXTJOIN("",TRUE,"Pass x",J255))</f>
        <v>Pass</v>
      </c>
      <c r="M255" s="13" t="str" cm="1">
        <f t="array" ref="M255">_xlfn.IFS(K255&lt;1,"",K255=1,"Fail",K255&gt;1,_xlfn.TEXTJOIN("",TRUE,"Fail x",K255))</f>
        <v>Fail</v>
      </c>
      <c r="N255" t="str">
        <f t="shared" si="18"/>
        <v>Pass, Fail</v>
      </c>
    </row>
    <row r="256" spans="8:14">
      <c r="H256" s="13">
        <f t="shared" si="16"/>
        <v>2</v>
      </c>
      <c r="I256" t="str" cm="1">
        <f t="array" ref="I256">_xlfn.IFS(H256&lt;1,"No",H256=1,"Yes",H256&gt;1,_xlfn.TEXTJOIN("",TRUE,"Yes x",H256))</f>
        <v>Yes x2</v>
      </c>
      <c r="J256" s="13">
        <f t="shared" si="17"/>
        <v>1</v>
      </c>
      <c r="K256" s="13">
        <f t="shared" si="15"/>
        <v>1</v>
      </c>
      <c r="L256" s="13" t="str" cm="1">
        <f t="array" ref="L256">_xlfn.IFS(J256&lt;1,"",J256=1,"Pass",J256&gt;1,_xlfn.TEXTJOIN("",TRUE,"Pass x",J256))</f>
        <v>Pass</v>
      </c>
      <c r="M256" s="13" t="str" cm="1">
        <f t="array" ref="M256">_xlfn.IFS(K256&lt;1,"",K256=1,"Fail",K256&gt;1,_xlfn.TEXTJOIN("",TRUE,"Fail x",K256))</f>
        <v>Fail</v>
      </c>
      <c r="N256" t="str">
        <f t="shared" si="18"/>
        <v>Pass, Fail</v>
      </c>
    </row>
    <row r="257" spans="8:14">
      <c r="H257" s="13">
        <f t="shared" si="16"/>
        <v>2</v>
      </c>
      <c r="I257" t="str" cm="1">
        <f t="array" ref="I257">_xlfn.IFS(H257&lt;1,"No",H257=1,"Yes",H257&gt;1,_xlfn.TEXTJOIN("",TRUE,"Yes x",H257))</f>
        <v>Yes x2</v>
      </c>
      <c r="J257" s="13">
        <f t="shared" si="17"/>
        <v>1</v>
      </c>
      <c r="K257" s="13">
        <f t="shared" si="15"/>
        <v>1</v>
      </c>
      <c r="L257" s="13" t="str" cm="1">
        <f t="array" ref="L257">_xlfn.IFS(J257&lt;1,"",J257=1,"Pass",J257&gt;1,_xlfn.TEXTJOIN("",TRUE,"Pass x",J257))</f>
        <v>Pass</v>
      </c>
      <c r="M257" s="13" t="str" cm="1">
        <f t="array" ref="M257">_xlfn.IFS(K257&lt;1,"",K257=1,"Fail",K257&gt;1,_xlfn.TEXTJOIN("",TRUE,"Fail x",K257))</f>
        <v>Fail</v>
      </c>
      <c r="N257" t="str">
        <f t="shared" si="18"/>
        <v>Pass, Fail</v>
      </c>
    </row>
    <row r="258" spans="8:14">
      <c r="H258" s="13">
        <f t="shared" si="16"/>
        <v>2</v>
      </c>
      <c r="I258" t="str" cm="1">
        <f t="array" ref="I258">_xlfn.IFS(H258&lt;1,"No",H258=1,"Yes",H258&gt;1,_xlfn.TEXTJOIN("",TRUE,"Yes x",H258))</f>
        <v>Yes x2</v>
      </c>
      <c r="J258" s="13">
        <f t="shared" si="17"/>
        <v>1</v>
      </c>
      <c r="K258" s="13">
        <f t="shared" si="15"/>
        <v>1</v>
      </c>
      <c r="L258" s="13" t="str" cm="1">
        <f t="array" ref="L258">_xlfn.IFS(J258&lt;1,"",J258=1,"Pass",J258&gt;1,_xlfn.TEXTJOIN("",TRUE,"Pass x",J258))</f>
        <v>Pass</v>
      </c>
      <c r="M258" s="13" t="str" cm="1">
        <f t="array" ref="M258">_xlfn.IFS(K258&lt;1,"",K258=1,"Fail",K258&gt;1,_xlfn.TEXTJOIN("",TRUE,"Fail x",K258))</f>
        <v>Fail</v>
      </c>
      <c r="N258" t="str">
        <f t="shared" si="18"/>
        <v>Pass, Fail</v>
      </c>
    </row>
    <row r="259" spans="8:14">
      <c r="H259" s="13">
        <f t="shared" si="16"/>
        <v>2</v>
      </c>
      <c r="I259" t="str" cm="1">
        <f t="array" ref="I259">_xlfn.IFS(H259&lt;1,"No",H259=1,"Yes",H259&gt;1,_xlfn.TEXTJOIN("",TRUE,"Yes x",H259))</f>
        <v>Yes x2</v>
      </c>
      <c r="J259" s="13">
        <f t="shared" si="17"/>
        <v>1</v>
      </c>
      <c r="K259" s="13">
        <f t="shared" ref="K259:K322" si="19">IFERROR(GETPIVOTDATA("Successful / Failed",$A$1,"System serial",G259,"Successful / Failed","Failed"),0)</f>
        <v>1</v>
      </c>
      <c r="L259" s="13" t="str" cm="1">
        <f t="array" ref="L259">_xlfn.IFS(J259&lt;1,"",J259=1,"Pass",J259&gt;1,_xlfn.TEXTJOIN("",TRUE,"Pass x",J259))</f>
        <v>Pass</v>
      </c>
      <c r="M259" s="13" t="str" cm="1">
        <f t="array" ref="M259">_xlfn.IFS(K259&lt;1,"",K259=1,"Fail",K259&gt;1,_xlfn.TEXTJOIN("",TRUE,"Fail x",K259))</f>
        <v>Fail</v>
      </c>
      <c r="N259" t="str">
        <f t="shared" si="18"/>
        <v>Pass, Fail</v>
      </c>
    </row>
    <row r="260" spans="8:14">
      <c r="H260" s="13">
        <f t="shared" si="16"/>
        <v>2</v>
      </c>
      <c r="I260" t="str" cm="1">
        <f t="array" ref="I260">_xlfn.IFS(H260&lt;1,"No",H260=1,"Yes",H260&gt;1,_xlfn.TEXTJOIN("",TRUE,"Yes x",H260))</f>
        <v>Yes x2</v>
      </c>
      <c r="J260" s="13">
        <f t="shared" si="17"/>
        <v>1</v>
      </c>
      <c r="K260" s="13">
        <f t="shared" si="19"/>
        <v>1</v>
      </c>
      <c r="L260" s="13" t="str" cm="1">
        <f t="array" ref="L260">_xlfn.IFS(J260&lt;1,"",J260=1,"Pass",J260&gt;1,_xlfn.TEXTJOIN("",TRUE,"Pass x",J260))</f>
        <v>Pass</v>
      </c>
      <c r="M260" s="13" t="str" cm="1">
        <f t="array" ref="M260">_xlfn.IFS(K260&lt;1,"",K260=1,"Fail",K260&gt;1,_xlfn.TEXTJOIN("",TRUE,"Fail x",K260))</f>
        <v>Fail</v>
      </c>
      <c r="N260" t="str">
        <f t="shared" si="18"/>
        <v>Pass, Fail</v>
      </c>
    </row>
    <row r="261" spans="8:14">
      <c r="H261" s="13">
        <f t="shared" si="16"/>
        <v>2</v>
      </c>
      <c r="I261" t="str" cm="1">
        <f t="array" ref="I261">_xlfn.IFS(H261&lt;1,"No",H261=1,"Yes",H261&gt;1,_xlfn.TEXTJOIN("",TRUE,"Yes x",H261))</f>
        <v>Yes x2</v>
      </c>
      <c r="J261" s="13">
        <f t="shared" si="17"/>
        <v>1</v>
      </c>
      <c r="K261" s="13">
        <f t="shared" si="19"/>
        <v>1</v>
      </c>
      <c r="L261" s="13" t="str" cm="1">
        <f t="array" ref="L261">_xlfn.IFS(J261&lt;1,"",J261=1,"Pass",J261&gt;1,_xlfn.TEXTJOIN("",TRUE,"Pass x",J261))</f>
        <v>Pass</v>
      </c>
      <c r="M261" s="13" t="str" cm="1">
        <f t="array" ref="M261">_xlfn.IFS(K261&lt;1,"",K261=1,"Fail",K261&gt;1,_xlfn.TEXTJOIN("",TRUE,"Fail x",K261))</f>
        <v>Fail</v>
      </c>
      <c r="N261" t="str">
        <f t="shared" si="18"/>
        <v>Pass, Fail</v>
      </c>
    </row>
    <row r="262" spans="8:14">
      <c r="H262" s="13">
        <f t="shared" si="16"/>
        <v>2</v>
      </c>
      <c r="I262" t="str" cm="1">
        <f t="array" ref="I262">_xlfn.IFS(H262&lt;1,"No",H262=1,"Yes",H262&gt;1,_xlfn.TEXTJOIN("",TRUE,"Yes x",H262))</f>
        <v>Yes x2</v>
      </c>
      <c r="J262" s="13">
        <f t="shared" si="17"/>
        <v>1</v>
      </c>
      <c r="K262" s="13">
        <f t="shared" si="19"/>
        <v>1</v>
      </c>
      <c r="L262" s="13" t="str" cm="1">
        <f t="array" ref="L262">_xlfn.IFS(J262&lt;1,"",J262=1,"Pass",J262&gt;1,_xlfn.TEXTJOIN("",TRUE,"Pass x",J262))</f>
        <v>Pass</v>
      </c>
      <c r="M262" s="13" t="str" cm="1">
        <f t="array" ref="M262">_xlfn.IFS(K262&lt;1,"",K262=1,"Fail",K262&gt;1,_xlfn.TEXTJOIN("",TRUE,"Fail x",K262))</f>
        <v>Fail</v>
      </c>
      <c r="N262" t="str">
        <f t="shared" si="18"/>
        <v>Pass, Fail</v>
      </c>
    </row>
    <row r="263" spans="8:14">
      <c r="H263" s="13">
        <f t="shared" si="16"/>
        <v>2</v>
      </c>
      <c r="I263" t="str" cm="1">
        <f t="array" ref="I263">_xlfn.IFS(H263&lt;1,"No",H263=1,"Yes",H263&gt;1,_xlfn.TEXTJOIN("",TRUE,"Yes x",H263))</f>
        <v>Yes x2</v>
      </c>
      <c r="J263" s="13">
        <f t="shared" si="17"/>
        <v>1</v>
      </c>
      <c r="K263" s="13">
        <f t="shared" si="19"/>
        <v>1</v>
      </c>
      <c r="L263" s="13" t="str" cm="1">
        <f t="array" ref="L263">_xlfn.IFS(J263&lt;1,"",J263=1,"Pass",J263&gt;1,_xlfn.TEXTJOIN("",TRUE,"Pass x",J263))</f>
        <v>Pass</v>
      </c>
      <c r="M263" s="13" t="str" cm="1">
        <f t="array" ref="M263">_xlfn.IFS(K263&lt;1,"",K263=1,"Fail",K263&gt;1,_xlfn.TEXTJOIN("",TRUE,"Fail x",K263))</f>
        <v>Fail</v>
      </c>
      <c r="N263" t="str">
        <f t="shared" si="18"/>
        <v>Pass, Fail</v>
      </c>
    </row>
    <row r="264" spans="8:14">
      <c r="H264" s="13">
        <f t="shared" si="16"/>
        <v>2</v>
      </c>
      <c r="I264" t="str" cm="1">
        <f t="array" ref="I264">_xlfn.IFS(H264&lt;1,"No",H264=1,"Yes",H264&gt;1,_xlfn.TEXTJOIN("",TRUE,"Yes x",H264))</f>
        <v>Yes x2</v>
      </c>
      <c r="J264" s="13">
        <f t="shared" si="17"/>
        <v>1</v>
      </c>
      <c r="K264" s="13">
        <f t="shared" si="19"/>
        <v>1</v>
      </c>
      <c r="L264" s="13" t="str" cm="1">
        <f t="array" ref="L264">_xlfn.IFS(J264&lt;1,"",J264=1,"Pass",J264&gt;1,_xlfn.TEXTJOIN("",TRUE,"Pass x",J264))</f>
        <v>Pass</v>
      </c>
      <c r="M264" s="13" t="str" cm="1">
        <f t="array" ref="M264">_xlfn.IFS(K264&lt;1,"",K264=1,"Fail",K264&gt;1,_xlfn.TEXTJOIN("",TRUE,"Fail x",K264))</f>
        <v>Fail</v>
      </c>
      <c r="N264" t="str">
        <f t="shared" si="18"/>
        <v>Pass, Fail</v>
      </c>
    </row>
    <row r="265" spans="8:14">
      <c r="H265" s="13">
        <f t="shared" si="16"/>
        <v>2</v>
      </c>
      <c r="I265" t="str" cm="1">
        <f t="array" ref="I265">_xlfn.IFS(H265&lt;1,"No",H265=1,"Yes",H265&gt;1,_xlfn.TEXTJOIN("",TRUE,"Yes x",H265))</f>
        <v>Yes x2</v>
      </c>
      <c r="J265" s="13">
        <f t="shared" si="17"/>
        <v>1</v>
      </c>
      <c r="K265" s="13">
        <f t="shared" si="19"/>
        <v>1</v>
      </c>
      <c r="L265" s="13" t="str" cm="1">
        <f t="array" ref="L265">_xlfn.IFS(J265&lt;1,"",J265=1,"Pass",J265&gt;1,_xlfn.TEXTJOIN("",TRUE,"Pass x",J265))</f>
        <v>Pass</v>
      </c>
      <c r="M265" s="13" t="str" cm="1">
        <f t="array" ref="M265">_xlfn.IFS(K265&lt;1,"",K265=1,"Fail",K265&gt;1,_xlfn.TEXTJOIN("",TRUE,"Fail x",K265))</f>
        <v>Fail</v>
      </c>
      <c r="N265" t="str">
        <f t="shared" si="18"/>
        <v>Pass, Fail</v>
      </c>
    </row>
    <row r="266" spans="8:14">
      <c r="H266" s="13">
        <f t="shared" si="16"/>
        <v>2</v>
      </c>
      <c r="I266" t="str" cm="1">
        <f t="array" ref="I266">_xlfn.IFS(H266&lt;1,"No",H266=1,"Yes",H266&gt;1,_xlfn.TEXTJOIN("",TRUE,"Yes x",H266))</f>
        <v>Yes x2</v>
      </c>
      <c r="J266" s="13">
        <f t="shared" si="17"/>
        <v>1</v>
      </c>
      <c r="K266" s="13">
        <f t="shared" si="19"/>
        <v>1</v>
      </c>
      <c r="L266" s="13" t="str" cm="1">
        <f t="array" ref="L266">_xlfn.IFS(J266&lt;1,"",J266=1,"Pass",J266&gt;1,_xlfn.TEXTJOIN("",TRUE,"Pass x",J266))</f>
        <v>Pass</v>
      </c>
      <c r="M266" s="13" t="str" cm="1">
        <f t="array" ref="M266">_xlfn.IFS(K266&lt;1,"",K266=1,"Fail",K266&gt;1,_xlfn.TEXTJOIN("",TRUE,"Fail x",K266))</f>
        <v>Fail</v>
      </c>
      <c r="N266" t="str">
        <f t="shared" si="18"/>
        <v>Pass, Fail</v>
      </c>
    </row>
    <row r="267" spans="8:14">
      <c r="H267" s="13">
        <f t="shared" si="16"/>
        <v>2</v>
      </c>
      <c r="I267" t="str" cm="1">
        <f t="array" ref="I267">_xlfn.IFS(H267&lt;1,"No",H267=1,"Yes",H267&gt;1,_xlfn.TEXTJOIN("",TRUE,"Yes x",H267))</f>
        <v>Yes x2</v>
      </c>
      <c r="J267" s="13">
        <f t="shared" si="17"/>
        <v>1</v>
      </c>
      <c r="K267" s="13">
        <f t="shared" si="19"/>
        <v>1</v>
      </c>
      <c r="L267" s="13" t="str" cm="1">
        <f t="array" ref="L267">_xlfn.IFS(J267&lt;1,"",J267=1,"Pass",J267&gt;1,_xlfn.TEXTJOIN("",TRUE,"Pass x",J267))</f>
        <v>Pass</v>
      </c>
      <c r="M267" s="13" t="str" cm="1">
        <f t="array" ref="M267">_xlfn.IFS(K267&lt;1,"",K267=1,"Fail",K267&gt;1,_xlfn.TEXTJOIN("",TRUE,"Fail x",K267))</f>
        <v>Fail</v>
      </c>
      <c r="N267" t="str">
        <f t="shared" si="18"/>
        <v>Pass, Fail</v>
      </c>
    </row>
    <row r="268" spans="8:14">
      <c r="H268" s="13">
        <f t="shared" si="16"/>
        <v>2</v>
      </c>
      <c r="I268" t="str" cm="1">
        <f t="array" ref="I268">_xlfn.IFS(H268&lt;1,"No",H268=1,"Yes",H268&gt;1,_xlfn.TEXTJOIN("",TRUE,"Yes x",H268))</f>
        <v>Yes x2</v>
      </c>
      <c r="J268" s="13">
        <f t="shared" si="17"/>
        <v>1</v>
      </c>
      <c r="K268" s="13">
        <f t="shared" si="19"/>
        <v>1</v>
      </c>
      <c r="L268" s="13" t="str" cm="1">
        <f t="array" ref="L268">_xlfn.IFS(J268&lt;1,"",J268=1,"Pass",J268&gt;1,_xlfn.TEXTJOIN("",TRUE,"Pass x",J268))</f>
        <v>Pass</v>
      </c>
      <c r="M268" s="13" t="str" cm="1">
        <f t="array" ref="M268">_xlfn.IFS(K268&lt;1,"",K268=1,"Fail",K268&gt;1,_xlfn.TEXTJOIN("",TRUE,"Fail x",K268))</f>
        <v>Fail</v>
      </c>
      <c r="N268" t="str">
        <f t="shared" si="18"/>
        <v>Pass, Fail</v>
      </c>
    </row>
    <row r="269" spans="8:14">
      <c r="H269" s="13">
        <f t="shared" si="16"/>
        <v>2</v>
      </c>
      <c r="I269" t="str" cm="1">
        <f t="array" ref="I269">_xlfn.IFS(H269&lt;1,"No",H269=1,"Yes",H269&gt;1,_xlfn.TEXTJOIN("",TRUE,"Yes x",H269))</f>
        <v>Yes x2</v>
      </c>
      <c r="J269" s="13">
        <f t="shared" si="17"/>
        <v>1</v>
      </c>
      <c r="K269" s="13">
        <f t="shared" si="19"/>
        <v>1</v>
      </c>
      <c r="L269" s="13" t="str" cm="1">
        <f t="array" ref="L269">_xlfn.IFS(J269&lt;1,"",J269=1,"Pass",J269&gt;1,_xlfn.TEXTJOIN("",TRUE,"Pass x",J269))</f>
        <v>Pass</v>
      </c>
      <c r="M269" s="13" t="str" cm="1">
        <f t="array" ref="M269">_xlfn.IFS(K269&lt;1,"",K269=1,"Fail",K269&gt;1,_xlfn.TEXTJOIN("",TRUE,"Fail x",K269))</f>
        <v>Fail</v>
      </c>
      <c r="N269" t="str">
        <f t="shared" si="18"/>
        <v>Pass, Fail</v>
      </c>
    </row>
    <row r="270" spans="8:14">
      <c r="H270" s="13">
        <f t="shared" si="16"/>
        <v>2</v>
      </c>
      <c r="I270" t="str" cm="1">
        <f t="array" ref="I270">_xlfn.IFS(H270&lt;1,"No",H270=1,"Yes",H270&gt;1,_xlfn.TEXTJOIN("",TRUE,"Yes x",H270))</f>
        <v>Yes x2</v>
      </c>
      <c r="J270" s="13">
        <f t="shared" si="17"/>
        <v>1</v>
      </c>
      <c r="K270" s="13">
        <f t="shared" si="19"/>
        <v>1</v>
      </c>
      <c r="L270" s="13" t="str" cm="1">
        <f t="array" ref="L270">_xlfn.IFS(J270&lt;1,"",J270=1,"Pass",J270&gt;1,_xlfn.TEXTJOIN("",TRUE,"Pass x",J270))</f>
        <v>Pass</v>
      </c>
      <c r="M270" s="13" t="str" cm="1">
        <f t="array" ref="M270">_xlfn.IFS(K270&lt;1,"",K270=1,"Fail",K270&gt;1,_xlfn.TEXTJOIN("",TRUE,"Fail x",K270))</f>
        <v>Fail</v>
      </c>
      <c r="N270" t="str">
        <f t="shared" si="18"/>
        <v>Pass, Fail</v>
      </c>
    </row>
    <row r="271" spans="8:14">
      <c r="H271" s="13">
        <f t="shared" si="16"/>
        <v>2</v>
      </c>
      <c r="I271" t="str" cm="1">
        <f t="array" ref="I271">_xlfn.IFS(H271&lt;1,"No",H271=1,"Yes",H271&gt;1,_xlfn.TEXTJOIN("",TRUE,"Yes x",H271))</f>
        <v>Yes x2</v>
      </c>
      <c r="J271" s="13">
        <f t="shared" si="17"/>
        <v>1</v>
      </c>
      <c r="K271" s="13">
        <f t="shared" si="19"/>
        <v>1</v>
      </c>
      <c r="L271" s="13" t="str" cm="1">
        <f t="array" ref="L271">_xlfn.IFS(J271&lt;1,"",J271=1,"Pass",J271&gt;1,_xlfn.TEXTJOIN("",TRUE,"Pass x",J271))</f>
        <v>Pass</v>
      </c>
      <c r="M271" s="13" t="str" cm="1">
        <f t="array" ref="M271">_xlfn.IFS(K271&lt;1,"",K271=1,"Fail",K271&gt;1,_xlfn.TEXTJOIN("",TRUE,"Fail x",K271))</f>
        <v>Fail</v>
      </c>
      <c r="N271" t="str">
        <f t="shared" si="18"/>
        <v>Pass, Fail</v>
      </c>
    </row>
    <row r="272" spans="8:14">
      <c r="H272" s="13">
        <f t="shared" si="16"/>
        <v>2</v>
      </c>
      <c r="I272" t="str" cm="1">
        <f t="array" ref="I272">_xlfn.IFS(H272&lt;1,"No",H272=1,"Yes",H272&gt;1,_xlfn.TEXTJOIN("",TRUE,"Yes x",H272))</f>
        <v>Yes x2</v>
      </c>
      <c r="J272" s="13">
        <f t="shared" si="17"/>
        <v>1</v>
      </c>
      <c r="K272" s="13">
        <f t="shared" si="19"/>
        <v>1</v>
      </c>
      <c r="L272" s="13" t="str" cm="1">
        <f t="array" ref="L272">_xlfn.IFS(J272&lt;1,"",J272=1,"Pass",J272&gt;1,_xlfn.TEXTJOIN("",TRUE,"Pass x",J272))</f>
        <v>Pass</v>
      </c>
      <c r="M272" s="13" t="str" cm="1">
        <f t="array" ref="M272">_xlfn.IFS(K272&lt;1,"",K272=1,"Fail",K272&gt;1,_xlfn.TEXTJOIN("",TRUE,"Fail x",K272))</f>
        <v>Fail</v>
      </c>
      <c r="N272" t="str">
        <f t="shared" si="18"/>
        <v>Pass, Fail</v>
      </c>
    </row>
    <row r="273" spans="8:14">
      <c r="H273" s="13">
        <f t="shared" si="16"/>
        <v>2</v>
      </c>
      <c r="I273" t="str" cm="1">
        <f t="array" ref="I273">_xlfn.IFS(H273&lt;1,"No",H273=1,"Yes",H273&gt;1,_xlfn.TEXTJOIN("",TRUE,"Yes x",H273))</f>
        <v>Yes x2</v>
      </c>
      <c r="J273" s="13">
        <f t="shared" si="17"/>
        <v>1</v>
      </c>
      <c r="K273" s="13">
        <f t="shared" si="19"/>
        <v>1</v>
      </c>
      <c r="L273" s="13" t="str" cm="1">
        <f t="array" ref="L273">_xlfn.IFS(J273&lt;1,"",J273=1,"Pass",J273&gt;1,_xlfn.TEXTJOIN("",TRUE,"Pass x",J273))</f>
        <v>Pass</v>
      </c>
      <c r="M273" s="13" t="str" cm="1">
        <f t="array" ref="M273">_xlfn.IFS(K273&lt;1,"",K273=1,"Fail",K273&gt;1,_xlfn.TEXTJOIN("",TRUE,"Fail x",K273))</f>
        <v>Fail</v>
      </c>
      <c r="N273" t="str">
        <f t="shared" si="18"/>
        <v>Pass, Fail</v>
      </c>
    </row>
    <row r="274" spans="8:14">
      <c r="H274" s="13">
        <f t="shared" si="16"/>
        <v>2</v>
      </c>
      <c r="I274" t="str" cm="1">
        <f t="array" ref="I274">_xlfn.IFS(H274&lt;1,"No",H274=1,"Yes",H274&gt;1,_xlfn.TEXTJOIN("",TRUE,"Yes x",H274))</f>
        <v>Yes x2</v>
      </c>
      <c r="J274" s="13">
        <f t="shared" si="17"/>
        <v>1</v>
      </c>
      <c r="K274" s="13">
        <f t="shared" si="19"/>
        <v>1</v>
      </c>
      <c r="L274" s="13" t="str" cm="1">
        <f t="array" ref="L274">_xlfn.IFS(J274&lt;1,"",J274=1,"Pass",J274&gt;1,_xlfn.TEXTJOIN("",TRUE,"Pass x",J274))</f>
        <v>Pass</v>
      </c>
      <c r="M274" s="13" t="str" cm="1">
        <f t="array" ref="M274">_xlfn.IFS(K274&lt;1,"",K274=1,"Fail",K274&gt;1,_xlfn.TEXTJOIN("",TRUE,"Fail x",K274))</f>
        <v>Fail</v>
      </c>
      <c r="N274" t="str">
        <f t="shared" si="18"/>
        <v>Pass, Fail</v>
      </c>
    </row>
    <row r="275" spans="8:14">
      <c r="H275" s="13">
        <f t="shared" si="16"/>
        <v>2</v>
      </c>
      <c r="I275" t="str" cm="1">
        <f t="array" ref="I275">_xlfn.IFS(H275&lt;1,"No",H275=1,"Yes",H275&gt;1,_xlfn.TEXTJOIN("",TRUE,"Yes x",H275))</f>
        <v>Yes x2</v>
      </c>
      <c r="J275" s="13">
        <f t="shared" si="17"/>
        <v>1</v>
      </c>
      <c r="K275" s="13">
        <f t="shared" si="19"/>
        <v>1</v>
      </c>
      <c r="L275" s="13" t="str" cm="1">
        <f t="array" ref="L275">_xlfn.IFS(J275&lt;1,"",J275=1,"Pass",J275&gt;1,_xlfn.TEXTJOIN("",TRUE,"Pass x",J275))</f>
        <v>Pass</v>
      </c>
      <c r="M275" s="13" t="str" cm="1">
        <f t="array" ref="M275">_xlfn.IFS(K275&lt;1,"",K275=1,"Fail",K275&gt;1,_xlfn.TEXTJOIN("",TRUE,"Fail x",K275))</f>
        <v>Fail</v>
      </c>
      <c r="N275" t="str">
        <f t="shared" si="18"/>
        <v>Pass, Fail</v>
      </c>
    </row>
    <row r="276" spans="8:14">
      <c r="H276" s="13">
        <f t="shared" si="16"/>
        <v>2</v>
      </c>
      <c r="I276" t="str" cm="1">
        <f t="array" ref="I276">_xlfn.IFS(H276&lt;1,"No",H276=1,"Yes",H276&gt;1,_xlfn.TEXTJOIN("",TRUE,"Yes x",H276))</f>
        <v>Yes x2</v>
      </c>
      <c r="J276" s="13">
        <f t="shared" si="17"/>
        <v>1</v>
      </c>
      <c r="K276" s="13">
        <f t="shared" si="19"/>
        <v>1</v>
      </c>
      <c r="L276" s="13" t="str" cm="1">
        <f t="array" ref="L276">_xlfn.IFS(J276&lt;1,"",J276=1,"Pass",J276&gt;1,_xlfn.TEXTJOIN("",TRUE,"Pass x",J276))</f>
        <v>Pass</v>
      </c>
      <c r="M276" s="13" t="str" cm="1">
        <f t="array" ref="M276">_xlfn.IFS(K276&lt;1,"",K276=1,"Fail",K276&gt;1,_xlfn.TEXTJOIN("",TRUE,"Fail x",K276))</f>
        <v>Fail</v>
      </c>
      <c r="N276" t="str">
        <f t="shared" si="18"/>
        <v>Pass, Fail</v>
      </c>
    </row>
    <row r="277" spans="8:14">
      <c r="H277" s="13">
        <f t="shared" si="16"/>
        <v>2</v>
      </c>
      <c r="I277" t="str" cm="1">
        <f t="array" ref="I277">_xlfn.IFS(H277&lt;1,"No",H277=1,"Yes",H277&gt;1,_xlfn.TEXTJOIN("",TRUE,"Yes x",H277))</f>
        <v>Yes x2</v>
      </c>
      <c r="J277" s="13">
        <f t="shared" si="17"/>
        <v>1</v>
      </c>
      <c r="K277" s="13">
        <f t="shared" si="19"/>
        <v>1</v>
      </c>
      <c r="L277" s="13" t="str" cm="1">
        <f t="array" ref="L277">_xlfn.IFS(J277&lt;1,"",J277=1,"Pass",J277&gt;1,_xlfn.TEXTJOIN("",TRUE,"Pass x",J277))</f>
        <v>Pass</v>
      </c>
      <c r="M277" s="13" t="str" cm="1">
        <f t="array" ref="M277">_xlfn.IFS(K277&lt;1,"",K277=1,"Fail",K277&gt;1,_xlfn.TEXTJOIN("",TRUE,"Fail x",K277))</f>
        <v>Fail</v>
      </c>
      <c r="N277" t="str">
        <f t="shared" si="18"/>
        <v>Pass, Fail</v>
      </c>
    </row>
    <row r="278" spans="8:14">
      <c r="H278" s="13">
        <f t="shared" si="16"/>
        <v>2</v>
      </c>
      <c r="I278" t="str" cm="1">
        <f t="array" ref="I278">_xlfn.IFS(H278&lt;1,"No",H278=1,"Yes",H278&gt;1,_xlfn.TEXTJOIN("",TRUE,"Yes x",H278))</f>
        <v>Yes x2</v>
      </c>
      <c r="J278" s="13">
        <f t="shared" si="17"/>
        <v>1</v>
      </c>
      <c r="K278" s="13">
        <f t="shared" si="19"/>
        <v>1</v>
      </c>
      <c r="L278" s="13" t="str" cm="1">
        <f t="array" ref="L278">_xlfn.IFS(J278&lt;1,"",J278=1,"Pass",J278&gt;1,_xlfn.TEXTJOIN("",TRUE,"Pass x",J278))</f>
        <v>Pass</v>
      </c>
      <c r="M278" s="13" t="str" cm="1">
        <f t="array" ref="M278">_xlfn.IFS(K278&lt;1,"",K278=1,"Fail",K278&gt;1,_xlfn.TEXTJOIN("",TRUE,"Fail x",K278))</f>
        <v>Fail</v>
      </c>
      <c r="N278" t="str">
        <f t="shared" si="18"/>
        <v>Pass, Fail</v>
      </c>
    </row>
    <row r="279" spans="8:14">
      <c r="H279" s="13">
        <f t="shared" si="16"/>
        <v>2</v>
      </c>
      <c r="I279" t="str" cm="1">
        <f t="array" ref="I279">_xlfn.IFS(H279&lt;1,"No",H279=1,"Yes",H279&gt;1,_xlfn.TEXTJOIN("",TRUE,"Yes x",H279))</f>
        <v>Yes x2</v>
      </c>
      <c r="J279" s="13">
        <f t="shared" si="17"/>
        <v>1</v>
      </c>
      <c r="K279" s="13">
        <f t="shared" si="19"/>
        <v>1</v>
      </c>
      <c r="L279" s="13" t="str" cm="1">
        <f t="array" ref="L279">_xlfn.IFS(J279&lt;1,"",J279=1,"Pass",J279&gt;1,_xlfn.TEXTJOIN("",TRUE,"Pass x",J279))</f>
        <v>Pass</v>
      </c>
      <c r="M279" s="13" t="str" cm="1">
        <f t="array" ref="M279">_xlfn.IFS(K279&lt;1,"",K279=1,"Fail",K279&gt;1,_xlfn.TEXTJOIN("",TRUE,"Fail x",K279))</f>
        <v>Fail</v>
      </c>
      <c r="N279" t="str">
        <f t="shared" si="18"/>
        <v>Pass, Fail</v>
      </c>
    </row>
    <row r="280" spans="8:14">
      <c r="H280" s="13">
        <f t="shared" si="16"/>
        <v>2</v>
      </c>
      <c r="I280" t="str" cm="1">
        <f t="array" ref="I280">_xlfn.IFS(H280&lt;1,"No",H280=1,"Yes",H280&gt;1,_xlfn.TEXTJOIN("",TRUE,"Yes x",H280))</f>
        <v>Yes x2</v>
      </c>
      <c r="J280" s="13">
        <f t="shared" si="17"/>
        <v>1</v>
      </c>
      <c r="K280" s="13">
        <f t="shared" si="19"/>
        <v>1</v>
      </c>
      <c r="L280" s="13" t="str" cm="1">
        <f t="array" ref="L280">_xlfn.IFS(J280&lt;1,"",J280=1,"Pass",J280&gt;1,_xlfn.TEXTJOIN("",TRUE,"Pass x",J280))</f>
        <v>Pass</v>
      </c>
      <c r="M280" s="13" t="str" cm="1">
        <f t="array" ref="M280">_xlfn.IFS(K280&lt;1,"",K280=1,"Fail",K280&gt;1,_xlfn.TEXTJOIN("",TRUE,"Fail x",K280))</f>
        <v>Fail</v>
      </c>
      <c r="N280" t="str">
        <f t="shared" si="18"/>
        <v>Pass, Fail</v>
      </c>
    </row>
    <row r="281" spans="8:14">
      <c r="H281" s="13">
        <f t="shared" si="16"/>
        <v>2</v>
      </c>
      <c r="I281" t="str" cm="1">
        <f t="array" ref="I281">_xlfn.IFS(H281&lt;1,"No",H281=1,"Yes",H281&gt;1,_xlfn.TEXTJOIN("",TRUE,"Yes x",H281))</f>
        <v>Yes x2</v>
      </c>
      <c r="J281" s="13">
        <f t="shared" si="17"/>
        <v>1</v>
      </c>
      <c r="K281" s="13">
        <f t="shared" si="19"/>
        <v>1</v>
      </c>
      <c r="L281" s="13" t="str" cm="1">
        <f t="array" ref="L281">_xlfn.IFS(J281&lt;1,"",J281=1,"Pass",J281&gt;1,_xlfn.TEXTJOIN("",TRUE,"Pass x",J281))</f>
        <v>Pass</v>
      </c>
      <c r="M281" s="13" t="str" cm="1">
        <f t="array" ref="M281">_xlfn.IFS(K281&lt;1,"",K281=1,"Fail",K281&gt;1,_xlfn.TEXTJOIN("",TRUE,"Fail x",K281))</f>
        <v>Fail</v>
      </c>
      <c r="N281" t="str">
        <f t="shared" si="18"/>
        <v>Pass, Fail</v>
      </c>
    </row>
    <row r="282" spans="8:14">
      <c r="H282" s="13">
        <f t="shared" si="16"/>
        <v>2</v>
      </c>
      <c r="I282" t="str" cm="1">
        <f t="array" ref="I282">_xlfn.IFS(H282&lt;1,"No",H282=1,"Yes",H282&gt;1,_xlfn.TEXTJOIN("",TRUE,"Yes x",H282))</f>
        <v>Yes x2</v>
      </c>
      <c r="J282" s="13">
        <f t="shared" si="17"/>
        <v>1</v>
      </c>
      <c r="K282" s="13">
        <f t="shared" si="19"/>
        <v>1</v>
      </c>
      <c r="L282" s="13" t="str" cm="1">
        <f t="array" ref="L282">_xlfn.IFS(J282&lt;1,"",J282=1,"Pass",J282&gt;1,_xlfn.TEXTJOIN("",TRUE,"Pass x",J282))</f>
        <v>Pass</v>
      </c>
      <c r="M282" s="13" t="str" cm="1">
        <f t="array" ref="M282">_xlfn.IFS(K282&lt;1,"",K282=1,"Fail",K282&gt;1,_xlfn.TEXTJOIN("",TRUE,"Fail x",K282))</f>
        <v>Fail</v>
      </c>
      <c r="N282" t="str">
        <f t="shared" si="18"/>
        <v>Pass, Fail</v>
      </c>
    </row>
    <row r="283" spans="8:14">
      <c r="H283" s="13">
        <f t="shared" si="16"/>
        <v>2</v>
      </c>
      <c r="I283" t="str" cm="1">
        <f t="array" ref="I283">_xlfn.IFS(H283&lt;1,"No",H283=1,"Yes",H283&gt;1,_xlfn.TEXTJOIN("",TRUE,"Yes x",H283))</f>
        <v>Yes x2</v>
      </c>
      <c r="J283" s="13">
        <f t="shared" si="17"/>
        <v>1</v>
      </c>
      <c r="K283" s="13">
        <f t="shared" si="19"/>
        <v>1</v>
      </c>
      <c r="L283" s="13" t="str" cm="1">
        <f t="array" ref="L283">_xlfn.IFS(J283&lt;1,"",J283=1,"Pass",J283&gt;1,_xlfn.TEXTJOIN("",TRUE,"Pass x",J283))</f>
        <v>Pass</v>
      </c>
      <c r="M283" s="13" t="str" cm="1">
        <f t="array" ref="M283">_xlfn.IFS(K283&lt;1,"",K283=1,"Fail",K283&gt;1,_xlfn.TEXTJOIN("",TRUE,"Fail x",K283))</f>
        <v>Fail</v>
      </c>
      <c r="N283" t="str">
        <f t="shared" si="18"/>
        <v>Pass, Fail</v>
      </c>
    </row>
    <row r="284" spans="8:14">
      <c r="H284" s="13">
        <f t="shared" si="16"/>
        <v>2</v>
      </c>
      <c r="I284" t="str" cm="1">
        <f t="array" ref="I284">_xlfn.IFS(H284&lt;1,"No",H284=1,"Yes",H284&gt;1,_xlfn.TEXTJOIN("",TRUE,"Yes x",H284))</f>
        <v>Yes x2</v>
      </c>
      <c r="J284" s="13">
        <f t="shared" si="17"/>
        <v>1</v>
      </c>
      <c r="K284" s="13">
        <f t="shared" si="19"/>
        <v>1</v>
      </c>
      <c r="L284" s="13" t="str" cm="1">
        <f t="array" ref="L284">_xlfn.IFS(J284&lt;1,"",J284=1,"Pass",J284&gt;1,_xlfn.TEXTJOIN("",TRUE,"Pass x",J284))</f>
        <v>Pass</v>
      </c>
      <c r="M284" s="13" t="str" cm="1">
        <f t="array" ref="M284">_xlfn.IFS(K284&lt;1,"",K284=1,"Fail",K284&gt;1,_xlfn.TEXTJOIN("",TRUE,"Fail x",K284))</f>
        <v>Fail</v>
      </c>
      <c r="N284" t="str">
        <f t="shared" si="18"/>
        <v>Pass, Fail</v>
      </c>
    </row>
    <row r="285" spans="8:14">
      <c r="H285" s="13">
        <f t="shared" si="16"/>
        <v>2</v>
      </c>
      <c r="I285" t="str" cm="1">
        <f t="array" ref="I285">_xlfn.IFS(H285&lt;1,"No",H285=1,"Yes",H285&gt;1,_xlfn.TEXTJOIN("",TRUE,"Yes x",H285))</f>
        <v>Yes x2</v>
      </c>
      <c r="J285" s="13">
        <f t="shared" si="17"/>
        <v>1</v>
      </c>
      <c r="K285" s="13">
        <f t="shared" si="19"/>
        <v>1</v>
      </c>
      <c r="L285" s="13" t="str" cm="1">
        <f t="array" ref="L285">_xlfn.IFS(J285&lt;1,"",J285=1,"Pass",J285&gt;1,_xlfn.TEXTJOIN("",TRUE,"Pass x",J285))</f>
        <v>Pass</v>
      </c>
      <c r="M285" s="13" t="str" cm="1">
        <f t="array" ref="M285">_xlfn.IFS(K285&lt;1,"",K285=1,"Fail",K285&gt;1,_xlfn.TEXTJOIN("",TRUE,"Fail x",K285))</f>
        <v>Fail</v>
      </c>
      <c r="N285" t="str">
        <f t="shared" si="18"/>
        <v>Pass, Fail</v>
      </c>
    </row>
    <row r="286" spans="8:14">
      <c r="H286" s="13">
        <f t="shared" si="16"/>
        <v>2</v>
      </c>
      <c r="I286" t="str" cm="1">
        <f t="array" ref="I286">_xlfn.IFS(H286&lt;1,"No",H286=1,"Yes",H286&gt;1,_xlfn.TEXTJOIN("",TRUE,"Yes x",H286))</f>
        <v>Yes x2</v>
      </c>
      <c r="J286" s="13">
        <f t="shared" si="17"/>
        <v>1</v>
      </c>
      <c r="K286" s="13">
        <f t="shared" si="19"/>
        <v>1</v>
      </c>
      <c r="L286" s="13" t="str" cm="1">
        <f t="array" ref="L286">_xlfn.IFS(J286&lt;1,"",J286=1,"Pass",J286&gt;1,_xlfn.TEXTJOIN("",TRUE,"Pass x",J286))</f>
        <v>Pass</v>
      </c>
      <c r="M286" s="13" t="str" cm="1">
        <f t="array" ref="M286">_xlfn.IFS(K286&lt;1,"",K286=1,"Fail",K286&gt;1,_xlfn.TEXTJOIN("",TRUE,"Fail x",K286))</f>
        <v>Fail</v>
      </c>
      <c r="N286" t="str">
        <f t="shared" si="18"/>
        <v>Pass, Fail</v>
      </c>
    </row>
    <row r="287" spans="8:14">
      <c r="H287" s="13">
        <f t="shared" si="16"/>
        <v>2</v>
      </c>
      <c r="I287" t="str" cm="1">
        <f t="array" ref="I287">_xlfn.IFS(H287&lt;1,"No",H287=1,"Yes",H287&gt;1,_xlfn.TEXTJOIN("",TRUE,"Yes x",H287))</f>
        <v>Yes x2</v>
      </c>
      <c r="J287" s="13">
        <f t="shared" si="17"/>
        <v>1</v>
      </c>
      <c r="K287" s="13">
        <f t="shared" si="19"/>
        <v>1</v>
      </c>
      <c r="L287" s="13" t="str" cm="1">
        <f t="array" ref="L287">_xlfn.IFS(J287&lt;1,"",J287=1,"Pass",J287&gt;1,_xlfn.TEXTJOIN("",TRUE,"Pass x",J287))</f>
        <v>Pass</v>
      </c>
      <c r="M287" s="13" t="str" cm="1">
        <f t="array" ref="M287">_xlfn.IFS(K287&lt;1,"",K287=1,"Fail",K287&gt;1,_xlfn.TEXTJOIN("",TRUE,"Fail x",K287))</f>
        <v>Fail</v>
      </c>
      <c r="N287" t="str">
        <f t="shared" si="18"/>
        <v>Pass, Fail</v>
      </c>
    </row>
    <row r="288" spans="8:14">
      <c r="H288" s="13">
        <f t="shared" si="16"/>
        <v>2</v>
      </c>
      <c r="I288" t="str" cm="1">
        <f t="array" ref="I288">_xlfn.IFS(H288&lt;1,"No",H288=1,"Yes",H288&gt;1,_xlfn.TEXTJOIN("",TRUE,"Yes x",H288))</f>
        <v>Yes x2</v>
      </c>
      <c r="J288" s="13">
        <f t="shared" si="17"/>
        <v>1</v>
      </c>
      <c r="K288" s="13">
        <f t="shared" si="19"/>
        <v>1</v>
      </c>
      <c r="L288" s="13" t="str" cm="1">
        <f t="array" ref="L288">_xlfn.IFS(J288&lt;1,"",J288=1,"Pass",J288&gt;1,_xlfn.TEXTJOIN("",TRUE,"Pass x",J288))</f>
        <v>Pass</v>
      </c>
      <c r="M288" s="13" t="str" cm="1">
        <f t="array" ref="M288">_xlfn.IFS(K288&lt;1,"",K288=1,"Fail",K288&gt;1,_xlfn.TEXTJOIN("",TRUE,"Fail x",K288))</f>
        <v>Fail</v>
      </c>
      <c r="N288" t="str">
        <f t="shared" si="18"/>
        <v>Pass, Fail</v>
      </c>
    </row>
    <row r="289" spans="8:14">
      <c r="H289" s="13">
        <f t="shared" si="16"/>
        <v>2</v>
      </c>
      <c r="I289" t="str" cm="1">
        <f t="array" ref="I289">_xlfn.IFS(H289&lt;1,"No",H289=1,"Yes",H289&gt;1,_xlfn.TEXTJOIN("",TRUE,"Yes x",H289))</f>
        <v>Yes x2</v>
      </c>
      <c r="J289" s="13">
        <f t="shared" si="17"/>
        <v>1</v>
      </c>
      <c r="K289" s="13">
        <f t="shared" si="19"/>
        <v>1</v>
      </c>
      <c r="L289" s="13" t="str" cm="1">
        <f t="array" ref="L289">_xlfn.IFS(J289&lt;1,"",J289=1,"Pass",J289&gt;1,_xlfn.TEXTJOIN("",TRUE,"Pass x",J289))</f>
        <v>Pass</v>
      </c>
      <c r="M289" s="13" t="str" cm="1">
        <f t="array" ref="M289">_xlfn.IFS(K289&lt;1,"",K289=1,"Fail",K289&gt;1,_xlfn.TEXTJOIN("",TRUE,"Fail x",K289))</f>
        <v>Fail</v>
      </c>
      <c r="N289" t="str">
        <f t="shared" si="18"/>
        <v>Pass, Fail</v>
      </c>
    </row>
    <row r="290" spans="8:14">
      <c r="H290" s="13">
        <f t="shared" si="16"/>
        <v>2</v>
      </c>
      <c r="I290" t="str" cm="1">
        <f t="array" ref="I290">_xlfn.IFS(H290&lt;1,"No",H290=1,"Yes",H290&gt;1,_xlfn.TEXTJOIN("",TRUE,"Yes x",H290))</f>
        <v>Yes x2</v>
      </c>
      <c r="J290" s="13">
        <f t="shared" si="17"/>
        <v>1</v>
      </c>
      <c r="K290" s="13">
        <f t="shared" si="19"/>
        <v>1</v>
      </c>
      <c r="L290" s="13" t="str" cm="1">
        <f t="array" ref="L290">_xlfn.IFS(J290&lt;1,"",J290=1,"Pass",J290&gt;1,_xlfn.TEXTJOIN("",TRUE,"Pass x",J290))</f>
        <v>Pass</v>
      </c>
      <c r="M290" s="13" t="str" cm="1">
        <f t="array" ref="M290">_xlfn.IFS(K290&lt;1,"",K290=1,"Fail",K290&gt;1,_xlfn.TEXTJOIN("",TRUE,"Fail x",K290))</f>
        <v>Fail</v>
      </c>
      <c r="N290" t="str">
        <f t="shared" si="18"/>
        <v>Pass, Fail</v>
      </c>
    </row>
    <row r="291" spans="8:14">
      <c r="H291" s="13">
        <f t="shared" si="16"/>
        <v>2</v>
      </c>
      <c r="I291" t="str" cm="1">
        <f t="array" ref="I291">_xlfn.IFS(H291&lt;1,"No",H291=1,"Yes",H291&gt;1,_xlfn.TEXTJOIN("",TRUE,"Yes x",H291))</f>
        <v>Yes x2</v>
      </c>
      <c r="J291" s="13">
        <f t="shared" si="17"/>
        <v>1</v>
      </c>
      <c r="K291" s="13">
        <f t="shared" si="19"/>
        <v>1</v>
      </c>
      <c r="L291" s="13" t="str" cm="1">
        <f t="array" ref="L291">_xlfn.IFS(J291&lt;1,"",J291=1,"Pass",J291&gt;1,_xlfn.TEXTJOIN("",TRUE,"Pass x",J291))</f>
        <v>Pass</v>
      </c>
      <c r="M291" s="13" t="str" cm="1">
        <f t="array" ref="M291">_xlfn.IFS(K291&lt;1,"",K291=1,"Fail",K291&gt;1,_xlfn.TEXTJOIN("",TRUE,"Fail x",K291))</f>
        <v>Fail</v>
      </c>
      <c r="N291" t="str">
        <f t="shared" si="18"/>
        <v>Pass, Fail</v>
      </c>
    </row>
    <row r="292" spans="8:14">
      <c r="H292" s="13">
        <f t="shared" ref="H292:H355" si="20">IFERROR(GETPIVOTDATA("Successful / Failed",$A$1,"System serial",G292),0)</f>
        <v>2</v>
      </c>
      <c r="I292" t="str" cm="1">
        <f t="array" ref="I292">_xlfn.IFS(H292&lt;1,"No",H292=1,"Yes",H292&gt;1,_xlfn.TEXTJOIN("",TRUE,"Yes x",H292))</f>
        <v>Yes x2</v>
      </c>
      <c r="J292" s="13">
        <f t="shared" ref="J292:J355" si="21">IFERROR(GETPIVOTDATA("Successful / Failed",$A$1,"System serial",G292,"Successful / Failed","Successful"),0)</f>
        <v>1</v>
      </c>
      <c r="K292" s="13">
        <f t="shared" si="19"/>
        <v>1</v>
      </c>
      <c r="L292" s="13" t="str" cm="1">
        <f t="array" ref="L292">_xlfn.IFS(J292&lt;1,"",J292=1,"Pass",J292&gt;1,_xlfn.TEXTJOIN("",TRUE,"Pass x",J292))</f>
        <v>Pass</v>
      </c>
      <c r="M292" s="13" t="str" cm="1">
        <f t="array" ref="M292">_xlfn.IFS(K292&lt;1,"",K292=1,"Fail",K292&gt;1,_xlfn.TEXTJOIN("",TRUE,"Fail x",K292))</f>
        <v>Fail</v>
      </c>
      <c r="N292" t="str">
        <f t="shared" ref="N292:N355" si="22">_xlfn.TEXTJOIN(", ",TRUE, L292, M292)</f>
        <v>Pass, Fail</v>
      </c>
    </row>
    <row r="293" spans="8:14">
      <c r="H293" s="13">
        <f t="shared" si="20"/>
        <v>2</v>
      </c>
      <c r="I293" t="str" cm="1">
        <f t="array" ref="I293">_xlfn.IFS(H293&lt;1,"No",H293=1,"Yes",H293&gt;1,_xlfn.TEXTJOIN("",TRUE,"Yes x",H293))</f>
        <v>Yes x2</v>
      </c>
      <c r="J293" s="13">
        <f t="shared" si="21"/>
        <v>1</v>
      </c>
      <c r="K293" s="13">
        <f t="shared" si="19"/>
        <v>1</v>
      </c>
      <c r="L293" s="13" t="str" cm="1">
        <f t="array" ref="L293">_xlfn.IFS(J293&lt;1,"",J293=1,"Pass",J293&gt;1,_xlfn.TEXTJOIN("",TRUE,"Pass x",J293))</f>
        <v>Pass</v>
      </c>
      <c r="M293" s="13" t="str" cm="1">
        <f t="array" ref="M293">_xlfn.IFS(K293&lt;1,"",K293=1,"Fail",K293&gt;1,_xlfn.TEXTJOIN("",TRUE,"Fail x",K293))</f>
        <v>Fail</v>
      </c>
      <c r="N293" t="str">
        <f t="shared" si="22"/>
        <v>Pass, Fail</v>
      </c>
    </row>
    <row r="294" spans="8:14">
      <c r="H294" s="13">
        <f t="shared" si="20"/>
        <v>2</v>
      </c>
      <c r="I294" t="str" cm="1">
        <f t="array" ref="I294">_xlfn.IFS(H294&lt;1,"No",H294=1,"Yes",H294&gt;1,_xlfn.TEXTJOIN("",TRUE,"Yes x",H294))</f>
        <v>Yes x2</v>
      </c>
      <c r="J294" s="13">
        <f t="shared" si="21"/>
        <v>1</v>
      </c>
      <c r="K294" s="13">
        <f t="shared" si="19"/>
        <v>1</v>
      </c>
      <c r="L294" s="13" t="str" cm="1">
        <f t="array" ref="L294">_xlfn.IFS(J294&lt;1,"",J294=1,"Pass",J294&gt;1,_xlfn.TEXTJOIN("",TRUE,"Pass x",J294))</f>
        <v>Pass</v>
      </c>
      <c r="M294" s="13" t="str" cm="1">
        <f t="array" ref="M294">_xlfn.IFS(K294&lt;1,"",K294=1,"Fail",K294&gt;1,_xlfn.TEXTJOIN("",TRUE,"Fail x",K294))</f>
        <v>Fail</v>
      </c>
      <c r="N294" t="str">
        <f t="shared" si="22"/>
        <v>Pass, Fail</v>
      </c>
    </row>
    <row r="295" spans="8:14">
      <c r="H295" s="13">
        <f t="shared" si="20"/>
        <v>2</v>
      </c>
      <c r="I295" t="str" cm="1">
        <f t="array" ref="I295">_xlfn.IFS(H295&lt;1,"No",H295=1,"Yes",H295&gt;1,_xlfn.TEXTJOIN("",TRUE,"Yes x",H295))</f>
        <v>Yes x2</v>
      </c>
      <c r="J295" s="13">
        <f t="shared" si="21"/>
        <v>1</v>
      </c>
      <c r="K295" s="13">
        <f t="shared" si="19"/>
        <v>1</v>
      </c>
      <c r="L295" s="13" t="str" cm="1">
        <f t="array" ref="L295">_xlfn.IFS(J295&lt;1,"",J295=1,"Pass",J295&gt;1,_xlfn.TEXTJOIN("",TRUE,"Pass x",J295))</f>
        <v>Pass</v>
      </c>
      <c r="M295" s="13" t="str" cm="1">
        <f t="array" ref="M295">_xlfn.IFS(K295&lt;1,"",K295=1,"Fail",K295&gt;1,_xlfn.TEXTJOIN("",TRUE,"Fail x",K295))</f>
        <v>Fail</v>
      </c>
      <c r="N295" t="str">
        <f t="shared" si="22"/>
        <v>Pass, Fail</v>
      </c>
    </row>
    <row r="296" spans="8:14">
      <c r="H296" s="13">
        <f t="shared" si="20"/>
        <v>2</v>
      </c>
      <c r="I296" t="str" cm="1">
        <f t="array" ref="I296">_xlfn.IFS(H296&lt;1,"No",H296=1,"Yes",H296&gt;1,_xlfn.TEXTJOIN("",TRUE,"Yes x",H296))</f>
        <v>Yes x2</v>
      </c>
      <c r="J296" s="13">
        <f t="shared" si="21"/>
        <v>1</v>
      </c>
      <c r="K296" s="13">
        <f t="shared" si="19"/>
        <v>1</v>
      </c>
      <c r="L296" s="13" t="str" cm="1">
        <f t="array" ref="L296">_xlfn.IFS(J296&lt;1,"",J296=1,"Pass",J296&gt;1,_xlfn.TEXTJOIN("",TRUE,"Pass x",J296))</f>
        <v>Pass</v>
      </c>
      <c r="M296" s="13" t="str" cm="1">
        <f t="array" ref="M296">_xlfn.IFS(K296&lt;1,"",K296=1,"Fail",K296&gt;1,_xlfn.TEXTJOIN("",TRUE,"Fail x",K296))</f>
        <v>Fail</v>
      </c>
      <c r="N296" t="str">
        <f t="shared" si="22"/>
        <v>Pass, Fail</v>
      </c>
    </row>
    <row r="297" spans="8:14">
      <c r="H297" s="13">
        <f t="shared" si="20"/>
        <v>2</v>
      </c>
      <c r="I297" t="str" cm="1">
        <f t="array" ref="I297">_xlfn.IFS(H297&lt;1,"No",H297=1,"Yes",H297&gt;1,_xlfn.TEXTJOIN("",TRUE,"Yes x",H297))</f>
        <v>Yes x2</v>
      </c>
      <c r="J297" s="13">
        <f t="shared" si="21"/>
        <v>1</v>
      </c>
      <c r="K297" s="13">
        <f t="shared" si="19"/>
        <v>1</v>
      </c>
      <c r="L297" s="13" t="str" cm="1">
        <f t="array" ref="L297">_xlfn.IFS(J297&lt;1,"",J297=1,"Pass",J297&gt;1,_xlfn.TEXTJOIN("",TRUE,"Pass x",J297))</f>
        <v>Pass</v>
      </c>
      <c r="M297" s="13" t="str" cm="1">
        <f t="array" ref="M297">_xlfn.IFS(K297&lt;1,"",K297=1,"Fail",K297&gt;1,_xlfn.TEXTJOIN("",TRUE,"Fail x",K297))</f>
        <v>Fail</v>
      </c>
      <c r="N297" t="str">
        <f t="shared" si="22"/>
        <v>Pass, Fail</v>
      </c>
    </row>
    <row r="298" spans="8:14">
      <c r="H298" s="13">
        <f t="shared" si="20"/>
        <v>2</v>
      </c>
      <c r="I298" t="str" cm="1">
        <f t="array" ref="I298">_xlfn.IFS(H298&lt;1,"No",H298=1,"Yes",H298&gt;1,_xlfn.TEXTJOIN("",TRUE,"Yes x",H298))</f>
        <v>Yes x2</v>
      </c>
      <c r="J298" s="13">
        <f t="shared" si="21"/>
        <v>1</v>
      </c>
      <c r="K298" s="13">
        <f t="shared" si="19"/>
        <v>1</v>
      </c>
      <c r="L298" s="13" t="str" cm="1">
        <f t="array" ref="L298">_xlfn.IFS(J298&lt;1,"",J298=1,"Pass",J298&gt;1,_xlfn.TEXTJOIN("",TRUE,"Pass x",J298))</f>
        <v>Pass</v>
      </c>
      <c r="M298" s="13" t="str" cm="1">
        <f t="array" ref="M298">_xlfn.IFS(K298&lt;1,"",K298=1,"Fail",K298&gt;1,_xlfn.TEXTJOIN("",TRUE,"Fail x",K298))</f>
        <v>Fail</v>
      </c>
      <c r="N298" t="str">
        <f t="shared" si="22"/>
        <v>Pass, Fail</v>
      </c>
    </row>
    <row r="299" spans="8:14">
      <c r="H299" s="13">
        <f t="shared" si="20"/>
        <v>2</v>
      </c>
      <c r="I299" t="str" cm="1">
        <f t="array" ref="I299">_xlfn.IFS(H299&lt;1,"No",H299=1,"Yes",H299&gt;1,_xlfn.TEXTJOIN("",TRUE,"Yes x",H299))</f>
        <v>Yes x2</v>
      </c>
      <c r="J299" s="13">
        <f t="shared" si="21"/>
        <v>1</v>
      </c>
      <c r="K299" s="13">
        <f t="shared" si="19"/>
        <v>1</v>
      </c>
      <c r="L299" s="13" t="str" cm="1">
        <f t="array" ref="L299">_xlfn.IFS(J299&lt;1,"",J299=1,"Pass",J299&gt;1,_xlfn.TEXTJOIN("",TRUE,"Pass x",J299))</f>
        <v>Pass</v>
      </c>
      <c r="M299" s="13" t="str" cm="1">
        <f t="array" ref="M299">_xlfn.IFS(K299&lt;1,"",K299=1,"Fail",K299&gt;1,_xlfn.TEXTJOIN("",TRUE,"Fail x",K299))</f>
        <v>Fail</v>
      </c>
      <c r="N299" t="str">
        <f t="shared" si="22"/>
        <v>Pass, Fail</v>
      </c>
    </row>
    <row r="300" spans="8:14">
      <c r="H300" s="13">
        <f t="shared" si="20"/>
        <v>2</v>
      </c>
      <c r="I300" t="str" cm="1">
        <f t="array" ref="I300">_xlfn.IFS(H300&lt;1,"No",H300=1,"Yes",H300&gt;1,_xlfn.TEXTJOIN("",TRUE,"Yes x",H300))</f>
        <v>Yes x2</v>
      </c>
      <c r="J300" s="13">
        <f t="shared" si="21"/>
        <v>1</v>
      </c>
      <c r="K300" s="13">
        <f t="shared" si="19"/>
        <v>1</v>
      </c>
      <c r="L300" s="13" t="str" cm="1">
        <f t="array" ref="L300">_xlfn.IFS(J300&lt;1,"",J300=1,"Pass",J300&gt;1,_xlfn.TEXTJOIN("",TRUE,"Pass x",J300))</f>
        <v>Pass</v>
      </c>
      <c r="M300" s="13" t="str" cm="1">
        <f t="array" ref="M300">_xlfn.IFS(K300&lt;1,"",K300=1,"Fail",K300&gt;1,_xlfn.TEXTJOIN("",TRUE,"Fail x",K300))</f>
        <v>Fail</v>
      </c>
      <c r="N300" t="str">
        <f t="shared" si="22"/>
        <v>Pass, Fail</v>
      </c>
    </row>
    <row r="301" spans="8:14">
      <c r="H301" s="13">
        <f t="shared" si="20"/>
        <v>2</v>
      </c>
      <c r="I301" t="str" cm="1">
        <f t="array" ref="I301">_xlfn.IFS(H301&lt;1,"No",H301=1,"Yes",H301&gt;1,_xlfn.TEXTJOIN("",TRUE,"Yes x",H301))</f>
        <v>Yes x2</v>
      </c>
      <c r="J301" s="13">
        <f t="shared" si="21"/>
        <v>1</v>
      </c>
      <c r="K301" s="13">
        <f t="shared" si="19"/>
        <v>1</v>
      </c>
      <c r="L301" s="13" t="str" cm="1">
        <f t="array" ref="L301">_xlfn.IFS(J301&lt;1,"",J301=1,"Pass",J301&gt;1,_xlfn.TEXTJOIN("",TRUE,"Pass x",J301))</f>
        <v>Pass</v>
      </c>
      <c r="M301" s="13" t="str" cm="1">
        <f t="array" ref="M301">_xlfn.IFS(K301&lt;1,"",K301=1,"Fail",K301&gt;1,_xlfn.TEXTJOIN("",TRUE,"Fail x",K301))</f>
        <v>Fail</v>
      </c>
      <c r="N301" t="str">
        <f t="shared" si="22"/>
        <v>Pass, Fail</v>
      </c>
    </row>
    <row r="302" spans="8:14">
      <c r="H302" s="13">
        <f t="shared" si="20"/>
        <v>2</v>
      </c>
      <c r="I302" t="str" cm="1">
        <f t="array" ref="I302">_xlfn.IFS(H302&lt;1,"No",H302=1,"Yes",H302&gt;1,_xlfn.TEXTJOIN("",TRUE,"Yes x",H302))</f>
        <v>Yes x2</v>
      </c>
      <c r="J302" s="13">
        <f t="shared" si="21"/>
        <v>1</v>
      </c>
      <c r="K302" s="13">
        <f t="shared" si="19"/>
        <v>1</v>
      </c>
      <c r="L302" s="13" t="str" cm="1">
        <f t="array" ref="L302">_xlfn.IFS(J302&lt;1,"",J302=1,"Pass",J302&gt;1,_xlfn.TEXTJOIN("",TRUE,"Pass x",J302))</f>
        <v>Pass</v>
      </c>
      <c r="M302" s="13" t="str" cm="1">
        <f t="array" ref="M302">_xlfn.IFS(K302&lt;1,"",K302=1,"Fail",K302&gt;1,_xlfn.TEXTJOIN("",TRUE,"Fail x",K302))</f>
        <v>Fail</v>
      </c>
      <c r="N302" t="str">
        <f t="shared" si="22"/>
        <v>Pass, Fail</v>
      </c>
    </row>
    <row r="303" spans="8:14">
      <c r="H303" s="13">
        <f t="shared" si="20"/>
        <v>2</v>
      </c>
      <c r="I303" t="str" cm="1">
        <f t="array" ref="I303">_xlfn.IFS(H303&lt;1,"No",H303=1,"Yes",H303&gt;1,_xlfn.TEXTJOIN("",TRUE,"Yes x",H303))</f>
        <v>Yes x2</v>
      </c>
      <c r="J303" s="13">
        <f t="shared" si="21"/>
        <v>1</v>
      </c>
      <c r="K303" s="13">
        <f t="shared" si="19"/>
        <v>1</v>
      </c>
      <c r="L303" s="13" t="str" cm="1">
        <f t="array" ref="L303">_xlfn.IFS(J303&lt;1,"",J303=1,"Pass",J303&gt;1,_xlfn.TEXTJOIN("",TRUE,"Pass x",J303))</f>
        <v>Pass</v>
      </c>
      <c r="M303" s="13" t="str" cm="1">
        <f t="array" ref="M303">_xlfn.IFS(K303&lt;1,"",K303=1,"Fail",K303&gt;1,_xlfn.TEXTJOIN("",TRUE,"Fail x",K303))</f>
        <v>Fail</v>
      </c>
      <c r="N303" t="str">
        <f t="shared" si="22"/>
        <v>Pass, Fail</v>
      </c>
    </row>
    <row r="304" spans="8:14">
      <c r="H304" s="13">
        <f t="shared" si="20"/>
        <v>2</v>
      </c>
      <c r="I304" t="str" cm="1">
        <f t="array" ref="I304">_xlfn.IFS(H304&lt;1,"No",H304=1,"Yes",H304&gt;1,_xlfn.TEXTJOIN("",TRUE,"Yes x",H304))</f>
        <v>Yes x2</v>
      </c>
      <c r="J304" s="13">
        <f t="shared" si="21"/>
        <v>1</v>
      </c>
      <c r="K304" s="13">
        <f t="shared" si="19"/>
        <v>1</v>
      </c>
      <c r="L304" s="13" t="str" cm="1">
        <f t="array" ref="L304">_xlfn.IFS(J304&lt;1,"",J304=1,"Pass",J304&gt;1,_xlfn.TEXTJOIN("",TRUE,"Pass x",J304))</f>
        <v>Pass</v>
      </c>
      <c r="M304" s="13" t="str" cm="1">
        <f t="array" ref="M304">_xlfn.IFS(K304&lt;1,"",K304=1,"Fail",K304&gt;1,_xlfn.TEXTJOIN("",TRUE,"Fail x",K304))</f>
        <v>Fail</v>
      </c>
      <c r="N304" t="str">
        <f t="shared" si="22"/>
        <v>Pass, Fail</v>
      </c>
    </row>
    <row r="305" spans="8:14">
      <c r="H305" s="13">
        <f t="shared" si="20"/>
        <v>2</v>
      </c>
      <c r="I305" t="str" cm="1">
        <f t="array" ref="I305">_xlfn.IFS(H305&lt;1,"No",H305=1,"Yes",H305&gt;1,_xlfn.TEXTJOIN("",TRUE,"Yes x",H305))</f>
        <v>Yes x2</v>
      </c>
      <c r="J305" s="13">
        <f t="shared" si="21"/>
        <v>1</v>
      </c>
      <c r="K305" s="13">
        <f t="shared" si="19"/>
        <v>1</v>
      </c>
      <c r="L305" s="13" t="str" cm="1">
        <f t="array" ref="L305">_xlfn.IFS(J305&lt;1,"",J305=1,"Pass",J305&gt;1,_xlfn.TEXTJOIN("",TRUE,"Pass x",J305))</f>
        <v>Pass</v>
      </c>
      <c r="M305" s="13" t="str" cm="1">
        <f t="array" ref="M305">_xlfn.IFS(K305&lt;1,"",K305=1,"Fail",K305&gt;1,_xlfn.TEXTJOIN("",TRUE,"Fail x",K305))</f>
        <v>Fail</v>
      </c>
      <c r="N305" t="str">
        <f t="shared" si="22"/>
        <v>Pass, Fail</v>
      </c>
    </row>
    <row r="306" spans="8:14">
      <c r="H306" s="13">
        <f t="shared" si="20"/>
        <v>2</v>
      </c>
      <c r="I306" t="str" cm="1">
        <f t="array" ref="I306">_xlfn.IFS(H306&lt;1,"No",H306=1,"Yes",H306&gt;1,_xlfn.TEXTJOIN("",TRUE,"Yes x",H306))</f>
        <v>Yes x2</v>
      </c>
      <c r="J306" s="13">
        <f t="shared" si="21"/>
        <v>1</v>
      </c>
      <c r="K306" s="13">
        <f t="shared" si="19"/>
        <v>1</v>
      </c>
      <c r="L306" s="13" t="str" cm="1">
        <f t="array" ref="L306">_xlfn.IFS(J306&lt;1,"",J306=1,"Pass",J306&gt;1,_xlfn.TEXTJOIN("",TRUE,"Pass x",J306))</f>
        <v>Pass</v>
      </c>
      <c r="M306" s="13" t="str" cm="1">
        <f t="array" ref="M306">_xlfn.IFS(K306&lt;1,"",K306=1,"Fail",K306&gt;1,_xlfn.TEXTJOIN("",TRUE,"Fail x",K306))</f>
        <v>Fail</v>
      </c>
      <c r="N306" t="str">
        <f t="shared" si="22"/>
        <v>Pass, Fail</v>
      </c>
    </row>
    <row r="307" spans="8:14">
      <c r="H307" s="13">
        <f t="shared" si="20"/>
        <v>2</v>
      </c>
      <c r="I307" t="str" cm="1">
        <f t="array" ref="I307">_xlfn.IFS(H307&lt;1,"No",H307=1,"Yes",H307&gt;1,_xlfn.TEXTJOIN("",TRUE,"Yes x",H307))</f>
        <v>Yes x2</v>
      </c>
      <c r="J307" s="13">
        <f t="shared" si="21"/>
        <v>1</v>
      </c>
      <c r="K307" s="13">
        <f t="shared" si="19"/>
        <v>1</v>
      </c>
      <c r="L307" s="13" t="str" cm="1">
        <f t="array" ref="L307">_xlfn.IFS(J307&lt;1,"",J307=1,"Pass",J307&gt;1,_xlfn.TEXTJOIN("",TRUE,"Pass x",J307))</f>
        <v>Pass</v>
      </c>
      <c r="M307" s="13" t="str" cm="1">
        <f t="array" ref="M307">_xlfn.IFS(K307&lt;1,"",K307=1,"Fail",K307&gt;1,_xlfn.TEXTJOIN("",TRUE,"Fail x",K307))</f>
        <v>Fail</v>
      </c>
      <c r="N307" t="str">
        <f t="shared" si="22"/>
        <v>Pass, Fail</v>
      </c>
    </row>
    <row r="308" spans="8:14">
      <c r="H308" s="13">
        <f t="shared" si="20"/>
        <v>2</v>
      </c>
      <c r="I308" t="str" cm="1">
        <f t="array" ref="I308">_xlfn.IFS(H308&lt;1,"No",H308=1,"Yes",H308&gt;1,_xlfn.TEXTJOIN("",TRUE,"Yes x",H308))</f>
        <v>Yes x2</v>
      </c>
      <c r="J308" s="13">
        <f t="shared" si="21"/>
        <v>1</v>
      </c>
      <c r="K308" s="13">
        <f t="shared" si="19"/>
        <v>1</v>
      </c>
      <c r="L308" s="13" t="str" cm="1">
        <f t="array" ref="L308">_xlfn.IFS(J308&lt;1,"",J308=1,"Pass",J308&gt;1,_xlfn.TEXTJOIN("",TRUE,"Pass x",J308))</f>
        <v>Pass</v>
      </c>
      <c r="M308" s="13" t="str" cm="1">
        <f t="array" ref="M308">_xlfn.IFS(K308&lt;1,"",K308=1,"Fail",K308&gt;1,_xlfn.TEXTJOIN("",TRUE,"Fail x",K308))</f>
        <v>Fail</v>
      </c>
      <c r="N308" t="str">
        <f t="shared" si="22"/>
        <v>Pass, Fail</v>
      </c>
    </row>
    <row r="309" spans="8:14">
      <c r="H309" s="13">
        <f t="shared" si="20"/>
        <v>2</v>
      </c>
      <c r="I309" t="str" cm="1">
        <f t="array" ref="I309">_xlfn.IFS(H309&lt;1,"No",H309=1,"Yes",H309&gt;1,_xlfn.TEXTJOIN("",TRUE,"Yes x",H309))</f>
        <v>Yes x2</v>
      </c>
      <c r="J309" s="13">
        <f t="shared" si="21"/>
        <v>1</v>
      </c>
      <c r="K309" s="13">
        <f t="shared" si="19"/>
        <v>1</v>
      </c>
      <c r="L309" s="13" t="str" cm="1">
        <f t="array" ref="L309">_xlfn.IFS(J309&lt;1,"",J309=1,"Pass",J309&gt;1,_xlfn.TEXTJOIN("",TRUE,"Pass x",J309))</f>
        <v>Pass</v>
      </c>
      <c r="M309" s="13" t="str" cm="1">
        <f t="array" ref="M309">_xlfn.IFS(K309&lt;1,"",K309=1,"Fail",K309&gt;1,_xlfn.TEXTJOIN("",TRUE,"Fail x",K309))</f>
        <v>Fail</v>
      </c>
      <c r="N309" t="str">
        <f t="shared" si="22"/>
        <v>Pass, Fail</v>
      </c>
    </row>
    <row r="310" spans="8:14">
      <c r="H310" s="13">
        <f t="shared" si="20"/>
        <v>2</v>
      </c>
      <c r="I310" t="str" cm="1">
        <f t="array" ref="I310">_xlfn.IFS(H310&lt;1,"No",H310=1,"Yes",H310&gt;1,_xlfn.TEXTJOIN("",TRUE,"Yes x",H310))</f>
        <v>Yes x2</v>
      </c>
      <c r="J310" s="13">
        <f t="shared" si="21"/>
        <v>1</v>
      </c>
      <c r="K310" s="13">
        <f t="shared" si="19"/>
        <v>1</v>
      </c>
      <c r="L310" s="13" t="str" cm="1">
        <f t="array" ref="L310">_xlfn.IFS(J310&lt;1,"",J310=1,"Pass",J310&gt;1,_xlfn.TEXTJOIN("",TRUE,"Pass x",J310))</f>
        <v>Pass</v>
      </c>
      <c r="M310" s="13" t="str" cm="1">
        <f t="array" ref="M310">_xlfn.IFS(K310&lt;1,"",K310=1,"Fail",K310&gt;1,_xlfn.TEXTJOIN("",TRUE,"Fail x",K310))</f>
        <v>Fail</v>
      </c>
      <c r="N310" t="str">
        <f t="shared" si="22"/>
        <v>Pass, Fail</v>
      </c>
    </row>
    <row r="311" spans="8:14">
      <c r="H311" s="13">
        <f t="shared" si="20"/>
        <v>2</v>
      </c>
      <c r="I311" t="str" cm="1">
        <f t="array" ref="I311">_xlfn.IFS(H311&lt;1,"No",H311=1,"Yes",H311&gt;1,_xlfn.TEXTJOIN("",TRUE,"Yes x",H311))</f>
        <v>Yes x2</v>
      </c>
      <c r="J311" s="13">
        <f t="shared" si="21"/>
        <v>1</v>
      </c>
      <c r="K311" s="13">
        <f t="shared" si="19"/>
        <v>1</v>
      </c>
      <c r="L311" s="13" t="str" cm="1">
        <f t="array" ref="L311">_xlfn.IFS(J311&lt;1,"",J311=1,"Pass",J311&gt;1,_xlfn.TEXTJOIN("",TRUE,"Pass x",J311))</f>
        <v>Pass</v>
      </c>
      <c r="M311" s="13" t="str" cm="1">
        <f t="array" ref="M311">_xlfn.IFS(K311&lt;1,"",K311=1,"Fail",K311&gt;1,_xlfn.TEXTJOIN("",TRUE,"Fail x",K311))</f>
        <v>Fail</v>
      </c>
      <c r="N311" t="str">
        <f t="shared" si="22"/>
        <v>Pass, Fail</v>
      </c>
    </row>
    <row r="312" spans="8:14">
      <c r="H312" s="13">
        <f t="shared" si="20"/>
        <v>2</v>
      </c>
      <c r="I312" t="str" cm="1">
        <f t="array" ref="I312">_xlfn.IFS(H312&lt;1,"No",H312=1,"Yes",H312&gt;1,_xlfn.TEXTJOIN("",TRUE,"Yes x",H312))</f>
        <v>Yes x2</v>
      </c>
      <c r="J312" s="13">
        <f t="shared" si="21"/>
        <v>1</v>
      </c>
      <c r="K312" s="13">
        <f t="shared" si="19"/>
        <v>1</v>
      </c>
      <c r="L312" s="13" t="str" cm="1">
        <f t="array" ref="L312">_xlfn.IFS(J312&lt;1,"",J312=1,"Pass",J312&gt;1,_xlfn.TEXTJOIN("",TRUE,"Pass x",J312))</f>
        <v>Pass</v>
      </c>
      <c r="M312" s="13" t="str" cm="1">
        <f t="array" ref="M312">_xlfn.IFS(K312&lt;1,"",K312=1,"Fail",K312&gt;1,_xlfn.TEXTJOIN("",TRUE,"Fail x",K312))</f>
        <v>Fail</v>
      </c>
      <c r="N312" t="str">
        <f t="shared" si="22"/>
        <v>Pass, Fail</v>
      </c>
    </row>
    <row r="313" spans="8:14">
      <c r="H313" s="13">
        <f t="shared" si="20"/>
        <v>2</v>
      </c>
      <c r="I313" t="str" cm="1">
        <f t="array" ref="I313">_xlfn.IFS(H313&lt;1,"No",H313=1,"Yes",H313&gt;1,_xlfn.TEXTJOIN("",TRUE,"Yes x",H313))</f>
        <v>Yes x2</v>
      </c>
      <c r="J313" s="13">
        <f t="shared" si="21"/>
        <v>1</v>
      </c>
      <c r="K313" s="13">
        <f t="shared" si="19"/>
        <v>1</v>
      </c>
      <c r="L313" s="13" t="str" cm="1">
        <f t="array" ref="L313">_xlfn.IFS(J313&lt;1,"",J313=1,"Pass",J313&gt;1,_xlfn.TEXTJOIN("",TRUE,"Pass x",J313))</f>
        <v>Pass</v>
      </c>
      <c r="M313" s="13" t="str" cm="1">
        <f t="array" ref="M313">_xlfn.IFS(K313&lt;1,"",K313=1,"Fail",K313&gt;1,_xlfn.TEXTJOIN("",TRUE,"Fail x",K313))</f>
        <v>Fail</v>
      </c>
      <c r="N313" t="str">
        <f t="shared" si="22"/>
        <v>Pass, Fail</v>
      </c>
    </row>
    <row r="314" spans="8:14">
      <c r="H314" s="13">
        <f t="shared" si="20"/>
        <v>2</v>
      </c>
      <c r="I314" t="str" cm="1">
        <f t="array" ref="I314">_xlfn.IFS(H314&lt;1,"No",H314=1,"Yes",H314&gt;1,_xlfn.TEXTJOIN("",TRUE,"Yes x",H314))</f>
        <v>Yes x2</v>
      </c>
      <c r="J314" s="13">
        <f t="shared" si="21"/>
        <v>1</v>
      </c>
      <c r="K314" s="13">
        <f t="shared" si="19"/>
        <v>1</v>
      </c>
      <c r="L314" s="13" t="str" cm="1">
        <f t="array" ref="L314">_xlfn.IFS(J314&lt;1,"",J314=1,"Pass",J314&gt;1,_xlfn.TEXTJOIN("",TRUE,"Pass x",J314))</f>
        <v>Pass</v>
      </c>
      <c r="M314" s="13" t="str" cm="1">
        <f t="array" ref="M314">_xlfn.IFS(K314&lt;1,"",K314=1,"Fail",K314&gt;1,_xlfn.TEXTJOIN("",TRUE,"Fail x",K314))</f>
        <v>Fail</v>
      </c>
      <c r="N314" t="str">
        <f t="shared" si="22"/>
        <v>Pass, Fail</v>
      </c>
    </row>
    <row r="315" spans="8:14">
      <c r="H315" s="13">
        <f t="shared" si="20"/>
        <v>2</v>
      </c>
      <c r="I315" t="str" cm="1">
        <f t="array" ref="I315">_xlfn.IFS(H315&lt;1,"No",H315=1,"Yes",H315&gt;1,_xlfn.TEXTJOIN("",TRUE,"Yes x",H315))</f>
        <v>Yes x2</v>
      </c>
      <c r="J315" s="13">
        <f t="shared" si="21"/>
        <v>1</v>
      </c>
      <c r="K315" s="13">
        <f t="shared" si="19"/>
        <v>1</v>
      </c>
      <c r="L315" s="13" t="str" cm="1">
        <f t="array" ref="L315">_xlfn.IFS(J315&lt;1,"",J315=1,"Pass",J315&gt;1,_xlfn.TEXTJOIN("",TRUE,"Pass x",J315))</f>
        <v>Pass</v>
      </c>
      <c r="M315" s="13" t="str" cm="1">
        <f t="array" ref="M315">_xlfn.IFS(K315&lt;1,"",K315=1,"Fail",K315&gt;1,_xlfn.TEXTJOIN("",TRUE,"Fail x",K315))</f>
        <v>Fail</v>
      </c>
      <c r="N315" t="str">
        <f t="shared" si="22"/>
        <v>Pass, Fail</v>
      </c>
    </row>
    <row r="316" spans="8:14">
      <c r="H316" s="13">
        <f t="shared" si="20"/>
        <v>2</v>
      </c>
      <c r="I316" t="str" cm="1">
        <f t="array" ref="I316">_xlfn.IFS(H316&lt;1,"No",H316=1,"Yes",H316&gt;1,_xlfn.TEXTJOIN("",TRUE,"Yes x",H316))</f>
        <v>Yes x2</v>
      </c>
      <c r="J316" s="13">
        <f t="shared" si="21"/>
        <v>1</v>
      </c>
      <c r="K316" s="13">
        <f t="shared" si="19"/>
        <v>1</v>
      </c>
      <c r="L316" s="13" t="str" cm="1">
        <f t="array" ref="L316">_xlfn.IFS(J316&lt;1,"",J316=1,"Pass",J316&gt;1,_xlfn.TEXTJOIN("",TRUE,"Pass x",J316))</f>
        <v>Pass</v>
      </c>
      <c r="M316" s="13" t="str" cm="1">
        <f t="array" ref="M316">_xlfn.IFS(K316&lt;1,"",K316=1,"Fail",K316&gt;1,_xlfn.TEXTJOIN("",TRUE,"Fail x",K316))</f>
        <v>Fail</v>
      </c>
      <c r="N316" t="str">
        <f t="shared" si="22"/>
        <v>Pass, Fail</v>
      </c>
    </row>
    <row r="317" spans="8:14">
      <c r="H317" s="13">
        <f t="shared" si="20"/>
        <v>2</v>
      </c>
      <c r="I317" t="str" cm="1">
        <f t="array" ref="I317">_xlfn.IFS(H317&lt;1,"No",H317=1,"Yes",H317&gt;1,_xlfn.TEXTJOIN("",TRUE,"Yes x",H317))</f>
        <v>Yes x2</v>
      </c>
      <c r="J317" s="13">
        <f t="shared" si="21"/>
        <v>1</v>
      </c>
      <c r="K317" s="13">
        <f t="shared" si="19"/>
        <v>1</v>
      </c>
      <c r="L317" s="13" t="str" cm="1">
        <f t="array" ref="L317">_xlfn.IFS(J317&lt;1,"",J317=1,"Pass",J317&gt;1,_xlfn.TEXTJOIN("",TRUE,"Pass x",J317))</f>
        <v>Pass</v>
      </c>
      <c r="M317" s="13" t="str" cm="1">
        <f t="array" ref="M317">_xlfn.IFS(K317&lt;1,"",K317=1,"Fail",K317&gt;1,_xlfn.TEXTJOIN("",TRUE,"Fail x",K317))</f>
        <v>Fail</v>
      </c>
      <c r="N317" t="str">
        <f t="shared" si="22"/>
        <v>Pass, Fail</v>
      </c>
    </row>
    <row r="318" spans="8:14">
      <c r="H318" s="13">
        <f t="shared" si="20"/>
        <v>2</v>
      </c>
      <c r="I318" t="str" cm="1">
        <f t="array" ref="I318">_xlfn.IFS(H318&lt;1,"No",H318=1,"Yes",H318&gt;1,_xlfn.TEXTJOIN("",TRUE,"Yes x",H318))</f>
        <v>Yes x2</v>
      </c>
      <c r="J318" s="13">
        <f t="shared" si="21"/>
        <v>1</v>
      </c>
      <c r="K318" s="13">
        <f t="shared" si="19"/>
        <v>1</v>
      </c>
      <c r="L318" s="13" t="str" cm="1">
        <f t="array" ref="L318">_xlfn.IFS(J318&lt;1,"",J318=1,"Pass",J318&gt;1,_xlfn.TEXTJOIN("",TRUE,"Pass x",J318))</f>
        <v>Pass</v>
      </c>
      <c r="M318" s="13" t="str" cm="1">
        <f t="array" ref="M318">_xlfn.IFS(K318&lt;1,"",K318=1,"Fail",K318&gt;1,_xlfn.TEXTJOIN("",TRUE,"Fail x",K318))</f>
        <v>Fail</v>
      </c>
      <c r="N318" t="str">
        <f t="shared" si="22"/>
        <v>Pass, Fail</v>
      </c>
    </row>
    <row r="319" spans="8:14">
      <c r="H319" s="13">
        <f t="shared" si="20"/>
        <v>2</v>
      </c>
      <c r="I319" t="str" cm="1">
        <f t="array" ref="I319">_xlfn.IFS(H319&lt;1,"No",H319=1,"Yes",H319&gt;1,_xlfn.TEXTJOIN("",TRUE,"Yes x",H319))</f>
        <v>Yes x2</v>
      </c>
      <c r="J319" s="13">
        <f t="shared" si="21"/>
        <v>1</v>
      </c>
      <c r="K319" s="13">
        <f t="shared" si="19"/>
        <v>1</v>
      </c>
      <c r="L319" s="13" t="str" cm="1">
        <f t="array" ref="L319">_xlfn.IFS(J319&lt;1,"",J319=1,"Pass",J319&gt;1,_xlfn.TEXTJOIN("",TRUE,"Pass x",J319))</f>
        <v>Pass</v>
      </c>
      <c r="M319" s="13" t="str" cm="1">
        <f t="array" ref="M319">_xlfn.IFS(K319&lt;1,"",K319=1,"Fail",K319&gt;1,_xlfn.TEXTJOIN("",TRUE,"Fail x",K319))</f>
        <v>Fail</v>
      </c>
      <c r="N319" t="str">
        <f t="shared" si="22"/>
        <v>Pass, Fail</v>
      </c>
    </row>
    <row r="320" spans="8:14">
      <c r="H320" s="13">
        <f t="shared" si="20"/>
        <v>2</v>
      </c>
      <c r="I320" t="str" cm="1">
        <f t="array" ref="I320">_xlfn.IFS(H320&lt;1,"No",H320=1,"Yes",H320&gt;1,_xlfn.TEXTJOIN("",TRUE,"Yes x",H320))</f>
        <v>Yes x2</v>
      </c>
      <c r="J320" s="13">
        <f t="shared" si="21"/>
        <v>1</v>
      </c>
      <c r="K320" s="13">
        <f t="shared" si="19"/>
        <v>1</v>
      </c>
      <c r="L320" s="13" t="str" cm="1">
        <f t="array" ref="L320">_xlfn.IFS(J320&lt;1,"",J320=1,"Pass",J320&gt;1,_xlfn.TEXTJOIN("",TRUE,"Pass x",J320))</f>
        <v>Pass</v>
      </c>
      <c r="M320" s="13" t="str" cm="1">
        <f t="array" ref="M320">_xlfn.IFS(K320&lt;1,"",K320=1,"Fail",K320&gt;1,_xlfn.TEXTJOIN("",TRUE,"Fail x",K320))</f>
        <v>Fail</v>
      </c>
      <c r="N320" t="str">
        <f t="shared" si="22"/>
        <v>Pass, Fail</v>
      </c>
    </row>
    <row r="321" spans="8:14">
      <c r="H321" s="13">
        <f t="shared" si="20"/>
        <v>2</v>
      </c>
      <c r="I321" t="str" cm="1">
        <f t="array" ref="I321">_xlfn.IFS(H321&lt;1,"No",H321=1,"Yes",H321&gt;1,_xlfn.TEXTJOIN("",TRUE,"Yes x",H321))</f>
        <v>Yes x2</v>
      </c>
      <c r="J321" s="13">
        <f t="shared" si="21"/>
        <v>1</v>
      </c>
      <c r="K321" s="13">
        <f t="shared" si="19"/>
        <v>1</v>
      </c>
      <c r="L321" s="13" t="str" cm="1">
        <f t="array" ref="L321">_xlfn.IFS(J321&lt;1,"",J321=1,"Pass",J321&gt;1,_xlfn.TEXTJOIN("",TRUE,"Pass x",J321))</f>
        <v>Pass</v>
      </c>
      <c r="M321" s="13" t="str" cm="1">
        <f t="array" ref="M321">_xlfn.IFS(K321&lt;1,"",K321=1,"Fail",K321&gt;1,_xlfn.TEXTJOIN("",TRUE,"Fail x",K321))</f>
        <v>Fail</v>
      </c>
      <c r="N321" t="str">
        <f t="shared" si="22"/>
        <v>Pass, Fail</v>
      </c>
    </row>
    <row r="322" spans="8:14">
      <c r="H322" s="13">
        <f t="shared" si="20"/>
        <v>2</v>
      </c>
      <c r="I322" t="str" cm="1">
        <f t="array" ref="I322">_xlfn.IFS(H322&lt;1,"No",H322=1,"Yes",H322&gt;1,_xlfn.TEXTJOIN("",TRUE,"Yes x",H322))</f>
        <v>Yes x2</v>
      </c>
      <c r="J322" s="13">
        <f t="shared" si="21"/>
        <v>1</v>
      </c>
      <c r="K322" s="13">
        <f t="shared" si="19"/>
        <v>1</v>
      </c>
      <c r="L322" s="13" t="str" cm="1">
        <f t="array" ref="L322">_xlfn.IFS(J322&lt;1,"",J322=1,"Pass",J322&gt;1,_xlfn.TEXTJOIN("",TRUE,"Pass x",J322))</f>
        <v>Pass</v>
      </c>
      <c r="M322" s="13" t="str" cm="1">
        <f t="array" ref="M322">_xlfn.IFS(K322&lt;1,"",K322=1,"Fail",K322&gt;1,_xlfn.TEXTJOIN("",TRUE,"Fail x",K322))</f>
        <v>Fail</v>
      </c>
      <c r="N322" t="str">
        <f t="shared" si="22"/>
        <v>Pass, Fail</v>
      </c>
    </row>
    <row r="323" spans="8:14">
      <c r="H323" s="13">
        <f t="shared" si="20"/>
        <v>2</v>
      </c>
      <c r="I323" t="str" cm="1">
        <f t="array" ref="I323">_xlfn.IFS(H323&lt;1,"No",H323=1,"Yes",H323&gt;1,_xlfn.TEXTJOIN("",TRUE,"Yes x",H323))</f>
        <v>Yes x2</v>
      </c>
      <c r="J323" s="13">
        <f t="shared" si="21"/>
        <v>1</v>
      </c>
      <c r="K323" s="13">
        <f t="shared" ref="K323:K386" si="23">IFERROR(GETPIVOTDATA("Successful / Failed",$A$1,"System serial",G323,"Successful / Failed","Failed"),0)</f>
        <v>1</v>
      </c>
      <c r="L323" s="13" t="str" cm="1">
        <f t="array" ref="L323">_xlfn.IFS(J323&lt;1,"",J323=1,"Pass",J323&gt;1,_xlfn.TEXTJOIN("",TRUE,"Pass x",J323))</f>
        <v>Pass</v>
      </c>
      <c r="M323" s="13" t="str" cm="1">
        <f t="array" ref="M323">_xlfn.IFS(K323&lt;1,"",K323=1,"Fail",K323&gt;1,_xlfn.TEXTJOIN("",TRUE,"Fail x",K323))</f>
        <v>Fail</v>
      </c>
      <c r="N323" t="str">
        <f t="shared" si="22"/>
        <v>Pass, Fail</v>
      </c>
    </row>
    <row r="324" spans="8:14">
      <c r="H324" s="13">
        <f t="shared" si="20"/>
        <v>2</v>
      </c>
      <c r="I324" t="str" cm="1">
        <f t="array" ref="I324">_xlfn.IFS(H324&lt;1,"No",H324=1,"Yes",H324&gt;1,_xlfn.TEXTJOIN("",TRUE,"Yes x",H324))</f>
        <v>Yes x2</v>
      </c>
      <c r="J324" s="13">
        <f t="shared" si="21"/>
        <v>1</v>
      </c>
      <c r="K324" s="13">
        <f t="shared" si="23"/>
        <v>1</v>
      </c>
      <c r="L324" s="13" t="str" cm="1">
        <f t="array" ref="L324">_xlfn.IFS(J324&lt;1,"",J324=1,"Pass",J324&gt;1,_xlfn.TEXTJOIN("",TRUE,"Pass x",J324))</f>
        <v>Pass</v>
      </c>
      <c r="M324" s="13" t="str" cm="1">
        <f t="array" ref="M324">_xlfn.IFS(K324&lt;1,"",K324=1,"Fail",K324&gt;1,_xlfn.TEXTJOIN("",TRUE,"Fail x",K324))</f>
        <v>Fail</v>
      </c>
      <c r="N324" t="str">
        <f t="shared" si="22"/>
        <v>Pass, Fail</v>
      </c>
    </row>
    <row r="325" spans="8:14">
      <c r="H325" s="13">
        <f t="shared" si="20"/>
        <v>2</v>
      </c>
      <c r="I325" t="str" cm="1">
        <f t="array" ref="I325">_xlfn.IFS(H325&lt;1,"No",H325=1,"Yes",H325&gt;1,_xlfn.TEXTJOIN("",TRUE,"Yes x",H325))</f>
        <v>Yes x2</v>
      </c>
      <c r="J325" s="13">
        <f t="shared" si="21"/>
        <v>1</v>
      </c>
      <c r="K325" s="13">
        <f t="shared" si="23"/>
        <v>1</v>
      </c>
      <c r="L325" s="13" t="str" cm="1">
        <f t="array" ref="L325">_xlfn.IFS(J325&lt;1,"",J325=1,"Pass",J325&gt;1,_xlfn.TEXTJOIN("",TRUE,"Pass x",J325))</f>
        <v>Pass</v>
      </c>
      <c r="M325" s="13" t="str" cm="1">
        <f t="array" ref="M325">_xlfn.IFS(K325&lt;1,"",K325=1,"Fail",K325&gt;1,_xlfn.TEXTJOIN("",TRUE,"Fail x",K325))</f>
        <v>Fail</v>
      </c>
      <c r="N325" t="str">
        <f t="shared" si="22"/>
        <v>Pass, Fail</v>
      </c>
    </row>
    <row r="326" spans="8:14">
      <c r="H326" s="13">
        <f t="shared" si="20"/>
        <v>2</v>
      </c>
      <c r="I326" t="str" cm="1">
        <f t="array" ref="I326">_xlfn.IFS(H326&lt;1,"No",H326=1,"Yes",H326&gt;1,_xlfn.TEXTJOIN("",TRUE,"Yes x",H326))</f>
        <v>Yes x2</v>
      </c>
      <c r="J326" s="13">
        <f t="shared" si="21"/>
        <v>1</v>
      </c>
      <c r="K326" s="13">
        <f t="shared" si="23"/>
        <v>1</v>
      </c>
      <c r="L326" s="13" t="str" cm="1">
        <f t="array" ref="L326">_xlfn.IFS(J326&lt;1,"",J326=1,"Pass",J326&gt;1,_xlfn.TEXTJOIN("",TRUE,"Pass x",J326))</f>
        <v>Pass</v>
      </c>
      <c r="M326" s="13" t="str" cm="1">
        <f t="array" ref="M326">_xlfn.IFS(K326&lt;1,"",K326=1,"Fail",K326&gt;1,_xlfn.TEXTJOIN("",TRUE,"Fail x",K326))</f>
        <v>Fail</v>
      </c>
      <c r="N326" t="str">
        <f t="shared" si="22"/>
        <v>Pass, Fail</v>
      </c>
    </row>
    <row r="327" spans="8:14">
      <c r="H327" s="13">
        <f t="shared" si="20"/>
        <v>2</v>
      </c>
      <c r="I327" t="str" cm="1">
        <f t="array" ref="I327">_xlfn.IFS(H327&lt;1,"No",H327=1,"Yes",H327&gt;1,_xlfn.TEXTJOIN("",TRUE,"Yes x",H327))</f>
        <v>Yes x2</v>
      </c>
      <c r="J327" s="13">
        <f t="shared" si="21"/>
        <v>1</v>
      </c>
      <c r="K327" s="13">
        <f t="shared" si="23"/>
        <v>1</v>
      </c>
      <c r="L327" s="13" t="str" cm="1">
        <f t="array" ref="L327">_xlfn.IFS(J327&lt;1,"",J327=1,"Pass",J327&gt;1,_xlfn.TEXTJOIN("",TRUE,"Pass x",J327))</f>
        <v>Pass</v>
      </c>
      <c r="M327" s="13" t="str" cm="1">
        <f t="array" ref="M327">_xlfn.IFS(K327&lt;1,"",K327=1,"Fail",K327&gt;1,_xlfn.TEXTJOIN("",TRUE,"Fail x",K327))</f>
        <v>Fail</v>
      </c>
      <c r="N327" t="str">
        <f t="shared" si="22"/>
        <v>Pass, Fail</v>
      </c>
    </row>
    <row r="328" spans="8:14">
      <c r="H328" s="13">
        <f t="shared" si="20"/>
        <v>2</v>
      </c>
      <c r="I328" t="str" cm="1">
        <f t="array" ref="I328">_xlfn.IFS(H328&lt;1,"No",H328=1,"Yes",H328&gt;1,_xlfn.TEXTJOIN("",TRUE,"Yes x",H328))</f>
        <v>Yes x2</v>
      </c>
      <c r="J328" s="13">
        <f t="shared" si="21"/>
        <v>1</v>
      </c>
      <c r="K328" s="13">
        <f t="shared" si="23"/>
        <v>1</v>
      </c>
      <c r="L328" s="13" t="str" cm="1">
        <f t="array" ref="L328">_xlfn.IFS(J328&lt;1,"",J328=1,"Pass",J328&gt;1,_xlfn.TEXTJOIN("",TRUE,"Pass x",J328))</f>
        <v>Pass</v>
      </c>
      <c r="M328" s="13" t="str" cm="1">
        <f t="array" ref="M328">_xlfn.IFS(K328&lt;1,"",K328=1,"Fail",K328&gt;1,_xlfn.TEXTJOIN("",TRUE,"Fail x",K328))</f>
        <v>Fail</v>
      </c>
      <c r="N328" t="str">
        <f t="shared" si="22"/>
        <v>Pass, Fail</v>
      </c>
    </row>
    <row r="329" spans="8:14">
      <c r="H329" s="13">
        <f t="shared" si="20"/>
        <v>2</v>
      </c>
      <c r="I329" t="str" cm="1">
        <f t="array" ref="I329">_xlfn.IFS(H329&lt;1,"No",H329=1,"Yes",H329&gt;1,_xlfn.TEXTJOIN("",TRUE,"Yes x",H329))</f>
        <v>Yes x2</v>
      </c>
      <c r="J329" s="13">
        <f t="shared" si="21"/>
        <v>1</v>
      </c>
      <c r="K329" s="13">
        <f t="shared" si="23"/>
        <v>1</v>
      </c>
      <c r="L329" s="13" t="str" cm="1">
        <f t="array" ref="L329">_xlfn.IFS(J329&lt;1,"",J329=1,"Pass",J329&gt;1,_xlfn.TEXTJOIN("",TRUE,"Pass x",J329))</f>
        <v>Pass</v>
      </c>
      <c r="M329" s="13" t="str" cm="1">
        <f t="array" ref="M329">_xlfn.IFS(K329&lt;1,"",K329=1,"Fail",K329&gt;1,_xlfn.TEXTJOIN("",TRUE,"Fail x",K329))</f>
        <v>Fail</v>
      </c>
      <c r="N329" t="str">
        <f t="shared" si="22"/>
        <v>Pass, Fail</v>
      </c>
    </row>
    <row r="330" spans="8:14">
      <c r="H330" s="13">
        <f t="shared" si="20"/>
        <v>2</v>
      </c>
      <c r="I330" t="str" cm="1">
        <f t="array" ref="I330">_xlfn.IFS(H330&lt;1,"No",H330=1,"Yes",H330&gt;1,_xlfn.TEXTJOIN("",TRUE,"Yes x",H330))</f>
        <v>Yes x2</v>
      </c>
      <c r="J330" s="13">
        <f t="shared" si="21"/>
        <v>1</v>
      </c>
      <c r="K330" s="13">
        <f t="shared" si="23"/>
        <v>1</v>
      </c>
      <c r="L330" s="13" t="str" cm="1">
        <f t="array" ref="L330">_xlfn.IFS(J330&lt;1,"",J330=1,"Pass",J330&gt;1,_xlfn.TEXTJOIN("",TRUE,"Pass x",J330))</f>
        <v>Pass</v>
      </c>
      <c r="M330" s="13" t="str" cm="1">
        <f t="array" ref="M330">_xlfn.IFS(K330&lt;1,"",K330=1,"Fail",K330&gt;1,_xlfn.TEXTJOIN("",TRUE,"Fail x",K330))</f>
        <v>Fail</v>
      </c>
      <c r="N330" t="str">
        <f t="shared" si="22"/>
        <v>Pass, Fail</v>
      </c>
    </row>
    <row r="331" spans="8:14">
      <c r="H331" s="13">
        <f t="shared" si="20"/>
        <v>2</v>
      </c>
      <c r="I331" t="str" cm="1">
        <f t="array" ref="I331">_xlfn.IFS(H331&lt;1,"No",H331=1,"Yes",H331&gt;1,_xlfn.TEXTJOIN("",TRUE,"Yes x",H331))</f>
        <v>Yes x2</v>
      </c>
      <c r="J331" s="13">
        <f t="shared" si="21"/>
        <v>1</v>
      </c>
      <c r="K331" s="13">
        <f t="shared" si="23"/>
        <v>1</v>
      </c>
      <c r="L331" s="13" t="str" cm="1">
        <f t="array" ref="L331">_xlfn.IFS(J331&lt;1,"",J331=1,"Pass",J331&gt;1,_xlfn.TEXTJOIN("",TRUE,"Pass x",J331))</f>
        <v>Pass</v>
      </c>
      <c r="M331" s="13" t="str" cm="1">
        <f t="array" ref="M331">_xlfn.IFS(K331&lt;1,"",K331=1,"Fail",K331&gt;1,_xlfn.TEXTJOIN("",TRUE,"Fail x",K331))</f>
        <v>Fail</v>
      </c>
      <c r="N331" t="str">
        <f t="shared" si="22"/>
        <v>Pass, Fail</v>
      </c>
    </row>
    <row r="332" spans="8:14">
      <c r="H332" s="13">
        <f t="shared" si="20"/>
        <v>2</v>
      </c>
      <c r="I332" t="str" cm="1">
        <f t="array" ref="I332">_xlfn.IFS(H332&lt;1,"No",H332=1,"Yes",H332&gt;1,_xlfn.TEXTJOIN("",TRUE,"Yes x",H332))</f>
        <v>Yes x2</v>
      </c>
      <c r="J332" s="13">
        <f t="shared" si="21"/>
        <v>1</v>
      </c>
      <c r="K332" s="13">
        <f t="shared" si="23"/>
        <v>1</v>
      </c>
      <c r="L332" s="13" t="str" cm="1">
        <f t="array" ref="L332">_xlfn.IFS(J332&lt;1,"",J332=1,"Pass",J332&gt;1,_xlfn.TEXTJOIN("",TRUE,"Pass x",J332))</f>
        <v>Pass</v>
      </c>
      <c r="M332" s="13" t="str" cm="1">
        <f t="array" ref="M332">_xlfn.IFS(K332&lt;1,"",K332=1,"Fail",K332&gt;1,_xlfn.TEXTJOIN("",TRUE,"Fail x",K332))</f>
        <v>Fail</v>
      </c>
      <c r="N332" t="str">
        <f t="shared" si="22"/>
        <v>Pass, Fail</v>
      </c>
    </row>
    <row r="333" spans="8:14">
      <c r="H333" s="13">
        <f t="shared" si="20"/>
        <v>2</v>
      </c>
      <c r="I333" t="str" cm="1">
        <f t="array" ref="I333">_xlfn.IFS(H333&lt;1,"No",H333=1,"Yes",H333&gt;1,_xlfn.TEXTJOIN("",TRUE,"Yes x",H333))</f>
        <v>Yes x2</v>
      </c>
      <c r="J333" s="13">
        <f t="shared" si="21"/>
        <v>1</v>
      </c>
      <c r="K333" s="13">
        <f t="shared" si="23"/>
        <v>1</v>
      </c>
      <c r="L333" s="13" t="str" cm="1">
        <f t="array" ref="L333">_xlfn.IFS(J333&lt;1,"",J333=1,"Pass",J333&gt;1,_xlfn.TEXTJOIN("",TRUE,"Pass x",J333))</f>
        <v>Pass</v>
      </c>
      <c r="M333" s="13" t="str" cm="1">
        <f t="array" ref="M333">_xlfn.IFS(K333&lt;1,"",K333=1,"Fail",K333&gt;1,_xlfn.TEXTJOIN("",TRUE,"Fail x",K333))</f>
        <v>Fail</v>
      </c>
      <c r="N333" t="str">
        <f t="shared" si="22"/>
        <v>Pass, Fail</v>
      </c>
    </row>
    <row r="334" spans="8:14">
      <c r="H334" s="13">
        <f t="shared" si="20"/>
        <v>2</v>
      </c>
      <c r="I334" t="str" cm="1">
        <f t="array" ref="I334">_xlfn.IFS(H334&lt;1,"No",H334=1,"Yes",H334&gt;1,_xlfn.TEXTJOIN("",TRUE,"Yes x",H334))</f>
        <v>Yes x2</v>
      </c>
      <c r="J334" s="13">
        <f t="shared" si="21"/>
        <v>1</v>
      </c>
      <c r="K334" s="13">
        <f t="shared" si="23"/>
        <v>1</v>
      </c>
      <c r="L334" s="13" t="str" cm="1">
        <f t="array" ref="L334">_xlfn.IFS(J334&lt;1,"",J334=1,"Pass",J334&gt;1,_xlfn.TEXTJOIN("",TRUE,"Pass x",J334))</f>
        <v>Pass</v>
      </c>
      <c r="M334" s="13" t="str" cm="1">
        <f t="array" ref="M334">_xlfn.IFS(K334&lt;1,"",K334=1,"Fail",K334&gt;1,_xlfn.TEXTJOIN("",TRUE,"Fail x",K334))</f>
        <v>Fail</v>
      </c>
      <c r="N334" t="str">
        <f t="shared" si="22"/>
        <v>Pass, Fail</v>
      </c>
    </row>
    <row r="335" spans="8:14">
      <c r="H335" s="13">
        <f t="shared" si="20"/>
        <v>2</v>
      </c>
      <c r="I335" t="str" cm="1">
        <f t="array" ref="I335">_xlfn.IFS(H335&lt;1,"No",H335=1,"Yes",H335&gt;1,_xlfn.TEXTJOIN("",TRUE,"Yes x",H335))</f>
        <v>Yes x2</v>
      </c>
      <c r="J335" s="13">
        <f t="shared" si="21"/>
        <v>1</v>
      </c>
      <c r="K335" s="13">
        <f t="shared" si="23"/>
        <v>1</v>
      </c>
      <c r="L335" s="13" t="str" cm="1">
        <f t="array" ref="L335">_xlfn.IFS(J335&lt;1,"",J335=1,"Pass",J335&gt;1,_xlfn.TEXTJOIN("",TRUE,"Pass x",J335))</f>
        <v>Pass</v>
      </c>
      <c r="M335" s="13" t="str" cm="1">
        <f t="array" ref="M335">_xlfn.IFS(K335&lt;1,"",K335=1,"Fail",K335&gt;1,_xlfn.TEXTJOIN("",TRUE,"Fail x",K335))</f>
        <v>Fail</v>
      </c>
      <c r="N335" t="str">
        <f t="shared" si="22"/>
        <v>Pass, Fail</v>
      </c>
    </row>
    <row r="336" spans="8:14">
      <c r="H336" s="13">
        <f t="shared" si="20"/>
        <v>2</v>
      </c>
      <c r="I336" t="str" cm="1">
        <f t="array" ref="I336">_xlfn.IFS(H336&lt;1,"No",H336=1,"Yes",H336&gt;1,_xlfn.TEXTJOIN("",TRUE,"Yes x",H336))</f>
        <v>Yes x2</v>
      </c>
      <c r="J336" s="13">
        <f t="shared" si="21"/>
        <v>1</v>
      </c>
      <c r="K336" s="13">
        <f t="shared" si="23"/>
        <v>1</v>
      </c>
      <c r="L336" s="13" t="str" cm="1">
        <f t="array" ref="L336">_xlfn.IFS(J336&lt;1,"",J336=1,"Pass",J336&gt;1,_xlfn.TEXTJOIN("",TRUE,"Pass x",J336))</f>
        <v>Pass</v>
      </c>
      <c r="M336" s="13" t="str" cm="1">
        <f t="array" ref="M336">_xlfn.IFS(K336&lt;1,"",K336=1,"Fail",K336&gt;1,_xlfn.TEXTJOIN("",TRUE,"Fail x",K336))</f>
        <v>Fail</v>
      </c>
      <c r="N336" t="str">
        <f t="shared" si="22"/>
        <v>Pass, Fail</v>
      </c>
    </row>
    <row r="337" spans="8:14">
      <c r="H337" s="13">
        <f t="shared" si="20"/>
        <v>2</v>
      </c>
      <c r="I337" t="str" cm="1">
        <f t="array" ref="I337">_xlfn.IFS(H337&lt;1,"No",H337=1,"Yes",H337&gt;1,_xlfn.TEXTJOIN("",TRUE,"Yes x",H337))</f>
        <v>Yes x2</v>
      </c>
      <c r="J337" s="13">
        <f t="shared" si="21"/>
        <v>1</v>
      </c>
      <c r="K337" s="13">
        <f t="shared" si="23"/>
        <v>1</v>
      </c>
      <c r="L337" s="13" t="str" cm="1">
        <f t="array" ref="L337">_xlfn.IFS(J337&lt;1,"",J337=1,"Pass",J337&gt;1,_xlfn.TEXTJOIN("",TRUE,"Pass x",J337))</f>
        <v>Pass</v>
      </c>
      <c r="M337" s="13" t="str" cm="1">
        <f t="array" ref="M337">_xlfn.IFS(K337&lt;1,"",K337=1,"Fail",K337&gt;1,_xlfn.TEXTJOIN("",TRUE,"Fail x",K337))</f>
        <v>Fail</v>
      </c>
      <c r="N337" t="str">
        <f t="shared" si="22"/>
        <v>Pass, Fail</v>
      </c>
    </row>
    <row r="338" spans="8:14">
      <c r="H338" s="13">
        <f t="shared" si="20"/>
        <v>2</v>
      </c>
      <c r="I338" t="str" cm="1">
        <f t="array" ref="I338">_xlfn.IFS(H338&lt;1,"No",H338=1,"Yes",H338&gt;1,_xlfn.TEXTJOIN("",TRUE,"Yes x",H338))</f>
        <v>Yes x2</v>
      </c>
      <c r="J338" s="13">
        <f t="shared" si="21"/>
        <v>1</v>
      </c>
      <c r="K338" s="13">
        <f t="shared" si="23"/>
        <v>1</v>
      </c>
      <c r="L338" s="13" t="str" cm="1">
        <f t="array" ref="L338">_xlfn.IFS(J338&lt;1,"",J338=1,"Pass",J338&gt;1,_xlfn.TEXTJOIN("",TRUE,"Pass x",J338))</f>
        <v>Pass</v>
      </c>
      <c r="M338" s="13" t="str" cm="1">
        <f t="array" ref="M338">_xlfn.IFS(K338&lt;1,"",K338=1,"Fail",K338&gt;1,_xlfn.TEXTJOIN("",TRUE,"Fail x",K338))</f>
        <v>Fail</v>
      </c>
      <c r="N338" t="str">
        <f t="shared" si="22"/>
        <v>Pass, Fail</v>
      </c>
    </row>
    <row r="339" spans="8:14">
      <c r="H339" s="13">
        <f t="shared" si="20"/>
        <v>2</v>
      </c>
      <c r="I339" t="str" cm="1">
        <f t="array" ref="I339">_xlfn.IFS(H339&lt;1,"No",H339=1,"Yes",H339&gt;1,_xlfn.TEXTJOIN("",TRUE,"Yes x",H339))</f>
        <v>Yes x2</v>
      </c>
      <c r="J339" s="13">
        <f t="shared" si="21"/>
        <v>1</v>
      </c>
      <c r="K339" s="13">
        <f t="shared" si="23"/>
        <v>1</v>
      </c>
      <c r="L339" s="13" t="str" cm="1">
        <f t="array" ref="L339">_xlfn.IFS(J339&lt;1,"",J339=1,"Pass",J339&gt;1,_xlfn.TEXTJOIN("",TRUE,"Pass x",J339))</f>
        <v>Pass</v>
      </c>
      <c r="M339" s="13" t="str" cm="1">
        <f t="array" ref="M339">_xlfn.IFS(K339&lt;1,"",K339=1,"Fail",K339&gt;1,_xlfn.TEXTJOIN("",TRUE,"Fail x",K339))</f>
        <v>Fail</v>
      </c>
      <c r="N339" t="str">
        <f t="shared" si="22"/>
        <v>Pass, Fail</v>
      </c>
    </row>
    <row r="340" spans="8:14">
      <c r="H340" s="13">
        <f t="shared" si="20"/>
        <v>2</v>
      </c>
      <c r="I340" t="str" cm="1">
        <f t="array" ref="I340">_xlfn.IFS(H340&lt;1,"No",H340=1,"Yes",H340&gt;1,_xlfn.TEXTJOIN("",TRUE,"Yes x",H340))</f>
        <v>Yes x2</v>
      </c>
      <c r="J340" s="13">
        <f t="shared" si="21"/>
        <v>1</v>
      </c>
      <c r="K340" s="13">
        <f t="shared" si="23"/>
        <v>1</v>
      </c>
      <c r="L340" s="13" t="str" cm="1">
        <f t="array" ref="L340">_xlfn.IFS(J340&lt;1,"",J340=1,"Pass",J340&gt;1,_xlfn.TEXTJOIN("",TRUE,"Pass x",J340))</f>
        <v>Pass</v>
      </c>
      <c r="M340" s="13" t="str" cm="1">
        <f t="array" ref="M340">_xlfn.IFS(K340&lt;1,"",K340=1,"Fail",K340&gt;1,_xlfn.TEXTJOIN("",TRUE,"Fail x",K340))</f>
        <v>Fail</v>
      </c>
      <c r="N340" t="str">
        <f t="shared" si="22"/>
        <v>Pass, Fail</v>
      </c>
    </row>
    <row r="341" spans="8:14">
      <c r="H341" s="13">
        <f t="shared" si="20"/>
        <v>2</v>
      </c>
      <c r="I341" t="str" cm="1">
        <f t="array" ref="I341">_xlfn.IFS(H341&lt;1,"No",H341=1,"Yes",H341&gt;1,_xlfn.TEXTJOIN("",TRUE,"Yes x",H341))</f>
        <v>Yes x2</v>
      </c>
      <c r="J341" s="13">
        <f t="shared" si="21"/>
        <v>1</v>
      </c>
      <c r="K341" s="13">
        <f t="shared" si="23"/>
        <v>1</v>
      </c>
      <c r="L341" s="13" t="str" cm="1">
        <f t="array" ref="L341">_xlfn.IFS(J341&lt;1,"",J341=1,"Pass",J341&gt;1,_xlfn.TEXTJOIN("",TRUE,"Pass x",J341))</f>
        <v>Pass</v>
      </c>
      <c r="M341" s="13" t="str" cm="1">
        <f t="array" ref="M341">_xlfn.IFS(K341&lt;1,"",K341=1,"Fail",K341&gt;1,_xlfn.TEXTJOIN("",TRUE,"Fail x",K341))</f>
        <v>Fail</v>
      </c>
      <c r="N341" t="str">
        <f t="shared" si="22"/>
        <v>Pass, Fail</v>
      </c>
    </row>
    <row r="342" spans="8:14">
      <c r="H342" s="13">
        <f t="shared" si="20"/>
        <v>2</v>
      </c>
      <c r="I342" t="str" cm="1">
        <f t="array" ref="I342">_xlfn.IFS(H342&lt;1,"No",H342=1,"Yes",H342&gt;1,_xlfn.TEXTJOIN("",TRUE,"Yes x",H342))</f>
        <v>Yes x2</v>
      </c>
      <c r="J342" s="13">
        <f t="shared" si="21"/>
        <v>1</v>
      </c>
      <c r="K342" s="13">
        <f t="shared" si="23"/>
        <v>1</v>
      </c>
      <c r="L342" s="13" t="str" cm="1">
        <f t="array" ref="L342">_xlfn.IFS(J342&lt;1,"",J342=1,"Pass",J342&gt;1,_xlfn.TEXTJOIN("",TRUE,"Pass x",J342))</f>
        <v>Pass</v>
      </c>
      <c r="M342" s="13" t="str" cm="1">
        <f t="array" ref="M342">_xlfn.IFS(K342&lt;1,"",K342=1,"Fail",K342&gt;1,_xlfn.TEXTJOIN("",TRUE,"Fail x",K342))</f>
        <v>Fail</v>
      </c>
      <c r="N342" t="str">
        <f t="shared" si="22"/>
        <v>Pass, Fail</v>
      </c>
    </row>
    <row r="343" spans="8:14">
      <c r="H343" s="13">
        <f t="shared" si="20"/>
        <v>2</v>
      </c>
      <c r="I343" t="str" cm="1">
        <f t="array" ref="I343">_xlfn.IFS(H343&lt;1,"No",H343=1,"Yes",H343&gt;1,_xlfn.TEXTJOIN("",TRUE,"Yes x",H343))</f>
        <v>Yes x2</v>
      </c>
      <c r="J343" s="13">
        <f t="shared" si="21"/>
        <v>1</v>
      </c>
      <c r="K343" s="13">
        <f t="shared" si="23"/>
        <v>1</v>
      </c>
      <c r="L343" s="13" t="str" cm="1">
        <f t="array" ref="L343">_xlfn.IFS(J343&lt;1,"",J343=1,"Pass",J343&gt;1,_xlfn.TEXTJOIN("",TRUE,"Pass x",J343))</f>
        <v>Pass</v>
      </c>
      <c r="M343" s="13" t="str" cm="1">
        <f t="array" ref="M343">_xlfn.IFS(K343&lt;1,"",K343=1,"Fail",K343&gt;1,_xlfn.TEXTJOIN("",TRUE,"Fail x",K343))</f>
        <v>Fail</v>
      </c>
      <c r="N343" t="str">
        <f t="shared" si="22"/>
        <v>Pass, Fail</v>
      </c>
    </row>
    <row r="344" spans="8:14">
      <c r="H344" s="13">
        <f t="shared" si="20"/>
        <v>2</v>
      </c>
      <c r="I344" t="str" cm="1">
        <f t="array" ref="I344">_xlfn.IFS(H344&lt;1,"No",H344=1,"Yes",H344&gt;1,_xlfn.TEXTJOIN("",TRUE,"Yes x",H344))</f>
        <v>Yes x2</v>
      </c>
      <c r="J344" s="13">
        <f t="shared" si="21"/>
        <v>1</v>
      </c>
      <c r="K344" s="13">
        <f t="shared" si="23"/>
        <v>1</v>
      </c>
      <c r="L344" s="13" t="str" cm="1">
        <f t="array" ref="L344">_xlfn.IFS(J344&lt;1,"",J344=1,"Pass",J344&gt;1,_xlfn.TEXTJOIN("",TRUE,"Pass x",J344))</f>
        <v>Pass</v>
      </c>
      <c r="M344" s="13" t="str" cm="1">
        <f t="array" ref="M344">_xlfn.IFS(K344&lt;1,"",K344=1,"Fail",K344&gt;1,_xlfn.TEXTJOIN("",TRUE,"Fail x",K344))</f>
        <v>Fail</v>
      </c>
      <c r="N344" t="str">
        <f t="shared" si="22"/>
        <v>Pass, Fail</v>
      </c>
    </row>
    <row r="345" spans="8:14">
      <c r="H345" s="13">
        <f t="shared" si="20"/>
        <v>2</v>
      </c>
      <c r="I345" t="str" cm="1">
        <f t="array" ref="I345">_xlfn.IFS(H345&lt;1,"No",H345=1,"Yes",H345&gt;1,_xlfn.TEXTJOIN("",TRUE,"Yes x",H345))</f>
        <v>Yes x2</v>
      </c>
      <c r="J345" s="13">
        <f t="shared" si="21"/>
        <v>1</v>
      </c>
      <c r="K345" s="13">
        <f t="shared" si="23"/>
        <v>1</v>
      </c>
      <c r="L345" s="13" t="str" cm="1">
        <f t="array" ref="L345">_xlfn.IFS(J345&lt;1,"",J345=1,"Pass",J345&gt;1,_xlfn.TEXTJOIN("",TRUE,"Pass x",J345))</f>
        <v>Pass</v>
      </c>
      <c r="M345" s="13" t="str" cm="1">
        <f t="array" ref="M345">_xlfn.IFS(K345&lt;1,"",K345=1,"Fail",K345&gt;1,_xlfn.TEXTJOIN("",TRUE,"Fail x",K345))</f>
        <v>Fail</v>
      </c>
      <c r="N345" t="str">
        <f t="shared" si="22"/>
        <v>Pass, Fail</v>
      </c>
    </row>
    <row r="346" spans="8:14">
      <c r="H346" s="13">
        <f t="shared" si="20"/>
        <v>2</v>
      </c>
      <c r="I346" t="str" cm="1">
        <f t="array" ref="I346">_xlfn.IFS(H346&lt;1,"No",H346=1,"Yes",H346&gt;1,_xlfn.TEXTJOIN("",TRUE,"Yes x",H346))</f>
        <v>Yes x2</v>
      </c>
      <c r="J346" s="13">
        <f t="shared" si="21"/>
        <v>1</v>
      </c>
      <c r="K346" s="13">
        <f t="shared" si="23"/>
        <v>1</v>
      </c>
      <c r="L346" s="13" t="str" cm="1">
        <f t="array" ref="L346">_xlfn.IFS(J346&lt;1,"",J346=1,"Pass",J346&gt;1,_xlfn.TEXTJOIN("",TRUE,"Pass x",J346))</f>
        <v>Pass</v>
      </c>
      <c r="M346" s="13" t="str" cm="1">
        <f t="array" ref="M346">_xlfn.IFS(K346&lt;1,"",K346=1,"Fail",K346&gt;1,_xlfn.TEXTJOIN("",TRUE,"Fail x",K346))</f>
        <v>Fail</v>
      </c>
      <c r="N346" t="str">
        <f t="shared" si="22"/>
        <v>Pass, Fail</v>
      </c>
    </row>
    <row r="347" spans="8:14">
      <c r="H347" s="13">
        <f t="shared" si="20"/>
        <v>2</v>
      </c>
      <c r="I347" t="str" cm="1">
        <f t="array" ref="I347">_xlfn.IFS(H347&lt;1,"No",H347=1,"Yes",H347&gt;1,_xlfn.TEXTJOIN("",TRUE,"Yes x",H347))</f>
        <v>Yes x2</v>
      </c>
      <c r="J347" s="13">
        <f t="shared" si="21"/>
        <v>1</v>
      </c>
      <c r="K347" s="13">
        <f t="shared" si="23"/>
        <v>1</v>
      </c>
      <c r="L347" s="13" t="str" cm="1">
        <f t="array" ref="L347">_xlfn.IFS(J347&lt;1,"",J347=1,"Pass",J347&gt;1,_xlfn.TEXTJOIN("",TRUE,"Pass x",J347))</f>
        <v>Pass</v>
      </c>
      <c r="M347" s="13" t="str" cm="1">
        <f t="array" ref="M347">_xlfn.IFS(K347&lt;1,"",K347=1,"Fail",K347&gt;1,_xlfn.TEXTJOIN("",TRUE,"Fail x",K347))</f>
        <v>Fail</v>
      </c>
      <c r="N347" t="str">
        <f t="shared" si="22"/>
        <v>Pass, Fail</v>
      </c>
    </row>
    <row r="348" spans="8:14">
      <c r="H348" s="13">
        <f t="shared" si="20"/>
        <v>2</v>
      </c>
      <c r="I348" t="str" cm="1">
        <f t="array" ref="I348">_xlfn.IFS(H348&lt;1,"No",H348=1,"Yes",H348&gt;1,_xlfn.TEXTJOIN("",TRUE,"Yes x",H348))</f>
        <v>Yes x2</v>
      </c>
      <c r="J348" s="13">
        <f t="shared" si="21"/>
        <v>1</v>
      </c>
      <c r="K348" s="13">
        <f t="shared" si="23"/>
        <v>1</v>
      </c>
      <c r="L348" s="13" t="str" cm="1">
        <f t="array" ref="L348">_xlfn.IFS(J348&lt;1,"",J348=1,"Pass",J348&gt;1,_xlfn.TEXTJOIN("",TRUE,"Pass x",J348))</f>
        <v>Pass</v>
      </c>
      <c r="M348" s="13" t="str" cm="1">
        <f t="array" ref="M348">_xlfn.IFS(K348&lt;1,"",K348=1,"Fail",K348&gt;1,_xlfn.TEXTJOIN("",TRUE,"Fail x",K348))</f>
        <v>Fail</v>
      </c>
      <c r="N348" t="str">
        <f t="shared" si="22"/>
        <v>Pass, Fail</v>
      </c>
    </row>
    <row r="349" spans="8:14">
      <c r="H349" s="13">
        <f t="shared" si="20"/>
        <v>2</v>
      </c>
      <c r="I349" t="str" cm="1">
        <f t="array" ref="I349">_xlfn.IFS(H349&lt;1,"No",H349=1,"Yes",H349&gt;1,_xlfn.TEXTJOIN("",TRUE,"Yes x",H349))</f>
        <v>Yes x2</v>
      </c>
      <c r="J349" s="13">
        <f t="shared" si="21"/>
        <v>1</v>
      </c>
      <c r="K349" s="13">
        <f t="shared" si="23"/>
        <v>1</v>
      </c>
      <c r="L349" s="13" t="str" cm="1">
        <f t="array" ref="L349">_xlfn.IFS(J349&lt;1,"",J349=1,"Pass",J349&gt;1,_xlfn.TEXTJOIN("",TRUE,"Pass x",J349))</f>
        <v>Pass</v>
      </c>
      <c r="M349" s="13" t="str" cm="1">
        <f t="array" ref="M349">_xlfn.IFS(K349&lt;1,"",K349=1,"Fail",K349&gt;1,_xlfn.TEXTJOIN("",TRUE,"Fail x",K349))</f>
        <v>Fail</v>
      </c>
      <c r="N349" t="str">
        <f t="shared" si="22"/>
        <v>Pass, Fail</v>
      </c>
    </row>
    <row r="350" spans="8:14">
      <c r="H350" s="13">
        <f t="shared" si="20"/>
        <v>2</v>
      </c>
      <c r="I350" t="str" cm="1">
        <f t="array" ref="I350">_xlfn.IFS(H350&lt;1,"No",H350=1,"Yes",H350&gt;1,_xlfn.TEXTJOIN("",TRUE,"Yes x",H350))</f>
        <v>Yes x2</v>
      </c>
      <c r="J350" s="13">
        <f t="shared" si="21"/>
        <v>1</v>
      </c>
      <c r="K350" s="13">
        <f t="shared" si="23"/>
        <v>1</v>
      </c>
      <c r="L350" s="13" t="str" cm="1">
        <f t="array" ref="L350">_xlfn.IFS(J350&lt;1,"",J350=1,"Pass",J350&gt;1,_xlfn.TEXTJOIN("",TRUE,"Pass x",J350))</f>
        <v>Pass</v>
      </c>
      <c r="M350" s="13" t="str" cm="1">
        <f t="array" ref="M350">_xlfn.IFS(K350&lt;1,"",K350=1,"Fail",K350&gt;1,_xlfn.TEXTJOIN("",TRUE,"Fail x",K350))</f>
        <v>Fail</v>
      </c>
      <c r="N350" t="str">
        <f t="shared" si="22"/>
        <v>Pass, Fail</v>
      </c>
    </row>
    <row r="351" spans="8:14">
      <c r="H351" s="13">
        <f t="shared" si="20"/>
        <v>2</v>
      </c>
      <c r="I351" t="str" cm="1">
        <f t="array" ref="I351">_xlfn.IFS(H351&lt;1,"No",H351=1,"Yes",H351&gt;1,_xlfn.TEXTJOIN("",TRUE,"Yes x",H351))</f>
        <v>Yes x2</v>
      </c>
      <c r="J351" s="13">
        <f t="shared" si="21"/>
        <v>1</v>
      </c>
      <c r="K351" s="13">
        <f t="shared" si="23"/>
        <v>1</v>
      </c>
      <c r="L351" s="13" t="str" cm="1">
        <f t="array" ref="L351">_xlfn.IFS(J351&lt;1,"",J351=1,"Pass",J351&gt;1,_xlfn.TEXTJOIN("",TRUE,"Pass x",J351))</f>
        <v>Pass</v>
      </c>
      <c r="M351" s="13" t="str" cm="1">
        <f t="array" ref="M351">_xlfn.IFS(K351&lt;1,"",K351=1,"Fail",K351&gt;1,_xlfn.TEXTJOIN("",TRUE,"Fail x",K351))</f>
        <v>Fail</v>
      </c>
      <c r="N351" t="str">
        <f t="shared" si="22"/>
        <v>Pass, Fail</v>
      </c>
    </row>
    <row r="352" spans="8:14">
      <c r="H352" s="13">
        <f t="shared" si="20"/>
        <v>2</v>
      </c>
      <c r="I352" t="str" cm="1">
        <f t="array" ref="I352">_xlfn.IFS(H352&lt;1,"No",H352=1,"Yes",H352&gt;1,_xlfn.TEXTJOIN("",TRUE,"Yes x",H352))</f>
        <v>Yes x2</v>
      </c>
      <c r="J352" s="13">
        <f t="shared" si="21"/>
        <v>1</v>
      </c>
      <c r="K352" s="13">
        <f t="shared" si="23"/>
        <v>1</v>
      </c>
      <c r="L352" s="13" t="str" cm="1">
        <f t="array" ref="L352">_xlfn.IFS(J352&lt;1,"",J352=1,"Pass",J352&gt;1,_xlfn.TEXTJOIN("",TRUE,"Pass x",J352))</f>
        <v>Pass</v>
      </c>
      <c r="M352" s="13" t="str" cm="1">
        <f t="array" ref="M352">_xlfn.IFS(K352&lt;1,"",K352=1,"Fail",K352&gt;1,_xlfn.TEXTJOIN("",TRUE,"Fail x",K352))</f>
        <v>Fail</v>
      </c>
      <c r="N352" t="str">
        <f t="shared" si="22"/>
        <v>Pass, Fail</v>
      </c>
    </row>
    <row r="353" spans="8:14">
      <c r="H353" s="13">
        <f t="shared" si="20"/>
        <v>2</v>
      </c>
      <c r="I353" t="str" cm="1">
        <f t="array" ref="I353">_xlfn.IFS(H353&lt;1,"No",H353=1,"Yes",H353&gt;1,_xlfn.TEXTJOIN("",TRUE,"Yes x",H353))</f>
        <v>Yes x2</v>
      </c>
      <c r="J353" s="13">
        <f t="shared" si="21"/>
        <v>1</v>
      </c>
      <c r="K353" s="13">
        <f t="shared" si="23"/>
        <v>1</v>
      </c>
      <c r="L353" s="13" t="str" cm="1">
        <f t="array" ref="L353">_xlfn.IFS(J353&lt;1,"",J353=1,"Pass",J353&gt;1,_xlfn.TEXTJOIN("",TRUE,"Pass x",J353))</f>
        <v>Pass</v>
      </c>
      <c r="M353" s="13" t="str" cm="1">
        <f t="array" ref="M353">_xlfn.IFS(K353&lt;1,"",K353=1,"Fail",K353&gt;1,_xlfn.TEXTJOIN("",TRUE,"Fail x",K353))</f>
        <v>Fail</v>
      </c>
      <c r="N353" t="str">
        <f t="shared" si="22"/>
        <v>Pass, Fail</v>
      </c>
    </row>
    <row r="354" spans="8:14">
      <c r="H354" s="13">
        <f t="shared" si="20"/>
        <v>2</v>
      </c>
      <c r="I354" t="str" cm="1">
        <f t="array" ref="I354">_xlfn.IFS(H354&lt;1,"No",H354=1,"Yes",H354&gt;1,_xlfn.TEXTJOIN("",TRUE,"Yes x",H354))</f>
        <v>Yes x2</v>
      </c>
      <c r="J354" s="13">
        <f t="shared" si="21"/>
        <v>1</v>
      </c>
      <c r="K354" s="13">
        <f t="shared" si="23"/>
        <v>1</v>
      </c>
      <c r="L354" s="13" t="str" cm="1">
        <f t="array" ref="L354">_xlfn.IFS(J354&lt;1,"",J354=1,"Pass",J354&gt;1,_xlfn.TEXTJOIN("",TRUE,"Pass x",J354))</f>
        <v>Pass</v>
      </c>
      <c r="M354" s="13" t="str" cm="1">
        <f t="array" ref="M354">_xlfn.IFS(K354&lt;1,"",K354=1,"Fail",K354&gt;1,_xlfn.TEXTJOIN("",TRUE,"Fail x",K354))</f>
        <v>Fail</v>
      </c>
      <c r="N354" t="str">
        <f t="shared" si="22"/>
        <v>Pass, Fail</v>
      </c>
    </row>
    <row r="355" spans="8:14">
      <c r="H355" s="13">
        <f t="shared" si="20"/>
        <v>2</v>
      </c>
      <c r="I355" t="str" cm="1">
        <f t="array" ref="I355">_xlfn.IFS(H355&lt;1,"No",H355=1,"Yes",H355&gt;1,_xlfn.TEXTJOIN("",TRUE,"Yes x",H355))</f>
        <v>Yes x2</v>
      </c>
      <c r="J355" s="13">
        <f t="shared" si="21"/>
        <v>1</v>
      </c>
      <c r="K355" s="13">
        <f t="shared" si="23"/>
        <v>1</v>
      </c>
      <c r="L355" s="13" t="str" cm="1">
        <f t="array" ref="L355">_xlfn.IFS(J355&lt;1,"",J355=1,"Pass",J355&gt;1,_xlfn.TEXTJOIN("",TRUE,"Pass x",J355))</f>
        <v>Pass</v>
      </c>
      <c r="M355" s="13" t="str" cm="1">
        <f t="array" ref="M355">_xlfn.IFS(K355&lt;1,"",K355=1,"Fail",K355&gt;1,_xlfn.TEXTJOIN("",TRUE,"Fail x",K355))</f>
        <v>Fail</v>
      </c>
      <c r="N355" t="str">
        <f t="shared" si="22"/>
        <v>Pass, Fail</v>
      </c>
    </row>
    <row r="356" spans="8:14">
      <c r="H356" s="13">
        <f t="shared" ref="H356:H419" si="24">IFERROR(GETPIVOTDATA("Successful / Failed",$A$1,"System serial",G356),0)</f>
        <v>2</v>
      </c>
      <c r="I356" t="str" cm="1">
        <f t="array" ref="I356">_xlfn.IFS(H356&lt;1,"No",H356=1,"Yes",H356&gt;1,_xlfn.TEXTJOIN("",TRUE,"Yes x",H356))</f>
        <v>Yes x2</v>
      </c>
      <c r="J356" s="13">
        <f t="shared" ref="J356:J419" si="25">IFERROR(GETPIVOTDATA("Successful / Failed",$A$1,"System serial",G356,"Successful / Failed","Successful"),0)</f>
        <v>1</v>
      </c>
      <c r="K356" s="13">
        <f t="shared" si="23"/>
        <v>1</v>
      </c>
      <c r="L356" s="13" t="str" cm="1">
        <f t="array" ref="L356">_xlfn.IFS(J356&lt;1,"",J356=1,"Pass",J356&gt;1,_xlfn.TEXTJOIN("",TRUE,"Pass x",J356))</f>
        <v>Pass</v>
      </c>
      <c r="M356" s="13" t="str" cm="1">
        <f t="array" ref="M356">_xlfn.IFS(K356&lt;1,"",K356=1,"Fail",K356&gt;1,_xlfn.TEXTJOIN("",TRUE,"Fail x",K356))</f>
        <v>Fail</v>
      </c>
      <c r="N356" t="str">
        <f t="shared" ref="N356:N419" si="26">_xlfn.TEXTJOIN(", ",TRUE, L356, M356)</f>
        <v>Pass, Fail</v>
      </c>
    </row>
    <row r="357" spans="8:14">
      <c r="H357" s="13">
        <f t="shared" si="24"/>
        <v>2</v>
      </c>
      <c r="I357" t="str" cm="1">
        <f t="array" ref="I357">_xlfn.IFS(H357&lt;1,"No",H357=1,"Yes",H357&gt;1,_xlfn.TEXTJOIN("",TRUE,"Yes x",H357))</f>
        <v>Yes x2</v>
      </c>
      <c r="J357" s="13">
        <f t="shared" si="25"/>
        <v>1</v>
      </c>
      <c r="K357" s="13">
        <f t="shared" si="23"/>
        <v>1</v>
      </c>
      <c r="L357" s="13" t="str" cm="1">
        <f t="array" ref="L357">_xlfn.IFS(J357&lt;1,"",J357=1,"Pass",J357&gt;1,_xlfn.TEXTJOIN("",TRUE,"Pass x",J357))</f>
        <v>Pass</v>
      </c>
      <c r="M357" s="13" t="str" cm="1">
        <f t="array" ref="M357">_xlfn.IFS(K357&lt;1,"",K357=1,"Fail",K357&gt;1,_xlfn.TEXTJOIN("",TRUE,"Fail x",K357))</f>
        <v>Fail</v>
      </c>
      <c r="N357" t="str">
        <f t="shared" si="26"/>
        <v>Pass, Fail</v>
      </c>
    </row>
    <row r="358" spans="8:14">
      <c r="H358" s="13">
        <f t="shared" si="24"/>
        <v>2</v>
      </c>
      <c r="I358" t="str" cm="1">
        <f t="array" ref="I358">_xlfn.IFS(H358&lt;1,"No",H358=1,"Yes",H358&gt;1,_xlfn.TEXTJOIN("",TRUE,"Yes x",H358))</f>
        <v>Yes x2</v>
      </c>
      <c r="J358" s="13">
        <f t="shared" si="25"/>
        <v>1</v>
      </c>
      <c r="K358" s="13">
        <f t="shared" si="23"/>
        <v>1</v>
      </c>
      <c r="L358" s="13" t="str" cm="1">
        <f t="array" ref="L358">_xlfn.IFS(J358&lt;1,"",J358=1,"Pass",J358&gt;1,_xlfn.TEXTJOIN("",TRUE,"Pass x",J358))</f>
        <v>Pass</v>
      </c>
      <c r="M358" s="13" t="str" cm="1">
        <f t="array" ref="M358">_xlfn.IFS(K358&lt;1,"",K358=1,"Fail",K358&gt;1,_xlfn.TEXTJOIN("",TRUE,"Fail x",K358))</f>
        <v>Fail</v>
      </c>
      <c r="N358" t="str">
        <f t="shared" si="26"/>
        <v>Pass, Fail</v>
      </c>
    </row>
    <row r="359" spans="8:14">
      <c r="H359" s="13">
        <f t="shared" si="24"/>
        <v>2</v>
      </c>
      <c r="I359" t="str" cm="1">
        <f t="array" ref="I359">_xlfn.IFS(H359&lt;1,"No",H359=1,"Yes",H359&gt;1,_xlfn.TEXTJOIN("",TRUE,"Yes x",H359))</f>
        <v>Yes x2</v>
      </c>
      <c r="J359" s="13">
        <f t="shared" si="25"/>
        <v>1</v>
      </c>
      <c r="K359" s="13">
        <f t="shared" si="23"/>
        <v>1</v>
      </c>
      <c r="L359" s="13" t="str" cm="1">
        <f t="array" ref="L359">_xlfn.IFS(J359&lt;1,"",J359=1,"Pass",J359&gt;1,_xlfn.TEXTJOIN("",TRUE,"Pass x",J359))</f>
        <v>Pass</v>
      </c>
      <c r="M359" s="13" t="str" cm="1">
        <f t="array" ref="M359">_xlfn.IFS(K359&lt;1,"",K359=1,"Fail",K359&gt;1,_xlfn.TEXTJOIN("",TRUE,"Fail x",K359))</f>
        <v>Fail</v>
      </c>
      <c r="N359" t="str">
        <f t="shared" si="26"/>
        <v>Pass, Fail</v>
      </c>
    </row>
    <row r="360" spans="8:14">
      <c r="H360" s="13">
        <f t="shared" si="24"/>
        <v>2</v>
      </c>
      <c r="I360" t="str" cm="1">
        <f t="array" ref="I360">_xlfn.IFS(H360&lt;1,"No",H360=1,"Yes",H360&gt;1,_xlfn.TEXTJOIN("",TRUE,"Yes x",H360))</f>
        <v>Yes x2</v>
      </c>
      <c r="J360" s="13">
        <f t="shared" si="25"/>
        <v>1</v>
      </c>
      <c r="K360" s="13">
        <f t="shared" si="23"/>
        <v>1</v>
      </c>
      <c r="L360" s="13" t="str" cm="1">
        <f t="array" ref="L360">_xlfn.IFS(J360&lt;1,"",J360=1,"Pass",J360&gt;1,_xlfn.TEXTJOIN("",TRUE,"Pass x",J360))</f>
        <v>Pass</v>
      </c>
      <c r="M360" s="13" t="str" cm="1">
        <f t="array" ref="M360">_xlfn.IFS(K360&lt;1,"",K360=1,"Fail",K360&gt;1,_xlfn.TEXTJOIN("",TRUE,"Fail x",K360))</f>
        <v>Fail</v>
      </c>
      <c r="N360" t="str">
        <f t="shared" si="26"/>
        <v>Pass, Fail</v>
      </c>
    </row>
    <row r="361" spans="8:14">
      <c r="H361" s="13">
        <f t="shared" si="24"/>
        <v>2</v>
      </c>
      <c r="I361" t="str" cm="1">
        <f t="array" ref="I361">_xlfn.IFS(H361&lt;1,"No",H361=1,"Yes",H361&gt;1,_xlfn.TEXTJOIN("",TRUE,"Yes x",H361))</f>
        <v>Yes x2</v>
      </c>
      <c r="J361" s="13">
        <f t="shared" si="25"/>
        <v>1</v>
      </c>
      <c r="K361" s="13">
        <f t="shared" si="23"/>
        <v>1</v>
      </c>
      <c r="L361" s="13" t="str" cm="1">
        <f t="array" ref="L361">_xlfn.IFS(J361&lt;1,"",J361=1,"Pass",J361&gt;1,_xlfn.TEXTJOIN("",TRUE,"Pass x",J361))</f>
        <v>Pass</v>
      </c>
      <c r="M361" s="13" t="str" cm="1">
        <f t="array" ref="M361">_xlfn.IFS(K361&lt;1,"",K361=1,"Fail",K361&gt;1,_xlfn.TEXTJOIN("",TRUE,"Fail x",K361))</f>
        <v>Fail</v>
      </c>
      <c r="N361" t="str">
        <f t="shared" si="26"/>
        <v>Pass, Fail</v>
      </c>
    </row>
    <row r="362" spans="8:14">
      <c r="H362" s="13">
        <f t="shared" si="24"/>
        <v>2</v>
      </c>
      <c r="I362" t="str" cm="1">
        <f t="array" ref="I362">_xlfn.IFS(H362&lt;1,"No",H362=1,"Yes",H362&gt;1,_xlfn.TEXTJOIN("",TRUE,"Yes x",H362))</f>
        <v>Yes x2</v>
      </c>
      <c r="J362" s="13">
        <f t="shared" si="25"/>
        <v>1</v>
      </c>
      <c r="K362" s="13">
        <f t="shared" si="23"/>
        <v>1</v>
      </c>
      <c r="L362" s="13" t="str" cm="1">
        <f t="array" ref="L362">_xlfn.IFS(J362&lt;1,"",J362=1,"Pass",J362&gt;1,_xlfn.TEXTJOIN("",TRUE,"Pass x",J362))</f>
        <v>Pass</v>
      </c>
      <c r="M362" s="13" t="str" cm="1">
        <f t="array" ref="M362">_xlfn.IFS(K362&lt;1,"",K362=1,"Fail",K362&gt;1,_xlfn.TEXTJOIN("",TRUE,"Fail x",K362))</f>
        <v>Fail</v>
      </c>
      <c r="N362" t="str">
        <f t="shared" si="26"/>
        <v>Pass, Fail</v>
      </c>
    </row>
    <row r="363" spans="8:14">
      <c r="H363" s="13">
        <f t="shared" si="24"/>
        <v>2</v>
      </c>
      <c r="I363" t="str" cm="1">
        <f t="array" ref="I363">_xlfn.IFS(H363&lt;1,"No",H363=1,"Yes",H363&gt;1,_xlfn.TEXTJOIN("",TRUE,"Yes x",H363))</f>
        <v>Yes x2</v>
      </c>
      <c r="J363" s="13">
        <f t="shared" si="25"/>
        <v>1</v>
      </c>
      <c r="K363" s="13">
        <f t="shared" si="23"/>
        <v>1</v>
      </c>
      <c r="L363" s="13" t="str" cm="1">
        <f t="array" ref="L363">_xlfn.IFS(J363&lt;1,"",J363=1,"Pass",J363&gt;1,_xlfn.TEXTJOIN("",TRUE,"Pass x",J363))</f>
        <v>Pass</v>
      </c>
      <c r="M363" s="13" t="str" cm="1">
        <f t="array" ref="M363">_xlfn.IFS(K363&lt;1,"",K363=1,"Fail",K363&gt;1,_xlfn.TEXTJOIN("",TRUE,"Fail x",K363))</f>
        <v>Fail</v>
      </c>
      <c r="N363" t="str">
        <f t="shared" si="26"/>
        <v>Pass, Fail</v>
      </c>
    </row>
    <row r="364" spans="8:14">
      <c r="H364" s="13">
        <f t="shared" si="24"/>
        <v>2</v>
      </c>
      <c r="I364" t="str" cm="1">
        <f t="array" ref="I364">_xlfn.IFS(H364&lt;1,"No",H364=1,"Yes",H364&gt;1,_xlfn.TEXTJOIN("",TRUE,"Yes x",H364))</f>
        <v>Yes x2</v>
      </c>
      <c r="J364" s="13">
        <f t="shared" si="25"/>
        <v>1</v>
      </c>
      <c r="K364" s="13">
        <f t="shared" si="23"/>
        <v>1</v>
      </c>
      <c r="L364" s="13" t="str" cm="1">
        <f t="array" ref="L364">_xlfn.IFS(J364&lt;1,"",J364=1,"Pass",J364&gt;1,_xlfn.TEXTJOIN("",TRUE,"Pass x",J364))</f>
        <v>Pass</v>
      </c>
      <c r="M364" s="13" t="str" cm="1">
        <f t="array" ref="M364">_xlfn.IFS(K364&lt;1,"",K364=1,"Fail",K364&gt;1,_xlfn.TEXTJOIN("",TRUE,"Fail x",K364))</f>
        <v>Fail</v>
      </c>
      <c r="N364" t="str">
        <f t="shared" si="26"/>
        <v>Pass, Fail</v>
      </c>
    </row>
    <row r="365" spans="8:14">
      <c r="H365" s="13">
        <f t="shared" si="24"/>
        <v>2</v>
      </c>
      <c r="I365" t="str" cm="1">
        <f t="array" ref="I365">_xlfn.IFS(H365&lt;1,"No",H365=1,"Yes",H365&gt;1,_xlfn.TEXTJOIN("",TRUE,"Yes x",H365))</f>
        <v>Yes x2</v>
      </c>
      <c r="J365" s="13">
        <f t="shared" si="25"/>
        <v>1</v>
      </c>
      <c r="K365" s="13">
        <f t="shared" si="23"/>
        <v>1</v>
      </c>
      <c r="L365" s="13" t="str" cm="1">
        <f t="array" ref="L365">_xlfn.IFS(J365&lt;1,"",J365=1,"Pass",J365&gt;1,_xlfn.TEXTJOIN("",TRUE,"Pass x",J365))</f>
        <v>Pass</v>
      </c>
      <c r="M365" s="13" t="str" cm="1">
        <f t="array" ref="M365">_xlfn.IFS(K365&lt;1,"",K365=1,"Fail",K365&gt;1,_xlfn.TEXTJOIN("",TRUE,"Fail x",K365))</f>
        <v>Fail</v>
      </c>
      <c r="N365" t="str">
        <f t="shared" si="26"/>
        <v>Pass, Fail</v>
      </c>
    </row>
    <row r="366" spans="8:14">
      <c r="H366" s="13">
        <f t="shared" si="24"/>
        <v>2</v>
      </c>
      <c r="I366" t="str" cm="1">
        <f t="array" ref="I366">_xlfn.IFS(H366&lt;1,"No",H366=1,"Yes",H366&gt;1,_xlfn.TEXTJOIN("",TRUE,"Yes x",H366))</f>
        <v>Yes x2</v>
      </c>
      <c r="J366" s="13">
        <f t="shared" si="25"/>
        <v>1</v>
      </c>
      <c r="K366" s="13">
        <f t="shared" si="23"/>
        <v>1</v>
      </c>
      <c r="L366" s="13" t="str" cm="1">
        <f t="array" ref="L366">_xlfn.IFS(J366&lt;1,"",J366=1,"Pass",J366&gt;1,_xlfn.TEXTJOIN("",TRUE,"Pass x",J366))</f>
        <v>Pass</v>
      </c>
      <c r="M366" s="13" t="str" cm="1">
        <f t="array" ref="M366">_xlfn.IFS(K366&lt;1,"",K366=1,"Fail",K366&gt;1,_xlfn.TEXTJOIN("",TRUE,"Fail x",K366))</f>
        <v>Fail</v>
      </c>
      <c r="N366" t="str">
        <f t="shared" si="26"/>
        <v>Pass, Fail</v>
      </c>
    </row>
    <row r="367" spans="8:14">
      <c r="H367" s="13">
        <f t="shared" si="24"/>
        <v>2</v>
      </c>
      <c r="I367" t="str" cm="1">
        <f t="array" ref="I367">_xlfn.IFS(H367&lt;1,"No",H367=1,"Yes",H367&gt;1,_xlfn.TEXTJOIN("",TRUE,"Yes x",H367))</f>
        <v>Yes x2</v>
      </c>
      <c r="J367" s="13">
        <f t="shared" si="25"/>
        <v>1</v>
      </c>
      <c r="K367" s="13">
        <f t="shared" si="23"/>
        <v>1</v>
      </c>
      <c r="L367" s="13" t="str" cm="1">
        <f t="array" ref="L367">_xlfn.IFS(J367&lt;1,"",J367=1,"Pass",J367&gt;1,_xlfn.TEXTJOIN("",TRUE,"Pass x",J367))</f>
        <v>Pass</v>
      </c>
      <c r="M367" s="13" t="str" cm="1">
        <f t="array" ref="M367">_xlfn.IFS(K367&lt;1,"",K367=1,"Fail",K367&gt;1,_xlfn.TEXTJOIN("",TRUE,"Fail x",K367))</f>
        <v>Fail</v>
      </c>
      <c r="N367" t="str">
        <f t="shared" si="26"/>
        <v>Pass, Fail</v>
      </c>
    </row>
    <row r="368" spans="8:14">
      <c r="H368" s="13">
        <f t="shared" si="24"/>
        <v>2</v>
      </c>
      <c r="I368" t="str" cm="1">
        <f t="array" ref="I368">_xlfn.IFS(H368&lt;1,"No",H368=1,"Yes",H368&gt;1,_xlfn.TEXTJOIN("",TRUE,"Yes x",H368))</f>
        <v>Yes x2</v>
      </c>
      <c r="J368" s="13">
        <f t="shared" si="25"/>
        <v>1</v>
      </c>
      <c r="K368" s="13">
        <f t="shared" si="23"/>
        <v>1</v>
      </c>
      <c r="L368" s="13" t="str" cm="1">
        <f t="array" ref="L368">_xlfn.IFS(J368&lt;1,"",J368=1,"Pass",J368&gt;1,_xlfn.TEXTJOIN("",TRUE,"Pass x",J368))</f>
        <v>Pass</v>
      </c>
      <c r="M368" s="13" t="str" cm="1">
        <f t="array" ref="M368">_xlfn.IFS(K368&lt;1,"",K368=1,"Fail",K368&gt;1,_xlfn.TEXTJOIN("",TRUE,"Fail x",K368))</f>
        <v>Fail</v>
      </c>
      <c r="N368" t="str">
        <f t="shared" si="26"/>
        <v>Pass, Fail</v>
      </c>
    </row>
    <row r="369" spans="8:14">
      <c r="H369" s="13">
        <f t="shared" si="24"/>
        <v>2</v>
      </c>
      <c r="I369" t="str" cm="1">
        <f t="array" ref="I369">_xlfn.IFS(H369&lt;1,"No",H369=1,"Yes",H369&gt;1,_xlfn.TEXTJOIN("",TRUE,"Yes x",H369))</f>
        <v>Yes x2</v>
      </c>
      <c r="J369" s="13">
        <f t="shared" si="25"/>
        <v>1</v>
      </c>
      <c r="K369" s="13">
        <f t="shared" si="23"/>
        <v>1</v>
      </c>
      <c r="L369" s="13" t="str" cm="1">
        <f t="array" ref="L369">_xlfn.IFS(J369&lt;1,"",J369=1,"Pass",J369&gt;1,_xlfn.TEXTJOIN("",TRUE,"Pass x",J369))</f>
        <v>Pass</v>
      </c>
      <c r="M369" s="13" t="str" cm="1">
        <f t="array" ref="M369">_xlfn.IFS(K369&lt;1,"",K369=1,"Fail",K369&gt;1,_xlfn.TEXTJOIN("",TRUE,"Fail x",K369))</f>
        <v>Fail</v>
      </c>
      <c r="N369" t="str">
        <f t="shared" si="26"/>
        <v>Pass, Fail</v>
      </c>
    </row>
    <row r="370" spans="8:14">
      <c r="H370" s="13">
        <f t="shared" si="24"/>
        <v>2</v>
      </c>
      <c r="I370" t="str" cm="1">
        <f t="array" ref="I370">_xlfn.IFS(H370&lt;1,"No",H370=1,"Yes",H370&gt;1,_xlfn.TEXTJOIN("",TRUE,"Yes x",H370))</f>
        <v>Yes x2</v>
      </c>
      <c r="J370" s="13">
        <f t="shared" si="25"/>
        <v>1</v>
      </c>
      <c r="K370" s="13">
        <f t="shared" si="23"/>
        <v>1</v>
      </c>
      <c r="L370" s="13" t="str" cm="1">
        <f t="array" ref="L370">_xlfn.IFS(J370&lt;1,"",J370=1,"Pass",J370&gt;1,_xlfn.TEXTJOIN("",TRUE,"Pass x",J370))</f>
        <v>Pass</v>
      </c>
      <c r="M370" s="13" t="str" cm="1">
        <f t="array" ref="M370">_xlfn.IFS(K370&lt;1,"",K370=1,"Fail",K370&gt;1,_xlfn.TEXTJOIN("",TRUE,"Fail x",K370))</f>
        <v>Fail</v>
      </c>
      <c r="N370" t="str">
        <f t="shared" si="26"/>
        <v>Pass, Fail</v>
      </c>
    </row>
    <row r="371" spans="8:14">
      <c r="H371" s="13">
        <f t="shared" si="24"/>
        <v>2</v>
      </c>
      <c r="I371" t="str" cm="1">
        <f t="array" ref="I371">_xlfn.IFS(H371&lt;1,"No",H371=1,"Yes",H371&gt;1,_xlfn.TEXTJOIN("",TRUE,"Yes x",H371))</f>
        <v>Yes x2</v>
      </c>
      <c r="J371" s="13">
        <f t="shared" si="25"/>
        <v>1</v>
      </c>
      <c r="K371" s="13">
        <f t="shared" si="23"/>
        <v>1</v>
      </c>
      <c r="L371" s="13" t="str" cm="1">
        <f t="array" ref="L371">_xlfn.IFS(J371&lt;1,"",J371=1,"Pass",J371&gt;1,_xlfn.TEXTJOIN("",TRUE,"Pass x",J371))</f>
        <v>Pass</v>
      </c>
      <c r="M371" s="13" t="str" cm="1">
        <f t="array" ref="M371">_xlfn.IFS(K371&lt;1,"",K371=1,"Fail",K371&gt;1,_xlfn.TEXTJOIN("",TRUE,"Fail x",K371))</f>
        <v>Fail</v>
      </c>
      <c r="N371" t="str">
        <f t="shared" si="26"/>
        <v>Pass, Fail</v>
      </c>
    </row>
    <row r="372" spans="8:14">
      <c r="H372" s="13">
        <f t="shared" si="24"/>
        <v>2</v>
      </c>
      <c r="I372" t="str" cm="1">
        <f t="array" ref="I372">_xlfn.IFS(H372&lt;1,"No",H372=1,"Yes",H372&gt;1,_xlfn.TEXTJOIN("",TRUE,"Yes x",H372))</f>
        <v>Yes x2</v>
      </c>
      <c r="J372" s="13">
        <f t="shared" si="25"/>
        <v>1</v>
      </c>
      <c r="K372" s="13">
        <f t="shared" si="23"/>
        <v>1</v>
      </c>
      <c r="L372" s="13" t="str" cm="1">
        <f t="array" ref="L372">_xlfn.IFS(J372&lt;1,"",J372=1,"Pass",J372&gt;1,_xlfn.TEXTJOIN("",TRUE,"Pass x",J372))</f>
        <v>Pass</v>
      </c>
      <c r="M372" s="13" t="str" cm="1">
        <f t="array" ref="M372">_xlfn.IFS(K372&lt;1,"",K372=1,"Fail",K372&gt;1,_xlfn.TEXTJOIN("",TRUE,"Fail x",K372))</f>
        <v>Fail</v>
      </c>
      <c r="N372" t="str">
        <f t="shared" si="26"/>
        <v>Pass, Fail</v>
      </c>
    </row>
    <row r="373" spans="8:14">
      <c r="H373" s="13">
        <f t="shared" si="24"/>
        <v>2</v>
      </c>
      <c r="I373" t="str" cm="1">
        <f t="array" ref="I373">_xlfn.IFS(H373&lt;1,"No",H373=1,"Yes",H373&gt;1,_xlfn.TEXTJOIN("",TRUE,"Yes x",H373))</f>
        <v>Yes x2</v>
      </c>
      <c r="J373" s="13">
        <f t="shared" si="25"/>
        <v>1</v>
      </c>
      <c r="K373" s="13">
        <f t="shared" si="23"/>
        <v>1</v>
      </c>
      <c r="L373" s="13" t="str" cm="1">
        <f t="array" ref="L373">_xlfn.IFS(J373&lt;1,"",J373=1,"Pass",J373&gt;1,_xlfn.TEXTJOIN("",TRUE,"Pass x",J373))</f>
        <v>Pass</v>
      </c>
      <c r="M373" s="13" t="str" cm="1">
        <f t="array" ref="M373">_xlfn.IFS(K373&lt;1,"",K373=1,"Fail",K373&gt;1,_xlfn.TEXTJOIN("",TRUE,"Fail x",K373))</f>
        <v>Fail</v>
      </c>
      <c r="N373" t="str">
        <f t="shared" si="26"/>
        <v>Pass, Fail</v>
      </c>
    </row>
    <row r="374" spans="8:14">
      <c r="H374" s="13">
        <f t="shared" si="24"/>
        <v>2</v>
      </c>
      <c r="I374" t="str" cm="1">
        <f t="array" ref="I374">_xlfn.IFS(H374&lt;1,"No",H374=1,"Yes",H374&gt;1,_xlfn.TEXTJOIN("",TRUE,"Yes x",H374))</f>
        <v>Yes x2</v>
      </c>
      <c r="J374" s="13">
        <f t="shared" si="25"/>
        <v>1</v>
      </c>
      <c r="K374" s="13">
        <f t="shared" si="23"/>
        <v>1</v>
      </c>
      <c r="L374" s="13" t="str" cm="1">
        <f t="array" ref="L374">_xlfn.IFS(J374&lt;1,"",J374=1,"Pass",J374&gt;1,_xlfn.TEXTJOIN("",TRUE,"Pass x",J374))</f>
        <v>Pass</v>
      </c>
      <c r="M374" s="13" t="str" cm="1">
        <f t="array" ref="M374">_xlfn.IFS(K374&lt;1,"",K374=1,"Fail",K374&gt;1,_xlfn.TEXTJOIN("",TRUE,"Fail x",K374))</f>
        <v>Fail</v>
      </c>
      <c r="N374" t="str">
        <f t="shared" si="26"/>
        <v>Pass, Fail</v>
      </c>
    </row>
    <row r="375" spans="8:14">
      <c r="H375" s="13">
        <f t="shared" si="24"/>
        <v>2</v>
      </c>
      <c r="I375" t="str" cm="1">
        <f t="array" ref="I375">_xlfn.IFS(H375&lt;1,"No",H375=1,"Yes",H375&gt;1,_xlfn.TEXTJOIN("",TRUE,"Yes x",H375))</f>
        <v>Yes x2</v>
      </c>
      <c r="J375" s="13">
        <f t="shared" si="25"/>
        <v>1</v>
      </c>
      <c r="K375" s="13">
        <f t="shared" si="23"/>
        <v>1</v>
      </c>
      <c r="L375" s="13" t="str" cm="1">
        <f t="array" ref="L375">_xlfn.IFS(J375&lt;1,"",J375=1,"Pass",J375&gt;1,_xlfn.TEXTJOIN("",TRUE,"Pass x",J375))</f>
        <v>Pass</v>
      </c>
      <c r="M375" s="13" t="str" cm="1">
        <f t="array" ref="M375">_xlfn.IFS(K375&lt;1,"",K375=1,"Fail",K375&gt;1,_xlfn.TEXTJOIN("",TRUE,"Fail x",K375))</f>
        <v>Fail</v>
      </c>
      <c r="N375" t="str">
        <f t="shared" si="26"/>
        <v>Pass, Fail</v>
      </c>
    </row>
    <row r="376" spans="8:14">
      <c r="H376" s="13">
        <f t="shared" si="24"/>
        <v>2</v>
      </c>
      <c r="I376" t="str" cm="1">
        <f t="array" ref="I376">_xlfn.IFS(H376&lt;1,"No",H376=1,"Yes",H376&gt;1,_xlfn.TEXTJOIN("",TRUE,"Yes x",H376))</f>
        <v>Yes x2</v>
      </c>
      <c r="J376" s="13">
        <f t="shared" si="25"/>
        <v>1</v>
      </c>
      <c r="K376" s="13">
        <f t="shared" si="23"/>
        <v>1</v>
      </c>
      <c r="L376" s="13" t="str" cm="1">
        <f t="array" ref="L376">_xlfn.IFS(J376&lt;1,"",J376=1,"Pass",J376&gt;1,_xlfn.TEXTJOIN("",TRUE,"Pass x",J376))</f>
        <v>Pass</v>
      </c>
      <c r="M376" s="13" t="str" cm="1">
        <f t="array" ref="M376">_xlfn.IFS(K376&lt;1,"",K376=1,"Fail",K376&gt;1,_xlfn.TEXTJOIN("",TRUE,"Fail x",K376))</f>
        <v>Fail</v>
      </c>
      <c r="N376" t="str">
        <f t="shared" si="26"/>
        <v>Pass, Fail</v>
      </c>
    </row>
    <row r="377" spans="8:14">
      <c r="H377" s="13">
        <f t="shared" si="24"/>
        <v>2</v>
      </c>
      <c r="I377" t="str" cm="1">
        <f t="array" ref="I377">_xlfn.IFS(H377&lt;1,"No",H377=1,"Yes",H377&gt;1,_xlfn.TEXTJOIN("",TRUE,"Yes x",H377))</f>
        <v>Yes x2</v>
      </c>
      <c r="J377" s="13">
        <f t="shared" si="25"/>
        <v>1</v>
      </c>
      <c r="K377" s="13">
        <f t="shared" si="23"/>
        <v>1</v>
      </c>
      <c r="L377" s="13" t="str" cm="1">
        <f t="array" ref="L377">_xlfn.IFS(J377&lt;1,"",J377=1,"Pass",J377&gt;1,_xlfn.TEXTJOIN("",TRUE,"Pass x",J377))</f>
        <v>Pass</v>
      </c>
      <c r="M377" s="13" t="str" cm="1">
        <f t="array" ref="M377">_xlfn.IFS(K377&lt;1,"",K377=1,"Fail",K377&gt;1,_xlfn.TEXTJOIN("",TRUE,"Fail x",K377))</f>
        <v>Fail</v>
      </c>
      <c r="N377" t="str">
        <f t="shared" si="26"/>
        <v>Pass, Fail</v>
      </c>
    </row>
    <row r="378" spans="8:14">
      <c r="H378" s="13">
        <f t="shared" si="24"/>
        <v>2</v>
      </c>
      <c r="I378" t="str" cm="1">
        <f t="array" ref="I378">_xlfn.IFS(H378&lt;1,"No",H378=1,"Yes",H378&gt;1,_xlfn.TEXTJOIN("",TRUE,"Yes x",H378))</f>
        <v>Yes x2</v>
      </c>
      <c r="J378" s="13">
        <f t="shared" si="25"/>
        <v>1</v>
      </c>
      <c r="K378" s="13">
        <f t="shared" si="23"/>
        <v>1</v>
      </c>
      <c r="L378" s="13" t="str" cm="1">
        <f t="array" ref="L378">_xlfn.IFS(J378&lt;1,"",J378=1,"Pass",J378&gt;1,_xlfn.TEXTJOIN("",TRUE,"Pass x",J378))</f>
        <v>Pass</v>
      </c>
      <c r="M378" s="13" t="str" cm="1">
        <f t="array" ref="M378">_xlfn.IFS(K378&lt;1,"",K378=1,"Fail",K378&gt;1,_xlfn.TEXTJOIN("",TRUE,"Fail x",K378))</f>
        <v>Fail</v>
      </c>
      <c r="N378" t="str">
        <f t="shared" si="26"/>
        <v>Pass, Fail</v>
      </c>
    </row>
    <row r="379" spans="8:14">
      <c r="H379" s="13">
        <f t="shared" si="24"/>
        <v>2</v>
      </c>
      <c r="I379" t="str" cm="1">
        <f t="array" ref="I379">_xlfn.IFS(H379&lt;1,"No",H379=1,"Yes",H379&gt;1,_xlfn.TEXTJOIN("",TRUE,"Yes x",H379))</f>
        <v>Yes x2</v>
      </c>
      <c r="J379" s="13">
        <f t="shared" si="25"/>
        <v>1</v>
      </c>
      <c r="K379" s="13">
        <f t="shared" si="23"/>
        <v>1</v>
      </c>
      <c r="L379" s="13" t="str" cm="1">
        <f t="array" ref="L379">_xlfn.IFS(J379&lt;1,"",J379=1,"Pass",J379&gt;1,_xlfn.TEXTJOIN("",TRUE,"Pass x",J379))</f>
        <v>Pass</v>
      </c>
      <c r="M379" s="13" t="str" cm="1">
        <f t="array" ref="M379">_xlfn.IFS(K379&lt;1,"",K379=1,"Fail",K379&gt;1,_xlfn.TEXTJOIN("",TRUE,"Fail x",K379))</f>
        <v>Fail</v>
      </c>
      <c r="N379" t="str">
        <f t="shared" si="26"/>
        <v>Pass, Fail</v>
      </c>
    </row>
    <row r="380" spans="8:14">
      <c r="H380" s="13">
        <f t="shared" si="24"/>
        <v>2</v>
      </c>
      <c r="I380" t="str" cm="1">
        <f t="array" ref="I380">_xlfn.IFS(H380&lt;1,"No",H380=1,"Yes",H380&gt;1,_xlfn.TEXTJOIN("",TRUE,"Yes x",H380))</f>
        <v>Yes x2</v>
      </c>
      <c r="J380" s="13">
        <f t="shared" si="25"/>
        <v>1</v>
      </c>
      <c r="K380" s="13">
        <f t="shared" si="23"/>
        <v>1</v>
      </c>
      <c r="L380" s="13" t="str" cm="1">
        <f t="array" ref="L380">_xlfn.IFS(J380&lt;1,"",J380=1,"Pass",J380&gt;1,_xlfn.TEXTJOIN("",TRUE,"Pass x",J380))</f>
        <v>Pass</v>
      </c>
      <c r="M380" s="13" t="str" cm="1">
        <f t="array" ref="M380">_xlfn.IFS(K380&lt;1,"",K380=1,"Fail",K380&gt;1,_xlfn.TEXTJOIN("",TRUE,"Fail x",K380))</f>
        <v>Fail</v>
      </c>
      <c r="N380" t="str">
        <f t="shared" si="26"/>
        <v>Pass, Fail</v>
      </c>
    </row>
    <row r="381" spans="8:14">
      <c r="H381" s="13">
        <f t="shared" si="24"/>
        <v>2</v>
      </c>
      <c r="I381" t="str" cm="1">
        <f t="array" ref="I381">_xlfn.IFS(H381&lt;1,"No",H381=1,"Yes",H381&gt;1,_xlfn.TEXTJOIN("",TRUE,"Yes x",H381))</f>
        <v>Yes x2</v>
      </c>
      <c r="J381" s="13">
        <f t="shared" si="25"/>
        <v>1</v>
      </c>
      <c r="K381" s="13">
        <f t="shared" si="23"/>
        <v>1</v>
      </c>
      <c r="L381" s="13" t="str" cm="1">
        <f t="array" ref="L381">_xlfn.IFS(J381&lt;1,"",J381=1,"Pass",J381&gt;1,_xlfn.TEXTJOIN("",TRUE,"Pass x",J381))</f>
        <v>Pass</v>
      </c>
      <c r="M381" s="13" t="str" cm="1">
        <f t="array" ref="M381">_xlfn.IFS(K381&lt;1,"",K381=1,"Fail",K381&gt;1,_xlfn.TEXTJOIN("",TRUE,"Fail x",K381))</f>
        <v>Fail</v>
      </c>
      <c r="N381" t="str">
        <f t="shared" si="26"/>
        <v>Pass, Fail</v>
      </c>
    </row>
    <row r="382" spans="8:14">
      <c r="H382" s="13">
        <f t="shared" si="24"/>
        <v>2</v>
      </c>
      <c r="I382" t="str" cm="1">
        <f t="array" ref="I382">_xlfn.IFS(H382&lt;1,"No",H382=1,"Yes",H382&gt;1,_xlfn.TEXTJOIN("",TRUE,"Yes x",H382))</f>
        <v>Yes x2</v>
      </c>
      <c r="J382" s="13">
        <f t="shared" si="25"/>
        <v>1</v>
      </c>
      <c r="K382" s="13">
        <f t="shared" si="23"/>
        <v>1</v>
      </c>
      <c r="L382" s="13" t="str" cm="1">
        <f t="array" ref="L382">_xlfn.IFS(J382&lt;1,"",J382=1,"Pass",J382&gt;1,_xlfn.TEXTJOIN("",TRUE,"Pass x",J382))</f>
        <v>Pass</v>
      </c>
      <c r="M382" s="13" t="str" cm="1">
        <f t="array" ref="M382">_xlfn.IFS(K382&lt;1,"",K382=1,"Fail",K382&gt;1,_xlfn.TEXTJOIN("",TRUE,"Fail x",K382))</f>
        <v>Fail</v>
      </c>
      <c r="N382" t="str">
        <f t="shared" si="26"/>
        <v>Pass, Fail</v>
      </c>
    </row>
    <row r="383" spans="8:14">
      <c r="H383" s="13">
        <f t="shared" si="24"/>
        <v>2</v>
      </c>
      <c r="I383" t="str" cm="1">
        <f t="array" ref="I383">_xlfn.IFS(H383&lt;1,"No",H383=1,"Yes",H383&gt;1,_xlfn.TEXTJOIN("",TRUE,"Yes x",H383))</f>
        <v>Yes x2</v>
      </c>
      <c r="J383" s="13">
        <f t="shared" si="25"/>
        <v>1</v>
      </c>
      <c r="K383" s="13">
        <f t="shared" si="23"/>
        <v>1</v>
      </c>
      <c r="L383" s="13" t="str" cm="1">
        <f t="array" ref="L383">_xlfn.IFS(J383&lt;1,"",J383=1,"Pass",J383&gt;1,_xlfn.TEXTJOIN("",TRUE,"Pass x",J383))</f>
        <v>Pass</v>
      </c>
      <c r="M383" s="13" t="str" cm="1">
        <f t="array" ref="M383">_xlfn.IFS(K383&lt;1,"",K383=1,"Fail",K383&gt;1,_xlfn.TEXTJOIN("",TRUE,"Fail x",K383))</f>
        <v>Fail</v>
      </c>
      <c r="N383" t="str">
        <f t="shared" si="26"/>
        <v>Pass, Fail</v>
      </c>
    </row>
    <row r="384" spans="8:14">
      <c r="H384" s="13">
        <f t="shared" si="24"/>
        <v>2</v>
      </c>
      <c r="I384" t="str" cm="1">
        <f t="array" ref="I384">_xlfn.IFS(H384&lt;1,"No",H384=1,"Yes",H384&gt;1,_xlfn.TEXTJOIN("",TRUE,"Yes x",H384))</f>
        <v>Yes x2</v>
      </c>
      <c r="J384" s="13">
        <f t="shared" si="25"/>
        <v>1</v>
      </c>
      <c r="K384" s="13">
        <f t="shared" si="23"/>
        <v>1</v>
      </c>
      <c r="L384" s="13" t="str" cm="1">
        <f t="array" ref="L384">_xlfn.IFS(J384&lt;1,"",J384=1,"Pass",J384&gt;1,_xlfn.TEXTJOIN("",TRUE,"Pass x",J384))</f>
        <v>Pass</v>
      </c>
      <c r="M384" s="13" t="str" cm="1">
        <f t="array" ref="M384">_xlfn.IFS(K384&lt;1,"",K384=1,"Fail",K384&gt;1,_xlfn.TEXTJOIN("",TRUE,"Fail x",K384))</f>
        <v>Fail</v>
      </c>
      <c r="N384" t="str">
        <f t="shared" si="26"/>
        <v>Pass, Fail</v>
      </c>
    </row>
    <row r="385" spans="8:14">
      <c r="H385" s="13">
        <f t="shared" si="24"/>
        <v>2</v>
      </c>
      <c r="I385" t="str" cm="1">
        <f t="array" ref="I385">_xlfn.IFS(H385&lt;1,"No",H385=1,"Yes",H385&gt;1,_xlfn.TEXTJOIN("",TRUE,"Yes x",H385))</f>
        <v>Yes x2</v>
      </c>
      <c r="J385" s="13">
        <f t="shared" si="25"/>
        <v>1</v>
      </c>
      <c r="K385" s="13">
        <f t="shared" si="23"/>
        <v>1</v>
      </c>
      <c r="L385" s="13" t="str" cm="1">
        <f t="array" ref="L385">_xlfn.IFS(J385&lt;1,"",J385=1,"Pass",J385&gt;1,_xlfn.TEXTJOIN("",TRUE,"Pass x",J385))</f>
        <v>Pass</v>
      </c>
      <c r="M385" s="13" t="str" cm="1">
        <f t="array" ref="M385">_xlfn.IFS(K385&lt;1,"",K385=1,"Fail",K385&gt;1,_xlfn.TEXTJOIN("",TRUE,"Fail x",K385))</f>
        <v>Fail</v>
      </c>
      <c r="N385" t="str">
        <f t="shared" si="26"/>
        <v>Pass, Fail</v>
      </c>
    </row>
    <row r="386" spans="8:14">
      <c r="H386" s="13">
        <f t="shared" si="24"/>
        <v>2</v>
      </c>
      <c r="I386" t="str" cm="1">
        <f t="array" ref="I386">_xlfn.IFS(H386&lt;1,"No",H386=1,"Yes",H386&gt;1,_xlfn.TEXTJOIN("",TRUE,"Yes x",H386))</f>
        <v>Yes x2</v>
      </c>
      <c r="J386" s="13">
        <f t="shared" si="25"/>
        <v>1</v>
      </c>
      <c r="K386" s="13">
        <f t="shared" si="23"/>
        <v>1</v>
      </c>
      <c r="L386" s="13" t="str" cm="1">
        <f t="array" ref="L386">_xlfn.IFS(J386&lt;1,"",J386=1,"Pass",J386&gt;1,_xlfn.TEXTJOIN("",TRUE,"Pass x",J386))</f>
        <v>Pass</v>
      </c>
      <c r="M386" s="13" t="str" cm="1">
        <f t="array" ref="M386">_xlfn.IFS(K386&lt;1,"",K386=1,"Fail",K386&gt;1,_xlfn.TEXTJOIN("",TRUE,"Fail x",K386))</f>
        <v>Fail</v>
      </c>
      <c r="N386" t="str">
        <f t="shared" si="26"/>
        <v>Pass, Fail</v>
      </c>
    </row>
    <row r="387" spans="8:14">
      <c r="H387" s="13">
        <f t="shared" si="24"/>
        <v>2</v>
      </c>
      <c r="I387" t="str" cm="1">
        <f t="array" ref="I387">_xlfn.IFS(H387&lt;1,"No",H387=1,"Yes",H387&gt;1,_xlfn.TEXTJOIN("",TRUE,"Yes x",H387))</f>
        <v>Yes x2</v>
      </c>
      <c r="J387" s="13">
        <f t="shared" si="25"/>
        <v>1</v>
      </c>
      <c r="K387" s="13">
        <f t="shared" ref="K387:K450" si="27">IFERROR(GETPIVOTDATA("Successful / Failed",$A$1,"System serial",G387,"Successful / Failed","Failed"),0)</f>
        <v>1</v>
      </c>
      <c r="L387" s="13" t="str" cm="1">
        <f t="array" ref="L387">_xlfn.IFS(J387&lt;1,"",J387=1,"Pass",J387&gt;1,_xlfn.TEXTJOIN("",TRUE,"Pass x",J387))</f>
        <v>Pass</v>
      </c>
      <c r="M387" s="13" t="str" cm="1">
        <f t="array" ref="M387">_xlfn.IFS(K387&lt;1,"",K387=1,"Fail",K387&gt;1,_xlfn.TEXTJOIN("",TRUE,"Fail x",K387))</f>
        <v>Fail</v>
      </c>
      <c r="N387" t="str">
        <f t="shared" si="26"/>
        <v>Pass, Fail</v>
      </c>
    </row>
    <row r="388" spans="8:14">
      <c r="H388" s="13">
        <f t="shared" si="24"/>
        <v>2</v>
      </c>
      <c r="I388" t="str" cm="1">
        <f t="array" ref="I388">_xlfn.IFS(H388&lt;1,"No",H388=1,"Yes",H388&gt;1,_xlfn.TEXTJOIN("",TRUE,"Yes x",H388))</f>
        <v>Yes x2</v>
      </c>
      <c r="J388" s="13">
        <f t="shared" si="25"/>
        <v>1</v>
      </c>
      <c r="K388" s="13">
        <f t="shared" si="27"/>
        <v>1</v>
      </c>
      <c r="L388" s="13" t="str" cm="1">
        <f t="array" ref="L388">_xlfn.IFS(J388&lt;1,"",J388=1,"Pass",J388&gt;1,_xlfn.TEXTJOIN("",TRUE,"Pass x",J388))</f>
        <v>Pass</v>
      </c>
      <c r="M388" s="13" t="str" cm="1">
        <f t="array" ref="M388">_xlfn.IFS(K388&lt;1,"",K388=1,"Fail",K388&gt;1,_xlfn.TEXTJOIN("",TRUE,"Fail x",K388))</f>
        <v>Fail</v>
      </c>
      <c r="N388" t="str">
        <f t="shared" si="26"/>
        <v>Pass, Fail</v>
      </c>
    </row>
    <row r="389" spans="8:14">
      <c r="H389" s="13">
        <f t="shared" si="24"/>
        <v>2</v>
      </c>
      <c r="I389" t="str" cm="1">
        <f t="array" ref="I389">_xlfn.IFS(H389&lt;1,"No",H389=1,"Yes",H389&gt;1,_xlfn.TEXTJOIN("",TRUE,"Yes x",H389))</f>
        <v>Yes x2</v>
      </c>
      <c r="J389" s="13">
        <f t="shared" si="25"/>
        <v>1</v>
      </c>
      <c r="K389" s="13">
        <f t="shared" si="27"/>
        <v>1</v>
      </c>
      <c r="L389" s="13" t="str" cm="1">
        <f t="array" ref="L389">_xlfn.IFS(J389&lt;1,"",J389=1,"Pass",J389&gt;1,_xlfn.TEXTJOIN("",TRUE,"Pass x",J389))</f>
        <v>Pass</v>
      </c>
      <c r="M389" s="13" t="str" cm="1">
        <f t="array" ref="M389">_xlfn.IFS(K389&lt;1,"",K389=1,"Fail",K389&gt;1,_xlfn.TEXTJOIN("",TRUE,"Fail x",K389))</f>
        <v>Fail</v>
      </c>
      <c r="N389" t="str">
        <f t="shared" si="26"/>
        <v>Pass, Fail</v>
      </c>
    </row>
    <row r="390" spans="8:14">
      <c r="H390" s="13">
        <f t="shared" si="24"/>
        <v>2</v>
      </c>
      <c r="I390" t="str" cm="1">
        <f t="array" ref="I390">_xlfn.IFS(H390&lt;1,"No",H390=1,"Yes",H390&gt;1,_xlfn.TEXTJOIN("",TRUE,"Yes x",H390))</f>
        <v>Yes x2</v>
      </c>
      <c r="J390" s="13">
        <f t="shared" si="25"/>
        <v>1</v>
      </c>
      <c r="K390" s="13">
        <f t="shared" si="27"/>
        <v>1</v>
      </c>
      <c r="L390" s="13" t="str" cm="1">
        <f t="array" ref="L390">_xlfn.IFS(J390&lt;1,"",J390=1,"Pass",J390&gt;1,_xlfn.TEXTJOIN("",TRUE,"Pass x",J390))</f>
        <v>Pass</v>
      </c>
      <c r="M390" s="13" t="str" cm="1">
        <f t="array" ref="M390">_xlfn.IFS(K390&lt;1,"",K390=1,"Fail",K390&gt;1,_xlfn.TEXTJOIN("",TRUE,"Fail x",K390))</f>
        <v>Fail</v>
      </c>
      <c r="N390" t="str">
        <f t="shared" si="26"/>
        <v>Pass, Fail</v>
      </c>
    </row>
    <row r="391" spans="8:14">
      <c r="H391" s="13">
        <f t="shared" si="24"/>
        <v>2</v>
      </c>
      <c r="I391" t="str" cm="1">
        <f t="array" ref="I391">_xlfn.IFS(H391&lt;1,"No",H391=1,"Yes",H391&gt;1,_xlfn.TEXTJOIN("",TRUE,"Yes x",H391))</f>
        <v>Yes x2</v>
      </c>
      <c r="J391" s="13">
        <f t="shared" si="25"/>
        <v>1</v>
      </c>
      <c r="K391" s="13">
        <f t="shared" si="27"/>
        <v>1</v>
      </c>
      <c r="L391" s="13" t="str" cm="1">
        <f t="array" ref="L391">_xlfn.IFS(J391&lt;1,"",J391=1,"Pass",J391&gt;1,_xlfn.TEXTJOIN("",TRUE,"Pass x",J391))</f>
        <v>Pass</v>
      </c>
      <c r="M391" s="13" t="str" cm="1">
        <f t="array" ref="M391">_xlfn.IFS(K391&lt;1,"",K391=1,"Fail",K391&gt;1,_xlfn.TEXTJOIN("",TRUE,"Fail x",K391))</f>
        <v>Fail</v>
      </c>
      <c r="N391" t="str">
        <f t="shared" si="26"/>
        <v>Pass, Fail</v>
      </c>
    </row>
    <row r="392" spans="8:14">
      <c r="H392" s="13">
        <f t="shared" si="24"/>
        <v>2</v>
      </c>
      <c r="I392" t="str" cm="1">
        <f t="array" ref="I392">_xlfn.IFS(H392&lt;1,"No",H392=1,"Yes",H392&gt;1,_xlfn.TEXTJOIN("",TRUE,"Yes x",H392))</f>
        <v>Yes x2</v>
      </c>
      <c r="J392" s="13">
        <f t="shared" si="25"/>
        <v>1</v>
      </c>
      <c r="K392" s="13">
        <f t="shared" si="27"/>
        <v>1</v>
      </c>
      <c r="L392" s="13" t="str" cm="1">
        <f t="array" ref="L392">_xlfn.IFS(J392&lt;1,"",J392=1,"Pass",J392&gt;1,_xlfn.TEXTJOIN("",TRUE,"Pass x",J392))</f>
        <v>Pass</v>
      </c>
      <c r="M392" s="13" t="str" cm="1">
        <f t="array" ref="M392">_xlfn.IFS(K392&lt;1,"",K392=1,"Fail",K392&gt;1,_xlfn.TEXTJOIN("",TRUE,"Fail x",K392))</f>
        <v>Fail</v>
      </c>
      <c r="N392" t="str">
        <f t="shared" si="26"/>
        <v>Pass, Fail</v>
      </c>
    </row>
    <row r="393" spans="8:14">
      <c r="H393" s="13">
        <f t="shared" si="24"/>
        <v>2</v>
      </c>
      <c r="I393" t="str" cm="1">
        <f t="array" ref="I393">_xlfn.IFS(H393&lt;1,"No",H393=1,"Yes",H393&gt;1,_xlfn.TEXTJOIN("",TRUE,"Yes x",H393))</f>
        <v>Yes x2</v>
      </c>
      <c r="J393" s="13">
        <f t="shared" si="25"/>
        <v>1</v>
      </c>
      <c r="K393" s="13">
        <f t="shared" si="27"/>
        <v>1</v>
      </c>
      <c r="L393" s="13" t="str" cm="1">
        <f t="array" ref="L393">_xlfn.IFS(J393&lt;1,"",J393=1,"Pass",J393&gt;1,_xlfn.TEXTJOIN("",TRUE,"Pass x",J393))</f>
        <v>Pass</v>
      </c>
      <c r="M393" s="13" t="str" cm="1">
        <f t="array" ref="M393">_xlfn.IFS(K393&lt;1,"",K393=1,"Fail",K393&gt;1,_xlfn.TEXTJOIN("",TRUE,"Fail x",K393))</f>
        <v>Fail</v>
      </c>
      <c r="N393" t="str">
        <f t="shared" si="26"/>
        <v>Pass, Fail</v>
      </c>
    </row>
    <row r="394" spans="8:14">
      <c r="H394" s="13">
        <f t="shared" si="24"/>
        <v>2</v>
      </c>
      <c r="I394" t="str" cm="1">
        <f t="array" ref="I394">_xlfn.IFS(H394&lt;1,"No",H394=1,"Yes",H394&gt;1,_xlfn.TEXTJOIN("",TRUE,"Yes x",H394))</f>
        <v>Yes x2</v>
      </c>
      <c r="J394" s="13">
        <f t="shared" si="25"/>
        <v>1</v>
      </c>
      <c r="K394" s="13">
        <f t="shared" si="27"/>
        <v>1</v>
      </c>
      <c r="L394" s="13" t="str" cm="1">
        <f t="array" ref="L394">_xlfn.IFS(J394&lt;1,"",J394=1,"Pass",J394&gt;1,_xlfn.TEXTJOIN("",TRUE,"Pass x",J394))</f>
        <v>Pass</v>
      </c>
      <c r="M394" s="13" t="str" cm="1">
        <f t="array" ref="M394">_xlfn.IFS(K394&lt;1,"",K394=1,"Fail",K394&gt;1,_xlfn.TEXTJOIN("",TRUE,"Fail x",K394))</f>
        <v>Fail</v>
      </c>
      <c r="N394" t="str">
        <f t="shared" si="26"/>
        <v>Pass, Fail</v>
      </c>
    </row>
    <row r="395" spans="8:14">
      <c r="H395" s="13">
        <f t="shared" si="24"/>
        <v>2</v>
      </c>
      <c r="I395" t="str" cm="1">
        <f t="array" ref="I395">_xlfn.IFS(H395&lt;1,"No",H395=1,"Yes",H395&gt;1,_xlfn.TEXTJOIN("",TRUE,"Yes x",H395))</f>
        <v>Yes x2</v>
      </c>
      <c r="J395" s="13">
        <f t="shared" si="25"/>
        <v>1</v>
      </c>
      <c r="K395" s="13">
        <f t="shared" si="27"/>
        <v>1</v>
      </c>
      <c r="L395" s="13" t="str" cm="1">
        <f t="array" ref="L395">_xlfn.IFS(J395&lt;1,"",J395=1,"Pass",J395&gt;1,_xlfn.TEXTJOIN("",TRUE,"Pass x",J395))</f>
        <v>Pass</v>
      </c>
      <c r="M395" s="13" t="str" cm="1">
        <f t="array" ref="M395">_xlfn.IFS(K395&lt;1,"",K395=1,"Fail",K395&gt;1,_xlfn.TEXTJOIN("",TRUE,"Fail x",K395))</f>
        <v>Fail</v>
      </c>
      <c r="N395" t="str">
        <f t="shared" si="26"/>
        <v>Pass, Fail</v>
      </c>
    </row>
    <row r="396" spans="8:14">
      <c r="H396" s="13">
        <f t="shared" si="24"/>
        <v>2</v>
      </c>
      <c r="I396" t="str" cm="1">
        <f t="array" ref="I396">_xlfn.IFS(H396&lt;1,"No",H396=1,"Yes",H396&gt;1,_xlfn.TEXTJOIN("",TRUE,"Yes x",H396))</f>
        <v>Yes x2</v>
      </c>
      <c r="J396" s="13">
        <f t="shared" si="25"/>
        <v>1</v>
      </c>
      <c r="K396" s="13">
        <f t="shared" si="27"/>
        <v>1</v>
      </c>
      <c r="L396" s="13" t="str" cm="1">
        <f t="array" ref="L396">_xlfn.IFS(J396&lt;1,"",J396=1,"Pass",J396&gt;1,_xlfn.TEXTJOIN("",TRUE,"Pass x",J396))</f>
        <v>Pass</v>
      </c>
      <c r="M396" s="13" t="str" cm="1">
        <f t="array" ref="M396">_xlfn.IFS(K396&lt;1,"",K396=1,"Fail",K396&gt;1,_xlfn.TEXTJOIN("",TRUE,"Fail x",K396))</f>
        <v>Fail</v>
      </c>
      <c r="N396" t="str">
        <f t="shared" si="26"/>
        <v>Pass, Fail</v>
      </c>
    </row>
    <row r="397" spans="8:14">
      <c r="H397" s="13">
        <f t="shared" si="24"/>
        <v>2</v>
      </c>
      <c r="I397" t="str" cm="1">
        <f t="array" ref="I397">_xlfn.IFS(H397&lt;1,"No",H397=1,"Yes",H397&gt;1,_xlfn.TEXTJOIN("",TRUE,"Yes x",H397))</f>
        <v>Yes x2</v>
      </c>
      <c r="J397" s="13">
        <f t="shared" si="25"/>
        <v>1</v>
      </c>
      <c r="K397" s="13">
        <f t="shared" si="27"/>
        <v>1</v>
      </c>
      <c r="L397" s="13" t="str" cm="1">
        <f t="array" ref="L397">_xlfn.IFS(J397&lt;1,"",J397=1,"Pass",J397&gt;1,_xlfn.TEXTJOIN("",TRUE,"Pass x",J397))</f>
        <v>Pass</v>
      </c>
      <c r="M397" s="13" t="str" cm="1">
        <f t="array" ref="M397">_xlfn.IFS(K397&lt;1,"",K397=1,"Fail",K397&gt;1,_xlfn.TEXTJOIN("",TRUE,"Fail x",K397))</f>
        <v>Fail</v>
      </c>
      <c r="N397" t="str">
        <f t="shared" si="26"/>
        <v>Pass, Fail</v>
      </c>
    </row>
    <row r="398" spans="8:14">
      <c r="H398" s="13">
        <f t="shared" si="24"/>
        <v>2</v>
      </c>
      <c r="I398" t="str" cm="1">
        <f t="array" ref="I398">_xlfn.IFS(H398&lt;1,"No",H398=1,"Yes",H398&gt;1,_xlfn.TEXTJOIN("",TRUE,"Yes x",H398))</f>
        <v>Yes x2</v>
      </c>
      <c r="J398" s="13">
        <f t="shared" si="25"/>
        <v>1</v>
      </c>
      <c r="K398" s="13">
        <f t="shared" si="27"/>
        <v>1</v>
      </c>
      <c r="L398" s="13" t="str" cm="1">
        <f t="array" ref="L398">_xlfn.IFS(J398&lt;1,"",J398=1,"Pass",J398&gt;1,_xlfn.TEXTJOIN("",TRUE,"Pass x",J398))</f>
        <v>Pass</v>
      </c>
      <c r="M398" s="13" t="str" cm="1">
        <f t="array" ref="M398">_xlfn.IFS(K398&lt;1,"",K398=1,"Fail",K398&gt;1,_xlfn.TEXTJOIN("",TRUE,"Fail x",K398))</f>
        <v>Fail</v>
      </c>
      <c r="N398" t="str">
        <f t="shared" si="26"/>
        <v>Pass, Fail</v>
      </c>
    </row>
    <row r="399" spans="8:14">
      <c r="H399" s="13">
        <f t="shared" si="24"/>
        <v>2</v>
      </c>
      <c r="I399" t="str" cm="1">
        <f t="array" ref="I399">_xlfn.IFS(H399&lt;1,"No",H399=1,"Yes",H399&gt;1,_xlfn.TEXTJOIN("",TRUE,"Yes x",H399))</f>
        <v>Yes x2</v>
      </c>
      <c r="J399" s="13">
        <f t="shared" si="25"/>
        <v>1</v>
      </c>
      <c r="K399" s="13">
        <f t="shared" si="27"/>
        <v>1</v>
      </c>
      <c r="L399" s="13" t="str" cm="1">
        <f t="array" ref="L399">_xlfn.IFS(J399&lt;1,"",J399=1,"Pass",J399&gt;1,_xlfn.TEXTJOIN("",TRUE,"Pass x",J399))</f>
        <v>Pass</v>
      </c>
      <c r="M399" s="13" t="str" cm="1">
        <f t="array" ref="M399">_xlfn.IFS(K399&lt;1,"",K399=1,"Fail",K399&gt;1,_xlfn.TEXTJOIN("",TRUE,"Fail x",K399))</f>
        <v>Fail</v>
      </c>
      <c r="N399" t="str">
        <f t="shared" si="26"/>
        <v>Pass, Fail</v>
      </c>
    </row>
    <row r="400" spans="8:14">
      <c r="H400" s="13">
        <f t="shared" si="24"/>
        <v>2</v>
      </c>
      <c r="I400" t="str" cm="1">
        <f t="array" ref="I400">_xlfn.IFS(H400&lt;1,"No",H400=1,"Yes",H400&gt;1,_xlfn.TEXTJOIN("",TRUE,"Yes x",H400))</f>
        <v>Yes x2</v>
      </c>
      <c r="J400" s="13">
        <f t="shared" si="25"/>
        <v>1</v>
      </c>
      <c r="K400" s="13">
        <f t="shared" si="27"/>
        <v>1</v>
      </c>
      <c r="L400" s="13" t="str" cm="1">
        <f t="array" ref="L400">_xlfn.IFS(J400&lt;1,"",J400=1,"Pass",J400&gt;1,_xlfn.TEXTJOIN("",TRUE,"Pass x",J400))</f>
        <v>Pass</v>
      </c>
      <c r="M400" s="13" t="str" cm="1">
        <f t="array" ref="M400">_xlfn.IFS(K400&lt;1,"",K400=1,"Fail",K400&gt;1,_xlfn.TEXTJOIN("",TRUE,"Fail x",K400))</f>
        <v>Fail</v>
      </c>
      <c r="N400" t="str">
        <f t="shared" si="26"/>
        <v>Pass, Fail</v>
      </c>
    </row>
    <row r="401" spans="8:14">
      <c r="H401" s="13">
        <f t="shared" si="24"/>
        <v>2</v>
      </c>
      <c r="I401" t="str" cm="1">
        <f t="array" ref="I401">_xlfn.IFS(H401&lt;1,"No",H401=1,"Yes",H401&gt;1,_xlfn.TEXTJOIN("",TRUE,"Yes x",H401))</f>
        <v>Yes x2</v>
      </c>
      <c r="J401" s="13">
        <f t="shared" si="25"/>
        <v>1</v>
      </c>
      <c r="K401" s="13">
        <f t="shared" si="27"/>
        <v>1</v>
      </c>
      <c r="L401" s="13" t="str" cm="1">
        <f t="array" ref="L401">_xlfn.IFS(J401&lt;1,"",J401=1,"Pass",J401&gt;1,_xlfn.TEXTJOIN("",TRUE,"Pass x",J401))</f>
        <v>Pass</v>
      </c>
      <c r="M401" s="13" t="str" cm="1">
        <f t="array" ref="M401">_xlfn.IFS(K401&lt;1,"",K401=1,"Fail",K401&gt;1,_xlfn.TEXTJOIN("",TRUE,"Fail x",K401))</f>
        <v>Fail</v>
      </c>
      <c r="N401" t="str">
        <f t="shared" si="26"/>
        <v>Pass, Fail</v>
      </c>
    </row>
    <row r="402" spans="8:14">
      <c r="H402" s="13">
        <f t="shared" si="24"/>
        <v>2</v>
      </c>
      <c r="I402" t="str" cm="1">
        <f t="array" ref="I402">_xlfn.IFS(H402&lt;1,"No",H402=1,"Yes",H402&gt;1,_xlfn.TEXTJOIN("",TRUE,"Yes x",H402))</f>
        <v>Yes x2</v>
      </c>
      <c r="J402" s="13">
        <f t="shared" si="25"/>
        <v>1</v>
      </c>
      <c r="K402" s="13">
        <f t="shared" si="27"/>
        <v>1</v>
      </c>
      <c r="L402" s="13" t="str" cm="1">
        <f t="array" ref="L402">_xlfn.IFS(J402&lt;1,"",J402=1,"Pass",J402&gt;1,_xlfn.TEXTJOIN("",TRUE,"Pass x",J402))</f>
        <v>Pass</v>
      </c>
      <c r="M402" s="13" t="str" cm="1">
        <f t="array" ref="M402">_xlfn.IFS(K402&lt;1,"",K402=1,"Fail",K402&gt;1,_xlfn.TEXTJOIN("",TRUE,"Fail x",K402))</f>
        <v>Fail</v>
      </c>
      <c r="N402" t="str">
        <f t="shared" si="26"/>
        <v>Pass, Fail</v>
      </c>
    </row>
    <row r="403" spans="8:14">
      <c r="H403" s="13">
        <f t="shared" si="24"/>
        <v>2</v>
      </c>
      <c r="I403" t="str" cm="1">
        <f t="array" ref="I403">_xlfn.IFS(H403&lt;1,"No",H403=1,"Yes",H403&gt;1,_xlfn.TEXTJOIN("",TRUE,"Yes x",H403))</f>
        <v>Yes x2</v>
      </c>
      <c r="J403" s="13">
        <f t="shared" si="25"/>
        <v>1</v>
      </c>
      <c r="K403" s="13">
        <f t="shared" si="27"/>
        <v>1</v>
      </c>
      <c r="L403" s="13" t="str" cm="1">
        <f t="array" ref="L403">_xlfn.IFS(J403&lt;1,"",J403=1,"Pass",J403&gt;1,_xlfn.TEXTJOIN("",TRUE,"Pass x",J403))</f>
        <v>Pass</v>
      </c>
      <c r="M403" s="13" t="str" cm="1">
        <f t="array" ref="M403">_xlfn.IFS(K403&lt;1,"",K403=1,"Fail",K403&gt;1,_xlfn.TEXTJOIN("",TRUE,"Fail x",K403))</f>
        <v>Fail</v>
      </c>
      <c r="N403" t="str">
        <f t="shared" si="26"/>
        <v>Pass, Fail</v>
      </c>
    </row>
    <row r="404" spans="8:14">
      <c r="H404" s="13">
        <f t="shared" si="24"/>
        <v>2</v>
      </c>
      <c r="I404" t="str" cm="1">
        <f t="array" ref="I404">_xlfn.IFS(H404&lt;1,"No",H404=1,"Yes",H404&gt;1,_xlfn.TEXTJOIN("",TRUE,"Yes x",H404))</f>
        <v>Yes x2</v>
      </c>
      <c r="J404" s="13">
        <f t="shared" si="25"/>
        <v>1</v>
      </c>
      <c r="K404" s="13">
        <f t="shared" si="27"/>
        <v>1</v>
      </c>
      <c r="L404" s="13" t="str" cm="1">
        <f t="array" ref="L404">_xlfn.IFS(J404&lt;1,"",J404=1,"Pass",J404&gt;1,_xlfn.TEXTJOIN("",TRUE,"Pass x",J404))</f>
        <v>Pass</v>
      </c>
      <c r="M404" s="13" t="str" cm="1">
        <f t="array" ref="M404">_xlfn.IFS(K404&lt;1,"",K404=1,"Fail",K404&gt;1,_xlfn.TEXTJOIN("",TRUE,"Fail x",K404))</f>
        <v>Fail</v>
      </c>
      <c r="N404" t="str">
        <f t="shared" si="26"/>
        <v>Pass, Fail</v>
      </c>
    </row>
    <row r="405" spans="8:14">
      <c r="H405" s="13">
        <f t="shared" si="24"/>
        <v>2</v>
      </c>
      <c r="I405" t="str" cm="1">
        <f t="array" ref="I405">_xlfn.IFS(H405&lt;1,"No",H405=1,"Yes",H405&gt;1,_xlfn.TEXTJOIN("",TRUE,"Yes x",H405))</f>
        <v>Yes x2</v>
      </c>
      <c r="J405" s="13">
        <f t="shared" si="25"/>
        <v>1</v>
      </c>
      <c r="K405" s="13">
        <f t="shared" si="27"/>
        <v>1</v>
      </c>
      <c r="L405" s="13" t="str" cm="1">
        <f t="array" ref="L405">_xlfn.IFS(J405&lt;1,"",J405=1,"Pass",J405&gt;1,_xlfn.TEXTJOIN("",TRUE,"Pass x",J405))</f>
        <v>Pass</v>
      </c>
      <c r="M405" s="13" t="str" cm="1">
        <f t="array" ref="M405">_xlfn.IFS(K405&lt;1,"",K405=1,"Fail",K405&gt;1,_xlfn.TEXTJOIN("",TRUE,"Fail x",K405))</f>
        <v>Fail</v>
      </c>
      <c r="N405" t="str">
        <f t="shared" si="26"/>
        <v>Pass, Fail</v>
      </c>
    </row>
    <row r="406" spans="8:14">
      <c r="H406" s="13">
        <f t="shared" si="24"/>
        <v>2</v>
      </c>
      <c r="I406" t="str" cm="1">
        <f t="array" ref="I406">_xlfn.IFS(H406&lt;1,"No",H406=1,"Yes",H406&gt;1,_xlfn.TEXTJOIN("",TRUE,"Yes x",H406))</f>
        <v>Yes x2</v>
      </c>
      <c r="J406" s="13">
        <f t="shared" si="25"/>
        <v>1</v>
      </c>
      <c r="K406" s="13">
        <f t="shared" si="27"/>
        <v>1</v>
      </c>
      <c r="L406" s="13" t="str" cm="1">
        <f t="array" ref="L406">_xlfn.IFS(J406&lt;1,"",J406=1,"Pass",J406&gt;1,_xlfn.TEXTJOIN("",TRUE,"Pass x",J406))</f>
        <v>Pass</v>
      </c>
      <c r="M406" s="13" t="str" cm="1">
        <f t="array" ref="M406">_xlfn.IFS(K406&lt;1,"",K406=1,"Fail",K406&gt;1,_xlfn.TEXTJOIN("",TRUE,"Fail x",K406))</f>
        <v>Fail</v>
      </c>
      <c r="N406" t="str">
        <f t="shared" si="26"/>
        <v>Pass, Fail</v>
      </c>
    </row>
    <row r="407" spans="8:14">
      <c r="H407" s="13">
        <f t="shared" si="24"/>
        <v>2</v>
      </c>
      <c r="I407" t="str" cm="1">
        <f t="array" ref="I407">_xlfn.IFS(H407&lt;1,"No",H407=1,"Yes",H407&gt;1,_xlfn.TEXTJOIN("",TRUE,"Yes x",H407))</f>
        <v>Yes x2</v>
      </c>
      <c r="J407" s="13">
        <f t="shared" si="25"/>
        <v>1</v>
      </c>
      <c r="K407" s="13">
        <f t="shared" si="27"/>
        <v>1</v>
      </c>
      <c r="L407" s="13" t="str" cm="1">
        <f t="array" ref="L407">_xlfn.IFS(J407&lt;1,"",J407=1,"Pass",J407&gt;1,_xlfn.TEXTJOIN("",TRUE,"Pass x",J407))</f>
        <v>Pass</v>
      </c>
      <c r="M407" s="13" t="str" cm="1">
        <f t="array" ref="M407">_xlfn.IFS(K407&lt;1,"",K407=1,"Fail",K407&gt;1,_xlfn.TEXTJOIN("",TRUE,"Fail x",K407))</f>
        <v>Fail</v>
      </c>
      <c r="N407" t="str">
        <f t="shared" si="26"/>
        <v>Pass, Fail</v>
      </c>
    </row>
    <row r="408" spans="8:14">
      <c r="H408" s="13">
        <f t="shared" si="24"/>
        <v>2</v>
      </c>
      <c r="I408" t="str" cm="1">
        <f t="array" ref="I408">_xlfn.IFS(H408&lt;1,"No",H408=1,"Yes",H408&gt;1,_xlfn.TEXTJOIN("",TRUE,"Yes x",H408))</f>
        <v>Yes x2</v>
      </c>
      <c r="J408" s="13">
        <f t="shared" si="25"/>
        <v>1</v>
      </c>
      <c r="K408" s="13">
        <f t="shared" si="27"/>
        <v>1</v>
      </c>
      <c r="L408" s="13" t="str" cm="1">
        <f t="array" ref="L408">_xlfn.IFS(J408&lt;1,"",J408=1,"Pass",J408&gt;1,_xlfn.TEXTJOIN("",TRUE,"Pass x",J408))</f>
        <v>Pass</v>
      </c>
      <c r="M408" s="13" t="str" cm="1">
        <f t="array" ref="M408">_xlfn.IFS(K408&lt;1,"",K408=1,"Fail",K408&gt;1,_xlfn.TEXTJOIN("",TRUE,"Fail x",K408))</f>
        <v>Fail</v>
      </c>
      <c r="N408" t="str">
        <f t="shared" si="26"/>
        <v>Pass, Fail</v>
      </c>
    </row>
    <row r="409" spans="8:14">
      <c r="H409" s="13">
        <f t="shared" si="24"/>
        <v>2</v>
      </c>
      <c r="I409" t="str" cm="1">
        <f t="array" ref="I409">_xlfn.IFS(H409&lt;1,"No",H409=1,"Yes",H409&gt;1,_xlfn.TEXTJOIN("",TRUE,"Yes x",H409))</f>
        <v>Yes x2</v>
      </c>
      <c r="J409" s="13">
        <f t="shared" si="25"/>
        <v>1</v>
      </c>
      <c r="K409" s="13">
        <f t="shared" si="27"/>
        <v>1</v>
      </c>
      <c r="L409" s="13" t="str" cm="1">
        <f t="array" ref="L409">_xlfn.IFS(J409&lt;1,"",J409=1,"Pass",J409&gt;1,_xlfn.TEXTJOIN("",TRUE,"Pass x",J409))</f>
        <v>Pass</v>
      </c>
      <c r="M409" s="13" t="str" cm="1">
        <f t="array" ref="M409">_xlfn.IFS(K409&lt;1,"",K409=1,"Fail",K409&gt;1,_xlfn.TEXTJOIN("",TRUE,"Fail x",K409))</f>
        <v>Fail</v>
      </c>
      <c r="N409" t="str">
        <f t="shared" si="26"/>
        <v>Pass, Fail</v>
      </c>
    </row>
    <row r="410" spans="8:14">
      <c r="H410" s="13">
        <f t="shared" si="24"/>
        <v>2</v>
      </c>
      <c r="I410" t="str" cm="1">
        <f t="array" ref="I410">_xlfn.IFS(H410&lt;1,"No",H410=1,"Yes",H410&gt;1,_xlfn.TEXTJOIN("",TRUE,"Yes x",H410))</f>
        <v>Yes x2</v>
      </c>
      <c r="J410" s="13">
        <f t="shared" si="25"/>
        <v>1</v>
      </c>
      <c r="K410" s="13">
        <f t="shared" si="27"/>
        <v>1</v>
      </c>
      <c r="L410" s="13" t="str" cm="1">
        <f t="array" ref="L410">_xlfn.IFS(J410&lt;1,"",J410=1,"Pass",J410&gt;1,_xlfn.TEXTJOIN("",TRUE,"Pass x",J410))</f>
        <v>Pass</v>
      </c>
      <c r="M410" s="13" t="str" cm="1">
        <f t="array" ref="M410">_xlfn.IFS(K410&lt;1,"",K410=1,"Fail",K410&gt;1,_xlfn.TEXTJOIN("",TRUE,"Fail x",K410))</f>
        <v>Fail</v>
      </c>
      <c r="N410" t="str">
        <f t="shared" si="26"/>
        <v>Pass, Fail</v>
      </c>
    </row>
    <row r="411" spans="8:14">
      <c r="H411" s="13">
        <f t="shared" si="24"/>
        <v>2</v>
      </c>
      <c r="I411" t="str" cm="1">
        <f t="array" ref="I411">_xlfn.IFS(H411&lt;1,"No",H411=1,"Yes",H411&gt;1,_xlfn.TEXTJOIN("",TRUE,"Yes x",H411))</f>
        <v>Yes x2</v>
      </c>
      <c r="J411" s="13">
        <f t="shared" si="25"/>
        <v>1</v>
      </c>
      <c r="K411" s="13">
        <f t="shared" si="27"/>
        <v>1</v>
      </c>
      <c r="L411" s="13" t="str" cm="1">
        <f t="array" ref="L411">_xlfn.IFS(J411&lt;1,"",J411=1,"Pass",J411&gt;1,_xlfn.TEXTJOIN("",TRUE,"Pass x",J411))</f>
        <v>Pass</v>
      </c>
      <c r="M411" s="13" t="str" cm="1">
        <f t="array" ref="M411">_xlfn.IFS(K411&lt;1,"",K411=1,"Fail",K411&gt;1,_xlfn.TEXTJOIN("",TRUE,"Fail x",K411))</f>
        <v>Fail</v>
      </c>
      <c r="N411" t="str">
        <f t="shared" si="26"/>
        <v>Pass, Fail</v>
      </c>
    </row>
    <row r="412" spans="8:14">
      <c r="H412" s="13">
        <f t="shared" si="24"/>
        <v>2</v>
      </c>
      <c r="I412" t="str" cm="1">
        <f t="array" ref="I412">_xlfn.IFS(H412&lt;1,"No",H412=1,"Yes",H412&gt;1,_xlfn.TEXTJOIN("",TRUE,"Yes x",H412))</f>
        <v>Yes x2</v>
      </c>
      <c r="J412" s="13">
        <f t="shared" si="25"/>
        <v>1</v>
      </c>
      <c r="K412" s="13">
        <f t="shared" si="27"/>
        <v>1</v>
      </c>
      <c r="L412" s="13" t="str" cm="1">
        <f t="array" ref="L412">_xlfn.IFS(J412&lt;1,"",J412=1,"Pass",J412&gt;1,_xlfn.TEXTJOIN("",TRUE,"Pass x",J412))</f>
        <v>Pass</v>
      </c>
      <c r="M412" s="13" t="str" cm="1">
        <f t="array" ref="M412">_xlfn.IFS(K412&lt;1,"",K412=1,"Fail",K412&gt;1,_xlfn.TEXTJOIN("",TRUE,"Fail x",K412))</f>
        <v>Fail</v>
      </c>
      <c r="N412" t="str">
        <f t="shared" si="26"/>
        <v>Pass, Fail</v>
      </c>
    </row>
    <row r="413" spans="8:14">
      <c r="H413" s="13">
        <f t="shared" si="24"/>
        <v>2</v>
      </c>
      <c r="I413" t="str" cm="1">
        <f t="array" ref="I413">_xlfn.IFS(H413&lt;1,"No",H413=1,"Yes",H413&gt;1,_xlfn.TEXTJOIN("",TRUE,"Yes x",H413))</f>
        <v>Yes x2</v>
      </c>
      <c r="J413" s="13">
        <f t="shared" si="25"/>
        <v>1</v>
      </c>
      <c r="K413" s="13">
        <f t="shared" si="27"/>
        <v>1</v>
      </c>
      <c r="L413" s="13" t="str" cm="1">
        <f t="array" ref="L413">_xlfn.IFS(J413&lt;1,"",J413=1,"Pass",J413&gt;1,_xlfn.TEXTJOIN("",TRUE,"Pass x",J413))</f>
        <v>Pass</v>
      </c>
      <c r="M413" s="13" t="str" cm="1">
        <f t="array" ref="M413">_xlfn.IFS(K413&lt;1,"",K413=1,"Fail",K413&gt;1,_xlfn.TEXTJOIN("",TRUE,"Fail x",K413))</f>
        <v>Fail</v>
      </c>
      <c r="N413" t="str">
        <f t="shared" si="26"/>
        <v>Pass, Fail</v>
      </c>
    </row>
    <row r="414" spans="8:14">
      <c r="H414" s="13">
        <f t="shared" si="24"/>
        <v>2</v>
      </c>
      <c r="I414" t="str" cm="1">
        <f t="array" ref="I414">_xlfn.IFS(H414&lt;1,"No",H414=1,"Yes",H414&gt;1,_xlfn.TEXTJOIN("",TRUE,"Yes x",H414))</f>
        <v>Yes x2</v>
      </c>
      <c r="J414" s="13">
        <f t="shared" si="25"/>
        <v>1</v>
      </c>
      <c r="K414" s="13">
        <f t="shared" si="27"/>
        <v>1</v>
      </c>
      <c r="L414" s="13" t="str" cm="1">
        <f t="array" ref="L414">_xlfn.IFS(J414&lt;1,"",J414=1,"Pass",J414&gt;1,_xlfn.TEXTJOIN("",TRUE,"Pass x",J414))</f>
        <v>Pass</v>
      </c>
      <c r="M414" s="13" t="str" cm="1">
        <f t="array" ref="M414">_xlfn.IFS(K414&lt;1,"",K414=1,"Fail",K414&gt;1,_xlfn.TEXTJOIN("",TRUE,"Fail x",K414))</f>
        <v>Fail</v>
      </c>
      <c r="N414" t="str">
        <f t="shared" si="26"/>
        <v>Pass, Fail</v>
      </c>
    </row>
    <row r="415" spans="8:14">
      <c r="H415" s="13">
        <f t="shared" si="24"/>
        <v>2</v>
      </c>
      <c r="I415" t="str" cm="1">
        <f t="array" ref="I415">_xlfn.IFS(H415&lt;1,"No",H415=1,"Yes",H415&gt;1,_xlfn.TEXTJOIN("",TRUE,"Yes x",H415))</f>
        <v>Yes x2</v>
      </c>
      <c r="J415" s="13">
        <f t="shared" si="25"/>
        <v>1</v>
      </c>
      <c r="K415" s="13">
        <f t="shared" si="27"/>
        <v>1</v>
      </c>
      <c r="L415" s="13" t="str" cm="1">
        <f t="array" ref="L415">_xlfn.IFS(J415&lt;1,"",J415=1,"Pass",J415&gt;1,_xlfn.TEXTJOIN("",TRUE,"Pass x",J415))</f>
        <v>Pass</v>
      </c>
      <c r="M415" s="13" t="str" cm="1">
        <f t="array" ref="M415">_xlfn.IFS(K415&lt;1,"",K415=1,"Fail",K415&gt;1,_xlfn.TEXTJOIN("",TRUE,"Fail x",K415))</f>
        <v>Fail</v>
      </c>
      <c r="N415" t="str">
        <f t="shared" si="26"/>
        <v>Pass, Fail</v>
      </c>
    </row>
    <row r="416" spans="8:14">
      <c r="H416" s="13">
        <f t="shared" si="24"/>
        <v>2</v>
      </c>
      <c r="I416" t="str" cm="1">
        <f t="array" ref="I416">_xlfn.IFS(H416&lt;1,"No",H416=1,"Yes",H416&gt;1,_xlfn.TEXTJOIN("",TRUE,"Yes x",H416))</f>
        <v>Yes x2</v>
      </c>
      <c r="J416" s="13">
        <f t="shared" si="25"/>
        <v>1</v>
      </c>
      <c r="K416" s="13">
        <f t="shared" si="27"/>
        <v>1</v>
      </c>
      <c r="L416" s="13" t="str" cm="1">
        <f t="array" ref="L416">_xlfn.IFS(J416&lt;1,"",J416=1,"Pass",J416&gt;1,_xlfn.TEXTJOIN("",TRUE,"Pass x",J416))</f>
        <v>Pass</v>
      </c>
      <c r="M416" s="13" t="str" cm="1">
        <f t="array" ref="M416">_xlfn.IFS(K416&lt;1,"",K416=1,"Fail",K416&gt;1,_xlfn.TEXTJOIN("",TRUE,"Fail x",K416))</f>
        <v>Fail</v>
      </c>
      <c r="N416" t="str">
        <f t="shared" si="26"/>
        <v>Pass, Fail</v>
      </c>
    </row>
    <row r="417" spans="8:14">
      <c r="H417" s="13">
        <f t="shared" si="24"/>
        <v>2</v>
      </c>
      <c r="I417" t="str" cm="1">
        <f t="array" ref="I417">_xlfn.IFS(H417&lt;1,"No",H417=1,"Yes",H417&gt;1,_xlfn.TEXTJOIN("",TRUE,"Yes x",H417))</f>
        <v>Yes x2</v>
      </c>
      <c r="J417" s="13">
        <f t="shared" si="25"/>
        <v>1</v>
      </c>
      <c r="K417" s="13">
        <f t="shared" si="27"/>
        <v>1</v>
      </c>
      <c r="L417" s="13" t="str" cm="1">
        <f t="array" ref="L417">_xlfn.IFS(J417&lt;1,"",J417=1,"Pass",J417&gt;1,_xlfn.TEXTJOIN("",TRUE,"Pass x",J417))</f>
        <v>Pass</v>
      </c>
      <c r="M417" s="13" t="str" cm="1">
        <f t="array" ref="M417">_xlfn.IFS(K417&lt;1,"",K417=1,"Fail",K417&gt;1,_xlfn.TEXTJOIN("",TRUE,"Fail x",K417))</f>
        <v>Fail</v>
      </c>
      <c r="N417" t="str">
        <f t="shared" si="26"/>
        <v>Pass, Fail</v>
      </c>
    </row>
    <row r="418" spans="8:14">
      <c r="H418" s="13">
        <f t="shared" si="24"/>
        <v>2</v>
      </c>
      <c r="I418" t="str" cm="1">
        <f t="array" ref="I418">_xlfn.IFS(H418&lt;1,"No",H418=1,"Yes",H418&gt;1,_xlfn.TEXTJOIN("",TRUE,"Yes x",H418))</f>
        <v>Yes x2</v>
      </c>
      <c r="J418" s="13">
        <f t="shared" si="25"/>
        <v>1</v>
      </c>
      <c r="K418" s="13">
        <f t="shared" si="27"/>
        <v>1</v>
      </c>
      <c r="L418" s="13" t="str" cm="1">
        <f t="array" ref="L418">_xlfn.IFS(J418&lt;1,"",J418=1,"Pass",J418&gt;1,_xlfn.TEXTJOIN("",TRUE,"Pass x",J418))</f>
        <v>Pass</v>
      </c>
      <c r="M418" s="13" t="str" cm="1">
        <f t="array" ref="M418">_xlfn.IFS(K418&lt;1,"",K418=1,"Fail",K418&gt;1,_xlfn.TEXTJOIN("",TRUE,"Fail x",K418))</f>
        <v>Fail</v>
      </c>
      <c r="N418" t="str">
        <f t="shared" si="26"/>
        <v>Pass, Fail</v>
      </c>
    </row>
    <row r="419" spans="8:14">
      <c r="H419" s="13">
        <f t="shared" si="24"/>
        <v>2</v>
      </c>
      <c r="I419" t="str" cm="1">
        <f t="array" ref="I419">_xlfn.IFS(H419&lt;1,"No",H419=1,"Yes",H419&gt;1,_xlfn.TEXTJOIN("",TRUE,"Yes x",H419))</f>
        <v>Yes x2</v>
      </c>
      <c r="J419" s="13">
        <f t="shared" si="25"/>
        <v>1</v>
      </c>
      <c r="K419" s="13">
        <f t="shared" si="27"/>
        <v>1</v>
      </c>
      <c r="L419" s="13" t="str" cm="1">
        <f t="array" ref="L419">_xlfn.IFS(J419&lt;1,"",J419=1,"Pass",J419&gt;1,_xlfn.TEXTJOIN("",TRUE,"Pass x",J419))</f>
        <v>Pass</v>
      </c>
      <c r="M419" s="13" t="str" cm="1">
        <f t="array" ref="M419">_xlfn.IFS(K419&lt;1,"",K419=1,"Fail",K419&gt;1,_xlfn.TEXTJOIN("",TRUE,"Fail x",K419))</f>
        <v>Fail</v>
      </c>
      <c r="N419" t="str">
        <f t="shared" si="26"/>
        <v>Pass, Fail</v>
      </c>
    </row>
    <row r="420" spans="8:14">
      <c r="H420" s="13">
        <f t="shared" ref="H420:H423" si="28">IFERROR(GETPIVOTDATA("Successful / Failed",$A$1,"System serial",G420),0)</f>
        <v>2</v>
      </c>
      <c r="I420" t="str" cm="1">
        <f t="array" ref="I420">_xlfn.IFS(H420&lt;1,"No",H420=1,"Yes",H420&gt;1,_xlfn.TEXTJOIN("",TRUE,"Yes x",H420))</f>
        <v>Yes x2</v>
      </c>
      <c r="J420" s="13">
        <f t="shared" ref="J420:J423" si="29">IFERROR(GETPIVOTDATA("Successful / Failed",$A$1,"System serial",G420,"Successful / Failed","Successful"),0)</f>
        <v>1</v>
      </c>
      <c r="K420" s="13">
        <f t="shared" si="27"/>
        <v>1</v>
      </c>
      <c r="L420" s="13" t="str" cm="1">
        <f t="array" ref="L420">_xlfn.IFS(J420&lt;1,"",J420=1,"Pass",J420&gt;1,_xlfn.TEXTJOIN("",TRUE,"Pass x",J420))</f>
        <v>Pass</v>
      </c>
      <c r="M420" s="13" t="str" cm="1">
        <f t="array" ref="M420">_xlfn.IFS(K420&lt;1,"",K420=1,"Fail",K420&gt;1,_xlfn.TEXTJOIN("",TRUE,"Fail x",K420))</f>
        <v>Fail</v>
      </c>
      <c r="N420" t="str">
        <f t="shared" ref="N420:N423" si="30">_xlfn.TEXTJOIN(", ",TRUE, L420, M420)</f>
        <v>Pass, Fail</v>
      </c>
    </row>
    <row r="421" spans="8:14">
      <c r="H421" s="13">
        <f t="shared" si="28"/>
        <v>2</v>
      </c>
      <c r="I421" t="str" cm="1">
        <f t="array" ref="I421">_xlfn.IFS(H421&lt;1,"No",H421=1,"Yes",H421&gt;1,_xlfn.TEXTJOIN("",TRUE,"Yes x",H421))</f>
        <v>Yes x2</v>
      </c>
      <c r="J421" s="13">
        <f t="shared" si="29"/>
        <v>1</v>
      </c>
      <c r="K421" s="13">
        <f t="shared" si="27"/>
        <v>1</v>
      </c>
      <c r="L421" s="13" t="str" cm="1">
        <f t="array" ref="L421">_xlfn.IFS(J421&lt;1,"",J421=1,"Pass",J421&gt;1,_xlfn.TEXTJOIN("",TRUE,"Pass x",J421))</f>
        <v>Pass</v>
      </c>
      <c r="M421" s="13" t="str" cm="1">
        <f t="array" ref="M421">_xlfn.IFS(K421&lt;1,"",K421=1,"Fail",K421&gt;1,_xlfn.TEXTJOIN("",TRUE,"Fail x",K421))</f>
        <v>Fail</v>
      </c>
      <c r="N421" t="str">
        <f t="shared" si="30"/>
        <v>Pass, Fail</v>
      </c>
    </row>
    <row r="422" spans="8:14">
      <c r="H422" s="13">
        <f t="shared" si="28"/>
        <v>2</v>
      </c>
      <c r="I422" t="str" cm="1">
        <f t="array" ref="I422">_xlfn.IFS(H422&lt;1,"No",H422=1,"Yes",H422&gt;1,_xlfn.TEXTJOIN("",TRUE,"Yes x",H422))</f>
        <v>Yes x2</v>
      </c>
      <c r="J422" s="13">
        <f t="shared" si="29"/>
        <v>1</v>
      </c>
      <c r="K422" s="13">
        <f t="shared" si="27"/>
        <v>1</v>
      </c>
      <c r="L422" s="13" t="str" cm="1">
        <f t="array" ref="L422">_xlfn.IFS(J422&lt;1,"",J422=1,"Pass",J422&gt;1,_xlfn.TEXTJOIN("",TRUE,"Pass x",J422))</f>
        <v>Pass</v>
      </c>
      <c r="M422" s="13" t="str" cm="1">
        <f t="array" ref="M422">_xlfn.IFS(K422&lt;1,"",K422=1,"Fail",K422&gt;1,_xlfn.TEXTJOIN("",TRUE,"Fail x",K422))</f>
        <v>Fail</v>
      </c>
      <c r="N422" t="str">
        <f t="shared" si="30"/>
        <v>Pass, Fail</v>
      </c>
    </row>
    <row r="423" spans="8:14">
      <c r="H423" s="13">
        <f t="shared" si="28"/>
        <v>2</v>
      </c>
      <c r="I423" t="str" cm="1">
        <f t="array" ref="I423">_xlfn.IFS(H423&lt;1,"No",H423=1,"Yes",H423&gt;1,_xlfn.TEXTJOIN("",TRUE,"Yes x",H423))</f>
        <v>Yes x2</v>
      </c>
      <c r="J423" s="13">
        <f t="shared" si="29"/>
        <v>1</v>
      </c>
      <c r="K423" s="13">
        <f t="shared" si="27"/>
        <v>1</v>
      </c>
      <c r="L423" s="13" t="str" cm="1">
        <f t="array" ref="L423">_xlfn.IFS(J423&lt;1,"",J423=1,"Pass",J423&gt;1,_xlfn.TEXTJOIN("",TRUE,"Pass x",J423))</f>
        <v>Pass</v>
      </c>
      <c r="M423" s="13" t="str" cm="1">
        <f t="array" ref="M423">_xlfn.IFS(K423&lt;1,"",K423=1,"Fail",K423&gt;1,_xlfn.TEXTJOIN("",TRUE,"Fail x",K423))</f>
        <v>Fail</v>
      </c>
      <c r="N423" t="str">
        <f t="shared" si="30"/>
        <v>Pass, Fail</v>
      </c>
    </row>
    <row r="424" spans="8:14">
      <c r="H424" s="13">
        <f t="shared" ref="H424:H436" si="31">IFERROR(GETPIVOTDATA("Successful / Failed",$A$1,"System serial",G424),0)</f>
        <v>2</v>
      </c>
      <c r="I424" t="str" cm="1">
        <f t="array" ref="I424">_xlfn.IFS(H424&lt;1,"No",H424=1,"Yes",H424&gt;1,_xlfn.TEXTJOIN("",TRUE,"Yes x",H424))</f>
        <v>Yes x2</v>
      </c>
      <c r="J424" s="13">
        <f t="shared" ref="J424:J446" si="32">IFERROR(GETPIVOTDATA("Successful / Failed",$A$1,"System serial",G424,"Successful / Failed","Successful"),0)</f>
        <v>1</v>
      </c>
      <c r="K424" s="13">
        <f t="shared" si="27"/>
        <v>1</v>
      </c>
      <c r="N424" t="str">
        <f t="shared" ref="N424:N437" si="33">_xlfn.TEXTJOIN(", ",TRUE, L424, M424)</f>
        <v/>
      </c>
    </row>
    <row r="425" spans="8:14">
      <c r="H425" s="13">
        <f t="shared" si="31"/>
        <v>2</v>
      </c>
      <c r="I425" t="str" cm="1">
        <f t="array" ref="I425">_xlfn.IFS(H425&lt;1,"No",H425=1,"Yes",H425&gt;1,_xlfn.TEXTJOIN("",TRUE,"Yes x",H425))</f>
        <v>Yes x2</v>
      </c>
      <c r="J425" s="13">
        <f t="shared" si="32"/>
        <v>1</v>
      </c>
      <c r="K425" s="13">
        <f t="shared" si="27"/>
        <v>1</v>
      </c>
      <c r="N425" t="str">
        <f t="shared" si="33"/>
        <v/>
      </c>
    </row>
    <row r="426" spans="8:14">
      <c r="H426" s="13">
        <f t="shared" si="31"/>
        <v>2</v>
      </c>
      <c r="I426" t="str" cm="1">
        <f t="array" ref="I426">_xlfn.IFS(H426&lt;1,"No",H426=1,"Yes",H426&gt;1,_xlfn.TEXTJOIN("",TRUE,"Yes x",H426))</f>
        <v>Yes x2</v>
      </c>
      <c r="J426" s="13">
        <f t="shared" si="32"/>
        <v>1</v>
      </c>
      <c r="K426" s="13">
        <f t="shared" si="27"/>
        <v>1</v>
      </c>
      <c r="N426" t="str">
        <f t="shared" si="33"/>
        <v/>
      </c>
    </row>
    <row r="427" spans="8:14">
      <c r="H427" s="13">
        <f t="shared" si="31"/>
        <v>2</v>
      </c>
      <c r="I427" t="str" cm="1">
        <f t="array" ref="I427">_xlfn.IFS(H427&lt;1,"No",H427=1,"Yes",H427&gt;1,_xlfn.TEXTJOIN("",TRUE,"Yes x",H427))</f>
        <v>Yes x2</v>
      </c>
      <c r="J427" s="13">
        <f t="shared" si="32"/>
        <v>1</v>
      </c>
      <c r="K427" s="13">
        <f t="shared" si="27"/>
        <v>1</v>
      </c>
      <c r="N427" t="str">
        <f t="shared" si="33"/>
        <v/>
      </c>
    </row>
    <row r="428" spans="8:14">
      <c r="H428" s="13">
        <f t="shared" si="31"/>
        <v>2</v>
      </c>
      <c r="I428" t="str" cm="1">
        <f t="array" ref="I428">_xlfn.IFS(H428&lt;1,"No",H428=1,"Yes",H428&gt;1,_xlfn.TEXTJOIN("",TRUE,"Yes x",H428))</f>
        <v>Yes x2</v>
      </c>
      <c r="J428" s="13">
        <f t="shared" si="32"/>
        <v>1</v>
      </c>
      <c r="K428" s="13">
        <f t="shared" si="27"/>
        <v>1</v>
      </c>
      <c r="N428" t="str">
        <f t="shared" si="33"/>
        <v/>
      </c>
    </row>
    <row r="429" spans="8:14">
      <c r="H429" s="13">
        <f t="shared" si="31"/>
        <v>2</v>
      </c>
      <c r="I429" t="str" cm="1">
        <f t="array" ref="I429">_xlfn.IFS(H429&lt;1,"No",H429=1,"Yes",H429&gt;1,_xlfn.TEXTJOIN("",TRUE,"Yes x",H429))</f>
        <v>Yes x2</v>
      </c>
      <c r="J429" s="13">
        <f t="shared" si="32"/>
        <v>1</v>
      </c>
      <c r="K429" s="13">
        <f t="shared" si="27"/>
        <v>1</v>
      </c>
      <c r="N429" t="str">
        <f t="shared" si="33"/>
        <v/>
      </c>
    </row>
    <row r="430" spans="8:14">
      <c r="H430" s="13">
        <f t="shared" si="31"/>
        <v>2</v>
      </c>
      <c r="I430" t="str" cm="1">
        <f t="array" ref="I430">_xlfn.IFS(H430&lt;1,"No",H430=1,"Yes",H430&gt;1,_xlfn.TEXTJOIN("",TRUE,"Yes x",H430))</f>
        <v>Yes x2</v>
      </c>
      <c r="J430" s="13">
        <f t="shared" si="32"/>
        <v>1</v>
      </c>
      <c r="K430" s="13">
        <f t="shared" si="27"/>
        <v>1</v>
      </c>
      <c r="N430" t="str">
        <f t="shared" si="33"/>
        <v/>
      </c>
    </row>
    <row r="431" spans="8:14">
      <c r="H431" s="13">
        <f t="shared" si="31"/>
        <v>2</v>
      </c>
      <c r="J431" s="13">
        <f t="shared" si="32"/>
        <v>1</v>
      </c>
      <c r="K431" s="13">
        <f t="shared" si="27"/>
        <v>1</v>
      </c>
      <c r="N431" t="str">
        <f t="shared" si="33"/>
        <v/>
      </c>
    </row>
    <row r="432" spans="8:14">
      <c r="H432" s="13">
        <f t="shared" si="31"/>
        <v>2</v>
      </c>
      <c r="J432" s="13">
        <f t="shared" si="32"/>
        <v>1</v>
      </c>
      <c r="K432" s="13">
        <f t="shared" si="27"/>
        <v>1</v>
      </c>
      <c r="N432" t="str">
        <f t="shared" si="33"/>
        <v/>
      </c>
    </row>
    <row r="433" spans="8:14">
      <c r="H433" s="13">
        <f t="shared" si="31"/>
        <v>2</v>
      </c>
      <c r="J433" s="13">
        <f t="shared" si="32"/>
        <v>1</v>
      </c>
      <c r="K433" s="13">
        <f t="shared" si="27"/>
        <v>1</v>
      </c>
      <c r="N433" t="str">
        <f t="shared" si="33"/>
        <v/>
      </c>
    </row>
    <row r="434" spans="8:14">
      <c r="H434" s="13">
        <f t="shared" si="31"/>
        <v>2</v>
      </c>
      <c r="J434" s="13">
        <f t="shared" si="32"/>
        <v>1</v>
      </c>
      <c r="K434" s="13">
        <f t="shared" si="27"/>
        <v>1</v>
      </c>
      <c r="N434" t="str">
        <f t="shared" si="33"/>
        <v/>
      </c>
    </row>
    <row r="435" spans="8:14">
      <c r="H435" s="13">
        <f t="shared" si="31"/>
        <v>2</v>
      </c>
      <c r="J435" s="13">
        <f t="shared" si="32"/>
        <v>1</v>
      </c>
      <c r="K435" s="13">
        <f t="shared" si="27"/>
        <v>1</v>
      </c>
      <c r="N435" t="str">
        <f t="shared" si="33"/>
        <v/>
      </c>
    </row>
    <row r="436" spans="8:14">
      <c r="H436" s="13">
        <f t="shared" si="31"/>
        <v>2</v>
      </c>
      <c r="J436" s="13">
        <f t="shared" si="32"/>
        <v>1</v>
      </c>
      <c r="K436" s="13">
        <f t="shared" si="27"/>
        <v>1</v>
      </c>
      <c r="N436" t="str">
        <f t="shared" si="33"/>
        <v/>
      </c>
    </row>
    <row r="437" spans="8:14">
      <c r="J437" s="13">
        <f t="shared" si="32"/>
        <v>1</v>
      </c>
      <c r="K437" s="13">
        <f t="shared" si="27"/>
        <v>1</v>
      </c>
      <c r="N437" t="str">
        <f t="shared" si="33"/>
        <v/>
      </c>
    </row>
    <row r="438" spans="8:14">
      <c r="J438" s="13">
        <f t="shared" si="32"/>
        <v>1</v>
      </c>
      <c r="K438" s="13">
        <f t="shared" si="27"/>
        <v>1</v>
      </c>
    </row>
    <row r="439" spans="8:14">
      <c r="J439" s="13">
        <f t="shared" si="32"/>
        <v>1</v>
      </c>
      <c r="K439" s="13">
        <f t="shared" si="27"/>
        <v>1</v>
      </c>
    </row>
    <row r="440" spans="8:14">
      <c r="J440" s="13">
        <f t="shared" si="32"/>
        <v>1</v>
      </c>
      <c r="K440" s="13">
        <f t="shared" si="27"/>
        <v>1</v>
      </c>
    </row>
    <row r="441" spans="8:14">
      <c r="J441" s="13">
        <f t="shared" si="32"/>
        <v>1</v>
      </c>
      <c r="K441" s="13">
        <f t="shared" si="27"/>
        <v>1</v>
      </c>
    </row>
    <row r="442" spans="8:14">
      <c r="J442" s="13">
        <f t="shared" si="32"/>
        <v>1</v>
      </c>
      <c r="K442" s="13">
        <f t="shared" si="27"/>
        <v>1</v>
      </c>
    </row>
    <row r="443" spans="8:14">
      <c r="J443" s="13">
        <f t="shared" si="32"/>
        <v>1</v>
      </c>
      <c r="K443" s="13">
        <f t="shared" si="27"/>
        <v>1</v>
      </c>
    </row>
    <row r="444" spans="8:14">
      <c r="J444" s="13">
        <f t="shared" si="32"/>
        <v>1</v>
      </c>
      <c r="K444" s="13">
        <f t="shared" si="27"/>
        <v>1</v>
      </c>
    </row>
    <row r="445" spans="8:14">
      <c r="J445" s="13">
        <f t="shared" si="32"/>
        <v>1</v>
      </c>
      <c r="K445" s="13">
        <f t="shared" si="27"/>
        <v>1</v>
      </c>
    </row>
    <row r="446" spans="8:14">
      <c r="J446" s="13">
        <f t="shared" si="32"/>
        <v>1</v>
      </c>
      <c r="K446" s="13">
        <f t="shared" si="27"/>
        <v>1</v>
      </c>
    </row>
    <row r="447" spans="8:14">
      <c r="K447" s="13">
        <f t="shared" si="27"/>
        <v>1</v>
      </c>
    </row>
    <row r="448" spans="8:14">
      <c r="K448" s="13">
        <f t="shared" si="27"/>
        <v>1</v>
      </c>
    </row>
    <row r="449" spans="11:11">
      <c r="K449" s="13">
        <f t="shared" si="27"/>
        <v>1</v>
      </c>
    </row>
    <row r="450" spans="11:11">
      <c r="K450" s="13">
        <f t="shared" si="27"/>
        <v>1</v>
      </c>
    </row>
    <row r="451" spans="11:11">
      <c r="K451" s="13">
        <f t="shared" ref="K451:K475" si="34">IFERROR(GETPIVOTDATA("Successful / Failed",$A$1,"System serial",G451,"Successful / Failed","Failed"),0)</f>
        <v>1</v>
      </c>
    </row>
    <row r="452" spans="11:11">
      <c r="K452" s="13">
        <f t="shared" si="34"/>
        <v>1</v>
      </c>
    </row>
    <row r="453" spans="11:11">
      <c r="K453" s="13">
        <f t="shared" si="34"/>
        <v>1</v>
      </c>
    </row>
    <row r="454" spans="11:11">
      <c r="K454" s="13">
        <f t="shared" si="34"/>
        <v>1</v>
      </c>
    </row>
    <row r="455" spans="11:11">
      <c r="K455" s="13">
        <f t="shared" si="34"/>
        <v>1</v>
      </c>
    </row>
    <row r="456" spans="11:11">
      <c r="K456" s="13">
        <f t="shared" si="34"/>
        <v>1</v>
      </c>
    </row>
    <row r="457" spans="11:11">
      <c r="K457" s="13">
        <f t="shared" si="34"/>
        <v>1</v>
      </c>
    </row>
    <row r="458" spans="11:11">
      <c r="K458" s="13">
        <f t="shared" si="34"/>
        <v>1</v>
      </c>
    </row>
    <row r="459" spans="11:11">
      <c r="K459" s="13">
        <f t="shared" si="34"/>
        <v>1</v>
      </c>
    </row>
    <row r="460" spans="11:11">
      <c r="K460" s="13">
        <f t="shared" si="34"/>
        <v>1</v>
      </c>
    </row>
    <row r="461" spans="11:11">
      <c r="K461" s="13">
        <f t="shared" si="34"/>
        <v>1</v>
      </c>
    </row>
    <row r="462" spans="11:11">
      <c r="K462" s="13">
        <f t="shared" si="34"/>
        <v>1</v>
      </c>
    </row>
    <row r="463" spans="11:11">
      <c r="K463" s="13">
        <f t="shared" si="34"/>
        <v>1</v>
      </c>
    </row>
    <row r="464" spans="11:11">
      <c r="K464" s="13">
        <f t="shared" si="34"/>
        <v>1</v>
      </c>
    </row>
    <row r="465" spans="11:11">
      <c r="K465" s="13">
        <f t="shared" si="34"/>
        <v>1</v>
      </c>
    </row>
    <row r="466" spans="11:11">
      <c r="K466" s="13">
        <f t="shared" si="34"/>
        <v>1</v>
      </c>
    </row>
    <row r="467" spans="11:11">
      <c r="K467" s="13">
        <f t="shared" si="34"/>
        <v>1</v>
      </c>
    </row>
    <row r="468" spans="11:11">
      <c r="K468" s="13">
        <f t="shared" si="34"/>
        <v>1</v>
      </c>
    </row>
    <row r="469" spans="11:11">
      <c r="K469" s="13">
        <f t="shared" si="34"/>
        <v>1</v>
      </c>
    </row>
    <row r="470" spans="11:11">
      <c r="K470" s="13">
        <f t="shared" si="34"/>
        <v>1</v>
      </c>
    </row>
    <row r="471" spans="11:11">
      <c r="K471" s="13">
        <f t="shared" si="34"/>
        <v>1</v>
      </c>
    </row>
    <row r="472" spans="11:11">
      <c r="K472" s="13">
        <f t="shared" si="34"/>
        <v>1</v>
      </c>
    </row>
    <row r="473" spans="11:11">
      <c r="K473" s="13">
        <f t="shared" si="34"/>
        <v>1</v>
      </c>
    </row>
    <row r="474" spans="11:11">
      <c r="K474" s="13">
        <f t="shared" si="34"/>
        <v>1</v>
      </c>
    </row>
    <row r="475" spans="11:11">
      <c r="K475" s="13">
        <f t="shared" si="34"/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B1000"/>
  <sheetViews>
    <sheetView workbookViewId="0">
      <selection activeCell="G8" sqref="G8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17.7109375" bestFit="1" customWidth="1"/>
  </cols>
  <sheetData>
    <row r="1" spans="1:28">
      <c r="A1" t="str" cm="1">
        <f t="array" ref="A1:AA1000">Input!D1:AD1000</f>
        <v>Business name</v>
      </c>
      <c r="B1" t="str">
        <v>System manufacturer</v>
      </c>
      <c r="C1" t="str">
        <v>System chassis type</v>
      </c>
      <c r="D1" t="str">
        <v>Custom 1</v>
      </c>
      <c r="E1" t="str">
        <v>Device Identifier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Capacity</v>
      </c>
      <c r="K1" t="str">
        <v>Comment</v>
      </c>
      <c r="L1" t="str">
        <v>Comment2</v>
      </c>
      <c r="M1" t="str">
        <v>Comment3</v>
      </c>
      <c r="N1" t="str">
        <v>Comment4</v>
      </c>
      <c r="O1" t="str">
        <v>Comment5</v>
      </c>
      <c r="P1" t="str">
        <v>Comment6</v>
      </c>
      <c r="Q1" t="str">
        <v>Comment7</v>
      </c>
      <c r="R1" t="str">
        <v>Comment8</v>
      </c>
      <c r="S1" t="str">
        <v>CPU model</v>
      </c>
      <c r="T1" t="str">
        <v>Total Memory</v>
      </c>
      <c r="U1" t="str">
        <v>Memory type</v>
      </c>
      <c r="V1" t="str">
        <v>Disk capacity</v>
      </c>
      <c r="W1" t="str">
        <v>Disk interface type</v>
      </c>
      <c r="X1" t="str">
        <v>Disk serial</v>
      </c>
      <c r="Y1" t="str">
        <v>Disk model</v>
      </c>
      <c r="Z1" t="str">
        <v>Erasure start time</v>
      </c>
      <c r="AA1" t="str">
        <v>Battery test comment</v>
      </c>
      <c r="AB1" t="s">
        <v>48</v>
      </c>
    </row>
    <row r="2" spans="1:28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 t="str">
        <f>IF(ISNUMBER(SEARCH("Successful",F2)),
   "Successful",
   IF(ISNUMBER(SEARCH("Failed",F2)),"Failed",""))</f>
        <v/>
      </c>
    </row>
    <row r="3" spans="1:28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 t="str">
        <f t="shared" ref="AB3:AB66" si="0">IF(ISNUMBER(SEARCH("Successful",F3)),
   "Successful",
   IF(ISNUMBER(SEARCH("Failed",F3)),"Failed",""))</f>
        <v/>
      </c>
    </row>
    <row r="4" spans="1:28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 t="str">
        <f t="shared" si="0"/>
        <v/>
      </c>
    </row>
    <row r="5" spans="1:28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 t="str">
        <f t="shared" si="0"/>
        <v/>
      </c>
    </row>
    <row r="6" spans="1:28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 t="str">
        <f t="shared" si="0"/>
        <v/>
      </c>
    </row>
    <row r="7" spans="1:28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 t="str">
        <f t="shared" si="0"/>
        <v/>
      </c>
    </row>
    <row r="8" spans="1:28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 t="str">
        <f t="shared" si="0"/>
        <v/>
      </c>
    </row>
    <row r="9" spans="1:28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 t="str">
        <f t="shared" si="0"/>
        <v/>
      </c>
    </row>
    <row r="10" spans="1:28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 t="str">
        <f t="shared" si="0"/>
        <v/>
      </c>
    </row>
    <row r="11" spans="1:28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 t="str">
        <f t="shared" si="0"/>
        <v/>
      </c>
    </row>
    <row r="12" spans="1:28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 t="str">
        <f t="shared" si="0"/>
        <v/>
      </c>
    </row>
    <row r="13" spans="1:28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 t="str">
        <f t="shared" si="0"/>
        <v/>
      </c>
    </row>
    <row r="14" spans="1:28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 t="str">
        <f t="shared" si="0"/>
        <v/>
      </c>
    </row>
    <row r="15" spans="1:28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 t="str">
        <f t="shared" si="0"/>
        <v/>
      </c>
    </row>
    <row r="16" spans="1:28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 t="str">
        <f t="shared" si="0"/>
        <v/>
      </c>
    </row>
    <row r="17" spans="1:28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 t="str">
        <f t="shared" si="0"/>
        <v/>
      </c>
    </row>
    <row r="18" spans="1:28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 t="str">
        <f t="shared" si="0"/>
        <v/>
      </c>
    </row>
    <row r="19" spans="1:28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 t="str">
        <f t="shared" si="0"/>
        <v/>
      </c>
    </row>
    <row r="20" spans="1:28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 t="str">
        <f t="shared" si="0"/>
        <v/>
      </c>
    </row>
    <row r="21" spans="1:28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 t="str">
        <f t="shared" si="0"/>
        <v/>
      </c>
    </row>
    <row r="22" spans="1:28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 t="str">
        <f t="shared" si="0"/>
        <v/>
      </c>
    </row>
    <row r="23" spans="1:28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 t="str">
        <f t="shared" si="0"/>
        <v/>
      </c>
    </row>
    <row r="24" spans="1:28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 t="str">
        <f>IF(ISNUMBER(SEARCH("Successful",F24)),
   "Successful",
   IF(ISNUMBER(SEARCH("Failed",F24)),"Failed",""))</f>
        <v/>
      </c>
    </row>
    <row r="25" spans="1:28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 t="str">
        <f t="shared" si="0"/>
        <v/>
      </c>
    </row>
    <row r="26" spans="1:28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 t="str">
        <f t="shared" si="0"/>
        <v/>
      </c>
    </row>
    <row r="27" spans="1:28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 t="str">
        <f t="shared" si="0"/>
        <v/>
      </c>
    </row>
    <row r="28" spans="1:28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 t="str">
        <f t="shared" si="0"/>
        <v/>
      </c>
    </row>
    <row r="29" spans="1:28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 t="str">
        <f t="shared" si="0"/>
        <v/>
      </c>
    </row>
    <row r="30" spans="1:28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 t="str">
        <f t="shared" si="0"/>
        <v/>
      </c>
    </row>
    <row r="31" spans="1:28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 t="str">
        <f t="shared" si="0"/>
        <v/>
      </c>
    </row>
    <row r="32" spans="1:28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 t="str">
        <f t="shared" si="0"/>
        <v/>
      </c>
    </row>
    <row r="33" spans="1:28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 t="str">
        <f t="shared" si="0"/>
        <v/>
      </c>
    </row>
    <row r="34" spans="1:28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 t="str">
        <f t="shared" si="0"/>
        <v/>
      </c>
    </row>
    <row r="35" spans="1:28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 t="str">
        <f t="shared" si="0"/>
        <v/>
      </c>
    </row>
    <row r="36" spans="1:28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 t="str">
        <f t="shared" si="0"/>
        <v/>
      </c>
    </row>
    <row r="37" spans="1:28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 t="str">
        <f t="shared" si="0"/>
        <v/>
      </c>
    </row>
    <row r="38" spans="1:28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 t="str">
        <f t="shared" si="0"/>
        <v/>
      </c>
    </row>
    <row r="39" spans="1:28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 t="str">
        <f t="shared" si="0"/>
        <v/>
      </c>
    </row>
    <row r="40" spans="1:28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 t="str">
        <f t="shared" si="0"/>
        <v/>
      </c>
    </row>
    <row r="41" spans="1:28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 t="str">
        <f t="shared" si="0"/>
        <v/>
      </c>
    </row>
    <row r="42" spans="1:28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 t="str">
        <f t="shared" si="0"/>
        <v/>
      </c>
    </row>
    <row r="43" spans="1:28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 t="str">
        <f t="shared" si="0"/>
        <v/>
      </c>
    </row>
    <row r="44" spans="1:28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 t="str">
        <f t="shared" si="0"/>
        <v/>
      </c>
    </row>
    <row r="45" spans="1:28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 t="str">
        <f t="shared" si="0"/>
        <v/>
      </c>
    </row>
    <row r="46" spans="1:28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 t="str">
        <f t="shared" si="0"/>
        <v/>
      </c>
    </row>
    <row r="47" spans="1:28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 t="str">
        <f t="shared" si="0"/>
        <v/>
      </c>
    </row>
    <row r="48" spans="1:28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 t="str">
        <f t="shared" si="0"/>
        <v/>
      </c>
    </row>
    <row r="49" spans="1:28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 t="str">
        <f t="shared" si="0"/>
        <v/>
      </c>
    </row>
    <row r="50" spans="1:28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 t="str">
        <f t="shared" si="0"/>
        <v/>
      </c>
    </row>
    <row r="51" spans="1:28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 t="str">
        <f t="shared" si="0"/>
        <v/>
      </c>
    </row>
    <row r="52" spans="1:28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 t="str">
        <f t="shared" si="0"/>
        <v/>
      </c>
    </row>
    <row r="53" spans="1:28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 t="str">
        <f t="shared" si="0"/>
        <v/>
      </c>
    </row>
    <row r="54" spans="1:28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 t="str">
        <f t="shared" si="0"/>
        <v/>
      </c>
    </row>
    <row r="55" spans="1:28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 t="str">
        <f t="shared" si="0"/>
        <v/>
      </c>
    </row>
    <row r="56" spans="1:28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 t="str">
        <f t="shared" si="0"/>
        <v/>
      </c>
    </row>
    <row r="57" spans="1:28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 t="str">
        <f t="shared" si="0"/>
        <v/>
      </c>
    </row>
    <row r="58" spans="1:28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 t="str">
        <f t="shared" si="0"/>
        <v/>
      </c>
    </row>
    <row r="59" spans="1:28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 t="str">
        <f t="shared" si="0"/>
        <v/>
      </c>
    </row>
    <row r="60" spans="1:28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 t="str">
        <f t="shared" si="0"/>
        <v/>
      </c>
    </row>
    <row r="61" spans="1:28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 t="str">
        <f t="shared" si="0"/>
        <v/>
      </c>
    </row>
    <row r="62" spans="1:28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 t="str">
        <f t="shared" si="0"/>
        <v/>
      </c>
    </row>
    <row r="63" spans="1:28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 t="str">
        <f t="shared" si="0"/>
        <v/>
      </c>
    </row>
    <row r="64" spans="1:28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 t="str">
        <f t="shared" si="0"/>
        <v/>
      </c>
    </row>
    <row r="65" spans="1:28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 t="str">
        <f t="shared" si="0"/>
        <v/>
      </c>
    </row>
    <row r="66" spans="1:28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 t="str">
        <f t="shared" si="0"/>
        <v/>
      </c>
    </row>
    <row r="67" spans="1:28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 t="str">
        <f t="shared" ref="AB67:AB130" si="1">IF(ISNUMBER(SEARCH("Successful",F67)),
   "Successful",
   IF(ISNUMBER(SEARCH("Failed",F67)),"Failed",""))</f>
        <v/>
      </c>
    </row>
    <row r="68" spans="1:28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 t="str">
        <f t="shared" si="1"/>
        <v/>
      </c>
    </row>
    <row r="69" spans="1:28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 t="str">
        <f t="shared" si="1"/>
        <v/>
      </c>
    </row>
    <row r="70" spans="1:28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 t="str">
        <f t="shared" si="1"/>
        <v/>
      </c>
    </row>
    <row r="71" spans="1:28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 t="str">
        <f t="shared" si="1"/>
        <v/>
      </c>
    </row>
    <row r="72" spans="1:28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 t="str">
        <f t="shared" si="1"/>
        <v/>
      </c>
    </row>
    <row r="73" spans="1:28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 t="str">
        <f t="shared" si="1"/>
        <v/>
      </c>
    </row>
    <row r="74" spans="1:28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 t="str">
        <f t="shared" si="1"/>
        <v/>
      </c>
    </row>
    <row r="75" spans="1:28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 t="str">
        <f t="shared" si="1"/>
        <v/>
      </c>
    </row>
    <row r="76" spans="1:28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 t="str">
        <f t="shared" si="1"/>
        <v/>
      </c>
    </row>
    <row r="77" spans="1:28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 t="str">
        <f t="shared" si="1"/>
        <v/>
      </c>
    </row>
    <row r="78" spans="1:28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 t="str">
        <f t="shared" si="1"/>
        <v/>
      </c>
    </row>
    <row r="79" spans="1:28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 t="str">
        <f t="shared" si="1"/>
        <v/>
      </c>
    </row>
    <row r="80" spans="1:28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tr">
        <f t="shared" si="1"/>
        <v/>
      </c>
    </row>
    <row r="81" spans="1:28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t="str">
        <f t="shared" si="1"/>
        <v/>
      </c>
    </row>
    <row r="82" spans="1:28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 t="str">
        <f t="shared" si="1"/>
        <v/>
      </c>
    </row>
    <row r="83" spans="1:28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 t="str">
        <f t="shared" si="1"/>
        <v/>
      </c>
    </row>
    <row r="84" spans="1:28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tr">
        <f t="shared" si="1"/>
        <v/>
      </c>
    </row>
    <row r="85" spans="1:28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 t="str">
        <f t="shared" si="1"/>
        <v/>
      </c>
    </row>
    <row r="86" spans="1:28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 t="str">
        <f t="shared" si="1"/>
        <v/>
      </c>
    </row>
    <row r="87" spans="1:28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 t="str">
        <f t="shared" si="1"/>
        <v/>
      </c>
    </row>
    <row r="88" spans="1:28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tr">
        <f t="shared" si="1"/>
        <v/>
      </c>
    </row>
    <row r="89" spans="1:28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t="str">
        <f t="shared" si="1"/>
        <v/>
      </c>
    </row>
    <row r="90" spans="1:28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 t="str">
        <f t="shared" si="1"/>
        <v/>
      </c>
    </row>
    <row r="91" spans="1:28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t="str">
        <f t="shared" si="1"/>
        <v/>
      </c>
    </row>
    <row r="92" spans="1:28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 t="str">
        <f t="shared" si="1"/>
        <v/>
      </c>
    </row>
    <row r="93" spans="1:28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 t="str">
        <f t="shared" si="1"/>
        <v/>
      </c>
    </row>
    <row r="94" spans="1:28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t="str">
        <f t="shared" si="1"/>
        <v/>
      </c>
    </row>
    <row r="95" spans="1:28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 t="str">
        <f t="shared" si="1"/>
        <v/>
      </c>
    </row>
    <row r="96" spans="1:28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t="str">
        <f t="shared" si="1"/>
        <v/>
      </c>
    </row>
    <row r="97" spans="1:28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 t="str">
        <f t="shared" si="1"/>
        <v/>
      </c>
    </row>
    <row r="98" spans="1:28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 t="str">
        <f t="shared" si="1"/>
        <v/>
      </c>
    </row>
    <row r="99" spans="1:28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 t="str">
        <f t="shared" si="1"/>
        <v/>
      </c>
    </row>
    <row r="100" spans="1:28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 t="str">
        <f t="shared" si="1"/>
        <v/>
      </c>
    </row>
    <row r="101" spans="1:28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 t="str">
        <f t="shared" si="1"/>
        <v/>
      </c>
    </row>
    <row r="102" spans="1:28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 t="str">
        <f t="shared" si="1"/>
        <v/>
      </c>
    </row>
    <row r="103" spans="1:28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 t="str">
        <f t="shared" si="1"/>
        <v/>
      </c>
    </row>
    <row r="104" spans="1:28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t="str">
        <f t="shared" si="1"/>
        <v/>
      </c>
    </row>
    <row r="105" spans="1:28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tr">
        <f t="shared" si="1"/>
        <v/>
      </c>
    </row>
    <row r="106" spans="1:28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 t="str">
        <f t="shared" si="1"/>
        <v/>
      </c>
    </row>
    <row r="107" spans="1:28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t="str">
        <f t="shared" si="1"/>
        <v/>
      </c>
    </row>
    <row r="108" spans="1:28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 t="str">
        <f t="shared" si="1"/>
        <v/>
      </c>
    </row>
    <row r="109" spans="1:28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 t="str">
        <f t="shared" si="1"/>
        <v/>
      </c>
    </row>
    <row r="110" spans="1:28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t="str">
        <f t="shared" si="1"/>
        <v/>
      </c>
    </row>
    <row r="111" spans="1:28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 t="str">
        <f t="shared" si="1"/>
        <v/>
      </c>
    </row>
    <row r="112" spans="1:28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t="str">
        <f t="shared" si="1"/>
        <v/>
      </c>
    </row>
    <row r="113" spans="1:28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t="str">
        <f t="shared" si="1"/>
        <v/>
      </c>
    </row>
    <row r="114" spans="1:28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 t="str">
        <f t="shared" si="1"/>
        <v/>
      </c>
    </row>
    <row r="115" spans="1:28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t="str">
        <f t="shared" si="1"/>
        <v/>
      </c>
    </row>
    <row r="116" spans="1:28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 t="str">
        <f t="shared" si="1"/>
        <v/>
      </c>
    </row>
    <row r="117" spans="1:28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 t="str">
        <f t="shared" si="1"/>
        <v/>
      </c>
    </row>
    <row r="118" spans="1:28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 t="str">
        <f t="shared" si="1"/>
        <v/>
      </c>
    </row>
    <row r="119" spans="1:28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 t="str">
        <f t="shared" si="1"/>
        <v/>
      </c>
    </row>
    <row r="120" spans="1:28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t="str">
        <f t="shared" si="1"/>
        <v/>
      </c>
    </row>
    <row r="121" spans="1:28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 t="str">
        <f t="shared" si="1"/>
        <v/>
      </c>
    </row>
    <row r="122" spans="1:28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 t="str">
        <f t="shared" si="1"/>
        <v/>
      </c>
    </row>
    <row r="123" spans="1:28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 t="str">
        <f t="shared" si="1"/>
        <v/>
      </c>
    </row>
    <row r="124" spans="1:28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 t="str">
        <f t="shared" si="1"/>
        <v/>
      </c>
    </row>
    <row r="125" spans="1:28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 t="str">
        <f t="shared" si="1"/>
        <v/>
      </c>
    </row>
    <row r="126" spans="1:28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tr">
        <f t="shared" si="1"/>
        <v/>
      </c>
    </row>
    <row r="127" spans="1:28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 t="str">
        <f t="shared" si="1"/>
        <v/>
      </c>
    </row>
    <row r="128" spans="1:28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 t="str">
        <f t="shared" si="1"/>
        <v/>
      </c>
    </row>
    <row r="129" spans="1:28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 t="str">
        <f t="shared" si="1"/>
        <v/>
      </c>
    </row>
    <row r="130" spans="1:28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 t="str">
        <f t="shared" si="1"/>
        <v/>
      </c>
    </row>
    <row r="131" spans="1:28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t="str">
        <f t="shared" ref="AB131:AB194" si="2">IF(ISNUMBER(SEARCH("Successful",F131)),
   "Successful",
   IF(ISNUMBER(SEARCH("Failed",F131)),"Failed",""))</f>
        <v/>
      </c>
    </row>
    <row r="132" spans="1:28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 t="str">
        <f t="shared" si="2"/>
        <v/>
      </c>
    </row>
    <row r="133" spans="1:28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 t="str">
        <f t="shared" si="2"/>
        <v/>
      </c>
    </row>
    <row r="134" spans="1:28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 t="str">
        <f t="shared" si="2"/>
        <v/>
      </c>
    </row>
    <row r="135" spans="1:28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 t="str">
        <f t="shared" si="2"/>
        <v/>
      </c>
    </row>
    <row r="136" spans="1:28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 t="str">
        <f t="shared" si="2"/>
        <v/>
      </c>
    </row>
    <row r="137" spans="1:28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 t="str">
        <f t="shared" si="2"/>
        <v/>
      </c>
    </row>
    <row r="138" spans="1:28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 t="str">
        <f t="shared" si="2"/>
        <v/>
      </c>
    </row>
    <row r="139" spans="1:28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 t="str">
        <f t="shared" si="2"/>
        <v/>
      </c>
    </row>
    <row r="140" spans="1:28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 t="str">
        <f t="shared" si="2"/>
        <v/>
      </c>
    </row>
    <row r="141" spans="1:28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 t="str">
        <f t="shared" si="2"/>
        <v/>
      </c>
    </row>
    <row r="142" spans="1:28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 t="str">
        <f t="shared" si="2"/>
        <v/>
      </c>
    </row>
    <row r="143" spans="1:28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 t="str">
        <f t="shared" si="2"/>
        <v/>
      </c>
    </row>
    <row r="144" spans="1:28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 t="str">
        <f t="shared" si="2"/>
        <v/>
      </c>
    </row>
    <row r="145" spans="1:28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t="str">
        <f t="shared" si="2"/>
        <v/>
      </c>
    </row>
    <row r="146" spans="1:28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 t="str">
        <f t="shared" si="2"/>
        <v/>
      </c>
    </row>
    <row r="147" spans="1:28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tr">
        <f t="shared" si="2"/>
        <v/>
      </c>
    </row>
    <row r="148" spans="1:28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 t="str">
        <f t="shared" si="2"/>
        <v/>
      </c>
    </row>
    <row r="149" spans="1:28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 t="str">
        <f t="shared" si="2"/>
        <v/>
      </c>
    </row>
    <row r="150" spans="1:28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 t="str">
        <f t="shared" si="2"/>
        <v/>
      </c>
    </row>
    <row r="151" spans="1:28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 t="str">
        <f t="shared" si="2"/>
        <v/>
      </c>
    </row>
    <row r="152" spans="1:28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 t="str">
        <f t="shared" si="2"/>
        <v/>
      </c>
    </row>
    <row r="153" spans="1:28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 t="str">
        <f t="shared" si="2"/>
        <v/>
      </c>
    </row>
    <row r="154" spans="1:28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 t="str">
        <f t="shared" si="2"/>
        <v/>
      </c>
    </row>
    <row r="155" spans="1:28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 t="str">
        <f t="shared" si="2"/>
        <v/>
      </c>
    </row>
    <row r="156" spans="1:28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t="str">
        <f t="shared" si="2"/>
        <v/>
      </c>
    </row>
    <row r="157" spans="1:28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 t="str">
        <f t="shared" si="2"/>
        <v/>
      </c>
    </row>
    <row r="158" spans="1:28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 t="str">
        <f t="shared" si="2"/>
        <v/>
      </c>
    </row>
    <row r="159" spans="1:28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 t="str">
        <f t="shared" si="2"/>
        <v/>
      </c>
    </row>
    <row r="160" spans="1:28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 t="str">
        <f t="shared" si="2"/>
        <v/>
      </c>
    </row>
    <row r="161" spans="1:28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 t="str">
        <f t="shared" si="2"/>
        <v/>
      </c>
    </row>
    <row r="162" spans="1:28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 t="str">
        <f t="shared" si="2"/>
        <v/>
      </c>
    </row>
    <row r="163" spans="1:28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 t="str">
        <f t="shared" si="2"/>
        <v/>
      </c>
    </row>
    <row r="164" spans="1:28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tr">
        <f t="shared" si="2"/>
        <v/>
      </c>
    </row>
    <row r="165" spans="1:28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 t="str">
        <f t="shared" si="2"/>
        <v/>
      </c>
    </row>
    <row r="166" spans="1:28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t="str">
        <f t="shared" si="2"/>
        <v/>
      </c>
    </row>
    <row r="167" spans="1:28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 t="str">
        <f t="shared" si="2"/>
        <v/>
      </c>
    </row>
    <row r="168" spans="1:28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tr">
        <f t="shared" si="2"/>
        <v/>
      </c>
    </row>
    <row r="169" spans="1:28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 t="str">
        <f t="shared" si="2"/>
        <v/>
      </c>
    </row>
    <row r="170" spans="1:28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 t="str">
        <f t="shared" si="2"/>
        <v/>
      </c>
    </row>
    <row r="171" spans="1:28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 t="str">
        <f t="shared" si="2"/>
        <v/>
      </c>
    </row>
    <row r="172" spans="1:28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t="str">
        <f t="shared" si="2"/>
        <v/>
      </c>
    </row>
    <row r="173" spans="1:28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 t="str">
        <f t="shared" si="2"/>
        <v/>
      </c>
    </row>
    <row r="174" spans="1:28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 t="str">
        <f t="shared" si="2"/>
        <v/>
      </c>
    </row>
    <row r="175" spans="1:28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 t="str">
        <f t="shared" si="2"/>
        <v/>
      </c>
    </row>
    <row r="176" spans="1:28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 t="str">
        <f t="shared" si="2"/>
        <v/>
      </c>
    </row>
    <row r="177" spans="1:28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t="str">
        <f t="shared" si="2"/>
        <v/>
      </c>
    </row>
    <row r="178" spans="1:28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 t="str">
        <f t="shared" si="2"/>
        <v/>
      </c>
    </row>
    <row r="179" spans="1:28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 t="str">
        <f t="shared" si="2"/>
        <v/>
      </c>
    </row>
    <row r="180" spans="1:28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 t="str">
        <f t="shared" si="2"/>
        <v/>
      </c>
    </row>
    <row r="181" spans="1:28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 t="str">
        <f t="shared" si="2"/>
        <v/>
      </c>
    </row>
    <row r="182" spans="1:28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 t="str">
        <f t="shared" si="2"/>
        <v/>
      </c>
    </row>
    <row r="183" spans="1:28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 t="str">
        <f t="shared" si="2"/>
        <v/>
      </c>
    </row>
    <row r="184" spans="1:28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 t="str">
        <f t="shared" si="2"/>
        <v/>
      </c>
    </row>
    <row r="185" spans="1:28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t="str">
        <f t="shared" si="2"/>
        <v/>
      </c>
    </row>
    <row r="186" spans="1:28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 t="str">
        <f t="shared" si="2"/>
        <v/>
      </c>
    </row>
    <row r="187" spans="1:28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 t="str">
        <f t="shared" si="2"/>
        <v/>
      </c>
    </row>
    <row r="188" spans="1:28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 t="str">
        <f t="shared" si="2"/>
        <v/>
      </c>
    </row>
    <row r="189" spans="1:28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 t="str">
        <f t="shared" si="2"/>
        <v/>
      </c>
    </row>
    <row r="190" spans="1:28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 t="str">
        <f t="shared" si="2"/>
        <v/>
      </c>
    </row>
    <row r="191" spans="1:28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 t="str">
        <f t="shared" si="2"/>
        <v/>
      </c>
    </row>
    <row r="192" spans="1:28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 t="str">
        <f t="shared" si="2"/>
        <v/>
      </c>
    </row>
    <row r="193" spans="1:28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t="str">
        <f t="shared" si="2"/>
        <v/>
      </c>
    </row>
    <row r="194" spans="1:28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 t="str">
        <f t="shared" si="2"/>
        <v/>
      </c>
    </row>
    <row r="195" spans="1:28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 t="str">
        <f t="shared" ref="AB195:AB258" si="3">IF(ISNUMBER(SEARCH("Successful",F195)),
   "Successful",
   IF(ISNUMBER(SEARCH("Failed",F195)),"Failed",""))</f>
        <v/>
      </c>
    </row>
    <row r="196" spans="1:28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 t="str">
        <f t="shared" si="3"/>
        <v/>
      </c>
    </row>
    <row r="197" spans="1:28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t="str">
        <f t="shared" si="3"/>
        <v/>
      </c>
    </row>
    <row r="198" spans="1:28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 t="str">
        <f t="shared" si="3"/>
        <v/>
      </c>
    </row>
    <row r="199" spans="1:28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 t="str">
        <f t="shared" si="3"/>
        <v/>
      </c>
    </row>
    <row r="200" spans="1:28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 t="str">
        <f t="shared" si="3"/>
        <v/>
      </c>
    </row>
    <row r="201" spans="1:28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 t="str">
        <f t="shared" si="3"/>
        <v/>
      </c>
    </row>
    <row r="202" spans="1:28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 t="str">
        <f t="shared" si="3"/>
        <v/>
      </c>
    </row>
    <row r="203" spans="1:28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 t="str">
        <f t="shared" si="3"/>
        <v/>
      </c>
    </row>
    <row r="204" spans="1:28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 t="str">
        <f t="shared" si="3"/>
        <v/>
      </c>
    </row>
    <row r="205" spans="1:28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 t="str">
        <f t="shared" si="3"/>
        <v/>
      </c>
    </row>
    <row r="206" spans="1:28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 t="str">
        <f t="shared" si="3"/>
        <v/>
      </c>
    </row>
    <row r="207" spans="1:28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 t="str">
        <f t="shared" si="3"/>
        <v/>
      </c>
    </row>
    <row r="208" spans="1:28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 t="str">
        <f t="shared" si="3"/>
        <v/>
      </c>
    </row>
    <row r="209" spans="1:28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 t="str">
        <f t="shared" si="3"/>
        <v/>
      </c>
    </row>
    <row r="210" spans="1:28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 t="str">
        <f t="shared" si="3"/>
        <v/>
      </c>
    </row>
    <row r="211" spans="1:28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 t="str">
        <f t="shared" si="3"/>
        <v/>
      </c>
    </row>
    <row r="212" spans="1:28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 t="str">
        <f t="shared" si="3"/>
        <v/>
      </c>
    </row>
    <row r="213" spans="1:28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 t="str">
        <f t="shared" si="3"/>
        <v/>
      </c>
    </row>
    <row r="214" spans="1:28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 t="str">
        <f t="shared" si="3"/>
        <v/>
      </c>
    </row>
    <row r="215" spans="1:28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 t="str">
        <f t="shared" si="3"/>
        <v/>
      </c>
    </row>
    <row r="216" spans="1:28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 t="str">
        <f t="shared" si="3"/>
        <v/>
      </c>
    </row>
    <row r="217" spans="1:28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 t="str">
        <f t="shared" si="3"/>
        <v/>
      </c>
    </row>
    <row r="218" spans="1:28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 t="str">
        <f t="shared" si="3"/>
        <v/>
      </c>
    </row>
    <row r="219" spans="1:28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 t="str">
        <f t="shared" si="3"/>
        <v/>
      </c>
    </row>
    <row r="220" spans="1:28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 t="str">
        <f t="shared" si="3"/>
        <v/>
      </c>
    </row>
    <row r="221" spans="1:28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 t="str">
        <f t="shared" si="3"/>
        <v/>
      </c>
    </row>
    <row r="222" spans="1:28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 t="str">
        <f t="shared" si="3"/>
        <v/>
      </c>
    </row>
    <row r="223" spans="1:28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 t="str">
        <f t="shared" si="3"/>
        <v/>
      </c>
    </row>
    <row r="224" spans="1:28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 t="str">
        <f t="shared" si="3"/>
        <v/>
      </c>
    </row>
    <row r="225" spans="1:28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 t="str">
        <f t="shared" si="3"/>
        <v/>
      </c>
    </row>
    <row r="226" spans="1:28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 t="str">
        <f t="shared" si="3"/>
        <v/>
      </c>
    </row>
    <row r="227" spans="1:28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t="str">
        <f t="shared" si="3"/>
        <v/>
      </c>
    </row>
    <row r="228" spans="1:28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 t="str">
        <f t="shared" si="3"/>
        <v/>
      </c>
    </row>
    <row r="229" spans="1:28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 t="str">
        <f t="shared" si="3"/>
        <v/>
      </c>
    </row>
    <row r="230" spans="1:28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 t="str">
        <f t="shared" si="3"/>
        <v/>
      </c>
    </row>
    <row r="231" spans="1:28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 t="str">
        <f t="shared" si="3"/>
        <v/>
      </c>
    </row>
    <row r="232" spans="1:28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 t="str">
        <f t="shared" si="3"/>
        <v/>
      </c>
    </row>
    <row r="233" spans="1:28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 t="str">
        <f t="shared" si="3"/>
        <v/>
      </c>
    </row>
    <row r="234" spans="1:28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 t="str">
        <f t="shared" si="3"/>
        <v/>
      </c>
    </row>
    <row r="235" spans="1:28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 t="str">
        <f t="shared" si="3"/>
        <v/>
      </c>
    </row>
    <row r="236" spans="1:28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 t="str">
        <f t="shared" si="3"/>
        <v/>
      </c>
    </row>
    <row r="237" spans="1:28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 t="str">
        <f t="shared" si="3"/>
        <v/>
      </c>
    </row>
    <row r="238" spans="1:28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 t="str">
        <f t="shared" si="3"/>
        <v/>
      </c>
    </row>
    <row r="239" spans="1:28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 t="str">
        <f t="shared" si="3"/>
        <v/>
      </c>
    </row>
    <row r="240" spans="1:28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 t="str">
        <f t="shared" si="3"/>
        <v/>
      </c>
    </row>
    <row r="241" spans="1:28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 t="str">
        <f t="shared" si="3"/>
        <v/>
      </c>
    </row>
    <row r="242" spans="1:28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 t="str">
        <f t="shared" si="3"/>
        <v/>
      </c>
    </row>
    <row r="243" spans="1:28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 t="str">
        <f t="shared" si="3"/>
        <v/>
      </c>
    </row>
    <row r="244" spans="1:28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 t="str">
        <f t="shared" si="3"/>
        <v/>
      </c>
    </row>
    <row r="245" spans="1:28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 t="str">
        <f t="shared" si="3"/>
        <v/>
      </c>
    </row>
    <row r="246" spans="1:28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 t="str">
        <f t="shared" si="3"/>
        <v/>
      </c>
    </row>
    <row r="247" spans="1:28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 t="str">
        <f t="shared" si="3"/>
        <v/>
      </c>
    </row>
    <row r="248" spans="1:28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 t="str">
        <f t="shared" si="3"/>
        <v/>
      </c>
    </row>
    <row r="249" spans="1:28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 t="str">
        <f t="shared" si="3"/>
        <v/>
      </c>
    </row>
    <row r="250" spans="1:28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 t="str">
        <f t="shared" si="3"/>
        <v/>
      </c>
    </row>
    <row r="251" spans="1:28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 t="str">
        <f t="shared" si="3"/>
        <v/>
      </c>
    </row>
    <row r="252" spans="1:28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 t="str">
        <f t="shared" si="3"/>
        <v/>
      </c>
    </row>
    <row r="253" spans="1:28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 t="str">
        <f t="shared" si="3"/>
        <v/>
      </c>
    </row>
    <row r="254" spans="1:28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 t="str">
        <f t="shared" si="3"/>
        <v/>
      </c>
    </row>
    <row r="255" spans="1:28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 t="str">
        <f t="shared" si="3"/>
        <v/>
      </c>
    </row>
    <row r="256" spans="1:28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 t="str">
        <f t="shared" si="3"/>
        <v/>
      </c>
    </row>
    <row r="257" spans="1:28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 t="str">
        <f t="shared" si="3"/>
        <v/>
      </c>
    </row>
    <row r="258" spans="1:28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 t="str">
        <f t="shared" si="3"/>
        <v/>
      </c>
    </row>
    <row r="259" spans="1:28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 t="str">
        <f t="shared" ref="AB259:AB322" si="4">IF(ISNUMBER(SEARCH("Successful",F259)),
   "Successful",
   IF(ISNUMBER(SEARCH("Failed",F259)),"Failed",""))</f>
        <v/>
      </c>
    </row>
    <row r="260" spans="1:28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 t="str">
        <f t="shared" si="4"/>
        <v/>
      </c>
    </row>
    <row r="261" spans="1:28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 t="str">
        <f t="shared" si="4"/>
        <v/>
      </c>
    </row>
    <row r="262" spans="1:28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 t="str">
        <f t="shared" si="4"/>
        <v/>
      </c>
    </row>
    <row r="263" spans="1:28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 t="str">
        <f t="shared" si="4"/>
        <v/>
      </c>
    </row>
    <row r="264" spans="1:28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 t="str">
        <f t="shared" si="4"/>
        <v/>
      </c>
    </row>
    <row r="265" spans="1:28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 t="str">
        <f t="shared" si="4"/>
        <v/>
      </c>
    </row>
    <row r="266" spans="1:28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 t="str">
        <f t="shared" si="4"/>
        <v/>
      </c>
    </row>
    <row r="267" spans="1:28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 t="str">
        <f t="shared" si="4"/>
        <v/>
      </c>
    </row>
    <row r="268" spans="1:28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 t="str">
        <f t="shared" si="4"/>
        <v/>
      </c>
    </row>
    <row r="269" spans="1:28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 t="str">
        <f t="shared" si="4"/>
        <v/>
      </c>
    </row>
    <row r="270" spans="1:28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 t="str">
        <f t="shared" si="4"/>
        <v/>
      </c>
    </row>
    <row r="271" spans="1:28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 t="str">
        <f t="shared" si="4"/>
        <v/>
      </c>
    </row>
    <row r="272" spans="1:28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 t="str">
        <f t="shared" si="4"/>
        <v/>
      </c>
    </row>
    <row r="273" spans="1:28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 t="str">
        <f t="shared" si="4"/>
        <v/>
      </c>
    </row>
    <row r="274" spans="1:28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 t="str">
        <f t="shared" si="4"/>
        <v/>
      </c>
    </row>
    <row r="275" spans="1:28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 t="str">
        <f t="shared" si="4"/>
        <v/>
      </c>
    </row>
    <row r="276" spans="1:28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 t="str">
        <f t="shared" si="4"/>
        <v/>
      </c>
    </row>
    <row r="277" spans="1:28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 t="str">
        <f t="shared" si="4"/>
        <v/>
      </c>
    </row>
    <row r="278" spans="1:28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 t="str">
        <f t="shared" si="4"/>
        <v/>
      </c>
    </row>
    <row r="279" spans="1:28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 t="str">
        <f t="shared" si="4"/>
        <v/>
      </c>
    </row>
    <row r="280" spans="1:28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 t="str">
        <f t="shared" si="4"/>
        <v/>
      </c>
    </row>
    <row r="281" spans="1:28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 t="str">
        <f t="shared" si="4"/>
        <v/>
      </c>
    </row>
    <row r="282" spans="1:28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 t="str">
        <f t="shared" si="4"/>
        <v/>
      </c>
    </row>
    <row r="283" spans="1:28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 t="str">
        <f t="shared" si="4"/>
        <v/>
      </c>
    </row>
    <row r="284" spans="1:28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 t="str">
        <f t="shared" si="4"/>
        <v/>
      </c>
    </row>
    <row r="285" spans="1:28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 t="str">
        <f t="shared" si="4"/>
        <v/>
      </c>
    </row>
    <row r="286" spans="1:28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 t="str">
        <f t="shared" si="4"/>
        <v/>
      </c>
    </row>
    <row r="287" spans="1:28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 t="str">
        <f t="shared" si="4"/>
        <v/>
      </c>
    </row>
    <row r="288" spans="1:28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 t="str">
        <f t="shared" si="4"/>
        <v/>
      </c>
    </row>
    <row r="289" spans="1:28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 t="str">
        <f t="shared" si="4"/>
        <v/>
      </c>
    </row>
    <row r="290" spans="1:28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 t="str">
        <f t="shared" si="4"/>
        <v/>
      </c>
    </row>
    <row r="291" spans="1:28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 t="str">
        <f t="shared" si="4"/>
        <v/>
      </c>
    </row>
    <row r="292" spans="1:28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 t="str">
        <f t="shared" si="4"/>
        <v/>
      </c>
    </row>
    <row r="293" spans="1:28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 t="str">
        <f t="shared" si="4"/>
        <v/>
      </c>
    </row>
    <row r="294" spans="1:28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 t="str">
        <f t="shared" si="4"/>
        <v/>
      </c>
    </row>
    <row r="295" spans="1:28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 t="str">
        <f t="shared" si="4"/>
        <v/>
      </c>
    </row>
    <row r="296" spans="1:28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 t="str">
        <f t="shared" si="4"/>
        <v/>
      </c>
    </row>
    <row r="297" spans="1:28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 t="str">
        <f t="shared" si="4"/>
        <v/>
      </c>
    </row>
    <row r="298" spans="1:28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 t="str">
        <f t="shared" si="4"/>
        <v/>
      </c>
    </row>
    <row r="299" spans="1:28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 t="str">
        <f t="shared" si="4"/>
        <v/>
      </c>
    </row>
    <row r="300" spans="1:28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 t="str">
        <f t="shared" si="4"/>
        <v/>
      </c>
    </row>
    <row r="301" spans="1:28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 t="str">
        <f t="shared" si="4"/>
        <v/>
      </c>
    </row>
    <row r="302" spans="1:28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 t="str">
        <f t="shared" si="4"/>
        <v/>
      </c>
    </row>
    <row r="303" spans="1:28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 t="str">
        <f t="shared" si="4"/>
        <v/>
      </c>
    </row>
    <row r="304" spans="1:28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 t="str">
        <f t="shared" si="4"/>
        <v/>
      </c>
    </row>
    <row r="305" spans="1:28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 t="str">
        <f t="shared" si="4"/>
        <v/>
      </c>
    </row>
    <row r="306" spans="1:28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 t="str">
        <f t="shared" si="4"/>
        <v/>
      </c>
    </row>
    <row r="307" spans="1:28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 t="str">
        <f t="shared" si="4"/>
        <v/>
      </c>
    </row>
    <row r="308" spans="1:28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 t="str">
        <f t="shared" si="4"/>
        <v/>
      </c>
    </row>
    <row r="309" spans="1:28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 t="str">
        <f t="shared" si="4"/>
        <v/>
      </c>
    </row>
    <row r="310" spans="1:28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 t="str">
        <f t="shared" si="4"/>
        <v/>
      </c>
    </row>
    <row r="311" spans="1:28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 t="str">
        <f t="shared" si="4"/>
        <v/>
      </c>
    </row>
    <row r="312" spans="1:28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 t="str">
        <f t="shared" si="4"/>
        <v/>
      </c>
    </row>
    <row r="313" spans="1:28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 t="str">
        <f t="shared" si="4"/>
        <v/>
      </c>
    </row>
    <row r="314" spans="1:28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 t="str">
        <f t="shared" si="4"/>
        <v/>
      </c>
    </row>
    <row r="315" spans="1:28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 t="str">
        <f t="shared" si="4"/>
        <v/>
      </c>
    </row>
    <row r="316" spans="1:28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 t="str">
        <f t="shared" si="4"/>
        <v/>
      </c>
    </row>
    <row r="317" spans="1:28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 t="str">
        <f t="shared" si="4"/>
        <v/>
      </c>
    </row>
    <row r="318" spans="1:28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 t="str">
        <f t="shared" si="4"/>
        <v/>
      </c>
    </row>
    <row r="319" spans="1:28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 t="str">
        <f t="shared" si="4"/>
        <v/>
      </c>
    </row>
    <row r="320" spans="1:28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 t="str">
        <f t="shared" si="4"/>
        <v/>
      </c>
    </row>
    <row r="321" spans="1:28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 t="str">
        <f t="shared" si="4"/>
        <v/>
      </c>
    </row>
    <row r="322" spans="1:28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 t="str">
        <f t="shared" si="4"/>
        <v/>
      </c>
    </row>
    <row r="323" spans="1:28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 t="str">
        <f t="shared" ref="AB323:AB386" si="5">IF(ISNUMBER(SEARCH("Successful",F323)),
   "Successful",
   IF(ISNUMBER(SEARCH("Failed",F323)),"Failed",""))</f>
        <v/>
      </c>
    </row>
    <row r="324" spans="1:28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 t="str">
        <f t="shared" si="5"/>
        <v/>
      </c>
    </row>
    <row r="325" spans="1:28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 t="str">
        <f t="shared" si="5"/>
        <v/>
      </c>
    </row>
    <row r="326" spans="1:28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 t="str">
        <f t="shared" si="5"/>
        <v/>
      </c>
    </row>
    <row r="327" spans="1:28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 t="str">
        <f t="shared" si="5"/>
        <v/>
      </c>
    </row>
    <row r="328" spans="1:28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 t="str">
        <f t="shared" si="5"/>
        <v/>
      </c>
    </row>
    <row r="329" spans="1:28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 t="str">
        <f t="shared" si="5"/>
        <v/>
      </c>
    </row>
    <row r="330" spans="1:28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 t="str">
        <f t="shared" si="5"/>
        <v/>
      </c>
    </row>
    <row r="331" spans="1:28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 t="str">
        <f t="shared" si="5"/>
        <v/>
      </c>
    </row>
    <row r="332" spans="1:28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 t="str">
        <f t="shared" si="5"/>
        <v/>
      </c>
    </row>
    <row r="333" spans="1:28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 t="str">
        <f t="shared" si="5"/>
        <v/>
      </c>
    </row>
    <row r="334" spans="1:28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 t="str">
        <f t="shared" si="5"/>
        <v/>
      </c>
    </row>
    <row r="335" spans="1:28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 t="str">
        <f t="shared" si="5"/>
        <v/>
      </c>
    </row>
    <row r="336" spans="1:28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 t="str">
        <f t="shared" si="5"/>
        <v/>
      </c>
    </row>
    <row r="337" spans="1:28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 t="str">
        <f t="shared" si="5"/>
        <v/>
      </c>
    </row>
    <row r="338" spans="1:28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 t="str">
        <f t="shared" si="5"/>
        <v/>
      </c>
    </row>
    <row r="339" spans="1:28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 t="str">
        <f t="shared" si="5"/>
        <v/>
      </c>
    </row>
    <row r="340" spans="1:28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 t="str">
        <f t="shared" si="5"/>
        <v/>
      </c>
    </row>
    <row r="341" spans="1:28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 t="str">
        <f t="shared" si="5"/>
        <v/>
      </c>
    </row>
    <row r="342" spans="1:28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 t="str">
        <f t="shared" si="5"/>
        <v/>
      </c>
    </row>
    <row r="343" spans="1:28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 t="str">
        <f t="shared" si="5"/>
        <v/>
      </c>
    </row>
    <row r="344" spans="1:28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 t="str">
        <f t="shared" si="5"/>
        <v/>
      </c>
    </row>
    <row r="345" spans="1:28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 t="str">
        <f t="shared" si="5"/>
        <v/>
      </c>
    </row>
    <row r="346" spans="1:28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 t="str">
        <f t="shared" si="5"/>
        <v/>
      </c>
    </row>
    <row r="347" spans="1:28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 t="str">
        <f t="shared" si="5"/>
        <v/>
      </c>
    </row>
    <row r="348" spans="1:28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 t="str">
        <f t="shared" si="5"/>
        <v/>
      </c>
    </row>
    <row r="349" spans="1:28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 t="str">
        <f t="shared" si="5"/>
        <v/>
      </c>
    </row>
    <row r="350" spans="1:28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 t="str">
        <f t="shared" si="5"/>
        <v/>
      </c>
    </row>
    <row r="351" spans="1:28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 t="str">
        <f t="shared" si="5"/>
        <v/>
      </c>
    </row>
    <row r="352" spans="1:28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 t="str">
        <f t="shared" si="5"/>
        <v/>
      </c>
    </row>
    <row r="353" spans="1:28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 t="str">
        <f t="shared" si="5"/>
        <v/>
      </c>
    </row>
    <row r="354" spans="1:28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 t="str">
        <f t="shared" si="5"/>
        <v/>
      </c>
    </row>
    <row r="355" spans="1:28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 t="str">
        <f t="shared" si="5"/>
        <v/>
      </c>
    </row>
    <row r="356" spans="1:28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 t="str">
        <f t="shared" si="5"/>
        <v/>
      </c>
    </row>
    <row r="357" spans="1:28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 t="str">
        <f t="shared" si="5"/>
        <v/>
      </c>
    </row>
    <row r="358" spans="1:28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 t="str">
        <f t="shared" si="5"/>
        <v/>
      </c>
    </row>
    <row r="359" spans="1:28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 t="str">
        <f t="shared" si="5"/>
        <v/>
      </c>
    </row>
    <row r="360" spans="1:28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 t="str">
        <f t="shared" si="5"/>
        <v/>
      </c>
    </row>
    <row r="361" spans="1:28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 t="str">
        <f t="shared" si="5"/>
        <v/>
      </c>
    </row>
    <row r="362" spans="1:28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 t="str">
        <f t="shared" si="5"/>
        <v/>
      </c>
    </row>
    <row r="363" spans="1:28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 t="str">
        <f t="shared" si="5"/>
        <v/>
      </c>
    </row>
    <row r="364" spans="1:28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 t="str">
        <f t="shared" si="5"/>
        <v/>
      </c>
    </row>
    <row r="365" spans="1:28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 t="str">
        <f t="shared" si="5"/>
        <v/>
      </c>
    </row>
    <row r="366" spans="1:28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 t="str">
        <f t="shared" si="5"/>
        <v/>
      </c>
    </row>
    <row r="367" spans="1:28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 t="str">
        <f t="shared" si="5"/>
        <v/>
      </c>
    </row>
    <row r="368" spans="1:28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 t="str">
        <f t="shared" si="5"/>
        <v/>
      </c>
    </row>
    <row r="369" spans="1:28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 t="str">
        <f t="shared" si="5"/>
        <v/>
      </c>
    </row>
    <row r="370" spans="1:28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 t="str">
        <f t="shared" si="5"/>
        <v/>
      </c>
    </row>
    <row r="371" spans="1:28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 t="str">
        <f t="shared" si="5"/>
        <v/>
      </c>
    </row>
    <row r="372" spans="1:28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 t="str">
        <f t="shared" si="5"/>
        <v/>
      </c>
    </row>
    <row r="373" spans="1:28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 t="str">
        <f t="shared" si="5"/>
        <v/>
      </c>
    </row>
    <row r="374" spans="1:28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 t="str">
        <f t="shared" si="5"/>
        <v/>
      </c>
    </row>
    <row r="375" spans="1:28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 t="str">
        <f t="shared" si="5"/>
        <v/>
      </c>
    </row>
    <row r="376" spans="1:28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 t="str">
        <f t="shared" si="5"/>
        <v/>
      </c>
    </row>
    <row r="377" spans="1:28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 t="str">
        <f t="shared" si="5"/>
        <v/>
      </c>
    </row>
    <row r="378" spans="1:28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 t="str">
        <f t="shared" si="5"/>
        <v/>
      </c>
    </row>
    <row r="379" spans="1:28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 t="str">
        <f t="shared" si="5"/>
        <v/>
      </c>
    </row>
    <row r="380" spans="1:28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 t="str">
        <f t="shared" si="5"/>
        <v/>
      </c>
    </row>
    <row r="381" spans="1:28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 t="str">
        <f t="shared" si="5"/>
        <v/>
      </c>
    </row>
    <row r="382" spans="1:28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 t="str">
        <f t="shared" si="5"/>
        <v/>
      </c>
    </row>
    <row r="383" spans="1:28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 t="str">
        <f t="shared" si="5"/>
        <v/>
      </c>
    </row>
    <row r="384" spans="1:28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 t="str">
        <f t="shared" si="5"/>
        <v/>
      </c>
    </row>
    <row r="385" spans="1:28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 t="str">
        <f t="shared" si="5"/>
        <v/>
      </c>
    </row>
    <row r="386" spans="1:28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 t="str">
        <f t="shared" si="5"/>
        <v/>
      </c>
    </row>
    <row r="387" spans="1:28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 t="str">
        <f t="shared" ref="AB387:AB450" si="6">IF(ISNUMBER(SEARCH("Successful",F387)),
   "Successful",
   IF(ISNUMBER(SEARCH("Failed",F387)),"Failed",""))</f>
        <v/>
      </c>
    </row>
    <row r="388" spans="1:28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 t="str">
        <f t="shared" si="6"/>
        <v/>
      </c>
    </row>
    <row r="389" spans="1:28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 t="str">
        <f t="shared" si="6"/>
        <v/>
      </c>
    </row>
    <row r="390" spans="1:28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 t="str">
        <f t="shared" si="6"/>
        <v/>
      </c>
    </row>
    <row r="391" spans="1:28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 t="str">
        <f t="shared" si="6"/>
        <v/>
      </c>
    </row>
    <row r="392" spans="1:28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 t="str">
        <f t="shared" si="6"/>
        <v/>
      </c>
    </row>
    <row r="393" spans="1:28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 t="str">
        <f t="shared" si="6"/>
        <v/>
      </c>
    </row>
    <row r="394" spans="1:28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 t="str">
        <f t="shared" si="6"/>
        <v/>
      </c>
    </row>
    <row r="395" spans="1:28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t="str">
        <f t="shared" si="6"/>
        <v/>
      </c>
    </row>
    <row r="396" spans="1:28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 t="str">
        <f t="shared" si="6"/>
        <v/>
      </c>
    </row>
    <row r="397" spans="1:28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 t="str">
        <f t="shared" si="6"/>
        <v/>
      </c>
    </row>
    <row r="398" spans="1:28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 t="str">
        <f t="shared" si="6"/>
        <v/>
      </c>
    </row>
    <row r="399" spans="1:28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 t="str">
        <f t="shared" si="6"/>
        <v/>
      </c>
    </row>
    <row r="400" spans="1:28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 t="str">
        <f t="shared" si="6"/>
        <v/>
      </c>
    </row>
    <row r="401" spans="1:28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 t="str">
        <f t="shared" si="6"/>
        <v/>
      </c>
    </row>
    <row r="402" spans="1:28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 t="str">
        <f t="shared" si="6"/>
        <v/>
      </c>
    </row>
    <row r="403" spans="1:28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 t="str">
        <f t="shared" si="6"/>
        <v/>
      </c>
    </row>
    <row r="404" spans="1:28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 t="str">
        <f t="shared" si="6"/>
        <v/>
      </c>
    </row>
    <row r="405" spans="1:28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 t="str">
        <f t="shared" si="6"/>
        <v/>
      </c>
    </row>
    <row r="406" spans="1:28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 t="str">
        <f t="shared" si="6"/>
        <v/>
      </c>
    </row>
    <row r="407" spans="1:28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 t="str">
        <f t="shared" si="6"/>
        <v/>
      </c>
    </row>
    <row r="408" spans="1:28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 t="str">
        <f t="shared" si="6"/>
        <v/>
      </c>
    </row>
    <row r="409" spans="1:28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 t="str">
        <f t="shared" si="6"/>
        <v/>
      </c>
    </row>
    <row r="410" spans="1:28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 t="str">
        <f t="shared" si="6"/>
        <v/>
      </c>
    </row>
    <row r="411" spans="1:28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 t="str">
        <f t="shared" si="6"/>
        <v/>
      </c>
    </row>
    <row r="412" spans="1:28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 t="str">
        <f t="shared" si="6"/>
        <v/>
      </c>
    </row>
    <row r="413" spans="1:28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 t="str">
        <f t="shared" si="6"/>
        <v/>
      </c>
    </row>
    <row r="414" spans="1:28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 t="str">
        <f t="shared" si="6"/>
        <v/>
      </c>
    </row>
    <row r="415" spans="1:28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 t="str">
        <f t="shared" si="6"/>
        <v/>
      </c>
    </row>
    <row r="416" spans="1:28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 t="str">
        <f t="shared" si="6"/>
        <v/>
      </c>
    </row>
    <row r="417" spans="1:28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 t="str">
        <f t="shared" si="6"/>
        <v/>
      </c>
    </row>
    <row r="418" spans="1:28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 t="str">
        <f t="shared" si="6"/>
        <v/>
      </c>
    </row>
    <row r="419" spans="1:28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 t="str">
        <f t="shared" si="6"/>
        <v/>
      </c>
    </row>
    <row r="420" spans="1:28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 t="str">
        <f t="shared" si="6"/>
        <v/>
      </c>
    </row>
    <row r="421" spans="1:28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 t="str">
        <f t="shared" si="6"/>
        <v/>
      </c>
    </row>
    <row r="422" spans="1:28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 t="str">
        <f t="shared" si="6"/>
        <v/>
      </c>
    </row>
    <row r="423" spans="1:28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 t="str">
        <f t="shared" si="6"/>
        <v/>
      </c>
    </row>
    <row r="424" spans="1:28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 t="str">
        <f t="shared" si="6"/>
        <v/>
      </c>
    </row>
    <row r="425" spans="1:28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 t="str">
        <f t="shared" si="6"/>
        <v/>
      </c>
    </row>
    <row r="426" spans="1:28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 t="str">
        <f t="shared" si="6"/>
        <v/>
      </c>
    </row>
    <row r="427" spans="1:28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 t="str">
        <f t="shared" si="6"/>
        <v/>
      </c>
    </row>
    <row r="428" spans="1:28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 t="str">
        <f t="shared" si="6"/>
        <v/>
      </c>
    </row>
    <row r="429" spans="1:28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 t="str">
        <f t="shared" si="6"/>
        <v/>
      </c>
    </row>
    <row r="430" spans="1:28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 t="str">
        <f t="shared" si="6"/>
        <v/>
      </c>
    </row>
    <row r="431" spans="1:28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 t="str">
        <f t="shared" si="6"/>
        <v/>
      </c>
    </row>
    <row r="432" spans="1:28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 t="str">
        <f t="shared" si="6"/>
        <v/>
      </c>
    </row>
    <row r="433" spans="1:28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 t="str">
        <f t="shared" si="6"/>
        <v/>
      </c>
    </row>
    <row r="434" spans="1:28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 t="str">
        <f t="shared" si="6"/>
        <v/>
      </c>
    </row>
    <row r="435" spans="1:28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 t="str">
        <f t="shared" si="6"/>
        <v/>
      </c>
    </row>
    <row r="436" spans="1:28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 t="str">
        <f t="shared" si="6"/>
        <v/>
      </c>
    </row>
    <row r="437" spans="1:28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 t="str">
        <f t="shared" si="6"/>
        <v/>
      </c>
    </row>
    <row r="438" spans="1:28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 t="str">
        <f t="shared" si="6"/>
        <v/>
      </c>
    </row>
    <row r="439" spans="1:28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 t="str">
        <f t="shared" si="6"/>
        <v/>
      </c>
    </row>
    <row r="440" spans="1:28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 t="str">
        <f t="shared" si="6"/>
        <v/>
      </c>
    </row>
    <row r="441" spans="1:28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 t="str">
        <f t="shared" si="6"/>
        <v/>
      </c>
    </row>
    <row r="442" spans="1:28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 t="str">
        <f t="shared" si="6"/>
        <v/>
      </c>
    </row>
    <row r="443" spans="1:28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 t="str">
        <f t="shared" si="6"/>
        <v/>
      </c>
    </row>
    <row r="444" spans="1:28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 t="str">
        <f t="shared" si="6"/>
        <v/>
      </c>
    </row>
    <row r="445" spans="1:28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 t="str">
        <f t="shared" si="6"/>
        <v/>
      </c>
    </row>
    <row r="446" spans="1:28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 t="str">
        <f t="shared" si="6"/>
        <v/>
      </c>
    </row>
    <row r="447" spans="1:28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 t="str">
        <f t="shared" si="6"/>
        <v/>
      </c>
    </row>
    <row r="448" spans="1:28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 t="str">
        <f t="shared" si="6"/>
        <v/>
      </c>
    </row>
    <row r="449" spans="1:28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 t="str">
        <f t="shared" si="6"/>
        <v/>
      </c>
    </row>
    <row r="450" spans="1:28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 t="str">
        <f t="shared" si="6"/>
        <v/>
      </c>
    </row>
    <row r="451" spans="1:28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 t="str">
        <f t="shared" ref="AB451:AB514" si="7">IF(ISNUMBER(SEARCH("Successful",F451)),
   "Successful",
   IF(ISNUMBER(SEARCH("Failed",F451)),"Failed",""))</f>
        <v/>
      </c>
    </row>
    <row r="452" spans="1:28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 t="str">
        <f t="shared" si="7"/>
        <v/>
      </c>
    </row>
    <row r="453" spans="1:28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 t="str">
        <f t="shared" si="7"/>
        <v/>
      </c>
    </row>
    <row r="454" spans="1:28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 t="str">
        <f t="shared" si="7"/>
        <v/>
      </c>
    </row>
    <row r="455" spans="1:28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 t="str">
        <f t="shared" si="7"/>
        <v/>
      </c>
    </row>
    <row r="456" spans="1:28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 t="str">
        <f t="shared" si="7"/>
        <v/>
      </c>
    </row>
    <row r="457" spans="1:28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 t="str">
        <f t="shared" si="7"/>
        <v/>
      </c>
    </row>
    <row r="458" spans="1:28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 t="str">
        <f t="shared" si="7"/>
        <v/>
      </c>
    </row>
    <row r="459" spans="1:28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 t="str">
        <f t="shared" si="7"/>
        <v/>
      </c>
    </row>
    <row r="460" spans="1:28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 t="str">
        <f t="shared" si="7"/>
        <v/>
      </c>
    </row>
    <row r="461" spans="1:28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 t="str">
        <f t="shared" si="7"/>
        <v/>
      </c>
    </row>
    <row r="462" spans="1:28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 t="str">
        <f t="shared" si="7"/>
        <v/>
      </c>
    </row>
    <row r="463" spans="1:28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 t="str">
        <f t="shared" si="7"/>
        <v/>
      </c>
    </row>
    <row r="464" spans="1:28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 t="str">
        <f t="shared" si="7"/>
        <v/>
      </c>
    </row>
    <row r="465" spans="1:28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 t="str">
        <f t="shared" si="7"/>
        <v/>
      </c>
    </row>
    <row r="466" spans="1:28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 t="str">
        <f t="shared" si="7"/>
        <v/>
      </c>
    </row>
    <row r="467" spans="1:28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 t="str">
        <f t="shared" si="7"/>
        <v/>
      </c>
    </row>
    <row r="468" spans="1:28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 t="str">
        <f t="shared" si="7"/>
        <v/>
      </c>
    </row>
    <row r="469" spans="1:28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 t="str">
        <f t="shared" si="7"/>
        <v/>
      </c>
    </row>
    <row r="470" spans="1:28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 t="str">
        <f t="shared" si="7"/>
        <v/>
      </c>
    </row>
    <row r="471" spans="1:28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 t="str">
        <f t="shared" si="7"/>
        <v/>
      </c>
    </row>
    <row r="472" spans="1:28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 t="str">
        <f t="shared" si="7"/>
        <v/>
      </c>
    </row>
    <row r="473" spans="1:28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 t="str">
        <f t="shared" si="7"/>
        <v/>
      </c>
    </row>
    <row r="474" spans="1:28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 t="str">
        <f t="shared" si="7"/>
        <v/>
      </c>
    </row>
    <row r="475" spans="1:28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 t="str">
        <f t="shared" si="7"/>
        <v/>
      </c>
    </row>
    <row r="476" spans="1:28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 t="str">
        <f t="shared" si="7"/>
        <v/>
      </c>
    </row>
    <row r="477" spans="1:28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 t="str">
        <f t="shared" si="7"/>
        <v/>
      </c>
    </row>
    <row r="478" spans="1:28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 t="str">
        <f t="shared" si="7"/>
        <v/>
      </c>
    </row>
    <row r="479" spans="1:28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 t="str">
        <f t="shared" si="7"/>
        <v/>
      </c>
    </row>
    <row r="480" spans="1:28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 t="str">
        <f t="shared" si="7"/>
        <v/>
      </c>
    </row>
    <row r="481" spans="1:28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 t="str">
        <f t="shared" si="7"/>
        <v/>
      </c>
    </row>
    <row r="482" spans="1:28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 t="str">
        <f t="shared" si="7"/>
        <v/>
      </c>
    </row>
    <row r="483" spans="1:28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 t="str">
        <f t="shared" si="7"/>
        <v/>
      </c>
    </row>
    <row r="484" spans="1:28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 t="str">
        <f t="shared" si="7"/>
        <v/>
      </c>
    </row>
    <row r="485" spans="1:28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 t="str">
        <f t="shared" si="7"/>
        <v/>
      </c>
    </row>
    <row r="486" spans="1:28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 t="str">
        <f t="shared" si="7"/>
        <v/>
      </c>
    </row>
    <row r="487" spans="1:28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 t="str">
        <f t="shared" si="7"/>
        <v/>
      </c>
    </row>
    <row r="488" spans="1:28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 t="str">
        <f t="shared" si="7"/>
        <v/>
      </c>
    </row>
    <row r="489" spans="1:28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 t="str">
        <f t="shared" si="7"/>
        <v/>
      </c>
    </row>
    <row r="490" spans="1:28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 t="str">
        <f t="shared" si="7"/>
        <v/>
      </c>
    </row>
    <row r="491" spans="1:28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 t="str">
        <f t="shared" si="7"/>
        <v/>
      </c>
    </row>
    <row r="492" spans="1:28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 t="str">
        <f t="shared" si="7"/>
        <v/>
      </c>
    </row>
    <row r="493" spans="1:28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 t="str">
        <f t="shared" si="7"/>
        <v/>
      </c>
    </row>
    <row r="494" spans="1:28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 t="str">
        <f t="shared" si="7"/>
        <v/>
      </c>
    </row>
    <row r="495" spans="1:28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 t="str">
        <f t="shared" si="7"/>
        <v/>
      </c>
    </row>
    <row r="496" spans="1:28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 t="str">
        <f t="shared" si="7"/>
        <v/>
      </c>
    </row>
    <row r="497" spans="1:28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 t="str">
        <f t="shared" si="7"/>
        <v/>
      </c>
    </row>
    <row r="498" spans="1:28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 t="str">
        <f t="shared" si="7"/>
        <v/>
      </c>
    </row>
    <row r="499" spans="1:28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 t="str">
        <f t="shared" si="7"/>
        <v/>
      </c>
    </row>
    <row r="500" spans="1:28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 t="str">
        <f t="shared" si="7"/>
        <v/>
      </c>
    </row>
    <row r="501" spans="1:28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 t="str">
        <f t="shared" si="7"/>
        <v/>
      </c>
    </row>
    <row r="502" spans="1:28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 t="str">
        <f t="shared" si="7"/>
        <v/>
      </c>
    </row>
    <row r="503" spans="1:28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 t="str">
        <f t="shared" si="7"/>
        <v/>
      </c>
    </row>
    <row r="504" spans="1:28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 t="str">
        <f t="shared" si="7"/>
        <v/>
      </c>
    </row>
    <row r="505" spans="1:28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 t="str">
        <f t="shared" si="7"/>
        <v/>
      </c>
    </row>
    <row r="506" spans="1:28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 t="str">
        <f t="shared" si="7"/>
        <v/>
      </c>
    </row>
    <row r="507" spans="1:28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 t="str">
        <f t="shared" si="7"/>
        <v/>
      </c>
    </row>
    <row r="508" spans="1:28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 t="str">
        <f t="shared" si="7"/>
        <v/>
      </c>
    </row>
    <row r="509" spans="1:28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 t="str">
        <f t="shared" si="7"/>
        <v/>
      </c>
    </row>
    <row r="510" spans="1:28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 t="str">
        <f t="shared" si="7"/>
        <v/>
      </c>
    </row>
    <row r="511" spans="1:28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 t="str">
        <f t="shared" si="7"/>
        <v/>
      </c>
    </row>
    <row r="512" spans="1:28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 t="str">
        <f t="shared" si="7"/>
        <v/>
      </c>
    </row>
    <row r="513" spans="1:28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 t="str">
        <f t="shared" si="7"/>
        <v/>
      </c>
    </row>
    <row r="514" spans="1:28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 t="str">
        <f t="shared" si="7"/>
        <v/>
      </c>
    </row>
    <row r="515" spans="1:28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 t="str">
        <f t="shared" ref="AB515:AB578" si="8">IF(ISNUMBER(SEARCH("Successful",F515)),
   "Successful",
   IF(ISNUMBER(SEARCH("Failed",F515)),"Failed",""))</f>
        <v/>
      </c>
    </row>
    <row r="516" spans="1:28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 t="str">
        <f t="shared" si="8"/>
        <v/>
      </c>
    </row>
    <row r="517" spans="1:28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 t="str">
        <f t="shared" si="8"/>
        <v/>
      </c>
    </row>
    <row r="518" spans="1:28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 t="str">
        <f t="shared" si="8"/>
        <v/>
      </c>
    </row>
    <row r="519" spans="1:28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 t="str">
        <f t="shared" si="8"/>
        <v/>
      </c>
    </row>
    <row r="520" spans="1:28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 t="str">
        <f t="shared" si="8"/>
        <v/>
      </c>
    </row>
    <row r="521" spans="1:28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 t="str">
        <f t="shared" si="8"/>
        <v/>
      </c>
    </row>
    <row r="522" spans="1:28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 t="str">
        <f t="shared" si="8"/>
        <v/>
      </c>
    </row>
    <row r="523" spans="1:28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 t="str">
        <f t="shared" si="8"/>
        <v/>
      </c>
    </row>
    <row r="524" spans="1:28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 t="str">
        <f t="shared" si="8"/>
        <v/>
      </c>
    </row>
    <row r="525" spans="1:28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 t="str">
        <f t="shared" si="8"/>
        <v/>
      </c>
    </row>
    <row r="526" spans="1:28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 t="str">
        <f t="shared" si="8"/>
        <v/>
      </c>
    </row>
    <row r="527" spans="1:28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 t="str">
        <f t="shared" si="8"/>
        <v/>
      </c>
    </row>
    <row r="528" spans="1:28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 t="str">
        <f t="shared" si="8"/>
        <v/>
      </c>
    </row>
    <row r="529" spans="1:28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 t="str">
        <f t="shared" si="8"/>
        <v/>
      </c>
    </row>
    <row r="530" spans="1:28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 t="str">
        <f t="shared" si="8"/>
        <v/>
      </c>
    </row>
    <row r="531" spans="1:28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 t="str">
        <f t="shared" si="8"/>
        <v/>
      </c>
    </row>
    <row r="532" spans="1:28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 t="str">
        <f t="shared" si="8"/>
        <v/>
      </c>
    </row>
    <row r="533" spans="1:28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 t="str">
        <f t="shared" si="8"/>
        <v/>
      </c>
    </row>
    <row r="534" spans="1:28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 t="str">
        <f t="shared" si="8"/>
        <v/>
      </c>
    </row>
    <row r="535" spans="1:28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 t="str">
        <f t="shared" si="8"/>
        <v/>
      </c>
    </row>
    <row r="536" spans="1:28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 t="str">
        <f t="shared" si="8"/>
        <v/>
      </c>
    </row>
    <row r="537" spans="1:28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 t="str">
        <f t="shared" si="8"/>
        <v/>
      </c>
    </row>
    <row r="538" spans="1:28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 t="str">
        <f t="shared" si="8"/>
        <v/>
      </c>
    </row>
    <row r="539" spans="1:28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 t="str">
        <f t="shared" si="8"/>
        <v/>
      </c>
    </row>
    <row r="540" spans="1:28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 t="str">
        <f t="shared" si="8"/>
        <v/>
      </c>
    </row>
    <row r="541" spans="1:28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 t="str">
        <f t="shared" si="8"/>
        <v/>
      </c>
    </row>
    <row r="542" spans="1:28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 t="str">
        <f t="shared" si="8"/>
        <v/>
      </c>
    </row>
    <row r="543" spans="1:28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 t="str">
        <f t="shared" si="8"/>
        <v/>
      </c>
    </row>
    <row r="544" spans="1:28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 t="str">
        <f t="shared" si="8"/>
        <v/>
      </c>
    </row>
    <row r="545" spans="1:28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 t="str">
        <f t="shared" si="8"/>
        <v/>
      </c>
    </row>
    <row r="546" spans="1:28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 t="str">
        <f t="shared" si="8"/>
        <v/>
      </c>
    </row>
    <row r="547" spans="1:28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 t="str">
        <f t="shared" si="8"/>
        <v/>
      </c>
    </row>
    <row r="548" spans="1:28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 t="str">
        <f t="shared" si="8"/>
        <v/>
      </c>
    </row>
    <row r="549" spans="1:28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 t="str">
        <f t="shared" si="8"/>
        <v/>
      </c>
    </row>
    <row r="550" spans="1:28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 t="str">
        <f t="shared" si="8"/>
        <v/>
      </c>
    </row>
    <row r="551" spans="1:28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 t="str">
        <f t="shared" si="8"/>
        <v/>
      </c>
    </row>
    <row r="552" spans="1:28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 t="str">
        <f t="shared" si="8"/>
        <v/>
      </c>
    </row>
    <row r="553" spans="1:28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 t="str">
        <f t="shared" si="8"/>
        <v/>
      </c>
    </row>
    <row r="554" spans="1:28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 t="str">
        <f t="shared" si="8"/>
        <v/>
      </c>
    </row>
    <row r="555" spans="1:28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 t="str">
        <f t="shared" si="8"/>
        <v/>
      </c>
    </row>
    <row r="556" spans="1:28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 t="str">
        <f t="shared" si="8"/>
        <v/>
      </c>
    </row>
    <row r="557" spans="1:28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 t="str">
        <f t="shared" si="8"/>
        <v/>
      </c>
    </row>
    <row r="558" spans="1:28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 t="str">
        <f t="shared" si="8"/>
        <v/>
      </c>
    </row>
    <row r="559" spans="1:28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 t="str">
        <f t="shared" si="8"/>
        <v/>
      </c>
    </row>
    <row r="560" spans="1:28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 t="str">
        <f t="shared" si="8"/>
        <v/>
      </c>
    </row>
    <row r="561" spans="1:28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 t="str">
        <f t="shared" si="8"/>
        <v/>
      </c>
    </row>
    <row r="562" spans="1:28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 t="str">
        <f t="shared" si="8"/>
        <v/>
      </c>
    </row>
    <row r="563" spans="1:28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 t="str">
        <f t="shared" si="8"/>
        <v/>
      </c>
    </row>
    <row r="564" spans="1:28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 t="str">
        <f t="shared" si="8"/>
        <v/>
      </c>
    </row>
    <row r="565" spans="1:28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 t="str">
        <f t="shared" si="8"/>
        <v/>
      </c>
    </row>
    <row r="566" spans="1:28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 t="str">
        <f t="shared" si="8"/>
        <v/>
      </c>
    </row>
    <row r="567" spans="1:28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 t="str">
        <f t="shared" si="8"/>
        <v/>
      </c>
    </row>
    <row r="568" spans="1:28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 t="str">
        <f t="shared" si="8"/>
        <v/>
      </c>
    </row>
    <row r="569" spans="1:28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 t="str">
        <f t="shared" si="8"/>
        <v/>
      </c>
    </row>
    <row r="570" spans="1:28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 t="str">
        <f t="shared" si="8"/>
        <v/>
      </c>
    </row>
    <row r="571" spans="1:28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 t="str">
        <f t="shared" si="8"/>
        <v/>
      </c>
    </row>
    <row r="572" spans="1:28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 t="str">
        <f t="shared" si="8"/>
        <v/>
      </c>
    </row>
    <row r="573" spans="1:28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 t="str">
        <f t="shared" si="8"/>
        <v/>
      </c>
    </row>
    <row r="574" spans="1:28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 t="str">
        <f t="shared" si="8"/>
        <v/>
      </c>
    </row>
    <row r="575" spans="1:28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 t="str">
        <f t="shared" si="8"/>
        <v/>
      </c>
    </row>
    <row r="576" spans="1:28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 t="str">
        <f t="shared" si="8"/>
        <v/>
      </c>
    </row>
    <row r="577" spans="1:28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 t="str">
        <f t="shared" si="8"/>
        <v/>
      </c>
    </row>
    <row r="578" spans="1:28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 t="str">
        <f t="shared" si="8"/>
        <v/>
      </c>
    </row>
    <row r="579" spans="1:28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 t="str">
        <f t="shared" ref="AB579:AB642" si="9">IF(ISNUMBER(SEARCH("Successful",F579)),
   "Successful",
   IF(ISNUMBER(SEARCH("Failed",F579)),"Failed",""))</f>
        <v/>
      </c>
    </row>
    <row r="580" spans="1:28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 t="str">
        <f t="shared" si="9"/>
        <v/>
      </c>
    </row>
    <row r="581" spans="1:28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 t="str">
        <f t="shared" si="9"/>
        <v/>
      </c>
    </row>
    <row r="582" spans="1:28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 t="str">
        <f t="shared" si="9"/>
        <v/>
      </c>
    </row>
    <row r="583" spans="1:28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 t="str">
        <f t="shared" si="9"/>
        <v/>
      </c>
    </row>
    <row r="584" spans="1:28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 t="str">
        <f t="shared" si="9"/>
        <v/>
      </c>
    </row>
    <row r="585" spans="1:28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 t="str">
        <f t="shared" si="9"/>
        <v/>
      </c>
    </row>
    <row r="586" spans="1:28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 t="str">
        <f t="shared" si="9"/>
        <v/>
      </c>
    </row>
    <row r="587" spans="1:28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 t="str">
        <f t="shared" si="9"/>
        <v/>
      </c>
    </row>
    <row r="588" spans="1:28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 t="str">
        <f t="shared" si="9"/>
        <v/>
      </c>
    </row>
    <row r="589" spans="1:28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 t="str">
        <f t="shared" si="9"/>
        <v/>
      </c>
    </row>
    <row r="590" spans="1:28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 t="str">
        <f t="shared" si="9"/>
        <v/>
      </c>
    </row>
    <row r="591" spans="1:28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 t="str">
        <f t="shared" si="9"/>
        <v/>
      </c>
    </row>
    <row r="592" spans="1:28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 t="str">
        <f t="shared" si="9"/>
        <v/>
      </c>
    </row>
    <row r="593" spans="1:28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 t="str">
        <f t="shared" si="9"/>
        <v/>
      </c>
    </row>
    <row r="594" spans="1:28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 t="str">
        <f t="shared" si="9"/>
        <v/>
      </c>
    </row>
    <row r="595" spans="1:28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 t="str">
        <f t="shared" si="9"/>
        <v/>
      </c>
    </row>
    <row r="596" spans="1:28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 t="str">
        <f t="shared" si="9"/>
        <v/>
      </c>
    </row>
    <row r="597" spans="1:28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 t="str">
        <f t="shared" si="9"/>
        <v/>
      </c>
    </row>
    <row r="598" spans="1:28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 t="str">
        <f t="shared" si="9"/>
        <v/>
      </c>
    </row>
    <row r="599" spans="1:28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 t="str">
        <f t="shared" si="9"/>
        <v/>
      </c>
    </row>
    <row r="600" spans="1:28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 t="str">
        <f t="shared" si="9"/>
        <v/>
      </c>
    </row>
    <row r="601" spans="1:28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 t="str">
        <f t="shared" si="9"/>
        <v/>
      </c>
    </row>
    <row r="602" spans="1:28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 t="str">
        <f t="shared" si="9"/>
        <v/>
      </c>
    </row>
    <row r="603" spans="1:28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 t="str">
        <f t="shared" si="9"/>
        <v/>
      </c>
    </row>
    <row r="604" spans="1:28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 t="str">
        <f t="shared" si="9"/>
        <v/>
      </c>
    </row>
    <row r="605" spans="1:28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 t="str">
        <f t="shared" si="9"/>
        <v/>
      </c>
    </row>
    <row r="606" spans="1:28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 t="str">
        <f t="shared" si="9"/>
        <v/>
      </c>
    </row>
    <row r="607" spans="1:28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 t="str">
        <f t="shared" si="9"/>
        <v/>
      </c>
    </row>
    <row r="608" spans="1:28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 t="str">
        <f t="shared" si="9"/>
        <v/>
      </c>
    </row>
    <row r="609" spans="1:28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 t="str">
        <f t="shared" si="9"/>
        <v/>
      </c>
    </row>
    <row r="610" spans="1:28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 t="str">
        <f t="shared" si="9"/>
        <v/>
      </c>
    </row>
    <row r="611" spans="1:28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 t="str">
        <f t="shared" si="9"/>
        <v/>
      </c>
    </row>
    <row r="612" spans="1:28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 t="str">
        <f t="shared" si="9"/>
        <v/>
      </c>
    </row>
    <row r="613" spans="1:28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 t="str">
        <f t="shared" si="9"/>
        <v/>
      </c>
    </row>
    <row r="614" spans="1:28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 t="str">
        <f t="shared" si="9"/>
        <v/>
      </c>
    </row>
    <row r="615" spans="1:28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 t="str">
        <f t="shared" si="9"/>
        <v/>
      </c>
    </row>
    <row r="616" spans="1:28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 t="str">
        <f t="shared" si="9"/>
        <v/>
      </c>
    </row>
    <row r="617" spans="1:28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 t="str">
        <f t="shared" si="9"/>
        <v/>
      </c>
    </row>
    <row r="618" spans="1:28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 t="str">
        <f t="shared" si="9"/>
        <v/>
      </c>
    </row>
    <row r="619" spans="1:28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 t="str">
        <f t="shared" si="9"/>
        <v/>
      </c>
    </row>
    <row r="620" spans="1:28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 t="str">
        <f t="shared" si="9"/>
        <v/>
      </c>
    </row>
    <row r="621" spans="1:28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 t="str">
        <f t="shared" si="9"/>
        <v/>
      </c>
    </row>
    <row r="622" spans="1:28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 t="str">
        <f t="shared" si="9"/>
        <v/>
      </c>
    </row>
    <row r="623" spans="1:28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 t="str">
        <f t="shared" si="9"/>
        <v/>
      </c>
    </row>
    <row r="624" spans="1:28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 t="str">
        <f t="shared" si="9"/>
        <v/>
      </c>
    </row>
    <row r="625" spans="1:28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 t="str">
        <f t="shared" si="9"/>
        <v/>
      </c>
    </row>
    <row r="626" spans="1:28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 t="str">
        <f t="shared" si="9"/>
        <v/>
      </c>
    </row>
    <row r="627" spans="1:28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 t="str">
        <f t="shared" si="9"/>
        <v/>
      </c>
    </row>
    <row r="628" spans="1:28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 t="str">
        <f t="shared" si="9"/>
        <v/>
      </c>
    </row>
    <row r="629" spans="1:28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 t="str">
        <f t="shared" si="9"/>
        <v/>
      </c>
    </row>
    <row r="630" spans="1:28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 t="str">
        <f t="shared" si="9"/>
        <v/>
      </c>
    </row>
    <row r="631" spans="1:28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 t="str">
        <f t="shared" si="9"/>
        <v/>
      </c>
    </row>
    <row r="632" spans="1:28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 t="str">
        <f t="shared" si="9"/>
        <v/>
      </c>
    </row>
    <row r="633" spans="1:28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 t="str">
        <f t="shared" si="9"/>
        <v/>
      </c>
    </row>
    <row r="634" spans="1:28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 t="str">
        <f t="shared" si="9"/>
        <v/>
      </c>
    </row>
    <row r="635" spans="1:28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 t="str">
        <f t="shared" si="9"/>
        <v/>
      </c>
    </row>
    <row r="636" spans="1:28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 t="str">
        <f t="shared" si="9"/>
        <v/>
      </c>
    </row>
    <row r="637" spans="1:28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 t="str">
        <f t="shared" si="9"/>
        <v/>
      </c>
    </row>
    <row r="638" spans="1:28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 t="str">
        <f t="shared" si="9"/>
        <v/>
      </c>
    </row>
    <row r="639" spans="1:28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 t="str">
        <f t="shared" si="9"/>
        <v/>
      </c>
    </row>
    <row r="640" spans="1:28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 t="str">
        <f t="shared" si="9"/>
        <v/>
      </c>
    </row>
    <row r="641" spans="1:28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 t="str">
        <f t="shared" si="9"/>
        <v/>
      </c>
    </row>
    <row r="642" spans="1:28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 t="str">
        <f t="shared" si="9"/>
        <v/>
      </c>
    </row>
    <row r="643" spans="1:28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 t="str">
        <f t="shared" ref="AB643:AB706" si="10">IF(ISNUMBER(SEARCH("Successful",F643)),
   "Successful",
   IF(ISNUMBER(SEARCH("Failed",F643)),"Failed",""))</f>
        <v/>
      </c>
    </row>
    <row r="644" spans="1:28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 t="str">
        <f t="shared" si="10"/>
        <v/>
      </c>
    </row>
    <row r="645" spans="1:28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 t="str">
        <f t="shared" si="10"/>
        <v/>
      </c>
    </row>
    <row r="646" spans="1:28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 t="str">
        <f t="shared" si="10"/>
        <v/>
      </c>
    </row>
    <row r="647" spans="1:28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 t="str">
        <f t="shared" si="10"/>
        <v/>
      </c>
    </row>
    <row r="648" spans="1:28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 t="str">
        <f t="shared" si="10"/>
        <v/>
      </c>
    </row>
    <row r="649" spans="1:28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 t="str">
        <f t="shared" si="10"/>
        <v/>
      </c>
    </row>
    <row r="650" spans="1:28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 t="str">
        <f t="shared" si="10"/>
        <v/>
      </c>
    </row>
    <row r="651" spans="1:28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 t="str">
        <f t="shared" si="10"/>
        <v/>
      </c>
    </row>
    <row r="652" spans="1:28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 t="str">
        <f t="shared" si="10"/>
        <v/>
      </c>
    </row>
    <row r="653" spans="1:28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 t="str">
        <f t="shared" si="10"/>
        <v/>
      </c>
    </row>
    <row r="654" spans="1:28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 t="str">
        <f t="shared" si="10"/>
        <v/>
      </c>
    </row>
    <row r="655" spans="1:28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 t="str">
        <f t="shared" si="10"/>
        <v/>
      </c>
    </row>
    <row r="656" spans="1:28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 t="str">
        <f t="shared" si="10"/>
        <v/>
      </c>
    </row>
    <row r="657" spans="1:28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 t="str">
        <f t="shared" si="10"/>
        <v/>
      </c>
    </row>
    <row r="658" spans="1:28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 t="str">
        <f t="shared" si="10"/>
        <v/>
      </c>
    </row>
    <row r="659" spans="1:28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 t="str">
        <f t="shared" si="10"/>
        <v/>
      </c>
    </row>
    <row r="660" spans="1:28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 t="str">
        <f t="shared" si="10"/>
        <v/>
      </c>
    </row>
    <row r="661" spans="1:28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 t="str">
        <f t="shared" si="10"/>
        <v/>
      </c>
    </row>
    <row r="662" spans="1:28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 t="str">
        <f t="shared" si="10"/>
        <v/>
      </c>
    </row>
    <row r="663" spans="1:28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 t="str">
        <f t="shared" si="10"/>
        <v/>
      </c>
    </row>
    <row r="664" spans="1:28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 t="str">
        <f t="shared" si="10"/>
        <v/>
      </c>
    </row>
    <row r="665" spans="1:28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 t="str">
        <f t="shared" si="10"/>
        <v/>
      </c>
    </row>
    <row r="666" spans="1:28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 t="str">
        <f t="shared" si="10"/>
        <v/>
      </c>
    </row>
    <row r="667" spans="1:28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 t="str">
        <f t="shared" si="10"/>
        <v/>
      </c>
    </row>
    <row r="668" spans="1:28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 t="str">
        <f t="shared" si="10"/>
        <v/>
      </c>
    </row>
    <row r="669" spans="1:28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 t="str">
        <f t="shared" si="10"/>
        <v/>
      </c>
    </row>
    <row r="670" spans="1:28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 t="str">
        <f t="shared" si="10"/>
        <v/>
      </c>
    </row>
    <row r="671" spans="1:28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 t="str">
        <f t="shared" si="10"/>
        <v/>
      </c>
    </row>
    <row r="672" spans="1:28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 t="str">
        <f t="shared" si="10"/>
        <v/>
      </c>
    </row>
    <row r="673" spans="1:28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 t="str">
        <f t="shared" si="10"/>
        <v/>
      </c>
    </row>
    <row r="674" spans="1:28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 t="str">
        <f t="shared" si="10"/>
        <v/>
      </c>
    </row>
    <row r="675" spans="1:28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 t="str">
        <f t="shared" si="10"/>
        <v/>
      </c>
    </row>
    <row r="676" spans="1:28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 t="str">
        <f t="shared" si="10"/>
        <v/>
      </c>
    </row>
    <row r="677" spans="1:28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 t="str">
        <f t="shared" si="10"/>
        <v/>
      </c>
    </row>
    <row r="678" spans="1:28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 t="str">
        <f t="shared" si="10"/>
        <v/>
      </c>
    </row>
    <row r="679" spans="1:28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 t="str">
        <f t="shared" si="10"/>
        <v/>
      </c>
    </row>
    <row r="680" spans="1:28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 t="str">
        <f t="shared" si="10"/>
        <v/>
      </c>
    </row>
    <row r="681" spans="1:28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 t="str">
        <f t="shared" si="10"/>
        <v/>
      </c>
    </row>
    <row r="682" spans="1:28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 t="str">
        <f t="shared" si="10"/>
        <v/>
      </c>
    </row>
    <row r="683" spans="1:28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 t="str">
        <f t="shared" si="10"/>
        <v/>
      </c>
    </row>
    <row r="684" spans="1:28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 t="str">
        <f t="shared" si="10"/>
        <v/>
      </c>
    </row>
    <row r="685" spans="1:28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 t="str">
        <f t="shared" si="10"/>
        <v/>
      </c>
    </row>
    <row r="686" spans="1:28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 t="str">
        <f t="shared" si="10"/>
        <v/>
      </c>
    </row>
    <row r="687" spans="1:28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 t="str">
        <f t="shared" si="10"/>
        <v/>
      </c>
    </row>
    <row r="688" spans="1:28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 t="str">
        <f t="shared" si="10"/>
        <v/>
      </c>
    </row>
    <row r="689" spans="1:28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 t="str">
        <f t="shared" si="10"/>
        <v/>
      </c>
    </row>
    <row r="690" spans="1:28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 t="str">
        <f t="shared" si="10"/>
        <v/>
      </c>
    </row>
    <row r="691" spans="1:28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 t="str">
        <f t="shared" si="10"/>
        <v/>
      </c>
    </row>
    <row r="692" spans="1:28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 t="str">
        <f t="shared" si="10"/>
        <v/>
      </c>
    </row>
    <row r="693" spans="1:28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 t="str">
        <f t="shared" si="10"/>
        <v/>
      </c>
    </row>
    <row r="694" spans="1:28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 t="str">
        <f t="shared" si="10"/>
        <v/>
      </c>
    </row>
    <row r="695" spans="1:28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 t="str">
        <f t="shared" si="10"/>
        <v/>
      </c>
    </row>
    <row r="696" spans="1:28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 t="str">
        <f t="shared" si="10"/>
        <v/>
      </c>
    </row>
    <row r="697" spans="1:28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 t="str">
        <f t="shared" si="10"/>
        <v/>
      </c>
    </row>
    <row r="698" spans="1:28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 t="str">
        <f t="shared" si="10"/>
        <v/>
      </c>
    </row>
    <row r="699" spans="1:28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 t="str">
        <f t="shared" si="10"/>
        <v/>
      </c>
    </row>
    <row r="700" spans="1:28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 t="str">
        <f t="shared" si="10"/>
        <v/>
      </c>
    </row>
    <row r="701" spans="1:28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 t="str">
        <f t="shared" si="10"/>
        <v/>
      </c>
    </row>
    <row r="702" spans="1:28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 t="str">
        <f t="shared" si="10"/>
        <v/>
      </c>
    </row>
    <row r="703" spans="1:28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 t="str">
        <f t="shared" si="10"/>
        <v/>
      </c>
    </row>
    <row r="704" spans="1:28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 t="str">
        <f t="shared" si="10"/>
        <v/>
      </c>
    </row>
    <row r="705" spans="1:28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 t="str">
        <f t="shared" si="10"/>
        <v/>
      </c>
    </row>
    <row r="706" spans="1:28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 t="str">
        <f t="shared" si="10"/>
        <v/>
      </c>
    </row>
    <row r="707" spans="1:28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 t="str">
        <f t="shared" ref="AB707:AB770" si="11">IF(ISNUMBER(SEARCH("Successful",F707)),
   "Successful",
   IF(ISNUMBER(SEARCH("Failed",F707)),"Failed",""))</f>
        <v/>
      </c>
    </row>
    <row r="708" spans="1:28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 t="str">
        <f t="shared" si="11"/>
        <v/>
      </c>
    </row>
    <row r="709" spans="1:28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 t="str">
        <f t="shared" si="11"/>
        <v/>
      </c>
    </row>
    <row r="710" spans="1:28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 t="str">
        <f t="shared" si="11"/>
        <v/>
      </c>
    </row>
    <row r="711" spans="1:28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 t="str">
        <f t="shared" si="11"/>
        <v/>
      </c>
    </row>
    <row r="712" spans="1:28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 t="str">
        <f t="shared" si="11"/>
        <v/>
      </c>
    </row>
    <row r="713" spans="1:28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 t="str">
        <f t="shared" si="11"/>
        <v/>
      </c>
    </row>
    <row r="714" spans="1:28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 t="str">
        <f t="shared" si="11"/>
        <v/>
      </c>
    </row>
    <row r="715" spans="1:28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 t="str">
        <f t="shared" si="11"/>
        <v/>
      </c>
    </row>
    <row r="716" spans="1:28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 t="str">
        <f t="shared" si="11"/>
        <v/>
      </c>
    </row>
    <row r="717" spans="1:28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 t="str">
        <f t="shared" si="11"/>
        <v/>
      </c>
    </row>
    <row r="718" spans="1:28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 t="str">
        <f t="shared" si="11"/>
        <v/>
      </c>
    </row>
    <row r="719" spans="1:28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 t="str">
        <f t="shared" si="11"/>
        <v/>
      </c>
    </row>
    <row r="720" spans="1:28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 t="str">
        <f t="shared" si="11"/>
        <v/>
      </c>
    </row>
    <row r="721" spans="1:28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 t="str">
        <f t="shared" si="11"/>
        <v/>
      </c>
    </row>
    <row r="722" spans="1:28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 t="str">
        <f t="shared" si="11"/>
        <v/>
      </c>
    </row>
    <row r="723" spans="1:28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 t="str">
        <f t="shared" si="11"/>
        <v/>
      </c>
    </row>
    <row r="724" spans="1:28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 t="str">
        <f t="shared" si="11"/>
        <v/>
      </c>
    </row>
    <row r="725" spans="1:28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 t="str">
        <f t="shared" si="11"/>
        <v/>
      </c>
    </row>
    <row r="726" spans="1:28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 t="str">
        <f t="shared" si="11"/>
        <v/>
      </c>
    </row>
    <row r="727" spans="1:28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 t="str">
        <f t="shared" si="11"/>
        <v/>
      </c>
    </row>
    <row r="728" spans="1:28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 t="str">
        <f t="shared" si="11"/>
        <v/>
      </c>
    </row>
    <row r="729" spans="1:28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 t="str">
        <f t="shared" si="11"/>
        <v/>
      </c>
    </row>
    <row r="730" spans="1:28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 t="str">
        <f t="shared" si="11"/>
        <v/>
      </c>
    </row>
    <row r="731" spans="1:28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 t="str">
        <f t="shared" si="11"/>
        <v/>
      </c>
    </row>
    <row r="732" spans="1:28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 t="str">
        <f t="shared" si="11"/>
        <v/>
      </c>
    </row>
    <row r="733" spans="1:28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 t="str">
        <f t="shared" si="11"/>
        <v/>
      </c>
    </row>
    <row r="734" spans="1:28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 t="str">
        <f t="shared" si="11"/>
        <v/>
      </c>
    </row>
    <row r="735" spans="1:28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 t="str">
        <f t="shared" si="11"/>
        <v/>
      </c>
    </row>
    <row r="736" spans="1:28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 t="str">
        <f t="shared" si="11"/>
        <v/>
      </c>
    </row>
    <row r="737" spans="1:28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 t="str">
        <f t="shared" si="11"/>
        <v/>
      </c>
    </row>
    <row r="738" spans="1:28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 t="str">
        <f t="shared" si="11"/>
        <v/>
      </c>
    </row>
    <row r="739" spans="1:28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 t="str">
        <f t="shared" si="11"/>
        <v/>
      </c>
    </row>
    <row r="740" spans="1:28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 t="str">
        <f t="shared" si="11"/>
        <v/>
      </c>
    </row>
    <row r="741" spans="1:28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 t="str">
        <f t="shared" si="11"/>
        <v/>
      </c>
    </row>
    <row r="742" spans="1:28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 t="str">
        <f t="shared" si="11"/>
        <v/>
      </c>
    </row>
    <row r="743" spans="1:28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 t="str">
        <f t="shared" si="11"/>
        <v/>
      </c>
    </row>
    <row r="744" spans="1:28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 t="str">
        <f t="shared" si="11"/>
        <v/>
      </c>
    </row>
    <row r="745" spans="1:28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 t="str">
        <f t="shared" si="11"/>
        <v/>
      </c>
    </row>
    <row r="746" spans="1:28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 t="str">
        <f t="shared" si="11"/>
        <v/>
      </c>
    </row>
    <row r="747" spans="1:28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 t="str">
        <f t="shared" si="11"/>
        <v/>
      </c>
    </row>
    <row r="748" spans="1:28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 t="str">
        <f t="shared" si="11"/>
        <v/>
      </c>
    </row>
    <row r="749" spans="1:28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 t="str">
        <f t="shared" si="11"/>
        <v/>
      </c>
    </row>
    <row r="750" spans="1:28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 t="str">
        <f t="shared" si="11"/>
        <v/>
      </c>
    </row>
    <row r="751" spans="1:28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 t="str">
        <f t="shared" si="11"/>
        <v/>
      </c>
    </row>
    <row r="752" spans="1:28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 t="str">
        <f t="shared" si="11"/>
        <v/>
      </c>
    </row>
    <row r="753" spans="1:28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 t="str">
        <f t="shared" si="11"/>
        <v/>
      </c>
    </row>
    <row r="754" spans="1:28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 t="str">
        <f t="shared" si="11"/>
        <v/>
      </c>
    </row>
    <row r="755" spans="1:28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 t="str">
        <f t="shared" si="11"/>
        <v/>
      </c>
    </row>
    <row r="756" spans="1:28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 t="str">
        <f t="shared" si="11"/>
        <v/>
      </c>
    </row>
    <row r="757" spans="1:28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 t="str">
        <f t="shared" si="11"/>
        <v/>
      </c>
    </row>
    <row r="758" spans="1:28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 t="str">
        <f t="shared" si="11"/>
        <v/>
      </c>
    </row>
    <row r="759" spans="1:28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 t="str">
        <f t="shared" si="11"/>
        <v/>
      </c>
    </row>
    <row r="760" spans="1:28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 t="str">
        <f t="shared" si="11"/>
        <v/>
      </c>
    </row>
    <row r="761" spans="1:28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 t="str">
        <f t="shared" si="11"/>
        <v/>
      </c>
    </row>
    <row r="762" spans="1:28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 t="str">
        <f t="shared" si="11"/>
        <v/>
      </c>
    </row>
    <row r="763" spans="1:28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 t="str">
        <f t="shared" si="11"/>
        <v/>
      </c>
    </row>
    <row r="764" spans="1:28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 t="str">
        <f t="shared" si="11"/>
        <v/>
      </c>
    </row>
    <row r="765" spans="1:28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 t="str">
        <f t="shared" si="11"/>
        <v/>
      </c>
    </row>
    <row r="766" spans="1:28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 t="str">
        <f t="shared" si="11"/>
        <v/>
      </c>
    </row>
    <row r="767" spans="1:28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 t="str">
        <f t="shared" si="11"/>
        <v/>
      </c>
    </row>
    <row r="768" spans="1:28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 t="str">
        <f t="shared" si="11"/>
        <v/>
      </c>
    </row>
    <row r="769" spans="1:28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 t="str">
        <f t="shared" si="11"/>
        <v/>
      </c>
    </row>
    <row r="770" spans="1:28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 t="str">
        <f t="shared" si="11"/>
        <v/>
      </c>
    </row>
    <row r="771" spans="1:28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 t="str">
        <f t="shared" ref="AB771:AB834" si="12">IF(ISNUMBER(SEARCH("Successful",F771)),
   "Successful",
   IF(ISNUMBER(SEARCH("Failed",F771)),"Failed",""))</f>
        <v/>
      </c>
    </row>
    <row r="772" spans="1:28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 t="str">
        <f t="shared" si="12"/>
        <v/>
      </c>
    </row>
    <row r="773" spans="1:28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 t="str">
        <f t="shared" si="12"/>
        <v/>
      </c>
    </row>
    <row r="774" spans="1:28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 t="str">
        <f t="shared" si="12"/>
        <v/>
      </c>
    </row>
    <row r="775" spans="1:28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 t="str">
        <f t="shared" si="12"/>
        <v/>
      </c>
    </row>
    <row r="776" spans="1:28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 t="str">
        <f t="shared" si="12"/>
        <v/>
      </c>
    </row>
    <row r="777" spans="1:28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 t="str">
        <f t="shared" si="12"/>
        <v/>
      </c>
    </row>
    <row r="778" spans="1:28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 t="str">
        <f t="shared" si="12"/>
        <v/>
      </c>
    </row>
    <row r="779" spans="1:28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 t="str">
        <f t="shared" si="12"/>
        <v/>
      </c>
    </row>
    <row r="780" spans="1:28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 t="str">
        <f t="shared" si="12"/>
        <v/>
      </c>
    </row>
    <row r="781" spans="1:28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 t="str">
        <f t="shared" si="12"/>
        <v/>
      </c>
    </row>
    <row r="782" spans="1:28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 t="str">
        <f t="shared" si="12"/>
        <v/>
      </c>
    </row>
    <row r="783" spans="1:28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 t="str">
        <f t="shared" si="12"/>
        <v/>
      </c>
    </row>
    <row r="784" spans="1:28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 t="str">
        <f t="shared" si="12"/>
        <v/>
      </c>
    </row>
    <row r="785" spans="1:28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 t="str">
        <f t="shared" si="12"/>
        <v/>
      </c>
    </row>
    <row r="786" spans="1:28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 t="str">
        <f t="shared" si="12"/>
        <v/>
      </c>
    </row>
    <row r="787" spans="1:28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 t="str">
        <f t="shared" si="12"/>
        <v/>
      </c>
    </row>
    <row r="788" spans="1:28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 t="str">
        <f t="shared" si="12"/>
        <v/>
      </c>
    </row>
    <row r="789" spans="1:28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 t="str">
        <f t="shared" si="12"/>
        <v/>
      </c>
    </row>
    <row r="790" spans="1:28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 t="str">
        <f t="shared" si="12"/>
        <v/>
      </c>
    </row>
    <row r="791" spans="1:28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 t="str">
        <f t="shared" si="12"/>
        <v/>
      </c>
    </row>
    <row r="792" spans="1:28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 t="str">
        <f t="shared" si="12"/>
        <v/>
      </c>
    </row>
    <row r="793" spans="1:28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 t="str">
        <f t="shared" si="12"/>
        <v/>
      </c>
    </row>
    <row r="794" spans="1:28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 t="str">
        <f t="shared" si="12"/>
        <v/>
      </c>
    </row>
    <row r="795" spans="1:28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 t="str">
        <f t="shared" si="12"/>
        <v/>
      </c>
    </row>
    <row r="796" spans="1:28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 t="str">
        <f t="shared" si="12"/>
        <v/>
      </c>
    </row>
    <row r="797" spans="1:28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 t="str">
        <f t="shared" si="12"/>
        <v/>
      </c>
    </row>
    <row r="798" spans="1:28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 t="str">
        <f t="shared" si="12"/>
        <v/>
      </c>
    </row>
    <row r="799" spans="1:28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 t="str">
        <f t="shared" si="12"/>
        <v/>
      </c>
    </row>
    <row r="800" spans="1:28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 t="str">
        <f t="shared" si="12"/>
        <v/>
      </c>
    </row>
    <row r="801" spans="1:28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 t="str">
        <f t="shared" si="12"/>
        <v/>
      </c>
    </row>
    <row r="802" spans="1:28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 t="str">
        <f t="shared" si="12"/>
        <v/>
      </c>
    </row>
    <row r="803" spans="1:28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 t="str">
        <f t="shared" si="12"/>
        <v/>
      </c>
    </row>
    <row r="804" spans="1:28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 t="str">
        <f t="shared" si="12"/>
        <v/>
      </c>
    </row>
    <row r="805" spans="1:28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 t="str">
        <f t="shared" si="12"/>
        <v/>
      </c>
    </row>
    <row r="806" spans="1:28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 t="str">
        <f t="shared" si="12"/>
        <v/>
      </c>
    </row>
    <row r="807" spans="1:28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 t="str">
        <f t="shared" si="12"/>
        <v/>
      </c>
    </row>
    <row r="808" spans="1:28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 t="str">
        <f t="shared" si="12"/>
        <v/>
      </c>
    </row>
    <row r="809" spans="1:28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 t="str">
        <f t="shared" si="12"/>
        <v/>
      </c>
    </row>
    <row r="810" spans="1:28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 t="str">
        <f t="shared" si="12"/>
        <v/>
      </c>
    </row>
    <row r="811" spans="1:28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 t="str">
        <f t="shared" si="12"/>
        <v/>
      </c>
    </row>
    <row r="812" spans="1:28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 t="str">
        <f t="shared" si="12"/>
        <v/>
      </c>
    </row>
    <row r="813" spans="1:28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 t="str">
        <f t="shared" si="12"/>
        <v/>
      </c>
    </row>
    <row r="814" spans="1:28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 t="str">
        <f t="shared" si="12"/>
        <v/>
      </c>
    </row>
    <row r="815" spans="1:28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 t="str">
        <f t="shared" si="12"/>
        <v/>
      </c>
    </row>
    <row r="816" spans="1:28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 t="str">
        <f t="shared" si="12"/>
        <v/>
      </c>
    </row>
    <row r="817" spans="1:28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 t="str">
        <f t="shared" si="12"/>
        <v/>
      </c>
    </row>
    <row r="818" spans="1:28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 t="str">
        <f t="shared" si="12"/>
        <v/>
      </c>
    </row>
    <row r="819" spans="1:28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 t="str">
        <f t="shared" si="12"/>
        <v/>
      </c>
    </row>
    <row r="820" spans="1:28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 t="str">
        <f t="shared" si="12"/>
        <v/>
      </c>
    </row>
    <row r="821" spans="1:28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 t="str">
        <f t="shared" si="12"/>
        <v/>
      </c>
    </row>
    <row r="822" spans="1:28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 t="str">
        <f t="shared" si="12"/>
        <v/>
      </c>
    </row>
    <row r="823" spans="1:28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 t="str">
        <f t="shared" si="12"/>
        <v/>
      </c>
    </row>
    <row r="824" spans="1:28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 t="str">
        <f t="shared" si="12"/>
        <v/>
      </c>
    </row>
    <row r="825" spans="1:28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 t="str">
        <f t="shared" si="12"/>
        <v/>
      </c>
    </row>
    <row r="826" spans="1:28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 t="str">
        <f t="shared" si="12"/>
        <v/>
      </c>
    </row>
    <row r="827" spans="1:28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 t="str">
        <f t="shared" si="12"/>
        <v/>
      </c>
    </row>
    <row r="828" spans="1:28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 t="str">
        <f t="shared" si="12"/>
        <v/>
      </c>
    </row>
    <row r="829" spans="1:28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 t="str">
        <f t="shared" si="12"/>
        <v/>
      </c>
    </row>
    <row r="830" spans="1:28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 t="str">
        <f t="shared" si="12"/>
        <v/>
      </c>
    </row>
    <row r="831" spans="1:28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 t="str">
        <f t="shared" si="12"/>
        <v/>
      </c>
    </row>
    <row r="832" spans="1:28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 t="str">
        <f t="shared" si="12"/>
        <v/>
      </c>
    </row>
    <row r="833" spans="1:28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 t="str">
        <f t="shared" si="12"/>
        <v/>
      </c>
    </row>
    <row r="834" spans="1:28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 t="str">
        <f t="shared" si="12"/>
        <v/>
      </c>
    </row>
    <row r="835" spans="1:28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 t="str">
        <f t="shared" ref="AB835:AB898" si="13">IF(ISNUMBER(SEARCH("Successful",F835)),
   "Successful",
   IF(ISNUMBER(SEARCH("Failed",F835)),"Failed",""))</f>
        <v/>
      </c>
    </row>
    <row r="836" spans="1:28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 t="str">
        <f t="shared" si="13"/>
        <v/>
      </c>
    </row>
    <row r="837" spans="1:28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 t="str">
        <f t="shared" si="13"/>
        <v/>
      </c>
    </row>
    <row r="838" spans="1:28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 t="str">
        <f t="shared" si="13"/>
        <v/>
      </c>
    </row>
    <row r="839" spans="1:28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 t="str">
        <f t="shared" si="13"/>
        <v/>
      </c>
    </row>
    <row r="840" spans="1:28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 t="str">
        <f t="shared" si="13"/>
        <v/>
      </c>
    </row>
    <row r="841" spans="1:28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 t="str">
        <f t="shared" si="13"/>
        <v/>
      </c>
    </row>
    <row r="842" spans="1:28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 t="str">
        <f t="shared" si="13"/>
        <v/>
      </c>
    </row>
    <row r="843" spans="1:28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 t="str">
        <f t="shared" si="13"/>
        <v/>
      </c>
    </row>
    <row r="844" spans="1:28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 t="str">
        <f t="shared" si="13"/>
        <v/>
      </c>
    </row>
    <row r="845" spans="1:28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 t="str">
        <f t="shared" si="13"/>
        <v/>
      </c>
    </row>
    <row r="846" spans="1:28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 t="str">
        <f t="shared" si="13"/>
        <v/>
      </c>
    </row>
    <row r="847" spans="1:28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 t="str">
        <f t="shared" si="13"/>
        <v/>
      </c>
    </row>
    <row r="848" spans="1:28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 t="str">
        <f t="shared" si="13"/>
        <v/>
      </c>
    </row>
    <row r="849" spans="1:28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 t="str">
        <f t="shared" si="13"/>
        <v/>
      </c>
    </row>
    <row r="850" spans="1:28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 t="str">
        <f t="shared" si="13"/>
        <v/>
      </c>
    </row>
    <row r="851" spans="1:28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 t="str">
        <f t="shared" si="13"/>
        <v/>
      </c>
    </row>
    <row r="852" spans="1:28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 t="str">
        <f t="shared" si="13"/>
        <v/>
      </c>
    </row>
    <row r="853" spans="1:28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 t="str">
        <f t="shared" si="13"/>
        <v/>
      </c>
    </row>
    <row r="854" spans="1:28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 t="str">
        <f t="shared" si="13"/>
        <v/>
      </c>
    </row>
    <row r="855" spans="1:28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 t="str">
        <f t="shared" si="13"/>
        <v/>
      </c>
    </row>
    <row r="856" spans="1:28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 t="str">
        <f t="shared" si="13"/>
        <v/>
      </c>
    </row>
    <row r="857" spans="1:28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 t="str">
        <f t="shared" si="13"/>
        <v/>
      </c>
    </row>
    <row r="858" spans="1:28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 t="str">
        <f t="shared" si="13"/>
        <v/>
      </c>
    </row>
    <row r="859" spans="1:28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 t="str">
        <f t="shared" si="13"/>
        <v/>
      </c>
    </row>
    <row r="860" spans="1:28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 t="str">
        <f t="shared" si="13"/>
        <v/>
      </c>
    </row>
    <row r="861" spans="1:28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 t="str">
        <f t="shared" si="13"/>
        <v/>
      </c>
    </row>
    <row r="862" spans="1:28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 t="str">
        <f t="shared" si="13"/>
        <v/>
      </c>
    </row>
    <row r="863" spans="1:28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 t="str">
        <f t="shared" si="13"/>
        <v/>
      </c>
    </row>
    <row r="864" spans="1:28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 t="str">
        <f t="shared" si="13"/>
        <v/>
      </c>
    </row>
    <row r="865" spans="1:28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 t="str">
        <f t="shared" si="13"/>
        <v/>
      </c>
    </row>
    <row r="866" spans="1:28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 t="str">
        <f t="shared" si="13"/>
        <v/>
      </c>
    </row>
    <row r="867" spans="1:28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 t="str">
        <f t="shared" si="13"/>
        <v/>
      </c>
    </row>
    <row r="868" spans="1:28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 t="str">
        <f t="shared" si="13"/>
        <v/>
      </c>
    </row>
    <row r="869" spans="1:28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 t="str">
        <f t="shared" si="13"/>
        <v/>
      </c>
    </row>
    <row r="870" spans="1:28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 t="str">
        <f t="shared" si="13"/>
        <v/>
      </c>
    </row>
    <row r="871" spans="1:28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 t="str">
        <f t="shared" si="13"/>
        <v/>
      </c>
    </row>
    <row r="872" spans="1:28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 t="str">
        <f t="shared" si="13"/>
        <v/>
      </c>
    </row>
    <row r="873" spans="1:28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 t="str">
        <f t="shared" si="13"/>
        <v/>
      </c>
    </row>
    <row r="874" spans="1:28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 t="str">
        <f t="shared" si="13"/>
        <v/>
      </c>
    </row>
    <row r="875" spans="1:28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 t="str">
        <f t="shared" si="13"/>
        <v/>
      </c>
    </row>
    <row r="876" spans="1:28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 t="str">
        <f t="shared" si="13"/>
        <v/>
      </c>
    </row>
    <row r="877" spans="1:28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 t="str">
        <f t="shared" si="13"/>
        <v/>
      </c>
    </row>
    <row r="878" spans="1:28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 t="str">
        <f t="shared" si="13"/>
        <v/>
      </c>
    </row>
    <row r="879" spans="1:28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 t="str">
        <f t="shared" si="13"/>
        <v/>
      </c>
    </row>
    <row r="880" spans="1:28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 t="str">
        <f t="shared" si="13"/>
        <v/>
      </c>
    </row>
    <row r="881" spans="1:28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 t="str">
        <f t="shared" si="13"/>
        <v/>
      </c>
    </row>
    <row r="882" spans="1:28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 t="str">
        <f t="shared" si="13"/>
        <v/>
      </c>
    </row>
    <row r="883" spans="1:28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 t="str">
        <f t="shared" si="13"/>
        <v/>
      </c>
    </row>
    <row r="884" spans="1:28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 t="str">
        <f t="shared" si="13"/>
        <v/>
      </c>
    </row>
    <row r="885" spans="1:28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 t="str">
        <f t="shared" si="13"/>
        <v/>
      </c>
    </row>
    <row r="886" spans="1:28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 t="str">
        <f t="shared" si="13"/>
        <v/>
      </c>
    </row>
    <row r="887" spans="1:28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 t="str">
        <f t="shared" si="13"/>
        <v/>
      </c>
    </row>
    <row r="888" spans="1:28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 t="str">
        <f t="shared" si="13"/>
        <v/>
      </c>
    </row>
    <row r="889" spans="1:28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 t="str">
        <f t="shared" si="13"/>
        <v/>
      </c>
    </row>
    <row r="890" spans="1:28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 t="str">
        <f t="shared" si="13"/>
        <v/>
      </c>
    </row>
    <row r="891" spans="1:28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 t="str">
        <f t="shared" si="13"/>
        <v/>
      </c>
    </row>
    <row r="892" spans="1:28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 t="str">
        <f t="shared" si="13"/>
        <v/>
      </c>
    </row>
    <row r="893" spans="1:28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 t="str">
        <f t="shared" si="13"/>
        <v/>
      </c>
    </row>
    <row r="894" spans="1:28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 t="str">
        <f t="shared" si="13"/>
        <v/>
      </c>
    </row>
    <row r="895" spans="1:28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 t="str">
        <f t="shared" si="13"/>
        <v/>
      </c>
    </row>
    <row r="896" spans="1:28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 t="str">
        <f t="shared" si="13"/>
        <v/>
      </c>
    </row>
    <row r="897" spans="1:28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 t="str">
        <f t="shared" si="13"/>
        <v/>
      </c>
    </row>
    <row r="898" spans="1:28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 t="str">
        <f t="shared" si="13"/>
        <v/>
      </c>
    </row>
    <row r="899" spans="1:28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 t="str">
        <f t="shared" ref="AB899:AB962" si="14">IF(ISNUMBER(SEARCH("Successful",F899)),
   "Successful",
   IF(ISNUMBER(SEARCH("Failed",F899)),"Failed",""))</f>
        <v/>
      </c>
    </row>
    <row r="900" spans="1:28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 t="str">
        <f t="shared" si="14"/>
        <v/>
      </c>
    </row>
    <row r="901" spans="1:28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 t="str">
        <f t="shared" si="14"/>
        <v/>
      </c>
    </row>
    <row r="902" spans="1:28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 t="str">
        <f t="shared" si="14"/>
        <v/>
      </c>
    </row>
    <row r="903" spans="1:28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 t="str">
        <f t="shared" si="14"/>
        <v/>
      </c>
    </row>
    <row r="904" spans="1:28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 t="str">
        <f t="shared" si="14"/>
        <v/>
      </c>
    </row>
    <row r="905" spans="1:28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 t="str">
        <f t="shared" si="14"/>
        <v/>
      </c>
    </row>
    <row r="906" spans="1:28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 t="str">
        <f t="shared" si="14"/>
        <v/>
      </c>
    </row>
    <row r="907" spans="1:28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 t="str">
        <f t="shared" si="14"/>
        <v/>
      </c>
    </row>
    <row r="908" spans="1:28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 t="str">
        <f t="shared" si="14"/>
        <v/>
      </c>
    </row>
    <row r="909" spans="1:28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 t="str">
        <f t="shared" si="14"/>
        <v/>
      </c>
    </row>
    <row r="910" spans="1:28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 t="str">
        <f t="shared" si="14"/>
        <v/>
      </c>
    </row>
    <row r="911" spans="1:28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 t="str">
        <f t="shared" si="14"/>
        <v/>
      </c>
    </row>
    <row r="912" spans="1:28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 t="str">
        <f t="shared" si="14"/>
        <v/>
      </c>
    </row>
    <row r="913" spans="1:28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 t="str">
        <f t="shared" si="14"/>
        <v/>
      </c>
    </row>
    <row r="914" spans="1:28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 t="str">
        <f t="shared" si="14"/>
        <v/>
      </c>
    </row>
    <row r="915" spans="1:28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 t="str">
        <f t="shared" si="14"/>
        <v/>
      </c>
    </row>
    <row r="916" spans="1:28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 t="str">
        <f t="shared" si="14"/>
        <v/>
      </c>
    </row>
    <row r="917" spans="1:28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 t="str">
        <f t="shared" si="14"/>
        <v/>
      </c>
    </row>
    <row r="918" spans="1:28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 t="str">
        <f t="shared" si="14"/>
        <v/>
      </c>
    </row>
    <row r="919" spans="1:28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 t="str">
        <f t="shared" si="14"/>
        <v/>
      </c>
    </row>
    <row r="920" spans="1:28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 t="str">
        <f t="shared" si="14"/>
        <v/>
      </c>
    </row>
    <row r="921" spans="1:28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 t="str">
        <f t="shared" si="14"/>
        <v/>
      </c>
    </row>
    <row r="922" spans="1:28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 t="str">
        <f t="shared" si="14"/>
        <v/>
      </c>
    </row>
    <row r="923" spans="1:28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 t="str">
        <f t="shared" si="14"/>
        <v/>
      </c>
    </row>
    <row r="924" spans="1:28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 t="str">
        <f t="shared" si="14"/>
        <v/>
      </c>
    </row>
    <row r="925" spans="1:28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 t="str">
        <f t="shared" si="14"/>
        <v/>
      </c>
    </row>
    <row r="926" spans="1:28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 t="str">
        <f t="shared" si="14"/>
        <v/>
      </c>
    </row>
    <row r="927" spans="1:28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 t="str">
        <f t="shared" si="14"/>
        <v/>
      </c>
    </row>
    <row r="928" spans="1:28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 t="str">
        <f t="shared" si="14"/>
        <v/>
      </c>
    </row>
    <row r="929" spans="1:28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 t="str">
        <f t="shared" si="14"/>
        <v/>
      </c>
    </row>
    <row r="930" spans="1:28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 t="str">
        <f t="shared" si="14"/>
        <v/>
      </c>
    </row>
    <row r="931" spans="1:28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 t="str">
        <f t="shared" si="14"/>
        <v/>
      </c>
    </row>
    <row r="932" spans="1:28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 t="str">
        <f t="shared" si="14"/>
        <v/>
      </c>
    </row>
    <row r="933" spans="1:28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 t="str">
        <f t="shared" si="14"/>
        <v/>
      </c>
    </row>
    <row r="934" spans="1:28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 t="str">
        <f t="shared" si="14"/>
        <v/>
      </c>
    </row>
    <row r="935" spans="1:28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 t="str">
        <f t="shared" si="14"/>
        <v/>
      </c>
    </row>
    <row r="936" spans="1:28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 t="str">
        <f t="shared" si="14"/>
        <v/>
      </c>
    </row>
    <row r="937" spans="1:28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 t="str">
        <f t="shared" si="14"/>
        <v/>
      </c>
    </row>
    <row r="938" spans="1:28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 t="str">
        <f t="shared" si="14"/>
        <v/>
      </c>
    </row>
    <row r="939" spans="1:28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 t="str">
        <f t="shared" si="14"/>
        <v/>
      </c>
    </row>
    <row r="940" spans="1:28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 t="str">
        <f t="shared" si="14"/>
        <v/>
      </c>
    </row>
    <row r="941" spans="1:28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 t="str">
        <f t="shared" si="14"/>
        <v/>
      </c>
    </row>
    <row r="942" spans="1:28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 t="str">
        <f t="shared" si="14"/>
        <v/>
      </c>
    </row>
    <row r="943" spans="1:28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 t="str">
        <f t="shared" si="14"/>
        <v/>
      </c>
    </row>
    <row r="944" spans="1:28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 t="str">
        <f t="shared" si="14"/>
        <v/>
      </c>
    </row>
    <row r="945" spans="1:28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 t="str">
        <f t="shared" si="14"/>
        <v/>
      </c>
    </row>
    <row r="946" spans="1:28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 t="str">
        <f t="shared" si="14"/>
        <v/>
      </c>
    </row>
    <row r="947" spans="1:28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 t="str">
        <f t="shared" si="14"/>
        <v/>
      </c>
    </row>
    <row r="948" spans="1:28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 t="str">
        <f t="shared" si="14"/>
        <v/>
      </c>
    </row>
    <row r="949" spans="1:28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 t="str">
        <f t="shared" si="14"/>
        <v/>
      </c>
    </row>
    <row r="950" spans="1:28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 t="str">
        <f t="shared" si="14"/>
        <v/>
      </c>
    </row>
    <row r="951" spans="1:28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 t="str">
        <f t="shared" si="14"/>
        <v/>
      </c>
    </row>
    <row r="952" spans="1:28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 t="str">
        <f t="shared" si="14"/>
        <v/>
      </c>
    </row>
    <row r="953" spans="1:28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 t="str">
        <f t="shared" si="14"/>
        <v/>
      </c>
    </row>
    <row r="954" spans="1:28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 t="str">
        <f t="shared" si="14"/>
        <v/>
      </c>
    </row>
    <row r="955" spans="1:28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 t="str">
        <f t="shared" si="14"/>
        <v/>
      </c>
    </row>
    <row r="956" spans="1:28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 t="str">
        <f t="shared" si="14"/>
        <v/>
      </c>
    </row>
    <row r="957" spans="1:28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 t="str">
        <f t="shared" si="14"/>
        <v/>
      </c>
    </row>
    <row r="958" spans="1:28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 t="str">
        <f t="shared" si="14"/>
        <v/>
      </c>
    </row>
    <row r="959" spans="1:28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 t="str">
        <f t="shared" si="14"/>
        <v/>
      </c>
    </row>
    <row r="960" spans="1:28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 t="str">
        <f t="shared" si="14"/>
        <v/>
      </c>
    </row>
    <row r="961" spans="1:28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 t="str">
        <f t="shared" si="14"/>
        <v/>
      </c>
    </row>
    <row r="962" spans="1:28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 t="str">
        <f t="shared" si="14"/>
        <v/>
      </c>
    </row>
    <row r="963" spans="1:28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 t="str">
        <f t="shared" ref="AB963:AB996" si="15">IF(ISNUMBER(SEARCH("Successful",F963)),
   "Successful",
   IF(ISNUMBER(SEARCH("Failed",F963)),"Failed",""))</f>
        <v/>
      </c>
    </row>
    <row r="964" spans="1:28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 t="str">
        <f t="shared" si="15"/>
        <v/>
      </c>
    </row>
    <row r="965" spans="1:28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 t="str">
        <f t="shared" si="15"/>
        <v/>
      </c>
    </row>
    <row r="966" spans="1:28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 t="str">
        <f t="shared" si="15"/>
        <v/>
      </c>
    </row>
    <row r="967" spans="1:28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 t="str">
        <f t="shared" si="15"/>
        <v/>
      </c>
    </row>
    <row r="968" spans="1:28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 t="str">
        <f t="shared" si="15"/>
        <v/>
      </c>
    </row>
    <row r="969" spans="1:28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 t="str">
        <f t="shared" si="15"/>
        <v/>
      </c>
    </row>
    <row r="970" spans="1:28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 t="str">
        <f t="shared" si="15"/>
        <v/>
      </c>
    </row>
    <row r="971" spans="1:28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 t="str">
        <f t="shared" si="15"/>
        <v/>
      </c>
    </row>
    <row r="972" spans="1:28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 t="str">
        <f t="shared" si="15"/>
        <v/>
      </c>
    </row>
    <row r="973" spans="1:28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 t="str">
        <f t="shared" si="15"/>
        <v/>
      </c>
    </row>
    <row r="974" spans="1:28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 t="str">
        <f t="shared" si="15"/>
        <v/>
      </c>
    </row>
    <row r="975" spans="1:28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 t="str">
        <f t="shared" si="15"/>
        <v/>
      </c>
    </row>
    <row r="976" spans="1:28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 t="str">
        <f t="shared" si="15"/>
        <v/>
      </c>
    </row>
    <row r="977" spans="1:28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 t="str">
        <f t="shared" si="15"/>
        <v/>
      </c>
    </row>
    <row r="978" spans="1:28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 t="str">
        <f t="shared" si="15"/>
        <v/>
      </c>
    </row>
    <row r="979" spans="1:28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 t="str">
        <f t="shared" si="15"/>
        <v/>
      </c>
    </row>
    <row r="980" spans="1:28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 t="str">
        <f t="shared" si="15"/>
        <v/>
      </c>
    </row>
    <row r="981" spans="1:28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 t="str">
        <f t="shared" si="15"/>
        <v/>
      </c>
    </row>
    <row r="982" spans="1:28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 t="str">
        <f t="shared" si="15"/>
        <v/>
      </c>
    </row>
    <row r="983" spans="1:28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 t="str">
        <f t="shared" si="15"/>
        <v/>
      </c>
    </row>
    <row r="984" spans="1:28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 t="str">
        <f t="shared" si="15"/>
        <v/>
      </c>
    </row>
    <row r="985" spans="1:28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 t="str">
        <f t="shared" si="15"/>
        <v/>
      </c>
    </row>
    <row r="986" spans="1:28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 t="str">
        <f t="shared" si="15"/>
        <v/>
      </c>
    </row>
    <row r="987" spans="1:28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 t="str">
        <f t="shared" si="15"/>
        <v/>
      </c>
    </row>
    <row r="988" spans="1:28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 t="str">
        <f t="shared" si="15"/>
        <v/>
      </c>
    </row>
    <row r="989" spans="1:28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 t="str">
        <f t="shared" si="15"/>
        <v/>
      </c>
    </row>
    <row r="990" spans="1:28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 t="str">
        <f t="shared" si="15"/>
        <v/>
      </c>
    </row>
    <row r="991" spans="1:28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 t="str">
        <f t="shared" si="15"/>
        <v/>
      </c>
    </row>
    <row r="992" spans="1:28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 t="str">
        <f t="shared" si="15"/>
        <v/>
      </c>
    </row>
    <row r="993" spans="1:28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 t="str">
        <f t="shared" si="15"/>
        <v/>
      </c>
    </row>
    <row r="994" spans="1:28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 t="str">
        <f t="shared" si="15"/>
        <v/>
      </c>
    </row>
    <row r="995" spans="1:28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 t="str">
        <f t="shared" si="15"/>
        <v/>
      </c>
    </row>
    <row r="996" spans="1:28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 t="str">
        <f t="shared" si="15"/>
        <v/>
      </c>
    </row>
    <row r="997" spans="1:28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</row>
    <row r="998" spans="1:28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</row>
    <row r="999" spans="1:28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 t="s">
        <v>752</v>
      </c>
    </row>
    <row r="1000" spans="1:28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 t="s">
        <v>751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Q243"/>
  <sheetViews>
    <sheetView workbookViewId="0">
      <selection activeCell="M40" sqref="M40"/>
    </sheetView>
  </sheetViews>
  <sheetFormatPr defaultRowHeight="15"/>
  <cols>
    <col min="1" max="1" width="11.28515625" customWidth="1"/>
    <col min="2" max="2" width="14.140625" bestFit="1" customWidth="1"/>
    <col min="3" max="4" width="14.140625" customWidth="1"/>
    <col min="5" max="5" width="15.85546875" bestFit="1" customWidth="1"/>
    <col min="6" max="6" width="11" bestFit="1" customWidth="1"/>
    <col min="7" max="7" width="5" customWidth="1"/>
    <col min="8" max="8" width="8.7109375" bestFit="1" customWidth="1"/>
    <col min="9" max="9" width="15.5703125" customWidth="1"/>
    <col min="10" max="10" width="17.42578125" customWidth="1"/>
    <col min="11" max="11" width="13.5703125" customWidth="1"/>
    <col min="12" max="12" width="8.85546875" customWidth="1"/>
    <col min="13" max="13" width="16" customWidth="1"/>
    <col min="14" max="14" width="19.42578125" bestFit="1" customWidth="1"/>
    <col min="15" max="15" width="16.140625" bestFit="1" customWidth="1"/>
    <col min="16" max="16" width="32.140625" bestFit="1" customWidth="1"/>
    <col min="17" max="17" width="21.140625" customWidth="1"/>
    <col min="18" max="18" width="12.140625" customWidth="1"/>
  </cols>
  <sheetData>
    <row r="1" spans="1:17">
      <c r="A1" t="s">
        <v>0</v>
      </c>
      <c r="B1" t="s">
        <v>57</v>
      </c>
      <c r="C1" t="s">
        <v>2</v>
      </c>
      <c r="D1" t="s">
        <v>5</v>
      </c>
      <c r="E1" t="s">
        <v>6</v>
      </c>
      <c r="F1" t="s">
        <v>9</v>
      </c>
      <c r="G1" t="s">
        <v>58</v>
      </c>
      <c r="H1" t="s">
        <v>11</v>
      </c>
      <c r="I1" t="s">
        <v>59</v>
      </c>
      <c r="J1" t="s">
        <v>60</v>
      </c>
      <c r="K1" t="s">
        <v>61</v>
      </c>
      <c r="L1" t="s">
        <v>62</v>
      </c>
      <c r="M1" s="14" t="s">
        <v>63</v>
      </c>
      <c r="N1" t="s">
        <v>64</v>
      </c>
      <c r="O1" t="s">
        <v>65</v>
      </c>
      <c r="P1" t="s">
        <v>12</v>
      </c>
      <c r="Q1" t="s">
        <v>66</v>
      </c>
    </row>
    <row r="2" spans="1:17">
      <c r="A2" t="str" cm="1">
        <f t="array" ref="A2">IFERROR(_xlfn.TEXTSPLIT(Input!A3,"*"),"")</f>
        <v/>
      </c>
      <c r="Q2">
        <f>_xlfn.XLOOKUP(B2,Input!J:J,Input!I:I,"Missing",0,1)</f>
        <v>0</v>
      </c>
    </row>
    <row r="3" spans="1:17">
      <c r="A3" t="str" cm="1">
        <f t="array" ref="A3">IFERROR(_xlfn.TEXTSPLIT(Input!A4,"*"),"")</f>
        <v/>
      </c>
      <c r="Q3">
        <f>_xlfn.XLOOKUP(B3,Input!J:J,Input!I:I,"Missing",0,1)</f>
        <v>0</v>
      </c>
    </row>
    <row r="4" spans="1:17">
      <c r="A4" t="str" cm="1">
        <f t="array" ref="A4">IFERROR(_xlfn.TEXTSPLIT(Input!A5,"*"),"")</f>
        <v/>
      </c>
      <c r="Q4">
        <f>_xlfn.XLOOKUP(B4,Input!J:J,Input!I:I,"Missing",0,1)</f>
        <v>0</v>
      </c>
    </row>
    <row r="5" spans="1:17">
      <c r="A5" t="str" cm="1">
        <f t="array" ref="A5">IFERROR(_xlfn.TEXTSPLIT(Input!A6,"*"),"")</f>
        <v/>
      </c>
      <c r="Q5">
        <f>_xlfn.XLOOKUP(B5,Input!J:J,Input!I:I,"Missing",0,1)</f>
        <v>0</v>
      </c>
    </row>
    <row r="6" spans="1:17">
      <c r="A6" t="str" cm="1">
        <f t="array" ref="A6">IFERROR(_xlfn.TEXTSPLIT(Input!A7,"*"),"")</f>
        <v/>
      </c>
      <c r="Q6">
        <f>_xlfn.XLOOKUP(B6,Input!J:J,Input!I:I,"Missing",0,1)</f>
        <v>0</v>
      </c>
    </row>
    <row r="7" spans="1:17">
      <c r="A7" t="str" cm="1">
        <f t="array" ref="A7">IFERROR(_xlfn.TEXTSPLIT(Input!A8,"*"),"")</f>
        <v/>
      </c>
      <c r="Q7">
        <f>_xlfn.XLOOKUP(B7,Input!J:J,Input!I:I,"Missing",0,1)</f>
        <v>0</v>
      </c>
    </row>
    <row r="8" spans="1:17">
      <c r="A8" t="str" cm="1">
        <f t="array" ref="A8">IFERROR(_xlfn.TEXTSPLIT(Input!A9,"*"),"")</f>
        <v/>
      </c>
      <c r="Q8">
        <f>_xlfn.XLOOKUP(B8,Input!J:J,Input!I:I,"Missing",0,1)</f>
        <v>0</v>
      </c>
    </row>
    <row r="9" spans="1:17">
      <c r="A9" t="str" cm="1">
        <f t="array" ref="A9">IFERROR(_xlfn.TEXTSPLIT(Input!A10,"*"),"")</f>
        <v/>
      </c>
      <c r="Q9">
        <f>_xlfn.XLOOKUP(B9,Input!J:J,Input!I:I,"Missing",0,1)</f>
        <v>0</v>
      </c>
    </row>
    <row r="10" spans="1:17">
      <c r="A10" t="str" cm="1">
        <f t="array" ref="A10">IFERROR(_xlfn.TEXTSPLIT(Input!A11,"*"),"")</f>
        <v/>
      </c>
      <c r="Q10">
        <f>_xlfn.XLOOKUP(B10,Input!J:J,Input!I:I,"Missing",0,1)</f>
        <v>0</v>
      </c>
    </row>
    <row r="11" spans="1:17">
      <c r="A11" t="str" cm="1">
        <f t="array" ref="A11">IFERROR(_xlfn.TEXTSPLIT(Input!A12,"*"),"")</f>
        <v/>
      </c>
      <c r="Q11">
        <f>_xlfn.XLOOKUP(B11,Input!J:J,Input!I:I,"Missing",0,1)</f>
        <v>0</v>
      </c>
    </row>
    <row r="12" spans="1:17">
      <c r="A12" t="str" cm="1">
        <f t="array" ref="A12">IFERROR(_xlfn.TEXTSPLIT(Input!A13,"*"),"")</f>
        <v/>
      </c>
      <c r="Q12">
        <f>_xlfn.XLOOKUP(B12,Input!J:J,Input!I:I,"Missing",0,1)</f>
        <v>0</v>
      </c>
    </row>
    <row r="13" spans="1:17">
      <c r="A13" t="str" cm="1">
        <f t="array" ref="A13">IFERROR(_xlfn.TEXTSPLIT(Input!A14,"*"),"")</f>
        <v/>
      </c>
      <c r="Q13">
        <f>_xlfn.XLOOKUP(B13,Input!J:J,Input!I:I,"Missing",0,1)</f>
        <v>0</v>
      </c>
    </row>
    <row r="14" spans="1:17">
      <c r="A14" t="str" cm="1">
        <f t="array" ref="A14">IFERROR(_xlfn.TEXTSPLIT(Input!A15,"*"),"")</f>
        <v/>
      </c>
      <c r="Q14">
        <f>_xlfn.XLOOKUP(B14,Input!J:J,Input!I:I,"Missing",0,1)</f>
        <v>0</v>
      </c>
    </row>
    <row r="15" spans="1:17">
      <c r="A15" t="str" cm="1">
        <f t="array" ref="A15">IFERROR(_xlfn.TEXTSPLIT(Input!A16,"*"),"")</f>
        <v/>
      </c>
      <c r="Q15">
        <f>_xlfn.XLOOKUP(B15,Input!J:J,Input!I:I,"Missing",0,1)</f>
        <v>0</v>
      </c>
    </row>
    <row r="16" spans="1:17">
      <c r="A16" t="str" cm="1">
        <f t="array" ref="A16">IFERROR(_xlfn.TEXTSPLIT(Input!A17,"*"),"")</f>
        <v/>
      </c>
      <c r="Q16">
        <f>_xlfn.XLOOKUP(B16,Input!J:J,Input!I:I,"Missing",0,1)</f>
        <v>0</v>
      </c>
    </row>
    <row r="17" spans="1:17">
      <c r="A17" t="str" cm="1">
        <f t="array" ref="A17">IFERROR(_xlfn.TEXTSPLIT(Input!A18,"*"),"")</f>
        <v/>
      </c>
      <c r="Q17">
        <f>_xlfn.XLOOKUP(B17,Input!J:J,Input!I:I,"Missing",0,1)</f>
        <v>0</v>
      </c>
    </row>
    <row r="18" spans="1:17">
      <c r="A18" t="str" cm="1">
        <f t="array" ref="A18">IFERROR(_xlfn.TEXTSPLIT(Input!A19,"*"),"")</f>
        <v/>
      </c>
      <c r="Q18">
        <f>_xlfn.XLOOKUP(B18,Input!J:J,Input!I:I,"Missing",0,1)</f>
        <v>0</v>
      </c>
    </row>
    <row r="19" spans="1:17">
      <c r="A19" t="str" cm="1">
        <f t="array" ref="A19">IFERROR(_xlfn.TEXTSPLIT(Input!A20,"*"),"")</f>
        <v/>
      </c>
      <c r="Q19">
        <f>_xlfn.XLOOKUP(B19,Input!J:J,Input!I:I,"Missing",0,1)</f>
        <v>0</v>
      </c>
    </row>
    <row r="20" spans="1:17">
      <c r="A20" t="str" cm="1">
        <f t="array" ref="A20">IFERROR(_xlfn.TEXTSPLIT(Input!A21,"*"),"")</f>
        <v/>
      </c>
      <c r="Q20">
        <f>_xlfn.XLOOKUP(B20,Input!J:J,Input!I:I,"Missing",0,1)</f>
        <v>0</v>
      </c>
    </row>
    <row r="21" spans="1:17">
      <c r="A21" t="str" cm="1">
        <f t="array" ref="A21">IFERROR(_xlfn.TEXTSPLIT(Input!A22,"*"),"")</f>
        <v/>
      </c>
      <c r="Q21">
        <f>_xlfn.XLOOKUP(B21,Input!J:J,Input!I:I,"Missing",0,1)</f>
        <v>0</v>
      </c>
    </row>
    <row r="22" spans="1:17">
      <c r="A22" t="str" cm="1">
        <f t="array" ref="A22">IFERROR(_xlfn.TEXTSPLIT(Input!A23,"*"),"")</f>
        <v/>
      </c>
      <c r="Q22">
        <f>_xlfn.XLOOKUP(B22,Input!J:J,Input!I:I,"Missing",0,1)</f>
        <v>0</v>
      </c>
    </row>
    <row r="23" spans="1:17">
      <c r="A23" t="str" cm="1">
        <f t="array" ref="A23">IFERROR(_xlfn.TEXTSPLIT(Input!A24,"*"),"")</f>
        <v/>
      </c>
      <c r="Q23">
        <f>_xlfn.XLOOKUP(B23,Input!J:J,Input!I:I,"Missing",0,1)</f>
        <v>0</v>
      </c>
    </row>
    <row r="24" spans="1:17">
      <c r="A24" t="str" cm="1">
        <f t="array" ref="A24">IFERROR(_xlfn.TEXTSPLIT(Input!A25,"*"),"")</f>
        <v/>
      </c>
      <c r="Q24">
        <f>_xlfn.XLOOKUP(B24,Input!J:J,Input!I:I,"Missing",0,1)</f>
        <v>0</v>
      </c>
    </row>
    <row r="25" spans="1:17">
      <c r="A25" t="str" cm="1">
        <f t="array" ref="A25">IFERROR(_xlfn.TEXTSPLIT(Input!A26,"*"),"")</f>
        <v/>
      </c>
      <c r="Q25">
        <f>_xlfn.XLOOKUP(B25,Input!J:J,Input!I:I,"Missing",0,1)</f>
        <v>0</v>
      </c>
    </row>
    <row r="26" spans="1:17">
      <c r="A26" t="str" cm="1">
        <f t="array" ref="A26">IFERROR(_xlfn.TEXTSPLIT(Input!A27,"*"),"")</f>
        <v/>
      </c>
      <c r="Q26">
        <f>_xlfn.XLOOKUP(B26,Input!J:J,Input!I:I,"Missing",0,1)</f>
        <v>0</v>
      </c>
    </row>
    <row r="27" spans="1:17">
      <c r="A27" t="str" cm="1">
        <f t="array" ref="A27">IFERROR(_xlfn.TEXTSPLIT(Input!A28,"*"),"")</f>
        <v/>
      </c>
      <c r="Q27">
        <f>_xlfn.XLOOKUP(B27,Input!J:J,Input!I:I,"Missing",0,1)</f>
        <v>0</v>
      </c>
    </row>
    <row r="28" spans="1:17">
      <c r="A28" t="str" cm="1">
        <f t="array" ref="A28">IFERROR(_xlfn.TEXTSPLIT(Input!A29,"*"),"")</f>
        <v/>
      </c>
      <c r="Q28">
        <f>_xlfn.XLOOKUP(B28,Input!J:J,Input!I:I,"Missing",0,1)</f>
        <v>0</v>
      </c>
    </row>
    <row r="29" spans="1:17">
      <c r="A29" t="str" cm="1">
        <f t="array" ref="A29">IFERROR(_xlfn.TEXTSPLIT(Input!A30,"*"),"")</f>
        <v/>
      </c>
      <c r="Q29">
        <f>_xlfn.XLOOKUP(B29,Input!J:J,Input!I:I,"Missing",0,1)</f>
        <v>0</v>
      </c>
    </row>
    <row r="30" spans="1:17">
      <c r="A30" t="str" cm="1">
        <f t="array" ref="A30">IFERROR(_xlfn.TEXTSPLIT(Input!A31,"*"),"")</f>
        <v/>
      </c>
      <c r="Q30">
        <f>_xlfn.XLOOKUP(B30,Input!J:J,Input!I:I,"Missing",0,1)</f>
        <v>0</v>
      </c>
    </row>
    <row r="31" spans="1:17">
      <c r="A31" t="str" cm="1">
        <f t="array" ref="A31">IFERROR(_xlfn.TEXTSPLIT(Input!A32,"*"),"")</f>
        <v/>
      </c>
      <c r="Q31">
        <f>_xlfn.XLOOKUP(B31,Input!J:J,Input!I:I,"Missing",0,1)</f>
        <v>0</v>
      </c>
    </row>
    <row r="32" spans="1:17">
      <c r="A32" t="str" cm="1">
        <f t="array" ref="A32">IFERROR(_xlfn.TEXTSPLIT(Input!A33,"*"),"")</f>
        <v/>
      </c>
      <c r="Q32">
        <f>_xlfn.XLOOKUP(B32,Input!J:J,Input!I:I,"Missing",0,1)</f>
        <v>0</v>
      </c>
    </row>
    <row r="33" spans="1:17">
      <c r="A33" t="str" cm="1">
        <f t="array" ref="A33">IFERROR(_xlfn.TEXTSPLIT(Input!A34,"*"),"")</f>
        <v/>
      </c>
      <c r="Q33">
        <f>_xlfn.XLOOKUP(B33,Input!J:J,Input!I:I)</f>
        <v>0</v>
      </c>
    </row>
    <row r="34" spans="1:17">
      <c r="A34" t="str" cm="1">
        <f t="array" ref="A34">IFERROR(_xlfn.TEXTSPLIT(Input!A35,"*"),"")</f>
        <v/>
      </c>
      <c r="Q34">
        <f>_xlfn.XLOOKUP(B34,Input!J:J,Input!I:I)</f>
        <v>0</v>
      </c>
    </row>
    <row r="35" spans="1:17">
      <c r="A35" t="str" cm="1">
        <f t="array" ref="A35">IFERROR(_xlfn.TEXTSPLIT(Input!A36,"*"),"")</f>
        <v/>
      </c>
    </row>
    <row r="36" spans="1:17">
      <c r="A36" t="str" cm="1">
        <f t="array" ref="A36">IFERROR(_xlfn.TEXTSPLIT(Input!A37,"*"),"")</f>
        <v/>
      </c>
    </row>
    <row r="37" spans="1:17">
      <c r="A37" t="str" cm="1">
        <f t="array" ref="A37">IFERROR(_xlfn.TEXTSPLIT(Input!A38,"*"),"")</f>
        <v/>
      </c>
    </row>
    <row r="38" spans="1:17">
      <c r="A38" t="str" cm="1">
        <f t="array" ref="A38">IFERROR(_xlfn.TEXTSPLIT(Input!A39,"*"),"")</f>
        <v/>
      </c>
    </row>
    <row r="39" spans="1:17">
      <c r="A39" t="str" cm="1">
        <f t="array" ref="A39">IFERROR(_xlfn.TEXTSPLIT(Input!A40,"*"),"")</f>
        <v/>
      </c>
    </row>
    <row r="40" spans="1:17">
      <c r="A40" t="str" cm="1">
        <f t="array" ref="A40">IFERROR(_xlfn.TEXTSPLIT(Input!A41,"*"),"")</f>
        <v/>
      </c>
    </row>
    <row r="41" spans="1:17">
      <c r="A41" t="str" cm="1">
        <f t="array" ref="A41">IFERROR(_xlfn.TEXTSPLIT(Input!A42,"*"),"")</f>
        <v/>
      </c>
    </row>
    <row r="42" spans="1:17">
      <c r="A42" t="str" cm="1">
        <f t="array" ref="A42">IFERROR(_xlfn.TEXTSPLIT(Input!A43,"*"),"")</f>
        <v/>
      </c>
    </row>
    <row r="43" spans="1:17">
      <c r="A43" t="str" cm="1">
        <f t="array" ref="A43">IFERROR(_xlfn.TEXTSPLIT(Input!A44,"*"),"")</f>
        <v/>
      </c>
    </row>
    <row r="44" spans="1:17">
      <c r="A44" t="str" cm="1">
        <f t="array" ref="A44">IFERROR(_xlfn.TEXTSPLIT(Input!A45,"*"),"")</f>
        <v/>
      </c>
    </row>
    <row r="45" spans="1:17">
      <c r="A45" t="str" cm="1">
        <f t="array" ref="A45">IFERROR(_xlfn.TEXTSPLIT(Input!A46,"*"),"")</f>
        <v/>
      </c>
    </row>
    <row r="46" spans="1:17">
      <c r="A46" t="str" cm="1">
        <f t="array" ref="A46">IFERROR(_xlfn.TEXTSPLIT(Input!A47,"*"),"")</f>
        <v/>
      </c>
    </row>
    <row r="47" spans="1:17">
      <c r="A47" t="str" cm="1">
        <f t="array" ref="A47">IFERROR(_xlfn.TEXTSPLIT(Input!A48,"*"),"")</f>
        <v/>
      </c>
    </row>
    <row r="48" spans="1:17">
      <c r="A48" t="str" cm="1">
        <f t="array" ref="A48">IFERROR(_xlfn.TEXTSPLIT(Input!A49,"*"),"")</f>
        <v/>
      </c>
    </row>
    <row r="49" spans="1:1">
      <c r="A49" t="str" cm="1">
        <f t="array" ref="A49">IFERROR(_xlfn.TEXTSPLIT(Input!A50,"*"),"")</f>
        <v/>
      </c>
    </row>
    <row r="50" spans="1:1">
      <c r="A50" t="str" cm="1">
        <f t="array" ref="A50">IFERROR(_xlfn.TEXTSPLIT(Input!A51,"*"),"")</f>
        <v/>
      </c>
    </row>
    <row r="51" spans="1:1">
      <c r="A51" t="str" cm="1">
        <f t="array" ref="A51">IFERROR(_xlfn.TEXTSPLIT(Input!A52,"*"),"")</f>
        <v/>
      </c>
    </row>
    <row r="52" spans="1:1">
      <c r="A52" t="str" cm="1">
        <f t="array" ref="A52">IFERROR(_xlfn.TEXTSPLIT(Input!A53,"*"),"")</f>
        <v/>
      </c>
    </row>
    <row r="53" spans="1:1">
      <c r="A53" t="str" cm="1">
        <f t="array" ref="A53">IFERROR(_xlfn.TEXTSPLIT(Input!A54,"*"),"")</f>
        <v/>
      </c>
    </row>
    <row r="54" spans="1:1">
      <c r="A54" t="str" cm="1">
        <f t="array" ref="A54">IFERROR(_xlfn.TEXTSPLIT(Input!A55,"*"),"")</f>
        <v/>
      </c>
    </row>
    <row r="55" spans="1:1">
      <c r="A55" t="str" cm="1">
        <f t="array" ref="A55">IFERROR(_xlfn.TEXTSPLIT(Input!A56,"*"),"")</f>
        <v/>
      </c>
    </row>
    <row r="56" spans="1:1">
      <c r="A56" t="str" cm="1">
        <f t="array" ref="A56">IFERROR(_xlfn.TEXTSPLIT(Input!A57,"*"),"")</f>
        <v/>
      </c>
    </row>
    <row r="57" spans="1:1">
      <c r="A57" t="str" cm="1">
        <f t="array" ref="A57">IFERROR(_xlfn.TEXTSPLIT(Input!A58,"*"),"")</f>
        <v/>
      </c>
    </row>
    <row r="58" spans="1:1">
      <c r="A58" t="str" cm="1">
        <f t="array" ref="A58">IFERROR(_xlfn.TEXTSPLIT(Input!A59,"*"),"")</f>
        <v/>
      </c>
    </row>
    <row r="59" spans="1:1">
      <c r="A59" t="str" cm="1">
        <f t="array" ref="A59">IFERROR(_xlfn.TEXTSPLIT(Input!A60,"*"),"")</f>
        <v/>
      </c>
    </row>
    <row r="60" spans="1:1">
      <c r="A60" t="str" cm="1">
        <f t="array" ref="A60">IFERROR(_xlfn.TEXTSPLIT(Input!A61,"*"),"")</f>
        <v/>
      </c>
    </row>
    <row r="61" spans="1:1">
      <c r="A61" t="str" cm="1">
        <f t="array" ref="A61">IFERROR(_xlfn.TEXTSPLIT(Input!A62,"*"),"")</f>
        <v/>
      </c>
    </row>
    <row r="62" spans="1:1">
      <c r="A62" t="str" cm="1">
        <f t="array" ref="A62">IFERROR(_xlfn.TEXTSPLIT(Input!A63,"*"),"")</f>
        <v/>
      </c>
    </row>
    <row r="63" spans="1:1">
      <c r="A63" t="str" cm="1">
        <f t="array" ref="A63">IFERROR(_xlfn.TEXTSPLIT(Input!A64,"*"),"")</f>
        <v/>
      </c>
    </row>
    <row r="64" spans="1:1">
      <c r="A64" t="str" cm="1">
        <f t="array" ref="A64">IFERROR(_xlfn.TEXTSPLIT(Input!A65,"*"),"")</f>
        <v/>
      </c>
    </row>
    <row r="65" spans="1:1">
      <c r="A65" t="str" cm="1">
        <f t="array" ref="A65">IFERROR(_xlfn.TEXTSPLIT(Input!A66,"*"),"")</f>
        <v/>
      </c>
    </row>
    <row r="66" spans="1:1">
      <c r="A66" t="str" cm="1">
        <f t="array" ref="A66">IFERROR(_xlfn.TEXTSPLIT(Input!A67,"*"),"")</f>
        <v/>
      </c>
    </row>
    <row r="67" spans="1:1">
      <c r="A67" t="str" cm="1">
        <f t="array" ref="A67">IFERROR(_xlfn.TEXTSPLIT(Input!A68,"*"),"")</f>
        <v/>
      </c>
    </row>
    <row r="68" spans="1:1">
      <c r="A68" t="str" cm="1">
        <f t="array" ref="A68">IFERROR(_xlfn.TEXTSPLIT(Input!A69,"*"),"")</f>
        <v/>
      </c>
    </row>
    <row r="69" spans="1:1">
      <c r="A69" t="str" cm="1">
        <f t="array" ref="A69">IFERROR(_xlfn.TEXTSPLIT(Input!A70,"*"),"")</f>
        <v/>
      </c>
    </row>
    <row r="70" spans="1:1">
      <c r="A70" t="str" cm="1">
        <f t="array" ref="A70">IFERROR(_xlfn.TEXTSPLIT(Input!A71,"*"),"")</f>
        <v/>
      </c>
    </row>
    <row r="71" spans="1:1">
      <c r="A71" t="str" cm="1">
        <f t="array" ref="A71">IFERROR(_xlfn.TEXTSPLIT(Input!A72,"*"),"")</f>
        <v/>
      </c>
    </row>
    <row r="72" spans="1:1">
      <c r="A72" t="str" cm="1">
        <f t="array" ref="A72">IFERROR(_xlfn.TEXTSPLIT(Input!A73,"*"),"")</f>
        <v/>
      </c>
    </row>
    <row r="73" spans="1:1">
      <c r="A73" t="str" cm="1">
        <f t="array" ref="A73">IFERROR(_xlfn.TEXTSPLIT(Input!A74,"*"),"")</f>
        <v/>
      </c>
    </row>
    <row r="74" spans="1:1">
      <c r="A74" t="str" cm="1">
        <f t="array" ref="A74">IFERROR(_xlfn.TEXTSPLIT(Input!A75,"*"),"")</f>
        <v/>
      </c>
    </row>
    <row r="75" spans="1:1">
      <c r="A75" t="str" cm="1">
        <f t="array" ref="A75">IFERROR(_xlfn.TEXTSPLIT(Input!A76,"*"),"")</f>
        <v/>
      </c>
    </row>
    <row r="76" spans="1:1">
      <c r="A76" t="str" cm="1">
        <f t="array" ref="A76">IFERROR(_xlfn.TEXTSPLIT(Input!A77,"*"),"")</f>
        <v/>
      </c>
    </row>
    <row r="77" spans="1:1">
      <c r="A77" t="str" cm="1">
        <f t="array" ref="A77">IFERROR(_xlfn.TEXTSPLIT(Input!A78,"*"),"")</f>
        <v/>
      </c>
    </row>
    <row r="78" spans="1:1">
      <c r="A78" t="str" cm="1">
        <f t="array" ref="A78">IFERROR(_xlfn.TEXTSPLIT(Input!A79,"*"),"")</f>
        <v/>
      </c>
    </row>
    <row r="79" spans="1:1">
      <c r="A79" t="str" cm="1">
        <f t="array" ref="A79">IFERROR(_xlfn.TEXTSPLIT(Input!A80,"*"),"")</f>
        <v/>
      </c>
    </row>
    <row r="80" spans="1:1">
      <c r="A80" t="str" cm="1">
        <f t="array" ref="A80">IFERROR(_xlfn.TEXTSPLIT(Input!A81,"*"),"")</f>
        <v/>
      </c>
    </row>
    <row r="81" spans="1:1">
      <c r="A81" t="str" cm="1">
        <f t="array" ref="A81">IFERROR(_xlfn.TEXTSPLIT(Input!A82,"*"),"")</f>
        <v/>
      </c>
    </row>
    <row r="82" spans="1:1">
      <c r="A82" t="str" cm="1">
        <f t="array" ref="A82">IFERROR(_xlfn.TEXTSPLIT(Input!A83,"*"),"")</f>
        <v/>
      </c>
    </row>
    <row r="83" spans="1:1">
      <c r="A83" t="str" cm="1">
        <f t="array" ref="A83">IFERROR(_xlfn.TEXTSPLIT(Input!A84,"*"),"")</f>
        <v/>
      </c>
    </row>
    <row r="84" spans="1:1">
      <c r="A84" t="str" cm="1">
        <f t="array" ref="A84">IFERROR(_xlfn.TEXTSPLIT(Input!A85,"*"),"")</f>
        <v/>
      </c>
    </row>
    <row r="85" spans="1:1">
      <c r="A85" t="str" cm="1">
        <f t="array" ref="A85">IFERROR(_xlfn.TEXTSPLIT(Input!A86,"*"),"")</f>
        <v/>
      </c>
    </row>
    <row r="86" spans="1:1">
      <c r="A86" t="str" cm="1">
        <f t="array" ref="A86">IFERROR(_xlfn.TEXTSPLIT(Input!A87,"*"),"")</f>
        <v/>
      </c>
    </row>
    <row r="87" spans="1:1">
      <c r="A87" t="str" cm="1">
        <f t="array" ref="A87">IFERROR(_xlfn.TEXTSPLIT(Input!A88,"*"),"")</f>
        <v/>
      </c>
    </row>
    <row r="88" spans="1:1">
      <c r="A88" t="str" cm="1">
        <f t="array" ref="A88">IFERROR(_xlfn.TEXTSPLIT(Input!A89,"*"),"")</f>
        <v/>
      </c>
    </row>
    <row r="89" spans="1:1">
      <c r="A89" t="str" cm="1">
        <f t="array" ref="A89">IFERROR(_xlfn.TEXTSPLIT(Input!A90,"*"),"")</f>
        <v/>
      </c>
    </row>
    <row r="90" spans="1:1">
      <c r="A90" t="str" cm="1">
        <f t="array" ref="A90">IFERROR(_xlfn.TEXTSPLIT(Input!A91,"*"),"")</f>
        <v/>
      </c>
    </row>
    <row r="91" spans="1:1">
      <c r="A91" t="str" cm="1">
        <f t="array" ref="A91">IFERROR(_xlfn.TEXTSPLIT(Input!A92,"*"),"")</f>
        <v/>
      </c>
    </row>
    <row r="92" spans="1:1">
      <c r="A92" t="str" cm="1">
        <f t="array" ref="A92">IFERROR(_xlfn.TEXTSPLIT(Input!A93,"*"),"")</f>
        <v/>
      </c>
    </row>
    <row r="93" spans="1:1">
      <c r="A93" t="str" cm="1">
        <f t="array" ref="A93">IFERROR(_xlfn.TEXTSPLIT(Input!A94,"*"),"")</f>
        <v/>
      </c>
    </row>
    <row r="94" spans="1:1">
      <c r="A94" t="str" cm="1">
        <f t="array" ref="A94">IFERROR(_xlfn.TEXTSPLIT(Input!A95,"*"),"")</f>
        <v/>
      </c>
    </row>
    <row r="95" spans="1:1">
      <c r="A95" t="str" cm="1">
        <f t="array" ref="A95">IFERROR(_xlfn.TEXTSPLIT(Input!A96,"*"),"")</f>
        <v/>
      </c>
    </row>
    <row r="96" spans="1:1">
      <c r="A96" t="str" cm="1">
        <f t="array" ref="A96">IFERROR(_xlfn.TEXTSPLIT(Input!A97,"*"),"")</f>
        <v/>
      </c>
    </row>
    <row r="97" spans="1:1">
      <c r="A97" t="str" cm="1">
        <f t="array" ref="A97">IFERROR(_xlfn.TEXTSPLIT(Input!A98,"*"),"")</f>
        <v/>
      </c>
    </row>
    <row r="98" spans="1:1">
      <c r="A98" t="str" cm="1">
        <f t="array" ref="A98">IFERROR(_xlfn.TEXTSPLIT(Input!A99,"*"),"")</f>
        <v/>
      </c>
    </row>
    <row r="99" spans="1:1">
      <c r="A99" t="str" cm="1">
        <f t="array" ref="A99">IFERROR(_xlfn.TEXTSPLIT(Input!A100,"*"),"")</f>
        <v/>
      </c>
    </row>
    <row r="100" spans="1:1">
      <c r="A100" t="str" cm="1">
        <f t="array" ref="A100">IFERROR(_xlfn.TEXTSPLIT(Input!A101,"*"),"")</f>
        <v/>
      </c>
    </row>
    <row r="101" spans="1:1">
      <c r="A101" t="str" cm="1">
        <f t="array" ref="A101">IFERROR(_xlfn.TEXTSPLIT(Input!A102,"*"),"")</f>
        <v/>
      </c>
    </row>
    <row r="102" spans="1:1">
      <c r="A102" t="str" cm="1">
        <f t="array" ref="A102">IFERROR(_xlfn.TEXTSPLIT(Input!A103,"*"),"")</f>
        <v/>
      </c>
    </row>
    <row r="103" spans="1:1">
      <c r="A103" t="str" cm="1">
        <f t="array" ref="A103">IFERROR(_xlfn.TEXTSPLIT(Input!A104,"*"),"")</f>
        <v/>
      </c>
    </row>
    <row r="104" spans="1:1">
      <c r="A104" t="str" cm="1">
        <f t="array" ref="A104">IFERROR(_xlfn.TEXTSPLIT(Input!A105,"*"),"")</f>
        <v/>
      </c>
    </row>
    <row r="105" spans="1:1">
      <c r="A105" t="str" cm="1">
        <f t="array" ref="A105">IFERROR(_xlfn.TEXTSPLIT(Input!A106,"*"),"")</f>
        <v/>
      </c>
    </row>
    <row r="106" spans="1:1">
      <c r="A106" t="str" cm="1">
        <f t="array" ref="A106">IFERROR(_xlfn.TEXTSPLIT(Input!A107,"*"),"")</f>
        <v/>
      </c>
    </row>
    <row r="107" spans="1:1">
      <c r="A107" t="str" cm="1">
        <f t="array" ref="A107">IFERROR(_xlfn.TEXTSPLIT(Input!A108,"*"),"")</f>
        <v/>
      </c>
    </row>
    <row r="108" spans="1:1">
      <c r="A108" t="str" cm="1">
        <f t="array" ref="A108">IFERROR(_xlfn.TEXTSPLIT(Input!A109,"*"),"")</f>
        <v/>
      </c>
    </row>
    <row r="109" spans="1:1">
      <c r="A109" t="str" cm="1">
        <f t="array" ref="A109">IFERROR(_xlfn.TEXTSPLIT(Input!A110,"*"),"")</f>
        <v/>
      </c>
    </row>
    <row r="110" spans="1:1">
      <c r="A110" t="str" cm="1">
        <f t="array" ref="A110">IFERROR(_xlfn.TEXTSPLIT(Input!A111,"*"),"")</f>
        <v/>
      </c>
    </row>
    <row r="111" spans="1:1">
      <c r="A111" t="str" cm="1">
        <f t="array" ref="A111">IFERROR(_xlfn.TEXTSPLIT(Input!A112,"*"),"")</f>
        <v/>
      </c>
    </row>
    <row r="112" spans="1:1">
      <c r="A112" t="str" cm="1">
        <f t="array" ref="A112">IFERROR(_xlfn.TEXTSPLIT(Input!A113,"*"),"")</f>
        <v/>
      </c>
    </row>
    <row r="113" spans="1:1">
      <c r="A113" t="str" cm="1">
        <f t="array" ref="A113">IFERROR(_xlfn.TEXTSPLIT(Input!A114,"*"),"")</f>
        <v/>
      </c>
    </row>
    <row r="114" spans="1:1">
      <c r="A114" t="str" cm="1">
        <f t="array" ref="A114">IFERROR(_xlfn.TEXTSPLIT(Input!A115,"*"),"")</f>
        <v/>
      </c>
    </row>
    <row r="115" spans="1:1">
      <c r="A115" t="str" cm="1">
        <f t="array" ref="A115">IFERROR(_xlfn.TEXTSPLIT(Input!A116,"*"),"")</f>
        <v/>
      </c>
    </row>
    <row r="116" spans="1:1">
      <c r="A116" t="str" cm="1">
        <f t="array" ref="A116">IFERROR(_xlfn.TEXTSPLIT(Input!A117,"*"),"")</f>
        <v/>
      </c>
    </row>
    <row r="117" spans="1:1">
      <c r="A117" t="str" cm="1">
        <f t="array" ref="A117">IFERROR(_xlfn.TEXTSPLIT(Input!A118,"*"),"")</f>
        <v/>
      </c>
    </row>
    <row r="118" spans="1:1">
      <c r="A118" t="str" cm="1">
        <f t="array" ref="A118">IFERROR(_xlfn.TEXTSPLIT(Input!A119,"*"),"")</f>
        <v/>
      </c>
    </row>
    <row r="119" spans="1:1">
      <c r="A119" t="str" cm="1">
        <f t="array" ref="A119">IFERROR(_xlfn.TEXTSPLIT(Input!A120,"*"),"")</f>
        <v/>
      </c>
    </row>
    <row r="120" spans="1:1">
      <c r="A120" t="str" cm="1">
        <f t="array" ref="A120">IFERROR(_xlfn.TEXTSPLIT(Input!A121,"*"),"")</f>
        <v/>
      </c>
    </row>
    <row r="121" spans="1:1">
      <c r="A121" t="str" cm="1">
        <f t="array" ref="A121">IFERROR(_xlfn.TEXTSPLIT(Input!A122,"*"),"")</f>
        <v/>
      </c>
    </row>
    <row r="122" spans="1:1">
      <c r="A122" t="str" cm="1">
        <f t="array" ref="A122">IFERROR(_xlfn.TEXTSPLIT(Input!A123,"*"),"")</f>
        <v/>
      </c>
    </row>
    <row r="123" spans="1:1">
      <c r="A123" t="str" cm="1">
        <f t="array" ref="A123">IFERROR(_xlfn.TEXTSPLIT(Input!A124,"*"),"")</f>
        <v/>
      </c>
    </row>
    <row r="124" spans="1:1">
      <c r="A124" t="str" cm="1">
        <f t="array" ref="A124">IFERROR(_xlfn.TEXTSPLIT(Input!A125,"*"),"")</f>
        <v/>
      </c>
    </row>
    <row r="125" spans="1:1">
      <c r="A125" t="str" cm="1">
        <f t="array" ref="A125">IFERROR(_xlfn.TEXTSPLIT(Input!A126,"*"),"")</f>
        <v/>
      </c>
    </row>
    <row r="126" spans="1:1">
      <c r="A126" t="str" cm="1">
        <f t="array" ref="A126">IFERROR(_xlfn.TEXTSPLIT(Input!A127,"*"),"")</f>
        <v/>
      </c>
    </row>
    <row r="127" spans="1:1">
      <c r="A127" t="str" cm="1">
        <f t="array" ref="A127">IFERROR(_xlfn.TEXTSPLIT(Input!A128,"*"),"")</f>
        <v/>
      </c>
    </row>
    <row r="128" spans="1:1">
      <c r="A128" t="str" cm="1">
        <f t="array" ref="A128">IFERROR(_xlfn.TEXTSPLIT(Input!A129,"*"),"")</f>
        <v/>
      </c>
    </row>
    <row r="129" spans="1:1">
      <c r="A129" t="str" cm="1">
        <f t="array" ref="A129">IFERROR(_xlfn.TEXTSPLIT(Input!A130,"*"),"")</f>
        <v/>
      </c>
    </row>
    <row r="130" spans="1:1">
      <c r="A130" t="str" cm="1">
        <f t="array" ref="A130">IFERROR(_xlfn.TEXTSPLIT(Input!A131,"*"),"")</f>
        <v/>
      </c>
    </row>
    <row r="131" spans="1:1">
      <c r="A131" t="str" cm="1">
        <f t="array" ref="A131">IFERROR(_xlfn.TEXTSPLIT(Input!A132,"*"),"")</f>
        <v/>
      </c>
    </row>
    <row r="132" spans="1:1">
      <c r="A132" t="str" cm="1">
        <f t="array" ref="A132">IFERROR(_xlfn.TEXTSPLIT(Input!A133,"*"),"")</f>
        <v/>
      </c>
    </row>
    <row r="133" spans="1:1">
      <c r="A133" t="str" cm="1">
        <f t="array" ref="A133">IFERROR(_xlfn.TEXTSPLIT(Input!A134,"*"),"")</f>
        <v/>
      </c>
    </row>
    <row r="134" spans="1:1">
      <c r="A134" t="str" cm="1">
        <f t="array" ref="A134">IFERROR(_xlfn.TEXTSPLIT(Input!A135,"*"),"")</f>
        <v/>
      </c>
    </row>
    <row r="135" spans="1:1">
      <c r="A135" t="str" cm="1">
        <f t="array" ref="A135">IFERROR(_xlfn.TEXTSPLIT(Input!A136,"*"),"")</f>
        <v/>
      </c>
    </row>
    <row r="136" spans="1:1">
      <c r="A136" t="str" cm="1">
        <f t="array" ref="A136">IFERROR(_xlfn.TEXTSPLIT(Input!A137,"*"),"")</f>
        <v/>
      </c>
    </row>
    <row r="137" spans="1:1">
      <c r="A137" t="str" cm="1">
        <f t="array" ref="A137">IFERROR(_xlfn.TEXTSPLIT(Input!A138,"*"),"")</f>
        <v/>
      </c>
    </row>
    <row r="138" spans="1:1">
      <c r="A138" t="str" cm="1">
        <f t="array" ref="A138">IFERROR(_xlfn.TEXTSPLIT(Input!A139,"*"),"")</f>
        <v/>
      </c>
    </row>
    <row r="139" spans="1:1">
      <c r="A139" t="str" cm="1">
        <f t="array" ref="A139">IFERROR(_xlfn.TEXTSPLIT(Input!A140,"*"),"")</f>
        <v/>
      </c>
    </row>
    <row r="140" spans="1:1">
      <c r="A140" t="str" cm="1">
        <f t="array" ref="A140">IFERROR(_xlfn.TEXTSPLIT(Input!A141,"*"),"")</f>
        <v/>
      </c>
    </row>
    <row r="141" spans="1:1">
      <c r="A141" t="str" cm="1">
        <f t="array" ref="A141">IFERROR(_xlfn.TEXTSPLIT(Input!A142,"*"),"")</f>
        <v/>
      </c>
    </row>
    <row r="142" spans="1:1">
      <c r="A142" t="str" cm="1">
        <f t="array" ref="A142">IFERROR(_xlfn.TEXTSPLIT(Input!A143,"*"),"")</f>
        <v/>
      </c>
    </row>
    <row r="143" spans="1:1">
      <c r="A143" t="str" cm="1">
        <f t="array" ref="A143">IFERROR(_xlfn.TEXTSPLIT(Input!A144,"*"),"")</f>
        <v/>
      </c>
    </row>
    <row r="144" spans="1:1">
      <c r="A144" t="str" cm="1">
        <f t="array" ref="A144">IFERROR(_xlfn.TEXTSPLIT(Input!A145,"*"),"")</f>
        <v/>
      </c>
    </row>
    <row r="145" spans="1:1">
      <c r="A145" t="str" cm="1">
        <f t="array" ref="A145">IFERROR(_xlfn.TEXTSPLIT(Input!A146,"*"),"")</f>
        <v/>
      </c>
    </row>
    <row r="146" spans="1:1">
      <c r="A146" t="str" cm="1">
        <f t="array" ref="A146">IFERROR(_xlfn.TEXTSPLIT(Input!A147,"*"),"")</f>
        <v/>
      </c>
    </row>
    <row r="147" spans="1:1">
      <c r="A147" t="str" cm="1">
        <f t="array" ref="A147">IFERROR(_xlfn.TEXTSPLIT(Input!A148,"*"),"")</f>
        <v/>
      </c>
    </row>
    <row r="148" spans="1:1">
      <c r="A148" t="str" cm="1">
        <f t="array" ref="A148">IFERROR(_xlfn.TEXTSPLIT(Input!A149,"*"),"")</f>
        <v/>
      </c>
    </row>
    <row r="149" spans="1:1">
      <c r="A149" t="str" cm="1">
        <f t="array" ref="A149">IFERROR(_xlfn.TEXTSPLIT(Input!A150,"*"),"")</f>
        <v/>
      </c>
    </row>
    <row r="150" spans="1:1">
      <c r="A150" t="str" cm="1">
        <f t="array" ref="A150">IFERROR(_xlfn.TEXTSPLIT(Input!A151,"*"),"")</f>
        <v/>
      </c>
    </row>
    <row r="151" spans="1:1">
      <c r="A151" t="str" cm="1">
        <f t="array" ref="A151">IFERROR(_xlfn.TEXTSPLIT(Input!A152,"*"),"")</f>
        <v/>
      </c>
    </row>
    <row r="152" spans="1:1">
      <c r="A152" t="str" cm="1">
        <f t="array" ref="A152">IFERROR(_xlfn.TEXTSPLIT(Input!A153,"*"),"")</f>
        <v/>
      </c>
    </row>
    <row r="153" spans="1:1">
      <c r="A153" t="str" cm="1">
        <f t="array" ref="A153">IFERROR(_xlfn.TEXTSPLIT(Input!A154,"*"),"")</f>
        <v/>
      </c>
    </row>
    <row r="154" spans="1:1">
      <c r="A154" t="str" cm="1">
        <f t="array" ref="A154">IFERROR(_xlfn.TEXTSPLIT(Input!A155,"*"),"")</f>
        <v/>
      </c>
    </row>
    <row r="155" spans="1:1">
      <c r="A155" t="str" cm="1">
        <f t="array" ref="A155">IFERROR(_xlfn.TEXTSPLIT(Input!A156,"*"),"")</f>
        <v/>
      </c>
    </row>
    <row r="156" spans="1:1">
      <c r="A156" t="str" cm="1">
        <f t="array" ref="A156">IFERROR(_xlfn.TEXTSPLIT(Input!A157,"*"),"")</f>
        <v/>
      </c>
    </row>
    <row r="157" spans="1:1">
      <c r="A157" t="str" cm="1">
        <f t="array" ref="A157">IFERROR(_xlfn.TEXTSPLIT(Input!A158,"*"),"")</f>
        <v/>
      </c>
    </row>
    <row r="158" spans="1:1">
      <c r="A158" t="str" cm="1">
        <f t="array" ref="A158">IFERROR(_xlfn.TEXTSPLIT(Input!A159,"*"),"")</f>
        <v/>
      </c>
    </row>
    <row r="159" spans="1:1">
      <c r="A159" t="str" cm="1">
        <f t="array" ref="A159">IFERROR(_xlfn.TEXTSPLIT(Input!A160,"*"),"")</f>
        <v/>
      </c>
    </row>
    <row r="160" spans="1:1">
      <c r="A160" t="str" cm="1">
        <f t="array" ref="A160">IFERROR(_xlfn.TEXTSPLIT(Input!A161,"*"),"")</f>
        <v/>
      </c>
    </row>
    <row r="161" spans="1:1">
      <c r="A161" t="str" cm="1">
        <f t="array" ref="A161">IFERROR(_xlfn.TEXTSPLIT(Input!A162,"*"),"")</f>
        <v/>
      </c>
    </row>
    <row r="162" spans="1:1">
      <c r="A162" t="str" cm="1">
        <f t="array" ref="A162">IFERROR(_xlfn.TEXTSPLIT(Input!A163,"*"),"")</f>
        <v/>
      </c>
    </row>
    <row r="163" spans="1:1">
      <c r="A163" t="str" cm="1">
        <f t="array" ref="A163">IFERROR(_xlfn.TEXTSPLIT(Input!A164,"*"),"")</f>
        <v/>
      </c>
    </row>
    <row r="164" spans="1:1">
      <c r="A164" t="str" cm="1">
        <f t="array" ref="A164">IFERROR(_xlfn.TEXTSPLIT(Input!A165,"*"),"")</f>
        <v/>
      </c>
    </row>
    <row r="165" spans="1:1">
      <c r="A165" t="str" cm="1">
        <f t="array" ref="A165">IFERROR(_xlfn.TEXTSPLIT(Input!A166,"*"),"")</f>
        <v/>
      </c>
    </row>
    <row r="166" spans="1:1">
      <c r="A166" t="str" cm="1">
        <f t="array" ref="A166">IFERROR(_xlfn.TEXTSPLIT(Input!A167,"*"),"")</f>
        <v/>
      </c>
    </row>
    <row r="167" spans="1:1">
      <c r="A167" t="str" cm="1">
        <f t="array" ref="A167">IFERROR(_xlfn.TEXTSPLIT(Input!A168,"*"),"")</f>
        <v/>
      </c>
    </row>
    <row r="168" spans="1:1">
      <c r="A168" t="str" cm="1">
        <f t="array" ref="A168">IFERROR(_xlfn.TEXTSPLIT(Input!A169,"*"),"")</f>
        <v/>
      </c>
    </row>
    <row r="169" spans="1:1">
      <c r="A169" t="str" cm="1">
        <f t="array" ref="A169">IFERROR(_xlfn.TEXTSPLIT(Input!A170,"*"),"")</f>
        <v/>
      </c>
    </row>
    <row r="170" spans="1:1">
      <c r="A170" t="str" cm="1">
        <f t="array" ref="A170">IFERROR(_xlfn.TEXTSPLIT(Input!A171,"*"),"")</f>
        <v/>
      </c>
    </row>
    <row r="171" spans="1:1">
      <c r="A171" t="str" cm="1">
        <f t="array" ref="A171">IFERROR(_xlfn.TEXTSPLIT(Input!A172,"*"),"")</f>
        <v/>
      </c>
    </row>
    <row r="172" spans="1:1">
      <c r="A172" t="str" cm="1">
        <f t="array" ref="A172">IFERROR(_xlfn.TEXTSPLIT(Input!A173,"*"),"")</f>
        <v/>
      </c>
    </row>
    <row r="173" spans="1:1">
      <c r="A173" t="str" cm="1">
        <f t="array" ref="A173">IFERROR(_xlfn.TEXTSPLIT(Input!A174,"*"),"")</f>
        <v/>
      </c>
    </row>
    <row r="174" spans="1:1">
      <c r="A174" t="str" cm="1">
        <f t="array" ref="A174">IFERROR(_xlfn.TEXTSPLIT(Input!A175,"*"),"")</f>
        <v/>
      </c>
    </row>
    <row r="175" spans="1:1">
      <c r="A175" t="str" cm="1">
        <f t="array" ref="A175">IFERROR(_xlfn.TEXTSPLIT(Input!A176,"*"),"")</f>
        <v/>
      </c>
    </row>
    <row r="176" spans="1:1">
      <c r="A176" t="str" cm="1">
        <f t="array" ref="A176">IFERROR(_xlfn.TEXTSPLIT(Input!A177,"*"),"")</f>
        <v/>
      </c>
    </row>
    <row r="177" spans="1:1">
      <c r="A177" t="str" cm="1">
        <f t="array" ref="A177">IFERROR(_xlfn.TEXTSPLIT(Input!A178,"*"),"")</f>
        <v/>
      </c>
    </row>
    <row r="178" spans="1:1">
      <c r="A178" t="str" cm="1">
        <f t="array" ref="A178">IFERROR(_xlfn.TEXTSPLIT(Input!A179,"*"),"")</f>
        <v/>
      </c>
    </row>
    <row r="179" spans="1:1">
      <c r="A179" t="str" cm="1">
        <f t="array" ref="A179">IFERROR(_xlfn.TEXTSPLIT(Input!A180,"*"),"")</f>
        <v/>
      </c>
    </row>
    <row r="180" spans="1:1">
      <c r="A180" t="str" cm="1">
        <f t="array" ref="A180">IFERROR(_xlfn.TEXTSPLIT(Input!A181,"*"),"")</f>
        <v/>
      </c>
    </row>
    <row r="181" spans="1:1">
      <c r="A181" t="str" cm="1">
        <f t="array" ref="A181">IFERROR(_xlfn.TEXTSPLIT(Input!A182,"*"),"")</f>
        <v/>
      </c>
    </row>
    <row r="182" spans="1:1">
      <c r="A182" t="str" cm="1">
        <f t="array" ref="A182">IFERROR(_xlfn.TEXTSPLIT(Input!A183,"*"),"")</f>
        <v/>
      </c>
    </row>
    <row r="183" spans="1:1">
      <c r="A183" t="str" cm="1">
        <f t="array" ref="A183">IFERROR(_xlfn.TEXTSPLIT(Input!A184,"*"),"")</f>
        <v/>
      </c>
    </row>
    <row r="184" spans="1:1">
      <c r="A184" t="str" cm="1">
        <f t="array" ref="A184">IFERROR(_xlfn.TEXTSPLIT(Input!A185,"*"),"")</f>
        <v/>
      </c>
    </row>
    <row r="185" spans="1:1">
      <c r="A185" t="str" cm="1">
        <f t="array" ref="A185">IFERROR(_xlfn.TEXTSPLIT(Input!A186,"*"),"")</f>
        <v/>
      </c>
    </row>
    <row r="186" spans="1:1">
      <c r="A186" t="str" cm="1">
        <f t="array" ref="A186">IFERROR(_xlfn.TEXTSPLIT(Input!A187,"*"),"")</f>
        <v/>
      </c>
    </row>
    <row r="187" spans="1:1">
      <c r="A187" t="str" cm="1">
        <f t="array" ref="A187">IFERROR(_xlfn.TEXTSPLIT(Input!A188,"*"),"")</f>
        <v/>
      </c>
    </row>
    <row r="188" spans="1:1">
      <c r="A188" t="str" cm="1">
        <f t="array" ref="A188">IFERROR(_xlfn.TEXTSPLIT(Input!A189,"*"),"")</f>
        <v/>
      </c>
    </row>
    <row r="189" spans="1:1">
      <c r="A189" t="str" cm="1">
        <f t="array" ref="A189">IFERROR(_xlfn.TEXTSPLIT(Input!A190,"*"),"")</f>
        <v/>
      </c>
    </row>
    <row r="190" spans="1:1">
      <c r="A190" t="str" cm="1">
        <f t="array" ref="A190">IFERROR(_xlfn.TEXTSPLIT(Input!A191,"*"),"")</f>
        <v/>
      </c>
    </row>
    <row r="191" spans="1:1">
      <c r="A191" t="str" cm="1">
        <f t="array" ref="A191">IFERROR(_xlfn.TEXTSPLIT(Input!A192,"*"),"")</f>
        <v/>
      </c>
    </row>
    <row r="192" spans="1:1">
      <c r="A192" t="str" cm="1">
        <f t="array" ref="A192">IFERROR(_xlfn.TEXTSPLIT(Input!A193,"*"),"")</f>
        <v/>
      </c>
    </row>
    <row r="193" spans="1:1">
      <c r="A193" t="str" cm="1">
        <f t="array" ref="A193">IFERROR(_xlfn.TEXTSPLIT(Input!A194,"*"),"")</f>
        <v/>
      </c>
    </row>
    <row r="194" spans="1:1">
      <c r="A194" t="str" cm="1">
        <f t="array" ref="A194">IFERROR(_xlfn.TEXTSPLIT(Input!A195,"*"),"")</f>
        <v/>
      </c>
    </row>
    <row r="195" spans="1:1">
      <c r="A195" t="str" cm="1">
        <f t="array" ref="A195">IFERROR(_xlfn.TEXTSPLIT(Input!A196,"*"),"")</f>
        <v/>
      </c>
    </row>
    <row r="196" spans="1:1">
      <c r="A196" t="str" cm="1">
        <f t="array" ref="A196">IFERROR(_xlfn.TEXTSPLIT(Input!A197,"*"),"")</f>
        <v/>
      </c>
    </row>
    <row r="197" spans="1:1">
      <c r="A197" t="str" cm="1">
        <f t="array" ref="A197">IFERROR(_xlfn.TEXTSPLIT(Input!A198,"*"),"")</f>
        <v/>
      </c>
    </row>
    <row r="198" spans="1:1">
      <c r="A198" t="str" cm="1">
        <f t="array" ref="A198">IFERROR(_xlfn.TEXTSPLIT(Input!A199,"*"),"")</f>
        <v/>
      </c>
    </row>
    <row r="199" spans="1:1">
      <c r="A199" t="str" cm="1">
        <f t="array" ref="A199">IFERROR(_xlfn.TEXTSPLIT(Input!A200,"*"),"")</f>
        <v/>
      </c>
    </row>
    <row r="200" spans="1:1">
      <c r="A200" t="str" cm="1">
        <f t="array" ref="A200">IFERROR(_xlfn.TEXTSPLIT(Input!A201,"*"),"")</f>
        <v/>
      </c>
    </row>
    <row r="201" spans="1:1">
      <c r="A201" t="str" cm="1">
        <f t="array" ref="A201">IFERROR(_xlfn.TEXTSPLIT(Input!A202,"*"),"")</f>
        <v/>
      </c>
    </row>
    <row r="202" spans="1:1">
      <c r="A202" t="str" cm="1">
        <f t="array" ref="A202">IFERROR(_xlfn.TEXTSPLIT(Input!A203,"*"),"")</f>
        <v/>
      </c>
    </row>
    <row r="203" spans="1:1">
      <c r="A203" t="str" cm="1">
        <f t="array" ref="A203">IFERROR(_xlfn.TEXTSPLIT(Input!A204,"*"),"")</f>
        <v/>
      </c>
    </row>
    <row r="204" spans="1:1">
      <c r="A204" t="str" cm="1">
        <f t="array" ref="A204">IFERROR(_xlfn.TEXTSPLIT(Input!A205,"*"),"")</f>
        <v/>
      </c>
    </row>
    <row r="205" spans="1:1">
      <c r="A205" t="str" cm="1">
        <f t="array" ref="A205">IFERROR(_xlfn.TEXTSPLIT(Input!A206,"*"),"")</f>
        <v/>
      </c>
    </row>
    <row r="206" spans="1:1">
      <c r="A206" t="str" cm="1">
        <f t="array" ref="A206">IFERROR(_xlfn.TEXTSPLIT(Input!A207,"*"),"")</f>
        <v/>
      </c>
    </row>
    <row r="207" spans="1:1">
      <c r="A207" t="str" cm="1">
        <f t="array" ref="A207">IFERROR(_xlfn.TEXTSPLIT(Input!A208,"*"),"")</f>
        <v/>
      </c>
    </row>
    <row r="208" spans="1:1">
      <c r="A208" t="str" cm="1">
        <f t="array" ref="A208">IFERROR(_xlfn.TEXTSPLIT(Input!A209,"*"),"")</f>
        <v/>
      </c>
    </row>
    <row r="209" spans="1:1">
      <c r="A209" t="str" cm="1">
        <f t="array" ref="A209">IFERROR(_xlfn.TEXTSPLIT(Input!A210,"*"),"")</f>
        <v/>
      </c>
    </row>
    <row r="210" spans="1:1">
      <c r="A210" t="str" cm="1">
        <f t="array" ref="A210">IFERROR(_xlfn.TEXTSPLIT(Input!A211,"*"),"")</f>
        <v/>
      </c>
    </row>
    <row r="211" spans="1:1">
      <c r="A211" t="str" cm="1">
        <f t="array" ref="A211">IFERROR(_xlfn.TEXTSPLIT(Input!A212,"*"),"")</f>
        <v/>
      </c>
    </row>
    <row r="212" spans="1:1">
      <c r="A212" t="str" cm="1">
        <f t="array" ref="A212">IFERROR(_xlfn.TEXTSPLIT(Input!A213,"*"),"")</f>
        <v/>
      </c>
    </row>
    <row r="213" spans="1:1">
      <c r="A213" t="str" cm="1">
        <f t="array" ref="A213">IFERROR(_xlfn.TEXTSPLIT(Input!A214,"*"),"")</f>
        <v/>
      </c>
    </row>
    <row r="214" spans="1:1">
      <c r="A214" t="str" cm="1">
        <f t="array" ref="A214">IFERROR(_xlfn.TEXTSPLIT(Input!A215,"*"),"")</f>
        <v/>
      </c>
    </row>
    <row r="215" spans="1:1">
      <c r="A215" t="str" cm="1">
        <f t="array" ref="A215">IFERROR(_xlfn.TEXTSPLIT(Input!A216,"*"),"")</f>
        <v/>
      </c>
    </row>
    <row r="216" spans="1:1">
      <c r="A216" t="str" cm="1">
        <f t="array" ref="A216">IFERROR(_xlfn.TEXTSPLIT(Input!A217,"*"),"")</f>
        <v/>
      </c>
    </row>
    <row r="217" spans="1:1">
      <c r="A217" t="str" cm="1">
        <f t="array" ref="A217">IFERROR(_xlfn.TEXTSPLIT(Input!A218,"*"),"")</f>
        <v/>
      </c>
    </row>
    <row r="218" spans="1:1">
      <c r="A218" t="str" cm="1">
        <f t="array" ref="A218">IFERROR(_xlfn.TEXTSPLIT(Input!A219,"*"),"")</f>
        <v/>
      </c>
    </row>
    <row r="219" spans="1:1">
      <c r="A219" t="str" cm="1">
        <f t="array" ref="A219">IFERROR(_xlfn.TEXTSPLIT(Input!A220,"*"),"")</f>
        <v/>
      </c>
    </row>
    <row r="220" spans="1:1">
      <c r="A220" t="str" cm="1">
        <f t="array" ref="A220">IFERROR(_xlfn.TEXTSPLIT(Input!A221,"*"),"")</f>
        <v/>
      </c>
    </row>
    <row r="221" spans="1:1">
      <c r="A221" t="str" cm="1">
        <f t="array" ref="A221">IFERROR(_xlfn.TEXTSPLIT(Input!A222,"*"),"")</f>
        <v/>
      </c>
    </row>
    <row r="222" spans="1:1">
      <c r="A222" t="str" cm="1">
        <f t="array" ref="A222">IFERROR(_xlfn.TEXTSPLIT(Input!A223,"*"),"")</f>
        <v/>
      </c>
    </row>
    <row r="223" spans="1:1">
      <c r="A223" t="str" cm="1">
        <f t="array" ref="A223">IFERROR(_xlfn.TEXTSPLIT(Input!A224,"*"),"")</f>
        <v/>
      </c>
    </row>
    <row r="224" spans="1:1">
      <c r="A224" t="str" cm="1">
        <f t="array" ref="A224">IFERROR(_xlfn.TEXTSPLIT(Input!A225,"*"),"")</f>
        <v/>
      </c>
    </row>
    <row r="225" spans="1:1">
      <c r="A225" t="str" cm="1">
        <f t="array" ref="A225">IFERROR(_xlfn.TEXTSPLIT(Input!A226,"*"),"")</f>
        <v/>
      </c>
    </row>
    <row r="226" spans="1:1">
      <c r="A226" t="str" cm="1">
        <f t="array" ref="A226">IFERROR(_xlfn.TEXTSPLIT(Input!A227,"*"),"")</f>
        <v/>
      </c>
    </row>
    <row r="227" spans="1:1">
      <c r="A227" t="str" cm="1">
        <f t="array" ref="A227">IFERROR(_xlfn.TEXTSPLIT(Input!A228,"*"),"")</f>
        <v/>
      </c>
    </row>
    <row r="228" spans="1:1">
      <c r="A228" t="str" cm="1">
        <f t="array" ref="A228">IFERROR(_xlfn.TEXTSPLIT(Input!A229,"*"),"")</f>
        <v/>
      </c>
    </row>
    <row r="229" spans="1:1">
      <c r="A229" t="str" cm="1">
        <f t="array" ref="A229">IFERROR(_xlfn.TEXTSPLIT(Input!A230,"*"),"")</f>
        <v/>
      </c>
    </row>
    <row r="230" spans="1:1">
      <c r="A230" t="str" cm="1">
        <f t="array" ref="A230">IFERROR(_xlfn.TEXTSPLIT(Input!A231,"*"),"")</f>
        <v/>
      </c>
    </row>
    <row r="231" spans="1:1">
      <c r="A231" t="str" cm="1">
        <f t="array" ref="A231">IFERROR(_xlfn.TEXTSPLIT(Input!A232,"*"),"")</f>
        <v/>
      </c>
    </row>
    <row r="232" spans="1:1">
      <c r="A232" t="str" cm="1">
        <f t="array" ref="A232">IFERROR(_xlfn.TEXTSPLIT(Input!A233,"*"),"")</f>
        <v/>
      </c>
    </row>
    <row r="233" spans="1:1">
      <c r="A233" t="str" cm="1">
        <f t="array" ref="A233">IFERROR(_xlfn.TEXTSPLIT(Input!A234,"*"),"")</f>
        <v/>
      </c>
    </row>
    <row r="234" spans="1:1">
      <c r="A234" t="str" cm="1">
        <f t="array" ref="A234">IFERROR(_xlfn.TEXTSPLIT(Input!A235,"*"),"")</f>
        <v/>
      </c>
    </row>
    <row r="235" spans="1:1">
      <c r="A235" t="str" cm="1">
        <f t="array" ref="A235">IFERROR(_xlfn.TEXTSPLIT(Input!A236,"*"),"")</f>
        <v/>
      </c>
    </row>
    <row r="236" spans="1:1">
      <c r="A236" t="str" cm="1">
        <f t="array" ref="A236">IFERROR(_xlfn.TEXTSPLIT(Input!A237,"*"),"")</f>
        <v/>
      </c>
    </row>
    <row r="237" spans="1:1">
      <c r="A237" t="str" cm="1">
        <f t="array" ref="A237">IFERROR(_xlfn.TEXTSPLIT(Input!A238,"*"),"")</f>
        <v/>
      </c>
    </row>
    <row r="238" spans="1:1">
      <c r="A238" t="str" cm="1">
        <f t="array" ref="A238">IFERROR(_xlfn.TEXTSPLIT(Input!A239,"*"),"")</f>
        <v/>
      </c>
    </row>
    <row r="239" spans="1:1">
      <c r="A239" t="str" cm="1">
        <f t="array" ref="A239">IFERROR(_xlfn.TEXTSPLIT(Input!A240,"*"),"")</f>
        <v/>
      </c>
    </row>
    <row r="240" spans="1:1">
      <c r="A240" t="str" cm="1">
        <f t="array" ref="A240">IFERROR(_xlfn.TEXTSPLIT(Input!A241,"*"),"")</f>
        <v/>
      </c>
    </row>
    <row r="241" spans="1:1">
      <c r="A241" t="str" cm="1">
        <f t="array" ref="A241">IFERROR(_xlfn.TEXTSPLIT(Input!A242,"*"),"")</f>
        <v/>
      </c>
    </row>
    <row r="242" spans="1:1">
      <c r="A242" t="str" cm="1">
        <f t="array" ref="A242">IFERROR(_xlfn.TEXTSPLIT(Input!A243,"*"),"")</f>
        <v/>
      </c>
    </row>
    <row r="243" spans="1:1">
      <c r="A243" t="str" cm="1">
        <f t="array" ref="A243">IFERROR(_xlfn.TEXTSPLIT(Input!A244,"*"),"")</f>
        <v/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L661"/>
  <sheetViews>
    <sheetView topLeftCell="L1" zoomScaleNormal="100" workbookViewId="0">
      <pane ySplit="1" topLeftCell="A2" activePane="bottomLeft" state="frozen"/>
      <selection activeCell="E1" sqref="E1"/>
      <selection pane="bottomLeft" activeCell="U27" sqref="U27"/>
    </sheetView>
  </sheetViews>
  <sheetFormatPr defaultRowHeight="15"/>
  <cols>
    <col min="1" max="1" width="15.85546875" customWidth="1"/>
    <col min="2" max="2" width="12.7109375" bestFit="1" customWidth="1"/>
    <col min="3" max="3" width="9.5703125" style="13" bestFit="1" customWidth="1"/>
    <col min="4" max="4" width="20.28515625" customWidth="1"/>
    <col min="6" max="6" width="22.42578125" customWidth="1"/>
    <col min="9" max="9" width="18.42578125" customWidth="1"/>
    <col min="10" max="10" width="23.85546875" style="13" customWidth="1"/>
    <col min="11" max="12" width="38.42578125" style="13" customWidth="1"/>
    <col min="13" max="13" width="38.42578125" customWidth="1"/>
    <col min="14" max="14" width="38.42578125" style="13" customWidth="1"/>
    <col min="15" max="15" width="16.28515625" style="13" customWidth="1"/>
    <col min="16" max="16" width="16.28515625" customWidth="1"/>
    <col min="17" max="21" width="15.140625" style="13" customWidth="1"/>
    <col min="22" max="22" width="15" style="13" customWidth="1"/>
    <col min="23" max="23" width="15.140625" style="13" customWidth="1"/>
    <col min="24" max="24" width="24.28515625" style="13" customWidth="1"/>
    <col min="25" max="29" width="15.140625" style="13" customWidth="1"/>
    <col min="30" max="30" width="46.5703125" customWidth="1"/>
    <col min="31" max="31" width="17.28515625" bestFit="1" customWidth="1"/>
    <col min="32" max="32" width="15.85546875" bestFit="1" customWidth="1"/>
    <col min="33" max="33" width="18" bestFit="1" customWidth="1"/>
    <col min="34" max="34" width="17.140625" bestFit="1" customWidth="1"/>
    <col min="35" max="35" width="26.7109375" bestFit="1" customWidth="1"/>
    <col min="36" max="37" width="12.5703125" bestFit="1" customWidth="1"/>
    <col min="38" max="38" width="11.28515625" bestFit="1" customWidth="1"/>
  </cols>
  <sheetData>
    <row r="1" spans="1:38" s="34" customFormat="1" ht="18" thickBot="1">
      <c r="A1" s="1" t="s">
        <v>0</v>
      </c>
      <c r="B1" s="1" t="s">
        <v>1</v>
      </c>
      <c r="C1" s="12" t="s">
        <v>2</v>
      </c>
      <c r="D1" s="1" t="s">
        <v>2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2" t="s">
        <v>10</v>
      </c>
      <c r="K1" s="12" t="s">
        <v>286</v>
      </c>
      <c r="L1" s="12" t="s">
        <v>287</v>
      </c>
      <c r="M1" s="1" t="s">
        <v>10</v>
      </c>
      <c r="N1" s="12" t="s">
        <v>770</v>
      </c>
      <c r="O1" s="12" t="s">
        <v>11</v>
      </c>
      <c r="P1" s="1" t="s">
        <v>771</v>
      </c>
      <c r="Q1" s="12" t="s">
        <v>297</v>
      </c>
      <c r="R1" s="12" t="s">
        <v>756</v>
      </c>
      <c r="S1" s="12" t="s">
        <v>757</v>
      </c>
      <c r="T1" s="12" t="s">
        <v>754</v>
      </c>
      <c r="U1" s="12" t="s">
        <v>755</v>
      </c>
      <c r="V1" s="65" t="s">
        <v>18</v>
      </c>
      <c r="W1" s="65"/>
      <c r="X1" s="65"/>
      <c r="Y1" s="65"/>
      <c r="Z1" s="65"/>
      <c r="AA1" s="65"/>
      <c r="AB1" s="12"/>
      <c r="AC1" s="12"/>
      <c r="AD1" s="1" t="s">
        <v>12</v>
      </c>
      <c r="AE1" s="1" t="s">
        <v>13</v>
      </c>
      <c r="AF1" s="1" t="s">
        <v>14</v>
      </c>
      <c r="AG1" s="1" t="s">
        <v>15</v>
      </c>
      <c r="AH1" s="1" t="s">
        <v>16</v>
      </c>
      <c r="AI1" s="1" t="s">
        <v>17</v>
      </c>
      <c r="AJ1" s="1" t="s">
        <v>18</v>
      </c>
      <c r="AK1" s="1" t="s">
        <v>19</v>
      </c>
      <c r="AL1" s="1" t="s">
        <v>20</v>
      </c>
    </row>
    <row r="2" spans="1:38" ht="15.75" thickTop="1">
      <c r="A2" s="32" t="str">
        <f>_xlfn.TEXTJOIN("",TRUE,_xlfn.XLOOKUP(B2,Input!J:J,Input!G:G,"",0,1),_xlfn.XLOOKUP(B2,Input!J:J,Input!H:H,"",0,1))</f>
        <v/>
      </c>
      <c r="B2" s="32" cm="1">
        <f t="array" ref="B2">_xlfn.UNIQUE(_xlfn._xlws.FILTER(Input!J2:J500,ISNA(MATCH(Input!J2:J500,MacReports!B:B,0))))</f>
        <v>0</v>
      </c>
      <c r="C2" s="51" t="e">
        <f>_xlfn.XLOOKUP(B2,Input!J:J,Input!F:F)</f>
        <v>#N/A</v>
      </c>
      <c r="D2" s="32" t="e">
        <f>_xlfn.XLOOKUP(C2,Models!H:H,Models!G:G,C2)</f>
        <v>#N/A</v>
      </c>
      <c r="E2" s="32" t="e">
        <f>_xlfn.XLOOKUP(B2,Input!J:J,Input!E:E)</f>
        <v>#N/A</v>
      </c>
      <c r="F2" s="32" t="e">
        <f>IF(E2="LENOVO",_xlfn.XLOOKUP(B2,Input!J:J,Input!K:K),_xlfn.XLOOKUP(B2,Input!J:J,Input!L:L))</f>
        <v>#N/A</v>
      </c>
      <c r="G2" s="32"/>
      <c r="H2" s="32"/>
      <c r="I2" s="32" t="str">
        <f>_xlfn.XLOOKUP(B2,CPU_Formula!A:A,CPU_Formula!I:I)</f>
        <v/>
      </c>
      <c r="J2" s="51" t="e">
        <f>INDEX(Input!$D$2:$AC$500,
       MATCH(B2, Input!$J$2:$J$500, 0),
       MATCH("Total Memory", Input!$D$1:$AC$1, 0))</f>
        <v>#N/A</v>
      </c>
      <c r="K2" s="51" t="e">
        <f>INDEX(Input!$D$2:$AC$500,
       MATCH(B2, Input!$J$2:$J$500, 0),
       MATCH("Memory Type", Input!$D$1:$AC$1, 0))</f>
        <v>#N/A</v>
      </c>
      <c r="L2" s="51" t="str" cm="1">
        <f t="array" ref="L2">IFERROR(_xlfn.FILTERXML("&lt;t&gt;&lt;s&gt;" &amp; SUBSTITUTE(K2," / ","&lt;/s&gt;&lt;s&gt;") &amp; "&lt;/s&gt;&lt;/t&gt;","(//s[contains(.,'DDR')])[1]"),"")</f>
        <v/>
      </c>
      <c r="M2" s="32" t="e">
        <f>_xlfn.TEXTJOIN(" ",TRUE,J2,L2)</f>
        <v>#N/A</v>
      </c>
      <c r="N2" s="51" t="e">
        <f>INDEX(Input!$D$2:$AC$500,
       MATCH(B2, Input!$J$2:$J$500, 0),
       MATCH("Disk Interface Type", Input!$D$1:$AC$1, 0))</f>
        <v>#N/A</v>
      </c>
      <c r="O2" s="51" t="str" cm="1">
        <f t="array" ref="O2">IFERROR(_xlfn.TEXTJOIN(", ", TRUE, _xlfn._xlws.FILTER(
    INDEX(Input!$D$2:$AC$500,,MATCH("Disk Capacity",Input!$D$1:$AC$1,0)),
    Input!$J$2:$J$500=B2
)), "")</f>
        <v/>
      </c>
      <c r="P2" s="32" t="e">
        <f>_xlfn.TEXTJOIN(" ",TRUE,O2,N2)</f>
        <v>#N/A</v>
      </c>
      <c r="Q2" s="51" t="e">
        <f>_xlfn.LET(_xlpm.Result,INDEX(Input!$D$2:$AC$500,
       MATCH(B2, Input!$J$2:$J$500, 0),
       MATCH("Capacity", Input!$D$1:$AC$1, 0)),IF(_xlpm.Result="","",_xlpm.Result))</f>
        <v>#N/A</v>
      </c>
      <c r="R2" s="51" t="e" cm="1">
        <f t="array" ref="R2">_xlfn.TEXTSPLIT(Q2," / ", ,TRUE,0,)</f>
        <v>#N/A</v>
      </c>
      <c r="S2" s="51"/>
      <c r="T2" s="51" t="str" cm="1">
        <f t="array" ref="T2">IFERROR(_xlfn.IFS(
R2="","",
--R2&lt;55,"Battery Defect",
--R2&lt;=69,"Battery D",
--R2&lt;=80,"Battery C",
--R2&gt;80,""
),"")</f>
        <v/>
      </c>
      <c r="U2" s="51" t="str" cm="1">
        <f t="array" ref="U2">IFERROR(_xlfn.IFS(
S2="","",
--S2&lt;55,"Battery Defect",
--S2&lt;=69,"Battery D",
--S2&lt;=80,"Battery C",
--S2&gt;80,""
),"")</f>
        <v/>
      </c>
      <c r="V2" s="51" t="str" cm="1">
        <f t="array" ref="V2">IFERROR(IF(_xlfn.XLOOKUP(B2,Input!J:J,Input!N:U)=0,"",
          _xlfn.XLOOKUP(B2,Input!J:J,Input!N:U)),"")</f>
        <v/>
      </c>
      <c r="W2" s="51"/>
      <c r="X2" s="51"/>
      <c r="Y2" s="51"/>
      <c r="Z2" s="51"/>
      <c r="AA2" s="51"/>
      <c r="AB2" s="51"/>
      <c r="AC2" s="51"/>
      <c r="AD2" s="32" t="e">
        <f t="shared" ref="AD2:AD65" si="0">IF(D2="Laptop",_xlfn.TEXTJOIN(", ",TRUE,T2,U2,V2,W2,X2,Y2,Z2,AA2), _xlfn.TEXTJOIN(", ",TRUE,V2,W2,X2,Y2,Z2,AA2))</f>
        <v>#N/A</v>
      </c>
      <c r="AE2" s="32" t="str">
        <f>_xlfn.XLOOKUP(B:B,Disk_Pivot!G:G,Disk_Pivot!I:I)</f>
        <v>Yes x2</v>
      </c>
      <c r="AF2" s="32" t="str">
        <f>_xlfn.XLOOKUP(B2,Disk_Pivot!G:G,Disk_Pivot!N:N)</f>
        <v>Pass, Fail</v>
      </c>
      <c r="AG2" s="32"/>
      <c r="AH2" s="32"/>
      <c r="AI2" s="32"/>
      <c r="AJ2" s="32"/>
      <c r="AK2" s="32"/>
      <c r="AL2" s="32"/>
    </row>
    <row r="3" spans="1:38">
      <c r="A3" s="32" t="str">
        <f>_xlfn.TEXTJOIN("",TRUE,_xlfn.XLOOKUP(B3,Input!J:J,Input!G:G,"",0,1),_xlfn.XLOOKUP(B3,Input!J:J,Input!H:H,"",0,1))</f>
        <v/>
      </c>
      <c r="B3" s="32"/>
      <c r="C3" s="51">
        <f>_xlfn.XLOOKUP(B3,Input!J:J,Input!F:F)</f>
        <v>0</v>
      </c>
      <c r="D3" s="32">
        <f>_xlfn.XLOOKUP(C3,Models!H:H,Models!G:G,C3)</f>
        <v>0</v>
      </c>
      <c r="E3" s="32">
        <f>_xlfn.XLOOKUP(B3,Input!J:J,Input!E:E)</f>
        <v>0</v>
      </c>
      <c r="F3" s="32">
        <f>IF(E3="LENOVO",_xlfn.XLOOKUP(B3,Input!J:J,Input!K:K),_xlfn.XLOOKUP(B3,Input!J:J,Input!L:L))</f>
        <v>0</v>
      </c>
      <c r="G3" s="32"/>
      <c r="H3" s="32"/>
      <c r="I3" s="32">
        <f>_xlfn.XLOOKUP(B3,CPU_Formula!A:A,CPU_Formula!I:I)</f>
        <v>0</v>
      </c>
      <c r="J3" s="51" t="e">
        <f>INDEX(Input!$D$2:$AC$500,
       MATCH(B3, Input!$J$2:$J$500, 0),
       MATCH("Total Memory", Input!$D$1:$AC$1, 0))</f>
        <v>#N/A</v>
      </c>
      <c r="K3" s="51" t="e">
        <f>INDEX(Input!$D$2:$AC$500,
       MATCH(B3, Input!$J$2:$J$500, 0),
       MATCH("Memory Type", Input!$D$1:$AC$1, 0))</f>
        <v>#N/A</v>
      </c>
      <c r="L3" s="51" t="str" cm="1">
        <f t="array" ref="L3">IFERROR(_xlfn.FILTERXML("&lt;t&gt;&lt;s&gt;" &amp; SUBSTITUTE(K3," / ","&lt;/s&gt;&lt;s&gt;") &amp; "&lt;/s&gt;&lt;/t&gt;","(//s[contains(.,'DDR')])[1]"),"")</f>
        <v/>
      </c>
      <c r="M3" s="32" t="e">
        <f>_xlfn.TEXTJOIN(" ",TRUE,SUBSTITUTE(J3,"i",""),L3)</f>
        <v>#N/A</v>
      </c>
      <c r="N3" s="51" t="e">
        <f>INDEX(Input!$D$2:$AC$500,
       MATCH(B3, Input!$J$2:$J$500, 0),
       MATCH("Disk Interface Type", Input!$D$1:$AC$1, 0))</f>
        <v>#N/A</v>
      </c>
      <c r="O3" s="51" t="str" cm="1">
        <f t="array" ref="O3">IFERROR(_xlfn.TEXTJOIN(", ", TRUE, _xlfn._xlws.FILTER(
    INDEX(Input!$D$2:$AC$500,,MATCH("Disk Capacity",Input!$D$1:$AC$1,0)),
    Input!$J$2:$J$500=B3
)), "")</f>
        <v/>
      </c>
      <c r="P3" s="32" t="e">
        <f t="shared" ref="P3:P66" si="1">_xlfn.TEXTJOIN(" ",TRUE,O3,N3)</f>
        <v>#N/A</v>
      </c>
      <c r="Q3" s="51" t="e">
        <f>_xlfn.LET(_xlpm.Result,INDEX(Input!$D$2:$AC$500,
       MATCH(B3, Input!$J$2:$J$500, 0),
       MATCH("Capacity", Input!$D$1:$AC$1, 0)),IF(_xlpm.Result="","",_xlpm.Result))</f>
        <v>#N/A</v>
      </c>
      <c r="R3" s="51" t="e" cm="1">
        <f t="array" ref="R3">_xlfn.TEXTSPLIT(Q3," / ", ,TRUE,0,)</f>
        <v>#N/A</v>
      </c>
      <c r="S3" s="51"/>
      <c r="T3" s="51" t="str" cm="1">
        <f t="array" ref="T3">IFERROR(_xlfn.IFS(
R3="","",
--R3&lt;55,"Battery Defect",
--R3&lt;=69,"Battery D",
--R3&lt;=80,"Battery C",
--R3&gt;80,""
),"")</f>
        <v/>
      </c>
      <c r="U3" s="51" t="str" cm="1">
        <f t="array" ref="U3">IFERROR(_xlfn.IFS(
S3="","",
--S3&lt;55,"Battery Defect",
--S3&lt;=69,"Battery D",
--S3&lt;=80,"Battery C",
--S3&gt;80,""
),"")</f>
        <v/>
      </c>
      <c r="V3" s="51" t="str" cm="1">
        <f t="array" ref="V3:AC3">IFERROR(IF(_xlfn.XLOOKUP(B3,Input!J:J,Input!N:U)=0,"",
          _xlfn.XLOOKUP(B3,Input!J:J,Input!N:U)),"")</f>
        <v/>
      </c>
      <c r="W3" s="51" t="str">
        <v/>
      </c>
      <c r="X3" s="51" t="str">
        <v/>
      </c>
      <c r="Y3" s="51" t="str">
        <v/>
      </c>
      <c r="Z3" s="51" t="str">
        <v/>
      </c>
      <c r="AA3" s="51" t="str">
        <v/>
      </c>
      <c r="AB3" s="51" t="str">
        <v/>
      </c>
      <c r="AC3" s="51" t="str">
        <v/>
      </c>
      <c r="AD3" s="32" t="str">
        <f t="shared" si="0"/>
        <v/>
      </c>
      <c r="AE3" s="32" t="str">
        <f>_xlfn.XLOOKUP(B:B,Disk_Pivot!G:G,Disk_Pivot!I:I)</f>
        <v>Yes x2</v>
      </c>
      <c r="AF3" s="32" t="str">
        <f>_xlfn.XLOOKUP(B3,Disk_Pivot!G:G,Disk_Pivot!N:N)</f>
        <v>Pass, Fail</v>
      </c>
      <c r="AG3" s="32"/>
      <c r="AH3" s="32"/>
      <c r="AI3" s="32"/>
      <c r="AJ3" s="32"/>
      <c r="AK3" s="32"/>
      <c r="AL3" s="32"/>
    </row>
    <row r="4" spans="1:38">
      <c r="A4" s="32" t="str">
        <f>_xlfn.TEXTJOIN("",TRUE,_xlfn.XLOOKUP(B4,Input!J:J,Input!G:G,"",0,1),_xlfn.XLOOKUP(B4,Input!J:J,Input!H:H,"",0,1))</f>
        <v/>
      </c>
      <c r="B4" s="32"/>
      <c r="C4" s="51">
        <f>_xlfn.XLOOKUP(B4,Input!J:J,Input!F:F)</f>
        <v>0</v>
      </c>
      <c r="D4" s="32">
        <f>_xlfn.XLOOKUP(C4,Models!H:H,Models!G:G,C4)</f>
        <v>0</v>
      </c>
      <c r="E4" s="32">
        <f>_xlfn.XLOOKUP(B4,Input!J:J,Input!E:E)</f>
        <v>0</v>
      </c>
      <c r="F4" s="32">
        <f>IF(E4="LENOVO",_xlfn.XLOOKUP(B4,Input!J:J,Input!K:K),_xlfn.XLOOKUP(B4,Input!J:J,Input!L:L))</f>
        <v>0</v>
      </c>
      <c r="G4" s="32"/>
      <c r="H4" s="32"/>
      <c r="I4" s="32">
        <f>_xlfn.XLOOKUP(B4,CPU_Formula!A:A,CPU_Formula!I:I)</f>
        <v>0</v>
      </c>
      <c r="J4" s="51" t="e">
        <f>INDEX(Input!$D$2:$AC$500,
       MATCH(B4, Input!$J$2:$J$500, 0),
       MATCH("Total Memory", Input!$D$1:$AC$1, 0))</f>
        <v>#N/A</v>
      </c>
      <c r="K4" s="51" t="e">
        <f>INDEX(Input!$D$2:$AC$500,
       MATCH(B4, Input!$J$2:$J$500, 0),
       MATCH("Memory Type", Input!$D$1:$AC$1, 0))</f>
        <v>#N/A</v>
      </c>
      <c r="L4" s="51" t="str" cm="1">
        <f t="array" ref="L4">IFERROR(_xlfn.FILTERXML("&lt;t&gt;&lt;s&gt;" &amp; SUBSTITUTE(K4," / ","&lt;/s&gt;&lt;s&gt;") &amp; "&lt;/s&gt;&lt;/t&gt;","(//s[contains(.,'DDR')])[1]"),"")</f>
        <v/>
      </c>
      <c r="M4" s="32" t="e">
        <f t="shared" ref="M4:M67" si="2">_xlfn.TEXTJOIN(" ",TRUE,SUBSTITUTE(J4,"i",""),L4)</f>
        <v>#N/A</v>
      </c>
      <c r="N4" s="51" t="e">
        <f>INDEX(Input!$D$2:$AC$500,
       MATCH(B4, Input!$J$2:$J$500, 0),
       MATCH("Disk Interface Type", Input!$D$1:$AC$1, 0))</f>
        <v>#N/A</v>
      </c>
      <c r="O4" s="51" t="str" cm="1">
        <f t="array" ref="O4">IFERROR(_xlfn.TEXTJOIN(", ", TRUE, _xlfn._xlws.FILTER(
    INDEX(Input!$D$2:$AC$500,,MATCH("Disk Capacity",Input!$D$1:$AC$1,0)),
    Input!$J$2:$J$500=B4
)), "")</f>
        <v/>
      </c>
      <c r="P4" s="32" t="e">
        <f t="shared" si="1"/>
        <v>#N/A</v>
      </c>
      <c r="Q4" s="51" t="e">
        <f>_xlfn.LET(_xlpm.Result,INDEX(Input!$D$2:$AC$500,
       MATCH(B4, Input!$J$2:$J$500, 0),
       MATCH("Capacity", Input!$D$1:$AC$1, 0)),IF(_xlpm.Result="","",_xlpm.Result))</f>
        <v>#N/A</v>
      </c>
      <c r="R4" s="51" t="e" cm="1">
        <f t="array" ref="R4">_xlfn.TEXTSPLIT(Q4," / ", ,TRUE,0,)</f>
        <v>#N/A</v>
      </c>
      <c r="S4" s="51"/>
      <c r="T4" s="51" t="str" cm="1">
        <f t="array" ref="T4">IFERROR(_xlfn.IFS(
R4="","",
--R4&lt;55,"Battery Defect",
--R4&lt;=69,"Battery D",
--R4&lt;=80,"Battery C",
--R4&gt;80,""
),"")</f>
        <v/>
      </c>
      <c r="U4" s="51" t="str" cm="1">
        <f t="array" ref="U4">IFERROR(_xlfn.IFS(
S4="","",
--S4&lt;55,"Battery Defect",
--S4&lt;=69,"Battery D",
--S4&lt;=80,"Battery C",
--S4&gt;80,""
),"")</f>
        <v/>
      </c>
      <c r="V4" s="51" t="str" cm="1">
        <f t="array" ref="V4:AC4">IFERROR(IF(_xlfn.XLOOKUP(B4,Input!J:J,Input!N:U)=0,"",
          _xlfn.XLOOKUP(B4,Input!J:J,Input!N:U)),"")</f>
        <v/>
      </c>
      <c r="W4" s="51" t="str">
        <v/>
      </c>
      <c r="X4" s="51" t="str">
        <v/>
      </c>
      <c r="Y4" s="51" t="str">
        <v/>
      </c>
      <c r="Z4" s="51" t="str">
        <v/>
      </c>
      <c r="AA4" s="51" t="str">
        <v/>
      </c>
      <c r="AB4" s="51" t="str">
        <v/>
      </c>
      <c r="AC4" s="51" t="str">
        <v/>
      </c>
      <c r="AD4" s="32" t="str">
        <f t="shared" si="0"/>
        <v/>
      </c>
      <c r="AE4" s="32" t="str">
        <f>_xlfn.XLOOKUP(B:B,Disk_Pivot!G:G,Disk_Pivot!I:I)</f>
        <v>Yes x2</v>
      </c>
      <c r="AF4" s="32" t="str">
        <f>_xlfn.XLOOKUP(B4,Disk_Pivot!G:G,Disk_Pivot!N:N)</f>
        <v>Pass, Fail</v>
      </c>
      <c r="AG4" s="32"/>
      <c r="AH4" s="32"/>
      <c r="AI4" s="32"/>
      <c r="AJ4" s="32"/>
      <c r="AK4" s="32"/>
      <c r="AL4" s="32"/>
    </row>
    <row r="5" spans="1:38">
      <c r="A5" s="32" t="str">
        <f>_xlfn.TEXTJOIN("",TRUE,_xlfn.XLOOKUP(B5,Input!J:J,Input!G:G,"",0,1),_xlfn.XLOOKUP(B5,Input!J:J,Input!H:H,"",0,1))</f>
        <v/>
      </c>
      <c r="B5" s="32"/>
      <c r="C5" s="51">
        <f>_xlfn.XLOOKUP(B5,Input!J:J,Input!F:F)</f>
        <v>0</v>
      </c>
      <c r="D5" s="32">
        <f>_xlfn.XLOOKUP(C5,Models!H:H,Models!G:G,C5)</f>
        <v>0</v>
      </c>
      <c r="E5" s="32">
        <f>_xlfn.XLOOKUP(B5,Input!J:J,Input!E:E)</f>
        <v>0</v>
      </c>
      <c r="F5" s="32">
        <f>IF(E5="LENOVO",_xlfn.XLOOKUP(B5,Input!J:J,Input!K:K),_xlfn.XLOOKUP(B5,Input!J:J,Input!L:L))</f>
        <v>0</v>
      </c>
      <c r="G5" s="32"/>
      <c r="H5" s="32"/>
      <c r="I5" s="32">
        <f>_xlfn.XLOOKUP(B5,CPU_Formula!A:A,CPU_Formula!I:I)</f>
        <v>0</v>
      </c>
      <c r="J5" s="51" t="e">
        <f>INDEX(Input!$D$2:$AC$500,
       MATCH(B5, Input!$J$2:$J$500, 0),
       MATCH("Total Memory", Input!$D$1:$AC$1, 0))</f>
        <v>#N/A</v>
      </c>
      <c r="K5" s="51" t="e">
        <f>INDEX(Input!$D$2:$AC$500,
       MATCH(B5, Input!$J$2:$J$500, 0),
       MATCH("Memory Type", Input!$D$1:$AC$1, 0))</f>
        <v>#N/A</v>
      </c>
      <c r="L5" s="51" t="str" cm="1">
        <f t="array" ref="L5">IFERROR(_xlfn.FILTERXML("&lt;t&gt;&lt;s&gt;" &amp; SUBSTITUTE(K5," / ","&lt;/s&gt;&lt;s&gt;") &amp; "&lt;/s&gt;&lt;/t&gt;","(//s[contains(.,'DDR')])[1]"),"")</f>
        <v/>
      </c>
      <c r="M5" s="32" t="e">
        <f t="shared" si="2"/>
        <v>#N/A</v>
      </c>
      <c r="N5" s="51" t="e">
        <f>INDEX(Input!$D$2:$AC$500,
       MATCH(B5, Input!$J$2:$J$500, 0),
       MATCH("Disk Interface Type", Input!$D$1:$AC$1, 0))</f>
        <v>#N/A</v>
      </c>
      <c r="O5" s="51" t="str" cm="1">
        <f t="array" ref="O5">IFERROR(_xlfn.TEXTJOIN(", ", TRUE, _xlfn._xlws.FILTER(
    INDEX(Input!$D$2:$AC$500,,MATCH("Disk Capacity",Input!$D$1:$AC$1,0)),
    Input!$J$2:$J$500=B5
)), "")</f>
        <v/>
      </c>
      <c r="P5" s="32" t="e">
        <f t="shared" si="1"/>
        <v>#N/A</v>
      </c>
      <c r="Q5" s="51" t="e">
        <f>_xlfn.LET(_xlpm.Result,INDEX(Input!$D$2:$AC$500,
       MATCH(B5, Input!$J$2:$J$500, 0),
       MATCH("Capacity", Input!$D$1:$AC$1, 0)),IF(_xlpm.Result="","",_xlpm.Result))</f>
        <v>#N/A</v>
      </c>
      <c r="R5" s="51" t="e" cm="1">
        <f t="array" ref="R5">_xlfn.TEXTSPLIT(Q5," / ", ,TRUE,0,)</f>
        <v>#N/A</v>
      </c>
      <c r="S5" s="51"/>
      <c r="T5" s="51" t="str" cm="1">
        <f t="array" ref="T5">IFERROR(_xlfn.IFS(
R5="","",
--R5&lt;55,"Battery Defect",
--R5&lt;=69,"Battery D",
--R5&lt;=80,"Battery C",
--R5&gt;80,""
),"")</f>
        <v/>
      </c>
      <c r="U5" s="51" t="str" cm="1">
        <f t="array" ref="U5">IFERROR(_xlfn.IFS(
S5="","",
--S5&lt;55,"Battery Defect",
--S5&lt;=69,"Battery D",
--S5&lt;=80,"Battery C",
--S5&gt;80,""
),"")</f>
        <v/>
      </c>
      <c r="V5" s="51" t="str" cm="1">
        <f t="array" ref="V5:AC5">IFERROR(IF(_xlfn.XLOOKUP(B5,Input!J:J,Input!N:U)=0,"",
          _xlfn.XLOOKUP(B5,Input!J:J,Input!N:U)),"")</f>
        <v/>
      </c>
      <c r="W5" s="51" t="str">
        <v/>
      </c>
      <c r="X5" s="51" t="str">
        <v/>
      </c>
      <c r="Y5" s="51" t="str">
        <v/>
      </c>
      <c r="Z5" s="51" t="str">
        <v/>
      </c>
      <c r="AA5" s="51" t="str">
        <v/>
      </c>
      <c r="AB5" s="51" t="str">
        <v/>
      </c>
      <c r="AC5" s="51" t="str">
        <v/>
      </c>
      <c r="AD5" s="32" t="str">
        <f t="shared" si="0"/>
        <v/>
      </c>
      <c r="AE5" s="32" t="str">
        <f>_xlfn.XLOOKUP(B:B,Disk_Pivot!G:G,Disk_Pivot!I:I)</f>
        <v>Yes x2</v>
      </c>
      <c r="AF5" s="32" t="str">
        <f>_xlfn.XLOOKUP(B5,Disk_Pivot!G:G,Disk_Pivot!N:N)</f>
        <v>Pass, Fail</v>
      </c>
      <c r="AG5" s="32"/>
      <c r="AH5" s="32"/>
      <c r="AI5" s="32"/>
      <c r="AJ5" s="32"/>
      <c r="AK5" s="32"/>
      <c r="AL5" s="32"/>
    </row>
    <row r="6" spans="1:38">
      <c r="A6" s="32" t="str">
        <f>_xlfn.TEXTJOIN("",TRUE,_xlfn.XLOOKUP(B6,Input!J:J,Input!G:G,"",0,1),_xlfn.XLOOKUP(B6,Input!J:J,Input!H:H,"",0,1))</f>
        <v/>
      </c>
      <c r="B6" s="32"/>
      <c r="C6" s="51">
        <f>_xlfn.XLOOKUP(B6,Input!J:J,Input!F:F)</f>
        <v>0</v>
      </c>
      <c r="D6" s="32">
        <f>_xlfn.XLOOKUP(C6,Models!H:H,Models!G:G,C6)</f>
        <v>0</v>
      </c>
      <c r="E6" s="32">
        <f>_xlfn.XLOOKUP(B6,Input!J:J,Input!E:E)</f>
        <v>0</v>
      </c>
      <c r="F6" s="32">
        <f>IF(E6="LENOVO",_xlfn.XLOOKUP(B6,Input!J:J,Input!K:K),_xlfn.XLOOKUP(B6,Input!J:J,Input!L:L))</f>
        <v>0</v>
      </c>
      <c r="G6" s="32"/>
      <c r="H6" s="32"/>
      <c r="I6" s="32">
        <f>_xlfn.XLOOKUP(B6,CPU_Formula!A:A,CPU_Formula!I:I)</f>
        <v>0</v>
      </c>
      <c r="J6" s="51" t="e">
        <f>INDEX(Input!$D$2:$AC$500,
       MATCH(B6, Input!$J$2:$J$500, 0),
       MATCH("Total Memory", Input!$D$1:$AC$1, 0))</f>
        <v>#N/A</v>
      </c>
      <c r="K6" s="51" t="e">
        <f>INDEX(Input!$D$2:$AC$500,
       MATCH(B6, Input!$J$2:$J$500, 0),
       MATCH("Memory Type", Input!$D$1:$AC$1, 0))</f>
        <v>#N/A</v>
      </c>
      <c r="L6" s="51" t="str" cm="1">
        <f t="array" ref="L6">IFERROR(_xlfn.FILTERXML("&lt;t&gt;&lt;s&gt;" &amp; SUBSTITUTE(K6," / ","&lt;/s&gt;&lt;s&gt;") &amp; "&lt;/s&gt;&lt;/t&gt;","(//s[contains(.,'DDR')])[1]"),"")</f>
        <v/>
      </c>
      <c r="M6" s="32" t="e">
        <f t="shared" si="2"/>
        <v>#N/A</v>
      </c>
      <c r="N6" s="51" t="e">
        <f>INDEX(Input!$D$2:$AC$500,
       MATCH(B6, Input!$J$2:$J$500, 0),
       MATCH("Disk Interface Type", Input!$D$1:$AC$1, 0))</f>
        <v>#N/A</v>
      </c>
      <c r="O6" s="51" t="str" cm="1">
        <f t="array" ref="O6">IFERROR(_xlfn.TEXTJOIN(", ", TRUE, _xlfn._xlws.FILTER(
    INDEX(Input!$D$2:$AC$500,,MATCH("Disk Capacity",Input!$D$1:$AC$1,0)),
    Input!$J$2:$J$500=B6
)), "")</f>
        <v/>
      </c>
      <c r="P6" s="32" t="e">
        <f t="shared" si="1"/>
        <v>#N/A</v>
      </c>
      <c r="Q6" s="51" t="e">
        <f>_xlfn.LET(_xlpm.Result,INDEX(Input!$D$2:$AC$500,
       MATCH(B6, Input!$J$2:$J$500, 0),
       MATCH("Capacity", Input!$D$1:$AC$1, 0)),IF(_xlpm.Result="","",_xlpm.Result))</f>
        <v>#N/A</v>
      </c>
      <c r="R6" s="51" t="e" cm="1">
        <f t="array" ref="R6">_xlfn.TEXTSPLIT(Q6," / ", ,TRUE,0,)</f>
        <v>#N/A</v>
      </c>
      <c r="S6" s="51"/>
      <c r="T6" s="51" t="str" cm="1">
        <f t="array" ref="T6">IFERROR(_xlfn.IFS(
R6="","",
--R6&lt;55,"Battery Defect",
--R6&lt;=69,"Battery D",
--R6&lt;=80,"Battery C",
--R6&gt;80,""
),"")</f>
        <v/>
      </c>
      <c r="U6" s="51" t="str" cm="1">
        <f t="array" ref="U6">IFERROR(_xlfn.IFS(
S6="","",
--S6&lt;55,"Battery Defect",
--S6&lt;=69,"Battery D",
--S6&lt;=80,"Battery C",
--S6&gt;80,""
),"")</f>
        <v/>
      </c>
      <c r="V6" s="51" t="str" cm="1">
        <f t="array" ref="V6:AC6">IFERROR(IF(_xlfn.XLOOKUP(B6,Input!J:J,Input!N:U)=0,"",
          _xlfn.XLOOKUP(B6,Input!J:J,Input!N:U)),"")</f>
        <v/>
      </c>
      <c r="W6" s="51" t="str">
        <v/>
      </c>
      <c r="X6" s="51" t="str">
        <v/>
      </c>
      <c r="Y6" s="51" t="str">
        <v/>
      </c>
      <c r="Z6" s="51" t="str">
        <v/>
      </c>
      <c r="AA6" s="51" t="str">
        <v/>
      </c>
      <c r="AB6" s="51" t="str">
        <v/>
      </c>
      <c r="AC6" s="51" t="str">
        <v/>
      </c>
      <c r="AD6" s="32" t="str">
        <f t="shared" si="0"/>
        <v/>
      </c>
      <c r="AE6" s="32" t="str">
        <f>_xlfn.XLOOKUP(B:B,Disk_Pivot!G:G,Disk_Pivot!I:I)</f>
        <v>Yes x2</v>
      </c>
      <c r="AF6" s="32" t="str">
        <f>_xlfn.XLOOKUP(B6,Disk_Pivot!G:G,Disk_Pivot!N:N)</f>
        <v>Pass, Fail</v>
      </c>
      <c r="AG6" s="32"/>
      <c r="AH6" s="32"/>
      <c r="AI6" s="32"/>
      <c r="AJ6" s="32"/>
      <c r="AK6" s="32"/>
      <c r="AL6" s="32"/>
    </row>
    <row r="7" spans="1:38">
      <c r="A7" s="32" t="str">
        <f>_xlfn.TEXTJOIN("",TRUE,_xlfn.XLOOKUP(B7,Input!J:J,Input!G:G,"",0,1),_xlfn.XLOOKUP(B7,Input!J:J,Input!H:H,"",0,1))</f>
        <v/>
      </c>
      <c r="B7" s="32"/>
      <c r="C7" s="51">
        <f>_xlfn.XLOOKUP(B7,Input!J:J,Input!F:F)</f>
        <v>0</v>
      </c>
      <c r="D7" s="32">
        <f>_xlfn.XLOOKUP(C7,Models!H:H,Models!G:G,C7)</f>
        <v>0</v>
      </c>
      <c r="E7" s="32">
        <f>_xlfn.XLOOKUP(B7,Input!J:J,Input!E:E)</f>
        <v>0</v>
      </c>
      <c r="F7" s="32">
        <f>IF(E7="LENOVO",_xlfn.XLOOKUP(B7,Input!J:J,Input!K:K),_xlfn.XLOOKUP(B7,Input!J:J,Input!L:L))</f>
        <v>0</v>
      </c>
      <c r="G7" s="32"/>
      <c r="H7" s="32"/>
      <c r="I7" s="32">
        <f>_xlfn.XLOOKUP(B7,CPU_Formula!A:A,CPU_Formula!I:I)</f>
        <v>0</v>
      </c>
      <c r="J7" s="51" t="e">
        <f>INDEX(Input!$D$2:$AC$500,
       MATCH(B7, Input!$J$2:$J$500, 0),
       MATCH("Total Memory", Input!$D$1:$AC$1, 0))</f>
        <v>#N/A</v>
      </c>
      <c r="K7" s="51" t="e">
        <f>INDEX(Input!$D$2:$AC$500,
       MATCH(B7, Input!$J$2:$J$500, 0),
       MATCH("Memory Type", Input!$D$1:$AC$1, 0))</f>
        <v>#N/A</v>
      </c>
      <c r="L7" s="51" t="str" cm="1">
        <f t="array" ref="L7">IFERROR(_xlfn.FILTERXML("&lt;t&gt;&lt;s&gt;" &amp; SUBSTITUTE(K7," / ","&lt;/s&gt;&lt;s&gt;") &amp; "&lt;/s&gt;&lt;/t&gt;","(//s[contains(.,'DDR')])[1]"),"")</f>
        <v/>
      </c>
      <c r="M7" s="32" t="e">
        <f t="shared" si="2"/>
        <v>#N/A</v>
      </c>
      <c r="N7" s="51" t="e">
        <f>INDEX(Input!$D$2:$AC$500,
       MATCH(B7, Input!$J$2:$J$500, 0),
       MATCH("Disk Interface Type", Input!$D$1:$AC$1, 0))</f>
        <v>#N/A</v>
      </c>
      <c r="O7" s="51" t="str" cm="1">
        <f t="array" ref="O7">IFERROR(_xlfn.TEXTJOIN(", ", TRUE, _xlfn._xlws.FILTER(
    INDEX(Input!$D$2:$AC$500,,MATCH("Disk Capacity",Input!$D$1:$AC$1,0)),
    Input!$J$2:$J$500=B7
)), "")</f>
        <v/>
      </c>
      <c r="P7" s="32" t="e">
        <f t="shared" si="1"/>
        <v>#N/A</v>
      </c>
      <c r="Q7" s="51" t="e">
        <f>_xlfn.LET(_xlpm.Result,INDEX(Input!$D$2:$AC$500,
       MATCH(B7, Input!$J$2:$J$500, 0),
       MATCH("Capacity", Input!$D$1:$AC$1, 0)),IF(_xlpm.Result="","",_xlpm.Result))</f>
        <v>#N/A</v>
      </c>
      <c r="R7" s="51" t="e" cm="1">
        <f t="array" ref="R7">_xlfn.TEXTSPLIT(Q7," / ", ,TRUE,0,)</f>
        <v>#N/A</v>
      </c>
      <c r="S7" s="51"/>
      <c r="T7" s="51" t="str" cm="1">
        <f t="array" ref="T7">IFERROR(_xlfn.IFS(
R7="","",
--R7&lt;55,"Battery Defect",
--R7&lt;=69,"Battery D",
--R7&lt;=80,"Battery C",
--R7&gt;80,""
),"")</f>
        <v/>
      </c>
      <c r="U7" s="51" t="str" cm="1">
        <f t="array" ref="U7">IFERROR(_xlfn.IFS(
S7="","",
--S7&lt;55,"Battery Defect",
--S7&lt;=69,"Battery D",
--S7&lt;=80,"Battery C",
--S7&gt;80,""
),"")</f>
        <v/>
      </c>
      <c r="V7" s="51" t="str" cm="1">
        <f t="array" ref="V7:AC7">IFERROR(IF(_xlfn.XLOOKUP(B7,Input!J:J,Input!N:U)=0,"",
          _xlfn.XLOOKUP(B7,Input!J:J,Input!N:U)),"")</f>
        <v/>
      </c>
      <c r="W7" s="51" t="str">
        <v/>
      </c>
      <c r="X7" s="51" t="str">
        <v/>
      </c>
      <c r="Y7" s="51" t="str">
        <v/>
      </c>
      <c r="Z7" s="51" t="str">
        <v/>
      </c>
      <c r="AA7" s="51" t="str">
        <v/>
      </c>
      <c r="AB7" s="51" t="str">
        <v/>
      </c>
      <c r="AC7" s="51" t="str">
        <v/>
      </c>
      <c r="AD7" s="32" t="str">
        <f t="shared" si="0"/>
        <v/>
      </c>
      <c r="AE7" s="32" t="str">
        <f>_xlfn.XLOOKUP(B:B,Disk_Pivot!G:G,Disk_Pivot!I:I)</f>
        <v>Yes x2</v>
      </c>
      <c r="AF7" s="32" t="str">
        <f>_xlfn.XLOOKUP(B7,Disk_Pivot!G:G,Disk_Pivot!N:N)</f>
        <v>Pass, Fail</v>
      </c>
      <c r="AG7" s="32"/>
      <c r="AH7" s="32"/>
      <c r="AI7" s="32"/>
      <c r="AJ7" s="32"/>
      <c r="AK7" s="32"/>
      <c r="AL7" s="32"/>
    </row>
    <row r="8" spans="1:38">
      <c r="A8" s="32" t="str">
        <f>_xlfn.TEXTJOIN("",TRUE,_xlfn.XLOOKUP(B8,Input!J:J,Input!G:G,"",0,1),_xlfn.XLOOKUP(B8,Input!J:J,Input!H:H,"",0,1))</f>
        <v/>
      </c>
      <c r="B8" s="32"/>
      <c r="C8" s="51">
        <f>_xlfn.XLOOKUP(B8,Input!J:J,Input!F:F)</f>
        <v>0</v>
      </c>
      <c r="D8" s="32">
        <f>_xlfn.XLOOKUP(C8,Models!H:H,Models!G:G,C8)</f>
        <v>0</v>
      </c>
      <c r="E8" s="32">
        <f>_xlfn.XLOOKUP(B8,Input!J:J,Input!E:E)</f>
        <v>0</v>
      </c>
      <c r="F8" s="32">
        <f>IF(E8="LENOVO",_xlfn.XLOOKUP(B8,Input!J:J,Input!K:K),_xlfn.XLOOKUP(B8,Input!J:J,Input!L:L))</f>
        <v>0</v>
      </c>
      <c r="G8" s="32"/>
      <c r="H8" s="32"/>
      <c r="I8" s="32">
        <f>_xlfn.XLOOKUP(B8,CPU_Formula!A:A,CPU_Formula!I:I)</f>
        <v>0</v>
      </c>
      <c r="J8" s="51" t="e">
        <f>INDEX(Input!$D$2:$AC$500,
       MATCH(B8, Input!$J$2:$J$500, 0),
       MATCH("Total Memory", Input!$D$1:$AC$1, 0))</f>
        <v>#N/A</v>
      </c>
      <c r="K8" s="51" t="e">
        <f>INDEX(Input!$D$2:$AC$500,
       MATCH(B8, Input!$J$2:$J$500, 0),
       MATCH("Memory Type", Input!$D$1:$AC$1, 0))</f>
        <v>#N/A</v>
      </c>
      <c r="L8" s="51" t="str" cm="1">
        <f t="array" ref="L8">IFERROR(_xlfn.FILTERXML("&lt;t&gt;&lt;s&gt;" &amp; SUBSTITUTE(K8," / ","&lt;/s&gt;&lt;s&gt;") &amp; "&lt;/s&gt;&lt;/t&gt;","(//s[contains(.,'DDR')])[1]"),"")</f>
        <v/>
      </c>
      <c r="M8" s="32" t="e">
        <f t="shared" si="2"/>
        <v>#N/A</v>
      </c>
      <c r="N8" s="51" t="e">
        <f>INDEX(Input!$D$2:$AC$500,
       MATCH(B8, Input!$J$2:$J$500, 0),
       MATCH("Disk Interface Type", Input!$D$1:$AC$1, 0))</f>
        <v>#N/A</v>
      </c>
      <c r="O8" s="51" t="str" cm="1">
        <f t="array" ref="O8">IFERROR(_xlfn.TEXTJOIN(", ", TRUE, _xlfn._xlws.FILTER(
    INDEX(Input!$D$2:$AC$500,,MATCH("Disk Capacity",Input!$D$1:$AC$1,0)),
    Input!$J$2:$J$500=B8
)), "")</f>
        <v/>
      </c>
      <c r="P8" s="32" t="e">
        <f t="shared" si="1"/>
        <v>#N/A</v>
      </c>
      <c r="Q8" s="51" t="e">
        <f>_xlfn.LET(_xlpm.Result,INDEX(Input!$D$2:$AC$500,
       MATCH(B8, Input!$J$2:$J$500, 0),
       MATCH("Capacity", Input!$D$1:$AC$1, 0)),IF(_xlpm.Result="","",_xlpm.Result))</f>
        <v>#N/A</v>
      </c>
      <c r="R8" s="51" t="e" cm="1">
        <f t="array" ref="R8">_xlfn.TEXTSPLIT(Q8," / ", ,TRUE,0,)</f>
        <v>#N/A</v>
      </c>
      <c r="S8" s="51"/>
      <c r="T8" s="51" t="str" cm="1">
        <f t="array" ref="T8">IFERROR(_xlfn.IFS(
R8="","",
--R8&lt;55,"Battery Defect",
--R8&lt;=69,"Battery D",
--R8&lt;=80,"Battery C",
--R8&gt;80,""
),"")</f>
        <v/>
      </c>
      <c r="U8" s="51" t="str" cm="1">
        <f t="array" ref="U8">IFERROR(_xlfn.IFS(
S8="","",
--S8&lt;55,"Battery Defect",
--S8&lt;=69,"Battery D",
--S8&lt;=80,"Battery C",
--S8&gt;80,""
),"")</f>
        <v/>
      </c>
      <c r="V8" s="51" t="str" cm="1">
        <f t="array" ref="V8:AC8">IFERROR(IF(_xlfn.XLOOKUP(B8,Input!J:J,Input!N:U)=0,"",
          _xlfn.XLOOKUP(B8,Input!J:J,Input!N:U)),"")</f>
        <v/>
      </c>
      <c r="W8" s="51" t="str">
        <v/>
      </c>
      <c r="X8" s="51" t="str">
        <v/>
      </c>
      <c r="Y8" s="51" t="str">
        <v/>
      </c>
      <c r="Z8" s="51" t="str">
        <v/>
      </c>
      <c r="AA8" s="51" t="str">
        <v/>
      </c>
      <c r="AB8" s="51" t="str">
        <v/>
      </c>
      <c r="AC8" s="51" t="str">
        <v/>
      </c>
      <c r="AD8" s="32" t="str">
        <f t="shared" si="0"/>
        <v/>
      </c>
      <c r="AE8" s="32" t="str">
        <f>_xlfn.XLOOKUP(B:B,Disk_Pivot!G:G,Disk_Pivot!I:I)</f>
        <v>Yes x2</v>
      </c>
      <c r="AF8" s="32" t="str">
        <f>_xlfn.XLOOKUP(B8,Disk_Pivot!G:G,Disk_Pivot!N:N)</f>
        <v>Pass, Fail</v>
      </c>
      <c r="AG8" s="32"/>
      <c r="AH8" s="32"/>
      <c r="AI8" s="32"/>
      <c r="AJ8" s="32"/>
      <c r="AK8" s="32"/>
      <c r="AL8" s="32"/>
    </row>
    <row r="9" spans="1:38">
      <c r="A9" s="32" t="str">
        <f>_xlfn.TEXTJOIN("",TRUE,_xlfn.XLOOKUP(B9,Input!J:J,Input!G:G,"",0,1),_xlfn.XLOOKUP(B9,Input!J:J,Input!H:H,"",0,1))</f>
        <v/>
      </c>
      <c r="B9" s="32"/>
      <c r="C9" s="51">
        <f>_xlfn.XLOOKUP(B9,Input!J:J,Input!F:F)</f>
        <v>0</v>
      </c>
      <c r="D9" s="32">
        <f>_xlfn.XLOOKUP(C9,Models!H:H,Models!G:G,C9)</f>
        <v>0</v>
      </c>
      <c r="E9" s="32">
        <f>_xlfn.XLOOKUP(B9,Input!J:J,Input!E:E)</f>
        <v>0</v>
      </c>
      <c r="F9" s="32">
        <f>IF(E9="LENOVO",_xlfn.XLOOKUP(B9,Input!J:J,Input!K:K),_xlfn.XLOOKUP(B9,Input!J:J,Input!L:L))</f>
        <v>0</v>
      </c>
      <c r="G9" s="32"/>
      <c r="H9" s="32"/>
      <c r="I9" s="32">
        <f>_xlfn.XLOOKUP(B9,CPU_Formula!A:A,CPU_Formula!I:I)</f>
        <v>0</v>
      </c>
      <c r="J9" s="51" t="e">
        <f>INDEX(Input!$D$2:$AC$500,
       MATCH(B9, Input!$J$2:$J$500, 0),
       MATCH("Total Memory", Input!$D$1:$AC$1, 0))</f>
        <v>#N/A</v>
      </c>
      <c r="K9" s="51" t="e">
        <f>INDEX(Input!$D$2:$AC$500,
       MATCH(B9, Input!$J$2:$J$500, 0),
       MATCH("Memory Type", Input!$D$1:$AC$1, 0))</f>
        <v>#N/A</v>
      </c>
      <c r="L9" s="51" t="str" cm="1">
        <f t="array" ref="L9">IFERROR(_xlfn.FILTERXML("&lt;t&gt;&lt;s&gt;" &amp; SUBSTITUTE(K9," / ","&lt;/s&gt;&lt;s&gt;") &amp; "&lt;/s&gt;&lt;/t&gt;","(//s[contains(.,'DDR')])[1]"),"")</f>
        <v/>
      </c>
      <c r="M9" s="32" t="e">
        <f t="shared" si="2"/>
        <v>#N/A</v>
      </c>
      <c r="N9" s="51" t="e">
        <f>INDEX(Input!$D$2:$AC$500,
       MATCH(B9, Input!$J$2:$J$500, 0),
       MATCH("Disk Interface Type", Input!$D$1:$AC$1, 0))</f>
        <v>#N/A</v>
      </c>
      <c r="O9" s="51" t="str" cm="1">
        <f t="array" ref="O9">IFERROR(_xlfn.TEXTJOIN(", ", TRUE, _xlfn._xlws.FILTER(
    INDEX(Input!$D$2:$AC$500,,MATCH("Disk Capacity",Input!$D$1:$AC$1,0)),
    Input!$J$2:$J$500=B9
)), "")</f>
        <v/>
      </c>
      <c r="P9" s="32" t="e">
        <f t="shared" si="1"/>
        <v>#N/A</v>
      </c>
      <c r="Q9" s="51" t="e">
        <f>_xlfn.LET(_xlpm.Result,INDEX(Input!$D$2:$AC$500,
       MATCH(B9, Input!$J$2:$J$500, 0),
       MATCH("Capacity", Input!$D$1:$AC$1, 0)),IF(_xlpm.Result="","",_xlpm.Result))</f>
        <v>#N/A</v>
      </c>
      <c r="R9" s="51" t="e" cm="1">
        <f t="array" ref="R9">_xlfn.TEXTSPLIT(Q9," / ", ,TRUE,0,)</f>
        <v>#N/A</v>
      </c>
      <c r="S9" s="51"/>
      <c r="T9" s="51" t="str" cm="1">
        <f t="array" ref="T9">IFERROR(_xlfn.IFS(
R9="","",
--R9&lt;55,"Battery Defect",
--R9&lt;=69,"Battery D",
--R9&lt;=80,"Battery C",
--R9&gt;80,""
),"")</f>
        <v/>
      </c>
      <c r="U9" s="51" t="str" cm="1">
        <f t="array" ref="U9">IFERROR(_xlfn.IFS(
S9="","",
--S9&lt;55,"Battery Defect",
--S9&lt;=69,"Battery D",
--S9&lt;=80,"Battery C",
--S9&gt;80,""
),"")</f>
        <v/>
      </c>
      <c r="V9" s="51" t="str" cm="1">
        <f t="array" ref="V9:AC9">IFERROR(IF(_xlfn.XLOOKUP(B9,Input!J:J,Input!N:U)=0,"",
          _xlfn.XLOOKUP(B9,Input!J:J,Input!N:U)),"")</f>
        <v/>
      </c>
      <c r="W9" s="51" t="str">
        <v/>
      </c>
      <c r="X9" s="51" t="str">
        <v/>
      </c>
      <c r="Y9" s="51" t="str">
        <v/>
      </c>
      <c r="Z9" s="51" t="str">
        <v/>
      </c>
      <c r="AA9" s="51" t="str">
        <v/>
      </c>
      <c r="AB9" s="51" t="str">
        <v/>
      </c>
      <c r="AC9" s="51" t="str">
        <v/>
      </c>
      <c r="AD9" s="32" t="str">
        <f t="shared" si="0"/>
        <v/>
      </c>
      <c r="AE9" s="32" t="str">
        <f>_xlfn.XLOOKUP(B:B,Disk_Pivot!G:G,Disk_Pivot!I:I)</f>
        <v>Yes x2</v>
      </c>
      <c r="AF9" s="32" t="str">
        <f>_xlfn.XLOOKUP(B9,Disk_Pivot!G:G,Disk_Pivot!N:N)</f>
        <v>Pass, Fail</v>
      </c>
      <c r="AG9" s="32"/>
      <c r="AH9" s="32"/>
      <c r="AI9" s="32"/>
      <c r="AJ9" s="32"/>
      <c r="AK9" s="32"/>
      <c r="AL9" s="32"/>
    </row>
    <row r="10" spans="1:38">
      <c r="A10" s="32" t="str">
        <f>_xlfn.TEXTJOIN("",TRUE,_xlfn.XLOOKUP(B10,Input!J:J,Input!G:G,"",0,1),_xlfn.XLOOKUP(B10,Input!J:J,Input!H:H,"",0,1))</f>
        <v/>
      </c>
      <c r="B10" s="32"/>
      <c r="C10" s="51">
        <f>_xlfn.XLOOKUP(B10,Input!J:J,Input!F:F)</f>
        <v>0</v>
      </c>
      <c r="D10" s="32">
        <f>_xlfn.XLOOKUP(C10,Models!H:H,Models!G:G,C10)</f>
        <v>0</v>
      </c>
      <c r="E10" s="32">
        <f>_xlfn.XLOOKUP(B10,Input!J:J,Input!E:E)</f>
        <v>0</v>
      </c>
      <c r="F10" s="32">
        <f>IF(E10="LENOVO",_xlfn.XLOOKUP(B10,Input!J:J,Input!K:K),_xlfn.XLOOKUP(B10,Input!J:J,Input!L:L))</f>
        <v>0</v>
      </c>
      <c r="G10" s="32"/>
      <c r="H10" s="32"/>
      <c r="I10" s="32">
        <f>_xlfn.XLOOKUP(B10,CPU_Formula!A:A,CPU_Formula!I:I)</f>
        <v>0</v>
      </c>
      <c r="J10" s="51" t="e">
        <f>INDEX(Input!$D$2:$AC$500,
       MATCH(B10, Input!$J$2:$J$500, 0),
       MATCH("Total Memory", Input!$D$1:$AC$1, 0))</f>
        <v>#N/A</v>
      </c>
      <c r="K10" s="51" t="e">
        <f>INDEX(Input!$D$2:$AC$500,
       MATCH(B10, Input!$J$2:$J$500, 0),
       MATCH("Memory Type", Input!$D$1:$AC$1, 0))</f>
        <v>#N/A</v>
      </c>
      <c r="L10" s="51" t="str" cm="1">
        <f t="array" ref="L10">IFERROR(_xlfn.FILTERXML("&lt;t&gt;&lt;s&gt;" &amp; SUBSTITUTE(K10," / ","&lt;/s&gt;&lt;s&gt;") &amp; "&lt;/s&gt;&lt;/t&gt;","(//s[contains(.,'DDR')])[1]"),"")</f>
        <v/>
      </c>
      <c r="M10" s="32" t="e">
        <f t="shared" si="2"/>
        <v>#N/A</v>
      </c>
      <c r="N10" s="51" t="e">
        <f>INDEX(Input!$D$2:$AC$500,
       MATCH(B10, Input!$J$2:$J$500, 0),
       MATCH("Disk Interface Type", Input!$D$1:$AC$1, 0))</f>
        <v>#N/A</v>
      </c>
      <c r="O10" s="51" t="str" cm="1">
        <f t="array" ref="O10">IFERROR(_xlfn.TEXTJOIN(", ", TRUE, _xlfn._xlws.FILTER(
    INDEX(Input!$D$2:$AC$500,,MATCH("Disk Capacity",Input!$D$1:$AC$1,0)),
    Input!$J$2:$J$500=B10
)), "")</f>
        <v/>
      </c>
      <c r="P10" s="32" t="e">
        <f t="shared" si="1"/>
        <v>#N/A</v>
      </c>
      <c r="Q10" s="51" t="e">
        <f>_xlfn.LET(_xlpm.Result,INDEX(Input!$D$2:$AC$500,
       MATCH(B10, Input!$J$2:$J$500, 0),
       MATCH("Capacity", Input!$D$1:$AC$1, 0)),IF(_xlpm.Result="","",_xlpm.Result))</f>
        <v>#N/A</v>
      </c>
      <c r="R10" s="51" t="e" cm="1">
        <f t="array" ref="R10">_xlfn.TEXTSPLIT(Q10," / ", ,TRUE,0,)</f>
        <v>#N/A</v>
      </c>
      <c r="S10" s="51"/>
      <c r="T10" s="51" t="str" cm="1">
        <f t="array" ref="T10">IFERROR(_xlfn.IFS(
R10="","",
--R10&lt;55,"Battery Defect",
--R10&lt;=69,"Battery D",
--R10&lt;=80,"Battery C",
--R10&gt;80,""
),"")</f>
        <v/>
      </c>
      <c r="U10" s="51" t="str" cm="1">
        <f t="array" ref="U10">IFERROR(_xlfn.IFS(
S10="","",
--S10&lt;55,"Battery Defect",
--S10&lt;=69,"Battery D",
--S10&lt;=80,"Battery C",
--S10&gt;80,""
),"")</f>
        <v/>
      </c>
      <c r="V10" s="51" t="str" cm="1">
        <f t="array" ref="V10:AC10">IFERROR(IF(_xlfn.XLOOKUP(B10,Input!J:J,Input!N:U)=0,"",
          _xlfn.XLOOKUP(B10,Input!J:J,Input!N:U)),"")</f>
        <v/>
      </c>
      <c r="W10" s="51" t="str">
        <v/>
      </c>
      <c r="X10" s="51" t="str">
        <v/>
      </c>
      <c r="Y10" s="51" t="str">
        <v/>
      </c>
      <c r="Z10" s="51" t="str">
        <v/>
      </c>
      <c r="AA10" s="51" t="str">
        <v/>
      </c>
      <c r="AB10" s="51" t="str">
        <v/>
      </c>
      <c r="AC10" s="51" t="str">
        <v/>
      </c>
      <c r="AD10" s="32" t="str">
        <f t="shared" si="0"/>
        <v/>
      </c>
      <c r="AE10" s="32" t="str">
        <f>_xlfn.XLOOKUP(B:B,Disk_Pivot!G:G,Disk_Pivot!I:I)</f>
        <v>Yes x2</v>
      </c>
      <c r="AF10" s="32" t="str">
        <f>_xlfn.XLOOKUP(B10,Disk_Pivot!G:G,Disk_Pivot!N:N)</f>
        <v>Pass, Fail</v>
      </c>
      <c r="AG10" s="32"/>
      <c r="AH10" s="32"/>
      <c r="AI10" s="32"/>
      <c r="AJ10" s="32"/>
      <c r="AK10" s="32"/>
      <c r="AL10" s="32"/>
    </row>
    <row r="11" spans="1:38">
      <c r="A11" s="32" t="str">
        <f>_xlfn.TEXTJOIN("",TRUE,_xlfn.XLOOKUP(B11,Input!J:J,Input!G:G,"",0,1),_xlfn.XLOOKUP(B11,Input!J:J,Input!H:H,"",0,1))</f>
        <v/>
      </c>
      <c r="B11" s="32"/>
      <c r="C11" s="51">
        <f>_xlfn.XLOOKUP(B11,Input!J:J,Input!F:F)</f>
        <v>0</v>
      </c>
      <c r="D11" s="32">
        <f>_xlfn.XLOOKUP(C11,Models!H:H,Models!G:G,C11)</f>
        <v>0</v>
      </c>
      <c r="E11" s="32">
        <f>_xlfn.XLOOKUP(B11,Input!J:J,Input!E:E)</f>
        <v>0</v>
      </c>
      <c r="F11" s="32">
        <f>IF(E11="LENOVO",_xlfn.XLOOKUP(B11,Input!J:J,Input!K:K),_xlfn.XLOOKUP(B11,Input!J:J,Input!L:L))</f>
        <v>0</v>
      </c>
      <c r="G11" s="32"/>
      <c r="H11" s="32"/>
      <c r="I11" s="32">
        <f>_xlfn.XLOOKUP(B11,CPU_Formula!A:A,CPU_Formula!I:I)</f>
        <v>0</v>
      </c>
      <c r="J11" s="51" t="e">
        <f>INDEX(Input!$D$2:$AC$500,
       MATCH(B11, Input!$J$2:$J$500, 0),
       MATCH("Total Memory", Input!$D$1:$AC$1, 0))</f>
        <v>#N/A</v>
      </c>
      <c r="K11" s="51" t="e">
        <f>INDEX(Input!$D$2:$AC$500,
       MATCH(B11, Input!$J$2:$J$500, 0),
       MATCH("Memory Type", Input!$D$1:$AC$1, 0))</f>
        <v>#N/A</v>
      </c>
      <c r="L11" s="51" t="str" cm="1">
        <f t="array" ref="L11">IFERROR(_xlfn.FILTERXML("&lt;t&gt;&lt;s&gt;" &amp; SUBSTITUTE(K11," / ","&lt;/s&gt;&lt;s&gt;") &amp; "&lt;/s&gt;&lt;/t&gt;","(//s[contains(.,'DDR')])[1]"),"")</f>
        <v/>
      </c>
      <c r="M11" s="32" t="e">
        <f t="shared" si="2"/>
        <v>#N/A</v>
      </c>
      <c r="N11" s="51" t="e">
        <f>INDEX(Input!$D$2:$AC$500,
       MATCH(B11, Input!$J$2:$J$500, 0),
       MATCH("Disk Interface Type", Input!$D$1:$AC$1, 0))</f>
        <v>#N/A</v>
      </c>
      <c r="O11" s="51" t="str" cm="1">
        <f t="array" ref="O11">IFERROR(_xlfn.TEXTJOIN(", ", TRUE, _xlfn._xlws.FILTER(
    INDEX(Input!$D$2:$AC$500,,MATCH("Disk Capacity",Input!$D$1:$AC$1,0)),
    Input!$J$2:$J$500=B11
)), "")</f>
        <v/>
      </c>
      <c r="P11" s="32" t="e">
        <f t="shared" si="1"/>
        <v>#N/A</v>
      </c>
      <c r="Q11" s="51" t="e">
        <f>_xlfn.LET(_xlpm.Result,INDEX(Input!$D$2:$AC$500,
       MATCH(B11, Input!$J$2:$J$500, 0),
       MATCH("Capacity", Input!$D$1:$AC$1, 0)),IF(_xlpm.Result="","",_xlpm.Result))</f>
        <v>#N/A</v>
      </c>
      <c r="R11" s="51" t="e" cm="1">
        <f t="array" ref="R11">_xlfn.TEXTSPLIT(Q11," / ", ,TRUE,0,)</f>
        <v>#N/A</v>
      </c>
      <c r="S11" s="51"/>
      <c r="T11" s="51" t="str" cm="1">
        <f t="array" ref="T11">IFERROR(_xlfn.IFS(
R11="","",
--R11&lt;55,"Battery Defect",
--R11&lt;=69,"Battery D",
--R11&lt;=80,"Battery C",
--R11&gt;80,""
),"")</f>
        <v/>
      </c>
      <c r="U11" s="51" t="str" cm="1">
        <f t="array" ref="U11">IFERROR(_xlfn.IFS(
S11="","",
--S11&lt;55,"Battery Defect",
--S11&lt;=69,"Battery D",
--S11&lt;=80,"Battery C",
--S11&gt;80,""
),"")</f>
        <v/>
      </c>
      <c r="V11" s="51" t="str" cm="1">
        <f t="array" ref="V11:AC11">IFERROR(IF(_xlfn.XLOOKUP(B11,Input!J:J,Input!N:U)=0,"",
          _xlfn.XLOOKUP(B11,Input!J:J,Input!N:U)),"")</f>
        <v/>
      </c>
      <c r="W11" s="51" t="str">
        <v/>
      </c>
      <c r="X11" s="51" t="str">
        <v/>
      </c>
      <c r="Y11" s="51" t="str">
        <v/>
      </c>
      <c r="Z11" s="51" t="str">
        <v/>
      </c>
      <c r="AA11" s="51" t="str">
        <v/>
      </c>
      <c r="AB11" s="51" t="str">
        <v/>
      </c>
      <c r="AC11" s="51" t="str">
        <v/>
      </c>
      <c r="AD11" s="32" t="str">
        <f t="shared" si="0"/>
        <v/>
      </c>
      <c r="AE11" s="32" t="str">
        <f>_xlfn.XLOOKUP(B:B,Disk_Pivot!G:G,Disk_Pivot!I:I)</f>
        <v>Yes x2</v>
      </c>
      <c r="AF11" s="32" t="str">
        <f>_xlfn.XLOOKUP(B11,Disk_Pivot!G:G,Disk_Pivot!N:N)</f>
        <v>Pass, Fail</v>
      </c>
      <c r="AG11" s="32"/>
      <c r="AH11" s="32"/>
      <c r="AI11" s="32"/>
      <c r="AJ11" s="32"/>
      <c r="AK11" s="32"/>
      <c r="AL11" s="32"/>
    </row>
    <row r="12" spans="1:38">
      <c r="A12" s="32" t="str">
        <f>_xlfn.TEXTJOIN("",TRUE,_xlfn.XLOOKUP(B12,Input!J:J,Input!G:G,"",0,1),_xlfn.XLOOKUP(B12,Input!J:J,Input!H:H,"",0,1))</f>
        <v/>
      </c>
      <c r="B12" s="32"/>
      <c r="C12" s="51">
        <f>_xlfn.XLOOKUP(B12,Input!J:J,Input!F:F)</f>
        <v>0</v>
      </c>
      <c r="D12" s="32">
        <f>_xlfn.XLOOKUP(C12,Models!H:H,Models!G:G,C12)</f>
        <v>0</v>
      </c>
      <c r="E12" s="32">
        <f>_xlfn.XLOOKUP(B12,Input!J:J,Input!E:E)</f>
        <v>0</v>
      </c>
      <c r="F12" s="32">
        <f>IF(E12="LENOVO",_xlfn.XLOOKUP(B12,Input!J:J,Input!K:K),_xlfn.XLOOKUP(B12,Input!J:J,Input!L:L))</f>
        <v>0</v>
      </c>
      <c r="G12" s="32"/>
      <c r="H12" s="32"/>
      <c r="I12" s="32">
        <f>_xlfn.XLOOKUP(B12,CPU_Formula!A:A,CPU_Formula!I:I)</f>
        <v>0</v>
      </c>
      <c r="J12" s="51" t="e">
        <f>INDEX(Input!$D$2:$AC$500,
       MATCH(B12, Input!$J$2:$J$500, 0),
       MATCH("Total Memory", Input!$D$1:$AC$1, 0))</f>
        <v>#N/A</v>
      </c>
      <c r="K12" s="51" t="e">
        <f>INDEX(Input!$D$2:$AC$500,
       MATCH(B12, Input!$J$2:$J$500, 0),
       MATCH("Memory Type", Input!$D$1:$AC$1, 0))</f>
        <v>#N/A</v>
      </c>
      <c r="L12" s="51" t="str" cm="1">
        <f t="array" ref="L12">IFERROR(_xlfn.FILTERXML("&lt;t&gt;&lt;s&gt;" &amp; SUBSTITUTE(K12," / ","&lt;/s&gt;&lt;s&gt;") &amp; "&lt;/s&gt;&lt;/t&gt;","(//s[contains(.,'DDR')])[1]"),"")</f>
        <v/>
      </c>
      <c r="M12" s="32" t="e">
        <f t="shared" si="2"/>
        <v>#N/A</v>
      </c>
      <c r="N12" s="51" t="e">
        <f>INDEX(Input!$D$2:$AC$500,
       MATCH(B12, Input!$J$2:$J$500, 0),
       MATCH("Disk Interface Type", Input!$D$1:$AC$1, 0))</f>
        <v>#N/A</v>
      </c>
      <c r="O12" s="51" t="str" cm="1">
        <f t="array" ref="O12">IFERROR(_xlfn.TEXTJOIN(", ", TRUE, _xlfn._xlws.FILTER(
    INDEX(Input!$D$2:$AC$500,,MATCH("Disk Capacity",Input!$D$1:$AC$1,0)),
    Input!$J$2:$J$500=B12
)), "")</f>
        <v/>
      </c>
      <c r="P12" s="32" t="e">
        <f t="shared" si="1"/>
        <v>#N/A</v>
      </c>
      <c r="Q12" s="51" t="e">
        <f>_xlfn.LET(_xlpm.Result,INDEX(Input!$D$2:$AC$500,
       MATCH(B12, Input!$J$2:$J$500, 0),
       MATCH("Capacity", Input!$D$1:$AC$1, 0)),IF(_xlpm.Result="","",_xlpm.Result))</f>
        <v>#N/A</v>
      </c>
      <c r="R12" s="51" t="e" cm="1">
        <f t="array" ref="R12">_xlfn.TEXTSPLIT(Q12," / ", ,TRUE,0,)</f>
        <v>#N/A</v>
      </c>
      <c r="S12" s="51"/>
      <c r="T12" s="51" t="str" cm="1">
        <f t="array" ref="T12">IFERROR(_xlfn.IFS(
R12="","",
--R12&lt;55,"Battery Defect",
--R12&lt;=69,"Battery D",
--R12&lt;=80,"Battery C",
--R12&gt;80,""
),"")</f>
        <v/>
      </c>
      <c r="U12" s="51" t="str" cm="1">
        <f t="array" ref="U12">IFERROR(_xlfn.IFS(
S12="","",
--S12&lt;55,"Battery Defect",
--S12&lt;=69,"Battery D",
--S12&lt;=80,"Battery C",
--S12&gt;80,""
),"")</f>
        <v/>
      </c>
      <c r="V12" s="51" t="str" cm="1">
        <f t="array" ref="V12:AC12">IFERROR(IF(_xlfn.XLOOKUP(B12,Input!J:J,Input!N:U)=0,"",
          _xlfn.XLOOKUP(B12,Input!J:J,Input!N:U)),"")</f>
        <v/>
      </c>
      <c r="W12" s="51" t="str">
        <v/>
      </c>
      <c r="X12" s="51" t="str">
        <v/>
      </c>
      <c r="Y12" s="51" t="str">
        <v/>
      </c>
      <c r="Z12" s="51" t="str">
        <v/>
      </c>
      <c r="AA12" s="51" t="str">
        <v/>
      </c>
      <c r="AB12" s="51" t="str">
        <v/>
      </c>
      <c r="AC12" s="51" t="str">
        <v/>
      </c>
      <c r="AD12" s="32" t="str">
        <f t="shared" si="0"/>
        <v/>
      </c>
      <c r="AE12" s="32" t="str">
        <f>_xlfn.XLOOKUP(B:B,Disk_Pivot!G:G,Disk_Pivot!I:I)</f>
        <v>Yes x2</v>
      </c>
      <c r="AF12" s="32" t="str">
        <f>_xlfn.XLOOKUP(B12,Disk_Pivot!G:G,Disk_Pivot!N:N)</f>
        <v>Pass, Fail</v>
      </c>
      <c r="AG12" s="32"/>
      <c r="AH12" s="32"/>
      <c r="AI12" s="32"/>
      <c r="AJ12" s="32"/>
      <c r="AK12" s="32"/>
      <c r="AL12" s="32"/>
    </row>
    <row r="13" spans="1:38">
      <c r="A13" s="32" t="str">
        <f>_xlfn.TEXTJOIN("",TRUE,_xlfn.XLOOKUP(B13,Input!J:J,Input!G:G,"",0,1),_xlfn.XLOOKUP(B13,Input!J:J,Input!H:H,"",0,1))</f>
        <v/>
      </c>
      <c r="B13" s="32"/>
      <c r="C13" s="51">
        <f>_xlfn.XLOOKUP(B13,Input!J:J,Input!F:F)</f>
        <v>0</v>
      </c>
      <c r="D13" s="32">
        <f>_xlfn.XLOOKUP(C13,Models!H:H,Models!G:G,C13)</f>
        <v>0</v>
      </c>
      <c r="E13" s="32">
        <f>_xlfn.XLOOKUP(B13,Input!J:J,Input!E:E)</f>
        <v>0</v>
      </c>
      <c r="F13" s="32">
        <f>IF(E13="LENOVO",_xlfn.XLOOKUP(B13,Input!J:J,Input!K:K),_xlfn.XLOOKUP(B13,Input!J:J,Input!L:L))</f>
        <v>0</v>
      </c>
      <c r="G13" s="32"/>
      <c r="H13" s="32"/>
      <c r="I13" s="32">
        <f>_xlfn.XLOOKUP(B13,CPU_Formula!A:A,CPU_Formula!I:I)</f>
        <v>0</v>
      </c>
      <c r="J13" s="51" t="e">
        <f>INDEX(Input!$D$2:$AC$500,
       MATCH(B13, Input!$J$2:$J$500, 0),
       MATCH("Total Memory", Input!$D$1:$AC$1, 0))</f>
        <v>#N/A</v>
      </c>
      <c r="K13" s="51" t="e">
        <f>INDEX(Input!$D$2:$AC$500,
       MATCH(B13, Input!$J$2:$J$500, 0),
       MATCH("Memory Type", Input!$D$1:$AC$1, 0))</f>
        <v>#N/A</v>
      </c>
      <c r="L13" s="51" t="str" cm="1">
        <f t="array" ref="L13">IFERROR(_xlfn.FILTERXML("&lt;t&gt;&lt;s&gt;" &amp; SUBSTITUTE(K13," / ","&lt;/s&gt;&lt;s&gt;") &amp; "&lt;/s&gt;&lt;/t&gt;","(//s[contains(.,'DDR')])[1]"),"")</f>
        <v/>
      </c>
      <c r="M13" s="32" t="e">
        <f t="shared" si="2"/>
        <v>#N/A</v>
      </c>
      <c r="N13" s="51" t="e">
        <f>INDEX(Input!$D$2:$AC$500,
       MATCH(B13, Input!$J$2:$J$500, 0),
       MATCH("Disk Interface Type", Input!$D$1:$AC$1, 0))</f>
        <v>#N/A</v>
      </c>
      <c r="O13" s="51" t="str" cm="1">
        <f t="array" ref="O13">IFERROR(_xlfn.TEXTJOIN(", ", TRUE, _xlfn._xlws.FILTER(
    INDEX(Input!$D$2:$AC$500,,MATCH("Disk Capacity",Input!$D$1:$AC$1,0)),
    Input!$J$2:$J$500=B13
)), "")</f>
        <v/>
      </c>
      <c r="P13" s="32" t="e">
        <f t="shared" si="1"/>
        <v>#N/A</v>
      </c>
      <c r="Q13" s="51" t="e">
        <f>_xlfn.LET(_xlpm.Result,INDEX(Input!$D$2:$AC$500,
       MATCH(B13, Input!$J$2:$J$500, 0),
       MATCH("Capacity", Input!$D$1:$AC$1, 0)),IF(_xlpm.Result="","",_xlpm.Result))</f>
        <v>#N/A</v>
      </c>
      <c r="R13" s="51" t="e" cm="1">
        <f t="array" ref="R13">_xlfn.TEXTSPLIT(Q13," / ", ,TRUE,0,)</f>
        <v>#N/A</v>
      </c>
      <c r="S13" s="51"/>
      <c r="T13" s="51" t="str" cm="1">
        <f t="array" ref="T13">IFERROR(_xlfn.IFS(
R13="","",
--R13&lt;55,"Battery Defect",
--R13&lt;=69,"Battery D",
--R13&lt;=80,"Battery C",
--R13&gt;80,""
),"")</f>
        <v/>
      </c>
      <c r="U13" s="51" t="str" cm="1">
        <f t="array" ref="U13">IFERROR(_xlfn.IFS(
S13="","",
--S13&lt;55,"Battery Defect",
--S13&lt;=69,"Battery D",
--S13&lt;=80,"Battery C",
--S13&gt;80,""
),"")</f>
        <v/>
      </c>
      <c r="V13" s="51" t="str" cm="1">
        <f t="array" ref="V13:AC13">IFERROR(IF(_xlfn.XLOOKUP(B13,Input!J:J,Input!N:U)=0,"",
          _xlfn.XLOOKUP(B13,Input!J:J,Input!N:U)),"")</f>
        <v/>
      </c>
      <c r="W13" s="51" t="str">
        <v/>
      </c>
      <c r="X13" s="51" t="str">
        <v/>
      </c>
      <c r="Y13" s="51" t="str">
        <v/>
      </c>
      <c r="Z13" s="51" t="str">
        <v/>
      </c>
      <c r="AA13" s="51" t="str">
        <v/>
      </c>
      <c r="AB13" s="51" t="str">
        <v/>
      </c>
      <c r="AC13" s="51" t="str">
        <v/>
      </c>
      <c r="AD13" s="32" t="str">
        <f t="shared" si="0"/>
        <v/>
      </c>
      <c r="AE13" s="32" t="str">
        <f>_xlfn.XLOOKUP(B:B,Disk_Pivot!G:G,Disk_Pivot!I:I)</f>
        <v>Yes x2</v>
      </c>
      <c r="AF13" s="32" t="str">
        <f>_xlfn.XLOOKUP(B13,Disk_Pivot!G:G,Disk_Pivot!N:N)</f>
        <v>Pass, Fail</v>
      </c>
      <c r="AG13" s="32"/>
      <c r="AH13" s="32"/>
      <c r="AI13" s="32"/>
      <c r="AJ13" s="32"/>
      <c r="AK13" s="32"/>
      <c r="AL13" s="32"/>
    </row>
    <row r="14" spans="1:38">
      <c r="A14" s="32" t="str">
        <f>_xlfn.TEXTJOIN("",TRUE,_xlfn.XLOOKUP(B14,Input!J:J,Input!G:G,"",0,1),_xlfn.XLOOKUP(B14,Input!J:J,Input!H:H,"",0,1))</f>
        <v/>
      </c>
      <c r="B14" s="32"/>
      <c r="C14" s="51">
        <f>_xlfn.XLOOKUP(B14,Input!J:J,Input!F:F)</f>
        <v>0</v>
      </c>
      <c r="D14" s="32">
        <f>_xlfn.XLOOKUP(C14,Models!H:H,Models!G:G,C14)</f>
        <v>0</v>
      </c>
      <c r="E14" s="32">
        <f>_xlfn.XLOOKUP(B14,Input!J:J,Input!E:E)</f>
        <v>0</v>
      </c>
      <c r="F14" s="32">
        <f>IF(E14="LENOVO",_xlfn.XLOOKUP(B14,Input!J:J,Input!K:K),_xlfn.XLOOKUP(B14,Input!J:J,Input!L:L))</f>
        <v>0</v>
      </c>
      <c r="G14" s="32"/>
      <c r="H14" s="32"/>
      <c r="I14" s="32">
        <f>_xlfn.XLOOKUP(B14,CPU_Formula!A:A,CPU_Formula!I:I)</f>
        <v>0</v>
      </c>
      <c r="J14" s="51" t="e">
        <f>INDEX(Input!$D$2:$AC$500,
       MATCH(B14, Input!$J$2:$J$500, 0),
       MATCH("Total Memory", Input!$D$1:$AC$1, 0))</f>
        <v>#N/A</v>
      </c>
      <c r="K14" s="51" t="e">
        <f>INDEX(Input!$D$2:$AC$500,
       MATCH(B14, Input!$J$2:$J$500, 0),
       MATCH("Memory Type", Input!$D$1:$AC$1, 0))</f>
        <v>#N/A</v>
      </c>
      <c r="L14" s="51" t="str" cm="1">
        <f t="array" ref="L14">IFERROR(_xlfn.FILTERXML("&lt;t&gt;&lt;s&gt;" &amp; SUBSTITUTE(K14," / ","&lt;/s&gt;&lt;s&gt;") &amp; "&lt;/s&gt;&lt;/t&gt;","(//s[contains(.,'DDR')])[1]"),"")</f>
        <v/>
      </c>
      <c r="M14" s="32" t="e">
        <f t="shared" si="2"/>
        <v>#N/A</v>
      </c>
      <c r="N14" s="51" t="e">
        <f>INDEX(Input!$D$2:$AC$500,
       MATCH(B14, Input!$J$2:$J$500, 0),
       MATCH("Disk Interface Type", Input!$D$1:$AC$1, 0))</f>
        <v>#N/A</v>
      </c>
      <c r="O14" s="51" t="str" cm="1">
        <f t="array" ref="O14">IFERROR(_xlfn.TEXTJOIN(", ", TRUE, _xlfn._xlws.FILTER(
    INDEX(Input!$D$2:$AC$500,,MATCH("Disk Capacity",Input!$D$1:$AC$1,0)),
    Input!$J$2:$J$500=B14
)), "")</f>
        <v/>
      </c>
      <c r="P14" s="32" t="e">
        <f t="shared" si="1"/>
        <v>#N/A</v>
      </c>
      <c r="Q14" s="51" t="e">
        <f>_xlfn.LET(_xlpm.Result,INDEX(Input!$D$2:$AC$500,
       MATCH(B14, Input!$J$2:$J$500, 0),
       MATCH("Capacity", Input!$D$1:$AC$1, 0)),IF(_xlpm.Result="","",_xlpm.Result))</f>
        <v>#N/A</v>
      </c>
      <c r="R14" s="51" t="e" cm="1">
        <f t="array" ref="R14">_xlfn.TEXTSPLIT(Q14," / ", ,TRUE,0,)</f>
        <v>#N/A</v>
      </c>
      <c r="S14" s="51"/>
      <c r="T14" s="51" t="str" cm="1">
        <f t="array" ref="T14">IFERROR(_xlfn.IFS(
R14="","",
--R14&lt;55,"Battery Defect",
--R14&lt;=69,"Battery D",
--R14&lt;=80,"Battery C",
--R14&gt;80,""
),"")</f>
        <v/>
      </c>
      <c r="U14" s="51" t="str" cm="1">
        <f t="array" ref="U14">IFERROR(_xlfn.IFS(
S14="","",
--S14&lt;55,"Battery Defect",
--S14&lt;=69,"Battery D",
--S14&lt;=80,"Battery C",
--S14&gt;80,""
),"")</f>
        <v/>
      </c>
      <c r="V14" s="51" t="str" cm="1">
        <f t="array" ref="V14:AC14">IFERROR(IF(_xlfn.XLOOKUP(B14,Input!J:J,Input!N:U)=0,"",
          _xlfn.XLOOKUP(B14,Input!J:J,Input!N:U)),"")</f>
        <v/>
      </c>
      <c r="W14" s="51" t="str">
        <v/>
      </c>
      <c r="X14" s="51" t="str">
        <v/>
      </c>
      <c r="Y14" s="51" t="str">
        <v/>
      </c>
      <c r="Z14" s="51" t="str">
        <v/>
      </c>
      <c r="AA14" s="51" t="str">
        <v/>
      </c>
      <c r="AB14" s="51" t="str">
        <v/>
      </c>
      <c r="AC14" s="51" t="str">
        <v/>
      </c>
      <c r="AD14" s="32" t="str">
        <f t="shared" si="0"/>
        <v/>
      </c>
      <c r="AE14" s="32" t="str">
        <f>_xlfn.XLOOKUP(B:B,Disk_Pivot!G:G,Disk_Pivot!I:I)</f>
        <v>Yes x2</v>
      </c>
      <c r="AF14" s="32" t="str">
        <f>_xlfn.XLOOKUP(B14,Disk_Pivot!G:G,Disk_Pivot!N:N)</f>
        <v>Pass, Fail</v>
      </c>
      <c r="AG14" s="32"/>
      <c r="AH14" s="32"/>
      <c r="AI14" s="32"/>
      <c r="AJ14" s="32"/>
      <c r="AK14" s="32"/>
      <c r="AL14" s="32"/>
    </row>
    <row r="15" spans="1:38">
      <c r="A15" s="32" t="str">
        <f>_xlfn.TEXTJOIN("",TRUE,_xlfn.XLOOKUP(B15,Input!J:J,Input!G:G,"",0,1),_xlfn.XLOOKUP(B15,Input!J:J,Input!H:H,"",0,1))</f>
        <v/>
      </c>
      <c r="B15" s="32"/>
      <c r="C15" s="51">
        <f>_xlfn.XLOOKUP(B15,Input!J:J,Input!F:F)</f>
        <v>0</v>
      </c>
      <c r="D15" s="32">
        <f>_xlfn.XLOOKUP(C15,Models!H:H,Models!G:G,C15)</f>
        <v>0</v>
      </c>
      <c r="E15" s="32">
        <f>_xlfn.XLOOKUP(B15,Input!J:J,Input!E:E)</f>
        <v>0</v>
      </c>
      <c r="F15" s="32">
        <f>IF(E15="LENOVO",_xlfn.XLOOKUP(B15,Input!J:J,Input!K:K),_xlfn.XLOOKUP(B15,Input!J:J,Input!L:L))</f>
        <v>0</v>
      </c>
      <c r="G15" s="32"/>
      <c r="H15" s="32"/>
      <c r="I15" s="32">
        <f>_xlfn.XLOOKUP(B15,CPU_Formula!A:A,CPU_Formula!I:I)</f>
        <v>0</v>
      </c>
      <c r="J15" s="51" t="e">
        <f>INDEX(Input!$D$2:$AC$500,
       MATCH(B15, Input!$J$2:$J$500, 0),
       MATCH("Total Memory", Input!$D$1:$AC$1, 0))</f>
        <v>#N/A</v>
      </c>
      <c r="K15" s="51" t="e">
        <f>INDEX(Input!$D$2:$AC$500,
       MATCH(B15, Input!$J$2:$J$500, 0),
       MATCH("Memory Type", Input!$D$1:$AC$1, 0))</f>
        <v>#N/A</v>
      </c>
      <c r="L15" s="51" t="str" cm="1">
        <f t="array" ref="L15">IFERROR(_xlfn.FILTERXML("&lt;t&gt;&lt;s&gt;" &amp; SUBSTITUTE(K15," / ","&lt;/s&gt;&lt;s&gt;") &amp; "&lt;/s&gt;&lt;/t&gt;","(//s[contains(.,'DDR')])[1]"),"")</f>
        <v/>
      </c>
      <c r="M15" s="32" t="e">
        <f t="shared" si="2"/>
        <v>#N/A</v>
      </c>
      <c r="N15" s="51" t="e">
        <f>INDEX(Input!$D$2:$AC$500,
       MATCH(B15, Input!$J$2:$J$500, 0),
       MATCH("Disk Interface Type", Input!$D$1:$AC$1, 0))</f>
        <v>#N/A</v>
      </c>
      <c r="O15" s="51" t="str" cm="1">
        <f t="array" ref="O15">IFERROR(_xlfn.TEXTJOIN(", ", TRUE, _xlfn._xlws.FILTER(
    INDEX(Input!$D$2:$AC$500,,MATCH("Disk Capacity",Input!$D$1:$AC$1,0)),
    Input!$J$2:$J$500=B15
)), "")</f>
        <v/>
      </c>
      <c r="P15" s="32" t="e">
        <f t="shared" si="1"/>
        <v>#N/A</v>
      </c>
      <c r="Q15" s="51" t="e">
        <f>_xlfn.LET(_xlpm.Result,INDEX(Input!$D$2:$AC$500,
       MATCH(B15, Input!$J$2:$J$500, 0),
       MATCH("Capacity", Input!$D$1:$AC$1, 0)),IF(_xlpm.Result="","",_xlpm.Result))</f>
        <v>#N/A</v>
      </c>
      <c r="R15" s="51" t="e" cm="1">
        <f t="array" ref="R15">_xlfn.TEXTSPLIT(Q15," / ", ,TRUE,0,)</f>
        <v>#N/A</v>
      </c>
      <c r="S15" s="51"/>
      <c r="T15" s="51" t="str" cm="1">
        <f t="array" ref="T15">IFERROR(_xlfn.IFS(
R15="","",
--R15&lt;55,"Battery Defect",
--R15&lt;=69,"Battery D",
--R15&lt;=80,"Battery C",
--R15&gt;80,""
),"")</f>
        <v/>
      </c>
      <c r="U15" s="51" t="str" cm="1">
        <f t="array" ref="U15">IFERROR(_xlfn.IFS(
S15="","",
--S15&lt;55,"Battery Defect",
--S15&lt;=69,"Battery D",
--S15&lt;=80,"Battery C",
--S15&gt;80,""
),"")</f>
        <v/>
      </c>
      <c r="V15" s="51" t="str" cm="1">
        <f t="array" ref="V15:AC15">IFERROR(IF(_xlfn.XLOOKUP(B15,Input!J:J,Input!N:U)=0,"",
          _xlfn.XLOOKUP(B15,Input!J:J,Input!N:U)),"")</f>
        <v/>
      </c>
      <c r="W15" s="51" t="str">
        <v/>
      </c>
      <c r="X15" s="51" t="str">
        <v/>
      </c>
      <c r="Y15" s="51" t="str">
        <v/>
      </c>
      <c r="Z15" s="51" t="str">
        <v/>
      </c>
      <c r="AA15" s="51" t="str">
        <v/>
      </c>
      <c r="AB15" s="51" t="str">
        <v/>
      </c>
      <c r="AC15" s="51" t="str">
        <v/>
      </c>
      <c r="AD15" s="32" t="str">
        <f t="shared" si="0"/>
        <v/>
      </c>
      <c r="AE15" s="32" t="str">
        <f>_xlfn.XLOOKUP(B:B,Disk_Pivot!G:G,Disk_Pivot!I:I)</f>
        <v>Yes x2</v>
      </c>
      <c r="AF15" s="32" t="str">
        <f>_xlfn.XLOOKUP(B15,Disk_Pivot!G:G,Disk_Pivot!N:N)</f>
        <v>Pass, Fail</v>
      </c>
      <c r="AG15" s="32"/>
      <c r="AH15" s="32"/>
      <c r="AI15" s="32"/>
      <c r="AJ15" s="32"/>
      <c r="AK15" s="32"/>
      <c r="AL15" s="32"/>
    </row>
    <row r="16" spans="1:38">
      <c r="A16" s="32" t="str">
        <f>_xlfn.TEXTJOIN("",TRUE,_xlfn.XLOOKUP(B16,Input!J:J,Input!G:G,"",0,1),_xlfn.XLOOKUP(B16,Input!J:J,Input!H:H,"",0,1))</f>
        <v/>
      </c>
      <c r="B16" s="32"/>
      <c r="C16" s="51">
        <f>_xlfn.XLOOKUP(B16,Input!J:J,Input!F:F)</f>
        <v>0</v>
      </c>
      <c r="D16" s="32">
        <f>_xlfn.XLOOKUP(C16,Models!H:H,Models!G:G,C16)</f>
        <v>0</v>
      </c>
      <c r="E16" s="32">
        <f>_xlfn.XLOOKUP(B16,Input!J:J,Input!E:E)</f>
        <v>0</v>
      </c>
      <c r="F16" s="32">
        <f>IF(E16="LENOVO",_xlfn.XLOOKUP(B16,Input!J:J,Input!K:K),_xlfn.XLOOKUP(B16,Input!J:J,Input!L:L))</f>
        <v>0</v>
      </c>
      <c r="G16" s="32"/>
      <c r="H16" s="32"/>
      <c r="I16" s="32">
        <f>_xlfn.XLOOKUP(B16,CPU_Formula!A:A,CPU_Formula!I:I)</f>
        <v>0</v>
      </c>
      <c r="J16" s="51" t="e">
        <f>INDEX(Input!$D$2:$AC$500,
       MATCH(B16, Input!$J$2:$J$500, 0),
       MATCH("Total Memory", Input!$D$1:$AC$1, 0))</f>
        <v>#N/A</v>
      </c>
      <c r="K16" s="51" t="e">
        <f>INDEX(Input!$D$2:$AC$500,
       MATCH(B16, Input!$J$2:$J$500, 0),
       MATCH("Memory Type", Input!$D$1:$AC$1, 0))</f>
        <v>#N/A</v>
      </c>
      <c r="L16" s="51" t="str" cm="1">
        <f t="array" ref="L16">IFERROR(_xlfn.FILTERXML("&lt;t&gt;&lt;s&gt;" &amp; SUBSTITUTE(K16," / ","&lt;/s&gt;&lt;s&gt;") &amp; "&lt;/s&gt;&lt;/t&gt;","(//s[contains(.,'DDR')])[1]"),"")</f>
        <v/>
      </c>
      <c r="M16" s="32" t="e">
        <f t="shared" si="2"/>
        <v>#N/A</v>
      </c>
      <c r="N16" s="51" t="e">
        <f>INDEX(Input!$D$2:$AC$500,
       MATCH(B16, Input!$J$2:$J$500, 0),
       MATCH("Disk Interface Type", Input!$D$1:$AC$1, 0))</f>
        <v>#N/A</v>
      </c>
      <c r="O16" s="51" t="str" cm="1">
        <f t="array" ref="O16">IFERROR(_xlfn.TEXTJOIN(", ", TRUE, _xlfn._xlws.FILTER(
    INDEX(Input!$D$2:$AC$500,,MATCH("Disk Capacity",Input!$D$1:$AC$1,0)),
    Input!$J$2:$J$500=B16
)), "")</f>
        <v/>
      </c>
      <c r="P16" s="32" t="e">
        <f t="shared" si="1"/>
        <v>#N/A</v>
      </c>
      <c r="Q16" s="51" t="e">
        <f>_xlfn.LET(_xlpm.Result,INDEX(Input!$D$2:$AC$500,
       MATCH(B16, Input!$J$2:$J$500, 0),
       MATCH("Capacity", Input!$D$1:$AC$1, 0)),IF(_xlpm.Result="","",_xlpm.Result))</f>
        <v>#N/A</v>
      </c>
      <c r="R16" s="51" t="e" cm="1">
        <f t="array" ref="R16">_xlfn.TEXTSPLIT(Q16," / ", ,TRUE,0,)</f>
        <v>#N/A</v>
      </c>
      <c r="S16" s="51"/>
      <c r="T16" s="51" t="str" cm="1">
        <f t="array" ref="T16">IFERROR(_xlfn.IFS(
R16="","",
--R16&lt;55,"Battery Defect",
--R16&lt;=69,"Battery D",
--R16&lt;=80,"Battery C",
--R16&gt;80,""
),"")</f>
        <v/>
      </c>
      <c r="U16" s="51" t="str" cm="1">
        <f t="array" ref="U16">IFERROR(_xlfn.IFS(
S16="","",
--S16&lt;55,"Battery Defect",
--S16&lt;=69,"Battery D",
--S16&lt;=80,"Battery C",
--S16&gt;80,""
),"")</f>
        <v/>
      </c>
      <c r="V16" s="51" t="str" cm="1">
        <f t="array" ref="V16:AC16">IFERROR(IF(_xlfn.XLOOKUP(B16,Input!J:J,Input!N:U)=0,"",
          _xlfn.XLOOKUP(B16,Input!J:J,Input!N:U)),"")</f>
        <v/>
      </c>
      <c r="W16" s="51" t="str">
        <v/>
      </c>
      <c r="X16" s="51" t="str">
        <v/>
      </c>
      <c r="Y16" s="51" t="str">
        <v/>
      </c>
      <c r="Z16" s="51" t="str">
        <v/>
      </c>
      <c r="AA16" s="51" t="str">
        <v/>
      </c>
      <c r="AB16" s="51" t="str">
        <v/>
      </c>
      <c r="AC16" s="51" t="str">
        <v/>
      </c>
      <c r="AD16" s="32" t="str">
        <f t="shared" si="0"/>
        <v/>
      </c>
      <c r="AE16" s="32" t="str">
        <f>_xlfn.XLOOKUP(B:B,Disk_Pivot!G:G,Disk_Pivot!I:I)</f>
        <v>Yes x2</v>
      </c>
      <c r="AF16" s="32" t="str">
        <f>_xlfn.XLOOKUP(B16,Disk_Pivot!G:G,Disk_Pivot!N:N)</f>
        <v>Pass, Fail</v>
      </c>
      <c r="AG16" s="32"/>
      <c r="AH16" s="32"/>
      <c r="AI16" s="32"/>
      <c r="AJ16" s="32"/>
      <c r="AK16" s="32"/>
      <c r="AL16" s="32"/>
    </row>
    <row r="17" spans="1:38">
      <c r="A17" s="32" t="str">
        <f>_xlfn.TEXTJOIN("",TRUE,_xlfn.XLOOKUP(B17,Input!J:J,Input!G:G,"",0,1),_xlfn.XLOOKUP(B17,Input!J:J,Input!H:H,"",0,1))</f>
        <v/>
      </c>
      <c r="B17" s="32"/>
      <c r="C17" s="51">
        <f>_xlfn.XLOOKUP(B17,Input!J:J,Input!F:F)</f>
        <v>0</v>
      </c>
      <c r="D17" s="32">
        <f>_xlfn.XLOOKUP(C17,Models!H:H,Models!G:G,C17)</f>
        <v>0</v>
      </c>
      <c r="E17" s="32">
        <f>_xlfn.XLOOKUP(B17,Input!J:J,Input!E:E)</f>
        <v>0</v>
      </c>
      <c r="F17" s="32">
        <f>IF(E17="LENOVO",_xlfn.XLOOKUP(B17,Input!J:J,Input!K:K),_xlfn.XLOOKUP(B17,Input!J:J,Input!L:L))</f>
        <v>0</v>
      </c>
      <c r="G17" s="32"/>
      <c r="H17" s="32"/>
      <c r="I17" s="32">
        <f>_xlfn.XLOOKUP(B17,CPU_Formula!A:A,CPU_Formula!I:I)</f>
        <v>0</v>
      </c>
      <c r="J17" s="51" t="e">
        <f>INDEX(Input!$D$2:$AC$500,
       MATCH(B17, Input!$J$2:$J$500, 0),
       MATCH("Total Memory", Input!$D$1:$AC$1, 0))</f>
        <v>#N/A</v>
      </c>
      <c r="K17" s="51" t="e">
        <f>INDEX(Input!$D$2:$AC$500,
       MATCH(B17, Input!$J$2:$J$500, 0),
       MATCH("Memory Type", Input!$D$1:$AC$1, 0))</f>
        <v>#N/A</v>
      </c>
      <c r="L17" s="51" t="str" cm="1">
        <f t="array" ref="L17">IFERROR(_xlfn.FILTERXML("&lt;t&gt;&lt;s&gt;" &amp; SUBSTITUTE(K17," / ","&lt;/s&gt;&lt;s&gt;") &amp; "&lt;/s&gt;&lt;/t&gt;","(//s[contains(.,'DDR')])[1]"),"")</f>
        <v/>
      </c>
      <c r="M17" s="32" t="e">
        <f t="shared" si="2"/>
        <v>#N/A</v>
      </c>
      <c r="N17" s="51" t="e">
        <f>INDEX(Input!$D$2:$AC$500,
       MATCH(B17, Input!$J$2:$J$500, 0),
       MATCH("Disk Interface Type", Input!$D$1:$AC$1, 0))</f>
        <v>#N/A</v>
      </c>
      <c r="O17" s="51" t="str" cm="1">
        <f t="array" ref="O17">IFERROR(_xlfn.TEXTJOIN(", ", TRUE, _xlfn._xlws.FILTER(
    INDEX(Input!$D$2:$AC$500,,MATCH("Disk Capacity",Input!$D$1:$AC$1,0)),
    Input!$J$2:$J$500=B17
)), "")</f>
        <v/>
      </c>
      <c r="P17" s="32" t="e">
        <f t="shared" si="1"/>
        <v>#N/A</v>
      </c>
      <c r="Q17" s="51" t="e">
        <f>_xlfn.LET(_xlpm.Result,INDEX(Input!$D$2:$AC$500,
       MATCH(B17, Input!$J$2:$J$500, 0),
       MATCH("Capacity", Input!$D$1:$AC$1, 0)),IF(_xlpm.Result="","",_xlpm.Result))</f>
        <v>#N/A</v>
      </c>
      <c r="R17" s="51" t="e" cm="1">
        <f t="array" ref="R17">_xlfn.TEXTSPLIT(Q17," / ", ,TRUE,0,)</f>
        <v>#N/A</v>
      </c>
      <c r="S17" s="51"/>
      <c r="T17" s="51" t="str" cm="1">
        <f t="array" ref="T17">IFERROR(_xlfn.IFS(
R17="","",
--R17&lt;55,"Battery Defect",
--R17&lt;=69,"Battery D",
--R17&lt;=80,"Battery C",
--R17&gt;80,""
),"")</f>
        <v/>
      </c>
      <c r="U17" s="51" t="str" cm="1">
        <f t="array" ref="U17">IFERROR(_xlfn.IFS(
S17="","",
--S17&lt;55,"Battery Defect",
--S17&lt;=69,"Battery D",
--S17&lt;=80,"Battery C",
--S17&gt;80,""
),"")</f>
        <v/>
      </c>
      <c r="V17" s="51" t="str" cm="1">
        <f t="array" ref="V17:AC17">IFERROR(IF(_xlfn.XLOOKUP(B17,Input!J:J,Input!N:U)=0,"",
          _xlfn.XLOOKUP(B17,Input!J:J,Input!N:U)),"")</f>
        <v/>
      </c>
      <c r="W17" s="51" t="str">
        <v/>
      </c>
      <c r="X17" s="51" t="str">
        <v/>
      </c>
      <c r="Y17" s="51" t="str">
        <v/>
      </c>
      <c r="Z17" s="51" t="str">
        <v/>
      </c>
      <c r="AA17" s="51" t="str">
        <v/>
      </c>
      <c r="AB17" s="51" t="str">
        <v/>
      </c>
      <c r="AC17" s="51" t="str">
        <v/>
      </c>
      <c r="AD17" s="32" t="str">
        <f t="shared" si="0"/>
        <v/>
      </c>
      <c r="AE17" s="32" t="str">
        <f>_xlfn.XLOOKUP(B:B,Disk_Pivot!G:G,Disk_Pivot!I:I)</f>
        <v>Yes x2</v>
      </c>
      <c r="AF17" s="32" t="str">
        <f>_xlfn.XLOOKUP(B17,Disk_Pivot!G:G,Disk_Pivot!N:N)</f>
        <v>Pass, Fail</v>
      </c>
      <c r="AG17" s="32"/>
      <c r="AH17" s="32"/>
      <c r="AI17" s="32"/>
      <c r="AJ17" s="32"/>
      <c r="AK17" s="32"/>
      <c r="AL17" s="32"/>
    </row>
    <row r="18" spans="1:38">
      <c r="A18" s="32" t="str">
        <f>_xlfn.TEXTJOIN("",TRUE,_xlfn.XLOOKUP(B18,Input!J:J,Input!G:G,"",0,1),_xlfn.XLOOKUP(B18,Input!J:J,Input!H:H,"",0,1))</f>
        <v/>
      </c>
      <c r="B18" s="32"/>
      <c r="C18" s="51">
        <f>_xlfn.XLOOKUP(B18,Input!J:J,Input!F:F)</f>
        <v>0</v>
      </c>
      <c r="D18" s="32">
        <f>_xlfn.XLOOKUP(C18,Models!H:H,Models!G:G,C18)</f>
        <v>0</v>
      </c>
      <c r="E18" s="32">
        <f>_xlfn.XLOOKUP(B18,Input!J:J,Input!E:E)</f>
        <v>0</v>
      </c>
      <c r="F18" s="32">
        <f>IF(E18="LENOVO",_xlfn.XLOOKUP(B18,Input!J:J,Input!K:K),_xlfn.XLOOKUP(B18,Input!J:J,Input!L:L))</f>
        <v>0</v>
      </c>
      <c r="G18" s="32"/>
      <c r="H18" s="32"/>
      <c r="I18" s="32">
        <f>_xlfn.XLOOKUP(B18,CPU_Formula!A:A,CPU_Formula!I:I)</f>
        <v>0</v>
      </c>
      <c r="J18" s="51" t="e">
        <f>INDEX(Input!$D$2:$AC$500,
       MATCH(B18, Input!$J$2:$J$500, 0),
       MATCH("Total Memory", Input!$D$1:$AC$1, 0))</f>
        <v>#N/A</v>
      </c>
      <c r="K18" s="51" t="e">
        <f>INDEX(Input!$D$2:$AC$500,
       MATCH(B18, Input!$J$2:$J$500, 0),
       MATCH("Memory Type", Input!$D$1:$AC$1, 0))</f>
        <v>#N/A</v>
      </c>
      <c r="L18" s="51" t="str" cm="1">
        <f t="array" ref="L18">IFERROR(_xlfn.FILTERXML("&lt;t&gt;&lt;s&gt;" &amp; SUBSTITUTE(K18," / ","&lt;/s&gt;&lt;s&gt;") &amp; "&lt;/s&gt;&lt;/t&gt;","(//s[contains(.,'DDR')])[1]"),"")</f>
        <v/>
      </c>
      <c r="M18" s="32" t="e">
        <f t="shared" si="2"/>
        <v>#N/A</v>
      </c>
      <c r="N18" s="51" t="e">
        <f>INDEX(Input!$D$2:$AC$500,
       MATCH(B18, Input!$J$2:$J$500, 0),
       MATCH("Disk Interface Type", Input!$D$1:$AC$1, 0))</f>
        <v>#N/A</v>
      </c>
      <c r="O18" s="51" t="str" cm="1">
        <f t="array" ref="O18">IFERROR(_xlfn.TEXTJOIN(", ", TRUE, _xlfn._xlws.FILTER(
    INDEX(Input!$D$2:$AC$500,,MATCH("Disk Capacity",Input!$D$1:$AC$1,0)),
    Input!$J$2:$J$500=B18
)), "")</f>
        <v/>
      </c>
      <c r="P18" s="32" t="e">
        <f t="shared" si="1"/>
        <v>#N/A</v>
      </c>
      <c r="Q18" s="51" t="e">
        <f>_xlfn.LET(_xlpm.Result,INDEX(Input!$D$2:$AC$500,
       MATCH(B18, Input!$J$2:$J$500, 0),
       MATCH("Capacity", Input!$D$1:$AC$1, 0)),IF(_xlpm.Result="","",_xlpm.Result))</f>
        <v>#N/A</v>
      </c>
      <c r="R18" s="51" t="e" cm="1">
        <f t="array" ref="R18">_xlfn.TEXTSPLIT(Q18," / ", ,TRUE,0,)</f>
        <v>#N/A</v>
      </c>
      <c r="S18" s="51"/>
      <c r="T18" s="51" t="str" cm="1">
        <f t="array" ref="T18">IFERROR(_xlfn.IFS(
R18="","",
--R18&lt;55,"Battery Defect",
--R18&lt;=69,"Battery D",
--R18&lt;=80,"Battery C",
--R18&gt;80,""
),"")</f>
        <v/>
      </c>
      <c r="U18" s="51" t="str" cm="1">
        <f t="array" ref="U18">IFERROR(_xlfn.IFS(
S18="","",
--S18&lt;55,"Battery Defect",
--S18&lt;=69,"Battery D",
--S18&lt;=80,"Battery C",
--S18&gt;80,""
),"")</f>
        <v/>
      </c>
      <c r="V18" s="51" t="str" cm="1">
        <f t="array" ref="V18:AC18">IFERROR(IF(_xlfn.XLOOKUP(B18,Input!J:J,Input!N:U)=0,"",
          _xlfn.XLOOKUP(B18,Input!J:J,Input!N:U)),"")</f>
        <v/>
      </c>
      <c r="W18" s="51" t="str">
        <v/>
      </c>
      <c r="X18" s="51" t="str">
        <v/>
      </c>
      <c r="Y18" s="51" t="str">
        <v/>
      </c>
      <c r="Z18" s="51" t="str">
        <v/>
      </c>
      <c r="AA18" s="51" t="str">
        <v/>
      </c>
      <c r="AB18" s="51" t="str">
        <v/>
      </c>
      <c r="AC18" s="51" t="str">
        <v/>
      </c>
      <c r="AD18" s="32" t="str">
        <f t="shared" si="0"/>
        <v/>
      </c>
      <c r="AE18" s="32" t="str">
        <f>_xlfn.XLOOKUP(B:B,Disk_Pivot!G:G,Disk_Pivot!I:I)</f>
        <v>Yes x2</v>
      </c>
      <c r="AF18" s="32" t="str">
        <f>_xlfn.XLOOKUP(B18,Disk_Pivot!G:G,Disk_Pivot!N:N)</f>
        <v>Pass, Fail</v>
      </c>
      <c r="AG18" s="32"/>
      <c r="AH18" s="32"/>
      <c r="AI18" s="32"/>
      <c r="AJ18" s="32"/>
      <c r="AK18" s="32"/>
      <c r="AL18" s="32"/>
    </row>
    <row r="19" spans="1:38">
      <c r="A19" s="32" t="str">
        <f>_xlfn.TEXTJOIN("",TRUE,_xlfn.XLOOKUP(B19,Input!J:J,Input!G:G,"",0,1),_xlfn.XLOOKUP(B19,Input!J:J,Input!H:H,"",0,1))</f>
        <v/>
      </c>
      <c r="B19" s="32"/>
      <c r="C19" s="51">
        <f>_xlfn.XLOOKUP(B19,Input!J:J,Input!F:F)</f>
        <v>0</v>
      </c>
      <c r="D19" s="32">
        <f>_xlfn.XLOOKUP(C19,Models!H:H,Models!G:G,C19)</f>
        <v>0</v>
      </c>
      <c r="E19" s="32">
        <f>_xlfn.XLOOKUP(B19,Input!J:J,Input!E:E)</f>
        <v>0</v>
      </c>
      <c r="F19" s="32">
        <f>IF(E19="LENOVO",_xlfn.XLOOKUP(B19,Input!J:J,Input!K:K),_xlfn.XLOOKUP(B19,Input!J:J,Input!L:L))</f>
        <v>0</v>
      </c>
      <c r="G19" s="32"/>
      <c r="H19" s="32"/>
      <c r="I19" s="32">
        <f>_xlfn.XLOOKUP(B19,CPU_Formula!A:A,CPU_Formula!I:I)</f>
        <v>0</v>
      </c>
      <c r="J19" s="51" t="e">
        <f>INDEX(Input!$D$2:$AC$500,
       MATCH(B19, Input!$J$2:$J$500, 0),
       MATCH("Total Memory", Input!$D$1:$AC$1, 0))</f>
        <v>#N/A</v>
      </c>
      <c r="K19" s="51" t="e">
        <f>INDEX(Input!$D$2:$AC$500,
       MATCH(B19, Input!$J$2:$J$500, 0),
       MATCH("Memory Type", Input!$D$1:$AC$1, 0))</f>
        <v>#N/A</v>
      </c>
      <c r="L19" s="51" t="str" cm="1">
        <f t="array" ref="L19">IFERROR(_xlfn.FILTERXML("&lt;t&gt;&lt;s&gt;" &amp; SUBSTITUTE(K19," / ","&lt;/s&gt;&lt;s&gt;") &amp; "&lt;/s&gt;&lt;/t&gt;","(//s[contains(.,'DDR')])[1]"),"")</f>
        <v/>
      </c>
      <c r="M19" s="32" t="e">
        <f t="shared" si="2"/>
        <v>#N/A</v>
      </c>
      <c r="N19" s="51" t="e">
        <f>INDEX(Input!$D$2:$AC$500,
       MATCH(B19, Input!$J$2:$J$500, 0),
       MATCH("Disk Interface Type", Input!$D$1:$AC$1, 0))</f>
        <v>#N/A</v>
      </c>
      <c r="O19" s="51" t="str" cm="1">
        <f t="array" ref="O19">IFERROR(_xlfn.TEXTJOIN(", ", TRUE, _xlfn._xlws.FILTER(
    INDEX(Input!$D$2:$AC$500,,MATCH("Disk Capacity",Input!$D$1:$AC$1,0)),
    Input!$J$2:$J$500=B19
)), "")</f>
        <v/>
      </c>
      <c r="P19" s="32" t="e">
        <f t="shared" si="1"/>
        <v>#N/A</v>
      </c>
      <c r="Q19" s="51" t="e">
        <f>_xlfn.LET(_xlpm.Result,INDEX(Input!$D$2:$AC$500,
       MATCH(B19, Input!$J$2:$J$500, 0),
       MATCH("Capacity", Input!$D$1:$AC$1, 0)),IF(_xlpm.Result="","",_xlpm.Result))</f>
        <v>#N/A</v>
      </c>
      <c r="R19" s="51" t="e" cm="1">
        <f t="array" ref="R19">_xlfn.TEXTSPLIT(Q19," / ", ,TRUE,0,)</f>
        <v>#N/A</v>
      </c>
      <c r="S19" s="51"/>
      <c r="T19" s="51" t="str" cm="1">
        <f t="array" ref="T19">IFERROR(_xlfn.IFS(
R19="","",
--R19&lt;55,"Battery Defect",
--R19&lt;=69,"Battery D",
--R19&lt;=80,"Battery C",
--R19&gt;80,""
),"")</f>
        <v/>
      </c>
      <c r="U19" s="51" t="str" cm="1">
        <f t="array" ref="U19">IFERROR(_xlfn.IFS(
S19="","",
--S19&lt;55,"Battery Defect",
--S19&lt;=69,"Battery D",
--S19&lt;=80,"Battery C",
--S19&gt;80,""
),"")</f>
        <v/>
      </c>
      <c r="V19" s="51" t="str" cm="1">
        <f t="array" ref="V19:AC19">IFERROR(IF(_xlfn.XLOOKUP(B19,Input!J:J,Input!N:U)=0,"",
          _xlfn.XLOOKUP(B19,Input!J:J,Input!N:U)),"")</f>
        <v/>
      </c>
      <c r="W19" s="51" t="str">
        <v/>
      </c>
      <c r="X19" s="51" t="str">
        <v/>
      </c>
      <c r="Y19" s="51" t="str">
        <v/>
      </c>
      <c r="Z19" s="51" t="str">
        <v/>
      </c>
      <c r="AA19" s="51" t="str">
        <v/>
      </c>
      <c r="AB19" s="51" t="str">
        <v/>
      </c>
      <c r="AC19" s="51" t="str">
        <v/>
      </c>
      <c r="AD19" s="32" t="str">
        <f t="shared" si="0"/>
        <v/>
      </c>
      <c r="AE19" s="32" t="str">
        <f>_xlfn.XLOOKUP(B:B,Disk_Pivot!G:G,Disk_Pivot!I:I)</f>
        <v>Yes x2</v>
      </c>
      <c r="AF19" s="32" t="str">
        <f>_xlfn.XLOOKUP(B19,Disk_Pivot!G:G,Disk_Pivot!N:N)</f>
        <v>Pass, Fail</v>
      </c>
      <c r="AG19" s="32"/>
      <c r="AH19" s="32"/>
      <c r="AI19" s="32"/>
      <c r="AJ19" s="32"/>
      <c r="AK19" s="32"/>
      <c r="AL19" s="32"/>
    </row>
    <row r="20" spans="1:38">
      <c r="A20" s="32" t="str">
        <f>_xlfn.TEXTJOIN("",TRUE,_xlfn.XLOOKUP(B20,Input!J:J,Input!G:G,"",0,1),_xlfn.XLOOKUP(B20,Input!J:J,Input!H:H,"",0,1))</f>
        <v/>
      </c>
      <c r="B20" s="32"/>
      <c r="C20" s="51">
        <f>_xlfn.XLOOKUP(B20,Input!J:J,Input!F:F)</f>
        <v>0</v>
      </c>
      <c r="D20" s="32">
        <f>_xlfn.XLOOKUP(C20,Models!H:H,Models!G:G,C20)</f>
        <v>0</v>
      </c>
      <c r="E20" s="32">
        <f>_xlfn.XLOOKUP(B20,Input!J:J,Input!E:E)</f>
        <v>0</v>
      </c>
      <c r="F20" s="32">
        <f>IF(E20="LENOVO",_xlfn.XLOOKUP(B20,Input!J:J,Input!K:K),_xlfn.XLOOKUP(B20,Input!J:J,Input!L:L))</f>
        <v>0</v>
      </c>
      <c r="G20" s="32"/>
      <c r="H20" s="32"/>
      <c r="I20" s="32">
        <f>_xlfn.XLOOKUP(B20,CPU_Formula!A:A,CPU_Formula!I:I)</f>
        <v>0</v>
      </c>
      <c r="J20" s="51" t="e">
        <f>INDEX(Input!$D$2:$AC$500,
       MATCH(B20, Input!$J$2:$J$500, 0),
       MATCH("Total Memory", Input!$D$1:$AC$1, 0))</f>
        <v>#N/A</v>
      </c>
      <c r="K20" s="51" t="e">
        <f>INDEX(Input!$D$2:$AC$500,
       MATCH(B20, Input!$J$2:$J$500, 0),
       MATCH("Memory Type", Input!$D$1:$AC$1, 0))</f>
        <v>#N/A</v>
      </c>
      <c r="L20" s="51" t="str" cm="1">
        <f t="array" ref="L20">IFERROR(_xlfn.FILTERXML("&lt;t&gt;&lt;s&gt;" &amp; SUBSTITUTE(K20," / ","&lt;/s&gt;&lt;s&gt;") &amp; "&lt;/s&gt;&lt;/t&gt;","(//s[contains(.,'DDR')])[1]"),"")</f>
        <v/>
      </c>
      <c r="M20" s="32" t="e">
        <f t="shared" si="2"/>
        <v>#N/A</v>
      </c>
      <c r="N20" s="51" t="e">
        <f>INDEX(Input!$D$2:$AC$500,
       MATCH(B20, Input!$J$2:$J$500, 0),
       MATCH("Disk Interface Type", Input!$D$1:$AC$1, 0))</f>
        <v>#N/A</v>
      </c>
      <c r="O20" s="51" t="str" cm="1">
        <f t="array" ref="O20">IFERROR(_xlfn.TEXTJOIN(", ", TRUE, _xlfn._xlws.FILTER(
    INDEX(Input!$D$2:$AC$500,,MATCH("Disk Capacity",Input!$D$1:$AC$1,0)),
    Input!$J$2:$J$500=B20
)), "")</f>
        <v/>
      </c>
      <c r="P20" s="32" t="e">
        <f t="shared" si="1"/>
        <v>#N/A</v>
      </c>
      <c r="Q20" s="51" t="e">
        <f>_xlfn.LET(_xlpm.Result,INDEX(Input!$D$2:$AC$500,
       MATCH(B20, Input!$J$2:$J$500, 0),
       MATCH("Capacity", Input!$D$1:$AC$1, 0)),IF(_xlpm.Result="","",_xlpm.Result))</f>
        <v>#N/A</v>
      </c>
      <c r="R20" s="51" t="e" cm="1">
        <f t="array" ref="R20">_xlfn.TEXTSPLIT(Q20," / ", ,TRUE,0,)</f>
        <v>#N/A</v>
      </c>
      <c r="S20" s="51"/>
      <c r="T20" s="51" t="str" cm="1">
        <f t="array" ref="T20">IFERROR(_xlfn.IFS(
R20="","",
--R20&lt;55,"Battery Defect",
--R20&lt;=69,"Battery D",
--R20&lt;=80,"Battery C",
--R20&gt;80,""
),"")</f>
        <v/>
      </c>
      <c r="U20" s="51" t="str" cm="1">
        <f t="array" ref="U20">IFERROR(_xlfn.IFS(
S20="","",
--S20&lt;55,"Battery Defect",
--S20&lt;=69,"Battery D",
--S20&lt;=80,"Battery C",
--S20&gt;80,""
),"")</f>
        <v/>
      </c>
      <c r="V20" s="51" t="str" cm="1">
        <f t="array" ref="V20:AC20">IFERROR(IF(_xlfn.XLOOKUP(B20,Input!J:J,Input!N:U)=0,"",
          _xlfn.XLOOKUP(B20,Input!J:J,Input!N:U)),"")</f>
        <v/>
      </c>
      <c r="W20" s="51" t="str">
        <v/>
      </c>
      <c r="X20" s="51" t="str">
        <v/>
      </c>
      <c r="Y20" s="51" t="str">
        <v/>
      </c>
      <c r="Z20" s="51" t="str">
        <v/>
      </c>
      <c r="AA20" s="51" t="str">
        <v/>
      </c>
      <c r="AB20" s="51" t="str">
        <v/>
      </c>
      <c r="AC20" s="51" t="str">
        <v/>
      </c>
      <c r="AD20" s="32" t="str">
        <f t="shared" si="0"/>
        <v/>
      </c>
      <c r="AE20" s="32" t="str">
        <f>_xlfn.XLOOKUP(B:B,Disk_Pivot!G:G,Disk_Pivot!I:I)</f>
        <v>Yes x2</v>
      </c>
      <c r="AF20" s="32" t="str">
        <f>_xlfn.XLOOKUP(B20,Disk_Pivot!G:G,Disk_Pivot!N:N)</f>
        <v>Pass, Fail</v>
      </c>
      <c r="AG20" s="32"/>
      <c r="AH20" s="32"/>
      <c r="AI20" s="32"/>
      <c r="AJ20" s="32"/>
      <c r="AK20" s="32"/>
      <c r="AL20" s="32"/>
    </row>
    <row r="21" spans="1:38">
      <c r="A21" s="32" t="str">
        <f>_xlfn.TEXTJOIN("",TRUE,_xlfn.XLOOKUP(B21,Input!J:J,Input!G:G,"",0,1),_xlfn.XLOOKUP(B21,Input!J:J,Input!H:H,"",0,1))</f>
        <v/>
      </c>
      <c r="B21" s="32"/>
      <c r="C21" s="51">
        <f>_xlfn.XLOOKUP(B21,Input!J:J,Input!F:F)</f>
        <v>0</v>
      </c>
      <c r="D21" s="32">
        <f>_xlfn.XLOOKUP(C21,Models!H:H,Models!G:G,C21)</f>
        <v>0</v>
      </c>
      <c r="E21" s="32">
        <f>_xlfn.XLOOKUP(B21,Input!J:J,Input!E:E)</f>
        <v>0</v>
      </c>
      <c r="F21" s="32">
        <f>IF(E21="LENOVO",_xlfn.XLOOKUP(B21,Input!J:J,Input!K:K),_xlfn.XLOOKUP(B21,Input!J:J,Input!L:L))</f>
        <v>0</v>
      </c>
      <c r="G21" s="32"/>
      <c r="H21" s="32"/>
      <c r="I21" s="32">
        <f>_xlfn.XLOOKUP(B21,CPU_Formula!A:A,CPU_Formula!I:I)</f>
        <v>0</v>
      </c>
      <c r="J21" s="51" t="e">
        <f>INDEX(Input!$D$2:$AC$500,
       MATCH(B21, Input!$J$2:$J$500, 0),
       MATCH("Total Memory", Input!$D$1:$AC$1, 0))</f>
        <v>#N/A</v>
      </c>
      <c r="K21" s="51" t="e">
        <f>INDEX(Input!$D$2:$AC$500,
       MATCH(B21, Input!$J$2:$J$500, 0),
       MATCH("Memory Type", Input!$D$1:$AC$1, 0))</f>
        <v>#N/A</v>
      </c>
      <c r="L21" s="51" t="str" cm="1">
        <f t="array" ref="L21">IFERROR(_xlfn.FILTERXML("&lt;t&gt;&lt;s&gt;" &amp; SUBSTITUTE(K21," / ","&lt;/s&gt;&lt;s&gt;") &amp; "&lt;/s&gt;&lt;/t&gt;","(//s[contains(.,'DDR')])[1]"),"")</f>
        <v/>
      </c>
      <c r="M21" s="32" t="e">
        <f t="shared" si="2"/>
        <v>#N/A</v>
      </c>
      <c r="N21" s="51" t="e">
        <f>INDEX(Input!$D$2:$AC$500,
       MATCH(B21, Input!$J$2:$J$500, 0),
       MATCH("Disk Interface Type", Input!$D$1:$AC$1, 0))</f>
        <v>#N/A</v>
      </c>
      <c r="O21" s="51" t="str" cm="1">
        <f t="array" ref="O21">IFERROR(_xlfn.TEXTJOIN(", ", TRUE, _xlfn._xlws.FILTER(
    INDEX(Input!$D$2:$AC$500,,MATCH("Disk Capacity",Input!$D$1:$AC$1,0)),
    Input!$J$2:$J$500=B21
)), "")</f>
        <v/>
      </c>
      <c r="P21" s="32" t="e">
        <f t="shared" si="1"/>
        <v>#N/A</v>
      </c>
      <c r="Q21" s="51" t="e">
        <f>_xlfn.LET(_xlpm.Result,INDEX(Input!$D$2:$AC$500,
       MATCH(B21, Input!$J$2:$J$500, 0),
       MATCH("Capacity", Input!$D$1:$AC$1, 0)),IF(_xlpm.Result="","",_xlpm.Result))</f>
        <v>#N/A</v>
      </c>
      <c r="R21" s="51" t="e" cm="1">
        <f t="array" ref="R21">_xlfn.TEXTSPLIT(Q21," / ", ,TRUE,0,)</f>
        <v>#N/A</v>
      </c>
      <c r="S21" s="51"/>
      <c r="T21" s="51" t="str" cm="1">
        <f t="array" ref="T21">IFERROR(_xlfn.IFS(
R21="","",
--R21&lt;55,"Battery Defect",
--R21&lt;=69,"Battery D",
--R21&lt;=80,"Battery C",
--R21&gt;80,""
),"")</f>
        <v/>
      </c>
      <c r="U21" s="51" t="str" cm="1">
        <f t="array" ref="U21">IFERROR(_xlfn.IFS(
S21="","",
--S21&lt;55,"Battery Defect",
--S21&lt;=69,"Battery D",
--S21&lt;=80,"Battery C",
--S21&gt;80,""
),"")</f>
        <v/>
      </c>
      <c r="V21" s="51" t="str" cm="1">
        <f t="array" ref="V21:AC21">IFERROR(IF(_xlfn.XLOOKUP(B21,Input!J:J,Input!N:U)=0,"",
          _xlfn.XLOOKUP(B21,Input!J:J,Input!N:U)),"")</f>
        <v/>
      </c>
      <c r="W21" s="51" t="str">
        <v/>
      </c>
      <c r="X21" s="51" t="str">
        <v/>
      </c>
      <c r="Y21" s="51" t="str">
        <v/>
      </c>
      <c r="Z21" s="51" t="str">
        <v/>
      </c>
      <c r="AA21" s="51" t="str">
        <v/>
      </c>
      <c r="AB21" s="51" t="str">
        <v/>
      </c>
      <c r="AC21" s="51" t="str">
        <v/>
      </c>
      <c r="AD21" s="32" t="str">
        <f t="shared" si="0"/>
        <v/>
      </c>
      <c r="AE21" s="32" t="str">
        <f>_xlfn.XLOOKUP(B:B,Disk_Pivot!G:G,Disk_Pivot!I:I)</f>
        <v>Yes x2</v>
      </c>
      <c r="AF21" s="32" t="str">
        <f>_xlfn.XLOOKUP(B21,Disk_Pivot!G:G,Disk_Pivot!N:N)</f>
        <v>Pass, Fail</v>
      </c>
      <c r="AG21" s="32"/>
      <c r="AH21" s="32"/>
      <c r="AI21" s="32"/>
      <c r="AJ21" s="32"/>
      <c r="AK21" s="32"/>
      <c r="AL21" s="32"/>
    </row>
    <row r="22" spans="1:38">
      <c r="A22" s="32" t="str">
        <f>_xlfn.TEXTJOIN("",TRUE,_xlfn.XLOOKUP(B22,Input!J:J,Input!G:G,"",0,1),_xlfn.XLOOKUP(B22,Input!J:J,Input!H:H,"",0,1))</f>
        <v/>
      </c>
      <c r="B22" s="32"/>
      <c r="C22" s="51">
        <f>_xlfn.XLOOKUP(B22,Input!J:J,Input!F:F)</f>
        <v>0</v>
      </c>
      <c r="D22" s="32">
        <f>_xlfn.XLOOKUP(C22,Models!H:H,Models!G:G,C22)</f>
        <v>0</v>
      </c>
      <c r="E22" s="32">
        <f>_xlfn.XLOOKUP(B22,Input!J:J,Input!E:E)</f>
        <v>0</v>
      </c>
      <c r="F22" s="32">
        <f>IF(E22="LENOVO",_xlfn.XLOOKUP(B22,Input!J:J,Input!K:K),_xlfn.XLOOKUP(B22,Input!J:J,Input!L:L))</f>
        <v>0</v>
      </c>
      <c r="G22" s="32"/>
      <c r="H22" s="32"/>
      <c r="I22" s="32">
        <f>_xlfn.XLOOKUP(B22,CPU_Formula!A:A,CPU_Formula!I:I)</f>
        <v>0</v>
      </c>
      <c r="J22" s="51" t="e">
        <f>INDEX(Input!$D$2:$AC$500,
       MATCH(B22, Input!$J$2:$J$500, 0),
       MATCH("Total Memory", Input!$D$1:$AC$1, 0))</f>
        <v>#N/A</v>
      </c>
      <c r="K22" s="51" t="e">
        <f>INDEX(Input!$D$2:$AC$500,
       MATCH(B22, Input!$J$2:$J$500, 0),
       MATCH("Memory Type", Input!$D$1:$AC$1, 0))</f>
        <v>#N/A</v>
      </c>
      <c r="L22" s="51" t="str" cm="1">
        <f t="array" ref="L22">IFERROR(_xlfn.FILTERXML("&lt;t&gt;&lt;s&gt;" &amp; SUBSTITUTE(K22," / ","&lt;/s&gt;&lt;s&gt;") &amp; "&lt;/s&gt;&lt;/t&gt;","(//s[contains(.,'DDR')])[1]"),"")</f>
        <v/>
      </c>
      <c r="M22" s="32" t="e">
        <f t="shared" si="2"/>
        <v>#N/A</v>
      </c>
      <c r="N22" s="51" t="e">
        <f>INDEX(Input!$D$2:$AC$500,
       MATCH(B22, Input!$J$2:$J$500, 0),
       MATCH("Disk Interface Type", Input!$D$1:$AC$1, 0))</f>
        <v>#N/A</v>
      </c>
      <c r="O22" s="51" t="str" cm="1">
        <f t="array" ref="O22">IFERROR(_xlfn.TEXTJOIN(", ", TRUE, _xlfn._xlws.FILTER(
    INDEX(Input!$D$2:$AC$500,,MATCH("Disk Capacity",Input!$D$1:$AC$1,0)),
    Input!$J$2:$J$500=B22
)), "")</f>
        <v/>
      </c>
      <c r="P22" s="32" t="e">
        <f t="shared" si="1"/>
        <v>#N/A</v>
      </c>
      <c r="Q22" s="51" t="e">
        <f>_xlfn.LET(_xlpm.Result,INDEX(Input!$D$2:$AC$500,
       MATCH(B22, Input!$J$2:$J$500, 0),
       MATCH("Capacity", Input!$D$1:$AC$1, 0)),IF(_xlpm.Result="","",_xlpm.Result))</f>
        <v>#N/A</v>
      </c>
      <c r="R22" s="51" t="e" cm="1">
        <f t="array" ref="R22">_xlfn.TEXTSPLIT(Q22," / ", ,TRUE,0,)</f>
        <v>#N/A</v>
      </c>
      <c r="S22" s="51"/>
      <c r="T22" s="51" t="str" cm="1">
        <f t="array" ref="T22">IFERROR(_xlfn.IFS(
R22="","",
--R22&lt;55,"Battery Defect",
--R22&lt;=69,"Battery D",
--R22&lt;=80,"Battery C",
--R22&gt;80,""
),"")</f>
        <v/>
      </c>
      <c r="U22" s="51" t="str" cm="1">
        <f t="array" ref="U22">IFERROR(_xlfn.IFS(
S22="","",
--S22&lt;55,"Battery Defect",
--S22&lt;=69,"Battery D",
--S22&lt;=80,"Battery C",
--S22&gt;80,""
),"")</f>
        <v/>
      </c>
      <c r="V22" s="51" t="str" cm="1">
        <f t="array" ref="V22:AC22">IFERROR(IF(_xlfn.XLOOKUP(B22,Input!J:J,Input!N:U)=0,"",
          _xlfn.XLOOKUP(B22,Input!J:J,Input!N:U)),"")</f>
        <v/>
      </c>
      <c r="W22" s="51" t="str">
        <v/>
      </c>
      <c r="X22" s="51" t="str">
        <v/>
      </c>
      <c r="Y22" s="51" t="str">
        <v/>
      </c>
      <c r="Z22" s="51" t="str">
        <v/>
      </c>
      <c r="AA22" s="51" t="str">
        <v/>
      </c>
      <c r="AB22" s="51" t="str">
        <v/>
      </c>
      <c r="AC22" s="51" t="str">
        <v/>
      </c>
      <c r="AD22" s="32" t="str">
        <f t="shared" si="0"/>
        <v/>
      </c>
      <c r="AE22" s="32" t="str">
        <f>_xlfn.XLOOKUP(B:B,Disk_Pivot!G:G,Disk_Pivot!I:I)</f>
        <v>Yes x2</v>
      </c>
      <c r="AF22" s="32" t="str">
        <f>_xlfn.XLOOKUP(B22,Disk_Pivot!G:G,Disk_Pivot!N:N)</f>
        <v>Pass, Fail</v>
      </c>
      <c r="AG22" s="32"/>
      <c r="AH22" s="32"/>
      <c r="AI22" s="32"/>
      <c r="AJ22" s="32"/>
      <c r="AK22" s="32"/>
      <c r="AL22" s="32"/>
    </row>
    <row r="23" spans="1:38">
      <c r="A23" s="32" t="str">
        <f>_xlfn.TEXTJOIN("",TRUE,_xlfn.XLOOKUP(B23,Input!J:J,Input!G:G,"",0,1),_xlfn.XLOOKUP(B23,Input!J:J,Input!H:H,"",0,1))</f>
        <v/>
      </c>
      <c r="B23" s="32"/>
      <c r="C23" s="51">
        <f>_xlfn.XLOOKUP(B23,Input!J:J,Input!F:F)</f>
        <v>0</v>
      </c>
      <c r="D23" s="32">
        <f>_xlfn.XLOOKUP(C23,Models!H:H,Models!G:G,C23)</f>
        <v>0</v>
      </c>
      <c r="E23" s="32">
        <f>_xlfn.XLOOKUP(B23,Input!J:J,Input!E:E)</f>
        <v>0</v>
      </c>
      <c r="F23" s="32">
        <f>IF(E23="LENOVO",_xlfn.XLOOKUP(B23,Input!J:J,Input!K:K),_xlfn.XLOOKUP(B23,Input!J:J,Input!L:L))</f>
        <v>0</v>
      </c>
      <c r="G23" s="32"/>
      <c r="H23" s="32"/>
      <c r="I23" s="32">
        <f>_xlfn.XLOOKUP(B23,CPU_Formula!A:A,CPU_Formula!I:I)</f>
        <v>0</v>
      </c>
      <c r="J23" s="51" t="e">
        <f>INDEX(Input!$D$2:$AC$500,
       MATCH(B23, Input!$J$2:$J$500, 0),
       MATCH("Total Memory", Input!$D$1:$AC$1, 0))</f>
        <v>#N/A</v>
      </c>
      <c r="K23" s="51" t="e">
        <f>INDEX(Input!$D$2:$AC$500,
       MATCH(B23, Input!$J$2:$J$500, 0),
       MATCH("Memory Type", Input!$D$1:$AC$1, 0))</f>
        <v>#N/A</v>
      </c>
      <c r="L23" s="51" t="str" cm="1">
        <f t="array" ref="L23">IFERROR(_xlfn.FILTERXML("&lt;t&gt;&lt;s&gt;" &amp; SUBSTITUTE(K23," / ","&lt;/s&gt;&lt;s&gt;") &amp; "&lt;/s&gt;&lt;/t&gt;","(//s[contains(.,'DDR')])[1]"),"")</f>
        <v/>
      </c>
      <c r="M23" s="32" t="e">
        <f t="shared" si="2"/>
        <v>#N/A</v>
      </c>
      <c r="N23" s="51" t="e">
        <f>INDEX(Input!$D$2:$AC$500,
       MATCH(B23, Input!$J$2:$J$500, 0),
       MATCH("Disk Interface Type", Input!$D$1:$AC$1, 0))</f>
        <v>#N/A</v>
      </c>
      <c r="O23" s="51" t="str" cm="1">
        <f t="array" ref="O23">IFERROR(_xlfn.TEXTJOIN(", ", TRUE, _xlfn._xlws.FILTER(
    INDEX(Input!$D$2:$AC$500,,MATCH("Disk Capacity",Input!$D$1:$AC$1,0)),
    Input!$J$2:$J$500=B23
)), "")</f>
        <v/>
      </c>
      <c r="P23" s="32" t="e">
        <f t="shared" si="1"/>
        <v>#N/A</v>
      </c>
      <c r="Q23" s="51" t="e">
        <f>_xlfn.LET(_xlpm.Result,INDEX(Input!$D$2:$AC$500,
       MATCH(B23, Input!$J$2:$J$500, 0),
       MATCH("Capacity", Input!$D$1:$AC$1, 0)),IF(_xlpm.Result="","",_xlpm.Result))</f>
        <v>#N/A</v>
      </c>
      <c r="R23" s="51" t="e" cm="1">
        <f t="array" ref="R23">_xlfn.TEXTSPLIT(Q23," / ", ,TRUE,0,)</f>
        <v>#N/A</v>
      </c>
      <c r="S23" s="51"/>
      <c r="T23" s="51" t="str" cm="1">
        <f t="array" ref="T23">IFERROR(_xlfn.IFS(
R23="","",
--R23&lt;55,"Battery Defect",
--R23&lt;=69,"Battery D",
--R23&lt;=80,"Battery C",
--R23&gt;80,""
),"")</f>
        <v/>
      </c>
      <c r="U23" s="51" t="str" cm="1">
        <f t="array" ref="U23">IFERROR(_xlfn.IFS(
S23="","",
--S23&lt;55,"Battery Defect",
--S23&lt;=69,"Battery D",
--S23&lt;=80,"Battery C",
--S23&gt;80,""
),"")</f>
        <v/>
      </c>
      <c r="V23" s="51" t="str" cm="1">
        <f t="array" ref="V23:AC23">IFERROR(IF(_xlfn.XLOOKUP(B23,Input!J:J,Input!N:U)=0,"",
          _xlfn.XLOOKUP(B23,Input!J:J,Input!N:U)),"")</f>
        <v/>
      </c>
      <c r="W23" s="51" t="str">
        <v/>
      </c>
      <c r="X23" s="51" t="str">
        <v/>
      </c>
      <c r="Y23" s="51" t="str">
        <v/>
      </c>
      <c r="Z23" s="51" t="str">
        <v/>
      </c>
      <c r="AA23" s="51" t="str">
        <v/>
      </c>
      <c r="AB23" s="51" t="str">
        <v/>
      </c>
      <c r="AC23" s="51" t="str">
        <v/>
      </c>
      <c r="AD23" s="32" t="str">
        <f t="shared" si="0"/>
        <v/>
      </c>
      <c r="AE23" s="32" t="str">
        <f>_xlfn.XLOOKUP(B:B,Disk_Pivot!G:G,Disk_Pivot!I:I)</f>
        <v>Yes x2</v>
      </c>
      <c r="AF23" s="32" t="str">
        <f>_xlfn.XLOOKUP(B23,Disk_Pivot!G:G,Disk_Pivot!N:N)</f>
        <v>Pass, Fail</v>
      </c>
      <c r="AG23" s="32"/>
      <c r="AH23" s="32"/>
      <c r="AI23" s="32"/>
      <c r="AJ23" s="32"/>
      <c r="AK23" s="32"/>
      <c r="AL23" s="32"/>
    </row>
    <row r="24" spans="1:38">
      <c r="A24" s="32" t="str">
        <f>_xlfn.TEXTJOIN("",TRUE,_xlfn.XLOOKUP(B24,Input!J:J,Input!G:G,"",0,1),_xlfn.XLOOKUP(B24,Input!J:J,Input!H:H,"",0,1))</f>
        <v/>
      </c>
      <c r="B24" s="32"/>
      <c r="C24" s="51">
        <f>_xlfn.XLOOKUP(B24,Input!J:J,Input!F:F)</f>
        <v>0</v>
      </c>
      <c r="D24" s="32">
        <f>_xlfn.XLOOKUP(C24,Models!H:H,Models!G:G,C24)</f>
        <v>0</v>
      </c>
      <c r="E24" s="32">
        <f>_xlfn.XLOOKUP(B24,Input!J:J,Input!E:E)</f>
        <v>0</v>
      </c>
      <c r="F24" s="32">
        <f>IF(E24="LENOVO",_xlfn.XLOOKUP(B24,Input!J:J,Input!K:K),_xlfn.XLOOKUP(B24,Input!J:J,Input!L:L))</f>
        <v>0</v>
      </c>
      <c r="G24" s="32"/>
      <c r="H24" s="32"/>
      <c r="I24" s="32">
        <f>_xlfn.XLOOKUP(B24,CPU_Formula!A:A,CPU_Formula!I:I)</f>
        <v>0</v>
      </c>
      <c r="J24" s="51" t="e">
        <f>INDEX(Input!$D$2:$AC$500,
       MATCH(B24, Input!$J$2:$J$500, 0),
       MATCH("Total Memory", Input!$D$1:$AC$1, 0))</f>
        <v>#N/A</v>
      </c>
      <c r="K24" s="51" t="e">
        <f>INDEX(Input!$D$2:$AC$500,
       MATCH(B24, Input!$J$2:$J$500, 0),
       MATCH("Memory Type", Input!$D$1:$AC$1, 0))</f>
        <v>#N/A</v>
      </c>
      <c r="L24" s="51" t="str" cm="1">
        <f t="array" ref="L24">IFERROR(_xlfn.FILTERXML("&lt;t&gt;&lt;s&gt;" &amp; SUBSTITUTE(K24," / ","&lt;/s&gt;&lt;s&gt;") &amp; "&lt;/s&gt;&lt;/t&gt;","(//s[contains(.,'DDR')])[1]"),"")</f>
        <v/>
      </c>
      <c r="M24" s="32" t="e">
        <f t="shared" si="2"/>
        <v>#N/A</v>
      </c>
      <c r="N24" s="51" t="e">
        <f>INDEX(Input!$D$2:$AC$500,
       MATCH(B24, Input!$J$2:$J$500, 0),
       MATCH("Disk Interface Type", Input!$D$1:$AC$1, 0))</f>
        <v>#N/A</v>
      </c>
      <c r="O24" s="51" t="str" cm="1">
        <f t="array" ref="O24">IFERROR(_xlfn.TEXTJOIN(", ", TRUE, _xlfn._xlws.FILTER(
    INDEX(Input!$D$2:$AC$500,,MATCH("Disk Capacity",Input!$D$1:$AC$1,0)),
    Input!$J$2:$J$500=B24
)), "")</f>
        <v/>
      </c>
      <c r="P24" s="32" t="e">
        <f t="shared" si="1"/>
        <v>#N/A</v>
      </c>
      <c r="Q24" s="51" t="e">
        <f>_xlfn.LET(_xlpm.Result,INDEX(Input!$D$2:$AC$500,
       MATCH(B24, Input!$J$2:$J$500, 0),
       MATCH("Capacity", Input!$D$1:$AC$1, 0)),IF(_xlpm.Result="","",_xlpm.Result))</f>
        <v>#N/A</v>
      </c>
      <c r="R24" s="51" t="e" cm="1">
        <f t="array" ref="R24">_xlfn.TEXTSPLIT(Q24," / ", ,TRUE,0,)</f>
        <v>#N/A</v>
      </c>
      <c r="S24" s="51"/>
      <c r="T24" s="51" t="str" cm="1">
        <f t="array" ref="T24">IFERROR(_xlfn.IFS(
R24="","",
--R24&lt;55,"Battery Defect",
--R24&lt;=69,"Battery D",
--R24&lt;=80,"Battery C",
--R24&gt;80,""
),"")</f>
        <v/>
      </c>
      <c r="U24" s="51" t="str" cm="1">
        <f t="array" ref="U24">IFERROR(_xlfn.IFS(
S24="","",
--S24&lt;55,"Battery Defect",
--S24&lt;=69,"Battery D",
--S24&lt;=80,"Battery C",
--S24&gt;80,""
),"")</f>
        <v/>
      </c>
      <c r="V24" s="51" t="str" cm="1">
        <f t="array" ref="V24:AC24">IFERROR(IF(_xlfn.XLOOKUP(B24,Input!J:J,Input!N:U)=0,"",
          _xlfn.XLOOKUP(B24,Input!J:J,Input!N:U)),"")</f>
        <v/>
      </c>
      <c r="W24" s="51" t="str">
        <v/>
      </c>
      <c r="X24" s="51" t="str">
        <v/>
      </c>
      <c r="Y24" s="51" t="str">
        <v/>
      </c>
      <c r="Z24" s="51" t="str">
        <v/>
      </c>
      <c r="AA24" s="51" t="str">
        <v/>
      </c>
      <c r="AB24" s="51" t="str">
        <v/>
      </c>
      <c r="AC24" s="51" t="str">
        <v/>
      </c>
      <c r="AD24" s="32" t="str">
        <f t="shared" si="0"/>
        <v/>
      </c>
      <c r="AE24" s="32" t="str">
        <f>_xlfn.XLOOKUP(B:B,Disk_Pivot!G:G,Disk_Pivot!I:I)</f>
        <v>Yes x2</v>
      </c>
      <c r="AF24" s="32" t="str">
        <f>_xlfn.XLOOKUP(B24,Disk_Pivot!G:G,Disk_Pivot!N:N)</f>
        <v>Pass, Fail</v>
      </c>
      <c r="AG24" s="32"/>
      <c r="AH24" s="32"/>
      <c r="AI24" s="32"/>
      <c r="AJ24" s="32"/>
      <c r="AK24" s="32"/>
      <c r="AL24" s="32"/>
    </row>
    <row r="25" spans="1:38">
      <c r="A25" s="32" t="str">
        <f>_xlfn.TEXTJOIN("",TRUE,_xlfn.XLOOKUP(B25,Input!J:J,Input!G:G,"",0,1),_xlfn.XLOOKUP(B25,Input!J:J,Input!H:H,"",0,1))</f>
        <v/>
      </c>
      <c r="B25" s="32"/>
      <c r="C25" s="51">
        <f>_xlfn.XLOOKUP(B25,Input!J:J,Input!F:F)</f>
        <v>0</v>
      </c>
      <c r="D25" s="32">
        <f>_xlfn.XLOOKUP(C25,Models!H:H,Models!G:G,C25)</f>
        <v>0</v>
      </c>
      <c r="E25" s="32">
        <f>_xlfn.XLOOKUP(B25,Input!J:J,Input!E:E)</f>
        <v>0</v>
      </c>
      <c r="F25" s="32">
        <f>IF(E25="LENOVO",_xlfn.XLOOKUP(B25,Input!J:J,Input!K:K),_xlfn.XLOOKUP(B25,Input!J:J,Input!L:L))</f>
        <v>0</v>
      </c>
      <c r="G25" s="32"/>
      <c r="H25" s="32"/>
      <c r="I25" s="32">
        <f>_xlfn.XLOOKUP(B25,CPU_Formula!A:A,CPU_Formula!I:I)</f>
        <v>0</v>
      </c>
      <c r="J25" s="51" t="e">
        <f>INDEX(Input!$D$2:$AC$500,
       MATCH(B25, Input!$J$2:$J$500, 0),
       MATCH("Total Memory", Input!$D$1:$AC$1, 0))</f>
        <v>#N/A</v>
      </c>
      <c r="K25" s="51" t="e">
        <f>INDEX(Input!$D$2:$AC$500,
       MATCH(B25, Input!$J$2:$J$500, 0),
       MATCH("Memory Type", Input!$D$1:$AC$1, 0))</f>
        <v>#N/A</v>
      </c>
      <c r="L25" s="51" t="str" cm="1">
        <f t="array" ref="L25">IFERROR(_xlfn.FILTERXML("&lt;t&gt;&lt;s&gt;" &amp; SUBSTITUTE(K25," / ","&lt;/s&gt;&lt;s&gt;") &amp; "&lt;/s&gt;&lt;/t&gt;","(//s[contains(.,'DDR')])[1]"),"")</f>
        <v/>
      </c>
      <c r="M25" s="32" t="e">
        <f t="shared" si="2"/>
        <v>#N/A</v>
      </c>
      <c r="N25" s="51" t="e">
        <f>INDEX(Input!$D$2:$AC$500,
       MATCH(B25, Input!$J$2:$J$500, 0),
       MATCH("Disk Interface Type", Input!$D$1:$AC$1, 0))</f>
        <v>#N/A</v>
      </c>
      <c r="O25" s="51" t="str" cm="1">
        <f t="array" ref="O25">IFERROR(_xlfn.TEXTJOIN(", ", TRUE, _xlfn._xlws.FILTER(
    INDEX(Input!$D$2:$AC$500,,MATCH("Disk Capacity",Input!$D$1:$AC$1,0)),
    Input!$J$2:$J$500=B25
)), "")</f>
        <v/>
      </c>
      <c r="P25" s="32" t="e">
        <f t="shared" si="1"/>
        <v>#N/A</v>
      </c>
      <c r="Q25" s="51" t="e">
        <f>_xlfn.LET(_xlpm.Result,INDEX(Input!$D$2:$AC$500,
       MATCH(B25, Input!$J$2:$J$500, 0),
       MATCH("Capacity", Input!$D$1:$AC$1, 0)),IF(_xlpm.Result="","",_xlpm.Result))</f>
        <v>#N/A</v>
      </c>
      <c r="R25" s="51" t="e" cm="1">
        <f t="array" ref="R25">_xlfn.TEXTSPLIT(Q25," / ", ,TRUE,0,)</f>
        <v>#N/A</v>
      </c>
      <c r="S25" s="51"/>
      <c r="T25" s="51" t="str" cm="1">
        <f t="array" ref="T25">IFERROR(_xlfn.IFS(
R25="","",
--R25&lt;55,"Battery Defect",
--R25&lt;=69,"Battery D",
--R25&lt;=80,"Battery C",
--R25&gt;80,""
),"")</f>
        <v/>
      </c>
      <c r="U25" s="51" t="str" cm="1">
        <f t="array" ref="U25">IFERROR(_xlfn.IFS(
S25="","",
--S25&lt;55,"Battery Defect",
--S25&lt;=69,"Battery D",
--S25&lt;=80,"Battery C",
--S25&gt;80,""
),"")</f>
        <v/>
      </c>
      <c r="V25" s="51" t="str" cm="1">
        <f t="array" ref="V25:AC25">IFERROR(IF(_xlfn.XLOOKUP(B25,Input!J:J,Input!N:U)=0,"",
          _xlfn.XLOOKUP(B25,Input!J:J,Input!N:U)),"")</f>
        <v/>
      </c>
      <c r="W25" s="51" t="str">
        <v/>
      </c>
      <c r="X25" s="51" t="str">
        <v/>
      </c>
      <c r="Y25" s="51" t="str">
        <v/>
      </c>
      <c r="Z25" s="51" t="str">
        <v/>
      </c>
      <c r="AA25" s="51" t="str">
        <v/>
      </c>
      <c r="AB25" s="51" t="str">
        <v/>
      </c>
      <c r="AC25" s="51" t="str">
        <v/>
      </c>
      <c r="AD25" s="32" t="str">
        <f t="shared" si="0"/>
        <v/>
      </c>
      <c r="AE25" s="32" t="str">
        <f>_xlfn.XLOOKUP(B:B,Disk_Pivot!G:G,Disk_Pivot!I:I)</f>
        <v>Yes x2</v>
      </c>
      <c r="AF25" s="32" t="str">
        <f>_xlfn.XLOOKUP(B25,Disk_Pivot!G:G,Disk_Pivot!N:N)</f>
        <v>Pass, Fail</v>
      </c>
      <c r="AG25" s="32"/>
      <c r="AH25" s="32"/>
      <c r="AI25" s="32"/>
      <c r="AJ25" s="32"/>
      <c r="AK25" s="32"/>
      <c r="AL25" s="32"/>
    </row>
    <row r="26" spans="1:38">
      <c r="A26" s="32" t="str">
        <f>_xlfn.TEXTJOIN("",TRUE,_xlfn.XLOOKUP(B26,Input!J:J,Input!G:G,"",0,1),_xlfn.XLOOKUP(B26,Input!J:J,Input!H:H,"",0,1))</f>
        <v/>
      </c>
      <c r="B26" s="32"/>
      <c r="C26" s="51">
        <f>_xlfn.XLOOKUP(B26,Input!J:J,Input!F:F)</f>
        <v>0</v>
      </c>
      <c r="D26" s="32">
        <f>_xlfn.XLOOKUP(C26,Models!H:H,Models!G:G,C26)</f>
        <v>0</v>
      </c>
      <c r="E26" s="32">
        <f>_xlfn.XLOOKUP(B26,Input!J:J,Input!E:E)</f>
        <v>0</v>
      </c>
      <c r="F26" s="32">
        <f>IF(E26="LENOVO",_xlfn.XLOOKUP(B26,Input!J:J,Input!K:K),_xlfn.XLOOKUP(B26,Input!J:J,Input!L:L))</f>
        <v>0</v>
      </c>
      <c r="G26" s="32"/>
      <c r="H26" s="32"/>
      <c r="I26" s="32">
        <f>_xlfn.XLOOKUP(B26,CPU_Formula!A:A,CPU_Formula!I:I)</f>
        <v>0</v>
      </c>
      <c r="J26" s="51" t="e">
        <f>INDEX(Input!$D$2:$AC$500,
       MATCH(B26, Input!$J$2:$J$500, 0),
       MATCH("Total Memory", Input!$D$1:$AC$1, 0))</f>
        <v>#N/A</v>
      </c>
      <c r="K26" s="51" t="e">
        <f>INDEX(Input!$D$2:$AC$500,
       MATCH(B26, Input!$J$2:$J$500, 0),
       MATCH("Memory Type", Input!$D$1:$AC$1, 0))</f>
        <v>#N/A</v>
      </c>
      <c r="L26" s="51" t="str" cm="1">
        <f t="array" ref="L26">IFERROR(_xlfn.FILTERXML("&lt;t&gt;&lt;s&gt;" &amp; SUBSTITUTE(K26," / ","&lt;/s&gt;&lt;s&gt;") &amp; "&lt;/s&gt;&lt;/t&gt;","(//s[contains(.,'DDR')])[1]"),"")</f>
        <v/>
      </c>
      <c r="M26" s="32" t="e">
        <f t="shared" si="2"/>
        <v>#N/A</v>
      </c>
      <c r="N26" s="51" t="e">
        <f>INDEX(Input!$D$2:$AC$500,
       MATCH(B26, Input!$J$2:$J$500, 0),
       MATCH("Disk Interface Type", Input!$D$1:$AC$1, 0))</f>
        <v>#N/A</v>
      </c>
      <c r="O26" s="51" t="str" cm="1">
        <f t="array" ref="O26">IFERROR(_xlfn.TEXTJOIN(", ", TRUE, _xlfn._xlws.FILTER(
    INDEX(Input!$D$2:$AC$500,,MATCH("Disk Capacity",Input!$D$1:$AC$1,0)),
    Input!$J$2:$J$500=B26
)), "")</f>
        <v/>
      </c>
      <c r="P26" s="32" t="e">
        <f t="shared" si="1"/>
        <v>#N/A</v>
      </c>
      <c r="Q26" s="51" t="e">
        <f>_xlfn.LET(_xlpm.Result,INDEX(Input!$D$2:$AC$500,
       MATCH(B26, Input!$J$2:$J$500, 0),
       MATCH("Capacity", Input!$D$1:$AC$1, 0)),IF(_xlpm.Result="","",_xlpm.Result))</f>
        <v>#N/A</v>
      </c>
      <c r="R26" s="51" t="e" cm="1">
        <f t="array" ref="R26">_xlfn.TEXTSPLIT(Q26," / ", ,TRUE,0,)</f>
        <v>#N/A</v>
      </c>
      <c r="S26" s="51"/>
      <c r="T26" s="51" t="str" cm="1">
        <f t="array" ref="T26">IFERROR(_xlfn.IFS(
R26="","",
--R26&lt;55,"Battery Defect",
--R26&lt;=69,"Battery D",
--R26&lt;=80,"Battery C",
--R26&gt;80,""
),"")</f>
        <v/>
      </c>
      <c r="U26" s="51" t="str" cm="1">
        <f t="array" ref="U26">IFERROR(_xlfn.IFS(
S26="","",
--S26&lt;55,"Battery Defect",
--S26&lt;=69,"Battery D",
--S26&lt;=80,"Battery C",
--S26&gt;80,""
),"")</f>
        <v/>
      </c>
      <c r="V26" s="51" t="str" cm="1">
        <f t="array" ref="V26:AC26">IFERROR(IF(_xlfn.XLOOKUP(B26,Input!J:J,Input!N:U)=0,"",
          _xlfn.XLOOKUP(B26,Input!J:J,Input!N:U)),"")</f>
        <v/>
      </c>
      <c r="W26" s="51" t="str">
        <v/>
      </c>
      <c r="X26" s="51" t="str">
        <v/>
      </c>
      <c r="Y26" s="51" t="str">
        <v/>
      </c>
      <c r="Z26" s="51" t="str">
        <v/>
      </c>
      <c r="AA26" s="51" t="str">
        <v/>
      </c>
      <c r="AB26" s="51" t="str">
        <v/>
      </c>
      <c r="AC26" s="51" t="str">
        <v/>
      </c>
      <c r="AD26" s="32" t="str">
        <f t="shared" si="0"/>
        <v/>
      </c>
      <c r="AE26" s="32" t="str">
        <f>_xlfn.XLOOKUP(B:B,Disk_Pivot!G:G,Disk_Pivot!I:I)</f>
        <v>Yes x2</v>
      </c>
      <c r="AF26" s="32" t="str">
        <f>_xlfn.XLOOKUP(B26,Disk_Pivot!G:G,Disk_Pivot!N:N)</f>
        <v>Pass, Fail</v>
      </c>
      <c r="AG26" s="32"/>
      <c r="AH26" s="32"/>
      <c r="AI26" s="32"/>
      <c r="AJ26" s="32"/>
      <c r="AK26" s="32"/>
      <c r="AL26" s="32"/>
    </row>
    <row r="27" spans="1:38">
      <c r="A27" s="32" t="str">
        <f>_xlfn.TEXTJOIN("",TRUE,_xlfn.XLOOKUP(B27,Input!J:J,Input!G:G,"",0,1),_xlfn.XLOOKUP(B27,Input!J:J,Input!H:H,"",0,1))</f>
        <v/>
      </c>
      <c r="B27" s="32"/>
      <c r="C27" s="51">
        <f>_xlfn.XLOOKUP(B27,Input!J:J,Input!F:F)</f>
        <v>0</v>
      </c>
      <c r="D27" s="32">
        <f>_xlfn.XLOOKUP(C27,Models!H:H,Models!G:G,C27)</f>
        <v>0</v>
      </c>
      <c r="E27" s="32">
        <f>_xlfn.XLOOKUP(B27,Input!J:J,Input!E:E)</f>
        <v>0</v>
      </c>
      <c r="F27" s="32">
        <f>IF(E27="LENOVO",_xlfn.XLOOKUP(B27,Input!J:J,Input!K:K),_xlfn.XLOOKUP(B27,Input!J:J,Input!L:L))</f>
        <v>0</v>
      </c>
      <c r="G27" s="32"/>
      <c r="H27" s="32"/>
      <c r="I27" s="32">
        <f>_xlfn.XLOOKUP(B27,CPU_Formula!A:A,CPU_Formula!I:I)</f>
        <v>0</v>
      </c>
      <c r="J27" s="51" t="e">
        <f>INDEX(Input!$D$2:$AC$500,
       MATCH(B27, Input!$J$2:$J$500, 0),
       MATCH("Total Memory", Input!$D$1:$AC$1, 0))</f>
        <v>#N/A</v>
      </c>
      <c r="K27" s="51" t="e">
        <f>INDEX(Input!$D$2:$AC$500,
       MATCH(B27, Input!$J$2:$J$500, 0),
       MATCH("Memory Type", Input!$D$1:$AC$1, 0))</f>
        <v>#N/A</v>
      </c>
      <c r="L27" s="51" t="str" cm="1">
        <f t="array" ref="L27">IFERROR(_xlfn.FILTERXML("&lt;t&gt;&lt;s&gt;" &amp; SUBSTITUTE(K27," / ","&lt;/s&gt;&lt;s&gt;") &amp; "&lt;/s&gt;&lt;/t&gt;","(//s[contains(.,'DDR')])[1]"),"")</f>
        <v/>
      </c>
      <c r="M27" s="32" t="e">
        <f t="shared" si="2"/>
        <v>#N/A</v>
      </c>
      <c r="N27" s="51" t="e">
        <f>INDEX(Input!$D$2:$AC$500,
       MATCH(B27, Input!$J$2:$J$500, 0),
       MATCH("Disk Interface Type", Input!$D$1:$AC$1, 0))</f>
        <v>#N/A</v>
      </c>
      <c r="O27" s="51" t="str" cm="1">
        <f t="array" ref="O27">IFERROR(_xlfn.TEXTJOIN(", ", TRUE, _xlfn._xlws.FILTER(
    INDEX(Input!$D$2:$AC$500,,MATCH("Disk Capacity",Input!$D$1:$AC$1,0)),
    Input!$J$2:$J$500=B27
)), "")</f>
        <v/>
      </c>
      <c r="P27" s="32" t="e">
        <f t="shared" si="1"/>
        <v>#N/A</v>
      </c>
      <c r="Q27" s="51" t="e">
        <f>_xlfn.LET(_xlpm.Result,INDEX(Input!$D$2:$AC$500,
       MATCH(B27, Input!$J$2:$J$500, 0),
       MATCH("Capacity", Input!$D$1:$AC$1, 0)),IF(_xlpm.Result="","",_xlpm.Result))</f>
        <v>#N/A</v>
      </c>
      <c r="R27" s="51" t="e" cm="1">
        <f t="array" ref="R27">_xlfn.TEXTSPLIT(Q27," / ", ,TRUE,0,)</f>
        <v>#N/A</v>
      </c>
      <c r="S27" s="51"/>
      <c r="T27" s="51" t="str" cm="1">
        <f t="array" ref="T27">IFERROR(_xlfn.IFS(
R27="","",
--R27&lt;55,"Battery Defect",
--R27&lt;=69,"Battery D",
--R27&lt;=80,"Battery C",
--R27&gt;80,""
),"")</f>
        <v/>
      </c>
      <c r="U27" s="51" t="str" cm="1">
        <f t="array" ref="U27">IFERROR(_xlfn.IFS(
S27="","",
--S27&lt;55,"Battery Defect",
--S27&lt;=69,"Battery D",
--S27&lt;=80,"Battery C",
--S27&gt;80,""
),"")</f>
        <v/>
      </c>
      <c r="V27" s="51" t="str" cm="1">
        <f t="array" ref="V27:AC27">IFERROR(IF(_xlfn.XLOOKUP(B27,Input!J:J,Input!N:U)=0,"",
          _xlfn.XLOOKUP(B27,Input!J:J,Input!N:U)),"")</f>
        <v/>
      </c>
      <c r="W27" s="51" t="str">
        <v/>
      </c>
      <c r="X27" s="51" t="str">
        <v/>
      </c>
      <c r="Y27" s="51" t="str">
        <v/>
      </c>
      <c r="Z27" s="51" t="str">
        <v/>
      </c>
      <c r="AA27" s="51" t="str">
        <v/>
      </c>
      <c r="AB27" s="51" t="str">
        <v/>
      </c>
      <c r="AC27" s="51" t="str">
        <v/>
      </c>
      <c r="AD27" s="32" t="str">
        <f t="shared" si="0"/>
        <v/>
      </c>
      <c r="AE27" s="32" t="str">
        <f>_xlfn.XLOOKUP(B:B,Disk_Pivot!G:G,Disk_Pivot!I:I)</f>
        <v>Yes x2</v>
      </c>
      <c r="AF27" s="32" t="str">
        <f>_xlfn.XLOOKUP(B27,Disk_Pivot!G:G,Disk_Pivot!N:N)</f>
        <v>Pass, Fail</v>
      </c>
      <c r="AG27" s="32"/>
      <c r="AH27" s="32"/>
      <c r="AI27" s="32"/>
      <c r="AJ27" s="32"/>
      <c r="AK27" s="32"/>
      <c r="AL27" s="32"/>
    </row>
    <row r="28" spans="1:38">
      <c r="A28" s="32" t="str">
        <f>_xlfn.TEXTJOIN("",TRUE,_xlfn.XLOOKUP(B28,Input!J:J,Input!G:G,"",0,1),_xlfn.XLOOKUP(B28,Input!J:J,Input!H:H,"",0,1))</f>
        <v/>
      </c>
      <c r="B28" s="32"/>
      <c r="C28" s="51">
        <f>_xlfn.XLOOKUP(B28,Input!J:J,Input!F:F)</f>
        <v>0</v>
      </c>
      <c r="D28" s="32">
        <f>_xlfn.XLOOKUP(C28,Models!H:H,Models!G:G,C28)</f>
        <v>0</v>
      </c>
      <c r="E28" s="32">
        <f>_xlfn.XLOOKUP(B28,Input!J:J,Input!E:E)</f>
        <v>0</v>
      </c>
      <c r="F28" s="32">
        <f>IF(E28="LENOVO",_xlfn.XLOOKUP(B28,Input!J:J,Input!K:K),_xlfn.XLOOKUP(B28,Input!J:J,Input!L:L))</f>
        <v>0</v>
      </c>
      <c r="G28" s="32"/>
      <c r="H28" s="32"/>
      <c r="I28" s="32">
        <f>_xlfn.XLOOKUP(B28,CPU_Formula!A:A,CPU_Formula!I:I)</f>
        <v>0</v>
      </c>
      <c r="J28" s="51" t="e">
        <f>INDEX(Input!$D$2:$AC$500,
       MATCH(B28, Input!$J$2:$J$500, 0),
       MATCH("Total Memory", Input!$D$1:$AC$1, 0))</f>
        <v>#N/A</v>
      </c>
      <c r="K28" s="51" t="e">
        <f>INDEX(Input!$D$2:$AC$500,
       MATCH(B28, Input!$J$2:$J$500, 0),
       MATCH("Memory Type", Input!$D$1:$AC$1, 0))</f>
        <v>#N/A</v>
      </c>
      <c r="L28" s="51" t="str" cm="1">
        <f t="array" ref="L28">IFERROR(_xlfn.FILTERXML("&lt;t&gt;&lt;s&gt;" &amp; SUBSTITUTE(K28," / ","&lt;/s&gt;&lt;s&gt;") &amp; "&lt;/s&gt;&lt;/t&gt;","(//s[contains(.,'DDR')])[1]"),"")</f>
        <v/>
      </c>
      <c r="M28" s="32" t="e">
        <f t="shared" si="2"/>
        <v>#N/A</v>
      </c>
      <c r="N28" s="51" t="e">
        <f>INDEX(Input!$D$2:$AC$500,
       MATCH(B28, Input!$J$2:$J$500, 0),
       MATCH("Disk Interface Type", Input!$D$1:$AC$1, 0))</f>
        <v>#N/A</v>
      </c>
      <c r="O28" s="51" t="str" cm="1">
        <f t="array" ref="O28">IFERROR(_xlfn.TEXTJOIN(", ", TRUE, _xlfn._xlws.FILTER(
    INDEX(Input!$D$2:$AC$500,,MATCH("Disk Capacity",Input!$D$1:$AC$1,0)),
    Input!$J$2:$J$500=B28
)), "")</f>
        <v/>
      </c>
      <c r="P28" s="32" t="e">
        <f t="shared" si="1"/>
        <v>#N/A</v>
      </c>
      <c r="Q28" s="51" t="e">
        <f>_xlfn.LET(_xlpm.Result,INDEX(Input!$D$2:$AC$500,
       MATCH(B28, Input!$J$2:$J$500, 0),
       MATCH("Capacity", Input!$D$1:$AC$1, 0)),IF(_xlpm.Result="","",_xlpm.Result))</f>
        <v>#N/A</v>
      </c>
      <c r="R28" s="51" t="e" cm="1">
        <f t="array" ref="R28">_xlfn.TEXTSPLIT(Q28," / ", ,TRUE,0,)</f>
        <v>#N/A</v>
      </c>
      <c r="S28" s="51"/>
      <c r="T28" s="51" t="str" cm="1">
        <f t="array" ref="T28">IFERROR(_xlfn.IFS(
R28="","",
--R28&lt;55,"Battery Defect",
--R28&lt;=69,"Battery D",
--R28&lt;=80,"Battery C",
--R28&gt;80,""
),"")</f>
        <v/>
      </c>
      <c r="U28" s="51" t="str" cm="1">
        <f t="array" ref="U28">IFERROR(_xlfn.IFS(
S28="","",
--S28&lt;55,"Battery Defect",
--S28&lt;=69,"Battery D",
--S28&lt;=80,"Battery C",
--S28&gt;80,""
),"")</f>
        <v/>
      </c>
      <c r="V28" s="51" t="str" cm="1">
        <f t="array" ref="V28:AC28">IFERROR(IF(_xlfn.XLOOKUP(B28,Input!J:J,Input!N:U)=0,"",
          _xlfn.XLOOKUP(B28,Input!J:J,Input!N:U)),"")</f>
        <v/>
      </c>
      <c r="W28" s="51" t="str">
        <v/>
      </c>
      <c r="X28" s="51" t="str">
        <v/>
      </c>
      <c r="Y28" s="51" t="str">
        <v/>
      </c>
      <c r="Z28" s="51" t="str">
        <v/>
      </c>
      <c r="AA28" s="51" t="str">
        <v/>
      </c>
      <c r="AB28" s="51" t="str">
        <v/>
      </c>
      <c r="AC28" s="51" t="str">
        <v/>
      </c>
      <c r="AD28" s="32" t="str">
        <f t="shared" si="0"/>
        <v/>
      </c>
      <c r="AE28" s="32" t="str">
        <f>_xlfn.XLOOKUP(B:B,Disk_Pivot!G:G,Disk_Pivot!I:I)</f>
        <v>Yes x2</v>
      </c>
      <c r="AF28" s="32" t="str">
        <f>_xlfn.XLOOKUP(B28,Disk_Pivot!G:G,Disk_Pivot!N:N)</f>
        <v>Pass, Fail</v>
      </c>
      <c r="AG28" s="32"/>
      <c r="AH28" s="32"/>
      <c r="AI28" s="32"/>
      <c r="AJ28" s="32"/>
      <c r="AK28" s="32"/>
      <c r="AL28" s="32"/>
    </row>
    <row r="29" spans="1:38">
      <c r="A29" s="32" t="str">
        <f>_xlfn.TEXTJOIN("",TRUE,_xlfn.XLOOKUP(B29,Input!J:J,Input!G:G,"",0,1),_xlfn.XLOOKUP(B29,Input!J:J,Input!H:H,"",0,1))</f>
        <v/>
      </c>
      <c r="B29" s="32"/>
      <c r="C29" s="51">
        <f>_xlfn.XLOOKUP(B29,Input!J:J,Input!F:F)</f>
        <v>0</v>
      </c>
      <c r="D29" s="32">
        <f>_xlfn.XLOOKUP(C29,Models!H:H,Models!G:G,C29)</f>
        <v>0</v>
      </c>
      <c r="E29" s="32">
        <f>_xlfn.XLOOKUP(B29,Input!J:J,Input!E:E)</f>
        <v>0</v>
      </c>
      <c r="F29" s="32">
        <f>IF(E29="LENOVO",_xlfn.XLOOKUP(B29,Input!J:J,Input!K:K),_xlfn.XLOOKUP(B29,Input!J:J,Input!L:L))</f>
        <v>0</v>
      </c>
      <c r="G29" s="32"/>
      <c r="H29" s="32"/>
      <c r="I29" s="32">
        <f>_xlfn.XLOOKUP(B29,CPU_Formula!A:A,CPU_Formula!I:I)</f>
        <v>0</v>
      </c>
      <c r="J29" s="51" t="e">
        <f>INDEX(Input!$D$2:$AC$500,
       MATCH(B29, Input!$J$2:$J$500, 0),
       MATCH("Total Memory", Input!$D$1:$AC$1, 0))</f>
        <v>#N/A</v>
      </c>
      <c r="K29" s="51" t="e">
        <f>INDEX(Input!$D$2:$AC$500,
       MATCH(B29, Input!$J$2:$J$500, 0),
       MATCH("Memory Type", Input!$D$1:$AC$1, 0))</f>
        <v>#N/A</v>
      </c>
      <c r="L29" s="51" t="str" cm="1">
        <f t="array" ref="L29">IFERROR(_xlfn.FILTERXML("&lt;t&gt;&lt;s&gt;" &amp; SUBSTITUTE(K29," / ","&lt;/s&gt;&lt;s&gt;") &amp; "&lt;/s&gt;&lt;/t&gt;","(//s[contains(.,'DDR')])[1]"),"")</f>
        <v/>
      </c>
      <c r="M29" s="32" t="e">
        <f t="shared" si="2"/>
        <v>#N/A</v>
      </c>
      <c r="N29" s="51" t="e">
        <f>INDEX(Input!$D$2:$AC$500,
       MATCH(B29, Input!$J$2:$J$500, 0),
       MATCH("Disk Interface Type", Input!$D$1:$AC$1, 0))</f>
        <v>#N/A</v>
      </c>
      <c r="O29" s="51" t="str" cm="1">
        <f t="array" ref="O29">IFERROR(_xlfn.TEXTJOIN(", ", TRUE, _xlfn._xlws.FILTER(
    INDEX(Input!$D$2:$AC$500,,MATCH("Disk Capacity",Input!$D$1:$AC$1,0)),
    Input!$J$2:$J$500=B29
)), "")</f>
        <v/>
      </c>
      <c r="P29" s="32" t="e">
        <f t="shared" si="1"/>
        <v>#N/A</v>
      </c>
      <c r="Q29" s="51" t="e">
        <f>_xlfn.LET(_xlpm.Result,INDEX(Input!$D$2:$AC$500,
       MATCH(B29, Input!$J$2:$J$500, 0),
       MATCH("Capacity", Input!$D$1:$AC$1, 0)),IF(_xlpm.Result="","",_xlpm.Result))</f>
        <v>#N/A</v>
      </c>
      <c r="R29" s="51" t="e" cm="1">
        <f t="array" ref="R29">_xlfn.TEXTSPLIT(Q29," / ", ,TRUE,0,)</f>
        <v>#N/A</v>
      </c>
      <c r="S29" s="51"/>
      <c r="T29" s="51" t="str" cm="1">
        <f t="array" ref="T29">IFERROR(_xlfn.IFS(
R29="","",
--R29&lt;55,"Battery Defect",
--R29&lt;=69,"Battery D",
--R29&lt;=80,"Battery C",
--R29&gt;80,""
),"")</f>
        <v/>
      </c>
      <c r="U29" s="51" t="str" cm="1">
        <f t="array" ref="U29">IFERROR(_xlfn.IFS(
S29="","",
--S29&lt;55,"Battery Defect",
--S29&lt;=69,"Battery D",
--S29&lt;=80,"Battery C",
--S29&gt;80,""
),"")</f>
        <v/>
      </c>
      <c r="V29" s="51" t="str" cm="1">
        <f t="array" ref="V29:AC29">IFERROR(IF(_xlfn.XLOOKUP(B29,Input!J:J,Input!N:U)=0,"",
          _xlfn.XLOOKUP(B29,Input!J:J,Input!N:U)),"")</f>
        <v/>
      </c>
      <c r="W29" s="51" t="str">
        <v/>
      </c>
      <c r="X29" s="51" t="str">
        <v/>
      </c>
      <c r="Y29" s="51" t="str">
        <v/>
      </c>
      <c r="Z29" s="51" t="str">
        <v/>
      </c>
      <c r="AA29" s="51" t="str">
        <v/>
      </c>
      <c r="AB29" s="51" t="str">
        <v/>
      </c>
      <c r="AC29" s="51" t="str">
        <v/>
      </c>
      <c r="AD29" s="32" t="str">
        <f t="shared" si="0"/>
        <v/>
      </c>
      <c r="AE29" s="32" t="str">
        <f>_xlfn.XLOOKUP(B:B,Disk_Pivot!G:G,Disk_Pivot!I:I)</f>
        <v>Yes x2</v>
      </c>
      <c r="AF29" s="32" t="str">
        <f>_xlfn.XLOOKUP(B29,Disk_Pivot!G:G,Disk_Pivot!N:N)</f>
        <v>Pass, Fail</v>
      </c>
      <c r="AG29" s="32"/>
      <c r="AH29" s="32"/>
      <c r="AI29" s="32"/>
      <c r="AJ29" s="32"/>
      <c r="AK29" s="32"/>
      <c r="AL29" s="32"/>
    </row>
    <row r="30" spans="1:38">
      <c r="A30" s="32" t="str">
        <f>_xlfn.TEXTJOIN("",TRUE,_xlfn.XLOOKUP(B30,Input!J:J,Input!G:G,"",0,1),_xlfn.XLOOKUP(B30,Input!J:J,Input!H:H,"",0,1))</f>
        <v/>
      </c>
      <c r="B30" s="32"/>
      <c r="C30" s="51">
        <f>_xlfn.XLOOKUP(B30,Input!J:J,Input!F:F)</f>
        <v>0</v>
      </c>
      <c r="D30" s="32">
        <f>_xlfn.XLOOKUP(C30,Models!H:H,Models!G:G,C30)</f>
        <v>0</v>
      </c>
      <c r="E30" s="32">
        <f>_xlfn.XLOOKUP(B30,Input!J:J,Input!E:E)</f>
        <v>0</v>
      </c>
      <c r="F30" s="32">
        <f>IF(E30="LENOVO",_xlfn.XLOOKUP(B30,Input!J:J,Input!K:K),_xlfn.XLOOKUP(B30,Input!J:J,Input!L:L))</f>
        <v>0</v>
      </c>
      <c r="G30" s="32"/>
      <c r="H30" s="32"/>
      <c r="I30" s="32">
        <f>_xlfn.XLOOKUP(B30,CPU_Formula!A:A,CPU_Formula!I:I)</f>
        <v>0</v>
      </c>
      <c r="J30" s="51" t="e">
        <f>INDEX(Input!$D$2:$AC$500,
       MATCH(B30, Input!$J$2:$J$500, 0),
       MATCH("Total Memory", Input!$D$1:$AC$1, 0))</f>
        <v>#N/A</v>
      </c>
      <c r="K30" s="51" t="e">
        <f>INDEX(Input!$D$2:$AC$500,
       MATCH(B30, Input!$J$2:$J$500, 0),
       MATCH("Memory Type", Input!$D$1:$AC$1, 0))</f>
        <v>#N/A</v>
      </c>
      <c r="L30" s="51" t="str" cm="1">
        <f t="array" ref="L30">IFERROR(_xlfn.FILTERXML("&lt;t&gt;&lt;s&gt;" &amp; SUBSTITUTE(K30," / ","&lt;/s&gt;&lt;s&gt;") &amp; "&lt;/s&gt;&lt;/t&gt;","(//s[contains(.,'DDR')])[1]"),"")</f>
        <v/>
      </c>
      <c r="M30" s="32" t="e">
        <f t="shared" si="2"/>
        <v>#N/A</v>
      </c>
      <c r="N30" s="51" t="e">
        <f>INDEX(Input!$D$2:$AC$500,
       MATCH(B30, Input!$J$2:$J$500, 0),
       MATCH("Disk Interface Type", Input!$D$1:$AC$1, 0))</f>
        <v>#N/A</v>
      </c>
      <c r="O30" s="51" t="str" cm="1">
        <f t="array" ref="O30">IFERROR(_xlfn.TEXTJOIN(", ", TRUE, _xlfn._xlws.FILTER(
    INDEX(Input!$D$2:$AC$500,,MATCH("Disk Capacity",Input!$D$1:$AC$1,0)),
    Input!$J$2:$J$500=B30
)), "")</f>
        <v/>
      </c>
      <c r="P30" s="32" t="e">
        <f t="shared" si="1"/>
        <v>#N/A</v>
      </c>
      <c r="Q30" s="51" t="e">
        <f>_xlfn.LET(_xlpm.Result,INDEX(Input!$D$2:$AC$500,
       MATCH(B30, Input!$J$2:$J$500, 0),
       MATCH("Capacity", Input!$D$1:$AC$1, 0)),IF(_xlpm.Result="","",_xlpm.Result))</f>
        <v>#N/A</v>
      </c>
      <c r="R30" s="51" t="e" cm="1">
        <f t="array" ref="R30">_xlfn.TEXTSPLIT(Q30," / ", ,TRUE,0,)</f>
        <v>#N/A</v>
      </c>
      <c r="S30" s="51"/>
      <c r="T30" s="51" t="str" cm="1">
        <f t="array" ref="T30">IFERROR(_xlfn.IFS(
R30="","",
--R30&lt;55,"Battery Defect",
--R30&lt;=69,"Battery D",
--R30&lt;=80,"Battery C",
--R30&gt;80,""
),"")</f>
        <v/>
      </c>
      <c r="U30" s="51" t="str" cm="1">
        <f t="array" ref="U30">IFERROR(_xlfn.IFS(
S30="","",
--S30&lt;55,"Battery Defect",
--S30&lt;=69,"Battery D",
--S30&lt;=80,"Battery C",
--S30&gt;80,""
),"")</f>
        <v/>
      </c>
      <c r="V30" s="51" t="str" cm="1">
        <f t="array" ref="V30:AC30">IFERROR(IF(_xlfn.XLOOKUP(B30,Input!J:J,Input!N:U)=0,"",
          _xlfn.XLOOKUP(B30,Input!J:J,Input!N:U)),"")</f>
        <v/>
      </c>
      <c r="W30" s="51" t="str">
        <v/>
      </c>
      <c r="X30" s="51" t="str">
        <v/>
      </c>
      <c r="Y30" s="51" t="str">
        <v/>
      </c>
      <c r="Z30" s="51" t="str">
        <v/>
      </c>
      <c r="AA30" s="51" t="str">
        <v/>
      </c>
      <c r="AB30" s="51" t="str">
        <v/>
      </c>
      <c r="AC30" s="51" t="str">
        <v/>
      </c>
      <c r="AD30" s="32" t="str">
        <f t="shared" si="0"/>
        <v/>
      </c>
      <c r="AE30" s="32" t="str">
        <f>_xlfn.XLOOKUP(B:B,Disk_Pivot!G:G,Disk_Pivot!I:I)</f>
        <v>Yes x2</v>
      </c>
      <c r="AF30" s="32" t="str">
        <f>_xlfn.XLOOKUP(B30,Disk_Pivot!G:G,Disk_Pivot!N:N)</f>
        <v>Pass, Fail</v>
      </c>
      <c r="AG30" s="32"/>
      <c r="AH30" s="32"/>
      <c r="AI30" s="32"/>
      <c r="AJ30" s="32"/>
      <c r="AK30" s="32"/>
      <c r="AL30" s="32"/>
    </row>
    <row r="31" spans="1:38">
      <c r="A31" s="32" t="str">
        <f>_xlfn.TEXTJOIN("",TRUE,_xlfn.XLOOKUP(B31,Input!J:J,Input!G:G,"",0,1),_xlfn.XLOOKUP(B31,Input!J:J,Input!H:H,"",0,1))</f>
        <v/>
      </c>
      <c r="B31" s="32"/>
      <c r="C31" s="51">
        <f>_xlfn.XLOOKUP(B31,Input!J:J,Input!F:F)</f>
        <v>0</v>
      </c>
      <c r="D31" s="32">
        <f>_xlfn.XLOOKUP(C31,Models!H:H,Models!G:G,C31)</f>
        <v>0</v>
      </c>
      <c r="E31" s="32">
        <f>_xlfn.XLOOKUP(B31,Input!J:J,Input!E:E)</f>
        <v>0</v>
      </c>
      <c r="F31" s="32">
        <f>IF(E31="LENOVO",_xlfn.XLOOKUP(B31,Input!J:J,Input!K:K),_xlfn.XLOOKUP(B31,Input!J:J,Input!L:L))</f>
        <v>0</v>
      </c>
      <c r="G31" s="32"/>
      <c r="H31" s="32"/>
      <c r="I31" s="32">
        <f>_xlfn.XLOOKUP(B31,CPU_Formula!A:A,CPU_Formula!I:I)</f>
        <v>0</v>
      </c>
      <c r="J31" s="51" t="e">
        <f>INDEX(Input!$D$2:$AC$500,
       MATCH(B31, Input!$J$2:$J$500, 0),
       MATCH("Total Memory", Input!$D$1:$AC$1, 0))</f>
        <v>#N/A</v>
      </c>
      <c r="K31" s="51" t="e">
        <f>INDEX(Input!$D$2:$AC$500,
       MATCH(B31, Input!$J$2:$J$500, 0),
       MATCH("Memory Type", Input!$D$1:$AC$1, 0))</f>
        <v>#N/A</v>
      </c>
      <c r="L31" s="51" t="str" cm="1">
        <f t="array" ref="L31">IFERROR(_xlfn.FILTERXML("&lt;t&gt;&lt;s&gt;" &amp; SUBSTITUTE(K31," / ","&lt;/s&gt;&lt;s&gt;") &amp; "&lt;/s&gt;&lt;/t&gt;","(//s[contains(.,'DDR')])[1]"),"")</f>
        <v/>
      </c>
      <c r="M31" s="32" t="e">
        <f t="shared" si="2"/>
        <v>#N/A</v>
      </c>
      <c r="N31" s="51" t="e">
        <f>INDEX(Input!$D$2:$AC$500,
       MATCH(B31, Input!$J$2:$J$500, 0),
       MATCH("Disk Interface Type", Input!$D$1:$AC$1, 0))</f>
        <v>#N/A</v>
      </c>
      <c r="O31" s="51" t="str" cm="1">
        <f t="array" ref="O31">IFERROR(_xlfn.TEXTJOIN(", ", TRUE, _xlfn._xlws.FILTER(
    INDEX(Input!$D$2:$AC$500,,MATCH("Disk Capacity",Input!$D$1:$AC$1,0)),
    Input!$J$2:$J$500=B31
)), "")</f>
        <v/>
      </c>
      <c r="P31" s="32" t="e">
        <f t="shared" si="1"/>
        <v>#N/A</v>
      </c>
      <c r="Q31" s="51" t="e">
        <f>_xlfn.LET(_xlpm.Result,INDEX(Input!$D$2:$AC$500,
       MATCH(B31, Input!$J$2:$J$500, 0),
       MATCH("Capacity", Input!$D$1:$AC$1, 0)),IF(_xlpm.Result="","",_xlpm.Result))</f>
        <v>#N/A</v>
      </c>
      <c r="R31" s="51" t="e" cm="1">
        <f t="array" ref="R31">_xlfn.TEXTSPLIT(Q31," / ", ,TRUE,0,)</f>
        <v>#N/A</v>
      </c>
      <c r="S31" s="51"/>
      <c r="T31" s="51" t="str" cm="1">
        <f t="array" ref="T31">IFERROR(_xlfn.IFS(
R31="","",
--R31&lt;55,"Battery Defect",
--R31&lt;=69,"Battery D",
--R31&lt;=80,"Battery C",
--R31&gt;80,""
),"")</f>
        <v/>
      </c>
      <c r="U31" s="51" t="str" cm="1">
        <f t="array" ref="U31">IFERROR(_xlfn.IFS(
S31="","",
--S31&lt;55,"Battery Defect",
--S31&lt;=69,"Battery D",
--S31&lt;=80,"Battery C",
--S31&gt;80,""
),"")</f>
        <v/>
      </c>
      <c r="V31" s="51" t="str" cm="1">
        <f t="array" ref="V31:AC31">IFERROR(IF(_xlfn.XLOOKUP(B31,Input!J:J,Input!N:U)=0,"",
          _xlfn.XLOOKUP(B31,Input!J:J,Input!N:U)),"")</f>
        <v/>
      </c>
      <c r="W31" s="51" t="str">
        <v/>
      </c>
      <c r="X31" s="51" t="str">
        <v/>
      </c>
      <c r="Y31" s="51" t="str">
        <v/>
      </c>
      <c r="Z31" s="51" t="str">
        <v/>
      </c>
      <c r="AA31" s="51" t="str">
        <v/>
      </c>
      <c r="AB31" s="51" t="str">
        <v/>
      </c>
      <c r="AC31" s="51" t="str">
        <v/>
      </c>
      <c r="AD31" s="32" t="str">
        <f t="shared" si="0"/>
        <v/>
      </c>
      <c r="AE31" s="32" t="str">
        <f>_xlfn.XLOOKUP(B:B,Disk_Pivot!G:G,Disk_Pivot!I:I)</f>
        <v>Yes x2</v>
      </c>
      <c r="AF31" s="32" t="str">
        <f>_xlfn.XLOOKUP(B31,Disk_Pivot!G:G,Disk_Pivot!N:N)</f>
        <v>Pass, Fail</v>
      </c>
      <c r="AG31" s="32"/>
      <c r="AH31" s="32"/>
      <c r="AI31" s="32"/>
      <c r="AJ31" s="32"/>
      <c r="AK31" s="32"/>
      <c r="AL31" s="32"/>
    </row>
    <row r="32" spans="1:38">
      <c r="A32" s="32" t="str">
        <f>_xlfn.TEXTJOIN("",TRUE,_xlfn.XLOOKUP(B32,Input!J:J,Input!G:G,"",0,1),_xlfn.XLOOKUP(B32,Input!J:J,Input!H:H,"",0,1))</f>
        <v/>
      </c>
      <c r="B32" s="32"/>
      <c r="C32" s="51">
        <f>_xlfn.XLOOKUP(B32,Input!J:J,Input!F:F)</f>
        <v>0</v>
      </c>
      <c r="D32" s="32">
        <f>_xlfn.XLOOKUP(C32,Models!H:H,Models!G:G,C32)</f>
        <v>0</v>
      </c>
      <c r="E32" s="32">
        <f>_xlfn.XLOOKUP(B32,Input!J:J,Input!E:E)</f>
        <v>0</v>
      </c>
      <c r="F32" s="32">
        <f>IF(E32="LENOVO",_xlfn.XLOOKUP(B32,Input!J:J,Input!K:K),_xlfn.XLOOKUP(B32,Input!J:J,Input!L:L))</f>
        <v>0</v>
      </c>
      <c r="G32" s="32"/>
      <c r="H32" s="32"/>
      <c r="I32" s="32">
        <f>_xlfn.XLOOKUP(B32,CPU_Formula!A:A,CPU_Formula!I:I)</f>
        <v>0</v>
      </c>
      <c r="J32" s="51" t="e">
        <f>INDEX(Input!$D$2:$AC$500,
       MATCH(B32, Input!$J$2:$J$500, 0),
       MATCH("Total Memory", Input!$D$1:$AC$1, 0))</f>
        <v>#N/A</v>
      </c>
      <c r="K32" s="51" t="e">
        <f>INDEX(Input!$D$2:$AC$500,
       MATCH(B32, Input!$J$2:$J$500, 0),
       MATCH("Memory Type", Input!$D$1:$AC$1, 0))</f>
        <v>#N/A</v>
      </c>
      <c r="L32" s="51" t="str" cm="1">
        <f t="array" ref="L32">IFERROR(_xlfn.FILTERXML("&lt;t&gt;&lt;s&gt;" &amp; SUBSTITUTE(K32," / ","&lt;/s&gt;&lt;s&gt;") &amp; "&lt;/s&gt;&lt;/t&gt;","(//s[contains(.,'DDR')])[1]"),"")</f>
        <v/>
      </c>
      <c r="M32" s="32" t="e">
        <f t="shared" si="2"/>
        <v>#N/A</v>
      </c>
      <c r="N32" s="51" t="e">
        <f>INDEX(Input!$D$2:$AC$500,
       MATCH(B32, Input!$J$2:$J$500, 0),
       MATCH("Disk Interface Type", Input!$D$1:$AC$1, 0))</f>
        <v>#N/A</v>
      </c>
      <c r="O32" s="51" t="str" cm="1">
        <f t="array" ref="O32">IFERROR(_xlfn.TEXTJOIN(", ", TRUE, _xlfn._xlws.FILTER(
    INDEX(Input!$D$2:$AC$500,,MATCH("Disk Capacity",Input!$D$1:$AC$1,0)),
    Input!$J$2:$J$500=B32
)), "")</f>
        <v/>
      </c>
      <c r="P32" s="32" t="e">
        <f t="shared" si="1"/>
        <v>#N/A</v>
      </c>
      <c r="Q32" s="51" t="e">
        <f>_xlfn.LET(_xlpm.Result,INDEX(Input!$D$2:$AC$500,
       MATCH(B32, Input!$J$2:$J$500, 0),
       MATCH("Capacity", Input!$D$1:$AC$1, 0)),IF(_xlpm.Result="","",_xlpm.Result))</f>
        <v>#N/A</v>
      </c>
      <c r="R32" s="51" t="e" cm="1">
        <f t="array" ref="R32">_xlfn.TEXTSPLIT(Q32," / ", ,TRUE,0,)</f>
        <v>#N/A</v>
      </c>
      <c r="S32" s="51"/>
      <c r="T32" s="51" t="str" cm="1">
        <f t="array" ref="T32">IFERROR(_xlfn.IFS(
R32="","",
--R32&lt;55,"Battery Defect",
--R32&lt;=69,"Battery D",
--R32&lt;=80,"Battery C",
--R32&gt;80,""
),"")</f>
        <v/>
      </c>
      <c r="U32" s="51" t="str" cm="1">
        <f t="array" ref="U32">IFERROR(_xlfn.IFS(
S32="","",
--S32&lt;55,"Battery Defect",
--S32&lt;=69,"Battery D",
--S32&lt;=80,"Battery C",
--S32&gt;80,""
),"")</f>
        <v/>
      </c>
      <c r="V32" s="51" t="str" cm="1">
        <f t="array" ref="V32:AC32">IFERROR(IF(_xlfn.XLOOKUP(B32,Input!J:J,Input!N:U)=0,"",
          _xlfn.XLOOKUP(B32,Input!J:J,Input!N:U)),"")</f>
        <v/>
      </c>
      <c r="W32" s="51" t="str">
        <v/>
      </c>
      <c r="X32" s="51" t="str">
        <v/>
      </c>
      <c r="Y32" s="51" t="str">
        <v/>
      </c>
      <c r="Z32" s="51" t="str">
        <v/>
      </c>
      <c r="AA32" s="51" t="str">
        <v/>
      </c>
      <c r="AB32" s="51" t="str">
        <v/>
      </c>
      <c r="AC32" s="51" t="str">
        <v/>
      </c>
      <c r="AD32" s="32" t="str">
        <f t="shared" si="0"/>
        <v/>
      </c>
      <c r="AE32" s="32" t="str">
        <f>_xlfn.XLOOKUP(B:B,Disk_Pivot!G:G,Disk_Pivot!I:I)</f>
        <v>Yes x2</v>
      </c>
      <c r="AF32" s="32" t="str">
        <f>_xlfn.XLOOKUP(B32,Disk_Pivot!G:G,Disk_Pivot!N:N)</f>
        <v>Pass, Fail</v>
      </c>
      <c r="AG32" s="32"/>
      <c r="AH32" s="32"/>
      <c r="AI32" s="32"/>
      <c r="AJ32" s="32"/>
      <c r="AK32" s="32"/>
      <c r="AL32" s="32"/>
    </row>
    <row r="33" spans="1:38">
      <c r="A33" s="32" t="str">
        <f>_xlfn.TEXTJOIN("",TRUE,_xlfn.XLOOKUP(B33,Input!J:J,Input!G:G,"",0,1),_xlfn.XLOOKUP(B33,Input!J:J,Input!H:H,"",0,1))</f>
        <v/>
      </c>
      <c r="B33" s="32"/>
      <c r="C33" s="51">
        <f>_xlfn.XLOOKUP(B33,Input!J:J,Input!F:F)</f>
        <v>0</v>
      </c>
      <c r="D33" s="32">
        <f>_xlfn.XLOOKUP(C33,Models!H:H,Models!G:G,C33)</f>
        <v>0</v>
      </c>
      <c r="E33" s="32">
        <f>_xlfn.XLOOKUP(B33,Input!J:J,Input!E:E)</f>
        <v>0</v>
      </c>
      <c r="F33" s="32">
        <f>IF(E33="LENOVO",_xlfn.XLOOKUP(B33,Input!J:J,Input!K:K),_xlfn.XLOOKUP(B33,Input!J:J,Input!L:L))</f>
        <v>0</v>
      </c>
      <c r="G33" s="32"/>
      <c r="H33" s="32"/>
      <c r="I33" s="32">
        <f>_xlfn.XLOOKUP(B33,CPU_Formula!A:A,CPU_Formula!I:I)</f>
        <v>0</v>
      </c>
      <c r="J33" s="51" t="e">
        <f>INDEX(Input!$D$2:$AC$500,
       MATCH(B33, Input!$J$2:$J$500, 0),
       MATCH("Total Memory", Input!$D$1:$AC$1, 0))</f>
        <v>#N/A</v>
      </c>
      <c r="K33" s="51" t="e">
        <f>INDEX(Input!$D$2:$AC$500,
       MATCH(B33, Input!$J$2:$J$500, 0),
       MATCH("Memory Type", Input!$D$1:$AC$1, 0))</f>
        <v>#N/A</v>
      </c>
      <c r="L33" s="51" t="str" cm="1">
        <f t="array" ref="L33">IFERROR(_xlfn.FILTERXML("&lt;t&gt;&lt;s&gt;" &amp; SUBSTITUTE(K33," / ","&lt;/s&gt;&lt;s&gt;") &amp; "&lt;/s&gt;&lt;/t&gt;","(//s[contains(.,'DDR')])[1]"),"")</f>
        <v/>
      </c>
      <c r="M33" s="32" t="e">
        <f t="shared" si="2"/>
        <v>#N/A</v>
      </c>
      <c r="N33" s="51" t="e">
        <f>INDEX(Input!$D$2:$AC$500,
       MATCH(B33, Input!$J$2:$J$500, 0),
       MATCH("Disk Interface Type", Input!$D$1:$AC$1, 0))</f>
        <v>#N/A</v>
      </c>
      <c r="O33" s="51" t="str" cm="1">
        <f t="array" ref="O33">IFERROR(_xlfn.TEXTJOIN(", ", TRUE, _xlfn._xlws.FILTER(
    INDEX(Input!$D$2:$AC$500,,MATCH("Disk Capacity",Input!$D$1:$AC$1,0)),
    Input!$J$2:$J$500=B33
)), "")</f>
        <v/>
      </c>
      <c r="P33" s="32" t="e">
        <f t="shared" si="1"/>
        <v>#N/A</v>
      </c>
      <c r="Q33" s="51" t="e">
        <f>_xlfn.LET(_xlpm.Result,INDEX(Input!$D$2:$AC$500,
       MATCH(B33, Input!$J$2:$J$500, 0),
       MATCH("Capacity", Input!$D$1:$AC$1, 0)),IF(_xlpm.Result="","",_xlpm.Result))</f>
        <v>#N/A</v>
      </c>
      <c r="R33" s="51" t="e" cm="1">
        <f t="array" ref="R33">_xlfn.TEXTSPLIT(Q33," / ", ,TRUE,0,)</f>
        <v>#N/A</v>
      </c>
      <c r="S33" s="51"/>
      <c r="T33" s="51" t="str" cm="1">
        <f t="array" ref="T33">IFERROR(_xlfn.IFS(
R33="","",
--R33&lt;55,"Battery Defect",
--R33&lt;=69,"Battery D",
--R33&lt;=80,"Battery C",
--R33&gt;80,""
),"")</f>
        <v/>
      </c>
      <c r="U33" s="51" t="str" cm="1">
        <f t="array" ref="U33">IFERROR(_xlfn.IFS(
S33="","",
--S33&lt;55,"Battery Defect",
--S33&lt;=69,"Battery D",
--S33&lt;=80,"Battery C",
--S33&gt;80,""
),"")</f>
        <v/>
      </c>
      <c r="V33" s="51" t="str" cm="1">
        <f t="array" ref="V33:AC33">IFERROR(IF(_xlfn.XLOOKUP(B33,Input!J:J,Input!N:U)=0,"",
          _xlfn.XLOOKUP(B33,Input!J:J,Input!N:U)),"")</f>
        <v/>
      </c>
      <c r="W33" s="51" t="str">
        <v/>
      </c>
      <c r="X33" s="51" t="str">
        <v/>
      </c>
      <c r="Y33" s="51" t="str">
        <v/>
      </c>
      <c r="Z33" s="51" t="str">
        <v/>
      </c>
      <c r="AA33" s="51" t="str">
        <v/>
      </c>
      <c r="AB33" s="51" t="str">
        <v/>
      </c>
      <c r="AC33" s="51" t="str">
        <v/>
      </c>
      <c r="AD33" s="32" t="str">
        <f t="shared" si="0"/>
        <v/>
      </c>
      <c r="AE33" s="32" t="str">
        <f>_xlfn.XLOOKUP(B:B,Disk_Pivot!G:G,Disk_Pivot!I:I)</f>
        <v>Yes x2</v>
      </c>
      <c r="AF33" s="32" t="str">
        <f>_xlfn.XLOOKUP(B33,Disk_Pivot!G:G,Disk_Pivot!N:N)</f>
        <v>Pass, Fail</v>
      </c>
      <c r="AG33" s="32"/>
      <c r="AH33" s="32"/>
      <c r="AI33" s="32"/>
      <c r="AJ33" s="32"/>
      <c r="AK33" s="32"/>
      <c r="AL33" s="32"/>
    </row>
    <row r="34" spans="1:38">
      <c r="A34" s="32" t="str">
        <f>_xlfn.TEXTJOIN("",TRUE,_xlfn.XLOOKUP(B34,Input!J:J,Input!G:G,"",0,1),_xlfn.XLOOKUP(B34,Input!J:J,Input!H:H,"",0,1))</f>
        <v/>
      </c>
      <c r="B34" s="32"/>
      <c r="C34" s="51">
        <f>_xlfn.XLOOKUP(B34,Input!J:J,Input!F:F)</f>
        <v>0</v>
      </c>
      <c r="D34" s="32">
        <f>_xlfn.XLOOKUP(C34,Models!H:H,Models!G:G,C34)</f>
        <v>0</v>
      </c>
      <c r="E34" s="32">
        <f>_xlfn.XLOOKUP(B34,Input!J:J,Input!E:E)</f>
        <v>0</v>
      </c>
      <c r="F34" s="32">
        <f>IF(E34="LENOVO",_xlfn.XLOOKUP(B34,Input!J:J,Input!K:K),_xlfn.XLOOKUP(B34,Input!J:J,Input!L:L))</f>
        <v>0</v>
      </c>
      <c r="G34" s="32"/>
      <c r="H34" s="32"/>
      <c r="I34" s="32">
        <f>_xlfn.XLOOKUP(B34,CPU_Formula!A:A,CPU_Formula!I:I)</f>
        <v>0</v>
      </c>
      <c r="J34" s="51" t="e">
        <f>INDEX(Input!$D$2:$AC$500,
       MATCH(B34, Input!$J$2:$J$500, 0),
       MATCH("Total Memory", Input!$D$1:$AC$1, 0))</f>
        <v>#N/A</v>
      </c>
      <c r="K34" s="51" t="e">
        <f>INDEX(Input!$D$2:$AC$500,
       MATCH(B34, Input!$J$2:$J$500, 0),
       MATCH("Memory Type", Input!$D$1:$AC$1, 0))</f>
        <v>#N/A</v>
      </c>
      <c r="L34" s="51" t="str" cm="1">
        <f t="array" ref="L34">IFERROR(_xlfn.FILTERXML("&lt;t&gt;&lt;s&gt;" &amp; SUBSTITUTE(K34," / ","&lt;/s&gt;&lt;s&gt;") &amp; "&lt;/s&gt;&lt;/t&gt;","(//s[contains(.,'DDR')])[1]"),"")</f>
        <v/>
      </c>
      <c r="M34" s="32" t="e">
        <f t="shared" si="2"/>
        <v>#N/A</v>
      </c>
      <c r="N34" s="51" t="e">
        <f>INDEX(Input!$D$2:$AC$500,
       MATCH(B34, Input!$J$2:$J$500, 0),
       MATCH("Disk Interface Type", Input!$D$1:$AC$1, 0))</f>
        <v>#N/A</v>
      </c>
      <c r="O34" s="51" t="str" cm="1">
        <f t="array" ref="O34">IFERROR(_xlfn.TEXTJOIN(", ", TRUE, _xlfn._xlws.FILTER(
    INDEX(Input!$D$2:$AC$500,,MATCH("Disk Capacity",Input!$D$1:$AC$1,0)),
    Input!$J$2:$J$500=B34
)), "")</f>
        <v/>
      </c>
      <c r="P34" s="32" t="e">
        <f t="shared" si="1"/>
        <v>#N/A</v>
      </c>
      <c r="Q34" s="51" t="e">
        <f>_xlfn.LET(_xlpm.Result,INDEX(Input!$D$2:$AC$500,
       MATCH(B34, Input!$J$2:$J$500, 0),
       MATCH("Capacity", Input!$D$1:$AC$1, 0)),IF(_xlpm.Result="","",_xlpm.Result))</f>
        <v>#N/A</v>
      </c>
      <c r="R34" s="51" t="e" cm="1">
        <f t="array" ref="R34">_xlfn.TEXTSPLIT(Q34," / ", ,TRUE,0,)</f>
        <v>#N/A</v>
      </c>
      <c r="S34" s="51"/>
      <c r="T34" s="51" t="str" cm="1">
        <f t="array" ref="T34">IFERROR(_xlfn.IFS(
R34="","",
--R34&lt;55,"Battery Defect",
--R34&lt;=69,"Battery D",
--R34&lt;=80,"Battery C",
--R34&gt;80,""
),"")</f>
        <v/>
      </c>
      <c r="U34" s="51" t="str" cm="1">
        <f t="array" ref="U34">IFERROR(_xlfn.IFS(
S34="","",
--S34&lt;55,"Battery Defect",
--S34&lt;=69,"Battery D",
--S34&lt;=80,"Battery C",
--S34&gt;80,""
),"")</f>
        <v/>
      </c>
      <c r="V34" s="51" t="str" cm="1">
        <f t="array" ref="V34:AC34">IFERROR(IF(_xlfn.XLOOKUP(B34,Input!J:J,Input!N:U)=0,"",
          _xlfn.XLOOKUP(B34,Input!J:J,Input!N:U)),"")</f>
        <v/>
      </c>
      <c r="W34" s="51" t="str">
        <v/>
      </c>
      <c r="X34" s="51" t="str">
        <v/>
      </c>
      <c r="Y34" s="51" t="str">
        <v/>
      </c>
      <c r="Z34" s="51" t="str">
        <v/>
      </c>
      <c r="AA34" s="51" t="str">
        <v/>
      </c>
      <c r="AB34" s="51" t="str">
        <v/>
      </c>
      <c r="AC34" s="51" t="str">
        <v/>
      </c>
      <c r="AD34" s="32" t="str">
        <f t="shared" si="0"/>
        <v/>
      </c>
      <c r="AE34" s="32" t="str">
        <f>_xlfn.XLOOKUP(B:B,Disk_Pivot!G:G,Disk_Pivot!I:I)</f>
        <v>Yes x2</v>
      </c>
      <c r="AF34" s="32" t="str">
        <f>_xlfn.XLOOKUP(B34,Disk_Pivot!G:G,Disk_Pivot!N:N)</f>
        <v>Pass, Fail</v>
      </c>
      <c r="AG34" s="32"/>
      <c r="AH34" s="32"/>
      <c r="AI34" s="32"/>
      <c r="AJ34" s="32"/>
      <c r="AK34" s="32"/>
      <c r="AL34" s="32"/>
    </row>
    <row r="35" spans="1:38">
      <c r="A35" s="32" t="str">
        <f>_xlfn.TEXTJOIN("",TRUE,_xlfn.XLOOKUP(B35,Input!J:J,Input!G:G,"",0,1),_xlfn.XLOOKUP(B35,Input!J:J,Input!H:H,"",0,1))</f>
        <v/>
      </c>
      <c r="B35" s="32"/>
      <c r="C35" s="51">
        <f>_xlfn.XLOOKUP(B35,Input!J:J,Input!F:F)</f>
        <v>0</v>
      </c>
      <c r="D35" s="32">
        <f>_xlfn.XLOOKUP(C35,Models!H:H,Models!G:G,C35)</f>
        <v>0</v>
      </c>
      <c r="E35" s="32">
        <f>_xlfn.XLOOKUP(B35,Input!J:J,Input!E:E)</f>
        <v>0</v>
      </c>
      <c r="F35" s="32">
        <f>IF(E35="LENOVO",_xlfn.XLOOKUP(B35,Input!J:J,Input!K:K),_xlfn.XLOOKUP(B35,Input!J:J,Input!L:L))</f>
        <v>0</v>
      </c>
      <c r="G35" s="32"/>
      <c r="H35" s="32"/>
      <c r="I35" s="32">
        <f>_xlfn.XLOOKUP(B35,CPU_Formula!A:A,CPU_Formula!I:I)</f>
        <v>0</v>
      </c>
      <c r="J35" s="51" t="e">
        <f>INDEX(Input!$D$2:$AC$500,
       MATCH(B35, Input!$J$2:$J$500, 0),
       MATCH("Total Memory", Input!$D$1:$AC$1, 0))</f>
        <v>#N/A</v>
      </c>
      <c r="K35" s="51" t="e">
        <f>INDEX(Input!$D$2:$AC$500,
       MATCH(B35, Input!$J$2:$J$500, 0),
       MATCH("Memory Type", Input!$D$1:$AC$1, 0))</f>
        <v>#N/A</v>
      </c>
      <c r="L35" s="51" t="str" cm="1">
        <f t="array" ref="L35">IFERROR(_xlfn.FILTERXML("&lt;t&gt;&lt;s&gt;" &amp; SUBSTITUTE(K35," / ","&lt;/s&gt;&lt;s&gt;") &amp; "&lt;/s&gt;&lt;/t&gt;","(//s[contains(.,'DDR')])[1]"),"")</f>
        <v/>
      </c>
      <c r="M35" s="32" t="e">
        <f t="shared" si="2"/>
        <v>#N/A</v>
      </c>
      <c r="N35" s="51" t="e">
        <f>INDEX(Input!$D$2:$AC$500,
       MATCH(B35, Input!$J$2:$J$500, 0),
       MATCH("Disk Interface Type", Input!$D$1:$AC$1, 0))</f>
        <v>#N/A</v>
      </c>
      <c r="O35" s="51" t="str" cm="1">
        <f t="array" ref="O35">IFERROR(_xlfn.TEXTJOIN(", ", TRUE, _xlfn._xlws.FILTER(
    INDEX(Input!$D$2:$AC$500,,MATCH("Disk Capacity",Input!$D$1:$AC$1,0)),
    Input!$J$2:$J$500=B35
)), "")</f>
        <v/>
      </c>
      <c r="P35" s="32" t="e">
        <f t="shared" si="1"/>
        <v>#N/A</v>
      </c>
      <c r="Q35" s="51" t="e">
        <f>_xlfn.LET(_xlpm.Result,INDEX(Input!$D$2:$AC$500,
       MATCH(B35, Input!$J$2:$J$500, 0),
       MATCH("Capacity", Input!$D$1:$AC$1, 0)),IF(_xlpm.Result="","",_xlpm.Result))</f>
        <v>#N/A</v>
      </c>
      <c r="R35" s="51" t="e" cm="1">
        <f t="array" ref="R35">_xlfn.TEXTSPLIT(Q35," / ", ,TRUE,0,)</f>
        <v>#N/A</v>
      </c>
      <c r="S35" s="51"/>
      <c r="T35" s="51" t="str" cm="1">
        <f t="array" ref="T35">IFERROR(_xlfn.IFS(
R35="","",
--R35&lt;55,"Battery Defect",
--R35&lt;=69,"Battery D",
--R35&lt;=80,"Battery C",
--R35&gt;80,""
),"")</f>
        <v/>
      </c>
      <c r="U35" s="51" t="str" cm="1">
        <f t="array" ref="U35">IFERROR(_xlfn.IFS(
S35="","",
--S35&lt;55,"Battery Defect",
--S35&lt;=69,"Battery D",
--S35&lt;=80,"Battery C",
--S35&gt;80,""
),"")</f>
        <v/>
      </c>
      <c r="V35" s="51" t="str" cm="1">
        <f t="array" ref="V35:AC35">IFERROR(IF(_xlfn.XLOOKUP(B35,Input!J:J,Input!N:U)=0,"",
          _xlfn.XLOOKUP(B35,Input!J:J,Input!N:U)),"")</f>
        <v/>
      </c>
      <c r="W35" s="51" t="str">
        <v/>
      </c>
      <c r="X35" s="51" t="str">
        <v/>
      </c>
      <c r="Y35" s="51" t="str">
        <v/>
      </c>
      <c r="Z35" s="51" t="str">
        <v/>
      </c>
      <c r="AA35" s="51" t="str">
        <v/>
      </c>
      <c r="AB35" s="51" t="str">
        <v/>
      </c>
      <c r="AC35" s="51" t="str">
        <v/>
      </c>
      <c r="AD35" s="32" t="str">
        <f t="shared" si="0"/>
        <v/>
      </c>
      <c r="AE35" s="32" t="str">
        <f>_xlfn.XLOOKUP(B:B,Disk_Pivot!G:G,Disk_Pivot!I:I)</f>
        <v>Yes x2</v>
      </c>
      <c r="AF35" s="32" t="str">
        <f>_xlfn.XLOOKUP(B35,Disk_Pivot!G:G,Disk_Pivot!N:N)</f>
        <v>Pass, Fail</v>
      </c>
      <c r="AG35" s="32"/>
      <c r="AH35" s="32"/>
      <c r="AI35" s="32"/>
      <c r="AJ35" s="32"/>
      <c r="AK35" s="32"/>
      <c r="AL35" s="32"/>
    </row>
    <row r="36" spans="1:38">
      <c r="A36" s="32" t="str">
        <f>_xlfn.TEXTJOIN("",TRUE,_xlfn.XLOOKUP(B36,Input!J:J,Input!G:G,"",0,1),_xlfn.XLOOKUP(B36,Input!J:J,Input!H:H,"",0,1))</f>
        <v/>
      </c>
      <c r="B36" s="32"/>
      <c r="C36" s="51">
        <f>_xlfn.XLOOKUP(B36,Input!J:J,Input!F:F)</f>
        <v>0</v>
      </c>
      <c r="D36" s="32">
        <f>_xlfn.XLOOKUP(C36,Models!H:H,Models!G:G,C36)</f>
        <v>0</v>
      </c>
      <c r="E36" s="32">
        <f>_xlfn.XLOOKUP(B36,Input!J:J,Input!E:E)</f>
        <v>0</v>
      </c>
      <c r="F36" s="32">
        <f>IF(E36="LENOVO",_xlfn.XLOOKUP(B36,Input!J:J,Input!K:K),_xlfn.XLOOKUP(B36,Input!J:J,Input!L:L))</f>
        <v>0</v>
      </c>
      <c r="G36" s="32"/>
      <c r="H36" s="32"/>
      <c r="I36" s="32">
        <f>_xlfn.XLOOKUP(B36,CPU_Formula!A:A,CPU_Formula!I:I)</f>
        <v>0</v>
      </c>
      <c r="J36" s="51" t="e">
        <f>INDEX(Input!$D$2:$AC$500,
       MATCH(B36, Input!$J$2:$J$500, 0),
       MATCH("Total Memory", Input!$D$1:$AC$1, 0))</f>
        <v>#N/A</v>
      </c>
      <c r="K36" s="51" t="e">
        <f>INDEX(Input!$D$2:$AC$500,
       MATCH(B36, Input!$J$2:$J$500, 0),
       MATCH("Memory Type", Input!$D$1:$AC$1, 0))</f>
        <v>#N/A</v>
      </c>
      <c r="L36" s="51" t="str" cm="1">
        <f t="array" ref="L36">IFERROR(_xlfn.FILTERXML("&lt;t&gt;&lt;s&gt;" &amp; SUBSTITUTE(K36," / ","&lt;/s&gt;&lt;s&gt;") &amp; "&lt;/s&gt;&lt;/t&gt;","(//s[contains(.,'DDR')])[1]"),"")</f>
        <v/>
      </c>
      <c r="M36" s="32" t="e">
        <f t="shared" si="2"/>
        <v>#N/A</v>
      </c>
      <c r="N36" s="51" t="e">
        <f>INDEX(Input!$D$2:$AC$500,
       MATCH(B36, Input!$J$2:$J$500, 0),
       MATCH("Disk Interface Type", Input!$D$1:$AC$1, 0))</f>
        <v>#N/A</v>
      </c>
      <c r="O36" s="51" t="str" cm="1">
        <f t="array" ref="O36">IFERROR(_xlfn.TEXTJOIN(", ", TRUE, _xlfn._xlws.FILTER(
    INDEX(Input!$D$2:$AC$500,,MATCH("Disk Capacity",Input!$D$1:$AC$1,0)),
    Input!$J$2:$J$500=B36
)), "")</f>
        <v/>
      </c>
      <c r="P36" s="32" t="e">
        <f t="shared" si="1"/>
        <v>#N/A</v>
      </c>
      <c r="Q36" s="51" t="e">
        <f>_xlfn.LET(_xlpm.Result,INDEX(Input!$D$2:$AC$500,
       MATCH(B36, Input!$J$2:$J$500, 0),
       MATCH("Capacity", Input!$D$1:$AC$1, 0)),IF(_xlpm.Result="","",_xlpm.Result))</f>
        <v>#N/A</v>
      </c>
      <c r="R36" s="51" t="e" cm="1">
        <f t="array" ref="R36">_xlfn.TEXTSPLIT(Q36," / ", ,TRUE,0,)</f>
        <v>#N/A</v>
      </c>
      <c r="S36" s="51"/>
      <c r="T36" s="51" t="str" cm="1">
        <f t="array" ref="T36">IFERROR(_xlfn.IFS(
R36="","",
--R36&lt;55,"Battery Defect",
--R36&lt;=69,"Battery D",
--R36&lt;=80,"Battery C",
--R36&gt;80,""
),"")</f>
        <v/>
      </c>
      <c r="U36" s="51" t="str" cm="1">
        <f t="array" ref="U36">IFERROR(_xlfn.IFS(
S36="","",
--S36&lt;55,"Battery Defect",
--S36&lt;=69,"Battery D",
--S36&lt;=80,"Battery C",
--S36&gt;80,""
),"")</f>
        <v/>
      </c>
      <c r="V36" s="51" t="str" cm="1">
        <f t="array" ref="V36:AC36">IFERROR(IF(_xlfn.XLOOKUP(B36,Input!J:J,Input!N:U)=0,"",
          _xlfn.XLOOKUP(B36,Input!J:J,Input!N:U)),"")</f>
        <v/>
      </c>
      <c r="W36" s="51" t="str">
        <v/>
      </c>
      <c r="X36" s="51" t="str">
        <v/>
      </c>
      <c r="Y36" s="51" t="str">
        <v/>
      </c>
      <c r="Z36" s="51" t="str">
        <v/>
      </c>
      <c r="AA36" s="51" t="str">
        <v/>
      </c>
      <c r="AB36" s="51" t="str">
        <v/>
      </c>
      <c r="AC36" s="51" t="str">
        <v/>
      </c>
      <c r="AD36" s="32" t="str">
        <f t="shared" si="0"/>
        <v/>
      </c>
      <c r="AE36" s="32" t="str">
        <f>_xlfn.XLOOKUP(B:B,Disk_Pivot!G:G,Disk_Pivot!I:I)</f>
        <v>Yes x2</v>
      </c>
      <c r="AF36" s="32" t="str">
        <f>_xlfn.XLOOKUP(B36,Disk_Pivot!G:G,Disk_Pivot!N:N)</f>
        <v>Pass, Fail</v>
      </c>
      <c r="AG36" s="32"/>
      <c r="AH36" s="32"/>
      <c r="AI36" s="32"/>
      <c r="AJ36" s="32"/>
      <c r="AK36" s="32"/>
      <c r="AL36" s="32"/>
    </row>
    <row r="37" spans="1:38">
      <c r="A37" s="32" t="str">
        <f>_xlfn.TEXTJOIN("",TRUE,_xlfn.XLOOKUP(B37,Input!J:J,Input!G:G,"",0,1),_xlfn.XLOOKUP(B37,Input!J:J,Input!H:H,"",0,1))</f>
        <v/>
      </c>
      <c r="B37" s="32"/>
      <c r="C37" s="51">
        <f>_xlfn.XLOOKUP(B37,Input!J:J,Input!F:F)</f>
        <v>0</v>
      </c>
      <c r="D37" s="32">
        <f>_xlfn.XLOOKUP(C37,Models!H:H,Models!G:G,C37)</f>
        <v>0</v>
      </c>
      <c r="E37" s="32">
        <f>_xlfn.XLOOKUP(B37,Input!J:J,Input!E:E)</f>
        <v>0</v>
      </c>
      <c r="F37" s="32">
        <f>IF(E37="LENOVO",_xlfn.XLOOKUP(B37,Input!J:J,Input!K:K),_xlfn.XLOOKUP(B37,Input!J:J,Input!L:L))</f>
        <v>0</v>
      </c>
      <c r="G37" s="32"/>
      <c r="H37" s="32"/>
      <c r="I37" s="32">
        <f>_xlfn.XLOOKUP(B37,CPU_Formula!A:A,CPU_Formula!I:I)</f>
        <v>0</v>
      </c>
      <c r="J37" s="51" t="e">
        <f>INDEX(Input!$D$2:$AC$500,
       MATCH(B37, Input!$J$2:$J$500, 0),
       MATCH("Total Memory", Input!$D$1:$AC$1, 0))</f>
        <v>#N/A</v>
      </c>
      <c r="K37" s="51" t="e">
        <f>INDEX(Input!$D$2:$AC$500,
       MATCH(B37, Input!$J$2:$J$500, 0),
       MATCH("Memory Type", Input!$D$1:$AC$1, 0))</f>
        <v>#N/A</v>
      </c>
      <c r="L37" s="51" t="str" cm="1">
        <f t="array" ref="L37">IFERROR(_xlfn.FILTERXML("&lt;t&gt;&lt;s&gt;" &amp; SUBSTITUTE(K37," / ","&lt;/s&gt;&lt;s&gt;") &amp; "&lt;/s&gt;&lt;/t&gt;","(//s[contains(.,'DDR')])[1]"),"")</f>
        <v/>
      </c>
      <c r="M37" s="32" t="e">
        <f t="shared" si="2"/>
        <v>#N/A</v>
      </c>
      <c r="N37" s="51" t="e">
        <f>INDEX(Input!$D$2:$AC$500,
       MATCH(B37, Input!$J$2:$J$500, 0),
       MATCH("Disk Interface Type", Input!$D$1:$AC$1, 0))</f>
        <v>#N/A</v>
      </c>
      <c r="O37" s="51" t="str" cm="1">
        <f t="array" ref="O37">IFERROR(_xlfn.TEXTJOIN(", ", TRUE, _xlfn._xlws.FILTER(
    INDEX(Input!$D$2:$AC$500,,MATCH("Disk Capacity",Input!$D$1:$AC$1,0)),
    Input!$J$2:$J$500=B37
)), "")</f>
        <v/>
      </c>
      <c r="P37" s="32" t="e">
        <f t="shared" si="1"/>
        <v>#N/A</v>
      </c>
      <c r="Q37" s="51" t="e">
        <f>_xlfn.LET(_xlpm.Result,INDEX(Input!$D$2:$AC$500,
       MATCH(B37, Input!$J$2:$J$500, 0),
       MATCH("Capacity", Input!$D$1:$AC$1, 0)),IF(_xlpm.Result="","",_xlpm.Result))</f>
        <v>#N/A</v>
      </c>
      <c r="R37" s="51" t="e" cm="1">
        <f t="array" ref="R37">_xlfn.TEXTSPLIT(Q37," / ", ,TRUE,0,)</f>
        <v>#N/A</v>
      </c>
      <c r="S37" s="51"/>
      <c r="T37" s="51" t="str" cm="1">
        <f t="array" ref="T37">IFERROR(_xlfn.IFS(
R37="","",
--R37&lt;55,"Battery Defect",
--R37&lt;=69,"Battery D",
--R37&lt;=80,"Battery C",
--R37&gt;80,""
),"")</f>
        <v/>
      </c>
      <c r="U37" s="51" t="str" cm="1">
        <f t="array" ref="U37">IFERROR(_xlfn.IFS(
S37="","",
--S37&lt;55,"Battery Defect",
--S37&lt;=69,"Battery D",
--S37&lt;=80,"Battery C",
--S37&gt;80,""
),"")</f>
        <v/>
      </c>
      <c r="V37" s="51" t="str" cm="1">
        <f t="array" ref="V37:AC37">IFERROR(IF(_xlfn.XLOOKUP(B37,Input!J:J,Input!N:U)=0,"",
          _xlfn.XLOOKUP(B37,Input!J:J,Input!N:U)),"")</f>
        <v/>
      </c>
      <c r="W37" s="51" t="str">
        <v/>
      </c>
      <c r="X37" s="51" t="str">
        <v/>
      </c>
      <c r="Y37" s="51" t="str">
        <v/>
      </c>
      <c r="Z37" s="51" t="str">
        <v/>
      </c>
      <c r="AA37" s="51" t="str">
        <v/>
      </c>
      <c r="AB37" s="51" t="str">
        <v/>
      </c>
      <c r="AC37" s="51" t="str">
        <v/>
      </c>
      <c r="AD37" s="32" t="str">
        <f t="shared" si="0"/>
        <v/>
      </c>
      <c r="AE37" s="32" t="str">
        <f>_xlfn.XLOOKUP(B:B,Disk_Pivot!G:G,Disk_Pivot!I:I)</f>
        <v>Yes x2</v>
      </c>
      <c r="AF37" s="32" t="str">
        <f>_xlfn.XLOOKUP(B37,Disk_Pivot!G:G,Disk_Pivot!N:N)</f>
        <v>Pass, Fail</v>
      </c>
      <c r="AG37" s="32"/>
      <c r="AH37" s="32"/>
      <c r="AI37" s="32"/>
      <c r="AJ37" s="32"/>
      <c r="AK37" s="32"/>
      <c r="AL37" s="32"/>
    </row>
    <row r="38" spans="1:38">
      <c r="A38" s="32" t="str">
        <f>_xlfn.TEXTJOIN("",TRUE,_xlfn.XLOOKUP(B38,Input!J:J,Input!G:G,"",0,1),_xlfn.XLOOKUP(B38,Input!J:J,Input!H:H,"",0,1))</f>
        <v/>
      </c>
      <c r="B38" s="32"/>
      <c r="C38" s="51">
        <f>_xlfn.XLOOKUP(B38,Input!J:J,Input!F:F)</f>
        <v>0</v>
      </c>
      <c r="D38" s="32">
        <f>_xlfn.XLOOKUP(C38,Models!H:H,Models!G:G,C38)</f>
        <v>0</v>
      </c>
      <c r="E38" s="32">
        <f>_xlfn.XLOOKUP(B38,Input!J:J,Input!E:E)</f>
        <v>0</v>
      </c>
      <c r="F38" s="32">
        <f>IF(E38="LENOVO",_xlfn.XLOOKUP(B38,Input!J:J,Input!K:K),_xlfn.XLOOKUP(B38,Input!J:J,Input!L:L))</f>
        <v>0</v>
      </c>
      <c r="G38" s="32"/>
      <c r="H38" s="32"/>
      <c r="I38" s="32">
        <f>_xlfn.XLOOKUP(B38,CPU_Formula!A:A,CPU_Formula!I:I)</f>
        <v>0</v>
      </c>
      <c r="J38" s="51" t="e">
        <f>INDEX(Input!$D$2:$AC$500,
       MATCH(B38, Input!$J$2:$J$500, 0),
       MATCH("Total Memory", Input!$D$1:$AC$1, 0))</f>
        <v>#N/A</v>
      </c>
      <c r="K38" s="51" t="e">
        <f>INDEX(Input!$D$2:$AC$500,
       MATCH(B38, Input!$J$2:$J$500, 0),
       MATCH("Memory Type", Input!$D$1:$AC$1, 0))</f>
        <v>#N/A</v>
      </c>
      <c r="L38" s="51" t="str" cm="1">
        <f t="array" ref="L38">IFERROR(_xlfn.FILTERXML("&lt;t&gt;&lt;s&gt;" &amp; SUBSTITUTE(K38," / ","&lt;/s&gt;&lt;s&gt;") &amp; "&lt;/s&gt;&lt;/t&gt;","(//s[contains(.,'DDR')])[1]"),"")</f>
        <v/>
      </c>
      <c r="M38" s="32" t="e">
        <f t="shared" si="2"/>
        <v>#N/A</v>
      </c>
      <c r="N38" s="51" t="e">
        <f>INDEX(Input!$D$2:$AC$500,
       MATCH(B38, Input!$J$2:$J$500, 0),
       MATCH("Disk Interface Type", Input!$D$1:$AC$1, 0))</f>
        <v>#N/A</v>
      </c>
      <c r="O38" s="51" t="str" cm="1">
        <f t="array" ref="O38">IFERROR(_xlfn.TEXTJOIN(", ", TRUE, _xlfn._xlws.FILTER(
    INDEX(Input!$D$2:$AC$500,,MATCH("Disk Capacity",Input!$D$1:$AC$1,0)),
    Input!$J$2:$J$500=B38
)), "")</f>
        <v/>
      </c>
      <c r="P38" s="32" t="e">
        <f t="shared" si="1"/>
        <v>#N/A</v>
      </c>
      <c r="Q38" s="51" t="e">
        <f>_xlfn.LET(_xlpm.Result,INDEX(Input!$D$2:$AC$500,
       MATCH(B38, Input!$J$2:$J$500, 0),
       MATCH("Capacity", Input!$D$1:$AC$1, 0)),IF(_xlpm.Result="","",_xlpm.Result))</f>
        <v>#N/A</v>
      </c>
      <c r="R38" s="51" t="e" cm="1">
        <f t="array" ref="R38">_xlfn.TEXTSPLIT(Q38," / ", ,TRUE,0,)</f>
        <v>#N/A</v>
      </c>
      <c r="S38" s="51"/>
      <c r="T38" s="51" t="str" cm="1">
        <f t="array" ref="T38">IFERROR(_xlfn.IFS(
R38="","",
--R38&lt;55,"Battery Defect",
--R38&lt;=69,"Battery D",
--R38&lt;=80,"Battery C",
--R38&gt;80,""
),"")</f>
        <v/>
      </c>
      <c r="U38" s="51" t="str" cm="1">
        <f t="array" ref="U38">IFERROR(_xlfn.IFS(
S38="","",
--S38&lt;55,"Battery Defect",
--S38&lt;=69,"Battery D",
--S38&lt;=80,"Battery C",
--S38&gt;80,""
),"")</f>
        <v/>
      </c>
      <c r="V38" s="51" t="str" cm="1">
        <f t="array" ref="V38:AC38">IFERROR(IF(_xlfn.XLOOKUP(B38,Input!J:J,Input!N:U)=0,"",
          _xlfn.XLOOKUP(B38,Input!J:J,Input!N:U)),"")</f>
        <v/>
      </c>
      <c r="W38" s="51" t="str">
        <v/>
      </c>
      <c r="X38" s="51" t="str">
        <v/>
      </c>
      <c r="Y38" s="51" t="str">
        <v/>
      </c>
      <c r="Z38" s="51" t="str">
        <v/>
      </c>
      <c r="AA38" s="51" t="str">
        <v/>
      </c>
      <c r="AB38" s="51" t="str">
        <v/>
      </c>
      <c r="AC38" s="51" t="str">
        <v/>
      </c>
      <c r="AD38" s="32" t="str">
        <f t="shared" si="0"/>
        <v/>
      </c>
      <c r="AE38" s="32" t="str">
        <f>_xlfn.XLOOKUP(B:B,Disk_Pivot!G:G,Disk_Pivot!I:I)</f>
        <v>Yes x2</v>
      </c>
      <c r="AF38" s="32" t="str">
        <f>_xlfn.XLOOKUP(B38,Disk_Pivot!G:G,Disk_Pivot!N:N)</f>
        <v>Pass, Fail</v>
      </c>
      <c r="AG38" s="32"/>
      <c r="AH38" s="32"/>
      <c r="AI38" s="32"/>
      <c r="AJ38" s="32"/>
      <c r="AK38" s="32"/>
      <c r="AL38" s="32"/>
    </row>
    <row r="39" spans="1:38">
      <c r="A39" s="32" t="str">
        <f>_xlfn.TEXTJOIN("",TRUE,_xlfn.XLOOKUP(B39,Input!J:J,Input!G:G,"",0,1),_xlfn.XLOOKUP(B39,Input!J:J,Input!H:H,"",0,1))</f>
        <v/>
      </c>
      <c r="B39" s="32"/>
      <c r="C39" s="51">
        <f>_xlfn.XLOOKUP(B39,Input!J:J,Input!F:F)</f>
        <v>0</v>
      </c>
      <c r="D39" s="32">
        <f>_xlfn.XLOOKUP(C39,Models!H:H,Models!G:G,C39)</f>
        <v>0</v>
      </c>
      <c r="E39" s="32">
        <f>_xlfn.XLOOKUP(B39,Input!J:J,Input!E:E)</f>
        <v>0</v>
      </c>
      <c r="F39" s="32">
        <f>IF(E39="LENOVO",_xlfn.XLOOKUP(B39,Input!J:J,Input!K:K),_xlfn.XLOOKUP(B39,Input!J:J,Input!L:L))</f>
        <v>0</v>
      </c>
      <c r="G39" s="32"/>
      <c r="H39" s="32"/>
      <c r="I39" s="32">
        <f>_xlfn.XLOOKUP(B39,CPU_Formula!A:A,CPU_Formula!I:I)</f>
        <v>0</v>
      </c>
      <c r="J39" s="51" t="e">
        <f>INDEX(Input!$D$2:$AC$500,
       MATCH(B39, Input!$J$2:$J$500, 0),
       MATCH("Total Memory", Input!$D$1:$AC$1, 0))</f>
        <v>#N/A</v>
      </c>
      <c r="K39" s="51" t="e">
        <f>INDEX(Input!$D$2:$AC$500,
       MATCH(B39, Input!$J$2:$J$500, 0),
       MATCH("Memory Type", Input!$D$1:$AC$1, 0))</f>
        <v>#N/A</v>
      </c>
      <c r="L39" s="51" t="str" cm="1">
        <f t="array" ref="L39">IFERROR(_xlfn.FILTERXML("&lt;t&gt;&lt;s&gt;" &amp; SUBSTITUTE(K39," / ","&lt;/s&gt;&lt;s&gt;") &amp; "&lt;/s&gt;&lt;/t&gt;","(//s[contains(.,'DDR')])[1]"),"")</f>
        <v/>
      </c>
      <c r="M39" s="32" t="e">
        <f t="shared" si="2"/>
        <v>#N/A</v>
      </c>
      <c r="N39" s="51" t="e">
        <f>INDEX(Input!$D$2:$AC$500,
       MATCH(B39, Input!$J$2:$J$500, 0),
       MATCH("Disk Interface Type", Input!$D$1:$AC$1, 0))</f>
        <v>#N/A</v>
      </c>
      <c r="O39" s="51" t="str" cm="1">
        <f t="array" ref="O39">IFERROR(_xlfn.TEXTJOIN(", ", TRUE, _xlfn._xlws.FILTER(
    INDEX(Input!$D$2:$AC$500,,MATCH("Disk Capacity",Input!$D$1:$AC$1,0)),
    Input!$J$2:$J$500=B39
)), "")</f>
        <v/>
      </c>
      <c r="P39" s="32" t="e">
        <f t="shared" si="1"/>
        <v>#N/A</v>
      </c>
      <c r="Q39" s="51" t="e">
        <f>_xlfn.LET(_xlpm.Result,INDEX(Input!$D$2:$AC$500,
       MATCH(B39, Input!$J$2:$J$500, 0),
       MATCH("Capacity", Input!$D$1:$AC$1, 0)),IF(_xlpm.Result="","",_xlpm.Result))</f>
        <v>#N/A</v>
      </c>
      <c r="R39" s="51" t="e" cm="1">
        <f t="array" ref="R39">_xlfn.TEXTSPLIT(Q39," / ", ,TRUE,0,)</f>
        <v>#N/A</v>
      </c>
      <c r="S39" s="51"/>
      <c r="T39" s="51" t="str" cm="1">
        <f t="array" ref="T39">IFERROR(_xlfn.IFS(
R39="","",
--R39&lt;55,"Battery Defect",
--R39&lt;=69,"Battery D",
--R39&lt;=80,"Battery C",
--R39&gt;80,""
),"")</f>
        <v/>
      </c>
      <c r="U39" s="51" t="str" cm="1">
        <f t="array" ref="U39">IFERROR(_xlfn.IFS(
S39="","",
--S39&lt;55,"Battery Defect",
--S39&lt;=69,"Battery D",
--S39&lt;=80,"Battery C",
--S39&gt;80,""
),"")</f>
        <v/>
      </c>
      <c r="V39" s="51" t="str" cm="1">
        <f t="array" ref="V39:AC39">IFERROR(IF(_xlfn.XLOOKUP(B39,Input!J:J,Input!N:U)=0,"",
          _xlfn.XLOOKUP(B39,Input!J:J,Input!N:U)),"")</f>
        <v/>
      </c>
      <c r="W39" s="51" t="str">
        <v/>
      </c>
      <c r="X39" s="51" t="str">
        <v/>
      </c>
      <c r="Y39" s="51" t="str">
        <v/>
      </c>
      <c r="Z39" s="51" t="str">
        <v/>
      </c>
      <c r="AA39" s="51" t="str">
        <v/>
      </c>
      <c r="AB39" s="51" t="str">
        <v/>
      </c>
      <c r="AC39" s="51" t="str">
        <v/>
      </c>
      <c r="AD39" s="32" t="str">
        <f t="shared" si="0"/>
        <v/>
      </c>
      <c r="AE39" s="32" t="str">
        <f>_xlfn.XLOOKUP(B:B,Disk_Pivot!G:G,Disk_Pivot!I:I)</f>
        <v>Yes x2</v>
      </c>
      <c r="AF39" s="32" t="str">
        <f>_xlfn.XLOOKUP(B39,Disk_Pivot!G:G,Disk_Pivot!N:N)</f>
        <v>Pass, Fail</v>
      </c>
      <c r="AG39" s="32"/>
      <c r="AH39" s="32"/>
      <c r="AI39" s="32"/>
      <c r="AJ39" s="32"/>
      <c r="AK39" s="32"/>
      <c r="AL39" s="32"/>
    </row>
    <row r="40" spans="1:38">
      <c r="A40" s="32" t="str">
        <f>_xlfn.TEXTJOIN("",TRUE,_xlfn.XLOOKUP(B40,Input!J:J,Input!G:G,"",0,1),_xlfn.XLOOKUP(B40,Input!J:J,Input!H:H,"",0,1))</f>
        <v/>
      </c>
      <c r="B40" s="32"/>
      <c r="C40" s="51">
        <f>_xlfn.XLOOKUP(B40,Input!J:J,Input!F:F)</f>
        <v>0</v>
      </c>
      <c r="D40" s="32">
        <f>_xlfn.XLOOKUP(C40,Models!H:H,Models!G:G,C40)</f>
        <v>0</v>
      </c>
      <c r="E40" s="32">
        <f>_xlfn.XLOOKUP(B40,Input!J:J,Input!E:E)</f>
        <v>0</v>
      </c>
      <c r="F40" s="32">
        <f>IF(E40="LENOVO",_xlfn.XLOOKUP(B40,Input!J:J,Input!K:K),_xlfn.XLOOKUP(B40,Input!J:J,Input!L:L))</f>
        <v>0</v>
      </c>
      <c r="G40" s="32"/>
      <c r="H40" s="32"/>
      <c r="I40" s="32">
        <f>_xlfn.XLOOKUP(B40,CPU_Formula!A:A,CPU_Formula!I:I)</f>
        <v>0</v>
      </c>
      <c r="J40" s="51" t="e">
        <f>INDEX(Input!$D$2:$AC$500,
       MATCH(B40, Input!$J$2:$J$500, 0),
       MATCH("Total Memory", Input!$D$1:$AC$1, 0))</f>
        <v>#N/A</v>
      </c>
      <c r="K40" s="51" t="e">
        <f>INDEX(Input!$D$2:$AC$500,
       MATCH(B40, Input!$J$2:$J$500, 0),
       MATCH("Memory Type", Input!$D$1:$AC$1, 0))</f>
        <v>#N/A</v>
      </c>
      <c r="L40" s="51" t="str" cm="1">
        <f t="array" ref="L40">IFERROR(_xlfn.FILTERXML("&lt;t&gt;&lt;s&gt;" &amp; SUBSTITUTE(K40," / ","&lt;/s&gt;&lt;s&gt;") &amp; "&lt;/s&gt;&lt;/t&gt;","(//s[contains(.,'DDR')])[1]"),"")</f>
        <v/>
      </c>
      <c r="M40" s="32" t="e">
        <f t="shared" si="2"/>
        <v>#N/A</v>
      </c>
      <c r="N40" s="51" t="e">
        <f>INDEX(Input!$D$2:$AC$500,
       MATCH(B40, Input!$J$2:$J$500, 0),
       MATCH("Disk Interface Type", Input!$D$1:$AC$1, 0))</f>
        <v>#N/A</v>
      </c>
      <c r="O40" s="51" t="str" cm="1">
        <f t="array" ref="O40">IFERROR(_xlfn.TEXTJOIN(", ", TRUE, _xlfn._xlws.FILTER(
    INDEX(Input!$D$2:$AC$500,,MATCH("Disk Capacity",Input!$D$1:$AC$1,0)),
    Input!$J$2:$J$500=B40
)), "")</f>
        <v/>
      </c>
      <c r="P40" s="32" t="e">
        <f t="shared" si="1"/>
        <v>#N/A</v>
      </c>
      <c r="Q40" s="51" t="e">
        <f>_xlfn.LET(_xlpm.Result,INDEX(Input!$D$2:$AC$500,
       MATCH(B40, Input!$J$2:$J$500, 0),
       MATCH("Capacity", Input!$D$1:$AC$1, 0)),IF(_xlpm.Result="","",_xlpm.Result))</f>
        <v>#N/A</v>
      </c>
      <c r="R40" s="51" t="e" cm="1">
        <f t="array" ref="R40">_xlfn.TEXTSPLIT(Q40," / ", ,TRUE,0,)</f>
        <v>#N/A</v>
      </c>
      <c r="S40" s="51"/>
      <c r="T40" s="51" t="str" cm="1">
        <f t="array" ref="T40">IFERROR(_xlfn.IFS(
R40="","",
--R40&lt;55,"Battery Defect",
--R40&lt;=69,"Battery D",
--R40&lt;=80,"Battery C",
--R40&gt;80,""
),"")</f>
        <v/>
      </c>
      <c r="U40" s="51" t="str" cm="1">
        <f t="array" ref="U40">IFERROR(_xlfn.IFS(
S40="","",
--S40&lt;55,"Battery Defect",
--S40&lt;=69,"Battery D",
--S40&lt;=80,"Battery C",
--S40&gt;80,""
),"")</f>
        <v/>
      </c>
      <c r="V40" s="51" t="str" cm="1">
        <f t="array" ref="V40:AC40">IFERROR(IF(_xlfn.XLOOKUP(B40,Input!J:J,Input!N:U)=0,"",
          _xlfn.XLOOKUP(B40,Input!J:J,Input!N:U)),"")</f>
        <v/>
      </c>
      <c r="W40" s="51" t="str">
        <v/>
      </c>
      <c r="X40" s="51" t="str">
        <v/>
      </c>
      <c r="Y40" s="51" t="str">
        <v/>
      </c>
      <c r="Z40" s="51" t="str">
        <v/>
      </c>
      <c r="AA40" s="51" t="str">
        <v/>
      </c>
      <c r="AB40" s="51" t="str">
        <v/>
      </c>
      <c r="AC40" s="51" t="str">
        <v/>
      </c>
      <c r="AD40" s="32" t="str">
        <f t="shared" si="0"/>
        <v/>
      </c>
      <c r="AE40" s="32" t="str">
        <f>_xlfn.XLOOKUP(B:B,Disk_Pivot!G:G,Disk_Pivot!I:I)</f>
        <v>Yes x2</v>
      </c>
      <c r="AF40" s="32" t="str">
        <f>_xlfn.XLOOKUP(B40,Disk_Pivot!G:G,Disk_Pivot!N:N)</f>
        <v>Pass, Fail</v>
      </c>
      <c r="AG40" s="32"/>
      <c r="AH40" s="32"/>
      <c r="AI40" s="32"/>
      <c r="AJ40" s="32"/>
      <c r="AK40" s="32"/>
      <c r="AL40" s="32"/>
    </row>
    <row r="41" spans="1:38">
      <c r="A41" s="32" t="str">
        <f>_xlfn.TEXTJOIN("",TRUE,_xlfn.XLOOKUP(B41,Input!J:J,Input!G:G,"",0,1),_xlfn.XLOOKUP(B41,Input!J:J,Input!H:H,"",0,1))</f>
        <v/>
      </c>
      <c r="B41" s="32"/>
      <c r="C41" s="51">
        <f>_xlfn.XLOOKUP(B41,Input!J:J,Input!F:F)</f>
        <v>0</v>
      </c>
      <c r="D41" s="32">
        <f>_xlfn.XLOOKUP(C41,Models!H:H,Models!G:G,C41)</f>
        <v>0</v>
      </c>
      <c r="E41" s="32">
        <f>_xlfn.XLOOKUP(B41,Input!J:J,Input!E:E)</f>
        <v>0</v>
      </c>
      <c r="F41" s="32">
        <f>IF(E41="LENOVO",_xlfn.XLOOKUP(B41,Input!J:J,Input!K:K),_xlfn.XLOOKUP(B41,Input!J:J,Input!L:L))</f>
        <v>0</v>
      </c>
      <c r="G41" s="32"/>
      <c r="H41" s="32"/>
      <c r="I41" s="32">
        <f>_xlfn.XLOOKUP(B41,CPU_Formula!A:A,CPU_Formula!I:I)</f>
        <v>0</v>
      </c>
      <c r="J41" s="51" t="e">
        <f>INDEX(Input!$D$2:$AC$500,
       MATCH(B41, Input!$J$2:$J$500, 0),
       MATCH("Total Memory", Input!$D$1:$AC$1, 0))</f>
        <v>#N/A</v>
      </c>
      <c r="K41" s="51" t="e">
        <f>INDEX(Input!$D$2:$AC$500,
       MATCH(B41, Input!$J$2:$J$500, 0),
       MATCH("Memory Type", Input!$D$1:$AC$1, 0))</f>
        <v>#N/A</v>
      </c>
      <c r="L41" s="51" t="str" cm="1">
        <f t="array" ref="L41">IFERROR(_xlfn.FILTERXML("&lt;t&gt;&lt;s&gt;" &amp; SUBSTITUTE(K41," / ","&lt;/s&gt;&lt;s&gt;") &amp; "&lt;/s&gt;&lt;/t&gt;","(//s[contains(.,'DDR')])[1]"),"")</f>
        <v/>
      </c>
      <c r="M41" s="32" t="e">
        <f t="shared" si="2"/>
        <v>#N/A</v>
      </c>
      <c r="N41" s="51" t="e">
        <f>INDEX(Input!$D$2:$AC$500,
       MATCH(B41, Input!$J$2:$J$500, 0),
       MATCH("Disk Interface Type", Input!$D$1:$AC$1, 0))</f>
        <v>#N/A</v>
      </c>
      <c r="O41" s="51" t="str" cm="1">
        <f t="array" ref="O41">IFERROR(_xlfn.TEXTJOIN(", ", TRUE, _xlfn._xlws.FILTER(
    INDEX(Input!$D$2:$AC$500,,MATCH("Disk Capacity",Input!$D$1:$AC$1,0)),
    Input!$J$2:$J$500=B41
)), "")</f>
        <v/>
      </c>
      <c r="P41" s="32" t="e">
        <f t="shared" si="1"/>
        <v>#N/A</v>
      </c>
      <c r="Q41" s="51" t="e">
        <f>_xlfn.LET(_xlpm.Result,INDEX(Input!$D$2:$AC$500,
       MATCH(B41, Input!$J$2:$J$500, 0),
       MATCH("Capacity", Input!$D$1:$AC$1, 0)),IF(_xlpm.Result="","",_xlpm.Result))</f>
        <v>#N/A</v>
      </c>
      <c r="R41" s="51" t="e" cm="1">
        <f t="array" ref="R41">_xlfn.TEXTSPLIT(Q41," / ", ,TRUE,0,)</f>
        <v>#N/A</v>
      </c>
      <c r="S41" s="51"/>
      <c r="T41" s="51" t="str" cm="1">
        <f t="array" ref="T41">IFERROR(_xlfn.IFS(
R41="","",
--R41&lt;55,"Battery Defect",
--R41&lt;=69,"Battery D",
--R41&lt;=80,"Battery C",
--R41&gt;80,""
),"")</f>
        <v/>
      </c>
      <c r="U41" s="51" t="str" cm="1">
        <f t="array" ref="U41">IFERROR(_xlfn.IFS(
S41="","",
--S41&lt;55,"Battery Defect",
--S41&lt;=69,"Battery D",
--S41&lt;=80,"Battery C",
--S41&gt;80,""
),"")</f>
        <v/>
      </c>
      <c r="V41" s="51" t="str" cm="1">
        <f t="array" ref="V41:AC41">IFERROR(IF(_xlfn.XLOOKUP(B41,Input!J:J,Input!N:U)=0,"",
          _xlfn.XLOOKUP(B41,Input!J:J,Input!N:U)),"")</f>
        <v/>
      </c>
      <c r="W41" s="51" t="str">
        <v/>
      </c>
      <c r="X41" s="51" t="str">
        <v/>
      </c>
      <c r="Y41" s="51" t="str">
        <v/>
      </c>
      <c r="Z41" s="51" t="str">
        <v/>
      </c>
      <c r="AA41" s="51" t="str">
        <v/>
      </c>
      <c r="AB41" s="51" t="str">
        <v/>
      </c>
      <c r="AC41" s="51" t="str">
        <v/>
      </c>
      <c r="AD41" s="32" t="str">
        <f t="shared" si="0"/>
        <v/>
      </c>
      <c r="AE41" s="32" t="str">
        <f>_xlfn.XLOOKUP(B:B,Disk_Pivot!G:G,Disk_Pivot!I:I)</f>
        <v>Yes x2</v>
      </c>
      <c r="AF41" s="32" t="str">
        <f>_xlfn.XLOOKUP(B41,Disk_Pivot!G:G,Disk_Pivot!N:N)</f>
        <v>Pass, Fail</v>
      </c>
      <c r="AG41" s="32"/>
      <c r="AH41" s="32"/>
      <c r="AI41" s="32"/>
      <c r="AJ41" s="32"/>
      <c r="AK41" s="32"/>
      <c r="AL41" s="32"/>
    </row>
    <row r="42" spans="1:38">
      <c r="A42" s="32" t="str">
        <f>_xlfn.TEXTJOIN("",TRUE,_xlfn.XLOOKUP(B42,Input!J:J,Input!G:G,"",0,1),_xlfn.XLOOKUP(B42,Input!J:J,Input!H:H,"",0,1))</f>
        <v/>
      </c>
      <c r="B42" s="32"/>
      <c r="C42" s="51">
        <f>_xlfn.XLOOKUP(B42,Input!J:J,Input!F:F)</f>
        <v>0</v>
      </c>
      <c r="D42" s="32">
        <f>_xlfn.XLOOKUP(C42,Models!H:H,Models!G:G,C42)</f>
        <v>0</v>
      </c>
      <c r="E42" s="32">
        <f>_xlfn.XLOOKUP(B42,Input!J:J,Input!E:E)</f>
        <v>0</v>
      </c>
      <c r="F42" s="32">
        <f>IF(E42="LENOVO",_xlfn.XLOOKUP(B42,Input!J:J,Input!K:K),_xlfn.XLOOKUP(B42,Input!J:J,Input!L:L))</f>
        <v>0</v>
      </c>
      <c r="G42" s="32"/>
      <c r="H42" s="32"/>
      <c r="I42" s="32">
        <f>_xlfn.XLOOKUP(B42,CPU_Formula!A:A,CPU_Formula!I:I)</f>
        <v>0</v>
      </c>
      <c r="J42" s="51" t="e">
        <f>INDEX(Input!$D$2:$AC$500,
       MATCH(B42, Input!$J$2:$J$500, 0),
       MATCH("Total Memory", Input!$D$1:$AC$1, 0))</f>
        <v>#N/A</v>
      </c>
      <c r="K42" s="51" t="e">
        <f>INDEX(Input!$D$2:$AC$500,
       MATCH(B42, Input!$J$2:$J$500, 0),
       MATCH("Memory Type", Input!$D$1:$AC$1, 0))</f>
        <v>#N/A</v>
      </c>
      <c r="L42" s="51" t="str" cm="1">
        <f t="array" ref="L42">IFERROR(_xlfn.FILTERXML("&lt;t&gt;&lt;s&gt;" &amp; SUBSTITUTE(K42," / ","&lt;/s&gt;&lt;s&gt;") &amp; "&lt;/s&gt;&lt;/t&gt;","(//s[contains(.,'DDR')])[1]"),"")</f>
        <v/>
      </c>
      <c r="M42" s="32" t="e">
        <f t="shared" si="2"/>
        <v>#N/A</v>
      </c>
      <c r="N42" s="51" t="e">
        <f>INDEX(Input!$D$2:$AC$500,
       MATCH(B42, Input!$J$2:$J$500, 0),
       MATCH("Disk Interface Type", Input!$D$1:$AC$1, 0))</f>
        <v>#N/A</v>
      </c>
      <c r="O42" s="51" t="str" cm="1">
        <f t="array" ref="O42">IFERROR(_xlfn.TEXTJOIN(", ", TRUE, _xlfn._xlws.FILTER(
    INDEX(Input!$D$2:$AC$500,,MATCH("Disk Capacity",Input!$D$1:$AC$1,0)),
    Input!$J$2:$J$500=B42
)), "")</f>
        <v/>
      </c>
      <c r="P42" s="32" t="e">
        <f t="shared" si="1"/>
        <v>#N/A</v>
      </c>
      <c r="Q42" s="51" t="e">
        <f>_xlfn.LET(_xlpm.Result,INDEX(Input!$D$2:$AC$500,
       MATCH(B42, Input!$J$2:$J$500, 0),
       MATCH("Capacity", Input!$D$1:$AC$1, 0)),IF(_xlpm.Result="","",_xlpm.Result))</f>
        <v>#N/A</v>
      </c>
      <c r="R42" s="51" t="e" cm="1">
        <f t="array" ref="R42">_xlfn.TEXTSPLIT(Q42," / ", ,TRUE,0,)</f>
        <v>#N/A</v>
      </c>
      <c r="S42" s="51"/>
      <c r="T42" s="51" t="str" cm="1">
        <f t="array" ref="T42">IFERROR(_xlfn.IFS(
R42="","",
--R42&lt;55,"Battery Defect",
--R42&lt;=69,"Battery D",
--R42&lt;=80,"Battery C",
--R42&gt;80,""
),"")</f>
        <v/>
      </c>
      <c r="U42" s="51" t="str" cm="1">
        <f t="array" ref="U42">IFERROR(_xlfn.IFS(
S42="","",
--S42&lt;55,"Battery Defect",
--S42&lt;=69,"Battery D",
--S42&lt;=80,"Battery C",
--S42&gt;80,""
),"")</f>
        <v/>
      </c>
      <c r="V42" s="51" t="str" cm="1">
        <f t="array" ref="V42:AC42">IFERROR(IF(_xlfn.XLOOKUP(B42,Input!J:J,Input!N:U)=0,"",
          _xlfn.XLOOKUP(B42,Input!J:J,Input!N:U)),"")</f>
        <v/>
      </c>
      <c r="W42" s="51" t="str">
        <v/>
      </c>
      <c r="X42" s="51" t="str">
        <v/>
      </c>
      <c r="Y42" s="51" t="str">
        <v/>
      </c>
      <c r="Z42" s="51" t="str">
        <v/>
      </c>
      <c r="AA42" s="51" t="str">
        <v/>
      </c>
      <c r="AB42" s="51" t="str">
        <v/>
      </c>
      <c r="AC42" s="51" t="str">
        <v/>
      </c>
      <c r="AD42" s="32" t="str">
        <f t="shared" si="0"/>
        <v/>
      </c>
      <c r="AE42" s="32" t="str">
        <f>_xlfn.XLOOKUP(B:B,Disk_Pivot!G:G,Disk_Pivot!I:I)</f>
        <v>Yes x2</v>
      </c>
      <c r="AF42" s="32" t="str">
        <f>_xlfn.XLOOKUP(B42,Disk_Pivot!G:G,Disk_Pivot!N:N)</f>
        <v>Pass, Fail</v>
      </c>
      <c r="AG42" s="32"/>
      <c r="AH42" s="32"/>
      <c r="AI42" s="32"/>
      <c r="AJ42" s="32"/>
      <c r="AK42" s="32"/>
      <c r="AL42" s="32"/>
    </row>
    <row r="43" spans="1:38">
      <c r="A43" s="32" t="str">
        <f>_xlfn.TEXTJOIN("",TRUE,_xlfn.XLOOKUP(B43,Input!J:J,Input!G:G,"",0,1),_xlfn.XLOOKUP(B43,Input!J:J,Input!H:H,"",0,1))</f>
        <v/>
      </c>
      <c r="B43" s="32"/>
      <c r="C43" s="51">
        <f>_xlfn.XLOOKUP(B43,Input!J:J,Input!F:F)</f>
        <v>0</v>
      </c>
      <c r="D43" s="32">
        <f>_xlfn.XLOOKUP(C43,Models!H:H,Models!G:G,C43)</f>
        <v>0</v>
      </c>
      <c r="E43" s="32">
        <f>_xlfn.XLOOKUP(B43,Input!J:J,Input!E:E)</f>
        <v>0</v>
      </c>
      <c r="F43" s="32">
        <f>IF(E43="LENOVO",_xlfn.XLOOKUP(B43,Input!J:J,Input!K:K),_xlfn.XLOOKUP(B43,Input!J:J,Input!L:L))</f>
        <v>0</v>
      </c>
      <c r="G43" s="32"/>
      <c r="H43" s="32"/>
      <c r="I43" s="32">
        <f>_xlfn.XLOOKUP(B43,CPU_Formula!A:A,CPU_Formula!I:I)</f>
        <v>0</v>
      </c>
      <c r="J43" s="51" t="e">
        <f>INDEX(Input!$D$2:$AC$500,
       MATCH(B43, Input!$J$2:$J$500, 0),
       MATCH("Total Memory", Input!$D$1:$AC$1, 0))</f>
        <v>#N/A</v>
      </c>
      <c r="K43" s="51" t="e">
        <f>INDEX(Input!$D$2:$AC$500,
       MATCH(B43, Input!$J$2:$J$500, 0),
       MATCH("Memory Type", Input!$D$1:$AC$1, 0))</f>
        <v>#N/A</v>
      </c>
      <c r="L43" s="51" t="str" cm="1">
        <f t="array" ref="L43">IFERROR(_xlfn.FILTERXML("&lt;t&gt;&lt;s&gt;" &amp; SUBSTITUTE(K43," / ","&lt;/s&gt;&lt;s&gt;") &amp; "&lt;/s&gt;&lt;/t&gt;","(//s[contains(.,'DDR')])[1]"),"")</f>
        <v/>
      </c>
      <c r="M43" s="32" t="e">
        <f t="shared" si="2"/>
        <v>#N/A</v>
      </c>
      <c r="N43" s="51" t="e">
        <f>INDEX(Input!$D$2:$AC$500,
       MATCH(B43, Input!$J$2:$J$500, 0),
       MATCH("Disk Interface Type", Input!$D$1:$AC$1, 0))</f>
        <v>#N/A</v>
      </c>
      <c r="O43" s="51" t="str" cm="1">
        <f t="array" ref="O43">IFERROR(_xlfn.TEXTJOIN(", ", TRUE, _xlfn._xlws.FILTER(
    INDEX(Input!$D$2:$AC$500,,MATCH("Disk Capacity",Input!$D$1:$AC$1,0)),
    Input!$J$2:$J$500=B43
)), "")</f>
        <v/>
      </c>
      <c r="P43" s="32" t="e">
        <f t="shared" si="1"/>
        <v>#N/A</v>
      </c>
      <c r="Q43" s="51" t="e">
        <f>_xlfn.LET(_xlpm.Result,INDEX(Input!$D$2:$AC$500,
       MATCH(B43, Input!$J$2:$J$500, 0),
       MATCH("Capacity", Input!$D$1:$AC$1, 0)),IF(_xlpm.Result="","",_xlpm.Result))</f>
        <v>#N/A</v>
      </c>
      <c r="R43" s="51" t="e" cm="1">
        <f t="array" ref="R43">_xlfn.TEXTSPLIT(Q43," / ", ,TRUE,0,)</f>
        <v>#N/A</v>
      </c>
      <c r="S43" s="51"/>
      <c r="T43" s="51" t="str" cm="1">
        <f t="array" ref="T43">IFERROR(_xlfn.IFS(
R43="","",
--R43&lt;55,"Battery Defect",
--R43&lt;=69,"Battery D",
--R43&lt;=80,"Battery C",
--R43&gt;80,""
),"")</f>
        <v/>
      </c>
      <c r="U43" s="51" t="str" cm="1">
        <f t="array" ref="U43">IFERROR(_xlfn.IFS(
S43="","",
--S43&lt;55,"Battery Defect",
--S43&lt;=69,"Battery D",
--S43&lt;=80,"Battery C",
--S43&gt;80,""
),"")</f>
        <v/>
      </c>
      <c r="V43" s="51" t="str" cm="1">
        <f t="array" ref="V43:AC43">IFERROR(IF(_xlfn.XLOOKUP(B43,Input!J:J,Input!N:U)=0,"",
          _xlfn.XLOOKUP(B43,Input!J:J,Input!N:U)),"")</f>
        <v/>
      </c>
      <c r="W43" s="51" t="str">
        <v/>
      </c>
      <c r="X43" s="51" t="str">
        <v/>
      </c>
      <c r="Y43" s="51" t="str">
        <v/>
      </c>
      <c r="Z43" s="51" t="str">
        <v/>
      </c>
      <c r="AA43" s="51" t="str">
        <v/>
      </c>
      <c r="AB43" s="51" t="str">
        <v/>
      </c>
      <c r="AC43" s="51" t="str">
        <v/>
      </c>
      <c r="AD43" s="32" t="str">
        <f t="shared" si="0"/>
        <v/>
      </c>
      <c r="AE43" s="32" t="str">
        <f>_xlfn.XLOOKUP(B:B,Disk_Pivot!G:G,Disk_Pivot!I:I)</f>
        <v>Yes x2</v>
      </c>
      <c r="AF43" s="32" t="str">
        <f>_xlfn.XLOOKUP(B43,Disk_Pivot!G:G,Disk_Pivot!N:N)</f>
        <v>Pass, Fail</v>
      </c>
      <c r="AG43" s="32"/>
      <c r="AH43" s="32"/>
      <c r="AI43" s="32"/>
      <c r="AJ43" s="32"/>
      <c r="AK43" s="32"/>
      <c r="AL43" s="32"/>
    </row>
    <row r="44" spans="1:38">
      <c r="A44" s="32" t="str">
        <f>_xlfn.TEXTJOIN("",TRUE,_xlfn.XLOOKUP(B44,Input!J:J,Input!G:G,"",0,1),_xlfn.XLOOKUP(B44,Input!J:J,Input!H:H,"",0,1))</f>
        <v/>
      </c>
      <c r="B44" s="32"/>
      <c r="C44" s="51">
        <f>_xlfn.XLOOKUP(B44,Input!J:J,Input!F:F)</f>
        <v>0</v>
      </c>
      <c r="D44" s="32">
        <f>_xlfn.XLOOKUP(C44,Models!H:H,Models!G:G,C44)</f>
        <v>0</v>
      </c>
      <c r="E44" s="32">
        <f>_xlfn.XLOOKUP(B44,Input!J:J,Input!E:E)</f>
        <v>0</v>
      </c>
      <c r="F44" s="32">
        <f>IF(E44="LENOVO",_xlfn.XLOOKUP(B44,Input!J:J,Input!K:K),_xlfn.XLOOKUP(B44,Input!J:J,Input!L:L))</f>
        <v>0</v>
      </c>
      <c r="G44" s="32"/>
      <c r="H44" s="32"/>
      <c r="I44" s="32">
        <f>_xlfn.XLOOKUP(B44,CPU_Formula!A:A,CPU_Formula!I:I)</f>
        <v>0</v>
      </c>
      <c r="J44" s="51" t="e">
        <f>INDEX(Input!$D$2:$AC$500,
       MATCH(B44, Input!$J$2:$J$500, 0),
       MATCH("Total Memory", Input!$D$1:$AC$1, 0))</f>
        <v>#N/A</v>
      </c>
      <c r="K44" s="51" t="e">
        <f>INDEX(Input!$D$2:$AC$500,
       MATCH(B44, Input!$J$2:$J$500, 0),
       MATCH("Memory Type", Input!$D$1:$AC$1, 0))</f>
        <v>#N/A</v>
      </c>
      <c r="L44" s="51" t="str" cm="1">
        <f t="array" ref="L44">IFERROR(_xlfn.FILTERXML("&lt;t&gt;&lt;s&gt;" &amp; SUBSTITUTE(K44," / ","&lt;/s&gt;&lt;s&gt;") &amp; "&lt;/s&gt;&lt;/t&gt;","(//s[contains(.,'DDR')])[1]"),"")</f>
        <v/>
      </c>
      <c r="M44" s="32" t="e">
        <f t="shared" si="2"/>
        <v>#N/A</v>
      </c>
      <c r="N44" s="51" t="e">
        <f>INDEX(Input!$D$2:$AC$500,
       MATCH(B44, Input!$J$2:$J$500, 0),
       MATCH("Disk Interface Type", Input!$D$1:$AC$1, 0))</f>
        <v>#N/A</v>
      </c>
      <c r="O44" s="51" t="str" cm="1">
        <f t="array" ref="O44">IFERROR(_xlfn.TEXTJOIN(", ", TRUE, _xlfn._xlws.FILTER(
    INDEX(Input!$D$2:$AC$500,,MATCH("Disk Capacity",Input!$D$1:$AC$1,0)),
    Input!$J$2:$J$500=B44
)), "")</f>
        <v/>
      </c>
      <c r="P44" s="32" t="e">
        <f t="shared" si="1"/>
        <v>#N/A</v>
      </c>
      <c r="Q44" s="51" t="e">
        <f>_xlfn.LET(_xlpm.Result,INDEX(Input!$D$2:$AC$500,
       MATCH(B44, Input!$J$2:$J$500, 0),
       MATCH("Capacity", Input!$D$1:$AC$1, 0)),IF(_xlpm.Result="","",_xlpm.Result))</f>
        <v>#N/A</v>
      </c>
      <c r="R44" s="51" t="e" cm="1">
        <f t="array" ref="R44">_xlfn.TEXTSPLIT(Q44," / ", ,TRUE,0,)</f>
        <v>#N/A</v>
      </c>
      <c r="S44" s="51"/>
      <c r="T44" s="51" t="str" cm="1">
        <f t="array" ref="T44">IFERROR(_xlfn.IFS(
R44="","",
--R44&lt;55,"Battery Defect",
--R44&lt;=69,"Battery D",
--R44&lt;=80,"Battery C",
--R44&gt;80,""
),"")</f>
        <v/>
      </c>
      <c r="U44" s="51" t="str" cm="1">
        <f t="array" ref="U44">IFERROR(_xlfn.IFS(
S44="","",
--S44&lt;55,"Battery Defect",
--S44&lt;=69,"Battery D",
--S44&lt;=80,"Battery C",
--S44&gt;80,""
),"")</f>
        <v/>
      </c>
      <c r="V44" s="51" t="str" cm="1">
        <f t="array" ref="V44:AC44">IFERROR(IF(_xlfn.XLOOKUP(B44,Input!J:J,Input!N:U)=0,"",
          _xlfn.XLOOKUP(B44,Input!J:J,Input!N:U)),"")</f>
        <v/>
      </c>
      <c r="W44" s="51" t="str">
        <v/>
      </c>
      <c r="X44" s="51" t="str">
        <v/>
      </c>
      <c r="Y44" s="51" t="str">
        <v/>
      </c>
      <c r="Z44" s="51" t="str">
        <v/>
      </c>
      <c r="AA44" s="51" t="str">
        <v/>
      </c>
      <c r="AB44" s="51" t="str">
        <v/>
      </c>
      <c r="AC44" s="51" t="str">
        <v/>
      </c>
      <c r="AD44" s="32" t="str">
        <f t="shared" si="0"/>
        <v/>
      </c>
      <c r="AE44" s="32" t="str">
        <f>_xlfn.XLOOKUP(B:B,Disk_Pivot!G:G,Disk_Pivot!I:I)</f>
        <v>Yes x2</v>
      </c>
      <c r="AF44" s="32" t="str">
        <f>_xlfn.XLOOKUP(B44,Disk_Pivot!G:G,Disk_Pivot!N:N)</f>
        <v>Pass, Fail</v>
      </c>
      <c r="AG44" s="32"/>
      <c r="AH44" s="32"/>
      <c r="AI44" s="32"/>
      <c r="AJ44" s="32"/>
      <c r="AK44" s="32"/>
      <c r="AL44" s="32"/>
    </row>
    <row r="45" spans="1:38">
      <c r="A45" s="32" t="str">
        <f>_xlfn.TEXTJOIN("",TRUE,_xlfn.XLOOKUP(B45,Input!J:J,Input!G:G,"",0,1),_xlfn.XLOOKUP(B45,Input!J:J,Input!H:H,"",0,1))</f>
        <v/>
      </c>
      <c r="B45" s="32"/>
      <c r="C45" s="51">
        <f>_xlfn.XLOOKUP(B45,Input!J:J,Input!F:F)</f>
        <v>0</v>
      </c>
      <c r="D45" s="32">
        <f>_xlfn.XLOOKUP(C45,Models!H:H,Models!G:G,C45)</f>
        <v>0</v>
      </c>
      <c r="E45" s="32">
        <f>_xlfn.XLOOKUP(B45,Input!J:J,Input!E:E)</f>
        <v>0</v>
      </c>
      <c r="F45" s="32">
        <f>IF(E45="LENOVO",_xlfn.XLOOKUP(B45,Input!J:J,Input!K:K),_xlfn.XLOOKUP(B45,Input!J:J,Input!L:L))</f>
        <v>0</v>
      </c>
      <c r="G45" s="32"/>
      <c r="H45" s="32"/>
      <c r="I45" s="32">
        <f>_xlfn.XLOOKUP(B45,CPU_Formula!A:A,CPU_Formula!I:I)</f>
        <v>0</v>
      </c>
      <c r="J45" s="51" t="e">
        <f>INDEX(Input!$D$2:$AC$500,
       MATCH(B45, Input!$J$2:$J$500, 0),
       MATCH("Total Memory", Input!$D$1:$AC$1, 0))</f>
        <v>#N/A</v>
      </c>
      <c r="K45" s="51" t="e">
        <f>INDEX(Input!$D$2:$AC$500,
       MATCH(B45, Input!$J$2:$J$500, 0),
       MATCH("Memory Type", Input!$D$1:$AC$1, 0))</f>
        <v>#N/A</v>
      </c>
      <c r="L45" s="51" t="str" cm="1">
        <f t="array" ref="L45">IFERROR(_xlfn.FILTERXML("&lt;t&gt;&lt;s&gt;" &amp; SUBSTITUTE(K45," / ","&lt;/s&gt;&lt;s&gt;") &amp; "&lt;/s&gt;&lt;/t&gt;","(//s[contains(.,'DDR')])[1]"),"")</f>
        <v/>
      </c>
      <c r="M45" s="32" t="e">
        <f t="shared" si="2"/>
        <v>#N/A</v>
      </c>
      <c r="N45" s="51" t="e">
        <f>INDEX(Input!$D$2:$AC$500,
       MATCH(B45, Input!$J$2:$J$500, 0),
       MATCH("Disk Interface Type", Input!$D$1:$AC$1, 0))</f>
        <v>#N/A</v>
      </c>
      <c r="O45" s="51" t="str" cm="1">
        <f t="array" ref="O45">IFERROR(_xlfn.TEXTJOIN(", ", TRUE, _xlfn._xlws.FILTER(
    INDEX(Input!$D$2:$AC$500,,MATCH("Disk Capacity",Input!$D$1:$AC$1,0)),
    Input!$J$2:$J$500=B45
)), "")</f>
        <v/>
      </c>
      <c r="P45" s="32" t="e">
        <f t="shared" si="1"/>
        <v>#N/A</v>
      </c>
      <c r="Q45" s="51" t="e">
        <f>_xlfn.LET(_xlpm.Result,INDEX(Input!$D$2:$AC$500,
       MATCH(B45, Input!$J$2:$J$500, 0),
       MATCH("Capacity", Input!$D$1:$AC$1, 0)),IF(_xlpm.Result="","",_xlpm.Result))</f>
        <v>#N/A</v>
      </c>
      <c r="R45" s="51" t="e" cm="1">
        <f t="array" ref="R45">_xlfn.TEXTSPLIT(Q45," / ", ,TRUE,0,)</f>
        <v>#N/A</v>
      </c>
      <c r="S45" s="51"/>
      <c r="T45" s="51" t="str" cm="1">
        <f t="array" ref="T45">IFERROR(_xlfn.IFS(
R45="","",
--R45&lt;55,"Battery Defect",
--R45&lt;=69,"Battery D",
--R45&lt;=80,"Battery C",
--R45&gt;80,""
),"")</f>
        <v/>
      </c>
      <c r="U45" s="51" t="str" cm="1">
        <f t="array" ref="U45">IFERROR(_xlfn.IFS(
S45="","",
--S45&lt;55,"Battery Defect",
--S45&lt;=69,"Battery D",
--S45&lt;=80,"Battery C",
--S45&gt;80,""
),"")</f>
        <v/>
      </c>
      <c r="V45" s="51" t="str" cm="1">
        <f t="array" ref="V45:AC45">IFERROR(IF(_xlfn.XLOOKUP(B45,Input!J:J,Input!N:U)=0,"",
          _xlfn.XLOOKUP(B45,Input!J:J,Input!N:U)),"")</f>
        <v/>
      </c>
      <c r="W45" s="51" t="str">
        <v/>
      </c>
      <c r="X45" s="51" t="str">
        <v/>
      </c>
      <c r="Y45" s="51" t="str">
        <v/>
      </c>
      <c r="Z45" s="51" t="str">
        <v/>
      </c>
      <c r="AA45" s="51" t="str">
        <v/>
      </c>
      <c r="AB45" s="51" t="str">
        <v/>
      </c>
      <c r="AC45" s="51" t="str">
        <v/>
      </c>
      <c r="AD45" s="32" t="str">
        <f t="shared" si="0"/>
        <v/>
      </c>
      <c r="AE45" s="32" t="str">
        <f>_xlfn.XLOOKUP(B:B,Disk_Pivot!G:G,Disk_Pivot!I:I)</f>
        <v>Yes x2</v>
      </c>
      <c r="AF45" s="32" t="str">
        <f>_xlfn.XLOOKUP(B45,Disk_Pivot!G:G,Disk_Pivot!N:N)</f>
        <v>Pass, Fail</v>
      </c>
      <c r="AG45" s="32"/>
      <c r="AH45" s="32"/>
      <c r="AI45" s="32"/>
      <c r="AJ45" s="32"/>
      <c r="AK45" s="32"/>
      <c r="AL45" s="32"/>
    </row>
    <row r="46" spans="1:38">
      <c r="A46" s="32" t="str">
        <f>_xlfn.TEXTJOIN("",TRUE,_xlfn.XLOOKUP(B46,Input!J:J,Input!G:G,"",0,1),_xlfn.XLOOKUP(B46,Input!J:J,Input!H:H,"",0,1))</f>
        <v/>
      </c>
      <c r="B46" s="32"/>
      <c r="C46" s="51">
        <f>_xlfn.XLOOKUP(B46,Input!J:J,Input!F:F)</f>
        <v>0</v>
      </c>
      <c r="D46" s="32">
        <f>_xlfn.XLOOKUP(C46,Models!H:H,Models!G:G,C46)</f>
        <v>0</v>
      </c>
      <c r="E46" s="32">
        <f>_xlfn.XLOOKUP(B46,Input!J:J,Input!E:E)</f>
        <v>0</v>
      </c>
      <c r="F46" s="32">
        <f>IF(E46="LENOVO",_xlfn.XLOOKUP(B46,Input!J:J,Input!K:K),_xlfn.XLOOKUP(B46,Input!J:J,Input!L:L))</f>
        <v>0</v>
      </c>
      <c r="G46" s="32"/>
      <c r="H46" s="32"/>
      <c r="I46" s="32">
        <f>_xlfn.XLOOKUP(B46,CPU_Formula!A:A,CPU_Formula!I:I)</f>
        <v>0</v>
      </c>
      <c r="J46" s="51" t="e">
        <f>INDEX(Input!$D$2:$AC$500,
       MATCH(B46, Input!$J$2:$J$500, 0),
       MATCH("Total Memory", Input!$D$1:$AC$1, 0))</f>
        <v>#N/A</v>
      </c>
      <c r="K46" s="51" t="e">
        <f>INDEX(Input!$D$2:$AC$500,
       MATCH(B46, Input!$J$2:$J$500, 0),
       MATCH("Memory Type", Input!$D$1:$AC$1, 0))</f>
        <v>#N/A</v>
      </c>
      <c r="L46" s="51" t="str" cm="1">
        <f t="array" ref="L46">IFERROR(_xlfn.FILTERXML("&lt;t&gt;&lt;s&gt;" &amp; SUBSTITUTE(K46," / ","&lt;/s&gt;&lt;s&gt;") &amp; "&lt;/s&gt;&lt;/t&gt;","(//s[contains(.,'DDR')])[1]"),"")</f>
        <v/>
      </c>
      <c r="M46" s="32" t="e">
        <f t="shared" si="2"/>
        <v>#N/A</v>
      </c>
      <c r="N46" s="51" t="e">
        <f>INDEX(Input!$D$2:$AC$500,
       MATCH(B46, Input!$J$2:$J$500, 0),
       MATCH("Disk Interface Type", Input!$D$1:$AC$1, 0))</f>
        <v>#N/A</v>
      </c>
      <c r="O46" s="51" t="str" cm="1">
        <f t="array" ref="O46">IFERROR(_xlfn.TEXTJOIN(", ", TRUE, _xlfn._xlws.FILTER(
    INDEX(Input!$D$2:$AC$500,,MATCH("Disk Capacity",Input!$D$1:$AC$1,0)),
    Input!$J$2:$J$500=B46
)), "")</f>
        <v/>
      </c>
      <c r="P46" s="32" t="e">
        <f t="shared" si="1"/>
        <v>#N/A</v>
      </c>
      <c r="Q46" s="51" t="e">
        <f>_xlfn.LET(_xlpm.Result,INDEX(Input!$D$2:$AC$500,
       MATCH(B46, Input!$J$2:$J$500, 0),
       MATCH("Capacity", Input!$D$1:$AC$1, 0)),IF(_xlpm.Result="","",_xlpm.Result))</f>
        <v>#N/A</v>
      </c>
      <c r="R46" s="51" t="e" cm="1">
        <f t="array" ref="R46">_xlfn.TEXTSPLIT(Q46," / ", ,TRUE,0,)</f>
        <v>#N/A</v>
      </c>
      <c r="S46" s="51"/>
      <c r="T46" s="51" t="str" cm="1">
        <f t="array" ref="T46">IFERROR(_xlfn.IFS(
R46="","",
--R46&lt;55,"Battery Defect",
--R46&lt;=69,"Battery D",
--R46&lt;=80,"Battery C",
--R46&gt;80,""
),"")</f>
        <v/>
      </c>
      <c r="U46" s="51" t="str" cm="1">
        <f t="array" ref="U46">IFERROR(_xlfn.IFS(
S46="","",
--S46&lt;55,"Battery Defect",
--S46&lt;=69,"Battery D",
--S46&lt;=80,"Battery C",
--S46&gt;80,""
),"")</f>
        <v/>
      </c>
      <c r="V46" s="51" t="str" cm="1">
        <f t="array" ref="V46:AC46">IFERROR(IF(_xlfn.XLOOKUP(B46,Input!J:J,Input!N:U)=0,"",
          _xlfn.XLOOKUP(B46,Input!J:J,Input!N:U)),"")</f>
        <v/>
      </c>
      <c r="W46" s="51" t="str">
        <v/>
      </c>
      <c r="X46" s="51" t="str">
        <v/>
      </c>
      <c r="Y46" s="51" t="str">
        <v/>
      </c>
      <c r="Z46" s="51" t="str">
        <v/>
      </c>
      <c r="AA46" s="51" t="str">
        <v/>
      </c>
      <c r="AB46" s="51" t="str">
        <v/>
      </c>
      <c r="AC46" s="51" t="str">
        <v/>
      </c>
      <c r="AD46" s="32" t="str">
        <f t="shared" si="0"/>
        <v/>
      </c>
      <c r="AE46" s="32" t="str">
        <f>_xlfn.XLOOKUP(B:B,Disk_Pivot!G:G,Disk_Pivot!I:I)</f>
        <v>Yes x2</v>
      </c>
      <c r="AF46" s="32" t="str">
        <f>_xlfn.XLOOKUP(B46,Disk_Pivot!G:G,Disk_Pivot!N:N)</f>
        <v>Pass, Fail</v>
      </c>
      <c r="AG46" s="32"/>
      <c r="AH46" s="32"/>
      <c r="AI46" s="32"/>
      <c r="AJ46" s="32"/>
      <c r="AK46" s="32"/>
      <c r="AL46" s="32"/>
    </row>
    <row r="47" spans="1:38">
      <c r="A47" s="32" t="str">
        <f>_xlfn.TEXTJOIN("",TRUE,_xlfn.XLOOKUP(B47,Input!J:J,Input!G:G,"",0,1),_xlfn.XLOOKUP(B47,Input!J:J,Input!H:H,"",0,1))</f>
        <v/>
      </c>
      <c r="B47" s="32"/>
      <c r="C47" s="51">
        <f>_xlfn.XLOOKUP(B47,Input!J:J,Input!F:F)</f>
        <v>0</v>
      </c>
      <c r="D47" s="32">
        <f>_xlfn.XLOOKUP(C47,Models!H:H,Models!G:G,C47)</f>
        <v>0</v>
      </c>
      <c r="E47" s="32">
        <f>_xlfn.XLOOKUP(B47,Input!J:J,Input!E:E)</f>
        <v>0</v>
      </c>
      <c r="F47" s="32">
        <f>IF(E47="LENOVO",_xlfn.XLOOKUP(B47,Input!J:J,Input!K:K),_xlfn.XLOOKUP(B47,Input!J:J,Input!L:L))</f>
        <v>0</v>
      </c>
      <c r="G47" s="32"/>
      <c r="H47" s="32"/>
      <c r="I47" s="32">
        <f>_xlfn.XLOOKUP(B47,CPU_Formula!A:A,CPU_Formula!I:I)</f>
        <v>0</v>
      </c>
      <c r="J47" s="51" t="e">
        <f>INDEX(Input!$D$2:$AC$500,
       MATCH(B47, Input!$J$2:$J$500, 0),
       MATCH("Total Memory", Input!$D$1:$AC$1, 0))</f>
        <v>#N/A</v>
      </c>
      <c r="K47" s="51" t="e">
        <f>INDEX(Input!$D$2:$AC$500,
       MATCH(B47, Input!$J$2:$J$500, 0),
       MATCH("Memory Type", Input!$D$1:$AC$1, 0))</f>
        <v>#N/A</v>
      </c>
      <c r="L47" s="51" t="str" cm="1">
        <f t="array" ref="L47">IFERROR(_xlfn.FILTERXML("&lt;t&gt;&lt;s&gt;" &amp; SUBSTITUTE(K47," / ","&lt;/s&gt;&lt;s&gt;") &amp; "&lt;/s&gt;&lt;/t&gt;","(//s[contains(.,'DDR')])[1]"),"")</f>
        <v/>
      </c>
      <c r="M47" s="32" t="e">
        <f t="shared" si="2"/>
        <v>#N/A</v>
      </c>
      <c r="N47" s="51" t="e">
        <f>INDEX(Input!$D$2:$AC$500,
       MATCH(B47, Input!$J$2:$J$500, 0),
       MATCH("Disk Interface Type", Input!$D$1:$AC$1, 0))</f>
        <v>#N/A</v>
      </c>
      <c r="O47" s="51" t="str" cm="1">
        <f t="array" ref="O47">IFERROR(_xlfn.TEXTJOIN(", ", TRUE, _xlfn._xlws.FILTER(
    INDEX(Input!$D$2:$AC$500,,MATCH("Disk Capacity",Input!$D$1:$AC$1,0)),
    Input!$J$2:$J$500=B47
)), "")</f>
        <v/>
      </c>
      <c r="P47" s="32" t="e">
        <f t="shared" si="1"/>
        <v>#N/A</v>
      </c>
      <c r="Q47" s="51" t="e">
        <f>_xlfn.LET(_xlpm.Result,INDEX(Input!$D$2:$AC$500,
       MATCH(B47, Input!$J$2:$J$500, 0),
       MATCH("Capacity", Input!$D$1:$AC$1, 0)),IF(_xlpm.Result="","",_xlpm.Result))</f>
        <v>#N/A</v>
      </c>
      <c r="R47" s="51" t="e" cm="1">
        <f t="array" ref="R47">_xlfn.TEXTSPLIT(Q47," / ", ,TRUE,0,)</f>
        <v>#N/A</v>
      </c>
      <c r="S47" s="51"/>
      <c r="T47" s="51" t="str" cm="1">
        <f t="array" ref="T47">IFERROR(_xlfn.IFS(
R47="","",
--R47&lt;55,"Battery Defect",
--R47&lt;=69,"Battery D",
--R47&lt;=80,"Battery C",
--R47&gt;80,""
),"")</f>
        <v/>
      </c>
      <c r="U47" s="51" t="str" cm="1">
        <f t="array" ref="U47">IFERROR(_xlfn.IFS(
S47="","",
--S47&lt;55,"Battery Defect",
--S47&lt;=69,"Battery D",
--S47&lt;=80,"Battery C",
--S47&gt;80,""
),"")</f>
        <v/>
      </c>
      <c r="V47" s="51" t="str" cm="1">
        <f t="array" ref="V47:AC47">IFERROR(IF(_xlfn.XLOOKUP(B47,Input!J:J,Input!N:U)=0,"",
          _xlfn.XLOOKUP(B47,Input!J:J,Input!N:U)),"")</f>
        <v/>
      </c>
      <c r="W47" s="51" t="str">
        <v/>
      </c>
      <c r="X47" s="51" t="str">
        <v/>
      </c>
      <c r="Y47" s="51" t="str">
        <v/>
      </c>
      <c r="Z47" s="51" t="str">
        <v/>
      </c>
      <c r="AA47" s="51" t="str">
        <v/>
      </c>
      <c r="AB47" s="51" t="str">
        <v/>
      </c>
      <c r="AC47" s="51" t="str">
        <v/>
      </c>
      <c r="AD47" s="32" t="str">
        <f t="shared" si="0"/>
        <v/>
      </c>
      <c r="AE47" s="32" t="str">
        <f>_xlfn.XLOOKUP(B:B,Disk_Pivot!G:G,Disk_Pivot!I:I)</f>
        <v>Yes x2</v>
      </c>
      <c r="AF47" s="32" t="str">
        <f>_xlfn.XLOOKUP(B47,Disk_Pivot!G:G,Disk_Pivot!N:N)</f>
        <v>Pass, Fail</v>
      </c>
      <c r="AG47" s="32"/>
      <c r="AH47" s="32"/>
      <c r="AI47" s="32"/>
      <c r="AJ47" s="32"/>
      <c r="AK47" s="32"/>
      <c r="AL47" s="32"/>
    </row>
    <row r="48" spans="1:38">
      <c r="A48" s="32" t="str">
        <f>_xlfn.TEXTJOIN("",TRUE,_xlfn.XLOOKUP(B48,Input!J:J,Input!G:G,"",0,1),_xlfn.XLOOKUP(B48,Input!J:J,Input!H:H,"",0,1))</f>
        <v/>
      </c>
      <c r="B48" s="32"/>
      <c r="C48" s="51">
        <f>_xlfn.XLOOKUP(B48,Input!J:J,Input!F:F)</f>
        <v>0</v>
      </c>
      <c r="D48" s="32">
        <f>_xlfn.XLOOKUP(C48,Models!H:H,Models!G:G,C48)</f>
        <v>0</v>
      </c>
      <c r="E48" s="32">
        <f>_xlfn.XLOOKUP(B48,Input!J:J,Input!E:E)</f>
        <v>0</v>
      </c>
      <c r="F48" s="32">
        <f>IF(E48="LENOVO",_xlfn.XLOOKUP(B48,Input!J:J,Input!K:K),_xlfn.XLOOKUP(B48,Input!J:J,Input!L:L))</f>
        <v>0</v>
      </c>
      <c r="G48" s="32"/>
      <c r="H48" s="32"/>
      <c r="I48" s="32">
        <f>_xlfn.XLOOKUP(B48,CPU_Formula!A:A,CPU_Formula!I:I)</f>
        <v>0</v>
      </c>
      <c r="J48" s="51" t="e">
        <f>INDEX(Input!$D$2:$AC$500,
       MATCH(B48, Input!$J$2:$J$500, 0),
       MATCH("Total Memory", Input!$D$1:$AC$1, 0))</f>
        <v>#N/A</v>
      </c>
      <c r="K48" s="51" t="e">
        <f>INDEX(Input!$D$2:$AC$500,
       MATCH(B48, Input!$J$2:$J$500, 0),
       MATCH("Memory Type", Input!$D$1:$AC$1, 0))</f>
        <v>#N/A</v>
      </c>
      <c r="L48" s="51" t="str" cm="1">
        <f t="array" ref="L48">IFERROR(_xlfn.FILTERXML("&lt;t&gt;&lt;s&gt;" &amp; SUBSTITUTE(K48," / ","&lt;/s&gt;&lt;s&gt;") &amp; "&lt;/s&gt;&lt;/t&gt;","(//s[contains(.,'DDR')])[1]"),"")</f>
        <v/>
      </c>
      <c r="M48" s="32" t="e">
        <f t="shared" si="2"/>
        <v>#N/A</v>
      </c>
      <c r="N48" s="51" t="e">
        <f>INDEX(Input!$D$2:$AC$500,
       MATCH(B48, Input!$J$2:$J$500, 0),
       MATCH("Disk Interface Type", Input!$D$1:$AC$1, 0))</f>
        <v>#N/A</v>
      </c>
      <c r="O48" s="51" t="str" cm="1">
        <f t="array" ref="O48">IFERROR(_xlfn.TEXTJOIN(", ", TRUE, _xlfn._xlws.FILTER(
    INDEX(Input!$D$2:$AC$500,,MATCH("Disk Capacity",Input!$D$1:$AC$1,0)),
    Input!$J$2:$J$500=B48
)), "")</f>
        <v/>
      </c>
      <c r="P48" s="32" t="e">
        <f t="shared" si="1"/>
        <v>#N/A</v>
      </c>
      <c r="Q48" s="51" t="e">
        <f>_xlfn.LET(_xlpm.Result,INDEX(Input!$D$2:$AC$500,
       MATCH(B48, Input!$J$2:$J$500, 0),
       MATCH("Capacity", Input!$D$1:$AC$1, 0)),IF(_xlpm.Result="","",_xlpm.Result))</f>
        <v>#N/A</v>
      </c>
      <c r="R48" s="51" t="e" cm="1">
        <f t="array" ref="R48">_xlfn.TEXTSPLIT(Q48," / ", ,TRUE,0,)</f>
        <v>#N/A</v>
      </c>
      <c r="S48" s="51"/>
      <c r="T48" s="51" t="str" cm="1">
        <f t="array" ref="T48">IFERROR(_xlfn.IFS(
R48="","",
--R48&lt;55,"Battery Defect",
--R48&lt;=69,"Battery D",
--R48&lt;=80,"Battery C",
--R48&gt;80,""
),"")</f>
        <v/>
      </c>
      <c r="U48" s="51" t="str" cm="1">
        <f t="array" ref="U48">IFERROR(_xlfn.IFS(
S48="","",
--S48&lt;55,"Battery Defect",
--S48&lt;=69,"Battery D",
--S48&lt;=80,"Battery C",
--S48&gt;80,""
),"")</f>
        <v/>
      </c>
      <c r="V48" s="51" t="str" cm="1">
        <f t="array" ref="V48:AC48">IFERROR(IF(_xlfn.XLOOKUP(B48,Input!J:J,Input!N:U)=0,"",
          _xlfn.XLOOKUP(B48,Input!J:J,Input!N:U)),"")</f>
        <v/>
      </c>
      <c r="W48" s="51" t="str">
        <v/>
      </c>
      <c r="X48" s="51" t="str">
        <v/>
      </c>
      <c r="Y48" s="51" t="str">
        <v/>
      </c>
      <c r="Z48" s="51" t="str">
        <v/>
      </c>
      <c r="AA48" s="51" t="str">
        <v/>
      </c>
      <c r="AB48" s="51" t="str">
        <v/>
      </c>
      <c r="AC48" s="51" t="str">
        <v/>
      </c>
      <c r="AD48" s="32" t="str">
        <f t="shared" si="0"/>
        <v/>
      </c>
      <c r="AE48" s="32" t="str">
        <f>_xlfn.XLOOKUP(B:B,Disk_Pivot!G:G,Disk_Pivot!I:I)</f>
        <v>Yes x2</v>
      </c>
      <c r="AF48" s="32" t="str">
        <f>_xlfn.XLOOKUP(B48,Disk_Pivot!G:G,Disk_Pivot!N:N)</f>
        <v>Pass, Fail</v>
      </c>
      <c r="AG48" s="32"/>
      <c r="AH48" s="32"/>
      <c r="AI48" s="32"/>
      <c r="AJ48" s="32"/>
      <c r="AK48" s="32"/>
      <c r="AL48" s="32"/>
    </row>
    <row r="49" spans="1:38">
      <c r="A49" s="32" t="str">
        <f>_xlfn.TEXTJOIN("",TRUE,_xlfn.XLOOKUP(B49,Input!J:J,Input!G:G,"",0,1),_xlfn.XLOOKUP(B49,Input!J:J,Input!H:H,"",0,1))</f>
        <v/>
      </c>
      <c r="B49" s="32"/>
      <c r="C49" s="51">
        <f>_xlfn.XLOOKUP(B49,Input!J:J,Input!F:F)</f>
        <v>0</v>
      </c>
      <c r="D49" s="32">
        <f>_xlfn.XLOOKUP(C49,Models!H:H,Models!G:G,C49)</f>
        <v>0</v>
      </c>
      <c r="E49" s="32">
        <f>_xlfn.XLOOKUP(B49,Input!J:J,Input!E:E)</f>
        <v>0</v>
      </c>
      <c r="F49" s="32">
        <f>IF(E49="LENOVO",_xlfn.XLOOKUP(B49,Input!J:J,Input!K:K),_xlfn.XLOOKUP(B49,Input!J:J,Input!L:L))</f>
        <v>0</v>
      </c>
      <c r="G49" s="32"/>
      <c r="H49" s="32"/>
      <c r="I49" s="32">
        <f>_xlfn.XLOOKUP(B49,CPU_Formula!A:A,CPU_Formula!I:I)</f>
        <v>0</v>
      </c>
      <c r="J49" s="51" t="e">
        <f>INDEX(Input!$D$2:$AC$500,
       MATCH(B49, Input!$J$2:$J$500, 0),
       MATCH("Total Memory", Input!$D$1:$AC$1, 0))</f>
        <v>#N/A</v>
      </c>
      <c r="K49" s="51" t="e">
        <f>INDEX(Input!$D$2:$AC$500,
       MATCH(B49, Input!$J$2:$J$500, 0),
       MATCH("Memory Type", Input!$D$1:$AC$1, 0))</f>
        <v>#N/A</v>
      </c>
      <c r="L49" s="51" t="str" cm="1">
        <f t="array" ref="L49">IFERROR(_xlfn.FILTERXML("&lt;t&gt;&lt;s&gt;" &amp; SUBSTITUTE(K49," / ","&lt;/s&gt;&lt;s&gt;") &amp; "&lt;/s&gt;&lt;/t&gt;","(//s[contains(.,'DDR')])[1]"),"")</f>
        <v/>
      </c>
      <c r="M49" s="32" t="e">
        <f t="shared" si="2"/>
        <v>#N/A</v>
      </c>
      <c r="N49" s="51" t="e">
        <f>INDEX(Input!$D$2:$AC$500,
       MATCH(B49, Input!$J$2:$J$500, 0),
       MATCH("Disk Interface Type", Input!$D$1:$AC$1, 0))</f>
        <v>#N/A</v>
      </c>
      <c r="O49" s="51" t="str" cm="1">
        <f t="array" ref="O49">IFERROR(_xlfn.TEXTJOIN(", ", TRUE, _xlfn._xlws.FILTER(
    INDEX(Input!$D$2:$AC$500,,MATCH("Disk Capacity",Input!$D$1:$AC$1,0)),
    Input!$J$2:$J$500=B49
)), "")</f>
        <v/>
      </c>
      <c r="P49" s="32" t="e">
        <f t="shared" si="1"/>
        <v>#N/A</v>
      </c>
      <c r="Q49" s="51" t="e">
        <f>_xlfn.LET(_xlpm.Result,INDEX(Input!$D$2:$AC$500,
       MATCH(B49, Input!$J$2:$J$500, 0),
       MATCH("Capacity", Input!$D$1:$AC$1, 0)),IF(_xlpm.Result="","",_xlpm.Result))</f>
        <v>#N/A</v>
      </c>
      <c r="R49" s="51" t="e" cm="1">
        <f t="array" ref="R49">_xlfn.TEXTSPLIT(Q49," / ", ,TRUE,0,)</f>
        <v>#N/A</v>
      </c>
      <c r="S49" s="51"/>
      <c r="T49" s="51" t="str" cm="1">
        <f t="array" ref="T49">IFERROR(_xlfn.IFS(
R49="","",
--R49&lt;55,"Battery Defect",
--R49&lt;=69,"Battery D",
--R49&lt;=80,"Battery C",
--R49&gt;80,""
),"")</f>
        <v/>
      </c>
      <c r="U49" s="51" t="str" cm="1">
        <f t="array" ref="U49">IFERROR(_xlfn.IFS(
S49="","",
--S49&lt;55,"Battery Defect",
--S49&lt;=69,"Battery D",
--S49&lt;=80,"Battery C",
--S49&gt;80,""
),"")</f>
        <v/>
      </c>
      <c r="V49" s="51" t="str" cm="1">
        <f t="array" ref="V49:AC49">IFERROR(IF(_xlfn.XLOOKUP(B49,Input!J:J,Input!N:U)=0,"",
          _xlfn.XLOOKUP(B49,Input!J:J,Input!N:U)),"")</f>
        <v/>
      </c>
      <c r="W49" s="51" t="str">
        <v/>
      </c>
      <c r="X49" s="51" t="str">
        <v/>
      </c>
      <c r="Y49" s="51" t="str">
        <v/>
      </c>
      <c r="Z49" s="51" t="str">
        <v/>
      </c>
      <c r="AA49" s="51" t="str">
        <v/>
      </c>
      <c r="AB49" s="51" t="str">
        <v/>
      </c>
      <c r="AC49" s="51" t="str">
        <v/>
      </c>
      <c r="AD49" s="32" t="str">
        <f t="shared" si="0"/>
        <v/>
      </c>
      <c r="AE49" s="32" t="str">
        <f>_xlfn.XLOOKUP(B:B,Disk_Pivot!G:G,Disk_Pivot!I:I)</f>
        <v>Yes x2</v>
      </c>
      <c r="AF49" s="32" t="str">
        <f>_xlfn.XLOOKUP(B49,Disk_Pivot!G:G,Disk_Pivot!N:N)</f>
        <v>Pass, Fail</v>
      </c>
      <c r="AG49" s="32"/>
      <c r="AH49" s="32"/>
      <c r="AI49" s="32"/>
      <c r="AJ49" s="32"/>
      <c r="AK49" s="32"/>
      <c r="AL49" s="32"/>
    </row>
    <row r="50" spans="1:38">
      <c r="A50" s="32" t="str">
        <f>_xlfn.TEXTJOIN("",TRUE,_xlfn.XLOOKUP(B50,Input!J:J,Input!G:G,"",0,1),_xlfn.XLOOKUP(B50,Input!J:J,Input!H:H,"",0,1))</f>
        <v/>
      </c>
      <c r="B50" s="32"/>
      <c r="C50" s="51">
        <f>_xlfn.XLOOKUP(B50,Input!J:J,Input!F:F)</f>
        <v>0</v>
      </c>
      <c r="D50" s="32">
        <f>_xlfn.XLOOKUP(C50,Models!H:H,Models!G:G,C50)</f>
        <v>0</v>
      </c>
      <c r="E50" s="32">
        <f>_xlfn.XLOOKUP(B50,Input!J:J,Input!E:E)</f>
        <v>0</v>
      </c>
      <c r="F50" s="32">
        <f>IF(E50="LENOVO",_xlfn.XLOOKUP(B50,Input!J:J,Input!K:K),_xlfn.XLOOKUP(B50,Input!J:J,Input!L:L))</f>
        <v>0</v>
      </c>
      <c r="G50" s="32"/>
      <c r="H50" s="32"/>
      <c r="I50" s="32">
        <f>_xlfn.XLOOKUP(B50,CPU_Formula!A:A,CPU_Formula!I:I)</f>
        <v>0</v>
      </c>
      <c r="J50" s="51" t="e">
        <f>INDEX(Input!$D$2:$AC$500,
       MATCH(B50, Input!$J$2:$J$500, 0),
       MATCH("Total Memory", Input!$D$1:$AC$1, 0))</f>
        <v>#N/A</v>
      </c>
      <c r="K50" s="51" t="e">
        <f>INDEX(Input!$D$2:$AC$500,
       MATCH(B50, Input!$J$2:$J$500, 0),
       MATCH("Memory Type", Input!$D$1:$AC$1, 0))</f>
        <v>#N/A</v>
      </c>
      <c r="L50" s="51" t="str" cm="1">
        <f t="array" ref="L50">IFERROR(_xlfn.FILTERXML("&lt;t&gt;&lt;s&gt;" &amp; SUBSTITUTE(K50," / ","&lt;/s&gt;&lt;s&gt;") &amp; "&lt;/s&gt;&lt;/t&gt;","(//s[contains(.,'DDR')])[1]"),"")</f>
        <v/>
      </c>
      <c r="M50" s="32" t="e">
        <f t="shared" si="2"/>
        <v>#N/A</v>
      </c>
      <c r="N50" s="51" t="e">
        <f>INDEX(Input!$D$2:$AC$500,
       MATCH(B50, Input!$J$2:$J$500, 0),
       MATCH("Disk Interface Type", Input!$D$1:$AC$1, 0))</f>
        <v>#N/A</v>
      </c>
      <c r="O50" s="51" t="str" cm="1">
        <f t="array" ref="O50">IFERROR(_xlfn.TEXTJOIN(", ", TRUE, _xlfn._xlws.FILTER(
    INDEX(Input!$D$2:$AC$500,,MATCH("Disk Capacity",Input!$D$1:$AC$1,0)),
    Input!$J$2:$J$500=B50
)), "")</f>
        <v/>
      </c>
      <c r="P50" s="32" t="e">
        <f t="shared" si="1"/>
        <v>#N/A</v>
      </c>
      <c r="Q50" s="51" t="e">
        <f>_xlfn.LET(_xlpm.Result,INDEX(Input!$D$2:$AC$500,
       MATCH(B50, Input!$J$2:$J$500, 0),
       MATCH("Capacity", Input!$D$1:$AC$1, 0)),IF(_xlpm.Result="","",_xlpm.Result))</f>
        <v>#N/A</v>
      </c>
      <c r="R50" s="51" t="e" cm="1">
        <f t="array" ref="R50">_xlfn.TEXTSPLIT(Q50," / ", ,TRUE,0,)</f>
        <v>#N/A</v>
      </c>
      <c r="S50" s="51"/>
      <c r="T50" s="51" t="str" cm="1">
        <f t="array" ref="T50">IFERROR(_xlfn.IFS(
R50="","",
--R50&lt;55,"Battery Defect",
--R50&lt;=69,"Battery D",
--R50&lt;=80,"Battery C",
--R50&gt;80,""
),"")</f>
        <v/>
      </c>
      <c r="U50" s="51" t="str" cm="1">
        <f t="array" ref="U50">IFERROR(_xlfn.IFS(
S50="","",
--S50&lt;55,"Battery Defect",
--S50&lt;=69,"Battery D",
--S50&lt;=80,"Battery C",
--S50&gt;80,""
),"")</f>
        <v/>
      </c>
      <c r="V50" s="51" t="str" cm="1">
        <f t="array" ref="V50:AC50">IFERROR(IF(_xlfn.XLOOKUP(B50,Input!J:J,Input!N:U)=0,"",
          _xlfn.XLOOKUP(B50,Input!J:J,Input!N:U)),"")</f>
        <v/>
      </c>
      <c r="W50" s="51" t="str">
        <v/>
      </c>
      <c r="X50" s="51" t="str">
        <v/>
      </c>
      <c r="Y50" s="51" t="str">
        <v/>
      </c>
      <c r="Z50" s="51" t="str">
        <v/>
      </c>
      <c r="AA50" s="51" t="str">
        <v/>
      </c>
      <c r="AB50" s="51" t="str">
        <v/>
      </c>
      <c r="AC50" s="51" t="str">
        <v/>
      </c>
      <c r="AD50" s="32" t="str">
        <f t="shared" si="0"/>
        <v/>
      </c>
      <c r="AE50" s="32" t="str">
        <f>_xlfn.XLOOKUP(B:B,Disk_Pivot!G:G,Disk_Pivot!I:I)</f>
        <v>Yes x2</v>
      </c>
      <c r="AF50" s="32" t="str">
        <f>_xlfn.XLOOKUP(B50,Disk_Pivot!G:G,Disk_Pivot!N:N)</f>
        <v>Pass, Fail</v>
      </c>
      <c r="AG50" s="32"/>
      <c r="AH50" s="32"/>
      <c r="AI50" s="32"/>
      <c r="AJ50" s="32"/>
      <c r="AK50" s="32"/>
      <c r="AL50" s="32"/>
    </row>
    <row r="51" spans="1:38">
      <c r="A51" s="32" t="str">
        <f>_xlfn.TEXTJOIN("",TRUE,_xlfn.XLOOKUP(B51,Input!J:J,Input!G:G,"",0,1),_xlfn.XLOOKUP(B51,Input!J:J,Input!H:H,"",0,1))</f>
        <v/>
      </c>
      <c r="B51" s="32"/>
      <c r="C51" s="51">
        <f>_xlfn.XLOOKUP(B51,Input!J:J,Input!F:F)</f>
        <v>0</v>
      </c>
      <c r="D51" s="32">
        <f>_xlfn.XLOOKUP(C51,Models!H:H,Models!G:G,C51)</f>
        <v>0</v>
      </c>
      <c r="E51" s="32">
        <f>_xlfn.XLOOKUP(B51,Input!J:J,Input!E:E)</f>
        <v>0</v>
      </c>
      <c r="F51" s="32">
        <f>IF(E51="LENOVO",_xlfn.XLOOKUP(B51,Input!J:J,Input!K:K),_xlfn.XLOOKUP(B51,Input!J:J,Input!L:L))</f>
        <v>0</v>
      </c>
      <c r="G51" s="32"/>
      <c r="H51" s="32"/>
      <c r="I51" s="32">
        <f>_xlfn.XLOOKUP(B51,CPU_Formula!A:A,CPU_Formula!I:I)</f>
        <v>0</v>
      </c>
      <c r="J51" s="51" t="e">
        <f>INDEX(Input!$D$2:$AC$500,
       MATCH(B51, Input!$J$2:$J$500, 0),
       MATCH("Total Memory", Input!$D$1:$AC$1, 0))</f>
        <v>#N/A</v>
      </c>
      <c r="K51" s="51" t="e">
        <f>INDEX(Input!$D$2:$AC$500,
       MATCH(B51, Input!$J$2:$J$500, 0),
       MATCH("Memory Type", Input!$D$1:$AC$1, 0))</f>
        <v>#N/A</v>
      </c>
      <c r="L51" s="51" t="str" cm="1">
        <f t="array" ref="L51">IFERROR(_xlfn.FILTERXML("&lt;t&gt;&lt;s&gt;" &amp; SUBSTITUTE(K51," / ","&lt;/s&gt;&lt;s&gt;") &amp; "&lt;/s&gt;&lt;/t&gt;","(//s[contains(.,'DDR')])[1]"),"")</f>
        <v/>
      </c>
      <c r="M51" s="32" t="e">
        <f t="shared" si="2"/>
        <v>#N/A</v>
      </c>
      <c r="N51" s="51" t="e">
        <f>INDEX(Input!$D$2:$AC$500,
       MATCH(B51, Input!$J$2:$J$500, 0),
       MATCH("Disk Interface Type", Input!$D$1:$AC$1, 0))</f>
        <v>#N/A</v>
      </c>
      <c r="O51" s="51" t="str" cm="1">
        <f t="array" ref="O51">IFERROR(_xlfn.TEXTJOIN(", ", TRUE, _xlfn._xlws.FILTER(
    INDEX(Input!$D$2:$AC$500,,MATCH("Disk Capacity",Input!$D$1:$AC$1,0)),
    Input!$J$2:$J$500=B51
)), "")</f>
        <v/>
      </c>
      <c r="P51" s="32" t="e">
        <f t="shared" si="1"/>
        <v>#N/A</v>
      </c>
      <c r="Q51" s="51" t="e">
        <f>_xlfn.LET(_xlpm.Result,INDEX(Input!$D$2:$AC$500,
       MATCH(B51, Input!$J$2:$J$500, 0),
       MATCH("Capacity", Input!$D$1:$AC$1, 0)),IF(_xlpm.Result="","",_xlpm.Result))</f>
        <v>#N/A</v>
      </c>
      <c r="R51" s="51" t="e" cm="1">
        <f t="array" ref="R51">_xlfn.TEXTSPLIT(Q51," / ", ,TRUE,0,)</f>
        <v>#N/A</v>
      </c>
      <c r="S51" s="51"/>
      <c r="T51" s="51" t="str" cm="1">
        <f t="array" ref="T51">IFERROR(_xlfn.IFS(
R51="","",
--R51&lt;55,"Battery Defect",
--R51&lt;=69,"Battery D",
--R51&lt;=80,"Battery C",
--R51&gt;80,""
),"")</f>
        <v/>
      </c>
      <c r="U51" s="51" t="str" cm="1">
        <f t="array" ref="U51">IFERROR(_xlfn.IFS(
S51="","",
--S51&lt;55,"Battery Defect",
--S51&lt;=69,"Battery D",
--S51&lt;=80,"Battery C",
--S51&gt;80,""
),"")</f>
        <v/>
      </c>
      <c r="V51" s="51" t="str" cm="1">
        <f t="array" ref="V51:AC51">IFERROR(IF(_xlfn.XLOOKUP(B51,Input!J:J,Input!N:U)=0,"",
          _xlfn.XLOOKUP(B51,Input!J:J,Input!N:U)),"")</f>
        <v/>
      </c>
      <c r="W51" s="51" t="str">
        <v/>
      </c>
      <c r="X51" s="51" t="str">
        <v/>
      </c>
      <c r="Y51" s="51" t="str">
        <v/>
      </c>
      <c r="Z51" s="51" t="str">
        <v/>
      </c>
      <c r="AA51" s="51" t="str">
        <v/>
      </c>
      <c r="AB51" s="51" t="str">
        <v/>
      </c>
      <c r="AC51" s="51" t="str">
        <v/>
      </c>
      <c r="AD51" s="32" t="str">
        <f t="shared" si="0"/>
        <v/>
      </c>
      <c r="AE51" s="32" t="str">
        <f>_xlfn.XLOOKUP(B:B,Disk_Pivot!G:G,Disk_Pivot!I:I)</f>
        <v>Yes x2</v>
      </c>
      <c r="AF51" s="32" t="str">
        <f>_xlfn.XLOOKUP(B51,Disk_Pivot!G:G,Disk_Pivot!N:N)</f>
        <v>Pass, Fail</v>
      </c>
      <c r="AG51" s="32"/>
      <c r="AH51" s="32"/>
      <c r="AI51" s="32"/>
      <c r="AJ51" s="32"/>
      <c r="AK51" s="32"/>
      <c r="AL51" s="32"/>
    </row>
    <row r="52" spans="1:38">
      <c r="A52" s="32" t="str">
        <f>_xlfn.TEXTJOIN("",TRUE,_xlfn.XLOOKUP(B52,Input!J:J,Input!G:G,"",0,1),_xlfn.XLOOKUP(B52,Input!J:J,Input!H:H,"",0,1))</f>
        <v/>
      </c>
      <c r="B52" s="32"/>
      <c r="C52" s="51">
        <f>_xlfn.XLOOKUP(B52,Input!J:J,Input!F:F)</f>
        <v>0</v>
      </c>
      <c r="D52" s="32">
        <f>_xlfn.XLOOKUP(C52,Models!H:H,Models!G:G,C52)</f>
        <v>0</v>
      </c>
      <c r="E52" s="32">
        <f>_xlfn.XLOOKUP(B52,Input!J:J,Input!E:E)</f>
        <v>0</v>
      </c>
      <c r="F52" s="32">
        <f>IF(E52="LENOVO",_xlfn.XLOOKUP(B52,Input!J:J,Input!K:K),_xlfn.XLOOKUP(B52,Input!J:J,Input!L:L))</f>
        <v>0</v>
      </c>
      <c r="G52" s="32"/>
      <c r="H52" s="32"/>
      <c r="I52" s="32">
        <f>_xlfn.XLOOKUP(B52,CPU_Formula!A:A,CPU_Formula!I:I)</f>
        <v>0</v>
      </c>
      <c r="J52" s="51" t="e">
        <f>INDEX(Input!$D$2:$AC$500,
       MATCH(B52, Input!$J$2:$J$500, 0),
       MATCH("Total Memory", Input!$D$1:$AC$1, 0))</f>
        <v>#N/A</v>
      </c>
      <c r="K52" s="51" t="e">
        <f>INDEX(Input!$D$2:$AC$500,
       MATCH(B52, Input!$J$2:$J$500, 0),
       MATCH("Memory Type", Input!$D$1:$AC$1, 0))</f>
        <v>#N/A</v>
      </c>
      <c r="L52" s="51" t="str" cm="1">
        <f t="array" ref="L52">IFERROR(_xlfn.FILTERXML("&lt;t&gt;&lt;s&gt;" &amp; SUBSTITUTE(K52," / ","&lt;/s&gt;&lt;s&gt;") &amp; "&lt;/s&gt;&lt;/t&gt;","(//s[contains(.,'DDR')])[1]"),"")</f>
        <v/>
      </c>
      <c r="M52" s="32" t="e">
        <f t="shared" si="2"/>
        <v>#N/A</v>
      </c>
      <c r="N52" s="51" t="e">
        <f>INDEX(Input!$D$2:$AC$500,
       MATCH(B52, Input!$J$2:$J$500, 0),
       MATCH("Disk Interface Type", Input!$D$1:$AC$1, 0))</f>
        <v>#N/A</v>
      </c>
      <c r="O52" s="51" t="str" cm="1">
        <f t="array" ref="O52">IFERROR(_xlfn.TEXTJOIN(", ", TRUE, _xlfn._xlws.FILTER(
    INDEX(Input!$D$2:$AC$500,,MATCH("Disk Capacity",Input!$D$1:$AC$1,0)),
    Input!$J$2:$J$500=B52
)), "")</f>
        <v/>
      </c>
      <c r="P52" s="32" t="e">
        <f t="shared" si="1"/>
        <v>#N/A</v>
      </c>
      <c r="Q52" s="51" t="e">
        <f>_xlfn.LET(_xlpm.Result,INDEX(Input!$D$2:$AC$500,
       MATCH(B52, Input!$J$2:$J$500, 0),
       MATCH("Capacity", Input!$D$1:$AC$1, 0)),IF(_xlpm.Result="","",_xlpm.Result))</f>
        <v>#N/A</v>
      </c>
      <c r="R52" s="51" t="e" cm="1">
        <f t="array" ref="R52">_xlfn.TEXTSPLIT(Q52," / ", ,TRUE,0,)</f>
        <v>#N/A</v>
      </c>
      <c r="S52" s="51"/>
      <c r="T52" s="51" t="str" cm="1">
        <f t="array" ref="T52">IFERROR(_xlfn.IFS(
R52="","",
--R52&lt;55,"Battery Defect",
--R52&lt;=69,"Battery D",
--R52&lt;=80,"Battery C",
--R52&gt;80,""
),"")</f>
        <v/>
      </c>
      <c r="U52" s="51" t="str" cm="1">
        <f t="array" ref="U52">IFERROR(_xlfn.IFS(
S52="","",
--S52&lt;55,"Battery Defect",
--S52&lt;=69,"Battery D",
--S52&lt;=80,"Battery C",
--S52&gt;80,""
),"")</f>
        <v/>
      </c>
      <c r="V52" s="51" t="str" cm="1">
        <f t="array" ref="V52:AC52">IFERROR(IF(_xlfn.XLOOKUP(B52,Input!J:J,Input!N:U)=0,"",
          _xlfn.XLOOKUP(B52,Input!J:J,Input!N:U)),"")</f>
        <v/>
      </c>
      <c r="W52" s="51" t="str">
        <v/>
      </c>
      <c r="X52" s="51" t="str">
        <v/>
      </c>
      <c r="Y52" s="51" t="str">
        <v/>
      </c>
      <c r="Z52" s="51" t="str">
        <v/>
      </c>
      <c r="AA52" s="51" t="str">
        <v/>
      </c>
      <c r="AB52" s="51" t="str">
        <v/>
      </c>
      <c r="AC52" s="51" t="str">
        <v/>
      </c>
      <c r="AD52" s="32" t="str">
        <f t="shared" si="0"/>
        <v/>
      </c>
      <c r="AE52" s="32" t="str">
        <f>_xlfn.XLOOKUP(B:B,Disk_Pivot!G:G,Disk_Pivot!I:I)</f>
        <v>Yes x2</v>
      </c>
      <c r="AF52" s="32" t="str">
        <f>_xlfn.XLOOKUP(B52,Disk_Pivot!G:G,Disk_Pivot!N:N)</f>
        <v>Pass, Fail</v>
      </c>
      <c r="AG52" s="32"/>
      <c r="AH52" s="32"/>
      <c r="AI52" s="32"/>
      <c r="AJ52" s="32"/>
      <c r="AK52" s="32"/>
      <c r="AL52" s="32"/>
    </row>
    <row r="53" spans="1:38">
      <c r="A53" s="32" t="str">
        <f>_xlfn.TEXTJOIN("",TRUE,_xlfn.XLOOKUP(B53,Input!J:J,Input!G:G,"",0,1),_xlfn.XLOOKUP(B53,Input!J:J,Input!H:H,"",0,1))</f>
        <v/>
      </c>
      <c r="B53" s="32"/>
      <c r="C53" s="51">
        <f>_xlfn.XLOOKUP(B53,Input!J:J,Input!F:F)</f>
        <v>0</v>
      </c>
      <c r="D53" s="32">
        <f>_xlfn.XLOOKUP(C53,Models!H:H,Models!G:G,C53)</f>
        <v>0</v>
      </c>
      <c r="E53" s="32">
        <f>_xlfn.XLOOKUP(B53,Input!J:J,Input!E:E)</f>
        <v>0</v>
      </c>
      <c r="F53" s="32">
        <f>IF(E53="LENOVO",_xlfn.XLOOKUP(B53,Input!J:J,Input!K:K),_xlfn.XLOOKUP(B53,Input!J:J,Input!L:L))</f>
        <v>0</v>
      </c>
      <c r="G53" s="32"/>
      <c r="H53" s="32"/>
      <c r="I53" s="32">
        <f>_xlfn.XLOOKUP(B53,CPU_Formula!A:A,CPU_Formula!I:I)</f>
        <v>0</v>
      </c>
      <c r="J53" s="51" t="e">
        <f>INDEX(Input!$D$2:$AC$500,
       MATCH(B53, Input!$J$2:$J$500, 0),
       MATCH("Total Memory", Input!$D$1:$AC$1, 0))</f>
        <v>#N/A</v>
      </c>
      <c r="K53" s="51" t="e">
        <f>INDEX(Input!$D$2:$AC$500,
       MATCH(B53, Input!$J$2:$J$500, 0),
       MATCH("Memory Type", Input!$D$1:$AC$1, 0))</f>
        <v>#N/A</v>
      </c>
      <c r="L53" s="51" t="str" cm="1">
        <f t="array" ref="L53">IFERROR(_xlfn.FILTERXML("&lt;t&gt;&lt;s&gt;" &amp; SUBSTITUTE(K53," / ","&lt;/s&gt;&lt;s&gt;") &amp; "&lt;/s&gt;&lt;/t&gt;","(//s[contains(.,'DDR')])[1]"),"")</f>
        <v/>
      </c>
      <c r="M53" s="32" t="e">
        <f t="shared" si="2"/>
        <v>#N/A</v>
      </c>
      <c r="N53" s="51" t="e">
        <f>INDEX(Input!$D$2:$AC$500,
       MATCH(B53, Input!$J$2:$J$500, 0),
       MATCH("Disk Interface Type", Input!$D$1:$AC$1, 0))</f>
        <v>#N/A</v>
      </c>
      <c r="O53" s="51" t="str" cm="1">
        <f t="array" ref="O53">IFERROR(_xlfn.TEXTJOIN(", ", TRUE, _xlfn._xlws.FILTER(
    INDEX(Input!$D$2:$AC$500,,MATCH("Disk Capacity",Input!$D$1:$AC$1,0)),
    Input!$J$2:$J$500=B53
)), "")</f>
        <v/>
      </c>
      <c r="P53" s="32" t="e">
        <f t="shared" si="1"/>
        <v>#N/A</v>
      </c>
      <c r="Q53" s="51" t="e">
        <f>_xlfn.LET(_xlpm.Result,INDEX(Input!$D$2:$AC$500,
       MATCH(B53, Input!$J$2:$J$500, 0),
       MATCH("Capacity", Input!$D$1:$AC$1, 0)),IF(_xlpm.Result="","",_xlpm.Result))</f>
        <v>#N/A</v>
      </c>
      <c r="R53" s="51" t="e" cm="1">
        <f t="array" ref="R53">_xlfn.TEXTSPLIT(Q53," / ", ,TRUE,0,)</f>
        <v>#N/A</v>
      </c>
      <c r="S53" s="51"/>
      <c r="T53" s="51" t="str" cm="1">
        <f t="array" ref="T53">IFERROR(_xlfn.IFS(
R53="","",
--R53&lt;55,"Battery Defect",
--R53&lt;=69,"Battery D",
--R53&lt;=80,"Battery C",
--R53&gt;80,""
),"")</f>
        <v/>
      </c>
      <c r="U53" s="51" t="str" cm="1">
        <f t="array" ref="U53">IFERROR(_xlfn.IFS(
S53="","",
--S53&lt;55,"Battery Defect",
--S53&lt;=69,"Battery D",
--S53&lt;=80,"Battery C",
--S53&gt;80,""
),"")</f>
        <v/>
      </c>
      <c r="V53" s="51" t="str" cm="1">
        <f t="array" ref="V53:AC53">IFERROR(IF(_xlfn.XLOOKUP(B53,Input!J:J,Input!N:U)=0,"",
          _xlfn.XLOOKUP(B53,Input!J:J,Input!N:U)),"")</f>
        <v/>
      </c>
      <c r="W53" s="51" t="str">
        <v/>
      </c>
      <c r="X53" s="51" t="str">
        <v/>
      </c>
      <c r="Y53" s="51" t="str">
        <v/>
      </c>
      <c r="Z53" s="51" t="str">
        <v/>
      </c>
      <c r="AA53" s="51" t="str">
        <v/>
      </c>
      <c r="AB53" s="51" t="str">
        <v/>
      </c>
      <c r="AC53" s="51" t="str">
        <v/>
      </c>
      <c r="AD53" s="32" t="str">
        <f t="shared" si="0"/>
        <v/>
      </c>
      <c r="AE53" s="32" t="str">
        <f>_xlfn.XLOOKUP(B:B,Disk_Pivot!G:G,Disk_Pivot!I:I)</f>
        <v>Yes x2</v>
      </c>
      <c r="AF53" s="32" t="str">
        <f>_xlfn.XLOOKUP(B53,Disk_Pivot!G:G,Disk_Pivot!N:N)</f>
        <v>Pass, Fail</v>
      </c>
      <c r="AG53" s="32"/>
      <c r="AH53" s="32"/>
      <c r="AI53" s="32"/>
      <c r="AJ53" s="32"/>
      <c r="AK53" s="32"/>
      <c r="AL53" s="32"/>
    </row>
    <row r="54" spans="1:38">
      <c r="A54" s="32" t="str">
        <f>_xlfn.TEXTJOIN("",TRUE,_xlfn.XLOOKUP(B54,Input!J:J,Input!G:G,"",0,1),_xlfn.XLOOKUP(B54,Input!J:J,Input!H:H,"",0,1))</f>
        <v/>
      </c>
      <c r="B54" s="32"/>
      <c r="C54" s="51">
        <f>_xlfn.XLOOKUP(B54,Input!J:J,Input!F:F)</f>
        <v>0</v>
      </c>
      <c r="D54" s="32">
        <f>_xlfn.XLOOKUP(C54,Models!H:H,Models!G:G,C54)</f>
        <v>0</v>
      </c>
      <c r="E54" s="32">
        <f>_xlfn.XLOOKUP(B54,Input!J:J,Input!E:E)</f>
        <v>0</v>
      </c>
      <c r="F54" s="32">
        <f>IF(E54="LENOVO",_xlfn.XLOOKUP(B54,Input!J:J,Input!K:K),_xlfn.XLOOKUP(B54,Input!J:J,Input!L:L))</f>
        <v>0</v>
      </c>
      <c r="G54" s="32"/>
      <c r="H54" s="32"/>
      <c r="I54" s="32">
        <f>_xlfn.XLOOKUP(B54,CPU_Formula!A:A,CPU_Formula!I:I)</f>
        <v>0</v>
      </c>
      <c r="J54" s="51" t="e">
        <f>INDEX(Input!$D$2:$AC$500,
       MATCH(B54, Input!$J$2:$J$500, 0),
       MATCH("Total Memory", Input!$D$1:$AC$1, 0))</f>
        <v>#N/A</v>
      </c>
      <c r="K54" s="51" t="e">
        <f>INDEX(Input!$D$2:$AC$500,
       MATCH(B54, Input!$J$2:$J$500, 0),
       MATCH("Memory Type", Input!$D$1:$AC$1, 0))</f>
        <v>#N/A</v>
      </c>
      <c r="L54" s="51" t="str" cm="1">
        <f t="array" ref="L54">IFERROR(_xlfn.FILTERXML("&lt;t&gt;&lt;s&gt;" &amp; SUBSTITUTE(K54," / ","&lt;/s&gt;&lt;s&gt;") &amp; "&lt;/s&gt;&lt;/t&gt;","(//s[contains(.,'DDR')])[1]"),"")</f>
        <v/>
      </c>
      <c r="M54" s="32" t="e">
        <f t="shared" si="2"/>
        <v>#N/A</v>
      </c>
      <c r="N54" s="51" t="e">
        <f>INDEX(Input!$D$2:$AC$500,
       MATCH(B54, Input!$J$2:$J$500, 0),
       MATCH("Disk Interface Type", Input!$D$1:$AC$1, 0))</f>
        <v>#N/A</v>
      </c>
      <c r="O54" s="51" t="str" cm="1">
        <f t="array" ref="O54">IFERROR(_xlfn.TEXTJOIN(", ", TRUE, _xlfn._xlws.FILTER(
    INDEX(Input!$D$2:$AC$500,,MATCH("Disk Capacity",Input!$D$1:$AC$1,0)),
    Input!$J$2:$J$500=B54
)), "")</f>
        <v/>
      </c>
      <c r="P54" s="32" t="e">
        <f t="shared" si="1"/>
        <v>#N/A</v>
      </c>
      <c r="Q54" s="51" t="e">
        <f>_xlfn.LET(_xlpm.Result,INDEX(Input!$D$2:$AC$500,
       MATCH(B54, Input!$J$2:$J$500, 0),
       MATCH("Capacity", Input!$D$1:$AC$1, 0)),IF(_xlpm.Result="","",_xlpm.Result))</f>
        <v>#N/A</v>
      </c>
      <c r="R54" s="51" t="e" cm="1">
        <f t="array" ref="R54">_xlfn.TEXTSPLIT(Q54," / ", ,TRUE,0,)</f>
        <v>#N/A</v>
      </c>
      <c r="S54" s="51"/>
      <c r="T54" s="51" t="str" cm="1">
        <f t="array" ref="T54">IFERROR(_xlfn.IFS(
R54="","",
--R54&lt;55,"Battery Defect",
--R54&lt;=69,"Battery D",
--R54&lt;=80,"Battery C",
--R54&gt;80,""
),"")</f>
        <v/>
      </c>
      <c r="U54" s="51" t="str" cm="1">
        <f t="array" ref="U54">IFERROR(_xlfn.IFS(
S54="","",
--S54&lt;55,"Battery Defect",
--S54&lt;=69,"Battery D",
--S54&lt;=80,"Battery C",
--S54&gt;80,""
),"")</f>
        <v/>
      </c>
      <c r="V54" s="51" t="str" cm="1">
        <f t="array" ref="V54:AC54">IFERROR(IF(_xlfn.XLOOKUP(B54,Input!J:J,Input!N:U)=0,"",
          _xlfn.XLOOKUP(B54,Input!J:J,Input!N:U)),"")</f>
        <v/>
      </c>
      <c r="W54" s="51" t="str">
        <v/>
      </c>
      <c r="X54" s="51" t="str">
        <v/>
      </c>
      <c r="Y54" s="51" t="str">
        <v/>
      </c>
      <c r="Z54" s="51" t="str">
        <v/>
      </c>
      <c r="AA54" s="51" t="str">
        <v/>
      </c>
      <c r="AB54" s="51" t="str">
        <v/>
      </c>
      <c r="AC54" s="51" t="str">
        <v/>
      </c>
      <c r="AD54" s="32" t="str">
        <f t="shared" si="0"/>
        <v/>
      </c>
      <c r="AE54" s="32" t="str">
        <f>_xlfn.XLOOKUP(B:B,Disk_Pivot!G:G,Disk_Pivot!I:I)</f>
        <v>Yes x2</v>
      </c>
      <c r="AF54" s="32" t="str">
        <f>_xlfn.XLOOKUP(B54,Disk_Pivot!G:G,Disk_Pivot!N:N)</f>
        <v>Pass, Fail</v>
      </c>
      <c r="AG54" s="32"/>
      <c r="AH54" s="32"/>
      <c r="AI54" s="32"/>
      <c r="AJ54" s="32"/>
      <c r="AK54" s="32"/>
      <c r="AL54" s="32"/>
    </row>
    <row r="55" spans="1:38">
      <c r="A55" s="32" t="str">
        <f>_xlfn.TEXTJOIN("",TRUE,_xlfn.XLOOKUP(B55,Input!J:J,Input!G:G,"",0,1),_xlfn.XLOOKUP(B55,Input!J:J,Input!H:H,"",0,1))</f>
        <v/>
      </c>
      <c r="B55" s="32"/>
      <c r="C55" s="51">
        <f>_xlfn.XLOOKUP(B55,Input!J:J,Input!F:F)</f>
        <v>0</v>
      </c>
      <c r="D55" s="32">
        <f>_xlfn.XLOOKUP(C55,Models!H:H,Models!G:G,C55)</f>
        <v>0</v>
      </c>
      <c r="E55" s="32">
        <f>_xlfn.XLOOKUP(B55,Input!J:J,Input!E:E)</f>
        <v>0</v>
      </c>
      <c r="F55" s="32">
        <f>IF(E55="LENOVO",_xlfn.XLOOKUP(B55,Input!J:J,Input!K:K),_xlfn.XLOOKUP(B55,Input!J:J,Input!L:L))</f>
        <v>0</v>
      </c>
      <c r="G55" s="32"/>
      <c r="H55" s="32"/>
      <c r="I55" s="32">
        <f>_xlfn.XLOOKUP(B55,CPU_Formula!A:A,CPU_Formula!I:I)</f>
        <v>0</v>
      </c>
      <c r="J55" s="51" t="e">
        <f>INDEX(Input!$D$2:$AC$500,
       MATCH(B55, Input!$J$2:$J$500, 0),
       MATCH("Total Memory", Input!$D$1:$AC$1, 0))</f>
        <v>#N/A</v>
      </c>
      <c r="K55" s="51" t="e">
        <f>INDEX(Input!$D$2:$AC$500,
       MATCH(B55, Input!$J$2:$J$500, 0),
       MATCH("Memory Type", Input!$D$1:$AC$1, 0))</f>
        <v>#N/A</v>
      </c>
      <c r="L55" s="51" t="str" cm="1">
        <f t="array" ref="L55">IFERROR(_xlfn.FILTERXML("&lt;t&gt;&lt;s&gt;" &amp; SUBSTITUTE(K55," / ","&lt;/s&gt;&lt;s&gt;") &amp; "&lt;/s&gt;&lt;/t&gt;","(//s[contains(.,'DDR')])[1]"),"")</f>
        <v/>
      </c>
      <c r="M55" s="32" t="e">
        <f t="shared" si="2"/>
        <v>#N/A</v>
      </c>
      <c r="N55" s="51" t="e">
        <f>INDEX(Input!$D$2:$AC$500,
       MATCH(B55, Input!$J$2:$J$500, 0),
       MATCH("Disk Interface Type", Input!$D$1:$AC$1, 0))</f>
        <v>#N/A</v>
      </c>
      <c r="O55" s="51" t="str" cm="1">
        <f t="array" ref="O55">IFERROR(_xlfn.TEXTJOIN(", ", TRUE, _xlfn._xlws.FILTER(
    INDEX(Input!$D$2:$AC$500,,MATCH("Disk Capacity",Input!$D$1:$AC$1,0)),
    Input!$J$2:$J$500=B55
)), "")</f>
        <v/>
      </c>
      <c r="P55" s="32" t="e">
        <f t="shared" si="1"/>
        <v>#N/A</v>
      </c>
      <c r="Q55" s="51" t="e">
        <f>_xlfn.LET(_xlpm.Result,INDEX(Input!$D$2:$AC$500,
       MATCH(B55, Input!$J$2:$J$500, 0),
       MATCH("Capacity", Input!$D$1:$AC$1, 0)),IF(_xlpm.Result="","",_xlpm.Result))</f>
        <v>#N/A</v>
      </c>
      <c r="R55" s="51" t="e" cm="1">
        <f t="array" ref="R55">_xlfn.TEXTSPLIT(Q55," / ", ,TRUE,0,)</f>
        <v>#N/A</v>
      </c>
      <c r="S55" s="51"/>
      <c r="T55" s="51" t="str" cm="1">
        <f t="array" ref="T55">IFERROR(_xlfn.IFS(
R55="","",
--R55&lt;55,"Battery Defect",
--R55&lt;=69,"Battery D",
--R55&lt;=80,"Battery C",
--R55&gt;80,""
),"")</f>
        <v/>
      </c>
      <c r="U55" s="51" t="str" cm="1">
        <f t="array" ref="U55">IFERROR(_xlfn.IFS(
S55="","",
--S55&lt;55,"Battery Defect",
--S55&lt;=69,"Battery D",
--S55&lt;=80,"Battery C",
--S55&gt;80,""
),"")</f>
        <v/>
      </c>
      <c r="V55" s="51" t="str" cm="1">
        <f t="array" ref="V55:AC55">IFERROR(IF(_xlfn.XLOOKUP(B55,Input!J:J,Input!N:U)=0,"",
          _xlfn.XLOOKUP(B55,Input!J:J,Input!N:U)),"")</f>
        <v/>
      </c>
      <c r="W55" s="51" t="str">
        <v/>
      </c>
      <c r="X55" s="51" t="str">
        <v/>
      </c>
      <c r="Y55" s="51" t="str">
        <v/>
      </c>
      <c r="Z55" s="51" t="str">
        <v/>
      </c>
      <c r="AA55" s="51" t="str">
        <v/>
      </c>
      <c r="AB55" s="51" t="str">
        <v/>
      </c>
      <c r="AC55" s="51" t="str">
        <v/>
      </c>
      <c r="AD55" s="32" t="str">
        <f t="shared" si="0"/>
        <v/>
      </c>
      <c r="AE55" s="32" t="str">
        <f>_xlfn.XLOOKUP(B:B,Disk_Pivot!G:G,Disk_Pivot!I:I)</f>
        <v>Yes x2</v>
      </c>
      <c r="AF55" s="32" t="str">
        <f>_xlfn.XLOOKUP(B55,Disk_Pivot!G:G,Disk_Pivot!N:N)</f>
        <v>Pass, Fail</v>
      </c>
      <c r="AG55" s="32"/>
      <c r="AH55" s="32"/>
      <c r="AI55" s="32"/>
      <c r="AJ55" s="32"/>
      <c r="AK55" s="32"/>
      <c r="AL55" s="32"/>
    </row>
    <row r="56" spans="1:38">
      <c r="A56" s="32" t="str">
        <f>_xlfn.TEXTJOIN("",TRUE,_xlfn.XLOOKUP(B56,Input!J:J,Input!G:G,"",0,1),_xlfn.XLOOKUP(B56,Input!J:J,Input!H:H,"",0,1))</f>
        <v/>
      </c>
      <c r="B56" s="32"/>
      <c r="C56" s="51">
        <f>_xlfn.XLOOKUP(B56,Input!J:J,Input!F:F)</f>
        <v>0</v>
      </c>
      <c r="D56" s="32">
        <f>_xlfn.XLOOKUP(C56,Models!H:H,Models!G:G,C56)</f>
        <v>0</v>
      </c>
      <c r="E56" s="32">
        <f>_xlfn.XLOOKUP(B56,Input!J:J,Input!E:E)</f>
        <v>0</v>
      </c>
      <c r="F56" s="32">
        <f>IF(E56="LENOVO",_xlfn.XLOOKUP(B56,Input!J:J,Input!K:K),_xlfn.XLOOKUP(B56,Input!J:J,Input!L:L))</f>
        <v>0</v>
      </c>
      <c r="G56" s="32"/>
      <c r="H56" s="32"/>
      <c r="I56" s="32">
        <f>_xlfn.XLOOKUP(B56,CPU_Formula!A:A,CPU_Formula!I:I)</f>
        <v>0</v>
      </c>
      <c r="J56" s="51" t="e">
        <f>INDEX(Input!$D$2:$AC$500,
       MATCH(B56, Input!$J$2:$J$500, 0),
       MATCH("Total Memory", Input!$D$1:$AC$1, 0))</f>
        <v>#N/A</v>
      </c>
      <c r="K56" s="51" t="e">
        <f>INDEX(Input!$D$2:$AC$500,
       MATCH(B56, Input!$J$2:$J$500, 0),
       MATCH("Memory Type", Input!$D$1:$AC$1, 0))</f>
        <v>#N/A</v>
      </c>
      <c r="L56" s="51" t="str" cm="1">
        <f t="array" ref="L56">IFERROR(_xlfn.FILTERXML("&lt;t&gt;&lt;s&gt;" &amp; SUBSTITUTE(K56," / ","&lt;/s&gt;&lt;s&gt;") &amp; "&lt;/s&gt;&lt;/t&gt;","(//s[contains(.,'DDR')])[1]"),"")</f>
        <v/>
      </c>
      <c r="M56" s="32" t="e">
        <f t="shared" si="2"/>
        <v>#N/A</v>
      </c>
      <c r="N56" s="51" t="e">
        <f>INDEX(Input!$D$2:$AC$500,
       MATCH(B56, Input!$J$2:$J$500, 0),
       MATCH("Disk Interface Type", Input!$D$1:$AC$1, 0))</f>
        <v>#N/A</v>
      </c>
      <c r="O56" s="51" t="str" cm="1">
        <f t="array" ref="O56">IFERROR(_xlfn.TEXTJOIN(", ", TRUE, _xlfn._xlws.FILTER(
    INDEX(Input!$D$2:$AC$500,,MATCH("Disk Capacity",Input!$D$1:$AC$1,0)),
    Input!$J$2:$J$500=B56
)), "")</f>
        <v/>
      </c>
      <c r="P56" s="32" t="e">
        <f t="shared" si="1"/>
        <v>#N/A</v>
      </c>
      <c r="Q56" s="51" t="e">
        <f>_xlfn.LET(_xlpm.Result,INDEX(Input!$D$2:$AC$500,
       MATCH(B56, Input!$J$2:$J$500, 0),
       MATCH("Capacity", Input!$D$1:$AC$1, 0)),IF(_xlpm.Result="","",_xlpm.Result))</f>
        <v>#N/A</v>
      </c>
      <c r="R56" s="51" t="e" cm="1">
        <f t="array" ref="R56">_xlfn.TEXTSPLIT(Q56," / ", ,TRUE,0,)</f>
        <v>#N/A</v>
      </c>
      <c r="S56" s="51"/>
      <c r="T56" s="51" t="str" cm="1">
        <f t="array" ref="T56">IFERROR(_xlfn.IFS(
R56="","",
--R56&lt;55,"Battery Defect",
--R56&lt;=69,"Battery D",
--R56&lt;=80,"Battery C",
--R56&gt;80,""
),"")</f>
        <v/>
      </c>
      <c r="U56" s="51" t="str" cm="1">
        <f t="array" ref="U56">IFERROR(_xlfn.IFS(
S56="","",
--S56&lt;55,"Battery Defect",
--S56&lt;=69,"Battery D",
--S56&lt;=80,"Battery C",
--S56&gt;80,""
),"")</f>
        <v/>
      </c>
      <c r="V56" s="51" t="str" cm="1">
        <f t="array" ref="V56:AC56">IFERROR(IF(_xlfn.XLOOKUP(B56,Input!J:J,Input!N:U)=0,"",
          _xlfn.XLOOKUP(B56,Input!J:J,Input!N:U)),"")</f>
        <v/>
      </c>
      <c r="W56" s="51" t="str">
        <v/>
      </c>
      <c r="X56" s="51" t="str">
        <v/>
      </c>
      <c r="Y56" s="51" t="str">
        <v/>
      </c>
      <c r="Z56" s="51" t="str">
        <v/>
      </c>
      <c r="AA56" s="51" t="str">
        <v/>
      </c>
      <c r="AB56" s="51" t="str">
        <v/>
      </c>
      <c r="AC56" s="51" t="str">
        <v/>
      </c>
      <c r="AD56" s="32" t="str">
        <f t="shared" si="0"/>
        <v/>
      </c>
      <c r="AE56" s="32" t="str">
        <f>_xlfn.XLOOKUP(B:B,Disk_Pivot!G:G,Disk_Pivot!I:I)</f>
        <v>Yes x2</v>
      </c>
      <c r="AF56" s="32" t="str">
        <f>_xlfn.XLOOKUP(B56,Disk_Pivot!G:G,Disk_Pivot!N:N)</f>
        <v>Pass, Fail</v>
      </c>
      <c r="AG56" s="32"/>
      <c r="AH56" s="32"/>
      <c r="AI56" s="32"/>
      <c r="AJ56" s="32"/>
      <c r="AK56" s="32"/>
      <c r="AL56" s="32"/>
    </row>
    <row r="57" spans="1:38">
      <c r="A57" s="32" t="str">
        <f>_xlfn.TEXTJOIN("",TRUE,_xlfn.XLOOKUP(B57,Input!J:J,Input!G:G,"",0,1),_xlfn.XLOOKUP(B57,Input!J:J,Input!H:H,"",0,1))</f>
        <v/>
      </c>
      <c r="B57" s="32"/>
      <c r="C57" s="51">
        <f>_xlfn.XLOOKUP(B57,Input!J:J,Input!F:F)</f>
        <v>0</v>
      </c>
      <c r="D57" s="32">
        <f>_xlfn.XLOOKUP(C57,Models!H:H,Models!G:G,C57)</f>
        <v>0</v>
      </c>
      <c r="E57" s="32">
        <f>_xlfn.XLOOKUP(B57,Input!J:J,Input!E:E)</f>
        <v>0</v>
      </c>
      <c r="F57" s="32">
        <f>IF(E57="LENOVO",_xlfn.XLOOKUP(B57,Input!J:J,Input!K:K),_xlfn.XLOOKUP(B57,Input!J:J,Input!L:L))</f>
        <v>0</v>
      </c>
      <c r="G57" s="32"/>
      <c r="H57" s="32"/>
      <c r="I57" s="32">
        <f>_xlfn.XLOOKUP(B57,CPU_Formula!A:A,CPU_Formula!I:I)</f>
        <v>0</v>
      </c>
      <c r="J57" s="51" t="e">
        <f>INDEX(Input!$D$2:$AC$500,
       MATCH(B57, Input!$J$2:$J$500, 0),
       MATCH("Total Memory", Input!$D$1:$AC$1, 0))</f>
        <v>#N/A</v>
      </c>
      <c r="K57" s="51" t="e">
        <f>INDEX(Input!$D$2:$AC$500,
       MATCH(B57, Input!$J$2:$J$500, 0),
       MATCH("Memory Type", Input!$D$1:$AC$1, 0))</f>
        <v>#N/A</v>
      </c>
      <c r="L57" s="51" t="str" cm="1">
        <f t="array" ref="L57">IFERROR(_xlfn.FILTERXML("&lt;t&gt;&lt;s&gt;" &amp; SUBSTITUTE(K57," / ","&lt;/s&gt;&lt;s&gt;") &amp; "&lt;/s&gt;&lt;/t&gt;","(//s[contains(.,'DDR')])[1]"),"")</f>
        <v/>
      </c>
      <c r="M57" s="32" t="e">
        <f t="shared" si="2"/>
        <v>#N/A</v>
      </c>
      <c r="N57" s="51" t="e">
        <f>INDEX(Input!$D$2:$AC$500,
       MATCH(B57, Input!$J$2:$J$500, 0),
       MATCH("Disk Interface Type", Input!$D$1:$AC$1, 0))</f>
        <v>#N/A</v>
      </c>
      <c r="O57" s="51" t="str" cm="1">
        <f t="array" ref="O57">IFERROR(_xlfn.TEXTJOIN(", ", TRUE, _xlfn._xlws.FILTER(
    INDEX(Input!$D$2:$AC$500,,MATCH("Disk Capacity",Input!$D$1:$AC$1,0)),
    Input!$J$2:$J$500=B57
)), "")</f>
        <v/>
      </c>
      <c r="P57" s="32" t="e">
        <f t="shared" si="1"/>
        <v>#N/A</v>
      </c>
      <c r="Q57" s="51" t="e">
        <f>_xlfn.LET(_xlpm.Result,INDEX(Input!$D$2:$AC$500,
       MATCH(B57, Input!$J$2:$J$500, 0),
       MATCH("Capacity", Input!$D$1:$AC$1, 0)),IF(_xlpm.Result="","",_xlpm.Result))</f>
        <v>#N/A</v>
      </c>
      <c r="R57" s="51" t="e" cm="1">
        <f t="array" ref="R57">_xlfn.TEXTSPLIT(Q57," / ", ,TRUE,0,)</f>
        <v>#N/A</v>
      </c>
      <c r="S57" s="51"/>
      <c r="T57" s="51" t="str" cm="1">
        <f t="array" ref="T57">IFERROR(_xlfn.IFS(
R57="","",
--R57&lt;55,"Battery Defect",
--R57&lt;=69,"Battery D",
--R57&lt;=80,"Battery C",
--R57&gt;80,""
),"")</f>
        <v/>
      </c>
      <c r="U57" s="51" t="str" cm="1">
        <f t="array" ref="U57">IFERROR(_xlfn.IFS(
S57="","",
--S57&lt;55,"Battery Defect",
--S57&lt;=69,"Battery D",
--S57&lt;=80,"Battery C",
--S57&gt;80,""
),"")</f>
        <v/>
      </c>
      <c r="V57" s="51" t="str" cm="1">
        <f t="array" ref="V57:AC57">IFERROR(IF(_xlfn.XLOOKUP(B57,Input!J:J,Input!N:U)=0,"",
          _xlfn.XLOOKUP(B57,Input!J:J,Input!N:U)),"")</f>
        <v/>
      </c>
      <c r="W57" s="51" t="str">
        <v/>
      </c>
      <c r="X57" s="51" t="str">
        <v/>
      </c>
      <c r="Y57" s="51" t="str">
        <v/>
      </c>
      <c r="Z57" s="51" t="str">
        <v/>
      </c>
      <c r="AA57" s="51" t="str">
        <v/>
      </c>
      <c r="AB57" s="51" t="str">
        <v/>
      </c>
      <c r="AC57" s="51" t="str">
        <v/>
      </c>
      <c r="AD57" s="32" t="str">
        <f t="shared" si="0"/>
        <v/>
      </c>
      <c r="AE57" s="32" t="str">
        <f>_xlfn.XLOOKUP(B:B,Disk_Pivot!G:G,Disk_Pivot!I:I)</f>
        <v>Yes x2</v>
      </c>
      <c r="AF57" s="32" t="str">
        <f>_xlfn.XLOOKUP(B57,Disk_Pivot!G:G,Disk_Pivot!N:N)</f>
        <v>Pass, Fail</v>
      </c>
      <c r="AG57" s="32"/>
      <c r="AH57" s="32"/>
      <c r="AI57" s="32"/>
      <c r="AJ57" s="32"/>
      <c r="AK57" s="32"/>
      <c r="AL57" s="32"/>
    </row>
    <row r="58" spans="1:38">
      <c r="A58" s="32" t="str">
        <f>_xlfn.TEXTJOIN("",TRUE,_xlfn.XLOOKUP(B58,Input!J:J,Input!G:G,"",0,1),_xlfn.XLOOKUP(B58,Input!J:J,Input!H:H,"",0,1))</f>
        <v/>
      </c>
      <c r="B58" s="32"/>
      <c r="C58" s="51">
        <f>_xlfn.XLOOKUP(B58,Input!J:J,Input!F:F)</f>
        <v>0</v>
      </c>
      <c r="D58" s="32">
        <f>_xlfn.XLOOKUP(C58,Models!H:H,Models!G:G,C58)</f>
        <v>0</v>
      </c>
      <c r="E58" s="32">
        <f>_xlfn.XLOOKUP(B58,Input!J:J,Input!E:E)</f>
        <v>0</v>
      </c>
      <c r="F58" s="32">
        <f>IF(E58="LENOVO",_xlfn.XLOOKUP(B58,Input!J:J,Input!K:K),_xlfn.XLOOKUP(B58,Input!J:J,Input!L:L))</f>
        <v>0</v>
      </c>
      <c r="G58" s="32"/>
      <c r="H58" s="32"/>
      <c r="I58" s="32">
        <f>_xlfn.XLOOKUP(B58,CPU_Formula!A:A,CPU_Formula!I:I)</f>
        <v>0</v>
      </c>
      <c r="J58" s="51" t="e">
        <f>INDEX(Input!$D$2:$AC$500,
       MATCH(B58, Input!$J$2:$J$500, 0),
       MATCH("Total Memory", Input!$D$1:$AC$1, 0))</f>
        <v>#N/A</v>
      </c>
      <c r="K58" s="51" t="e">
        <f>INDEX(Input!$D$2:$AC$500,
       MATCH(B58, Input!$J$2:$J$500, 0),
       MATCH("Memory Type", Input!$D$1:$AC$1, 0))</f>
        <v>#N/A</v>
      </c>
      <c r="L58" s="51" t="str" cm="1">
        <f t="array" ref="L58">IFERROR(_xlfn.FILTERXML("&lt;t&gt;&lt;s&gt;" &amp; SUBSTITUTE(K58," / ","&lt;/s&gt;&lt;s&gt;") &amp; "&lt;/s&gt;&lt;/t&gt;","(//s[contains(.,'DDR')])[1]"),"")</f>
        <v/>
      </c>
      <c r="M58" s="32" t="e">
        <f t="shared" si="2"/>
        <v>#N/A</v>
      </c>
      <c r="N58" s="51" t="e">
        <f>INDEX(Input!$D$2:$AC$500,
       MATCH(B58, Input!$J$2:$J$500, 0),
       MATCH("Disk Interface Type", Input!$D$1:$AC$1, 0))</f>
        <v>#N/A</v>
      </c>
      <c r="O58" s="51" t="str" cm="1">
        <f t="array" ref="O58">IFERROR(_xlfn.TEXTJOIN(", ", TRUE, _xlfn._xlws.FILTER(
    INDEX(Input!$D$2:$AC$500,,MATCH("Disk Capacity",Input!$D$1:$AC$1,0)),
    Input!$J$2:$J$500=B58
)), "")</f>
        <v/>
      </c>
      <c r="P58" s="32" t="e">
        <f t="shared" si="1"/>
        <v>#N/A</v>
      </c>
      <c r="Q58" s="51" t="e">
        <f>_xlfn.LET(_xlpm.Result,INDEX(Input!$D$2:$AC$500,
       MATCH(B58, Input!$J$2:$J$500, 0),
       MATCH("Capacity", Input!$D$1:$AC$1, 0)),IF(_xlpm.Result="","",_xlpm.Result))</f>
        <v>#N/A</v>
      </c>
      <c r="R58" s="51" t="e" cm="1">
        <f t="array" ref="R58">_xlfn.TEXTSPLIT(Q58," / ", ,TRUE,0,)</f>
        <v>#N/A</v>
      </c>
      <c r="S58" s="51"/>
      <c r="T58" s="51" t="str" cm="1">
        <f t="array" ref="T58">IFERROR(_xlfn.IFS(
R58="","",
--R58&lt;55,"Battery Defect",
--R58&lt;=69,"Battery D",
--R58&lt;=80,"Battery C",
--R58&gt;80,""
),"")</f>
        <v/>
      </c>
      <c r="U58" s="51" t="str" cm="1">
        <f t="array" ref="U58">IFERROR(_xlfn.IFS(
S58="","",
--S58&lt;55,"Battery Defect",
--S58&lt;=69,"Battery D",
--S58&lt;=80,"Battery C",
--S58&gt;80,""
),"")</f>
        <v/>
      </c>
      <c r="V58" s="51" t="str" cm="1">
        <f t="array" ref="V58:AC58">IFERROR(IF(_xlfn.XLOOKUP(B58,Input!J:J,Input!N:U)=0,"",
          _xlfn.XLOOKUP(B58,Input!J:J,Input!N:U)),"")</f>
        <v/>
      </c>
      <c r="W58" s="51" t="str">
        <v/>
      </c>
      <c r="X58" s="51" t="str">
        <v/>
      </c>
      <c r="Y58" s="51" t="str">
        <v/>
      </c>
      <c r="Z58" s="51" t="str">
        <v/>
      </c>
      <c r="AA58" s="51" t="str">
        <v/>
      </c>
      <c r="AB58" s="51" t="str">
        <v/>
      </c>
      <c r="AC58" s="51" t="str">
        <v/>
      </c>
      <c r="AD58" s="32" t="str">
        <f t="shared" si="0"/>
        <v/>
      </c>
      <c r="AE58" s="32" t="str">
        <f>_xlfn.XLOOKUP(B:B,Disk_Pivot!G:G,Disk_Pivot!I:I)</f>
        <v>Yes x2</v>
      </c>
      <c r="AF58" s="32" t="str">
        <f>_xlfn.XLOOKUP(B58,Disk_Pivot!G:G,Disk_Pivot!N:N)</f>
        <v>Pass, Fail</v>
      </c>
      <c r="AG58" s="32"/>
      <c r="AH58" s="32"/>
      <c r="AI58" s="32"/>
      <c r="AJ58" s="32"/>
      <c r="AK58" s="32"/>
      <c r="AL58" s="32"/>
    </row>
    <row r="59" spans="1:38">
      <c r="A59" s="32" t="str">
        <f>_xlfn.TEXTJOIN("",TRUE,_xlfn.XLOOKUP(B59,Input!J:J,Input!G:G,"",0,1),_xlfn.XLOOKUP(B59,Input!J:J,Input!H:H,"",0,1))</f>
        <v/>
      </c>
      <c r="B59" s="32"/>
      <c r="C59" s="51">
        <f>_xlfn.XLOOKUP(B59,Input!J:J,Input!F:F)</f>
        <v>0</v>
      </c>
      <c r="D59" s="32">
        <f>_xlfn.XLOOKUP(C59,Models!H:H,Models!G:G,C59)</f>
        <v>0</v>
      </c>
      <c r="E59" s="32">
        <f>_xlfn.XLOOKUP(B59,Input!J:J,Input!E:E)</f>
        <v>0</v>
      </c>
      <c r="F59" s="32">
        <f>IF(E59="LENOVO",_xlfn.XLOOKUP(B59,Input!J:J,Input!K:K),_xlfn.XLOOKUP(B59,Input!J:J,Input!L:L))</f>
        <v>0</v>
      </c>
      <c r="G59" s="32"/>
      <c r="H59" s="32"/>
      <c r="I59" s="32">
        <f>_xlfn.XLOOKUP(B59,CPU_Formula!A:A,CPU_Formula!I:I)</f>
        <v>0</v>
      </c>
      <c r="J59" s="51" t="e">
        <f>INDEX(Input!$D$2:$AC$500,
       MATCH(B59, Input!$J$2:$J$500, 0),
       MATCH("Total Memory", Input!$D$1:$AC$1, 0))</f>
        <v>#N/A</v>
      </c>
      <c r="K59" s="51" t="e">
        <f>INDEX(Input!$D$2:$AC$500,
       MATCH(B59, Input!$J$2:$J$500, 0),
       MATCH("Memory Type", Input!$D$1:$AC$1, 0))</f>
        <v>#N/A</v>
      </c>
      <c r="L59" s="51" t="str" cm="1">
        <f t="array" ref="L59">IFERROR(_xlfn.FILTERXML("&lt;t&gt;&lt;s&gt;" &amp; SUBSTITUTE(K59," / ","&lt;/s&gt;&lt;s&gt;") &amp; "&lt;/s&gt;&lt;/t&gt;","(//s[contains(.,'DDR')])[1]"),"")</f>
        <v/>
      </c>
      <c r="M59" s="32" t="e">
        <f t="shared" si="2"/>
        <v>#N/A</v>
      </c>
      <c r="N59" s="51" t="e">
        <f>INDEX(Input!$D$2:$AC$500,
       MATCH(B59, Input!$J$2:$J$500, 0),
       MATCH("Disk Interface Type", Input!$D$1:$AC$1, 0))</f>
        <v>#N/A</v>
      </c>
      <c r="O59" s="51" t="str" cm="1">
        <f t="array" ref="O59">IFERROR(_xlfn.TEXTJOIN(", ", TRUE, _xlfn._xlws.FILTER(
    INDEX(Input!$D$2:$AC$500,,MATCH("Disk Capacity",Input!$D$1:$AC$1,0)),
    Input!$J$2:$J$500=B59
)), "")</f>
        <v/>
      </c>
      <c r="P59" s="32" t="e">
        <f t="shared" si="1"/>
        <v>#N/A</v>
      </c>
      <c r="Q59" s="51" t="e">
        <f>_xlfn.LET(_xlpm.Result,INDEX(Input!$D$2:$AC$500,
       MATCH(B59, Input!$J$2:$J$500, 0),
       MATCH("Capacity", Input!$D$1:$AC$1, 0)),IF(_xlpm.Result="","",_xlpm.Result))</f>
        <v>#N/A</v>
      </c>
      <c r="R59" s="51" t="e" cm="1">
        <f t="array" ref="R59">_xlfn.TEXTSPLIT(Q59," / ", ,TRUE,0,)</f>
        <v>#N/A</v>
      </c>
      <c r="S59" s="51"/>
      <c r="T59" s="51" t="str" cm="1">
        <f t="array" ref="T59">IFERROR(_xlfn.IFS(
R59="","",
--R59&lt;55,"Battery Defect",
--R59&lt;=69,"Battery D",
--R59&lt;=80,"Battery C",
--R59&gt;80,""
),"")</f>
        <v/>
      </c>
      <c r="U59" s="51" t="str" cm="1">
        <f t="array" ref="U59">IFERROR(_xlfn.IFS(
S59="","",
--S59&lt;55,"Battery Defect",
--S59&lt;=69,"Battery D",
--S59&lt;=80,"Battery C",
--S59&gt;80,""
),"")</f>
        <v/>
      </c>
      <c r="V59" s="51" t="str" cm="1">
        <f t="array" ref="V59:AC59">IFERROR(IF(_xlfn.XLOOKUP(B59,Input!J:J,Input!N:U)=0,"",
          _xlfn.XLOOKUP(B59,Input!J:J,Input!N:U)),"")</f>
        <v/>
      </c>
      <c r="W59" s="51" t="str">
        <v/>
      </c>
      <c r="X59" s="51" t="str">
        <v/>
      </c>
      <c r="Y59" s="51" t="str">
        <v/>
      </c>
      <c r="Z59" s="51" t="str">
        <v/>
      </c>
      <c r="AA59" s="51" t="str">
        <v/>
      </c>
      <c r="AB59" s="51" t="str">
        <v/>
      </c>
      <c r="AC59" s="51" t="str">
        <v/>
      </c>
      <c r="AD59" s="32" t="str">
        <f t="shared" si="0"/>
        <v/>
      </c>
      <c r="AE59" s="32" t="str">
        <f>_xlfn.XLOOKUP(B:B,Disk_Pivot!G:G,Disk_Pivot!I:I)</f>
        <v>Yes x2</v>
      </c>
      <c r="AF59" s="32" t="str">
        <f>_xlfn.XLOOKUP(B59,Disk_Pivot!G:G,Disk_Pivot!N:N)</f>
        <v>Pass, Fail</v>
      </c>
      <c r="AG59" s="32"/>
      <c r="AH59" s="32"/>
      <c r="AI59" s="32"/>
      <c r="AJ59" s="32"/>
      <c r="AK59" s="32"/>
      <c r="AL59" s="32"/>
    </row>
    <row r="60" spans="1:38">
      <c r="A60" s="32" t="str">
        <f>_xlfn.TEXTJOIN("",TRUE,_xlfn.XLOOKUP(B60,Input!J:J,Input!G:G,"",0,1),_xlfn.XLOOKUP(B60,Input!J:J,Input!H:H,"",0,1))</f>
        <v/>
      </c>
      <c r="B60" s="32"/>
      <c r="C60" s="51">
        <f>_xlfn.XLOOKUP(B60,Input!J:J,Input!F:F)</f>
        <v>0</v>
      </c>
      <c r="D60" s="32">
        <f>_xlfn.XLOOKUP(C60,Models!H:H,Models!G:G,C60)</f>
        <v>0</v>
      </c>
      <c r="E60" s="32">
        <f>_xlfn.XLOOKUP(B60,Input!J:J,Input!E:E)</f>
        <v>0</v>
      </c>
      <c r="F60" s="32">
        <f>IF(E60="LENOVO",_xlfn.XLOOKUP(B60,Input!J:J,Input!K:K),_xlfn.XLOOKUP(B60,Input!J:J,Input!L:L))</f>
        <v>0</v>
      </c>
      <c r="G60" s="32"/>
      <c r="H60" s="32"/>
      <c r="I60" s="32">
        <f>_xlfn.XLOOKUP(B60,CPU_Formula!A:A,CPU_Formula!I:I)</f>
        <v>0</v>
      </c>
      <c r="J60" s="51" t="e">
        <f>INDEX(Input!$D$2:$AC$500,
       MATCH(B60, Input!$J$2:$J$500, 0),
       MATCH("Total Memory", Input!$D$1:$AC$1, 0))</f>
        <v>#N/A</v>
      </c>
      <c r="K60" s="51" t="e">
        <f>INDEX(Input!$D$2:$AC$500,
       MATCH(B60, Input!$J$2:$J$500, 0),
       MATCH("Memory Type", Input!$D$1:$AC$1, 0))</f>
        <v>#N/A</v>
      </c>
      <c r="L60" s="51" t="str" cm="1">
        <f t="array" ref="L60">IFERROR(_xlfn.FILTERXML("&lt;t&gt;&lt;s&gt;" &amp; SUBSTITUTE(K60," / ","&lt;/s&gt;&lt;s&gt;") &amp; "&lt;/s&gt;&lt;/t&gt;","(//s[contains(.,'DDR')])[1]"),"")</f>
        <v/>
      </c>
      <c r="M60" s="32" t="e">
        <f t="shared" si="2"/>
        <v>#N/A</v>
      </c>
      <c r="N60" s="51" t="e">
        <f>INDEX(Input!$D$2:$AC$500,
       MATCH(B60, Input!$J$2:$J$500, 0),
       MATCH("Disk Interface Type", Input!$D$1:$AC$1, 0))</f>
        <v>#N/A</v>
      </c>
      <c r="O60" s="51" t="str" cm="1">
        <f t="array" ref="O60">IFERROR(_xlfn.TEXTJOIN(", ", TRUE, _xlfn._xlws.FILTER(
    INDEX(Input!$D$2:$AC$500,,MATCH("Disk Capacity",Input!$D$1:$AC$1,0)),
    Input!$J$2:$J$500=B60
)), "")</f>
        <v/>
      </c>
      <c r="P60" s="32" t="e">
        <f t="shared" si="1"/>
        <v>#N/A</v>
      </c>
      <c r="Q60" s="51" t="e">
        <f>_xlfn.LET(_xlpm.Result,INDEX(Input!$D$2:$AC$500,
       MATCH(B60, Input!$J$2:$J$500, 0),
       MATCH("Capacity", Input!$D$1:$AC$1, 0)),IF(_xlpm.Result="","",_xlpm.Result))</f>
        <v>#N/A</v>
      </c>
      <c r="R60" s="51" t="e" cm="1">
        <f t="array" ref="R60">_xlfn.TEXTSPLIT(Q60," / ", ,TRUE,0,)</f>
        <v>#N/A</v>
      </c>
      <c r="S60" s="51"/>
      <c r="T60" s="51" t="str" cm="1">
        <f t="array" ref="T60">IFERROR(_xlfn.IFS(
R60="","",
--R60&lt;55,"Battery Defect",
--R60&lt;=69,"Battery D",
--R60&lt;=80,"Battery C",
--R60&gt;80,""
),"")</f>
        <v/>
      </c>
      <c r="U60" s="51" t="str" cm="1">
        <f t="array" ref="U60">IFERROR(_xlfn.IFS(
S60="","",
--S60&lt;55,"Battery Defect",
--S60&lt;=69,"Battery D",
--S60&lt;=80,"Battery C",
--S60&gt;80,""
),"")</f>
        <v/>
      </c>
      <c r="V60" s="51" t="str" cm="1">
        <f t="array" ref="V60:AC60">IFERROR(IF(_xlfn.XLOOKUP(B60,Input!J:J,Input!N:U)=0,"",
          _xlfn.XLOOKUP(B60,Input!J:J,Input!N:U)),"")</f>
        <v/>
      </c>
      <c r="W60" s="51" t="str">
        <v/>
      </c>
      <c r="X60" s="51" t="str">
        <v/>
      </c>
      <c r="Y60" s="51" t="str">
        <v/>
      </c>
      <c r="Z60" s="51" t="str">
        <v/>
      </c>
      <c r="AA60" s="51" t="str">
        <v/>
      </c>
      <c r="AB60" s="51" t="str">
        <v/>
      </c>
      <c r="AC60" s="51" t="str">
        <v/>
      </c>
      <c r="AD60" s="32" t="str">
        <f t="shared" si="0"/>
        <v/>
      </c>
      <c r="AE60" s="32" t="str">
        <f>_xlfn.XLOOKUP(B:B,Disk_Pivot!G:G,Disk_Pivot!I:I)</f>
        <v>Yes x2</v>
      </c>
      <c r="AF60" s="32" t="str">
        <f>_xlfn.XLOOKUP(B60,Disk_Pivot!G:G,Disk_Pivot!N:N)</f>
        <v>Pass, Fail</v>
      </c>
      <c r="AG60" s="32"/>
      <c r="AH60" s="32"/>
      <c r="AI60" s="32"/>
      <c r="AJ60" s="32"/>
      <c r="AK60" s="32"/>
      <c r="AL60" s="32"/>
    </row>
    <row r="61" spans="1:38">
      <c r="A61" s="32" t="str">
        <f>_xlfn.TEXTJOIN("",TRUE,_xlfn.XLOOKUP(B61,Input!J:J,Input!G:G,"",0,1),_xlfn.XLOOKUP(B61,Input!J:J,Input!H:H,"",0,1))</f>
        <v/>
      </c>
      <c r="B61" s="32"/>
      <c r="C61" s="51">
        <f>_xlfn.XLOOKUP(B61,Input!J:J,Input!F:F)</f>
        <v>0</v>
      </c>
      <c r="D61" s="32">
        <f>_xlfn.XLOOKUP(C61,Models!H:H,Models!G:G,C61)</f>
        <v>0</v>
      </c>
      <c r="E61" s="32">
        <f>_xlfn.XLOOKUP(B61,Input!J:J,Input!E:E)</f>
        <v>0</v>
      </c>
      <c r="F61" s="32">
        <f>IF(E61="LENOVO",_xlfn.XLOOKUP(B61,Input!J:J,Input!K:K),_xlfn.XLOOKUP(B61,Input!J:J,Input!L:L))</f>
        <v>0</v>
      </c>
      <c r="G61" s="32"/>
      <c r="H61" s="32"/>
      <c r="I61" s="32">
        <f>_xlfn.XLOOKUP(B61,CPU_Formula!A:A,CPU_Formula!I:I)</f>
        <v>0</v>
      </c>
      <c r="J61" s="51" t="e">
        <f>INDEX(Input!$D$2:$AC$500,
       MATCH(B61, Input!$J$2:$J$500, 0),
       MATCH("Total Memory", Input!$D$1:$AC$1, 0))</f>
        <v>#N/A</v>
      </c>
      <c r="K61" s="51" t="e">
        <f>INDEX(Input!$D$2:$AC$500,
       MATCH(B61, Input!$J$2:$J$500, 0),
       MATCH("Memory Type", Input!$D$1:$AC$1, 0))</f>
        <v>#N/A</v>
      </c>
      <c r="L61" s="51" t="str" cm="1">
        <f t="array" ref="L61">IFERROR(_xlfn.FILTERXML("&lt;t&gt;&lt;s&gt;" &amp; SUBSTITUTE(K61," / ","&lt;/s&gt;&lt;s&gt;") &amp; "&lt;/s&gt;&lt;/t&gt;","(//s[contains(.,'DDR')])[1]"),"")</f>
        <v/>
      </c>
      <c r="M61" s="32" t="e">
        <f t="shared" si="2"/>
        <v>#N/A</v>
      </c>
      <c r="N61" s="51" t="e">
        <f>INDEX(Input!$D$2:$AC$500,
       MATCH(B61, Input!$J$2:$J$500, 0),
       MATCH("Disk Interface Type", Input!$D$1:$AC$1, 0))</f>
        <v>#N/A</v>
      </c>
      <c r="O61" s="51" t="str" cm="1">
        <f t="array" ref="O61">IFERROR(_xlfn.TEXTJOIN(", ", TRUE, _xlfn._xlws.FILTER(
    INDEX(Input!$D$2:$AC$500,,MATCH("Disk Capacity",Input!$D$1:$AC$1,0)),
    Input!$J$2:$J$500=B61
)), "")</f>
        <v/>
      </c>
      <c r="P61" s="32" t="e">
        <f t="shared" si="1"/>
        <v>#N/A</v>
      </c>
      <c r="Q61" s="51" t="e">
        <f>_xlfn.LET(_xlpm.Result,INDEX(Input!$D$2:$AC$500,
       MATCH(B61, Input!$J$2:$J$500, 0),
       MATCH("Capacity", Input!$D$1:$AC$1, 0)),IF(_xlpm.Result="","",_xlpm.Result))</f>
        <v>#N/A</v>
      </c>
      <c r="R61" s="51" t="e" cm="1">
        <f t="array" ref="R61">_xlfn.TEXTSPLIT(Q61," / ", ,TRUE,0,)</f>
        <v>#N/A</v>
      </c>
      <c r="S61" s="51"/>
      <c r="T61" s="51" t="str" cm="1">
        <f t="array" ref="T61">IFERROR(_xlfn.IFS(
R61="","",
--R61&lt;55,"Battery Defect",
--R61&lt;=69,"Battery D",
--R61&lt;=80,"Battery C",
--R61&gt;80,""
),"")</f>
        <v/>
      </c>
      <c r="U61" s="51" t="str" cm="1">
        <f t="array" ref="U61">IFERROR(_xlfn.IFS(
S61="","",
--S61&lt;55,"Battery Defect",
--S61&lt;=69,"Battery D",
--S61&lt;=80,"Battery C",
--S61&gt;80,""
),"")</f>
        <v/>
      </c>
      <c r="V61" s="51" t="str" cm="1">
        <f t="array" ref="V61:AC61">IFERROR(IF(_xlfn.XLOOKUP(B61,Input!J:J,Input!N:U)=0,"",
          _xlfn.XLOOKUP(B61,Input!J:J,Input!N:U)),"")</f>
        <v/>
      </c>
      <c r="W61" s="51" t="str">
        <v/>
      </c>
      <c r="X61" s="51" t="str">
        <v/>
      </c>
      <c r="Y61" s="51" t="str">
        <v/>
      </c>
      <c r="Z61" s="51" t="str">
        <v/>
      </c>
      <c r="AA61" s="51" t="str">
        <v/>
      </c>
      <c r="AB61" s="51" t="str">
        <v/>
      </c>
      <c r="AC61" s="51" t="str">
        <v/>
      </c>
      <c r="AD61" s="32" t="str">
        <f t="shared" si="0"/>
        <v/>
      </c>
      <c r="AE61" s="32" t="str">
        <f>_xlfn.XLOOKUP(B:B,Disk_Pivot!G:G,Disk_Pivot!I:I)</f>
        <v>Yes x2</v>
      </c>
      <c r="AF61" s="32" t="str">
        <f>_xlfn.XLOOKUP(B61,Disk_Pivot!G:G,Disk_Pivot!N:N)</f>
        <v>Pass, Fail</v>
      </c>
      <c r="AG61" s="32"/>
      <c r="AH61" s="32"/>
      <c r="AI61" s="32"/>
      <c r="AJ61" s="32"/>
      <c r="AK61" s="32"/>
      <c r="AL61" s="32"/>
    </row>
    <row r="62" spans="1:38">
      <c r="A62" s="32" t="str">
        <f>_xlfn.TEXTJOIN("",TRUE,_xlfn.XLOOKUP(B62,Input!J:J,Input!G:G,"",0,1),_xlfn.XLOOKUP(B62,Input!J:J,Input!H:H,"",0,1))</f>
        <v/>
      </c>
      <c r="B62" s="32"/>
      <c r="C62" s="51">
        <f>_xlfn.XLOOKUP(B62,Input!J:J,Input!F:F)</f>
        <v>0</v>
      </c>
      <c r="D62" s="32">
        <f>_xlfn.XLOOKUP(C62,Models!H:H,Models!G:G,C62)</f>
        <v>0</v>
      </c>
      <c r="E62" s="32">
        <f>_xlfn.XLOOKUP(B62,Input!J:J,Input!E:E)</f>
        <v>0</v>
      </c>
      <c r="F62" s="32">
        <f>IF(E62="LENOVO",_xlfn.XLOOKUP(B62,Input!J:J,Input!K:K),_xlfn.XLOOKUP(B62,Input!J:J,Input!L:L))</f>
        <v>0</v>
      </c>
      <c r="G62" s="32"/>
      <c r="H62" s="32"/>
      <c r="I62" s="32">
        <f>_xlfn.XLOOKUP(B62,CPU_Formula!A:A,CPU_Formula!I:I)</f>
        <v>0</v>
      </c>
      <c r="J62" s="51" t="e">
        <f>INDEX(Input!$D$2:$AC$500,
       MATCH(B62, Input!$J$2:$J$500, 0),
       MATCH("Total Memory", Input!$D$1:$AC$1, 0))</f>
        <v>#N/A</v>
      </c>
      <c r="K62" s="51" t="e">
        <f>INDEX(Input!$D$2:$AC$500,
       MATCH(B62, Input!$J$2:$J$500, 0),
       MATCH("Memory Type", Input!$D$1:$AC$1, 0))</f>
        <v>#N/A</v>
      </c>
      <c r="L62" s="51" t="str" cm="1">
        <f t="array" ref="L62">IFERROR(_xlfn.FILTERXML("&lt;t&gt;&lt;s&gt;" &amp; SUBSTITUTE(K62," / ","&lt;/s&gt;&lt;s&gt;") &amp; "&lt;/s&gt;&lt;/t&gt;","(//s[contains(.,'DDR')])[1]"),"")</f>
        <v/>
      </c>
      <c r="M62" s="32" t="e">
        <f t="shared" si="2"/>
        <v>#N/A</v>
      </c>
      <c r="N62" s="51" t="e">
        <f>INDEX(Input!$D$2:$AC$500,
       MATCH(B62, Input!$J$2:$J$500, 0),
       MATCH("Disk Interface Type", Input!$D$1:$AC$1, 0))</f>
        <v>#N/A</v>
      </c>
      <c r="O62" s="51" t="str" cm="1">
        <f t="array" ref="O62">IFERROR(_xlfn.TEXTJOIN(", ", TRUE, _xlfn._xlws.FILTER(
    INDEX(Input!$D$2:$AC$500,,MATCH("Disk Capacity",Input!$D$1:$AC$1,0)),
    Input!$J$2:$J$500=B62
)), "")</f>
        <v/>
      </c>
      <c r="P62" s="32" t="e">
        <f t="shared" si="1"/>
        <v>#N/A</v>
      </c>
      <c r="Q62" s="51" t="e">
        <f>_xlfn.LET(_xlpm.Result,INDEX(Input!$D$2:$AC$500,
       MATCH(B62, Input!$J$2:$J$500, 0),
       MATCH("Capacity", Input!$D$1:$AC$1, 0)),IF(_xlpm.Result="","",_xlpm.Result))</f>
        <v>#N/A</v>
      </c>
      <c r="R62" s="51" t="e" cm="1">
        <f t="array" ref="R62">_xlfn.TEXTSPLIT(Q62," / ", ,TRUE,0,)</f>
        <v>#N/A</v>
      </c>
      <c r="S62" s="51"/>
      <c r="T62" s="51" t="str" cm="1">
        <f t="array" ref="T62">IFERROR(_xlfn.IFS(
R62="","",
--R62&lt;55,"Battery Defect",
--R62&lt;=69,"Battery D",
--R62&lt;=80,"Battery C",
--R62&gt;80,""
),"")</f>
        <v/>
      </c>
      <c r="U62" s="51" t="str" cm="1">
        <f t="array" ref="U62">IFERROR(_xlfn.IFS(
S62="","",
--S62&lt;55,"Battery Defect",
--S62&lt;=69,"Battery D",
--S62&lt;=80,"Battery C",
--S62&gt;80,""
),"")</f>
        <v/>
      </c>
      <c r="V62" s="51" t="str" cm="1">
        <f t="array" ref="V62:AC62">IFERROR(IF(_xlfn.XLOOKUP(B62,Input!J:J,Input!N:U)=0,"",
          _xlfn.XLOOKUP(B62,Input!J:J,Input!N:U)),"")</f>
        <v/>
      </c>
      <c r="W62" s="51" t="str">
        <v/>
      </c>
      <c r="X62" s="51" t="str">
        <v/>
      </c>
      <c r="Y62" s="51" t="str">
        <v/>
      </c>
      <c r="Z62" s="51" t="str">
        <v/>
      </c>
      <c r="AA62" s="51" t="str">
        <v/>
      </c>
      <c r="AB62" s="51" t="str">
        <v/>
      </c>
      <c r="AC62" s="51" t="str">
        <v/>
      </c>
      <c r="AD62" s="32" t="str">
        <f t="shared" si="0"/>
        <v/>
      </c>
      <c r="AE62" s="32" t="str">
        <f>_xlfn.XLOOKUP(B:B,Disk_Pivot!G:G,Disk_Pivot!I:I)</f>
        <v>Yes x2</v>
      </c>
      <c r="AF62" s="32" t="str">
        <f>_xlfn.XLOOKUP(B62,Disk_Pivot!G:G,Disk_Pivot!N:N)</f>
        <v>Pass, Fail</v>
      </c>
      <c r="AG62" s="32"/>
      <c r="AH62" s="32"/>
      <c r="AI62" s="32"/>
      <c r="AJ62" s="32"/>
      <c r="AK62" s="32"/>
      <c r="AL62" s="32"/>
    </row>
    <row r="63" spans="1:38">
      <c r="A63" s="32" t="str">
        <f>_xlfn.TEXTJOIN("",TRUE,_xlfn.XLOOKUP(B63,Input!J:J,Input!G:G,"",0,1),_xlfn.XLOOKUP(B63,Input!J:J,Input!H:H,"",0,1))</f>
        <v/>
      </c>
      <c r="B63" s="32"/>
      <c r="C63" s="51">
        <f>_xlfn.XLOOKUP(B63,Input!J:J,Input!F:F)</f>
        <v>0</v>
      </c>
      <c r="D63" s="32">
        <f>_xlfn.XLOOKUP(C63,Models!H:H,Models!G:G,C63)</f>
        <v>0</v>
      </c>
      <c r="E63" s="32">
        <f>_xlfn.XLOOKUP(B63,Input!J:J,Input!E:E)</f>
        <v>0</v>
      </c>
      <c r="F63" s="32">
        <f>IF(E63="LENOVO",_xlfn.XLOOKUP(B63,Input!J:J,Input!K:K),_xlfn.XLOOKUP(B63,Input!J:J,Input!L:L))</f>
        <v>0</v>
      </c>
      <c r="G63" s="32"/>
      <c r="H63" s="32"/>
      <c r="I63" s="32">
        <f>_xlfn.XLOOKUP(B63,CPU_Formula!A:A,CPU_Formula!I:I)</f>
        <v>0</v>
      </c>
      <c r="J63" s="51" t="e">
        <f>INDEX(Input!$D$2:$AC$500,
       MATCH(B63, Input!$J$2:$J$500, 0),
       MATCH("Total Memory", Input!$D$1:$AC$1, 0))</f>
        <v>#N/A</v>
      </c>
      <c r="K63" s="51" t="e">
        <f>INDEX(Input!$D$2:$AC$500,
       MATCH(B63, Input!$J$2:$J$500, 0),
       MATCH("Memory Type", Input!$D$1:$AC$1, 0))</f>
        <v>#N/A</v>
      </c>
      <c r="L63" s="51" t="str" cm="1">
        <f t="array" ref="L63">IFERROR(_xlfn.FILTERXML("&lt;t&gt;&lt;s&gt;" &amp; SUBSTITUTE(K63," / ","&lt;/s&gt;&lt;s&gt;") &amp; "&lt;/s&gt;&lt;/t&gt;","(//s[contains(.,'DDR')])[1]"),"")</f>
        <v/>
      </c>
      <c r="M63" s="32" t="e">
        <f t="shared" si="2"/>
        <v>#N/A</v>
      </c>
      <c r="N63" s="51" t="e">
        <f>INDEX(Input!$D$2:$AC$500,
       MATCH(B63, Input!$J$2:$J$500, 0),
       MATCH("Disk Interface Type", Input!$D$1:$AC$1, 0))</f>
        <v>#N/A</v>
      </c>
      <c r="O63" s="51" t="str" cm="1">
        <f t="array" ref="O63">IFERROR(_xlfn.TEXTJOIN(", ", TRUE, _xlfn._xlws.FILTER(
    INDEX(Input!$D$2:$AC$500,,MATCH("Disk Capacity",Input!$D$1:$AC$1,0)),
    Input!$J$2:$J$500=B63
)), "")</f>
        <v/>
      </c>
      <c r="P63" s="32" t="e">
        <f t="shared" si="1"/>
        <v>#N/A</v>
      </c>
      <c r="Q63" s="51" t="e">
        <f>_xlfn.LET(_xlpm.Result,INDEX(Input!$D$2:$AC$500,
       MATCH(B63, Input!$J$2:$J$500, 0),
       MATCH("Capacity", Input!$D$1:$AC$1, 0)),IF(_xlpm.Result="","",_xlpm.Result))</f>
        <v>#N/A</v>
      </c>
      <c r="R63" s="51" t="e" cm="1">
        <f t="array" ref="R63">_xlfn.TEXTSPLIT(Q63," / ", ,TRUE,0,)</f>
        <v>#N/A</v>
      </c>
      <c r="S63" s="51"/>
      <c r="T63" s="51" t="str" cm="1">
        <f t="array" ref="T63">IFERROR(_xlfn.IFS(
R63="","",
--R63&lt;55,"Battery Defect",
--R63&lt;=69,"Battery D",
--R63&lt;=80,"Battery C",
--R63&gt;80,""
),"")</f>
        <v/>
      </c>
      <c r="U63" s="51" t="str" cm="1">
        <f t="array" ref="U63">IFERROR(_xlfn.IFS(
S63="","",
--S63&lt;55,"Battery Defect",
--S63&lt;=69,"Battery D",
--S63&lt;=80,"Battery C",
--S63&gt;80,""
),"")</f>
        <v/>
      </c>
      <c r="V63" s="51" t="str" cm="1">
        <f t="array" ref="V63:AC63">IFERROR(IF(_xlfn.XLOOKUP(B63,Input!J:J,Input!N:U)=0,"",
          _xlfn.XLOOKUP(B63,Input!J:J,Input!N:U)),"")</f>
        <v/>
      </c>
      <c r="W63" s="51" t="str">
        <v/>
      </c>
      <c r="X63" s="51" t="str">
        <v/>
      </c>
      <c r="Y63" s="51" t="str">
        <v/>
      </c>
      <c r="Z63" s="51" t="str">
        <v/>
      </c>
      <c r="AA63" s="51" t="str">
        <v/>
      </c>
      <c r="AB63" s="51" t="str">
        <v/>
      </c>
      <c r="AC63" s="51" t="str">
        <v/>
      </c>
      <c r="AD63" s="32" t="str">
        <f t="shared" si="0"/>
        <v/>
      </c>
      <c r="AE63" s="32" t="str">
        <f>_xlfn.XLOOKUP(B:B,Disk_Pivot!G:G,Disk_Pivot!I:I)</f>
        <v>Yes x2</v>
      </c>
      <c r="AF63" s="32" t="str">
        <f>_xlfn.XLOOKUP(B63,Disk_Pivot!G:G,Disk_Pivot!N:N)</f>
        <v>Pass, Fail</v>
      </c>
      <c r="AG63" s="32"/>
      <c r="AH63" s="32"/>
      <c r="AI63" s="32"/>
      <c r="AJ63" s="32"/>
      <c r="AK63" s="32"/>
      <c r="AL63" s="32"/>
    </row>
    <row r="64" spans="1:38">
      <c r="A64" s="32" t="str">
        <f>_xlfn.TEXTJOIN("",TRUE,_xlfn.XLOOKUP(B64,Input!J:J,Input!G:G,"",0,1),_xlfn.XLOOKUP(B64,Input!J:J,Input!H:H,"",0,1))</f>
        <v/>
      </c>
      <c r="B64" s="32"/>
      <c r="C64" s="51">
        <f>_xlfn.XLOOKUP(B64,Input!J:J,Input!F:F)</f>
        <v>0</v>
      </c>
      <c r="D64" s="32">
        <f>_xlfn.XLOOKUP(C64,Models!H:H,Models!G:G,C64)</f>
        <v>0</v>
      </c>
      <c r="E64" s="32">
        <f>_xlfn.XLOOKUP(B64,Input!J:J,Input!E:E)</f>
        <v>0</v>
      </c>
      <c r="F64" s="32">
        <f>IF(E64="LENOVO",_xlfn.XLOOKUP(B64,Input!J:J,Input!K:K),_xlfn.XLOOKUP(B64,Input!J:J,Input!L:L))</f>
        <v>0</v>
      </c>
      <c r="G64" s="32"/>
      <c r="H64" s="32"/>
      <c r="I64" s="32">
        <f>_xlfn.XLOOKUP(B64,CPU_Formula!A:A,CPU_Formula!I:I)</f>
        <v>0</v>
      </c>
      <c r="J64" s="51" t="e">
        <f>INDEX(Input!$D$2:$AC$500,
       MATCH(B64, Input!$J$2:$J$500, 0),
       MATCH("Total Memory", Input!$D$1:$AC$1, 0))</f>
        <v>#N/A</v>
      </c>
      <c r="K64" s="51" t="e">
        <f>INDEX(Input!$D$2:$AC$500,
       MATCH(B64, Input!$J$2:$J$500, 0),
       MATCH("Memory Type", Input!$D$1:$AC$1, 0))</f>
        <v>#N/A</v>
      </c>
      <c r="L64" s="51" t="str" cm="1">
        <f t="array" ref="L64">IFERROR(_xlfn.FILTERXML("&lt;t&gt;&lt;s&gt;" &amp; SUBSTITUTE(K64," / ","&lt;/s&gt;&lt;s&gt;") &amp; "&lt;/s&gt;&lt;/t&gt;","(//s[contains(.,'DDR')])[1]"),"")</f>
        <v/>
      </c>
      <c r="M64" s="32" t="e">
        <f t="shared" si="2"/>
        <v>#N/A</v>
      </c>
      <c r="N64" s="51" t="e">
        <f>INDEX(Input!$D$2:$AC$500,
       MATCH(B64, Input!$J$2:$J$500, 0),
       MATCH("Disk Interface Type", Input!$D$1:$AC$1, 0))</f>
        <v>#N/A</v>
      </c>
      <c r="O64" s="51" t="str" cm="1">
        <f t="array" ref="O64">IFERROR(_xlfn.TEXTJOIN(", ", TRUE, _xlfn._xlws.FILTER(
    INDEX(Input!$D$2:$AC$500,,MATCH("Disk Capacity",Input!$D$1:$AC$1,0)),
    Input!$J$2:$J$500=B64
)), "")</f>
        <v/>
      </c>
      <c r="P64" s="32" t="e">
        <f t="shared" si="1"/>
        <v>#N/A</v>
      </c>
      <c r="Q64" s="51" t="e">
        <f>_xlfn.LET(_xlpm.Result,INDEX(Input!$D$2:$AC$500,
       MATCH(B64, Input!$J$2:$J$500, 0),
       MATCH("Capacity", Input!$D$1:$AC$1, 0)),IF(_xlpm.Result="","",_xlpm.Result))</f>
        <v>#N/A</v>
      </c>
      <c r="R64" s="51" t="e" cm="1">
        <f t="array" ref="R64">_xlfn.TEXTSPLIT(Q64," / ", ,TRUE,0,)</f>
        <v>#N/A</v>
      </c>
      <c r="S64" s="51"/>
      <c r="T64" s="51" t="str" cm="1">
        <f t="array" ref="T64">IFERROR(_xlfn.IFS(
R64="","",
--R64&lt;55,"Battery Defect",
--R64&lt;=69,"Battery D",
--R64&lt;=80,"Battery C",
--R64&gt;80,""
),"")</f>
        <v/>
      </c>
      <c r="U64" s="51" t="str" cm="1">
        <f t="array" ref="U64">IFERROR(_xlfn.IFS(
S64="","",
--S64&lt;55,"Battery Defect",
--S64&lt;=69,"Battery D",
--S64&lt;=80,"Battery C",
--S64&gt;80,""
),"")</f>
        <v/>
      </c>
      <c r="V64" s="51" t="str" cm="1">
        <f t="array" ref="V64:AC64">IFERROR(IF(_xlfn.XLOOKUP(B64,Input!J:J,Input!N:U)=0,"",
          _xlfn.XLOOKUP(B64,Input!J:J,Input!N:U)),"")</f>
        <v/>
      </c>
      <c r="W64" s="51" t="str">
        <v/>
      </c>
      <c r="X64" s="51" t="str">
        <v/>
      </c>
      <c r="Y64" s="51" t="str">
        <v/>
      </c>
      <c r="Z64" s="51" t="str">
        <v/>
      </c>
      <c r="AA64" s="51" t="str">
        <v/>
      </c>
      <c r="AB64" s="51" t="str">
        <v/>
      </c>
      <c r="AC64" s="51" t="str">
        <v/>
      </c>
      <c r="AD64" s="32" t="str">
        <f t="shared" si="0"/>
        <v/>
      </c>
      <c r="AE64" s="32" t="str">
        <f>_xlfn.XLOOKUP(B:B,Disk_Pivot!G:G,Disk_Pivot!I:I)</f>
        <v>Yes x2</v>
      </c>
      <c r="AF64" s="32" t="str">
        <f>_xlfn.XLOOKUP(B64,Disk_Pivot!G:G,Disk_Pivot!N:N)</f>
        <v>Pass, Fail</v>
      </c>
      <c r="AG64" s="32"/>
      <c r="AH64" s="32"/>
      <c r="AI64" s="32"/>
      <c r="AJ64" s="32"/>
      <c r="AK64" s="32"/>
      <c r="AL64" s="32"/>
    </row>
    <row r="65" spans="1:38">
      <c r="A65" s="32" t="str">
        <f>_xlfn.TEXTJOIN("",TRUE,_xlfn.XLOOKUP(B65,Input!J:J,Input!G:G,"",0,1),_xlfn.XLOOKUP(B65,Input!J:J,Input!H:H,"",0,1))</f>
        <v/>
      </c>
      <c r="B65" s="32"/>
      <c r="C65" s="51">
        <f>_xlfn.XLOOKUP(B65,Input!J:J,Input!F:F)</f>
        <v>0</v>
      </c>
      <c r="D65" s="32">
        <f>_xlfn.XLOOKUP(C65,Models!H:H,Models!G:G,C65)</f>
        <v>0</v>
      </c>
      <c r="E65" s="32">
        <f>_xlfn.XLOOKUP(B65,Input!J:J,Input!E:E)</f>
        <v>0</v>
      </c>
      <c r="F65" s="32">
        <f>IF(E65="LENOVO",_xlfn.XLOOKUP(B65,Input!J:J,Input!K:K),_xlfn.XLOOKUP(B65,Input!J:J,Input!L:L))</f>
        <v>0</v>
      </c>
      <c r="G65" s="32"/>
      <c r="H65" s="32"/>
      <c r="I65" s="32">
        <f>_xlfn.XLOOKUP(B65,CPU_Formula!A:A,CPU_Formula!I:I)</f>
        <v>0</v>
      </c>
      <c r="J65" s="51" t="e">
        <f>INDEX(Input!$D$2:$AC$500,
       MATCH(B65, Input!$J$2:$J$500, 0),
       MATCH("Total Memory", Input!$D$1:$AC$1, 0))</f>
        <v>#N/A</v>
      </c>
      <c r="K65" s="51" t="e">
        <f>INDEX(Input!$D$2:$AC$500,
       MATCH(B65, Input!$J$2:$J$500, 0),
       MATCH("Memory Type", Input!$D$1:$AC$1, 0))</f>
        <v>#N/A</v>
      </c>
      <c r="L65" s="51" t="str" cm="1">
        <f t="array" ref="L65">IFERROR(_xlfn.FILTERXML("&lt;t&gt;&lt;s&gt;" &amp; SUBSTITUTE(K65," / ","&lt;/s&gt;&lt;s&gt;") &amp; "&lt;/s&gt;&lt;/t&gt;","(//s[contains(.,'DDR')])[1]"),"")</f>
        <v/>
      </c>
      <c r="M65" s="32" t="e">
        <f t="shared" si="2"/>
        <v>#N/A</v>
      </c>
      <c r="N65" s="51" t="e">
        <f>INDEX(Input!$D$2:$AC$500,
       MATCH(B65, Input!$J$2:$J$500, 0),
       MATCH("Disk Interface Type", Input!$D$1:$AC$1, 0))</f>
        <v>#N/A</v>
      </c>
      <c r="O65" s="51" t="str" cm="1">
        <f t="array" ref="O65">IFERROR(_xlfn.TEXTJOIN(", ", TRUE, _xlfn._xlws.FILTER(
    INDEX(Input!$D$2:$AC$500,,MATCH("Disk Capacity",Input!$D$1:$AC$1,0)),
    Input!$J$2:$J$500=B65
)), "")</f>
        <v/>
      </c>
      <c r="P65" s="32" t="e">
        <f t="shared" si="1"/>
        <v>#N/A</v>
      </c>
      <c r="Q65" s="51" t="e">
        <f>_xlfn.LET(_xlpm.Result,INDEX(Input!$D$2:$AC$500,
       MATCH(B65, Input!$J$2:$J$500, 0),
       MATCH("Capacity", Input!$D$1:$AC$1, 0)),IF(_xlpm.Result="","",_xlpm.Result))</f>
        <v>#N/A</v>
      </c>
      <c r="R65" s="51" t="e" cm="1">
        <f t="array" ref="R65">_xlfn.TEXTSPLIT(Q65," / ", ,TRUE,0,)</f>
        <v>#N/A</v>
      </c>
      <c r="S65" s="51"/>
      <c r="T65" s="51" t="str" cm="1">
        <f t="array" ref="T65">IFERROR(_xlfn.IFS(
R65="","",
--R65&lt;55,"Battery Defect",
--R65&lt;=69,"Battery D",
--R65&lt;=80,"Battery C",
--R65&gt;80,""
),"")</f>
        <v/>
      </c>
      <c r="U65" s="51" t="str" cm="1">
        <f t="array" ref="U65">IFERROR(_xlfn.IFS(
S65="","",
--S65&lt;55,"Battery Defect",
--S65&lt;=69,"Battery D",
--S65&lt;=80,"Battery C",
--S65&gt;80,""
),"")</f>
        <v/>
      </c>
      <c r="V65" s="51" t="str" cm="1">
        <f t="array" ref="V65:AC65">IFERROR(IF(_xlfn.XLOOKUP(B65,Input!J:J,Input!N:U)=0,"",
          _xlfn.XLOOKUP(B65,Input!J:J,Input!N:U)),"")</f>
        <v/>
      </c>
      <c r="W65" s="51" t="str">
        <v/>
      </c>
      <c r="X65" s="51" t="str">
        <v/>
      </c>
      <c r="Y65" s="51" t="str">
        <v/>
      </c>
      <c r="Z65" s="51" t="str">
        <v/>
      </c>
      <c r="AA65" s="51" t="str">
        <v/>
      </c>
      <c r="AB65" s="51" t="str">
        <v/>
      </c>
      <c r="AC65" s="51" t="str">
        <v/>
      </c>
      <c r="AD65" s="32" t="str">
        <f t="shared" si="0"/>
        <v/>
      </c>
      <c r="AE65" s="32" t="str">
        <f>_xlfn.XLOOKUP(B:B,Disk_Pivot!G:G,Disk_Pivot!I:I)</f>
        <v>Yes x2</v>
      </c>
      <c r="AF65" s="32" t="str">
        <f>_xlfn.XLOOKUP(B65,Disk_Pivot!G:G,Disk_Pivot!N:N)</f>
        <v>Pass, Fail</v>
      </c>
      <c r="AG65" s="32"/>
      <c r="AH65" s="32"/>
      <c r="AI65" s="32"/>
      <c r="AJ65" s="32"/>
      <c r="AK65" s="32"/>
      <c r="AL65" s="32"/>
    </row>
    <row r="66" spans="1:38">
      <c r="A66" s="32" t="str">
        <f>_xlfn.TEXTJOIN("",TRUE,_xlfn.XLOOKUP(B66,Input!J:J,Input!G:G,"",0,1),_xlfn.XLOOKUP(B66,Input!J:J,Input!H:H,"",0,1))</f>
        <v/>
      </c>
      <c r="B66" s="32"/>
      <c r="C66" s="51">
        <f>_xlfn.XLOOKUP(B66,Input!J:J,Input!F:F)</f>
        <v>0</v>
      </c>
      <c r="D66" s="32">
        <f>_xlfn.XLOOKUP(C66,Models!H:H,Models!G:G,C66)</f>
        <v>0</v>
      </c>
      <c r="E66" s="32">
        <f>_xlfn.XLOOKUP(B66,Input!J:J,Input!E:E)</f>
        <v>0</v>
      </c>
      <c r="F66" s="32">
        <f>IF(E66="LENOVO",_xlfn.XLOOKUP(B66,Input!J:J,Input!K:K),_xlfn.XLOOKUP(B66,Input!J:J,Input!L:L))</f>
        <v>0</v>
      </c>
      <c r="G66" s="32"/>
      <c r="H66" s="32"/>
      <c r="I66" s="32">
        <f>_xlfn.XLOOKUP(B66,CPU_Formula!A:A,CPU_Formula!I:I)</f>
        <v>0</v>
      </c>
      <c r="J66" s="51" t="e">
        <f>INDEX(Input!$D$2:$AC$500,
       MATCH(B66, Input!$J$2:$J$500, 0),
       MATCH("Total Memory", Input!$D$1:$AC$1, 0))</f>
        <v>#N/A</v>
      </c>
      <c r="K66" s="51" t="e">
        <f>INDEX(Input!$D$2:$AC$500,
       MATCH(B66, Input!$J$2:$J$500, 0),
       MATCH("Memory Type", Input!$D$1:$AC$1, 0))</f>
        <v>#N/A</v>
      </c>
      <c r="L66" s="51" t="str" cm="1">
        <f t="array" ref="L66">IFERROR(_xlfn.FILTERXML("&lt;t&gt;&lt;s&gt;" &amp; SUBSTITUTE(K66," / ","&lt;/s&gt;&lt;s&gt;") &amp; "&lt;/s&gt;&lt;/t&gt;","(//s[contains(.,'DDR')])[1]"),"")</f>
        <v/>
      </c>
      <c r="M66" s="32" t="e">
        <f t="shared" si="2"/>
        <v>#N/A</v>
      </c>
      <c r="N66" s="51" t="e">
        <f>INDEX(Input!$D$2:$AC$500,
       MATCH(B66, Input!$J$2:$J$500, 0),
       MATCH("Disk Interface Type", Input!$D$1:$AC$1, 0))</f>
        <v>#N/A</v>
      </c>
      <c r="O66" s="51" t="str" cm="1">
        <f t="array" ref="O66">IFERROR(_xlfn.TEXTJOIN(", ", TRUE, _xlfn._xlws.FILTER(
    INDEX(Input!$D$2:$AC$500,,MATCH("Disk Capacity",Input!$D$1:$AC$1,0)),
    Input!$J$2:$J$500=B66
)), "")</f>
        <v/>
      </c>
      <c r="P66" s="32" t="e">
        <f t="shared" si="1"/>
        <v>#N/A</v>
      </c>
      <c r="Q66" s="51" t="e">
        <f>_xlfn.LET(_xlpm.Result,INDEX(Input!$D$2:$AC$500,
       MATCH(B66, Input!$J$2:$J$500, 0),
       MATCH("Capacity", Input!$D$1:$AC$1, 0)),IF(_xlpm.Result="","",_xlpm.Result))</f>
        <v>#N/A</v>
      </c>
      <c r="R66" s="51" t="e" cm="1">
        <f t="array" ref="R66">_xlfn.TEXTSPLIT(Q66," / ", ,TRUE,0,)</f>
        <v>#N/A</v>
      </c>
      <c r="S66" s="51"/>
      <c r="T66" s="51" t="str" cm="1">
        <f t="array" ref="T66">IFERROR(_xlfn.IFS(
R66="","",
--R66&lt;55,"Battery Defect",
--R66&lt;=69,"Battery D",
--R66&lt;=80,"Battery C",
--R66&gt;80,""
),"")</f>
        <v/>
      </c>
      <c r="U66" s="51" t="str" cm="1">
        <f t="array" ref="U66">IFERROR(_xlfn.IFS(
S66="","",
--S66&lt;55,"Battery Defect",
--S66&lt;=69,"Battery D",
--S66&lt;=80,"Battery C",
--S66&gt;80,""
),"")</f>
        <v/>
      </c>
      <c r="V66" s="51" t="str" cm="1">
        <f t="array" ref="V66:AC66">IFERROR(IF(_xlfn.XLOOKUP(B66,Input!J:J,Input!N:U)=0,"",
          _xlfn.XLOOKUP(B66,Input!J:J,Input!N:U)),"")</f>
        <v/>
      </c>
      <c r="W66" s="51" t="str">
        <v/>
      </c>
      <c r="X66" s="51" t="str">
        <v/>
      </c>
      <c r="Y66" s="51" t="str">
        <v/>
      </c>
      <c r="Z66" s="51" t="str">
        <v/>
      </c>
      <c r="AA66" s="51" t="str">
        <v/>
      </c>
      <c r="AB66" s="51" t="str">
        <v/>
      </c>
      <c r="AC66" s="51" t="str">
        <v/>
      </c>
      <c r="AD66" s="32" t="str">
        <f t="shared" ref="AD66:AD129" si="3">IF(D66="Laptop",_xlfn.TEXTJOIN(", ",TRUE,T66,U66,V66,W66,X66,Y66,Z66,AA66), _xlfn.TEXTJOIN(", ",TRUE,V66,W66,X66,Y66,Z66,AA66))</f>
        <v/>
      </c>
      <c r="AE66" s="32" t="str">
        <f>_xlfn.XLOOKUP(B:B,Disk_Pivot!G:G,Disk_Pivot!I:I)</f>
        <v>Yes x2</v>
      </c>
      <c r="AF66" s="32" t="str">
        <f>_xlfn.XLOOKUP(B66,Disk_Pivot!G:G,Disk_Pivot!N:N)</f>
        <v>Pass, Fail</v>
      </c>
      <c r="AG66" s="32"/>
      <c r="AH66" s="32"/>
      <c r="AI66" s="32"/>
      <c r="AJ66" s="32"/>
      <c r="AK66" s="32"/>
      <c r="AL66" s="32"/>
    </row>
    <row r="67" spans="1:38">
      <c r="A67" s="32" t="str">
        <f>_xlfn.TEXTJOIN("",TRUE,_xlfn.XLOOKUP(B67,Input!J:J,Input!G:G,"",0,1),_xlfn.XLOOKUP(B67,Input!J:J,Input!H:H,"",0,1))</f>
        <v/>
      </c>
      <c r="B67" s="32"/>
      <c r="C67" s="51">
        <f>_xlfn.XLOOKUP(B67,Input!J:J,Input!F:F)</f>
        <v>0</v>
      </c>
      <c r="D67" s="32">
        <f>_xlfn.XLOOKUP(C67,Models!H:H,Models!G:G,C67)</f>
        <v>0</v>
      </c>
      <c r="E67" s="32">
        <f>_xlfn.XLOOKUP(B67,Input!J:J,Input!E:E)</f>
        <v>0</v>
      </c>
      <c r="F67" s="32">
        <f>IF(E67="LENOVO",_xlfn.XLOOKUP(B67,Input!J:J,Input!K:K),_xlfn.XLOOKUP(B67,Input!J:J,Input!L:L))</f>
        <v>0</v>
      </c>
      <c r="G67" s="32"/>
      <c r="H67" s="32"/>
      <c r="I67" s="32">
        <f>_xlfn.XLOOKUP(B67,CPU_Formula!A:A,CPU_Formula!I:I)</f>
        <v>0</v>
      </c>
      <c r="J67" s="51" t="e">
        <f>INDEX(Input!$D$2:$AC$500,
       MATCH(B67, Input!$J$2:$J$500, 0),
       MATCH("Total Memory", Input!$D$1:$AC$1, 0))</f>
        <v>#N/A</v>
      </c>
      <c r="K67" s="51" t="e">
        <f>INDEX(Input!$D$2:$AC$500,
       MATCH(B67, Input!$J$2:$J$500, 0),
       MATCH("Memory Type", Input!$D$1:$AC$1, 0))</f>
        <v>#N/A</v>
      </c>
      <c r="L67" s="51" t="str" cm="1">
        <f t="array" ref="L67">IFERROR(_xlfn.FILTERXML("&lt;t&gt;&lt;s&gt;" &amp; SUBSTITUTE(K67," / ","&lt;/s&gt;&lt;s&gt;") &amp; "&lt;/s&gt;&lt;/t&gt;","(//s[contains(.,'DDR')])[1]"),"")</f>
        <v/>
      </c>
      <c r="M67" s="32" t="e">
        <f t="shared" si="2"/>
        <v>#N/A</v>
      </c>
      <c r="N67" s="51" t="e">
        <f>INDEX(Input!$D$2:$AC$500,
       MATCH(B67, Input!$J$2:$J$500, 0),
       MATCH("Disk Interface Type", Input!$D$1:$AC$1, 0))</f>
        <v>#N/A</v>
      </c>
      <c r="O67" s="51" t="str" cm="1">
        <f t="array" ref="O67">IFERROR(_xlfn.TEXTJOIN(", ", TRUE, _xlfn._xlws.FILTER(
    INDEX(Input!$D$2:$AC$500,,MATCH("Disk Capacity",Input!$D$1:$AC$1,0)),
    Input!$J$2:$J$500=B67
)), "")</f>
        <v/>
      </c>
      <c r="P67" s="32" t="e">
        <f t="shared" ref="P67:P130" si="4">_xlfn.TEXTJOIN(" ",TRUE,O67,N67)</f>
        <v>#N/A</v>
      </c>
      <c r="Q67" s="51" t="e">
        <f>_xlfn.LET(_xlpm.Result,INDEX(Input!$D$2:$AC$500,
       MATCH(B67, Input!$J$2:$J$500, 0),
       MATCH("Capacity", Input!$D$1:$AC$1, 0)),IF(_xlpm.Result="","",_xlpm.Result))</f>
        <v>#N/A</v>
      </c>
      <c r="R67" s="51" t="e" cm="1">
        <f t="array" ref="R67">_xlfn.TEXTSPLIT(Q67," / ", ,TRUE,0,)</f>
        <v>#N/A</v>
      </c>
      <c r="S67" s="51"/>
      <c r="T67" s="51" t="str" cm="1">
        <f t="array" ref="T67">IFERROR(_xlfn.IFS(
R67="","",
--R67&lt;55,"Battery Defect",
--R67&lt;=69,"Battery D",
--R67&lt;=80,"Battery C",
--R67&gt;80,""
),"")</f>
        <v/>
      </c>
      <c r="U67" s="51" t="str" cm="1">
        <f t="array" ref="U67">IFERROR(_xlfn.IFS(
S67="","",
--S67&lt;55,"Battery Defect",
--S67&lt;=69,"Battery D",
--S67&lt;=80,"Battery C",
--S67&gt;80,""
),"")</f>
        <v/>
      </c>
      <c r="V67" s="51" t="str" cm="1">
        <f t="array" ref="V67:AC67">IFERROR(IF(_xlfn.XLOOKUP(B67,Input!J:J,Input!N:U)=0,"",
          _xlfn.XLOOKUP(B67,Input!J:J,Input!N:U)),"")</f>
        <v/>
      </c>
      <c r="W67" s="51" t="str">
        <v/>
      </c>
      <c r="X67" s="51" t="str">
        <v/>
      </c>
      <c r="Y67" s="51" t="str">
        <v/>
      </c>
      <c r="Z67" s="51" t="str">
        <v/>
      </c>
      <c r="AA67" s="51" t="str">
        <v/>
      </c>
      <c r="AB67" s="51" t="str">
        <v/>
      </c>
      <c r="AC67" s="51" t="str">
        <v/>
      </c>
      <c r="AD67" s="32" t="str">
        <f t="shared" si="3"/>
        <v/>
      </c>
      <c r="AE67" s="32" t="str">
        <f>_xlfn.XLOOKUP(B:B,Disk_Pivot!G:G,Disk_Pivot!I:I)</f>
        <v>Yes x2</v>
      </c>
      <c r="AF67" s="32" t="str">
        <f>_xlfn.XLOOKUP(B67,Disk_Pivot!G:G,Disk_Pivot!N:N)</f>
        <v>Pass, Fail</v>
      </c>
      <c r="AG67" s="32"/>
      <c r="AH67" s="32"/>
      <c r="AI67" s="32"/>
      <c r="AJ67" s="32"/>
      <c r="AK67" s="32"/>
      <c r="AL67" s="32"/>
    </row>
    <row r="68" spans="1:38">
      <c r="A68" s="32" t="str">
        <f>_xlfn.TEXTJOIN("",TRUE,_xlfn.XLOOKUP(B68,Input!J:J,Input!G:G,"",0,1),_xlfn.XLOOKUP(B68,Input!J:J,Input!H:H,"",0,1))</f>
        <v/>
      </c>
      <c r="B68" s="32"/>
      <c r="C68" s="51">
        <f>_xlfn.XLOOKUP(B68,Input!J:J,Input!F:F)</f>
        <v>0</v>
      </c>
      <c r="D68" s="32">
        <f>_xlfn.XLOOKUP(C68,Models!H:H,Models!G:G,C68)</f>
        <v>0</v>
      </c>
      <c r="E68" s="32">
        <f>_xlfn.XLOOKUP(B68,Input!J:J,Input!E:E)</f>
        <v>0</v>
      </c>
      <c r="F68" s="32">
        <f>IF(E68="LENOVO",_xlfn.XLOOKUP(B68,Input!J:J,Input!K:K),_xlfn.XLOOKUP(B68,Input!J:J,Input!L:L))</f>
        <v>0</v>
      </c>
      <c r="G68" s="32"/>
      <c r="H68" s="32"/>
      <c r="I68" s="32">
        <f>_xlfn.XLOOKUP(B68,CPU_Formula!A:A,CPU_Formula!I:I)</f>
        <v>0</v>
      </c>
      <c r="J68" s="51" t="e">
        <f>INDEX(Input!$D$2:$AC$500,
       MATCH(B68, Input!$J$2:$J$500, 0),
       MATCH("Total Memory", Input!$D$1:$AC$1, 0))</f>
        <v>#N/A</v>
      </c>
      <c r="K68" s="51" t="e">
        <f>INDEX(Input!$D$2:$AC$500,
       MATCH(B68, Input!$J$2:$J$500, 0),
       MATCH("Memory Type", Input!$D$1:$AC$1, 0))</f>
        <v>#N/A</v>
      </c>
      <c r="L68" s="51" t="str" cm="1">
        <f t="array" ref="L68">IFERROR(_xlfn.FILTERXML("&lt;t&gt;&lt;s&gt;" &amp; SUBSTITUTE(K68," / ","&lt;/s&gt;&lt;s&gt;") &amp; "&lt;/s&gt;&lt;/t&gt;","(//s[contains(.,'DDR')])[1]"),"")</f>
        <v/>
      </c>
      <c r="M68" s="32" t="e">
        <f t="shared" ref="M68:M131" si="5">_xlfn.TEXTJOIN(" ",TRUE,SUBSTITUTE(J68,"i",""),L68)</f>
        <v>#N/A</v>
      </c>
      <c r="N68" s="51" t="e">
        <f>INDEX(Input!$D$2:$AC$500,
       MATCH(B68, Input!$J$2:$J$500, 0),
       MATCH("Disk Interface Type", Input!$D$1:$AC$1, 0))</f>
        <v>#N/A</v>
      </c>
      <c r="O68" s="51" t="str" cm="1">
        <f t="array" ref="O68">IFERROR(_xlfn.TEXTJOIN(", ", TRUE, _xlfn._xlws.FILTER(
    INDEX(Input!$D$2:$AC$500,,MATCH("Disk Capacity",Input!$D$1:$AC$1,0)),
    Input!$J$2:$J$500=B68
)), "")</f>
        <v/>
      </c>
      <c r="P68" s="32" t="e">
        <f t="shared" si="4"/>
        <v>#N/A</v>
      </c>
      <c r="Q68" s="51" t="e">
        <f>_xlfn.LET(_xlpm.Result,INDEX(Input!$D$2:$AC$500,
       MATCH(B68, Input!$J$2:$J$500, 0),
       MATCH("Capacity", Input!$D$1:$AC$1, 0)),IF(_xlpm.Result="","",_xlpm.Result))</f>
        <v>#N/A</v>
      </c>
      <c r="R68" s="51" t="e" cm="1">
        <f t="array" ref="R68">_xlfn.TEXTSPLIT(Q68," / ", ,TRUE,0,)</f>
        <v>#N/A</v>
      </c>
      <c r="S68" s="51"/>
      <c r="T68" s="51" t="str" cm="1">
        <f t="array" ref="T68">IFERROR(_xlfn.IFS(
R68="","",
--R68&lt;55,"Battery Defect",
--R68&lt;=69,"Battery D",
--R68&lt;=80,"Battery C",
--R68&gt;80,""
),"")</f>
        <v/>
      </c>
      <c r="U68" s="51" t="str" cm="1">
        <f t="array" ref="U68">IFERROR(_xlfn.IFS(
S68="","",
--S68&lt;55,"Battery Defect",
--S68&lt;=69,"Battery D",
--S68&lt;=80,"Battery C",
--S68&gt;80,""
),"")</f>
        <v/>
      </c>
      <c r="V68" s="51" t="str" cm="1">
        <f t="array" ref="V68:AC68">IFERROR(IF(_xlfn.XLOOKUP(B68,Input!J:J,Input!N:U)=0,"",
          _xlfn.XLOOKUP(B68,Input!J:J,Input!N:U)),"")</f>
        <v/>
      </c>
      <c r="W68" s="51" t="str">
        <v/>
      </c>
      <c r="X68" s="51" t="str">
        <v/>
      </c>
      <c r="Y68" s="51" t="str">
        <v/>
      </c>
      <c r="Z68" s="51" t="str">
        <v/>
      </c>
      <c r="AA68" s="51" t="str">
        <v/>
      </c>
      <c r="AB68" s="51" t="str">
        <v/>
      </c>
      <c r="AC68" s="51" t="str">
        <v/>
      </c>
      <c r="AD68" s="32" t="str">
        <f t="shared" si="3"/>
        <v/>
      </c>
      <c r="AE68" s="32" t="str">
        <f>_xlfn.XLOOKUP(B:B,Disk_Pivot!G:G,Disk_Pivot!I:I)</f>
        <v>Yes x2</v>
      </c>
      <c r="AF68" s="32" t="str">
        <f>_xlfn.XLOOKUP(B68,Disk_Pivot!G:G,Disk_Pivot!N:N)</f>
        <v>Pass, Fail</v>
      </c>
      <c r="AG68" s="32"/>
      <c r="AH68" s="32"/>
      <c r="AI68" s="32"/>
      <c r="AJ68" s="32"/>
      <c r="AK68" s="32"/>
      <c r="AL68" s="32"/>
    </row>
    <row r="69" spans="1:38">
      <c r="A69" s="32" t="str">
        <f>_xlfn.TEXTJOIN("",TRUE,_xlfn.XLOOKUP(B69,Input!J:J,Input!G:G,"",0,1),_xlfn.XLOOKUP(B69,Input!J:J,Input!H:H,"",0,1))</f>
        <v/>
      </c>
      <c r="B69" s="32"/>
      <c r="C69" s="51">
        <f>_xlfn.XLOOKUP(B69,Input!J:J,Input!F:F)</f>
        <v>0</v>
      </c>
      <c r="D69" s="32">
        <f>_xlfn.XLOOKUP(C69,Models!H:H,Models!G:G,C69)</f>
        <v>0</v>
      </c>
      <c r="E69" s="32">
        <f>_xlfn.XLOOKUP(B69,Input!J:J,Input!E:E)</f>
        <v>0</v>
      </c>
      <c r="F69" s="32">
        <f>IF(E69="LENOVO",_xlfn.XLOOKUP(B69,Input!J:J,Input!K:K),_xlfn.XLOOKUP(B69,Input!J:J,Input!L:L))</f>
        <v>0</v>
      </c>
      <c r="G69" s="32"/>
      <c r="H69" s="32"/>
      <c r="I69" s="32">
        <f>_xlfn.XLOOKUP(B69,CPU_Formula!A:A,CPU_Formula!I:I)</f>
        <v>0</v>
      </c>
      <c r="J69" s="51" t="e">
        <f>INDEX(Input!$D$2:$AC$500,
       MATCH(B69, Input!$J$2:$J$500, 0),
       MATCH("Total Memory", Input!$D$1:$AC$1, 0))</f>
        <v>#N/A</v>
      </c>
      <c r="K69" s="51" t="e">
        <f>INDEX(Input!$D$2:$AC$500,
       MATCH(B69, Input!$J$2:$J$500, 0),
       MATCH("Memory Type", Input!$D$1:$AC$1, 0))</f>
        <v>#N/A</v>
      </c>
      <c r="L69" s="51" t="str" cm="1">
        <f t="array" ref="L69">IFERROR(_xlfn.FILTERXML("&lt;t&gt;&lt;s&gt;" &amp; SUBSTITUTE(K69," / ","&lt;/s&gt;&lt;s&gt;") &amp; "&lt;/s&gt;&lt;/t&gt;","(//s[contains(.,'DDR')])[1]"),"")</f>
        <v/>
      </c>
      <c r="M69" s="32" t="e">
        <f t="shared" si="5"/>
        <v>#N/A</v>
      </c>
      <c r="N69" s="51" t="e">
        <f>INDEX(Input!$D$2:$AC$500,
       MATCH(B69, Input!$J$2:$J$500, 0),
       MATCH("Disk Interface Type", Input!$D$1:$AC$1, 0))</f>
        <v>#N/A</v>
      </c>
      <c r="O69" s="51" t="str" cm="1">
        <f t="array" ref="O69">IFERROR(_xlfn.TEXTJOIN(", ", TRUE, _xlfn._xlws.FILTER(
    INDEX(Input!$D$2:$AC$500,,MATCH("Disk Capacity",Input!$D$1:$AC$1,0)),
    Input!$J$2:$J$500=B69
)), "")</f>
        <v/>
      </c>
      <c r="P69" s="32" t="e">
        <f t="shared" si="4"/>
        <v>#N/A</v>
      </c>
      <c r="Q69" s="51" t="e">
        <f>_xlfn.LET(_xlpm.Result,INDEX(Input!$D$2:$AC$500,
       MATCH(B69, Input!$J$2:$J$500, 0),
       MATCH("Capacity", Input!$D$1:$AC$1, 0)),IF(_xlpm.Result="","",_xlpm.Result))</f>
        <v>#N/A</v>
      </c>
      <c r="R69" s="51" t="e" cm="1">
        <f t="array" ref="R69">_xlfn.TEXTSPLIT(Q69," / ", ,TRUE,0,)</f>
        <v>#N/A</v>
      </c>
      <c r="S69" s="51"/>
      <c r="T69" s="51" t="str" cm="1">
        <f t="array" ref="T69">IFERROR(_xlfn.IFS(
R69="","",
--R69&lt;55,"Battery Defect",
--R69&lt;=69,"Battery D",
--R69&lt;=80,"Battery C",
--R69&gt;80,""
),"")</f>
        <v/>
      </c>
      <c r="U69" s="51" t="str" cm="1">
        <f t="array" ref="U69">IFERROR(_xlfn.IFS(
S69="","",
--S69&lt;55,"Battery Defect",
--S69&lt;=69,"Battery D",
--S69&lt;=80,"Battery C",
--S69&gt;80,""
),"")</f>
        <v/>
      </c>
      <c r="V69" s="51" t="str" cm="1">
        <f t="array" ref="V69:AC69">IFERROR(IF(_xlfn.XLOOKUP(B69,Input!J:J,Input!N:U)=0,"",
          _xlfn.XLOOKUP(B69,Input!J:J,Input!N:U)),"")</f>
        <v/>
      </c>
      <c r="W69" s="51" t="str">
        <v/>
      </c>
      <c r="X69" s="51" t="str">
        <v/>
      </c>
      <c r="Y69" s="51" t="str">
        <v/>
      </c>
      <c r="Z69" s="51" t="str">
        <v/>
      </c>
      <c r="AA69" s="51" t="str">
        <v/>
      </c>
      <c r="AB69" s="51" t="str">
        <v/>
      </c>
      <c r="AC69" s="51" t="str">
        <v/>
      </c>
      <c r="AD69" s="32" t="str">
        <f t="shared" si="3"/>
        <v/>
      </c>
      <c r="AE69" s="32" t="str">
        <f>_xlfn.XLOOKUP(B:B,Disk_Pivot!G:G,Disk_Pivot!I:I)</f>
        <v>Yes x2</v>
      </c>
      <c r="AF69" s="32" t="str">
        <f>_xlfn.XLOOKUP(B69,Disk_Pivot!G:G,Disk_Pivot!N:N)</f>
        <v>Pass, Fail</v>
      </c>
      <c r="AG69" s="32"/>
      <c r="AH69" s="32"/>
      <c r="AI69" s="32"/>
      <c r="AJ69" s="32"/>
      <c r="AK69" s="32"/>
      <c r="AL69" s="32"/>
    </row>
    <row r="70" spans="1:38">
      <c r="A70" s="32" t="str">
        <f>_xlfn.TEXTJOIN("",TRUE,_xlfn.XLOOKUP(B70,Input!J:J,Input!G:G,"",0,1),_xlfn.XLOOKUP(B70,Input!J:J,Input!H:H,"",0,1))</f>
        <v/>
      </c>
      <c r="B70" s="32"/>
      <c r="C70" s="51">
        <f>_xlfn.XLOOKUP(B70,Input!J:J,Input!F:F)</f>
        <v>0</v>
      </c>
      <c r="D70" s="32">
        <f>_xlfn.XLOOKUP(C70,Models!H:H,Models!G:G,C70)</f>
        <v>0</v>
      </c>
      <c r="E70" s="32">
        <f>_xlfn.XLOOKUP(B70,Input!J:J,Input!E:E)</f>
        <v>0</v>
      </c>
      <c r="F70" s="32">
        <f>IF(E70="LENOVO",_xlfn.XLOOKUP(B70,Input!J:J,Input!K:K),_xlfn.XLOOKUP(B70,Input!J:J,Input!L:L))</f>
        <v>0</v>
      </c>
      <c r="G70" s="32"/>
      <c r="H70" s="32"/>
      <c r="I70" s="32">
        <f>_xlfn.XLOOKUP(B70,CPU_Formula!A:A,CPU_Formula!I:I)</f>
        <v>0</v>
      </c>
      <c r="J70" s="51" t="e">
        <f>INDEX(Input!$D$2:$AC$500,
       MATCH(B70, Input!$J$2:$J$500, 0),
       MATCH("Total Memory", Input!$D$1:$AC$1, 0))</f>
        <v>#N/A</v>
      </c>
      <c r="K70" s="51" t="e">
        <f>INDEX(Input!$D$2:$AC$500,
       MATCH(B70, Input!$J$2:$J$500, 0),
       MATCH("Memory Type", Input!$D$1:$AC$1, 0))</f>
        <v>#N/A</v>
      </c>
      <c r="L70" s="51" t="str" cm="1">
        <f t="array" ref="L70">IFERROR(_xlfn.FILTERXML("&lt;t&gt;&lt;s&gt;" &amp; SUBSTITUTE(K70," / ","&lt;/s&gt;&lt;s&gt;") &amp; "&lt;/s&gt;&lt;/t&gt;","(//s[contains(.,'DDR')])[1]"),"")</f>
        <v/>
      </c>
      <c r="M70" s="32" t="e">
        <f t="shared" si="5"/>
        <v>#N/A</v>
      </c>
      <c r="N70" s="51" t="e">
        <f>INDEX(Input!$D$2:$AC$500,
       MATCH(B70, Input!$J$2:$J$500, 0),
       MATCH("Disk Interface Type", Input!$D$1:$AC$1, 0))</f>
        <v>#N/A</v>
      </c>
      <c r="O70" s="51" t="str" cm="1">
        <f t="array" ref="O70">IFERROR(_xlfn.TEXTJOIN(", ", TRUE, _xlfn._xlws.FILTER(
    INDEX(Input!$D$2:$AC$500,,MATCH("Disk Capacity",Input!$D$1:$AC$1,0)),
    Input!$J$2:$J$500=B70
)), "")</f>
        <v/>
      </c>
      <c r="P70" s="32" t="e">
        <f t="shared" si="4"/>
        <v>#N/A</v>
      </c>
      <c r="Q70" s="51" t="e">
        <f>_xlfn.LET(_xlpm.Result,INDEX(Input!$D$2:$AC$500,
       MATCH(B70, Input!$J$2:$J$500, 0),
       MATCH("Capacity", Input!$D$1:$AC$1, 0)),IF(_xlpm.Result="","",_xlpm.Result))</f>
        <v>#N/A</v>
      </c>
      <c r="R70" s="51" t="e" cm="1">
        <f t="array" ref="R70">_xlfn.TEXTSPLIT(Q70," / ", ,TRUE,0,)</f>
        <v>#N/A</v>
      </c>
      <c r="S70" s="51"/>
      <c r="T70" s="51" t="str" cm="1">
        <f t="array" ref="T70">IFERROR(_xlfn.IFS(
R70="","",
--R70&lt;55,"Battery Defect",
--R70&lt;=69,"Battery D",
--R70&lt;=80,"Battery C",
--R70&gt;80,""
),"")</f>
        <v/>
      </c>
      <c r="U70" s="51" t="str" cm="1">
        <f t="array" ref="U70">IFERROR(_xlfn.IFS(
S70="","",
--S70&lt;55,"Battery Defect",
--S70&lt;=69,"Battery D",
--S70&lt;=80,"Battery C",
--S70&gt;80,""
),"")</f>
        <v/>
      </c>
      <c r="V70" s="51" t="str" cm="1">
        <f t="array" ref="V70:AC70">IFERROR(IF(_xlfn.XLOOKUP(B70,Input!J:J,Input!N:U)=0,"",
          _xlfn.XLOOKUP(B70,Input!J:J,Input!N:U)),"")</f>
        <v/>
      </c>
      <c r="W70" s="51" t="str">
        <v/>
      </c>
      <c r="X70" s="51" t="str">
        <v/>
      </c>
      <c r="Y70" s="51" t="str">
        <v/>
      </c>
      <c r="Z70" s="51" t="str">
        <v/>
      </c>
      <c r="AA70" s="51" t="str">
        <v/>
      </c>
      <c r="AB70" s="51" t="str">
        <v/>
      </c>
      <c r="AC70" s="51" t="str">
        <v/>
      </c>
      <c r="AD70" s="32" t="str">
        <f t="shared" si="3"/>
        <v/>
      </c>
      <c r="AE70" s="32" t="str">
        <f>_xlfn.XLOOKUP(B:B,Disk_Pivot!G:G,Disk_Pivot!I:I)</f>
        <v>Yes x2</v>
      </c>
      <c r="AF70" s="32" t="str">
        <f>_xlfn.XLOOKUP(B70,Disk_Pivot!G:G,Disk_Pivot!N:N)</f>
        <v>Pass, Fail</v>
      </c>
      <c r="AG70" s="32"/>
      <c r="AH70" s="32"/>
      <c r="AI70" s="32"/>
      <c r="AJ70" s="32"/>
      <c r="AK70" s="32"/>
      <c r="AL70" s="32"/>
    </row>
    <row r="71" spans="1:38">
      <c r="A71" s="32" t="str">
        <f>_xlfn.TEXTJOIN("",TRUE,_xlfn.XLOOKUP(B71,Input!J:J,Input!G:G,"",0,1),_xlfn.XLOOKUP(B71,Input!J:J,Input!H:H,"",0,1))</f>
        <v/>
      </c>
      <c r="B71" s="32"/>
      <c r="C71" s="51">
        <f>_xlfn.XLOOKUP(B71,Input!J:J,Input!F:F)</f>
        <v>0</v>
      </c>
      <c r="D71" s="32">
        <f>_xlfn.XLOOKUP(C71,Models!H:H,Models!G:G,C71)</f>
        <v>0</v>
      </c>
      <c r="E71" s="32">
        <f>_xlfn.XLOOKUP(B71,Input!J:J,Input!E:E)</f>
        <v>0</v>
      </c>
      <c r="F71" s="32">
        <f>IF(E71="LENOVO",_xlfn.XLOOKUP(B71,Input!J:J,Input!K:K),_xlfn.XLOOKUP(B71,Input!J:J,Input!L:L))</f>
        <v>0</v>
      </c>
      <c r="G71" s="32"/>
      <c r="H71" s="32"/>
      <c r="I71" s="32">
        <f>_xlfn.XLOOKUP(B71,CPU_Formula!A:A,CPU_Formula!I:I)</f>
        <v>0</v>
      </c>
      <c r="J71" s="51" t="e">
        <f>INDEX(Input!$D$2:$AC$500,
       MATCH(B71, Input!$J$2:$J$500, 0),
       MATCH("Total Memory", Input!$D$1:$AC$1, 0))</f>
        <v>#N/A</v>
      </c>
      <c r="K71" s="51" t="e">
        <f>INDEX(Input!$D$2:$AC$500,
       MATCH(B71, Input!$J$2:$J$500, 0),
       MATCH("Memory Type", Input!$D$1:$AC$1, 0))</f>
        <v>#N/A</v>
      </c>
      <c r="L71" s="51" t="str" cm="1">
        <f t="array" ref="L71">IFERROR(_xlfn.FILTERXML("&lt;t&gt;&lt;s&gt;" &amp; SUBSTITUTE(K71," / ","&lt;/s&gt;&lt;s&gt;") &amp; "&lt;/s&gt;&lt;/t&gt;","(//s[contains(.,'DDR')])[1]"),"")</f>
        <v/>
      </c>
      <c r="M71" s="32" t="e">
        <f t="shared" si="5"/>
        <v>#N/A</v>
      </c>
      <c r="N71" s="51" t="e">
        <f>INDEX(Input!$D$2:$AC$500,
       MATCH(B71, Input!$J$2:$J$500, 0),
       MATCH("Disk Interface Type", Input!$D$1:$AC$1, 0))</f>
        <v>#N/A</v>
      </c>
      <c r="O71" s="51" t="str" cm="1">
        <f t="array" ref="O71">IFERROR(_xlfn.TEXTJOIN(", ", TRUE, _xlfn._xlws.FILTER(
    INDEX(Input!$D$2:$AC$500,,MATCH("Disk Capacity",Input!$D$1:$AC$1,0)),
    Input!$J$2:$J$500=B71
)), "")</f>
        <v/>
      </c>
      <c r="P71" s="32" t="e">
        <f t="shared" si="4"/>
        <v>#N/A</v>
      </c>
      <c r="Q71" s="51" t="e">
        <f>_xlfn.LET(_xlpm.Result,INDEX(Input!$D$2:$AC$500,
       MATCH(B71, Input!$J$2:$J$500, 0),
       MATCH("Capacity", Input!$D$1:$AC$1, 0)),IF(_xlpm.Result="","",_xlpm.Result))</f>
        <v>#N/A</v>
      </c>
      <c r="R71" s="51" t="e" cm="1">
        <f t="array" ref="R71">_xlfn.TEXTSPLIT(Q71," / ", ,TRUE,0,)</f>
        <v>#N/A</v>
      </c>
      <c r="S71" s="51"/>
      <c r="T71" s="51" t="str" cm="1">
        <f t="array" ref="T71">IFERROR(_xlfn.IFS(
R71="","",
--R71&lt;55,"Battery Defect",
--R71&lt;=69,"Battery D",
--R71&lt;=80,"Battery C",
--R71&gt;80,""
),"")</f>
        <v/>
      </c>
      <c r="U71" s="51" t="str" cm="1">
        <f t="array" ref="U71">IFERROR(_xlfn.IFS(
S71="","",
--S71&lt;55,"Battery Defect",
--S71&lt;=69,"Battery D",
--S71&lt;=80,"Battery C",
--S71&gt;80,""
),"")</f>
        <v/>
      </c>
      <c r="V71" s="51" t="str" cm="1">
        <f t="array" ref="V71:AC71">IFERROR(IF(_xlfn.XLOOKUP(B71,Input!J:J,Input!N:U)=0,"",
          _xlfn.XLOOKUP(B71,Input!J:J,Input!N:U)),"")</f>
        <v/>
      </c>
      <c r="W71" s="51" t="str">
        <v/>
      </c>
      <c r="X71" s="51" t="str">
        <v/>
      </c>
      <c r="Y71" s="51" t="str">
        <v/>
      </c>
      <c r="Z71" s="51" t="str">
        <v/>
      </c>
      <c r="AA71" s="51" t="str">
        <v/>
      </c>
      <c r="AB71" s="51" t="str">
        <v/>
      </c>
      <c r="AC71" s="51" t="str">
        <v/>
      </c>
      <c r="AD71" s="32" t="str">
        <f t="shared" si="3"/>
        <v/>
      </c>
      <c r="AE71" s="32" t="str">
        <f>_xlfn.XLOOKUP(B:B,Disk_Pivot!G:G,Disk_Pivot!I:I)</f>
        <v>Yes x2</v>
      </c>
      <c r="AF71" s="32" t="str">
        <f>_xlfn.XLOOKUP(B71,Disk_Pivot!G:G,Disk_Pivot!N:N)</f>
        <v>Pass, Fail</v>
      </c>
      <c r="AG71" s="32"/>
      <c r="AH71" s="32"/>
      <c r="AI71" s="32"/>
      <c r="AJ71" s="32"/>
      <c r="AK71" s="32"/>
      <c r="AL71" s="32"/>
    </row>
    <row r="72" spans="1:38">
      <c r="A72" s="32" t="str">
        <f>_xlfn.TEXTJOIN("",TRUE,_xlfn.XLOOKUP(B72,Input!J:J,Input!G:G,"",0,1),_xlfn.XLOOKUP(B72,Input!J:J,Input!H:H,"",0,1))</f>
        <v/>
      </c>
      <c r="B72" s="32"/>
      <c r="C72" s="51">
        <f>_xlfn.XLOOKUP(B72,Input!J:J,Input!F:F)</f>
        <v>0</v>
      </c>
      <c r="D72" s="32">
        <f>_xlfn.XLOOKUP(C72,Models!H:H,Models!G:G,C72)</f>
        <v>0</v>
      </c>
      <c r="E72" s="32">
        <f>_xlfn.XLOOKUP(B72,Input!J:J,Input!E:E)</f>
        <v>0</v>
      </c>
      <c r="F72" s="32">
        <f>IF(E72="LENOVO",_xlfn.XLOOKUP(B72,Input!J:J,Input!K:K),_xlfn.XLOOKUP(B72,Input!J:J,Input!L:L))</f>
        <v>0</v>
      </c>
      <c r="G72" s="32"/>
      <c r="H72" s="32"/>
      <c r="I72" s="32">
        <f>_xlfn.XLOOKUP(B72,CPU_Formula!A:A,CPU_Formula!I:I)</f>
        <v>0</v>
      </c>
      <c r="J72" s="51" t="e">
        <f>INDEX(Input!$D$2:$AC$500,
       MATCH(B72, Input!$J$2:$J$500, 0),
       MATCH("Total Memory", Input!$D$1:$AC$1, 0))</f>
        <v>#N/A</v>
      </c>
      <c r="K72" s="51" t="e">
        <f>INDEX(Input!$D$2:$AC$500,
       MATCH(B72, Input!$J$2:$J$500, 0),
       MATCH("Memory Type", Input!$D$1:$AC$1, 0))</f>
        <v>#N/A</v>
      </c>
      <c r="L72" s="51" t="str" cm="1">
        <f t="array" ref="L72">IFERROR(_xlfn.FILTERXML("&lt;t&gt;&lt;s&gt;" &amp; SUBSTITUTE(K72," / ","&lt;/s&gt;&lt;s&gt;") &amp; "&lt;/s&gt;&lt;/t&gt;","(//s[contains(.,'DDR')])[1]"),"")</f>
        <v/>
      </c>
      <c r="M72" s="32" t="e">
        <f t="shared" si="5"/>
        <v>#N/A</v>
      </c>
      <c r="N72" s="51" t="e">
        <f>INDEX(Input!$D$2:$AC$500,
       MATCH(B72, Input!$J$2:$J$500, 0),
       MATCH("Disk Interface Type", Input!$D$1:$AC$1, 0))</f>
        <v>#N/A</v>
      </c>
      <c r="O72" s="51" t="str" cm="1">
        <f t="array" ref="O72">IFERROR(_xlfn.TEXTJOIN(", ", TRUE, _xlfn._xlws.FILTER(
    INDEX(Input!$D$2:$AC$500,,MATCH("Disk Capacity",Input!$D$1:$AC$1,0)),
    Input!$J$2:$J$500=B72
)), "")</f>
        <v/>
      </c>
      <c r="P72" s="32" t="e">
        <f t="shared" si="4"/>
        <v>#N/A</v>
      </c>
      <c r="Q72" s="51" t="e">
        <f>_xlfn.LET(_xlpm.Result,INDEX(Input!$D$2:$AC$500,
       MATCH(B72, Input!$J$2:$J$500, 0),
       MATCH("Capacity", Input!$D$1:$AC$1, 0)),IF(_xlpm.Result="","",_xlpm.Result))</f>
        <v>#N/A</v>
      </c>
      <c r="R72" s="51" t="e" cm="1">
        <f t="array" ref="R72">_xlfn.TEXTSPLIT(Q72," / ", ,TRUE,0,)</f>
        <v>#N/A</v>
      </c>
      <c r="S72" s="51"/>
      <c r="T72" s="51" t="str" cm="1">
        <f t="array" ref="T72">IFERROR(_xlfn.IFS(
R72="","",
--R72&lt;55,"Battery Defect",
--R72&lt;=69,"Battery D",
--R72&lt;=80,"Battery C",
--R72&gt;80,""
),"")</f>
        <v/>
      </c>
      <c r="U72" s="51" t="str" cm="1">
        <f t="array" ref="U72">IFERROR(_xlfn.IFS(
S72="","",
--S72&lt;55,"Battery Defect",
--S72&lt;=69,"Battery D",
--S72&lt;=80,"Battery C",
--S72&gt;80,""
),"")</f>
        <v/>
      </c>
      <c r="V72" s="51" t="str" cm="1">
        <f t="array" ref="V72:AC72">IFERROR(IF(_xlfn.XLOOKUP(B72,Input!J:J,Input!N:U)=0,"",
          _xlfn.XLOOKUP(B72,Input!J:J,Input!N:U)),"")</f>
        <v/>
      </c>
      <c r="W72" s="51" t="str">
        <v/>
      </c>
      <c r="X72" s="51" t="str">
        <v/>
      </c>
      <c r="Y72" s="51" t="str">
        <v/>
      </c>
      <c r="Z72" s="51" t="str">
        <v/>
      </c>
      <c r="AA72" s="51" t="str">
        <v/>
      </c>
      <c r="AB72" s="51" t="str">
        <v/>
      </c>
      <c r="AC72" s="51" t="str">
        <v/>
      </c>
      <c r="AD72" s="32" t="str">
        <f t="shared" si="3"/>
        <v/>
      </c>
      <c r="AE72" s="32" t="str">
        <f>_xlfn.XLOOKUP(B:B,Disk_Pivot!G:G,Disk_Pivot!I:I)</f>
        <v>Yes x2</v>
      </c>
      <c r="AF72" s="32" t="str">
        <f>_xlfn.XLOOKUP(B72,Disk_Pivot!G:G,Disk_Pivot!N:N)</f>
        <v>Pass, Fail</v>
      </c>
      <c r="AG72" s="32"/>
      <c r="AH72" s="32"/>
      <c r="AI72" s="32"/>
      <c r="AJ72" s="32"/>
      <c r="AK72" s="32"/>
      <c r="AL72" s="32"/>
    </row>
    <row r="73" spans="1:38">
      <c r="A73" s="32" t="str">
        <f>_xlfn.TEXTJOIN("",TRUE,_xlfn.XLOOKUP(B73,Input!J:J,Input!G:G,"",0,1),_xlfn.XLOOKUP(B73,Input!J:J,Input!H:H,"",0,1))</f>
        <v/>
      </c>
      <c r="B73" s="32"/>
      <c r="C73" s="51">
        <f>_xlfn.XLOOKUP(B73,Input!J:J,Input!F:F)</f>
        <v>0</v>
      </c>
      <c r="D73" s="32">
        <f>_xlfn.XLOOKUP(C73,Models!H:H,Models!G:G,C73)</f>
        <v>0</v>
      </c>
      <c r="E73" s="32">
        <f>_xlfn.XLOOKUP(B73,Input!J:J,Input!E:E)</f>
        <v>0</v>
      </c>
      <c r="F73" s="32">
        <f>IF(E73="LENOVO",_xlfn.XLOOKUP(B73,Input!J:J,Input!K:K),_xlfn.XLOOKUP(B73,Input!J:J,Input!L:L))</f>
        <v>0</v>
      </c>
      <c r="G73" s="32"/>
      <c r="H73" s="32"/>
      <c r="I73" s="32">
        <f>_xlfn.XLOOKUP(B73,CPU_Formula!A:A,CPU_Formula!I:I)</f>
        <v>0</v>
      </c>
      <c r="J73" s="51" t="e">
        <f>INDEX(Input!$D$2:$AC$500,
       MATCH(B73, Input!$J$2:$J$500, 0),
       MATCH("Total Memory", Input!$D$1:$AC$1, 0))</f>
        <v>#N/A</v>
      </c>
      <c r="K73" s="51" t="e">
        <f>INDEX(Input!$D$2:$AC$500,
       MATCH(B73, Input!$J$2:$J$500, 0),
       MATCH("Memory Type", Input!$D$1:$AC$1, 0))</f>
        <v>#N/A</v>
      </c>
      <c r="L73" s="51" t="str" cm="1">
        <f t="array" ref="L73">IFERROR(_xlfn.FILTERXML("&lt;t&gt;&lt;s&gt;" &amp; SUBSTITUTE(K73," / ","&lt;/s&gt;&lt;s&gt;") &amp; "&lt;/s&gt;&lt;/t&gt;","(//s[contains(.,'DDR')])[1]"),"")</f>
        <v/>
      </c>
      <c r="M73" s="32" t="e">
        <f t="shared" si="5"/>
        <v>#N/A</v>
      </c>
      <c r="N73" s="51" t="e">
        <f>INDEX(Input!$D$2:$AC$500,
       MATCH(B73, Input!$J$2:$J$500, 0),
       MATCH("Disk Interface Type", Input!$D$1:$AC$1, 0))</f>
        <v>#N/A</v>
      </c>
      <c r="O73" s="51" t="str" cm="1">
        <f t="array" ref="O73">IFERROR(_xlfn.TEXTJOIN(", ", TRUE, _xlfn._xlws.FILTER(
    INDEX(Input!$D$2:$AC$500,,MATCH("Disk Capacity",Input!$D$1:$AC$1,0)),
    Input!$J$2:$J$500=B73
)), "")</f>
        <v/>
      </c>
      <c r="P73" s="32" t="e">
        <f t="shared" si="4"/>
        <v>#N/A</v>
      </c>
      <c r="Q73" s="51" t="e">
        <f>_xlfn.LET(_xlpm.Result,INDEX(Input!$D$2:$AC$500,
       MATCH(B73, Input!$J$2:$J$500, 0),
       MATCH("Capacity", Input!$D$1:$AC$1, 0)),IF(_xlpm.Result="","",_xlpm.Result))</f>
        <v>#N/A</v>
      </c>
      <c r="R73" s="51" t="e" cm="1">
        <f t="array" ref="R73">_xlfn.TEXTSPLIT(Q73," / ", ,TRUE,0,)</f>
        <v>#N/A</v>
      </c>
      <c r="S73" s="51"/>
      <c r="T73" s="51" t="str" cm="1">
        <f t="array" ref="T73">IFERROR(_xlfn.IFS(
R73="","",
--R73&lt;55,"Battery Defect",
--R73&lt;=69,"Battery D",
--R73&lt;=80,"Battery C",
--R73&gt;80,""
),"")</f>
        <v/>
      </c>
      <c r="U73" s="51" t="str" cm="1">
        <f t="array" ref="U73">IFERROR(_xlfn.IFS(
S73="","",
--S73&lt;55,"Battery Defect",
--S73&lt;=69,"Battery D",
--S73&lt;=80,"Battery C",
--S73&gt;80,""
),"")</f>
        <v/>
      </c>
      <c r="V73" s="51" t="str" cm="1">
        <f t="array" ref="V73:AC73">IFERROR(IF(_xlfn.XLOOKUP(B73,Input!J:J,Input!N:U)=0,"",
          _xlfn.XLOOKUP(B73,Input!J:J,Input!N:U)),"")</f>
        <v/>
      </c>
      <c r="W73" s="51" t="str">
        <v/>
      </c>
      <c r="X73" s="51" t="str">
        <v/>
      </c>
      <c r="Y73" s="51" t="str">
        <v/>
      </c>
      <c r="Z73" s="51" t="str">
        <v/>
      </c>
      <c r="AA73" s="51" t="str">
        <v/>
      </c>
      <c r="AB73" s="51" t="str">
        <v/>
      </c>
      <c r="AC73" s="51" t="str">
        <v/>
      </c>
      <c r="AD73" s="32" t="str">
        <f t="shared" si="3"/>
        <v/>
      </c>
      <c r="AE73" s="32" t="str">
        <f>_xlfn.XLOOKUP(B:B,Disk_Pivot!G:G,Disk_Pivot!I:I)</f>
        <v>Yes x2</v>
      </c>
      <c r="AF73" s="32" t="str">
        <f>_xlfn.XLOOKUP(B73,Disk_Pivot!G:G,Disk_Pivot!N:N)</f>
        <v>Pass, Fail</v>
      </c>
      <c r="AG73" s="32"/>
      <c r="AH73" s="32"/>
      <c r="AI73" s="32"/>
      <c r="AJ73" s="32"/>
      <c r="AK73" s="32"/>
      <c r="AL73" s="32"/>
    </row>
    <row r="74" spans="1:38">
      <c r="A74" s="32" t="str">
        <f>_xlfn.TEXTJOIN("",TRUE,_xlfn.XLOOKUP(B74,Input!J:J,Input!G:G,"",0,1),_xlfn.XLOOKUP(B74,Input!J:J,Input!H:H,"",0,1))</f>
        <v/>
      </c>
      <c r="B74" s="32"/>
      <c r="C74" s="51">
        <f>_xlfn.XLOOKUP(B74,Input!J:J,Input!F:F)</f>
        <v>0</v>
      </c>
      <c r="D74" s="32">
        <f>_xlfn.XLOOKUP(C74,Models!H:H,Models!G:G,C74)</f>
        <v>0</v>
      </c>
      <c r="E74" s="32">
        <f>_xlfn.XLOOKUP(B74,Input!J:J,Input!E:E)</f>
        <v>0</v>
      </c>
      <c r="F74" s="32">
        <f>IF(E74="LENOVO",_xlfn.XLOOKUP(B74,Input!J:J,Input!K:K),_xlfn.XLOOKUP(B74,Input!J:J,Input!L:L))</f>
        <v>0</v>
      </c>
      <c r="G74" s="32"/>
      <c r="H74" s="32"/>
      <c r="I74" s="32">
        <f>_xlfn.XLOOKUP(B74,CPU_Formula!A:A,CPU_Formula!I:I)</f>
        <v>0</v>
      </c>
      <c r="J74" s="51" t="e">
        <f>INDEX(Input!$D$2:$AC$500,
       MATCH(B74, Input!$J$2:$J$500, 0),
       MATCH("Total Memory", Input!$D$1:$AC$1, 0))</f>
        <v>#N/A</v>
      </c>
      <c r="K74" s="51" t="e">
        <f>INDEX(Input!$D$2:$AC$500,
       MATCH(B74, Input!$J$2:$J$500, 0),
       MATCH("Memory Type", Input!$D$1:$AC$1, 0))</f>
        <v>#N/A</v>
      </c>
      <c r="L74" s="51" t="str" cm="1">
        <f t="array" ref="L74">IFERROR(_xlfn.FILTERXML("&lt;t&gt;&lt;s&gt;" &amp; SUBSTITUTE(K74," / ","&lt;/s&gt;&lt;s&gt;") &amp; "&lt;/s&gt;&lt;/t&gt;","(//s[contains(.,'DDR')])[1]"),"")</f>
        <v/>
      </c>
      <c r="M74" s="32" t="e">
        <f t="shared" si="5"/>
        <v>#N/A</v>
      </c>
      <c r="N74" s="51" t="e">
        <f>INDEX(Input!$D$2:$AC$500,
       MATCH(B74, Input!$J$2:$J$500, 0),
       MATCH("Disk Interface Type", Input!$D$1:$AC$1, 0))</f>
        <v>#N/A</v>
      </c>
      <c r="O74" s="51" t="str" cm="1">
        <f t="array" ref="O74">IFERROR(_xlfn.TEXTJOIN(", ", TRUE, _xlfn._xlws.FILTER(
    INDEX(Input!$D$2:$AC$500,,MATCH("Disk Capacity",Input!$D$1:$AC$1,0)),
    Input!$J$2:$J$500=B74
)), "")</f>
        <v/>
      </c>
      <c r="P74" s="32" t="e">
        <f t="shared" si="4"/>
        <v>#N/A</v>
      </c>
      <c r="Q74" s="51" t="e">
        <f>_xlfn.LET(_xlpm.Result,INDEX(Input!$D$2:$AC$500,
       MATCH(B74, Input!$J$2:$J$500, 0),
       MATCH("Capacity", Input!$D$1:$AC$1, 0)),IF(_xlpm.Result="","",_xlpm.Result))</f>
        <v>#N/A</v>
      </c>
      <c r="R74" s="51" t="e" cm="1">
        <f t="array" ref="R74">_xlfn.TEXTSPLIT(Q74," / ", ,TRUE,0,)</f>
        <v>#N/A</v>
      </c>
      <c r="S74" s="51"/>
      <c r="T74" s="51" t="str" cm="1">
        <f t="array" ref="T74">IFERROR(_xlfn.IFS(
R74="","",
--R74&lt;55,"Battery Defect",
--R74&lt;=69,"Battery D",
--R74&lt;=80,"Battery C",
--R74&gt;80,""
),"")</f>
        <v/>
      </c>
      <c r="U74" s="51" t="str" cm="1">
        <f t="array" ref="U74">IFERROR(_xlfn.IFS(
S74="","",
--S74&lt;55,"Battery Defect",
--S74&lt;=69,"Battery D",
--S74&lt;=80,"Battery C",
--S74&gt;80,""
),"")</f>
        <v/>
      </c>
      <c r="V74" s="51" t="str" cm="1">
        <f t="array" ref="V74:AC74">IFERROR(IF(_xlfn.XLOOKUP(B74,Input!J:J,Input!N:U)=0,"",
          _xlfn.XLOOKUP(B74,Input!J:J,Input!N:U)),"")</f>
        <v/>
      </c>
      <c r="W74" s="51" t="str">
        <v/>
      </c>
      <c r="X74" s="51" t="str">
        <v/>
      </c>
      <c r="Y74" s="51" t="str">
        <v/>
      </c>
      <c r="Z74" s="51" t="str">
        <v/>
      </c>
      <c r="AA74" s="51" t="str">
        <v/>
      </c>
      <c r="AB74" s="51" t="str">
        <v/>
      </c>
      <c r="AC74" s="51" t="str">
        <v/>
      </c>
      <c r="AD74" s="32" t="str">
        <f t="shared" si="3"/>
        <v/>
      </c>
      <c r="AE74" s="32" t="str">
        <f>_xlfn.XLOOKUP(B:B,Disk_Pivot!G:G,Disk_Pivot!I:I)</f>
        <v>Yes x2</v>
      </c>
      <c r="AF74" s="32" t="str">
        <f>_xlfn.XLOOKUP(B74,Disk_Pivot!G:G,Disk_Pivot!N:N)</f>
        <v>Pass, Fail</v>
      </c>
      <c r="AG74" s="32"/>
      <c r="AH74" s="32"/>
      <c r="AI74" s="32"/>
      <c r="AJ74" s="32"/>
      <c r="AK74" s="32"/>
      <c r="AL74" s="32"/>
    </row>
    <row r="75" spans="1:38">
      <c r="A75" s="32" t="str">
        <f>_xlfn.TEXTJOIN("",TRUE,_xlfn.XLOOKUP(B75,Input!J:J,Input!G:G,"",0,1),_xlfn.XLOOKUP(B75,Input!J:J,Input!H:H,"",0,1))</f>
        <v/>
      </c>
      <c r="B75" s="32"/>
      <c r="C75" s="51">
        <f>_xlfn.XLOOKUP(B75,Input!J:J,Input!F:F)</f>
        <v>0</v>
      </c>
      <c r="D75" s="32">
        <f>_xlfn.XLOOKUP(C75,Models!H:H,Models!G:G,C75)</f>
        <v>0</v>
      </c>
      <c r="E75" s="32">
        <f>_xlfn.XLOOKUP(B75,Input!J:J,Input!E:E)</f>
        <v>0</v>
      </c>
      <c r="F75" s="32">
        <f>IF(E75="LENOVO",_xlfn.XLOOKUP(B75,Input!J:J,Input!K:K),_xlfn.XLOOKUP(B75,Input!J:J,Input!L:L))</f>
        <v>0</v>
      </c>
      <c r="G75" s="32"/>
      <c r="H75" s="32"/>
      <c r="I75" s="32">
        <f>_xlfn.XLOOKUP(B75,CPU_Formula!A:A,CPU_Formula!I:I)</f>
        <v>0</v>
      </c>
      <c r="J75" s="51" t="e">
        <f>INDEX(Input!$D$2:$AC$500,
       MATCH(B75, Input!$J$2:$J$500, 0),
       MATCH("Total Memory", Input!$D$1:$AC$1, 0))</f>
        <v>#N/A</v>
      </c>
      <c r="K75" s="51" t="e">
        <f>INDEX(Input!$D$2:$AC$500,
       MATCH(B75, Input!$J$2:$J$500, 0),
       MATCH("Memory Type", Input!$D$1:$AC$1, 0))</f>
        <v>#N/A</v>
      </c>
      <c r="L75" s="51" t="str" cm="1">
        <f t="array" ref="L75">IFERROR(_xlfn.FILTERXML("&lt;t&gt;&lt;s&gt;" &amp; SUBSTITUTE(K75," / ","&lt;/s&gt;&lt;s&gt;") &amp; "&lt;/s&gt;&lt;/t&gt;","(//s[contains(.,'DDR')])[1]"),"")</f>
        <v/>
      </c>
      <c r="M75" s="32" t="e">
        <f t="shared" si="5"/>
        <v>#N/A</v>
      </c>
      <c r="N75" s="51" t="e">
        <f>INDEX(Input!$D$2:$AC$500,
       MATCH(B75, Input!$J$2:$J$500, 0),
       MATCH("Disk Interface Type", Input!$D$1:$AC$1, 0))</f>
        <v>#N/A</v>
      </c>
      <c r="O75" s="51" t="str" cm="1">
        <f t="array" ref="O75">IFERROR(_xlfn.TEXTJOIN(", ", TRUE, _xlfn._xlws.FILTER(
    INDEX(Input!$D$2:$AC$500,,MATCH("Disk Capacity",Input!$D$1:$AC$1,0)),
    Input!$J$2:$J$500=B75
)), "")</f>
        <v/>
      </c>
      <c r="P75" s="32" t="e">
        <f t="shared" si="4"/>
        <v>#N/A</v>
      </c>
      <c r="Q75" s="51" t="e">
        <f>_xlfn.LET(_xlpm.Result,INDEX(Input!$D$2:$AC$500,
       MATCH(B75, Input!$J$2:$J$500, 0),
       MATCH("Capacity", Input!$D$1:$AC$1, 0)),IF(_xlpm.Result="","",_xlpm.Result))</f>
        <v>#N/A</v>
      </c>
      <c r="R75" s="51" t="e" cm="1">
        <f t="array" ref="R75">_xlfn.TEXTSPLIT(Q75," / ", ,TRUE,0,)</f>
        <v>#N/A</v>
      </c>
      <c r="S75" s="51"/>
      <c r="T75" s="51" t="str" cm="1">
        <f t="array" ref="T75">IFERROR(_xlfn.IFS(
R75="","",
--R75&lt;55,"Battery Defect",
--R75&lt;=69,"Battery D",
--R75&lt;=80,"Battery C",
--R75&gt;80,""
),"")</f>
        <v/>
      </c>
      <c r="U75" s="51" t="str" cm="1">
        <f t="array" ref="U75">IFERROR(_xlfn.IFS(
S75="","",
--S75&lt;55,"Battery Defect",
--S75&lt;=69,"Battery D",
--S75&lt;=80,"Battery C",
--S75&gt;80,""
),"")</f>
        <v/>
      </c>
      <c r="V75" s="51" t="str" cm="1">
        <f t="array" ref="V75:AC75">IFERROR(IF(_xlfn.XLOOKUP(B75,Input!J:J,Input!N:U)=0,"",
          _xlfn.XLOOKUP(B75,Input!J:J,Input!N:U)),"")</f>
        <v/>
      </c>
      <c r="W75" s="51" t="str">
        <v/>
      </c>
      <c r="X75" s="51" t="str">
        <v/>
      </c>
      <c r="Y75" s="51" t="str">
        <v/>
      </c>
      <c r="Z75" s="51" t="str">
        <v/>
      </c>
      <c r="AA75" s="51" t="str">
        <v/>
      </c>
      <c r="AB75" s="51" t="str">
        <v/>
      </c>
      <c r="AC75" s="51" t="str">
        <v/>
      </c>
      <c r="AD75" s="32" t="str">
        <f t="shared" si="3"/>
        <v/>
      </c>
      <c r="AE75" s="32" t="str">
        <f>_xlfn.XLOOKUP(B:B,Disk_Pivot!G:G,Disk_Pivot!I:I)</f>
        <v>Yes x2</v>
      </c>
      <c r="AF75" s="32" t="str">
        <f>_xlfn.XLOOKUP(B75,Disk_Pivot!G:G,Disk_Pivot!N:N)</f>
        <v>Pass, Fail</v>
      </c>
      <c r="AG75" s="32"/>
      <c r="AH75" s="32"/>
      <c r="AI75" s="32"/>
      <c r="AJ75" s="32"/>
      <c r="AK75" s="32"/>
      <c r="AL75" s="32"/>
    </row>
    <row r="76" spans="1:38">
      <c r="A76" s="32" t="str">
        <f>_xlfn.TEXTJOIN("",TRUE,_xlfn.XLOOKUP(B76,Input!J:J,Input!G:G,"",0,1),_xlfn.XLOOKUP(B76,Input!J:J,Input!H:H,"",0,1))</f>
        <v/>
      </c>
      <c r="B76" s="32"/>
      <c r="C76" s="51">
        <f>_xlfn.XLOOKUP(B76,Input!J:J,Input!F:F)</f>
        <v>0</v>
      </c>
      <c r="D76" s="32">
        <f>_xlfn.XLOOKUP(C76,Models!H:H,Models!G:G,C76)</f>
        <v>0</v>
      </c>
      <c r="E76" s="32">
        <f>_xlfn.XLOOKUP(B76,Input!J:J,Input!E:E)</f>
        <v>0</v>
      </c>
      <c r="F76" s="32">
        <f>IF(E76="LENOVO",_xlfn.XLOOKUP(B76,Input!J:J,Input!K:K),_xlfn.XLOOKUP(B76,Input!J:J,Input!L:L))</f>
        <v>0</v>
      </c>
      <c r="G76" s="32"/>
      <c r="H76" s="32"/>
      <c r="I76" s="32">
        <f>_xlfn.XLOOKUP(B76,CPU_Formula!A:A,CPU_Formula!I:I)</f>
        <v>0</v>
      </c>
      <c r="J76" s="51" t="e">
        <f>INDEX(Input!$D$2:$AC$500,
       MATCH(B76, Input!$J$2:$J$500, 0),
       MATCH("Total Memory", Input!$D$1:$AC$1, 0))</f>
        <v>#N/A</v>
      </c>
      <c r="K76" s="51" t="e">
        <f>INDEX(Input!$D$2:$AC$500,
       MATCH(B76, Input!$J$2:$J$500, 0),
       MATCH("Memory Type", Input!$D$1:$AC$1, 0))</f>
        <v>#N/A</v>
      </c>
      <c r="L76" s="51" t="str" cm="1">
        <f t="array" ref="L76">IFERROR(_xlfn.FILTERXML("&lt;t&gt;&lt;s&gt;" &amp; SUBSTITUTE(K76," / ","&lt;/s&gt;&lt;s&gt;") &amp; "&lt;/s&gt;&lt;/t&gt;","(//s[contains(.,'DDR')])[1]"),"")</f>
        <v/>
      </c>
      <c r="M76" s="32" t="e">
        <f t="shared" si="5"/>
        <v>#N/A</v>
      </c>
      <c r="N76" s="51" t="e">
        <f>INDEX(Input!$D$2:$AC$500,
       MATCH(B76, Input!$J$2:$J$500, 0),
       MATCH("Disk Interface Type", Input!$D$1:$AC$1, 0))</f>
        <v>#N/A</v>
      </c>
      <c r="O76" s="51" t="str" cm="1">
        <f t="array" ref="O76">IFERROR(_xlfn.TEXTJOIN(", ", TRUE, _xlfn._xlws.FILTER(
    INDEX(Input!$D$2:$AC$500,,MATCH("Disk Capacity",Input!$D$1:$AC$1,0)),
    Input!$J$2:$J$500=B76
)), "")</f>
        <v/>
      </c>
      <c r="P76" s="32" t="e">
        <f t="shared" si="4"/>
        <v>#N/A</v>
      </c>
      <c r="Q76" s="51" t="e">
        <f>_xlfn.LET(_xlpm.Result,INDEX(Input!$D$2:$AC$500,
       MATCH(B76, Input!$J$2:$J$500, 0),
       MATCH("Capacity", Input!$D$1:$AC$1, 0)),IF(_xlpm.Result="","",_xlpm.Result))</f>
        <v>#N/A</v>
      </c>
      <c r="R76" s="51" t="e" cm="1">
        <f t="array" ref="R76">_xlfn.TEXTSPLIT(Q76," / ", ,TRUE,0,)</f>
        <v>#N/A</v>
      </c>
      <c r="S76" s="51"/>
      <c r="T76" s="51" t="str" cm="1">
        <f t="array" ref="T76">IFERROR(_xlfn.IFS(
R76="","",
--R76&lt;55,"Battery Defect",
--R76&lt;=69,"Battery D",
--R76&lt;=80,"Battery C",
--R76&gt;80,""
),"")</f>
        <v/>
      </c>
      <c r="U76" s="51" t="str" cm="1">
        <f t="array" ref="U76">IFERROR(_xlfn.IFS(
S76="","",
--S76&lt;55,"Battery Defect",
--S76&lt;=69,"Battery D",
--S76&lt;=80,"Battery C",
--S76&gt;80,""
),"")</f>
        <v/>
      </c>
      <c r="V76" s="51" t="str" cm="1">
        <f t="array" ref="V76:AC76">IFERROR(IF(_xlfn.XLOOKUP(B76,Input!J:J,Input!N:U)=0,"",
          _xlfn.XLOOKUP(B76,Input!J:J,Input!N:U)),"")</f>
        <v/>
      </c>
      <c r="W76" s="51" t="str">
        <v/>
      </c>
      <c r="X76" s="51" t="str">
        <v/>
      </c>
      <c r="Y76" s="51" t="str">
        <v/>
      </c>
      <c r="Z76" s="51" t="str">
        <v/>
      </c>
      <c r="AA76" s="51" t="str">
        <v/>
      </c>
      <c r="AB76" s="51" t="str">
        <v/>
      </c>
      <c r="AC76" s="51" t="str">
        <v/>
      </c>
      <c r="AD76" s="32" t="str">
        <f t="shared" si="3"/>
        <v/>
      </c>
      <c r="AE76" s="32" t="str">
        <f>_xlfn.XLOOKUP(B:B,Disk_Pivot!G:G,Disk_Pivot!I:I)</f>
        <v>Yes x2</v>
      </c>
      <c r="AF76" s="32" t="str">
        <f>_xlfn.XLOOKUP(B76,Disk_Pivot!G:G,Disk_Pivot!N:N)</f>
        <v>Pass, Fail</v>
      </c>
      <c r="AG76" s="32"/>
      <c r="AH76" s="32"/>
      <c r="AI76" s="32"/>
      <c r="AJ76" s="32"/>
      <c r="AK76" s="32"/>
      <c r="AL76" s="32"/>
    </row>
    <row r="77" spans="1:38">
      <c r="A77" s="32" t="str">
        <f>_xlfn.TEXTJOIN("",TRUE,_xlfn.XLOOKUP(B77,Input!J:J,Input!G:G,"",0,1),_xlfn.XLOOKUP(B77,Input!J:J,Input!H:H,"",0,1))</f>
        <v/>
      </c>
      <c r="B77" s="32"/>
      <c r="C77" s="51">
        <f>_xlfn.XLOOKUP(B77,Input!J:J,Input!F:F)</f>
        <v>0</v>
      </c>
      <c r="D77" s="32">
        <f>_xlfn.XLOOKUP(C77,Models!H:H,Models!G:G,C77)</f>
        <v>0</v>
      </c>
      <c r="E77" s="32">
        <f>_xlfn.XLOOKUP(B77,Input!J:J,Input!E:E)</f>
        <v>0</v>
      </c>
      <c r="F77" s="32">
        <f>IF(E77="LENOVO",_xlfn.XLOOKUP(B77,Input!J:J,Input!K:K),_xlfn.XLOOKUP(B77,Input!J:J,Input!L:L))</f>
        <v>0</v>
      </c>
      <c r="G77" s="32"/>
      <c r="H77" s="32"/>
      <c r="I77" s="32">
        <f>_xlfn.XLOOKUP(B77,CPU_Formula!A:A,CPU_Formula!I:I)</f>
        <v>0</v>
      </c>
      <c r="J77" s="51" t="e">
        <f>INDEX(Input!$D$2:$AC$500,
       MATCH(B77, Input!$J$2:$J$500, 0),
       MATCH("Total Memory", Input!$D$1:$AC$1, 0))</f>
        <v>#N/A</v>
      </c>
      <c r="K77" s="51" t="e">
        <f>INDEX(Input!$D$2:$AC$500,
       MATCH(B77, Input!$J$2:$J$500, 0),
       MATCH("Memory Type", Input!$D$1:$AC$1, 0))</f>
        <v>#N/A</v>
      </c>
      <c r="L77" s="51" t="str" cm="1">
        <f t="array" ref="L77">IFERROR(_xlfn.FILTERXML("&lt;t&gt;&lt;s&gt;" &amp; SUBSTITUTE(K77," / ","&lt;/s&gt;&lt;s&gt;") &amp; "&lt;/s&gt;&lt;/t&gt;","(//s[contains(.,'DDR')])[1]"),"")</f>
        <v/>
      </c>
      <c r="M77" s="32" t="e">
        <f t="shared" si="5"/>
        <v>#N/A</v>
      </c>
      <c r="N77" s="51" t="e">
        <f>INDEX(Input!$D$2:$AC$500,
       MATCH(B77, Input!$J$2:$J$500, 0),
       MATCH("Disk Interface Type", Input!$D$1:$AC$1, 0))</f>
        <v>#N/A</v>
      </c>
      <c r="O77" s="51" t="str" cm="1">
        <f t="array" ref="O77">IFERROR(_xlfn.TEXTJOIN(", ", TRUE, _xlfn._xlws.FILTER(
    INDEX(Input!$D$2:$AC$500,,MATCH("Disk Capacity",Input!$D$1:$AC$1,0)),
    Input!$J$2:$J$500=B77
)), "")</f>
        <v/>
      </c>
      <c r="P77" s="32" t="e">
        <f t="shared" si="4"/>
        <v>#N/A</v>
      </c>
      <c r="Q77" s="51" t="e">
        <f>_xlfn.LET(_xlpm.Result,INDEX(Input!$D$2:$AC$500,
       MATCH(B77, Input!$J$2:$J$500, 0),
       MATCH("Capacity", Input!$D$1:$AC$1, 0)),IF(_xlpm.Result="","",_xlpm.Result))</f>
        <v>#N/A</v>
      </c>
      <c r="R77" s="51" t="e" cm="1">
        <f t="array" ref="R77">_xlfn.TEXTSPLIT(Q77," / ", ,TRUE,0,)</f>
        <v>#N/A</v>
      </c>
      <c r="S77" s="51"/>
      <c r="T77" s="51" t="str" cm="1">
        <f t="array" ref="T77">IFERROR(_xlfn.IFS(
R77="","",
--R77&lt;55,"Battery Defect",
--R77&lt;=69,"Battery D",
--R77&lt;=80,"Battery C",
--R77&gt;80,""
),"")</f>
        <v/>
      </c>
      <c r="U77" s="51" t="str" cm="1">
        <f t="array" ref="U77">IFERROR(_xlfn.IFS(
S77="","",
--S77&lt;55,"Battery Defect",
--S77&lt;=69,"Battery D",
--S77&lt;=80,"Battery C",
--S77&gt;80,""
),"")</f>
        <v/>
      </c>
      <c r="V77" s="51" t="str" cm="1">
        <f t="array" ref="V77:AC77">IFERROR(IF(_xlfn.XLOOKUP(B77,Input!J:J,Input!N:U)=0,"",
          _xlfn.XLOOKUP(B77,Input!J:J,Input!N:U)),"")</f>
        <v/>
      </c>
      <c r="W77" s="51" t="str">
        <v/>
      </c>
      <c r="X77" s="51" t="str">
        <v/>
      </c>
      <c r="Y77" s="51" t="str">
        <v/>
      </c>
      <c r="Z77" s="51" t="str">
        <v/>
      </c>
      <c r="AA77" s="51" t="str">
        <v/>
      </c>
      <c r="AB77" s="51" t="str">
        <v/>
      </c>
      <c r="AC77" s="51" t="str">
        <v/>
      </c>
      <c r="AD77" s="32" t="str">
        <f t="shared" si="3"/>
        <v/>
      </c>
      <c r="AE77" s="32" t="str">
        <f>_xlfn.XLOOKUP(B:B,Disk_Pivot!G:G,Disk_Pivot!I:I)</f>
        <v>Yes x2</v>
      </c>
      <c r="AF77" s="32" t="str">
        <f>_xlfn.XLOOKUP(B77,Disk_Pivot!G:G,Disk_Pivot!N:N)</f>
        <v>Pass, Fail</v>
      </c>
      <c r="AG77" s="32"/>
      <c r="AH77" s="32"/>
      <c r="AI77" s="32"/>
      <c r="AJ77" s="32"/>
      <c r="AK77" s="32"/>
      <c r="AL77" s="32"/>
    </row>
    <row r="78" spans="1:38">
      <c r="A78" s="32" t="str">
        <f>_xlfn.TEXTJOIN("",TRUE,_xlfn.XLOOKUP(B78,Input!J:J,Input!G:G,"",0,1),_xlfn.XLOOKUP(B78,Input!J:J,Input!H:H,"",0,1))</f>
        <v/>
      </c>
      <c r="B78" s="32"/>
      <c r="C78" s="51">
        <f>_xlfn.XLOOKUP(B78,Input!J:J,Input!F:F)</f>
        <v>0</v>
      </c>
      <c r="D78" s="32">
        <f>_xlfn.XLOOKUP(C78,Models!H:H,Models!G:G,C78)</f>
        <v>0</v>
      </c>
      <c r="E78" s="32">
        <f>_xlfn.XLOOKUP(B78,Input!J:J,Input!E:E)</f>
        <v>0</v>
      </c>
      <c r="F78" s="32">
        <f>IF(E78="LENOVO",_xlfn.XLOOKUP(B78,Input!J:J,Input!K:K),_xlfn.XLOOKUP(B78,Input!J:J,Input!L:L))</f>
        <v>0</v>
      </c>
      <c r="G78" s="32"/>
      <c r="H78" s="32"/>
      <c r="I78" s="32">
        <f>_xlfn.XLOOKUP(B78,CPU_Formula!A:A,CPU_Formula!I:I)</f>
        <v>0</v>
      </c>
      <c r="J78" s="51" t="e">
        <f>INDEX(Input!$D$2:$AC$500,
       MATCH(B78, Input!$J$2:$J$500, 0),
       MATCH("Total Memory", Input!$D$1:$AC$1, 0))</f>
        <v>#N/A</v>
      </c>
      <c r="K78" s="51" t="e">
        <f>INDEX(Input!$D$2:$AC$500,
       MATCH(B78, Input!$J$2:$J$500, 0),
       MATCH("Memory Type", Input!$D$1:$AC$1, 0))</f>
        <v>#N/A</v>
      </c>
      <c r="L78" s="51" t="str" cm="1">
        <f t="array" ref="L78">IFERROR(_xlfn.FILTERXML("&lt;t&gt;&lt;s&gt;" &amp; SUBSTITUTE(K78," / ","&lt;/s&gt;&lt;s&gt;") &amp; "&lt;/s&gt;&lt;/t&gt;","(//s[contains(.,'DDR')])[1]"),"")</f>
        <v/>
      </c>
      <c r="M78" s="32" t="e">
        <f t="shared" si="5"/>
        <v>#N/A</v>
      </c>
      <c r="N78" s="51" t="e">
        <f>INDEX(Input!$D$2:$AC$500,
       MATCH(B78, Input!$J$2:$J$500, 0),
       MATCH("Disk Interface Type", Input!$D$1:$AC$1, 0))</f>
        <v>#N/A</v>
      </c>
      <c r="O78" s="51" t="str" cm="1">
        <f t="array" ref="O78">IFERROR(_xlfn.TEXTJOIN(", ", TRUE, _xlfn._xlws.FILTER(
    INDEX(Input!$D$2:$AC$500,,MATCH("Disk Capacity",Input!$D$1:$AC$1,0)),
    Input!$J$2:$J$500=B78
)), "")</f>
        <v/>
      </c>
      <c r="P78" s="32" t="e">
        <f t="shared" si="4"/>
        <v>#N/A</v>
      </c>
      <c r="Q78" s="51" t="e">
        <f>_xlfn.LET(_xlpm.Result,INDEX(Input!$D$2:$AC$500,
       MATCH(B78, Input!$J$2:$J$500, 0),
       MATCH("Capacity", Input!$D$1:$AC$1, 0)),IF(_xlpm.Result="","",_xlpm.Result))</f>
        <v>#N/A</v>
      </c>
      <c r="R78" s="51" t="e" cm="1">
        <f t="array" ref="R78">_xlfn.TEXTSPLIT(Q78," / ", ,TRUE,0,)</f>
        <v>#N/A</v>
      </c>
      <c r="S78" s="51"/>
      <c r="T78" s="51" t="str" cm="1">
        <f t="array" ref="T78">IFERROR(_xlfn.IFS(
R78="","",
--R78&lt;55,"Battery Defect",
--R78&lt;=69,"Battery D",
--R78&lt;=80,"Battery C",
--R78&gt;80,""
),"")</f>
        <v/>
      </c>
      <c r="U78" s="51" t="str" cm="1">
        <f t="array" ref="U78">IFERROR(_xlfn.IFS(
S78="","",
--S78&lt;55,"Battery Defect",
--S78&lt;=69,"Battery D",
--S78&lt;=80,"Battery C",
--S78&gt;80,""
),"")</f>
        <v/>
      </c>
      <c r="V78" s="51" t="str" cm="1">
        <f t="array" ref="V78:AC78">IFERROR(IF(_xlfn.XLOOKUP(B78,Input!J:J,Input!N:U)=0,"",
          _xlfn.XLOOKUP(B78,Input!J:J,Input!N:U)),"")</f>
        <v/>
      </c>
      <c r="W78" s="51" t="str">
        <v/>
      </c>
      <c r="X78" s="51" t="str">
        <v/>
      </c>
      <c r="Y78" s="51" t="str">
        <v/>
      </c>
      <c r="Z78" s="51" t="str">
        <v/>
      </c>
      <c r="AA78" s="51" t="str">
        <v/>
      </c>
      <c r="AB78" s="51" t="str">
        <v/>
      </c>
      <c r="AC78" s="51" t="str">
        <v/>
      </c>
      <c r="AD78" s="32" t="str">
        <f t="shared" si="3"/>
        <v/>
      </c>
      <c r="AE78" s="32" t="str">
        <f>_xlfn.XLOOKUP(B:B,Disk_Pivot!G:G,Disk_Pivot!I:I)</f>
        <v>Yes x2</v>
      </c>
      <c r="AF78" s="32" t="str">
        <f>_xlfn.XLOOKUP(B78,Disk_Pivot!G:G,Disk_Pivot!N:N)</f>
        <v>Pass, Fail</v>
      </c>
      <c r="AG78" s="32"/>
      <c r="AH78" s="32"/>
      <c r="AI78" s="32"/>
      <c r="AJ78" s="32"/>
      <c r="AK78" s="32"/>
      <c r="AL78" s="32"/>
    </row>
    <row r="79" spans="1:38">
      <c r="A79" s="32" t="str">
        <f>_xlfn.TEXTJOIN("",TRUE,_xlfn.XLOOKUP(B79,Input!J:J,Input!G:G,"",0,1),_xlfn.XLOOKUP(B79,Input!J:J,Input!H:H,"",0,1))</f>
        <v/>
      </c>
      <c r="B79" s="32"/>
      <c r="C79" s="51">
        <f>_xlfn.XLOOKUP(B79,Input!J:J,Input!F:F)</f>
        <v>0</v>
      </c>
      <c r="D79" s="32">
        <f>_xlfn.XLOOKUP(C79,Models!H:H,Models!G:G,C79)</f>
        <v>0</v>
      </c>
      <c r="E79" s="32">
        <f>_xlfn.XLOOKUP(B79,Input!J:J,Input!E:E)</f>
        <v>0</v>
      </c>
      <c r="F79" s="32">
        <f>IF(E79="LENOVO",_xlfn.XLOOKUP(B79,Input!J:J,Input!K:K),_xlfn.XLOOKUP(B79,Input!J:J,Input!L:L))</f>
        <v>0</v>
      </c>
      <c r="G79" s="32"/>
      <c r="H79" s="32"/>
      <c r="I79" s="32">
        <f>_xlfn.XLOOKUP(B79,CPU_Formula!A:A,CPU_Formula!I:I)</f>
        <v>0</v>
      </c>
      <c r="J79" s="51" t="e">
        <f>INDEX(Input!$D$2:$AC$500,
       MATCH(B79, Input!$J$2:$J$500, 0),
       MATCH("Total Memory", Input!$D$1:$AC$1, 0))</f>
        <v>#N/A</v>
      </c>
      <c r="K79" s="51" t="e">
        <f>INDEX(Input!$D$2:$AC$500,
       MATCH(B79, Input!$J$2:$J$500, 0),
       MATCH("Memory Type", Input!$D$1:$AC$1, 0))</f>
        <v>#N/A</v>
      </c>
      <c r="L79" s="51" t="str" cm="1">
        <f t="array" ref="L79">IFERROR(_xlfn.FILTERXML("&lt;t&gt;&lt;s&gt;" &amp; SUBSTITUTE(K79," / ","&lt;/s&gt;&lt;s&gt;") &amp; "&lt;/s&gt;&lt;/t&gt;","(//s[contains(.,'DDR')])[1]"),"")</f>
        <v/>
      </c>
      <c r="M79" s="32" t="e">
        <f t="shared" si="5"/>
        <v>#N/A</v>
      </c>
      <c r="N79" s="51" t="e">
        <f>INDEX(Input!$D$2:$AC$500,
       MATCH(B79, Input!$J$2:$J$500, 0),
       MATCH("Disk Interface Type", Input!$D$1:$AC$1, 0))</f>
        <v>#N/A</v>
      </c>
      <c r="O79" s="51" t="str" cm="1">
        <f t="array" ref="O79">IFERROR(_xlfn.TEXTJOIN(", ", TRUE, _xlfn._xlws.FILTER(
    INDEX(Input!$D$2:$AC$500,,MATCH("Disk Capacity",Input!$D$1:$AC$1,0)),
    Input!$J$2:$J$500=B79
)), "")</f>
        <v/>
      </c>
      <c r="P79" s="32" t="e">
        <f t="shared" si="4"/>
        <v>#N/A</v>
      </c>
      <c r="Q79" s="51" t="e">
        <f>_xlfn.LET(_xlpm.Result,INDEX(Input!$D$2:$AC$500,
       MATCH(B79, Input!$J$2:$J$500, 0),
       MATCH("Capacity", Input!$D$1:$AC$1, 0)),IF(_xlpm.Result="","",_xlpm.Result))</f>
        <v>#N/A</v>
      </c>
      <c r="R79" s="51" t="e" cm="1">
        <f t="array" ref="R79">_xlfn.TEXTSPLIT(Q79," / ", ,TRUE,0,)</f>
        <v>#N/A</v>
      </c>
      <c r="S79" s="51"/>
      <c r="T79" s="51" t="str" cm="1">
        <f t="array" ref="T79">IFERROR(_xlfn.IFS(
R79="","",
--R79&lt;55,"Battery Defect",
--R79&lt;=69,"Battery D",
--R79&lt;=80,"Battery C",
--R79&gt;80,""
),"")</f>
        <v/>
      </c>
      <c r="U79" s="51" t="str" cm="1">
        <f t="array" ref="U79">IFERROR(_xlfn.IFS(
S79="","",
--S79&lt;55,"Battery Defect",
--S79&lt;=69,"Battery D",
--S79&lt;=80,"Battery C",
--S79&gt;80,""
),"")</f>
        <v/>
      </c>
      <c r="V79" s="51" t="str" cm="1">
        <f t="array" ref="V79:AC79">IFERROR(IF(_xlfn.XLOOKUP(B79,Input!J:J,Input!N:U)=0,"",
          _xlfn.XLOOKUP(B79,Input!J:J,Input!N:U)),"")</f>
        <v/>
      </c>
      <c r="W79" s="51" t="str">
        <v/>
      </c>
      <c r="X79" s="51" t="str">
        <v/>
      </c>
      <c r="Y79" s="51" t="str">
        <v/>
      </c>
      <c r="Z79" s="51" t="str">
        <v/>
      </c>
      <c r="AA79" s="51" t="str">
        <v/>
      </c>
      <c r="AB79" s="51" t="str">
        <v/>
      </c>
      <c r="AC79" s="51" t="str">
        <v/>
      </c>
      <c r="AD79" s="32" t="str">
        <f t="shared" si="3"/>
        <v/>
      </c>
      <c r="AE79" s="32" t="str">
        <f>_xlfn.XLOOKUP(B:B,Disk_Pivot!G:G,Disk_Pivot!I:I)</f>
        <v>Yes x2</v>
      </c>
      <c r="AF79" s="32" t="str">
        <f>_xlfn.XLOOKUP(B79,Disk_Pivot!G:G,Disk_Pivot!N:N)</f>
        <v>Pass, Fail</v>
      </c>
      <c r="AG79" s="32"/>
      <c r="AH79" s="32"/>
      <c r="AI79" s="32"/>
      <c r="AJ79" s="32"/>
      <c r="AK79" s="32"/>
      <c r="AL79" s="32"/>
    </row>
    <row r="80" spans="1:38">
      <c r="A80" s="32" t="str">
        <f>_xlfn.TEXTJOIN("",TRUE,_xlfn.XLOOKUP(B80,Input!J:J,Input!G:G,"",0,1),_xlfn.XLOOKUP(B80,Input!J:J,Input!H:H,"",0,1))</f>
        <v/>
      </c>
      <c r="B80" s="32"/>
      <c r="C80" s="51">
        <f>_xlfn.XLOOKUP(B80,Input!J:J,Input!F:F)</f>
        <v>0</v>
      </c>
      <c r="D80" s="32">
        <f>_xlfn.XLOOKUP(C80,Models!H:H,Models!G:G,C80)</f>
        <v>0</v>
      </c>
      <c r="E80" s="32">
        <f>_xlfn.XLOOKUP(B80,Input!J:J,Input!E:E)</f>
        <v>0</v>
      </c>
      <c r="F80" s="32">
        <f>IF(E80="LENOVO",_xlfn.XLOOKUP(B80,Input!J:J,Input!K:K),_xlfn.XLOOKUP(B80,Input!J:J,Input!L:L))</f>
        <v>0</v>
      </c>
      <c r="G80" s="32"/>
      <c r="H80" s="32"/>
      <c r="I80" s="32">
        <f>_xlfn.XLOOKUP(B80,CPU_Formula!A:A,CPU_Formula!I:I)</f>
        <v>0</v>
      </c>
      <c r="J80" s="51" t="e">
        <f>INDEX(Input!$D$2:$AC$500,
       MATCH(B80, Input!$J$2:$J$500, 0),
       MATCH("Total Memory", Input!$D$1:$AC$1, 0))</f>
        <v>#N/A</v>
      </c>
      <c r="K80" s="51" t="e">
        <f>INDEX(Input!$D$2:$AC$500,
       MATCH(B80, Input!$J$2:$J$500, 0),
       MATCH("Memory Type", Input!$D$1:$AC$1, 0))</f>
        <v>#N/A</v>
      </c>
      <c r="L80" s="51" t="str" cm="1">
        <f t="array" ref="L80">IFERROR(_xlfn.FILTERXML("&lt;t&gt;&lt;s&gt;" &amp; SUBSTITUTE(K80," / ","&lt;/s&gt;&lt;s&gt;") &amp; "&lt;/s&gt;&lt;/t&gt;","(//s[contains(.,'DDR')])[1]"),"")</f>
        <v/>
      </c>
      <c r="M80" s="32" t="e">
        <f t="shared" si="5"/>
        <v>#N/A</v>
      </c>
      <c r="N80" s="51" t="e">
        <f>INDEX(Input!$D$2:$AC$500,
       MATCH(B80, Input!$J$2:$J$500, 0),
       MATCH("Disk Interface Type", Input!$D$1:$AC$1, 0))</f>
        <v>#N/A</v>
      </c>
      <c r="O80" s="51" t="str" cm="1">
        <f t="array" ref="O80">IFERROR(_xlfn.TEXTJOIN(", ", TRUE, _xlfn._xlws.FILTER(
    INDEX(Input!$D$2:$AC$500,,MATCH("Disk Capacity",Input!$D$1:$AC$1,0)),
    Input!$J$2:$J$500=B80
)), "")</f>
        <v/>
      </c>
      <c r="P80" s="32" t="e">
        <f t="shared" si="4"/>
        <v>#N/A</v>
      </c>
      <c r="Q80" s="51" t="e">
        <f>_xlfn.LET(_xlpm.Result,INDEX(Input!$D$2:$AC$500,
       MATCH(B80, Input!$J$2:$J$500, 0),
       MATCH("Capacity", Input!$D$1:$AC$1, 0)),IF(_xlpm.Result="","",_xlpm.Result))</f>
        <v>#N/A</v>
      </c>
      <c r="R80" s="51" t="e" cm="1">
        <f t="array" ref="R80">_xlfn.TEXTSPLIT(Q80," / ", ,TRUE,0,)</f>
        <v>#N/A</v>
      </c>
      <c r="S80" s="51"/>
      <c r="T80" s="51" t="str" cm="1">
        <f t="array" ref="T80">IFERROR(_xlfn.IFS(
R80="","",
--R80&lt;55,"Battery Defect",
--R80&lt;=69,"Battery D",
--R80&lt;=80,"Battery C",
--R80&gt;80,""
),"")</f>
        <v/>
      </c>
      <c r="U80" s="51" t="str" cm="1">
        <f t="array" ref="U80">IFERROR(_xlfn.IFS(
S80="","",
--S80&lt;55,"Battery Defect",
--S80&lt;=69,"Battery D",
--S80&lt;=80,"Battery C",
--S80&gt;80,""
),"")</f>
        <v/>
      </c>
      <c r="V80" s="51" t="str" cm="1">
        <f t="array" ref="V80:AC80">IFERROR(IF(_xlfn.XLOOKUP(B80,Input!J:J,Input!N:U)=0,"",
          _xlfn.XLOOKUP(B80,Input!J:J,Input!N:U)),"")</f>
        <v/>
      </c>
      <c r="W80" s="51" t="str">
        <v/>
      </c>
      <c r="X80" s="51" t="str">
        <v/>
      </c>
      <c r="Y80" s="51" t="str">
        <v/>
      </c>
      <c r="Z80" s="51" t="str">
        <v/>
      </c>
      <c r="AA80" s="51" t="str">
        <v/>
      </c>
      <c r="AB80" s="51" t="str">
        <v/>
      </c>
      <c r="AC80" s="51" t="str">
        <v/>
      </c>
      <c r="AD80" s="32" t="str">
        <f t="shared" si="3"/>
        <v/>
      </c>
      <c r="AE80" s="32" t="str">
        <f>_xlfn.XLOOKUP(B:B,Disk_Pivot!G:G,Disk_Pivot!I:I)</f>
        <v>Yes x2</v>
      </c>
      <c r="AF80" s="32" t="str">
        <f>_xlfn.XLOOKUP(B80,Disk_Pivot!G:G,Disk_Pivot!N:N)</f>
        <v>Pass, Fail</v>
      </c>
      <c r="AG80" s="32"/>
      <c r="AH80" s="32"/>
      <c r="AI80" s="32"/>
      <c r="AJ80" s="32"/>
      <c r="AK80" s="32"/>
      <c r="AL80" s="32"/>
    </row>
    <row r="81" spans="1:38">
      <c r="A81" s="32" t="str">
        <f>_xlfn.TEXTJOIN("",TRUE,_xlfn.XLOOKUP(B81,Input!J:J,Input!G:G,"",0,1),_xlfn.XLOOKUP(B81,Input!J:J,Input!H:H,"",0,1))</f>
        <v/>
      </c>
      <c r="B81" s="32"/>
      <c r="C81" s="51">
        <f>_xlfn.XLOOKUP(B81,Input!J:J,Input!F:F)</f>
        <v>0</v>
      </c>
      <c r="D81" s="32">
        <f>_xlfn.XLOOKUP(C81,Models!H:H,Models!G:G,C81)</f>
        <v>0</v>
      </c>
      <c r="E81" s="32">
        <f>_xlfn.XLOOKUP(B81,Input!J:J,Input!E:E)</f>
        <v>0</v>
      </c>
      <c r="F81" s="32">
        <f>IF(E81="LENOVO",_xlfn.XLOOKUP(B81,Input!J:J,Input!K:K),_xlfn.XLOOKUP(B81,Input!J:J,Input!L:L))</f>
        <v>0</v>
      </c>
      <c r="G81" s="32"/>
      <c r="H81" s="32"/>
      <c r="I81" s="32">
        <f>_xlfn.XLOOKUP(B81,CPU_Formula!A:A,CPU_Formula!I:I)</f>
        <v>0</v>
      </c>
      <c r="J81" s="51" t="e">
        <f>INDEX(Input!$D$2:$AC$500,
       MATCH(B81, Input!$J$2:$J$500, 0),
       MATCH("Total Memory", Input!$D$1:$AC$1, 0))</f>
        <v>#N/A</v>
      </c>
      <c r="K81" s="51" t="e">
        <f>INDEX(Input!$D$2:$AC$500,
       MATCH(B81, Input!$J$2:$J$500, 0),
       MATCH("Memory Type", Input!$D$1:$AC$1, 0))</f>
        <v>#N/A</v>
      </c>
      <c r="L81" s="51" t="str" cm="1">
        <f t="array" ref="L81">IFERROR(_xlfn.FILTERXML("&lt;t&gt;&lt;s&gt;" &amp; SUBSTITUTE(K81," / ","&lt;/s&gt;&lt;s&gt;") &amp; "&lt;/s&gt;&lt;/t&gt;","(//s[contains(.,'DDR')])[1]"),"")</f>
        <v/>
      </c>
      <c r="M81" s="32" t="e">
        <f t="shared" si="5"/>
        <v>#N/A</v>
      </c>
      <c r="N81" s="51" t="e">
        <f>INDEX(Input!$D$2:$AC$500,
       MATCH(B81, Input!$J$2:$J$500, 0),
       MATCH("Disk Interface Type", Input!$D$1:$AC$1, 0))</f>
        <v>#N/A</v>
      </c>
      <c r="O81" s="51" t="str" cm="1">
        <f t="array" ref="O81">IFERROR(_xlfn.TEXTJOIN(", ", TRUE, _xlfn._xlws.FILTER(
    INDEX(Input!$D$2:$AC$500,,MATCH("Disk Capacity",Input!$D$1:$AC$1,0)),
    Input!$J$2:$J$500=B81
)), "")</f>
        <v/>
      </c>
      <c r="P81" s="32" t="e">
        <f t="shared" si="4"/>
        <v>#N/A</v>
      </c>
      <c r="Q81" s="51" t="e">
        <f>_xlfn.LET(_xlpm.Result,INDEX(Input!$D$2:$AC$500,
       MATCH(B81, Input!$J$2:$J$500, 0),
       MATCH("Capacity", Input!$D$1:$AC$1, 0)),IF(_xlpm.Result="","",_xlpm.Result))</f>
        <v>#N/A</v>
      </c>
      <c r="R81" s="51" t="e" cm="1">
        <f t="array" ref="R81">_xlfn.TEXTSPLIT(Q81," / ", ,TRUE,0,)</f>
        <v>#N/A</v>
      </c>
      <c r="S81" s="51"/>
      <c r="T81" s="51" t="str" cm="1">
        <f t="array" ref="T81">IFERROR(_xlfn.IFS(
R81="","",
--R81&lt;55,"Battery Defect",
--R81&lt;=69,"Battery D",
--R81&lt;=80,"Battery C",
--R81&gt;80,""
),"")</f>
        <v/>
      </c>
      <c r="U81" s="51" t="str" cm="1">
        <f t="array" ref="U81">IFERROR(_xlfn.IFS(
S81="","",
--S81&lt;55,"Battery Defect",
--S81&lt;=69,"Battery D",
--S81&lt;=80,"Battery C",
--S81&gt;80,""
),"")</f>
        <v/>
      </c>
      <c r="V81" s="51" t="str" cm="1">
        <f t="array" ref="V81:AC81">IFERROR(IF(_xlfn.XLOOKUP(B81,Input!J:J,Input!N:U)=0,"",
          _xlfn.XLOOKUP(B81,Input!J:J,Input!N:U)),"")</f>
        <v/>
      </c>
      <c r="W81" s="51" t="str">
        <v/>
      </c>
      <c r="X81" s="51" t="str">
        <v/>
      </c>
      <c r="Y81" s="51" t="str">
        <v/>
      </c>
      <c r="Z81" s="51" t="str">
        <v/>
      </c>
      <c r="AA81" s="51" t="str">
        <v/>
      </c>
      <c r="AB81" s="51" t="str">
        <v/>
      </c>
      <c r="AC81" s="51" t="str">
        <v/>
      </c>
      <c r="AD81" s="32" t="str">
        <f t="shared" si="3"/>
        <v/>
      </c>
      <c r="AE81" s="32" t="str">
        <f>_xlfn.XLOOKUP(B:B,Disk_Pivot!G:G,Disk_Pivot!I:I)</f>
        <v>Yes x2</v>
      </c>
      <c r="AF81" s="32" t="str">
        <f>_xlfn.XLOOKUP(B81,Disk_Pivot!G:G,Disk_Pivot!N:N)</f>
        <v>Pass, Fail</v>
      </c>
      <c r="AG81" s="32"/>
      <c r="AH81" s="32"/>
      <c r="AI81" s="32"/>
      <c r="AJ81" s="32"/>
      <c r="AK81" s="32"/>
      <c r="AL81" s="32"/>
    </row>
    <row r="82" spans="1:38">
      <c r="A82" s="32" t="str">
        <f>_xlfn.TEXTJOIN("",TRUE,_xlfn.XLOOKUP(B82,Input!J:J,Input!G:G,"",0,1),_xlfn.XLOOKUP(B82,Input!J:J,Input!H:H,"",0,1))</f>
        <v/>
      </c>
      <c r="B82" s="32"/>
      <c r="C82" s="51">
        <f>_xlfn.XLOOKUP(B82,Input!J:J,Input!F:F)</f>
        <v>0</v>
      </c>
      <c r="D82" s="32">
        <f>_xlfn.XLOOKUP(C82,Models!H:H,Models!G:G,C82)</f>
        <v>0</v>
      </c>
      <c r="E82" s="32">
        <f>_xlfn.XLOOKUP(B82,Input!J:J,Input!E:E)</f>
        <v>0</v>
      </c>
      <c r="F82" s="32">
        <f>IF(E82="LENOVO",_xlfn.XLOOKUP(B82,Input!J:J,Input!K:K),_xlfn.XLOOKUP(B82,Input!J:J,Input!L:L))</f>
        <v>0</v>
      </c>
      <c r="G82" s="32"/>
      <c r="H82" s="32"/>
      <c r="I82" s="32">
        <f>_xlfn.XLOOKUP(B82,CPU_Formula!A:A,CPU_Formula!I:I)</f>
        <v>0</v>
      </c>
      <c r="J82" s="51" t="e">
        <f>INDEX(Input!$D$2:$AC$500,
       MATCH(B82, Input!$J$2:$J$500, 0),
       MATCH("Total Memory", Input!$D$1:$AC$1, 0))</f>
        <v>#N/A</v>
      </c>
      <c r="K82" s="51" t="e">
        <f>INDEX(Input!$D$2:$AC$500,
       MATCH(B82, Input!$J$2:$J$500, 0),
       MATCH("Memory Type", Input!$D$1:$AC$1, 0))</f>
        <v>#N/A</v>
      </c>
      <c r="L82" s="51" t="str" cm="1">
        <f t="array" ref="L82">IFERROR(_xlfn.FILTERXML("&lt;t&gt;&lt;s&gt;" &amp; SUBSTITUTE(K82," / ","&lt;/s&gt;&lt;s&gt;") &amp; "&lt;/s&gt;&lt;/t&gt;","(//s[contains(.,'DDR')])[1]"),"")</f>
        <v/>
      </c>
      <c r="M82" s="32" t="e">
        <f t="shared" si="5"/>
        <v>#N/A</v>
      </c>
      <c r="N82" s="51" t="e">
        <f>INDEX(Input!$D$2:$AC$500,
       MATCH(B82, Input!$J$2:$J$500, 0),
       MATCH("Disk Interface Type", Input!$D$1:$AC$1, 0))</f>
        <v>#N/A</v>
      </c>
      <c r="O82" s="51" t="str" cm="1">
        <f t="array" ref="O82">IFERROR(_xlfn.TEXTJOIN(", ", TRUE, _xlfn._xlws.FILTER(
    INDEX(Input!$D$2:$AC$500,,MATCH("Disk Capacity",Input!$D$1:$AC$1,0)),
    Input!$J$2:$J$500=B82
)), "")</f>
        <v/>
      </c>
      <c r="P82" s="32" t="e">
        <f t="shared" si="4"/>
        <v>#N/A</v>
      </c>
      <c r="Q82" s="51" t="e">
        <f>_xlfn.LET(_xlpm.Result,INDEX(Input!$D$2:$AC$500,
       MATCH(B82, Input!$J$2:$J$500, 0),
       MATCH("Capacity", Input!$D$1:$AC$1, 0)),IF(_xlpm.Result="","",_xlpm.Result))</f>
        <v>#N/A</v>
      </c>
      <c r="R82" s="51" t="e" cm="1">
        <f t="array" ref="R82">_xlfn.TEXTSPLIT(Q82," / ", ,TRUE,0,)</f>
        <v>#N/A</v>
      </c>
      <c r="S82" s="51"/>
      <c r="T82" s="51" t="str" cm="1">
        <f t="array" ref="T82">IFERROR(_xlfn.IFS(
R82="","",
--R82&lt;55,"Battery Defect",
--R82&lt;=69,"Battery D",
--R82&lt;=80,"Battery C",
--R82&gt;80,""
),"")</f>
        <v/>
      </c>
      <c r="U82" s="51" t="str" cm="1">
        <f t="array" ref="U82">IFERROR(_xlfn.IFS(
S82="","",
--S82&lt;55,"Battery Defect",
--S82&lt;=69,"Battery D",
--S82&lt;=80,"Battery C",
--S82&gt;80,""
),"")</f>
        <v/>
      </c>
      <c r="V82" s="51" t="str" cm="1">
        <f t="array" ref="V82:AC82">IFERROR(IF(_xlfn.XLOOKUP(B82,Input!J:J,Input!N:U)=0,"",
          _xlfn.XLOOKUP(B82,Input!J:J,Input!N:U)),"")</f>
        <v/>
      </c>
      <c r="W82" s="51" t="str">
        <v/>
      </c>
      <c r="X82" s="51" t="str">
        <v/>
      </c>
      <c r="Y82" s="51" t="str">
        <v/>
      </c>
      <c r="Z82" s="51" t="str">
        <v/>
      </c>
      <c r="AA82" s="51" t="str">
        <v/>
      </c>
      <c r="AB82" s="51" t="str">
        <v/>
      </c>
      <c r="AC82" s="51" t="str">
        <v/>
      </c>
      <c r="AD82" s="32" t="str">
        <f t="shared" si="3"/>
        <v/>
      </c>
      <c r="AE82" s="32" t="str">
        <f>_xlfn.XLOOKUP(B:B,Disk_Pivot!G:G,Disk_Pivot!I:I)</f>
        <v>Yes x2</v>
      </c>
      <c r="AF82" s="32" t="str">
        <f>_xlfn.XLOOKUP(B82,Disk_Pivot!G:G,Disk_Pivot!N:N)</f>
        <v>Pass, Fail</v>
      </c>
      <c r="AG82" s="32"/>
      <c r="AH82" s="32"/>
      <c r="AI82" s="32"/>
      <c r="AJ82" s="32"/>
      <c r="AK82" s="32"/>
      <c r="AL82" s="32"/>
    </row>
    <row r="83" spans="1:38">
      <c r="A83" s="32" t="str">
        <f>_xlfn.TEXTJOIN("",TRUE,_xlfn.XLOOKUP(B83,Input!J:J,Input!G:G,"",0,1),_xlfn.XLOOKUP(B83,Input!J:J,Input!H:H,"",0,1))</f>
        <v/>
      </c>
      <c r="B83" s="32"/>
      <c r="C83" s="51">
        <f>_xlfn.XLOOKUP(B83,Input!J:J,Input!F:F)</f>
        <v>0</v>
      </c>
      <c r="D83" s="32">
        <f>_xlfn.XLOOKUP(C83,Models!H:H,Models!G:G,C83)</f>
        <v>0</v>
      </c>
      <c r="E83" s="32">
        <f>_xlfn.XLOOKUP(B83,Input!J:J,Input!E:E)</f>
        <v>0</v>
      </c>
      <c r="F83" s="32">
        <f>IF(E83="LENOVO",_xlfn.XLOOKUP(B83,Input!J:J,Input!K:K),_xlfn.XLOOKUP(B83,Input!J:J,Input!L:L))</f>
        <v>0</v>
      </c>
      <c r="G83" s="32"/>
      <c r="H83" s="32"/>
      <c r="I83" s="32">
        <f>_xlfn.XLOOKUP(B83,CPU_Formula!A:A,CPU_Formula!I:I)</f>
        <v>0</v>
      </c>
      <c r="J83" s="51" t="e">
        <f>INDEX(Input!$D$2:$AC$500,
       MATCH(B83, Input!$J$2:$J$500, 0),
       MATCH("Total Memory", Input!$D$1:$AC$1, 0))</f>
        <v>#N/A</v>
      </c>
      <c r="K83" s="51" t="e">
        <f>INDEX(Input!$D$2:$AC$500,
       MATCH(B83, Input!$J$2:$J$500, 0),
       MATCH("Memory Type", Input!$D$1:$AC$1, 0))</f>
        <v>#N/A</v>
      </c>
      <c r="L83" s="51" t="str" cm="1">
        <f t="array" ref="L83">IFERROR(_xlfn.FILTERXML("&lt;t&gt;&lt;s&gt;" &amp; SUBSTITUTE(K83," / ","&lt;/s&gt;&lt;s&gt;") &amp; "&lt;/s&gt;&lt;/t&gt;","(//s[contains(.,'DDR')])[1]"),"")</f>
        <v/>
      </c>
      <c r="M83" s="32" t="e">
        <f t="shared" si="5"/>
        <v>#N/A</v>
      </c>
      <c r="N83" s="51" t="e">
        <f>INDEX(Input!$D$2:$AC$500,
       MATCH(B83, Input!$J$2:$J$500, 0),
       MATCH("Disk Interface Type", Input!$D$1:$AC$1, 0))</f>
        <v>#N/A</v>
      </c>
      <c r="O83" s="51" t="str" cm="1">
        <f t="array" ref="O83">IFERROR(_xlfn.TEXTJOIN(", ", TRUE, _xlfn._xlws.FILTER(
    INDEX(Input!$D$2:$AC$500,,MATCH("Disk Capacity",Input!$D$1:$AC$1,0)),
    Input!$J$2:$J$500=B83
)), "")</f>
        <v/>
      </c>
      <c r="P83" s="32" t="e">
        <f t="shared" si="4"/>
        <v>#N/A</v>
      </c>
      <c r="Q83" s="51" t="e">
        <f>_xlfn.LET(_xlpm.Result,INDEX(Input!$D$2:$AC$500,
       MATCH(B83, Input!$J$2:$J$500, 0),
       MATCH("Capacity", Input!$D$1:$AC$1, 0)),IF(_xlpm.Result="","",_xlpm.Result))</f>
        <v>#N/A</v>
      </c>
      <c r="R83" s="51" t="e" cm="1">
        <f t="array" ref="R83">_xlfn.TEXTSPLIT(Q83," / ", ,TRUE,0,)</f>
        <v>#N/A</v>
      </c>
      <c r="S83" s="51"/>
      <c r="T83" s="51" t="str" cm="1">
        <f t="array" ref="T83">IFERROR(_xlfn.IFS(
R83="","",
--R83&lt;55,"Battery Defect",
--R83&lt;=69,"Battery D",
--R83&lt;=80,"Battery C",
--R83&gt;80,""
),"")</f>
        <v/>
      </c>
      <c r="U83" s="51" t="str" cm="1">
        <f t="array" ref="U83">IFERROR(_xlfn.IFS(
S83="","",
--S83&lt;55,"Battery Defect",
--S83&lt;=69,"Battery D",
--S83&lt;=80,"Battery C",
--S83&gt;80,""
),"")</f>
        <v/>
      </c>
      <c r="V83" s="51" t="str" cm="1">
        <f t="array" ref="V83:AC83">IFERROR(IF(_xlfn.XLOOKUP(B83,Input!J:J,Input!N:U)=0,"",
          _xlfn.XLOOKUP(B83,Input!J:J,Input!N:U)),"")</f>
        <v/>
      </c>
      <c r="W83" s="51" t="str">
        <v/>
      </c>
      <c r="X83" s="51" t="str">
        <v/>
      </c>
      <c r="Y83" s="51" t="str">
        <v/>
      </c>
      <c r="Z83" s="51" t="str">
        <v/>
      </c>
      <c r="AA83" s="51" t="str">
        <v/>
      </c>
      <c r="AB83" s="51" t="str">
        <v/>
      </c>
      <c r="AC83" s="51" t="str">
        <v/>
      </c>
      <c r="AD83" s="32" t="str">
        <f t="shared" si="3"/>
        <v/>
      </c>
      <c r="AE83" s="32" t="str">
        <f>_xlfn.XLOOKUP(B:B,Disk_Pivot!G:G,Disk_Pivot!I:I)</f>
        <v>Yes x2</v>
      </c>
      <c r="AF83" s="32" t="str">
        <f>_xlfn.XLOOKUP(B83,Disk_Pivot!G:G,Disk_Pivot!N:N)</f>
        <v>Pass, Fail</v>
      </c>
      <c r="AG83" s="32"/>
      <c r="AH83" s="32"/>
      <c r="AI83" s="32"/>
      <c r="AJ83" s="32"/>
      <c r="AK83" s="32"/>
      <c r="AL83" s="32"/>
    </row>
    <row r="84" spans="1:38">
      <c r="A84" s="32" t="str">
        <f>_xlfn.TEXTJOIN("",TRUE,_xlfn.XLOOKUP(B84,Input!J:J,Input!G:G,"",0,1),_xlfn.XLOOKUP(B84,Input!J:J,Input!H:H,"",0,1))</f>
        <v/>
      </c>
      <c r="B84" s="32"/>
      <c r="C84" s="51">
        <f>_xlfn.XLOOKUP(B84,Input!J:J,Input!F:F)</f>
        <v>0</v>
      </c>
      <c r="D84" s="32">
        <f>_xlfn.XLOOKUP(C84,Models!H:H,Models!G:G,C84)</f>
        <v>0</v>
      </c>
      <c r="E84" s="32">
        <f>_xlfn.XLOOKUP(B84,Input!J:J,Input!E:E)</f>
        <v>0</v>
      </c>
      <c r="F84" s="32">
        <f>IF(E84="LENOVO",_xlfn.XLOOKUP(B84,Input!J:J,Input!K:K),_xlfn.XLOOKUP(B84,Input!J:J,Input!L:L))</f>
        <v>0</v>
      </c>
      <c r="G84" s="32"/>
      <c r="H84" s="32"/>
      <c r="I84" s="32">
        <f>_xlfn.XLOOKUP(B84,CPU_Formula!A:A,CPU_Formula!I:I)</f>
        <v>0</v>
      </c>
      <c r="J84" s="51" t="e">
        <f>INDEX(Input!$D$2:$AC$500,
       MATCH(B84, Input!$J$2:$J$500, 0),
       MATCH("Total Memory", Input!$D$1:$AC$1, 0))</f>
        <v>#N/A</v>
      </c>
      <c r="K84" s="51" t="e">
        <f>INDEX(Input!$D$2:$AC$500,
       MATCH(B84, Input!$J$2:$J$500, 0),
       MATCH("Memory Type", Input!$D$1:$AC$1, 0))</f>
        <v>#N/A</v>
      </c>
      <c r="L84" s="51" t="str" cm="1">
        <f t="array" ref="L84">IFERROR(_xlfn.FILTERXML("&lt;t&gt;&lt;s&gt;" &amp; SUBSTITUTE(K84," / ","&lt;/s&gt;&lt;s&gt;") &amp; "&lt;/s&gt;&lt;/t&gt;","(//s[contains(.,'DDR')])[1]"),"")</f>
        <v/>
      </c>
      <c r="M84" s="32" t="e">
        <f t="shared" si="5"/>
        <v>#N/A</v>
      </c>
      <c r="N84" s="51" t="e">
        <f>INDEX(Input!$D$2:$AC$500,
       MATCH(B84, Input!$J$2:$J$500, 0),
       MATCH("Disk Interface Type", Input!$D$1:$AC$1, 0))</f>
        <v>#N/A</v>
      </c>
      <c r="O84" s="51" t="str" cm="1">
        <f t="array" ref="O84">IFERROR(_xlfn.TEXTJOIN(", ", TRUE, _xlfn._xlws.FILTER(
    INDEX(Input!$D$2:$AC$500,,MATCH("Disk Capacity",Input!$D$1:$AC$1,0)),
    Input!$J$2:$J$500=B84
)), "")</f>
        <v/>
      </c>
      <c r="P84" s="32" t="e">
        <f t="shared" si="4"/>
        <v>#N/A</v>
      </c>
      <c r="Q84" s="51" t="e">
        <f>_xlfn.LET(_xlpm.Result,INDEX(Input!$D$2:$AC$500,
       MATCH(B84, Input!$J$2:$J$500, 0),
       MATCH("Capacity", Input!$D$1:$AC$1, 0)),IF(_xlpm.Result="","",_xlpm.Result))</f>
        <v>#N/A</v>
      </c>
      <c r="R84" s="51" t="e" cm="1">
        <f t="array" ref="R84">_xlfn.TEXTSPLIT(Q84," / ", ,TRUE,0,)</f>
        <v>#N/A</v>
      </c>
      <c r="S84" s="51"/>
      <c r="T84" s="51" t="str" cm="1">
        <f t="array" ref="T84">IFERROR(_xlfn.IFS(
R84="","",
--R84&lt;55,"Battery Defect",
--R84&lt;=69,"Battery D",
--R84&lt;=80,"Battery C",
--R84&gt;80,""
),"")</f>
        <v/>
      </c>
      <c r="U84" s="51" t="str" cm="1">
        <f t="array" ref="U84">IFERROR(_xlfn.IFS(
S84="","",
--S84&lt;55,"Battery Defect",
--S84&lt;=69,"Battery D",
--S84&lt;=80,"Battery C",
--S84&gt;80,""
),"")</f>
        <v/>
      </c>
      <c r="V84" s="51" t="str" cm="1">
        <f t="array" ref="V84:AC84">IFERROR(IF(_xlfn.XLOOKUP(B84,Input!J:J,Input!N:U)=0,"",
          _xlfn.XLOOKUP(B84,Input!J:J,Input!N:U)),"")</f>
        <v/>
      </c>
      <c r="W84" s="51" t="str">
        <v/>
      </c>
      <c r="X84" s="51" t="str">
        <v/>
      </c>
      <c r="Y84" s="51" t="str">
        <v/>
      </c>
      <c r="Z84" s="51" t="str">
        <v/>
      </c>
      <c r="AA84" s="51" t="str">
        <v/>
      </c>
      <c r="AB84" s="51" t="str">
        <v/>
      </c>
      <c r="AC84" s="51" t="str">
        <v/>
      </c>
      <c r="AD84" s="32" t="str">
        <f t="shared" si="3"/>
        <v/>
      </c>
      <c r="AE84" s="32" t="str">
        <f>_xlfn.XLOOKUP(B:B,Disk_Pivot!G:G,Disk_Pivot!I:I)</f>
        <v>Yes x2</v>
      </c>
      <c r="AF84" s="32" t="str">
        <f>_xlfn.XLOOKUP(B84,Disk_Pivot!G:G,Disk_Pivot!N:N)</f>
        <v>Pass, Fail</v>
      </c>
      <c r="AG84" s="32"/>
      <c r="AH84" s="32"/>
      <c r="AI84" s="32"/>
      <c r="AJ84" s="32"/>
      <c r="AK84" s="32"/>
      <c r="AL84" s="32"/>
    </row>
    <row r="85" spans="1:38">
      <c r="A85" s="32" t="str">
        <f>_xlfn.TEXTJOIN("",TRUE,_xlfn.XLOOKUP(B85,Input!J:J,Input!G:G,"",0,1),_xlfn.XLOOKUP(B85,Input!J:J,Input!H:H,"",0,1))</f>
        <v/>
      </c>
      <c r="B85" s="32"/>
      <c r="C85" s="51">
        <f>_xlfn.XLOOKUP(B85,Input!J:J,Input!F:F)</f>
        <v>0</v>
      </c>
      <c r="D85" s="32">
        <f>_xlfn.XLOOKUP(C85,Models!H:H,Models!G:G,C85)</f>
        <v>0</v>
      </c>
      <c r="E85" s="32">
        <f>_xlfn.XLOOKUP(B85,Input!J:J,Input!E:E)</f>
        <v>0</v>
      </c>
      <c r="F85" s="32">
        <f>IF(E85="LENOVO",_xlfn.XLOOKUP(B85,Input!J:J,Input!K:K),_xlfn.XLOOKUP(B85,Input!J:J,Input!L:L))</f>
        <v>0</v>
      </c>
      <c r="G85" s="32"/>
      <c r="H85" s="32"/>
      <c r="I85" s="32">
        <f>_xlfn.XLOOKUP(B85,CPU_Formula!A:A,CPU_Formula!I:I)</f>
        <v>0</v>
      </c>
      <c r="J85" s="51" t="e">
        <f>INDEX(Input!$D$2:$AC$500,
       MATCH(B85, Input!$J$2:$J$500, 0),
       MATCH("Total Memory", Input!$D$1:$AC$1, 0))</f>
        <v>#N/A</v>
      </c>
      <c r="K85" s="51" t="e">
        <f>INDEX(Input!$D$2:$AC$500,
       MATCH(B85, Input!$J$2:$J$500, 0),
       MATCH("Memory Type", Input!$D$1:$AC$1, 0))</f>
        <v>#N/A</v>
      </c>
      <c r="L85" s="51" t="str" cm="1">
        <f t="array" ref="L85">IFERROR(_xlfn.FILTERXML("&lt;t&gt;&lt;s&gt;" &amp; SUBSTITUTE(K85," / ","&lt;/s&gt;&lt;s&gt;") &amp; "&lt;/s&gt;&lt;/t&gt;","(//s[contains(.,'DDR')])[1]"),"")</f>
        <v/>
      </c>
      <c r="M85" s="32" t="e">
        <f t="shared" si="5"/>
        <v>#N/A</v>
      </c>
      <c r="N85" s="51" t="e">
        <f>INDEX(Input!$D$2:$AC$500,
       MATCH(B85, Input!$J$2:$J$500, 0),
       MATCH("Disk Interface Type", Input!$D$1:$AC$1, 0))</f>
        <v>#N/A</v>
      </c>
      <c r="O85" s="51" t="str" cm="1">
        <f t="array" ref="O85">IFERROR(_xlfn.TEXTJOIN(", ", TRUE, _xlfn._xlws.FILTER(
    INDEX(Input!$D$2:$AC$500,,MATCH("Disk Capacity",Input!$D$1:$AC$1,0)),
    Input!$J$2:$J$500=B85
)), "")</f>
        <v/>
      </c>
      <c r="P85" s="32" t="e">
        <f t="shared" si="4"/>
        <v>#N/A</v>
      </c>
      <c r="Q85" s="51" t="e">
        <f>_xlfn.LET(_xlpm.Result,INDEX(Input!$D$2:$AC$500,
       MATCH(B85, Input!$J$2:$J$500, 0),
       MATCH("Capacity", Input!$D$1:$AC$1, 0)),IF(_xlpm.Result="","",_xlpm.Result))</f>
        <v>#N/A</v>
      </c>
      <c r="R85" s="51" t="e" cm="1">
        <f t="array" ref="R85">_xlfn.TEXTSPLIT(Q85," / ", ,TRUE,0,)</f>
        <v>#N/A</v>
      </c>
      <c r="S85" s="51"/>
      <c r="T85" s="51" t="str" cm="1">
        <f t="array" ref="T85">IFERROR(_xlfn.IFS(
R85="","",
--R85&lt;55,"Battery Defect",
--R85&lt;=69,"Battery D",
--R85&lt;=80,"Battery C",
--R85&gt;80,""
),"")</f>
        <v/>
      </c>
      <c r="U85" s="51" t="str" cm="1">
        <f t="array" ref="U85">IFERROR(_xlfn.IFS(
S85="","",
--S85&lt;55,"Battery Defect",
--S85&lt;=69,"Battery D",
--S85&lt;=80,"Battery C",
--S85&gt;80,""
),"")</f>
        <v/>
      </c>
      <c r="V85" s="51" t="str" cm="1">
        <f t="array" ref="V85:AC85">IFERROR(IF(_xlfn.XLOOKUP(B85,Input!J:J,Input!N:U)=0,"",
          _xlfn.XLOOKUP(B85,Input!J:J,Input!N:U)),"")</f>
        <v/>
      </c>
      <c r="W85" s="51" t="str">
        <v/>
      </c>
      <c r="X85" s="51" t="str">
        <v/>
      </c>
      <c r="Y85" s="51" t="str">
        <v/>
      </c>
      <c r="Z85" s="51" t="str">
        <v/>
      </c>
      <c r="AA85" s="51" t="str">
        <v/>
      </c>
      <c r="AB85" s="51" t="str">
        <v/>
      </c>
      <c r="AC85" s="51" t="str">
        <v/>
      </c>
      <c r="AD85" s="32" t="str">
        <f t="shared" si="3"/>
        <v/>
      </c>
      <c r="AE85" s="32" t="str">
        <f>_xlfn.XLOOKUP(B:B,Disk_Pivot!G:G,Disk_Pivot!I:I)</f>
        <v>Yes x2</v>
      </c>
      <c r="AF85" s="32" t="str">
        <f>_xlfn.XLOOKUP(B85,Disk_Pivot!G:G,Disk_Pivot!N:N)</f>
        <v>Pass, Fail</v>
      </c>
      <c r="AG85" s="32"/>
      <c r="AH85" s="32"/>
      <c r="AI85" s="32"/>
      <c r="AJ85" s="32"/>
      <c r="AK85" s="32"/>
      <c r="AL85" s="32"/>
    </row>
    <row r="86" spans="1:38">
      <c r="A86" s="32" t="str">
        <f>_xlfn.TEXTJOIN("",TRUE,_xlfn.XLOOKUP(B86,Input!J:J,Input!G:G,"",0,1),_xlfn.XLOOKUP(B86,Input!J:J,Input!H:H,"",0,1))</f>
        <v/>
      </c>
      <c r="B86" s="32"/>
      <c r="C86" s="51">
        <f>_xlfn.XLOOKUP(B86,Input!J:J,Input!F:F)</f>
        <v>0</v>
      </c>
      <c r="D86" s="32">
        <f>_xlfn.XLOOKUP(C86,Models!H:H,Models!G:G,C86)</f>
        <v>0</v>
      </c>
      <c r="E86" s="32">
        <f>_xlfn.XLOOKUP(B86,Input!J:J,Input!E:E)</f>
        <v>0</v>
      </c>
      <c r="F86" s="32">
        <f>IF(E86="LENOVO",_xlfn.XLOOKUP(B86,Input!J:J,Input!K:K),_xlfn.XLOOKUP(B86,Input!J:J,Input!L:L))</f>
        <v>0</v>
      </c>
      <c r="G86" s="32"/>
      <c r="H86" s="32"/>
      <c r="I86" s="32">
        <f>_xlfn.XLOOKUP(B86,CPU_Formula!A:A,CPU_Formula!I:I)</f>
        <v>0</v>
      </c>
      <c r="J86" s="51" t="e">
        <f>INDEX(Input!$D$2:$AC$500,
       MATCH(B86, Input!$J$2:$J$500, 0),
       MATCH("Total Memory", Input!$D$1:$AC$1, 0))</f>
        <v>#N/A</v>
      </c>
      <c r="K86" s="51" t="e">
        <f>INDEX(Input!$D$2:$AC$500,
       MATCH(B86, Input!$J$2:$J$500, 0),
       MATCH("Memory Type", Input!$D$1:$AC$1, 0))</f>
        <v>#N/A</v>
      </c>
      <c r="L86" s="51" t="str" cm="1">
        <f t="array" ref="L86">IFERROR(_xlfn.FILTERXML("&lt;t&gt;&lt;s&gt;" &amp; SUBSTITUTE(K86," / ","&lt;/s&gt;&lt;s&gt;") &amp; "&lt;/s&gt;&lt;/t&gt;","(//s[contains(.,'DDR')])[1]"),"")</f>
        <v/>
      </c>
      <c r="M86" s="32" t="e">
        <f t="shared" si="5"/>
        <v>#N/A</v>
      </c>
      <c r="N86" s="51" t="e">
        <f>INDEX(Input!$D$2:$AC$500,
       MATCH(B86, Input!$J$2:$J$500, 0),
       MATCH("Disk Interface Type", Input!$D$1:$AC$1, 0))</f>
        <v>#N/A</v>
      </c>
      <c r="O86" s="51" t="str" cm="1">
        <f t="array" ref="O86">IFERROR(_xlfn.TEXTJOIN(", ", TRUE, _xlfn._xlws.FILTER(
    INDEX(Input!$D$2:$AC$500,,MATCH("Disk Capacity",Input!$D$1:$AC$1,0)),
    Input!$J$2:$J$500=B86
)), "")</f>
        <v/>
      </c>
      <c r="P86" s="32" t="e">
        <f t="shared" si="4"/>
        <v>#N/A</v>
      </c>
      <c r="Q86" s="51" t="e">
        <f>_xlfn.LET(_xlpm.Result,INDEX(Input!$D$2:$AC$500,
       MATCH(B86, Input!$J$2:$J$500, 0),
       MATCH("Capacity", Input!$D$1:$AC$1, 0)),IF(_xlpm.Result="","",_xlpm.Result))</f>
        <v>#N/A</v>
      </c>
      <c r="R86" s="51" t="e" cm="1">
        <f t="array" ref="R86">_xlfn.TEXTSPLIT(Q86," / ", ,TRUE,0,)</f>
        <v>#N/A</v>
      </c>
      <c r="S86" s="51"/>
      <c r="T86" s="51" t="str" cm="1">
        <f t="array" ref="T86">IFERROR(_xlfn.IFS(
R86="","",
--R86&lt;55,"Battery Defect",
--R86&lt;=69,"Battery D",
--R86&lt;=80,"Battery C",
--R86&gt;80,""
),"")</f>
        <v/>
      </c>
      <c r="U86" s="51" t="str" cm="1">
        <f t="array" ref="U86">IFERROR(_xlfn.IFS(
S86="","",
--S86&lt;55,"Battery Defect",
--S86&lt;=69,"Battery D",
--S86&lt;=80,"Battery C",
--S86&gt;80,""
),"")</f>
        <v/>
      </c>
      <c r="V86" s="51" t="str" cm="1">
        <f t="array" ref="V86:AC86">IFERROR(IF(_xlfn.XLOOKUP(B86,Input!J:J,Input!N:U)=0,"",
          _xlfn.XLOOKUP(B86,Input!J:J,Input!N:U)),"")</f>
        <v/>
      </c>
      <c r="W86" s="51" t="str">
        <v/>
      </c>
      <c r="X86" s="51" t="str">
        <v/>
      </c>
      <c r="Y86" s="51" t="str">
        <v/>
      </c>
      <c r="Z86" s="51" t="str">
        <v/>
      </c>
      <c r="AA86" s="51" t="str">
        <v/>
      </c>
      <c r="AB86" s="51" t="str">
        <v/>
      </c>
      <c r="AC86" s="51" t="str">
        <v/>
      </c>
      <c r="AD86" s="32" t="str">
        <f t="shared" si="3"/>
        <v/>
      </c>
      <c r="AE86" s="32" t="str">
        <f>_xlfn.XLOOKUP(B:B,Disk_Pivot!G:G,Disk_Pivot!I:I)</f>
        <v>Yes x2</v>
      </c>
      <c r="AF86" s="32" t="str">
        <f>_xlfn.XLOOKUP(B86,Disk_Pivot!G:G,Disk_Pivot!N:N)</f>
        <v>Pass, Fail</v>
      </c>
      <c r="AG86" s="32"/>
      <c r="AH86" s="32"/>
      <c r="AI86" s="32"/>
      <c r="AJ86" s="32"/>
      <c r="AK86" s="32"/>
      <c r="AL86" s="32"/>
    </row>
    <row r="87" spans="1:38">
      <c r="A87" s="32" t="str">
        <f>_xlfn.TEXTJOIN("",TRUE,_xlfn.XLOOKUP(B87,Input!J:J,Input!G:G,"",0,1),_xlfn.XLOOKUP(B87,Input!J:J,Input!H:H,"",0,1))</f>
        <v/>
      </c>
      <c r="B87" s="32"/>
      <c r="C87" s="51">
        <f>_xlfn.XLOOKUP(B87,Input!J:J,Input!F:F)</f>
        <v>0</v>
      </c>
      <c r="D87" s="32">
        <f>_xlfn.XLOOKUP(C87,Models!H:H,Models!G:G,C87)</f>
        <v>0</v>
      </c>
      <c r="E87" s="32">
        <f>_xlfn.XLOOKUP(B87,Input!J:J,Input!E:E)</f>
        <v>0</v>
      </c>
      <c r="F87" s="32">
        <f>IF(E87="LENOVO",_xlfn.XLOOKUP(B87,Input!J:J,Input!K:K),_xlfn.XLOOKUP(B87,Input!J:J,Input!L:L))</f>
        <v>0</v>
      </c>
      <c r="G87" s="32"/>
      <c r="H87" s="32"/>
      <c r="I87" s="32">
        <f>_xlfn.XLOOKUP(B87,CPU_Formula!A:A,CPU_Formula!I:I)</f>
        <v>0</v>
      </c>
      <c r="J87" s="51" t="e">
        <f>INDEX(Input!$D$2:$AC$500,
       MATCH(B87, Input!$J$2:$J$500, 0),
       MATCH("Total Memory", Input!$D$1:$AC$1, 0))</f>
        <v>#N/A</v>
      </c>
      <c r="K87" s="51" t="e">
        <f>INDEX(Input!$D$2:$AC$500,
       MATCH(B87, Input!$J$2:$J$500, 0),
       MATCH("Memory Type", Input!$D$1:$AC$1, 0))</f>
        <v>#N/A</v>
      </c>
      <c r="L87" s="51" t="str" cm="1">
        <f t="array" ref="L87">IFERROR(_xlfn.FILTERXML("&lt;t&gt;&lt;s&gt;" &amp; SUBSTITUTE(K87," / ","&lt;/s&gt;&lt;s&gt;") &amp; "&lt;/s&gt;&lt;/t&gt;","(//s[contains(.,'DDR')])[1]"),"")</f>
        <v/>
      </c>
      <c r="M87" s="32" t="e">
        <f t="shared" si="5"/>
        <v>#N/A</v>
      </c>
      <c r="N87" s="51" t="e">
        <f>INDEX(Input!$D$2:$AC$500,
       MATCH(B87, Input!$J$2:$J$500, 0),
       MATCH("Disk Interface Type", Input!$D$1:$AC$1, 0))</f>
        <v>#N/A</v>
      </c>
      <c r="O87" s="51" t="str" cm="1">
        <f t="array" ref="O87">IFERROR(_xlfn.TEXTJOIN(", ", TRUE, _xlfn._xlws.FILTER(
    INDEX(Input!$D$2:$AC$500,,MATCH("Disk Capacity",Input!$D$1:$AC$1,0)),
    Input!$J$2:$J$500=B87
)), "")</f>
        <v/>
      </c>
      <c r="P87" s="32" t="e">
        <f t="shared" si="4"/>
        <v>#N/A</v>
      </c>
      <c r="Q87" s="51" t="e">
        <f>_xlfn.LET(_xlpm.Result,INDEX(Input!$D$2:$AC$500,
       MATCH(B87, Input!$J$2:$J$500, 0),
       MATCH("Capacity", Input!$D$1:$AC$1, 0)),IF(_xlpm.Result="","",_xlpm.Result))</f>
        <v>#N/A</v>
      </c>
      <c r="R87" s="51" t="e" cm="1">
        <f t="array" ref="R87">_xlfn.TEXTSPLIT(Q87," / ", ,TRUE,0,)</f>
        <v>#N/A</v>
      </c>
      <c r="S87" s="51"/>
      <c r="T87" s="51" t="str" cm="1">
        <f t="array" ref="T87">IFERROR(_xlfn.IFS(
R87="","",
--R87&lt;55,"Battery Defect",
--R87&lt;=69,"Battery D",
--R87&lt;=80,"Battery C",
--R87&gt;80,""
),"")</f>
        <v/>
      </c>
      <c r="U87" s="51" t="str" cm="1">
        <f t="array" ref="U87">IFERROR(_xlfn.IFS(
S87="","",
--S87&lt;55,"Battery Defect",
--S87&lt;=69,"Battery D",
--S87&lt;=80,"Battery C",
--S87&gt;80,""
),"")</f>
        <v/>
      </c>
      <c r="V87" s="51" t="str" cm="1">
        <f t="array" ref="V87:AC87">IFERROR(IF(_xlfn.XLOOKUP(B87,Input!J:J,Input!N:U)=0,"",
          _xlfn.XLOOKUP(B87,Input!J:J,Input!N:U)),"")</f>
        <v/>
      </c>
      <c r="W87" s="51" t="str">
        <v/>
      </c>
      <c r="X87" s="51" t="str">
        <v/>
      </c>
      <c r="Y87" s="51" t="str">
        <v/>
      </c>
      <c r="Z87" s="51" t="str">
        <v/>
      </c>
      <c r="AA87" s="51" t="str">
        <v/>
      </c>
      <c r="AB87" s="51" t="str">
        <v/>
      </c>
      <c r="AC87" s="51" t="str">
        <v/>
      </c>
      <c r="AD87" s="32" t="str">
        <f t="shared" si="3"/>
        <v/>
      </c>
      <c r="AE87" s="32" t="str">
        <f>_xlfn.XLOOKUP(B:B,Disk_Pivot!G:G,Disk_Pivot!I:I)</f>
        <v>Yes x2</v>
      </c>
      <c r="AF87" s="32" t="str">
        <f>_xlfn.XLOOKUP(B87,Disk_Pivot!G:G,Disk_Pivot!N:N)</f>
        <v>Pass, Fail</v>
      </c>
      <c r="AG87" s="32"/>
      <c r="AH87" s="32"/>
      <c r="AI87" s="32"/>
      <c r="AJ87" s="32"/>
      <c r="AK87" s="32"/>
      <c r="AL87" s="32"/>
    </row>
    <row r="88" spans="1:38">
      <c r="A88" s="32" t="str">
        <f>_xlfn.TEXTJOIN("",TRUE,_xlfn.XLOOKUP(B88,Input!J:J,Input!G:G,"",0,1),_xlfn.XLOOKUP(B88,Input!J:J,Input!H:H,"",0,1))</f>
        <v/>
      </c>
      <c r="B88" s="32"/>
      <c r="C88" s="51">
        <f>_xlfn.XLOOKUP(B88,Input!J:J,Input!F:F)</f>
        <v>0</v>
      </c>
      <c r="D88" s="32">
        <f>_xlfn.XLOOKUP(C88,Models!H:H,Models!G:G,C88)</f>
        <v>0</v>
      </c>
      <c r="E88" s="32">
        <f>_xlfn.XLOOKUP(B88,Input!J:J,Input!E:E)</f>
        <v>0</v>
      </c>
      <c r="F88" s="32">
        <f>IF(E88="LENOVO",_xlfn.XLOOKUP(B88,Input!J:J,Input!K:K),_xlfn.XLOOKUP(B88,Input!J:J,Input!L:L))</f>
        <v>0</v>
      </c>
      <c r="G88" s="32"/>
      <c r="H88" s="32"/>
      <c r="I88" s="32">
        <f>_xlfn.XLOOKUP(B88,CPU_Formula!A:A,CPU_Formula!I:I)</f>
        <v>0</v>
      </c>
      <c r="J88" s="51" t="e">
        <f>INDEX(Input!$D$2:$AC$500,
       MATCH(B88, Input!$J$2:$J$500, 0),
       MATCH("Total Memory", Input!$D$1:$AC$1, 0))</f>
        <v>#N/A</v>
      </c>
      <c r="K88" s="51" t="e">
        <f>INDEX(Input!$D$2:$AC$500,
       MATCH(B88, Input!$J$2:$J$500, 0),
       MATCH("Memory Type", Input!$D$1:$AC$1, 0))</f>
        <v>#N/A</v>
      </c>
      <c r="L88" s="51" t="str" cm="1">
        <f t="array" ref="L88">IFERROR(_xlfn.FILTERXML("&lt;t&gt;&lt;s&gt;" &amp; SUBSTITUTE(K88," / ","&lt;/s&gt;&lt;s&gt;") &amp; "&lt;/s&gt;&lt;/t&gt;","(//s[contains(.,'DDR')])[1]"),"")</f>
        <v/>
      </c>
      <c r="M88" s="32" t="e">
        <f t="shared" si="5"/>
        <v>#N/A</v>
      </c>
      <c r="N88" s="51" t="e">
        <f>INDEX(Input!$D$2:$AC$500,
       MATCH(B88, Input!$J$2:$J$500, 0),
       MATCH("Disk Interface Type", Input!$D$1:$AC$1, 0))</f>
        <v>#N/A</v>
      </c>
      <c r="O88" s="51" t="str" cm="1">
        <f t="array" ref="O88">IFERROR(_xlfn.TEXTJOIN(", ", TRUE, _xlfn._xlws.FILTER(
    INDEX(Input!$D$2:$AC$500,,MATCH("Disk Capacity",Input!$D$1:$AC$1,0)),
    Input!$J$2:$J$500=B88
)), "")</f>
        <v/>
      </c>
      <c r="P88" s="32" t="e">
        <f t="shared" si="4"/>
        <v>#N/A</v>
      </c>
      <c r="Q88" s="51" t="e">
        <f>_xlfn.LET(_xlpm.Result,INDEX(Input!$D$2:$AC$500,
       MATCH(B88, Input!$J$2:$J$500, 0),
       MATCH("Capacity", Input!$D$1:$AC$1, 0)),IF(_xlpm.Result="","",_xlpm.Result))</f>
        <v>#N/A</v>
      </c>
      <c r="R88" s="51" t="e" cm="1">
        <f t="array" ref="R88">_xlfn.TEXTSPLIT(Q88," / ", ,TRUE,0,)</f>
        <v>#N/A</v>
      </c>
      <c r="S88" s="51"/>
      <c r="T88" s="51" t="str" cm="1">
        <f t="array" ref="T88">IFERROR(_xlfn.IFS(
R88="","",
--R88&lt;55,"Battery Defect",
--R88&lt;=69,"Battery D",
--R88&lt;=80,"Battery C",
--R88&gt;80,""
),"")</f>
        <v/>
      </c>
      <c r="U88" s="51" t="str" cm="1">
        <f t="array" ref="U88">IFERROR(_xlfn.IFS(
S88="","",
--S88&lt;55,"Battery Defect",
--S88&lt;=69,"Battery D",
--S88&lt;=80,"Battery C",
--S88&gt;80,""
),"")</f>
        <v/>
      </c>
      <c r="V88" s="51" t="str" cm="1">
        <f t="array" ref="V88:AC88">IFERROR(IF(_xlfn.XLOOKUP(B88,Input!J:J,Input!N:U)=0,"",
          _xlfn.XLOOKUP(B88,Input!J:J,Input!N:U)),"")</f>
        <v/>
      </c>
      <c r="W88" s="51" t="str">
        <v/>
      </c>
      <c r="X88" s="51" t="str">
        <v/>
      </c>
      <c r="Y88" s="51" t="str">
        <v/>
      </c>
      <c r="Z88" s="51" t="str">
        <v/>
      </c>
      <c r="AA88" s="51" t="str">
        <v/>
      </c>
      <c r="AB88" s="51" t="str">
        <v/>
      </c>
      <c r="AC88" s="51" t="str">
        <v/>
      </c>
      <c r="AD88" s="32" t="str">
        <f t="shared" si="3"/>
        <v/>
      </c>
      <c r="AE88" s="32" t="str">
        <f>_xlfn.XLOOKUP(B:B,Disk_Pivot!G:G,Disk_Pivot!I:I)</f>
        <v>Yes x2</v>
      </c>
      <c r="AF88" s="32" t="str">
        <f>_xlfn.XLOOKUP(B88,Disk_Pivot!G:G,Disk_Pivot!N:N)</f>
        <v>Pass, Fail</v>
      </c>
      <c r="AG88" s="32"/>
      <c r="AH88" s="32"/>
      <c r="AI88" s="32"/>
      <c r="AJ88" s="32"/>
      <c r="AK88" s="32"/>
      <c r="AL88" s="32"/>
    </row>
    <row r="89" spans="1:38">
      <c r="A89" s="32" t="str">
        <f>_xlfn.TEXTJOIN("",TRUE,_xlfn.XLOOKUP(B89,Input!J:J,Input!G:G,"",0,1),_xlfn.XLOOKUP(B89,Input!J:J,Input!H:H,"",0,1))</f>
        <v/>
      </c>
      <c r="B89" s="32"/>
      <c r="C89" s="51">
        <f>_xlfn.XLOOKUP(B89,Input!J:J,Input!F:F)</f>
        <v>0</v>
      </c>
      <c r="D89" s="32">
        <f>_xlfn.XLOOKUP(C89,Models!H:H,Models!G:G,C89)</f>
        <v>0</v>
      </c>
      <c r="E89" s="32">
        <f>_xlfn.XLOOKUP(B89,Input!J:J,Input!E:E)</f>
        <v>0</v>
      </c>
      <c r="F89" s="32">
        <f>IF(E89="LENOVO",_xlfn.XLOOKUP(B89,Input!J:J,Input!K:K),_xlfn.XLOOKUP(B89,Input!J:J,Input!L:L))</f>
        <v>0</v>
      </c>
      <c r="G89" s="32"/>
      <c r="H89" s="32"/>
      <c r="I89" s="32"/>
      <c r="J89" s="51" t="e">
        <f>INDEX(Input!$D$2:$AC$500,
       MATCH(B89, Input!$J$2:$J$500, 0),
       MATCH("Total Memory", Input!$D$1:$AC$1, 0))</f>
        <v>#N/A</v>
      </c>
      <c r="K89" s="51" t="e">
        <f>INDEX(Input!$D$2:$AC$500,
       MATCH(B89, Input!$J$2:$J$500, 0),
       MATCH("Memory Type", Input!$D$1:$AC$1, 0))</f>
        <v>#N/A</v>
      </c>
      <c r="L89" s="51" t="str" cm="1">
        <f t="array" ref="L89">IFERROR(_xlfn.FILTERXML("&lt;t&gt;&lt;s&gt;" &amp; SUBSTITUTE(K89," / ","&lt;/s&gt;&lt;s&gt;") &amp; "&lt;/s&gt;&lt;/t&gt;","(//s[contains(.,'DDR')])[1]"),"")</f>
        <v/>
      </c>
      <c r="M89" s="32" t="e">
        <f t="shared" si="5"/>
        <v>#N/A</v>
      </c>
      <c r="N89" s="51" t="e">
        <f>INDEX(Input!$D$2:$AC$500,
       MATCH(B89, Input!$J$2:$J$500, 0),
       MATCH("Disk Interface Type", Input!$D$1:$AC$1, 0))</f>
        <v>#N/A</v>
      </c>
      <c r="O89" s="51" t="str" cm="1">
        <f t="array" ref="O89">IFERROR(_xlfn.TEXTJOIN(", ", TRUE, _xlfn._xlws.FILTER(
    INDEX(Input!$D$2:$AC$500,,MATCH("Disk Capacity",Input!$D$1:$AC$1,0)),
    Input!$J$2:$J$500=B89
)), "")</f>
        <v/>
      </c>
      <c r="P89" s="32" t="e">
        <f t="shared" si="4"/>
        <v>#N/A</v>
      </c>
      <c r="Q89" s="51" t="e">
        <f>_xlfn.LET(_xlpm.Result,INDEX(Input!$D$2:$AC$500,
       MATCH(B89, Input!$J$2:$J$500, 0),
       MATCH("Capacity", Input!$D$1:$AC$1, 0)),IF(_xlpm.Result="","",_xlpm.Result))</f>
        <v>#N/A</v>
      </c>
      <c r="R89" s="51" t="e" cm="1">
        <f t="array" ref="R89">_xlfn.TEXTSPLIT(Q89," / ", ,TRUE,0,)</f>
        <v>#N/A</v>
      </c>
      <c r="S89" s="51"/>
      <c r="T89" s="51" t="str" cm="1">
        <f t="array" ref="T89">IFERROR(_xlfn.IFS(
R89="","",
--R89&lt;55,"Battery Defect",
--R89&lt;=69,"Battery D",
--R89&lt;=80,"Battery C",
--R89&gt;80,""
),"")</f>
        <v/>
      </c>
      <c r="U89" s="51" t="str" cm="1">
        <f t="array" ref="U89">IFERROR(_xlfn.IFS(
S89="","",
--S89&lt;55,"Battery Defect",
--S89&lt;=69,"Battery D",
--S89&lt;=80,"Battery C",
--S89&gt;80,""
),"")</f>
        <v/>
      </c>
      <c r="V89" s="51" t="str" cm="1">
        <f t="array" ref="V89:AC89">IFERROR(IF(_xlfn.XLOOKUP(B89,Input!J:J,Input!N:U)=0,"",
          _xlfn.XLOOKUP(B89,Input!J:J,Input!N:U)),"")</f>
        <v/>
      </c>
      <c r="W89" s="51" t="str">
        <v/>
      </c>
      <c r="X89" s="51" t="str">
        <v/>
      </c>
      <c r="Y89" s="51" t="str">
        <v/>
      </c>
      <c r="Z89" s="51" t="str">
        <v/>
      </c>
      <c r="AA89" s="51" t="str">
        <v/>
      </c>
      <c r="AB89" s="51" t="str">
        <v/>
      </c>
      <c r="AC89" s="51" t="str">
        <v/>
      </c>
      <c r="AD89" s="32" t="str">
        <f t="shared" si="3"/>
        <v/>
      </c>
      <c r="AE89" s="32" t="str">
        <f>_xlfn.XLOOKUP(B:B,Disk_Pivot!G:G,Disk_Pivot!I:I)</f>
        <v>Yes x2</v>
      </c>
      <c r="AF89" s="32" t="str">
        <f>_xlfn.XLOOKUP(B89,Disk_Pivot!G:G,Disk_Pivot!N:N)</f>
        <v>Pass, Fail</v>
      </c>
      <c r="AG89" s="32"/>
      <c r="AH89" s="32"/>
      <c r="AI89" s="32"/>
      <c r="AJ89" s="32"/>
      <c r="AK89" s="32"/>
      <c r="AL89" s="32"/>
    </row>
    <row r="90" spans="1:38">
      <c r="A90" s="32" t="str">
        <f>_xlfn.TEXTJOIN("",TRUE,_xlfn.XLOOKUP(B90,Input!J:J,Input!G:G,"",0,1),_xlfn.XLOOKUP(B90,Input!J:J,Input!H:H,"",0,1))</f>
        <v/>
      </c>
      <c r="B90" s="32"/>
      <c r="C90" s="51">
        <f>_xlfn.XLOOKUP(B90,Input!J:J,Input!F:F)</f>
        <v>0</v>
      </c>
      <c r="D90" s="32">
        <f>_xlfn.XLOOKUP(C90,Models!H:H,Models!G:G,C90)</f>
        <v>0</v>
      </c>
      <c r="E90" s="32">
        <f>_xlfn.XLOOKUP(B90,Input!J:J,Input!E:E)</f>
        <v>0</v>
      </c>
      <c r="F90" s="32">
        <f>IF(E90="LENOVO",_xlfn.XLOOKUP(B90,Input!J:J,Input!K:K),_xlfn.XLOOKUP(B90,Input!J:J,Input!L:L))</f>
        <v>0</v>
      </c>
      <c r="G90" s="32"/>
      <c r="H90" s="32"/>
      <c r="I90" s="32">
        <f>_xlfn.XLOOKUP(B90,CPU_Formula!A:A,CPU_Formula!I:I)</f>
        <v>0</v>
      </c>
      <c r="J90" s="51" t="e">
        <f>INDEX(Input!$D$2:$AC$500,
       MATCH(B90, Input!$J$2:$J$500, 0),
       MATCH("Total Memory", Input!$D$1:$AC$1, 0))</f>
        <v>#N/A</v>
      </c>
      <c r="K90" s="51" t="e">
        <f>INDEX(Input!$D$2:$AC$500,
       MATCH(B90, Input!$J$2:$J$500, 0),
       MATCH("Memory Type", Input!$D$1:$AC$1, 0))</f>
        <v>#N/A</v>
      </c>
      <c r="L90" s="51" t="str" cm="1">
        <f t="array" ref="L90">IFERROR(_xlfn.FILTERXML("&lt;t&gt;&lt;s&gt;" &amp; SUBSTITUTE(K90," / ","&lt;/s&gt;&lt;s&gt;") &amp; "&lt;/s&gt;&lt;/t&gt;","(//s[contains(.,'DDR')])[1]"),"")</f>
        <v/>
      </c>
      <c r="M90" s="32" t="e">
        <f t="shared" si="5"/>
        <v>#N/A</v>
      </c>
      <c r="N90" s="51" t="e">
        <f>INDEX(Input!$D$2:$AC$500,
       MATCH(B90, Input!$J$2:$J$500, 0),
       MATCH("Disk Interface Type", Input!$D$1:$AC$1, 0))</f>
        <v>#N/A</v>
      </c>
      <c r="O90" s="51" t="str" cm="1">
        <f t="array" ref="O90">IFERROR(_xlfn.TEXTJOIN(", ", TRUE, _xlfn._xlws.FILTER(
    INDEX(Input!$D$2:$AC$500,,MATCH("Disk Capacity",Input!$D$1:$AC$1,0)),
    Input!$J$2:$J$500=B90
)), "")</f>
        <v/>
      </c>
      <c r="P90" s="32" t="e">
        <f t="shared" si="4"/>
        <v>#N/A</v>
      </c>
      <c r="Q90" s="51" t="e">
        <f>_xlfn.LET(_xlpm.Result,INDEX(Input!$D$2:$AC$500,
       MATCH(B90, Input!$J$2:$J$500, 0),
       MATCH("Capacity", Input!$D$1:$AC$1, 0)),IF(_xlpm.Result="","",_xlpm.Result))</f>
        <v>#N/A</v>
      </c>
      <c r="R90" s="51" t="e" cm="1">
        <f t="array" ref="R90">_xlfn.TEXTSPLIT(Q90," / ", ,TRUE,0,)</f>
        <v>#N/A</v>
      </c>
      <c r="S90" s="51"/>
      <c r="T90" s="51" t="str" cm="1">
        <f t="array" ref="T90">IFERROR(_xlfn.IFS(
R90="","",
--R90&lt;55,"Battery Defect",
--R90&lt;=69,"Battery D",
--R90&lt;=80,"Battery C",
--R90&gt;80,""
),"")</f>
        <v/>
      </c>
      <c r="U90" s="51" t="str" cm="1">
        <f t="array" ref="U90">IFERROR(_xlfn.IFS(
S90="","",
--S90&lt;55,"Battery Defect",
--S90&lt;=69,"Battery D",
--S90&lt;=80,"Battery C",
--S90&gt;80,""
),"")</f>
        <v/>
      </c>
      <c r="V90" s="51" t="str" cm="1">
        <f t="array" ref="V90:AC90">IFERROR(IF(_xlfn.XLOOKUP(B90,Input!J:J,Input!N:U)=0,"",
          _xlfn.XLOOKUP(B90,Input!J:J,Input!N:U)),"")</f>
        <v/>
      </c>
      <c r="W90" s="51" t="str">
        <v/>
      </c>
      <c r="X90" s="51" t="str">
        <v/>
      </c>
      <c r="Y90" s="51" t="str">
        <v/>
      </c>
      <c r="Z90" s="51" t="str">
        <v/>
      </c>
      <c r="AA90" s="51" t="str">
        <v/>
      </c>
      <c r="AB90" s="51" t="str">
        <v/>
      </c>
      <c r="AC90" s="51" t="str">
        <v/>
      </c>
      <c r="AD90" s="32" t="str">
        <f t="shared" si="3"/>
        <v/>
      </c>
      <c r="AE90" s="32" t="str">
        <f>_xlfn.XLOOKUP(B:B,Disk_Pivot!G:G,Disk_Pivot!I:I)</f>
        <v>Yes x2</v>
      </c>
      <c r="AF90" s="32" t="str">
        <f>_xlfn.XLOOKUP(B90,Disk_Pivot!G:G,Disk_Pivot!N:N)</f>
        <v>Pass, Fail</v>
      </c>
      <c r="AG90" s="32"/>
      <c r="AH90" s="32"/>
      <c r="AI90" s="32"/>
      <c r="AJ90" s="32"/>
      <c r="AK90" s="32"/>
      <c r="AL90" s="32"/>
    </row>
    <row r="91" spans="1:38">
      <c r="A91" s="32" t="str">
        <f>_xlfn.TEXTJOIN("",TRUE,_xlfn.XLOOKUP(B91,Input!J:J,Input!G:G,"",0,1),_xlfn.XLOOKUP(B91,Input!J:J,Input!H:H,"",0,1))</f>
        <v/>
      </c>
      <c r="B91" s="32"/>
      <c r="C91" s="51">
        <f>_xlfn.XLOOKUP(B91,Input!J:J,Input!F:F)</f>
        <v>0</v>
      </c>
      <c r="D91" s="32">
        <f>_xlfn.XLOOKUP(C91,Models!H:H,Models!G:G,C91)</f>
        <v>0</v>
      </c>
      <c r="E91" s="32">
        <f>_xlfn.XLOOKUP(B91,Input!J:J,Input!E:E)</f>
        <v>0</v>
      </c>
      <c r="F91" s="32">
        <f>IF(E91="LENOVO",_xlfn.XLOOKUP(B91,Input!J:J,Input!K:K),_xlfn.XLOOKUP(B91,Input!J:J,Input!L:L))</f>
        <v>0</v>
      </c>
      <c r="G91" s="32"/>
      <c r="H91" s="32"/>
      <c r="I91" s="32">
        <f>_xlfn.XLOOKUP(B91,CPU_Formula!A:A,CPU_Formula!I:I)</f>
        <v>0</v>
      </c>
      <c r="J91" s="51" t="e">
        <f>INDEX(Input!$D$2:$AC$500,
       MATCH(B91, Input!$J$2:$J$500, 0),
       MATCH("Total Memory", Input!$D$1:$AC$1, 0))</f>
        <v>#N/A</v>
      </c>
      <c r="K91" s="51" t="e">
        <f>INDEX(Input!$D$2:$AC$500,
       MATCH(B91, Input!$J$2:$J$500, 0),
       MATCH("Memory Type", Input!$D$1:$AC$1, 0))</f>
        <v>#N/A</v>
      </c>
      <c r="L91" s="51" t="str" cm="1">
        <f t="array" ref="L91">IFERROR(_xlfn.FILTERXML("&lt;t&gt;&lt;s&gt;" &amp; SUBSTITUTE(K91," / ","&lt;/s&gt;&lt;s&gt;") &amp; "&lt;/s&gt;&lt;/t&gt;","(//s[contains(.,'DDR')])[1]"),"")</f>
        <v/>
      </c>
      <c r="M91" s="32" t="e">
        <f t="shared" si="5"/>
        <v>#N/A</v>
      </c>
      <c r="N91" s="51" t="e">
        <f>INDEX(Input!$D$2:$AC$500,
       MATCH(B91, Input!$J$2:$J$500, 0),
       MATCH("Disk Interface Type", Input!$D$1:$AC$1, 0))</f>
        <v>#N/A</v>
      </c>
      <c r="O91" s="51" t="str" cm="1">
        <f t="array" ref="O91">IFERROR(_xlfn.TEXTJOIN(", ", TRUE, _xlfn._xlws.FILTER(
    INDEX(Input!$D$2:$AC$500,,MATCH("Disk Capacity",Input!$D$1:$AC$1,0)),
    Input!$J$2:$J$500=B91
)), "")</f>
        <v/>
      </c>
      <c r="P91" s="32" t="e">
        <f t="shared" si="4"/>
        <v>#N/A</v>
      </c>
      <c r="Q91" s="51" t="e">
        <f>_xlfn.LET(_xlpm.Result,INDEX(Input!$D$2:$AC$500,
       MATCH(B91, Input!$J$2:$J$500, 0),
       MATCH("Capacity", Input!$D$1:$AC$1, 0)),IF(_xlpm.Result="","",_xlpm.Result))</f>
        <v>#N/A</v>
      </c>
      <c r="R91" s="51" t="e" cm="1">
        <f t="array" ref="R91">_xlfn.TEXTSPLIT(Q91," / ", ,TRUE,0,)</f>
        <v>#N/A</v>
      </c>
      <c r="S91" s="51"/>
      <c r="T91" s="51" t="str" cm="1">
        <f t="array" ref="T91">IFERROR(_xlfn.IFS(
R91="","",
--R91&lt;55,"Battery Defect",
--R91&lt;=69,"Battery D",
--R91&lt;=80,"Battery C",
--R91&gt;80,""
),"")</f>
        <v/>
      </c>
      <c r="U91" s="51" t="str" cm="1">
        <f t="array" ref="U91">IFERROR(_xlfn.IFS(
S91="","",
--S91&lt;55,"Battery Defect",
--S91&lt;=69,"Battery D",
--S91&lt;=80,"Battery C",
--S91&gt;80,""
),"")</f>
        <v/>
      </c>
      <c r="V91" s="51" t="str" cm="1">
        <f t="array" ref="V91:AC91">IFERROR(IF(_xlfn.XLOOKUP(B91,Input!J:J,Input!N:U)=0,"",
          _xlfn.XLOOKUP(B91,Input!J:J,Input!N:U)),"")</f>
        <v/>
      </c>
      <c r="W91" s="51" t="str">
        <v/>
      </c>
      <c r="X91" s="51" t="str">
        <v/>
      </c>
      <c r="Y91" s="51" t="str">
        <v/>
      </c>
      <c r="Z91" s="51" t="str">
        <v/>
      </c>
      <c r="AA91" s="51" t="str">
        <v/>
      </c>
      <c r="AB91" s="51" t="str">
        <v/>
      </c>
      <c r="AC91" s="51" t="str">
        <v/>
      </c>
      <c r="AD91" s="32" t="str">
        <f t="shared" si="3"/>
        <v/>
      </c>
      <c r="AE91" s="32" t="str">
        <f>_xlfn.XLOOKUP(B:B,Disk_Pivot!G:G,Disk_Pivot!I:I)</f>
        <v>Yes x2</v>
      </c>
      <c r="AF91" s="32" t="str">
        <f>_xlfn.XLOOKUP(B91,Disk_Pivot!G:G,Disk_Pivot!N:N)</f>
        <v>Pass, Fail</v>
      </c>
      <c r="AG91" s="32"/>
      <c r="AH91" s="32"/>
      <c r="AI91" s="32"/>
      <c r="AJ91" s="32"/>
      <c r="AK91" s="32"/>
      <c r="AL91" s="32"/>
    </row>
    <row r="92" spans="1:38">
      <c r="A92" s="32" t="str">
        <f>_xlfn.TEXTJOIN("",TRUE,_xlfn.XLOOKUP(B92,Input!J:J,Input!G:G,"",0,1),_xlfn.XLOOKUP(B92,Input!J:J,Input!H:H,"",0,1))</f>
        <v/>
      </c>
      <c r="B92" s="32"/>
      <c r="C92" s="51">
        <f>_xlfn.XLOOKUP(B92,Input!J:J,Input!F:F)</f>
        <v>0</v>
      </c>
      <c r="D92" s="32">
        <f>_xlfn.XLOOKUP(C92,Models!H:H,Models!G:G,C92)</f>
        <v>0</v>
      </c>
      <c r="E92" s="32">
        <f>_xlfn.XLOOKUP(B92,Input!J:J,Input!E:E)</f>
        <v>0</v>
      </c>
      <c r="F92" s="32">
        <f>IF(E92="LENOVO",_xlfn.XLOOKUP(B92,Input!J:J,Input!K:K),_xlfn.XLOOKUP(B92,Input!J:J,Input!L:L))</f>
        <v>0</v>
      </c>
      <c r="G92" s="32"/>
      <c r="H92" s="32"/>
      <c r="I92" s="32">
        <f>_xlfn.XLOOKUP(B92,CPU_Formula!A:A,CPU_Formula!I:I)</f>
        <v>0</v>
      </c>
      <c r="J92" s="51" t="e">
        <f>INDEX(Input!$D$2:$AC$500,
       MATCH(B92, Input!$J$2:$J$500, 0),
       MATCH("Total Memory", Input!$D$1:$AC$1, 0))</f>
        <v>#N/A</v>
      </c>
      <c r="K92" s="51" t="e">
        <f>INDEX(Input!$D$2:$AC$500,
       MATCH(B92, Input!$J$2:$J$500, 0),
       MATCH("Memory Type", Input!$D$1:$AC$1, 0))</f>
        <v>#N/A</v>
      </c>
      <c r="L92" s="51" t="str" cm="1">
        <f t="array" ref="L92">IFERROR(_xlfn.FILTERXML("&lt;t&gt;&lt;s&gt;" &amp; SUBSTITUTE(K92," / ","&lt;/s&gt;&lt;s&gt;") &amp; "&lt;/s&gt;&lt;/t&gt;","(//s[contains(.,'DDR')])[1]"),"")</f>
        <v/>
      </c>
      <c r="M92" s="32" t="e">
        <f t="shared" si="5"/>
        <v>#N/A</v>
      </c>
      <c r="N92" s="51" t="e">
        <f>INDEX(Input!$D$2:$AC$500,
       MATCH(B92, Input!$J$2:$J$500, 0),
       MATCH("Disk Interface Type", Input!$D$1:$AC$1, 0))</f>
        <v>#N/A</v>
      </c>
      <c r="O92" s="51" t="str" cm="1">
        <f t="array" ref="O92">IFERROR(_xlfn.TEXTJOIN(", ", TRUE, _xlfn._xlws.FILTER(
    INDEX(Input!$D$2:$AC$500,,MATCH("Disk Capacity",Input!$D$1:$AC$1,0)),
    Input!$J$2:$J$500=B92
)), "")</f>
        <v/>
      </c>
      <c r="P92" s="32" t="e">
        <f t="shared" si="4"/>
        <v>#N/A</v>
      </c>
      <c r="Q92" s="51" t="e">
        <f>_xlfn.LET(_xlpm.Result,INDEX(Input!$D$2:$AC$500,
       MATCH(B92, Input!$J$2:$J$500, 0),
       MATCH("Capacity", Input!$D$1:$AC$1, 0)),IF(_xlpm.Result="","",_xlpm.Result))</f>
        <v>#N/A</v>
      </c>
      <c r="R92" s="51" t="e" cm="1">
        <f t="array" ref="R92">_xlfn.TEXTSPLIT(Q92," / ", ,TRUE,0,)</f>
        <v>#N/A</v>
      </c>
      <c r="S92" s="51"/>
      <c r="T92" s="51" t="str" cm="1">
        <f t="array" ref="T92">IFERROR(_xlfn.IFS(
R92="","",
--R92&lt;55,"Battery Defect",
--R92&lt;=69,"Battery D",
--R92&lt;=80,"Battery C",
--R92&gt;80,""
),"")</f>
        <v/>
      </c>
      <c r="U92" s="51" t="str" cm="1">
        <f t="array" ref="U92">IFERROR(_xlfn.IFS(
S92="","",
--S92&lt;55,"Battery Defect",
--S92&lt;=69,"Battery D",
--S92&lt;=80,"Battery C",
--S92&gt;80,""
),"")</f>
        <v/>
      </c>
      <c r="V92" s="51" t="str" cm="1">
        <f t="array" ref="V92:AC92">IFERROR(IF(_xlfn.XLOOKUP(B92,Input!J:J,Input!N:U)=0,"",
          _xlfn.XLOOKUP(B92,Input!J:J,Input!N:U)),"")</f>
        <v/>
      </c>
      <c r="W92" s="51" t="str">
        <v/>
      </c>
      <c r="X92" s="51" t="str">
        <v/>
      </c>
      <c r="Y92" s="51" t="str">
        <v/>
      </c>
      <c r="Z92" s="51" t="str">
        <v/>
      </c>
      <c r="AA92" s="51" t="str">
        <v/>
      </c>
      <c r="AB92" s="51" t="str">
        <v/>
      </c>
      <c r="AC92" s="51" t="str">
        <v/>
      </c>
      <c r="AD92" s="32" t="str">
        <f t="shared" si="3"/>
        <v/>
      </c>
      <c r="AE92" s="32" t="str">
        <f>_xlfn.XLOOKUP(B:B,Disk_Pivot!G:G,Disk_Pivot!I:I)</f>
        <v>Yes x2</v>
      </c>
      <c r="AF92" s="32" t="str">
        <f>_xlfn.XLOOKUP(B92,Disk_Pivot!G:G,Disk_Pivot!N:N)</f>
        <v>Pass, Fail</v>
      </c>
      <c r="AG92" s="32"/>
      <c r="AH92" s="32"/>
      <c r="AI92" s="32"/>
      <c r="AJ92" s="32"/>
      <c r="AK92" s="32"/>
      <c r="AL92" s="32"/>
    </row>
    <row r="93" spans="1:38">
      <c r="A93" s="32" t="str">
        <f>_xlfn.TEXTJOIN("",TRUE,_xlfn.XLOOKUP(B93,Input!J:J,Input!G:G,"",0,1),_xlfn.XLOOKUP(B93,Input!J:J,Input!H:H,"",0,1))</f>
        <v/>
      </c>
      <c r="B93" s="32"/>
      <c r="C93" s="51">
        <f>_xlfn.XLOOKUP(B93,Input!J:J,Input!F:F)</f>
        <v>0</v>
      </c>
      <c r="D93" s="32">
        <f>_xlfn.XLOOKUP(C93,Models!H:H,Models!G:G,C93)</f>
        <v>0</v>
      </c>
      <c r="E93" s="32">
        <f>_xlfn.XLOOKUP(B93,Input!J:J,Input!E:E)</f>
        <v>0</v>
      </c>
      <c r="F93" s="32">
        <f>IF(E93="LENOVO",_xlfn.XLOOKUP(B93,Input!J:J,Input!K:K),_xlfn.XLOOKUP(B93,Input!J:J,Input!L:L))</f>
        <v>0</v>
      </c>
      <c r="G93" s="32"/>
      <c r="H93" s="32"/>
      <c r="I93" s="32">
        <f>_xlfn.XLOOKUP(B93,CPU_Formula!A:A,CPU_Formula!I:I)</f>
        <v>0</v>
      </c>
      <c r="J93" s="51" t="e">
        <f>INDEX(Input!$D$2:$AC$500,
       MATCH(B93, Input!$J$2:$J$500, 0),
       MATCH("Total Memory", Input!$D$1:$AC$1, 0))</f>
        <v>#N/A</v>
      </c>
      <c r="K93" s="51" t="e">
        <f>INDEX(Input!$D$2:$AC$500,
       MATCH(B93, Input!$J$2:$J$500, 0),
       MATCH("Memory Type", Input!$D$1:$AC$1, 0))</f>
        <v>#N/A</v>
      </c>
      <c r="L93" s="51" t="str" cm="1">
        <f t="array" ref="L93">IFERROR(_xlfn.FILTERXML("&lt;t&gt;&lt;s&gt;" &amp; SUBSTITUTE(K93," / ","&lt;/s&gt;&lt;s&gt;") &amp; "&lt;/s&gt;&lt;/t&gt;","(//s[contains(.,'DDR')])[1]"),"")</f>
        <v/>
      </c>
      <c r="M93" s="32" t="e">
        <f t="shared" si="5"/>
        <v>#N/A</v>
      </c>
      <c r="N93" s="51" t="e">
        <f>INDEX(Input!$D$2:$AC$500,
       MATCH(B93, Input!$J$2:$J$500, 0),
       MATCH("Disk Interface Type", Input!$D$1:$AC$1, 0))</f>
        <v>#N/A</v>
      </c>
      <c r="O93" s="51" t="str" cm="1">
        <f t="array" ref="O93">IFERROR(_xlfn.TEXTJOIN(", ", TRUE, _xlfn._xlws.FILTER(
    INDEX(Input!$D$2:$AC$500,,MATCH("Disk Capacity",Input!$D$1:$AC$1,0)),
    Input!$J$2:$J$500=B93
)), "")</f>
        <v/>
      </c>
      <c r="P93" s="32" t="e">
        <f t="shared" si="4"/>
        <v>#N/A</v>
      </c>
      <c r="Q93" s="51" t="e">
        <f>_xlfn.LET(_xlpm.Result,INDEX(Input!$D$2:$AC$500,
       MATCH(B93, Input!$J$2:$J$500, 0),
       MATCH("Capacity", Input!$D$1:$AC$1, 0)),IF(_xlpm.Result="","",_xlpm.Result))</f>
        <v>#N/A</v>
      </c>
      <c r="R93" s="51" t="e" cm="1">
        <f t="array" ref="R93">_xlfn.TEXTSPLIT(Q93," / ", ,TRUE,0,)</f>
        <v>#N/A</v>
      </c>
      <c r="S93" s="51"/>
      <c r="T93" s="51" t="str" cm="1">
        <f t="array" ref="T93">IFERROR(_xlfn.IFS(
R93="","",
--R93&lt;55,"Battery Defect",
--R93&lt;=69,"Battery D",
--R93&lt;=80,"Battery C",
--R93&gt;80,""
),"")</f>
        <v/>
      </c>
      <c r="U93" s="51" t="str" cm="1">
        <f t="array" ref="U93">IFERROR(_xlfn.IFS(
S93="","",
--S93&lt;55,"Battery Defect",
--S93&lt;=69,"Battery D",
--S93&lt;=80,"Battery C",
--S93&gt;80,""
),"")</f>
        <v/>
      </c>
      <c r="V93" s="51" t="str" cm="1">
        <f t="array" ref="V93:AC93">IFERROR(IF(_xlfn.XLOOKUP(B93,Input!J:J,Input!N:U)=0,"",
          _xlfn.XLOOKUP(B93,Input!J:J,Input!N:U)),"")</f>
        <v/>
      </c>
      <c r="W93" s="51" t="str">
        <v/>
      </c>
      <c r="X93" s="51" t="str">
        <v/>
      </c>
      <c r="Y93" s="51" t="str">
        <v/>
      </c>
      <c r="Z93" s="51" t="str">
        <v/>
      </c>
      <c r="AA93" s="51" t="str">
        <v/>
      </c>
      <c r="AB93" s="51" t="str">
        <v/>
      </c>
      <c r="AC93" s="51" t="str">
        <v/>
      </c>
      <c r="AD93" s="32" t="str">
        <f t="shared" si="3"/>
        <v/>
      </c>
      <c r="AE93" s="32" t="str">
        <f>_xlfn.XLOOKUP(B:B,Disk_Pivot!G:G,Disk_Pivot!I:I)</f>
        <v>Yes x2</v>
      </c>
      <c r="AF93" s="32" t="str">
        <f>_xlfn.XLOOKUP(B93,Disk_Pivot!G:G,Disk_Pivot!N:N)</f>
        <v>Pass, Fail</v>
      </c>
      <c r="AG93" s="32"/>
      <c r="AH93" s="32"/>
      <c r="AI93" s="32"/>
      <c r="AJ93" s="32"/>
      <c r="AK93" s="32"/>
      <c r="AL93" s="32"/>
    </row>
    <row r="94" spans="1:38">
      <c r="A94" s="32" t="str">
        <f>_xlfn.TEXTJOIN("",TRUE,_xlfn.XLOOKUP(B94,Input!J:J,Input!G:G,"",0,1),_xlfn.XLOOKUP(B94,Input!J:J,Input!H:H,"",0,1))</f>
        <v/>
      </c>
      <c r="B94" s="32"/>
      <c r="C94" s="51">
        <f>_xlfn.XLOOKUP(B94,Input!J:J,Input!F:F)</f>
        <v>0</v>
      </c>
      <c r="D94" s="32">
        <f>_xlfn.XLOOKUP(C94,Models!H:H,Models!G:G,C94)</f>
        <v>0</v>
      </c>
      <c r="E94" s="32">
        <f>_xlfn.XLOOKUP(B94,Input!J:J,Input!E:E)</f>
        <v>0</v>
      </c>
      <c r="F94" s="32">
        <f>IF(E94="LENOVO",_xlfn.XLOOKUP(B94,Input!J:J,Input!K:K),_xlfn.XLOOKUP(B94,Input!J:J,Input!L:L))</f>
        <v>0</v>
      </c>
      <c r="G94" s="32"/>
      <c r="H94" s="32"/>
      <c r="I94" s="32">
        <f>_xlfn.XLOOKUP(B94,CPU_Formula!A:A,CPU_Formula!I:I)</f>
        <v>0</v>
      </c>
      <c r="J94" s="51" t="e">
        <f>INDEX(Input!$D$2:$AC$500,
       MATCH(B94, Input!$J$2:$J$500, 0),
       MATCH("Total Memory", Input!$D$1:$AC$1, 0))</f>
        <v>#N/A</v>
      </c>
      <c r="K94" s="51" t="e">
        <f>INDEX(Input!$D$2:$AC$500,
       MATCH(B94, Input!$J$2:$J$500, 0),
       MATCH("Memory Type", Input!$D$1:$AC$1, 0))</f>
        <v>#N/A</v>
      </c>
      <c r="L94" s="51" t="str" cm="1">
        <f t="array" ref="L94">IFERROR(_xlfn.FILTERXML("&lt;t&gt;&lt;s&gt;" &amp; SUBSTITUTE(K94," / ","&lt;/s&gt;&lt;s&gt;") &amp; "&lt;/s&gt;&lt;/t&gt;","(//s[contains(.,'DDR')])[1]"),"")</f>
        <v/>
      </c>
      <c r="M94" s="32" t="e">
        <f t="shared" si="5"/>
        <v>#N/A</v>
      </c>
      <c r="N94" s="51" t="e">
        <f>INDEX(Input!$D$2:$AC$500,
       MATCH(B94, Input!$J$2:$J$500, 0),
       MATCH("Disk Interface Type", Input!$D$1:$AC$1, 0))</f>
        <v>#N/A</v>
      </c>
      <c r="O94" s="51" t="str" cm="1">
        <f t="array" ref="O94">IFERROR(_xlfn.TEXTJOIN(", ", TRUE, _xlfn._xlws.FILTER(
    INDEX(Input!$D$2:$AC$500,,MATCH("Disk Capacity",Input!$D$1:$AC$1,0)),
    Input!$J$2:$J$500=B94
)), "")</f>
        <v/>
      </c>
      <c r="P94" s="32" t="e">
        <f t="shared" si="4"/>
        <v>#N/A</v>
      </c>
      <c r="Q94" s="51" t="e">
        <f>_xlfn.LET(_xlpm.Result,INDEX(Input!$D$2:$AC$500,
       MATCH(B94, Input!$J$2:$J$500, 0),
       MATCH("Capacity", Input!$D$1:$AC$1, 0)),IF(_xlpm.Result="","",_xlpm.Result))</f>
        <v>#N/A</v>
      </c>
      <c r="R94" s="51" t="e" cm="1">
        <f t="array" ref="R94">_xlfn.TEXTSPLIT(Q94," / ", ,TRUE,0,)</f>
        <v>#N/A</v>
      </c>
      <c r="S94" s="51"/>
      <c r="T94" s="51" t="str" cm="1">
        <f t="array" ref="T94">IFERROR(_xlfn.IFS(
R94="","",
--R94&lt;55,"Battery Defect",
--R94&lt;=69,"Battery D",
--R94&lt;=80,"Battery C",
--R94&gt;80,""
),"")</f>
        <v/>
      </c>
      <c r="U94" s="51" t="str" cm="1">
        <f t="array" ref="U94">IFERROR(_xlfn.IFS(
S94="","",
--S94&lt;55,"Battery Defect",
--S94&lt;=69,"Battery D",
--S94&lt;=80,"Battery C",
--S94&gt;80,""
),"")</f>
        <v/>
      </c>
      <c r="V94" s="51" t="str" cm="1">
        <f t="array" ref="V94:AC94">IFERROR(IF(_xlfn.XLOOKUP(B94,Input!J:J,Input!N:U)=0,"",
          _xlfn.XLOOKUP(B94,Input!J:J,Input!N:U)),"")</f>
        <v/>
      </c>
      <c r="W94" s="51" t="str">
        <v/>
      </c>
      <c r="X94" s="51" t="str">
        <v/>
      </c>
      <c r="Y94" s="51" t="str">
        <v/>
      </c>
      <c r="Z94" s="51" t="str">
        <v/>
      </c>
      <c r="AA94" s="51" t="str">
        <v/>
      </c>
      <c r="AB94" s="51" t="str">
        <v/>
      </c>
      <c r="AC94" s="51" t="str">
        <v/>
      </c>
      <c r="AD94" s="32" t="str">
        <f t="shared" si="3"/>
        <v/>
      </c>
      <c r="AE94" s="32" t="str">
        <f>_xlfn.XLOOKUP(B:B,Disk_Pivot!G:G,Disk_Pivot!I:I)</f>
        <v>Yes x2</v>
      </c>
      <c r="AF94" s="32" t="str">
        <f>_xlfn.XLOOKUP(B94,Disk_Pivot!G:G,Disk_Pivot!N:N)</f>
        <v>Pass, Fail</v>
      </c>
      <c r="AG94" s="32"/>
      <c r="AH94" s="32"/>
      <c r="AI94" s="32"/>
      <c r="AJ94" s="32"/>
      <c r="AK94" s="32"/>
      <c r="AL94" s="32"/>
    </row>
    <row r="95" spans="1:38">
      <c r="A95" s="32" t="str">
        <f>_xlfn.TEXTJOIN("",TRUE,_xlfn.XLOOKUP(B95,Input!J:J,Input!G:G,"",0,1),_xlfn.XLOOKUP(B95,Input!J:J,Input!H:H,"",0,1))</f>
        <v/>
      </c>
      <c r="B95" s="32"/>
      <c r="C95" s="51">
        <f>_xlfn.XLOOKUP(B95,Input!J:J,Input!F:F)</f>
        <v>0</v>
      </c>
      <c r="D95" s="32">
        <f>_xlfn.XLOOKUP(C95,Models!H:H,Models!G:G,C95)</f>
        <v>0</v>
      </c>
      <c r="E95" s="32">
        <f>_xlfn.XLOOKUP(B95,Input!J:J,Input!E:E)</f>
        <v>0</v>
      </c>
      <c r="F95" s="32">
        <f>IF(E95="LENOVO",_xlfn.XLOOKUP(B95,Input!J:J,Input!K:K),_xlfn.XLOOKUP(B95,Input!J:J,Input!L:L))</f>
        <v>0</v>
      </c>
      <c r="G95" s="32"/>
      <c r="H95" s="32"/>
      <c r="I95" s="32">
        <f>_xlfn.XLOOKUP(B95,CPU_Formula!A:A,CPU_Formula!I:I)</f>
        <v>0</v>
      </c>
      <c r="J95" s="51" t="e">
        <f>INDEX(Input!$D$2:$AC$500,
       MATCH(B95, Input!$J$2:$J$500, 0),
       MATCH("Total Memory", Input!$D$1:$AC$1, 0))</f>
        <v>#N/A</v>
      </c>
      <c r="K95" s="51" t="e">
        <f>INDEX(Input!$D$2:$AC$500,
       MATCH(B95, Input!$J$2:$J$500, 0),
       MATCH("Memory Type", Input!$D$1:$AC$1, 0))</f>
        <v>#N/A</v>
      </c>
      <c r="L95" s="51" t="str" cm="1">
        <f t="array" ref="L95">IFERROR(_xlfn.FILTERXML("&lt;t&gt;&lt;s&gt;" &amp; SUBSTITUTE(K95," / ","&lt;/s&gt;&lt;s&gt;") &amp; "&lt;/s&gt;&lt;/t&gt;","(//s[contains(.,'DDR')])[1]"),"")</f>
        <v/>
      </c>
      <c r="M95" s="32" t="e">
        <f t="shared" si="5"/>
        <v>#N/A</v>
      </c>
      <c r="N95" s="51" t="e">
        <f>INDEX(Input!$D$2:$AC$500,
       MATCH(B95, Input!$J$2:$J$500, 0),
       MATCH("Disk Interface Type", Input!$D$1:$AC$1, 0))</f>
        <v>#N/A</v>
      </c>
      <c r="O95" s="51" t="str" cm="1">
        <f t="array" ref="O95">IFERROR(_xlfn.TEXTJOIN(", ", TRUE, _xlfn._xlws.FILTER(
    INDEX(Input!$D$2:$AC$500,,MATCH("Disk Capacity",Input!$D$1:$AC$1,0)),
    Input!$J$2:$J$500=B95
)), "")</f>
        <v/>
      </c>
      <c r="P95" s="32" t="e">
        <f t="shared" si="4"/>
        <v>#N/A</v>
      </c>
      <c r="Q95" s="51" t="e">
        <f>_xlfn.LET(_xlpm.Result,INDEX(Input!$D$2:$AC$500,
       MATCH(B95, Input!$J$2:$J$500, 0),
       MATCH("Capacity", Input!$D$1:$AC$1, 0)),IF(_xlpm.Result="","",_xlpm.Result))</f>
        <v>#N/A</v>
      </c>
      <c r="R95" s="51" t="e" cm="1">
        <f t="array" ref="R95">_xlfn.TEXTSPLIT(Q95," / ", ,TRUE,0,)</f>
        <v>#N/A</v>
      </c>
      <c r="S95" s="51"/>
      <c r="T95" s="51" t="str" cm="1">
        <f t="array" ref="T95">IFERROR(_xlfn.IFS(
R95="","",
--R95&lt;55,"Battery Defect",
--R95&lt;=69,"Battery D",
--R95&lt;=80,"Battery C",
--R95&gt;80,""
),"")</f>
        <v/>
      </c>
      <c r="U95" s="51" t="str" cm="1">
        <f t="array" ref="U95">IFERROR(_xlfn.IFS(
S95="","",
--S95&lt;55,"Battery Defect",
--S95&lt;=69,"Battery D",
--S95&lt;=80,"Battery C",
--S95&gt;80,""
),"")</f>
        <v/>
      </c>
      <c r="V95" s="51" t="str" cm="1">
        <f t="array" ref="V95:AC95">IFERROR(IF(_xlfn.XLOOKUP(B95,Input!J:J,Input!N:U)=0,"",
          _xlfn.XLOOKUP(B95,Input!J:J,Input!N:U)),"")</f>
        <v/>
      </c>
      <c r="W95" s="51" t="str">
        <v/>
      </c>
      <c r="X95" s="51" t="str">
        <v/>
      </c>
      <c r="Y95" s="51" t="str">
        <v/>
      </c>
      <c r="Z95" s="51" t="str">
        <v/>
      </c>
      <c r="AA95" s="51" t="str">
        <v/>
      </c>
      <c r="AB95" s="51" t="str">
        <v/>
      </c>
      <c r="AC95" s="51" t="str">
        <v/>
      </c>
      <c r="AD95" s="32" t="str">
        <f t="shared" si="3"/>
        <v/>
      </c>
      <c r="AE95" s="32" t="str">
        <f>_xlfn.XLOOKUP(B:B,Disk_Pivot!G:G,Disk_Pivot!I:I)</f>
        <v>Yes x2</v>
      </c>
      <c r="AF95" s="32" t="str">
        <f>_xlfn.XLOOKUP(B95,Disk_Pivot!G:G,Disk_Pivot!N:N)</f>
        <v>Pass, Fail</v>
      </c>
      <c r="AG95" s="32"/>
      <c r="AH95" s="32"/>
      <c r="AI95" s="32"/>
      <c r="AJ95" s="32"/>
      <c r="AK95" s="32"/>
      <c r="AL95" s="32"/>
    </row>
    <row r="96" spans="1:38">
      <c r="A96" s="32" t="str">
        <f>_xlfn.TEXTJOIN("",TRUE,_xlfn.XLOOKUP(B96,Input!J:J,Input!G:G,"",0,1),_xlfn.XLOOKUP(B96,Input!J:J,Input!H:H,"",0,1))</f>
        <v/>
      </c>
      <c r="B96" s="32"/>
      <c r="C96" s="51">
        <f>_xlfn.XLOOKUP(B96,Input!J:J,Input!F:F)</f>
        <v>0</v>
      </c>
      <c r="D96" s="32">
        <f>_xlfn.XLOOKUP(C96,Models!H:H,Models!G:G,C96)</f>
        <v>0</v>
      </c>
      <c r="E96" s="32">
        <f>_xlfn.XLOOKUP(B96,Input!J:J,Input!E:E)</f>
        <v>0</v>
      </c>
      <c r="F96" s="32">
        <f>IF(E96="LENOVO",_xlfn.XLOOKUP(B96,Input!J:J,Input!K:K),_xlfn.XLOOKUP(B96,Input!J:J,Input!L:L))</f>
        <v>0</v>
      </c>
      <c r="G96" s="32"/>
      <c r="H96" s="32"/>
      <c r="I96" s="32">
        <f>_xlfn.XLOOKUP(B96,CPU_Formula!A:A,CPU_Formula!I:I)</f>
        <v>0</v>
      </c>
      <c r="J96" s="51" t="e">
        <f>INDEX(Input!$D$2:$AC$500,
       MATCH(B96, Input!$J$2:$J$500, 0),
       MATCH("Total Memory", Input!$D$1:$AC$1, 0))</f>
        <v>#N/A</v>
      </c>
      <c r="K96" s="51" t="e">
        <f>INDEX(Input!$D$2:$AC$500,
       MATCH(B96, Input!$J$2:$J$500, 0),
       MATCH("Memory Type", Input!$D$1:$AC$1, 0))</f>
        <v>#N/A</v>
      </c>
      <c r="L96" s="51" t="str" cm="1">
        <f t="array" ref="L96">IFERROR(_xlfn.FILTERXML("&lt;t&gt;&lt;s&gt;" &amp; SUBSTITUTE(K96," / ","&lt;/s&gt;&lt;s&gt;") &amp; "&lt;/s&gt;&lt;/t&gt;","(//s[contains(.,'DDR')])[1]"),"")</f>
        <v/>
      </c>
      <c r="M96" s="32" t="e">
        <f t="shared" si="5"/>
        <v>#N/A</v>
      </c>
      <c r="N96" s="51" t="e">
        <f>INDEX(Input!$D$2:$AC$500,
       MATCH(B96, Input!$J$2:$J$500, 0),
       MATCH("Disk Interface Type", Input!$D$1:$AC$1, 0))</f>
        <v>#N/A</v>
      </c>
      <c r="O96" s="51" t="str" cm="1">
        <f t="array" ref="O96">IFERROR(_xlfn.TEXTJOIN(", ", TRUE, _xlfn._xlws.FILTER(
    INDEX(Input!$D$2:$AC$500,,MATCH("Disk Capacity",Input!$D$1:$AC$1,0)),
    Input!$J$2:$J$500=B96
)), "")</f>
        <v/>
      </c>
      <c r="P96" s="32" t="e">
        <f t="shared" si="4"/>
        <v>#N/A</v>
      </c>
      <c r="Q96" s="51" t="e">
        <f>_xlfn.LET(_xlpm.Result,INDEX(Input!$D$2:$AC$500,
       MATCH(B96, Input!$J$2:$J$500, 0),
       MATCH("Capacity", Input!$D$1:$AC$1, 0)),IF(_xlpm.Result="","",_xlpm.Result))</f>
        <v>#N/A</v>
      </c>
      <c r="R96" s="51" t="e" cm="1">
        <f t="array" ref="R96">_xlfn.TEXTSPLIT(Q96," / ", ,TRUE,0,)</f>
        <v>#N/A</v>
      </c>
      <c r="S96" s="51"/>
      <c r="T96" s="51" t="str" cm="1">
        <f t="array" ref="T96">IFERROR(_xlfn.IFS(
R96="","",
--R96&lt;55,"Battery Defect",
--R96&lt;=69,"Battery D",
--R96&lt;=80,"Battery C",
--R96&gt;80,""
),"")</f>
        <v/>
      </c>
      <c r="U96" s="51" t="str" cm="1">
        <f t="array" ref="U96">IFERROR(_xlfn.IFS(
S96="","",
--S96&lt;55,"Battery Defect",
--S96&lt;=69,"Battery D",
--S96&lt;=80,"Battery C",
--S96&gt;80,""
),"")</f>
        <v/>
      </c>
      <c r="V96" s="51" t="str" cm="1">
        <f t="array" ref="V96:AC96">IFERROR(IF(_xlfn.XLOOKUP(B96,Input!J:J,Input!N:U)=0,"",
          _xlfn.XLOOKUP(B96,Input!J:J,Input!N:U)),"")</f>
        <v/>
      </c>
      <c r="W96" s="51" t="str">
        <v/>
      </c>
      <c r="X96" s="51" t="str">
        <v/>
      </c>
      <c r="Y96" s="51" t="str">
        <v/>
      </c>
      <c r="Z96" s="51" t="str">
        <v/>
      </c>
      <c r="AA96" s="51" t="str">
        <v/>
      </c>
      <c r="AB96" s="51" t="str">
        <v/>
      </c>
      <c r="AC96" s="51" t="str">
        <v/>
      </c>
      <c r="AD96" s="32" t="str">
        <f t="shared" si="3"/>
        <v/>
      </c>
      <c r="AE96" s="32" t="str">
        <f>_xlfn.XLOOKUP(B:B,Disk_Pivot!G:G,Disk_Pivot!I:I)</f>
        <v>Yes x2</v>
      </c>
      <c r="AF96" s="32" t="str">
        <f>_xlfn.XLOOKUP(B96,Disk_Pivot!G:G,Disk_Pivot!N:N)</f>
        <v>Pass, Fail</v>
      </c>
      <c r="AG96" s="32"/>
      <c r="AH96" s="32"/>
      <c r="AI96" s="32"/>
      <c r="AJ96" s="32"/>
      <c r="AK96" s="32"/>
      <c r="AL96" s="32"/>
    </row>
    <row r="97" spans="1:38">
      <c r="A97" s="32" t="str">
        <f>_xlfn.TEXTJOIN("",TRUE,_xlfn.XLOOKUP(B97,Input!J:J,Input!G:G,"",0,1),_xlfn.XLOOKUP(B97,Input!J:J,Input!H:H,"",0,1))</f>
        <v/>
      </c>
      <c r="B97" s="32"/>
      <c r="C97" s="51">
        <f>_xlfn.XLOOKUP(B97,Input!J:J,Input!F:F)</f>
        <v>0</v>
      </c>
      <c r="D97" s="32">
        <f>_xlfn.XLOOKUP(C97,Models!H:H,Models!G:G,C97)</f>
        <v>0</v>
      </c>
      <c r="E97" s="32">
        <f>_xlfn.XLOOKUP(B97,Input!J:J,Input!E:E)</f>
        <v>0</v>
      </c>
      <c r="F97" s="32">
        <f>IF(E97="LENOVO",_xlfn.XLOOKUP(B97,Input!J:J,Input!K:K),_xlfn.XLOOKUP(B97,Input!J:J,Input!L:L))</f>
        <v>0</v>
      </c>
      <c r="G97" s="32"/>
      <c r="H97" s="32"/>
      <c r="I97" s="32">
        <f>_xlfn.XLOOKUP(B97,CPU_Formula!A:A,CPU_Formula!I:I)</f>
        <v>0</v>
      </c>
      <c r="J97" s="51" t="e">
        <f>INDEX(Input!$D$2:$AC$500,
       MATCH(B97, Input!$J$2:$J$500, 0),
       MATCH("Total Memory", Input!$D$1:$AC$1, 0))</f>
        <v>#N/A</v>
      </c>
      <c r="K97" s="51" t="e">
        <f>INDEX(Input!$D$2:$AC$500,
       MATCH(B97, Input!$J$2:$J$500, 0),
       MATCH("Memory Type", Input!$D$1:$AC$1, 0))</f>
        <v>#N/A</v>
      </c>
      <c r="L97" s="51" t="str" cm="1">
        <f t="array" ref="L97">IFERROR(_xlfn.FILTERXML("&lt;t&gt;&lt;s&gt;" &amp; SUBSTITUTE(K97," / ","&lt;/s&gt;&lt;s&gt;") &amp; "&lt;/s&gt;&lt;/t&gt;","(//s[contains(.,'DDR')])[1]"),"")</f>
        <v/>
      </c>
      <c r="M97" s="32" t="e">
        <f t="shared" si="5"/>
        <v>#N/A</v>
      </c>
      <c r="N97" s="51" t="e">
        <f>INDEX(Input!$D$2:$AC$500,
       MATCH(B97, Input!$J$2:$J$500, 0),
       MATCH("Disk Interface Type", Input!$D$1:$AC$1, 0))</f>
        <v>#N/A</v>
      </c>
      <c r="O97" s="51" t="str" cm="1">
        <f t="array" ref="O97">IFERROR(_xlfn.TEXTJOIN(", ", TRUE, _xlfn._xlws.FILTER(
    INDEX(Input!$D$2:$AC$500,,MATCH("Disk Capacity",Input!$D$1:$AC$1,0)),
    Input!$J$2:$J$500=B97
)), "")</f>
        <v/>
      </c>
      <c r="P97" s="32" t="e">
        <f t="shared" si="4"/>
        <v>#N/A</v>
      </c>
      <c r="Q97" s="51" t="e">
        <f>_xlfn.LET(_xlpm.Result,INDEX(Input!$D$2:$AC$500,
       MATCH(B97, Input!$J$2:$J$500, 0),
       MATCH("Capacity", Input!$D$1:$AC$1, 0)),IF(_xlpm.Result="","",_xlpm.Result))</f>
        <v>#N/A</v>
      </c>
      <c r="R97" s="51" t="e" cm="1">
        <f t="array" ref="R97">_xlfn.TEXTSPLIT(Q97," / ", ,TRUE,0,)</f>
        <v>#N/A</v>
      </c>
      <c r="S97" s="51"/>
      <c r="T97" s="51" t="str" cm="1">
        <f t="array" ref="T97">IFERROR(_xlfn.IFS(
R97="","",
--R97&lt;55,"Battery Defect",
--R97&lt;=69,"Battery D",
--R97&lt;=80,"Battery C",
--R97&gt;80,""
),"")</f>
        <v/>
      </c>
      <c r="U97" s="51" t="str" cm="1">
        <f t="array" ref="U97">IFERROR(_xlfn.IFS(
S97="","",
--S97&lt;55,"Battery Defect",
--S97&lt;=69,"Battery D",
--S97&lt;=80,"Battery C",
--S97&gt;80,""
),"")</f>
        <v/>
      </c>
      <c r="V97" s="51" t="str" cm="1">
        <f t="array" ref="V97:AC97">IFERROR(IF(_xlfn.XLOOKUP(B97,Input!J:J,Input!N:U)=0,"",
          _xlfn.XLOOKUP(B97,Input!J:J,Input!N:U)),"")</f>
        <v/>
      </c>
      <c r="W97" s="51" t="str">
        <v/>
      </c>
      <c r="X97" s="51" t="str">
        <v/>
      </c>
      <c r="Y97" s="51" t="str">
        <v/>
      </c>
      <c r="Z97" s="51" t="str">
        <v/>
      </c>
      <c r="AA97" s="51" t="str">
        <v/>
      </c>
      <c r="AB97" s="51" t="str">
        <v/>
      </c>
      <c r="AC97" s="51" t="str">
        <v/>
      </c>
      <c r="AD97" s="32" t="str">
        <f t="shared" si="3"/>
        <v/>
      </c>
      <c r="AE97" s="32" t="str">
        <f>_xlfn.XLOOKUP(B:B,Disk_Pivot!G:G,Disk_Pivot!I:I)</f>
        <v>Yes x2</v>
      </c>
      <c r="AF97" s="32" t="str">
        <f>_xlfn.XLOOKUP(B97,Disk_Pivot!G:G,Disk_Pivot!N:N)</f>
        <v>Pass, Fail</v>
      </c>
      <c r="AG97" s="32"/>
      <c r="AH97" s="32"/>
      <c r="AI97" s="32"/>
      <c r="AJ97" s="32"/>
      <c r="AK97" s="32"/>
      <c r="AL97" s="32"/>
    </row>
    <row r="98" spans="1:38">
      <c r="A98" s="32" t="str">
        <f>_xlfn.TEXTJOIN("",TRUE,_xlfn.XLOOKUP(B98,Input!J:J,Input!G:G,"",0,1),_xlfn.XLOOKUP(B98,Input!J:J,Input!H:H,"",0,1))</f>
        <v/>
      </c>
      <c r="B98" s="32"/>
      <c r="C98" s="51">
        <f>_xlfn.XLOOKUP(B98,Input!J:J,Input!F:F)</f>
        <v>0</v>
      </c>
      <c r="D98" s="32">
        <f>_xlfn.XLOOKUP(C98,Models!H:H,Models!G:G,C98)</f>
        <v>0</v>
      </c>
      <c r="E98" s="32">
        <f>_xlfn.XLOOKUP(B98,Input!J:J,Input!E:E)</f>
        <v>0</v>
      </c>
      <c r="F98" s="32">
        <f>IF(E98="LENOVO",_xlfn.XLOOKUP(B98,Input!J:J,Input!K:K),_xlfn.XLOOKUP(B98,Input!J:J,Input!L:L))</f>
        <v>0</v>
      </c>
      <c r="G98" s="32"/>
      <c r="H98" s="32"/>
      <c r="I98" s="32">
        <f>_xlfn.XLOOKUP(B98,CPU_Formula!A:A,CPU_Formula!I:I)</f>
        <v>0</v>
      </c>
      <c r="J98" s="51" t="e">
        <f>INDEX(Input!$D$2:$AC$500,
       MATCH(B98, Input!$J$2:$J$500, 0),
       MATCH("Total Memory", Input!$D$1:$AC$1, 0))</f>
        <v>#N/A</v>
      </c>
      <c r="K98" s="51" t="e">
        <f>INDEX(Input!$D$2:$AC$500,
       MATCH(B98, Input!$J$2:$J$500, 0),
       MATCH("Memory Type", Input!$D$1:$AC$1, 0))</f>
        <v>#N/A</v>
      </c>
      <c r="L98" s="51" t="str" cm="1">
        <f t="array" ref="L98">IFERROR(_xlfn.FILTERXML("&lt;t&gt;&lt;s&gt;" &amp; SUBSTITUTE(K98," / ","&lt;/s&gt;&lt;s&gt;") &amp; "&lt;/s&gt;&lt;/t&gt;","(//s[contains(.,'DDR')])[1]"),"")</f>
        <v/>
      </c>
      <c r="M98" s="32" t="e">
        <f t="shared" si="5"/>
        <v>#N/A</v>
      </c>
      <c r="N98" s="51" t="e">
        <f>INDEX(Input!$D$2:$AC$500,
       MATCH(B98, Input!$J$2:$J$500, 0),
       MATCH("Disk Interface Type", Input!$D$1:$AC$1, 0))</f>
        <v>#N/A</v>
      </c>
      <c r="O98" s="51" t="str" cm="1">
        <f t="array" ref="O98">IFERROR(_xlfn.TEXTJOIN(", ", TRUE, _xlfn._xlws.FILTER(
    INDEX(Input!$D$2:$AC$500,,MATCH("Disk Capacity",Input!$D$1:$AC$1,0)),
    Input!$J$2:$J$500=B98
)), "")</f>
        <v/>
      </c>
      <c r="P98" s="32" t="e">
        <f t="shared" si="4"/>
        <v>#N/A</v>
      </c>
      <c r="Q98" s="51" t="e">
        <f>_xlfn.LET(_xlpm.Result,INDEX(Input!$D$2:$AC$500,
       MATCH(B98, Input!$J$2:$J$500, 0),
       MATCH("Capacity", Input!$D$1:$AC$1, 0)),IF(_xlpm.Result="","",_xlpm.Result))</f>
        <v>#N/A</v>
      </c>
      <c r="R98" s="51" t="e" cm="1">
        <f t="array" ref="R98">_xlfn.TEXTSPLIT(Q98," / ", ,TRUE,0,)</f>
        <v>#N/A</v>
      </c>
      <c r="S98" s="51"/>
      <c r="T98" s="51" t="str" cm="1">
        <f t="array" ref="T98">IFERROR(_xlfn.IFS(
R98="","",
--R98&lt;55,"Battery Defect",
--R98&lt;=69,"Battery D",
--R98&lt;=80,"Battery C",
--R98&gt;80,""
),"")</f>
        <v/>
      </c>
      <c r="U98" s="51" t="str" cm="1">
        <f t="array" ref="U98">IFERROR(_xlfn.IFS(
S98="","",
--S98&lt;55,"Battery Defect",
--S98&lt;=69,"Battery D",
--S98&lt;=80,"Battery C",
--S98&gt;80,""
),"")</f>
        <v/>
      </c>
      <c r="V98" s="51" t="str" cm="1">
        <f t="array" ref="V98:AC98">IFERROR(IF(_xlfn.XLOOKUP(B98,Input!J:J,Input!N:U)=0,"",
          _xlfn.XLOOKUP(B98,Input!J:J,Input!N:U)),"")</f>
        <v/>
      </c>
      <c r="W98" s="51" t="str">
        <v/>
      </c>
      <c r="X98" s="51" t="str">
        <v/>
      </c>
      <c r="Y98" s="51" t="str">
        <v/>
      </c>
      <c r="Z98" s="51" t="str">
        <v/>
      </c>
      <c r="AA98" s="51" t="str">
        <v/>
      </c>
      <c r="AB98" s="51" t="str">
        <v/>
      </c>
      <c r="AC98" s="51" t="str">
        <v/>
      </c>
      <c r="AD98" s="32" t="str">
        <f t="shared" si="3"/>
        <v/>
      </c>
      <c r="AE98" s="32" t="str">
        <f>_xlfn.XLOOKUP(B:B,Disk_Pivot!G:G,Disk_Pivot!I:I)</f>
        <v>Yes x2</v>
      </c>
      <c r="AF98" s="32" t="str">
        <f>_xlfn.XLOOKUP(B98,Disk_Pivot!G:G,Disk_Pivot!N:N)</f>
        <v>Pass, Fail</v>
      </c>
      <c r="AG98" s="32"/>
      <c r="AH98" s="32"/>
      <c r="AI98" s="32"/>
      <c r="AJ98" s="32"/>
      <c r="AK98" s="32"/>
      <c r="AL98" s="32"/>
    </row>
    <row r="99" spans="1:38">
      <c r="A99" s="32" t="str">
        <f>_xlfn.TEXTJOIN("",TRUE,_xlfn.XLOOKUP(B99,Input!J:J,Input!G:G,"",0,1),_xlfn.XLOOKUP(B99,Input!J:J,Input!H:H,"",0,1))</f>
        <v/>
      </c>
      <c r="B99" s="32"/>
      <c r="C99" s="51">
        <f>_xlfn.XLOOKUP(B99,Input!J:J,Input!F:F)</f>
        <v>0</v>
      </c>
      <c r="D99" s="32">
        <f>_xlfn.XLOOKUP(C99,Models!H:H,Models!G:G,C99)</f>
        <v>0</v>
      </c>
      <c r="E99" s="32">
        <f>_xlfn.XLOOKUP(B99,Input!J:J,Input!E:E)</f>
        <v>0</v>
      </c>
      <c r="F99" s="32">
        <f>IF(E99="LENOVO",_xlfn.XLOOKUP(B99,Input!J:J,Input!K:K),_xlfn.XLOOKUP(B99,Input!J:J,Input!L:L))</f>
        <v>0</v>
      </c>
      <c r="G99" s="32"/>
      <c r="H99" s="32"/>
      <c r="I99" s="32">
        <f>_xlfn.XLOOKUP(B99,CPU_Formula!A:A,CPU_Formula!I:I)</f>
        <v>0</v>
      </c>
      <c r="J99" s="51" t="e">
        <f>INDEX(Input!$D$2:$AC$500,
       MATCH(B99, Input!$J$2:$J$500, 0),
       MATCH("Total Memory", Input!$D$1:$AC$1, 0))</f>
        <v>#N/A</v>
      </c>
      <c r="K99" s="51" t="e">
        <f>INDEX(Input!$D$2:$AC$500,
       MATCH(B99, Input!$J$2:$J$500, 0),
       MATCH("Memory Type", Input!$D$1:$AC$1, 0))</f>
        <v>#N/A</v>
      </c>
      <c r="L99" s="51" t="str" cm="1">
        <f t="array" ref="L99">IFERROR(_xlfn.FILTERXML("&lt;t&gt;&lt;s&gt;" &amp; SUBSTITUTE(K99," / ","&lt;/s&gt;&lt;s&gt;") &amp; "&lt;/s&gt;&lt;/t&gt;","(//s[contains(.,'DDR')])[1]"),"")</f>
        <v/>
      </c>
      <c r="M99" s="32" t="e">
        <f t="shared" si="5"/>
        <v>#N/A</v>
      </c>
      <c r="N99" s="51" t="e">
        <f>INDEX(Input!$D$2:$AC$500,
       MATCH(B99, Input!$J$2:$J$500, 0),
       MATCH("Disk Interface Type", Input!$D$1:$AC$1, 0))</f>
        <v>#N/A</v>
      </c>
      <c r="O99" s="51" t="str" cm="1">
        <f t="array" ref="O99">IFERROR(_xlfn.TEXTJOIN(", ", TRUE, _xlfn._xlws.FILTER(
    INDEX(Input!$D$2:$AC$500,,MATCH("Disk Capacity",Input!$D$1:$AC$1,0)),
    Input!$J$2:$J$500=B99
)), "")</f>
        <v/>
      </c>
      <c r="P99" s="32" t="e">
        <f t="shared" si="4"/>
        <v>#N/A</v>
      </c>
      <c r="Q99" s="51" t="e">
        <f>_xlfn.LET(_xlpm.Result,INDEX(Input!$D$2:$AC$500,
       MATCH(B99, Input!$J$2:$J$500, 0),
       MATCH("Capacity", Input!$D$1:$AC$1, 0)),IF(_xlpm.Result="","",_xlpm.Result))</f>
        <v>#N/A</v>
      </c>
      <c r="R99" s="51" t="e" cm="1">
        <f t="array" ref="R99">_xlfn.TEXTSPLIT(Q99," / ", ,TRUE,0,)</f>
        <v>#N/A</v>
      </c>
      <c r="S99" s="51"/>
      <c r="T99" s="51" t="str" cm="1">
        <f t="array" ref="T99">IFERROR(_xlfn.IFS(
R99="","",
--R99&lt;55,"Battery Defect",
--R99&lt;=69,"Battery D",
--R99&lt;=80,"Battery C",
--R99&gt;80,""
),"")</f>
        <v/>
      </c>
      <c r="U99" s="51" t="str" cm="1">
        <f t="array" ref="U99">IFERROR(_xlfn.IFS(
S99="","",
--S99&lt;55,"Battery Defect",
--S99&lt;=69,"Battery D",
--S99&lt;=80,"Battery C",
--S99&gt;80,""
),"")</f>
        <v/>
      </c>
      <c r="V99" s="51" t="str" cm="1">
        <f t="array" ref="V99:AC99">IFERROR(IF(_xlfn.XLOOKUP(B99,Input!J:J,Input!N:U)=0,"",
          _xlfn.XLOOKUP(B99,Input!J:J,Input!N:U)),"")</f>
        <v/>
      </c>
      <c r="W99" s="51" t="str">
        <v/>
      </c>
      <c r="X99" s="51" t="str">
        <v/>
      </c>
      <c r="Y99" s="51" t="str">
        <v/>
      </c>
      <c r="Z99" s="51" t="str">
        <v/>
      </c>
      <c r="AA99" s="51" t="str">
        <v/>
      </c>
      <c r="AB99" s="51" t="str">
        <v/>
      </c>
      <c r="AC99" s="51" t="str">
        <v/>
      </c>
      <c r="AD99" s="32" t="str">
        <f t="shared" si="3"/>
        <v/>
      </c>
      <c r="AE99" s="32" t="str">
        <f>_xlfn.XLOOKUP(B:B,Disk_Pivot!G:G,Disk_Pivot!I:I)</f>
        <v>Yes x2</v>
      </c>
      <c r="AF99" s="32" t="str">
        <f>_xlfn.XLOOKUP(B99,Disk_Pivot!G:G,Disk_Pivot!N:N)</f>
        <v>Pass, Fail</v>
      </c>
      <c r="AG99" s="32"/>
      <c r="AH99" s="32"/>
      <c r="AI99" s="32"/>
      <c r="AJ99" s="32"/>
      <c r="AK99" s="32"/>
      <c r="AL99" s="32"/>
    </row>
    <row r="100" spans="1:38">
      <c r="A100" s="32" t="str">
        <f>_xlfn.TEXTJOIN("",TRUE,_xlfn.XLOOKUP(B100,Input!J:J,Input!G:G,"",0,1),_xlfn.XLOOKUP(B100,Input!J:J,Input!H:H,"",0,1))</f>
        <v/>
      </c>
      <c r="B100" s="32"/>
      <c r="C100" s="51">
        <f>_xlfn.XLOOKUP(B100,Input!J:J,Input!F:F)</f>
        <v>0</v>
      </c>
      <c r="D100" s="32">
        <f>_xlfn.XLOOKUP(C100,Models!H:H,Models!G:G,C100)</f>
        <v>0</v>
      </c>
      <c r="E100" s="32">
        <f>_xlfn.XLOOKUP(B100,Input!J:J,Input!E:E)</f>
        <v>0</v>
      </c>
      <c r="F100" s="32">
        <f>IF(E100="LENOVO",_xlfn.XLOOKUP(B100,Input!J:J,Input!K:K),_xlfn.XLOOKUP(B100,Input!J:J,Input!L:L))</f>
        <v>0</v>
      </c>
      <c r="G100" s="32"/>
      <c r="H100" s="32"/>
      <c r="I100" s="32">
        <f>_xlfn.XLOOKUP(B100,CPU_Formula!A:A,CPU_Formula!I:I)</f>
        <v>0</v>
      </c>
      <c r="J100" s="51" t="e">
        <f>INDEX(Input!$D$2:$AC$500,
       MATCH(B100, Input!$J$2:$J$500, 0),
       MATCH("Total Memory", Input!$D$1:$AC$1, 0))</f>
        <v>#N/A</v>
      </c>
      <c r="K100" s="51" t="e">
        <f>INDEX(Input!$D$2:$AC$500,
       MATCH(B100, Input!$J$2:$J$500, 0),
       MATCH("Memory Type", Input!$D$1:$AC$1, 0))</f>
        <v>#N/A</v>
      </c>
      <c r="L100" s="51" t="str" cm="1">
        <f t="array" ref="L100">IFERROR(_xlfn.FILTERXML("&lt;t&gt;&lt;s&gt;" &amp; SUBSTITUTE(K100," / ","&lt;/s&gt;&lt;s&gt;") &amp; "&lt;/s&gt;&lt;/t&gt;","(//s[contains(.,'DDR')])[1]"),"")</f>
        <v/>
      </c>
      <c r="M100" s="32" t="e">
        <f t="shared" si="5"/>
        <v>#N/A</v>
      </c>
      <c r="N100" s="51" t="e">
        <f>INDEX(Input!$D$2:$AC$500,
       MATCH(B100, Input!$J$2:$J$500, 0),
       MATCH("Disk Interface Type", Input!$D$1:$AC$1, 0))</f>
        <v>#N/A</v>
      </c>
      <c r="O100" s="51" t="str" cm="1">
        <f t="array" ref="O100">IFERROR(_xlfn.TEXTJOIN(", ", TRUE, _xlfn._xlws.FILTER(
    INDEX(Input!$D$2:$AC$500,,MATCH("Disk Capacity",Input!$D$1:$AC$1,0)),
    Input!$J$2:$J$500=B100
)), "")</f>
        <v/>
      </c>
      <c r="P100" s="32" t="e">
        <f t="shared" si="4"/>
        <v>#N/A</v>
      </c>
      <c r="Q100" s="51" t="e">
        <f>_xlfn.LET(_xlpm.Result,INDEX(Input!$D$2:$AC$500,
       MATCH(B100, Input!$J$2:$J$500, 0),
       MATCH("Capacity", Input!$D$1:$AC$1, 0)),IF(_xlpm.Result="","",_xlpm.Result))</f>
        <v>#N/A</v>
      </c>
      <c r="R100" s="51" t="e" cm="1">
        <f t="array" ref="R100">_xlfn.TEXTSPLIT(Q100," / ", ,TRUE,0,)</f>
        <v>#N/A</v>
      </c>
      <c r="S100" s="51"/>
      <c r="T100" s="51" t="str" cm="1">
        <f t="array" ref="T100">IFERROR(_xlfn.IFS(
R100="","",
--R100&lt;55,"Battery Defect",
--R100&lt;=69,"Battery D",
--R100&lt;=80,"Battery C",
--R100&gt;80,""
),"")</f>
        <v/>
      </c>
      <c r="U100" s="51" t="str" cm="1">
        <f t="array" ref="U100">IFERROR(_xlfn.IFS(
S100="","",
--S100&lt;55,"Battery Defect",
--S100&lt;=69,"Battery D",
--S100&lt;=80,"Battery C",
--S100&gt;80,""
),"")</f>
        <v/>
      </c>
      <c r="V100" s="51" t="str" cm="1">
        <f t="array" ref="V100:AC100">IFERROR(IF(_xlfn.XLOOKUP(B100,Input!J:J,Input!N:U)=0,"",
          _xlfn.XLOOKUP(B100,Input!J:J,Input!N:U)),"")</f>
        <v/>
      </c>
      <c r="W100" s="51" t="str">
        <v/>
      </c>
      <c r="X100" s="51" t="str">
        <v/>
      </c>
      <c r="Y100" s="51" t="str">
        <v/>
      </c>
      <c r="Z100" s="51" t="str">
        <v/>
      </c>
      <c r="AA100" s="51" t="str">
        <v/>
      </c>
      <c r="AB100" s="51" t="str">
        <v/>
      </c>
      <c r="AC100" s="51" t="str">
        <v/>
      </c>
      <c r="AD100" s="32" t="str">
        <f t="shared" si="3"/>
        <v/>
      </c>
      <c r="AE100" s="32" t="str">
        <f>_xlfn.XLOOKUP(B:B,Disk_Pivot!G:G,Disk_Pivot!I:I)</f>
        <v>Yes x2</v>
      </c>
      <c r="AF100" s="32" t="str">
        <f>_xlfn.XLOOKUP(B100,Disk_Pivot!G:G,Disk_Pivot!N:N)</f>
        <v>Pass, Fail</v>
      </c>
      <c r="AG100" s="32"/>
      <c r="AH100" s="32"/>
      <c r="AI100" s="32"/>
      <c r="AJ100" s="32"/>
      <c r="AK100" s="32"/>
      <c r="AL100" s="32"/>
    </row>
    <row r="101" spans="1:38">
      <c r="A101" s="32" t="str">
        <f>_xlfn.TEXTJOIN("",TRUE,_xlfn.XLOOKUP(B101,Input!J:J,Input!G:G,"",0,1),_xlfn.XLOOKUP(B101,Input!J:J,Input!H:H,"",0,1))</f>
        <v/>
      </c>
      <c r="B101" s="32"/>
      <c r="C101" s="51">
        <f>_xlfn.XLOOKUP(B101,Input!J:J,Input!F:F)</f>
        <v>0</v>
      </c>
      <c r="D101" s="32">
        <f>_xlfn.XLOOKUP(C101,Models!H:H,Models!G:G,C101)</f>
        <v>0</v>
      </c>
      <c r="E101" s="32">
        <f>_xlfn.XLOOKUP(B101,Input!J:J,Input!E:E)</f>
        <v>0</v>
      </c>
      <c r="F101" s="32">
        <f>IF(E101="LENOVO",_xlfn.XLOOKUP(B101,Input!J:J,Input!K:K),_xlfn.XLOOKUP(B101,Input!J:J,Input!L:L))</f>
        <v>0</v>
      </c>
      <c r="G101" s="32"/>
      <c r="H101" s="32"/>
      <c r="I101" s="32">
        <f>_xlfn.XLOOKUP(B101,CPU_Formula!A:A,CPU_Formula!I:I)</f>
        <v>0</v>
      </c>
      <c r="J101" s="51" t="e">
        <f>INDEX(Input!$D$2:$AC$500,
       MATCH(B101, Input!$J$2:$J$500, 0),
       MATCH("Total Memory", Input!$D$1:$AC$1, 0))</f>
        <v>#N/A</v>
      </c>
      <c r="K101" s="51" t="e">
        <f>INDEX(Input!$D$2:$AC$500,
       MATCH(B101, Input!$J$2:$J$500, 0),
       MATCH("Memory Type", Input!$D$1:$AC$1, 0))</f>
        <v>#N/A</v>
      </c>
      <c r="L101" s="51" t="str" cm="1">
        <f t="array" ref="L101">IFERROR(_xlfn.FILTERXML("&lt;t&gt;&lt;s&gt;" &amp; SUBSTITUTE(K101," / ","&lt;/s&gt;&lt;s&gt;") &amp; "&lt;/s&gt;&lt;/t&gt;","(//s[contains(.,'DDR')])[1]"),"")</f>
        <v/>
      </c>
      <c r="M101" s="32" t="e">
        <f t="shared" si="5"/>
        <v>#N/A</v>
      </c>
      <c r="N101" s="51" t="e">
        <f>INDEX(Input!$D$2:$AC$500,
       MATCH(B101, Input!$J$2:$J$500, 0),
       MATCH("Disk Interface Type", Input!$D$1:$AC$1, 0))</f>
        <v>#N/A</v>
      </c>
      <c r="O101" s="51" t="str" cm="1">
        <f t="array" ref="O101">IFERROR(_xlfn.TEXTJOIN(", ", TRUE, _xlfn._xlws.FILTER(
    INDEX(Input!$D$2:$AC$500,,MATCH("Disk Capacity",Input!$D$1:$AC$1,0)),
    Input!$J$2:$J$500=B101
)), "")</f>
        <v/>
      </c>
      <c r="P101" s="32" t="e">
        <f t="shared" si="4"/>
        <v>#N/A</v>
      </c>
      <c r="Q101" s="51" t="e">
        <f>_xlfn.LET(_xlpm.Result,INDEX(Input!$D$2:$AC$500,
       MATCH(B101, Input!$J$2:$J$500, 0),
       MATCH("Capacity", Input!$D$1:$AC$1, 0)),IF(_xlpm.Result="","",_xlpm.Result))</f>
        <v>#N/A</v>
      </c>
      <c r="R101" s="51" t="e" cm="1">
        <f t="array" ref="R101">_xlfn.TEXTSPLIT(Q101," / ", ,TRUE,0,)</f>
        <v>#N/A</v>
      </c>
      <c r="S101" s="51"/>
      <c r="T101" s="51" t="str" cm="1">
        <f t="array" ref="T101">IFERROR(_xlfn.IFS(
R101="","",
--R101&lt;55,"Battery Defect",
--R101&lt;=69,"Battery D",
--R101&lt;=80,"Battery C",
--R101&gt;80,""
),"")</f>
        <v/>
      </c>
      <c r="U101" s="51" t="str" cm="1">
        <f t="array" ref="U101">IFERROR(_xlfn.IFS(
S101="","",
--S101&lt;55,"Battery Defect",
--S101&lt;=69,"Battery D",
--S101&lt;=80,"Battery C",
--S101&gt;80,""
),"")</f>
        <v/>
      </c>
      <c r="V101" s="51" t="str" cm="1">
        <f t="array" ref="V101:AC101">IFERROR(IF(_xlfn.XLOOKUP(B101,Input!J:J,Input!N:U)=0,"",
          _xlfn.XLOOKUP(B101,Input!J:J,Input!N:U)),"")</f>
        <v/>
      </c>
      <c r="W101" s="51" t="str">
        <v/>
      </c>
      <c r="X101" s="51" t="str">
        <v/>
      </c>
      <c r="Y101" s="51" t="str">
        <v/>
      </c>
      <c r="Z101" s="51" t="str">
        <v/>
      </c>
      <c r="AA101" s="51" t="str">
        <v/>
      </c>
      <c r="AB101" s="51" t="str">
        <v/>
      </c>
      <c r="AC101" s="51" t="str">
        <v/>
      </c>
      <c r="AD101" s="32" t="str">
        <f t="shared" si="3"/>
        <v/>
      </c>
      <c r="AE101" s="32" t="str">
        <f>_xlfn.XLOOKUP(B:B,Disk_Pivot!G:G,Disk_Pivot!I:I)</f>
        <v>Yes x2</v>
      </c>
      <c r="AF101" s="32" t="str">
        <f>_xlfn.XLOOKUP(B101,Disk_Pivot!G:G,Disk_Pivot!N:N)</f>
        <v>Pass, Fail</v>
      </c>
      <c r="AG101" s="32"/>
      <c r="AH101" s="32"/>
      <c r="AI101" s="32"/>
      <c r="AJ101" s="32"/>
      <c r="AK101" s="32"/>
      <c r="AL101" s="32"/>
    </row>
    <row r="102" spans="1:38">
      <c r="A102" s="32" t="str">
        <f>_xlfn.TEXTJOIN("",TRUE,_xlfn.XLOOKUP(B102,Input!J:J,Input!G:G,"",0,1),_xlfn.XLOOKUP(B102,Input!J:J,Input!H:H,"",0,1))</f>
        <v/>
      </c>
      <c r="B102" s="32"/>
      <c r="C102" s="51">
        <f>_xlfn.XLOOKUP(B102,Input!J:J,Input!F:F)</f>
        <v>0</v>
      </c>
      <c r="D102" s="32">
        <f>_xlfn.XLOOKUP(C102,Models!H:H,Models!G:G,C102)</f>
        <v>0</v>
      </c>
      <c r="E102" s="32">
        <f>_xlfn.XLOOKUP(B102,Input!J:J,Input!E:E)</f>
        <v>0</v>
      </c>
      <c r="F102" s="32">
        <f>IF(E102="LENOVO",_xlfn.XLOOKUP(B102,Input!J:J,Input!K:K),_xlfn.XLOOKUP(B102,Input!J:J,Input!L:L))</f>
        <v>0</v>
      </c>
      <c r="G102" s="32"/>
      <c r="H102" s="32"/>
      <c r="I102" s="32">
        <f>_xlfn.XLOOKUP(B102,CPU_Formula!A:A,CPU_Formula!I:I)</f>
        <v>0</v>
      </c>
      <c r="J102" s="51" t="e">
        <f>INDEX(Input!$D$2:$AC$500,
       MATCH(B102, Input!$J$2:$J$500, 0),
       MATCH("Total Memory", Input!$D$1:$AC$1, 0))</f>
        <v>#N/A</v>
      </c>
      <c r="K102" s="51" t="e">
        <f>INDEX(Input!$D$2:$AC$500,
       MATCH(B102, Input!$J$2:$J$500, 0),
       MATCH("Memory Type", Input!$D$1:$AC$1, 0))</f>
        <v>#N/A</v>
      </c>
      <c r="L102" s="51" t="str" cm="1">
        <f t="array" ref="L102">IFERROR(_xlfn.FILTERXML("&lt;t&gt;&lt;s&gt;" &amp; SUBSTITUTE(K102," / ","&lt;/s&gt;&lt;s&gt;") &amp; "&lt;/s&gt;&lt;/t&gt;","(//s[contains(.,'DDR')])[1]"),"")</f>
        <v/>
      </c>
      <c r="M102" s="32" t="e">
        <f t="shared" si="5"/>
        <v>#N/A</v>
      </c>
      <c r="N102" s="51" t="e">
        <f>INDEX(Input!$D$2:$AC$500,
       MATCH(B102, Input!$J$2:$J$500, 0),
       MATCH("Disk Interface Type", Input!$D$1:$AC$1, 0))</f>
        <v>#N/A</v>
      </c>
      <c r="O102" s="51" t="str" cm="1">
        <f t="array" ref="O102">IFERROR(_xlfn.TEXTJOIN(", ", TRUE, _xlfn._xlws.FILTER(
    INDEX(Input!$D$2:$AC$500,,MATCH("Disk Capacity",Input!$D$1:$AC$1,0)),
    Input!$J$2:$J$500=B102
)), "")</f>
        <v/>
      </c>
      <c r="P102" s="32" t="e">
        <f t="shared" si="4"/>
        <v>#N/A</v>
      </c>
      <c r="Q102" s="51" t="e">
        <f>_xlfn.LET(_xlpm.Result,INDEX(Input!$D$2:$AC$500,
       MATCH(B102, Input!$J$2:$J$500, 0),
       MATCH("Capacity", Input!$D$1:$AC$1, 0)),IF(_xlpm.Result="","",_xlpm.Result))</f>
        <v>#N/A</v>
      </c>
      <c r="R102" s="51" t="e" cm="1">
        <f t="array" ref="R102">_xlfn.TEXTSPLIT(Q102," / ", ,TRUE,0,)</f>
        <v>#N/A</v>
      </c>
      <c r="S102" s="51"/>
      <c r="T102" s="51" t="str" cm="1">
        <f t="array" ref="T102">IFERROR(_xlfn.IFS(
R102="","",
--R102&lt;55,"Battery Defect",
--R102&lt;=69,"Battery D",
--R102&lt;=80,"Battery C",
--R102&gt;80,""
),"")</f>
        <v/>
      </c>
      <c r="U102" s="51" t="str" cm="1">
        <f t="array" ref="U102">IFERROR(_xlfn.IFS(
S102="","",
--S102&lt;55,"Battery Defect",
--S102&lt;=69,"Battery D",
--S102&lt;=80,"Battery C",
--S102&gt;80,""
),"")</f>
        <v/>
      </c>
      <c r="V102" s="51" t="str" cm="1">
        <f t="array" ref="V102:AC102">IFERROR(IF(_xlfn.XLOOKUP(B102,Input!J:J,Input!N:U)=0,"",
          _xlfn.XLOOKUP(B102,Input!J:J,Input!N:U)),"")</f>
        <v/>
      </c>
      <c r="W102" s="51" t="str">
        <v/>
      </c>
      <c r="X102" s="51" t="str">
        <v/>
      </c>
      <c r="Y102" s="51" t="str">
        <v/>
      </c>
      <c r="Z102" s="51" t="str">
        <v/>
      </c>
      <c r="AA102" s="51" t="str">
        <v/>
      </c>
      <c r="AB102" s="51" t="str">
        <v/>
      </c>
      <c r="AC102" s="51" t="str">
        <v/>
      </c>
      <c r="AD102" s="32" t="str">
        <f t="shared" si="3"/>
        <v/>
      </c>
      <c r="AE102" s="32" t="str">
        <f>_xlfn.XLOOKUP(B:B,Disk_Pivot!G:G,Disk_Pivot!I:I)</f>
        <v>Yes x2</v>
      </c>
      <c r="AF102" s="32" t="str">
        <f>_xlfn.XLOOKUP(B102,Disk_Pivot!G:G,Disk_Pivot!N:N)</f>
        <v>Pass, Fail</v>
      </c>
      <c r="AG102" s="32"/>
      <c r="AH102" s="32"/>
      <c r="AI102" s="32"/>
      <c r="AJ102" s="32"/>
      <c r="AK102" s="32"/>
      <c r="AL102" s="32"/>
    </row>
    <row r="103" spans="1:38">
      <c r="A103" s="32" t="str">
        <f>_xlfn.TEXTJOIN("",TRUE,_xlfn.XLOOKUP(B103,Input!J:J,Input!G:G,"",0,1),_xlfn.XLOOKUP(B103,Input!J:J,Input!H:H,"",0,1))</f>
        <v/>
      </c>
      <c r="B103" s="32"/>
      <c r="C103" s="51">
        <f>_xlfn.XLOOKUP(B103,Input!J:J,Input!F:F)</f>
        <v>0</v>
      </c>
      <c r="D103" s="32">
        <f>_xlfn.XLOOKUP(C103,Models!H:H,Models!G:G,C103)</f>
        <v>0</v>
      </c>
      <c r="E103" s="32">
        <f>_xlfn.XLOOKUP(B103,Input!J:J,Input!E:E)</f>
        <v>0</v>
      </c>
      <c r="F103" s="32">
        <f>IF(E103="LENOVO",_xlfn.XLOOKUP(B103,Input!J:J,Input!K:K),_xlfn.XLOOKUP(B103,Input!J:J,Input!L:L))</f>
        <v>0</v>
      </c>
      <c r="G103" s="32"/>
      <c r="H103" s="32"/>
      <c r="I103" s="32">
        <f>_xlfn.XLOOKUP(B103,CPU_Formula!A:A,CPU_Formula!I:I)</f>
        <v>0</v>
      </c>
      <c r="J103" s="51" t="e">
        <f>INDEX(Input!$D$2:$AC$500,
       MATCH(B103, Input!$J$2:$J$500, 0),
       MATCH("Total Memory", Input!$D$1:$AC$1, 0))</f>
        <v>#N/A</v>
      </c>
      <c r="K103" s="51" t="e">
        <f>INDEX(Input!$D$2:$AC$500,
       MATCH(B103, Input!$J$2:$J$500, 0),
       MATCH("Memory Type", Input!$D$1:$AC$1, 0))</f>
        <v>#N/A</v>
      </c>
      <c r="L103" s="51" t="str" cm="1">
        <f t="array" ref="L103">IFERROR(_xlfn.FILTERXML("&lt;t&gt;&lt;s&gt;" &amp; SUBSTITUTE(K103," / ","&lt;/s&gt;&lt;s&gt;") &amp; "&lt;/s&gt;&lt;/t&gt;","(//s[contains(.,'DDR')])[1]"),"")</f>
        <v/>
      </c>
      <c r="M103" s="32" t="e">
        <f t="shared" si="5"/>
        <v>#N/A</v>
      </c>
      <c r="N103" s="51" t="e">
        <f>INDEX(Input!$D$2:$AC$500,
       MATCH(B103, Input!$J$2:$J$500, 0),
       MATCH("Disk Interface Type", Input!$D$1:$AC$1, 0))</f>
        <v>#N/A</v>
      </c>
      <c r="O103" s="51" t="str" cm="1">
        <f t="array" ref="O103">IFERROR(_xlfn.TEXTJOIN(", ", TRUE, _xlfn._xlws.FILTER(
    INDEX(Input!$D$2:$AC$500,,MATCH("Disk Capacity",Input!$D$1:$AC$1,0)),
    Input!$J$2:$J$500=B103
)), "")</f>
        <v/>
      </c>
      <c r="P103" s="32" t="e">
        <f t="shared" si="4"/>
        <v>#N/A</v>
      </c>
      <c r="Q103" s="51" t="e">
        <f>_xlfn.LET(_xlpm.Result,INDEX(Input!$D$2:$AC$500,
       MATCH(B103, Input!$J$2:$J$500, 0),
       MATCH("Capacity", Input!$D$1:$AC$1, 0)),IF(_xlpm.Result="","",_xlpm.Result))</f>
        <v>#N/A</v>
      </c>
      <c r="R103" s="51" t="e" cm="1">
        <f t="array" ref="R103">_xlfn.TEXTSPLIT(Q103," / ", ,TRUE,0,)</f>
        <v>#N/A</v>
      </c>
      <c r="S103" s="51"/>
      <c r="T103" s="51" t="str" cm="1">
        <f t="array" ref="T103">IFERROR(_xlfn.IFS(
R103="","",
--R103&lt;55,"Battery Defect",
--R103&lt;=69,"Battery D",
--R103&lt;=80,"Battery C",
--R103&gt;80,""
),"")</f>
        <v/>
      </c>
      <c r="U103" s="51" t="str" cm="1">
        <f t="array" ref="U103">IFERROR(_xlfn.IFS(
S103="","",
--S103&lt;55,"Battery Defect",
--S103&lt;=69,"Battery D",
--S103&lt;=80,"Battery C",
--S103&gt;80,""
),"")</f>
        <v/>
      </c>
      <c r="V103" s="51" t="str" cm="1">
        <f t="array" ref="V103:AC103">IFERROR(IF(_xlfn.XLOOKUP(B103,Input!J:J,Input!N:U)=0,"",
          _xlfn.XLOOKUP(B103,Input!J:J,Input!N:U)),"")</f>
        <v/>
      </c>
      <c r="W103" s="51" t="str">
        <v/>
      </c>
      <c r="X103" s="51" t="str">
        <v/>
      </c>
      <c r="Y103" s="51" t="str">
        <v/>
      </c>
      <c r="Z103" s="51" t="str">
        <v/>
      </c>
      <c r="AA103" s="51" t="str">
        <v/>
      </c>
      <c r="AB103" s="51" t="str">
        <v/>
      </c>
      <c r="AC103" s="51" t="str">
        <v/>
      </c>
      <c r="AD103" s="32" t="str">
        <f t="shared" si="3"/>
        <v/>
      </c>
      <c r="AE103" s="32" t="str">
        <f>_xlfn.XLOOKUP(B:B,Disk_Pivot!G:G,Disk_Pivot!I:I)</f>
        <v>Yes x2</v>
      </c>
      <c r="AF103" s="32" t="str">
        <f>_xlfn.XLOOKUP(B103,Disk_Pivot!G:G,Disk_Pivot!N:N)</f>
        <v>Pass, Fail</v>
      </c>
      <c r="AG103" s="32"/>
      <c r="AH103" s="32"/>
      <c r="AI103" s="32"/>
      <c r="AJ103" s="32"/>
      <c r="AK103" s="32"/>
      <c r="AL103" s="32"/>
    </row>
    <row r="104" spans="1:38">
      <c r="A104" s="32" t="str">
        <f>_xlfn.TEXTJOIN("",TRUE,_xlfn.XLOOKUP(B104,Input!J:J,Input!G:G,"",0,1),_xlfn.XLOOKUP(B104,Input!J:J,Input!H:H,"",0,1))</f>
        <v/>
      </c>
      <c r="B104" s="32"/>
      <c r="C104" s="51">
        <f>_xlfn.XLOOKUP(B104,Input!J:J,Input!F:F)</f>
        <v>0</v>
      </c>
      <c r="D104" s="32">
        <f>_xlfn.XLOOKUP(C104,Models!H:H,Models!G:G,C104)</f>
        <v>0</v>
      </c>
      <c r="E104" s="32">
        <f>_xlfn.XLOOKUP(B104,Input!J:J,Input!E:E)</f>
        <v>0</v>
      </c>
      <c r="F104" s="32">
        <f>IF(E104="LENOVO",_xlfn.XLOOKUP(B104,Input!J:J,Input!K:K),_xlfn.XLOOKUP(B104,Input!J:J,Input!L:L))</f>
        <v>0</v>
      </c>
      <c r="G104" s="32"/>
      <c r="H104" s="32"/>
      <c r="I104" s="32">
        <f>_xlfn.XLOOKUP(B104,CPU_Formula!A:A,CPU_Formula!I:I)</f>
        <v>0</v>
      </c>
      <c r="J104" s="51" t="e">
        <f>INDEX(Input!$D$2:$AC$500,
       MATCH(B104, Input!$J$2:$J$500, 0),
       MATCH("Total Memory", Input!$D$1:$AC$1, 0))</f>
        <v>#N/A</v>
      </c>
      <c r="K104" s="51" t="e">
        <f>INDEX(Input!$D$2:$AC$500,
       MATCH(B104, Input!$J$2:$J$500, 0),
       MATCH("Memory Type", Input!$D$1:$AC$1, 0))</f>
        <v>#N/A</v>
      </c>
      <c r="L104" s="51" t="str" cm="1">
        <f t="array" ref="L104">IFERROR(_xlfn.FILTERXML("&lt;t&gt;&lt;s&gt;" &amp; SUBSTITUTE(K104," / ","&lt;/s&gt;&lt;s&gt;") &amp; "&lt;/s&gt;&lt;/t&gt;","(//s[contains(.,'DDR')])[1]"),"")</f>
        <v/>
      </c>
      <c r="M104" s="32" t="e">
        <f t="shared" si="5"/>
        <v>#N/A</v>
      </c>
      <c r="N104" s="51" t="e">
        <f>INDEX(Input!$D$2:$AC$500,
       MATCH(B104, Input!$J$2:$J$500, 0),
       MATCH("Disk Interface Type", Input!$D$1:$AC$1, 0))</f>
        <v>#N/A</v>
      </c>
      <c r="O104" s="51" t="str" cm="1">
        <f t="array" ref="O104">IFERROR(_xlfn.TEXTJOIN(", ", TRUE, _xlfn._xlws.FILTER(
    INDEX(Input!$D$2:$AC$500,,MATCH("Disk Capacity",Input!$D$1:$AC$1,0)),
    Input!$J$2:$J$500=B104
)), "")</f>
        <v/>
      </c>
      <c r="P104" s="32" t="e">
        <f t="shared" si="4"/>
        <v>#N/A</v>
      </c>
      <c r="Q104" s="51" t="e">
        <f>_xlfn.LET(_xlpm.Result,INDEX(Input!$D$2:$AC$500,
       MATCH(B104, Input!$J$2:$J$500, 0),
       MATCH("Capacity", Input!$D$1:$AC$1, 0)),IF(_xlpm.Result="","",_xlpm.Result))</f>
        <v>#N/A</v>
      </c>
      <c r="R104" s="51" t="e" cm="1">
        <f t="array" ref="R104">_xlfn.TEXTSPLIT(Q104," / ", ,TRUE,0,)</f>
        <v>#N/A</v>
      </c>
      <c r="S104" s="51"/>
      <c r="T104" s="51" t="str" cm="1">
        <f t="array" ref="T104">IFERROR(_xlfn.IFS(
R104="","",
--R104&lt;55,"Battery Defect",
--R104&lt;=69,"Battery D",
--R104&lt;=80,"Battery C",
--R104&gt;80,""
),"")</f>
        <v/>
      </c>
      <c r="U104" s="51" t="str" cm="1">
        <f t="array" ref="U104">IFERROR(_xlfn.IFS(
S104="","",
--S104&lt;55,"Battery Defect",
--S104&lt;=69,"Battery D",
--S104&lt;=80,"Battery C",
--S104&gt;80,""
),"")</f>
        <v/>
      </c>
      <c r="V104" s="51" t="str" cm="1">
        <f t="array" ref="V104:AC104">IFERROR(IF(_xlfn.XLOOKUP(B104,Input!J:J,Input!N:U)=0,"",
          _xlfn.XLOOKUP(B104,Input!J:J,Input!N:U)),"")</f>
        <v/>
      </c>
      <c r="W104" s="51" t="str">
        <v/>
      </c>
      <c r="X104" s="51" t="str">
        <v/>
      </c>
      <c r="Y104" s="51" t="str">
        <v/>
      </c>
      <c r="Z104" s="51" t="str">
        <v/>
      </c>
      <c r="AA104" s="51" t="str">
        <v/>
      </c>
      <c r="AB104" s="51" t="str">
        <v/>
      </c>
      <c r="AC104" s="51" t="str">
        <v/>
      </c>
      <c r="AD104" s="32" t="str">
        <f t="shared" si="3"/>
        <v/>
      </c>
      <c r="AE104" s="32" t="str">
        <f>_xlfn.XLOOKUP(B:B,Disk_Pivot!G:G,Disk_Pivot!I:I)</f>
        <v>Yes x2</v>
      </c>
      <c r="AF104" s="32" t="str">
        <f>_xlfn.XLOOKUP(B104,Disk_Pivot!G:G,Disk_Pivot!N:N)</f>
        <v>Pass, Fail</v>
      </c>
      <c r="AG104" s="32"/>
      <c r="AH104" s="32"/>
      <c r="AI104" s="32"/>
      <c r="AJ104" s="32"/>
      <c r="AK104" s="32"/>
      <c r="AL104" s="32"/>
    </row>
    <row r="105" spans="1:38">
      <c r="A105" s="32" t="str">
        <f>_xlfn.TEXTJOIN("",TRUE,_xlfn.XLOOKUP(B105,Input!J:J,Input!G:G,"",0,1),_xlfn.XLOOKUP(B105,Input!J:J,Input!H:H,"",0,1))</f>
        <v/>
      </c>
      <c r="B105" s="32"/>
      <c r="C105" s="51">
        <f>_xlfn.XLOOKUP(B105,Input!J:J,Input!F:F)</f>
        <v>0</v>
      </c>
      <c r="D105" s="32">
        <f>_xlfn.XLOOKUP(C105,Models!H:H,Models!G:G,C105)</f>
        <v>0</v>
      </c>
      <c r="E105" s="32">
        <f>_xlfn.XLOOKUP(B105,Input!J:J,Input!E:E)</f>
        <v>0</v>
      </c>
      <c r="F105" s="32">
        <f>IF(E105="LENOVO",_xlfn.XLOOKUP(B105,Input!J:J,Input!K:K),_xlfn.XLOOKUP(B105,Input!J:J,Input!L:L))</f>
        <v>0</v>
      </c>
      <c r="G105" s="32"/>
      <c r="H105" s="32"/>
      <c r="I105" s="32">
        <f>_xlfn.XLOOKUP(B105,CPU_Formula!A:A,CPU_Formula!I:I)</f>
        <v>0</v>
      </c>
      <c r="J105" s="51" t="e">
        <f>INDEX(Input!$D$2:$AC$500,
       MATCH(B105, Input!$J$2:$J$500, 0),
       MATCH("Total Memory", Input!$D$1:$AC$1, 0))</f>
        <v>#N/A</v>
      </c>
      <c r="K105" s="51" t="e">
        <f>INDEX(Input!$D$2:$AC$500,
       MATCH(B105, Input!$J$2:$J$500, 0),
       MATCH("Memory Type", Input!$D$1:$AC$1, 0))</f>
        <v>#N/A</v>
      </c>
      <c r="L105" s="51" t="str" cm="1">
        <f t="array" ref="L105">IFERROR(_xlfn.FILTERXML("&lt;t&gt;&lt;s&gt;" &amp; SUBSTITUTE(K105," / ","&lt;/s&gt;&lt;s&gt;") &amp; "&lt;/s&gt;&lt;/t&gt;","(//s[contains(.,'DDR')])[1]"),"")</f>
        <v/>
      </c>
      <c r="M105" s="32" t="e">
        <f t="shared" si="5"/>
        <v>#N/A</v>
      </c>
      <c r="N105" s="51" t="e">
        <f>INDEX(Input!$D$2:$AC$500,
       MATCH(B105, Input!$J$2:$J$500, 0),
       MATCH("Disk Interface Type", Input!$D$1:$AC$1, 0))</f>
        <v>#N/A</v>
      </c>
      <c r="O105" s="51" t="str" cm="1">
        <f t="array" ref="O105">IFERROR(_xlfn.TEXTJOIN(", ", TRUE, _xlfn._xlws.FILTER(
    INDEX(Input!$D$2:$AC$500,,MATCH("Disk Capacity",Input!$D$1:$AC$1,0)),
    Input!$J$2:$J$500=B105
)), "")</f>
        <v/>
      </c>
      <c r="P105" s="32" t="e">
        <f t="shared" si="4"/>
        <v>#N/A</v>
      </c>
      <c r="Q105" s="51" t="e">
        <f>_xlfn.LET(_xlpm.Result,INDEX(Input!$D$2:$AC$500,
       MATCH(B105, Input!$J$2:$J$500, 0),
       MATCH("Capacity", Input!$D$1:$AC$1, 0)),IF(_xlpm.Result="","",_xlpm.Result))</f>
        <v>#N/A</v>
      </c>
      <c r="R105" s="51" t="e" cm="1">
        <f t="array" ref="R105">_xlfn.TEXTSPLIT(Q105," / ", ,TRUE,0,)</f>
        <v>#N/A</v>
      </c>
      <c r="S105" s="51"/>
      <c r="T105" s="51" t="str" cm="1">
        <f t="array" ref="T105">IFERROR(_xlfn.IFS(
R105="","",
--R105&lt;55,"Battery Defect",
--R105&lt;=69,"Battery D",
--R105&lt;=80,"Battery C",
--R105&gt;80,""
),"")</f>
        <v/>
      </c>
      <c r="U105" s="51" t="str" cm="1">
        <f t="array" ref="U105">IFERROR(_xlfn.IFS(
S105="","",
--S105&lt;55,"Battery Defect",
--S105&lt;=69,"Battery D",
--S105&lt;=80,"Battery C",
--S105&gt;80,""
),"")</f>
        <v/>
      </c>
      <c r="V105" s="51" t="str" cm="1">
        <f t="array" ref="V105:AC105">IFERROR(IF(_xlfn.XLOOKUP(B105,Input!J:J,Input!N:U)=0,"",
          _xlfn.XLOOKUP(B105,Input!J:J,Input!N:U)),"")</f>
        <v/>
      </c>
      <c r="W105" s="51" t="str">
        <v/>
      </c>
      <c r="X105" s="51" t="str">
        <v/>
      </c>
      <c r="Y105" s="51" t="str">
        <v/>
      </c>
      <c r="Z105" s="51" t="str">
        <v/>
      </c>
      <c r="AA105" s="51" t="str">
        <v/>
      </c>
      <c r="AB105" s="51" t="str">
        <v/>
      </c>
      <c r="AC105" s="51" t="str">
        <v/>
      </c>
      <c r="AD105" s="32" t="str">
        <f t="shared" si="3"/>
        <v/>
      </c>
      <c r="AE105" s="32" t="str">
        <f>_xlfn.XLOOKUP(B:B,Disk_Pivot!G:G,Disk_Pivot!I:I)</f>
        <v>Yes x2</v>
      </c>
      <c r="AF105" s="32" t="str">
        <f>_xlfn.XLOOKUP(B105,Disk_Pivot!G:G,Disk_Pivot!N:N)</f>
        <v>Pass, Fail</v>
      </c>
      <c r="AG105" s="32"/>
      <c r="AH105" s="32"/>
      <c r="AI105" s="32"/>
      <c r="AJ105" s="32"/>
      <c r="AK105" s="32"/>
      <c r="AL105" s="32"/>
    </row>
    <row r="106" spans="1:38">
      <c r="A106" s="32" t="str">
        <f>_xlfn.TEXTJOIN("",TRUE,_xlfn.XLOOKUP(B106,Input!J:J,Input!G:G,"",0,1),_xlfn.XLOOKUP(B106,Input!J:J,Input!H:H,"",0,1))</f>
        <v/>
      </c>
      <c r="B106" s="32"/>
      <c r="C106" s="51">
        <f>_xlfn.XLOOKUP(B106,Input!J:J,Input!F:F)</f>
        <v>0</v>
      </c>
      <c r="D106" s="32">
        <f>_xlfn.XLOOKUP(C106,Models!H:H,Models!G:G,C106)</f>
        <v>0</v>
      </c>
      <c r="E106" s="32">
        <f>_xlfn.XLOOKUP(B106,Input!J:J,Input!E:E)</f>
        <v>0</v>
      </c>
      <c r="F106" s="32">
        <f>IF(E106="LENOVO",_xlfn.XLOOKUP(B106,Input!J:J,Input!K:K),_xlfn.XLOOKUP(B106,Input!J:J,Input!L:L))</f>
        <v>0</v>
      </c>
      <c r="G106" s="32"/>
      <c r="H106" s="32"/>
      <c r="I106" s="32">
        <f>_xlfn.XLOOKUP(B106,CPU_Formula!A:A,CPU_Formula!I:I)</f>
        <v>0</v>
      </c>
      <c r="J106" s="51" t="e">
        <f>INDEX(Input!$D$2:$AC$500,
       MATCH(B106, Input!$J$2:$J$500, 0),
       MATCH("Total Memory", Input!$D$1:$AC$1, 0))</f>
        <v>#N/A</v>
      </c>
      <c r="K106" s="51" t="e">
        <f>INDEX(Input!$D$2:$AC$500,
       MATCH(B106, Input!$J$2:$J$500, 0),
       MATCH("Memory Type", Input!$D$1:$AC$1, 0))</f>
        <v>#N/A</v>
      </c>
      <c r="L106" s="51" t="str" cm="1">
        <f t="array" ref="L106">IFERROR(_xlfn.FILTERXML("&lt;t&gt;&lt;s&gt;" &amp; SUBSTITUTE(K106," / ","&lt;/s&gt;&lt;s&gt;") &amp; "&lt;/s&gt;&lt;/t&gt;","(//s[contains(.,'DDR')])[1]"),"")</f>
        <v/>
      </c>
      <c r="M106" s="32" t="e">
        <f t="shared" si="5"/>
        <v>#N/A</v>
      </c>
      <c r="N106" s="51" t="e">
        <f>INDEX(Input!$D$2:$AC$500,
       MATCH(B106, Input!$J$2:$J$500, 0),
       MATCH("Disk Interface Type", Input!$D$1:$AC$1, 0))</f>
        <v>#N/A</v>
      </c>
      <c r="O106" s="51" t="str" cm="1">
        <f t="array" ref="O106">IFERROR(_xlfn.TEXTJOIN(", ", TRUE, _xlfn._xlws.FILTER(
    INDEX(Input!$D$2:$AC$500,,MATCH("Disk Capacity",Input!$D$1:$AC$1,0)),
    Input!$J$2:$J$500=B106
)), "")</f>
        <v/>
      </c>
      <c r="P106" s="32" t="e">
        <f t="shared" si="4"/>
        <v>#N/A</v>
      </c>
      <c r="Q106" s="51" t="e">
        <f>_xlfn.LET(_xlpm.Result,INDEX(Input!$D$2:$AC$500,
       MATCH(B106, Input!$J$2:$J$500, 0),
       MATCH("Capacity", Input!$D$1:$AC$1, 0)),IF(_xlpm.Result="","",_xlpm.Result))</f>
        <v>#N/A</v>
      </c>
      <c r="R106" s="51" t="e" cm="1">
        <f t="array" ref="R106">_xlfn.TEXTSPLIT(Q106," / ", ,TRUE,0,)</f>
        <v>#N/A</v>
      </c>
      <c r="S106" s="51"/>
      <c r="T106" s="51" t="str" cm="1">
        <f t="array" ref="T106">IFERROR(_xlfn.IFS(
R106="","",
--R106&lt;55,"Battery Defect",
--R106&lt;=69,"Battery D",
--R106&lt;=80,"Battery C",
--R106&gt;80,""
),"")</f>
        <v/>
      </c>
      <c r="U106" s="51" t="str" cm="1">
        <f t="array" ref="U106">IFERROR(_xlfn.IFS(
S106="","",
--S106&lt;55,"Battery Defect",
--S106&lt;=69,"Battery D",
--S106&lt;=80,"Battery C",
--S106&gt;80,""
),"")</f>
        <v/>
      </c>
      <c r="V106" s="51" t="str" cm="1">
        <f t="array" ref="V106:AC106">IFERROR(IF(_xlfn.XLOOKUP(B106,Input!J:J,Input!N:U)=0,"",
          _xlfn.XLOOKUP(B106,Input!J:J,Input!N:U)),"")</f>
        <v/>
      </c>
      <c r="W106" s="51" t="str">
        <v/>
      </c>
      <c r="X106" s="51" t="str">
        <v/>
      </c>
      <c r="Y106" s="51" t="str">
        <v/>
      </c>
      <c r="Z106" s="51" t="str">
        <v/>
      </c>
      <c r="AA106" s="51" t="str">
        <v/>
      </c>
      <c r="AB106" s="51" t="str">
        <v/>
      </c>
      <c r="AC106" s="51" t="str">
        <v/>
      </c>
      <c r="AD106" s="32" t="str">
        <f t="shared" si="3"/>
        <v/>
      </c>
      <c r="AE106" s="32" t="str">
        <f>_xlfn.XLOOKUP(B:B,Disk_Pivot!G:G,Disk_Pivot!I:I)</f>
        <v>Yes x2</v>
      </c>
      <c r="AF106" s="32" t="str">
        <f>_xlfn.XLOOKUP(B106,Disk_Pivot!G:G,Disk_Pivot!N:N)</f>
        <v>Pass, Fail</v>
      </c>
      <c r="AG106" s="32"/>
      <c r="AH106" s="32"/>
      <c r="AI106" s="32"/>
      <c r="AJ106" s="32"/>
      <c r="AK106" s="32"/>
      <c r="AL106" s="32"/>
    </row>
    <row r="107" spans="1:38">
      <c r="A107" s="32" t="str">
        <f>_xlfn.TEXTJOIN("",TRUE,_xlfn.XLOOKUP(B107,Input!J:J,Input!G:G,"",0,1),_xlfn.XLOOKUP(B107,Input!J:J,Input!H:H,"",0,1))</f>
        <v/>
      </c>
      <c r="B107" s="32"/>
      <c r="C107" s="51">
        <f>_xlfn.XLOOKUP(B107,Input!J:J,Input!F:F)</f>
        <v>0</v>
      </c>
      <c r="D107" s="32">
        <f>_xlfn.XLOOKUP(C107,Models!H:H,Models!G:G,C107)</f>
        <v>0</v>
      </c>
      <c r="E107" s="32">
        <f>_xlfn.XLOOKUP(B107,Input!J:J,Input!E:E)</f>
        <v>0</v>
      </c>
      <c r="F107" s="32">
        <f>IF(E107="LENOVO",_xlfn.XLOOKUP(B107,Input!J:J,Input!K:K),_xlfn.XLOOKUP(B107,Input!J:J,Input!L:L))</f>
        <v>0</v>
      </c>
      <c r="G107" s="32"/>
      <c r="H107" s="32"/>
      <c r="I107" s="32">
        <f>_xlfn.XLOOKUP(B107,CPU_Formula!A:A,CPU_Formula!I:I)</f>
        <v>0</v>
      </c>
      <c r="J107" s="51" t="e">
        <f>INDEX(Input!$D$2:$AC$500,
       MATCH(B107, Input!$J$2:$J$500, 0),
       MATCH("Total Memory", Input!$D$1:$AC$1, 0))</f>
        <v>#N/A</v>
      </c>
      <c r="K107" s="51" t="e">
        <f>INDEX(Input!$D$2:$AC$500,
       MATCH(B107, Input!$J$2:$J$500, 0),
       MATCH("Memory Type", Input!$D$1:$AC$1, 0))</f>
        <v>#N/A</v>
      </c>
      <c r="L107" s="51" t="str" cm="1">
        <f t="array" ref="L107">IFERROR(_xlfn.FILTERXML("&lt;t&gt;&lt;s&gt;" &amp; SUBSTITUTE(K107," / ","&lt;/s&gt;&lt;s&gt;") &amp; "&lt;/s&gt;&lt;/t&gt;","(//s[contains(.,'DDR')])[1]"),"")</f>
        <v/>
      </c>
      <c r="M107" s="32" t="e">
        <f t="shared" si="5"/>
        <v>#N/A</v>
      </c>
      <c r="N107" s="51" t="e">
        <f>INDEX(Input!$D$2:$AC$500,
       MATCH(B107, Input!$J$2:$J$500, 0),
       MATCH("Disk Interface Type", Input!$D$1:$AC$1, 0))</f>
        <v>#N/A</v>
      </c>
      <c r="O107" s="51" t="str" cm="1">
        <f t="array" ref="O107">IFERROR(_xlfn.TEXTJOIN(", ", TRUE, _xlfn._xlws.FILTER(
    INDEX(Input!$D$2:$AC$500,,MATCH("Disk Capacity",Input!$D$1:$AC$1,0)),
    Input!$J$2:$J$500=B107
)), "")</f>
        <v/>
      </c>
      <c r="P107" s="32" t="e">
        <f t="shared" si="4"/>
        <v>#N/A</v>
      </c>
      <c r="Q107" s="51" t="e">
        <f>_xlfn.LET(_xlpm.Result,INDEX(Input!$D$2:$AC$500,
       MATCH(B107, Input!$J$2:$J$500, 0),
       MATCH("Capacity", Input!$D$1:$AC$1, 0)),IF(_xlpm.Result="","",_xlpm.Result))</f>
        <v>#N/A</v>
      </c>
      <c r="R107" s="51" t="e" cm="1">
        <f t="array" ref="R107">_xlfn.TEXTSPLIT(Q107," / ", ,TRUE,0,)</f>
        <v>#N/A</v>
      </c>
      <c r="S107" s="51"/>
      <c r="T107" s="51" t="str" cm="1">
        <f t="array" ref="T107">IFERROR(_xlfn.IFS(
R107="","",
--R107&lt;55,"Battery Defect",
--R107&lt;=69,"Battery D",
--R107&lt;=80,"Battery C",
--R107&gt;80,""
),"")</f>
        <v/>
      </c>
      <c r="U107" s="51" t="str" cm="1">
        <f t="array" ref="U107">IFERROR(_xlfn.IFS(
S107="","",
--S107&lt;55,"Battery Defect",
--S107&lt;=69,"Battery D",
--S107&lt;=80,"Battery C",
--S107&gt;80,""
),"")</f>
        <v/>
      </c>
      <c r="V107" s="51" t="str" cm="1">
        <f t="array" ref="V107:AC107">IFERROR(IF(_xlfn.XLOOKUP(B107,Input!J:J,Input!N:U)=0,"",
          _xlfn.XLOOKUP(B107,Input!J:J,Input!N:U)),"")</f>
        <v/>
      </c>
      <c r="W107" s="51" t="str">
        <v/>
      </c>
      <c r="X107" s="51" t="str">
        <v/>
      </c>
      <c r="Y107" s="51" t="str">
        <v/>
      </c>
      <c r="Z107" s="51" t="str">
        <v/>
      </c>
      <c r="AA107" s="51" t="str">
        <v/>
      </c>
      <c r="AB107" s="51" t="str">
        <v/>
      </c>
      <c r="AC107" s="51" t="str">
        <v/>
      </c>
      <c r="AD107" s="32" t="str">
        <f t="shared" si="3"/>
        <v/>
      </c>
      <c r="AE107" s="32" t="str">
        <f>_xlfn.XLOOKUP(B:B,Disk_Pivot!G:G,Disk_Pivot!I:I)</f>
        <v>Yes x2</v>
      </c>
      <c r="AF107" s="32" t="str">
        <f>_xlfn.XLOOKUP(B107,Disk_Pivot!G:G,Disk_Pivot!N:N)</f>
        <v>Pass, Fail</v>
      </c>
      <c r="AG107" s="32"/>
      <c r="AH107" s="32"/>
      <c r="AI107" s="32"/>
      <c r="AJ107" s="32"/>
      <c r="AK107" s="32"/>
      <c r="AL107" s="32"/>
    </row>
    <row r="108" spans="1:38">
      <c r="A108" s="32" t="str">
        <f>_xlfn.TEXTJOIN("",TRUE,_xlfn.XLOOKUP(B108,Input!J:J,Input!G:G,"",0,1),_xlfn.XLOOKUP(B108,Input!J:J,Input!H:H,"",0,1))</f>
        <v/>
      </c>
      <c r="B108" s="32"/>
      <c r="C108" s="51">
        <f>_xlfn.XLOOKUP(B108,Input!J:J,Input!F:F)</f>
        <v>0</v>
      </c>
      <c r="D108" s="32">
        <f>_xlfn.XLOOKUP(C108,Models!H:H,Models!G:G,C108)</f>
        <v>0</v>
      </c>
      <c r="E108" s="32">
        <f>_xlfn.XLOOKUP(B108,Input!J:J,Input!E:E)</f>
        <v>0</v>
      </c>
      <c r="F108" s="32">
        <f>IF(E108="LENOVO",_xlfn.XLOOKUP(B108,Input!J:J,Input!K:K),_xlfn.XLOOKUP(B108,Input!J:J,Input!L:L))</f>
        <v>0</v>
      </c>
      <c r="G108" s="32"/>
      <c r="H108" s="32"/>
      <c r="I108" s="32">
        <f>_xlfn.XLOOKUP(B108,CPU_Formula!A:A,CPU_Formula!I:I)</f>
        <v>0</v>
      </c>
      <c r="J108" s="51" t="e">
        <f>INDEX(Input!$D$2:$AC$500,
       MATCH(B108, Input!$J$2:$J$500, 0),
       MATCH("Total Memory", Input!$D$1:$AC$1, 0))</f>
        <v>#N/A</v>
      </c>
      <c r="K108" s="51" t="e">
        <f>INDEX(Input!$D$2:$AC$500,
       MATCH(B108, Input!$J$2:$J$500, 0),
       MATCH("Memory Type", Input!$D$1:$AC$1, 0))</f>
        <v>#N/A</v>
      </c>
      <c r="L108" s="51" t="str" cm="1">
        <f t="array" ref="L108">IFERROR(_xlfn.FILTERXML("&lt;t&gt;&lt;s&gt;" &amp; SUBSTITUTE(K108," / ","&lt;/s&gt;&lt;s&gt;") &amp; "&lt;/s&gt;&lt;/t&gt;","(//s[contains(.,'DDR')])[1]"),"")</f>
        <v/>
      </c>
      <c r="M108" s="32" t="e">
        <f t="shared" si="5"/>
        <v>#N/A</v>
      </c>
      <c r="N108" s="51" t="e">
        <f>INDEX(Input!$D$2:$AC$500,
       MATCH(B108, Input!$J$2:$J$500, 0),
       MATCH("Disk Interface Type", Input!$D$1:$AC$1, 0))</f>
        <v>#N/A</v>
      </c>
      <c r="O108" s="51" t="str" cm="1">
        <f t="array" ref="O108">IFERROR(_xlfn.TEXTJOIN(", ", TRUE, _xlfn._xlws.FILTER(
    INDEX(Input!$D$2:$AC$500,,MATCH("Disk Capacity",Input!$D$1:$AC$1,0)),
    Input!$J$2:$J$500=B108
)), "")</f>
        <v/>
      </c>
      <c r="P108" s="32" t="e">
        <f t="shared" si="4"/>
        <v>#N/A</v>
      </c>
      <c r="Q108" s="51" t="e">
        <f>_xlfn.LET(_xlpm.Result,INDEX(Input!$D$2:$AC$500,
       MATCH(B108, Input!$J$2:$J$500, 0),
       MATCH("Capacity", Input!$D$1:$AC$1, 0)),IF(_xlpm.Result="","",_xlpm.Result))</f>
        <v>#N/A</v>
      </c>
      <c r="R108" s="51" t="e" cm="1">
        <f t="array" ref="R108">_xlfn.TEXTSPLIT(Q108," / ", ,TRUE,0,)</f>
        <v>#N/A</v>
      </c>
      <c r="S108" s="51"/>
      <c r="T108" s="51" t="str" cm="1">
        <f t="array" ref="T108">IFERROR(_xlfn.IFS(
R108="","",
--R108&lt;55,"Battery Defect",
--R108&lt;=69,"Battery D",
--R108&lt;=80,"Battery C",
--R108&gt;80,""
),"")</f>
        <v/>
      </c>
      <c r="U108" s="51" t="str" cm="1">
        <f t="array" ref="U108">IFERROR(_xlfn.IFS(
S108="","",
--S108&lt;55,"Battery Defect",
--S108&lt;=69,"Battery D",
--S108&lt;=80,"Battery C",
--S108&gt;80,""
),"")</f>
        <v/>
      </c>
      <c r="V108" s="51" t="str" cm="1">
        <f t="array" ref="V108:AC108">IFERROR(IF(_xlfn.XLOOKUP(B108,Input!J:J,Input!N:U)=0,"",
          _xlfn.XLOOKUP(B108,Input!J:J,Input!N:U)),"")</f>
        <v/>
      </c>
      <c r="W108" s="51" t="str">
        <v/>
      </c>
      <c r="X108" s="51" t="str">
        <v/>
      </c>
      <c r="Y108" s="51" t="str">
        <v/>
      </c>
      <c r="Z108" s="51" t="str">
        <v/>
      </c>
      <c r="AA108" s="51" t="str">
        <v/>
      </c>
      <c r="AB108" s="51" t="str">
        <v/>
      </c>
      <c r="AC108" s="51" t="str">
        <v/>
      </c>
      <c r="AD108" s="32" t="str">
        <f t="shared" si="3"/>
        <v/>
      </c>
      <c r="AE108" s="32" t="str">
        <f>_xlfn.XLOOKUP(B:B,Disk_Pivot!G:G,Disk_Pivot!I:I)</f>
        <v>Yes x2</v>
      </c>
      <c r="AF108" s="32" t="str">
        <f>_xlfn.XLOOKUP(B108,Disk_Pivot!G:G,Disk_Pivot!N:N)</f>
        <v>Pass, Fail</v>
      </c>
      <c r="AG108" s="32"/>
      <c r="AH108" s="32"/>
      <c r="AI108" s="32"/>
      <c r="AJ108" s="32"/>
      <c r="AK108" s="32"/>
      <c r="AL108" s="32"/>
    </row>
    <row r="109" spans="1:38">
      <c r="A109" s="32" t="str">
        <f>_xlfn.TEXTJOIN("",TRUE,_xlfn.XLOOKUP(B109,Input!J:J,Input!G:G,"",0,1),_xlfn.XLOOKUP(B109,Input!J:J,Input!H:H,"",0,1))</f>
        <v/>
      </c>
      <c r="B109" s="32"/>
      <c r="C109" s="51">
        <f>_xlfn.XLOOKUP(B109,Input!J:J,Input!F:F)</f>
        <v>0</v>
      </c>
      <c r="D109" s="32">
        <f>_xlfn.XLOOKUP(C109,Models!H:H,Models!G:G,C109)</f>
        <v>0</v>
      </c>
      <c r="E109" s="32">
        <f>_xlfn.XLOOKUP(B109,Input!J:J,Input!E:E)</f>
        <v>0</v>
      </c>
      <c r="F109" s="32">
        <f>IF(E109="LENOVO",_xlfn.XLOOKUP(B109,Input!J:J,Input!K:K),_xlfn.XLOOKUP(B109,Input!J:J,Input!L:L))</f>
        <v>0</v>
      </c>
      <c r="G109" s="32"/>
      <c r="H109" s="32"/>
      <c r="I109" s="32">
        <f>_xlfn.XLOOKUP(B109,CPU_Formula!A:A,CPU_Formula!I:I)</f>
        <v>0</v>
      </c>
      <c r="J109" s="51" t="e">
        <f>INDEX(Input!$D$2:$AC$500,
       MATCH(B109, Input!$J$2:$J$500, 0),
       MATCH("Total Memory", Input!$D$1:$AC$1, 0))</f>
        <v>#N/A</v>
      </c>
      <c r="K109" s="51" t="e">
        <f>INDEX(Input!$D$2:$AC$500,
       MATCH(B109, Input!$J$2:$J$500, 0),
       MATCH("Memory Type", Input!$D$1:$AC$1, 0))</f>
        <v>#N/A</v>
      </c>
      <c r="L109" s="51" t="str" cm="1">
        <f t="array" ref="L109">IFERROR(_xlfn.FILTERXML("&lt;t&gt;&lt;s&gt;" &amp; SUBSTITUTE(K109," / ","&lt;/s&gt;&lt;s&gt;") &amp; "&lt;/s&gt;&lt;/t&gt;","(//s[contains(.,'DDR')])[1]"),"")</f>
        <v/>
      </c>
      <c r="M109" s="32" t="e">
        <f t="shared" si="5"/>
        <v>#N/A</v>
      </c>
      <c r="N109" s="51" t="e">
        <f>INDEX(Input!$D$2:$AC$500,
       MATCH(B109, Input!$J$2:$J$500, 0),
       MATCH("Disk Interface Type", Input!$D$1:$AC$1, 0))</f>
        <v>#N/A</v>
      </c>
      <c r="O109" s="51" t="str" cm="1">
        <f t="array" ref="O109">IFERROR(_xlfn.TEXTJOIN(", ", TRUE, _xlfn._xlws.FILTER(
    INDEX(Input!$D$2:$AC$500,,MATCH("Disk Capacity",Input!$D$1:$AC$1,0)),
    Input!$J$2:$J$500=B109
)), "")</f>
        <v/>
      </c>
      <c r="P109" s="32" t="e">
        <f t="shared" si="4"/>
        <v>#N/A</v>
      </c>
      <c r="Q109" s="51" t="e">
        <f>_xlfn.LET(_xlpm.Result,INDEX(Input!$D$2:$AC$500,
       MATCH(B109, Input!$J$2:$J$500, 0),
       MATCH("Capacity", Input!$D$1:$AC$1, 0)),IF(_xlpm.Result="","",_xlpm.Result))</f>
        <v>#N/A</v>
      </c>
      <c r="R109" s="51" t="e" cm="1">
        <f t="array" ref="R109">_xlfn.TEXTSPLIT(Q109," / ", ,TRUE,0,)</f>
        <v>#N/A</v>
      </c>
      <c r="S109" s="51"/>
      <c r="T109" s="51" t="str" cm="1">
        <f t="array" ref="T109">IFERROR(_xlfn.IFS(
R109="","",
--R109&lt;55,"Battery Defect",
--R109&lt;=69,"Battery D",
--R109&lt;=80,"Battery C",
--R109&gt;80,""
),"")</f>
        <v/>
      </c>
      <c r="U109" s="51" t="str" cm="1">
        <f t="array" ref="U109">IFERROR(_xlfn.IFS(
S109="","",
--S109&lt;55,"Battery Defect",
--S109&lt;=69,"Battery D",
--S109&lt;=80,"Battery C",
--S109&gt;80,""
),"")</f>
        <v/>
      </c>
      <c r="V109" s="51" t="str" cm="1">
        <f t="array" ref="V109:AC109">IFERROR(IF(_xlfn.XLOOKUP(B109,Input!J:J,Input!N:U)=0,"",
          _xlfn.XLOOKUP(B109,Input!J:J,Input!N:U)),"")</f>
        <v/>
      </c>
      <c r="W109" s="51" t="str">
        <v/>
      </c>
      <c r="X109" s="51" t="str">
        <v/>
      </c>
      <c r="Y109" s="51" t="str">
        <v/>
      </c>
      <c r="Z109" s="51" t="str">
        <v/>
      </c>
      <c r="AA109" s="51" t="str">
        <v/>
      </c>
      <c r="AB109" s="51" t="str">
        <v/>
      </c>
      <c r="AC109" s="51" t="str">
        <v/>
      </c>
      <c r="AD109" s="32" t="str">
        <f t="shared" si="3"/>
        <v/>
      </c>
      <c r="AE109" s="32" t="str">
        <f>_xlfn.XLOOKUP(B:B,Disk_Pivot!G:G,Disk_Pivot!I:I)</f>
        <v>Yes x2</v>
      </c>
      <c r="AF109" s="32" t="str">
        <f>_xlfn.XLOOKUP(B109,Disk_Pivot!G:G,Disk_Pivot!N:N)</f>
        <v>Pass, Fail</v>
      </c>
      <c r="AG109" s="32"/>
      <c r="AH109" s="32"/>
      <c r="AI109" s="32"/>
      <c r="AJ109" s="32"/>
      <c r="AK109" s="32"/>
      <c r="AL109" s="32"/>
    </row>
    <row r="110" spans="1:38">
      <c r="A110" s="32" t="str">
        <f>_xlfn.TEXTJOIN("",TRUE,_xlfn.XLOOKUP(B110,Input!J:J,Input!G:G,"",0,1),_xlfn.XLOOKUP(B110,Input!J:J,Input!H:H,"",0,1))</f>
        <v/>
      </c>
      <c r="B110" s="32"/>
      <c r="C110" s="51">
        <f>_xlfn.XLOOKUP(B110,Input!J:J,Input!F:F)</f>
        <v>0</v>
      </c>
      <c r="D110" s="32">
        <f>_xlfn.XLOOKUP(C110,Models!H:H,Models!G:G,C110)</f>
        <v>0</v>
      </c>
      <c r="E110" s="32">
        <f>_xlfn.XLOOKUP(B110,Input!J:J,Input!E:E)</f>
        <v>0</v>
      </c>
      <c r="F110" s="32">
        <f>IF(E110="LENOVO",_xlfn.XLOOKUP(B110,Input!J:J,Input!K:K),_xlfn.XLOOKUP(B110,Input!J:J,Input!L:L))</f>
        <v>0</v>
      </c>
      <c r="G110" s="32"/>
      <c r="H110" s="32"/>
      <c r="I110" s="32">
        <f>_xlfn.XLOOKUP(B110,CPU_Formula!A:A,CPU_Formula!I:I)</f>
        <v>0</v>
      </c>
      <c r="J110" s="51" t="e">
        <f>INDEX(Input!$D$2:$AC$500,
       MATCH(B110, Input!$J$2:$J$500, 0),
       MATCH("Total Memory", Input!$D$1:$AC$1, 0))</f>
        <v>#N/A</v>
      </c>
      <c r="K110" s="51" t="e">
        <f>INDEX(Input!$D$2:$AC$500,
       MATCH(B110, Input!$J$2:$J$500, 0),
       MATCH("Memory Type", Input!$D$1:$AC$1, 0))</f>
        <v>#N/A</v>
      </c>
      <c r="L110" s="51" t="str" cm="1">
        <f t="array" ref="L110">IFERROR(_xlfn.FILTERXML("&lt;t&gt;&lt;s&gt;" &amp; SUBSTITUTE(K110," / ","&lt;/s&gt;&lt;s&gt;") &amp; "&lt;/s&gt;&lt;/t&gt;","(//s[contains(.,'DDR')])[1]"),"")</f>
        <v/>
      </c>
      <c r="M110" s="32" t="e">
        <f t="shared" si="5"/>
        <v>#N/A</v>
      </c>
      <c r="N110" s="51" t="e">
        <f>INDEX(Input!$D$2:$AC$500,
       MATCH(B110, Input!$J$2:$J$500, 0),
       MATCH("Disk Interface Type", Input!$D$1:$AC$1, 0))</f>
        <v>#N/A</v>
      </c>
      <c r="O110" s="51" t="str" cm="1">
        <f t="array" ref="O110">IFERROR(_xlfn.TEXTJOIN(", ", TRUE, _xlfn._xlws.FILTER(
    INDEX(Input!$D$2:$AC$500,,MATCH("Disk Capacity",Input!$D$1:$AC$1,0)),
    Input!$J$2:$J$500=B110
)), "")</f>
        <v/>
      </c>
      <c r="P110" s="32" t="e">
        <f t="shared" si="4"/>
        <v>#N/A</v>
      </c>
      <c r="Q110" s="51" t="e">
        <f>_xlfn.LET(_xlpm.Result,INDEX(Input!$D$2:$AC$500,
       MATCH(B110, Input!$J$2:$J$500, 0),
       MATCH("Capacity", Input!$D$1:$AC$1, 0)),IF(_xlpm.Result="","",_xlpm.Result))</f>
        <v>#N/A</v>
      </c>
      <c r="R110" s="51" t="e" cm="1">
        <f t="array" ref="R110">_xlfn.TEXTSPLIT(Q110," / ", ,TRUE,0,)</f>
        <v>#N/A</v>
      </c>
      <c r="S110" s="51"/>
      <c r="T110" s="51" t="str" cm="1">
        <f t="array" ref="T110">IFERROR(_xlfn.IFS(
R110="","",
--R110&lt;55,"Battery Defect",
--R110&lt;=69,"Battery D",
--R110&lt;=80,"Battery C",
--R110&gt;80,""
),"")</f>
        <v/>
      </c>
      <c r="U110" s="51" t="str" cm="1">
        <f t="array" ref="U110">IFERROR(_xlfn.IFS(
S110="","",
--S110&lt;55,"Battery Defect",
--S110&lt;=69,"Battery D",
--S110&lt;=80,"Battery C",
--S110&gt;80,""
),"")</f>
        <v/>
      </c>
      <c r="V110" s="51" t="str" cm="1">
        <f t="array" ref="V110:AC110">IFERROR(IF(_xlfn.XLOOKUP(B110,Input!J:J,Input!N:U)=0,"",
          _xlfn.XLOOKUP(B110,Input!J:J,Input!N:U)),"")</f>
        <v/>
      </c>
      <c r="W110" s="51" t="str">
        <v/>
      </c>
      <c r="X110" s="51" t="str">
        <v/>
      </c>
      <c r="Y110" s="51" t="str">
        <v/>
      </c>
      <c r="Z110" s="51" t="str">
        <v/>
      </c>
      <c r="AA110" s="51" t="str">
        <v/>
      </c>
      <c r="AB110" s="51" t="str">
        <v/>
      </c>
      <c r="AC110" s="51" t="str">
        <v/>
      </c>
      <c r="AD110" s="32" t="str">
        <f t="shared" si="3"/>
        <v/>
      </c>
      <c r="AE110" s="32" t="str">
        <f>_xlfn.XLOOKUP(B:B,Disk_Pivot!G:G,Disk_Pivot!I:I)</f>
        <v>Yes x2</v>
      </c>
      <c r="AF110" s="32" t="str">
        <f>_xlfn.XLOOKUP(B110,Disk_Pivot!G:G,Disk_Pivot!N:N)</f>
        <v>Pass, Fail</v>
      </c>
      <c r="AG110" s="32"/>
      <c r="AH110" s="32"/>
      <c r="AI110" s="32"/>
      <c r="AJ110" s="32"/>
      <c r="AK110" s="32"/>
      <c r="AL110" s="32"/>
    </row>
    <row r="111" spans="1:38">
      <c r="A111" s="32" t="str">
        <f>_xlfn.TEXTJOIN("",TRUE,_xlfn.XLOOKUP(B111,Input!J:J,Input!G:G,"",0,1),_xlfn.XLOOKUP(B111,Input!J:J,Input!H:H,"",0,1))</f>
        <v/>
      </c>
      <c r="B111" s="32"/>
      <c r="C111" s="51">
        <f>_xlfn.XLOOKUP(B111,Input!J:J,Input!F:F)</f>
        <v>0</v>
      </c>
      <c r="D111" s="32">
        <f>_xlfn.XLOOKUP(C111,Models!H:H,Models!G:G,C111)</f>
        <v>0</v>
      </c>
      <c r="E111" s="32">
        <f>_xlfn.XLOOKUP(B111,Input!J:J,Input!E:E)</f>
        <v>0</v>
      </c>
      <c r="F111" s="32">
        <f>IF(E111="LENOVO",_xlfn.XLOOKUP(B111,Input!J:J,Input!K:K),_xlfn.XLOOKUP(B111,Input!J:J,Input!L:L))</f>
        <v>0</v>
      </c>
      <c r="G111" s="32"/>
      <c r="H111" s="32"/>
      <c r="I111" s="32">
        <f>_xlfn.XLOOKUP(B111,CPU_Formula!A:A,CPU_Formula!I:I)</f>
        <v>0</v>
      </c>
      <c r="J111" s="51" t="e">
        <f>INDEX(Input!$D$2:$AC$500,
       MATCH(B111, Input!$J$2:$J$500, 0),
       MATCH("Total Memory", Input!$D$1:$AC$1, 0))</f>
        <v>#N/A</v>
      </c>
      <c r="K111" s="51" t="e">
        <f>INDEX(Input!$D$2:$AC$500,
       MATCH(B111, Input!$J$2:$J$500, 0),
       MATCH("Memory Type", Input!$D$1:$AC$1, 0))</f>
        <v>#N/A</v>
      </c>
      <c r="L111" s="51" t="str" cm="1">
        <f t="array" ref="L111">IFERROR(_xlfn.FILTERXML("&lt;t&gt;&lt;s&gt;" &amp; SUBSTITUTE(K111," / ","&lt;/s&gt;&lt;s&gt;") &amp; "&lt;/s&gt;&lt;/t&gt;","(//s[contains(.,'DDR')])[1]"),"")</f>
        <v/>
      </c>
      <c r="M111" s="32" t="e">
        <f t="shared" si="5"/>
        <v>#N/A</v>
      </c>
      <c r="N111" s="51" t="e">
        <f>INDEX(Input!$D$2:$AC$500,
       MATCH(B111, Input!$J$2:$J$500, 0),
       MATCH("Disk Interface Type", Input!$D$1:$AC$1, 0))</f>
        <v>#N/A</v>
      </c>
      <c r="O111" s="51" t="str" cm="1">
        <f t="array" ref="O111">IFERROR(_xlfn.TEXTJOIN(", ", TRUE, _xlfn._xlws.FILTER(
    INDEX(Input!$D$2:$AC$500,,MATCH("Disk Capacity",Input!$D$1:$AC$1,0)),
    Input!$J$2:$J$500=B111
)), "")</f>
        <v/>
      </c>
      <c r="P111" s="32" t="e">
        <f t="shared" si="4"/>
        <v>#N/A</v>
      </c>
      <c r="Q111" s="51" t="e">
        <f>_xlfn.LET(_xlpm.Result,INDEX(Input!$D$2:$AC$500,
       MATCH(B111, Input!$J$2:$J$500, 0),
       MATCH("Capacity", Input!$D$1:$AC$1, 0)),IF(_xlpm.Result="","",_xlpm.Result))</f>
        <v>#N/A</v>
      </c>
      <c r="R111" s="51" t="e" cm="1">
        <f t="array" ref="R111">_xlfn.TEXTSPLIT(Q111," / ", ,TRUE,0,)</f>
        <v>#N/A</v>
      </c>
      <c r="S111" s="51"/>
      <c r="T111" s="51" t="str" cm="1">
        <f t="array" ref="T111">IFERROR(_xlfn.IFS(
R111="","",
--R111&lt;55,"Battery Defect",
--R111&lt;=69,"Battery D",
--R111&lt;=80,"Battery C",
--R111&gt;80,""
),"")</f>
        <v/>
      </c>
      <c r="U111" s="51" t="str" cm="1">
        <f t="array" ref="U111">IFERROR(_xlfn.IFS(
S111="","",
--S111&lt;55,"Battery Defect",
--S111&lt;=69,"Battery D",
--S111&lt;=80,"Battery C",
--S111&gt;80,""
),"")</f>
        <v/>
      </c>
      <c r="V111" s="51" t="str" cm="1">
        <f t="array" ref="V111:AC111">IFERROR(IF(_xlfn.XLOOKUP(B111,Input!J:J,Input!N:U)=0,"",
          _xlfn.XLOOKUP(B111,Input!J:J,Input!N:U)),"")</f>
        <v/>
      </c>
      <c r="W111" s="51" t="str">
        <v/>
      </c>
      <c r="X111" s="51" t="str">
        <v/>
      </c>
      <c r="Y111" s="51" t="str">
        <v/>
      </c>
      <c r="Z111" s="51" t="str">
        <v/>
      </c>
      <c r="AA111" s="51" t="str">
        <v/>
      </c>
      <c r="AB111" s="51" t="str">
        <v/>
      </c>
      <c r="AC111" s="51" t="str">
        <v/>
      </c>
      <c r="AD111" s="32" t="str">
        <f t="shared" si="3"/>
        <v/>
      </c>
      <c r="AE111" s="32" t="str">
        <f>_xlfn.XLOOKUP(B:B,Disk_Pivot!G:G,Disk_Pivot!I:I)</f>
        <v>Yes x2</v>
      </c>
      <c r="AF111" s="32" t="str">
        <f>_xlfn.XLOOKUP(B111,Disk_Pivot!G:G,Disk_Pivot!N:N)</f>
        <v>Pass, Fail</v>
      </c>
      <c r="AG111" s="32"/>
      <c r="AH111" s="32"/>
      <c r="AI111" s="32"/>
      <c r="AJ111" s="32"/>
      <c r="AK111" s="32"/>
      <c r="AL111" s="32"/>
    </row>
    <row r="112" spans="1:38">
      <c r="A112" s="32" t="str">
        <f>_xlfn.TEXTJOIN("",TRUE,_xlfn.XLOOKUP(B112,Input!J:J,Input!G:G,"",0,1),_xlfn.XLOOKUP(B112,Input!J:J,Input!H:H,"",0,1))</f>
        <v/>
      </c>
      <c r="B112" s="32"/>
      <c r="C112" s="51">
        <f>_xlfn.XLOOKUP(B112,Input!J:J,Input!F:F)</f>
        <v>0</v>
      </c>
      <c r="D112" s="32">
        <f>_xlfn.XLOOKUP(C112,Models!H:H,Models!G:G,C112)</f>
        <v>0</v>
      </c>
      <c r="E112" s="32">
        <f>_xlfn.XLOOKUP(B112,Input!J:J,Input!E:E)</f>
        <v>0</v>
      </c>
      <c r="F112" s="32">
        <f>IF(E112="LENOVO",_xlfn.XLOOKUP(B112,Input!J:J,Input!K:K),_xlfn.XLOOKUP(B112,Input!J:J,Input!L:L))</f>
        <v>0</v>
      </c>
      <c r="G112" s="32"/>
      <c r="H112" s="32"/>
      <c r="I112" s="32">
        <f>_xlfn.XLOOKUP(B112,CPU_Formula!A:A,CPU_Formula!I:I)</f>
        <v>0</v>
      </c>
      <c r="J112" s="51" t="e">
        <f>INDEX(Input!$D$2:$AC$500,
       MATCH(B112, Input!$J$2:$J$500, 0),
       MATCH("Total Memory", Input!$D$1:$AC$1, 0))</f>
        <v>#N/A</v>
      </c>
      <c r="K112" s="51" t="e">
        <f>INDEX(Input!$D$2:$AC$500,
       MATCH(B112, Input!$J$2:$J$500, 0),
       MATCH("Memory Type", Input!$D$1:$AC$1, 0))</f>
        <v>#N/A</v>
      </c>
      <c r="L112" s="51" t="str" cm="1">
        <f t="array" ref="L112">IFERROR(_xlfn.FILTERXML("&lt;t&gt;&lt;s&gt;" &amp; SUBSTITUTE(K112," / ","&lt;/s&gt;&lt;s&gt;") &amp; "&lt;/s&gt;&lt;/t&gt;","(//s[contains(.,'DDR')])[1]"),"")</f>
        <v/>
      </c>
      <c r="M112" s="32" t="e">
        <f t="shared" si="5"/>
        <v>#N/A</v>
      </c>
      <c r="N112" s="51" t="e">
        <f>INDEX(Input!$D$2:$AC$500,
       MATCH(B112, Input!$J$2:$J$500, 0),
       MATCH("Disk Interface Type", Input!$D$1:$AC$1, 0))</f>
        <v>#N/A</v>
      </c>
      <c r="O112" s="51" t="str" cm="1">
        <f t="array" ref="O112">IFERROR(_xlfn.TEXTJOIN(", ", TRUE, _xlfn._xlws.FILTER(
    INDEX(Input!$D$2:$AC$500,,MATCH("Disk Capacity",Input!$D$1:$AC$1,0)),
    Input!$J$2:$J$500=B112
)), "")</f>
        <v/>
      </c>
      <c r="P112" s="32" t="e">
        <f t="shared" si="4"/>
        <v>#N/A</v>
      </c>
      <c r="Q112" s="51" t="e">
        <f>_xlfn.LET(_xlpm.Result,INDEX(Input!$D$2:$AC$500,
       MATCH(B112, Input!$J$2:$J$500, 0),
       MATCH("Capacity", Input!$D$1:$AC$1, 0)),IF(_xlpm.Result="","",_xlpm.Result))</f>
        <v>#N/A</v>
      </c>
      <c r="R112" s="51" t="e" cm="1">
        <f t="array" ref="R112">_xlfn.TEXTSPLIT(Q112," / ", ,TRUE,0,)</f>
        <v>#N/A</v>
      </c>
      <c r="S112" s="51"/>
      <c r="T112" s="51" t="str" cm="1">
        <f t="array" ref="T112">IFERROR(_xlfn.IFS(
R112="","",
--R112&lt;55,"Battery Defect",
--R112&lt;=69,"Battery D",
--R112&lt;=80,"Battery C",
--R112&gt;80,""
),"")</f>
        <v/>
      </c>
      <c r="U112" s="51" t="str" cm="1">
        <f t="array" ref="U112">IFERROR(_xlfn.IFS(
S112="","",
--S112&lt;55,"Battery Defect",
--S112&lt;=69,"Battery D",
--S112&lt;=80,"Battery C",
--S112&gt;80,""
),"")</f>
        <v/>
      </c>
      <c r="V112" s="51" t="str" cm="1">
        <f t="array" ref="V112:AC112">IFERROR(IF(_xlfn.XLOOKUP(B112,Input!J:J,Input!N:U)=0,"",
          _xlfn.XLOOKUP(B112,Input!J:J,Input!N:U)),"")</f>
        <v/>
      </c>
      <c r="W112" s="51" t="str">
        <v/>
      </c>
      <c r="X112" s="51" t="str">
        <v/>
      </c>
      <c r="Y112" s="51" t="str">
        <v/>
      </c>
      <c r="Z112" s="51" t="str">
        <v/>
      </c>
      <c r="AA112" s="51" t="str">
        <v/>
      </c>
      <c r="AB112" s="51" t="str">
        <v/>
      </c>
      <c r="AC112" s="51" t="str">
        <v/>
      </c>
      <c r="AD112" s="32" t="str">
        <f t="shared" si="3"/>
        <v/>
      </c>
      <c r="AE112" s="32" t="str">
        <f>_xlfn.XLOOKUP(B:B,Disk_Pivot!G:G,Disk_Pivot!I:I)</f>
        <v>Yes x2</v>
      </c>
      <c r="AF112" s="32" t="str">
        <f>_xlfn.XLOOKUP(B112,Disk_Pivot!G:G,Disk_Pivot!N:N)</f>
        <v>Pass, Fail</v>
      </c>
      <c r="AG112" s="32"/>
      <c r="AH112" s="32"/>
      <c r="AI112" s="32"/>
      <c r="AJ112" s="32"/>
      <c r="AK112" s="32"/>
      <c r="AL112" s="32"/>
    </row>
    <row r="113" spans="1:38">
      <c r="A113" s="32" t="str">
        <f>_xlfn.TEXTJOIN("",TRUE,_xlfn.XLOOKUP(B113,Input!J:J,Input!G:G,"",0,1),_xlfn.XLOOKUP(B113,Input!J:J,Input!H:H,"",0,1))</f>
        <v/>
      </c>
      <c r="B113" s="32"/>
      <c r="C113" s="51">
        <f>_xlfn.XLOOKUP(B113,Input!J:J,Input!F:F)</f>
        <v>0</v>
      </c>
      <c r="D113" s="32">
        <f>_xlfn.XLOOKUP(C113,Models!H:H,Models!G:G,C113)</f>
        <v>0</v>
      </c>
      <c r="E113" s="32">
        <f>_xlfn.XLOOKUP(B113,Input!J:J,Input!E:E)</f>
        <v>0</v>
      </c>
      <c r="F113" s="32">
        <f>IF(E113="LENOVO",_xlfn.XLOOKUP(B113,Input!J:J,Input!K:K),_xlfn.XLOOKUP(B113,Input!J:J,Input!L:L))</f>
        <v>0</v>
      </c>
      <c r="G113" s="32"/>
      <c r="H113" s="32"/>
      <c r="I113" s="32">
        <f>_xlfn.XLOOKUP(B113,CPU_Formula!A:A,CPU_Formula!I:I)</f>
        <v>0</v>
      </c>
      <c r="J113" s="51" t="e">
        <f>INDEX(Input!$D$2:$AC$500,
       MATCH(B113, Input!$J$2:$J$500, 0),
       MATCH("Total Memory", Input!$D$1:$AC$1, 0))</f>
        <v>#N/A</v>
      </c>
      <c r="K113" s="51" t="e">
        <f>INDEX(Input!$D$2:$AC$500,
       MATCH(B113, Input!$J$2:$J$500, 0),
       MATCH("Memory Type", Input!$D$1:$AC$1, 0))</f>
        <v>#N/A</v>
      </c>
      <c r="L113" s="51" t="str" cm="1">
        <f t="array" ref="L113">IFERROR(_xlfn.FILTERXML("&lt;t&gt;&lt;s&gt;" &amp; SUBSTITUTE(K113," / ","&lt;/s&gt;&lt;s&gt;") &amp; "&lt;/s&gt;&lt;/t&gt;","(//s[contains(.,'DDR')])[1]"),"")</f>
        <v/>
      </c>
      <c r="M113" s="32" t="e">
        <f t="shared" si="5"/>
        <v>#N/A</v>
      </c>
      <c r="N113" s="51" t="e">
        <f>INDEX(Input!$D$2:$AC$500,
       MATCH(B113, Input!$J$2:$J$500, 0),
       MATCH("Disk Interface Type", Input!$D$1:$AC$1, 0))</f>
        <v>#N/A</v>
      </c>
      <c r="O113" s="51" t="str" cm="1">
        <f t="array" ref="O113">IFERROR(_xlfn.TEXTJOIN(", ", TRUE, _xlfn._xlws.FILTER(
    INDEX(Input!$D$2:$AC$500,,MATCH("Disk Capacity",Input!$D$1:$AC$1,0)),
    Input!$J$2:$J$500=B113
)), "")</f>
        <v/>
      </c>
      <c r="P113" s="32" t="e">
        <f t="shared" si="4"/>
        <v>#N/A</v>
      </c>
      <c r="Q113" s="51" t="e">
        <f>_xlfn.LET(_xlpm.Result,INDEX(Input!$D$2:$AC$500,
       MATCH(B113, Input!$J$2:$J$500, 0),
       MATCH("Capacity", Input!$D$1:$AC$1, 0)),IF(_xlpm.Result="","",_xlpm.Result))</f>
        <v>#N/A</v>
      </c>
      <c r="R113" s="51" t="e" cm="1">
        <f t="array" ref="R113">_xlfn.TEXTSPLIT(Q113," / ", ,TRUE,0,)</f>
        <v>#N/A</v>
      </c>
      <c r="S113" s="51"/>
      <c r="T113" s="51" t="str" cm="1">
        <f t="array" ref="T113">IFERROR(_xlfn.IFS(
R113="","",
--R113&lt;55,"Battery Defect",
--R113&lt;=69,"Battery D",
--R113&lt;=80,"Battery C",
--R113&gt;80,""
),"")</f>
        <v/>
      </c>
      <c r="U113" s="51" t="str" cm="1">
        <f t="array" ref="U113">IFERROR(_xlfn.IFS(
S113="","",
--S113&lt;55,"Battery Defect",
--S113&lt;=69,"Battery D",
--S113&lt;=80,"Battery C",
--S113&gt;80,""
),"")</f>
        <v/>
      </c>
      <c r="V113" s="51" t="str" cm="1">
        <f t="array" ref="V113:AC113">IFERROR(IF(_xlfn.XLOOKUP(B113,Input!J:J,Input!N:U)=0,"",
          _xlfn.XLOOKUP(B113,Input!J:J,Input!N:U)),"")</f>
        <v/>
      </c>
      <c r="W113" s="51" t="str">
        <v/>
      </c>
      <c r="X113" s="51" t="str">
        <v/>
      </c>
      <c r="Y113" s="51" t="str">
        <v/>
      </c>
      <c r="Z113" s="51" t="str">
        <v/>
      </c>
      <c r="AA113" s="51" t="str">
        <v/>
      </c>
      <c r="AB113" s="51" t="str">
        <v/>
      </c>
      <c r="AC113" s="51" t="str">
        <v/>
      </c>
      <c r="AD113" s="32" t="str">
        <f t="shared" si="3"/>
        <v/>
      </c>
      <c r="AE113" s="32" t="str">
        <f>_xlfn.XLOOKUP(B:B,Disk_Pivot!G:G,Disk_Pivot!I:I)</f>
        <v>Yes x2</v>
      </c>
      <c r="AF113" s="32" t="str">
        <f>_xlfn.XLOOKUP(B113,Disk_Pivot!G:G,Disk_Pivot!N:N)</f>
        <v>Pass, Fail</v>
      </c>
      <c r="AG113" s="32"/>
      <c r="AH113" s="32"/>
      <c r="AI113" s="32"/>
      <c r="AJ113" s="32"/>
      <c r="AK113" s="32"/>
      <c r="AL113" s="32"/>
    </row>
    <row r="114" spans="1:38">
      <c r="A114" s="32" t="str">
        <f>_xlfn.TEXTJOIN("",TRUE,_xlfn.XLOOKUP(B114,Input!J:J,Input!G:G,"",0,1),_xlfn.XLOOKUP(B114,Input!J:J,Input!H:H,"",0,1))</f>
        <v/>
      </c>
      <c r="B114" s="32"/>
      <c r="C114" s="51">
        <f>_xlfn.XLOOKUP(B114,Input!J:J,Input!F:F)</f>
        <v>0</v>
      </c>
      <c r="D114" s="32">
        <f>_xlfn.XLOOKUP(C114,Models!H:H,Models!G:G,C114)</f>
        <v>0</v>
      </c>
      <c r="E114" s="32">
        <f>_xlfn.XLOOKUP(B114,Input!J:J,Input!E:E)</f>
        <v>0</v>
      </c>
      <c r="F114" s="32">
        <f>IF(E114="LENOVO",_xlfn.XLOOKUP(B114,Input!J:J,Input!K:K),_xlfn.XLOOKUP(B114,Input!J:J,Input!L:L))</f>
        <v>0</v>
      </c>
      <c r="G114" s="32"/>
      <c r="H114" s="32"/>
      <c r="I114" s="32">
        <f>_xlfn.XLOOKUP(B114,CPU_Formula!A:A,CPU_Formula!I:I)</f>
        <v>0</v>
      </c>
      <c r="J114" s="51" t="e">
        <f>INDEX(Input!$D$2:$AC$500,
       MATCH(B114, Input!$J$2:$J$500, 0),
       MATCH("Total Memory", Input!$D$1:$AC$1, 0))</f>
        <v>#N/A</v>
      </c>
      <c r="K114" s="51" t="e">
        <f>INDEX(Input!$D$2:$AC$500,
       MATCH(B114, Input!$J$2:$J$500, 0),
       MATCH("Memory Type", Input!$D$1:$AC$1, 0))</f>
        <v>#N/A</v>
      </c>
      <c r="L114" s="51" t="str" cm="1">
        <f t="array" ref="L114">IFERROR(_xlfn.FILTERXML("&lt;t&gt;&lt;s&gt;" &amp; SUBSTITUTE(K114," / ","&lt;/s&gt;&lt;s&gt;") &amp; "&lt;/s&gt;&lt;/t&gt;","(//s[contains(.,'DDR')])[1]"),"")</f>
        <v/>
      </c>
      <c r="M114" s="32" t="e">
        <f t="shared" si="5"/>
        <v>#N/A</v>
      </c>
      <c r="N114" s="51" t="e">
        <f>INDEX(Input!$D$2:$AC$500,
       MATCH(B114, Input!$J$2:$J$500, 0),
       MATCH("Disk Interface Type", Input!$D$1:$AC$1, 0))</f>
        <v>#N/A</v>
      </c>
      <c r="O114" s="51" t="str" cm="1">
        <f t="array" ref="O114">IFERROR(_xlfn.TEXTJOIN(", ", TRUE, _xlfn._xlws.FILTER(
    INDEX(Input!$D$2:$AC$500,,MATCH("Disk Capacity",Input!$D$1:$AC$1,0)),
    Input!$J$2:$J$500=B114
)), "")</f>
        <v/>
      </c>
      <c r="P114" s="32" t="e">
        <f t="shared" si="4"/>
        <v>#N/A</v>
      </c>
      <c r="Q114" s="51" t="e">
        <f>_xlfn.LET(_xlpm.Result,INDEX(Input!$D$2:$AC$500,
       MATCH(B114, Input!$J$2:$J$500, 0),
       MATCH("Capacity", Input!$D$1:$AC$1, 0)),IF(_xlpm.Result="","",_xlpm.Result))</f>
        <v>#N/A</v>
      </c>
      <c r="R114" s="51" t="e" cm="1">
        <f t="array" ref="R114">_xlfn.TEXTSPLIT(Q114," / ", ,TRUE,0,)</f>
        <v>#N/A</v>
      </c>
      <c r="S114" s="51"/>
      <c r="T114" s="51" t="str" cm="1">
        <f t="array" ref="T114">IFERROR(_xlfn.IFS(
R114="","",
--R114&lt;55,"Battery Defect",
--R114&lt;=69,"Battery D",
--R114&lt;=80,"Battery C",
--R114&gt;80,""
),"")</f>
        <v/>
      </c>
      <c r="U114" s="51" t="str" cm="1">
        <f t="array" ref="U114">IFERROR(_xlfn.IFS(
S114="","",
--S114&lt;55,"Battery Defect",
--S114&lt;=69,"Battery D",
--S114&lt;=80,"Battery C",
--S114&gt;80,""
),"")</f>
        <v/>
      </c>
      <c r="V114" s="51" t="str" cm="1">
        <f t="array" ref="V114:AC114">IFERROR(IF(_xlfn.XLOOKUP(B114,Input!J:J,Input!N:U)=0,"",
          _xlfn.XLOOKUP(B114,Input!J:J,Input!N:U)),"")</f>
        <v/>
      </c>
      <c r="W114" s="51" t="str">
        <v/>
      </c>
      <c r="X114" s="51" t="str">
        <v/>
      </c>
      <c r="Y114" s="51" t="str">
        <v/>
      </c>
      <c r="Z114" s="51" t="str">
        <v/>
      </c>
      <c r="AA114" s="51" t="str">
        <v/>
      </c>
      <c r="AB114" s="51" t="str">
        <v/>
      </c>
      <c r="AC114" s="51" t="str">
        <v/>
      </c>
      <c r="AD114" s="32" t="str">
        <f t="shared" si="3"/>
        <v/>
      </c>
      <c r="AE114" s="32" t="str">
        <f>_xlfn.XLOOKUP(B:B,Disk_Pivot!G:G,Disk_Pivot!I:I)</f>
        <v>Yes x2</v>
      </c>
      <c r="AF114" s="32" t="str">
        <f>_xlfn.XLOOKUP(B114,Disk_Pivot!G:G,Disk_Pivot!N:N)</f>
        <v>Pass, Fail</v>
      </c>
      <c r="AG114" s="32"/>
      <c r="AH114" s="32"/>
      <c r="AI114" s="32"/>
      <c r="AJ114" s="32"/>
      <c r="AK114" s="32"/>
      <c r="AL114" s="32"/>
    </row>
    <row r="115" spans="1:38">
      <c r="A115" s="32" t="str">
        <f>_xlfn.TEXTJOIN("",TRUE,_xlfn.XLOOKUP(B115,Input!J:J,Input!G:G,"",0,1),_xlfn.XLOOKUP(B115,Input!J:J,Input!H:H,"",0,1))</f>
        <v/>
      </c>
      <c r="B115" s="32"/>
      <c r="C115" s="51">
        <f>_xlfn.XLOOKUP(B115,Input!J:J,Input!F:F)</f>
        <v>0</v>
      </c>
      <c r="D115" s="32">
        <f>_xlfn.XLOOKUP(C115,Models!H:H,Models!G:G,C115)</f>
        <v>0</v>
      </c>
      <c r="E115" s="32">
        <f>_xlfn.XLOOKUP(B115,Input!J:J,Input!E:E)</f>
        <v>0</v>
      </c>
      <c r="F115" s="32">
        <f>IF(E115="LENOVO",_xlfn.XLOOKUP(B115,Input!J:J,Input!K:K),_xlfn.XLOOKUP(B115,Input!J:J,Input!L:L))</f>
        <v>0</v>
      </c>
      <c r="G115" s="32"/>
      <c r="H115" s="32"/>
      <c r="I115" s="32">
        <f>_xlfn.XLOOKUP(B115,CPU_Formula!A:A,CPU_Formula!I:I)</f>
        <v>0</v>
      </c>
      <c r="J115" s="51" t="e">
        <f>INDEX(Input!$D$2:$AC$500,
       MATCH(B115, Input!$J$2:$J$500, 0),
       MATCH("Total Memory", Input!$D$1:$AC$1, 0))</f>
        <v>#N/A</v>
      </c>
      <c r="K115" s="51" t="e">
        <f>INDEX(Input!$D$2:$AC$500,
       MATCH(B115, Input!$J$2:$J$500, 0),
       MATCH("Memory Type", Input!$D$1:$AC$1, 0))</f>
        <v>#N/A</v>
      </c>
      <c r="L115" s="51" t="str" cm="1">
        <f t="array" ref="L115">IFERROR(_xlfn.FILTERXML("&lt;t&gt;&lt;s&gt;" &amp; SUBSTITUTE(K115," / ","&lt;/s&gt;&lt;s&gt;") &amp; "&lt;/s&gt;&lt;/t&gt;","(//s[contains(.,'DDR')])[1]"),"")</f>
        <v/>
      </c>
      <c r="M115" s="32" t="e">
        <f t="shared" si="5"/>
        <v>#N/A</v>
      </c>
      <c r="N115" s="51" t="e">
        <f>INDEX(Input!$D$2:$AC$500,
       MATCH(B115, Input!$J$2:$J$500, 0),
       MATCH("Disk Interface Type", Input!$D$1:$AC$1, 0))</f>
        <v>#N/A</v>
      </c>
      <c r="O115" s="51" t="str" cm="1">
        <f t="array" ref="O115">IFERROR(_xlfn.TEXTJOIN(", ", TRUE, _xlfn._xlws.FILTER(
    INDEX(Input!$D$2:$AC$500,,MATCH("Disk Capacity",Input!$D$1:$AC$1,0)),
    Input!$J$2:$J$500=B115
)), "")</f>
        <v/>
      </c>
      <c r="P115" s="32" t="e">
        <f t="shared" si="4"/>
        <v>#N/A</v>
      </c>
      <c r="Q115" s="51" t="e">
        <f>_xlfn.LET(_xlpm.Result,INDEX(Input!$D$2:$AC$500,
       MATCH(B115, Input!$J$2:$J$500, 0),
       MATCH("Capacity", Input!$D$1:$AC$1, 0)),IF(_xlpm.Result="","",_xlpm.Result))</f>
        <v>#N/A</v>
      </c>
      <c r="R115" s="51" t="e" cm="1">
        <f t="array" ref="R115">_xlfn.TEXTSPLIT(Q115," / ", ,TRUE,0,)</f>
        <v>#N/A</v>
      </c>
      <c r="S115" s="51"/>
      <c r="T115" s="51" t="str" cm="1">
        <f t="array" ref="T115">IFERROR(_xlfn.IFS(
R115="","",
--R115&lt;55,"Battery Defect",
--R115&lt;=69,"Battery D",
--R115&lt;=80,"Battery C",
--R115&gt;80,""
),"")</f>
        <v/>
      </c>
      <c r="U115" s="51" t="str" cm="1">
        <f t="array" ref="U115">IFERROR(_xlfn.IFS(
S115="","",
--S115&lt;55,"Battery Defect",
--S115&lt;=69,"Battery D",
--S115&lt;=80,"Battery C",
--S115&gt;80,""
),"")</f>
        <v/>
      </c>
      <c r="V115" s="51" t="str" cm="1">
        <f t="array" ref="V115:AC115">IFERROR(IF(_xlfn.XLOOKUP(B115,Input!J:J,Input!N:U)=0,"",
          _xlfn.XLOOKUP(B115,Input!J:J,Input!N:U)),"")</f>
        <v/>
      </c>
      <c r="W115" s="51" t="str">
        <v/>
      </c>
      <c r="X115" s="51" t="str">
        <v/>
      </c>
      <c r="Y115" s="51" t="str">
        <v/>
      </c>
      <c r="Z115" s="51" t="str">
        <v/>
      </c>
      <c r="AA115" s="51" t="str">
        <v/>
      </c>
      <c r="AB115" s="51" t="str">
        <v/>
      </c>
      <c r="AC115" s="51" t="str">
        <v/>
      </c>
      <c r="AD115" s="32" t="str">
        <f t="shared" si="3"/>
        <v/>
      </c>
      <c r="AE115" s="32" t="str">
        <f>_xlfn.XLOOKUP(B:B,Disk_Pivot!G:G,Disk_Pivot!I:I)</f>
        <v>Yes x2</v>
      </c>
      <c r="AF115" s="32" t="str">
        <f>_xlfn.XLOOKUP(B115,Disk_Pivot!G:G,Disk_Pivot!N:N)</f>
        <v>Pass, Fail</v>
      </c>
      <c r="AG115" s="32"/>
      <c r="AH115" s="32"/>
      <c r="AI115" s="32"/>
      <c r="AJ115" s="32"/>
      <c r="AK115" s="32"/>
      <c r="AL115" s="32"/>
    </row>
    <row r="116" spans="1:38">
      <c r="A116" s="32" t="str">
        <f>_xlfn.TEXTJOIN("",TRUE,_xlfn.XLOOKUP(B116,Input!J:J,Input!G:G,"",0,1),_xlfn.XLOOKUP(B116,Input!J:J,Input!H:H,"",0,1))</f>
        <v/>
      </c>
      <c r="B116" s="32"/>
      <c r="C116" s="51">
        <f>_xlfn.XLOOKUP(B116,Input!J:J,Input!F:F)</f>
        <v>0</v>
      </c>
      <c r="D116" s="32">
        <f>_xlfn.XLOOKUP(C116,Models!H:H,Models!G:G,C116)</f>
        <v>0</v>
      </c>
      <c r="E116" s="32">
        <f>_xlfn.XLOOKUP(B116,Input!J:J,Input!E:E)</f>
        <v>0</v>
      </c>
      <c r="F116" s="32">
        <f>IF(E116="LENOVO",_xlfn.XLOOKUP(B116,Input!J:J,Input!K:K),_xlfn.XLOOKUP(B116,Input!J:J,Input!L:L))</f>
        <v>0</v>
      </c>
      <c r="G116" s="32"/>
      <c r="H116" s="32"/>
      <c r="I116" s="32">
        <f>_xlfn.XLOOKUP(B116,CPU_Formula!A:A,CPU_Formula!I:I)</f>
        <v>0</v>
      </c>
      <c r="J116" s="51" t="e">
        <f>INDEX(Input!$D$2:$AC$500,
       MATCH(B116, Input!$J$2:$J$500, 0),
       MATCH("Total Memory", Input!$D$1:$AC$1, 0))</f>
        <v>#N/A</v>
      </c>
      <c r="K116" s="51" t="e">
        <f>INDEX(Input!$D$2:$AC$500,
       MATCH(B116, Input!$J$2:$J$500, 0),
       MATCH("Memory Type", Input!$D$1:$AC$1, 0))</f>
        <v>#N/A</v>
      </c>
      <c r="L116" s="51" t="str" cm="1">
        <f t="array" ref="L116">IFERROR(_xlfn.FILTERXML("&lt;t&gt;&lt;s&gt;" &amp; SUBSTITUTE(K116," / ","&lt;/s&gt;&lt;s&gt;") &amp; "&lt;/s&gt;&lt;/t&gt;","(//s[contains(.,'DDR')])[1]"),"")</f>
        <v/>
      </c>
      <c r="M116" s="32" t="e">
        <f t="shared" si="5"/>
        <v>#N/A</v>
      </c>
      <c r="N116" s="51" t="e">
        <f>INDEX(Input!$D$2:$AC$500,
       MATCH(B116, Input!$J$2:$J$500, 0),
       MATCH("Disk Interface Type", Input!$D$1:$AC$1, 0))</f>
        <v>#N/A</v>
      </c>
      <c r="O116" s="51" t="str" cm="1">
        <f t="array" ref="O116">IFERROR(_xlfn.TEXTJOIN(", ", TRUE, _xlfn._xlws.FILTER(
    INDEX(Input!$D$2:$AC$500,,MATCH("Disk Capacity",Input!$D$1:$AC$1,0)),
    Input!$J$2:$J$500=B116
)), "")</f>
        <v/>
      </c>
      <c r="P116" s="32" t="e">
        <f t="shared" si="4"/>
        <v>#N/A</v>
      </c>
      <c r="Q116" s="51" t="e">
        <f>_xlfn.LET(_xlpm.Result,INDEX(Input!$D$2:$AC$500,
       MATCH(B116, Input!$J$2:$J$500, 0),
       MATCH("Capacity", Input!$D$1:$AC$1, 0)),IF(_xlpm.Result="","",_xlpm.Result))</f>
        <v>#N/A</v>
      </c>
      <c r="R116" s="51" t="e" cm="1">
        <f t="array" ref="R116">_xlfn.TEXTSPLIT(Q116," / ", ,TRUE,0,)</f>
        <v>#N/A</v>
      </c>
      <c r="S116" s="51"/>
      <c r="T116" s="51" t="str" cm="1">
        <f t="array" ref="T116">IFERROR(_xlfn.IFS(
R116="","",
--R116&lt;55,"Battery Defect",
--R116&lt;=69,"Battery D",
--R116&lt;=80,"Battery C",
--R116&gt;80,""
),"")</f>
        <v/>
      </c>
      <c r="U116" s="51" t="str" cm="1">
        <f t="array" ref="U116">IFERROR(_xlfn.IFS(
S116="","",
--S116&lt;55,"Battery Defect",
--S116&lt;=69,"Battery D",
--S116&lt;=80,"Battery C",
--S116&gt;80,""
),"")</f>
        <v/>
      </c>
      <c r="V116" s="51" t="str" cm="1">
        <f t="array" ref="V116:AC116">IFERROR(IF(_xlfn.XLOOKUP(B116,Input!J:J,Input!N:U)=0,"",
          _xlfn.XLOOKUP(B116,Input!J:J,Input!N:U)),"")</f>
        <v/>
      </c>
      <c r="W116" s="51" t="str">
        <v/>
      </c>
      <c r="X116" s="51" t="str">
        <v/>
      </c>
      <c r="Y116" s="51" t="str">
        <v/>
      </c>
      <c r="Z116" s="51" t="str">
        <v/>
      </c>
      <c r="AA116" s="51" t="str">
        <v/>
      </c>
      <c r="AB116" s="51" t="str">
        <v/>
      </c>
      <c r="AC116" s="51" t="str">
        <v/>
      </c>
      <c r="AD116" s="32" t="str">
        <f t="shared" si="3"/>
        <v/>
      </c>
      <c r="AE116" s="32" t="str">
        <f>_xlfn.XLOOKUP(B:B,Disk_Pivot!G:G,Disk_Pivot!I:I)</f>
        <v>Yes x2</v>
      </c>
      <c r="AF116" s="32" t="str">
        <f>_xlfn.XLOOKUP(B116,Disk_Pivot!G:G,Disk_Pivot!N:N)</f>
        <v>Pass, Fail</v>
      </c>
      <c r="AG116" s="32"/>
      <c r="AH116" s="32"/>
      <c r="AI116" s="32"/>
      <c r="AJ116" s="32"/>
      <c r="AK116" s="32"/>
      <c r="AL116" s="32"/>
    </row>
    <row r="117" spans="1:38">
      <c r="A117" s="32" t="str">
        <f>_xlfn.TEXTJOIN("",TRUE,_xlfn.XLOOKUP(B117,Input!J:J,Input!G:G,"",0,1),_xlfn.XLOOKUP(B117,Input!J:J,Input!H:H,"",0,1))</f>
        <v/>
      </c>
      <c r="B117" s="32"/>
      <c r="C117" s="51">
        <f>_xlfn.XLOOKUP(B117,Input!J:J,Input!F:F)</f>
        <v>0</v>
      </c>
      <c r="D117" s="32">
        <f>_xlfn.XLOOKUP(C117,Models!H:H,Models!G:G,C117)</f>
        <v>0</v>
      </c>
      <c r="E117" s="32">
        <f>_xlfn.XLOOKUP(B117,Input!J:J,Input!E:E)</f>
        <v>0</v>
      </c>
      <c r="F117" s="32">
        <f>IF(E117="LENOVO",_xlfn.XLOOKUP(B117,Input!J:J,Input!K:K),_xlfn.XLOOKUP(B117,Input!J:J,Input!L:L))</f>
        <v>0</v>
      </c>
      <c r="G117" s="32"/>
      <c r="H117" s="32"/>
      <c r="I117" s="32">
        <f>_xlfn.XLOOKUP(B117,CPU_Formula!A:A,CPU_Formula!I:I)</f>
        <v>0</v>
      </c>
      <c r="J117" s="51" t="e">
        <f>INDEX(Input!$D$2:$AC$500,
       MATCH(B117, Input!$J$2:$J$500, 0),
       MATCH("Total Memory", Input!$D$1:$AC$1, 0))</f>
        <v>#N/A</v>
      </c>
      <c r="K117" s="51" t="e">
        <f>INDEX(Input!$D$2:$AC$500,
       MATCH(B117, Input!$J$2:$J$500, 0),
       MATCH("Memory Type", Input!$D$1:$AC$1, 0))</f>
        <v>#N/A</v>
      </c>
      <c r="L117" s="51" t="str" cm="1">
        <f t="array" ref="L117">IFERROR(_xlfn.FILTERXML("&lt;t&gt;&lt;s&gt;" &amp; SUBSTITUTE(K117," / ","&lt;/s&gt;&lt;s&gt;") &amp; "&lt;/s&gt;&lt;/t&gt;","(//s[contains(.,'DDR')])[1]"),"")</f>
        <v/>
      </c>
      <c r="M117" s="32" t="e">
        <f t="shared" si="5"/>
        <v>#N/A</v>
      </c>
      <c r="N117" s="51" t="e">
        <f>INDEX(Input!$D$2:$AC$500,
       MATCH(B117, Input!$J$2:$J$500, 0),
       MATCH("Disk Interface Type", Input!$D$1:$AC$1, 0))</f>
        <v>#N/A</v>
      </c>
      <c r="O117" s="51" t="str" cm="1">
        <f t="array" ref="O117">IFERROR(_xlfn.TEXTJOIN(", ", TRUE, _xlfn._xlws.FILTER(
    INDEX(Input!$D$2:$AC$500,,MATCH("Disk Capacity",Input!$D$1:$AC$1,0)),
    Input!$J$2:$J$500=B117
)), "")</f>
        <v/>
      </c>
      <c r="P117" s="32" t="e">
        <f t="shared" si="4"/>
        <v>#N/A</v>
      </c>
      <c r="Q117" s="51" t="e">
        <f>_xlfn.LET(_xlpm.Result,INDEX(Input!$D$2:$AC$500,
       MATCH(B117, Input!$J$2:$J$500, 0),
       MATCH("Capacity", Input!$D$1:$AC$1, 0)),IF(_xlpm.Result="","",_xlpm.Result))</f>
        <v>#N/A</v>
      </c>
      <c r="R117" s="51" t="e" cm="1">
        <f t="array" ref="R117">_xlfn.TEXTSPLIT(Q117," / ", ,TRUE,0,)</f>
        <v>#N/A</v>
      </c>
      <c r="S117" s="51"/>
      <c r="T117" s="51" t="str" cm="1">
        <f t="array" ref="T117">IFERROR(_xlfn.IFS(
R117="","",
--R117&lt;55,"Battery Defect",
--R117&lt;=69,"Battery D",
--R117&lt;=80,"Battery C",
--R117&gt;80,""
),"")</f>
        <v/>
      </c>
      <c r="U117" s="51" t="str" cm="1">
        <f t="array" ref="U117">IFERROR(_xlfn.IFS(
S117="","",
--S117&lt;55,"Battery Defect",
--S117&lt;=69,"Battery D",
--S117&lt;=80,"Battery C",
--S117&gt;80,""
),"")</f>
        <v/>
      </c>
      <c r="V117" s="51" t="str" cm="1">
        <f t="array" ref="V117:AC117">IFERROR(IF(_xlfn.XLOOKUP(B117,Input!J:J,Input!N:U)=0,"",
          _xlfn.XLOOKUP(B117,Input!J:J,Input!N:U)),"")</f>
        <v/>
      </c>
      <c r="W117" s="51" t="str">
        <v/>
      </c>
      <c r="X117" s="51" t="str">
        <v/>
      </c>
      <c r="Y117" s="51" t="str">
        <v/>
      </c>
      <c r="Z117" s="51" t="str">
        <v/>
      </c>
      <c r="AA117" s="51" t="str">
        <v/>
      </c>
      <c r="AB117" s="51" t="str">
        <v/>
      </c>
      <c r="AC117" s="51" t="str">
        <v/>
      </c>
      <c r="AD117" s="32" t="str">
        <f t="shared" si="3"/>
        <v/>
      </c>
      <c r="AE117" s="32" t="str">
        <f>_xlfn.XLOOKUP(B:B,Disk_Pivot!G:G,Disk_Pivot!I:I)</f>
        <v>Yes x2</v>
      </c>
      <c r="AF117" s="32" t="str">
        <f>_xlfn.XLOOKUP(B117,Disk_Pivot!G:G,Disk_Pivot!N:N)</f>
        <v>Pass, Fail</v>
      </c>
      <c r="AG117" s="32"/>
      <c r="AH117" s="32"/>
      <c r="AI117" s="32"/>
      <c r="AJ117" s="32"/>
      <c r="AK117" s="32"/>
      <c r="AL117" s="32"/>
    </row>
    <row r="118" spans="1:38">
      <c r="A118" s="32" t="str">
        <f>_xlfn.TEXTJOIN("",TRUE,_xlfn.XLOOKUP(B118,Input!J:J,Input!G:G,"",0,1),_xlfn.XLOOKUP(B118,Input!J:J,Input!H:H,"",0,1))</f>
        <v/>
      </c>
      <c r="B118" s="32"/>
      <c r="C118" s="51">
        <f>_xlfn.XLOOKUP(B118,Input!J:J,Input!F:F)</f>
        <v>0</v>
      </c>
      <c r="D118" s="32">
        <f>_xlfn.XLOOKUP(C118,Models!H:H,Models!G:G,C118)</f>
        <v>0</v>
      </c>
      <c r="E118" s="32">
        <f>_xlfn.XLOOKUP(B118,Input!J:J,Input!E:E)</f>
        <v>0</v>
      </c>
      <c r="F118" s="32">
        <f>IF(E118="LENOVO",_xlfn.XLOOKUP(B118,Input!J:J,Input!K:K),_xlfn.XLOOKUP(B118,Input!J:J,Input!L:L))</f>
        <v>0</v>
      </c>
      <c r="G118" s="32"/>
      <c r="H118" s="32"/>
      <c r="I118" s="32">
        <f>_xlfn.XLOOKUP(B118,CPU_Formula!A:A,CPU_Formula!I:I)</f>
        <v>0</v>
      </c>
      <c r="J118" s="51" t="e">
        <f>INDEX(Input!$D$2:$AC$500,
       MATCH(B118, Input!$J$2:$J$500, 0),
       MATCH("Total Memory", Input!$D$1:$AC$1, 0))</f>
        <v>#N/A</v>
      </c>
      <c r="K118" s="51" t="e">
        <f>INDEX(Input!$D$2:$AC$500,
       MATCH(B118, Input!$J$2:$J$500, 0),
       MATCH("Memory Type", Input!$D$1:$AC$1, 0))</f>
        <v>#N/A</v>
      </c>
      <c r="L118" s="51" t="str" cm="1">
        <f t="array" ref="L118">IFERROR(_xlfn.FILTERXML("&lt;t&gt;&lt;s&gt;" &amp; SUBSTITUTE(K118," / ","&lt;/s&gt;&lt;s&gt;") &amp; "&lt;/s&gt;&lt;/t&gt;","(//s[contains(.,'DDR')])[1]"),"")</f>
        <v/>
      </c>
      <c r="M118" s="32" t="e">
        <f t="shared" si="5"/>
        <v>#N/A</v>
      </c>
      <c r="N118" s="51" t="e">
        <f>INDEX(Input!$D$2:$AC$500,
       MATCH(B118, Input!$J$2:$J$500, 0),
       MATCH("Disk Interface Type", Input!$D$1:$AC$1, 0))</f>
        <v>#N/A</v>
      </c>
      <c r="O118" s="51" t="str" cm="1">
        <f t="array" ref="O118">IFERROR(_xlfn.TEXTJOIN(", ", TRUE, _xlfn._xlws.FILTER(
    INDEX(Input!$D$2:$AC$500,,MATCH("Disk Capacity",Input!$D$1:$AC$1,0)),
    Input!$J$2:$J$500=B118
)), "")</f>
        <v/>
      </c>
      <c r="P118" s="32" t="e">
        <f t="shared" si="4"/>
        <v>#N/A</v>
      </c>
      <c r="Q118" s="51" t="e">
        <f>_xlfn.LET(_xlpm.Result,INDEX(Input!$D$2:$AC$500,
       MATCH(B118, Input!$J$2:$J$500, 0),
       MATCH("Capacity", Input!$D$1:$AC$1, 0)),IF(_xlpm.Result="","",_xlpm.Result))</f>
        <v>#N/A</v>
      </c>
      <c r="R118" s="51" t="e" cm="1">
        <f t="array" ref="R118">_xlfn.TEXTSPLIT(Q118," / ", ,TRUE,0,)</f>
        <v>#N/A</v>
      </c>
      <c r="S118" s="51"/>
      <c r="T118" s="51" t="str" cm="1">
        <f t="array" ref="T118">IFERROR(_xlfn.IFS(
R118="","",
--R118&lt;55,"Battery Defect",
--R118&lt;=69,"Battery D",
--R118&lt;=80,"Battery C",
--R118&gt;80,""
),"")</f>
        <v/>
      </c>
      <c r="U118" s="51" t="str" cm="1">
        <f t="array" ref="U118">IFERROR(_xlfn.IFS(
S118="","",
--S118&lt;55,"Battery Defect",
--S118&lt;=69,"Battery D",
--S118&lt;=80,"Battery C",
--S118&gt;80,""
),"")</f>
        <v/>
      </c>
      <c r="V118" s="51" t="str" cm="1">
        <f t="array" ref="V118:AC118">IFERROR(IF(_xlfn.XLOOKUP(B118,Input!J:J,Input!N:U)=0,"",
          _xlfn.XLOOKUP(B118,Input!J:J,Input!N:U)),"")</f>
        <v/>
      </c>
      <c r="W118" s="51" t="str">
        <v/>
      </c>
      <c r="X118" s="51" t="str">
        <v/>
      </c>
      <c r="Y118" s="51" t="str">
        <v/>
      </c>
      <c r="Z118" s="51" t="str">
        <v/>
      </c>
      <c r="AA118" s="51" t="str">
        <v/>
      </c>
      <c r="AB118" s="51" t="str">
        <v/>
      </c>
      <c r="AC118" s="51" t="str">
        <v/>
      </c>
      <c r="AD118" s="32" t="str">
        <f t="shared" si="3"/>
        <v/>
      </c>
      <c r="AE118" s="32" t="str">
        <f>_xlfn.XLOOKUP(B:B,Disk_Pivot!G:G,Disk_Pivot!I:I)</f>
        <v>Yes x2</v>
      </c>
      <c r="AF118" s="32" t="str">
        <f>_xlfn.XLOOKUP(B118,Disk_Pivot!G:G,Disk_Pivot!N:N)</f>
        <v>Pass, Fail</v>
      </c>
      <c r="AG118" s="32"/>
      <c r="AH118" s="32"/>
      <c r="AI118" s="32"/>
      <c r="AJ118" s="32"/>
      <c r="AK118" s="32"/>
      <c r="AL118" s="32"/>
    </row>
    <row r="119" spans="1:38">
      <c r="A119" s="32" t="str">
        <f>_xlfn.TEXTJOIN("",TRUE,_xlfn.XLOOKUP(B119,Input!J:J,Input!G:G,"",0,1),_xlfn.XLOOKUP(B119,Input!J:J,Input!H:H,"",0,1))</f>
        <v/>
      </c>
      <c r="B119" s="32"/>
      <c r="C119" s="51">
        <f>_xlfn.XLOOKUP(B119,Input!J:J,Input!F:F)</f>
        <v>0</v>
      </c>
      <c r="D119" s="32">
        <f>_xlfn.XLOOKUP(C119,Models!H:H,Models!G:G,C119)</f>
        <v>0</v>
      </c>
      <c r="E119" s="32">
        <f>_xlfn.XLOOKUP(B119,Input!J:J,Input!E:E)</f>
        <v>0</v>
      </c>
      <c r="F119" s="32">
        <f>IF(E119="LENOVO",_xlfn.XLOOKUP(B119,Input!J:J,Input!K:K),_xlfn.XLOOKUP(B119,Input!J:J,Input!L:L))</f>
        <v>0</v>
      </c>
      <c r="G119" s="32"/>
      <c r="H119" s="32"/>
      <c r="I119" s="32">
        <f>_xlfn.XLOOKUP(B119,CPU_Formula!A:A,CPU_Formula!I:I)</f>
        <v>0</v>
      </c>
      <c r="J119" s="51" t="e">
        <f>INDEX(Input!$D$2:$AC$500,
       MATCH(B119, Input!$J$2:$J$500, 0),
       MATCH("Total Memory", Input!$D$1:$AC$1, 0))</f>
        <v>#N/A</v>
      </c>
      <c r="K119" s="51" t="e">
        <f>INDEX(Input!$D$2:$AC$500,
       MATCH(B119, Input!$J$2:$J$500, 0),
       MATCH("Memory Type", Input!$D$1:$AC$1, 0))</f>
        <v>#N/A</v>
      </c>
      <c r="L119" s="51" t="str" cm="1">
        <f t="array" ref="L119">IFERROR(_xlfn.FILTERXML("&lt;t&gt;&lt;s&gt;" &amp; SUBSTITUTE(K119," / ","&lt;/s&gt;&lt;s&gt;") &amp; "&lt;/s&gt;&lt;/t&gt;","(//s[contains(.,'DDR')])[1]"),"")</f>
        <v/>
      </c>
      <c r="M119" s="32" t="e">
        <f t="shared" si="5"/>
        <v>#N/A</v>
      </c>
      <c r="N119" s="51" t="e">
        <f>INDEX(Input!$D$2:$AC$500,
       MATCH(B119, Input!$J$2:$J$500, 0),
       MATCH("Disk Interface Type", Input!$D$1:$AC$1, 0))</f>
        <v>#N/A</v>
      </c>
      <c r="O119" s="51" t="str" cm="1">
        <f t="array" ref="O119">IFERROR(_xlfn.TEXTJOIN(", ", TRUE, _xlfn._xlws.FILTER(
    INDEX(Input!$D$2:$AC$500,,MATCH("Disk Capacity",Input!$D$1:$AC$1,0)),
    Input!$J$2:$J$500=B119
)), "")</f>
        <v/>
      </c>
      <c r="P119" s="32" t="e">
        <f t="shared" si="4"/>
        <v>#N/A</v>
      </c>
      <c r="Q119" s="51" t="e">
        <f>_xlfn.LET(_xlpm.Result,INDEX(Input!$D$2:$AC$500,
       MATCH(B119, Input!$J$2:$J$500, 0),
       MATCH("Capacity", Input!$D$1:$AC$1, 0)),IF(_xlpm.Result="","",_xlpm.Result))</f>
        <v>#N/A</v>
      </c>
      <c r="R119" s="51" t="e" cm="1">
        <f t="array" ref="R119">_xlfn.TEXTSPLIT(Q119," / ", ,TRUE,0,)</f>
        <v>#N/A</v>
      </c>
      <c r="S119" s="51"/>
      <c r="T119" s="51" t="str" cm="1">
        <f t="array" ref="T119">IFERROR(_xlfn.IFS(
R119="","",
--R119&lt;55,"Battery Defect",
--R119&lt;=69,"Battery D",
--R119&lt;=80,"Battery C",
--R119&gt;80,""
),"")</f>
        <v/>
      </c>
      <c r="U119" s="51" t="str" cm="1">
        <f t="array" ref="U119">IFERROR(_xlfn.IFS(
S119="","",
--S119&lt;55,"Battery Defect",
--S119&lt;=69,"Battery D",
--S119&lt;=80,"Battery C",
--S119&gt;80,""
),"")</f>
        <v/>
      </c>
      <c r="V119" s="51" t="str" cm="1">
        <f t="array" ref="V119:AC119">IFERROR(IF(_xlfn.XLOOKUP(B119,Input!J:J,Input!N:U)=0,"",
          _xlfn.XLOOKUP(B119,Input!J:J,Input!N:U)),"")</f>
        <v/>
      </c>
      <c r="W119" s="51" t="str">
        <v/>
      </c>
      <c r="X119" s="51" t="str">
        <v/>
      </c>
      <c r="Y119" s="51" t="str">
        <v/>
      </c>
      <c r="Z119" s="51" t="str">
        <v/>
      </c>
      <c r="AA119" s="51" t="str">
        <v/>
      </c>
      <c r="AB119" s="51" t="str">
        <v/>
      </c>
      <c r="AC119" s="51" t="str">
        <v/>
      </c>
      <c r="AD119" s="32" t="str">
        <f t="shared" si="3"/>
        <v/>
      </c>
      <c r="AE119" s="32" t="str">
        <f>_xlfn.XLOOKUP(B:B,Disk_Pivot!G:G,Disk_Pivot!I:I)</f>
        <v>Yes x2</v>
      </c>
      <c r="AF119" s="32" t="str">
        <f>_xlfn.XLOOKUP(B119,Disk_Pivot!G:G,Disk_Pivot!N:N)</f>
        <v>Pass, Fail</v>
      </c>
      <c r="AG119" s="32"/>
      <c r="AH119" s="32"/>
      <c r="AI119" s="32"/>
      <c r="AJ119" s="32"/>
      <c r="AK119" s="32"/>
      <c r="AL119" s="32"/>
    </row>
    <row r="120" spans="1:38">
      <c r="A120" s="32" t="str">
        <f>_xlfn.TEXTJOIN("",TRUE,_xlfn.XLOOKUP(B120,Input!J:J,Input!G:G,"",0,1),_xlfn.XLOOKUP(B120,Input!J:J,Input!H:H,"",0,1))</f>
        <v/>
      </c>
      <c r="B120" s="32"/>
      <c r="C120" s="51">
        <f>_xlfn.XLOOKUP(B120,Input!J:J,Input!F:F)</f>
        <v>0</v>
      </c>
      <c r="D120" s="32">
        <f>_xlfn.XLOOKUP(C120,Models!H:H,Models!G:G,C120)</f>
        <v>0</v>
      </c>
      <c r="E120" s="32">
        <f>_xlfn.XLOOKUP(B120,Input!J:J,Input!E:E)</f>
        <v>0</v>
      </c>
      <c r="F120" s="32">
        <f>IF(E120="LENOVO",_xlfn.XLOOKUP(B120,Input!J:J,Input!K:K),_xlfn.XLOOKUP(B120,Input!J:J,Input!L:L))</f>
        <v>0</v>
      </c>
      <c r="G120" s="32"/>
      <c r="H120" s="32"/>
      <c r="I120" s="32">
        <f>_xlfn.XLOOKUP(B120,CPU_Formula!A:A,CPU_Formula!I:I)</f>
        <v>0</v>
      </c>
      <c r="J120" s="51" t="e">
        <f>INDEX(Input!$D$2:$AC$500,
       MATCH(B120, Input!$J$2:$J$500, 0),
       MATCH("Total Memory", Input!$D$1:$AC$1, 0))</f>
        <v>#N/A</v>
      </c>
      <c r="K120" s="51" t="e">
        <f>INDEX(Input!$D$2:$AC$500,
       MATCH(B120, Input!$J$2:$J$500, 0),
       MATCH("Memory Type", Input!$D$1:$AC$1, 0))</f>
        <v>#N/A</v>
      </c>
      <c r="L120" s="51" t="str" cm="1">
        <f t="array" ref="L120">IFERROR(_xlfn.FILTERXML("&lt;t&gt;&lt;s&gt;" &amp; SUBSTITUTE(K120," / ","&lt;/s&gt;&lt;s&gt;") &amp; "&lt;/s&gt;&lt;/t&gt;","(//s[contains(.,'DDR')])[1]"),"")</f>
        <v/>
      </c>
      <c r="M120" s="32" t="e">
        <f t="shared" si="5"/>
        <v>#N/A</v>
      </c>
      <c r="N120" s="51" t="e">
        <f>INDEX(Input!$D$2:$AC$500,
       MATCH(B120, Input!$J$2:$J$500, 0),
       MATCH("Disk Interface Type", Input!$D$1:$AC$1, 0))</f>
        <v>#N/A</v>
      </c>
      <c r="O120" s="51" t="str" cm="1">
        <f t="array" ref="O120">IFERROR(_xlfn.TEXTJOIN(", ", TRUE, _xlfn._xlws.FILTER(
    INDEX(Input!$D$2:$AC$500,,MATCH("Disk Capacity",Input!$D$1:$AC$1,0)),
    Input!$J$2:$J$500=B120
)), "")</f>
        <v/>
      </c>
      <c r="P120" s="32" t="e">
        <f t="shared" si="4"/>
        <v>#N/A</v>
      </c>
      <c r="Q120" s="51" t="e">
        <f>_xlfn.LET(_xlpm.Result,INDEX(Input!$D$2:$AC$500,
       MATCH(B120, Input!$J$2:$J$500, 0),
       MATCH("Capacity", Input!$D$1:$AC$1, 0)),IF(_xlpm.Result="","",_xlpm.Result))</f>
        <v>#N/A</v>
      </c>
      <c r="R120" s="51" t="e" cm="1">
        <f t="array" ref="R120">_xlfn.TEXTSPLIT(Q120," / ", ,TRUE,0,)</f>
        <v>#N/A</v>
      </c>
      <c r="S120" s="51"/>
      <c r="T120" s="51" t="str" cm="1">
        <f t="array" ref="T120">IFERROR(_xlfn.IFS(
R120="","",
--R120&lt;55,"Battery Defect",
--R120&lt;=69,"Battery D",
--R120&lt;=80,"Battery C",
--R120&gt;80,""
),"")</f>
        <v/>
      </c>
      <c r="U120" s="51" t="str" cm="1">
        <f t="array" ref="U120">IFERROR(_xlfn.IFS(
S120="","",
--S120&lt;55,"Battery Defect",
--S120&lt;=69,"Battery D",
--S120&lt;=80,"Battery C",
--S120&gt;80,""
),"")</f>
        <v/>
      </c>
      <c r="V120" s="51" t="str" cm="1">
        <f t="array" ref="V120:AC120">IFERROR(IF(_xlfn.XLOOKUP(B120,Input!J:J,Input!N:U)=0,"",
          _xlfn.XLOOKUP(B120,Input!J:J,Input!N:U)),"")</f>
        <v/>
      </c>
      <c r="W120" s="51" t="str">
        <v/>
      </c>
      <c r="X120" s="51" t="str">
        <v/>
      </c>
      <c r="Y120" s="51" t="str">
        <v/>
      </c>
      <c r="Z120" s="51" t="str">
        <v/>
      </c>
      <c r="AA120" s="51" t="str">
        <v/>
      </c>
      <c r="AB120" s="51" t="str">
        <v/>
      </c>
      <c r="AC120" s="51" t="str">
        <v/>
      </c>
      <c r="AD120" s="32" t="str">
        <f t="shared" si="3"/>
        <v/>
      </c>
      <c r="AE120" s="32" t="str">
        <f>_xlfn.XLOOKUP(B:B,Disk_Pivot!G:G,Disk_Pivot!I:I)</f>
        <v>Yes x2</v>
      </c>
      <c r="AF120" s="32" t="str">
        <f>_xlfn.XLOOKUP(B120,Disk_Pivot!G:G,Disk_Pivot!N:N)</f>
        <v>Pass, Fail</v>
      </c>
      <c r="AG120" s="32"/>
      <c r="AH120" s="32"/>
      <c r="AI120" s="32"/>
      <c r="AJ120" s="32"/>
      <c r="AK120" s="32"/>
      <c r="AL120" s="32"/>
    </row>
    <row r="121" spans="1:38">
      <c r="A121" s="32" t="str">
        <f>_xlfn.TEXTJOIN("",TRUE,_xlfn.XLOOKUP(B121,Input!J:J,Input!G:G,"",0,1),_xlfn.XLOOKUP(B121,Input!J:J,Input!H:H,"",0,1))</f>
        <v/>
      </c>
      <c r="B121" s="32"/>
      <c r="C121" s="51">
        <f>_xlfn.XLOOKUP(B121,Input!J:J,Input!F:F)</f>
        <v>0</v>
      </c>
      <c r="D121" s="32">
        <f>_xlfn.XLOOKUP(C121,Models!H:H,Models!G:G,C121)</f>
        <v>0</v>
      </c>
      <c r="E121" s="32">
        <f>_xlfn.XLOOKUP(B121,Input!J:J,Input!E:E)</f>
        <v>0</v>
      </c>
      <c r="F121" s="32">
        <f>IF(E121="LENOVO",_xlfn.XLOOKUP(B121,Input!J:J,Input!K:K),_xlfn.XLOOKUP(B121,Input!J:J,Input!L:L))</f>
        <v>0</v>
      </c>
      <c r="G121" s="32"/>
      <c r="H121" s="32"/>
      <c r="I121" s="32">
        <f>_xlfn.XLOOKUP(B121,CPU_Formula!A:A,CPU_Formula!I:I)</f>
        <v>0</v>
      </c>
      <c r="J121" s="51" t="e">
        <f>INDEX(Input!$D$2:$AC$500,
       MATCH(B121, Input!$J$2:$J$500, 0),
       MATCH("Total Memory", Input!$D$1:$AC$1, 0))</f>
        <v>#N/A</v>
      </c>
      <c r="K121" s="51" t="e">
        <f>INDEX(Input!$D$2:$AC$500,
       MATCH(B121, Input!$J$2:$J$500, 0),
       MATCH("Memory Type", Input!$D$1:$AC$1, 0))</f>
        <v>#N/A</v>
      </c>
      <c r="L121" s="51" t="str" cm="1">
        <f t="array" ref="L121">IFERROR(_xlfn.FILTERXML("&lt;t&gt;&lt;s&gt;" &amp; SUBSTITUTE(K121," / ","&lt;/s&gt;&lt;s&gt;") &amp; "&lt;/s&gt;&lt;/t&gt;","(//s[contains(.,'DDR')])[1]"),"")</f>
        <v/>
      </c>
      <c r="M121" s="32" t="e">
        <f t="shared" si="5"/>
        <v>#N/A</v>
      </c>
      <c r="N121" s="51" t="e">
        <f>INDEX(Input!$D$2:$AC$500,
       MATCH(B121, Input!$J$2:$J$500, 0),
       MATCH("Disk Interface Type", Input!$D$1:$AC$1, 0))</f>
        <v>#N/A</v>
      </c>
      <c r="O121" s="51" t="str" cm="1">
        <f t="array" ref="O121">IFERROR(_xlfn.TEXTJOIN(", ", TRUE, _xlfn._xlws.FILTER(
    INDEX(Input!$D$2:$AC$500,,MATCH("Disk Capacity",Input!$D$1:$AC$1,0)),
    Input!$J$2:$J$500=B121
)), "")</f>
        <v/>
      </c>
      <c r="P121" s="32" t="e">
        <f t="shared" si="4"/>
        <v>#N/A</v>
      </c>
      <c r="Q121" s="51" t="e">
        <f>_xlfn.LET(_xlpm.Result,INDEX(Input!$D$2:$AC$500,
       MATCH(B121, Input!$J$2:$J$500, 0),
       MATCH("Capacity", Input!$D$1:$AC$1, 0)),IF(_xlpm.Result="","",_xlpm.Result))</f>
        <v>#N/A</v>
      </c>
      <c r="R121" s="51" t="e" cm="1">
        <f t="array" ref="R121">_xlfn.TEXTSPLIT(Q121," / ", ,TRUE,0,)</f>
        <v>#N/A</v>
      </c>
      <c r="S121" s="51"/>
      <c r="T121" s="51" t="str" cm="1">
        <f t="array" ref="T121">IFERROR(_xlfn.IFS(
R121="","",
--R121&lt;55,"Battery Defect",
--R121&lt;=69,"Battery D",
--R121&lt;=80,"Battery C",
--R121&gt;80,""
),"")</f>
        <v/>
      </c>
      <c r="U121" s="51" t="str" cm="1">
        <f t="array" ref="U121">IFERROR(_xlfn.IFS(
S121="","",
--S121&lt;55,"Battery Defect",
--S121&lt;=69,"Battery D",
--S121&lt;=80,"Battery C",
--S121&gt;80,""
),"")</f>
        <v/>
      </c>
      <c r="V121" s="51" t="str" cm="1">
        <f t="array" ref="V121:AC121">IFERROR(IF(_xlfn.XLOOKUP(B121,Input!J:J,Input!N:U)=0,"",
          _xlfn.XLOOKUP(B121,Input!J:J,Input!N:U)),"")</f>
        <v/>
      </c>
      <c r="W121" s="51" t="str">
        <v/>
      </c>
      <c r="X121" s="51" t="str">
        <v/>
      </c>
      <c r="Y121" s="51" t="str">
        <v/>
      </c>
      <c r="Z121" s="51" t="str">
        <v/>
      </c>
      <c r="AA121" s="51" t="str">
        <v/>
      </c>
      <c r="AB121" s="51" t="str">
        <v/>
      </c>
      <c r="AC121" s="51" t="str">
        <v/>
      </c>
      <c r="AD121" s="32" t="str">
        <f t="shared" si="3"/>
        <v/>
      </c>
      <c r="AE121" s="32" t="str">
        <f>_xlfn.XLOOKUP(B:B,Disk_Pivot!G:G,Disk_Pivot!I:I)</f>
        <v>Yes x2</v>
      </c>
      <c r="AF121" s="32" t="str">
        <f>_xlfn.XLOOKUP(B121,Disk_Pivot!G:G,Disk_Pivot!N:N)</f>
        <v>Pass, Fail</v>
      </c>
      <c r="AG121" s="32"/>
      <c r="AH121" s="32"/>
      <c r="AI121" s="32"/>
      <c r="AJ121" s="32"/>
      <c r="AK121" s="32"/>
      <c r="AL121" s="32"/>
    </row>
    <row r="122" spans="1:38">
      <c r="A122" s="32" t="str">
        <f>_xlfn.TEXTJOIN("",TRUE,_xlfn.XLOOKUP(B122,Input!J:J,Input!G:G,"",0,1),_xlfn.XLOOKUP(B122,Input!J:J,Input!H:H,"",0,1))</f>
        <v/>
      </c>
      <c r="B122" s="32"/>
      <c r="C122" s="51">
        <f>_xlfn.XLOOKUP(B122,Input!J:J,Input!F:F)</f>
        <v>0</v>
      </c>
      <c r="D122" s="32">
        <f>_xlfn.XLOOKUP(C122,Models!H:H,Models!G:G,C122)</f>
        <v>0</v>
      </c>
      <c r="E122" s="32">
        <f>_xlfn.XLOOKUP(B122,Input!J:J,Input!E:E)</f>
        <v>0</v>
      </c>
      <c r="F122" s="32">
        <f>IF(E122="LENOVO",_xlfn.XLOOKUP(B122,Input!J:J,Input!K:K),_xlfn.XLOOKUP(B122,Input!J:J,Input!L:L))</f>
        <v>0</v>
      </c>
      <c r="G122" s="32"/>
      <c r="H122" s="32"/>
      <c r="I122" s="32">
        <f>_xlfn.XLOOKUP(B122,CPU_Formula!A:A,CPU_Formula!I:I)</f>
        <v>0</v>
      </c>
      <c r="J122" s="51" t="e">
        <f>INDEX(Input!$D$2:$AC$500,
       MATCH(B122, Input!$J$2:$J$500, 0),
       MATCH("Total Memory", Input!$D$1:$AC$1, 0))</f>
        <v>#N/A</v>
      </c>
      <c r="K122" s="51" t="e">
        <f>INDEX(Input!$D$2:$AC$500,
       MATCH(B122, Input!$J$2:$J$500, 0),
       MATCH("Memory Type", Input!$D$1:$AC$1, 0))</f>
        <v>#N/A</v>
      </c>
      <c r="L122" s="51" t="str" cm="1">
        <f t="array" ref="L122">IFERROR(_xlfn.FILTERXML("&lt;t&gt;&lt;s&gt;" &amp; SUBSTITUTE(K122," / ","&lt;/s&gt;&lt;s&gt;") &amp; "&lt;/s&gt;&lt;/t&gt;","(//s[contains(.,'DDR')])[1]"),"")</f>
        <v/>
      </c>
      <c r="M122" s="32" t="e">
        <f t="shared" si="5"/>
        <v>#N/A</v>
      </c>
      <c r="N122" s="51" t="e">
        <f>INDEX(Input!$D$2:$AC$500,
       MATCH(B122, Input!$J$2:$J$500, 0),
       MATCH("Disk Interface Type", Input!$D$1:$AC$1, 0))</f>
        <v>#N/A</v>
      </c>
      <c r="O122" s="51" t="str" cm="1">
        <f t="array" ref="O122">IFERROR(_xlfn.TEXTJOIN(", ", TRUE, _xlfn._xlws.FILTER(
    INDEX(Input!$D$2:$AC$500,,MATCH("Disk Capacity",Input!$D$1:$AC$1,0)),
    Input!$J$2:$J$500=B122
)), "")</f>
        <v/>
      </c>
      <c r="P122" s="32" t="e">
        <f t="shared" si="4"/>
        <v>#N/A</v>
      </c>
      <c r="Q122" s="51" t="e">
        <f>_xlfn.LET(_xlpm.Result,INDEX(Input!$D$2:$AC$500,
       MATCH(B122, Input!$J$2:$J$500, 0),
       MATCH("Capacity", Input!$D$1:$AC$1, 0)),IF(_xlpm.Result="","",_xlpm.Result))</f>
        <v>#N/A</v>
      </c>
      <c r="R122" s="51" t="e" cm="1">
        <f t="array" ref="R122">_xlfn.TEXTSPLIT(Q122," / ", ,TRUE,0,)</f>
        <v>#N/A</v>
      </c>
      <c r="S122" s="51"/>
      <c r="T122" s="51" t="str" cm="1">
        <f t="array" ref="T122">IFERROR(_xlfn.IFS(
R122="","",
--R122&lt;55,"Battery Defect",
--R122&lt;=69,"Battery D",
--R122&lt;=80,"Battery C",
--R122&gt;80,""
),"")</f>
        <v/>
      </c>
      <c r="U122" s="51" t="str" cm="1">
        <f t="array" ref="U122">IFERROR(_xlfn.IFS(
S122="","",
--S122&lt;55,"Battery Defect",
--S122&lt;=69,"Battery D",
--S122&lt;=80,"Battery C",
--S122&gt;80,""
),"")</f>
        <v/>
      </c>
      <c r="V122" s="51" t="str" cm="1">
        <f t="array" ref="V122:AC122">IFERROR(IF(_xlfn.XLOOKUP(B122,Input!J:J,Input!N:U)=0,"",
          _xlfn.XLOOKUP(B122,Input!J:J,Input!N:U)),"")</f>
        <v/>
      </c>
      <c r="W122" s="51" t="str">
        <v/>
      </c>
      <c r="X122" s="51" t="str">
        <v/>
      </c>
      <c r="Y122" s="51" t="str">
        <v/>
      </c>
      <c r="Z122" s="51" t="str">
        <v/>
      </c>
      <c r="AA122" s="51" t="str">
        <v/>
      </c>
      <c r="AB122" s="51" t="str">
        <v/>
      </c>
      <c r="AC122" s="51" t="str">
        <v/>
      </c>
      <c r="AD122" s="32" t="str">
        <f t="shared" si="3"/>
        <v/>
      </c>
      <c r="AE122" s="32" t="str">
        <f>_xlfn.XLOOKUP(B:B,Disk_Pivot!G:G,Disk_Pivot!I:I)</f>
        <v>Yes x2</v>
      </c>
      <c r="AF122" s="32" t="str">
        <f>_xlfn.XLOOKUP(B122,Disk_Pivot!G:G,Disk_Pivot!N:N)</f>
        <v>Pass, Fail</v>
      </c>
      <c r="AG122" s="32"/>
      <c r="AH122" s="32"/>
      <c r="AI122" s="32"/>
      <c r="AJ122" s="32"/>
      <c r="AK122" s="32"/>
      <c r="AL122" s="32"/>
    </row>
    <row r="123" spans="1:38">
      <c r="A123" s="32" t="str">
        <f>_xlfn.TEXTJOIN("",TRUE,_xlfn.XLOOKUP(B123,Input!J:J,Input!G:G,"",0,1),_xlfn.XLOOKUP(B123,Input!J:J,Input!H:H,"",0,1))</f>
        <v/>
      </c>
      <c r="B123" s="32"/>
      <c r="C123" s="51">
        <f>_xlfn.XLOOKUP(B123,Input!J:J,Input!F:F)</f>
        <v>0</v>
      </c>
      <c r="D123" s="32">
        <f>_xlfn.XLOOKUP(C123,Models!H:H,Models!G:G,C123)</f>
        <v>0</v>
      </c>
      <c r="E123" s="32">
        <f>_xlfn.XLOOKUP(B123,Input!J:J,Input!E:E)</f>
        <v>0</v>
      </c>
      <c r="F123" s="32">
        <f>IF(E123="LENOVO",_xlfn.XLOOKUP(B123,Input!J:J,Input!K:K),_xlfn.XLOOKUP(B123,Input!J:J,Input!L:L))</f>
        <v>0</v>
      </c>
      <c r="G123" s="32"/>
      <c r="H123" s="32"/>
      <c r="I123" s="32">
        <f>_xlfn.XLOOKUP(B123,CPU_Formula!A:A,CPU_Formula!I:I)</f>
        <v>0</v>
      </c>
      <c r="J123" s="51" t="e">
        <f>INDEX(Input!$D$2:$AC$500,
       MATCH(B123, Input!$J$2:$J$500, 0),
       MATCH("Total Memory", Input!$D$1:$AC$1, 0))</f>
        <v>#N/A</v>
      </c>
      <c r="K123" s="51" t="e">
        <f>INDEX(Input!$D$2:$AC$500,
       MATCH(B123, Input!$J$2:$J$500, 0),
       MATCH("Memory Type", Input!$D$1:$AC$1, 0))</f>
        <v>#N/A</v>
      </c>
      <c r="L123" s="51" t="str" cm="1">
        <f t="array" ref="L123">IFERROR(_xlfn.FILTERXML("&lt;t&gt;&lt;s&gt;" &amp; SUBSTITUTE(K123," / ","&lt;/s&gt;&lt;s&gt;") &amp; "&lt;/s&gt;&lt;/t&gt;","(//s[contains(.,'DDR')])[1]"),"")</f>
        <v/>
      </c>
      <c r="M123" s="32" t="e">
        <f t="shared" si="5"/>
        <v>#N/A</v>
      </c>
      <c r="N123" s="51" t="e">
        <f>INDEX(Input!$D$2:$AC$500,
       MATCH(B123, Input!$J$2:$J$500, 0),
       MATCH("Disk Interface Type", Input!$D$1:$AC$1, 0))</f>
        <v>#N/A</v>
      </c>
      <c r="O123" s="51" t="str" cm="1">
        <f t="array" ref="O123">IFERROR(_xlfn.TEXTJOIN(", ", TRUE, _xlfn._xlws.FILTER(
    INDEX(Input!$D$2:$AC$500,,MATCH("Disk Capacity",Input!$D$1:$AC$1,0)),
    Input!$J$2:$J$500=B123
)), "")</f>
        <v/>
      </c>
      <c r="P123" s="32" t="e">
        <f t="shared" si="4"/>
        <v>#N/A</v>
      </c>
      <c r="Q123" s="51" t="e">
        <f>_xlfn.LET(_xlpm.Result,INDEX(Input!$D$2:$AC$500,
       MATCH(B123, Input!$J$2:$J$500, 0),
       MATCH("Capacity", Input!$D$1:$AC$1, 0)),IF(_xlpm.Result="","",_xlpm.Result))</f>
        <v>#N/A</v>
      </c>
      <c r="R123" s="51" t="e" cm="1">
        <f t="array" ref="R123">_xlfn.TEXTSPLIT(Q123," / ", ,TRUE,0,)</f>
        <v>#N/A</v>
      </c>
      <c r="S123" s="51"/>
      <c r="T123" s="51" t="str" cm="1">
        <f t="array" ref="T123">IFERROR(_xlfn.IFS(
R123="","",
--R123&lt;55,"Battery Defect",
--R123&lt;=69,"Battery D",
--R123&lt;=80,"Battery C",
--R123&gt;80,""
),"")</f>
        <v/>
      </c>
      <c r="U123" s="51" t="str" cm="1">
        <f t="array" ref="U123">IFERROR(_xlfn.IFS(
S123="","",
--S123&lt;55,"Battery Defect",
--S123&lt;=69,"Battery D",
--S123&lt;=80,"Battery C",
--S123&gt;80,""
),"")</f>
        <v/>
      </c>
      <c r="V123" s="51" t="str" cm="1">
        <f t="array" ref="V123:AC123">IFERROR(IF(_xlfn.XLOOKUP(B123,Input!J:J,Input!N:U)=0,"",
          _xlfn.XLOOKUP(B123,Input!J:J,Input!N:U)),"")</f>
        <v/>
      </c>
      <c r="W123" s="51" t="str">
        <v/>
      </c>
      <c r="X123" s="51" t="str">
        <v/>
      </c>
      <c r="Y123" s="51" t="str">
        <v/>
      </c>
      <c r="Z123" s="51" t="str">
        <v/>
      </c>
      <c r="AA123" s="51" t="str">
        <v/>
      </c>
      <c r="AB123" s="51" t="str">
        <v/>
      </c>
      <c r="AC123" s="51" t="str">
        <v/>
      </c>
      <c r="AD123" s="32" t="str">
        <f t="shared" si="3"/>
        <v/>
      </c>
      <c r="AE123" s="32" t="str">
        <f>_xlfn.XLOOKUP(B:B,Disk_Pivot!G:G,Disk_Pivot!I:I)</f>
        <v>Yes x2</v>
      </c>
      <c r="AF123" s="32" t="str">
        <f>_xlfn.XLOOKUP(B123,Disk_Pivot!G:G,Disk_Pivot!N:N)</f>
        <v>Pass, Fail</v>
      </c>
      <c r="AG123" s="32"/>
      <c r="AH123" s="32"/>
      <c r="AI123" s="32"/>
      <c r="AJ123" s="32"/>
      <c r="AK123" s="32"/>
      <c r="AL123" s="32"/>
    </row>
    <row r="124" spans="1:38">
      <c r="A124" s="32" t="str">
        <f>_xlfn.TEXTJOIN("",TRUE,_xlfn.XLOOKUP(B124,Input!J:J,Input!G:G,"",0,1),_xlfn.XLOOKUP(B124,Input!J:J,Input!H:H,"",0,1))</f>
        <v/>
      </c>
      <c r="B124" s="32"/>
      <c r="C124" s="51">
        <f>_xlfn.XLOOKUP(B124,Input!J:J,Input!F:F)</f>
        <v>0</v>
      </c>
      <c r="D124" s="32">
        <f>_xlfn.XLOOKUP(C124,Models!H:H,Models!G:G,C124)</f>
        <v>0</v>
      </c>
      <c r="E124" s="32">
        <f>_xlfn.XLOOKUP(B124,Input!J:J,Input!E:E)</f>
        <v>0</v>
      </c>
      <c r="F124" s="32">
        <f>IF(E124="LENOVO",_xlfn.XLOOKUP(B124,Input!J:J,Input!K:K),_xlfn.XLOOKUP(B124,Input!J:J,Input!L:L))</f>
        <v>0</v>
      </c>
      <c r="G124" s="32"/>
      <c r="H124" s="32"/>
      <c r="I124" s="32">
        <f>_xlfn.XLOOKUP(B124,CPU_Formula!A:A,CPU_Formula!I:I)</f>
        <v>0</v>
      </c>
      <c r="J124" s="51" t="e">
        <f>INDEX(Input!$D$2:$AC$500,
       MATCH(B124, Input!$J$2:$J$500, 0),
       MATCH("Total Memory", Input!$D$1:$AC$1, 0))</f>
        <v>#N/A</v>
      </c>
      <c r="K124" s="51" t="e">
        <f>INDEX(Input!$D$2:$AC$500,
       MATCH(B124, Input!$J$2:$J$500, 0),
       MATCH("Memory Type", Input!$D$1:$AC$1, 0))</f>
        <v>#N/A</v>
      </c>
      <c r="L124" s="51" t="str" cm="1">
        <f t="array" ref="L124">IFERROR(_xlfn.FILTERXML("&lt;t&gt;&lt;s&gt;" &amp; SUBSTITUTE(K124," / ","&lt;/s&gt;&lt;s&gt;") &amp; "&lt;/s&gt;&lt;/t&gt;","(//s[contains(.,'DDR')])[1]"),"")</f>
        <v/>
      </c>
      <c r="M124" s="32" t="e">
        <f t="shared" si="5"/>
        <v>#N/A</v>
      </c>
      <c r="N124" s="51" t="e">
        <f>INDEX(Input!$D$2:$AC$500,
       MATCH(B124, Input!$J$2:$J$500, 0),
       MATCH("Disk Interface Type", Input!$D$1:$AC$1, 0))</f>
        <v>#N/A</v>
      </c>
      <c r="O124" s="51" t="str" cm="1">
        <f t="array" ref="O124">IFERROR(_xlfn.TEXTJOIN(", ", TRUE, _xlfn._xlws.FILTER(
    INDEX(Input!$D$2:$AC$500,,MATCH("Disk Capacity",Input!$D$1:$AC$1,0)),
    Input!$J$2:$J$500=B124
)), "")</f>
        <v/>
      </c>
      <c r="P124" s="32" t="e">
        <f t="shared" si="4"/>
        <v>#N/A</v>
      </c>
      <c r="Q124" s="51" t="e">
        <f>_xlfn.LET(_xlpm.Result,INDEX(Input!$D$2:$AC$500,
       MATCH(B124, Input!$J$2:$J$500, 0),
       MATCH("Capacity", Input!$D$1:$AC$1, 0)),IF(_xlpm.Result="","",_xlpm.Result))</f>
        <v>#N/A</v>
      </c>
      <c r="R124" s="51" t="e" cm="1">
        <f t="array" ref="R124">_xlfn.TEXTSPLIT(Q124," / ", ,TRUE,0,)</f>
        <v>#N/A</v>
      </c>
      <c r="S124" s="51"/>
      <c r="T124" s="51" t="str" cm="1">
        <f t="array" ref="T124">IFERROR(_xlfn.IFS(
R124="","",
--R124&lt;55,"Battery Defect",
--R124&lt;=69,"Battery D",
--R124&lt;=80,"Battery C",
--R124&gt;80,""
),"")</f>
        <v/>
      </c>
      <c r="U124" s="51" t="str" cm="1">
        <f t="array" ref="U124">IFERROR(_xlfn.IFS(
S124="","",
--S124&lt;55,"Battery Defect",
--S124&lt;=69,"Battery D",
--S124&lt;=80,"Battery C",
--S124&gt;80,""
),"")</f>
        <v/>
      </c>
      <c r="V124" s="51" t="str" cm="1">
        <f t="array" ref="V124:AC124">IFERROR(IF(_xlfn.XLOOKUP(B124,Input!J:J,Input!N:U)=0,"",
          _xlfn.XLOOKUP(B124,Input!J:J,Input!N:U)),"")</f>
        <v/>
      </c>
      <c r="W124" s="51" t="str">
        <v/>
      </c>
      <c r="X124" s="51" t="str">
        <v/>
      </c>
      <c r="Y124" s="51" t="str">
        <v/>
      </c>
      <c r="Z124" s="51" t="str">
        <v/>
      </c>
      <c r="AA124" s="51" t="str">
        <v/>
      </c>
      <c r="AB124" s="51" t="str">
        <v/>
      </c>
      <c r="AC124" s="51" t="str">
        <v/>
      </c>
      <c r="AD124" s="32" t="str">
        <f t="shared" si="3"/>
        <v/>
      </c>
      <c r="AE124" s="32" t="str">
        <f>_xlfn.XLOOKUP(B:B,Disk_Pivot!G:G,Disk_Pivot!I:I)</f>
        <v>Yes x2</v>
      </c>
      <c r="AF124" s="32" t="str">
        <f>_xlfn.XLOOKUP(B124,Disk_Pivot!G:G,Disk_Pivot!N:N)</f>
        <v>Pass, Fail</v>
      </c>
      <c r="AG124" s="32"/>
      <c r="AH124" s="32"/>
      <c r="AI124" s="32"/>
      <c r="AJ124" s="32"/>
      <c r="AK124" s="32"/>
      <c r="AL124" s="32"/>
    </row>
    <row r="125" spans="1:38">
      <c r="A125" s="32" t="str">
        <f>_xlfn.TEXTJOIN("",TRUE,_xlfn.XLOOKUP(B125,Input!J:J,Input!G:G,"",0,1),_xlfn.XLOOKUP(B125,Input!J:J,Input!H:H,"",0,1))</f>
        <v/>
      </c>
      <c r="B125" s="32"/>
      <c r="C125" s="51">
        <f>_xlfn.XLOOKUP(B125,Input!J:J,Input!F:F)</f>
        <v>0</v>
      </c>
      <c r="D125" s="32">
        <f>_xlfn.XLOOKUP(C125,Models!H:H,Models!G:G,C125)</f>
        <v>0</v>
      </c>
      <c r="E125" s="32">
        <f>_xlfn.XLOOKUP(B125,Input!J:J,Input!E:E)</f>
        <v>0</v>
      </c>
      <c r="F125" s="32">
        <f>IF(E125="LENOVO",_xlfn.XLOOKUP(B125,Input!J:J,Input!K:K),_xlfn.XLOOKUP(B125,Input!J:J,Input!L:L))</f>
        <v>0</v>
      </c>
      <c r="G125" s="32"/>
      <c r="H125" s="32"/>
      <c r="I125" s="32">
        <f>_xlfn.XLOOKUP(B125,CPU_Formula!A:A,CPU_Formula!I:I)</f>
        <v>0</v>
      </c>
      <c r="J125" s="51" t="e">
        <f>INDEX(Input!$D$2:$AC$500,
       MATCH(B125, Input!$J$2:$J$500, 0),
       MATCH("Total Memory", Input!$D$1:$AC$1, 0))</f>
        <v>#N/A</v>
      </c>
      <c r="K125" s="51" t="e">
        <f>INDEX(Input!$D$2:$AC$500,
       MATCH(B125, Input!$J$2:$J$500, 0),
       MATCH("Memory Type", Input!$D$1:$AC$1, 0))</f>
        <v>#N/A</v>
      </c>
      <c r="L125" s="51" t="str" cm="1">
        <f t="array" ref="L125">IFERROR(_xlfn.FILTERXML("&lt;t&gt;&lt;s&gt;" &amp; SUBSTITUTE(K125," / ","&lt;/s&gt;&lt;s&gt;") &amp; "&lt;/s&gt;&lt;/t&gt;","(//s[contains(.,'DDR')])[1]"),"")</f>
        <v/>
      </c>
      <c r="M125" s="32" t="e">
        <f t="shared" si="5"/>
        <v>#N/A</v>
      </c>
      <c r="N125" s="51" t="e">
        <f>INDEX(Input!$D$2:$AC$500,
       MATCH(B125, Input!$J$2:$J$500, 0),
       MATCH("Disk Interface Type", Input!$D$1:$AC$1, 0))</f>
        <v>#N/A</v>
      </c>
      <c r="O125" s="51" t="str" cm="1">
        <f t="array" ref="O125">IFERROR(_xlfn.TEXTJOIN(", ", TRUE, _xlfn._xlws.FILTER(
    INDEX(Input!$D$2:$AC$500,,MATCH("Disk Capacity",Input!$D$1:$AC$1,0)),
    Input!$J$2:$J$500=B125
)), "")</f>
        <v/>
      </c>
      <c r="P125" s="32" t="e">
        <f t="shared" si="4"/>
        <v>#N/A</v>
      </c>
      <c r="Q125" s="51" t="e">
        <f>_xlfn.LET(_xlpm.Result,INDEX(Input!$D$2:$AC$500,
       MATCH(B125, Input!$J$2:$J$500, 0),
       MATCH("Capacity", Input!$D$1:$AC$1, 0)),IF(_xlpm.Result="","",_xlpm.Result))</f>
        <v>#N/A</v>
      </c>
      <c r="R125" s="51" t="e" cm="1">
        <f t="array" ref="R125">_xlfn.TEXTSPLIT(Q125," / ", ,TRUE,0,)</f>
        <v>#N/A</v>
      </c>
      <c r="S125" s="51"/>
      <c r="T125" s="51" t="str" cm="1">
        <f t="array" ref="T125">IFERROR(_xlfn.IFS(
R125="","",
--R125&lt;55,"Battery Defect",
--R125&lt;=69,"Battery D",
--R125&lt;=80,"Battery C",
--R125&gt;80,""
),"")</f>
        <v/>
      </c>
      <c r="U125" s="51" t="str" cm="1">
        <f t="array" ref="U125">IFERROR(_xlfn.IFS(
S125="","",
--S125&lt;55,"Battery Defect",
--S125&lt;=69,"Battery D",
--S125&lt;=80,"Battery C",
--S125&gt;80,""
),"")</f>
        <v/>
      </c>
      <c r="V125" s="51" t="str" cm="1">
        <f t="array" ref="V125:AC125">IFERROR(IF(_xlfn.XLOOKUP(B125,Input!J:J,Input!N:U)=0,"",
          _xlfn.XLOOKUP(B125,Input!J:J,Input!N:U)),"")</f>
        <v/>
      </c>
      <c r="W125" s="51" t="str">
        <v/>
      </c>
      <c r="X125" s="51" t="str">
        <v/>
      </c>
      <c r="Y125" s="51" t="str">
        <v/>
      </c>
      <c r="Z125" s="51" t="str">
        <v/>
      </c>
      <c r="AA125" s="51" t="str">
        <v/>
      </c>
      <c r="AB125" s="51" t="str">
        <v/>
      </c>
      <c r="AC125" s="51" t="str">
        <v/>
      </c>
      <c r="AD125" s="32" t="str">
        <f t="shared" si="3"/>
        <v/>
      </c>
      <c r="AE125" s="32" t="str">
        <f>_xlfn.XLOOKUP(B:B,Disk_Pivot!G:G,Disk_Pivot!I:I)</f>
        <v>Yes x2</v>
      </c>
      <c r="AF125" s="32" t="str">
        <f>_xlfn.XLOOKUP(B125,Disk_Pivot!G:G,Disk_Pivot!N:N)</f>
        <v>Pass, Fail</v>
      </c>
      <c r="AG125" s="32"/>
      <c r="AH125" s="32"/>
      <c r="AI125" s="32"/>
      <c r="AJ125" s="32"/>
      <c r="AK125" s="32"/>
      <c r="AL125" s="32"/>
    </row>
    <row r="126" spans="1:38">
      <c r="A126" s="32" t="str">
        <f>_xlfn.TEXTJOIN("",TRUE,_xlfn.XLOOKUP(B126,Input!J:J,Input!G:G,"",0,1),_xlfn.XLOOKUP(B126,Input!J:J,Input!H:H,"",0,1))</f>
        <v/>
      </c>
      <c r="B126" s="32"/>
      <c r="C126" s="51">
        <f>_xlfn.XLOOKUP(B126,Input!J:J,Input!F:F)</f>
        <v>0</v>
      </c>
      <c r="D126" s="32">
        <f>_xlfn.XLOOKUP(C126,Models!H:H,Models!G:G,C126)</f>
        <v>0</v>
      </c>
      <c r="E126" s="32">
        <f>_xlfn.XLOOKUP(B126,Input!J:J,Input!E:E)</f>
        <v>0</v>
      </c>
      <c r="F126" s="32">
        <f>IF(E126="LENOVO",_xlfn.XLOOKUP(B126,Input!J:J,Input!K:K),_xlfn.XLOOKUP(B126,Input!J:J,Input!L:L))</f>
        <v>0</v>
      </c>
      <c r="G126" s="32"/>
      <c r="H126" s="32"/>
      <c r="I126" s="32">
        <f>_xlfn.XLOOKUP(B126,CPU_Formula!A:A,CPU_Formula!I:I)</f>
        <v>0</v>
      </c>
      <c r="J126" s="51" t="e">
        <f>INDEX(Input!$D$2:$AC$500,
       MATCH(B126, Input!$J$2:$J$500, 0),
       MATCH("Total Memory", Input!$D$1:$AC$1, 0))</f>
        <v>#N/A</v>
      </c>
      <c r="K126" s="51" t="e">
        <f>INDEX(Input!$D$2:$AC$500,
       MATCH(B126, Input!$J$2:$J$500, 0),
       MATCH("Memory Type", Input!$D$1:$AC$1, 0))</f>
        <v>#N/A</v>
      </c>
      <c r="L126" s="51" t="str" cm="1">
        <f t="array" ref="L126">IFERROR(_xlfn.FILTERXML("&lt;t&gt;&lt;s&gt;" &amp; SUBSTITUTE(K126," / ","&lt;/s&gt;&lt;s&gt;") &amp; "&lt;/s&gt;&lt;/t&gt;","(//s[contains(.,'DDR')])[1]"),"")</f>
        <v/>
      </c>
      <c r="M126" s="32" t="e">
        <f t="shared" si="5"/>
        <v>#N/A</v>
      </c>
      <c r="N126" s="51" t="e">
        <f>INDEX(Input!$D$2:$AC$500,
       MATCH(B126, Input!$J$2:$J$500, 0),
       MATCH("Disk Interface Type", Input!$D$1:$AC$1, 0))</f>
        <v>#N/A</v>
      </c>
      <c r="O126" s="51" t="str" cm="1">
        <f t="array" ref="O126">IFERROR(_xlfn.TEXTJOIN(", ", TRUE, _xlfn._xlws.FILTER(
    INDEX(Input!$D$2:$AC$500,,MATCH("Disk Capacity",Input!$D$1:$AC$1,0)),
    Input!$J$2:$J$500=B126
)), "")</f>
        <v/>
      </c>
      <c r="P126" s="32" t="e">
        <f t="shared" si="4"/>
        <v>#N/A</v>
      </c>
      <c r="Q126" s="51" t="e">
        <f>_xlfn.LET(_xlpm.Result,INDEX(Input!$D$2:$AC$500,
       MATCH(B126, Input!$J$2:$J$500, 0),
       MATCH("Capacity", Input!$D$1:$AC$1, 0)),IF(_xlpm.Result="","",_xlpm.Result))</f>
        <v>#N/A</v>
      </c>
      <c r="R126" s="51" t="e" cm="1">
        <f t="array" ref="R126">_xlfn.TEXTSPLIT(Q126," / ", ,TRUE,0,)</f>
        <v>#N/A</v>
      </c>
      <c r="S126" s="51"/>
      <c r="T126" s="51" t="str" cm="1">
        <f t="array" ref="T126">IFERROR(_xlfn.IFS(
R126="","",
--R126&lt;55,"Battery Defect",
--R126&lt;=69,"Battery D",
--R126&lt;=80,"Battery C",
--R126&gt;80,""
),"")</f>
        <v/>
      </c>
      <c r="U126" s="51" t="str" cm="1">
        <f t="array" ref="U126">IFERROR(_xlfn.IFS(
S126="","",
--S126&lt;55,"Battery Defect",
--S126&lt;=69,"Battery D",
--S126&lt;=80,"Battery C",
--S126&gt;80,""
),"")</f>
        <v/>
      </c>
      <c r="V126" s="51" t="str" cm="1">
        <f t="array" ref="V126:AC126">IFERROR(IF(_xlfn.XLOOKUP(B126,Input!J:J,Input!N:U)=0,"",
          _xlfn.XLOOKUP(B126,Input!J:J,Input!N:U)),"")</f>
        <v/>
      </c>
      <c r="W126" s="51" t="str">
        <v/>
      </c>
      <c r="X126" s="51" t="str">
        <v/>
      </c>
      <c r="Y126" s="51" t="str">
        <v/>
      </c>
      <c r="Z126" s="51" t="str">
        <v/>
      </c>
      <c r="AA126" s="51" t="str">
        <v/>
      </c>
      <c r="AB126" s="51" t="str">
        <v/>
      </c>
      <c r="AC126" s="51" t="str">
        <v/>
      </c>
      <c r="AD126" s="32" t="str">
        <f t="shared" si="3"/>
        <v/>
      </c>
      <c r="AE126" s="32" t="str">
        <f>_xlfn.XLOOKUP(B:B,Disk_Pivot!G:G,Disk_Pivot!I:I)</f>
        <v>Yes x2</v>
      </c>
      <c r="AF126" s="32" t="str">
        <f>_xlfn.XLOOKUP(B126,Disk_Pivot!G:G,Disk_Pivot!N:N)</f>
        <v>Pass, Fail</v>
      </c>
      <c r="AG126" s="32"/>
      <c r="AH126" s="32"/>
      <c r="AI126" s="32"/>
      <c r="AJ126" s="32"/>
      <c r="AK126" s="32"/>
      <c r="AL126" s="32"/>
    </row>
    <row r="127" spans="1:38">
      <c r="A127" s="32" t="str">
        <f>_xlfn.TEXTJOIN("",TRUE,_xlfn.XLOOKUP(B127,Input!J:J,Input!G:G,"",0,1),_xlfn.XLOOKUP(B127,Input!J:J,Input!H:H,"",0,1))</f>
        <v/>
      </c>
      <c r="B127" s="32"/>
      <c r="C127" s="51">
        <f>_xlfn.XLOOKUP(B127,Input!J:J,Input!F:F)</f>
        <v>0</v>
      </c>
      <c r="D127" s="32">
        <f>_xlfn.XLOOKUP(C127,Models!H:H,Models!G:G,C127)</f>
        <v>0</v>
      </c>
      <c r="E127" s="32">
        <f>_xlfn.XLOOKUP(B127,Input!J:J,Input!E:E)</f>
        <v>0</v>
      </c>
      <c r="F127" s="32">
        <f>IF(E127="LENOVO",_xlfn.XLOOKUP(B127,Input!J:J,Input!K:K),_xlfn.XLOOKUP(B127,Input!J:J,Input!L:L))</f>
        <v>0</v>
      </c>
      <c r="G127" s="32"/>
      <c r="H127" s="32"/>
      <c r="I127" s="32">
        <f>_xlfn.XLOOKUP(B127,CPU_Formula!A:A,CPU_Formula!I:I)</f>
        <v>0</v>
      </c>
      <c r="J127" s="51" t="e">
        <f>INDEX(Input!$D$2:$AC$500,
       MATCH(B127, Input!$J$2:$J$500, 0),
       MATCH("Total Memory", Input!$D$1:$AC$1, 0))</f>
        <v>#N/A</v>
      </c>
      <c r="K127" s="51" t="e">
        <f>INDEX(Input!$D$2:$AC$500,
       MATCH(B127, Input!$J$2:$J$500, 0),
       MATCH("Memory Type", Input!$D$1:$AC$1, 0))</f>
        <v>#N/A</v>
      </c>
      <c r="L127" s="51" t="str" cm="1">
        <f t="array" ref="L127">IFERROR(_xlfn.FILTERXML("&lt;t&gt;&lt;s&gt;" &amp; SUBSTITUTE(K127," / ","&lt;/s&gt;&lt;s&gt;") &amp; "&lt;/s&gt;&lt;/t&gt;","(//s[contains(.,'DDR')])[1]"),"")</f>
        <v/>
      </c>
      <c r="M127" s="32" t="e">
        <f t="shared" si="5"/>
        <v>#N/A</v>
      </c>
      <c r="N127" s="51" t="e">
        <f>INDEX(Input!$D$2:$AC$500,
       MATCH(B127, Input!$J$2:$J$500, 0),
       MATCH("Disk Interface Type", Input!$D$1:$AC$1, 0))</f>
        <v>#N/A</v>
      </c>
      <c r="O127" s="51" t="str" cm="1">
        <f t="array" ref="O127">IFERROR(_xlfn.TEXTJOIN(", ", TRUE, _xlfn._xlws.FILTER(
    INDEX(Input!$D$2:$AC$500,,MATCH("Disk Capacity",Input!$D$1:$AC$1,0)),
    Input!$J$2:$J$500=B127
)), "")</f>
        <v/>
      </c>
      <c r="P127" s="32" t="e">
        <f t="shared" si="4"/>
        <v>#N/A</v>
      </c>
      <c r="Q127" s="51" t="e">
        <f>_xlfn.LET(_xlpm.Result,INDEX(Input!$D$2:$AC$500,
       MATCH(B127, Input!$J$2:$J$500, 0),
       MATCH("Capacity", Input!$D$1:$AC$1, 0)),IF(_xlpm.Result="","",_xlpm.Result))</f>
        <v>#N/A</v>
      </c>
      <c r="R127" s="51" t="e" cm="1">
        <f t="array" ref="R127">_xlfn.TEXTSPLIT(Q127," / ", ,TRUE,0,)</f>
        <v>#N/A</v>
      </c>
      <c r="S127" s="51"/>
      <c r="T127" s="51" t="str" cm="1">
        <f t="array" ref="T127">IFERROR(_xlfn.IFS(
R127="","",
--R127&lt;55,"Battery Defect",
--R127&lt;=69,"Battery D",
--R127&lt;=80,"Battery C",
--R127&gt;80,""
),"")</f>
        <v/>
      </c>
      <c r="U127" s="51" t="str" cm="1">
        <f t="array" ref="U127">IFERROR(_xlfn.IFS(
S127="","",
--S127&lt;55,"Battery Defect",
--S127&lt;=69,"Battery D",
--S127&lt;=80,"Battery C",
--S127&gt;80,""
),"")</f>
        <v/>
      </c>
      <c r="V127" s="51" t="str" cm="1">
        <f t="array" ref="V127:AC127">IFERROR(IF(_xlfn.XLOOKUP(B127,Input!J:J,Input!N:U)=0,"",
          _xlfn.XLOOKUP(B127,Input!J:J,Input!N:U)),"")</f>
        <v/>
      </c>
      <c r="W127" s="51" t="str">
        <v/>
      </c>
      <c r="X127" s="51" t="str">
        <v/>
      </c>
      <c r="Y127" s="51" t="str">
        <v/>
      </c>
      <c r="Z127" s="51" t="str">
        <v/>
      </c>
      <c r="AA127" s="51" t="str">
        <v/>
      </c>
      <c r="AB127" s="51" t="str">
        <v/>
      </c>
      <c r="AC127" s="51" t="str">
        <v/>
      </c>
      <c r="AD127" s="32" t="str">
        <f t="shared" si="3"/>
        <v/>
      </c>
      <c r="AE127" s="32" t="str">
        <f>_xlfn.XLOOKUP(B:B,Disk_Pivot!G:G,Disk_Pivot!I:I)</f>
        <v>Yes x2</v>
      </c>
      <c r="AF127" s="32" t="str">
        <f>_xlfn.XLOOKUP(B127,Disk_Pivot!G:G,Disk_Pivot!N:N)</f>
        <v>Pass, Fail</v>
      </c>
      <c r="AG127" s="32"/>
      <c r="AH127" s="32"/>
      <c r="AI127" s="32"/>
      <c r="AJ127" s="32"/>
      <c r="AK127" s="32"/>
      <c r="AL127" s="32"/>
    </row>
    <row r="128" spans="1:38">
      <c r="A128" s="32" t="str">
        <f>_xlfn.TEXTJOIN("",TRUE,_xlfn.XLOOKUP(B128,Input!J:J,Input!G:G,"",0,1),_xlfn.XLOOKUP(B128,Input!J:J,Input!H:H,"",0,1))</f>
        <v/>
      </c>
      <c r="B128" s="32"/>
      <c r="C128" s="51">
        <f>_xlfn.XLOOKUP(B128,Input!J:J,Input!F:F)</f>
        <v>0</v>
      </c>
      <c r="D128" s="32">
        <f>_xlfn.XLOOKUP(C128,Models!H:H,Models!G:G,C128)</f>
        <v>0</v>
      </c>
      <c r="E128" s="32">
        <f>_xlfn.XLOOKUP(B128,Input!J:J,Input!E:E)</f>
        <v>0</v>
      </c>
      <c r="F128" s="32">
        <f>IF(E128="LENOVO",_xlfn.XLOOKUP(B128,Input!J:J,Input!K:K),_xlfn.XLOOKUP(B128,Input!J:J,Input!L:L))</f>
        <v>0</v>
      </c>
      <c r="G128" s="32"/>
      <c r="H128" s="32"/>
      <c r="I128" s="32">
        <f>_xlfn.XLOOKUP(B128,CPU_Formula!A:A,CPU_Formula!I:I)</f>
        <v>0</v>
      </c>
      <c r="J128" s="51" t="e">
        <f>INDEX(Input!$D$2:$AC$500,
       MATCH(B128, Input!$J$2:$J$500, 0),
       MATCH("Total Memory", Input!$D$1:$AC$1, 0))</f>
        <v>#N/A</v>
      </c>
      <c r="K128" s="51" t="e">
        <f>INDEX(Input!$D$2:$AC$500,
       MATCH(B128, Input!$J$2:$J$500, 0),
       MATCH("Memory Type", Input!$D$1:$AC$1, 0))</f>
        <v>#N/A</v>
      </c>
      <c r="L128" s="51" t="str" cm="1">
        <f t="array" ref="L128">IFERROR(_xlfn.FILTERXML("&lt;t&gt;&lt;s&gt;" &amp; SUBSTITUTE(K128," / ","&lt;/s&gt;&lt;s&gt;") &amp; "&lt;/s&gt;&lt;/t&gt;","(//s[contains(.,'DDR')])[1]"),"")</f>
        <v/>
      </c>
      <c r="M128" s="32" t="e">
        <f t="shared" si="5"/>
        <v>#N/A</v>
      </c>
      <c r="N128" s="51" t="e">
        <f>INDEX(Input!$D$2:$AC$500,
       MATCH(B128, Input!$J$2:$J$500, 0),
       MATCH("Disk Interface Type", Input!$D$1:$AC$1, 0))</f>
        <v>#N/A</v>
      </c>
      <c r="O128" s="51" t="str" cm="1">
        <f t="array" ref="O128">IFERROR(_xlfn.TEXTJOIN(", ", TRUE, _xlfn._xlws.FILTER(
    INDEX(Input!$D$2:$AC$500,,MATCH("Disk Capacity",Input!$D$1:$AC$1,0)),
    Input!$J$2:$J$500=B128
)), "")</f>
        <v/>
      </c>
      <c r="P128" s="32" t="e">
        <f t="shared" si="4"/>
        <v>#N/A</v>
      </c>
      <c r="Q128" s="51" t="e">
        <f>_xlfn.LET(_xlpm.Result,INDEX(Input!$D$2:$AC$500,
       MATCH(B128, Input!$J$2:$J$500, 0),
       MATCH("Capacity", Input!$D$1:$AC$1, 0)),IF(_xlpm.Result="","",_xlpm.Result))</f>
        <v>#N/A</v>
      </c>
      <c r="R128" s="51" t="e" cm="1">
        <f t="array" ref="R128">_xlfn.TEXTSPLIT(Q128," / ", ,TRUE,0,)</f>
        <v>#N/A</v>
      </c>
      <c r="S128" s="51"/>
      <c r="T128" s="51" t="str" cm="1">
        <f t="array" ref="T128">IFERROR(_xlfn.IFS(
R128="","",
--R128&lt;55,"Battery Defect",
--R128&lt;=69,"Battery D",
--R128&lt;=80,"Battery C",
--R128&gt;80,""
),"")</f>
        <v/>
      </c>
      <c r="U128" s="51" t="str" cm="1">
        <f t="array" ref="U128">IFERROR(_xlfn.IFS(
S128="","",
--S128&lt;55,"Battery Defect",
--S128&lt;=69,"Battery D",
--S128&lt;=80,"Battery C",
--S128&gt;80,""
),"")</f>
        <v/>
      </c>
      <c r="V128" s="51" t="str" cm="1">
        <f t="array" ref="V128:AC128">IFERROR(IF(_xlfn.XLOOKUP(B128,Input!J:J,Input!N:U)=0,"",
          _xlfn.XLOOKUP(B128,Input!J:J,Input!N:U)),"")</f>
        <v/>
      </c>
      <c r="W128" s="51" t="str">
        <v/>
      </c>
      <c r="X128" s="51" t="str">
        <v/>
      </c>
      <c r="Y128" s="51" t="str">
        <v/>
      </c>
      <c r="Z128" s="51" t="str">
        <v/>
      </c>
      <c r="AA128" s="51" t="str">
        <v/>
      </c>
      <c r="AB128" s="51" t="str">
        <v/>
      </c>
      <c r="AC128" s="51" t="str">
        <v/>
      </c>
      <c r="AD128" s="32" t="str">
        <f t="shared" si="3"/>
        <v/>
      </c>
      <c r="AE128" s="32" t="str">
        <f>_xlfn.XLOOKUP(B:B,Disk_Pivot!G:G,Disk_Pivot!I:I)</f>
        <v>Yes x2</v>
      </c>
      <c r="AF128" s="32" t="str">
        <f>_xlfn.XLOOKUP(B128,Disk_Pivot!G:G,Disk_Pivot!N:N)</f>
        <v>Pass, Fail</v>
      </c>
      <c r="AG128" s="32"/>
      <c r="AH128" s="32"/>
      <c r="AI128" s="32"/>
      <c r="AJ128" s="32"/>
      <c r="AK128" s="32"/>
      <c r="AL128" s="32"/>
    </row>
    <row r="129" spans="1:38">
      <c r="A129" s="32" t="str">
        <f>_xlfn.TEXTJOIN("",TRUE,_xlfn.XLOOKUP(B129,Input!J:J,Input!G:G,"",0,1),_xlfn.XLOOKUP(B129,Input!J:J,Input!H:H,"",0,1))</f>
        <v/>
      </c>
      <c r="B129" s="32"/>
      <c r="C129" s="51">
        <f>_xlfn.XLOOKUP(B129,Input!J:J,Input!F:F)</f>
        <v>0</v>
      </c>
      <c r="D129" s="32">
        <f>_xlfn.XLOOKUP(C129,Models!H:H,Models!G:G,C129)</f>
        <v>0</v>
      </c>
      <c r="E129" s="32">
        <f>_xlfn.XLOOKUP(B129,Input!J:J,Input!E:E)</f>
        <v>0</v>
      </c>
      <c r="F129" s="32">
        <f>IF(E129="LENOVO",_xlfn.XLOOKUP(B129,Input!J:J,Input!K:K),_xlfn.XLOOKUP(B129,Input!J:J,Input!L:L))</f>
        <v>0</v>
      </c>
      <c r="G129" s="32"/>
      <c r="H129" s="32"/>
      <c r="I129" s="32">
        <f>_xlfn.XLOOKUP(B129,CPU_Formula!A:A,CPU_Formula!I:I)</f>
        <v>0</v>
      </c>
      <c r="J129" s="51" t="e">
        <f>INDEX(Input!$D$2:$AC$500,
       MATCH(B129, Input!$J$2:$J$500, 0),
       MATCH("Total Memory", Input!$D$1:$AC$1, 0))</f>
        <v>#N/A</v>
      </c>
      <c r="K129" s="51" t="e">
        <f>INDEX(Input!$D$2:$AC$500,
       MATCH(B129, Input!$J$2:$J$500, 0),
       MATCH("Memory Type", Input!$D$1:$AC$1, 0))</f>
        <v>#N/A</v>
      </c>
      <c r="L129" s="51" t="str" cm="1">
        <f t="array" ref="L129">IFERROR(_xlfn.FILTERXML("&lt;t&gt;&lt;s&gt;" &amp; SUBSTITUTE(K129," / ","&lt;/s&gt;&lt;s&gt;") &amp; "&lt;/s&gt;&lt;/t&gt;","(//s[contains(.,'DDR')])[1]"),"")</f>
        <v/>
      </c>
      <c r="M129" s="32" t="e">
        <f t="shared" si="5"/>
        <v>#N/A</v>
      </c>
      <c r="N129" s="51" t="e">
        <f>INDEX(Input!$D$2:$AC$500,
       MATCH(B129, Input!$J$2:$J$500, 0),
       MATCH("Disk Interface Type", Input!$D$1:$AC$1, 0))</f>
        <v>#N/A</v>
      </c>
      <c r="O129" s="51" t="str" cm="1">
        <f t="array" ref="O129">IFERROR(_xlfn.TEXTJOIN(", ", TRUE, _xlfn._xlws.FILTER(
    INDEX(Input!$D$2:$AC$500,,MATCH("Disk Capacity",Input!$D$1:$AC$1,0)),
    Input!$J$2:$J$500=B129
)), "")</f>
        <v/>
      </c>
      <c r="P129" s="32" t="e">
        <f t="shared" si="4"/>
        <v>#N/A</v>
      </c>
      <c r="Q129" s="51" t="e">
        <f>_xlfn.LET(_xlpm.Result,INDEX(Input!$D$2:$AC$500,
       MATCH(B129, Input!$J$2:$J$500, 0),
       MATCH("Capacity", Input!$D$1:$AC$1, 0)),IF(_xlpm.Result="","",_xlpm.Result))</f>
        <v>#N/A</v>
      </c>
      <c r="R129" s="51" t="e" cm="1">
        <f t="array" ref="R129">_xlfn.TEXTSPLIT(Q129," / ", ,TRUE,0,)</f>
        <v>#N/A</v>
      </c>
      <c r="S129" s="51"/>
      <c r="T129" s="51" t="str" cm="1">
        <f t="array" ref="T129">IFERROR(_xlfn.IFS(
R129="","",
--R129&lt;55,"Battery Defect",
--R129&lt;=69,"Battery D",
--R129&lt;=80,"Battery C",
--R129&gt;80,""
),"")</f>
        <v/>
      </c>
      <c r="U129" s="51" t="str" cm="1">
        <f t="array" ref="U129">IFERROR(_xlfn.IFS(
S129="","",
--S129&lt;55,"Battery Defect",
--S129&lt;=69,"Battery D",
--S129&lt;=80,"Battery C",
--S129&gt;80,""
),"")</f>
        <v/>
      </c>
      <c r="V129" s="51" t="str" cm="1">
        <f t="array" ref="V129:AC129">IFERROR(IF(_xlfn.XLOOKUP(B129,Input!J:J,Input!N:U)=0,"",
          _xlfn.XLOOKUP(B129,Input!J:J,Input!N:U)),"")</f>
        <v/>
      </c>
      <c r="W129" s="51" t="str">
        <v/>
      </c>
      <c r="X129" s="51" t="str">
        <v/>
      </c>
      <c r="Y129" s="51" t="str">
        <v/>
      </c>
      <c r="Z129" s="51" t="str">
        <v/>
      </c>
      <c r="AA129" s="51" t="str">
        <v/>
      </c>
      <c r="AB129" s="51" t="str">
        <v/>
      </c>
      <c r="AC129" s="51" t="str">
        <v/>
      </c>
      <c r="AD129" s="32" t="str">
        <f t="shared" si="3"/>
        <v/>
      </c>
      <c r="AE129" s="32" t="str">
        <f>_xlfn.XLOOKUP(B:B,Disk_Pivot!G:G,Disk_Pivot!I:I)</f>
        <v>Yes x2</v>
      </c>
      <c r="AF129" s="32" t="str">
        <f>_xlfn.XLOOKUP(B129,Disk_Pivot!G:G,Disk_Pivot!N:N)</f>
        <v>Pass, Fail</v>
      </c>
      <c r="AG129" s="32"/>
      <c r="AH129" s="32"/>
      <c r="AI129" s="32"/>
      <c r="AJ129" s="32"/>
      <c r="AK129" s="32"/>
      <c r="AL129" s="32"/>
    </row>
    <row r="130" spans="1:38">
      <c r="A130" s="32" t="str">
        <f>_xlfn.TEXTJOIN("",TRUE,_xlfn.XLOOKUP(B130,Input!J:J,Input!G:G,"",0,1),_xlfn.XLOOKUP(B130,Input!J:J,Input!H:H,"",0,1))</f>
        <v/>
      </c>
      <c r="B130" s="32"/>
      <c r="C130" s="51">
        <f>_xlfn.XLOOKUP(B130,Input!J:J,Input!F:F)</f>
        <v>0</v>
      </c>
      <c r="D130" s="32">
        <f>_xlfn.XLOOKUP(C130,Models!H:H,Models!G:G,C130)</f>
        <v>0</v>
      </c>
      <c r="E130" s="32">
        <f>_xlfn.XLOOKUP(B130,Input!J:J,Input!E:E)</f>
        <v>0</v>
      </c>
      <c r="F130" s="32">
        <f>IF(E130="LENOVO",_xlfn.XLOOKUP(B130,Input!J:J,Input!K:K),_xlfn.XLOOKUP(B130,Input!J:J,Input!L:L))</f>
        <v>0</v>
      </c>
      <c r="G130" s="32"/>
      <c r="H130" s="32"/>
      <c r="I130" s="32">
        <f>_xlfn.XLOOKUP(B130,CPU_Formula!A:A,CPU_Formula!I:I)</f>
        <v>0</v>
      </c>
      <c r="J130" s="51" t="e">
        <f>INDEX(Input!$D$2:$AC$500,
       MATCH(B130, Input!$J$2:$J$500, 0),
       MATCH("Total Memory", Input!$D$1:$AC$1, 0))</f>
        <v>#N/A</v>
      </c>
      <c r="K130" s="51" t="e">
        <f>INDEX(Input!$D$2:$AC$500,
       MATCH(B130, Input!$J$2:$J$500, 0),
       MATCH("Memory Type", Input!$D$1:$AC$1, 0))</f>
        <v>#N/A</v>
      </c>
      <c r="L130" s="51" t="str" cm="1">
        <f t="array" ref="L130">IFERROR(_xlfn.FILTERXML("&lt;t&gt;&lt;s&gt;" &amp; SUBSTITUTE(K130," / ","&lt;/s&gt;&lt;s&gt;") &amp; "&lt;/s&gt;&lt;/t&gt;","(//s[contains(.,'DDR')])[1]"),"")</f>
        <v/>
      </c>
      <c r="M130" s="32" t="e">
        <f t="shared" si="5"/>
        <v>#N/A</v>
      </c>
      <c r="N130" s="51" t="e">
        <f>INDEX(Input!$D$2:$AC$500,
       MATCH(B130, Input!$J$2:$J$500, 0),
       MATCH("Disk Interface Type", Input!$D$1:$AC$1, 0))</f>
        <v>#N/A</v>
      </c>
      <c r="O130" s="51" t="str" cm="1">
        <f t="array" ref="O130">IFERROR(_xlfn.TEXTJOIN(", ", TRUE, _xlfn._xlws.FILTER(
    INDEX(Input!$D$2:$AC$500,,MATCH("Disk Capacity",Input!$D$1:$AC$1,0)),
    Input!$J$2:$J$500=B130
)), "")</f>
        <v/>
      </c>
      <c r="P130" s="32" t="e">
        <f t="shared" si="4"/>
        <v>#N/A</v>
      </c>
      <c r="Q130" s="51" t="e">
        <f>_xlfn.LET(_xlpm.Result,INDEX(Input!$D$2:$AC$500,
       MATCH(B130, Input!$J$2:$J$500, 0),
       MATCH("Capacity", Input!$D$1:$AC$1, 0)),IF(_xlpm.Result="","",_xlpm.Result))</f>
        <v>#N/A</v>
      </c>
      <c r="R130" s="51" t="e" cm="1">
        <f t="array" ref="R130">_xlfn.TEXTSPLIT(Q130," / ", ,TRUE,0,)</f>
        <v>#N/A</v>
      </c>
      <c r="S130" s="51"/>
      <c r="T130" s="51" t="str" cm="1">
        <f t="array" ref="T130">IFERROR(_xlfn.IFS(
R130="","",
--R130&lt;55,"Battery Defect",
--R130&lt;=69,"Battery D",
--R130&lt;=80,"Battery C",
--R130&gt;80,""
),"")</f>
        <v/>
      </c>
      <c r="U130" s="51" t="str" cm="1">
        <f t="array" ref="U130">IFERROR(_xlfn.IFS(
S130="","",
--S130&lt;55,"Battery Defect",
--S130&lt;=69,"Battery D",
--S130&lt;=80,"Battery C",
--S130&gt;80,""
),"")</f>
        <v/>
      </c>
      <c r="V130" s="51" t="str" cm="1">
        <f t="array" ref="V130:AC130">IFERROR(IF(_xlfn.XLOOKUP(B130,Input!J:J,Input!N:U)=0,"",
          _xlfn.XLOOKUP(B130,Input!J:J,Input!N:U)),"")</f>
        <v/>
      </c>
      <c r="W130" s="51" t="str">
        <v/>
      </c>
      <c r="X130" s="51" t="str">
        <v/>
      </c>
      <c r="Y130" s="51" t="str">
        <v/>
      </c>
      <c r="Z130" s="51" t="str">
        <v/>
      </c>
      <c r="AA130" s="51" t="str">
        <v/>
      </c>
      <c r="AB130" s="51" t="str">
        <v/>
      </c>
      <c r="AC130" s="51" t="str">
        <v/>
      </c>
      <c r="AD130" s="32" t="str">
        <f t="shared" ref="AD130:AD193" si="6">IF(D130="Laptop",_xlfn.TEXTJOIN(", ",TRUE,T130,U130,V130,W130,X130,Y130,Z130,AA130), _xlfn.TEXTJOIN(", ",TRUE,V130,W130,X130,Y130,Z130,AA130))</f>
        <v/>
      </c>
      <c r="AE130" s="32" t="str">
        <f>_xlfn.XLOOKUP(B:B,Disk_Pivot!G:G,Disk_Pivot!I:I)</f>
        <v>Yes x2</v>
      </c>
      <c r="AF130" s="32" t="str">
        <f>_xlfn.XLOOKUP(B130,Disk_Pivot!G:G,Disk_Pivot!N:N)</f>
        <v>Pass, Fail</v>
      </c>
      <c r="AG130" s="32"/>
      <c r="AH130" s="32"/>
      <c r="AI130" s="32"/>
      <c r="AJ130" s="32"/>
      <c r="AK130" s="32"/>
      <c r="AL130" s="32"/>
    </row>
    <row r="131" spans="1:38">
      <c r="A131" s="32" t="str">
        <f>_xlfn.TEXTJOIN("",TRUE,_xlfn.XLOOKUP(B131,Input!J:J,Input!G:G,"",0,1),_xlfn.XLOOKUP(B131,Input!J:J,Input!H:H,"",0,1))</f>
        <v/>
      </c>
      <c r="B131" s="32"/>
      <c r="C131" s="51">
        <f>_xlfn.XLOOKUP(B131,Input!J:J,Input!F:F)</f>
        <v>0</v>
      </c>
      <c r="D131" s="32">
        <f>_xlfn.XLOOKUP(C131,Models!H:H,Models!G:G,C131)</f>
        <v>0</v>
      </c>
      <c r="E131" s="32">
        <f>_xlfn.XLOOKUP(B131,Input!J:J,Input!E:E)</f>
        <v>0</v>
      </c>
      <c r="F131" s="32">
        <f>IF(E131="LENOVO",_xlfn.XLOOKUP(B131,Input!J:J,Input!K:K),_xlfn.XLOOKUP(B131,Input!J:J,Input!L:L))</f>
        <v>0</v>
      </c>
      <c r="G131" s="32"/>
      <c r="H131" s="32"/>
      <c r="I131" s="32">
        <f>_xlfn.XLOOKUP(B131,CPU_Formula!A:A,CPU_Formula!I:I)</f>
        <v>0</v>
      </c>
      <c r="J131" s="51" t="e">
        <f>INDEX(Input!$D$2:$AC$500,
       MATCH(B131, Input!$J$2:$J$500, 0),
       MATCH("Total Memory", Input!$D$1:$AC$1, 0))</f>
        <v>#N/A</v>
      </c>
      <c r="K131" s="51" t="e">
        <f>INDEX(Input!$D$2:$AC$500,
       MATCH(B131, Input!$J$2:$J$500, 0),
       MATCH("Memory Type", Input!$D$1:$AC$1, 0))</f>
        <v>#N/A</v>
      </c>
      <c r="L131" s="51" t="str" cm="1">
        <f t="array" ref="L131">IFERROR(_xlfn.FILTERXML("&lt;t&gt;&lt;s&gt;" &amp; SUBSTITUTE(K131," / ","&lt;/s&gt;&lt;s&gt;") &amp; "&lt;/s&gt;&lt;/t&gt;","(//s[contains(.,'DDR')])[1]"),"")</f>
        <v/>
      </c>
      <c r="M131" s="32" t="e">
        <f t="shared" si="5"/>
        <v>#N/A</v>
      </c>
      <c r="N131" s="51" t="e">
        <f>INDEX(Input!$D$2:$AC$500,
       MATCH(B131, Input!$J$2:$J$500, 0),
       MATCH("Disk Interface Type", Input!$D$1:$AC$1, 0))</f>
        <v>#N/A</v>
      </c>
      <c r="O131" s="51" t="str" cm="1">
        <f t="array" ref="O131">IFERROR(_xlfn.TEXTJOIN(", ", TRUE, _xlfn._xlws.FILTER(
    INDEX(Input!$D$2:$AC$500,,MATCH("Disk Capacity",Input!$D$1:$AC$1,0)),
    Input!$J$2:$J$500=B131
)), "")</f>
        <v/>
      </c>
      <c r="P131" s="32" t="e">
        <f t="shared" ref="P131:P194" si="7">_xlfn.TEXTJOIN(" ",TRUE,O131,N131)</f>
        <v>#N/A</v>
      </c>
      <c r="Q131" s="51" t="e">
        <f>_xlfn.LET(_xlpm.Result,INDEX(Input!$D$2:$AC$500,
       MATCH(B131, Input!$J$2:$J$500, 0),
       MATCH("Capacity", Input!$D$1:$AC$1, 0)),IF(_xlpm.Result="","",_xlpm.Result))</f>
        <v>#N/A</v>
      </c>
      <c r="R131" s="51" t="e" cm="1">
        <f t="array" ref="R131">_xlfn.TEXTSPLIT(Q131," / ", ,TRUE,0,)</f>
        <v>#N/A</v>
      </c>
      <c r="S131" s="51"/>
      <c r="T131" s="51" t="str" cm="1">
        <f t="array" ref="T131">IFERROR(_xlfn.IFS(
R131="","",
--R131&lt;55,"Battery Defect",
--R131&lt;=69,"Battery D",
--R131&lt;=80,"Battery C",
--R131&gt;80,""
),"")</f>
        <v/>
      </c>
      <c r="U131" s="51" t="str" cm="1">
        <f t="array" ref="U131">IFERROR(_xlfn.IFS(
S131="","",
--S131&lt;55,"Battery Defect",
--S131&lt;=69,"Battery D",
--S131&lt;=80,"Battery C",
--S131&gt;80,""
),"")</f>
        <v/>
      </c>
      <c r="V131" s="51" t="str" cm="1">
        <f t="array" ref="V131:AC131">IFERROR(IF(_xlfn.XLOOKUP(B131,Input!J:J,Input!N:U)=0,"",
          _xlfn.XLOOKUP(B131,Input!J:J,Input!N:U)),"")</f>
        <v/>
      </c>
      <c r="W131" s="51" t="str">
        <v/>
      </c>
      <c r="X131" s="51" t="str">
        <v/>
      </c>
      <c r="Y131" s="51" t="str">
        <v/>
      </c>
      <c r="Z131" s="51" t="str">
        <v/>
      </c>
      <c r="AA131" s="51" t="str">
        <v/>
      </c>
      <c r="AB131" s="51" t="str">
        <v/>
      </c>
      <c r="AC131" s="51" t="str">
        <v/>
      </c>
      <c r="AD131" s="32" t="str">
        <f t="shared" si="6"/>
        <v/>
      </c>
      <c r="AE131" s="32" t="str">
        <f>_xlfn.XLOOKUP(B:B,Disk_Pivot!G:G,Disk_Pivot!I:I)</f>
        <v>Yes x2</v>
      </c>
      <c r="AF131" s="32" t="str">
        <f>_xlfn.XLOOKUP(B131,Disk_Pivot!G:G,Disk_Pivot!N:N)</f>
        <v>Pass, Fail</v>
      </c>
      <c r="AG131" s="32"/>
      <c r="AH131" s="32"/>
      <c r="AI131" s="32"/>
      <c r="AJ131" s="32"/>
      <c r="AK131" s="32"/>
      <c r="AL131" s="32"/>
    </row>
    <row r="132" spans="1:38">
      <c r="A132" s="32" t="str">
        <f>_xlfn.TEXTJOIN("",TRUE,_xlfn.XLOOKUP(B132,Input!J:J,Input!G:G,"",0,1),_xlfn.XLOOKUP(B132,Input!J:J,Input!H:H,"",0,1))</f>
        <v/>
      </c>
      <c r="B132" s="32"/>
      <c r="C132" s="51">
        <f>_xlfn.XLOOKUP(B132,Input!J:J,Input!F:F)</f>
        <v>0</v>
      </c>
      <c r="D132" s="32">
        <f>_xlfn.XLOOKUP(C132,Models!H:H,Models!G:G,C132)</f>
        <v>0</v>
      </c>
      <c r="E132" s="32">
        <f>_xlfn.XLOOKUP(B132,Input!J:J,Input!E:E)</f>
        <v>0</v>
      </c>
      <c r="F132" s="32">
        <f>IF(E132="LENOVO",_xlfn.XLOOKUP(B132,Input!J:J,Input!K:K),_xlfn.XLOOKUP(B132,Input!J:J,Input!L:L))</f>
        <v>0</v>
      </c>
      <c r="G132" s="32"/>
      <c r="H132" s="32"/>
      <c r="I132" s="32">
        <f>_xlfn.XLOOKUP(B132,CPU_Formula!A:A,CPU_Formula!I:I)</f>
        <v>0</v>
      </c>
      <c r="J132" s="51" t="e">
        <f>INDEX(Input!$D$2:$AC$500,
       MATCH(B132, Input!$J$2:$J$500, 0),
       MATCH("Total Memory", Input!$D$1:$AC$1, 0))</f>
        <v>#N/A</v>
      </c>
      <c r="K132" s="51" t="e">
        <f>INDEX(Input!$D$2:$AC$500,
       MATCH(B132, Input!$J$2:$J$500, 0),
       MATCH("Memory Type", Input!$D$1:$AC$1, 0))</f>
        <v>#N/A</v>
      </c>
      <c r="L132" s="51" t="str" cm="1">
        <f t="array" ref="L132">IFERROR(_xlfn.FILTERXML("&lt;t&gt;&lt;s&gt;" &amp; SUBSTITUTE(K132," / ","&lt;/s&gt;&lt;s&gt;") &amp; "&lt;/s&gt;&lt;/t&gt;","(//s[contains(.,'DDR')])[1]"),"")</f>
        <v/>
      </c>
      <c r="M132" s="32" t="e">
        <f t="shared" ref="M132:M195" si="8">_xlfn.TEXTJOIN(" ",TRUE,SUBSTITUTE(J132,"i",""),L132)</f>
        <v>#N/A</v>
      </c>
      <c r="N132" s="51" t="e">
        <f>INDEX(Input!$D$2:$AC$500,
       MATCH(B132, Input!$J$2:$J$500, 0),
       MATCH("Disk Interface Type", Input!$D$1:$AC$1, 0))</f>
        <v>#N/A</v>
      </c>
      <c r="O132" s="51" t="str" cm="1">
        <f t="array" ref="O132">IFERROR(_xlfn.TEXTJOIN(", ", TRUE, _xlfn._xlws.FILTER(
    INDEX(Input!$D$2:$AC$500,,MATCH("Disk Capacity",Input!$D$1:$AC$1,0)),
    Input!$J$2:$J$500=B132
)), "")</f>
        <v/>
      </c>
      <c r="P132" s="32" t="e">
        <f t="shared" si="7"/>
        <v>#N/A</v>
      </c>
      <c r="Q132" s="51" t="e">
        <f>_xlfn.LET(_xlpm.Result,INDEX(Input!$D$2:$AC$500,
       MATCH(B132, Input!$J$2:$J$500, 0),
       MATCH("Capacity", Input!$D$1:$AC$1, 0)),IF(_xlpm.Result="","",_xlpm.Result))</f>
        <v>#N/A</v>
      </c>
      <c r="R132" s="51" t="e" cm="1">
        <f t="array" ref="R132">_xlfn.TEXTSPLIT(Q132," / ", ,TRUE,0,)</f>
        <v>#N/A</v>
      </c>
      <c r="S132" s="51"/>
      <c r="T132" s="51" t="str" cm="1">
        <f t="array" ref="T132">IFERROR(_xlfn.IFS(
R132="","",
--R132&lt;55,"Battery Defect",
--R132&lt;=69,"Battery D",
--R132&lt;=80,"Battery C",
--R132&gt;80,""
),"")</f>
        <v/>
      </c>
      <c r="U132" s="51" t="str" cm="1">
        <f t="array" ref="U132">IFERROR(_xlfn.IFS(
S132="","",
--S132&lt;55,"Battery Defect",
--S132&lt;=69,"Battery D",
--S132&lt;=80,"Battery C",
--S132&gt;80,""
),"")</f>
        <v/>
      </c>
      <c r="V132" s="51" t="str" cm="1">
        <f t="array" ref="V132:AC132">IFERROR(IF(_xlfn.XLOOKUP(B132,Input!J:J,Input!N:U)=0,"",
          _xlfn.XLOOKUP(B132,Input!J:J,Input!N:U)),"")</f>
        <v/>
      </c>
      <c r="W132" s="51" t="str">
        <v/>
      </c>
      <c r="X132" s="51" t="str">
        <v/>
      </c>
      <c r="Y132" s="51" t="str">
        <v/>
      </c>
      <c r="Z132" s="51" t="str">
        <v/>
      </c>
      <c r="AA132" s="51" t="str">
        <v/>
      </c>
      <c r="AB132" s="51" t="str">
        <v/>
      </c>
      <c r="AC132" s="51" t="str">
        <v/>
      </c>
      <c r="AD132" s="32" t="str">
        <f t="shared" si="6"/>
        <v/>
      </c>
      <c r="AE132" s="32" t="str">
        <f>_xlfn.XLOOKUP(B:B,Disk_Pivot!G:G,Disk_Pivot!I:I)</f>
        <v>Yes x2</v>
      </c>
      <c r="AF132" s="32" t="str">
        <f>_xlfn.XLOOKUP(B132,Disk_Pivot!G:G,Disk_Pivot!N:N)</f>
        <v>Pass, Fail</v>
      </c>
      <c r="AG132" s="32"/>
      <c r="AH132" s="32"/>
      <c r="AI132" s="32"/>
      <c r="AJ132" s="32"/>
      <c r="AK132" s="32"/>
      <c r="AL132" s="32"/>
    </row>
    <row r="133" spans="1:38">
      <c r="A133" s="32" t="str">
        <f>_xlfn.TEXTJOIN("",TRUE,_xlfn.XLOOKUP(B133,Input!J:J,Input!G:G,"",0,1),_xlfn.XLOOKUP(B133,Input!J:J,Input!H:H,"",0,1))</f>
        <v/>
      </c>
      <c r="B133" s="32"/>
      <c r="C133" s="51">
        <f>_xlfn.XLOOKUP(B133,Input!J:J,Input!F:F)</f>
        <v>0</v>
      </c>
      <c r="D133" s="32">
        <f>_xlfn.XLOOKUP(C133,Models!H:H,Models!G:G,C133)</f>
        <v>0</v>
      </c>
      <c r="E133" s="32">
        <f>_xlfn.XLOOKUP(B133,Input!J:J,Input!E:E)</f>
        <v>0</v>
      </c>
      <c r="F133" s="32">
        <f>IF(E133="LENOVO",_xlfn.XLOOKUP(B133,Input!J:J,Input!K:K),_xlfn.XLOOKUP(B133,Input!J:J,Input!L:L))</f>
        <v>0</v>
      </c>
      <c r="G133" s="32"/>
      <c r="H133" s="32"/>
      <c r="I133" s="32">
        <f>_xlfn.XLOOKUP(B133,CPU_Formula!A:A,CPU_Formula!I:I)</f>
        <v>0</v>
      </c>
      <c r="J133" s="51" t="e">
        <f>INDEX(Input!$D$2:$AC$500,
       MATCH(B133, Input!$J$2:$J$500, 0),
       MATCH("Total Memory", Input!$D$1:$AC$1, 0))</f>
        <v>#N/A</v>
      </c>
      <c r="K133" s="51" t="e">
        <f>INDEX(Input!$D$2:$AC$500,
       MATCH(B133, Input!$J$2:$J$500, 0),
       MATCH("Memory Type", Input!$D$1:$AC$1, 0))</f>
        <v>#N/A</v>
      </c>
      <c r="L133" s="51" t="str" cm="1">
        <f t="array" ref="L133">IFERROR(_xlfn.FILTERXML("&lt;t&gt;&lt;s&gt;" &amp; SUBSTITUTE(K133," / ","&lt;/s&gt;&lt;s&gt;") &amp; "&lt;/s&gt;&lt;/t&gt;","(//s[contains(.,'DDR')])[1]"),"")</f>
        <v/>
      </c>
      <c r="M133" s="32" t="e">
        <f t="shared" si="8"/>
        <v>#N/A</v>
      </c>
      <c r="N133" s="51" t="e">
        <f>INDEX(Input!$D$2:$AC$500,
       MATCH(B133, Input!$J$2:$J$500, 0),
       MATCH("Disk Interface Type", Input!$D$1:$AC$1, 0))</f>
        <v>#N/A</v>
      </c>
      <c r="O133" s="51" t="str" cm="1">
        <f t="array" ref="O133">IFERROR(_xlfn.TEXTJOIN(", ", TRUE, _xlfn._xlws.FILTER(
    INDEX(Input!$D$2:$AC$500,,MATCH("Disk Capacity",Input!$D$1:$AC$1,0)),
    Input!$J$2:$J$500=B133
)), "")</f>
        <v/>
      </c>
      <c r="P133" s="32" t="e">
        <f t="shared" si="7"/>
        <v>#N/A</v>
      </c>
      <c r="Q133" s="51" t="e">
        <f>_xlfn.LET(_xlpm.Result,INDEX(Input!$D$2:$AC$500,
       MATCH(B133, Input!$J$2:$J$500, 0),
       MATCH("Capacity", Input!$D$1:$AC$1, 0)),IF(_xlpm.Result="","",_xlpm.Result))</f>
        <v>#N/A</v>
      </c>
      <c r="R133" s="51" t="e" cm="1">
        <f t="array" ref="R133">_xlfn.TEXTSPLIT(Q133," / ", ,TRUE,0,)</f>
        <v>#N/A</v>
      </c>
      <c r="S133" s="51"/>
      <c r="T133" s="51" t="str" cm="1">
        <f t="array" ref="T133">IFERROR(_xlfn.IFS(
R133="","",
--R133&lt;55,"Battery Defect",
--R133&lt;=69,"Battery D",
--R133&lt;=80,"Battery C",
--R133&gt;80,""
),"")</f>
        <v/>
      </c>
      <c r="U133" s="51" t="str" cm="1">
        <f t="array" ref="U133">IFERROR(_xlfn.IFS(
S133="","",
--S133&lt;55,"Battery Defect",
--S133&lt;=69,"Battery D",
--S133&lt;=80,"Battery C",
--S133&gt;80,""
),"")</f>
        <v/>
      </c>
      <c r="V133" s="51" t="str" cm="1">
        <f t="array" ref="V133:AC133">IFERROR(IF(_xlfn.XLOOKUP(B133,Input!J:J,Input!N:U)=0,"",
          _xlfn.XLOOKUP(B133,Input!J:J,Input!N:U)),"")</f>
        <v/>
      </c>
      <c r="W133" s="51" t="str">
        <v/>
      </c>
      <c r="X133" s="51" t="str">
        <v/>
      </c>
      <c r="Y133" s="51" t="str">
        <v/>
      </c>
      <c r="Z133" s="51" t="str">
        <v/>
      </c>
      <c r="AA133" s="51" t="str">
        <v/>
      </c>
      <c r="AB133" s="51" t="str">
        <v/>
      </c>
      <c r="AC133" s="51" t="str">
        <v/>
      </c>
      <c r="AD133" s="32" t="str">
        <f t="shared" si="6"/>
        <v/>
      </c>
      <c r="AE133" s="32" t="str">
        <f>_xlfn.XLOOKUP(B:B,Disk_Pivot!G:G,Disk_Pivot!I:I)</f>
        <v>Yes x2</v>
      </c>
      <c r="AF133" s="32" t="str">
        <f>_xlfn.XLOOKUP(B133,Disk_Pivot!G:G,Disk_Pivot!N:N)</f>
        <v>Pass, Fail</v>
      </c>
      <c r="AG133" s="32"/>
      <c r="AH133" s="32"/>
      <c r="AI133" s="32"/>
      <c r="AJ133" s="32"/>
      <c r="AK133" s="32"/>
      <c r="AL133" s="32"/>
    </row>
    <row r="134" spans="1:38">
      <c r="A134" s="32" t="str">
        <f>_xlfn.TEXTJOIN("",TRUE,_xlfn.XLOOKUP(B134,Input!J:J,Input!G:G,"",0,1),_xlfn.XLOOKUP(B134,Input!J:J,Input!H:H,"",0,1))</f>
        <v/>
      </c>
      <c r="B134" s="32"/>
      <c r="C134" s="51">
        <f>_xlfn.XLOOKUP(B134,Input!J:J,Input!F:F)</f>
        <v>0</v>
      </c>
      <c r="D134" s="32">
        <f>_xlfn.XLOOKUP(C134,Models!H:H,Models!G:G,C134)</f>
        <v>0</v>
      </c>
      <c r="E134" s="32">
        <f>_xlfn.XLOOKUP(B134,Input!J:J,Input!E:E)</f>
        <v>0</v>
      </c>
      <c r="F134" s="32">
        <f>IF(E134="LENOVO",_xlfn.XLOOKUP(B134,Input!J:J,Input!K:K),_xlfn.XLOOKUP(B134,Input!J:J,Input!L:L))</f>
        <v>0</v>
      </c>
      <c r="G134" s="32"/>
      <c r="H134" s="32"/>
      <c r="I134" s="32">
        <f>_xlfn.XLOOKUP(B134,CPU_Formula!A:A,CPU_Formula!I:I)</f>
        <v>0</v>
      </c>
      <c r="J134" s="51" t="e">
        <f>INDEX(Input!$D$2:$AC$500,
       MATCH(B134, Input!$J$2:$J$500, 0),
       MATCH("Total Memory", Input!$D$1:$AC$1, 0))</f>
        <v>#N/A</v>
      </c>
      <c r="K134" s="51" t="e">
        <f>INDEX(Input!$D$2:$AC$500,
       MATCH(B134, Input!$J$2:$J$500, 0),
       MATCH("Memory Type", Input!$D$1:$AC$1, 0))</f>
        <v>#N/A</v>
      </c>
      <c r="L134" s="51" t="str" cm="1">
        <f t="array" ref="L134">IFERROR(_xlfn.FILTERXML("&lt;t&gt;&lt;s&gt;" &amp; SUBSTITUTE(K134," / ","&lt;/s&gt;&lt;s&gt;") &amp; "&lt;/s&gt;&lt;/t&gt;","(//s[contains(.,'DDR')])[1]"),"")</f>
        <v/>
      </c>
      <c r="M134" s="32" t="e">
        <f t="shared" si="8"/>
        <v>#N/A</v>
      </c>
      <c r="N134" s="51" t="e">
        <f>INDEX(Input!$D$2:$AC$500,
       MATCH(B134, Input!$J$2:$J$500, 0),
       MATCH("Disk Interface Type", Input!$D$1:$AC$1, 0))</f>
        <v>#N/A</v>
      </c>
      <c r="O134" s="51" t="str" cm="1">
        <f t="array" ref="O134">IFERROR(_xlfn.TEXTJOIN(", ", TRUE, _xlfn._xlws.FILTER(
    INDEX(Input!$D$2:$AC$500,,MATCH("Disk Capacity",Input!$D$1:$AC$1,0)),
    Input!$J$2:$J$500=B134
)), "")</f>
        <v/>
      </c>
      <c r="P134" s="32" t="e">
        <f t="shared" si="7"/>
        <v>#N/A</v>
      </c>
      <c r="Q134" s="51" t="e">
        <f>_xlfn.LET(_xlpm.Result,INDEX(Input!$D$2:$AC$500,
       MATCH(B134, Input!$J$2:$J$500, 0),
       MATCH("Capacity", Input!$D$1:$AC$1, 0)),IF(_xlpm.Result="","",_xlpm.Result))</f>
        <v>#N/A</v>
      </c>
      <c r="R134" s="51" t="e" cm="1">
        <f t="array" ref="R134">_xlfn.TEXTSPLIT(Q134," / ", ,TRUE,0,)</f>
        <v>#N/A</v>
      </c>
      <c r="S134" s="51"/>
      <c r="T134" s="51" t="str" cm="1">
        <f t="array" ref="T134">IFERROR(_xlfn.IFS(
R134="","",
--R134&lt;55,"Battery Defect",
--R134&lt;=69,"Battery D",
--R134&lt;=80,"Battery C",
--R134&gt;80,""
),"")</f>
        <v/>
      </c>
      <c r="U134" s="51" t="str" cm="1">
        <f t="array" ref="U134">IFERROR(_xlfn.IFS(
S134="","",
--S134&lt;55,"Battery Defect",
--S134&lt;=69,"Battery D",
--S134&lt;=80,"Battery C",
--S134&gt;80,""
),"")</f>
        <v/>
      </c>
      <c r="V134" s="51" t="str" cm="1">
        <f t="array" ref="V134:AC134">IFERROR(IF(_xlfn.XLOOKUP(B134,Input!J:J,Input!N:U)=0,"",
          _xlfn.XLOOKUP(B134,Input!J:J,Input!N:U)),"")</f>
        <v/>
      </c>
      <c r="W134" s="51" t="str">
        <v/>
      </c>
      <c r="X134" s="51" t="str">
        <v/>
      </c>
      <c r="Y134" s="51" t="str">
        <v/>
      </c>
      <c r="Z134" s="51" t="str">
        <v/>
      </c>
      <c r="AA134" s="51" t="str">
        <v/>
      </c>
      <c r="AB134" s="51" t="str">
        <v/>
      </c>
      <c r="AC134" s="51" t="str">
        <v/>
      </c>
      <c r="AD134" s="32" t="str">
        <f t="shared" si="6"/>
        <v/>
      </c>
      <c r="AE134" s="32" t="str">
        <f>_xlfn.XLOOKUP(B:B,Disk_Pivot!G:G,Disk_Pivot!I:I)</f>
        <v>Yes x2</v>
      </c>
      <c r="AF134" s="32" t="str">
        <f>_xlfn.XLOOKUP(B134,Disk_Pivot!G:G,Disk_Pivot!N:N)</f>
        <v>Pass, Fail</v>
      </c>
      <c r="AG134" s="32"/>
      <c r="AH134" s="32"/>
      <c r="AI134" s="32"/>
      <c r="AJ134" s="32"/>
      <c r="AK134" s="32"/>
      <c r="AL134" s="32"/>
    </row>
    <row r="135" spans="1:38">
      <c r="A135" s="32" t="str">
        <f>_xlfn.TEXTJOIN("",TRUE,_xlfn.XLOOKUP(B135,Input!J:J,Input!G:G,"",0,1),_xlfn.XLOOKUP(B135,Input!J:J,Input!H:H,"",0,1))</f>
        <v/>
      </c>
      <c r="B135" s="32"/>
      <c r="C135" s="51">
        <f>_xlfn.XLOOKUP(B135,Input!J:J,Input!F:F)</f>
        <v>0</v>
      </c>
      <c r="D135" s="32">
        <f>_xlfn.XLOOKUP(C135,Models!H:H,Models!G:G,C135)</f>
        <v>0</v>
      </c>
      <c r="E135" s="32">
        <f>_xlfn.XLOOKUP(B135,Input!J:J,Input!E:E)</f>
        <v>0</v>
      </c>
      <c r="F135" s="32">
        <f>IF(E135="LENOVO",_xlfn.XLOOKUP(B135,Input!J:J,Input!K:K),_xlfn.XLOOKUP(B135,Input!J:J,Input!L:L))</f>
        <v>0</v>
      </c>
      <c r="G135" s="32"/>
      <c r="H135" s="32"/>
      <c r="I135" s="32">
        <f>_xlfn.XLOOKUP(B135,CPU_Formula!A:A,CPU_Formula!I:I)</f>
        <v>0</v>
      </c>
      <c r="J135" s="51" t="e">
        <f>INDEX(Input!$D$2:$AC$500,
       MATCH(B135, Input!$J$2:$J$500, 0),
       MATCH("Total Memory", Input!$D$1:$AC$1, 0))</f>
        <v>#N/A</v>
      </c>
      <c r="K135" s="51" t="e">
        <f>INDEX(Input!$D$2:$AC$500,
       MATCH(B135, Input!$J$2:$J$500, 0),
       MATCH("Memory Type", Input!$D$1:$AC$1, 0))</f>
        <v>#N/A</v>
      </c>
      <c r="L135" s="51" t="str" cm="1">
        <f t="array" ref="L135">IFERROR(_xlfn.FILTERXML("&lt;t&gt;&lt;s&gt;" &amp; SUBSTITUTE(K135," / ","&lt;/s&gt;&lt;s&gt;") &amp; "&lt;/s&gt;&lt;/t&gt;","(//s[contains(.,'DDR')])[1]"),"")</f>
        <v/>
      </c>
      <c r="M135" s="32" t="e">
        <f t="shared" si="8"/>
        <v>#N/A</v>
      </c>
      <c r="N135" s="51" t="e">
        <f>INDEX(Input!$D$2:$AC$500,
       MATCH(B135, Input!$J$2:$J$500, 0),
       MATCH("Disk Interface Type", Input!$D$1:$AC$1, 0))</f>
        <v>#N/A</v>
      </c>
      <c r="O135" s="51" t="str" cm="1">
        <f t="array" ref="O135">IFERROR(_xlfn.TEXTJOIN(", ", TRUE, _xlfn._xlws.FILTER(
    INDEX(Input!$D$2:$AC$500,,MATCH("Disk Capacity",Input!$D$1:$AC$1,0)),
    Input!$J$2:$J$500=B135
)), "")</f>
        <v/>
      </c>
      <c r="P135" s="32" t="e">
        <f t="shared" si="7"/>
        <v>#N/A</v>
      </c>
      <c r="Q135" s="51" t="e">
        <f>_xlfn.LET(_xlpm.Result,INDEX(Input!$D$2:$AC$500,
       MATCH(B135, Input!$J$2:$J$500, 0),
       MATCH("Capacity", Input!$D$1:$AC$1, 0)),IF(_xlpm.Result="","",_xlpm.Result))</f>
        <v>#N/A</v>
      </c>
      <c r="R135" s="51" t="e" cm="1">
        <f t="array" ref="R135">_xlfn.TEXTSPLIT(Q135," / ", ,TRUE,0,)</f>
        <v>#N/A</v>
      </c>
      <c r="S135" s="51"/>
      <c r="T135" s="51" t="str" cm="1">
        <f t="array" ref="T135">IFERROR(_xlfn.IFS(
R135="","",
--R135&lt;55,"Battery Defect",
--R135&lt;=69,"Battery D",
--R135&lt;=80,"Battery C",
--R135&gt;80,""
),"")</f>
        <v/>
      </c>
      <c r="U135" s="51" t="str" cm="1">
        <f t="array" ref="U135">IFERROR(_xlfn.IFS(
S135="","",
--S135&lt;55,"Battery Defect",
--S135&lt;=69,"Battery D",
--S135&lt;=80,"Battery C",
--S135&gt;80,""
),"")</f>
        <v/>
      </c>
      <c r="V135" s="51" t="str" cm="1">
        <f t="array" ref="V135:AC135">IFERROR(IF(_xlfn.XLOOKUP(B135,Input!J:J,Input!N:U)=0,"",
          _xlfn.XLOOKUP(B135,Input!J:J,Input!N:U)),"")</f>
        <v/>
      </c>
      <c r="W135" s="51" t="str">
        <v/>
      </c>
      <c r="X135" s="51" t="str">
        <v/>
      </c>
      <c r="Y135" s="51" t="str">
        <v/>
      </c>
      <c r="Z135" s="51" t="str">
        <v/>
      </c>
      <c r="AA135" s="51" t="str">
        <v/>
      </c>
      <c r="AB135" s="51" t="str">
        <v/>
      </c>
      <c r="AC135" s="51" t="str">
        <v/>
      </c>
      <c r="AD135" s="32" t="str">
        <f t="shared" si="6"/>
        <v/>
      </c>
      <c r="AE135" s="32" t="str">
        <f>_xlfn.XLOOKUP(B:B,Disk_Pivot!G:G,Disk_Pivot!I:I)</f>
        <v>Yes x2</v>
      </c>
      <c r="AF135" s="32" t="str">
        <f>_xlfn.XLOOKUP(B135,Disk_Pivot!G:G,Disk_Pivot!N:N)</f>
        <v>Pass, Fail</v>
      </c>
      <c r="AG135" s="32"/>
      <c r="AH135" s="32"/>
      <c r="AI135" s="32"/>
      <c r="AJ135" s="32"/>
      <c r="AK135" s="32"/>
      <c r="AL135" s="32"/>
    </row>
    <row r="136" spans="1:38">
      <c r="A136" s="32" t="str">
        <f>_xlfn.TEXTJOIN("",TRUE,_xlfn.XLOOKUP(B136,Input!J:J,Input!G:G,"",0,1),_xlfn.XLOOKUP(B136,Input!J:J,Input!H:H,"",0,1))</f>
        <v/>
      </c>
      <c r="B136" s="32"/>
      <c r="C136" s="51">
        <f>_xlfn.XLOOKUP(B136,Input!J:J,Input!F:F)</f>
        <v>0</v>
      </c>
      <c r="D136" s="32">
        <f>_xlfn.XLOOKUP(C136,Models!H:H,Models!G:G,C136)</f>
        <v>0</v>
      </c>
      <c r="E136" s="32">
        <f>_xlfn.XLOOKUP(B136,Input!J:J,Input!E:E)</f>
        <v>0</v>
      </c>
      <c r="F136" s="32">
        <f>IF(E136="LENOVO",_xlfn.XLOOKUP(B136,Input!J:J,Input!K:K),_xlfn.XLOOKUP(B136,Input!J:J,Input!L:L))</f>
        <v>0</v>
      </c>
      <c r="G136" s="32"/>
      <c r="H136" s="32"/>
      <c r="I136" s="32">
        <f>_xlfn.XLOOKUP(B136,CPU_Formula!A:A,CPU_Formula!I:I)</f>
        <v>0</v>
      </c>
      <c r="J136" s="51" t="e">
        <f>INDEX(Input!$D$2:$AC$500,
       MATCH(B136, Input!$J$2:$J$500, 0),
       MATCH("Total Memory", Input!$D$1:$AC$1, 0))</f>
        <v>#N/A</v>
      </c>
      <c r="K136" s="51" t="e">
        <f>INDEX(Input!$D$2:$AC$500,
       MATCH(B136, Input!$J$2:$J$500, 0),
       MATCH("Memory Type", Input!$D$1:$AC$1, 0))</f>
        <v>#N/A</v>
      </c>
      <c r="L136" s="51" t="str" cm="1">
        <f t="array" ref="L136">IFERROR(_xlfn.FILTERXML("&lt;t&gt;&lt;s&gt;" &amp; SUBSTITUTE(K136," / ","&lt;/s&gt;&lt;s&gt;") &amp; "&lt;/s&gt;&lt;/t&gt;","(//s[contains(.,'DDR')])[1]"),"")</f>
        <v/>
      </c>
      <c r="M136" s="32" t="e">
        <f t="shared" si="8"/>
        <v>#N/A</v>
      </c>
      <c r="N136" s="51" t="e">
        <f>INDEX(Input!$D$2:$AC$500,
       MATCH(B136, Input!$J$2:$J$500, 0),
       MATCH("Disk Interface Type", Input!$D$1:$AC$1, 0))</f>
        <v>#N/A</v>
      </c>
      <c r="O136" s="51" t="str" cm="1">
        <f t="array" ref="O136">IFERROR(_xlfn.TEXTJOIN(", ", TRUE, _xlfn._xlws.FILTER(
    INDEX(Input!$D$2:$AC$500,,MATCH("Disk Capacity",Input!$D$1:$AC$1,0)),
    Input!$J$2:$J$500=B136
)), "")</f>
        <v/>
      </c>
      <c r="P136" s="32" t="e">
        <f t="shared" si="7"/>
        <v>#N/A</v>
      </c>
      <c r="Q136" s="51" t="e">
        <f>_xlfn.LET(_xlpm.Result,INDEX(Input!$D$2:$AC$500,
       MATCH(B136, Input!$J$2:$J$500, 0),
       MATCH("Capacity", Input!$D$1:$AC$1, 0)),IF(_xlpm.Result="","",_xlpm.Result))</f>
        <v>#N/A</v>
      </c>
      <c r="R136" s="51" t="e" cm="1">
        <f t="array" ref="R136">_xlfn.TEXTSPLIT(Q136," / ", ,TRUE,0,)</f>
        <v>#N/A</v>
      </c>
      <c r="S136" s="51"/>
      <c r="T136" s="51" t="str" cm="1">
        <f t="array" ref="T136">IFERROR(_xlfn.IFS(
R136="","",
--R136&lt;55,"Battery Defect",
--R136&lt;=69,"Battery D",
--R136&lt;=80,"Battery C",
--R136&gt;80,""
),"")</f>
        <v/>
      </c>
      <c r="U136" s="51" t="str" cm="1">
        <f t="array" ref="U136">IFERROR(_xlfn.IFS(
S136="","",
--S136&lt;55,"Battery Defect",
--S136&lt;=69,"Battery D",
--S136&lt;=80,"Battery C",
--S136&gt;80,""
),"")</f>
        <v/>
      </c>
      <c r="V136" s="51" t="str" cm="1">
        <f t="array" ref="V136:AC136">IFERROR(IF(_xlfn.XLOOKUP(B136,Input!J:J,Input!N:U)=0,"",
          _xlfn.XLOOKUP(B136,Input!J:J,Input!N:U)),"")</f>
        <v/>
      </c>
      <c r="W136" s="51" t="str">
        <v/>
      </c>
      <c r="X136" s="51" t="str">
        <v/>
      </c>
      <c r="Y136" s="51" t="str">
        <v/>
      </c>
      <c r="Z136" s="51" t="str">
        <v/>
      </c>
      <c r="AA136" s="51" t="str">
        <v/>
      </c>
      <c r="AB136" s="51" t="str">
        <v/>
      </c>
      <c r="AC136" s="51" t="str">
        <v/>
      </c>
      <c r="AD136" s="32" t="str">
        <f t="shared" si="6"/>
        <v/>
      </c>
      <c r="AE136" s="32" t="str">
        <f>_xlfn.XLOOKUP(B:B,Disk_Pivot!G:G,Disk_Pivot!I:I)</f>
        <v>Yes x2</v>
      </c>
      <c r="AF136" s="32" t="str">
        <f>_xlfn.XLOOKUP(B136,Disk_Pivot!G:G,Disk_Pivot!N:N)</f>
        <v>Pass, Fail</v>
      </c>
      <c r="AG136" s="32"/>
      <c r="AH136" s="32"/>
      <c r="AI136" s="32"/>
      <c r="AJ136" s="32"/>
      <c r="AK136" s="32"/>
      <c r="AL136" s="32"/>
    </row>
    <row r="137" spans="1:38">
      <c r="A137" s="32" t="str">
        <f>_xlfn.TEXTJOIN("",TRUE,_xlfn.XLOOKUP(B137,Input!J:J,Input!G:G,"",0,1),_xlfn.XLOOKUP(B137,Input!J:J,Input!H:H,"",0,1))</f>
        <v/>
      </c>
      <c r="B137" s="32"/>
      <c r="C137" s="51">
        <f>_xlfn.XLOOKUP(B137,Input!J:J,Input!F:F)</f>
        <v>0</v>
      </c>
      <c r="D137" s="32">
        <f>_xlfn.XLOOKUP(C137,Models!H:H,Models!G:G,C137)</f>
        <v>0</v>
      </c>
      <c r="E137" s="32">
        <f>_xlfn.XLOOKUP(B137,Input!J:J,Input!E:E)</f>
        <v>0</v>
      </c>
      <c r="F137" s="32">
        <f>IF(E137="LENOVO",_xlfn.XLOOKUP(B137,Input!J:J,Input!K:K),_xlfn.XLOOKUP(B137,Input!J:J,Input!L:L))</f>
        <v>0</v>
      </c>
      <c r="G137" s="32"/>
      <c r="H137" s="32"/>
      <c r="I137" s="32">
        <f>_xlfn.XLOOKUP(B137,CPU_Formula!A:A,CPU_Formula!I:I)</f>
        <v>0</v>
      </c>
      <c r="J137" s="51" t="e">
        <f>INDEX(Input!$D$2:$AC$500,
       MATCH(B137, Input!$J$2:$J$500, 0),
       MATCH("Total Memory", Input!$D$1:$AC$1, 0))</f>
        <v>#N/A</v>
      </c>
      <c r="K137" s="51" t="e">
        <f>INDEX(Input!$D$2:$AC$500,
       MATCH(B137, Input!$J$2:$J$500, 0),
       MATCH("Memory Type", Input!$D$1:$AC$1, 0))</f>
        <v>#N/A</v>
      </c>
      <c r="L137" s="51" t="str" cm="1">
        <f t="array" ref="L137">IFERROR(_xlfn.FILTERXML("&lt;t&gt;&lt;s&gt;" &amp; SUBSTITUTE(K137," / ","&lt;/s&gt;&lt;s&gt;") &amp; "&lt;/s&gt;&lt;/t&gt;","(//s[contains(.,'DDR')])[1]"),"")</f>
        <v/>
      </c>
      <c r="M137" s="32" t="e">
        <f t="shared" si="8"/>
        <v>#N/A</v>
      </c>
      <c r="N137" s="51" t="e">
        <f>INDEX(Input!$D$2:$AC$500,
       MATCH(B137, Input!$J$2:$J$500, 0),
       MATCH("Disk Interface Type", Input!$D$1:$AC$1, 0))</f>
        <v>#N/A</v>
      </c>
      <c r="O137" s="51" t="str" cm="1">
        <f t="array" ref="O137">IFERROR(_xlfn.TEXTJOIN(", ", TRUE, _xlfn._xlws.FILTER(
    INDEX(Input!$D$2:$AC$500,,MATCH("Disk Capacity",Input!$D$1:$AC$1,0)),
    Input!$J$2:$J$500=B137
)), "")</f>
        <v/>
      </c>
      <c r="P137" s="32" t="e">
        <f t="shared" si="7"/>
        <v>#N/A</v>
      </c>
      <c r="Q137" s="51" t="e">
        <f>_xlfn.LET(_xlpm.Result,INDEX(Input!$D$2:$AC$500,
       MATCH(B137, Input!$J$2:$J$500, 0),
       MATCH("Capacity", Input!$D$1:$AC$1, 0)),IF(_xlpm.Result="","",_xlpm.Result))</f>
        <v>#N/A</v>
      </c>
      <c r="R137" s="51" t="e" cm="1">
        <f t="array" ref="R137">_xlfn.TEXTSPLIT(Q137," / ", ,TRUE,0,)</f>
        <v>#N/A</v>
      </c>
      <c r="S137" s="51"/>
      <c r="T137" s="51" t="str" cm="1">
        <f t="array" ref="T137">IFERROR(_xlfn.IFS(
R137="","",
--R137&lt;55,"Battery Defect",
--R137&lt;=69,"Battery D",
--R137&lt;=80,"Battery C",
--R137&gt;80,""
),"")</f>
        <v/>
      </c>
      <c r="U137" s="51" t="str" cm="1">
        <f t="array" ref="U137">IFERROR(_xlfn.IFS(
S137="","",
--S137&lt;55,"Battery Defect",
--S137&lt;=69,"Battery D",
--S137&lt;=80,"Battery C",
--S137&gt;80,""
),"")</f>
        <v/>
      </c>
      <c r="V137" s="51" t="str" cm="1">
        <f t="array" ref="V137:AC137">IFERROR(IF(_xlfn.XLOOKUP(B137,Input!J:J,Input!N:U)=0,"",
          _xlfn.XLOOKUP(B137,Input!J:J,Input!N:U)),"")</f>
        <v/>
      </c>
      <c r="W137" s="51" t="str">
        <v/>
      </c>
      <c r="X137" s="51" t="str">
        <v/>
      </c>
      <c r="Y137" s="51" t="str">
        <v/>
      </c>
      <c r="Z137" s="51" t="str">
        <v/>
      </c>
      <c r="AA137" s="51" t="str">
        <v/>
      </c>
      <c r="AB137" s="51" t="str">
        <v/>
      </c>
      <c r="AC137" s="51" t="str">
        <v/>
      </c>
      <c r="AD137" s="32" t="str">
        <f t="shared" si="6"/>
        <v/>
      </c>
      <c r="AE137" s="32" t="str">
        <f>_xlfn.XLOOKUP(B:B,Disk_Pivot!G:G,Disk_Pivot!I:I)</f>
        <v>Yes x2</v>
      </c>
      <c r="AF137" s="32" t="str">
        <f>_xlfn.XLOOKUP(B137,Disk_Pivot!G:G,Disk_Pivot!N:N)</f>
        <v>Pass, Fail</v>
      </c>
      <c r="AG137" s="32"/>
      <c r="AH137" s="32"/>
      <c r="AI137" s="32"/>
      <c r="AJ137" s="32"/>
      <c r="AK137" s="32"/>
      <c r="AL137" s="32"/>
    </row>
    <row r="138" spans="1:38">
      <c r="A138" s="32" t="str">
        <f>_xlfn.TEXTJOIN("",TRUE,_xlfn.XLOOKUP(B138,Input!J:J,Input!G:G,"",0,1),_xlfn.XLOOKUP(B138,Input!J:J,Input!H:H,"",0,1))</f>
        <v/>
      </c>
      <c r="B138" s="32"/>
      <c r="C138" s="51">
        <f>_xlfn.XLOOKUP(B138,Input!J:J,Input!F:F)</f>
        <v>0</v>
      </c>
      <c r="D138" s="32">
        <f>_xlfn.XLOOKUP(C138,Models!H:H,Models!G:G,C138)</f>
        <v>0</v>
      </c>
      <c r="E138" s="32">
        <f>_xlfn.XLOOKUP(B138,Input!J:J,Input!E:E)</f>
        <v>0</v>
      </c>
      <c r="F138" s="32">
        <f>IF(E138="LENOVO",_xlfn.XLOOKUP(B138,Input!J:J,Input!K:K),_xlfn.XLOOKUP(B138,Input!J:J,Input!L:L))</f>
        <v>0</v>
      </c>
      <c r="G138" s="32"/>
      <c r="H138" s="32"/>
      <c r="I138" s="32">
        <f>_xlfn.XLOOKUP(B138,CPU_Formula!A:A,CPU_Formula!I:I)</f>
        <v>0</v>
      </c>
      <c r="J138" s="51" t="e">
        <f>INDEX(Input!$D$2:$AC$500,
       MATCH(B138, Input!$J$2:$J$500, 0),
       MATCH("Total Memory", Input!$D$1:$AC$1, 0))</f>
        <v>#N/A</v>
      </c>
      <c r="K138" s="51" t="e">
        <f>INDEX(Input!$D$2:$AC$500,
       MATCH(B138, Input!$J$2:$J$500, 0),
       MATCH("Memory Type", Input!$D$1:$AC$1, 0))</f>
        <v>#N/A</v>
      </c>
      <c r="L138" s="51" t="str" cm="1">
        <f t="array" ref="L138">IFERROR(_xlfn.FILTERXML("&lt;t&gt;&lt;s&gt;" &amp; SUBSTITUTE(K138," / ","&lt;/s&gt;&lt;s&gt;") &amp; "&lt;/s&gt;&lt;/t&gt;","(//s[contains(.,'DDR')])[1]"),"")</f>
        <v/>
      </c>
      <c r="M138" s="32" t="e">
        <f t="shared" si="8"/>
        <v>#N/A</v>
      </c>
      <c r="N138" s="51" t="e">
        <f>INDEX(Input!$D$2:$AC$500,
       MATCH(B138, Input!$J$2:$J$500, 0),
       MATCH("Disk Interface Type", Input!$D$1:$AC$1, 0))</f>
        <v>#N/A</v>
      </c>
      <c r="O138" s="51" t="str" cm="1">
        <f t="array" ref="O138">IFERROR(_xlfn.TEXTJOIN(", ", TRUE, _xlfn._xlws.FILTER(
    INDEX(Input!$D$2:$AC$500,,MATCH("Disk Capacity",Input!$D$1:$AC$1,0)),
    Input!$J$2:$J$500=B138
)), "")</f>
        <v/>
      </c>
      <c r="P138" s="32" t="e">
        <f t="shared" si="7"/>
        <v>#N/A</v>
      </c>
      <c r="Q138" s="51" t="e">
        <f>_xlfn.LET(_xlpm.Result,INDEX(Input!$D$2:$AC$500,
       MATCH(B138, Input!$J$2:$J$500, 0),
       MATCH("Capacity", Input!$D$1:$AC$1, 0)),IF(_xlpm.Result="","",_xlpm.Result))</f>
        <v>#N/A</v>
      </c>
      <c r="R138" s="51" t="e" cm="1">
        <f t="array" ref="R138">_xlfn.TEXTSPLIT(Q138," / ", ,TRUE,0,)</f>
        <v>#N/A</v>
      </c>
      <c r="S138" s="51"/>
      <c r="T138" s="51" t="str" cm="1">
        <f t="array" ref="T138">IFERROR(_xlfn.IFS(
R138="","",
--R138&lt;55,"Battery Defect",
--R138&lt;=69,"Battery D",
--R138&lt;=80,"Battery C",
--R138&gt;80,""
),"")</f>
        <v/>
      </c>
      <c r="U138" s="51" t="str" cm="1">
        <f t="array" ref="U138">IFERROR(_xlfn.IFS(
S138="","",
--S138&lt;55,"Battery Defect",
--S138&lt;=69,"Battery D",
--S138&lt;=80,"Battery C",
--S138&gt;80,""
),"")</f>
        <v/>
      </c>
      <c r="V138" s="51" t="str" cm="1">
        <f t="array" ref="V138:AC138">IFERROR(IF(_xlfn.XLOOKUP(B138,Input!J:J,Input!N:U)=0,"",
          _xlfn.XLOOKUP(B138,Input!J:J,Input!N:U)),"")</f>
        <v/>
      </c>
      <c r="W138" s="51" t="str">
        <v/>
      </c>
      <c r="X138" s="51" t="str">
        <v/>
      </c>
      <c r="Y138" s="51" t="str">
        <v/>
      </c>
      <c r="Z138" s="51" t="str">
        <v/>
      </c>
      <c r="AA138" s="51" t="str">
        <v/>
      </c>
      <c r="AB138" s="51" t="str">
        <v/>
      </c>
      <c r="AC138" s="51" t="str">
        <v/>
      </c>
      <c r="AD138" s="32" t="str">
        <f t="shared" si="6"/>
        <v/>
      </c>
      <c r="AE138" s="32" t="str">
        <f>_xlfn.XLOOKUP(B:B,Disk_Pivot!G:G,Disk_Pivot!I:I)</f>
        <v>Yes x2</v>
      </c>
      <c r="AF138" s="32" t="str">
        <f>_xlfn.XLOOKUP(B138,Disk_Pivot!G:G,Disk_Pivot!N:N)</f>
        <v>Pass, Fail</v>
      </c>
      <c r="AG138" s="32"/>
      <c r="AH138" s="32"/>
      <c r="AI138" s="32"/>
      <c r="AJ138" s="32"/>
      <c r="AK138" s="32"/>
      <c r="AL138" s="32"/>
    </row>
    <row r="139" spans="1:38">
      <c r="A139" s="32" t="str">
        <f>_xlfn.TEXTJOIN("",TRUE,_xlfn.XLOOKUP(B139,Input!J:J,Input!G:G,"",0,1),_xlfn.XLOOKUP(B139,Input!J:J,Input!H:H,"",0,1))</f>
        <v/>
      </c>
      <c r="B139" s="32"/>
      <c r="C139" s="51">
        <f>_xlfn.XLOOKUP(B139,Input!J:J,Input!F:F)</f>
        <v>0</v>
      </c>
      <c r="D139" s="32">
        <f>_xlfn.XLOOKUP(C139,Models!H:H,Models!G:G,C139)</f>
        <v>0</v>
      </c>
      <c r="E139" s="32">
        <f>_xlfn.XLOOKUP(B139,Input!J:J,Input!E:E)</f>
        <v>0</v>
      </c>
      <c r="F139" s="32">
        <f>IF(E139="LENOVO",_xlfn.XLOOKUP(B139,Input!J:J,Input!K:K),_xlfn.XLOOKUP(B139,Input!J:J,Input!L:L))</f>
        <v>0</v>
      </c>
      <c r="G139" s="32"/>
      <c r="H139" s="32"/>
      <c r="I139" s="32">
        <f>_xlfn.XLOOKUP(B139,CPU_Formula!A:A,CPU_Formula!I:I)</f>
        <v>0</v>
      </c>
      <c r="J139" s="51" t="e">
        <f>INDEX(Input!$D$2:$AC$500,
       MATCH(B139, Input!$J$2:$J$500, 0),
       MATCH("Total Memory", Input!$D$1:$AC$1, 0))</f>
        <v>#N/A</v>
      </c>
      <c r="K139" s="51" t="e">
        <f>INDEX(Input!$D$2:$AC$500,
       MATCH(B139, Input!$J$2:$J$500, 0),
       MATCH("Memory Type", Input!$D$1:$AC$1, 0))</f>
        <v>#N/A</v>
      </c>
      <c r="L139" s="51" t="str" cm="1">
        <f t="array" ref="L139">IFERROR(_xlfn.FILTERXML("&lt;t&gt;&lt;s&gt;" &amp; SUBSTITUTE(K139," / ","&lt;/s&gt;&lt;s&gt;") &amp; "&lt;/s&gt;&lt;/t&gt;","(//s[contains(.,'DDR')])[1]"),"")</f>
        <v/>
      </c>
      <c r="M139" s="32" t="e">
        <f t="shared" si="8"/>
        <v>#N/A</v>
      </c>
      <c r="N139" s="51" t="e">
        <f>INDEX(Input!$D$2:$AC$500,
       MATCH(B139, Input!$J$2:$J$500, 0),
       MATCH("Disk Interface Type", Input!$D$1:$AC$1, 0))</f>
        <v>#N/A</v>
      </c>
      <c r="O139" s="51" t="str" cm="1">
        <f t="array" ref="O139">IFERROR(_xlfn.TEXTJOIN(", ", TRUE, _xlfn._xlws.FILTER(
    INDEX(Input!$D$2:$AC$500,,MATCH("Disk Capacity",Input!$D$1:$AC$1,0)),
    Input!$J$2:$J$500=B139
)), "")</f>
        <v/>
      </c>
      <c r="P139" s="32" t="e">
        <f t="shared" si="7"/>
        <v>#N/A</v>
      </c>
      <c r="Q139" s="51" t="e">
        <f>_xlfn.LET(_xlpm.Result,INDEX(Input!$D$2:$AC$500,
       MATCH(B139, Input!$J$2:$J$500, 0),
       MATCH("Capacity", Input!$D$1:$AC$1, 0)),IF(_xlpm.Result="","",_xlpm.Result))</f>
        <v>#N/A</v>
      </c>
      <c r="R139" s="51" t="e" cm="1">
        <f t="array" ref="R139">_xlfn.TEXTSPLIT(Q139," / ", ,TRUE,0,)</f>
        <v>#N/A</v>
      </c>
      <c r="S139" s="51"/>
      <c r="T139" s="51" t="str" cm="1">
        <f t="array" ref="T139">IFERROR(_xlfn.IFS(
R139="","",
--R139&lt;55,"Battery Defect",
--R139&lt;=69,"Battery D",
--R139&lt;=80,"Battery C",
--R139&gt;80,""
),"")</f>
        <v/>
      </c>
      <c r="U139" s="51" t="str" cm="1">
        <f t="array" ref="U139">IFERROR(_xlfn.IFS(
S139="","",
--S139&lt;55,"Battery Defect",
--S139&lt;=69,"Battery D",
--S139&lt;=80,"Battery C",
--S139&gt;80,""
),"")</f>
        <v/>
      </c>
      <c r="V139" s="51" t="str" cm="1">
        <f t="array" ref="V139:AC139">IFERROR(IF(_xlfn.XLOOKUP(B139,Input!J:J,Input!N:U)=0,"",
          _xlfn.XLOOKUP(B139,Input!J:J,Input!N:U)),"")</f>
        <v/>
      </c>
      <c r="W139" s="51" t="str">
        <v/>
      </c>
      <c r="X139" s="51" t="str">
        <v/>
      </c>
      <c r="Y139" s="51" t="str">
        <v/>
      </c>
      <c r="Z139" s="51" t="str">
        <v/>
      </c>
      <c r="AA139" s="51" t="str">
        <v/>
      </c>
      <c r="AB139" s="51" t="str">
        <v/>
      </c>
      <c r="AC139" s="51" t="str">
        <v/>
      </c>
      <c r="AD139" s="32" t="str">
        <f t="shared" si="6"/>
        <v/>
      </c>
      <c r="AE139" s="32" t="str">
        <f>_xlfn.XLOOKUP(B:B,Disk_Pivot!G:G,Disk_Pivot!I:I)</f>
        <v>Yes x2</v>
      </c>
      <c r="AF139" s="32" t="str">
        <f>_xlfn.XLOOKUP(B139,Disk_Pivot!G:G,Disk_Pivot!N:N)</f>
        <v>Pass, Fail</v>
      </c>
      <c r="AG139" s="32"/>
      <c r="AH139" s="32"/>
      <c r="AI139" s="32"/>
      <c r="AJ139" s="32"/>
      <c r="AK139" s="32"/>
      <c r="AL139" s="32"/>
    </row>
    <row r="140" spans="1:38">
      <c r="A140" s="32" t="str">
        <f>_xlfn.TEXTJOIN("",TRUE,_xlfn.XLOOKUP(B140,Input!J:J,Input!G:G,"",0,1),_xlfn.XLOOKUP(B140,Input!J:J,Input!H:H,"",0,1))</f>
        <v/>
      </c>
      <c r="B140" s="32"/>
      <c r="C140" s="51">
        <f>_xlfn.XLOOKUP(B140,Input!J:J,Input!F:F)</f>
        <v>0</v>
      </c>
      <c r="D140" s="32">
        <f>_xlfn.XLOOKUP(C140,Models!H:H,Models!G:G,C140)</f>
        <v>0</v>
      </c>
      <c r="E140" s="32">
        <f>_xlfn.XLOOKUP(B140,Input!J:J,Input!E:E)</f>
        <v>0</v>
      </c>
      <c r="F140" s="32">
        <f>IF(E140="LENOVO",_xlfn.XLOOKUP(B140,Input!J:J,Input!K:K),_xlfn.XLOOKUP(B140,Input!J:J,Input!L:L))</f>
        <v>0</v>
      </c>
      <c r="G140" s="32"/>
      <c r="H140" s="32"/>
      <c r="I140" s="32">
        <f>_xlfn.XLOOKUP(B140,CPU_Formula!A:A,CPU_Formula!I:I)</f>
        <v>0</v>
      </c>
      <c r="J140" s="51" t="e">
        <f>INDEX(Input!$D$2:$AC$500,
       MATCH(B140, Input!$J$2:$J$500, 0),
       MATCH("Total Memory", Input!$D$1:$AC$1, 0))</f>
        <v>#N/A</v>
      </c>
      <c r="K140" s="51" t="e">
        <f>INDEX(Input!$D$2:$AC$500,
       MATCH(B140, Input!$J$2:$J$500, 0),
       MATCH("Memory Type", Input!$D$1:$AC$1, 0))</f>
        <v>#N/A</v>
      </c>
      <c r="L140" s="51" t="str" cm="1">
        <f t="array" ref="L140">IFERROR(_xlfn.FILTERXML("&lt;t&gt;&lt;s&gt;" &amp; SUBSTITUTE(K140," / ","&lt;/s&gt;&lt;s&gt;") &amp; "&lt;/s&gt;&lt;/t&gt;","(//s[contains(.,'DDR')])[1]"),"")</f>
        <v/>
      </c>
      <c r="M140" s="32" t="e">
        <f t="shared" si="8"/>
        <v>#N/A</v>
      </c>
      <c r="N140" s="51" t="e">
        <f>INDEX(Input!$D$2:$AC$500,
       MATCH(B140, Input!$J$2:$J$500, 0),
       MATCH("Disk Interface Type", Input!$D$1:$AC$1, 0))</f>
        <v>#N/A</v>
      </c>
      <c r="O140" s="51" t="str" cm="1">
        <f t="array" ref="O140">IFERROR(_xlfn.TEXTJOIN(", ", TRUE, _xlfn._xlws.FILTER(
    INDEX(Input!$D$2:$AC$500,,MATCH("Disk Capacity",Input!$D$1:$AC$1,0)),
    Input!$J$2:$J$500=B140
)), "")</f>
        <v/>
      </c>
      <c r="P140" s="32" t="e">
        <f t="shared" si="7"/>
        <v>#N/A</v>
      </c>
      <c r="Q140" s="51" t="e">
        <f>_xlfn.LET(_xlpm.Result,INDEX(Input!$D$2:$AC$500,
       MATCH(B140, Input!$J$2:$J$500, 0),
       MATCH("Capacity", Input!$D$1:$AC$1, 0)),IF(_xlpm.Result="","",_xlpm.Result))</f>
        <v>#N/A</v>
      </c>
      <c r="R140" s="51" t="e" cm="1">
        <f t="array" ref="R140">_xlfn.TEXTSPLIT(Q140," / ", ,TRUE,0,)</f>
        <v>#N/A</v>
      </c>
      <c r="S140" s="51"/>
      <c r="T140" s="51" t="str" cm="1">
        <f t="array" ref="T140">IFERROR(_xlfn.IFS(
R140="","",
--R140&lt;55,"Battery Defect",
--R140&lt;=69,"Battery D",
--R140&lt;=80,"Battery C",
--R140&gt;80,""
),"")</f>
        <v/>
      </c>
      <c r="U140" s="51" t="str" cm="1">
        <f t="array" ref="U140">IFERROR(_xlfn.IFS(
S140="","",
--S140&lt;55,"Battery Defect",
--S140&lt;=69,"Battery D",
--S140&lt;=80,"Battery C",
--S140&gt;80,""
),"")</f>
        <v/>
      </c>
      <c r="V140" s="51" t="str" cm="1">
        <f t="array" ref="V140:AC140">IFERROR(IF(_xlfn.XLOOKUP(B140,Input!J:J,Input!N:U)=0,"",
          _xlfn.XLOOKUP(B140,Input!J:J,Input!N:U)),"")</f>
        <v/>
      </c>
      <c r="W140" s="51" t="str">
        <v/>
      </c>
      <c r="X140" s="51" t="str">
        <v/>
      </c>
      <c r="Y140" s="51" t="str">
        <v/>
      </c>
      <c r="Z140" s="51" t="str">
        <v/>
      </c>
      <c r="AA140" s="51" t="str">
        <v/>
      </c>
      <c r="AB140" s="51" t="str">
        <v/>
      </c>
      <c r="AC140" s="51" t="str">
        <v/>
      </c>
      <c r="AD140" s="32" t="str">
        <f t="shared" si="6"/>
        <v/>
      </c>
      <c r="AE140" s="32" t="str">
        <f>_xlfn.XLOOKUP(B:B,Disk_Pivot!G:G,Disk_Pivot!I:I)</f>
        <v>Yes x2</v>
      </c>
      <c r="AF140" s="32" t="str">
        <f>_xlfn.XLOOKUP(B140,Disk_Pivot!G:G,Disk_Pivot!N:N)</f>
        <v>Pass, Fail</v>
      </c>
      <c r="AG140" s="32"/>
      <c r="AH140" s="32"/>
      <c r="AI140" s="32"/>
      <c r="AJ140" s="32"/>
      <c r="AK140" s="32"/>
      <c r="AL140" s="32"/>
    </row>
    <row r="141" spans="1:38">
      <c r="A141" s="32" t="str">
        <f>_xlfn.TEXTJOIN("",TRUE,_xlfn.XLOOKUP(B141,Input!J:J,Input!G:G,"",0,1),_xlfn.XLOOKUP(B141,Input!J:J,Input!H:H,"",0,1))</f>
        <v/>
      </c>
      <c r="B141" s="32"/>
      <c r="C141" s="51">
        <f>_xlfn.XLOOKUP(B141,Input!J:J,Input!F:F)</f>
        <v>0</v>
      </c>
      <c r="D141" s="32">
        <f>_xlfn.XLOOKUP(C141,Models!H:H,Models!G:G,C141)</f>
        <v>0</v>
      </c>
      <c r="E141" s="32">
        <f>_xlfn.XLOOKUP(B141,Input!J:J,Input!E:E)</f>
        <v>0</v>
      </c>
      <c r="F141" s="32">
        <f>IF(E141="LENOVO",_xlfn.XLOOKUP(B141,Input!J:J,Input!K:K),_xlfn.XLOOKUP(B141,Input!J:J,Input!L:L))</f>
        <v>0</v>
      </c>
      <c r="G141" s="32"/>
      <c r="H141" s="32"/>
      <c r="I141" s="32">
        <f>_xlfn.XLOOKUP(B141,CPU_Formula!A:A,CPU_Formula!I:I)</f>
        <v>0</v>
      </c>
      <c r="J141" s="51" t="e">
        <f>INDEX(Input!$D$2:$AC$500,
       MATCH(B141, Input!$J$2:$J$500, 0),
       MATCH("Total Memory", Input!$D$1:$AC$1, 0))</f>
        <v>#N/A</v>
      </c>
      <c r="K141" s="51" t="e">
        <f>INDEX(Input!$D$2:$AC$500,
       MATCH(B141, Input!$J$2:$J$500, 0),
       MATCH("Memory Type", Input!$D$1:$AC$1, 0))</f>
        <v>#N/A</v>
      </c>
      <c r="L141" s="51" t="str" cm="1">
        <f t="array" ref="L141">IFERROR(_xlfn.FILTERXML("&lt;t&gt;&lt;s&gt;" &amp; SUBSTITUTE(K141," / ","&lt;/s&gt;&lt;s&gt;") &amp; "&lt;/s&gt;&lt;/t&gt;","(//s[contains(.,'DDR')])[1]"),"")</f>
        <v/>
      </c>
      <c r="M141" s="32" t="e">
        <f t="shared" si="8"/>
        <v>#N/A</v>
      </c>
      <c r="N141" s="51" t="e">
        <f>INDEX(Input!$D$2:$AC$500,
       MATCH(B141, Input!$J$2:$J$500, 0),
       MATCH("Disk Interface Type", Input!$D$1:$AC$1, 0))</f>
        <v>#N/A</v>
      </c>
      <c r="O141" s="51" t="str" cm="1">
        <f t="array" ref="O141">IFERROR(_xlfn.TEXTJOIN(", ", TRUE, _xlfn._xlws.FILTER(
    INDEX(Input!$D$2:$AC$500,,MATCH("Disk Capacity",Input!$D$1:$AC$1,0)),
    Input!$J$2:$J$500=B141
)), "")</f>
        <v/>
      </c>
      <c r="P141" s="32" t="e">
        <f t="shared" si="7"/>
        <v>#N/A</v>
      </c>
      <c r="Q141" s="51" t="e">
        <f>_xlfn.LET(_xlpm.Result,INDEX(Input!$D$2:$AC$500,
       MATCH(B141, Input!$J$2:$J$500, 0),
       MATCH("Capacity", Input!$D$1:$AC$1, 0)),IF(_xlpm.Result="","",_xlpm.Result))</f>
        <v>#N/A</v>
      </c>
      <c r="R141" s="51" t="e" cm="1">
        <f t="array" ref="R141">_xlfn.TEXTSPLIT(Q141," / ", ,TRUE,0,)</f>
        <v>#N/A</v>
      </c>
      <c r="S141" s="51"/>
      <c r="T141" s="51" t="str" cm="1">
        <f t="array" ref="T141">IFERROR(_xlfn.IFS(
R141="","",
--R141&lt;55,"Battery Defect",
--R141&lt;=69,"Battery D",
--R141&lt;=80,"Battery C",
--R141&gt;80,""
),"")</f>
        <v/>
      </c>
      <c r="U141" s="51" t="str" cm="1">
        <f t="array" ref="U141">IFERROR(_xlfn.IFS(
S141="","",
--S141&lt;55,"Battery Defect",
--S141&lt;=69,"Battery D",
--S141&lt;=80,"Battery C",
--S141&gt;80,""
),"")</f>
        <v/>
      </c>
      <c r="V141" s="51" t="str" cm="1">
        <f t="array" ref="V141:AC141">IFERROR(IF(_xlfn.XLOOKUP(B141,Input!J:J,Input!N:U)=0,"",
          _xlfn.XLOOKUP(B141,Input!J:J,Input!N:U)),"")</f>
        <v/>
      </c>
      <c r="W141" s="51" t="str">
        <v/>
      </c>
      <c r="X141" s="51" t="str">
        <v/>
      </c>
      <c r="Y141" s="51" t="str">
        <v/>
      </c>
      <c r="Z141" s="51" t="str">
        <v/>
      </c>
      <c r="AA141" s="51" t="str">
        <v/>
      </c>
      <c r="AB141" s="51" t="str">
        <v/>
      </c>
      <c r="AC141" s="51" t="str">
        <v/>
      </c>
      <c r="AD141" s="32" t="str">
        <f t="shared" si="6"/>
        <v/>
      </c>
      <c r="AE141" s="32" t="str">
        <f>_xlfn.XLOOKUP(B:B,Disk_Pivot!G:G,Disk_Pivot!I:I)</f>
        <v>Yes x2</v>
      </c>
      <c r="AF141" s="32" t="str">
        <f>_xlfn.XLOOKUP(B141,Disk_Pivot!G:G,Disk_Pivot!N:N)</f>
        <v>Pass, Fail</v>
      </c>
      <c r="AG141" s="32"/>
      <c r="AH141" s="32"/>
      <c r="AI141" s="32"/>
      <c r="AJ141" s="32"/>
      <c r="AK141" s="32"/>
      <c r="AL141" s="32"/>
    </row>
    <row r="142" spans="1:38">
      <c r="A142" s="32" t="str">
        <f>_xlfn.TEXTJOIN("",TRUE,_xlfn.XLOOKUP(B142,Input!J:J,Input!G:G,"",0,1),_xlfn.XLOOKUP(B142,Input!J:J,Input!H:H,"",0,1))</f>
        <v/>
      </c>
      <c r="B142" s="32"/>
      <c r="C142" s="51">
        <f>_xlfn.XLOOKUP(B142,Input!J:J,Input!F:F)</f>
        <v>0</v>
      </c>
      <c r="D142" s="32">
        <f>_xlfn.XLOOKUP(C142,Models!H:H,Models!G:G,C142)</f>
        <v>0</v>
      </c>
      <c r="E142" s="32">
        <f>_xlfn.XLOOKUP(B142,Input!J:J,Input!E:E)</f>
        <v>0</v>
      </c>
      <c r="F142" s="32">
        <f>IF(E142="LENOVO",_xlfn.XLOOKUP(B142,Input!J:J,Input!K:K),_xlfn.XLOOKUP(B142,Input!J:J,Input!L:L))</f>
        <v>0</v>
      </c>
      <c r="G142" s="32"/>
      <c r="H142" s="32"/>
      <c r="I142" s="32">
        <f>_xlfn.XLOOKUP(B142,CPU_Formula!A:A,CPU_Formula!I:I)</f>
        <v>0</v>
      </c>
      <c r="J142" s="51" t="e">
        <f>INDEX(Input!$D$2:$AC$500,
       MATCH(B142, Input!$J$2:$J$500, 0),
       MATCH("Total Memory", Input!$D$1:$AC$1, 0))</f>
        <v>#N/A</v>
      </c>
      <c r="K142" s="51" t="e">
        <f>INDEX(Input!$D$2:$AC$500,
       MATCH(B142, Input!$J$2:$J$500, 0),
       MATCH("Memory Type", Input!$D$1:$AC$1, 0))</f>
        <v>#N/A</v>
      </c>
      <c r="L142" s="51" t="str" cm="1">
        <f t="array" ref="L142">IFERROR(_xlfn.FILTERXML("&lt;t&gt;&lt;s&gt;" &amp; SUBSTITUTE(K142," / ","&lt;/s&gt;&lt;s&gt;") &amp; "&lt;/s&gt;&lt;/t&gt;","(//s[contains(.,'DDR')])[1]"),"")</f>
        <v/>
      </c>
      <c r="M142" s="32" t="e">
        <f t="shared" si="8"/>
        <v>#N/A</v>
      </c>
      <c r="N142" s="51" t="e">
        <f>INDEX(Input!$D$2:$AC$500,
       MATCH(B142, Input!$J$2:$J$500, 0),
       MATCH("Disk Interface Type", Input!$D$1:$AC$1, 0))</f>
        <v>#N/A</v>
      </c>
      <c r="O142" s="51" t="str" cm="1">
        <f t="array" ref="O142">IFERROR(_xlfn.TEXTJOIN(", ", TRUE, _xlfn._xlws.FILTER(
    INDEX(Input!$D$2:$AC$500,,MATCH("Disk Capacity",Input!$D$1:$AC$1,0)),
    Input!$J$2:$J$500=B142
)), "")</f>
        <v/>
      </c>
      <c r="P142" s="32" t="e">
        <f t="shared" si="7"/>
        <v>#N/A</v>
      </c>
      <c r="Q142" s="51" t="e">
        <f>_xlfn.LET(_xlpm.Result,INDEX(Input!$D$2:$AC$500,
       MATCH(B142, Input!$J$2:$J$500, 0),
       MATCH("Capacity", Input!$D$1:$AC$1, 0)),IF(_xlpm.Result="","",_xlpm.Result))</f>
        <v>#N/A</v>
      </c>
      <c r="R142" s="51" t="e" cm="1">
        <f t="array" ref="R142">_xlfn.TEXTSPLIT(Q142," / ", ,TRUE,0,)</f>
        <v>#N/A</v>
      </c>
      <c r="S142" s="51"/>
      <c r="T142" s="51" t="str" cm="1">
        <f t="array" ref="T142">IFERROR(_xlfn.IFS(
R142="","",
--R142&lt;55,"Battery Defect",
--R142&lt;=69,"Battery D",
--R142&lt;=80,"Battery C",
--R142&gt;80,""
),"")</f>
        <v/>
      </c>
      <c r="U142" s="51" t="str" cm="1">
        <f t="array" ref="U142">IFERROR(_xlfn.IFS(
S142="","",
--S142&lt;55,"Battery Defect",
--S142&lt;=69,"Battery D",
--S142&lt;=80,"Battery C",
--S142&gt;80,""
),"")</f>
        <v/>
      </c>
      <c r="V142" s="51" t="str" cm="1">
        <f t="array" ref="V142:AC142">IFERROR(IF(_xlfn.XLOOKUP(B142,Input!J:J,Input!N:U)=0,"",
          _xlfn.XLOOKUP(B142,Input!J:J,Input!N:U)),"")</f>
        <v/>
      </c>
      <c r="W142" s="51" t="str">
        <v/>
      </c>
      <c r="X142" s="51" t="str">
        <v/>
      </c>
      <c r="Y142" s="51" t="str">
        <v/>
      </c>
      <c r="Z142" s="51" t="str">
        <v/>
      </c>
      <c r="AA142" s="51" t="str">
        <v/>
      </c>
      <c r="AB142" s="51" t="str">
        <v/>
      </c>
      <c r="AC142" s="51" t="str">
        <v/>
      </c>
      <c r="AD142" s="32" t="str">
        <f t="shared" si="6"/>
        <v/>
      </c>
      <c r="AE142" s="32" t="str">
        <f>_xlfn.XLOOKUP(B:B,Disk_Pivot!G:G,Disk_Pivot!I:I)</f>
        <v>Yes x2</v>
      </c>
      <c r="AF142" s="32" t="str">
        <f>_xlfn.XLOOKUP(B142,Disk_Pivot!G:G,Disk_Pivot!N:N)</f>
        <v>Pass, Fail</v>
      </c>
      <c r="AG142" s="32"/>
      <c r="AH142" s="32"/>
      <c r="AI142" s="32"/>
      <c r="AJ142" s="32"/>
      <c r="AK142" s="32"/>
      <c r="AL142" s="32"/>
    </row>
    <row r="143" spans="1:38">
      <c r="A143" s="32" t="str">
        <f>_xlfn.TEXTJOIN("",TRUE,_xlfn.XLOOKUP(B143,Input!J:J,Input!G:G,"",0,1),_xlfn.XLOOKUP(B143,Input!J:J,Input!H:H,"",0,1))</f>
        <v/>
      </c>
      <c r="B143" s="32"/>
      <c r="C143" s="51">
        <f>_xlfn.XLOOKUP(B143,Input!J:J,Input!F:F)</f>
        <v>0</v>
      </c>
      <c r="D143" s="32">
        <f>_xlfn.XLOOKUP(C143,Models!H:H,Models!G:G,C143)</f>
        <v>0</v>
      </c>
      <c r="E143" s="32">
        <f>_xlfn.XLOOKUP(B143,Input!J:J,Input!E:E)</f>
        <v>0</v>
      </c>
      <c r="F143" s="32">
        <f>IF(E143="LENOVO",_xlfn.XLOOKUP(B143,Input!J:J,Input!K:K),_xlfn.XLOOKUP(B143,Input!J:J,Input!L:L))</f>
        <v>0</v>
      </c>
      <c r="G143" s="32"/>
      <c r="H143" s="32"/>
      <c r="I143" s="32">
        <f>_xlfn.XLOOKUP(B143,CPU_Formula!A:A,CPU_Formula!I:I)</f>
        <v>0</v>
      </c>
      <c r="J143" s="51" t="e">
        <f>INDEX(Input!$D$2:$AC$500,
       MATCH(B143, Input!$J$2:$J$500, 0),
       MATCH("Total Memory", Input!$D$1:$AC$1, 0))</f>
        <v>#N/A</v>
      </c>
      <c r="K143" s="51" t="e">
        <f>INDEX(Input!$D$2:$AC$500,
       MATCH(B143, Input!$J$2:$J$500, 0),
       MATCH("Memory Type", Input!$D$1:$AC$1, 0))</f>
        <v>#N/A</v>
      </c>
      <c r="L143" s="51" t="str" cm="1">
        <f t="array" ref="L143">IFERROR(_xlfn.FILTERXML("&lt;t&gt;&lt;s&gt;" &amp; SUBSTITUTE(K143," / ","&lt;/s&gt;&lt;s&gt;") &amp; "&lt;/s&gt;&lt;/t&gt;","(//s[contains(.,'DDR')])[1]"),"")</f>
        <v/>
      </c>
      <c r="M143" s="32" t="e">
        <f t="shared" si="8"/>
        <v>#N/A</v>
      </c>
      <c r="N143" s="51" t="e">
        <f>INDEX(Input!$D$2:$AC$500,
       MATCH(B143, Input!$J$2:$J$500, 0),
       MATCH("Disk Interface Type", Input!$D$1:$AC$1, 0))</f>
        <v>#N/A</v>
      </c>
      <c r="O143" s="51" t="str" cm="1">
        <f t="array" ref="O143">IFERROR(_xlfn.TEXTJOIN(", ", TRUE, _xlfn._xlws.FILTER(
    INDEX(Input!$D$2:$AC$500,,MATCH("Disk Capacity",Input!$D$1:$AC$1,0)),
    Input!$J$2:$J$500=B143
)), "")</f>
        <v/>
      </c>
      <c r="P143" s="32" t="e">
        <f t="shared" si="7"/>
        <v>#N/A</v>
      </c>
      <c r="Q143" s="51" t="e">
        <f>_xlfn.LET(_xlpm.Result,INDEX(Input!$D$2:$AC$500,
       MATCH(B143, Input!$J$2:$J$500, 0),
       MATCH("Capacity", Input!$D$1:$AC$1, 0)),IF(_xlpm.Result="","",_xlpm.Result))</f>
        <v>#N/A</v>
      </c>
      <c r="R143" s="51" t="e" cm="1">
        <f t="array" ref="R143">_xlfn.TEXTSPLIT(Q143," / ", ,TRUE,0,)</f>
        <v>#N/A</v>
      </c>
      <c r="S143" s="51"/>
      <c r="T143" s="51" t="str" cm="1">
        <f t="array" ref="T143">IFERROR(_xlfn.IFS(
R143="","",
--R143&lt;55,"Battery Defect",
--R143&lt;=69,"Battery D",
--R143&lt;=80,"Battery C",
--R143&gt;80,""
),"")</f>
        <v/>
      </c>
      <c r="U143" s="51" t="str" cm="1">
        <f t="array" ref="U143">IFERROR(_xlfn.IFS(
S143="","",
--S143&lt;55,"Battery Defect",
--S143&lt;=69,"Battery D",
--S143&lt;=80,"Battery C",
--S143&gt;80,""
),"")</f>
        <v/>
      </c>
      <c r="V143" s="51" t="str" cm="1">
        <f t="array" ref="V143:AC143">IFERROR(IF(_xlfn.XLOOKUP(B143,Input!J:J,Input!N:U)=0,"",
          _xlfn.XLOOKUP(B143,Input!J:J,Input!N:U)),"")</f>
        <v/>
      </c>
      <c r="W143" s="51" t="str">
        <v/>
      </c>
      <c r="X143" s="51" t="str">
        <v/>
      </c>
      <c r="Y143" s="51" t="str">
        <v/>
      </c>
      <c r="Z143" s="51" t="str">
        <v/>
      </c>
      <c r="AA143" s="51" t="str">
        <v/>
      </c>
      <c r="AB143" s="51" t="str">
        <v/>
      </c>
      <c r="AC143" s="51" t="str">
        <v/>
      </c>
      <c r="AD143" s="32" t="str">
        <f t="shared" si="6"/>
        <v/>
      </c>
      <c r="AE143" s="32" t="str">
        <f>_xlfn.XLOOKUP(B:B,Disk_Pivot!G:G,Disk_Pivot!I:I)</f>
        <v>Yes x2</v>
      </c>
      <c r="AF143" s="32" t="str">
        <f>_xlfn.XLOOKUP(B143,Disk_Pivot!G:G,Disk_Pivot!N:N)</f>
        <v>Pass, Fail</v>
      </c>
      <c r="AG143" s="32"/>
      <c r="AH143" s="32"/>
      <c r="AI143" s="32"/>
      <c r="AJ143" s="32"/>
      <c r="AK143" s="32"/>
      <c r="AL143" s="32"/>
    </row>
    <row r="144" spans="1:38">
      <c r="A144" s="32" t="str">
        <f>_xlfn.TEXTJOIN("",TRUE,_xlfn.XLOOKUP(B144,Input!J:J,Input!G:G,"",0,1),_xlfn.XLOOKUP(B144,Input!J:J,Input!H:H,"",0,1))</f>
        <v/>
      </c>
      <c r="B144" s="32"/>
      <c r="C144" s="51">
        <f>_xlfn.XLOOKUP(B144,Input!J:J,Input!F:F)</f>
        <v>0</v>
      </c>
      <c r="D144" s="32">
        <f>_xlfn.XLOOKUP(C144,Models!H:H,Models!G:G,C144)</f>
        <v>0</v>
      </c>
      <c r="E144" s="32">
        <f>_xlfn.XLOOKUP(B144,Input!J:J,Input!E:E)</f>
        <v>0</v>
      </c>
      <c r="F144" s="32">
        <f>IF(E144="LENOVO",_xlfn.XLOOKUP(B144,Input!J:J,Input!K:K),_xlfn.XLOOKUP(B144,Input!J:J,Input!L:L))</f>
        <v>0</v>
      </c>
      <c r="G144" s="32"/>
      <c r="H144" s="32"/>
      <c r="I144" s="32">
        <f>_xlfn.XLOOKUP(B144,CPU_Formula!A:A,CPU_Formula!I:I)</f>
        <v>0</v>
      </c>
      <c r="J144" s="51" t="e">
        <f>INDEX(Input!$D$2:$AC$500,
       MATCH(B144, Input!$J$2:$J$500, 0),
       MATCH("Total Memory", Input!$D$1:$AC$1, 0))</f>
        <v>#N/A</v>
      </c>
      <c r="K144" s="51" t="e">
        <f>INDEX(Input!$D$2:$AC$500,
       MATCH(B144, Input!$J$2:$J$500, 0),
       MATCH("Memory Type", Input!$D$1:$AC$1, 0))</f>
        <v>#N/A</v>
      </c>
      <c r="L144" s="51" t="str" cm="1">
        <f t="array" ref="L144">IFERROR(_xlfn.FILTERXML("&lt;t&gt;&lt;s&gt;" &amp; SUBSTITUTE(K144," / ","&lt;/s&gt;&lt;s&gt;") &amp; "&lt;/s&gt;&lt;/t&gt;","(//s[contains(.,'DDR')])[1]"),"")</f>
        <v/>
      </c>
      <c r="M144" s="32" t="e">
        <f t="shared" si="8"/>
        <v>#N/A</v>
      </c>
      <c r="N144" s="51" t="e">
        <f>INDEX(Input!$D$2:$AC$500,
       MATCH(B144, Input!$J$2:$J$500, 0),
       MATCH("Disk Interface Type", Input!$D$1:$AC$1, 0))</f>
        <v>#N/A</v>
      </c>
      <c r="O144" s="51" t="str" cm="1">
        <f t="array" ref="O144">IFERROR(_xlfn.TEXTJOIN(", ", TRUE, _xlfn._xlws.FILTER(
    INDEX(Input!$D$2:$AC$500,,MATCH("Disk Capacity",Input!$D$1:$AC$1,0)),
    Input!$J$2:$J$500=B144
)), "")</f>
        <v/>
      </c>
      <c r="P144" s="32" t="e">
        <f t="shared" si="7"/>
        <v>#N/A</v>
      </c>
      <c r="Q144" s="51" t="e">
        <f>_xlfn.LET(_xlpm.Result,INDEX(Input!$D$2:$AC$500,
       MATCH(B144, Input!$J$2:$J$500, 0),
       MATCH("Capacity", Input!$D$1:$AC$1, 0)),IF(_xlpm.Result="","",_xlpm.Result))</f>
        <v>#N/A</v>
      </c>
      <c r="R144" s="51" t="e" cm="1">
        <f t="array" ref="R144">_xlfn.TEXTSPLIT(Q144," / ", ,TRUE,0,)</f>
        <v>#N/A</v>
      </c>
      <c r="S144" s="51"/>
      <c r="T144" s="51" t="str" cm="1">
        <f t="array" ref="T144">IFERROR(_xlfn.IFS(
R144="","",
--R144&lt;55,"Battery Defect",
--R144&lt;=69,"Battery D",
--R144&lt;=80,"Battery C",
--R144&gt;80,""
),"")</f>
        <v/>
      </c>
      <c r="U144" s="51" t="str" cm="1">
        <f t="array" ref="U144">IFERROR(_xlfn.IFS(
S144="","",
--S144&lt;55,"Battery Defect",
--S144&lt;=69,"Battery D",
--S144&lt;=80,"Battery C",
--S144&gt;80,""
),"")</f>
        <v/>
      </c>
      <c r="V144" s="51" t="str" cm="1">
        <f t="array" ref="V144:AC144">IFERROR(IF(_xlfn.XLOOKUP(B144,Input!J:J,Input!N:U)=0,"",
          _xlfn.XLOOKUP(B144,Input!J:J,Input!N:U)),"")</f>
        <v/>
      </c>
      <c r="W144" s="51" t="str">
        <v/>
      </c>
      <c r="X144" s="51" t="str">
        <v/>
      </c>
      <c r="Y144" s="51" t="str">
        <v/>
      </c>
      <c r="Z144" s="51" t="str">
        <v/>
      </c>
      <c r="AA144" s="51" t="str">
        <v/>
      </c>
      <c r="AB144" s="51" t="str">
        <v/>
      </c>
      <c r="AC144" s="51" t="str">
        <v/>
      </c>
      <c r="AD144" s="32" t="str">
        <f t="shared" si="6"/>
        <v/>
      </c>
      <c r="AE144" s="32" t="str">
        <f>_xlfn.XLOOKUP(B:B,Disk_Pivot!G:G,Disk_Pivot!I:I)</f>
        <v>Yes x2</v>
      </c>
      <c r="AF144" s="32" t="str">
        <f>_xlfn.XLOOKUP(B144,Disk_Pivot!G:G,Disk_Pivot!N:N)</f>
        <v>Pass, Fail</v>
      </c>
      <c r="AG144" s="32"/>
      <c r="AH144" s="32"/>
      <c r="AI144" s="32"/>
      <c r="AJ144" s="32"/>
      <c r="AK144" s="32"/>
      <c r="AL144" s="32"/>
    </row>
    <row r="145" spans="1:38">
      <c r="A145" s="32" t="str">
        <f>_xlfn.TEXTJOIN("",TRUE,_xlfn.XLOOKUP(B145,Input!J:J,Input!G:G,"",0,1),_xlfn.XLOOKUP(B145,Input!J:J,Input!H:H,"",0,1))</f>
        <v/>
      </c>
      <c r="B145" s="32"/>
      <c r="C145" s="51">
        <f>_xlfn.XLOOKUP(B145,Input!J:J,Input!F:F)</f>
        <v>0</v>
      </c>
      <c r="D145" s="32">
        <f>_xlfn.XLOOKUP(C145,Models!H:H,Models!G:G,C145)</f>
        <v>0</v>
      </c>
      <c r="E145" s="32">
        <f>_xlfn.XLOOKUP(B145,Input!J:J,Input!E:E)</f>
        <v>0</v>
      </c>
      <c r="F145" s="32">
        <f>IF(E145="LENOVO",_xlfn.XLOOKUP(B145,Input!J:J,Input!K:K),_xlfn.XLOOKUP(B145,Input!J:J,Input!L:L))</f>
        <v>0</v>
      </c>
      <c r="G145" s="32"/>
      <c r="H145" s="32"/>
      <c r="I145" s="32">
        <f>_xlfn.XLOOKUP(B145,CPU_Formula!A:A,CPU_Formula!I:I)</f>
        <v>0</v>
      </c>
      <c r="J145" s="51" t="e">
        <f>INDEX(Input!$D$2:$AC$500,
       MATCH(B145, Input!$J$2:$J$500, 0),
       MATCH("Total Memory", Input!$D$1:$AC$1, 0))</f>
        <v>#N/A</v>
      </c>
      <c r="K145" s="51" t="e">
        <f>INDEX(Input!$D$2:$AC$500,
       MATCH(B145, Input!$J$2:$J$500, 0),
       MATCH("Memory Type", Input!$D$1:$AC$1, 0))</f>
        <v>#N/A</v>
      </c>
      <c r="L145" s="51" t="str" cm="1">
        <f t="array" ref="L145">IFERROR(_xlfn.FILTERXML("&lt;t&gt;&lt;s&gt;" &amp; SUBSTITUTE(K145," / ","&lt;/s&gt;&lt;s&gt;") &amp; "&lt;/s&gt;&lt;/t&gt;","(//s[contains(.,'DDR')])[1]"),"")</f>
        <v/>
      </c>
      <c r="M145" s="32" t="e">
        <f t="shared" si="8"/>
        <v>#N/A</v>
      </c>
      <c r="N145" s="51" t="e">
        <f>INDEX(Input!$D$2:$AC$500,
       MATCH(B145, Input!$J$2:$J$500, 0),
       MATCH("Disk Interface Type", Input!$D$1:$AC$1, 0))</f>
        <v>#N/A</v>
      </c>
      <c r="O145" s="51" t="str" cm="1">
        <f t="array" ref="O145">IFERROR(_xlfn.TEXTJOIN(", ", TRUE, _xlfn._xlws.FILTER(
    INDEX(Input!$D$2:$AC$500,,MATCH("Disk Capacity",Input!$D$1:$AC$1,0)),
    Input!$J$2:$J$500=B145
)), "")</f>
        <v/>
      </c>
      <c r="P145" s="32" t="e">
        <f t="shared" si="7"/>
        <v>#N/A</v>
      </c>
      <c r="Q145" s="51" t="e">
        <f>_xlfn.LET(_xlpm.Result,INDEX(Input!$D$2:$AC$500,
       MATCH(B145, Input!$J$2:$J$500, 0),
       MATCH("Capacity", Input!$D$1:$AC$1, 0)),IF(_xlpm.Result="","",_xlpm.Result))</f>
        <v>#N/A</v>
      </c>
      <c r="R145" s="51" t="e" cm="1">
        <f t="array" ref="R145">_xlfn.TEXTSPLIT(Q145," / ", ,TRUE,0,)</f>
        <v>#N/A</v>
      </c>
      <c r="S145" s="51"/>
      <c r="T145" s="51" t="str" cm="1">
        <f t="array" ref="T145">IFERROR(_xlfn.IFS(
R145="","",
--R145&lt;55,"Battery Defect",
--R145&lt;=69,"Battery D",
--R145&lt;=80,"Battery C",
--R145&gt;80,""
),"")</f>
        <v/>
      </c>
      <c r="U145" s="51" t="str" cm="1">
        <f t="array" ref="U145">IFERROR(_xlfn.IFS(
S145="","",
--S145&lt;55,"Battery Defect",
--S145&lt;=69,"Battery D",
--S145&lt;=80,"Battery C",
--S145&gt;80,""
),"")</f>
        <v/>
      </c>
      <c r="V145" s="51" t="str" cm="1">
        <f t="array" ref="V145:AC145">IFERROR(IF(_xlfn.XLOOKUP(B145,Input!J:J,Input!N:U)=0,"",
          _xlfn.XLOOKUP(B145,Input!J:J,Input!N:U)),"")</f>
        <v/>
      </c>
      <c r="W145" s="51" t="str">
        <v/>
      </c>
      <c r="X145" s="51" t="str">
        <v/>
      </c>
      <c r="Y145" s="51" t="str">
        <v/>
      </c>
      <c r="Z145" s="51" t="str">
        <v/>
      </c>
      <c r="AA145" s="51" t="str">
        <v/>
      </c>
      <c r="AB145" s="51" t="str">
        <v/>
      </c>
      <c r="AC145" s="51" t="str">
        <v/>
      </c>
      <c r="AD145" s="32" t="str">
        <f t="shared" si="6"/>
        <v/>
      </c>
      <c r="AE145" s="32" t="str">
        <f>_xlfn.XLOOKUP(B:B,Disk_Pivot!G:G,Disk_Pivot!I:I)</f>
        <v>Yes x2</v>
      </c>
      <c r="AF145" s="32" t="str">
        <f>_xlfn.XLOOKUP(B145,Disk_Pivot!G:G,Disk_Pivot!N:N)</f>
        <v>Pass, Fail</v>
      </c>
      <c r="AG145" s="32"/>
      <c r="AH145" s="32"/>
      <c r="AI145" s="32"/>
      <c r="AJ145" s="32"/>
      <c r="AK145" s="32"/>
      <c r="AL145" s="32"/>
    </row>
    <row r="146" spans="1:38">
      <c r="A146" s="32" t="str">
        <f>_xlfn.TEXTJOIN("",TRUE,_xlfn.XLOOKUP(B146,Input!J:J,Input!G:G,"",0,1),_xlfn.XLOOKUP(B146,Input!J:J,Input!H:H,"",0,1))</f>
        <v/>
      </c>
      <c r="B146" s="32"/>
      <c r="C146" s="51">
        <f>_xlfn.XLOOKUP(B146,Input!J:J,Input!F:F)</f>
        <v>0</v>
      </c>
      <c r="D146" s="32">
        <f>_xlfn.XLOOKUP(C146,Models!H:H,Models!G:G,C146)</f>
        <v>0</v>
      </c>
      <c r="E146" s="32">
        <f>_xlfn.XLOOKUP(B146,Input!J:J,Input!E:E)</f>
        <v>0</v>
      </c>
      <c r="F146" s="32">
        <f>IF(E146="LENOVO",_xlfn.XLOOKUP(B146,Input!J:J,Input!K:K),_xlfn.XLOOKUP(B146,Input!J:J,Input!L:L))</f>
        <v>0</v>
      </c>
      <c r="G146" s="32"/>
      <c r="H146" s="32"/>
      <c r="I146" s="32">
        <f>_xlfn.XLOOKUP(B146,CPU_Formula!A:A,CPU_Formula!I:I)</f>
        <v>0</v>
      </c>
      <c r="J146" s="51" t="e">
        <f>INDEX(Input!$D$2:$AC$500,
       MATCH(B146, Input!$J$2:$J$500, 0),
       MATCH("Total Memory", Input!$D$1:$AC$1, 0))</f>
        <v>#N/A</v>
      </c>
      <c r="K146" s="51" t="e">
        <f>INDEX(Input!$D$2:$AC$500,
       MATCH(B146, Input!$J$2:$J$500, 0),
       MATCH("Memory Type", Input!$D$1:$AC$1, 0))</f>
        <v>#N/A</v>
      </c>
      <c r="L146" s="51" t="str" cm="1">
        <f t="array" ref="L146">IFERROR(_xlfn.FILTERXML("&lt;t&gt;&lt;s&gt;" &amp; SUBSTITUTE(K146," / ","&lt;/s&gt;&lt;s&gt;") &amp; "&lt;/s&gt;&lt;/t&gt;","(//s[contains(.,'DDR')])[1]"),"")</f>
        <v/>
      </c>
      <c r="M146" s="32" t="e">
        <f t="shared" si="8"/>
        <v>#N/A</v>
      </c>
      <c r="N146" s="51" t="e">
        <f>INDEX(Input!$D$2:$AC$500,
       MATCH(B146, Input!$J$2:$J$500, 0),
       MATCH("Disk Interface Type", Input!$D$1:$AC$1, 0))</f>
        <v>#N/A</v>
      </c>
      <c r="O146" s="51" t="str" cm="1">
        <f t="array" ref="O146">IFERROR(_xlfn.TEXTJOIN(", ", TRUE, _xlfn._xlws.FILTER(
    INDEX(Input!$D$2:$AC$500,,MATCH("Disk Capacity",Input!$D$1:$AC$1,0)),
    Input!$J$2:$J$500=B146
)), "")</f>
        <v/>
      </c>
      <c r="P146" s="32" t="e">
        <f t="shared" si="7"/>
        <v>#N/A</v>
      </c>
      <c r="Q146" s="51" t="e">
        <f>_xlfn.LET(_xlpm.Result,INDEX(Input!$D$2:$AC$500,
       MATCH(B146, Input!$J$2:$J$500, 0),
       MATCH("Capacity", Input!$D$1:$AC$1, 0)),IF(_xlpm.Result="","",_xlpm.Result))</f>
        <v>#N/A</v>
      </c>
      <c r="R146" s="51" t="e" cm="1">
        <f t="array" ref="R146">_xlfn.TEXTSPLIT(Q146," / ", ,TRUE,0,)</f>
        <v>#N/A</v>
      </c>
      <c r="S146" s="51"/>
      <c r="T146" s="51" t="str" cm="1">
        <f t="array" ref="T146">IFERROR(_xlfn.IFS(
R146="","",
--R146&lt;55,"Battery Defect",
--R146&lt;=69,"Battery D",
--R146&lt;=80,"Battery C",
--R146&gt;80,""
),"")</f>
        <v/>
      </c>
      <c r="U146" s="51" t="str" cm="1">
        <f t="array" ref="U146">IFERROR(_xlfn.IFS(
S146="","",
--S146&lt;55,"Battery Defect",
--S146&lt;=69,"Battery D",
--S146&lt;=80,"Battery C",
--S146&gt;80,""
),"")</f>
        <v/>
      </c>
      <c r="V146" s="51" t="str" cm="1">
        <f t="array" ref="V146:AC146">IFERROR(IF(_xlfn.XLOOKUP(B146,Input!J:J,Input!N:U)=0,"",
          _xlfn.XLOOKUP(B146,Input!J:J,Input!N:U)),"")</f>
        <v/>
      </c>
      <c r="W146" s="51" t="str">
        <v/>
      </c>
      <c r="X146" s="51" t="str">
        <v/>
      </c>
      <c r="Y146" s="51" t="str">
        <v/>
      </c>
      <c r="Z146" s="51" t="str">
        <v/>
      </c>
      <c r="AA146" s="51" t="str">
        <v/>
      </c>
      <c r="AB146" s="51" t="str">
        <v/>
      </c>
      <c r="AC146" s="51" t="str">
        <v/>
      </c>
      <c r="AD146" s="32" t="str">
        <f t="shared" si="6"/>
        <v/>
      </c>
      <c r="AE146" s="32" t="str">
        <f>_xlfn.XLOOKUP(B:B,Disk_Pivot!G:G,Disk_Pivot!I:I)</f>
        <v>Yes x2</v>
      </c>
      <c r="AF146" s="32" t="str">
        <f>_xlfn.XLOOKUP(B146,Disk_Pivot!G:G,Disk_Pivot!N:N)</f>
        <v>Pass, Fail</v>
      </c>
      <c r="AG146" s="32"/>
      <c r="AH146" s="32"/>
      <c r="AI146" s="32"/>
      <c r="AJ146" s="32"/>
      <c r="AK146" s="32"/>
      <c r="AL146" s="32"/>
    </row>
    <row r="147" spans="1:38">
      <c r="A147" s="32" t="str">
        <f>_xlfn.TEXTJOIN("",TRUE,_xlfn.XLOOKUP(B147,Input!J:J,Input!G:G,"",0,1),_xlfn.XLOOKUP(B147,Input!J:J,Input!H:H,"",0,1))</f>
        <v/>
      </c>
      <c r="B147" s="32"/>
      <c r="C147" s="51">
        <f>_xlfn.XLOOKUP(B147,Input!J:J,Input!F:F)</f>
        <v>0</v>
      </c>
      <c r="D147" s="32">
        <f>_xlfn.XLOOKUP(C147,Models!H:H,Models!G:G,C147)</f>
        <v>0</v>
      </c>
      <c r="E147" s="32">
        <f>_xlfn.XLOOKUP(B147,Input!J:J,Input!E:E)</f>
        <v>0</v>
      </c>
      <c r="F147" s="32">
        <f>IF(E147="LENOVO",_xlfn.XLOOKUP(B147,Input!J:J,Input!K:K),_xlfn.XLOOKUP(B147,Input!J:J,Input!L:L))</f>
        <v>0</v>
      </c>
      <c r="G147" s="32"/>
      <c r="H147" s="32"/>
      <c r="I147" s="32">
        <f>_xlfn.XLOOKUP(B147,CPU_Formula!A:A,CPU_Formula!I:I)</f>
        <v>0</v>
      </c>
      <c r="J147" s="51" t="e">
        <f>INDEX(Input!$D$2:$AC$500,
       MATCH(B147, Input!$J$2:$J$500, 0),
       MATCH("Total Memory", Input!$D$1:$AC$1, 0))</f>
        <v>#N/A</v>
      </c>
      <c r="K147" s="51" t="e">
        <f>INDEX(Input!$D$2:$AC$500,
       MATCH(B147, Input!$J$2:$J$500, 0),
       MATCH("Memory Type", Input!$D$1:$AC$1, 0))</f>
        <v>#N/A</v>
      </c>
      <c r="L147" s="51" t="str" cm="1">
        <f t="array" ref="L147">IFERROR(_xlfn.FILTERXML("&lt;t&gt;&lt;s&gt;" &amp; SUBSTITUTE(K147," / ","&lt;/s&gt;&lt;s&gt;") &amp; "&lt;/s&gt;&lt;/t&gt;","(//s[contains(.,'DDR')])[1]"),"")</f>
        <v/>
      </c>
      <c r="M147" s="32" t="e">
        <f t="shared" si="8"/>
        <v>#N/A</v>
      </c>
      <c r="N147" s="51" t="e">
        <f>INDEX(Input!$D$2:$AC$500,
       MATCH(B147, Input!$J$2:$J$500, 0),
       MATCH("Disk Interface Type", Input!$D$1:$AC$1, 0))</f>
        <v>#N/A</v>
      </c>
      <c r="O147" s="51" t="str" cm="1">
        <f t="array" ref="O147">IFERROR(_xlfn.TEXTJOIN(", ", TRUE, _xlfn._xlws.FILTER(
    INDEX(Input!$D$2:$AC$500,,MATCH("Disk Capacity",Input!$D$1:$AC$1,0)),
    Input!$J$2:$J$500=B147
)), "")</f>
        <v/>
      </c>
      <c r="P147" s="32" t="e">
        <f t="shared" si="7"/>
        <v>#N/A</v>
      </c>
      <c r="Q147" s="51" t="e">
        <f>_xlfn.LET(_xlpm.Result,INDEX(Input!$D$2:$AC$500,
       MATCH(B147, Input!$J$2:$J$500, 0),
       MATCH("Capacity", Input!$D$1:$AC$1, 0)),IF(_xlpm.Result="","",_xlpm.Result))</f>
        <v>#N/A</v>
      </c>
      <c r="R147" s="51" t="e" cm="1">
        <f t="array" ref="R147">_xlfn.TEXTSPLIT(Q147," / ", ,TRUE,0,)</f>
        <v>#N/A</v>
      </c>
      <c r="S147" s="51"/>
      <c r="T147" s="51" t="str" cm="1">
        <f t="array" ref="T147">IFERROR(_xlfn.IFS(
R147="","",
--R147&lt;55,"Battery Defect",
--R147&lt;=69,"Battery D",
--R147&lt;=80,"Battery C",
--R147&gt;80,""
),"")</f>
        <v/>
      </c>
      <c r="U147" s="51" t="str" cm="1">
        <f t="array" ref="U147">IFERROR(_xlfn.IFS(
S147="","",
--S147&lt;55,"Battery Defect",
--S147&lt;=69,"Battery D",
--S147&lt;=80,"Battery C",
--S147&gt;80,""
),"")</f>
        <v/>
      </c>
      <c r="V147" s="51" t="str" cm="1">
        <f t="array" ref="V147:AC147">IFERROR(IF(_xlfn.XLOOKUP(B147,Input!J:J,Input!N:U)=0,"",
          _xlfn.XLOOKUP(B147,Input!J:J,Input!N:U)),"")</f>
        <v/>
      </c>
      <c r="W147" s="51" t="str">
        <v/>
      </c>
      <c r="X147" s="51" t="str">
        <v/>
      </c>
      <c r="Y147" s="51" t="str">
        <v/>
      </c>
      <c r="Z147" s="51" t="str">
        <v/>
      </c>
      <c r="AA147" s="51" t="str">
        <v/>
      </c>
      <c r="AB147" s="51" t="str">
        <v/>
      </c>
      <c r="AC147" s="51" t="str">
        <v/>
      </c>
      <c r="AD147" s="32" t="str">
        <f t="shared" si="6"/>
        <v/>
      </c>
      <c r="AE147" s="32" t="str">
        <f>_xlfn.XLOOKUP(B:B,Disk_Pivot!G:G,Disk_Pivot!I:I)</f>
        <v>Yes x2</v>
      </c>
      <c r="AF147" s="32" t="str">
        <f>_xlfn.XLOOKUP(B147,Disk_Pivot!G:G,Disk_Pivot!N:N)</f>
        <v>Pass, Fail</v>
      </c>
      <c r="AG147" s="32"/>
      <c r="AH147" s="32"/>
      <c r="AI147" s="32"/>
      <c r="AJ147" s="32"/>
      <c r="AK147" s="32"/>
      <c r="AL147" s="32"/>
    </row>
    <row r="148" spans="1:38">
      <c r="A148" s="32" t="str">
        <f>_xlfn.TEXTJOIN("",TRUE,_xlfn.XLOOKUP(B148,Input!J:J,Input!G:G,"",0,1),_xlfn.XLOOKUP(B148,Input!J:J,Input!H:H,"",0,1))</f>
        <v/>
      </c>
      <c r="B148" s="32"/>
      <c r="C148" s="51">
        <f>_xlfn.XLOOKUP(B148,Input!J:J,Input!F:F)</f>
        <v>0</v>
      </c>
      <c r="D148" s="32">
        <f>_xlfn.XLOOKUP(C148,Models!H:H,Models!G:G,C148)</f>
        <v>0</v>
      </c>
      <c r="E148" s="32">
        <f>_xlfn.XLOOKUP(B148,Input!J:J,Input!E:E)</f>
        <v>0</v>
      </c>
      <c r="F148" s="32">
        <f>IF(E148="LENOVO",_xlfn.XLOOKUP(B148,Input!J:J,Input!K:K),_xlfn.XLOOKUP(B148,Input!J:J,Input!L:L))</f>
        <v>0</v>
      </c>
      <c r="G148" s="32"/>
      <c r="H148" s="32"/>
      <c r="I148" s="32">
        <f>_xlfn.XLOOKUP(B148,CPU_Formula!A:A,CPU_Formula!I:I)</f>
        <v>0</v>
      </c>
      <c r="J148" s="51" t="e">
        <f>INDEX(Input!$D$2:$AC$500,
       MATCH(B148, Input!$J$2:$J$500, 0),
       MATCH("Total Memory", Input!$D$1:$AC$1, 0))</f>
        <v>#N/A</v>
      </c>
      <c r="K148" s="51" t="e">
        <f>INDEX(Input!$D$2:$AC$500,
       MATCH(B148, Input!$J$2:$J$500, 0),
       MATCH("Memory Type", Input!$D$1:$AC$1, 0))</f>
        <v>#N/A</v>
      </c>
      <c r="L148" s="51" t="str" cm="1">
        <f t="array" ref="L148">IFERROR(_xlfn.FILTERXML("&lt;t&gt;&lt;s&gt;" &amp; SUBSTITUTE(K148," / ","&lt;/s&gt;&lt;s&gt;") &amp; "&lt;/s&gt;&lt;/t&gt;","(//s[contains(.,'DDR')])[1]"),"")</f>
        <v/>
      </c>
      <c r="M148" s="32" t="e">
        <f t="shared" si="8"/>
        <v>#N/A</v>
      </c>
      <c r="N148" s="51" t="e">
        <f>INDEX(Input!$D$2:$AC$500,
       MATCH(B148, Input!$J$2:$J$500, 0),
       MATCH("Disk Interface Type", Input!$D$1:$AC$1, 0))</f>
        <v>#N/A</v>
      </c>
      <c r="O148" s="51" t="str" cm="1">
        <f t="array" ref="O148">IFERROR(_xlfn.TEXTJOIN(", ", TRUE, _xlfn._xlws.FILTER(
    INDEX(Input!$D$2:$AC$500,,MATCH("Disk Capacity",Input!$D$1:$AC$1,0)),
    Input!$J$2:$J$500=B148
)), "")</f>
        <v/>
      </c>
      <c r="P148" s="32" t="e">
        <f t="shared" si="7"/>
        <v>#N/A</v>
      </c>
      <c r="Q148" s="51" t="e">
        <f>_xlfn.LET(_xlpm.Result,INDEX(Input!$D$2:$AC$500,
       MATCH(B148, Input!$J$2:$J$500, 0),
       MATCH("Capacity", Input!$D$1:$AC$1, 0)),IF(_xlpm.Result="","",_xlpm.Result))</f>
        <v>#N/A</v>
      </c>
      <c r="R148" s="51" t="e" cm="1">
        <f t="array" ref="R148">_xlfn.TEXTSPLIT(Q148," / ", ,TRUE,0,)</f>
        <v>#N/A</v>
      </c>
      <c r="S148" s="51"/>
      <c r="T148" s="51" t="str" cm="1">
        <f t="array" ref="T148">IFERROR(_xlfn.IFS(
R148="","",
--R148&lt;55,"Battery Defect",
--R148&lt;=69,"Battery D",
--R148&lt;=80,"Battery C",
--R148&gt;80,""
),"")</f>
        <v/>
      </c>
      <c r="U148" s="51" t="str" cm="1">
        <f t="array" ref="U148">IFERROR(_xlfn.IFS(
S148="","",
--S148&lt;55,"Battery Defect",
--S148&lt;=69,"Battery D",
--S148&lt;=80,"Battery C",
--S148&gt;80,""
),"")</f>
        <v/>
      </c>
      <c r="V148" s="51" t="str" cm="1">
        <f t="array" ref="V148:AC148">IFERROR(IF(_xlfn.XLOOKUP(B148,Input!J:J,Input!N:U)=0,"",
          _xlfn.XLOOKUP(B148,Input!J:J,Input!N:U)),"")</f>
        <v/>
      </c>
      <c r="W148" s="51" t="str">
        <v/>
      </c>
      <c r="X148" s="51" t="str">
        <v/>
      </c>
      <c r="Y148" s="51" t="str">
        <v/>
      </c>
      <c r="Z148" s="51" t="str">
        <v/>
      </c>
      <c r="AA148" s="51" t="str">
        <v/>
      </c>
      <c r="AB148" s="51" t="str">
        <v/>
      </c>
      <c r="AC148" s="51" t="str">
        <v/>
      </c>
      <c r="AD148" s="32" t="str">
        <f t="shared" si="6"/>
        <v/>
      </c>
      <c r="AE148" s="32" t="str">
        <f>_xlfn.XLOOKUP(B:B,Disk_Pivot!G:G,Disk_Pivot!I:I)</f>
        <v>Yes x2</v>
      </c>
      <c r="AF148" s="32" t="str">
        <f>_xlfn.XLOOKUP(B148,Disk_Pivot!G:G,Disk_Pivot!N:N)</f>
        <v>Pass, Fail</v>
      </c>
      <c r="AG148" s="32"/>
      <c r="AH148" s="32"/>
      <c r="AI148" s="32"/>
      <c r="AJ148" s="32"/>
      <c r="AK148" s="32"/>
      <c r="AL148" s="32"/>
    </row>
    <row r="149" spans="1:38">
      <c r="A149" s="32" t="str">
        <f>_xlfn.TEXTJOIN("",TRUE,_xlfn.XLOOKUP(B149,Input!J:J,Input!G:G,"",0,1),_xlfn.XLOOKUP(B149,Input!J:J,Input!H:H,"",0,1))</f>
        <v/>
      </c>
      <c r="B149" s="32"/>
      <c r="C149" s="51">
        <f>_xlfn.XLOOKUP(B149,Input!J:J,Input!F:F)</f>
        <v>0</v>
      </c>
      <c r="D149" s="32">
        <f>_xlfn.XLOOKUP(C149,Models!H:H,Models!G:G,C149)</f>
        <v>0</v>
      </c>
      <c r="E149" s="32">
        <f>_xlfn.XLOOKUP(B149,Input!J:J,Input!E:E)</f>
        <v>0</v>
      </c>
      <c r="F149" s="32">
        <f>IF(E149="LENOVO",_xlfn.XLOOKUP(B149,Input!J:J,Input!K:K),_xlfn.XLOOKUP(B149,Input!J:J,Input!L:L))</f>
        <v>0</v>
      </c>
      <c r="G149" s="32"/>
      <c r="H149" s="32"/>
      <c r="I149" s="32">
        <f>_xlfn.XLOOKUP(B149,CPU_Formula!A:A,CPU_Formula!I:I)</f>
        <v>0</v>
      </c>
      <c r="J149" s="51" t="e">
        <f>INDEX(Input!$D$2:$AC$500,
       MATCH(B149, Input!$J$2:$J$500, 0),
       MATCH("Total Memory", Input!$D$1:$AC$1, 0))</f>
        <v>#N/A</v>
      </c>
      <c r="K149" s="51" t="e">
        <f>INDEX(Input!$D$2:$AC$500,
       MATCH(B149, Input!$J$2:$J$500, 0),
       MATCH("Memory Type", Input!$D$1:$AC$1, 0))</f>
        <v>#N/A</v>
      </c>
      <c r="L149" s="51" t="str" cm="1">
        <f t="array" ref="L149">IFERROR(_xlfn.FILTERXML("&lt;t&gt;&lt;s&gt;" &amp; SUBSTITUTE(K149," / ","&lt;/s&gt;&lt;s&gt;") &amp; "&lt;/s&gt;&lt;/t&gt;","(//s[contains(.,'DDR')])[1]"),"")</f>
        <v/>
      </c>
      <c r="M149" s="32" t="e">
        <f t="shared" si="8"/>
        <v>#N/A</v>
      </c>
      <c r="N149" s="51" t="e">
        <f>INDEX(Input!$D$2:$AC$500,
       MATCH(B149, Input!$J$2:$J$500, 0),
       MATCH("Disk Interface Type", Input!$D$1:$AC$1, 0))</f>
        <v>#N/A</v>
      </c>
      <c r="O149" s="51" t="str" cm="1">
        <f t="array" ref="O149">IFERROR(_xlfn.TEXTJOIN(", ", TRUE, _xlfn._xlws.FILTER(
    INDEX(Input!$D$2:$AC$500,,MATCH("Disk Capacity",Input!$D$1:$AC$1,0)),
    Input!$J$2:$J$500=B149
)), "")</f>
        <v/>
      </c>
      <c r="P149" s="32" t="e">
        <f t="shared" si="7"/>
        <v>#N/A</v>
      </c>
      <c r="Q149" s="51" t="e">
        <f>_xlfn.LET(_xlpm.Result,INDEX(Input!$D$2:$AC$500,
       MATCH(B149, Input!$J$2:$J$500, 0),
       MATCH("Capacity", Input!$D$1:$AC$1, 0)),IF(_xlpm.Result="","",_xlpm.Result))</f>
        <v>#N/A</v>
      </c>
      <c r="R149" s="51" t="e" cm="1">
        <f t="array" ref="R149">_xlfn.TEXTSPLIT(Q149," / ", ,TRUE,0,)</f>
        <v>#N/A</v>
      </c>
      <c r="S149" s="51"/>
      <c r="T149" s="51" t="str" cm="1">
        <f t="array" ref="T149">IFERROR(_xlfn.IFS(
R149="","",
--R149&lt;55,"Battery Defect",
--R149&lt;=69,"Battery D",
--R149&lt;=80,"Battery C",
--R149&gt;80,""
),"")</f>
        <v/>
      </c>
      <c r="U149" s="51" t="str" cm="1">
        <f t="array" ref="U149">IFERROR(_xlfn.IFS(
S149="","",
--S149&lt;55,"Battery Defect",
--S149&lt;=69,"Battery D",
--S149&lt;=80,"Battery C",
--S149&gt;80,""
),"")</f>
        <v/>
      </c>
      <c r="V149" s="51" t="str" cm="1">
        <f t="array" ref="V149:AC149">IFERROR(IF(_xlfn.XLOOKUP(B149,Input!J:J,Input!N:U)=0,"",
          _xlfn.XLOOKUP(B149,Input!J:J,Input!N:U)),"")</f>
        <v/>
      </c>
      <c r="W149" s="51" t="str">
        <v/>
      </c>
      <c r="X149" s="51" t="str">
        <v/>
      </c>
      <c r="Y149" s="51" t="str">
        <v/>
      </c>
      <c r="Z149" s="51" t="str">
        <v/>
      </c>
      <c r="AA149" s="51" t="str">
        <v/>
      </c>
      <c r="AB149" s="51" t="str">
        <v/>
      </c>
      <c r="AC149" s="51" t="str">
        <v/>
      </c>
      <c r="AD149" s="32" t="str">
        <f t="shared" si="6"/>
        <v/>
      </c>
      <c r="AE149" s="32" t="str">
        <f>_xlfn.XLOOKUP(B:B,Disk_Pivot!G:G,Disk_Pivot!I:I)</f>
        <v>Yes x2</v>
      </c>
      <c r="AF149" s="32" t="str">
        <f>_xlfn.XLOOKUP(B149,Disk_Pivot!G:G,Disk_Pivot!N:N)</f>
        <v>Pass, Fail</v>
      </c>
      <c r="AG149" s="32"/>
      <c r="AH149" s="32"/>
      <c r="AI149" s="32"/>
      <c r="AJ149" s="32"/>
      <c r="AK149" s="32"/>
      <c r="AL149" s="32"/>
    </row>
    <row r="150" spans="1:38">
      <c r="A150" s="32" t="str">
        <f>_xlfn.TEXTJOIN("",TRUE,_xlfn.XLOOKUP(B150,Input!J:J,Input!G:G,"",0,1),_xlfn.XLOOKUP(B150,Input!J:J,Input!H:H,"",0,1))</f>
        <v/>
      </c>
      <c r="B150" s="32"/>
      <c r="C150" s="51">
        <f>_xlfn.XLOOKUP(B150,Input!J:J,Input!F:F)</f>
        <v>0</v>
      </c>
      <c r="D150" s="32">
        <f>_xlfn.XLOOKUP(C150,Models!H:H,Models!G:G,C150)</f>
        <v>0</v>
      </c>
      <c r="E150" s="32">
        <f>_xlfn.XLOOKUP(B150,Input!J:J,Input!E:E)</f>
        <v>0</v>
      </c>
      <c r="F150" s="32">
        <f>IF(E150="LENOVO",_xlfn.XLOOKUP(B150,Input!J:J,Input!K:K),_xlfn.XLOOKUP(B150,Input!J:J,Input!L:L))</f>
        <v>0</v>
      </c>
      <c r="G150" s="32"/>
      <c r="H150" s="32"/>
      <c r="I150" s="32">
        <f>_xlfn.XLOOKUP(B150,CPU_Formula!A:A,CPU_Formula!I:I)</f>
        <v>0</v>
      </c>
      <c r="J150" s="51" t="e">
        <f>INDEX(Input!$D$2:$AC$500,
       MATCH(B150, Input!$J$2:$J$500, 0),
       MATCH("Total Memory", Input!$D$1:$AC$1, 0))</f>
        <v>#N/A</v>
      </c>
      <c r="K150" s="51" t="e">
        <f>INDEX(Input!$D$2:$AC$500,
       MATCH(B150, Input!$J$2:$J$500, 0),
       MATCH("Memory Type", Input!$D$1:$AC$1, 0))</f>
        <v>#N/A</v>
      </c>
      <c r="L150" s="51" t="str" cm="1">
        <f t="array" ref="L150">IFERROR(_xlfn.FILTERXML("&lt;t&gt;&lt;s&gt;" &amp; SUBSTITUTE(K150," / ","&lt;/s&gt;&lt;s&gt;") &amp; "&lt;/s&gt;&lt;/t&gt;","(//s[contains(.,'DDR')])[1]"),"")</f>
        <v/>
      </c>
      <c r="M150" s="32" t="e">
        <f t="shared" si="8"/>
        <v>#N/A</v>
      </c>
      <c r="N150" s="51" t="e">
        <f>INDEX(Input!$D$2:$AC$500,
       MATCH(B150, Input!$J$2:$J$500, 0),
       MATCH("Disk Interface Type", Input!$D$1:$AC$1, 0))</f>
        <v>#N/A</v>
      </c>
      <c r="O150" s="51" t="str" cm="1">
        <f t="array" ref="O150">IFERROR(_xlfn.TEXTJOIN(", ", TRUE, _xlfn._xlws.FILTER(
    INDEX(Input!$D$2:$AC$500,,MATCH("Disk Capacity",Input!$D$1:$AC$1,0)),
    Input!$J$2:$J$500=B150
)), "")</f>
        <v/>
      </c>
      <c r="P150" s="32" t="e">
        <f t="shared" si="7"/>
        <v>#N/A</v>
      </c>
      <c r="Q150" s="51" t="e">
        <f>_xlfn.LET(_xlpm.Result,INDEX(Input!$D$2:$AC$500,
       MATCH(B150, Input!$J$2:$J$500, 0),
       MATCH("Capacity", Input!$D$1:$AC$1, 0)),IF(_xlpm.Result="","",_xlpm.Result))</f>
        <v>#N/A</v>
      </c>
      <c r="R150" s="51" t="e" cm="1">
        <f t="array" ref="R150">_xlfn.TEXTSPLIT(Q150," / ", ,TRUE,0,)</f>
        <v>#N/A</v>
      </c>
      <c r="S150" s="51"/>
      <c r="T150" s="51" t="str" cm="1">
        <f t="array" ref="T150">IFERROR(_xlfn.IFS(
R150="","",
--R150&lt;55,"Battery Defect",
--R150&lt;=69,"Battery D",
--R150&lt;=80,"Battery C",
--R150&gt;80,""
),"")</f>
        <v/>
      </c>
      <c r="U150" s="51" t="str" cm="1">
        <f t="array" ref="U150">IFERROR(_xlfn.IFS(
S150="","",
--S150&lt;55,"Battery Defect",
--S150&lt;=69,"Battery D",
--S150&lt;=80,"Battery C",
--S150&gt;80,""
),"")</f>
        <v/>
      </c>
      <c r="V150" s="51" t="str" cm="1">
        <f t="array" ref="V150:AC150">IFERROR(IF(_xlfn.XLOOKUP(B150,Input!J:J,Input!N:U)=0,"",
          _xlfn.XLOOKUP(B150,Input!J:J,Input!N:U)),"")</f>
        <v/>
      </c>
      <c r="W150" s="51" t="str">
        <v/>
      </c>
      <c r="X150" s="51" t="str">
        <v/>
      </c>
      <c r="Y150" s="51" t="str">
        <v/>
      </c>
      <c r="Z150" s="51" t="str">
        <v/>
      </c>
      <c r="AA150" s="51" t="str">
        <v/>
      </c>
      <c r="AB150" s="51" t="str">
        <v/>
      </c>
      <c r="AC150" s="51" t="str">
        <v/>
      </c>
      <c r="AD150" s="32" t="str">
        <f t="shared" si="6"/>
        <v/>
      </c>
      <c r="AE150" s="32" t="str">
        <f>_xlfn.XLOOKUP(B:B,Disk_Pivot!G:G,Disk_Pivot!I:I)</f>
        <v>Yes x2</v>
      </c>
      <c r="AF150" s="32" t="str">
        <f>_xlfn.XLOOKUP(B150,Disk_Pivot!G:G,Disk_Pivot!N:N)</f>
        <v>Pass, Fail</v>
      </c>
      <c r="AG150" s="32"/>
      <c r="AH150" s="32"/>
      <c r="AI150" s="32"/>
      <c r="AJ150" s="32"/>
      <c r="AK150" s="32"/>
      <c r="AL150" s="32"/>
    </row>
    <row r="151" spans="1:38">
      <c r="A151" s="32" t="str">
        <f>_xlfn.TEXTJOIN("",TRUE,_xlfn.XLOOKUP(B151,Input!J:J,Input!G:G,"",0,1),_xlfn.XLOOKUP(B151,Input!J:J,Input!H:H,"",0,1))</f>
        <v/>
      </c>
      <c r="B151" s="32"/>
      <c r="C151" s="51">
        <f>_xlfn.XLOOKUP(B151,Input!J:J,Input!F:F)</f>
        <v>0</v>
      </c>
      <c r="D151" s="32">
        <f>_xlfn.XLOOKUP(C151,Models!H:H,Models!G:G,C151)</f>
        <v>0</v>
      </c>
      <c r="E151" s="32">
        <f>_xlfn.XLOOKUP(B151,Input!J:J,Input!E:E)</f>
        <v>0</v>
      </c>
      <c r="F151" s="32">
        <f>IF(E151="LENOVO",_xlfn.XLOOKUP(B151,Input!J:J,Input!K:K),_xlfn.XLOOKUP(B151,Input!J:J,Input!L:L))</f>
        <v>0</v>
      </c>
      <c r="G151" s="32"/>
      <c r="H151" s="32"/>
      <c r="I151" s="32">
        <f>_xlfn.XLOOKUP(B151,CPU_Formula!A:A,CPU_Formula!I:I)</f>
        <v>0</v>
      </c>
      <c r="J151" s="51" t="e">
        <f>INDEX(Input!$D$2:$AC$500,
       MATCH(B151, Input!$J$2:$J$500, 0),
       MATCH("Total Memory", Input!$D$1:$AC$1, 0))</f>
        <v>#N/A</v>
      </c>
      <c r="K151" s="51" t="e">
        <f>INDEX(Input!$D$2:$AC$500,
       MATCH(B151, Input!$J$2:$J$500, 0),
       MATCH("Memory Type", Input!$D$1:$AC$1, 0))</f>
        <v>#N/A</v>
      </c>
      <c r="L151" s="51" t="str" cm="1">
        <f t="array" ref="L151">IFERROR(_xlfn.FILTERXML("&lt;t&gt;&lt;s&gt;" &amp; SUBSTITUTE(K151," / ","&lt;/s&gt;&lt;s&gt;") &amp; "&lt;/s&gt;&lt;/t&gt;","(//s[contains(.,'DDR')])[1]"),"")</f>
        <v/>
      </c>
      <c r="M151" s="32" t="e">
        <f t="shared" si="8"/>
        <v>#N/A</v>
      </c>
      <c r="N151" s="51" t="e">
        <f>INDEX(Input!$D$2:$AC$500,
       MATCH(B151, Input!$J$2:$J$500, 0),
       MATCH("Disk Interface Type", Input!$D$1:$AC$1, 0))</f>
        <v>#N/A</v>
      </c>
      <c r="O151" s="51" t="str" cm="1">
        <f t="array" ref="O151">IFERROR(_xlfn.TEXTJOIN(", ", TRUE, _xlfn._xlws.FILTER(
    INDEX(Input!$D$2:$AC$500,,MATCH("Disk Capacity",Input!$D$1:$AC$1,0)),
    Input!$J$2:$J$500=B151
)), "")</f>
        <v/>
      </c>
      <c r="P151" s="32" t="e">
        <f t="shared" si="7"/>
        <v>#N/A</v>
      </c>
      <c r="Q151" s="51" t="e">
        <f>_xlfn.LET(_xlpm.Result,INDEX(Input!$D$2:$AC$500,
       MATCH(B151, Input!$J$2:$J$500, 0),
       MATCH("Capacity", Input!$D$1:$AC$1, 0)),IF(_xlpm.Result="","",_xlpm.Result))</f>
        <v>#N/A</v>
      </c>
      <c r="R151" s="51" t="e" cm="1">
        <f t="array" ref="R151">_xlfn.TEXTSPLIT(Q151," / ", ,TRUE,0,)</f>
        <v>#N/A</v>
      </c>
      <c r="S151" s="51"/>
      <c r="T151" s="51" t="str" cm="1">
        <f t="array" ref="T151">IFERROR(_xlfn.IFS(
R151="","",
--R151&lt;55,"Battery Defect",
--R151&lt;=69,"Battery D",
--R151&lt;=80,"Battery C",
--R151&gt;80,""
),"")</f>
        <v/>
      </c>
      <c r="U151" s="51" t="str" cm="1">
        <f t="array" ref="U151">IFERROR(_xlfn.IFS(
S151="","",
--S151&lt;55,"Battery Defect",
--S151&lt;=69,"Battery D",
--S151&lt;=80,"Battery C",
--S151&gt;80,""
),"")</f>
        <v/>
      </c>
      <c r="V151" s="51" t="str" cm="1">
        <f t="array" ref="V151:AC151">IFERROR(IF(_xlfn.XLOOKUP(B151,Input!J:J,Input!N:U)=0,"",
          _xlfn.XLOOKUP(B151,Input!J:J,Input!N:U)),"")</f>
        <v/>
      </c>
      <c r="W151" s="51" t="str">
        <v/>
      </c>
      <c r="X151" s="51" t="str">
        <v/>
      </c>
      <c r="Y151" s="51" t="str">
        <v/>
      </c>
      <c r="Z151" s="51" t="str">
        <v/>
      </c>
      <c r="AA151" s="51" t="str">
        <v/>
      </c>
      <c r="AB151" s="51" t="str">
        <v/>
      </c>
      <c r="AC151" s="51" t="str">
        <v/>
      </c>
      <c r="AD151" s="32" t="str">
        <f t="shared" si="6"/>
        <v/>
      </c>
      <c r="AE151" s="32" t="str">
        <f>_xlfn.XLOOKUP(B:B,Disk_Pivot!G:G,Disk_Pivot!I:I)</f>
        <v>Yes x2</v>
      </c>
      <c r="AF151" s="32" t="str">
        <f>_xlfn.XLOOKUP(B151,Disk_Pivot!G:G,Disk_Pivot!N:N)</f>
        <v>Pass, Fail</v>
      </c>
      <c r="AG151" s="32"/>
      <c r="AH151" s="32"/>
      <c r="AI151" s="32"/>
      <c r="AJ151" s="32"/>
      <c r="AK151" s="32"/>
      <c r="AL151" s="32"/>
    </row>
    <row r="152" spans="1:38">
      <c r="A152" s="32" t="str">
        <f>_xlfn.TEXTJOIN("",TRUE,_xlfn.XLOOKUP(B152,Input!J:J,Input!G:G,"",0,1),_xlfn.XLOOKUP(B152,Input!J:J,Input!H:H,"",0,1))</f>
        <v/>
      </c>
      <c r="B152" s="32"/>
      <c r="C152" s="51">
        <f>_xlfn.XLOOKUP(B152,Input!J:J,Input!F:F)</f>
        <v>0</v>
      </c>
      <c r="D152" s="32">
        <f>_xlfn.XLOOKUP(C152,Models!H:H,Models!G:G,C152)</f>
        <v>0</v>
      </c>
      <c r="E152" s="32">
        <f>_xlfn.XLOOKUP(B152,Input!J:J,Input!E:E)</f>
        <v>0</v>
      </c>
      <c r="F152" s="32">
        <f>IF(E152="LENOVO",_xlfn.XLOOKUP(B152,Input!J:J,Input!K:K),_xlfn.XLOOKUP(B152,Input!J:J,Input!L:L))</f>
        <v>0</v>
      </c>
      <c r="G152" s="32"/>
      <c r="H152" s="32"/>
      <c r="I152" s="32">
        <f>_xlfn.XLOOKUP(B152,CPU_Formula!A:A,CPU_Formula!I:I)</f>
        <v>0</v>
      </c>
      <c r="J152" s="51" t="e">
        <f>INDEX(Input!$D$2:$AC$500,
       MATCH(B152, Input!$J$2:$J$500, 0),
       MATCH("Total Memory", Input!$D$1:$AC$1, 0))</f>
        <v>#N/A</v>
      </c>
      <c r="K152" s="51" t="e">
        <f>INDEX(Input!$D$2:$AC$500,
       MATCH(B152, Input!$J$2:$J$500, 0),
       MATCH("Memory Type", Input!$D$1:$AC$1, 0))</f>
        <v>#N/A</v>
      </c>
      <c r="L152" s="51" t="str" cm="1">
        <f t="array" ref="L152">IFERROR(_xlfn.FILTERXML("&lt;t&gt;&lt;s&gt;" &amp; SUBSTITUTE(K152," / ","&lt;/s&gt;&lt;s&gt;") &amp; "&lt;/s&gt;&lt;/t&gt;","(//s[contains(.,'DDR')])[1]"),"")</f>
        <v/>
      </c>
      <c r="M152" s="32" t="e">
        <f t="shared" si="8"/>
        <v>#N/A</v>
      </c>
      <c r="N152" s="51" t="e">
        <f>INDEX(Input!$D$2:$AC$500,
       MATCH(B152, Input!$J$2:$J$500, 0),
       MATCH("Disk Interface Type", Input!$D$1:$AC$1, 0))</f>
        <v>#N/A</v>
      </c>
      <c r="O152" s="51" t="str" cm="1">
        <f t="array" ref="O152">IFERROR(_xlfn.TEXTJOIN(", ", TRUE, _xlfn._xlws.FILTER(
    INDEX(Input!$D$2:$AC$500,,MATCH("Disk Capacity",Input!$D$1:$AC$1,0)),
    Input!$J$2:$J$500=B152
)), "")</f>
        <v/>
      </c>
      <c r="P152" s="32" t="e">
        <f t="shared" si="7"/>
        <v>#N/A</v>
      </c>
      <c r="Q152" s="51" t="e">
        <f>_xlfn.LET(_xlpm.Result,INDEX(Input!$D$2:$AC$500,
       MATCH(B152, Input!$J$2:$J$500, 0),
       MATCH("Capacity", Input!$D$1:$AC$1, 0)),IF(_xlpm.Result="","",_xlpm.Result))</f>
        <v>#N/A</v>
      </c>
      <c r="R152" s="51" t="e" cm="1">
        <f t="array" ref="R152">_xlfn.TEXTSPLIT(Q152," / ", ,TRUE,0,)</f>
        <v>#N/A</v>
      </c>
      <c r="S152" s="51"/>
      <c r="T152" s="51" t="str" cm="1">
        <f t="array" ref="T152">IFERROR(_xlfn.IFS(
R152="","",
--R152&lt;55,"Battery Defect",
--R152&lt;=69,"Battery D",
--R152&lt;=80,"Battery C",
--R152&gt;80,""
),"")</f>
        <v/>
      </c>
      <c r="U152" s="51" t="str" cm="1">
        <f t="array" ref="U152">IFERROR(_xlfn.IFS(
S152="","",
--S152&lt;55,"Battery Defect",
--S152&lt;=69,"Battery D",
--S152&lt;=80,"Battery C",
--S152&gt;80,""
),"")</f>
        <v/>
      </c>
      <c r="V152" s="51" t="str" cm="1">
        <f t="array" ref="V152:AC152">IFERROR(IF(_xlfn.XLOOKUP(B152,Input!J:J,Input!N:U)=0,"",
          _xlfn.XLOOKUP(B152,Input!J:J,Input!N:U)),"")</f>
        <v/>
      </c>
      <c r="W152" s="51" t="str">
        <v/>
      </c>
      <c r="X152" s="51" t="str">
        <v/>
      </c>
      <c r="Y152" s="51" t="str">
        <v/>
      </c>
      <c r="Z152" s="51" t="str">
        <v/>
      </c>
      <c r="AA152" s="51" t="str">
        <v/>
      </c>
      <c r="AB152" s="51" t="str">
        <v/>
      </c>
      <c r="AC152" s="51" t="str">
        <v/>
      </c>
      <c r="AD152" s="32" t="str">
        <f t="shared" si="6"/>
        <v/>
      </c>
      <c r="AE152" s="32" t="str">
        <f>_xlfn.XLOOKUP(B:B,Disk_Pivot!G:G,Disk_Pivot!I:I)</f>
        <v>Yes x2</v>
      </c>
      <c r="AF152" s="32" t="str">
        <f>_xlfn.XLOOKUP(B152,Disk_Pivot!G:G,Disk_Pivot!N:N)</f>
        <v>Pass, Fail</v>
      </c>
      <c r="AG152" s="32"/>
      <c r="AH152" s="32"/>
      <c r="AI152" s="32"/>
      <c r="AJ152" s="32"/>
      <c r="AK152" s="32"/>
      <c r="AL152" s="32"/>
    </row>
    <row r="153" spans="1:38">
      <c r="A153" s="32" t="str">
        <f>_xlfn.TEXTJOIN("",TRUE,_xlfn.XLOOKUP(B153,Input!J:J,Input!G:G,"",0,1),_xlfn.XLOOKUP(B153,Input!J:J,Input!H:H,"",0,1))</f>
        <v/>
      </c>
      <c r="B153" s="32"/>
      <c r="C153" s="51">
        <f>_xlfn.XLOOKUP(B153,Input!J:J,Input!F:F)</f>
        <v>0</v>
      </c>
      <c r="D153" s="32">
        <f>_xlfn.XLOOKUP(C153,Models!H:H,Models!G:G,C153)</f>
        <v>0</v>
      </c>
      <c r="E153" s="32">
        <f>_xlfn.XLOOKUP(B153,Input!J:J,Input!E:E)</f>
        <v>0</v>
      </c>
      <c r="F153" s="32">
        <f>IF(E153="LENOVO",_xlfn.XLOOKUP(B153,Input!J:J,Input!K:K),_xlfn.XLOOKUP(B153,Input!J:J,Input!L:L))</f>
        <v>0</v>
      </c>
      <c r="G153" s="32"/>
      <c r="H153" s="32"/>
      <c r="I153" s="32">
        <f>_xlfn.XLOOKUP(B153,CPU_Formula!A:A,CPU_Formula!I:I)</f>
        <v>0</v>
      </c>
      <c r="J153" s="51" t="e">
        <f>INDEX(Input!$D$2:$AC$500,
       MATCH(B153, Input!$J$2:$J$500, 0),
       MATCH("Total Memory", Input!$D$1:$AC$1, 0))</f>
        <v>#N/A</v>
      </c>
      <c r="K153" s="51" t="e">
        <f>INDEX(Input!$D$2:$AC$500,
       MATCH(B153, Input!$J$2:$J$500, 0),
       MATCH("Memory Type", Input!$D$1:$AC$1, 0))</f>
        <v>#N/A</v>
      </c>
      <c r="L153" s="51" t="str" cm="1">
        <f t="array" ref="L153">IFERROR(_xlfn.FILTERXML("&lt;t&gt;&lt;s&gt;" &amp; SUBSTITUTE(K153," / ","&lt;/s&gt;&lt;s&gt;") &amp; "&lt;/s&gt;&lt;/t&gt;","(//s[contains(.,'DDR')])[1]"),"")</f>
        <v/>
      </c>
      <c r="M153" s="32" t="e">
        <f t="shared" si="8"/>
        <v>#N/A</v>
      </c>
      <c r="N153" s="51" t="e">
        <f>INDEX(Input!$D$2:$AC$500,
       MATCH(B153, Input!$J$2:$J$500, 0),
       MATCH("Disk Interface Type", Input!$D$1:$AC$1, 0))</f>
        <v>#N/A</v>
      </c>
      <c r="O153" s="51" t="str" cm="1">
        <f t="array" ref="O153">IFERROR(_xlfn.TEXTJOIN(", ", TRUE, _xlfn._xlws.FILTER(
    INDEX(Input!$D$2:$AC$500,,MATCH("Disk Capacity",Input!$D$1:$AC$1,0)),
    Input!$J$2:$J$500=B153
)), "")</f>
        <v/>
      </c>
      <c r="P153" s="32" t="e">
        <f t="shared" si="7"/>
        <v>#N/A</v>
      </c>
      <c r="Q153" s="51" t="e">
        <f>_xlfn.LET(_xlpm.Result,INDEX(Input!$D$2:$AC$500,
       MATCH(B153, Input!$J$2:$J$500, 0),
       MATCH("Capacity", Input!$D$1:$AC$1, 0)),IF(_xlpm.Result="","",_xlpm.Result))</f>
        <v>#N/A</v>
      </c>
      <c r="R153" s="51" t="e" cm="1">
        <f t="array" ref="R153">_xlfn.TEXTSPLIT(Q153," / ", ,TRUE,0,)</f>
        <v>#N/A</v>
      </c>
      <c r="S153" s="51"/>
      <c r="T153" s="51" t="str" cm="1">
        <f t="array" ref="T153">IFERROR(_xlfn.IFS(
R153="","",
--R153&lt;55,"Battery Defect",
--R153&lt;=69,"Battery D",
--R153&lt;=80,"Battery C",
--R153&gt;80,""
),"")</f>
        <v/>
      </c>
      <c r="U153" s="51" t="str" cm="1">
        <f t="array" ref="U153">IFERROR(_xlfn.IFS(
S153="","",
--S153&lt;55,"Battery Defect",
--S153&lt;=69,"Battery D",
--S153&lt;=80,"Battery C",
--S153&gt;80,""
),"")</f>
        <v/>
      </c>
      <c r="V153" s="51" t="str" cm="1">
        <f t="array" ref="V153:AC153">IFERROR(IF(_xlfn.XLOOKUP(B153,Input!J:J,Input!N:U)=0,"",
          _xlfn.XLOOKUP(B153,Input!J:J,Input!N:U)),"")</f>
        <v/>
      </c>
      <c r="W153" s="51" t="str">
        <v/>
      </c>
      <c r="X153" s="51" t="str">
        <v/>
      </c>
      <c r="Y153" s="51" t="str">
        <v/>
      </c>
      <c r="Z153" s="51" t="str">
        <v/>
      </c>
      <c r="AA153" s="51" t="str">
        <v/>
      </c>
      <c r="AB153" s="51" t="str">
        <v/>
      </c>
      <c r="AC153" s="51" t="str">
        <v/>
      </c>
      <c r="AD153" s="32" t="str">
        <f t="shared" si="6"/>
        <v/>
      </c>
      <c r="AE153" s="32" t="str">
        <f>_xlfn.XLOOKUP(B:B,Disk_Pivot!G:G,Disk_Pivot!I:I)</f>
        <v>Yes x2</v>
      </c>
      <c r="AF153" s="32" t="str">
        <f>_xlfn.XLOOKUP(B153,Disk_Pivot!G:G,Disk_Pivot!N:N)</f>
        <v>Pass, Fail</v>
      </c>
      <c r="AG153" s="32"/>
      <c r="AH153" s="32"/>
      <c r="AI153" s="32"/>
      <c r="AJ153" s="32"/>
      <c r="AK153" s="32"/>
      <c r="AL153" s="32"/>
    </row>
    <row r="154" spans="1:38">
      <c r="A154" s="32" t="str">
        <f>_xlfn.TEXTJOIN("",TRUE,_xlfn.XLOOKUP(B154,Input!J:J,Input!G:G,"",0,1),_xlfn.XLOOKUP(B154,Input!J:J,Input!H:H,"",0,1))</f>
        <v/>
      </c>
      <c r="B154" s="32"/>
      <c r="C154" s="51">
        <f>_xlfn.XLOOKUP(B154,Input!J:J,Input!F:F)</f>
        <v>0</v>
      </c>
      <c r="D154" s="32">
        <f>_xlfn.XLOOKUP(C154,Models!H:H,Models!G:G,C154)</f>
        <v>0</v>
      </c>
      <c r="E154" s="32">
        <f>_xlfn.XLOOKUP(B154,Input!J:J,Input!E:E)</f>
        <v>0</v>
      </c>
      <c r="F154" s="32">
        <f>IF(E154="LENOVO",_xlfn.XLOOKUP(B154,Input!J:J,Input!K:K),_xlfn.XLOOKUP(B154,Input!J:J,Input!L:L))</f>
        <v>0</v>
      </c>
      <c r="G154" s="32"/>
      <c r="H154" s="32"/>
      <c r="I154" s="32">
        <f>_xlfn.XLOOKUP(B154,CPU_Formula!A:A,CPU_Formula!I:I)</f>
        <v>0</v>
      </c>
      <c r="J154" s="51" t="e">
        <f>INDEX(Input!$D$2:$AC$500,
       MATCH(B154, Input!$J$2:$J$500, 0),
       MATCH("Total Memory", Input!$D$1:$AC$1, 0))</f>
        <v>#N/A</v>
      </c>
      <c r="K154" s="51" t="e">
        <f>INDEX(Input!$D$2:$AC$500,
       MATCH(B154, Input!$J$2:$J$500, 0),
       MATCH("Memory Type", Input!$D$1:$AC$1, 0))</f>
        <v>#N/A</v>
      </c>
      <c r="L154" s="51" t="str" cm="1">
        <f t="array" ref="L154">IFERROR(_xlfn.FILTERXML("&lt;t&gt;&lt;s&gt;" &amp; SUBSTITUTE(K154," / ","&lt;/s&gt;&lt;s&gt;") &amp; "&lt;/s&gt;&lt;/t&gt;","(//s[contains(.,'DDR')])[1]"),"")</f>
        <v/>
      </c>
      <c r="M154" s="32" t="e">
        <f t="shared" si="8"/>
        <v>#N/A</v>
      </c>
      <c r="N154" s="51" t="e">
        <f>INDEX(Input!$D$2:$AC$500,
       MATCH(B154, Input!$J$2:$J$500, 0),
       MATCH("Disk Interface Type", Input!$D$1:$AC$1, 0))</f>
        <v>#N/A</v>
      </c>
      <c r="O154" s="51" t="str" cm="1">
        <f t="array" ref="O154">IFERROR(_xlfn.TEXTJOIN(", ", TRUE, _xlfn._xlws.FILTER(
    INDEX(Input!$D$2:$AC$500,,MATCH("Disk Capacity",Input!$D$1:$AC$1,0)),
    Input!$J$2:$J$500=B154
)), "")</f>
        <v/>
      </c>
      <c r="P154" s="32" t="e">
        <f t="shared" si="7"/>
        <v>#N/A</v>
      </c>
      <c r="Q154" s="51" t="e">
        <f>_xlfn.LET(_xlpm.Result,INDEX(Input!$D$2:$AC$500,
       MATCH(B154, Input!$J$2:$J$500, 0),
       MATCH("Capacity", Input!$D$1:$AC$1, 0)),IF(_xlpm.Result="","",_xlpm.Result))</f>
        <v>#N/A</v>
      </c>
      <c r="R154" s="51" t="e" cm="1">
        <f t="array" ref="R154">_xlfn.TEXTSPLIT(Q154," / ", ,TRUE,0,)</f>
        <v>#N/A</v>
      </c>
      <c r="S154" s="51"/>
      <c r="T154" s="51" t="str" cm="1">
        <f t="array" ref="T154">IFERROR(_xlfn.IFS(
R154="","",
--R154&lt;55,"Battery Defect",
--R154&lt;=69,"Battery D",
--R154&lt;=80,"Battery C",
--R154&gt;80,""
),"")</f>
        <v/>
      </c>
      <c r="U154" s="51" t="str" cm="1">
        <f t="array" ref="U154">IFERROR(_xlfn.IFS(
S154="","",
--S154&lt;55,"Battery Defect",
--S154&lt;=69,"Battery D",
--S154&lt;=80,"Battery C",
--S154&gt;80,""
),"")</f>
        <v/>
      </c>
      <c r="V154" s="51" t="str" cm="1">
        <f t="array" ref="V154:AC154">IFERROR(IF(_xlfn.XLOOKUP(B154,Input!J:J,Input!N:U)=0,"",
          _xlfn.XLOOKUP(B154,Input!J:J,Input!N:U)),"")</f>
        <v/>
      </c>
      <c r="W154" s="51" t="str">
        <v/>
      </c>
      <c r="X154" s="51" t="str">
        <v/>
      </c>
      <c r="Y154" s="51" t="str">
        <v/>
      </c>
      <c r="Z154" s="51" t="str">
        <v/>
      </c>
      <c r="AA154" s="51" t="str">
        <v/>
      </c>
      <c r="AB154" s="51" t="str">
        <v/>
      </c>
      <c r="AC154" s="51" t="str">
        <v/>
      </c>
      <c r="AD154" s="32" t="str">
        <f t="shared" si="6"/>
        <v/>
      </c>
      <c r="AE154" s="32" t="str">
        <f>_xlfn.XLOOKUP(B:B,Disk_Pivot!G:G,Disk_Pivot!I:I)</f>
        <v>Yes x2</v>
      </c>
      <c r="AF154" s="32" t="str">
        <f>_xlfn.XLOOKUP(B154,Disk_Pivot!G:G,Disk_Pivot!N:N)</f>
        <v>Pass, Fail</v>
      </c>
      <c r="AG154" s="32"/>
      <c r="AH154" s="32"/>
      <c r="AI154" s="32"/>
      <c r="AJ154" s="32"/>
      <c r="AK154" s="32"/>
      <c r="AL154" s="32"/>
    </row>
    <row r="155" spans="1:38">
      <c r="A155" s="32" t="str">
        <f>_xlfn.TEXTJOIN("",TRUE,_xlfn.XLOOKUP(B155,Input!J:J,Input!G:G,"",0,1),_xlfn.XLOOKUP(B155,Input!J:J,Input!H:H,"",0,1))</f>
        <v/>
      </c>
      <c r="B155" s="32"/>
      <c r="C155" s="51">
        <f>_xlfn.XLOOKUP(B155,Input!J:J,Input!F:F)</f>
        <v>0</v>
      </c>
      <c r="D155" s="32">
        <f>_xlfn.XLOOKUP(C155,Models!H:H,Models!G:G,C155)</f>
        <v>0</v>
      </c>
      <c r="E155" s="32">
        <f>_xlfn.XLOOKUP(B155,Input!J:J,Input!E:E)</f>
        <v>0</v>
      </c>
      <c r="F155" s="32">
        <f>IF(E155="LENOVO",_xlfn.XLOOKUP(B155,Input!J:J,Input!K:K),_xlfn.XLOOKUP(B155,Input!J:J,Input!L:L))</f>
        <v>0</v>
      </c>
      <c r="G155" s="32"/>
      <c r="H155" s="32"/>
      <c r="I155" s="32">
        <f>_xlfn.XLOOKUP(B155,CPU_Formula!A:A,CPU_Formula!I:I)</f>
        <v>0</v>
      </c>
      <c r="J155" s="51" t="e">
        <f>INDEX(Input!$D$2:$AC$500,
       MATCH(B155, Input!$J$2:$J$500, 0),
       MATCH("Total Memory", Input!$D$1:$AC$1, 0))</f>
        <v>#N/A</v>
      </c>
      <c r="K155" s="51" t="e">
        <f>INDEX(Input!$D$2:$AC$500,
       MATCH(B155, Input!$J$2:$J$500, 0),
       MATCH("Memory Type", Input!$D$1:$AC$1, 0))</f>
        <v>#N/A</v>
      </c>
      <c r="L155" s="51" t="str" cm="1">
        <f t="array" ref="L155">IFERROR(_xlfn.FILTERXML("&lt;t&gt;&lt;s&gt;" &amp; SUBSTITUTE(K155," / ","&lt;/s&gt;&lt;s&gt;") &amp; "&lt;/s&gt;&lt;/t&gt;","(//s[contains(.,'DDR')])[1]"),"")</f>
        <v/>
      </c>
      <c r="M155" s="32" t="e">
        <f t="shared" si="8"/>
        <v>#N/A</v>
      </c>
      <c r="N155" s="51" t="e">
        <f>INDEX(Input!$D$2:$AC$500,
       MATCH(B155, Input!$J$2:$J$500, 0),
       MATCH("Disk Interface Type", Input!$D$1:$AC$1, 0))</f>
        <v>#N/A</v>
      </c>
      <c r="O155" s="51" t="str" cm="1">
        <f t="array" ref="O155">IFERROR(_xlfn.TEXTJOIN(", ", TRUE, _xlfn._xlws.FILTER(
    INDEX(Input!$D$2:$AC$500,,MATCH("Disk Capacity",Input!$D$1:$AC$1,0)),
    Input!$J$2:$J$500=B155
)), "")</f>
        <v/>
      </c>
      <c r="P155" s="32" t="e">
        <f t="shared" si="7"/>
        <v>#N/A</v>
      </c>
      <c r="Q155" s="51" t="e">
        <f>_xlfn.LET(_xlpm.Result,INDEX(Input!$D$2:$AC$500,
       MATCH(B155, Input!$J$2:$J$500, 0),
       MATCH("Capacity", Input!$D$1:$AC$1, 0)),IF(_xlpm.Result="","",_xlpm.Result))</f>
        <v>#N/A</v>
      </c>
      <c r="R155" s="51" t="e" cm="1">
        <f t="array" ref="R155">_xlfn.TEXTSPLIT(Q155," / ", ,TRUE,0,)</f>
        <v>#N/A</v>
      </c>
      <c r="S155" s="51"/>
      <c r="T155" s="51" t="str" cm="1">
        <f t="array" ref="T155">IFERROR(_xlfn.IFS(
R155="","",
--R155&lt;55,"Battery Defect",
--R155&lt;=69,"Battery D",
--R155&lt;=80,"Battery C",
--R155&gt;80,""
),"")</f>
        <v/>
      </c>
      <c r="U155" s="51" t="str" cm="1">
        <f t="array" ref="U155">IFERROR(_xlfn.IFS(
S155="","",
--S155&lt;55,"Battery Defect",
--S155&lt;=69,"Battery D",
--S155&lt;=80,"Battery C",
--S155&gt;80,""
),"")</f>
        <v/>
      </c>
      <c r="V155" s="51" t="str" cm="1">
        <f t="array" ref="V155:AC155">IFERROR(IF(_xlfn.XLOOKUP(B155,Input!J:J,Input!N:U)=0,"",
          _xlfn.XLOOKUP(B155,Input!J:J,Input!N:U)),"")</f>
        <v/>
      </c>
      <c r="W155" s="51" t="str">
        <v/>
      </c>
      <c r="X155" s="51" t="str">
        <v/>
      </c>
      <c r="Y155" s="51" t="str">
        <v/>
      </c>
      <c r="Z155" s="51" t="str">
        <v/>
      </c>
      <c r="AA155" s="51" t="str">
        <v/>
      </c>
      <c r="AB155" s="51" t="str">
        <v/>
      </c>
      <c r="AC155" s="51" t="str">
        <v/>
      </c>
      <c r="AD155" s="32" t="str">
        <f t="shared" si="6"/>
        <v/>
      </c>
      <c r="AE155" s="32" t="str">
        <f>_xlfn.XLOOKUP(B:B,Disk_Pivot!G:G,Disk_Pivot!I:I)</f>
        <v>Yes x2</v>
      </c>
      <c r="AF155" s="32" t="str">
        <f>_xlfn.XLOOKUP(B155,Disk_Pivot!G:G,Disk_Pivot!N:N)</f>
        <v>Pass, Fail</v>
      </c>
      <c r="AG155" s="32"/>
      <c r="AH155" s="32"/>
      <c r="AI155" s="32"/>
      <c r="AJ155" s="32"/>
      <c r="AK155" s="32"/>
      <c r="AL155" s="32"/>
    </row>
    <row r="156" spans="1:38">
      <c r="A156" s="32" t="str">
        <f>_xlfn.TEXTJOIN("",TRUE,_xlfn.XLOOKUP(B156,Input!J:J,Input!G:G,"",0,1),_xlfn.XLOOKUP(B156,Input!J:J,Input!H:H,"",0,1))</f>
        <v/>
      </c>
      <c r="B156" s="32"/>
      <c r="C156" s="51">
        <f>_xlfn.XLOOKUP(B156,Input!J:J,Input!F:F)</f>
        <v>0</v>
      </c>
      <c r="D156" s="32">
        <f>_xlfn.XLOOKUP(C156,Models!H:H,Models!G:G,C156)</f>
        <v>0</v>
      </c>
      <c r="E156" s="32">
        <f>_xlfn.XLOOKUP(B156,Input!J:J,Input!E:E)</f>
        <v>0</v>
      </c>
      <c r="F156" s="32">
        <f>IF(E156="LENOVO",_xlfn.XLOOKUP(B156,Input!J:J,Input!K:K),_xlfn.XLOOKUP(B156,Input!J:J,Input!L:L))</f>
        <v>0</v>
      </c>
      <c r="G156" s="32"/>
      <c r="H156" s="32"/>
      <c r="I156" s="32">
        <f>_xlfn.XLOOKUP(B156,CPU_Formula!A:A,CPU_Formula!I:I)</f>
        <v>0</v>
      </c>
      <c r="J156" s="51" t="e">
        <f>INDEX(Input!$D$2:$AC$500,
       MATCH(B156, Input!$J$2:$J$500, 0),
       MATCH("Total Memory", Input!$D$1:$AC$1, 0))</f>
        <v>#N/A</v>
      </c>
      <c r="K156" s="51" t="e">
        <f>INDEX(Input!$D$2:$AC$500,
       MATCH(B156, Input!$J$2:$J$500, 0),
       MATCH("Memory Type", Input!$D$1:$AC$1, 0))</f>
        <v>#N/A</v>
      </c>
      <c r="L156" s="51" t="str" cm="1">
        <f t="array" ref="L156">IFERROR(_xlfn.FILTERXML("&lt;t&gt;&lt;s&gt;" &amp; SUBSTITUTE(K156," / ","&lt;/s&gt;&lt;s&gt;") &amp; "&lt;/s&gt;&lt;/t&gt;","(//s[contains(.,'DDR')])[1]"),"")</f>
        <v/>
      </c>
      <c r="M156" s="32" t="e">
        <f t="shared" si="8"/>
        <v>#N/A</v>
      </c>
      <c r="N156" s="51" t="e">
        <f>INDEX(Input!$D$2:$AC$500,
       MATCH(B156, Input!$J$2:$J$500, 0),
       MATCH("Disk Interface Type", Input!$D$1:$AC$1, 0))</f>
        <v>#N/A</v>
      </c>
      <c r="O156" s="51" t="str" cm="1">
        <f t="array" ref="O156">IFERROR(_xlfn.TEXTJOIN(", ", TRUE, _xlfn._xlws.FILTER(
    INDEX(Input!$D$2:$AC$500,,MATCH("Disk Capacity",Input!$D$1:$AC$1,0)),
    Input!$J$2:$J$500=B156
)), "")</f>
        <v/>
      </c>
      <c r="P156" s="32" t="e">
        <f t="shared" si="7"/>
        <v>#N/A</v>
      </c>
      <c r="Q156" s="51" t="e">
        <f>_xlfn.LET(_xlpm.Result,INDEX(Input!$D$2:$AC$500,
       MATCH(B156, Input!$J$2:$J$500, 0),
       MATCH("Capacity", Input!$D$1:$AC$1, 0)),IF(_xlpm.Result="","",_xlpm.Result))</f>
        <v>#N/A</v>
      </c>
      <c r="R156" s="51" t="e" cm="1">
        <f t="array" ref="R156">_xlfn.TEXTSPLIT(Q156," / ", ,TRUE,0,)</f>
        <v>#N/A</v>
      </c>
      <c r="S156" s="51"/>
      <c r="T156" s="51" t="str" cm="1">
        <f t="array" ref="T156">IFERROR(_xlfn.IFS(
R156="","",
--R156&lt;55,"Battery Defect",
--R156&lt;=69,"Battery D",
--R156&lt;=80,"Battery C",
--R156&gt;80,""
),"")</f>
        <v/>
      </c>
      <c r="U156" s="51" t="str" cm="1">
        <f t="array" ref="U156">IFERROR(_xlfn.IFS(
S156="","",
--S156&lt;55,"Battery Defect",
--S156&lt;=69,"Battery D",
--S156&lt;=80,"Battery C",
--S156&gt;80,""
),"")</f>
        <v/>
      </c>
      <c r="V156" s="51" t="str" cm="1">
        <f t="array" ref="V156:AC156">IFERROR(IF(_xlfn.XLOOKUP(B156,Input!J:J,Input!N:U)=0,"",
          _xlfn.XLOOKUP(B156,Input!J:J,Input!N:U)),"")</f>
        <v/>
      </c>
      <c r="W156" s="51" t="str">
        <v/>
      </c>
      <c r="X156" s="51" t="str">
        <v/>
      </c>
      <c r="Y156" s="51" t="str">
        <v/>
      </c>
      <c r="Z156" s="51" t="str">
        <v/>
      </c>
      <c r="AA156" s="51" t="str">
        <v/>
      </c>
      <c r="AB156" s="51" t="str">
        <v/>
      </c>
      <c r="AC156" s="51" t="str">
        <v/>
      </c>
      <c r="AD156" s="32" t="str">
        <f t="shared" si="6"/>
        <v/>
      </c>
      <c r="AE156" s="32" t="str">
        <f>_xlfn.XLOOKUP(B:B,Disk_Pivot!G:G,Disk_Pivot!I:I)</f>
        <v>Yes x2</v>
      </c>
      <c r="AF156" s="32" t="str">
        <f>_xlfn.XLOOKUP(B156,Disk_Pivot!G:G,Disk_Pivot!N:N)</f>
        <v>Pass, Fail</v>
      </c>
      <c r="AG156" s="32"/>
      <c r="AH156" s="32"/>
      <c r="AI156" s="32"/>
      <c r="AJ156" s="32"/>
      <c r="AK156" s="32"/>
      <c r="AL156" s="32"/>
    </row>
    <row r="157" spans="1:38">
      <c r="A157" s="32" t="str">
        <f>_xlfn.TEXTJOIN("",TRUE,_xlfn.XLOOKUP(B157,Input!J:J,Input!G:G,"",0,1),_xlfn.XLOOKUP(B157,Input!J:J,Input!H:H,"",0,1))</f>
        <v/>
      </c>
      <c r="B157" s="32"/>
      <c r="C157" s="51">
        <f>_xlfn.XLOOKUP(B157,Input!J:J,Input!F:F)</f>
        <v>0</v>
      </c>
      <c r="D157" s="32">
        <f>_xlfn.XLOOKUP(C157,Models!H:H,Models!G:G,C157)</f>
        <v>0</v>
      </c>
      <c r="E157" s="32">
        <f>_xlfn.XLOOKUP(B157,Input!J:J,Input!E:E)</f>
        <v>0</v>
      </c>
      <c r="F157" s="32">
        <f>IF(E157="LENOVO",_xlfn.XLOOKUP(B157,Input!J:J,Input!K:K),_xlfn.XLOOKUP(B157,Input!J:J,Input!L:L))</f>
        <v>0</v>
      </c>
      <c r="G157" s="32"/>
      <c r="H157" s="32"/>
      <c r="I157" s="32">
        <f>_xlfn.XLOOKUP(B157,CPU_Formula!A:A,CPU_Formula!I:I)</f>
        <v>0</v>
      </c>
      <c r="J157" s="51" t="e">
        <f>INDEX(Input!$D$2:$AC$500,
       MATCH(B157, Input!$J$2:$J$500, 0),
       MATCH("Total Memory", Input!$D$1:$AC$1, 0))</f>
        <v>#N/A</v>
      </c>
      <c r="K157" s="51" t="e">
        <f>INDEX(Input!$D$2:$AC$500,
       MATCH(B157, Input!$J$2:$J$500, 0),
       MATCH("Memory Type", Input!$D$1:$AC$1, 0))</f>
        <v>#N/A</v>
      </c>
      <c r="L157" s="51" t="str" cm="1">
        <f t="array" ref="L157">IFERROR(_xlfn.FILTERXML("&lt;t&gt;&lt;s&gt;" &amp; SUBSTITUTE(K157," / ","&lt;/s&gt;&lt;s&gt;") &amp; "&lt;/s&gt;&lt;/t&gt;","(//s[contains(.,'DDR')])[1]"),"")</f>
        <v/>
      </c>
      <c r="M157" s="32" t="e">
        <f t="shared" si="8"/>
        <v>#N/A</v>
      </c>
      <c r="N157" s="51" t="e">
        <f>INDEX(Input!$D$2:$AC$500,
       MATCH(B157, Input!$J$2:$J$500, 0),
       MATCH("Disk Interface Type", Input!$D$1:$AC$1, 0))</f>
        <v>#N/A</v>
      </c>
      <c r="O157" s="51" t="str" cm="1">
        <f t="array" ref="O157">IFERROR(_xlfn.TEXTJOIN(", ", TRUE, _xlfn._xlws.FILTER(
    INDEX(Input!$D$2:$AC$500,,MATCH("Disk Capacity",Input!$D$1:$AC$1,0)),
    Input!$J$2:$J$500=B157
)), "")</f>
        <v/>
      </c>
      <c r="P157" s="32" t="e">
        <f t="shared" si="7"/>
        <v>#N/A</v>
      </c>
      <c r="Q157" s="51" t="e">
        <f>_xlfn.LET(_xlpm.Result,INDEX(Input!$D$2:$AC$500,
       MATCH(B157, Input!$J$2:$J$500, 0),
       MATCH("Capacity", Input!$D$1:$AC$1, 0)),IF(_xlpm.Result="","",_xlpm.Result))</f>
        <v>#N/A</v>
      </c>
      <c r="R157" s="51" t="e" cm="1">
        <f t="array" ref="R157">_xlfn.TEXTSPLIT(Q157," / ", ,TRUE,0,)</f>
        <v>#N/A</v>
      </c>
      <c r="S157" s="51"/>
      <c r="T157" s="51" t="str" cm="1">
        <f t="array" ref="T157">IFERROR(_xlfn.IFS(
R157="","",
--R157&lt;55,"Battery Defect",
--R157&lt;=69,"Battery D",
--R157&lt;=80,"Battery C",
--R157&gt;80,""
),"")</f>
        <v/>
      </c>
      <c r="U157" s="51" t="str" cm="1">
        <f t="array" ref="U157">IFERROR(_xlfn.IFS(
S157="","",
--S157&lt;55,"Battery Defect",
--S157&lt;=69,"Battery D",
--S157&lt;=80,"Battery C",
--S157&gt;80,""
),"")</f>
        <v/>
      </c>
      <c r="V157" s="51" t="str" cm="1">
        <f t="array" ref="V157:AC157">IFERROR(IF(_xlfn.XLOOKUP(B157,Input!J:J,Input!N:U)=0,"",
          _xlfn.XLOOKUP(B157,Input!J:J,Input!N:U)),"")</f>
        <v/>
      </c>
      <c r="W157" s="51" t="str">
        <v/>
      </c>
      <c r="X157" s="51" t="str">
        <v/>
      </c>
      <c r="Y157" s="51" t="str">
        <v/>
      </c>
      <c r="Z157" s="51" t="str">
        <v/>
      </c>
      <c r="AA157" s="51" t="str">
        <v/>
      </c>
      <c r="AB157" s="51" t="str">
        <v/>
      </c>
      <c r="AC157" s="51" t="str">
        <v/>
      </c>
      <c r="AD157" s="32" t="str">
        <f t="shared" si="6"/>
        <v/>
      </c>
      <c r="AE157" s="32" t="str">
        <f>_xlfn.XLOOKUP(B:B,Disk_Pivot!G:G,Disk_Pivot!I:I)</f>
        <v>Yes x2</v>
      </c>
      <c r="AF157" s="32" t="str">
        <f>_xlfn.XLOOKUP(B157,Disk_Pivot!G:G,Disk_Pivot!N:N)</f>
        <v>Pass, Fail</v>
      </c>
      <c r="AG157" s="32"/>
      <c r="AH157" s="32"/>
      <c r="AI157" s="32"/>
      <c r="AJ157" s="32"/>
      <c r="AK157" s="32"/>
      <c r="AL157" s="32"/>
    </row>
    <row r="158" spans="1:38">
      <c r="A158" s="32" t="str">
        <f>_xlfn.TEXTJOIN("",TRUE,_xlfn.XLOOKUP(B158,Input!J:J,Input!G:G,"",0,1),_xlfn.XLOOKUP(B158,Input!J:J,Input!H:H,"",0,1))</f>
        <v/>
      </c>
      <c r="B158" s="32"/>
      <c r="C158" s="51">
        <f>_xlfn.XLOOKUP(B158,Input!J:J,Input!F:F)</f>
        <v>0</v>
      </c>
      <c r="D158" s="32">
        <f>_xlfn.XLOOKUP(C158,Models!H:H,Models!G:G,C158)</f>
        <v>0</v>
      </c>
      <c r="E158" s="32">
        <f>_xlfn.XLOOKUP(B158,Input!J:J,Input!E:E)</f>
        <v>0</v>
      </c>
      <c r="F158" s="32">
        <f>IF(E158="LENOVO",_xlfn.XLOOKUP(B158,Input!J:J,Input!K:K),_xlfn.XLOOKUP(B158,Input!J:J,Input!L:L))</f>
        <v>0</v>
      </c>
      <c r="G158" s="32"/>
      <c r="H158" s="32"/>
      <c r="I158" s="32">
        <f>_xlfn.XLOOKUP(B158,CPU_Formula!A:A,CPU_Formula!I:I)</f>
        <v>0</v>
      </c>
      <c r="J158" s="51" t="e">
        <f>INDEX(Input!$D$2:$AC$500,
       MATCH(B158, Input!$J$2:$J$500, 0),
       MATCH("Total Memory", Input!$D$1:$AC$1, 0))</f>
        <v>#N/A</v>
      </c>
      <c r="K158" s="51" t="e">
        <f>INDEX(Input!$D$2:$AC$500,
       MATCH(B158, Input!$J$2:$J$500, 0),
       MATCH("Memory Type", Input!$D$1:$AC$1, 0))</f>
        <v>#N/A</v>
      </c>
      <c r="L158" s="51" t="str" cm="1">
        <f t="array" ref="L158">IFERROR(_xlfn.FILTERXML("&lt;t&gt;&lt;s&gt;" &amp; SUBSTITUTE(K158," / ","&lt;/s&gt;&lt;s&gt;") &amp; "&lt;/s&gt;&lt;/t&gt;","(//s[contains(.,'DDR')])[1]"),"")</f>
        <v/>
      </c>
      <c r="M158" s="32" t="e">
        <f t="shared" si="8"/>
        <v>#N/A</v>
      </c>
      <c r="N158" s="51" t="e">
        <f>INDEX(Input!$D$2:$AC$500,
       MATCH(B158, Input!$J$2:$J$500, 0),
       MATCH("Disk Interface Type", Input!$D$1:$AC$1, 0))</f>
        <v>#N/A</v>
      </c>
      <c r="O158" s="51" t="str" cm="1">
        <f t="array" ref="O158">IFERROR(_xlfn.TEXTJOIN(", ", TRUE, _xlfn._xlws.FILTER(
    INDEX(Input!$D$2:$AC$500,,MATCH("Disk Capacity",Input!$D$1:$AC$1,0)),
    Input!$J$2:$J$500=B158
)), "")</f>
        <v/>
      </c>
      <c r="P158" s="32" t="e">
        <f t="shared" si="7"/>
        <v>#N/A</v>
      </c>
      <c r="Q158" s="51" t="e">
        <f>_xlfn.LET(_xlpm.Result,INDEX(Input!$D$2:$AC$500,
       MATCH(B158, Input!$J$2:$J$500, 0),
       MATCH("Capacity", Input!$D$1:$AC$1, 0)),IF(_xlpm.Result="","",_xlpm.Result))</f>
        <v>#N/A</v>
      </c>
      <c r="R158" s="51" t="e" cm="1">
        <f t="array" ref="R158">_xlfn.TEXTSPLIT(Q158," / ", ,TRUE,0,)</f>
        <v>#N/A</v>
      </c>
      <c r="S158" s="51"/>
      <c r="T158" s="51" t="str" cm="1">
        <f t="array" ref="T158">IFERROR(_xlfn.IFS(
R158="","",
--R158&lt;55,"Battery Defect",
--R158&lt;=69,"Battery D",
--R158&lt;=80,"Battery C",
--R158&gt;80,""
),"")</f>
        <v/>
      </c>
      <c r="U158" s="51" t="str" cm="1">
        <f t="array" ref="U158">IFERROR(_xlfn.IFS(
S158="","",
--S158&lt;55,"Battery Defect",
--S158&lt;=69,"Battery D",
--S158&lt;=80,"Battery C",
--S158&gt;80,""
),"")</f>
        <v/>
      </c>
      <c r="V158" s="51" t="str" cm="1">
        <f t="array" ref="V158:AC158">IFERROR(IF(_xlfn.XLOOKUP(B158,Input!J:J,Input!N:U)=0,"",
          _xlfn.XLOOKUP(B158,Input!J:J,Input!N:U)),"")</f>
        <v/>
      </c>
      <c r="W158" s="51" t="str">
        <v/>
      </c>
      <c r="X158" s="51" t="str">
        <v/>
      </c>
      <c r="Y158" s="51" t="str">
        <v/>
      </c>
      <c r="Z158" s="51" t="str">
        <v/>
      </c>
      <c r="AA158" s="51" t="str">
        <v/>
      </c>
      <c r="AB158" s="51" t="str">
        <v/>
      </c>
      <c r="AC158" s="51" t="str">
        <v/>
      </c>
      <c r="AD158" s="32" t="str">
        <f t="shared" si="6"/>
        <v/>
      </c>
      <c r="AE158" s="32" t="str">
        <f>_xlfn.XLOOKUP(B:B,Disk_Pivot!G:G,Disk_Pivot!I:I)</f>
        <v>Yes x2</v>
      </c>
      <c r="AF158" s="32" t="str">
        <f>_xlfn.XLOOKUP(B158,Disk_Pivot!G:G,Disk_Pivot!N:N)</f>
        <v>Pass, Fail</v>
      </c>
      <c r="AG158" s="32"/>
      <c r="AH158" s="32"/>
      <c r="AI158" s="32"/>
      <c r="AJ158" s="32"/>
      <c r="AK158" s="32"/>
      <c r="AL158" s="32"/>
    </row>
    <row r="159" spans="1:38">
      <c r="A159" s="32" t="str">
        <f>_xlfn.TEXTJOIN("",TRUE,_xlfn.XLOOKUP(B159,Input!J:J,Input!G:G,"",0,1),_xlfn.XLOOKUP(B159,Input!J:J,Input!H:H,"",0,1))</f>
        <v/>
      </c>
      <c r="B159" s="32"/>
      <c r="C159" s="51">
        <f>_xlfn.XLOOKUP(B159,Input!J:J,Input!F:F)</f>
        <v>0</v>
      </c>
      <c r="D159" s="32">
        <f>_xlfn.XLOOKUP(C159,Models!H:H,Models!G:G,C159)</f>
        <v>0</v>
      </c>
      <c r="E159" s="32">
        <f>_xlfn.XLOOKUP(B159,Input!J:J,Input!E:E)</f>
        <v>0</v>
      </c>
      <c r="F159" s="32">
        <f>IF(E159="LENOVO",_xlfn.XLOOKUP(B159,Input!J:J,Input!K:K),_xlfn.XLOOKUP(B159,Input!J:J,Input!L:L))</f>
        <v>0</v>
      </c>
      <c r="G159" s="32"/>
      <c r="H159" s="32"/>
      <c r="I159" s="32">
        <f>_xlfn.XLOOKUP(B159,CPU_Formula!A:A,CPU_Formula!I:I)</f>
        <v>0</v>
      </c>
      <c r="J159" s="51" t="e">
        <f>INDEX(Input!$D$2:$AC$500,
       MATCH(B159, Input!$J$2:$J$500, 0),
       MATCH("Total Memory", Input!$D$1:$AC$1, 0))</f>
        <v>#N/A</v>
      </c>
      <c r="K159" s="51" t="e">
        <f>INDEX(Input!$D$2:$AC$500,
       MATCH(B159, Input!$J$2:$J$500, 0),
       MATCH("Memory Type", Input!$D$1:$AC$1, 0))</f>
        <v>#N/A</v>
      </c>
      <c r="L159" s="51" t="str" cm="1">
        <f t="array" ref="L159">IFERROR(_xlfn.FILTERXML("&lt;t&gt;&lt;s&gt;" &amp; SUBSTITUTE(K159," / ","&lt;/s&gt;&lt;s&gt;") &amp; "&lt;/s&gt;&lt;/t&gt;","(//s[contains(.,'DDR')])[1]"),"")</f>
        <v/>
      </c>
      <c r="M159" s="32" t="e">
        <f t="shared" si="8"/>
        <v>#N/A</v>
      </c>
      <c r="N159" s="51" t="e">
        <f>INDEX(Input!$D$2:$AC$500,
       MATCH(B159, Input!$J$2:$J$500, 0),
       MATCH("Disk Interface Type", Input!$D$1:$AC$1, 0))</f>
        <v>#N/A</v>
      </c>
      <c r="O159" s="51" t="str" cm="1">
        <f t="array" ref="O159">IFERROR(_xlfn.TEXTJOIN(", ", TRUE, _xlfn._xlws.FILTER(
    INDEX(Input!$D$2:$AC$500,,MATCH("Disk Capacity",Input!$D$1:$AC$1,0)),
    Input!$J$2:$J$500=B159
)), "")</f>
        <v/>
      </c>
      <c r="P159" s="32" t="e">
        <f t="shared" si="7"/>
        <v>#N/A</v>
      </c>
      <c r="Q159" s="51" t="e">
        <f>_xlfn.LET(_xlpm.Result,INDEX(Input!$D$2:$AC$500,
       MATCH(B159, Input!$J$2:$J$500, 0),
       MATCH("Capacity", Input!$D$1:$AC$1, 0)),IF(_xlpm.Result="","",_xlpm.Result))</f>
        <v>#N/A</v>
      </c>
      <c r="R159" s="51" t="e" cm="1">
        <f t="array" ref="R159">_xlfn.TEXTSPLIT(Q159," / ", ,TRUE,0,)</f>
        <v>#N/A</v>
      </c>
      <c r="S159" s="51"/>
      <c r="T159" s="51" t="str" cm="1">
        <f t="array" ref="T159">IFERROR(_xlfn.IFS(
R159="","",
--R159&lt;55,"Battery Defect",
--R159&lt;=69,"Battery D",
--R159&lt;=80,"Battery C",
--R159&gt;80,""
),"")</f>
        <v/>
      </c>
      <c r="U159" s="51" t="str" cm="1">
        <f t="array" ref="U159">IFERROR(_xlfn.IFS(
S159="","",
--S159&lt;55,"Battery Defect",
--S159&lt;=69,"Battery D",
--S159&lt;=80,"Battery C",
--S159&gt;80,""
),"")</f>
        <v/>
      </c>
      <c r="V159" s="51" t="str" cm="1">
        <f t="array" ref="V159:AC159">IFERROR(IF(_xlfn.XLOOKUP(B159,Input!J:J,Input!N:U)=0,"",
          _xlfn.XLOOKUP(B159,Input!J:J,Input!N:U)),"")</f>
        <v/>
      </c>
      <c r="W159" s="51" t="str">
        <v/>
      </c>
      <c r="X159" s="51" t="str">
        <v/>
      </c>
      <c r="Y159" s="51" t="str">
        <v/>
      </c>
      <c r="Z159" s="51" t="str">
        <v/>
      </c>
      <c r="AA159" s="51" t="str">
        <v/>
      </c>
      <c r="AB159" s="51" t="str">
        <v/>
      </c>
      <c r="AC159" s="51" t="str">
        <v/>
      </c>
      <c r="AD159" s="32" t="str">
        <f t="shared" si="6"/>
        <v/>
      </c>
      <c r="AE159" s="32" t="str">
        <f>_xlfn.XLOOKUP(B:B,Disk_Pivot!G:G,Disk_Pivot!I:I)</f>
        <v>Yes x2</v>
      </c>
      <c r="AF159" s="32" t="str">
        <f>_xlfn.XLOOKUP(B159,Disk_Pivot!G:G,Disk_Pivot!N:N)</f>
        <v>Pass, Fail</v>
      </c>
      <c r="AG159" s="32"/>
      <c r="AH159" s="32"/>
      <c r="AI159" s="32"/>
      <c r="AJ159" s="32"/>
      <c r="AK159" s="32"/>
      <c r="AL159" s="32"/>
    </row>
    <row r="160" spans="1:38">
      <c r="A160" s="32" t="str">
        <f>_xlfn.TEXTJOIN("",TRUE,_xlfn.XLOOKUP(B160,Input!J:J,Input!G:G,"",0,1),_xlfn.XLOOKUP(B160,Input!J:J,Input!H:H,"",0,1))</f>
        <v/>
      </c>
      <c r="B160" s="32"/>
      <c r="C160" s="51">
        <f>_xlfn.XLOOKUP(B160,Input!J:J,Input!F:F)</f>
        <v>0</v>
      </c>
      <c r="D160" s="32">
        <f>_xlfn.XLOOKUP(C160,Models!H:H,Models!G:G,C160)</f>
        <v>0</v>
      </c>
      <c r="E160" s="32">
        <f>_xlfn.XLOOKUP(B160,Input!J:J,Input!E:E)</f>
        <v>0</v>
      </c>
      <c r="F160" s="32">
        <f>IF(E160="LENOVO",_xlfn.XLOOKUP(B160,Input!J:J,Input!K:K),_xlfn.XLOOKUP(B160,Input!J:J,Input!L:L))</f>
        <v>0</v>
      </c>
      <c r="G160" s="32"/>
      <c r="H160" s="32"/>
      <c r="I160" s="32">
        <f>_xlfn.XLOOKUP(B160,CPU_Formula!A:A,CPU_Formula!I:I)</f>
        <v>0</v>
      </c>
      <c r="J160" s="51" t="e">
        <f>INDEX(Input!$D$2:$AC$500,
       MATCH(B160, Input!$J$2:$J$500, 0),
       MATCH("Total Memory", Input!$D$1:$AC$1, 0))</f>
        <v>#N/A</v>
      </c>
      <c r="K160" s="51" t="e">
        <f>INDEX(Input!$D$2:$AC$500,
       MATCH(B160, Input!$J$2:$J$500, 0),
       MATCH("Memory Type", Input!$D$1:$AC$1, 0))</f>
        <v>#N/A</v>
      </c>
      <c r="L160" s="51" t="str" cm="1">
        <f t="array" ref="L160">IFERROR(_xlfn.FILTERXML("&lt;t&gt;&lt;s&gt;" &amp; SUBSTITUTE(K160," / ","&lt;/s&gt;&lt;s&gt;") &amp; "&lt;/s&gt;&lt;/t&gt;","(//s[contains(.,'DDR')])[1]"),"")</f>
        <v/>
      </c>
      <c r="M160" s="32" t="e">
        <f t="shared" si="8"/>
        <v>#N/A</v>
      </c>
      <c r="N160" s="51" t="e">
        <f>INDEX(Input!$D$2:$AC$500,
       MATCH(B160, Input!$J$2:$J$500, 0),
       MATCH("Disk Interface Type", Input!$D$1:$AC$1, 0))</f>
        <v>#N/A</v>
      </c>
      <c r="O160" s="51" t="str" cm="1">
        <f t="array" ref="O160">IFERROR(_xlfn.TEXTJOIN(", ", TRUE, _xlfn._xlws.FILTER(
    INDEX(Input!$D$2:$AC$500,,MATCH("Disk Capacity",Input!$D$1:$AC$1,0)),
    Input!$J$2:$J$500=B160
)), "")</f>
        <v/>
      </c>
      <c r="P160" s="32" t="e">
        <f t="shared" si="7"/>
        <v>#N/A</v>
      </c>
      <c r="Q160" s="51" t="e">
        <f>_xlfn.LET(_xlpm.Result,INDEX(Input!$D$2:$AC$500,
       MATCH(B160, Input!$J$2:$J$500, 0),
       MATCH("Capacity", Input!$D$1:$AC$1, 0)),IF(_xlpm.Result="","",_xlpm.Result))</f>
        <v>#N/A</v>
      </c>
      <c r="R160" s="51" t="e" cm="1">
        <f t="array" ref="R160">_xlfn.TEXTSPLIT(Q160," / ", ,TRUE,0,)</f>
        <v>#N/A</v>
      </c>
      <c r="S160" s="51"/>
      <c r="T160" s="51" t="str" cm="1">
        <f t="array" ref="T160">IFERROR(_xlfn.IFS(
R160="","",
--R160&lt;55,"Battery Defect",
--R160&lt;=69,"Battery D",
--R160&lt;=80,"Battery C",
--R160&gt;80,""
),"")</f>
        <v/>
      </c>
      <c r="U160" s="51" t="str" cm="1">
        <f t="array" ref="U160">IFERROR(_xlfn.IFS(
S160="","",
--S160&lt;55,"Battery Defect",
--S160&lt;=69,"Battery D",
--S160&lt;=80,"Battery C",
--S160&gt;80,""
),"")</f>
        <v/>
      </c>
      <c r="V160" s="51" t="str" cm="1">
        <f t="array" ref="V160:AC160">IFERROR(IF(_xlfn.XLOOKUP(B160,Input!J:J,Input!N:U)=0,"",
          _xlfn.XLOOKUP(B160,Input!J:J,Input!N:U)),"")</f>
        <v/>
      </c>
      <c r="W160" s="51" t="str">
        <v/>
      </c>
      <c r="X160" s="51" t="str">
        <v/>
      </c>
      <c r="Y160" s="51" t="str">
        <v/>
      </c>
      <c r="Z160" s="51" t="str">
        <v/>
      </c>
      <c r="AA160" s="51" t="str">
        <v/>
      </c>
      <c r="AB160" s="51" t="str">
        <v/>
      </c>
      <c r="AC160" s="51" t="str">
        <v/>
      </c>
      <c r="AD160" s="32" t="str">
        <f t="shared" si="6"/>
        <v/>
      </c>
      <c r="AE160" s="32" t="str">
        <f>_xlfn.XLOOKUP(B:B,Disk_Pivot!G:G,Disk_Pivot!I:I)</f>
        <v>Yes x2</v>
      </c>
      <c r="AF160" s="32" t="str">
        <f>_xlfn.XLOOKUP(B160,Disk_Pivot!G:G,Disk_Pivot!N:N)</f>
        <v>Pass, Fail</v>
      </c>
      <c r="AG160" s="32"/>
      <c r="AH160" s="32"/>
      <c r="AI160" s="32"/>
      <c r="AJ160" s="32"/>
      <c r="AK160" s="32"/>
      <c r="AL160" s="32"/>
    </row>
    <row r="161" spans="1:38">
      <c r="A161" s="32" t="str">
        <f>_xlfn.TEXTJOIN("",TRUE,_xlfn.XLOOKUP(B161,Input!J:J,Input!G:G,"",0,1),_xlfn.XLOOKUP(B161,Input!J:J,Input!H:H,"",0,1))</f>
        <v/>
      </c>
      <c r="B161" s="32"/>
      <c r="C161" s="51">
        <f>_xlfn.XLOOKUP(B161,Input!J:J,Input!F:F)</f>
        <v>0</v>
      </c>
      <c r="D161" s="32">
        <f>_xlfn.XLOOKUP(C161,Models!H:H,Models!G:G,C161)</f>
        <v>0</v>
      </c>
      <c r="E161" s="32">
        <f>_xlfn.XLOOKUP(B161,Input!J:J,Input!E:E)</f>
        <v>0</v>
      </c>
      <c r="F161" s="32">
        <f>IF(E161="LENOVO",_xlfn.XLOOKUP(B161,Input!J:J,Input!K:K),_xlfn.XLOOKUP(B161,Input!J:J,Input!L:L))</f>
        <v>0</v>
      </c>
      <c r="G161" s="32"/>
      <c r="H161" s="32"/>
      <c r="I161" s="32">
        <f>_xlfn.XLOOKUP(B161,CPU_Formula!A:A,CPU_Formula!I:I)</f>
        <v>0</v>
      </c>
      <c r="J161" s="51" t="e">
        <f>INDEX(Input!$D$2:$AC$500,
       MATCH(B161, Input!$J$2:$J$500, 0),
       MATCH("Total Memory", Input!$D$1:$AC$1, 0))</f>
        <v>#N/A</v>
      </c>
      <c r="K161" s="51" t="e">
        <f>INDEX(Input!$D$2:$AC$500,
       MATCH(B161, Input!$J$2:$J$500, 0),
       MATCH("Memory Type", Input!$D$1:$AC$1, 0))</f>
        <v>#N/A</v>
      </c>
      <c r="L161" s="51" t="str" cm="1">
        <f t="array" ref="L161">IFERROR(_xlfn.FILTERXML("&lt;t&gt;&lt;s&gt;" &amp; SUBSTITUTE(K161," / ","&lt;/s&gt;&lt;s&gt;") &amp; "&lt;/s&gt;&lt;/t&gt;","(//s[contains(.,'DDR')])[1]"),"")</f>
        <v/>
      </c>
      <c r="M161" s="32" t="e">
        <f t="shared" si="8"/>
        <v>#N/A</v>
      </c>
      <c r="N161" s="51" t="e">
        <f>INDEX(Input!$D$2:$AC$500,
       MATCH(B161, Input!$J$2:$J$500, 0),
       MATCH("Disk Interface Type", Input!$D$1:$AC$1, 0))</f>
        <v>#N/A</v>
      </c>
      <c r="O161" s="51" t="str" cm="1">
        <f t="array" ref="O161">IFERROR(_xlfn.TEXTJOIN(", ", TRUE, _xlfn._xlws.FILTER(
    INDEX(Input!$D$2:$AC$500,,MATCH("Disk Capacity",Input!$D$1:$AC$1,0)),
    Input!$J$2:$J$500=B161
)), "")</f>
        <v/>
      </c>
      <c r="P161" s="32" t="e">
        <f t="shared" si="7"/>
        <v>#N/A</v>
      </c>
      <c r="Q161" s="51" t="e">
        <f>_xlfn.LET(_xlpm.Result,INDEX(Input!$D$2:$AC$500,
       MATCH(B161, Input!$J$2:$J$500, 0),
       MATCH("Capacity", Input!$D$1:$AC$1, 0)),IF(_xlpm.Result="","",_xlpm.Result))</f>
        <v>#N/A</v>
      </c>
      <c r="R161" s="51" t="e" cm="1">
        <f t="array" ref="R161">_xlfn.TEXTSPLIT(Q161," / ", ,TRUE,0,)</f>
        <v>#N/A</v>
      </c>
      <c r="S161" s="51"/>
      <c r="T161" s="51" t="str" cm="1">
        <f t="array" ref="T161">IFERROR(_xlfn.IFS(
R161="","",
--R161&lt;55,"Battery Defect",
--R161&lt;=69,"Battery D",
--R161&lt;=80,"Battery C",
--R161&gt;80,""
),"")</f>
        <v/>
      </c>
      <c r="U161" s="51" t="str" cm="1">
        <f t="array" ref="U161">IFERROR(_xlfn.IFS(
S161="","",
--S161&lt;55,"Battery Defect",
--S161&lt;=69,"Battery D",
--S161&lt;=80,"Battery C",
--S161&gt;80,""
),"")</f>
        <v/>
      </c>
      <c r="V161" s="51" t="str" cm="1">
        <f t="array" ref="V161:AC161">IFERROR(IF(_xlfn.XLOOKUP(B161,Input!J:J,Input!N:U)=0,"",
          _xlfn.XLOOKUP(B161,Input!J:J,Input!N:U)),"")</f>
        <v/>
      </c>
      <c r="W161" s="51" t="str">
        <v/>
      </c>
      <c r="X161" s="51" t="str">
        <v/>
      </c>
      <c r="Y161" s="51" t="str">
        <v/>
      </c>
      <c r="Z161" s="51" t="str">
        <v/>
      </c>
      <c r="AA161" s="51" t="str">
        <v/>
      </c>
      <c r="AB161" s="51" t="str">
        <v/>
      </c>
      <c r="AC161" s="51" t="str">
        <v/>
      </c>
      <c r="AD161" s="32" t="str">
        <f t="shared" si="6"/>
        <v/>
      </c>
      <c r="AE161" s="32" t="str">
        <f>_xlfn.XLOOKUP(B:B,Disk_Pivot!G:G,Disk_Pivot!I:I)</f>
        <v>Yes x2</v>
      </c>
      <c r="AF161" s="32" t="str">
        <f>_xlfn.XLOOKUP(B161,Disk_Pivot!G:G,Disk_Pivot!N:N)</f>
        <v>Pass, Fail</v>
      </c>
      <c r="AG161" s="32"/>
      <c r="AH161" s="32"/>
      <c r="AI161" s="32"/>
      <c r="AJ161" s="32"/>
      <c r="AK161" s="32"/>
      <c r="AL161" s="32"/>
    </row>
    <row r="162" spans="1:38">
      <c r="A162" s="32" t="str">
        <f>_xlfn.TEXTJOIN("",TRUE,_xlfn.XLOOKUP(B162,Input!J:J,Input!G:G,"",0,1),_xlfn.XLOOKUP(B162,Input!J:J,Input!H:H,"",0,1))</f>
        <v/>
      </c>
      <c r="B162" s="32"/>
      <c r="C162" s="51">
        <f>_xlfn.XLOOKUP(B162,Input!J:J,Input!F:F)</f>
        <v>0</v>
      </c>
      <c r="D162" s="32">
        <f>_xlfn.XLOOKUP(C162,Models!H:H,Models!G:G,C162)</f>
        <v>0</v>
      </c>
      <c r="E162" s="32">
        <f>_xlfn.XLOOKUP(B162,Input!J:J,Input!E:E)</f>
        <v>0</v>
      </c>
      <c r="F162" s="32">
        <f>IF(E162="LENOVO",_xlfn.XLOOKUP(B162,Input!J:J,Input!K:K),_xlfn.XLOOKUP(B162,Input!J:J,Input!L:L))</f>
        <v>0</v>
      </c>
      <c r="G162" s="32"/>
      <c r="H162" s="32"/>
      <c r="I162" s="32">
        <f>_xlfn.XLOOKUP(B162,CPU_Formula!A:A,CPU_Formula!I:I)</f>
        <v>0</v>
      </c>
      <c r="J162" s="51" t="e">
        <f>INDEX(Input!$D$2:$AC$500,
       MATCH(B162, Input!$J$2:$J$500, 0),
       MATCH("Total Memory", Input!$D$1:$AC$1, 0))</f>
        <v>#N/A</v>
      </c>
      <c r="K162" s="51" t="e">
        <f>INDEX(Input!$D$2:$AC$500,
       MATCH(B162, Input!$J$2:$J$500, 0),
       MATCH("Memory Type", Input!$D$1:$AC$1, 0))</f>
        <v>#N/A</v>
      </c>
      <c r="L162" s="51" t="str" cm="1">
        <f t="array" ref="L162">IFERROR(_xlfn.FILTERXML("&lt;t&gt;&lt;s&gt;" &amp; SUBSTITUTE(K162," / ","&lt;/s&gt;&lt;s&gt;") &amp; "&lt;/s&gt;&lt;/t&gt;","(//s[contains(.,'DDR')])[1]"),"")</f>
        <v/>
      </c>
      <c r="M162" s="32" t="e">
        <f t="shared" si="8"/>
        <v>#N/A</v>
      </c>
      <c r="N162" s="51" t="e">
        <f>INDEX(Input!$D$2:$AC$500,
       MATCH(B162, Input!$J$2:$J$500, 0),
       MATCH("Disk Interface Type", Input!$D$1:$AC$1, 0))</f>
        <v>#N/A</v>
      </c>
      <c r="O162" s="51" t="str" cm="1">
        <f t="array" ref="O162">IFERROR(_xlfn.TEXTJOIN(", ", TRUE, _xlfn._xlws.FILTER(
    INDEX(Input!$D$2:$AC$500,,MATCH("Disk Capacity",Input!$D$1:$AC$1,0)),
    Input!$J$2:$J$500=B162
)), "")</f>
        <v/>
      </c>
      <c r="P162" s="32" t="e">
        <f t="shared" si="7"/>
        <v>#N/A</v>
      </c>
      <c r="Q162" s="51" t="e">
        <f>_xlfn.LET(_xlpm.Result,INDEX(Input!$D$2:$AC$500,
       MATCH(B162, Input!$J$2:$J$500, 0),
       MATCH("Capacity", Input!$D$1:$AC$1, 0)),IF(_xlpm.Result="","",_xlpm.Result))</f>
        <v>#N/A</v>
      </c>
      <c r="R162" s="51" t="e" cm="1">
        <f t="array" ref="R162">_xlfn.TEXTSPLIT(Q162," / ", ,TRUE,0,)</f>
        <v>#N/A</v>
      </c>
      <c r="S162" s="51"/>
      <c r="T162" s="51" t="str" cm="1">
        <f t="array" ref="T162">IFERROR(_xlfn.IFS(
R162="","",
--R162&lt;55,"Battery Defect",
--R162&lt;=69,"Battery D",
--R162&lt;=80,"Battery C",
--R162&gt;80,""
),"")</f>
        <v/>
      </c>
      <c r="U162" s="51" t="str" cm="1">
        <f t="array" ref="U162">IFERROR(_xlfn.IFS(
S162="","",
--S162&lt;55,"Battery Defect",
--S162&lt;=69,"Battery D",
--S162&lt;=80,"Battery C",
--S162&gt;80,""
),"")</f>
        <v/>
      </c>
      <c r="V162" s="51" t="str" cm="1">
        <f t="array" ref="V162:AC162">IFERROR(IF(_xlfn.XLOOKUP(B162,Input!J:J,Input!N:U)=0,"",
          _xlfn.XLOOKUP(B162,Input!J:J,Input!N:U)),"")</f>
        <v/>
      </c>
      <c r="W162" s="51" t="str">
        <v/>
      </c>
      <c r="X162" s="51" t="str">
        <v/>
      </c>
      <c r="Y162" s="51" t="str">
        <v/>
      </c>
      <c r="Z162" s="51" t="str">
        <v/>
      </c>
      <c r="AA162" s="51" t="str">
        <v/>
      </c>
      <c r="AB162" s="51" t="str">
        <v/>
      </c>
      <c r="AC162" s="51" t="str">
        <v/>
      </c>
      <c r="AD162" s="32" t="str">
        <f t="shared" si="6"/>
        <v/>
      </c>
      <c r="AE162" s="32" t="str">
        <f>_xlfn.XLOOKUP(B:B,Disk_Pivot!G:G,Disk_Pivot!I:I)</f>
        <v>Yes x2</v>
      </c>
      <c r="AF162" s="32" t="str">
        <f>_xlfn.XLOOKUP(B162,Disk_Pivot!G:G,Disk_Pivot!N:N)</f>
        <v>Pass, Fail</v>
      </c>
      <c r="AG162" s="32"/>
      <c r="AH162" s="32"/>
      <c r="AI162" s="32"/>
      <c r="AJ162" s="32"/>
      <c r="AK162" s="32"/>
      <c r="AL162" s="32"/>
    </row>
    <row r="163" spans="1:38">
      <c r="A163" s="32" t="str">
        <f>_xlfn.TEXTJOIN("",TRUE,_xlfn.XLOOKUP(B163,Input!J:J,Input!G:G,"",0,1),_xlfn.XLOOKUP(B163,Input!J:J,Input!H:H,"",0,1))</f>
        <v/>
      </c>
      <c r="B163" s="32"/>
      <c r="C163" s="51">
        <f>_xlfn.XLOOKUP(B163,Input!J:J,Input!F:F)</f>
        <v>0</v>
      </c>
      <c r="D163" s="32">
        <f>_xlfn.XLOOKUP(C163,Models!H:H,Models!G:G,C163)</f>
        <v>0</v>
      </c>
      <c r="E163" s="32">
        <f>_xlfn.XLOOKUP(B163,Input!J:J,Input!E:E)</f>
        <v>0</v>
      </c>
      <c r="F163" s="32">
        <f>IF(E163="LENOVO",_xlfn.XLOOKUP(B163,Input!J:J,Input!K:K),_xlfn.XLOOKUP(B163,Input!J:J,Input!L:L))</f>
        <v>0</v>
      </c>
      <c r="G163" s="32"/>
      <c r="H163" s="32"/>
      <c r="I163" s="32">
        <f>_xlfn.XLOOKUP(B163,CPU_Formula!A:A,CPU_Formula!I:I)</f>
        <v>0</v>
      </c>
      <c r="J163" s="51" t="e">
        <f>INDEX(Input!$D$2:$AC$500,
       MATCH(B163, Input!$J$2:$J$500, 0),
       MATCH("Total Memory", Input!$D$1:$AC$1, 0))</f>
        <v>#N/A</v>
      </c>
      <c r="K163" s="51" t="e">
        <f>INDEX(Input!$D$2:$AC$500,
       MATCH(B163, Input!$J$2:$J$500, 0),
       MATCH("Memory Type", Input!$D$1:$AC$1, 0))</f>
        <v>#N/A</v>
      </c>
      <c r="L163" s="51" t="str" cm="1">
        <f t="array" ref="L163">IFERROR(_xlfn.FILTERXML("&lt;t&gt;&lt;s&gt;" &amp; SUBSTITUTE(K163," / ","&lt;/s&gt;&lt;s&gt;") &amp; "&lt;/s&gt;&lt;/t&gt;","(//s[contains(.,'DDR')])[1]"),"")</f>
        <v/>
      </c>
      <c r="M163" s="32" t="e">
        <f t="shared" si="8"/>
        <v>#N/A</v>
      </c>
      <c r="N163" s="51" t="e">
        <f>INDEX(Input!$D$2:$AC$500,
       MATCH(B163, Input!$J$2:$J$500, 0),
       MATCH("Disk Interface Type", Input!$D$1:$AC$1, 0))</f>
        <v>#N/A</v>
      </c>
      <c r="O163" s="51" t="str" cm="1">
        <f t="array" ref="O163">IFERROR(_xlfn.TEXTJOIN(", ", TRUE, _xlfn._xlws.FILTER(
    INDEX(Input!$D$2:$AC$500,,MATCH("Disk Capacity",Input!$D$1:$AC$1,0)),
    Input!$J$2:$J$500=B163
)), "")</f>
        <v/>
      </c>
      <c r="P163" s="32" t="e">
        <f t="shared" si="7"/>
        <v>#N/A</v>
      </c>
      <c r="Q163" s="51" t="e">
        <f>_xlfn.LET(_xlpm.Result,INDEX(Input!$D$2:$AC$500,
       MATCH(B163, Input!$J$2:$J$500, 0),
       MATCH("Capacity", Input!$D$1:$AC$1, 0)),IF(_xlpm.Result="","",_xlpm.Result))</f>
        <v>#N/A</v>
      </c>
      <c r="R163" s="51" t="e" cm="1">
        <f t="array" ref="R163">_xlfn.TEXTSPLIT(Q163," / ", ,TRUE,0,)</f>
        <v>#N/A</v>
      </c>
      <c r="S163" s="51"/>
      <c r="T163" s="51" t="str" cm="1">
        <f t="array" ref="T163">IFERROR(_xlfn.IFS(
R163="","",
--R163&lt;55,"Battery Defect",
--R163&lt;=69,"Battery D",
--R163&lt;=80,"Battery C",
--R163&gt;80,""
),"")</f>
        <v/>
      </c>
      <c r="U163" s="51" t="str" cm="1">
        <f t="array" ref="U163">IFERROR(_xlfn.IFS(
S163="","",
--S163&lt;55,"Battery Defect",
--S163&lt;=69,"Battery D",
--S163&lt;=80,"Battery C",
--S163&gt;80,""
),"")</f>
        <v/>
      </c>
      <c r="V163" s="51" t="str" cm="1">
        <f t="array" ref="V163:AC163">IFERROR(IF(_xlfn.XLOOKUP(B163,Input!J:J,Input!N:U)=0,"",
          _xlfn.XLOOKUP(B163,Input!J:J,Input!N:U)),"")</f>
        <v/>
      </c>
      <c r="W163" s="51" t="str">
        <v/>
      </c>
      <c r="X163" s="51" t="str">
        <v/>
      </c>
      <c r="Y163" s="51" t="str">
        <v/>
      </c>
      <c r="Z163" s="51" t="str">
        <v/>
      </c>
      <c r="AA163" s="51" t="str">
        <v/>
      </c>
      <c r="AB163" s="51" t="str">
        <v/>
      </c>
      <c r="AC163" s="51" t="str">
        <v/>
      </c>
      <c r="AD163" s="32" t="str">
        <f t="shared" si="6"/>
        <v/>
      </c>
      <c r="AE163" s="32" t="str">
        <f>_xlfn.XLOOKUP(B:B,Disk_Pivot!G:G,Disk_Pivot!I:I)</f>
        <v>Yes x2</v>
      </c>
      <c r="AF163" s="32" t="str">
        <f>_xlfn.XLOOKUP(B163,Disk_Pivot!G:G,Disk_Pivot!N:N)</f>
        <v>Pass, Fail</v>
      </c>
      <c r="AG163" s="32"/>
      <c r="AH163" s="32"/>
      <c r="AI163" s="32"/>
      <c r="AJ163" s="32"/>
      <c r="AK163" s="32"/>
      <c r="AL163" s="32"/>
    </row>
    <row r="164" spans="1:38">
      <c r="A164" s="32" t="str">
        <f>_xlfn.TEXTJOIN("",TRUE,_xlfn.XLOOKUP(B164,Input!J:J,Input!G:G,"",0,1),_xlfn.XLOOKUP(B164,Input!J:J,Input!H:H,"",0,1))</f>
        <v/>
      </c>
      <c r="B164" s="32"/>
      <c r="C164" s="51">
        <f>_xlfn.XLOOKUP(B164,Input!J:J,Input!F:F)</f>
        <v>0</v>
      </c>
      <c r="D164" s="32">
        <f>_xlfn.XLOOKUP(C164,Models!H:H,Models!G:G,C164)</f>
        <v>0</v>
      </c>
      <c r="E164" s="32">
        <f>_xlfn.XLOOKUP(B164,Input!J:J,Input!E:E)</f>
        <v>0</v>
      </c>
      <c r="F164" s="32">
        <f>IF(E164="LENOVO",_xlfn.XLOOKUP(B164,Input!J:J,Input!K:K),_xlfn.XLOOKUP(B164,Input!J:J,Input!L:L))</f>
        <v>0</v>
      </c>
      <c r="G164" s="32"/>
      <c r="H164" s="32"/>
      <c r="I164" s="32">
        <f>_xlfn.XLOOKUP(B164,CPU_Formula!A:A,CPU_Formula!I:I)</f>
        <v>0</v>
      </c>
      <c r="J164" s="51" t="e">
        <f>INDEX(Input!$D$2:$AC$500,
       MATCH(B164, Input!$J$2:$J$500, 0),
       MATCH("Total Memory", Input!$D$1:$AC$1, 0))</f>
        <v>#N/A</v>
      </c>
      <c r="K164" s="51" t="e">
        <f>INDEX(Input!$D$2:$AC$500,
       MATCH(B164, Input!$J$2:$J$500, 0),
       MATCH("Memory Type", Input!$D$1:$AC$1, 0))</f>
        <v>#N/A</v>
      </c>
      <c r="L164" s="51" t="str" cm="1">
        <f t="array" ref="L164">IFERROR(_xlfn.FILTERXML("&lt;t&gt;&lt;s&gt;" &amp; SUBSTITUTE(K164," / ","&lt;/s&gt;&lt;s&gt;") &amp; "&lt;/s&gt;&lt;/t&gt;","(//s[contains(.,'DDR')])[1]"),"")</f>
        <v/>
      </c>
      <c r="M164" s="32" t="e">
        <f t="shared" si="8"/>
        <v>#N/A</v>
      </c>
      <c r="N164" s="51" t="e">
        <f>INDEX(Input!$D$2:$AC$500,
       MATCH(B164, Input!$J$2:$J$500, 0),
       MATCH("Disk Interface Type", Input!$D$1:$AC$1, 0))</f>
        <v>#N/A</v>
      </c>
      <c r="O164" s="51" t="str" cm="1">
        <f t="array" ref="O164">IFERROR(_xlfn.TEXTJOIN(", ", TRUE, _xlfn._xlws.FILTER(
    INDEX(Input!$D$2:$AC$500,,MATCH("Disk Capacity",Input!$D$1:$AC$1,0)),
    Input!$J$2:$J$500=B164
)), "")</f>
        <v/>
      </c>
      <c r="P164" s="32" t="e">
        <f t="shared" si="7"/>
        <v>#N/A</v>
      </c>
      <c r="Q164" s="51" t="e">
        <f>_xlfn.LET(_xlpm.Result,INDEX(Input!$D$2:$AC$500,
       MATCH(B164, Input!$J$2:$J$500, 0),
       MATCH("Capacity", Input!$D$1:$AC$1, 0)),IF(_xlpm.Result="","",_xlpm.Result))</f>
        <v>#N/A</v>
      </c>
      <c r="R164" s="51" t="e" cm="1">
        <f t="array" ref="R164">_xlfn.TEXTSPLIT(Q164," / ", ,TRUE,0,)</f>
        <v>#N/A</v>
      </c>
      <c r="S164" s="51"/>
      <c r="T164" s="51" t="str" cm="1">
        <f t="array" ref="T164">IFERROR(_xlfn.IFS(
R164="","",
--R164&lt;55,"Battery Defect",
--R164&lt;=69,"Battery D",
--R164&lt;=80,"Battery C",
--R164&gt;80,""
),"")</f>
        <v/>
      </c>
      <c r="U164" s="51" t="str" cm="1">
        <f t="array" ref="U164">IFERROR(_xlfn.IFS(
S164="","",
--S164&lt;55,"Battery Defect",
--S164&lt;=69,"Battery D",
--S164&lt;=80,"Battery C",
--S164&gt;80,""
),"")</f>
        <v/>
      </c>
      <c r="V164" s="51" t="str" cm="1">
        <f t="array" ref="V164:AC164">IFERROR(IF(_xlfn.XLOOKUP(B164,Input!J:J,Input!N:U)=0,"",
          _xlfn.XLOOKUP(B164,Input!J:J,Input!N:U)),"")</f>
        <v/>
      </c>
      <c r="W164" s="51" t="str">
        <v/>
      </c>
      <c r="X164" s="51" t="str">
        <v/>
      </c>
      <c r="Y164" s="51" t="str">
        <v/>
      </c>
      <c r="Z164" s="51" t="str">
        <v/>
      </c>
      <c r="AA164" s="51" t="str">
        <v/>
      </c>
      <c r="AB164" s="51" t="str">
        <v/>
      </c>
      <c r="AC164" s="51" t="str">
        <v/>
      </c>
      <c r="AD164" s="32" t="str">
        <f t="shared" si="6"/>
        <v/>
      </c>
      <c r="AE164" s="32" t="str">
        <f>_xlfn.XLOOKUP(B:B,Disk_Pivot!G:G,Disk_Pivot!I:I)</f>
        <v>Yes x2</v>
      </c>
      <c r="AF164" s="32" t="str">
        <f>_xlfn.XLOOKUP(B164,Disk_Pivot!G:G,Disk_Pivot!N:N)</f>
        <v>Pass, Fail</v>
      </c>
      <c r="AG164" s="32"/>
      <c r="AH164" s="32"/>
      <c r="AI164" s="32"/>
      <c r="AJ164" s="32"/>
      <c r="AK164" s="32"/>
      <c r="AL164" s="32"/>
    </row>
    <row r="165" spans="1:38">
      <c r="A165" s="32" t="str">
        <f>_xlfn.TEXTJOIN("",TRUE,_xlfn.XLOOKUP(B165,Input!J:J,Input!G:G,"",0,1),_xlfn.XLOOKUP(B165,Input!J:J,Input!H:H,"",0,1))</f>
        <v/>
      </c>
      <c r="B165" s="32"/>
      <c r="C165" s="51">
        <f>_xlfn.XLOOKUP(B165,Input!J:J,Input!F:F)</f>
        <v>0</v>
      </c>
      <c r="D165" s="32">
        <f>_xlfn.XLOOKUP(C165,Models!H:H,Models!G:G,C165)</f>
        <v>0</v>
      </c>
      <c r="E165" s="32">
        <f>_xlfn.XLOOKUP(B165,Input!J:J,Input!E:E)</f>
        <v>0</v>
      </c>
      <c r="F165" s="32">
        <f>IF(E165="LENOVO",_xlfn.XLOOKUP(B165,Input!J:J,Input!K:K),_xlfn.XLOOKUP(B165,Input!J:J,Input!L:L))</f>
        <v>0</v>
      </c>
      <c r="G165" s="32"/>
      <c r="H165" s="32"/>
      <c r="I165" s="32">
        <f>_xlfn.XLOOKUP(B165,CPU_Formula!A:A,CPU_Formula!I:I)</f>
        <v>0</v>
      </c>
      <c r="J165" s="51" t="e">
        <f>INDEX(Input!$D$2:$AC$500,
       MATCH(B165, Input!$J$2:$J$500, 0),
       MATCH("Total Memory", Input!$D$1:$AC$1, 0))</f>
        <v>#N/A</v>
      </c>
      <c r="K165" s="51" t="e">
        <f>INDEX(Input!$D$2:$AC$500,
       MATCH(B165, Input!$J$2:$J$500, 0),
       MATCH("Memory Type", Input!$D$1:$AC$1, 0))</f>
        <v>#N/A</v>
      </c>
      <c r="L165" s="51" t="str" cm="1">
        <f t="array" ref="L165">IFERROR(_xlfn.FILTERXML("&lt;t&gt;&lt;s&gt;" &amp; SUBSTITUTE(K165," / ","&lt;/s&gt;&lt;s&gt;") &amp; "&lt;/s&gt;&lt;/t&gt;","(//s[contains(.,'DDR')])[1]"),"")</f>
        <v/>
      </c>
      <c r="M165" s="32" t="e">
        <f t="shared" si="8"/>
        <v>#N/A</v>
      </c>
      <c r="N165" s="51" t="e">
        <f>INDEX(Input!$D$2:$AC$500,
       MATCH(B165, Input!$J$2:$J$500, 0),
       MATCH("Disk Interface Type", Input!$D$1:$AC$1, 0))</f>
        <v>#N/A</v>
      </c>
      <c r="O165" s="51" t="str" cm="1">
        <f t="array" ref="O165">IFERROR(_xlfn.TEXTJOIN(", ", TRUE, _xlfn._xlws.FILTER(
    INDEX(Input!$D$2:$AC$500,,MATCH("Disk Capacity",Input!$D$1:$AC$1,0)),
    Input!$J$2:$J$500=B165
)), "")</f>
        <v/>
      </c>
      <c r="P165" s="32" t="e">
        <f t="shared" si="7"/>
        <v>#N/A</v>
      </c>
      <c r="Q165" s="51" t="e">
        <f>_xlfn.LET(_xlpm.Result,INDEX(Input!$D$2:$AC$500,
       MATCH(B165, Input!$J$2:$J$500, 0),
       MATCH("Capacity", Input!$D$1:$AC$1, 0)),IF(_xlpm.Result="","",_xlpm.Result))</f>
        <v>#N/A</v>
      </c>
      <c r="R165" s="51" t="e" cm="1">
        <f t="array" ref="R165">_xlfn.TEXTSPLIT(Q165," / ", ,TRUE,0,)</f>
        <v>#N/A</v>
      </c>
      <c r="S165" s="51"/>
      <c r="T165" s="51" t="str" cm="1">
        <f t="array" ref="T165">IFERROR(_xlfn.IFS(
R165="","",
--R165&lt;55,"Battery Defect",
--R165&lt;=69,"Battery D",
--R165&lt;=80,"Battery C",
--R165&gt;80,""
),"")</f>
        <v/>
      </c>
      <c r="U165" s="51" t="str" cm="1">
        <f t="array" ref="U165">IFERROR(_xlfn.IFS(
S165="","",
--S165&lt;55,"Battery Defect",
--S165&lt;=69,"Battery D",
--S165&lt;=80,"Battery C",
--S165&gt;80,""
),"")</f>
        <v/>
      </c>
      <c r="V165" s="51" t="str" cm="1">
        <f t="array" ref="V165:AC165">IFERROR(IF(_xlfn.XLOOKUP(B165,Input!J:J,Input!N:U)=0,"",
          _xlfn.XLOOKUP(B165,Input!J:J,Input!N:U)),"")</f>
        <v/>
      </c>
      <c r="W165" s="51" t="str">
        <v/>
      </c>
      <c r="X165" s="51" t="str">
        <v/>
      </c>
      <c r="Y165" s="51" t="str">
        <v/>
      </c>
      <c r="Z165" s="51" t="str">
        <v/>
      </c>
      <c r="AA165" s="51" t="str">
        <v/>
      </c>
      <c r="AB165" s="51" t="str">
        <v/>
      </c>
      <c r="AC165" s="51" t="str">
        <v/>
      </c>
      <c r="AD165" s="32" t="str">
        <f t="shared" si="6"/>
        <v/>
      </c>
      <c r="AE165" s="32" t="str">
        <f>_xlfn.XLOOKUP(B:B,Disk_Pivot!G:G,Disk_Pivot!I:I)</f>
        <v>Yes x2</v>
      </c>
      <c r="AF165" s="32" t="str">
        <f>_xlfn.XLOOKUP(B165,Disk_Pivot!G:G,Disk_Pivot!N:N)</f>
        <v>Pass, Fail</v>
      </c>
      <c r="AG165" s="32"/>
      <c r="AH165" s="32"/>
      <c r="AI165" s="32"/>
      <c r="AJ165" s="32"/>
      <c r="AK165" s="32"/>
      <c r="AL165" s="32"/>
    </row>
    <row r="166" spans="1:38">
      <c r="A166" s="32" t="str">
        <f>_xlfn.TEXTJOIN("",TRUE,_xlfn.XLOOKUP(B166,Input!J:J,Input!G:G,"",0,1),_xlfn.XLOOKUP(B166,Input!J:J,Input!H:H,"",0,1))</f>
        <v/>
      </c>
      <c r="B166" s="32"/>
      <c r="C166" s="51">
        <f>_xlfn.XLOOKUP(B166,Input!J:J,Input!F:F)</f>
        <v>0</v>
      </c>
      <c r="D166" s="32">
        <f>_xlfn.XLOOKUP(C166,Models!H:H,Models!G:G,C166)</f>
        <v>0</v>
      </c>
      <c r="E166" s="32">
        <f>_xlfn.XLOOKUP(B166,Input!J:J,Input!E:E)</f>
        <v>0</v>
      </c>
      <c r="F166" s="32">
        <f>IF(E166="LENOVO",_xlfn.XLOOKUP(B166,Input!J:J,Input!K:K),_xlfn.XLOOKUP(B166,Input!J:J,Input!L:L))</f>
        <v>0</v>
      </c>
      <c r="G166" s="32"/>
      <c r="H166" s="32"/>
      <c r="I166" s="32">
        <f>_xlfn.XLOOKUP(B166,CPU_Formula!A:A,CPU_Formula!I:I)</f>
        <v>0</v>
      </c>
      <c r="J166" s="51" t="e">
        <f>INDEX(Input!$D$2:$AC$500,
       MATCH(B166, Input!$J$2:$J$500, 0),
       MATCH("Total Memory", Input!$D$1:$AC$1, 0))</f>
        <v>#N/A</v>
      </c>
      <c r="K166" s="51" t="e">
        <f>INDEX(Input!$D$2:$AC$500,
       MATCH(B166, Input!$J$2:$J$500, 0),
       MATCH("Memory Type", Input!$D$1:$AC$1, 0))</f>
        <v>#N/A</v>
      </c>
      <c r="L166" s="51" t="str" cm="1">
        <f t="array" ref="L166">IFERROR(_xlfn.FILTERXML("&lt;t&gt;&lt;s&gt;" &amp; SUBSTITUTE(K166," / ","&lt;/s&gt;&lt;s&gt;") &amp; "&lt;/s&gt;&lt;/t&gt;","(//s[contains(.,'DDR')])[1]"),"")</f>
        <v/>
      </c>
      <c r="M166" s="32" t="e">
        <f t="shared" si="8"/>
        <v>#N/A</v>
      </c>
      <c r="N166" s="51" t="e">
        <f>INDEX(Input!$D$2:$AC$500,
       MATCH(B166, Input!$J$2:$J$500, 0),
       MATCH("Disk Interface Type", Input!$D$1:$AC$1, 0))</f>
        <v>#N/A</v>
      </c>
      <c r="O166" s="51" t="str" cm="1">
        <f t="array" ref="O166">IFERROR(_xlfn.TEXTJOIN(", ", TRUE, _xlfn._xlws.FILTER(
    INDEX(Input!$D$2:$AC$500,,MATCH("Disk Capacity",Input!$D$1:$AC$1,0)),
    Input!$J$2:$J$500=B166
)), "")</f>
        <v/>
      </c>
      <c r="P166" s="32" t="e">
        <f t="shared" si="7"/>
        <v>#N/A</v>
      </c>
      <c r="Q166" s="51" t="e">
        <f>_xlfn.LET(_xlpm.Result,INDEX(Input!$D$2:$AC$500,
       MATCH(B166, Input!$J$2:$J$500, 0),
       MATCH("Capacity", Input!$D$1:$AC$1, 0)),IF(_xlpm.Result="","",_xlpm.Result))</f>
        <v>#N/A</v>
      </c>
      <c r="R166" s="51" t="e" cm="1">
        <f t="array" ref="R166">_xlfn.TEXTSPLIT(Q166," / ", ,TRUE,0,)</f>
        <v>#N/A</v>
      </c>
      <c r="S166" s="51"/>
      <c r="T166" s="51" t="str" cm="1">
        <f t="array" ref="T166">IFERROR(_xlfn.IFS(
R166="","",
--R166&lt;55,"Battery Defect",
--R166&lt;=69,"Battery D",
--R166&lt;=80,"Battery C",
--R166&gt;80,""
),"")</f>
        <v/>
      </c>
      <c r="U166" s="51" t="str" cm="1">
        <f t="array" ref="U166">IFERROR(_xlfn.IFS(
S166="","",
--S166&lt;55,"Battery Defect",
--S166&lt;=69,"Battery D",
--S166&lt;=80,"Battery C",
--S166&gt;80,""
),"")</f>
        <v/>
      </c>
      <c r="V166" s="51" t="str" cm="1">
        <f t="array" ref="V166:AC166">IFERROR(IF(_xlfn.XLOOKUP(B166,Input!J:J,Input!N:U)=0,"",
          _xlfn.XLOOKUP(B166,Input!J:J,Input!N:U)),"")</f>
        <v/>
      </c>
      <c r="W166" s="51" t="str">
        <v/>
      </c>
      <c r="X166" s="51" t="str">
        <v/>
      </c>
      <c r="Y166" s="51" t="str">
        <v/>
      </c>
      <c r="Z166" s="51" t="str">
        <v/>
      </c>
      <c r="AA166" s="51" t="str">
        <v/>
      </c>
      <c r="AB166" s="51" t="str">
        <v/>
      </c>
      <c r="AC166" s="51" t="str">
        <v/>
      </c>
      <c r="AD166" s="32" t="str">
        <f t="shared" si="6"/>
        <v/>
      </c>
      <c r="AE166" s="32" t="str">
        <f>_xlfn.XLOOKUP(B:B,Disk_Pivot!G:G,Disk_Pivot!I:I)</f>
        <v>Yes x2</v>
      </c>
      <c r="AF166" s="32" t="str">
        <f>_xlfn.XLOOKUP(B166,Disk_Pivot!G:G,Disk_Pivot!N:N)</f>
        <v>Pass, Fail</v>
      </c>
      <c r="AG166" s="32"/>
      <c r="AH166" s="32"/>
      <c r="AI166" s="32"/>
      <c r="AJ166" s="32"/>
      <c r="AK166" s="32"/>
      <c r="AL166" s="32"/>
    </row>
    <row r="167" spans="1:38">
      <c r="A167" s="32" t="str">
        <f>_xlfn.TEXTJOIN("",TRUE,_xlfn.XLOOKUP(B167,Input!J:J,Input!G:G,"",0,1),_xlfn.XLOOKUP(B167,Input!J:J,Input!H:H,"",0,1))</f>
        <v/>
      </c>
      <c r="B167" s="32"/>
      <c r="C167" s="51">
        <f>_xlfn.XLOOKUP(B167,Input!J:J,Input!F:F)</f>
        <v>0</v>
      </c>
      <c r="D167" s="32">
        <f>_xlfn.XLOOKUP(C167,Models!H:H,Models!G:G,C167)</f>
        <v>0</v>
      </c>
      <c r="E167" s="32">
        <f>_xlfn.XLOOKUP(B167,Input!J:J,Input!E:E)</f>
        <v>0</v>
      </c>
      <c r="F167" s="32">
        <f>IF(E167="LENOVO",_xlfn.XLOOKUP(B167,Input!J:J,Input!K:K),_xlfn.XLOOKUP(B167,Input!J:J,Input!L:L))</f>
        <v>0</v>
      </c>
      <c r="G167" s="32"/>
      <c r="H167" s="32"/>
      <c r="I167" s="32">
        <f>_xlfn.XLOOKUP(B167,CPU_Formula!A:A,CPU_Formula!I:I)</f>
        <v>0</v>
      </c>
      <c r="J167" s="51" t="e">
        <f>INDEX(Input!$D$2:$AC$500,
       MATCH(B167, Input!$J$2:$J$500, 0),
       MATCH("Total Memory", Input!$D$1:$AC$1, 0))</f>
        <v>#N/A</v>
      </c>
      <c r="K167" s="51" t="e">
        <f>INDEX(Input!$D$2:$AC$500,
       MATCH(B167, Input!$J$2:$J$500, 0),
       MATCH("Memory Type", Input!$D$1:$AC$1, 0))</f>
        <v>#N/A</v>
      </c>
      <c r="L167" s="51" t="str" cm="1">
        <f t="array" ref="L167">IFERROR(_xlfn.FILTERXML("&lt;t&gt;&lt;s&gt;" &amp; SUBSTITUTE(K167," / ","&lt;/s&gt;&lt;s&gt;") &amp; "&lt;/s&gt;&lt;/t&gt;","(//s[contains(.,'DDR')])[1]"),"")</f>
        <v/>
      </c>
      <c r="M167" s="32" t="e">
        <f t="shared" si="8"/>
        <v>#N/A</v>
      </c>
      <c r="N167" s="51" t="e">
        <f>INDEX(Input!$D$2:$AC$500,
       MATCH(B167, Input!$J$2:$J$500, 0),
       MATCH("Disk Interface Type", Input!$D$1:$AC$1, 0))</f>
        <v>#N/A</v>
      </c>
      <c r="O167" s="51" t="str" cm="1">
        <f t="array" ref="O167">IFERROR(_xlfn.TEXTJOIN(", ", TRUE, _xlfn._xlws.FILTER(
    INDEX(Input!$D$2:$AC$500,,MATCH("Disk Capacity",Input!$D$1:$AC$1,0)),
    Input!$J$2:$J$500=B167
)), "")</f>
        <v/>
      </c>
      <c r="P167" s="32" t="e">
        <f t="shared" si="7"/>
        <v>#N/A</v>
      </c>
      <c r="Q167" s="51" t="e">
        <f>_xlfn.LET(_xlpm.Result,INDEX(Input!$D$2:$AC$500,
       MATCH(B167, Input!$J$2:$J$500, 0),
       MATCH("Capacity", Input!$D$1:$AC$1, 0)),IF(_xlpm.Result="","",_xlpm.Result))</f>
        <v>#N/A</v>
      </c>
      <c r="R167" s="51" t="e" cm="1">
        <f t="array" ref="R167">_xlfn.TEXTSPLIT(Q167," / ", ,TRUE,0,)</f>
        <v>#N/A</v>
      </c>
      <c r="S167" s="51"/>
      <c r="T167" s="51" t="str" cm="1">
        <f t="array" ref="T167">IFERROR(_xlfn.IFS(
R167="","",
--R167&lt;55,"Battery Defect",
--R167&lt;=69,"Battery D",
--R167&lt;=80,"Battery C",
--R167&gt;80,""
),"")</f>
        <v/>
      </c>
      <c r="U167" s="51" t="str" cm="1">
        <f t="array" ref="U167">IFERROR(_xlfn.IFS(
S167="","",
--S167&lt;55,"Battery Defect",
--S167&lt;=69,"Battery D",
--S167&lt;=80,"Battery C",
--S167&gt;80,""
),"")</f>
        <v/>
      </c>
      <c r="V167" s="51" t="str" cm="1">
        <f t="array" ref="V167:AC167">IFERROR(IF(_xlfn.XLOOKUP(B167,Input!J:J,Input!N:U)=0,"",
          _xlfn.XLOOKUP(B167,Input!J:J,Input!N:U)),"")</f>
        <v/>
      </c>
      <c r="W167" s="51" t="str">
        <v/>
      </c>
      <c r="X167" s="51" t="str">
        <v/>
      </c>
      <c r="Y167" s="51" t="str">
        <v/>
      </c>
      <c r="Z167" s="51" t="str">
        <v/>
      </c>
      <c r="AA167" s="51" t="str">
        <v/>
      </c>
      <c r="AB167" s="51" t="str">
        <v/>
      </c>
      <c r="AC167" s="51" t="str">
        <v/>
      </c>
      <c r="AD167" s="32" t="str">
        <f t="shared" si="6"/>
        <v/>
      </c>
      <c r="AE167" s="32" t="str">
        <f>_xlfn.XLOOKUP(B:B,Disk_Pivot!G:G,Disk_Pivot!I:I)</f>
        <v>Yes x2</v>
      </c>
      <c r="AF167" s="32" t="str">
        <f>_xlfn.XLOOKUP(B167,Disk_Pivot!G:G,Disk_Pivot!N:N)</f>
        <v>Pass, Fail</v>
      </c>
      <c r="AG167" s="32"/>
      <c r="AH167" s="32"/>
      <c r="AI167" s="32"/>
      <c r="AJ167" s="32"/>
      <c r="AK167" s="32"/>
      <c r="AL167" s="32"/>
    </row>
    <row r="168" spans="1:38">
      <c r="A168" s="32" t="str">
        <f>_xlfn.TEXTJOIN("",TRUE,_xlfn.XLOOKUP(B168,Input!J:J,Input!G:G,"",0,1),_xlfn.XLOOKUP(B168,Input!J:J,Input!H:H,"",0,1))</f>
        <v/>
      </c>
      <c r="B168" s="32"/>
      <c r="C168" s="51">
        <f>_xlfn.XLOOKUP(B168,Input!J:J,Input!F:F)</f>
        <v>0</v>
      </c>
      <c r="D168" s="32">
        <f>_xlfn.XLOOKUP(C168,Models!H:H,Models!G:G,C168)</f>
        <v>0</v>
      </c>
      <c r="E168" s="32">
        <f>_xlfn.XLOOKUP(B168,Input!J:J,Input!E:E)</f>
        <v>0</v>
      </c>
      <c r="F168" s="32">
        <f>IF(E168="LENOVO",_xlfn.XLOOKUP(B168,Input!J:J,Input!K:K),_xlfn.XLOOKUP(B168,Input!J:J,Input!L:L))</f>
        <v>0</v>
      </c>
      <c r="G168" s="32"/>
      <c r="H168" s="32"/>
      <c r="I168" s="32">
        <f>_xlfn.XLOOKUP(B168,CPU_Formula!A:A,CPU_Formula!I:I)</f>
        <v>0</v>
      </c>
      <c r="J168" s="51" t="e">
        <f>INDEX(Input!$D$2:$AC$500,
       MATCH(B168, Input!$J$2:$J$500, 0),
       MATCH("Total Memory", Input!$D$1:$AC$1, 0))</f>
        <v>#N/A</v>
      </c>
      <c r="K168" s="51" t="e">
        <f>INDEX(Input!$D$2:$AC$500,
       MATCH(B168, Input!$J$2:$J$500, 0),
       MATCH("Memory Type", Input!$D$1:$AC$1, 0))</f>
        <v>#N/A</v>
      </c>
      <c r="L168" s="51" t="str" cm="1">
        <f t="array" ref="L168">IFERROR(_xlfn.FILTERXML("&lt;t&gt;&lt;s&gt;" &amp; SUBSTITUTE(K168," / ","&lt;/s&gt;&lt;s&gt;") &amp; "&lt;/s&gt;&lt;/t&gt;","(//s[contains(.,'DDR')])[1]"),"")</f>
        <v/>
      </c>
      <c r="M168" s="32" t="e">
        <f t="shared" si="8"/>
        <v>#N/A</v>
      </c>
      <c r="N168" s="51" t="e">
        <f>INDEX(Input!$D$2:$AC$500,
       MATCH(B168, Input!$J$2:$J$500, 0),
       MATCH("Disk Interface Type", Input!$D$1:$AC$1, 0))</f>
        <v>#N/A</v>
      </c>
      <c r="O168" s="51" t="str" cm="1">
        <f t="array" ref="O168">IFERROR(_xlfn.TEXTJOIN(", ", TRUE, _xlfn._xlws.FILTER(
    INDEX(Input!$D$2:$AC$500,,MATCH("Disk Capacity",Input!$D$1:$AC$1,0)),
    Input!$J$2:$J$500=B168
)), "")</f>
        <v/>
      </c>
      <c r="P168" s="32" t="e">
        <f t="shared" si="7"/>
        <v>#N/A</v>
      </c>
      <c r="Q168" s="51" t="e">
        <f>_xlfn.LET(_xlpm.Result,INDEX(Input!$D$2:$AC$500,
       MATCH(B168, Input!$J$2:$J$500, 0),
       MATCH("Capacity", Input!$D$1:$AC$1, 0)),IF(_xlpm.Result="","",_xlpm.Result))</f>
        <v>#N/A</v>
      </c>
      <c r="R168" s="51" t="e" cm="1">
        <f t="array" ref="R168">_xlfn.TEXTSPLIT(Q168," / ", ,TRUE,0,)</f>
        <v>#N/A</v>
      </c>
      <c r="S168" s="51"/>
      <c r="T168" s="51" t="str" cm="1">
        <f t="array" ref="T168">IFERROR(_xlfn.IFS(
R168="","",
--R168&lt;55,"Battery Defect",
--R168&lt;=69,"Battery D",
--R168&lt;=80,"Battery C",
--R168&gt;80,""
),"")</f>
        <v/>
      </c>
      <c r="U168" s="51" t="str" cm="1">
        <f t="array" ref="U168">IFERROR(_xlfn.IFS(
S168="","",
--S168&lt;55,"Battery Defect",
--S168&lt;=69,"Battery D",
--S168&lt;=80,"Battery C",
--S168&gt;80,""
),"")</f>
        <v/>
      </c>
      <c r="V168" s="51" t="str" cm="1">
        <f t="array" ref="V168:AC168">IFERROR(IF(_xlfn.XLOOKUP(B168,Input!J:J,Input!N:U)=0,"",
          _xlfn.XLOOKUP(B168,Input!J:J,Input!N:U)),"")</f>
        <v/>
      </c>
      <c r="W168" s="51" t="str">
        <v/>
      </c>
      <c r="X168" s="51" t="str">
        <v/>
      </c>
      <c r="Y168" s="51" t="str">
        <v/>
      </c>
      <c r="Z168" s="51" t="str">
        <v/>
      </c>
      <c r="AA168" s="51" t="str">
        <v/>
      </c>
      <c r="AB168" s="51" t="str">
        <v/>
      </c>
      <c r="AC168" s="51" t="str">
        <v/>
      </c>
      <c r="AD168" s="32" t="str">
        <f t="shared" si="6"/>
        <v/>
      </c>
      <c r="AE168" s="32" t="str">
        <f>_xlfn.XLOOKUP(B:B,Disk_Pivot!G:G,Disk_Pivot!I:I)</f>
        <v>Yes x2</v>
      </c>
      <c r="AF168" s="32" t="str">
        <f>_xlfn.XLOOKUP(B168,Disk_Pivot!G:G,Disk_Pivot!N:N)</f>
        <v>Pass, Fail</v>
      </c>
      <c r="AG168" s="32"/>
      <c r="AH168" s="32"/>
      <c r="AI168" s="32"/>
      <c r="AJ168" s="32"/>
      <c r="AK168" s="32"/>
      <c r="AL168" s="32"/>
    </row>
    <row r="169" spans="1:38">
      <c r="A169" s="32" t="str">
        <f>_xlfn.TEXTJOIN("",TRUE,_xlfn.XLOOKUP(B169,Input!J:J,Input!G:G,"",0,1),_xlfn.XLOOKUP(B169,Input!J:J,Input!H:H,"",0,1))</f>
        <v/>
      </c>
      <c r="B169" s="32"/>
      <c r="C169" s="51">
        <f>_xlfn.XLOOKUP(B169,Input!J:J,Input!F:F)</f>
        <v>0</v>
      </c>
      <c r="D169" s="32">
        <f>_xlfn.XLOOKUP(C169,Models!H:H,Models!G:G,C169)</f>
        <v>0</v>
      </c>
      <c r="E169" s="32">
        <f>_xlfn.XLOOKUP(B169,Input!J:J,Input!E:E)</f>
        <v>0</v>
      </c>
      <c r="F169" s="32">
        <f>IF(E169="LENOVO",_xlfn.XLOOKUP(B169,Input!J:J,Input!K:K),_xlfn.XLOOKUP(B169,Input!J:J,Input!L:L))</f>
        <v>0</v>
      </c>
      <c r="G169" s="32"/>
      <c r="H169" s="32"/>
      <c r="I169" s="32">
        <f>_xlfn.XLOOKUP(B169,CPU_Formula!A:A,CPU_Formula!I:I)</f>
        <v>0</v>
      </c>
      <c r="J169" s="51" t="e">
        <f>INDEX(Input!$D$2:$AC$500,
       MATCH(B169, Input!$J$2:$J$500, 0),
       MATCH("Total Memory", Input!$D$1:$AC$1, 0))</f>
        <v>#N/A</v>
      </c>
      <c r="K169" s="51" t="e">
        <f>INDEX(Input!$D$2:$AC$500,
       MATCH(B169, Input!$J$2:$J$500, 0),
       MATCH("Memory Type", Input!$D$1:$AC$1, 0))</f>
        <v>#N/A</v>
      </c>
      <c r="L169" s="51" t="str" cm="1">
        <f t="array" ref="L169">IFERROR(_xlfn.FILTERXML("&lt;t&gt;&lt;s&gt;" &amp; SUBSTITUTE(K169," / ","&lt;/s&gt;&lt;s&gt;") &amp; "&lt;/s&gt;&lt;/t&gt;","(//s[contains(.,'DDR')])[1]"),"")</f>
        <v/>
      </c>
      <c r="M169" s="32" t="e">
        <f t="shared" si="8"/>
        <v>#N/A</v>
      </c>
      <c r="N169" s="51" t="e">
        <f>INDEX(Input!$D$2:$AC$500,
       MATCH(B169, Input!$J$2:$J$500, 0),
       MATCH("Disk Interface Type", Input!$D$1:$AC$1, 0))</f>
        <v>#N/A</v>
      </c>
      <c r="O169" s="51" t="str" cm="1">
        <f t="array" ref="O169">IFERROR(_xlfn.TEXTJOIN(", ", TRUE, _xlfn._xlws.FILTER(
    INDEX(Input!$D$2:$AC$500,,MATCH("Disk Capacity",Input!$D$1:$AC$1,0)),
    Input!$J$2:$J$500=B169
)), "")</f>
        <v/>
      </c>
      <c r="P169" s="32" t="e">
        <f t="shared" si="7"/>
        <v>#N/A</v>
      </c>
      <c r="Q169" s="51" t="e">
        <f>_xlfn.LET(_xlpm.Result,INDEX(Input!$D$2:$AC$500,
       MATCH(B169, Input!$J$2:$J$500, 0),
       MATCH("Capacity", Input!$D$1:$AC$1, 0)),IF(_xlpm.Result="","",_xlpm.Result))</f>
        <v>#N/A</v>
      </c>
      <c r="R169" s="51" t="e" cm="1">
        <f t="array" ref="R169">_xlfn.TEXTSPLIT(Q169," / ", ,TRUE,0,)</f>
        <v>#N/A</v>
      </c>
      <c r="S169" s="51"/>
      <c r="T169" s="51" t="str" cm="1">
        <f t="array" ref="T169">IFERROR(_xlfn.IFS(
R169="","",
--R169&lt;55,"Battery Defect",
--R169&lt;=69,"Battery D",
--R169&lt;=80,"Battery C",
--R169&gt;80,""
),"")</f>
        <v/>
      </c>
      <c r="U169" s="51" t="str" cm="1">
        <f t="array" ref="U169">IFERROR(_xlfn.IFS(
S169="","",
--S169&lt;55,"Battery Defect",
--S169&lt;=69,"Battery D",
--S169&lt;=80,"Battery C",
--S169&gt;80,""
),"")</f>
        <v/>
      </c>
      <c r="V169" s="51" t="str" cm="1">
        <f t="array" ref="V169:AC169">IFERROR(IF(_xlfn.XLOOKUP(B169,Input!J:J,Input!N:U)=0,"",
          _xlfn.XLOOKUP(B169,Input!J:J,Input!N:U)),"")</f>
        <v/>
      </c>
      <c r="W169" s="51" t="str">
        <v/>
      </c>
      <c r="X169" s="51" t="str">
        <v/>
      </c>
      <c r="Y169" s="51" t="str">
        <v/>
      </c>
      <c r="Z169" s="51" t="str">
        <v/>
      </c>
      <c r="AA169" s="51" t="str">
        <v/>
      </c>
      <c r="AB169" s="51" t="str">
        <v/>
      </c>
      <c r="AC169" s="51" t="str">
        <v/>
      </c>
      <c r="AD169" s="32" t="str">
        <f t="shared" si="6"/>
        <v/>
      </c>
      <c r="AE169" s="32" t="str">
        <f>_xlfn.XLOOKUP(B:B,Disk_Pivot!G:G,Disk_Pivot!I:I)</f>
        <v>Yes x2</v>
      </c>
      <c r="AF169" s="32" t="str">
        <f>_xlfn.XLOOKUP(B169,Disk_Pivot!G:G,Disk_Pivot!N:N)</f>
        <v>Pass, Fail</v>
      </c>
      <c r="AG169" s="32"/>
      <c r="AH169" s="32"/>
      <c r="AI169" s="32"/>
      <c r="AJ169" s="32"/>
      <c r="AK169" s="32"/>
      <c r="AL169" s="32"/>
    </row>
    <row r="170" spans="1:38">
      <c r="A170" s="32" t="str">
        <f>_xlfn.TEXTJOIN("",TRUE,_xlfn.XLOOKUP(B170,Input!J:J,Input!G:G,"",0,1),_xlfn.XLOOKUP(B170,Input!J:J,Input!H:H,"",0,1))</f>
        <v/>
      </c>
      <c r="B170" s="32"/>
      <c r="C170" s="51">
        <f>_xlfn.XLOOKUP(B170,Input!J:J,Input!F:F)</f>
        <v>0</v>
      </c>
      <c r="D170" s="32">
        <f>_xlfn.XLOOKUP(C170,Models!H:H,Models!G:G,C170)</f>
        <v>0</v>
      </c>
      <c r="E170" s="32">
        <f>_xlfn.XLOOKUP(B170,Input!J:J,Input!E:E)</f>
        <v>0</v>
      </c>
      <c r="F170" s="32">
        <f>IF(E170="LENOVO",_xlfn.XLOOKUP(B170,Input!J:J,Input!K:K),_xlfn.XLOOKUP(B170,Input!J:J,Input!L:L))</f>
        <v>0</v>
      </c>
      <c r="G170" s="32"/>
      <c r="H170" s="32"/>
      <c r="I170" s="32">
        <f>_xlfn.XLOOKUP(B170,CPU_Formula!A:A,CPU_Formula!I:I)</f>
        <v>0</v>
      </c>
      <c r="J170" s="51" t="e">
        <f>INDEX(Input!$D$2:$AC$500,
       MATCH(B170, Input!$J$2:$J$500, 0),
       MATCH("Total Memory", Input!$D$1:$AC$1, 0))</f>
        <v>#N/A</v>
      </c>
      <c r="K170" s="51" t="e">
        <f>INDEX(Input!$D$2:$AC$500,
       MATCH(B170, Input!$J$2:$J$500, 0),
       MATCH("Memory Type", Input!$D$1:$AC$1, 0))</f>
        <v>#N/A</v>
      </c>
      <c r="L170" s="51" t="str" cm="1">
        <f t="array" ref="L170">IFERROR(_xlfn.FILTERXML("&lt;t&gt;&lt;s&gt;" &amp; SUBSTITUTE(K170," / ","&lt;/s&gt;&lt;s&gt;") &amp; "&lt;/s&gt;&lt;/t&gt;","(//s[contains(.,'DDR')])[1]"),"")</f>
        <v/>
      </c>
      <c r="M170" s="32" t="e">
        <f t="shared" si="8"/>
        <v>#N/A</v>
      </c>
      <c r="N170" s="51" t="e">
        <f>INDEX(Input!$D$2:$AC$500,
       MATCH(B170, Input!$J$2:$J$500, 0),
       MATCH("Disk Interface Type", Input!$D$1:$AC$1, 0))</f>
        <v>#N/A</v>
      </c>
      <c r="O170" s="51" t="str" cm="1">
        <f t="array" ref="O170">IFERROR(_xlfn.TEXTJOIN(", ", TRUE, _xlfn._xlws.FILTER(
    INDEX(Input!$D$2:$AC$500,,MATCH("Disk Capacity",Input!$D$1:$AC$1,0)),
    Input!$J$2:$J$500=B170
)), "")</f>
        <v/>
      </c>
      <c r="P170" s="32" t="e">
        <f t="shared" si="7"/>
        <v>#N/A</v>
      </c>
      <c r="Q170" s="51" t="e">
        <f>_xlfn.LET(_xlpm.Result,INDEX(Input!$D$2:$AC$500,
       MATCH(B170, Input!$J$2:$J$500, 0),
       MATCH("Capacity", Input!$D$1:$AC$1, 0)),IF(_xlpm.Result="","",_xlpm.Result))</f>
        <v>#N/A</v>
      </c>
      <c r="R170" s="51" t="e" cm="1">
        <f t="array" ref="R170">_xlfn.TEXTSPLIT(Q170," / ", ,TRUE,0,)</f>
        <v>#N/A</v>
      </c>
      <c r="S170" s="51"/>
      <c r="T170" s="51" t="str" cm="1">
        <f t="array" ref="T170">IFERROR(_xlfn.IFS(
R170="","",
--R170&lt;55,"Battery Defect",
--R170&lt;=69,"Battery D",
--R170&lt;=80,"Battery C",
--R170&gt;80,""
),"")</f>
        <v/>
      </c>
      <c r="U170" s="51" t="str" cm="1">
        <f t="array" ref="U170">IFERROR(_xlfn.IFS(
S170="","",
--S170&lt;55,"Battery Defect",
--S170&lt;=69,"Battery D",
--S170&lt;=80,"Battery C",
--S170&gt;80,""
),"")</f>
        <v/>
      </c>
      <c r="V170" s="51" t="str" cm="1">
        <f t="array" ref="V170:AC170">IFERROR(IF(_xlfn.XLOOKUP(B170,Input!J:J,Input!N:U)=0,"",
          _xlfn.XLOOKUP(B170,Input!J:J,Input!N:U)),"")</f>
        <v/>
      </c>
      <c r="W170" s="51" t="str">
        <v/>
      </c>
      <c r="X170" s="51" t="str">
        <v/>
      </c>
      <c r="Y170" s="51" t="str">
        <v/>
      </c>
      <c r="Z170" s="51" t="str">
        <v/>
      </c>
      <c r="AA170" s="51" t="str">
        <v/>
      </c>
      <c r="AB170" s="51" t="str">
        <v/>
      </c>
      <c r="AC170" s="51" t="str">
        <v/>
      </c>
      <c r="AD170" s="32" t="str">
        <f t="shared" si="6"/>
        <v/>
      </c>
      <c r="AE170" s="32" t="str">
        <f>_xlfn.XLOOKUP(B:B,Disk_Pivot!G:G,Disk_Pivot!I:I)</f>
        <v>Yes x2</v>
      </c>
      <c r="AF170" s="32" t="str">
        <f>_xlfn.XLOOKUP(B170,Disk_Pivot!G:G,Disk_Pivot!N:N)</f>
        <v>Pass, Fail</v>
      </c>
      <c r="AG170" s="32"/>
      <c r="AH170" s="32"/>
      <c r="AI170" s="32"/>
      <c r="AJ170" s="32"/>
      <c r="AK170" s="32"/>
      <c r="AL170" s="32"/>
    </row>
    <row r="171" spans="1:38">
      <c r="A171" s="32" t="str">
        <f>_xlfn.TEXTJOIN("",TRUE,_xlfn.XLOOKUP(B171,Input!J:J,Input!G:G,"",0,1),_xlfn.XLOOKUP(B171,Input!J:J,Input!H:H,"",0,1))</f>
        <v/>
      </c>
      <c r="B171" s="32"/>
      <c r="C171" s="51">
        <f>_xlfn.XLOOKUP(B171,Input!J:J,Input!F:F)</f>
        <v>0</v>
      </c>
      <c r="D171" s="32">
        <f>_xlfn.XLOOKUP(C171,Models!H:H,Models!G:G,C171)</f>
        <v>0</v>
      </c>
      <c r="E171" s="32">
        <f>_xlfn.XLOOKUP(B171,Input!J:J,Input!E:E)</f>
        <v>0</v>
      </c>
      <c r="F171" s="32">
        <f>IF(E171="LENOVO",_xlfn.XLOOKUP(B171,Input!J:J,Input!K:K),_xlfn.XLOOKUP(B171,Input!J:J,Input!L:L))</f>
        <v>0</v>
      </c>
      <c r="G171" s="32"/>
      <c r="H171" s="32"/>
      <c r="I171" s="32">
        <f>_xlfn.XLOOKUP(B171,CPU_Formula!A:A,CPU_Formula!I:I)</f>
        <v>0</v>
      </c>
      <c r="J171" s="51" t="e">
        <f>INDEX(Input!$D$2:$AC$500,
       MATCH(B171, Input!$J$2:$J$500, 0),
       MATCH("Total Memory", Input!$D$1:$AC$1, 0))</f>
        <v>#N/A</v>
      </c>
      <c r="K171" s="51" t="e">
        <f>INDEX(Input!$D$2:$AC$500,
       MATCH(B171, Input!$J$2:$J$500, 0),
       MATCH("Memory Type", Input!$D$1:$AC$1, 0))</f>
        <v>#N/A</v>
      </c>
      <c r="L171" s="51" t="str" cm="1">
        <f t="array" ref="L171">IFERROR(_xlfn.FILTERXML("&lt;t&gt;&lt;s&gt;" &amp; SUBSTITUTE(K171," / ","&lt;/s&gt;&lt;s&gt;") &amp; "&lt;/s&gt;&lt;/t&gt;","(//s[contains(.,'DDR')])[1]"),"")</f>
        <v/>
      </c>
      <c r="M171" s="32" t="e">
        <f t="shared" si="8"/>
        <v>#N/A</v>
      </c>
      <c r="N171" s="51" t="e">
        <f>INDEX(Input!$D$2:$AC$500,
       MATCH(B171, Input!$J$2:$J$500, 0),
       MATCH("Disk Interface Type", Input!$D$1:$AC$1, 0))</f>
        <v>#N/A</v>
      </c>
      <c r="O171" s="51" t="str" cm="1">
        <f t="array" ref="O171">IFERROR(_xlfn.TEXTJOIN(", ", TRUE, _xlfn._xlws.FILTER(
    INDEX(Input!$D$2:$AC$500,,MATCH("Disk Capacity",Input!$D$1:$AC$1,0)),
    Input!$J$2:$J$500=B171
)), "")</f>
        <v/>
      </c>
      <c r="P171" s="32" t="e">
        <f t="shared" si="7"/>
        <v>#N/A</v>
      </c>
      <c r="Q171" s="51" t="e">
        <f>_xlfn.LET(_xlpm.Result,INDEX(Input!$D$2:$AC$500,
       MATCH(B171, Input!$J$2:$J$500, 0),
       MATCH("Capacity", Input!$D$1:$AC$1, 0)),IF(_xlpm.Result="","",_xlpm.Result))</f>
        <v>#N/A</v>
      </c>
      <c r="R171" s="51" t="e" cm="1">
        <f t="array" ref="R171">_xlfn.TEXTSPLIT(Q171," / ", ,TRUE,0,)</f>
        <v>#N/A</v>
      </c>
      <c r="S171" s="51"/>
      <c r="T171" s="51" t="str" cm="1">
        <f t="array" ref="T171">IFERROR(_xlfn.IFS(
R171="","",
--R171&lt;55,"Battery Defect",
--R171&lt;=69,"Battery D",
--R171&lt;=80,"Battery C",
--R171&gt;80,""
),"")</f>
        <v/>
      </c>
      <c r="U171" s="51" t="str" cm="1">
        <f t="array" ref="U171">IFERROR(_xlfn.IFS(
S171="","",
--S171&lt;55,"Battery Defect",
--S171&lt;=69,"Battery D",
--S171&lt;=80,"Battery C",
--S171&gt;80,""
),"")</f>
        <v/>
      </c>
      <c r="V171" s="51" t="str" cm="1">
        <f t="array" ref="V171:AC171">IFERROR(IF(_xlfn.XLOOKUP(B171,Input!J:J,Input!N:U)=0,"",
          _xlfn.XLOOKUP(B171,Input!J:J,Input!N:U)),"")</f>
        <v/>
      </c>
      <c r="W171" s="51" t="str">
        <v/>
      </c>
      <c r="X171" s="51" t="str">
        <v/>
      </c>
      <c r="Y171" s="51" t="str">
        <v/>
      </c>
      <c r="Z171" s="51" t="str">
        <v/>
      </c>
      <c r="AA171" s="51" t="str">
        <v/>
      </c>
      <c r="AB171" s="51" t="str">
        <v/>
      </c>
      <c r="AC171" s="51" t="str">
        <v/>
      </c>
      <c r="AD171" s="32" t="str">
        <f t="shared" si="6"/>
        <v/>
      </c>
      <c r="AE171" s="32" t="str">
        <f>_xlfn.XLOOKUP(B:B,Disk_Pivot!G:G,Disk_Pivot!I:I)</f>
        <v>Yes x2</v>
      </c>
      <c r="AF171" s="32" t="str">
        <f>_xlfn.XLOOKUP(B171,Disk_Pivot!G:G,Disk_Pivot!N:N)</f>
        <v>Pass, Fail</v>
      </c>
      <c r="AG171" s="32"/>
      <c r="AH171" s="32"/>
      <c r="AI171" s="32"/>
      <c r="AJ171" s="32"/>
      <c r="AK171" s="32"/>
      <c r="AL171" s="32"/>
    </row>
    <row r="172" spans="1:38">
      <c r="A172" s="32" t="str">
        <f>_xlfn.TEXTJOIN("",TRUE,_xlfn.XLOOKUP(B172,Input!J:J,Input!G:G,"",0,1),_xlfn.XLOOKUP(B172,Input!J:J,Input!H:H,"",0,1))</f>
        <v/>
      </c>
      <c r="B172" s="32"/>
      <c r="C172" s="51">
        <f>_xlfn.XLOOKUP(B172,Input!J:J,Input!F:F)</f>
        <v>0</v>
      </c>
      <c r="D172" s="32">
        <f>_xlfn.XLOOKUP(C172,Models!H:H,Models!G:G,C172)</f>
        <v>0</v>
      </c>
      <c r="E172" s="32">
        <f>_xlfn.XLOOKUP(B172,Input!J:J,Input!E:E)</f>
        <v>0</v>
      </c>
      <c r="F172" s="32">
        <f>IF(E172="LENOVO",_xlfn.XLOOKUP(B172,Input!J:J,Input!K:K),_xlfn.XLOOKUP(B172,Input!J:J,Input!L:L))</f>
        <v>0</v>
      </c>
      <c r="G172" s="32"/>
      <c r="H172" s="32"/>
      <c r="I172" s="32">
        <f>_xlfn.XLOOKUP(B172,CPU_Formula!A:A,CPU_Formula!I:I)</f>
        <v>0</v>
      </c>
      <c r="J172" s="51" t="e">
        <f>INDEX(Input!$D$2:$AC$500,
       MATCH(B172, Input!$J$2:$J$500, 0),
       MATCH("Total Memory", Input!$D$1:$AC$1, 0))</f>
        <v>#N/A</v>
      </c>
      <c r="K172" s="51" t="e">
        <f>INDEX(Input!$D$2:$AC$500,
       MATCH(B172, Input!$J$2:$J$500, 0),
       MATCH("Memory Type", Input!$D$1:$AC$1, 0))</f>
        <v>#N/A</v>
      </c>
      <c r="L172" s="51" t="str" cm="1">
        <f t="array" ref="L172">IFERROR(_xlfn.FILTERXML("&lt;t&gt;&lt;s&gt;" &amp; SUBSTITUTE(K172," / ","&lt;/s&gt;&lt;s&gt;") &amp; "&lt;/s&gt;&lt;/t&gt;","(//s[contains(.,'DDR')])[1]"),"")</f>
        <v/>
      </c>
      <c r="M172" s="32" t="e">
        <f t="shared" si="8"/>
        <v>#N/A</v>
      </c>
      <c r="N172" s="51" t="e">
        <f>INDEX(Input!$D$2:$AC$500,
       MATCH(B172, Input!$J$2:$J$500, 0),
       MATCH("Disk Interface Type", Input!$D$1:$AC$1, 0))</f>
        <v>#N/A</v>
      </c>
      <c r="O172" s="51" t="str" cm="1">
        <f t="array" ref="O172">IFERROR(_xlfn.TEXTJOIN(", ", TRUE, _xlfn._xlws.FILTER(
    INDEX(Input!$D$2:$AC$500,,MATCH("Disk Capacity",Input!$D$1:$AC$1,0)),
    Input!$J$2:$J$500=B172
)), "")</f>
        <v/>
      </c>
      <c r="P172" s="32" t="e">
        <f t="shared" si="7"/>
        <v>#N/A</v>
      </c>
      <c r="Q172" s="51" t="e">
        <f>_xlfn.LET(_xlpm.Result,INDEX(Input!$D$2:$AC$500,
       MATCH(B172, Input!$J$2:$J$500, 0),
       MATCH("Capacity", Input!$D$1:$AC$1, 0)),IF(_xlpm.Result="","",_xlpm.Result))</f>
        <v>#N/A</v>
      </c>
      <c r="R172" s="51" t="e" cm="1">
        <f t="array" ref="R172">_xlfn.TEXTSPLIT(Q172," / ", ,TRUE,0,)</f>
        <v>#N/A</v>
      </c>
      <c r="S172" s="51"/>
      <c r="T172" s="51" t="str" cm="1">
        <f t="array" ref="T172">IFERROR(_xlfn.IFS(
R172="","",
--R172&lt;55,"Battery Defect",
--R172&lt;=69,"Battery D",
--R172&lt;=80,"Battery C",
--R172&gt;80,""
),"")</f>
        <v/>
      </c>
      <c r="U172" s="51" t="str" cm="1">
        <f t="array" ref="U172">IFERROR(_xlfn.IFS(
S172="","",
--S172&lt;55,"Battery Defect",
--S172&lt;=69,"Battery D",
--S172&lt;=80,"Battery C",
--S172&gt;80,""
),"")</f>
        <v/>
      </c>
      <c r="V172" s="51" t="str" cm="1">
        <f t="array" ref="V172:AC172">IFERROR(IF(_xlfn.XLOOKUP(B172,Input!J:J,Input!N:U)=0,"",
          _xlfn.XLOOKUP(B172,Input!J:J,Input!N:U)),"")</f>
        <v/>
      </c>
      <c r="W172" s="51" t="str">
        <v/>
      </c>
      <c r="X172" s="51" t="str">
        <v/>
      </c>
      <c r="Y172" s="51" t="str">
        <v/>
      </c>
      <c r="Z172" s="51" t="str">
        <v/>
      </c>
      <c r="AA172" s="51" t="str">
        <v/>
      </c>
      <c r="AB172" s="51" t="str">
        <v/>
      </c>
      <c r="AC172" s="51" t="str">
        <v/>
      </c>
      <c r="AD172" s="32" t="str">
        <f t="shared" si="6"/>
        <v/>
      </c>
      <c r="AE172" s="32" t="str">
        <f>_xlfn.XLOOKUP(B:B,Disk_Pivot!G:G,Disk_Pivot!I:I)</f>
        <v>Yes x2</v>
      </c>
      <c r="AF172" s="32" t="str">
        <f>_xlfn.XLOOKUP(B172,Disk_Pivot!G:G,Disk_Pivot!N:N)</f>
        <v>Pass, Fail</v>
      </c>
      <c r="AG172" s="32"/>
      <c r="AH172" s="32"/>
      <c r="AI172" s="32"/>
      <c r="AJ172" s="32"/>
      <c r="AK172" s="32"/>
      <c r="AL172" s="32"/>
    </row>
    <row r="173" spans="1:38">
      <c r="A173" s="32" t="str">
        <f>_xlfn.TEXTJOIN("",TRUE,_xlfn.XLOOKUP(B173,Input!J:J,Input!G:G,"",0,1),_xlfn.XLOOKUP(B173,Input!J:J,Input!H:H,"",0,1))</f>
        <v/>
      </c>
      <c r="B173" s="32"/>
      <c r="C173" s="51">
        <f>_xlfn.XLOOKUP(B173,Input!J:J,Input!F:F)</f>
        <v>0</v>
      </c>
      <c r="D173" s="32">
        <f>_xlfn.XLOOKUP(C173,Models!H:H,Models!G:G,C173)</f>
        <v>0</v>
      </c>
      <c r="E173" s="32">
        <f>_xlfn.XLOOKUP(B173,Input!J:J,Input!E:E)</f>
        <v>0</v>
      </c>
      <c r="F173" s="32">
        <f>IF(E173="LENOVO",_xlfn.XLOOKUP(B173,Input!J:J,Input!K:K),_xlfn.XLOOKUP(B173,Input!J:J,Input!L:L))</f>
        <v>0</v>
      </c>
      <c r="G173" s="32"/>
      <c r="H173" s="32"/>
      <c r="I173" s="32">
        <f>_xlfn.XLOOKUP(B173,CPU_Formula!A:A,CPU_Formula!I:I)</f>
        <v>0</v>
      </c>
      <c r="J173" s="51" t="e">
        <f>INDEX(Input!$D$2:$AC$500,
       MATCH(B173, Input!$J$2:$J$500, 0),
       MATCH("Total Memory", Input!$D$1:$AC$1, 0))</f>
        <v>#N/A</v>
      </c>
      <c r="K173" s="51" t="e">
        <f>INDEX(Input!$D$2:$AC$500,
       MATCH(B173, Input!$J$2:$J$500, 0),
       MATCH("Memory Type", Input!$D$1:$AC$1, 0))</f>
        <v>#N/A</v>
      </c>
      <c r="L173" s="51" t="str" cm="1">
        <f t="array" ref="L173">IFERROR(_xlfn.FILTERXML("&lt;t&gt;&lt;s&gt;" &amp; SUBSTITUTE(K173," / ","&lt;/s&gt;&lt;s&gt;") &amp; "&lt;/s&gt;&lt;/t&gt;","(//s[contains(.,'DDR')])[1]"),"")</f>
        <v/>
      </c>
      <c r="M173" s="32" t="e">
        <f t="shared" si="8"/>
        <v>#N/A</v>
      </c>
      <c r="N173" s="51" t="e">
        <f>INDEX(Input!$D$2:$AC$500,
       MATCH(B173, Input!$J$2:$J$500, 0),
       MATCH("Disk Interface Type", Input!$D$1:$AC$1, 0))</f>
        <v>#N/A</v>
      </c>
      <c r="O173" s="51" t="str" cm="1">
        <f t="array" ref="O173">IFERROR(_xlfn.TEXTJOIN(", ", TRUE, _xlfn._xlws.FILTER(
    INDEX(Input!$D$2:$AC$500,,MATCH("Disk Capacity",Input!$D$1:$AC$1,0)),
    Input!$J$2:$J$500=B173
)), "")</f>
        <v/>
      </c>
      <c r="P173" s="32" t="e">
        <f t="shared" si="7"/>
        <v>#N/A</v>
      </c>
      <c r="Q173" s="51" t="e">
        <f>_xlfn.LET(_xlpm.Result,INDEX(Input!$D$2:$AC$500,
       MATCH(B173, Input!$J$2:$J$500, 0),
       MATCH("Capacity", Input!$D$1:$AC$1, 0)),IF(_xlpm.Result="","",_xlpm.Result))</f>
        <v>#N/A</v>
      </c>
      <c r="R173" s="51" t="e" cm="1">
        <f t="array" ref="R173">_xlfn.TEXTSPLIT(Q173," / ", ,TRUE,0,)</f>
        <v>#N/A</v>
      </c>
      <c r="S173" s="51"/>
      <c r="T173" s="51" t="str" cm="1">
        <f t="array" ref="T173">IFERROR(_xlfn.IFS(
R173="","",
--R173&lt;55,"Battery Defect",
--R173&lt;=69,"Battery D",
--R173&lt;=80,"Battery C",
--R173&gt;80,""
),"")</f>
        <v/>
      </c>
      <c r="U173" s="51" t="str" cm="1">
        <f t="array" ref="U173">IFERROR(_xlfn.IFS(
S173="","",
--S173&lt;55,"Battery Defect",
--S173&lt;=69,"Battery D",
--S173&lt;=80,"Battery C",
--S173&gt;80,""
),"")</f>
        <v/>
      </c>
      <c r="V173" s="51" t="str" cm="1">
        <f t="array" ref="V173:AC173">IFERROR(IF(_xlfn.XLOOKUP(B173,Input!J:J,Input!N:U)=0,"",
          _xlfn.XLOOKUP(B173,Input!J:J,Input!N:U)),"")</f>
        <v/>
      </c>
      <c r="W173" s="51" t="str">
        <v/>
      </c>
      <c r="X173" s="51" t="str">
        <v/>
      </c>
      <c r="Y173" s="51" t="str">
        <v/>
      </c>
      <c r="Z173" s="51" t="str">
        <v/>
      </c>
      <c r="AA173" s="51" t="str">
        <v/>
      </c>
      <c r="AB173" s="51" t="str">
        <v/>
      </c>
      <c r="AC173" s="51" t="str">
        <v/>
      </c>
      <c r="AD173" s="32" t="str">
        <f t="shared" si="6"/>
        <v/>
      </c>
      <c r="AE173" s="32" t="str">
        <f>_xlfn.XLOOKUP(B:B,Disk_Pivot!G:G,Disk_Pivot!I:I)</f>
        <v>Yes x2</v>
      </c>
      <c r="AF173" s="32" t="str">
        <f>_xlfn.XLOOKUP(B173,Disk_Pivot!G:G,Disk_Pivot!N:N)</f>
        <v>Pass, Fail</v>
      </c>
      <c r="AG173" s="32"/>
      <c r="AH173" s="32"/>
      <c r="AI173" s="32"/>
      <c r="AJ173" s="32"/>
      <c r="AK173" s="32"/>
      <c r="AL173" s="32"/>
    </row>
    <row r="174" spans="1:38">
      <c r="A174" s="32" t="str">
        <f>_xlfn.TEXTJOIN("",TRUE,_xlfn.XLOOKUP(B174,Input!J:J,Input!G:G,"",0,1),_xlfn.XLOOKUP(B174,Input!J:J,Input!H:H,"",0,1))</f>
        <v/>
      </c>
      <c r="B174" s="32"/>
      <c r="C174" s="51">
        <f>_xlfn.XLOOKUP(B174,Input!J:J,Input!F:F)</f>
        <v>0</v>
      </c>
      <c r="D174" s="32">
        <f>_xlfn.XLOOKUP(C174,Models!H:H,Models!G:G,C174)</f>
        <v>0</v>
      </c>
      <c r="E174" s="32">
        <f>_xlfn.XLOOKUP(B174,Input!J:J,Input!E:E)</f>
        <v>0</v>
      </c>
      <c r="F174" s="32">
        <f>IF(E174="LENOVO",_xlfn.XLOOKUP(B174,Input!J:J,Input!K:K),_xlfn.XLOOKUP(B174,Input!J:J,Input!L:L))</f>
        <v>0</v>
      </c>
      <c r="G174" s="32"/>
      <c r="H174" s="32"/>
      <c r="I174" s="32">
        <f>_xlfn.XLOOKUP(B174,CPU_Formula!A:A,CPU_Formula!I:I)</f>
        <v>0</v>
      </c>
      <c r="J174" s="51" t="e">
        <f>INDEX(Input!$D$2:$AC$500,
       MATCH(B174, Input!$J$2:$J$500, 0),
       MATCH("Total Memory", Input!$D$1:$AC$1, 0))</f>
        <v>#N/A</v>
      </c>
      <c r="K174" s="51" t="e">
        <f>INDEX(Input!$D$2:$AC$500,
       MATCH(B174, Input!$J$2:$J$500, 0),
       MATCH("Memory Type", Input!$D$1:$AC$1, 0))</f>
        <v>#N/A</v>
      </c>
      <c r="L174" s="51" t="str" cm="1">
        <f t="array" ref="L174">IFERROR(_xlfn.FILTERXML("&lt;t&gt;&lt;s&gt;" &amp; SUBSTITUTE(K174," / ","&lt;/s&gt;&lt;s&gt;") &amp; "&lt;/s&gt;&lt;/t&gt;","(//s[contains(.,'DDR')])[1]"),"")</f>
        <v/>
      </c>
      <c r="M174" s="32" t="e">
        <f t="shared" si="8"/>
        <v>#N/A</v>
      </c>
      <c r="N174" s="51" t="e">
        <f>INDEX(Input!$D$2:$AC$500,
       MATCH(B174, Input!$J$2:$J$500, 0),
       MATCH("Disk Interface Type", Input!$D$1:$AC$1, 0))</f>
        <v>#N/A</v>
      </c>
      <c r="O174" s="51" t="str" cm="1">
        <f t="array" ref="O174">IFERROR(_xlfn.TEXTJOIN(", ", TRUE, _xlfn._xlws.FILTER(
    INDEX(Input!$D$2:$AC$500,,MATCH("Disk Capacity",Input!$D$1:$AC$1,0)),
    Input!$J$2:$J$500=B174
)), "")</f>
        <v/>
      </c>
      <c r="P174" s="32" t="e">
        <f t="shared" si="7"/>
        <v>#N/A</v>
      </c>
      <c r="Q174" s="51" t="e">
        <f>_xlfn.LET(_xlpm.Result,INDEX(Input!$D$2:$AC$500,
       MATCH(B174, Input!$J$2:$J$500, 0),
       MATCH("Capacity", Input!$D$1:$AC$1, 0)),IF(_xlpm.Result="","",_xlpm.Result))</f>
        <v>#N/A</v>
      </c>
      <c r="R174" s="51" t="e" cm="1">
        <f t="array" ref="R174">_xlfn.TEXTSPLIT(Q174," / ", ,TRUE,0,)</f>
        <v>#N/A</v>
      </c>
      <c r="S174" s="51"/>
      <c r="T174" s="51" t="str" cm="1">
        <f t="array" ref="T174">IFERROR(_xlfn.IFS(
R174="","",
--R174&lt;55,"Battery Defect",
--R174&lt;=69,"Battery D",
--R174&lt;=80,"Battery C",
--R174&gt;80,""
),"")</f>
        <v/>
      </c>
      <c r="U174" s="51" t="str" cm="1">
        <f t="array" ref="U174">IFERROR(_xlfn.IFS(
S174="","",
--S174&lt;55,"Battery Defect",
--S174&lt;=69,"Battery D",
--S174&lt;=80,"Battery C",
--S174&gt;80,""
),"")</f>
        <v/>
      </c>
      <c r="V174" s="51" t="str" cm="1">
        <f t="array" ref="V174:AC174">IFERROR(IF(_xlfn.XLOOKUP(B174,Input!J:J,Input!N:U)=0,"",
          _xlfn.XLOOKUP(B174,Input!J:J,Input!N:U)),"")</f>
        <v/>
      </c>
      <c r="W174" s="51" t="str">
        <v/>
      </c>
      <c r="X174" s="51" t="str">
        <v/>
      </c>
      <c r="Y174" s="51" t="str">
        <v/>
      </c>
      <c r="Z174" s="51" t="str">
        <v/>
      </c>
      <c r="AA174" s="51" t="str">
        <v/>
      </c>
      <c r="AB174" s="51" t="str">
        <v/>
      </c>
      <c r="AC174" s="51" t="str">
        <v/>
      </c>
      <c r="AD174" s="32" t="str">
        <f t="shared" si="6"/>
        <v/>
      </c>
      <c r="AE174" s="32" t="str">
        <f>_xlfn.XLOOKUP(B:B,Disk_Pivot!G:G,Disk_Pivot!I:I)</f>
        <v>Yes x2</v>
      </c>
      <c r="AF174" s="32" t="str">
        <f>_xlfn.XLOOKUP(B174,Disk_Pivot!G:G,Disk_Pivot!N:N)</f>
        <v>Pass, Fail</v>
      </c>
      <c r="AG174" s="32"/>
      <c r="AH174" s="32"/>
      <c r="AI174" s="32"/>
      <c r="AJ174" s="32"/>
      <c r="AK174" s="32"/>
      <c r="AL174" s="32"/>
    </row>
    <row r="175" spans="1:38">
      <c r="A175" s="32" t="str">
        <f>_xlfn.TEXTJOIN("",TRUE,_xlfn.XLOOKUP(B175,Input!J:J,Input!G:G,"",0,1),_xlfn.XLOOKUP(B175,Input!J:J,Input!H:H,"",0,1))</f>
        <v/>
      </c>
      <c r="B175" s="32"/>
      <c r="C175" s="51">
        <f>_xlfn.XLOOKUP(B175,Input!J:J,Input!F:F)</f>
        <v>0</v>
      </c>
      <c r="D175" s="32">
        <f>_xlfn.XLOOKUP(C175,Models!H:H,Models!G:G,C175)</f>
        <v>0</v>
      </c>
      <c r="E175" s="32">
        <f>_xlfn.XLOOKUP(B175,Input!J:J,Input!E:E)</f>
        <v>0</v>
      </c>
      <c r="F175" s="32">
        <f>IF(E175="LENOVO",_xlfn.XLOOKUP(B175,Input!J:J,Input!K:K),_xlfn.XLOOKUP(B175,Input!J:J,Input!L:L))</f>
        <v>0</v>
      </c>
      <c r="G175" s="32"/>
      <c r="H175" s="32"/>
      <c r="I175" s="32">
        <f>_xlfn.XLOOKUP(B175,CPU_Formula!A:A,CPU_Formula!I:I)</f>
        <v>0</v>
      </c>
      <c r="J175" s="51" t="e">
        <f>INDEX(Input!$D$2:$AC$500,
       MATCH(B175, Input!$J$2:$J$500, 0),
       MATCH("Total Memory", Input!$D$1:$AC$1, 0))</f>
        <v>#N/A</v>
      </c>
      <c r="K175" s="51" t="e">
        <f>INDEX(Input!$D$2:$AC$500,
       MATCH(B175, Input!$J$2:$J$500, 0),
       MATCH("Memory Type", Input!$D$1:$AC$1, 0))</f>
        <v>#N/A</v>
      </c>
      <c r="L175" s="51" t="str" cm="1">
        <f t="array" ref="L175">IFERROR(_xlfn.FILTERXML("&lt;t&gt;&lt;s&gt;" &amp; SUBSTITUTE(K175," / ","&lt;/s&gt;&lt;s&gt;") &amp; "&lt;/s&gt;&lt;/t&gt;","(//s[contains(.,'DDR')])[1]"),"")</f>
        <v/>
      </c>
      <c r="M175" s="32" t="e">
        <f t="shared" si="8"/>
        <v>#N/A</v>
      </c>
      <c r="N175" s="51" t="e">
        <f>INDEX(Input!$D$2:$AC$500,
       MATCH(B175, Input!$J$2:$J$500, 0),
       MATCH("Disk Interface Type", Input!$D$1:$AC$1, 0))</f>
        <v>#N/A</v>
      </c>
      <c r="O175" s="51" t="str" cm="1">
        <f t="array" ref="O175">IFERROR(_xlfn.TEXTJOIN(", ", TRUE, _xlfn._xlws.FILTER(
    INDEX(Input!$D$2:$AC$500,,MATCH("Disk Capacity",Input!$D$1:$AC$1,0)),
    Input!$J$2:$J$500=B175
)), "")</f>
        <v/>
      </c>
      <c r="P175" s="32" t="e">
        <f t="shared" si="7"/>
        <v>#N/A</v>
      </c>
      <c r="Q175" s="51" t="e">
        <f>_xlfn.LET(_xlpm.Result,INDEX(Input!$D$2:$AC$500,
       MATCH(B175, Input!$J$2:$J$500, 0),
       MATCH("Capacity", Input!$D$1:$AC$1, 0)),IF(_xlpm.Result="","",_xlpm.Result))</f>
        <v>#N/A</v>
      </c>
      <c r="R175" s="51" t="e" cm="1">
        <f t="array" ref="R175">_xlfn.TEXTSPLIT(Q175," / ", ,TRUE,0,)</f>
        <v>#N/A</v>
      </c>
      <c r="S175" s="51"/>
      <c r="T175" s="51" t="str" cm="1">
        <f t="array" ref="T175">IFERROR(_xlfn.IFS(
R175="","",
--R175&lt;55,"Battery Defect",
--R175&lt;=69,"Battery D",
--R175&lt;=80,"Battery C",
--R175&gt;80,""
),"")</f>
        <v/>
      </c>
      <c r="U175" s="51" t="str" cm="1">
        <f t="array" ref="U175">IFERROR(_xlfn.IFS(
S175="","",
--S175&lt;55,"Battery Defect",
--S175&lt;=69,"Battery D",
--S175&lt;=80,"Battery C",
--S175&gt;80,""
),"")</f>
        <v/>
      </c>
      <c r="V175" s="51" t="str" cm="1">
        <f t="array" ref="V175:AC175">IFERROR(IF(_xlfn.XLOOKUP(B175,Input!J:J,Input!N:U)=0,"",
          _xlfn.XLOOKUP(B175,Input!J:J,Input!N:U)),"")</f>
        <v/>
      </c>
      <c r="W175" s="51" t="str">
        <v/>
      </c>
      <c r="X175" s="51" t="str">
        <v/>
      </c>
      <c r="Y175" s="51" t="str">
        <v/>
      </c>
      <c r="Z175" s="51" t="str">
        <v/>
      </c>
      <c r="AA175" s="51" t="str">
        <v/>
      </c>
      <c r="AB175" s="51" t="str">
        <v/>
      </c>
      <c r="AC175" s="51" t="str">
        <v/>
      </c>
      <c r="AD175" s="32" t="str">
        <f t="shared" si="6"/>
        <v/>
      </c>
      <c r="AE175" s="32" t="str">
        <f>_xlfn.XLOOKUP(B:B,Disk_Pivot!G:G,Disk_Pivot!I:I)</f>
        <v>Yes x2</v>
      </c>
      <c r="AF175" s="32" t="str">
        <f>_xlfn.XLOOKUP(B175,Disk_Pivot!G:G,Disk_Pivot!N:N)</f>
        <v>Pass, Fail</v>
      </c>
      <c r="AG175" s="32"/>
      <c r="AH175" s="32"/>
      <c r="AI175" s="32"/>
      <c r="AJ175" s="32"/>
      <c r="AK175" s="32"/>
      <c r="AL175" s="32"/>
    </row>
    <row r="176" spans="1:38">
      <c r="A176" s="32" t="str">
        <f>_xlfn.TEXTJOIN("",TRUE,_xlfn.XLOOKUP(B176,Input!J:J,Input!G:G,"",0,1),_xlfn.XLOOKUP(B176,Input!J:J,Input!H:H,"",0,1))</f>
        <v/>
      </c>
      <c r="B176" s="32"/>
      <c r="C176" s="51">
        <f>_xlfn.XLOOKUP(B176,Input!J:J,Input!F:F)</f>
        <v>0</v>
      </c>
      <c r="D176" s="32">
        <f>_xlfn.XLOOKUP(C176,Models!H:H,Models!G:G,C176)</f>
        <v>0</v>
      </c>
      <c r="E176" s="32">
        <f>_xlfn.XLOOKUP(B176,Input!J:J,Input!E:E)</f>
        <v>0</v>
      </c>
      <c r="F176" s="32">
        <f>IF(E176="LENOVO",_xlfn.XLOOKUP(B176,Input!J:J,Input!K:K),_xlfn.XLOOKUP(B176,Input!J:J,Input!L:L))</f>
        <v>0</v>
      </c>
      <c r="G176" s="32"/>
      <c r="H176" s="32"/>
      <c r="I176" s="32">
        <f>_xlfn.XLOOKUP(B176,CPU_Formula!A:A,CPU_Formula!I:I)</f>
        <v>0</v>
      </c>
      <c r="J176" s="51" t="e">
        <f>INDEX(Input!$D$2:$AC$500,
       MATCH(B176, Input!$J$2:$J$500, 0),
       MATCH("Total Memory", Input!$D$1:$AC$1, 0))</f>
        <v>#N/A</v>
      </c>
      <c r="K176" s="51" t="e">
        <f>INDEX(Input!$D$2:$AC$500,
       MATCH(B176, Input!$J$2:$J$500, 0),
       MATCH("Memory Type", Input!$D$1:$AC$1, 0))</f>
        <v>#N/A</v>
      </c>
      <c r="L176" s="51" t="str" cm="1">
        <f t="array" ref="L176">IFERROR(_xlfn.FILTERXML("&lt;t&gt;&lt;s&gt;" &amp; SUBSTITUTE(K176," / ","&lt;/s&gt;&lt;s&gt;") &amp; "&lt;/s&gt;&lt;/t&gt;","(//s[contains(.,'DDR')])[1]"),"")</f>
        <v/>
      </c>
      <c r="M176" s="32" t="e">
        <f t="shared" si="8"/>
        <v>#N/A</v>
      </c>
      <c r="N176" s="51" t="e">
        <f>INDEX(Input!$D$2:$AC$500,
       MATCH(B176, Input!$J$2:$J$500, 0),
       MATCH("Disk Interface Type", Input!$D$1:$AC$1, 0))</f>
        <v>#N/A</v>
      </c>
      <c r="O176" s="51" t="str" cm="1">
        <f t="array" ref="O176">IFERROR(_xlfn.TEXTJOIN(", ", TRUE, _xlfn._xlws.FILTER(
    INDEX(Input!$D$2:$AC$500,,MATCH("Disk Capacity",Input!$D$1:$AC$1,0)),
    Input!$J$2:$J$500=B176
)), "")</f>
        <v/>
      </c>
      <c r="P176" s="32" t="e">
        <f t="shared" si="7"/>
        <v>#N/A</v>
      </c>
      <c r="Q176" s="51" t="e">
        <f>_xlfn.LET(_xlpm.Result,INDEX(Input!$D$2:$AC$500,
       MATCH(B176, Input!$J$2:$J$500, 0),
       MATCH("Capacity", Input!$D$1:$AC$1, 0)),IF(_xlpm.Result="","",_xlpm.Result))</f>
        <v>#N/A</v>
      </c>
      <c r="R176" s="51" t="e" cm="1">
        <f t="array" ref="R176">_xlfn.TEXTSPLIT(Q176," / ", ,TRUE,0,)</f>
        <v>#N/A</v>
      </c>
      <c r="S176" s="51"/>
      <c r="T176" s="51" t="str" cm="1">
        <f t="array" ref="T176">IFERROR(_xlfn.IFS(
R176="","",
--R176&lt;55,"Battery Defect",
--R176&lt;=69,"Battery D",
--R176&lt;=80,"Battery C",
--R176&gt;80,""
),"")</f>
        <v/>
      </c>
      <c r="U176" s="51" t="str" cm="1">
        <f t="array" ref="U176">IFERROR(_xlfn.IFS(
S176="","",
--S176&lt;55,"Battery Defect",
--S176&lt;=69,"Battery D",
--S176&lt;=80,"Battery C",
--S176&gt;80,""
),"")</f>
        <v/>
      </c>
      <c r="V176" s="51" t="str" cm="1">
        <f t="array" ref="V176:AC176">IFERROR(IF(_xlfn.XLOOKUP(B176,Input!J:J,Input!N:U)=0,"",
          _xlfn.XLOOKUP(B176,Input!J:J,Input!N:U)),"")</f>
        <v/>
      </c>
      <c r="W176" s="51" t="str">
        <v/>
      </c>
      <c r="X176" s="51" t="str">
        <v/>
      </c>
      <c r="Y176" s="51" t="str">
        <v/>
      </c>
      <c r="Z176" s="51" t="str">
        <v/>
      </c>
      <c r="AA176" s="51" t="str">
        <v/>
      </c>
      <c r="AB176" s="51" t="str">
        <v/>
      </c>
      <c r="AC176" s="51" t="str">
        <v/>
      </c>
      <c r="AD176" s="32" t="str">
        <f t="shared" si="6"/>
        <v/>
      </c>
      <c r="AE176" s="32" t="str">
        <f>_xlfn.XLOOKUP(B:B,Disk_Pivot!G:G,Disk_Pivot!I:I)</f>
        <v>Yes x2</v>
      </c>
      <c r="AF176" s="32" t="str">
        <f>_xlfn.XLOOKUP(B176,Disk_Pivot!G:G,Disk_Pivot!N:N)</f>
        <v>Pass, Fail</v>
      </c>
      <c r="AG176" s="32"/>
      <c r="AH176" s="32"/>
      <c r="AI176" s="32"/>
      <c r="AJ176" s="32"/>
      <c r="AK176" s="32"/>
      <c r="AL176" s="32"/>
    </row>
    <row r="177" spans="1:38">
      <c r="A177" s="32" t="str">
        <f>_xlfn.TEXTJOIN("",TRUE,_xlfn.XLOOKUP(B177,Input!J:J,Input!G:G,"",0,1),_xlfn.XLOOKUP(B177,Input!J:J,Input!H:H,"",0,1))</f>
        <v/>
      </c>
      <c r="B177" s="32"/>
      <c r="C177" s="51">
        <f>_xlfn.XLOOKUP(B177,Input!J:J,Input!F:F)</f>
        <v>0</v>
      </c>
      <c r="D177" s="32">
        <f>_xlfn.XLOOKUP(C177,Models!H:H,Models!G:G,C177)</f>
        <v>0</v>
      </c>
      <c r="E177" s="32">
        <f>_xlfn.XLOOKUP(B177,Input!J:J,Input!E:E)</f>
        <v>0</v>
      </c>
      <c r="F177" s="32">
        <f>IF(E177="LENOVO",_xlfn.XLOOKUP(B177,Input!J:J,Input!K:K),_xlfn.XLOOKUP(B177,Input!J:J,Input!L:L))</f>
        <v>0</v>
      </c>
      <c r="G177" s="32"/>
      <c r="H177" s="32"/>
      <c r="I177" s="32">
        <f>_xlfn.XLOOKUP(B177,CPU_Formula!A:A,CPU_Formula!I:I)</f>
        <v>0</v>
      </c>
      <c r="J177" s="51" t="e">
        <f>INDEX(Input!$D$2:$AC$500,
       MATCH(B177, Input!$J$2:$J$500, 0),
       MATCH("Total Memory", Input!$D$1:$AC$1, 0))</f>
        <v>#N/A</v>
      </c>
      <c r="K177" s="51" t="e">
        <f>INDEX(Input!$D$2:$AC$500,
       MATCH(B177, Input!$J$2:$J$500, 0),
       MATCH("Memory Type", Input!$D$1:$AC$1, 0))</f>
        <v>#N/A</v>
      </c>
      <c r="L177" s="51" t="str" cm="1">
        <f t="array" ref="L177">IFERROR(_xlfn.FILTERXML("&lt;t&gt;&lt;s&gt;" &amp; SUBSTITUTE(K177," / ","&lt;/s&gt;&lt;s&gt;") &amp; "&lt;/s&gt;&lt;/t&gt;","(//s[contains(.,'DDR')])[1]"),"")</f>
        <v/>
      </c>
      <c r="M177" s="32" t="e">
        <f t="shared" si="8"/>
        <v>#N/A</v>
      </c>
      <c r="N177" s="51" t="e">
        <f>INDEX(Input!$D$2:$AC$500,
       MATCH(B177, Input!$J$2:$J$500, 0),
       MATCH("Disk Interface Type", Input!$D$1:$AC$1, 0))</f>
        <v>#N/A</v>
      </c>
      <c r="O177" s="51" t="str" cm="1">
        <f t="array" ref="O177">IFERROR(_xlfn.TEXTJOIN(", ", TRUE, _xlfn._xlws.FILTER(
    INDEX(Input!$D$2:$AC$500,,MATCH("Disk Capacity",Input!$D$1:$AC$1,0)),
    Input!$J$2:$J$500=B177
)), "")</f>
        <v/>
      </c>
      <c r="P177" s="32" t="e">
        <f t="shared" si="7"/>
        <v>#N/A</v>
      </c>
      <c r="Q177" s="51" t="e">
        <f>_xlfn.LET(_xlpm.Result,INDEX(Input!$D$2:$AC$500,
       MATCH(B177, Input!$J$2:$J$500, 0),
       MATCH("Capacity", Input!$D$1:$AC$1, 0)),IF(_xlpm.Result="","",_xlpm.Result))</f>
        <v>#N/A</v>
      </c>
      <c r="R177" s="51" t="e" cm="1">
        <f t="array" ref="R177">_xlfn.TEXTSPLIT(Q177," / ", ,TRUE,0,)</f>
        <v>#N/A</v>
      </c>
      <c r="S177" s="51"/>
      <c r="T177" s="51" t="str" cm="1">
        <f t="array" ref="T177">IFERROR(_xlfn.IFS(
R177="","",
--R177&lt;55,"Battery Defect",
--R177&lt;=69,"Battery D",
--R177&lt;=80,"Battery C",
--R177&gt;80,""
),"")</f>
        <v/>
      </c>
      <c r="U177" s="51" t="str" cm="1">
        <f t="array" ref="U177">IFERROR(_xlfn.IFS(
S177="","",
--S177&lt;55,"Battery Defect",
--S177&lt;=69,"Battery D",
--S177&lt;=80,"Battery C",
--S177&gt;80,""
),"")</f>
        <v/>
      </c>
      <c r="V177" s="51" t="str" cm="1">
        <f t="array" ref="V177:AC177">IFERROR(IF(_xlfn.XLOOKUP(B177,Input!J:J,Input!N:U)=0,"",
          _xlfn.XLOOKUP(B177,Input!J:J,Input!N:U)),"")</f>
        <v/>
      </c>
      <c r="W177" s="51" t="str">
        <v/>
      </c>
      <c r="X177" s="51" t="str">
        <v/>
      </c>
      <c r="Y177" s="51" t="str">
        <v/>
      </c>
      <c r="Z177" s="51" t="str">
        <v/>
      </c>
      <c r="AA177" s="51" t="str">
        <v/>
      </c>
      <c r="AB177" s="51" t="str">
        <v/>
      </c>
      <c r="AC177" s="51" t="str">
        <v/>
      </c>
      <c r="AD177" s="32" t="str">
        <f t="shared" si="6"/>
        <v/>
      </c>
      <c r="AE177" s="32" t="str">
        <f>_xlfn.XLOOKUP(B:B,Disk_Pivot!G:G,Disk_Pivot!I:I)</f>
        <v>Yes x2</v>
      </c>
      <c r="AF177" s="32" t="str">
        <f>_xlfn.XLOOKUP(B177,Disk_Pivot!G:G,Disk_Pivot!N:N)</f>
        <v>Pass, Fail</v>
      </c>
      <c r="AG177" s="32"/>
      <c r="AH177" s="32"/>
      <c r="AI177" s="32"/>
      <c r="AJ177" s="32"/>
      <c r="AK177" s="32"/>
      <c r="AL177" s="32"/>
    </row>
    <row r="178" spans="1:38">
      <c r="A178" s="32" t="str">
        <f>_xlfn.TEXTJOIN("",TRUE,_xlfn.XLOOKUP(B178,Input!J:J,Input!G:G,"",0,1),_xlfn.XLOOKUP(B178,Input!J:J,Input!H:H,"",0,1))</f>
        <v/>
      </c>
      <c r="B178" s="32"/>
      <c r="C178" s="51">
        <f>_xlfn.XLOOKUP(B178,Input!J:J,Input!F:F)</f>
        <v>0</v>
      </c>
      <c r="D178" s="32">
        <f>_xlfn.XLOOKUP(C178,Models!H:H,Models!G:G,C178)</f>
        <v>0</v>
      </c>
      <c r="E178" s="32">
        <f>_xlfn.XLOOKUP(B178,Input!J:J,Input!E:E)</f>
        <v>0</v>
      </c>
      <c r="F178" s="32">
        <f>IF(E178="LENOVO",_xlfn.XLOOKUP(B178,Input!J:J,Input!K:K),_xlfn.XLOOKUP(B178,Input!J:J,Input!L:L))</f>
        <v>0</v>
      </c>
      <c r="G178" s="32"/>
      <c r="H178" s="32"/>
      <c r="I178" s="32">
        <f>_xlfn.XLOOKUP(B178,CPU_Formula!A:A,CPU_Formula!I:I)</f>
        <v>0</v>
      </c>
      <c r="J178" s="51" t="e">
        <f>INDEX(Input!$D$2:$AC$500,
       MATCH(B178, Input!$J$2:$J$500, 0),
       MATCH("Total Memory", Input!$D$1:$AC$1, 0))</f>
        <v>#N/A</v>
      </c>
      <c r="K178" s="51" t="e">
        <f>INDEX(Input!$D$2:$AC$500,
       MATCH(B178, Input!$J$2:$J$500, 0),
       MATCH("Memory Type", Input!$D$1:$AC$1, 0))</f>
        <v>#N/A</v>
      </c>
      <c r="L178" s="51" t="str" cm="1">
        <f t="array" ref="L178">IFERROR(_xlfn.FILTERXML("&lt;t&gt;&lt;s&gt;" &amp; SUBSTITUTE(K178," / ","&lt;/s&gt;&lt;s&gt;") &amp; "&lt;/s&gt;&lt;/t&gt;","(//s[contains(.,'DDR')])[1]"),"")</f>
        <v/>
      </c>
      <c r="M178" s="32" t="e">
        <f t="shared" si="8"/>
        <v>#N/A</v>
      </c>
      <c r="N178" s="51" t="e">
        <f>INDEX(Input!$D$2:$AC$500,
       MATCH(B178, Input!$J$2:$J$500, 0),
       MATCH("Disk Interface Type", Input!$D$1:$AC$1, 0))</f>
        <v>#N/A</v>
      </c>
      <c r="O178" s="51" t="str" cm="1">
        <f t="array" ref="O178">IFERROR(_xlfn.TEXTJOIN(", ", TRUE, _xlfn._xlws.FILTER(
    INDEX(Input!$D$2:$AC$500,,MATCH("Disk Capacity",Input!$D$1:$AC$1,0)),
    Input!$J$2:$J$500=B178
)), "")</f>
        <v/>
      </c>
      <c r="P178" s="32" t="e">
        <f t="shared" si="7"/>
        <v>#N/A</v>
      </c>
      <c r="Q178" s="51" t="e">
        <f>_xlfn.LET(_xlpm.Result,INDEX(Input!$D$2:$AC$500,
       MATCH(B178, Input!$J$2:$J$500, 0),
       MATCH("Capacity", Input!$D$1:$AC$1, 0)),IF(_xlpm.Result="","",_xlpm.Result))</f>
        <v>#N/A</v>
      </c>
      <c r="R178" s="51" t="e" cm="1">
        <f t="array" ref="R178">_xlfn.TEXTSPLIT(Q178," / ", ,TRUE,0,)</f>
        <v>#N/A</v>
      </c>
      <c r="S178" s="51"/>
      <c r="T178" s="51" t="str" cm="1">
        <f t="array" ref="T178">IFERROR(_xlfn.IFS(
R178="","",
--R178&lt;55,"Battery Defect",
--R178&lt;=69,"Battery D",
--R178&lt;=80,"Battery C",
--R178&gt;80,""
),"")</f>
        <v/>
      </c>
      <c r="U178" s="51" t="str" cm="1">
        <f t="array" ref="U178">IFERROR(_xlfn.IFS(
S178="","",
--S178&lt;55,"Battery Defect",
--S178&lt;=69,"Battery D",
--S178&lt;=80,"Battery C",
--S178&gt;80,""
),"")</f>
        <v/>
      </c>
      <c r="V178" s="51" t="str" cm="1">
        <f t="array" ref="V178:AC178">IFERROR(IF(_xlfn.XLOOKUP(B178,Input!J:J,Input!N:U)=0,"",
          _xlfn.XLOOKUP(B178,Input!J:J,Input!N:U)),"")</f>
        <v/>
      </c>
      <c r="W178" s="51" t="str">
        <v/>
      </c>
      <c r="X178" s="51" t="str">
        <v/>
      </c>
      <c r="Y178" s="51" t="str">
        <v/>
      </c>
      <c r="Z178" s="51" t="str">
        <v/>
      </c>
      <c r="AA178" s="51" t="str">
        <v/>
      </c>
      <c r="AB178" s="51" t="str">
        <v/>
      </c>
      <c r="AC178" s="51" t="str">
        <v/>
      </c>
      <c r="AD178" s="32" t="str">
        <f t="shared" si="6"/>
        <v/>
      </c>
      <c r="AE178" s="32" t="str">
        <f>_xlfn.XLOOKUP(B:B,Disk_Pivot!G:G,Disk_Pivot!I:I)</f>
        <v>Yes x2</v>
      </c>
      <c r="AF178" s="32" t="str">
        <f>_xlfn.XLOOKUP(B178,Disk_Pivot!G:G,Disk_Pivot!N:N)</f>
        <v>Pass, Fail</v>
      </c>
      <c r="AG178" s="32"/>
      <c r="AH178" s="32"/>
      <c r="AI178" s="32"/>
      <c r="AJ178" s="32"/>
      <c r="AK178" s="32"/>
      <c r="AL178" s="32"/>
    </row>
    <row r="179" spans="1:38">
      <c r="A179" s="32" t="str">
        <f>_xlfn.TEXTJOIN("",TRUE,_xlfn.XLOOKUP(B179,Input!J:J,Input!G:G,"",0,1),_xlfn.XLOOKUP(B179,Input!J:J,Input!H:H,"",0,1))</f>
        <v/>
      </c>
      <c r="B179" s="32"/>
      <c r="C179" s="51">
        <f>_xlfn.XLOOKUP(B179,Input!J:J,Input!F:F)</f>
        <v>0</v>
      </c>
      <c r="D179" s="32">
        <f>_xlfn.XLOOKUP(C179,Models!H:H,Models!G:G,C179)</f>
        <v>0</v>
      </c>
      <c r="E179" s="32">
        <f>_xlfn.XLOOKUP(B179,Input!J:J,Input!E:E)</f>
        <v>0</v>
      </c>
      <c r="F179" s="32">
        <f>IF(E179="LENOVO",_xlfn.XLOOKUP(B179,Input!J:J,Input!K:K),_xlfn.XLOOKUP(B179,Input!J:J,Input!L:L))</f>
        <v>0</v>
      </c>
      <c r="G179" s="32"/>
      <c r="H179" s="32"/>
      <c r="I179" s="32">
        <f>_xlfn.XLOOKUP(B179,CPU_Formula!A:A,CPU_Formula!I:I)</f>
        <v>0</v>
      </c>
      <c r="J179" s="51" t="e">
        <f>INDEX(Input!$D$2:$AC$500,
       MATCH(B179, Input!$J$2:$J$500, 0),
       MATCH("Total Memory", Input!$D$1:$AC$1, 0))</f>
        <v>#N/A</v>
      </c>
      <c r="K179" s="51" t="e">
        <f>INDEX(Input!$D$2:$AC$500,
       MATCH(B179, Input!$J$2:$J$500, 0),
       MATCH("Memory Type", Input!$D$1:$AC$1, 0))</f>
        <v>#N/A</v>
      </c>
      <c r="L179" s="51" t="str" cm="1">
        <f t="array" ref="L179">IFERROR(_xlfn.FILTERXML("&lt;t&gt;&lt;s&gt;" &amp; SUBSTITUTE(K179," / ","&lt;/s&gt;&lt;s&gt;") &amp; "&lt;/s&gt;&lt;/t&gt;","(//s[contains(.,'DDR')])[1]"),"")</f>
        <v/>
      </c>
      <c r="M179" s="32" t="e">
        <f t="shared" si="8"/>
        <v>#N/A</v>
      </c>
      <c r="N179" s="51" t="e">
        <f>INDEX(Input!$D$2:$AC$500,
       MATCH(B179, Input!$J$2:$J$500, 0),
       MATCH("Disk Interface Type", Input!$D$1:$AC$1, 0))</f>
        <v>#N/A</v>
      </c>
      <c r="O179" s="51" t="str" cm="1">
        <f t="array" ref="O179">IFERROR(_xlfn.TEXTJOIN(", ", TRUE, _xlfn._xlws.FILTER(
    INDEX(Input!$D$2:$AC$500,,MATCH("Disk Capacity",Input!$D$1:$AC$1,0)),
    Input!$J$2:$J$500=B179
)), "")</f>
        <v/>
      </c>
      <c r="P179" s="32" t="e">
        <f t="shared" si="7"/>
        <v>#N/A</v>
      </c>
      <c r="Q179" s="51" t="e">
        <f>_xlfn.LET(_xlpm.Result,INDEX(Input!$D$2:$AC$500,
       MATCH(B179, Input!$J$2:$J$500, 0),
       MATCH("Capacity", Input!$D$1:$AC$1, 0)),IF(_xlpm.Result="","",_xlpm.Result))</f>
        <v>#N/A</v>
      </c>
      <c r="R179" s="51" t="e" cm="1">
        <f t="array" ref="R179">_xlfn.TEXTSPLIT(Q179," / ", ,TRUE,0,)</f>
        <v>#N/A</v>
      </c>
      <c r="S179" s="51"/>
      <c r="T179" s="51" t="str" cm="1">
        <f t="array" ref="T179">IFERROR(_xlfn.IFS(
R179="","",
--R179&lt;55,"Battery Defect",
--R179&lt;=69,"Battery D",
--R179&lt;=80,"Battery C",
--R179&gt;80,""
),"")</f>
        <v/>
      </c>
      <c r="U179" s="51" t="str" cm="1">
        <f t="array" ref="U179">IFERROR(_xlfn.IFS(
S179="","",
--S179&lt;55,"Battery Defect",
--S179&lt;=69,"Battery D",
--S179&lt;=80,"Battery C",
--S179&gt;80,""
),"")</f>
        <v/>
      </c>
      <c r="V179" s="51" t="str" cm="1">
        <f t="array" ref="V179:AC179">IFERROR(IF(_xlfn.XLOOKUP(B179,Input!J:J,Input!N:U)=0,"",
          _xlfn.XLOOKUP(B179,Input!J:J,Input!N:U)),"")</f>
        <v/>
      </c>
      <c r="W179" s="51" t="str">
        <v/>
      </c>
      <c r="X179" s="51" t="str">
        <v/>
      </c>
      <c r="Y179" s="51" t="str">
        <v/>
      </c>
      <c r="Z179" s="51" t="str">
        <v/>
      </c>
      <c r="AA179" s="51" t="str">
        <v/>
      </c>
      <c r="AB179" s="51" t="str">
        <v/>
      </c>
      <c r="AC179" s="51" t="str">
        <v/>
      </c>
      <c r="AD179" s="32" t="str">
        <f t="shared" si="6"/>
        <v/>
      </c>
      <c r="AE179" s="32" t="str">
        <f>_xlfn.XLOOKUP(B:B,Disk_Pivot!G:G,Disk_Pivot!I:I)</f>
        <v>Yes x2</v>
      </c>
      <c r="AF179" s="32" t="str">
        <f>_xlfn.XLOOKUP(B179,Disk_Pivot!G:G,Disk_Pivot!N:N)</f>
        <v>Pass, Fail</v>
      </c>
      <c r="AG179" s="32"/>
      <c r="AH179" s="32"/>
      <c r="AI179" s="32"/>
      <c r="AJ179" s="32"/>
      <c r="AK179" s="32"/>
      <c r="AL179" s="32"/>
    </row>
    <row r="180" spans="1:38">
      <c r="A180" s="32" t="str">
        <f>_xlfn.TEXTJOIN("",TRUE,_xlfn.XLOOKUP(B180,Input!J:J,Input!G:G,"",0,1),_xlfn.XLOOKUP(B180,Input!J:J,Input!H:H,"",0,1))</f>
        <v/>
      </c>
      <c r="B180" s="32"/>
      <c r="C180" s="51">
        <f>_xlfn.XLOOKUP(B180,Input!J:J,Input!F:F)</f>
        <v>0</v>
      </c>
      <c r="D180" s="32">
        <f>_xlfn.XLOOKUP(C180,Models!H:H,Models!G:G,C180)</f>
        <v>0</v>
      </c>
      <c r="E180" s="32">
        <f>_xlfn.XLOOKUP(B180,Input!J:J,Input!E:E)</f>
        <v>0</v>
      </c>
      <c r="F180" s="32">
        <f>IF(E180="LENOVO",_xlfn.XLOOKUP(B180,Input!J:J,Input!K:K),_xlfn.XLOOKUP(B180,Input!J:J,Input!L:L))</f>
        <v>0</v>
      </c>
      <c r="G180" s="32"/>
      <c r="H180" s="32"/>
      <c r="I180" s="32">
        <f>_xlfn.XLOOKUP(B180,CPU_Formula!A:A,CPU_Formula!I:I)</f>
        <v>0</v>
      </c>
      <c r="J180" s="51" t="e">
        <f>INDEX(Input!$D$2:$AC$500,
       MATCH(B180, Input!$J$2:$J$500, 0),
       MATCH("Total Memory", Input!$D$1:$AC$1, 0))</f>
        <v>#N/A</v>
      </c>
      <c r="K180" s="51" t="e">
        <f>INDEX(Input!$D$2:$AC$500,
       MATCH(B180, Input!$J$2:$J$500, 0),
       MATCH("Memory Type", Input!$D$1:$AC$1, 0))</f>
        <v>#N/A</v>
      </c>
      <c r="L180" s="51" t="str" cm="1">
        <f t="array" ref="L180">IFERROR(_xlfn.FILTERXML("&lt;t&gt;&lt;s&gt;" &amp; SUBSTITUTE(K180," / ","&lt;/s&gt;&lt;s&gt;") &amp; "&lt;/s&gt;&lt;/t&gt;","(//s[contains(.,'DDR')])[1]"),"")</f>
        <v/>
      </c>
      <c r="M180" s="32" t="e">
        <f t="shared" si="8"/>
        <v>#N/A</v>
      </c>
      <c r="N180" s="51" t="e">
        <f>INDEX(Input!$D$2:$AC$500,
       MATCH(B180, Input!$J$2:$J$500, 0),
       MATCH("Disk Interface Type", Input!$D$1:$AC$1, 0))</f>
        <v>#N/A</v>
      </c>
      <c r="O180" s="51" t="str" cm="1">
        <f t="array" ref="O180">IFERROR(_xlfn.TEXTJOIN(", ", TRUE, _xlfn._xlws.FILTER(
    INDEX(Input!$D$2:$AC$500,,MATCH("Disk Capacity",Input!$D$1:$AC$1,0)),
    Input!$J$2:$J$500=B180
)), "")</f>
        <v/>
      </c>
      <c r="P180" s="32" t="e">
        <f t="shared" si="7"/>
        <v>#N/A</v>
      </c>
      <c r="Q180" s="51" t="e">
        <f>_xlfn.LET(_xlpm.Result,INDEX(Input!$D$2:$AC$500,
       MATCH(B180, Input!$J$2:$J$500, 0),
       MATCH("Capacity", Input!$D$1:$AC$1, 0)),IF(_xlpm.Result="","",_xlpm.Result))</f>
        <v>#N/A</v>
      </c>
      <c r="R180" s="51" t="e" cm="1">
        <f t="array" ref="R180">_xlfn.TEXTSPLIT(Q180," / ", ,TRUE,0,)</f>
        <v>#N/A</v>
      </c>
      <c r="S180" s="51"/>
      <c r="T180" s="51" t="str" cm="1">
        <f t="array" ref="T180">IFERROR(_xlfn.IFS(
R180="","",
--R180&lt;55,"Battery Defect",
--R180&lt;=69,"Battery D",
--R180&lt;=80,"Battery C",
--R180&gt;80,""
),"")</f>
        <v/>
      </c>
      <c r="U180" s="51" t="str" cm="1">
        <f t="array" ref="U180">IFERROR(_xlfn.IFS(
S180="","",
--S180&lt;55,"Battery Defect",
--S180&lt;=69,"Battery D",
--S180&lt;=80,"Battery C",
--S180&gt;80,""
),"")</f>
        <v/>
      </c>
      <c r="V180" s="51" t="str" cm="1">
        <f t="array" ref="V180:AC180">IFERROR(IF(_xlfn.XLOOKUP(B180,Input!J:J,Input!N:U)=0,"",
          _xlfn.XLOOKUP(B180,Input!J:J,Input!N:U)),"")</f>
        <v/>
      </c>
      <c r="W180" s="51" t="str">
        <v/>
      </c>
      <c r="X180" s="51" t="str">
        <v/>
      </c>
      <c r="Y180" s="51" t="str">
        <v/>
      </c>
      <c r="Z180" s="51" t="str">
        <v/>
      </c>
      <c r="AA180" s="51" t="str">
        <v/>
      </c>
      <c r="AB180" s="51" t="str">
        <v/>
      </c>
      <c r="AC180" s="51" t="str">
        <v/>
      </c>
      <c r="AD180" s="32" t="str">
        <f t="shared" si="6"/>
        <v/>
      </c>
      <c r="AE180" s="32" t="str">
        <f>_xlfn.XLOOKUP(B:B,Disk_Pivot!G:G,Disk_Pivot!I:I)</f>
        <v>Yes x2</v>
      </c>
      <c r="AF180" s="32" t="str">
        <f>_xlfn.XLOOKUP(B180,Disk_Pivot!G:G,Disk_Pivot!N:N)</f>
        <v>Pass, Fail</v>
      </c>
      <c r="AG180" s="32"/>
      <c r="AH180" s="32"/>
      <c r="AI180" s="32"/>
      <c r="AJ180" s="32"/>
      <c r="AK180" s="32"/>
      <c r="AL180" s="32"/>
    </row>
    <row r="181" spans="1:38">
      <c r="A181" s="32" t="str">
        <f>_xlfn.TEXTJOIN("",TRUE,_xlfn.XLOOKUP(B181,Input!J:J,Input!G:G,"",0,1),_xlfn.XLOOKUP(B181,Input!J:J,Input!H:H,"",0,1))</f>
        <v/>
      </c>
      <c r="B181" s="32"/>
      <c r="C181" s="51">
        <f>_xlfn.XLOOKUP(B181,Input!J:J,Input!F:F)</f>
        <v>0</v>
      </c>
      <c r="D181" s="32">
        <f>_xlfn.XLOOKUP(C181,Models!H:H,Models!G:G,C181)</f>
        <v>0</v>
      </c>
      <c r="E181" s="32">
        <f>_xlfn.XLOOKUP(B181,Input!J:J,Input!E:E)</f>
        <v>0</v>
      </c>
      <c r="F181" s="32">
        <f>IF(E181="LENOVO",_xlfn.XLOOKUP(B181,Input!J:J,Input!K:K),_xlfn.XLOOKUP(B181,Input!J:J,Input!L:L))</f>
        <v>0</v>
      </c>
      <c r="G181" s="32"/>
      <c r="H181" s="32"/>
      <c r="I181" s="32">
        <f>_xlfn.XLOOKUP(B181,CPU_Formula!A:A,CPU_Formula!I:I)</f>
        <v>0</v>
      </c>
      <c r="J181" s="51" t="e">
        <f>INDEX(Input!$D$2:$AC$500,
       MATCH(B181, Input!$J$2:$J$500, 0),
       MATCH("Total Memory", Input!$D$1:$AC$1, 0))</f>
        <v>#N/A</v>
      </c>
      <c r="K181" s="51" t="e">
        <f>INDEX(Input!$D$2:$AC$500,
       MATCH(B181, Input!$J$2:$J$500, 0),
       MATCH("Memory Type", Input!$D$1:$AC$1, 0))</f>
        <v>#N/A</v>
      </c>
      <c r="L181" s="51" t="str" cm="1">
        <f t="array" ref="L181">IFERROR(_xlfn.FILTERXML("&lt;t&gt;&lt;s&gt;" &amp; SUBSTITUTE(K181," / ","&lt;/s&gt;&lt;s&gt;") &amp; "&lt;/s&gt;&lt;/t&gt;","(//s[contains(.,'DDR')])[1]"),"")</f>
        <v/>
      </c>
      <c r="M181" s="32" t="e">
        <f t="shared" si="8"/>
        <v>#N/A</v>
      </c>
      <c r="N181" s="51" t="e">
        <f>INDEX(Input!$D$2:$AC$500,
       MATCH(B181, Input!$J$2:$J$500, 0),
       MATCH("Disk Interface Type", Input!$D$1:$AC$1, 0))</f>
        <v>#N/A</v>
      </c>
      <c r="O181" s="51" t="str" cm="1">
        <f t="array" ref="O181">IFERROR(_xlfn.TEXTJOIN(", ", TRUE, _xlfn._xlws.FILTER(
    INDEX(Input!$D$2:$AC$500,,MATCH("Disk Capacity",Input!$D$1:$AC$1,0)),
    Input!$J$2:$J$500=B181
)), "")</f>
        <v/>
      </c>
      <c r="P181" s="32" t="e">
        <f t="shared" si="7"/>
        <v>#N/A</v>
      </c>
      <c r="Q181" s="51" t="e">
        <f>_xlfn.LET(_xlpm.Result,INDEX(Input!$D$2:$AC$500,
       MATCH(B181, Input!$J$2:$J$500, 0),
       MATCH("Capacity", Input!$D$1:$AC$1, 0)),IF(_xlpm.Result="","",_xlpm.Result))</f>
        <v>#N/A</v>
      </c>
      <c r="R181" s="51" t="e" cm="1">
        <f t="array" ref="R181">_xlfn.TEXTSPLIT(Q181," / ", ,TRUE,0,)</f>
        <v>#N/A</v>
      </c>
      <c r="S181" s="51"/>
      <c r="T181" s="51" t="str" cm="1">
        <f t="array" ref="T181">IFERROR(_xlfn.IFS(
R181="","",
--R181&lt;55,"Battery Defect",
--R181&lt;=69,"Battery D",
--R181&lt;=80,"Battery C",
--R181&gt;80,""
),"")</f>
        <v/>
      </c>
      <c r="U181" s="51" t="str" cm="1">
        <f t="array" ref="U181">IFERROR(_xlfn.IFS(
S181="","",
--S181&lt;55,"Battery Defect",
--S181&lt;=69,"Battery D",
--S181&lt;=80,"Battery C",
--S181&gt;80,""
),"")</f>
        <v/>
      </c>
      <c r="V181" s="51" t="str" cm="1">
        <f t="array" ref="V181:AC181">IFERROR(IF(_xlfn.XLOOKUP(B181,Input!J:J,Input!N:U)=0,"",
          _xlfn.XLOOKUP(B181,Input!J:J,Input!N:U)),"")</f>
        <v/>
      </c>
      <c r="W181" s="51" t="str">
        <v/>
      </c>
      <c r="X181" s="51" t="str">
        <v/>
      </c>
      <c r="Y181" s="51" t="str">
        <v/>
      </c>
      <c r="Z181" s="51" t="str">
        <v/>
      </c>
      <c r="AA181" s="51" t="str">
        <v/>
      </c>
      <c r="AB181" s="51" t="str">
        <v/>
      </c>
      <c r="AC181" s="51" t="str">
        <v/>
      </c>
      <c r="AD181" s="32" t="str">
        <f t="shared" si="6"/>
        <v/>
      </c>
      <c r="AE181" s="32" t="str">
        <f>_xlfn.XLOOKUP(B:B,Disk_Pivot!G:G,Disk_Pivot!I:I)</f>
        <v>Yes x2</v>
      </c>
      <c r="AF181" s="32" t="str">
        <f>_xlfn.XLOOKUP(B181,Disk_Pivot!G:G,Disk_Pivot!N:N)</f>
        <v>Pass, Fail</v>
      </c>
      <c r="AG181" s="32"/>
      <c r="AH181" s="32"/>
      <c r="AI181" s="32"/>
      <c r="AJ181" s="32"/>
      <c r="AK181" s="32"/>
      <c r="AL181" s="32"/>
    </row>
    <row r="182" spans="1:38">
      <c r="A182" s="32" t="str">
        <f>_xlfn.TEXTJOIN("",TRUE,_xlfn.XLOOKUP(B182,Input!J:J,Input!G:G,"",0,1),_xlfn.XLOOKUP(B182,Input!J:J,Input!H:H,"",0,1))</f>
        <v/>
      </c>
      <c r="B182" s="32"/>
      <c r="C182" s="51">
        <f>_xlfn.XLOOKUP(B182,Input!J:J,Input!F:F)</f>
        <v>0</v>
      </c>
      <c r="D182" s="32">
        <f>_xlfn.XLOOKUP(C182,Models!H:H,Models!G:G,C182)</f>
        <v>0</v>
      </c>
      <c r="E182" s="32">
        <f>_xlfn.XLOOKUP(B182,Input!J:J,Input!E:E)</f>
        <v>0</v>
      </c>
      <c r="F182" s="32">
        <f>IF(E182="LENOVO",_xlfn.XLOOKUP(B182,Input!J:J,Input!K:K),_xlfn.XLOOKUP(B182,Input!J:J,Input!L:L))</f>
        <v>0</v>
      </c>
      <c r="G182" s="32"/>
      <c r="H182" s="32"/>
      <c r="I182" s="32">
        <f>_xlfn.XLOOKUP(B182,CPU_Formula!A:A,CPU_Formula!I:I)</f>
        <v>0</v>
      </c>
      <c r="J182" s="51" t="e">
        <f>INDEX(Input!$D$2:$AC$500,
       MATCH(B182, Input!$J$2:$J$500, 0),
       MATCH("Total Memory", Input!$D$1:$AC$1, 0))</f>
        <v>#N/A</v>
      </c>
      <c r="K182" s="51" t="e">
        <f>INDEX(Input!$D$2:$AC$500,
       MATCH(B182, Input!$J$2:$J$500, 0),
       MATCH("Memory Type", Input!$D$1:$AC$1, 0))</f>
        <v>#N/A</v>
      </c>
      <c r="L182" s="51" t="str" cm="1">
        <f t="array" ref="L182">IFERROR(_xlfn.FILTERXML("&lt;t&gt;&lt;s&gt;" &amp; SUBSTITUTE(K182," / ","&lt;/s&gt;&lt;s&gt;") &amp; "&lt;/s&gt;&lt;/t&gt;","(//s[contains(.,'DDR')])[1]"),"")</f>
        <v/>
      </c>
      <c r="M182" s="32" t="e">
        <f t="shared" si="8"/>
        <v>#N/A</v>
      </c>
      <c r="N182" s="51" t="e">
        <f>INDEX(Input!$D$2:$AC$500,
       MATCH(B182, Input!$J$2:$J$500, 0),
       MATCH("Disk Interface Type", Input!$D$1:$AC$1, 0))</f>
        <v>#N/A</v>
      </c>
      <c r="O182" s="51" t="str" cm="1">
        <f t="array" ref="O182">IFERROR(_xlfn.TEXTJOIN(", ", TRUE, _xlfn._xlws.FILTER(
    INDEX(Input!$D$2:$AC$500,,MATCH("Disk Capacity",Input!$D$1:$AC$1,0)),
    Input!$J$2:$J$500=B182
)), "")</f>
        <v/>
      </c>
      <c r="P182" s="32" t="e">
        <f t="shared" si="7"/>
        <v>#N/A</v>
      </c>
      <c r="Q182" s="51" t="e">
        <f>_xlfn.LET(_xlpm.Result,INDEX(Input!$D$2:$AC$500,
       MATCH(B182, Input!$J$2:$J$500, 0),
       MATCH("Capacity", Input!$D$1:$AC$1, 0)),IF(_xlpm.Result="","",_xlpm.Result))</f>
        <v>#N/A</v>
      </c>
      <c r="R182" s="51" t="e" cm="1">
        <f t="array" ref="R182">_xlfn.TEXTSPLIT(Q182," / ", ,TRUE,0,)</f>
        <v>#N/A</v>
      </c>
      <c r="S182" s="51"/>
      <c r="T182" s="51" t="str" cm="1">
        <f t="array" ref="T182">IFERROR(_xlfn.IFS(
R182="","",
--R182&lt;55,"Battery Defect",
--R182&lt;=69,"Battery D",
--R182&lt;=80,"Battery C",
--R182&gt;80,""
),"")</f>
        <v/>
      </c>
      <c r="U182" s="51" t="str" cm="1">
        <f t="array" ref="U182">IFERROR(_xlfn.IFS(
S182="","",
--S182&lt;55,"Battery Defect",
--S182&lt;=69,"Battery D",
--S182&lt;=80,"Battery C",
--S182&gt;80,""
),"")</f>
        <v/>
      </c>
      <c r="V182" s="51" t="str" cm="1">
        <f t="array" ref="V182:AC182">IFERROR(IF(_xlfn.XLOOKUP(B182,Input!J:J,Input!N:U)=0,"",
          _xlfn.XLOOKUP(B182,Input!J:J,Input!N:U)),"")</f>
        <v/>
      </c>
      <c r="W182" s="51" t="str">
        <v/>
      </c>
      <c r="X182" s="51" t="str">
        <v/>
      </c>
      <c r="Y182" s="51" t="str">
        <v/>
      </c>
      <c r="Z182" s="51" t="str">
        <v/>
      </c>
      <c r="AA182" s="51" t="str">
        <v/>
      </c>
      <c r="AB182" s="51" t="str">
        <v/>
      </c>
      <c r="AC182" s="51" t="str">
        <v/>
      </c>
      <c r="AD182" s="32" t="str">
        <f t="shared" si="6"/>
        <v/>
      </c>
      <c r="AE182" s="32" t="str">
        <f>_xlfn.XLOOKUP(B:B,Disk_Pivot!G:G,Disk_Pivot!I:I)</f>
        <v>Yes x2</v>
      </c>
      <c r="AF182" s="32" t="str">
        <f>_xlfn.XLOOKUP(B182,Disk_Pivot!G:G,Disk_Pivot!N:N)</f>
        <v>Pass, Fail</v>
      </c>
      <c r="AG182" s="32"/>
      <c r="AH182" s="32"/>
      <c r="AI182" s="32"/>
      <c r="AJ182" s="32"/>
      <c r="AK182" s="32"/>
      <c r="AL182" s="32"/>
    </row>
    <row r="183" spans="1:38">
      <c r="A183" s="32" t="str">
        <f>_xlfn.TEXTJOIN("",TRUE,_xlfn.XLOOKUP(B183,Input!J:J,Input!G:G,"",0,1),_xlfn.XLOOKUP(B183,Input!J:J,Input!H:H,"",0,1))</f>
        <v/>
      </c>
      <c r="B183" s="32"/>
      <c r="C183" s="51">
        <f>_xlfn.XLOOKUP(B183,Input!J:J,Input!F:F)</f>
        <v>0</v>
      </c>
      <c r="D183" s="32">
        <f>_xlfn.XLOOKUP(C183,Models!H:H,Models!G:G,C183)</f>
        <v>0</v>
      </c>
      <c r="E183" s="32">
        <f>_xlfn.XLOOKUP(B183,Input!J:J,Input!E:E)</f>
        <v>0</v>
      </c>
      <c r="F183" s="32">
        <f>IF(E183="LENOVO",_xlfn.XLOOKUP(B183,Input!J:J,Input!K:K),_xlfn.XLOOKUP(B183,Input!J:J,Input!L:L))</f>
        <v>0</v>
      </c>
      <c r="G183" s="32"/>
      <c r="H183" s="32"/>
      <c r="I183" s="32">
        <f>_xlfn.XLOOKUP(B183,CPU_Formula!A:A,CPU_Formula!I:I)</f>
        <v>0</v>
      </c>
      <c r="J183" s="51" t="e">
        <f>INDEX(Input!$D$2:$AC$500,
       MATCH(B183, Input!$J$2:$J$500, 0),
       MATCH("Total Memory", Input!$D$1:$AC$1, 0))</f>
        <v>#N/A</v>
      </c>
      <c r="K183" s="51" t="e">
        <f>INDEX(Input!$D$2:$AC$500,
       MATCH(B183, Input!$J$2:$J$500, 0),
       MATCH("Memory Type", Input!$D$1:$AC$1, 0))</f>
        <v>#N/A</v>
      </c>
      <c r="L183" s="51" t="str" cm="1">
        <f t="array" ref="L183">IFERROR(_xlfn.FILTERXML("&lt;t&gt;&lt;s&gt;" &amp; SUBSTITUTE(K183," / ","&lt;/s&gt;&lt;s&gt;") &amp; "&lt;/s&gt;&lt;/t&gt;","(//s[contains(.,'DDR')])[1]"),"")</f>
        <v/>
      </c>
      <c r="M183" s="32" t="e">
        <f t="shared" si="8"/>
        <v>#N/A</v>
      </c>
      <c r="N183" s="51" t="e">
        <f>INDEX(Input!$D$2:$AC$500,
       MATCH(B183, Input!$J$2:$J$500, 0),
       MATCH("Disk Interface Type", Input!$D$1:$AC$1, 0))</f>
        <v>#N/A</v>
      </c>
      <c r="O183" s="51" t="str" cm="1">
        <f t="array" ref="O183">IFERROR(_xlfn.TEXTJOIN(", ", TRUE, _xlfn._xlws.FILTER(
    INDEX(Input!$D$2:$AC$500,,MATCH("Disk Capacity",Input!$D$1:$AC$1,0)),
    Input!$J$2:$J$500=B183
)), "")</f>
        <v/>
      </c>
      <c r="P183" s="32" t="e">
        <f t="shared" si="7"/>
        <v>#N/A</v>
      </c>
      <c r="Q183" s="51" t="e">
        <f>_xlfn.LET(_xlpm.Result,INDEX(Input!$D$2:$AC$500,
       MATCH(B183, Input!$J$2:$J$500, 0),
       MATCH("Capacity", Input!$D$1:$AC$1, 0)),IF(_xlpm.Result="","",_xlpm.Result))</f>
        <v>#N/A</v>
      </c>
      <c r="R183" s="51" t="e" cm="1">
        <f t="array" ref="R183">_xlfn.TEXTSPLIT(Q183," / ", ,TRUE,0,)</f>
        <v>#N/A</v>
      </c>
      <c r="S183" s="51"/>
      <c r="T183" s="51" t="str" cm="1">
        <f t="array" ref="T183">IFERROR(_xlfn.IFS(
R183="","",
--R183&lt;55,"Battery Defect",
--R183&lt;=69,"Battery D",
--R183&lt;=80,"Battery C",
--R183&gt;80,""
),"")</f>
        <v/>
      </c>
      <c r="U183" s="51" t="str" cm="1">
        <f t="array" ref="U183">IFERROR(_xlfn.IFS(
S183="","",
--S183&lt;55,"Battery Defect",
--S183&lt;=69,"Battery D",
--S183&lt;=80,"Battery C",
--S183&gt;80,""
),"")</f>
        <v/>
      </c>
      <c r="V183" s="51" t="str" cm="1">
        <f t="array" ref="V183:AC183">IFERROR(IF(_xlfn.XLOOKUP(B183,Input!J:J,Input!N:U)=0,"",
          _xlfn.XLOOKUP(B183,Input!J:J,Input!N:U)),"")</f>
        <v/>
      </c>
      <c r="W183" s="51" t="str">
        <v/>
      </c>
      <c r="X183" s="51" t="str">
        <v/>
      </c>
      <c r="Y183" s="51" t="str">
        <v/>
      </c>
      <c r="Z183" s="51" t="str">
        <v/>
      </c>
      <c r="AA183" s="51" t="str">
        <v/>
      </c>
      <c r="AB183" s="51" t="str">
        <v/>
      </c>
      <c r="AC183" s="51" t="str">
        <v/>
      </c>
      <c r="AD183" s="32" t="str">
        <f t="shared" si="6"/>
        <v/>
      </c>
      <c r="AE183" s="32" t="str">
        <f>_xlfn.XLOOKUP(B:B,Disk_Pivot!G:G,Disk_Pivot!I:I)</f>
        <v>Yes x2</v>
      </c>
      <c r="AF183" s="32" t="str">
        <f>_xlfn.XLOOKUP(B183,Disk_Pivot!G:G,Disk_Pivot!N:N)</f>
        <v>Pass, Fail</v>
      </c>
      <c r="AG183" s="32"/>
      <c r="AH183" s="32"/>
      <c r="AI183" s="32"/>
      <c r="AJ183" s="32"/>
      <c r="AK183" s="32"/>
      <c r="AL183" s="32"/>
    </row>
    <row r="184" spans="1:38">
      <c r="A184" s="32" t="str">
        <f>_xlfn.TEXTJOIN("",TRUE,_xlfn.XLOOKUP(B184,Input!J:J,Input!G:G,"",0,1),_xlfn.XLOOKUP(B184,Input!J:J,Input!H:H,"",0,1))</f>
        <v/>
      </c>
      <c r="B184" s="32"/>
      <c r="C184" s="51">
        <f>_xlfn.XLOOKUP(B184,Input!J:J,Input!F:F)</f>
        <v>0</v>
      </c>
      <c r="D184" s="32">
        <f>_xlfn.XLOOKUP(C184,Models!H:H,Models!G:G,C184)</f>
        <v>0</v>
      </c>
      <c r="E184" s="32">
        <f>_xlfn.XLOOKUP(B184,Input!J:J,Input!E:E)</f>
        <v>0</v>
      </c>
      <c r="F184" s="32">
        <f>IF(E184="LENOVO",_xlfn.XLOOKUP(B184,Input!J:J,Input!K:K),_xlfn.XLOOKUP(B184,Input!J:J,Input!L:L))</f>
        <v>0</v>
      </c>
      <c r="G184" s="32"/>
      <c r="H184" s="32"/>
      <c r="I184" s="32">
        <f>_xlfn.XLOOKUP(B184,CPU_Formula!A:A,CPU_Formula!I:I)</f>
        <v>0</v>
      </c>
      <c r="J184" s="51" t="e">
        <f>INDEX(Input!$D$2:$AC$500,
       MATCH(B184, Input!$J$2:$J$500, 0),
       MATCH("Total Memory", Input!$D$1:$AC$1, 0))</f>
        <v>#N/A</v>
      </c>
      <c r="K184" s="51" t="e">
        <f>INDEX(Input!$D$2:$AC$500,
       MATCH(B184, Input!$J$2:$J$500, 0),
       MATCH("Memory Type", Input!$D$1:$AC$1, 0))</f>
        <v>#N/A</v>
      </c>
      <c r="L184" s="51" t="str" cm="1">
        <f t="array" ref="L184">IFERROR(_xlfn.FILTERXML("&lt;t&gt;&lt;s&gt;" &amp; SUBSTITUTE(K184," / ","&lt;/s&gt;&lt;s&gt;") &amp; "&lt;/s&gt;&lt;/t&gt;","(//s[contains(.,'DDR')])[1]"),"")</f>
        <v/>
      </c>
      <c r="M184" s="32" t="e">
        <f t="shared" si="8"/>
        <v>#N/A</v>
      </c>
      <c r="N184" s="51" t="e">
        <f>INDEX(Input!$D$2:$AC$500,
       MATCH(B184, Input!$J$2:$J$500, 0),
       MATCH("Disk Interface Type", Input!$D$1:$AC$1, 0))</f>
        <v>#N/A</v>
      </c>
      <c r="O184" s="51" t="str" cm="1">
        <f t="array" ref="O184">IFERROR(_xlfn.TEXTJOIN(", ", TRUE, _xlfn._xlws.FILTER(
    INDEX(Input!$D$2:$AC$500,,MATCH("Disk Capacity",Input!$D$1:$AC$1,0)),
    Input!$J$2:$J$500=B184
)), "")</f>
        <v/>
      </c>
      <c r="P184" s="32" t="e">
        <f t="shared" si="7"/>
        <v>#N/A</v>
      </c>
      <c r="Q184" s="51" t="e">
        <f>_xlfn.LET(_xlpm.Result,INDEX(Input!$D$2:$AC$500,
       MATCH(B184, Input!$J$2:$J$500, 0),
       MATCH("Capacity", Input!$D$1:$AC$1, 0)),IF(_xlpm.Result="","",_xlpm.Result))</f>
        <v>#N/A</v>
      </c>
      <c r="R184" s="51" t="e" cm="1">
        <f t="array" ref="R184">_xlfn.TEXTSPLIT(Q184," / ", ,TRUE,0,)</f>
        <v>#N/A</v>
      </c>
      <c r="S184" s="51"/>
      <c r="T184" s="51" t="str" cm="1">
        <f t="array" ref="T184">IFERROR(_xlfn.IFS(
R184="","",
--R184&lt;55,"Battery Defect",
--R184&lt;=69,"Battery D",
--R184&lt;=80,"Battery C",
--R184&gt;80,""
),"")</f>
        <v/>
      </c>
      <c r="U184" s="51" t="str" cm="1">
        <f t="array" ref="U184">IFERROR(_xlfn.IFS(
S184="","",
--S184&lt;55,"Battery Defect",
--S184&lt;=69,"Battery D",
--S184&lt;=80,"Battery C",
--S184&gt;80,""
),"")</f>
        <v/>
      </c>
      <c r="V184" s="51" t="str" cm="1">
        <f t="array" ref="V184:AC184">IFERROR(IF(_xlfn.XLOOKUP(B184,Input!J:J,Input!N:U)=0,"",
          _xlfn.XLOOKUP(B184,Input!J:J,Input!N:U)),"")</f>
        <v/>
      </c>
      <c r="W184" s="51" t="str">
        <v/>
      </c>
      <c r="X184" s="51" t="str">
        <v/>
      </c>
      <c r="Y184" s="51" t="str">
        <v/>
      </c>
      <c r="Z184" s="51" t="str">
        <v/>
      </c>
      <c r="AA184" s="51" t="str">
        <v/>
      </c>
      <c r="AB184" s="51" t="str">
        <v/>
      </c>
      <c r="AC184" s="51" t="str">
        <v/>
      </c>
      <c r="AD184" s="32" t="str">
        <f t="shared" si="6"/>
        <v/>
      </c>
      <c r="AE184" s="32" t="str">
        <f>_xlfn.XLOOKUP(B:B,Disk_Pivot!G:G,Disk_Pivot!I:I)</f>
        <v>Yes x2</v>
      </c>
      <c r="AF184" s="32" t="str">
        <f>_xlfn.XLOOKUP(B184,Disk_Pivot!G:G,Disk_Pivot!N:N)</f>
        <v>Pass, Fail</v>
      </c>
      <c r="AG184" s="32"/>
      <c r="AH184" s="32"/>
      <c r="AI184" s="32"/>
      <c r="AJ184" s="32"/>
      <c r="AK184" s="32"/>
      <c r="AL184" s="32"/>
    </row>
    <row r="185" spans="1:38">
      <c r="A185" s="32" t="str">
        <f>_xlfn.TEXTJOIN("",TRUE,_xlfn.XLOOKUP(B185,Input!J:J,Input!G:G,"",0,1),_xlfn.XLOOKUP(B185,Input!J:J,Input!H:H,"",0,1))</f>
        <v/>
      </c>
      <c r="B185" s="32"/>
      <c r="C185" s="51">
        <f>_xlfn.XLOOKUP(B185,Input!J:J,Input!F:F)</f>
        <v>0</v>
      </c>
      <c r="D185" s="32">
        <f>_xlfn.XLOOKUP(C185,Models!H:H,Models!G:G,C185)</f>
        <v>0</v>
      </c>
      <c r="E185" s="32">
        <f>_xlfn.XLOOKUP(B185,Input!J:J,Input!E:E)</f>
        <v>0</v>
      </c>
      <c r="F185" s="32">
        <f>IF(E185="LENOVO",_xlfn.XLOOKUP(B185,Input!J:J,Input!K:K),_xlfn.XLOOKUP(B185,Input!J:J,Input!L:L))</f>
        <v>0</v>
      </c>
      <c r="G185" s="32"/>
      <c r="H185" s="32"/>
      <c r="I185" s="32">
        <f>_xlfn.XLOOKUP(B185,CPU_Formula!A:A,CPU_Formula!I:I)</f>
        <v>0</v>
      </c>
      <c r="J185" s="51" t="e">
        <f>INDEX(Input!$D$2:$AC$500,
       MATCH(B185, Input!$J$2:$J$500, 0),
       MATCH("Total Memory", Input!$D$1:$AC$1, 0))</f>
        <v>#N/A</v>
      </c>
      <c r="K185" s="51" t="e">
        <f>INDEX(Input!$D$2:$AC$500,
       MATCH(B185, Input!$J$2:$J$500, 0),
       MATCH("Memory Type", Input!$D$1:$AC$1, 0))</f>
        <v>#N/A</v>
      </c>
      <c r="L185" s="51" t="str" cm="1">
        <f t="array" ref="L185">IFERROR(_xlfn.FILTERXML("&lt;t&gt;&lt;s&gt;" &amp; SUBSTITUTE(K185," / ","&lt;/s&gt;&lt;s&gt;") &amp; "&lt;/s&gt;&lt;/t&gt;","(//s[contains(.,'DDR')])[1]"),"")</f>
        <v/>
      </c>
      <c r="M185" s="32" t="e">
        <f t="shared" si="8"/>
        <v>#N/A</v>
      </c>
      <c r="N185" s="51" t="e">
        <f>INDEX(Input!$D$2:$AC$500,
       MATCH(B185, Input!$J$2:$J$500, 0),
       MATCH("Disk Interface Type", Input!$D$1:$AC$1, 0))</f>
        <v>#N/A</v>
      </c>
      <c r="O185" s="51" t="str" cm="1">
        <f t="array" ref="O185">IFERROR(_xlfn.TEXTJOIN(", ", TRUE, _xlfn._xlws.FILTER(
    INDEX(Input!$D$2:$AC$500,,MATCH("Disk Capacity",Input!$D$1:$AC$1,0)),
    Input!$J$2:$J$500=B185
)), "")</f>
        <v/>
      </c>
      <c r="P185" s="32" t="e">
        <f t="shared" si="7"/>
        <v>#N/A</v>
      </c>
      <c r="Q185" s="51" t="e">
        <f>_xlfn.LET(_xlpm.Result,INDEX(Input!$D$2:$AC$500,
       MATCH(B185, Input!$J$2:$J$500, 0),
       MATCH("Capacity", Input!$D$1:$AC$1, 0)),IF(_xlpm.Result="","",_xlpm.Result))</f>
        <v>#N/A</v>
      </c>
      <c r="R185" s="51" t="e" cm="1">
        <f t="array" ref="R185">_xlfn.TEXTSPLIT(Q185," / ", ,TRUE,0,)</f>
        <v>#N/A</v>
      </c>
      <c r="S185" s="51"/>
      <c r="T185" s="51" t="str" cm="1">
        <f t="array" ref="T185">IFERROR(_xlfn.IFS(
R185="","",
--R185&lt;55,"Battery Defect",
--R185&lt;=69,"Battery D",
--R185&lt;=80,"Battery C",
--R185&gt;80,""
),"")</f>
        <v/>
      </c>
      <c r="U185" s="51" t="str" cm="1">
        <f t="array" ref="U185">IFERROR(_xlfn.IFS(
S185="","",
--S185&lt;55,"Battery Defect",
--S185&lt;=69,"Battery D",
--S185&lt;=80,"Battery C",
--S185&gt;80,""
),"")</f>
        <v/>
      </c>
      <c r="V185" s="51" t="str" cm="1">
        <f t="array" ref="V185:AC185">IFERROR(IF(_xlfn.XLOOKUP(B185,Input!J:J,Input!N:U)=0,"",
          _xlfn.XLOOKUP(B185,Input!J:J,Input!N:U)),"")</f>
        <v/>
      </c>
      <c r="W185" s="51" t="str">
        <v/>
      </c>
      <c r="X185" s="51" t="str">
        <v/>
      </c>
      <c r="Y185" s="51" t="str">
        <v/>
      </c>
      <c r="Z185" s="51" t="str">
        <v/>
      </c>
      <c r="AA185" s="51" t="str">
        <v/>
      </c>
      <c r="AB185" s="51" t="str">
        <v/>
      </c>
      <c r="AC185" s="51" t="str">
        <v/>
      </c>
      <c r="AD185" s="32" t="str">
        <f t="shared" si="6"/>
        <v/>
      </c>
      <c r="AE185" s="32" t="str">
        <f>_xlfn.XLOOKUP(B:B,Disk_Pivot!G:G,Disk_Pivot!I:I)</f>
        <v>Yes x2</v>
      </c>
      <c r="AF185" s="32" t="str">
        <f>_xlfn.XLOOKUP(B185,Disk_Pivot!G:G,Disk_Pivot!N:N)</f>
        <v>Pass, Fail</v>
      </c>
      <c r="AG185" s="32"/>
      <c r="AH185" s="32"/>
      <c r="AI185" s="32"/>
      <c r="AJ185" s="32"/>
      <c r="AK185" s="32"/>
      <c r="AL185" s="32"/>
    </row>
    <row r="186" spans="1:38">
      <c r="A186" s="32" t="str">
        <f>_xlfn.TEXTJOIN("",TRUE,_xlfn.XLOOKUP(B186,Input!J:J,Input!G:G,"",0,1),_xlfn.XLOOKUP(B186,Input!J:J,Input!H:H,"",0,1))</f>
        <v/>
      </c>
      <c r="B186" s="32"/>
      <c r="C186" s="51">
        <f>_xlfn.XLOOKUP(B186,Input!J:J,Input!F:F)</f>
        <v>0</v>
      </c>
      <c r="D186" s="32">
        <f>_xlfn.XLOOKUP(C186,Models!H:H,Models!G:G,C186)</f>
        <v>0</v>
      </c>
      <c r="E186" s="32">
        <f>_xlfn.XLOOKUP(B186,Input!J:J,Input!E:E)</f>
        <v>0</v>
      </c>
      <c r="F186" s="32">
        <f>IF(E186="LENOVO",_xlfn.XLOOKUP(B186,Input!J:J,Input!K:K),_xlfn.XLOOKUP(B186,Input!J:J,Input!L:L))</f>
        <v>0</v>
      </c>
      <c r="G186" s="32"/>
      <c r="H186" s="32"/>
      <c r="I186" s="32">
        <f>_xlfn.XLOOKUP(B186,CPU_Formula!A:A,CPU_Formula!I:I)</f>
        <v>0</v>
      </c>
      <c r="J186" s="51" t="e">
        <f>INDEX(Input!$D$2:$AC$500,
       MATCH(B186, Input!$J$2:$J$500, 0),
       MATCH("Total Memory", Input!$D$1:$AC$1, 0))</f>
        <v>#N/A</v>
      </c>
      <c r="K186" s="51" t="e">
        <f>INDEX(Input!$D$2:$AC$500,
       MATCH(B186, Input!$J$2:$J$500, 0),
       MATCH("Memory Type", Input!$D$1:$AC$1, 0))</f>
        <v>#N/A</v>
      </c>
      <c r="L186" s="51" t="str" cm="1">
        <f t="array" ref="L186">IFERROR(_xlfn.FILTERXML("&lt;t&gt;&lt;s&gt;" &amp; SUBSTITUTE(K186," / ","&lt;/s&gt;&lt;s&gt;") &amp; "&lt;/s&gt;&lt;/t&gt;","(//s[contains(.,'DDR')])[1]"),"")</f>
        <v/>
      </c>
      <c r="M186" s="32" t="e">
        <f t="shared" si="8"/>
        <v>#N/A</v>
      </c>
      <c r="N186" s="51" t="e">
        <f>INDEX(Input!$D$2:$AC$500,
       MATCH(B186, Input!$J$2:$J$500, 0),
       MATCH("Disk Interface Type", Input!$D$1:$AC$1, 0))</f>
        <v>#N/A</v>
      </c>
      <c r="O186" s="51" t="str" cm="1">
        <f t="array" ref="O186">IFERROR(_xlfn.TEXTJOIN(", ", TRUE, _xlfn._xlws.FILTER(
    INDEX(Input!$D$2:$AC$500,,MATCH("Disk Capacity",Input!$D$1:$AC$1,0)),
    Input!$J$2:$J$500=B186
)), "")</f>
        <v/>
      </c>
      <c r="P186" s="32" t="e">
        <f t="shared" si="7"/>
        <v>#N/A</v>
      </c>
      <c r="Q186" s="51" t="e">
        <f>_xlfn.LET(_xlpm.Result,INDEX(Input!$D$2:$AC$500,
       MATCH(B186, Input!$J$2:$J$500, 0),
       MATCH("Capacity", Input!$D$1:$AC$1, 0)),IF(_xlpm.Result="","",_xlpm.Result))</f>
        <v>#N/A</v>
      </c>
      <c r="R186" s="51" t="e" cm="1">
        <f t="array" ref="R186">_xlfn.TEXTSPLIT(Q186," / ", ,TRUE,0,)</f>
        <v>#N/A</v>
      </c>
      <c r="S186" s="51"/>
      <c r="T186" s="51" t="str" cm="1">
        <f t="array" ref="T186">IFERROR(_xlfn.IFS(
R186="","",
--R186&lt;55,"Battery Defect",
--R186&lt;=69,"Battery D",
--R186&lt;=80,"Battery C",
--R186&gt;80,""
),"")</f>
        <v/>
      </c>
      <c r="U186" s="51" t="str" cm="1">
        <f t="array" ref="U186">IFERROR(_xlfn.IFS(
S186="","",
--S186&lt;55,"Battery Defect",
--S186&lt;=69,"Battery D",
--S186&lt;=80,"Battery C",
--S186&gt;80,""
),"")</f>
        <v/>
      </c>
      <c r="V186" s="51" t="str" cm="1">
        <f t="array" ref="V186:AC186">IFERROR(IF(_xlfn.XLOOKUP(B186,Input!J:J,Input!N:U)=0,"",
          _xlfn.XLOOKUP(B186,Input!J:J,Input!N:U)),"")</f>
        <v/>
      </c>
      <c r="W186" s="51" t="str">
        <v/>
      </c>
      <c r="X186" s="51" t="str">
        <v/>
      </c>
      <c r="Y186" s="51" t="str">
        <v/>
      </c>
      <c r="Z186" s="51" t="str">
        <v/>
      </c>
      <c r="AA186" s="51" t="str">
        <v/>
      </c>
      <c r="AB186" s="51" t="str">
        <v/>
      </c>
      <c r="AC186" s="51" t="str">
        <v/>
      </c>
      <c r="AD186" s="32" t="str">
        <f t="shared" si="6"/>
        <v/>
      </c>
      <c r="AE186" s="32" t="str">
        <f>_xlfn.XLOOKUP(B:B,Disk_Pivot!G:G,Disk_Pivot!I:I)</f>
        <v>Yes x2</v>
      </c>
      <c r="AF186" s="32" t="str">
        <f>_xlfn.XLOOKUP(B186,Disk_Pivot!G:G,Disk_Pivot!N:N)</f>
        <v>Pass, Fail</v>
      </c>
      <c r="AG186" s="32"/>
      <c r="AH186" s="32"/>
      <c r="AI186" s="32"/>
      <c r="AJ186" s="32"/>
      <c r="AK186" s="32"/>
      <c r="AL186" s="32"/>
    </row>
    <row r="187" spans="1:38">
      <c r="A187" s="32" t="str">
        <f>_xlfn.TEXTJOIN("",TRUE,_xlfn.XLOOKUP(B187,Input!J:J,Input!G:G,"",0,1),_xlfn.XLOOKUP(B187,Input!J:J,Input!H:H,"",0,1))</f>
        <v/>
      </c>
      <c r="B187" s="32"/>
      <c r="C187" s="51">
        <f>_xlfn.XLOOKUP(B187,Input!J:J,Input!F:F)</f>
        <v>0</v>
      </c>
      <c r="D187" s="32">
        <f>_xlfn.XLOOKUP(C187,Models!H:H,Models!G:G,C187)</f>
        <v>0</v>
      </c>
      <c r="E187" s="32">
        <f>_xlfn.XLOOKUP(B187,Input!J:J,Input!E:E)</f>
        <v>0</v>
      </c>
      <c r="F187" s="32">
        <f>IF(E187="LENOVO",_xlfn.XLOOKUP(B187,Input!J:J,Input!K:K),_xlfn.XLOOKUP(B187,Input!J:J,Input!L:L))</f>
        <v>0</v>
      </c>
      <c r="G187" s="32"/>
      <c r="H187" s="32"/>
      <c r="I187" s="32">
        <f>_xlfn.XLOOKUP(B187,CPU_Formula!A:A,CPU_Formula!I:I)</f>
        <v>0</v>
      </c>
      <c r="J187" s="51" t="e">
        <f>INDEX(Input!$D$2:$AC$500,
       MATCH(B187, Input!$J$2:$J$500, 0),
       MATCH("Total Memory", Input!$D$1:$AC$1, 0))</f>
        <v>#N/A</v>
      </c>
      <c r="K187" s="51" t="e">
        <f>INDEX(Input!$D$2:$AC$500,
       MATCH(B187, Input!$J$2:$J$500, 0),
       MATCH("Memory Type", Input!$D$1:$AC$1, 0))</f>
        <v>#N/A</v>
      </c>
      <c r="L187" s="51" t="str" cm="1">
        <f t="array" ref="L187">IFERROR(_xlfn.FILTERXML("&lt;t&gt;&lt;s&gt;" &amp; SUBSTITUTE(K187," / ","&lt;/s&gt;&lt;s&gt;") &amp; "&lt;/s&gt;&lt;/t&gt;","(//s[contains(.,'DDR')])[1]"),"")</f>
        <v/>
      </c>
      <c r="M187" s="32" t="e">
        <f t="shared" si="8"/>
        <v>#N/A</v>
      </c>
      <c r="N187" s="51" t="e">
        <f>INDEX(Input!$D$2:$AC$500,
       MATCH(B187, Input!$J$2:$J$500, 0),
       MATCH("Disk Interface Type", Input!$D$1:$AC$1, 0))</f>
        <v>#N/A</v>
      </c>
      <c r="O187" s="51" t="str" cm="1">
        <f t="array" ref="O187">IFERROR(_xlfn.TEXTJOIN(", ", TRUE, _xlfn._xlws.FILTER(
    INDEX(Input!$D$2:$AC$500,,MATCH("Disk Capacity",Input!$D$1:$AC$1,0)),
    Input!$J$2:$J$500=B187
)), "")</f>
        <v/>
      </c>
      <c r="P187" s="32" t="e">
        <f t="shared" si="7"/>
        <v>#N/A</v>
      </c>
      <c r="Q187" s="51" t="e">
        <f>_xlfn.LET(_xlpm.Result,INDEX(Input!$D$2:$AC$500,
       MATCH(B187, Input!$J$2:$J$500, 0),
       MATCH("Capacity", Input!$D$1:$AC$1, 0)),IF(_xlpm.Result="","",_xlpm.Result))</f>
        <v>#N/A</v>
      </c>
      <c r="R187" s="51" t="e" cm="1">
        <f t="array" ref="R187">_xlfn.TEXTSPLIT(Q187," / ", ,TRUE,0,)</f>
        <v>#N/A</v>
      </c>
      <c r="S187" s="51"/>
      <c r="T187" s="51" t="str" cm="1">
        <f t="array" ref="T187">IFERROR(_xlfn.IFS(
R187="","",
--R187&lt;55,"Battery Defect",
--R187&lt;=69,"Battery D",
--R187&lt;=80,"Battery C",
--R187&gt;80,""
),"")</f>
        <v/>
      </c>
      <c r="U187" s="51" t="str" cm="1">
        <f t="array" ref="U187">IFERROR(_xlfn.IFS(
S187="","",
--S187&lt;55,"Battery Defect",
--S187&lt;=69,"Battery D",
--S187&lt;=80,"Battery C",
--S187&gt;80,""
),"")</f>
        <v/>
      </c>
      <c r="V187" s="51" t="str" cm="1">
        <f t="array" ref="V187:AC187">IFERROR(IF(_xlfn.XLOOKUP(B187,Input!J:J,Input!N:U)=0,"",
          _xlfn.XLOOKUP(B187,Input!J:J,Input!N:U)),"")</f>
        <v/>
      </c>
      <c r="W187" s="51" t="str">
        <v/>
      </c>
      <c r="X187" s="51" t="str">
        <v/>
      </c>
      <c r="Y187" s="51" t="str">
        <v/>
      </c>
      <c r="Z187" s="51" t="str">
        <v/>
      </c>
      <c r="AA187" s="51" t="str">
        <v/>
      </c>
      <c r="AB187" s="51" t="str">
        <v/>
      </c>
      <c r="AC187" s="51" t="str">
        <v/>
      </c>
      <c r="AD187" s="32" t="str">
        <f t="shared" si="6"/>
        <v/>
      </c>
      <c r="AE187" s="32" t="str">
        <f>_xlfn.XLOOKUP(B:B,Disk_Pivot!G:G,Disk_Pivot!I:I)</f>
        <v>Yes x2</v>
      </c>
      <c r="AF187" s="32" t="str">
        <f>_xlfn.XLOOKUP(B187,Disk_Pivot!G:G,Disk_Pivot!N:N)</f>
        <v>Pass, Fail</v>
      </c>
      <c r="AG187" s="32"/>
      <c r="AH187" s="32"/>
      <c r="AI187" s="32"/>
      <c r="AJ187" s="32"/>
      <c r="AK187" s="32"/>
      <c r="AL187" s="32"/>
    </row>
    <row r="188" spans="1:38">
      <c r="A188" s="32" t="str">
        <f>_xlfn.TEXTJOIN("",TRUE,_xlfn.XLOOKUP(B188,Input!J:J,Input!G:G,"",0,1),_xlfn.XLOOKUP(B188,Input!J:J,Input!H:H,"",0,1))</f>
        <v/>
      </c>
      <c r="B188" s="32"/>
      <c r="C188" s="51">
        <f>_xlfn.XLOOKUP(B188,Input!J:J,Input!F:F)</f>
        <v>0</v>
      </c>
      <c r="D188" s="32">
        <f>_xlfn.XLOOKUP(C188,Models!H:H,Models!G:G,C188)</f>
        <v>0</v>
      </c>
      <c r="E188" s="32">
        <f>_xlfn.XLOOKUP(B188,Input!J:J,Input!E:E)</f>
        <v>0</v>
      </c>
      <c r="F188" s="32">
        <f>IF(E188="LENOVO",_xlfn.XLOOKUP(B188,Input!J:J,Input!K:K),_xlfn.XLOOKUP(B188,Input!J:J,Input!L:L))</f>
        <v>0</v>
      </c>
      <c r="G188" s="32"/>
      <c r="H188" s="32"/>
      <c r="I188" s="32">
        <f>_xlfn.XLOOKUP(B188,CPU_Formula!A:A,CPU_Formula!I:I)</f>
        <v>0</v>
      </c>
      <c r="J188" s="51" t="e">
        <f>INDEX(Input!$D$2:$AC$500,
       MATCH(B188, Input!$J$2:$J$500, 0),
       MATCH("Total Memory", Input!$D$1:$AC$1, 0))</f>
        <v>#N/A</v>
      </c>
      <c r="K188" s="51" t="e">
        <f>INDEX(Input!$D$2:$AC$500,
       MATCH(B188, Input!$J$2:$J$500, 0),
       MATCH("Memory Type", Input!$D$1:$AC$1, 0))</f>
        <v>#N/A</v>
      </c>
      <c r="L188" s="51" t="str" cm="1">
        <f t="array" ref="L188">IFERROR(_xlfn.FILTERXML("&lt;t&gt;&lt;s&gt;" &amp; SUBSTITUTE(K188," / ","&lt;/s&gt;&lt;s&gt;") &amp; "&lt;/s&gt;&lt;/t&gt;","(//s[contains(.,'DDR')])[1]"),"")</f>
        <v/>
      </c>
      <c r="M188" s="32" t="e">
        <f t="shared" si="8"/>
        <v>#N/A</v>
      </c>
      <c r="N188" s="51" t="e">
        <f>INDEX(Input!$D$2:$AC$500,
       MATCH(B188, Input!$J$2:$J$500, 0),
       MATCH("Disk Interface Type", Input!$D$1:$AC$1, 0))</f>
        <v>#N/A</v>
      </c>
      <c r="O188" s="51" t="str" cm="1">
        <f t="array" ref="O188">IFERROR(_xlfn.TEXTJOIN(", ", TRUE, _xlfn._xlws.FILTER(
    INDEX(Input!$D$2:$AC$500,,MATCH("Disk Capacity",Input!$D$1:$AC$1,0)),
    Input!$J$2:$J$500=B188
)), "")</f>
        <v/>
      </c>
      <c r="P188" s="32" t="e">
        <f t="shared" si="7"/>
        <v>#N/A</v>
      </c>
      <c r="Q188" s="51" t="e">
        <f>_xlfn.LET(_xlpm.Result,INDEX(Input!$D$2:$AC$500,
       MATCH(B188, Input!$J$2:$J$500, 0),
       MATCH("Capacity", Input!$D$1:$AC$1, 0)),IF(_xlpm.Result="","",_xlpm.Result))</f>
        <v>#N/A</v>
      </c>
      <c r="R188" s="51" t="e" cm="1">
        <f t="array" ref="R188">_xlfn.TEXTSPLIT(Q188," / ", ,TRUE,0,)</f>
        <v>#N/A</v>
      </c>
      <c r="S188" s="51"/>
      <c r="T188" s="51" t="str" cm="1">
        <f t="array" ref="T188">IFERROR(_xlfn.IFS(
R188="","",
--R188&lt;55,"Battery Defect",
--R188&lt;=69,"Battery D",
--R188&lt;=80,"Battery C",
--R188&gt;80,""
),"")</f>
        <v/>
      </c>
      <c r="U188" s="51" t="str" cm="1">
        <f t="array" ref="U188">IFERROR(_xlfn.IFS(
S188="","",
--S188&lt;55,"Battery Defect",
--S188&lt;=69,"Battery D",
--S188&lt;=80,"Battery C",
--S188&gt;80,""
),"")</f>
        <v/>
      </c>
      <c r="V188" s="51" t="str" cm="1">
        <f t="array" ref="V188:AC188">IFERROR(IF(_xlfn.XLOOKUP(B188,Input!J:J,Input!N:U)=0,"",
          _xlfn.XLOOKUP(B188,Input!J:J,Input!N:U)),"")</f>
        <v/>
      </c>
      <c r="W188" s="51" t="str">
        <v/>
      </c>
      <c r="X188" s="51" t="str">
        <v/>
      </c>
      <c r="Y188" s="51" t="str">
        <v/>
      </c>
      <c r="Z188" s="51" t="str">
        <v/>
      </c>
      <c r="AA188" s="51" t="str">
        <v/>
      </c>
      <c r="AB188" s="51" t="str">
        <v/>
      </c>
      <c r="AC188" s="51" t="str">
        <v/>
      </c>
      <c r="AD188" s="32" t="str">
        <f t="shared" si="6"/>
        <v/>
      </c>
      <c r="AE188" s="32" t="str">
        <f>_xlfn.XLOOKUP(B:B,Disk_Pivot!G:G,Disk_Pivot!I:I)</f>
        <v>Yes x2</v>
      </c>
      <c r="AF188" s="32" t="str">
        <f>_xlfn.XLOOKUP(B188,Disk_Pivot!G:G,Disk_Pivot!N:N)</f>
        <v>Pass, Fail</v>
      </c>
      <c r="AG188" s="32"/>
      <c r="AH188" s="32"/>
      <c r="AI188" s="32"/>
      <c r="AJ188" s="32"/>
      <c r="AK188" s="32"/>
      <c r="AL188" s="32"/>
    </row>
    <row r="189" spans="1:38">
      <c r="A189" s="32" t="str">
        <f>_xlfn.TEXTJOIN("",TRUE,_xlfn.XLOOKUP(B189,Input!J:J,Input!G:G,"",0,1),_xlfn.XLOOKUP(B189,Input!J:J,Input!H:H,"",0,1))</f>
        <v/>
      </c>
      <c r="B189" s="32"/>
      <c r="C189" s="51">
        <f>_xlfn.XLOOKUP(B189,Input!J:J,Input!F:F)</f>
        <v>0</v>
      </c>
      <c r="D189" s="32">
        <f>_xlfn.XLOOKUP(C189,Models!H:H,Models!G:G,C189)</f>
        <v>0</v>
      </c>
      <c r="E189" s="32">
        <f>_xlfn.XLOOKUP(B189,Input!J:J,Input!E:E)</f>
        <v>0</v>
      </c>
      <c r="F189" s="32">
        <f>IF(E189="LENOVO",_xlfn.XLOOKUP(B189,Input!J:J,Input!K:K),_xlfn.XLOOKUP(B189,Input!J:J,Input!L:L))</f>
        <v>0</v>
      </c>
      <c r="G189" s="32"/>
      <c r="H189" s="32"/>
      <c r="I189" s="32">
        <f>_xlfn.XLOOKUP(B189,CPU_Formula!A:A,CPU_Formula!I:I)</f>
        <v>0</v>
      </c>
      <c r="J189" s="51" t="e">
        <f>INDEX(Input!$D$2:$AC$500,
       MATCH(B189, Input!$J$2:$J$500, 0),
       MATCH("Total Memory", Input!$D$1:$AC$1, 0))</f>
        <v>#N/A</v>
      </c>
      <c r="K189" s="51" t="e">
        <f>INDEX(Input!$D$2:$AC$500,
       MATCH(B189, Input!$J$2:$J$500, 0),
       MATCH("Memory Type", Input!$D$1:$AC$1, 0))</f>
        <v>#N/A</v>
      </c>
      <c r="L189" s="51" t="str" cm="1">
        <f t="array" ref="L189">IFERROR(_xlfn.FILTERXML("&lt;t&gt;&lt;s&gt;" &amp; SUBSTITUTE(K189," / ","&lt;/s&gt;&lt;s&gt;") &amp; "&lt;/s&gt;&lt;/t&gt;","(//s[contains(.,'DDR')])[1]"),"")</f>
        <v/>
      </c>
      <c r="M189" s="32" t="e">
        <f t="shared" si="8"/>
        <v>#N/A</v>
      </c>
      <c r="N189" s="51" t="e">
        <f>INDEX(Input!$D$2:$AC$500,
       MATCH(B189, Input!$J$2:$J$500, 0),
       MATCH("Disk Interface Type", Input!$D$1:$AC$1, 0))</f>
        <v>#N/A</v>
      </c>
      <c r="O189" s="51" t="str" cm="1">
        <f t="array" ref="O189">IFERROR(_xlfn.TEXTJOIN(", ", TRUE, _xlfn._xlws.FILTER(
    INDEX(Input!$D$2:$AC$500,,MATCH("Disk Capacity",Input!$D$1:$AC$1,0)),
    Input!$J$2:$J$500=B189
)), "")</f>
        <v/>
      </c>
      <c r="P189" s="32" t="e">
        <f t="shared" si="7"/>
        <v>#N/A</v>
      </c>
      <c r="Q189" s="51" t="e">
        <f>_xlfn.LET(_xlpm.Result,INDEX(Input!$D$2:$AC$500,
       MATCH(B189, Input!$J$2:$J$500, 0),
       MATCH("Capacity", Input!$D$1:$AC$1, 0)),IF(_xlpm.Result="","",_xlpm.Result))</f>
        <v>#N/A</v>
      </c>
      <c r="R189" s="51" t="e" cm="1">
        <f t="array" ref="R189">_xlfn.TEXTSPLIT(Q189," / ", ,TRUE,0,)</f>
        <v>#N/A</v>
      </c>
      <c r="S189" s="51"/>
      <c r="T189" s="51" t="str" cm="1">
        <f t="array" ref="T189">IFERROR(_xlfn.IFS(
R189="","",
--R189&lt;55,"Battery Defect",
--R189&lt;=69,"Battery D",
--R189&lt;=80,"Battery C",
--R189&gt;80,""
),"")</f>
        <v/>
      </c>
      <c r="U189" s="51" t="str" cm="1">
        <f t="array" ref="U189">IFERROR(_xlfn.IFS(
S189="","",
--S189&lt;55,"Battery Defect",
--S189&lt;=69,"Battery D",
--S189&lt;=80,"Battery C",
--S189&gt;80,""
),"")</f>
        <v/>
      </c>
      <c r="V189" s="51" t="str" cm="1">
        <f t="array" ref="V189:AC189">IFERROR(IF(_xlfn.XLOOKUP(B189,Input!J:J,Input!N:U)=0,"",
          _xlfn.XLOOKUP(B189,Input!J:J,Input!N:U)),"")</f>
        <v/>
      </c>
      <c r="W189" s="51" t="str">
        <v/>
      </c>
      <c r="X189" s="51" t="str">
        <v/>
      </c>
      <c r="Y189" s="51" t="str">
        <v/>
      </c>
      <c r="Z189" s="51" t="str">
        <v/>
      </c>
      <c r="AA189" s="51" t="str">
        <v/>
      </c>
      <c r="AB189" s="51" t="str">
        <v/>
      </c>
      <c r="AC189" s="51" t="str">
        <v/>
      </c>
      <c r="AD189" s="32" t="str">
        <f t="shared" si="6"/>
        <v/>
      </c>
      <c r="AE189" s="32" t="str">
        <f>_xlfn.XLOOKUP(B:B,Disk_Pivot!G:G,Disk_Pivot!I:I)</f>
        <v>Yes x2</v>
      </c>
      <c r="AF189" s="32" t="str">
        <f>_xlfn.XLOOKUP(B189,Disk_Pivot!G:G,Disk_Pivot!N:N)</f>
        <v>Pass, Fail</v>
      </c>
      <c r="AG189" s="32"/>
      <c r="AH189" s="32"/>
      <c r="AI189" s="32"/>
      <c r="AJ189" s="32"/>
      <c r="AK189" s="32"/>
      <c r="AL189" s="32"/>
    </row>
    <row r="190" spans="1:38">
      <c r="A190" s="32" t="str">
        <f>_xlfn.TEXTJOIN("",TRUE,_xlfn.XLOOKUP(B190,Input!J:J,Input!G:G,"",0,1),_xlfn.XLOOKUP(B190,Input!J:J,Input!H:H,"",0,1))</f>
        <v/>
      </c>
      <c r="B190" s="32"/>
      <c r="C190" s="51">
        <f>_xlfn.XLOOKUP(B190,Input!J:J,Input!F:F)</f>
        <v>0</v>
      </c>
      <c r="D190" s="32">
        <f>_xlfn.XLOOKUP(C190,Models!H:H,Models!G:G,C190)</f>
        <v>0</v>
      </c>
      <c r="E190" s="32">
        <f>_xlfn.XLOOKUP(B190,Input!J:J,Input!E:E)</f>
        <v>0</v>
      </c>
      <c r="F190" s="32">
        <f>IF(E190="LENOVO",_xlfn.XLOOKUP(B190,Input!J:J,Input!K:K),_xlfn.XLOOKUP(B190,Input!J:J,Input!L:L))</f>
        <v>0</v>
      </c>
      <c r="G190" s="32"/>
      <c r="H190" s="32"/>
      <c r="I190" s="32">
        <f>_xlfn.XLOOKUP(B190,CPU_Formula!A:A,CPU_Formula!I:I)</f>
        <v>0</v>
      </c>
      <c r="J190" s="51" t="e">
        <f>INDEX(Input!$D$2:$AC$500,
       MATCH(B190, Input!$J$2:$J$500, 0),
       MATCH("Total Memory", Input!$D$1:$AC$1, 0))</f>
        <v>#N/A</v>
      </c>
      <c r="K190" s="51" t="e">
        <f>INDEX(Input!$D$2:$AC$500,
       MATCH(B190, Input!$J$2:$J$500, 0),
       MATCH("Memory Type", Input!$D$1:$AC$1, 0))</f>
        <v>#N/A</v>
      </c>
      <c r="L190" s="51" t="str" cm="1">
        <f t="array" ref="L190">IFERROR(_xlfn.FILTERXML("&lt;t&gt;&lt;s&gt;" &amp; SUBSTITUTE(K190," / ","&lt;/s&gt;&lt;s&gt;") &amp; "&lt;/s&gt;&lt;/t&gt;","(//s[contains(.,'DDR')])[1]"),"")</f>
        <v/>
      </c>
      <c r="M190" s="32" t="e">
        <f t="shared" si="8"/>
        <v>#N/A</v>
      </c>
      <c r="N190" s="51" t="e">
        <f>INDEX(Input!$D$2:$AC$500,
       MATCH(B190, Input!$J$2:$J$500, 0),
       MATCH("Disk Interface Type", Input!$D$1:$AC$1, 0))</f>
        <v>#N/A</v>
      </c>
      <c r="O190" s="51" t="str" cm="1">
        <f t="array" ref="O190">IFERROR(_xlfn.TEXTJOIN(", ", TRUE, _xlfn._xlws.FILTER(
    INDEX(Input!$D$2:$AC$500,,MATCH("Disk Capacity",Input!$D$1:$AC$1,0)),
    Input!$J$2:$J$500=B190
)), "")</f>
        <v/>
      </c>
      <c r="P190" s="32" t="e">
        <f t="shared" si="7"/>
        <v>#N/A</v>
      </c>
      <c r="Q190" s="51" t="e">
        <f>_xlfn.LET(_xlpm.Result,INDEX(Input!$D$2:$AC$500,
       MATCH(B190, Input!$J$2:$J$500, 0),
       MATCH("Capacity", Input!$D$1:$AC$1, 0)),IF(_xlpm.Result="","",_xlpm.Result))</f>
        <v>#N/A</v>
      </c>
      <c r="R190" s="51" t="e" cm="1">
        <f t="array" ref="R190">_xlfn.TEXTSPLIT(Q190," / ", ,TRUE,0,)</f>
        <v>#N/A</v>
      </c>
      <c r="S190" s="51"/>
      <c r="T190" s="51" t="str" cm="1">
        <f t="array" ref="T190">IFERROR(_xlfn.IFS(
R190="","",
--R190&lt;55,"Battery Defect",
--R190&lt;=69,"Battery D",
--R190&lt;=80,"Battery C",
--R190&gt;80,""
),"")</f>
        <v/>
      </c>
      <c r="U190" s="51" t="str" cm="1">
        <f t="array" ref="U190">IFERROR(_xlfn.IFS(
S190="","",
--S190&lt;55,"Battery Defect",
--S190&lt;=69,"Battery D",
--S190&lt;=80,"Battery C",
--S190&gt;80,""
),"")</f>
        <v/>
      </c>
      <c r="V190" s="51" t="str" cm="1">
        <f t="array" ref="V190:AC190">IFERROR(IF(_xlfn.XLOOKUP(B190,Input!J:J,Input!N:U)=0,"",
          _xlfn.XLOOKUP(B190,Input!J:J,Input!N:U)),"")</f>
        <v/>
      </c>
      <c r="W190" s="51" t="str">
        <v/>
      </c>
      <c r="X190" s="51" t="str">
        <v/>
      </c>
      <c r="Y190" s="51" t="str">
        <v/>
      </c>
      <c r="Z190" s="51" t="str">
        <v/>
      </c>
      <c r="AA190" s="51" t="str">
        <v/>
      </c>
      <c r="AB190" s="51" t="str">
        <v/>
      </c>
      <c r="AC190" s="51" t="str">
        <v/>
      </c>
      <c r="AD190" s="32" t="str">
        <f t="shared" si="6"/>
        <v/>
      </c>
      <c r="AE190" s="32" t="str">
        <f>_xlfn.XLOOKUP(B:B,Disk_Pivot!G:G,Disk_Pivot!I:I)</f>
        <v>Yes x2</v>
      </c>
      <c r="AF190" s="32" t="str">
        <f>_xlfn.XLOOKUP(B190,Disk_Pivot!G:G,Disk_Pivot!N:N)</f>
        <v>Pass, Fail</v>
      </c>
      <c r="AG190" s="32"/>
      <c r="AH190" s="32"/>
      <c r="AI190" s="32"/>
      <c r="AJ190" s="32"/>
      <c r="AK190" s="32"/>
      <c r="AL190" s="32"/>
    </row>
    <row r="191" spans="1:38">
      <c r="A191" s="32" t="str">
        <f>_xlfn.TEXTJOIN("",TRUE,_xlfn.XLOOKUP(B191,Input!J:J,Input!G:G,"",0,1),_xlfn.XLOOKUP(B191,Input!J:J,Input!H:H,"",0,1))</f>
        <v/>
      </c>
      <c r="B191" s="32"/>
      <c r="C191" s="51">
        <f>_xlfn.XLOOKUP(B191,Input!J:J,Input!F:F)</f>
        <v>0</v>
      </c>
      <c r="D191" s="32">
        <f>_xlfn.XLOOKUP(C191,Models!H:H,Models!G:G,C191)</f>
        <v>0</v>
      </c>
      <c r="E191" s="32">
        <f>_xlfn.XLOOKUP(B191,Input!J:J,Input!E:E)</f>
        <v>0</v>
      </c>
      <c r="F191" s="32">
        <f>IF(E191="LENOVO",_xlfn.XLOOKUP(B191,Input!J:J,Input!K:K),_xlfn.XLOOKUP(B191,Input!J:J,Input!L:L))</f>
        <v>0</v>
      </c>
      <c r="G191" s="32"/>
      <c r="H191" s="32"/>
      <c r="I191" s="32">
        <f>_xlfn.XLOOKUP(B191,CPU_Formula!A:A,CPU_Formula!I:I)</f>
        <v>0</v>
      </c>
      <c r="J191" s="51" t="e">
        <f>INDEX(Input!$D$2:$AC$500,
       MATCH(B191, Input!$J$2:$J$500, 0),
       MATCH("Total Memory", Input!$D$1:$AC$1, 0))</f>
        <v>#N/A</v>
      </c>
      <c r="K191" s="51" t="e">
        <f>INDEX(Input!$D$2:$AC$500,
       MATCH(B191, Input!$J$2:$J$500, 0),
       MATCH("Memory Type", Input!$D$1:$AC$1, 0))</f>
        <v>#N/A</v>
      </c>
      <c r="L191" s="51" t="str" cm="1">
        <f t="array" ref="L191">IFERROR(_xlfn.FILTERXML("&lt;t&gt;&lt;s&gt;" &amp; SUBSTITUTE(K191," / ","&lt;/s&gt;&lt;s&gt;") &amp; "&lt;/s&gt;&lt;/t&gt;","(//s[contains(.,'DDR')])[1]"),"")</f>
        <v/>
      </c>
      <c r="M191" s="32" t="e">
        <f t="shared" si="8"/>
        <v>#N/A</v>
      </c>
      <c r="N191" s="51" t="e">
        <f>INDEX(Input!$D$2:$AC$500,
       MATCH(B191, Input!$J$2:$J$500, 0),
       MATCH("Disk Interface Type", Input!$D$1:$AC$1, 0))</f>
        <v>#N/A</v>
      </c>
      <c r="O191" s="51" t="str" cm="1">
        <f t="array" ref="O191">IFERROR(_xlfn.TEXTJOIN(", ", TRUE, _xlfn._xlws.FILTER(
    INDEX(Input!$D$2:$AC$500,,MATCH("Disk Capacity",Input!$D$1:$AC$1,0)),
    Input!$J$2:$J$500=B191
)), "")</f>
        <v/>
      </c>
      <c r="P191" s="32" t="e">
        <f t="shared" si="7"/>
        <v>#N/A</v>
      </c>
      <c r="Q191" s="51" t="e">
        <f>_xlfn.LET(_xlpm.Result,INDEX(Input!$D$2:$AC$500,
       MATCH(B191, Input!$J$2:$J$500, 0),
       MATCH("Capacity", Input!$D$1:$AC$1, 0)),IF(_xlpm.Result="","",_xlpm.Result))</f>
        <v>#N/A</v>
      </c>
      <c r="R191" s="51" t="e" cm="1">
        <f t="array" ref="R191">_xlfn.TEXTSPLIT(Q191," / ", ,TRUE,0,)</f>
        <v>#N/A</v>
      </c>
      <c r="S191" s="51"/>
      <c r="T191" s="51" t="str" cm="1">
        <f t="array" ref="T191">IFERROR(_xlfn.IFS(
R191="","",
--R191&lt;55,"Battery Defect",
--R191&lt;=69,"Battery D",
--R191&lt;=80,"Battery C",
--R191&gt;80,""
),"")</f>
        <v/>
      </c>
      <c r="U191" s="51" t="str" cm="1">
        <f t="array" ref="U191">IFERROR(_xlfn.IFS(
S191="","",
--S191&lt;55,"Battery Defect",
--S191&lt;=69,"Battery D",
--S191&lt;=80,"Battery C",
--S191&gt;80,""
),"")</f>
        <v/>
      </c>
      <c r="V191" s="51" t="str" cm="1">
        <f t="array" ref="V191:AC191">IFERROR(IF(_xlfn.XLOOKUP(B191,Input!J:J,Input!N:U)=0,"",
          _xlfn.XLOOKUP(B191,Input!J:J,Input!N:U)),"")</f>
        <v/>
      </c>
      <c r="W191" s="51" t="str">
        <v/>
      </c>
      <c r="X191" s="51" t="str">
        <v/>
      </c>
      <c r="Y191" s="51" t="str">
        <v/>
      </c>
      <c r="Z191" s="51" t="str">
        <v/>
      </c>
      <c r="AA191" s="51" t="str">
        <v/>
      </c>
      <c r="AB191" s="51" t="str">
        <v/>
      </c>
      <c r="AC191" s="51" t="str">
        <v/>
      </c>
      <c r="AD191" s="32" t="str">
        <f t="shared" si="6"/>
        <v/>
      </c>
      <c r="AE191" s="32" t="str">
        <f>_xlfn.XLOOKUP(B:B,Disk_Pivot!G:G,Disk_Pivot!I:I)</f>
        <v>Yes x2</v>
      </c>
      <c r="AF191" s="32" t="str">
        <f>_xlfn.XLOOKUP(B191,Disk_Pivot!G:G,Disk_Pivot!N:N)</f>
        <v>Pass, Fail</v>
      </c>
      <c r="AG191" s="32"/>
      <c r="AH191" s="32"/>
      <c r="AI191" s="32"/>
      <c r="AJ191" s="32"/>
      <c r="AK191" s="32"/>
      <c r="AL191" s="32"/>
    </row>
    <row r="192" spans="1:38">
      <c r="A192" s="32" t="str">
        <f>_xlfn.TEXTJOIN("",TRUE,_xlfn.XLOOKUP(B192,Input!J:J,Input!G:G,"",0,1),_xlfn.XLOOKUP(B192,Input!J:J,Input!H:H,"",0,1))</f>
        <v/>
      </c>
      <c r="B192" s="32"/>
      <c r="C192" s="51">
        <f>_xlfn.XLOOKUP(B192,Input!J:J,Input!F:F)</f>
        <v>0</v>
      </c>
      <c r="D192" s="32">
        <f>_xlfn.XLOOKUP(C192,Models!H:H,Models!G:G,C192)</f>
        <v>0</v>
      </c>
      <c r="E192" s="32">
        <f>_xlfn.XLOOKUP(B192,Input!J:J,Input!E:E)</f>
        <v>0</v>
      </c>
      <c r="F192" s="32">
        <f>IF(E192="LENOVO",_xlfn.XLOOKUP(B192,Input!J:J,Input!K:K),_xlfn.XLOOKUP(B192,Input!J:J,Input!L:L))</f>
        <v>0</v>
      </c>
      <c r="G192" s="32"/>
      <c r="H192" s="32"/>
      <c r="I192" s="32">
        <f>_xlfn.XLOOKUP(B192,CPU_Formula!A:A,CPU_Formula!I:I)</f>
        <v>0</v>
      </c>
      <c r="J192" s="51" t="e">
        <f>INDEX(Input!$D$2:$AC$500,
       MATCH(B192, Input!$J$2:$J$500, 0),
       MATCH("Total Memory", Input!$D$1:$AC$1, 0))</f>
        <v>#N/A</v>
      </c>
      <c r="K192" s="51" t="e">
        <f>INDEX(Input!$D$2:$AC$500,
       MATCH(B192, Input!$J$2:$J$500, 0),
       MATCH("Memory Type", Input!$D$1:$AC$1, 0))</f>
        <v>#N/A</v>
      </c>
      <c r="L192" s="51" t="str" cm="1">
        <f t="array" ref="L192">IFERROR(_xlfn.FILTERXML("&lt;t&gt;&lt;s&gt;" &amp; SUBSTITUTE(K192," / ","&lt;/s&gt;&lt;s&gt;") &amp; "&lt;/s&gt;&lt;/t&gt;","(//s[contains(.,'DDR')])[1]"),"")</f>
        <v/>
      </c>
      <c r="M192" s="32" t="e">
        <f t="shared" si="8"/>
        <v>#N/A</v>
      </c>
      <c r="N192" s="51" t="e">
        <f>INDEX(Input!$D$2:$AC$500,
       MATCH(B192, Input!$J$2:$J$500, 0),
       MATCH("Disk Interface Type", Input!$D$1:$AC$1, 0))</f>
        <v>#N/A</v>
      </c>
      <c r="O192" s="51" t="str" cm="1">
        <f t="array" ref="O192">IFERROR(_xlfn.TEXTJOIN(", ", TRUE, _xlfn._xlws.FILTER(
    INDEX(Input!$D$2:$AC$500,,MATCH("Disk Capacity",Input!$D$1:$AC$1,0)),
    Input!$J$2:$J$500=B192
)), "")</f>
        <v/>
      </c>
      <c r="P192" s="32" t="e">
        <f t="shared" si="7"/>
        <v>#N/A</v>
      </c>
      <c r="Q192" s="51" t="e">
        <f>_xlfn.LET(_xlpm.Result,INDEX(Input!$D$2:$AC$500,
       MATCH(B192, Input!$J$2:$J$500, 0),
       MATCH("Capacity", Input!$D$1:$AC$1, 0)),IF(_xlpm.Result="","",_xlpm.Result))</f>
        <v>#N/A</v>
      </c>
      <c r="R192" s="51" t="e" cm="1">
        <f t="array" ref="R192">_xlfn.TEXTSPLIT(Q192," / ", ,TRUE,0,)</f>
        <v>#N/A</v>
      </c>
      <c r="S192" s="51"/>
      <c r="T192" s="51" t="str" cm="1">
        <f t="array" ref="T192">IFERROR(_xlfn.IFS(
R192="","",
--R192&lt;55,"Battery Defect",
--R192&lt;=69,"Battery D",
--R192&lt;=80,"Battery C",
--R192&gt;80,""
),"")</f>
        <v/>
      </c>
      <c r="U192" s="51" t="str" cm="1">
        <f t="array" ref="U192">IFERROR(_xlfn.IFS(
S192="","",
--S192&lt;55,"Battery Defect",
--S192&lt;=69,"Battery D",
--S192&lt;=80,"Battery C",
--S192&gt;80,""
),"")</f>
        <v/>
      </c>
      <c r="V192" s="51" t="str" cm="1">
        <f t="array" ref="V192:AC192">IFERROR(IF(_xlfn.XLOOKUP(B192,Input!J:J,Input!N:U)=0,"",
          _xlfn.XLOOKUP(B192,Input!J:J,Input!N:U)),"")</f>
        <v/>
      </c>
      <c r="W192" s="51" t="str">
        <v/>
      </c>
      <c r="X192" s="51" t="str">
        <v/>
      </c>
      <c r="Y192" s="51" t="str">
        <v/>
      </c>
      <c r="Z192" s="51" t="str">
        <v/>
      </c>
      <c r="AA192" s="51" t="str">
        <v/>
      </c>
      <c r="AB192" s="51" t="str">
        <v/>
      </c>
      <c r="AC192" s="51" t="str">
        <v/>
      </c>
      <c r="AD192" s="32" t="str">
        <f t="shared" si="6"/>
        <v/>
      </c>
      <c r="AE192" s="32" t="str">
        <f>_xlfn.XLOOKUP(B:B,Disk_Pivot!G:G,Disk_Pivot!I:I)</f>
        <v>Yes x2</v>
      </c>
      <c r="AF192" s="32" t="str">
        <f>_xlfn.XLOOKUP(B192,Disk_Pivot!G:G,Disk_Pivot!N:N)</f>
        <v>Pass, Fail</v>
      </c>
      <c r="AG192" s="32"/>
      <c r="AH192" s="32"/>
      <c r="AI192" s="32"/>
      <c r="AJ192" s="32"/>
      <c r="AK192" s="32"/>
      <c r="AL192" s="32"/>
    </row>
    <row r="193" spans="1:38">
      <c r="A193" s="32" t="str">
        <f>_xlfn.TEXTJOIN("",TRUE,_xlfn.XLOOKUP(B193,Input!J:J,Input!G:G,"",0,1),_xlfn.XLOOKUP(B193,Input!J:J,Input!H:H,"",0,1))</f>
        <v/>
      </c>
      <c r="B193" s="32"/>
      <c r="C193" s="51">
        <f>_xlfn.XLOOKUP(B193,Input!J:J,Input!F:F)</f>
        <v>0</v>
      </c>
      <c r="D193" s="32">
        <f>_xlfn.XLOOKUP(C193,Models!H:H,Models!G:G,C193)</f>
        <v>0</v>
      </c>
      <c r="E193" s="32">
        <f>_xlfn.XLOOKUP(B193,Input!J:J,Input!E:E)</f>
        <v>0</v>
      </c>
      <c r="F193" s="32">
        <f>IF(E193="LENOVO",_xlfn.XLOOKUP(B193,Input!J:J,Input!K:K),_xlfn.XLOOKUP(B193,Input!J:J,Input!L:L))</f>
        <v>0</v>
      </c>
      <c r="G193" s="32"/>
      <c r="H193" s="32"/>
      <c r="I193" s="32">
        <f>_xlfn.XLOOKUP(B193,CPU_Formula!A:A,CPU_Formula!I:I)</f>
        <v>0</v>
      </c>
      <c r="J193" s="51" t="e">
        <f>INDEX(Input!$D$2:$AC$500,
       MATCH(B193, Input!$J$2:$J$500, 0),
       MATCH("Total Memory", Input!$D$1:$AC$1, 0))</f>
        <v>#N/A</v>
      </c>
      <c r="K193" s="51" t="e">
        <f>INDEX(Input!$D$2:$AC$500,
       MATCH(B193, Input!$J$2:$J$500, 0),
       MATCH("Memory Type", Input!$D$1:$AC$1, 0))</f>
        <v>#N/A</v>
      </c>
      <c r="L193" s="51" t="str" cm="1">
        <f t="array" ref="L193">IFERROR(_xlfn.FILTERXML("&lt;t&gt;&lt;s&gt;" &amp; SUBSTITUTE(K193," / ","&lt;/s&gt;&lt;s&gt;") &amp; "&lt;/s&gt;&lt;/t&gt;","(//s[contains(.,'DDR')])[1]"),"")</f>
        <v/>
      </c>
      <c r="M193" s="32" t="e">
        <f t="shared" si="8"/>
        <v>#N/A</v>
      </c>
      <c r="N193" s="51" t="e">
        <f>INDEX(Input!$D$2:$AC$500,
       MATCH(B193, Input!$J$2:$J$500, 0),
       MATCH("Disk Interface Type", Input!$D$1:$AC$1, 0))</f>
        <v>#N/A</v>
      </c>
      <c r="O193" s="51" t="str" cm="1">
        <f t="array" ref="O193">IFERROR(_xlfn.TEXTJOIN(", ", TRUE, _xlfn._xlws.FILTER(
    INDEX(Input!$D$2:$AC$500,,MATCH("Disk Capacity",Input!$D$1:$AC$1,0)),
    Input!$J$2:$J$500=B193
)), "")</f>
        <v/>
      </c>
      <c r="P193" s="32" t="e">
        <f t="shared" si="7"/>
        <v>#N/A</v>
      </c>
      <c r="Q193" s="51" t="e">
        <f>_xlfn.LET(_xlpm.Result,INDEX(Input!$D$2:$AC$500,
       MATCH(B193, Input!$J$2:$J$500, 0),
       MATCH("Capacity", Input!$D$1:$AC$1, 0)),IF(_xlpm.Result="","",_xlpm.Result))</f>
        <v>#N/A</v>
      </c>
      <c r="R193" s="51" t="e" cm="1">
        <f t="array" ref="R193">_xlfn.TEXTSPLIT(Q193," / ", ,TRUE,0,)</f>
        <v>#N/A</v>
      </c>
      <c r="S193" s="51"/>
      <c r="T193" s="51" t="str" cm="1">
        <f t="array" ref="T193">IFERROR(_xlfn.IFS(
R193="","",
--R193&lt;55,"Battery Defect",
--R193&lt;=69,"Battery D",
--R193&lt;=80,"Battery C",
--R193&gt;80,""
),"")</f>
        <v/>
      </c>
      <c r="U193" s="51" t="str" cm="1">
        <f t="array" ref="U193">IFERROR(_xlfn.IFS(
S193="","",
--S193&lt;55,"Battery Defect",
--S193&lt;=69,"Battery D",
--S193&lt;=80,"Battery C",
--S193&gt;80,""
),"")</f>
        <v/>
      </c>
      <c r="V193" s="51" t="str" cm="1">
        <f t="array" ref="V193:AC193">IFERROR(IF(_xlfn.XLOOKUP(B193,Input!J:J,Input!N:U)=0,"",
          _xlfn.XLOOKUP(B193,Input!J:J,Input!N:U)),"")</f>
        <v/>
      </c>
      <c r="W193" s="51" t="str">
        <v/>
      </c>
      <c r="X193" s="51" t="str">
        <v/>
      </c>
      <c r="Y193" s="51" t="str">
        <v/>
      </c>
      <c r="Z193" s="51" t="str">
        <v/>
      </c>
      <c r="AA193" s="51" t="str">
        <v/>
      </c>
      <c r="AB193" s="51" t="str">
        <v/>
      </c>
      <c r="AC193" s="51" t="str">
        <v/>
      </c>
      <c r="AD193" s="32" t="str">
        <f t="shared" si="6"/>
        <v/>
      </c>
      <c r="AE193" s="32" t="str">
        <f>_xlfn.XLOOKUP(B:B,Disk_Pivot!G:G,Disk_Pivot!I:I)</f>
        <v>Yes x2</v>
      </c>
      <c r="AF193" s="32" t="str">
        <f>_xlfn.XLOOKUP(B193,Disk_Pivot!G:G,Disk_Pivot!N:N)</f>
        <v>Pass, Fail</v>
      </c>
      <c r="AG193" s="32"/>
      <c r="AH193" s="32"/>
      <c r="AI193" s="32"/>
      <c r="AJ193" s="32"/>
      <c r="AK193" s="32"/>
      <c r="AL193" s="32"/>
    </row>
    <row r="194" spans="1:38">
      <c r="A194" s="32" t="str">
        <f>_xlfn.TEXTJOIN("",TRUE,_xlfn.XLOOKUP(B194,Input!J:J,Input!G:G,"",0,1),_xlfn.XLOOKUP(B194,Input!J:J,Input!H:H,"",0,1))</f>
        <v/>
      </c>
      <c r="B194" s="32"/>
      <c r="C194" s="51">
        <f>_xlfn.XLOOKUP(B194,Input!J:J,Input!F:F)</f>
        <v>0</v>
      </c>
      <c r="D194" s="32">
        <f>_xlfn.XLOOKUP(C194,Models!H:H,Models!G:G,C194)</f>
        <v>0</v>
      </c>
      <c r="E194" s="32">
        <f>_xlfn.XLOOKUP(B194,Input!J:J,Input!E:E)</f>
        <v>0</v>
      </c>
      <c r="F194" s="32">
        <f>IF(E194="LENOVO",_xlfn.XLOOKUP(B194,Input!J:J,Input!K:K),_xlfn.XLOOKUP(B194,Input!J:J,Input!L:L))</f>
        <v>0</v>
      </c>
      <c r="G194" s="32"/>
      <c r="H194" s="32"/>
      <c r="I194" s="32">
        <f>_xlfn.XLOOKUP(B194,CPU_Formula!A:A,CPU_Formula!I:I)</f>
        <v>0</v>
      </c>
      <c r="J194" s="51" t="e">
        <f>INDEX(Input!$D$2:$AC$500,
       MATCH(B194, Input!$J$2:$J$500, 0),
       MATCH("Total Memory", Input!$D$1:$AC$1, 0))</f>
        <v>#N/A</v>
      </c>
      <c r="K194" s="51" t="e">
        <f>INDEX(Input!$D$2:$AC$500,
       MATCH(B194, Input!$J$2:$J$500, 0),
       MATCH("Memory Type", Input!$D$1:$AC$1, 0))</f>
        <v>#N/A</v>
      </c>
      <c r="L194" s="51" t="str" cm="1">
        <f t="array" ref="L194">IFERROR(_xlfn.FILTERXML("&lt;t&gt;&lt;s&gt;" &amp; SUBSTITUTE(K194," / ","&lt;/s&gt;&lt;s&gt;") &amp; "&lt;/s&gt;&lt;/t&gt;","(//s[contains(.,'DDR')])[1]"),"")</f>
        <v/>
      </c>
      <c r="M194" s="32" t="e">
        <f t="shared" si="8"/>
        <v>#N/A</v>
      </c>
      <c r="N194" s="51" t="e">
        <f>INDEX(Input!$D$2:$AC$500,
       MATCH(B194, Input!$J$2:$J$500, 0),
       MATCH("Disk Interface Type", Input!$D$1:$AC$1, 0))</f>
        <v>#N/A</v>
      </c>
      <c r="O194" s="51" t="str" cm="1">
        <f t="array" ref="O194">IFERROR(_xlfn.TEXTJOIN(", ", TRUE, _xlfn._xlws.FILTER(
    INDEX(Input!$D$2:$AC$500,,MATCH("Disk Capacity",Input!$D$1:$AC$1,0)),
    Input!$J$2:$J$500=B194
)), "")</f>
        <v/>
      </c>
      <c r="P194" s="32" t="e">
        <f t="shared" si="7"/>
        <v>#N/A</v>
      </c>
      <c r="Q194" s="51" t="e">
        <f>_xlfn.LET(_xlpm.Result,INDEX(Input!$D$2:$AC$500,
       MATCH(B194, Input!$J$2:$J$500, 0),
       MATCH("Capacity", Input!$D$1:$AC$1, 0)),IF(_xlpm.Result="","",_xlpm.Result))</f>
        <v>#N/A</v>
      </c>
      <c r="R194" s="51" t="e" cm="1">
        <f t="array" ref="R194">_xlfn.TEXTSPLIT(Q194," / ", ,TRUE,0,)</f>
        <v>#N/A</v>
      </c>
      <c r="S194" s="51"/>
      <c r="T194" s="51" t="str" cm="1">
        <f t="array" ref="T194">IFERROR(_xlfn.IFS(
R194="","",
--R194&lt;55,"Battery Defect",
--R194&lt;=69,"Battery D",
--R194&lt;=80,"Battery C",
--R194&gt;80,""
),"")</f>
        <v/>
      </c>
      <c r="U194" s="51" t="str" cm="1">
        <f t="array" ref="U194">IFERROR(_xlfn.IFS(
S194="","",
--S194&lt;55,"Battery Defect",
--S194&lt;=69,"Battery D",
--S194&lt;=80,"Battery C",
--S194&gt;80,""
),"")</f>
        <v/>
      </c>
      <c r="V194" s="51" t="str" cm="1">
        <f t="array" ref="V194:AC194">IFERROR(IF(_xlfn.XLOOKUP(B194,Input!J:J,Input!N:U)=0,"",
          _xlfn.XLOOKUP(B194,Input!J:J,Input!N:U)),"")</f>
        <v/>
      </c>
      <c r="W194" s="51" t="str">
        <v/>
      </c>
      <c r="X194" s="51" t="str">
        <v/>
      </c>
      <c r="Y194" s="51" t="str">
        <v/>
      </c>
      <c r="Z194" s="51" t="str">
        <v/>
      </c>
      <c r="AA194" s="51" t="str">
        <v/>
      </c>
      <c r="AB194" s="51" t="str">
        <v/>
      </c>
      <c r="AC194" s="51" t="str">
        <v/>
      </c>
      <c r="AD194" s="32" t="str">
        <f t="shared" ref="AD194:AD257" si="9">IF(D194="Laptop",_xlfn.TEXTJOIN(", ",TRUE,T194,U194,V194,W194,X194,Y194,Z194,AA194), _xlfn.TEXTJOIN(", ",TRUE,V194,W194,X194,Y194,Z194,AA194))</f>
        <v/>
      </c>
      <c r="AE194" s="32" t="str">
        <f>_xlfn.XLOOKUP(B:B,Disk_Pivot!G:G,Disk_Pivot!I:I)</f>
        <v>Yes x2</v>
      </c>
      <c r="AF194" s="32" t="str">
        <f>_xlfn.XLOOKUP(B194,Disk_Pivot!G:G,Disk_Pivot!N:N)</f>
        <v>Pass, Fail</v>
      </c>
      <c r="AG194" s="32"/>
      <c r="AH194" s="32"/>
      <c r="AI194" s="32"/>
      <c r="AJ194" s="32"/>
      <c r="AK194" s="32"/>
      <c r="AL194" s="32"/>
    </row>
    <row r="195" spans="1:38">
      <c r="A195" s="32" t="str">
        <f>_xlfn.TEXTJOIN("",TRUE,_xlfn.XLOOKUP(B195,Input!J:J,Input!G:G,"",0,1),_xlfn.XLOOKUP(B195,Input!J:J,Input!H:H,"",0,1))</f>
        <v/>
      </c>
      <c r="B195" s="32"/>
      <c r="C195" s="51">
        <f>_xlfn.XLOOKUP(B195,Input!J:J,Input!F:F)</f>
        <v>0</v>
      </c>
      <c r="D195" s="32">
        <f>_xlfn.XLOOKUP(C195,Models!H:H,Models!G:G,C195)</f>
        <v>0</v>
      </c>
      <c r="E195" s="32">
        <f>_xlfn.XLOOKUP(B195,Input!J:J,Input!E:E)</f>
        <v>0</v>
      </c>
      <c r="F195" s="32">
        <f>IF(E195="LENOVO",_xlfn.XLOOKUP(B195,Input!J:J,Input!K:K),_xlfn.XLOOKUP(B195,Input!J:J,Input!L:L))</f>
        <v>0</v>
      </c>
      <c r="G195" s="32"/>
      <c r="H195" s="32"/>
      <c r="I195" s="32">
        <f>_xlfn.XLOOKUP(B195,CPU_Formula!A:A,CPU_Formula!I:I)</f>
        <v>0</v>
      </c>
      <c r="J195" s="51" t="e">
        <f>INDEX(Input!$D$2:$AC$500,
       MATCH(B195, Input!$J$2:$J$500, 0),
       MATCH("Total Memory", Input!$D$1:$AC$1, 0))</f>
        <v>#N/A</v>
      </c>
      <c r="K195" s="51" t="e">
        <f>INDEX(Input!$D$2:$AC$500,
       MATCH(B195, Input!$J$2:$J$500, 0),
       MATCH("Memory Type", Input!$D$1:$AC$1, 0))</f>
        <v>#N/A</v>
      </c>
      <c r="L195" s="51" t="str" cm="1">
        <f t="array" ref="L195">IFERROR(_xlfn.FILTERXML("&lt;t&gt;&lt;s&gt;" &amp; SUBSTITUTE(K195," / ","&lt;/s&gt;&lt;s&gt;") &amp; "&lt;/s&gt;&lt;/t&gt;","(//s[contains(.,'DDR')])[1]"),"")</f>
        <v/>
      </c>
      <c r="M195" s="32" t="e">
        <f t="shared" si="8"/>
        <v>#N/A</v>
      </c>
      <c r="N195" s="51" t="e">
        <f>INDEX(Input!$D$2:$AC$500,
       MATCH(B195, Input!$J$2:$J$500, 0),
       MATCH("Disk Interface Type", Input!$D$1:$AC$1, 0))</f>
        <v>#N/A</v>
      </c>
      <c r="O195" s="51" t="str" cm="1">
        <f t="array" ref="O195">IFERROR(_xlfn.TEXTJOIN(", ", TRUE, _xlfn._xlws.FILTER(
    INDEX(Input!$D$2:$AC$500,,MATCH("Disk Capacity",Input!$D$1:$AC$1,0)),
    Input!$J$2:$J$500=B195
)), "")</f>
        <v/>
      </c>
      <c r="P195" s="32" t="e">
        <f t="shared" ref="P195:P258" si="10">_xlfn.TEXTJOIN(" ",TRUE,O195,N195)</f>
        <v>#N/A</v>
      </c>
      <c r="Q195" s="51" t="e">
        <f>_xlfn.LET(_xlpm.Result,INDEX(Input!$D$2:$AC$500,
       MATCH(B195, Input!$J$2:$J$500, 0),
       MATCH("Capacity", Input!$D$1:$AC$1, 0)),IF(_xlpm.Result="","",_xlpm.Result))</f>
        <v>#N/A</v>
      </c>
      <c r="R195" s="51" t="e" cm="1">
        <f t="array" ref="R195">_xlfn.TEXTSPLIT(Q195," / ", ,TRUE,0,)</f>
        <v>#N/A</v>
      </c>
      <c r="S195" s="51"/>
      <c r="T195" s="51" t="str" cm="1">
        <f t="array" ref="T195">IFERROR(_xlfn.IFS(
R195="","",
--R195&lt;55,"Battery Defect",
--R195&lt;=69,"Battery D",
--R195&lt;=80,"Battery C",
--R195&gt;80,""
),"")</f>
        <v/>
      </c>
      <c r="U195" s="51" t="str" cm="1">
        <f t="array" ref="U195">IFERROR(_xlfn.IFS(
S195="","",
--S195&lt;55,"Battery Defect",
--S195&lt;=69,"Battery D",
--S195&lt;=80,"Battery C",
--S195&gt;80,""
),"")</f>
        <v/>
      </c>
      <c r="V195" s="51" t="str" cm="1">
        <f t="array" ref="V195:AC195">IFERROR(IF(_xlfn.XLOOKUP(B195,Input!J:J,Input!N:U)=0,"",
          _xlfn.XLOOKUP(B195,Input!J:J,Input!N:U)),"")</f>
        <v/>
      </c>
      <c r="W195" s="51" t="str">
        <v/>
      </c>
      <c r="X195" s="51" t="str">
        <v/>
      </c>
      <c r="Y195" s="51" t="str">
        <v/>
      </c>
      <c r="Z195" s="51" t="str">
        <v/>
      </c>
      <c r="AA195" s="51" t="str">
        <v/>
      </c>
      <c r="AB195" s="51" t="str">
        <v/>
      </c>
      <c r="AC195" s="51" t="str">
        <v/>
      </c>
      <c r="AD195" s="32" t="str">
        <f t="shared" si="9"/>
        <v/>
      </c>
      <c r="AE195" s="32" t="str">
        <f>_xlfn.XLOOKUP(B:B,Disk_Pivot!G:G,Disk_Pivot!I:I)</f>
        <v>Yes x2</v>
      </c>
      <c r="AF195" s="32" t="str">
        <f>_xlfn.XLOOKUP(B195,Disk_Pivot!G:G,Disk_Pivot!N:N)</f>
        <v>Pass, Fail</v>
      </c>
      <c r="AG195" s="32"/>
      <c r="AH195" s="32"/>
      <c r="AI195" s="32"/>
      <c r="AJ195" s="32"/>
      <c r="AK195" s="32"/>
      <c r="AL195" s="32"/>
    </row>
    <row r="196" spans="1:38">
      <c r="A196" s="32" t="str">
        <f>_xlfn.TEXTJOIN("",TRUE,_xlfn.XLOOKUP(B196,Input!J:J,Input!G:G,"",0,1),_xlfn.XLOOKUP(B196,Input!J:J,Input!H:H,"",0,1))</f>
        <v/>
      </c>
      <c r="B196" s="32"/>
      <c r="C196" s="51">
        <f>_xlfn.XLOOKUP(B196,Input!J:J,Input!F:F)</f>
        <v>0</v>
      </c>
      <c r="D196" s="32">
        <f>_xlfn.XLOOKUP(C196,Models!H:H,Models!G:G,C196)</f>
        <v>0</v>
      </c>
      <c r="E196" s="32">
        <f>_xlfn.XLOOKUP(B196,Input!J:J,Input!E:E)</f>
        <v>0</v>
      </c>
      <c r="F196" s="32">
        <f>IF(E196="LENOVO",_xlfn.XLOOKUP(B196,Input!J:J,Input!K:K),_xlfn.XLOOKUP(B196,Input!J:J,Input!L:L))</f>
        <v>0</v>
      </c>
      <c r="G196" s="32"/>
      <c r="H196" s="32"/>
      <c r="I196" s="32">
        <f>_xlfn.XLOOKUP(B196,CPU_Formula!A:A,CPU_Formula!I:I)</f>
        <v>0</v>
      </c>
      <c r="J196" s="51" t="e">
        <f>INDEX(Input!$D$2:$AC$500,
       MATCH(B196, Input!$J$2:$J$500, 0),
       MATCH("Total Memory", Input!$D$1:$AC$1, 0))</f>
        <v>#N/A</v>
      </c>
      <c r="K196" s="51" t="e">
        <f>INDEX(Input!$D$2:$AC$500,
       MATCH(B196, Input!$J$2:$J$500, 0),
       MATCH("Memory Type", Input!$D$1:$AC$1, 0))</f>
        <v>#N/A</v>
      </c>
      <c r="L196" s="51" t="str" cm="1">
        <f t="array" ref="L196">IFERROR(_xlfn.FILTERXML("&lt;t&gt;&lt;s&gt;" &amp; SUBSTITUTE(K196," / ","&lt;/s&gt;&lt;s&gt;") &amp; "&lt;/s&gt;&lt;/t&gt;","(//s[contains(.,'DDR')])[1]"),"")</f>
        <v/>
      </c>
      <c r="M196" s="32" t="e">
        <f t="shared" ref="M196:M259" si="11">_xlfn.TEXTJOIN(" ",TRUE,SUBSTITUTE(J196,"i",""),L196)</f>
        <v>#N/A</v>
      </c>
      <c r="N196" s="51" t="e">
        <f>INDEX(Input!$D$2:$AC$500,
       MATCH(B196, Input!$J$2:$J$500, 0),
       MATCH("Disk Interface Type", Input!$D$1:$AC$1, 0))</f>
        <v>#N/A</v>
      </c>
      <c r="O196" s="51" t="str" cm="1">
        <f t="array" ref="O196">IFERROR(_xlfn.TEXTJOIN(", ", TRUE, _xlfn._xlws.FILTER(
    INDEX(Input!$D$2:$AC$500,,MATCH("Disk Capacity",Input!$D$1:$AC$1,0)),
    Input!$J$2:$J$500=B196
)), "")</f>
        <v/>
      </c>
      <c r="P196" s="32" t="e">
        <f t="shared" si="10"/>
        <v>#N/A</v>
      </c>
      <c r="Q196" s="51" t="e">
        <f>_xlfn.LET(_xlpm.Result,INDEX(Input!$D$2:$AC$500,
       MATCH(B196, Input!$J$2:$J$500, 0),
       MATCH("Capacity", Input!$D$1:$AC$1, 0)),IF(_xlpm.Result="","",_xlpm.Result))</f>
        <v>#N/A</v>
      </c>
      <c r="R196" s="51" t="e" cm="1">
        <f t="array" ref="R196">_xlfn.TEXTSPLIT(Q196," / ", ,TRUE,0,)</f>
        <v>#N/A</v>
      </c>
      <c r="S196" s="51"/>
      <c r="T196" s="51" t="str" cm="1">
        <f t="array" ref="T196">IFERROR(_xlfn.IFS(
R196="","",
--R196&lt;55,"Battery Defect",
--R196&lt;=69,"Battery D",
--R196&lt;=80,"Battery C",
--R196&gt;80,""
),"")</f>
        <v/>
      </c>
      <c r="U196" s="51" t="str" cm="1">
        <f t="array" ref="U196">IFERROR(_xlfn.IFS(
S196="","",
--S196&lt;55,"Battery Defect",
--S196&lt;=69,"Battery D",
--S196&lt;=80,"Battery C",
--S196&gt;80,""
),"")</f>
        <v/>
      </c>
      <c r="V196" s="51" t="str" cm="1">
        <f t="array" ref="V196:AC196">IFERROR(IF(_xlfn.XLOOKUP(B196,Input!J:J,Input!N:U)=0,"",
          _xlfn.XLOOKUP(B196,Input!J:J,Input!N:U)),"")</f>
        <v/>
      </c>
      <c r="W196" s="51" t="str">
        <v/>
      </c>
      <c r="X196" s="51" t="str">
        <v/>
      </c>
      <c r="Y196" s="51" t="str">
        <v/>
      </c>
      <c r="Z196" s="51" t="str">
        <v/>
      </c>
      <c r="AA196" s="51" t="str">
        <v/>
      </c>
      <c r="AB196" s="51" t="str">
        <v/>
      </c>
      <c r="AC196" s="51" t="str">
        <v/>
      </c>
      <c r="AD196" s="32" t="str">
        <f t="shared" si="9"/>
        <v/>
      </c>
      <c r="AE196" s="32" t="str">
        <f>_xlfn.XLOOKUP(B:B,Disk_Pivot!G:G,Disk_Pivot!I:I)</f>
        <v>Yes x2</v>
      </c>
      <c r="AF196" s="32" t="str">
        <f>_xlfn.XLOOKUP(B196,Disk_Pivot!G:G,Disk_Pivot!N:N)</f>
        <v>Pass, Fail</v>
      </c>
      <c r="AG196" s="32"/>
      <c r="AH196" s="32"/>
      <c r="AI196" s="32"/>
      <c r="AJ196" s="32"/>
      <c r="AK196" s="32"/>
      <c r="AL196" s="32"/>
    </row>
    <row r="197" spans="1:38">
      <c r="A197" s="32" t="str">
        <f>_xlfn.TEXTJOIN("",TRUE,_xlfn.XLOOKUP(B197,Input!J:J,Input!G:G,"",0,1),_xlfn.XLOOKUP(B197,Input!J:J,Input!H:H,"",0,1))</f>
        <v/>
      </c>
      <c r="B197" s="32"/>
      <c r="C197" s="51">
        <f>_xlfn.XLOOKUP(B197,Input!J:J,Input!F:F)</f>
        <v>0</v>
      </c>
      <c r="D197" s="32">
        <f>_xlfn.XLOOKUP(C197,Models!H:H,Models!G:G,C197)</f>
        <v>0</v>
      </c>
      <c r="E197" s="32">
        <f>_xlfn.XLOOKUP(B197,Input!J:J,Input!E:E)</f>
        <v>0</v>
      </c>
      <c r="F197" s="32">
        <f>IF(E197="LENOVO",_xlfn.XLOOKUP(B197,Input!J:J,Input!K:K),_xlfn.XLOOKUP(B197,Input!J:J,Input!L:L))</f>
        <v>0</v>
      </c>
      <c r="G197" s="32"/>
      <c r="H197" s="32"/>
      <c r="I197" s="32">
        <f>_xlfn.XLOOKUP(B197,CPU_Formula!A:A,CPU_Formula!I:I)</f>
        <v>0</v>
      </c>
      <c r="J197" s="51" t="e">
        <f>INDEX(Input!$D$2:$AC$500,
       MATCH(B197, Input!$J$2:$J$500, 0),
       MATCH("Total Memory", Input!$D$1:$AC$1, 0))</f>
        <v>#N/A</v>
      </c>
      <c r="K197" s="51" t="e">
        <f>INDEX(Input!$D$2:$AC$500,
       MATCH(B197, Input!$J$2:$J$500, 0),
       MATCH("Memory Type", Input!$D$1:$AC$1, 0))</f>
        <v>#N/A</v>
      </c>
      <c r="L197" s="51" t="str" cm="1">
        <f t="array" ref="L197">IFERROR(_xlfn.FILTERXML("&lt;t&gt;&lt;s&gt;" &amp; SUBSTITUTE(K197," / ","&lt;/s&gt;&lt;s&gt;") &amp; "&lt;/s&gt;&lt;/t&gt;","(//s[contains(.,'DDR')])[1]"),"")</f>
        <v/>
      </c>
      <c r="M197" s="32" t="e">
        <f t="shared" si="11"/>
        <v>#N/A</v>
      </c>
      <c r="N197" s="51" t="e">
        <f>INDEX(Input!$D$2:$AC$500,
       MATCH(B197, Input!$J$2:$J$500, 0),
       MATCH("Disk Interface Type", Input!$D$1:$AC$1, 0))</f>
        <v>#N/A</v>
      </c>
      <c r="O197" s="51" t="str" cm="1">
        <f t="array" ref="O197">IFERROR(_xlfn.TEXTJOIN(", ", TRUE, _xlfn._xlws.FILTER(
    INDEX(Input!$D$2:$AC$500,,MATCH("Disk Capacity",Input!$D$1:$AC$1,0)),
    Input!$J$2:$J$500=B197
)), "")</f>
        <v/>
      </c>
      <c r="P197" s="32" t="e">
        <f t="shared" si="10"/>
        <v>#N/A</v>
      </c>
      <c r="Q197" s="51" t="e">
        <f>_xlfn.LET(_xlpm.Result,INDEX(Input!$D$2:$AC$500,
       MATCH(B197, Input!$J$2:$J$500, 0),
       MATCH("Capacity", Input!$D$1:$AC$1, 0)),IF(_xlpm.Result="","",_xlpm.Result))</f>
        <v>#N/A</v>
      </c>
      <c r="R197" s="51" t="e" cm="1">
        <f t="array" ref="R197">_xlfn.TEXTSPLIT(Q197," / ", ,TRUE,0,)</f>
        <v>#N/A</v>
      </c>
      <c r="S197" s="51"/>
      <c r="T197" s="51" t="str" cm="1">
        <f t="array" ref="T197">IFERROR(_xlfn.IFS(
R197="","",
--R197&lt;55,"Battery Defect",
--R197&lt;=69,"Battery D",
--R197&lt;=80,"Battery C",
--R197&gt;80,""
),"")</f>
        <v/>
      </c>
      <c r="U197" s="51" t="str" cm="1">
        <f t="array" ref="U197">IFERROR(_xlfn.IFS(
S197="","",
--S197&lt;55,"Battery Defect",
--S197&lt;=69,"Battery D",
--S197&lt;=80,"Battery C",
--S197&gt;80,""
),"")</f>
        <v/>
      </c>
      <c r="V197" s="51" t="str" cm="1">
        <f t="array" ref="V197:AC197">IFERROR(IF(_xlfn.XLOOKUP(B197,Input!J:J,Input!N:U)=0,"",
          _xlfn.XLOOKUP(B197,Input!J:J,Input!N:U)),"")</f>
        <v/>
      </c>
      <c r="W197" s="51" t="str">
        <v/>
      </c>
      <c r="X197" s="51" t="str">
        <v/>
      </c>
      <c r="Y197" s="51" t="str">
        <v/>
      </c>
      <c r="Z197" s="51" t="str">
        <v/>
      </c>
      <c r="AA197" s="51" t="str">
        <v/>
      </c>
      <c r="AB197" s="51" t="str">
        <v/>
      </c>
      <c r="AC197" s="51" t="str">
        <v/>
      </c>
      <c r="AD197" s="32" t="str">
        <f t="shared" si="9"/>
        <v/>
      </c>
      <c r="AE197" s="32" t="str">
        <f>_xlfn.XLOOKUP(B:B,Disk_Pivot!G:G,Disk_Pivot!I:I)</f>
        <v>Yes x2</v>
      </c>
      <c r="AF197" s="32" t="str">
        <f>_xlfn.XLOOKUP(B197,Disk_Pivot!G:G,Disk_Pivot!N:N)</f>
        <v>Pass, Fail</v>
      </c>
      <c r="AG197" s="32"/>
      <c r="AH197" s="32"/>
      <c r="AI197" s="32"/>
      <c r="AJ197" s="32"/>
      <c r="AK197" s="32"/>
      <c r="AL197" s="32"/>
    </row>
    <row r="198" spans="1:38">
      <c r="A198" s="32" t="str">
        <f>_xlfn.TEXTJOIN("",TRUE,_xlfn.XLOOKUP(B198,Input!J:J,Input!G:G,"",0,1),_xlfn.XLOOKUP(B198,Input!J:J,Input!H:H,"",0,1))</f>
        <v/>
      </c>
      <c r="B198" s="32"/>
      <c r="C198" s="51">
        <f>_xlfn.XLOOKUP(B198,Input!J:J,Input!F:F)</f>
        <v>0</v>
      </c>
      <c r="D198" s="32">
        <f>_xlfn.XLOOKUP(C198,Models!H:H,Models!G:G,C198)</f>
        <v>0</v>
      </c>
      <c r="E198" s="32">
        <f>_xlfn.XLOOKUP(B198,Input!J:J,Input!E:E)</f>
        <v>0</v>
      </c>
      <c r="F198" s="32">
        <f>IF(E198="LENOVO",_xlfn.XLOOKUP(B198,Input!J:J,Input!K:K),_xlfn.XLOOKUP(B198,Input!J:J,Input!L:L))</f>
        <v>0</v>
      </c>
      <c r="G198" s="32"/>
      <c r="H198" s="32"/>
      <c r="I198" s="32">
        <f>_xlfn.XLOOKUP(B198,CPU_Formula!A:A,CPU_Formula!I:I)</f>
        <v>0</v>
      </c>
      <c r="J198" s="51" t="e">
        <f>INDEX(Input!$D$2:$AC$500,
       MATCH(B198, Input!$J$2:$J$500, 0),
       MATCH("Total Memory", Input!$D$1:$AC$1, 0))</f>
        <v>#N/A</v>
      </c>
      <c r="K198" s="51" t="e">
        <f>INDEX(Input!$D$2:$AC$500,
       MATCH(B198, Input!$J$2:$J$500, 0),
       MATCH("Memory Type", Input!$D$1:$AC$1, 0))</f>
        <v>#N/A</v>
      </c>
      <c r="L198" s="51" t="str" cm="1">
        <f t="array" ref="L198">IFERROR(_xlfn.FILTERXML("&lt;t&gt;&lt;s&gt;" &amp; SUBSTITUTE(K198," / ","&lt;/s&gt;&lt;s&gt;") &amp; "&lt;/s&gt;&lt;/t&gt;","(//s[contains(.,'DDR')])[1]"),"")</f>
        <v/>
      </c>
      <c r="M198" s="32" t="e">
        <f t="shared" si="11"/>
        <v>#N/A</v>
      </c>
      <c r="N198" s="51" t="e">
        <f>INDEX(Input!$D$2:$AC$500,
       MATCH(B198, Input!$J$2:$J$500, 0),
       MATCH("Disk Interface Type", Input!$D$1:$AC$1, 0))</f>
        <v>#N/A</v>
      </c>
      <c r="O198" s="51" t="str" cm="1">
        <f t="array" ref="O198">IFERROR(_xlfn.TEXTJOIN(", ", TRUE, _xlfn._xlws.FILTER(
    INDEX(Input!$D$2:$AC$500,,MATCH("Disk Capacity",Input!$D$1:$AC$1,0)),
    Input!$J$2:$J$500=B198
)), "")</f>
        <v/>
      </c>
      <c r="P198" s="32" t="e">
        <f t="shared" si="10"/>
        <v>#N/A</v>
      </c>
      <c r="Q198" s="51" t="e">
        <f>_xlfn.LET(_xlpm.Result,INDEX(Input!$D$2:$AC$500,
       MATCH(B198, Input!$J$2:$J$500, 0),
       MATCH("Capacity", Input!$D$1:$AC$1, 0)),IF(_xlpm.Result="","",_xlpm.Result))</f>
        <v>#N/A</v>
      </c>
      <c r="R198" s="51" t="e" cm="1">
        <f t="array" ref="R198">_xlfn.TEXTSPLIT(Q198," / ", ,TRUE,0,)</f>
        <v>#N/A</v>
      </c>
      <c r="S198" s="51"/>
      <c r="T198" s="51" t="str" cm="1">
        <f t="array" ref="T198">IFERROR(_xlfn.IFS(
R198="","",
--R198&lt;55,"Battery Defect",
--R198&lt;=69,"Battery D",
--R198&lt;=80,"Battery C",
--R198&gt;80,""
),"")</f>
        <v/>
      </c>
      <c r="U198" s="51" t="str" cm="1">
        <f t="array" ref="U198">IFERROR(_xlfn.IFS(
S198="","",
--S198&lt;55,"Battery Defect",
--S198&lt;=69,"Battery D",
--S198&lt;=80,"Battery C",
--S198&gt;80,""
),"")</f>
        <v/>
      </c>
      <c r="V198" s="51" t="str" cm="1">
        <f t="array" ref="V198:AC198">IFERROR(IF(_xlfn.XLOOKUP(B198,Input!J:J,Input!N:U)=0,"",
          _xlfn.XLOOKUP(B198,Input!J:J,Input!N:U)),"")</f>
        <v/>
      </c>
      <c r="W198" s="51" t="str">
        <v/>
      </c>
      <c r="X198" s="51" t="str">
        <v/>
      </c>
      <c r="Y198" s="51" t="str">
        <v/>
      </c>
      <c r="Z198" s="51" t="str">
        <v/>
      </c>
      <c r="AA198" s="51" t="str">
        <v/>
      </c>
      <c r="AB198" s="51" t="str">
        <v/>
      </c>
      <c r="AC198" s="51" t="str">
        <v/>
      </c>
      <c r="AD198" s="32" t="str">
        <f t="shared" si="9"/>
        <v/>
      </c>
      <c r="AE198" s="32" t="str">
        <f>_xlfn.XLOOKUP(B:B,Disk_Pivot!G:G,Disk_Pivot!I:I)</f>
        <v>Yes x2</v>
      </c>
      <c r="AF198" s="32" t="str">
        <f>_xlfn.XLOOKUP(B198,Disk_Pivot!G:G,Disk_Pivot!N:N)</f>
        <v>Pass, Fail</v>
      </c>
      <c r="AG198" s="32"/>
      <c r="AH198" s="32"/>
      <c r="AI198" s="32"/>
      <c r="AJ198" s="32"/>
      <c r="AK198" s="32"/>
      <c r="AL198" s="32"/>
    </row>
    <row r="199" spans="1:38">
      <c r="A199" s="32" t="str">
        <f>_xlfn.TEXTJOIN("",TRUE,_xlfn.XLOOKUP(B199,Input!J:J,Input!G:G,"",0,1),_xlfn.XLOOKUP(B199,Input!J:J,Input!H:H,"",0,1))</f>
        <v/>
      </c>
      <c r="B199" s="32"/>
      <c r="C199" s="51">
        <f>_xlfn.XLOOKUP(B199,Input!J:J,Input!F:F)</f>
        <v>0</v>
      </c>
      <c r="D199" s="32">
        <f>_xlfn.XLOOKUP(C199,Models!H:H,Models!G:G,C199)</f>
        <v>0</v>
      </c>
      <c r="E199" s="32">
        <f>_xlfn.XLOOKUP(B199,Input!J:J,Input!E:E)</f>
        <v>0</v>
      </c>
      <c r="F199" s="32">
        <f>IF(E199="LENOVO",_xlfn.XLOOKUP(B199,Input!J:J,Input!K:K),_xlfn.XLOOKUP(B199,Input!J:J,Input!L:L))</f>
        <v>0</v>
      </c>
      <c r="G199" s="32"/>
      <c r="H199" s="32"/>
      <c r="I199" s="32">
        <f>_xlfn.XLOOKUP(B199,CPU_Formula!A:A,CPU_Formula!I:I)</f>
        <v>0</v>
      </c>
      <c r="J199" s="51" t="e">
        <f>INDEX(Input!$D$2:$AC$500,
       MATCH(B199, Input!$J$2:$J$500, 0),
       MATCH("Total Memory", Input!$D$1:$AC$1, 0))</f>
        <v>#N/A</v>
      </c>
      <c r="K199" s="51" t="e">
        <f>INDEX(Input!$D$2:$AC$500,
       MATCH(B199, Input!$J$2:$J$500, 0),
       MATCH("Memory Type", Input!$D$1:$AC$1, 0))</f>
        <v>#N/A</v>
      </c>
      <c r="L199" s="51" t="str" cm="1">
        <f t="array" ref="L199">IFERROR(_xlfn.FILTERXML("&lt;t&gt;&lt;s&gt;" &amp; SUBSTITUTE(K199," / ","&lt;/s&gt;&lt;s&gt;") &amp; "&lt;/s&gt;&lt;/t&gt;","(//s[contains(.,'DDR')])[1]"),"")</f>
        <v/>
      </c>
      <c r="M199" s="32" t="e">
        <f t="shared" si="11"/>
        <v>#N/A</v>
      </c>
      <c r="N199" s="51" t="e">
        <f>INDEX(Input!$D$2:$AC$500,
       MATCH(B199, Input!$J$2:$J$500, 0),
       MATCH("Disk Interface Type", Input!$D$1:$AC$1, 0))</f>
        <v>#N/A</v>
      </c>
      <c r="O199" s="51" t="str" cm="1">
        <f t="array" ref="O199">IFERROR(_xlfn.TEXTJOIN(", ", TRUE, _xlfn._xlws.FILTER(
    INDEX(Input!$D$2:$AC$500,,MATCH("Disk Capacity",Input!$D$1:$AC$1,0)),
    Input!$J$2:$J$500=B199
)), "")</f>
        <v/>
      </c>
      <c r="P199" s="32" t="e">
        <f t="shared" si="10"/>
        <v>#N/A</v>
      </c>
      <c r="Q199" s="51" t="e">
        <f>_xlfn.LET(_xlpm.Result,INDEX(Input!$D$2:$AC$500,
       MATCH(B199, Input!$J$2:$J$500, 0),
       MATCH("Capacity", Input!$D$1:$AC$1, 0)),IF(_xlpm.Result="","",_xlpm.Result))</f>
        <v>#N/A</v>
      </c>
      <c r="R199" s="51" t="e" cm="1">
        <f t="array" ref="R199">_xlfn.TEXTSPLIT(Q199," / ", ,TRUE,0,)</f>
        <v>#N/A</v>
      </c>
      <c r="S199" s="51"/>
      <c r="T199" s="51" t="str" cm="1">
        <f t="array" ref="T199">IFERROR(_xlfn.IFS(
R199="","",
--R199&lt;55,"Battery Defect",
--R199&lt;=69,"Battery D",
--R199&lt;=80,"Battery C",
--R199&gt;80,""
),"")</f>
        <v/>
      </c>
      <c r="U199" s="51" t="str" cm="1">
        <f t="array" ref="U199">IFERROR(_xlfn.IFS(
S199="","",
--S199&lt;55,"Battery Defect",
--S199&lt;=69,"Battery D",
--S199&lt;=80,"Battery C",
--S199&gt;80,""
),"")</f>
        <v/>
      </c>
      <c r="V199" s="51" t="str" cm="1">
        <f t="array" ref="V199:AC199">IFERROR(IF(_xlfn.XLOOKUP(B199,Input!J:J,Input!N:U)=0,"",
          _xlfn.XLOOKUP(B199,Input!J:J,Input!N:U)),"")</f>
        <v/>
      </c>
      <c r="W199" s="51" t="str">
        <v/>
      </c>
      <c r="X199" s="51" t="str">
        <v/>
      </c>
      <c r="Y199" s="51" t="str">
        <v/>
      </c>
      <c r="Z199" s="51" t="str">
        <v/>
      </c>
      <c r="AA199" s="51" t="str">
        <v/>
      </c>
      <c r="AB199" s="51" t="str">
        <v/>
      </c>
      <c r="AC199" s="51" t="str">
        <v/>
      </c>
      <c r="AD199" s="32" t="str">
        <f t="shared" si="9"/>
        <v/>
      </c>
      <c r="AE199" s="32" t="str">
        <f>_xlfn.XLOOKUP(B:B,Disk_Pivot!G:G,Disk_Pivot!I:I)</f>
        <v>Yes x2</v>
      </c>
      <c r="AF199" s="32" t="str">
        <f>_xlfn.XLOOKUP(B199,Disk_Pivot!G:G,Disk_Pivot!N:N)</f>
        <v>Pass, Fail</v>
      </c>
      <c r="AG199" s="32"/>
      <c r="AH199" s="32"/>
      <c r="AI199" s="32"/>
      <c r="AJ199" s="32"/>
      <c r="AK199" s="32"/>
      <c r="AL199" s="32"/>
    </row>
    <row r="200" spans="1:38">
      <c r="A200" s="32" t="str">
        <f>_xlfn.TEXTJOIN("",TRUE,_xlfn.XLOOKUP(B200,Input!J:J,Input!G:G,"",0,1),_xlfn.XLOOKUP(B200,Input!J:J,Input!H:H,"",0,1))</f>
        <v/>
      </c>
      <c r="B200" s="32"/>
      <c r="C200" s="51">
        <f>_xlfn.XLOOKUP(B200,Input!J:J,Input!F:F)</f>
        <v>0</v>
      </c>
      <c r="D200" s="32">
        <f>_xlfn.XLOOKUP(C200,Models!H:H,Models!G:G,C200)</f>
        <v>0</v>
      </c>
      <c r="E200" s="32">
        <f>_xlfn.XLOOKUP(B200,Input!J:J,Input!E:E)</f>
        <v>0</v>
      </c>
      <c r="F200" s="32">
        <f>IF(E200="LENOVO",_xlfn.XLOOKUP(B200,Input!J:J,Input!K:K),_xlfn.XLOOKUP(B200,Input!J:J,Input!L:L))</f>
        <v>0</v>
      </c>
      <c r="G200" s="32"/>
      <c r="H200" s="32"/>
      <c r="I200" s="32">
        <f>_xlfn.XLOOKUP(B200,CPU_Formula!A:A,CPU_Formula!I:I)</f>
        <v>0</v>
      </c>
      <c r="J200" s="51" t="e">
        <f>INDEX(Input!$D$2:$AC$500,
       MATCH(B200, Input!$J$2:$J$500, 0),
       MATCH("Total Memory", Input!$D$1:$AC$1, 0))</f>
        <v>#N/A</v>
      </c>
      <c r="K200" s="51" t="e">
        <f>INDEX(Input!$D$2:$AC$500,
       MATCH(B200, Input!$J$2:$J$500, 0),
       MATCH("Memory Type", Input!$D$1:$AC$1, 0))</f>
        <v>#N/A</v>
      </c>
      <c r="L200" s="51" t="str" cm="1">
        <f t="array" ref="L200">IFERROR(_xlfn.FILTERXML("&lt;t&gt;&lt;s&gt;" &amp; SUBSTITUTE(K200," / ","&lt;/s&gt;&lt;s&gt;") &amp; "&lt;/s&gt;&lt;/t&gt;","(//s[contains(.,'DDR')])[1]"),"")</f>
        <v/>
      </c>
      <c r="M200" s="32" t="e">
        <f t="shared" si="11"/>
        <v>#N/A</v>
      </c>
      <c r="N200" s="51" t="e">
        <f>INDEX(Input!$D$2:$AC$500,
       MATCH(B200, Input!$J$2:$J$500, 0),
       MATCH("Disk Interface Type", Input!$D$1:$AC$1, 0))</f>
        <v>#N/A</v>
      </c>
      <c r="O200" s="51" t="str" cm="1">
        <f t="array" ref="O200">IFERROR(_xlfn.TEXTJOIN(", ", TRUE, _xlfn._xlws.FILTER(
    INDEX(Input!$D$2:$AC$500,,MATCH("Disk Capacity",Input!$D$1:$AC$1,0)),
    Input!$J$2:$J$500=B200
)), "")</f>
        <v/>
      </c>
      <c r="P200" s="32" t="e">
        <f t="shared" si="10"/>
        <v>#N/A</v>
      </c>
      <c r="Q200" s="51" t="e">
        <f>_xlfn.LET(_xlpm.Result,INDEX(Input!$D$2:$AC$500,
       MATCH(B200, Input!$J$2:$J$500, 0),
       MATCH("Capacity", Input!$D$1:$AC$1, 0)),IF(_xlpm.Result="","",_xlpm.Result))</f>
        <v>#N/A</v>
      </c>
      <c r="R200" s="51" t="e" cm="1">
        <f t="array" ref="R200">_xlfn.TEXTSPLIT(Q200," / ", ,TRUE,0,)</f>
        <v>#N/A</v>
      </c>
      <c r="S200" s="51"/>
      <c r="T200" s="51" t="str" cm="1">
        <f t="array" ref="T200">IFERROR(_xlfn.IFS(
R200="","",
--R200&lt;55,"Battery Defect",
--R200&lt;=69,"Battery D",
--R200&lt;=80,"Battery C",
--R200&gt;80,""
),"")</f>
        <v/>
      </c>
      <c r="U200" s="51" t="str" cm="1">
        <f t="array" ref="U200">IFERROR(_xlfn.IFS(
S200="","",
--S200&lt;55,"Battery Defect",
--S200&lt;=69,"Battery D",
--S200&lt;=80,"Battery C",
--S200&gt;80,""
),"")</f>
        <v/>
      </c>
      <c r="V200" s="51" t="str" cm="1">
        <f t="array" ref="V200:AC200">IFERROR(IF(_xlfn.XLOOKUP(B200,Input!J:J,Input!N:U)=0,"",
          _xlfn.XLOOKUP(B200,Input!J:J,Input!N:U)),"")</f>
        <v/>
      </c>
      <c r="W200" s="51" t="str">
        <v/>
      </c>
      <c r="X200" s="51" t="str">
        <v/>
      </c>
      <c r="Y200" s="51" t="str">
        <v/>
      </c>
      <c r="Z200" s="51" t="str">
        <v/>
      </c>
      <c r="AA200" s="51" t="str">
        <v/>
      </c>
      <c r="AB200" s="51" t="str">
        <v/>
      </c>
      <c r="AC200" s="51" t="str">
        <v/>
      </c>
      <c r="AD200" s="32" t="str">
        <f t="shared" si="9"/>
        <v/>
      </c>
      <c r="AE200" s="32" t="str">
        <f>_xlfn.XLOOKUP(B:B,Disk_Pivot!G:G,Disk_Pivot!I:I)</f>
        <v>Yes x2</v>
      </c>
      <c r="AF200" s="32" t="str">
        <f>_xlfn.XLOOKUP(B200,Disk_Pivot!G:G,Disk_Pivot!N:N)</f>
        <v>Pass, Fail</v>
      </c>
      <c r="AG200" s="32"/>
      <c r="AH200" s="32"/>
      <c r="AI200" s="32"/>
      <c r="AJ200" s="32"/>
      <c r="AK200" s="32"/>
      <c r="AL200" s="32"/>
    </row>
    <row r="201" spans="1:38">
      <c r="A201" s="32" t="str">
        <f>_xlfn.TEXTJOIN("",TRUE,_xlfn.XLOOKUP(B201,Input!J:J,Input!G:G,"",0,1),_xlfn.XLOOKUP(B201,Input!J:J,Input!H:H,"",0,1))</f>
        <v/>
      </c>
      <c r="B201" s="32"/>
      <c r="C201" s="51">
        <f>_xlfn.XLOOKUP(B201,Input!J:J,Input!F:F)</f>
        <v>0</v>
      </c>
      <c r="D201" s="32">
        <f>_xlfn.XLOOKUP(C201,Models!H:H,Models!G:G,C201)</f>
        <v>0</v>
      </c>
      <c r="E201" s="32">
        <f>_xlfn.XLOOKUP(B201,Input!J:J,Input!E:E)</f>
        <v>0</v>
      </c>
      <c r="F201" s="32">
        <f>IF(E201="LENOVO",_xlfn.XLOOKUP(B201,Input!J:J,Input!K:K),_xlfn.XLOOKUP(B201,Input!J:J,Input!L:L))</f>
        <v>0</v>
      </c>
      <c r="G201" s="32"/>
      <c r="H201" s="32"/>
      <c r="I201" s="32">
        <f>_xlfn.XLOOKUP(B201,CPU_Formula!A:A,CPU_Formula!I:I)</f>
        <v>0</v>
      </c>
      <c r="J201" s="51" t="e">
        <f>INDEX(Input!$D$2:$AC$500,
       MATCH(B201, Input!$J$2:$J$500, 0),
       MATCH("Total Memory", Input!$D$1:$AC$1, 0))</f>
        <v>#N/A</v>
      </c>
      <c r="K201" s="51" t="e">
        <f>INDEX(Input!$D$2:$AC$500,
       MATCH(B201, Input!$J$2:$J$500, 0),
       MATCH("Memory Type", Input!$D$1:$AC$1, 0))</f>
        <v>#N/A</v>
      </c>
      <c r="L201" s="51" t="str" cm="1">
        <f t="array" ref="L201">IFERROR(_xlfn.FILTERXML("&lt;t&gt;&lt;s&gt;" &amp; SUBSTITUTE(K201," / ","&lt;/s&gt;&lt;s&gt;") &amp; "&lt;/s&gt;&lt;/t&gt;","(//s[contains(.,'DDR')])[1]"),"")</f>
        <v/>
      </c>
      <c r="M201" s="32" t="e">
        <f t="shared" si="11"/>
        <v>#N/A</v>
      </c>
      <c r="N201" s="51" t="e">
        <f>INDEX(Input!$D$2:$AC$500,
       MATCH(B201, Input!$J$2:$J$500, 0),
       MATCH("Disk Interface Type", Input!$D$1:$AC$1, 0))</f>
        <v>#N/A</v>
      </c>
      <c r="O201" s="51" t="str" cm="1">
        <f t="array" ref="O201">IFERROR(_xlfn.TEXTJOIN(", ", TRUE, _xlfn._xlws.FILTER(
    INDEX(Input!$D$2:$AC$500,,MATCH("Disk Capacity",Input!$D$1:$AC$1,0)),
    Input!$J$2:$J$500=B201
)), "")</f>
        <v/>
      </c>
      <c r="P201" s="32" t="e">
        <f t="shared" si="10"/>
        <v>#N/A</v>
      </c>
      <c r="Q201" s="51" t="e">
        <f>_xlfn.LET(_xlpm.Result,INDEX(Input!$D$2:$AC$500,
       MATCH(B201, Input!$J$2:$J$500, 0),
       MATCH("Capacity", Input!$D$1:$AC$1, 0)),IF(_xlpm.Result="","",_xlpm.Result))</f>
        <v>#N/A</v>
      </c>
      <c r="R201" s="51" t="e" cm="1">
        <f t="array" ref="R201">_xlfn.TEXTSPLIT(Q201," / ", ,TRUE,0,)</f>
        <v>#N/A</v>
      </c>
      <c r="S201" s="51"/>
      <c r="T201" s="51" t="str" cm="1">
        <f t="array" ref="T201">IFERROR(_xlfn.IFS(
R201="","",
--R201&lt;55,"Battery Defect",
--R201&lt;=69,"Battery D",
--R201&lt;=80,"Battery C",
--R201&gt;80,""
),"")</f>
        <v/>
      </c>
      <c r="U201" s="51" t="str" cm="1">
        <f t="array" ref="U201">IFERROR(_xlfn.IFS(
S201="","",
--S201&lt;55,"Battery Defect",
--S201&lt;=69,"Battery D",
--S201&lt;=80,"Battery C",
--S201&gt;80,""
),"")</f>
        <v/>
      </c>
      <c r="V201" s="51" t="str" cm="1">
        <f t="array" ref="V201:AC201">IFERROR(IF(_xlfn.XLOOKUP(B201,Input!J:J,Input!N:U)=0,"",
          _xlfn.XLOOKUP(B201,Input!J:J,Input!N:U)),"")</f>
        <v/>
      </c>
      <c r="W201" s="51" t="str">
        <v/>
      </c>
      <c r="X201" s="51" t="str">
        <v/>
      </c>
      <c r="Y201" s="51" t="str">
        <v/>
      </c>
      <c r="Z201" s="51" t="str">
        <v/>
      </c>
      <c r="AA201" s="51" t="str">
        <v/>
      </c>
      <c r="AB201" s="51" t="str">
        <v/>
      </c>
      <c r="AC201" s="51" t="str">
        <v/>
      </c>
      <c r="AD201" s="32" t="str">
        <f t="shared" si="9"/>
        <v/>
      </c>
      <c r="AE201" s="32" t="str">
        <f>_xlfn.XLOOKUP(B:B,Disk_Pivot!G:G,Disk_Pivot!I:I)</f>
        <v>Yes x2</v>
      </c>
      <c r="AF201" s="32" t="str">
        <f>_xlfn.XLOOKUP(B201,Disk_Pivot!G:G,Disk_Pivot!N:N)</f>
        <v>Pass, Fail</v>
      </c>
      <c r="AG201" s="32"/>
      <c r="AH201" s="32"/>
      <c r="AI201" s="32"/>
      <c r="AJ201" s="32"/>
      <c r="AK201" s="32"/>
      <c r="AL201" s="32"/>
    </row>
    <row r="202" spans="1:38">
      <c r="A202" s="32" t="str">
        <f>_xlfn.TEXTJOIN("",TRUE,_xlfn.XLOOKUP(B202,Input!J:J,Input!G:G,"",0,1),_xlfn.XLOOKUP(B202,Input!J:J,Input!H:H,"",0,1))</f>
        <v/>
      </c>
      <c r="B202" s="32"/>
      <c r="C202" s="51">
        <f>_xlfn.XLOOKUP(B202,Input!J:J,Input!F:F)</f>
        <v>0</v>
      </c>
      <c r="D202" s="32">
        <f>_xlfn.XLOOKUP(C202,Models!H:H,Models!G:G,C202)</f>
        <v>0</v>
      </c>
      <c r="E202" s="32">
        <f>_xlfn.XLOOKUP(B202,Input!J:J,Input!E:E)</f>
        <v>0</v>
      </c>
      <c r="F202" s="32">
        <f>IF(E202="LENOVO",_xlfn.XLOOKUP(B202,Input!J:J,Input!K:K),_xlfn.XLOOKUP(B202,Input!J:J,Input!L:L))</f>
        <v>0</v>
      </c>
      <c r="G202" s="32"/>
      <c r="H202" s="32"/>
      <c r="I202" s="32">
        <f>_xlfn.XLOOKUP(B202,CPU_Formula!A:A,CPU_Formula!I:I)</f>
        <v>0</v>
      </c>
      <c r="J202" s="51" t="e">
        <f>INDEX(Input!$D$2:$AC$500,
       MATCH(B202, Input!$J$2:$J$500, 0),
       MATCH("Total Memory", Input!$D$1:$AC$1, 0))</f>
        <v>#N/A</v>
      </c>
      <c r="K202" s="51" t="e">
        <f>INDEX(Input!$D$2:$AC$500,
       MATCH(B202, Input!$J$2:$J$500, 0),
       MATCH("Memory Type", Input!$D$1:$AC$1, 0))</f>
        <v>#N/A</v>
      </c>
      <c r="L202" s="51" t="str" cm="1">
        <f t="array" ref="L202">IFERROR(_xlfn.FILTERXML("&lt;t&gt;&lt;s&gt;" &amp; SUBSTITUTE(K202," / ","&lt;/s&gt;&lt;s&gt;") &amp; "&lt;/s&gt;&lt;/t&gt;","(//s[contains(.,'DDR')])[1]"),"")</f>
        <v/>
      </c>
      <c r="M202" s="32" t="e">
        <f t="shared" si="11"/>
        <v>#N/A</v>
      </c>
      <c r="N202" s="51" t="e">
        <f>INDEX(Input!$D$2:$AC$500,
       MATCH(B202, Input!$J$2:$J$500, 0),
       MATCH("Disk Interface Type", Input!$D$1:$AC$1, 0))</f>
        <v>#N/A</v>
      </c>
      <c r="O202" s="51" t="str" cm="1">
        <f t="array" ref="O202">IFERROR(_xlfn.TEXTJOIN(", ", TRUE, _xlfn._xlws.FILTER(
    INDEX(Input!$D$2:$AC$500,,MATCH("Disk Capacity",Input!$D$1:$AC$1,0)),
    Input!$J$2:$J$500=B202
)), "")</f>
        <v/>
      </c>
      <c r="P202" s="32" t="e">
        <f t="shared" si="10"/>
        <v>#N/A</v>
      </c>
      <c r="Q202" s="51" t="e">
        <f>_xlfn.LET(_xlpm.Result,INDEX(Input!$D$2:$AC$500,
       MATCH(B202, Input!$J$2:$J$500, 0),
       MATCH("Capacity", Input!$D$1:$AC$1, 0)),IF(_xlpm.Result="","",_xlpm.Result))</f>
        <v>#N/A</v>
      </c>
      <c r="R202" s="51" t="e" cm="1">
        <f t="array" ref="R202">_xlfn.TEXTSPLIT(Q202," / ", ,TRUE,0,)</f>
        <v>#N/A</v>
      </c>
      <c r="S202" s="51"/>
      <c r="T202" s="51" t="str" cm="1">
        <f t="array" ref="T202">IFERROR(_xlfn.IFS(
R202="","",
--R202&lt;55,"Battery Defect",
--R202&lt;=69,"Battery D",
--R202&lt;=80,"Battery C",
--R202&gt;80,""
),"")</f>
        <v/>
      </c>
      <c r="U202" s="51" t="str" cm="1">
        <f t="array" ref="U202">IFERROR(_xlfn.IFS(
S202="","",
--S202&lt;55,"Battery Defect",
--S202&lt;=69,"Battery D",
--S202&lt;=80,"Battery C",
--S202&gt;80,""
),"")</f>
        <v/>
      </c>
      <c r="V202" s="51" t="str" cm="1">
        <f t="array" ref="V202:AC202">IFERROR(IF(_xlfn.XLOOKUP(B202,Input!J:J,Input!N:U)=0,"",
          _xlfn.XLOOKUP(B202,Input!J:J,Input!N:U)),"")</f>
        <v/>
      </c>
      <c r="W202" s="51" t="str">
        <v/>
      </c>
      <c r="X202" s="51" t="str">
        <v/>
      </c>
      <c r="Y202" s="51" t="str">
        <v/>
      </c>
      <c r="Z202" s="51" t="str">
        <v/>
      </c>
      <c r="AA202" s="51" t="str">
        <v/>
      </c>
      <c r="AB202" s="51" t="str">
        <v/>
      </c>
      <c r="AC202" s="51" t="str">
        <v/>
      </c>
      <c r="AD202" s="32" t="str">
        <f t="shared" si="9"/>
        <v/>
      </c>
      <c r="AE202" s="32" t="str">
        <f>_xlfn.XLOOKUP(B:B,Disk_Pivot!G:G,Disk_Pivot!I:I)</f>
        <v>Yes x2</v>
      </c>
      <c r="AF202" s="32" t="str">
        <f>_xlfn.XLOOKUP(B202,Disk_Pivot!G:G,Disk_Pivot!N:N)</f>
        <v>Pass, Fail</v>
      </c>
      <c r="AG202" s="32"/>
      <c r="AH202" s="32"/>
      <c r="AI202" s="32"/>
      <c r="AJ202" s="32"/>
      <c r="AK202" s="32"/>
      <c r="AL202" s="32"/>
    </row>
    <row r="203" spans="1:38">
      <c r="A203" s="32" t="str">
        <f>_xlfn.TEXTJOIN("",TRUE,_xlfn.XLOOKUP(B203,Input!J:J,Input!G:G,"",0,1),_xlfn.XLOOKUP(B203,Input!J:J,Input!H:H,"",0,1))</f>
        <v/>
      </c>
      <c r="B203" s="32"/>
      <c r="C203" s="51">
        <f>_xlfn.XLOOKUP(B203,Input!J:J,Input!F:F)</f>
        <v>0</v>
      </c>
      <c r="D203" s="32">
        <f>_xlfn.XLOOKUP(C203,Models!H:H,Models!G:G,C203)</f>
        <v>0</v>
      </c>
      <c r="E203" s="32">
        <f>_xlfn.XLOOKUP(B203,Input!J:J,Input!E:E)</f>
        <v>0</v>
      </c>
      <c r="F203" s="32">
        <f>IF(E203="LENOVO",_xlfn.XLOOKUP(B203,Input!J:J,Input!K:K),_xlfn.XLOOKUP(B203,Input!J:J,Input!L:L))</f>
        <v>0</v>
      </c>
      <c r="G203" s="32"/>
      <c r="H203" s="32"/>
      <c r="I203" s="32">
        <f>_xlfn.XLOOKUP(B203,CPU_Formula!A:A,CPU_Formula!I:I)</f>
        <v>0</v>
      </c>
      <c r="J203" s="51" t="e">
        <f>INDEX(Input!$D$2:$AC$500,
       MATCH(B203, Input!$J$2:$J$500, 0),
       MATCH("Total Memory", Input!$D$1:$AC$1, 0))</f>
        <v>#N/A</v>
      </c>
      <c r="K203" s="51" t="e">
        <f>INDEX(Input!$D$2:$AC$500,
       MATCH(B203, Input!$J$2:$J$500, 0),
       MATCH("Memory Type", Input!$D$1:$AC$1, 0))</f>
        <v>#N/A</v>
      </c>
      <c r="L203" s="51" t="str" cm="1">
        <f t="array" ref="L203">IFERROR(_xlfn.FILTERXML("&lt;t&gt;&lt;s&gt;" &amp; SUBSTITUTE(K203," / ","&lt;/s&gt;&lt;s&gt;") &amp; "&lt;/s&gt;&lt;/t&gt;","(//s[contains(.,'DDR')])[1]"),"")</f>
        <v/>
      </c>
      <c r="M203" s="32" t="e">
        <f t="shared" si="11"/>
        <v>#N/A</v>
      </c>
      <c r="N203" s="51" t="e">
        <f>INDEX(Input!$D$2:$AC$500,
       MATCH(B203, Input!$J$2:$J$500, 0),
       MATCH("Disk Interface Type", Input!$D$1:$AC$1, 0))</f>
        <v>#N/A</v>
      </c>
      <c r="O203" s="51" t="str" cm="1">
        <f t="array" ref="O203">IFERROR(_xlfn.TEXTJOIN(", ", TRUE, _xlfn._xlws.FILTER(
    INDEX(Input!$D$2:$AC$500,,MATCH("Disk Capacity",Input!$D$1:$AC$1,0)),
    Input!$J$2:$J$500=B203
)), "")</f>
        <v/>
      </c>
      <c r="P203" s="32" t="e">
        <f t="shared" si="10"/>
        <v>#N/A</v>
      </c>
      <c r="Q203" s="51" t="e">
        <f>_xlfn.LET(_xlpm.Result,INDEX(Input!$D$2:$AC$500,
       MATCH(B203, Input!$J$2:$J$500, 0),
       MATCH("Capacity", Input!$D$1:$AC$1, 0)),IF(_xlpm.Result="","",_xlpm.Result))</f>
        <v>#N/A</v>
      </c>
      <c r="R203" s="51" t="e" cm="1">
        <f t="array" ref="R203">_xlfn.TEXTSPLIT(Q203," / ", ,TRUE,0,)</f>
        <v>#N/A</v>
      </c>
      <c r="S203" s="51"/>
      <c r="T203" s="51" t="str" cm="1">
        <f t="array" ref="T203">IFERROR(_xlfn.IFS(
R203="","",
--R203&lt;55,"Battery Defect",
--R203&lt;=69,"Battery D",
--R203&lt;=80,"Battery C",
--R203&gt;80,""
),"")</f>
        <v/>
      </c>
      <c r="U203" s="51" t="str" cm="1">
        <f t="array" ref="U203">IFERROR(_xlfn.IFS(
S203="","",
--S203&lt;55,"Battery Defect",
--S203&lt;=69,"Battery D",
--S203&lt;=80,"Battery C",
--S203&gt;80,""
),"")</f>
        <v/>
      </c>
      <c r="V203" s="51" t="str" cm="1">
        <f t="array" ref="V203:AC203">IFERROR(IF(_xlfn.XLOOKUP(B203,Input!J:J,Input!N:U)=0,"",
          _xlfn.XLOOKUP(B203,Input!J:J,Input!N:U)),"")</f>
        <v/>
      </c>
      <c r="W203" s="51" t="str">
        <v/>
      </c>
      <c r="X203" s="51" t="str">
        <v/>
      </c>
      <c r="Y203" s="51" t="str">
        <v/>
      </c>
      <c r="Z203" s="51" t="str">
        <v/>
      </c>
      <c r="AA203" s="51" t="str">
        <v/>
      </c>
      <c r="AB203" s="51" t="str">
        <v/>
      </c>
      <c r="AC203" s="51" t="str">
        <v/>
      </c>
      <c r="AD203" s="32" t="str">
        <f t="shared" si="9"/>
        <v/>
      </c>
      <c r="AE203" s="32" t="str">
        <f>_xlfn.XLOOKUP(B:B,Disk_Pivot!G:G,Disk_Pivot!I:I)</f>
        <v>Yes x2</v>
      </c>
      <c r="AF203" s="32" t="str">
        <f>_xlfn.XLOOKUP(B203,Disk_Pivot!G:G,Disk_Pivot!N:N)</f>
        <v>Pass, Fail</v>
      </c>
      <c r="AG203" s="32"/>
      <c r="AH203" s="32"/>
      <c r="AI203" s="32"/>
      <c r="AJ203" s="32"/>
      <c r="AK203" s="32"/>
      <c r="AL203" s="32"/>
    </row>
    <row r="204" spans="1:38">
      <c r="A204" s="32" t="str">
        <f>_xlfn.TEXTJOIN("",TRUE,_xlfn.XLOOKUP(B204,Input!J:J,Input!G:G,"",0,1),_xlfn.XLOOKUP(B204,Input!J:J,Input!H:H,"",0,1))</f>
        <v/>
      </c>
      <c r="B204" s="32"/>
      <c r="C204" s="51">
        <f>_xlfn.XLOOKUP(B204,Input!J:J,Input!F:F)</f>
        <v>0</v>
      </c>
      <c r="D204" s="32">
        <f>_xlfn.XLOOKUP(C204,Models!H:H,Models!G:G,C204)</f>
        <v>0</v>
      </c>
      <c r="E204" s="32">
        <f>_xlfn.XLOOKUP(B204,Input!J:J,Input!E:E)</f>
        <v>0</v>
      </c>
      <c r="F204" s="32">
        <f>IF(E204="LENOVO",_xlfn.XLOOKUP(B204,Input!J:J,Input!K:K),_xlfn.XLOOKUP(B204,Input!J:J,Input!L:L))</f>
        <v>0</v>
      </c>
      <c r="G204" s="32"/>
      <c r="H204" s="32"/>
      <c r="I204" s="32">
        <f>_xlfn.XLOOKUP(B204,CPU_Formula!A:A,CPU_Formula!I:I)</f>
        <v>0</v>
      </c>
      <c r="J204" s="51" t="e">
        <f>INDEX(Input!$D$2:$AC$500,
       MATCH(B204, Input!$J$2:$J$500, 0),
       MATCH("Total Memory", Input!$D$1:$AC$1, 0))</f>
        <v>#N/A</v>
      </c>
      <c r="K204" s="51" t="e">
        <f>INDEX(Input!$D$2:$AC$500,
       MATCH(B204, Input!$J$2:$J$500, 0),
       MATCH("Memory Type", Input!$D$1:$AC$1, 0))</f>
        <v>#N/A</v>
      </c>
      <c r="L204" s="51" t="str" cm="1">
        <f t="array" ref="L204">IFERROR(_xlfn.FILTERXML("&lt;t&gt;&lt;s&gt;" &amp; SUBSTITUTE(K204," / ","&lt;/s&gt;&lt;s&gt;") &amp; "&lt;/s&gt;&lt;/t&gt;","(//s[contains(.,'DDR')])[1]"),"")</f>
        <v/>
      </c>
      <c r="M204" s="32" t="e">
        <f t="shared" si="11"/>
        <v>#N/A</v>
      </c>
      <c r="N204" s="51" t="e">
        <f>INDEX(Input!$D$2:$AC$500,
       MATCH(B204, Input!$J$2:$J$500, 0),
       MATCH("Disk Interface Type", Input!$D$1:$AC$1, 0))</f>
        <v>#N/A</v>
      </c>
      <c r="O204" s="51" t="str" cm="1">
        <f t="array" ref="O204">IFERROR(_xlfn.TEXTJOIN(", ", TRUE, _xlfn._xlws.FILTER(
    INDEX(Input!$D$2:$AC$500,,MATCH("Disk Capacity",Input!$D$1:$AC$1,0)),
    Input!$J$2:$J$500=B204
)), "")</f>
        <v/>
      </c>
      <c r="P204" s="32" t="e">
        <f t="shared" si="10"/>
        <v>#N/A</v>
      </c>
      <c r="Q204" s="51" t="e">
        <f>_xlfn.LET(_xlpm.Result,INDEX(Input!$D$2:$AC$500,
       MATCH(B204, Input!$J$2:$J$500, 0),
       MATCH("Capacity", Input!$D$1:$AC$1, 0)),IF(_xlpm.Result="","",_xlpm.Result))</f>
        <v>#N/A</v>
      </c>
      <c r="R204" s="51" t="e" cm="1">
        <f t="array" ref="R204">_xlfn.TEXTSPLIT(Q204," / ", ,TRUE,0,)</f>
        <v>#N/A</v>
      </c>
      <c r="S204" s="51"/>
      <c r="T204" s="51" t="str" cm="1">
        <f t="array" ref="T204">IFERROR(_xlfn.IFS(
R204="","",
--R204&lt;55,"Battery Defect",
--R204&lt;=69,"Battery D",
--R204&lt;=80,"Battery C",
--R204&gt;80,""
),"")</f>
        <v/>
      </c>
      <c r="U204" s="51" t="str" cm="1">
        <f t="array" ref="U204">IFERROR(_xlfn.IFS(
S204="","",
--S204&lt;55,"Battery Defect",
--S204&lt;=69,"Battery D",
--S204&lt;=80,"Battery C",
--S204&gt;80,""
),"")</f>
        <v/>
      </c>
      <c r="V204" s="51" t="str" cm="1">
        <f t="array" ref="V204:AC204">IFERROR(IF(_xlfn.XLOOKUP(B204,Input!J:J,Input!N:U)=0,"",
          _xlfn.XLOOKUP(B204,Input!J:J,Input!N:U)),"")</f>
        <v/>
      </c>
      <c r="W204" s="51" t="str">
        <v/>
      </c>
      <c r="X204" s="51" t="str">
        <v/>
      </c>
      <c r="Y204" s="51" t="str">
        <v/>
      </c>
      <c r="Z204" s="51" t="str">
        <v/>
      </c>
      <c r="AA204" s="51" t="str">
        <v/>
      </c>
      <c r="AB204" s="51" t="str">
        <v/>
      </c>
      <c r="AC204" s="51" t="str">
        <v/>
      </c>
      <c r="AD204" s="32" t="str">
        <f t="shared" si="9"/>
        <v/>
      </c>
      <c r="AE204" s="32" t="str">
        <f>_xlfn.XLOOKUP(B:B,Disk_Pivot!G:G,Disk_Pivot!I:I)</f>
        <v>Yes x2</v>
      </c>
      <c r="AF204" s="32" t="str">
        <f>_xlfn.XLOOKUP(B204,Disk_Pivot!G:G,Disk_Pivot!N:N)</f>
        <v>Pass, Fail</v>
      </c>
      <c r="AG204" s="32"/>
      <c r="AH204" s="32"/>
      <c r="AI204" s="32"/>
      <c r="AJ204" s="32"/>
      <c r="AK204" s="32"/>
      <c r="AL204" s="32"/>
    </row>
    <row r="205" spans="1:38">
      <c r="A205" s="32" t="str">
        <f>_xlfn.TEXTJOIN("",TRUE,_xlfn.XLOOKUP(B205,Input!J:J,Input!G:G,"",0,1),_xlfn.XLOOKUP(B205,Input!J:J,Input!H:H,"",0,1))</f>
        <v/>
      </c>
      <c r="B205" s="32"/>
      <c r="C205" s="51">
        <f>_xlfn.XLOOKUP(B205,Input!J:J,Input!F:F)</f>
        <v>0</v>
      </c>
      <c r="D205" s="32">
        <f>_xlfn.XLOOKUP(C205,Models!H:H,Models!G:G,C205)</f>
        <v>0</v>
      </c>
      <c r="E205" s="32">
        <f>_xlfn.XLOOKUP(B205,Input!J:J,Input!E:E)</f>
        <v>0</v>
      </c>
      <c r="F205" s="32">
        <f>IF(E205="LENOVO",_xlfn.XLOOKUP(B205,Input!J:J,Input!K:K),_xlfn.XLOOKUP(B205,Input!J:J,Input!L:L))</f>
        <v>0</v>
      </c>
      <c r="G205" s="32"/>
      <c r="H205" s="32"/>
      <c r="I205" s="32">
        <f>_xlfn.XLOOKUP(B205,CPU_Formula!A:A,CPU_Formula!I:I)</f>
        <v>0</v>
      </c>
      <c r="J205" s="51" t="e">
        <f>INDEX(Input!$D$2:$AC$500,
       MATCH(B205, Input!$J$2:$J$500, 0),
       MATCH("Total Memory", Input!$D$1:$AC$1, 0))</f>
        <v>#N/A</v>
      </c>
      <c r="K205" s="51" t="e">
        <f>INDEX(Input!$D$2:$AC$500,
       MATCH(B205, Input!$J$2:$J$500, 0),
       MATCH("Memory Type", Input!$D$1:$AC$1, 0))</f>
        <v>#N/A</v>
      </c>
      <c r="L205" s="51" t="str" cm="1">
        <f t="array" ref="L205">IFERROR(_xlfn.FILTERXML("&lt;t&gt;&lt;s&gt;" &amp; SUBSTITUTE(K205," / ","&lt;/s&gt;&lt;s&gt;") &amp; "&lt;/s&gt;&lt;/t&gt;","(//s[contains(.,'DDR')])[1]"),"")</f>
        <v/>
      </c>
      <c r="M205" s="32" t="e">
        <f t="shared" si="11"/>
        <v>#N/A</v>
      </c>
      <c r="N205" s="51" t="e">
        <f>INDEX(Input!$D$2:$AC$500,
       MATCH(B205, Input!$J$2:$J$500, 0),
       MATCH("Disk Interface Type", Input!$D$1:$AC$1, 0))</f>
        <v>#N/A</v>
      </c>
      <c r="O205" s="51" t="str" cm="1">
        <f t="array" ref="O205">IFERROR(_xlfn.TEXTJOIN(", ", TRUE, _xlfn._xlws.FILTER(
    INDEX(Input!$D$2:$AC$500,,MATCH("Disk Capacity",Input!$D$1:$AC$1,0)),
    Input!$J$2:$J$500=B205
)), "")</f>
        <v/>
      </c>
      <c r="P205" s="32" t="e">
        <f t="shared" si="10"/>
        <v>#N/A</v>
      </c>
      <c r="Q205" s="51" t="e">
        <f>_xlfn.LET(_xlpm.Result,INDEX(Input!$D$2:$AC$500,
       MATCH(B205, Input!$J$2:$J$500, 0),
       MATCH("Capacity", Input!$D$1:$AC$1, 0)),IF(_xlpm.Result="","",_xlpm.Result))</f>
        <v>#N/A</v>
      </c>
      <c r="R205" s="51" t="e" cm="1">
        <f t="array" ref="R205">_xlfn.TEXTSPLIT(Q205," / ", ,TRUE,0,)</f>
        <v>#N/A</v>
      </c>
      <c r="S205" s="51"/>
      <c r="T205" s="51" t="str" cm="1">
        <f t="array" ref="T205">IFERROR(_xlfn.IFS(
R205="","",
--R205&lt;55,"Battery Defect",
--R205&lt;=69,"Battery D",
--R205&lt;=80,"Battery C",
--R205&gt;80,""
),"")</f>
        <v/>
      </c>
      <c r="U205" s="51" t="str" cm="1">
        <f t="array" ref="U205">IFERROR(_xlfn.IFS(
S205="","",
--S205&lt;55,"Battery Defect",
--S205&lt;=69,"Battery D",
--S205&lt;=80,"Battery C",
--S205&gt;80,""
),"")</f>
        <v/>
      </c>
      <c r="V205" s="51" t="str" cm="1">
        <f t="array" ref="V205:AC205">IFERROR(IF(_xlfn.XLOOKUP(B205,Input!J:J,Input!N:U)=0,"",
          _xlfn.XLOOKUP(B205,Input!J:J,Input!N:U)),"")</f>
        <v/>
      </c>
      <c r="W205" s="51" t="str">
        <v/>
      </c>
      <c r="X205" s="51" t="str">
        <v/>
      </c>
      <c r="Y205" s="51" t="str">
        <v/>
      </c>
      <c r="Z205" s="51" t="str">
        <v/>
      </c>
      <c r="AA205" s="51" t="str">
        <v/>
      </c>
      <c r="AB205" s="51" t="str">
        <v/>
      </c>
      <c r="AC205" s="51" t="str">
        <v/>
      </c>
      <c r="AD205" s="32" t="str">
        <f t="shared" si="9"/>
        <v/>
      </c>
      <c r="AE205" s="32" t="str">
        <f>_xlfn.XLOOKUP(B:B,Disk_Pivot!G:G,Disk_Pivot!I:I)</f>
        <v>Yes x2</v>
      </c>
      <c r="AF205" s="32" t="str">
        <f>_xlfn.XLOOKUP(B205,Disk_Pivot!G:G,Disk_Pivot!N:N)</f>
        <v>Pass, Fail</v>
      </c>
      <c r="AG205" s="32"/>
      <c r="AH205" s="32"/>
      <c r="AI205" s="32"/>
      <c r="AJ205" s="32"/>
      <c r="AK205" s="32"/>
      <c r="AL205" s="32"/>
    </row>
    <row r="206" spans="1:38">
      <c r="A206" s="32" t="str">
        <f>_xlfn.TEXTJOIN("",TRUE,_xlfn.XLOOKUP(B206,Input!J:J,Input!G:G,"",0,1),_xlfn.XLOOKUP(B206,Input!J:J,Input!H:H,"",0,1))</f>
        <v/>
      </c>
      <c r="B206" s="32"/>
      <c r="C206" s="51">
        <f>_xlfn.XLOOKUP(B206,Input!J:J,Input!F:F)</f>
        <v>0</v>
      </c>
      <c r="D206" s="32">
        <f>_xlfn.XLOOKUP(C206,Models!H:H,Models!G:G,C206)</f>
        <v>0</v>
      </c>
      <c r="E206" s="32">
        <f>_xlfn.XLOOKUP(B206,Input!J:J,Input!E:E)</f>
        <v>0</v>
      </c>
      <c r="F206" s="32">
        <f>IF(E206="LENOVO",_xlfn.XLOOKUP(B206,Input!J:J,Input!K:K),_xlfn.XLOOKUP(B206,Input!J:J,Input!L:L))</f>
        <v>0</v>
      </c>
      <c r="G206" s="32"/>
      <c r="H206" s="32"/>
      <c r="I206" s="32">
        <f>_xlfn.XLOOKUP(B206,CPU_Formula!A:A,CPU_Formula!I:I)</f>
        <v>0</v>
      </c>
      <c r="J206" s="51" t="e">
        <f>INDEX(Input!$D$2:$AC$500,
       MATCH(B206, Input!$J$2:$J$500, 0),
       MATCH("Total Memory", Input!$D$1:$AC$1, 0))</f>
        <v>#N/A</v>
      </c>
      <c r="K206" s="51" t="e">
        <f>INDEX(Input!$D$2:$AC$500,
       MATCH(B206, Input!$J$2:$J$500, 0),
       MATCH("Memory Type", Input!$D$1:$AC$1, 0))</f>
        <v>#N/A</v>
      </c>
      <c r="L206" s="51" t="str" cm="1">
        <f t="array" ref="L206">IFERROR(_xlfn.FILTERXML("&lt;t&gt;&lt;s&gt;" &amp; SUBSTITUTE(K206," / ","&lt;/s&gt;&lt;s&gt;") &amp; "&lt;/s&gt;&lt;/t&gt;","(//s[contains(.,'DDR')])[1]"),"")</f>
        <v/>
      </c>
      <c r="M206" s="32" t="e">
        <f t="shared" si="11"/>
        <v>#N/A</v>
      </c>
      <c r="N206" s="51" t="e">
        <f>INDEX(Input!$D$2:$AC$500,
       MATCH(B206, Input!$J$2:$J$500, 0),
       MATCH("Disk Interface Type", Input!$D$1:$AC$1, 0))</f>
        <v>#N/A</v>
      </c>
      <c r="O206" s="51" t="str" cm="1">
        <f t="array" ref="O206">IFERROR(_xlfn.TEXTJOIN(", ", TRUE, _xlfn._xlws.FILTER(
    INDEX(Input!$D$2:$AC$500,,MATCH("Disk Capacity",Input!$D$1:$AC$1,0)),
    Input!$J$2:$J$500=B206
)), "")</f>
        <v/>
      </c>
      <c r="P206" s="32" t="e">
        <f t="shared" si="10"/>
        <v>#N/A</v>
      </c>
      <c r="Q206" s="51" t="e">
        <f>_xlfn.LET(_xlpm.Result,INDEX(Input!$D$2:$AC$500,
       MATCH(B206, Input!$J$2:$J$500, 0),
       MATCH("Capacity", Input!$D$1:$AC$1, 0)),IF(_xlpm.Result="","",_xlpm.Result))</f>
        <v>#N/A</v>
      </c>
      <c r="R206" s="51" t="e" cm="1">
        <f t="array" ref="R206">_xlfn.TEXTSPLIT(Q206," / ", ,TRUE,0,)</f>
        <v>#N/A</v>
      </c>
      <c r="S206" s="51"/>
      <c r="T206" s="51" t="str" cm="1">
        <f t="array" ref="T206">IFERROR(_xlfn.IFS(
R206="","",
--R206&lt;55,"Battery Defect",
--R206&lt;=69,"Battery D",
--R206&lt;=80,"Battery C",
--R206&gt;80,""
),"")</f>
        <v/>
      </c>
      <c r="U206" s="51" t="str" cm="1">
        <f t="array" ref="U206">IFERROR(_xlfn.IFS(
S206="","",
--S206&lt;55,"Battery Defect",
--S206&lt;=69,"Battery D",
--S206&lt;=80,"Battery C",
--S206&gt;80,""
),"")</f>
        <v/>
      </c>
      <c r="V206" s="51" t="str" cm="1">
        <f t="array" ref="V206:AC206">IFERROR(IF(_xlfn.XLOOKUP(B206,Input!J:J,Input!N:U)=0,"",
          _xlfn.XLOOKUP(B206,Input!J:J,Input!N:U)),"")</f>
        <v/>
      </c>
      <c r="W206" s="51" t="str">
        <v/>
      </c>
      <c r="X206" s="51" t="str">
        <v/>
      </c>
      <c r="Y206" s="51" t="str">
        <v/>
      </c>
      <c r="Z206" s="51" t="str">
        <v/>
      </c>
      <c r="AA206" s="51" t="str">
        <v/>
      </c>
      <c r="AB206" s="51" t="str">
        <v/>
      </c>
      <c r="AC206" s="51" t="str">
        <v/>
      </c>
      <c r="AD206" s="32" t="str">
        <f t="shared" si="9"/>
        <v/>
      </c>
      <c r="AE206" s="32" t="str">
        <f>_xlfn.XLOOKUP(B:B,Disk_Pivot!G:G,Disk_Pivot!I:I)</f>
        <v>Yes x2</v>
      </c>
      <c r="AF206" s="32" t="str">
        <f>_xlfn.XLOOKUP(B206,Disk_Pivot!G:G,Disk_Pivot!N:N)</f>
        <v>Pass, Fail</v>
      </c>
      <c r="AG206" s="32"/>
      <c r="AH206" s="32"/>
      <c r="AI206" s="32"/>
      <c r="AJ206" s="32"/>
      <c r="AK206" s="32"/>
      <c r="AL206" s="32"/>
    </row>
    <row r="207" spans="1:38">
      <c r="A207" s="32" t="str">
        <f>_xlfn.TEXTJOIN("",TRUE,_xlfn.XLOOKUP(B207,Input!J:J,Input!G:G,"",0,1),_xlfn.XLOOKUP(B207,Input!J:J,Input!H:H,"",0,1))</f>
        <v/>
      </c>
      <c r="B207" s="32"/>
      <c r="C207" s="51">
        <f>_xlfn.XLOOKUP(B207,Input!J:J,Input!F:F)</f>
        <v>0</v>
      </c>
      <c r="D207" s="32">
        <f>_xlfn.XLOOKUP(C207,Models!H:H,Models!G:G,C207)</f>
        <v>0</v>
      </c>
      <c r="E207" s="32">
        <f>_xlfn.XLOOKUP(B207,Input!J:J,Input!E:E)</f>
        <v>0</v>
      </c>
      <c r="F207" s="32">
        <f>IF(E207="LENOVO",_xlfn.XLOOKUP(B207,Input!J:J,Input!K:K),_xlfn.XLOOKUP(B207,Input!J:J,Input!L:L))</f>
        <v>0</v>
      </c>
      <c r="G207" s="32"/>
      <c r="H207" s="32"/>
      <c r="I207" s="32">
        <f>_xlfn.XLOOKUP(B207,CPU_Formula!A:A,CPU_Formula!I:I)</f>
        <v>0</v>
      </c>
      <c r="J207" s="51" t="e">
        <f>INDEX(Input!$D$2:$AC$500,
       MATCH(B207, Input!$J$2:$J$500, 0),
       MATCH("Total Memory", Input!$D$1:$AC$1, 0))</f>
        <v>#N/A</v>
      </c>
      <c r="K207" s="51" t="e">
        <f>INDEX(Input!$D$2:$AC$500,
       MATCH(B207, Input!$J$2:$J$500, 0),
       MATCH("Memory Type", Input!$D$1:$AC$1, 0))</f>
        <v>#N/A</v>
      </c>
      <c r="L207" s="51" t="str" cm="1">
        <f t="array" ref="L207">IFERROR(_xlfn.FILTERXML("&lt;t&gt;&lt;s&gt;" &amp; SUBSTITUTE(K207," / ","&lt;/s&gt;&lt;s&gt;") &amp; "&lt;/s&gt;&lt;/t&gt;","(//s[contains(.,'DDR')])[1]"),"")</f>
        <v/>
      </c>
      <c r="M207" s="32" t="e">
        <f t="shared" si="11"/>
        <v>#N/A</v>
      </c>
      <c r="N207" s="51" t="e">
        <f>INDEX(Input!$D$2:$AC$500,
       MATCH(B207, Input!$J$2:$J$500, 0),
       MATCH("Disk Interface Type", Input!$D$1:$AC$1, 0))</f>
        <v>#N/A</v>
      </c>
      <c r="O207" s="51" t="str" cm="1">
        <f t="array" ref="O207">IFERROR(_xlfn.TEXTJOIN(", ", TRUE, _xlfn._xlws.FILTER(
    INDEX(Input!$D$2:$AC$500,,MATCH("Disk Capacity",Input!$D$1:$AC$1,0)),
    Input!$J$2:$J$500=B207
)), "")</f>
        <v/>
      </c>
      <c r="P207" s="32" t="e">
        <f t="shared" si="10"/>
        <v>#N/A</v>
      </c>
      <c r="Q207" s="51" t="e">
        <f>_xlfn.LET(_xlpm.Result,INDEX(Input!$D$2:$AC$500,
       MATCH(B207, Input!$J$2:$J$500, 0),
       MATCH("Capacity", Input!$D$1:$AC$1, 0)),IF(_xlpm.Result="","",_xlpm.Result))</f>
        <v>#N/A</v>
      </c>
      <c r="R207" s="51" t="e" cm="1">
        <f t="array" ref="R207">_xlfn.TEXTSPLIT(Q207," / ", ,TRUE,0,)</f>
        <v>#N/A</v>
      </c>
      <c r="S207" s="51"/>
      <c r="T207" s="51" t="str" cm="1">
        <f t="array" ref="T207">IFERROR(_xlfn.IFS(
R207="","",
--R207&lt;55,"Battery Defect",
--R207&lt;=69,"Battery D",
--R207&lt;=80,"Battery C",
--R207&gt;80,""
),"")</f>
        <v/>
      </c>
      <c r="U207" s="51" t="str" cm="1">
        <f t="array" ref="U207">IFERROR(_xlfn.IFS(
S207="","",
--S207&lt;55,"Battery Defect",
--S207&lt;=69,"Battery D",
--S207&lt;=80,"Battery C",
--S207&gt;80,""
),"")</f>
        <v/>
      </c>
      <c r="V207" s="51" t="str" cm="1">
        <f t="array" ref="V207:AC207">IFERROR(IF(_xlfn.XLOOKUP(B207,Input!J:J,Input!N:U)=0,"",
          _xlfn.XLOOKUP(B207,Input!J:J,Input!N:U)),"")</f>
        <v/>
      </c>
      <c r="W207" s="51" t="str">
        <v/>
      </c>
      <c r="X207" s="51" t="str">
        <v/>
      </c>
      <c r="Y207" s="51" t="str">
        <v/>
      </c>
      <c r="Z207" s="51" t="str">
        <v/>
      </c>
      <c r="AA207" s="51" t="str">
        <v/>
      </c>
      <c r="AB207" s="51" t="str">
        <v/>
      </c>
      <c r="AC207" s="51" t="str">
        <v/>
      </c>
      <c r="AD207" s="32" t="str">
        <f t="shared" si="9"/>
        <v/>
      </c>
      <c r="AE207" s="32" t="str">
        <f>_xlfn.XLOOKUP(B:B,Disk_Pivot!G:G,Disk_Pivot!I:I)</f>
        <v>Yes x2</v>
      </c>
      <c r="AF207" s="32" t="str">
        <f>_xlfn.XLOOKUP(B207,Disk_Pivot!G:G,Disk_Pivot!N:N)</f>
        <v>Pass, Fail</v>
      </c>
      <c r="AG207" s="32"/>
      <c r="AH207" s="32"/>
      <c r="AI207" s="32"/>
      <c r="AJ207" s="32"/>
      <c r="AK207" s="32"/>
      <c r="AL207" s="32"/>
    </row>
    <row r="208" spans="1:38">
      <c r="A208" s="32" t="str">
        <f>_xlfn.TEXTJOIN("",TRUE,_xlfn.XLOOKUP(B208,Input!J:J,Input!G:G,"",0,1),_xlfn.XLOOKUP(B208,Input!J:J,Input!H:H,"",0,1))</f>
        <v/>
      </c>
      <c r="B208" s="32"/>
      <c r="C208" s="51">
        <f>_xlfn.XLOOKUP(B208,Input!J:J,Input!F:F)</f>
        <v>0</v>
      </c>
      <c r="D208" s="32">
        <f>_xlfn.XLOOKUP(C208,Models!H:H,Models!G:G,C208)</f>
        <v>0</v>
      </c>
      <c r="E208" s="32">
        <f>_xlfn.XLOOKUP(B208,Input!J:J,Input!E:E)</f>
        <v>0</v>
      </c>
      <c r="F208" s="32">
        <f>IF(E208="LENOVO",_xlfn.XLOOKUP(B208,Input!J:J,Input!K:K),_xlfn.XLOOKUP(B208,Input!J:J,Input!L:L))</f>
        <v>0</v>
      </c>
      <c r="G208" s="32"/>
      <c r="H208" s="32"/>
      <c r="I208" s="32">
        <f>_xlfn.XLOOKUP(B208,CPU_Formula!A:A,CPU_Formula!I:I)</f>
        <v>0</v>
      </c>
      <c r="J208" s="51" t="e">
        <f>INDEX(Input!$D$2:$AC$500,
       MATCH(B208, Input!$J$2:$J$500, 0),
       MATCH("Total Memory", Input!$D$1:$AC$1, 0))</f>
        <v>#N/A</v>
      </c>
      <c r="K208" s="51" t="e">
        <f>INDEX(Input!$D$2:$AC$500,
       MATCH(B208, Input!$J$2:$J$500, 0),
       MATCH("Memory Type", Input!$D$1:$AC$1, 0))</f>
        <v>#N/A</v>
      </c>
      <c r="L208" s="51" t="str" cm="1">
        <f t="array" ref="L208">IFERROR(_xlfn.FILTERXML("&lt;t&gt;&lt;s&gt;" &amp; SUBSTITUTE(K208," / ","&lt;/s&gt;&lt;s&gt;") &amp; "&lt;/s&gt;&lt;/t&gt;","(//s[contains(.,'DDR')])[1]"),"")</f>
        <v/>
      </c>
      <c r="M208" s="32" t="e">
        <f t="shared" si="11"/>
        <v>#N/A</v>
      </c>
      <c r="N208" s="51" t="e">
        <f>INDEX(Input!$D$2:$AC$500,
       MATCH(B208, Input!$J$2:$J$500, 0),
       MATCH("Disk Interface Type", Input!$D$1:$AC$1, 0))</f>
        <v>#N/A</v>
      </c>
      <c r="O208" s="51" t="str" cm="1">
        <f t="array" ref="O208">IFERROR(_xlfn.TEXTJOIN(", ", TRUE, _xlfn._xlws.FILTER(
    INDEX(Input!$D$2:$AC$500,,MATCH("Disk Capacity",Input!$D$1:$AC$1,0)),
    Input!$J$2:$J$500=B208
)), "")</f>
        <v/>
      </c>
      <c r="P208" s="32" t="e">
        <f t="shared" si="10"/>
        <v>#N/A</v>
      </c>
      <c r="Q208" s="51" t="e">
        <f>_xlfn.LET(_xlpm.Result,INDEX(Input!$D$2:$AC$500,
       MATCH(B208, Input!$J$2:$J$500, 0),
       MATCH("Capacity", Input!$D$1:$AC$1, 0)),IF(_xlpm.Result="","",_xlpm.Result))</f>
        <v>#N/A</v>
      </c>
      <c r="R208" s="51" t="e" cm="1">
        <f t="array" ref="R208">_xlfn.TEXTSPLIT(Q208," / ", ,TRUE,0,)</f>
        <v>#N/A</v>
      </c>
      <c r="S208" s="51"/>
      <c r="T208" s="51" t="str" cm="1">
        <f t="array" ref="T208">IFERROR(_xlfn.IFS(
R208="","",
--R208&lt;55,"Battery Defect",
--R208&lt;=69,"Battery D",
--R208&lt;=80,"Battery C",
--R208&gt;80,""
),"")</f>
        <v/>
      </c>
      <c r="U208" s="51" t="str" cm="1">
        <f t="array" ref="U208">IFERROR(_xlfn.IFS(
S208="","",
--S208&lt;55,"Battery Defect",
--S208&lt;=69,"Battery D",
--S208&lt;=80,"Battery C",
--S208&gt;80,""
),"")</f>
        <v/>
      </c>
      <c r="V208" s="51" t="str" cm="1">
        <f t="array" ref="V208:AC208">IFERROR(IF(_xlfn.XLOOKUP(B208,Input!J:J,Input!N:U)=0,"",
          _xlfn.XLOOKUP(B208,Input!J:J,Input!N:U)),"")</f>
        <v/>
      </c>
      <c r="W208" s="51" t="str">
        <v/>
      </c>
      <c r="X208" s="51" t="str">
        <v/>
      </c>
      <c r="Y208" s="51" t="str">
        <v/>
      </c>
      <c r="Z208" s="51" t="str">
        <v/>
      </c>
      <c r="AA208" s="51" t="str">
        <v/>
      </c>
      <c r="AB208" s="51" t="str">
        <v/>
      </c>
      <c r="AC208" s="51" t="str">
        <v/>
      </c>
      <c r="AD208" s="32" t="str">
        <f t="shared" si="9"/>
        <v/>
      </c>
      <c r="AE208" s="32" t="str">
        <f>_xlfn.XLOOKUP(B:B,Disk_Pivot!G:G,Disk_Pivot!I:I)</f>
        <v>Yes x2</v>
      </c>
      <c r="AF208" s="32" t="str">
        <f>_xlfn.XLOOKUP(B208,Disk_Pivot!G:G,Disk_Pivot!N:N)</f>
        <v>Pass, Fail</v>
      </c>
      <c r="AG208" s="32"/>
      <c r="AH208" s="32"/>
      <c r="AI208" s="32"/>
      <c r="AJ208" s="32"/>
      <c r="AK208" s="32"/>
      <c r="AL208" s="32"/>
    </row>
    <row r="209" spans="1:38">
      <c r="A209" s="32" t="str">
        <f>_xlfn.TEXTJOIN("",TRUE,_xlfn.XLOOKUP(B209,Input!J:J,Input!G:G,"",0,1),_xlfn.XLOOKUP(B209,Input!J:J,Input!H:H,"",0,1))</f>
        <v/>
      </c>
      <c r="B209" s="32"/>
      <c r="C209" s="51">
        <f>_xlfn.XLOOKUP(B209,Input!J:J,Input!F:F)</f>
        <v>0</v>
      </c>
      <c r="D209" s="32">
        <f>_xlfn.XLOOKUP(C209,Models!H:H,Models!G:G,C209)</f>
        <v>0</v>
      </c>
      <c r="E209" s="32">
        <f>_xlfn.XLOOKUP(B209,Input!J:J,Input!E:E)</f>
        <v>0</v>
      </c>
      <c r="F209" s="32">
        <f>IF(E209="LENOVO",_xlfn.XLOOKUP(B209,Input!J:J,Input!K:K),_xlfn.XLOOKUP(B209,Input!J:J,Input!L:L))</f>
        <v>0</v>
      </c>
      <c r="G209" s="32"/>
      <c r="H209" s="32"/>
      <c r="I209" s="32">
        <f>_xlfn.XLOOKUP(B209,CPU_Formula!A:A,CPU_Formula!I:I)</f>
        <v>0</v>
      </c>
      <c r="J209" s="51" t="e">
        <f>INDEX(Input!$D$2:$AC$500,
       MATCH(B209, Input!$J$2:$J$500, 0),
       MATCH("Total Memory", Input!$D$1:$AC$1, 0))</f>
        <v>#N/A</v>
      </c>
      <c r="K209" s="51" t="e">
        <f>INDEX(Input!$D$2:$AC$500,
       MATCH(B209, Input!$J$2:$J$500, 0),
       MATCH("Memory Type", Input!$D$1:$AC$1, 0))</f>
        <v>#N/A</v>
      </c>
      <c r="L209" s="51" t="str" cm="1">
        <f t="array" ref="L209">IFERROR(_xlfn.FILTERXML("&lt;t&gt;&lt;s&gt;" &amp; SUBSTITUTE(K209," / ","&lt;/s&gt;&lt;s&gt;") &amp; "&lt;/s&gt;&lt;/t&gt;","(//s[contains(.,'DDR')])[1]"),"")</f>
        <v/>
      </c>
      <c r="M209" s="32" t="e">
        <f t="shared" si="11"/>
        <v>#N/A</v>
      </c>
      <c r="N209" s="51" t="e">
        <f>INDEX(Input!$D$2:$AC$500,
       MATCH(B209, Input!$J$2:$J$500, 0),
       MATCH("Disk Interface Type", Input!$D$1:$AC$1, 0))</f>
        <v>#N/A</v>
      </c>
      <c r="O209" s="51" t="str" cm="1">
        <f t="array" ref="O209">IFERROR(_xlfn.TEXTJOIN(", ", TRUE, _xlfn._xlws.FILTER(
    INDEX(Input!$D$2:$AC$500,,MATCH("Disk Capacity",Input!$D$1:$AC$1,0)),
    Input!$J$2:$J$500=B209
)), "")</f>
        <v/>
      </c>
      <c r="P209" s="32" t="e">
        <f t="shared" si="10"/>
        <v>#N/A</v>
      </c>
      <c r="Q209" s="51" t="e">
        <f>_xlfn.LET(_xlpm.Result,INDEX(Input!$D$2:$AC$500,
       MATCH(B209, Input!$J$2:$J$500, 0),
       MATCH("Capacity", Input!$D$1:$AC$1, 0)),IF(_xlpm.Result="","",_xlpm.Result))</f>
        <v>#N/A</v>
      </c>
      <c r="R209" s="51" t="e" cm="1">
        <f t="array" ref="R209">_xlfn.TEXTSPLIT(Q209," / ", ,TRUE,0,)</f>
        <v>#N/A</v>
      </c>
      <c r="S209" s="51"/>
      <c r="T209" s="51" t="str" cm="1">
        <f t="array" ref="T209">IFERROR(_xlfn.IFS(
R209="","",
--R209&lt;55,"Battery Defect",
--R209&lt;=69,"Battery D",
--R209&lt;=80,"Battery C",
--R209&gt;80,""
),"")</f>
        <v/>
      </c>
      <c r="U209" s="51" t="str" cm="1">
        <f t="array" ref="U209">IFERROR(_xlfn.IFS(
S209="","",
--S209&lt;55,"Battery Defect",
--S209&lt;=69,"Battery D",
--S209&lt;=80,"Battery C",
--S209&gt;80,""
),"")</f>
        <v/>
      </c>
      <c r="V209" s="51" t="str" cm="1">
        <f t="array" ref="V209:AC209">IFERROR(IF(_xlfn.XLOOKUP(B209,Input!J:J,Input!N:U)=0,"",
          _xlfn.XLOOKUP(B209,Input!J:J,Input!N:U)),"")</f>
        <v/>
      </c>
      <c r="W209" s="51" t="str">
        <v/>
      </c>
      <c r="X209" s="51" t="str">
        <v/>
      </c>
      <c r="Y209" s="51" t="str">
        <v/>
      </c>
      <c r="Z209" s="51" t="str">
        <v/>
      </c>
      <c r="AA209" s="51" t="str">
        <v/>
      </c>
      <c r="AB209" s="51" t="str">
        <v/>
      </c>
      <c r="AC209" s="51" t="str">
        <v/>
      </c>
      <c r="AD209" s="32" t="str">
        <f t="shared" si="9"/>
        <v/>
      </c>
      <c r="AE209" s="32" t="str">
        <f>_xlfn.XLOOKUP(B:B,Disk_Pivot!G:G,Disk_Pivot!I:I)</f>
        <v>Yes x2</v>
      </c>
      <c r="AF209" s="32" t="str">
        <f>_xlfn.XLOOKUP(B209,Disk_Pivot!G:G,Disk_Pivot!N:N)</f>
        <v>Pass, Fail</v>
      </c>
      <c r="AG209" s="32"/>
      <c r="AH209" s="32"/>
      <c r="AI209" s="32"/>
      <c r="AJ209" s="32"/>
      <c r="AK209" s="32"/>
      <c r="AL209" s="32"/>
    </row>
    <row r="210" spans="1:38">
      <c r="A210" s="32" t="str">
        <f>_xlfn.TEXTJOIN("",TRUE,_xlfn.XLOOKUP(B210,Input!J:J,Input!G:G,"",0,1),_xlfn.XLOOKUP(B210,Input!J:J,Input!H:H,"",0,1))</f>
        <v/>
      </c>
      <c r="B210" s="32"/>
      <c r="C210" s="51">
        <f>_xlfn.XLOOKUP(B210,Input!J:J,Input!F:F)</f>
        <v>0</v>
      </c>
      <c r="D210" s="32">
        <f>_xlfn.XLOOKUP(C210,Models!H:H,Models!G:G,C210)</f>
        <v>0</v>
      </c>
      <c r="E210" s="32">
        <f>_xlfn.XLOOKUP(B210,Input!J:J,Input!E:E)</f>
        <v>0</v>
      </c>
      <c r="F210" s="32">
        <f>IF(E210="LENOVO",_xlfn.XLOOKUP(B210,Input!J:J,Input!K:K),_xlfn.XLOOKUP(B210,Input!J:J,Input!L:L))</f>
        <v>0</v>
      </c>
      <c r="G210" s="32"/>
      <c r="H210" s="32"/>
      <c r="I210" s="32">
        <f>_xlfn.XLOOKUP(B210,CPU_Formula!A:A,CPU_Formula!I:I)</f>
        <v>0</v>
      </c>
      <c r="J210" s="51" t="e">
        <f>INDEX(Input!$D$2:$AC$500,
       MATCH(B210, Input!$J$2:$J$500, 0),
       MATCH("Total Memory", Input!$D$1:$AC$1, 0))</f>
        <v>#N/A</v>
      </c>
      <c r="K210" s="51" t="e">
        <f>INDEX(Input!$D$2:$AC$500,
       MATCH(B210, Input!$J$2:$J$500, 0),
       MATCH("Memory Type", Input!$D$1:$AC$1, 0))</f>
        <v>#N/A</v>
      </c>
      <c r="L210" s="51" t="str" cm="1">
        <f t="array" ref="L210">IFERROR(_xlfn.FILTERXML("&lt;t&gt;&lt;s&gt;" &amp; SUBSTITUTE(K210," / ","&lt;/s&gt;&lt;s&gt;") &amp; "&lt;/s&gt;&lt;/t&gt;","(//s[contains(.,'DDR')])[1]"),"")</f>
        <v/>
      </c>
      <c r="M210" s="32" t="e">
        <f t="shared" si="11"/>
        <v>#N/A</v>
      </c>
      <c r="N210" s="51" t="e">
        <f>INDEX(Input!$D$2:$AC$500,
       MATCH(B210, Input!$J$2:$J$500, 0),
       MATCH("Disk Interface Type", Input!$D$1:$AC$1, 0))</f>
        <v>#N/A</v>
      </c>
      <c r="O210" s="51" t="str" cm="1">
        <f t="array" ref="O210">IFERROR(_xlfn.TEXTJOIN(", ", TRUE, _xlfn._xlws.FILTER(
    INDEX(Input!$D$2:$AC$500,,MATCH("Disk Capacity",Input!$D$1:$AC$1,0)),
    Input!$J$2:$J$500=B210
)), "")</f>
        <v/>
      </c>
      <c r="P210" s="32" t="e">
        <f t="shared" si="10"/>
        <v>#N/A</v>
      </c>
      <c r="Q210" s="51" t="e">
        <f>_xlfn.LET(_xlpm.Result,INDEX(Input!$D$2:$AC$500,
       MATCH(B210, Input!$J$2:$J$500, 0),
       MATCH("Capacity", Input!$D$1:$AC$1, 0)),IF(_xlpm.Result="","",_xlpm.Result))</f>
        <v>#N/A</v>
      </c>
      <c r="R210" s="51" t="e" cm="1">
        <f t="array" ref="R210">_xlfn.TEXTSPLIT(Q210," / ", ,TRUE,0,)</f>
        <v>#N/A</v>
      </c>
      <c r="S210" s="51"/>
      <c r="T210" s="51" t="str" cm="1">
        <f t="array" ref="T210">IFERROR(_xlfn.IFS(
R210="","",
--R210&lt;55,"Battery Defect",
--R210&lt;=69,"Battery D",
--R210&lt;=80,"Battery C",
--R210&gt;80,""
),"")</f>
        <v/>
      </c>
      <c r="U210" s="51" t="str" cm="1">
        <f t="array" ref="U210">IFERROR(_xlfn.IFS(
S210="","",
--S210&lt;55,"Battery Defect",
--S210&lt;=69,"Battery D",
--S210&lt;=80,"Battery C",
--S210&gt;80,""
),"")</f>
        <v/>
      </c>
      <c r="V210" s="51" t="str" cm="1">
        <f t="array" ref="V210:AC210">IFERROR(IF(_xlfn.XLOOKUP(B210,Input!J:J,Input!N:U)=0,"",
          _xlfn.XLOOKUP(B210,Input!J:J,Input!N:U)),"")</f>
        <v/>
      </c>
      <c r="W210" s="51" t="str">
        <v/>
      </c>
      <c r="X210" s="51" t="str">
        <v/>
      </c>
      <c r="Y210" s="51" t="str">
        <v/>
      </c>
      <c r="Z210" s="51" t="str">
        <v/>
      </c>
      <c r="AA210" s="51" t="str">
        <v/>
      </c>
      <c r="AB210" s="51" t="str">
        <v/>
      </c>
      <c r="AC210" s="51" t="str">
        <v/>
      </c>
      <c r="AD210" s="32" t="str">
        <f t="shared" si="9"/>
        <v/>
      </c>
      <c r="AE210" s="32" t="str">
        <f>_xlfn.XLOOKUP(B:B,Disk_Pivot!G:G,Disk_Pivot!I:I)</f>
        <v>Yes x2</v>
      </c>
      <c r="AF210" s="32" t="str">
        <f>_xlfn.XLOOKUP(B210,Disk_Pivot!G:G,Disk_Pivot!N:N)</f>
        <v>Pass, Fail</v>
      </c>
      <c r="AG210" s="32"/>
      <c r="AH210" s="32"/>
      <c r="AI210" s="32"/>
      <c r="AJ210" s="32"/>
      <c r="AK210" s="32"/>
      <c r="AL210" s="32"/>
    </row>
    <row r="211" spans="1:38">
      <c r="A211" s="32" t="str">
        <f>_xlfn.TEXTJOIN("",TRUE,_xlfn.XLOOKUP(B211,Input!J:J,Input!G:G,"",0,1),_xlfn.XLOOKUP(B211,Input!J:J,Input!H:H,"",0,1))</f>
        <v/>
      </c>
      <c r="B211" s="32"/>
      <c r="C211" s="51">
        <f>_xlfn.XLOOKUP(B211,Input!J:J,Input!F:F)</f>
        <v>0</v>
      </c>
      <c r="D211" s="32">
        <f>_xlfn.XLOOKUP(C211,Models!H:H,Models!G:G,C211)</f>
        <v>0</v>
      </c>
      <c r="E211" s="32">
        <f>_xlfn.XLOOKUP(B211,Input!J:J,Input!E:E)</f>
        <v>0</v>
      </c>
      <c r="F211" s="32">
        <f>IF(E211="LENOVO",_xlfn.XLOOKUP(B211,Input!J:J,Input!K:K),_xlfn.XLOOKUP(B211,Input!J:J,Input!L:L))</f>
        <v>0</v>
      </c>
      <c r="G211" s="32"/>
      <c r="H211" s="32"/>
      <c r="I211" s="32">
        <f>_xlfn.XLOOKUP(B211,CPU_Formula!A:A,CPU_Formula!I:I)</f>
        <v>0</v>
      </c>
      <c r="J211" s="51" t="e">
        <f>INDEX(Input!$D$2:$AC$500,
       MATCH(B211, Input!$J$2:$J$500, 0),
       MATCH("Total Memory", Input!$D$1:$AC$1, 0))</f>
        <v>#N/A</v>
      </c>
      <c r="K211" s="51" t="e">
        <f>INDEX(Input!$D$2:$AC$500,
       MATCH(B211, Input!$J$2:$J$500, 0),
       MATCH("Memory Type", Input!$D$1:$AC$1, 0))</f>
        <v>#N/A</v>
      </c>
      <c r="L211" s="51" t="str" cm="1">
        <f t="array" ref="L211">IFERROR(_xlfn.FILTERXML("&lt;t&gt;&lt;s&gt;" &amp; SUBSTITUTE(K211," / ","&lt;/s&gt;&lt;s&gt;") &amp; "&lt;/s&gt;&lt;/t&gt;","(//s[contains(.,'DDR')])[1]"),"")</f>
        <v/>
      </c>
      <c r="M211" s="32" t="e">
        <f t="shared" si="11"/>
        <v>#N/A</v>
      </c>
      <c r="N211" s="51" t="e">
        <f>INDEX(Input!$D$2:$AC$500,
       MATCH(B211, Input!$J$2:$J$500, 0),
       MATCH("Disk Interface Type", Input!$D$1:$AC$1, 0))</f>
        <v>#N/A</v>
      </c>
      <c r="O211" s="51" t="str" cm="1">
        <f t="array" ref="O211">IFERROR(_xlfn.TEXTJOIN(", ", TRUE, _xlfn._xlws.FILTER(
    INDEX(Input!$D$2:$AC$500,,MATCH("Disk Capacity",Input!$D$1:$AC$1,0)),
    Input!$J$2:$J$500=B211
)), "")</f>
        <v/>
      </c>
      <c r="P211" s="32" t="e">
        <f t="shared" si="10"/>
        <v>#N/A</v>
      </c>
      <c r="Q211" s="51" t="e">
        <f>_xlfn.LET(_xlpm.Result,INDEX(Input!$D$2:$AC$500,
       MATCH(B211, Input!$J$2:$J$500, 0),
       MATCH("Capacity", Input!$D$1:$AC$1, 0)),IF(_xlpm.Result="","",_xlpm.Result))</f>
        <v>#N/A</v>
      </c>
      <c r="R211" s="51" t="e" cm="1">
        <f t="array" ref="R211">_xlfn.TEXTSPLIT(Q211," / ", ,TRUE,0,)</f>
        <v>#N/A</v>
      </c>
      <c r="S211" s="51"/>
      <c r="T211" s="51" t="str" cm="1">
        <f t="array" ref="T211">IFERROR(_xlfn.IFS(
R211="","",
--R211&lt;55,"Battery Defect",
--R211&lt;=69,"Battery D",
--R211&lt;=80,"Battery C",
--R211&gt;80,""
),"")</f>
        <v/>
      </c>
      <c r="U211" s="51" t="str" cm="1">
        <f t="array" ref="U211">IFERROR(_xlfn.IFS(
S211="","",
--S211&lt;55,"Battery Defect",
--S211&lt;=69,"Battery D",
--S211&lt;=80,"Battery C",
--S211&gt;80,""
),"")</f>
        <v/>
      </c>
      <c r="V211" s="51" t="str" cm="1">
        <f t="array" ref="V211:AC211">IFERROR(IF(_xlfn.XLOOKUP(B211,Input!J:J,Input!N:U)=0,"",
          _xlfn.XLOOKUP(B211,Input!J:J,Input!N:U)),"")</f>
        <v/>
      </c>
      <c r="W211" s="51" t="str">
        <v/>
      </c>
      <c r="X211" s="51" t="str">
        <v/>
      </c>
      <c r="Y211" s="51" t="str">
        <v/>
      </c>
      <c r="Z211" s="51" t="str">
        <v/>
      </c>
      <c r="AA211" s="51" t="str">
        <v/>
      </c>
      <c r="AB211" s="51" t="str">
        <v/>
      </c>
      <c r="AC211" s="51" t="str">
        <v/>
      </c>
      <c r="AD211" s="32" t="str">
        <f t="shared" si="9"/>
        <v/>
      </c>
      <c r="AE211" s="32" t="str">
        <f>_xlfn.XLOOKUP(B:B,Disk_Pivot!G:G,Disk_Pivot!I:I)</f>
        <v>Yes x2</v>
      </c>
      <c r="AF211" s="32" t="str">
        <f>_xlfn.XLOOKUP(B211,Disk_Pivot!G:G,Disk_Pivot!N:N)</f>
        <v>Pass, Fail</v>
      </c>
      <c r="AG211" s="32"/>
      <c r="AH211" s="32"/>
      <c r="AI211" s="32"/>
      <c r="AJ211" s="32"/>
      <c r="AK211" s="32"/>
      <c r="AL211" s="32"/>
    </row>
    <row r="212" spans="1:38">
      <c r="A212" s="32" t="str">
        <f>_xlfn.TEXTJOIN("",TRUE,_xlfn.XLOOKUP(B212,Input!J:J,Input!G:G,"",0,1),_xlfn.XLOOKUP(B212,Input!J:J,Input!H:H,"",0,1))</f>
        <v/>
      </c>
      <c r="B212" s="32"/>
      <c r="C212" s="51">
        <f>_xlfn.XLOOKUP(B212,Input!J:J,Input!F:F)</f>
        <v>0</v>
      </c>
      <c r="D212" s="32">
        <f>_xlfn.XLOOKUP(C212,Models!H:H,Models!G:G,C212)</f>
        <v>0</v>
      </c>
      <c r="E212" s="32">
        <f>_xlfn.XLOOKUP(B212,Input!J:J,Input!E:E)</f>
        <v>0</v>
      </c>
      <c r="F212" s="32">
        <f>IF(E212="LENOVO",_xlfn.XLOOKUP(B212,Input!J:J,Input!K:K),_xlfn.XLOOKUP(B212,Input!J:J,Input!L:L))</f>
        <v>0</v>
      </c>
      <c r="G212" s="32"/>
      <c r="H212" s="32"/>
      <c r="I212" s="32">
        <f>_xlfn.XLOOKUP(B212,CPU_Formula!A:A,CPU_Formula!I:I)</f>
        <v>0</v>
      </c>
      <c r="J212" s="51" t="e">
        <f>INDEX(Input!$D$2:$AC$500,
       MATCH(B212, Input!$J$2:$J$500, 0),
       MATCH("Total Memory", Input!$D$1:$AC$1, 0))</f>
        <v>#N/A</v>
      </c>
      <c r="K212" s="51" t="e">
        <f>INDEX(Input!$D$2:$AC$500,
       MATCH(B212, Input!$J$2:$J$500, 0),
       MATCH("Memory Type", Input!$D$1:$AC$1, 0))</f>
        <v>#N/A</v>
      </c>
      <c r="L212" s="51" t="str" cm="1">
        <f t="array" ref="L212">IFERROR(_xlfn.FILTERXML("&lt;t&gt;&lt;s&gt;" &amp; SUBSTITUTE(K212," / ","&lt;/s&gt;&lt;s&gt;") &amp; "&lt;/s&gt;&lt;/t&gt;","(//s[contains(.,'DDR')])[1]"),"")</f>
        <v/>
      </c>
      <c r="M212" s="32" t="e">
        <f t="shared" si="11"/>
        <v>#N/A</v>
      </c>
      <c r="N212" s="51" t="e">
        <f>INDEX(Input!$D$2:$AC$500,
       MATCH(B212, Input!$J$2:$J$500, 0),
       MATCH("Disk Interface Type", Input!$D$1:$AC$1, 0))</f>
        <v>#N/A</v>
      </c>
      <c r="O212" s="51" t="str" cm="1">
        <f t="array" ref="O212">IFERROR(_xlfn.TEXTJOIN(", ", TRUE, _xlfn._xlws.FILTER(
    INDEX(Input!$D$2:$AC$500,,MATCH("Disk Capacity",Input!$D$1:$AC$1,0)),
    Input!$J$2:$J$500=B212
)), "")</f>
        <v/>
      </c>
      <c r="P212" s="32" t="e">
        <f t="shared" si="10"/>
        <v>#N/A</v>
      </c>
      <c r="Q212" s="51" t="e">
        <f>_xlfn.LET(_xlpm.Result,INDEX(Input!$D$2:$AC$500,
       MATCH(B212, Input!$J$2:$J$500, 0),
       MATCH("Capacity", Input!$D$1:$AC$1, 0)),IF(_xlpm.Result="","",_xlpm.Result))</f>
        <v>#N/A</v>
      </c>
      <c r="R212" s="51" t="e" cm="1">
        <f t="array" ref="R212">_xlfn.TEXTSPLIT(Q212," / ", ,TRUE,0,)</f>
        <v>#N/A</v>
      </c>
      <c r="S212" s="51"/>
      <c r="T212" s="51" t="str" cm="1">
        <f t="array" ref="T212">IFERROR(_xlfn.IFS(
R212="","",
--R212&lt;55,"Battery Defect",
--R212&lt;=69,"Battery D",
--R212&lt;=80,"Battery C",
--R212&gt;80,""
),"")</f>
        <v/>
      </c>
      <c r="U212" s="51" t="str" cm="1">
        <f t="array" ref="U212">IFERROR(_xlfn.IFS(
S212="","",
--S212&lt;55,"Battery Defect",
--S212&lt;=69,"Battery D",
--S212&lt;=80,"Battery C",
--S212&gt;80,""
),"")</f>
        <v/>
      </c>
      <c r="V212" s="51" t="str" cm="1">
        <f t="array" ref="V212:AC212">IFERROR(IF(_xlfn.XLOOKUP(B212,Input!J:J,Input!N:U)=0,"",
          _xlfn.XLOOKUP(B212,Input!J:J,Input!N:U)),"")</f>
        <v/>
      </c>
      <c r="W212" s="51" t="str">
        <v/>
      </c>
      <c r="X212" s="51" t="str">
        <v/>
      </c>
      <c r="Y212" s="51" t="str">
        <v/>
      </c>
      <c r="Z212" s="51" t="str">
        <v/>
      </c>
      <c r="AA212" s="51" t="str">
        <v/>
      </c>
      <c r="AB212" s="51" t="str">
        <v/>
      </c>
      <c r="AC212" s="51" t="str">
        <v/>
      </c>
      <c r="AD212" s="32" t="str">
        <f t="shared" si="9"/>
        <v/>
      </c>
      <c r="AE212" s="32" t="str">
        <f>_xlfn.XLOOKUP(B:B,Disk_Pivot!G:G,Disk_Pivot!I:I)</f>
        <v>Yes x2</v>
      </c>
      <c r="AF212" s="32" t="str">
        <f>_xlfn.XLOOKUP(B212,Disk_Pivot!G:G,Disk_Pivot!N:N)</f>
        <v>Pass, Fail</v>
      </c>
      <c r="AG212" s="32"/>
      <c r="AH212" s="32"/>
      <c r="AI212" s="32"/>
      <c r="AJ212" s="32"/>
      <c r="AK212" s="32"/>
      <c r="AL212" s="32"/>
    </row>
    <row r="213" spans="1:38">
      <c r="A213" s="32" t="str">
        <f>_xlfn.TEXTJOIN("",TRUE,_xlfn.XLOOKUP(B213,Input!J:J,Input!G:G,"",0,1),_xlfn.XLOOKUP(B213,Input!J:J,Input!H:H,"",0,1))</f>
        <v/>
      </c>
      <c r="B213" s="32"/>
      <c r="C213" s="51">
        <f>_xlfn.XLOOKUP(B213,Input!J:J,Input!F:F)</f>
        <v>0</v>
      </c>
      <c r="D213" s="32">
        <f>_xlfn.XLOOKUP(C213,Models!H:H,Models!G:G,C213)</f>
        <v>0</v>
      </c>
      <c r="E213" s="32">
        <f>_xlfn.XLOOKUP(B213,Input!J:J,Input!E:E)</f>
        <v>0</v>
      </c>
      <c r="F213" s="32">
        <f>IF(E213="LENOVO",_xlfn.XLOOKUP(B213,Input!J:J,Input!K:K),_xlfn.XLOOKUP(B213,Input!J:J,Input!L:L))</f>
        <v>0</v>
      </c>
      <c r="G213" s="32"/>
      <c r="H213" s="32"/>
      <c r="I213" s="32">
        <f>_xlfn.XLOOKUP(B213,CPU_Formula!A:A,CPU_Formula!I:I)</f>
        <v>0</v>
      </c>
      <c r="J213" s="51" t="e">
        <f>INDEX(Input!$D$2:$AC$500,
       MATCH(B213, Input!$J$2:$J$500, 0),
       MATCH("Total Memory", Input!$D$1:$AC$1, 0))</f>
        <v>#N/A</v>
      </c>
      <c r="K213" s="51" t="e">
        <f>INDEX(Input!$D$2:$AC$500,
       MATCH(B213, Input!$J$2:$J$500, 0),
       MATCH("Memory Type", Input!$D$1:$AC$1, 0))</f>
        <v>#N/A</v>
      </c>
      <c r="L213" s="51" t="str" cm="1">
        <f t="array" ref="L213">IFERROR(_xlfn.FILTERXML("&lt;t&gt;&lt;s&gt;" &amp; SUBSTITUTE(K213," / ","&lt;/s&gt;&lt;s&gt;") &amp; "&lt;/s&gt;&lt;/t&gt;","(//s[contains(.,'DDR')])[1]"),"")</f>
        <v/>
      </c>
      <c r="M213" s="32" t="e">
        <f t="shared" si="11"/>
        <v>#N/A</v>
      </c>
      <c r="N213" s="51" t="e">
        <f>INDEX(Input!$D$2:$AC$500,
       MATCH(B213, Input!$J$2:$J$500, 0),
       MATCH("Disk Interface Type", Input!$D$1:$AC$1, 0))</f>
        <v>#N/A</v>
      </c>
      <c r="O213" s="51" t="str" cm="1">
        <f t="array" ref="O213">IFERROR(_xlfn.TEXTJOIN(", ", TRUE, _xlfn._xlws.FILTER(
    INDEX(Input!$D$2:$AC$500,,MATCH("Disk Capacity",Input!$D$1:$AC$1,0)),
    Input!$J$2:$J$500=B213
)), "")</f>
        <v/>
      </c>
      <c r="P213" s="32" t="e">
        <f t="shared" si="10"/>
        <v>#N/A</v>
      </c>
      <c r="Q213" s="51" t="e">
        <f>_xlfn.LET(_xlpm.Result,INDEX(Input!$D$2:$AC$500,
       MATCH(B213, Input!$J$2:$J$500, 0),
       MATCH("Capacity", Input!$D$1:$AC$1, 0)),IF(_xlpm.Result="","",_xlpm.Result))</f>
        <v>#N/A</v>
      </c>
      <c r="R213" s="51" t="e" cm="1">
        <f t="array" ref="R213">_xlfn.TEXTSPLIT(Q213," / ", ,TRUE,0,)</f>
        <v>#N/A</v>
      </c>
      <c r="S213" s="51"/>
      <c r="T213" s="51" t="str" cm="1">
        <f t="array" ref="T213">IFERROR(_xlfn.IFS(
R213="","",
--R213&lt;55,"Battery Defect",
--R213&lt;=69,"Battery D",
--R213&lt;=80,"Battery C",
--R213&gt;80,""
),"")</f>
        <v/>
      </c>
      <c r="U213" s="51" t="str" cm="1">
        <f t="array" ref="U213">IFERROR(_xlfn.IFS(
S213="","",
--S213&lt;55,"Battery Defect",
--S213&lt;=69,"Battery D",
--S213&lt;=80,"Battery C",
--S213&gt;80,""
),"")</f>
        <v/>
      </c>
      <c r="V213" s="51" t="str" cm="1">
        <f t="array" ref="V213:AC213">IFERROR(IF(_xlfn.XLOOKUP(B213,Input!J:J,Input!N:U)=0,"",
          _xlfn.XLOOKUP(B213,Input!J:J,Input!N:U)),"")</f>
        <v/>
      </c>
      <c r="W213" s="51" t="str">
        <v/>
      </c>
      <c r="X213" s="51" t="str">
        <v/>
      </c>
      <c r="Y213" s="51" t="str">
        <v/>
      </c>
      <c r="Z213" s="51" t="str">
        <v/>
      </c>
      <c r="AA213" s="51" t="str">
        <v/>
      </c>
      <c r="AB213" s="51" t="str">
        <v/>
      </c>
      <c r="AC213" s="51" t="str">
        <v/>
      </c>
      <c r="AD213" s="32" t="str">
        <f t="shared" si="9"/>
        <v/>
      </c>
      <c r="AE213" s="32" t="str">
        <f>_xlfn.XLOOKUP(B:B,Disk_Pivot!G:G,Disk_Pivot!I:I)</f>
        <v>Yes x2</v>
      </c>
      <c r="AF213" s="32" t="str">
        <f>_xlfn.XLOOKUP(B213,Disk_Pivot!G:G,Disk_Pivot!N:N)</f>
        <v>Pass, Fail</v>
      </c>
      <c r="AG213" s="32"/>
      <c r="AH213" s="32"/>
      <c r="AI213" s="32"/>
      <c r="AJ213" s="32"/>
      <c r="AK213" s="32"/>
      <c r="AL213" s="32"/>
    </row>
    <row r="214" spans="1:38">
      <c r="A214" s="32" t="str">
        <f>_xlfn.TEXTJOIN("",TRUE,_xlfn.XLOOKUP(B214,Input!J:J,Input!G:G,"",0,1),_xlfn.XLOOKUP(B214,Input!J:J,Input!H:H,"",0,1))</f>
        <v/>
      </c>
      <c r="B214" s="32"/>
      <c r="C214" s="51">
        <f>_xlfn.XLOOKUP(B214,Input!J:J,Input!F:F)</f>
        <v>0</v>
      </c>
      <c r="D214" s="32">
        <f>_xlfn.XLOOKUP(C214,Models!H:H,Models!G:G,C214)</f>
        <v>0</v>
      </c>
      <c r="E214" s="32">
        <f>_xlfn.XLOOKUP(B214,Input!J:J,Input!E:E)</f>
        <v>0</v>
      </c>
      <c r="F214" s="32">
        <f>IF(E214="LENOVO",_xlfn.XLOOKUP(B214,Input!J:J,Input!K:K),_xlfn.XLOOKUP(B214,Input!J:J,Input!L:L))</f>
        <v>0</v>
      </c>
      <c r="G214" s="32"/>
      <c r="H214" s="32"/>
      <c r="I214" s="32">
        <f>_xlfn.XLOOKUP(B214,CPU_Formula!A:A,CPU_Formula!I:I)</f>
        <v>0</v>
      </c>
      <c r="J214" s="51" t="e">
        <f>INDEX(Input!$D$2:$AC$500,
       MATCH(B214, Input!$J$2:$J$500, 0),
       MATCH("Total Memory", Input!$D$1:$AC$1, 0))</f>
        <v>#N/A</v>
      </c>
      <c r="K214" s="51" t="e">
        <f>INDEX(Input!$D$2:$AC$500,
       MATCH(B214, Input!$J$2:$J$500, 0),
       MATCH("Memory Type", Input!$D$1:$AC$1, 0))</f>
        <v>#N/A</v>
      </c>
      <c r="L214" s="51" t="str" cm="1">
        <f t="array" ref="L214">IFERROR(_xlfn.FILTERXML("&lt;t&gt;&lt;s&gt;" &amp; SUBSTITUTE(K214," / ","&lt;/s&gt;&lt;s&gt;") &amp; "&lt;/s&gt;&lt;/t&gt;","(//s[contains(.,'DDR')])[1]"),"")</f>
        <v/>
      </c>
      <c r="M214" s="32" t="e">
        <f t="shared" si="11"/>
        <v>#N/A</v>
      </c>
      <c r="N214" s="51" t="e">
        <f>INDEX(Input!$D$2:$AC$500,
       MATCH(B214, Input!$J$2:$J$500, 0),
       MATCH("Disk Interface Type", Input!$D$1:$AC$1, 0))</f>
        <v>#N/A</v>
      </c>
      <c r="O214" s="51" t="str" cm="1">
        <f t="array" ref="O214">IFERROR(_xlfn.TEXTJOIN(", ", TRUE, _xlfn._xlws.FILTER(
    INDEX(Input!$D$2:$AC$500,,MATCH("Disk Capacity",Input!$D$1:$AC$1,0)),
    Input!$J$2:$J$500=B214
)), "")</f>
        <v/>
      </c>
      <c r="P214" s="32" t="e">
        <f t="shared" si="10"/>
        <v>#N/A</v>
      </c>
      <c r="Q214" s="51" t="e">
        <f>_xlfn.LET(_xlpm.Result,INDEX(Input!$D$2:$AC$500,
       MATCH(B214, Input!$J$2:$J$500, 0),
       MATCH("Capacity", Input!$D$1:$AC$1, 0)),IF(_xlpm.Result="","",_xlpm.Result))</f>
        <v>#N/A</v>
      </c>
      <c r="R214" s="51" t="e" cm="1">
        <f t="array" ref="R214">_xlfn.TEXTSPLIT(Q214," / ", ,TRUE,0,)</f>
        <v>#N/A</v>
      </c>
      <c r="S214" s="51"/>
      <c r="T214" s="51" t="str" cm="1">
        <f t="array" ref="T214">IFERROR(_xlfn.IFS(
R214="","",
--R214&lt;55,"Battery Defect",
--R214&lt;=69,"Battery D",
--R214&lt;=80,"Battery C",
--R214&gt;80,""
),"")</f>
        <v/>
      </c>
      <c r="U214" s="51" t="str" cm="1">
        <f t="array" ref="U214">IFERROR(_xlfn.IFS(
S214="","",
--S214&lt;55,"Battery Defect",
--S214&lt;=69,"Battery D",
--S214&lt;=80,"Battery C",
--S214&gt;80,""
),"")</f>
        <v/>
      </c>
      <c r="V214" s="51" t="str" cm="1">
        <f t="array" ref="V214:AC214">IFERROR(IF(_xlfn.XLOOKUP(B214,Input!J:J,Input!N:U)=0,"",
          _xlfn.XLOOKUP(B214,Input!J:J,Input!N:U)),"")</f>
        <v/>
      </c>
      <c r="W214" s="51" t="str">
        <v/>
      </c>
      <c r="X214" s="51" t="str">
        <v/>
      </c>
      <c r="Y214" s="51" t="str">
        <v/>
      </c>
      <c r="Z214" s="51" t="str">
        <v/>
      </c>
      <c r="AA214" s="51" t="str">
        <v/>
      </c>
      <c r="AB214" s="51" t="str">
        <v/>
      </c>
      <c r="AC214" s="51" t="str">
        <v/>
      </c>
      <c r="AD214" s="32" t="str">
        <f t="shared" si="9"/>
        <v/>
      </c>
      <c r="AE214" s="32" t="str">
        <f>_xlfn.XLOOKUP(B:B,Disk_Pivot!G:G,Disk_Pivot!I:I)</f>
        <v>Yes x2</v>
      </c>
      <c r="AF214" s="32" t="str">
        <f>_xlfn.XLOOKUP(B214,Disk_Pivot!G:G,Disk_Pivot!N:N)</f>
        <v>Pass, Fail</v>
      </c>
      <c r="AG214" s="32"/>
      <c r="AH214" s="32"/>
      <c r="AI214" s="32"/>
      <c r="AJ214" s="32"/>
      <c r="AK214" s="32"/>
      <c r="AL214" s="32"/>
    </row>
    <row r="215" spans="1:38">
      <c r="A215" s="32" t="str">
        <f>_xlfn.TEXTJOIN("",TRUE,_xlfn.XLOOKUP(B215,Input!J:J,Input!G:G,"",0,1),_xlfn.XLOOKUP(B215,Input!J:J,Input!H:H,"",0,1))</f>
        <v/>
      </c>
      <c r="B215" s="32"/>
      <c r="C215" s="51">
        <f>_xlfn.XLOOKUP(B215,Input!J:J,Input!F:F)</f>
        <v>0</v>
      </c>
      <c r="D215" s="32">
        <f>_xlfn.XLOOKUP(C215,Models!H:H,Models!G:G,C215)</f>
        <v>0</v>
      </c>
      <c r="E215" s="32">
        <f>_xlfn.XLOOKUP(B215,Input!J:J,Input!E:E)</f>
        <v>0</v>
      </c>
      <c r="F215" s="32">
        <f>IF(E215="LENOVO",_xlfn.XLOOKUP(B215,Input!J:J,Input!K:K),_xlfn.XLOOKUP(B215,Input!J:J,Input!L:L))</f>
        <v>0</v>
      </c>
      <c r="G215" s="32"/>
      <c r="H215" s="32"/>
      <c r="I215" s="32">
        <f>_xlfn.XLOOKUP(B215,CPU_Formula!A:A,CPU_Formula!I:I)</f>
        <v>0</v>
      </c>
      <c r="J215" s="51" t="e">
        <f>INDEX(Input!$D$2:$AC$500,
       MATCH(B215, Input!$J$2:$J$500, 0),
       MATCH("Total Memory", Input!$D$1:$AC$1, 0))</f>
        <v>#N/A</v>
      </c>
      <c r="K215" s="51" t="e">
        <f>INDEX(Input!$D$2:$AC$500,
       MATCH(B215, Input!$J$2:$J$500, 0),
       MATCH("Memory Type", Input!$D$1:$AC$1, 0))</f>
        <v>#N/A</v>
      </c>
      <c r="L215" s="51" t="str" cm="1">
        <f t="array" ref="L215">IFERROR(_xlfn.FILTERXML("&lt;t&gt;&lt;s&gt;" &amp; SUBSTITUTE(K215," / ","&lt;/s&gt;&lt;s&gt;") &amp; "&lt;/s&gt;&lt;/t&gt;","(//s[contains(.,'DDR')])[1]"),"")</f>
        <v/>
      </c>
      <c r="M215" s="32" t="e">
        <f t="shared" si="11"/>
        <v>#N/A</v>
      </c>
      <c r="N215" s="51" t="e">
        <f>INDEX(Input!$D$2:$AC$500,
       MATCH(B215, Input!$J$2:$J$500, 0),
       MATCH("Disk Interface Type", Input!$D$1:$AC$1, 0))</f>
        <v>#N/A</v>
      </c>
      <c r="O215" s="51" t="str" cm="1">
        <f t="array" ref="O215">IFERROR(_xlfn.TEXTJOIN(", ", TRUE, _xlfn._xlws.FILTER(
    INDEX(Input!$D$2:$AC$500,,MATCH("Disk Capacity",Input!$D$1:$AC$1,0)),
    Input!$J$2:$J$500=B215
)), "")</f>
        <v/>
      </c>
      <c r="P215" s="32" t="e">
        <f t="shared" si="10"/>
        <v>#N/A</v>
      </c>
      <c r="Q215" s="51" t="e">
        <f>_xlfn.LET(_xlpm.Result,INDEX(Input!$D$2:$AC$500,
       MATCH(B215, Input!$J$2:$J$500, 0),
       MATCH("Capacity", Input!$D$1:$AC$1, 0)),IF(_xlpm.Result="","",_xlpm.Result))</f>
        <v>#N/A</v>
      </c>
      <c r="R215" s="51" t="e" cm="1">
        <f t="array" ref="R215">_xlfn.TEXTSPLIT(Q215," / ", ,TRUE,0,)</f>
        <v>#N/A</v>
      </c>
      <c r="S215" s="51"/>
      <c r="T215" s="51" t="str" cm="1">
        <f t="array" ref="T215">IFERROR(_xlfn.IFS(
R215="","",
--R215&lt;55,"Battery Defect",
--R215&lt;=69,"Battery D",
--R215&lt;=80,"Battery C",
--R215&gt;80,""
),"")</f>
        <v/>
      </c>
      <c r="U215" s="51" t="str" cm="1">
        <f t="array" ref="U215">IFERROR(_xlfn.IFS(
S215="","",
--S215&lt;55,"Battery Defect",
--S215&lt;=69,"Battery D",
--S215&lt;=80,"Battery C",
--S215&gt;80,""
),"")</f>
        <v/>
      </c>
      <c r="V215" s="51" t="str" cm="1">
        <f t="array" ref="V215:AC215">IFERROR(IF(_xlfn.XLOOKUP(B215,Input!J:J,Input!N:U)=0,"",
          _xlfn.XLOOKUP(B215,Input!J:J,Input!N:U)),"")</f>
        <v/>
      </c>
      <c r="W215" s="51" t="str">
        <v/>
      </c>
      <c r="X215" s="51" t="str">
        <v/>
      </c>
      <c r="Y215" s="51" t="str">
        <v/>
      </c>
      <c r="Z215" s="51" t="str">
        <v/>
      </c>
      <c r="AA215" s="51" t="str">
        <v/>
      </c>
      <c r="AB215" s="51" t="str">
        <v/>
      </c>
      <c r="AC215" s="51" t="str">
        <v/>
      </c>
      <c r="AD215" s="32" t="str">
        <f t="shared" si="9"/>
        <v/>
      </c>
      <c r="AE215" s="32" t="str">
        <f>_xlfn.XLOOKUP(B:B,Disk_Pivot!G:G,Disk_Pivot!I:I)</f>
        <v>Yes x2</v>
      </c>
      <c r="AF215" s="32" t="str">
        <f>_xlfn.XLOOKUP(B215,Disk_Pivot!G:G,Disk_Pivot!N:N)</f>
        <v>Pass, Fail</v>
      </c>
      <c r="AG215" s="32"/>
      <c r="AH215" s="32"/>
      <c r="AI215" s="32"/>
      <c r="AJ215" s="32"/>
      <c r="AK215" s="32"/>
      <c r="AL215" s="32"/>
    </row>
    <row r="216" spans="1:38">
      <c r="A216" s="32" t="str">
        <f>_xlfn.TEXTJOIN("",TRUE,_xlfn.XLOOKUP(B216,Input!J:J,Input!G:G,"",0,1),_xlfn.XLOOKUP(B216,Input!J:J,Input!H:H,"",0,1))</f>
        <v/>
      </c>
      <c r="B216" s="32"/>
      <c r="C216" s="51">
        <f>_xlfn.XLOOKUP(B216,Input!J:J,Input!F:F)</f>
        <v>0</v>
      </c>
      <c r="D216" s="32">
        <f>_xlfn.XLOOKUP(C216,Models!H:H,Models!G:G,C216)</f>
        <v>0</v>
      </c>
      <c r="E216" s="32">
        <f>_xlfn.XLOOKUP(B216,Input!J:J,Input!E:E)</f>
        <v>0</v>
      </c>
      <c r="F216" s="32">
        <f>IF(E216="LENOVO",_xlfn.XLOOKUP(B216,Input!J:J,Input!K:K),_xlfn.XLOOKUP(B216,Input!J:J,Input!L:L))</f>
        <v>0</v>
      </c>
      <c r="G216" s="32"/>
      <c r="H216" s="32"/>
      <c r="I216" s="32">
        <f>_xlfn.XLOOKUP(B216,CPU_Formula!A:A,CPU_Formula!I:I)</f>
        <v>0</v>
      </c>
      <c r="J216" s="51" t="e">
        <f>INDEX(Input!$D$2:$AC$500,
       MATCH(B216, Input!$J$2:$J$500, 0),
       MATCH("Total Memory", Input!$D$1:$AC$1, 0))</f>
        <v>#N/A</v>
      </c>
      <c r="K216" s="51" t="e">
        <f>INDEX(Input!$D$2:$AC$500,
       MATCH(B216, Input!$J$2:$J$500, 0),
       MATCH("Memory Type", Input!$D$1:$AC$1, 0))</f>
        <v>#N/A</v>
      </c>
      <c r="L216" s="51" t="str" cm="1">
        <f t="array" ref="L216">IFERROR(_xlfn.FILTERXML("&lt;t&gt;&lt;s&gt;" &amp; SUBSTITUTE(K216," / ","&lt;/s&gt;&lt;s&gt;") &amp; "&lt;/s&gt;&lt;/t&gt;","(//s[contains(.,'DDR')])[1]"),"")</f>
        <v/>
      </c>
      <c r="M216" s="32" t="e">
        <f t="shared" si="11"/>
        <v>#N/A</v>
      </c>
      <c r="N216" s="51" t="e">
        <f>INDEX(Input!$D$2:$AC$500,
       MATCH(B216, Input!$J$2:$J$500, 0),
       MATCH("Disk Interface Type", Input!$D$1:$AC$1, 0))</f>
        <v>#N/A</v>
      </c>
      <c r="O216" s="51" t="str" cm="1">
        <f t="array" ref="O216">IFERROR(_xlfn.TEXTJOIN(", ", TRUE, _xlfn._xlws.FILTER(
    INDEX(Input!$D$2:$AC$500,,MATCH("Disk Capacity",Input!$D$1:$AC$1,0)),
    Input!$J$2:$J$500=B216
)), "")</f>
        <v/>
      </c>
      <c r="P216" s="32" t="e">
        <f t="shared" si="10"/>
        <v>#N/A</v>
      </c>
      <c r="Q216" s="51" t="e">
        <f>_xlfn.LET(_xlpm.Result,INDEX(Input!$D$2:$AC$500,
       MATCH(B216, Input!$J$2:$J$500, 0),
       MATCH("Capacity", Input!$D$1:$AC$1, 0)),IF(_xlpm.Result="","",_xlpm.Result))</f>
        <v>#N/A</v>
      </c>
      <c r="R216" s="51" t="e" cm="1">
        <f t="array" ref="R216">_xlfn.TEXTSPLIT(Q216," / ", ,TRUE,0,)</f>
        <v>#N/A</v>
      </c>
      <c r="S216" s="51"/>
      <c r="T216" s="51" t="str" cm="1">
        <f t="array" ref="T216">IFERROR(_xlfn.IFS(
R216="","",
--R216&lt;55,"Battery Defect",
--R216&lt;=69,"Battery D",
--R216&lt;=80,"Battery C",
--R216&gt;80,""
),"")</f>
        <v/>
      </c>
      <c r="U216" s="51" t="str" cm="1">
        <f t="array" ref="U216">IFERROR(_xlfn.IFS(
S216="","",
--S216&lt;55,"Battery Defect",
--S216&lt;=69,"Battery D",
--S216&lt;=80,"Battery C",
--S216&gt;80,""
),"")</f>
        <v/>
      </c>
      <c r="V216" s="51" t="str" cm="1">
        <f t="array" ref="V216:AC216">IFERROR(IF(_xlfn.XLOOKUP(B216,Input!J:J,Input!N:U)=0,"",
          _xlfn.XLOOKUP(B216,Input!J:J,Input!N:U)),"")</f>
        <v/>
      </c>
      <c r="W216" s="51" t="str">
        <v/>
      </c>
      <c r="X216" s="51" t="str">
        <v/>
      </c>
      <c r="Y216" s="51" t="str">
        <v/>
      </c>
      <c r="Z216" s="51" t="str">
        <v/>
      </c>
      <c r="AA216" s="51" t="str">
        <v/>
      </c>
      <c r="AB216" s="51" t="str">
        <v/>
      </c>
      <c r="AC216" s="51" t="str">
        <v/>
      </c>
      <c r="AD216" s="32" t="str">
        <f t="shared" si="9"/>
        <v/>
      </c>
      <c r="AE216" s="32" t="str">
        <f>_xlfn.XLOOKUP(B:B,Disk_Pivot!G:G,Disk_Pivot!I:I)</f>
        <v>Yes x2</v>
      </c>
      <c r="AF216" s="32" t="str">
        <f>_xlfn.XLOOKUP(B216,Disk_Pivot!G:G,Disk_Pivot!N:N)</f>
        <v>Pass, Fail</v>
      </c>
      <c r="AG216" s="32"/>
      <c r="AH216" s="32"/>
      <c r="AI216" s="32"/>
      <c r="AJ216" s="32"/>
      <c r="AK216" s="32"/>
      <c r="AL216" s="32"/>
    </row>
    <row r="217" spans="1:38">
      <c r="A217" s="32" t="str">
        <f>_xlfn.TEXTJOIN("",TRUE,_xlfn.XLOOKUP(B217,Input!J:J,Input!G:G,"",0,1),_xlfn.XLOOKUP(B217,Input!J:J,Input!H:H,"",0,1))</f>
        <v/>
      </c>
      <c r="B217" s="32"/>
      <c r="C217" s="51">
        <f>_xlfn.XLOOKUP(B217,Input!J:J,Input!F:F)</f>
        <v>0</v>
      </c>
      <c r="D217" s="32">
        <f>_xlfn.XLOOKUP(C217,Models!H:H,Models!G:G,C217)</f>
        <v>0</v>
      </c>
      <c r="E217" s="32">
        <f>_xlfn.XLOOKUP(B217,Input!J:J,Input!E:E)</f>
        <v>0</v>
      </c>
      <c r="F217" s="32">
        <f>IF(E217="LENOVO",_xlfn.XLOOKUP(B217,Input!J:J,Input!K:K),_xlfn.XLOOKUP(B217,Input!J:J,Input!L:L))</f>
        <v>0</v>
      </c>
      <c r="G217" s="32"/>
      <c r="H217" s="32"/>
      <c r="I217" s="32">
        <f>_xlfn.XLOOKUP(B217,CPU_Formula!A:A,CPU_Formula!I:I)</f>
        <v>0</v>
      </c>
      <c r="J217" s="51" t="e">
        <f>INDEX(Input!$D$2:$AC$500,
       MATCH(B217, Input!$J$2:$J$500, 0),
       MATCH("Total Memory", Input!$D$1:$AC$1, 0))</f>
        <v>#N/A</v>
      </c>
      <c r="K217" s="51" t="e">
        <f>INDEX(Input!$D$2:$AC$500,
       MATCH(B217, Input!$J$2:$J$500, 0),
       MATCH("Memory Type", Input!$D$1:$AC$1, 0))</f>
        <v>#N/A</v>
      </c>
      <c r="L217" s="51" t="str" cm="1">
        <f t="array" ref="L217">IFERROR(_xlfn.FILTERXML("&lt;t&gt;&lt;s&gt;" &amp; SUBSTITUTE(K217," / ","&lt;/s&gt;&lt;s&gt;") &amp; "&lt;/s&gt;&lt;/t&gt;","(//s[contains(.,'DDR')])[1]"),"")</f>
        <v/>
      </c>
      <c r="M217" s="32" t="e">
        <f t="shared" si="11"/>
        <v>#N/A</v>
      </c>
      <c r="N217" s="51" t="e">
        <f>INDEX(Input!$D$2:$AC$500,
       MATCH(B217, Input!$J$2:$J$500, 0),
       MATCH("Disk Interface Type", Input!$D$1:$AC$1, 0))</f>
        <v>#N/A</v>
      </c>
      <c r="O217" s="51" t="str" cm="1">
        <f t="array" ref="O217">IFERROR(_xlfn.TEXTJOIN(", ", TRUE, _xlfn._xlws.FILTER(
    INDEX(Input!$D$2:$AC$500,,MATCH("Disk Capacity",Input!$D$1:$AC$1,0)),
    Input!$J$2:$J$500=B217
)), "")</f>
        <v/>
      </c>
      <c r="P217" s="32" t="e">
        <f t="shared" si="10"/>
        <v>#N/A</v>
      </c>
      <c r="Q217" s="51" t="e">
        <f>_xlfn.LET(_xlpm.Result,INDEX(Input!$D$2:$AC$500,
       MATCH(B217, Input!$J$2:$J$500, 0),
       MATCH("Capacity", Input!$D$1:$AC$1, 0)),IF(_xlpm.Result="","",_xlpm.Result))</f>
        <v>#N/A</v>
      </c>
      <c r="R217" s="51" t="e" cm="1">
        <f t="array" ref="R217">_xlfn.TEXTSPLIT(Q217," / ", ,TRUE,0,)</f>
        <v>#N/A</v>
      </c>
      <c r="S217" s="51"/>
      <c r="T217" s="51" t="str" cm="1">
        <f t="array" ref="T217">IFERROR(_xlfn.IFS(
R217="","",
--R217&lt;55,"Battery Defect",
--R217&lt;=69,"Battery D",
--R217&lt;=80,"Battery C",
--R217&gt;80,""
),"")</f>
        <v/>
      </c>
      <c r="U217" s="51" t="str" cm="1">
        <f t="array" ref="U217">IFERROR(_xlfn.IFS(
S217="","",
--S217&lt;55,"Battery Defect",
--S217&lt;=69,"Battery D",
--S217&lt;=80,"Battery C",
--S217&gt;80,""
),"")</f>
        <v/>
      </c>
      <c r="V217" s="51" t="str" cm="1">
        <f t="array" ref="V217:AC217">IFERROR(IF(_xlfn.XLOOKUP(B217,Input!J:J,Input!N:U)=0,"",
          _xlfn.XLOOKUP(B217,Input!J:J,Input!N:U)),"")</f>
        <v/>
      </c>
      <c r="W217" s="51" t="str">
        <v/>
      </c>
      <c r="X217" s="51" t="str">
        <v/>
      </c>
      <c r="Y217" s="51" t="str">
        <v/>
      </c>
      <c r="Z217" s="51" t="str">
        <v/>
      </c>
      <c r="AA217" s="51" t="str">
        <v/>
      </c>
      <c r="AB217" s="51" t="str">
        <v/>
      </c>
      <c r="AC217" s="51" t="str">
        <v/>
      </c>
      <c r="AD217" s="32" t="str">
        <f t="shared" si="9"/>
        <v/>
      </c>
      <c r="AE217" s="32" t="str">
        <f>_xlfn.XLOOKUP(B:B,Disk_Pivot!G:G,Disk_Pivot!I:I)</f>
        <v>Yes x2</v>
      </c>
      <c r="AF217" s="32" t="str">
        <f>_xlfn.XLOOKUP(B217,Disk_Pivot!G:G,Disk_Pivot!N:N)</f>
        <v>Pass, Fail</v>
      </c>
      <c r="AG217" s="32"/>
      <c r="AH217" s="32"/>
      <c r="AI217" s="32"/>
      <c r="AJ217" s="32"/>
      <c r="AK217" s="32"/>
      <c r="AL217" s="32"/>
    </row>
    <row r="218" spans="1:38">
      <c r="A218" s="32" t="str">
        <f>_xlfn.TEXTJOIN("",TRUE,_xlfn.XLOOKUP(B218,Input!J:J,Input!G:G,"",0,1),_xlfn.XLOOKUP(B218,Input!J:J,Input!H:H,"",0,1))</f>
        <v/>
      </c>
      <c r="B218" s="32"/>
      <c r="C218" s="51">
        <f>_xlfn.XLOOKUP(B218,Input!J:J,Input!F:F)</f>
        <v>0</v>
      </c>
      <c r="D218" s="32">
        <f>_xlfn.XLOOKUP(C218,Models!H:H,Models!G:G,C218)</f>
        <v>0</v>
      </c>
      <c r="E218" s="32">
        <f>_xlfn.XLOOKUP(B218,Input!J:J,Input!E:E)</f>
        <v>0</v>
      </c>
      <c r="F218" s="32">
        <f>IF(E218="LENOVO",_xlfn.XLOOKUP(B218,Input!J:J,Input!K:K),_xlfn.XLOOKUP(B218,Input!J:J,Input!L:L))</f>
        <v>0</v>
      </c>
      <c r="G218" s="32"/>
      <c r="H218" s="32"/>
      <c r="I218" s="32">
        <f>_xlfn.XLOOKUP(B218,CPU_Formula!A:A,CPU_Formula!I:I)</f>
        <v>0</v>
      </c>
      <c r="J218" s="51" t="e">
        <f>INDEX(Input!$D$2:$AC$500,
       MATCH(B218, Input!$J$2:$J$500, 0),
       MATCH("Total Memory", Input!$D$1:$AC$1, 0))</f>
        <v>#N/A</v>
      </c>
      <c r="K218" s="51" t="e">
        <f>INDEX(Input!$D$2:$AC$500,
       MATCH(B218, Input!$J$2:$J$500, 0),
       MATCH("Memory Type", Input!$D$1:$AC$1, 0))</f>
        <v>#N/A</v>
      </c>
      <c r="L218" s="51" t="str" cm="1">
        <f t="array" ref="L218">IFERROR(_xlfn.FILTERXML("&lt;t&gt;&lt;s&gt;" &amp; SUBSTITUTE(K218," / ","&lt;/s&gt;&lt;s&gt;") &amp; "&lt;/s&gt;&lt;/t&gt;","(//s[contains(.,'DDR')])[1]"),"")</f>
        <v/>
      </c>
      <c r="M218" s="32" t="e">
        <f t="shared" si="11"/>
        <v>#N/A</v>
      </c>
      <c r="N218" s="51" t="e">
        <f>INDEX(Input!$D$2:$AC$500,
       MATCH(B218, Input!$J$2:$J$500, 0),
       MATCH("Disk Interface Type", Input!$D$1:$AC$1, 0))</f>
        <v>#N/A</v>
      </c>
      <c r="O218" s="51" t="str" cm="1">
        <f t="array" ref="O218">IFERROR(_xlfn.TEXTJOIN(", ", TRUE, _xlfn._xlws.FILTER(
    INDEX(Input!$D$2:$AC$500,,MATCH("Disk Capacity",Input!$D$1:$AC$1,0)),
    Input!$J$2:$J$500=B218
)), "")</f>
        <v/>
      </c>
      <c r="P218" s="32" t="e">
        <f t="shared" si="10"/>
        <v>#N/A</v>
      </c>
      <c r="Q218" s="51" t="e">
        <f>_xlfn.LET(_xlpm.Result,INDEX(Input!$D$2:$AC$500,
       MATCH(B218, Input!$J$2:$J$500, 0),
       MATCH("Capacity", Input!$D$1:$AC$1, 0)),IF(_xlpm.Result="","",_xlpm.Result))</f>
        <v>#N/A</v>
      </c>
      <c r="R218" s="51" t="e" cm="1">
        <f t="array" ref="R218">_xlfn.TEXTSPLIT(Q218," / ", ,TRUE,0,)</f>
        <v>#N/A</v>
      </c>
      <c r="S218" s="51"/>
      <c r="T218" s="51" t="str" cm="1">
        <f t="array" ref="T218">IFERROR(_xlfn.IFS(
R218="","",
--R218&lt;55,"Battery Defect",
--R218&lt;=69,"Battery D",
--R218&lt;=80,"Battery C",
--R218&gt;80,""
),"")</f>
        <v/>
      </c>
      <c r="U218" s="51" t="str" cm="1">
        <f t="array" ref="U218">IFERROR(_xlfn.IFS(
S218="","",
--S218&lt;55,"Battery Defect",
--S218&lt;=69,"Battery D",
--S218&lt;=80,"Battery C",
--S218&gt;80,""
),"")</f>
        <v/>
      </c>
      <c r="V218" s="51" t="str" cm="1">
        <f t="array" ref="V218:AC218">IFERROR(IF(_xlfn.XLOOKUP(B218,Input!J:J,Input!N:U)=0,"",
          _xlfn.XLOOKUP(B218,Input!J:J,Input!N:U)),"")</f>
        <v/>
      </c>
      <c r="W218" s="51" t="str">
        <v/>
      </c>
      <c r="X218" s="51" t="str">
        <v/>
      </c>
      <c r="Y218" s="51" t="str">
        <v/>
      </c>
      <c r="Z218" s="51" t="str">
        <v/>
      </c>
      <c r="AA218" s="51" t="str">
        <v/>
      </c>
      <c r="AB218" s="51" t="str">
        <v/>
      </c>
      <c r="AC218" s="51" t="str">
        <v/>
      </c>
      <c r="AD218" s="32" t="str">
        <f t="shared" si="9"/>
        <v/>
      </c>
      <c r="AE218" s="32" t="str">
        <f>_xlfn.XLOOKUP(B:B,Disk_Pivot!G:G,Disk_Pivot!I:I)</f>
        <v>Yes x2</v>
      </c>
      <c r="AF218" s="32" t="str">
        <f>_xlfn.XLOOKUP(B218,Disk_Pivot!G:G,Disk_Pivot!N:N)</f>
        <v>Pass, Fail</v>
      </c>
      <c r="AG218" s="32"/>
      <c r="AH218" s="32"/>
      <c r="AI218" s="32"/>
      <c r="AJ218" s="32"/>
      <c r="AK218" s="32"/>
      <c r="AL218" s="32"/>
    </row>
    <row r="219" spans="1:38">
      <c r="A219" s="32" t="str">
        <f>_xlfn.TEXTJOIN("",TRUE,_xlfn.XLOOKUP(B219,Input!J:J,Input!G:G,"",0,1),_xlfn.XLOOKUP(B219,Input!J:J,Input!H:H,"",0,1))</f>
        <v/>
      </c>
      <c r="B219" s="32"/>
      <c r="C219" s="51">
        <f>_xlfn.XLOOKUP(B219,Input!J:J,Input!F:F)</f>
        <v>0</v>
      </c>
      <c r="D219" s="32">
        <f>_xlfn.XLOOKUP(C219,Models!H:H,Models!G:G,C219)</f>
        <v>0</v>
      </c>
      <c r="E219" s="32">
        <f>_xlfn.XLOOKUP(B219,Input!J:J,Input!E:E)</f>
        <v>0</v>
      </c>
      <c r="F219" s="32">
        <f>IF(E219="LENOVO",_xlfn.XLOOKUP(B219,Input!J:J,Input!K:K),_xlfn.XLOOKUP(B219,Input!J:J,Input!L:L))</f>
        <v>0</v>
      </c>
      <c r="G219" s="32"/>
      <c r="H219" s="32"/>
      <c r="I219" s="32">
        <f>_xlfn.XLOOKUP(B219,CPU_Formula!A:A,CPU_Formula!I:I)</f>
        <v>0</v>
      </c>
      <c r="J219" s="51" t="e">
        <f>INDEX(Input!$D$2:$AC$500,
       MATCH(B219, Input!$J$2:$J$500, 0),
       MATCH("Total Memory", Input!$D$1:$AC$1, 0))</f>
        <v>#N/A</v>
      </c>
      <c r="K219" s="51" t="e">
        <f>INDEX(Input!$D$2:$AC$500,
       MATCH(B219, Input!$J$2:$J$500, 0),
       MATCH("Memory Type", Input!$D$1:$AC$1, 0))</f>
        <v>#N/A</v>
      </c>
      <c r="L219" s="51" t="str" cm="1">
        <f t="array" ref="L219">IFERROR(_xlfn.FILTERXML("&lt;t&gt;&lt;s&gt;" &amp; SUBSTITUTE(K219," / ","&lt;/s&gt;&lt;s&gt;") &amp; "&lt;/s&gt;&lt;/t&gt;","(//s[contains(.,'DDR')])[1]"),"")</f>
        <v/>
      </c>
      <c r="M219" s="32" t="e">
        <f t="shared" si="11"/>
        <v>#N/A</v>
      </c>
      <c r="N219" s="51" t="e">
        <f>INDEX(Input!$D$2:$AC$500,
       MATCH(B219, Input!$J$2:$J$500, 0),
       MATCH("Disk Interface Type", Input!$D$1:$AC$1, 0))</f>
        <v>#N/A</v>
      </c>
      <c r="O219" s="51" t="str" cm="1">
        <f t="array" ref="O219">IFERROR(_xlfn.TEXTJOIN(", ", TRUE, _xlfn._xlws.FILTER(
    INDEX(Input!$D$2:$AC$500,,MATCH("Disk Capacity",Input!$D$1:$AC$1,0)),
    Input!$J$2:$J$500=B219
)), "")</f>
        <v/>
      </c>
      <c r="P219" s="32" t="e">
        <f t="shared" si="10"/>
        <v>#N/A</v>
      </c>
      <c r="Q219" s="51" t="e">
        <f>_xlfn.LET(_xlpm.Result,INDEX(Input!$D$2:$AC$500,
       MATCH(B219, Input!$J$2:$J$500, 0),
       MATCH("Capacity", Input!$D$1:$AC$1, 0)),IF(_xlpm.Result="","",_xlpm.Result))</f>
        <v>#N/A</v>
      </c>
      <c r="R219" s="51" t="e" cm="1">
        <f t="array" ref="R219">_xlfn.TEXTSPLIT(Q219," / ", ,TRUE,0,)</f>
        <v>#N/A</v>
      </c>
      <c r="S219" s="51"/>
      <c r="T219" s="51" t="str" cm="1">
        <f t="array" ref="T219">IFERROR(_xlfn.IFS(
R219="","",
--R219&lt;55,"Battery Defect",
--R219&lt;=69,"Battery D",
--R219&lt;=80,"Battery C",
--R219&gt;80,""
),"")</f>
        <v/>
      </c>
      <c r="U219" s="51" t="str" cm="1">
        <f t="array" ref="U219">IFERROR(_xlfn.IFS(
S219="","",
--S219&lt;55,"Battery Defect",
--S219&lt;=69,"Battery D",
--S219&lt;=80,"Battery C",
--S219&gt;80,""
),"")</f>
        <v/>
      </c>
      <c r="V219" s="51" t="str" cm="1">
        <f t="array" ref="V219:AC219">IFERROR(IF(_xlfn.XLOOKUP(B219,Input!J:J,Input!N:U)=0,"",
          _xlfn.XLOOKUP(B219,Input!J:J,Input!N:U)),"")</f>
        <v/>
      </c>
      <c r="W219" s="51" t="str">
        <v/>
      </c>
      <c r="X219" s="51" t="str">
        <v/>
      </c>
      <c r="Y219" s="51" t="str">
        <v/>
      </c>
      <c r="Z219" s="51" t="str">
        <v/>
      </c>
      <c r="AA219" s="51" t="str">
        <v/>
      </c>
      <c r="AB219" s="51" t="str">
        <v/>
      </c>
      <c r="AC219" s="51" t="str">
        <v/>
      </c>
      <c r="AD219" s="32" t="str">
        <f t="shared" si="9"/>
        <v/>
      </c>
      <c r="AE219" s="32" t="str">
        <f>_xlfn.XLOOKUP(B:B,Disk_Pivot!G:G,Disk_Pivot!I:I)</f>
        <v>Yes x2</v>
      </c>
      <c r="AF219" s="32" t="str">
        <f>_xlfn.XLOOKUP(B219,Disk_Pivot!G:G,Disk_Pivot!N:N)</f>
        <v>Pass, Fail</v>
      </c>
      <c r="AG219" s="32"/>
      <c r="AH219" s="32"/>
      <c r="AI219" s="32"/>
      <c r="AJ219" s="32"/>
      <c r="AK219" s="32"/>
      <c r="AL219" s="32"/>
    </row>
    <row r="220" spans="1:38">
      <c r="A220" s="32" t="str">
        <f>_xlfn.TEXTJOIN("",TRUE,_xlfn.XLOOKUP(B220,Input!J:J,Input!G:G,"",0,1),_xlfn.XLOOKUP(B220,Input!J:J,Input!H:H,"",0,1))</f>
        <v/>
      </c>
      <c r="B220" s="32"/>
      <c r="C220" s="51">
        <f>_xlfn.XLOOKUP(B220,Input!J:J,Input!F:F)</f>
        <v>0</v>
      </c>
      <c r="D220" s="32">
        <f>_xlfn.XLOOKUP(C220,Models!H:H,Models!G:G,C220)</f>
        <v>0</v>
      </c>
      <c r="E220" s="32">
        <f>_xlfn.XLOOKUP(B220,Input!J:J,Input!E:E)</f>
        <v>0</v>
      </c>
      <c r="F220" s="32">
        <f>IF(E220="LENOVO",_xlfn.XLOOKUP(B220,Input!J:J,Input!K:K),_xlfn.XLOOKUP(B220,Input!J:J,Input!L:L))</f>
        <v>0</v>
      </c>
      <c r="G220" s="32"/>
      <c r="H220" s="32"/>
      <c r="I220" s="32">
        <f>_xlfn.XLOOKUP(B220,CPU_Formula!A:A,CPU_Formula!I:I)</f>
        <v>0</v>
      </c>
      <c r="J220" s="51" t="e">
        <f>INDEX(Input!$D$2:$AC$500,
       MATCH(B220, Input!$J$2:$J$500, 0),
       MATCH("Total Memory", Input!$D$1:$AC$1, 0))</f>
        <v>#N/A</v>
      </c>
      <c r="K220" s="51" t="e">
        <f>INDEX(Input!$D$2:$AC$500,
       MATCH(B220, Input!$J$2:$J$500, 0),
       MATCH("Memory Type", Input!$D$1:$AC$1, 0))</f>
        <v>#N/A</v>
      </c>
      <c r="L220" s="51" t="str" cm="1">
        <f t="array" ref="L220">IFERROR(_xlfn.FILTERXML("&lt;t&gt;&lt;s&gt;" &amp; SUBSTITUTE(K220," / ","&lt;/s&gt;&lt;s&gt;") &amp; "&lt;/s&gt;&lt;/t&gt;","(//s[contains(.,'DDR')])[1]"),"")</f>
        <v/>
      </c>
      <c r="M220" s="32" t="e">
        <f t="shared" si="11"/>
        <v>#N/A</v>
      </c>
      <c r="N220" s="51" t="e">
        <f>INDEX(Input!$D$2:$AC$500,
       MATCH(B220, Input!$J$2:$J$500, 0),
       MATCH("Disk Interface Type", Input!$D$1:$AC$1, 0))</f>
        <v>#N/A</v>
      </c>
      <c r="O220" s="51" t="str" cm="1">
        <f t="array" ref="O220">IFERROR(_xlfn.TEXTJOIN(", ", TRUE, _xlfn._xlws.FILTER(
    INDEX(Input!$D$2:$AC$500,,MATCH("Disk Capacity",Input!$D$1:$AC$1,0)),
    Input!$J$2:$J$500=B220
)), "")</f>
        <v/>
      </c>
      <c r="P220" s="32" t="e">
        <f t="shared" si="10"/>
        <v>#N/A</v>
      </c>
      <c r="Q220" s="51" t="e">
        <f>_xlfn.LET(_xlpm.Result,INDEX(Input!$D$2:$AC$500,
       MATCH(B220, Input!$J$2:$J$500, 0),
       MATCH("Capacity", Input!$D$1:$AC$1, 0)),IF(_xlpm.Result="","",_xlpm.Result))</f>
        <v>#N/A</v>
      </c>
      <c r="R220" s="51" t="e" cm="1">
        <f t="array" ref="R220">_xlfn.TEXTSPLIT(Q220," / ", ,TRUE,0,)</f>
        <v>#N/A</v>
      </c>
      <c r="S220" s="51"/>
      <c r="T220" s="51" t="str" cm="1">
        <f t="array" ref="T220">IFERROR(_xlfn.IFS(
R220="","",
--R220&lt;55,"Battery Defect",
--R220&lt;=69,"Battery D",
--R220&lt;=80,"Battery C",
--R220&gt;80,""
),"")</f>
        <v/>
      </c>
      <c r="U220" s="51" t="str" cm="1">
        <f t="array" ref="U220">IFERROR(_xlfn.IFS(
S220="","",
--S220&lt;55,"Battery Defect",
--S220&lt;=69,"Battery D",
--S220&lt;=80,"Battery C",
--S220&gt;80,""
),"")</f>
        <v/>
      </c>
      <c r="V220" s="51" t="str" cm="1">
        <f t="array" ref="V220:AC220">IFERROR(IF(_xlfn.XLOOKUP(B220,Input!J:J,Input!N:U)=0,"",
          _xlfn.XLOOKUP(B220,Input!J:J,Input!N:U)),"")</f>
        <v/>
      </c>
      <c r="W220" s="51" t="str">
        <v/>
      </c>
      <c r="X220" s="51" t="str">
        <v/>
      </c>
      <c r="Y220" s="51" t="str">
        <v/>
      </c>
      <c r="Z220" s="51" t="str">
        <v/>
      </c>
      <c r="AA220" s="51" t="str">
        <v/>
      </c>
      <c r="AB220" s="51" t="str">
        <v/>
      </c>
      <c r="AC220" s="51" t="str">
        <v/>
      </c>
      <c r="AD220" s="32" t="str">
        <f t="shared" si="9"/>
        <v/>
      </c>
      <c r="AE220" s="32" t="str">
        <f>_xlfn.XLOOKUP(B:B,Disk_Pivot!G:G,Disk_Pivot!I:I)</f>
        <v>Yes x2</v>
      </c>
      <c r="AF220" s="32" t="str">
        <f>_xlfn.XLOOKUP(B220,Disk_Pivot!G:G,Disk_Pivot!N:N)</f>
        <v>Pass, Fail</v>
      </c>
      <c r="AG220" s="32"/>
      <c r="AH220" s="32"/>
      <c r="AI220" s="32"/>
      <c r="AJ220" s="32"/>
      <c r="AK220" s="32"/>
      <c r="AL220" s="32"/>
    </row>
    <row r="221" spans="1:38">
      <c r="A221" s="32" t="str">
        <f>_xlfn.TEXTJOIN("",TRUE,_xlfn.XLOOKUP(B221,Input!J:J,Input!G:G,"",0,1),_xlfn.XLOOKUP(B221,Input!J:J,Input!H:H,"",0,1))</f>
        <v/>
      </c>
      <c r="B221" s="32"/>
      <c r="C221" s="51">
        <f>_xlfn.XLOOKUP(B221,Input!J:J,Input!F:F)</f>
        <v>0</v>
      </c>
      <c r="D221" s="32">
        <f>_xlfn.XLOOKUP(C221,Models!H:H,Models!G:G,C221)</f>
        <v>0</v>
      </c>
      <c r="E221" s="32">
        <f>_xlfn.XLOOKUP(B221,Input!J:J,Input!E:E)</f>
        <v>0</v>
      </c>
      <c r="F221" s="32">
        <f>IF(E221="LENOVO",_xlfn.XLOOKUP(B221,Input!J:J,Input!K:K),_xlfn.XLOOKUP(B221,Input!J:J,Input!L:L))</f>
        <v>0</v>
      </c>
      <c r="G221" s="32"/>
      <c r="H221" s="32"/>
      <c r="I221" s="32">
        <f>_xlfn.XLOOKUP(B221,CPU_Formula!A:A,CPU_Formula!I:I)</f>
        <v>0</v>
      </c>
      <c r="J221" s="51" t="e">
        <f>INDEX(Input!$D$2:$AC$500,
       MATCH(B221, Input!$J$2:$J$500, 0),
       MATCH("Total Memory", Input!$D$1:$AC$1, 0))</f>
        <v>#N/A</v>
      </c>
      <c r="K221" s="51" t="e">
        <f>INDEX(Input!$D$2:$AC$500,
       MATCH(B221, Input!$J$2:$J$500, 0),
       MATCH("Memory Type", Input!$D$1:$AC$1, 0))</f>
        <v>#N/A</v>
      </c>
      <c r="L221" s="51" t="str" cm="1">
        <f t="array" ref="L221">IFERROR(_xlfn.FILTERXML("&lt;t&gt;&lt;s&gt;" &amp; SUBSTITUTE(K221," / ","&lt;/s&gt;&lt;s&gt;") &amp; "&lt;/s&gt;&lt;/t&gt;","(//s[contains(.,'DDR')])[1]"),"")</f>
        <v/>
      </c>
      <c r="M221" s="32" t="e">
        <f t="shared" si="11"/>
        <v>#N/A</v>
      </c>
      <c r="N221" s="51" t="e">
        <f>INDEX(Input!$D$2:$AC$500,
       MATCH(B221, Input!$J$2:$J$500, 0),
       MATCH("Disk Interface Type", Input!$D$1:$AC$1, 0))</f>
        <v>#N/A</v>
      </c>
      <c r="O221" s="51" t="str" cm="1">
        <f t="array" ref="O221">IFERROR(_xlfn.TEXTJOIN(", ", TRUE, _xlfn._xlws.FILTER(
    INDEX(Input!$D$2:$AC$500,,MATCH("Disk Capacity",Input!$D$1:$AC$1,0)),
    Input!$J$2:$J$500=B221
)), "")</f>
        <v/>
      </c>
      <c r="P221" s="32" t="e">
        <f t="shared" si="10"/>
        <v>#N/A</v>
      </c>
      <c r="Q221" s="51" t="e">
        <f>_xlfn.LET(_xlpm.Result,INDEX(Input!$D$2:$AC$500,
       MATCH(B221, Input!$J$2:$J$500, 0),
       MATCH("Capacity", Input!$D$1:$AC$1, 0)),IF(_xlpm.Result="","",_xlpm.Result))</f>
        <v>#N/A</v>
      </c>
      <c r="R221" s="51" t="e" cm="1">
        <f t="array" ref="R221">_xlfn.TEXTSPLIT(Q221," / ", ,TRUE,0,)</f>
        <v>#N/A</v>
      </c>
      <c r="S221" s="51"/>
      <c r="T221" s="51" t="str" cm="1">
        <f t="array" ref="T221">IFERROR(_xlfn.IFS(
R221="","",
--R221&lt;55,"Battery Defect",
--R221&lt;=69,"Battery D",
--R221&lt;=80,"Battery C",
--R221&gt;80,""
),"")</f>
        <v/>
      </c>
      <c r="U221" s="51" t="str" cm="1">
        <f t="array" ref="U221">IFERROR(_xlfn.IFS(
S221="","",
--S221&lt;55,"Battery Defect",
--S221&lt;=69,"Battery D",
--S221&lt;=80,"Battery C",
--S221&gt;80,""
),"")</f>
        <v/>
      </c>
      <c r="V221" s="51" t="str" cm="1">
        <f t="array" ref="V221:AC221">IFERROR(IF(_xlfn.XLOOKUP(B221,Input!J:J,Input!N:U)=0,"",
          _xlfn.XLOOKUP(B221,Input!J:J,Input!N:U)),"")</f>
        <v/>
      </c>
      <c r="W221" s="51" t="str">
        <v/>
      </c>
      <c r="X221" s="51" t="str">
        <v/>
      </c>
      <c r="Y221" s="51" t="str">
        <v/>
      </c>
      <c r="Z221" s="51" t="str">
        <v/>
      </c>
      <c r="AA221" s="51" t="str">
        <v/>
      </c>
      <c r="AB221" s="51" t="str">
        <v/>
      </c>
      <c r="AC221" s="51" t="str">
        <v/>
      </c>
      <c r="AD221" s="32" t="str">
        <f t="shared" si="9"/>
        <v/>
      </c>
      <c r="AE221" s="32" t="str">
        <f>_xlfn.XLOOKUP(B:B,Disk_Pivot!G:G,Disk_Pivot!I:I)</f>
        <v>Yes x2</v>
      </c>
      <c r="AF221" s="32" t="str">
        <f>_xlfn.XLOOKUP(B221,Disk_Pivot!G:G,Disk_Pivot!N:N)</f>
        <v>Pass, Fail</v>
      </c>
      <c r="AG221" s="32"/>
      <c r="AH221" s="32"/>
      <c r="AI221" s="32"/>
      <c r="AJ221" s="32"/>
      <c r="AK221" s="32"/>
      <c r="AL221" s="32"/>
    </row>
    <row r="222" spans="1:38">
      <c r="A222" s="32" t="str">
        <f>_xlfn.TEXTJOIN("",TRUE,_xlfn.XLOOKUP(B222,Input!J:J,Input!G:G,"",0,1),_xlfn.XLOOKUP(B222,Input!J:J,Input!H:H,"",0,1))</f>
        <v/>
      </c>
      <c r="B222" s="32"/>
      <c r="C222" s="51">
        <f>_xlfn.XLOOKUP(B222,Input!J:J,Input!F:F)</f>
        <v>0</v>
      </c>
      <c r="D222" s="32">
        <f>_xlfn.XLOOKUP(C222,Models!H:H,Models!G:G,C222)</f>
        <v>0</v>
      </c>
      <c r="E222" s="32">
        <f>_xlfn.XLOOKUP(B222,Input!J:J,Input!E:E)</f>
        <v>0</v>
      </c>
      <c r="F222" s="32">
        <f>IF(E222="LENOVO",_xlfn.XLOOKUP(B222,Input!J:J,Input!K:K),_xlfn.XLOOKUP(B222,Input!J:J,Input!L:L))</f>
        <v>0</v>
      </c>
      <c r="G222" s="32"/>
      <c r="H222" s="32"/>
      <c r="I222" s="32">
        <f>_xlfn.XLOOKUP(B222,CPU_Formula!A:A,CPU_Formula!I:I)</f>
        <v>0</v>
      </c>
      <c r="J222" s="51" t="e">
        <f>INDEX(Input!$D$2:$AC$500,
       MATCH(B222, Input!$J$2:$J$500, 0),
       MATCH("Total Memory", Input!$D$1:$AC$1, 0))</f>
        <v>#N/A</v>
      </c>
      <c r="K222" s="51" t="e">
        <f>INDEX(Input!$D$2:$AC$500,
       MATCH(B222, Input!$J$2:$J$500, 0),
       MATCH("Memory Type", Input!$D$1:$AC$1, 0))</f>
        <v>#N/A</v>
      </c>
      <c r="L222" s="51" t="str" cm="1">
        <f t="array" ref="L222">IFERROR(_xlfn.FILTERXML("&lt;t&gt;&lt;s&gt;" &amp; SUBSTITUTE(K222," / ","&lt;/s&gt;&lt;s&gt;") &amp; "&lt;/s&gt;&lt;/t&gt;","(//s[contains(.,'DDR')])[1]"),"")</f>
        <v/>
      </c>
      <c r="M222" s="32" t="e">
        <f t="shared" si="11"/>
        <v>#N/A</v>
      </c>
      <c r="N222" s="51" t="e">
        <f>INDEX(Input!$D$2:$AC$500,
       MATCH(B222, Input!$J$2:$J$500, 0),
       MATCH("Disk Interface Type", Input!$D$1:$AC$1, 0))</f>
        <v>#N/A</v>
      </c>
      <c r="O222" s="51" t="str" cm="1">
        <f t="array" ref="O222">IFERROR(_xlfn.TEXTJOIN(", ", TRUE, _xlfn._xlws.FILTER(
    INDEX(Input!$D$2:$AC$500,,MATCH("Disk Capacity",Input!$D$1:$AC$1,0)),
    Input!$J$2:$J$500=B222
)), "")</f>
        <v/>
      </c>
      <c r="P222" s="32" t="e">
        <f t="shared" si="10"/>
        <v>#N/A</v>
      </c>
      <c r="Q222" s="51" t="e">
        <f>_xlfn.LET(_xlpm.Result,INDEX(Input!$D$2:$AC$500,
       MATCH(B222, Input!$J$2:$J$500, 0),
       MATCH("Capacity", Input!$D$1:$AC$1, 0)),IF(_xlpm.Result="","",_xlpm.Result))</f>
        <v>#N/A</v>
      </c>
      <c r="R222" s="51" t="e" cm="1">
        <f t="array" ref="R222">_xlfn.TEXTSPLIT(Q222," / ", ,TRUE,0,)</f>
        <v>#N/A</v>
      </c>
      <c r="S222" s="51"/>
      <c r="T222" s="51" t="str" cm="1">
        <f t="array" ref="T222">IFERROR(_xlfn.IFS(
R222="","",
--R222&lt;55,"Battery Defect",
--R222&lt;=69,"Battery D",
--R222&lt;=80,"Battery C",
--R222&gt;80,""
),"")</f>
        <v/>
      </c>
      <c r="U222" s="51" t="str" cm="1">
        <f t="array" ref="U222">IFERROR(_xlfn.IFS(
S222="","",
--S222&lt;55,"Battery Defect",
--S222&lt;=69,"Battery D",
--S222&lt;=80,"Battery C",
--S222&gt;80,""
),"")</f>
        <v/>
      </c>
      <c r="V222" s="51" t="str" cm="1">
        <f t="array" ref="V222:AC222">IFERROR(IF(_xlfn.XLOOKUP(B222,Input!J:J,Input!N:U)=0,"",
          _xlfn.XLOOKUP(B222,Input!J:J,Input!N:U)),"")</f>
        <v/>
      </c>
      <c r="W222" s="51" t="str">
        <v/>
      </c>
      <c r="X222" s="51" t="str">
        <v/>
      </c>
      <c r="Y222" s="51" t="str">
        <v/>
      </c>
      <c r="Z222" s="51" t="str">
        <v/>
      </c>
      <c r="AA222" s="51" t="str">
        <v/>
      </c>
      <c r="AB222" s="51" t="str">
        <v/>
      </c>
      <c r="AC222" s="51" t="str">
        <v/>
      </c>
      <c r="AD222" s="32" t="str">
        <f t="shared" si="9"/>
        <v/>
      </c>
      <c r="AE222" s="32" t="str">
        <f>_xlfn.XLOOKUP(B:B,Disk_Pivot!G:G,Disk_Pivot!I:I)</f>
        <v>Yes x2</v>
      </c>
      <c r="AF222" s="32" t="str">
        <f>_xlfn.XLOOKUP(B222,Disk_Pivot!G:G,Disk_Pivot!N:N)</f>
        <v>Pass, Fail</v>
      </c>
      <c r="AG222" s="32"/>
      <c r="AH222" s="32"/>
      <c r="AI222" s="32"/>
      <c r="AJ222" s="32"/>
      <c r="AK222" s="32"/>
      <c r="AL222" s="32"/>
    </row>
    <row r="223" spans="1:38">
      <c r="A223" s="32" t="str">
        <f>_xlfn.TEXTJOIN("",TRUE,_xlfn.XLOOKUP(B223,Input!J:J,Input!G:G,"",0,1),_xlfn.XLOOKUP(B223,Input!J:J,Input!H:H,"",0,1))</f>
        <v/>
      </c>
      <c r="B223" s="32"/>
      <c r="C223" s="51">
        <f>_xlfn.XLOOKUP(B223,Input!J:J,Input!F:F)</f>
        <v>0</v>
      </c>
      <c r="D223" s="32">
        <f>_xlfn.XLOOKUP(C223,Models!H:H,Models!G:G,C223)</f>
        <v>0</v>
      </c>
      <c r="E223" s="32">
        <f>_xlfn.XLOOKUP(B223,Input!J:J,Input!E:E)</f>
        <v>0</v>
      </c>
      <c r="F223" s="32">
        <f>IF(E223="LENOVO",_xlfn.XLOOKUP(B223,Input!J:J,Input!K:K),_xlfn.XLOOKUP(B223,Input!J:J,Input!L:L))</f>
        <v>0</v>
      </c>
      <c r="G223" s="32"/>
      <c r="H223" s="32"/>
      <c r="I223" s="32">
        <f>_xlfn.XLOOKUP(B223,CPU_Formula!A:A,CPU_Formula!I:I)</f>
        <v>0</v>
      </c>
      <c r="J223" s="51" t="e">
        <f>INDEX(Input!$D$2:$AC$500,
       MATCH(B223, Input!$J$2:$J$500, 0),
       MATCH("Total Memory", Input!$D$1:$AC$1, 0))</f>
        <v>#N/A</v>
      </c>
      <c r="K223" s="51" t="e">
        <f>INDEX(Input!$D$2:$AC$500,
       MATCH(B223, Input!$J$2:$J$500, 0),
       MATCH("Memory Type", Input!$D$1:$AC$1, 0))</f>
        <v>#N/A</v>
      </c>
      <c r="L223" s="51" t="str" cm="1">
        <f t="array" ref="L223">IFERROR(_xlfn.FILTERXML("&lt;t&gt;&lt;s&gt;" &amp; SUBSTITUTE(K223," / ","&lt;/s&gt;&lt;s&gt;") &amp; "&lt;/s&gt;&lt;/t&gt;","(//s[contains(.,'DDR')])[1]"),"")</f>
        <v/>
      </c>
      <c r="M223" s="32" t="e">
        <f t="shared" si="11"/>
        <v>#N/A</v>
      </c>
      <c r="N223" s="51" t="e">
        <f>INDEX(Input!$D$2:$AC$500,
       MATCH(B223, Input!$J$2:$J$500, 0),
       MATCH("Disk Interface Type", Input!$D$1:$AC$1, 0))</f>
        <v>#N/A</v>
      </c>
      <c r="O223" s="51" t="str" cm="1">
        <f t="array" ref="O223">IFERROR(_xlfn.TEXTJOIN(", ", TRUE, _xlfn._xlws.FILTER(
    INDEX(Input!$D$2:$AC$500,,MATCH("Disk Capacity",Input!$D$1:$AC$1,0)),
    Input!$J$2:$J$500=B223
)), "")</f>
        <v/>
      </c>
      <c r="P223" s="32" t="e">
        <f t="shared" si="10"/>
        <v>#N/A</v>
      </c>
      <c r="Q223" s="51" t="e">
        <f>_xlfn.LET(_xlpm.Result,INDEX(Input!$D$2:$AC$500,
       MATCH(B223, Input!$J$2:$J$500, 0),
       MATCH("Capacity", Input!$D$1:$AC$1, 0)),IF(_xlpm.Result="","",_xlpm.Result))</f>
        <v>#N/A</v>
      </c>
      <c r="R223" s="51" t="e" cm="1">
        <f t="array" ref="R223">_xlfn.TEXTSPLIT(Q223," / ", ,TRUE,0,)</f>
        <v>#N/A</v>
      </c>
      <c r="S223" s="51"/>
      <c r="T223" s="51" t="str" cm="1">
        <f t="array" ref="T223">IFERROR(_xlfn.IFS(
R223="","",
--R223&lt;55,"Battery Defect",
--R223&lt;=69,"Battery D",
--R223&lt;=80,"Battery C",
--R223&gt;80,""
),"")</f>
        <v/>
      </c>
      <c r="U223" s="51" t="str" cm="1">
        <f t="array" ref="U223">IFERROR(_xlfn.IFS(
S223="","",
--S223&lt;55,"Battery Defect",
--S223&lt;=69,"Battery D",
--S223&lt;=80,"Battery C",
--S223&gt;80,""
),"")</f>
        <v/>
      </c>
      <c r="V223" s="51" t="str" cm="1">
        <f t="array" ref="V223:AC223">IFERROR(IF(_xlfn.XLOOKUP(B223,Input!J:J,Input!N:U)=0,"",
          _xlfn.XLOOKUP(B223,Input!J:J,Input!N:U)),"")</f>
        <v/>
      </c>
      <c r="W223" s="51" t="str">
        <v/>
      </c>
      <c r="X223" s="51" t="str">
        <v/>
      </c>
      <c r="Y223" s="51" t="str">
        <v/>
      </c>
      <c r="Z223" s="51" t="str">
        <v/>
      </c>
      <c r="AA223" s="51" t="str">
        <v/>
      </c>
      <c r="AB223" s="51" t="str">
        <v/>
      </c>
      <c r="AC223" s="51" t="str">
        <v/>
      </c>
      <c r="AD223" s="32" t="str">
        <f t="shared" si="9"/>
        <v/>
      </c>
      <c r="AE223" s="32" t="str">
        <f>_xlfn.XLOOKUP(B:B,Disk_Pivot!G:G,Disk_Pivot!I:I)</f>
        <v>Yes x2</v>
      </c>
      <c r="AF223" s="32" t="str">
        <f>_xlfn.XLOOKUP(B223,Disk_Pivot!G:G,Disk_Pivot!N:N)</f>
        <v>Pass, Fail</v>
      </c>
      <c r="AG223" s="32"/>
      <c r="AH223" s="32"/>
      <c r="AI223" s="32"/>
      <c r="AJ223" s="32"/>
      <c r="AK223" s="32"/>
      <c r="AL223" s="32"/>
    </row>
    <row r="224" spans="1:38">
      <c r="A224" s="32" t="str">
        <f>_xlfn.TEXTJOIN("",TRUE,_xlfn.XLOOKUP(B224,Input!J:J,Input!G:G,"",0,1),_xlfn.XLOOKUP(B224,Input!J:J,Input!H:H,"",0,1))</f>
        <v/>
      </c>
      <c r="B224" s="32"/>
      <c r="C224" s="51">
        <f>_xlfn.XLOOKUP(B224,Input!J:J,Input!F:F)</f>
        <v>0</v>
      </c>
      <c r="D224" s="32">
        <f>_xlfn.XLOOKUP(C224,Models!H:H,Models!G:G,C224)</f>
        <v>0</v>
      </c>
      <c r="E224" s="32">
        <f>_xlfn.XLOOKUP(B224,Input!J:J,Input!E:E)</f>
        <v>0</v>
      </c>
      <c r="F224" s="32">
        <f>IF(E224="LENOVO",_xlfn.XLOOKUP(B224,Input!J:J,Input!K:K),_xlfn.XLOOKUP(B224,Input!J:J,Input!L:L))</f>
        <v>0</v>
      </c>
      <c r="G224" s="32"/>
      <c r="H224" s="32"/>
      <c r="I224" s="32">
        <f>_xlfn.XLOOKUP(B224,CPU_Formula!A:A,CPU_Formula!I:I)</f>
        <v>0</v>
      </c>
      <c r="J224" s="51" t="e">
        <f>INDEX(Input!$D$2:$AC$500,
       MATCH(B224, Input!$J$2:$J$500, 0),
       MATCH("Total Memory", Input!$D$1:$AC$1, 0))</f>
        <v>#N/A</v>
      </c>
      <c r="K224" s="51" t="e">
        <f>INDEX(Input!$D$2:$AC$500,
       MATCH(B224, Input!$J$2:$J$500, 0),
       MATCH("Memory Type", Input!$D$1:$AC$1, 0))</f>
        <v>#N/A</v>
      </c>
      <c r="L224" s="51" t="str" cm="1">
        <f t="array" ref="L224">IFERROR(_xlfn.FILTERXML("&lt;t&gt;&lt;s&gt;" &amp; SUBSTITUTE(K224," / ","&lt;/s&gt;&lt;s&gt;") &amp; "&lt;/s&gt;&lt;/t&gt;","(//s[contains(.,'DDR')])[1]"),"")</f>
        <v/>
      </c>
      <c r="M224" s="32" t="e">
        <f t="shared" si="11"/>
        <v>#N/A</v>
      </c>
      <c r="N224" s="51" t="e">
        <f>INDEX(Input!$D$2:$AC$500,
       MATCH(B224, Input!$J$2:$J$500, 0),
       MATCH("Disk Interface Type", Input!$D$1:$AC$1, 0))</f>
        <v>#N/A</v>
      </c>
      <c r="O224" s="51" t="str" cm="1">
        <f t="array" ref="O224">IFERROR(_xlfn.TEXTJOIN(", ", TRUE, _xlfn._xlws.FILTER(
    INDEX(Input!$D$2:$AC$500,,MATCH("Disk Capacity",Input!$D$1:$AC$1,0)),
    Input!$J$2:$J$500=B224
)), "")</f>
        <v/>
      </c>
      <c r="P224" s="32" t="e">
        <f t="shared" si="10"/>
        <v>#N/A</v>
      </c>
      <c r="Q224" s="51" t="e">
        <f>_xlfn.LET(_xlpm.Result,INDEX(Input!$D$2:$AC$500,
       MATCH(B224, Input!$J$2:$J$500, 0),
       MATCH("Capacity", Input!$D$1:$AC$1, 0)),IF(_xlpm.Result="","",_xlpm.Result))</f>
        <v>#N/A</v>
      </c>
      <c r="R224" s="51" t="e" cm="1">
        <f t="array" ref="R224">_xlfn.TEXTSPLIT(Q224," / ", ,TRUE,0,)</f>
        <v>#N/A</v>
      </c>
      <c r="S224" s="51"/>
      <c r="T224" s="51" t="str" cm="1">
        <f t="array" ref="T224">IFERROR(_xlfn.IFS(
R224="","",
--R224&lt;55,"Battery Defect",
--R224&lt;=69,"Battery D",
--R224&lt;=80,"Battery C",
--R224&gt;80,""
),"")</f>
        <v/>
      </c>
      <c r="U224" s="51" t="str" cm="1">
        <f t="array" ref="U224">IFERROR(_xlfn.IFS(
S224="","",
--S224&lt;55,"Battery Defect",
--S224&lt;=69,"Battery D",
--S224&lt;=80,"Battery C",
--S224&gt;80,""
),"")</f>
        <v/>
      </c>
      <c r="V224" s="51" t="str" cm="1">
        <f t="array" ref="V224:AC224">IFERROR(IF(_xlfn.XLOOKUP(B224,Input!J:J,Input!N:U)=0,"",
          _xlfn.XLOOKUP(B224,Input!J:J,Input!N:U)),"")</f>
        <v/>
      </c>
      <c r="W224" s="51" t="str">
        <v/>
      </c>
      <c r="X224" s="51" t="str">
        <v/>
      </c>
      <c r="Y224" s="51" t="str">
        <v/>
      </c>
      <c r="Z224" s="51" t="str">
        <v/>
      </c>
      <c r="AA224" s="51" t="str">
        <v/>
      </c>
      <c r="AB224" s="51" t="str">
        <v/>
      </c>
      <c r="AC224" s="51" t="str">
        <v/>
      </c>
      <c r="AD224" s="32" t="str">
        <f t="shared" si="9"/>
        <v/>
      </c>
      <c r="AE224" s="32" t="str">
        <f>_xlfn.XLOOKUP(B:B,Disk_Pivot!G:G,Disk_Pivot!I:I)</f>
        <v>Yes x2</v>
      </c>
      <c r="AF224" s="32" t="str">
        <f>_xlfn.XLOOKUP(B224,Disk_Pivot!G:G,Disk_Pivot!N:N)</f>
        <v>Pass, Fail</v>
      </c>
      <c r="AG224" s="32"/>
      <c r="AH224" s="32"/>
      <c r="AI224" s="32"/>
      <c r="AJ224" s="32"/>
      <c r="AK224" s="32"/>
      <c r="AL224" s="32"/>
    </row>
    <row r="225" spans="1:38">
      <c r="A225" s="32" t="str">
        <f>_xlfn.TEXTJOIN("",TRUE,_xlfn.XLOOKUP(B225,Input!J:J,Input!G:G,"",0,1),_xlfn.XLOOKUP(B225,Input!J:J,Input!H:H,"",0,1))</f>
        <v/>
      </c>
      <c r="B225" s="32"/>
      <c r="C225" s="51">
        <f>_xlfn.XLOOKUP(B225,Input!J:J,Input!F:F)</f>
        <v>0</v>
      </c>
      <c r="D225" s="32">
        <f>_xlfn.XLOOKUP(C225,Models!H:H,Models!G:G,C225)</f>
        <v>0</v>
      </c>
      <c r="E225" s="32">
        <f>_xlfn.XLOOKUP(B225,Input!J:J,Input!E:E)</f>
        <v>0</v>
      </c>
      <c r="F225" s="32">
        <f>IF(E225="LENOVO",_xlfn.XLOOKUP(B225,Input!J:J,Input!K:K),_xlfn.XLOOKUP(B225,Input!J:J,Input!L:L))</f>
        <v>0</v>
      </c>
      <c r="G225" s="32"/>
      <c r="H225" s="32"/>
      <c r="I225" s="32">
        <f>_xlfn.XLOOKUP(B225,CPU_Formula!A:A,CPU_Formula!I:I)</f>
        <v>0</v>
      </c>
      <c r="J225" s="51" t="e">
        <f>INDEX(Input!$D$2:$AC$500,
       MATCH(B225, Input!$J$2:$J$500, 0),
       MATCH("Total Memory", Input!$D$1:$AC$1, 0))</f>
        <v>#N/A</v>
      </c>
      <c r="K225" s="51" t="e">
        <f>INDEX(Input!$D$2:$AC$500,
       MATCH(B225, Input!$J$2:$J$500, 0),
       MATCH("Memory Type", Input!$D$1:$AC$1, 0))</f>
        <v>#N/A</v>
      </c>
      <c r="L225" s="51" t="str" cm="1">
        <f t="array" ref="L225">IFERROR(_xlfn.FILTERXML("&lt;t&gt;&lt;s&gt;" &amp; SUBSTITUTE(K225," / ","&lt;/s&gt;&lt;s&gt;") &amp; "&lt;/s&gt;&lt;/t&gt;","(//s[contains(.,'DDR')])[1]"),"")</f>
        <v/>
      </c>
      <c r="M225" s="32" t="e">
        <f t="shared" si="11"/>
        <v>#N/A</v>
      </c>
      <c r="N225" s="51" t="e">
        <f>INDEX(Input!$D$2:$AC$500,
       MATCH(B225, Input!$J$2:$J$500, 0),
       MATCH("Disk Interface Type", Input!$D$1:$AC$1, 0))</f>
        <v>#N/A</v>
      </c>
      <c r="O225" s="51" t="str" cm="1">
        <f t="array" ref="O225">IFERROR(_xlfn.TEXTJOIN(", ", TRUE, _xlfn._xlws.FILTER(
    INDEX(Input!$D$2:$AC$500,,MATCH("Disk Capacity",Input!$D$1:$AC$1,0)),
    Input!$J$2:$J$500=B225
)), "")</f>
        <v/>
      </c>
      <c r="P225" s="32" t="e">
        <f t="shared" si="10"/>
        <v>#N/A</v>
      </c>
      <c r="Q225" s="51" t="e">
        <f>_xlfn.LET(_xlpm.Result,INDEX(Input!$D$2:$AC$500,
       MATCH(B225, Input!$J$2:$J$500, 0),
       MATCH("Capacity", Input!$D$1:$AC$1, 0)),IF(_xlpm.Result="","",_xlpm.Result))</f>
        <v>#N/A</v>
      </c>
      <c r="R225" s="51" t="e" cm="1">
        <f t="array" ref="R225">_xlfn.TEXTSPLIT(Q225," / ", ,TRUE,0,)</f>
        <v>#N/A</v>
      </c>
      <c r="S225" s="51"/>
      <c r="T225" s="51" t="str" cm="1">
        <f t="array" ref="T225">IFERROR(_xlfn.IFS(
R225="","",
--R225&lt;55,"Battery Defect",
--R225&lt;=69,"Battery D",
--R225&lt;=80,"Battery C",
--R225&gt;80,""
),"")</f>
        <v/>
      </c>
      <c r="U225" s="51" t="str" cm="1">
        <f t="array" ref="U225">IFERROR(_xlfn.IFS(
S225="","",
--S225&lt;55,"Battery Defect",
--S225&lt;=69,"Battery D",
--S225&lt;=80,"Battery C",
--S225&gt;80,""
),"")</f>
        <v/>
      </c>
      <c r="V225" s="51" t="str" cm="1">
        <f t="array" ref="V225:AC225">IFERROR(IF(_xlfn.XLOOKUP(B225,Input!J:J,Input!N:U)=0,"",
          _xlfn.XLOOKUP(B225,Input!J:J,Input!N:U)),"")</f>
        <v/>
      </c>
      <c r="W225" s="51" t="str">
        <v/>
      </c>
      <c r="X225" s="51" t="str">
        <v/>
      </c>
      <c r="Y225" s="51" t="str">
        <v/>
      </c>
      <c r="Z225" s="51" t="str">
        <v/>
      </c>
      <c r="AA225" s="51" t="str">
        <v/>
      </c>
      <c r="AB225" s="51" t="str">
        <v/>
      </c>
      <c r="AC225" s="51" t="str">
        <v/>
      </c>
      <c r="AD225" s="32" t="str">
        <f t="shared" si="9"/>
        <v/>
      </c>
      <c r="AE225" s="32" t="str">
        <f>_xlfn.XLOOKUP(B:B,Disk_Pivot!G:G,Disk_Pivot!I:I)</f>
        <v>Yes x2</v>
      </c>
      <c r="AF225" s="32" t="str">
        <f>_xlfn.XLOOKUP(B225,Disk_Pivot!G:G,Disk_Pivot!N:N)</f>
        <v>Pass, Fail</v>
      </c>
      <c r="AG225" s="32"/>
      <c r="AH225" s="32"/>
      <c r="AI225" s="32"/>
      <c r="AJ225" s="32"/>
      <c r="AK225" s="32"/>
      <c r="AL225" s="32"/>
    </row>
    <row r="226" spans="1:38">
      <c r="A226" s="32" t="str">
        <f>_xlfn.TEXTJOIN("",TRUE,_xlfn.XLOOKUP(B226,Input!J:J,Input!G:G,"",0,1),_xlfn.XLOOKUP(B226,Input!J:J,Input!H:H,"",0,1))</f>
        <v/>
      </c>
      <c r="B226" s="32"/>
      <c r="C226" s="51">
        <f>_xlfn.XLOOKUP(B226,Input!J:J,Input!F:F)</f>
        <v>0</v>
      </c>
      <c r="D226" s="32">
        <f>_xlfn.XLOOKUP(C226,Models!H:H,Models!G:G,C226)</f>
        <v>0</v>
      </c>
      <c r="E226" s="32">
        <f>_xlfn.XLOOKUP(B226,Input!J:J,Input!E:E)</f>
        <v>0</v>
      </c>
      <c r="F226" s="32">
        <f>IF(E226="LENOVO",_xlfn.XLOOKUP(B226,Input!J:J,Input!K:K),_xlfn.XLOOKUP(B226,Input!J:J,Input!L:L))</f>
        <v>0</v>
      </c>
      <c r="G226" s="32"/>
      <c r="H226" s="32"/>
      <c r="I226" s="32">
        <f>_xlfn.XLOOKUP(B226,CPU_Formula!A:A,CPU_Formula!I:I)</f>
        <v>0</v>
      </c>
      <c r="J226" s="51" t="e">
        <f>INDEX(Input!$D$2:$AC$500,
       MATCH(B226, Input!$J$2:$J$500, 0),
       MATCH("Total Memory", Input!$D$1:$AC$1, 0))</f>
        <v>#N/A</v>
      </c>
      <c r="K226" s="51" t="e">
        <f>INDEX(Input!$D$2:$AC$500,
       MATCH(B226, Input!$J$2:$J$500, 0),
       MATCH("Memory Type", Input!$D$1:$AC$1, 0))</f>
        <v>#N/A</v>
      </c>
      <c r="L226" s="51" t="str" cm="1">
        <f t="array" ref="L226">IFERROR(_xlfn.FILTERXML("&lt;t&gt;&lt;s&gt;" &amp; SUBSTITUTE(K226," / ","&lt;/s&gt;&lt;s&gt;") &amp; "&lt;/s&gt;&lt;/t&gt;","(//s[contains(.,'DDR')])[1]"),"")</f>
        <v/>
      </c>
      <c r="M226" s="32" t="e">
        <f t="shared" si="11"/>
        <v>#N/A</v>
      </c>
      <c r="N226" s="51" t="e">
        <f>INDEX(Input!$D$2:$AC$500,
       MATCH(B226, Input!$J$2:$J$500, 0),
       MATCH("Disk Interface Type", Input!$D$1:$AC$1, 0))</f>
        <v>#N/A</v>
      </c>
      <c r="O226" s="51" t="str" cm="1">
        <f t="array" ref="O226">IFERROR(_xlfn.TEXTJOIN(", ", TRUE, _xlfn._xlws.FILTER(
    INDEX(Input!$D$2:$AC$500,,MATCH("Disk Capacity",Input!$D$1:$AC$1,0)),
    Input!$J$2:$J$500=B226
)), "")</f>
        <v/>
      </c>
      <c r="P226" s="32" t="e">
        <f t="shared" si="10"/>
        <v>#N/A</v>
      </c>
      <c r="Q226" s="51" t="e">
        <f>_xlfn.LET(_xlpm.Result,INDEX(Input!$D$2:$AC$500,
       MATCH(B226, Input!$J$2:$J$500, 0),
       MATCH("Capacity", Input!$D$1:$AC$1, 0)),IF(_xlpm.Result="","",_xlpm.Result))</f>
        <v>#N/A</v>
      </c>
      <c r="R226" s="51" t="e" cm="1">
        <f t="array" ref="R226">_xlfn.TEXTSPLIT(Q226," / ", ,TRUE,0,)</f>
        <v>#N/A</v>
      </c>
      <c r="S226" s="51"/>
      <c r="T226" s="51" t="str" cm="1">
        <f t="array" ref="T226">IFERROR(_xlfn.IFS(
R226="","",
--R226&lt;55,"Battery Defect",
--R226&lt;=69,"Battery D",
--R226&lt;=80,"Battery C",
--R226&gt;80,""
),"")</f>
        <v/>
      </c>
      <c r="U226" s="51" t="str" cm="1">
        <f t="array" ref="U226">IFERROR(_xlfn.IFS(
S226="","",
--S226&lt;55,"Battery Defect",
--S226&lt;=69,"Battery D",
--S226&lt;=80,"Battery C",
--S226&gt;80,""
),"")</f>
        <v/>
      </c>
      <c r="V226" s="51" t="str" cm="1">
        <f t="array" ref="V226:AC226">IFERROR(IF(_xlfn.XLOOKUP(B226,Input!J:J,Input!N:U)=0,"",
          _xlfn.XLOOKUP(B226,Input!J:J,Input!N:U)),"")</f>
        <v/>
      </c>
      <c r="W226" s="51" t="str">
        <v/>
      </c>
      <c r="X226" s="51" t="str">
        <v/>
      </c>
      <c r="Y226" s="51" t="str">
        <v/>
      </c>
      <c r="Z226" s="51" t="str">
        <v/>
      </c>
      <c r="AA226" s="51" t="str">
        <v/>
      </c>
      <c r="AB226" s="51" t="str">
        <v/>
      </c>
      <c r="AC226" s="51" t="str">
        <v/>
      </c>
      <c r="AD226" s="32" t="str">
        <f t="shared" si="9"/>
        <v/>
      </c>
      <c r="AE226" s="32" t="str">
        <f>_xlfn.XLOOKUP(B:B,Disk_Pivot!G:G,Disk_Pivot!I:I)</f>
        <v>Yes x2</v>
      </c>
      <c r="AF226" s="32" t="str">
        <f>_xlfn.XLOOKUP(B226,Disk_Pivot!G:G,Disk_Pivot!N:N)</f>
        <v>Pass, Fail</v>
      </c>
      <c r="AG226" s="32"/>
      <c r="AH226" s="32"/>
      <c r="AI226" s="32"/>
      <c r="AJ226" s="32"/>
      <c r="AK226" s="32"/>
      <c r="AL226" s="32"/>
    </row>
    <row r="227" spans="1:38">
      <c r="A227" s="32" t="str">
        <f>_xlfn.TEXTJOIN("",TRUE,_xlfn.XLOOKUP(B227,Input!J:J,Input!G:G,"",0,1),_xlfn.XLOOKUP(B227,Input!J:J,Input!H:H,"",0,1))</f>
        <v/>
      </c>
      <c r="B227" s="32"/>
      <c r="C227" s="51">
        <f>_xlfn.XLOOKUP(B227,Input!J:J,Input!F:F)</f>
        <v>0</v>
      </c>
      <c r="D227" s="32">
        <f>_xlfn.XLOOKUP(C227,Models!H:H,Models!G:G,C227)</f>
        <v>0</v>
      </c>
      <c r="E227" s="32">
        <f>_xlfn.XLOOKUP(B227,Input!J:J,Input!E:E)</f>
        <v>0</v>
      </c>
      <c r="F227" s="32">
        <f>IF(E227="LENOVO",_xlfn.XLOOKUP(B227,Input!J:J,Input!K:K),_xlfn.XLOOKUP(B227,Input!J:J,Input!L:L))</f>
        <v>0</v>
      </c>
      <c r="G227" s="32"/>
      <c r="H227" s="32"/>
      <c r="I227" s="32">
        <f>_xlfn.XLOOKUP(B227,CPU_Formula!A:A,CPU_Formula!I:I)</f>
        <v>0</v>
      </c>
      <c r="J227" s="51" t="e">
        <f>INDEX(Input!$D$2:$AC$500,
       MATCH(B227, Input!$J$2:$J$500, 0),
       MATCH("Total Memory", Input!$D$1:$AC$1, 0))</f>
        <v>#N/A</v>
      </c>
      <c r="K227" s="51" t="e">
        <f>INDEX(Input!$D$2:$AC$500,
       MATCH(B227, Input!$J$2:$J$500, 0),
       MATCH("Memory Type", Input!$D$1:$AC$1, 0))</f>
        <v>#N/A</v>
      </c>
      <c r="L227" s="51" t="str" cm="1">
        <f t="array" ref="L227">IFERROR(_xlfn.FILTERXML("&lt;t&gt;&lt;s&gt;" &amp; SUBSTITUTE(K227," / ","&lt;/s&gt;&lt;s&gt;") &amp; "&lt;/s&gt;&lt;/t&gt;","(//s[contains(.,'DDR')])[1]"),"")</f>
        <v/>
      </c>
      <c r="M227" s="32" t="e">
        <f t="shared" si="11"/>
        <v>#N/A</v>
      </c>
      <c r="N227" s="51" t="e">
        <f>INDEX(Input!$D$2:$AC$500,
       MATCH(B227, Input!$J$2:$J$500, 0),
       MATCH("Disk Interface Type", Input!$D$1:$AC$1, 0))</f>
        <v>#N/A</v>
      </c>
      <c r="O227" s="51" t="str" cm="1">
        <f t="array" ref="O227">IFERROR(_xlfn.TEXTJOIN(", ", TRUE, _xlfn._xlws.FILTER(
    INDEX(Input!$D$2:$AC$500,,MATCH("Disk Capacity",Input!$D$1:$AC$1,0)),
    Input!$J$2:$J$500=B227
)), "")</f>
        <v/>
      </c>
      <c r="P227" s="32" t="e">
        <f t="shared" si="10"/>
        <v>#N/A</v>
      </c>
      <c r="Q227" s="51" t="e">
        <f>_xlfn.LET(_xlpm.Result,INDEX(Input!$D$2:$AC$500,
       MATCH(B227, Input!$J$2:$J$500, 0),
       MATCH("Capacity", Input!$D$1:$AC$1, 0)),IF(_xlpm.Result="","",_xlpm.Result))</f>
        <v>#N/A</v>
      </c>
      <c r="R227" s="51" t="e" cm="1">
        <f t="array" ref="R227">_xlfn.TEXTSPLIT(Q227," / ", ,TRUE,0,)</f>
        <v>#N/A</v>
      </c>
      <c r="S227" s="51"/>
      <c r="T227" s="51" t="str" cm="1">
        <f t="array" ref="T227">IFERROR(_xlfn.IFS(
R227="","",
--R227&lt;55,"Battery Defect",
--R227&lt;=69,"Battery D",
--R227&lt;=80,"Battery C",
--R227&gt;80,""
),"")</f>
        <v/>
      </c>
      <c r="U227" s="51" t="str" cm="1">
        <f t="array" ref="U227">IFERROR(_xlfn.IFS(
S227="","",
--S227&lt;55,"Battery Defect",
--S227&lt;=69,"Battery D",
--S227&lt;=80,"Battery C",
--S227&gt;80,""
),"")</f>
        <v/>
      </c>
      <c r="V227" s="51" t="str" cm="1">
        <f t="array" ref="V227:AC227">IFERROR(IF(_xlfn.XLOOKUP(B227,Input!J:J,Input!N:U)=0,"",
          _xlfn.XLOOKUP(B227,Input!J:J,Input!N:U)),"")</f>
        <v/>
      </c>
      <c r="W227" s="51" t="str">
        <v/>
      </c>
      <c r="X227" s="51" t="str">
        <v/>
      </c>
      <c r="Y227" s="51" t="str">
        <v/>
      </c>
      <c r="Z227" s="51" t="str">
        <v/>
      </c>
      <c r="AA227" s="51" t="str">
        <v/>
      </c>
      <c r="AB227" s="51" t="str">
        <v/>
      </c>
      <c r="AC227" s="51" t="str">
        <v/>
      </c>
      <c r="AD227" s="32" t="str">
        <f t="shared" si="9"/>
        <v/>
      </c>
      <c r="AE227" s="32" t="str">
        <f>_xlfn.XLOOKUP(B:B,Disk_Pivot!G:G,Disk_Pivot!I:I)</f>
        <v>Yes x2</v>
      </c>
      <c r="AF227" s="32" t="str">
        <f>_xlfn.XLOOKUP(B227,Disk_Pivot!G:G,Disk_Pivot!N:N)</f>
        <v>Pass, Fail</v>
      </c>
      <c r="AG227" s="32"/>
      <c r="AH227" s="32"/>
      <c r="AI227" s="32"/>
      <c r="AJ227" s="32"/>
      <c r="AK227" s="32"/>
      <c r="AL227" s="32"/>
    </row>
    <row r="228" spans="1:38">
      <c r="A228" s="32" t="str">
        <f>_xlfn.TEXTJOIN("",TRUE,_xlfn.XLOOKUP(B228,Input!J:J,Input!G:G,"",0,1),_xlfn.XLOOKUP(B228,Input!J:J,Input!H:H,"",0,1))</f>
        <v/>
      </c>
      <c r="B228" s="32"/>
      <c r="C228" s="51">
        <f>_xlfn.XLOOKUP(B228,Input!J:J,Input!F:F)</f>
        <v>0</v>
      </c>
      <c r="D228" s="32">
        <f>_xlfn.XLOOKUP(C228,Models!H:H,Models!G:G,C228)</f>
        <v>0</v>
      </c>
      <c r="E228" s="32">
        <f>_xlfn.XLOOKUP(B228,Input!J:J,Input!E:E)</f>
        <v>0</v>
      </c>
      <c r="F228" s="32">
        <f>IF(E228="LENOVO",_xlfn.XLOOKUP(B228,Input!J:J,Input!K:K),_xlfn.XLOOKUP(B228,Input!J:J,Input!L:L))</f>
        <v>0</v>
      </c>
      <c r="G228" s="32"/>
      <c r="H228" s="32"/>
      <c r="I228" s="32">
        <f>_xlfn.XLOOKUP(B228,CPU_Formula!A:A,CPU_Formula!I:I)</f>
        <v>0</v>
      </c>
      <c r="J228" s="51" t="e">
        <f>INDEX(Input!$D$2:$AC$500,
       MATCH(B228, Input!$J$2:$J$500, 0),
       MATCH("Total Memory", Input!$D$1:$AC$1, 0))</f>
        <v>#N/A</v>
      </c>
      <c r="K228" s="51" t="e">
        <f>INDEX(Input!$D$2:$AC$500,
       MATCH(B228, Input!$J$2:$J$500, 0),
       MATCH("Memory Type", Input!$D$1:$AC$1, 0))</f>
        <v>#N/A</v>
      </c>
      <c r="L228" s="51" t="str" cm="1">
        <f t="array" ref="L228">IFERROR(_xlfn.FILTERXML("&lt;t&gt;&lt;s&gt;" &amp; SUBSTITUTE(K228," / ","&lt;/s&gt;&lt;s&gt;") &amp; "&lt;/s&gt;&lt;/t&gt;","(//s[contains(.,'DDR')])[1]"),"")</f>
        <v/>
      </c>
      <c r="M228" s="32" t="e">
        <f t="shared" si="11"/>
        <v>#N/A</v>
      </c>
      <c r="N228" s="51" t="e">
        <f>INDEX(Input!$D$2:$AC$500,
       MATCH(B228, Input!$J$2:$J$500, 0),
       MATCH("Disk Interface Type", Input!$D$1:$AC$1, 0))</f>
        <v>#N/A</v>
      </c>
      <c r="O228" s="51" t="str" cm="1">
        <f t="array" ref="O228">IFERROR(_xlfn.TEXTJOIN(", ", TRUE, _xlfn._xlws.FILTER(
    INDEX(Input!$D$2:$AC$500,,MATCH("Disk Capacity",Input!$D$1:$AC$1,0)),
    Input!$J$2:$J$500=B228
)), "")</f>
        <v/>
      </c>
      <c r="P228" s="32" t="e">
        <f t="shared" si="10"/>
        <v>#N/A</v>
      </c>
      <c r="Q228" s="51" t="e">
        <f>_xlfn.LET(_xlpm.Result,INDEX(Input!$D$2:$AC$500,
       MATCH(B228, Input!$J$2:$J$500, 0),
       MATCH("Capacity", Input!$D$1:$AC$1, 0)),IF(_xlpm.Result="","",_xlpm.Result))</f>
        <v>#N/A</v>
      </c>
      <c r="R228" s="51" t="e" cm="1">
        <f t="array" ref="R228">_xlfn.TEXTSPLIT(Q228," / ", ,TRUE,0,)</f>
        <v>#N/A</v>
      </c>
      <c r="S228" s="51"/>
      <c r="T228" s="51" t="str" cm="1">
        <f t="array" ref="T228">IFERROR(_xlfn.IFS(
R228="","",
--R228&lt;55,"Battery Defect",
--R228&lt;=69,"Battery D",
--R228&lt;=80,"Battery C",
--R228&gt;80,""
),"")</f>
        <v/>
      </c>
      <c r="U228" s="51" t="str" cm="1">
        <f t="array" ref="U228">IFERROR(_xlfn.IFS(
S228="","",
--S228&lt;55,"Battery Defect",
--S228&lt;=69,"Battery D",
--S228&lt;=80,"Battery C",
--S228&gt;80,""
),"")</f>
        <v/>
      </c>
      <c r="V228" s="51" t="str" cm="1">
        <f t="array" ref="V228:AC228">IFERROR(IF(_xlfn.XLOOKUP(B228,Input!J:J,Input!N:U)=0,"",
          _xlfn.XLOOKUP(B228,Input!J:J,Input!N:U)),"")</f>
        <v/>
      </c>
      <c r="W228" s="51" t="str">
        <v/>
      </c>
      <c r="X228" s="51" t="str">
        <v/>
      </c>
      <c r="Y228" s="51" t="str">
        <v/>
      </c>
      <c r="Z228" s="51" t="str">
        <v/>
      </c>
      <c r="AA228" s="51" t="str">
        <v/>
      </c>
      <c r="AB228" s="51" t="str">
        <v/>
      </c>
      <c r="AC228" s="51" t="str">
        <v/>
      </c>
      <c r="AD228" s="32" t="str">
        <f t="shared" si="9"/>
        <v/>
      </c>
      <c r="AE228" s="32" t="str">
        <f>_xlfn.XLOOKUP(B:B,Disk_Pivot!G:G,Disk_Pivot!I:I)</f>
        <v>Yes x2</v>
      </c>
      <c r="AF228" s="32" t="str">
        <f>_xlfn.XLOOKUP(B228,Disk_Pivot!G:G,Disk_Pivot!N:N)</f>
        <v>Pass, Fail</v>
      </c>
      <c r="AG228" s="32"/>
      <c r="AH228" s="32"/>
      <c r="AI228" s="32"/>
      <c r="AJ228" s="32"/>
      <c r="AK228" s="32"/>
      <c r="AL228" s="32"/>
    </row>
    <row r="229" spans="1:38">
      <c r="A229" s="32" t="str">
        <f>_xlfn.TEXTJOIN("",TRUE,_xlfn.XLOOKUP(B229,Input!J:J,Input!G:G,"",0,1),_xlfn.XLOOKUP(B229,Input!J:J,Input!H:H,"",0,1))</f>
        <v/>
      </c>
      <c r="B229" s="32"/>
      <c r="C229" s="51">
        <f>_xlfn.XLOOKUP(B229,Input!J:J,Input!F:F)</f>
        <v>0</v>
      </c>
      <c r="D229" s="32">
        <f>_xlfn.XLOOKUP(C229,Models!H:H,Models!G:G,C229)</f>
        <v>0</v>
      </c>
      <c r="E229" s="32">
        <f>_xlfn.XLOOKUP(B229,Input!J:J,Input!E:E)</f>
        <v>0</v>
      </c>
      <c r="F229" s="32">
        <f>IF(E229="LENOVO",_xlfn.XLOOKUP(B229,Input!J:J,Input!K:K),_xlfn.XLOOKUP(B229,Input!J:J,Input!L:L))</f>
        <v>0</v>
      </c>
      <c r="G229" s="32"/>
      <c r="H229" s="32"/>
      <c r="I229" s="32">
        <f>_xlfn.XLOOKUP(B229,CPU_Formula!A:A,CPU_Formula!I:I)</f>
        <v>0</v>
      </c>
      <c r="J229" s="51" t="e">
        <f>INDEX(Input!$D$2:$AC$500,
       MATCH(B229, Input!$J$2:$J$500, 0),
       MATCH("Total Memory", Input!$D$1:$AC$1, 0))</f>
        <v>#N/A</v>
      </c>
      <c r="K229" s="51" t="e">
        <f>INDEX(Input!$D$2:$AC$500,
       MATCH(B229, Input!$J$2:$J$500, 0),
       MATCH("Memory Type", Input!$D$1:$AC$1, 0))</f>
        <v>#N/A</v>
      </c>
      <c r="L229" s="51" t="str" cm="1">
        <f t="array" ref="L229">IFERROR(_xlfn.FILTERXML("&lt;t&gt;&lt;s&gt;" &amp; SUBSTITUTE(K229," / ","&lt;/s&gt;&lt;s&gt;") &amp; "&lt;/s&gt;&lt;/t&gt;","(//s[contains(.,'DDR')])[1]"),"")</f>
        <v/>
      </c>
      <c r="M229" s="32" t="e">
        <f t="shared" si="11"/>
        <v>#N/A</v>
      </c>
      <c r="N229" s="51" t="e">
        <f>INDEX(Input!$D$2:$AC$500,
       MATCH(B229, Input!$J$2:$J$500, 0),
       MATCH("Disk Interface Type", Input!$D$1:$AC$1, 0))</f>
        <v>#N/A</v>
      </c>
      <c r="O229" s="51" t="str" cm="1">
        <f t="array" ref="O229">IFERROR(_xlfn.TEXTJOIN(", ", TRUE, _xlfn._xlws.FILTER(
    INDEX(Input!$D$2:$AC$500,,MATCH("Disk Capacity",Input!$D$1:$AC$1,0)),
    Input!$J$2:$J$500=B229
)), "")</f>
        <v/>
      </c>
      <c r="P229" s="32" t="e">
        <f t="shared" si="10"/>
        <v>#N/A</v>
      </c>
      <c r="Q229" s="51" t="e">
        <f>_xlfn.LET(_xlpm.Result,INDEX(Input!$D$2:$AC$500,
       MATCH(B229, Input!$J$2:$J$500, 0),
       MATCH("Capacity", Input!$D$1:$AC$1, 0)),IF(_xlpm.Result="","",_xlpm.Result))</f>
        <v>#N/A</v>
      </c>
      <c r="R229" s="51" t="e" cm="1">
        <f t="array" ref="R229">_xlfn.TEXTSPLIT(Q229," / ", ,TRUE,0,)</f>
        <v>#N/A</v>
      </c>
      <c r="S229" s="51"/>
      <c r="T229" s="51" t="str" cm="1">
        <f t="array" ref="T229">IFERROR(_xlfn.IFS(
R229="","",
--R229&lt;55,"Battery Defect",
--R229&lt;=69,"Battery D",
--R229&lt;=80,"Battery C",
--R229&gt;80,""
),"")</f>
        <v/>
      </c>
      <c r="U229" s="51" t="str" cm="1">
        <f t="array" ref="U229">IFERROR(_xlfn.IFS(
S229="","",
--S229&lt;55,"Battery Defect",
--S229&lt;=69,"Battery D",
--S229&lt;=80,"Battery C",
--S229&gt;80,""
),"")</f>
        <v/>
      </c>
      <c r="V229" s="51" t="str" cm="1">
        <f t="array" ref="V229:AC229">IFERROR(IF(_xlfn.XLOOKUP(B229,Input!J:J,Input!N:U)=0,"",
          _xlfn.XLOOKUP(B229,Input!J:J,Input!N:U)),"")</f>
        <v/>
      </c>
      <c r="W229" s="51" t="str">
        <v/>
      </c>
      <c r="X229" s="51" t="str">
        <v/>
      </c>
      <c r="Y229" s="51" t="str">
        <v/>
      </c>
      <c r="Z229" s="51" t="str">
        <v/>
      </c>
      <c r="AA229" s="51" t="str">
        <v/>
      </c>
      <c r="AB229" s="51" t="str">
        <v/>
      </c>
      <c r="AC229" s="51" t="str">
        <v/>
      </c>
      <c r="AD229" s="32" t="str">
        <f t="shared" si="9"/>
        <v/>
      </c>
      <c r="AE229" s="32" t="str">
        <f>_xlfn.XLOOKUP(B:B,Disk_Pivot!G:G,Disk_Pivot!I:I)</f>
        <v>Yes x2</v>
      </c>
      <c r="AF229" s="32" t="str">
        <f>_xlfn.XLOOKUP(B229,Disk_Pivot!G:G,Disk_Pivot!N:N)</f>
        <v>Pass, Fail</v>
      </c>
      <c r="AG229" s="32"/>
      <c r="AH229" s="32"/>
      <c r="AI229" s="32"/>
      <c r="AJ229" s="32"/>
      <c r="AK229" s="32"/>
      <c r="AL229" s="32"/>
    </row>
    <row r="230" spans="1:38">
      <c r="A230" s="32" t="str">
        <f>_xlfn.TEXTJOIN("",TRUE,_xlfn.XLOOKUP(B230,Input!J:J,Input!G:G,"",0,1),_xlfn.XLOOKUP(B230,Input!J:J,Input!H:H,"",0,1))</f>
        <v/>
      </c>
      <c r="B230" s="32"/>
      <c r="C230" s="51">
        <f>_xlfn.XLOOKUP(B230,Input!J:J,Input!F:F)</f>
        <v>0</v>
      </c>
      <c r="D230" s="32">
        <f>_xlfn.XLOOKUP(C230,Models!H:H,Models!G:G,C230)</f>
        <v>0</v>
      </c>
      <c r="E230" s="32">
        <f>_xlfn.XLOOKUP(B230,Input!J:J,Input!E:E)</f>
        <v>0</v>
      </c>
      <c r="F230" s="32">
        <f>IF(E230="LENOVO",_xlfn.XLOOKUP(B230,Input!J:J,Input!K:K),_xlfn.XLOOKUP(B230,Input!J:J,Input!L:L))</f>
        <v>0</v>
      </c>
      <c r="G230" s="32"/>
      <c r="H230" s="32"/>
      <c r="I230" s="32">
        <f>_xlfn.XLOOKUP(B230,CPU_Formula!A:A,CPU_Formula!I:I)</f>
        <v>0</v>
      </c>
      <c r="J230" s="51" t="e">
        <f>INDEX(Input!$D$2:$AC$500,
       MATCH(B230, Input!$J$2:$J$500, 0),
       MATCH("Total Memory", Input!$D$1:$AC$1, 0))</f>
        <v>#N/A</v>
      </c>
      <c r="K230" s="51" t="e">
        <f>INDEX(Input!$D$2:$AC$500,
       MATCH(B230, Input!$J$2:$J$500, 0),
       MATCH("Memory Type", Input!$D$1:$AC$1, 0))</f>
        <v>#N/A</v>
      </c>
      <c r="L230" s="51" t="str" cm="1">
        <f t="array" ref="L230">IFERROR(_xlfn.FILTERXML("&lt;t&gt;&lt;s&gt;" &amp; SUBSTITUTE(K230," / ","&lt;/s&gt;&lt;s&gt;") &amp; "&lt;/s&gt;&lt;/t&gt;","(//s[contains(.,'DDR')])[1]"),"")</f>
        <v/>
      </c>
      <c r="M230" s="32" t="e">
        <f t="shared" si="11"/>
        <v>#N/A</v>
      </c>
      <c r="N230" s="51" t="e">
        <f>INDEX(Input!$D$2:$AC$500,
       MATCH(B230, Input!$J$2:$J$500, 0),
       MATCH("Disk Interface Type", Input!$D$1:$AC$1, 0))</f>
        <v>#N/A</v>
      </c>
      <c r="O230" s="51" t="str" cm="1">
        <f t="array" ref="O230">IFERROR(_xlfn.TEXTJOIN(", ", TRUE, _xlfn._xlws.FILTER(
    INDEX(Input!$D$2:$AC$500,,MATCH("Disk Capacity",Input!$D$1:$AC$1,0)),
    Input!$J$2:$J$500=B230
)), "")</f>
        <v/>
      </c>
      <c r="P230" s="32" t="e">
        <f t="shared" si="10"/>
        <v>#N/A</v>
      </c>
      <c r="Q230" s="51" t="e">
        <f>_xlfn.LET(_xlpm.Result,INDEX(Input!$D$2:$AC$500,
       MATCH(B230, Input!$J$2:$J$500, 0),
       MATCH("Capacity", Input!$D$1:$AC$1, 0)),IF(_xlpm.Result="","",_xlpm.Result))</f>
        <v>#N/A</v>
      </c>
      <c r="R230" s="51" t="e" cm="1">
        <f t="array" ref="R230">_xlfn.TEXTSPLIT(Q230," / ", ,TRUE,0,)</f>
        <v>#N/A</v>
      </c>
      <c r="S230" s="51"/>
      <c r="T230" s="51" t="str" cm="1">
        <f t="array" ref="T230">IFERROR(_xlfn.IFS(
R230="","",
--R230&lt;55,"Battery Defect",
--R230&lt;=69,"Battery D",
--R230&lt;=80,"Battery C",
--R230&gt;80,""
),"")</f>
        <v/>
      </c>
      <c r="U230" s="51" t="str" cm="1">
        <f t="array" ref="U230">IFERROR(_xlfn.IFS(
S230="","",
--S230&lt;55,"Battery Defect",
--S230&lt;=69,"Battery D",
--S230&lt;=80,"Battery C",
--S230&gt;80,""
),"")</f>
        <v/>
      </c>
      <c r="V230" s="51" t="str" cm="1">
        <f t="array" ref="V230:AC230">IFERROR(IF(_xlfn.XLOOKUP(B230,Input!J:J,Input!N:U)=0,"",
          _xlfn.XLOOKUP(B230,Input!J:J,Input!N:U)),"")</f>
        <v/>
      </c>
      <c r="W230" s="51" t="str">
        <v/>
      </c>
      <c r="X230" s="51" t="str">
        <v/>
      </c>
      <c r="Y230" s="51" t="str">
        <v/>
      </c>
      <c r="Z230" s="51" t="str">
        <v/>
      </c>
      <c r="AA230" s="51" t="str">
        <v/>
      </c>
      <c r="AB230" s="51" t="str">
        <v/>
      </c>
      <c r="AC230" s="51" t="str">
        <v/>
      </c>
      <c r="AD230" s="32" t="str">
        <f t="shared" si="9"/>
        <v/>
      </c>
      <c r="AE230" s="32" t="str">
        <f>_xlfn.XLOOKUP(B:B,Disk_Pivot!G:G,Disk_Pivot!I:I)</f>
        <v>Yes x2</v>
      </c>
      <c r="AF230" s="32" t="str">
        <f>_xlfn.XLOOKUP(B230,Disk_Pivot!G:G,Disk_Pivot!N:N)</f>
        <v>Pass, Fail</v>
      </c>
      <c r="AG230" s="32"/>
      <c r="AH230" s="32"/>
      <c r="AI230" s="32"/>
      <c r="AJ230" s="32"/>
      <c r="AK230" s="32"/>
      <c r="AL230" s="32"/>
    </row>
    <row r="231" spans="1:38">
      <c r="A231" s="32" t="str">
        <f>_xlfn.TEXTJOIN("",TRUE,_xlfn.XLOOKUP(B231,Input!J:J,Input!G:G,"",0,1),_xlfn.XLOOKUP(B231,Input!J:J,Input!H:H,"",0,1))</f>
        <v/>
      </c>
      <c r="B231" s="32"/>
      <c r="C231" s="51">
        <f>_xlfn.XLOOKUP(B231,Input!J:J,Input!F:F)</f>
        <v>0</v>
      </c>
      <c r="D231" s="32">
        <f>_xlfn.XLOOKUP(C231,Models!H:H,Models!G:G,C231)</f>
        <v>0</v>
      </c>
      <c r="E231" s="32">
        <f>_xlfn.XLOOKUP(B231,Input!J:J,Input!E:E)</f>
        <v>0</v>
      </c>
      <c r="F231" s="32">
        <f>IF(E231="LENOVO",_xlfn.XLOOKUP(B231,Input!J:J,Input!K:K),_xlfn.XLOOKUP(B231,Input!J:J,Input!L:L))</f>
        <v>0</v>
      </c>
      <c r="G231" s="32"/>
      <c r="H231" s="32"/>
      <c r="I231" s="32">
        <f>_xlfn.XLOOKUP(B231,CPU_Formula!A:A,CPU_Formula!I:I)</f>
        <v>0</v>
      </c>
      <c r="J231" s="51" t="e">
        <f>INDEX(Input!$D$2:$AC$500,
       MATCH(B231, Input!$J$2:$J$500, 0),
       MATCH("Total Memory", Input!$D$1:$AC$1, 0))</f>
        <v>#N/A</v>
      </c>
      <c r="K231" s="51" t="e">
        <f>INDEX(Input!$D$2:$AC$500,
       MATCH(B231, Input!$J$2:$J$500, 0),
       MATCH("Memory Type", Input!$D$1:$AC$1, 0))</f>
        <v>#N/A</v>
      </c>
      <c r="L231" s="51" t="str" cm="1">
        <f t="array" ref="L231">IFERROR(_xlfn.FILTERXML("&lt;t&gt;&lt;s&gt;" &amp; SUBSTITUTE(K231," / ","&lt;/s&gt;&lt;s&gt;") &amp; "&lt;/s&gt;&lt;/t&gt;","(//s[contains(.,'DDR')])[1]"),"")</f>
        <v/>
      </c>
      <c r="M231" s="32" t="e">
        <f t="shared" si="11"/>
        <v>#N/A</v>
      </c>
      <c r="N231" s="51" t="e">
        <f>INDEX(Input!$D$2:$AC$500,
       MATCH(B231, Input!$J$2:$J$500, 0),
       MATCH("Disk Interface Type", Input!$D$1:$AC$1, 0))</f>
        <v>#N/A</v>
      </c>
      <c r="O231" s="51" t="str" cm="1">
        <f t="array" ref="O231">IFERROR(_xlfn.TEXTJOIN(", ", TRUE, _xlfn._xlws.FILTER(
    INDEX(Input!$D$2:$AC$500,,MATCH("Disk Capacity",Input!$D$1:$AC$1,0)),
    Input!$J$2:$J$500=B231
)), "")</f>
        <v/>
      </c>
      <c r="P231" s="32" t="e">
        <f t="shared" si="10"/>
        <v>#N/A</v>
      </c>
      <c r="Q231" s="51" t="e">
        <f>_xlfn.LET(_xlpm.Result,INDEX(Input!$D$2:$AC$500,
       MATCH(B231, Input!$J$2:$J$500, 0),
       MATCH("Capacity", Input!$D$1:$AC$1, 0)),IF(_xlpm.Result="","",_xlpm.Result))</f>
        <v>#N/A</v>
      </c>
      <c r="R231" s="51" t="e" cm="1">
        <f t="array" ref="R231">_xlfn.TEXTSPLIT(Q231," / ", ,TRUE,0,)</f>
        <v>#N/A</v>
      </c>
      <c r="S231" s="51"/>
      <c r="T231" s="51" t="str" cm="1">
        <f t="array" ref="T231">IFERROR(_xlfn.IFS(
R231="","",
--R231&lt;55,"Battery Defect",
--R231&lt;=69,"Battery D",
--R231&lt;=80,"Battery C",
--R231&gt;80,""
),"")</f>
        <v/>
      </c>
      <c r="U231" s="51" t="str" cm="1">
        <f t="array" ref="U231">IFERROR(_xlfn.IFS(
S231="","",
--S231&lt;55,"Battery Defect",
--S231&lt;=69,"Battery D",
--S231&lt;=80,"Battery C",
--S231&gt;80,""
),"")</f>
        <v/>
      </c>
      <c r="V231" s="51" t="str" cm="1">
        <f t="array" ref="V231:AC231">IFERROR(IF(_xlfn.XLOOKUP(B231,Input!J:J,Input!N:U)=0,"",
          _xlfn.XLOOKUP(B231,Input!J:J,Input!N:U)),"")</f>
        <v/>
      </c>
      <c r="W231" s="51" t="str">
        <v/>
      </c>
      <c r="X231" s="51" t="str">
        <v/>
      </c>
      <c r="Y231" s="51" t="str">
        <v/>
      </c>
      <c r="Z231" s="51" t="str">
        <v/>
      </c>
      <c r="AA231" s="51" t="str">
        <v/>
      </c>
      <c r="AB231" s="51" t="str">
        <v/>
      </c>
      <c r="AC231" s="51" t="str">
        <v/>
      </c>
      <c r="AD231" s="32" t="str">
        <f t="shared" si="9"/>
        <v/>
      </c>
      <c r="AE231" s="32" t="str">
        <f>_xlfn.XLOOKUP(B:B,Disk_Pivot!G:G,Disk_Pivot!I:I)</f>
        <v>Yes x2</v>
      </c>
      <c r="AF231" s="32" t="str">
        <f>_xlfn.XLOOKUP(B231,Disk_Pivot!G:G,Disk_Pivot!N:N)</f>
        <v>Pass, Fail</v>
      </c>
      <c r="AG231" s="32"/>
      <c r="AH231" s="32"/>
      <c r="AI231" s="32"/>
      <c r="AJ231" s="32"/>
      <c r="AK231" s="32"/>
      <c r="AL231" s="32"/>
    </row>
    <row r="232" spans="1:38">
      <c r="A232" s="32" t="str">
        <f>_xlfn.TEXTJOIN("",TRUE,_xlfn.XLOOKUP(B232,Input!J:J,Input!G:G,"",0,1),_xlfn.XLOOKUP(B232,Input!J:J,Input!H:H,"",0,1))</f>
        <v/>
      </c>
      <c r="B232" s="32"/>
      <c r="C232" s="51">
        <f>_xlfn.XLOOKUP(B232,Input!J:J,Input!F:F)</f>
        <v>0</v>
      </c>
      <c r="D232" s="32">
        <f>_xlfn.XLOOKUP(C232,Models!H:H,Models!G:G,C232)</f>
        <v>0</v>
      </c>
      <c r="E232" s="32">
        <f>_xlfn.XLOOKUP(B232,Input!J:J,Input!E:E)</f>
        <v>0</v>
      </c>
      <c r="F232" s="32">
        <f>IF(E232="LENOVO",_xlfn.XLOOKUP(B232,Input!J:J,Input!K:K),_xlfn.XLOOKUP(B232,Input!J:J,Input!L:L))</f>
        <v>0</v>
      </c>
      <c r="G232" s="32"/>
      <c r="H232" s="32"/>
      <c r="I232" s="32">
        <f>_xlfn.XLOOKUP(B232,CPU_Formula!A:A,CPU_Formula!I:I)</f>
        <v>0</v>
      </c>
      <c r="J232" s="51" t="e">
        <f>INDEX(Input!$D$2:$AC$500,
       MATCH(B232, Input!$J$2:$J$500, 0),
       MATCH("Total Memory", Input!$D$1:$AC$1, 0))</f>
        <v>#N/A</v>
      </c>
      <c r="K232" s="51" t="e">
        <f>INDEX(Input!$D$2:$AC$500,
       MATCH(B232, Input!$J$2:$J$500, 0),
       MATCH("Memory Type", Input!$D$1:$AC$1, 0))</f>
        <v>#N/A</v>
      </c>
      <c r="L232" s="51" t="str" cm="1">
        <f t="array" ref="L232">IFERROR(_xlfn.FILTERXML("&lt;t&gt;&lt;s&gt;" &amp; SUBSTITUTE(K232," / ","&lt;/s&gt;&lt;s&gt;") &amp; "&lt;/s&gt;&lt;/t&gt;","(//s[contains(.,'DDR')])[1]"),"")</f>
        <v/>
      </c>
      <c r="M232" s="32" t="e">
        <f t="shared" si="11"/>
        <v>#N/A</v>
      </c>
      <c r="N232" s="51" t="e">
        <f>INDEX(Input!$D$2:$AC$500,
       MATCH(B232, Input!$J$2:$J$500, 0),
       MATCH("Disk Interface Type", Input!$D$1:$AC$1, 0))</f>
        <v>#N/A</v>
      </c>
      <c r="O232" s="51" t="str" cm="1">
        <f t="array" ref="O232">IFERROR(_xlfn.TEXTJOIN(", ", TRUE, _xlfn._xlws.FILTER(
    INDEX(Input!$D$2:$AC$500,,MATCH("Disk Capacity",Input!$D$1:$AC$1,0)),
    Input!$J$2:$J$500=B232
)), "")</f>
        <v/>
      </c>
      <c r="P232" s="32" t="e">
        <f t="shared" si="10"/>
        <v>#N/A</v>
      </c>
      <c r="Q232" s="51" t="e">
        <f>_xlfn.LET(_xlpm.Result,INDEX(Input!$D$2:$AC$500,
       MATCH(B232, Input!$J$2:$J$500, 0),
       MATCH("Capacity", Input!$D$1:$AC$1, 0)),IF(_xlpm.Result="","",_xlpm.Result))</f>
        <v>#N/A</v>
      </c>
      <c r="R232" s="51" t="e" cm="1">
        <f t="array" ref="R232">_xlfn.TEXTSPLIT(Q232," / ", ,TRUE,0,)</f>
        <v>#N/A</v>
      </c>
      <c r="S232" s="51"/>
      <c r="T232" s="51" t="str" cm="1">
        <f t="array" ref="T232">IFERROR(_xlfn.IFS(
R232="","",
--R232&lt;55,"Battery Defect",
--R232&lt;=69,"Battery D",
--R232&lt;=80,"Battery C",
--R232&gt;80,""
),"")</f>
        <v/>
      </c>
      <c r="U232" s="51" t="str" cm="1">
        <f t="array" ref="U232">IFERROR(_xlfn.IFS(
S232="","",
--S232&lt;55,"Battery Defect",
--S232&lt;=69,"Battery D",
--S232&lt;=80,"Battery C",
--S232&gt;80,""
),"")</f>
        <v/>
      </c>
      <c r="V232" s="51" t="str" cm="1">
        <f t="array" ref="V232:AC232">IFERROR(IF(_xlfn.XLOOKUP(B232,Input!J:J,Input!N:U)=0,"",
          _xlfn.XLOOKUP(B232,Input!J:J,Input!N:U)),"")</f>
        <v/>
      </c>
      <c r="W232" s="51" t="str">
        <v/>
      </c>
      <c r="X232" s="51" t="str">
        <v/>
      </c>
      <c r="Y232" s="51" t="str">
        <v/>
      </c>
      <c r="Z232" s="51" t="str">
        <v/>
      </c>
      <c r="AA232" s="51" t="str">
        <v/>
      </c>
      <c r="AB232" s="51" t="str">
        <v/>
      </c>
      <c r="AC232" s="51" t="str">
        <v/>
      </c>
      <c r="AD232" s="32" t="str">
        <f t="shared" si="9"/>
        <v/>
      </c>
      <c r="AE232" s="32" t="str">
        <f>_xlfn.XLOOKUP(B:B,Disk_Pivot!G:G,Disk_Pivot!I:I)</f>
        <v>Yes x2</v>
      </c>
      <c r="AF232" s="32" t="str">
        <f>_xlfn.XLOOKUP(B232,Disk_Pivot!G:G,Disk_Pivot!N:N)</f>
        <v>Pass, Fail</v>
      </c>
      <c r="AG232" s="32"/>
      <c r="AH232" s="32"/>
      <c r="AI232" s="32"/>
      <c r="AJ232" s="32"/>
      <c r="AK232" s="32"/>
      <c r="AL232" s="32"/>
    </row>
    <row r="233" spans="1:38">
      <c r="A233" s="32" t="str">
        <f>_xlfn.TEXTJOIN("",TRUE,_xlfn.XLOOKUP(B233,Input!J:J,Input!G:G,"",0,1),_xlfn.XLOOKUP(B233,Input!J:J,Input!H:H,"",0,1))</f>
        <v/>
      </c>
      <c r="B233" s="32"/>
      <c r="C233" s="51">
        <f>_xlfn.XLOOKUP(B233,Input!J:J,Input!F:F)</f>
        <v>0</v>
      </c>
      <c r="D233" s="32">
        <f>_xlfn.XLOOKUP(C233,Models!H:H,Models!G:G,C233)</f>
        <v>0</v>
      </c>
      <c r="E233" s="32">
        <f>_xlfn.XLOOKUP(B233,Input!J:J,Input!E:E)</f>
        <v>0</v>
      </c>
      <c r="F233" s="32">
        <f>IF(E233="LENOVO",_xlfn.XLOOKUP(B233,Input!J:J,Input!K:K),_xlfn.XLOOKUP(B233,Input!J:J,Input!L:L))</f>
        <v>0</v>
      </c>
      <c r="G233" s="32"/>
      <c r="H233" s="32"/>
      <c r="I233" s="32">
        <f>_xlfn.XLOOKUP(B233,CPU_Formula!A:A,CPU_Formula!I:I)</f>
        <v>0</v>
      </c>
      <c r="J233" s="51" t="e">
        <f>INDEX(Input!$D$2:$AC$500,
       MATCH(B233, Input!$J$2:$J$500, 0),
       MATCH("Total Memory", Input!$D$1:$AC$1, 0))</f>
        <v>#N/A</v>
      </c>
      <c r="K233" s="51" t="e">
        <f>INDEX(Input!$D$2:$AC$500,
       MATCH(B233, Input!$J$2:$J$500, 0),
       MATCH("Memory Type", Input!$D$1:$AC$1, 0))</f>
        <v>#N/A</v>
      </c>
      <c r="L233" s="51" t="str" cm="1">
        <f t="array" ref="L233">IFERROR(_xlfn.FILTERXML("&lt;t&gt;&lt;s&gt;" &amp; SUBSTITUTE(K233," / ","&lt;/s&gt;&lt;s&gt;") &amp; "&lt;/s&gt;&lt;/t&gt;","(//s[contains(.,'DDR')])[1]"),"")</f>
        <v/>
      </c>
      <c r="M233" s="32" t="e">
        <f t="shared" si="11"/>
        <v>#N/A</v>
      </c>
      <c r="N233" s="51" t="e">
        <f>INDEX(Input!$D$2:$AC$500,
       MATCH(B233, Input!$J$2:$J$500, 0),
       MATCH("Disk Interface Type", Input!$D$1:$AC$1, 0))</f>
        <v>#N/A</v>
      </c>
      <c r="O233" s="51" t="str" cm="1">
        <f t="array" ref="O233">IFERROR(_xlfn.TEXTJOIN(", ", TRUE, _xlfn._xlws.FILTER(
    INDEX(Input!$D$2:$AC$500,,MATCH("Disk Capacity",Input!$D$1:$AC$1,0)),
    Input!$J$2:$J$500=B233
)), "")</f>
        <v/>
      </c>
      <c r="P233" s="32" t="e">
        <f t="shared" si="10"/>
        <v>#N/A</v>
      </c>
      <c r="Q233" s="51" t="e">
        <f>_xlfn.LET(_xlpm.Result,INDEX(Input!$D$2:$AC$500,
       MATCH(B233, Input!$J$2:$J$500, 0),
       MATCH("Capacity", Input!$D$1:$AC$1, 0)),IF(_xlpm.Result="","",_xlpm.Result))</f>
        <v>#N/A</v>
      </c>
      <c r="R233" s="51" t="e" cm="1">
        <f t="array" ref="R233">_xlfn.TEXTSPLIT(Q233," / ", ,TRUE,0,)</f>
        <v>#N/A</v>
      </c>
      <c r="S233" s="51"/>
      <c r="T233" s="51" t="str" cm="1">
        <f t="array" ref="T233">IFERROR(_xlfn.IFS(
R233="","",
--R233&lt;55,"Battery Defect",
--R233&lt;=69,"Battery D",
--R233&lt;=80,"Battery C",
--R233&gt;80,""
),"")</f>
        <v/>
      </c>
      <c r="U233" s="51" t="str" cm="1">
        <f t="array" ref="U233">IFERROR(_xlfn.IFS(
S233="","",
--S233&lt;55,"Battery Defect",
--S233&lt;=69,"Battery D",
--S233&lt;=80,"Battery C",
--S233&gt;80,""
),"")</f>
        <v/>
      </c>
      <c r="V233" s="51" t="str" cm="1">
        <f t="array" ref="V233:AC233">IFERROR(IF(_xlfn.XLOOKUP(B233,Input!J:J,Input!N:U)=0,"",
          _xlfn.XLOOKUP(B233,Input!J:J,Input!N:U)),"")</f>
        <v/>
      </c>
      <c r="W233" s="51" t="str">
        <v/>
      </c>
      <c r="X233" s="51" t="str">
        <v/>
      </c>
      <c r="Y233" s="51" t="str">
        <v/>
      </c>
      <c r="Z233" s="51" t="str">
        <v/>
      </c>
      <c r="AA233" s="51" t="str">
        <v/>
      </c>
      <c r="AB233" s="51" t="str">
        <v/>
      </c>
      <c r="AC233" s="51" t="str">
        <v/>
      </c>
      <c r="AD233" s="32" t="str">
        <f t="shared" si="9"/>
        <v/>
      </c>
      <c r="AE233" s="32" t="str">
        <f>_xlfn.XLOOKUP(B:B,Disk_Pivot!G:G,Disk_Pivot!I:I)</f>
        <v>Yes x2</v>
      </c>
      <c r="AF233" s="32" t="str">
        <f>_xlfn.XLOOKUP(B233,Disk_Pivot!G:G,Disk_Pivot!N:N)</f>
        <v>Pass, Fail</v>
      </c>
      <c r="AG233" s="32"/>
      <c r="AH233" s="32"/>
      <c r="AI233" s="32"/>
      <c r="AJ233" s="32"/>
      <c r="AK233" s="32"/>
      <c r="AL233" s="32"/>
    </row>
    <row r="234" spans="1:38">
      <c r="A234" s="32" t="str">
        <f>_xlfn.TEXTJOIN("",TRUE,_xlfn.XLOOKUP(B234,Input!J:J,Input!G:G,"",0,1),_xlfn.XLOOKUP(B234,Input!J:J,Input!H:H,"",0,1))</f>
        <v/>
      </c>
      <c r="B234" s="32"/>
      <c r="C234" s="51">
        <f>_xlfn.XLOOKUP(B234,Input!J:J,Input!F:F)</f>
        <v>0</v>
      </c>
      <c r="D234" s="32">
        <f>_xlfn.XLOOKUP(C234,Models!H:H,Models!G:G,C234)</f>
        <v>0</v>
      </c>
      <c r="E234" s="32">
        <f>_xlfn.XLOOKUP(B234,Input!J:J,Input!E:E)</f>
        <v>0</v>
      </c>
      <c r="F234" s="32">
        <f>IF(E234="LENOVO",_xlfn.XLOOKUP(B234,Input!J:J,Input!K:K),_xlfn.XLOOKUP(B234,Input!J:J,Input!L:L))</f>
        <v>0</v>
      </c>
      <c r="G234" s="32"/>
      <c r="H234" s="32"/>
      <c r="I234" s="32">
        <f>_xlfn.XLOOKUP(B234,CPU_Formula!A:A,CPU_Formula!I:I)</f>
        <v>0</v>
      </c>
      <c r="J234" s="51" t="e">
        <f>INDEX(Input!$D$2:$AC$500,
       MATCH(B234, Input!$J$2:$J$500, 0),
       MATCH("Total Memory", Input!$D$1:$AC$1, 0))</f>
        <v>#N/A</v>
      </c>
      <c r="K234" s="51" t="e">
        <f>INDEX(Input!$D$2:$AC$500,
       MATCH(B234, Input!$J$2:$J$500, 0),
       MATCH("Memory Type", Input!$D$1:$AC$1, 0))</f>
        <v>#N/A</v>
      </c>
      <c r="L234" s="51" t="str" cm="1">
        <f t="array" ref="L234">IFERROR(_xlfn.FILTERXML("&lt;t&gt;&lt;s&gt;" &amp; SUBSTITUTE(K234," / ","&lt;/s&gt;&lt;s&gt;") &amp; "&lt;/s&gt;&lt;/t&gt;","(//s[contains(.,'DDR')])[1]"),"")</f>
        <v/>
      </c>
      <c r="M234" s="32" t="e">
        <f t="shared" si="11"/>
        <v>#N/A</v>
      </c>
      <c r="N234" s="51" t="e">
        <f>INDEX(Input!$D$2:$AC$500,
       MATCH(B234, Input!$J$2:$J$500, 0),
       MATCH("Disk Interface Type", Input!$D$1:$AC$1, 0))</f>
        <v>#N/A</v>
      </c>
      <c r="O234" s="51" t="str" cm="1">
        <f t="array" ref="O234">IFERROR(_xlfn.TEXTJOIN(", ", TRUE, _xlfn._xlws.FILTER(
    INDEX(Input!$D$2:$AC$500,,MATCH("Disk Capacity",Input!$D$1:$AC$1,0)),
    Input!$J$2:$J$500=B234
)), "")</f>
        <v/>
      </c>
      <c r="P234" s="32" t="e">
        <f t="shared" si="10"/>
        <v>#N/A</v>
      </c>
      <c r="Q234" s="51" t="e">
        <f>_xlfn.LET(_xlpm.Result,INDEX(Input!$D$2:$AC$500,
       MATCH(B234, Input!$J$2:$J$500, 0),
       MATCH("Capacity", Input!$D$1:$AC$1, 0)),IF(_xlpm.Result="","",_xlpm.Result))</f>
        <v>#N/A</v>
      </c>
      <c r="R234" s="51" t="e" cm="1">
        <f t="array" ref="R234">_xlfn.TEXTSPLIT(Q234," / ", ,TRUE,0,)</f>
        <v>#N/A</v>
      </c>
      <c r="S234" s="51"/>
      <c r="T234" s="51" t="str" cm="1">
        <f t="array" ref="T234">IFERROR(_xlfn.IFS(
R234="","",
--R234&lt;55,"Battery Defect",
--R234&lt;=69,"Battery D",
--R234&lt;=80,"Battery C",
--R234&gt;80,""
),"")</f>
        <v/>
      </c>
      <c r="U234" s="51" t="str" cm="1">
        <f t="array" ref="U234">IFERROR(_xlfn.IFS(
S234="","",
--S234&lt;55,"Battery Defect",
--S234&lt;=69,"Battery D",
--S234&lt;=80,"Battery C",
--S234&gt;80,""
),"")</f>
        <v/>
      </c>
      <c r="V234" s="51" t="str" cm="1">
        <f t="array" ref="V234:AC234">IFERROR(IF(_xlfn.XLOOKUP(B234,Input!J:J,Input!N:U)=0,"",
          _xlfn.XLOOKUP(B234,Input!J:J,Input!N:U)),"")</f>
        <v/>
      </c>
      <c r="W234" s="51" t="str">
        <v/>
      </c>
      <c r="X234" s="51" t="str">
        <v/>
      </c>
      <c r="Y234" s="51" t="str">
        <v/>
      </c>
      <c r="Z234" s="51" t="str">
        <v/>
      </c>
      <c r="AA234" s="51" t="str">
        <v/>
      </c>
      <c r="AB234" s="51" t="str">
        <v/>
      </c>
      <c r="AC234" s="51" t="str">
        <v/>
      </c>
      <c r="AD234" s="32" t="str">
        <f t="shared" si="9"/>
        <v/>
      </c>
      <c r="AE234" s="32" t="str">
        <f>_xlfn.XLOOKUP(B:B,Disk_Pivot!G:G,Disk_Pivot!I:I)</f>
        <v>Yes x2</v>
      </c>
      <c r="AF234" s="32" t="str">
        <f>_xlfn.XLOOKUP(B234,Disk_Pivot!G:G,Disk_Pivot!N:N)</f>
        <v>Pass, Fail</v>
      </c>
      <c r="AG234" s="32"/>
      <c r="AH234" s="32"/>
      <c r="AI234" s="32"/>
      <c r="AJ234" s="32"/>
      <c r="AK234" s="32"/>
      <c r="AL234" s="32"/>
    </row>
    <row r="235" spans="1:38">
      <c r="A235" s="32" t="str">
        <f>_xlfn.TEXTJOIN("",TRUE,_xlfn.XLOOKUP(B235,Input!J:J,Input!G:G,"",0,1),_xlfn.XLOOKUP(B235,Input!J:J,Input!H:H,"",0,1))</f>
        <v/>
      </c>
      <c r="B235" s="32"/>
      <c r="C235" s="51">
        <f>_xlfn.XLOOKUP(B235,Input!J:J,Input!F:F)</f>
        <v>0</v>
      </c>
      <c r="D235" s="32">
        <f>_xlfn.XLOOKUP(C235,Models!H:H,Models!G:G,C235)</f>
        <v>0</v>
      </c>
      <c r="E235" s="32">
        <f>_xlfn.XLOOKUP(B235,Input!J:J,Input!E:E)</f>
        <v>0</v>
      </c>
      <c r="F235" s="32">
        <f>IF(E235="LENOVO",_xlfn.XLOOKUP(B235,Input!J:J,Input!K:K),_xlfn.XLOOKUP(B235,Input!J:J,Input!L:L))</f>
        <v>0</v>
      </c>
      <c r="G235" s="32"/>
      <c r="H235" s="32"/>
      <c r="I235" s="32">
        <f>_xlfn.XLOOKUP(B235,CPU_Formula!A:A,CPU_Formula!I:I)</f>
        <v>0</v>
      </c>
      <c r="J235" s="51" t="e">
        <f>INDEX(Input!$D$2:$AC$500,
       MATCH(B235, Input!$J$2:$J$500, 0),
       MATCH("Total Memory", Input!$D$1:$AC$1, 0))</f>
        <v>#N/A</v>
      </c>
      <c r="K235" s="51" t="e">
        <f>INDEX(Input!$D$2:$AC$500,
       MATCH(B235, Input!$J$2:$J$500, 0),
       MATCH("Memory Type", Input!$D$1:$AC$1, 0))</f>
        <v>#N/A</v>
      </c>
      <c r="L235" s="51" t="str" cm="1">
        <f t="array" ref="L235">IFERROR(_xlfn.FILTERXML("&lt;t&gt;&lt;s&gt;" &amp; SUBSTITUTE(K235," / ","&lt;/s&gt;&lt;s&gt;") &amp; "&lt;/s&gt;&lt;/t&gt;","(//s[contains(.,'DDR')])[1]"),"")</f>
        <v/>
      </c>
      <c r="M235" s="32" t="e">
        <f t="shared" si="11"/>
        <v>#N/A</v>
      </c>
      <c r="N235" s="51" t="e">
        <f>INDEX(Input!$D$2:$AC$500,
       MATCH(B235, Input!$J$2:$J$500, 0),
       MATCH("Disk Interface Type", Input!$D$1:$AC$1, 0))</f>
        <v>#N/A</v>
      </c>
      <c r="O235" s="51" t="str" cm="1">
        <f t="array" ref="O235">IFERROR(_xlfn.TEXTJOIN(", ", TRUE, _xlfn._xlws.FILTER(
    INDEX(Input!$D$2:$AC$500,,MATCH("Disk Capacity",Input!$D$1:$AC$1,0)),
    Input!$J$2:$J$500=B235
)), "")</f>
        <v/>
      </c>
      <c r="P235" s="32" t="e">
        <f t="shared" si="10"/>
        <v>#N/A</v>
      </c>
      <c r="Q235" s="51" t="e">
        <f>_xlfn.LET(_xlpm.Result,INDEX(Input!$D$2:$AC$500,
       MATCH(B235, Input!$J$2:$J$500, 0),
       MATCH("Capacity", Input!$D$1:$AC$1, 0)),IF(_xlpm.Result="","",_xlpm.Result))</f>
        <v>#N/A</v>
      </c>
      <c r="R235" s="51" t="e" cm="1">
        <f t="array" ref="R235">_xlfn.TEXTSPLIT(Q235," / ", ,TRUE,0,)</f>
        <v>#N/A</v>
      </c>
      <c r="S235" s="51"/>
      <c r="T235" s="51" t="str" cm="1">
        <f t="array" ref="T235">IFERROR(_xlfn.IFS(
R235="","",
--R235&lt;55,"Battery Defect",
--R235&lt;=69,"Battery D",
--R235&lt;=80,"Battery C",
--R235&gt;80,""
),"")</f>
        <v/>
      </c>
      <c r="U235" s="51" t="str" cm="1">
        <f t="array" ref="U235">IFERROR(_xlfn.IFS(
S235="","",
--S235&lt;55,"Battery Defect",
--S235&lt;=69,"Battery D",
--S235&lt;=80,"Battery C",
--S235&gt;80,""
),"")</f>
        <v/>
      </c>
      <c r="V235" s="51" t="str" cm="1">
        <f t="array" ref="V235:AC235">IFERROR(IF(_xlfn.XLOOKUP(B235,Input!J:J,Input!N:U)=0,"",
          _xlfn.XLOOKUP(B235,Input!J:J,Input!N:U)),"")</f>
        <v/>
      </c>
      <c r="W235" s="51" t="str">
        <v/>
      </c>
      <c r="X235" s="51" t="str">
        <v/>
      </c>
      <c r="Y235" s="51" t="str">
        <v/>
      </c>
      <c r="Z235" s="51" t="str">
        <v/>
      </c>
      <c r="AA235" s="51" t="str">
        <v/>
      </c>
      <c r="AB235" s="51" t="str">
        <v/>
      </c>
      <c r="AC235" s="51" t="str">
        <v/>
      </c>
      <c r="AD235" s="32" t="str">
        <f t="shared" si="9"/>
        <v/>
      </c>
      <c r="AE235" s="32" t="str">
        <f>_xlfn.XLOOKUP(B:B,Disk_Pivot!G:G,Disk_Pivot!I:I)</f>
        <v>Yes x2</v>
      </c>
      <c r="AF235" s="32" t="str">
        <f>_xlfn.XLOOKUP(B235,Disk_Pivot!G:G,Disk_Pivot!N:N)</f>
        <v>Pass, Fail</v>
      </c>
      <c r="AG235" s="32"/>
      <c r="AH235" s="32"/>
      <c r="AI235" s="32"/>
      <c r="AJ235" s="32"/>
      <c r="AK235" s="32"/>
      <c r="AL235" s="32"/>
    </row>
    <row r="236" spans="1:38">
      <c r="A236" s="32" t="str">
        <f>_xlfn.TEXTJOIN("",TRUE,_xlfn.XLOOKUP(B236,Input!J:J,Input!G:G,"",0,1),_xlfn.XLOOKUP(B236,Input!J:J,Input!H:H,"",0,1))</f>
        <v/>
      </c>
      <c r="B236" s="32"/>
      <c r="C236" s="51">
        <f>_xlfn.XLOOKUP(B236,Input!J:J,Input!F:F)</f>
        <v>0</v>
      </c>
      <c r="D236" s="32">
        <f>_xlfn.XLOOKUP(C236,Models!H:H,Models!G:G,C236)</f>
        <v>0</v>
      </c>
      <c r="E236" s="32">
        <f>_xlfn.XLOOKUP(B236,Input!J:J,Input!E:E)</f>
        <v>0</v>
      </c>
      <c r="F236" s="32">
        <f>IF(E236="LENOVO",_xlfn.XLOOKUP(B236,Input!J:J,Input!K:K),_xlfn.XLOOKUP(B236,Input!J:J,Input!L:L))</f>
        <v>0</v>
      </c>
      <c r="G236" s="32"/>
      <c r="H236" s="32"/>
      <c r="I236" s="32">
        <f>_xlfn.XLOOKUP(B236,CPU_Formula!A:A,CPU_Formula!I:I)</f>
        <v>0</v>
      </c>
      <c r="J236" s="51" t="e">
        <f>INDEX(Input!$D$2:$AC$500,
       MATCH(B236, Input!$J$2:$J$500, 0),
       MATCH("Total Memory", Input!$D$1:$AC$1, 0))</f>
        <v>#N/A</v>
      </c>
      <c r="K236" s="51" t="e">
        <f>INDEX(Input!$D$2:$AC$500,
       MATCH(B236, Input!$J$2:$J$500, 0),
       MATCH("Memory Type", Input!$D$1:$AC$1, 0))</f>
        <v>#N/A</v>
      </c>
      <c r="L236" s="51" t="str" cm="1">
        <f t="array" ref="L236">IFERROR(_xlfn.FILTERXML("&lt;t&gt;&lt;s&gt;" &amp; SUBSTITUTE(K236," / ","&lt;/s&gt;&lt;s&gt;") &amp; "&lt;/s&gt;&lt;/t&gt;","(//s[contains(.,'DDR')])[1]"),"")</f>
        <v/>
      </c>
      <c r="M236" s="32" t="e">
        <f t="shared" si="11"/>
        <v>#N/A</v>
      </c>
      <c r="N236" s="51" t="e">
        <f>INDEX(Input!$D$2:$AC$500,
       MATCH(B236, Input!$J$2:$J$500, 0),
       MATCH("Disk Interface Type", Input!$D$1:$AC$1, 0))</f>
        <v>#N/A</v>
      </c>
      <c r="O236" s="51" t="str" cm="1">
        <f t="array" ref="O236">IFERROR(_xlfn.TEXTJOIN(", ", TRUE, _xlfn._xlws.FILTER(
    INDEX(Input!$D$2:$AC$500,,MATCH("Disk Capacity",Input!$D$1:$AC$1,0)),
    Input!$J$2:$J$500=B236
)), "")</f>
        <v/>
      </c>
      <c r="P236" s="32" t="e">
        <f t="shared" si="10"/>
        <v>#N/A</v>
      </c>
      <c r="Q236" s="51" t="e">
        <f>_xlfn.LET(_xlpm.Result,INDEX(Input!$D$2:$AC$500,
       MATCH(B236, Input!$J$2:$J$500, 0),
       MATCH("Capacity", Input!$D$1:$AC$1, 0)),IF(_xlpm.Result="","",_xlpm.Result))</f>
        <v>#N/A</v>
      </c>
      <c r="R236" s="51" t="e" cm="1">
        <f t="array" ref="R236">_xlfn.TEXTSPLIT(Q236," / ", ,TRUE,0,)</f>
        <v>#N/A</v>
      </c>
      <c r="S236" s="51"/>
      <c r="T236" s="51" t="str" cm="1">
        <f t="array" ref="T236">IFERROR(_xlfn.IFS(
R236="","",
--R236&lt;55,"Battery Defect",
--R236&lt;=69,"Battery D",
--R236&lt;=80,"Battery C",
--R236&gt;80,""
),"")</f>
        <v/>
      </c>
      <c r="U236" s="51" t="str" cm="1">
        <f t="array" ref="U236">IFERROR(_xlfn.IFS(
S236="","",
--S236&lt;55,"Battery Defect",
--S236&lt;=69,"Battery D",
--S236&lt;=80,"Battery C",
--S236&gt;80,""
),"")</f>
        <v/>
      </c>
      <c r="V236" s="51" t="str" cm="1">
        <f t="array" ref="V236:AC236">IFERROR(IF(_xlfn.XLOOKUP(B236,Input!J:J,Input!N:U)=0,"",
          _xlfn.XLOOKUP(B236,Input!J:J,Input!N:U)),"")</f>
        <v/>
      </c>
      <c r="W236" s="51" t="str">
        <v/>
      </c>
      <c r="X236" s="51" t="str">
        <v/>
      </c>
      <c r="Y236" s="51" t="str">
        <v/>
      </c>
      <c r="Z236" s="51" t="str">
        <v/>
      </c>
      <c r="AA236" s="51" t="str">
        <v/>
      </c>
      <c r="AB236" s="51" t="str">
        <v/>
      </c>
      <c r="AC236" s="51" t="str">
        <v/>
      </c>
      <c r="AD236" s="32" t="str">
        <f t="shared" si="9"/>
        <v/>
      </c>
      <c r="AE236" s="32" t="str">
        <f>_xlfn.XLOOKUP(B:B,Disk_Pivot!G:G,Disk_Pivot!I:I)</f>
        <v>Yes x2</v>
      </c>
      <c r="AF236" s="32" t="str">
        <f>_xlfn.XLOOKUP(B236,Disk_Pivot!G:G,Disk_Pivot!N:N)</f>
        <v>Pass, Fail</v>
      </c>
      <c r="AG236" s="32"/>
      <c r="AH236" s="32"/>
      <c r="AI236" s="32"/>
      <c r="AJ236" s="32"/>
      <c r="AK236" s="32"/>
      <c r="AL236" s="32"/>
    </row>
    <row r="237" spans="1:38">
      <c r="A237" s="32" t="str">
        <f>_xlfn.TEXTJOIN("",TRUE,_xlfn.XLOOKUP(B237,Input!J:J,Input!G:G,"",0,1),_xlfn.XLOOKUP(B237,Input!J:J,Input!H:H,"",0,1))</f>
        <v/>
      </c>
      <c r="B237" s="32"/>
      <c r="C237" s="51">
        <f>_xlfn.XLOOKUP(B237,Input!J:J,Input!F:F)</f>
        <v>0</v>
      </c>
      <c r="D237" s="32">
        <f>_xlfn.XLOOKUP(C237,Models!H:H,Models!G:G,C237)</f>
        <v>0</v>
      </c>
      <c r="E237" s="32">
        <f>_xlfn.XLOOKUP(B237,Input!J:J,Input!E:E)</f>
        <v>0</v>
      </c>
      <c r="F237" s="32">
        <f>IF(E237="LENOVO",_xlfn.XLOOKUP(B237,Input!J:J,Input!K:K),_xlfn.XLOOKUP(B237,Input!J:J,Input!L:L))</f>
        <v>0</v>
      </c>
      <c r="G237" s="32"/>
      <c r="H237" s="32"/>
      <c r="I237" s="32">
        <f>_xlfn.XLOOKUP(B237,CPU_Formula!A:A,CPU_Formula!I:I)</f>
        <v>0</v>
      </c>
      <c r="J237" s="51" t="e">
        <f>INDEX(Input!$D$2:$AC$500,
       MATCH(B237, Input!$J$2:$J$500, 0),
       MATCH("Total Memory", Input!$D$1:$AC$1, 0))</f>
        <v>#N/A</v>
      </c>
      <c r="K237" s="51" t="e">
        <f>INDEX(Input!$D$2:$AC$500,
       MATCH(B237, Input!$J$2:$J$500, 0),
       MATCH("Memory Type", Input!$D$1:$AC$1, 0))</f>
        <v>#N/A</v>
      </c>
      <c r="L237" s="51" t="str" cm="1">
        <f t="array" ref="L237">IFERROR(_xlfn.FILTERXML("&lt;t&gt;&lt;s&gt;" &amp; SUBSTITUTE(K237," / ","&lt;/s&gt;&lt;s&gt;") &amp; "&lt;/s&gt;&lt;/t&gt;","(//s[contains(.,'DDR')])[1]"),"")</f>
        <v/>
      </c>
      <c r="M237" s="32" t="e">
        <f t="shared" si="11"/>
        <v>#N/A</v>
      </c>
      <c r="N237" s="51" t="e">
        <f>INDEX(Input!$D$2:$AC$500,
       MATCH(B237, Input!$J$2:$J$500, 0),
       MATCH("Disk Interface Type", Input!$D$1:$AC$1, 0))</f>
        <v>#N/A</v>
      </c>
      <c r="O237" s="51" t="str" cm="1">
        <f t="array" ref="O237">IFERROR(_xlfn.TEXTJOIN(", ", TRUE, _xlfn._xlws.FILTER(
    INDEX(Input!$D$2:$AC$500,,MATCH("Disk Capacity",Input!$D$1:$AC$1,0)),
    Input!$J$2:$J$500=B237
)), "")</f>
        <v/>
      </c>
      <c r="P237" s="32" t="e">
        <f t="shared" si="10"/>
        <v>#N/A</v>
      </c>
      <c r="Q237" s="51" t="e">
        <f>_xlfn.LET(_xlpm.Result,INDEX(Input!$D$2:$AC$500,
       MATCH(B237, Input!$J$2:$J$500, 0),
       MATCH("Capacity", Input!$D$1:$AC$1, 0)),IF(_xlpm.Result="","",_xlpm.Result))</f>
        <v>#N/A</v>
      </c>
      <c r="R237" s="51" t="e" cm="1">
        <f t="array" ref="R237">_xlfn.TEXTSPLIT(Q237," / ", ,TRUE,0,)</f>
        <v>#N/A</v>
      </c>
      <c r="S237" s="51"/>
      <c r="T237" s="51" t="str" cm="1">
        <f t="array" ref="T237">IFERROR(_xlfn.IFS(
R237="","",
--R237&lt;55,"Battery Defect",
--R237&lt;=69,"Battery D",
--R237&lt;=80,"Battery C",
--R237&gt;80,""
),"")</f>
        <v/>
      </c>
      <c r="U237" s="51" t="str" cm="1">
        <f t="array" ref="U237">IFERROR(_xlfn.IFS(
S237="","",
--S237&lt;55,"Battery Defect",
--S237&lt;=69,"Battery D",
--S237&lt;=80,"Battery C",
--S237&gt;80,""
),"")</f>
        <v/>
      </c>
      <c r="V237" s="51" t="str" cm="1">
        <f t="array" ref="V237:AC237">IFERROR(IF(_xlfn.XLOOKUP(B237,Input!J:J,Input!N:U)=0,"",
          _xlfn.XLOOKUP(B237,Input!J:J,Input!N:U)),"")</f>
        <v/>
      </c>
      <c r="W237" s="51" t="str">
        <v/>
      </c>
      <c r="X237" s="51" t="str">
        <v/>
      </c>
      <c r="Y237" s="51" t="str">
        <v/>
      </c>
      <c r="Z237" s="51" t="str">
        <v/>
      </c>
      <c r="AA237" s="51" t="str">
        <v/>
      </c>
      <c r="AB237" s="51" t="str">
        <v/>
      </c>
      <c r="AC237" s="51" t="str">
        <v/>
      </c>
      <c r="AD237" s="32" t="str">
        <f t="shared" si="9"/>
        <v/>
      </c>
      <c r="AE237" s="32" t="str">
        <f>_xlfn.XLOOKUP(B:B,Disk_Pivot!G:G,Disk_Pivot!I:I)</f>
        <v>Yes x2</v>
      </c>
      <c r="AF237" s="32" t="str">
        <f>_xlfn.XLOOKUP(B237,Disk_Pivot!G:G,Disk_Pivot!N:N)</f>
        <v>Pass, Fail</v>
      </c>
      <c r="AG237" s="32"/>
      <c r="AH237" s="32"/>
      <c r="AI237" s="32"/>
      <c r="AJ237" s="32"/>
      <c r="AK237" s="32"/>
      <c r="AL237" s="32"/>
    </row>
    <row r="238" spans="1:38">
      <c r="A238" s="32" t="str">
        <f>_xlfn.TEXTJOIN("",TRUE,_xlfn.XLOOKUP(B238,Input!J:J,Input!G:G,"",0,1),_xlfn.XLOOKUP(B238,Input!J:J,Input!H:H,"",0,1))</f>
        <v/>
      </c>
      <c r="B238" s="32"/>
      <c r="C238" s="51">
        <f>_xlfn.XLOOKUP(B238,Input!J:J,Input!F:F)</f>
        <v>0</v>
      </c>
      <c r="D238" s="32">
        <f>_xlfn.XLOOKUP(C238,Models!H:H,Models!G:G,C238)</f>
        <v>0</v>
      </c>
      <c r="E238" s="32">
        <f>_xlfn.XLOOKUP(B238,Input!J:J,Input!E:E)</f>
        <v>0</v>
      </c>
      <c r="F238" s="32">
        <f>IF(E238="LENOVO",_xlfn.XLOOKUP(B238,Input!J:J,Input!K:K),_xlfn.XLOOKUP(B238,Input!J:J,Input!L:L))</f>
        <v>0</v>
      </c>
      <c r="G238" s="32"/>
      <c r="H238" s="32"/>
      <c r="I238" s="32">
        <f>_xlfn.XLOOKUP(B238,CPU_Formula!A:A,CPU_Formula!I:I)</f>
        <v>0</v>
      </c>
      <c r="J238" s="51" t="e">
        <f>INDEX(Input!$D$2:$AC$500,
       MATCH(B238, Input!$J$2:$J$500, 0),
       MATCH("Total Memory", Input!$D$1:$AC$1, 0))</f>
        <v>#N/A</v>
      </c>
      <c r="K238" s="51" t="e">
        <f>INDEX(Input!$D$2:$AC$500,
       MATCH(B238, Input!$J$2:$J$500, 0),
       MATCH("Memory Type", Input!$D$1:$AC$1, 0))</f>
        <v>#N/A</v>
      </c>
      <c r="L238" s="51" t="str" cm="1">
        <f t="array" ref="L238">IFERROR(_xlfn.FILTERXML("&lt;t&gt;&lt;s&gt;" &amp; SUBSTITUTE(K238," / ","&lt;/s&gt;&lt;s&gt;") &amp; "&lt;/s&gt;&lt;/t&gt;","(//s[contains(.,'DDR')])[1]"),"")</f>
        <v/>
      </c>
      <c r="M238" s="32" t="e">
        <f t="shared" si="11"/>
        <v>#N/A</v>
      </c>
      <c r="N238" s="51" t="e">
        <f>INDEX(Input!$D$2:$AC$500,
       MATCH(B238, Input!$J$2:$J$500, 0),
       MATCH("Disk Interface Type", Input!$D$1:$AC$1, 0))</f>
        <v>#N/A</v>
      </c>
      <c r="O238" s="51" t="str" cm="1">
        <f t="array" ref="O238">IFERROR(_xlfn.TEXTJOIN(", ", TRUE, _xlfn._xlws.FILTER(
    INDEX(Input!$D$2:$AC$500,,MATCH("Disk Capacity",Input!$D$1:$AC$1,0)),
    Input!$J$2:$J$500=B238
)), "")</f>
        <v/>
      </c>
      <c r="P238" s="32" t="e">
        <f t="shared" si="10"/>
        <v>#N/A</v>
      </c>
      <c r="Q238" s="51" t="e">
        <f>_xlfn.LET(_xlpm.Result,INDEX(Input!$D$2:$AC$500,
       MATCH(B238, Input!$J$2:$J$500, 0),
       MATCH("Capacity", Input!$D$1:$AC$1, 0)),IF(_xlpm.Result="","",_xlpm.Result))</f>
        <v>#N/A</v>
      </c>
      <c r="R238" s="51" t="e" cm="1">
        <f t="array" ref="R238">_xlfn.TEXTSPLIT(Q238," / ", ,TRUE,0,)</f>
        <v>#N/A</v>
      </c>
      <c r="S238" s="51"/>
      <c r="T238" s="51" t="str" cm="1">
        <f t="array" ref="T238">IFERROR(_xlfn.IFS(
R238="","",
--R238&lt;55,"Battery Defect",
--R238&lt;=69,"Battery D",
--R238&lt;=80,"Battery C",
--R238&gt;80,""
),"")</f>
        <v/>
      </c>
      <c r="U238" s="51" t="str" cm="1">
        <f t="array" ref="U238">IFERROR(_xlfn.IFS(
S238="","",
--S238&lt;55,"Battery Defect",
--S238&lt;=69,"Battery D",
--S238&lt;=80,"Battery C",
--S238&gt;80,""
),"")</f>
        <v/>
      </c>
      <c r="V238" s="51" t="str" cm="1">
        <f t="array" ref="V238:AC238">IFERROR(IF(_xlfn.XLOOKUP(B238,Input!J:J,Input!N:U)=0,"",
          _xlfn.XLOOKUP(B238,Input!J:J,Input!N:U)),"")</f>
        <v/>
      </c>
      <c r="W238" s="51" t="str">
        <v/>
      </c>
      <c r="X238" s="51" t="str">
        <v/>
      </c>
      <c r="Y238" s="51" t="str">
        <v/>
      </c>
      <c r="Z238" s="51" t="str">
        <v/>
      </c>
      <c r="AA238" s="51" t="str">
        <v/>
      </c>
      <c r="AB238" s="51" t="str">
        <v/>
      </c>
      <c r="AC238" s="51" t="str">
        <v/>
      </c>
      <c r="AD238" s="32" t="str">
        <f t="shared" si="9"/>
        <v/>
      </c>
      <c r="AE238" s="32" t="str">
        <f>_xlfn.XLOOKUP(B:B,Disk_Pivot!G:G,Disk_Pivot!I:I)</f>
        <v>Yes x2</v>
      </c>
      <c r="AF238" s="32" t="str">
        <f>_xlfn.XLOOKUP(B238,Disk_Pivot!G:G,Disk_Pivot!N:N)</f>
        <v>Pass, Fail</v>
      </c>
      <c r="AG238" s="32"/>
      <c r="AH238" s="32"/>
      <c r="AI238" s="32"/>
      <c r="AJ238" s="32"/>
      <c r="AK238" s="32"/>
      <c r="AL238" s="32"/>
    </row>
    <row r="239" spans="1:38">
      <c r="A239" s="32" t="str">
        <f>_xlfn.TEXTJOIN("",TRUE,_xlfn.XLOOKUP(B239,Input!J:J,Input!G:G,"",0,1),_xlfn.XLOOKUP(B239,Input!J:J,Input!H:H,"",0,1))</f>
        <v/>
      </c>
      <c r="B239" s="32"/>
      <c r="C239" s="51">
        <f>_xlfn.XLOOKUP(B239,Input!J:J,Input!F:F)</f>
        <v>0</v>
      </c>
      <c r="D239" s="32">
        <f>_xlfn.XLOOKUP(C239,Models!H:H,Models!G:G,C239)</f>
        <v>0</v>
      </c>
      <c r="E239" s="32">
        <f>_xlfn.XLOOKUP(B239,Input!J:J,Input!E:E)</f>
        <v>0</v>
      </c>
      <c r="F239" s="32">
        <f>IF(E239="LENOVO",_xlfn.XLOOKUP(B239,Input!J:J,Input!K:K),_xlfn.XLOOKUP(B239,Input!J:J,Input!L:L))</f>
        <v>0</v>
      </c>
      <c r="G239" s="32"/>
      <c r="H239" s="32"/>
      <c r="I239" s="32">
        <f>_xlfn.XLOOKUP(B239,CPU_Formula!A:A,CPU_Formula!I:I)</f>
        <v>0</v>
      </c>
      <c r="J239" s="51" t="e">
        <f>INDEX(Input!$D$2:$AC$500,
       MATCH(B239, Input!$J$2:$J$500, 0),
       MATCH("Total Memory", Input!$D$1:$AC$1, 0))</f>
        <v>#N/A</v>
      </c>
      <c r="K239" s="51" t="e">
        <f>INDEX(Input!$D$2:$AC$500,
       MATCH(B239, Input!$J$2:$J$500, 0),
       MATCH("Memory Type", Input!$D$1:$AC$1, 0))</f>
        <v>#N/A</v>
      </c>
      <c r="L239" s="51" t="str" cm="1">
        <f t="array" ref="L239">IFERROR(_xlfn.FILTERXML("&lt;t&gt;&lt;s&gt;" &amp; SUBSTITUTE(K239," / ","&lt;/s&gt;&lt;s&gt;") &amp; "&lt;/s&gt;&lt;/t&gt;","(//s[contains(.,'DDR')])[1]"),"")</f>
        <v/>
      </c>
      <c r="M239" s="32" t="e">
        <f t="shared" si="11"/>
        <v>#N/A</v>
      </c>
      <c r="N239" s="51" t="e">
        <f>INDEX(Input!$D$2:$AC$500,
       MATCH(B239, Input!$J$2:$J$500, 0),
       MATCH("Disk Interface Type", Input!$D$1:$AC$1, 0))</f>
        <v>#N/A</v>
      </c>
      <c r="O239" s="51" t="str" cm="1">
        <f t="array" ref="O239">IFERROR(_xlfn.TEXTJOIN(", ", TRUE, _xlfn._xlws.FILTER(
    INDEX(Input!$D$2:$AC$500,,MATCH("Disk Capacity",Input!$D$1:$AC$1,0)),
    Input!$J$2:$J$500=B239
)), "")</f>
        <v/>
      </c>
      <c r="P239" s="32" t="e">
        <f t="shared" si="10"/>
        <v>#N/A</v>
      </c>
      <c r="Q239" s="51" t="e">
        <f>_xlfn.LET(_xlpm.Result,INDEX(Input!$D$2:$AC$500,
       MATCH(B239, Input!$J$2:$J$500, 0),
       MATCH("Capacity", Input!$D$1:$AC$1, 0)),IF(_xlpm.Result="","",_xlpm.Result))</f>
        <v>#N/A</v>
      </c>
      <c r="R239" s="51" t="e" cm="1">
        <f t="array" ref="R239">_xlfn.TEXTSPLIT(Q239," / ", ,TRUE,0,)</f>
        <v>#N/A</v>
      </c>
      <c r="S239" s="51"/>
      <c r="T239" s="51" t="str" cm="1">
        <f t="array" ref="T239">IFERROR(_xlfn.IFS(
R239="","",
--R239&lt;55,"Battery Defect",
--R239&lt;=69,"Battery D",
--R239&lt;=80,"Battery C",
--R239&gt;80,""
),"")</f>
        <v/>
      </c>
      <c r="U239" s="51" t="str" cm="1">
        <f t="array" ref="U239">IFERROR(_xlfn.IFS(
S239="","",
--S239&lt;55,"Battery Defect",
--S239&lt;=69,"Battery D",
--S239&lt;=80,"Battery C",
--S239&gt;80,""
),"")</f>
        <v/>
      </c>
      <c r="V239" s="51" t="str" cm="1">
        <f t="array" ref="V239:AC239">IFERROR(IF(_xlfn.XLOOKUP(B239,Input!J:J,Input!N:U)=0,"",
          _xlfn.XLOOKUP(B239,Input!J:J,Input!N:U)),"")</f>
        <v/>
      </c>
      <c r="W239" s="51" t="str">
        <v/>
      </c>
      <c r="X239" s="51" t="str">
        <v/>
      </c>
      <c r="Y239" s="51" t="str">
        <v/>
      </c>
      <c r="Z239" s="51" t="str">
        <v/>
      </c>
      <c r="AA239" s="51" t="str">
        <v/>
      </c>
      <c r="AB239" s="51" t="str">
        <v/>
      </c>
      <c r="AC239" s="51" t="str">
        <v/>
      </c>
      <c r="AD239" s="32" t="str">
        <f t="shared" si="9"/>
        <v/>
      </c>
      <c r="AE239" s="32" t="str">
        <f>_xlfn.XLOOKUP(B:B,Disk_Pivot!G:G,Disk_Pivot!I:I)</f>
        <v>Yes x2</v>
      </c>
      <c r="AF239" s="32" t="str">
        <f>_xlfn.XLOOKUP(B239,Disk_Pivot!G:G,Disk_Pivot!N:N)</f>
        <v>Pass, Fail</v>
      </c>
      <c r="AG239" s="32"/>
      <c r="AH239" s="32"/>
      <c r="AI239" s="32"/>
      <c r="AJ239" s="32"/>
      <c r="AK239" s="32"/>
      <c r="AL239" s="32"/>
    </row>
    <row r="240" spans="1:38">
      <c r="A240" s="32" t="str">
        <f>_xlfn.TEXTJOIN("",TRUE,_xlfn.XLOOKUP(B240,Input!J:J,Input!G:G,"",0,1),_xlfn.XLOOKUP(B240,Input!J:J,Input!H:H,"",0,1))</f>
        <v/>
      </c>
      <c r="B240" s="32"/>
      <c r="C240" s="51">
        <f>_xlfn.XLOOKUP(B240,Input!J:J,Input!F:F)</f>
        <v>0</v>
      </c>
      <c r="D240" s="32">
        <f>_xlfn.XLOOKUP(C240,Models!H:H,Models!G:G,C240)</f>
        <v>0</v>
      </c>
      <c r="E240" s="32">
        <f>_xlfn.XLOOKUP(B240,Input!J:J,Input!E:E)</f>
        <v>0</v>
      </c>
      <c r="F240" s="32">
        <f>IF(E240="LENOVO",_xlfn.XLOOKUP(B240,Input!J:J,Input!K:K),_xlfn.XLOOKUP(B240,Input!J:J,Input!L:L))</f>
        <v>0</v>
      </c>
      <c r="G240" s="32"/>
      <c r="H240" s="32"/>
      <c r="I240" s="32">
        <f>_xlfn.XLOOKUP(B240,CPU_Formula!A:A,CPU_Formula!I:I)</f>
        <v>0</v>
      </c>
      <c r="J240" s="51" t="e">
        <f>INDEX(Input!$D$2:$AC$500,
       MATCH(B240, Input!$J$2:$J$500, 0),
       MATCH("Total Memory", Input!$D$1:$AC$1, 0))</f>
        <v>#N/A</v>
      </c>
      <c r="K240" s="51" t="e">
        <f>INDEX(Input!$D$2:$AC$500,
       MATCH(B240, Input!$J$2:$J$500, 0),
       MATCH("Memory Type", Input!$D$1:$AC$1, 0))</f>
        <v>#N/A</v>
      </c>
      <c r="L240" s="51" t="str" cm="1">
        <f t="array" ref="L240">IFERROR(_xlfn.FILTERXML("&lt;t&gt;&lt;s&gt;" &amp; SUBSTITUTE(K240," / ","&lt;/s&gt;&lt;s&gt;") &amp; "&lt;/s&gt;&lt;/t&gt;","(//s[contains(.,'DDR')])[1]"),"")</f>
        <v/>
      </c>
      <c r="M240" s="32" t="e">
        <f t="shared" si="11"/>
        <v>#N/A</v>
      </c>
      <c r="N240" s="51" t="e">
        <f>INDEX(Input!$D$2:$AC$500,
       MATCH(B240, Input!$J$2:$J$500, 0),
       MATCH("Disk Interface Type", Input!$D$1:$AC$1, 0))</f>
        <v>#N/A</v>
      </c>
      <c r="O240" s="51" t="str" cm="1">
        <f t="array" ref="O240">IFERROR(_xlfn.TEXTJOIN(", ", TRUE, _xlfn._xlws.FILTER(
    INDEX(Input!$D$2:$AC$500,,MATCH("Disk Capacity",Input!$D$1:$AC$1,0)),
    Input!$J$2:$J$500=B240
)), "")</f>
        <v/>
      </c>
      <c r="P240" s="32" t="e">
        <f t="shared" si="10"/>
        <v>#N/A</v>
      </c>
      <c r="Q240" s="51" t="e">
        <f>_xlfn.LET(_xlpm.Result,INDEX(Input!$D$2:$AC$500,
       MATCH(B240, Input!$J$2:$J$500, 0),
       MATCH("Capacity", Input!$D$1:$AC$1, 0)),IF(_xlpm.Result="","",_xlpm.Result))</f>
        <v>#N/A</v>
      </c>
      <c r="R240" s="51" t="e" cm="1">
        <f t="array" ref="R240">_xlfn.TEXTSPLIT(Q240," / ", ,TRUE,0,)</f>
        <v>#N/A</v>
      </c>
      <c r="S240" s="51"/>
      <c r="T240" s="51" t="str" cm="1">
        <f t="array" ref="T240">IFERROR(_xlfn.IFS(
R240="","",
--R240&lt;55,"Battery Defect",
--R240&lt;=69,"Battery D",
--R240&lt;=80,"Battery C",
--R240&gt;80,""
),"")</f>
        <v/>
      </c>
      <c r="U240" s="51" t="str" cm="1">
        <f t="array" ref="U240">IFERROR(_xlfn.IFS(
S240="","",
--S240&lt;55,"Battery Defect",
--S240&lt;=69,"Battery D",
--S240&lt;=80,"Battery C",
--S240&gt;80,""
),"")</f>
        <v/>
      </c>
      <c r="V240" s="51" t="str" cm="1">
        <f t="array" ref="V240:AC240">IFERROR(IF(_xlfn.XLOOKUP(B240,Input!J:J,Input!N:U)=0,"",
          _xlfn.XLOOKUP(B240,Input!J:J,Input!N:U)),"")</f>
        <v/>
      </c>
      <c r="W240" s="51" t="str">
        <v/>
      </c>
      <c r="X240" s="51" t="str">
        <v/>
      </c>
      <c r="Y240" s="51" t="str">
        <v/>
      </c>
      <c r="Z240" s="51" t="str">
        <v/>
      </c>
      <c r="AA240" s="51" t="str">
        <v/>
      </c>
      <c r="AB240" s="51" t="str">
        <v/>
      </c>
      <c r="AC240" s="51" t="str">
        <v/>
      </c>
      <c r="AD240" s="32" t="str">
        <f t="shared" si="9"/>
        <v/>
      </c>
      <c r="AE240" s="32" t="str">
        <f>_xlfn.XLOOKUP(B:B,Disk_Pivot!G:G,Disk_Pivot!I:I)</f>
        <v>Yes x2</v>
      </c>
      <c r="AF240" s="32" t="str">
        <f>_xlfn.XLOOKUP(B240,Disk_Pivot!G:G,Disk_Pivot!N:N)</f>
        <v>Pass, Fail</v>
      </c>
      <c r="AG240" s="32"/>
      <c r="AH240" s="32"/>
      <c r="AI240" s="32"/>
      <c r="AJ240" s="32"/>
      <c r="AK240" s="32"/>
      <c r="AL240" s="32"/>
    </row>
    <row r="241" spans="1:38">
      <c r="A241" s="32" t="str">
        <f>_xlfn.TEXTJOIN("",TRUE,_xlfn.XLOOKUP(B241,Input!J:J,Input!G:G,"",0,1),_xlfn.XLOOKUP(B241,Input!J:J,Input!H:H,"",0,1))</f>
        <v/>
      </c>
      <c r="B241" s="32"/>
      <c r="C241" s="51">
        <f>_xlfn.XLOOKUP(B241,Input!J:J,Input!F:F)</f>
        <v>0</v>
      </c>
      <c r="D241" s="32">
        <f>_xlfn.XLOOKUP(C241,Models!H:H,Models!G:G,C241)</f>
        <v>0</v>
      </c>
      <c r="E241" s="32">
        <f>_xlfn.XLOOKUP(B241,Input!J:J,Input!E:E)</f>
        <v>0</v>
      </c>
      <c r="F241" s="32">
        <f>IF(E241="LENOVO",_xlfn.XLOOKUP(B241,Input!J:J,Input!K:K),_xlfn.XLOOKUP(B241,Input!J:J,Input!L:L))</f>
        <v>0</v>
      </c>
      <c r="G241" s="32"/>
      <c r="H241" s="32"/>
      <c r="I241" s="32">
        <f>_xlfn.XLOOKUP(B241,CPU_Formula!A:A,CPU_Formula!I:I)</f>
        <v>0</v>
      </c>
      <c r="J241" s="51" t="e">
        <f>INDEX(Input!$D$2:$AC$500,
       MATCH(B241, Input!$J$2:$J$500, 0),
       MATCH("Total Memory", Input!$D$1:$AC$1, 0))</f>
        <v>#N/A</v>
      </c>
      <c r="K241" s="51" t="e">
        <f>INDEX(Input!$D$2:$AC$500,
       MATCH(B241, Input!$J$2:$J$500, 0),
       MATCH("Memory Type", Input!$D$1:$AC$1, 0))</f>
        <v>#N/A</v>
      </c>
      <c r="L241" s="51" t="str" cm="1">
        <f t="array" ref="L241">IFERROR(_xlfn.FILTERXML("&lt;t&gt;&lt;s&gt;" &amp; SUBSTITUTE(K241," / ","&lt;/s&gt;&lt;s&gt;") &amp; "&lt;/s&gt;&lt;/t&gt;","(//s[contains(.,'DDR')])[1]"),"")</f>
        <v/>
      </c>
      <c r="M241" s="32" t="e">
        <f t="shared" si="11"/>
        <v>#N/A</v>
      </c>
      <c r="N241" s="51" t="e">
        <f>INDEX(Input!$D$2:$AC$500,
       MATCH(B241, Input!$J$2:$J$500, 0),
       MATCH("Disk Interface Type", Input!$D$1:$AC$1, 0))</f>
        <v>#N/A</v>
      </c>
      <c r="O241" s="51" t="str" cm="1">
        <f t="array" ref="O241">IFERROR(_xlfn.TEXTJOIN(", ", TRUE, _xlfn._xlws.FILTER(
    INDEX(Input!$D$2:$AC$500,,MATCH("Disk Capacity",Input!$D$1:$AC$1,0)),
    Input!$J$2:$J$500=B241
)), "")</f>
        <v/>
      </c>
      <c r="P241" s="32" t="e">
        <f t="shared" si="10"/>
        <v>#N/A</v>
      </c>
      <c r="Q241" s="51" t="e">
        <f>_xlfn.LET(_xlpm.Result,INDEX(Input!$D$2:$AC$500,
       MATCH(B241, Input!$J$2:$J$500, 0),
       MATCH("Capacity", Input!$D$1:$AC$1, 0)),IF(_xlpm.Result="","",_xlpm.Result))</f>
        <v>#N/A</v>
      </c>
      <c r="R241" s="51" t="e" cm="1">
        <f t="array" ref="R241">_xlfn.TEXTSPLIT(Q241," / ", ,TRUE,0,)</f>
        <v>#N/A</v>
      </c>
      <c r="S241" s="51"/>
      <c r="T241" s="51" t="str" cm="1">
        <f t="array" ref="T241">IFERROR(_xlfn.IFS(
R241="","",
--R241&lt;55,"Battery Defect",
--R241&lt;=69,"Battery D",
--R241&lt;=80,"Battery C",
--R241&gt;80,""
),"")</f>
        <v/>
      </c>
      <c r="U241" s="51" t="str" cm="1">
        <f t="array" ref="U241">IFERROR(_xlfn.IFS(
S241="","",
--S241&lt;55,"Battery Defect",
--S241&lt;=69,"Battery D",
--S241&lt;=80,"Battery C",
--S241&gt;80,""
),"")</f>
        <v/>
      </c>
      <c r="V241" s="51" t="str" cm="1">
        <f t="array" ref="V241:AC241">IFERROR(IF(_xlfn.XLOOKUP(B241,Input!J:J,Input!N:U)=0,"",
          _xlfn.XLOOKUP(B241,Input!J:J,Input!N:U)),"")</f>
        <v/>
      </c>
      <c r="W241" s="51" t="str">
        <v/>
      </c>
      <c r="X241" s="51" t="str">
        <v/>
      </c>
      <c r="Y241" s="51" t="str">
        <v/>
      </c>
      <c r="Z241" s="51" t="str">
        <v/>
      </c>
      <c r="AA241" s="51" t="str">
        <v/>
      </c>
      <c r="AB241" s="51" t="str">
        <v/>
      </c>
      <c r="AC241" s="51" t="str">
        <v/>
      </c>
      <c r="AD241" s="32" t="str">
        <f t="shared" si="9"/>
        <v/>
      </c>
      <c r="AE241" s="32" t="str">
        <f>_xlfn.XLOOKUP(B:B,Disk_Pivot!G:G,Disk_Pivot!I:I)</f>
        <v>Yes x2</v>
      </c>
      <c r="AF241" s="32" t="str">
        <f>_xlfn.XLOOKUP(B241,Disk_Pivot!G:G,Disk_Pivot!N:N)</f>
        <v>Pass, Fail</v>
      </c>
      <c r="AG241" s="32"/>
      <c r="AH241" s="32"/>
      <c r="AI241" s="32"/>
      <c r="AJ241" s="32"/>
      <c r="AK241" s="32"/>
      <c r="AL241" s="32"/>
    </row>
    <row r="242" spans="1:38">
      <c r="A242" s="32" t="str">
        <f>_xlfn.TEXTJOIN("",TRUE,_xlfn.XLOOKUP(B242,Input!J:J,Input!G:G,"",0,1),_xlfn.XLOOKUP(B242,Input!J:J,Input!H:H,"",0,1))</f>
        <v/>
      </c>
      <c r="B242" s="32"/>
      <c r="C242" s="51">
        <f>_xlfn.XLOOKUP(B242,Input!J:J,Input!F:F)</f>
        <v>0</v>
      </c>
      <c r="D242" s="32">
        <f>_xlfn.XLOOKUP(C242,Models!H:H,Models!G:G,C242)</f>
        <v>0</v>
      </c>
      <c r="E242" s="32">
        <f>_xlfn.XLOOKUP(B242,Input!J:J,Input!E:E)</f>
        <v>0</v>
      </c>
      <c r="F242" s="32">
        <f>IF(E242="LENOVO",_xlfn.XLOOKUP(B242,Input!J:J,Input!K:K),_xlfn.XLOOKUP(B242,Input!J:J,Input!L:L))</f>
        <v>0</v>
      </c>
      <c r="G242" s="32"/>
      <c r="H242" s="32"/>
      <c r="I242" s="32">
        <f>_xlfn.XLOOKUP(B242,CPU_Formula!A:A,CPU_Formula!I:I)</f>
        <v>0</v>
      </c>
      <c r="J242" s="51" t="e">
        <f>INDEX(Input!$D$2:$AC$500,
       MATCH(B242, Input!$J$2:$J$500, 0),
       MATCH("Total Memory", Input!$D$1:$AC$1, 0))</f>
        <v>#N/A</v>
      </c>
      <c r="K242" s="51" t="e">
        <f>INDEX(Input!$D$2:$AC$500,
       MATCH(B242, Input!$J$2:$J$500, 0),
       MATCH("Memory Type", Input!$D$1:$AC$1, 0))</f>
        <v>#N/A</v>
      </c>
      <c r="L242" s="51" t="str" cm="1">
        <f t="array" ref="L242">IFERROR(_xlfn.FILTERXML("&lt;t&gt;&lt;s&gt;" &amp; SUBSTITUTE(K242," / ","&lt;/s&gt;&lt;s&gt;") &amp; "&lt;/s&gt;&lt;/t&gt;","(//s[contains(.,'DDR')])[1]"),"")</f>
        <v/>
      </c>
      <c r="M242" s="32" t="e">
        <f t="shared" si="11"/>
        <v>#N/A</v>
      </c>
      <c r="N242" s="51" t="e">
        <f>INDEX(Input!$D$2:$AC$500,
       MATCH(B242, Input!$J$2:$J$500, 0),
       MATCH("Disk Interface Type", Input!$D$1:$AC$1, 0))</f>
        <v>#N/A</v>
      </c>
      <c r="O242" s="51" t="str" cm="1">
        <f t="array" ref="O242">IFERROR(_xlfn.TEXTJOIN(", ", TRUE, _xlfn._xlws.FILTER(
    INDEX(Input!$D$2:$AC$500,,MATCH("Disk Capacity",Input!$D$1:$AC$1,0)),
    Input!$J$2:$J$500=B242
)), "")</f>
        <v/>
      </c>
      <c r="P242" s="32" t="e">
        <f t="shared" si="10"/>
        <v>#N/A</v>
      </c>
      <c r="Q242" s="51" t="e">
        <f>_xlfn.LET(_xlpm.Result,INDEX(Input!$D$2:$AC$500,
       MATCH(B242, Input!$J$2:$J$500, 0),
       MATCH("Capacity", Input!$D$1:$AC$1, 0)),IF(_xlpm.Result="","",_xlpm.Result))</f>
        <v>#N/A</v>
      </c>
      <c r="R242" s="51" t="e" cm="1">
        <f t="array" ref="R242">_xlfn.TEXTSPLIT(Q242," / ", ,TRUE,0,)</f>
        <v>#N/A</v>
      </c>
      <c r="S242" s="51"/>
      <c r="T242" s="51" t="str" cm="1">
        <f t="array" ref="T242">IFERROR(_xlfn.IFS(
R242="","",
--R242&lt;55,"Battery Defect",
--R242&lt;=69,"Battery D",
--R242&lt;=80,"Battery C",
--R242&gt;80,""
),"")</f>
        <v/>
      </c>
      <c r="U242" s="51" t="str" cm="1">
        <f t="array" ref="U242">IFERROR(_xlfn.IFS(
S242="","",
--S242&lt;55,"Battery Defect",
--S242&lt;=69,"Battery D",
--S242&lt;=80,"Battery C",
--S242&gt;80,""
),"")</f>
        <v/>
      </c>
      <c r="V242" s="51" t="str" cm="1">
        <f t="array" ref="V242:AC242">IFERROR(IF(_xlfn.XLOOKUP(B242,Input!J:J,Input!N:U)=0,"",
          _xlfn.XLOOKUP(B242,Input!J:J,Input!N:U)),"")</f>
        <v/>
      </c>
      <c r="W242" s="51" t="str">
        <v/>
      </c>
      <c r="X242" s="51" t="str">
        <v/>
      </c>
      <c r="Y242" s="51" t="str">
        <v/>
      </c>
      <c r="Z242" s="51" t="str">
        <v/>
      </c>
      <c r="AA242" s="51" t="str">
        <v/>
      </c>
      <c r="AB242" s="51" t="str">
        <v/>
      </c>
      <c r="AC242" s="51" t="str">
        <v/>
      </c>
      <c r="AD242" s="32" t="str">
        <f t="shared" si="9"/>
        <v/>
      </c>
      <c r="AE242" s="32" t="str">
        <f>_xlfn.XLOOKUP(B:B,Disk_Pivot!G:G,Disk_Pivot!I:I)</f>
        <v>Yes x2</v>
      </c>
      <c r="AF242" s="32" t="str">
        <f>_xlfn.XLOOKUP(B242,Disk_Pivot!G:G,Disk_Pivot!N:N)</f>
        <v>Pass, Fail</v>
      </c>
      <c r="AG242" s="32"/>
      <c r="AH242" s="32"/>
      <c r="AI242" s="32"/>
      <c r="AJ242" s="32"/>
      <c r="AK242" s="32"/>
      <c r="AL242" s="32"/>
    </row>
    <row r="243" spans="1:38">
      <c r="A243" s="32" t="str">
        <f>_xlfn.TEXTJOIN("",TRUE,_xlfn.XLOOKUP(B243,Input!J:J,Input!G:G,"",0,1),_xlfn.XLOOKUP(B243,Input!J:J,Input!H:H,"",0,1))</f>
        <v/>
      </c>
      <c r="B243" s="32"/>
      <c r="C243" s="51">
        <f>_xlfn.XLOOKUP(B243,Input!J:J,Input!F:F)</f>
        <v>0</v>
      </c>
      <c r="D243" s="32">
        <f>_xlfn.XLOOKUP(C243,Models!H:H,Models!G:G,C243)</f>
        <v>0</v>
      </c>
      <c r="E243" s="32">
        <f>_xlfn.XLOOKUP(B243,Input!J:J,Input!E:E)</f>
        <v>0</v>
      </c>
      <c r="F243" s="32">
        <f>IF(E243="LENOVO",_xlfn.XLOOKUP(B243,Input!J:J,Input!K:K),_xlfn.XLOOKUP(B243,Input!J:J,Input!L:L))</f>
        <v>0</v>
      </c>
      <c r="G243" s="32"/>
      <c r="H243" s="32"/>
      <c r="I243" s="32">
        <f>_xlfn.XLOOKUP(B243,CPU_Formula!A:A,CPU_Formula!I:I)</f>
        <v>0</v>
      </c>
      <c r="J243" s="51" t="e">
        <f>INDEX(Input!$D$2:$AC$500,
       MATCH(B243, Input!$J$2:$J$500, 0),
       MATCH("Total Memory", Input!$D$1:$AC$1, 0))</f>
        <v>#N/A</v>
      </c>
      <c r="K243" s="51" t="e">
        <f>INDEX(Input!$D$2:$AC$500,
       MATCH(B243, Input!$J$2:$J$500, 0),
       MATCH("Memory Type", Input!$D$1:$AC$1, 0))</f>
        <v>#N/A</v>
      </c>
      <c r="L243" s="51" t="str" cm="1">
        <f t="array" ref="L243">IFERROR(_xlfn.FILTERXML("&lt;t&gt;&lt;s&gt;" &amp; SUBSTITUTE(K243," / ","&lt;/s&gt;&lt;s&gt;") &amp; "&lt;/s&gt;&lt;/t&gt;","(//s[contains(.,'DDR')])[1]"),"")</f>
        <v/>
      </c>
      <c r="M243" s="32" t="e">
        <f t="shared" si="11"/>
        <v>#N/A</v>
      </c>
      <c r="N243" s="51" t="e">
        <f>INDEX(Input!$D$2:$AC$500,
       MATCH(B243, Input!$J$2:$J$500, 0),
       MATCH("Disk Interface Type", Input!$D$1:$AC$1, 0))</f>
        <v>#N/A</v>
      </c>
      <c r="O243" s="51" t="str" cm="1">
        <f t="array" ref="O243">IFERROR(_xlfn.TEXTJOIN(", ", TRUE, _xlfn._xlws.FILTER(
    INDEX(Input!$D$2:$AC$500,,MATCH("Disk Capacity",Input!$D$1:$AC$1,0)),
    Input!$J$2:$J$500=B243
)), "")</f>
        <v/>
      </c>
      <c r="P243" s="32" t="e">
        <f t="shared" si="10"/>
        <v>#N/A</v>
      </c>
      <c r="Q243" s="51" t="e">
        <f>_xlfn.LET(_xlpm.Result,INDEX(Input!$D$2:$AC$500,
       MATCH(B243, Input!$J$2:$J$500, 0),
       MATCH("Capacity", Input!$D$1:$AC$1, 0)),IF(_xlpm.Result="","",_xlpm.Result))</f>
        <v>#N/A</v>
      </c>
      <c r="R243" s="51" t="e" cm="1">
        <f t="array" ref="R243">_xlfn.TEXTSPLIT(Q243," / ", ,TRUE,0,)</f>
        <v>#N/A</v>
      </c>
      <c r="S243" s="51"/>
      <c r="T243" s="51" t="str" cm="1">
        <f t="array" ref="T243">IFERROR(_xlfn.IFS(
R243="","",
--R243&lt;55,"Battery Defect",
--R243&lt;=69,"Battery D",
--R243&lt;=80,"Battery C",
--R243&gt;80,""
),"")</f>
        <v/>
      </c>
      <c r="U243" s="51" t="str" cm="1">
        <f t="array" ref="U243">IFERROR(_xlfn.IFS(
S243="","",
--S243&lt;55,"Battery Defect",
--S243&lt;=69,"Battery D",
--S243&lt;=80,"Battery C",
--S243&gt;80,""
),"")</f>
        <v/>
      </c>
      <c r="V243" s="51" t="str" cm="1">
        <f t="array" ref="V243:AC243">IFERROR(IF(_xlfn.XLOOKUP(B243,Input!J:J,Input!N:U)=0,"",
          _xlfn.XLOOKUP(B243,Input!J:J,Input!N:U)),"")</f>
        <v/>
      </c>
      <c r="W243" s="51" t="str">
        <v/>
      </c>
      <c r="X243" s="51" t="str">
        <v/>
      </c>
      <c r="Y243" s="51" t="str">
        <v/>
      </c>
      <c r="Z243" s="51" t="str">
        <v/>
      </c>
      <c r="AA243" s="51" t="str">
        <v/>
      </c>
      <c r="AB243" s="51" t="str">
        <v/>
      </c>
      <c r="AC243" s="51" t="str">
        <v/>
      </c>
      <c r="AD243" s="32" t="str">
        <f t="shared" si="9"/>
        <v/>
      </c>
      <c r="AE243" s="32" t="str">
        <f>_xlfn.XLOOKUP(B:B,Disk_Pivot!G:G,Disk_Pivot!I:I)</f>
        <v>Yes x2</v>
      </c>
      <c r="AF243" s="32" t="str">
        <f>_xlfn.XLOOKUP(B243,Disk_Pivot!G:G,Disk_Pivot!N:N)</f>
        <v>Pass, Fail</v>
      </c>
      <c r="AG243" s="32"/>
      <c r="AH243" s="32"/>
      <c r="AI243" s="32"/>
      <c r="AJ243" s="32"/>
      <c r="AK243" s="32"/>
      <c r="AL243" s="32"/>
    </row>
    <row r="244" spans="1:38">
      <c r="A244" s="32" t="str">
        <f>_xlfn.TEXTJOIN("",TRUE,_xlfn.XLOOKUP(B244,Input!J:J,Input!G:G,"",0,1),_xlfn.XLOOKUP(B244,Input!J:J,Input!H:H,"",0,1))</f>
        <v/>
      </c>
      <c r="B244" s="32"/>
      <c r="C244" s="51">
        <f>_xlfn.XLOOKUP(B244,Input!J:J,Input!F:F)</f>
        <v>0</v>
      </c>
      <c r="D244" s="32">
        <f>_xlfn.XLOOKUP(C244,Models!H:H,Models!G:G,C244)</f>
        <v>0</v>
      </c>
      <c r="E244" s="32">
        <f>_xlfn.XLOOKUP(B244,Input!J:J,Input!E:E)</f>
        <v>0</v>
      </c>
      <c r="F244" s="32">
        <f>IF(E244="LENOVO",_xlfn.XLOOKUP(B244,Input!J:J,Input!K:K),_xlfn.XLOOKUP(B244,Input!J:J,Input!L:L))</f>
        <v>0</v>
      </c>
      <c r="G244" s="32"/>
      <c r="H244" s="32"/>
      <c r="I244" s="32">
        <f>_xlfn.XLOOKUP(B244,CPU_Formula!A:A,CPU_Formula!I:I)</f>
        <v>0</v>
      </c>
      <c r="J244" s="51" t="e">
        <f>INDEX(Input!$D$2:$AC$500,
       MATCH(B244, Input!$J$2:$J$500, 0),
       MATCH("Total Memory", Input!$D$1:$AC$1, 0))</f>
        <v>#N/A</v>
      </c>
      <c r="K244" s="51" t="e">
        <f>INDEX(Input!$D$2:$AC$500,
       MATCH(B244, Input!$J$2:$J$500, 0),
       MATCH("Memory Type", Input!$D$1:$AC$1, 0))</f>
        <v>#N/A</v>
      </c>
      <c r="L244" s="51" t="str" cm="1">
        <f t="array" ref="L244">IFERROR(_xlfn.FILTERXML("&lt;t&gt;&lt;s&gt;" &amp; SUBSTITUTE(K244," / ","&lt;/s&gt;&lt;s&gt;") &amp; "&lt;/s&gt;&lt;/t&gt;","(//s[contains(.,'DDR')])[1]"),"")</f>
        <v/>
      </c>
      <c r="M244" s="32" t="e">
        <f t="shared" si="11"/>
        <v>#N/A</v>
      </c>
      <c r="N244" s="51" t="e">
        <f>INDEX(Input!$D$2:$AC$500,
       MATCH(B244, Input!$J$2:$J$500, 0),
       MATCH("Disk Interface Type", Input!$D$1:$AC$1, 0))</f>
        <v>#N/A</v>
      </c>
      <c r="O244" s="51" t="str" cm="1">
        <f t="array" ref="O244">IFERROR(_xlfn.TEXTJOIN(", ", TRUE, _xlfn._xlws.FILTER(
    INDEX(Input!$D$2:$AC$500,,MATCH("Disk Capacity",Input!$D$1:$AC$1,0)),
    Input!$J$2:$J$500=B244
)), "")</f>
        <v/>
      </c>
      <c r="P244" s="32" t="e">
        <f t="shared" si="10"/>
        <v>#N/A</v>
      </c>
      <c r="Q244" s="51" t="e">
        <f>_xlfn.LET(_xlpm.Result,INDEX(Input!$D$2:$AC$500,
       MATCH(B244, Input!$J$2:$J$500, 0),
       MATCH("Capacity", Input!$D$1:$AC$1, 0)),IF(_xlpm.Result="","",_xlpm.Result))</f>
        <v>#N/A</v>
      </c>
      <c r="R244" s="51" t="e" cm="1">
        <f t="array" ref="R244">_xlfn.TEXTSPLIT(Q244," / ", ,TRUE,0,)</f>
        <v>#N/A</v>
      </c>
      <c r="S244" s="51"/>
      <c r="T244" s="51" t="str" cm="1">
        <f t="array" ref="T244">IFERROR(_xlfn.IFS(
R244="","",
--R244&lt;55,"Battery Defect",
--R244&lt;=69,"Battery D",
--R244&lt;=80,"Battery C",
--R244&gt;80,""
),"")</f>
        <v/>
      </c>
      <c r="U244" s="51" t="str" cm="1">
        <f t="array" ref="U244">IFERROR(_xlfn.IFS(
S244="","",
--S244&lt;55,"Battery Defect",
--S244&lt;=69,"Battery D",
--S244&lt;=80,"Battery C",
--S244&gt;80,""
),"")</f>
        <v/>
      </c>
      <c r="V244" s="51" t="str" cm="1">
        <f t="array" ref="V244:AC244">IFERROR(IF(_xlfn.XLOOKUP(B244,Input!J:J,Input!N:U)=0,"",
          _xlfn.XLOOKUP(B244,Input!J:J,Input!N:U)),"")</f>
        <v/>
      </c>
      <c r="W244" s="51" t="str">
        <v/>
      </c>
      <c r="X244" s="51" t="str">
        <v/>
      </c>
      <c r="Y244" s="51" t="str">
        <v/>
      </c>
      <c r="Z244" s="51" t="str">
        <v/>
      </c>
      <c r="AA244" s="51" t="str">
        <v/>
      </c>
      <c r="AB244" s="51" t="str">
        <v/>
      </c>
      <c r="AC244" s="51" t="str">
        <v/>
      </c>
      <c r="AD244" s="32" t="str">
        <f t="shared" si="9"/>
        <v/>
      </c>
      <c r="AE244" s="32" t="str">
        <f>_xlfn.XLOOKUP(B:B,Disk_Pivot!G:G,Disk_Pivot!I:I)</f>
        <v>Yes x2</v>
      </c>
      <c r="AF244" s="32" t="str">
        <f>_xlfn.XLOOKUP(B244,Disk_Pivot!G:G,Disk_Pivot!N:N)</f>
        <v>Pass, Fail</v>
      </c>
      <c r="AG244" s="32"/>
      <c r="AH244" s="32"/>
      <c r="AI244" s="32"/>
      <c r="AJ244" s="32"/>
      <c r="AK244" s="32"/>
      <c r="AL244" s="32"/>
    </row>
    <row r="245" spans="1:38">
      <c r="A245" s="32" t="str">
        <f>_xlfn.TEXTJOIN("",TRUE,_xlfn.XLOOKUP(B245,Input!J:J,Input!G:G,"",0,1),_xlfn.XLOOKUP(B245,Input!J:J,Input!H:H,"",0,1))</f>
        <v/>
      </c>
      <c r="B245" s="32"/>
      <c r="C245" s="51">
        <f>_xlfn.XLOOKUP(B245,Input!J:J,Input!F:F)</f>
        <v>0</v>
      </c>
      <c r="D245" s="32">
        <f>_xlfn.XLOOKUP(C245,Models!H:H,Models!G:G,C245)</f>
        <v>0</v>
      </c>
      <c r="E245" s="32">
        <f>_xlfn.XLOOKUP(B245,Input!J:J,Input!E:E)</f>
        <v>0</v>
      </c>
      <c r="F245" s="32">
        <f>IF(E245="LENOVO",_xlfn.XLOOKUP(B245,Input!J:J,Input!K:K),_xlfn.XLOOKUP(B245,Input!J:J,Input!L:L))</f>
        <v>0</v>
      </c>
      <c r="G245" s="32"/>
      <c r="H245" s="32"/>
      <c r="I245" s="32">
        <f>_xlfn.XLOOKUP(B245,CPU_Formula!A:A,CPU_Formula!I:I)</f>
        <v>0</v>
      </c>
      <c r="J245" s="51" t="e">
        <f>INDEX(Input!$D$2:$AC$500,
       MATCH(B245, Input!$J$2:$J$500, 0),
       MATCH("Total Memory", Input!$D$1:$AC$1, 0))</f>
        <v>#N/A</v>
      </c>
      <c r="K245" s="51" t="e">
        <f>INDEX(Input!$D$2:$AC$500,
       MATCH(B245, Input!$J$2:$J$500, 0),
       MATCH("Memory Type", Input!$D$1:$AC$1, 0))</f>
        <v>#N/A</v>
      </c>
      <c r="L245" s="51" t="str" cm="1">
        <f t="array" ref="L245">IFERROR(_xlfn.FILTERXML("&lt;t&gt;&lt;s&gt;" &amp; SUBSTITUTE(K245," / ","&lt;/s&gt;&lt;s&gt;") &amp; "&lt;/s&gt;&lt;/t&gt;","(//s[contains(.,'DDR')])[1]"),"")</f>
        <v/>
      </c>
      <c r="M245" s="32" t="e">
        <f t="shared" si="11"/>
        <v>#N/A</v>
      </c>
      <c r="N245" s="51" t="e">
        <f>INDEX(Input!$D$2:$AC$500,
       MATCH(B245, Input!$J$2:$J$500, 0),
       MATCH("Disk Interface Type", Input!$D$1:$AC$1, 0))</f>
        <v>#N/A</v>
      </c>
      <c r="O245" s="51" t="str" cm="1">
        <f t="array" ref="O245">IFERROR(_xlfn.TEXTJOIN(", ", TRUE, _xlfn._xlws.FILTER(
    INDEX(Input!$D$2:$AC$500,,MATCH("Disk Capacity",Input!$D$1:$AC$1,0)),
    Input!$J$2:$J$500=B245
)), "")</f>
        <v/>
      </c>
      <c r="P245" s="32" t="e">
        <f t="shared" si="10"/>
        <v>#N/A</v>
      </c>
      <c r="Q245" s="51" t="e">
        <f>_xlfn.LET(_xlpm.Result,INDEX(Input!$D$2:$AC$500,
       MATCH(B245, Input!$J$2:$J$500, 0),
       MATCH("Capacity", Input!$D$1:$AC$1, 0)),IF(_xlpm.Result="","",_xlpm.Result))</f>
        <v>#N/A</v>
      </c>
      <c r="R245" s="51" t="e" cm="1">
        <f t="array" ref="R245">_xlfn.TEXTSPLIT(Q245," / ", ,TRUE,0,)</f>
        <v>#N/A</v>
      </c>
      <c r="S245" s="51"/>
      <c r="T245" s="51" t="str" cm="1">
        <f t="array" ref="T245">IFERROR(_xlfn.IFS(
R245="","",
--R245&lt;55,"Battery Defect",
--R245&lt;=69,"Battery D",
--R245&lt;=80,"Battery C",
--R245&gt;80,""
),"")</f>
        <v/>
      </c>
      <c r="U245" s="51" t="str" cm="1">
        <f t="array" ref="U245">IFERROR(_xlfn.IFS(
S245="","",
--S245&lt;55,"Battery Defect",
--S245&lt;=69,"Battery D",
--S245&lt;=80,"Battery C",
--S245&gt;80,""
),"")</f>
        <v/>
      </c>
      <c r="V245" s="51" t="str" cm="1">
        <f t="array" ref="V245:AC245">IFERROR(IF(_xlfn.XLOOKUP(B245,Input!J:J,Input!N:U)=0,"",
          _xlfn.XLOOKUP(B245,Input!J:J,Input!N:U)),"")</f>
        <v/>
      </c>
      <c r="W245" s="51" t="str">
        <v/>
      </c>
      <c r="X245" s="51" t="str">
        <v/>
      </c>
      <c r="Y245" s="51" t="str">
        <v/>
      </c>
      <c r="Z245" s="51" t="str">
        <v/>
      </c>
      <c r="AA245" s="51" t="str">
        <v/>
      </c>
      <c r="AB245" s="51" t="str">
        <v/>
      </c>
      <c r="AC245" s="51" t="str">
        <v/>
      </c>
      <c r="AD245" s="32" t="str">
        <f t="shared" si="9"/>
        <v/>
      </c>
      <c r="AE245" s="32" t="str">
        <f>_xlfn.XLOOKUP(B:B,Disk_Pivot!G:G,Disk_Pivot!I:I)</f>
        <v>Yes x2</v>
      </c>
      <c r="AF245" s="32" t="str">
        <f>_xlfn.XLOOKUP(B245,Disk_Pivot!G:G,Disk_Pivot!N:N)</f>
        <v>Pass, Fail</v>
      </c>
      <c r="AG245" s="32"/>
      <c r="AH245" s="32"/>
      <c r="AI245" s="32"/>
      <c r="AJ245" s="32"/>
      <c r="AK245" s="32"/>
      <c r="AL245" s="32"/>
    </row>
    <row r="246" spans="1:38">
      <c r="A246" s="32" t="str">
        <f>_xlfn.TEXTJOIN("",TRUE,_xlfn.XLOOKUP(B246,Input!J:J,Input!G:G,"",0,1),_xlfn.XLOOKUP(B246,Input!J:J,Input!H:H,"",0,1))</f>
        <v/>
      </c>
      <c r="B246" s="32"/>
      <c r="C246" s="51">
        <f>_xlfn.XLOOKUP(B246,Input!J:J,Input!F:F)</f>
        <v>0</v>
      </c>
      <c r="D246" s="32">
        <f>_xlfn.XLOOKUP(C246,Models!H:H,Models!G:G,C246)</f>
        <v>0</v>
      </c>
      <c r="E246" s="32">
        <f>_xlfn.XLOOKUP(B246,Input!J:J,Input!E:E)</f>
        <v>0</v>
      </c>
      <c r="F246" s="32">
        <f>IF(E246="LENOVO",_xlfn.XLOOKUP(B246,Input!J:J,Input!K:K),_xlfn.XLOOKUP(B246,Input!J:J,Input!L:L))</f>
        <v>0</v>
      </c>
      <c r="G246" s="32"/>
      <c r="H246" s="32"/>
      <c r="I246" s="32">
        <f>_xlfn.XLOOKUP(B246,CPU_Formula!A:A,CPU_Formula!I:I)</f>
        <v>0</v>
      </c>
      <c r="J246" s="51" t="e">
        <f>INDEX(Input!$D$2:$AC$500,
       MATCH(B246, Input!$J$2:$J$500, 0),
       MATCH("Total Memory", Input!$D$1:$AC$1, 0))</f>
        <v>#N/A</v>
      </c>
      <c r="K246" s="51" t="e">
        <f>INDEX(Input!$D$2:$AC$500,
       MATCH(B246, Input!$J$2:$J$500, 0),
       MATCH("Memory Type", Input!$D$1:$AC$1, 0))</f>
        <v>#N/A</v>
      </c>
      <c r="L246" s="51" t="str" cm="1">
        <f t="array" ref="L246">IFERROR(_xlfn.FILTERXML("&lt;t&gt;&lt;s&gt;" &amp; SUBSTITUTE(K246," / ","&lt;/s&gt;&lt;s&gt;") &amp; "&lt;/s&gt;&lt;/t&gt;","(//s[contains(.,'DDR')])[1]"),"")</f>
        <v/>
      </c>
      <c r="M246" s="32" t="e">
        <f t="shared" si="11"/>
        <v>#N/A</v>
      </c>
      <c r="N246" s="51" t="e">
        <f>INDEX(Input!$D$2:$AC$500,
       MATCH(B246, Input!$J$2:$J$500, 0),
       MATCH("Disk Interface Type", Input!$D$1:$AC$1, 0))</f>
        <v>#N/A</v>
      </c>
      <c r="O246" s="51" t="str" cm="1">
        <f t="array" ref="O246">IFERROR(_xlfn.TEXTJOIN(", ", TRUE, _xlfn._xlws.FILTER(
    INDEX(Input!$D$2:$AC$500,,MATCH("Disk Capacity",Input!$D$1:$AC$1,0)),
    Input!$J$2:$J$500=B246
)), "")</f>
        <v/>
      </c>
      <c r="P246" s="32" t="e">
        <f t="shared" si="10"/>
        <v>#N/A</v>
      </c>
      <c r="Q246" s="51" t="e">
        <f>_xlfn.LET(_xlpm.Result,INDEX(Input!$D$2:$AC$500,
       MATCH(B246, Input!$J$2:$J$500, 0),
       MATCH("Capacity", Input!$D$1:$AC$1, 0)),IF(_xlpm.Result="","",_xlpm.Result))</f>
        <v>#N/A</v>
      </c>
      <c r="R246" s="51" t="e" cm="1">
        <f t="array" ref="R246">_xlfn.TEXTSPLIT(Q246," / ", ,TRUE,0,)</f>
        <v>#N/A</v>
      </c>
      <c r="S246" s="51"/>
      <c r="T246" s="51" t="str" cm="1">
        <f t="array" ref="T246">IFERROR(_xlfn.IFS(
R246="","",
--R246&lt;55,"Battery Defect",
--R246&lt;=69,"Battery D",
--R246&lt;=80,"Battery C",
--R246&gt;80,""
),"")</f>
        <v/>
      </c>
      <c r="U246" s="51" t="str" cm="1">
        <f t="array" ref="U246">IFERROR(_xlfn.IFS(
S246="","",
--S246&lt;55,"Battery Defect",
--S246&lt;=69,"Battery D",
--S246&lt;=80,"Battery C",
--S246&gt;80,""
),"")</f>
        <v/>
      </c>
      <c r="V246" s="51" t="str" cm="1">
        <f t="array" ref="V246:AC246">IFERROR(IF(_xlfn.XLOOKUP(B246,Input!J:J,Input!N:U)=0,"",
          _xlfn.XLOOKUP(B246,Input!J:J,Input!N:U)),"")</f>
        <v/>
      </c>
      <c r="W246" s="51" t="str">
        <v/>
      </c>
      <c r="X246" s="51" t="str">
        <v/>
      </c>
      <c r="Y246" s="51" t="str">
        <v/>
      </c>
      <c r="Z246" s="51" t="str">
        <v/>
      </c>
      <c r="AA246" s="51" t="str">
        <v/>
      </c>
      <c r="AB246" s="51" t="str">
        <v/>
      </c>
      <c r="AC246" s="51" t="str">
        <v/>
      </c>
      <c r="AD246" s="32" t="str">
        <f t="shared" si="9"/>
        <v/>
      </c>
      <c r="AE246" s="32" t="str">
        <f>_xlfn.XLOOKUP(B:B,Disk_Pivot!G:G,Disk_Pivot!I:I)</f>
        <v>Yes x2</v>
      </c>
      <c r="AF246" s="32" t="str">
        <f>_xlfn.XLOOKUP(B246,Disk_Pivot!G:G,Disk_Pivot!N:N)</f>
        <v>Pass, Fail</v>
      </c>
      <c r="AG246" s="32"/>
      <c r="AH246" s="32"/>
      <c r="AI246" s="32"/>
      <c r="AJ246" s="32"/>
      <c r="AK246" s="32"/>
      <c r="AL246" s="32"/>
    </row>
    <row r="247" spans="1:38">
      <c r="A247" s="32" t="str">
        <f>_xlfn.TEXTJOIN("",TRUE,_xlfn.XLOOKUP(B247,Input!J:J,Input!G:G,"",0,1),_xlfn.XLOOKUP(B247,Input!J:J,Input!H:H,"",0,1))</f>
        <v/>
      </c>
      <c r="B247" s="32"/>
      <c r="C247" s="51">
        <f>_xlfn.XLOOKUP(B247,Input!J:J,Input!F:F)</f>
        <v>0</v>
      </c>
      <c r="D247" s="32">
        <f>_xlfn.XLOOKUP(C247,Models!H:H,Models!G:G,C247)</f>
        <v>0</v>
      </c>
      <c r="E247" s="32">
        <f>_xlfn.XLOOKUP(B247,Input!J:J,Input!E:E)</f>
        <v>0</v>
      </c>
      <c r="F247" s="32">
        <f>IF(E247="LENOVO",_xlfn.XLOOKUP(B247,Input!J:J,Input!K:K),_xlfn.XLOOKUP(B247,Input!J:J,Input!L:L))</f>
        <v>0</v>
      </c>
      <c r="G247" s="32"/>
      <c r="H247" s="32"/>
      <c r="I247" s="32">
        <f>_xlfn.XLOOKUP(B247,CPU_Formula!A:A,CPU_Formula!I:I)</f>
        <v>0</v>
      </c>
      <c r="J247" s="51" t="e">
        <f>INDEX(Input!$D$2:$AC$500,
       MATCH(B247, Input!$J$2:$J$500, 0),
       MATCH("Total Memory", Input!$D$1:$AC$1, 0))</f>
        <v>#N/A</v>
      </c>
      <c r="K247" s="51" t="e">
        <f>INDEX(Input!$D$2:$AC$500,
       MATCH(B247, Input!$J$2:$J$500, 0),
       MATCH("Memory Type", Input!$D$1:$AC$1, 0))</f>
        <v>#N/A</v>
      </c>
      <c r="L247" s="51" t="str" cm="1">
        <f t="array" ref="L247">IFERROR(_xlfn.FILTERXML("&lt;t&gt;&lt;s&gt;" &amp; SUBSTITUTE(K247," / ","&lt;/s&gt;&lt;s&gt;") &amp; "&lt;/s&gt;&lt;/t&gt;","(//s[contains(.,'DDR')])[1]"),"")</f>
        <v/>
      </c>
      <c r="M247" s="32" t="e">
        <f t="shared" si="11"/>
        <v>#N/A</v>
      </c>
      <c r="N247" s="51" t="e">
        <f>INDEX(Input!$D$2:$AC$500,
       MATCH(B247, Input!$J$2:$J$500, 0),
       MATCH("Disk Interface Type", Input!$D$1:$AC$1, 0))</f>
        <v>#N/A</v>
      </c>
      <c r="O247" s="51" t="str" cm="1">
        <f t="array" ref="O247">IFERROR(_xlfn.TEXTJOIN(", ", TRUE, _xlfn._xlws.FILTER(
    INDEX(Input!$D$2:$AC$500,,MATCH("Disk Capacity",Input!$D$1:$AC$1,0)),
    Input!$J$2:$J$500=B247
)), "")</f>
        <v/>
      </c>
      <c r="P247" s="32" t="e">
        <f t="shared" si="10"/>
        <v>#N/A</v>
      </c>
      <c r="Q247" s="51" t="e">
        <f>_xlfn.LET(_xlpm.Result,INDEX(Input!$D$2:$AC$500,
       MATCH(B247, Input!$J$2:$J$500, 0),
       MATCH("Capacity", Input!$D$1:$AC$1, 0)),IF(_xlpm.Result="","",_xlpm.Result))</f>
        <v>#N/A</v>
      </c>
      <c r="R247" s="51" t="e" cm="1">
        <f t="array" ref="R247">_xlfn.TEXTSPLIT(Q247," / ", ,TRUE,0,)</f>
        <v>#N/A</v>
      </c>
      <c r="S247" s="51"/>
      <c r="T247" s="51" t="str" cm="1">
        <f t="array" ref="T247">IFERROR(_xlfn.IFS(
R247="","",
--R247&lt;55,"Battery Defect",
--R247&lt;=69,"Battery D",
--R247&lt;=80,"Battery C",
--R247&gt;80,""
),"")</f>
        <v/>
      </c>
      <c r="U247" s="51" t="str" cm="1">
        <f t="array" ref="U247">IFERROR(_xlfn.IFS(
S247="","",
--S247&lt;55,"Battery Defect",
--S247&lt;=69,"Battery D",
--S247&lt;=80,"Battery C",
--S247&gt;80,""
),"")</f>
        <v/>
      </c>
      <c r="V247" s="51" t="str" cm="1">
        <f t="array" ref="V247:AC247">IFERROR(IF(_xlfn.XLOOKUP(B247,Input!J:J,Input!N:U)=0,"",
          _xlfn.XLOOKUP(B247,Input!J:J,Input!N:U)),"")</f>
        <v/>
      </c>
      <c r="W247" s="51" t="str">
        <v/>
      </c>
      <c r="X247" s="51" t="str">
        <v/>
      </c>
      <c r="Y247" s="51" t="str">
        <v/>
      </c>
      <c r="Z247" s="51" t="str">
        <v/>
      </c>
      <c r="AA247" s="51" t="str">
        <v/>
      </c>
      <c r="AB247" s="51" t="str">
        <v/>
      </c>
      <c r="AC247" s="51" t="str">
        <v/>
      </c>
      <c r="AD247" s="32" t="str">
        <f t="shared" si="9"/>
        <v/>
      </c>
      <c r="AE247" s="32" t="str">
        <f>_xlfn.XLOOKUP(B:B,Disk_Pivot!G:G,Disk_Pivot!I:I)</f>
        <v>Yes x2</v>
      </c>
      <c r="AF247" s="32" t="str">
        <f>_xlfn.XLOOKUP(B247,Disk_Pivot!G:G,Disk_Pivot!N:N)</f>
        <v>Pass, Fail</v>
      </c>
      <c r="AG247" s="32"/>
      <c r="AH247" s="32"/>
      <c r="AI247" s="32"/>
      <c r="AJ247" s="32"/>
      <c r="AK247" s="32"/>
      <c r="AL247" s="32"/>
    </row>
    <row r="248" spans="1:38">
      <c r="A248" s="32" t="str">
        <f>_xlfn.TEXTJOIN("",TRUE,_xlfn.XLOOKUP(B248,Input!J:J,Input!G:G,"",0,1),_xlfn.XLOOKUP(B248,Input!J:J,Input!H:H,"",0,1))</f>
        <v/>
      </c>
      <c r="B248" s="32"/>
      <c r="C248" s="51">
        <f>_xlfn.XLOOKUP(B248,Input!J:J,Input!F:F)</f>
        <v>0</v>
      </c>
      <c r="D248" s="32">
        <f>_xlfn.XLOOKUP(C248,Models!H:H,Models!G:G,C248)</f>
        <v>0</v>
      </c>
      <c r="E248" s="32">
        <f>_xlfn.XLOOKUP(B248,Input!J:J,Input!E:E)</f>
        <v>0</v>
      </c>
      <c r="F248" s="32">
        <f>IF(E248="LENOVO",_xlfn.XLOOKUP(B248,Input!J:J,Input!K:K),_xlfn.XLOOKUP(B248,Input!J:J,Input!L:L))</f>
        <v>0</v>
      </c>
      <c r="G248" s="32"/>
      <c r="H248" s="32"/>
      <c r="I248" s="32">
        <f>_xlfn.XLOOKUP(B248,CPU_Formula!A:A,CPU_Formula!I:I)</f>
        <v>0</v>
      </c>
      <c r="J248" s="51" t="e">
        <f>INDEX(Input!$D$2:$AC$500,
       MATCH(B248, Input!$J$2:$J$500, 0),
       MATCH("Total Memory", Input!$D$1:$AC$1, 0))</f>
        <v>#N/A</v>
      </c>
      <c r="K248" s="51" t="e">
        <f>INDEX(Input!$D$2:$AC$500,
       MATCH(B248, Input!$J$2:$J$500, 0),
       MATCH("Memory Type", Input!$D$1:$AC$1, 0))</f>
        <v>#N/A</v>
      </c>
      <c r="L248" s="51" t="str" cm="1">
        <f t="array" ref="L248">IFERROR(_xlfn.FILTERXML("&lt;t&gt;&lt;s&gt;" &amp; SUBSTITUTE(K248," / ","&lt;/s&gt;&lt;s&gt;") &amp; "&lt;/s&gt;&lt;/t&gt;","(//s[contains(.,'DDR')])[1]"),"")</f>
        <v/>
      </c>
      <c r="M248" s="32" t="e">
        <f t="shared" si="11"/>
        <v>#N/A</v>
      </c>
      <c r="N248" s="51" t="e">
        <f>INDEX(Input!$D$2:$AC$500,
       MATCH(B248, Input!$J$2:$J$500, 0),
       MATCH("Disk Interface Type", Input!$D$1:$AC$1, 0))</f>
        <v>#N/A</v>
      </c>
      <c r="O248" s="51" t="str" cm="1">
        <f t="array" ref="O248">IFERROR(_xlfn.TEXTJOIN(", ", TRUE, _xlfn._xlws.FILTER(
    INDEX(Input!$D$2:$AC$500,,MATCH("Disk Capacity",Input!$D$1:$AC$1,0)),
    Input!$J$2:$J$500=B248
)), "")</f>
        <v/>
      </c>
      <c r="P248" s="32" t="e">
        <f t="shared" si="10"/>
        <v>#N/A</v>
      </c>
      <c r="Q248" s="51" t="e">
        <f>_xlfn.LET(_xlpm.Result,INDEX(Input!$D$2:$AC$500,
       MATCH(B248, Input!$J$2:$J$500, 0),
       MATCH("Capacity", Input!$D$1:$AC$1, 0)),IF(_xlpm.Result="","",_xlpm.Result))</f>
        <v>#N/A</v>
      </c>
      <c r="R248" s="51" t="e" cm="1">
        <f t="array" ref="R248">_xlfn.TEXTSPLIT(Q248," / ", ,TRUE,0,)</f>
        <v>#N/A</v>
      </c>
      <c r="S248" s="51"/>
      <c r="T248" s="51" t="str" cm="1">
        <f t="array" ref="T248">IFERROR(_xlfn.IFS(
R248="","",
--R248&lt;55,"Battery Defect",
--R248&lt;=69,"Battery D",
--R248&lt;=80,"Battery C",
--R248&gt;80,""
),"")</f>
        <v/>
      </c>
      <c r="U248" s="51" t="str" cm="1">
        <f t="array" ref="U248">IFERROR(_xlfn.IFS(
S248="","",
--S248&lt;55,"Battery Defect",
--S248&lt;=69,"Battery D",
--S248&lt;=80,"Battery C",
--S248&gt;80,""
),"")</f>
        <v/>
      </c>
      <c r="V248" s="51" t="str" cm="1">
        <f t="array" ref="V248:AC248">IFERROR(IF(_xlfn.XLOOKUP(B248,Input!J:J,Input!N:U)=0,"",
          _xlfn.XLOOKUP(B248,Input!J:J,Input!N:U)),"")</f>
        <v/>
      </c>
      <c r="W248" s="51" t="str">
        <v/>
      </c>
      <c r="X248" s="51" t="str">
        <v/>
      </c>
      <c r="Y248" s="51" t="str">
        <v/>
      </c>
      <c r="Z248" s="51" t="str">
        <v/>
      </c>
      <c r="AA248" s="51" t="str">
        <v/>
      </c>
      <c r="AB248" s="51" t="str">
        <v/>
      </c>
      <c r="AC248" s="51" t="str">
        <v/>
      </c>
      <c r="AD248" s="32" t="str">
        <f t="shared" si="9"/>
        <v/>
      </c>
      <c r="AE248" s="32" t="str">
        <f>_xlfn.XLOOKUP(B:B,Disk_Pivot!G:G,Disk_Pivot!I:I)</f>
        <v>Yes x2</v>
      </c>
      <c r="AF248" s="32" t="str">
        <f>_xlfn.XLOOKUP(B248,Disk_Pivot!G:G,Disk_Pivot!N:N)</f>
        <v>Pass, Fail</v>
      </c>
      <c r="AG248" s="32"/>
      <c r="AH248" s="32"/>
      <c r="AI248" s="32"/>
      <c r="AJ248" s="32"/>
      <c r="AK248" s="32"/>
      <c r="AL248" s="32"/>
    </row>
    <row r="249" spans="1:38">
      <c r="A249" s="32" t="str">
        <f>_xlfn.TEXTJOIN("",TRUE,_xlfn.XLOOKUP(B249,Input!J:J,Input!G:G,"",0,1),_xlfn.XLOOKUP(B249,Input!J:J,Input!H:H,"",0,1))</f>
        <v/>
      </c>
      <c r="B249" s="32"/>
      <c r="C249" s="51">
        <f>_xlfn.XLOOKUP(B249,Input!J:J,Input!F:F)</f>
        <v>0</v>
      </c>
      <c r="D249" s="32">
        <f>_xlfn.XLOOKUP(C249,Models!H:H,Models!G:G,C249)</f>
        <v>0</v>
      </c>
      <c r="E249" s="32">
        <f>_xlfn.XLOOKUP(B249,Input!J:J,Input!E:E)</f>
        <v>0</v>
      </c>
      <c r="F249" s="32">
        <f>IF(E249="LENOVO",_xlfn.XLOOKUP(B249,Input!J:J,Input!K:K),_xlfn.XLOOKUP(B249,Input!J:J,Input!L:L))</f>
        <v>0</v>
      </c>
      <c r="G249" s="32"/>
      <c r="H249" s="32"/>
      <c r="I249" s="32">
        <f>_xlfn.XLOOKUP(B249,CPU_Formula!A:A,CPU_Formula!I:I)</f>
        <v>0</v>
      </c>
      <c r="J249" s="51" t="e">
        <f>INDEX(Input!$D$2:$AC$500,
       MATCH(B249, Input!$J$2:$J$500, 0),
       MATCH("Total Memory", Input!$D$1:$AC$1, 0))</f>
        <v>#N/A</v>
      </c>
      <c r="K249" s="51" t="e">
        <f>INDEX(Input!$D$2:$AC$500,
       MATCH(B249, Input!$J$2:$J$500, 0),
       MATCH("Memory Type", Input!$D$1:$AC$1, 0))</f>
        <v>#N/A</v>
      </c>
      <c r="L249" s="51" t="str" cm="1">
        <f t="array" ref="L249">IFERROR(_xlfn.FILTERXML("&lt;t&gt;&lt;s&gt;" &amp; SUBSTITUTE(K249," / ","&lt;/s&gt;&lt;s&gt;") &amp; "&lt;/s&gt;&lt;/t&gt;","(//s[contains(.,'DDR')])[1]"),"")</f>
        <v/>
      </c>
      <c r="M249" s="32" t="e">
        <f t="shared" si="11"/>
        <v>#N/A</v>
      </c>
      <c r="N249" s="51" t="e">
        <f>INDEX(Input!$D$2:$AC$500,
       MATCH(B249, Input!$J$2:$J$500, 0),
       MATCH("Disk Interface Type", Input!$D$1:$AC$1, 0))</f>
        <v>#N/A</v>
      </c>
      <c r="O249" s="51" t="str" cm="1">
        <f t="array" ref="O249">IFERROR(_xlfn.TEXTJOIN(", ", TRUE, _xlfn._xlws.FILTER(
    INDEX(Input!$D$2:$AC$500,,MATCH("Disk Capacity",Input!$D$1:$AC$1,0)),
    Input!$J$2:$J$500=B249
)), "")</f>
        <v/>
      </c>
      <c r="P249" s="32" t="e">
        <f t="shared" si="10"/>
        <v>#N/A</v>
      </c>
      <c r="Q249" s="51" t="e">
        <f>_xlfn.LET(_xlpm.Result,INDEX(Input!$D$2:$AC$500,
       MATCH(B249, Input!$J$2:$J$500, 0),
       MATCH("Capacity", Input!$D$1:$AC$1, 0)),IF(_xlpm.Result="","",_xlpm.Result))</f>
        <v>#N/A</v>
      </c>
      <c r="R249" s="51" t="e" cm="1">
        <f t="array" ref="R249">_xlfn.TEXTSPLIT(Q249," / ", ,TRUE,0,)</f>
        <v>#N/A</v>
      </c>
      <c r="S249" s="51"/>
      <c r="T249" s="51" t="str" cm="1">
        <f t="array" ref="T249">IFERROR(_xlfn.IFS(
R249="","",
--R249&lt;55,"Battery Defect",
--R249&lt;=69,"Battery D",
--R249&lt;=80,"Battery C",
--R249&gt;80,""
),"")</f>
        <v/>
      </c>
      <c r="U249" s="51" t="str" cm="1">
        <f t="array" ref="U249">IFERROR(_xlfn.IFS(
S249="","",
--S249&lt;55,"Battery Defect",
--S249&lt;=69,"Battery D",
--S249&lt;=80,"Battery C",
--S249&gt;80,""
),"")</f>
        <v/>
      </c>
      <c r="V249" s="51" t="str" cm="1">
        <f t="array" ref="V249:AC249">IFERROR(IF(_xlfn.XLOOKUP(B249,Input!J:J,Input!N:U)=0,"",
          _xlfn.XLOOKUP(B249,Input!J:J,Input!N:U)),"")</f>
        <v/>
      </c>
      <c r="W249" s="51" t="str">
        <v/>
      </c>
      <c r="X249" s="51" t="str">
        <v/>
      </c>
      <c r="Y249" s="51" t="str">
        <v/>
      </c>
      <c r="Z249" s="51" t="str">
        <v/>
      </c>
      <c r="AA249" s="51" t="str">
        <v/>
      </c>
      <c r="AB249" s="51" t="str">
        <v/>
      </c>
      <c r="AC249" s="51" t="str">
        <v/>
      </c>
      <c r="AD249" s="32" t="str">
        <f t="shared" si="9"/>
        <v/>
      </c>
      <c r="AE249" s="32" t="str">
        <f>_xlfn.XLOOKUP(B:B,Disk_Pivot!G:G,Disk_Pivot!I:I)</f>
        <v>Yes x2</v>
      </c>
      <c r="AF249" s="32" t="str">
        <f>_xlfn.XLOOKUP(B249,Disk_Pivot!G:G,Disk_Pivot!N:N)</f>
        <v>Pass, Fail</v>
      </c>
      <c r="AG249" s="32"/>
      <c r="AH249" s="32"/>
      <c r="AI249" s="32"/>
      <c r="AJ249" s="32"/>
      <c r="AK249" s="32"/>
      <c r="AL249" s="32"/>
    </row>
    <row r="250" spans="1:38">
      <c r="A250" s="32" t="str">
        <f>_xlfn.TEXTJOIN("",TRUE,_xlfn.XLOOKUP(B250,Input!J:J,Input!G:G,"",0,1),_xlfn.XLOOKUP(B250,Input!J:J,Input!H:H,"",0,1))</f>
        <v/>
      </c>
      <c r="B250" s="32"/>
      <c r="C250" s="51">
        <f>_xlfn.XLOOKUP(B250,Input!J:J,Input!F:F)</f>
        <v>0</v>
      </c>
      <c r="D250" s="32">
        <f>_xlfn.XLOOKUP(C250,Models!H:H,Models!G:G,C250)</f>
        <v>0</v>
      </c>
      <c r="E250" s="32">
        <f>_xlfn.XLOOKUP(B250,Input!J:J,Input!E:E)</f>
        <v>0</v>
      </c>
      <c r="F250" s="32">
        <f>IF(E250="LENOVO",_xlfn.XLOOKUP(B250,Input!J:J,Input!K:K),_xlfn.XLOOKUP(B250,Input!J:J,Input!L:L))</f>
        <v>0</v>
      </c>
      <c r="G250" s="32"/>
      <c r="H250" s="32"/>
      <c r="I250" s="32">
        <f>_xlfn.XLOOKUP(B250,CPU_Formula!A:A,CPU_Formula!I:I)</f>
        <v>0</v>
      </c>
      <c r="J250" s="51" t="e">
        <f>INDEX(Input!$D$2:$AC$500,
       MATCH(B250, Input!$J$2:$J$500, 0),
       MATCH("Total Memory", Input!$D$1:$AC$1, 0))</f>
        <v>#N/A</v>
      </c>
      <c r="K250" s="51" t="e">
        <f>INDEX(Input!$D$2:$AC$500,
       MATCH(B250, Input!$J$2:$J$500, 0),
       MATCH("Memory Type", Input!$D$1:$AC$1, 0))</f>
        <v>#N/A</v>
      </c>
      <c r="L250" s="51" t="str" cm="1">
        <f t="array" ref="L250">IFERROR(_xlfn.FILTERXML("&lt;t&gt;&lt;s&gt;" &amp; SUBSTITUTE(K250," / ","&lt;/s&gt;&lt;s&gt;") &amp; "&lt;/s&gt;&lt;/t&gt;","(//s[contains(.,'DDR')])[1]"),"")</f>
        <v/>
      </c>
      <c r="M250" s="32" t="e">
        <f t="shared" si="11"/>
        <v>#N/A</v>
      </c>
      <c r="N250" s="51" t="e">
        <f>INDEX(Input!$D$2:$AC$500,
       MATCH(B250, Input!$J$2:$J$500, 0),
       MATCH("Disk Interface Type", Input!$D$1:$AC$1, 0))</f>
        <v>#N/A</v>
      </c>
      <c r="O250" s="51" t="str" cm="1">
        <f t="array" ref="O250">IFERROR(_xlfn.TEXTJOIN(", ", TRUE, _xlfn._xlws.FILTER(
    INDEX(Input!$D$2:$AC$500,,MATCH("Disk Capacity",Input!$D$1:$AC$1,0)),
    Input!$J$2:$J$500=B250
)), "")</f>
        <v/>
      </c>
      <c r="P250" s="32" t="e">
        <f t="shared" si="10"/>
        <v>#N/A</v>
      </c>
      <c r="Q250" s="51" t="e">
        <f>_xlfn.LET(_xlpm.Result,INDEX(Input!$D$2:$AC$500,
       MATCH(B250, Input!$J$2:$J$500, 0),
       MATCH("Capacity", Input!$D$1:$AC$1, 0)),IF(_xlpm.Result="","",_xlpm.Result))</f>
        <v>#N/A</v>
      </c>
      <c r="R250" s="51" t="e" cm="1">
        <f t="array" ref="R250">_xlfn.TEXTSPLIT(Q250," / ", ,TRUE,0,)</f>
        <v>#N/A</v>
      </c>
      <c r="S250" s="51"/>
      <c r="T250" s="51" t="str" cm="1">
        <f t="array" ref="T250">IFERROR(_xlfn.IFS(
R250="","",
--R250&lt;55,"Battery Defect",
--R250&lt;=69,"Battery D",
--R250&lt;=80,"Battery C",
--R250&gt;80,""
),"")</f>
        <v/>
      </c>
      <c r="U250" s="51" t="str" cm="1">
        <f t="array" ref="U250">IFERROR(_xlfn.IFS(
S250="","",
--S250&lt;55,"Battery Defect",
--S250&lt;=69,"Battery D",
--S250&lt;=80,"Battery C",
--S250&gt;80,""
),"")</f>
        <v/>
      </c>
      <c r="V250" s="51" t="str" cm="1">
        <f t="array" ref="V250:AC250">IFERROR(IF(_xlfn.XLOOKUP(B250,Input!J:J,Input!N:U)=0,"",
          _xlfn.XLOOKUP(B250,Input!J:J,Input!N:U)),"")</f>
        <v/>
      </c>
      <c r="W250" s="51" t="str">
        <v/>
      </c>
      <c r="X250" s="51" t="str">
        <v/>
      </c>
      <c r="Y250" s="51" t="str">
        <v/>
      </c>
      <c r="Z250" s="51" t="str">
        <v/>
      </c>
      <c r="AA250" s="51" t="str">
        <v/>
      </c>
      <c r="AB250" s="51" t="str">
        <v/>
      </c>
      <c r="AC250" s="51" t="str">
        <v/>
      </c>
      <c r="AD250" s="32" t="str">
        <f t="shared" si="9"/>
        <v/>
      </c>
      <c r="AE250" s="32" t="str">
        <f>_xlfn.XLOOKUP(B:B,Disk_Pivot!G:G,Disk_Pivot!I:I)</f>
        <v>Yes x2</v>
      </c>
      <c r="AF250" s="32" t="str">
        <f>_xlfn.XLOOKUP(B250,Disk_Pivot!G:G,Disk_Pivot!N:N)</f>
        <v>Pass, Fail</v>
      </c>
      <c r="AG250" s="32"/>
      <c r="AH250" s="32"/>
      <c r="AI250" s="32"/>
      <c r="AJ250" s="32"/>
      <c r="AK250" s="32"/>
      <c r="AL250" s="32"/>
    </row>
    <row r="251" spans="1:38">
      <c r="A251" s="32" t="str">
        <f>_xlfn.TEXTJOIN("",TRUE,_xlfn.XLOOKUP(B251,Input!J:J,Input!G:G,"",0,1),_xlfn.XLOOKUP(B251,Input!J:J,Input!H:H,"",0,1))</f>
        <v/>
      </c>
      <c r="B251" s="32"/>
      <c r="C251" s="51">
        <f>_xlfn.XLOOKUP(B251,Input!J:J,Input!F:F)</f>
        <v>0</v>
      </c>
      <c r="D251" s="32">
        <f>_xlfn.XLOOKUP(C251,Models!H:H,Models!G:G,C251)</f>
        <v>0</v>
      </c>
      <c r="E251" s="32">
        <f>_xlfn.XLOOKUP(B251,Input!J:J,Input!E:E)</f>
        <v>0</v>
      </c>
      <c r="F251" s="32">
        <f>IF(E251="LENOVO",_xlfn.XLOOKUP(B251,Input!J:J,Input!K:K),_xlfn.XLOOKUP(B251,Input!J:J,Input!L:L))</f>
        <v>0</v>
      </c>
      <c r="G251" s="32"/>
      <c r="H251" s="32"/>
      <c r="I251" s="32">
        <f>_xlfn.XLOOKUP(B251,CPU_Formula!A:A,CPU_Formula!I:I)</f>
        <v>0</v>
      </c>
      <c r="J251" s="51" t="e">
        <f>INDEX(Input!$D$2:$AC$500,
       MATCH(B251, Input!$J$2:$J$500, 0),
       MATCH("Total Memory", Input!$D$1:$AC$1, 0))</f>
        <v>#N/A</v>
      </c>
      <c r="K251" s="51" t="e">
        <f>INDEX(Input!$D$2:$AC$500,
       MATCH(B251, Input!$J$2:$J$500, 0),
       MATCH("Memory Type", Input!$D$1:$AC$1, 0))</f>
        <v>#N/A</v>
      </c>
      <c r="L251" s="51" t="str" cm="1">
        <f t="array" ref="L251">IFERROR(_xlfn.FILTERXML("&lt;t&gt;&lt;s&gt;" &amp; SUBSTITUTE(K251," / ","&lt;/s&gt;&lt;s&gt;") &amp; "&lt;/s&gt;&lt;/t&gt;","(//s[contains(.,'DDR')])[1]"),"")</f>
        <v/>
      </c>
      <c r="M251" s="32" t="e">
        <f t="shared" si="11"/>
        <v>#N/A</v>
      </c>
      <c r="N251" s="51" t="e">
        <f>INDEX(Input!$D$2:$AC$500,
       MATCH(B251, Input!$J$2:$J$500, 0),
       MATCH("Disk Interface Type", Input!$D$1:$AC$1, 0))</f>
        <v>#N/A</v>
      </c>
      <c r="O251" s="51" t="str" cm="1">
        <f t="array" ref="O251">IFERROR(_xlfn.TEXTJOIN(", ", TRUE, _xlfn._xlws.FILTER(
    INDEX(Input!$D$2:$AC$500,,MATCH("Disk Capacity",Input!$D$1:$AC$1,0)),
    Input!$J$2:$J$500=B251
)), "")</f>
        <v/>
      </c>
      <c r="P251" s="32" t="e">
        <f t="shared" si="10"/>
        <v>#N/A</v>
      </c>
      <c r="Q251" s="51" t="e">
        <f>_xlfn.LET(_xlpm.Result,INDEX(Input!$D$2:$AC$500,
       MATCH(B251, Input!$J$2:$J$500, 0),
       MATCH("Capacity", Input!$D$1:$AC$1, 0)),IF(_xlpm.Result="","",_xlpm.Result))</f>
        <v>#N/A</v>
      </c>
      <c r="R251" s="51" t="e" cm="1">
        <f t="array" ref="R251">_xlfn.TEXTSPLIT(Q251," / ", ,TRUE,0,)</f>
        <v>#N/A</v>
      </c>
      <c r="S251" s="51"/>
      <c r="T251" s="51" t="str" cm="1">
        <f t="array" ref="T251">IFERROR(_xlfn.IFS(
R251="","",
--R251&lt;55,"Battery Defect",
--R251&lt;=69,"Battery D",
--R251&lt;=80,"Battery C",
--R251&gt;80,""
),"")</f>
        <v/>
      </c>
      <c r="U251" s="51" t="str" cm="1">
        <f t="array" ref="U251">IFERROR(_xlfn.IFS(
S251="","",
--S251&lt;55,"Battery Defect",
--S251&lt;=69,"Battery D",
--S251&lt;=80,"Battery C",
--S251&gt;80,""
),"")</f>
        <v/>
      </c>
      <c r="V251" s="51" t="str" cm="1">
        <f t="array" ref="V251:AC251">IFERROR(IF(_xlfn.XLOOKUP(B251,Input!J:J,Input!N:U)=0,"",
          _xlfn.XLOOKUP(B251,Input!J:J,Input!N:U)),"")</f>
        <v/>
      </c>
      <c r="W251" s="51" t="str">
        <v/>
      </c>
      <c r="X251" s="51" t="str">
        <v/>
      </c>
      <c r="Y251" s="51" t="str">
        <v/>
      </c>
      <c r="Z251" s="51" t="str">
        <v/>
      </c>
      <c r="AA251" s="51" t="str">
        <v/>
      </c>
      <c r="AB251" s="51" t="str">
        <v/>
      </c>
      <c r="AC251" s="51" t="str">
        <v/>
      </c>
      <c r="AD251" s="32" t="str">
        <f t="shared" si="9"/>
        <v/>
      </c>
      <c r="AE251" s="32" t="str">
        <f>_xlfn.XLOOKUP(B:B,Disk_Pivot!G:G,Disk_Pivot!I:I)</f>
        <v>Yes x2</v>
      </c>
      <c r="AF251" s="32" t="str">
        <f>_xlfn.XLOOKUP(B251,Disk_Pivot!G:G,Disk_Pivot!N:N)</f>
        <v>Pass, Fail</v>
      </c>
      <c r="AG251" s="32"/>
      <c r="AH251" s="32"/>
      <c r="AI251" s="32"/>
      <c r="AJ251" s="32"/>
      <c r="AK251" s="32"/>
      <c r="AL251" s="32"/>
    </row>
    <row r="252" spans="1:38">
      <c r="A252" s="32" t="str">
        <f>_xlfn.TEXTJOIN("",TRUE,_xlfn.XLOOKUP(B252,Input!J:J,Input!G:G,"",0,1),_xlfn.XLOOKUP(B252,Input!J:J,Input!H:H,"",0,1))</f>
        <v/>
      </c>
      <c r="B252" s="32"/>
      <c r="C252" s="51">
        <f>_xlfn.XLOOKUP(B252,Input!J:J,Input!F:F)</f>
        <v>0</v>
      </c>
      <c r="D252" s="32">
        <f>_xlfn.XLOOKUP(C252,Models!H:H,Models!G:G,C252)</f>
        <v>0</v>
      </c>
      <c r="E252" s="32">
        <f>_xlfn.XLOOKUP(B252,Input!J:J,Input!E:E)</f>
        <v>0</v>
      </c>
      <c r="F252" s="32">
        <f>IF(E252="LENOVO",_xlfn.XLOOKUP(B252,Input!J:J,Input!K:K),_xlfn.XLOOKUP(B252,Input!J:J,Input!L:L))</f>
        <v>0</v>
      </c>
      <c r="G252" s="32"/>
      <c r="H252" s="32"/>
      <c r="I252" s="32">
        <f>_xlfn.XLOOKUP(B252,CPU_Formula!A:A,CPU_Formula!I:I)</f>
        <v>0</v>
      </c>
      <c r="J252" s="51" t="e">
        <f>INDEX(Input!$D$2:$AC$500,
       MATCH(B252, Input!$J$2:$J$500, 0),
       MATCH("Total Memory", Input!$D$1:$AC$1, 0))</f>
        <v>#N/A</v>
      </c>
      <c r="K252" s="51" t="e">
        <f>INDEX(Input!$D$2:$AC$500,
       MATCH(B252, Input!$J$2:$J$500, 0),
       MATCH("Memory Type", Input!$D$1:$AC$1, 0))</f>
        <v>#N/A</v>
      </c>
      <c r="L252" s="51" t="str" cm="1">
        <f t="array" ref="L252">IFERROR(_xlfn.FILTERXML("&lt;t&gt;&lt;s&gt;" &amp; SUBSTITUTE(K252," / ","&lt;/s&gt;&lt;s&gt;") &amp; "&lt;/s&gt;&lt;/t&gt;","(//s[contains(.,'DDR')])[1]"),"")</f>
        <v/>
      </c>
      <c r="M252" s="32" t="e">
        <f t="shared" si="11"/>
        <v>#N/A</v>
      </c>
      <c r="N252" s="51" t="e">
        <f>INDEX(Input!$D$2:$AC$500,
       MATCH(B252, Input!$J$2:$J$500, 0),
       MATCH("Disk Interface Type", Input!$D$1:$AC$1, 0))</f>
        <v>#N/A</v>
      </c>
      <c r="O252" s="51" t="str" cm="1">
        <f t="array" ref="O252">IFERROR(_xlfn.TEXTJOIN(", ", TRUE, _xlfn._xlws.FILTER(
    INDEX(Input!$D$2:$AC$500,,MATCH("Disk Capacity",Input!$D$1:$AC$1,0)),
    Input!$J$2:$J$500=B252
)), "")</f>
        <v/>
      </c>
      <c r="P252" s="32" t="e">
        <f t="shared" si="10"/>
        <v>#N/A</v>
      </c>
      <c r="Q252" s="51" t="e">
        <f>_xlfn.LET(_xlpm.Result,INDEX(Input!$D$2:$AC$500,
       MATCH(B252, Input!$J$2:$J$500, 0),
       MATCH("Capacity", Input!$D$1:$AC$1, 0)),IF(_xlpm.Result="","",_xlpm.Result))</f>
        <v>#N/A</v>
      </c>
      <c r="R252" s="51" t="e" cm="1">
        <f t="array" ref="R252">_xlfn.TEXTSPLIT(Q252," / ", ,TRUE,0,)</f>
        <v>#N/A</v>
      </c>
      <c r="S252" s="51"/>
      <c r="T252" s="51" t="str" cm="1">
        <f t="array" ref="T252">IFERROR(_xlfn.IFS(
R252="","",
--R252&lt;55,"Battery Defect",
--R252&lt;=69,"Battery D",
--R252&lt;=80,"Battery C",
--R252&gt;80,""
),"")</f>
        <v/>
      </c>
      <c r="U252" s="51" t="str" cm="1">
        <f t="array" ref="U252">IFERROR(_xlfn.IFS(
S252="","",
--S252&lt;55,"Battery Defect",
--S252&lt;=69,"Battery D",
--S252&lt;=80,"Battery C",
--S252&gt;80,""
),"")</f>
        <v/>
      </c>
      <c r="V252" s="51" t="str" cm="1">
        <f t="array" ref="V252:AC252">IFERROR(IF(_xlfn.XLOOKUP(B252,Input!J:J,Input!N:U)=0,"",
          _xlfn.XLOOKUP(B252,Input!J:J,Input!N:U)),"")</f>
        <v/>
      </c>
      <c r="W252" s="51" t="str">
        <v/>
      </c>
      <c r="X252" s="51" t="str">
        <v/>
      </c>
      <c r="Y252" s="51" t="str">
        <v/>
      </c>
      <c r="Z252" s="51" t="str">
        <v/>
      </c>
      <c r="AA252" s="51" t="str">
        <v/>
      </c>
      <c r="AB252" s="51" t="str">
        <v/>
      </c>
      <c r="AC252" s="51" t="str">
        <v/>
      </c>
      <c r="AD252" s="32" t="str">
        <f t="shared" si="9"/>
        <v/>
      </c>
      <c r="AE252" s="32" t="str">
        <f>_xlfn.XLOOKUP(B:B,Disk_Pivot!G:G,Disk_Pivot!I:I)</f>
        <v>Yes x2</v>
      </c>
      <c r="AF252" s="32" t="str">
        <f>_xlfn.XLOOKUP(B252,Disk_Pivot!G:G,Disk_Pivot!N:N)</f>
        <v>Pass, Fail</v>
      </c>
      <c r="AG252" s="32"/>
      <c r="AH252" s="32"/>
      <c r="AI252" s="32"/>
      <c r="AJ252" s="32"/>
      <c r="AK252" s="32"/>
      <c r="AL252" s="32"/>
    </row>
    <row r="253" spans="1:38">
      <c r="A253" s="32" t="str">
        <f>_xlfn.TEXTJOIN("",TRUE,_xlfn.XLOOKUP(B253,Input!J:J,Input!G:G,"",0,1),_xlfn.XLOOKUP(B253,Input!J:J,Input!H:H,"",0,1))</f>
        <v/>
      </c>
      <c r="B253" s="32"/>
      <c r="C253" s="51">
        <f>_xlfn.XLOOKUP(B253,Input!J:J,Input!F:F)</f>
        <v>0</v>
      </c>
      <c r="D253" s="32">
        <f>_xlfn.XLOOKUP(C253,Models!H:H,Models!G:G,C253)</f>
        <v>0</v>
      </c>
      <c r="E253" s="32">
        <f>_xlfn.XLOOKUP(B253,Input!J:J,Input!E:E)</f>
        <v>0</v>
      </c>
      <c r="F253" s="32">
        <f>IF(E253="LENOVO",_xlfn.XLOOKUP(B253,Input!J:J,Input!K:K),_xlfn.XLOOKUP(B253,Input!J:J,Input!L:L))</f>
        <v>0</v>
      </c>
      <c r="G253" s="32"/>
      <c r="H253" s="32"/>
      <c r="I253" s="32">
        <f>_xlfn.XLOOKUP(B253,CPU_Formula!A:A,CPU_Formula!I:I)</f>
        <v>0</v>
      </c>
      <c r="J253" s="51" t="e">
        <f>INDEX(Input!$D$2:$AC$500,
       MATCH(B253, Input!$J$2:$J$500, 0),
       MATCH("Total Memory", Input!$D$1:$AC$1, 0))</f>
        <v>#N/A</v>
      </c>
      <c r="K253" s="51" t="e">
        <f>INDEX(Input!$D$2:$AC$500,
       MATCH(B253, Input!$J$2:$J$500, 0),
       MATCH("Memory Type", Input!$D$1:$AC$1, 0))</f>
        <v>#N/A</v>
      </c>
      <c r="L253" s="51" t="str" cm="1">
        <f t="array" ref="L253">IFERROR(_xlfn.FILTERXML("&lt;t&gt;&lt;s&gt;" &amp; SUBSTITUTE(K253," / ","&lt;/s&gt;&lt;s&gt;") &amp; "&lt;/s&gt;&lt;/t&gt;","(//s[contains(.,'DDR')])[1]"),"")</f>
        <v/>
      </c>
      <c r="M253" s="32" t="e">
        <f t="shared" si="11"/>
        <v>#N/A</v>
      </c>
      <c r="N253" s="51" t="e">
        <f>INDEX(Input!$D$2:$AC$500,
       MATCH(B253, Input!$J$2:$J$500, 0),
       MATCH("Disk Interface Type", Input!$D$1:$AC$1, 0))</f>
        <v>#N/A</v>
      </c>
      <c r="O253" s="51" t="str" cm="1">
        <f t="array" ref="O253">IFERROR(_xlfn.TEXTJOIN(", ", TRUE, _xlfn._xlws.FILTER(
    INDEX(Input!$D$2:$AC$500,,MATCH("Disk Capacity",Input!$D$1:$AC$1,0)),
    Input!$J$2:$J$500=B253
)), "")</f>
        <v/>
      </c>
      <c r="P253" s="32" t="e">
        <f t="shared" si="10"/>
        <v>#N/A</v>
      </c>
      <c r="Q253" s="51" t="e">
        <f>_xlfn.LET(_xlpm.Result,INDEX(Input!$D$2:$AC$500,
       MATCH(B253, Input!$J$2:$J$500, 0),
       MATCH("Capacity", Input!$D$1:$AC$1, 0)),IF(_xlpm.Result="","",_xlpm.Result))</f>
        <v>#N/A</v>
      </c>
      <c r="R253" s="51" t="e" cm="1">
        <f t="array" ref="R253">_xlfn.TEXTSPLIT(Q253," / ", ,TRUE,0,)</f>
        <v>#N/A</v>
      </c>
      <c r="S253" s="51"/>
      <c r="T253" s="51" t="str" cm="1">
        <f t="array" ref="T253">IFERROR(_xlfn.IFS(
R253="","",
--R253&lt;55,"Battery Defect",
--R253&lt;=69,"Battery D",
--R253&lt;=80,"Battery C",
--R253&gt;80,""
),"")</f>
        <v/>
      </c>
      <c r="U253" s="51" t="str" cm="1">
        <f t="array" ref="U253">IFERROR(_xlfn.IFS(
S253="","",
--S253&lt;55,"Battery Defect",
--S253&lt;=69,"Battery D",
--S253&lt;=80,"Battery C",
--S253&gt;80,""
),"")</f>
        <v/>
      </c>
      <c r="V253" s="51" t="str" cm="1">
        <f t="array" ref="V253:AA253">IFERROR(IF(_xlfn.XLOOKUP(B254,Input!J:J,Input!N:S)=0,"",
          _xlfn.XLOOKUP(B254,Input!J:J,Input!N:S)),"")</f>
        <v/>
      </c>
      <c r="W253" s="51" t="str">
        <v/>
      </c>
      <c r="X253" s="51" t="str">
        <v/>
      </c>
      <c r="Y253" s="51" t="str">
        <v/>
      </c>
      <c r="Z253" s="51" t="str">
        <v/>
      </c>
      <c r="AA253" s="51" t="str">
        <v/>
      </c>
      <c r="AB253" s="51"/>
      <c r="AC253" s="51"/>
      <c r="AD253" s="32" t="str">
        <f t="shared" si="9"/>
        <v/>
      </c>
      <c r="AE253" s="32"/>
      <c r="AF253" s="32"/>
      <c r="AG253" s="32"/>
      <c r="AH253" s="32"/>
      <c r="AI253" s="32"/>
      <c r="AJ253" s="32"/>
      <c r="AK253" s="32"/>
      <c r="AL253" s="32"/>
    </row>
    <row r="254" spans="1:38">
      <c r="A254" s="32" t="str">
        <f>_xlfn.TEXTJOIN("",TRUE,_xlfn.XLOOKUP(B254,Input!J:J,Input!G:G,"",0,1),_xlfn.XLOOKUP(B254,Input!J:J,Input!H:H,"",0,1))</f>
        <v/>
      </c>
      <c r="B254" s="32"/>
      <c r="C254" s="51">
        <f>_xlfn.XLOOKUP(B254,Input!J:J,Input!F:F)</f>
        <v>0</v>
      </c>
      <c r="D254" s="32">
        <f>_xlfn.XLOOKUP(C254,Models!H:H,Models!G:G,C254)</f>
        <v>0</v>
      </c>
      <c r="E254" s="32">
        <f>_xlfn.XLOOKUP(B254,Input!J:J,Input!E:E)</f>
        <v>0</v>
      </c>
      <c r="F254" s="32">
        <f>IF(E254="LENOVO",_xlfn.XLOOKUP(B254,Input!J:J,Input!K:K),_xlfn.XLOOKUP(B254,Input!J:J,Input!L:L))</f>
        <v>0</v>
      </c>
      <c r="G254" s="32"/>
      <c r="H254" s="32"/>
      <c r="I254" s="32">
        <f>_xlfn.XLOOKUP(B254,CPU_Formula!A:A,CPU_Formula!I:I)</f>
        <v>0</v>
      </c>
      <c r="J254" s="51" t="e">
        <f>INDEX(Input!$D$2:$AC$500,
       MATCH(B254, Input!$J$2:$J$500, 0),
       MATCH("Total Memory", Input!$D$1:$AC$1, 0))</f>
        <v>#N/A</v>
      </c>
      <c r="K254" s="51" t="e">
        <f>INDEX(Input!$D$2:$AC$500,
       MATCH(B254, Input!$J$2:$J$500, 0),
       MATCH("Memory Type", Input!$D$1:$AC$1, 0))</f>
        <v>#N/A</v>
      </c>
      <c r="L254" s="51" t="str" cm="1">
        <f t="array" ref="L254">IFERROR(_xlfn.FILTERXML("&lt;t&gt;&lt;s&gt;" &amp; SUBSTITUTE(K254," / ","&lt;/s&gt;&lt;s&gt;") &amp; "&lt;/s&gt;&lt;/t&gt;","(//s[contains(.,'DDR')])[1]"),"")</f>
        <v/>
      </c>
      <c r="M254" s="32" t="e">
        <f t="shared" si="11"/>
        <v>#N/A</v>
      </c>
      <c r="N254" s="51" t="e">
        <f>INDEX(Input!$D$2:$AC$500,
       MATCH(B254, Input!$J$2:$J$500, 0),
       MATCH("Disk Interface Type", Input!$D$1:$AC$1, 0))</f>
        <v>#N/A</v>
      </c>
      <c r="O254" s="51" t="str" cm="1">
        <f t="array" ref="O254">IFERROR(_xlfn.TEXTJOIN(", ", TRUE, _xlfn._xlws.FILTER(
    INDEX(Input!$D$2:$AC$500,,MATCH("Disk Capacity",Input!$D$1:$AC$1,0)),
    Input!$J$2:$J$500=B254
)), "")</f>
        <v/>
      </c>
      <c r="P254" s="32" t="e">
        <f t="shared" si="10"/>
        <v>#N/A</v>
      </c>
      <c r="Q254" s="51" t="e">
        <f>_xlfn.LET(_xlpm.Result,INDEX(Input!$D$2:$AC$500,
       MATCH(B254, Input!$J$2:$J$500, 0),
       MATCH("Capacity", Input!$D$1:$AC$1, 0)),IF(_xlpm.Result="","",_xlpm.Result))</f>
        <v>#N/A</v>
      </c>
      <c r="R254" s="51" t="e" cm="1">
        <f t="array" ref="R254">_xlfn.TEXTSPLIT(Q254," / ", ,TRUE,0,)</f>
        <v>#N/A</v>
      </c>
      <c r="S254" s="51"/>
      <c r="T254" s="51" t="str" cm="1">
        <f t="array" ref="T254">IFERROR(_xlfn.IFS(
R254="","",
--R254&lt;55,"Battery Defect",
--R254&lt;=69,"Battery D",
--R254&lt;=80,"Battery C",
--R254&gt;80,""
),"")</f>
        <v/>
      </c>
      <c r="U254" s="51" t="str" cm="1">
        <f t="array" ref="U254">IFERROR(_xlfn.IFS(
S254="","",
--S254&lt;55,"Battery Defect",
--S254&lt;=69,"Battery D",
--S254&lt;=80,"Battery C",
--S254&gt;80,""
),"")</f>
        <v/>
      </c>
      <c r="V254" s="51" t="str" cm="1">
        <f t="array" ref="V254:AA254">IFERROR(IF(_xlfn.XLOOKUP(B255,Input!J:J,Input!N:S)=0,"",
          _xlfn.XLOOKUP(B255,Input!J:J,Input!N:S)),"")</f>
        <v/>
      </c>
      <c r="W254" s="51" t="str">
        <v/>
      </c>
      <c r="X254" s="51" t="str">
        <v/>
      </c>
      <c r="Y254" s="51" t="str">
        <v/>
      </c>
      <c r="Z254" s="51" t="str">
        <v/>
      </c>
      <c r="AA254" s="51" t="str">
        <v/>
      </c>
      <c r="AB254" s="51"/>
      <c r="AC254" s="51"/>
      <c r="AD254" s="32" t="str">
        <f t="shared" si="9"/>
        <v/>
      </c>
      <c r="AE254" s="32"/>
      <c r="AF254" s="32"/>
      <c r="AG254" s="32"/>
      <c r="AH254" s="32"/>
      <c r="AI254" s="32"/>
      <c r="AJ254" s="32"/>
      <c r="AK254" s="32"/>
      <c r="AL254" s="32"/>
    </row>
    <row r="255" spans="1:38">
      <c r="A255" s="32" t="str">
        <f>_xlfn.TEXTJOIN("",TRUE,_xlfn.XLOOKUP(B255,Input!J:J,Input!G:G,"",0,1),_xlfn.XLOOKUP(B255,Input!J:J,Input!H:H,"",0,1))</f>
        <v/>
      </c>
      <c r="B255" s="32"/>
      <c r="C255" s="51">
        <f>_xlfn.XLOOKUP(B255,Input!J:J,Input!F:F)</f>
        <v>0</v>
      </c>
      <c r="D255" s="32">
        <f>_xlfn.XLOOKUP(C255,Models!H:H,Models!G:G,C255)</f>
        <v>0</v>
      </c>
      <c r="E255" s="32">
        <f>_xlfn.XLOOKUP(B255,Input!J:J,Input!E:E)</f>
        <v>0</v>
      </c>
      <c r="F255" s="32">
        <f>IF(E255="LENOVO",_xlfn.XLOOKUP(B255,Input!J:J,Input!K:K),_xlfn.XLOOKUP(B255,Input!J:J,Input!L:L))</f>
        <v>0</v>
      </c>
      <c r="G255" s="32"/>
      <c r="H255" s="32"/>
      <c r="I255" s="32">
        <f>_xlfn.XLOOKUP(B255,CPU_Formula!A:A,CPU_Formula!I:I)</f>
        <v>0</v>
      </c>
      <c r="J255" s="51" t="e">
        <f>INDEX(Input!$D$2:$AC$500,
       MATCH(B255, Input!$J$2:$J$500, 0),
       MATCH("Total Memory", Input!$D$1:$AC$1, 0))</f>
        <v>#N/A</v>
      </c>
      <c r="K255" s="51"/>
      <c r="L255" s="51" t="str" cm="1">
        <f t="array" ref="L255">IFERROR(_xlfn.FILTERXML("&lt;t&gt;&lt;s&gt;" &amp; SUBSTITUTE(K255," / ","&lt;/s&gt;&lt;s&gt;") &amp; "&lt;/s&gt;&lt;/t&gt;","(//s[contains(.,'DDR')])[1]"),"")</f>
        <v/>
      </c>
      <c r="M255" s="32" t="e">
        <f t="shared" si="11"/>
        <v>#N/A</v>
      </c>
      <c r="N255" s="51" t="e">
        <f>INDEX(Input!$D$2:$AC$500,
       MATCH(B255, Input!$J$2:$J$500, 0),
       MATCH("Disk Interface Type", Input!$D$1:$AC$1, 0))</f>
        <v>#N/A</v>
      </c>
      <c r="O255" s="51" t="str" cm="1">
        <f t="array" ref="O255">IFERROR(_xlfn.TEXTJOIN(", ", TRUE, _xlfn._xlws.FILTER(
    INDEX(Input!$D$2:$AC$500,,MATCH("Disk Capacity",Input!$D$1:$AC$1,0)),
    Input!$J$2:$J$500=B255
)), "")</f>
        <v/>
      </c>
      <c r="P255" s="32" t="e">
        <f t="shared" si="10"/>
        <v>#N/A</v>
      </c>
      <c r="Q255" s="51" t="e">
        <f>_xlfn.LET(_xlpm.Result,INDEX(Input!$D$2:$AC$500,
       MATCH(B255, Input!$J$2:$J$500, 0),
       MATCH("Capacity", Input!$D$1:$AC$1, 0)),IF(_xlpm.Result="","",_xlpm.Result))</f>
        <v>#N/A</v>
      </c>
      <c r="R255" s="51" t="e" cm="1">
        <f t="array" ref="R255">_xlfn.TEXTSPLIT(Q255," / ", ,TRUE,0,)</f>
        <v>#N/A</v>
      </c>
      <c r="S255" s="51"/>
      <c r="T255" s="51" t="str" cm="1">
        <f t="array" ref="T255">IFERROR(_xlfn.IFS(
R255="","",
--R255&lt;55,"Battery Defect",
--R255&lt;=69,"Battery D",
--R255&lt;=80,"Battery C",
--R255&gt;80,""
),"")</f>
        <v/>
      </c>
      <c r="U255" s="51" t="str" cm="1">
        <f t="array" ref="U255">IFERROR(_xlfn.IFS(
S255="","",
--S255&lt;55,"Battery Defect",
--S255&lt;=69,"Battery D",
--S255&lt;=80,"Battery C",
--S255&gt;80,""
),"")</f>
        <v/>
      </c>
      <c r="V255" s="51" t="str" cm="1">
        <f t="array" ref="V255:AA255">IFERROR(IF(_xlfn.XLOOKUP(B256,Input!J:J,Input!N:S)=0,"",
          _xlfn.XLOOKUP(B256,Input!J:J,Input!N:S)),"")</f>
        <v/>
      </c>
      <c r="W255" s="51" t="str">
        <v/>
      </c>
      <c r="X255" s="51" t="str">
        <v/>
      </c>
      <c r="Y255" s="51" t="str">
        <v/>
      </c>
      <c r="Z255" s="51" t="str">
        <v/>
      </c>
      <c r="AA255" s="51" t="str">
        <v/>
      </c>
      <c r="AB255" s="51"/>
      <c r="AC255" s="51"/>
      <c r="AD255" s="32" t="str">
        <f t="shared" si="9"/>
        <v/>
      </c>
      <c r="AE255" s="32"/>
      <c r="AF255" s="32"/>
      <c r="AG255" s="32"/>
      <c r="AH255" s="32"/>
      <c r="AI255" s="32"/>
      <c r="AJ255" s="32"/>
      <c r="AK255" s="32"/>
      <c r="AL255" s="32"/>
    </row>
    <row r="256" spans="1:38">
      <c r="A256" s="32" t="str">
        <f>_xlfn.TEXTJOIN("",TRUE,_xlfn.XLOOKUP(B256,Input!J:J,Input!G:G,"",0,1),_xlfn.XLOOKUP(B256,Input!J:J,Input!H:H,"",0,1))</f>
        <v/>
      </c>
      <c r="B256" s="32"/>
      <c r="C256" s="51">
        <f>_xlfn.XLOOKUP(B256,Input!J:J,Input!F:F)</f>
        <v>0</v>
      </c>
      <c r="D256" s="32">
        <f>_xlfn.XLOOKUP(C256,Models!H:H,Models!G:G,C256)</f>
        <v>0</v>
      </c>
      <c r="E256" s="32">
        <f>_xlfn.XLOOKUP(B256,Input!J:J,Input!E:E)</f>
        <v>0</v>
      </c>
      <c r="F256" s="32">
        <f>IF(E256="LENOVO",_xlfn.XLOOKUP(B256,Input!J:J,Input!K:K),_xlfn.XLOOKUP(B256,Input!J:J,Input!L:L))</f>
        <v>0</v>
      </c>
      <c r="G256" s="32"/>
      <c r="H256" s="32"/>
      <c r="I256" s="32">
        <f>_xlfn.XLOOKUP(B256,CPU_Formula!A:A,CPU_Formula!I:I)</f>
        <v>0</v>
      </c>
      <c r="J256" s="51" t="e">
        <f>INDEX(Input!$D$2:$AC$500,
       MATCH(B256, Input!$J$2:$J$500, 0),
       MATCH("Total Memory", Input!$D$1:$AC$1, 0))</f>
        <v>#N/A</v>
      </c>
      <c r="K256" s="51"/>
      <c r="L256" s="51" t="str" cm="1">
        <f t="array" ref="L256">IFERROR(_xlfn.FILTERXML("&lt;t&gt;&lt;s&gt;" &amp; SUBSTITUTE(K256," / ","&lt;/s&gt;&lt;s&gt;") &amp; "&lt;/s&gt;&lt;/t&gt;","(//s[contains(.,'DDR')])[1]"),"")</f>
        <v/>
      </c>
      <c r="M256" s="32" t="e">
        <f t="shared" si="11"/>
        <v>#N/A</v>
      </c>
      <c r="N256" s="51" t="e">
        <f>INDEX(Input!$D$2:$AC$500,
       MATCH(B256, Input!$J$2:$J$500, 0),
       MATCH("Disk Interface Type", Input!$D$1:$AC$1, 0))</f>
        <v>#N/A</v>
      </c>
      <c r="O256" s="51" t="str" cm="1">
        <f t="array" ref="O256">IFERROR(_xlfn.TEXTJOIN(", ", TRUE, _xlfn._xlws.FILTER(
    INDEX(Input!$D$2:$AC$500,,MATCH("Disk Capacity",Input!$D$1:$AC$1,0)),
    Input!$J$2:$J$500=B256
)), "")</f>
        <v/>
      </c>
      <c r="P256" s="32" t="e">
        <f t="shared" si="10"/>
        <v>#N/A</v>
      </c>
      <c r="Q256" s="51" t="e">
        <f>_xlfn.LET(_xlpm.Result,INDEX(Input!$D$2:$AC$500,
       MATCH(B256, Input!$J$2:$J$500, 0),
       MATCH("Capacity", Input!$D$1:$AC$1, 0)),IF(_xlpm.Result="","",_xlpm.Result))</f>
        <v>#N/A</v>
      </c>
      <c r="R256" s="51" t="e" cm="1">
        <f t="array" ref="R256">_xlfn.TEXTSPLIT(Q256," / ", ,TRUE,0,)</f>
        <v>#N/A</v>
      </c>
      <c r="S256" s="51"/>
      <c r="T256" s="51" t="str" cm="1">
        <f t="array" ref="T256">IFERROR(_xlfn.IFS(
R256="","",
--R256&lt;55,"Battery Defect",
--R256&lt;=69,"Battery D",
--R256&lt;=80,"Battery C",
--R256&gt;80,""
),"")</f>
        <v/>
      </c>
      <c r="U256" s="51" t="str" cm="1">
        <f t="array" ref="U256">IFERROR(_xlfn.IFS(
S256="","",
--S256&lt;55,"Battery Defect",
--S256&lt;=69,"Battery D",
--S256&lt;=80,"Battery C",
--S256&gt;80,""
),"")</f>
        <v/>
      </c>
      <c r="V256" s="51" t="str" cm="1">
        <f t="array" ref="V256:AA256">IFERROR(IF(_xlfn.XLOOKUP(B257,Input!J:J,Input!N:S)=0,"",
          _xlfn.XLOOKUP(B257,Input!J:J,Input!N:S)),"")</f>
        <v/>
      </c>
      <c r="W256" s="51" t="str">
        <v/>
      </c>
      <c r="X256" s="51" t="str">
        <v/>
      </c>
      <c r="Y256" s="51" t="str">
        <v/>
      </c>
      <c r="Z256" s="51" t="str">
        <v/>
      </c>
      <c r="AA256" s="51" t="str">
        <v/>
      </c>
      <c r="AB256" s="51"/>
      <c r="AC256" s="51"/>
      <c r="AD256" s="32" t="str">
        <f t="shared" si="9"/>
        <v/>
      </c>
      <c r="AE256" s="32"/>
      <c r="AF256" s="32"/>
      <c r="AG256" s="32"/>
      <c r="AH256" s="32"/>
      <c r="AI256" s="32"/>
      <c r="AJ256" s="32"/>
      <c r="AK256" s="32"/>
      <c r="AL256" s="32"/>
    </row>
    <row r="257" spans="1:38">
      <c r="A257" s="32" t="str">
        <f>_xlfn.TEXTJOIN("",TRUE,_xlfn.XLOOKUP(B257,Input!J:J,Input!G:G,"",0,1),_xlfn.XLOOKUP(B257,Input!J:J,Input!H:H,"",0,1))</f>
        <v/>
      </c>
      <c r="B257" s="32"/>
      <c r="C257" s="51">
        <f>_xlfn.XLOOKUP(B257,Input!J:J,Input!F:F)</f>
        <v>0</v>
      </c>
      <c r="D257" s="32">
        <f>_xlfn.XLOOKUP(C257,Models!H:H,Models!G:G,C257)</f>
        <v>0</v>
      </c>
      <c r="E257" s="32">
        <f>_xlfn.XLOOKUP(B257,Input!J:J,Input!E:E)</f>
        <v>0</v>
      </c>
      <c r="F257" s="32">
        <f>IF(E257="LENOVO",_xlfn.XLOOKUP(B257,Input!J:J,Input!K:K),_xlfn.XLOOKUP(B257,Input!J:J,Input!L:L))</f>
        <v>0</v>
      </c>
      <c r="G257" s="32"/>
      <c r="H257" s="32"/>
      <c r="I257" s="32">
        <f>_xlfn.XLOOKUP(B257,CPU_Formula!A:A,CPU_Formula!I:I)</f>
        <v>0</v>
      </c>
      <c r="J257" s="51" t="e">
        <f>INDEX(Input!$D$2:$AC$500,
       MATCH(B257, Input!$J$2:$J$500, 0),
       MATCH("Total Memory", Input!$D$1:$AC$1, 0))</f>
        <v>#N/A</v>
      </c>
      <c r="K257" s="51"/>
      <c r="L257" s="51" t="str" cm="1">
        <f t="array" ref="L257">IFERROR(_xlfn.FILTERXML("&lt;t&gt;&lt;s&gt;" &amp; SUBSTITUTE(K257," / ","&lt;/s&gt;&lt;s&gt;") &amp; "&lt;/s&gt;&lt;/t&gt;","(//s[contains(.,'DDR')])[1]"),"")</f>
        <v/>
      </c>
      <c r="M257" s="32" t="e">
        <f t="shared" si="11"/>
        <v>#N/A</v>
      </c>
      <c r="N257" s="51" t="e">
        <f>INDEX(Input!$D$2:$AC$500,
       MATCH(B257, Input!$J$2:$J$500, 0),
       MATCH("Disk Interface Type", Input!$D$1:$AC$1, 0))</f>
        <v>#N/A</v>
      </c>
      <c r="O257" s="51" t="str" cm="1">
        <f t="array" ref="O257">IFERROR(_xlfn.TEXTJOIN(", ", TRUE, _xlfn._xlws.FILTER(
    INDEX(Input!$D$2:$AC$500,,MATCH("Disk Capacity",Input!$D$1:$AC$1,0)),
    Input!$J$2:$J$500=B257
)), "")</f>
        <v/>
      </c>
      <c r="P257" s="32" t="e">
        <f t="shared" si="10"/>
        <v>#N/A</v>
      </c>
      <c r="Q257" s="51" t="e">
        <f>_xlfn.LET(_xlpm.Result,INDEX(Input!$D$2:$AC$500,
       MATCH(B257, Input!$J$2:$J$500, 0),
       MATCH("Capacity", Input!$D$1:$AC$1, 0)),IF(_xlpm.Result="","",_xlpm.Result))</f>
        <v>#N/A</v>
      </c>
      <c r="R257" s="51" t="e" cm="1">
        <f t="array" ref="R257">_xlfn.TEXTSPLIT(Q257," / ", ,TRUE,0,)</f>
        <v>#N/A</v>
      </c>
      <c r="S257" s="51"/>
      <c r="T257" s="51" t="str" cm="1">
        <f t="array" ref="T257">IFERROR(_xlfn.IFS(
R257="","",
--R257&lt;55,"Battery Defect",
--R257&lt;=69,"Battery D",
--R257&lt;=80,"Battery C",
--R257&gt;80,""
),"")</f>
        <v/>
      </c>
      <c r="U257" s="51" t="str" cm="1">
        <f t="array" ref="U257">IFERROR(_xlfn.IFS(
S257="","",
--S257&lt;55,"Battery Defect",
--S257&lt;=69,"Battery D",
--S257&lt;=80,"Battery C",
--S257&gt;80,""
),"")</f>
        <v/>
      </c>
      <c r="V257" s="51" t="str" cm="1">
        <f t="array" ref="V257:AA257">IFERROR(IF(_xlfn.XLOOKUP(B258,Input!J:J,Input!N:S)=0,"",
          _xlfn.XLOOKUP(B258,Input!J:J,Input!N:S)),"")</f>
        <v/>
      </c>
      <c r="W257" s="51" t="str">
        <v/>
      </c>
      <c r="X257" s="51" t="str">
        <v/>
      </c>
      <c r="Y257" s="51" t="str">
        <v/>
      </c>
      <c r="Z257" s="51" t="str">
        <v/>
      </c>
      <c r="AA257" s="51" t="str">
        <v/>
      </c>
      <c r="AB257" s="51"/>
      <c r="AC257" s="51"/>
      <c r="AD257" s="32" t="str">
        <f t="shared" si="9"/>
        <v/>
      </c>
      <c r="AE257" s="32"/>
      <c r="AF257" s="32"/>
      <c r="AG257" s="32"/>
      <c r="AH257" s="32"/>
      <c r="AI257" s="32"/>
      <c r="AJ257" s="32"/>
      <c r="AK257" s="32"/>
      <c r="AL257" s="32"/>
    </row>
    <row r="258" spans="1:38">
      <c r="A258" s="32" t="str">
        <f>_xlfn.TEXTJOIN("",TRUE,_xlfn.XLOOKUP(B258,Input!J:J,Input!G:G,"",0,1),_xlfn.XLOOKUP(B258,Input!J:J,Input!H:H,"",0,1))</f>
        <v/>
      </c>
      <c r="B258" s="32"/>
      <c r="C258" s="51">
        <f>_xlfn.XLOOKUP(B258,Input!J:J,Input!F:F)</f>
        <v>0</v>
      </c>
      <c r="D258" s="32">
        <f>_xlfn.XLOOKUP(C258,Models!H:H,Models!G:G,C258)</f>
        <v>0</v>
      </c>
      <c r="E258" s="32">
        <f>_xlfn.XLOOKUP(B258,Input!J:J,Input!E:E)</f>
        <v>0</v>
      </c>
      <c r="F258" s="32">
        <f>IF(E258="LENOVO",_xlfn.XLOOKUP(B258,Input!J:J,Input!K:K),_xlfn.XLOOKUP(B258,Input!J:J,Input!L:L))</f>
        <v>0</v>
      </c>
      <c r="G258" s="32"/>
      <c r="H258" s="32"/>
      <c r="I258" s="32">
        <f>_xlfn.XLOOKUP(B258,CPU_Formula!A:A,CPU_Formula!I:I)</f>
        <v>0</v>
      </c>
      <c r="J258" s="51" t="e">
        <f>INDEX(Input!$D$2:$AC$500,
       MATCH(B258, Input!$J$2:$J$500, 0),
       MATCH("Total Memory", Input!$D$1:$AC$1, 0))</f>
        <v>#N/A</v>
      </c>
      <c r="K258" s="51"/>
      <c r="L258" s="51" t="str" cm="1">
        <f t="array" ref="L258">IFERROR(_xlfn.FILTERXML("&lt;t&gt;&lt;s&gt;" &amp; SUBSTITUTE(K258," / ","&lt;/s&gt;&lt;s&gt;") &amp; "&lt;/s&gt;&lt;/t&gt;","(//s[contains(.,'DDR')])[1]"),"")</f>
        <v/>
      </c>
      <c r="M258" s="32" t="e">
        <f t="shared" si="11"/>
        <v>#N/A</v>
      </c>
      <c r="N258" s="51" t="e">
        <f>INDEX(Input!$D$2:$AC$500,
       MATCH(B258, Input!$J$2:$J$500, 0),
       MATCH("Disk Interface Type", Input!$D$1:$AC$1, 0))</f>
        <v>#N/A</v>
      </c>
      <c r="O258" s="51" t="str" cm="1">
        <f t="array" ref="O258">IFERROR(_xlfn.TEXTJOIN(", ", TRUE, _xlfn._xlws.FILTER(
    INDEX(Input!$D$2:$AC$500,,MATCH("Disk Capacity",Input!$D$1:$AC$1,0)),
    Input!$J$2:$J$500=B258
)), "")</f>
        <v/>
      </c>
      <c r="P258" s="32" t="e">
        <f t="shared" si="10"/>
        <v>#N/A</v>
      </c>
      <c r="Q258" s="51" t="e">
        <f>_xlfn.LET(_xlpm.Result,INDEX(Input!$D$2:$AC$500,
       MATCH(B258, Input!$J$2:$J$500, 0),
       MATCH("Capacity", Input!$D$1:$AC$1, 0)),IF(_xlpm.Result="","",_xlpm.Result))</f>
        <v>#N/A</v>
      </c>
      <c r="R258" s="51" t="e" cm="1">
        <f t="array" ref="R258">_xlfn.TEXTSPLIT(Q258," / ", ,TRUE,0,)</f>
        <v>#N/A</v>
      </c>
      <c r="S258" s="51"/>
      <c r="T258" s="51" t="str" cm="1">
        <f t="array" ref="T258">IFERROR(_xlfn.IFS(
R258="","",
--R258&lt;55,"Battery Defect",
--R258&lt;=69,"Battery D",
--R258&lt;=80,"Battery C",
--R258&gt;80,""
),"")</f>
        <v/>
      </c>
      <c r="U258" s="51" t="str" cm="1">
        <f t="array" ref="U258">IFERROR(_xlfn.IFS(
S258="","",
--S258&lt;55,"Battery Defect",
--S258&lt;=69,"Battery D",
--S258&lt;=80,"Battery C",
--S258&gt;80,""
),"")</f>
        <v/>
      </c>
      <c r="V258" s="51" t="str" cm="1">
        <f t="array" ref="V258:AA258">IFERROR(IF(_xlfn.XLOOKUP(B259,Input!J:J,Input!N:S)=0,"",
          _xlfn.XLOOKUP(B259,Input!J:J,Input!N:S)),"")</f>
        <v/>
      </c>
      <c r="W258" s="51" t="str">
        <v/>
      </c>
      <c r="X258" s="51" t="str">
        <v/>
      </c>
      <c r="Y258" s="51" t="str">
        <v/>
      </c>
      <c r="Z258" s="51" t="str">
        <v/>
      </c>
      <c r="AA258" s="51" t="str">
        <v/>
      </c>
      <c r="AB258" s="51"/>
      <c r="AC258" s="51"/>
      <c r="AD258" s="32" t="str">
        <f t="shared" ref="AD258:AD321" si="12">IF(D258="Laptop",_xlfn.TEXTJOIN(", ",TRUE,T258,U258,V258,W258,X258,Y258,Z258,AA258), _xlfn.TEXTJOIN(", ",TRUE,V258,W258,X258,Y258,Z258,AA258))</f>
        <v/>
      </c>
      <c r="AE258" s="32"/>
      <c r="AF258" s="32"/>
      <c r="AG258" s="32"/>
      <c r="AH258" s="32"/>
      <c r="AI258" s="32"/>
      <c r="AJ258" s="32"/>
      <c r="AK258" s="32"/>
      <c r="AL258" s="32"/>
    </row>
    <row r="259" spans="1:38">
      <c r="A259" s="32" t="str">
        <f>_xlfn.TEXTJOIN("",TRUE,_xlfn.XLOOKUP(B259,Input!J:J,Input!G:G,"",0,1),_xlfn.XLOOKUP(B259,Input!J:J,Input!H:H,"",0,1))</f>
        <v/>
      </c>
      <c r="B259" s="32"/>
      <c r="C259" s="51">
        <f>_xlfn.XLOOKUP(B259,Input!J:J,Input!F:F)</f>
        <v>0</v>
      </c>
      <c r="D259" s="32">
        <f>_xlfn.XLOOKUP(C259,Models!H:H,Models!G:G,C259)</f>
        <v>0</v>
      </c>
      <c r="E259" s="32">
        <f>_xlfn.XLOOKUP(B259,Input!J:J,Input!E:E)</f>
        <v>0</v>
      </c>
      <c r="F259" s="32">
        <f>IF(E259="LENOVO",_xlfn.XLOOKUP(B259,Input!J:J,Input!K:K),_xlfn.XLOOKUP(B259,Input!J:J,Input!L:L))</f>
        <v>0</v>
      </c>
      <c r="G259" s="32"/>
      <c r="H259" s="32"/>
      <c r="I259" s="32">
        <f>_xlfn.XLOOKUP(B259,CPU_Formula!A:A,CPU_Formula!I:I)</f>
        <v>0</v>
      </c>
      <c r="J259" s="51" t="e">
        <f>INDEX(Input!$D$2:$AC$500,
       MATCH(B259, Input!$J$2:$J$500, 0),
       MATCH("Total Memory", Input!$D$1:$AC$1, 0))</f>
        <v>#N/A</v>
      </c>
      <c r="K259" s="51"/>
      <c r="L259" s="51" t="str" cm="1">
        <f t="array" ref="L259">IFERROR(_xlfn.FILTERXML("&lt;t&gt;&lt;s&gt;" &amp; SUBSTITUTE(K259," / ","&lt;/s&gt;&lt;s&gt;") &amp; "&lt;/s&gt;&lt;/t&gt;","(//s[contains(.,'DDR')])[1]"),"")</f>
        <v/>
      </c>
      <c r="M259" s="32" t="e">
        <f t="shared" si="11"/>
        <v>#N/A</v>
      </c>
      <c r="N259" s="51" t="e">
        <f>INDEX(Input!$D$2:$AC$500,
       MATCH(B259, Input!$J$2:$J$500, 0),
       MATCH("Disk Interface Type", Input!$D$1:$AC$1, 0))</f>
        <v>#N/A</v>
      </c>
      <c r="O259" s="51" t="str" cm="1">
        <f t="array" ref="O259">IFERROR(_xlfn.TEXTJOIN(", ", TRUE, _xlfn._xlws.FILTER(
    INDEX(Input!$D$2:$AC$500,,MATCH("Disk Capacity",Input!$D$1:$AC$1,0)),
    Input!$J$2:$J$500=B259
)), "")</f>
        <v/>
      </c>
      <c r="P259" s="32" t="e">
        <f t="shared" ref="P259:P322" si="13">_xlfn.TEXTJOIN(" ",TRUE,O259,N259)</f>
        <v>#N/A</v>
      </c>
      <c r="Q259" s="51" t="e">
        <f>_xlfn.LET(_xlpm.Result,INDEX(Input!$D$2:$AC$500,
       MATCH(B259, Input!$J$2:$J$500, 0),
       MATCH("Capacity", Input!$D$1:$AC$1, 0)),IF(_xlpm.Result="","",_xlpm.Result))</f>
        <v>#N/A</v>
      </c>
      <c r="R259" s="51" t="e" cm="1">
        <f t="array" ref="R259">_xlfn.TEXTSPLIT(Q259," / ", ,TRUE,0,)</f>
        <v>#N/A</v>
      </c>
      <c r="S259" s="51"/>
      <c r="T259" s="51" t="str" cm="1">
        <f t="array" ref="T259">IFERROR(_xlfn.IFS(
R259="","",
--R259&lt;55,"Battery Defect",
--R259&lt;=69,"Battery D",
--R259&lt;=80,"Battery C",
--R259&gt;80,""
),"")</f>
        <v/>
      </c>
      <c r="U259" s="51" t="str" cm="1">
        <f t="array" ref="U259">IFERROR(_xlfn.IFS(
S259="","",
--S259&lt;55,"Battery Defect",
--S259&lt;=69,"Battery D",
--S259&lt;=80,"Battery C",
--S259&gt;80,""
),"")</f>
        <v/>
      </c>
      <c r="V259" s="51" t="str" cm="1">
        <f t="array" ref="V259:AA259">IFERROR(IF(_xlfn.XLOOKUP(B260,Input!J:J,Input!N:S)=0,"",
          _xlfn.XLOOKUP(B260,Input!J:J,Input!N:S)),"")</f>
        <v/>
      </c>
      <c r="W259" s="51" t="str">
        <v/>
      </c>
      <c r="X259" s="51" t="str">
        <v/>
      </c>
      <c r="Y259" s="51" t="str">
        <v/>
      </c>
      <c r="Z259" s="51" t="str">
        <v/>
      </c>
      <c r="AA259" s="51" t="str">
        <v/>
      </c>
      <c r="AB259" s="51"/>
      <c r="AC259" s="51"/>
      <c r="AD259" s="32" t="str">
        <f t="shared" si="12"/>
        <v/>
      </c>
      <c r="AE259" s="32"/>
      <c r="AF259" s="32"/>
      <c r="AG259" s="32"/>
      <c r="AH259" s="32"/>
      <c r="AI259" s="32"/>
      <c r="AJ259" s="32"/>
      <c r="AK259" s="32"/>
      <c r="AL259" s="32"/>
    </row>
    <row r="260" spans="1:38">
      <c r="A260" s="32" t="str">
        <f>_xlfn.TEXTJOIN("",TRUE,_xlfn.XLOOKUP(B260,Input!J:J,Input!G:G,"",0,1),_xlfn.XLOOKUP(B260,Input!J:J,Input!H:H,"",0,1))</f>
        <v/>
      </c>
      <c r="B260" s="32"/>
      <c r="C260" s="51">
        <f>_xlfn.XLOOKUP(B260,Input!J:J,Input!F:F)</f>
        <v>0</v>
      </c>
      <c r="D260" s="32">
        <f>_xlfn.XLOOKUP(C260,Models!H:H,Models!G:G,C260)</f>
        <v>0</v>
      </c>
      <c r="E260" s="32">
        <f>_xlfn.XLOOKUP(B260,Input!J:J,Input!E:E)</f>
        <v>0</v>
      </c>
      <c r="F260" s="32">
        <f>IF(E260="LENOVO",_xlfn.XLOOKUP(B260,Input!J:J,Input!K:K),_xlfn.XLOOKUP(B260,Input!J:J,Input!L:L))</f>
        <v>0</v>
      </c>
      <c r="G260" s="32"/>
      <c r="H260" s="32"/>
      <c r="I260" s="32">
        <f>_xlfn.XLOOKUP(B260,CPU_Formula!A:A,CPU_Formula!I:I)</f>
        <v>0</v>
      </c>
      <c r="J260" s="51" t="e">
        <f>INDEX(Input!$D$2:$AC$500,
       MATCH(B260, Input!$J$2:$J$500, 0),
       MATCH("Total Memory", Input!$D$1:$AC$1, 0))</f>
        <v>#N/A</v>
      </c>
      <c r="K260" s="51"/>
      <c r="L260" s="51" t="str" cm="1">
        <f t="array" ref="L260">IFERROR(_xlfn.FILTERXML("&lt;t&gt;&lt;s&gt;" &amp; SUBSTITUTE(K260," / ","&lt;/s&gt;&lt;s&gt;") &amp; "&lt;/s&gt;&lt;/t&gt;","(//s[contains(.,'DDR')])[1]"),"")</f>
        <v/>
      </c>
      <c r="M260" s="32" t="e">
        <f t="shared" ref="M260:M323" si="14">_xlfn.TEXTJOIN(" ",TRUE,SUBSTITUTE(J260,"i",""),L260)</f>
        <v>#N/A</v>
      </c>
      <c r="N260" s="51" t="e">
        <f>INDEX(Input!$D$2:$AC$500,
       MATCH(B260, Input!$J$2:$J$500, 0),
       MATCH("Disk Interface Type", Input!$D$1:$AC$1, 0))</f>
        <v>#N/A</v>
      </c>
      <c r="O260" s="51" t="str" cm="1">
        <f t="array" ref="O260">IFERROR(_xlfn.TEXTJOIN(", ", TRUE, _xlfn._xlws.FILTER(
    INDEX(Input!$D$2:$AC$500,,MATCH("Disk Capacity",Input!$D$1:$AC$1,0)),
    Input!$J$2:$J$500=B260
)), "")</f>
        <v/>
      </c>
      <c r="P260" s="32" t="e">
        <f t="shared" si="13"/>
        <v>#N/A</v>
      </c>
      <c r="Q260" s="51" t="e">
        <f>_xlfn.LET(_xlpm.Result,INDEX(Input!$D$2:$AC$500,
       MATCH(B260, Input!$J$2:$J$500, 0),
       MATCH("Capacity", Input!$D$1:$AC$1, 0)),IF(_xlpm.Result="","",_xlpm.Result))</f>
        <v>#N/A</v>
      </c>
      <c r="R260" s="51" t="e" cm="1">
        <f t="array" ref="R260">_xlfn.TEXTSPLIT(Q260," / ", ,TRUE,0,)</f>
        <v>#N/A</v>
      </c>
      <c r="S260" s="51"/>
      <c r="T260" s="51" t="str" cm="1">
        <f t="array" ref="T260">IFERROR(_xlfn.IFS(
R260="","",
--R260&lt;55,"Battery Defect",
--R260&lt;=69,"Battery D",
--R260&lt;=80,"Battery C",
--R260&gt;80,""
),"")</f>
        <v/>
      </c>
      <c r="U260" s="51" t="str" cm="1">
        <f t="array" ref="U260">IFERROR(_xlfn.IFS(
S260="","",
--S260&lt;55,"Battery Defect",
--S260&lt;=69,"Battery D",
--S260&lt;=80,"Battery C",
--S260&gt;80,""
),"")</f>
        <v/>
      </c>
      <c r="V260" s="51"/>
      <c r="W260" s="51"/>
      <c r="X260" s="51"/>
      <c r="Y260" s="51"/>
      <c r="Z260" s="51"/>
      <c r="AA260" s="51"/>
      <c r="AB260" s="51"/>
      <c r="AC260" s="51"/>
      <c r="AD260" s="32" t="str">
        <f t="shared" si="12"/>
        <v/>
      </c>
      <c r="AE260" s="32"/>
      <c r="AF260" s="32"/>
      <c r="AG260" s="32"/>
      <c r="AH260" s="32"/>
      <c r="AI260" s="32"/>
      <c r="AJ260" s="32"/>
      <c r="AK260" s="32"/>
      <c r="AL260" s="32"/>
    </row>
    <row r="261" spans="1:38">
      <c r="A261" s="32" t="str">
        <f>_xlfn.TEXTJOIN("",TRUE,_xlfn.XLOOKUP(B261,Input!J:J,Input!G:G,"",0,1),_xlfn.XLOOKUP(B261,Input!J:J,Input!H:H,"",0,1))</f>
        <v/>
      </c>
      <c r="B261" s="32"/>
      <c r="C261" s="51">
        <f>_xlfn.XLOOKUP(B261,Input!J:J,Input!F:F)</f>
        <v>0</v>
      </c>
      <c r="D261" s="32">
        <f>_xlfn.XLOOKUP(C261,Models!H:H,Models!G:G,C261)</f>
        <v>0</v>
      </c>
      <c r="E261" s="32">
        <f>_xlfn.XLOOKUP(B261,Input!J:J,Input!E:E)</f>
        <v>0</v>
      </c>
      <c r="F261" s="32">
        <f>IF(E261="LENOVO",_xlfn.XLOOKUP(B261,Input!J:J,Input!K:K),_xlfn.XLOOKUP(B261,Input!J:J,Input!L:L))</f>
        <v>0</v>
      </c>
      <c r="G261" s="32"/>
      <c r="H261" s="32"/>
      <c r="I261" s="32"/>
      <c r="J261" s="51" t="e">
        <f>INDEX(Input!$D$2:$AC$500,
       MATCH(B261, Input!$J$2:$J$500, 0),
       MATCH("Total Memory", Input!$D$1:$AC$1, 0))</f>
        <v>#N/A</v>
      </c>
      <c r="K261" s="51"/>
      <c r="L261" s="51" t="str" cm="1">
        <f t="array" ref="L261">IFERROR(_xlfn.FILTERXML("&lt;t&gt;&lt;s&gt;" &amp; SUBSTITUTE(K261," / ","&lt;/s&gt;&lt;s&gt;") &amp; "&lt;/s&gt;&lt;/t&gt;","(//s[contains(.,'DDR')])[1]"),"")</f>
        <v/>
      </c>
      <c r="M261" s="32" t="e">
        <f t="shared" si="14"/>
        <v>#N/A</v>
      </c>
      <c r="N261" s="51" t="e">
        <f>INDEX(Input!$D$2:$AC$500,
       MATCH(B261, Input!$J$2:$J$500, 0),
       MATCH("Disk Interface Type", Input!$D$1:$AC$1, 0))</f>
        <v>#N/A</v>
      </c>
      <c r="O261" s="51" t="str" cm="1">
        <f t="array" ref="O261">IFERROR(_xlfn.TEXTJOIN(", ", TRUE, _xlfn._xlws.FILTER(
    INDEX(Input!$D$2:$AC$500,,MATCH("Disk Capacity",Input!$D$1:$AC$1,0)),
    Input!$J$2:$J$500=B261
)), "")</f>
        <v/>
      </c>
      <c r="P261" s="32" t="e">
        <f t="shared" si="13"/>
        <v>#N/A</v>
      </c>
      <c r="Q261" s="51" t="e">
        <f>_xlfn.LET(_xlpm.Result,INDEX(Input!$D$2:$AC$500,
       MATCH(B261, Input!$J$2:$J$500, 0),
       MATCH("Capacity", Input!$D$1:$AC$1, 0)),IF(_xlpm.Result="","",_xlpm.Result))</f>
        <v>#N/A</v>
      </c>
      <c r="R261" s="51" t="e" cm="1">
        <f t="array" ref="R261">_xlfn.TEXTSPLIT(Q261," / ", ,TRUE,0,)</f>
        <v>#N/A</v>
      </c>
      <c r="S261" s="51"/>
      <c r="T261" s="51" t="str" cm="1">
        <f t="array" ref="T261">IFERROR(_xlfn.IFS(
R261="","",
--R261&lt;55,"Battery Defect",
--R261&lt;=69,"Battery D",
--R261&lt;=80,"Battery C",
--R261&gt;80,""
),"")</f>
        <v/>
      </c>
      <c r="U261" s="51" t="str" cm="1">
        <f t="array" ref="U261">IFERROR(_xlfn.IFS(
S261="","",
--S261&lt;55,"Battery Defect",
--S261&lt;=69,"Battery D",
--S261&lt;=80,"Battery C",
--S261&gt;80,""
),"")</f>
        <v/>
      </c>
      <c r="V261" s="51"/>
      <c r="W261" s="51"/>
      <c r="X261" s="51"/>
      <c r="Y261" s="51"/>
      <c r="Z261" s="51"/>
      <c r="AA261" s="51"/>
      <c r="AB261" s="51"/>
      <c r="AC261" s="51"/>
      <c r="AD261" s="32" t="str">
        <f t="shared" si="12"/>
        <v/>
      </c>
      <c r="AE261" s="32"/>
      <c r="AF261" s="32"/>
      <c r="AG261" s="32"/>
      <c r="AH261" s="32"/>
      <c r="AI261" s="32"/>
      <c r="AJ261" s="32"/>
      <c r="AK261" s="32"/>
      <c r="AL261" s="32"/>
    </row>
    <row r="262" spans="1:38">
      <c r="A262" s="32" t="str">
        <f>_xlfn.TEXTJOIN("",TRUE,_xlfn.XLOOKUP(B262,Input!J:J,Input!G:G,"",0,1),_xlfn.XLOOKUP(B262,Input!J:J,Input!H:H,"",0,1))</f>
        <v/>
      </c>
      <c r="B262" s="32"/>
      <c r="C262" s="51">
        <f>_xlfn.XLOOKUP(B262,Input!J:J,Input!F:F)</f>
        <v>0</v>
      </c>
      <c r="D262" s="32">
        <f>_xlfn.XLOOKUP(C262,Models!H:H,Models!G:G,C262)</f>
        <v>0</v>
      </c>
      <c r="E262" s="32">
        <f>_xlfn.XLOOKUP(B262,Input!J:J,Input!E:E)</f>
        <v>0</v>
      </c>
      <c r="F262" s="32">
        <f>IF(E262="LENOVO",_xlfn.XLOOKUP(B262,Input!J:J,Input!K:K),_xlfn.XLOOKUP(B262,Input!J:J,Input!L:L))</f>
        <v>0</v>
      </c>
      <c r="G262" s="32"/>
      <c r="H262" s="32"/>
      <c r="I262" s="32"/>
      <c r="J262" s="51" t="e">
        <f>INDEX(Input!$D$2:$AC$500,
       MATCH(B262, Input!$J$2:$J$500, 0),
       MATCH("Total Memory", Input!$D$1:$AC$1, 0))</f>
        <v>#N/A</v>
      </c>
      <c r="K262" s="51"/>
      <c r="L262" s="51" t="str" cm="1">
        <f t="array" ref="L262">IFERROR(_xlfn.FILTERXML("&lt;t&gt;&lt;s&gt;" &amp; SUBSTITUTE(K262," / ","&lt;/s&gt;&lt;s&gt;") &amp; "&lt;/s&gt;&lt;/t&gt;","(//s[contains(.,'DDR')])[1]"),"")</f>
        <v/>
      </c>
      <c r="M262" s="32" t="e">
        <f t="shared" si="14"/>
        <v>#N/A</v>
      </c>
      <c r="N262" s="51" t="e">
        <f>INDEX(Input!$D$2:$AC$500,
       MATCH(B262, Input!$J$2:$J$500, 0),
       MATCH("Disk Interface Type", Input!$D$1:$AC$1, 0))</f>
        <v>#N/A</v>
      </c>
      <c r="O262" s="51" t="str" cm="1">
        <f t="array" ref="O262">IFERROR(_xlfn.TEXTJOIN(", ", TRUE, _xlfn._xlws.FILTER(
    INDEX(Input!$D$2:$AC$500,,MATCH("Disk Capacity",Input!$D$1:$AC$1,0)),
    Input!$J$2:$J$500=B262
)), "")</f>
        <v/>
      </c>
      <c r="P262" s="32" t="e">
        <f t="shared" si="13"/>
        <v>#N/A</v>
      </c>
      <c r="Q262" s="51" t="e">
        <f>_xlfn.LET(_xlpm.Result,INDEX(Input!$D$2:$AC$500,
       MATCH(B262, Input!$J$2:$J$500, 0),
       MATCH("Capacity", Input!$D$1:$AC$1, 0)),IF(_xlpm.Result="","",_xlpm.Result))</f>
        <v>#N/A</v>
      </c>
      <c r="R262" s="51" t="e" cm="1">
        <f t="array" ref="R262">_xlfn.TEXTSPLIT(Q262," / ", ,TRUE,0,)</f>
        <v>#N/A</v>
      </c>
      <c r="S262" s="51"/>
      <c r="T262" s="51" t="str" cm="1">
        <f t="array" ref="T262">IFERROR(_xlfn.IFS(
R262="","",
--R262&lt;55,"Battery Defect",
--R262&lt;=69,"Battery D",
--R262&lt;=80,"Battery C",
--R262&gt;80,""
),"")</f>
        <v/>
      </c>
      <c r="U262" s="51" t="str" cm="1">
        <f t="array" ref="U262">IFERROR(_xlfn.IFS(
S262="","",
--S262&lt;55,"Battery Defect",
--S262&lt;=69,"Battery D",
--S262&lt;=80,"Battery C",
--S262&gt;80,""
),"")</f>
        <v/>
      </c>
      <c r="V262" s="51"/>
      <c r="W262" s="51"/>
      <c r="X262" s="51"/>
      <c r="Y262" s="51"/>
      <c r="Z262" s="51"/>
      <c r="AA262" s="51"/>
      <c r="AB262" s="51"/>
      <c r="AC262" s="51"/>
      <c r="AD262" s="32" t="str">
        <f t="shared" si="12"/>
        <v/>
      </c>
      <c r="AE262" s="32"/>
      <c r="AF262" s="32"/>
      <c r="AG262" s="32"/>
      <c r="AH262" s="32"/>
      <c r="AI262" s="32"/>
      <c r="AJ262" s="32"/>
      <c r="AK262" s="32"/>
      <c r="AL262" s="32"/>
    </row>
    <row r="263" spans="1:38">
      <c r="A263" s="32" t="str">
        <f>_xlfn.TEXTJOIN("",TRUE,_xlfn.XLOOKUP(B263,Input!J:J,Input!G:G,"",0,1),_xlfn.XLOOKUP(B263,Input!J:J,Input!H:H,"",0,1))</f>
        <v/>
      </c>
      <c r="B263" s="32"/>
      <c r="C263" s="51">
        <f>_xlfn.XLOOKUP(B263,Input!J:J,Input!F:F)</f>
        <v>0</v>
      </c>
      <c r="D263" s="32">
        <f>_xlfn.XLOOKUP(C263,Models!H:H,Models!G:G,C263)</f>
        <v>0</v>
      </c>
      <c r="E263" s="32">
        <f>_xlfn.XLOOKUP(B263,Input!J:J,Input!E:E)</f>
        <v>0</v>
      </c>
      <c r="F263" s="32">
        <f>IF(E263="LENOVO",_xlfn.XLOOKUP(B263,Input!J:J,Input!K:K),_xlfn.XLOOKUP(B263,Input!J:J,Input!L:L))</f>
        <v>0</v>
      </c>
      <c r="G263" s="32"/>
      <c r="H263" s="32"/>
      <c r="I263" s="32"/>
      <c r="J263" s="51" t="e">
        <f>INDEX(Input!$D$2:$AC$500,
       MATCH(B263, Input!$J$2:$J$500, 0),
       MATCH("Total Memory", Input!$D$1:$AC$1, 0))</f>
        <v>#N/A</v>
      </c>
      <c r="K263" s="51"/>
      <c r="L263" s="51" t="str" cm="1">
        <f t="array" ref="L263">IFERROR(_xlfn.FILTERXML("&lt;t&gt;&lt;s&gt;" &amp; SUBSTITUTE(K263," / ","&lt;/s&gt;&lt;s&gt;") &amp; "&lt;/s&gt;&lt;/t&gt;","(//s[contains(.,'DDR')])[1]"),"")</f>
        <v/>
      </c>
      <c r="M263" s="32" t="e">
        <f t="shared" si="14"/>
        <v>#N/A</v>
      </c>
      <c r="N263" s="51" t="e">
        <f>INDEX(Input!$D$2:$AC$500,
       MATCH(B263, Input!$J$2:$J$500, 0),
       MATCH("Disk Interface Type", Input!$D$1:$AC$1, 0))</f>
        <v>#N/A</v>
      </c>
      <c r="O263" s="51" t="str" cm="1">
        <f t="array" ref="O263">IFERROR(_xlfn.TEXTJOIN(", ", TRUE, _xlfn._xlws.FILTER(
    INDEX(Input!$D$2:$AC$500,,MATCH("Disk Capacity",Input!$D$1:$AC$1,0)),
    Input!$J$2:$J$500=B263
)), "")</f>
        <v/>
      </c>
      <c r="P263" s="32" t="e">
        <f t="shared" si="13"/>
        <v>#N/A</v>
      </c>
      <c r="Q263" s="51" t="e">
        <f>_xlfn.LET(_xlpm.Result,INDEX(Input!$D$2:$AC$500,
       MATCH(B263, Input!$J$2:$J$500, 0),
       MATCH("Capacity", Input!$D$1:$AC$1, 0)),IF(_xlpm.Result="","",_xlpm.Result))</f>
        <v>#N/A</v>
      </c>
      <c r="R263" s="51" t="e" cm="1">
        <f t="array" ref="R263">_xlfn.TEXTSPLIT(Q263," / ", ,TRUE,0,)</f>
        <v>#N/A</v>
      </c>
      <c r="S263" s="51"/>
      <c r="T263" s="51" t="str" cm="1">
        <f t="array" ref="T263">IFERROR(_xlfn.IFS(
R263="","",
--R263&lt;55,"Battery Defect",
--R263&lt;=69,"Battery D",
--R263&lt;=80,"Battery C",
--R263&gt;80,""
),"")</f>
        <v/>
      </c>
      <c r="U263" s="51" t="str" cm="1">
        <f t="array" ref="U263">IFERROR(_xlfn.IFS(
S263="","",
--S263&lt;55,"Battery Defect",
--S263&lt;=69,"Battery D",
--S263&lt;=80,"Battery C",
--S263&gt;80,""
),"")</f>
        <v/>
      </c>
      <c r="V263" s="51"/>
      <c r="W263" s="51"/>
      <c r="X263" s="51"/>
      <c r="Y263" s="51"/>
      <c r="Z263" s="51"/>
      <c r="AA263" s="51"/>
      <c r="AB263" s="51"/>
      <c r="AC263" s="51"/>
      <c r="AD263" s="32" t="str">
        <f t="shared" si="12"/>
        <v/>
      </c>
      <c r="AE263" s="32"/>
      <c r="AF263" s="32"/>
      <c r="AG263" s="32"/>
      <c r="AH263" s="32"/>
      <c r="AI263" s="32"/>
      <c r="AJ263" s="32"/>
      <c r="AK263" s="32"/>
      <c r="AL263" s="32"/>
    </row>
    <row r="264" spans="1:38">
      <c r="A264" s="32" t="str">
        <f>_xlfn.TEXTJOIN("",TRUE,_xlfn.XLOOKUP(B264,Input!J:J,Input!G:G,"",0,1),_xlfn.XLOOKUP(B264,Input!J:J,Input!H:H,"",0,1))</f>
        <v/>
      </c>
      <c r="B264" s="32"/>
      <c r="C264" s="51">
        <f>_xlfn.XLOOKUP(B264,Input!J:J,Input!F:F)</f>
        <v>0</v>
      </c>
      <c r="D264" s="32">
        <f>_xlfn.XLOOKUP(C264,Models!H:H,Models!G:G,C264)</f>
        <v>0</v>
      </c>
      <c r="E264" s="32">
        <f>_xlfn.XLOOKUP(B264,Input!J:J,Input!E:E)</f>
        <v>0</v>
      </c>
      <c r="F264" s="32">
        <f>IF(E264="LENOVO",_xlfn.XLOOKUP(B264,Input!J:J,Input!K:K),_xlfn.XLOOKUP(B264,Input!J:J,Input!L:L))</f>
        <v>0</v>
      </c>
      <c r="G264" s="32"/>
      <c r="H264" s="32"/>
      <c r="I264" s="32"/>
      <c r="J264" s="51" t="e">
        <f>INDEX(Input!$D$2:$AC$500,
       MATCH(B264, Input!$J$2:$J$500, 0),
       MATCH("Total Memory", Input!$D$1:$AC$1, 0))</f>
        <v>#N/A</v>
      </c>
      <c r="K264" s="51"/>
      <c r="L264" s="51" t="str" cm="1">
        <f t="array" ref="L264">IFERROR(_xlfn.FILTERXML("&lt;t&gt;&lt;s&gt;" &amp; SUBSTITUTE(K264," / ","&lt;/s&gt;&lt;s&gt;") &amp; "&lt;/s&gt;&lt;/t&gt;","(//s[contains(.,'DDR')])[1]"),"")</f>
        <v/>
      </c>
      <c r="M264" s="32" t="e">
        <f t="shared" si="14"/>
        <v>#N/A</v>
      </c>
      <c r="N264" s="51" t="e">
        <f>INDEX(Input!$D$2:$AC$500,
       MATCH(B264, Input!$J$2:$J$500, 0),
       MATCH("Disk Interface Type", Input!$D$1:$AC$1, 0))</f>
        <v>#N/A</v>
      </c>
      <c r="O264" s="51" t="str" cm="1">
        <f t="array" ref="O264">IFERROR(_xlfn.TEXTJOIN(", ", TRUE, _xlfn._xlws.FILTER(
    INDEX(Input!$D$2:$AC$500,,MATCH("Disk Capacity",Input!$D$1:$AC$1,0)),
    Input!$J$2:$J$500=B264
)), "")</f>
        <v/>
      </c>
      <c r="P264" s="32" t="e">
        <f t="shared" si="13"/>
        <v>#N/A</v>
      </c>
      <c r="Q264" s="51" t="e">
        <f>_xlfn.LET(_xlpm.Result,INDEX(Input!$D$2:$AC$500,
       MATCH(B264, Input!$J$2:$J$500, 0),
       MATCH("Capacity", Input!$D$1:$AC$1, 0)),IF(_xlpm.Result="","",_xlpm.Result))</f>
        <v>#N/A</v>
      </c>
      <c r="R264" s="51" t="e" cm="1">
        <f t="array" ref="R264">_xlfn.TEXTSPLIT(Q264," / ", ,TRUE,0,)</f>
        <v>#N/A</v>
      </c>
      <c r="S264" s="51"/>
      <c r="T264" s="51" t="str" cm="1">
        <f t="array" ref="T264">IFERROR(_xlfn.IFS(
R264="","",
--R264&lt;55,"Battery Defect",
--R264&lt;=69,"Battery D",
--R264&lt;=80,"Battery C",
--R264&gt;80,""
),"")</f>
        <v/>
      </c>
      <c r="U264" s="51" t="str" cm="1">
        <f t="array" ref="U264">IFERROR(_xlfn.IFS(
S264="","",
--S264&lt;55,"Battery Defect",
--S264&lt;=69,"Battery D",
--S264&lt;=80,"Battery C",
--S264&gt;80,""
),"")</f>
        <v/>
      </c>
      <c r="V264" s="51"/>
      <c r="W264" s="51"/>
      <c r="X264" s="51"/>
      <c r="Y264" s="51"/>
      <c r="Z264" s="51"/>
      <c r="AA264" s="51"/>
      <c r="AB264" s="51"/>
      <c r="AC264" s="51"/>
      <c r="AD264" s="32" t="str">
        <f t="shared" si="12"/>
        <v/>
      </c>
      <c r="AE264" s="32"/>
      <c r="AF264" s="32"/>
      <c r="AG264" s="32"/>
      <c r="AH264" s="32"/>
      <c r="AI264" s="32"/>
      <c r="AJ264" s="32"/>
      <c r="AK264" s="32"/>
      <c r="AL264" s="32"/>
    </row>
    <row r="265" spans="1:38">
      <c r="A265" s="32" t="str">
        <f>_xlfn.TEXTJOIN("",TRUE,_xlfn.XLOOKUP(B265,Input!J:J,Input!G:G,"",0,1),_xlfn.XLOOKUP(B265,Input!J:J,Input!H:H,"",0,1))</f>
        <v/>
      </c>
      <c r="B265" s="32"/>
      <c r="C265" s="51">
        <f>_xlfn.XLOOKUP(B265,Input!J:J,Input!F:F)</f>
        <v>0</v>
      </c>
      <c r="D265" s="32">
        <f>_xlfn.XLOOKUP(C265,Models!H:H,Models!G:G,C265)</f>
        <v>0</v>
      </c>
      <c r="E265" s="32">
        <f>_xlfn.XLOOKUP(B265,Input!J:J,Input!E:E)</f>
        <v>0</v>
      </c>
      <c r="F265" s="32">
        <f>IF(E265="LENOVO",_xlfn.XLOOKUP(B265,Input!J:J,Input!K:K),_xlfn.XLOOKUP(B265,Input!J:J,Input!L:L))</f>
        <v>0</v>
      </c>
      <c r="G265" s="32"/>
      <c r="H265" s="32"/>
      <c r="I265" s="32"/>
      <c r="J265" s="51" t="e">
        <f>INDEX(Input!$D$2:$AC$500,
       MATCH(B265, Input!$J$2:$J$500, 0),
       MATCH("Total Memory", Input!$D$1:$AC$1, 0))</f>
        <v>#N/A</v>
      </c>
      <c r="K265" s="51"/>
      <c r="L265" s="51" t="str" cm="1">
        <f t="array" ref="L265">IFERROR(_xlfn.FILTERXML("&lt;t&gt;&lt;s&gt;" &amp; SUBSTITUTE(K265," / ","&lt;/s&gt;&lt;s&gt;") &amp; "&lt;/s&gt;&lt;/t&gt;","(//s[contains(.,'DDR')])[1]"),"")</f>
        <v/>
      </c>
      <c r="M265" s="32" t="e">
        <f t="shared" si="14"/>
        <v>#N/A</v>
      </c>
      <c r="N265" s="51" t="e">
        <f>INDEX(Input!$D$2:$AC$500,
       MATCH(B265, Input!$J$2:$J$500, 0),
       MATCH("Disk Interface Type", Input!$D$1:$AC$1, 0))</f>
        <v>#N/A</v>
      </c>
      <c r="O265" s="51" t="str" cm="1">
        <f t="array" ref="O265">IFERROR(_xlfn.TEXTJOIN(", ", TRUE, _xlfn._xlws.FILTER(
    INDEX(Input!$D$2:$AC$500,,MATCH("Disk Capacity",Input!$D$1:$AC$1,0)),
    Input!$J$2:$J$500=B265
)), "")</f>
        <v/>
      </c>
      <c r="P265" s="32" t="e">
        <f t="shared" si="13"/>
        <v>#N/A</v>
      </c>
      <c r="Q265" s="51" t="e">
        <f>_xlfn.LET(_xlpm.Result,INDEX(Input!$D$2:$AC$500,
       MATCH(B265, Input!$J$2:$J$500, 0),
       MATCH("Capacity", Input!$D$1:$AC$1, 0)),IF(_xlpm.Result="","",_xlpm.Result))</f>
        <v>#N/A</v>
      </c>
      <c r="R265" s="51" t="e" cm="1">
        <f t="array" ref="R265">_xlfn.TEXTSPLIT(Q265," / ", ,TRUE,0,)</f>
        <v>#N/A</v>
      </c>
      <c r="S265" s="51"/>
      <c r="T265" s="51" t="str" cm="1">
        <f t="array" ref="T265">IFERROR(_xlfn.IFS(
R265="","",
--R265&lt;55,"Battery Defect",
--R265&lt;=69,"Battery D",
--R265&lt;=80,"Battery C",
--R265&gt;80,""
),"")</f>
        <v/>
      </c>
      <c r="U265" s="51" t="str" cm="1">
        <f t="array" ref="U265">IFERROR(_xlfn.IFS(
S265="","",
--S265&lt;55,"Battery Defect",
--S265&lt;=69,"Battery D",
--S265&lt;=80,"Battery C",
--S265&gt;80,""
),"")</f>
        <v/>
      </c>
      <c r="V265" s="51"/>
      <c r="W265" s="51"/>
      <c r="X265" s="51"/>
      <c r="Y265" s="51"/>
      <c r="Z265" s="51"/>
      <c r="AA265" s="51"/>
      <c r="AB265" s="51"/>
      <c r="AC265" s="51"/>
      <c r="AD265" s="32" t="str">
        <f t="shared" si="12"/>
        <v/>
      </c>
      <c r="AE265" s="32"/>
      <c r="AF265" s="32"/>
      <c r="AG265" s="32"/>
      <c r="AH265" s="32"/>
      <c r="AI265" s="32"/>
      <c r="AJ265" s="32"/>
      <c r="AK265" s="32"/>
      <c r="AL265" s="32"/>
    </row>
    <row r="266" spans="1:38">
      <c r="A266" s="32" t="str">
        <f>_xlfn.TEXTJOIN("",TRUE,_xlfn.XLOOKUP(B266,Input!J:J,Input!G:G,"",0,1),_xlfn.XLOOKUP(B266,Input!J:J,Input!H:H,"",0,1))</f>
        <v/>
      </c>
      <c r="B266" s="32"/>
      <c r="C266" s="51">
        <f>_xlfn.XLOOKUP(B266,Input!J:J,Input!F:F)</f>
        <v>0</v>
      </c>
      <c r="D266" s="32">
        <f>_xlfn.XLOOKUP(C266,Models!H:H,Models!G:G,C266)</f>
        <v>0</v>
      </c>
      <c r="E266" s="32">
        <f>_xlfn.XLOOKUP(B266,Input!J:J,Input!E:E)</f>
        <v>0</v>
      </c>
      <c r="F266" s="32">
        <f>IF(E266="LENOVO",_xlfn.XLOOKUP(B266,Input!J:J,Input!K:K),_xlfn.XLOOKUP(B266,Input!J:J,Input!L:L))</f>
        <v>0</v>
      </c>
      <c r="G266" s="32"/>
      <c r="H266" s="32"/>
      <c r="I266" s="32"/>
      <c r="J266" s="51" t="e">
        <f>INDEX(Input!$D$2:$AC$500,
       MATCH(B266, Input!$J$2:$J$500, 0),
       MATCH("Total Memory", Input!$D$1:$AC$1, 0))</f>
        <v>#N/A</v>
      </c>
      <c r="K266" s="51"/>
      <c r="L266" s="51" t="str" cm="1">
        <f t="array" ref="L266">IFERROR(_xlfn.FILTERXML("&lt;t&gt;&lt;s&gt;" &amp; SUBSTITUTE(K266," / ","&lt;/s&gt;&lt;s&gt;") &amp; "&lt;/s&gt;&lt;/t&gt;","(//s[contains(.,'DDR')])[1]"),"")</f>
        <v/>
      </c>
      <c r="M266" s="32" t="e">
        <f t="shared" si="14"/>
        <v>#N/A</v>
      </c>
      <c r="N266" s="51" t="e">
        <f>INDEX(Input!$D$2:$AC$500,
       MATCH(B266, Input!$J$2:$J$500, 0),
       MATCH("Disk Interface Type", Input!$D$1:$AC$1, 0))</f>
        <v>#N/A</v>
      </c>
      <c r="O266" s="51" t="str" cm="1">
        <f t="array" ref="O266">IFERROR(_xlfn.TEXTJOIN(", ", TRUE, _xlfn._xlws.FILTER(
    INDEX(Input!$D$2:$AC$500,,MATCH("Disk Capacity",Input!$D$1:$AC$1,0)),
    Input!$J$2:$J$500=B266
)), "")</f>
        <v/>
      </c>
      <c r="P266" s="32" t="e">
        <f t="shared" si="13"/>
        <v>#N/A</v>
      </c>
      <c r="Q266" s="51" t="e">
        <f>_xlfn.LET(_xlpm.Result,INDEX(Input!$D$2:$AC$500,
       MATCH(B266, Input!$J$2:$J$500, 0),
       MATCH("Capacity", Input!$D$1:$AC$1, 0)),IF(_xlpm.Result="","",_xlpm.Result))</f>
        <v>#N/A</v>
      </c>
      <c r="R266" s="51" t="e" cm="1">
        <f t="array" ref="R266">_xlfn.TEXTSPLIT(Q266," / ", ,TRUE,0,)</f>
        <v>#N/A</v>
      </c>
      <c r="S266" s="51"/>
      <c r="T266" s="51" t="str" cm="1">
        <f t="array" ref="T266">IFERROR(_xlfn.IFS(
R266="","",
--R266&lt;55,"Battery Defect",
--R266&lt;=69,"Battery D",
--R266&lt;=80,"Battery C",
--R266&gt;80,""
),"")</f>
        <v/>
      </c>
      <c r="U266" s="51" t="str" cm="1">
        <f t="array" ref="U266">IFERROR(_xlfn.IFS(
S266="","",
--S266&lt;55,"Battery Defect",
--S266&lt;=69,"Battery D",
--S266&lt;=80,"Battery C",
--S266&gt;80,""
),"")</f>
        <v/>
      </c>
      <c r="V266" s="51"/>
      <c r="W266" s="51"/>
      <c r="X266" s="51"/>
      <c r="Y266" s="51"/>
      <c r="Z266" s="51"/>
      <c r="AA266" s="51"/>
      <c r="AB266" s="51"/>
      <c r="AC266" s="51"/>
      <c r="AD266" s="32" t="str">
        <f t="shared" si="12"/>
        <v/>
      </c>
      <c r="AE266" s="32"/>
      <c r="AF266" s="32"/>
      <c r="AG266" s="32"/>
      <c r="AH266" s="32"/>
      <c r="AI266" s="32"/>
      <c r="AJ266" s="32"/>
      <c r="AK266" s="32"/>
      <c r="AL266" s="32"/>
    </row>
    <row r="267" spans="1:38">
      <c r="A267" s="32" t="str">
        <f>_xlfn.TEXTJOIN("",TRUE,_xlfn.XLOOKUP(B267,Input!J:J,Input!G:G,"",0,1),_xlfn.XLOOKUP(B267,Input!J:J,Input!H:H,"",0,1))</f>
        <v/>
      </c>
      <c r="B267" s="32"/>
      <c r="C267" s="51">
        <f>_xlfn.XLOOKUP(B267,Input!J:J,Input!F:F)</f>
        <v>0</v>
      </c>
      <c r="D267" s="32">
        <f>_xlfn.XLOOKUP(C267,Models!H:H,Models!G:G,C267)</f>
        <v>0</v>
      </c>
      <c r="E267" s="32">
        <f>_xlfn.XLOOKUP(B267,Input!J:J,Input!E:E)</f>
        <v>0</v>
      </c>
      <c r="F267" s="32">
        <f>IF(E267="LENOVO",_xlfn.XLOOKUP(B267,Input!J:J,Input!K:K),_xlfn.XLOOKUP(B267,Input!J:J,Input!L:L))</f>
        <v>0</v>
      </c>
      <c r="G267" s="32"/>
      <c r="H267" s="32"/>
      <c r="I267" s="32"/>
      <c r="J267" s="51" t="e">
        <f>INDEX(Input!$D$2:$AC$500,
       MATCH(B267, Input!$J$2:$J$500, 0),
       MATCH("Total Memory", Input!$D$1:$AC$1, 0))</f>
        <v>#N/A</v>
      </c>
      <c r="K267" s="51"/>
      <c r="L267" s="51" t="str" cm="1">
        <f t="array" ref="L267">IFERROR(_xlfn.FILTERXML("&lt;t&gt;&lt;s&gt;" &amp; SUBSTITUTE(K267," / ","&lt;/s&gt;&lt;s&gt;") &amp; "&lt;/s&gt;&lt;/t&gt;","(//s[contains(.,'DDR')])[1]"),"")</f>
        <v/>
      </c>
      <c r="M267" s="32" t="e">
        <f t="shared" si="14"/>
        <v>#N/A</v>
      </c>
      <c r="N267" s="51" t="e">
        <f>INDEX(Input!$D$2:$AC$500,
       MATCH(B267, Input!$J$2:$J$500, 0),
       MATCH("Disk Interface Type", Input!$D$1:$AC$1, 0))</f>
        <v>#N/A</v>
      </c>
      <c r="O267" s="51" t="str" cm="1">
        <f t="array" ref="O267">IFERROR(_xlfn.TEXTJOIN(", ", TRUE, _xlfn._xlws.FILTER(
    INDEX(Input!$D$2:$AC$500,,MATCH("Disk Capacity",Input!$D$1:$AC$1,0)),
    Input!$J$2:$J$500=B267
)), "")</f>
        <v/>
      </c>
      <c r="P267" s="32" t="e">
        <f t="shared" si="13"/>
        <v>#N/A</v>
      </c>
      <c r="Q267" s="51" t="e">
        <f>_xlfn.LET(_xlpm.Result,INDEX(Input!$D$2:$AC$500,
       MATCH(B267, Input!$J$2:$J$500, 0),
       MATCH("Capacity", Input!$D$1:$AC$1, 0)),IF(_xlpm.Result="","",_xlpm.Result))</f>
        <v>#N/A</v>
      </c>
      <c r="R267" s="51" t="e" cm="1">
        <f t="array" ref="R267">_xlfn.TEXTSPLIT(Q267," / ", ,TRUE,0,)</f>
        <v>#N/A</v>
      </c>
      <c r="S267" s="51"/>
      <c r="T267" s="51" t="str" cm="1">
        <f t="array" ref="T267">IFERROR(_xlfn.IFS(
R267="","",
--R267&lt;55,"Battery Defect",
--R267&lt;=69,"Battery D",
--R267&lt;=80,"Battery C",
--R267&gt;80,""
),"")</f>
        <v/>
      </c>
      <c r="U267" s="51" t="str" cm="1">
        <f t="array" ref="U267">IFERROR(_xlfn.IFS(
S267="","",
--S267&lt;55,"Battery Defect",
--S267&lt;=69,"Battery D",
--S267&lt;=80,"Battery C",
--S267&gt;80,""
),"")</f>
        <v/>
      </c>
      <c r="V267" s="51"/>
      <c r="W267" s="51"/>
      <c r="X267" s="51"/>
      <c r="Y267" s="51"/>
      <c r="Z267" s="51"/>
      <c r="AA267" s="51"/>
      <c r="AB267" s="51"/>
      <c r="AC267" s="51"/>
      <c r="AD267" s="32" t="str">
        <f t="shared" si="12"/>
        <v/>
      </c>
      <c r="AE267" s="32"/>
      <c r="AF267" s="32"/>
      <c r="AG267" s="32"/>
      <c r="AH267" s="32"/>
      <c r="AI267" s="32"/>
      <c r="AJ267" s="32"/>
      <c r="AK267" s="32"/>
      <c r="AL267" s="32"/>
    </row>
    <row r="268" spans="1:38">
      <c r="A268" s="32" t="str">
        <f>_xlfn.TEXTJOIN("",TRUE,_xlfn.XLOOKUP(B268,Input!J:J,Input!G:G,"",0,1),_xlfn.XLOOKUP(B268,Input!J:J,Input!H:H,"",0,1))</f>
        <v/>
      </c>
      <c r="B268" s="32"/>
      <c r="C268" s="51">
        <f>_xlfn.XLOOKUP(B268,Input!J:J,Input!F:F)</f>
        <v>0</v>
      </c>
      <c r="D268" s="32">
        <f>_xlfn.XLOOKUP(C268,Models!H:H,Models!G:G,C268)</f>
        <v>0</v>
      </c>
      <c r="E268" s="32">
        <f>_xlfn.XLOOKUP(B268,Input!J:J,Input!E:E)</f>
        <v>0</v>
      </c>
      <c r="F268" s="32">
        <f>IF(E268="LENOVO",_xlfn.XLOOKUP(B268,Input!J:J,Input!K:K),_xlfn.XLOOKUP(B268,Input!J:J,Input!L:L))</f>
        <v>0</v>
      </c>
      <c r="G268" s="32"/>
      <c r="H268" s="32"/>
      <c r="I268" s="32"/>
      <c r="J268" s="51" t="e">
        <f>INDEX(Input!$D$2:$AC$500,
       MATCH(B268, Input!$J$2:$J$500, 0),
       MATCH("Total Memory", Input!$D$1:$AC$1, 0))</f>
        <v>#N/A</v>
      </c>
      <c r="K268" s="51"/>
      <c r="L268" s="51" t="str" cm="1">
        <f t="array" ref="L268">IFERROR(_xlfn.FILTERXML("&lt;t&gt;&lt;s&gt;" &amp; SUBSTITUTE(K268," / ","&lt;/s&gt;&lt;s&gt;") &amp; "&lt;/s&gt;&lt;/t&gt;","(//s[contains(.,'DDR')])[1]"),"")</f>
        <v/>
      </c>
      <c r="M268" s="32" t="e">
        <f t="shared" si="14"/>
        <v>#N/A</v>
      </c>
      <c r="N268" s="51" t="e">
        <f>INDEX(Input!$D$2:$AC$500,
       MATCH(B268, Input!$J$2:$J$500, 0),
       MATCH("Disk Interface Type", Input!$D$1:$AC$1, 0))</f>
        <v>#N/A</v>
      </c>
      <c r="O268" s="51" t="str" cm="1">
        <f t="array" ref="O268">IFERROR(_xlfn.TEXTJOIN(", ", TRUE, _xlfn._xlws.FILTER(
    INDEX(Input!$D$2:$AC$500,,MATCH("Disk Capacity",Input!$D$1:$AC$1,0)),
    Input!$J$2:$J$500=B268
)), "")</f>
        <v/>
      </c>
      <c r="P268" s="32" t="e">
        <f t="shared" si="13"/>
        <v>#N/A</v>
      </c>
      <c r="Q268" s="51" t="e">
        <f>_xlfn.LET(_xlpm.Result,INDEX(Input!$D$2:$AC$500,
       MATCH(B268, Input!$J$2:$J$500, 0),
       MATCH("Capacity", Input!$D$1:$AC$1, 0)),IF(_xlpm.Result="","",_xlpm.Result))</f>
        <v>#N/A</v>
      </c>
      <c r="R268" s="51" t="e" cm="1">
        <f t="array" ref="R268">_xlfn.TEXTSPLIT(Q268," / ", ,TRUE,0,)</f>
        <v>#N/A</v>
      </c>
      <c r="S268" s="51"/>
      <c r="T268" s="51" t="str" cm="1">
        <f t="array" ref="T268">IFERROR(_xlfn.IFS(
R268="","",
--R268&lt;55,"Battery Defect",
--R268&lt;=69,"Battery D",
--R268&lt;=80,"Battery C",
--R268&gt;80,""
),"")</f>
        <v/>
      </c>
      <c r="U268" s="51" t="str" cm="1">
        <f t="array" ref="U268">IFERROR(_xlfn.IFS(
S268="","",
--S268&lt;55,"Battery Defect",
--S268&lt;=69,"Battery D",
--S268&lt;=80,"Battery C",
--S268&gt;80,""
),"")</f>
        <v/>
      </c>
      <c r="V268" s="51"/>
      <c r="W268" s="51"/>
      <c r="X268" s="51"/>
      <c r="Y268" s="51"/>
      <c r="Z268" s="51"/>
      <c r="AA268" s="51"/>
      <c r="AB268" s="51"/>
      <c r="AC268" s="51"/>
      <c r="AD268" s="32" t="str">
        <f t="shared" si="12"/>
        <v/>
      </c>
      <c r="AE268" s="32"/>
      <c r="AF268" s="32"/>
      <c r="AG268" s="32"/>
      <c r="AH268" s="32"/>
      <c r="AI268" s="32"/>
      <c r="AJ268" s="32"/>
      <c r="AK268" s="32"/>
      <c r="AL268" s="32"/>
    </row>
    <row r="269" spans="1:38">
      <c r="A269" s="32" t="str">
        <f>_xlfn.TEXTJOIN("",TRUE,_xlfn.XLOOKUP(B269,Input!J:J,Input!G:G,"",0,1),_xlfn.XLOOKUP(B269,Input!J:J,Input!H:H,"",0,1))</f>
        <v/>
      </c>
      <c r="B269" s="32"/>
      <c r="C269" s="51">
        <f>_xlfn.XLOOKUP(B269,Input!J:J,Input!F:F)</f>
        <v>0</v>
      </c>
      <c r="D269" s="32">
        <f>_xlfn.XLOOKUP(C269,Models!H:H,Models!G:G,C269)</f>
        <v>0</v>
      </c>
      <c r="E269" s="32">
        <f>_xlfn.XLOOKUP(B269,Input!J:J,Input!E:E)</f>
        <v>0</v>
      </c>
      <c r="F269" s="32">
        <f>IF(E269="LENOVO",_xlfn.XLOOKUP(B269,Input!J:J,Input!K:K),_xlfn.XLOOKUP(B269,Input!J:J,Input!L:L))</f>
        <v>0</v>
      </c>
      <c r="G269" s="32"/>
      <c r="H269" s="32"/>
      <c r="I269" s="32"/>
      <c r="J269" s="51" t="e">
        <f>INDEX(Input!$D$2:$AC$500,
       MATCH(B269, Input!$J$2:$J$500, 0),
       MATCH("Total Memory", Input!$D$1:$AC$1, 0))</f>
        <v>#N/A</v>
      </c>
      <c r="K269" s="51"/>
      <c r="L269" s="51" t="str" cm="1">
        <f t="array" ref="L269">IFERROR(_xlfn.FILTERXML("&lt;t&gt;&lt;s&gt;" &amp; SUBSTITUTE(K269," / ","&lt;/s&gt;&lt;s&gt;") &amp; "&lt;/s&gt;&lt;/t&gt;","(//s[contains(.,'DDR')])[1]"),"")</f>
        <v/>
      </c>
      <c r="M269" s="32" t="e">
        <f t="shared" si="14"/>
        <v>#N/A</v>
      </c>
      <c r="N269" s="51" t="e">
        <f>INDEX(Input!$D$2:$AC$500,
       MATCH(B269, Input!$J$2:$J$500, 0),
       MATCH("Disk Interface Type", Input!$D$1:$AC$1, 0))</f>
        <v>#N/A</v>
      </c>
      <c r="O269" s="51" t="str" cm="1">
        <f t="array" ref="O269">IFERROR(_xlfn.TEXTJOIN(", ", TRUE, _xlfn._xlws.FILTER(
    INDEX(Input!$D$2:$AC$500,,MATCH("Disk Capacity",Input!$D$1:$AC$1,0)),
    Input!$J$2:$J$500=B269
)), "")</f>
        <v/>
      </c>
      <c r="P269" s="32" t="e">
        <f t="shared" si="13"/>
        <v>#N/A</v>
      </c>
      <c r="Q269" s="51" t="e">
        <f>_xlfn.LET(_xlpm.Result,INDEX(Input!$D$2:$AC$500,
       MATCH(B269, Input!$J$2:$J$500, 0),
       MATCH("Capacity", Input!$D$1:$AC$1, 0)),IF(_xlpm.Result="","",_xlpm.Result))</f>
        <v>#N/A</v>
      </c>
      <c r="R269" s="51" t="e" cm="1">
        <f t="array" ref="R269">_xlfn.TEXTSPLIT(Q269," / ", ,TRUE,0,)</f>
        <v>#N/A</v>
      </c>
      <c r="S269" s="51"/>
      <c r="T269" s="51" t="str" cm="1">
        <f t="array" ref="T269">IFERROR(_xlfn.IFS(
R269="","",
--R269&lt;55,"Battery Defect",
--R269&lt;=69,"Battery D",
--R269&lt;=80,"Battery C",
--R269&gt;80,""
),"")</f>
        <v/>
      </c>
      <c r="U269" s="51" t="str" cm="1">
        <f t="array" ref="U269">IFERROR(_xlfn.IFS(
S269="","",
--S269&lt;55,"Battery Defect",
--S269&lt;=69,"Battery D",
--S269&lt;=80,"Battery C",
--S269&gt;80,""
),"")</f>
        <v/>
      </c>
      <c r="V269" s="51"/>
      <c r="W269" s="51"/>
      <c r="X269" s="51"/>
      <c r="Y269" s="51"/>
      <c r="Z269" s="51"/>
      <c r="AA269" s="51"/>
      <c r="AB269" s="51"/>
      <c r="AC269" s="51"/>
      <c r="AD269" s="32" t="str">
        <f t="shared" si="12"/>
        <v/>
      </c>
      <c r="AE269" s="32"/>
      <c r="AF269" s="32"/>
      <c r="AG269" s="32"/>
      <c r="AH269" s="32"/>
      <c r="AI269" s="32"/>
      <c r="AJ269" s="32"/>
      <c r="AK269" s="32"/>
      <c r="AL269" s="32"/>
    </row>
    <row r="270" spans="1:38">
      <c r="A270" s="32" t="str">
        <f>_xlfn.TEXTJOIN("",TRUE,_xlfn.XLOOKUP(B270,Input!J:J,Input!G:G,"",0,1),_xlfn.XLOOKUP(B270,Input!J:J,Input!H:H,"",0,1))</f>
        <v/>
      </c>
      <c r="B270" s="32"/>
      <c r="C270" s="51">
        <f>_xlfn.XLOOKUP(B270,Input!J:J,Input!F:F)</f>
        <v>0</v>
      </c>
      <c r="D270" s="32">
        <f>_xlfn.XLOOKUP(C270,Models!H:H,Models!G:G,C270)</f>
        <v>0</v>
      </c>
      <c r="E270" s="32">
        <f>_xlfn.XLOOKUP(B270,Input!J:J,Input!E:E)</f>
        <v>0</v>
      </c>
      <c r="F270" s="32">
        <f>IF(E270="LENOVO",_xlfn.XLOOKUP(B270,Input!J:J,Input!K:K),_xlfn.XLOOKUP(B270,Input!J:J,Input!L:L))</f>
        <v>0</v>
      </c>
      <c r="G270" s="32"/>
      <c r="H270" s="32"/>
      <c r="I270" s="32"/>
      <c r="J270" s="51" t="e">
        <f>INDEX(Input!$D$2:$AC$500,
       MATCH(B270, Input!$J$2:$J$500, 0),
       MATCH("Total Memory", Input!$D$1:$AC$1, 0))</f>
        <v>#N/A</v>
      </c>
      <c r="K270" s="51"/>
      <c r="L270" s="51" t="str" cm="1">
        <f t="array" ref="L270">IFERROR(_xlfn.FILTERXML("&lt;t&gt;&lt;s&gt;" &amp; SUBSTITUTE(K270," / ","&lt;/s&gt;&lt;s&gt;") &amp; "&lt;/s&gt;&lt;/t&gt;","(//s[contains(.,'DDR')])[1]"),"")</f>
        <v/>
      </c>
      <c r="M270" s="32" t="e">
        <f t="shared" si="14"/>
        <v>#N/A</v>
      </c>
      <c r="N270" s="51" t="e">
        <f>INDEX(Input!$D$2:$AC$500,
       MATCH(B270, Input!$J$2:$J$500, 0),
       MATCH("Disk Interface Type", Input!$D$1:$AC$1, 0))</f>
        <v>#N/A</v>
      </c>
      <c r="O270" s="51" t="str" cm="1">
        <f t="array" ref="O270">IFERROR(_xlfn.TEXTJOIN(", ", TRUE, _xlfn._xlws.FILTER(
    INDEX(Input!$D$2:$AC$500,,MATCH("Disk Capacity",Input!$D$1:$AC$1,0)),
    Input!$J$2:$J$500=B270
)), "")</f>
        <v/>
      </c>
      <c r="P270" s="32" t="e">
        <f t="shared" si="13"/>
        <v>#N/A</v>
      </c>
      <c r="Q270" s="51" t="e">
        <f>_xlfn.LET(_xlpm.Result,INDEX(Input!$D$2:$AC$500,
       MATCH(B270, Input!$J$2:$J$500, 0),
       MATCH("Capacity", Input!$D$1:$AC$1, 0)),IF(_xlpm.Result="","",_xlpm.Result))</f>
        <v>#N/A</v>
      </c>
      <c r="R270" s="51" t="e" cm="1">
        <f t="array" ref="R270">_xlfn.TEXTSPLIT(Q270," / ", ,TRUE,0,)</f>
        <v>#N/A</v>
      </c>
      <c r="S270" s="51"/>
      <c r="T270" s="51" t="str" cm="1">
        <f t="array" ref="T270">IFERROR(_xlfn.IFS(
R270="","",
--R270&lt;55,"Battery Defect",
--R270&lt;=69,"Battery D",
--R270&lt;=80,"Battery C",
--R270&gt;80,""
),"")</f>
        <v/>
      </c>
      <c r="U270" s="51" t="str" cm="1">
        <f t="array" ref="U270">IFERROR(_xlfn.IFS(
S270="","",
--S270&lt;55,"Battery Defect",
--S270&lt;=69,"Battery D",
--S270&lt;=80,"Battery C",
--S270&gt;80,""
),"")</f>
        <v/>
      </c>
      <c r="V270" s="51"/>
      <c r="W270" s="51"/>
      <c r="X270" s="51"/>
      <c r="Y270" s="51"/>
      <c r="Z270" s="51"/>
      <c r="AA270" s="51"/>
      <c r="AB270" s="51"/>
      <c r="AC270" s="51"/>
      <c r="AD270" s="32" t="str">
        <f t="shared" si="12"/>
        <v/>
      </c>
      <c r="AE270" s="32"/>
      <c r="AF270" s="32"/>
      <c r="AG270" s="32"/>
      <c r="AH270" s="32"/>
      <c r="AI270" s="32"/>
      <c r="AJ270" s="32"/>
      <c r="AK270" s="32"/>
      <c r="AL270" s="32"/>
    </row>
    <row r="271" spans="1:38">
      <c r="A271" s="32" t="str">
        <f>_xlfn.TEXTJOIN("",TRUE,_xlfn.XLOOKUP(B271,Input!J:J,Input!G:G,"",0,1),_xlfn.XLOOKUP(B271,Input!J:J,Input!H:H,"",0,1))</f>
        <v/>
      </c>
      <c r="B271" s="32"/>
      <c r="C271" s="51">
        <f>_xlfn.XLOOKUP(B271,Input!J:J,Input!F:F)</f>
        <v>0</v>
      </c>
      <c r="D271" s="32">
        <f>_xlfn.XLOOKUP(C271,Models!H:H,Models!G:G,C271)</f>
        <v>0</v>
      </c>
      <c r="E271" s="32">
        <f>_xlfn.XLOOKUP(B271,Input!J:J,Input!E:E)</f>
        <v>0</v>
      </c>
      <c r="F271" s="32">
        <f>IF(E271="LENOVO",_xlfn.XLOOKUP(B271,Input!J:J,Input!K:K),_xlfn.XLOOKUP(B271,Input!J:J,Input!L:L))</f>
        <v>0</v>
      </c>
      <c r="G271" s="32"/>
      <c r="H271" s="32"/>
      <c r="I271" s="32"/>
      <c r="J271" s="51" t="e">
        <f>INDEX(Input!$D$2:$AC$500,
       MATCH(B271, Input!$J$2:$J$500, 0),
       MATCH("Total Memory", Input!$D$1:$AC$1, 0))</f>
        <v>#N/A</v>
      </c>
      <c r="K271" s="51"/>
      <c r="L271" s="51" t="str" cm="1">
        <f t="array" ref="L271">IFERROR(_xlfn.FILTERXML("&lt;t&gt;&lt;s&gt;" &amp; SUBSTITUTE(K271," / ","&lt;/s&gt;&lt;s&gt;") &amp; "&lt;/s&gt;&lt;/t&gt;","(//s[contains(.,'DDR')])[1]"),"")</f>
        <v/>
      </c>
      <c r="M271" s="32" t="e">
        <f t="shared" si="14"/>
        <v>#N/A</v>
      </c>
      <c r="N271" s="51" t="e">
        <f>INDEX(Input!$D$2:$AC$500,
       MATCH(B271, Input!$J$2:$J$500, 0),
       MATCH("Disk Interface Type", Input!$D$1:$AC$1, 0))</f>
        <v>#N/A</v>
      </c>
      <c r="O271" s="51" t="str" cm="1">
        <f t="array" ref="O271">IFERROR(_xlfn.TEXTJOIN(", ", TRUE, _xlfn._xlws.FILTER(
    INDEX(Input!$D$2:$AC$500,,MATCH("Disk Capacity",Input!$D$1:$AC$1,0)),
    Input!$J$2:$J$500=B271
)), "")</f>
        <v/>
      </c>
      <c r="P271" s="32" t="e">
        <f t="shared" si="13"/>
        <v>#N/A</v>
      </c>
      <c r="Q271" s="51" t="e">
        <f>_xlfn.LET(_xlpm.Result,INDEX(Input!$D$2:$AC$500,
       MATCH(B271, Input!$J$2:$J$500, 0),
       MATCH("Capacity", Input!$D$1:$AC$1, 0)),IF(_xlpm.Result="","",_xlpm.Result))</f>
        <v>#N/A</v>
      </c>
      <c r="R271" s="51" t="e" cm="1">
        <f t="array" ref="R271">_xlfn.TEXTSPLIT(Q271," / ", ,TRUE,0,)</f>
        <v>#N/A</v>
      </c>
      <c r="S271" s="51"/>
      <c r="T271" s="51" t="str" cm="1">
        <f t="array" ref="T271">IFERROR(_xlfn.IFS(
R271="","",
--R271&lt;55,"Battery Defect",
--R271&lt;=69,"Battery D",
--R271&lt;=80,"Battery C",
--R271&gt;80,""
),"")</f>
        <v/>
      </c>
      <c r="U271" s="51" t="str" cm="1">
        <f t="array" ref="U271">IFERROR(_xlfn.IFS(
S271="","",
--S271&lt;55,"Battery Defect",
--S271&lt;=69,"Battery D",
--S271&lt;=80,"Battery C",
--S271&gt;80,""
),"")</f>
        <v/>
      </c>
      <c r="V271" s="51"/>
      <c r="W271" s="51"/>
      <c r="X271" s="51"/>
      <c r="Y271" s="51"/>
      <c r="Z271" s="51"/>
      <c r="AA271" s="51"/>
      <c r="AB271" s="51"/>
      <c r="AC271" s="51"/>
      <c r="AD271" s="32" t="str">
        <f t="shared" si="12"/>
        <v/>
      </c>
      <c r="AE271" s="32"/>
      <c r="AF271" s="32"/>
      <c r="AG271" s="32"/>
      <c r="AH271" s="32"/>
      <c r="AI271" s="32"/>
      <c r="AJ271" s="32"/>
      <c r="AK271" s="32"/>
      <c r="AL271" s="32"/>
    </row>
    <row r="272" spans="1:38">
      <c r="A272" s="32" t="str">
        <f>_xlfn.TEXTJOIN("",TRUE,_xlfn.XLOOKUP(B272,Input!J:J,Input!G:G,"",0,1),_xlfn.XLOOKUP(B272,Input!J:J,Input!H:H,"",0,1))</f>
        <v/>
      </c>
      <c r="B272" s="32"/>
      <c r="C272" s="51">
        <f>_xlfn.XLOOKUP(B272,Input!J:J,Input!F:F)</f>
        <v>0</v>
      </c>
      <c r="D272" s="32">
        <f>_xlfn.XLOOKUP(C272,Models!H:H,Models!G:G,C272)</f>
        <v>0</v>
      </c>
      <c r="E272" s="32">
        <f>_xlfn.XLOOKUP(B272,Input!J:J,Input!E:E)</f>
        <v>0</v>
      </c>
      <c r="F272" s="32">
        <f>IF(E272="LENOVO",_xlfn.XLOOKUP(B272,Input!J:J,Input!K:K),_xlfn.XLOOKUP(B272,Input!J:J,Input!L:L))</f>
        <v>0</v>
      </c>
      <c r="G272" s="32"/>
      <c r="H272" s="32"/>
      <c r="I272" s="32"/>
      <c r="J272" s="51" t="e">
        <f>INDEX(Input!$D$2:$AC$500,
       MATCH(B272, Input!$J$2:$J$500, 0),
       MATCH("Total Memory", Input!$D$1:$AC$1, 0))</f>
        <v>#N/A</v>
      </c>
      <c r="K272" s="51"/>
      <c r="L272" s="51" t="str" cm="1">
        <f t="array" ref="L272">IFERROR(_xlfn.FILTERXML("&lt;t&gt;&lt;s&gt;" &amp; SUBSTITUTE(K272," / ","&lt;/s&gt;&lt;s&gt;") &amp; "&lt;/s&gt;&lt;/t&gt;","(//s[contains(.,'DDR')])[1]"),"")</f>
        <v/>
      </c>
      <c r="M272" s="32" t="e">
        <f t="shared" si="14"/>
        <v>#N/A</v>
      </c>
      <c r="N272" s="51" t="e">
        <f>INDEX(Input!$D$2:$AC$500,
       MATCH(B272, Input!$J$2:$J$500, 0),
       MATCH("Disk Interface Type", Input!$D$1:$AC$1, 0))</f>
        <v>#N/A</v>
      </c>
      <c r="O272" s="51" t="str" cm="1">
        <f t="array" ref="O272">IFERROR(_xlfn.TEXTJOIN(", ", TRUE, _xlfn._xlws.FILTER(
    INDEX(Input!$D$2:$AC$500,,MATCH("Disk Capacity",Input!$D$1:$AC$1,0)),
    Input!$J$2:$J$500=B272
)), "")</f>
        <v/>
      </c>
      <c r="P272" s="32" t="e">
        <f t="shared" si="13"/>
        <v>#N/A</v>
      </c>
      <c r="Q272" s="51" t="e">
        <f>_xlfn.LET(_xlpm.Result,INDEX(Input!$D$2:$AC$500,
       MATCH(B272, Input!$J$2:$J$500, 0),
       MATCH("Capacity", Input!$D$1:$AC$1, 0)),IF(_xlpm.Result="","",_xlpm.Result))</f>
        <v>#N/A</v>
      </c>
      <c r="R272" s="51" t="e" cm="1">
        <f t="array" ref="R272">_xlfn.TEXTSPLIT(Q272," / ", ,TRUE,0,)</f>
        <v>#N/A</v>
      </c>
      <c r="S272" s="51"/>
      <c r="T272" s="51" t="str" cm="1">
        <f t="array" ref="T272">IFERROR(_xlfn.IFS(
R272="","",
--R272&lt;55,"Battery Defect",
--R272&lt;=69,"Battery D",
--R272&lt;=80,"Battery C",
--R272&gt;80,""
),"")</f>
        <v/>
      </c>
      <c r="U272" s="51" t="str" cm="1">
        <f t="array" ref="U272">IFERROR(_xlfn.IFS(
S272="","",
--S272&lt;55,"Battery Defect",
--S272&lt;=69,"Battery D",
--S272&lt;=80,"Battery C",
--S272&gt;80,""
),"")</f>
        <v/>
      </c>
      <c r="V272" s="51"/>
      <c r="W272" s="51"/>
      <c r="X272" s="51"/>
      <c r="Y272" s="51"/>
      <c r="Z272" s="51"/>
      <c r="AA272" s="51"/>
      <c r="AB272" s="51"/>
      <c r="AC272" s="51"/>
      <c r="AD272" s="32" t="str">
        <f t="shared" si="12"/>
        <v/>
      </c>
      <c r="AE272" s="32"/>
      <c r="AF272" s="32"/>
      <c r="AG272" s="32"/>
      <c r="AH272" s="32"/>
      <c r="AI272" s="32"/>
      <c r="AJ272" s="32"/>
      <c r="AK272" s="32"/>
      <c r="AL272" s="32"/>
    </row>
    <row r="273" spans="1:38">
      <c r="A273" s="32" t="str">
        <f>_xlfn.TEXTJOIN("",TRUE,_xlfn.XLOOKUP(B273,Input!J:J,Input!G:G,"",0,1),_xlfn.XLOOKUP(B273,Input!J:J,Input!H:H,"",0,1))</f>
        <v/>
      </c>
      <c r="B273" s="32"/>
      <c r="C273" s="51">
        <f>_xlfn.XLOOKUP(B273,Input!J:J,Input!F:F)</f>
        <v>0</v>
      </c>
      <c r="D273" s="32">
        <f>_xlfn.XLOOKUP(C273,Models!H:H,Models!G:G,C273)</f>
        <v>0</v>
      </c>
      <c r="E273" s="32">
        <f>_xlfn.XLOOKUP(B273,Input!J:J,Input!E:E)</f>
        <v>0</v>
      </c>
      <c r="F273" s="32">
        <f>IF(E273="LENOVO",_xlfn.XLOOKUP(B273,Input!J:J,Input!K:K),_xlfn.XLOOKUP(B273,Input!J:J,Input!L:L))</f>
        <v>0</v>
      </c>
      <c r="G273" s="32"/>
      <c r="H273" s="32"/>
      <c r="I273" s="32"/>
      <c r="J273" s="51" t="e">
        <f>INDEX(Input!$D$2:$AC$500,
       MATCH(B273, Input!$J$2:$J$500, 0),
       MATCH("Total Memory", Input!$D$1:$AC$1, 0))</f>
        <v>#N/A</v>
      </c>
      <c r="K273" s="51"/>
      <c r="L273" s="51" t="str" cm="1">
        <f t="array" ref="L273">IFERROR(_xlfn.FILTERXML("&lt;t&gt;&lt;s&gt;" &amp; SUBSTITUTE(K273," / ","&lt;/s&gt;&lt;s&gt;") &amp; "&lt;/s&gt;&lt;/t&gt;","(//s[contains(.,'DDR')])[1]"),"")</f>
        <v/>
      </c>
      <c r="M273" s="32" t="e">
        <f t="shared" si="14"/>
        <v>#N/A</v>
      </c>
      <c r="N273" s="51" t="e">
        <f>INDEX(Input!$D$2:$AC$500,
       MATCH(B273, Input!$J$2:$J$500, 0),
       MATCH("Disk Interface Type", Input!$D$1:$AC$1, 0))</f>
        <v>#N/A</v>
      </c>
      <c r="O273" s="51" t="str" cm="1">
        <f t="array" ref="O273">IFERROR(_xlfn.TEXTJOIN(", ", TRUE, _xlfn._xlws.FILTER(
    INDEX(Input!$D$2:$AC$500,,MATCH("Disk Capacity",Input!$D$1:$AC$1,0)),
    Input!$J$2:$J$500=B273
)), "")</f>
        <v/>
      </c>
      <c r="P273" s="32" t="e">
        <f t="shared" si="13"/>
        <v>#N/A</v>
      </c>
      <c r="Q273" s="51" t="e">
        <f>_xlfn.LET(_xlpm.Result,INDEX(Input!$D$2:$AC$500,
       MATCH(B273, Input!$J$2:$J$500, 0),
       MATCH("Capacity", Input!$D$1:$AC$1, 0)),IF(_xlpm.Result="","",_xlpm.Result))</f>
        <v>#N/A</v>
      </c>
      <c r="R273" s="51" t="e" cm="1">
        <f t="array" ref="R273">_xlfn.TEXTSPLIT(Q273," / ", ,TRUE,0,)</f>
        <v>#N/A</v>
      </c>
      <c r="S273" s="51"/>
      <c r="T273" s="51" t="str" cm="1">
        <f t="array" ref="T273">IFERROR(_xlfn.IFS(
R273="","",
--R273&lt;55,"Battery Defect",
--R273&lt;=69,"Battery D",
--R273&lt;=80,"Battery C",
--R273&gt;80,""
),"")</f>
        <v/>
      </c>
      <c r="U273" s="51" t="str" cm="1">
        <f t="array" ref="U273">IFERROR(_xlfn.IFS(
S273="","",
--S273&lt;55,"Battery Defect",
--S273&lt;=69,"Battery D",
--S273&lt;=80,"Battery C",
--S273&gt;80,""
),"")</f>
        <v/>
      </c>
      <c r="V273" s="51"/>
      <c r="W273" s="51"/>
      <c r="X273" s="51"/>
      <c r="Y273" s="51"/>
      <c r="Z273" s="51"/>
      <c r="AA273" s="51"/>
      <c r="AB273" s="51"/>
      <c r="AC273" s="51"/>
      <c r="AD273" s="32" t="str">
        <f t="shared" si="12"/>
        <v/>
      </c>
      <c r="AE273" s="32"/>
      <c r="AF273" s="32"/>
      <c r="AG273" s="32"/>
      <c r="AH273" s="32"/>
      <c r="AI273" s="32"/>
      <c r="AJ273" s="32"/>
      <c r="AK273" s="32"/>
      <c r="AL273" s="32"/>
    </row>
    <row r="274" spans="1:38">
      <c r="A274" s="32" t="str">
        <f>_xlfn.TEXTJOIN("",TRUE,_xlfn.XLOOKUP(B274,Input!J:J,Input!G:G,"",0,1),_xlfn.XLOOKUP(B274,Input!J:J,Input!H:H,"",0,1))</f>
        <v/>
      </c>
      <c r="B274" s="32"/>
      <c r="C274" s="51">
        <f>_xlfn.XLOOKUP(B274,Input!J:J,Input!F:F)</f>
        <v>0</v>
      </c>
      <c r="D274" s="32">
        <f>_xlfn.XLOOKUP(C274,Models!H:H,Models!G:G,C274)</f>
        <v>0</v>
      </c>
      <c r="E274" s="32">
        <f>_xlfn.XLOOKUP(B274,Input!J:J,Input!E:E)</f>
        <v>0</v>
      </c>
      <c r="F274" s="32">
        <f>IF(E274="LENOVO",_xlfn.XLOOKUP(B274,Input!J:J,Input!K:K),_xlfn.XLOOKUP(B274,Input!J:J,Input!L:L))</f>
        <v>0</v>
      </c>
      <c r="G274" s="32"/>
      <c r="H274" s="32"/>
      <c r="I274" s="32"/>
      <c r="J274" s="51" t="e">
        <f>INDEX(Input!$D$2:$AC$500,
       MATCH(B274, Input!$J$2:$J$500, 0),
       MATCH("Total Memory", Input!$D$1:$AC$1, 0))</f>
        <v>#N/A</v>
      </c>
      <c r="K274" s="51"/>
      <c r="L274" s="51" t="str" cm="1">
        <f t="array" ref="L274">IFERROR(_xlfn.FILTERXML("&lt;t&gt;&lt;s&gt;" &amp; SUBSTITUTE(K274," / ","&lt;/s&gt;&lt;s&gt;") &amp; "&lt;/s&gt;&lt;/t&gt;","(//s[contains(.,'DDR')])[1]"),"")</f>
        <v/>
      </c>
      <c r="M274" s="32" t="e">
        <f t="shared" si="14"/>
        <v>#N/A</v>
      </c>
      <c r="N274" s="51" t="e">
        <f>INDEX(Input!$D$2:$AC$500,
       MATCH(B274, Input!$J$2:$J$500, 0),
       MATCH("Disk Interface Type", Input!$D$1:$AC$1, 0))</f>
        <v>#N/A</v>
      </c>
      <c r="O274" s="51" t="str" cm="1">
        <f t="array" ref="O274">IFERROR(_xlfn.TEXTJOIN(", ", TRUE, _xlfn._xlws.FILTER(
    INDEX(Input!$D$2:$AC$500,,MATCH("Disk Capacity",Input!$D$1:$AC$1,0)),
    Input!$J$2:$J$500=B274
)), "")</f>
        <v/>
      </c>
      <c r="P274" s="32" t="e">
        <f t="shared" si="13"/>
        <v>#N/A</v>
      </c>
      <c r="Q274" s="51" t="e">
        <f>_xlfn.LET(_xlpm.Result,INDEX(Input!$D$2:$AC$500,
       MATCH(B274, Input!$J$2:$J$500, 0),
       MATCH("Capacity", Input!$D$1:$AC$1, 0)),IF(_xlpm.Result="","",_xlpm.Result))</f>
        <v>#N/A</v>
      </c>
      <c r="R274" s="51" t="e" cm="1">
        <f t="array" ref="R274">_xlfn.TEXTSPLIT(Q274," / ", ,TRUE,0,)</f>
        <v>#N/A</v>
      </c>
      <c r="S274" s="51"/>
      <c r="T274" s="51" t="str" cm="1">
        <f t="array" ref="T274">IFERROR(_xlfn.IFS(
R274="","",
--R274&lt;55,"Battery Defect",
--R274&lt;=69,"Battery D",
--R274&lt;=80,"Battery C",
--R274&gt;80,""
),"")</f>
        <v/>
      </c>
      <c r="U274" s="51" t="str" cm="1">
        <f t="array" ref="U274">IFERROR(_xlfn.IFS(
S274="","",
--S274&lt;55,"Battery Defect",
--S274&lt;=69,"Battery D",
--S274&lt;=80,"Battery C",
--S274&gt;80,""
),"")</f>
        <v/>
      </c>
      <c r="V274" s="51"/>
      <c r="W274" s="51"/>
      <c r="X274" s="51"/>
      <c r="Y274" s="51"/>
      <c r="Z274" s="51"/>
      <c r="AA274" s="51"/>
      <c r="AB274" s="51"/>
      <c r="AC274" s="51"/>
      <c r="AD274" s="32" t="str">
        <f t="shared" si="12"/>
        <v/>
      </c>
      <c r="AE274" s="32"/>
      <c r="AF274" s="32"/>
      <c r="AG274" s="32"/>
      <c r="AH274" s="32"/>
      <c r="AI274" s="32"/>
      <c r="AJ274" s="32"/>
      <c r="AK274" s="32"/>
      <c r="AL274" s="32"/>
    </row>
    <row r="275" spans="1:38">
      <c r="A275" s="32" t="str">
        <f>_xlfn.TEXTJOIN("",TRUE,_xlfn.XLOOKUP(B275,Input!J:J,Input!G:G,"",0,1),_xlfn.XLOOKUP(B275,Input!J:J,Input!H:H,"",0,1))</f>
        <v/>
      </c>
      <c r="B275" s="32"/>
      <c r="C275" s="51">
        <f>_xlfn.XLOOKUP(B275,Input!J:J,Input!F:F)</f>
        <v>0</v>
      </c>
      <c r="D275" s="32">
        <f>_xlfn.XLOOKUP(C275,Models!H:H,Models!G:G,C275)</f>
        <v>0</v>
      </c>
      <c r="E275" s="32">
        <f>_xlfn.XLOOKUP(B275,Input!J:J,Input!E:E)</f>
        <v>0</v>
      </c>
      <c r="F275" s="32">
        <f>IF(E275="LENOVO",_xlfn.XLOOKUP(B275,Input!J:J,Input!K:K),_xlfn.XLOOKUP(B275,Input!J:J,Input!L:L))</f>
        <v>0</v>
      </c>
      <c r="G275" s="32"/>
      <c r="H275" s="32"/>
      <c r="I275" s="32"/>
      <c r="J275" s="51" t="e">
        <f>INDEX(Input!$D$2:$AC$500,
       MATCH(B275, Input!$J$2:$J$500, 0),
       MATCH("Total Memory", Input!$D$1:$AC$1, 0))</f>
        <v>#N/A</v>
      </c>
      <c r="K275" s="51"/>
      <c r="L275" s="51" t="str" cm="1">
        <f t="array" ref="L275">IFERROR(_xlfn.FILTERXML("&lt;t&gt;&lt;s&gt;" &amp; SUBSTITUTE(K275," / ","&lt;/s&gt;&lt;s&gt;") &amp; "&lt;/s&gt;&lt;/t&gt;","(//s[contains(.,'DDR')])[1]"),"")</f>
        <v/>
      </c>
      <c r="M275" s="32" t="e">
        <f t="shared" si="14"/>
        <v>#N/A</v>
      </c>
      <c r="N275" s="51" t="e">
        <f>INDEX(Input!$D$2:$AC$500,
       MATCH(B275, Input!$J$2:$J$500, 0),
       MATCH("Disk Interface Type", Input!$D$1:$AC$1, 0))</f>
        <v>#N/A</v>
      </c>
      <c r="O275" s="51" t="str" cm="1">
        <f t="array" ref="O275">IFERROR(_xlfn.TEXTJOIN(", ", TRUE, _xlfn._xlws.FILTER(
    INDEX(Input!$D$2:$AC$500,,MATCH("Disk Capacity",Input!$D$1:$AC$1,0)),
    Input!$J$2:$J$500=B275
)), "")</f>
        <v/>
      </c>
      <c r="P275" s="32" t="e">
        <f t="shared" si="13"/>
        <v>#N/A</v>
      </c>
      <c r="Q275" s="51" t="e">
        <f>_xlfn.LET(_xlpm.Result,INDEX(Input!$D$2:$AC$500,
       MATCH(B275, Input!$J$2:$J$500, 0),
       MATCH("Capacity", Input!$D$1:$AC$1, 0)),IF(_xlpm.Result="","",_xlpm.Result))</f>
        <v>#N/A</v>
      </c>
      <c r="R275" s="51" t="e" cm="1">
        <f t="array" ref="R275">_xlfn.TEXTSPLIT(Q275," / ", ,TRUE,0,)</f>
        <v>#N/A</v>
      </c>
      <c r="S275" s="51"/>
      <c r="T275" s="51" t="str" cm="1">
        <f t="array" ref="T275">IFERROR(_xlfn.IFS(
R275="","",
--R275&lt;55,"Battery Defect",
--R275&lt;=69,"Battery D",
--R275&lt;=80,"Battery C",
--R275&gt;80,""
),"")</f>
        <v/>
      </c>
      <c r="U275" s="51" t="str" cm="1">
        <f t="array" ref="U275">IFERROR(_xlfn.IFS(
S275="","",
--S275&lt;55,"Battery Defect",
--S275&lt;=69,"Battery D",
--S275&lt;=80,"Battery C",
--S275&gt;80,""
),"")</f>
        <v/>
      </c>
      <c r="V275" s="51"/>
      <c r="W275" s="51"/>
      <c r="X275" s="51"/>
      <c r="Y275" s="51"/>
      <c r="Z275" s="51"/>
      <c r="AA275" s="51"/>
      <c r="AB275" s="51"/>
      <c r="AC275" s="51"/>
      <c r="AD275" s="32" t="str">
        <f t="shared" si="12"/>
        <v/>
      </c>
      <c r="AE275" s="32"/>
      <c r="AF275" s="32"/>
      <c r="AG275" s="32"/>
      <c r="AH275" s="32"/>
      <c r="AI275" s="32"/>
      <c r="AJ275" s="32"/>
      <c r="AK275" s="32"/>
      <c r="AL275" s="32"/>
    </row>
    <row r="276" spans="1:38">
      <c r="A276" s="32" t="str">
        <f>_xlfn.TEXTJOIN("",TRUE,_xlfn.XLOOKUP(B276,Input!J:J,Input!G:G,"",0,1),_xlfn.XLOOKUP(B276,Input!J:J,Input!H:H,"",0,1))</f>
        <v/>
      </c>
      <c r="B276" s="32"/>
      <c r="C276" s="51">
        <f>_xlfn.XLOOKUP(B276,Input!J:J,Input!F:F)</f>
        <v>0</v>
      </c>
      <c r="D276" s="32">
        <f>_xlfn.XLOOKUP(C276,Models!H:H,Models!G:G,C276)</f>
        <v>0</v>
      </c>
      <c r="E276" s="32">
        <f>_xlfn.XLOOKUP(B276,Input!J:J,Input!E:E)</f>
        <v>0</v>
      </c>
      <c r="F276" s="32">
        <f>IF(E276="LENOVO",_xlfn.XLOOKUP(B276,Input!J:J,Input!K:K),_xlfn.XLOOKUP(B276,Input!J:J,Input!L:L))</f>
        <v>0</v>
      </c>
      <c r="G276" s="32"/>
      <c r="H276" s="32"/>
      <c r="I276" s="32"/>
      <c r="J276" s="51" t="e">
        <f>INDEX(Input!$D$2:$AC$500,
       MATCH(B276, Input!$J$2:$J$500, 0),
       MATCH("Total Memory", Input!$D$1:$AC$1, 0))</f>
        <v>#N/A</v>
      </c>
      <c r="K276" s="51"/>
      <c r="L276" s="51" t="str" cm="1">
        <f t="array" ref="L276">IFERROR(_xlfn.FILTERXML("&lt;t&gt;&lt;s&gt;" &amp; SUBSTITUTE(K276," / ","&lt;/s&gt;&lt;s&gt;") &amp; "&lt;/s&gt;&lt;/t&gt;","(//s[contains(.,'DDR')])[1]"),"")</f>
        <v/>
      </c>
      <c r="M276" s="32" t="e">
        <f t="shared" si="14"/>
        <v>#N/A</v>
      </c>
      <c r="N276" s="51" t="e">
        <f>INDEX(Input!$D$2:$AC$500,
       MATCH(B276, Input!$J$2:$J$500, 0),
       MATCH("Disk Interface Type", Input!$D$1:$AC$1, 0))</f>
        <v>#N/A</v>
      </c>
      <c r="O276" s="51" t="str" cm="1">
        <f t="array" ref="O276">IFERROR(_xlfn.TEXTJOIN(", ", TRUE, _xlfn._xlws.FILTER(
    INDEX(Input!$D$2:$AC$500,,MATCH("Disk Capacity",Input!$D$1:$AC$1,0)),
    Input!$J$2:$J$500=B276
)), "")</f>
        <v/>
      </c>
      <c r="P276" s="32" t="e">
        <f t="shared" si="13"/>
        <v>#N/A</v>
      </c>
      <c r="Q276" s="51" t="e">
        <f>_xlfn.LET(_xlpm.Result,INDEX(Input!$D$2:$AC$500,
       MATCH(B276, Input!$J$2:$J$500, 0),
       MATCH("Capacity", Input!$D$1:$AC$1, 0)),IF(_xlpm.Result="","",_xlpm.Result))</f>
        <v>#N/A</v>
      </c>
      <c r="R276" s="51" t="e" cm="1">
        <f t="array" ref="R276">_xlfn.TEXTSPLIT(Q276," / ", ,TRUE,0,)</f>
        <v>#N/A</v>
      </c>
      <c r="S276" s="51"/>
      <c r="T276" s="51" t="str" cm="1">
        <f t="array" ref="T276">IFERROR(_xlfn.IFS(
R276="","",
--R276&lt;55,"Battery Defect",
--R276&lt;=69,"Battery D",
--R276&lt;=80,"Battery C",
--R276&gt;80,""
),"")</f>
        <v/>
      </c>
      <c r="U276" s="51" t="str" cm="1">
        <f t="array" ref="U276">IFERROR(_xlfn.IFS(
S276="","",
--S276&lt;55,"Battery Defect",
--S276&lt;=69,"Battery D",
--S276&lt;=80,"Battery C",
--S276&gt;80,""
),"")</f>
        <v/>
      </c>
      <c r="V276" s="51"/>
      <c r="W276" s="51"/>
      <c r="X276" s="51"/>
      <c r="Y276" s="51"/>
      <c r="Z276" s="51"/>
      <c r="AA276" s="51"/>
      <c r="AB276" s="51"/>
      <c r="AC276" s="51"/>
      <c r="AD276" s="32" t="str">
        <f t="shared" si="12"/>
        <v/>
      </c>
      <c r="AE276" s="32"/>
      <c r="AF276" s="32"/>
      <c r="AG276" s="32"/>
      <c r="AH276" s="32"/>
      <c r="AI276" s="32"/>
      <c r="AJ276" s="32"/>
      <c r="AK276" s="32"/>
      <c r="AL276" s="32"/>
    </row>
    <row r="277" spans="1:38">
      <c r="A277" s="32" t="str">
        <f>_xlfn.TEXTJOIN("",TRUE,_xlfn.XLOOKUP(B277,Input!J:J,Input!G:G,"",0,1),_xlfn.XLOOKUP(B277,Input!J:J,Input!H:H,"",0,1))</f>
        <v/>
      </c>
      <c r="B277" s="32"/>
      <c r="C277" s="51">
        <f>_xlfn.XLOOKUP(B277,Input!J:J,Input!F:F)</f>
        <v>0</v>
      </c>
      <c r="D277" s="32">
        <f>_xlfn.XLOOKUP(C277,Models!H:H,Models!G:G,C277)</f>
        <v>0</v>
      </c>
      <c r="E277" s="32">
        <f>_xlfn.XLOOKUP(B277,Input!J:J,Input!E:E)</f>
        <v>0</v>
      </c>
      <c r="F277" s="32">
        <f>IF(E277="LENOVO",_xlfn.XLOOKUP(B277,Input!J:J,Input!K:K),_xlfn.XLOOKUP(B277,Input!J:J,Input!L:L))</f>
        <v>0</v>
      </c>
      <c r="G277" s="32"/>
      <c r="H277" s="32"/>
      <c r="I277" s="32"/>
      <c r="J277" s="51" t="e">
        <f>INDEX(Input!$D$2:$AC$500,
       MATCH(B277, Input!$J$2:$J$500, 0),
       MATCH("Total Memory", Input!$D$1:$AC$1, 0))</f>
        <v>#N/A</v>
      </c>
      <c r="K277" s="51"/>
      <c r="L277" s="51" t="str" cm="1">
        <f t="array" ref="L277">IFERROR(_xlfn.FILTERXML("&lt;t&gt;&lt;s&gt;" &amp; SUBSTITUTE(K277," / ","&lt;/s&gt;&lt;s&gt;") &amp; "&lt;/s&gt;&lt;/t&gt;","(//s[contains(.,'DDR')])[1]"),"")</f>
        <v/>
      </c>
      <c r="M277" s="32" t="e">
        <f t="shared" si="14"/>
        <v>#N/A</v>
      </c>
      <c r="N277" s="51" t="e">
        <f>INDEX(Input!$D$2:$AC$500,
       MATCH(B277, Input!$J$2:$J$500, 0),
       MATCH("Disk Interface Type", Input!$D$1:$AC$1, 0))</f>
        <v>#N/A</v>
      </c>
      <c r="O277" s="51" t="str" cm="1">
        <f t="array" ref="O277">IFERROR(_xlfn.TEXTJOIN(", ", TRUE, _xlfn._xlws.FILTER(
    INDEX(Input!$D$2:$AC$500,,MATCH("Disk Capacity",Input!$D$1:$AC$1,0)),
    Input!$J$2:$J$500=B277
)), "")</f>
        <v/>
      </c>
      <c r="P277" s="32" t="e">
        <f t="shared" si="13"/>
        <v>#N/A</v>
      </c>
      <c r="Q277" s="51" t="e">
        <f>_xlfn.LET(_xlpm.Result,INDEX(Input!$D$2:$AC$500,
       MATCH(B277, Input!$J$2:$J$500, 0),
       MATCH("Capacity", Input!$D$1:$AC$1, 0)),IF(_xlpm.Result="","",_xlpm.Result))</f>
        <v>#N/A</v>
      </c>
      <c r="R277" s="51" t="e" cm="1">
        <f t="array" ref="R277">_xlfn.TEXTSPLIT(Q277," / ", ,TRUE,0,)</f>
        <v>#N/A</v>
      </c>
      <c r="S277" s="51"/>
      <c r="T277" s="51" t="str" cm="1">
        <f t="array" ref="T277">IFERROR(_xlfn.IFS(
R277="","",
--R277&lt;55,"Battery Defect",
--R277&lt;=69,"Battery D",
--R277&lt;=80,"Battery C",
--R277&gt;80,""
),"")</f>
        <v/>
      </c>
      <c r="U277" s="51" t="str" cm="1">
        <f t="array" ref="U277">IFERROR(_xlfn.IFS(
S277="","",
--S277&lt;55,"Battery Defect",
--S277&lt;=69,"Battery D",
--S277&lt;=80,"Battery C",
--S277&gt;80,""
),"")</f>
        <v/>
      </c>
      <c r="V277" s="51"/>
      <c r="W277" s="51"/>
      <c r="X277" s="51"/>
      <c r="Y277" s="51"/>
      <c r="Z277" s="51"/>
      <c r="AA277" s="51"/>
      <c r="AB277" s="51"/>
      <c r="AC277" s="51"/>
      <c r="AD277" s="32" t="str">
        <f t="shared" si="12"/>
        <v/>
      </c>
      <c r="AE277" s="32"/>
      <c r="AF277" s="32"/>
      <c r="AG277" s="32"/>
      <c r="AH277" s="32"/>
      <c r="AI277" s="32"/>
      <c r="AJ277" s="32"/>
      <c r="AK277" s="32"/>
      <c r="AL277" s="32"/>
    </row>
    <row r="278" spans="1:38">
      <c r="A278" s="32" t="str">
        <f>_xlfn.TEXTJOIN("",TRUE,_xlfn.XLOOKUP(B278,Input!J:J,Input!G:G,"",0,1),_xlfn.XLOOKUP(B278,Input!J:J,Input!H:H,"",0,1))</f>
        <v/>
      </c>
      <c r="B278" s="32"/>
      <c r="C278" s="51">
        <f>_xlfn.XLOOKUP(B278,Input!J:J,Input!F:F)</f>
        <v>0</v>
      </c>
      <c r="D278" s="32">
        <f>_xlfn.XLOOKUP(C278,Models!H:H,Models!G:G,C278)</f>
        <v>0</v>
      </c>
      <c r="E278" s="32">
        <f>_xlfn.XLOOKUP(B278,Input!J:J,Input!E:E)</f>
        <v>0</v>
      </c>
      <c r="F278" s="32">
        <f>IF(E278="LENOVO",_xlfn.XLOOKUP(B278,Input!J:J,Input!K:K),_xlfn.XLOOKUP(B278,Input!J:J,Input!L:L))</f>
        <v>0</v>
      </c>
      <c r="G278" s="32"/>
      <c r="H278" s="32"/>
      <c r="I278" s="32"/>
      <c r="J278" s="51" t="e">
        <f>INDEX(Input!$D$2:$AC$500,
       MATCH(B278, Input!$J$2:$J$500, 0),
       MATCH("Total Memory", Input!$D$1:$AC$1, 0))</f>
        <v>#N/A</v>
      </c>
      <c r="K278" s="51"/>
      <c r="L278" s="51" t="str" cm="1">
        <f t="array" ref="L278">IFERROR(_xlfn.FILTERXML("&lt;t&gt;&lt;s&gt;" &amp; SUBSTITUTE(K278," / ","&lt;/s&gt;&lt;s&gt;") &amp; "&lt;/s&gt;&lt;/t&gt;","(//s[contains(.,'DDR')])[1]"),"")</f>
        <v/>
      </c>
      <c r="M278" s="32" t="e">
        <f t="shared" si="14"/>
        <v>#N/A</v>
      </c>
      <c r="N278" s="51" t="e">
        <f>INDEX(Input!$D$2:$AC$500,
       MATCH(B278, Input!$J$2:$J$500, 0),
       MATCH("Disk Interface Type", Input!$D$1:$AC$1, 0))</f>
        <v>#N/A</v>
      </c>
      <c r="O278" s="51" t="str" cm="1">
        <f t="array" ref="O278">IFERROR(_xlfn.TEXTJOIN(", ", TRUE, _xlfn._xlws.FILTER(
    INDEX(Input!$D$2:$AC$500,,MATCH("Disk Capacity",Input!$D$1:$AC$1,0)),
    Input!$J$2:$J$500=B278
)), "")</f>
        <v/>
      </c>
      <c r="P278" s="32" t="e">
        <f t="shared" si="13"/>
        <v>#N/A</v>
      </c>
      <c r="Q278" s="51" t="e">
        <f>_xlfn.LET(_xlpm.Result,INDEX(Input!$D$2:$AC$500,
       MATCH(B278, Input!$J$2:$J$500, 0),
       MATCH("Capacity", Input!$D$1:$AC$1, 0)),IF(_xlpm.Result="","",_xlpm.Result))</f>
        <v>#N/A</v>
      </c>
      <c r="R278" s="51" t="e" cm="1">
        <f t="array" ref="R278">_xlfn.TEXTSPLIT(Q278," / ", ,TRUE,0,)</f>
        <v>#N/A</v>
      </c>
      <c r="S278" s="51"/>
      <c r="T278" s="51" t="str" cm="1">
        <f t="array" ref="T278">IFERROR(_xlfn.IFS(
R278="","",
--R278&lt;55,"Battery Defect",
--R278&lt;=69,"Battery D",
--R278&lt;=80,"Battery C",
--R278&gt;80,""
),"")</f>
        <v/>
      </c>
      <c r="U278" s="51" t="str" cm="1">
        <f t="array" ref="U278">IFERROR(_xlfn.IFS(
S278="","",
--S278&lt;55,"Battery Defect",
--S278&lt;=69,"Battery D",
--S278&lt;=80,"Battery C",
--S278&gt;80,""
),"")</f>
        <v/>
      </c>
      <c r="V278" s="51"/>
      <c r="W278" s="51"/>
      <c r="X278" s="51"/>
      <c r="Y278" s="51"/>
      <c r="Z278" s="51"/>
      <c r="AA278" s="51"/>
      <c r="AB278" s="51"/>
      <c r="AC278" s="51"/>
      <c r="AD278" s="32" t="str">
        <f t="shared" si="12"/>
        <v/>
      </c>
      <c r="AE278" s="32"/>
      <c r="AF278" s="32"/>
      <c r="AG278" s="32"/>
      <c r="AH278" s="32"/>
      <c r="AI278" s="32"/>
      <c r="AJ278" s="32"/>
      <c r="AK278" s="32"/>
      <c r="AL278" s="32"/>
    </row>
    <row r="279" spans="1:38">
      <c r="A279" s="32" t="str">
        <f>_xlfn.TEXTJOIN("",TRUE,_xlfn.XLOOKUP(B279,Input!J:J,Input!G:G,"",0,1),_xlfn.XLOOKUP(B279,Input!J:J,Input!H:H,"",0,1))</f>
        <v/>
      </c>
      <c r="B279" s="32"/>
      <c r="C279" s="51">
        <f>_xlfn.XLOOKUP(B279,Input!J:J,Input!F:F)</f>
        <v>0</v>
      </c>
      <c r="D279" s="32">
        <f>_xlfn.XLOOKUP(C279,Models!H:H,Models!G:G,C279)</f>
        <v>0</v>
      </c>
      <c r="E279" s="32">
        <f>_xlfn.XLOOKUP(B279,Input!J:J,Input!E:E)</f>
        <v>0</v>
      </c>
      <c r="F279" s="32">
        <f>IF(E279="LENOVO",_xlfn.XLOOKUP(B279,Input!J:J,Input!K:K),_xlfn.XLOOKUP(B279,Input!J:J,Input!L:L))</f>
        <v>0</v>
      </c>
      <c r="G279" s="32"/>
      <c r="H279" s="32"/>
      <c r="I279" s="32"/>
      <c r="J279" s="51" t="e">
        <f>INDEX(Input!$D$2:$AC$500,
       MATCH(B279, Input!$J$2:$J$500, 0),
       MATCH("Total Memory", Input!$D$1:$AC$1, 0))</f>
        <v>#N/A</v>
      </c>
      <c r="K279" s="51"/>
      <c r="L279" s="51" t="str" cm="1">
        <f t="array" ref="L279">IFERROR(_xlfn.FILTERXML("&lt;t&gt;&lt;s&gt;" &amp; SUBSTITUTE(K279," / ","&lt;/s&gt;&lt;s&gt;") &amp; "&lt;/s&gt;&lt;/t&gt;","(//s[contains(.,'DDR')])[1]"),"")</f>
        <v/>
      </c>
      <c r="M279" s="32" t="e">
        <f t="shared" si="14"/>
        <v>#N/A</v>
      </c>
      <c r="N279" s="51" t="e">
        <f>INDEX(Input!$D$2:$AC$500,
       MATCH(B279, Input!$J$2:$J$500, 0),
       MATCH("Disk Interface Type", Input!$D$1:$AC$1, 0))</f>
        <v>#N/A</v>
      </c>
      <c r="O279" s="51" t="str" cm="1">
        <f t="array" ref="O279">IFERROR(_xlfn.TEXTJOIN(", ", TRUE, _xlfn._xlws.FILTER(
    INDEX(Input!$D$2:$AC$500,,MATCH("Disk Capacity",Input!$D$1:$AC$1,0)),
    Input!$J$2:$J$500=B279
)), "")</f>
        <v/>
      </c>
      <c r="P279" s="32" t="e">
        <f t="shared" si="13"/>
        <v>#N/A</v>
      </c>
      <c r="Q279" s="51" t="e">
        <f>_xlfn.LET(_xlpm.Result,INDEX(Input!$D$2:$AC$500,
       MATCH(B279, Input!$J$2:$J$500, 0),
       MATCH("Capacity", Input!$D$1:$AC$1, 0)),IF(_xlpm.Result="","",_xlpm.Result))</f>
        <v>#N/A</v>
      </c>
      <c r="R279" s="51" t="e" cm="1">
        <f t="array" ref="R279">_xlfn.TEXTSPLIT(Q279," / ", ,TRUE,0,)</f>
        <v>#N/A</v>
      </c>
      <c r="S279" s="51"/>
      <c r="T279" s="51" t="str" cm="1">
        <f t="array" ref="T279">IFERROR(_xlfn.IFS(
R279="","",
--R279&lt;55,"Battery Defect",
--R279&lt;=69,"Battery D",
--R279&lt;=80,"Battery C",
--R279&gt;80,""
),"")</f>
        <v/>
      </c>
      <c r="U279" s="51" t="str" cm="1">
        <f t="array" ref="U279">IFERROR(_xlfn.IFS(
S279="","",
--S279&lt;55,"Battery Defect",
--S279&lt;=69,"Battery D",
--S279&lt;=80,"Battery C",
--S279&gt;80,""
),"")</f>
        <v/>
      </c>
      <c r="V279" s="51"/>
      <c r="W279" s="51"/>
      <c r="X279" s="51"/>
      <c r="Y279" s="51"/>
      <c r="Z279" s="51"/>
      <c r="AA279" s="51"/>
      <c r="AB279" s="51"/>
      <c r="AC279" s="51"/>
      <c r="AD279" s="32" t="str">
        <f t="shared" si="12"/>
        <v/>
      </c>
      <c r="AE279" s="32"/>
      <c r="AF279" s="32"/>
      <c r="AG279" s="32"/>
      <c r="AH279" s="32"/>
      <c r="AI279" s="32"/>
      <c r="AJ279" s="32"/>
      <c r="AK279" s="32"/>
      <c r="AL279" s="32"/>
    </row>
    <row r="280" spans="1:38">
      <c r="A280" s="32" t="str">
        <f>_xlfn.TEXTJOIN("",TRUE,_xlfn.XLOOKUP(B280,Input!J:J,Input!G:G,"",0,1),_xlfn.XLOOKUP(B280,Input!J:J,Input!H:H,"",0,1))</f>
        <v/>
      </c>
      <c r="B280" s="32"/>
      <c r="C280" s="51">
        <f>_xlfn.XLOOKUP(B280,Input!J:J,Input!F:F)</f>
        <v>0</v>
      </c>
      <c r="D280" s="32">
        <f>_xlfn.XLOOKUP(C280,Models!H:H,Models!G:G,C280)</f>
        <v>0</v>
      </c>
      <c r="E280" s="32">
        <f>_xlfn.XLOOKUP(B280,Input!J:J,Input!E:E)</f>
        <v>0</v>
      </c>
      <c r="F280" s="32">
        <f>IF(E280="LENOVO",_xlfn.XLOOKUP(B280,Input!J:J,Input!K:K),_xlfn.XLOOKUP(B280,Input!J:J,Input!L:L))</f>
        <v>0</v>
      </c>
      <c r="G280" s="32"/>
      <c r="H280" s="32"/>
      <c r="I280" s="32"/>
      <c r="J280" s="51" t="e">
        <f>INDEX(Input!$D$2:$AC$500,
       MATCH(B280, Input!$J$2:$J$500, 0),
       MATCH("Total Memory", Input!$D$1:$AC$1, 0))</f>
        <v>#N/A</v>
      </c>
      <c r="K280" s="51"/>
      <c r="L280" s="51" t="str" cm="1">
        <f t="array" ref="L280">IFERROR(_xlfn.FILTERXML("&lt;t&gt;&lt;s&gt;" &amp; SUBSTITUTE(K280," / ","&lt;/s&gt;&lt;s&gt;") &amp; "&lt;/s&gt;&lt;/t&gt;","(//s[contains(.,'DDR')])[1]"),"")</f>
        <v/>
      </c>
      <c r="M280" s="32" t="e">
        <f t="shared" si="14"/>
        <v>#N/A</v>
      </c>
      <c r="N280" s="51" t="e">
        <f>INDEX(Input!$D$2:$AC$500,
       MATCH(B280, Input!$J$2:$J$500, 0),
       MATCH("Disk Interface Type", Input!$D$1:$AC$1, 0))</f>
        <v>#N/A</v>
      </c>
      <c r="O280" s="51" t="str" cm="1">
        <f t="array" ref="O280">IFERROR(_xlfn.TEXTJOIN(", ", TRUE, _xlfn._xlws.FILTER(
    INDEX(Input!$D$2:$AC$500,,MATCH("Disk Capacity",Input!$D$1:$AC$1,0)),
    Input!$J$2:$J$500=B280
)), "")</f>
        <v/>
      </c>
      <c r="P280" s="32" t="e">
        <f t="shared" si="13"/>
        <v>#N/A</v>
      </c>
      <c r="Q280" s="51" t="e">
        <f>_xlfn.LET(_xlpm.Result,INDEX(Input!$D$2:$AC$500,
       MATCH(B280, Input!$J$2:$J$500, 0),
       MATCH("Capacity", Input!$D$1:$AC$1, 0)),IF(_xlpm.Result="","",_xlpm.Result))</f>
        <v>#N/A</v>
      </c>
      <c r="R280" s="51" t="e" cm="1">
        <f t="array" ref="R280">_xlfn.TEXTSPLIT(Q280," / ", ,TRUE,0,)</f>
        <v>#N/A</v>
      </c>
      <c r="S280" s="51"/>
      <c r="T280" s="51" t="str" cm="1">
        <f t="array" ref="T280">IFERROR(_xlfn.IFS(
R280="","",
--R280&lt;55,"Battery Defect",
--R280&lt;=69,"Battery D",
--R280&lt;=80,"Battery C",
--R280&gt;80,""
),"")</f>
        <v/>
      </c>
      <c r="U280" s="51" t="str" cm="1">
        <f t="array" ref="U280">IFERROR(_xlfn.IFS(
S280="","",
--S280&lt;55,"Battery Defect",
--S280&lt;=69,"Battery D",
--S280&lt;=80,"Battery C",
--S280&gt;80,""
),"")</f>
        <v/>
      </c>
      <c r="V280" s="51"/>
      <c r="W280" s="51"/>
      <c r="X280" s="51"/>
      <c r="Y280" s="51"/>
      <c r="Z280" s="51"/>
      <c r="AA280" s="51"/>
      <c r="AB280" s="51"/>
      <c r="AC280" s="51"/>
      <c r="AD280" s="32" t="str">
        <f t="shared" si="12"/>
        <v/>
      </c>
      <c r="AE280" s="32"/>
      <c r="AF280" s="32"/>
      <c r="AG280" s="32"/>
      <c r="AH280" s="32"/>
      <c r="AI280" s="32"/>
      <c r="AJ280" s="32"/>
      <c r="AK280" s="32"/>
      <c r="AL280" s="32"/>
    </row>
    <row r="281" spans="1:38">
      <c r="A281" s="32" t="str">
        <f>_xlfn.TEXTJOIN("",TRUE,_xlfn.XLOOKUP(B281,Input!J:J,Input!G:G,"",0,1),_xlfn.XLOOKUP(B281,Input!J:J,Input!H:H,"",0,1))</f>
        <v/>
      </c>
      <c r="B281" s="32"/>
      <c r="C281" s="51">
        <f>_xlfn.XLOOKUP(B281,Input!J:J,Input!F:F)</f>
        <v>0</v>
      </c>
      <c r="D281" s="32">
        <f>_xlfn.XLOOKUP(C281,Models!H:H,Models!G:G,C281)</f>
        <v>0</v>
      </c>
      <c r="E281" s="32">
        <f>_xlfn.XLOOKUP(B281,Input!J:J,Input!E:E)</f>
        <v>0</v>
      </c>
      <c r="F281" s="32">
        <f>IF(E281="LENOVO",_xlfn.XLOOKUP(B281,Input!J:J,Input!K:K),_xlfn.XLOOKUP(B281,Input!J:J,Input!L:L))</f>
        <v>0</v>
      </c>
      <c r="G281" s="32"/>
      <c r="H281" s="32"/>
      <c r="I281" s="32"/>
      <c r="J281" s="51" t="e">
        <f>INDEX(Input!$D$2:$AC$500,
       MATCH(B281, Input!$J$2:$J$500, 0),
       MATCH("Total Memory", Input!$D$1:$AC$1, 0))</f>
        <v>#N/A</v>
      </c>
      <c r="K281" s="51"/>
      <c r="L281" s="51" t="str" cm="1">
        <f t="array" ref="L281">IFERROR(_xlfn.FILTERXML("&lt;t&gt;&lt;s&gt;" &amp; SUBSTITUTE(K281," / ","&lt;/s&gt;&lt;s&gt;") &amp; "&lt;/s&gt;&lt;/t&gt;","(//s[contains(.,'DDR')])[1]"),"")</f>
        <v/>
      </c>
      <c r="M281" s="32" t="e">
        <f t="shared" si="14"/>
        <v>#N/A</v>
      </c>
      <c r="N281" s="51" t="e">
        <f>INDEX(Input!$D$2:$AC$500,
       MATCH(B281, Input!$J$2:$J$500, 0),
       MATCH("Disk Interface Type", Input!$D$1:$AC$1, 0))</f>
        <v>#N/A</v>
      </c>
      <c r="O281" s="51" t="str" cm="1">
        <f t="array" ref="O281">IFERROR(_xlfn.TEXTJOIN(", ", TRUE, _xlfn._xlws.FILTER(
    INDEX(Input!$D$2:$AC$500,,MATCH("Disk Capacity",Input!$D$1:$AC$1,0)),
    Input!$J$2:$J$500=B281
)), "")</f>
        <v/>
      </c>
      <c r="P281" s="32" t="e">
        <f t="shared" si="13"/>
        <v>#N/A</v>
      </c>
      <c r="Q281" s="51" t="e">
        <f>_xlfn.LET(_xlpm.Result,INDEX(Input!$D$2:$AC$500,
       MATCH(B281, Input!$J$2:$J$500, 0),
       MATCH("Capacity", Input!$D$1:$AC$1, 0)),IF(_xlpm.Result="","",_xlpm.Result))</f>
        <v>#N/A</v>
      </c>
      <c r="R281" s="51" t="e" cm="1">
        <f t="array" ref="R281">_xlfn.TEXTSPLIT(Q281," / ", ,TRUE,0,)</f>
        <v>#N/A</v>
      </c>
      <c r="S281" s="51"/>
      <c r="T281" s="51" t="str" cm="1">
        <f t="array" ref="T281">IFERROR(_xlfn.IFS(
R281="","",
--R281&lt;55,"Battery Defect",
--R281&lt;=69,"Battery D",
--R281&lt;=80,"Battery C",
--R281&gt;80,""
),"")</f>
        <v/>
      </c>
      <c r="U281" s="51" t="str" cm="1">
        <f t="array" ref="U281">IFERROR(_xlfn.IFS(
S281="","",
--S281&lt;55,"Battery Defect",
--S281&lt;=69,"Battery D",
--S281&lt;=80,"Battery C",
--S281&gt;80,""
),"")</f>
        <v/>
      </c>
      <c r="V281" s="51"/>
      <c r="W281" s="51"/>
      <c r="X281" s="51"/>
      <c r="Y281" s="51"/>
      <c r="Z281" s="51"/>
      <c r="AA281" s="51"/>
      <c r="AB281" s="51"/>
      <c r="AC281" s="51"/>
      <c r="AD281" s="32" t="str">
        <f t="shared" si="12"/>
        <v/>
      </c>
      <c r="AE281" s="32"/>
      <c r="AF281" s="32"/>
      <c r="AG281" s="32"/>
      <c r="AH281" s="32"/>
      <c r="AI281" s="32"/>
      <c r="AJ281" s="32"/>
      <c r="AK281" s="32"/>
      <c r="AL281" s="32"/>
    </row>
    <row r="282" spans="1:38">
      <c r="A282" s="32" t="str">
        <f>_xlfn.TEXTJOIN("",TRUE,_xlfn.XLOOKUP(B282,Input!J:J,Input!G:G,"",0,1),_xlfn.XLOOKUP(B282,Input!J:J,Input!H:H,"",0,1))</f>
        <v/>
      </c>
      <c r="B282" s="32"/>
      <c r="C282" s="51">
        <f>_xlfn.XLOOKUP(B282,Input!J:J,Input!F:F)</f>
        <v>0</v>
      </c>
      <c r="D282" s="32">
        <f>_xlfn.XLOOKUP(C282,Models!H:H,Models!G:G,C282)</f>
        <v>0</v>
      </c>
      <c r="E282" s="32">
        <f>_xlfn.XLOOKUP(B282,Input!J:J,Input!E:E)</f>
        <v>0</v>
      </c>
      <c r="F282" s="32">
        <f>IF(E282="LENOVO",_xlfn.XLOOKUP(B282,Input!J:J,Input!K:K),_xlfn.XLOOKUP(B282,Input!J:J,Input!L:L))</f>
        <v>0</v>
      </c>
      <c r="G282" s="32"/>
      <c r="H282" s="32"/>
      <c r="I282" s="32"/>
      <c r="J282" s="51" t="e">
        <f>INDEX(Input!$D$2:$AC$500,
       MATCH(B282, Input!$J$2:$J$500, 0),
       MATCH("Total Memory", Input!$D$1:$AC$1, 0))</f>
        <v>#N/A</v>
      </c>
      <c r="K282" s="51"/>
      <c r="L282" s="51" t="str" cm="1">
        <f t="array" ref="L282">IFERROR(_xlfn.FILTERXML("&lt;t&gt;&lt;s&gt;" &amp; SUBSTITUTE(K282," / ","&lt;/s&gt;&lt;s&gt;") &amp; "&lt;/s&gt;&lt;/t&gt;","(//s[contains(.,'DDR')])[1]"),"")</f>
        <v/>
      </c>
      <c r="M282" s="32" t="e">
        <f t="shared" si="14"/>
        <v>#N/A</v>
      </c>
      <c r="N282" s="51" t="e">
        <f>INDEX(Input!$D$2:$AC$500,
       MATCH(B282, Input!$J$2:$J$500, 0),
       MATCH("Disk Interface Type", Input!$D$1:$AC$1, 0))</f>
        <v>#N/A</v>
      </c>
      <c r="O282" s="51" t="str" cm="1">
        <f t="array" ref="O282">IFERROR(_xlfn.TEXTJOIN(", ", TRUE, _xlfn._xlws.FILTER(
    INDEX(Input!$D$2:$AC$500,,MATCH("Disk Capacity",Input!$D$1:$AC$1,0)),
    Input!$J$2:$J$500=B282
)), "")</f>
        <v/>
      </c>
      <c r="P282" s="32" t="e">
        <f t="shared" si="13"/>
        <v>#N/A</v>
      </c>
      <c r="Q282" s="51" t="e">
        <f>_xlfn.LET(_xlpm.Result,INDEX(Input!$D$2:$AC$500,
       MATCH(B282, Input!$J$2:$J$500, 0),
       MATCH("Capacity", Input!$D$1:$AC$1, 0)),IF(_xlpm.Result="","",_xlpm.Result))</f>
        <v>#N/A</v>
      </c>
      <c r="R282" s="51" t="e" cm="1">
        <f t="array" ref="R282">_xlfn.TEXTSPLIT(Q282," / ", ,TRUE,0,)</f>
        <v>#N/A</v>
      </c>
      <c r="S282" s="51"/>
      <c r="T282" s="51" t="str" cm="1">
        <f t="array" ref="T282">IFERROR(_xlfn.IFS(
R282="","",
--R282&lt;55,"Battery Defect",
--R282&lt;=69,"Battery D",
--R282&lt;=80,"Battery C",
--R282&gt;80,""
),"")</f>
        <v/>
      </c>
      <c r="U282" s="51" t="str" cm="1">
        <f t="array" ref="U282">IFERROR(_xlfn.IFS(
S282="","",
--S282&lt;55,"Battery Defect",
--S282&lt;=69,"Battery D",
--S282&lt;=80,"Battery C",
--S282&gt;80,""
),"")</f>
        <v/>
      </c>
      <c r="V282" s="51"/>
      <c r="W282" s="51"/>
      <c r="X282" s="51"/>
      <c r="Y282" s="51"/>
      <c r="Z282" s="51"/>
      <c r="AA282" s="51"/>
      <c r="AB282" s="51"/>
      <c r="AC282" s="51"/>
      <c r="AD282" s="32" t="str">
        <f t="shared" si="12"/>
        <v/>
      </c>
      <c r="AE282" s="32"/>
      <c r="AF282" s="32"/>
      <c r="AG282" s="32"/>
      <c r="AH282" s="32"/>
      <c r="AI282" s="32"/>
      <c r="AJ282" s="32"/>
      <c r="AK282" s="32"/>
      <c r="AL282" s="32"/>
    </row>
    <row r="283" spans="1:38">
      <c r="A283" s="32" t="str">
        <f>_xlfn.TEXTJOIN("",TRUE,_xlfn.XLOOKUP(B283,Input!J:J,Input!G:G,"",0,1),_xlfn.XLOOKUP(B283,Input!J:J,Input!H:H,"",0,1))</f>
        <v/>
      </c>
      <c r="B283" s="32"/>
      <c r="C283" s="51">
        <f>_xlfn.XLOOKUP(B283,Input!J:J,Input!F:F)</f>
        <v>0</v>
      </c>
      <c r="D283" s="32">
        <f>_xlfn.XLOOKUP(C283,Models!H:H,Models!G:G,C283)</f>
        <v>0</v>
      </c>
      <c r="E283" s="32">
        <f>_xlfn.XLOOKUP(B283,Input!J:J,Input!E:E)</f>
        <v>0</v>
      </c>
      <c r="F283" s="32">
        <f>IF(E283="LENOVO",_xlfn.XLOOKUP(B283,Input!J:J,Input!K:K),_xlfn.XLOOKUP(B283,Input!J:J,Input!L:L))</f>
        <v>0</v>
      </c>
      <c r="G283" s="32"/>
      <c r="H283" s="32"/>
      <c r="I283" s="32"/>
      <c r="J283" s="51" t="e">
        <f>INDEX(Input!$D$2:$AC$500,
       MATCH(B283, Input!$J$2:$J$500, 0),
       MATCH("Total Memory", Input!$D$1:$AC$1, 0))</f>
        <v>#N/A</v>
      </c>
      <c r="K283" s="51"/>
      <c r="L283" s="51" t="str" cm="1">
        <f t="array" ref="L283">IFERROR(_xlfn.FILTERXML("&lt;t&gt;&lt;s&gt;" &amp; SUBSTITUTE(K283," / ","&lt;/s&gt;&lt;s&gt;") &amp; "&lt;/s&gt;&lt;/t&gt;","(//s[contains(.,'DDR')])[1]"),"")</f>
        <v/>
      </c>
      <c r="M283" s="32" t="e">
        <f t="shared" si="14"/>
        <v>#N/A</v>
      </c>
      <c r="N283" s="51" t="e">
        <f>INDEX(Input!$D$2:$AC$500,
       MATCH(B283, Input!$J$2:$J$500, 0),
       MATCH("Disk Interface Type", Input!$D$1:$AC$1, 0))</f>
        <v>#N/A</v>
      </c>
      <c r="O283" s="51" t="str" cm="1">
        <f t="array" ref="O283">IFERROR(_xlfn.TEXTJOIN(", ", TRUE, _xlfn._xlws.FILTER(
    INDEX(Input!$D$2:$AC$500,,MATCH("Disk Capacity",Input!$D$1:$AC$1,0)),
    Input!$J$2:$J$500=B283
)), "")</f>
        <v/>
      </c>
      <c r="P283" s="32" t="e">
        <f t="shared" si="13"/>
        <v>#N/A</v>
      </c>
      <c r="Q283" s="51" t="e">
        <f>_xlfn.LET(_xlpm.Result,INDEX(Input!$D$2:$AC$500,
       MATCH(B283, Input!$J$2:$J$500, 0),
       MATCH("Capacity", Input!$D$1:$AC$1, 0)),IF(_xlpm.Result="","",_xlpm.Result))</f>
        <v>#N/A</v>
      </c>
      <c r="R283" s="51" t="e" cm="1">
        <f t="array" ref="R283">_xlfn.TEXTSPLIT(Q283," / ", ,TRUE,0,)</f>
        <v>#N/A</v>
      </c>
      <c r="S283" s="51"/>
      <c r="T283" s="51" t="str" cm="1">
        <f t="array" ref="T283">IFERROR(_xlfn.IFS(
R283="","",
--R283&lt;55,"Battery Defect",
--R283&lt;=69,"Battery D",
--R283&lt;=80,"Battery C",
--R283&gt;80,""
),"")</f>
        <v/>
      </c>
      <c r="U283" s="51" t="str" cm="1">
        <f t="array" ref="U283">IFERROR(_xlfn.IFS(
S283="","",
--S283&lt;55,"Battery Defect",
--S283&lt;=69,"Battery D",
--S283&lt;=80,"Battery C",
--S283&gt;80,""
),"")</f>
        <v/>
      </c>
      <c r="V283" s="51"/>
      <c r="W283" s="51"/>
      <c r="X283" s="51"/>
      <c r="Y283" s="51"/>
      <c r="Z283" s="51"/>
      <c r="AA283" s="51"/>
      <c r="AB283" s="51"/>
      <c r="AC283" s="51"/>
      <c r="AD283" s="32" t="str">
        <f t="shared" si="12"/>
        <v/>
      </c>
      <c r="AE283" s="32"/>
      <c r="AF283" s="32"/>
      <c r="AG283" s="32"/>
      <c r="AH283" s="32"/>
      <c r="AI283" s="32"/>
      <c r="AJ283" s="32"/>
      <c r="AK283" s="32"/>
      <c r="AL283" s="32"/>
    </row>
    <row r="284" spans="1:38">
      <c r="A284" s="32" t="str">
        <f>_xlfn.TEXTJOIN("",TRUE,_xlfn.XLOOKUP(B284,Input!J:J,Input!G:G,"",0,1),_xlfn.XLOOKUP(B284,Input!J:J,Input!H:H,"",0,1))</f>
        <v/>
      </c>
      <c r="B284" s="32"/>
      <c r="C284" s="51">
        <f>_xlfn.XLOOKUP(B284,Input!J:J,Input!F:F)</f>
        <v>0</v>
      </c>
      <c r="D284" s="32">
        <f>_xlfn.XLOOKUP(C284,Models!H:H,Models!G:G,C284)</f>
        <v>0</v>
      </c>
      <c r="E284" s="32">
        <f>_xlfn.XLOOKUP(B284,Input!J:J,Input!E:E)</f>
        <v>0</v>
      </c>
      <c r="F284" s="32">
        <f>IF(E284="LENOVO",_xlfn.XLOOKUP(B284,Input!J:J,Input!K:K),_xlfn.XLOOKUP(B284,Input!J:J,Input!L:L))</f>
        <v>0</v>
      </c>
      <c r="G284" s="32"/>
      <c r="H284" s="32"/>
      <c r="I284" s="32"/>
      <c r="J284" s="51" t="e">
        <f>INDEX(Input!$D$2:$AC$500,
       MATCH(B284, Input!$J$2:$J$500, 0),
       MATCH("Total Memory", Input!$D$1:$AC$1, 0))</f>
        <v>#N/A</v>
      </c>
      <c r="K284" s="51"/>
      <c r="L284" s="51" t="str" cm="1">
        <f t="array" ref="L284">IFERROR(_xlfn.FILTERXML("&lt;t&gt;&lt;s&gt;" &amp; SUBSTITUTE(K284," / ","&lt;/s&gt;&lt;s&gt;") &amp; "&lt;/s&gt;&lt;/t&gt;","(//s[contains(.,'DDR')])[1]"),"")</f>
        <v/>
      </c>
      <c r="M284" s="32" t="e">
        <f t="shared" si="14"/>
        <v>#N/A</v>
      </c>
      <c r="N284" s="51" t="e">
        <f>INDEX(Input!$D$2:$AC$500,
       MATCH(B284, Input!$J$2:$J$500, 0),
       MATCH("Disk Interface Type", Input!$D$1:$AC$1, 0))</f>
        <v>#N/A</v>
      </c>
      <c r="O284" s="51" t="str" cm="1">
        <f t="array" ref="O284">IFERROR(_xlfn.TEXTJOIN(", ", TRUE, _xlfn._xlws.FILTER(
    INDEX(Input!$D$2:$AC$500,,MATCH("Disk Capacity",Input!$D$1:$AC$1,0)),
    Input!$J$2:$J$500=B284
)), "")</f>
        <v/>
      </c>
      <c r="P284" s="32" t="e">
        <f t="shared" si="13"/>
        <v>#N/A</v>
      </c>
      <c r="Q284" s="51" t="e">
        <f>_xlfn.LET(_xlpm.Result,INDEX(Input!$D$2:$AC$500,
       MATCH(B284, Input!$J$2:$J$500, 0),
       MATCH("Capacity", Input!$D$1:$AC$1, 0)),IF(_xlpm.Result="","",_xlpm.Result))</f>
        <v>#N/A</v>
      </c>
      <c r="R284" s="51" t="e" cm="1">
        <f t="array" ref="R284">_xlfn.TEXTSPLIT(Q284," / ", ,TRUE,0,)</f>
        <v>#N/A</v>
      </c>
      <c r="S284" s="51"/>
      <c r="T284" s="51" t="str" cm="1">
        <f t="array" ref="T284">IFERROR(_xlfn.IFS(
R284="","",
--R284&lt;55,"Battery Defect",
--R284&lt;=69,"Battery D",
--R284&lt;=80,"Battery C",
--R284&gt;80,""
),"")</f>
        <v/>
      </c>
      <c r="U284" s="51" t="str" cm="1">
        <f t="array" ref="U284">IFERROR(_xlfn.IFS(
S284="","",
--S284&lt;55,"Battery Defect",
--S284&lt;=69,"Battery D",
--S284&lt;=80,"Battery C",
--S284&gt;80,""
),"")</f>
        <v/>
      </c>
      <c r="V284" s="51"/>
      <c r="W284" s="51"/>
      <c r="X284" s="51"/>
      <c r="Y284" s="51"/>
      <c r="Z284" s="51"/>
      <c r="AA284" s="51"/>
      <c r="AB284" s="51"/>
      <c r="AC284" s="51"/>
      <c r="AD284" s="32" t="str">
        <f t="shared" si="12"/>
        <v/>
      </c>
      <c r="AE284" s="32"/>
      <c r="AF284" s="32"/>
      <c r="AG284" s="32"/>
      <c r="AH284" s="32"/>
      <c r="AI284" s="32"/>
      <c r="AJ284" s="32"/>
      <c r="AK284" s="32"/>
      <c r="AL284" s="32"/>
    </row>
    <row r="285" spans="1:38">
      <c r="A285" s="32" t="str">
        <f>_xlfn.TEXTJOIN("",TRUE,_xlfn.XLOOKUP(B285,Input!J:J,Input!G:G,"",0,1),_xlfn.XLOOKUP(B285,Input!J:J,Input!H:H,"",0,1))</f>
        <v/>
      </c>
      <c r="B285" s="32"/>
      <c r="C285" s="51">
        <f>_xlfn.XLOOKUP(B285,Input!J:J,Input!F:F)</f>
        <v>0</v>
      </c>
      <c r="D285" s="32">
        <f>_xlfn.XLOOKUP(C285,Models!H:H,Models!G:G,C285)</f>
        <v>0</v>
      </c>
      <c r="E285" s="32">
        <f>_xlfn.XLOOKUP(B285,Input!J:J,Input!E:E)</f>
        <v>0</v>
      </c>
      <c r="F285" s="32">
        <f>IF(E285="LENOVO",_xlfn.XLOOKUP(B285,Input!J:J,Input!K:K),_xlfn.XLOOKUP(B285,Input!J:J,Input!L:L))</f>
        <v>0</v>
      </c>
      <c r="G285" s="32"/>
      <c r="H285" s="32"/>
      <c r="I285" s="32"/>
      <c r="J285" s="51" t="e">
        <f>INDEX(Input!$D$2:$AC$500,
       MATCH(B285, Input!$J$2:$J$500, 0),
       MATCH("Total Memory", Input!$D$1:$AC$1, 0))</f>
        <v>#N/A</v>
      </c>
      <c r="K285" s="51"/>
      <c r="L285" s="51" t="str" cm="1">
        <f t="array" ref="L285">IFERROR(_xlfn.FILTERXML("&lt;t&gt;&lt;s&gt;" &amp; SUBSTITUTE(K285," / ","&lt;/s&gt;&lt;s&gt;") &amp; "&lt;/s&gt;&lt;/t&gt;","(//s[contains(.,'DDR')])[1]"),"")</f>
        <v/>
      </c>
      <c r="M285" s="32" t="e">
        <f t="shared" si="14"/>
        <v>#N/A</v>
      </c>
      <c r="N285" s="51" t="e">
        <f>INDEX(Input!$D$2:$AC$500,
       MATCH(B285, Input!$J$2:$J$500, 0),
       MATCH("Disk Interface Type", Input!$D$1:$AC$1, 0))</f>
        <v>#N/A</v>
      </c>
      <c r="O285" s="51" t="str" cm="1">
        <f t="array" ref="O285">IFERROR(_xlfn.TEXTJOIN(", ", TRUE, _xlfn._xlws.FILTER(
    INDEX(Input!$D$2:$AC$500,,MATCH("Disk Capacity",Input!$D$1:$AC$1,0)),
    Input!$J$2:$J$500=B285
)), "")</f>
        <v/>
      </c>
      <c r="P285" s="32" t="e">
        <f t="shared" si="13"/>
        <v>#N/A</v>
      </c>
      <c r="Q285" s="51" t="e">
        <f>_xlfn.LET(_xlpm.Result,INDEX(Input!$D$2:$AC$500,
       MATCH(B285, Input!$J$2:$J$500, 0),
       MATCH("Capacity", Input!$D$1:$AC$1, 0)),IF(_xlpm.Result="","",_xlpm.Result))</f>
        <v>#N/A</v>
      </c>
      <c r="R285" s="51" t="e" cm="1">
        <f t="array" ref="R285">_xlfn.TEXTSPLIT(Q285," / ", ,TRUE,0,)</f>
        <v>#N/A</v>
      </c>
      <c r="S285" s="51"/>
      <c r="T285" s="51" t="str" cm="1">
        <f t="array" ref="T285">IFERROR(_xlfn.IFS(
R285="","",
--R285&lt;55,"Battery Defect",
--R285&lt;=69,"Battery D",
--R285&lt;=80,"Battery C",
--R285&gt;80,""
),"")</f>
        <v/>
      </c>
      <c r="U285" s="51" t="str" cm="1">
        <f t="array" ref="U285">IFERROR(_xlfn.IFS(
S285="","",
--S285&lt;55,"Battery Defect",
--S285&lt;=69,"Battery D",
--S285&lt;=80,"Battery C",
--S285&gt;80,""
),"")</f>
        <v/>
      </c>
      <c r="V285" s="51"/>
      <c r="W285" s="51"/>
      <c r="X285" s="51"/>
      <c r="Y285" s="51"/>
      <c r="Z285" s="51"/>
      <c r="AA285" s="51"/>
      <c r="AB285" s="51"/>
      <c r="AC285" s="51"/>
      <c r="AD285" s="32" t="str">
        <f t="shared" si="12"/>
        <v/>
      </c>
      <c r="AE285" s="32"/>
      <c r="AF285" s="32"/>
      <c r="AG285" s="32"/>
      <c r="AH285" s="32"/>
      <c r="AI285" s="32"/>
      <c r="AJ285" s="32"/>
      <c r="AK285" s="32"/>
      <c r="AL285" s="32"/>
    </row>
    <row r="286" spans="1:38">
      <c r="A286" s="32" t="str">
        <f>_xlfn.TEXTJOIN("",TRUE,_xlfn.XLOOKUP(B286,Input!J:J,Input!G:G,"",0,1),_xlfn.XLOOKUP(B286,Input!J:J,Input!H:H,"",0,1))</f>
        <v/>
      </c>
      <c r="B286" s="32"/>
      <c r="C286" s="51">
        <f>_xlfn.XLOOKUP(B286,Input!J:J,Input!F:F)</f>
        <v>0</v>
      </c>
      <c r="D286" s="32">
        <f>_xlfn.XLOOKUP(C286,Models!H:H,Models!G:G,C286)</f>
        <v>0</v>
      </c>
      <c r="E286" s="32">
        <f>_xlfn.XLOOKUP(B286,Input!J:J,Input!E:E)</f>
        <v>0</v>
      </c>
      <c r="F286" s="32">
        <f>IF(E286="LENOVO",_xlfn.XLOOKUP(B286,Input!J:J,Input!K:K),_xlfn.XLOOKUP(B286,Input!J:J,Input!L:L))</f>
        <v>0</v>
      </c>
      <c r="G286" s="32"/>
      <c r="H286" s="32"/>
      <c r="I286" s="32"/>
      <c r="J286" s="51" t="e">
        <f>INDEX(Input!$D$2:$AC$500,
       MATCH(B286, Input!$J$2:$J$500, 0),
       MATCH("Total Memory", Input!$D$1:$AC$1, 0))</f>
        <v>#N/A</v>
      </c>
      <c r="K286" s="51"/>
      <c r="L286" s="51" t="str" cm="1">
        <f t="array" ref="L286">IFERROR(_xlfn.FILTERXML("&lt;t&gt;&lt;s&gt;" &amp; SUBSTITUTE(K286," / ","&lt;/s&gt;&lt;s&gt;") &amp; "&lt;/s&gt;&lt;/t&gt;","(//s[contains(.,'DDR')])[1]"),"")</f>
        <v/>
      </c>
      <c r="M286" s="32" t="e">
        <f t="shared" si="14"/>
        <v>#N/A</v>
      </c>
      <c r="N286" s="51" t="e">
        <f>INDEX(Input!$D$2:$AC$500,
       MATCH(B286, Input!$J$2:$J$500, 0),
       MATCH("Disk Interface Type", Input!$D$1:$AC$1, 0))</f>
        <v>#N/A</v>
      </c>
      <c r="O286" s="51" t="str" cm="1">
        <f t="array" ref="O286">IFERROR(_xlfn.TEXTJOIN(", ", TRUE, _xlfn._xlws.FILTER(
    INDEX(Input!$D$2:$AC$500,,MATCH("Disk Capacity",Input!$D$1:$AC$1,0)),
    Input!$J$2:$J$500=B286
)), "")</f>
        <v/>
      </c>
      <c r="P286" s="32" t="e">
        <f t="shared" si="13"/>
        <v>#N/A</v>
      </c>
      <c r="Q286" s="51" t="e">
        <f>_xlfn.LET(_xlpm.Result,INDEX(Input!$D$2:$AC$500,
       MATCH(B286, Input!$J$2:$J$500, 0),
       MATCH("Capacity", Input!$D$1:$AC$1, 0)),IF(_xlpm.Result="","",_xlpm.Result))</f>
        <v>#N/A</v>
      </c>
      <c r="R286" s="51" t="e" cm="1">
        <f t="array" ref="R286">_xlfn.TEXTSPLIT(Q286," / ", ,TRUE,0,)</f>
        <v>#N/A</v>
      </c>
      <c r="S286" s="51"/>
      <c r="T286" s="51" t="str" cm="1">
        <f t="array" ref="T286">IFERROR(_xlfn.IFS(
R286="","",
--R286&lt;55,"Battery Defect",
--R286&lt;=69,"Battery D",
--R286&lt;=80,"Battery C",
--R286&gt;80,""
),"")</f>
        <v/>
      </c>
      <c r="U286" s="51" t="str" cm="1">
        <f t="array" ref="U286">IFERROR(_xlfn.IFS(
S286="","",
--S286&lt;55,"Battery Defect",
--S286&lt;=69,"Battery D",
--S286&lt;=80,"Battery C",
--S286&gt;80,""
),"")</f>
        <v/>
      </c>
      <c r="V286" s="51"/>
      <c r="W286" s="51"/>
      <c r="X286" s="51"/>
      <c r="Y286" s="51"/>
      <c r="Z286" s="51"/>
      <c r="AA286" s="51"/>
      <c r="AB286" s="51"/>
      <c r="AC286" s="51"/>
      <c r="AD286" s="32" t="str">
        <f t="shared" si="12"/>
        <v/>
      </c>
      <c r="AE286" s="32"/>
      <c r="AF286" s="32"/>
      <c r="AG286" s="32"/>
      <c r="AH286" s="32"/>
      <c r="AI286" s="32"/>
      <c r="AJ286" s="32"/>
      <c r="AK286" s="32"/>
      <c r="AL286" s="32"/>
    </row>
    <row r="287" spans="1:38">
      <c r="A287" s="32" t="str">
        <f>_xlfn.TEXTJOIN("",TRUE,_xlfn.XLOOKUP(B287,Input!J:J,Input!G:G,"",0,1),_xlfn.XLOOKUP(B287,Input!J:J,Input!H:H,"",0,1))</f>
        <v/>
      </c>
      <c r="B287" s="32"/>
      <c r="C287" s="51">
        <f>_xlfn.XLOOKUP(B287,Input!J:J,Input!F:F)</f>
        <v>0</v>
      </c>
      <c r="D287" s="32">
        <f>_xlfn.XLOOKUP(C287,Models!H:H,Models!G:G,C287)</f>
        <v>0</v>
      </c>
      <c r="E287" s="32">
        <f>_xlfn.XLOOKUP(B287,Input!J:J,Input!E:E)</f>
        <v>0</v>
      </c>
      <c r="F287" s="32">
        <f>IF(E287="LENOVO",_xlfn.XLOOKUP(B287,Input!J:J,Input!K:K),_xlfn.XLOOKUP(B287,Input!J:J,Input!L:L))</f>
        <v>0</v>
      </c>
      <c r="G287" s="32"/>
      <c r="H287" s="32"/>
      <c r="I287" s="32"/>
      <c r="J287" s="51" t="e">
        <f>INDEX(Input!$D$2:$AC$500,
       MATCH(B287, Input!$J$2:$J$500, 0),
       MATCH("Total Memory", Input!$D$1:$AC$1, 0))</f>
        <v>#N/A</v>
      </c>
      <c r="K287" s="51"/>
      <c r="L287" s="51" t="str" cm="1">
        <f t="array" ref="L287">IFERROR(_xlfn.FILTERXML("&lt;t&gt;&lt;s&gt;" &amp; SUBSTITUTE(K287," / ","&lt;/s&gt;&lt;s&gt;") &amp; "&lt;/s&gt;&lt;/t&gt;","(//s[contains(.,'DDR')])[1]"),"")</f>
        <v/>
      </c>
      <c r="M287" s="32" t="e">
        <f t="shared" si="14"/>
        <v>#N/A</v>
      </c>
      <c r="N287" s="51" t="e">
        <f>INDEX(Input!$D$2:$AC$500,
       MATCH(B287, Input!$J$2:$J$500, 0),
       MATCH("Disk Interface Type", Input!$D$1:$AC$1, 0))</f>
        <v>#N/A</v>
      </c>
      <c r="O287" s="51" t="str" cm="1">
        <f t="array" ref="O287">IFERROR(_xlfn.TEXTJOIN(", ", TRUE, _xlfn._xlws.FILTER(
    INDEX(Input!$D$2:$AC$500,,MATCH("Disk Capacity",Input!$D$1:$AC$1,0)),
    Input!$J$2:$J$500=B287
)), "")</f>
        <v/>
      </c>
      <c r="P287" s="32" t="e">
        <f t="shared" si="13"/>
        <v>#N/A</v>
      </c>
      <c r="Q287" s="51" t="e">
        <f>_xlfn.LET(_xlpm.Result,INDEX(Input!$D$2:$AC$500,
       MATCH(B287, Input!$J$2:$J$500, 0),
       MATCH("Capacity", Input!$D$1:$AC$1, 0)),IF(_xlpm.Result="","",_xlpm.Result))</f>
        <v>#N/A</v>
      </c>
      <c r="R287" s="51" t="e" cm="1">
        <f t="array" ref="R287">_xlfn.TEXTSPLIT(Q287," / ", ,TRUE,0,)</f>
        <v>#N/A</v>
      </c>
      <c r="S287" s="51"/>
      <c r="T287" s="51" t="str" cm="1">
        <f t="array" ref="T287">IFERROR(_xlfn.IFS(
R287="","",
--R287&lt;55,"Battery Defect",
--R287&lt;=69,"Battery D",
--R287&lt;=80,"Battery C",
--R287&gt;80,""
),"")</f>
        <v/>
      </c>
      <c r="U287" s="51" t="str" cm="1">
        <f t="array" ref="U287">IFERROR(_xlfn.IFS(
S287="","",
--S287&lt;55,"Battery Defect",
--S287&lt;=69,"Battery D",
--S287&lt;=80,"Battery C",
--S287&gt;80,""
),"")</f>
        <v/>
      </c>
      <c r="V287" s="51"/>
      <c r="W287" s="51"/>
      <c r="X287" s="51"/>
      <c r="Y287" s="51"/>
      <c r="Z287" s="51"/>
      <c r="AA287" s="51"/>
      <c r="AB287" s="51"/>
      <c r="AC287" s="51"/>
      <c r="AD287" s="32" t="str">
        <f t="shared" si="12"/>
        <v/>
      </c>
      <c r="AE287" s="32"/>
      <c r="AF287" s="32"/>
      <c r="AG287" s="32"/>
      <c r="AH287" s="32"/>
      <c r="AI287" s="32"/>
      <c r="AJ287" s="32"/>
      <c r="AK287" s="32"/>
      <c r="AL287" s="32"/>
    </row>
    <row r="288" spans="1:38">
      <c r="A288" s="32" t="str">
        <f>_xlfn.TEXTJOIN("",TRUE,_xlfn.XLOOKUP(B288,Input!J:J,Input!G:G,"",0,1),_xlfn.XLOOKUP(B288,Input!J:J,Input!H:H,"",0,1))</f>
        <v/>
      </c>
      <c r="B288" s="32"/>
      <c r="C288" s="51">
        <f>_xlfn.XLOOKUP(B288,Input!J:J,Input!F:F)</f>
        <v>0</v>
      </c>
      <c r="D288" s="32">
        <f>_xlfn.XLOOKUP(C288,Models!H:H,Models!G:G,C288)</f>
        <v>0</v>
      </c>
      <c r="E288" s="32">
        <f>_xlfn.XLOOKUP(B288,Input!J:J,Input!E:E)</f>
        <v>0</v>
      </c>
      <c r="F288" s="32">
        <f>IF(E288="LENOVO",_xlfn.XLOOKUP(B288,Input!J:J,Input!K:K),_xlfn.XLOOKUP(B288,Input!J:J,Input!L:L))</f>
        <v>0</v>
      </c>
      <c r="G288" s="32"/>
      <c r="H288" s="32"/>
      <c r="I288" s="32"/>
      <c r="J288" s="51" t="e">
        <f>INDEX(Input!$D$2:$AC$500,
       MATCH(B288, Input!$J$2:$J$500, 0),
       MATCH("Total Memory", Input!$D$1:$AC$1, 0))</f>
        <v>#N/A</v>
      </c>
      <c r="K288" s="51"/>
      <c r="L288" s="51" t="str" cm="1">
        <f t="array" ref="L288">IFERROR(_xlfn.FILTERXML("&lt;t&gt;&lt;s&gt;" &amp; SUBSTITUTE(K288," / ","&lt;/s&gt;&lt;s&gt;") &amp; "&lt;/s&gt;&lt;/t&gt;","(//s[contains(.,'DDR')])[1]"),"")</f>
        <v/>
      </c>
      <c r="M288" s="32" t="e">
        <f t="shared" si="14"/>
        <v>#N/A</v>
      </c>
      <c r="N288" s="51" t="e">
        <f>INDEX(Input!$D$2:$AC$500,
       MATCH(B288, Input!$J$2:$J$500, 0),
       MATCH("Disk Interface Type", Input!$D$1:$AC$1, 0))</f>
        <v>#N/A</v>
      </c>
      <c r="O288" s="51" t="str" cm="1">
        <f t="array" ref="O288">IFERROR(_xlfn.TEXTJOIN(", ", TRUE, _xlfn._xlws.FILTER(
    INDEX(Input!$D$2:$AC$500,,MATCH("Disk Capacity",Input!$D$1:$AC$1,0)),
    Input!$J$2:$J$500=B288
)), "")</f>
        <v/>
      </c>
      <c r="P288" s="32" t="e">
        <f t="shared" si="13"/>
        <v>#N/A</v>
      </c>
      <c r="Q288" s="51" t="e">
        <f>_xlfn.LET(_xlpm.Result,INDEX(Input!$D$2:$AC$500,
       MATCH(B288, Input!$J$2:$J$500, 0),
       MATCH("Capacity", Input!$D$1:$AC$1, 0)),IF(_xlpm.Result="","",_xlpm.Result))</f>
        <v>#N/A</v>
      </c>
      <c r="R288" s="51" t="e" cm="1">
        <f t="array" ref="R288">_xlfn.TEXTSPLIT(Q288," / ", ,TRUE,0,)</f>
        <v>#N/A</v>
      </c>
      <c r="S288" s="51"/>
      <c r="T288" s="51" t="str" cm="1">
        <f t="array" ref="T288">IFERROR(_xlfn.IFS(
R288="","",
--R288&lt;55,"Battery Defect",
--R288&lt;=69,"Battery D",
--R288&lt;=80,"Battery C",
--R288&gt;80,""
),"")</f>
        <v/>
      </c>
      <c r="U288" s="51" t="str" cm="1">
        <f t="array" ref="U288">IFERROR(_xlfn.IFS(
S288="","",
--S288&lt;55,"Battery Defect",
--S288&lt;=69,"Battery D",
--S288&lt;=80,"Battery C",
--S288&gt;80,""
),"")</f>
        <v/>
      </c>
      <c r="V288" s="51"/>
      <c r="W288" s="51"/>
      <c r="X288" s="51"/>
      <c r="Y288" s="51"/>
      <c r="Z288" s="51"/>
      <c r="AA288" s="51"/>
      <c r="AB288" s="51"/>
      <c r="AC288" s="51"/>
      <c r="AD288" s="32" t="str">
        <f t="shared" si="12"/>
        <v/>
      </c>
      <c r="AE288" s="32"/>
      <c r="AF288" s="32"/>
      <c r="AG288" s="32"/>
      <c r="AH288" s="32"/>
      <c r="AI288" s="32"/>
      <c r="AJ288" s="32"/>
      <c r="AK288" s="32"/>
      <c r="AL288" s="32"/>
    </row>
    <row r="289" spans="1:38">
      <c r="A289" s="32" t="str">
        <f>_xlfn.TEXTJOIN("",TRUE,_xlfn.XLOOKUP(B289,Input!J:J,Input!G:G,"",0,1),_xlfn.XLOOKUP(B289,Input!J:J,Input!H:H,"",0,1))</f>
        <v/>
      </c>
      <c r="B289" s="32"/>
      <c r="C289" s="51">
        <f>_xlfn.XLOOKUP(B289,Input!J:J,Input!F:F)</f>
        <v>0</v>
      </c>
      <c r="D289" s="32">
        <f>_xlfn.XLOOKUP(C289,Models!H:H,Models!G:G,C289)</f>
        <v>0</v>
      </c>
      <c r="E289" s="32">
        <f>_xlfn.XLOOKUP(B289,Input!J:J,Input!E:E)</f>
        <v>0</v>
      </c>
      <c r="F289" s="32">
        <f>IF(E289="LENOVO",_xlfn.XLOOKUP(B289,Input!J:J,Input!K:K),_xlfn.XLOOKUP(B289,Input!J:J,Input!L:L))</f>
        <v>0</v>
      </c>
      <c r="G289" s="32"/>
      <c r="H289" s="32"/>
      <c r="I289" s="32"/>
      <c r="J289" s="51" t="e">
        <f>INDEX(Input!$D$2:$AC$500,
       MATCH(B289, Input!$J$2:$J$500, 0),
       MATCH("Total Memory", Input!$D$1:$AC$1, 0))</f>
        <v>#N/A</v>
      </c>
      <c r="K289" s="51"/>
      <c r="L289" s="51" t="str" cm="1">
        <f t="array" ref="L289">IFERROR(_xlfn.FILTERXML("&lt;t&gt;&lt;s&gt;" &amp; SUBSTITUTE(K289," / ","&lt;/s&gt;&lt;s&gt;") &amp; "&lt;/s&gt;&lt;/t&gt;","(//s[contains(.,'DDR')])[1]"),"")</f>
        <v/>
      </c>
      <c r="M289" s="32" t="e">
        <f t="shared" si="14"/>
        <v>#N/A</v>
      </c>
      <c r="N289" s="51" t="e">
        <f>INDEX(Input!$D$2:$AC$500,
       MATCH(B289, Input!$J$2:$J$500, 0),
       MATCH("Disk Interface Type", Input!$D$1:$AC$1, 0))</f>
        <v>#N/A</v>
      </c>
      <c r="O289" s="51" t="str" cm="1">
        <f t="array" ref="O289">IFERROR(_xlfn.TEXTJOIN(", ", TRUE, _xlfn._xlws.FILTER(
    INDEX(Input!$D$2:$AC$500,,MATCH("Disk Capacity",Input!$D$1:$AC$1,0)),
    Input!$J$2:$J$500=B289
)), "")</f>
        <v/>
      </c>
      <c r="P289" s="32" t="e">
        <f t="shared" si="13"/>
        <v>#N/A</v>
      </c>
      <c r="Q289" s="51" t="e">
        <f>_xlfn.LET(_xlpm.Result,INDEX(Input!$D$2:$AC$500,
       MATCH(B289, Input!$J$2:$J$500, 0),
       MATCH("Capacity", Input!$D$1:$AC$1, 0)),IF(_xlpm.Result="","",_xlpm.Result))</f>
        <v>#N/A</v>
      </c>
      <c r="R289" s="51" t="e" cm="1">
        <f t="array" ref="R289">_xlfn.TEXTSPLIT(Q289," / ", ,TRUE,0,)</f>
        <v>#N/A</v>
      </c>
      <c r="S289" s="51"/>
      <c r="T289" s="51" t="str" cm="1">
        <f t="array" ref="T289">IFERROR(_xlfn.IFS(
R289="","",
--R289&lt;55,"Battery Defect",
--R289&lt;=69,"Battery D",
--R289&lt;=80,"Battery C",
--R289&gt;80,""
),"")</f>
        <v/>
      </c>
      <c r="U289" s="51" t="str" cm="1">
        <f t="array" ref="U289">IFERROR(_xlfn.IFS(
S289="","",
--S289&lt;55,"Battery Defect",
--S289&lt;=69,"Battery D",
--S289&lt;=80,"Battery C",
--S289&gt;80,""
),"")</f>
        <v/>
      </c>
      <c r="V289" s="51"/>
      <c r="W289" s="51"/>
      <c r="X289" s="51"/>
      <c r="Y289" s="51"/>
      <c r="Z289" s="51"/>
      <c r="AA289" s="51"/>
      <c r="AB289" s="51"/>
      <c r="AC289" s="51"/>
      <c r="AD289" s="32" t="str">
        <f t="shared" si="12"/>
        <v/>
      </c>
      <c r="AE289" s="32"/>
      <c r="AF289" s="32"/>
      <c r="AG289" s="32"/>
      <c r="AH289" s="32"/>
      <c r="AI289" s="32"/>
      <c r="AJ289" s="32"/>
      <c r="AK289" s="32"/>
      <c r="AL289" s="32"/>
    </row>
    <row r="290" spans="1:38">
      <c r="A290" s="32" t="str">
        <f>_xlfn.TEXTJOIN("",TRUE,_xlfn.XLOOKUP(B290,Input!J:J,Input!G:G,"",0,1),_xlfn.XLOOKUP(B290,Input!J:J,Input!H:H,"",0,1))</f>
        <v/>
      </c>
      <c r="B290" s="32"/>
      <c r="C290" s="51">
        <f>_xlfn.XLOOKUP(B290,Input!J:J,Input!F:F)</f>
        <v>0</v>
      </c>
      <c r="D290" s="32">
        <f>_xlfn.XLOOKUP(C290,Models!H:H,Models!G:G,C290)</f>
        <v>0</v>
      </c>
      <c r="E290" s="32">
        <f>_xlfn.XLOOKUP(B290,Input!J:J,Input!E:E)</f>
        <v>0</v>
      </c>
      <c r="F290" s="32">
        <f>IF(E290="LENOVO",_xlfn.XLOOKUP(B290,Input!J:J,Input!K:K),_xlfn.XLOOKUP(B290,Input!J:J,Input!L:L))</f>
        <v>0</v>
      </c>
      <c r="G290" s="32"/>
      <c r="H290" s="32"/>
      <c r="I290" s="32"/>
      <c r="J290" s="51" t="e">
        <f>INDEX(Input!$D$2:$AC$500,
       MATCH(B290, Input!$J$2:$J$500, 0),
       MATCH("Total Memory", Input!$D$1:$AC$1, 0))</f>
        <v>#N/A</v>
      </c>
      <c r="K290" s="51"/>
      <c r="L290" s="51" t="str" cm="1">
        <f t="array" ref="L290">IFERROR(_xlfn.FILTERXML("&lt;t&gt;&lt;s&gt;" &amp; SUBSTITUTE(K290," / ","&lt;/s&gt;&lt;s&gt;") &amp; "&lt;/s&gt;&lt;/t&gt;","(//s[contains(.,'DDR')])[1]"),"")</f>
        <v/>
      </c>
      <c r="M290" s="32" t="e">
        <f t="shared" si="14"/>
        <v>#N/A</v>
      </c>
      <c r="N290" s="51" t="e">
        <f>INDEX(Input!$D$2:$AC$500,
       MATCH(B290, Input!$J$2:$J$500, 0),
       MATCH("Disk Interface Type", Input!$D$1:$AC$1, 0))</f>
        <v>#N/A</v>
      </c>
      <c r="O290" s="51" t="str" cm="1">
        <f t="array" ref="O290">IFERROR(_xlfn.TEXTJOIN(", ", TRUE, _xlfn._xlws.FILTER(
    INDEX(Input!$D$2:$AC$500,,MATCH("Disk Capacity",Input!$D$1:$AC$1,0)),
    Input!$J$2:$J$500=B290
)), "")</f>
        <v/>
      </c>
      <c r="P290" s="32" t="e">
        <f t="shared" si="13"/>
        <v>#N/A</v>
      </c>
      <c r="Q290" s="51" t="e">
        <f>_xlfn.LET(_xlpm.Result,INDEX(Input!$D$2:$AC$500,
       MATCH(B290, Input!$J$2:$J$500, 0),
       MATCH("Capacity", Input!$D$1:$AC$1, 0)),IF(_xlpm.Result="","",_xlpm.Result))</f>
        <v>#N/A</v>
      </c>
      <c r="R290" s="51" t="e" cm="1">
        <f t="array" ref="R290">_xlfn.TEXTSPLIT(Q290," / ", ,TRUE,0,)</f>
        <v>#N/A</v>
      </c>
      <c r="S290" s="51"/>
      <c r="T290" s="51" t="str" cm="1">
        <f t="array" ref="T290">IFERROR(_xlfn.IFS(
R290="","",
--R290&lt;55,"Battery Defect",
--R290&lt;=69,"Battery D",
--R290&lt;=80,"Battery C",
--R290&gt;80,""
),"")</f>
        <v/>
      </c>
      <c r="U290" s="51" t="str" cm="1">
        <f t="array" ref="U290">IFERROR(_xlfn.IFS(
S290="","",
--S290&lt;55,"Battery Defect",
--S290&lt;=69,"Battery D",
--S290&lt;=80,"Battery C",
--S290&gt;80,""
),"")</f>
        <v/>
      </c>
      <c r="V290" s="51"/>
      <c r="W290" s="51"/>
      <c r="X290" s="51"/>
      <c r="Y290" s="51"/>
      <c r="Z290" s="51"/>
      <c r="AA290" s="51"/>
      <c r="AB290" s="51"/>
      <c r="AC290" s="51"/>
      <c r="AD290" s="32" t="str">
        <f t="shared" si="12"/>
        <v/>
      </c>
      <c r="AE290" s="32"/>
      <c r="AF290" s="32"/>
      <c r="AG290" s="32"/>
      <c r="AH290" s="32"/>
      <c r="AI290" s="32"/>
      <c r="AJ290" s="32"/>
      <c r="AK290" s="32"/>
      <c r="AL290" s="32"/>
    </row>
    <row r="291" spans="1:38">
      <c r="A291" s="32" t="str">
        <f>_xlfn.TEXTJOIN("",TRUE,_xlfn.XLOOKUP(B291,Input!J:J,Input!G:G,"",0,1),_xlfn.XLOOKUP(B291,Input!J:J,Input!H:H,"",0,1))</f>
        <v/>
      </c>
      <c r="B291" s="32"/>
      <c r="C291" s="51">
        <f>_xlfn.XLOOKUP(B291,Input!J:J,Input!F:F)</f>
        <v>0</v>
      </c>
      <c r="D291" s="32">
        <f>_xlfn.XLOOKUP(C291,Models!H:H,Models!G:G,C291)</f>
        <v>0</v>
      </c>
      <c r="E291" s="32">
        <f>_xlfn.XLOOKUP(B291,Input!J:J,Input!E:E)</f>
        <v>0</v>
      </c>
      <c r="F291" s="32">
        <f>IF(E291="LENOVO",_xlfn.XLOOKUP(B291,Input!J:J,Input!K:K),_xlfn.XLOOKUP(B291,Input!J:J,Input!L:L))</f>
        <v>0</v>
      </c>
      <c r="G291" s="32"/>
      <c r="H291" s="32"/>
      <c r="I291" s="32"/>
      <c r="J291" s="51" t="e">
        <f>INDEX(Input!$D$2:$AC$500,
       MATCH(B291, Input!$J$2:$J$500, 0),
       MATCH("Total Memory", Input!$D$1:$AC$1, 0))</f>
        <v>#N/A</v>
      </c>
      <c r="K291" s="51"/>
      <c r="L291" s="51" t="str" cm="1">
        <f t="array" ref="L291">IFERROR(_xlfn.FILTERXML("&lt;t&gt;&lt;s&gt;" &amp; SUBSTITUTE(K291," / ","&lt;/s&gt;&lt;s&gt;") &amp; "&lt;/s&gt;&lt;/t&gt;","(//s[contains(.,'DDR')])[1]"),"")</f>
        <v/>
      </c>
      <c r="M291" s="32" t="e">
        <f t="shared" si="14"/>
        <v>#N/A</v>
      </c>
      <c r="N291" s="51" t="e">
        <f>INDEX(Input!$D$2:$AC$500,
       MATCH(B291, Input!$J$2:$J$500, 0),
       MATCH("Disk Interface Type", Input!$D$1:$AC$1, 0))</f>
        <v>#N/A</v>
      </c>
      <c r="O291" s="51" t="str" cm="1">
        <f t="array" ref="O291">IFERROR(_xlfn.TEXTJOIN(", ", TRUE, _xlfn._xlws.FILTER(
    INDEX(Input!$D$2:$AC$500,,MATCH("Disk Capacity",Input!$D$1:$AC$1,0)),
    Input!$J$2:$J$500=B291
)), "")</f>
        <v/>
      </c>
      <c r="P291" s="32" t="e">
        <f t="shared" si="13"/>
        <v>#N/A</v>
      </c>
      <c r="Q291" s="51" t="e">
        <f>_xlfn.LET(_xlpm.Result,INDEX(Input!$D$2:$AC$500,
       MATCH(B291, Input!$J$2:$J$500, 0),
       MATCH("Capacity", Input!$D$1:$AC$1, 0)),IF(_xlpm.Result="","",_xlpm.Result))</f>
        <v>#N/A</v>
      </c>
      <c r="R291" s="51" t="e" cm="1">
        <f t="array" ref="R291">_xlfn.TEXTSPLIT(Q291," / ", ,TRUE,0,)</f>
        <v>#N/A</v>
      </c>
      <c r="S291" s="51"/>
      <c r="T291" s="51" t="str" cm="1">
        <f t="array" ref="T291">IFERROR(_xlfn.IFS(
R291="","",
--R291&lt;55,"Battery Defect",
--R291&lt;=69,"Battery D",
--R291&lt;=80,"Battery C",
--R291&gt;80,""
),"")</f>
        <v/>
      </c>
      <c r="U291" s="51" t="str" cm="1">
        <f t="array" ref="U291">IFERROR(_xlfn.IFS(
S291="","",
--S291&lt;55,"Battery Defect",
--S291&lt;=69,"Battery D",
--S291&lt;=80,"Battery C",
--S291&gt;80,""
),"")</f>
        <v/>
      </c>
      <c r="V291" s="51"/>
      <c r="W291" s="51"/>
      <c r="X291" s="51"/>
      <c r="Y291" s="51"/>
      <c r="Z291" s="51"/>
      <c r="AA291" s="51"/>
      <c r="AB291" s="51"/>
      <c r="AC291" s="51"/>
      <c r="AD291" s="32" t="str">
        <f t="shared" si="12"/>
        <v/>
      </c>
      <c r="AE291" s="32"/>
      <c r="AF291" s="32"/>
      <c r="AG291" s="32"/>
      <c r="AH291" s="32"/>
      <c r="AI291" s="32"/>
      <c r="AJ291" s="32"/>
      <c r="AK291" s="32"/>
      <c r="AL291" s="32"/>
    </row>
    <row r="292" spans="1:38">
      <c r="A292" s="32" t="str">
        <f>_xlfn.TEXTJOIN("",TRUE,_xlfn.XLOOKUP(B292,Input!J:J,Input!G:G,"",0,1),_xlfn.XLOOKUP(B292,Input!J:J,Input!H:H,"",0,1))</f>
        <v/>
      </c>
      <c r="B292" s="32"/>
      <c r="C292" s="51">
        <f>_xlfn.XLOOKUP(B292,Input!J:J,Input!F:F)</f>
        <v>0</v>
      </c>
      <c r="D292" s="32">
        <f>_xlfn.XLOOKUP(C292,Models!H:H,Models!G:G,C292)</f>
        <v>0</v>
      </c>
      <c r="E292" s="32">
        <f>_xlfn.XLOOKUP(B292,Input!J:J,Input!E:E)</f>
        <v>0</v>
      </c>
      <c r="F292" s="32">
        <f>IF(E292="LENOVO",_xlfn.XLOOKUP(B292,Input!J:J,Input!K:K),_xlfn.XLOOKUP(B292,Input!J:J,Input!L:L))</f>
        <v>0</v>
      </c>
      <c r="G292" s="32"/>
      <c r="H292" s="32"/>
      <c r="I292" s="32"/>
      <c r="J292" s="51" t="e">
        <f>INDEX(Input!$D$2:$AC$500,
       MATCH(B292, Input!$J$2:$J$500, 0),
       MATCH("Total Memory", Input!$D$1:$AC$1, 0))</f>
        <v>#N/A</v>
      </c>
      <c r="K292" s="51"/>
      <c r="L292" s="51" t="str" cm="1">
        <f t="array" ref="L292">IFERROR(_xlfn.FILTERXML("&lt;t&gt;&lt;s&gt;" &amp; SUBSTITUTE(K292," / ","&lt;/s&gt;&lt;s&gt;") &amp; "&lt;/s&gt;&lt;/t&gt;","(//s[contains(.,'DDR')])[1]"),"")</f>
        <v/>
      </c>
      <c r="M292" s="32" t="e">
        <f t="shared" si="14"/>
        <v>#N/A</v>
      </c>
      <c r="N292" s="51" t="e">
        <f>INDEX(Input!$D$2:$AC$500,
       MATCH(B292, Input!$J$2:$J$500, 0),
       MATCH("Disk Interface Type", Input!$D$1:$AC$1, 0))</f>
        <v>#N/A</v>
      </c>
      <c r="O292" s="51" t="str" cm="1">
        <f t="array" ref="O292">IFERROR(_xlfn.TEXTJOIN(", ", TRUE, _xlfn._xlws.FILTER(
    INDEX(Input!$D$2:$AC$500,,MATCH("Disk Capacity",Input!$D$1:$AC$1,0)),
    Input!$J$2:$J$500=B292
)), "")</f>
        <v/>
      </c>
      <c r="P292" s="32" t="e">
        <f t="shared" si="13"/>
        <v>#N/A</v>
      </c>
      <c r="Q292" s="51" t="e">
        <f>_xlfn.LET(_xlpm.Result,INDEX(Input!$D$2:$AC$500,
       MATCH(B292, Input!$J$2:$J$500, 0),
       MATCH("Capacity", Input!$D$1:$AC$1, 0)),IF(_xlpm.Result="","",_xlpm.Result))</f>
        <v>#N/A</v>
      </c>
      <c r="R292" s="51" t="e" cm="1">
        <f t="array" ref="R292">_xlfn.TEXTSPLIT(Q292," / ", ,TRUE,0,)</f>
        <v>#N/A</v>
      </c>
      <c r="S292" s="51"/>
      <c r="T292" s="51" t="str" cm="1">
        <f t="array" ref="T292">IFERROR(_xlfn.IFS(
R292="","",
--R292&lt;55,"Battery Defect",
--R292&lt;=69,"Battery D",
--R292&lt;=80,"Battery C",
--R292&gt;80,""
),"")</f>
        <v/>
      </c>
      <c r="U292" s="51" t="str" cm="1">
        <f t="array" ref="U292">IFERROR(_xlfn.IFS(
S292="","",
--S292&lt;55,"Battery Defect",
--S292&lt;=69,"Battery D",
--S292&lt;=80,"Battery C",
--S292&gt;80,""
),"")</f>
        <v/>
      </c>
      <c r="V292" s="51"/>
      <c r="W292" s="51"/>
      <c r="X292" s="51"/>
      <c r="Y292" s="51"/>
      <c r="Z292" s="51"/>
      <c r="AA292" s="51"/>
      <c r="AB292" s="51"/>
      <c r="AC292" s="51"/>
      <c r="AD292" s="32" t="str">
        <f t="shared" si="12"/>
        <v/>
      </c>
      <c r="AE292" s="32"/>
      <c r="AF292" s="32"/>
      <c r="AG292" s="32"/>
      <c r="AH292" s="32"/>
      <c r="AI292" s="32"/>
      <c r="AJ292" s="32"/>
      <c r="AK292" s="32"/>
      <c r="AL292" s="32"/>
    </row>
    <row r="293" spans="1:38">
      <c r="A293" s="32" t="str">
        <f>_xlfn.TEXTJOIN("",TRUE,_xlfn.XLOOKUP(B293,Input!J:J,Input!G:G,"",0,1),_xlfn.XLOOKUP(B293,Input!J:J,Input!H:H,"",0,1))</f>
        <v/>
      </c>
      <c r="B293" s="32"/>
      <c r="C293" s="51">
        <f>_xlfn.XLOOKUP(B293,Input!J:J,Input!F:F)</f>
        <v>0</v>
      </c>
      <c r="D293" s="32">
        <f>_xlfn.XLOOKUP(C293,Models!H:H,Models!G:G,C293)</f>
        <v>0</v>
      </c>
      <c r="E293" s="32">
        <f>_xlfn.XLOOKUP(B293,Input!J:J,Input!E:E)</f>
        <v>0</v>
      </c>
      <c r="F293" s="32">
        <f>IF(E293="LENOVO",_xlfn.XLOOKUP(B293,Input!J:J,Input!K:K),_xlfn.XLOOKUP(B293,Input!J:J,Input!L:L))</f>
        <v>0</v>
      </c>
      <c r="G293" s="32"/>
      <c r="H293" s="32"/>
      <c r="I293" s="32"/>
      <c r="J293" s="51" t="e">
        <f>INDEX(Input!$D$2:$AC$500,
       MATCH(B293, Input!$J$2:$J$500, 0),
       MATCH("Total Memory", Input!$D$1:$AC$1, 0))</f>
        <v>#N/A</v>
      </c>
      <c r="K293" s="51"/>
      <c r="L293" s="51" t="str" cm="1">
        <f t="array" ref="L293">IFERROR(_xlfn.FILTERXML("&lt;t&gt;&lt;s&gt;" &amp; SUBSTITUTE(K293," / ","&lt;/s&gt;&lt;s&gt;") &amp; "&lt;/s&gt;&lt;/t&gt;","(//s[contains(.,'DDR')])[1]"),"")</f>
        <v/>
      </c>
      <c r="M293" s="32" t="e">
        <f t="shared" si="14"/>
        <v>#N/A</v>
      </c>
      <c r="N293" s="51" t="e">
        <f>INDEX(Input!$D$2:$AC$500,
       MATCH(B293, Input!$J$2:$J$500, 0),
       MATCH("Disk Interface Type", Input!$D$1:$AC$1, 0))</f>
        <v>#N/A</v>
      </c>
      <c r="O293" s="51" t="str" cm="1">
        <f t="array" ref="O293">IFERROR(_xlfn.TEXTJOIN(", ", TRUE, _xlfn._xlws.FILTER(
    INDEX(Input!$D$2:$AC$500,,MATCH("Disk Capacity",Input!$D$1:$AC$1,0)),
    Input!$J$2:$J$500=B293
)), "")</f>
        <v/>
      </c>
      <c r="P293" s="32" t="e">
        <f t="shared" si="13"/>
        <v>#N/A</v>
      </c>
      <c r="Q293" s="51" t="e">
        <f>_xlfn.LET(_xlpm.Result,INDEX(Input!$D$2:$AC$500,
       MATCH(B293, Input!$J$2:$J$500, 0),
       MATCH("Capacity", Input!$D$1:$AC$1, 0)),IF(_xlpm.Result="","",_xlpm.Result))</f>
        <v>#N/A</v>
      </c>
      <c r="R293" s="51" t="e" cm="1">
        <f t="array" ref="R293">_xlfn.TEXTSPLIT(Q293," / ", ,TRUE,0,)</f>
        <v>#N/A</v>
      </c>
      <c r="S293" s="51"/>
      <c r="T293" s="51" t="str" cm="1">
        <f t="array" ref="T293">IFERROR(_xlfn.IFS(
R293="","",
--R293&lt;55,"Battery Defect",
--R293&lt;=69,"Battery D",
--R293&lt;=80,"Battery C",
--R293&gt;80,""
),"")</f>
        <v/>
      </c>
      <c r="U293" s="51" t="str" cm="1">
        <f t="array" ref="U293">IFERROR(_xlfn.IFS(
S293="","",
--S293&lt;55,"Battery Defect",
--S293&lt;=69,"Battery D",
--S293&lt;=80,"Battery C",
--S293&gt;80,""
),"")</f>
        <v/>
      </c>
      <c r="V293" s="51"/>
      <c r="W293" s="51"/>
      <c r="X293" s="51"/>
      <c r="Y293" s="51"/>
      <c r="Z293" s="51"/>
      <c r="AA293" s="51"/>
      <c r="AB293" s="51"/>
      <c r="AC293" s="51"/>
      <c r="AD293" s="32" t="str">
        <f t="shared" si="12"/>
        <v/>
      </c>
      <c r="AE293" s="32"/>
      <c r="AF293" s="32"/>
      <c r="AG293" s="32"/>
      <c r="AH293" s="32"/>
      <c r="AI293" s="32"/>
      <c r="AJ293" s="32"/>
      <c r="AK293" s="32"/>
      <c r="AL293" s="32"/>
    </row>
    <row r="294" spans="1:38">
      <c r="A294" s="32" t="str">
        <f>_xlfn.TEXTJOIN("",TRUE,_xlfn.XLOOKUP(B294,Input!J:J,Input!G:G,"",0,1),_xlfn.XLOOKUP(B294,Input!J:J,Input!H:H,"",0,1))</f>
        <v/>
      </c>
      <c r="B294" s="32"/>
      <c r="C294" s="51">
        <f>_xlfn.XLOOKUP(B294,Input!J:J,Input!F:F)</f>
        <v>0</v>
      </c>
      <c r="D294" s="32">
        <f>_xlfn.XLOOKUP(C294,Models!H:H,Models!G:G,C294)</f>
        <v>0</v>
      </c>
      <c r="E294" s="32">
        <f>_xlfn.XLOOKUP(B294,Input!J:J,Input!E:E)</f>
        <v>0</v>
      </c>
      <c r="F294" s="32">
        <f>IF(E294="LENOVO",_xlfn.XLOOKUP(B294,Input!J:J,Input!K:K),_xlfn.XLOOKUP(B294,Input!J:J,Input!L:L))</f>
        <v>0</v>
      </c>
      <c r="G294" s="32"/>
      <c r="H294" s="32"/>
      <c r="I294" s="32"/>
      <c r="J294" s="51" t="e">
        <f>INDEX(Input!$D$2:$AC$500,
       MATCH(B294, Input!$J$2:$J$500, 0),
       MATCH("Total Memory", Input!$D$1:$AC$1, 0))</f>
        <v>#N/A</v>
      </c>
      <c r="K294" s="51"/>
      <c r="L294" s="51" t="str" cm="1">
        <f t="array" ref="L294">IFERROR(_xlfn.FILTERXML("&lt;t&gt;&lt;s&gt;" &amp; SUBSTITUTE(K294," / ","&lt;/s&gt;&lt;s&gt;") &amp; "&lt;/s&gt;&lt;/t&gt;","(//s[contains(.,'DDR')])[1]"),"")</f>
        <v/>
      </c>
      <c r="M294" s="32" t="e">
        <f t="shared" si="14"/>
        <v>#N/A</v>
      </c>
      <c r="N294" s="51" t="e">
        <f>INDEX(Input!$D$2:$AC$500,
       MATCH(B294, Input!$J$2:$J$500, 0),
       MATCH("Disk Interface Type", Input!$D$1:$AC$1, 0))</f>
        <v>#N/A</v>
      </c>
      <c r="O294" s="51" t="str" cm="1">
        <f t="array" ref="O294">IFERROR(_xlfn.TEXTJOIN(", ", TRUE, _xlfn._xlws.FILTER(
    INDEX(Input!$D$2:$AC$500,,MATCH("Disk Capacity",Input!$D$1:$AC$1,0)),
    Input!$J$2:$J$500=B294
)), "")</f>
        <v/>
      </c>
      <c r="P294" s="32" t="e">
        <f t="shared" si="13"/>
        <v>#N/A</v>
      </c>
      <c r="Q294" s="51" t="e">
        <f>_xlfn.LET(_xlpm.Result,INDEX(Input!$D$2:$AC$500,
       MATCH(B294, Input!$J$2:$J$500, 0),
       MATCH("Capacity", Input!$D$1:$AC$1, 0)),IF(_xlpm.Result="","",_xlpm.Result))</f>
        <v>#N/A</v>
      </c>
      <c r="R294" s="51" t="e" cm="1">
        <f t="array" ref="R294">_xlfn.TEXTSPLIT(Q294," / ", ,TRUE,0,)</f>
        <v>#N/A</v>
      </c>
      <c r="S294" s="51"/>
      <c r="T294" s="51" t="str" cm="1">
        <f t="array" ref="T294">IFERROR(_xlfn.IFS(
R294="","",
--R294&lt;55,"Battery Defect",
--R294&lt;=69,"Battery D",
--R294&lt;=80,"Battery C",
--R294&gt;80,""
),"")</f>
        <v/>
      </c>
      <c r="U294" s="51" t="str" cm="1">
        <f t="array" ref="U294">IFERROR(_xlfn.IFS(
S294="","",
--S294&lt;55,"Battery Defect",
--S294&lt;=69,"Battery D",
--S294&lt;=80,"Battery C",
--S294&gt;80,""
),"")</f>
        <v/>
      </c>
      <c r="V294" s="51"/>
      <c r="W294" s="51"/>
      <c r="X294" s="51"/>
      <c r="Y294" s="51"/>
      <c r="Z294" s="51"/>
      <c r="AA294" s="51"/>
      <c r="AB294" s="51"/>
      <c r="AC294" s="51"/>
      <c r="AD294" s="32" t="str">
        <f t="shared" si="12"/>
        <v/>
      </c>
      <c r="AE294" s="32"/>
      <c r="AF294" s="32"/>
      <c r="AG294" s="32"/>
      <c r="AH294" s="32"/>
      <c r="AI294" s="32"/>
      <c r="AJ294" s="32"/>
      <c r="AK294" s="32"/>
      <c r="AL294" s="32"/>
    </row>
    <row r="295" spans="1:38">
      <c r="A295" s="32" t="str">
        <f>_xlfn.TEXTJOIN("",TRUE,_xlfn.XLOOKUP(B295,Input!J:J,Input!G:G,"",0,1),_xlfn.XLOOKUP(B295,Input!J:J,Input!H:H,"",0,1))</f>
        <v/>
      </c>
      <c r="B295" s="32"/>
      <c r="C295" s="51">
        <f>_xlfn.XLOOKUP(B295,Input!J:J,Input!F:F)</f>
        <v>0</v>
      </c>
      <c r="D295" s="32">
        <f>_xlfn.XLOOKUP(C295,Models!H:H,Models!G:G,C295)</f>
        <v>0</v>
      </c>
      <c r="E295" s="32">
        <f>_xlfn.XLOOKUP(B295,Input!J:J,Input!E:E)</f>
        <v>0</v>
      </c>
      <c r="F295" s="32">
        <f>IF(E295="LENOVO",_xlfn.XLOOKUP(B295,Input!J:J,Input!K:K),_xlfn.XLOOKUP(B295,Input!J:J,Input!L:L))</f>
        <v>0</v>
      </c>
      <c r="G295" s="32"/>
      <c r="H295" s="32"/>
      <c r="I295" s="32"/>
      <c r="J295" s="51" t="e">
        <f>INDEX(Input!$D$2:$AC$500,
       MATCH(B295, Input!$J$2:$J$500, 0),
       MATCH("Total Memory", Input!$D$1:$AC$1, 0))</f>
        <v>#N/A</v>
      </c>
      <c r="K295" s="51"/>
      <c r="L295" s="51" t="str" cm="1">
        <f t="array" ref="L295">IFERROR(_xlfn.FILTERXML("&lt;t&gt;&lt;s&gt;" &amp; SUBSTITUTE(K295," / ","&lt;/s&gt;&lt;s&gt;") &amp; "&lt;/s&gt;&lt;/t&gt;","(//s[contains(.,'DDR')])[1]"),"")</f>
        <v/>
      </c>
      <c r="M295" s="32" t="e">
        <f t="shared" si="14"/>
        <v>#N/A</v>
      </c>
      <c r="N295" s="51" t="e">
        <f>INDEX(Input!$D$2:$AC$500,
       MATCH(B295, Input!$J$2:$J$500, 0),
       MATCH("Disk Interface Type", Input!$D$1:$AC$1, 0))</f>
        <v>#N/A</v>
      </c>
      <c r="O295" s="51" t="str" cm="1">
        <f t="array" ref="O295">IFERROR(_xlfn.TEXTJOIN(", ", TRUE, _xlfn._xlws.FILTER(
    INDEX(Input!$D$2:$AC$500,,MATCH("Disk Capacity",Input!$D$1:$AC$1,0)),
    Input!$J$2:$J$500=B295
)), "")</f>
        <v/>
      </c>
      <c r="P295" s="32" t="e">
        <f t="shared" si="13"/>
        <v>#N/A</v>
      </c>
      <c r="Q295" s="51" t="e">
        <f>_xlfn.LET(_xlpm.Result,INDEX(Input!$D$2:$AC$500,
       MATCH(B295, Input!$J$2:$J$500, 0),
       MATCH("Capacity", Input!$D$1:$AC$1, 0)),IF(_xlpm.Result="","",_xlpm.Result))</f>
        <v>#N/A</v>
      </c>
      <c r="R295" s="51" t="e" cm="1">
        <f t="array" ref="R295">_xlfn.TEXTSPLIT(Q295," / ", ,TRUE,0,)</f>
        <v>#N/A</v>
      </c>
      <c r="S295" s="51"/>
      <c r="T295" s="51" t="str" cm="1">
        <f t="array" ref="T295">IFERROR(_xlfn.IFS(
R295="","",
--R295&lt;55,"Battery Defect",
--R295&lt;=69,"Battery D",
--R295&lt;=80,"Battery C",
--R295&gt;80,""
),"")</f>
        <v/>
      </c>
      <c r="U295" s="51" t="str" cm="1">
        <f t="array" ref="U295">IFERROR(_xlfn.IFS(
S295="","",
--S295&lt;55,"Battery Defect",
--S295&lt;=69,"Battery D",
--S295&lt;=80,"Battery C",
--S295&gt;80,""
),"")</f>
        <v/>
      </c>
      <c r="V295" s="51"/>
      <c r="W295" s="51"/>
      <c r="X295" s="51"/>
      <c r="Y295" s="51"/>
      <c r="Z295" s="51"/>
      <c r="AA295" s="51"/>
      <c r="AB295" s="51"/>
      <c r="AC295" s="51"/>
      <c r="AD295" s="32" t="str">
        <f t="shared" si="12"/>
        <v/>
      </c>
      <c r="AE295" s="32"/>
      <c r="AF295" s="32"/>
      <c r="AG295" s="32"/>
      <c r="AH295" s="32"/>
      <c r="AI295" s="32"/>
      <c r="AJ295" s="32"/>
      <c r="AK295" s="32"/>
      <c r="AL295" s="32"/>
    </row>
    <row r="296" spans="1:38">
      <c r="A296" s="32" t="str">
        <f>_xlfn.TEXTJOIN("",TRUE,_xlfn.XLOOKUP(B296,Input!J:J,Input!G:G,"",0,1),_xlfn.XLOOKUP(B296,Input!J:J,Input!H:H,"",0,1))</f>
        <v/>
      </c>
      <c r="B296" s="32"/>
      <c r="C296" s="51">
        <f>_xlfn.XLOOKUP(B296,Input!J:J,Input!F:F)</f>
        <v>0</v>
      </c>
      <c r="D296" s="32">
        <f>_xlfn.XLOOKUP(C296,Models!H:H,Models!G:G,C296)</f>
        <v>0</v>
      </c>
      <c r="E296" s="32">
        <f>_xlfn.XLOOKUP(B296,Input!J:J,Input!E:E)</f>
        <v>0</v>
      </c>
      <c r="F296" s="32">
        <f>IF(E296="LENOVO",_xlfn.XLOOKUP(B296,Input!J:J,Input!K:K),_xlfn.XLOOKUP(B296,Input!J:J,Input!L:L))</f>
        <v>0</v>
      </c>
      <c r="G296" s="32"/>
      <c r="H296" s="32"/>
      <c r="I296" s="32"/>
      <c r="J296" s="51" t="e">
        <f>INDEX(Input!$D$2:$AC$500,
       MATCH(B296, Input!$J$2:$J$500, 0),
       MATCH("Total Memory", Input!$D$1:$AC$1, 0))</f>
        <v>#N/A</v>
      </c>
      <c r="K296" s="51"/>
      <c r="L296" s="51" t="str" cm="1">
        <f t="array" ref="L296">IFERROR(_xlfn.FILTERXML("&lt;t&gt;&lt;s&gt;" &amp; SUBSTITUTE(K296," / ","&lt;/s&gt;&lt;s&gt;") &amp; "&lt;/s&gt;&lt;/t&gt;","(//s[contains(.,'DDR')])[1]"),"")</f>
        <v/>
      </c>
      <c r="M296" s="32" t="e">
        <f t="shared" si="14"/>
        <v>#N/A</v>
      </c>
      <c r="N296" s="51" t="e">
        <f>INDEX(Input!$D$2:$AC$500,
       MATCH(B296, Input!$J$2:$J$500, 0),
       MATCH("Disk Interface Type", Input!$D$1:$AC$1, 0))</f>
        <v>#N/A</v>
      </c>
      <c r="O296" s="51" t="str" cm="1">
        <f t="array" ref="O296">IFERROR(_xlfn.TEXTJOIN(", ", TRUE, _xlfn._xlws.FILTER(
    INDEX(Input!$D$2:$AC$500,,MATCH("Disk Capacity",Input!$D$1:$AC$1,0)),
    Input!$J$2:$J$500=B296
)), "")</f>
        <v/>
      </c>
      <c r="P296" s="32" t="e">
        <f t="shared" si="13"/>
        <v>#N/A</v>
      </c>
      <c r="Q296" s="51" t="e">
        <f>_xlfn.LET(_xlpm.Result,INDEX(Input!$D$2:$AC$500,
       MATCH(B296, Input!$J$2:$J$500, 0),
       MATCH("Capacity", Input!$D$1:$AC$1, 0)),IF(_xlpm.Result="","",_xlpm.Result))</f>
        <v>#N/A</v>
      </c>
      <c r="R296" s="51" t="e" cm="1">
        <f t="array" ref="R296">_xlfn.TEXTSPLIT(Q296," / ", ,TRUE,0,)</f>
        <v>#N/A</v>
      </c>
      <c r="S296" s="51"/>
      <c r="T296" s="51" t="str" cm="1">
        <f t="array" ref="T296">IFERROR(_xlfn.IFS(
R296="","",
--R296&lt;55,"Battery Defect",
--R296&lt;=69,"Battery D",
--R296&lt;=80,"Battery C",
--R296&gt;80,""
),"")</f>
        <v/>
      </c>
      <c r="U296" s="51" t="str" cm="1">
        <f t="array" ref="U296">IFERROR(_xlfn.IFS(
S296="","",
--S296&lt;55,"Battery Defect",
--S296&lt;=69,"Battery D",
--S296&lt;=80,"Battery C",
--S296&gt;80,""
),"")</f>
        <v/>
      </c>
      <c r="V296" s="51"/>
      <c r="W296" s="51"/>
      <c r="X296" s="51"/>
      <c r="Y296" s="51"/>
      <c r="Z296" s="51"/>
      <c r="AA296" s="51"/>
      <c r="AB296" s="51"/>
      <c r="AC296" s="51"/>
      <c r="AD296" s="32" t="str">
        <f t="shared" si="12"/>
        <v/>
      </c>
      <c r="AE296" s="32"/>
      <c r="AF296" s="32"/>
      <c r="AG296" s="32"/>
      <c r="AH296" s="32"/>
      <c r="AI296" s="32"/>
      <c r="AJ296" s="32"/>
      <c r="AK296" s="32"/>
      <c r="AL296" s="32"/>
    </row>
    <row r="297" spans="1:38">
      <c r="A297" s="32" t="str">
        <f>_xlfn.TEXTJOIN("",TRUE,_xlfn.XLOOKUP(B297,Input!J:J,Input!G:G,"",0,1),_xlfn.XLOOKUP(B297,Input!J:J,Input!H:H,"",0,1))</f>
        <v/>
      </c>
      <c r="B297" s="32"/>
      <c r="C297" s="51">
        <f>_xlfn.XLOOKUP(B297,Input!J:J,Input!F:F)</f>
        <v>0</v>
      </c>
      <c r="D297" s="32">
        <f>_xlfn.XLOOKUP(C297,Models!H:H,Models!G:G,C297)</f>
        <v>0</v>
      </c>
      <c r="E297" s="32">
        <f>_xlfn.XLOOKUP(B297,Input!J:J,Input!E:E)</f>
        <v>0</v>
      </c>
      <c r="F297" s="32">
        <f>IF(E297="LENOVO",_xlfn.XLOOKUP(B297,Input!J:J,Input!K:K),_xlfn.XLOOKUP(B297,Input!J:J,Input!L:L))</f>
        <v>0</v>
      </c>
      <c r="G297" s="32"/>
      <c r="H297" s="32"/>
      <c r="I297" s="32"/>
      <c r="J297" s="51" t="e">
        <f>INDEX(Input!$D$2:$AC$500,
       MATCH(B297, Input!$J$2:$J$500, 0),
       MATCH("Total Memory", Input!$D$1:$AC$1, 0))</f>
        <v>#N/A</v>
      </c>
      <c r="K297" s="51"/>
      <c r="L297" s="51" t="str" cm="1">
        <f t="array" ref="L297">IFERROR(_xlfn.FILTERXML("&lt;t&gt;&lt;s&gt;" &amp; SUBSTITUTE(K297," / ","&lt;/s&gt;&lt;s&gt;") &amp; "&lt;/s&gt;&lt;/t&gt;","(//s[contains(.,'DDR')])[1]"),"")</f>
        <v/>
      </c>
      <c r="M297" s="32" t="e">
        <f t="shared" si="14"/>
        <v>#N/A</v>
      </c>
      <c r="N297" s="51" t="e">
        <f>INDEX(Input!$D$2:$AC$500,
       MATCH(B297, Input!$J$2:$J$500, 0),
       MATCH("Disk Interface Type", Input!$D$1:$AC$1, 0))</f>
        <v>#N/A</v>
      </c>
      <c r="O297" s="51" t="str" cm="1">
        <f t="array" ref="O297">IFERROR(_xlfn.TEXTJOIN(", ", TRUE, _xlfn._xlws.FILTER(
    INDEX(Input!$D$2:$AC$500,,MATCH("Disk Capacity",Input!$D$1:$AC$1,0)),
    Input!$J$2:$J$500=B297
)), "")</f>
        <v/>
      </c>
      <c r="P297" s="32" t="e">
        <f t="shared" si="13"/>
        <v>#N/A</v>
      </c>
      <c r="Q297" s="51" t="e">
        <f>_xlfn.LET(_xlpm.Result,INDEX(Input!$D$2:$AC$500,
       MATCH(B297, Input!$J$2:$J$500, 0),
       MATCH("Capacity", Input!$D$1:$AC$1, 0)),IF(_xlpm.Result="","",_xlpm.Result))</f>
        <v>#N/A</v>
      </c>
      <c r="R297" s="51" t="e" cm="1">
        <f t="array" ref="R297">_xlfn.TEXTSPLIT(Q297," / ", ,TRUE,0,)</f>
        <v>#N/A</v>
      </c>
      <c r="S297" s="51"/>
      <c r="T297" s="51" t="str" cm="1">
        <f t="array" ref="T297">IFERROR(_xlfn.IFS(
R297="","",
--R297&lt;55,"Battery Defect",
--R297&lt;=69,"Battery D",
--R297&lt;=80,"Battery C",
--R297&gt;80,""
),"")</f>
        <v/>
      </c>
      <c r="U297" s="51" t="str" cm="1">
        <f t="array" ref="U297">IFERROR(_xlfn.IFS(
S297="","",
--S297&lt;55,"Battery Defect",
--S297&lt;=69,"Battery D",
--S297&lt;=80,"Battery C",
--S297&gt;80,""
),"")</f>
        <v/>
      </c>
      <c r="V297" s="51"/>
      <c r="W297" s="51"/>
      <c r="X297" s="51"/>
      <c r="Y297" s="51"/>
      <c r="Z297" s="51"/>
      <c r="AA297" s="51"/>
      <c r="AB297" s="51"/>
      <c r="AC297" s="51"/>
      <c r="AD297" s="32" t="str">
        <f t="shared" si="12"/>
        <v/>
      </c>
      <c r="AE297" s="32"/>
      <c r="AF297" s="32"/>
      <c r="AG297" s="32"/>
      <c r="AH297" s="32"/>
      <c r="AI297" s="32"/>
      <c r="AJ297" s="32"/>
      <c r="AK297" s="32"/>
      <c r="AL297" s="32"/>
    </row>
    <row r="298" spans="1:38">
      <c r="A298" s="32" t="str">
        <f>_xlfn.TEXTJOIN("",TRUE,_xlfn.XLOOKUP(B298,Input!J:J,Input!G:G,"",0,1),_xlfn.XLOOKUP(B298,Input!J:J,Input!H:H,"",0,1))</f>
        <v/>
      </c>
      <c r="B298" s="32"/>
      <c r="C298" s="51">
        <f>_xlfn.XLOOKUP(B298,Input!J:J,Input!F:F)</f>
        <v>0</v>
      </c>
      <c r="D298" s="32">
        <f>_xlfn.XLOOKUP(C298,Models!H:H,Models!G:G,C298)</f>
        <v>0</v>
      </c>
      <c r="E298" s="32">
        <f>_xlfn.XLOOKUP(B298,Input!J:J,Input!E:E)</f>
        <v>0</v>
      </c>
      <c r="F298" s="32">
        <f>IF(E298="LENOVO",_xlfn.XLOOKUP(B298,Input!J:J,Input!K:K),_xlfn.XLOOKUP(B298,Input!J:J,Input!L:L))</f>
        <v>0</v>
      </c>
      <c r="G298" s="32"/>
      <c r="H298" s="32"/>
      <c r="I298" s="32"/>
      <c r="J298" s="51" t="e">
        <f>INDEX(Input!$D$2:$AC$500,
       MATCH(B298, Input!$J$2:$J$500, 0),
       MATCH("Total Memory", Input!$D$1:$AC$1, 0))</f>
        <v>#N/A</v>
      </c>
      <c r="K298" s="51"/>
      <c r="L298" s="51" t="str" cm="1">
        <f t="array" ref="L298">IFERROR(_xlfn.FILTERXML("&lt;t&gt;&lt;s&gt;" &amp; SUBSTITUTE(K298," / ","&lt;/s&gt;&lt;s&gt;") &amp; "&lt;/s&gt;&lt;/t&gt;","(//s[contains(.,'DDR')])[1]"),"")</f>
        <v/>
      </c>
      <c r="M298" s="32" t="e">
        <f t="shared" si="14"/>
        <v>#N/A</v>
      </c>
      <c r="N298" s="51" t="e">
        <f>INDEX(Input!$D$2:$AC$500,
       MATCH(B298, Input!$J$2:$J$500, 0),
       MATCH("Disk Interface Type", Input!$D$1:$AC$1, 0))</f>
        <v>#N/A</v>
      </c>
      <c r="O298" s="51" t="str" cm="1">
        <f t="array" ref="O298">IFERROR(_xlfn.TEXTJOIN(", ", TRUE, _xlfn._xlws.FILTER(
    INDEX(Input!$D$2:$AC$500,,MATCH("Disk Capacity",Input!$D$1:$AC$1,0)),
    Input!$J$2:$J$500=B298
)), "")</f>
        <v/>
      </c>
      <c r="P298" s="32" t="e">
        <f t="shared" si="13"/>
        <v>#N/A</v>
      </c>
      <c r="Q298" s="51" t="e">
        <f>_xlfn.LET(_xlpm.Result,INDEX(Input!$D$2:$AC$500,
       MATCH(B298, Input!$J$2:$J$500, 0),
       MATCH("Capacity", Input!$D$1:$AC$1, 0)),IF(_xlpm.Result="","",_xlpm.Result))</f>
        <v>#N/A</v>
      </c>
      <c r="R298" s="51" t="e" cm="1">
        <f t="array" ref="R298">_xlfn.TEXTSPLIT(Q298," / ", ,TRUE,0,)</f>
        <v>#N/A</v>
      </c>
      <c r="S298" s="51"/>
      <c r="T298" s="51" t="str" cm="1">
        <f t="array" ref="T298">IFERROR(_xlfn.IFS(
R298="","",
--R298&lt;55,"Battery Defect",
--R298&lt;=69,"Battery D",
--R298&lt;=80,"Battery C",
--R298&gt;80,""
),"")</f>
        <v/>
      </c>
      <c r="U298" s="51" t="str" cm="1">
        <f t="array" ref="U298">IFERROR(_xlfn.IFS(
S298="","",
--S298&lt;55,"Battery Defect",
--S298&lt;=69,"Battery D",
--S298&lt;=80,"Battery C",
--S298&gt;80,""
),"")</f>
        <v/>
      </c>
      <c r="V298" s="51"/>
      <c r="W298" s="51"/>
      <c r="X298" s="51"/>
      <c r="Y298" s="51"/>
      <c r="Z298" s="51"/>
      <c r="AA298" s="51"/>
      <c r="AB298" s="51"/>
      <c r="AC298" s="51"/>
      <c r="AD298" s="32" t="str">
        <f t="shared" si="12"/>
        <v/>
      </c>
      <c r="AE298" s="32"/>
      <c r="AF298" s="32"/>
      <c r="AG298" s="32"/>
      <c r="AH298" s="32"/>
      <c r="AI298" s="32"/>
      <c r="AJ298" s="32"/>
      <c r="AK298" s="32"/>
      <c r="AL298" s="32"/>
    </row>
    <row r="299" spans="1:38">
      <c r="A299" s="32" t="str">
        <f>_xlfn.TEXTJOIN("",TRUE,_xlfn.XLOOKUP(B299,Input!J:J,Input!G:G,"",0,1),_xlfn.XLOOKUP(B299,Input!J:J,Input!H:H,"",0,1))</f>
        <v/>
      </c>
      <c r="B299" s="32"/>
      <c r="C299" s="51">
        <f>_xlfn.XLOOKUP(B299,Input!J:J,Input!F:F)</f>
        <v>0</v>
      </c>
      <c r="D299" s="32">
        <f>_xlfn.XLOOKUP(C299,Models!H:H,Models!G:G,C299)</f>
        <v>0</v>
      </c>
      <c r="E299" s="32">
        <f>_xlfn.XLOOKUP(B299,Input!J:J,Input!E:E)</f>
        <v>0</v>
      </c>
      <c r="F299" s="32">
        <f>IF(E299="LENOVO",_xlfn.XLOOKUP(B299,Input!J:J,Input!K:K),_xlfn.XLOOKUP(B299,Input!J:J,Input!L:L))</f>
        <v>0</v>
      </c>
      <c r="G299" s="32"/>
      <c r="H299" s="32"/>
      <c r="I299" s="32"/>
      <c r="J299" s="51" t="e">
        <f>INDEX(Input!$D$2:$AC$500,
       MATCH(B299, Input!$J$2:$J$500, 0),
       MATCH("Total Memory", Input!$D$1:$AC$1, 0))</f>
        <v>#N/A</v>
      </c>
      <c r="K299" s="51"/>
      <c r="L299" s="51" t="str" cm="1">
        <f t="array" ref="L299">IFERROR(_xlfn.FILTERXML("&lt;t&gt;&lt;s&gt;" &amp; SUBSTITUTE(K299," / ","&lt;/s&gt;&lt;s&gt;") &amp; "&lt;/s&gt;&lt;/t&gt;","(//s[contains(.,'DDR')])[1]"),"")</f>
        <v/>
      </c>
      <c r="M299" s="32" t="e">
        <f t="shared" si="14"/>
        <v>#N/A</v>
      </c>
      <c r="N299" s="51" t="e">
        <f>INDEX(Input!$D$2:$AC$500,
       MATCH(B299, Input!$J$2:$J$500, 0),
       MATCH("Disk Interface Type", Input!$D$1:$AC$1, 0))</f>
        <v>#N/A</v>
      </c>
      <c r="O299" s="51" t="str" cm="1">
        <f t="array" ref="O299">IFERROR(_xlfn.TEXTJOIN(", ", TRUE, _xlfn._xlws.FILTER(
    INDEX(Input!$D$2:$AC$500,,MATCH("Disk Capacity",Input!$D$1:$AC$1,0)),
    Input!$J$2:$J$500=B299
)), "")</f>
        <v/>
      </c>
      <c r="P299" s="32" t="e">
        <f t="shared" si="13"/>
        <v>#N/A</v>
      </c>
      <c r="Q299" s="51" t="e">
        <f>_xlfn.LET(_xlpm.Result,INDEX(Input!$D$2:$AC$500,
       MATCH(B299, Input!$J$2:$J$500, 0),
       MATCH("Capacity", Input!$D$1:$AC$1, 0)),IF(_xlpm.Result="","",_xlpm.Result))</f>
        <v>#N/A</v>
      </c>
      <c r="R299" s="51" t="e" cm="1">
        <f t="array" ref="R299">_xlfn.TEXTSPLIT(Q299," / ", ,TRUE,0,)</f>
        <v>#N/A</v>
      </c>
      <c r="S299" s="51"/>
      <c r="T299" s="51" t="str" cm="1">
        <f t="array" ref="T299">IFERROR(_xlfn.IFS(
R299="","",
--R299&lt;55,"Battery Defect",
--R299&lt;=69,"Battery D",
--R299&lt;=80,"Battery C",
--R299&gt;80,""
),"")</f>
        <v/>
      </c>
      <c r="U299" s="51" t="str" cm="1">
        <f t="array" ref="U299">IFERROR(_xlfn.IFS(
S299="","",
--S299&lt;55,"Battery Defect",
--S299&lt;=69,"Battery D",
--S299&lt;=80,"Battery C",
--S299&gt;80,""
),"")</f>
        <v/>
      </c>
      <c r="V299" s="51"/>
      <c r="W299" s="51"/>
      <c r="X299" s="51"/>
      <c r="Y299" s="51"/>
      <c r="Z299" s="51"/>
      <c r="AA299" s="51"/>
      <c r="AB299" s="51"/>
      <c r="AC299" s="51"/>
      <c r="AD299" s="32" t="str">
        <f t="shared" si="12"/>
        <v/>
      </c>
      <c r="AE299" s="32"/>
      <c r="AF299" s="32"/>
      <c r="AG299" s="32"/>
      <c r="AH299" s="32"/>
      <c r="AI299" s="32"/>
      <c r="AJ299" s="32"/>
      <c r="AK299" s="32"/>
      <c r="AL299" s="32"/>
    </row>
    <row r="300" spans="1:38">
      <c r="A300" s="32" t="str">
        <f>_xlfn.TEXTJOIN("",TRUE,_xlfn.XLOOKUP(B300,Input!J:J,Input!G:G,"",0,1),_xlfn.XLOOKUP(B300,Input!J:J,Input!H:H,"",0,1))</f>
        <v/>
      </c>
      <c r="B300" s="32"/>
      <c r="C300" s="51">
        <f>_xlfn.XLOOKUP(B300,Input!J:J,Input!F:F)</f>
        <v>0</v>
      </c>
      <c r="D300" s="32">
        <f>_xlfn.XLOOKUP(C300,Models!H:H,Models!G:G,C300)</f>
        <v>0</v>
      </c>
      <c r="E300" s="32">
        <f>_xlfn.XLOOKUP(B300,Input!J:J,Input!E:E)</f>
        <v>0</v>
      </c>
      <c r="F300" s="32">
        <f>IF(E300="LENOVO",_xlfn.XLOOKUP(B300,Input!J:J,Input!K:K),_xlfn.XLOOKUP(B300,Input!J:J,Input!L:L))</f>
        <v>0</v>
      </c>
      <c r="G300" s="32"/>
      <c r="H300" s="32"/>
      <c r="I300" s="32"/>
      <c r="J300" s="51" t="e">
        <f>INDEX(Input!$D$2:$AC$500,
       MATCH(B300, Input!$J$2:$J$500, 0),
       MATCH("Total Memory", Input!$D$1:$AC$1, 0))</f>
        <v>#N/A</v>
      </c>
      <c r="K300" s="51"/>
      <c r="L300" s="51" t="str" cm="1">
        <f t="array" ref="L300">IFERROR(_xlfn.FILTERXML("&lt;t&gt;&lt;s&gt;" &amp; SUBSTITUTE(K300," / ","&lt;/s&gt;&lt;s&gt;") &amp; "&lt;/s&gt;&lt;/t&gt;","(//s[contains(.,'DDR')])[1]"),"")</f>
        <v/>
      </c>
      <c r="M300" s="32" t="e">
        <f t="shared" si="14"/>
        <v>#N/A</v>
      </c>
      <c r="N300" s="51" t="e">
        <f>INDEX(Input!$D$2:$AC$500,
       MATCH(B300, Input!$J$2:$J$500, 0),
       MATCH("Disk Interface Type", Input!$D$1:$AC$1, 0))</f>
        <v>#N/A</v>
      </c>
      <c r="O300" s="51" t="str" cm="1">
        <f t="array" ref="O300">IFERROR(_xlfn.TEXTJOIN(", ", TRUE, _xlfn._xlws.FILTER(
    INDEX(Input!$D$2:$AC$500,,MATCH("Disk Capacity",Input!$D$1:$AC$1,0)),
    Input!$J$2:$J$500=B300
)), "")</f>
        <v/>
      </c>
      <c r="P300" s="32" t="e">
        <f t="shared" si="13"/>
        <v>#N/A</v>
      </c>
      <c r="Q300" s="51" t="e">
        <f>_xlfn.LET(_xlpm.Result,INDEX(Input!$D$2:$AC$500,
       MATCH(B300, Input!$J$2:$J$500, 0),
       MATCH("Capacity", Input!$D$1:$AC$1, 0)),IF(_xlpm.Result="","",_xlpm.Result))</f>
        <v>#N/A</v>
      </c>
      <c r="R300" s="51" t="e" cm="1">
        <f t="array" ref="R300">_xlfn.TEXTSPLIT(Q300," / ", ,TRUE,0,)</f>
        <v>#N/A</v>
      </c>
      <c r="S300" s="51"/>
      <c r="T300" s="51" t="str" cm="1">
        <f t="array" ref="T300">IFERROR(_xlfn.IFS(
R300="","",
--R300&lt;55,"Battery Defect",
--R300&lt;=69,"Battery D",
--R300&lt;=80,"Battery C",
--R300&gt;80,""
),"")</f>
        <v/>
      </c>
      <c r="U300" s="51" t="str" cm="1">
        <f t="array" ref="U300">IFERROR(_xlfn.IFS(
S300="","",
--S300&lt;55,"Battery Defect",
--S300&lt;=69,"Battery D",
--S300&lt;=80,"Battery C",
--S300&gt;80,""
),"")</f>
        <v/>
      </c>
      <c r="V300" s="51"/>
      <c r="W300" s="51"/>
      <c r="X300" s="51"/>
      <c r="Y300" s="51"/>
      <c r="Z300" s="51"/>
      <c r="AA300" s="51"/>
      <c r="AB300" s="51"/>
      <c r="AC300" s="51"/>
      <c r="AD300" s="32" t="str">
        <f t="shared" si="12"/>
        <v/>
      </c>
      <c r="AE300" s="32"/>
      <c r="AF300" s="32"/>
      <c r="AG300" s="32"/>
      <c r="AH300" s="32"/>
      <c r="AI300" s="32"/>
      <c r="AJ300" s="32"/>
      <c r="AK300" s="32"/>
      <c r="AL300" s="32"/>
    </row>
    <row r="301" spans="1:38">
      <c r="A301" s="32" t="str">
        <f>_xlfn.TEXTJOIN("",TRUE,_xlfn.XLOOKUP(B301,Input!J:J,Input!G:G,"",0,1),_xlfn.XLOOKUP(B301,Input!J:J,Input!H:H,"",0,1))</f>
        <v/>
      </c>
      <c r="B301" s="32"/>
      <c r="C301" s="51">
        <f>_xlfn.XLOOKUP(B301,Input!J:J,Input!F:F)</f>
        <v>0</v>
      </c>
      <c r="D301" s="32">
        <f>_xlfn.XLOOKUP(C301,Models!H:H,Models!G:G,C301)</f>
        <v>0</v>
      </c>
      <c r="E301" s="32">
        <f>_xlfn.XLOOKUP(B301,Input!J:J,Input!E:E)</f>
        <v>0</v>
      </c>
      <c r="F301" s="32">
        <f>IF(E301="LENOVO",_xlfn.XLOOKUP(B301,Input!J:J,Input!K:K),_xlfn.XLOOKUP(B301,Input!J:J,Input!L:L))</f>
        <v>0</v>
      </c>
      <c r="G301" s="32"/>
      <c r="H301" s="32"/>
      <c r="I301" s="32"/>
      <c r="J301" s="51" t="e">
        <f>INDEX(Input!$D$2:$AC$500,
       MATCH(B301, Input!$J$2:$J$500, 0),
       MATCH("Total Memory", Input!$D$1:$AC$1, 0))</f>
        <v>#N/A</v>
      </c>
      <c r="K301" s="51"/>
      <c r="L301" s="51" t="str" cm="1">
        <f t="array" ref="L301">IFERROR(_xlfn.FILTERXML("&lt;t&gt;&lt;s&gt;" &amp; SUBSTITUTE(K301," / ","&lt;/s&gt;&lt;s&gt;") &amp; "&lt;/s&gt;&lt;/t&gt;","(//s[contains(.,'DDR')])[1]"),"")</f>
        <v/>
      </c>
      <c r="M301" s="32" t="e">
        <f t="shared" si="14"/>
        <v>#N/A</v>
      </c>
      <c r="N301" s="51" t="e">
        <f>INDEX(Input!$D$2:$AC$500,
       MATCH(B301, Input!$J$2:$J$500, 0),
       MATCH("Disk Interface Type", Input!$D$1:$AC$1, 0))</f>
        <v>#N/A</v>
      </c>
      <c r="O301" s="51" t="str" cm="1">
        <f t="array" ref="O301">IFERROR(_xlfn.TEXTJOIN(", ", TRUE, _xlfn._xlws.FILTER(
    INDEX(Input!$D$2:$AC$500,,MATCH("Disk Capacity",Input!$D$1:$AC$1,0)),
    Input!$J$2:$J$500=B301
)), "")</f>
        <v/>
      </c>
      <c r="P301" s="32" t="e">
        <f t="shared" si="13"/>
        <v>#N/A</v>
      </c>
      <c r="Q301" s="51" t="e">
        <f>_xlfn.LET(_xlpm.Result,INDEX(Input!$D$2:$AC$500,
       MATCH(B301, Input!$J$2:$J$500, 0),
       MATCH("Capacity", Input!$D$1:$AC$1, 0)),IF(_xlpm.Result="","",_xlpm.Result))</f>
        <v>#N/A</v>
      </c>
      <c r="R301" s="51" t="e" cm="1">
        <f t="array" ref="R301">_xlfn.TEXTSPLIT(Q301," / ", ,TRUE,0,)</f>
        <v>#N/A</v>
      </c>
      <c r="S301" s="51"/>
      <c r="T301" s="51" t="str" cm="1">
        <f t="array" ref="T301">IFERROR(_xlfn.IFS(
R301="","",
--R301&lt;55,"Battery Defect",
--R301&lt;=69,"Battery D",
--R301&lt;=80,"Battery C",
--R301&gt;80,""
),"")</f>
        <v/>
      </c>
      <c r="U301" s="51" t="str" cm="1">
        <f t="array" ref="U301">IFERROR(_xlfn.IFS(
S301="","",
--S301&lt;55,"Battery Defect",
--S301&lt;=69,"Battery D",
--S301&lt;=80,"Battery C",
--S301&gt;80,""
),"")</f>
        <v/>
      </c>
      <c r="V301" s="51"/>
      <c r="W301" s="51"/>
      <c r="X301" s="51"/>
      <c r="Y301" s="51"/>
      <c r="Z301" s="51"/>
      <c r="AA301" s="51"/>
      <c r="AB301" s="51"/>
      <c r="AC301" s="51"/>
      <c r="AD301" s="32" t="str">
        <f t="shared" si="12"/>
        <v/>
      </c>
      <c r="AE301" s="32"/>
      <c r="AF301" s="32"/>
      <c r="AG301" s="32"/>
      <c r="AH301" s="32"/>
      <c r="AI301" s="32"/>
      <c r="AJ301" s="32"/>
      <c r="AK301" s="32"/>
      <c r="AL301" s="32"/>
    </row>
    <row r="302" spans="1:38">
      <c r="A302" s="32" t="str">
        <f>_xlfn.TEXTJOIN("",TRUE,_xlfn.XLOOKUP(B302,Input!J:J,Input!G:G,"",0,1),_xlfn.XLOOKUP(B302,Input!J:J,Input!H:H,"",0,1))</f>
        <v/>
      </c>
      <c r="B302" s="32"/>
      <c r="C302" s="51">
        <f>_xlfn.XLOOKUP(B302,Input!J:J,Input!F:F)</f>
        <v>0</v>
      </c>
      <c r="D302" s="32">
        <f>_xlfn.XLOOKUP(C302,Models!H:H,Models!G:G,C302)</f>
        <v>0</v>
      </c>
      <c r="E302" s="32">
        <f>_xlfn.XLOOKUP(B302,Input!J:J,Input!E:E)</f>
        <v>0</v>
      </c>
      <c r="F302" s="32">
        <f>IF(E302="LENOVO",_xlfn.XLOOKUP(B302,Input!J:J,Input!K:K),_xlfn.XLOOKUP(B302,Input!J:J,Input!L:L))</f>
        <v>0</v>
      </c>
      <c r="G302" s="32"/>
      <c r="H302" s="32"/>
      <c r="I302" s="32"/>
      <c r="J302" s="51" t="e">
        <f>INDEX(Input!$D$2:$AC$500,
       MATCH(B302, Input!$J$2:$J$500, 0),
       MATCH("Total Memory", Input!$D$1:$AC$1, 0))</f>
        <v>#N/A</v>
      </c>
      <c r="K302" s="51"/>
      <c r="L302" s="51" t="str" cm="1">
        <f t="array" ref="L302">IFERROR(_xlfn.FILTERXML("&lt;t&gt;&lt;s&gt;" &amp; SUBSTITUTE(K302," / ","&lt;/s&gt;&lt;s&gt;") &amp; "&lt;/s&gt;&lt;/t&gt;","(//s[contains(.,'DDR')])[1]"),"")</f>
        <v/>
      </c>
      <c r="M302" s="32" t="e">
        <f t="shared" si="14"/>
        <v>#N/A</v>
      </c>
      <c r="N302" s="51" t="e">
        <f>INDEX(Input!$D$2:$AC$500,
       MATCH(B302, Input!$J$2:$J$500, 0),
       MATCH("Disk Interface Type", Input!$D$1:$AC$1, 0))</f>
        <v>#N/A</v>
      </c>
      <c r="O302" s="51" t="str" cm="1">
        <f t="array" ref="O302">IFERROR(_xlfn.TEXTJOIN(", ", TRUE, _xlfn._xlws.FILTER(
    INDEX(Input!$D$2:$AC$500,,MATCH("Disk Capacity",Input!$D$1:$AC$1,0)),
    Input!$J$2:$J$500=B302
)), "")</f>
        <v/>
      </c>
      <c r="P302" s="32" t="e">
        <f t="shared" si="13"/>
        <v>#N/A</v>
      </c>
      <c r="Q302" s="51" t="e">
        <f>_xlfn.LET(_xlpm.Result,INDEX(Input!$D$2:$AC$500,
       MATCH(B302, Input!$J$2:$J$500, 0),
       MATCH("Capacity", Input!$D$1:$AC$1, 0)),IF(_xlpm.Result="","",_xlpm.Result))</f>
        <v>#N/A</v>
      </c>
      <c r="R302" s="51" t="e" cm="1">
        <f t="array" ref="R302">_xlfn.TEXTSPLIT(Q302," / ", ,TRUE,0,)</f>
        <v>#N/A</v>
      </c>
      <c r="S302" s="51"/>
      <c r="T302" s="51" t="str" cm="1">
        <f t="array" ref="T302">IFERROR(_xlfn.IFS(
R302="","",
--R302&lt;55,"Battery Defect",
--R302&lt;=69,"Battery D",
--R302&lt;=80,"Battery C",
--R302&gt;80,""
),"")</f>
        <v/>
      </c>
      <c r="U302" s="51" t="str" cm="1">
        <f t="array" ref="U302">IFERROR(_xlfn.IFS(
S302="","",
--S302&lt;55,"Battery Defect",
--S302&lt;=69,"Battery D",
--S302&lt;=80,"Battery C",
--S302&gt;80,""
),"")</f>
        <v/>
      </c>
      <c r="V302" s="51"/>
      <c r="W302" s="51"/>
      <c r="X302" s="51"/>
      <c r="Y302" s="51"/>
      <c r="Z302" s="51"/>
      <c r="AA302" s="51"/>
      <c r="AB302" s="51"/>
      <c r="AC302" s="51"/>
      <c r="AD302" s="32" t="str">
        <f t="shared" si="12"/>
        <v/>
      </c>
      <c r="AE302" s="32"/>
      <c r="AF302" s="32"/>
      <c r="AG302" s="32"/>
      <c r="AH302" s="32"/>
      <c r="AI302" s="32"/>
      <c r="AJ302" s="32"/>
      <c r="AK302" s="32"/>
      <c r="AL302" s="32"/>
    </row>
    <row r="303" spans="1:38">
      <c r="A303" s="32" t="str">
        <f>_xlfn.TEXTJOIN("",TRUE,_xlfn.XLOOKUP(B303,Input!J:J,Input!G:G,"",0,1),_xlfn.XLOOKUP(B303,Input!J:J,Input!H:H,"",0,1))</f>
        <v/>
      </c>
      <c r="B303" s="32"/>
      <c r="C303" s="51">
        <f>_xlfn.XLOOKUP(B303,Input!J:J,Input!F:F)</f>
        <v>0</v>
      </c>
      <c r="D303" s="32">
        <f>_xlfn.XLOOKUP(C303,Models!H:H,Models!G:G,C303)</f>
        <v>0</v>
      </c>
      <c r="E303" s="32">
        <f>_xlfn.XLOOKUP(B303,Input!J:J,Input!E:E)</f>
        <v>0</v>
      </c>
      <c r="F303" s="32">
        <f>IF(E303="LENOVO",_xlfn.XLOOKUP(B303,Input!J:J,Input!K:K),_xlfn.XLOOKUP(B303,Input!J:J,Input!L:L))</f>
        <v>0</v>
      </c>
      <c r="G303" s="32"/>
      <c r="H303" s="32"/>
      <c r="I303" s="32"/>
      <c r="J303" s="51" t="e">
        <f>INDEX(Input!$D$2:$AC$500,
       MATCH(B303, Input!$J$2:$J$500, 0),
       MATCH("Total Memory", Input!$D$1:$AC$1, 0))</f>
        <v>#N/A</v>
      </c>
      <c r="K303" s="51"/>
      <c r="L303" s="51" t="str" cm="1">
        <f t="array" ref="L303">IFERROR(_xlfn.FILTERXML("&lt;t&gt;&lt;s&gt;" &amp; SUBSTITUTE(K303," / ","&lt;/s&gt;&lt;s&gt;") &amp; "&lt;/s&gt;&lt;/t&gt;","(//s[contains(.,'DDR')])[1]"),"")</f>
        <v/>
      </c>
      <c r="M303" s="32" t="e">
        <f t="shared" si="14"/>
        <v>#N/A</v>
      </c>
      <c r="N303" s="51" t="e">
        <f>INDEX(Input!$D$2:$AC$500,
       MATCH(B303, Input!$J$2:$J$500, 0),
       MATCH("Disk Interface Type", Input!$D$1:$AC$1, 0))</f>
        <v>#N/A</v>
      </c>
      <c r="O303" s="51" t="str" cm="1">
        <f t="array" ref="O303">IFERROR(_xlfn.TEXTJOIN(", ", TRUE, _xlfn._xlws.FILTER(
    INDEX(Input!$D$2:$AC$500,,MATCH("Disk Capacity",Input!$D$1:$AC$1,0)),
    Input!$J$2:$J$500=B303
)), "")</f>
        <v/>
      </c>
      <c r="P303" s="32" t="e">
        <f t="shared" si="13"/>
        <v>#N/A</v>
      </c>
      <c r="Q303" s="51" t="e">
        <f>_xlfn.LET(_xlpm.Result,INDEX(Input!$D$2:$AC$500,
       MATCH(B303, Input!$J$2:$J$500, 0),
       MATCH("Capacity", Input!$D$1:$AC$1, 0)),IF(_xlpm.Result="","",_xlpm.Result))</f>
        <v>#N/A</v>
      </c>
      <c r="R303" s="51" t="e" cm="1">
        <f t="array" ref="R303">_xlfn.TEXTSPLIT(Q303," / ", ,TRUE,0,)</f>
        <v>#N/A</v>
      </c>
      <c r="S303" s="51"/>
      <c r="T303" s="51" t="str" cm="1">
        <f t="array" ref="T303">IFERROR(_xlfn.IFS(
R303="","",
--R303&lt;55,"Battery Defect",
--R303&lt;=69,"Battery D",
--R303&lt;=80,"Battery C",
--R303&gt;80,""
),"")</f>
        <v/>
      </c>
      <c r="U303" s="51" t="str" cm="1">
        <f t="array" ref="U303">IFERROR(_xlfn.IFS(
S303="","",
--S303&lt;55,"Battery Defect",
--S303&lt;=69,"Battery D",
--S303&lt;=80,"Battery C",
--S303&gt;80,""
),"")</f>
        <v/>
      </c>
      <c r="V303" s="51"/>
      <c r="W303" s="51"/>
      <c r="X303" s="51"/>
      <c r="Y303" s="51"/>
      <c r="Z303" s="51"/>
      <c r="AA303" s="51"/>
      <c r="AB303" s="51"/>
      <c r="AC303" s="51"/>
      <c r="AD303" s="32" t="str">
        <f t="shared" si="12"/>
        <v/>
      </c>
      <c r="AE303" s="32"/>
      <c r="AF303" s="32"/>
      <c r="AG303" s="32"/>
      <c r="AH303" s="32"/>
      <c r="AI303" s="32"/>
      <c r="AJ303" s="32"/>
      <c r="AK303" s="32"/>
      <c r="AL303" s="32"/>
    </row>
    <row r="304" spans="1:38">
      <c r="A304" s="32" t="str">
        <f>_xlfn.TEXTJOIN("",TRUE,_xlfn.XLOOKUP(B304,Input!J:J,Input!G:G,"",0,1),_xlfn.XLOOKUP(B304,Input!J:J,Input!H:H,"",0,1))</f>
        <v/>
      </c>
      <c r="B304" s="32"/>
      <c r="C304" s="51">
        <f>_xlfn.XLOOKUP(B304,Input!J:J,Input!F:F)</f>
        <v>0</v>
      </c>
      <c r="D304" s="32">
        <f>_xlfn.XLOOKUP(C304,Models!H:H,Models!G:G,C304)</f>
        <v>0</v>
      </c>
      <c r="E304" s="32">
        <f>_xlfn.XLOOKUP(B304,Input!J:J,Input!E:E)</f>
        <v>0</v>
      </c>
      <c r="F304" s="32">
        <f>IF(E304="LENOVO",_xlfn.XLOOKUP(B304,Input!J:J,Input!K:K),_xlfn.XLOOKUP(B304,Input!J:J,Input!L:L))</f>
        <v>0</v>
      </c>
      <c r="G304" s="32"/>
      <c r="H304" s="32"/>
      <c r="I304" s="32"/>
      <c r="J304" s="51" t="e">
        <f>INDEX(Input!$D$2:$AC$500,
       MATCH(B304, Input!$J$2:$J$500, 0),
       MATCH("Total Memory", Input!$D$1:$AC$1, 0))</f>
        <v>#N/A</v>
      </c>
      <c r="K304" s="51"/>
      <c r="L304" s="51" t="str" cm="1">
        <f t="array" ref="L304">IFERROR(_xlfn.FILTERXML("&lt;t&gt;&lt;s&gt;" &amp; SUBSTITUTE(K304," / ","&lt;/s&gt;&lt;s&gt;") &amp; "&lt;/s&gt;&lt;/t&gt;","(//s[contains(.,'DDR')])[1]"),"")</f>
        <v/>
      </c>
      <c r="M304" s="32" t="e">
        <f t="shared" si="14"/>
        <v>#N/A</v>
      </c>
      <c r="N304" s="51" t="e">
        <f>INDEX(Input!$D$2:$AC$500,
       MATCH(B304, Input!$J$2:$J$500, 0),
       MATCH("Disk Interface Type", Input!$D$1:$AC$1, 0))</f>
        <v>#N/A</v>
      </c>
      <c r="O304" s="51" t="str" cm="1">
        <f t="array" ref="O304">IFERROR(_xlfn.TEXTJOIN(", ", TRUE, _xlfn._xlws.FILTER(
    INDEX(Input!$D$2:$AC$500,,MATCH("Disk Capacity",Input!$D$1:$AC$1,0)),
    Input!$J$2:$J$500=B304
)), "")</f>
        <v/>
      </c>
      <c r="P304" s="32" t="e">
        <f t="shared" si="13"/>
        <v>#N/A</v>
      </c>
      <c r="Q304" s="51" t="e">
        <f>_xlfn.LET(_xlpm.Result,INDEX(Input!$D$2:$AC$500,
       MATCH(B304, Input!$J$2:$J$500, 0),
       MATCH("Capacity", Input!$D$1:$AC$1, 0)),IF(_xlpm.Result="","",_xlpm.Result))</f>
        <v>#N/A</v>
      </c>
      <c r="R304" s="51" t="e" cm="1">
        <f t="array" ref="R304">_xlfn.TEXTSPLIT(Q304," / ", ,TRUE,0,)</f>
        <v>#N/A</v>
      </c>
      <c r="S304" s="51"/>
      <c r="T304" s="51" t="str" cm="1">
        <f t="array" ref="T304">IFERROR(_xlfn.IFS(
R304="","",
--R304&lt;55,"Battery Defect",
--R304&lt;=69,"Battery D",
--R304&lt;=80,"Battery C",
--R304&gt;80,""
),"")</f>
        <v/>
      </c>
      <c r="U304" s="51" t="str" cm="1">
        <f t="array" ref="U304">IFERROR(_xlfn.IFS(
S304="","",
--S304&lt;55,"Battery Defect",
--S304&lt;=69,"Battery D",
--S304&lt;=80,"Battery C",
--S304&gt;80,""
),"")</f>
        <v/>
      </c>
      <c r="V304" s="51"/>
      <c r="W304" s="51"/>
      <c r="X304" s="51"/>
      <c r="Y304" s="51"/>
      <c r="Z304" s="51"/>
      <c r="AA304" s="51"/>
      <c r="AB304" s="51"/>
      <c r="AC304" s="51"/>
      <c r="AD304" s="32" t="str">
        <f t="shared" si="12"/>
        <v/>
      </c>
      <c r="AE304" s="32"/>
      <c r="AF304" s="32"/>
      <c r="AG304" s="32"/>
      <c r="AH304" s="32"/>
      <c r="AI304" s="32"/>
      <c r="AJ304" s="32"/>
      <c r="AK304" s="32"/>
      <c r="AL304" s="32"/>
    </row>
    <row r="305" spans="1:38">
      <c r="A305" s="32" t="str">
        <f>_xlfn.TEXTJOIN("",TRUE,_xlfn.XLOOKUP(B305,Input!J:J,Input!G:G,"",0,1),_xlfn.XLOOKUP(B305,Input!J:J,Input!H:H,"",0,1))</f>
        <v/>
      </c>
      <c r="B305" s="32"/>
      <c r="C305" s="51">
        <f>_xlfn.XLOOKUP(B305,Input!J:J,Input!F:F)</f>
        <v>0</v>
      </c>
      <c r="D305" s="32">
        <f>_xlfn.XLOOKUP(C305,Models!H:H,Models!G:G,C305)</f>
        <v>0</v>
      </c>
      <c r="E305" s="32">
        <f>_xlfn.XLOOKUP(B305,Input!J:J,Input!E:E)</f>
        <v>0</v>
      </c>
      <c r="F305" s="32">
        <f>IF(E305="LENOVO",_xlfn.XLOOKUP(B305,Input!J:J,Input!K:K),_xlfn.XLOOKUP(B305,Input!J:J,Input!L:L))</f>
        <v>0</v>
      </c>
      <c r="G305" s="32"/>
      <c r="H305" s="32"/>
      <c r="I305" s="32"/>
      <c r="J305" s="51" t="e">
        <f>INDEX(Input!$D$2:$AC$500,
       MATCH(B305, Input!$J$2:$J$500, 0),
       MATCH("Total Memory", Input!$D$1:$AC$1, 0))</f>
        <v>#N/A</v>
      </c>
      <c r="K305" s="51"/>
      <c r="L305" s="51" t="str" cm="1">
        <f t="array" ref="L305">IFERROR(_xlfn.FILTERXML("&lt;t&gt;&lt;s&gt;" &amp; SUBSTITUTE(K305," / ","&lt;/s&gt;&lt;s&gt;") &amp; "&lt;/s&gt;&lt;/t&gt;","(//s[contains(.,'DDR')])[1]"),"")</f>
        <v/>
      </c>
      <c r="M305" s="32" t="e">
        <f t="shared" si="14"/>
        <v>#N/A</v>
      </c>
      <c r="N305" s="51" t="e">
        <f>INDEX(Input!$D$2:$AC$500,
       MATCH(B305, Input!$J$2:$J$500, 0),
       MATCH("Disk Interface Type", Input!$D$1:$AC$1, 0))</f>
        <v>#N/A</v>
      </c>
      <c r="O305" s="51" t="str" cm="1">
        <f t="array" ref="O305">IFERROR(_xlfn.TEXTJOIN(", ", TRUE, _xlfn._xlws.FILTER(
    INDEX(Input!$D$2:$AC$500,,MATCH("Disk Capacity",Input!$D$1:$AC$1,0)),
    Input!$J$2:$J$500=B305
)), "")</f>
        <v/>
      </c>
      <c r="P305" s="32" t="e">
        <f t="shared" si="13"/>
        <v>#N/A</v>
      </c>
      <c r="Q305" s="51" t="e">
        <f>_xlfn.LET(_xlpm.Result,INDEX(Input!$D$2:$AC$500,
       MATCH(B305, Input!$J$2:$J$500, 0),
       MATCH("Capacity", Input!$D$1:$AC$1, 0)),IF(_xlpm.Result="","",_xlpm.Result))</f>
        <v>#N/A</v>
      </c>
      <c r="R305" s="51" t="e" cm="1">
        <f t="array" ref="R305">_xlfn.TEXTSPLIT(Q305," / ", ,TRUE,0,)</f>
        <v>#N/A</v>
      </c>
      <c r="S305" s="51"/>
      <c r="T305" s="51" t="str" cm="1">
        <f t="array" ref="T305">IFERROR(_xlfn.IFS(
R305="","",
--R305&lt;55,"Battery Defect",
--R305&lt;=69,"Battery D",
--R305&lt;=80,"Battery C",
--R305&gt;80,""
),"")</f>
        <v/>
      </c>
      <c r="U305" s="51" t="str" cm="1">
        <f t="array" ref="U305">IFERROR(_xlfn.IFS(
S305="","",
--S305&lt;55,"Battery Defect",
--S305&lt;=69,"Battery D",
--S305&lt;=80,"Battery C",
--S305&gt;80,""
),"")</f>
        <v/>
      </c>
      <c r="V305" s="51"/>
      <c r="W305" s="51"/>
      <c r="X305" s="51"/>
      <c r="Y305" s="51"/>
      <c r="Z305" s="51"/>
      <c r="AA305" s="51"/>
      <c r="AB305" s="51"/>
      <c r="AC305" s="51"/>
      <c r="AD305" s="32" t="str">
        <f t="shared" si="12"/>
        <v/>
      </c>
      <c r="AE305" s="32"/>
      <c r="AF305" s="32"/>
      <c r="AG305" s="32"/>
      <c r="AH305" s="32"/>
      <c r="AI305" s="32"/>
      <c r="AJ305" s="32"/>
      <c r="AK305" s="32"/>
      <c r="AL305" s="32"/>
    </row>
    <row r="306" spans="1:38">
      <c r="A306" s="32" t="str">
        <f>_xlfn.TEXTJOIN("",TRUE,_xlfn.XLOOKUP(B306,Input!J:J,Input!G:G,"",0,1),_xlfn.XLOOKUP(B306,Input!J:J,Input!H:H,"",0,1))</f>
        <v/>
      </c>
      <c r="B306" s="32"/>
      <c r="C306" s="51">
        <f>_xlfn.XLOOKUP(B306,Input!J:J,Input!F:F)</f>
        <v>0</v>
      </c>
      <c r="D306" s="32">
        <f>_xlfn.XLOOKUP(C306,Models!H:H,Models!G:G,C306)</f>
        <v>0</v>
      </c>
      <c r="E306" s="32">
        <f>_xlfn.XLOOKUP(B306,Input!J:J,Input!E:E)</f>
        <v>0</v>
      </c>
      <c r="F306" s="32">
        <f>IF(E306="LENOVO",_xlfn.XLOOKUP(B306,Input!J:J,Input!K:K),_xlfn.XLOOKUP(B306,Input!J:J,Input!L:L))</f>
        <v>0</v>
      </c>
      <c r="G306" s="32"/>
      <c r="H306" s="32"/>
      <c r="I306" s="32"/>
      <c r="J306" s="51" t="e">
        <f>INDEX(Input!$D$2:$AC$500,
       MATCH(B306, Input!$J$2:$J$500, 0),
       MATCH("Total Memory", Input!$D$1:$AC$1, 0))</f>
        <v>#N/A</v>
      </c>
      <c r="K306" s="51"/>
      <c r="L306" s="51" t="str" cm="1">
        <f t="array" ref="L306">IFERROR(_xlfn.FILTERXML("&lt;t&gt;&lt;s&gt;" &amp; SUBSTITUTE(K306," / ","&lt;/s&gt;&lt;s&gt;") &amp; "&lt;/s&gt;&lt;/t&gt;","(//s[contains(.,'DDR')])[1]"),"")</f>
        <v/>
      </c>
      <c r="M306" s="32" t="e">
        <f t="shared" si="14"/>
        <v>#N/A</v>
      </c>
      <c r="N306" s="51" t="e">
        <f>INDEX(Input!$D$2:$AC$500,
       MATCH(B306, Input!$J$2:$J$500, 0),
       MATCH("Disk Interface Type", Input!$D$1:$AC$1, 0))</f>
        <v>#N/A</v>
      </c>
      <c r="O306" s="51" t="str" cm="1">
        <f t="array" ref="O306">IFERROR(_xlfn.TEXTJOIN(", ", TRUE, _xlfn._xlws.FILTER(
    INDEX(Input!$D$2:$AC$500,,MATCH("Disk Capacity",Input!$D$1:$AC$1,0)),
    Input!$J$2:$J$500=B306
)), "")</f>
        <v/>
      </c>
      <c r="P306" s="32" t="e">
        <f t="shared" si="13"/>
        <v>#N/A</v>
      </c>
      <c r="Q306" s="51" t="e">
        <f>_xlfn.LET(_xlpm.Result,INDEX(Input!$D$2:$AC$500,
       MATCH(B306, Input!$J$2:$J$500, 0),
       MATCH("Capacity", Input!$D$1:$AC$1, 0)),IF(_xlpm.Result="","",_xlpm.Result))</f>
        <v>#N/A</v>
      </c>
      <c r="R306" s="51" t="e" cm="1">
        <f t="array" ref="R306">_xlfn.TEXTSPLIT(Q306," / ", ,TRUE,0,)</f>
        <v>#N/A</v>
      </c>
      <c r="S306" s="51"/>
      <c r="T306" s="51" t="str" cm="1">
        <f t="array" ref="T306">IFERROR(_xlfn.IFS(
R306="","",
--R306&lt;55,"Battery Defect",
--R306&lt;=69,"Battery D",
--R306&lt;=80,"Battery C",
--R306&gt;80,""
),"")</f>
        <v/>
      </c>
      <c r="U306" s="51" t="str" cm="1">
        <f t="array" ref="U306">IFERROR(_xlfn.IFS(
S306="","",
--S306&lt;55,"Battery Defect",
--S306&lt;=69,"Battery D",
--S306&lt;=80,"Battery C",
--S306&gt;80,""
),"")</f>
        <v/>
      </c>
      <c r="V306" s="51"/>
      <c r="W306" s="51"/>
      <c r="X306" s="51"/>
      <c r="Y306" s="51"/>
      <c r="Z306" s="51"/>
      <c r="AA306" s="51"/>
      <c r="AB306" s="51"/>
      <c r="AC306" s="51"/>
      <c r="AD306" s="32" t="str">
        <f t="shared" si="12"/>
        <v/>
      </c>
      <c r="AE306" s="32"/>
      <c r="AF306" s="32"/>
      <c r="AG306" s="32"/>
      <c r="AH306" s="32"/>
      <c r="AI306" s="32"/>
      <c r="AJ306" s="32"/>
      <c r="AK306" s="32"/>
      <c r="AL306" s="32"/>
    </row>
    <row r="307" spans="1:38">
      <c r="A307" s="32" t="str">
        <f>_xlfn.TEXTJOIN("",TRUE,_xlfn.XLOOKUP(B307,Input!J:J,Input!G:G,"",0,1),_xlfn.XLOOKUP(B307,Input!J:J,Input!H:H,"",0,1))</f>
        <v/>
      </c>
      <c r="B307" s="32"/>
      <c r="C307" s="51">
        <f>_xlfn.XLOOKUP(B307,Input!J:J,Input!F:F)</f>
        <v>0</v>
      </c>
      <c r="D307" s="32">
        <f>_xlfn.XLOOKUP(C307,Models!H:H,Models!G:G,C307)</f>
        <v>0</v>
      </c>
      <c r="E307" s="32">
        <f>_xlfn.XLOOKUP(B307,Input!J:J,Input!E:E)</f>
        <v>0</v>
      </c>
      <c r="F307" s="32">
        <f>IF(E307="LENOVO",_xlfn.XLOOKUP(B307,Input!J:J,Input!K:K),_xlfn.XLOOKUP(B307,Input!J:J,Input!L:L))</f>
        <v>0</v>
      </c>
      <c r="G307" s="32"/>
      <c r="H307" s="32"/>
      <c r="I307" s="32"/>
      <c r="J307" s="51" t="e">
        <f>INDEX(Input!$D$2:$AC$500,
       MATCH(B307, Input!$J$2:$J$500, 0),
       MATCH("Total Memory", Input!$D$1:$AC$1, 0))</f>
        <v>#N/A</v>
      </c>
      <c r="K307" s="51"/>
      <c r="L307" s="51" t="str" cm="1">
        <f t="array" ref="L307">IFERROR(_xlfn.FILTERXML("&lt;t&gt;&lt;s&gt;" &amp; SUBSTITUTE(K307," / ","&lt;/s&gt;&lt;s&gt;") &amp; "&lt;/s&gt;&lt;/t&gt;","(//s[contains(.,'DDR')])[1]"),"")</f>
        <v/>
      </c>
      <c r="M307" s="32" t="e">
        <f t="shared" si="14"/>
        <v>#N/A</v>
      </c>
      <c r="N307" s="51" t="e">
        <f>INDEX(Input!$D$2:$AC$500,
       MATCH(B307, Input!$J$2:$J$500, 0),
       MATCH("Disk Interface Type", Input!$D$1:$AC$1, 0))</f>
        <v>#N/A</v>
      </c>
      <c r="O307" s="51" t="str" cm="1">
        <f t="array" ref="O307">IFERROR(_xlfn.TEXTJOIN(", ", TRUE, _xlfn._xlws.FILTER(
    INDEX(Input!$D$2:$AC$500,,MATCH("Disk Capacity",Input!$D$1:$AC$1,0)),
    Input!$J$2:$J$500=B307
)), "")</f>
        <v/>
      </c>
      <c r="P307" s="32" t="e">
        <f t="shared" si="13"/>
        <v>#N/A</v>
      </c>
      <c r="Q307" s="51" t="e">
        <f>_xlfn.LET(_xlpm.Result,INDEX(Input!$D$2:$AC$500,
       MATCH(B307, Input!$J$2:$J$500, 0),
       MATCH("Capacity", Input!$D$1:$AC$1, 0)),IF(_xlpm.Result="","",_xlpm.Result))</f>
        <v>#N/A</v>
      </c>
      <c r="R307" s="51" t="e" cm="1">
        <f t="array" ref="R307">_xlfn.TEXTSPLIT(Q307," / ", ,TRUE,0,)</f>
        <v>#N/A</v>
      </c>
      <c r="S307" s="51"/>
      <c r="T307" s="51" t="str" cm="1">
        <f t="array" ref="T307">IFERROR(_xlfn.IFS(
R307="","",
--R307&lt;55,"Battery Defect",
--R307&lt;=69,"Battery D",
--R307&lt;=80,"Battery C",
--R307&gt;80,""
),"")</f>
        <v/>
      </c>
      <c r="U307" s="51" t="str" cm="1">
        <f t="array" ref="U307">IFERROR(_xlfn.IFS(
S307="","",
--S307&lt;55,"Battery Defect",
--S307&lt;=69,"Battery D",
--S307&lt;=80,"Battery C",
--S307&gt;80,""
),"")</f>
        <v/>
      </c>
      <c r="V307" s="51"/>
      <c r="W307" s="51"/>
      <c r="X307" s="51"/>
      <c r="Y307" s="51"/>
      <c r="Z307" s="51"/>
      <c r="AA307" s="51"/>
      <c r="AB307" s="51"/>
      <c r="AC307" s="51"/>
      <c r="AD307" s="32" t="str">
        <f t="shared" si="12"/>
        <v/>
      </c>
      <c r="AE307" s="32"/>
      <c r="AF307" s="32"/>
      <c r="AG307" s="32"/>
      <c r="AH307" s="32"/>
      <c r="AI307" s="32"/>
      <c r="AJ307" s="32"/>
      <c r="AK307" s="32"/>
      <c r="AL307" s="32"/>
    </row>
    <row r="308" spans="1:38">
      <c r="A308" s="32" t="str">
        <f>_xlfn.TEXTJOIN("",TRUE,_xlfn.XLOOKUP(B308,Input!J:J,Input!G:G,"",0,1),_xlfn.XLOOKUP(B308,Input!J:J,Input!H:H,"",0,1))</f>
        <v/>
      </c>
      <c r="B308" s="32"/>
      <c r="C308" s="51">
        <f>_xlfn.XLOOKUP(B308,Input!J:J,Input!F:F)</f>
        <v>0</v>
      </c>
      <c r="D308" s="32">
        <f>_xlfn.XLOOKUP(C308,Models!H:H,Models!G:G,C308)</f>
        <v>0</v>
      </c>
      <c r="E308" s="32">
        <f>_xlfn.XLOOKUP(B308,Input!J:J,Input!E:E)</f>
        <v>0</v>
      </c>
      <c r="F308" s="32">
        <f>IF(E308="LENOVO",_xlfn.XLOOKUP(B308,Input!J:J,Input!K:K),_xlfn.XLOOKUP(B308,Input!J:J,Input!L:L))</f>
        <v>0</v>
      </c>
      <c r="G308" s="32"/>
      <c r="H308" s="32"/>
      <c r="I308" s="32"/>
      <c r="J308" s="51" t="e">
        <f>INDEX(Input!$D$2:$AC$500,
       MATCH(B308, Input!$J$2:$J$500, 0),
       MATCH("Total Memory", Input!$D$1:$AC$1, 0))</f>
        <v>#N/A</v>
      </c>
      <c r="K308" s="51"/>
      <c r="L308" s="51" t="str" cm="1">
        <f t="array" ref="L308">IFERROR(_xlfn.FILTERXML("&lt;t&gt;&lt;s&gt;" &amp; SUBSTITUTE(K308," / ","&lt;/s&gt;&lt;s&gt;") &amp; "&lt;/s&gt;&lt;/t&gt;","(//s[contains(.,'DDR')])[1]"),"")</f>
        <v/>
      </c>
      <c r="M308" s="32" t="e">
        <f t="shared" si="14"/>
        <v>#N/A</v>
      </c>
      <c r="N308" s="51" t="e">
        <f>INDEX(Input!$D$2:$AC$500,
       MATCH(B308, Input!$J$2:$J$500, 0),
       MATCH("Disk Interface Type", Input!$D$1:$AC$1, 0))</f>
        <v>#N/A</v>
      </c>
      <c r="O308" s="51" t="str" cm="1">
        <f t="array" ref="O308">IFERROR(_xlfn.TEXTJOIN(", ", TRUE, _xlfn._xlws.FILTER(
    INDEX(Input!$D$2:$AC$500,,MATCH("Disk Capacity",Input!$D$1:$AC$1,0)),
    Input!$J$2:$J$500=B308
)), "")</f>
        <v/>
      </c>
      <c r="P308" s="32" t="e">
        <f t="shared" si="13"/>
        <v>#N/A</v>
      </c>
      <c r="Q308" s="51" t="e">
        <f>_xlfn.LET(_xlpm.Result,INDEX(Input!$D$2:$AC$500,
       MATCH(B308, Input!$J$2:$J$500, 0),
       MATCH("Capacity", Input!$D$1:$AC$1, 0)),IF(_xlpm.Result="","",_xlpm.Result))</f>
        <v>#N/A</v>
      </c>
      <c r="R308" s="51" t="e" cm="1">
        <f t="array" ref="R308">_xlfn.TEXTSPLIT(Q308," / ", ,TRUE,0,)</f>
        <v>#N/A</v>
      </c>
      <c r="S308" s="51"/>
      <c r="T308" s="51" t="str" cm="1">
        <f t="array" ref="T308">IFERROR(_xlfn.IFS(
R308="","",
--R308&lt;55,"Battery Defect",
--R308&lt;=69,"Battery D",
--R308&lt;=80,"Battery C",
--R308&gt;80,""
),"")</f>
        <v/>
      </c>
      <c r="U308" s="51" t="str" cm="1">
        <f t="array" ref="U308">IFERROR(_xlfn.IFS(
S308="","",
--S308&lt;55,"Battery Defect",
--S308&lt;=69,"Battery D",
--S308&lt;=80,"Battery C",
--S308&gt;80,""
),"")</f>
        <v/>
      </c>
      <c r="V308" s="51"/>
      <c r="W308" s="51"/>
      <c r="X308" s="51"/>
      <c r="Y308" s="51"/>
      <c r="Z308" s="51"/>
      <c r="AA308" s="51"/>
      <c r="AB308" s="51"/>
      <c r="AC308" s="51"/>
      <c r="AD308" s="32" t="str">
        <f t="shared" si="12"/>
        <v/>
      </c>
      <c r="AE308" s="32"/>
      <c r="AF308" s="32"/>
      <c r="AG308" s="32"/>
      <c r="AH308" s="32"/>
      <c r="AI308" s="32"/>
      <c r="AJ308" s="32"/>
      <c r="AK308" s="32"/>
      <c r="AL308" s="32"/>
    </row>
    <row r="309" spans="1:38">
      <c r="A309" s="32" t="str">
        <f>_xlfn.TEXTJOIN("",TRUE,_xlfn.XLOOKUP(B309,Input!J:J,Input!G:G,"",0,1),_xlfn.XLOOKUP(B309,Input!J:J,Input!H:H,"",0,1))</f>
        <v/>
      </c>
      <c r="B309" s="32"/>
      <c r="C309" s="51">
        <f>_xlfn.XLOOKUP(B309,Input!J:J,Input!F:F)</f>
        <v>0</v>
      </c>
      <c r="D309" s="32">
        <f>_xlfn.XLOOKUP(C309,Models!H:H,Models!G:G,C309)</f>
        <v>0</v>
      </c>
      <c r="E309" s="32">
        <f>_xlfn.XLOOKUP(B309,Input!J:J,Input!E:E)</f>
        <v>0</v>
      </c>
      <c r="F309" s="32">
        <f>IF(E309="LENOVO",_xlfn.XLOOKUP(B309,Input!J:J,Input!K:K),_xlfn.XLOOKUP(B309,Input!J:J,Input!L:L))</f>
        <v>0</v>
      </c>
      <c r="G309" s="32"/>
      <c r="H309" s="32"/>
      <c r="I309" s="32"/>
      <c r="J309" s="51" t="e">
        <f>INDEX(Input!$D$2:$AC$500,
       MATCH(B309, Input!$J$2:$J$500, 0),
       MATCH("Total Memory", Input!$D$1:$AC$1, 0))</f>
        <v>#N/A</v>
      </c>
      <c r="K309" s="51"/>
      <c r="L309" s="51" t="str" cm="1">
        <f t="array" ref="L309">IFERROR(_xlfn.FILTERXML("&lt;t&gt;&lt;s&gt;" &amp; SUBSTITUTE(K309," / ","&lt;/s&gt;&lt;s&gt;") &amp; "&lt;/s&gt;&lt;/t&gt;","(//s[contains(.,'DDR')])[1]"),"")</f>
        <v/>
      </c>
      <c r="M309" s="32" t="e">
        <f t="shared" si="14"/>
        <v>#N/A</v>
      </c>
      <c r="N309" s="51" t="e">
        <f>INDEX(Input!$D$2:$AC$500,
       MATCH(B309, Input!$J$2:$J$500, 0),
       MATCH("Disk Interface Type", Input!$D$1:$AC$1, 0))</f>
        <v>#N/A</v>
      </c>
      <c r="O309" s="51" t="str" cm="1">
        <f t="array" ref="O309">IFERROR(_xlfn.TEXTJOIN(", ", TRUE, _xlfn._xlws.FILTER(
    INDEX(Input!$D$2:$AC$500,,MATCH("Disk Capacity",Input!$D$1:$AC$1,0)),
    Input!$J$2:$J$500=B309
)), "")</f>
        <v/>
      </c>
      <c r="P309" s="32" t="e">
        <f t="shared" si="13"/>
        <v>#N/A</v>
      </c>
      <c r="Q309" s="51" t="e">
        <f>_xlfn.LET(_xlpm.Result,INDEX(Input!$D$2:$AC$500,
       MATCH(B309, Input!$J$2:$J$500, 0),
       MATCH("Capacity", Input!$D$1:$AC$1, 0)),IF(_xlpm.Result="","",_xlpm.Result))</f>
        <v>#N/A</v>
      </c>
      <c r="R309" s="51" t="e" cm="1">
        <f t="array" ref="R309">_xlfn.TEXTSPLIT(Q309," / ", ,TRUE,0,)</f>
        <v>#N/A</v>
      </c>
      <c r="S309" s="51"/>
      <c r="T309" s="51" t="str" cm="1">
        <f t="array" ref="T309">IFERROR(_xlfn.IFS(
R309="","",
--R309&lt;55,"Battery Defect",
--R309&lt;=69,"Battery D",
--R309&lt;=80,"Battery C",
--R309&gt;80,""
),"")</f>
        <v/>
      </c>
      <c r="U309" s="51" t="str" cm="1">
        <f t="array" ref="U309">IFERROR(_xlfn.IFS(
S309="","",
--S309&lt;55,"Battery Defect",
--S309&lt;=69,"Battery D",
--S309&lt;=80,"Battery C",
--S309&gt;80,""
),"")</f>
        <v/>
      </c>
      <c r="V309" s="51"/>
      <c r="W309" s="51"/>
      <c r="X309" s="51"/>
      <c r="Y309" s="51"/>
      <c r="Z309" s="51"/>
      <c r="AA309" s="51"/>
      <c r="AB309" s="51"/>
      <c r="AC309" s="51"/>
      <c r="AD309" s="32" t="str">
        <f t="shared" si="12"/>
        <v/>
      </c>
      <c r="AE309" s="32"/>
      <c r="AF309" s="32"/>
      <c r="AG309" s="32"/>
      <c r="AH309" s="32"/>
      <c r="AI309" s="32"/>
      <c r="AJ309" s="32"/>
      <c r="AK309" s="32"/>
      <c r="AL309" s="32"/>
    </row>
    <row r="310" spans="1:38">
      <c r="A310" s="32" t="str">
        <f>_xlfn.TEXTJOIN("",TRUE,_xlfn.XLOOKUP(B310,Input!J:J,Input!G:G,"",0,1),_xlfn.XLOOKUP(B310,Input!J:J,Input!H:H,"",0,1))</f>
        <v/>
      </c>
      <c r="B310" s="32"/>
      <c r="C310" s="51">
        <f>_xlfn.XLOOKUP(B310,Input!J:J,Input!F:F)</f>
        <v>0</v>
      </c>
      <c r="D310" s="32">
        <f>_xlfn.XLOOKUP(C310,Models!H:H,Models!G:G,C310)</f>
        <v>0</v>
      </c>
      <c r="E310" s="32">
        <f>_xlfn.XLOOKUP(B310,Input!J:J,Input!E:E)</f>
        <v>0</v>
      </c>
      <c r="F310" s="32">
        <f>IF(E310="LENOVO",_xlfn.XLOOKUP(B310,Input!J:J,Input!K:K),_xlfn.XLOOKUP(B310,Input!J:J,Input!L:L))</f>
        <v>0</v>
      </c>
      <c r="G310" s="32"/>
      <c r="H310" s="32"/>
      <c r="I310" s="32"/>
      <c r="J310" s="51" t="e">
        <f>INDEX(Input!$D$2:$AC$500,
       MATCH(B310, Input!$J$2:$J$500, 0),
       MATCH("Total Memory", Input!$D$1:$AC$1, 0))</f>
        <v>#N/A</v>
      </c>
      <c r="K310" s="51"/>
      <c r="L310" s="51" t="str" cm="1">
        <f t="array" ref="L310">IFERROR(_xlfn.FILTERXML("&lt;t&gt;&lt;s&gt;" &amp; SUBSTITUTE(K310," / ","&lt;/s&gt;&lt;s&gt;") &amp; "&lt;/s&gt;&lt;/t&gt;","(//s[contains(.,'DDR')])[1]"),"")</f>
        <v/>
      </c>
      <c r="M310" s="32" t="e">
        <f t="shared" si="14"/>
        <v>#N/A</v>
      </c>
      <c r="N310" s="51" t="e">
        <f>INDEX(Input!$D$2:$AC$500,
       MATCH(B310, Input!$J$2:$J$500, 0),
       MATCH("Disk Interface Type", Input!$D$1:$AC$1, 0))</f>
        <v>#N/A</v>
      </c>
      <c r="O310" s="51" t="str" cm="1">
        <f t="array" ref="O310">IFERROR(_xlfn.TEXTJOIN(", ", TRUE, _xlfn._xlws.FILTER(
    INDEX(Input!$D$2:$AC$500,,MATCH("Disk Capacity",Input!$D$1:$AC$1,0)),
    Input!$J$2:$J$500=B310
)), "")</f>
        <v/>
      </c>
      <c r="P310" s="32" t="e">
        <f t="shared" si="13"/>
        <v>#N/A</v>
      </c>
      <c r="Q310" s="51" t="e">
        <f>_xlfn.LET(_xlpm.Result,INDEX(Input!$D$2:$AC$500,
       MATCH(B310, Input!$J$2:$J$500, 0),
       MATCH("Capacity", Input!$D$1:$AC$1, 0)),IF(_xlpm.Result="","",_xlpm.Result))</f>
        <v>#N/A</v>
      </c>
      <c r="R310" s="51" t="e" cm="1">
        <f t="array" ref="R310">_xlfn.TEXTSPLIT(Q310," / ", ,TRUE,0,)</f>
        <v>#N/A</v>
      </c>
      <c r="S310" s="51"/>
      <c r="T310" s="51" t="str" cm="1">
        <f t="array" ref="T310">IFERROR(_xlfn.IFS(
R310="","",
--R310&lt;55,"Battery Defect",
--R310&lt;=69,"Battery D",
--R310&lt;=80,"Battery C",
--R310&gt;80,""
),"")</f>
        <v/>
      </c>
      <c r="U310" s="51" t="str" cm="1">
        <f t="array" ref="U310">IFERROR(_xlfn.IFS(
S310="","",
--S310&lt;55,"Battery Defect",
--S310&lt;=69,"Battery D",
--S310&lt;=80,"Battery C",
--S310&gt;80,""
),"")</f>
        <v/>
      </c>
      <c r="V310" s="51"/>
      <c r="W310" s="51"/>
      <c r="X310" s="51"/>
      <c r="Y310" s="51"/>
      <c r="Z310" s="51"/>
      <c r="AA310" s="51"/>
      <c r="AB310" s="51"/>
      <c r="AC310" s="51"/>
      <c r="AD310" s="32" t="str">
        <f t="shared" si="12"/>
        <v/>
      </c>
      <c r="AE310" s="32"/>
      <c r="AF310" s="32"/>
      <c r="AG310" s="32"/>
      <c r="AH310" s="32"/>
      <c r="AI310" s="32"/>
      <c r="AJ310" s="32"/>
      <c r="AK310" s="32"/>
      <c r="AL310" s="32"/>
    </row>
    <row r="311" spans="1:38">
      <c r="A311" s="32" t="str">
        <f>_xlfn.TEXTJOIN("",TRUE,_xlfn.XLOOKUP(B311,Input!J:J,Input!G:G,"",0,1),_xlfn.XLOOKUP(B311,Input!J:J,Input!H:H,"",0,1))</f>
        <v/>
      </c>
      <c r="B311" s="32"/>
      <c r="C311" s="51">
        <f>_xlfn.XLOOKUP(B311,Input!J:J,Input!F:F)</f>
        <v>0</v>
      </c>
      <c r="D311" s="32">
        <f>_xlfn.XLOOKUP(C311,Models!H:H,Models!G:G,C311)</f>
        <v>0</v>
      </c>
      <c r="E311" s="32">
        <f>_xlfn.XLOOKUP(B311,Input!J:J,Input!E:E)</f>
        <v>0</v>
      </c>
      <c r="F311" s="32">
        <f>IF(E311="LENOVO",_xlfn.XLOOKUP(B311,Input!J:J,Input!K:K),_xlfn.XLOOKUP(B311,Input!J:J,Input!L:L))</f>
        <v>0</v>
      </c>
      <c r="G311" s="32"/>
      <c r="H311" s="32"/>
      <c r="I311" s="32"/>
      <c r="J311" s="51" t="e">
        <f>INDEX(Input!$D$2:$AC$500,
       MATCH(B311, Input!$J$2:$J$500, 0),
       MATCH("Total Memory", Input!$D$1:$AC$1, 0))</f>
        <v>#N/A</v>
      </c>
      <c r="K311" s="51"/>
      <c r="L311" s="51" t="str" cm="1">
        <f t="array" ref="L311">IFERROR(_xlfn.FILTERXML("&lt;t&gt;&lt;s&gt;" &amp; SUBSTITUTE(K311," / ","&lt;/s&gt;&lt;s&gt;") &amp; "&lt;/s&gt;&lt;/t&gt;","(//s[contains(.,'DDR')])[1]"),"")</f>
        <v/>
      </c>
      <c r="M311" s="32" t="e">
        <f t="shared" si="14"/>
        <v>#N/A</v>
      </c>
      <c r="N311" s="51" t="e">
        <f>INDEX(Input!$D$2:$AC$500,
       MATCH(B311, Input!$J$2:$J$500, 0),
       MATCH("Disk Interface Type", Input!$D$1:$AC$1, 0))</f>
        <v>#N/A</v>
      </c>
      <c r="O311" s="51" t="str" cm="1">
        <f t="array" ref="O311">IFERROR(_xlfn.TEXTJOIN(", ", TRUE, _xlfn._xlws.FILTER(
    INDEX(Input!$D$2:$AC$500,,MATCH("Disk Capacity",Input!$D$1:$AC$1,0)),
    Input!$J$2:$J$500=B311
)), "")</f>
        <v/>
      </c>
      <c r="P311" s="32" t="e">
        <f t="shared" si="13"/>
        <v>#N/A</v>
      </c>
      <c r="Q311" s="51" t="e">
        <f>_xlfn.LET(_xlpm.Result,INDEX(Input!$D$2:$AC$500,
       MATCH(B311, Input!$J$2:$J$500, 0),
       MATCH("Capacity", Input!$D$1:$AC$1, 0)),IF(_xlpm.Result="","",_xlpm.Result))</f>
        <v>#N/A</v>
      </c>
      <c r="R311" s="51" t="e" cm="1">
        <f t="array" ref="R311">_xlfn.TEXTSPLIT(Q311," / ", ,TRUE,0,)</f>
        <v>#N/A</v>
      </c>
      <c r="S311" s="51"/>
      <c r="T311" s="51" t="str" cm="1">
        <f t="array" ref="T311">IFERROR(_xlfn.IFS(
R311="","",
--R311&lt;55,"Battery Defect",
--R311&lt;=69,"Battery D",
--R311&lt;=80,"Battery C",
--R311&gt;80,""
),"")</f>
        <v/>
      </c>
      <c r="U311" s="51" t="str" cm="1">
        <f t="array" ref="U311">IFERROR(_xlfn.IFS(
S311="","",
--S311&lt;55,"Battery Defect",
--S311&lt;=69,"Battery D",
--S311&lt;=80,"Battery C",
--S311&gt;80,""
),"")</f>
        <v/>
      </c>
      <c r="V311" s="51"/>
      <c r="W311" s="51"/>
      <c r="X311" s="51"/>
      <c r="Y311" s="51"/>
      <c r="Z311" s="51"/>
      <c r="AA311" s="51"/>
      <c r="AB311" s="51"/>
      <c r="AC311" s="51"/>
      <c r="AD311" s="32" t="str">
        <f t="shared" si="12"/>
        <v/>
      </c>
      <c r="AE311" s="32"/>
      <c r="AF311" s="32"/>
      <c r="AG311" s="32"/>
      <c r="AH311" s="32"/>
      <c r="AI311" s="32"/>
      <c r="AJ311" s="32"/>
      <c r="AK311" s="32"/>
      <c r="AL311" s="32"/>
    </row>
    <row r="312" spans="1:38">
      <c r="A312" s="32" t="str">
        <f>_xlfn.TEXTJOIN("",TRUE,_xlfn.XLOOKUP(B312,Input!J:J,Input!G:G,"",0,1),_xlfn.XLOOKUP(B312,Input!J:J,Input!H:H,"",0,1))</f>
        <v/>
      </c>
      <c r="B312" s="32"/>
      <c r="C312" s="51">
        <f>_xlfn.XLOOKUP(B312,Input!J:J,Input!F:F)</f>
        <v>0</v>
      </c>
      <c r="D312" s="32">
        <f>_xlfn.XLOOKUP(C312,Models!H:H,Models!G:G,C312)</f>
        <v>0</v>
      </c>
      <c r="E312" s="32">
        <f>_xlfn.XLOOKUP(B312,Input!J:J,Input!E:E)</f>
        <v>0</v>
      </c>
      <c r="F312" s="32">
        <f>IF(E312="LENOVO",_xlfn.XLOOKUP(B312,Input!J:J,Input!K:K),_xlfn.XLOOKUP(B312,Input!J:J,Input!L:L))</f>
        <v>0</v>
      </c>
      <c r="G312" s="32"/>
      <c r="H312" s="32"/>
      <c r="I312" s="32"/>
      <c r="J312" s="51" t="e">
        <f>INDEX(Input!$D$2:$AC$500,
       MATCH(B312, Input!$J$2:$J$500, 0),
       MATCH("Total Memory", Input!$D$1:$AC$1, 0))</f>
        <v>#N/A</v>
      </c>
      <c r="K312" s="51"/>
      <c r="L312" s="51" t="str" cm="1">
        <f t="array" ref="L312">IFERROR(_xlfn.FILTERXML("&lt;t&gt;&lt;s&gt;" &amp; SUBSTITUTE(K312," / ","&lt;/s&gt;&lt;s&gt;") &amp; "&lt;/s&gt;&lt;/t&gt;","(//s[contains(.,'DDR')])[1]"),"")</f>
        <v/>
      </c>
      <c r="M312" s="32" t="e">
        <f t="shared" si="14"/>
        <v>#N/A</v>
      </c>
      <c r="N312" s="51" t="e">
        <f>INDEX(Input!$D$2:$AC$500,
       MATCH(B312, Input!$J$2:$J$500, 0),
       MATCH("Disk Interface Type", Input!$D$1:$AC$1, 0))</f>
        <v>#N/A</v>
      </c>
      <c r="O312" s="51" t="str" cm="1">
        <f t="array" ref="O312">IFERROR(_xlfn.TEXTJOIN(", ", TRUE, _xlfn._xlws.FILTER(
    INDEX(Input!$D$2:$AC$500,,MATCH("Disk Capacity",Input!$D$1:$AC$1,0)),
    Input!$J$2:$J$500=B312
)), "")</f>
        <v/>
      </c>
      <c r="P312" s="32" t="e">
        <f t="shared" si="13"/>
        <v>#N/A</v>
      </c>
      <c r="Q312" s="51" t="e">
        <f>_xlfn.LET(_xlpm.Result,INDEX(Input!$D$2:$AC$500,
       MATCH(B312, Input!$J$2:$J$500, 0),
       MATCH("Capacity", Input!$D$1:$AC$1, 0)),IF(_xlpm.Result="","",_xlpm.Result))</f>
        <v>#N/A</v>
      </c>
      <c r="R312" s="51" t="e" cm="1">
        <f t="array" ref="R312">_xlfn.TEXTSPLIT(Q312," / ", ,TRUE,0,)</f>
        <v>#N/A</v>
      </c>
      <c r="S312" s="51"/>
      <c r="T312" s="51" t="str" cm="1">
        <f t="array" ref="T312">IFERROR(_xlfn.IFS(
R312="","",
--R312&lt;55,"Battery Defect",
--R312&lt;=69,"Battery D",
--R312&lt;=80,"Battery C",
--R312&gt;80,""
),"")</f>
        <v/>
      </c>
      <c r="U312" s="51" t="str" cm="1">
        <f t="array" ref="U312">IFERROR(_xlfn.IFS(
S312="","",
--S312&lt;55,"Battery Defect",
--S312&lt;=69,"Battery D",
--S312&lt;=80,"Battery C",
--S312&gt;80,""
),"")</f>
        <v/>
      </c>
      <c r="V312" s="51"/>
      <c r="W312" s="51"/>
      <c r="X312" s="51"/>
      <c r="Y312" s="51"/>
      <c r="Z312" s="51"/>
      <c r="AA312" s="51"/>
      <c r="AB312" s="51"/>
      <c r="AC312" s="51"/>
      <c r="AD312" s="32" t="str">
        <f t="shared" si="12"/>
        <v/>
      </c>
      <c r="AE312" s="32"/>
      <c r="AF312" s="32"/>
      <c r="AG312" s="32"/>
      <c r="AH312" s="32"/>
      <c r="AI312" s="32"/>
      <c r="AJ312" s="32"/>
      <c r="AK312" s="32"/>
      <c r="AL312" s="32"/>
    </row>
    <row r="313" spans="1:38">
      <c r="A313" s="32" t="str">
        <f>_xlfn.TEXTJOIN("",TRUE,_xlfn.XLOOKUP(B313,Input!J:J,Input!G:G,"",0,1),_xlfn.XLOOKUP(B313,Input!J:J,Input!H:H,"",0,1))</f>
        <v/>
      </c>
      <c r="B313" s="32"/>
      <c r="C313" s="51">
        <f>_xlfn.XLOOKUP(B313,Input!J:J,Input!F:F)</f>
        <v>0</v>
      </c>
      <c r="D313" s="32">
        <f>_xlfn.XLOOKUP(C313,Models!H:H,Models!G:G,C313)</f>
        <v>0</v>
      </c>
      <c r="E313" s="32">
        <f>_xlfn.XLOOKUP(B313,Input!J:J,Input!E:E)</f>
        <v>0</v>
      </c>
      <c r="F313" s="32">
        <f>IF(E313="LENOVO",_xlfn.XLOOKUP(B313,Input!J:J,Input!K:K),_xlfn.XLOOKUP(B313,Input!J:J,Input!L:L))</f>
        <v>0</v>
      </c>
      <c r="G313" s="32"/>
      <c r="H313" s="32"/>
      <c r="I313" s="32"/>
      <c r="J313" s="51" t="e">
        <f>INDEX(Input!$D$2:$AC$500,
       MATCH(B313, Input!$J$2:$J$500, 0),
       MATCH("Total Memory", Input!$D$1:$AC$1, 0))</f>
        <v>#N/A</v>
      </c>
      <c r="K313" s="51"/>
      <c r="L313" s="51" t="str" cm="1">
        <f t="array" ref="L313">IFERROR(_xlfn.FILTERXML("&lt;t&gt;&lt;s&gt;" &amp; SUBSTITUTE(K313," / ","&lt;/s&gt;&lt;s&gt;") &amp; "&lt;/s&gt;&lt;/t&gt;","(//s[contains(.,'DDR')])[1]"),"")</f>
        <v/>
      </c>
      <c r="M313" s="32" t="e">
        <f t="shared" si="14"/>
        <v>#N/A</v>
      </c>
      <c r="N313" s="51" t="e">
        <f>INDEX(Input!$D$2:$AC$500,
       MATCH(B313, Input!$J$2:$J$500, 0),
       MATCH("Disk Interface Type", Input!$D$1:$AC$1, 0))</f>
        <v>#N/A</v>
      </c>
      <c r="O313" s="51" t="str" cm="1">
        <f t="array" ref="O313">IFERROR(_xlfn.TEXTJOIN(", ", TRUE, _xlfn._xlws.FILTER(
    INDEX(Input!$D$2:$AC$500,,MATCH("Disk Capacity",Input!$D$1:$AC$1,0)),
    Input!$J$2:$J$500=B313
)), "")</f>
        <v/>
      </c>
      <c r="P313" s="32" t="e">
        <f t="shared" si="13"/>
        <v>#N/A</v>
      </c>
      <c r="Q313" s="51" t="e">
        <f>_xlfn.LET(_xlpm.Result,INDEX(Input!$D$2:$AC$500,
       MATCH(B313, Input!$J$2:$J$500, 0),
       MATCH("Capacity", Input!$D$1:$AC$1, 0)),IF(_xlpm.Result="","",_xlpm.Result))</f>
        <v>#N/A</v>
      </c>
      <c r="R313" s="51" t="e" cm="1">
        <f t="array" ref="R313">_xlfn.TEXTSPLIT(Q313," / ", ,TRUE,0,)</f>
        <v>#N/A</v>
      </c>
      <c r="S313" s="51"/>
      <c r="T313" s="51" t="str" cm="1">
        <f t="array" ref="T313">IFERROR(_xlfn.IFS(
R313="","",
--R313&lt;55,"Battery Defect",
--R313&lt;=69,"Battery D",
--R313&lt;=80,"Battery C",
--R313&gt;80,""
),"")</f>
        <v/>
      </c>
      <c r="U313" s="51" t="str" cm="1">
        <f t="array" ref="U313">IFERROR(_xlfn.IFS(
S313="","",
--S313&lt;55,"Battery Defect",
--S313&lt;=69,"Battery D",
--S313&lt;=80,"Battery C",
--S313&gt;80,""
),"")</f>
        <v/>
      </c>
      <c r="V313" s="51"/>
      <c r="W313" s="51"/>
      <c r="X313" s="51"/>
      <c r="Y313" s="51"/>
      <c r="Z313" s="51"/>
      <c r="AA313" s="51"/>
      <c r="AB313" s="51"/>
      <c r="AC313" s="51"/>
      <c r="AD313" s="32" t="str">
        <f t="shared" si="12"/>
        <v/>
      </c>
      <c r="AE313" s="32"/>
      <c r="AF313" s="32"/>
      <c r="AG313" s="32"/>
      <c r="AH313" s="32"/>
      <c r="AI313" s="32"/>
      <c r="AJ313" s="32"/>
      <c r="AK313" s="32"/>
      <c r="AL313" s="32"/>
    </row>
    <row r="314" spans="1:38">
      <c r="A314" s="32" t="str">
        <f>_xlfn.TEXTJOIN("",TRUE,_xlfn.XLOOKUP(B314,Input!J:J,Input!G:G,"",0,1),_xlfn.XLOOKUP(B314,Input!J:J,Input!H:H,"",0,1))</f>
        <v/>
      </c>
      <c r="B314" s="32"/>
      <c r="C314" s="51">
        <f>_xlfn.XLOOKUP(B314,Input!J:J,Input!F:F)</f>
        <v>0</v>
      </c>
      <c r="D314" s="32">
        <f>_xlfn.XLOOKUP(C314,Models!H:H,Models!G:G,C314)</f>
        <v>0</v>
      </c>
      <c r="E314" s="32">
        <f>_xlfn.XLOOKUP(B314,Input!J:J,Input!E:E)</f>
        <v>0</v>
      </c>
      <c r="F314" s="32">
        <f>IF(E314="LENOVO",_xlfn.XLOOKUP(B314,Input!J:J,Input!K:K),_xlfn.XLOOKUP(B314,Input!J:J,Input!L:L))</f>
        <v>0</v>
      </c>
      <c r="G314" s="32"/>
      <c r="H314" s="32"/>
      <c r="I314" s="32"/>
      <c r="J314" s="51" t="e">
        <f>INDEX(Input!$D$2:$AC$500,
       MATCH(B314, Input!$J$2:$J$500, 0),
       MATCH("Total Memory", Input!$D$1:$AC$1, 0))</f>
        <v>#N/A</v>
      </c>
      <c r="K314" s="51"/>
      <c r="L314" s="51" t="str" cm="1">
        <f t="array" ref="L314">IFERROR(_xlfn.FILTERXML("&lt;t&gt;&lt;s&gt;" &amp; SUBSTITUTE(K314," / ","&lt;/s&gt;&lt;s&gt;") &amp; "&lt;/s&gt;&lt;/t&gt;","(//s[contains(.,'DDR')])[1]"),"")</f>
        <v/>
      </c>
      <c r="M314" s="32" t="e">
        <f t="shared" si="14"/>
        <v>#N/A</v>
      </c>
      <c r="N314" s="51" t="e">
        <f>INDEX(Input!$D$2:$AC$500,
       MATCH(B314, Input!$J$2:$J$500, 0),
       MATCH("Disk Interface Type", Input!$D$1:$AC$1, 0))</f>
        <v>#N/A</v>
      </c>
      <c r="O314" s="51" t="str" cm="1">
        <f t="array" ref="O314">IFERROR(_xlfn.TEXTJOIN(", ", TRUE, _xlfn._xlws.FILTER(
    INDEX(Input!$D$2:$AC$500,,MATCH("Disk Capacity",Input!$D$1:$AC$1,0)),
    Input!$J$2:$J$500=B314
)), "")</f>
        <v/>
      </c>
      <c r="P314" s="32" t="e">
        <f t="shared" si="13"/>
        <v>#N/A</v>
      </c>
      <c r="Q314" s="51" t="e">
        <f>_xlfn.LET(_xlpm.Result,INDEX(Input!$D$2:$AC$500,
       MATCH(B314, Input!$J$2:$J$500, 0),
       MATCH("Capacity", Input!$D$1:$AC$1, 0)),IF(_xlpm.Result="","",_xlpm.Result))</f>
        <v>#N/A</v>
      </c>
      <c r="R314" s="51" t="e" cm="1">
        <f t="array" ref="R314">_xlfn.TEXTSPLIT(Q314," / ", ,TRUE,0,)</f>
        <v>#N/A</v>
      </c>
      <c r="S314" s="51"/>
      <c r="T314" s="51" t="str" cm="1">
        <f t="array" ref="T314">IFERROR(_xlfn.IFS(
R314="","",
--R314&lt;55,"Battery Defect",
--R314&lt;=69,"Battery D",
--R314&lt;=80,"Battery C",
--R314&gt;80,""
),"")</f>
        <v/>
      </c>
      <c r="U314" s="51" t="str" cm="1">
        <f t="array" ref="U314">IFERROR(_xlfn.IFS(
S314="","",
--S314&lt;55,"Battery Defect",
--S314&lt;=69,"Battery D",
--S314&lt;=80,"Battery C",
--S314&gt;80,""
),"")</f>
        <v/>
      </c>
      <c r="V314" s="51"/>
      <c r="W314" s="51"/>
      <c r="X314" s="51"/>
      <c r="Y314" s="51"/>
      <c r="Z314" s="51"/>
      <c r="AA314" s="51"/>
      <c r="AB314" s="51"/>
      <c r="AC314" s="51"/>
      <c r="AD314" s="32" t="str">
        <f t="shared" si="12"/>
        <v/>
      </c>
      <c r="AE314" s="32"/>
      <c r="AF314" s="32"/>
      <c r="AG314" s="32"/>
      <c r="AH314" s="32"/>
      <c r="AI314" s="32"/>
      <c r="AJ314" s="32"/>
      <c r="AK314" s="32"/>
      <c r="AL314" s="32"/>
    </row>
    <row r="315" spans="1:38">
      <c r="A315" s="32" t="str">
        <f>_xlfn.TEXTJOIN("",TRUE,_xlfn.XLOOKUP(B315,Input!J:J,Input!G:G,"",0,1),_xlfn.XLOOKUP(B315,Input!J:J,Input!H:H,"",0,1))</f>
        <v/>
      </c>
      <c r="B315" s="32"/>
      <c r="C315" s="51">
        <f>_xlfn.XLOOKUP(B315,Input!J:J,Input!F:F)</f>
        <v>0</v>
      </c>
      <c r="D315" s="32">
        <f>_xlfn.XLOOKUP(C315,Models!H:H,Models!G:G,C315)</f>
        <v>0</v>
      </c>
      <c r="E315" s="32">
        <f>_xlfn.XLOOKUP(B315,Input!J:J,Input!E:E)</f>
        <v>0</v>
      </c>
      <c r="F315" s="32">
        <f>IF(E315="LENOVO",_xlfn.XLOOKUP(B315,Input!J:J,Input!K:K),_xlfn.XLOOKUP(B315,Input!J:J,Input!L:L))</f>
        <v>0</v>
      </c>
      <c r="G315" s="32"/>
      <c r="H315" s="32"/>
      <c r="I315" s="32"/>
      <c r="J315" s="51" t="e">
        <f>INDEX(Input!$D$2:$AC$500,
       MATCH(B315, Input!$J$2:$J$500, 0),
       MATCH("Total Memory", Input!$D$1:$AC$1, 0))</f>
        <v>#N/A</v>
      </c>
      <c r="K315" s="51"/>
      <c r="L315" s="51" t="str" cm="1">
        <f t="array" ref="L315">IFERROR(_xlfn.FILTERXML("&lt;t&gt;&lt;s&gt;" &amp; SUBSTITUTE(K315," / ","&lt;/s&gt;&lt;s&gt;") &amp; "&lt;/s&gt;&lt;/t&gt;","(//s[contains(.,'DDR')])[1]"),"")</f>
        <v/>
      </c>
      <c r="M315" s="32" t="e">
        <f t="shared" si="14"/>
        <v>#N/A</v>
      </c>
      <c r="N315" s="51" t="e">
        <f>INDEX(Input!$D$2:$AC$500,
       MATCH(B315, Input!$J$2:$J$500, 0),
       MATCH("Disk Interface Type", Input!$D$1:$AC$1, 0))</f>
        <v>#N/A</v>
      </c>
      <c r="O315" s="51" t="str" cm="1">
        <f t="array" ref="O315">IFERROR(_xlfn.TEXTJOIN(", ", TRUE, _xlfn._xlws.FILTER(
    INDEX(Input!$D$2:$AC$500,,MATCH("Disk Capacity",Input!$D$1:$AC$1,0)),
    Input!$J$2:$J$500=B315
)), "")</f>
        <v/>
      </c>
      <c r="P315" s="32" t="e">
        <f t="shared" si="13"/>
        <v>#N/A</v>
      </c>
      <c r="Q315" s="51" t="e">
        <f>_xlfn.LET(_xlpm.Result,INDEX(Input!$D$2:$AC$500,
       MATCH(B315, Input!$J$2:$J$500, 0),
       MATCH("Capacity", Input!$D$1:$AC$1, 0)),IF(_xlpm.Result="","",_xlpm.Result))</f>
        <v>#N/A</v>
      </c>
      <c r="R315" s="51" t="e" cm="1">
        <f t="array" ref="R315">_xlfn.TEXTSPLIT(Q315," / ", ,TRUE,0,)</f>
        <v>#N/A</v>
      </c>
      <c r="S315" s="51"/>
      <c r="T315" s="51" t="str" cm="1">
        <f t="array" ref="T315">IFERROR(_xlfn.IFS(
R315="","",
--R315&lt;55,"Battery Defect",
--R315&lt;=69,"Battery D",
--R315&lt;=80,"Battery C",
--R315&gt;80,""
),"")</f>
        <v/>
      </c>
      <c r="U315" s="51" t="str" cm="1">
        <f t="array" ref="U315">IFERROR(_xlfn.IFS(
S315="","",
--S315&lt;55,"Battery Defect",
--S315&lt;=69,"Battery D",
--S315&lt;=80,"Battery C",
--S315&gt;80,""
),"")</f>
        <v/>
      </c>
      <c r="V315" s="51"/>
      <c r="W315" s="51"/>
      <c r="X315" s="51"/>
      <c r="Y315" s="51"/>
      <c r="Z315" s="51"/>
      <c r="AA315" s="51"/>
      <c r="AB315" s="51"/>
      <c r="AC315" s="51"/>
      <c r="AD315" s="32" t="str">
        <f t="shared" si="12"/>
        <v/>
      </c>
      <c r="AE315" s="32"/>
      <c r="AF315" s="32"/>
      <c r="AG315" s="32"/>
      <c r="AH315" s="32"/>
      <c r="AI315" s="32"/>
      <c r="AJ315" s="32"/>
      <c r="AK315" s="32"/>
      <c r="AL315" s="32"/>
    </row>
    <row r="316" spans="1:38">
      <c r="A316" s="32" t="str">
        <f>_xlfn.TEXTJOIN("",TRUE,_xlfn.XLOOKUP(B316,Input!J:J,Input!G:G,"",0,1),_xlfn.XLOOKUP(B316,Input!J:J,Input!H:H,"",0,1))</f>
        <v/>
      </c>
      <c r="B316" s="32"/>
      <c r="C316" s="51">
        <f>_xlfn.XLOOKUP(B316,Input!J:J,Input!F:F)</f>
        <v>0</v>
      </c>
      <c r="D316" s="32">
        <f>_xlfn.XLOOKUP(C316,Models!H:H,Models!G:G,C316)</f>
        <v>0</v>
      </c>
      <c r="E316" s="32">
        <f>_xlfn.XLOOKUP(B316,Input!J:J,Input!E:E)</f>
        <v>0</v>
      </c>
      <c r="F316" s="32">
        <f>IF(E316="LENOVO",_xlfn.XLOOKUP(B316,Input!J:J,Input!K:K),_xlfn.XLOOKUP(B316,Input!J:J,Input!L:L))</f>
        <v>0</v>
      </c>
      <c r="G316" s="32"/>
      <c r="H316" s="32"/>
      <c r="I316" s="32"/>
      <c r="J316" s="51" t="e">
        <f>INDEX(Input!$D$2:$AC$500,
       MATCH(B316, Input!$J$2:$J$500, 0),
       MATCH("Total Memory", Input!$D$1:$AC$1, 0))</f>
        <v>#N/A</v>
      </c>
      <c r="K316" s="51"/>
      <c r="L316" s="51" t="str" cm="1">
        <f t="array" ref="L316">IFERROR(_xlfn.FILTERXML("&lt;t&gt;&lt;s&gt;" &amp; SUBSTITUTE(K316," / ","&lt;/s&gt;&lt;s&gt;") &amp; "&lt;/s&gt;&lt;/t&gt;","(//s[contains(.,'DDR')])[1]"),"")</f>
        <v/>
      </c>
      <c r="M316" s="32" t="e">
        <f t="shared" si="14"/>
        <v>#N/A</v>
      </c>
      <c r="N316" s="51" t="e">
        <f>INDEX(Input!$D$2:$AC$500,
       MATCH(B316, Input!$J$2:$J$500, 0),
       MATCH("Disk Interface Type", Input!$D$1:$AC$1, 0))</f>
        <v>#N/A</v>
      </c>
      <c r="O316" s="51" t="str" cm="1">
        <f t="array" ref="O316">IFERROR(_xlfn.TEXTJOIN(", ", TRUE, _xlfn._xlws.FILTER(
    INDEX(Input!$D$2:$AC$500,,MATCH("Disk Capacity",Input!$D$1:$AC$1,0)),
    Input!$J$2:$J$500=B316
)), "")</f>
        <v/>
      </c>
      <c r="P316" s="32" t="e">
        <f t="shared" si="13"/>
        <v>#N/A</v>
      </c>
      <c r="Q316" s="51" t="e">
        <f>_xlfn.LET(_xlpm.Result,INDEX(Input!$D$2:$AC$500,
       MATCH(B316, Input!$J$2:$J$500, 0),
       MATCH("Capacity", Input!$D$1:$AC$1, 0)),IF(_xlpm.Result="","",_xlpm.Result))</f>
        <v>#N/A</v>
      </c>
      <c r="R316" s="51" t="e" cm="1">
        <f t="array" ref="R316">_xlfn.TEXTSPLIT(Q316," / ", ,TRUE,0,)</f>
        <v>#N/A</v>
      </c>
      <c r="S316" s="51"/>
      <c r="T316" s="51" t="str" cm="1">
        <f t="array" ref="T316">IFERROR(_xlfn.IFS(
R316="","",
--R316&lt;55,"Battery Defect",
--R316&lt;=69,"Battery D",
--R316&lt;=80,"Battery C",
--R316&gt;80,""
),"")</f>
        <v/>
      </c>
      <c r="U316" s="51" t="str" cm="1">
        <f t="array" ref="U316">IFERROR(_xlfn.IFS(
S316="","",
--S316&lt;55,"Battery Defect",
--S316&lt;=69,"Battery D",
--S316&lt;=80,"Battery C",
--S316&gt;80,""
),"")</f>
        <v/>
      </c>
      <c r="V316" s="51"/>
      <c r="W316" s="51"/>
      <c r="X316" s="51"/>
      <c r="Y316" s="51"/>
      <c r="Z316" s="51"/>
      <c r="AA316" s="51"/>
      <c r="AB316" s="51"/>
      <c r="AC316" s="51"/>
      <c r="AD316" s="32" t="str">
        <f t="shared" si="12"/>
        <v/>
      </c>
      <c r="AE316" s="32"/>
      <c r="AF316" s="32"/>
      <c r="AG316" s="32"/>
      <c r="AH316" s="32"/>
      <c r="AI316" s="32"/>
      <c r="AJ316" s="32"/>
      <c r="AK316" s="32"/>
      <c r="AL316" s="32"/>
    </row>
    <row r="317" spans="1:38">
      <c r="A317" s="32" t="str">
        <f>_xlfn.TEXTJOIN("",TRUE,_xlfn.XLOOKUP(B317,Input!J:J,Input!G:G,"",0,1),_xlfn.XLOOKUP(B317,Input!J:J,Input!H:H,"",0,1))</f>
        <v/>
      </c>
      <c r="B317" s="32"/>
      <c r="C317" s="51">
        <f>_xlfn.XLOOKUP(B317,Input!J:J,Input!F:F)</f>
        <v>0</v>
      </c>
      <c r="D317" s="32">
        <f>_xlfn.XLOOKUP(C317,Models!H:H,Models!G:G,C317)</f>
        <v>0</v>
      </c>
      <c r="E317" s="32">
        <f>_xlfn.XLOOKUP(B317,Input!J:J,Input!E:E)</f>
        <v>0</v>
      </c>
      <c r="F317" s="32">
        <f>IF(E317="LENOVO",_xlfn.XLOOKUP(B317,Input!J:J,Input!K:K),_xlfn.XLOOKUP(B317,Input!J:J,Input!L:L))</f>
        <v>0</v>
      </c>
      <c r="G317" s="32"/>
      <c r="H317" s="32"/>
      <c r="I317" s="32"/>
      <c r="J317" s="51" t="e">
        <f>INDEX(Input!$D$2:$AC$500,
       MATCH(B317, Input!$J$2:$J$500, 0),
       MATCH("Total Memory", Input!$D$1:$AC$1, 0))</f>
        <v>#N/A</v>
      </c>
      <c r="K317" s="51"/>
      <c r="L317" s="51" t="str" cm="1">
        <f t="array" ref="L317">IFERROR(_xlfn.FILTERXML("&lt;t&gt;&lt;s&gt;" &amp; SUBSTITUTE(K317," / ","&lt;/s&gt;&lt;s&gt;") &amp; "&lt;/s&gt;&lt;/t&gt;","(//s[contains(.,'DDR')])[1]"),"")</f>
        <v/>
      </c>
      <c r="M317" s="32" t="e">
        <f t="shared" si="14"/>
        <v>#N/A</v>
      </c>
      <c r="N317" s="51" t="e">
        <f>INDEX(Input!$D$2:$AC$500,
       MATCH(B317, Input!$J$2:$J$500, 0),
       MATCH("Disk Interface Type", Input!$D$1:$AC$1, 0))</f>
        <v>#N/A</v>
      </c>
      <c r="O317" s="51" t="str" cm="1">
        <f t="array" ref="O317">IFERROR(_xlfn.TEXTJOIN(", ", TRUE, _xlfn._xlws.FILTER(
    INDEX(Input!$D$2:$AC$500,,MATCH("Disk Capacity",Input!$D$1:$AC$1,0)),
    Input!$J$2:$J$500=B317
)), "")</f>
        <v/>
      </c>
      <c r="P317" s="32" t="e">
        <f t="shared" si="13"/>
        <v>#N/A</v>
      </c>
      <c r="Q317" s="51" t="e">
        <f>_xlfn.LET(_xlpm.Result,INDEX(Input!$D$2:$AC$500,
       MATCH(B317, Input!$J$2:$J$500, 0),
       MATCH("Capacity", Input!$D$1:$AC$1, 0)),IF(_xlpm.Result="","",_xlpm.Result))</f>
        <v>#N/A</v>
      </c>
      <c r="R317" s="51" t="e" cm="1">
        <f t="array" ref="R317">_xlfn.TEXTSPLIT(Q317," / ", ,TRUE,0,)</f>
        <v>#N/A</v>
      </c>
      <c r="S317" s="51"/>
      <c r="T317" s="51" t="str" cm="1">
        <f t="array" ref="T317">IFERROR(_xlfn.IFS(
R317="","",
--R317&lt;55,"Battery Defect",
--R317&lt;=69,"Battery D",
--R317&lt;=80,"Battery C",
--R317&gt;80,""
),"")</f>
        <v/>
      </c>
      <c r="U317" s="51" t="str" cm="1">
        <f t="array" ref="U317">IFERROR(_xlfn.IFS(
S317="","",
--S317&lt;55,"Battery Defect",
--S317&lt;=69,"Battery D",
--S317&lt;=80,"Battery C",
--S317&gt;80,""
),"")</f>
        <v/>
      </c>
      <c r="V317" s="51"/>
      <c r="W317" s="51"/>
      <c r="X317" s="51"/>
      <c r="Y317" s="51"/>
      <c r="Z317" s="51"/>
      <c r="AA317" s="51"/>
      <c r="AB317" s="51"/>
      <c r="AC317" s="51"/>
      <c r="AD317" s="32" t="str">
        <f t="shared" si="12"/>
        <v/>
      </c>
      <c r="AE317" s="32"/>
      <c r="AF317" s="32"/>
      <c r="AG317" s="32"/>
      <c r="AH317" s="32"/>
      <c r="AI317" s="32"/>
      <c r="AJ317" s="32"/>
      <c r="AK317" s="32"/>
      <c r="AL317" s="32"/>
    </row>
    <row r="318" spans="1:38">
      <c r="A318" s="32" t="str">
        <f>_xlfn.TEXTJOIN("",TRUE,_xlfn.XLOOKUP(B318,Input!J:J,Input!G:G,"",0,1),_xlfn.XLOOKUP(B318,Input!J:J,Input!H:H,"",0,1))</f>
        <v/>
      </c>
      <c r="B318" s="32"/>
      <c r="C318" s="51">
        <f>_xlfn.XLOOKUP(B318,Input!J:J,Input!F:F)</f>
        <v>0</v>
      </c>
      <c r="D318" s="32">
        <f>_xlfn.XLOOKUP(C318,Models!H:H,Models!G:G,C318)</f>
        <v>0</v>
      </c>
      <c r="E318" s="32">
        <f>_xlfn.XLOOKUP(B318,Input!J:J,Input!E:E)</f>
        <v>0</v>
      </c>
      <c r="F318" s="32">
        <f>IF(E318="LENOVO",_xlfn.XLOOKUP(B318,Input!J:J,Input!K:K),_xlfn.XLOOKUP(B318,Input!J:J,Input!L:L))</f>
        <v>0</v>
      </c>
      <c r="G318" s="32"/>
      <c r="H318" s="32"/>
      <c r="I318" s="32"/>
      <c r="J318" s="51" t="e">
        <f>INDEX(Input!$D$2:$AC$500,
       MATCH(B318, Input!$J$2:$J$500, 0),
       MATCH("Total Memory", Input!$D$1:$AC$1, 0))</f>
        <v>#N/A</v>
      </c>
      <c r="K318" s="51"/>
      <c r="L318" s="51" t="str" cm="1">
        <f t="array" ref="L318">IFERROR(_xlfn.FILTERXML("&lt;t&gt;&lt;s&gt;" &amp; SUBSTITUTE(K318," / ","&lt;/s&gt;&lt;s&gt;") &amp; "&lt;/s&gt;&lt;/t&gt;","(//s[contains(.,'DDR')])[1]"),"")</f>
        <v/>
      </c>
      <c r="M318" s="32" t="e">
        <f t="shared" si="14"/>
        <v>#N/A</v>
      </c>
      <c r="N318" s="51" t="e">
        <f>INDEX(Input!$D$2:$AC$500,
       MATCH(B318, Input!$J$2:$J$500, 0),
       MATCH("Disk Interface Type", Input!$D$1:$AC$1, 0))</f>
        <v>#N/A</v>
      </c>
      <c r="O318" s="51" t="str" cm="1">
        <f t="array" ref="O318">IFERROR(_xlfn.TEXTJOIN(", ", TRUE, _xlfn._xlws.FILTER(
    INDEX(Input!$D$2:$AC$500,,MATCH("Disk Capacity",Input!$D$1:$AC$1,0)),
    Input!$J$2:$J$500=B318
)), "")</f>
        <v/>
      </c>
      <c r="P318" s="32" t="e">
        <f t="shared" si="13"/>
        <v>#N/A</v>
      </c>
      <c r="Q318" s="51" t="e">
        <f>_xlfn.LET(_xlpm.Result,INDEX(Input!$D$2:$AC$500,
       MATCH(B318, Input!$J$2:$J$500, 0),
       MATCH("Capacity", Input!$D$1:$AC$1, 0)),IF(_xlpm.Result="","",_xlpm.Result))</f>
        <v>#N/A</v>
      </c>
      <c r="R318" s="51" t="e" cm="1">
        <f t="array" ref="R318">_xlfn.TEXTSPLIT(Q318," / ", ,TRUE,0,)</f>
        <v>#N/A</v>
      </c>
      <c r="S318" s="51"/>
      <c r="T318" s="51" t="str" cm="1">
        <f t="array" ref="T318">IFERROR(_xlfn.IFS(
R318="","",
--R318&lt;55,"Battery Defect",
--R318&lt;=69,"Battery D",
--R318&lt;=80,"Battery C",
--R318&gt;80,""
),"")</f>
        <v/>
      </c>
      <c r="U318" s="51" t="str" cm="1">
        <f t="array" ref="U318">IFERROR(_xlfn.IFS(
S318="","",
--S318&lt;55,"Battery Defect",
--S318&lt;=69,"Battery D",
--S318&lt;=80,"Battery C",
--S318&gt;80,""
),"")</f>
        <v/>
      </c>
      <c r="V318" s="51"/>
      <c r="W318" s="51"/>
      <c r="X318" s="51"/>
      <c r="Y318" s="51"/>
      <c r="Z318" s="51"/>
      <c r="AA318" s="51"/>
      <c r="AB318" s="51"/>
      <c r="AC318" s="51"/>
      <c r="AD318" s="32" t="str">
        <f t="shared" si="12"/>
        <v/>
      </c>
      <c r="AE318" s="32"/>
      <c r="AF318" s="32"/>
      <c r="AG318" s="32"/>
      <c r="AH318" s="32"/>
      <c r="AI318" s="32"/>
      <c r="AJ318" s="32"/>
      <c r="AK318" s="32"/>
      <c r="AL318" s="32"/>
    </row>
    <row r="319" spans="1:38">
      <c r="A319" s="32" t="str">
        <f>_xlfn.TEXTJOIN("",TRUE,_xlfn.XLOOKUP(B319,Input!J:J,Input!G:G,"",0,1),_xlfn.XLOOKUP(B319,Input!J:J,Input!H:H,"",0,1))</f>
        <v/>
      </c>
      <c r="B319" s="32"/>
      <c r="C319" s="51">
        <f>_xlfn.XLOOKUP(B319,Input!J:J,Input!F:F)</f>
        <v>0</v>
      </c>
      <c r="D319" s="32">
        <f>_xlfn.XLOOKUP(C319,Models!H:H,Models!G:G,C319)</f>
        <v>0</v>
      </c>
      <c r="E319" s="32">
        <f>_xlfn.XLOOKUP(B319,Input!J:J,Input!E:E)</f>
        <v>0</v>
      </c>
      <c r="F319" s="32">
        <f>IF(E319="LENOVO",_xlfn.XLOOKUP(B319,Input!J:J,Input!K:K),_xlfn.XLOOKUP(B319,Input!J:J,Input!L:L))</f>
        <v>0</v>
      </c>
      <c r="G319" s="32"/>
      <c r="H319" s="32"/>
      <c r="I319" s="32"/>
      <c r="J319" s="51" t="e">
        <f>INDEX(Input!$D$2:$AC$500,
       MATCH(B319, Input!$J$2:$J$500, 0),
       MATCH("Total Memory", Input!$D$1:$AC$1, 0))</f>
        <v>#N/A</v>
      </c>
      <c r="K319" s="51"/>
      <c r="L319" s="51" t="str" cm="1">
        <f t="array" ref="L319">IFERROR(_xlfn.FILTERXML("&lt;t&gt;&lt;s&gt;" &amp; SUBSTITUTE(K319," / ","&lt;/s&gt;&lt;s&gt;") &amp; "&lt;/s&gt;&lt;/t&gt;","(//s[contains(.,'DDR')])[1]"),"")</f>
        <v/>
      </c>
      <c r="M319" s="32" t="e">
        <f t="shared" si="14"/>
        <v>#N/A</v>
      </c>
      <c r="N319" s="51" t="e">
        <f>INDEX(Input!$D$2:$AC$500,
       MATCH(B319, Input!$J$2:$J$500, 0),
       MATCH("Disk Interface Type", Input!$D$1:$AC$1, 0))</f>
        <v>#N/A</v>
      </c>
      <c r="O319" s="51" t="str" cm="1">
        <f t="array" ref="O319">IFERROR(_xlfn.TEXTJOIN(", ", TRUE, _xlfn._xlws.FILTER(
    INDEX(Input!$D$2:$AC$500,,MATCH("Disk Capacity",Input!$D$1:$AC$1,0)),
    Input!$J$2:$J$500=B319
)), "")</f>
        <v/>
      </c>
      <c r="P319" s="32" t="e">
        <f t="shared" si="13"/>
        <v>#N/A</v>
      </c>
      <c r="Q319" s="51" t="e">
        <f>_xlfn.LET(_xlpm.Result,INDEX(Input!$D$2:$AC$500,
       MATCH(B319, Input!$J$2:$J$500, 0),
       MATCH("Capacity", Input!$D$1:$AC$1, 0)),IF(_xlpm.Result="","",_xlpm.Result))</f>
        <v>#N/A</v>
      </c>
      <c r="R319" s="51" t="e" cm="1">
        <f t="array" ref="R319">_xlfn.TEXTSPLIT(Q319," / ", ,TRUE,0,)</f>
        <v>#N/A</v>
      </c>
      <c r="S319" s="51"/>
      <c r="T319" s="51" t="str" cm="1">
        <f t="array" ref="T319">IFERROR(_xlfn.IFS(
R319="","",
--R319&lt;55,"Battery Defect",
--R319&lt;=69,"Battery D",
--R319&lt;=80,"Battery C",
--R319&gt;80,""
),"")</f>
        <v/>
      </c>
      <c r="U319" s="51" t="str" cm="1">
        <f t="array" ref="U319">IFERROR(_xlfn.IFS(
S319="","",
--S319&lt;55,"Battery Defect",
--S319&lt;=69,"Battery D",
--S319&lt;=80,"Battery C",
--S319&gt;80,""
),"")</f>
        <v/>
      </c>
      <c r="V319" s="51"/>
      <c r="W319" s="51"/>
      <c r="X319" s="51"/>
      <c r="Y319" s="51"/>
      <c r="Z319" s="51"/>
      <c r="AA319" s="51"/>
      <c r="AB319" s="51"/>
      <c r="AC319" s="51"/>
      <c r="AD319" s="32" t="str">
        <f t="shared" si="12"/>
        <v/>
      </c>
      <c r="AE319" s="32"/>
      <c r="AF319" s="32"/>
      <c r="AG319" s="32"/>
      <c r="AH319" s="32"/>
      <c r="AI319" s="32"/>
      <c r="AJ319" s="32"/>
      <c r="AK319" s="32"/>
      <c r="AL319" s="32"/>
    </row>
    <row r="320" spans="1:38">
      <c r="A320" s="32" t="str">
        <f>_xlfn.TEXTJOIN("",TRUE,_xlfn.XLOOKUP(B320,Input!J:J,Input!G:G,"",0,1),_xlfn.XLOOKUP(B320,Input!J:J,Input!H:H,"",0,1))</f>
        <v/>
      </c>
      <c r="B320" s="32"/>
      <c r="C320" s="51">
        <f>_xlfn.XLOOKUP(B320,Input!J:J,Input!F:F)</f>
        <v>0</v>
      </c>
      <c r="D320" s="32">
        <f>_xlfn.XLOOKUP(C320,Models!H:H,Models!G:G,C320)</f>
        <v>0</v>
      </c>
      <c r="E320" s="32">
        <f>_xlfn.XLOOKUP(B320,Input!J:J,Input!E:E)</f>
        <v>0</v>
      </c>
      <c r="F320" s="32">
        <f>IF(E320="LENOVO",_xlfn.XLOOKUP(B320,Input!J:J,Input!K:K),_xlfn.XLOOKUP(B320,Input!J:J,Input!L:L))</f>
        <v>0</v>
      </c>
      <c r="G320" s="32"/>
      <c r="H320" s="32"/>
      <c r="I320" s="32"/>
      <c r="J320" s="51" t="e">
        <f>INDEX(Input!$D$2:$AC$500,
       MATCH(B320, Input!$J$2:$J$500, 0),
       MATCH("Total Memory", Input!$D$1:$AC$1, 0))</f>
        <v>#N/A</v>
      </c>
      <c r="K320" s="51"/>
      <c r="L320" s="51" t="str" cm="1">
        <f t="array" ref="L320">IFERROR(_xlfn.FILTERXML("&lt;t&gt;&lt;s&gt;" &amp; SUBSTITUTE(K320," / ","&lt;/s&gt;&lt;s&gt;") &amp; "&lt;/s&gt;&lt;/t&gt;","(//s[contains(.,'DDR')])[1]"),"")</f>
        <v/>
      </c>
      <c r="M320" s="32" t="e">
        <f t="shared" si="14"/>
        <v>#N/A</v>
      </c>
      <c r="N320" s="51" t="e">
        <f>INDEX(Input!$D$2:$AC$500,
       MATCH(B320, Input!$J$2:$J$500, 0),
       MATCH("Disk Interface Type", Input!$D$1:$AC$1, 0))</f>
        <v>#N/A</v>
      </c>
      <c r="O320" s="51" t="str" cm="1">
        <f t="array" ref="O320">IFERROR(_xlfn.TEXTJOIN(", ", TRUE, _xlfn._xlws.FILTER(
    INDEX(Input!$D$2:$AC$500,,MATCH("Disk Capacity",Input!$D$1:$AC$1,0)),
    Input!$J$2:$J$500=B320
)), "")</f>
        <v/>
      </c>
      <c r="P320" s="32" t="e">
        <f t="shared" si="13"/>
        <v>#N/A</v>
      </c>
      <c r="Q320" s="51" t="e">
        <f>_xlfn.LET(_xlpm.Result,INDEX(Input!$D$2:$AC$500,
       MATCH(B320, Input!$J$2:$J$500, 0),
       MATCH("Capacity", Input!$D$1:$AC$1, 0)),IF(_xlpm.Result="","",_xlpm.Result))</f>
        <v>#N/A</v>
      </c>
      <c r="R320" s="51" t="e" cm="1">
        <f t="array" ref="R320">_xlfn.TEXTSPLIT(Q320," / ", ,TRUE,0,)</f>
        <v>#N/A</v>
      </c>
      <c r="S320" s="51"/>
      <c r="T320" s="51" t="str" cm="1">
        <f t="array" ref="T320">IFERROR(_xlfn.IFS(
R320="","",
--R320&lt;55,"Battery Defect",
--R320&lt;=69,"Battery D",
--R320&lt;=80,"Battery C",
--R320&gt;80,""
),"")</f>
        <v/>
      </c>
      <c r="U320" s="51" t="str" cm="1">
        <f t="array" ref="U320">IFERROR(_xlfn.IFS(
S320="","",
--S320&lt;55,"Battery Defect",
--S320&lt;=69,"Battery D",
--S320&lt;=80,"Battery C",
--S320&gt;80,""
),"")</f>
        <v/>
      </c>
      <c r="V320" s="51"/>
      <c r="W320" s="51"/>
      <c r="X320" s="51"/>
      <c r="Y320" s="51"/>
      <c r="Z320" s="51"/>
      <c r="AA320" s="51"/>
      <c r="AB320" s="51"/>
      <c r="AC320" s="51"/>
      <c r="AD320" s="32" t="str">
        <f t="shared" si="12"/>
        <v/>
      </c>
      <c r="AE320" s="32"/>
      <c r="AF320" s="32"/>
      <c r="AG320" s="32"/>
      <c r="AH320" s="32"/>
      <c r="AI320" s="32"/>
      <c r="AJ320" s="32"/>
      <c r="AK320" s="32"/>
      <c r="AL320" s="32"/>
    </row>
    <row r="321" spans="1:38">
      <c r="A321" s="32" t="str">
        <f>_xlfn.TEXTJOIN("",TRUE,_xlfn.XLOOKUP(B321,Input!J:J,Input!G:G,"",0,1),_xlfn.XLOOKUP(B321,Input!J:J,Input!H:H,"",0,1))</f>
        <v/>
      </c>
      <c r="B321" s="32"/>
      <c r="C321" s="51">
        <f>_xlfn.XLOOKUP(B321,Input!J:J,Input!F:F)</f>
        <v>0</v>
      </c>
      <c r="D321" s="32">
        <f>_xlfn.XLOOKUP(C321,Models!H:H,Models!G:G,C321)</f>
        <v>0</v>
      </c>
      <c r="E321" s="32">
        <f>_xlfn.XLOOKUP(B321,Input!J:J,Input!E:E)</f>
        <v>0</v>
      </c>
      <c r="F321" s="32">
        <f>IF(E321="LENOVO",_xlfn.XLOOKUP(B321,Input!J:J,Input!K:K),_xlfn.XLOOKUP(B321,Input!J:J,Input!L:L))</f>
        <v>0</v>
      </c>
      <c r="G321" s="32"/>
      <c r="H321" s="32"/>
      <c r="I321" s="32"/>
      <c r="J321" s="51" t="e">
        <f>INDEX(Input!$D$2:$AC$500,
       MATCH(B321, Input!$J$2:$J$500, 0),
       MATCH("Total Memory", Input!$D$1:$AC$1, 0))</f>
        <v>#N/A</v>
      </c>
      <c r="K321" s="51"/>
      <c r="L321" s="51" t="str" cm="1">
        <f t="array" ref="L321">IFERROR(_xlfn.FILTERXML("&lt;t&gt;&lt;s&gt;" &amp; SUBSTITUTE(K321," / ","&lt;/s&gt;&lt;s&gt;") &amp; "&lt;/s&gt;&lt;/t&gt;","(//s[contains(.,'DDR')])[1]"),"")</f>
        <v/>
      </c>
      <c r="M321" s="32" t="e">
        <f t="shared" si="14"/>
        <v>#N/A</v>
      </c>
      <c r="N321" s="51" t="e">
        <f>INDEX(Input!$D$2:$AC$500,
       MATCH(B321, Input!$J$2:$J$500, 0),
       MATCH("Disk Interface Type", Input!$D$1:$AC$1, 0))</f>
        <v>#N/A</v>
      </c>
      <c r="O321" s="51" t="str" cm="1">
        <f t="array" ref="O321">IFERROR(_xlfn.TEXTJOIN(", ", TRUE, _xlfn._xlws.FILTER(
    INDEX(Input!$D$2:$AC$500,,MATCH("Disk Capacity",Input!$D$1:$AC$1,0)),
    Input!$J$2:$J$500=B321
)), "")</f>
        <v/>
      </c>
      <c r="P321" s="32" t="e">
        <f t="shared" si="13"/>
        <v>#N/A</v>
      </c>
      <c r="Q321" s="51" t="e">
        <f>_xlfn.LET(_xlpm.Result,INDEX(Input!$D$2:$AC$500,
       MATCH(B321, Input!$J$2:$J$500, 0),
       MATCH("Capacity", Input!$D$1:$AC$1, 0)),IF(_xlpm.Result="","",_xlpm.Result))</f>
        <v>#N/A</v>
      </c>
      <c r="R321" s="51" t="e" cm="1">
        <f t="array" ref="R321">_xlfn.TEXTSPLIT(Q321," / ", ,TRUE,0,)</f>
        <v>#N/A</v>
      </c>
      <c r="S321" s="51"/>
      <c r="T321" s="51" t="str" cm="1">
        <f t="array" ref="T321">IFERROR(_xlfn.IFS(
R321="","",
--R321&lt;55,"Battery Defect",
--R321&lt;=69,"Battery D",
--R321&lt;=80,"Battery C",
--R321&gt;80,""
),"")</f>
        <v/>
      </c>
      <c r="U321" s="51" t="str" cm="1">
        <f t="array" ref="U321">IFERROR(_xlfn.IFS(
S321="","",
--S321&lt;55,"Battery Defect",
--S321&lt;=69,"Battery D",
--S321&lt;=80,"Battery C",
--S321&gt;80,""
),"")</f>
        <v/>
      </c>
      <c r="V321" s="51"/>
      <c r="W321" s="51"/>
      <c r="X321" s="51"/>
      <c r="Y321" s="51"/>
      <c r="Z321" s="51"/>
      <c r="AA321" s="51"/>
      <c r="AB321" s="51"/>
      <c r="AC321" s="51"/>
      <c r="AD321" s="32" t="str">
        <f t="shared" si="12"/>
        <v/>
      </c>
      <c r="AE321" s="32"/>
      <c r="AF321" s="32"/>
      <c r="AG321" s="32"/>
      <c r="AH321" s="32"/>
      <c r="AI321" s="32"/>
      <c r="AJ321" s="32"/>
      <c r="AK321" s="32"/>
      <c r="AL321" s="32"/>
    </row>
    <row r="322" spans="1:38">
      <c r="A322" s="32" t="str">
        <f>_xlfn.TEXTJOIN("",TRUE,_xlfn.XLOOKUP(B322,Input!J:J,Input!G:G,"",0,1),_xlfn.XLOOKUP(B322,Input!J:J,Input!H:H,"",0,1))</f>
        <v/>
      </c>
      <c r="B322" s="32"/>
      <c r="C322" s="51">
        <f>_xlfn.XLOOKUP(B322,Input!J:J,Input!F:F)</f>
        <v>0</v>
      </c>
      <c r="D322" s="32">
        <f>_xlfn.XLOOKUP(C322,Models!H:H,Models!G:G,C322)</f>
        <v>0</v>
      </c>
      <c r="E322" s="32">
        <f>_xlfn.XLOOKUP(B322,Input!J:J,Input!E:E)</f>
        <v>0</v>
      </c>
      <c r="F322" s="32">
        <f>IF(E322="LENOVO",_xlfn.XLOOKUP(B322,Input!J:J,Input!K:K),_xlfn.XLOOKUP(B322,Input!J:J,Input!L:L))</f>
        <v>0</v>
      </c>
      <c r="G322" s="32"/>
      <c r="H322" s="32"/>
      <c r="I322" s="32"/>
      <c r="J322" s="51" t="e">
        <f>INDEX(Input!$D$2:$AC$500,
       MATCH(B322, Input!$J$2:$J$500, 0),
       MATCH("Total Memory", Input!$D$1:$AC$1, 0))</f>
        <v>#N/A</v>
      </c>
      <c r="K322" s="51"/>
      <c r="L322" s="51" t="str" cm="1">
        <f t="array" ref="L322">IFERROR(_xlfn.FILTERXML("&lt;t&gt;&lt;s&gt;" &amp; SUBSTITUTE(K322," / ","&lt;/s&gt;&lt;s&gt;") &amp; "&lt;/s&gt;&lt;/t&gt;","(//s[contains(.,'DDR')])[1]"),"")</f>
        <v/>
      </c>
      <c r="M322" s="32" t="e">
        <f t="shared" si="14"/>
        <v>#N/A</v>
      </c>
      <c r="N322" s="51" t="e">
        <f>INDEX(Input!$D$2:$AC$500,
       MATCH(B322, Input!$J$2:$J$500, 0),
       MATCH("Disk Interface Type", Input!$D$1:$AC$1, 0))</f>
        <v>#N/A</v>
      </c>
      <c r="O322" s="51" t="str" cm="1">
        <f t="array" ref="O322">IFERROR(_xlfn.TEXTJOIN(", ", TRUE, _xlfn._xlws.FILTER(
    INDEX(Input!$D$2:$AC$500,,MATCH("Disk Capacity",Input!$D$1:$AC$1,0)),
    Input!$J$2:$J$500=B322
)), "")</f>
        <v/>
      </c>
      <c r="P322" s="32" t="e">
        <f t="shared" si="13"/>
        <v>#N/A</v>
      </c>
      <c r="Q322" s="51" t="e">
        <f>_xlfn.LET(_xlpm.Result,INDEX(Input!$D$2:$AC$500,
       MATCH(B322, Input!$J$2:$J$500, 0),
       MATCH("Capacity", Input!$D$1:$AC$1, 0)),IF(_xlpm.Result="","",_xlpm.Result))</f>
        <v>#N/A</v>
      </c>
      <c r="R322" s="51" t="e" cm="1">
        <f t="array" ref="R322">_xlfn.TEXTSPLIT(Q322," / ", ,TRUE,0,)</f>
        <v>#N/A</v>
      </c>
      <c r="S322" s="51"/>
      <c r="T322" s="51" t="str" cm="1">
        <f t="array" ref="T322">IFERROR(_xlfn.IFS(
R322="","",
--R322&lt;55,"Battery Defect",
--R322&lt;=69,"Battery D",
--R322&lt;=80,"Battery C",
--R322&gt;80,""
),"")</f>
        <v/>
      </c>
      <c r="U322" s="51" t="str" cm="1">
        <f t="array" ref="U322">IFERROR(_xlfn.IFS(
S322="","",
--S322&lt;55,"Battery Defect",
--S322&lt;=69,"Battery D",
--S322&lt;=80,"Battery C",
--S322&gt;80,""
),"")</f>
        <v/>
      </c>
      <c r="V322" s="51"/>
      <c r="W322" s="51"/>
      <c r="X322" s="51"/>
      <c r="Y322" s="51"/>
      <c r="Z322" s="51"/>
      <c r="AA322" s="51"/>
      <c r="AB322" s="51"/>
      <c r="AC322" s="51"/>
      <c r="AD322" s="32" t="str">
        <f t="shared" ref="AD322:AD385" si="15">IF(D322="Laptop",_xlfn.TEXTJOIN(", ",TRUE,T322,U322,V322,W322,X322,Y322,Z322,AA322), _xlfn.TEXTJOIN(", ",TRUE,V322,W322,X322,Y322,Z322,AA322))</f>
        <v/>
      </c>
      <c r="AE322" s="32"/>
      <c r="AF322" s="32"/>
      <c r="AG322" s="32"/>
      <c r="AH322" s="32"/>
      <c r="AI322" s="32"/>
      <c r="AJ322" s="32"/>
      <c r="AK322" s="32"/>
      <c r="AL322" s="32"/>
    </row>
    <row r="323" spans="1:38">
      <c r="A323" s="32" t="str">
        <f>_xlfn.TEXTJOIN("",TRUE,_xlfn.XLOOKUP(B323,Input!J:J,Input!G:G,"",0,1),_xlfn.XLOOKUP(B323,Input!J:J,Input!H:H,"",0,1))</f>
        <v/>
      </c>
      <c r="B323" s="32"/>
      <c r="C323" s="51">
        <f>_xlfn.XLOOKUP(B323,Input!J:J,Input!F:F)</f>
        <v>0</v>
      </c>
      <c r="D323" s="32">
        <f>_xlfn.XLOOKUP(C323,Models!H:H,Models!G:G,C323)</f>
        <v>0</v>
      </c>
      <c r="E323" s="32">
        <f>_xlfn.XLOOKUP(B323,Input!J:J,Input!E:E)</f>
        <v>0</v>
      </c>
      <c r="F323" s="32">
        <f>IF(E323="LENOVO",_xlfn.XLOOKUP(B323,Input!J:J,Input!K:K),_xlfn.XLOOKUP(B323,Input!J:J,Input!L:L))</f>
        <v>0</v>
      </c>
      <c r="G323" s="32"/>
      <c r="H323" s="32"/>
      <c r="I323" s="32"/>
      <c r="J323" s="51" t="e">
        <f>INDEX(Input!$D$2:$AC$500,
       MATCH(B323, Input!$J$2:$J$500, 0),
       MATCH("Total Memory", Input!$D$1:$AC$1, 0))</f>
        <v>#N/A</v>
      </c>
      <c r="K323" s="51"/>
      <c r="L323" s="51" t="str" cm="1">
        <f t="array" ref="L323">IFERROR(_xlfn.FILTERXML("&lt;t&gt;&lt;s&gt;" &amp; SUBSTITUTE(K323," / ","&lt;/s&gt;&lt;s&gt;") &amp; "&lt;/s&gt;&lt;/t&gt;","(//s[contains(.,'DDR')])[1]"),"")</f>
        <v/>
      </c>
      <c r="M323" s="32" t="e">
        <f t="shared" si="14"/>
        <v>#N/A</v>
      </c>
      <c r="N323" s="51" t="e">
        <f>INDEX(Input!$D$2:$AC$500,
       MATCH(B323, Input!$J$2:$J$500, 0),
       MATCH("Disk Interface Type", Input!$D$1:$AC$1, 0))</f>
        <v>#N/A</v>
      </c>
      <c r="O323" s="51" t="str" cm="1">
        <f t="array" ref="O323">IFERROR(_xlfn.TEXTJOIN(", ", TRUE, _xlfn._xlws.FILTER(
    INDEX(Input!$D$2:$AC$500,,MATCH("Disk Capacity",Input!$D$1:$AC$1,0)),
    Input!$J$2:$J$500=B323
)), "")</f>
        <v/>
      </c>
      <c r="P323" s="32" t="e">
        <f t="shared" ref="P323:P386" si="16">_xlfn.TEXTJOIN(" ",TRUE,O323,N323)</f>
        <v>#N/A</v>
      </c>
      <c r="Q323" s="51" t="e">
        <f>_xlfn.LET(_xlpm.Result,INDEX(Input!$D$2:$AC$500,
       MATCH(B323, Input!$J$2:$J$500, 0),
       MATCH("Capacity", Input!$D$1:$AC$1, 0)),IF(_xlpm.Result="","",_xlpm.Result))</f>
        <v>#N/A</v>
      </c>
      <c r="R323" s="51" t="e" cm="1">
        <f t="array" ref="R323">_xlfn.TEXTSPLIT(Q323," / ", ,TRUE,0,)</f>
        <v>#N/A</v>
      </c>
      <c r="S323" s="51"/>
      <c r="T323" s="51" t="str" cm="1">
        <f t="array" ref="T323">IFERROR(_xlfn.IFS(
R323="","",
--R323&lt;55,"Battery Defect",
--R323&lt;=69,"Battery D",
--R323&lt;=80,"Battery C",
--R323&gt;80,""
),"")</f>
        <v/>
      </c>
      <c r="U323" s="51" t="str" cm="1">
        <f t="array" ref="U323">IFERROR(_xlfn.IFS(
S323="","",
--S323&lt;55,"Battery Defect",
--S323&lt;=69,"Battery D",
--S323&lt;=80,"Battery C",
--S323&gt;80,""
),"")</f>
        <v/>
      </c>
      <c r="V323" s="51"/>
      <c r="W323" s="51"/>
      <c r="X323" s="51"/>
      <c r="Y323" s="51"/>
      <c r="Z323" s="51"/>
      <c r="AA323" s="51"/>
      <c r="AB323" s="51"/>
      <c r="AC323" s="51"/>
      <c r="AD323" s="32" t="str">
        <f t="shared" si="15"/>
        <v/>
      </c>
      <c r="AE323" s="32"/>
      <c r="AF323" s="32"/>
      <c r="AG323" s="32"/>
      <c r="AH323" s="32"/>
      <c r="AI323" s="32"/>
      <c r="AJ323" s="32"/>
      <c r="AK323" s="32"/>
      <c r="AL323" s="32"/>
    </row>
    <row r="324" spans="1:38">
      <c r="A324" s="32" t="str">
        <f>_xlfn.TEXTJOIN("",TRUE,_xlfn.XLOOKUP(B324,Input!J:J,Input!G:G,"",0,1),_xlfn.XLOOKUP(B324,Input!J:J,Input!H:H,"",0,1))</f>
        <v/>
      </c>
      <c r="B324" s="32"/>
      <c r="C324" s="51">
        <f>_xlfn.XLOOKUP(B324,Input!J:J,Input!F:F)</f>
        <v>0</v>
      </c>
      <c r="D324" s="32">
        <f>_xlfn.XLOOKUP(C324,Models!H:H,Models!G:G,C324)</f>
        <v>0</v>
      </c>
      <c r="E324" s="32">
        <f>_xlfn.XLOOKUP(B324,Input!J:J,Input!E:E)</f>
        <v>0</v>
      </c>
      <c r="F324" s="32">
        <f>IF(E324="LENOVO",_xlfn.XLOOKUP(B324,Input!J:J,Input!K:K),_xlfn.XLOOKUP(B324,Input!J:J,Input!L:L))</f>
        <v>0</v>
      </c>
      <c r="G324" s="32"/>
      <c r="H324" s="32"/>
      <c r="I324" s="32"/>
      <c r="J324" s="51" t="e">
        <f>INDEX(Input!$D$2:$AC$500,
       MATCH(B324, Input!$J$2:$J$500, 0),
       MATCH("Total Memory", Input!$D$1:$AC$1, 0))</f>
        <v>#N/A</v>
      </c>
      <c r="K324" s="51"/>
      <c r="L324" s="51" t="str" cm="1">
        <f t="array" ref="L324">IFERROR(_xlfn.FILTERXML("&lt;t&gt;&lt;s&gt;" &amp; SUBSTITUTE(K324," / ","&lt;/s&gt;&lt;s&gt;") &amp; "&lt;/s&gt;&lt;/t&gt;","(//s[contains(.,'DDR')])[1]"),"")</f>
        <v/>
      </c>
      <c r="M324" s="32" t="e">
        <f t="shared" ref="M324:M387" si="17">_xlfn.TEXTJOIN(" ",TRUE,SUBSTITUTE(J324,"i",""),L324)</f>
        <v>#N/A</v>
      </c>
      <c r="N324" s="51" t="e">
        <f>INDEX(Input!$D$2:$AC$500,
       MATCH(B324, Input!$J$2:$J$500, 0),
       MATCH("Disk Interface Type", Input!$D$1:$AC$1, 0))</f>
        <v>#N/A</v>
      </c>
      <c r="O324" s="51" t="str" cm="1">
        <f t="array" ref="O324">IFERROR(_xlfn.TEXTJOIN(", ", TRUE, _xlfn._xlws.FILTER(
    INDEX(Input!$D$2:$AC$500,,MATCH("Disk Capacity",Input!$D$1:$AC$1,0)),
    Input!$J$2:$J$500=B324
)), "")</f>
        <v/>
      </c>
      <c r="P324" s="32" t="e">
        <f t="shared" si="16"/>
        <v>#N/A</v>
      </c>
      <c r="Q324" s="51" t="e">
        <f>_xlfn.LET(_xlpm.Result,INDEX(Input!$D$2:$AC$500,
       MATCH(B324, Input!$J$2:$J$500, 0),
       MATCH("Capacity", Input!$D$1:$AC$1, 0)),IF(_xlpm.Result="","",_xlpm.Result))</f>
        <v>#N/A</v>
      </c>
      <c r="R324" s="51" t="e" cm="1">
        <f t="array" ref="R324">_xlfn.TEXTSPLIT(Q324," / ", ,TRUE,0,)</f>
        <v>#N/A</v>
      </c>
      <c r="S324" s="51"/>
      <c r="T324" s="51" t="str" cm="1">
        <f t="array" ref="T324">IFERROR(_xlfn.IFS(
R324="","",
--R324&lt;55,"Battery Defect",
--R324&lt;=69,"Battery D",
--R324&lt;=80,"Battery C",
--R324&gt;80,""
),"")</f>
        <v/>
      </c>
      <c r="U324" s="51" t="str" cm="1">
        <f t="array" ref="U324">IFERROR(_xlfn.IFS(
S324="","",
--S324&lt;55,"Battery Defect",
--S324&lt;=69,"Battery D",
--S324&lt;=80,"Battery C",
--S324&gt;80,""
),"")</f>
        <v/>
      </c>
      <c r="V324" s="51"/>
      <c r="W324" s="51"/>
      <c r="X324" s="51"/>
      <c r="Y324" s="51"/>
      <c r="Z324" s="51"/>
      <c r="AA324" s="51"/>
      <c r="AB324" s="51"/>
      <c r="AC324" s="51"/>
      <c r="AD324" s="32" t="str">
        <f t="shared" si="15"/>
        <v/>
      </c>
      <c r="AE324" s="32"/>
      <c r="AF324" s="32"/>
      <c r="AG324" s="32"/>
      <c r="AH324" s="32"/>
      <c r="AI324" s="32"/>
      <c r="AJ324" s="32"/>
      <c r="AK324" s="32"/>
      <c r="AL324" s="32"/>
    </row>
    <row r="325" spans="1:38">
      <c r="A325" s="32" t="str">
        <f>_xlfn.TEXTJOIN("",TRUE,_xlfn.XLOOKUP(B325,Input!J:J,Input!G:G,"",0,1),_xlfn.XLOOKUP(B325,Input!J:J,Input!H:H,"",0,1))</f>
        <v/>
      </c>
      <c r="B325" s="32"/>
      <c r="C325" s="51">
        <f>_xlfn.XLOOKUP(B325,Input!J:J,Input!F:F)</f>
        <v>0</v>
      </c>
      <c r="D325" s="32">
        <f>_xlfn.XLOOKUP(C325,Models!H:H,Models!G:G,C325)</f>
        <v>0</v>
      </c>
      <c r="E325" s="32">
        <f>_xlfn.XLOOKUP(B325,Input!J:J,Input!E:E)</f>
        <v>0</v>
      </c>
      <c r="F325" s="32">
        <f>IF(E325="LENOVO",_xlfn.XLOOKUP(B325,Input!J:J,Input!K:K),_xlfn.XLOOKUP(B325,Input!J:J,Input!L:L))</f>
        <v>0</v>
      </c>
      <c r="G325" s="32"/>
      <c r="H325" s="32"/>
      <c r="I325" s="32"/>
      <c r="J325" s="51" t="e">
        <f>INDEX(Input!$D$2:$AC$500,
       MATCH(B325, Input!$J$2:$J$500, 0),
       MATCH("Total Memory", Input!$D$1:$AC$1, 0))</f>
        <v>#N/A</v>
      </c>
      <c r="K325" s="51"/>
      <c r="L325" s="51" t="str" cm="1">
        <f t="array" ref="L325">IFERROR(_xlfn.FILTERXML("&lt;t&gt;&lt;s&gt;" &amp; SUBSTITUTE(K325," / ","&lt;/s&gt;&lt;s&gt;") &amp; "&lt;/s&gt;&lt;/t&gt;","(//s[contains(.,'DDR')])[1]"),"")</f>
        <v/>
      </c>
      <c r="M325" s="32" t="e">
        <f t="shared" si="17"/>
        <v>#N/A</v>
      </c>
      <c r="N325" s="51" t="e">
        <f>INDEX(Input!$D$2:$AC$500,
       MATCH(B325, Input!$J$2:$J$500, 0),
       MATCH("Disk Interface Type", Input!$D$1:$AC$1, 0))</f>
        <v>#N/A</v>
      </c>
      <c r="O325" s="51" t="str" cm="1">
        <f t="array" ref="O325">IFERROR(_xlfn.TEXTJOIN(", ", TRUE, _xlfn._xlws.FILTER(
    INDEX(Input!$D$2:$AC$500,,MATCH("Disk Capacity",Input!$D$1:$AC$1,0)),
    Input!$J$2:$J$500=B325
)), "")</f>
        <v/>
      </c>
      <c r="P325" s="32" t="e">
        <f t="shared" si="16"/>
        <v>#N/A</v>
      </c>
      <c r="Q325" s="51" t="e">
        <f>_xlfn.LET(_xlpm.Result,INDEX(Input!$D$2:$AC$500,
       MATCH(B325, Input!$J$2:$J$500, 0),
       MATCH("Capacity", Input!$D$1:$AC$1, 0)),IF(_xlpm.Result="","",_xlpm.Result))</f>
        <v>#N/A</v>
      </c>
      <c r="R325" s="51" t="e" cm="1">
        <f t="array" ref="R325">_xlfn.TEXTSPLIT(Q325," / ", ,TRUE,0,)</f>
        <v>#N/A</v>
      </c>
      <c r="S325" s="51"/>
      <c r="T325" s="51" t="str" cm="1">
        <f t="array" ref="T325">IFERROR(_xlfn.IFS(
R325="","",
--R325&lt;55,"Battery Defect",
--R325&lt;=69,"Battery D",
--R325&lt;=80,"Battery C",
--R325&gt;80,""
),"")</f>
        <v/>
      </c>
      <c r="U325" s="51" t="str" cm="1">
        <f t="array" ref="U325">IFERROR(_xlfn.IFS(
S325="","",
--S325&lt;55,"Battery Defect",
--S325&lt;=69,"Battery D",
--S325&lt;=80,"Battery C",
--S325&gt;80,""
),"")</f>
        <v/>
      </c>
      <c r="V325" s="51"/>
      <c r="W325" s="51"/>
      <c r="X325" s="51"/>
      <c r="Y325" s="51"/>
      <c r="Z325" s="51"/>
      <c r="AA325" s="51"/>
      <c r="AB325" s="51"/>
      <c r="AC325" s="51"/>
      <c r="AD325" s="32" t="str">
        <f t="shared" si="15"/>
        <v/>
      </c>
      <c r="AE325" s="32"/>
      <c r="AF325" s="32"/>
      <c r="AG325" s="32"/>
      <c r="AH325" s="32"/>
      <c r="AI325" s="32"/>
      <c r="AJ325" s="32"/>
      <c r="AK325" s="32"/>
      <c r="AL325" s="32"/>
    </row>
    <row r="326" spans="1:38">
      <c r="A326" s="32" t="str">
        <f>_xlfn.TEXTJOIN("",TRUE,_xlfn.XLOOKUP(B326,Input!J:J,Input!G:G,"",0,1),_xlfn.XLOOKUP(B326,Input!J:J,Input!H:H,"",0,1))</f>
        <v/>
      </c>
      <c r="B326" s="32"/>
      <c r="C326" s="51">
        <f>_xlfn.XLOOKUP(B326,Input!J:J,Input!F:F)</f>
        <v>0</v>
      </c>
      <c r="D326" s="32">
        <f>_xlfn.XLOOKUP(C326,Models!H:H,Models!G:G,C326)</f>
        <v>0</v>
      </c>
      <c r="E326" s="32">
        <f>_xlfn.XLOOKUP(B326,Input!J:J,Input!E:E)</f>
        <v>0</v>
      </c>
      <c r="F326" s="32">
        <f>IF(E326="LENOVO",_xlfn.XLOOKUP(B326,Input!J:J,Input!K:K),_xlfn.XLOOKUP(B326,Input!J:J,Input!L:L))</f>
        <v>0</v>
      </c>
      <c r="G326" s="32"/>
      <c r="H326" s="32"/>
      <c r="I326" s="32"/>
      <c r="J326" s="51" t="e">
        <f>INDEX(Input!$D$2:$AC$500,
       MATCH(B326, Input!$J$2:$J$500, 0),
       MATCH("Total Memory", Input!$D$1:$AC$1, 0))</f>
        <v>#N/A</v>
      </c>
      <c r="K326" s="51"/>
      <c r="L326" s="51" t="str" cm="1">
        <f t="array" ref="L326">IFERROR(_xlfn.FILTERXML("&lt;t&gt;&lt;s&gt;" &amp; SUBSTITUTE(K326," / ","&lt;/s&gt;&lt;s&gt;") &amp; "&lt;/s&gt;&lt;/t&gt;","(//s[contains(.,'DDR')])[1]"),"")</f>
        <v/>
      </c>
      <c r="M326" s="32" t="e">
        <f t="shared" si="17"/>
        <v>#N/A</v>
      </c>
      <c r="N326" s="51" t="e">
        <f>INDEX(Input!$D$2:$AC$500,
       MATCH(B326, Input!$J$2:$J$500, 0),
       MATCH("Disk Interface Type", Input!$D$1:$AC$1, 0))</f>
        <v>#N/A</v>
      </c>
      <c r="O326" s="51" t="str" cm="1">
        <f t="array" ref="O326">IFERROR(_xlfn.TEXTJOIN(", ", TRUE, _xlfn._xlws.FILTER(
    INDEX(Input!$D$2:$AC$500,,MATCH("Disk Capacity",Input!$D$1:$AC$1,0)),
    Input!$J$2:$J$500=B326
)), "")</f>
        <v/>
      </c>
      <c r="P326" s="32" t="e">
        <f t="shared" si="16"/>
        <v>#N/A</v>
      </c>
      <c r="Q326" s="51" t="e">
        <f>_xlfn.LET(_xlpm.Result,INDEX(Input!$D$2:$AC$500,
       MATCH(B326, Input!$J$2:$J$500, 0),
       MATCH("Capacity", Input!$D$1:$AC$1, 0)),IF(_xlpm.Result="","",_xlpm.Result))</f>
        <v>#N/A</v>
      </c>
      <c r="R326" s="51" t="e" cm="1">
        <f t="array" ref="R326">_xlfn.TEXTSPLIT(Q326," / ", ,TRUE,0,)</f>
        <v>#N/A</v>
      </c>
      <c r="S326" s="51"/>
      <c r="T326" s="51" t="str" cm="1">
        <f t="array" ref="T326">IFERROR(_xlfn.IFS(
R326="","",
--R326&lt;55,"Battery Defect",
--R326&lt;=69,"Battery D",
--R326&lt;=80,"Battery C",
--R326&gt;80,""
),"")</f>
        <v/>
      </c>
      <c r="U326" s="51" t="str" cm="1">
        <f t="array" ref="U326">IFERROR(_xlfn.IFS(
S326="","",
--S326&lt;55,"Battery Defect",
--S326&lt;=69,"Battery D",
--S326&lt;=80,"Battery C",
--S326&gt;80,""
),"")</f>
        <v/>
      </c>
      <c r="V326" s="51"/>
      <c r="W326" s="51"/>
      <c r="X326" s="51"/>
      <c r="Y326" s="51"/>
      <c r="Z326" s="51"/>
      <c r="AA326" s="51"/>
      <c r="AB326" s="51"/>
      <c r="AC326" s="51"/>
      <c r="AD326" s="32" t="str">
        <f t="shared" si="15"/>
        <v/>
      </c>
      <c r="AE326" s="32"/>
      <c r="AF326" s="32"/>
      <c r="AG326" s="32"/>
      <c r="AH326" s="32"/>
      <c r="AI326" s="32"/>
      <c r="AJ326" s="32"/>
      <c r="AK326" s="32"/>
      <c r="AL326" s="32"/>
    </row>
    <row r="327" spans="1:38">
      <c r="A327" s="32" t="str">
        <f>_xlfn.TEXTJOIN("",TRUE,_xlfn.XLOOKUP(B327,Input!J:J,Input!G:G,"",0,1),_xlfn.XLOOKUP(B327,Input!J:J,Input!H:H,"",0,1))</f>
        <v/>
      </c>
      <c r="B327" s="32"/>
      <c r="C327" s="51">
        <f>_xlfn.XLOOKUP(B327,Input!J:J,Input!F:F)</f>
        <v>0</v>
      </c>
      <c r="D327" s="32">
        <f>_xlfn.XLOOKUP(C327,Models!H:H,Models!G:G,C327)</f>
        <v>0</v>
      </c>
      <c r="E327" s="32">
        <f>_xlfn.XLOOKUP(B327,Input!J:J,Input!E:E)</f>
        <v>0</v>
      </c>
      <c r="F327" s="32">
        <f>IF(E327="LENOVO",_xlfn.XLOOKUP(B327,Input!J:J,Input!K:K),_xlfn.XLOOKUP(B327,Input!J:J,Input!L:L))</f>
        <v>0</v>
      </c>
      <c r="G327" s="32"/>
      <c r="H327" s="32"/>
      <c r="I327" s="32"/>
      <c r="J327" s="51" t="e">
        <f>INDEX(Input!$D$2:$AC$500,
       MATCH(B327, Input!$J$2:$J$500, 0),
       MATCH("Total Memory", Input!$D$1:$AC$1, 0))</f>
        <v>#N/A</v>
      </c>
      <c r="K327" s="51"/>
      <c r="L327" s="51" t="str" cm="1">
        <f t="array" ref="L327">IFERROR(_xlfn.FILTERXML("&lt;t&gt;&lt;s&gt;" &amp; SUBSTITUTE(K327," / ","&lt;/s&gt;&lt;s&gt;") &amp; "&lt;/s&gt;&lt;/t&gt;","(//s[contains(.,'DDR')])[1]"),"")</f>
        <v/>
      </c>
      <c r="M327" s="32" t="e">
        <f t="shared" si="17"/>
        <v>#N/A</v>
      </c>
      <c r="N327" s="51" t="e">
        <f>INDEX(Input!$D$2:$AC$500,
       MATCH(B327, Input!$J$2:$J$500, 0),
       MATCH("Disk Interface Type", Input!$D$1:$AC$1, 0))</f>
        <v>#N/A</v>
      </c>
      <c r="O327" s="51" t="str" cm="1">
        <f t="array" ref="O327">IFERROR(_xlfn.TEXTJOIN(", ", TRUE, _xlfn._xlws.FILTER(
    INDEX(Input!$D$2:$AC$500,,MATCH("Disk Capacity",Input!$D$1:$AC$1,0)),
    Input!$J$2:$J$500=B327
)), "")</f>
        <v/>
      </c>
      <c r="P327" s="32" t="e">
        <f t="shared" si="16"/>
        <v>#N/A</v>
      </c>
      <c r="Q327" s="51" t="e">
        <f>_xlfn.LET(_xlpm.Result,INDEX(Input!$D$2:$AC$500,
       MATCH(B327, Input!$J$2:$J$500, 0),
       MATCH("Capacity", Input!$D$1:$AC$1, 0)),IF(_xlpm.Result="","",_xlpm.Result))</f>
        <v>#N/A</v>
      </c>
      <c r="R327" s="51" t="e" cm="1">
        <f t="array" ref="R327">_xlfn.TEXTSPLIT(Q327," / ", ,TRUE,0,)</f>
        <v>#N/A</v>
      </c>
      <c r="S327" s="51"/>
      <c r="T327" s="51" t="str" cm="1">
        <f t="array" ref="T327">IFERROR(_xlfn.IFS(
R327="","",
--R327&lt;55,"Battery Defect",
--R327&lt;=69,"Battery D",
--R327&lt;=80,"Battery C",
--R327&gt;80,""
),"")</f>
        <v/>
      </c>
      <c r="U327" s="51" t="str" cm="1">
        <f t="array" ref="U327">IFERROR(_xlfn.IFS(
S327="","",
--S327&lt;55,"Battery Defect",
--S327&lt;=69,"Battery D",
--S327&lt;=80,"Battery C",
--S327&gt;80,""
),"")</f>
        <v/>
      </c>
      <c r="V327" s="51"/>
      <c r="W327" s="51"/>
      <c r="X327" s="51"/>
      <c r="Y327" s="51"/>
      <c r="Z327" s="51"/>
      <c r="AA327" s="51"/>
      <c r="AB327" s="51"/>
      <c r="AC327" s="51"/>
      <c r="AD327" s="32" t="str">
        <f t="shared" si="15"/>
        <v/>
      </c>
      <c r="AE327" s="32"/>
      <c r="AF327" s="32"/>
      <c r="AG327" s="32"/>
      <c r="AH327" s="32"/>
      <c r="AI327" s="32"/>
      <c r="AJ327" s="32"/>
      <c r="AK327" s="32"/>
      <c r="AL327" s="32"/>
    </row>
    <row r="328" spans="1:38">
      <c r="A328" s="32" t="str">
        <f>_xlfn.TEXTJOIN("",TRUE,_xlfn.XLOOKUP(B328,Input!J:J,Input!G:G,"",0,1),_xlfn.XLOOKUP(B328,Input!J:J,Input!H:H,"",0,1))</f>
        <v/>
      </c>
      <c r="B328" s="32"/>
      <c r="C328" s="51">
        <f>_xlfn.XLOOKUP(B328,Input!J:J,Input!F:F)</f>
        <v>0</v>
      </c>
      <c r="D328" s="32">
        <f>_xlfn.XLOOKUP(C328,Models!H:H,Models!G:G,C328)</f>
        <v>0</v>
      </c>
      <c r="E328" s="32">
        <f>_xlfn.XLOOKUP(B328,Input!J:J,Input!E:E)</f>
        <v>0</v>
      </c>
      <c r="F328" s="32">
        <f>IF(E328="LENOVO",_xlfn.XLOOKUP(B328,Input!J:J,Input!K:K),_xlfn.XLOOKUP(B328,Input!J:J,Input!L:L))</f>
        <v>0</v>
      </c>
      <c r="G328" s="32"/>
      <c r="H328" s="32"/>
      <c r="I328" s="32"/>
      <c r="J328" s="51" t="e">
        <f>INDEX(Input!$D$2:$AC$500,
       MATCH(B328, Input!$J$2:$J$500, 0),
       MATCH("Total Memory", Input!$D$1:$AC$1, 0))</f>
        <v>#N/A</v>
      </c>
      <c r="K328" s="51"/>
      <c r="L328" s="51" t="str" cm="1">
        <f t="array" ref="L328">IFERROR(_xlfn.FILTERXML("&lt;t&gt;&lt;s&gt;" &amp; SUBSTITUTE(K328," / ","&lt;/s&gt;&lt;s&gt;") &amp; "&lt;/s&gt;&lt;/t&gt;","(//s[contains(.,'DDR')])[1]"),"")</f>
        <v/>
      </c>
      <c r="M328" s="32" t="e">
        <f t="shared" si="17"/>
        <v>#N/A</v>
      </c>
      <c r="N328" s="51" t="e">
        <f>INDEX(Input!$D$2:$AC$500,
       MATCH(B328, Input!$J$2:$J$500, 0),
       MATCH("Disk Interface Type", Input!$D$1:$AC$1, 0))</f>
        <v>#N/A</v>
      </c>
      <c r="O328" s="51" t="str" cm="1">
        <f t="array" ref="O328">IFERROR(_xlfn.TEXTJOIN(", ", TRUE, _xlfn._xlws.FILTER(
    INDEX(Input!$D$2:$AC$500,,MATCH("Disk Capacity",Input!$D$1:$AC$1,0)),
    Input!$J$2:$J$500=B328
)), "")</f>
        <v/>
      </c>
      <c r="P328" s="32" t="e">
        <f t="shared" si="16"/>
        <v>#N/A</v>
      </c>
      <c r="Q328" s="51" t="e">
        <f>_xlfn.LET(_xlpm.Result,INDEX(Input!$D$2:$AC$500,
       MATCH(B328, Input!$J$2:$J$500, 0),
       MATCH("Capacity", Input!$D$1:$AC$1, 0)),IF(_xlpm.Result="","",_xlpm.Result))</f>
        <v>#N/A</v>
      </c>
      <c r="R328" s="51" t="e" cm="1">
        <f t="array" ref="R328">_xlfn.TEXTSPLIT(Q328," / ", ,TRUE,0,)</f>
        <v>#N/A</v>
      </c>
      <c r="S328" s="51"/>
      <c r="T328" s="51" t="str" cm="1">
        <f t="array" ref="T328">IFERROR(_xlfn.IFS(
R328="","",
--R328&lt;55,"Battery Defect",
--R328&lt;=69,"Battery D",
--R328&lt;=80,"Battery C",
--R328&gt;80,""
),"")</f>
        <v/>
      </c>
      <c r="U328" s="51" t="str" cm="1">
        <f t="array" ref="U328">IFERROR(_xlfn.IFS(
S328="","",
--S328&lt;55,"Battery Defect",
--S328&lt;=69,"Battery D",
--S328&lt;=80,"Battery C",
--S328&gt;80,""
),"")</f>
        <v/>
      </c>
      <c r="V328" s="51"/>
      <c r="W328" s="51"/>
      <c r="X328" s="51"/>
      <c r="Y328" s="51"/>
      <c r="Z328" s="51"/>
      <c r="AA328" s="51"/>
      <c r="AB328" s="51"/>
      <c r="AC328" s="51"/>
      <c r="AD328" s="32" t="str">
        <f t="shared" si="15"/>
        <v/>
      </c>
      <c r="AE328" s="32"/>
      <c r="AF328" s="32"/>
      <c r="AG328" s="32"/>
      <c r="AH328" s="32"/>
      <c r="AI328" s="32"/>
      <c r="AJ328" s="32"/>
      <c r="AK328" s="32"/>
      <c r="AL328" s="32"/>
    </row>
    <row r="329" spans="1:38">
      <c r="A329" s="32" t="str">
        <f>_xlfn.TEXTJOIN("",TRUE,_xlfn.XLOOKUP(B329,Input!J:J,Input!G:G,"",0,1),_xlfn.XLOOKUP(B329,Input!J:J,Input!H:H,"",0,1))</f>
        <v/>
      </c>
      <c r="B329" s="32"/>
      <c r="C329" s="51">
        <f>_xlfn.XLOOKUP(B329,Input!J:J,Input!F:F)</f>
        <v>0</v>
      </c>
      <c r="D329" s="32">
        <f>_xlfn.XLOOKUP(C329,Models!H:H,Models!G:G,C329)</f>
        <v>0</v>
      </c>
      <c r="E329" s="32">
        <f>_xlfn.XLOOKUP(B329,Input!J:J,Input!E:E)</f>
        <v>0</v>
      </c>
      <c r="F329" s="32">
        <f>IF(E329="LENOVO",_xlfn.XLOOKUP(B329,Input!J:J,Input!K:K),_xlfn.XLOOKUP(B329,Input!J:J,Input!L:L))</f>
        <v>0</v>
      </c>
      <c r="G329" s="32"/>
      <c r="H329" s="32"/>
      <c r="I329" s="32"/>
      <c r="J329" s="51" t="e">
        <f>INDEX(Input!$D$2:$AC$500,
       MATCH(B329, Input!$J$2:$J$500, 0),
       MATCH("Total Memory", Input!$D$1:$AC$1, 0))</f>
        <v>#N/A</v>
      </c>
      <c r="K329" s="51"/>
      <c r="L329" s="51" t="str" cm="1">
        <f t="array" ref="L329">IFERROR(_xlfn.FILTERXML("&lt;t&gt;&lt;s&gt;" &amp; SUBSTITUTE(K329," / ","&lt;/s&gt;&lt;s&gt;") &amp; "&lt;/s&gt;&lt;/t&gt;","(//s[contains(.,'DDR')])[1]"),"")</f>
        <v/>
      </c>
      <c r="M329" s="32" t="e">
        <f t="shared" si="17"/>
        <v>#N/A</v>
      </c>
      <c r="N329" s="51" t="e">
        <f>INDEX(Input!$D$2:$AC$500,
       MATCH(B329, Input!$J$2:$J$500, 0),
       MATCH("Disk Interface Type", Input!$D$1:$AC$1, 0))</f>
        <v>#N/A</v>
      </c>
      <c r="O329" s="51" t="str" cm="1">
        <f t="array" ref="O329">IFERROR(_xlfn.TEXTJOIN(", ", TRUE, _xlfn._xlws.FILTER(
    INDEX(Input!$D$2:$AC$500,,MATCH("Disk Capacity",Input!$D$1:$AC$1,0)),
    Input!$J$2:$J$500=B329
)), "")</f>
        <v/>
      </c>
      <c r="P329" s="32" t="e">
        <f t="shared" si="16"/>
        <v>#N/A</v>
      </c>
      <c r="Q329" s="51" t="e">
        <f>_xlfn.LET(_xlpm.Result,INDEX(Input!$D$2:$AC$500,
       MATCH(B329, Input!$J$2:$J$500, 0),
       MATCH("Capacity", Input!$D$1:$AC$1, 0)),IF(_xlpm.Result="","",_xlpm.Result))</f>
        <v>#N/A</v>
      </c>
      <c r="R329" s="51" t="e" cm="1">
        <f t="array" ref="R329">_xlfn.TEXTSPLIT(Q329," / ", ,TRUE,0,)</f>
        <v>#N/A</v>
      </c>
      <c r="S329" s="51"/>
      <c r="T329" s="51" t="str" cm="1">
        <f t="array" ref="T329">IFERROR(_xlfn.IFS(
R329="","",
--R329&lt;55,"Battery Defect",
--R329&lt;=69,"Battery D",
--R329&lt;=80,"Battery C",
--R329&gt;80,""
),"")</f>
        <v/>
      </c>
      <c r="U329" s="51" t="str" cm="1">
        <f t="array" ref="U329">IFERROR(_xlfn.IFS(
S329="","",
--S329&lt;55,"Battery Defect",
--S329&lt;=69,"Battery D",
--S329&lt;=80,"Battery C",
--S329&gt;80,""
),"")</f>
        <v/>
      </c>
      <c r="V329" s="51"/>
      <c r="W329" s="51"/>
      <c r="X329" s="51"/>
      <c r="Y329" s="51"/>
      <c r="Z329" s="51"/>
      <c r="AA329" s="51"/>
      <c r="AB329" s="51"/>
      <c r="AC329" s="51"/>
      <c r="AD329" s="32" t="str">
        <f t="shared" si="15"/>
        <v/>
      </c>
      <c r="AE329" s="32"/>
      <c r="AF329" s="32"/>
      <c r="AG329" s="32"/>
      <c r="AH329" s="32"/>
      <c r="AI329" s="32"/>
      <c r="AJ329" s="32"/>
      <c r="AK329" s="32"/>
      <c r="AL329" s="32"/>
    </row>
    <row r="330" spans="1:38">
      <c r="A330" s="32" t="str">
        <f>_xlfn.TEXTJOIN("",TRUE,_xlfn.XLOOKUP(B330,Input!J:J,Input!G:G,"",0,1),_xlfn.XLOOKUP(B330,Input!J:J,Input!H:H,"",0,1))</f>
        <v/>
      </c>
      <c r="B330" s="32"/>
      <c r="C330" s="51">
        <f>_xlfn.XLOOKUP(B330,Input!J:J,Input!F:F)</f>
        <v>0</v>
      </c>
      <c r="D330" s="32">
        <f>_xlfn.XLOOKUP(C330,Models!H:H,Models!G:G,C330)</f>
        <v>0</v>
      </c>
      <c r="E330" s="32">
        <f>_xlfn.XLOOKUP(B330,Input!J:J,Input!E:E)</f>
        <v>0</v>
      </c>
      <c r="F330" s="32">
        <f>IF(E330="LENOVO",_xlfn.XLOOKUP(B330,Input!J:J,Input!K:K),_xlfn.XLOOKUP(B330,Input!J:J,Input!L:L))</f>
        <v>0</v>
      </c>
      <c r="G330" s="32"/>
      <c r="H330" s="32"/>
      <c r="I330" s="32"/>
      <c r="J330" s="51" t="e">
        <f>INDEX(Input!$D$2:$AC$500,
       MATCH(B330, Input!$J$2:$J$500, 0),
       MATCH("Total Memory", Input!$D$1:$AC$1, 0))</f>
        <v>#N/A</v>
      </c>
      <c r="K330" s="51"/>
      <c r="L330" s="51" t="str" cm="1">
        <f t="array" ref="L330">IFERROR(_xlfn.FILTERXML("&lt;t&gt;&lt;s&gt;" &amp; SUBSTITUTE(K330," / ","&lt;/s&gt;&lt;s&gt;") &amp; "&lt;/s&gt;&lt;/t&gt;","(//s[contains(.,'DDR')])[1]"),"")</f>
        <v/>
      </c>
      <c r="M330" s="32" t="e">
        <f t="shared" si="17"/>
        <v>#N/A</v>
      </c>
      <c r="N330" s="51" t="e">
        <f>INDEX(Input!$D$2:$AC$500,
       MATCH(B330, Input!$J$2:$J$500, 0),
       MATCH("Disk Interface Type", Input!$D$1:$AC$1, 0))</f>
        <v>#N/A</v>
      </c>
      <c r="O330" s="51" t="str" cm="1">
        <f t="array" ref="O330">IFERROR(_xlfn.TEXTJOIN(", ", TRUE, _xlfn._xlws.FILTER(
    INDEX(Input!$D$2:$AC$500,,MATCH("Disk Capacity",Input!$D$1:$AC$1,0)),
    Input!$J$2:$J$500=B330
)), "")</f>
        <v/>
      </c>
      <c r="P330" s="32" t="e">
        <f t="shared" si="16"/>
        <v>#N/A</v>
      </c>
      <c r="Q330" s="51" t="e">
        <f>_xlfn.LET(_xlpm.Result,INDEX(Input!$D$2:$AC$500,
       MATCH(B330, Input!$J$2:$J$500, 0),
       MATCH("Capacity", Input!$D$1:$AC$1, 0)),IF(_xlpm.Result="","",_xlpm.Result))</f>
        <v>#N/A</v>
      </c>
      <c r="R330" s="51" t="e" cm="1">
        <f t="array" ref="R330">_xlfn.TEXTSPLIT(Q330," / ", ,TRUE,0,)</f>
        <v>#N/A</v>
      </c>
      <c r="S330" s="51"/>
      <c r="T330" s="51" t="str" cm="1">
        <f t="array" ref="T330">IFERROR(_xlfn.IFS(
R330="","",
--R330&lt;55,"Battery Defect",
--R330&lt;=69,"Battery D",
--R330&lt;=80,"Battery C",
--R330&gt;80,""
),"")</f>
        <v/>
      </c>
      <c r="U330" s="51" t="str" cm="1">
        <f t="array" ref="U330">IFERROR(_xlfn.IFS(
S330="","",
--S330&lt;55,"Battery Defect",
--S330&lt;=69,"Battery D",
--S330&lt;=80,"Battery C",
--S330&gt;80,""
),"")</f>
        <v/>
      </c>
      <c r="V330" s="51"/>
      <c r="W330" s="51"/>
      <c r="X330" s="51"/>
      <c r="Y330" s="51"/>
      <c r="Z330" s="51"/>
      <c r="AA330" s="51"/>
      <c r="AB330" s="51"/>
      <c r="AC330" s="51"/>
      <c r="AD330" s="32" t="str">
        <f t="shared" si="15"/>
        <v/>
      </c>
      <c r="AE330" s="32"/>
      <c r="AF330" s="32"/>
      <c r="AG330" s="32"/>
      <c r="AH330" s="32"/>
      <c r="AI330" s="32"/>
      <c r="AJ330" s="32"/>
      <c r="AK330" s="32"/>
      <c r="AL330" s="32"/>
    </row>
    <row r="331" spans="1:38">
      <c r="A331" s="32" t="str">
        <f>_xlfn.TEXTJOIN("",TRUE,_xlfn.XLOOKUP(B331,Input!J:J,Input!G:G,"",0,1),_xlfn.XLOOKUP(B331,Input!J:J,Input!H:H,"",0,1))</f>
        <v/>
      </c>
      <c r="B331" s="32"/>
      <c r="C331" s="51">
        <f>_xlfn.XLOOKUP(B331,Input!J:J,Input!F:F)</f>
        <v>0</v>
      </c>
      <c r="D331" s="32">
        <f>_xlfn.XLOOKUP(C331,Models!H:H,Models!G:G,C331)</f>
        <v>0</v>
      </c>
      <c r="E331" s="32">
        <f>_xlfn.XLOOKUP(B331,Input!J:J,Input!E:E)</f>
        <v>0</v>
      </c>
      <c r="F331" s="32">
        <f>IF(E331="LENOVO",_xlfn.XLOOKUP(B331,Input!J:J,Input!K:K),_xlfn.XLOOKUP(B331,Input!J:J,Input!L:L))</f>
        <v>0</v>
      </c>
      <c r="G331" s="32"/>
      <c r="H331" s="32"/>
      <c r="I331" s="32"/>
      <c r="J331" s="51" t="e">
        <f>INDEX(Input!$D$2:$AC$500,
       MATCH(B331, Input!$J$2:$J$500, 0),
       MATCH("Total Memory", Input!$D$1:$AC$1, 0))</f>
        <v>#N/A</v>
      </c>
      <c r="K331" s="51"/>
      <c r="L331" s="51" t="str" cm="1">
        <f t="array" ref="L331">IFERROR(_xlfn.FILTERXML("&lt;t&gt;&lt;s&gt;" &amp; SUBSTITUTE(K331," / ","&lt;/s&gt;&lt;s&gt;") &amp; "&lt;/s&gt;&lt;/t&gt;","(//s[contains(.,'DDR')])[1]"),"")</f>
        <v/>
      </c>
      <c r="M331" s="32" t="e">
        <f t="shared" si="17"/>
        <v>#N/A</v>
      </c>
      <c r="N331" s="51" t="e">
        <f>INDEX(Input!$D$2:$AC$500,
       MATCH(B331, Input!$J$2:$J$500, 0),
       MATCH("Disk Interface Type", Input!$D$1:$AC$1, 0))</f>
        <v>#N/A</v>
      </c>
      <c r="O331" s="51" t="str" cm="1">
        <f t="array" ref="O331">IFERROR(_xlfn.TEXTJOIN(", ", TRUE, _xlfn._xlws.FILTER(
    INDEX(Input!$D$2:$AC$500,,MATCH("Disk Capacity",Input!$D$1:$AC$1,0)),
    Input!$J$2:$J$500=B331
)), "")</f>
        <v/>
      </c>
      <c r="P331" s="32" t="e">
        <f t="shared" si="16"/>
        <v>#N/A</v>
      </c>
      <c r="Q331" s="51" t="e">
        <f>_xlfn.LET(_xlpm.Result,INDEX(Input!$D$2:$AC$500,
       MATCH(B331, Input!$J$2:$J$500, 0),
       MATCH("Capacity", Input!$D$1:$AC$1, 0)),IF(_xlpm.Result="","",_xlpm.Result))</f>
        <v>#N/A</v>
      </c>
      <c r="R331" s="51" t="e" cm="1">
        <f t="array" ref="R331">_xlfn.TEXTSPLIT(Q331," / ", ,TRUE,0,)</f>
        <v>#N/A</v>
      </c>
      <c r="S331" s="51"/>
      <c r="T331" s="51" t="str" cm="1">
        <f t="array" ref="T331">IFERROR(_xlfn.IFS(
R331="","",
--R331&lt;55,"Battery Defect",
--R331&lt;=69,"Battery D",
--R331&lt;=80,"Battery C",
--R331&gt;80,""
),"")</f>
        <v/>
      </c>
      <c r="U331" s="51" t="str" cm="1">
        <f t="array" ref="U331">IFERROR(_xlfn.IFS(
S331="","",
--S331&lt;55,"Battery Defect",
--S331&lt;=69,"Battery D",
--S331&lt;=80,"Battery C",
--S331&gt;80,""
),"")</f>
        <v/>
      </c>
      <c r="V331" s="51"/>
      <c r="W331" s="51"/>
      <c r="X331" s="51"/>
      <c r="Y331" s="51"/>
      <c r="Z331" s="51"/>
      <c r="AA331" s="51"/>
      <c r="AB331" s="51"/>
      <c r="AC331" s="51"/>
      <c r="AD331" s="32" t="str">
        <f t="shared" si="15"/>
        <v/>
      </c>
      <c r="AE331" s="32"/>
      <c r="AF331" s="32"/>
      <c r="AG331" s="32"/>
      <c r="AH331" s="32"/>
      <c r="AI331" s="32"/>
      <c r="AJ331" s="32"/>
      <c r="AK331" s="32"/>
      <c r="AL331" s="32"/>
    </row>
    <row r="332" spans="1:38">
      <c r="A332" s="32" t="str">
        <f>_xlfn.TEXTJOIN("",TRUE,_xlfn.XLOOKUP(B332,Input!J:J,Input!G:G,"",0,1),_xlfn.XLOOKUP(B332,Input!J:J,Input!H:H,"",0,1))</f>
        <v/>
      </c>
      <c r="B332" s="32"/>
      <c r="C332" s="51">
        <f>_xlfn.XLOOKUP(B332,Input!J:J,Input!F:F)</f>
        <v>0</v>
      </c>
      <c r="D332" s="32">
        <f>_xlfn.XLOOKUP(C332,Models!H:H,Models!G:G,C332)</f>
        <v>0</v>
      </c>
      <c r="E332" s="32">
        <f>_xlfn.XLOOKUP(B332,Input!J:J,Input!E:E)</f>
        <v>0</v>
      </c>
      <c r="F332" s="32">
        <f>IF(E332="LENOVO",_xlfn.XLOOKUP(B332,Input!J:J,Input!K:K),_xlfn.XLOOKUP(B332,Input!J:J,Input!L:L))</f>
        <v>0</v>
      </c>
      <c r="G332" s="32"/>
      <c r="H332" s="32"/>
      <c r="I332" s="32"/>
      <c r="J332" s="51" t="e">
        <f>INDEX(Input!$D$2:$AC$500,
       MATCH(B332, Input!$J$2:$J$500, 0),
       MATCH("Total Memory", Input!$D$1:$AC$1, 0))</f>
        <v>#N/A</v>
      </c>
      <c r="K332" s="51"/>
      <c r="L332" s="51" t="str" cm="1">
        <f t="array" ref="L332">IFERROR(_xlfn.FILTERXML("&lt;t&gt;&lt;s&gt;" &amp; SUBSTITUTE(K332," / ","&lt;/s&gt;&lt;s&gt;") &amp; "&lt;/s&gt;&lt;/t&gt;","(//s[contains(.,'DDR')])[1]"),"")</f>
        <v/>
      </c>
      <c r="M332" s="32" t="e">
        <f t="shared" si="17"/>
        <v>#N/A</v>
      </c>
      <c r="N332" s="51" t="e">
        <f>INDEX(Input!$D$2:$AC$500,
       MATCH(B332, Input!$J$2:$J$500, 0),
       MATCH("Disk Interface Type", Input!$D$1:$AC$1, 0))</f>
        <v>#N/A</v>
      </c>
      <c r="O332" s="51" t="str" cm="1">
        <f t="array" ref="O332">IFERROR(_xlfn.TEXTJOIN(", ", TRUE, _xlfn._xlws.FILTER(
    INDEX(Input!$D$2:$AC$500,,MATCH("Disk Capacity",Input!$D$1:$AC$1,0)),
    Input!$J$2:$J$500=B332
)), "")</f>
        <v/>
      </c>
      <c r="P332" s="32" t="e">
        <f t="shared" si="16"/>
        <v>#N/A</v>
      </c>
      <c r="Q332" s="51" t="e">
        <f>_xlfn.LET(_xlpm.Result,INDEX(Input!$D$2:$AC$500,
       MATCH(B332, Input!$J$2:$J$500, 0),
       MATCH("Capacity", Input!$D$1:$AC$1, 0)),IF(_xlpm.Result="","",_xlpm.Result))</f>
        <v>#N/A</v>
      </c>
      <c r="R332" s="51" t="e" cm="1">
        <f t="array" ref="R332">_xlfn.TEXTSPLIT(Q332," / ", ,TRUE,0,)</f>
        <v>#N/A</v>
      </c>
      <c r="S332" s="51"/>
      <c r="T332" s="51" t="str" cm="1">
        <f t="array" ref="T332">IFERROR(_xlfn.IFS(
R332="","",
--R332&lt;55,"Battery Defect",
--R332&lt;=69,"Battery D",
--R332&lt;=80,"Battery C",
--R332&gt;80,""
),"")</f>
        <v/>
      </c>
      <c r="U332" s="51" t="str" cm="1">
        <f t="array" ref="U332">IFERROR(_xlfn.IFS(
S332="","",
--S332&lt;55,"Battery Defect",
--S332&lt;=69,"Battery D",
--S332&lt;=80,"Battery C",
--S332&gt;80,""
),"")</f>
        <v/>
      </c>
      <c r="V332" s="51"/>
      <c r="W332" s="51"/>
      <c r="X332" s="51"/>
      <c r="Y332" s="51"/>
      <c r="Z332" s="51"/>
      <c r="AA332" s="51"/>
      <c r="AB332" s="51"/>
      <c r="AC332" s="51"/>
      <c r="AD332" s="32" t="str">
        <f t="shared" si="15"/>
        <v/>
      </c>
      <c r="AE332" s="32"/>
      <c r="AF332" s="32"/>
      <c r="AG332" s="32"/>
      <c r="AH332" s="32"/>
      <c r="AI332" s="32"/>
      <c r="AJ332" s="32"/>
      <c r="AK332" s="32"/>
      <c r="AL332" s="32"/>
    </row>
    <row r="333" spans="1:38">
      <c r="A333" s="32" t="str">
        <f>_xlfn.TEXTJOIN("",TRUE,_xlfn.XLOOKUP(B333,Input!J:J,Input!G:G,"",0,1),_xlfn.XLOOKUP(B333,Input!J:J,Input!H:H,"",0,1))</f>
        <v/>
      </c>
      <c r="B333" s="32"/>
      <c r="C333" s="51">
        <f>_xlfn.XLOOKUP(B333,Input!J:J,Input!F:F)</f>
        <v>0</v>
      </c>
      <c r="D333" s="32">
        <f>_xlfn.XLOOKUP(C333,Models!H:H,Models!G:G,C333)</f>
        <v>0</v>
      </c>
      <c r="E333" s="32">
        <f>_xlfn.XLOOKUP(B333,Input!J:J,Input!E:E)</f>
        <v>0</v>
      </c>
      <c r="F333" s="32">
        <f>IF(E333="LENOVO",_xlfn.XLOOKUP(B333,Input!J:J,Input!K:K),_xlfn.XLOOKUP(B333,Input!J:J,Input!L:L))</f>
        <v>0</v>
      </c>
      <c r="G333" s="32"/>
      <c r="H333" s="32"/>
      <c r="I333" s="32"/>
      <c r="J333" s="51" t="e">
        <f>INDEX(Input!$D$2:$AC$500,
       MATCH(B333, Input!$J$2:$J$500, 0),
       MATCH("Total Memory", Input!$D$1:$AC$1, 0))</f>
        <v>#N/A</v>
      </c>
      <c r="K333" s="51"/>
      <c r="L333" s="51" t="str" cm="1">
        <f t="array" ref="L333">IFERROR(_xlfn.FILTERXML("&lt;t&gt;&lt;s&gt;" &amp; SUBSTITUTE(K333," / ","&lt;/s&gt;&lt;s&gt;") &amp; "&lt;/s&gt;&lt;/t&gt;","(//s[contains(.,'DDR')])[1]"),"")</f>
        <v/>
      </c>
      <c r="M333" s="32" t="e">
        <f t="shared" si="17"/>
        <v>#N/A</v>
      </c>
      <c r="N333" s="51" t="e">
        <f>INDEX(Input!$D$2:$AC$500,
       MATCH(B333, Input!$J$2:$J$500, 0),
       MATCH("Disk Interface Type", Input!$D$1:$AC$1, 0))</f>
        <v>#N/A</v>
      </c>
      <c r="O333" s="51" t="str" cm="1">
        <f t="array" ref="O333">IFERROR(_xlfn.TEXTJOIN(", ", TRUE, _xlfn._xlws.FILTER(
    INDEX(Input!$D$2:$AC$500,,MATCH("Disk Capacity",Input!$D$1:$AC$1,0)),
    Input!$J$2:$J$500=B333
)), "")</f>
        <v/>
      </c>
      <c r="P333" s="32" t="e">
        <f t="shared" si="16"/>
        <v>#N/A</v>
      </c>
      <c r="Q333" s="51" t="e">
        <f>_xlfn.LET(_xlpm.Result,INDEX(Input!$D$2:$AC$500,
       MATCH(B333, Input!$J$2:$J$500, 0),
       MATCH("Capacity", Input!$D$1:$AC$1, 0)),IF(_xlpm.Result="","",_xlpm.Result))</f>
        <v>#N/A</v>
      </c>
      <c r="R333" s="51" t="e" cm="1">
        <f t="array" ref="R333">_xlfn.TEXTSPLIT(Q333," / ", ,TRUE,0,)</f>
        <v>#N/A</v>
      </c>
      <c r="S333" s="51"/>
      <c r="T333" s="51" t="str" cm="1">
        <f t="array" ref="T333">IFERROR(_xlfn.IFS(
R333="","",
--R333&lt;55,"Battery Defect",
--R333&lt;=69,"Battery D",
--R333&lt;=80,"Battery C",
--R333&gt;80,""
),"")</f>
        <v/>
      </c>
      <c r="U333" s="51" t="str" cm="1">
        <f t="array" ref="U333">IFERROR(_xlfn.IFS(
S333="","",
--S333&lt;55,"Battery Defect",
--S333&lt;=69,"Battery D",
--S333&lt;=80,"Battery C",
--S333&gt;80,""
),"")</f>
        <v/>
      </c>
      <c r="V333" s="51"/>
      <c r="W333" s="51"/>
      <c r="X333" s="51"/>
      <c r="Y333" s="51"/>
      <c r="Z333" s="51"/>
      <c r="AA333" s="51"/>
      <c r="AB333" s="51"/>
      <c r="AC333" s="51"/>
      <c r="AD333" s="32" t="str">
        <f t="shared" si="15"/>
        <v/>
      </c>
      <c r="AE333" s="32"/>
      <c r="AF333" s="32"/>
      <c r="AG333" s="32"/>
      <c r="AH333" s="32"/>
      <c r="AI333" s="32"/>
      <c r="AJ333" s="32"/>
      <c r="AK333" s="32"/>
      <c r="AL333" s="32"/>
    </row>
    <row r="334" spans="1:38">
      <c r="A334" s="32" t="str">
        <f>_xlfn.TEXTJOIN("",TRUE,_xlfn.XLOOKUP(B334,Input!J:J,Input!G:G,"",0,1),_xlfn.XLOOKUP(B334,Input!J:J,Input!H:H,"",0,1))</f>
        <v/>
      </c>
      <c r="B334" s="32"/>
      <c r="C334" s="51">
        <f>_xlfn.XLOOKUP(B334,Input!J:J,Input!F:F)</f>
        <v>0</v>
      </c>
      <c r="D334" s="32">
        <f>_xlfn.XLOOKUP(C334,Models!H:H,Models!G:G,C334)</f>
        <v>0</v>
      </c>
      <c r="E334" s="32">
        <f>_xlfn.XLOOKUP(B334,Input!J:J,Input!E:E)</f>
        <v>0</v>
      </c>
      <c r="F334" s="32">
        <f>IF(E334="LENOVO",_xlfn.XLOOKUP(B334,Input!J:J,Input!K:K),_xlfn.XLOOKUP(B334,Input!J:J,Input!L:L))</f>
        <v>0</v>
      </c>
      <c r="G334" s="32"/>
      <c r="H334" s="32"/>
      <c r="I334" s="32"/>
      <c r="J334" s="51" t="e">
        <f>INDEX(Input!$D$2:$AC$500,
       MATCH(B334, Input!$J$2:$J$500, 0),
       MATCH("Total Memory", Input!$D$1:$AC$1, 0))</f>
        <v>#N/A</v>
      </c>
      <c r="K334" s="51"/>
      <c r="L334" s="51" t="str" cm="1">
        <f t="array" ref="L334">IFERROR(_xlfn.FILTERXML("&lt;t&gt;&lt;s&gt;" &amp; SUBSTITUTE(K334," / ","&lt;/s&gt;&lt;s&gt;") &amp; "&lt;/s&gt;&lt;/t&gt;","(//s[contains(.,'DDR')])[1]"),"")</f>
        <v/>
      </c>
      <c r="M334" s="32" t="e">
        <f t="shared" si="17"/>
        <v>#N/A</v>
      </c>
      <c r="N334" s="51" t="e">
        <f>INDEX(Input!$D$2:$AC$500,
       MATCH(B334, Input!$J$2:$J$500, 0),
       MATCH("Disk Interface Type", Input!$D$1:$AC$1, 0))</f>
        <v>#N/A</v>
      </c>
      <c r="O334" s="51" t="str" cm="1">
        <f t="array" ref="O334">IFERROR(_xlfn.TEXTJOIN(", ", TRUE, _xlfn._xlws.FILTER(
    INDEX(Input!$D$2:$AC$500,,MATCH("Disk Capacity",Input!$D$1:$AC$1,0)),
    Input!$J$2:$J$500=B334
)), "")</f>
        <v/>
      </c>
      <c r="P334" s="32" t="e">
        <f t="shared" si="16"/>
        <v>#N/A</v>
      </c>
      <c r="Q334" s="51" t="e">
        <f>_xlfn.LET(_xlpm.Result,INDEX(Input!$D$2:$AC$500,
       MATCH(B334, Input!$J$2:$J$500, 0),
       MATCH("Capacity", Input!$D$1:$AC$1, 0)),IF(_xlpm.Result="","",_xlpm.Result))</f>
        <v>#N/A</v>
      </c>
      <c r="R334" s="51" t="e" cm="1">
        <f t="array" ref="R334">_xlfn.TEXTSPLIT(Q334," / ", ,TRUE,0,)</f>
        <v>#N/A</v>
      </c>
      <c r="S334" s="51"/>
      <c r="T334" s="51" t="str" cm="1">
        <f t="array" ref="T334">IFERROR(_xlfn.IFS(
R334="","",
--R334&lt;55,"Battery Defect",
--R334&lt;=69,"Battery D",
--R334&lt;=80,"Battery C",
--R334&gt;80,""
),"")</f>
        <v/>
      </c>
      <c r="U334" s="51" t="str" cm="1">
        <f t="array" ref="U334">IFERROR(_xlfn.IFS(
S334="","",
--S334&lt;55,"Battery Defect",
--S334&lt;=69,"Battery D",
--S334&lt;=80,"Battery C",
--S334&gt;80,""
),"")</f>
        <v/>
      </c>
      <c r="V334" s="51"/>
      <c r="W334" s="51"/>
      <c r="X334" s="51"/>
      <c r="Y334" s="51"/>
      <c r="Z334" s="51"/>
      <c r="AA334" s="51"/>
      <c r="AB334" s="51"/>
      <c r="AC334" s="51"/>
      <c r="AD334" s="32" t="str">
        <f t="shared" si="15"/>
        <v/>
      </c>
      <c r="AE334" s="32"/>
      <c r="AF334" s="32"/>
      <c r="AG334" s="32"/>
      <c r="AH334" s="32"/>
      <c r="AI334" s="32"/>
      <c r="AJ334" s="32"/>
      <c r="AK334" s="32"/>
      <c r="AL334" s="32"/>
    </row>
    <row r="335" spans="1:38">
      <c r="A335" s="32" t="str">
        <f>_xlfn.TEXTJOIN("",TRUE,_xlfn.XLOOKUP(B335,Input!J:J,Input!G:G,"",0,1),_xlfn.XLOOKUP(B335,Input!J:J,Input!H:H,"",0,1))</f>
        <v/>
      </c>
      <c r="B335" s="32"/>
      <c r="C335" s="51">
        <f>_xlfn.XLOOKUP(B335,Input!J:J,Input!F:F)</f>
        <v>0</v>
      </c>
      <c r="D335" s="32">
        <f>_xlfn.XLOOKUP(C335,Models!H:H,Models!G:G,C335)</f>
        <v>0</v>
      </c>
      <c r="E335" s="32">
        <f>_xlfn.XLOOKUP(B335,Input!J:J,Input!E:E)</f>
        <v>0</v>
      </c>
      <c r="F335" s="32">
        <f>IF(E335="LENOVO",_xlfn.XLOOKUP(B335,Input!J:J,Input!K:K),_xlfn.XLOOKUP(B335,Input!J:J,Input!L:L))</f>
        <v>0</v>
      </c>
      <c r="G335" s="32"/>
      <c r="H335" s="32"/>
      <c r="I335" s="32"/>
      <c r="J335" s="51" t="e">
        <f>INDEX(Input!$D$2:$AC$500,
       MATCH(B335, Input!$J$2:$J$500, 0),
       MATCH("Total Memory", Input!$D$1:$AC$1, 0))</f>
        <v>#N/A</v>
      </c>
      <c r="K335" s="51"/>
      <c r="L335" s="51" t="str" cm="1">
        <f t="array" ref="L335">IFERROR(_xlfn.FILTERXML("&lt;t&gt;&lt;s&gt;" &amp; SUBSTITUTE(K335," / ","&lt;/s&gt;&lt;s&gt;") &amp; "&lt;/s&gt;&lt;/t&gt;","(//s[contains(.,'DDR')])[1]"),"")</f>
        <v/>
      </c>
      <c r="M335" s="32" t="e">
        <f t="shared" si="17"/>
        <v>#N/A</v>
      </c>
      <c r="N335" s="51" t="e">
        <f>INDEX(Input!$D$2:$AC$500,
       MATCH(B335, Input!$J$2:$J$500, 0),
       MATCH("Disk Interface Type", Input!$D$1:$AC$1, 0))</f>
        <v>#N/A</v>
      </c>
      <c r="O335" s="51" t="str" cm="1">
        <f t="array" ref="O335">IFERROR(_xlfn.TEXTJOIN(", ", TRUE, _xlfn._xlws.FILTER(
    INDEX(Input!$D$2:$AC$500,,MATCH("Disk Capacity",Input!$D$1:$AC$1,0)),
    Input!$J$2:$J$500=B335
)), "")</f>
        <v/>
      </c>
      <c r="P335" s="32" t="e">
        <f t="shared" si="16"/>
        <v>#N/A</v>
      </c>
      <c r="Q335" s="51" t="e">
        <f>_xlfn.LET(_xlpm.Result,INDEX(Input!$D$2:$AC$500,
       MATCH(B335, Input!$J$2:$J$500, 0),
       MATCH("Capacity", Input!$D$1:$AC$1, 0)),IF(_xlpm.Result="","",_xlpm.Result))</f>
        <v>#N/A</v>
      </c>
      <c r="R335" s="51" t="e" cm="1">
        <f t="array" ref="R335">_xlfn.TEXTSPLIT(Q335," / ", ,TRUE,0,)</f>
        <v>#N/A</v>
      </c>
      <c r="S335" s="51"/>
      <c r="T335" s="51" t="str" cm="1">
        <f t="array" ref="T335">IFERROR(_xlfn.IFS(
R335="","",
--R335&lt;55,"Battery Defect",
--R335&lt;=69,"Battery D",
--R335&lt;=80,"Battery C",
--R335&gt;80,""
),"")</f>
        <v/>
      </c>
      <c r="U335" s="51" t="str" cm="1">
        <f t="array" ref="U335">IFERROR(_xlfn.IFS(
S335="","",
--S335&lt;55,"Battery Defect",
--S335&lt;=69,"Battery D",
--S335&lt;=80,"Battery C",
--S335&gt;80,""
),"")</f>
        <v/>
      </c>
      <c r="V335" s="51"/>
      <c r="W335" s="51"/>
      <c r="X335" s="51"/>
      <c r="Y335" s="51"/>
      <c r="Z335" s="51"/>
      <c r="AA335" s="51"/>
      <c r="AB335" s="51"/>
      <c r="AC335" s="51"/>
      <c r="AD335" s="32" t="str">
        <f t="shared" si="15"/>
        <v/>
      </c>
      <c r="AE335" s="32"/>
      <c r="AF335" s="32"/>
      <c r="AG335" s="32"/>
      <c r="AH335" s="32"/>
      <c r="AI335" s="32"/>
      <c r="AJ335" s="32"/>
      <c r="AK335" s="32"/>
      <c r="AL335" s="32"/>
    </row>
    <row r="336" spans="1:38">
      <c r="A336" s="32" t="str">
        <f>_xlfn.TEXTJOIN("",TRUE,_xlfn.XLOOKUP(B336,Input!J:J,Input!G:G,"",0,1),_xlfn.XLOOKUP(B336,Input!J:J,Input!H:H,"",0,1))</f>
        <v/>
      </c>
      <c r="B336" s="32"/>
      <c r="C336" s="51">
        <f>_xlfn.XLOOKUP(B336,Input!J:J,Input!F:F)</f>
        <v>0</v>
      </c>
      <c r="D336" s="32">
        <f>_xlfn.XLOOKUP(C336,Models!H:H,Models!G:G,C336)</f>
        <v>0</v>
      </c>
      <c r="E336" s="32">
        <f>_xlfn.XLOOKUP(B336,Input!J:J,Input!E:E)</f>
        <v>0</v>
      </c>
      <c r="F336" s="32">
        <f>IF(E336="LENOVO",_xlfn.XLOOKUP(B336,Input!J:J,Input!K:K),_xlfn.XLOOKUP(B336,Input!J:J,Input!L:L))</f>
        <v>0</v>
      </c>
      <c r="G336" s="32"/>
      <c r="H336" s="32"/>
      <c r="I336" s="32"/>
      <c r="J336" s="51" t="e">
        <f>INDEX(Input!$D$2:$AC$500,
       MATCH(B336, Input!$J$2:$J$500, 0),
       MATCH("Total Memory", Input!$D$1:$AC$1, 0))</f>
        <v>#N/A</v>
      </c>
      <c r="K336" s="51"/>
      <c r="L336" s="51" t="str" cm="1">
        <f t="array" ref="L336">IFERROR(_xlfn.FILTERXML("&lt;t&gt;&lt;s&gt;" &amp; SUBSTITUTE(K336," / ","&lt;/s&gt;&lt;s&gt;") &amp; "&lt;/s&gt;&lt;/t&gt;","(//s[contains(.,'DDR')])[1]"),"")</f>
        <v/>
      </c>
      <c r="M336" s="32" t="e">
        <f t="shared" si="17"/>
        <v>#N/A</v>
      </c>
      <c r="N336" s="51" t="e">
        <f>INDEX(Input!$D$2:$AC$500,
       MATCH(B336, Input!$J$2:$J$500, 0),
       MATCH("Disk Interface Type", Input!$D$1:$AC$1, 0))</f>
        <v>#N/A</v>
      </c>
      <c r="O336" s="51" t="str" cm="1">
        <f t="array" ref="O336">IFERROR(_xlfn.TEXTJOIN(", ", TRUE, _xlfn._xlws.FILTER(
    INDEX(Input!$D$2:$AC$500,,MATCH("Disk Capacity",Input!$D$1:$AC$1,0)),
    Input!$J$2:$J$500=B336
)), "")</f>
        <v/>
      </c>
      <c r="P336" s="32" t="e">
        <f t="shared" si="16"/>
        <v>#N/A</v>
      </c>
      <c r="Q336" s="51" t="e">
        <f>_xlfn.LET(_xlpm.Result,INDEX(Input!$D$2:$AC$500,
       MATCH(B336, Input!$J$2:$J$500, 0),
       MATCH("Capacity", Input!$D$1:$AC$1, 0)),IF(_xlpm.Result="","",_xlpm.Result))</f>
        <v>#N/A</v>
      </c>
      <c r="R336" s="51" t="e" cm="1">
        <f t="array" ref="R336">_xlfn.TEXTSPLIT(Q336," / ", ,TRUE,0,)</f>
        <v>#N/A</v>
      </c>
      <c r="S336" s="51"/>
      <c r="T336" s="51" t="str" cm="1">
        <f t="array" ref="T336">IFERROR(_xlfn.IFS(
R336="","",
--R336&lt;55,"Battery Defect",
--R336&lt;=69,"Battery D",
--R336&lt;=80,"Battery C",
--R336&gt;80,""
),"")</f>
        <v/>
      </c>
      <c r="U336" s="51" t="str" cm="1">
        <f t="array" ref="U336">IFERROR(_xlfn.IFS(
S336="","",
--S336&lt;55,"Battery Defect",
--S336&lt;=69,"Battery D",
--S336&lt;=80,"Battery C",
--S336&gt;80,""
),"")</f>
        <v/>
      </c>
      <c r="V336" s="51"/>
      <c r="W336" s="51"/>
      <c r="X336" s="51"/>
      <c r="Y336" s="51"/>
      <c r="Z336" s="51"/>
      <c r="AA336" s="51"/>
      <c r="AB336" s="51"/>
      <c r="AC336" s="51"/>
      <c r="AD336" s="32" t="str">
        <f t="shared" si="15"/>
        <v/>
      </c>
      <c r="AE336" s="32"/>
      <c r="AF336" s="32"/>
      <c r="AG336" s="32"/>
      <c r="AH336" s="32"/>
      <c r="AI336" s="32"/>
      <c r="AJ336" s="32"/>
      <c r="AK336" s="32"/>
      <c r="AL336" s="32"/>
    </row>
    <row r="337" spans="1:38">
      <c r="A337" s="32" t="str">
        <f>_xlfn.TEXTJOIN("",TRUE,_xlfn.XLOOKUP(B337,Input!J:J,Input!G:G,"",0,1),_xlfn.XLOOKUP(B337,Input!J:J,Input!H:H,"",0,1))</f>
        <v/>
      </c>
      <c r="B337" s="32"/>
      <c r="C337" s="51">
        <f>_xlfn.XLOOKUP(B337,Input!J:J,Input!F:F)</f>
        <v>0</v>
      </c>
      <c r="D337" s="32">
        <f>_xlfn.XLOOKUP(C337,Models!H:H,Models!G:G,C337)</f>
        <v>0</v>
      </c>
      <c r="E337" s="32">
        <f>_xlfn.XLOOKUP(B337,Input!J:J,Input!E:E)</f>
        <v>0</v>
      </c>
      <c r="F337" s="32">
        <f>IF(E337="LENOVO",_xlfn.XLOOKUP(B337,Input!J:J,Input!K:K),_xlfn.XLOOKUP(B337,Input!J:J,Input!L:L))</f>
        <v>0</v>
      </c>
      <c r="G337" s="32"/>
      <c r="H337" s="32"/>
      <c r="I337" s="32"/>
      <c r="J337" s="51" t="e">
        <f>INDEX(Input!$D$2:$AC$500,
       MATCH(B337, Input!$J$2:$J$500, 0),
       MATCH("Total Memory", Input!$D$1:$AC$1, 0))</f>
        <v>#N/A</v>
      </c>
      <c r="K337" s="51"/>
      <c r="L337" s="51" t="str" cm="1">
        <f t="array" ref="L337">IFERROR(_xlfn.FILTERXML("&lt;t&gt;&lt;s&gt;" &amp; SUBSTITUTE(K337," / ","&lt;/s&gt;&lt;s&gt;") &amp; "&lt;/s&gt;&lt;/t&gt;","(//s[contains(.,'DDR')])[1]"),"")</f>
        <v/>
      </c>
      <c r="M337" s="32" t="e">
        <f t="shared" si="17"/>
        <v>#N/A</v>
      </c>
      <c r="N337" s="51" t="e">
        <f>INDEX(Input!$D$2:$AC$500,
       MATCH(B337, Input!$J$2:$J$500, 0),
       MATCH("Disk Interface Type", Input!$D$1:$AC$1, 0))</f>
        <v>#N/A</v>
      </c>
      <c r="O337" s="51" t="str" cm="1">
        <f t="array" ref="O337">IFERROR(_xlfn.TEXTJOIN(", ", TRUE, _xlfn._xlws.FILTER(
    INDEX(Input!$D$2:$AC$500,,MATCH("Disk Capacity",Input!$D$1:$AC$1,0)),
    Input!$J$2:$J$500=B337
)), "")</f>
        <v/>
      </c>
      <c r="P337" s="32" t="e">
        <f t="shared" si="16"/>
        <v>#N/A</v>
      </c>
      <c r="Q337" s="51" t="e">
        <f>_xlfn.LET(_xlpm.Result,INDEX(Input!$D$2:$AC$500,
       MATCH(B337, Input!$J$2:$J$500, 0),
       MATCH("Capacity", Input!$D$1:$AC$1, 0)),IF(_xlpm.Result="","",_xlpm.Result))</f>
        <v>#N/A</v>
      </c>
      <c r="R337" s="51" t="e" cm="1">
        <f t="array" ref="R337">_xlfn.TEXTSPLIT(Q337," / ", ,TRUE,0,)</f>
        <v>#N/A</v>
      </c>
      <c r="S337" s="51"/>
      <c r="T337" s="51" t="str" cm="1">
        <f t="array" ref="T337">IFERROR(_xlfn.IFS(
R337="","",
--R337&lt;55,"Battery Defect",
--R337&lt;=69,"Battery D",
--R337&lt;=80,"Battery C",
--R337&gt;80,""
),"")</f>
        <v/>
      </c>
      <c r="U337" s="51" t="str" cm="1">
        <f t="array" ref="U337">IFERROR(_xlfn.IFS(
S337="","",
--S337&lt;55,"Battery Defect",
--S337&lt;=69,"Battery D",
--S337&lt;=80,"Battery C",
--S337&gt;80,""
),"")</f>
        <v/>
      </c>
      <c r="V337" s="51"/>
      <c r="W337" s="51"/>
      <c r="X337" s="51"/>
      <c r="Y337" s="51"/>
      <c r="Z337" s="51"/>
      <c r="AA337" s="51"/>
      <c r="AB337" s="51"/>
      <c r="AC337" s="51"/>
      <c r="AD337" s="32" t="str">
        <f t="shared" si="15"/>
        <v/>
      </c>
      <c r="AE337" s="32"/>
      <c r="AF337" s="32"/>
      <c r="AG337" s="32"/>
      <c r="AH337" s="32"/>
      <c r="AI337" s="32"/>
      <c r="AJ337" s="32"/>
      <c r="AK337" s="32"/>
      <c r="AL337" s="32"/>
    </row>
    <row r="338" spans="1:38">
      <c r="A338" s="32" t="str">
        <f>_xlfn.TEXTJOIN("",TRUE,_xlfn.XLOOKUP(B338,Input!J:J,Input!G:G,"",0,1),_xlfn.XLOOKUP(B338,Input!J:J,Input!H:H,"",0,1))</f>
        <v/>
      </c>
      <c r="B338" s="32"/>
      <c r="C338" s="51">
        <f>_xlfn.XLOOKUP(B338,Input!J:J,Input!F:F)</f>
        <v>0</v>
      </c>
      <c r="D338" s="32">
        <f>_xlfn.XLOOKUP(C338,Models!H:H,Models!G:G,C338)</f>
        <v>0</v>
      </c>
      <c r="E338" s="32">
        <f>_xlfn.XLOOKUP(B338,Input!J:J,Input!E:E)</f>
        <v>0</v>
      </c>
      <c r="F338" s="32">
        <f>IF(E338="LENOVO",_xlfn.XLOOKUP(B338,Input!J:J,Input!K:K),_xlfn.XLOOKUP(B338,Input!J:J,Input!L:L))</f>
        <v>0</v>
      </c>
      <c r="G338" s="32"/>
      <c r="H338" s="32"/>
      <c r="I338" s="32"/>
      <c r="J338" s="51" t="e">
        <f>INDEX(Input!$D$2:$AC$500,
       MATCH(B338, Input!$J$2:$J$500, 0),
       MATCH("Total Memory", Input!$D$1:$AC$1, 0))</f>
        <v>#N/A</v>
      </c>
      <c r="K338" s="51"/>
      <c r="L338" s="51" t="str" cm="1">
        <f t="array" ref="L338">IFERROR(_xlfn.FILTERXML("&lt;t&gt;&lt;s&gt;" &amp; SUBSTITUTE(K338," / ","&lt;/s&gt;&lt;s&gt;") &amp; "&lt;/s&gt;&lt;/t&gt;","(//s[contains(.,'DDR')])[1]"),"")</f>
        <v/>
      </c>
      <c r="M338" s="32" t="e">
        <f t="shared" si="17"/>
        <v>#N/A</v>
      </c>
      <c r="N338" s="51" t="e">
        <f>INDEX(Input!$D$2:$AC$500,
       MATCH(B338, Input!$J$2:$J$500, 0),
       MATCH("Disk Interface Type", Input!$D$1:$AC$1, 0))</f>
        <v>#N/A</v>
      </c>
      <c r="O338" s="51" t="str" cm="1">
        <f t="array" ref="O338">IFERROR(_xlfn.TEXTJOIN(", ", TRUE, _xlfn._xlws.FILTER(
    INDEX(Input!$D$2:$AC$500,,MATCH("Disk Capacity",Input!$D$1:$AC$1,0)),
    Input!$J$2:$J$500=B338
)), "")</f>
        <v/>
      </c>
      <c r="P338" s="32" t="e">
        <f t="shared" si="16"/>
        <v>#N/A</v>
      </c>
      <c r="Q338" s="51" t="e">
        <f>_xlfn.LET(_xlpm.Result,INDEX(Input!$D$2:$AC$500,
       MATCH(B338, Input!$J$2:$J$500, 0),
       MATCH("Capacity", Input!$D$1:$AC$1, 0)),IF(_xlpm.Result="","",_xlpm.Result))</f>
        <v>#N/A</v>
      </c>
      <c r="R338" s="51" t="e" cm="1">
        <f t="array" ref="R338">_xlfn.TEXTSPLIT(Q338," / ", ,TRUE,0,)</f>
        <v>#N/A</v>
      </c>
      <c r="S338" s="51"/>
      <c r="T338" s="51" t="str" cm="1">
        <f t="array" ref="T338">IFERROR(_xlfn.IFS(
R338="","",
--R338&lt;55,"Battery Defect",
--R338&lt;=69,"Battery D",
--R338&lt;=80,"Battery C",
--R338&gt;80,""
),"")</f>
        <v/>
      </c>
      <c r="U338" s="51" t="str" cm="1">
        <f t="array" ref="U338">IFERROR(_xlfn.IFS(
S338="","",
--S338&lt;55,"Battery Defect",
--S338&lt;=69,"Battery D",
--S338&lt;=80,"Battery C",
--S338&gt;80,""
),"")</f>
        <v/>
      </c>
      <c r="V338" s="51"/>
      <c r="W338" s="51"/>
      <c r="X338" s="51"/>
      <c r="Y338" s="51"/>
      <c r="Z338" s="51"/>
      <c r="AA338" s="51"/>
      <c r="AB338" s="51"/>
      <c r="AC338" s="51"/>
      <c r="AD338" s="32" t="str">
        <f t="shared" si="15"/>
        <v/>
      </c>
      <c r="AE338" s="32"/>
      <c r="AF338" s="32"/>
      <c r="AG338" s="32"/>
      <c r="AH338" s="32"/>
      <c r="AI338" s="32"/>
      <c r="AJ338" s="32"/>
      <c r="AK338" s="32"/>
      <c r="AL338" s="32"/>
    </row>
    <row r="339" spans="1:38">
      <c r="A339" s="32" t="str">
        <f>_xlfn.TEXTJOIN("",TRUE,_xlfn.XLOOKUP(B339,Input!J:J,Input!G:G,"",0,1),_xlfn.XLOOKUP(B339,Input!J:J,Input!H:H,"",0,1))</f>
        <v/>
      </c>
      <c r="B339" s="32"/>
      <c r="C339" s="51">
        <f>_xlfn.XLOOKUP(B339,Input!J:J,Input!F:F)</f>
        <v>0</v>
      </c>
      <c r="D339" s="32">
        <f>_xlfn.XLOOKUP(C339,Models!H:H,Models!G:G,C339)</f>
        <v>0</v>
      </c>
      <c r="E339" s="32">
        <f>_xlfn.XLOOKUP(B339,Input!J:J,Input!E:E)</f>
        <v>0</v>
      </c>
      <c r="F339" s="32">
        <f>IF(E339="LENOVO",_xlfn.XLOOKUP(B339,Input!J:J,Input!K:K),_xlfn.XLOOKUP(B339,Input!J:J,Input!L:L))</f>
        <v>0</v>
      </c>
      <c r="G339" s="32"/>
      <c r="H339" s="32"/>
      <c r="I339" s="32"/>
      <c r="J339" s="51" t="e">
        <f>INDEX(Input!$D$2:$AC$500,
       MATCH(B339, Input!$J$2:$J$500, 0),
       MATCH("Total Memory", Input!$D$1:$AC$1, 0))</f>
        <v>#N/A</v>
      </c>
      <c r="K339" s="51"/>
      <c r="L339" s="51" t="str" cm="1">
        <f t="array" ref="L339">IFERROR(_xlfn.FILTERXML("&lt;t&gt;&lt;s&gt;" &amp; SUBSTITUTE(K339," / ","&lt;/s&gt;&lt;s&gt;") &amp; "&lt;/s&gt;&lt;/t&gt;","(//s[contains(.,'DDR')])[1]"),"")</f>
        <v/>
      </c>
      <c r="M339" s="32" t="e">
        <f t="shared" si="17"/>
        <v>#N/A</v>
      </c>
      <c r="N339" s="51" t="e">
        <f>INDEX(Input!$D$2:$AC$500,
       MATCH(B339, Input!$J$2:$J$500, 0),
       MATCH("Disk Interface Type", Input!$D$1:$AC$1, 0))</f>
        <v>#N/A</v>
      </c>
      <c r="O339" s="51" t="str" cm="1">
        <f t="array" ref="O339">IFERROR(_xlfn.TEXTJOIN(", ", TRUE, _xlfn._xlws.FILTER(
    INDEX(Input!$D$2:$AC$500,,MATCH("Disk Capacity",Input!$D$1:$AC$1,0)),
    Input!$J$2:$J$500=B339
)), "")</f>
        <v/>
      </c>
      <c r="P339" s="32" t="e">
        <f t="shared" si="16"/>
        <v>#N/A</v>
      </c>
      <c r="Q339" s="51" t="e">
        <f>_xlfn.LET(_xlpm.Result,INDEX(Input!$D$2:$AC$500,
       MATCH(B339, Input!$J$2:$J$500, 0),
       MATCH("Capacity", Input!$D$1:$AC$1, 0)),IF(_xlpm.Result="","",_xlpm.Result))</f>
        <v>#N/A</v>
      </c>
      <c r="R339" s="51" t="e" cm="1">
        <f t="array" ref="R339">_xlfn.TEXTSPLIT(Q339," / ", ,TRUE,0,)</f>
        <v>#N/A</v>
      </c>
      <c r="S339" s="51"/>
      <c r="T339" s="51" t="str" cm="1">
        <f t="array" ref="T339">IFERROR(_xlfn.IFS(
R339="","",
--R339&lt;55,"Battery Defect",
--R339&lt;=69,"Battery D",
--R339&lt;=80,"Battery C",
--R339&gt;80,""
),"")</f>
        <v/>
      </c>
      <c r="U339" s="51" t="str" cm="1">
        <f t="array" ref="U339">IFERROR(_xlfn.IFS(
S339="","",
--S339&lt;55,"Battery Defect",
--S339&lt;=69,"Battery D",
--S339&lt;=80,"Battery C",
--S339&gt;80,""
),"")</f>
        <v/>
      </c>
      <c r="V339" s="51"/>
      <c r="W339" s="51"/>
      <c r="X339" s="51"/>
      <c r="Y339" s="51"/>
      <c r="Z339" s="51"/>
      <c r="AA339" s="51"/>
      <c r="AB339" s="51"/>
      <c r="AC339" s="51"/>
      <c r="AD339" s="32" t="str">
        <f t="shared" si="15"/>
        <v/>
      </c>
      <c r="AE339" s="32"/>
      <c r="AF339" s="32"/>
      <c r="AG339" s="32"/>
      <c r="AH339" s="32"/>
      <c r="AI339" s="32"/>
      <c r="AJ339" s="32"/>
      <c r="AK339" s="32"/>
      <c r="AL339" s="32"/>
    </row>
    <row r="340" spans="1:38">
      <c r="A340" s="32" t="str">
        <f>_xlfn.TEXTJOIN("",TRUE,_xlfn.XLOOKUP(B340,Input!J:J,Input!G:G,"",0,1),_xlfn.XLOOKUP(B340,Input!J:J,Input!H:H,"",0,1))</f>
        <v/>
      </c>
      <c r="B340" s="32"/>
      <c r="C340" s="51">
        <f>_xlfn.XLOOKUP(B340,Input!J:J,Input!F:F)</f>
        <v>0</v>
      </c>
      <c r="D340" s="32">
        <f>_xlfn.XLOOKUP(C340,Models!H:H,Models!G:G,C340)</f>
        <v>0</v>
      </c>
      <c r="E340" s="32">
        <f>_xlfn.XLOOKUP(B340,Input!J:J,Input!E:E)</f>
        <v>0</v>
      </c>
      <c r="F340" s="32">
        <f>IF(E340="LENOVO",_xlfn.XLOOKUP(B340,Input!J:J,Input!K:K),_xlfn.XLOOKUP(B340,Input!J:J,Input!L:L))</f>
        <v>0</v>
      </c>
      <c r="G340" s="32"/>
      <c r="H340" s="32"/>
      <c r="I340" s="32"/>
      <c r="J340" s="51" t="e">
        <f>INDEX(Input!$D$2:$AC$500,
       MATCH(B340, Input!$J$2:$J$500, 0),
       MATCH("Total Memory", Input!$D$1:$AC$1, 0))</f>
        <v>#N/A</v>
      </c>
      <c r="K340" s="51"/>
      <c r="L340" s="51" t="str" cm="1">
        <f t="array" ref="L340">IFERROR(_xlfn.FILTERXML("&lt;t&gt;&lt;s&gt;" &amp; SUBSTITUTE(K340," / ","&lt;/s&gt;&lt;s&gt;") &amp; "&lt;/s&gt;&lt;/t&gt;","(//s[contains(.,'DDR')])[1]"),"")</f>
        <v/>
      </c>
      <c r="M340" s="32" t="e">
        <f t="shared" si="17"/>
        <v>#N/A</v>
      </c>
      <c r="N340" s="51" t="e">
        <f>INDEX(Input!$D$2:$AC$500,
       MATCH(B340, Input!$J$2:$J$500, 0),
       MATCH("Disk Interface Type", Input!$D$1:$AC$1, 0))</f>
        <v>#N/A</v>
      </c>
      <c r="O340" s="51" t="str" cm="1">
        <f t="array" ref="O340">IFERROR(_xlfn.TEXTJOIN(", ", TRUE, _xlfn._xlws.FILTER(
    INDEX(Input!$D$2:$AC$500,,MATCH("Disk Capacity",Input!$D$1:$AC$1,0)),
    Input!$J$2:$J$500=B340
)), "")</f>
        <v/>
      </c>
      <c r="P340" s="32" t="e">
        <f t="shared" si="16"/>
        <v>#N/A</v>
      </c>
      <c r="Q340" s="51" t="e">
        <f>_xlfn.LET(_xlpm.Result,INDEX(Input!$D$2:$AC$500,
       MATCH(B340, Input!$J$2:$J$500, 0),
       MATCH("Capacity", Input!$D$1:$AC$1, 0)),IF(_xlpm.Result="","",_xlpm.Result))</f>
        <v>#N/A</v>
      </c>
      <c r="R340" s="51" t="e" cm="1">
        <f t="array" ref="R340">_xlfn.TEXTSPLIT(Q340," / ", ,TRUE,0,)</f>
        <v>#N/A</v>
      </c>
      <c r="S340" s="51"/>
      <c r="T340" s="51" t="str" cm="1">
        <f t="array" ref="T340">IFERROR(_xlfn.IFS(
R340="","",
--R340&lt;55,"Battery Defect",
--R340&lt;=69,"Battery D",
--R340&lt;=80,"Battery C",
--R340&gt;80,""
),"")</f>
        <v/>
      </c>
      <c r="U340" s="51" t="str" cm="1">
        <f t="array" ref="U340">IFERROR(_xlfn.IFS(
S340="","",
--S340&lt;55,"Battery Defect",
--S340&lt;=69,"Battery D",
--S340&lt;=80,"Battery C",
--S340&gt;80,""
),"")</f>
        <v/>
      </c>
      <c r="V340" s="51"/>
      <c r="W340" s="51"/>
      <c r="X340" s="51"/>
      <c r="Y340" s="51"/>
      <c r="Z340" s="51"/>
      <c r="AA340" s="51"/>
      <c r="AB340" s="51"/>
      <c r="AC340" s="51"/>
      <c r="AD340" s="32" t="str">
        <f t="shared" si="15"/>
        <v/>
      </c>
      <c r="AE340" s="32"/>
      <c r="AF340" s="32"/>
      <c r="AG340" s="32"/>
      <c r="AH340" s="32"/>
      <c r="AI340" s="32"/>
      <c r="AJ340" s="32"/>
      <c r="AK340" s="32"/>
      <c r="AL340" s="32"/>
    </row>
    <row r="341" spans="1:38">
      <c r="A341" s="32" t="str">
        <f>_xlfn.TEXTJOIN("",TRUE,_xlfn.XLOOKUP(B341,Input!J:J,Input!G:G,"",0,1),_xlfn.XLOOKUP(B341,Input!J:J,Input!H:H,"",0,1))</f>
        <v/>
      </c>
      <c r="B341" s="32"/>
      <c r="C341" s="51">
        <f>_xlfn.XLOOKUP(B341,Input!J:J,Input!F:F)</f>
        <v>0</v>
      </c>
      <c r="D341" s="32">
        <f>_xlfn.XLOOKUP(C341,Models!H:H,Models!G:G,C341)</f>
        <v>0</v>
      </c>
      <c r="E341" s="32">
        <f>_xlfn.XLOOKUP(B341,Input!J:J,Input!E:E)</f>
        <v>0</v>
      </c>
      <c r="F341" s="32">
        <f>IF(E341="LENOVO",_xlfn.XLOOKUP(B341,Input!J:J,Input!K:K),_xlfn.XLOOKUP(B341,Input!J:J,Input!L:L))</f>
        <v>0</v>
      </c>
      <c r="G341" s="32"/>
      <c r="H341" s="32"/>
      <c r="I341" s="32"/>
      <c r="J341" s="51" t="e">
        <f>INDEX(Input!$D$2:$AC$500,
       MATCH(B341, Input!$J$2:$J$500, 0),
       MATCH("Total Memory", Input!$D$1:$AC$1, 0))</f>
        <v>#N/A</v>
      </c>
      <c r="K341" s="51"/>
      <c r="L341" s="51" t="str" cm="1">
        <f t="array" ref="L341">IFERROR(_xlfn.FILTERXML("&lt;t&gt;&lt;s&gt;" &amp; SUBSTITUTE(K341," / ","&lt;/s&gt;&lt;s&gt;") &amp; "&lt;/s&gt;&lt;/t&gt;","(//s[contains(.,'DDR')])[1]"),"")</f>
        <v/>
      </c>
      <c r="M341" s="32" t="e">
        <f t="shared" si="17"/>
        <v>#N/A</v>
      </c>
      <c r="N341" s="51" t="e">
        <f>INDEX(Input!$D$2:$AC$500,
       MATCH(B341, Input!$J$2:$J$500, 0),
       MATCH("Disk Interface Type", Input!$D$1:$AC$1, 0))</f>
        <v>#N/A</v>
      </c>
      <c r="O341" s="51" t="str" cm="1">
        <f t="array" ref="O341">IFERROR(_xlfn.TEXTJOIN(", ", TRUE, _xlfn._xlws.FILTER(
    INDEX(Input!$D$2:$AC$500,,MATCH("Disk Capacity",Input!$D$1:$AC$1,0)),
    Input!$J$2:$J$500=B341
)), "")</f>
        <v/>
      </c>
      <c r="P341" s="32" t="e">
        <f t="shared" si="16"/>
        <v>#N/A</v>
      </c>
      <c r="Q341" s="51" t="e">
        <f>_xlfn.LET(_xlpm.Result,INDEX(Input!$D$2:$AC$500,
       MATCH(B341, Input!$J$2:$J$500, 0),
       MATCH("Capacity", Input!$D$1:$AC$1, 0)),IF(_xlpm.Result="","",_xlpm.Result))</f>
        <v>#N/A</v>
      </c>
      <c r="R341" s="51" t="e" cm="1">
        <f t="array" ref="R341">_xlfn.TEXTSPLIT(Q341," / ", ,TRUE,0,)</f>
        <v>#N/A</v>
      </c>
      <c r="S341" s="51"/>
      <c r="T341" s="51" t="str" cm="1">
        <f t="array" ref="T341">IFERROR(_xlfn.IFS(
R341="","",
--R341&lt;55,"Battery Defect",
--R341&lt;=69,"Battery D",
--R341&lt;=80,"Battery C",
--R341&gt;80,""
),"")</f>
        <v/>
      </c>
      <c r="U341" s="51" t="str" cm="1">
        <f t="array" ref="U341">IFERROR(_xlfn.IFS(
S341="","",
--S341&lt;55,"Battery Defect",
--S341&lt;=69,"Battery D",
--S341&lt;=80,"Battery C",
--S341&gt;80,""
),"")</f>
        <v/>
      </c>
      <c r="V341" s="51"/>
      <c r="W341" s="51"/>
      <c r="X341" s="51"/>
      <c r="Y341" s="51"/>
      <c r="Z341" s="51"/>
      <c r="AA341" s="51"/>
      <c r="AB341" s="51"/>
      <c r="AC341" s="51"/>
      <c r="AD341" s="32" t="str">
        <f t="shared" si="15"/>
        <v/>
      </c>
      <c r="AE341" s="32"/>
      <c r="AF341" s="32"/>
      <c r="AG341" s="32"/>
      <c r="AH341" s="32"/>
      <c r="AI341" s="32"/>
      <c r="AJ341" s="32"/>
      <c r="AK341" s="32"/>
      <c r="AL341" s="32"/>
    </row>
    <row r="342" spans="1:38">
      <c r="A342" s="32" t="str">
        <f>_xlfn.TEXTJOIN("",TRUE,_xlfn.XLOOKUP(B342,Input!J:J,Input!G:G,"",0,1),_xlfn.XLOOKUP(B342,Input!J:J,Input!H:H,"",0,1))</f>
        <v/>
      </c>
      <c r="B342" s="32"/>
      <c r="C342" s="51">
        <f>_xlfn.XLOOKUP(B342,Input!J:J,Input!F:F)</f>
        <v>0</v>
      </c>
      <c r="D342" s="32">
        <f>_xlfn.XLOOKUP(C342,Models!H:H,Models!G:G,C342)</f>
        <v>0</v>
      </c>
      <c r="E342" s="32">
        <f>_xlfn.XLOOKUP(B342,Input!J:J,Input!E:E)</f>
        <v>0</v>
      </c>
      <c r="F342" s="32">
        <f>IF(E342="LENOVO",_xlfn.XLOOKUP(B342,Input!J:J,Input!K:K),_xlfn.XLOOKUP(B342,Input!J:J,Input!L:L))</f>
        <v>0</v>
      </c>
      <c r="G342" s="32"/>
      <c r="H342" s="32"/>
      <c r="I342" s="32"/>
      <c r="J342" s="51" t="e">
        <f>INDEX(Input!$D$2:$AC$500,
       MATCH(B342, Input!$J$2:$J$500, 0),
       MATCH("Total Memory", Input!$D$1:$AC$1, 0))</f>
        <v>#N/A</v>
      </c>
      <c r="K342" s="51"/>
      <c r="L342" s="51" t="str" cm="1">
        <f t="array" ref="L342">IFERROR(_xlfn.FILTERXML("&lt;t&gt;&lt;s&gt;" &amp; SUBSTITUTE(K342," / ","&lt;/s&gt;&lt;s&gt;") &amp; "&lt;/s&gt;&lt;/t&gt;","(//s[contains(.,'DDR')])[1]"),"")</f>
        <v/>
      </c>
      <c r="M342" s="32" t="e">
        <f t="shared" si="17"/>
        <v>#N/A</v>
      </c>
      <c r="N342" s="51" t="e">
        <f>INDEX(Input!$D$2:$AC$500,
       MATCH(B342, Input!$J$2:$J$500, 0),
       MATCH("Disk Interface Type", Input!$D$1:$AC$1, 0))</f>
        <v>#N/A</v>
      </c>
      <c r="O342" s="51" t="str" cm="1">
        <f t="array" ref="O342">IFERROR(_xlfn.TEXTJOIN(", ", TRUE, _xlfn._xlws.FILTER(
    INDEX(Input!$D$2:$AC$500,,MATCH("Disk Capacity",Input!$D$1:$AC$1,0)),
    Input!$J$2:$J$500=B342
)), "")</f>
        <v/>
      </c>
      <c r="P342" s="32" t="e">
        <f t="shared" si="16"/>
        <v>#N/A</v>
      </c>
      <c r="Q342" s="51" t="e">
        <f>_xlfn.LET(_xlpm.Result,INDEX(Input!$D$2:$AC$500,
       MATCH(B342, Input!$J$2:$J$500, 0),
       MATCH("Capacity", Input!$D$1:$AC$1, 0)),IF(_xlpm.Result="","",_xlpm.Result))</f>
        <v>#N/A</v>
      </c>
      <c r="R342" s="51" t="e" cm="1">
        <f t="array" ref="R342">_xlfn.TEXTSPLIT(Q342," / ", ,TRUE,0,)</f>
        <v>#N/A</v>
      </c>
      <c r="S342" s="51"/>
      <c r="T342" s="51" t="str" cm="1">
        <f t="array" ref="T342">IFERROR(_xlfn.IFS(
R342="","",
--R342&lt;55,"Battery Defect",
--R342&lt;=69,"Battery D",
--R342&lt;=80,"Battery C",
--R342&gt;80,""
),"")</f>
        <v/>
      </c>
      <c r="U342" s="51" t="str" cm="1">
        <f t="array" ref="U342">IFERROR(_xlfn.IFS(
S342="","",
--S342&lt;55,"Battery Defect",
--S342&lt;=69,"Battery D",
--S342&lt;=80,"Battery C",
--S342&gt;80,""
),"")</f>
        <v/>
      </c>
      <c r="V342" s="51"/>
      <c r="W342" s="51"/>
      <c r="X342" s="51"/>
      <c r="Y342" s="51"/>
      <c r="Z342" s="51"/>
      <c r="AA342" s="51"/>
      <c r="AB342" s="51"/>
      <c r="AC342" s="51"/>
      <c r="AD342" s="32" t="str">
        <f t="shared" si="15"/>
        <v/>
      </c>
      <c r="AE342" s="32"/>
      <c r="AF342" s="32"/>
      <c r="AG342" s="32"/>
      <c r="AH342" s="32"/>
      <c r="AI342" s="32"/>
      <c r="AJ342" s="32"/>
      <c r="AK342" s="32"/>
      <c r="AL342" s="32"/>
    </row>
    <row r="343" spans="1:38">
      <c r="A343" s="32" t="str">
        <f>_xlfn.TEXTJOIN("",TRUE,_xlfn.XLOOKUP(B343,Input!J:J,Input!G:G,"",0,1),_xlfn.XLOOKUP(B343,Input!J:J,Input!H:H,"",0,1))</f>
        <v/>
      </c>
      <c r="B343" s="32"/>
      <c r="C343" s="51">
        <f>_xlfn.XLOOKUP(B343,Input!J:J,Input!F:F)</f>
        <v>0</v>
      </c>
      <c r="D343" s="32">
        <f>_xlfn.XLOOKUP(C343,Models!H:H,Models!G:G,C343)</f>
        <v>0</v>
      </c>
      <c r="E343" s="32">
        <f>_xlfn.XLOOKUP(B343,Input!J:J,Input!E:E)</f>
        <v>0</v>
      </c>
      <c r="F343" s="32">
        <f>IF(E343="LENOVO",_xlfn.XLOOKUP(B343,Input!J:J,Input!K:K),_xlfn.XLOOKUP(B343,Input!J:J,Input!L:L))</f>
        <v>0</v>
      </c>
      <c r="G343" s="32"/>
      <c r="H343" s="32"/>
      <c r="I343" s="32"/>
      <c r="J343" s="51" t="e">
        <f>INDEX(Input!$D$2:$AC$500,
       MATCH(B343, Input!$J$2:$J$500, 0),
       MATCH("Total Memory", Input!$D$1:$AC$1, 0))</f>
        <v>#N/A</v>
      </c>
      <c r="K343" s="51"/>
      <c r="L343" s="51" t="str" cm="1">
        <f t="array" ref="L343">IFERROR(_xlfn.FILTERXML("&lt;t&gt;&lt;s&gt;" &amp; SUBSTITUTE(K343," / ","&lt;/s&gt;&lt;s&gt;") &amp; "&lt;/s&gt;&lt;/t&gt;","(//s[contains(.,'DDR')])[1]"),"")</f>
        <v/>
      </c>
      <c r="M343" s="32" t="e">
        <f t="shared" si="17"/>
        <v>#N/A</v>
      </c>
      <c r="N343" s="51" t="e">
        <f>INDEX(Input!$D$2:$AC$500,
       MATCH(B343, Input!$J$2:$J$500, 0),
       MATCH("Disk Interface Type", Input!$D$1:$AC$1, 0))</f>
        <v>#N/A</v>
      </c>
      <c r="O343" s="51" t="str" cm="1">
        <f t="array" ref="O343">IFERROR(_xlfn.TEXTJOIN(", ", TRUE, _xlfn._xlws.FILTER(
    INDEX(Input!$D$2:$AC$500,,MATCH("Disk Capacity",Input!$D$1:$AC$1,0)),
    Input!$J$2:$J$500=B343
)), "")</f>
        <v/>
      </c>
      <c r="P343" s="32" t="e">
        <f t="shared" si="16"/>
        <v>#N/A</v>
      </c>
      <c r="Q343" s="51" t="e">
        <f>_xlfn.LET(_xlpm.Result,INDEX(Input!$D$2:$AC$500,
       MATCH(B343, Input!$J$2:$J$500, 0),
       MATCH("Capacity", Input!$D$1:$AC$1, 0)),IF(_xlpm.Result="","",_xlpm.Result))</f>
        <v>#N/A</v>
      </c>
      <c r="R343" s="51" t="e" cm="1">
        <f t="array" ref="R343">_xlfn.TEXTSPLIT(Q343," / ", ,TRUE,0,)</f>
        <v>#N/A</v>
      </c>
      <c r="S343" s="51"/>
      <c r="T343" s="51" t="str" cm="1">
        <f t="array" ref="T343">IFERROR(_xlfn.IFS(
R343="","",
--R343&lt;55,"Battery Defect",
--R343&lt;=69,"Battery D",
--R343&lt;=80,"Battery C",
--R343&gt;80,""
),"")</f>
        <v/>
      </c>
      <c r="U343" s="51" t="str" cm="1">
        <f t="array" ref="U343">IFERROR(_xlfn.IFS(
S343="","",
--S343&lt;55,"Battery Defect",
--S343&lt;=69,"Battery D",
--S343&lt;=80,"Battery C",
--S343&gt;80,""
),"")</f>
        <v/>
      </c>
      <c r="V343" s="51"/>
      <c r="W343" s="51"/>
      <c r="X343" s="51"/>
      <c r="Y343" s="51"/>
      <c r="Z343" s="51"/>
      <c r="AA343" s="51"/>
      <c r="AB343" s="51"/>
      <c r="AC343" s="51"/>
      <c r="AD343" s="32" t="str">
        <f t="shared" si="15"/>
        <v/>
      </c>
      <c r="AE343" s="32"/>
      <c r="AF343" s="32"/>
      <c r="AG343" s="32"/>
      <c r="AH343" s="32"/>
      <c r="AI343" s="32"/>
      <c r="AJ343" s="32"/>
      <c r="AK343" s="32"/>
      <c r="AL343" s="32"/>
    </row>
    <row r="344" spans="1:38">
      <c r="A344" s="32" t="str">
        <f>_xlfn.TEXTJOIN("",TRUE,_xlfn.XLOOKUP(B344,Input!J:J,Input!G:G,"",0,1),_xlfn.XLOOKUP(B344,Input!J:J,Input!H:H,"",0,1))</f>
        <v/>
      </c>
      <c r="B344" s="32"/>
      <c r="C344" s="51">
        <f>_xlfn.XLOOKUP(B344,Input!J:J,Input!F:F)</f>
        <v>0</v>
      </c>
      <c r="D344" s="32">
        <f>_xlfn.XLOOKUP(C344,Models!H:H,Models!G:G,C344)</f>
        <v>0</v>
      </c>
      <c r="E344" s="32">
        <f>_xlfn.XLOOKUP(B344,Input!J:J,Input!E:E)</f>
        <v>0</v>
      </c>
      <c r="F344" s="32">
        <f>IF(E344="LENOVO",_xlfn.XLOOKUP(B344,Input!J:J,Input!K:K),_xlfn.XLOOKUP(B344,Input!J:J,Input!L:L))</f>
        <v>0</v>
      </c>
      <c r="G344" s="32"/>
      <c r="H344" s="32"/>
      <c r="I344" s="32"/>
      <c r="J344" s="51" t="e">
        <f>INDEX(Input!$D$2:$AC$500,
       MATCH(B344, Input!$J$2:$J$500, 0),
       MATCH("Total Memory", Input!$D$1:$AC$1, 0))</f>
        <v>#N/A</v>
      </c>
      <c r="K344" s="51"/>
      <c r="L344" s="51" t="str" cm="1">
        <f t="array" ref="L344">IFERROR(_xlfn.FILTERXML("&lt;t&gt;&lt;s&gt;" &amp; SUBSTITUTE(K344," / ","&lt;/s&gt;&lt;s&gt;") &amp; "&lt;/s&gt;&lt;/t&gt;","(//s[contains(.,'DDR')])[1]"),"")</f>
        <v/>
      </c>
      <c r="M344" s="32" t="e">
        <f t="shared" si="17"/>
        <v>#N/A</v>
      </c>
      <c r="N344" s="51" t="e">
        <f>INDEX(Input!$D$2:$AC$500,
       MATCH(B344, Input!$J$2:$J$500, 0),
       MATCH("Disk Interface Type", Input!$D$1:$AC$1, 0))</f>
        <v>#N/A</v>
      </c>
      <c r="O344" s="51" t="str" cm="1">
        <f t="array" ref="O344">IFERROR(_xlfn.TEXTJOIN(", ", TRUE, _xlfn._xlws.FILTER(
    INDEX(Input!$D$2:$AC$500,,MATCH("Disk Capacity",Input!$D$1:$AC$1,0)),
    Input!$J$2:$J$500=B344
)), "")</f>
        <v/>
      </c>
      <c r="P344" s="32" t="e">
        <f t="shared" si="16"/>
        <v>#N/A</v>
      </c>
      <c r="Q344" s="51" t="e">
        <f>_xlfn.LET(_xlpm.Result,INDEX(Input!$D$2:$AC$500,
       MATCH(B344, Input!$J$2:$J$500, 0),
       MATCH("Capacity", Input!$D$1:$AC$1, 0)),IF(_xlpm.Result="","",_xlpm.Result))</f>
        <v>#N/A</v>
      </c>
      <c r="R344" s="51" t="e" cm="1">
        <f t="array" ref="R344">_xlfn.TEXTSPLIT(Q344," / ", ,TRUE,0,)</f>
        <v>#N/A</v>
      </c>
      <c r="S344" s="51"/>
      <c r="T344" s="51" t="str" cm="1">
        <f t="array" ref="T344">IFERROR(_xlfn.IFS(
R344="","",
--R344&lt;55,"Battery Defect",
--R344&lt;=69,"Battery D",
--R344&lt;=80,"Battery C",
--R344&gt;80,""
),"")</f>
        <v/>
      </c>
      <c r="U344" s="51" t="str" cm="1">
        <f t="array" ref="U344">IFERROR(_xlfn.IFS(
S344="","",
--S344&lt;55,"Battery Defect",
--S344&lt;=69,"Battery D",
--S344&lt;=80,"Battery C",
--S344&gt;80,""
),"")</f>
        <v/>
      </c>
      <c r="V344" s="51"/>
      <c r="W344" s="51"/>
      <c r="X344" s="51"/>
      <c r="Y344" s="51"/>
      <c r="Z344" s="51"/>
      <c r="AA344" s="51"/>
      <c r="AB344" s="51"/>
      <c r="AC344" s="51"/>
      <c r="AD344" s="32" t="str">
        <f t="shared" si="15"/>
        <v/>
      </c>
      <c r="AE344" s="32"/>
      <c r="AF344" s="32"/>
      <c r="AG344" s="32"/>
      <c r="AH344" s="32"/>
      <c r="AI344" s="32"/>
      <c r="AJ344" s="32"/>
      <c r="AK344" s="32"/>
      <c r="AL344" s="32"/>
    </row>
    <row r="345" spans="1:38">
      <c r="A345" s="32" t="str">
        <f>_xlfn.TEXTJOIN("",TRUE,_xlfn.XLOOKUP(B345,Input!J:J,Input!G:G,"",0,1),_xlfn.XLOOKUP(B345,Input!J:J,Input!H:H,"",0,1))</f>
        <v/>
      </c>
      <c r="B345" s="32"/>
      <c r="C345" s="51">
        <f>_xlfn.XLOOKUP(B345,Input!J:J,Input!F:F)</f>
        <v>0</v>
      </c>
      <c r="D345" s="32">
        <f>_xlfn.XLOOKUP(C345,Models!H:H,Models!G:G,C345)</f>
        <v>0</v>
      </c>
      <c r="E345" s="32">
        <f>_xlfn.XLOOKUP(B345,Input!J:J,Input!E:E)</f>
        <v>0</v>
      </c>
      <c r="F345" s="32">
        <f>IF(E345="LENOVO",_xlfn.XLOOKUP(B345,Input!J:J,Input!K:K),_xlfn.XLOOKUP(B345,Input!J:J,Input!L:L))</f>
        <v>0</v>
      </c>
      <c r="G345" s="32"/>
      <c r="H345" s="32"/>
      <c r="I345" s="32"/>
      <c r="J345" s="51" t="e">
        <f>INDEX(Input!$D$2:$AC$500,
       MATCH(B345, Input!$J$2:$J$500, 0),
       MATCH("Total Memory", Input!$D$1:$AC$1, 0))</f>
        <v>#N/A</v>
      </c>
      <c r="K345" s="51"/>
      <c r="L345" s="51" t="str" cm="1">
        <f t="array" ref="L345">IFERROR(_xlfn.FILTERXML("&lt;t&gt;&lt;s&gt;" &amp; SUBSTITUTE(K345," / ","&lt;/s&gt;&lt;s&gt;") &amp; "&lt;/s&gt;&lt;/t&gt;","(//s[contains(.,'DDR')])[1]"),"")</f>
        <v/>
      </c>
      <c r="M345" s="32" t="e">
        <f t="shared" si="17"/>
        <v>#N/A</v>
      </c>
      <c r="N345" s="51" t="e">
        <f>INDEX(Input!$D$2:$AC$500,
       MATCH(B345, Input!$J$2:$J$500, 0),
       MATCH("Disk Interface Type", Input!$D$1:$AC$1, 0))</f>
        <v>#N/A</v>
      </c>
      <c r="O345" s="51" t="str" cm="1">
        <f t="array" ref="O345">IFERROR(_xlfn.TEXTJOIN(", ", TRUE, _xlfn._xlws.FILTER(
    INDEX(Input!$D$2:$AC$500,,MATCH("Disk Capacity",Input!$D$1:$AC$1,0)),
    Input!$J$2:$J$500=B345
)), "")</f>
        <v/>
      </c>
      <c r="P345" s="32" t="e">
        <f t="shared" si="16"/>
        <v>#N/A</v>
      </c>
      <c r="Q345" s="51" t="e">
        <f>_xlfn.LET(_xlpm.Result,INDEX(Input!$D$2:$AC$500,
       MATCH(B345, Input!$J$2:$J$500, 0),
       MATCH("Capacity", Input!$D$1:$AC$1, 0)),IF(_xlpm.Result="","",_xlpm.Result))</f>
        <v>#N/A</v>
      </c>
      <c r="R345" s="51" t="e" cm="1">
        <f t="array" ref="R345">_xlfn.TEXTSPLIT(Q345," / ", ,TRUE,0,)</f>
        <v>#N/A</v>
      </c>
      <c r="S345" s="51"/>
      <c r="T345" s="51" t="str" cm="1">
        <f t="array" ref="T345">IFERROR(_xlfn.IFS(
R345="","",
--R345&lt;55,"Battery Defect",
--R345&lt;=69,"Battery D",
--R345&lt;=80,"Battery C",
--R345&gt;80,""
),"")</f>
        <v/>
      </c>
      <c r="U345" s="51" t="str" cm="1">
        <f t="array" ref="U345">IFERROR(_xlfn.IFS(
S345="","",
--S345&lt;55,"Battery Defect",
--S345&lt;=69,"Battery D",
--S345&lt;=80,"Battery C",
--S345&gt;80,""
),"")</f>
        <v/>
      </c>
      <c r="V345" s="51"/>
      <c r="W345" s="51"/>
      <c r="X345" s="51"/>
      <c r="Y345" s="51"/>
      <c r="Z345" s="51"/>
      <c r="AA345" s="51"/>
      <c r="AB345" s="51"/>
      <c r="AC345" s="51"/>
      <c r="AD345" s="32" t="str">
        <f t="shared" si="15"/>
        <v/>
      </c>
      <c r="AE345" s="32"/>
      <c r="AF345" s="32"/>
      <c r="AG345" s="32"/>
      <c r="AH345" s="32"/>
      <c r="AI345" s="32"/>
      <c r="AJ345" s="32"/>
      <c r="AK345" s="32"/>
      <c r="AL345" s="32"/>
    </row>
    <row r="346" spans="1:38">
      <c r="A346" s="32" t="str">
        <f>_xlfn.TEXTJOIN("",TRUE,_xlfn.XLOOKUP(B346,Input!J:J,Input!G:G,"",0,1),_xlfn.XLOOKUP(B346,Input!J:J,Input!H:H,"",0,1))</f>
        <v/>
      </c>
      <c r="B346" s="32"/>
      <c r="C346" s="51">
        <f>_xlfn.XLOOKUP(B346,Input!J:J,Input!F:F)</f>
        <v>0</v>
      </c>
      <c r="D346" s="32">
        <f>_xlfn.XLOOKUP(C346,Models!H:H,Models!G:G,C346)</f>
        <v>0</v>
      </c>
      <c r="E346" s="32">
        <f>_xlfn.XLOOKUP(B346,Input!J:J,Input!E:E)</f>
        <v>0</v>
      </c>
      <c r="F346" s="32">
        <f>IF(E346="LENOVO",_xlfn.XLOOKUP(B346,Input!J:J,Input!K:K),_xlfn.XLOOKUP(B346,Input!J:J,Input!L:L))</f>
        <v>0</v>
      </c>
      <c r="G346" s="32"/>
      <c r="H346" s="32"/>
      <c r="I346" s="32"/>
      <c r="J346" s="51" t="e">
        <f>INDEX(Input!$D$2:$AC$500,
       MATCH(B346, Input!$J$2:$J$500, 0),
       MATCH("Total Memory", Input!$D$1:$AC$1, 0))</f>
        <v>#N/A</v>
      </c>
      <c r="K346" s="51"/>
      <c r="L346" s="51" t="str" cm="1">
        <f t="array" ref="L346">IFERROR(_xlfn.FILTERXML("&lt;t&gt;&lt;s&gt;" &amp; SUBSTITUTE(K346," / ","&lt;/s&gt;&lt;s&gt;") &amp; "&lt;/s&gt;&lt;/t&gt;","(//s[contains(.,'DDR')])[1]"),"")</f>
        <v/>
      </c>
      <c r="M346" s="32" t="e">
        <f t="shared" si="17"/>
        <v>#N/A</v>
      </c>
      <c r="N346" s="51" t="e">
        <f>INDEX(Input!$D$2:$AC$500,
       MATCH(B346, Input!$J$2:$J$500, 0),
       MATCH("Disk Interface Type", Input!$D$1:$AC$1, 0))</f>
        <v>#N/A</v>
      </c>
      <c r="O346" s="51" t="str" cm="1">
        <f t="array" ref="O346">IFERROR(_xlfn.TEXTJOIN(", ", TRUE, _xlfn._xlws.FILTER(
    INDEX(Input!$D$2:$AC$500,,MATCH("Disk Capacity",Input!$D$1:$AC$1,0)),
    Input!$J$2:$J$500=B346
)), "")</f>
        <v/>
      </c>
      <c r="P346" s="32" t="e">
        <f t="shared" si="16"/>
        <v>#N/A</v>
      </c>
      <c r="Q346" s="51" t="e">
        <f>_xlfn.LET(_xlpm.Result,INDEX(Input!$D$2:$AC$500,
       MATCH(B346, Input!$J$2:$J$500, 0),
       MATCH("Capacity", Input!$D$1:$AC$1, 0)),IF(_xlpm.Result="","",_xlpm.Result))</f>
        <v>#N/A</v>
      </c>
      <c r="R346" s="51" t="e" cm="1">
        <f t="array" ref="R346">_xlfn.TEXTSPLIT(Q346," / ", ,TRUE,0,)</f>
        <v>#N/A</v>
      </c>
      <c r="S346" s="51"/>
      <c r="T346" s="51" t="str" cm="1">
        <f t="array" ref="T346">IFERROR(_xlfn.IFS(
R346="","",
--R346&lt;55,"Battery Defect",
--R346&lt;=69,"Battery D",
--R346&lt;=80,"Battery C",
--R346&gt;80,""
),"")</f>
        <v/>
      </c>
      <c r="U346" s="51" t="str" cm="1">
        <f t="array" ref="U346">IFERROR(_xlfn.IFS(
S346="","",
--S346&lt;55,"Battery Defect",
--S346&lt;=69,"Battery D",
--S346&lt;=80,"Battery C",
--S346&gt;80,""
),"")</f>
        <v/>
      </c>
      <c r="V346" s="51"/>
      <c r="W346" s="51"/>
      <c r="X346" s="51"/>
      <c r="Y346" s="51"/>
      <c r="Z346" s="51"/>
      <c r="AA346" s="51"/>
      <c r="AB346" s="51"/>
      <c r="AC346" s="51"/>
      <c r="AD346" s="32" t="str">
        <f t="shared" si="15"/>
        <v/>
      </c>
      <c r="AE346" s="32"/>
      <c r="AF346" s="32"/>
      <c r="AG346" s="32"/>
      <c r="AH346" s="32"/>
      <c r="AI346" s="32"/>
      <c r="AJ346" s="32"/>
      <c r="AK346" s="32"/>
      <c r="AL346" s="32"/>
    </row>
    <row r="347" spans="1:38">
      <c r="A347" s="32" t="str">
        <f>_xlfn.TEXTJOIN("",TRUE,_xlfn.XLOOKUP(B347,Input!J:J,Input!G:G,"",0,1),_xlfn.XLOOKUP(B347,Input!J:J,Input!H:H,"",0,1))</f>
        <v/>
      </c>
      <c r="B347" s="32"/>
      <c r="C347" s="51">
        <f>_xlfn.XLOOKUP(B347,Input!J:J,Input!F:F)</f>
        <v>0</v>
      </c>
      <c r="D347" s="32">
        <f>_xlfn.XLOOKUP(C347,Models!H:H,Models!G:G,C347)</f>
        <v>0</v>
      </c>
      <c r="E347" s="32">
        <f>_xlfn.XLOOKUP(B347,Input!J:J,Input!E:E)</f>
        <v>0</v>
      </c>
      <c r="F347" s="32">
        <f>IF(E347="LENOVO",_xlfn.XLOOKUP(B347,Input!J:J,Input!K:K),_xlfn.XLOOKUP(B347,Input!J:J,Input!L:L))</f>
        <v>0</v>
      </c>
      <c r="G347" s="32"/>
      <c r="H347" s="32"/>
      <c r="I347" s="32"/>
      <c r="J347" s="51" t="e">
        <f>INDEX(Input!$D$2:$AC$500,
       MATCH(B347, Input!$J$2:$J$500, 0),
       MATCH("Total Memory", Input!$D$1:$AC$1, 0))</f>
        <v>#N/A</v>
      </c>
      <c r="K347" s="51"/>
      <c r="L347" s="51" t="str" cm="1">
        <f t="array" ref="L347">IFERROR(_xlfn.FILTERXML("&lt;t&gt;&lt;s&gt;" &amp; SUBSTITUTE(K347," / ","&lt;/s&gt;&lt;s&gt;") &amp; "&lt;/s&gt;&lt;/t&gt;","(//s[contains(.,'DDR')])[1]"),"")</f>
        <v/>
      </c>
      <c r="M347" s="32" t="e">
        <f t="shared" si="17"/>
        <v>#N/A</v>
      </c>
      <c r="N347" s="51" t="e">
        <f>INDEX(Input!$D$2:$AC$500,
       MATCH(B347, Input!$J$2:$J$500, 0),
       MATCH("Disk Interface Type", Input!$D$1:$AC$1, 0))</f>
        <v>#N/A</v>
      </c>
      <c r="O347" s="51" t="str" cm="1">
        <f t="array" ref="O347">IFERROR(_xlfn.TEXTJOIN(", ", TRUE, _xlfn._xlws.FILTER(
    INDEX(Input!$D$2:$AC$500,,MATCH("Disk Capacity",Input!$D$1:$AC$1,0)),
    Input!$J$2:$J$500=B347
)), "")</f>
        <v/>
      </c>
      <c r="P347" s="32" t="e">
        <f t="shared" si="16"/>
        <v>#N/A</v>
      </c>
      <c r="Q347" s="51" t="e">
        <f>_xlfn.LET(_xlpm.Result,INDEX(Input!$D$2:$AC$500,
       MATCH(B347, Input!$J$2:$J$500, 0),
       MATCH("Capacity", Input!$D$1:$AC$1, 0)),IF(_xlpm.Result="","",_xlpm.Result))</f>
        <v>#N/A</v>
      </c>
      <c r="R347" s="51" t="e" cm="1">
        <f t="array" ref="R347">_xlfn.TEXTSPLIT(Q347," / ", ,TRUE,0,)</f>
        <v>#N/A</v>
      </c>
      <c r="S347" s="51"/>
      <c r="T347" s="51" t="str" cm="1">
        <f t="array" ref="T347">IFERROR(_xlfn.IFS(
R347="","",
--R347&lt;55,"Battery Defect",
--R347&lt;=69,"Battery D",
--R347&lt;=80,"Battery C",
--R347&gt;80,""
),"")</f>
        <v/>
      </c>
      <c r="U347" s="51" t="str" cm="1">
        <f t="array" ref="U347">IFERROR(_xlfn.IFS(
S347="","",
--S347&lt;55,"Battery Defect",
--S347&lt;=69,"Battery D",
--S347&lt;=80,"Battery C",
--S347&gt;80,""
),"")</f>
        <v/>
      </c>
      <c r="V347" s="51"/>
      <c r="W347" s="51"/>
      <c r="X347" s="51"/>
      <c r="Y347" s="51"/>
      <c r="Z347" s="51"/>
      <c r="AA347" s="51"/>
      <c r="AB347" s="51"/>
      <c r="AC347" s="51"/>
      <c r="AD347" s="32" t="str">
        <f t="shared" si="15"/>
        <v/>
      </c>
      <c r="AE347" s="32"/>
      <c r="AF347" s="32"/>
      <c r="AG347" s="32"/>
      <c r="AH347" s="32"/>
      <c r="AI347" s="32"/>
      <c r="AJ347" s="32"/>
      <c r="AK347" s="32"/>
      <c r="AL347" s="32"/>
    </row>
    <row r="348" spans="1:38">
      <c r="A348" s="32" t="str">
        <f>_xlfn.TEXTJOIN("",TRUE,_xlfn.XLOOKUP(B348,Input!J:J,Input!G:G,"",0,1),_xlfn.XLOOKUP(B348,Input!J:J,Input!H:H,"",0,1))</f>
        <v/>
      </c>
      <c r="B348" s="32"/>
      <c r="C348" s="51">
        <f>_xlfn.XLOOKUP(B348,Input!J:J,Input!F:F)</f>
        <v>0</v>
      </c>
      <c r="D348" s="32">
        <f>_xlfn.XLOOKUP(C348,Models!H:H,Models!G:G,C348)</f>
        <v>0</v>
      </c>
      <c r="E348" s="32">
        <f>_xlfn.XLOOKUP(B348,Input!J:J,Input!E:E)</f>
        <v>0</v>
      </c>
      <c r="F348" s="32">
        <f>IF(E348="LENOVO",_xlfn.XLOOKUP(B348,Input!J:J,Input!K:K),_xlfn.XLOOKUP(B348,Input!J:J,Input!L:L))</f>
        <v>0</v>
      </c>
      <c r="G348" s="32"/>
      <c r="H348" s="32"/>
      <c r="I348" s="32"/>
      <c r="J348" s="51" t="e">
        <f>INDEX(Input!$D$2:$AC$500,
       MATCH(B348, Input!$J$2:$J$500, 0),
       MATCH("Total Memory", Input!$D$1:$AC$1, 0))</f>
        <v>#N/A</v>
      </c>
      <c r="K348" s="51"/>
      <c r="L348" s="51" t="str" cm="1">
        <f t="array" ref="L348">IFERROR(_xlfn.FILTERXML("&lt;t&gt;&lt;s&gt;" &amp; SUBSTITUTE(K348," / ","&lt;/s&gt;&lt;s&gt;") &amp; "&lt;/s&gt;&lt;/t&gt;","(//s[contains(.,'DDR')])[1]"),"")</f>
        <v/>
      </c>
      <c r="M348" s="32" t="e">
        <f t="shared" si="17"/>
        <v>#N/A</v>
      </c>
      <c r="N348" s="51" t="e">
        <f>INDEX(Input!$D$2:$AC$500,
       MATCH(B348, Input!$J$2:$J$500, 0),
       MATCH("Disk Interface Type", Input!$D$1:$AC$1, 0))</f>
        <v>#N/A</v>
      </c>
      <c r="O348" s="51" t="str" cm="1">
        <f t="array" ref="O348">IFERROR(_xlfn.TEXTJOIN(", ", TRUE, _xlfn._xlws.FILTER(
    INDEX(Input!$D$2:$AC$500,,MATCH("Disk Capacity",Input!$D$1:$AC$1,0)),
    Input!$J$2:$J$500=B348
)), "")</f>
        <v/>
      </c>
      <c r="P348" s="32" t="e">
        <f t="shared" si="16"/>
        <v>#N/A</v>
      </c>
      <c r="Q348" s="51" t="e">
        <f>_xlfn.LET(_xlpm.Result,INDEX(Input!$D$2:$AC$500,
       MATCH(B348, Input!$J$2:$J$500, 0),
       MATCH("Capacity", Input!$D$1:$AC$1, 0)),IF(_xlpm.Result="","",_xlpm.Result))</f>
        <v>#N/A</v>
      </c>
      <c r="R348" s="51" t="e" cm="1">
        <f t="array" ref="R348">_xlfn.TEXTSPLIT(Q348," / ", ,TRUE,0,)</f>
        <v>#N/A</v>
      </c>
      <c r="S348" s="51"/>
      <c r="T348" s="51" t="str" cm="1">
        <f t="array" ref="T348">IFERROR(_xlfn.IFS(
R348="","",
--R348&lt;55,"Battery Defect",
--R348&lt;=69,"Battery D",
--R348&lt;=80,"Battery C",
--R348&gt;80,""
),"")</f>
        <v/>
      </c>
      <c r="U348" s="51" t="str" cm="1">
        <f t="array" ref="U348">IFERROR(_xlfn.IFS(
S348="","",
--S348&lt;55,"Battery Defect",
--S348&lt;=69,"Battery D",
--S348&lt;=80,"Battery C",
--S348&gt;80,""
),"")</f>
        <v/>
      </c>
      <c r="V348" s="51"/>
      <c r="W348" s="51"/>
      <c r="X348" s="51"/>
      <c r="Y348" s="51"/>
      <c r="Z348" s="51"/>
      <c r="AA348" s="51"/>
      <c r="AB348" s="51"/>
      <c r="AC348" s="51"/>
      <c r="AD348" s="32" t="str">
        <f t="shared" si="15"/>
        <v/>
      </c>
      <c r="AE348" s="32"/>
      <c r="AF348" s="32"/>
      <c r="AG348" s="32"/>
      <c r="AH348" s="32"/>
      <c r="AI348" s="32"/>
      <c r="AJ348" s="32"/>
      <c r="AK348" s="32"/>
      <c r="AL348" s="32"/>
    </row>
    <row r="349" spans="1:38">
      <c r="A349" s="32" t="str">
        <f>_xlfn.TEXTJOIN("",TRUE,_xlfn.XLOOKUP(B349,Input!J:J,Input!G:G,"",0,1),_xlfn.XLOOKUP(B349,Input!J:J,Input!H:H,"",0,1))</f>
        <v/>
      </c>
      <c r="B349" s="32"/>
      <c r="C349" s="51">
        <f>_xlfn.XLOOKUP(B349,Input!J:J,Input!F:F)</f>
        <v>0</v>
      </c>
      <c r="D349" s="32">
        <f>_xlfn.XLOOKUP(C349,Models!H:H,Models!G:G,C349)</f>
        <v>0</v>
      </c>
      <c r="E349" s="32">
        <f>_xlfn.XLOOKUP(B349,Input!J:J,Input!E:E)</f>
        <v>0</v>
      </c>
      <c r="F349" s="32">
        <f>IF(E349="LENOVO",_xlfn.XLOOKUP(B349,Input!J:J,Input!K:K),_xlfn.XLOOKUP(B349,Input!J:J,Input!L:L))</f>
        <v>0</v>
      </c>
      <c r="G349" s="32"/>
      <c r="H349" s="32"/>
      <c r="I349" s="32"/>
      <c r="J349" s="51" t="e">
        <f>INDEX(Input!$D$2:$AC$500,
       MATCH(B349, Input!$J$2:$J$500, 0),
       MATCH("Total Memory", Input!$D$1:$AC$1, 0))</f>
        <v>#N/A</v>
      </c>
      <c r="K349" s="51"/>
      <c r="L349" s="51" t="str" cm="1">
        <f t="array" ref="L349">IFERROR(_xlfn.FILTERXML("&lt;t&gt;&lt;s&gt;" &amp; SUBSTITUTE(K349," / ","&lt;/s&gt;&lt;s&gt;") &amp; "&lt;/s&gt;&lt;/t&gt;","(//s[contains(.,'DDR')])[1]"),"")</f>
        <v/>
      </c>
      <c r="M349" s="32" t="e">
        <f t="shared" si="17"/>
        <v>#N/A</v>
      </c>
      <c r="N349" s="51" t="e">
        <f>INDEX(Input!$D$2:$AC$500,
       MATCH(B349, Input!$J$2:$J$500, 0),
       MATCH("Disk Interface Type", Input!$D$1:$AC$1, 0))</f>
        <v>#N/A</v>
      </c>
      <c r="O349" s="51" t="str" cm="1">
        <f t="array" ref="O349">IFERROR(_xlfn.TEXTJOIN(", ", TRUE, _xlfn._xlws.FILTER(
    INDEX(Input!$D$2:$AC$500,,MATCH("Disk Capacity",Input!$D$1:$AC$1,0)),
    Input!$J$2:$J$500=B349
)), "")</f>
        <v/>
      </c>
      <c r="P349" s="32" t="e">
        <f t="shared" si="16"/>
        <v>#N/A</v>
      </c>
      <c r="Q349" s="51" t="e">
        <f>_xlfn.LET(_xlpm.Result,INDEX(Input!$D$2:$AC$500,
       MATCH(B349, Input!$J$2:$J$500, 0),
       MATCH("Capacity", Input!$D$1:$AC$1, 0)),IF(_xlpm.Result="","",_xlpm.Result))</f>
        <v>#N/A</v>
      </c>
      <c r="R349" s="51" t="e" cm="1">
        <f t="array" ref="R349">_xlfn.TEXTSPLIT(Q349," / ", ,TRUE,0,)</f>
        <v>#N/A</v>
      </c>
      <c r="S349" s="51"/>
      <c r="T349" s="51" t="str" cm="1">
        <f t="array" ref="T349">IFERROR(_xlfn.IFS(
R349="","",
--R349&lt;55,"Battery Defect",
--R349&lt;=69,"Battery D",
--R349&lt;=80,"Battery C",
--R349&gt;80,""
),"")</f>
        <v/>
      </c>
      <c r="U349" s="51" t="str" cm="1">
        <f t="array" ref="U349">IFERROR(_xlfn.IFS(
S349="","",
--S349&lt;55,"Battery Defect",
--S349&lt;=69,"Battery D",
--S349&lt;=80,"Battery C",
--S349&gt;80,""
),"")</f>
        <v/>
      </c>
      <c r="V349" s="51"/>
      <c r="W349" s="51"/>
      <c r="X349" s="51"/>
      <c r="Y349" s="51"/>
      <c r="Z349" s="51"/>
      <c r="AA349" s="51"/>
      <c r="AB349" s="51"/>
      <c r="AC349" s="51"/>
      <c r="AD349" s="32" t="str">
        <f t="shared" si="15"/>
        <v/>
      </c>
      <c r="AE349" s="32"/>
      <c r="AF349" s="32"/>
      <c r="AG349" s="32"/>
      <c r="AH349" s="32"/>
      <c r="AI349" s="32"/>
      <c r="AJ349" s="32"/>
      <c r="AK349" s="32"/>
      <c r="AL349" s="32"/>
    </row>
    <row r="350" spans="1:38">
      <c r="A350" s="32" t="str">
        <f>_xlfn.TEXTJOIN("",TRUE,_xlfn.XLOOKUP(B350,Input!J:J,Input!G:G,"",0,1),_xlfn.XLOOKUP(B350,Input!J:J,Input!H:H,"",0,1))</f>
        <v/>
      </c>
      <c r="B350" s="32"/>
      <c r="C350" s="51">
        <f>_xlfn.XLOOKUP(B350,Input!J:J,Input!F:F)</f>
        <v>0</v>
      </c>
      <c r="D350" s="32">
        <f>_xlfn.XLOOKUP(C350,Models!H:H,Models!G:G,C350)</f>
        <v>0</v>
      </c>
      <c r="E350" s="32">
        <f>_xlfn.XLOOKUP(B350,Input!J:J,Input!E:E)</f>
        <v>0</v>
      </c>
      <c r="F350" s="32">
        <f>IF(E350="LENOVO",_xlfn.XLOOKUP(B350,Input!J:J,Input!K:K),_xlfn.XLOOKUP(B350,Input!J:J,Input!L:L))</f>
        <v>0</v>
      </c>
      <c r="G350" s="32"/>
      <c r="H350" s="32"/>
      <c r="I350" s="32"/>
      <c r="J350" s="51" t="e">
        <f>INDEX(Input!$D$2:$AC$500,
       MATCH(B350, Input!$J$2:$J$500, 0),
       MATCH("Total Memory", Input!$D$1:$AC$1, 0))</f>
        <v>#N/A</v>
      </c>
      <c r="K350" s="51"/>
      <c r="L350" s="51" t="str" cm="1">
        <f t="array" ref="L350">IFERROR(_xlfn.FILTERXML("&lt;t&gt;&lt;s&gt;" &amp; SUBSTITUTE(K350," / ","&lt;/s&gt;&lt;s&gt;") &amp; "&lt;/s&gt;&lt;/t&gt;","(//s[contains(.,'DDR')])[1]"),"")</f>
        <v/>
      </c>
      <c r="M350" s="32" t="e">
        <f t="shared" si="17"/>
        <v>#N/A</v>
      </c>
      <c r="N350" s="51" t="e">
        <f>INDEX(Input!$D$2:$AC$500,
       MATCH(B350, Input!$J$2:$J$500, 0),
       MATCH("Disk Interface Type", Input!$D$1:$AC$1, 0))</f>
        <v>#N/A</v>
      </c>
      <c r="O350" s="51" t="str" cm="1">
        <f t="array" ref="O350">IFERROR(_xlfn.TEXTJOIN(", ", TRUE, _xlfn._xlws.FILTER(
    INDEX(Input!$D$2:$AC$500,,MATCH("Disk Capacity",Input!$D$1:$AC$1,0)),
    Input!$J$2:$J$500=B350
)), "")</f>
        <v/>
      </c>
      <c r="P350" s="32" t="e">
        <f t="shared" si="16"/>
        <v>#N/A</v>
      </c>
      <c r="Q350" s="51" t="e">
        <f>_xlfn.LET(_xlpm.Result,INDEX(Input!$D$2:$AC$500,
       MATCH(B350, Input!$J$2:$J$500, 0),
       MATCH("Capacity", Input!$D$1:$AC$1, 0)),IF(_xlpm.Result="","",_xlpm.Result))</f>
        <v>#N/A</v>
      </c>
      <c r="R350" s="51" t="e" cm="1">
        <f t="array" ref="R350">_xlfn.TEXTSPLIT(Q350," / ", ,TRUE,0,)</f>
        <v>#N/A</v>
      </c>
      <c r="S350" s="51"/>
      <c r="T350" s="51" t="str" cm="1">
        <f t="array" ref="T350">IFERROR(_xlfn.IFS(
R350="","",
--R350&lt;55,"Battery Defect",
--R350&lt;=69,"Battery D",
--R350&lt;=80,"Battery C",
--R350&gt;80,""
),"")</f>
        <v/>
      </c>
      <c r="U350" s="51" t="str" cm="1">
        <f t="array" ref="U350">IFERROR(_xlfn.IFS(
S350="","",
--S350&lt;55,"Battery Defect",
--S350&lt;=69,"Battery D",
--S350&lt;=80,"Battery C",
--S350&gt;80,""
),"")</f>
        <v/>
      </c>
      <c r="V350" s="51"/>
      <c r="W350" s="51"/>
      <c r="X350" s="51"/>
      <c r="Y350" s="51"/>
      <c r="Z350" s="51"/>
      <c r="AA350" s="51"/>
      <c r="AB350" s="51"/>
      <c r="AC350" s="51"/>
      <c r="AD350" s="32" t="str">
        <f t="shared" si="15"/>
        <v/>
      </c>
      <c r="AE350" s="32"/>
      <c r="AF350" s="32"/>
      <c r="AG350" s="32"/>
      <c r="AH350" s="32"/>
      <c r="AI350" s="32"/>
      <c r="AJ350" s="32"/>
      <c r="AK350" s="32"/>
      <c r="AL350" s="32"/>
    </row>
    <row r="351" spans="1:38">
      <c r="A351" s="32" t="str">
        <f>_xlfn.TEXTJOIN("",TRUE,_xlfn.XLOOKUP(B351,Input!J:J,Input!G:G,"",0,1),_xlfn.XLOOKUP(B351,Input!J:J,Input!H:H,"",0,1))</f>
        <v/>
      </c>
      <c r="B351" s="32"/>
      <c r="C351" s="51">
        <f>_xlfn.XLOOKUP(B351,Input!J:J,Input!F:F)</f>
        <v>0</v>
      </c>
      <c r="D351" s="32">
        <f>_xlfn.XLOOKUP(C351,Models!H:H,Models!G:G,C351)</f>
        <v>0</v>
      </c>
      <c r="E351" s="32">
        <f>_xlfn.XLOOKUP(B351,Input!J:J,Input!E:E)</f>
        <v>0</v>
      </c>
      <c r="F351" s="32">
        <f>IF(E351="LENOVO",_xlfn.XLOOKUP(B351,Input!J:J,Input!K:K),_xlfn.XLOOKUP(B351,Input!J:J,Input!L:L))</f>
        <v>0</v>
      </c>
      <c r="G351" s="32"/>
      <c r="H351" s="32"/>
      <c r="I351" s="32"/>
      <c r="J351" s="51" t="e">
        <f>INDEX(Input!$D$2:$AC$500,
       MATCH(B351, Input!$J$2:$J$500, 0),
       MATCH("Total Memory", Input!$D$1:$AC$1, 0))</f>
        <v>#N/A</v>
      </c>
      <c r="K351" s="51"/>
      <c r="L351" s="51" t="str" cm="1">
        <f t="array" ref="L351">IFERROR(_xlfn.FILTERXML("&lt;t&gt;&lt;s&gt;" &amp; SUBSTITUTE(K351," / ","&lt;/s&gt;&lt;s&gt;") &amp; "&lt;/s&gt;&lt;/t&gt;","(//s[contains(.,'DDR')])[1]"),"")</f>
        <v/>
      </c>
      <c r="M351" s="32" t="e">
        <f t="shared" si="17"/>
        <v>#N/A</v>
      </c>
      <c r="N351" s="51" t="e">
        <f>INDEX(Input!$D$2:$AC$500,
       MATCH(B351, Input!$J$2:$J$500, 0),
       MATCH("Disk Interface Type", Input!$D$1:$AC$1, 0))</f>
        <v>#N/A</v>
      </c>
      <c r="O351" s="51" t="str" cm="1">
        <f t="array" ref="O351">IFERROR(_xlfn.TEXTJOIN(", ", TRUE, _xlfn._xlws.FILTER(
    INDEX(Input!$D$2:$AC$500,,MATCH("Disk Capacity",Input!$D$1:$AC$1,0)),
    Input!$J$2:$J$500=B351
)), "")</f>
        <v/>
      </c>
      <c r="P351" s="32" t="e">
        <f t="shared" si="16"/>
        <v>#N/A</v>
      </c>
      <c r="Q351" s="51" t="e">
        <f>_xlfn.LET(_xlpm.Result,INDEX(Input!$D$2:$AC$500,
       MATCH(B351, Input!$J$2:$J$500, 0),
       MATCH("Capacity", Input!$D$1:$AC$1, 0)),IF(_xlpm.Result="","",_xlpm.Result))</f>
        <v>#N/A</v>
      </c>
      <c r="R351" s="51" t="e" cm="1">
        <f t="array" ref="R351">_xlfn.TEXTSPLIT(Q351," / ", ,TRUE,0,)</f>
        <v>#N/A</v>
      </c>
      <c r="S351" s="51"/>
      <c r="T351" s="51" t="str" cm="1">
        <f t="array" ref="T351">IFERROR(_xlfn.IFS(
R351="","",
--R351&lt;55,"Battery Defect",
--R351&lt;=69,"Battery D",
--R351&lt;=80,"Battery C",
--R351&gt;80,""
),"")</f>
        <v/>
      </c>
      <c r="U351" s="51" t="str" cm="1">
        <f t="array" ref="U351">IFERROR(_xlfn.IFS(
S351="","",
--S351&lt;55,"Battery Defect",
--S351&lt;=69,"Battery D",
--S351&lt;=80,"Battery C",
--S351&gt;80,""
),"")</f>
        <v/>
      </c>
      <c r="V351" s="51"/>
      <c r="W351" s="51"/>
      <c r="X351" s="51"/>
      <c r="Y351" s="51"/>
      <c r="Z351" s="51"/>
      <c r="AA351" s="51"/>
      <c r="AB351" s="51"/>
      <c r="AC351" s="51"/>
      <c r="AD351" s="32" t="str">
        <f t="shared" si="15"/>
        <v/>
      </c>
      <c r="AE351" s="32"/>
      <c r="AF351" s="32"/>
      <c r="AG351" s="32"/>
      <c r="AH351" s="32"/>
      <c r="AI351" s="32"/>
      <c r="AJ351" s="32"/>
      <c r="AK351" s="32"/>
      <c r="AL351" s="32"/>
    </row>
    <row r="352" spans="1:38">
      <c r="A352" s="32" t="str">
        <f>_xlfn.TEXTJOIN("",TRUE,_xlfn.XLOOKUP(B352,Input!J:J,Input!G:G,"",0,1),_xlfn.XLOOKUP(B352,Input!J:J,Input!H:H,"",0,1))</f>
        <v/>
      </c>
      <c r="B352" s="32"/>
      <c r="C352" s="51">
        <f>_xlfn.XLOOKUP(B352,Input!J:J,Input!F:F)</f>
        <v>0</v>
      </c>
      <c r="D352" s="32">
        <f>_xlfn.XLOOKUP(C352,Models!H:H,Models!G:G,C352)</f>
        <v>0</v>
      </c>
      <c r="E352" s="32">
        <f>_xlfn.XLOOKUP(B352,Input!J:J,Input!E:E)</f>
        <v>0</v>
      </c>
      <c r="F352" s="32">
        <f>IF(E352="LENOVO",_xlfn.XLOOKUP(B352,Input!J:J,Input!K:K),_xlfn.XLOOKUP(B352,Input!J:J,Input!L:L))</f>
        <v>0</v>
      </c>
      <c r="G352" s="32"/>
      <c r="H352" s="32"/>
      <c r="I352" s="32"/>
      <c r="J352" s="51" t="e">
        <f>INDEX(Input!$D$2:$AC$500,
       MATCH(B352, Input!$J$2:$J$500, 0),
       MATCH("Total Memory", Input!$D$1:$AC$1, 0))</f>
        <v>#N/A</v>
      </c>
      <c r="K352" s="51"/>
      <c r="L352" s="51" t="str" cm="1">
        <f t="array" ref="L352">IFERROR(_xlfn.FILTERXML("&lt;t&gt;&lt;s&gt;" &amp; SUBSTITUTE(K352," / ","&lt;/s&gt;&lt;s&gt;") &amp; "&lt;/s&gt;&lt;/t&gt;","(//s[contains(.,'DDR')])[1]"),"")</f>
        <v/>
      </c>
      <c r="M352" s="32" t="e">
        <f t="shared" si="17"/>
        <v>#N/A</v>
      </c>
      <c r="N352" s="51" t="e">
        <f>INDEX(Input!$D$2:$AC$500,
       MATCH(B352, Input!$J$2:$J$500, 0),
       MATCH("Disk Interface Type", Input!$D$1:$AC$1, 0))</f>
        <v>#N/A</v>
      </c>
      <c r="O352" s="51" t="str" cm="1">
        <f t="array" ref="O352">IFERROR(_xlfn.TEXTJOIN(", ", TRUE, _xlfn._xlws.FILTER(
    INDEX(Input!$D$2:$AC$500,,MATCH("Disk Capacity",Input!$D$1:$AC$1,0)),
    Input!$J$2:$J$500=B352
)), "")</f>
        <v/>
      </c>
      <c r="P352" s="32" t="e">
        <f t="shared" si="16"/>
        <v>#N/A</v>
      </c>
      <c r="Q352" s="51" t="e">
        <f>_xlfn.LET(_xlpm.Result,INDEX(Input!$D$2:$AC$500,
       MATCH(B352, Input!$J$2:$J$500, 0),
       MATCH("Capacity", Input!$D$1:$AC$1, 0)),IF(_xlpm.Result="","",_xlpm.Result))</f>
        <v>#N/A</v>
      </c>
      <c r="R352" s="51" t="e" cm="1">
        <f t="array" ref="R352">_xlfn.TEXTSPLIT(Q352," / ", ,TRUE,0,)</f>
        <v>#N/A</v>
      </c>
      <c r="S352" s="51"/>
      <c r="T352" s="51" t="str" cm="1">
        <f t="array" ref="T352">IFERROR(_xlfn.IFS(
R352="","",
--R352&lt;55,"Battery Defect",
--R352&lt;=69,"Battery D",
--R352&lt;=80,"Battery C",
--R352&gt;80,""
),"")</f>
        <v/>
      </c>
      <c r="U352" s="51" t="str" cm="1">
        <f t="array" ref="U352">IFERROR(_xlfn.IFS(
S352="","",
--S352&lt;55,"Battery Defect",
--S352&lt;=69,"Battery D",
--S352&lt;=80,"Battery C",
--S352&gt;80,""
),"")</f>
        <v/>
      </c>
      <c r="V352" s="51"/>
      <c r="W352" s="51"/>
      <c r="X352" s="51"/>
      <c r="Y352" s="51"/>
      <c r="Z352" s="51"/>
      <c r="AA352" s="51"/>
      <c r="AB352" s="51"/>
      <c r="AC352" s="51"/>
      <c r="AD352" s="32" t="str">
        <f t="shared" si="15"/>
        <v/>
      </c>
      <c r="AE352" s="32"/>
      <c r="AF352" s="32"/>
      <c r="AG352" s="32"/>
      <c r="AH352" s="32"/>
      <c r="AI352" s="32"/>
      <c r="AJ352" s="32"/>
      <c r="AK352" s="32"/>
      <c r="AL352" s="32"/>
    </row>
    <row r="353" spans="1:38">
      <c r="A353" s="32" t="str">
        <f>_xlfn.TEXTJOIN("",TRUE,_xlfn.XLOOKUP(B353,Input!J:J,Input!G:G,"",0,1),_xlfn.XLOOKUP(B353,Input!J:J,Input!H:H,"",0,1))</f>
        <v/>
      </c>
      <c r="B353" s="32"/>
      <c r="C353" s="51">
        <f>_xlfn.XLOOKUP(B353,Input!J:J,Input!F:F)</f>
        <v>0</v>
      </c>
      <c r="D353" s="32">
        <f>_xlfn.XLOOKUP(C353,Models!H:H,Models!G:G,C353)</f>
        <v>0</v>
      </c>
      <c r="E353" s="32">
        <f>_xlfn.XLOOKUP(B353,Input!J:J,Input!E:E)</f>
        <v>0</v>
      </c>
      <c r="F353" s="32">
        <f>IF(E353="LENOVO",_xlfn.XLOOKUP(B353,Input!J:J,Input!K:K),_xlfn.XLOOKUP(B353,Input!J:J,Input!L:L))</f>
        <v>0</v>
      </c>
      <c r="G353" s="32"/>
      <c r="H353" s="32"/>
      <c r="I353" s="32"/>
      <c r="J353" s="51" t="e">
        <f>INDEX(Input!$D$2:$AC$500,
       MATCH(B353, Input!$J$2:$J$500, 0),
       MATCH("Total Memory", Input!$D$1:$AC$1, 0))</f>
        <v>#N/A</v>
      </c>
      <c r="K353" s="51"/>
      <c r="L353" s="51" t="str" cm="1">
        <f t="array" ref="L353">IFERROR(_xlfn.FILTERXML("&lt;t&gt;&lt;s&gt;" &amp; SUBSTITUTE(K353," / ","&lt;/s&gt;&lt;s&gt;") &amp; "&lt;/s&gt;&lt;/t&gt;","(//s[contains(.,'DDR')])[1]"),"")</f>
        <v/>
      </c>
      <c r="M353" s="32" t="e">
        <f t="shared" si="17"/>
        <v>#N/A</v>
      </c>
      <c r="N353" s="51" t="e">
        <f>INDEX(Input!$D$2:$AC$500,
       MATCH(B353, Input!$J$2:$J$500, 0),
       MATCH("Disk Interface Type", Input!$D$1:$AC$1, 0))</f>
        <v>#N/A</v>
      </c>
      <c r="O353" s="51" t="str" cm="1">
        <f t="array" ref="O353">IFERROR(_xlfn.TEXTJOIN(", ", TRUE, _xlfn._xlws.FILTER(
    INDEX(Input!$D$2:$AC$500,,MATCH("Disk Capacity",Input!$D$1:$AC$1,0)),
    Input!$J$2:$J$500=B353
)), "")</f>
        <v/>
      </c>
      <c r="P353" s="32" t="e">
        <f t="shared" si="16"/>
        <v>#N/A</v>
      </c>
      <c r="Q353" s="51" t="e">
        <f>_xlfn.LET(_xlpm.Result,INDEX(Input!$D$2:$AC$500,
       MATCH(B353, Input!$J$2:$J$500, 0),
       MATCH("Capacity", Input!$D$1:$AC$1, 0)),IF(_xlpm.Result="","",_xlpm.Result))</f>
        <v>#N/A</v>
      </c>
      <c r="R353" s="51" t="e" cm="1">
        <f t="array" ref="R353">_xlfn.TEXTSPLIT(Q353," / ", ,TRUE,0,)</f>
        <v>#N/A</v>
      </c>
      <c r="S353" s="51"/>
      <c r="T353" s="51" t="str" cm="1">
        <f t="array" ref="T353">IFERROR(_xlfn.IFS(
R353="","",
--R353&lt;55,"Battery Defect",
--R353&lt;=69,"Battery D",
--R353&lt;=80,"Battery C",
--R353&gt;80,""
),"")</f>
        <v/>
      </c>
      <c r="U353" s="51" t="str" cm="1">
        <f t="array" ref="U353">IFERROR(_xlfn.IFS(
S353="","",
--S353&lt;55,"Battery Defect",
--S353&lt;=69,"Battery D",
--S353&lt;=80,"Battery C",
--S353&gt;80,""
),"")</f>
        <v/>
      </c>
      <c r="V353" s="51"/>
      <c r="W353" s="51"/>
      <c r="X353" s="51"/>
      <c r="Y353" s="51"/>
      <c r="Z353" s="51"/>
      <c r="AA353" s="51"/>
      <c r="AB353" s="51"/>
      <c r="AC353" s="51"/>
      <c r="AD353" s="32" t="str">
        <f t="shared" si="15"/>
        <v/>
      </c>
      <c r="AE353" s="32"/>
      <c r="AF353" s="32"/>
      <c r="AG353" s="32"/>
      <c r="AH353" s="32"/>
      <c r="AI353" s="32"/>
      <c r="AJ353" s="32"/>
      <c r="AK353" s="32"/>
      <c r="AL353" s="32"/>
    </row>
    <row r="354" spans="1:38">
      <c r="A354" s="32" t="str">
        <f>_xlfn.TEXTJOIN("",TRUE,_xlfn.XLOOKUP(B354,Input!J:J,Input!G:G,"",0,1),_xlfn.XLOOKUP(B354,Input!J:J,Input!H:H,"",0,1))</f>
        <v/>
      </c>
      <c r="B354" s="32"/>
      <c r="C354" s="51">
        <f>_xlfn.XLOOKUP(B354,Input!J:J,Input!F:F)</f>
        <v>0</v>
      </c>
      <c r="D354" s="32">
        <f>_xlfn.XLOOKUP(C354,Models!H:H,Models!G:G,C354)</f>
        <v>0</v>
      </c>
      <c r="E354" s="32">
        <f>_xlfn.XLOOKUP(B354,Input!J:J,Input!E:E)</f>
        <v>0</v>
      </c>
      <c r="F354" s="32">
        <f>IF(E354="LENOVO",_xlfn.XLOOKUP(B354,Input!J:J,Input!K:K),_xlfn.XLOOKUP(B354,Input!J:J,Input!L:L))</f>
        <v>0</v>
      </c>
      <c r="G354" s="32"/>
      <c r="H354" s="32"/>
      <c r="I354" s="32"/>
      <c r="J354" s="51" t="e">
        <f>INDEX(Input!$D$2:$AC$500,
       MATCH(B354, Input!$J$2:$J$500, 0),
       MATCH("Total Memory", Input!$D$1:$AC$1, 0))</f>
        <v>#N/A</v>
      </c>
      <c r="K354" s="51"/>
      <c r="L354" s="51" t="str" cm="1">
        <f t="array" ref="L354">IFERROR(_xlfn.FILTERXML("&lt;t&gt;&lt;s&gt;" &amp; SUBSTITUTE(K354," / ","&lt;/s&gt;&lt;s&gt;") &amp; "&lt;/s&gt;&lt;/t&gt;","(//s[contains(.,'DDR')])[1]"),"")</f>
        <v/>
      </c>
      <c r="M354" s="32" t="e">
        <f t="shared" si="17"/>
        <v>#N/A</v>
      </c>
      <c r="N354" s="51" t="e">
        <f>INDEX(Input!$D$2:$AC$500,
       MATCH(B354, Input!$J$2:$J$500, 0),
       MATCH("Disk Interface Type", Input!$D$1:$AC$1, 0))</f>
        <v>#N/A</v>
      </c>
      <c r="O354" s="51" t="str" cm="1">
        <f t="array" ref="O354">IFERROR(_xlfn.TEXTJOIN(", ", TRUE, _xlfn._xlws.FILTER(
    INDEX(Input!$D$2:$AC$500,,MATCH("Disk Capacity",Input!$D$1:$AC$1,0)),
    Input!$J$2:$J$500=B354
)), "")</f>
        <v/>
      </c>
      <c r="P354" s="32" t="e">
        <f t="shared" si="16"/>
        <v>#N/A</v>
      </c>
      <c r="Q354" s="51" t="e">
        <f>_xlfn.LET(_xlpm.Result,INDEX(Input!$D$2:$AC$500,
       MATCH(B354, Input!$J$2:$J$500, 0),
       MATCH("Capacity", Input!$D$1:$AC$1, 0)),IF(_xlpm.Result="","",_xlpm.Result))</f>
        <v>#N/A</v>
      </c>
      <c r="R354" s="51" t="e" cm="1">
        <f t="array" ref="R354">_xlfn.TEXTSPLIT(Q354," / ", ,TRUE,0,)</f>
        <v>#N/A</v>
      </c>
      <c r="S354" s="51"/>
      <c r="T354" s="51" t="str" cm="1">
        <f t="array" ref="T354">IFERROR(_xlfn.IFS(
R354="","",
--R354&lt;55,"Battery Defect",
--R354&lt;=69,"Battery D",
--R354&lt;=80,"Battery C",
--R354&gt;80,""
),"")</f>
        <v/>
      </c>
      <c r="U354" s="51" t="str" cm="1">
        <f t="array" ref="U354">IFERROR(_xlfn.IFS(
S354="","",
--S354&lt;55,"Battery Defect",
--S354&lt;=69,"Battery D",
--S354&lt;=80,"Battery C",
--S354&gt;80,""
),"")</f>
        <v/>
      </c>
      <c r="V354" s="51"/>
      <c r="W354" s="51"/>
      <c r="X354" s="51"/>
      <c r="Y354" s="51"/>
      <c r="Z354" s="51"/>
      <c r="AA354" s="51"/>
      <c r="AB354" s="51"/>
      <c r="AC354" s="51"/>
      <c r="AD354" s="32" t="str">
        <f t="shared" si="15"/>
        <v/>
      </c>
      <c r="AE354" s="32"/>
      <c r="AF354" s="32"/>
      <c r="AG354" s="32"/>
      <c r="AH354" s="32"/>
      <c r="AI354" s="32"/>
      <c r="AJ354" s="32"/>
      <c r="AK354" s="32"/>
      <c r="AL354" s="32"/>
    </row>
    <row r="355" spans="1:38">
      <c r="A355" s="32" t="str">
        <f>_xlfn.TEXTJOIN("",TRUE,_xlfn.XLOOKUP(B355,Input!J:J,Input!G:G,"",0,1),_xlfn.XLOOKUP(B355,Input!J:J,Input!H:H,"",0,1))</f>
        <v/>
      </c>
      <c r="B355" s="32"/>
      <c r="C355" s="51">
        <f>_xlfn.XLOOKUP(B355,Input!J:J,Input!F:F)</f>
        <v>0</v>
      </c>
      <c r="D355" s="32">
        <f>_xlfn.XLOOKUP(C355,Models!H:H,Models!G:G,C355)</f>
        <v>0</v>
      </c>
      <c r="E355" s="32">
        <f>_xlfn.XLOOKUP(B355,Input!J:J,Input!E:E)</f>
        <v>0</v>
      </c>
      <c r="F355" s="32">
        <f>IF(E355="LENOVO",_xlfn.XLOOKUP(B355,Input!J:J,Input!K:K),_xlfn.XLOOKUP(B355,Input!J:J,Input!L:L))</f>
        <v>0</v>
      </c>
      <c r="G355" s="32"/>
      <c r="H355" s="32"/>
      <c r="I355" s="32"/>
      <c r="J355" s="51" t="e">
        <f>INDEX(Input!$D$2:$AC$500,
       MATCH(B355, Input!$J$2:$J$500, 0),
       MATCH("Total Memory", Input!$D$1:$AC$1, 0))</f>
        <v>#N/A</v>
      </c>
      <c r="K355" s="51"/>
      <c r="L355" s="51" t="str" cm="1">
        <f t="array" ref="L355">IFERROR(_xlfn.FILTERXML("&lt;t&gt;&lt;s&gt;" &amp; SUBSTITUTE(K355," / ","&lt;/s&gt;&lt;s&gt;") &amp; "&lt;/s&gt;&lt;/t&gt;","(//s[contains(.,'DDR')])[1]"),"")</f>
        <v/>
      </c>
      <c r="M355" s="32" t="e">
        <f t="shared" si="17"/>
        <v>#N/A</v>
      </c>
      <c r="N355" s="51" t="e">
        <f>INDEX(Input!$D$2:$AC$500,
       MATCH(B355, Input!$J$2:$J$500, 0),
       MATCH("Disk Interface Type", Input!$D$1:$AC$1, 0))</f>
        <v>#N/A</v>
      </c>
      <c r="O355" s="51" t="str" cm="1">
        <f t="array" ref="O355">IFERROR(_xlfn.TEXTJOIN(", ", TRUE, _xlfn._xlws.FILTER(
    INDEX(Input!$D$2:$AC$500,,MATCH("Disk Capacity",Input!$D$1:$AC$1,0)),
    Input!$J$2:$J$500=B355
)), "")</f>
        <v/>
      </c>
      <c r="P355" s="32" t="e">
        <f t="shared" si="16"/>
        <v>#N/A</v>
      </c>
      <c r="Q355" s="51" t="e">
        <f>_xlfn.LET(_xlpm.Result,INDEX(Input!$D$2:$AC$500,
       MATCH(B355, Input!$J$2:$J$500, 0),
       MATCH("Capacity", Input!$D$1:$AC$1, 0)),IF(_xlpm.Result="","",_xlpm.Result))</f>
        <v>#N/A</v>
      </c>
      <c r="R355" s="51" t="e" cm="1">
        <f t="array" ref="R355">_xlfn.TEXTSPLIT(Q355," / ", ,TRUE,0,)</f>
        <v>#N/A</v>
      </c>
      <c r="S355" s="51"/>
      <c r="T355" s="51" t="str" cm="1">
        <f t="array" ref="T355">IFERROR(_xlfn.IFS(
R355="","",
--R355&lt;55,"Battery Defect",
--R355&lt;=69,"Battery D",
--R355&lt;=80,"Battery C",
--R355&gt;80,""
),"")</f>
        <v/>
      </c>
      <c r="U355" s="51" t="str" cm="1">
        <f t="array" ref="U355">IFERROR(_xlfn.IFS(
S355="","",
--S355&lt;55,"Battery Defect",
--S355&lt;=69,"Battery D",
--S355&lt;=80,"Battery C",
--S355&gt;80,""
),"")</f>
        <v/>
      </c>
      <c r="V355" s="51"/>
      <c r="W355" s="51"/>
      <c r="X355" s="51"/>
      <c r="Y355" s="51"/>
      <c r="Z355" s="51"/>
      <c r="AA355" s="51"/>
      <c r="AB355" s="51"/>
      <c r="AC355" s="51"/>
      <c r="AD355" s="32" t="str">
        <f t="shared" si="15"/>
        <v/>
      </c>
      <c r="AE355" s="32"/>
      <c r="AF355" s="32"/>
      <c r="AG355" s="32"/>
      <c r="AH355" s="32"/>
      <c r="AI355" s="32"/>
      <c r="AJ355" s="32"/>
      <c r="AK355" s="32"/>
      <c r="AL355" s="32"/>
    </row>
    <row r="356" spans="1:38">
      <c r="A356" s="32" t="str">
        <f>_xlfn.TEXTJOIN("",TRUE,_xlfn.XLOOKUP(B356,Input!J:J,Input!G:G,"",0,1),_xlfn.XLOOKUP(B356,Input!J:J,Input!H:H,"",0,1))</f>
        <v/>
      </c>
      <c r="B356" s="32"/>
      <c r="C356" s="51">
        <f>_xlfn.XLOOKUP(B356,Input!J:J,Input!F:F)</f>
        <v>0</v>
      </c>
      <c r="D356" s="32">
        <f>_xlfn.XLOOKUP(C356,Models!H:H,Models!G:G,C356)</f>
        <v>0</v>
      </c>
      <c r="E356" s="32">
        <f>_xlfn.XLOOKUP(B356,Input!J:J,Input!E:E)</f>
        <v>0</v>
      </c>
      <c r="F356" s="32">
        <f>IF(E356="LENOVO",_xlfn.XLOOKUP(B356,Input!J:J,Input!K:K),_xlfn.XLOOKUP(B356,Input!J:J,Input!L:L))</f>
        <v>0</v>
      </c>
      <c r="G356" s="32"/>
      <c r="H356" s="32"/>
      <c r="I356" s="32"/>
      <c r="J356" s="51" t="e">
        <f>INDEX(Input!$D$2:$AC$500,
       MATCH(B356, Input!$J$2:$J$500, 0),
       MATCH("Total Memory", Input!$D$1:$AC$1, 0))</f>
        <v>#N/A</v>
      </c>
      <c r="K356" s="51"/>
      <c r="L356" s="51" t="str" cm="1">
        <f t="array" ref="L356">IFERROR(_xlfn.FILTERXML("&lt;t&gt;&lt;s&gt;" &amp; SUBSTITUTE(K356," / ","&lt;/s&gt;&lt;s&gt;") &amp; "&lt;/s&gt;&lt;/t&gt;","(//s[contains(.,'DDR')])[1]"),"")</f>
        <v/>
      </c>
      <c r="M356" s="32" t="e">
        <f t="shared" si="17"/>
        <v>#N/A</v>
      </c>
      <c r="N356" s="51" t="e">
        <f>INDEX(Input!$D$2:$AC$500,
       MATCH(B356, Input!$J$2:$J$500, 0),
       MATCH("Disk Interface Type", Input!$D$1:$AC$1, 0))</f>
        <v>#N/A</v>
      </c>
      <c r="O356" s="51" t="str" cm="1">
        <f t="array" ref="O356">IFERROR(_xlfn.TEXTJOIN(", ", TRUE, _xlfn._xlws.FILTER(
    INDEX(Input!$D$2:$AC$500,,MATCH("Disk Capacity",Input!$D$1:$AC$1,0)),
    Input!$J$2:$J$500=B356
)), "")</f>
        <v/>
      </c>
      <c r="P356" s="32" t="e">
        <f t="shared" si="16"/>
        <v>#N/A</v>
      </c>
      <c r="Q356" s="51" t="e">
        <f>_xlfn.LET(_xlpm.Result,INDEX(Input!$D$2:$AC$500,
       MATCH(B356, Input!$J$2:$J$500, 0),
       MATCH("Capacity", Input!$D$1:$AC$1, 0)),IF(_xlpm.Result="","",_xlpm.Result))</f>
        <v>#N/A</v>
      </c>
      <c r="R356" s="51" t="e" cm="1">
        <f t="array" ref="R356">_xlfn.TEXTSPLIT(Q356," / ", ,TRUE,0,)</f>
        <v>#N/A</v>
      </c>
      <c r="S356" s="51"/>
      <c r="T356" s="51" t="str" cm="1">
        <f t="array" ref="T356">IFERROR(_xlfn.IFS(
R356="","",
--R356&lt;55,"Battery Defect",
--R356&lt;=69,"Battery D",
--R356&lt;=80,"Battery C",
--R356&gt;80,""
),"")</f>
        <v/>
      </c>
      <c r="U356" s="51" t="str" cm="1">
        <f t="array" ref="U356">IFERROR(_xlfn.IFS(
S356="","",
--S356&lt;55,"Battery Defect",
--S356&lt;=69,"Battery D",
--S356&lt;=80,"Battery C",
--S356&gt;80,""
),"")</f>
        <v/>
      </c>
      <c r="V356" s="51"/>
      <c r="W356" s="51"/>
      <c r="X356" s="51"/>
      <c r="Y356" s="51"/>
      <c r="Z356" s="51"/>
      <c r="AA356" s="51"/>
      <c r="AB356" s="51"/>
      <c r="AC356" s="51"/>
      <c r="AD356" s="32" t="str">
        <f t="shared" si="15"/>
        <v/>
      </c>
      <c r="AE356" s="32"/>
      <c r="AF356" s="32"/>
      <c r="AG356" s="32"/>
      <c r="AH356" s="32"/>
      <c r="AI356" s="32"/>
      <c r="AJ356" s="32"/>
      <c r="AK356" s="32"/>
      <c r="AL356" s="32"/>
    </row>
    <row r="357" spans="1:38">
      <c r="A357" s="32" t="str">
        <f>_xlfn.TEXTJOIN("",TRUE,_xlfn.XLOOKUP(B357,Input!J:J,Input!G:G,"",0,1),_xlfn.XLOOKUP(B357,Input!J:J,Input!H:H,"",0,1))</f>
        <v/>
      </c>
      <c r="B357" s="32"/>
      <c r="C357" s="51">
        <f>_xlfn.XLOOKUP(B357,Input!J:J,Input!F:F)</f>
        <v>0</v>
      </c>
      <c r="D357" s="32">
        <f>_xlfn.XLOOKUP(C357,Models!H:H,Models!G:G,C357)</f>
        <v>0</v>
      </c>
      <c r="E357" s="32">
        <f>_xlfn.XLOOKUP(B357,Input!J:J,Input!E:E)</f>
        <v>0</v>
      </c>
      <c r="F357" s="32">
        <f>IF(E357="LENOVO",_xlfn.XLOOKUP(B357,Input!J:J,Input!K:K),_xlfn.XLOOKUP(B357,Input!J:J,Input!L:L))</f>
        <v>0</v>
      </c>
      <c r="G357" s="32"/>
      <c r="H357" s="32"/>
      <c r="I357" s="32"/>
      <c r="J357" s="51" t="e">
        <f>INDEX(Input!$D$2:$AC$500,
       MATCH(B357, Input!$J$2:$J$500, 0),
       MATCH("Total Memory", Input!$D$1:$AC$1, 0))</f>
        <v>#N/A</v>
      </c>
      <c r="K357" s="51"/>
      <c r="L357" s="51" t="str" cm="1">
        <f t="array" ref="L357">IFERROR(_xlfn.FILTERXML("&lt;t&gt;&lt;s&gt;" &amp; SUBSTITUTE(K357," / ","&lt;/s&gt;&lt;s&gt;") &amp; "&lt;/s&gt;&lt;/t&gt;","(//s[contains(.,'DDR')])[1]"),"")</f>
        <v/>
      </c>
      <c r="M357" s="32" t="e">
        <f t="shared" si="17"/>
        <v>#N/A</v>
      </c>
      <c r="N357" s="51" t="e">
        <f>INDEX(Input!$D$2:$AC$500,
       MATCH(B357, Input!$J$2:$J$500, 0),
       MATCH("Disk Interface Type", Input!$D$1:$AC$1, 0))</f>
        <v>#N/A</v>
      </c>
      <c r="O357" s="51" t="str" cm="1">
        <f t="array" ref="O357">IFERROR(_xlfn.TEXTJOIN(", ", TRUE, _xlfn._xlws.FILTER(
    INDEX(Input!$D$2:$AC$500,,MATCH("Disk Capacity",Input!$D$1:$AC$1,0)),
    Input!$J$2:$J$500=B357
)), "")</f>
        <v/>
      </c>
      <c r="P357" s="32" t="e">
        <f t="shared" si="16"/>
        <v>#N/A</v>
      </c>
      <c r="Q357" s="51" t="e">
        <f>_xlfn.LET(_xlpm.Result,INDEX(Input!$D$2:$AC$500,
       MATCH(B357, Input!$J$2:$J$500, 0),
       MATCH("Capacity", Input!$D$1:$AC$1, 0)),IF(_xlpm.Result="","",_xlpm.Result))</f>
        <v>#N/A</v>
      </c>
      <c r="R357" s="51" t="e" cm="1">
        <f t="array" ref="R357">_xlfn.TEXTSPLIT(Q357," / ", ,TRUE,0,)</f>
        <v>#N/A</v>
      </c>
      <c r="S357" s="51"/>
      <c r="T357" s="51" t="str" cm="1">
        <f t="array" ref="T357">IFERROR(_xlfn.IFS(
R357="","",
--R357&lt;55,"Battery Defect",
--R357&lt;=69,"Battery D",
--R357&lt;=80,"Battery C",
--R357&gt;80,""
),"")</f>
        <v/>
      </c>
      <c r="U357" s="51" t="str" cm="1">
        <f t="array" ref="U357">IFERROR(_xlfn.IFS(
S357="","",
--S357&lt;55,"Battery Defect",
--S357&lt;=69,"Battery D",
--S357&lt;=80,"Battery C",
--S357&gt;80,""
),"")</f>
        <v/>
      </c>
      <c r="V357" s="51"/>
      <c r="W357" s="51"/>
      <c r="X357" s="51"/>
      <c r="Y357" s="51"/>
      <c r="Z357" s="51"/>
      <c r="AA357" s="51"/>
      <c r="AB357" s="51"/>
      <c r="AC357" s="51"/>
      <c r="AD357" s="32" t="str">
        <f t="shared" si="15"/>
        <v/>
      </c>
      <c r="AE357" s="32"/>
      <c r="AF357" s="32"/>
      <c r="AG357" s="32"/>
      <c r="AH357" s="32"/>
      <c r="AI357" s="32"/>
      <c r="AJ357" s="32"/>
      <c r="AK357" s="32"/>
      <c r="AL357" s="32"/>
    </row>
    <row r="358" spans="1:38">
      <c r="A358" s="32" t="str">
        <f>_xlfn.TEXTJOIN("",TRUE,_xlfn.XLOOKUP(B358,Input!J:J,Input!G:G,"",0,1),_xlfn.XLOOKUP(B358,Input!J:J,Input!H:H,"",0,1))</f>
        <v/>
      </c>
      <c r="B358" s="32"/>
      <c r="C358" s="51">
        <f>_xlfn.XLOOKUP(B358,Input!J:J,Input!F:F)</f>
        <v>0</v>
      </c>
      <c r="D358" s="32">
        <f>_xlfn.XLOOKUP(C358,Models!H:H,Models!G:G,C358)</f>
        <v>0</v>
      </c>
      <c r="E358" s="32">
        <f>_xlfn.XLOOKUP(B358,Input!J:J,Input!E:E)</f>
        <v>0</v>
      </c>
      <c r="F358" s="32">
        <f>IF(E358="LENOVO",_xlfn.XLOOKUP(B358,Input!J:J,Input!K:K),_xlfn.XLOOKUP(B358,Input!J:J,Input!L:L))</f>
        <v>0</v>
      </c>
      <c r="G358" s="32"/>
      <c r="H358" s="32"/>
      <c r="I358" s="32"/>
      <c r="J358" s="51" t="e">
        <f>INDEX(Input!$D$2:$AC$500,
       MATCH(B358, Input!$J$2:$J$500, 0),
       MATCH("Total Memory", Input!$D$1:$AC$1, 0))</f>
        <v>#N/A</v>
      </c>
      <c r="K358" s="51"/>
      <c r="L358" s="51" t="str" cm="1">
        <f t="array" ref="L358">IFERROR(_xlfn.FILTERXML("&lt;t&gt;&lt;s&gt;" &amp; SUBSTITUTE(K358," / ","&lt;/s&gt;&lt;s&gt;") &amp; "&lt;/s&gt;&lt;/t&gt;","(//s[contains(.,'DDR')])[1]"),"")</f>
        <v/>
      </c>
      <c r="M358" s="32" t="e">
        <f t="shared" si="17"/>
        <v>#N/A</v>
      </c>
      <c r="N358" s="51" t="e">
        <f>INDEX(Input!$D$2:$AC$500,
       MATCH(B358, Input!$J$2:$J$500, 0),
       MATCH("Disk Interface Type", Input!$D$1:$AC$1, 0))</f>
        <v>#N/A</v>
      </c>
      <c r="O358" s="51" t="str" cm="1">
        <f t="array" ref="O358">IFERROR(_xlfn.TEXTJOIN(", ", TRUE, _xlfn._xlws.FILTER(
    INDEX(Input!$D$2:$AC$500,,MATCH("Disk Capacity",Input!$D$1:$AC$1,0)),
    Input!$J$2:$J$500=B358
)), "")</f>
        <v/>
      </c>
      <c r="P358" s="32" t="e">
        <f t="shared" si="16"/>
        <v>#N/A</v>
      </c>
      <c r="Q358" s="51" t="e">
        <f>_xlfn.LET(_xlpm.Result,INDEX(Input!$D$2:$AC$500,
       MATCH(B358, Input!$J$2:$J$500, 0),
       MATCH("Capacity", Input!$D$1:$AC$1, 0)),IF(_xlpm.Result="","",_xlpm.Result))</f>
        <v>#N/A</v>
      </c>
      <c r="R358" s="51" t="e" cm="1">
        <f t="array" ref="R358">_xlfn.TEXTSPLIT(Q358," / ", ,TRUE,0,)</f>
        <v>#N/A</v>
      </c>
      <c r="S358" s="51"/>
      <c r="T358" s="51" t="str" cm="1">
        <f t="array" ref="T358">IFERROR(_xlfn.IFS(
R358="","",
--R358&lt;55,"Battery Defect",
--R358&lt;=69,"Battery D",
--R358&lt;=80,"Battery C",
--R358&gt;80,""
),"")</f>
        <v/>
      </c>
      <c r="U358" s="51" t="str" cm="1">
        <f t="array" ref="U358">IFERROR(_xlfn.IFS(
S358="","",
--S358&lt;55,"Battery Defect",
--S358&lt;=69,"Battery D",
--S358&lt;=80,"Battery C",
--S358&gt;80,""
),"")</f>
        <v/>
      </c>
      <c r="V358" s="51"/>
      <c r="W358" s="51"/>
      <c r="X358" s="51"/>
      <c r="Y358" s="51"/>
      <c r="Z358" s="51"/>
      <c r="AA358" s="51"/>
      <c r="AB358" s="51"/>
      <c r="AC358" s="51"/>
      <c r="AD358" s="32" t="str">
        <f t="shared" si="15"/>
        <v/>
      </c>
      <c r="AE358" s="32"/>
      <c r="AF358" s="32"/>
      <c r="AG358" s="32"/>
      <c r="AH358" s="32"/>
      <c r="AI358" s="32"/>
      <c r="AJ358" s="32"/>
      <c r="AK358" s="32"/>
      <c r="AL358" s="32"/>
    </row>
    <row r="359" spans="1:38">
      <c r="A359" s="32" t="str">
        <f>_xlfn.TEXTJOIN("",TRUE,_xlfn.XLOOKUP(B359,Input!J:J,Input!G:G,"",0,1),_xlfn.XLOOKUP(B359,Input!J:J,Input!H:H,"",0,1))</f>
        <v/>
      </c>
      <c r="B359" s="32"/>
      <c r="C359" s="51">
        <f>_xlfn.XLOOKUP(B359,Input!J:J,Input!F:F)</f>
        <v>0</v>
      </c>
      <c r="D359" s="32">
        <f>_xlfn.XLOOKUP(C359,Models!H:H,Models!G:G,C359)</f>
        <v>0</v>
      </c>
      <c r="E359" s="32">
        <f>_xlfn.XLOOKUP(B359,Input!J:J,Input!E:E)</f>
        <v>0</v>
      </c>
      <c r="F359" s="32">
        <f>IF(E359="LENOVO",_xlfn.XLOOKUP(B359,Input!J:J,Input!K:K),_xlfn.XLOOKUP(B359,Input!J:J,Input!L:L))</f>
        <v>0</v>
      </c>
      <c r="G359" s="32"/>
      <c r="H359" s="32"/>
      <c r="I359" s="32"/>
      <c r="J359" s="51" t="e">
        <f>INDEX(Input!$D$2:$AC$500,
       MATCH(B359, Input!$J$2:$J$500, 0),
       MATCH("Total Memory", Input!$D$1:$AC$1, 0))</f>
        <v>#N/A</v>
      </c>
      <c r="K359" s="51"/>
      <c r="L359" s="51" t="str" cm="1">
        <f t="array" ref="L359">IFERROR(_xlfn.FILTERXML("&lt;t&gt;&lt;s&gt;" &amp; SUBSTITUTE(K359," / ","&lt;/s&gt;&lt;s&gt;") &amp; "&lt;/s&gt;&lt;/t&gt;","(//s[contains(.,'DDR')])[1]"),"")</f>
        <v/>
      </c>
      <c r="M359" s="32" t="e">
        <f t="shared" si="17"/>
        <v>#N/A</v>
      </c>
      <c r="N359" s="51" t="e">
        <f>INDEX(Input!$D$2:$AC$500,
       MATCH(B359, Input!$J$2:$J$500, 0),
       MATCH("Disk Interface Type", Input!$D$1:$AC$1, 0))</f>
        <v>#N/A</v>
      </c>
      <c r="O359" s="51" t="str" cm="1">
        <f t="array" ref="O359">IFERROR(_xlfn.TEXTJOIN(", ", TRUE, _xlfn._xlws.FILTER(
    INDEX(Input!$D$2:$AC$500,,MATCH("Disk Capacity",Input!$D$1:$AC$1,0)),
    Input!$J$2:$J$500=B359
)), "")</f>
        <v/>
      </c>
      <c r="P359" s="32" t="e">
        <f t="shared" si="16"/>
        <v>#N/A</v>
      </c>
      <c r="Q359" s="51" t="e">
        <f>_xlfn.LET(_xlpm.Result,INDEX(Input!$D$2:$AC$500,
       MATCH(B359, Input!$J$2:$J$500, 0),
       MATCH("Capacity", Input!$D$1:$AC$1, 0)),IF(_xlpm.Result="","",_xlpm.Result))</f>
        <v>#N/A</v>
      </c>
      <c r="R359" s="51" t="e" cm="1">
        <f t="array" ref="R359">_xlfn.TEXTSPLIT(Q359," / ", ,TRUE,0,)</f>
        <v>#N/A</v>
      </c>
      <c r="S359" s="51"/>
      <c r="T359" s="51" t="str" cm="1">
        <f t="array" ref="T359">IFERROR(_xlfn.IFS(
R359="","",
--R359&lt;55,"Battery Defect",
--R359&lt;=69,"Battery D",
--R359&lt;=80,"Battery C",
--R359&gt;80,""
),"")</f>
        <v/>
      </c>
      <c r="U359" s="51" t="str" cm="1">
        <f t="array" ref="U359">IFERROR(_xlfn.IFS(
S359="","",
--S359&lt;55,"Battery Defect",
--S359&lt;=69,"Battery D",
--S359&lt;=80,"Battery C",
--S359&gt;80,""
),"")</f>
        <v/>
      </c>
      <c r="V359" s="51"/>
      <c r="W359" s="51"/>
      <c r="X359" s="51"/>
      <c r="Y359" s="51"/>
      <c r="Z359" s="51"/>
      <c r="AA359" s="51"/>
      <c r="AB359" s="51"/>
      <c r="AC359" s="51"/>
      <c r="AD359" s="32" t="str">
        <f t="shared" si="15"/>
        <v/>
      </c>
      <c r="AE359" s="32"/>
      <c r="AF359" s="32"/>
      <c r="AG359" s="32"/>
      <c r="AH359" s="32"/>
      <c r="AI359" s="32"/>
      <c r="AJ359" s="32"/>
      <c r="AK359" s="32"/>
      <c r="AL359" s="32"/>
    </row>
    <row r="360" spans="1:38">
      <c r="A360" s="32" t="str">
        <f>_xlfn.TEXTJOIN("",TRUE,_xlfn.XLOOKUP(B360,Input!J:J,Input!G:G,"",0,1),_xlfn.XLOOKUP(B360,Input!J:J,Input!H:H,"",0,1))</f>
        <v/>
      </c>
      <c r="B360" s="32"/>
      <c r="C360" s="51">
        <f>_xlfn.XLOOKUP(B360,Input!J:J,Input!F:F)</f>
        <v>0</v>
      </c>
      <c r="D360" s="32">
        <f>_xlfn.XLOOKUP(C360,Models!H:H,Models!G:G,C360)</f>
        <v>0</v>
      </c>
      <c r="E360" s="32">
        <f>_xlfn.XLOOKUP(B360,Input!J:J,Input!E:E)</f>
        <v>0</v>
      </c>
      <c r="F360" s="32">
        <f>IF(E360="LENOVO",_xlfn.XLOOKUP(B360,Input!J:J,Input!K:K),_xlfn.XLOOKUP(B360,Input!J:J,Input!L:L))</f>
        <v>0</v>
      </c>
      <c r="G360" s="32"/>
      <c r="H360" s="32"/>
      <c r="I360" s="32"/>
      <c r="J360" s="51" t="e">
        <f>INDEX(Input!$D$2:$AC$500,
       MATCH(B360, Input!$J$2:$J$500, 0),
       MATCH("Total Memory", Input!$D$1:$AC$1, 0))</f>
        <v>#N/A</v>
      </c>
      <c r="K360" s="51"/>
      <c r="L360" s="51" t="str" cm="1">
        <f t="array" ref="L360">IFERROR(_xlfn.FILTERXML("&lt;t&gt;&lt;s&gt;" &amp; SUBSTITUTE(K360," / ","&lt;/s&gt;&lt;s&gt;") &amp; "&lt;/s&gt;&lt;/t&gt;","(//s[contains(.,'DDR')])[1]"),"")</f>
        <v/>
      </c>
      <c r="M360" s="32" t="e">
        <f t="shared" si="17"/>
        <v>#N/A</v>
      </c>
      <c r="N360" s="51" t="e">
        <f>INDEX(Input!$D$2:$AC$500,
       MATCH(B360, Input!$J$2:$J$500, 0),
       MATCH("Disk Interface Type", Input!$D$1:$AC$1, 0))</f>
        <v>#N/A</v>
      </c>
      <c r="O360" s="51" t="str" cm="1">
        <f t="array" ref="O360">IFERROR(_xlfn.TEXTJOIN(", ", TRUE, _xlfn._xlws.FILTER(
    INDEX(Input!$D$2:$AC$500,,MATCH("Disk Capacity",Input!$D$1:$AC$1,0)),
    Input!$J$2:$J$500=B360
)), "")</f>
        <v/>
      </c>
      <c r="P360" s="32" t="e">
        <f t="shared" si="16"/>
        <v>#N/A</v>
      </c>
      <c r="Q360" s="51" t="e">
        <f>_xlfn.LET(_xlpm.Result,INDEX(Input!$D$2:$AC$500,
       MATCH(B360, Input!$J$2:$J$500, 0),
       MATCH("Capacity", Input!$D$1:$AC$1, 0)),IF(_xlpm.Result="","",_xlpm.Result))</f>
        <v>#N/A</v>
      </c>
      <c r="R360" s="51" t="e" cm="1">
        <f t="array" ref="R360">_xlfn.TEXTSPLIT(Q360," / ", ,TRUE,0,)</f>
        <v>#N/A</v>
      </c>
      <c r="S360" s="51"/>
      <c r="T360" s="51" t="str" cm="1">
        <f t="array" ref="T360">IFERROR(_xlfn.IFS(
R360="","",
--R360&lt;55,"Battery Defect",
--R360&lt;=69,"Battery D",
--R360&lt;=80,"Battery C",
--R360&gt;80,""
),"")</f>
        <v/>
      </c>
      <c r="U360" s="51" t="str" cm="1">
        <f t="array" ref="U360">IFERROR(_xlfn.IFS(
S360="","",
--S360&lt;55,"Battery Defect",
--S360&lt;=69,"Battery D",
--S360&lt;=80,"Battery C",
--S360&gt;80,""
),"")</f>
        <v/>
      </c>
      <c r="V360" s="51"/>
      <c r="W360" s="51"/>
      <c r="X360" s="51"/>
      <c r="Y360" s="51"/>
      <c r="Z360" s="51"/>
      <c r="AA360" s="51"/>
      <c r="AB360" s="51"/>
      <c r="AC360" s="51"/>
      <c r="AD360" s="32" t="str">
        <f t="shared" si="15"/>
        <v/>
      </c>
      <c r="AE360" s="32"/>
      <c r="AF360" s="32"/>
      <c r="AG360" s="32"/>
      <c r="AH360" s="32"/>
      <c r="AI360" s="32"/>
      <c r="AJ360" s="32"/>
      <c r="AK360" s="32"/>
      <c r="AL360" s="32"/>
    </row>
    <row r="361" spans="1:38">
      <c r="A361" s="32" t="str">
        <f>_xlfn.TEXTJOIN("",TRUE,_xlfn.XLOOKUP(B361,Input!J:J,Input!G:G,"",0,1),_xlfn.XLOOKUP(B361,Input!J:J,Input!H:H,"",0,1))</f>
        <v/>
      </c>
      <c r="B361" s="32"/>
      <c r="C361" s="51">
        <f>_xlfn.XLOOKUP(B361,Input!J:J,Input!F:F)</f>
        <v>0</v>
      </c>
      <c r="D361" s="32">
        <f>_xlfn.XLOOKUP(C361,Models!H:H,Models!G:G,C361)</f>
        <v>0</v>
      </c>
      <c r="E361" s="32">
        <f>_xlfn.XLOOKUP(B361,Input!J:J,Input!E:E)</f>
        <v>0</v>
      </c>
      <c r="F361" s="32">
        <f>IF(E361="LENOVO",_xlfn.XLOOKUP(B361,Input!J:J,Input!K:K),_xlfn.XLOOKUP(B361,Input!J:J,Input!L:L))</f>
        <v>0</v>
      </c>
      <c r="G361" s="32"/>
      <c r="H361" s="32"/>
      <c r="I361" s="32"/>
      <c r="J361" s="51" t="e">
        <f>INDEX(Input!$D$2:$AC$500,
       MATCH(B361, Input!$J$2:$J$500, 0),
       MATCH("Total Memory", Input!$D$1:$AC$1, 0))</f>
        <v>#N/A</v>
      </c>
      <c r="K361" s="51"/>
      <c r="L361" s="51" t="str" cm="1">
        <f t="array" ref="L361">IFERROR(_xlfn.FILTERXML("&lt;t&gt;&lt;s&gt;" &amp; SUBSTITUTE(K361," / ","&lt;/s&gt;&lt;s&gt;") &amp; "&lt;/s&gt;&lt;/t&gt;","(//s[contains(.,'DDR')])[1]"),"")</f>
        <v/>
      </c>
      <c r="M361" s="32" t="e">
        <f t="shared" si="17"/>
        <v>#N/A</v>
      </c>
      <c r="N361" s="51" t="e">
        <f>INDEX(Input!$D$2:$AC$500,
       MATCH(B361, Input!$J$2:$J$500, 0),
       MATCH("Disk Interface Type", Input!$D$1:$AC$1, 0))</f>
        <v>#N/A</v>
      </c>
      <c r="O361" s="51" t="str" cm="1">
        <f t="array" ref="O361">IFERROR(_xlfn.TEXTJOIN(", ", TRUE, _xlfn._xlws.FILTER(
    INDEX(Input!$D$2:$AC$500,,MATCH("Disk Capacity",Input!$D$1:$AC$1,0)),
    Input!$J$2:$J$500=B361
)), "")</f>
        <v/>
      </c>
      <c r="P361" s="32" t="e">
        <f t="shared" si="16"/>
        <v>#N/A</v>
      </c>
      <c r="Q361" s="51" t="e">
        <f>_xlfn.LET(_xlpm.Result,INDEX(Input!$D$2:$AC$500,
       MATCH(B361, Input!$J$2:$J$500, 0),
       MATCH("Capacity", Input!$D$1:$AC$1, 0)),IF(_xlpm.Result="","",_xlpm.Result))</f>
        <v>#N/A</v>
      </c>
      <c r="R361" s="51" t="e" cm="1">
        <f t="array" ref="R361">_xlfn.TEXTSPLIT(Q361," / ", ,TRUE,0,)</f>
        <v>#N/A</v>
      </c>
      <c r="S361" s="51"/>
      <c r="T361" s="51" t="str" cm="1">
        <f t="array" ref="T361">IFERROR(_xlfn.IFS(
R361="","",
--R361&lt;55,"Battery Defect",
--R361&lt;=69,"Battery D",
--R361&lt;=80,"Battery C",
--R361&gt;80,""
),"")</f>
        <v/>
      </c>
      <c r="U361" s="51" t="str" cm="1">
        <f t="array" ref="U361">IFERROR(_xlfn.IFS(
S361="","",
--S361&lt;55,"Battery Defect",
--S361&lt;=69,"Battery D",
--S361&lt;=80,"Battery C",
--S361&gt;80,""
),"")</f>
        <v/>
      </c>
      <c r="V361" s="51"/>
      <c r="W361" s="51"/>
      <c r="X361" s="51"/>
      <c r="Y361" s="51"/>
      <c r="Z361" s="51"/>
      <c r="AA361" s="51"/>
      <c r="AB361" s="51"/>
      <c r="AC361" s="51"/>
      <c r="AD361" s="32" t="str">
        <f t="shared" si="15"/>
        <v/>
      </c>
      <c r="AE361" s="32"/>
      <c r="AF361" s="32"/>
      <c r="AG361" s="32"/>
      <c r="AH361" s="32"/>
      <c r="AI361" s="32"/>
      <c r="AJ361" s="32"/>
      <c r="AK361" s="32"/>
      <c r="AL361" s="32"/>
    </row>
    <row r="362" spans="1:38">
      <c r="A362" s="32" t="str">
        <f>_xlfn.TEXTJOIN("",TRUE,_xlfn.XLOOKUP(B362,Input!J:J,Input!G:G,"",0,1),_xlfn.XLOOKUP(B362,Input!J:J,Input!H:H,"",0,1))</f>
        <v/>
      </c>
      <c r="B362" s="32"/>
      <c r="C362" s="51">
        <f>_xlfn.XLOOKUP(B362,Input!J:J,Input!F:F)</f>
        <v>0</v>
      </c>
      <c r="D362" s="32">
        <f>_xlfn.XLOOKUP(C362,Models!H:H,Models!G:G,C362)</f>
        <v>0</v>
      </c>
      <c r="E362" s="32">
        <f>_xlfn.XLOOKUP(B362,Input!J:J,Input!E:E)</f>
        <v>0</v>
      </c>
      <c r="F362" s="32">
        <f>IF(E362="LENOVO",_xlfn.XLOOKUP(B362,Input!J:J,Input!K:K),_xlfn.XLOOKUP(B362,Input!J:J,Input!L:L))</f>
        <v>0</v>
      </c>
      <c r="G362" s="32"/>
      <c r="H362" s="32"/>
      <c r="I362" s="32"/>
      <c r="J362" s="51" t="e">
        <f>INDEX(Input!$D$2:$AC$500,
       MATCH(B362, Input!$J$2:$J$500, 0),
       MATCH("Total Memory", Input!$D$1:$AC$1, 0))</f>
        <v>#N/A</v>
      </c>
      <c r="K362" s="51"/>
      <c r="L362" s="51" t="str" cm="1">
        <f t="array" ref="L362">IFERROR(_xlfn.FILTERXML("&lt;t&gt;&lt;s&gt;" &amp; SUBSTITUTE(K362," / ","&lt;/s&gt;&lt;s&gt;") &amp; "&lt;/s&gt;&lt;/t&gt;","(//s[contains(.,'DDR')])[1]"),"")</f>
        <v/>
      </c>
      <c r="M362" s="32" t="e">
        <f t="shared" si="17"/>
        <v>#N/A</v>
      </c>
      <c r="N362" s="51" t="e">
        <f>INDEX(Input!$D$2:$AC$500,
       MATCH(B362, Input!$J$2:$J$500, 0),
       MATCH("Disk Interface Type", Input!$D$1:$AC$1, 0))</f>
        <v>#N/A</v>
      </c>
      <c r="O362" s="51" t="str" cm="1">
        <f t="array" ref="O362">IFERROR(_xlfn.TEXTJOIN(", ", TRUE, _xlfn._xlws.FILTER(
    INDEX(Input!$D$2:$AC$500,,MATCH("Disk Capacity",Input!$D$1:$AC$1,0)),
    Input!$J$2:$J$500=B362
)), "")</f>
        <v/>
      </c>
      <c r="P362" s="32" t="e">
        <f t="shared" si="16"/>
        <v>#N/A</v>
      </c>
      <c r="Q362" s="51" t="e">
        <f>_xlfn.LET(_xlpm.Result,INDEX(Input!$D$2:$AC$500,
       MATCH(B362, Input!$J$2:$J$500, 0),
       MATCH("Capacity", Input!$D$1:$AC$1, 0)),IF(_xlpm.Result="","",_xlpm.Result))</f>
        <v>#N/A</v>
      </c>
      <c r="R362" s="51" t="e" cm="1">
        <f t="array" ref="R362">_xlfn.TEXTSPLIT(Q362," / ", ,TRUE,0,)</f>
        <v>#N/A</v>
      </c>
      <c r="S362" s="51"/>
      <c r="T362" s="51" t="str" cm="1">
        <f t="array" ref="T362">IFERROR(_xlfn.IFS(
R362="","",
--R362&lt;55,"Battery Defect",
--R362&lt;=69,"Battery D",
--R362&lt;=80,"Battery C",
--R362&gt;80,""
),"")</f>
        <v/>
      </c>
      <c r="U362" s="51" t="str" cm="1">
        <f t="array" ref="U362">IFERROR(_xlfn.IFS(
S362="","",
--S362&lt;55,"Battery Defect",
--S362&lt;=69,"Battery D",
--S362&lt;=80,"Battery C",
--S362&gt;80,""
),"")</f>
        <v/>
      </c>
      <c r="V362" s="51"/>
      <c r="W362" s="51"/>
      <c r="X362" s="51"/>
      <c r="Y362" s="51"/>
      <c r="Z362" s="51"/>
      <c r="AA362" s="51"/>
      <c r="AB362" s="51"/>
      <c r="AC362" s="51"/>
      <c r="AD362" s="32" t="str">
        <f t="shared" si="15"/>
        <v/>
      </c>
      <c r="AE362" s="32"/>
      <c r="AF362" s="32"/>
      <c r="AG362" s="32"/>
      <c r="AH362" s="32"/>
      <c r="AI362" s="32"/>
      <c r="AJ362" s="32"/>
      <c r="AK362" s="32"/>
      <c r="AL362" s="32"/>
    </row>
    <row r="363" spans="1:38">
      <c r="A363" s="32" t="str">
        <f>_xlfn.TEXTJOIN("",TRUE,_xlfn.XLOOKUP(B363,Input!J:J,Input!G:G,"",0,1),_xlfn.XLOOKUP(B363,Input!J:J,Input!H:H,"",0,1))</f>
        <v/>
      </c>
      <c r="B363" s="32"/>
      <c r="C363" s="51">
        <f>_xlfn.XLOOKUP(B363,Input!J:J,Input!F:F)</f>
        <v>0</v>
      </c>
      <c r="D363" s="32">
        <f>_xlfn.XLOOKUP(C363,Models!H:H,Models!G:G,C363)</f>
        <v>0</v>
      </c>
      <c r="E363" s="32">
        <f>_xlfn.XLOOKUP(B363,Input!J:J,Input!E:E)</f>
        <v>0</v>
      </c>
      <c r="F363" s="32">
        <f>IF(E363="LENOVO",_xlfn.XLOOKUP(B363,Input!J:J,Input!K:K),_xlfn.XLOOKUP(B363,Input!J:J,Input!L:L))</f>
        <v>0</v>
      </c>
      <c r="G363" s="32"/>
      <c r="H363" s="32"/>
      <c r="I363" s="32"/>
      <c r="J363" s="51" t="e">
        <f>INDEX(Input!$D$2:$AC$500,
       MATCH(B363, Input!$J$2:$J$500, 0),
       MATCH("Total Memory", Input!$D$1:$AC$1, 0))</f>
        <v>#N/A</v>
      </c>
      <c r="K363" s="51"/>
      <c r="L363" s="51" t="str" cm="1">
        <f t="array" ref="L363">IFERROR(_xlfn.FILTERXML("&lt;t&gt;&lt;s&gt;" &amp; SUBSTITUTE(K363," / ","&lt;/s&gt;&lt;s&gt;") &amp; "&lt;/s&gt;&lt;/t&gt;","(//s[contains(.,'DDR')])[1]"),"")</f>
        <v/>
      </c>
      <c r="M363" s="32" t="e">
        <f t="shared" si="17"/>
        <v>#N/A</v>
      </c>
      <c r="N363" s="51" t="e">
        <f>INDEX(Input!$D$2:$AC$500,
       MATCH(B363, Input!$J$2:$J$500, 0),
       MATCH("Disk Interface Type", Input!$D$1:$AC$1, 0))</f>
        <v>#N/A</v>
      </c>
      <c r="O363" s="51" t="str" cm="1">
        <f t="array" ref="O363">IFERROR(_xlfn.TEXTJOIN(", ", TRUE, _xlfn._xlws.FILTER(
    INDEX(Input!$D$2:$AC$500,,MATCH("Disk Capacity",Input!$D$1:$AC$1,0)),
    Input!$J$2:$J$500=B363
)), "")</f>
        <v/>
      </c>
      <c r="P363" s="32" t="e">
        <f t="shared" si="16"/>
        <v>#N/A</v>
      </c>
      <c r="Q363" s="51" t="e">
        <f>_xlfn.LET(_xlpm.Result,INDEX(Input!$D$2:$AC$500,
       MATCH(B363, Input!$J$2:$J$500, 0),
       MATCH("Capacity", Input!$D$1:$AC$1, 0)),IF(_xlpm.Result="","",_xlpm.Result))</f>
        <v>#N/A</v>
      </c>
      <c r="R363" s="51" t="e" cm="1">
        <f t="array" ref="R363">_xlfn.TEXTSPLIT(Q363," / ", ,TRUE,0,)</f>
        <v>#N/A</v>
      </c>
      <c r="S363" s="51"/>
      <c r="T363" s="51" t="str" cm="1">
        <f t="array" ref="T363">IFERROR(_xlfn.IFS(
R363="","",
--R363&lt;55,"Battery Defect",
--R363&lt;=69,"Battery D",
--R363&lt;=80,"Battery C",
--R363&gt;80,""
),"")</f>
        <v/>
      </c>
      <c r="U363" s="51" t="str" cm="1">
        <f t="array" ref="U363">IFERROR(_xlfn.IFS(
S363="","",
--S363&lt;55,"Battery Defect",
--S363&lt;=69,"Battery D",
--S363&lt;=80,"Battery C",
--S363&gt;80,""
),"")</f>
        <v/>
      </c>
      <c r="V363" s="51"/>
      <c r="W363" s="51"/>
      <c r="X363" s="51"/>
      <c r="Y363" s="51"/>
      <c r="Z363" s="51"/>
      <c r="AA363" s="51"/>
      <c r="AB363" s="51"/>
      <c r="AC363" s="51"/>
      <c r="AD363" s="32" t="str">
        <f t="shared" si="15"/>
        <v/>
      </c>
      <c r="AE363" s="32"/>
      <c r="AF363" s="32"/>
      <c r="AG363" s="32"/>
      <c r="AH363" s="32"/>
      <c r="AI363" s="32"/>
      <c r="AJ363" s="32"/>
      <c r="AK363" s="32"/>
      <c r="AL363" s="32"/>
    </row>
    <row r="364" spans="1:38">
      <c r="A364" s="32" t="str">
        <f>_xlfn.TEXTJOIN("",TRUE,_xlfn.XLOOKUP(B364,Input!J:J,Input!G:G,"",0,1),_xlfn.XLOOKUP(B364,Input!J:J,Input!H:H,"",0,1))</f>
        <v/>
      </c>
      <c r="B364" s="32"/>
      <c r="C364" s="51">
        <f>_xlfn.XLOOKUP(B364,Input!J:J,Input!F:F)</f>
        <v>0</v>
      </c>
      <c r="D364" s="32">
        <f>_xlfn.XLOOKUP(C364,Models!H:H,Models!G:G,C364)</f>
        <v>0</v>
      </c>
      <c r="E364" s="32">
        <f>_xlfn.XLOOKUP(B364,Input!J:J,Input!E:E)</f>
        <v>0</v>
      </c>
      <c r="F364" s="32">
        <f>IF(E364="LENOVO",_xlfn.XLOOKUP(B364,Input!J:J,Input!K:K),_xlfn.XLOOKUP(B364,Input!J:J,Input!L:L))</f>
        <v>0</v>
      </c>
      <c r="G364" s="32"/>
      <c r="H364" s="32"/>
      <c r="I364" s="32"/>
      <c r="J364" s="51" t="e">
        <f>INDEX(Input!$D$2:$AC$500,
       MATCH(B364, Input!$J$2:$J$500, 0),
       MATCH("Total Memory", Input!$D$1:$AC$1, 0))</f>
        <v>#N/A</v>
      </c>
      <c r="K364" s="51"/>
      <c r="L364" s="51" t="str" cm="1">
        <f t="array" ref="L364">IFERROR(_xlfn.FILTERXML("&lt;t&gt;&lt;s&gt;" &amp; SUBSTITUTE(K364," / ","&lt;/s&gt;&lt;s&gt;") &amp; "&lt;/s&gt;&lt;/t&gt;","(//s[contains(.,'DDR')])[1]"),"")</f>
        <v/>
      </c>
      <c r="M364" s="32" t="e">
        <f t="shared" si="17"/>
        <v>#N/A</v>
      </c>
      <c r="N364" s="51" t="e">
        <f>INDEX(Input!$D$2:$AC$500,
       MATCH(B364, Input!$J$2:$J$500, 0),
       MATCH("Disk Interface Type", Input!$D$1:$AC$1, 0))</f>
        <v>#N/A</v>
      </c>
      <c r="O364" s="51" t="str" cm="1">
        <f t="array" ref="O364">IFERROR(_xlfn.TEXTJOIN(", ", TRUE, _xlfn._xlws.FILTER(
    INDEX(Input!$D$2:$AC$500,,MATCH("Disk Capacity",Input!$D$1:$AC$1,0)),
    Input!$J$2:$J$500=B364
)), "")</f>
        <v/>
      </c>
      <c r="P364" s="32" t="e">
        <f t="shared" si="16"/>
        <v>#N/A</v>
      </c>
      <c r="Q364" s="51" t="e">
        <f>_xlfn.LET(_xlpm.Result,INDEX(Input!$D$2:$AC$500,
       MATCH(B364, Input!$J$2:$J$500, 0),
       MATCH("Capacity", Input!$D$1:$AC$1, 0)),IF(_xlpm.Result="","",_xlpm.Result))</f>
        <v>#N/A</v>
      </c>
      <c r="R364" s="51" t="e" cm="1">
        <f t="array" ref="R364">_xlfn.TEXTSPLIT(Q364," / ", ,TRUE,0,)</f>
        <v>#N/A</v>
      </c>
      <c r="S364" s="51"/>
      <c r="T364" s="51" t="str" cm="1">
        <f t="array" ref="T364">IFERROR(_xlfn.IFS(
R364="","",
--R364&lt;55,"Battery Defect",
--R364&lt;=69,"Battery D",
--R364&lt;=80,"Battery C",
--R364&gt;80,""
),"")</f>
        <v/>
      </c>
      <c r="U364" s="51" t="str" cm="1">
        <f t="array" ref="U364">IFERROR(_xlfn.IFS(
S364="","",
--S364&lt;55,"Battery Defect",
--S364&lt;=69,"Battery D",
--S364&lt;=80,"Battery C",
--S364&gt;80,""
),"")</f>
        <v/>
      </c>
      <c r="V364" s="51"/>
      <c r="W364" s="51"/>
      <c r="X364" s="51"/>
      <c r="Y364" s="51"/>
      <c r="Z364" s="51"/>
      <c r="AA364" s="51"/>
      <c r="AB364" s="51"/>
      <c r="AC364" s="51"/>
      <c r="AD364" s="32" t="str">
        <f t="shared" si="15"/>
        <v/>
      </c>
      <c r="AE364" s="32"/>
      <c r="AF364" s="32"/>
      <c r="AG364" s="32"/>
      <c r="AH364" s="32"/>
      <c r="AI364" s="32"/>
      <c r="AJ364" s="32"/>
      <c r="AK364" s="32"/>
      <c r="AL364" s="32"/>
    </row>
    <row r="365" spans="1:38">
      <c r="A365" s="32" t="str">
        <f>_xlfn.TEXTJOIN("",TRUE,_xlfn.XLOOKUP(B365,Input!J:J,Input!G:G,"",0,1),_xlfn.XLOOKUP(B365,Input!J:J,Input!H:H,"",0,1))</f>
        <v/>
      </c>
      <c r="B365" s="32"/>
      <c r="C365" s="51">
        <f>_xlfn.XLOOKUP(B365,Input!J:J,Input!F:F)</f>
        <v>0</v>
      </c>
      <c r="D365" s="32">
        <f>_xlfn.XLOOKUP(C365,Models!H:H,Models!G:G,C365)</f>
        <v>0</v>
      </c>
      <c r="E365" s="32">
        <f>_xlfn.XLOOKUP(B365,Input!J:J,Input!E:E)</f>
        <v>0</v>
      </c>
      <c r="F365" s="32">
        <f>IF(E365="LENOVO",_xlfn.XLOOKUP(B365,Input!J:J,Input!K:K),_xlfn.XLOOKUP(B365,Input!J:J,Input!L:L))</f>
        <v>0</v>
      </c>
      <c r="G365" s="32"/>
      <c r="H365" s="32"/>
      <c r="I365" s="32"/>
      <c r="J365" s="51" t="e">
        <f>INDEX(Input!$D$2:$AC$500,
       MATCH(B365, Input!$J$2:$J$500, 0),
       MATCH("Total Memory", Input!$D$1:$AC$1, 0))</f>
        <v>#N/A</v>
      </c>
      <c r="K365" s="51"/>
      <c r="L365" s="51" t="str" cm="1">
        <f t="array" ref="L365">IFERROR(_xlfn.FILTERXML("&lt;t&gt;&lt;s&gt;" &amp; SUBSTITUTE(K365," / ","&lt;/s&gt;&lt;s&gt;") &amp; "&lt;/s&gt;&lt;/t&gt;","(//s[contains(.,'DDR')])[1]"),"")</f>
        <v/>
      </c>
      <c r="M365" s="32" t="e">
        <f t="shared" si="17"/>
        <v>#N/A</v>
      </c>
      <c r="N365" s="51" t="e">
        <f>INDEX(Input!$D$2:$AC$500,
       MATCH(B365, Input!$J$2:$J$500, 0),
       MATCH("Disk Interface Type", Input!$D$1:$AC$1, 0))</f>
        <v>#N/A</v>
      </c>
      <c r="O365" s="51" t="str" cm="1">
        <f t="array" ref="O365">IFERROR(_xlfn.TEXTJOIN(", ", TRUE, _xlfn._xlws.FILTER(
    INDEX(Input!$D$2:$AC$500,,MATCH("Disk Capacity",Input!$D$1:$AC$1,0)),
    Input!$J$2:$J$500=B365
)), "")</f>
        <v/>
      </c>
      <c r="P365" s="32" t="e">
        <f t="shared" si="16"/>
        <v>#N/A</v>
      </c>
      <c r="Q365" s="51" t="e">
        <f>_xlfn.LET(_xlpm.Result,INDEX(Input!$D$2:$AC$500,
       MATCH(B365, Input!$J$2:$J$500, 0),
       MATCH("Capacity", Input!$D$1:$AC$1, 0)),IF(_xlpm.Result="","",_xlpm.Result))</f>
        <v>#N/A</v>
      </c>
      <c r="R365" s="51" t="e" cm="1">
        <f t="array" ref="R365">_xlfn.TEXTSPLIT(Q365," / ", ,TRUE,0,)</f>
        <v>#N/A</v>
      </c>
      <c r="S365" s="51"/>
      <c r="T365" s="51" t="str" cm="1">
        <f t="array" ref="T365">IFERROR(_xlfn.IFS(
R365="","",
--R365&lt;55,"Battery Defect",
--R365&lt;=69,"Battery D",
--R365&lt;=80,"Battery C",
--R365&gt;80,""
),"")</f>
        <v/>
      </c>
      <c r="U365" s="51" t="str" cm="1">
        <f t="array" ref="U365">IFERROR(_xlfn.IFS(
S365="","",
--S365&lt;55,"Battery Defect",
--S365&lt;=69,"Battery D",
--S365&lt;=80,"Battery C",
--S365&gt;80,""
),"")</f>
        <v/>
      </c>
      <c r="V365" s="51"/>
      <c r="W365" s="51"/>
      <c r="X365" s="51"/>
      <c r="Y365" s="51"/>
      <c r="Z365" s="51"/>
      <c r="AA365" s="51"/>
      <c r="AB365" s="51"/>
      <c r="AC365" s="51"/>
      <c r="AD365" s="32" t="str">
        <f t="shared" si="15"/>
        <v/>
      </c>
      <c r="AE365" s="32"/>
      <c r="AF365" s="32"/>
      <c r="AG365" s="32"/>
      <c r="AH365" s="32"/>
      <c r="AI365" s="32"/>
      <c r="AJ365" s="32"/>
      <c r="AK365" s="32"/>
      <c r="AL365" s="32"/>
    </row>
    <row r="366" spans="1:38">
      <c r="A366" s="32" t="str">
        <f>_xlfn.TEXTJOIN("",TRUE,_xlfn.XLOOKUP(B366,Input!J:J,Input!G:G,"",0,1),_xlfn.XLOOKUP(B366,Input!J:J,Input!H:H,"",0,1))</f>
        <v/>
      </c>
      <c r="B366" s="32"/>
      <c r="C366" s="51">
        <f>_xlfn.XLOOKUP(B366,Input!J:J,Input!F:F)</f>
        <v>0</v>
      </c>
      <c r="D366" s="32">
        <f>_xlfn.XLOOKUP(C366,Models!H:H,Models!G:G,C366)</f>
        <v>0</v>
      </c>
      <c r="E366" s="32">
        <f>_xlfn.XLOOKUP(B366,Input!J:J,Input!E:E)</f>
        <v>0</v>
      </c>
      <c r="F366" s="32">
        <f>IF(E366="LENOVO",_xlfn.XLOOKUP(B366,Input!J:J,Input!K:K),_xlfn.XLOOKUP(B366,Input!J:J,Input!L:L))</f>
        <v>0</v>
      </c>
      <c r="G366" s="32"/>
      <c r="H366" s="32"/>
      <c r="I366" s="32"/>
      <c r="J366" s="51" t="e">
        <f>INDEX(Input!$D$2:$AC$500,
       MATCH(B366, Input!$J$2:$J$500, 0),
       MATCH("Total Memory", Input!$D$1:$AC$1, 0))</f>
        <v>#N/A</v>
      </c>
      <c r="K366" s="51"/>
      <c r="L366" s="51" t="str" cm="1">
        <f t="array" ref="L366">IFERROR(_xlfn.FILTERXML("&lt;t&gt;&lt;s&gt;" &amp; SUBSTITUTE(K366," / ","&lt;/s&gt;&lt;s&gt;") &amp; "&lt;/s&gt;&lt;/t&gt;","(//s[contains(.,'DDR')])[1]"),"")</f>
        <v/>
      </c>
      <c r="M366" s="32" t="e">
        <f t="shared" si="17"/>
        <v>#N/A</v>
      </c>
      <c r="N366" s="51" t="e">
        <f>INDEX(Input!$D$2:$AC$500,
       MATCH(B366, Input!$J$2:$J$500, 0),
       MATCH("Disk Interface Type", Input!$D$1:$AC$1, 0))</f>
        <v>#N/A</v>
      </c>
      <c r="O366" s="51" t="str" cm="1">
        <f t="array" ref="O366">IFERROR(_xlfn.TEXTJOIN(", ", TRUE, _xlfn._xlws.FILTER(
    INDEX(Input!$D$2:$AC$500,,MATCH("Disk Capacity",Input!$D$1:$AC$1,0)),
    Input!$J$2:$J$500=B366
)), "")</f>
        <v/>
      </c>
      <c r="P366" s="32" t="e">
        <f t="shared" si="16"/>
        <v>#N/A</v>
      </c>
      <c r="Q366" s="51" t="e">
        <f>_xlfn.LET(_xlpm.Result,INDEX(Input!$D$2:$AC$500,
       MATCH(B366, Input!$J$2:$J$500, 0),
       MATCH("Capacity", Input!$D$1:$AC$1, 0)),IF(_xlpm.Result="","",_xlpm.Result))</f>
        <v>#N/A</v>
      </c>
      <c r="R366" s="51" t="e" cm="1">
        <f t="array" ref="R366">_xlfn.TEXTSPLIT(Q366," / ", ,TRUE,0,)</f>
        <v>#N/A</v>
      </c>
      <c r="S366" s="51"/>
      <c r="T366" s="51" t="str" cm="1">
        <f t="array" ref="T366">IFERROR(_xlfn.IFS(
R366="","",
--R366&lt;55,"Battery Defect",
--R366&lt;=69,"Battery D",
--R366&lt;=80,"Battery C",
--R366&gt;80,""
),"")</f>
        <v/>
      </c>
      <c r="U366" s="51" t="str" cm="1">
        <f t="array" ref="U366">IFERROR(_xlfn.IFS(
S366="","",
--S366&lt;55,"Battery Defect",
--S366&lt;=69,"Battery D",
--S366&lt;=80,"Battery C",
--S366&gt;80,""
),"")</f>
        <v/>
      </c>
      <c r="V366" s="51"/>
      <c r="W366" s="51"/>
      <c r="X366" s="51"/>
      <c r="Y366" s="51"/>
      <c r="Z366" s="51"/>
      <c r="AA366" s="51"/>
      <c r="AB366" s="51"/>
      <c r="AC366" s="51"/>
      <c r="AD366" s="32" t="str">
        <f t="shared" si="15"/>
        <v/>
      </c>
      <c r="AE366" s="32"/>
      <c r="AF366" s="32"/>
      <c r="AG366" s="32"/>
      <c r="AH366" s="32"/>
      <c r="AI366" s="32"/>
      <c r="AJ366" s="32"/>
      <c r="AK366" s="32"/>
      <c r="AL366" s="32"/>
    </row>
    <row r="367" spans="1:38">
      <c r="A367" s="32" t="str">
        <f>_xlfn.TEXTJOIN("",TRUE,_xlfn.XLOOKUP(B367,Input!J:J,Input!G:G,"",0,1),_xlfn.XLOOKUP(B367,Input!J:J,Input!H:H,"",0,1))</f>
        <v/>
      </c>
      <c r="B367" s="32"/>
      <c r="C367" s="51">
        <f>_xlfn.XLOOKUP(B367,Input!J:J,Input!F:F)</f>
        <v>0</v>
      </c>
      <c r="D367" s="32">
        <f>_xlfn.XLOOKUP(C367,Models!H:H,Models!G:G,C367)</f>
        <v>0</v>
      </c>
      <c r="E367" s="32">
        <f>_xlfn.XLOOKUP(B367,Input!J:J,Input!E:E)</f>
        <v>0</v>
      </c>
      <c r="F367" s="32">
        <f>IF(E367="LENOVO",_xlfn.XLOOKUP(B367,Input!J:J,Input!K:K),_xlfn.XLOOKUP(B367,Input!J:J,Input!L:L))</f>
        <v>0</v>
      </c>
      <c r="G367" s="32"/>
      <c r="H367" s="32"/>
      <c r="I367" s="32"/>
      <c r="J367" s="51" t="e">
        <f>INDEX(Input!$D$2:$AC$500,
       MATCH(B367, Input!$J$2:$J$500, 0),
       MATCH("Total Memory", Input!$D$1:$AC$1, 0))</f>
        <v>#N/A</v>
      </c>
      <c r="K367" s="51"/>
      <c r="L367" s="51" t="str" cm="1">
        <f t="array" ref="L367">IFERROR(_xlfn.FILTERXML("&lt;t&gt;&lt;s&gt;" &amp; SUBSTITUTE(K367," / ","&lt;/s&gt;&lt;s&gt;") &amp; "&lt;/s&gt;&lt;/t&gt;","(//s[contains(.,'DDR')])[1]"),"")</f>
        <v/>
      </c>
      <c r="M367" s="32" t="e">
        <f t="shared" si="17"/>
        <v>#N/A</v>
      </c>
      <c r="N367" s="51" t="e">
        <f>INDEX(Input!$D$2:$AC$500,
       MATCH(B367, Input!$J$2:$J$500, 0),
       MATCH("Disk Interface Type", Input!$D$1:$AC$1, 0))</f>
        <v>#N/A</v>
      </c>
      <c r="O367" s="51" t="str" cm="1">
        <f t="array" ref="O367">IFERROR(_xlfn.TEXTJOIN(", ", TRUE, _xlfn._xlws.FILTER(
    INDEX(Input!$D$2:$AC$500,,MATCH("Disk Capacity",Input!$D$1:$AC$1,0)),
    Input!$J$2:$J$500=B367
)), "")</f>
        <v/>
      </c>
      <c r="P367" s="32" t="e">
        <f t="shared" si="16"/>
        <v>#N/A</v>
      </c>
      <c r="Q367" s="51" t="e">
        <f>_xlfn.LET(_xlpm.Result,INDEX(Input!$D$2:$AC$500,
       MATCH(B367, Input!$J$2:$J$500, 0),
       MATCH("Capacity", Input!$D$1:$AC$1, 0)),IF(_xlpm.Result="","",_xlpm.Result))</f>
        <v>#N/A</v>
      </c>
      <c r="R367" s="51" t="e" cm="1">
        <f t="array" ref="R367">_xlfn.TEXTSPLIT(Q367," / ", ,TRUE,0,)</f>
        <v>#N/A</v>
      </c>
      <c r="S367" s="51"/>
      <c r="T367" s="51" t="str" cm="1">
        <f t="array" ref="T367">IFERROR(_xlfn.IFS(
R367="","",
--R367&lt;55,"Battery Defect",
--R367&lt;=69,"Battery D",
--R367&lt;=80,"Battery C",
--R367&gt;80,""
),"")</f>
        <v/>
      </c>
      <c r="U367" s="51" t="str" cm="1">
        <f t="array" ref="U367">IFERROR(_xlfn.IFS(
S367="","",
--S367&lt;55,"Battery Defect",
--S367&lt;=69,"Battery D",
--S367&lt;=80,"Battery C",
--S367&gt;80,""
),"")</f>
        <v/>
      </c>
      <c r="V367" s="51"/>
      <c r="W367" s="51"/>
      <c r="X367" s="51"/>
      <c r="Y367" s="51"/>
      <c r="Z367" s="51"/>
      <c r="AA367" s="51"/>
      <c r="AB367" s="51"/>
      <c r="AC367" s="51"/>
      <c r="AD367" s="32" t="str">
        <f t="shared" si="15"/>
        <v/>
      </c>
      <c r="AE367" s="32"/>
      <c r="AF367" s="32"/>
      <c r="AG367" s="32"/>
      <c r="AH367" s="32"/>
      <c r="AI367" s="32"/>
      <c r="AJ367" s="32"/>
      <c r="AK367" s="32"/>
      <c r="AL367" s="32"/>
    </row>
    <row r="368" spans="1:38">
      <c r="A368" s="32" t="str">
        <f>_xlfn.TEXTJOIN("",TRUE,_xlfn.XLOOKUP(B368,Input!J:J,Input!G:G,"",0,1),_xlfn.XLOOKUP(B368,Input!J:J,Input!H:H,"",0,1))</f>
        <v/>
      </c>
      <c r="B368" s="32"/>
      <c r="C368" s="51">
        <f>_xlfn.XLOOKUP(B368,Input!J:J,Input!F:F)</f>
        <v>0</v>
      </c>
      <c r="D368" s="32">
        <f>_xlfn.XLOOKUP(C368,Models!H:H,Models!G:G,C368)</f>
        <v>0</v>
      </c>
      <c r="E368" s="32">
        <f>_xlfn.XLOOKUP(B368,Input!J:J,Input!E:E)</f>
        <v>0</v>
      </c>
      <c r="F368" s="32">
        <f>IF(E368="LENOVO",_xlfn.XLOOKUP(B368,Input!J:J,Input!K:K),_xlfn.XLOOKUP(B368,Input!J:J,Input!L:L))</f>
        <v>0</v>
      </c>
      <c r="G368" s="32"/>
      <c r="H368" s="32"/>
      <c r="I368" s="32"/>
      <c r="J368" s="51" t="e">
        <f>INDEX(Input!$D$2:$AC$500,
       MATCH(B368, Input!$J$2:$J$500, 0),
       MATCH("Total Memory", Input!$D$1:$AC$1, 0))</f>
        <v>#N/A</v>
      </c>
      <c r="K368" s="51"/>
      <c r="L368" s="51" t="str" cm="1">
        <f t="array" ref="L368">IFERROR(_xlfn.FILTERXML("&lt;t&gt;&lt;s&gt;" &amp; SUBSTITUTE(K368," / ","&lt;/s&gt;&lt;s&gt;") &amp; "&lt;/s&gt;&lt;/t&gt;","(//s[contains(.,'DDR')])[1]"),"")</f>
        <v/>
      </c>
      <c r="M368" s="32" t="e">
        <f t="shared" si="17"/>
        <v>#N/A</v>
      </c>
      <c r="N368" s="51" t="e">
        <f>INDEX(Input!$D$2:$AC$500,
       MATCH(B368, Input!$J$2:$J$500, 0),
       MATCH("Disk Interface Type", Input!$D$1:$AC$1, 0))</f>
        <v>#N/A</v>
      </c>
      <c r="O368" s="51" t="str" cm="1">
        <f t="array" ref="O368">IFERROR(_xlfn.TEXTJOIN(", ", TRUE, _xlfn._xlws.FILTER(
    INDEX(Input!$D$2:$AC$500,,MATCH("Disk Capacity",Input!$D$1:$AC$1,0)),
    Input!$J$2:$J$500=B368
)), "")</f>
        <v/>
      </c>
      <c r="P368" s="32" t="e">
        <f t="shared" si="16"/>
        <v>#N/A</v>
      </c>
      <c r="Q368" s="51" t="e">
        <f>_xlfn.LET(_xlpm.Result,INDEX(Input!$D$2:$AC$500,
       MATCH(B368, Input!$J$2:$J$500, 0),
       MATCH("Capacity", Input!$D$1:$AC$1, 0)),IF(_xlpm.Result="","",_xlpm.Result))</f>
        <v>#N/A</v>
      </c>
      <c r="R368" s="51" t="e" cm="1">
        <f t="array" ref="R368">_xlfn.TEXTSPLIT(Q368," / ", ,TRUE,0,)</f>
        <v>#N/A</v>
      </c>
      <c r="S368" s="51"/>
      <c r="T368" s="51" t="str" cm="1">
        <f t="array" ref="T368">IFERROR(_xlfn.IFS(
R368="","",
--R368&lt;55,"Battery Defect",
--R368&lt;=69,"Battery D",
--R368&lt;=80,"Battery C",
--R368&gt;80,""
),"")</f>
        <v/>
      </c>
      <c r="U368" s="51" t="str" cm="1">
        <f t="array" ref="U368">IFERROR(_xlfn.IFS(
S368="","",
--S368&lt;55,"Battery Defect",
--S368&lt;=69,"Battery D",
--S368&lt;=80,"Battery C",
--S368&gt;80,""
),"")</f>
        <v/>
      </c>
      <c r="V368" s="51"/>
      <c r="W368" s="51"/>
      <c r="X368" s="51"/>
      <c r="Y368" s="51"/>
      <c r="Z368" s="51"/>
      <c r="AA368" s="51"/>
      <c r="AB368" s="51"/>
      <c r="AC368" s="51"/>
      <c r="AD368" s="32" t="str">
        <f t="shared" si="15"/>
        <v/>
      </c>
      <c r="AE368" s="32"/>
      <c r="AF368" s="32"/>
      <c r="AG368" s="32"/>
      <c r="AH368" s="32"/>
      <c r="AI368" s="32"/>
      <c r="AJ368" s="32"/>
      <c r="AK368" s="32"/>
      <c r="AL368" s="32"/>
    </row>
    <row r="369" spans="1:38">
      <c r="A369" s="32" t="str">
        <f>_xlfn.TEXTJOIN("",TRUE,_xlfn.XLOOKUP(B369,Input!J:J,Input!G:G,"",0,1),_xlfn.XLOOKUP(B369,Input!J:J,Input!H:H,"",0,1))</f>
        <v/>
      </c>
      <c r="B369" s="32"/>
      <c r="C369" s="51">
        <f>_xlfn.XLOOKUP(B369,Input!J:J,Input!F:F)</f>
        <v>0</v>
      </c>
      <c r="D369" s="32">
        <f>_xlfn.XLOOKUP(C369,Models!H:H,Models!G:G,C369)</f>
        <v>0</v>
      </c>
      <c r="E369" s="32">
        <f>_xlfn.XLOOKUP(B369,Input!J:J,Input!E:E)</f>
        <v>0</v>
      </c>
      <c r="F369" s="32">
        <f>IF(E369="LENOVO",_xlfn.XLOOKUP(B369,Input!J:J,Input!K:K),_xlfn.XLOOKUP(B369,Input!J:J,Input!L:L))</f>
        <v>0</v>
      </c>
      <c r="G369" s="32"/>
      <c r="H369" s="32"/>
      <c r="I369" s="32"/>
      <c r="J369" s="51" t="e">
        <f>INDEX(Input!$D$2:$AC$500,
       MATCH(B369, Input!$J$2:$J$500, 0),
       MATCH("Total Memory", Input!$D$1:$AC$1, 0))</f>
        <v>#N/A</v>
      </c>
      <c r="K369" s="51"/>
      <c r="L369" s="51" t="str" cm="1">
        <f t="array" ref="L369">IFERROR(_xlfn.FILTERXML("&lt;t&gt;&lt;s&gt;" &amp; SUBSTITUTE(K369," / ","&lt;/s&gt;&lt;s&gt;") &amp; "&lt;/s&gt;&lt;/t&gt;","(//s[contains(.,'DDR')])[1]"),"")</f>
        <v/>
      </c>
      <c r="M369" s="32" t="e">
        <f t="shared" si="17"/>
        <v>#N/A</v>
      </c>
      <c r="N369" s="51" t="e">
        <f>INDEX(Input!$D$2:$AC$500,
       MATCH(B369, Input!$J$2:$J$500, 0),
       MATCH("Disk Interface Type", Input!$D$1:$AC$1, 0))</f>
        <v>#N/A</v>
      </c>
      <c r="O369" s="51" t="str" cm="1">
        <f t="array" ref="O369">IFERROR(_xlfn.TEXTJOIN(", ", TRUE, _xlfn._xlws.FILTER(
    INDEX(Input!$D$2:$AC$500,,MATCH("Disk Capacity",Input!$D$1:$AC$1,0)),
    Input!$J$2:$J$500=B369
)), "")</f>
        <v/>
      </c>
      <c r="P369" s="32" t="e">
        <f t="shared" si="16"/>
        <v>#N/A</v>
      </c>
      <c r="Q369" s="51" t="e">
        <f>_xlfn.LET(_xlpm.Result,INDEX(Input!$D$2:$AC$500,
       MATCH(B369, Input!$J$2:$J$500, 0),
       MATCH("Capacity", Input!$D$1:$AC$1, 0)),IF(_xlpm.Result="","",_xlpm.Result))</f>
        <v>#N/A</v>
      </c>
      <c r="R369" s="51" t="e" cm="1">
        <f t="array" ref="R369">_xlfn.TEXTSPLIT(Q369," / ", ,TRUE,0,)</f>
        <v>#N/A</v>
      </c>
      <c r="S369" s="51"/>
      <c r="T369" s="51" t="str" cm="1">
        <f t="array" ref="T369">IFERROR(_xlfn.IFS(
R369="","",
--R369&lt;55,"Battery Defect",
--R369&lt;=69,"Battery D",
--R369&lt;=80,"Battery C",
--R369&gt;80,""
),"")</f>
        <v/>
      </c>
      <c r="U369" s="51" t="str" cm="1">
        <f t="array" ref="U369">IFERROR(_xlfn.IFS(
S369="","",
--S369&lt;55,"Battery Defect",
--S369&lt;=69,"Battery D",
--S369&lt;=80,"Battery C",
--S369&gt;80,""
),"")</f>
        <v/>
      </c>
      <c r="V369" s="51"/>
      <c r="W369" s="51"/>
      <c r="X369" s="51"/>
      <c r="Y369" s="51"/>
      <c r="Z369" s="51"/>
      <c r="AA369" s="51"/>
      <c r="AB369" s="51"/>
      <c r="AC369" s="51"/>
      <c r="AD369" s="32" t="str">
        <f t="shared" si="15"/>
        <v/>
      </c>
      <c r="AE369" s="32"/>
      <c r="AF369" s="32"/>
      <c r="AG369" s="32"/>
      <c r="AH369" s="32"/>
      <c r="AI369" s="32"/>
      <c r="AJ369" s="32"/>
      <c r="AK369" s="32"/>
      <c r="AL369" s="32"/>
    </row>
    <row r="370" spans="1:38">
      <c r="A370" s="32" t="str">
        <f>_xlfn.TEXTJOIN("",TRUE,_xlfn.XLOOKUP(B370,Input!J:J,Input!G:G,"",0,1),_xlfn.XLOOKUP(B370,Input!J:J,Input!H:H,"",0,1))</f>
        <v/>
      </c>
      <c r="B370" s="32"/>
      <c r="C370" s="51">
        <f>_xlfn.XLOOKUP(B370,Input!J:J,Input!F:F)</f>
        <v>0</v>
      </c>
      <c r="D370" s="32">
        <f>_xlfn.XLOOKUP(C370,Models!H:H,Models!G:G,C370)</f>
        <v>0</v>
      </c>
      <c r="E370" s="32">
        <f>_xlfn.XLOOKUP(B370,Input!J:J,Input!E:E)</f>
        <v>0</v>
      </c>
      <c r="F370" s="32">
        <f>IF(E370="LENOVO",_xlfn.XLOOKUP(B370,Input!J:J,Input!K:K),_xlfn.XLOOKUP(B370,Input!J:J,Input!L:L))</f>
        <v>0</v>
      </c>
      <c r="G370" s="32"/>
      <c r="H370" s="32"/>
      <c r="I370" s="32"/>
      <c r="J370" s="51" t="e">
        <f>INDEX(Input!$D$2:$AC$500,
       MATCH(B370, Input!$J$2:$J$500, 0),
       MATCH("Total Memory", Input!$D$1:$AC$1, 0))</f>
        <v>#N/A</v>
      </c>
      <c r="K370" s="51"/>
      <c r="L370" s="51" t="str" cm="1">
        <f t="array" ref="L370">IFERROR(_xlfn.FILTERXML("&lt;t&gt;&lt;s&gt;" &amp; SUBSTITUTE(K370," / ","&lt;/s&gt;&lt;s&gt;") &amp; "&lt;/s&gt;&lt;/t&gt;","(//s[contains(.,'DDR')])[1]"),"")</f>
        <v/>
      </c>
      <c r="M370" s="32" t="e">
        <f t="shared" si="17"/>
        <v>#N/A</v>
      </c>
      <c r="N370" s="51" t="e">
        <f>INDEX(Input!$D$2:$AC$500,
       MATCH(B370, Input!$J$2:$J$500, 0),
       MATCH("Disk Interface Type", Input!$D$1:$AC$1, 0))</f>
        <v>#N/A</v>
      </c>
      <c r="O370" s="51" t="str" cm="1">
        <f t="array" ref="O370">IFERROR(_xlfn.TEXTJOIN(", ", TRUE, _xlfn._xlws.FILTER(
    INDEX(Input!$D$2:$AC$500,,MATCH("Disk Capacity",Input!$D$1:$AC$1,0)),
    Input!$J$2:$J$500=B370
)), "")</f>
        <v/>
      </c>
      <c r="P370" s="32" t="e">
        <f t="shared" si="16"/>
        <v>#N/A</v>
      </c>
      <c r="Q370" s="51" t="e">
        <f>_xlfn.LET(_xlpm.Result,INDEX(Input!$D$2:$AC$500,
       MATCH(B370, Input!$J$2:$J$500, 0),
       MATCH("Capacity", Input!$D$1:$AC$1, 0)),IF(_xlpm.Result="","",_xlpm.Result))</f>
        <v>#N/A</v>
      </c>
      <c r="R370" s="51" t="e" cm="1">
        <f t="array" ref="R370">_xlfn.TEXTSPLIT(Q370," / ", ,TRUE,0,)</f>
        <v>#N/A</v>
      </c>
      <c r="S370" s="51"/>
      <c r="T370" s="51" t="str" cm="1">
        <f t="array" ref="T370">IFERROR(_xlfn.IFS(
R370="","",
--R370&lt;55,"Battery Defect",
--R370&lt;=69,"Battery D",
--R370&lt;=80,"Battery C",
--R370&gt;80,""
),"")</f>
        <v/>
      </c>
      <c r="U370" s="51" t="str" cm="1">
        <f t="array" ref="U370">IFERROR(_xlfn.IFS(
S370="","",
--S370&lt;55,"Battery Defect",
--S370&lt;=69,"Battery D",
--S370&lt;=80,"Battery C",
--S370&gt;80,""
),"")</f>
        <v/>
      </c>
      <c r="V370" s="51"/>
      <c r="W370" s="51"/>
      <c r="X370" s="51"/>
      <c r="Y370" s="51"/>
      <c r="Z370" s="51"/>
      <c r="AA370" s="51"/>
      <c r="AB370" s="51"/>
      <c r="AC370" s="51"/>
      <c r="AD370" s="32" t="str">
        <f t="shared" si="15"/>
        <v/>
      </c>
      <c r="AE370" s="32"/>
      <c r="AF370" s="32"/>
      <c r="AG370" s="32"/>
      <c r="AH370" s="32"/>
      <c r="AI370" s="32"/>
      <c r="AJ370" s="32"/>
      <c r="AK370" s="32"/>
      <c r="AL370" s="32"/>
    </row>
    <row r="371" spans="1:38">
      <c r="A371" s="32" t="str">
        <f>_xlfn.TEXTJOIN("",TRUE,_xlfn.XLOOKUP(B371,Input!J:J,Input!G:G,"",0,1),_xlfn.XLOOKUP(B371,Input!J:J,Input!H:H,"",0,1))</f>
        <v/>
      </c>
      <c r="B371" s="32"/>
      <c r="C371" s="51">
        <f>_xlfn.XLOOKUP(B371,Input!J:J,Input!F:F)</f>
        <v>0</v>
      </c>
      <c r="D371" s="32">
        <f>_xlfn.XLOOKUP(C371,Models!H:H,Models!G:G,C371)</f>
        <v>0</v>
      </c>
      <c r="E371" s="32">
        <f>_xlfn.XLOOKUP(B371,Input!J:J,Input!E:E)</f>
        <v>0</v>
      </c>
      <c r="F371" s="32">
        <f>IF(E371="LENOVO",_xlfn.XLOOKUP(B371,Input!J:J,Input!K:K),_xlfn.XLOOKUP(B371,Input!J:J,Input!L:L))</f>
        <v>0</v>
      </c>
      <c r="G371" s="32"/>
      <c r="H371" s="32"/>
      <c r="I371" s="32"/>
      <c r="J371" s="51" t="e">
        <f>INDEX(Input!$D$2:$AC$500,
       MATCH(B371, Input!$J$2:$J$500, 0),
       MATCH("Total Memory", Input!$D$1:$AC$1, 0))</f>
        <v>#N/A</v>
      </c>
      <c r="K371" s="51"/>
      <c r="L371" s="51" t="str" cm="1">
        <f t="array" ref="L371">IFERROR(_xlfn.FILTERXML("&lt;t&gt;&lt;s&gt;" &amp; SUBSTITUTE(K371," / ","&lt;/s&gt;&lt;s&gt;") &amp; "&lt;/s&gt;&lt;/t&gt;","(//s[contains(.,'DDR')])[1]"),"")</f>
        <v/>
      </c>
      <c r="M371" s="32" t="e">
        <f t="shared" si="17"/>
        <v>#N/A</v>
      </c>
      <c r="N371" s="51" t="e">
        <f>INDEX(Input!$D$2:$AC$500,
       MATCH(B371, Input!$J$2:$J$500, 0),
       MATCH("Disk Interface Type", Input!$D$1:$AC$1, 0))</f>
        <v>#N/A</v>
      </c>
      <c r="O371" s="51" t="str" cm="1">
        <f t="array" ref="O371">IFERROR(_xlfn.TEXTJOIN(", ", TRUE, _xlfn._xlws.FILTER(
    INDEX(Input!$D$2:$AC$500,,MATCH("Disk Capacity",Input!$D$1:$AC$1,0)),
    Input!$J$2:$J$500=B371
)), "")</f>
        <v/>
      </c>
      <c r="P371" s="32" t="e">
        <f t="shared" si="16"/>
        <v>#N/A</v>
      </c>
      <c r="Q371" s="51" t="e">
        <f>_xlfn.LET(_xlpm.Result,INDEX(Input!$D$2:$AC$500,
       MATCH(B371, Input!$J$2:$J$500, 0),
       MATCH("Capacity", Input!$D$1:$AC$1, 0)),IF(_xlpm.Result="","",_xlpm.Result))</f>
        <v>#N/A</v>
      </c>
      <c r="R371" s="51" t="e" cm="1">
        <f t="array" ref="R371">_xlfn.TEXTSPLIT(Q371," / ", ,TRUE,0,)</f>
        <v>#N/A</v>
      </c>
      <c r="S371" s="51"/>
      <c r="T371" s="51" t="str" cm="1">
        <f t="array" ref="T371">IFERROR(_xlfn.IFS(
R371="","",
--R371&lt;55,"Battery Defect",
--R371&lt;=69,"Battery D",
--R371&lt;=80,"Battery C",
--R371&gt;80,""
),"")</f>
        <v/>
      </c>
      <c r="U371" s="51" t="str" cm="1">
        <f t="array" ref="U371">IFERROR(_xlfn.IFS(
S371="","",
--S371&lt;55,"Battery Defect",
--S371&lt;=69,"Battery D",
--S371&lt;=80,"Battery C",
--S371&gt;80,""
),"")</f>
        <v/>
      </c>
      <c r="V371" s="51"/>
      <c r="W371" s="51"/>
      <c r="X371" s="51"/>
      <c r="Y371" s="51"/>
      <c r="Z371" s="51"/>
      <c r="AA371" s="51"/>
      <c r="AB371" s="51"/>
      <c r="AC371" s="51"/>
      <c r="AD371" s="32" t="str">
        <f t="shared" si="15"/>
        <v/>
      </c>
      <c r="AE371" s="32"/>
      <c r="AF371" s="32"/>
      <c r="AG371" s="32"/>
      <c r="AH371" s="32"/>
      <c r="AI371" s="32"/>
      <c r="AJ371" s="32"/>
      <c r="AK371" s="32"/>
      <c r="AL371" s="32"/>
    </row>
    <row r="372" spans="1:38">
      <c r="A372" s="32" t="str">
        <f>_xlfn.TEXTJOIN("",TRUE,_xlfn.XLOOKUP(B372,Input!J:J,Input!G:G,"",0,1),_xlfn.XLOOKUP(B372,Input!J:J,Input!H:H,"",0,1))</f>
        <v/>
      </c>
      <c r="B372" s="32"/>
      <c r="C372" s="51">
        <f>_xlfn.XLOOKUP(B372,Input!J:J,Input!F:F)</f>
        <v>0</v>
      </c>
      <c r="D372" s="32">
        <f>_xlfn.XLOOKUP(C372,Models!H:H,Models!G:G,C372)</f>
        <v>0</v>
      </c>
      <c r="E372" s="32">
        <f>_xlfn.XLOOKUP(B372,Input!J:J,Input!E:E)</f>
        <v>0</v>
      </c>
      <c r="F372" s="32">
        <f>IF(E372="LENOVO",_xlfn.XLOOKUP(B372,Input!J:J,Input!K:K),_xlfn.XLOOKUP(B372,Input!J:J,Input!L:L))</f>
        <v>0</v>
      </c>
      <c r="G372" s="32"/>
      <c r="H372" s="32"/>
      <c r="I372" s="32"/>
      <c r="J372" s="51" t="e">
        <f>INDEX(Input!$D$2:$AC$500,
       MATCH(B372, Input!$J$2:$J$500, 0),
       MATCH("Total Memory", Input!$D$1:$AC$1, 0))</f>
        <v>#N/A</v>
      </c>
      <c r="K372" s="51"/>
      <c r="L372" s="51" t="str" cm="1">
        <f t="array" ref="L372">IFERROR(_xlfn.FILTERXML("&lt;t&gt;&lt;s&gt;" &amp; SUBSTITUTE(K372," / ","&lt;/s&gt;&lt;s&gt;") &amp; "&lt;/s&gt;&lt;/t&gt;","(//s[contains(.,'DDR')])[1]"),"")</f>
        <v/>
      </c>
      <c r="M372" s="32" t="e">
        <f t="shared" si="17"/>
        <v>#N/A</v>
      </c>
      <c r="N372" s="51" t="e">
        <f>INDEX(Input!$D$2:$AC$500,
       MATCH(B372, Input!$J$2:$J$500, 0),
       MATCH("Disk Interface Type", Input!$D$1:$AC$1, 0))</f>
        <v>#N/A</v>
      </c>
      <c r="O372" s="51" t="str" cm="1">
        <f t="array" ref="O372">IFERROR(_xlfn.TEXTJOIN(", ", TRUE, _xlfn._xlws.FILTER(
    INDEX(Input!$D$2:$AC$500,,MATCH("Disk Capacity",Input!$D$1:$AC$1,0)),
    Input!$J$2:$J$500=B372
)), "")</f>
        <v/>
      </c>
      <c r="P372" s="32" t="e">
        <f t="shared" si="16"/>
        <v>#N/A</v>
      </c>
      <c r="Q372" s="51" t="e">
        <f>_xlfn.LET(_xlpm.Result,INDEX(Input!$D$2:$AC$500,
       MATCH(B372, Input!$J$2:$J$500, 0),
       MATCH("Capacity", Input!$D$1:$AC$1, 0)),IF(_xlpm.Result="","",_xlpm.Result))</f>
        <v>#N/A</v>
      </c>
      <c r="R372" s="51" t="e" cm="1">
        <f t="array" ref="R372">_xlfn.TEXTSPLIT(Q372," / ", ,TRUE,0,)</f>
        <v>#N/A</v>
      </c>
      <c r="S372" s="51"/>
      <c r="T372" s="51" t="str" cm="1">
        <f t="array" ref="T372">IFERROR(_xlfn.IFS(
R372="","",
--R372&lt;55,"Battery Defect",
--R372&lt;=69,"Battery D",
--R372&lt;=80,"Battery C",
--R372&gt;80,""
),"")</f>
        <v/>
      </c>
      <c r="U372" s="51" t="str" cm="1">
        <f t="array" ref="U372">IFERROR(_xlfn.IFS(
S372="","",
--S372&lt;55,"Battery Defect",
--S372&lt;=69,"Battery D",
--S372&lt;=80,"Battery C",
--S372&gt;80,""
),"")</f>
        <v/>
      </c>
      <c r="V372" s="51"/>
      <c r="W372" s="51"/>
      <c r="X372" s="51"/>
      <c r="Y372" s="51"/>
      <c r="Z372" s="51"/>
      <c r="AA372" s="51"/>
      <c r="AB372" s="51"/>
      <c r="AC372" s="51"/>
      <c r="AD372" s="32" t="str">
        <f t="shared" si="15"/>
        <v/>
      </c>
      <c r="AE372" s="32"/>
      <c r="AF372" s="32"/>
      <c r="AG372" s="32"/>
      <c r="AH372" s="32"/>
      <c r="AI372" s="32"/>
      <c r="AJ372" s="32"/>
      <c r="AK372" s="32"/>
      <c r="AL372" s="32"/>
    </row>
    <row r="373" spans="1:38">
      <c r="A373" s="32" t="str">
        <f>_xlfn.TEXTJOIN("",TRUE,_xlfn.XLOOKUP(B373,Input!J:J,Input!G:G,"",0,1),_xlfn.XLOOKUP(B373,Input!J:J,Input!H:H,"",0,1))</f>
        <v/>
      </c>
      <c r="B373" s="32"/>
      <c r="C373" s="51">
        <f>_xlfn.XLOOKUP(B373,Input!J:J,Input!F:F)</f>
        <v>0</v>
      </c>
      <c r="D373" s="32">
        <f>_xlfn.XLOOKUP(C373,Models!H:H,Models!G:G,C373)</f>
        <v>0</v>
      </c>
      <c r="E373" s="32">
        <f>_xlfn.XLOOKUP(B373,Input!J:J,Input!E:E)</f>
        <v>0</v>
      </c>
      <c r="F373" s="32">
        <f>IF(E373="LENOVO",_xlfn.XLOOKUP(B373,Input!J:J,Input!K:K),_xlfn.XLOOKUP(B373,Input!J:J,Input!L:L))</f>
        <v>0</v>
      </c>
      <c r="G373" s="32"/>
      <c r="H373" s="32"/>
      <c r="I373" s="32"/>
      <c r="J373" s="51" t="e">
        <f>INDEX(Input!$D$2:$AC$500,
       MATCH(B373, Input!$J$2:$J$500, 0),
       MATCH("Total Memory", Input!$D$1:$AC$1, 0))</f>
        <v>#N/A</v>
      </c>
      <c r="K373" s="51"/>
      <c r="L373" s="51" t="str" cm="1">
        <f t="array" ref="L373">IFERROR(_xlfn.FILTERXML("&lt;t&gt;&lt;s&gt;" &amp; SUBSTITUTE(K373," / ","&lt;/s&gt;&lt;s&gt;") &amp; "&lt;/s&gt;&lt;/t&gt;","(//s[contains(.,'DDR')])[1]"),"")</f>
        <v/>
      </c>
      <c r="M373" s="32" t="e">
        <f t="shared" si="17"/>
        <v>#N/A</v>
      </c>
      <c r="N373" s="51" t="e">
        <f>INDEX(Input!$D$2:$AC$500,
       MATCH(B373, Input!$J$2:$J$500, 0),
       MATCH("Disk Interface Type", Input!$D$1:$AC$1, 0))</f>
        <v>#N/A</v>
      </c>
      <c r="O373" s="51" t="str" cm="1">
        <f t="array" ref="O373">IFERROR(_xlfn.TEXTJOIN(", ", TRUE, _xlfn._xlws.FILTER(
    INDEX(Input!$D$2:$AC$500,,MATCH("Disk Capacity",Input!$D$1:$AC$1,0)),
    Input!$J$2:$J$500=B373
)), "")</f>
        <v/>
      </c>
      <c r="P373" s="32" t="e">
        <f t="shared" si="16"/>
        <v>#N/A</v>
      </c>
      <c r="Q373" s="51" t="e">
        <f>_xlfn.LET(_xlpm.Result,INDEX(Input!$D$2:$AC$500,
       MATCH(B373, Input!$J$2:$J$500, 0),
       MATCH("Capacity", Input!$D$1:$AC$1, 0)),IF(_xlpm.Result="","",_xlpm.Result))</f>
        <v>#N/A</v>
      </c>
      <c r="R373" s="51" t="e" cm="1">
        <f t="array" ref="R373">_xlfn.TEXTSPLIT(Q373," / ", ,TRUE,0,)</f>
        <v>#N/A</v>
      </c>
      <c r="S373" s="51"/>
      <c r="T373" s="51" t="str" cm="1">
        <f t="array" ref="T373">IFERROR(_xlfn.IFS(
R373="","",
--R373&lt;55,"Battery Defect",
--R373&lt;=69,"Battery D",
--R373&lt;=80,"Battery C",
--R373&gt;80,""
),"")</f>
        <v/>
      </c>
      <c r="U373" s="51" t="str" cm="1">
        <f t="array" ref="U373">IFERROR(_xlfn.IFS(
S373="","",
--S373&lt;55,"Battery Defect",
--S373&lt;=69,"Battery D",
--S373&lt;=80,"Battery C",
--S373&gt;80,""
),"")</f>
        <v/>
      </c>
      <c r="V373" s="51"/>
      <c r="W373" s="51"/>
      <c r="X373" s="51"/>
      <c r="Y373" s="51"/>
      <c r="Z373" s="51"/>
      <c r="AA373" s="51"/>
      <c r="AB373" s="51"/>
      <c r="AC373" s="51"/>
      <c r="AD373" s="32" t="str">
        <f t="shared" si="15"/>
        <v/>
      </c>
      <c r="AE373" s="32"/>
      <c r="AF373" s="32"/>
      <c r="AG373" s="32"/>
      <c r="AH373" s="32"/>
      <c r="AI373" s="32"/>
      <c r="AJ373" s="32"/>
      <c r="AK373" s="32"/>
      <c r="AL373" s="32"/>
    </row>
    <row r="374" spans="1:38">
      <c r="A374" s="32" t="str">
        <f>_xlfn.TEXTJOIN("",TRUE,_xlfn.XLOOKUP(B374,Input!J:J,Input!G:G,"",0,1),_xlfn.XLOOKUP(B374,Input!J:J,Input!H:H,"",0,1))</f>
        <v/>
      </c>
      <c r="B374" s="32"/>
      <c r="C374" s="51">
        <f>_xlfn.XLOOKUP(B374,Input!J:J,Input!F:F)</f>
        <v>0</v>
      </c>
      <c r="D374" s="32">
        <f>_xlfn.XLOOKUP(C374,Models!H:H,Models!G:G,C374)</f>
        <v>0</v>
      </c>
      <c r="E374" s="32">
        <f>_xlfn.XLOOKUP(B374,Input!J:J,Input!E:E)</f>
        <v>0</v>
      </c>
      <c r="F374" s="32">
        <f>IF(E374="LENOVO",_xlfn.XLOOKUP(B374,Input!J:J,Input!K:K),_xlfn.XLOOKUP(B374,Input!J:J,Input!L:L))</f>
        <v>0</v>
      </c>
      <c r="G374" s="32"/>
      <c r="H374" s="32"/>
      <c r="I374" s="32"/>
      <c r="J374" s="51" t="e">
        <f>INDEX(Input!$D$2:$AC$500,
       MATCH(B374, Input!$J$2:$J$500, 0),
       MATCH("Total Memory", Input!$D$1:$AC$1, 0))</f>
        <v>#N/A</v>
      </c>
      <c r="K374" s="51"/>
      <c r="L374" s="51" t="str" cm="1">
        <f t="array" ref="L374">IFERROR(_xlfn.FILTERXML("&lt;t&gt;&lt;s&gt;" &amp; SUBSTITUTE(K374," / ","&lt;/s&gt;&lt;s&gt;") &amp; "&lt;/s&gt;&lt;/t&gt;","(//s[contains(.,'DDR')])[1]"),"")</f>
        <v/>
      </c>
      <c r="M374" s="32" t="e">
        <f t="shared" si="17"/>
        <v>#N/A</v>
      </c>
      <c r="N374" s="51" t="e">
        <f>INDEX(Input!$D$2:$AC$500,
       MATCH(B374, Input!$J$2:$J$500, 0),
       MATCH("Disk Interface Type", Input!$D$1:$AC$1, 0))</f>
        <v>#N/A</v>
      </c>
      <c r="O374" s="51" t="str" cm="1">
        <f t="array" ref="O374">IFERROR(_xlfn.TEXTJOIN(", ", TRUE, _xlfn._xlws.FILTER(
    INDEX(Input!$D$2:$AC$500,,MATCH("Disk Capacity",Input!$D$1:$AC$1,0)),
    Input!$J$2:$J$500=B374
)), "")</f>
        <v/>
      </c>
      <c r="P374" s="32" t="e">
        <f t="shared" si="16"/>
        <v>#N/A</v>
      </c>
      <c r="Q374" s="51" t="e">
        <f>_xlfn.LET(_xlpm.Result,INDEX(Input!$D$2:$AC$500,
       MATCH(B374, Input!$J$2:$J$500, 0),
       MATCH("Capacity", Input!$D$1:$AC$1, 0)),IF(_xlpm.Result="","",_xlpm.Result))</f>
        <v>#N/A</v>
      </c>
      <c r="R374" s="51" t="e" cm="1">
        <f t="array" ref="R374">_xlfn.TEXTSPLIT(Q374," / ", ,TRUE,0,)</f>
        <v>#N/A</v>
      </c>
      <c r="S374" s="51"/>
      <c r="T374" s="51" t="str" cm="1">
        <f t="array" ref="T374">IFERROR(_xlfn.IFS(
R374="","",
--R374&lt;55,"Battery Defect",
--R374&lt;=69,"Battery D",
--R374&lt;=80,"Battery C",
--R374&gt;80,""
),"")</f>
        <v/>
      </c>
      <c r="U374" s="51" t="str" cm="1">
        <f t="array" ref="U374">IFERROR(_xlfn.IFS(
S374="","",
--S374&lt;55,"Battery Defect",
--S374&lt;=69,"Battery D",
--S374&lt;=80,"Battery C",
--S374&gt;80,""
),"")</f>
        <v/>
      </c>
      <c r="V374" s="51"/>
      <c r="W374" s="51"/>
      <c r="X374" s="51"/>
      <c r="Y374" s="51"/>
      <c r="Z374" s="51"/>
      <c r="AA374" s="51"/>
      <c r="AB374" s="51"/>
      <c r="AC374" s="51"/>
      <c r="AD374" s="32" t="str">
        <f t="shared" si="15"/>
        <v/>
      </c>
      <c r="AE374" s="32"/>
      <c r="AF374" s="32"/>
      <c r="AG374" s="32"/>
      <c r="AH374" s="32"/>
      <c r="AI374" s="32"/>
      <c r="AJ374" s="32"/>
      <c r="AK374" s="32"/>
      <c r="AL374" s="32"/>
    </row>
    <row r="375" spans="1:38">
      <c r="A375" s="32" t="str">
        <f>_xlfn.TEXTJOIN("",TRUE,_xlfn.XLOOKUP(B375,Input!J:J,Input!G:G,"",0,1),_xlfn.XLOOKUP(B375,Input!J:J,Input!H:H,"",0,1))</f>
        <v/>
      </c>
      <c r="B375" s="32"/>
      <c r="C375" s="51">
        <f>_xlfn.XLOOKUP(B375,Input!J:J,Input!F:F)</f>
        <v>0</v>
      </c>
      <c r="D375" s="32">
        <f>_xlfn.XLOOKUP(C375,Models!H:H,Models!G:G,C375)</f>
        <v>0</v>
      </c>
      <c r="E375" s="32">
        <f>_xlfn.XLOOKUP(B375,Input!J:J,Input!E:E)</f>
        <v>0</v>
      </c>
      <c r="F375" s="32">
        <f>IF(E375="LENOVO",_xlfn.XLOOKUP(B375,Input!J:J,Input!K:K),_xlfn.XLOOKUP(B375,Input!J:J,Input!L:L))</f>
        <v>0</v>
      </c>
      <c r="G375" s="32"/>
      <c r="H375" s="32"/>
      <c r="I375" s="32"/>
      <c r="J375" s="51" t="e">
        <f>INDEX(Input!$D$2:$AC$500,
       MATCH(B375, Input!$J$2:$J$500, 0),
       MATCH("Total Memory", Input!$D$1:$AC$1, 0))</f>
        <v>#N/A</v>
      </c>
      <c r="K375" s="51"/>
      <c r="L375" s="51" t="str" cm="1">
        <f t="array" ref="L375">IFERROR(_xlfn.FILTERXML("&lt;t&gt;&lt;s&gt;" &amp; SUBSTITUTE(K375," / ","&lt;/s&gt;&lt;s&gt;") &amp; "&lt;/s&gt;&lt;/t&gt;","(//s[contains(.,'DDR')])[1]"),"")</f>
        <v/>
      </c>
      <c r="M375" s="32" t="e">
        <f t="shared" si="17"/>
        <v>#N/A</v>
      </c>
      <c r="N375" s="51" t="e">
        <f>INDEX(Input!$D$2:$AC$500,
       MATCH(B375, Input!$J$2:$J$500, 0),
       MATCH("Disk Interface Type", Input!$D$1:$AC$1, 0))</f>
        <v>#N/A</v>
      </c>
      <c r="O375" s="51" t="str" cm="1">
        <f t="array" ref="O375">IFERROR(_xlfn.TEXTJOIN(", ", TRUE, _xlfn._xlws.FILTER(
    INDEX(Input!$D$2:$AC$500,,MATCH("Disk Capacity",Input!$D$1:$AC$1,0)),
    Input!$J$2:$J$500=B375
)), "")</f>
        <v/>
      </c>
      <c r="P375" s="32" t="e">
        <f t="shared" si="16"/>
        <v>#N/A</v>
      </c>
      <c r="Q375" s="51" t="e">
        <f>_xlfn.LET(_xlpm.Result,INDEX(Input!$D$2:$AC$500,
       MATCH(B375, Input!$J$2:$J$500, 0),
       MATCH("Capacity", Input!$D$1:$AC$1, 0)),IF(_xlpm.Result="","",_xlpm.Result))</f>
        <v>#N/A</v>
      </c>
      <c r="R375" s="51" t="e" cm="1">
        <f t="array" ref="R375">_xlfn.TEXTSPLIT(Q375," / ", ,TRUE,0,)</f>
        <v>#N/A</v>
      </c>
      <c r="S375" s="51"/>
      <c r="T375" s="51" t="str" cm="1">
        <f t="array" ref="T375">IFERROR(_xlfn.IFS(
R375="","",
--R375&lt;55,"Battery Defect",
--R375&lt;=69,"Battery D",
--R375&lt;=80,"Battery C",
--R375&gt;80,""
),"")</f>
        <v/>
      </c>
      <c r="U375" s="51" t="str" cm="1">
        <f t="array" ref="U375">IFERROR(_xlfn.IFS(
S375="","",
--S375&lt;55,"Battery Defect",
--S375&lt;=69,"Battery D",
--S375&lt;=80,"Battery C",
--S375&gt;80,""
),"")</f>
        <v/>
      </c>
      <c r="V375" s="51"/>
      <c r="W375" s="51"/>
      <c r="X375" s="51"/>
      <c r="Y375" s="51"/>
      <c r="Z375" s="51"/>
      <c r="AA375" s="51"/>
      <c r="AB375" s="51"/>
      <c r="AC375" s="51"/>
      <c r="AD375" s="32" t="str">
        <f t="shared" si="15"/>
        <v/>
      </c>
      <c r="AE375" s="32"/>
      <c r="AF375" s="32"/>
      <c r="AG375" s="32"/>
      <c r="AH375" s="32"/>
      <c r="AI375" s="32"/>
      <c r="AJ375" s="32"/>
      <c r="AK375" s="32"/>
      <c r="AL375" s="32"/>
    </row>
    <row r="376" spans="1:38">
      <c r="A376" s="32" t="str">
        <f>_xlfn.TEXTJOIN("",TRUE,_xlfn.XLOOKUP(B376,Input!J:J,Input!G:G,"",0,1),_xlfn.XLOOKUP(B376,Input!J:J,Input!H:H,"",0,1))</f>
        <v/>
      </c>
      <c r="B376" s="32"/>
      <c r="C376" s="51">
        <f>_xlfn.XLOOKUP(B376,Input!J:J,Input!F:F)</f>
        <v>0</v>
      </c>
      <c r="D376" s="32">
        <f>_xlfn.XLOOKUP(C376,Models!H:H,Models!G:G,C376)</f>
        <v>0</v>
      </c>
      <c r="E376" s="32">
        <f>_xlfn.XLOOKUP(B376,Input!J:J,Input!E:E)</f>
        <v>0</v>
      </c>
      <c r="F376" s="32">
        <f>IF(E376="LENOVO",_xlfn.XLOOKUP(B376,Input!J:J,Input!K:K),_xlfn.XLOOKUP(B376,Input!J:J,Input!L:L))</f>
        <v>0</v>
      </c>
      <c r="G376" s="32"/>
      <c r="H376" s="32"/>
      <c r="I376" s="32"/>
      <c r="J376" s="51" t="e">
        <f>INDEX(Input!$D$2:$AC$500,
       MATCH(B376, Input!$J$2:$J$500, 0),
       MATCH("Total Memory", Input!$D$1:$AC$1, 0))</f>
        <v>#N/A</v>
      </c>
      <c r="K376" s="51"/>
      <c r="L376" s="51" t="str" cm="1">
        <f t="array" ref="L376">IFERROR(_xlfn.FILTERXML("&lt;t&gt;&lt;s&gt;" &amp; SUBSTITUTE(K376," / ","&lt;/s&gt;&lt;s&gt;") &amp; "&lt;/s&gt;&lt;/t&gt;","(//s[contains(.,'DDR')])[1]"),"")</f>
        <v/>
      </c>
      <c r="M376" s="32" t="e">
        <f t="shared" si="17"/>
        <v>#N/A</v>
      </c>
      <c r="N376" s="51" t="e">
        <f>INDEX(Input!$D$2:$AC$500,
       MATCH(B376, Input!$J$2:$J$500, 0),
       MATCH("Disk Interface Type", Input!$D$1:$AC$1, 0))</f>
        <v>#N/A</v>
      </c>
      <c r="O376" s="51" t="str" cm="1">
        <f t="array" ref="O376">IFERROR(_xlfn.TEXTJOIN(", ", TRUE, _xlfn._xlws.FILTER(
    INDEX(Input!$D$2:$AC$500,,MATCH("Disk Capacity",Input!$D$1:$AC$1,0)),
    Input!$J$2:$J$500=B376
)), "")</f>
        <v/>
      </c>
      <c r="P376" s="32" t="e">
        <f t="shared" si="16"/>
        <v>#N/A</v>
      </c>
      <c r="Q376" s="51" t="e">
        <f>_xlfn.LET(_xlpm.Result,INDEX(Input!$D$2:$AC$500,
       MATCH(B376, Input!$J$2:$J$500, 0),
       MATCH("Capacity", Input!$D$1:$AC$1, 0)),IF(_xlpm.Result="","",_xlpm.Result))</f>
        <v>#N/A</v>
      </c>
      <c r="R376" s="51" t="e" cm="1">
        <f t="array" ref="R376">_xlfn.TEXTSPLIT(Q376," / ", ,TRUE,0,)</f>
        <v>#N/A</v>
      </c>
      <c r="S376" s="51"/>
      <c r="T376" s="51" t="str" cm="1">
        <f t="array" ref="T376">IFERROR(_xlfn.IFS(
R376="","",
--R376&lt;55,"Battery Defect",
--R376&lt;=69,"Battery D",
--R376&lt;=80,"Battery C",
--R376&gt;80,""
),"")</f>
        <v/>
      </c>
      <c r="U376" s="51" t="str" cm="1">
        <f t="array" ref="U376">IFERROR(_xlfn.IFS(
S376="","",
--S376&lt;55,"Battery Defect",
--S376&lt;=69,"Battery D",
--S376&lt;=80,"Battery C",
--S376&gt;80,""
),"")</f>
        <v/>
      </c>
      <c r="V376" s="51"/>
      <c r="W376" s="51"/>
      <c r="X376" s="51"/>
      <c r="Y376" s="51"/>
      <c r="Z376" s="51"/>
      <c r="AA376" s="51"/>
      <c r="AB376" s="51"/>
      <c r="AC376" s="51"/>
      <c r="AD376" s="32" t="str">
        <f t="shared" si="15"/>
        <v/>
      </c>
      <c r="AE376" s="32"/>
      <c r="AF376" s="32"/>
      <c r="AG376" s="32"/>
      <c r="AH376" s="32"/>
      <c r="AI376" s="32"/>
      <c r="AJ376" s="32"/>
      <c r="AK376" s="32"/>
      <c r="AL376" s="32"/>
    </row>
    <row r="377" spans="1:38">
      <c r="A377" s="32" t="str">
        <f>_xlfn.TEXTJOIN("",TRUE,_xlfn.XLOOKUP(B377,Input!J:J,Input!G:G,"",0,1),_xlfn.XLOOKUP(B377,Input!J:J,Input!H:H,"",0,1))</f>
        <v/>
      </c>
      <c r="B377" s="32"/>
      <c r="C377" s="51">
        <f>_xlfn.XLOOKUP(B377,Input!J:J,Input!F:F)</f>
        <v>0</v>
      </c>
      <c r="D377" s="32">
        <f>_xlfn.XLOOKUP(C377,Models!H:H,Models!G:G,C377)</f>
        <v>0</v>
      </c>
      <c r="E377" s="32">
        <f>_xlfn.XLOOKUP(B377,Input!J:J,Input!E:E)</f>
        <v>0</v>
      </c>
      <c r="F377" s="32">
        <f>IF(E377="LENOVO",_xlfn.XLOOKUP(B377,Input!J:J,Input!K:K),_xlfn.XLOOKUP(B377,Input!J:J,Input!L:L))</f>
        <v>0</v>
      </c>
      <c r="G377" s="32"/>
      <c r="H377" s="32"/>
      <c r="I377" s="32"/>
      <c r="J377" s="51" t="e">
        <f>INDEX(Input!$D$2:$AC$500,
       MATCH(B377, Input!$J$2:$J$500, 0),
       MATCH("Total Memory", Input!$D$1:$AC$1, 0))</f>
        <v>#N/A</v>
      </c>
      <c r="K377" s="51"/>
      <c r="L377" s="51" t="str" cm="1">
        <f t="array" ref="L377">IFERROR(_xlfn.FILTERXML("&lt;t&gt;&lt;s&gt;" &amp; SUBSTITUTE(K377," / ","&lt;/s&gt;&lt;s&gt;") &amp; "&lt;/s&gt;&lt;/t&gt;","(//s[contains(.,'DDR')])[1]"),"")</f>
        <v/>
      </c>
      <c r="M377" s="32" t="e">
        <f t="shared" si="17"/>
        <v>#N/A</v>
      </c>
      <c r="N377" s="51" t="e">
        <f>INDEX(Input!$D$2:$AC$500,
       MATCH(B377, Input!$J$2:$J$500, 0),
       MATCH("Disk Interface Type", Input!$D$1:$AC$1, 0))</f>
        <v>#N/A</v>
      </c>
      <c r="O377" s="51" t="str" cm="1">
        <f t="array" ref="O377">IFERROR(_xlfn.TEXTJOIN(", ", TRUE, _xlfn._xlws.FILTER(
    INDEX(Input!$D$2:$AC$500,,MATCH("Disk Capacity",Input!$D$1:$AC$1,0)),
    Input!$J$2:$J$500=B377
)), "")</f>
        <v/>
      </c>
      <c r="P377" s="32" t="e">
        <f t="shared" si="16"/>
        <v>#N/A</v>
      </c>
      <c r="Q377" s="51" t="e">
        <f>_xlfn.LET(_xlpm.Result,INDEX(Input!$D$2:$AC$500,
       MATCH(B377, Input!$J$2:$J$500, 0),
       MATCH("Capacity", Input!$D$1:$AC$1, 0)),IF(_xlpm.Result="","",_xlpm.Result))</f>
        <v>#N/A</v>
      </c>
      <c r="R377" s="51" t="e" cm="1">
        <f t="array" ref="R377">_xlfn.TEXTSPLIT(Q377," / ", ,TRUE,0,)</f>
        <v>#N/A</v>
      </c>
      <c r="S377" s="51"/>
      <c r="T377" s="51" t="str" cm="1">
        <f t="array" ref="T377">IFERROR(_xlfn.IFS(
R377="","",
--R377&lt;55,"Battery Defect",
--R377&lt;=69,"Battery D",
--R377&lt;=80,"Battery C",
--R377&gt;80,""
),"")</f>
        <v/>
      </c>
      <c r="U377" s="51" t="str" cm="1">
        <f t="array" ref="U377">IFERROR(_xlfn.IFS(
S377="","",
--S377&lt;55,"Battery Defect",
--S377&lt;=69,"Battery D",
--S377&lt;=80,"Battery C",
--S377&gt;80,""
),"")</f>
        <v/>
      </c>
      <c r="V377" s="51"/>
      <c r="W377" s="51"/>
      <c r="X377" s="51"/>
      <c r="Y377" s="51"/>
      <c r="Z377" s="51"/>
      <c r="AA377" s="51"/>
      <c r="AB377" s="51"/>
      <c r="AC377" s="51"/>
      <c r="AD377" s="32" t="str">
        <f t="shared" si="15"/>
        <v/>
      </c>
      <c r="AE377" s="32"/>
      <c r="AF377" s="32"/>
      <c r="AG377" s="32"/>
      <c r="AH377" s="32"/>
      <c r="AI377" s="32"/>
      <c r="AJ377" s="32"/>
      <c r="AK377" s="32"/>
      <c r="AL377" s="32"/>
    </row>
    <row r="378" spans="1:38">
      <c r="A378" s="32" t="str">
        <f>_xlfn.TEXTJOIN("",TRUE,_xlfn.XLOOKUP(B378,Input!J:J,Input!G:G,"",0,1),_xlfn.XLOOKUP(B378,Input!J:J,Input!H:H,"",0,1))</f>
        <v/>
      </c>
      <c r="B378" s="32"/>
      <c r="C378" s="51">
        <f>_xlfn.XLOOKUP(B378,Input!J:J,Input!F:F)</f>
        <v>0</v>
      </c>
      <c r="D378" s="32">
        <f>_xlfn.XLOOKUP(C378,Models!H:H,Models!G:G,C378)</f>
        <v>0</v>
      </c>
      <c r="E378" s="32">
        <f>_xlfn.XLOOKUP(B378,Input!J:J,Input!E:E)</f>
        <v>0</v>
      </c>
      <c r="F378" s="32">
        <f>IF(E378="LENOVO",_xlfn.XLOOKUP(B378,Input!J:J,Input!K:K),_xlfn.XLOOKUP(B378,Input!J:J,Input!L:L))</f>
        <v>0</v>
      </c>
      <c r="G378" s="32"/>
      <c r="H378" s="32"/>
      <c r="I378" s="32"/>
      <c r="J378" s="51" t="e">
        <f>INDEX(Input!$D$2:$AC$500,
       MATCH(B378, Input!$J$2:$J$500, 0),
       MATCH("Total Memory", Input!$D$1:$AC$1, 0))</f>
        <v>#N/A</v>
      </c>
      <c r="K378" s="51"/>
      <c r="L378" s="51" t="str" cm="1">
        <f t="array" ref="L378">IFERROR(_xlfn.FILTERXML("&lt;t&gt;&lt;s&gt;" &amp; SUBSTITUTE(K378," / ","&lt;/s&gt;&lt;s&gt;") &amp; "&lt;/s&gt;&lt;/t&gt;","(//s[contains(.,'DDR')])[1]"),"")</f>
        <v/>
      </c>
      <c r="M378" s="32" t="e">
        <f t="shared" si="17"/>
        <v>#N/A</v>
      </c>
      <c r="N378" s="51" t="e">
        <f>INDEX(Input!$D$2:$AC$500,
       MATCH(B378, Input!$J$2:$J$500, 0),
       MATCH("Disk Interface Type", Input!$D$1:$AC$1, 0))</f>
        <v>#N/A</v>
      </c>
      <c r="O378" s="51" t="str" cm="1">
        <f t="array" ref="O378">IFERROR(_xlfn.TEXTJOIN(", ", TRUE, _xlfn._xlws.FILTER(
    INDEX(Input!$D$2:$AC$500,,MATCH("Disk Capacity",Input!$D$1:$AC$1,0)),
    Input!$J$2:$J$500=B378
)), "")</f>
        <v/>
      </c>
      <c r="P378" s="32" t="e">
        <f t="shared" si="16"/>
        <v>#N/A</v>
      </c>
      <c r="Q378" s="51" t="e">
        <f>_xlfn.LET(_xlpm.Result,INDEX(Input!$D$2:$AC$500,
       MATCH(B378, Input!$J$2:$J$500, 0),
       MATCH("Capacity", Input!$D$1:$AC$1, 0)),IF(_xlpm.Result="","",_xlpm.Result))</f>
        <v>#N/A</v>
      </c>
      <c r="R378" s="51" t="e" cm="1">
        <f t="array" ref="R378">_xlfn.TEXTSPLIT(Q378," / ", ,TRUE,0,)</f>
        <v>#N/A</v>
      </c>
      <c r="S378" s="51"/>
      <c r="T378" s="51" t="str" cm="1">
        <f t="array" ref="T378">IFERROR(_xlfn.IFS(
R378="","",
--R378&lt;55,"Battery Defect",
--R378&lt;=69,"Battery D",
--R378&lt;=80,"Battery C",
--R378&gt;80,""
),"")</f>
        <v/>
      </c>
      <c r="U378" s="51" t="str" cm="1">
        <f t="array" ref="U378">IFERROR(_xlfn.IFS(
S378="","",
--S378&lt;55,"Battery Defect",
--S378&lt;=69,"Battery D",
--S378&lt;=80,"Battery C",
--S378&gt;80,""
),"")</f>
        <v/>
      </c>
      <c r="V378" s="51"/>
      <c r="W378" s="51"/>
      <c r="X378" s="51"/>
      <c r="Y378" s="51"/>
      <c r="Z378" s="51"/>
      <c r="AA378" s="51"/>
      <c r="AB378" s="51"/>
      <c r="AC378" s="51"/>
      <c r="AD378" s="32" t="str">
        <f t="shared" si="15"/>
        <v/>
      </c>
      <c r="AE378" s="32"/>
      <c r="AF378" s="32"/>
      <c r="AG378" s="32"/>
      <c r="AH378" s="32"/>
      <c r="AI378" s="32"/>
      <c r="AJ378" s="32"/>
      <c r="AK378" s="32"/>
      <c r="AL378" s="32"/>
    </row>
    <row r="379" spans="1:38">
      <c r="A379" s="32" t="str">
        <f>_xlfn.TEXTJOIN("",TRUE,_xlfn.XLOOKUP(B379,Input!J:J,Input!G:G,"",0,1),_xlfn.XLOOKUP(B379,Input!J:J,Input!H:H,"",0,1))</f>
        <v/>
      </c>
      <c r="B379" s="32"/>
      <c r="C379" s="51">
        <f>_xlfn.XLOOKUP(B379,Input!J:J,Input!F:F)</f>
        <v>0</v>
      </c>
      <c r="D379" s="32">
        <f>_xlfn.XLOOKUP(C379,Models!H:H,Models!G:G,C379)</f>
        <v>0</v>
      </c>
      <c r="E379" s="32">
        <f>_xlfn.XLOOKUP(B379,Input!J:J,Input!E:E)</f>
        <v>0</v>
      </c>
      <c r="F379" s="32">
        <f>IF(E379="LENOVO",_xlfn.XLOOKUP(B379,Input!J:J,Input!K:K),_xlfn.XLOOKUP(B379,Input!J:J,Input!L:L))</f>
        <v>0</v>
      </c>
      <c r="G379" s="32"/>
      <c r="H379" s="32"/>
      <c r="I379" s="32"/>
      <c r="J379" s="51" t="e">
        <f>INDEX(Input!$D$2:$AC$500,
       MATCH(B379, Input!$J$2:$J$500, 0),
       MATCH("Total Memory", Input!$D$1:$AC$1, 0))</f>
        <v>#N/A</v>
      </c>
      <c r="K379" s="51"/>
      <c r="L379" s="51" t="str" cm="1">
        <f t="array" ref="L379">IFERROR(_xlfn.FILTERXML("&lt;t&gt;&lt;s&gt;" &amp; SUBSTITUTE(K379," / ","&lt;/s&gt;&lt;s&gt;") &amp; "&lt;/s&gt;&lt;/t&gt;","(//s[contains(.,'DDR')])[1]"),"")</f>
        <v/>
      </c>
      <c r="M379" s="32" t="e">
        <f t="shared" si="17"/>
        <v>#N/A</v>
      </c>
      <c r="N379" s="51" t="e">
        <f>INDEX(Input!$D$2:$AC$500,
       MATCH(B379, Input!$J$2:$J$500, 0),
       MATCH("Disk Interface Type", Input!$D$1:$AC$1, 0))</f>
        <v>#N/A</v>
      </c>
      <c r="O379" s="51" t="str" cm="1">
        <f t="array" ref="O379">IFERROR(_xlfn.TEXTJOIN(", ", TRUE, _xlfn._xlws.FILTER(
    INDEX(Input!$D$2:$AC$500,,MATCH("Disk Capacity",Input!$D$1:$AC$1,0)),
    Input!$J$2:$J$500=B379
)), "")</f>
        <v/>
      </c>
      <c r="P379" s="32" t="e">
        <f t="shared" si="16"/>
        <v>#N/A</v>
      </c>
      <c r="Q379" s="51" t="e">
        <f>_xlfn.LET(_xlpm.Result,INDEX(Input!$D$2:$AC$500,
       MATCH(B379, Input!$J$2:$J$500, 0),
       MATCH("Capacity", Input!$D$1:$AC$1, 0)),IF(_xlpm.Result="","",_xlpm.Result))</f>
        <v>#N/A</v>
      </c>
      <c r="R379" s="51" t="e" cm="1">
        <f t="array" ref="R379">_xlfn.TEXTSPLIT(Q379," / ", ,TRUE,0,)</f>
        <v>#N/A</v>
      </c>
      <c r="S379" s="51"/>
      <c r="T379" s="51" t="str" cm="1">
        <f t="array" ref="T379">IFERROR(_xlfn.IFS(
R379="","",
--R379&lt;55,"Battery Defect",
--R379&lt;=69,"Battery D",
--R379&lt;=80,"Battery C",
--R379&gt;80,""
),"")</f>
        <v/>
      </c>
      <c r="U379" s="51" t="str" cm="1">
        <f t="array" ref="U379">IFERROR(_xlfn.IFS(
S379="","",
--S379&lt;55,"Battery Defect",
--S379&lt;=69,"Battery D",
--S379&lt;=80,"Battery C",
--S379&gt;80,""
),"")</f>
        <v/>
      </c>
      <c r="V379" s="51"/>
      <c r="W379" s="51"/>
      <c r="X379" s="51"/>
      <c r="Y379" s="51"/>
      <c r="Z379" s="51"/>
      <c r="AA379" s="51"/>
      <c r="AB379" s="51"/>
      <c r="AC379" s="51"/>
      <c r="AD379" s="32" t="str">
        <f t="shared" si="15"/>
        <v/>
      </c>
      <c r="AE379" s="32"/>
      <c r="AF379" s="32"/>
      <c r="AG379" s="32"/>
      <c r="AH379" s="32"/>
      <c r="AI379" s="32"/>
      <c r="AJ379" s="32"/>
      <c r="AK379" s="32"/>
      <c r="AL379" s="32"/>
    </row>
    <row r="380" spans="1:38">
      <c r="A380" s="32" t="str">
        <f>_xlfn.TEXTJOIN("",TRUE,_xlfn.XLOOKUP(B380,Input!J:J,Input!G:G,"",0,1),_xlfn.XLOOKUP(B380,Input!J:J,Input!H:H,"",0,1))</f>
        <v/>
      </c>
      <c r="B380" s="32"/>
      <c r="C380" s="51">
        <f>_xlfn.XLOOKUP(B380,Input!J:J,Input!F:F)</f>
        <v>0</v>
      </c>
      <c r="D380" s="32">
        <f>_xlfn.XLOOKUP(C380,Models!H:H,Models!G:G,C380)</f>
        <v>0</v>
      </c>
      <c r="E380" s="32">
        <f>_xlfn.XLOOKUP(B380,Input!J:J,Input!E:E)</f>
        <v>0</v>
      </c>
      <c r="F380" s="32">
        <f>IF(E380="LENOVO",_xlfn.XLOOKUP(B380,Input!J:J,Input!K:K),_xlfn.XLOOKUP(B380,Input!J:J,Input!L:L))</f>
        <v>0</v>
      </c>
      <c r="G380" s="32"/>
      <c r="H380" s="32"/>
      <c r="I380" s="32"/>
      <c r="J380" s="51" t="e">
        <f>INDEX(Input!$D$2:$AC$500,
       MATCH(B380, Input!$J$2:$J$500, 0),
       MATCH("Total Memory", Input!$D$1:$AC$1, 0))</f>
        <v>#N/A</v>
      </c>
      <c r="K380" s="51"/>
      <c r="L380" s="51" t="str" cm="1">
        <f t="array" ref="L380">IFERROR(_xlfn.FILTERXML("&lt;t&gt;&lt;s&gt;" &amp; SUBSTITUTE(K380," / ","&lt;/s&gt;&lt;s&gt;") &amp; "&lt;/s&gt;&lt;/t&gt;","(//s[contains(.,'DDR')])[1]"),"")</f>
        <v/>
      </c>
      <c r="M380" s="32" t="e">
        <f t="shared" si="17"/>
        <v>#N/A</v>
      </c>
      <c r="N380" s="51" t="e">
        <f>INDEX(Input!$D$2:$AC$500,
       MATCH(B380, Input!$J$2:$J$500, 0),
       MATCH("Disk Interface Type", Input!$D$1:$AC$1, 0))</f>
        <v>#N/A</v>
      </c>
      <c r="O380" s="51" t="str" cm="1">
        <f t="array" ref="O380">IFERROR(_xlfn.TEXTJOIN(", ", TRUE, _xlfn._xlws.FILTER(
    INDEX(Input!$D$2:$AC$500,,MATCH("Disk Capacity",Input!$D$1:$AC$1,0)),
    Input!$J$2:$J$500=B380
)), "")</f>
        <v/>
      </c>
      <c r="P380" s="32" t="e">
        <f t="shared" si="16"/>
        <v>#N/A</v>
      </c>
      <c r="Q380" s="51" t="e">
        <f>_xlfn.LET(_xlpm.Result,INDEX(Input!$D$2:$AC$500,
       MATCH(B380, Input!$J$2:$J$500, 0),
       MATCH("Capacity", Input!$D$1:$AC$1, 0)),IF(_xlpm.Result="","",_xlpm.Result))</f>
        <v>#N/A</v>
      </c>
      <c r="R380" s="51" t="e" cm="1">
        <f t="array" ref="R380">_xlfn.TEXTSPLIT(Q380," / ", ,TRUE,0,)</f>
        <v>#N/A</v>
      </c>
      <c r="S380" s="51"/>
      <c r="T380" s="51" t="str" cm="1">
        <f t="array" ref="T380">IFERROR(_xlfn.IFS(
R380="","",
--R380&lt;55,"Battery Defect",
--R380&lt;=69,"Battery D",
--R380&lt;=80,"Battery C",
--R380&gt;80,""
),"")</f>
        <v/>
      </c>
      <c r="U380" s="51" t="str" cm="1">
        <f t="array" ref="U380">IFERROR(_xlfn.IFS(
S380="","",
--S380&lt;55,"Battery Defect",
--S380&lt;=69,"Battery D",
--S380&lt;=80,"Battery C",
--S380&gt;80,""
),"")</f>
        <v/>
      </c>
      <c r="V380" s="51"/>
      <c r="W380" s="51"/>
      <c r="X380" s="51"/>
      <c r="Y380" s="51"/>
      <c r="Z380" s="51"/>
      <c r="AA380" s="51"/>
      <c r="AB380" s="51"/>
      <c r="AC380" s="51"/>
      <c r="AD380" s="32" t="str">
        <f t="shared" si="15"/>
        <v/>
      </c>
      <c r="AE380" s="32"/>
      <c r="AF380" s="32"/>
      <c r="AG380" s="32"/>
      <c r="AH380" s="32"/>
      <c r="AI380" s="32"/>
      <c r="AJ380" s="32"/>
      <c r="AK380" s="32"/>
      <c r="AL380" s="32"/>
    </row>
    <row r="381" spans="1:38">
      <c r="A381" s="32" t="str">
        <f>_xlfn.TEXTJOIN("",TRUE,_xlfn.XLOOKUP(B381,Input!J:J,Input!G:G,"",0,1),_xlfn.XLOOKUP(B381,Input!J:J,Input!H:H,"",0,1))</f>
        <v/>
      </c>
      <c r="B381" s="32"/>
      <c r="C381" s="51">
        <f>_xlfn.XLOOKUP(B381,Input!J:J,Input!F:F)</f>
        <v>0</v>
      </c>
      <c r="D381" s="32">
        <f>_xlfn.XLOOKUP(C381,Models!H:H,Models!G:G,C381)</f>
        <v>0</v>
      </c>
      <c r="E381" s="32">
        <f>_xlfn.XLOOKUP(B381,Input!J:J,Input!E:E)</f>
        <v>0</v>
      </c>
      <c r="F381" s="32">
        <f>IF(E381="LENOVO",_xlfn.XLOOKUP(B381,Input!J:J,Input!K:K),_xlfn.XLOOKUP(B381,Input!J:J,Input!L:L))</f>
        <v>0</v>
      </c>
      <c r="G381" s="32"/>
      <c r="H381" s="32"/>
      <c r="I381" s="32"/>
      <c r="J381" s="51" t="e">
        <f>INDEX(Input!$D$2:$AC$500,
       MATCH(B381, Input!$J$2:$J$500, 0),
       MATCH("Total Memory", Input!$D$1:$AC$1, 0))</f>
        <v>#N/A</v>
      </c>
      <c r="K381" s="51"/>
      <c r="L381" s="51" t="str" cm="1">
        <f t="array" ref="L381">IFERROR(_xlfn.FILTERXML("&lt;t&gt;&lt;s&gt;" &amp; SUBSTITUTE(K381," / ","&lt;/s&gt;&lt;s&gt;") &amp; "&lt;/s&gt;&lt;/t&gt;","(//s[contains(.,'DDR')])[1]"),"")</f>
        <v/>
      </c>
      <c r="M381" s="32" t="e">
        <f t="shared" si="17"/>
        <v>#N/A</v>
      </c>
      <c r="N381" s="51" t="e">
        <f>INDEX(Input!$D$2:$AC$500,
       MATCH(B381, Input!$J$2:$J$500, 0),
       MATCH("Disk Interface Type", Input!$D$1:$AC$1, 0))</f>
        <v>#N/A</v>
      </c>
      <c r="O381" s="51" t="str" cm="1">
        <f t="array" ref="O381">IFERROR(_xlfn.TEXTJOIN(", ", TRUE, _xlfn._xlws.FILTER(
    INDEX(Input!$D$2:$AC$500,,MATCH("Disk Capacity",Input!$D$1:$AC$1,0)),
    Input!$J$2:$J$500=B381
)), "")</f>
        <v/>
      </c>
      <c r="P381" s="32" t="e">
        <f t="shared" si="16"/>
        <v>#N/A</v>
      </c>
      <c r="Q381" s="51" t="e">
        <f>_xlfn.LET(_xlpm.Result,INDEX(Input!$D$2:$AC$500,
       MATCH(B381, Input!$J$2:$J$500, 0),
       MATCH("Capacity", Input!$D$1:$AC$1, 0)),IF(_xlpm.Result="","",_xlpm.Result))</f>
        <v>#N/A</v>
      </c>
      <c r="R381" s="51" t="e" cm="1">
        <f t="array" ref="R381">_xlfn.TEXTSPLIT(Q381," / ", ,TRUE,0,)</f>
        <v>#N/A</v>
      </c>
      <c r="S381" s="51"/>
      <c r="T381" s="51" t="str" cm="1">
        <f t="array" ref="T381">IFERROR(_xlfn.IFS(
R381="","",
--R381&lt;55,"Battery Defect",
--R381&lt;=69,"Battery D",
--R381&lt;=80,"Battery C",
--R381&gt;80,""
),"")</f>
        <v/>
      </c>
      <c r="U381" s="51" t="str" cm="1">
        <f t="array" ref="U381">IFERROR(_xlfn.IFS(
S381="","",
--S381&lt;55,"Battery Defect",
--S381&lt;=69,"Battery D",
--S381&lt;=80,"Battery C",
--S381&gt;80,""
),"")</f>
        <v/>
      </c>
      <c r="V381" s="51"/>
      <c r="W381" s="51"/>
      <c r="X381" s="51"/>
      <c r="Y381" s="51"/>
      <c r="Z381" s="51"/>
      <c r="AA381" s="51"/>
      <c r="AB381" s="51"/>
      <c r="AC381" s="51"/>
      <c r="AD381" s="32" t="str">
        <f t="shared" si="15"/>
        <v/>
      </c>
      <c r="AE381" s="32"/>
      <c r="AF381" s="32"/>
      <c r="AG381" s="32"/>
      <c r="AH381" s="32"/>
      <c r="AI381" s="32"/>
      <c r="AJ381" s="32"/>
      <c r="AK381" s="32"/>
      <c r="AL381" s="32"/>
    </row>
    <row r="382" spans="1:38">
      <c r="A382" s="32" t="str">
        <f>_xlfn.TEXTJOIN("",TRUE,_xlfn.XLOOKUP(B382,Input!J:J,Input!G:G,"",0,1),_xlfn.XLOOKUP(B382,Input!J:J,Input!H:H,"",0,1))</f>
        <v/>
      </c>
      <c r="B382" s="32"/>
      <c r="C382" s="51">
        <f>_xlfn.XLOOKUP(B382,Input!J:J,Input!F:F)</f>
        <v>0</v>
      </c>
      <c r="D382" s="32">
        <f>_xlfn.XLOOKUP(C382,Models!H:H,Models!G:G,C382)</f>
        <v>0</v>
      </c>
      <c r="E382" s="32">
        <f>_xlfn.XLOOKUP(B382,Input!J:J,Input!E:E)</f>
        <v>0</v>
      </c>
      <c r="F382" s="32">
        <f>IF(E382="LENOVO",_xlfn.XLOOKUP(B382,Input!J:J,Input!K:K),_xlfn.XLOOKUP(B382,Input!J:J,Input!L:L))</f>
        <v>0</v>
      </c>
      <c r="G382" s="32"/>
      <c r="H382" s="32"/>
      <c r="I382" s="32"/>
      <c r="J382" s="51" t="e">
        <f>INDEX(Input!$D$2:$AC$500,
       MATCH(B382, Input!$J$2:$J$500, 0),
       MATCH("Total Memory", Input!$D$1:$AC$1, 0))</f>
        <v>#N/A</v>
      </c>
      <c r="K382" s="51"/>
      <c r="L382" s="51" t="str" cm="1">
        <f t="array" ref="L382">IFERROR(_xlfn.FILTERXML("&lt;t&gt;&lt;s&gt;" &amp; SUBSTITUTE(K382," / ","&lt;/s&gt;&lt;s&gt;") &amp; "&lt;/s&gt;&lt;/t&gt;","(//s[contains(.,'DDR')])[1]"),"")</f>
        <v/>
      </c>
      <c r="M382" s="32" t="e">
        <f t="shared" si="17"/>
        <v>#N/A</v>
      </c>
      <c r="N382" s="51" t="e">
        <f>INDEX(Input!$D$2:$AC$500,
       MATCH(B382, Input!$J$2:$J$500, 0),
       MATCH("Disk Interface Type", Input!$D$1:$AC$1, 0))</f>
        <v>#N/A</v>
      </c>
      <c r="O382" s="51" t="str" cm="1">
        <f t="array" ref="O382">IFERROR(_xlfn.TEXTJOIN(", ", TRUE, _xlfn._xlws.FILTER(
    INDEX(Input!$D$2:$AC$500,,MATCH("Disk Capacity",Input!$D$1:$AC$1,0)),
    Input!$J$2:$J$500=B382
)), "")</f>
        <v/>
      </c>
      <c r="P382" s="32" t="e">
        <f t="shared" si="16"/>
        <v>#N/A</v>
      </c>
      <c r="Q382" s="51" t="e">
        <f>_xlfn.LET(_xlpm.Result,INDEX(Input!$D$2:$AC$500,
       MATCH(B382, Input!$J$2:$J$500, 0),
       MATCH("Capacity", Input!$D$1:$AC$1, 0)),IF(_xlpm.Result="","",_xlpm.Result))</f>
        <v>#N/A</v>
      </c>
      <c r="R382" s="51" t="e" cm="1">
        <f t="array" ref="R382">_xlfn.TEXTSPLIT(Q382," / ", ,TRUE,0,)</f>
        <v>#N/A</v>
      </c>
      <c r="S382" s="51"/>
      <c r="T382" s="51" t="str" cm="1">
        <f t="array" ref="T382">IFERROR(_xlfn.IFS(
R382="","",
--R382&lt;55,"Battery Defect",
--R382&lt;=69,"Battery D",
--R382&lt;=80,"Battery C",
--R382&gt;80,""
),"")</f>
        <v/>
      </c>
      <c r="U382" s="51" t="str" cm="1">
        <f t="array" ref="U382">IFERROR(_xlfn.IFS(
S382="","",
--S382&lt;55,"Battery Defect",
--S382&lt;=69,"Battery D",
--S382&lt;=80,"Battery C",
--S382&gt;80,""
),"")</f>
        <v/>
      </c>
      <c r="V382" s="51"/>
      <c r="W382" s="51"/>
      <c r="X382" s="51"/>
      <c r="Y382" s="51"/>
      <c r="Z382" s="51"/>
      <c r="AA382" s="51"/>
      <c r="AB382" s="51"/>
      <c r="AC382" s="51"/>
      <c r="AD382" s="32" t="str">
        <f t="shared" si="15"/>
        <v/>
      </c>
      <c r="AE382" s="32"/>
      <c r="AF382" s="32"/>
      <c r="AG382" s="32"/>
      <c r="AH382" s="32"/>
      <c r="AI382" s="32"/>
      <c r="AJ382" s="32"/>
      <c r="AK382" s="32"/>
      <c r="AL382" s="32"/>
    </row>
    <row r="383" spans="1:38">
      <c r="A383" s="32" t="str">
        <f>_xlfn.TEXTJOIN("",TRUE,_xlfn.XLOOKUP(B383,Input!J:J,Input!G:G,"",0,1),_xlfn.XLOOKUP(B383,Input!J:J,Input!H:H,"",0,1))</f>
        <v/>
      </c>
      <c r="B383" s="32"/>
      <c r="C383" s="51">
        <f>_xlfn.XLOOKUP(B383,Input!J:J,Input!F:F)</f>
        <v>0</v>
      </c>
      <c r="D383" s="32">
        <f>_xlfn.XLOOKUP(C383,Models!H:H,Models!G:G,C383)</f>
        <v>0</v>
      </c>
      <c r="E383" s="32">
        <f>_xlfn.XLOOKUP(B383,Input!J:J,Input!E:E)</f>
        <v>0</v>
      </c>
      <c r="F383" s="32">
        <f>IF(E383="LENOVO",_xlfn.XLOOKUP(B383,Input!J:J,Input!K:K),_xlfn.XLOOKUP(B383,Input!J:J,Input!L:L))</f>
        <v>0</v>
      </c>
      <c r="G383" s="32"/>
      <c r="H383" s="32"/>
      <c r="I383" s="32"/>
      <c r="J383" s="51" t="e">
        <f>INDEX(Input!$D$2:$AC$500,
       MATCH(B383, Input!$J$2:$J$500, 0),
       MATCH("Total Memory", Input!$D$1:$AC$1, 0))</f>
        <v>#N/A</v>
      </c>
      <c r="K383" s="51"/>
      <c r="L383" s="51" t="str" cm="1">
        <f t="array" ref="L383">IFERROR(_xlfn.FILTERXML("&lt;t&gt;&lt;s&gt;" &amp; SUBSTITUTE(K383," / ","&lt;/s&gt;&lt;s&gt;") &amp; "&lt;/s&gt;&lt;/t&gt;","(//s[contains(.,'DDR')])[1]"),"")</f>
        <v/>
      </c>
      <c r="M383" s="32" t="e">
        <f t="shared" si="17"/>
        <v>#N/A</v>
      </c>
      <c r="N383" s="51" t="e">
        <f>INDEX(Input!$D$2:$AC$500,
       MATCH(B383, Input!$J$2:$J$500, 0),
       MATCH("Disk Interface Type", Input!$D$1:$AC$1, 0))</f>
        <v>#N/A</v>
      </c>
      <c r="O383" s="51" t="str" cm="1">
        <f t="array" ref="O383">IFERROR(_xlfn.TEXTJOIN(", ", TRUE, _xlfn._xlws.FILTER(
    INDEX(Input!$D$2:$AC$500,,MATCH("Disk Capacity",Input!$D$1:$AC$1,0)),
    Input!$J$2:$J$500=B383
)), "")</f>
        <v/>
      </c>
      <c r="P383" s="32" t="e">
        <f t="shared" si="16"/>
        <v>#N/A</v>
      </c>
      <c r="Q383" s="51" t="e">
        <f>_xlfn.LET(_xlpm.Result,INDEX(Input!$D$2:$AC$500,
       MATCH(B383, Input!$J$2:$J$500, 0),
       MATCH("Capacity", Input!$D$1:$AC$1, 0)),IF(_xlpm.Result="","",_xlpm.Result))</f>
        <v>#N/A</v>
      </c>
      <c r="R383" s="51" t="e" cm="1">
        <f t="array" ref="R383">_xlfn.TEXTSPLIT(Q383," / ", ,TRUE,0,)</f>
        <v>#N/A</v>
      </c>
      <c r="S383" s="51"/>
      <c r="T383" s="51" t="str" cm="1">
        <f t="array" ref="T383">IFERROR(_xlfn.IFS(
R383="","",
--R383&lt;55,"Battery Defect",
--R383&lt;=69,"Battery D",
--R383&lt;=80,"Battery C",
--R383&gt;80,""
),"")</f>
        <v/>
      </c>
      <c r="U383" s="51" t="str" cm="1">
        <f t="array" ref="U383">IFERROR(_xlfn.IFS(
S383="","",
--S383&lt;55,"Battery Defect",
--S383&lt;=69,"Battery D",
--S383&lt;=80,"Battery C",
--S383&gt;80,""
),"")</f>
        <v/>
      </c>
      <c r="V383" s="51"/>
      <c r="W383" s="51"/>
      <c r="X383" s="51"/>
      <c r="Y383" s="51"/>
      <c r="Z383" s="51"/>
      <c r="AA383" s="51"/>
      <c r="AB383" s="51"/>
      <c r="AC383" s="51"/>
      <c r="AD383" s="32" t="str">
        <f t="shared" si="15"/>
        <v/>
      </c>
      <c r="AE383" s="32"/>
      <c r="AF383" s="32"/>
      <c r="AG383" s="32"/>
      <c r="AH383" s="32"/>
      <c r="AI383" s="32"/>
      <c r="AJ383" s="32"/>
      <c r="AK383" s="32"/>
      <c r="AL383" s="32"/>
    </row>
    <row r="384" spans="1:38">
      <c r="A384" s="32" t="str">
        <f>_xlfn.TEXTJOIN("",TRUE,_xlfn.XLOOKUP(B384,Input!J:J,Input!G:G,"",0,1),_xlfn.XLOOKUP(B384,Input!J:J,Input!H:H,"",0,1))</f>
        <v/>
      </c>
      <c r="B384" s="32"/>
      <c r="C384" s="51">
        <f>_xlfn.XLOOKUP(B384,Input!J:J,Input!F:F)</f>
        <v>0</v>
      </c>
      <c r="D384" s="32">
        <f>_xlfn.XLOOKUP(C384,Models!H:H,Models!G:G,C384)</f>
        <v>0</v>
      </c>
      <c r="E384" s="32">
        <f>_xlfn.XLOOKUP(B384,Input!J:J,Input!E:E)</f>
        <v>0</v>
      </c>
      <c r="F384" s="32">
        <f>IF(E384="LENOVO",_xlfn.XLOOKUP(B384,Input!J:J,Input!K:K),_xlfn.XLOOKUP(B384,Input!J:J,Input!L:L))</f>
        <v>0</v>
      </c>
      <c r="G384" s="32"/>
      <c r="H384" s="32"/>
      <c r="I384" s="32"/>
      <c r="J384" s="51" t="e">
        <f>INDEX(Input!$D$2:$AC$500,
       MATCH(B384, Input!$J$2:$J$500, 0),
       MATCH("Total Memory", Input!$D$1:$AC$1, 0))</f>
        <v>#N/A</v>
      </c>
      <c r="K384" s="51"/>
      <c r="L384" s="51" t="str" cm="1">
        <f t="array" ref="L384">IFERROR(_xlfn.FILTERXML("&lt;t&gt;&lt;s&gt;" &amp; SUBSTITUTE(K384," / ","&lt;/s&gt;&lt;s&gt;") &amp; "&lt;/s&gt;&lt;/t&gt;","(//s[contains(.,'DDR')])[1]"),"")</f>
        <v/>
      </c>
      <c r="M384" s="32" t="e">
        <f t="shared" si="17"/>
        <v>#N/A</v>
      </c>
      <c r="N384" s="51" t="e">
        <f>INDEX(Input!$D$2:$AC$500,
       MATCH(B384, Input!$J$2:$J$500, 0),
       MATCH("Disk Interface Type", Input!$D$1:$AC$1, 0))</f>
        <v>#N/A</v>
      </c>
      <c r="O384" s="51" t="str" cm="1">
        <f t="array" ref="O384">IFERROR(_xlfn.TEXTJOIN(", ", TRUE, _xlfn._xlws.FILTER(
    INDEX(Input!$D$2:$AC$500,,MATCH("Disk Capacity",Input!$D$1:$AC$1,0)),
    Input!$J$2:$J$500=B384
)), "")</f>
        <v/>
      </c>
      <c r="P384" s="32" t="e">
        <f t="shared" si="16"/>
        <v>#N/A</v>
      </c>
      <c r="Q384" s="51" t="e">
        <f>_xlfn.LET(_xlpm.Result,INDEX(Input!$D$2:$AC$500,
       MATCH(B384, Input!$J$2:$J$500, 0),
       MATCH("Capacity", Input!$D$1:$AC$1, 0)),IF(_xlpm.Result="","",_xlpm.Result))</f>
        <v>#N/A</v>
      </c>
      <c r="R384" s="51" t="e" cm="1">
        <f t="array" ref="R384">_xlfn.TEXTSPLIT(Q384," / ", ,TRUE,0,)</f>
        <v>#N/A</v>
      </c>
      <c r="S384" s="51"/>
      <c r="T384" s="51" t="str" cm="1">
        <f t="array" ref="T384">IFERROR(_xlfn.IFS(
R384="","",
--R384&lt;55,"Battery Defect",
--R384&lt;=69,"Battery D",
--R384&lt;=80,"Battery C",
--R384&gt;80,""
),"")</f>
        <v/>
      </c>
      <c r="U384" s="51" t="str" cm="1">
        <f t="array" ref="U384">IFERROR(_xlfn.IFS(
S384="","",
--S384&lt;55,"Battery Defect",
--S384&lt;=69,"Battery D",
--S384&lt;=80,"Battery C",
--S384&gt;80,""
),"")</f>
        <v/>
      </c>
      <c r="V384" s="51"/>
      <c r="W384" s="51"/>
      <c r="X384" s="51"/>
      <c r="Y384" s="51"/>
      <c r="Z384" s="51"/>
      <c r="AA384" s="51"/>
      <c r="AB384" s="51"/>
      <c r="AC384" s="51"/>
      <c r="AD384" s="32" t="str">
        <f t="shared" si="15"/>
        <v/>
      </c>
      <c r="AE384" s="32"/>
      <c r="AF384" s="32"/>
      <c r="AG384" s="32"/>
      <c r="AH384" s="32"/>
      <c r="AI384" s="32"/>
      <c r="AJ384" s="32"/>
      <c r="AK384" s="32"/>
      <c r="AL384" s="32"/>
    </row>
    <row r="385" spans="1:38">
      <c r="A385" s="32" t="str">
        <f>_xlfn.TEXTJOIN("",TRUE,_xlfn.XLOOKUP(B385,Input!J:J,Input!G:G,"",0,1),_xlfn.XLOOKUP(B385,Input!J:J,Input!H:H,"",0,1))</f>
        <v/>
      </c>
      <c r="B385" s="32"/>
      <c r="C385" s="51">
        <f>_xlfn.XLOOKUP(B385,Input!J:J,Input!F:F)</f>
        <v>0</v>
      </c>
      <c r="D385" s="32">
        <f>_xlfn.XLOOKUP(C385,Models!H:H,Models!G:G,C385)</f>
        <v>0</v>
      </c>
      <c r="E385" s="32">
        <f>_xlfn.XLOOKUP(B385,Input!J:J,Input!E:E)</f>
        <v>0</v>
      </c>
      <c r="F385" s="32">
        <f>IF(E385="LENOVO",_xlfn.XLOOKUP(B385,Input!J:J,Input!K:K),_xlfn.XLOOKUP(B385,Input!J:J,Input!L:L))</f>
        <v>0</v>
      </c>
      <c r="G385" s="32"/>
      <c r="H385" s="32"/>
      <c r="I385" s="32"/>
      <c r="J385" s="51" t="e">
        <f>INDEX(Input!$D$2:$AC$500,
       MATCH(B385, Input!$J$2:$J$500, 0),
       MATCH("Total Memory", Input!$D$1:$AC$1, 0))</f>
        <v>#N/A</v>
      </c>
      <c r="K385" s="51"/>
      <c r="L385" s="51" t="str" cm="1">
        <f t="array" ref="L385">IFERROR(_xlfn.FILTERXML("&lt;t&gt;&lt;s&gt;" &amp; SUBSTITUTE(K385," / ","&lt;/s&gt;&lt;s&gt;") &amp; "&lt;/s&gt;&lt;/t&gt;","(//s[contains(.,'DDR')])[1]"),"")</f>
        <v/>
      </c>
      <c r="M385" s="32" t="e">
        <f t="shared" si="17"/>
        <v>#N/A</v>
      </c>
      <c r="N385" s="51" t="e">
        <f>INDEX(Input!$D$2:$AC$500,
       MATCH(B385, Input!$J$2:$J$500, 0),
       MATCH("Disk Interface Type", Input!$D$1:$AC$1, 0))</f>
        <v>#N/A</v>
      </c>
      <c r="O385" s="51" t="str" cm="1">
        <f t="array" ref="O385">IFERROR(_xlfn.TEXTJOIN(", ", TRUE, _xlfn._xlws.FILTER(
    INDEX(Input!$D$2:$AC$500,,MATCH("Disk Capacity",Input!$D$1:$AC$1,0)),
    Input!$J$2:$J$500=B385
)), "")</f>
        <v/>
      </c>
      <c r="P385" s="32" t="e">
        <f t="shared" si="16"/>
        <v>#N/A</v>
      </c>
      <c r="Q385" s="51" t="e">
        <f>_xlfn.LET(_xlpm.Result,INDEX(Input!$D$2:$AC$500,
       MATCH(B385, Input!$J$2:$J$500, 0),
       MATCH("Capacity", Input!$D$1:$AC$1, 0)),IF(_xlpm.Result="","",_xlpm.Result))</f>
        <v>#N/A</v>
      </c>
      <c r="R385" s="51" t="e" cm="1">
        <f t="array" ref="R385">_xlfn.TEXTSPLIT(Q385," / ", ,TRUE,0,)</f>
        <v>#N/A</v>
      </c>
      <c r="S385" s="51"/>
      <c r="T385" s="51" t="str" cm="1">
        <f t="array" ref="T385">IFERROR(_xlfn.IFS(
R385="","",
--R385&lt;55,"Battery Defect",
--R385&lt;=69,"Battery D",
--R385&lt;=80,"Battery C",
--R385&gt;80,""
),"")</f>
        <v/>
      </c>
      <c r="U385" s="51" t="str" cm="1">
        <f t="array" ref="U385">IFERROR(_xlfn.IFS(
S385="","",
--S385&lt;55,"Battery Defect",
--S385&lt;=69,"Battery D",
--S385&lt;=80,"Battery C",
--S385&gt;80,""
),"")</f>
        <v/>
      </c>
      <c r="V385" s="51"/>
      <c r="W385" s="51"/>
      <c r="X385" s="51"/>
      <c r="Y385" s="51"/>
      <c r="Z385" s="51"/>
      <c r="AA385" s="51"/>
      <c r="AB385" s="51"/>
      <c r="AC385" s="51"/>
      <c r="AD385" s="32" t="str">
        <f t="shared" si="15"/>
        <v/>
      </c>
      <c r="AE385" s="32"/>
      <c r="AF385" s="32"/>
      <c r="AG385" s="32"/>
      <c r="AH385" s="32"/>
      <c r="AI385" s="32"/>
      <c r="AJ385" s="32"/>
      <c r="AK385" s="32"/>
      <c r="AL385" s="32"/>
    </row>
    <row r="386" spans="1:38">
      <c r="A386" s="32" t="str">
        <f>_xlfn.TEXTJOIN("",TRUE,_xlfn.XLOOKUP(B386,Input!J:J,Input!G:G,"",0,1),_xlfn.XLOOKUP(B386,Input!J:J,Input!H:H,"",0,1))</f>
        <v/>
      </c>
      <c r="B386" s="32"/>
      <c r="C386" s="51">
        <f>_xlfn.XLOOKUP(B386,Input!J:J,Input!F:F)</f>
        <v>0</v>
      </c>
      <c r="D386" s="32">
        <f>_xlfn.XLOOKUP(C386,Models!H:H,Models!G:G,C386)</f>
        <v>0</v>
      </c>
      <c r="E386" s="32">
        <f>_xlfn.XLOOKUP(B386,Input!J:J,Input!E:E)</f>
        <v>0</v>
      </c>
      <c r="F386" s="32">
        <f>IF(E386="LENOVO",_xlfn.XLOOKUP(B386,Input!J:J,Input!K:K),_xlfn.XLOOKUP(B386,Input!J:J,Input!L:L))</f>
        <v>0</v>
      </c>
      <c r="G386" s="32"/>
      <c r="H386" s="32"/>
      <c r="I386" s="32"/>
      <c r="J386" s="51" t="e">
        <f>INDEX(Input!$D$2:$AC$500,
       MATCH(B386, Input!$J$2:$J$500, 0),
       MATCH("Total Memory", Input!$D$1:$AC$1, 0))</f>
        <v>#N/A</v>
      </c>
      <c r="K386" s="51"/>
      <c r="L386" s="51" t="str" cm="1">
        <f t="array" ref="L386">IFERROR(_xlfn.FILTERXML("&lt;t&gt;&lt;s&gt;" &amp; SUBSTITUTE(K386," / ","&lt;/s&gt;&lt;s&gt;") &amp; "&lt;/s&gt;&lt;/t&gt;","(//s[contains(.,'DDR')])[1]"),"")</f>
        <v/>
      </c>
      <c r="M386" s="32" t="e">
        <f t="shared" si="17"/>
        <v>#N/A</v>
      </c>
      <c r="N386" s="51" t="e">
        <f>INDEX(Input!$D$2:$AC$500,
       MATCH(B386, Input!$J$2:$J$500, 0),
       MATCH("Disk Interface Type", Input!$D$1:$AC$1, 0))</f>
        <v>#N/A</v>
      </c>
      <c r="O386" s="51" t="str" cm="1">
        <f t="array" ref="O386">IFERROR(_xlfn.TEXTJOIN(", ", TRUE, _xlfn._xlws.FILTER(
    INDEX(Input!$D$2:$AC$500,,MATCH("Disk Capacity",Input!$D$1:$AC$1,0)),
    Input!$J$2:$J$500=B386
)), "")</f>
        <v/>
      </c>
      <c r="P386" s="32" t="e">
        <f t="shared" si="16"/>
        <v>#N/A</v>
      </c>
      <c r="Q386" s="51" t="e">
        <f>_xlfn.LET(_xlpm.Result,INDEX(Input!$D$2:$AC$500,
       MATCH(B386, Input!$J$2:$J$500, 0),
       MATCH("Capacity", Input!$D$1:$AC$1, 0)),IF(_xlpm.Result="","",_xlpm.Result))</f>
        <v>#N/A</v>
      </c>
      <c r="R386" s="51" t="e" cm="1">
        <f t="array" ref="R386">_xlfn.TEXTSPLIT(Q386," / ", ,TRUE,0,)</f>
        <v>#N/A</v>
      </c>
      <c r="S386" s="51"/>
      <c r="T386" s="51" t="str" cm="1">
        <f t="array" ref="T386">IFERROR(_xlfn.IFS(
R386="","",
--R386&lt;55,"Battery Defect",
--R386&lt;=69,"Battery D",
--R386&lt;=80,"Battery C",
--R386&gt;80,""
),"")</f>
        <v/>
      </c>
      <c r="U386" s="51" t="str" cm="1">
        <f t="array" ref="U386">IFERROR(_xlfn.IFS(
S386="","",
--S386&lt;55,"Battery Defect",
--S386&lt;=69,"Battery D",
--S386&lt;=80,"Battery C",
--S386&gt;80,""
),"")</f>
        <v/>
      </c>
      <c r="V386" s="51"/>
      <c r="W386" s="51"/>
      <c r="X386" s="51"/>
      <c r="Y386" s="51"/>
      <c r="Z386" s="51"/>
      <c r="AA386" s="51"/>
      <c r="AB386" s="51"/>
      <c r="AC386" s="51"/>
      <c r="AD386" s="32" t="str">
        <f t="shared" ref="AD386:AD449" si="18">IF(D386="Laptop",_xlfn.TEXTJOIN(", ",TRUE,T386,U386,V386,W386,X386,Y386,Z386,AA386), _xlfn.TEXTJOIN(", ",TRUE,V386,W386,X386,Y386,Z386,AA386))</f>
        <v/>
      </c>
      <c r="AE386" s="32"/>
      <c r="AF386" s="32"/>
      <c r="AG386" s="32"/>
      <c r="AH386" s="32"/>
      <c r="AI386" s="32"/>
      <c r="AJ386" s="32"/>
      <c r="AK386" s="32"/>
      <c r="AL386" s="32"/>
    </row>
    <row r="387" spans="1:38">
      <c r="A387" s="32" t="str">
        <f>_xlfn.TEXTJOIN("",TRUE,_xlfn.XLOOKUP(B387,Input!J:J,Input!G:G,"",0,1),_xlfn.XLOOKUP(B387,Input!J:J,Input!H:H,"",0,1))</f>
        <v/>
      </c>
      <c r="B387" s="32"/>
      <c r="C387" s="51">
        <f>_xlfn.XLOOKUP(B387,Input!J:J,Input!F:F)</f>
        <v>0</v>
      </c>
      <c r="D387" s="32">
        <f>_xlfn.XLOOKUP(C387,Models!H:H,Models!G:G,C387)</f>
        <v>0</v>
      </c>
      <c r="E387" s="32">
        <f>_xlfn.XLOOKUP(B387,Input!J:J,Input!E:E)</f>
        <v>0</v>
      </c>
      <c r="F387" s="32">
        <f>IF(E387="LENOVO",_xlfn.XLOOKUP(B387,Input!J:J,Input!K:K),_xlfn.XLOOKUP(B387,Input!J:J,Input!L:L))</f>
        <v>0</v>
      </c>
      <c r="G387" s="32"/>
      <c r="H387" s="32"/>
      <c r="I387" s="32"/>
      <c r="J387" s="51" t="e">
        <f>INDEX(Input!$D$2:$AC$500,
       MATCH(B387, Input!$J$2:$J$500, 0),
       MATCH("Total Memory", Input!$D$1:$AC$1, 0))</f>
        <v>#N/A</v>
      </c>
      <c r="K387" s="51"/>
      <c r="L387" s="51" t="str" cm="1">
        <f t="array" ref="L387">IFERROR(_xlfn.FILTERXML("&lt;t&gt;&lt;s&gt;" &amp; SUBSTITUTE(K387," / ","&lt;/s&gt;&lt;s&gt;") &amp; "&lt;/s&gt;&lt;/t&gt;","(//s[contains(.,'DDR')])[1]"),"")</f>
        <v/>
      </c>
      <c r="M387" s="32" t="e">
        <f t="shared" si="17"/>
        <v>#N/A</v>
      </c>
      <c r="N387" s="51" t="e">
        <f>INDEX(Input!$D$2:$AC$500,
       MATCH(B387, Input!$J$2:$J$500, 0),
       MATCH("Disk Interface Type", Input!$D$1:$AC$1, 0))</f>
        <v>#N/A</v>
      </c>
      <c r="O387" s="51" t="str" cm="1">
        <f t="array" ref="O387">IFERROR(_xlfn.TEXTJOIN(", ", TRUE, _xlfn._xlws.FILTER(
    INDEX(Input!$D$2:$AC$500,,MATCH("Disk Capacity",Input!$D$1:$AC$1,0)),
    Input!$J$2:$J$500=B387
)), "")</f>
        <v/>
      </c>
      <c r="P387" s="32" t="e">
        <f t="shared" ref="P387:P450" si="19">_xlfn.TEXTJOIN(" ",TRUE,O387,N387)</f>
        <v>#N/A</v>
      </c>
      <c r="Q387" s="51" t="e">
        <f>_xlfn.LET(_xlpm.Result,INDEX(Input!$D$2:$AC$500,
       MATCH(B387, Input!$J$2:$J$500, 0),
       MATCH("Capacity", Input!$D$1:$AC$1, 0)),IF(_xlpm.Result="","",_xlpm.Result))</f>
        <v>#N/A</v>
      </c>
      <c r="R387" s="51" t="e" cm="1">
        <f t="array" ref="R387">_xlfn.TEXTSPLIT(Q387," / ", ,TRUE,0,)</f>
        <v>#N/A</v>
      </c>
      <c r="S387" s="51"/>
      <c r="T387" s="51" t="str" cm="1">
        <f t="array" ref="T387">IFERROR(_xlfn.IFS(
R387="","",
--R387&lt;55,"Battery Defect",
--R387&lt;=69,"Battery D",
--R387&lt;=80,"Battery C",
--R387&gt;80,""
),"")</f>
        <v/>
      </c>
      <c r="U387" s="51" t="str" cm="1">
        <f t="array" ref="U387">IFERROR(_xlfn.IFS(
S387="","",
--S387&lt;55,"Battery Defect",
--S387&lt;=69,"Battery D",
--S387&lt;=80,"Battery C",
--S387&gt;80,""
),"")</f>
        <v/>
      </c>
      <c r="V387" s="51"/>
      <c r="W387" s="51"/>
      <c r="X387" s="51"/>
      <c r="Y387" s="51"/>
      <c r="Z387" s="51"/>
      <c r="AA387" s="51"/>
      <c r="AB387" s="51"/>
      <c r="AC387" s="51"/>
      <c r="AD387" s="32" t="str">
        <f t="shared" si="18"/>
        <v/>
      </c>
      <c r="AE387" s="32"/>
      <c r="AF387" s="32"/>
      <c r="AG387" s="32"/>
      <c r="AH387" s="32"/>
      <c r="AI387" s="32"/>
      <c r="AJ387" s="32"/>
      <c r="AK387" s="32"/>
      <c r="AL387" s="32"/>
    </row>
    <row r="388" spans="1:38">
      <c r="A388" s="32" t="str">
        <f>_xlfn.TEXTJOIN("",TRUE,_xlfn.XLOOKUP(B388,Input!J:J,Input!G:G,"",0,1),_xlfn.XLOOKUP(B388,Input!J:J,Input!H:H,"",0,1))</f>
        <v/>
      </c>
      <c r="B388" s="32"/>
      <c r="C388" s="51">
        <f>_xlfn.XLOOKUP(B388,Input!J:J,Input!F:F)</f>
        <v>0</v>
      </c>
      <c r="D388" s="32">
        <f>_xlfn.XLOOKUP(C388,Models!H:H,Models!G:G,C388)</f>
        <v>0</v>
      </c>
      <c r="E388" s="32">
        <f>_xlfn.XLOOKUP(B388,Input!J:J,Input!E:E)</f>
        <v>0</v>
      </c>
      <c r="F388" s="32">
        <f>IF(E388="LENOVO",_xlfn.XLOOKUP(B388,Input!J:J,Input!K:K),_xlfn.XLOOKUP(B388,Input!J:J,Input!L:L))</f>
        <v>0</v>
      </c>
      <c r="G388" s="32"/>
      <c r="H388" s="32"/>
      <c r="I388" s="32"/>
      <c r="J388" s="51" t="e">
        <f>INDEX(Input!$D$2:$AC$500,
       MATCH(B388, Input!$J$2:$J$500, 0),
       MATCH("Total Memory", Input!$D$1:$AC$1, 0))</f>
        <v>#N/A</v>
      </c>
      <c r="K388" s="51"/>
      <c r="L388" s="51" t="str" cm="1">
        <f t="array" ref="L388">IFERROR(_xlfn.FILTERXML("&lt;t&gt;&lt;s&gt;" &amp; SUBSTITUTE(K388," / ","&lt;/s&gt;&lt;s&gt;") &amp; "&lt;/s&gt;&lt;/t&gt;","(//s[contains(.,'DDR')])[1]"),"")</f>
        <v/>
      </c>
      <c r="M388" s="32" t="e">
        <f t="shared" ref="M388:M451" si="20">_xlfn.TEXTJOIN(" ",TRUE,SUBSTITUTE(J388,"i",""),L388)</f>
        <v>#N/A</v>
      </c>
      <c r="N388" s="51" t="e">
        <f>INDEX(Input!$D$2:$AC$500,
       MATCH(B388, Input!$J$2:$J$500, 0),
       MATCH("Disk Interface Type", Input!$D$1:$AC$1, 0))</f>
        <v>#N/A</v>
      </c>
      <c r="O388" s="51" t="str" cm="1">
        <f t="array" ref="O388">IFERROR(_xlfn.TEXTJOIN(", ", TRUE, _xlfn._xlws.FILTER(
    INDEX(Input!$D$2:$AC$500,,MATCH("Disk Capacity",Input!$D$1:$AC$1,0)),
    Input!$J$2:$J$500=B388
)), "")</f>
        <v/>
      </c>
      <c r="P388" s="32" t="e">
        <f t="shared" si="19"/>
        <v>#N/A</v>
      </c>
      <c r="Q388" s="51" t="e">
        <f>_xlfn.LET(_xlpm.Result,INDEX(Input!$D$2:$AC$500,
       MATCH(B388, Input!$J$2:$J$500, 0),
       MATCH("Capacity", Input!$D$1:$AC$1, 0)),IF(_xlpm.Result="","",_xlpm.Result))</f>
        <v>#N/A</v>
      </c>
      <c r="R388" s="51" t="e" cm="1">
        <f t="array" ref="R388">_xlfn.TEXTSPLIT(Q388," / ", ,TRUE,0,)</f>
        <v>#N/A</v>
      </c>
      <c r="S388" s="51"/>
      <c r="T388" s="51" t="str" cm="1">
        <f t="array" ref="T388">IFERROR(_xlfn.IFS(
R388="","",
--R388&lt;55,"Battery Defect",
--R388&lt;=69,"Battery D",
--R388&lt;=80,"Battery C",
--R388&gt;80,""
),"")</f>
        <v/>
      </c>
      <c r="U388" s="51" t="str" cm="1">
        <f t="array" ref="U388">IFERROR(_xlfn.IFS(
S388="","",
--S388&lt;55,"Battery Defect",
--S388&lt;=69,"Battery D",
--S388&lt;=80,"Battery C",
--S388&gt;80,""
),"")</f>
        <v/>
      </c>
      <c r="V388" s="51"/>
      <c r="W388" s="51"/>
      <c r="X388" s="51"/>
      <c r="Y388" s="51"/>
      <c r="Z388" s="51"/>
      <c r="AA388" s="51"/>
      <c r="AB388" s="51"/>
      <c r="AC388" s="51"/>
      <c r="AD388" s="32" t="str">
        <f t="shared" si="18"/>
        <v/>
      </c>
      <c r="AE388" s="32"/>
      <c r="AF388" s="32"/>
      <c r="AG388" s="32"/>
      <c r="AH388" s="32"/>
      <c r="AI388" s="32"/>
      <c r="AJ388" s="32"/>
      <c r="AK388" s="32"/>
      <c r="AL388" s="32"/>
    </row>
    <row r="389" spans="1:38">
      <c r="A389" s="32" t="str">
        <f>_xlfn.TEXTJOIN("",TRUE,_xlfn.XLOOKUP(B389,Input!J:J,Input!G:G,"",0,1),_xlfn.XLOOKUP(B389,Input!J:J,Input!H:H,"",0,1))</f>
        <v/>
      </c>
      <c r="B389" s="32"/>
      <c r="C389" s="51">
        <f>_xlfn.XLOOKUP(B389,Input!J:J,Input!F:F)</f>
        <v>0</v>
      </c>
      <c r="D389" s="32">
        <f>_xlfn.XLOOKUP(C389,Models!H:H,Models!G:G,C389)</f>
        <v>0</v>
      </c>
      <c r="E389" s="32">
        <f>_xlfn.XLOOKUP(B389,Input!J:J,Input!E:E)</f>
        <v>0</v>
      </c>
      <c r="F389" s="32">
        <f>IF(E389="LENOVO",_xlfn.XLOOKUP(B389,Input!J:J,Input!K:K),_xlfn.XLOOKUP(B389,Input!J:J,Input!L:L))</f>
        <v>0</v>
      </c>
      <c r="G389" s="32"/>
      <c r="H389" s="32"/>
      <c r="I389" s="32"/>
      <c r="J389" s="51" t="e">
        <f>INDEX(Input!$D$2:$AC$500,
       MATCH(B389, Input!$J$2:$J$500, 0),
       MATCH("Total Memory", Input!$D$1:$AC$1, 0))</f>
        <v>#N/A</v>
      </c>
      <c r="K389" s="51"/>
      <c r="L389" s="51" t="str" cm="1">
        <f t="array" ref="L389">IFERROR(_xlfn.FILTERXML("&lt;t&gt;&lt;s&gt;" &amp; SUBSTITUTE(K389," / ","&lt;/s&gt;&lt;s&gt;") &amp; "&lt;/s&gt;&lt;/t&gt;","(//s[contains(.,'DDR')])[1]"),"")</f>
        <v/>
      </c>
      <c r="M389" s="32" t="e">
        <f t="shared" si="20"/>
        <v>#N/A</v>
      </c>
      <c r="N389" s="51" t="e">
        <f>INDEX(Input!$D$2:$AC$500,
       MATCH(B389, Input!$J$2:$J$500, 0),
       MATCH("Disk Interface Type", Input!$D$1:$AC$1, 0))</f>
        <v>#N/A</v>
      </c>
      <c r="O389" s="51" t="str" cm="1">
        <f t="array" ref="O389">IFERROR(_xlfn.TEXTJOIN(", ", TRUE, _xlfn._xlws.FILTER(
    INDEX(Input!$D$2:$AC$500,,MATCH("Disk Capacity",Input!$D$1:$AC$1,0)),
    Input!$J$2:$J$500=B389
)), "")</f>
        <v/>
      </c>
      <c r="P389" s="32" t="e">
        <f t="shared" si="19"/>
        <v>#N/A</v>
      </c>
      <c r="Q389" s="51" t="e">
        <f>_xlfn.LET(_xlpm.Result,INDEX(Input!$D$2:$AC$500,
       MATCH(B389, Input!$J$2:$J$500, 0),
       MATCH("Capacity", Input!$D$1:$AC$1, 0)),IF(_xlpm.Result="","",_xlpm.Result))</f>
        <v>#N/A</v>
      </c>
      <c r="R389" s="51" t="e" cm="1">
        <f t="array" ref="R389">_xlfn.TEXTSPLIT(Q389," / ", ,TRUE,0,)</f>
        <v>#N/A</v>
      </c>
      <c r="S389" s="51"/>
      <c r="T389" s="51" t="str" cm="1">
        <f t="array" ref="T389">IFERROR(_xlfn.IFS(
R389="","",
--R389&lt;55,"Battery Defect",
--R389&lt;=69,"Battery D",
--R389&lt;=80,"Battery C",
--R389&gt;80,""
),"")</f>
        <v/>
      </c>
      <c r="U389" s="51" t="str" cm="1">
        <f t="array" ref="U389">IFERROR(_xlfn.IFS(
S389="","",
--S389&lt;55,"Battery Defect",
--S389&lt;=69,"Battery D",
--S389&lt;=80,"Battery C",
--S389&gt;80,""
),"")</f>
        <v/>
      </c>
      <c r="V389" s="51"/>
      <c r="W389" s="51"/>
      <c r="X389" s="51"/>
      <c r="Y389" s="51"/>
      <c r="Z389" s="51"/>
      <c r="AA389" s="51"/>
      <c r="AB389" s="51"/>
      <c r="AC389" s="51"/>
      <c r="AD389" s="32" t="str">
        <f t="shared" si="18"/>
        <v/>
      </c>
      <c r="AE389" s="32"/>
      <c r="AF389" s="32"/>
      <c r="AG389" s="32"/>
      <c r="AH389" s="32"/>
      <c r="AI389" s="32"/>
      <c r="AJ389" s="32"/>
      <c r="AK389" s="32"/>
      <c r="AL389" s="32"/>
    </row>
    <row r="390" spans="1:38">
      <c r="A390" s="32" t="str">
        <f>_xlfn.TEXTJOIN("",TRUE,_xlfn.XLOOKUP(B390,Input!J:J,Input!G:G,"",0,1),_xlfn.XLOOKUP(B390,Input!J:J,Input!H:H,"",0,1))</f>
        <v/>
      </c>
      <c r="B390" s="32"/>
      <c r="C390" s="51">
        <f>_xlfn.XLOOKUP(B390,Input!J:J,Input!F:F)</f>
        <v>0</v>
      </c>
      <c r="D390" s="32">
        <f>_xlfn.XLOOKUP(C390,Models!H:H,Models!G:G,C390)</f>
        <v>0</v>
      </c>
      <c r="E390" s="32">
        <f>_xlfn.XLOOKUP(B390,Input!J:J,Input!E:E)</f>
        <v>0</v>
      </c>
      <c r="F390" s="32">
        <f>IF(E390="LENOVO",_xlfn.XLOOKUP(B390,Input!J:J,Input!K:K),_xlfn.XLOOKUP(B390,Input!J:J,Input!L:L))</f>
        <v>0</v>
      </c>
      <c r="G390" s="32"/>
      <c r="H390" s="32"/>
      <c r="I390" s="32"/>
      <c r="J390" s="51" t="e">
        <f>INDEX(Input!$D$2:$AC$500,
       MATCH(B390, Input!$J$2:$J$500, 0),
       MATCH("Total Memory", Input!$D$1:$AC$1, 0))</f>
        <v>#N/A</v>
      </c>
      <c r="K390" s="51"/>
      <c r="L390" s="51" t="str" cm="1">
        <f t="array" ref="L390">IFERROR(_xlfn.FILTERXML("&lt;t&gt;&lt;s&gt;" &amp; SUBSTITUTE(K390," / ","&lt;/s&gt;&lt;s&gt;") &amp; "&lt;/s&gt;&lt;/t&gt;","(//s[contains(.,'DDR')])[1]"),"")</f>
        <v/>
      </c>
      <c r="M390" s="32" t="e">
        <f t="shared" si="20"/>
        <v>#N/A</v>
      </c>
      <c r="N390" s="51" t="e">
        <f>INDEX(Input!$D$2:$AC$500,
       MATCH(B390, Input!$J$2:$J$500, 0),
       MATCH("Disk Interface Type", Input!$D$1:$AC$1, 0))</f>
        <v>#N/A</v>
      </c>
      <c r="O390" s="51" t="str" cm="1">
        <f t="array" ref="O390">IFERROR(_xlfn.TEXTJOIN(", ", TRUE, _xlfn._xlws.FILTER(
    INDEX(Input!$D$2:$AC$500,,MATCH("Disk Capacity",Input!$D$1:$AC$1,0)),
    Input!$J$2:$J$500=B390
)), "")</f>
        <v/>
      </c>
      <c r="P390" s="32" t="e">
        <f t="shared" si="19"/>
        <v>#N/A</v>
      </c>
      <c r="Q390" s="51" t="e">
        <f>_xlfn.LET(_xlpm.Result,INDEX(Input!$D$2:$AC$500,
       MATCH(B390, Input!$J$2:$J$500, 0),
       MATCH("Capacity", Input!$D$1:$AC$1, 0)),IF(_xlpm.Result="","",_xlpm.Result))</f>
        <v>#N/A</v>
      </c>
      <c r="R390" s="51" t="e" cm="1">
        <f t="array" ref="R390">_xlfn.TEXTSPLIT(Q390," / ", ,TRUE,0,)</f>
        <v>#N/A</v>
      </c>
      <c r="S390" s="51"/>
      <c r="T390" s="51" t="str" cm="1">
        <f t="array" ref="T390">IFERROR(_xlfn.IFS(
R390="","",
--R390&lt;55,"Battery Defect",
--R390&lt;=69,"Battery D",
--R390&lt;=80,"Battery C",
--R390&gt;80,""
),"")</f>
        <v/>
      </c>
      <c r="U390" s="51" t="str" cm="1">
        <f t="array" ref="U390">IFERROR(_xlfn.IFS(
S390="","",
--S390&lt;55,"Battery Defect",
--S390&lt;=69,"Battery D",
--S390&lt;=80,"Battery C",
--S390&gt;80,""
),"")</f>
        <v/>
      </c>
      <c r="V390" s="51"/>
      <c r="W390" s="51"/>
      <c r="X390" s="51"/>
      <c r="Y390" s="51"/>
      <c r="Z390" s="51"/>
      <c r="AA390" s="51"/>
      <c r="AB390" s="51"/>
      <c r="AC390" s="51"/>
      <c r="AD390" s="32" t="str">
        <f t="shared" si="18"/>
        <v/>
      </c>
      <c r="AE390" s="32"/>
      <c r="AF390" s="32"/>
      <c r="AG390" s="32"/>
      <c r="AH390" s="32"/>
      <c r="AI390" s="32"/>
      <c r="AJ390" s="32"/>
      <c r="AK390" s="32"/>
      <c r="AL390" s="32"/>
    </row>
    <row r="391" spans="1:38">
      <c r="A391" s="32" t="str">
        <f>_xlfn.TEXTJOIN("",TRUE,_xlfn.XLOOKUP(B391,Input!J:J,Input!G:G,"",0,1),_xlfn.XLOOKUP(B391,Input!J:J,Input!H:H,"",0,1))</f>
        <v/>
      </c>
      <c r="B391" s="32"/>
      <c r="C391" s="51">
        <f>_xlfn.XLOOKUP(B391,Input!J:J,Input!F:F)</f>
        <v>0</v>
      </c>
      <c r="D391" s="32">
        <f>_xlfn.XLOOKUP(C391,Models!H:H,Models!G:G,C391)</f>
        <v>0</v>
      </c>
      <c r="E391" s="32">
        <f>_xlfn.XLOOKUP(B391,Input!J:J,Input!E:E)</f>
        <v>0</v>
      </c>
      <c r="F391" s="32">
        <f>IF(E391="LENOVO",_xlfn.XLOOKUP(B391,Input!J:J,Input!K:K),_xlfn.XLOOKUP(B391,Input!J:J,Input!L:L))</f>
        <v>0</v>
      </c>
      <c r="G391" s="32"/>
      <c r="H391" s="32"/>
      <c r="I391" s="32"/>
      <c r="J391" s="51" t="e">
        <f>INDEX(Input!$D$2:$AC$500,
       MATCH(B391, Input!$J$2:$J$500, 0),
       MATCH("Total Memory", Input!$D$1:$AC$1, 0))</f>
        <v>#N/A</v>
      </c>
      <c r="K391" s="51"/>
      <c r="L391" s="51" t="str" cm="1">
        <f t="array" ref="L391">IFERROR(_xlfn.FILTERXML("&lt;t&gt;&lt;s&gt;" &amp; SUBSTITUTE(K391," / ","&lt;/s&gt;&lt;s&gt;") &amp; "&lt;/s&gt;&lt;/t&gt;","(//s[contains(.,'DDR')])[1]"),"")</f>
        <v/>
      </c>
      <c r="M391" s="32" t="e">
        <f t="shared" si="20"/>
        <v>#N/A</v>
      </c>
      <c r="N391" s="51" t="e">
        <f>INDEX(Input!$D$2:$AC$500,
       MATCH(B391, Input!$J$2:$J$500, 0),
       MATCH("Disk Interface Type", Input!$D$1:$AC$1, 0))</f>
        <v>#N/A</v>
      </c>
      <c r="O391" s="51" t="str" cm="1">
        <f t="array" ref="O391">IFERROR(_xlfn.TEXTJOIN(", ", TRUE, _xlfn._xlws.FILTER(
    INDEX(Input!$D$2:$AC$500,,MATCH("Disk Capacity",Input!$D$1:$AC$1,0)),
    Input!$J$2:$J$500=B391
)), "")</f>
        <v/>
      </c>
      <c r="P391" s="32" t="e">
        <f t="shared" si="19"/>
        <v>#N/A</v>
      </c>
      <c r="Q391" s="51" t="e">
        <f>_xlfn.LET(_xlpm.Result,INDEX(Input!$D$2:$AC$500,
       MATCH(B391, Input!$J$2:$J$500, 0),
       MATCH("Capacity", Input!$D$1:$AC$1, 0)),IF(_xlpm.Result="","",_xlpm.Result))</f>
        <v>#N/A</v>
      </c>
      <c r="R391" s="51" t="e" cm="1">
        <f t="array" ref="R391">_xlfn.TEXTSPLIT(Q391," / ", ,TRUE,0,)</f>
        <v>#N/A</v>
      </c>
      <c r="S391" s="51"/>
      <c r="T391" s="51" t="str" cm="1">
        <f t="array" ref="T391">IFERROR(_xlfn.IFS(
R391="","",
--R391&lt;55,"Battery Defect",
--R391&lt;=69,"Battery D",
--R391&lt;=80,"Battery C",
--R391&gt;80,""
),"")</f>
        <v/>
      </c>
      <c r="U391" s="51" t="str" cm="1">
        <f t="array" ref="U391">IFERROR(_xlfn.IFS(
S391="","",
--S391&lt;55,"Battery Defect",
--S391&lt;=69,"Battery D",
--S391&lt;=80,"Battery C",
--S391&gt;80,""
),"")</f>
        <v/>
      </c>
      <c r="V391" s="51"/>
      <c r="W391" s="51"/>
      <c r="X391" s="51"/>
      <c r="Y391" s="51"/>
      <c r="Z391" s="51"/>
      <c r="AA391" s="51"/>
      <c r="AB391" s="51"/>
      <c r="AC391" s="51"/>
      <c r="AD391" s="32" t="str">
        <f t="shared" si="18"/>
        <v/>
      </c>
      <c r="AE391" s="32"/>
      <c r="AF391" s="32"/>
      <c r="AG391" s="32"/>
      <c r="AH391" s="32"/>
      <c r="AI391" s="32"/>
      <c r="AJ391" s="32"/>
      <c r="AK391" s="32"/>
      <c r="AL391" s="32"/>
    </row>
    <row r="392" spans="1:38">
      <c r="A392" s="32" t="str">
        <f>_xlfn.TEXTJOIN("",TRUE,_xlfn.XLOOKUP(B392,Input!J:J,Input!G:G,"",0,1),_xlfn.XLOOKUP(B392,Input!J:J,Input!H:H,"",0,1))</f>
        <v/>
      </c>
      <c r="B392" s="32"/>
      <c r="C392" s="51">
        <f>_xlfn.XLOOKUP(B392,Input!J:J,Input!F:F)</f>
        <v>0</v>
      </c>
      <c r="D392" s="32">
        <f>_xlfn.XLOOKUP(C392,Models!H:H,Models!G:G,C392)</f>
        <v>0</v>
      </c>
      <c r="E392" s="32">
        <f>_xlfn.XLOOKUP(B392,Input!J:J,Input!E:E)</f>
        <v>0</v>
      </c>
      <c r="F392" s="32">
        <f>IF(E392="LENOVO",_xlfn.XLOOKUP(B392,Input!J:J,Input!K:K),_xlfn.XLOOKUP(B392,Input!J:J,Input!L:L))</f>
        <v>0</v>
      </c>
      <c r="G392" s="32"/>
      <c r="H392" s="32"/>
      <c r="I392" s="32"/>
      <c r="J392" s="51" t="e">
        <f>INDEX(Input!$D$2:$AC$500,
       MATCH(B392, Input!$J$2:$J$500, 0),
       MATCH("Total Memory", Input!$D$1:$AC$1, 0))</f>
        <v>#N/A</v>
      </c>
      <c r="K392" s="51"/>
      <c r="L392" s="51" t="str" cm="1">
        <f t="array" ref="L392">IFERROR(_xlfn.FILTERXML("&lt;t&gt;&lt;s&gt;" &amp; SUBSTITUTE(K392," / ","&lt;/s&gt;&lt;s&gt;") &amp; "&lt;/s&gt;&lt;/t&gt;","(//s[contains(.,'DDR')])[1]"),"")</f>
        <v/>
      </c>
      <c r="M392" s="32" t="e">
        <f t="shared" si="20"/>
        <v>#N/A</v>
      </c>
      <c r="N392" s="51" t="e">
        <f>INDEX(Input!$D$2:$AC$500,
       MATCH(B392, Input!$J$2:$J$500, 0),
       MATCH("Disk Interface Type", Input!$D$1:$AC$1, 0))</f>
        <v>#N/A</v>
      </c>
      <c r="O392" s="51" t="str" cm="1">
        <f t="array" ref="O392">IFERROR(_xlfn.TEXTJOIN(", ", TRUE, _xlfn._xlws.FILTER(
    INDEX(Input!$D$2:$AC$500,,MATCH("Disk Capacity",Input!$D$1:$AC$1,0)),
    Input!$J$2:$J$500=B392
)), "")</f>
        <v/>
      </c>
      <c r="P392" s="32" t="e">
        <f t="shared" si="19"/>
        <v>#N/A</v>
      </c>
      <c r="Q392" s="51" t="e">
        <f>_xlfn.LET(_xlpm.Result,INDEX(Input!$D$2:$AC$500,
       MATCH(B392, Input!$J$2:$J$500, 0),
       MATCH("Capacity", Input!$D$1:$AC$1, 0)),IF(_xlpm.Result="","",_xlpm.Result))</f>
        <v>#N/A</v>
      </c>
      <c r="R392" s="51" t="e" cm="1">
        <f t="array" ref="R392">_xlfn.TEXTSPLIT(Q392," / ", ,TRUE,0,)</f>
        <v>#N/A</v>
      </c>
      <c r="S392" s="51"/>
      <c r="T392" s="51" t="str" cm="1">
        <f t="array" ref="T392">IFERROR(_xlfn.IFS(
R392="","",
--R392&lt;55,"Battery Defect",
--R392&lt;=69,"Battery D",
--R392&lt;=80,"Battery C",
--R392&gt;80,""
),"")</f>
        <v/>
      </c>
      <c r="U392" s="51" t="str" cm="1">
        <f t="array" ref="U392">IFERROR(_xlfn.IFS(
S392="","",
--S392&lt;55,"Battery Defect",
--S392&lt;=69,"Battery D",
--S392&lt;=80,"Battery C",
--S392&gt;80,""
),"")</f>
        <v/>
      </c>
      <c r="V392" s="51"/>
      <c r="W392" s="51"/>
      <c r="X392" s="51"/>
      <c r="Y392" s="51"/>
      <c r="Z392" s="51"/>
      <c r="AA392" s="51"/>
      <c r="AB392" s="51"/>
      <c r="AC392" s="51"/>
      <c r="AD392" s="32" t="str">
        <f t="shared" si="18"/>
        <v/>
      </c>
      <c r="AE392" s="32"/>
      <c r="AF392" s="32"/>
      <c r="AG392" s="32"/>
      <c r="AH392" s="32"/>
      <c r="AI392" s="32"/>
      <c r="AJ392" s="32"/>
      <c r="AK392" s="32"/>
      <c r="AL392" s="32"/>
    </row>
    <row r="393" spans="1:38">
      <c r="A393" s="32" t="str">
        <f>_xlfn.TEXTJOIN("",TRUE,_xlfn.XLOOKUP(B393,Input!J:J,Input!G:G,"",0,1),_xlfn.XLOOKUP(B393,Input!J:J,Input!H:H,"",0,1))</f>
        <v/>
      </c>
      <c r="B393" s="32"/>
      <c r="C393" s="51">
        <f>_xlfn.XLOOKUP(B393,Input!J:J,Input!F:F)</f>
        <v>0</v>
      </c>
      <c r="D393" s="32">
        <f>_xlfn.XLOOKUP(C393,Models!H:H,Models!G:G,C393)</f>
        <v>0</v>
      </c>
      <c r="E393" s="32">
        <f>_xlfn.XLOOKUP(B393,Input!J:J,Input!E:E)</f>
        <v>0</v>
      </c>
      <c r="F393" s="32">
        <f>IF(E393="LENOVO",_xlfn.XLOOKUP(B393,Input!J:J,Input!K:K),_xlfn.XLOOKUP(B393,Input!J:J,Input!L:L))</f>
        <v>0</v>
      </c>
      <c r="G393" s="32"/>
      <c r="H393" s="32"/>
      <c r="I393" s="32"/>
      <c r="J393" s="51" t="e">
        <f>INDEX(Input!$D$2:$AC$500,
       MATCH(B393, Input!$J$2:$J$500, 0),
       MATCH("Total Memory", Input!$D$1:$AC$1, 0))</f>
        <v>#N/A</v>
      </c>
      <c r="K393" s="51"/>
      <c r="L393" s="51" t="str" cm="1">
        <f t="array" ref="L393">IFERROR(_xlfn.FILTERXML("&lt;t&gt;&lt;s&gt;" &amp; SUBSTITUTE(K393," / ","&lt;/s&gt;&lt;s&gt;") &amp; "&lt;/s&gt;&lt;/t&gt;","(//s[contains(.,'DDR')])[1]"),"")</f>
        <v/>
      </c>
      <c r="M393" s="32" t="e">
        <f t="shared" si="20"/>
        <v>#N/A</v>
      </c>
      <c r="N393" s="51" t="e">
        <f>INDEX(Input!$D$2:$AC$500,
       MATCH(B393, Input!$J$2:$J$500, 0),
       MATCH("Disk Interface Type", Input!$D$1:$AC$1, 0))</f>
        <v>#N/A</v>
      </c>
      <c r="O393" s="51" t="str" cm="1">
        <f t="array" ref="O393">IFERROR(_xlfn.TEXTJOIN(", ", TRUE, _xlfn._xlws.FILTER(
    INDEX(Input!$D$2:$AC$500,,MATCH("Disk Capacity",Input!$D$1:$AC$1,0)),
    Input!$J$2:$J$500=B393
)), "")</f>
        <v/>
      </c>
      <c r="P393" s="32" t="e">
        <f t="shared" si="19"/>
        <v>#N/A</v>
      </c>
      <c r="Q393" s="51" t="e">
        <f>_xlfn.LET(_xlpm.Result,INDEX(Input!$D$2:$AC$500,
       MATCH(B393, Input!$J$2:$J$500, 0),
       MATCH("Capacity", Input!$D$1:$AC$1, 0)),IF(_xlpm.Result="","",_xlpm.Result))</f>
        <v>#N/A</v>
      </c>
      <c r="R393" s="51" t="e" cm="1">
        <f t="array" ref="R393">_xlfn.TEXTSPLIT(Q393," / ", ,TRUE,0,)</f>
        <v>#N/A</v>
      </c>
      <c r="S393" s="51"/>
      <c r="T393" s="51" t="str" cm="1">
        <f t="array" ref="T393">IFERROR(_xlfn.IFS(
R393="","",
--R393&lt;55,"Battery Defect",
--R393&lt;=69,"Battery D",
--R393&lt;=80,"Battery C",
--R393&gt;80,""
),"")</f>
        <v/>
      </c>
      <c r="U393" s="51" t="str" cm="1">
        <f t="array" ref="U393">IFERROR(_xlfn.IFS(
S393="","",
--S393&lt;55,"Battery Defect",
--S393&lt;=69,"Battery D",
--S393&lt;=80,"Battery C",
--S393&gt;80,""
),"")</f>
        <v/>
      </c>
      <c r="V393" s="51"/>
      <c r="W393" s="51"/>
      <c r="X393" s="51"/>
      <c r="Y393" s="51"/>
      <c r="Z393" s="51"/>
      <c r="AA393" s="51"/>
      <c r="AB393" s="51"/>
      <c r="AC393" s="51"/>
      <c r="AD393" s="32" t="str">
        <f t="shared" si="18"/>
        <v/>
      </c>
      <c r="AE393" s="32"/>
      <c r="AF393" s="32"/>
      <c r="AG393" s="32"/>
      <c r="AH393" s="32"/>
      <c r="AI393" s="32"/>
      <c r="AJ393" s="32"/>
      <c r="AK393" s="32"/>
      <c r="AL393" s="32"/>
    </row>
    <row r="394" spans="1:38">
      <c r="A394" s="32" t="str">
        <f>_xlfn.TEXTJOIN("",TRUE,_xlfn.XLOOKUP(B394,Input!J:J,Input!G:G,"",0,1),_xlfn.XLOOKUP(B394,Input!J:J,Input!H:H,"",0,1))</f>
        <v/>
      </c>
      <c r="B394" s="32"/>
      <c r="C394" s="51">
        <f>_xlfn.XLOOKUP(B394,Input!J:J,Input!F:F)</f>
        <v>0</v>
      </c>
      <c r="D394" s="32">
        <f>_xlfn.XLOOKUP(C394,Models!H:H,Models!G:G,C394)</f>
        <v>0</v>
      </c>
      <c r="E394" s="32">
        <f>_xlfn.XLOOKUP(B394,Input!J:J,Input!E:E)</f>
        <v>0</v>
      </c>
      <c r="F394" s="32">
        <f>IF(E394="LENOVO",_xlfn.XLOOKUP(B394,Input!J:J,Input!K:K),_xlfn.XLOOKUP(B394,Input!J:J,Input!L:L))</f>
        <v>0</v>
      </c>
      <c r="G394" s="32"/>
      <c r="H394" s="32"/>
      <c r="I394" s="32"/>
      <c r="J394" s="51" t="e">
        <f>INDEX(Input!$D$2:$AC$500,
       MATCH(B394, Input!$J$2:$J$500, 0),
       MATCH("Total Memory", Input!$D$1:$AC$1, 0))</f>
        <v>#N/A</v>
      </c>
      <c r="K394" s="51"/>
      <c r="L394" s="51" t="str" cm="1">
        <f t="array" ref="L394">IFERROR(_xlfn.FILTERXML("&lt;t&gt;&lt;s&gt;" &amp; SUBSTITUTE(K394," / ","&lt;/s&gt;&lt;s&gt;") &amp; "&lt;/s&gt;&lt;/t&gt;","(//s[contains(.,'DDR')])[1]"),"")</f>
        <v/>
      </c>
      <c r="M394" s="32" t="e">
        <f t="shared" si="20"/>
        <v>#N/A</v>
      </c>
      <c r="N394" s="51" t="e">
        <f>INDEX(Input!$D$2:$AC$500,
       MATCH(B394, Input!$J$2:$J$500, 0),
       MATCH("Disk Interface Type", Input!$D$1:$AC$1, 0))</f>
        <v>#N/A</v>
      </c>
      <c r="O394" s="51" t="str" cm="1">
        <f t="array" ref="O394">IFERROR(_xlfn.TEXTJOIN(", ", TRUE, _xlfn._xlws.FILTER(
    INDEX(Input!$D$2:$AC$500,,MATCH("Disk Capacity",Input!$D$1:$AC$1,0)),
    Input!$J$2:$J$500=B394
)), "")</f>
        <v/>
      </c>
      <c r="P394" s="32" t="e">
        <f t="shared" si="19"/>
        <v>#N/A</v>
      </c>
      <c r="Q394" s="51" t="e">
        <f>_xlfn.LET(_xlpm.Result,INDEX(Input!$D$2:$AC$500,
       MATCH(B394, Input!$J$2:$J$500, 0),
       MATCH("Capacity", Input!$D$1:$AC$1, 0)),IF(_xlpm.Result="","",_xlpm.Result))</f>
        <v>#N/A</v>
      </c>
      <c r="R394" s="51" t="e" cm="1">
        <f t="array" ref="R394">_xlfn.TEXTSPLIT(Q394," / ", ,TRUE,0,)</f>
        <v>#N/A</v>
      </c>
      <c r="S394" s="51"/>
      <c r="T394" s="51" t="str" cm="1">
        <f t="array" ref="T394">IFERROR(_xlfn.IFS(
R394="","",
--R394&lt;55,"Battery Defect",
--R394&lt;=69,"Battery D",
--R394&lt;=80,"Battery C",
--R394&gt;80,""
),"")</f>
        <v/>
      </c>
      <c r="U394" s="51" t="str" cm="1">
        <f t="array" ref="U394">IFERROR(_xlfn.IFS(
S394="","",
--S394&lt;55,"Battery Defect",
--S394&lt;=69,"Battery D",
--S394&lt;=80,"Battery C",
--S394&gt;80,""
),"")</f>
        <v/>
      </c>
      <c r="V394" s="51"/>
      <c r="W394" s="51"/>
      <c r="X394" s="51"/>
      <c r="Y394" s="51"/>
      <c r="Z394" s="51"/>
      <c r="AA394" s="51"/>
      <c r="AB394" s="51"/>
      <c r="AC394" s="51"/>
      <c r="AD394" s="32" t="str">
        <f t="shared" si="18"/>
        <v/>
      </c>
      <c r="AE394" s="32"/>
      <c r="AF394" s="32"/>
      <c r="AG394" s="32"/>
      <c r="AH394" s="32"/>
      <c r="AI394" s="32"/>
      <c r="AJ394" s="32"/>
      <c r="AK394" s="32"/>
      <c r="AL394" s="32"/>
    </row>
    <row r="395" spans="1:38">
      <c r="A395" s="32" t="str">
        <f>_xlfn.TEXTJOIN("",TRUE,_xlfn.XLOOKUP(B395,Input!J:J,Input!G:G,"",0,1),_xlfn.XLOOKUP(B395,Input!J:J,Input!H:H,"",0,1))</f>
        <v/>
      </c>
      <c r="B395" s="32"/>
      <c r="C395" s="51">
        <f>_xlfn.XLOOKUP(B395,Input!J:J,Input!F:F)</f>
        <v>0</v>
      </c>
      <c r="D395" s="32">
        <f>_xlfn.XLOOKUP(C395,Models!H:H,Models!G:G,C395)</f>
        <v>0</v>
      </c>
      <c r="E395" s="32">
        <f>_xlfn.XLOOKUP(B395,Input!J:J,Input!E:E)</f>
        <v>0</v>
      </c>
      <c r="F395" s="32">
        <f>IF(E395="LENOVO",_xlfn.XLOOKUP(B395,Input!J:J,Input!K:K),_xlfn.XLOOKUP(B395,Input!J:J,Input!L:L))</f>
        <v>0</v>
      </c>
      <c r="G395" s="32"/>
      <c r="H395" s="32"/>
      <c r="I395" s="32"/>
      <c r="J395" s="51" t="e">
        <f>INDEX(Input!$D$2:$AC$500,
       MATCH(B395, Input!$J$2:$J$500, 0),
       MATCH("Total Memory", Input!$D$1:$AC$1, 0))</f>
        <v>#N/A</v>
      </c>
      <c r="K395" s="51"/>
      <c r="L395" s="51" t="str" cm="1">
        <f t="array" ref="L395">IFERROR(_xlfn.FILTERXML("&lt;t&gt;&lt;s&gt;" &amp; SUBSTITUTE(K395," / ","&lt;/s&gt;&lt;s&gt;") &amp; "&lt;/s&gt;&lt;/t&gt;","(//s[contains(.,'DDR')])[1]"),"")</f>
        <v/>
      </c>
      <c r="M395" s="32" t="e">
        <f t="shared" si="20"/>
        <v>#N/A</v>
      </c>
      <c r="N395" s="51" t="e">
        <f>INDEX(Input!$D$2:$AC$500,
       MATCH(B395, Input!$J$2:$J$500, 0),
       MATCH("Disk Interface Type", Input!$D$1:$AC$1, 0))</f>
        <v>#N/A</v>
      </c>
      <c r="O395" s="51" t="str" cm="1">
        <f t="array" ref="O395">IFERROR(_xlfn.TEXTJOIN(", ", TRUE, _xlfn._xlws.FILTER(
    INDEX(Input!$D$2:$AC$500,,MATCH("Disk Capacity",Input!$D$1:$AC$1,0)),
    Input!$J$2:$J$500=B395
)), "")</f>
        <v/>
      </c>
      <c r="P395" s="32" t="e">
        <f t="shared" si="19"/>
        <v>#N/A</v>
      </c>
      <c r="Q395" s="51" t="e">
        <f>_xlfn.LET(_xlpm.Result,INDEX(Input!$D$2:$AC$500,
       MATCH(B395, Input!$J$2:$J$500, 0),
       MATCH("Capacity", Input!$D$1:$AC$1, 0)),IF(_xlpm.Result="","",_xlpm.Result))</f>
        <v>#N/A</v>
      </c>
      <c r="R395" s="51" t="e" cm="1">
        <f t="array" ref="R395">_xlfn.TEXTSPLIT(Q395," / ", ,TRUE,0,)</f>
        <v>#N/A</v>
      </c>
      <c r="S395" s="51"/>
      <c r="T395" s="51" t="str" cm="1">
        <f t="array" ref="T395">IFERROR(_xlfn.IFS(
R395="","",
--R395&lt;55,"Battery Defect",
--R395&lt;=69,"Battery D",
--R395&lt;=80,"Battery C",
--R395&gt;80,""
),"")</f>
        <v/>
      </c>
      <c r="U395" s="51" t="str" cm="1">
        <f t="array" ref="U395">IFERROR(_xlfn.IFS(
S395="","",
--S395&lt;55,"Battery Defect",
--S395&lt;=69,"Battery D",
--S395&lt;=80,"Battery C",
--S395&gt;80,""
),"")</f>
        <v/>
      </c>
      <c r="V395" s="51"/>
      <c r="W395" s="51"/>
      <c r="X395" s="51"/>
      <c r="Y395" s="51"/>
      <c r="Z395" s="51"/>
      <c r="AA395" s="51"/>
      <c r="AB395" s="51"/>
      <c r="AC395" s="51"/>
      <c r="AD395" s="32" t="str">
        <f t="shared" si="18"/>
        <v/>
      </c>
      <c r="AE395" s="32"/>
      <c r="AF395" s="32"/>
      <c r="AG395" s="32"/>
      <c r="AH395" s="32"/>
      <c r="AI395" s="32"/>
      <c r="AJ395" s="32"/>
      <c r="AK395" s="32"/>
      <c r="AL395" s="32"/>
    </row>
    <row r="396" spans="1:38">
      <c r="A396" s="32" t="str">
        <f>_xlfn.TEXTJOIN("",TRUE,_xlfn.XLOOKUP(B396,Input!J:J,Input!G:G,"",0,1),_xlfn.XLOOKUP(B396,Input!J:J,Input!H:H,"",0,1))</f>
        <v/>
      </c>
      <c r="B396" s="32"/>
      <c r="C396" s="51">
        <f>_xlfn.XLOOKUP(B396,Input!J:J,Input!F:F)</f>
        <v>0</v>
      </c>
      <c r="D396" s="32">
        <f>_xlfn.XLOOKUP(C396,Models!H:H,Models!G:G,C396)</f>
        <v>0</v>
      </c>
      <c r="E396" s="32">
        <f>_xlfn.XLOOKUP(B396,Input!J:J,Input!E:E)</f>
        <v>0</v>
      </c>
      <c r="F396" s="32">
        <f>IF(E396="LENOVO",_xlfn.XLOOKUP(B396,Input!J:J,Input!K:K),_xlfn.XLOOKUP(B396,Input!J:J,Input!L:L))</f>
        <v>0</v>
      </c>
      <c r="G396" s="32"/>
      <c r="H396" s="32"/>
      <c r="I396" s="32"/>
      <c r="J396" s="51" t="e">
        <f>INDEX(Input!$D$2:$AC$500,
       MATCH(B396, Input!$J$2:$J$500, 0),
       MATCH("Total Memory", Input!$D$1:$AC$1, 0))</f>
        <v>#N/A</v>
      </c>
      <c r="K396" s="51"/>
      <c r="L396" s="51" t="str" cm="1">
        <f t="array" ref="L396">IFERROR(_xlfn.FILTERXML("&lt;t&gt;&lt;s&gt;" &amp; SUBSTITUTE(K396," / ","&lt;/s&gt;&lt;s&gt;") &amp; "&lt;/s&gt;&lt;/t&gt;","(//s[contains(.,'DDR')])[1]"),"")</f>
        <v/>
      </c>
      <c r="M396" s="32" t="e">
        <f t="shared" si="20"/>
        <v>#N/A</v>
      </c>
      <c r="N396" s="51" t="e">
        <f>INDEX(Input!$D$2:$AC$500,
       MATCH(B396, Input!$J$2:$J$500, 0),
       MATCH("Disk Interface Type", Input!$D$1:$AC$1, 0))</f>
        <v>#N/A</v>
      </c>
      <c r="O396" s="51" t="str" cm="1">
        <f t="array" ref="O396">IFERROR(_xlfn.TEXTJOIN(", ", TRUE, _xlfn._xlws.FILTER(
    INDEX(Input!$D$2:$AC$500,,MATCH("Disk Capacity",Input!$D$1:$AC$1,0)),
    Input!$J$2:$J$500=B396
)), "")</f>
        <v/>
      </c>
      <c r="P396" s="32" t="e">
        <f t="shared" si="19"/>
        <v>#N/A</v>
      </c>
      <c r="Q396" s="51" t="e">
        <f>_xlfn.LET(_xlpm.Result,INDEX(Input!$D$2:$AC$500,
       MATCH(B396, Input!$J$2:$J$500, 0),
       MATCH("Capacity", Input!$D$1:$AC$1, 0)),IF(_xlpm.Result="","",_xlpm.Result))</f>
        <v>#N/A</v>
      </c>
      <c r="R396" s="51" t="e" cm="1">
        <f t="array" ref="R396">_xlfn.TEXTSPLIT(Q396," / ", ,TRUE,0,)</f>
        <v>#N/A</v>
      </c>
      <c r="S396" s="51"/>
      <c r="T396" s="51" t="str" cm="1">
        <f t="array" ref="T396">IFERROR(_xlfn.IFS(
R396="","",
--R396&lt;55,"Battery Defect",
--R396&lt;=69,"Battery D",
--R396&lt;=80,"Battery C",
--R396&gt;80,""
),"")</f>
        <v/>
      </c>
      <c r="U396" s="51" t="str" cm="1">
        <f t="array" ref="U396">IFERROR(_xlfn.IFS(
S396="","",
--S396&lt;55,"Battery Defect",
--S396&lt;=69,"Battery D",
--S396&lt;=80,"Battery C",
--S396&gt;80,""
),"")</f>
        <v/>
      </c>
      <c r="V396" s="51"/>
      <c r="W396" s="51"/>
      <c r="X396" s="51"/>
      <c r="Y396" s="51"/>
      <c r="Z396" s="51"/>
      <c r="AA396" s="51"/>
      <c r="AB396" s="51"/>
      <c r="AC396" s="51"/>
      <c r="AD396" s="32" t="str">
        <f t="shared" si="18"/>
        <v/>
      </c>
      <c r="AE396" s="32"/>
      <c r="AF396" s="32"/>
      <c r="AG396" s="32"/>
      <c r="AH396" s="32"/>
      <c r="AI396" s="32"/>
      <c r="AJ396" s="32"/>
      <c r="AK396" s="32"/>
      <c r="AL396" s="32"/>
    </row>
    <row r="397" spans="1:38">
      <c r="A397" s="32" t="str">
        <f>_xlfn.TEXTJOIN("",TRUE,_xlfn.XLOOKUP(B397,Input!J:J,Input!G:G,"",0,1),_xlfn.XLOOKUP(B397,Input!J:J,Input!H:H,"",0,1))</f>
        <v/>
      </c>
      <c r="B397" s="32"/>
      <c r="C397" s="51">
        <f>_xlfn.XLOOKUP(B397,Input!J:J,Input!F:F)</f>
        <v>0</v>
      </c>
      <c r="D397" s="32">
        <f>_xlfn.XLOOKUP(C397,Models!H:H,Models!G:G,C397)</f>
        <v>0</v>
      </c>
      <c r="E397" s="32">
        <f>_xlfn.XLOOKUP(B397,Input!J:J,Input!E:E)</f>
        <v>0</v>
      </c>
      <c r="F397" s="32">
        <f>IF(E397="LENOVO",_xlfn.XLOOKUP(B397,Input!J:J,Input!K:K),_xlfn.XLOOKUP(B397,Input!J:J,Input!L:L))</f>
        <v>0</v>
      </c>
      <c r="G397" s="32"/>
      <c r="H397" s="32"/>
      <c r="I397" s="32"/>
      <c r="J397" s="51" t="e">
        <f>INDEX(Input!$D$2:$AC$500,
       MATCH(B397, Input!$J$2:$J$500, 0),
       MATCH("Total Memory", Input!$D$1:$AC$1, 0))</f>
        <v>#N/A</v>
      </c>
      <c r="K397" s="51"/>
      <c r="L397" s="51" t="str" cm="1">
        <f t="array" ref="L397">IFERROR(_xlfn.FILTERXML("&lt;t&gt;&lt;s&gt;" &amp; SUBSTITUTE(K397," / ","&lt;/s&gt;&lt;s&gt;") &amp; "&lt;/s&gt;&lt;/t&gt;","(//s[contains(.,'DDR')])[1]"),"")</f>
        <v/>
      </c>
      <c r="M397" s="32" t="e">
        <f t="shared" si="20"/>
        <v>#N/A</v>
      </c>
      <c r="N397" s="51" t="e">
        <f>INDEX(Input!$D$2:$AC$500,
       MATCH(B397, Input!$J$2:$J$500, 0),
       MATCH("Disk Interface Type", Input!$D$1:$AC$1, 0))</f>
        <v>#N/A</v>
      </c>
      <c r="O397" s="51" t="str" cm="1">
        <f t="array" ref="O397">IFERROR(_xlfn.TEXTJOIN(", ", TRUE, _xlfn._xlws.FILTER(
    INDEX(Input!$D$2:$AC$500,,MATCH("Disk Capacity",Input!$D$1:$AC$1,0)),
    Input!$J$2:$J$500=B397
)), "")</f>
        <v/>
      </c>
      <c r="P397" s="32" t="e">
        <f t="shared" si="19"/>
        <v>#N/A</v>
      </c>
      <c r="Q397" s="51" t="e">
        <f>_xlfn.LET(_xlpm.Result,INDEX(Input!$D$2:$AC$500,
       MATCH(B397, Input!$J$2:$J$500, 0),
       MATCH("Capacity", Input!$D$1:$AC$1, 0)),IF(_xlpm.Result="","",_xlpm.Result))</f>
        <v>#N/A</v>
      </c>
      <c r="R397" s="51" t="e" cm="1">
        <f t="array" ref="R397">_xlfn.TEXTSPLIT(Q397," / ", ,TRUE,0,)</f>
        <v>#N/A</v>
      </c>
      <c r="S397" s="51"/>
      <c r="T397" s="51" t="str" cm="1">
        <f t="array" ref="T397">IFERROR(_xlfn.IFS(
R397="","",
--R397&lt;55,"Battery Defect",
--R397&lt;=69,"Battery D",
--R397&lt;=80,"Battery C",
--R397&gt;80,""
),"")</f>
        <v/>
      </c>
      <c r="U397" s="51" t="str" cm="1">
        <f t="array" ref="U397">IFERROR(_xlfn.IFS(
S397="","",
--S397&lt;55,"Battery Defect",
--S397&lt;=69,"Battery D",
--S397&lt;=80,"Battery C",
--S397&gt;80,""
),"")</f>
        <v/>
      </c>
      <c r="V397" s="51"/>
      <c r="W397" s="51"/>
      <c r="X397" s="51"/>
      <c r="Y397" s="51"/>
      <c r="Z397" s="51"/>
      <c r="AA397" s="51"/>
      <c r="AB397" s="51"/>
      <c r="AC397" s="51"/>
      <c r="AD397" s="32" t="str">
        <f t="shared" si="18"/>
        <v/>
      </c>
      <c r="AE397" s="32"/>
      <c r="AF397" s="32"/>
      <c r="AG397" s="32"/>
      <c r="AH397" s="32"/>
      <c r="AI397" s="32"/>
      <c r="AJ397" s="32"/>
      <c r="AK397" s="32"/>
      <c r="AL397" s="32"/>
    </row>
    <row r="398" spans="1:38">
      <c r="A398" s="32" t="str">
        <f>_xlfn.TEXTJOIN("",TRUE,_xlfn.XLOOKUP(B398,Input!J:J,Input!G:G,"",0,1),_xlfn.XLOOKUP(B398,Input!J:J,Input!H:H,"",0,1))</f>
        <v/>
      </c>
      <c r="B398" s="32"/>
      <c r="C398" s="51">
        <f>_xlfn.XLOOKUP(B398,Input!J:J,Input!F:F)</f>
        <v>0</v>
      </c>
      <c r="D398" s="32">
        <f>_xlfn.XLOOKUP(C398,Models!H:H,Models!G:G,C398)</f>
        <v>0</v>
      </c>
      <c r="E398" s="32">
        <f>_xlfn.XLOOKUP(B398,Input!J:J,Input!E:E)</f>
        <v>0</v>
      </c>
      <c r="F398" s="32">
        <f>IF(E398="LENOVO",_xlfn.XLOOKUP(B398,Input!J:J,Input!K:K),_xlfn.XLOOKUP(B398,Input!J:J,Input!L:L))</f>
        <v>0</v>
      </c>
      <c r="G398" s="32"/>
      <c r="H398" s="32"/>
      <c r="I398" s="32"/>
      <c r="J398" s="51" t="e">
        <f>INDEX(Input!$D$2:$AC$500,
       MATCH(B398, Input!$J$2:$J$500, 0),
       MATCH("Total Memory", Input!$D$1:$AC$1, 0))</f>
        <v>#N/A</v>
      </c>
      <c r="K398" s="51"/>
      <c r="L398" s="51" t="str" cm="1">
        <f t="array" ref="L398">IFERROR(_xlfn.FILTERXML("&lt;t&gt;&lt;s&gt;" &amp; SUBSTITUTE(K398," / ","&lt;/s&gt;&lt;s&gt;") &amp; "&lt;/s&gt;&lt;/t&gt;","(//s[contains(.,'DDR')])[1]"),"")</f>
        <v/>
      </c>
      <c r="M398" s="32" t="e">
        <f t="shared" si="20"/>
        <v>#N/A</v>
      </c>
      <c r="N398" s="51" t="e">
        <f>INDEX(Input!$D$2:$AC$500,
       MATCH(B398, Input!$J$2:$J$500, 0),
       MATCH("Disk Interface Type", Input!$D$1:$AC$1, 0))</f>
        <v>#N/A</v>
      </c>
      <c r="O398" s="51" t="str" cm="1">
        <f t="array" ref="O398">IFERROR(_xlfn.TEXTJOIN(", ", TRUE, _xlfn._xlws.FILTER(
    INDEX(Input!$D$2:$AC$500,,MATCH("Disk Capacity",Input!$D$1:$AC$1,0)),
    Input!$J$2:$J$500=B398
)), "")</f>
        <v/>
      </c>
      <c r="P398" s="32" t="e">
        <f t="shared" si="19"/>
        <v>#N/A</v>
      </c>
      <c r="Q398" s="51" t="e">
        <f>_xlfn.LET(_xlpm.Result,INDEX(Input!$D$2:$AC$500,
       MATCH(B398, Input!$J$2:$J$500, 0),
       MATCH("Capacity", Input!$D$1:$AC$1, 0)),IF(_xlpm.Result="","",_xlpm.Result))</f>
        <v>#N/A</v>
      </c>
      <c r="R398" s="51" t="e" cm="1">
        <f t="array" ref="R398">_xlfn.TEXTSPLIT(Q398," / ", ,TRUE,0,)</f>
        <v>#N/A</v>
      </c>
      <c r="S398" s="51"/>
      <c r="T398" s="51" t="str" cm="1">
        <f t="array" ref="T398">IFERROR(_xlfn.IFS(
R398="","",
--R398&lt;55,"Battery Defect",
--R398&lt;=69,"Battery D",
--R398&lt;=80,"Battery C",
--R398&gt;80,""
),"")</f>
        <v/>
      </c>
      <c r="U398" s="51" t="str" cm="1">
        <f t="array" ref="U398">IFERROR(_xlfn.IFS(
S398="","",
--S398&lt;55,"Battery Defect",
--S398&lt;=69,"Battery D",
--S398&lt;=80,"Battery C",
--S398&gt;80,""
),"")</f>
        <v/>
      </c>
      <c r="V398" s="51"/>
      <c r="W398" s="51"/>
      <c r="X398" s="51"/>
      <c r="Y398" s="51"/>
      <c r="Z398" s="51"/>
      <c r="AA398" s="51"/>
      <c r="AB398" s="51"/>
      <c r="AC398" s="51"/>
      <c r="AD398" s="32" t="str">
        <f t="shared" si="18"/>
        <v/>
      </c>
      <c r="AE398" s="32"/>
      <c r="AF398" s="32"/>
      <c r="AG398" s="32"/>
      <c r="AH398" s="32"/>
      <c r="AI398" s="32"/>
      <c r="AJ398" s="32"/>
      <c r="AK398" s="32"/>
      <c r="AL398" s="32"/>
    </row>
    <row r="399" spans="1:38">
      <c r="A399" s="32" t="str">
        <f>_xlfn.TEXTJOIN("",TRUE,_xlfn.XLOOKUP(B399,Input!J:J,Input!G:G,"",0,1),_xlfn.XLOOKUP(B399,Input!J:J,Input!H:H,"",0,1))</f>
        <v/>
      </c>
      <c r="B399" s="32"/>
      <c r="C399" s="51">
        <f>_xlfn.XLOOKUP(B399,Input!J:J,Input!F:F)</f>
        <v>0</v>
      </c>
      <c r="D399" s="32">
        <f>_xlfn.XLOOKUP(C399,Models!H:H,Models!G:G,C399)</f>
        <v>0</v>
      </c>
      <c r="E399" s="32">
        <f>_xlfn.XLOOKUP(B399,Input!J:J,Input!E:E)</f>
        <v>0</v>
      </c>
      <c r="F399" s="32">
        <f>IF(E399="LENOVO",_xlfn.XLOOKUP(B399,Input!J:J,Input!K:K),_xlfn.XLOOKUP(B399,Input!J:J,Input!L:L))</f>
        <v>0</v>
      </c>
      <c r="G399" s="32"/>
      <c r="H399" s="32"/>
      <c r="I399" s="32"/>
      <c r="J399" s="51" t="e">
        <f>INDEX(Input!$D$2:$AC$500,
       MATCH(B399, Input!$J$2:$J$500, 0),
       MATCH("Total Memory", Input!$D$1:$AC$1, 0))</f>
        <v>#N/A</v>
      </c>
      <c r="K399" s="51"/>
      <c r="L399" s="51" t="str" cm="1">
        <f t="array" ref="L399">IFERROR(_xlfn.FILTERXML("&lt;t&gt;&lt;s&gt;" &amp; SUBSTITUTE(K399," / ","&lt;/s&gt;&lt;s&gt;") &amp; "&lt;/s&gt;&lt;/t&gt;","(//s[contains(.,'DDR')])[1]"),"")</f>
        <v/>
      </c>
      <c r="M399" s="32" t="e">
        <f t="shared" si="20"/>
        <v>#N/A</v>
      </c>
      <c r="N399" s="51" t="e">
        <f>INDEX(Input!$D$2:$AC$500,
       MATCH(B399, Input!$J$2:$J$500, 0),
       MATCH("Disk Interface Type", Input!$D$1:$AC$1, 0))</f>
        <v>#N/A</v>
      </c>
      <c r="O399" s="51" t="str" cm="1">
        <f t="array" ref="O399">IFERROR(_xlfn.TEXTJOIN(", ", TRUE, _xlfn._xlws.FILTER(
    INDEX(Input!$D$2:$AC$500,,MATCH("Disk Capacity",Input!$D$1:$AC$1,0)),
    Input!$J$2:$J$500=B399
)), "")</f>
        <v/>
      </c>
      <c r="P399" s="32" t="e">
        <f t="shared" si="19"/>
        <v>#N/A</v>
      </c>
      <c r="Q399" s="51" t="e">
        <f>_xlfn.LET(_xlpm.Result,INDEX(Input!$D$2:$AC$500,
       MATCH(B399, Input!$J$2:$J$500, 0),
       MATCH("Capacity", Input!$D$1:$AC$1, 0)),IF(_xlpm.Result="","",_xlpm.Result))</f>
        <v>#N/A</v>
      </c>
      <c r="R399" s="51" t="e" cm="1">
        <f t="array" ref="R399">_xlfn.TEXTSPLIT(Q399," / ", ,TRUE,0,)</f>
        <v>#N/A</v>
      </c>
      <c r="S399" s="51"/>
      <c r="T399" s="51" t="str" cm="1">
        <f t="array" ref="T399">IFERROR(_xlfn.IFS(
R399="","",
--R399&lt;55,"Battery Defect",
--R399&lt;=69,"Battery D",
--R399&lt;=80,"Battery C",
--R399&gt;80,""
),"")</f>
        <v/>
      </c>
      <c r="U399" s="51" t="str" cm="1">
        <f t="array" ref="U399">IFERROR(_xlfn.IFS(
S399="","",
--S399&lt;55,"Battery Defect",
--S399&lt;=69,"Battery D",
--S399&lt;=80,"Battery C",
--S399&gt;80,""
),"")</f>
        <v/>
      </c>
      <c r="V399" s="51"/>
      <c r="W399" s="51"/>
      <c r="X399" s="51"/>
      <c r="Y399" s="51"/>
      <c r="Z399" s="51"/>
      <c r="AA399" s="51"/>
      <c r="AB399" s="51"/>
      <c r="AC399" s="51"/>
      <c r="AD399" s="32" t="str">
        <f t="shared" si="18"/>
        <v/>
      </c>
      <c r="AE399" s="32"/>
      <c r="AF399" s="32"/>
      <c r="AG399" s="32"/>
      <c r="AH399" s="32"/>
      <c r="AI399" s="32"/>
      <c r="AJ399" s="32"/>
      <c r="AK399" s="32"/>
      <c r="AL399" s="32"/>
    </row>
    <row r="400" spans="1:38">
      <c r="A400" s="32" t="str">
        <f>_xlfn.TEXTJOIN("",TRUE,_xlfn.XLOOKUP(B400,Input!J:J,Input!G:G,"",0,1),_xlfn.XLOOKUP(B400,Input!J:J,Input!H:H,"",0,1))</f>
        <v/>
      </c>
      <c r="B400" s="32"/>
      <c r="C400" s="51">
        <f>_xlfn.XLOOKUP(B400,Input!J:J,Input!F:F)</f>
        <v>0</v>
      </c>
      <c r="D400" s="32">
        <f>_xlfn.XLOOKUP(C400,Models!H:H,Models!G:G,C400)</f>
        <v>0</v>
      </c>
      <c r="E400" s="32">
        <f>_xlfn.XLOOKUP(B400,Input!J:J,Input!E:E)</f>
        <v>0</v>
      </c>
      <c r="F400" s="32">
        <f>IF(E400="LENOVO",_xlfn.XLOOKUP(B400,Input!J:J,Input!K:K),_xlfn.XLOOKUP(B400,Input!J:J,Input!L:L))</f>
        <v>0</v>
      </c>
      <c r="G400" s="32"/>
      <c r="H400" s="32"/>
      <c r="I400" s="32"/>
      <c r="J400" s="51" t="e">
        <f>INDEX(Input!$D$2:$AC$500,
       MATCH(B400, Input!$J$2:$J$500, 0),
       MATCH("Total Memory", Input!$D$1:$AC$1, 0))</f>
        <v>#N/A</v>
      </c>
      <c r="K400" s="51"/>
      <c r="L400" s="51" t="str" cm="1">
        <f t="array" ref="L400">IFERROR(_xlfn.FILTERXML("&lt;t&gt;&lt;s&gt;" &amp; SUBSTITUTE(K400," / ","&lt;/s&gt;&lt;s&gt;") &amp; "&lt;/s&gt;&lt;/t&gt;","(//s[contains(.,'DDR')])[1]"),"")</f>
        <v/>
      </c>
      <c r="M400" s="32" t="e">
        <f t="shared" si="20"/>
        <v>#N/A</v>
      </c>
      <c r="N400" s="51" t="e">
        <f>INDEX(Input!$D$2:$AC$500,
       MATCH(B400, Input!$J$2:$J$500, 0),
       MATCH("Disk Interface Type", Input!$D$1:$AC$1, 0))</f>
        <v>#N/A</v>
      </c>
      <c r="O400" s="51" t="str" cm="1">
        <f t="array" ref="O400">IFERROR(_xlfn.TEXTJOIN(", ", TRUE, _xlfn._xlws.FILTER(
    INDEX(Input!$D$2:$AC$500,,MATCH("Disk Capacity",Input!$D$1:$AC$1,0)),
    Input!$J$2:$J$500=B400
)), "")</f>
        <v/>
      </c>
      <c r="P400" s="32" t="e">
        <f t="shared" si="19"/>
        <v>#N/A</v>
      </c>
      <c r="Q400" s="51" t="e">
        <f>_xlfn.LET(_xlpm.Result,INDEX(Input!$D$2:$AC$500,
       MATCH(B400, Input!$J$2:$J$500, 0),
       MATCH("Capacity", Input!$D$1:$AC$1, 0)),IF(_xlpm.Result="","",_xlpm.Result))</f>
        <v>#N/A</v>
      </c>
      <c r="R400" s="51" t="e" cm="1">
        <f t="array" ref="R400">_xlfn.TEXTSPLIT(Q400," / ", ,TRUE,0,)</f>
        <v>#N/A</v>
      </c>
      <c r="S400" s="51"/>
      <c r="T400" s="51" t="str" cm="1">
        <f t="array" ref="T400">IFERROR(_xlfn.IFS(
R400="","",
--R400&lt;55,"Battery Defect",
--R400&lt;=69,"Battery D",
--R400&lt;=80,"Battery C",
--R400&gt;80,""
),"")</f>
        <v/>
      </c>
      <c r="U400" s="51" t="str" cm="1">
        <f t="array" ref="U400">IFERROR(_xlfn.IFS(
S400="","",
--S400&lt;55,"Battery Defect",
--S400&lt;=69,"Battery D",
--S400&lt;=80,"Battery C",
--S400&gt;80,""
),"")</f>
        <v/>
      </c>
      <c r="V400" s="51"/>
      <c r="W400" s="51"/>
      <c r="X400" s="51"/>
      <c r="Y400" s="51"/>
      <c r="Z400" s="51"/>
      <c r="AA400" s="51"/>
      <c r="AB400" s="51"/>
      <c r="AC400" s="51"/>
      <c r="AD400" s="32" t="str">
        <f t="shared" si="18"/>
        <v/>
      </c>
      <c r="AE400" s="32"/>
      <c r="AF400" s="32"/>
      <c r="AG400" s="32"/>
      <c r="AH400" s="32"/>
      <c r="AI400" s="32"/>
      <c r="AJ400" s="32"/>
      <c r="AK400" s="32"/>
      <c r="AL400" s="32"/>
    </row>
    <row r="401" spans="1:38">
      <c r="A401" s="32" t="str">
        <f>_xlfn.TEXTJOIN("",TRUE,_xlfn.XLOOKUP(B401,Input!J:J,Input!G:G,"",0,1),_xlfn.XLOOKUP(B401,Input!J:J,Input!H:H,"",0,1))</f>
        <v/>
      </c>
      <c r="B401" s="32"/>
      <c r="C401" s="51">
        <f>_xlfn.XLOOKUP(B401,Input!J:J,Input!F:F)</f>
        <v>0</v>
      </c>
      <c r="D401" s="32">
        <f>_xlfn.XLOOKUP(C401,Models!H:H,Models!G:G,C401)</f>
        <v>0</v>
      </c>
      <c r="E401" s="32">
        <f>_xlfn.XLOOKUP(B401,Input!J:J,Input!E:E)</f>
        <v>0</v>
      </c>
      <c r="F401" s="32">
        <f>IF(E401="LENOVO",_xlfn.XLOOKUP(B401,Input!J:J,Input!K:K),_xlfn.XLOOKUP(B401,Input!J:J,Input!L:L))</f>
        <v>0</v>
      </c>
      <c r="G401" s="32"/>
      <c r="H401" s="32"/>
      <c r="I401" s="32"/>
      <c r="J401" s="51" t="e">
        <f>INDEX(Input!$D$2:$AC$500,
       MATCH(B401, Input!$J$2:$J$500, 0),
       MATCH("Total Memory", Input!$D$1:$AC$1, 0))</f>
        <v>#N/A</v>
      </c>
      <c r="K401" s="51"/>
      <c r="L401" s="51" t="str" cm="1">
        <f t="array" ref="L401">IFERROR(_xlfn.FILTERXML("&lt;t&gt;&lt;s&gt;" &amp; SUBSTITUTE(K401," / ","&lt;/s&gt;&lt;s&gt;") &amp; "&lt;/s&gt;&lt;/t&gt;","(//s[contains(.,'DDR')])[1]"),"")</f>
        <v/>
      </c>
      <c r="M401" s="32" t="e">
        <f t="shared" si="20"/>
        <v>#N/A</v>
      </c>
      <c r="N401" s="51" t="e">
        <f>INDEX(Input!$D$2:$AC$500,
       MATCH(B401, Input!$J$2:$J$500, 0),
       MATCH("Disk Interface Type", Input!$D$1:$AC$1, 0))</f>
        <v>#N/A</v>
      </c>
      <c r="O401" s="51" t="str" cm="1">
        <f t="array" ref="O401">IFERROR(_xlfn.TEXTJOIN(", ", TRUE, _xlfn._xlws.FILTER(
    INDEX(Input!$D$2:$AC$500,,MATCH("Disk Capacity",Input!$D$1:$AC$1,0)),
    Input!$J$2:$J$500=B401
)), "")</f>
        <v/>
      </c>
      <c r="P401" s="32" t="e">
        <f t="shared" si="19"/>
        <v>#N/A</v>
      </c>
      <c r="Q401" s="51" t="e">
        <f>_xlfn.LET(_xlpm.Result,INDEX(Input!$D$2:$AC$500,
       MATCH(B401, Input!$J$2:$J$500, 0),
       MATCH("Capacity", Input!$D$1:$AC$1, 0)),IF(_xlpm.Result="","",_xlpm.Result))</f>
        <v>#N/A</v>
      </c>
      <c r="R401" s="51" t="e" cm="1">
        <f t="array" ref="R401">_xlfn.TEXTSPLIT(Q401," / ", ,TRUE,0,)</f>
        <v>#N/A</v>
      </c>
      <c r="S401" s="51"/>
      <c r="T401" s="51" t="str" cm="1">
        <f t="array" ref="T401">IFERROR(_xlfn.IFS(
R401="","",
--R401&lt;55,"Battery Defect",
--R401&lt;=69,"Battery D",
--R401&lt;=80,"Battery C",
--R401&gt;80,""
),"")</f>
        <v/>
      </c>
      <c r="U401" s="51" t="str" cm="1">
        <f t="array" ref="U401">IFERROR(_xlfn.IFS(
S401="","",
--S401&lt;55,"Battery Defect",
--S401&lt;=69,"Battery D",
--S401&lt;=80,"Battery C",
--S401&gt;80,""
),"")</f>
        <v/>
      </c>
      <c r="V401" s="51"/>
      <c r="W401" s="51"/>
      <c r="X401" s="51"/>
      <c r="Y401" s="51"/>
      <c r="Z401" s="51"/>
      <c r="AA401" s="51"/>
      <c r="AB401" s="51"/>
      <c r="AC401" s="51"/>
      <c r="AD401" s="32" t="str">
        <f t="shared" si="18"/>
        <v/>
      </c>
      <c r="AE401" s="32"/>
      <c r="AF401" s="32"/>
      <c r="AG401" s="32"/>
      <c r="AH401" s="32"/>
      <c r="AI401" s="32"/>
      <c r="AJ401" s="32"/>
      <c r="AK401" s="32"/>
      <c r="AL401" s="32"/>
    </row>
    <row r="402" spans="1:38">
      <c r="A402" s="32" t="str">
        <f>_xlfn.TEXTJOIN("",TRUE,_xlfn.XLOOKUP(B402,Input!J:J,Input!G:G,"",0,1),_xlfn.XLOOKUP(B402,Input!J:J,Input!H:H,"",0,1))</f>
        <v/>
      </c>
      <c r="B402" s="32"/>
      <c r="C402" s="51">
        <f>_xlfn.XLOOKUP(B402,Input!J:J,Input!F:F)</f>
        <v>0</v>
      </c>
      <c r="D402" s="32">
        <f>_xlfn.XLOOKUP(C402,Models!H:H,Models!G:G,C402)</f>
        <v>0</v>
      </c>
      <c r="E402" s="32">
        <f>_xlfn.XLOOKUP(B402,Input!J:J,Input!E:E)</f>
        <v>0</v>
      </c>
      <c r="F402" s="32">
        <f>IF(E402="LENOVO",_xlfn.XLOOKUP(B402,Input!J:J,Input!K:K),_xlfn.XLOOKUP(B402,Input!J:J,Input!L:L))</f>
        <v>0</v>
      </c>
      <c r="G402" s="32"/>
      <c r="H402" s="32"/>
      <c r="I402" s="32"/>
      <c r="J402" s="51" t="e">
        <f>INDEX(Input!$D$2:$AC$500,
       MATCH(B402, Input!$J$2:$J$500, 0),
       MATCH("Total Memory", Input!$D$1:$AC$1, 0))</f>
        <v>#N/A</v>
      </c>
      <c r="K402" s="51"/>
      <c r="L402" s="51" t="str" cm="1">
        <f t="array" ref="L402">IFERROR(_xlfn.FILTERXML("&lt;t&gt;&lt;s&gt;" &amp; SUBSTITUTE(K402," / ","&lt;/s&gt;&lt;s&gt;") &amp; "&lt;/s&gt;&lt;/t&gt;","(//s[contains(.,'DDR')])[1]"),"")</f>
        <v/>
      </c>
      <c r="M402" s="32" t="e">
        <f t="shared" si="20"/>
        <v>#N/A</v>
      </c>
      <c r="N402" s="51" t="e">
        <f>INDEX(Input!$D$2:$AC$500,
       MATCH(B402, Input!$J$2:$J$500, 0),
       MATCH("Disk Interface Type", Input!$D$1:$AC$1, 0))</f>
        <v>#N/A</v>
      </c>
      <c r="O402" s="51" t="str" cm="1">
        <f t="array" ref="O402">IFERROR(_xlfn.TEXTJOIN(", ", TRUE, _xlfn._xlws.FILTER(
    INDEX(Input!$D$2:$AC$500,,MATCH("Disk Capacity",Input!$D$1:$AC$1,0)),
    Input!$J$2:$J$500=B402
)), "")</f>
        <v/>
      </c>
      <c r="P402" s="32" t="e">
        <f t="shared" si="19"/>
        <v>#N/A</v>
      </c>
      <c r="Q402" s="51" t="e">
        <f>_xlfn.LET(_xlpm.Result,INDEX(Input!$D$2:$AC$500,
       MATCH(B402, Input!$J$2:$J$500, 0),
       MATCH("Capacity", Input!$D$1:$AC$1, 0)),IF(_xlpm.Result="","",_xlpm.Result))</f>
        <v>#N/A</v>
      </c>
      <c r="R402" s="51" t="e" cm="1">
        <f t="array" ref="R402">_xlfn.TEXTSPLIT(Q402," / ", ,TRUE,0,)</f>
        <v>#N/A</v>
      </c>
      <c r="S402" s="51"/>
      <c r="T402" s="51" t="str" cm="1">
        <f t="array" ref="T402">IFERROR(_xlfn.IFS(
R402="","",
--R402&lt;55,"Battery Defect",
--R402&lt;=69,"Battery D",
--R402&lt;=80,"Battery C",
--R402&gt;80,""
),"")</f>
        <v/>
      </c>
      <c r="U402" s="51" t="str" cm="1">
        <f t="array" ref="U402">IFERROR(_xlfn.IFS(
S402="","",
--S402&lt;55,"Battery Defect",
--S402&lt;=69,"Battery D",
--S402&lt;=80,"Battery C",
--S402&gt;80,""
),"")</f>
        <v/>
      </c>
      <c r="V402" s="51"/>
      <c r="W402" s="51"/>
      <c r="X402" s="51"/>
      <c r="Y402" s="51"/>
      <c r="Z402" s="51"/>
      <c r="AA402" s="51"/>
      <c r="AB402" s="51"/>
      <c r="AC402" s="51"/>
      <c r="AD402" s="32" t="str">
        <f t="shared" si="18"/>
        <v/>
      </c>
      <c r="AE402" s="32"/>
      <c r="AF402" s="32"/>
      <c r="AG402" s="32"/>
      <c r="AH402" s="32"/>
      <c r="AI402" s="32"/>
      <c r="AJ402" s="32"/>
      <c r="AK402" s="32"/>
      <c r="AL402" s="32"/>
    </row>
    <row r="403" spans="1:38">
      <c r="A403" s="32" t="str">
        <f>_xlfn.TEXTJOIN("",TRUE,_xlfn.XLOOKUP(B403,Input!J:J,Input!G:G,"",0,1),_xlfn.XLOOKUP(B403,Input!J:J,Input!H:H,"",0,1))</f>
        <v/>
      </c>
      <c r="B403" s="32"/>
      <c r="C403" s="51">
        <f>_xlfn.XLOOKUP(B403,Input!J:J,Input!F:F)</f>
        <v>0</v>
      </c>
      <c r="D403" s="32">
        <f>_xlfn.XLOOKUP(C403,Models!H:H,Models!G:G,C403)</f>
        <v>0</v>
      </c>
      <c r="E403" s="32">
        <f>_xlfn.XLOOKUP(B403,Input!J:J,Input!E:E)</f>
        <v>0</v>
      </c>
      <c r="F403" s="32">
        <f>IF(E403="LENOVO",_xlfn.XLOOKUP(B403,Input!J:J,Input!K:K),_xlfn.XLOOKUP(B403,Input!J:J,Input!L:L))</f>
        <v>0</v>
      </c>
      <c r="G403" s="32"/>
      <c r="H403" s="32"/>
      <c r="I403" s="32"/>
      <c r="J403" s="51" t="e">
        <f>INDEX(Input!$D$2:$AC$500,
       MATCH(B403, Input!$J$2:$J$500, 0),
       MATCH("Total Memory", Input!$D$1:$AC$1, 0))</f>
        <v>#N/A</v>
      </c>
      <c r="K403" s="51"/>
      <c r="L403" s="51" t="str" cm="1">
        <f t="array" ref="L403">IFERROR(_xlfn.FILTERXML("&lt;t&gt;&lt;s&gt;" &amp; SUBSTITUTE(K403," / ","&lt;/s&gt;&lt;s&gt;") &amp; "&lt;/s&gt;&lt;/t&gt;","(//s[contains(.,'DDR')])[1]"),"")</f>
        <v/>
      </c>
      <c r="M403" s="32" t="e">
        <f t="shared" si="20"/>
        <v>#N/A</v>
      </c>
      <c r="N403" s="51" t="e">
        <f>INDEX(Input!$D$2:$AC$500,
       MATCH(B403, Input!$J$2:$J$500, 0),
       MATCH("Disk Interface Type", Input!$D$1:$AC$1, 0))</f>
        <v>#N/A</v>
      </c>
      <c r="O403" s="51" t="str" cm="1">
        <f t="array" ref="O403">IFERROR(_xlfn.TEXTJOIN(", ", TRUE, _xlfn._xlws.FILTER(
    INDEX(Input!$D$2:$AC$500,,MATCH("Disk Capacity",Input!$D$1:$AC$1,0)),
    Input!$J$2:$J$500=B403
)), "")</f>
        <v/>
      </c>
      <c r="P403" s="32" t="e">
        <f t="shared" si="19"/>
        <v>#N/A</v>
      </c>
      <c r="Q403" s="51" t="e">
        <f>_xlfn.LET(_xlpm.Result,INDEX(Input!$D$2:$AC$500,
       MATCH(B403, Input!$J$2:$J$500, 0),
       MATCH("Capacity", Input!$D$1:$AC$1, 0)),IF(_xlpm.Result="","",_xlpm.Result))</f>
        <v>#N/A</v>
      </c>
      <c r="R403" s="51" t="e" cm="1">
        <f t="array" ref="R403">_xlfn.TEXTSPLIT(Q403," / ", ,TRUE,0,)</f>
        <v>#N/A</v>
      </c>
      <c r="S403" s="51"/>
      <c r="T403" s="51" t="str" cm="1">
        <f t="array" ref="T403">IFERROR(_xlfn.IFS(
R403="","",
--R403&lt;55,"Battery Defect",
--R403&lt;=69,"Battery D",
--R403&lt;=80,"Battery C",
--R403&gt;80,""
),"")</f>
        <v/>
      </c>
      <c r="U403" s="51" t="str" cm="1">
        <f t="array" ref="U403">IFERROR(_xlfn.IFS(
S403="","",
--S403&lt;55,"Battery Defect",
--S403&lt;=69,"Battery D",
--S403&lt;=80,"Battery C",
--S403&gt;80,""
),"")</f>
        <v/>
      </c>
      <c r="V403" s="51"/>
      <c r="W403" s="51"/>
      <c r="X403" s="51"/>
      <c r="Y403" s="51"/>
      <c r="Z403" s="51"/>
      <c r="AA403" s="51"/>
      <c r="AB403" s="51"/>
      <c r="AC403" s="51"/>
      <c r="AD403" s="32" t="str">
        <f t="shared" si="18"/>
        <v/>
      </c>
      <c r="AE403" s="32"/>
      <c r="AF403" s="32"/>
      <c r="AG403" s="32"/>
      <c r="AH403" s="32"/>
      <c r="AI403" s="32"/>
      <c r="AJ403" s="32"/>
      <c r="AK403" s="32"/>
      <c r="AL403" s="32"/>
    </row>
    <row r="404" spans="1:38">
      <c r="A404" s="32" t="str">
        <f>_xlfn.TEXTJOIN("",TRUE,_xlfn.XLOOKUP(B404,Input!J:J,Input!G:G,"",0,1),_xlfn.XLOOKUP(B404,Input!J:J,Input!H:H,"",0,1))</f>
        <v/>
      </c>
      <c r="B404" s="32"/>
      <c r="C404" s="51">
        <f>_xlfn.XLOOKUP(B404,Input!J:J,Input!F:F)</f>
        <v>0</v>
      </c>
      <c r="D404" s="32">
        <f>_xlfn.XLOOKUP(C404,Models!H:H,Models!G:G,C404)</f>
        <v>0</v>
      </c>
      <c r="E404" s="32">
        <f>_xlfn.XLOOKUP(B404,Input!J:J,Input!E:E)</f>
        <v>0</v>
      </c>
      <c r="F404" s="32">
        <f>IF(E404="LENOVO",_xlfn.XLOOKUP(B404,Input!J:J,Input!K:K),_xlfn.XLOOKUP(B404,Input!J:J,Input!L:L))</f>
        <v>0</v>
      </c>
      <c r="G404" s="32"/>
      <c r="H404" s="32"/>
      <c r="I404" s="32"/>
      <c r="J404" s="51" t="e">
        <f>INDEX(Input!$D$2:$AC$500,
       MATCH(B404, Input!$J$2:$J$500, 0),
       MATCH("Total Memory", Input!$D$1:$AC$1, 0))</f>
        <v>#N/A</v>
      </c>
      <c r="K404" s="51"/>
      <c r="L404" s="51" t="str" cm="1">
        <f t="array" ref="L404">IFERROR(_xlfn.FILTERXML("&lt;t&gt;&lt;s&gt;" &amp; SUBSTITUTE(K404," / ","&lt;/s&gt;&lt;s&gt;") &amp; "&lt;/s&gt;&lt;/t&gt;","(//s[contains(.,'DDR')])[1]"),"")</f>
        <v/>
      </c>
      <c r="M404" s="32" t="e">
        <f t="shared" si="20"/>
        <v>#N/A</v>
      </c>
      <c r="N404" s="51" t="e">
        <f>INDEX(Input!$D$2:$AC$500,
       MATCH(B404, Input!$J$2:$J$500, 0),
       MATCH("Disk Interface Type", Input!$D$1:$AC$1, 0))</f>
        <v>#N/A</v>
      </c>
      <c r="O404" s="51" t="str" cm="1">
        <f t="array" ref="O404">IFERROR(_xlfn.TEXTJOIN(", ", TRUE, _xlfn._xlws.FILTER(
    INDEX(Input!$D$2:$AC$500,,MATCH("Disk Capacity",Input!$D$1:$AC$1,0)),
    Input!$J$2:$J$500=B404
)), "")</f>
        <v/>
      </c>
      <c r="P404" s="32" t="e">
        <f t="shared" si="19"/>
        <v>#N/A</v>
      </c>
      <c r="Q404" s="51" t="e">
        <f>_xlfn.LET(_xlpm.Result,INDEX(Input!$D$2:$AC$500,
       MATCH(B404, Input!$J$2:$J$500, 0),
       MATCH("Capacity", Input!$D$1:$AC$1, 0)),IF(_xlpm.Result="","",_xlpm.Result))</f>
        <v>#N/A</v>
      </c>
      <c r="R404" s="51" t="e" cm="1">
        <f t="array" ref="R404">_xlfn.TEXTSPLIT(Q404," / ", ,TRUE,0,)</f>
        <v>#N/A</v>
      </c>
      <c r="S404" s="51"/>
      <c r="T404" s="51" t="str" cm="1">
        <f t="array" ref="T404">IFERROR(_xlfn.IFS(
R404="","",
--R404&lt;55,"Battery Defect",
--R404&lt;=69,"Battery D",
--R404&lt;=80,"Battery C",
--R404&gt;80,""
),"")</f>
        <v/>
      </c>
      <c r="U404" s="51" t="str" cm="1">
        <f t="array" ref="U404">IFERROR(_xlfn.IFS(
S404="","",
--S404&lt;55,"Battery Defect",
--S404&lt;=69,"Battery D",
--S404&lt;=80,"Battery C",
--S404&gt;80,""
),"")</f>
        <v/>
      </c>
      <c r="V404" s="51"/>
      <c r="W404" s="51"/>
      <c r="X404" s="51"/>
      <c r="Y404" s="51"/>
      <c r="Z404" s="51"/>
      <c r="AA404" s="51"/>
      <c r="AB404" s="51"/>
      <c r="AC404" s="51"/>
      <c r="AD404" s="32" t="str">
        <f t="shared" si="18"/>
        <v/>
      </c>
      <c r="AE404" s="32"/>
      <c r="AF404" s="32"/>
      <c r="AG404" s="32"/>
      <c r="AH404" s="32"/>
      <c r="AI404" s="32"/>
      <c r="AJ404" s="32"/>
      <c r="AK404" s="32"/>
      <c r="AL404" s="32"/>
    </row>
    <row r="405" spans="1:38">
      <c r="A405" s="32" t="str">
        <f>_xlfn.TEXTJOIN("",TRUE,_xlfn.XLOOKUP(B405,Input!J:J,Input!G:G,"",0,1),_xlfn.XLOOKUP(B405,Input!J:J,Input!H:H,"",0,1))</f>
        <v/>
      </c>
      <c r="B405" s="32"/>
      <c r="C405" s="51">
        <f>_xlfn.XLOOKUP(B405,Input!J:J,Input!F:F)</f>
        <v>0</v>
      </c>
      <c r="D405" s="32">
        <f>_xlfn.XLOOKUP(C405,Models!H:H,Models!G:G,C405)</f>
        <v>0</v>
      </c>
      <c r="E405" s="32">
        <f>_xlfn.XLOOKUP(B405,Input!J:J,Input!E:E)</f>
        <v>0</v>
      </c>
      <c r="F405" s="32">
        <f>IF(E405="LENOVO",_xlfn.XLOOKUP(B405,Input!J:J,Input!K:K),_xlfn.XLOOKUP(B405,Input!J:J,Input!L:L))</f>
        <v>0</v>
      </c>
      <c r="G405" s="32"/>
      <c r="H405" s="32"/>
      <c r="I405" s="32"/>
      <c r="J405" s="51" t="e">
        <f>INDEX(Input!$D$2:$AC$500,
       MATCH(B405, Input!$J$2:$J$500, 0),
       MATCH("Total Memory", Input!$D$1:$AC$1, 0))</f>
        <v>#N/A</v>
      </c>
      <c r="K405" s="51"/>
      <c r="L405" s="51" t="str" cm="1">
        <f t="array" ref="L405">IFERROR(_xlfn.FILTERXML("&lt;t&gt;&lt;s&gt;" &amp; SUBSTITUTE(K405," / ","&lt;/s&gt;&lt;s&gt;") &amp; "&lt;/s&gt;&lt;/t&gt;","(//s[contains(.,'DDR')])[1]"),"")</f>
        <v/>
      </c>
      <c r="M405" s="32" t="e">
        <f t="shared" si="20"/>
        <v>#N/A</v>
      </c>
      <c r="N405" s="51" t="e">
        <f>INDEX(Input!$D$2:$AC$500,
       MATCH(B405, Input!$J$2:$J$500, 0),
       MATCH("Disk Interface Type", Input!$D$1:$AC$1, 0))</f>
        <v>#N/A</v>
      </c>
      <c r="O405" s="51" t="str" cm="1">
        <f t="array" ref="O405">IFERROR(_xlfn.TEXTJOIN(", ", TRUE, _xlfn._xlws.FILTER(
    INDEX(Input!$D$2:$AC$500,,MATCH("Disk Capacity",Input!$D$1:$AC$1,0)),
    Input!$J$2:$J$500=B405
)), "")</f>
        <v/>
      </c>
      <c r="P405" s="32" t="e">
        <f t="shared" si="19"/>
        <v>#N/A</v>
      </c>
      <c r="Q405" s="51" t="e">
        <f>_xlfn.LET(_xlpm.Result,INDEX(Input!$D$2:$AC$500,
       MATCH(B405, Input!$J$2:$J$500, 0),
       MATCH("Capacity", Input!$D$1:$AC$1, 0)),IF(_xlpm.Result="","",_xlpm.Result))</f>
        <v>#N/A</v>
      </c>
      <c r="R405" s="51" t="e" cm="1">
        <f t="array" ref="R405">_xlfn.TEXTSPLIT(Q405," / ", ,TRUE,0,)</f>
        <v>#N/A</v>
      </c>
      <c r="S405" s="51"/>
      <c r="T405" s="51" t="str" cm="1">
        <f t="array" ref="T405">IFERROR(_xlfn.IFS(
R405="","",
--R405&lt;55,"Battery Defect",
--R405&lt;=69,"Battery D",
--R405&lt;=80,"Battery C",
--R405&gt;80,""
),"")</f>
        <v/>
      </c>
      <c r="U405" s="51" t="str" cm="1">
        <f t="array" ref="U405">IFERROR(_xlfn.IFS(
S405="","",
--S405&lt;55,"Battery Defect",
--S405&lt;=69,"Battery D",
--S405&lt;=80,"Battery C",
--S405&gt;80,""
),"")</f>
        <v/>
      </c>
      <c r="V405" s="51"/>
      <c r="W405" s="51"/>
      <c r="X405" s="51"/>
      <c r="Y405" s="51"/>
      <c r="Z405" s="51"/>
      <c r="AA405" s="51"/>
      <c r="AB405" s="51"/>
      <c r="AC405" s="51"/>
      <c r="AD405" s="32" t="str">
        <f t="shared" si="18"/>
        <v/>
      </c>
      <c r="AE405" s="32"/>
      <c r="AF405" s="32"/>
      <c r="AG405" s="32"/>
      <c r="AH405" s="32"/>
      <c r="AI405" s="32"/>
      <c r="AJ405" s="32"/>
      <c r="AK405" s="32"/>
      <c r="AL405" s="32"/>
    </row>
    <row r="406" spans="1:38">
      <c r="A406" s="32" t="str">
        <f>_xlfn.TEXTJOIN("",TRUE,_xlfn.XLOOKUP(B406,Input!J:J,Input!G:G,"",0,1),_xlfn.XLOOKUP(B406,Input!J:J,Input!H:H,"",0,1))</f>
        <v/>
      </c>
      <c r="B406" s="32"/>
      <c r="C406" s="51">
        <f>_xlfn.XLOOKUP(B406,Input!J:J,Input!F:F)</f>
        <v>0</v>
      </c>
      <c r="D406" s="32">
        <f>_xlfn.XLOOKUP(C406,Models!H:H,Models!G:G,C406)</f>
        <v>0</v>
      </c>
      <c r="E406" s="32">
        <f>_xlfn.XLOOKUP(B406,Input!J:J,Input!E:E)</f>
        <v>0</v>
      </c>
      <c r="F406" s="32">
        <f>IF(E406="LENOVO",_xlfn.XLOOKUP(B406,Input!J:J,Input!K:K),_xlfn.XLOOKUP(B406,Input!J:J,Input!L:L))</f>
        <v>0</v>
      </c>
      <c r="G406" s="32"/>
      <c r="H406" s="32"/>
      <c r="I406" s="32"/>
      <c r="J406" s="51" t="e">
        <f>INDEX(Input!$D$2:$AC$500,
       MATCH(B406, Input!$J$2:$J$500, 0),
       MATCH("Total Memory", Input!$D$1:$AC$1, 0))</f>
        <v>#N/A</v>
      </c>
      <c r="K406" s="51"/>
      <c r="L406" s="51" t="str" cm="1">
        <f t="array" ref="L406">IFERROR(_xlfn.FILTERXML("&lt;t&gt;&lt;s&gt;" &amp; SUBSTITUTE(K406," / ","&lt;/s&gt;&lt;s&gt;") &amp; "&lt;/s&gt;&lt;/t&gt;","(//s[contains(.,'DDR')])[1]"),"")</f>
        <v/>
      </c>
      <c r="M406" s="32" t="e">
        <f t="shared" si="20"/>
        <v>#N/A</v>
      </c>
      <c r="N406" s="51" t="e">
        <f>INDEX(Input!$D$2:$AC$500,
       MATCH(B406, Input!$J$2:$J$500, 0),
       MATCH("Disk Interface Type", Input!$D$1:$AC$1, 0))</f>
        <v>#N/A</v>
      </c>
      <c r="O406" s="51" t="str" cm="1">
        <f t="array" ref="O406">IFERROR(_xlfn.TEXTJOIN(", ", TRUE, _xlfn._xlws.FILTER(
    INDEX(Input!$D$2:$AC$500,,MATCH("Disk Capacity",Input!$D$1:$AC$1,0)),
    Input!$J$2:$J$500=B406
)), "")</f>
        <v/>
      </c>
      <c r="P406" s="32" t="e">
        <f t="shared" si="19"/>
        <v>#N/A</v>
      </c>
      <c r="Q406" s="51" t="e">
        <f>_xlfn.LET(_xlpm.Result,INDEX(Input!$D$2:$AC$500,
       MATCH(B406, Input!$J$2:$J$500, 0),
       MATCH("Capacity", Input!$D$1:$AC$1, 0)),IF(_xlpm.Result="","",_xlpm.Result))</f>
        <v>#N/A</v>
      </c>
      <c r="R406" s="51" t="e" cm="1">
        <f t="array" ref="R406">_xlfn.TEXTSPLIT(Q406," / ", ,TRUE,0,)</f>
        <v>#N/A</v>
      </c>
      <c r="S406" s="51"/>
      <c r="T406" s="51" t="str" cm="1">
        <f t="array" ref="T406">IFERROR(_xlfn.IFS(
R406="","",
--R406&lt;55,"Battery Defect",
--R406&lt;=69,"Battery D",
--R406&lt;=80,"Battery C",
--R406&gt;80,""
),"")</f>
        <v/>
      </c>
      <c r="U406" s="51" t="str" cm="1">
        <f t="array" ref="U406">IFERROR(_xlfn.IFS(
S406="","",
--S406&lt;55,"Battery Defect",
--S406&lt;=69,"Battery D",
--S406&lt;=80,"Battery C",
--S406&gt;80,""
),"")</f>
        <v/>
      </c>
      <c r="V406" s="51"/>
      <c r="W406" s="51"/>
      <c r="X406" s="51"/>
      <c r="Y406" s="51"/>
      <c r="Z406" s="51"/>
      <c r="AA406" s="51"/>
      <c r="AB406" s="51"/>
      <c r="AC406" s="51"/>
      <c r="AD406" s="32" t="str">
        <f t="shared" si="18"/>
        <v/>
      </c>
      <c r="AE406" s="32"/>
      <c r="AF406" s="32"/>
      <c r="AG406" s="32"/>
      <c r="AH406" s="32"/>
      <c r="AI406" s="32"/>
      <c r="AJ406" s="32"/>
      <c r="AK406" s="32"/>
      <c r="AL406" s="32"/>
    </row>
    <row r="407" spans="1:38">
      <c r="A407" s="32" t="str">
        <f>_xlfn.TEXTJOIN("",TRUE,_xlfn.XLOOKUP(B407,Input!J:J,Input!G:G,"",0,1),_xlfn.XLOOKUP(B407,Input!J:J,Input!H:H,"",0,1))</f>
        <v/>
      </c>
      <c r="B407" s="32"/>
      <c r="C407" s="51">
        <f>_xlfn.XLOOKUP(B407,Input!J:J,Input!F:F)</f>
        <v>0</v>
      </c>
      <c r="D407" s="32">
        <f>_xlfn.XLOOKUP(C407,Models!H:H,Models!G:G,C407)</f>
        <v>0</v>
      </c>
      <c r="E407" s="32">
        <f>_xlfn.XLOOKUP(B407,Input!J:J,Input!E:E)</f>
        <v>0</v>
      </c>
      <c r="F407" s="32">
        <f>IF(E407="LENOVO",_xlfn.XLOOKUP(B407,Input!J:J,Input!K:K),_xlfn.XLOOKUP(B407,Input!J:J,Input!L:L))</f>
        <v>0</v>
      </c>
      <c r="G407" s="32"/>
      <c r="H407" s="32"/>
      <c r="I407" s="32"/>
      <c r="J407" s="51" t="e">
        <f>INDEX(Input!$D$2:$AC$500,
       MATCH(B407, Input!$J$2:$J$500, 0),
       MATCH("Total Memory", Input!$D$1:$AC$1, 0))</f>
        <v>#N/A</v>
      </c>
      <c r="K407" s="51"/>
      <c r="L407" s="51" t="str" cm="1">
        <f t="array" ref="L407">IFERROR(_xlfn.FILTERXML("&lt;t&gt;&lt;s&gt;" &amp; SUBSTITUTE(K407," / ","&lt;/s&gt;&lt;s&gt;") &amp; "&lt;/s&gt;&lt;/t&gt;","(//s[contains(.,'DDR')])[1]"),"")</f>
        <v/>
      </c>
      <c r="M407" s="32" t="e">
        <f t="shared" si="20"/>
        <v>#N/A</v>
      </c>
      <c r="N407" s="51" t="e">
        <f>INDEX(Input!$D$2:$AC$500,
       MATCH(B407, Input!$J$2:$J$500, 0),
       MATCH("Disk Interface Type", Input!$D$1:$AC$1, 0))</f>
        <v>#N/A</v>
      </c>
      <c r="O407" s="51" t="str" cm="1">
        <f t="array" ref="O407">IFERROR(_xlfn.TEXTJOIN(", ", TRUE, _xlfn._xlws.FILTER(
    INDEX(Input!$D$2:$AC$500,,MATCH("Disk Capacity",Input!$D$1:$AC$1,0)),
    Input!$J$2:$J$500=B407
)), "")</f>
        <v/>
      </c>
      <c r="P407" s="32" t="e">
        <f t="shared" si="19"/>
        <v>#N/A</v>
      </c>
      <c r="Q407" s="51" t="e">
        <f>_xlfn.LET(_xlpm.Result,INDEX(Input!$D$2:$AC$500,
       MATCH(B407, Input!$J$2:$J$500, 0),
       MATCH("Capacity", Input!$D$1:$AC$1, 0)),IF(_xlpm.Result="","",_xlpm.Result))</f>
        <v>#N/A</v>
      </c>
      <c r="R407" s="51" t="e" cm="1">
        <f t="array" ref="R407">_xlfn.TEXTSPLIT(Q407," / ", ,TRUE,0,)</f>
        <v>#N/A</v>
      </c>
      <c r="S407" s="51"/>
      <c r="T407" s="51" t="str" cm="1">
        <f t="array" ref="T407">IFERROR(_xlfn.IFS(
R407="","",
--R407&lt;55,"Battery Defect",
--R407&lt;=69,"Battery D",
--R407&lt;=80,"Battery C",
--R407&gt;80,""
),"")</f>
        <v/>
      </c>
      <c r="U407" s="51" t="str" cm="1">
        <f t="array" ref="U407">IFERROR(_xlfn.IFS(
S407="","",
--S407&lt;55,"Battery Defect",
--S407&lt;=69,"Battery D",
--S407&lt;=80,"Battery C",
--S407&gt;80,""
),"")</f>
        <v/>
      </c>
      <c r="V407" s="51"/>
      <c r="W407" s="51"/>
      <c r="X407" s="51"/>
      <c r="Y407" s="51"/>
      <c r="Z407" s="51"/>
      <c r="AA407" s="51"/>
      <c r="AB407" s="51"/>
      <c r="AC407" s="51"/>
      <c r="AD407" s="32" t="str">
        <f t="shared" si="18"/>
        <v/>
      </c>
      <c r="AE407" s="32"/>
      <c r="AF407" s="32"/>
      <c r="AG407" s="32"/>
      <c r="AH407" s="32"/>
      <c r="AI407" s="32"/>
      <c r="AJ407" s="32"/>
      <c r="AK407" s="32"/>
      <c r="AL407" s="32"/>
    </row>
    <row r="408" spans="1:38">
      <c r="A408" s="32" t="str">
        <f>_xlfn.TEXTJOIN("",TRUE,_xlfn.XLOOKUP(B408,Input!J:J,Input!G:G,"",0,1),_xlfn.XLOOKUP(B408,Input!J:J,Input!H:H,"",0,1))</f>
        <v/>
      </c>
      <c r="B408" s="32"/>
      <c r="C408" s="51">
        <f>_xlfn.XLOOKUP(B408,Input!J:J,Input!F:F)</f>
        <v>0</v>
      </c>
      <c r="D408" s="32">
        <f>_xlfn.XLOOKUP(C408,Models!H:H,Models!G:G,C408)</f>
        <v>0</v>
      </c>
      <c r="E408" s="32">
        <f>_xlfn.XLOOKUP(B408,Input!J:J,Input!E:E)</f>
        <v>0</v>
      </c>
      <c r="F408" s="32">
        <f>IF(E408="LENOVO",_xlfn.XLOOKUP(B408,Input!J:J,Input!K:K),_xlfn.XLOOKUP(B408,Input!J:J,Input!L:L))</f>
        <v>0</v>
      </c>
      <c r="G408" s="32"/>
      <c r="H408" s="32"/>
      <c r="I408" s="32"/>
      <c r="J408" s="51" t="e">
        <f>INDEX(Input!$D$2:$AC$500,
       MATCH(B408, Input!$J$2:$J$500, 0),
       MATCH("Total Memory", Input!$D$1:$AC$1, 0))</f>
        <v>#N/A</v>
      </c>
      <c r="K408" s="51"/>
      <c r="L408" s="51" t="str" cm="1">
        <f t="array" ref="L408">IFERROR(_xlfn.FILTERXML("&lt;t&gt;&lt;s&gt;" &amp; SUBSTITUTE(K408," / ","&lt;/s&gt;&lt;s&gt;") &amp; "&lt;/s&gt;&lt;/t&gt;","(//s[contains(.,'DDR')])[1]"),"")</f>
        <v/>
      </c>
      <c r="M408" s="32" t="e">
        <f t="shared" si="20"/>
        <v>#N/A</v>
      </c>
      <c r="N408" s="51" t="e">
        <f>INDEX(Input!$D$2:$AC$500,
       MATCH(B408, Input!$J$2:$J$500, 0),
       MATCH("Disk Interface Type", Input!$D$1:$AC$1, 0))</f>
        <v>#N/A</v>
      </c>
      <c r="O408" s="51" t="str" cm="1">
        <f t="array" ref="O408">IFERROR(_xlfn.TEXTJOIN(", ", TRUE, _xlfn._xlws.FILTER(
    INDEX(Input!$D$2:$AC$500,,MATCH("Disk Capacity",Input!$D$1:$AC$1,0)),
    Input!$J$2:$J$500=B408
)), "")</f>
        <v/>
      </c>
      <c r="P408" s="32" t="e">
        <f t="shared" si="19"/>
        <v>#N/A</v>
      </c>
      <c r="Q408" s="51" t="e">
        <f>_xlfn.LET(_xlpm.Result,INDEX(Input!$D$2:$AC$500,
       MATCH(B408, Input!$J$2:$J$500, 0),
       MATCH("Capacity", Input!$D$1:$AC$1, 0)),IF(_xlpm.Result="","",_xlpm.Result))</f>
        <v>#N/A</v>
      </c>
      <c r="R408" s="51" t="e" cm="1">
        <f t="array" ref="R408">_xlfn.TEXTSPLIT(Q408," / ", ,TRUE,0,)</f>
        <v>#N/A</v>
      </c>
      <c r="S408" s="51"/>
      <c r="T408" s="51" t="str" cm="1">
        <f t="array" ref="T408">IFERROR(_xlfn.IFS(
R408="","",
--R408&lt;55,"Battery Defect",
--R408&lt;=69,"Battery D",
--R408&lt;=80,"Battery C",
--R408&gt;80,""
),"")</f>
        <v/>
      </c>
      <c r="U408" s="51" t="str" cm="1">
        <f t="array" ref="U408">IFERROR(_xlfn.IFS(
S408="","",
--S408&lt;55,"Battery Defect",
--S408&lt;=69,"Battery D",
--S408&lt;=80,"Battery C",
--S408&gt;80,""
),"")</f>
        <v/>
      </c>
      <c r="V408" s="51"/>
      <c r="W408" s="51"/>
      <c r="X408" s="51"/>
      <c r="Y408" s="51"/>
      <c r="Z408" s="51"/>
      <c r="AA408" s="51"/>
      <c r="AB408" s="51"/>
      <c r="AC408" s="51"/>
      <c r="AD408" s="32" t="str">
        <f t="shared" si="18"/>
        <v/>
      </c>
      <c r="AE408" s="32"/>
      <c r="AF408" s="32"/>
      <c r="AG408" s="32"/>
      <c r="AH408" s="32"/>
      <c r="AI408" s="32"/>
      <c r="AJ408" s="32"/>
      <c r="AK408" s="32"/>
      <c r="AL408" s="32"/>
    </row>
    <row r="409" spans="1:38">
      <c r="A409" s="32" t="str">
        <f>_xlfn.TEXTJOIN("",TRUE,_xlfn.XLOOKUP(B409,Input!J:J,Input!G:G,"",0,1),_xlfn.XLOOKUP(B409,Input!J:J,Input!H:H,"",0,1))</f>
        <v/>
      </c>
      <c r="B409" s="32"/>
      <c r="C409" s="51">
        <f>_xlfn.XLOOKUP(B409,Input!J:J,Input!F:F)</f>
        <v>0</v>
      </c>
      <c r="D409" s="32">
        <f>_xlfn.XLOOKUP(C409,Models!H:H,Models!G:G,C409)</f>
        <v>0</v>
      </c>
      <c r="E409" s="32">
        <f>_xlfn.XLOOKUP(B409,Input!J:J,Input!E:E)</f>
        <v>0</v>
      </c>
      <c r="F409" s="32">
        <f>IF(E409="LENOVO",_xlfn.XLOOKUP(B409,Input!J:J,Input!K:K),_xlfn.XLOOKUP(B409,Input!J:J,Input!L:L))</f>
        <v>0</v>
      </c>
      <c r="G409" s="32"/>
      <c r="H409" s="32"/>
      <c r="I409" s="32"/>
      <c r="J409" s="51" t="e">
        <f>INDEX(Input!$D$2:$AC$500,
       MATCH(B409, Input!$J$2:$J$500, 0),
       MATCH("Total Memory", Input!$D$1:$AC$1, 0))</f>
        <v>#N/A</v>
      </c>
      <c r="K409" s="51"/>
      <c r="L409" s="51" t="str" cm="1">
        <f t="array" ref="L409">IFERROR(_xlfn.FILTERXML("&lt;t&gt;&lt;s&gt;" &amp; SUBSTITUTE(K409," / ","&lt;/s&gt;&lt;s&gt;") &amp; "&lt;/s&gt;&lt;/t&gt;","(//s[contains(.,'DDR')])[1]"),"")</f>
        <v/>
      </c>
      <c r="M409" s="32" t="e">
        <f t="shared" si="20"/>
        <v>#N/A</v>
      </c>
      <c r="N409" s="51" t="e">
        <f>INDEX(Input!$D$2:$AC$500,
       MATCH(B409, Input!$J$2:$J$500, 0),
       MATCH("Disk Interface Type", Input!$D$1:$AC$1, 0))</f>
        <v>#N/A</v>
      </c>
      <c r="O409" s="51" t="str" cm="1">
        <f t="array" ref="O409">IFERROR(_xlfn.TEXTJOIN(", ", TRUE, _xlfn._xlws.FILTER(
    INDEX(Input!$D$2:$AC$500,,MATCH("Disk Capacity",Input!$D$1:$AC$1,0)),
    Input!$J$2:$J$500=B409
)), "")</f>
        <v/>
      </c>
      <c r="P409" s="32" t="e">
        <f t="shared" si="19"/>
        <v>#N/A</v>
      </c>
      <c r="Q409" s="51" t="e">
        <f>_xlfn.LET(_xlpm.Result,INDEX(Input!$D$2:$AC$500,
       MATCH(B409, Input!$J$2:$J$500, 0),
       MATCH("Capacity", Input!$D$1:$AC$1, 0)),IF(_xlpm.Result="","",_xlpm.Result))</f>
        <v>#N/A</v>
      </c>
      <c r="R409" s="51" t="e" cm="1">
        <f t="array" ref="R409">_xlfn.TEXTSPLIT(Q409," / ", ,TRUE,0,)</f>
        <v>#N/A</v>
      </c>
      <c r="S409" s="51"/>
      <c r="T409" s="51" t="str" cm="1">
        <f t="array" ref="T409">IFERROR(_xlfn.IFS(
R409="","",
--R409&lt;55,"Battery Defect",
--R409&lt;=69,"Battery D",
--R409&lt;=80,"Battery C",
--R409&gt;80,""
),"")</f>
        <v/>
      </c>
      <c r="U409" s="51" t="str" cm="1">
        <f t="array" ref="U409">IFERROR(_xlfn.IFS(
S409="","",
--S409&lt;55,"Battery Defect",
--S409&lt;=69,"Battery D",
--S409&lt;=80,"Battery C",
--S409&gt;80,""
),"")</f>
        <v/>
      </c>
      <c r="V409" s="51"/>
      <c r="W409" s="51"/>
      <c r="X409" s="51"/>
      <c r="Y409" s="51"/>
      <c r="Z409" s="51"/>
      <c r="AA409" s="51"/>
      <c r="AB409" s="51"/>
      <c r="AC409" s="51"/>
      <c r="AD409" s="32" t="str">
        <f t="shared" si="18"/>
        <v/>
      </c>
      <c r="AE409" s="32"/>
      <c r="AF409" s="32"/>
      <c r="AG409" s="32"/>
      <c r="AH409" s="32"/>
      <c r="AI409" s="32"/>
      <c r="AJ409" s="32"/>
      <c r="AK409" s="32"/>
      <c r="AL409" s="32"/>
    </row>
    <row r="410" spans="1:38">
      <c r="A410" s="32" t="str">
        <f>_xlfn.TEXTJOIN("",TRUE,_xlfn.XLOOKUP(B410,Input!J:J,Input!G:G,"",0,1),_xlfn.XLOOKUP(B410,Input!J:J,Input!H:H,"",0,1))</f>
        <v/>
      </c>
      <c r="B410" s="32"/>
      <c r="C410" s="51">
        <f>_xlfn.XLOOKUP(B410,Input!J:J,Input!F:F)</f>
        <v>0</v>
      </c>
      <c r="D410" s="32">
        <f>_xlfn.XLOOKUP(C410,Models!H:H,Models!G:G,C410)</f>
        <v>0</v>
      </c>
      <c r="E410" s="32">
        <f>_xlfn.XLOOKUP(B410,Input!J:J,Input!E:E)</f>
        <v>0</v>
      </c>
      <c r="F410" s="32">
        <f>IF(E410="LENOVO",_xlfn.XLOOKUP(B410,Input!J:J,Input!K:K),_xlfn.XLOOKUP(B410,Input!J:J,Input!L:L))</f>
        <v>0</v>
      </c>
      <c r="G410" s="32"/>
      <c r="H410" s="32"/>
      <c r="I410" s="32"/>
      <c r="J410" s="51" t="e">
        <f>INDEX(Input!$D$2:$AC$500,
       MATCH(B410, Input!$J$2:$J$500, 0),
       MATCH("Total Memory", Input!$D$1:$AC$1, 0))</f>
        <v>#N/A</v>
      </c>
      <c r="K410" s="51"/>
      <c r="L410" s="51" t="str" cm="1">
        <f t="array" ref="L410">IFERROR(_xlfn.FILTERXML("&lt;t&gt;&lt;s&gt;" &amp; SUBSTITUTE(K410," / ","&lt;/s&gt;&lt;s&gt;") &amp; "&lt;/s&gt;&lt;/t&gt;","(//s[contains(.,'DDR')])[1]"),"")</f>
        <v/>
      </c>
      <c r="M410" s="32" t="e">
        <f t="shared" si="20"/>
        <v>#N/A</v>
      </c>
      <c r="N410" s="51" t="e">
        <f>INDEX(Input!$D$2:$AC$500,
       MATCH(B410, Input!$J$2:$J$500, 0),
       MATCH("Disk Interface Type", Input!$D$1:$AC$1, 0))</f>
        <v>#N/A</v>
      </c>
      <c r="O410" s="51" t="str" cm="1">
        <f t="array" ref="O410">IFERROR(_xlfn.TEXTJOIN(", ", TRUE, _xlfn._xlws.FILTER(
    INDEX(Input!$D$2:$AC$500,,MATCH("Disk Capacity",Input!$D$1:$AC$1,0)),
    Input!$J$2:$J$500=B410
)), "")</f>
        <v/>
      </c>
      <c r="P410" s="32" t="e">
        <f t="shared" si="19"/>
        <v>#N/A</v>
      </c>
      <c r="Q410" s="51" t="e">
        <f>_xlfn.LET(_xlpm.Result,INDEX(Input!$D$2:$AC$500,
       MATCH(B410, Input!$J$2:$J$500, 0),
       MATCH("Capacity", Input!$D$1:$AC$1, 0)),IF(_xlpm.Result="","",_xlpm.Result))</f>
        <v>#N/A</v>
      </c>
      <c r="R410" s="51" t="e" cm="1">
        <f t="array" ref="R410">_xlfn.TEXTSPLIT(Q410," / ", ,TRUE,0,)</f>
        <v>#N/A</v>
      </c>
      <c r="S410" s="51"/>
      <c r="T410" s="51" t="str" cm="1">
        <f t="array" ref="T410">IFERROR(_xlfn.IFS(
R410="","",
--R410&lt;55,"Battery Defect",
--R410&lt;=69,"Battery D",
--R410&lt;=80,"Battery C",
--R410&gt;80,""
),"")</f>
        <v/>
      </c>
      <c r="U410" s="51" t="str" cm="1">
        <f t="array" ref="U410">IFERROR(_xlfn.IFS(
S410="","",
--S410&lt;55,"Battery Defect",
--S410&lt;=69,"Battery D",
--S410&lt;=80,"Battery C",
--S410&gt;80,""
),"")</f>
        <v/>
      </c>
      <c r="V410" s="51"/>
      <c r="W410" s="51"/>
      <c r="X410" s="51"/>
      <c r="Y410" s="51"/>
      <c r="Z410" s="51"/>
      <c r="AA410" s="51"/>
      <c r="AB410" s="51"/>
      <c r="AC410" s="51"/>
      <c r="AD410" s="32" t="str">
        <f t="shared" si="18"/>
        <v/>
      </c>
      <c r="AE410" s="32"/>
      <c r="AF410" s="32"/>
      <c r="AG410" s="32"/>
      <c r="AH410" s="32"/>
      <c r="AI410" s="32"/>
      <c r="AJ410" s="32"/>
      <c r="AK410" s="32"/>
      <c r="AL410" s="32"/>
    </row>
    <row r="411" spans="1:38">
      <c r="A411" s="32" t="str">
        <f>_xlfn.TEXTJOIN("",TRUE,_xlfn.XLOOKUP(B411,Input!J:J,Input!G:G,"",0,1),_xlfn.XLOOKUP(B411,Input!J:J,Input!H:H,"",0,1))</f>
        <v/>
      </c>
      <c r="B411" s="32"/>
      <c r="C411" s="51">
        <f>_xlfn.XLOOKUP(B411,Input!J:J,Input!F:F)</f>
        <v>0</v>
      </c>
      <c r="D411" s="32">
        <f>_xlfn.XLOOKUP(C411,Models!H:H,Models!G:G,C411)</f>
        <v>0</v>
      </c>
      <c r="E411" s="32">
        <f>_xlfn.XLOOKUP(B411,Input!J:J,Input!E:E)</f>
        <v>0</v>
      </c>
      <c r="F411" s="32">
        <f>IF(E411="LENOVO",_xlfn.XLOOKUP(B411,Input!J:J,Input!K:K),_xlfn.XLOOKUP(B411,Input!J:J,Input!L:L))</f>
        <v>0</v>
      </c>
      <c r="G411" s="32"/>
      <c r="H411" s="32"/>
      <c r="I411" s="32"/>
      <c r="J411" s="51" t="e">
        <f>INDEX(Input!$D$2:$AC$500,
       MATCH(B411, Input!$J$2:$J$500, 0),
       MATCH("Total Memory", Input!$D$1:$AC$1, 0))</f>
        <v>#N/A</v>
      </c>
      <c r="K411" s="51"/>
      <c r="L411" s="51" t="str" cm="1">
        <f t="array" ref="L411">IFERROR(_xlfn.FILTERXML("&lt;t&gt;&lt;s&gt;" &amp; SUBSTITUTE(K411," / ","&lt;/s&gt;&lt;s&gt;") &amp; "&lt;/s&gt;&lt;/t&gt;","(//s[contains(.,'DDR')])[1]"),"")</f>
        <v/>
      </c>
      <c r="M411" s="32" t="e">
        <f t="shared" si="20"/>
        <v>#N/A</v>
      </c>
      <c r="N411" s="51" t="e">
        <f>INDEX(Input!$D$2:$AC$500,
       MATCH(B411, Input!$J$2:$J$500, 0),
       MATCH("Disk Interface Type", Input!$D$1:$AC$1, 0))</f>
        <v>#N/A</v>
      </c>
      <c r="O411" s="51" t="str" cm="1">
        <f t="array" ref="O411">IFERROR(_xlfn.TEXTJOIN(", ", TRUE, _xlfn._xlws.FILTER(
    INDEX(Input!$D$2:$AC$500,,MATCH("Disk Capacity",Input!$D$1:$AC$1,0)),
    Input!$J$2:$J$500=B411
)), "")</f>
        <v/>
      </c>
      <c r="P411" s="32" t="e">
        <f t="shared" si="19"/>
        <v>#N/A</v>
      </c>
      <c r="Q411" s="51" t="e">
        <f>_xlfn.LET(_xlpm.Result,INDEX(Input!$D$2:$AC$500,
       MATCH(B411, Input!$J$2:$J$500, 0),
       MATCH("Capacity", Input!$D$1:$AC$1, 0)),IF(_xlpm.Result="","",_xlpm.Result))</f>
        <v>#N/A</v>
      </c>
      <c r="R411" s="51" t="e" cm="1">
        <f t="array" ref="R411">_xlfn.TEXTSPLIT(Q411," / ", ,TRUE,0,)</f>
        <v>#N/A</v>
      </c>
      <c r="S411" s="51"/>
      <c r="T411" s="51" t="str" cm="1">
        <f t="array" ref="T411">IFERROR(_xlfn.IFS(
R411="","",
--R411&lt;55,"Battery Defect",
--R411&lt;=69,"Battery D",
--R411&lt;=80,"Battery C",
--R411&gt;80,""
),"")</f>
        <v/>
      </c>
      <c r="U411" s="51" t="str" cm="1">
        <f t="array" ref="U411">IFERROR(_xlfn.IFS(
S411="","",
--S411&lt;55,"Battery Defect",
--S411&lt;=69,"Battery D",
--S411&lt;=80,"Battery C",
--S411&gt;80,""
),"")</f>
        <v/>
      </c>
      <c r="V411" s="51"/>
      <c r="W411" s="51"/>
      <c r="X411" s="51"/>
      <c r="Y411" s="51"/>
      <c r="Z411" s="51"/>
      <c r="AA411" s="51"/>
      <c r="AB411" s="51"/>
      <c r="AC411" s="51"/>
      <c r="AD411" s="32" t="str">
        <f t="shared" si="18"/>
        <v/>
      </c>
      <c r="AE411" s="32"/>
      <c r="AF411" s="32"/>
      <c r="AG411" s="32"/>
      <c r="AH411" s="32"/>
      <c r="AI411" s="32"/>
      <c r="AJ411" s="32"/>
      <c r="AK411" s="32"/>
      <c r="AL411" s="32"/>
    </row>
    <row r="412" spans="1:38">
      <c r="A412" s="32" t="str">
        <f>_xlfn.TEXTJOIN("",TRUE,_xlfn.XLOOKUP(B412,Input!J:J,Input!G:G,"",0,1),_xlfn.XLOOKUP(B412,Input!J:J,Input!H:H,"",0,1))</f>
        <v/>
      </c>
      <c r="B412" s="32"/>
      <c r="C412" s="51">
        <f>_xlfn.XLOOKUP(B412,Input!J:J,Input!F:F)</f>
        <v>0</v>
      </c>
      <c r="D412" s="32">
        <f>_xlfn.XLOOKUP(C412,Models!H:H,Models!G:G,C412)</f>
        <v>0</v>
      </c>
      <c r="E412" s="32">
        <f>_xlfn.XLOOKUP(B412,Input!J:J,Input!E:E)</f>
        <v>0</v>
      </c>
      <c r="F412" s="32">
        <f>IF(E412="LENOVO",_xlfn.XLOOKUP(B412,Input!J:J,Input!K:K),_xlfn.XLOOKUP(B412,Input!J:J,Input!L:L))</f>
        <v>0</v>
      </c>
      <c r="G412" s="32"/>
      <c r="H412" s="32"/>
      <c r="I412" s="32"/>
      <c r="J412" s="51" t="e">
        <f>INDEX(Input!$D$2:$AC$500,
       MATCH(B412, Input!$J$2:$J$500, 0),
       MATCH("Total Memory", Input!$D$1:$AC$1, 0))</f>
        <v>#N/A</v>
      </c>
      <c r="K412" s="51"/>
      <c r="L412" s="51" t="str" cm="1">
        <f t="array" ref="L412">IFERROR(_xlfn.FILTERXML("&lt;t&gt;&lt;s&gt;" &amp; SUBSTITUTE(K412," / ","&lt;/s&gt;&lt;s&gt;") &amp; "&lt;/s&gt;&lt;/t&gt;","(//s[contains(.,'DDR')])[1]"),"")</f>
        <v/>
      </c>
      <c r="M412" s="32" t="e">
        <f t="shared" si="20"/>
        <v>#N/A</v>
      </c>
      <c r="N412" s="51" t="e">
        <f>INDEX(Input!$D$2:$AC$500,
       MATCH(B412, Input!$J$2:$J$500, 0),
       MATCH("Disk Interface Type", Input!$D$1:$AC$1, 0))</f>
        <v>#N/A</v>
      </c>
      <c r="O412" s="51" t="str" cm="1">
        <f t="array" ref="O412">IFERROR(_xlfn.TEXTJOIN(", ", TRUE, _xlfn._xlws.FILTER(
    INDEX(Input!$D$2:$AC$500,,MATCH("Disk Capacity",Input!$D$1:$AC$1,0)),
    Input!$J$2:$J$500=B412
)), "")</f>
        <v/>
      </c>
      <c r="P412" s="32" t="e">
        <f t="shared" si="19"/>
        <v>#N/A</v>
      </c>
      <c r="Q412" s="51" t="e">
        <f>_xlfn.LET(_xlpm.Result,INDEX(Input!$D$2:$AC$500,
       MATCH(B412, Input!$J$2:$J$500, 0),
       MATCH("Capacity", Input!$D$1:$AC$1, 0)),IF(_xlpm.Result="","",_xlpm.Result))</f>
        <v>#N/A</v>
      </c>
      <c r="R412" s="51" t="e" cm="1">
        <f t="array" ref="R412">_xlfn.TEXTSPLIT(Q412," / ", ,TRUE,0,)</f>
        <v>#N/A</v>
      </c>
      <c r="S412" s="51"/>
      <c r="T412" s="51" t="str" cm="1">
        <f t="array" ref="T412">IFERROR(_xlfn.IFS(
R412="","",
--R412&lt;55,"Battery Defect",
--R412&lt;=69,"Battery D",
--R412&lt;=80,"Battery C",
--R412&gt;80,""
),"")</f>
        <v/>
      </c>
      <c r="U412" s="51" t="str" cm="1">
        <f t="array" ref="U412">IFERROR(_xlfn.IFS(
S412="","",
--S412&lt;55,"Battery Defect",
--S412&lt;=69,"Battery D",
--S412&lt;=80,"Battery C",
--S412&gt;80,""
),"")</f>
        <v/>
      </c>
      <c r="V412" s="51"/>
      <c r="W412" s="51"/>
      <c r="X412" s="51"/>
      <c r="Y412" s="51"/>
      <c r="Z412" s="51"/>
      <c r="AA412" s="51"/>
      <c r="AB412" s="51"/>
      <c r="AC412" s="51"/>
      <c r="AD412" s="32" t="str">
        <f t="shared" si="18"/>
        <v/>
      </c>
      <c r="AE412" s="32"/>
      <c r="AF412" s="32"/>
      <c r="AG412" s="32"/>
      <c r="AH412" s="32"/>
      <c r="AI412" s="32"/>
      <c r="AJ412" s="32"/>
      <c r="AK412" s="32"/>
      <c r="AL412" s="32"/>
    </row>
    <row r="413" spans="1:38">
      <c r="A413" s="32" t="str">
        <f>_xlfn.TEXTJOIN("",TRUE,_xlfn.XLOOKUP(B413,Input!J:J,Input!G:G,"",0,1),_xlfn.XLOOKUP(B413,Input!J:J,Input!H:H,"",0,1))</f>
        <v/>
      </c>
      <c r="B413" s="32"/>
      <c r="C413" s="51">
        <f>_xlfn.XLOOKUP(B413,Input!J:J,Input!F:F)</f>
        <v>0</v>
      </c>
      <c r="D413" s="32">
        <f>_xlfn.XLOOKUP(C413,Models!H:H,Models!G:G,C413)</f>
        <v>0</v>
      </c>
      <c r="E413" s="32">
        <f>_xlfn.XLOOKUP(B413,Input!J:J,Input!E:E)</f>
        <v>0</v>
      </c>
      <c r="F413" s="32">
        <f>IF(E413="LENOVO",_xlfn.XLOOKUP(B413,Input!J:J,Input!K:K),_xlfn.XLOOKUP(B413,Input!J:J,Input!L:L))</f>
        <v>0</v>
      </c>
      <c r="G413" s="32"/>
      <c r="H413" s="32"/>
      <c r="I413" s="32"/>
      <c r="J413" s="51" t="e">
        <f>INDEX(Input!$D$2:$AC$500,
       MATCH(B413, Input!$J$2:$J$500, 0),
       MATCH("Total Memory", Input!$D$1:$AC$1, 0))</f>
        <v>#N/A</v>
      </c>
      <c r="K413" s="51"/>
      <c r="L413" s="51" t="str" cm="1">
        <f t="array" ref="L413">IFERROR(_xlfn.FILTERXML("&lt;t&gt;&lt;s&gt;" &amp; SUBSTITUTE(K413," / ","&lt;/s&gt;&lt;s&gt;") &amp; "&lt;/s&gt;&lt;/t&gt;","(//s[contains(.,'DDR')])[1]"),"")</f>
        <v/>
      </c>
      <c r="M413" s="32" t="e">
        <f t="shared" si="20"/>
        <v>#N/A</v>
      </c>
      <c r="N413" s="51" t="e">
        <f>INDEX(Input!$D$2:$AC$500,
       MATCH(B413, Input!$J$2:$J$500, 0),
       MATCH("Disk Interface Type", Input!$D$1:$AC$1, 0))</f>
        <v>#N/A</v>
      </c>
      <c r="O413" s="51" t="str" cm="1">
        <f t="array" ref="O413">IFERROR(_xlfn.TEXTJOIN(", ", TRUE, _xlfn._xlws.FILTER(
    INDEX(Input!$D$2:$AC$500,,MATCH("Disk Capacity",Input!$D$1:$AC$1,0)),
    Input!$J$2:$J$500=B413
)), "")</f>
        <v/>
      </c>
      <c r="P413" s="32" t="e">
        <f t="shared" si="19"/>
        <v>#N/A</v>
      </c>
      <c r="Q413" s="51" t="e">
        <f>_xlfn.LET(_xlpm.Result,INDEX(Input!$D$2:$AC$500,
       MATCH(B413, Input!$J$2:$J$500, 0),
       MATCH("Capacity", Input!$D$1:$AC$1, 0)),IF(_xlpm.Result="","",_xlpm.Result))</f>
        <v>#N/A</v>
      </c>
      <c r="R413" s="51" t="e" cm="1">
        <f t="array" ref="R413">_xlfn.TEXTSPLIT(Q413," / ", ,TRUE,0,)</f>
        <v>#N/A</v>
      </c>
      <c r="S413" s="51"/>
      <c r="T413" s="51" t="str" cm="1">
        <f t="array" ref="T413">IFERROR(_xlfn.IFS(
R413="","",
--R413&lt;55,"Battery Defect",
--R413&lt;=69,"Battery D",
--R413&lt;=80,"Battery C",
--R413&gt;80,""
),"")</f>
        <v/>
      </c>
      <c r="U413" s="51" t="str" cm="1">
        <f t="array" ref="U413">IFERROR(_xlfn.IFS(
S413="","",
--S413&lt;55,"Battery Defect",
--S413&lt;=69,"Battery D",
--S413&lt;=80,"Battery C",
--S413&gt;80,""
),"")</f>
        <v/>
      </c>
      <c r="V413" s="51"/>
      <c r="W413" s="51"/>
      <c r="X413" s="51"/>
      <c r="Y413" s="51"/>
      <c r="Z413" s="51"/>
      <c r="AA413" s="51"/>
      <c r="AB413" s="51"/>
      <c r="AC413" s="51"/>
      <c r="AD413" s="32" t="str">
        <f t="shared" si="18"/>
        <v/>
      </c>
      <c r="AE413" s="32"/>
      <c r="AF413" s="32"/>
      <c r="AG413" s="32"/>
      <c r="AH413" s="32"/>
      <c r="AI413" s="32"/>
      <c r="AJ413" s="32"/>
      <c r="AK413" s="32"/>
      <c r="AL413" s="32"/>
    </row>
    <row r="414" spans="1:38">
      <c r="A414" s="32" t="str">
        <f>_xlfn.TEXTJOIN("",TRUE,_xlfn.XLOOKUP(B414,Input!J:J,Input!G:G,"",0,1),_xlfn.XLOOKUP(B414,Input!J:J,Input!H:H,"",0,1))</f>
        <v/>
      </c>
      <c r="B414" s="32"/>
      <c r="C414" s="51">
        <f>_xlfn.XLOOKUP(B414,Input!J:J,Input!F:F)</f>
        <v>0</v>
      </c>
      <c r="D414" s="32">
        <f>_xlfn.XLOOKUP(C414,Models!H:H,Models!G:G,C414)</f>
        <v>0</v>
      </c>
      <c r="E414" s="32">
        <f>_xlfn.XLOOKUP(B414,Input!J:J,Input!E:E)</f>
        <v>0</v>
      </c>
      <c r="F414" s="32">
        <f>IF(E414="LENOVO",_xlfn.XLOOKUP(B414,Input!J:J,Input!K:K),_xlfn.XLOOKUP(B414,Input!J:J,Input!L:L))</f>
        <v>0</v>
      </c>
      <c r="G414" s="32"/>
      <c r="H414" s="32"/>
      <c r="I414" s="32"/>
      <c r="J414" s="51" t="e">
        <f>INDEX(Input!$D$2:$AC$500,
       MATCH(B414, Input!$J$2:$J$500, 0),
       MATCH("Total Memory", Input!$D$1:$AC$1, 0))</f>
        <v>#N/A</v>
      </c>
      <c r="K414" s="51"/>
      <c r="L414" s="51" t="str" cm="1">
        <f t="array" ref="L414">IFERROR(_xlfn.FILTERXML("&lt;t&gt;&lt;s&gt;" &amp; SUBSTITUTE(K414," / ","&lt;/s&gt;&lt;s&gt;") &amp; "&lt;/s&gt;&lt;/t&gt;","(//s[contains(.,'DDR')])[1]"),"")</f>
        <v/>
      </c>
      <c r="M414" s="32" t="e">
        <f t="shared" si="20"/>
        <v>#N/A</v>
      </c>
      <c r="N414" s="51" t="e">
        <f>INDEX(Input!$D$2:$AC$500,
       MATCH(B414, Input!$J$2:$J$500, 0),
       MATCH("Disk Interface Type", Input!$D$1:$AC$1, 0))</f>
        <v>#N/A</v>
      </c>
      <c r="O414" s="51" t="str" cm="1">
        <f t="array" ref="O414">IFERROR(_xlfn.TEXTJOIN(", ", TRUE, _xlfn._xlws.FILTER(
    INDEX(Input!$D$2:$AC$500,,MATCH("Disk Capacity",Input!$D$1:$AC$1,0)),
    Input!$J$2:$J$500=B414
)), "")</f>
        <v/>
      </c>
      <c r="P414" s="32" t="e">
        <f t="shared" si="19"/>
        <v>#N/A</v>
      </c>
      <c r="Q414" s="51" t="e">
        <f>_xlfn.LET(_xlpm.Result,INDEX(Input!$D$2:$AC$500,
       MATCH(B414, Input!$J$2:$J$500, 0),
       MATCH("Capacity", Input!$D$1:$AC$1, 0)),IF(_xlpm.Result="","",_xlpm.Result))</f>
        <v>#N/A</v>
      </c>
      <c r="R414" s="51" t="e" cm="1">
        <f t="array" ref="R414">_xlfn.TEXTSPLIT(Q414," / ", ,TRUE,0,)</f>
        <v>#N/A</v>
      </c>
      <c r="S414" s="51"/>
      <c r="T414" s="51" t="str" cm="1">
        <f t="array" ref="T414">IFERROR(_xlfn.IFS(
R414="","",
--R414&lt;55,"Battery Defect",
--R414&lt;=69,"Battery D",
--R414&lt;=80,"Battery C",
--R414&gt;80,""
),"")</f>
        <v/>
      </c>
      <c r="U414" s="51" t="str" cm="1">
        <f t="array" ref="U414">IFERROR(_xlfn.IFS(
S414="","",
--S414&lt;55,"Battery Defect",
--S414&lt;=69,"Battery D",
--S414&lt;=80,"Battery C",
--S414&gt;80,""
),"")</f>
        <v/>
      </c>
      <c r="V414" s="51"/>
      <c r="W414" s="51"/>
      <c r="X414" s="51"/>
      <c r="Y414" s="51"/>
      <c r="Z414" s="51"/>
      <c r="AA414" s="51"/>
      <c r="AB414" s="51"/>
      <c r="AC414" s="51"/>
      <c r="AD414" s="32" t="str">
        <f t="shared" si="18"/>
        <v/>
      </c>
      <c r="AE414" s="32"/>
      <c r="AF414" s="32"/>
      <c r="AG414" s="32"/>
      <c r="AH414" s="32"/>
      <c r="AI414" s="32"/>
      <c r="AJ414" s="32"/>
      <c r="AK414" s="32"/>
      <c r="AL414" s="32"/>
    </row>
    <row r="415" spans="1:38">
      <c r="A415" s="32" t="str">
        <f>_xlfn.TEXTJOIN("",TRUE,_xlfn.XLOOKUP(B415,Input!J:J,Input!G:G,"",0,1),_xlfn.XLOOKUP(B415,Input!J:J,Input!H:H,"",0,1))</f>
        <v/>
      </c>
      <c r="B415" s="32"/>
      <c r="C415" s="51">
        <f>_xlfn.XLOOKUP(B415,Input!J:J,Input!F:F)</f>
        <v>0</v>
      </c>
      <c r="D415" s="32">
        <f>_xlfn.XLOOKUP(C415,Models!H:H,Models!G:G,C415)</f>
        <v>0</v>
      </c>
      <c r="E415" s="32">
        <f>_xlfn.XLOOKUP(B415,Input!J:J,Input!E:E)</f>
        <v>0</v>
      </c>
      <c r="F415" s="32">
        <f>IF(E415="LENOVO",_xlfn.XLOOKUP(B415,Input!J:J,Input!K:K),_xlfn.XLOOKUP(B415,Input!J:J,Input!L:L))</f>
        <v>0</v>
      </c>
      <c r="G415" s="32"/>
      <c r="H415" s="32"/>
      <c r="I415" s="32"/>
      <c r="J415" s="51" t="e">
        <f>INDEX(Input!$D$2:$AC$500,
       MATCH(B415, Input!$J$2:$J$500, 0),
       MATCH("Total Memory", Input!$D$1:$AC$1, 0))</f>
        <v>#N/A</v>
      </c>
      <c r="K415" s="51"/>
      <c r="L415" s="51" t="str" cm="1">
        <f t="array" ref="L415">IFERROR(_xlfn.FILTERXML("&lt;t&gt;&lt;s&gt;" &amp; SUBSTITUTE(K415," / ","&lt;/s&gt;&lt;s&gt;") &amp; "&lt;/s&gt;&lt;/t&gt;","(//s[contains(.,'DDR')])[1]"),"")</f>
        <v/>
      </c>
      <c r="M415" s="32" t="e">
        <f t="shared" si="20"/>
        <v>#N/A</v>
      </c>
      <c r="N415" s="51" t="e">
        <f>INDEX(Input!$D$2:$AC$500,
       MATCH(B415, Input!$J$2:$J$500, 0),
       MATCH("Disk Interface Type", Input!$D$1:$AC$1, 0))</f>
        <v>#N/A</v>
      </c>
      <c r="O415" s="51" t="str" cm="1">
        <f t="array" ref="O415">IFERROR(_xlfn.TEXTJOIN(", ", TRUE, _xlfn._xlws.FILTER(
    INDEX(Input!$D$2:$AC$500,,MATCH("Disk Capacity",Input!$D$1:$AC$1,0)),
    Input!$J$2:$J$500=B415
)), "")</f>
        <v/>
      </c>
      <c r="P415" s="32" t="e">
        <f t="shared" si="19"/>
        <v>#N/A</v>
      </c>
      <c r="Q415" s="51" t="e">
        <f>_xlfn.LET(_xlpm.Result,INDEX(Input!$D$2:$AC$500,
       MATCH(B415, Input!$J$2:$J$500, 0),
       MATCH("Capacity", Input!$D$1:$AC$1, 0)),IF(_xlpm.Result="","",_xlpm.Result))</f>
        <v>#N/A</v>
      </c>
      <c r="R415" s="51" t="e" cm="1">
        <f t="array" ref="R415">_xlfn.TEXTSPLIT(Q415," / ", ,TRUE,0,)</f>
        <v>#N/A</v>
      </c>
      <c r="S415" s="51"/>
      <c r="T415" s="51" t="str" cm="1">
        <f t="array" ref="T415">IFERROR(_xlfn.IFS(
R415="","",
--R415&lt;55,"Battery Defect",
--R415&lt;=69,"Battery D",
--R415&lt;=80,"Battery C",
--R415&gt;80,""
),"")</f>
        <v/>
      </c>
      <c r="U415" s="51" t="str" cm="1">
        <f t="array" ref="U415">IFERROR(_xlfn.IFS(
S415="","",
--S415&lt;55,"Battery Defect",
--S415&lt;=69,"Battery D",
--S415&lt;=80,"Battery C",
--S415&gt;80,""
),"")</f>
        <v/>
      </c>
      <c r="V415" s="51"/>
      <c r="W415" s="51"/>
      <c r="X415" s="51"/>
      <c r="Y415" s="51"/>
      <c r="Z415" s="51"/>
      <c r="AA415" s="51"/>
      <c r="AB415" s="51"/>
      <c r="AC415" s="51"/>
      <c r="AD415" s="32" t="str">
        <f t="shared" si="18"/>
        <v/>
      </c>
      <c r="AE415" s="32"/>
      <c r="AF415" s="32"/>
      <c r="AG415" s="32"/>
      <c r="AH415" s="32"/>
      <c r="AI415" s="32"/>
      <c r="AJ415" s="32"/>
      <c r="AK415" s="32"/>
      <c r="AL415" s="32"/>
    </row>
    <row r="416" spans="1:38">
      <c r="A416" s="32" t="str">
        <f>_xlfn.TEXTJOIN("",TRUE,_xlfn.XLOOKUP(B416,Input!J:J,Input!G:G,"",0,1),_xlfn.XLOOKUP(B416,Input!J:J,Input!H:H,"",0,1))</f>
        <v/>
      </c>
      <c r="B416" s="32"/>
      <c r="C416" s="51">
        <f>_xlfn.XLOOKUP(B416,Input!J:J,Input!F:F)</f>
        <v>0</v>
      </c>
      <c r="D416" s="32">
        <f>_xlfn.XLOOKUP(C416,Models!H:H,Models!G:G,C416)</f>
        <v>0</v>
      </c>
      <c r="E416" s="32">
        <f>_xlfn.XLOOKUP(B416,Input!J:J,Input!E:E)</f>
        <v>0</v>
      </c>
      <c r="F416" s="32">
        <f>IF(E416="LENOVO",_xlfn.XLOOKUP(B416,Input!J:J,Input!K:K),_xlfn.XLOOKUP(B416,Input!J:J,Input!L:L))</f>
        <v>0</v>
      </c>
      <c r="G416" s="32"/>
      <c r="H416" s="32"/>
      <c r="I416" s="32"/>
      <c r="J416" s="51" t="e">
        <f>INDEX(Input!$D$2:$AC$500,
       MATCH(B416, Input!$J$2:$J$500, 0),
       MATCH("Total Memory", Input!$D$1:$AC$1, 0))</f>
        <v>#N/A</v>
      </c>
      <c r="K416" s="51"/>
      <c r="L416" s="51" t="str" cm="1">
        <f t="array" ref="L416">IFERROR(_xlfn.FILTERXML("&lt;t&gt;&lt;s&gt;" &amp; SUBSTITUTE(K416," / ","&lt;/s&gt;&lt;s&gt;") &amp; "&lt;/s&gt;&lt;/t&gt;","(//s[contains(.,'DDR')])[1]"),"")</f>
        <v/>
      </c>
      <c r="M416" s="32" t="e">
        <f t="shared" si="20"/>
        <v>#N/A</v>
      </c>
      <c r="N416" s="51" t="e">
        <f>INDEX(Input!$D$2:$AC$500,
       MATCH(B416, Input!$J$2:$J$500, 0),
       MATCH("Disk Interface Type", Input!$D$1:$AC$1, 0))</f>
        <v>#N/A</v>
      </c>
      <c r="O416" s="51" t="str" cm="1">
        <f t="array" ref="O416">IFERROR(_xlfn.TEXTJOIN(", ", TRUE, _xlfn._xlws.FILTER(
    INDEX(Input!$D$2:$AC$500,,MATCH("Disk Capacity",Input!$D$1:$AC$1,0)),
    Input!$J$2:$J$500=B416
)), "")</f>
        <v/>
      </c>
      <c r="P416" s="32" t="e">
        <f t="shared" si="19"/>
        <v>#N/A</v>
      </c>
      <c r="Q416" s="51" t="e">
        <f>_xlfn.LET(_xlpm.Result,INDEX(Input!$D$2:$AC$500,
       MATCH(B416, Input!$J$2:$J$500, 0),
       MATCH("Capacity", Input!$D$1:$AC$1, 0)),IF(_xlpm.Result="","",_xlpm.Result))</f>
        <v>#N/A</v>
      </c>
      <c r="R416" s="51" t="e" cm="1">
        <f t="array" ref="R416">_xlfn.TEXTSPLIT(Q416," / ", ,TRUE,0,)</f>
        <v>#N/A</v>
      </c>
      <c r="S416" s="51"/>
      <c r="T416" s="51" t="str" cm="1">
        <f t="array" ref="T416">IFERROR(_xlfn.IFS(
R416="","",
--R416&lt;55,"Battery Defect",
--R416&lt;=69,"Battery D",
--R416&lt;=80,"Battery C",
--R416&gt;80,""
),"")</f>
        <v/>
      </c>
      <c r="U416" s="51" t="str" cm="1">
        <f t="array" ref="U416">IFERROR(_xlfn.IFS(
S416="","",
--S416&lt;55,"Battery Defect",
--S416&lt;=69,"Battery D",
--S416&lt;=80,"Battery C",
--S416&gt;80,""
),"")</f>
        <v/>
      </c>
      <c r="V416" s="51"/>
      <c r="W416" s="51"/>
      <c r="X416" s="51"/>
      <c r="Y416" s="51"/>
      <c r="Z416" s="51"/>
      <c r="AA416" s="51"/>
      <c r="AB416" s="51"/>
      <c r="AC416" s="51"/>
      <c r="AD416" s="32" t="str">
        <f t="shared" si="18"/>
        <v/>
      </c>
      <c r="AE416" s="32"/>
      <c r="AF416" s="32"/>
      <c r="AG416" s="32"/>
      <c r="AH416" s="32"/>
      <c r="AI416" s="32"/>
      <c r="AJ416" s="32"/>
      <c r="AK416" s="32"/>
      <c r="AL416" s="32"/>
    </row>
    <row r="417" spans="1:38">
      <c r="A417" s="32" t="str">
        <f>_xlfn.TEXTJOIN("",TRUE,_xlfn.XLOOKUP(B417,Input!J:J,Input!G:G,"",0,1),_xlfn.XLOOKUP(B417,Input!J:J,Input!H:H,"",0,1))</f>
        <v/>
      </c>
      <c r="B417" s="32"/>
      <c r="C417" s="51">
        <f>_xlfn.XLOOKUP(B417,Input!J:J,Input!F:F)</f>
        <v>0</v>
      </c>
      <c r="D417" s="32">
        <f>_xlfn.XLOOKUP(C417,Models!H:H,Models!G:G,C417)</f>
        <v>0</v>
      </c>
      <c r="E417" s="32">
        <f>_xlfn.XLOOKUP(B417,Input!J:J,Input!E:E)</f>
        <v>0</v>
      </c>
      <c r="F417" s="32">
        <f>IF(E417="LENOVO",_xlfn.XLOOKUP(B417,Input!J:J,Input!K:K),_xlfn.XLOOKUP(B417,Input!J:J,Input!L:L))</f>
        <v>0</v>
      </c>
      <c r="G417" s="32"/>
      <c r="H417" s="32"/>
      <c r="I417" s="32"/>
      <c r="J417" s="51" t="e">
        <f>INDEX(Input!$D$2:$AC$500,
       MATCH(B417, Input!$J$2:$J$500, 0),
       MATCH("Total Memory", Input!$D$1:$AC$1, 0))</f>
        <v>#N/A</v>
      </c>
      <c r="K417" s="51"/>
      <c r="L417" s="51" t="str" cm="1">
        <f t="array" ref="L417">IFERROR(_xlfn.FILTERXML("&lt;t&gt;&lt;s&gt;" &amp; SUBSTITUTE(K417," / ","&lt;/s&gt;&lt;s&gt;") &amp; "&lt;/s&gt;&lt;/t&gt;","(//s[contains(.,'DDR')])[1]"),"")</f>
        <v/>
      </c>
      <c r="M417" s="32" t="e">
        <f t="shared" si="20"/>
        <v>#N/A</v>
      </c>
      <c r="N417" s="51" t="e">
        <f>INDEX(Input!$D$2:$AC$500,
       MATCH(B417, Input!$J$2:$J$500, 0),
       MATCH("Disk Interface Type", Input!$D$1:$AC$1, 0))</f>
        <v>#N/A</v>
      </c>
      <c r="O417" s="51" t="str" cm="1">
        <f t="array" ref="O417">IFERROR(_xlfn.TEXTJOIN(", ", TRUE, _xlfn._xlws.FILTER(
    INDEX(Input!$D$2:$AC$500,,MATCH("Disk Capacity",Input!$D$1:$AC$1,0)),
    Input!$J$2:$J$500=B417
)), "")</f>
        <v/>
      </c>
      <c r="P417" s="32" t="e">
        <f t="shared" si="19"/>
        <v>#N/A</v>
      </c>
      <c r="Q417" s="51" t="e">
        <f>_xlfn.LET(_xlpm.Result,INDEX(Input!$D$2:$AC$500,
       MATCH(B417, Input!$J$2:$J$500, 0),
       MATCH("Capacity", Input!$D$1:$AC$1, 0)),IF(_xlpm.Result="","",_xlpm.Result))</f>
        <v>#N/A</v>
      </c>
      <c r="R417" s="51" t="e" cm="1">
        <f t="array" ref="R417">_xlfn.TEXTSPLIT(Q417," / ", ,TRUE,0,)</f>
        <v>#N/A</v>
      </c>
      <c r="S417" s="51"/>
      <c r="T417" s="51" t="str" cm="1">
        <f t="array" ref="T417">IFERROR(_xlfn.IFS(
R417="","",
--R417&lt;55,"Battery Defect",
--R417&lt;=69,"Battery D",
--R417&lt;=80,"Battery C",
--R417&gt;80,""
),"")</f>
        <v/>
      </c>
      <c r="U417" s="51" t="str" cm="1">
        <f t="array" ref="U417">IFERROR(_xlfn.IFS(
S417="","",
--S417&lt;55,"Battery Defect",
--S417&lt;=69,"Battery D",
--S417&lt;=80,"Battery C",
--S417&gt;80,""
),"")</f>
        <v/>
      </c>
      <c r="V417" s="51"/>
      <c r="W417" s="51"/>
      <c r="X417" s="51"/>
      <c r="Y417" s="51"/>
      <c r="Z417" s="51"/>
      <c r="AA417" s="51"/>
      <c r="AB417" s="51"/>
      <c r="AC417" s="51"/>
      <c r="AD417" s="32" t="str">
        <f t="shared" si="18"/>
        <v/>
      </c>
      <c r="AE417" s="32"/>
      <c r="AF417" s="32"/>
      <c r="AG417" s="32"/>
      <c r="AH417" s="32"/>
      <c r="AI417" s="32"/>
      <c r="AJ417" s="32"/>
      <c r="AK417" s="32"/>
      <c r="AL417" s="32"/>
    </row>
    <row r="418" spans="1:38">
      <c r="A418" s="32" t="str">
        <f>_xlfn.TEXTJOIN("",TRUE,_xlfn.XLOOKUP(B418,Input!J:J,Input!G:G,"",0,1),_xlfn.XLOOKUP(B418,Input!J:J,Input!H:H,"",0,1))</f>
        <v/>
      </c>
      <c r="B418" s="32"/>
      <c r="C418" s="51">
        <f>_xlfn.XLOOKUP(B418,Input!J:J,Input!F:F)</f>
        <v>0</v>
      </c>
      <c r="D418" s="32">
        <f>_xlfn.XLOOKUP(C418,Models!H:H,Models!G:G,C418)</f>
        <v>0</v>
      </c>
      <c r="E418" s="32">
        <f>_xlfn.XLOOKUP(B418,Input!J:J,Input!E:E)</f>
        <v>0</v>
      </c>
      <c r="F418" s="32">
        <f>IF(E418="LENOVO",_xlfn.XLOOKUP(B418,Input!J:J,Input!K:K),_xlfn.XLOOKUP(B418,Input!J:J,Input!L:L))</f>
        <v>0</v>
      </c>
      <c r="G418" s="32"/>
      <c r="H418" s="32"/>
      <c r="I418" s="32"/>
      <c r="J418" s="51" t="e">
        <f>INDEX(Input!$D$2:$AC$500,
       MATCH(B418, Input!$J$2:$J$500, 0),
       MATCH("Total Memory", Input!$D$1:$AC$1, 0))</f>
        <v>#N/A</v>
      </c>
      <c r="K418" s="51"/>
      <c r="L418" s="51" t="str" cm="1">
        <f t="array" ref="L418">IFERROR(_xlfn.FILTERXML("&lt;t&gt;&lt;s&gt;" &amp; SUBSTITUTE(K418," / ","&lt;/s&gt;&lt;s&gt;") &amp; "&lt;/s&gt;&lt;/t&gt;","(//s[contains(.,'DDR')])[1]"),"")</f>
        <v/>
      </c>
      <c r="M418" s="32" t="e">
        <f t="shared" si="20"/>
        <v>#N/A</v>
      </c>
      <c r="N418" s="51" t="e">
        <f>INDEX(Input!$D$2:$AC$500,
       MATCH(B418, Input!$J$2:$J$500, 0),
       MATCH("Disk Interface Type", Input!$D$1:$AC$1, 0))</f>
        <v>#N/A</v>
      </c>
      <c r="O418" s="51" t="str" cm="1">
        <f t="array" ref="O418">IFERROR(_xlfn.TEXTJOIN(", ", TRUE, _xlfn._xlws.FILTER(
    INDEX(Input!$D$2:$AC$500,,MATCH("Disk Capacity",Input!$D$1:$AC$1,0)),
    Input!$J$2:$J$500=B418
)), "")</f>
        <v/>
      </c>
      <c r="P418" s="32" t="e">
        <f t="shared" si="19"/>
        <v>#N/A</v>
      </c>
      <c r="Q418" s="51" t="e">
        <f>_xlfn.LET(_xlpm.Result,INDEX(Input!$D$2:$AC$500,
       MATCH(B418, Input!$J$2:$J$500, 0),
       MATCH("Capacity", Input!$D$1:$AC$1, 0)),IF(_xlpm.Result="","",_xlpm.Result))</f>
        <v>#N/A</v>
      </c>
      <c r="R418" s="51" t="e" cm="1">
        <f t="array" ref="R418">_xlfn.TEXTSPLIT(Q418," / ", ,TRUE,0,)</f>
        <v>#N/A</v>
      </c>
      <c r="S418" s="51"/>
      <c r="T418" s="51" t="str" cm="1">
        <f t="array" ref="T418">IFERROR(_xlfn.IFS(
R418="","",
--R418&lt;55,"Battery Defect",
--R418&lt;=69,"Battery D",
--R418&lt;=80,"Battery C",
--R418&gt;80,""
),"")</f>
        <v/>
      </c>
      <c r="U418" s="51" t="str" cm="1">
        <f t="array" ref="U418">IFERROR(_xlfn.IFS(
S418="","",
--S418&lt;55,"Battery Defect",
--S418&lt;=69,"Battery D",
--S418&lt;=80,"Battery C",
--S418&gt;80,""
),"")</f>
        <v/>
      </c>
      <c r="V418" s="51"/>
      <c r="W418" s="51"/>
      <c r="X418" s="51"/>
      <c r="Y418" s="51"/>
      <c r="Z418" s="51"/>
      <c r="AA418" s="51"/>
      <c r="AB418" s="51"/>
      <c r="AC418" s="51"/>
      <c r="AD418" s="32" t="str">
        <f t="shared" si="18"/>
        <v/>
      </c>
      <c r="AE418" s="32"/>
      <c r="AF418" s="32"/>
      <c r="AG418" s="32"/>
      <c r="AH418" s="32"/>
      <c r="AI418" s="32"/>
      <c r="AJ418" s="32"/>
      <c r="AK418" s="32"/>
      <c r="AL418" s="32"/>
    </row>
    <row r="419" spans="1:38">
      <c r="A419" s="32" t="str">
        <f>_xlfn.TEXTJOIN("",TRUE,_xlfn.XLOOKUP(B419,Input!J:J,Input!G:G,"",0,1),_xlfn.XLOOKUP(B419,Input!J:J,Input!H:H,"",0,1))</f>
        <v/>
      </c>
      <c r="B419" s="32"/>
      <c r="C419" s="51">
        <f>_xlfn.XLOOKUP(B419,Input!J:J,Input!F:F)</f>
        <v>0</v>
      </c>
      <c r="D419" s="32">
        <f>_xlfn.XLOOKUP(C419,Models!H:H,Models!G:G,C419)</f>
        <v>0</v>
      </c>
      <c r="E419" s="32">
        <f>_xlfn.XLOOKUP(B419,Input!J:J,Input!E:E)</f>
        <v>0</v>
      </c>
      <c r="F419" s="32">
        <f>IF(E419="LENOVO",_xlfn.XLOOKUP(B419,Input!J:J,Input!K:K),_xlfn.XLOOKUP(B419,Input!J:J,Input!L:L))</f>
        <v>0</v>
      </c>
      <c r="G419" s="32"/>
      <c r="H419" s="32"/>
      <c r="I419" s="32"/>
      <c r="J419" s="51" t="e">
        <f>INDEX(Input!$D$2:$AC$500,
       MATCH(B419, Input!$J$2:$J$500, 0),
       MATCH("Total Memory", Input!$D$1:$AC$1, 0))</f>
        <v>#N/A</v>
      </c>
      <c r="K419" s="51"/>
      <c r="L419" s="51" t="str" cm="1">
        <f t="array" ref="L419">IFERROR(_xlfn.FILTERXML("&lt;t&gt;&lt;s&gt;" &amp; SUBSTITUTE(K419," / ","&lt;/s&gt;&lt;s&gt;") &amp; "&lt;/s&gt;&lt;/t&gt;","(//s[contains(.,'DDR')])[1]"),"")</f>
        <v/>
      </c>
      <c r="M419" s="32" t="e">
        <f t="shared" si="20"/>
        <v>#N/A</v>
      </c>
      <c r="N419" s="51" t="e">
        <f>INDEX(Input!$D$2:$AC$500,
       MATCH(B419, Input!$J$2:$J$500, 0),
       MATCH("Disk Interface Type", Input!$D$1:$AC$1, 0))</f>
        <v>#N/A</v>
      </c>
      <c r="O419" s="51" t="str" cm="1">
        <f t="array" ref="O419">IFERROR(_xlfn.TEXTJOIN(", ", TRUE, _xlfn._xlws.FILTER(
    INDEX(Input!$D$2:$AC$500,,MATCH("Disk Capacity",Input!$D$1:$AC$1,0)),
    Input!$J$2:$J$500=B419
)), "")</f>
        <v/>
      </c>
      <c r="P419" s="32" t="e">
        <f t="shared" si="19"/>
        <v>#N/A</v>
      </c>
      <c r="Q419" s="51" t="e">
        <f>_xlfn.LET(_xlpm.Result,INDEX(Input!$D$2:$AC$500,
       MATCH(B419, Input!$J$2:$J$500, 0),
       MATCH("Capacity", Input!$D$1:$AC$1, 0)),IF(_xlpm.Result="","",_xlpm.Result))</f>
        <v>#N/A</v>
      </c>
      <c r="R419" s="51" t="e" cm="1">
        <f t="array" ref="R419">_xlfn.TEXTSPLIT(Q419," / ", ,TRUE,0,)</f>
        <v>#N/A</v>
      </c>
      <c r="S419" s="51"/>
      <c r="T419" s="51" t="str" cm="1">
        <f t="array" ref="T419">IFERROR(_xlfn.IFS(
R419="","",
--R419&lt;55,"Battery Defect",
--R419&lt;=69,"Battery D",
--R419&lt;=80,"Battery C",
--R419&gt;80,""
),"")</f>
        <v/>
      </c>
      <c r="U419" s="51" t="str" cm="1">
        <f t="array" ref="U419">IFERROR(_xlfn.IFS(
S419="","",
--S419&lt;55,"Battery Defect",
--S419&lt;=69,"Battery D",
--S419&lt;=80,"Battery C",
--S419&gt;80,""
),"")</f>
        <v/>
      </c>
      <c r="V419" s="51"/>
      <c r="W419" s="51"/>
      <c r="X419" s="51"/>
      <c r="Y419" s="51"/>
      <c r="Z419" s="51"/>
      <c r="AA419" s="51"/>
      <c r="AB419" s="51"/>
      <c r="AC419" s="51"/>
      <c r="AD419" s="32" t="str">
        <f t="shared" si="18"/>
        <v/>
      </c>
      <c r="AE419" s="32"/>
      <c r="AF419" s="32"/>
      <c r="AG419" s="32"/>
      <c r="AH419" s="32"/>
      <c r="AI419" s="32"/>
      <c r="AJ419" s="32"/>
      <c r="AK419" s="32"/>
      <c r="AL419" s="32"/>
    </row>
    <row r="420" spans="1:38">
      <c r="A420" s="32" t="str">
        <f>_xlfn.TEXTJOIN("",TRUE,_xlfn.XLOOKUP(B420,Input!J:J,Input!G:G,"",0,1),_xlfn.XLOOKUP(B420,Input!J:J,Input!H:H,"",0,1))</f>
        <v/>
      </c>
      <c r="B420" s="32"/>
      <c r="C420" s="51">
        <f>_xlfn.XLOOKUP(B420,Input!J:J,Input!F:F)</f>
        <v>0</v>
      </c>
      <c r="D420" s="32">
        <f>_xlfn.XLOOKUP(C420,Models!H:H,Models!G:G,C420)</f>
        <v>0</v>
      </c>
      <c r="E420" s="32">
        <f>_xlfn.XLOOKUP(B420,Input!J:J,Input!E:E)</f>
        <v>0</v>
      </c>
      <c r="F420" s="32">
        <f>IF(E420="LENOVO",_xlfn.XLOOKUP(B420,Input!J:J,Input!K:K),_xlfn.XLOOKUP(B420,Input!J:J,Input!L:L))</f>
        <v>0</v>
      </c>
      <c r="G420" s="32"/>
      <c r="H420" s="32"/>
      <c r="I420" s="32"/>
      <c r="J420" s="51" t="e">
        <f>INDEX(Input!$D$2:$AC$500,
       MATCH(B420, Input!$J$2:$J$500, 0),
       MATCH("Total Memory", Input!$D$1:$AC$1, 0))</f>
        <v>#N/A</v>
      </c>
      <c r="K420" s="51"/>
      <c r="L420" s="51" t="str" cm="1">
        <f t="array" ref="L420">IFERROR(_xlfn.FILTERXML("&lt;t&gt;&lt;s&gt;" &amp; SUBSTITUTE(K420," / ","&lt;/s&gt;&lt;s&gt;") &amp; "&lt;/s&gt;&lt;/t&gt;","(//s[contains(.,'DDR')])[1]"),"")</f>
        <v/>
      </c>
      <c r="M420" s="32" t="e">
        <f t="shared" si="20"/>
        <v>#N/A</v>
      </c>
      <c r="N420" s="51" t="e">
        <f>INDEX(Input!$D$2:$AC$500,
       MATCH(B420, Input!$J$2:$J$500, 0),
       MATCH("Disk Interface Type", Input!$D$1:$AC$1, 0))</f>
        <v>#N/A</v>
      </c>
      <c r="O420" s="51" t="str" cm="1">
        <f t="array" ref="O420">IFERROR(_xlfn.TEXTJOIN(", ", TRUE, _xlfn._xlws.FILTER(
    INDEX(Input!$D$2:$AC$500,,MATCH("Disk Capacity",Input!$D$1:$AC$1,0)),
    Input!$J$2:$J$500=B420
)), "")</f>
        <v/>
      </c>
      <c r="P420" s="32" t="e">
        <f t="shared" si="19"/>
        <v>#N/A</v>
      </c>
      <c r="Q420" s="51" t="e">
        <f>_xlfn.LET(_xlpm.Result,INDEX(Input!$D$2:$AC$500,
       MATCH(B420, Input!$J$2:$J$500, 0),
       MATCH("Capacity", Input!$D$1:$AC$1, 0)),IF(_xlpm.Result="","",_xlpm.Result))</f>
        <v>#N/A</v>
      </c>
      <c r="R420" s="51" t="e" cm="1">
        <f t="array" ref="R420">_xlfn.TEXTSPLIT(Q420," / ", ,TRUE,0,)</f>
        <v>#N/A</v>
      </c>
      <c r="S420" s="51"/>
      <c r="T420" s="51" t="str" cm="1">
        <f t="array" ref="T420">IFERROR(_xlfn.IFS(
R420="","",
--R420&lt;55,"Battery Defect",
--R420&lt;=69,"Battery D",
--R420&lt;=80,"Battery C",
--R420&gt;80,""
),"")</f>
        <v/>
      </c>
      <c r="U420" s="51" t="str" cm="1">
        <f t="array" ref="U420">IFERROR(_xlfn.IFS(
S420="","",
--S420&lt;55,"Battery Defect",
--S420&lt;=69,"Battery D",
--S420&lt;=80,"Battery C",
--S420&gt;80,""
),"")</f>
        <v/>
      </c>
      <c r="V420" s="51"/>
      <c r="W420" s="51"/>
      <c r="X420" s="51"/>
      <c r="Y420" s="51"/>
      <c r="Z420" s="51"/>
      <c r="AA420" s="51"/>
      <c r="AB420" s="51"/>
      <c r="AC420" s="51"/>
      <c r="AD420" s="32" t="str">
        <f t="shared" si="18"/>
        <v/>
      </c>
      <c r="AE420" s="32"/>
      <c r="AF420" s="32"/>
      <c r="AG420" s="32"/>
      <c r="AH420" s="32"/>
      <c r="AI420" s="32"/>
      <c r="AJ420" s="32"/>
      <c r="AK420" s="32"/>
      <c r="AL420" s="32"/>
    </row>
    <row r="421" spans="1:38">
      <c r="A421" s="32" t="str">
        <f>_xlfn.TEXTJOIN("",TRUE,_xlfn.XLOOKUP(B421,Input!J:J,Input!G:G,"",0,1),_xlfn.XLOOKUP(B421,Input!J:J,Input!H:H,"",0,1))</f>
        <v/>
      </c>
      <c r="B421" s="32"/>
      <c r="C421" s="51">
        <f>_xlfn.XLOOKUP(B421,Input!J:J,Input!F:F)</f>
        <v>0</v>
      </c>
      <c r="D421" s="32">
        <f>_xlfn.XLOOKUP(C421,Models!H:H,Models!G:G,C421)</f>
        <v>0</v>
      </c>
      <c r="E421" s="32">
        <f>_xlfn.XLOOKUP(B421,Input!J:J,Input!E:E)</f>
        <v>0</v>
      </c>
      <c r="F421" s="32">
        <f>IF(E421="LENOVO",_xlfn.XLOOKUP(B421,Input!J:J,Input!K:K),_xlfn.XLOOKUP(B421,Input!J:J,Input!L:L))</f>
        <v>0</v>
      </c>
      <c r="G421" s="32"/>
      <c r="H421" s="32"/>
      <c r="I421" s="32"/>
      <c r="J421" s="51" t="e">
        <f>INDEX(Input!$D$2:$AC$500,
       MATCH(B421, Input!$J$2:$J$500, 0),
       MATCH("Total Memory", Input!$D$1:$AC$1, 0))</f>
        <v>#N/A</v>
      </c>
      <c r="K421" s="51"/>
      <c r="L421" s="51" t="str" cm="1">
        <f t="array" ref="L421">IFERROR(_xlfn.FILTERXML("&lt;t&gt;&lt;s&gt;" &amp; SUBSTITUTE(K421," / ","&lt;/s&gt;&lt;s&gt;") &amp; "&lt;/s&gt;&lt;/t&gt;","(//s[contains(.,'DDR')])[1]"),"")</f>
        <v/>
      </c>
      <c r="M421" s="32" t="e">
        <f t="shared" si="20"/>
        <v>#N/A</v>
      </c>
      <c r="N421" s="51" t="e">
        <f>INDEX(Input!$D$2:$AC$500,
       MATCH(B421, Input!$J$2:$J$500, 0),
       MATCH("Disk Interface Type", Input!$D$1:$AC$1, 0))</f>
        <v>#N/A</v>
      </c>
      <c r="O421" s="51" t="str" cm="1">
        <f t="array" ref="O421">IFERROR(_xlfn.TEXTJOIN(", ", TRUE, _xlfn._xlws.FILTER(
    INDEX(Input!$D$2:$AC$500,,MATCH("Disk Capacity",Input!$D$1:$AC$1,0)),
    Input!$J$2:$J$500=B421
)), "")</f>
        <v/>
      </c>
      <c r="P421" s="32" t="e">
        <f t="shared" si="19"/>
        <v>#N/A</v>
      </c>
      <c r="Q421" s="51" t="e">
        <f>_xlfn.LET(_xlpm.Result,INDEX(Input!$D$2:$AC$500,
       MATCH(B421, Input!$J$2:$J$500, 0),
       MATCH("Capacity", Input!$D$1:$AC$1, 0)),IF(_xlpm.Result="","",_xlpm.Result))</f>
        <v>#N/A</v>
      </c>
      <c r="R421" s="51" t="e" cm="1">
        <f t="array" ref="R421">_xlfn.TEXTSPLIT(Q421," / ", ,TRUE,0,)</f>
        <v>#N/A</v>
      </c>
      <c r="S421" s="51"/>
      <c r="T421" s="51" t="str" cm="1">
        <f t="array" ref="T421">IFERROR(_xlfn.IFS(
R421="","",
--R421&lt;55,"Battery Defect",
--R421&lt;=69,"Battery D",
--R421&lt;=80,"Battery C",
--R421&gt;80,""
),"")</f>
        <v/>
      </c>
      <c r="U421" s="51" t="str" cm="1">
        <f t="array" ref="U421">IFERROR(_xlfn.IFS(
S421="","",
--S421&lt;55,"Battery Defect",
--S421&lt;=69,"Battery D",
--S421&lt;=80,"Battery C",
--S421&gt;80,""
),"")</f>
        <v/>
      </c>
      <c r="V421" s="51"/>
      <c r="W421" s="51"/>
      <c r="X421" s="51"/>
      <c r="Y421" s="51"/>
      <c r="Z421" s="51"/>
      <c r="AA421" s="51"/>
      <c r="AB421" s="51"/>
      <c r="AC421" s="51"/>
      <c r="AD421" s="32" t="str">
        <f t="shared" si="18"/>
        <v/>
      </c>
      <c r="AE421" s="32"/>
      <c r="AF421" s="32"/>
      <c r="AG421" s="32"/>
      <c r="AH421" s="32"/>
      <c r="AI421" s="32"/>
      <c r="AJ421" s="32"/>
      <c r="AK421" s="32"/>
      <c r="AL421" s="32"/>
    </row>
    <row r="422" spans="1:38">
      <c r="A422" s="32" t="str">
        <f>_xlfn.TEXTJOIN("",TRUE,_xlfn.XLOOKUP(B422,Input!J:J,Input!G:G,"",0,1),_xlfn.XLOOKUP(B422,Input!J:J,Input!H:H,"",0,1))</f>
        <v/>
      </c>
      <c r="B422" s="32"/>
      <c r="C422" s="51">
        <f>_xlfn.XLOOKUP(B422,Input!J:J,Input!F:F)</f>
        <v>0</v>
      </c>
      <c r="D422" s="32">
        <f>_xlfn.XLOOKUP(C422,Models!H:H,Models!G:G,C422)</f>
        <v>0</v>
      </c>
      <c r="E422" s="32">
        <f>_xlfn.XLOOKUP(B422,Input!J:J,Input!E:E)</f>
        <v>0</v>
      </c>
      <c r="F422" s="32">
        <f>IF(E422="LENOVO",_xlfn.XLOOKUP(B422,Input!J:J,Input!K:K),_xlfn.XLOOKUP(B422,Input!J:J,Input!L:L))</f>
        <v>0</v>
      </c>
      <c r="G422" s="32"/>
      <c r="H422" s="32"/>
      <c r="I422" s="32"/>
      <c r="J422" s="51" t="e">
        <f>INDEX(Input!$D$2:$AC$500,
       MATCH(B422, Input!$J$2:$J$500, 0),
       MATCH("Total Memory", Input!$D$1:$AC$1, 0))</f>
        <v>#N/A</v>
      </c>
      <c r="K422" s="51"/>
      <c r="L422" s="51" t="str" cm="1">
        <f t="array" ref="L422">IFERROR(_xlfn.FILTERXML("&lt;t&gt;&lt;s&gt;" &amp; SUBSTITUTE(K422," / ","&lt;/s&gt;&lt;s&gt;") &amp; "&lt;/s&gt;&lt;/t&gt;","(//s[contains(.,'DDR')])[1]"),"")</f>
        <v/>
      </c>
      <c r="M422" s="32" t="e">
        <f t="shared" si="20"/>
        <v>#N/A</v>
      </c>
      <c r="N422" s="51" t="e">
        <f>INDEX(Input!$D$2:$AC$500,
       MATCH(B422, Input!$J$2:$J$500, 0),
       MATCH("Disk Interface Type", Input!$D$1:$AC$1, 0))</f>
        <v>#N/A</v>
      </c>
      <c r="O422" s="51" t="str" cm="1">
        <f t="array" ref="O422">IFERROR(_xlfn.TEXTJOIN(", ", TRUE, _xlfn._xlws.FILTER(
    INDEX(Input!$D$2:$AC$500,,MATCH("Disk Capacity",Input!$D$1:$AC$1,0)),
    Input!$J$2:$J$500=B422
)), "")</f>
        <v/>
      </c>
      <c r="P422" s="32" t="e">
        <f t="shared" si="19"/>
        <v>#N/A</v>
      </c>
      <c r="Q422" s="51" t="e">
        <f>_xlfn.LET(_xlpm.Result,INDEX(Input!$D$2:$AC$500,
       MATCH(B422, Input!$J$2:$J$500, 0),
       MATCH("Capacity", Input!$D$1:$AC$1, 0)),IF(_xlpm.Result="","",_xlpm.Result))</f>
        <v>#N/A</v>
      </c>
      <c r="R422" s="51" t="e" cm="1">
        <f t="array" ref="R422">_xlfn.TEXTSPLIT(Q422," / ", ,TRUE,0,)</f>
        <v>#N/A</v>
      </c>
      <c r="S422" s="51"/>
      <c r="T422" s="51" t="str" cm="1">
        <f t="array" ref="T422">IFERROR(_xlfn.IFS(
R422="","",
--R422&lt;55,"Battery Defect",
--R422&lt;=69,"Battery D",
--R422&lt;=80,"Battery C",
--R422&gt;80,""
),"")</f>
        <v/>
      </c>
      <c r="U422" s="51" t="str" cm="1">
        <f t="array" ref="U422">IFERROR(_xlfn.IFS(
S422="","",
--S422&lt;55,"Battery Defect",
--S422&lt;=69,"Battery D",
--S422&lt;=80,"Battery C",
--S422&gt;80,""
),"")</f>
        <v/>
      </c>
      <c r="V422" s="51"/>
      <c r="W422" s="51"/>
      <c r="X422" s="51"/>
      <c r="Y422" s="51"/>
      <c r="Z422" s="51"/>
      <c r="AA422" s="51"/>
      <c r="AB422" s="51"/>
      <c r="AC422" s="51"/>
      <c r="AD422" s="32" t="str">
        <f t="shared" si="18"/>
        <v/>
      </c>
      <c r="AE422" s="32"/>
      <c r="AF422" s="32"/>
      <c r="AG422" s="32"/>
      <c r="AH422" s="32"/>
      <c r="AI422" s="32"/>
      <c r="AJ422" s="32"/>
      <c r="AK422" s="32"/>
      <c r="AL422" s="32"/>
    </row>
    <row r="423" spans="1:38">
      <c r="A423" s="32" t="str">
        <f>_xlfn.TEXTJOIN("",TRUE,_xlfn.XLOOKUP(B423,Input!J:J,Input!G:G,"",0,1),_xlfn.XLOOKUP(B423,Input!J:J,Input!H:H,"",0,1))</f>
        <v/>
      </c>
      <c r="B423" s="32"/>
      <c r="C423" s="51">
        <f>_xlfn.XLOOKUP(B423,Input!J:J,Input!F:F)</f>
        <v>0</v>
      </c>
      <c r="D423" s="32">
        <f>_xlfn.XLOOKUP(C423,Models!H:H,Models!G:G,C423)</f>
        <v>0</v>
      </c>
      <c r="E423" s="32">
        <f>_xlfn.XLOOKUP(B423,Input!J:J,Input!E:E)</f>
        <v>0</v>
      </c>
      <c r="F423" s="32">
        <f>IF(E423="LENOVO",_xlfn.XLOOKUP(B423,Input!J:J,Input!K:K),_xlfn.XLOOKUP(B423,Input!J:J,Input!L:L))</f>
        <v>0</v>
      </c>
      <c r="G423" s="32"/>
      <c r="H423" s="32"/>
      <c r="I423" s="32"/>
      <c r="J423" s="51" t="e">
        <f>INDEX(Input!$D$2:$AC$500,
       MATCH(B423, Input!$J$2:$J$500, 0),
       MATCH("Total Memory", Input!$D$1:$AC$1, 0))</f>
        <v>#N/A</v>
      </c>
      <c r="K423" s="51"/>
      <c r="L423" s="51" t="str" cm="1">
        <f t="array" ref="L423">IFERROR(_xlfn.FILTERXML("&lt;t&gt;&lt;s&gt;" &amp; SUBSTITUTE(K423," / ","&lt;/s&gt;&lt;s&gt;") &amp; "&lt;/s&gt;&lt;/t&gt;","(//s[contains(.,'DDR')])[1]"),"")</f>
        <v/>
      </c>
      <c r="M423" s="32" t="e">
        <f t="shared" si="20"/>
        <v>#N/A</v>
      </c>
      <c r="N423" s="51" t="e">
        <f>INDEX(Input!$D$2:$AC$500,
       MATCH(B423, Input!$J$2:$J$500, 0),
       MATCH("Disk Interface Type", Input!$D$1:$AC$1, 0))</f>
        <v>#N/A</v>
      </c>
      <c r="O423" s="51" t="str" cm="1">
        <f t="array" ref="O423">IFERROR(_xlfn.TEXTJOIN(", ", TRUE, _xlfn._xlws.FILTER(
    INDEX(Input!$D$2:$AC$500,,MATCH("Disk Capacity",Input!$D$1:$AC$1,0)),
    Input!$J$2:$J$500=B423
)), "")</f>
        <v/>
      </c>
      <c r="P423" s="32" t="e">
        <f t="shared" si="19"/>
        <v>#N/A</v>
      </c>
      <c r="Q423" s="51" t="e">
        <f>_xlfn.LET(_xlpm.Result,INDEX(Input!$D$2:$AC$500,
       MATCH(B423, Input!$J$2:$J$500, 0),
       MATCH("Capacity", Input!$D$1:$AC$1, 0)),IF(_xlpm.Result="","",_xlpm.Result))</f>
        <v>#N/A</v>
      </c>
      <c r="R423" s="51" t="e" cm="1">
        <f t="array" ref="R423">_xlfn.TEXTSPLIT(Q423," / ", ,TRUE,0,)</f>
        <v>#N/A</v>
      </c>
      <c r="S423" s="51"/>
      <c r="T423" s="51" t="str" cm="1">
        <f t="array" ref="T423">IFERROR(_xlfn.IFS(
R423="","",
--R423&lt;55,"Battery Defect",
--R423&lt;=69,"Battery D",
--R423&lt;=80,"Battery C",
--R423&gt;80,""
),"")</f>
        <v/>
      </c>
      <c r="U423" s="51" t="str" cm="1">
        <f t="array" ref="U423">IFERROR(_xlfn.IFS(
S423="","",
--S423&lt;55,"Battery Defect",
--S423&lt;=69,"Battery D",
--S423&lt;=80,"Battery C",
--S423&gt;80,""
),"")</f>
        <v/>
      </c>
      <c r="V423" s="51"/>
      <c r="W423" s="51"/>
      <c r="X423" s="51"/>
      <c r="Y423" s="51"/>
      <c r="Z423" s="51"/>
      <c r="AA423" s="51"/>
      <c r="AB423" s="51"/>
      <c r="AC423" s="51"/>
      <c r="AD423" s="32" t="str">
        <f t="shared" si="18"/>
        <v/>
      </c>
      <c r="AE423" s="32"/>
      <c r="AF423" s="32"/>
      <c r="AG423" s="32"/>
      <c r="AH423" s="32"/>
      <c r="AI423" s="32"/>
      <c r="AJ423" s="32"/>
      <c r="AK423" s="32"/>
      <c r="AL423" s="32"/>
    </row>
    <row r="424" spans="1:38">
      <c r="A424" s="32" t="str">
        <f>_xlfn.TEXTJOIN("",TRUE,_xlfn.XLOOKUP(B424,Input!J:J,Input!G:G,"",0,1),_xlfn.XLOOKUP(B424,Input!J:J,Input!H:H,"",0,1))</f>
        <v/>
      </c>
      <c r="B424" s="32"/>
      <c r="C424" s="51">
        <f>_xlfn.XLOOKUP(B424,Input!J:J,Input!F:F)</f>
        <v>0</v>
      </c>
      <c r="D424" s="32">
        <f>_xlfn.XLOOKUP(C424,Models!H:H,Models!G:G,C424)</f>
        <v>0</v>
      </c>
      <c r="E424" s="32">
        <f>_xlfn.XLOOKUP(B424,Input!J:J,Input!E:E)</f>
        <v>0</v>
      </c>
      <c r="F424" s="32">
        <f>IF(E424="LENOVO",_xlfn.XLOOKUP(B424,Input!J:J,Input!K:K),_xlfn.XLOOKUP(B424,Input!J:J,Input!L:L))</f>
        <v>0</v>
      </c>
      <c r="G424" s="32"/>
      <c r="H424" s="32"/>
      <c r="I424" s="32"/>
      <c r="J424" s="51" t="e">
        <f>INDEX(Input!$D$2:$AC$500,
       MATCH(B424, Input!$J$2:$J$500, 0),
       MATCH("Total Memory", Input!$D$1:$AC$1, 0))</f>
        <v>#N/A</v>
      </c>
      <c r="K424" s="51"/>
      <c r="L424" s="51" t="str" cm="1">
        <f t="array" ref="L424">IFERROR(_xlfn.FILTERXML("&lt;t&gt;&lt;s&gt;" &amp; SUBSTITUTE(K424," / ","&lt;/s&gt;&lt;s&gt;") &amp; "&lt;/s&gt;&lt;/t&gt;","(//s[contains(.,'DDR')])[1]"),"")</f>
        <v/>
      </c>
      <c r="M424" s="32" t="e">
        <f t="shared" si="20"/>
        <v>#N/A</v>
      </c>
      <c r="N424" s="51" t="e">
        <f>INDEX(Input!$D$2:$AC$500,
       MATCH(B424, Input!$J$2:$J$500, 0),
       MATCH("Disk Interface Type", Input!$D$1:$AC$1, 0))</f>
        <v>#N/A</v>
      </c>
      <c r="O424" s="51" t="str" cm="1">
        <f t="array" ref="O424">IFERROR(_xlfn.TEXTJOIN(", ", TRUE, _xlfn._xlws.FILTER(
    INDEX(Input!$D$2:$AC$500,,MATCH("Disk Capacity",Input!$D$1:$AC$1,0)),
    Input!$J$2:$J$500=B424
)), "")</f>
        <v/>
      </c>
      <c r="P424" s="32" t="e">
        <f t="shared" si="19"/>
        <v>#N/A</v>
      </c>
      <c r="Q424" s="51" t="e">
        <f>_xlfn.LET(_xlpm.Result,INDEX(Input!$D$2:$AC$500,
       MATCH(B424, Input!$J$2:$J$500, 0),
       MATCH("Capacity", Input!$D$1:$AC$1, 0)),IF(_xlpm.Result="","",_xlpm.Result))</f>
        <v>#N/A</v>
      </c>
      <c r="R424" s="51" t="e" cm="1">
        <f t="array" ref="R424">_xlfn.TEXTSPLIT(Q424," / ", ,TRUE,0,)</f>
        <v>#N/A</v>
      </c>
      <c r="S424" s="51"/>
      <c r="T424" s="51" t="str" cm="1">
        <f t="array" ref="T424">IFERROR(_xlfn.IFS(
R424="","",
--R424&lt;55,"Battery Defect",
--R424&lt;=69,"Battery D",
--R424&lt;=80,"Battery C",
--R424&gt;80,""
),"")</f>
        <v/>
      </c>
      <c r="U424" s="51" t="str" cm="1">
        <f t="array" ref="U424">IFERROR(_xlfn.IFS(
S424="","",
--S424&lt;55,"Battery Defect",
--S424&lt;=69,"Battery D",
--S424&lt;=80,"Battery C",
--S424&gt;80,""
),"")</f>
        <v/>
      </c>
      <c r="V424" s="51"/>
      <c r="W424" s="51"/>
      <c r="X424" s="51"/>
      <c r="Y424" s="51"/>
      <c r="Z424" s="51"/>
      <c r="AA424" s="51"/>
      <c r="AB424" s="51"/>
      <c r="AC424" s="51"/>
      <c r="AD424" s="32" t="str">
        <f t="shared" si="18"/>
        <v/>
      </c>
      <c r="AE424" s="32"/>
      <c r="AF424" s="32"/>
      <c r="AG424" s="32"/>
      <c r="AH424" s="32"/>
      <c r="AI424" s="32"/>
      <c r="AJ424" s="32"/>
      <c r="AK424" s="32"/>
      <c r="AL424" s="32"/>
    </row>
    <row r="425" spans="1:38">
      <c r="A425" s="32" t="str">
        <f>_xlfn.TEXTJOIN("",TRUE,_xlfn.XLOOKUP(B425,Input!J:J,Input!G:G,"",0,1),_xlfn.XLOOKUP(B425,Input!J:J,Input!H:H,"",0,1))</f>
        <v/>
      </c>
      <c r="B425" s="32"/>
      <c r="C425" s="51">
        <f>_xlfn.XLOOKUP(B425,Input!J:J,Input!F:F)</f>
        <v>0</v>
      </c>
      <c r="D425" s="32">
        <f>_xlfn.XLOOKUP(C425,Models!H:H,Models!G:G,C425)</f>
        <v>0</v>
      </c>
      <c r="E425" s="32">
        <f>_xlfn.XLOOKUP(B425,Input!J:J,Input!E:E)</f>
        <v>0</v>
      </c>
      <c r="F425" s="32">
        <f>IF(E425="LENOVO",_xlfn.XLOOKUP(B425,Input!J:J,Input!K:K),_xlfn.XLOOKUP(B425,Input!J:J,Input!L:L))</f>
        <v>0</v>
      </c>
      <c r="G425" s="32"/>
      <c r="H425" s="32"/>
      <c r="I425" s="32"/>
      <c r="J425" s="51" t="e">
        <f>INDEX(Input!$D$2:$AC$500,
       MATCH(B425, Input!$J$2:$J$500, 0),
       MATCH("Total Memory", Input!$D$1:$AC$1, 0))</f>
        <v>#N/A</v>
      </c>
      <c r="K425" s="51"/>
      <c r="L425" s="51" t="str" cm="1">
        <f t="array" ref="L425">IFERROR(_xlfn.FILTERXML("&lt;t&gt;&lt;s&gt;" &amp; SUBSTITUTE(K425," / ","&lt;/s&gt;&lt;s&gt;") &amp; "&lt;/s&gt;&lt;/t&gt;","(//s[contains(.,'DDR')])[1]"),"")</f>
        <v/>
      </c>
      <c r="M425" s="32" t="e">
        <f t="shared" si="20"/>
        <v>#N/A</v>
      </c>
      <c r="N425" s="51" t="e">
        <f>INDEX(Input!$D$2:$AC$500,
       MATCH(B425, Input!$J$2:$J$500, 0),
       MATCH("Disk Interface Type", Input!$D$1:$AC$1, 0))</f>
        <v>#N/A</v>
      </c>
      <c r="O425" s="51" t="str" cm="1">
        <f t="array" ref="O425">IFERROR(_xlfn.TEXTJOIN(", ", TRUE, _xlfn._xlws.FILTER(
    INDEX(Input!$D$2:$AC$500,,MATCH("Disk Capacity",Input!$D$1:$AC$1,0)),
    Input!$J$2:$J$500=B425
)), "")</f>
        <v/>
      </c>
      <c r="P425" s="32" t="e">
        <f t="shared" si="19"/>
        <v>#N/A</v>
      </c>
      <c r="Q425" s="51" t="e">
        <f>_xlfn.LET(_xlpm.Result,INDEX(Input!$D$2:$AC$500,
       MATCH(B425, Input!$J$2:$J$500, 0),
       MATCH("Capacity", Input!$D$1:$AC$1, 0)),IF(_xlpm.Result="","",_xlpm.Result))</f>
        <v>#N/A</v>
      </c>
      <c r="R425" s="51" t="e" cm="1">
        <f t="array" ref="R425">_xlfn.TEXTSPLIT(Q425," / ", ,TRUE,0,)</f>
        <v>#N/A</v>
      </c>
      <c r="S425" s="51"/>
      <c r="T425" s="51" t="str" cm="1">
        <f t="array" ref="T425">IFERROR(_xlfn.IFS(
R425="","",
--R425&lt;55,"Battery Defect",
--R425&lt;=69,"Battery D",
--R425&lt;=80,"Battery C",
--R425&gt;80,""
),"")</f>
        <v/>
      </c>
      <c r="U425" s="51" t="str" cm="1">
        <f t="array" ref="U425">IFERROR(_xlfn.IFS(
S425="","",
--S425&lt;55,"Battery Defect",
--S425&lt;=69,"Battery D",
--S425&lt;=80,"Battery C",
--S425&gt;80,""
),"")</f>
        <v/>
      </c>
      <c r="V425" s="51"/>
      <c r="W425" s="51"/>
      <c r="X425" s="51"/>
      <c r="Y425" s="51"/>
      <c r="Z425" s="51"/>
      <c r="AA425" s="51"/>
      <c r="AB425" s="51"/>
      <c r="AC425" s="51"/>
      <c r="AD425" s="32" t="str">
        <f t="shared" si="18"/>
        <v/>
      </c>
      <c r="AE425" s="32"/>
      <c r="AF425" s="32"/>
      <c r="AG425" s="32"/>
      <c r="AH425" s="32"/>
      <c r="AI425" s="32"/>
      <c r="AJ425" s="32"/>
      <c r="AK425" s="32"/>
      <c r="AL425" s="32"/>
    </row>
    <row r="426" spans="1:38">
      <c r="A426" s="32" t="str">
        <f>_xlfn.TEXTJOIN("",TRUE,_xlfn.XLOOKUP(B426,Input!J:J,Input!G:G,"",0,1),_xlfn.XLOOKUP(B426,Input!J:J,Input!H:H,"",0,1))</f>
        <v/>
      </c>
      <c r="B426" s="32"/>
      <c r="C426" s="51">
        <f>_xlfn.XLOOKUP(B426,Input!J:J,Input!F:F)</f>
        <v>0</v>
      </c>
      <c r="D426" s="32">
        <f>_xlfn.XLOOKUP(C426,Models!H:H,Models!G:G,C426)</f>
        <v>0</v>
      </c>
      <c r="E426" s="32">
        <f>_xlfn.XLOOKUP(B426,Input!J:J,Input!E:E)</f>
        <v>0</v>
      </c>
      <c r="F426" s="32">
        <f>IF(E426="LENOVO",_xlfn.XLOOKUP(B426,Input!J:J,Input!K:K),_xlfn.XLOOKUP(B426,Input!J:J,Input!L:L))</f>
        <v>0</v>
      </c>
      <c r="G426" s="32"/>
      <c r="H426" s="32"/>
      <c r="I426" s="32"/>
      <c r="J426" s="51" t="e">
        <f>INDEX(Input!$D$2:$AC$500,
       MATCH(B426, Input!$J$2:$J$500, 0),
       MATCH("Total Memory", Input!$D$1:$AC$1, 0))</f>
        <v>#N/A</v>
      </c>
      <c r="K426" s="51"/>
      <c r="L426" s="51" t="str" cm="1">
        <f t="array" ref="L426">IFERROR(_xlfn.FILTERXML("&lt;t&gt;&lt;s&gt;" &amp; SUBSTITUTE(K426," / ","&lt;/s&gt;&lt;s&gt;") &amp; "&lt;/s&gt;&lt;/t&gt;","(//s[contains(.,'DDR')])[1]"),"")</f>
        <v/>
      </c>
      <c r="M426" s="32" t="e">
        <f t="shared" si="20"/>
        <v>#N/A</v>
      </c>
      <c r="N426" s="51" t="e">
        <f>INDEX(Input!$D$2:$AC$500,
       MATCH(B426, Input!$J$2:$J$500, 0),
       MATCH("Disk Interface Type", Input!$D$1:$AC$1, 0))</f>
        <v>#N/A</v>
      </c>
      <c r="O426" s="51" t="str" cm="1">
        <f t="array" ref="O426">IFERROR(_xlfn.TEXTJOIN(", ", TRUE, _xlfn._xlws.FILTER(
    INDEX(Input!$D$2:$AC$500,,MATCH("Disk Capacity",Input!$D$1:$AC$1,0)),
    Input!$J$2:$J$500=B426
)), "")</f>
        <v/>
      </c>
      <c r="P426" s="32" t="e">
        <f t="shared" si="19"/>
        <v>#N/A</v>
      </c>
      <c r="Q426" s="51" t="e">
        <f>_xlfn.LET(_xlpm.Result,INDEX(Input!$D$2:$AC$500,
       MATCH(B426, Input!$J$2:$J$500, 0),
       MATCH("Capacity", Input!$D$1:$AC$1, 0)),IF(_xlpm.Result="","",_xlpm.Result))</f>
        <v>#N/A</v>
      </c>
      <c r="R426" s="51" t="e" cm="1">
        <f t="array" ref="R426">_xlfn.TEXTSPLIT(Q426," / ", ,TRUE,0,)</f>
        <v>#N/A</v>
      </c>
      <c r="S426" s="51"/>
      <c r="T426" s="51" t="str" cm="1">
        <f t="array" ref="T426">IFERROR(_xlfn.IFS(
R426="","",
--R426&lt;55,"Battery Defect",
--R426&lt;=69,"Battery D",
--R426&lt;=80,"Battery C",
--R426&gt;80,""
),"")</f>
        <v/>
      </c>
      <c r="U426" s="51" t="str" cm="1">
        <f t="array" ref="U426">IFERROR(_xlfn.IFS(
S426="","",
--S426&lt;55,"Battery Defect",
--S426&lt;=69,"Battery D",
--S426&lt;=80,"Battery C",
--S426&gt;80,""
),"")</f>
        <v/>
      </c>
      <c r="V426" s="51"/>
      <c r="W426" s="51"/>
      <c r="X426" s="51"/>
      <c r="Y426" s="51"/>
      <c r="Z426" s="51"/>
      <c r="AA426" s="51"/>
      <c r="AB426" s="51"/>
      <c r="AC426" s="51"/>
      <c r="AD426" s="32" t="str">
        <f t="shared" si="18"/>
        <v/>
      </c>
      <c r="AE426" s="32"/>
      <c r="AF426" s="32"/>
      <c r="AG426" s="32"/>
      <c r="AH426" s="32"/>
      <c r="AI426" s="32"/>
      <c r="AJ426" s="32"/>
      <c r="AK426" s="32"/>
      <c r="AL426" s="32"/>
    </row>
    <row r="427" spans="1:38">
      <c r="A427" s="32" t="str">
        <f>_xlfn.TEXTJOIN("",TRUE,_xlfn.XLOOKUP(B427,Input!J:J,Input!G:G,"",0,1),_xlfn.XLOOKUP(B427,Input!J:J,Input!H:H,"",0,1))</f>
        <v/>
      </c>
      <c r="B427" s="32"/>
      <c r="C427" s="51">
        <f>_xlfn.XLOOKUP(B427,Input!J:J,Input!F:F)</f>
        <v>0</v>
      </c>
      <c r="D427" s="32">
        <f>_xlfn.XLOOKUP(C427,Models!H:H,Models!G:G,C427)</f>
        <v>0</v>
      </c>
      <c r="E427" s="32">
        <f>_xlfn.XLOOKUP(B427,Input!J:J,Input!E:E)</f>
        <v>0</v>
      </c>
      <c r="F427" s="32">
        <f>IF(E427="LENOVO",_xlfn.XLOOKUP(B427,Input!J:J,Input!K:K),_xlfn.XLOOKUP(B427,Input!J:J,Input!L:L))</f>
        <v>0</v>
      </c>
      <c r="G427" s="32"/>
      <c r="H427" s="32"/>
      <c r="I427" s="32"/>
      <c r="J427" s="51" t="e">
        <f>INDEX(Input!$D$2:$AC$500,
       MATCH(B427, Input!$J$2:$J$500, 0),
       MATCH("Total Memory", Input!$D$1:$AC$1, 0))</f>
        <v>#N/A</v>
      </c>
      <c r="K427" s="51"/>
      <c r="L427" s="51" t="str" cm="1">
        <f t="array" ref="L427">IFERROR(_xlfn.FILTERXML("&lt;t&gt;&lt;s&gt;" &amp; SUBSTITUTE(K427," / ","&lt;/s&gt;&lt;s&gt;") &amp; "&lt;/s&gt;&lt;/t&gt;","(//s[contains(.,'DDR')])[1]"),"")</f>
        <v/>
      </c>
      <c r="M427" s="32" t="e">
        <f t="shared" si="20"/>
        <v>#N/A</v>
      </c>
      <c r="N427" s="51" t="e">
        <f>INDEX(Input!$D$2:$AC$500,
       MATCH(B427, Input!$J$2:$J$500, 0),
       MATCH("Disk Interface Type", Input!$D$1:$AC$1, 0))</f>
        <v>#N/A</v>
      </c>
      <c r="O427" s="51" t="str" cm="1">
        <f t="array" ref="O427">IFERROR(_xlfn.TEXTJOIN(", ", TRUE, _xlfn._xlws.FILTER(
    INDEX(Input!$D$2:$AC$500,,MATCH("Disk Capacity",Input!$D$1:$AC$1,0)),
    Input!$J$2:$J$500=B427
)), "")</f>
        <v/>
      </c>
      <c r="P427" s="32" t="e">
        <f t="shared" si="19"/>
        <v>#N/A</v>
      </c>
      <c r="Q427" s="51" t="e">
        <f>_xlfn.LET(_xlpm.Result,INDEX(Input!$D$2:$AC$500,
       MATCH(B427, Input!$J$2:$J$500, 0),
       MATCH("Capacity", Input!$D$1:$AC$1, 0)),IF(_xlpm.Result="","",_xlpm.Result))</f>
        <v>#N/A</v>
      </c>
      <c r="R427" s="51" t="e" cm="1">
        <f t="array" ref="R427">_xlfn.TEXTSPLIT(Q427," / ", ,TRUE,0,)</f>
        <v>#N/A</v>
      </c>
      <c r="S427" s="51"/>
      <c r="T427" s="51" t="str" cm="1">
        <f t="array" ref="T427">IFERROR(_xlfn.IFS(
R427="","",
--R427&lt;55,"Battery Defect",
--R427&lt;=69,"Battery D",
--R427&lt;=80,"Battery C",
--R427&gt;80,""
),"")</f>
        <v/>
      </c>
      <c r="U427" s="51" t="str" cm="1">
        <f t="array" ref="U427">IFERROR(_xlfn.IFS(
S427="","",
--S427&lt;55,"Battery Defect",
--S427&lt;=69,"Battery D",
--S427&lt;=80,"Battery C",
--S427&gt;80,""
),"")</f>
        <v/>
      </c>
      <c r="V427" s="51"/>
      <c r="W427" s="51"/>
      <c r="X427" s="51"/>
      <c r="Y427" s="51"/>
      <c r="Z427" s="51"/>
      <c r="AA427" s="51"/>
      <c r="AB427" s="51"/>
      <c r="AC427" s="51"/>
      <c r="AD427" s="32" t="str">
        <f t="shared" si="18"/>
        <v/>
      </c>
      <c r="AE427" s="32"/>
      <c r="AF427" s="32"/>
      <c r="AG427" s="32"/>
      <c r="AH427" s="32"/>
      <c r="AI427" s="32"/>
      <c r="AJ427" s="32"/>
      <c r="AK427" s="32"/>
      <c r="AL427" s="32"/>
    </row>
    <row r="428" spans="1:38">
      <c r="A428" s="32" t="str">
        <f>_xlfn.TEXTJOIN("",TRUE,_xlfn.XLOOKUP(B428,Input!J:J,Input!G:G,"",0,1),_xlfn.XLOOKUP(B428,Input!J:J,Input!H:H,"",0,1))</f>
        <v/>
      </c>
      <c r="B428" s="32"/>
      <c r="C428" s="51">
        <f>_xlfn.XLOOKUP(B428,Input!J:J,Input!F:F)</f>
        <v>0</v>
      </c>
      <c r="D428" s="32">
        <f>_xlfn.XLOOKUP(C428,Models!H:H,Models!G:G,C428)</f>
        <v>0</v>
      </c>
      <c r="E428" s="32">
        <f>_xlfn.XLOOKUP(B428,Input!J:J,Input!E:E)</f>
        <v>0</v>
      </c>
      <c r="F428" s="32">
        <f>IF(E428="LENOVO",_xlfn.XLOOKUP(B428,Input!J:J,Input!K:K),_xlfn.XLOOKUP(B428,Input!J:J,Input!L:L))</f>
        <v>0</v>
      </c>
      <c r="G428" s="32"/>
      <c r="H428" s="32"/>
      <c r="I428" s="32"/>
      <c r="J428" s="51" t="e">
        <f>INDEX(Input!$D$2:$AC$500,
       MATCH(B428, Input!$J$2:$J$500, 0),
       MATCH("Total Memory", Input!$D$1:$AC$1, 0))</f>
        <v>#N/A</v>
      </c>
      <c r="K428" s="51"/>
      <c r="L428" s="51" t="str" cm="1">
        <f t="array" ref="L428">IFERROR(_xlfn.FILTERXML("&lt;t&gt;&lt;s&gt;" &amp; SUBSTITUTE(K428," / ","&lt;/s&gt;&lt;s&gt;") &amp; "&lt;/s&gt;&lt;/t&gt;","(//s[contains(.,'DDR')])[1]"),"")</f>
        <v/>
      </c>
      <c r="M428" s="32" t="e">
        <f t="shared" si="20"/>
        <v>#N/A</v>
      </c>
      <c r="N428" s="51" t="e">
        <f>INDEX(Input!$D$2:$AC$500,
       MATCH(B428, Input!$J$2:$J$500, 0),
       MATCH("Disk Interface Type", Input!$D$1:$AC$1, 0))</f>
        <v>#N/A</v>
      </c>
      <c r="O428" s="51" t="str" cm="1">
        <f t="array" ref="O428">IFERROR(_xlfn.TEXTJOIN(", ", TRUE, _xlfn._xlws.FILTER(
    INDEX(Input!$D$2:$AC$500,,MATCH("Disk Capacity",Input!$D$1:$AC$1,0)),
    Input!$J$2:$J$500=B428
)), "")</f>
        <v/>
      </c>
      <c r="P428" s="32" t="e">
        <f t="shared" si="19"/>
        <v>#N/A</v>
      </c>
      <c r="Q428" s="51" t="e">
        <f>_xlfn.LET(_xlpm.Result,INDEX(Input!$D$2:$AC$500,
       MATCH(B428, Input!$J$2:$J$500, 0),
       MATCH("Capacity", Input!$D$1:$AC$1, 0)),IF(_xlpm.Result="","",_xlpm.Result))</f>
        <v>#N/A</v>
      </c>
      <c r="R428" s="51" t="e" cm="1">
        <f t="array" ref="R428">_xlfn.TEXTSPLIT(Q428," / ", ,TRUE,0,)</f>
        <v>#N/A</v>
      </c>
      <c r="S428" s="51"/>
      <c r="T428" s="51" t="str" cm="1">
        <f t="array" ref="T428">IFERROR(_xlfn.IFS(
R428="","",
--R428&lt;55,"Battery Defect",
--R428&lt;=69,"Battery D",
--R428&lt;=80,"Battery C",
--R428&gt;80,""
),"")</f>
        <v/>
      </c>
      <c r="U428" s="51" t="str" cm="1">
        <f t="array" ref="U428">IFERROR(_xlfn.IFS(
S428="","",
--S428&lt;55,"Battery Defect",
--S428&lt;=69,"Battery D",
--S428&lt;=80,"Battery C",
--S428&gt;80,""
),"")</f>
        <v/>
      </c>
      <c r="V428" s="51"/>
      <c r="W428" s="51"/>
      <c r="X428" s="51"/>
      <c r="Y428" s="51"/>
      <c r="Z428" s="51"/>
      <c r="AA428" s="51"/>
      <c r="AB428" s="51"/>
      <c r="AC428" s="51"/>
      <c r="AD428" s="32" t="str">
        <f t="shared" si="18"/>
        <v/>
      </c>
      <c r="AE428" s="32"/>
      <c r="AF428" s="32"/>
      <c r="AG428" s="32"/>
      <c r="AH428" s="32"/>
      <c r="AI428" s="32"/>
      <c r="AJ428" s="32"/>
      <c r="AK428" s="32"/>
      <c r="AL428" s="32"/>
    </row>
    <row r="429" spans="1:38">
      <c r="A429" s="32" t="str">
        <f>_xlfn.TEXTJOIN("",TRUE,_xlfn.XLOOKUP(B429,Input!J:J,Input!G:G,"",0,1),_xlfn.XLOOKUP(B429,Input!J:J,Input!H:H,"",0,1))</f>
        <v/>
      </c>
      <c r="B429" s="32"/>
      <c r="C429" s="51">
        <f>_xlfn.XLOOKUP(B429,Input!J:J,Input!F:F)</f>
        <v>0</v>
      </c>
      <c r="D429" s="32">
        <f>_xlfn.XLOOKUP(C429,Models!H:H,Models!G:G,C429)</f>
        <v>0</v>
      </c>
      <c r="E429" s="32">
        <f>_xlfn.XLOOKUP(B429,Input!J:J,Input!E:E)</f>
        <v>0</v>
      </c>
      <c r="F429" s="32">
        <f>IF(E429="LENOVO",_xlfn.XLOOKUP(B429,Input!J:J,Input!K:K),_xlfn.XLOOKUP(B429,Input!J:J,Input!L:L))</f>
        <v>0</v>
      </c>
      <c r="G429" s="32"/>
      <c r="H429" s="32"/>
      <c r="I429" s="32"/>
      <c r="J429" s="51" t="e">
        <f>INDEX(Input!$D$2:$AC$500,
       MATCH(B429, Input!$J$2:$J$500, 0),
       MATCH("Total Memory", Input!$D$1:$AC$1, 0))</f>
        <v>#N/A</v>
      </c>
      <c r="K429" s="51"/>
      <c r="L429" s="51" t="str" cm="1">
        <f t="array" ref="L429">IFERROR(_xlfn.FILTERXML("&lt;t&gt;&lt;s&gt;" &amp; SUBSTITUTE(K429," / ","&lt;/s&gt;&lt;s&gt;") &amp; "&lt;/s&gt;&lt;/t&gt;","(//s[contains(.,'DDR')])[1]"),"")</f>
        <v/>
      </c>
      <c r="M429" s="32" t="e">
        <f t="shared" si="20"/>
        <v>#N/A</v>
      </c>
      <c r="N429" s="51" t="e">
        <f>INDEX(Input!$D$2:$AC$500,
       MATCH(B429, Input!$J$2:$J$500, 0),
       MATCH("Disk Interface Type", Input!$D$1:$AC$1, 0))</f>
        <v>#N/A</v>
      </c>
      <c r="O429" s="51" t="str" cm="1">
        <f t="array" ref="O429">IFERROR(_xlfn.TEXTJOIN(", ", TRUE, _xlfn._xlws.FILTER(
    INDEX(Input!$D$2:$AC$500,,MATCH("Disk Capacity",Input!$D$1:$AC$1,0)),
    Input!$J$2:$J$500=B429
)), "")</f>
        <v/>
      </c>
      <c r="P429" s="32" t="e">
        <f t="shared" si="19"/>
        <v>#N/A</v>
      </c>
      <c r="Q429" s="51" t="e">
        <f>_xlfn.LET(_xlpm.Result,INDEX(Input!$D$2:$AC$500,
       MATCH(B429, Input!$J$2:$J$500, 0),
       MATCH("Capacity", Input!$D$1:$AC$1, 0)),IF(_xlpm.Result="","",_xlpm.Result))</f>
        <v>#N/A</v>
      </c>
      <c r="R429" s="51" t="e" cm="1">
        <f t="array" ref="R429">_xlfn.TEXTSPLIT(Q429," / ", ,TRUE,0,)</f>
        <v>#N/A</v>
      </c>
      <c r="S429" s="51"/>
      <c r="T429" s="51" t="str" cm="1">
        <f t="array" ref="T429">IFERROR(_xlfn.IFS(
R429="","",
--R429&lt;55,"Battery Defect",
--R429&lt;=69,"Battery D",
--R429&lt;=80,"Battery C",
--R429&gt;80,""
),"")</f>
        <v/>
      </c>
      <c r="U429" s="51" t="str" cm="1">
        <f t="array" ref="U429">IFERROR(_xlfn.IFS(
S429="","",
--S429&lt;55,"Battery Defect",
--S429&lt;=69,"Battery D",
--S429&lt;=80,"Battery C",
--S429&gt;80,""
),"")</f>
        <v/>
      </c>
      <c r="V429" s="51"/>
      <c r="W429" s="51"/>
      <c r="X429" s="51"/>
      <c r="Y429" s="51"/>
      <c r="Z429" s="51"/>
      <c r="AA429" s="51"/>
      <c r="AB429" s="51"/>
      <c r="AC429" s="51"/>
      <c r="AD429" s="32" t="str">
        <f t="shared" si="18"/>
        <v/>
      </c>
      <c r="AE429" s="32"/>
      <c r="AF429" s="32"/>
      <c r="AG429" s="32"/>
      <c r="AH429" s="32"/>
      <c r="AI429" s="32"/>
      <c r="AJ429" s="32"/>
      <c r="AK429" s="32"/>
      <c r="AL429" s="32"/>
    </row>
    <row r="430" spans="1:38">
      <c r="A430" s="32" t="str">
        <f>_xlfn.TEXTJOIN("",TRUE,_xlfn.XLOOKUP(B430,Input!J:J,Input!G:G,"",0,1),_xlfn.XLOOKUP(B430,Input!J:J,Input!H:H,"",0,1))</f>
        <v/>
      </c>
      <c r="B430" s="32"/>
      <c r="C430" s="51">
        <f>_xlfn.XLOOKUP(B430,Input!J:J,Input!F:F)</f>
        <v>0</v>
      </c>
      <c r="D430" s="32">
        <f>_xlfn.XLOOKUP(C430,Models!H:H,Models!G:G,C430)</f>
        <v>0</v>
      </c>
      <c r="E430" s="32">
        <f>_xlfn.XLOOKUP(B430,Input!J:J,Input!E:E)</f>
        <v>0</v>
      </c>
      <c r="F430" s="32">
        <f>IF(E430="LENOVO",_xlfn.XLOOKUP(B430,Input!J:J,Input!K:K),_xlfn.XLOOKUP(B430,Input!J:J,Input!L:L))</f>
        <v>0</v>
      </c>
      <c r="G430" s="32"/>
      <c r="H430" s="32"/>
      <c r="I430" s="32"/>
      <c r="J430" s="51" t="e">
        <f>INDEX(Input!$D$2:$AC$500,
       MATCH(B430, Input!$J$2:$J$500, 0),
       MATCH("Total Memory", Input!$D$1:$AC$1, 0))</f>
        <v>#N/A</v>
      </c>
      <c r="K430" s="51"/>
      <c r="L430" s="51" t="str" cm="1">
        <f t="array" ref="L430">IFERROR(_xlfn.FILTERXML("&lt;t&gt;&lt;s&gt;" &amp; SUBSTITUTE(K430," / ","&lt;/s&gt;&lt;s&gt;") &amp; "&lt;/s&gt;&lt;/t&gt;","(//s[contains(.,'DDR')])[1]"),"")</f>
        <v/>
      </c>
      <c r="M430" s="32" t="e">
        <f t="shared" si="20"/>
        <v>#N/A</v>
      </c>
      <c r="N430" s="51" t="e">
        <f>INDEX(Input!$D$2:$AC$500,
       MATCH(B430, Input!$J$2:$J$500, 0),
       MATCH("Disk Interface Type", Input!$D$1:$AC$1, 0))</f>
        <v>#N/A</v>
      </c>
      <c r="O430" s="51" t="str" cm="1">
        <f t="array" ref="O430">IFERROR(_xlfn.TEXTJOIN(", ", TRUE, _xlfn._xlws.FILTER(
    INDEX(Input!$D$2:$AC$500,,MATCH("Disk Capacity",Input!$D$1:$AC$1,0)),
    Input!$J$2:$J$500=B430
)), "")</f>
        <v/>
      </c>
      <c r="P430" s="32" t="e">
        <f t="shared" si="19"/>
        <v>#N/A</v>
      </c>
      <c r="Q430" s="51" t="e">
        <f>_xlfn.LET(_xlpm.Result,INDEX(Input!$D$2:$AC$500,
       MATCH(B430, Input!$J$2:$J$500, 0),
       MATCH("Capacity", Input!$D$1:$AC$1, 0)),IF(_xlpm.Result="","",_xlpm.Result))</f>
        <v>#N/A</v>
      </c>
      <c r="R430" s="51" t="e" cm="1">
        <f t="array" ref="R430">_xlfn.TEXTSPLIT(Q430," / ", ,TRUE,0,)</f>
        <v>#N/A</v>
      </c>
      <c r="S430" s="51"/>
      <c r="T430" s="51" t="str" cm="1">
        <f t="array" ref="T430">IFERROR(_xlfn.IFS(
R430="","",
--R430&lt;55,"Battery Defect",
--R430&lt;=69,"Battery D",
--R430&lt;=80,"Battery C",
--R430&gt;80,""
),"")</f>
        <v/>
      </c>
      <c r="U430" s="51" t="str" cm="1">
        <f t="array" ref="U430">IFERROR(_xlfn.IFS(
S430="","",
--S430&lt;55,"Battery Defect",
--S430&lt;=69,"Battery D",
--S430&lt;=80,"Battery C",
--S430&gt;80,""
),"")</f>
        <v/>
      </c>
      <c r="V430" s="51"/>
      <c r="W430" s="51"/>
      <c r="X430" s="51"/>
      <c r="Y430" s="51"/>
      <c r="Z430" s="51"/>
      <c r="AA430" s="51"/>
      <c r="AB430" s="51"/>
      <c r="AC430" s="51"/>
      <c r="AD430" s="32" t="str">
        <f t="shared" si="18"/>
        <v/>
      </c>
      <c r="AE430" s="32"/>
      <c r="AF430" s="32"/>
      <c r="AG430" s="32"/>
      <c r="AH430" s="32"/>
      <c r="AI430" s="32"/>
      <c r="AJ430" s="32"/>
      <c r="AK430" s="32"/>
      <c r="AL430" s="32"/>
    </row>
    <row r="431" spans="1:38">
      <c r="A431" s="32" t="str">
        <f>_xlfn.TEXTJOIN("",TRUE,_xlfn.XLOOKUP(B431,Input!J:J,Input!G:G,"",0,1),_xlfn.XLOOKUP(B431,Input!J:J,Input!H:H,"",0,1))</f>
        <v/>
      </c>
      <c r="B431" s="32"/>
      <c r="C431" s="51">
        <f>_xlfn.XLOOKUP(B431,Input!J:J,Input!F:F)</f>
        <v>0</v>
      </c>
      <c r="D431" s="32">
        <f>_xlfn.XLOOKUP(C431,Models!H:H,Models!G:G,C431)</f>
        <v>0</v>
      </c>
      <c r="E431" s="32">
        <f>_xlfn.XLOOKUP(B431,Input!J:J,Input!E:E)</f>
        <v>0</v>
      </c>
      <c r="F431" s="32">
        <f>IF(E431="LENOVO",_xlfn.XLOOKUP(B431,Input!J:J,Input!K:K),_xlfn.XLOOKUP(B431,Input!J:J,Input!L:L))</f>
        <v>0</v>
      </c>
      <c r="G431" s="32"/>
      <c r="H431" s="32"/>
      <c r="I431" s="32"/>
      <c r="J431" s="51" t="e">
        <f>INDEX(Input!$D$2:$AC$500,
       MATCH(B431, Input!$J$2:$J$500, 0),
       MATCH("Total Memory", Input!$D$1:$AC$1, 0))</f>
        <v>#N/A</v>
      </c>
      <c r="K431" s="51"/>
      <c r="L431" s="51" t="str" cm="1">
        <f t="array" ref="L431">IFERROR(_xlfn.FILTERXML("&lt;t&gt;&lt;s&gt;" &amp; SUBSTITUTE(K431," / ","&lt;/s&gt;&lt;s&gt;") &amp; "&lt;/s&gt;&lt;/t&gt;","(//s[contains(.,'DDR')])[1]"),"")</f>
        <v/>
      </c>
      <c r="M431" s="32" t="e">
        <f t="shared" si="20"/>
        <v>#N/A</v>
      </c>
      <c r="N431" s="51" t="e">
        <f>INDEX(Input!$D$2:$AC$500,
       MATCH(B431, Input!$J$2:$J$500, 0),
       MATCH("Disk Interface Type", Input!$D$1:$AC$1, 0))</f>
        <v>#N/A</v>
      </c>
      <c r="O431" s="51" t="str" cm="1">
        <f t="array" ref="O431">IFERROR(_xlfn.TEXTJOIN(", ", TRUE, _xlfn._xlws.FILTER(
    INDEX(Input!$D$2:$AC$500,,MATCH("Disk Capacity",Input!$D$1:$AC$1,0)),
    Input!$J$2:$J$500=B431
)), "")</f>
        <v/>
      </c>
      <c r="P431" s="32" t="e">
        <f t="shared" si="19"/>
        <v>#N/A</v>
      </c>
      <c r="Q431" s="51" t="e">
        <f>_xlfn.LET(_xlpm.Result,INDEX(Input!$D$2:$AC$500,
       MATCH(B431, Input!$J$2:$J$500, 0),
       MATCH("Capacity", Input!$D$1:$AC$1, 0)),IF(_xlpm.Result="","",_xlpm.Result))</f>
        <v>#N/A</v>
      </c>
      <c r="R431" s="51" t="e" cm="1">
        <f t="array" ref="R431">_xlfn.TEXTSPLIT(Q431," / ", ,TRUE,0,)</f>
        <v>#N/A</v>
      </c>
      <c r="S431" s="51"/>
      <c r="T431" s="51" t="str" cm="1">
        <f t="array" ref="T431">IFERROR(_xlfn.IFS(
R431="","",
--R431&lt;55,"Battery Defect",
--R431&lt;=69,"Battery D",
--R431&lt;=80,"Battery C",
--R431&gt;80,""
),"")</f>
        <v/>
      </c>
      <c r="U431" s="51" t="str" cm="1">
        <f t="array" ref="U431">IFERROR(_xlfn.IFS(
S431="","",
--S431&lt;55,"Battery Defect",
--S431&lt;=69,"Battery D",
--S431&lt;=80,"Battery C",
--S431&gt;80,""
),"")</f>
        <v/>
      </c>
      <c r="V431" s="51"/>
      <c r="W431" s="51"/>
      <c r="X431" s="51"/>
      <c r="Y431" s="51"/>
      <c r="Z431" s="51"/>
      <c r="AA431" s="51"/>
      <c r="AB431" s="51"/>
      <c r="AC431" s="51"/>
      <c r="AD431" s="32" t="str">
        <f t="shared" si="18"/>
        <v/>
      </c>
      <c r="AE431" s="32"/>
      <c r="AF431" s="32"/>
      <c r="AG431" s="32"/>
      <c r="AH431" s="32"/>
      <c r="AI431" s="32"/>
      <c r="AJ431" s="32"/>
      <c r="AK431" s="32"/>
      <c r="AL431" s="32"/>
    </row>
    <row r="432" spans="1:38">
      <c r="A432" s="32" t="str">
        <f>_xlfn.TEXTJOIN("",TRUE,_xlfn.XLOOKUP(B432,Input!J:J,Input!G:G,"",0,1),_xlfn.XLOOKUP(B432,Input!J:J,Input!H:H,"",0,1))</f>
        <v/>
      </c>
      <c r="B432" s="32"/>
      <c r="C432" s="51">
        <f>_xlfn.XLOOKUP(B432,Input!J:J,Input!F:F)</f>
        <v>0</v>
      </c>
      <c r="D432" s="32">
        <f>_xlfn.XLOOKUP(C432,Models!H:H,Models!G:G,C432)</f>
        <v>0</v>
      </c>
      <c r="E432" s="32">
        <f>_xlfn.XLOOKUP(B432,Input!J:J,Input!E:E)</f>
        <v>0</v>
      </c>
      <c r="F432" s="32">
        <f>IF(E432="LENOVO",_xlfn.XLOOKUP(B432,Input!J:J,Input!K:K),_xlfn.XLOOKUP(B432,Input!J:J,Input!L:L))</f>
        <v>0</v>
      </c>
      <c r="G432" s="32"/>
      <c r="H432" s="32"/>
      <c r="I432" s="32"/>
      <c r="J432" s="51" t="e">
        <f>INDEX(Input!$D$2:$AC$500,
       MATCH(B432, Input!$J$2:$J$500, 0),
       MATCH("Total Memory", Input!$D$1:$AC$1, 0))</f>
        <v>#N/A</v>
      </c>
      <c r="K432" s="51"/>
      <c r="L432" s="51" t="str" cm="1">
        <f t="array" ref="L432">IFERROR(_xlfn.FILTERXML("&lt;t&gt;&lt;s&gt;" &amp; SUBSTITUTE(K432," / ","&lt;/s&gt;&lt;s&gt;") &amp; "&lt;/s&gt;&lt;/t&gt;","(//s[contains(.,'DDR')])[1]"),"")</f>
        <v/>
      </c>
      <c r="M432" s="32" t="e">
        <f t="shared" si="20"/>
        <v>#N/A</v>
      </c>
      <c r="N432" s="51" t="e">
        <f>INDEX(Input!$D$2:$AC$500,
       MATCH(B432, Input!$J$2:$J$500, 0),
       MATCH("Disk Interface Type", Input!$D$1:$AC$1, 0))</f>
        <v>#N/A</v>
      </c>
      <c r="O432" s="51" t="str" cm="1">
        <f t="array" ref="O432">IFERROR(_xlfn.TEXTJOIN(", ", TRUE, _xlfn._xlws.FILTER(
    INDEX(Input!$D$2:$AC$500,,MATCH("Disk Capacity",Input!$D$1:$AC$1,0)),
    Input!$J$2:$J$500=B432
)), "")</f>
        <v/>
      </c>
      <c r="P432" s="32" t="e">
        <f t="shared" si="19"/>
        <v>#N/A</v>
      </c>
      <c r="Q432" s="51" t="e">
        <f>_xlfn.LET(_xlpm.Result,INDEX(Input!$D$2:$AC$500,
       MATCH(B432, Input!$J$2:$J$500, 0),
       MATCH("Capacity", Input!$D$1:$AC$1, 0)),IF(_xlpm.Result="","",_xlpm.Result))</f>
        <v>#N/A</v>
      </c>
      <c r="R432" s="51" t="e" cm="1">
        <f t="array" ref="R432">_xlfn.TEXTSPLIT(Q432," / ", ,TRUE,0,)</f>
        <v>#N/A</v>
      </c>
      <c r="S432" s="51"/>
      <c r="T432" s="51" t="str" cm="1">
        <f t="array" ref="T432">IFERROR(_xlfn.IFS(
R432="","",
--R432&lt;55,"Battery Defect",
--R432&lt;=69,"Battery D",
--R432&lt;=80,"Battery C",
--R432&gt;80,""
),"")</f>
        <v/>
      </c>
      <c r="U432" s="51" t="str" cm="1">
        <f t="array" ref="U432">IFERROR(_xlfn.IFS(
S432="","",
--S432&lt;55,"Battery Defect",
--S432&lt;=69,"Battery D",
--S432&lt;=80,"Battery C",
--S432&gt;80,""
),"")</f>
        <v/>
      </c>
      <c r="V432" s="51"/>
      <c r="W432" s="51"/>
      <c r="X432" s="51"/>
      <c r="Y432" s="51"/>
      <c r="Z432" s="51"/>
      <c r="AA432" s="51"/>
      <c r="AB432" s="51"/>
      <c r="AC432" s="51"/>
      <c r="AD432" s="32" t="str">
        <f t="shared" si="18"/>
        <v/>
      </c>
      <c r="AE432" s="32"/>
      <c r="AF432" s="32"/>
      <c r="AG432" s="32"/>
      <c r="AH432" s="32"/>
      <c r="AI432" s="32"/>
      <c r="AJ432" s="32"/>
      <c r="AK432" s="32"/>
      <c r="AL432" s="32"/>
    </row>
    <row r="433" spans="1:38">
      <c r="A433" s="32" t="str">
        <f>_xlfn.TEXTJOIN("",TRUE,_xlfn.XLOOKUP(B433,Input!J:J,Input!G:G,"",0,1),_xlfn.XLOOKUP(B433,Input!J:J,Input!H:H,"",0,1))</f>
        <v/>
      </c>
      <c r="B433" s="32"/>
      <c r="C433" s="51">
        <f>_xlfn.XLOOKUP(B433,Input!J:J,Input!F:F)</f>
        <v>0</v>
      </c>
      <c r="D433" s="32">
        <f>_xlfn.XLOOKUP(C433,Models!H:H,Models!G:G,C433)</f>
        <v>0</v>
      </c>
      <c r="E433" s="32">
        <f>_xlfn.XLOOKUP(B433,Input!J:J,Input!E:E)</f>
        <v>0</v>
      </c>
      <c r="F433" s="32">
        <f>IF(E433="LENOVO",_xlfn.XLOOKUP(B433,Input!J:J,Input!K:K),_xlfn.XLOOKUP(B433,Input!J:J,Input!L:L))</f>
        <v>0</v>
      </c>
      <c r="G433" s="32"/>
      <c r="H433" s="32"/>
      <c r="I433" s="32"/>
      <c r="J433" s="51" t="e">
        <f>INDEX(Input!$D$2:$AC$500,
       MATCH(B433, Input!$J$2:$J$500, 0),
       MATCH("Total Memory", Input!$D$1:$AC$1, 0))</f>
        <v>#N/A</v>
      </c>
      <c r="K433" s="51"/>
      <c r="L433" s="51" t="str" cm="1">
        <f t="array" ref="L433">IFERROR(_xlfn.FILTERXML("&lt;t&gt;&lt;s&gt;" &amp; SUBSTITUTE(K433," / ","&lt;/s&gt;&lt;s&gt;") &amp; "&lt;/s&gt;&lt;/t&gt;","(//s[contains(.,'DDR')])[1]"),"")</f>
        <v/>
      </c>
      <c r="M433" s="32" t="e">
        <f t="shared" si="20"/>
        <v>#N/A</v>
      </c>
      <c r="N433" s="51" t="e">
        <f>INDEX(Input!$D$2:$AC$500,
       MATCH(B433, Input!$J$2:$J$500, 0),
       MATCH("Disk Interface Type", Input!$D$1:$AC$1, 0))</f>
        <v>#N/A</v>
      </c>
      <c r="O433" s="51" t="str" cm="1">
        <f t="array" ref="O433">IFERROR(_xlfn.TEXTJOIN(", ", TRUE, _xlfn._xlws.FILTER(
    INDEX(Input!$D$2:$AC$500,,MATCH("Disk Capacity",Input!$D$1:$AC$1,0)),
    Input!$J$2:$J$500=B433
)), "")</f>
        <v/>
      </c>
      <c r="P433" s="32" t="e">
        <f t="shared" si="19"/>
        <v>#N/A</v>
      </c>
      <c r="Q433" s="51" t="e">
        <f>_xlfn.LET(_xlpm.Result,INDEX(Input!$D$2:$AC$500,
       MATCH(B433, Input!$J$2:$J$500, 0),
       MATCH("Capacity", Input!$D$1:$AC$1, 0)),IF(_xlpm.Result="","",_xlpm.Result))</f>
        <v>#N/A</v>
      </c>
      <c r="R433" s="51" t="e" cm="1">
        <f t="array" ref="R433">_xlfn.TEXTSPLIT(Q433," / ", ,TRUE,0,)</f>
        <v>#N/A</v>
      </c>
      <c r="S433" s="51"/>
      <c r="T433" s="51" t="str" cm="1">
        <f t="array" ref="T433">IFERROR(_xlfn.IFS(
R433="","",
--R433&lt;55,"Battery Defect",
--R433&lt;=69,"Battery D",
--R433&lt;=80,"Battery C",
--R433&gt;80,""
),"")</f>
        <v/>
      </c>
      <c r="U433" s="51" t="str" cm="1">
        <f t="array" ref="U433">IFERROR(_xlfn.IFS(
S433="","",
--S433&lt;55,"Battery Defect",
--S433&lt;=69,"Battery D",
--S433&lt;=80,"Battery C",
--S433&gt;80,""
),"")</f>
        <v/>
      </c>
      <c r="V433" s="51"/>
      <c r="W433" s="51"/>
      <c r="X433" s="51"/>
      <c r="Y433" s="51"/>
      <c r="Z433" s="51"/>
      <c r="AA433" s="51"/>
      <c r="AB433" s="51"/>
      <c r="AC433" s="51"/>
      <c r="AD433" s="32" t="str">
        <f t="shared" si="18"/>
        <v/>
      </c>
      <c r="AE433" s="32"/>
      <c r="AF433" s="32"/>
      <c r="AG433" s="32"/>
      <c r="AH433" s="32"/>
      <c r="AI433" s="32"/>
      <c r="AJ433" s="32"/>
      <c r="AK433" s="32"/>
      <c r="AL433" s="32"/>
    </row>
    <row r="434" spans="1:38">
      <c r="A434" s="32" t="str">
        <f>_xlfn.TEXTJOIN("",TRUE,_xlfn.XLOOKUP(B434,Input!J:J,Input!G:G,"",0,1),_xlfn.XLOOKUP(B434,Input!J:J,Input!H:H,"",0,1))</f>
        <v/>
      </c>
      <c r="B434" s="32"/>
      <c r="C434" s="51">
        <f>_xlfn.XLOOKUP(B434,Input!J:J,Input!F:F)</f>
        <v>0</v>
      </c>
      <c r="D434" s="32">
        <f>_xlfn.XLOOKUP(C434,Models!H:H,Models!G:G,C434)</f>
        <v>0</v>
      </c>
      <c r="E434" s="32">
        <f>_xlfn.XLOOKUP(B434,Input!J:J,Input!E:E)</f>
        <v>0</v>
      </c>
      <c r="F434" s="32">
        <f>IF(E434="LENOVO",_xlfn.XLOOKUP(B434,Input!J:J,Input!K:K),_xlfn.XLOOKUP(B434,Input!J:J,Input!L:L))</f>
        <v>0</v>
      </c>
      <c r="G434" s="32"/>
      <c r="H434" s="32"/>
      <c r="I434" s="32"/>
      <c r="J434" s="51" t="e">
        <f>INDEX(Input!$D$2:$AC$500,
       MATCH(B434, Input!$J$2:$J$500, 0),
       MATCH("Total Memory", Input!$D$1:$AC$1, 0))</f>
        <v>#N/A</v>
      </c>
      <c r="K434" s="51"/>
      <c r="L434" s="51" t="str" cm="1">
        <f t="array" ref="L434">IFERROR(_xlfn.FILTERXML("&lt;t&gt;&lt;s&gt;" &amp; SUBSTITUTE(K434," / ","&lt;/s&gt;&lt;s&gt;") &amp; "&lt;/s&gt;&lt;/t&gt;","(//s[contains(.,'DDR')])[1]"),"")</f>
        <v/>
      </c>
      <c r="M434" s="32" t="e">
        <f t="shared" si="20"/>
        <v>#N/A</v>
      </c>
      <c r="N434" s="51" t="e">
        <f>INDEX(Input!$D$2:$AC$500,
       MATCH(B434, Input!$J$2:$J$500, 0),
       MATCH("Disk Interface Type", Input!$D$1:$AC$1, 0))</f>
        <v>#N/A</v>
      </c>
      <c r="O434" s="51" t="str" cm="1">
        <f t="array" ref="O434">IFERROR(_xlfn.TEXTJOIN(", ", TRUE, _xlfn._xlws.FILTER(
    INDEX(Input!$D$2:$AC$500,,MATCH("Disk Capacity",Input!$D$1:$AC$1,0)),
    Input!$J$2:$J$500=B434
)), "")</f>
        <v/>
      </c>
      <c r="P434" s="32" t="e">
        <f t="shared" si="19"/>
        <v>#N/A</v>
      </c>
      <c r="Q434" s="51" t="e">
        <f>_xlfn.LET(_xlpm.Result,INDEX(Input!$D$2:$AC$500,
       MATCH(B434, Input!$J$2:$J$500, 0),
       MATCH("Capacity", Input!$D$1:$AC$1, 0)),IF(_xlpm.Result="","",_xlpm.Result))</f>
        <v>#N/A</v>
      </c>
      <c r="R434" s="51" t="e" cm="1">
        <f t="array" ref="R434">_xlfn.TEXTSPLIT(Q434," / ", ,TRUE,0,)</f>
        <v>#N/A</v>
      </c>
      <c r="S434" s="51"/>
      <c r="T434" s="51" t="str" cm="1">
        <f t="array" ref="T434">IFERROR(_xlfn.IFS(
R434="","",
--R434&lt;55,"Battery Defect",
--R434&lt;=69,"Battery D",
--R434&lt;=80,"Battery C",
--R434&gt;80,""
),"")</f>
        <v/>
      </c>
      <c r="U434" s="51" t="str" cm="1">
        <f t="array" ref="U434">IFERROR(_xlfn.IFS(
S434="","",
--S434&lt;55,"Battery Defect",
--S434&lt;=69,"Battery D",
--S434&lt;=80,"Battery C",
--S434&gt;80,""
),"")</f>
        <v/>
      </c>
      <c r="V434" s="51"/>
      <c r="W434" s="51"/>
      <c r="X434" s="51"/>
      <c r="Y434" s="51"/>
      <c r="Z434" s="51"/>
      <c r="AA434" s="51"/>
      <c r="AB434" s="51"/>
      <c r="AC434" s="51"/>
      <c r="AD434" s="32" t="str">
        <f t="shared" si="18"/>
        <v/>
      </c>
      <c r="AE434" s="32"/>
      <c r="AF434" s="32"/>
      <c r="AG434" s="32"/>
      <c r="AH434" s="32"/>
      <c r="AI434" s="32"/>
      <c r="AJ434" s="32"/>
      <c r="AK434" s="32"/>
      <c r="AL434" s="32"/>
    </row>
    <row r="435" spans="1:38">
      <c r="A435" s="32" t="str">
        <f>_xlfn.TEXTJOIN("",TRUE,_xlfn.XLOOKUP(B435,Input!J:J,Input!G:G,"",0,1),_xlfn.XLOOKUP(B435,Input!J:J,Input!H:H,"",0,1))</f>
        <v/>
      </c>
      <c r="B435" s="32"/>
      <c r="C435" s="51">
        <f>_xlfn.XLOOKUP(B435,Input!J:J,Input!F:F)</f>
        <v>0</v>
      </c>
      <c r="D435" s="32">
        <f>_xlfn.XLOOKUP(C435,Models!H:H,Models!G:G,C435)</f>
        <v>0</v>
      </c>
      <c r="E435" s="32">
        <f>_xlfn.XLOOKUP(B435,Input!J:J,Input!E:E)</f>
        <v>0</v>
      </c>
      <c r="F435" s="32">
        <f>IF(E435="LENOVO",_xlfn.XLOOKUP(B435,Input!J:J,Input!K:K),_xlfn.XLOOKUP(B435,Input!J:J,Input!L:L))</f>
        <v>0</v>
      </c>
      <c r="G435" s="32"/>
      <c r="H435" s="32"/>
      <c r="I435" s="32"/>
      <c r="J435" s="51" t="e">
        <f>INDEX(Input!$D$2:$AC$500,
       MATCH(B435, Input!$J$2:$J$500, 0),
       MATCH("Total Memory", Input!$D$1:$AC$1, 0))</f>
        <v>#N/A</v>
      </c>
      <c r="K435" s="51"/>
      <c r="L435" s="51" t="str" cm="1">
        <f t="array" ref="L435">IFERROR(_xlfn.FILTERXML("&lt;t&gt;&lt;s&gt;" &amp; SUBSTITUTE(K435," / ","&lt;/s&gt;&lt;s&gt;") &amp; "&lt;/s&gt;&lt;/t&gt;","(//s[contains(.,'DDR')])[1]"),"")</f>
        <v/>
      </c>
      <c r="M435" s="32" t="e">
        <f t="shared" si="20"/>
        <v>#N/A</v>
      </c>
      <c r="N435" s="51" t="e">
        <f>INDEX(Input!$D$2:$AC$500,
       MATCH(B435, Input!$J$2:$J$500, 0),
       MATCH("Disk Interface Type", Input!$D$1:$AC$1, 0))</f>
        <v>#N/A</v>
      </c>
      <c r="O435" s="51" t="str" cm="1">
        <f t="array" ref="O435">IFERROR(_xlfn.TEXTJOIN(", ", TRUE, _xlfn._xlws.FILTER(
    INDEX(Input!$D$2:$AC$500,,MATCH("Disk Capacity",Input!$D$1:$AC$1,0)),
    Input!$J$2:$J$500=B435
)), "")</f>
        <v/>
      </c>
      <c r="P435" s="32" t="e">
        <f t="shared" si="19"/>
        <v>#N/A</v>
      </c>
      <c r="Q435" s="51" t="e">
        <f>_xlfn.LET(_xlpm.Result,INDEX(Input!$D$2:$AC$500,
       MATCH(B435, Input!$J$2:$J$500, 0),
       MATCH("Capacity", Input!$D$1:$AC$1, 0)),IF(_xlpm.Result="","",_xlpm.Result))</f>
        <v>#N/A</v>
      </c>
      <c r="R435" s="51"/>
      <c r="S435" s="51"/>
      <c r="T435" s="51" t="str" cm="1">
        <f t="array" ref="T435">IFERROR(_xlfn.IFS(
R435="","",
--R435&lt;55,"Battery Defect",
--R435&lt;=69,"Battery D",
--R435&lt;=80,"Battery C",
--R435&gt;80,""
),"")</f>
        <v/>
      </c>
      <c r="U435" s="51" t="str" cm="1">
        <f t="array" ref="U435">IFERROR(_xlfn.IFS(
S435="","",
--S435&lt;55,"Battery Defect",
--S435&lt;=69,"Battery D",
--S435&lt;=80,"Battery C",
--S435&gt;80,""
),"")</f>
        <v/>
      </c>
      <c r="V435" s="51"/>
      <c r="W435" s="51"/>
      <c r="X435" s="51"/>
      <c r="Y435" s="51"/>
      <c r="Z435" s="51"/>
      <c r="AA435" s="51"/>
      <c r="AB435" s="51"/>
      <c r="AC435" s="51"/>
      <c r="AD435" s="32" t="str">
        <f t="shared" si="18"/>
        <v/>
      </c>
      <c r="AE435" s="32"/>
      <c r="AF435" s="32"/>
      <c r="AG435" s="32"/>
      <c r="AH435" s="32"/>
      <c r="AI435" s="32"/>
      <c r="AJ435" s="32"/>
      <c r="AK435" s="32"/>
      <c r="AL435" s="32"/>
    </row>
    <row r="436" spans="1:38">
      <c r="A436" s="32" t="str">
        <f>_xlfn.TEXTJOIN("",TRUE,_xlfn.XLOOKUP(B436,Input!J:J,Input!G:G,"",0,1),_xlfn.XLOOKUP(B436,Input!J:J,Input!H:H,"",0,1))</f>
        <v/>
      </c>
      <c r="B436" s="32"/>
      <c r="C436" s="51">
        <f>_xlfn.XLOOKUP(B436,Input!J:J,Input!F:F)</f>
        <v>0</v>
      </c>
      <c r="D436" s="32">
        <f>_xlfn.XLOOKUP(C436,Models!H:H,Models!G:G,C436)</f>
        <v>0</v>
      </c>
      <c r="E436" s="32">
        <f>_xlfn.XLOOKUP(B436,Input!J:J,Input!E:E)</f>
        <v>0</v>
      </c>
      <c r="F436" s="32">
        <f>IF(E436="LENOVO",_xlfn.XLOOKUP(B436,Input!J:J,Input!K:K),_xlfn.XLOOKUP(B436,Input!J:J,Input!L:L))</f>
        <v>0</v>
      </c>
      <c r="G436" s="32"/>
      <c r="H436" s="32"/>
      <c r="I436" s="32"/>
      <c r="J436" s="51" t="e">
        <f>INDEX(Input!$D$2:$AC$500,
       MATCH(B436, Input!$J$2:$J$500, 0),
       MATCH("Total Memory", Input!$D$1:$AC$1, 0))</f>
        <v>#N/A</v>
      </c>
      <c r="K436" s="51"/>
      <c r="L436" s="51" t="str" cm="1">
        <f t="array" ref="L436">IFERROR(_xlfn.FILTERXML("&lt;t&gt;&lt;s&gt;" &amp; SUBSTITUTE(K436," / ","&lt;/s&gt;&lt;s&gt;") &amp; "&lt;/s&gt;&lt;/t&gt;","(//s[contains(.,'DDR')])[1]"),"")</f>
        <v/>
      </c>
      <c r="M436" s="32" t="e">
        <f t="shared" si="20"/>
        <v>#N/A</v>
      </c>
      <c r="N436" s="51" t="e">
        <f>INDEX(Input!$D$2:$AC$500,
       MATCH(B436, Input!$J$2:$J$500, 0),
       MATCH("Disk Interface Type", Input!$D$1:$AC$1, 0))</f>
        <v>#N/A</v>
      </c>
      <c r="O436" s="51" t="str" cm="1">
        <f t="array" ref="O436">IFERROR(_xlfn.TEXTJOIN(", ", TRUE, _xlfn._xlws.FILTER(
    INDEX(Input!$D$2:$AC$500,,MATCH("Disk Capacity",Input!$D$1:$AC$1,0)),
    Input!$J$2:$J$500=B436
)), "")</f>
        <v/>
      </c>
      <c r="P436" s="32" t="e">
        <f t="shared" si="19"/>
        <v>#N/A</v>
      </c>
      <c r="Q436" s="51" t="e">
        <f>_xlfn.LET(_xlpm.Result,INDEX(Input!$D$2:$AC$500,
       MATCH(B436, Input!$J$2:$J$500, 0),
       MATCH("Capacity", Input!$D$1:$AC$1, 0)),IF(_xlpm.Result="","",_xlpm.Result))</f>
        <v>#N/A</v>
      </c>
      <c r="R436" s="51"/>
      <c r="S436" s="51"/>
      <c r="T436" s="51" t="str" cm="1">
        <f t="array" ref="T436">IFERROR(_xlfn.IFS(
R436="","",
--R436&lt;55,"Battery Defect",
--R436&lt;=69,"Battery D",
--R436&lt;=80,"Battery C",
--R436&gt;80,""
),"")</f>
        <v/>
      </c>
      <c r="U436" s="51" t="str" cm="1">
        <f t="array" ref="U436">IFERROR(_xlfn.IFS(
S436="","",
--S436&lt;55,"Battery Defect",
--S436&lt;=69,"Battery D",
--S436&lt;=80,"Battery C",
--S436&gt;80,""
),"")</f>
        <v/>
      </c>
      <c r="V436" s="51"/>
      <c r="W436" s="51"/>
      <c r="X436" s="51"/>
      <c r="Y436" s="51"/>
      <c r="Z436" s="51"/>
      <c r="AA436" s="51"/>
      <c r="AB436" s="51"/>
      <c r="AC436" s="51"/>
      <c r="AD436" s="32" t="str">
        <f t="shared" si="18"/>
        <v/>
      </c>
      <c r="AE436" s="32"/>
      <c r="AF436" s="32"/>
      <c r="AG436" s="32"/>
      <c r="AH436" s="32"/>
      <c r="AI436" s="32"/>
      <c r="AJ436" s="32"/>
      <c r="AK436" s="32"/>
      <c r="AL436" s="32"/>
    </row>
    <row r="437" spans="1:38">
      <c r="A437" s="32" t="str">
        <f>_xlfn.TEXTJOIN("",TRUE,_xlfn.XLOOKUP(B437,Input!J:J,Input!G:G,"",0,1),_xlfn.XLOOKUP(B437,Input!J:J,Input!H:H,"",0,1))</f>
        <v/>
      </c>
      <c r="B437" s="32"/>
      <c r="C437" s="51">
        <f>_xlfn.XLOOKUP(B437,Input!J:J,Input!F:F)</f>
        <v>0</v>
      </c>
      <c r="D437" s="32">
        <f>_xlfn.XLOOKUP(C437,Models!H:H,Models!G:G,C437)</f>
        <v>0</v>
      </c>
      <c r="E437" s="32">
        <f>_xlfn.XLOOKUP(B437,Input!J:J,Input!E:E)</f>
        <v>0</v>
      </c>
      <c r="F437" s="32">
        <f>IF(E437="LENOVO",_xlfn.XLOOKUP(B437,Input!J:J,Input!K:K),_xlfn.XLOOKUP(B437,Input!J:J,Input!L:L))</f>
        <v>0</v>
      </c>
      <c r="G437" s="32"/>
      <c r="H437" s="32"/>
      <c r="I437" s="32"/>
      <c r="J437" s="51" t="e">
        <f>INDEX(Input!$D$2:$AC$500,
       MATCH(B437, Input!$J$2:$J$500, 0),
       MATCH("Total Memory", Input!$D$1:$AC$1, 0))</f>
        <v>#N/A</v>
      </c>
      <c r="K437" s="51"/>
      <c r="L437" s="51" t="str" cm="1">
        <f t="array" ref="L437">IFERROR(_xlfn.FILTERXML("&lt;t&gt;&lt;s&gt;" &amp; SUBSTITUTE(K437," / ","&lt;/s&gt;&lt;s&gt;") &amp; "&lt;/s&gt;&lt;/t&gt;","(//s[contains(.,'DDR')])[1]"),"")</f>
        <v/>
      </c>
      <c r="M437" s="32" t="e">
        <f t="shared" si="20"/>
        <v>#N/A</v>
      </c>
      <c r="N437" s="51" t="e">
        <f>INDEX(Input!$D$2:$AC$500,
       MATCH(B437, Input!$J$2:$J$500, 0),
       MATCH("Disk Interface Type", Input!$D$1:$AC$1, 0))</f>
        <v>#N/A</v>
      </c>
      <c r="O437" s="51" t="str" cm="1">
        <f t="array" ref="O437">IFERROR(_xlfn.TEXTJOIN(", ", TRUE, _xlfn._xlws.FILTER(
    INDEX(Input!$D$2:$AC$500,,MATCH("Disk Capacity",Input!$D$1:$AC$1,0)),
    Input!$J$2:$J$500=B437
)), "")</f>
        <v/>
      </c>
      <c r="P437" s="32" t="e">
        <f t="shared" si="19"/>
        <v>#N/A</v>
      </c>
      <c r="Q437" s="51" t="e">
        <f>_xlfn.LET(_xlpm.Result,INDEX(Input!$D$2:$AC$500,
       MATCH(B437, Input!$J$2:$J$500, 0),
       MATCH("Capacity", Input!$D$1:$AC$1, 0)),IF(_xlpm.Result="","",_xlpm.Result))</f>
        <v>#N/A</v>
      </c>
      <c r="R437" s="51"/>
      <c r="S437" s="51"/>
      <c r="T437" s="51" t="str" cm="1">
        <f t="array" ref="T437">IFERROR(_xlfn.IFS(
R437="","",
--R437&lt;55,"Battery Defect",
--R437&lt;=69,"Battery D",
--R437&lt;=80,"Battery C",
--R437&gt;80,""
),"")</f>
        <v/>
      </c>
      <c r="U437" s="51" t="str" cm="1">
        <f t="array" ref="U437">IFERROR(_xlfn.IFS(
S437="","",
--S437&lt;55,"Battery Defect",
--S437&lt;=69,"Battery D",
--S437&lt;=80,"Battery C",
--S437&gt;80,""
),"")</f>
        <v/>
      </c>
      <c r="V437" s="51"/>
      <c r="W437" s="51"/>
      <c r="X437" s="51"/>
      <c r="Y437" s="51"/>
      <c r="Z437" s="51"/>
      <c r="AA437" s="51"/>
      <c r="AB437" s="51"/>
      <c r="AC437" s="51"/>
      <c r="AD437" s="32" t="str">
        <f t="shared" si="18"/>
        <v/>
      </c>
      <c r="AE437" s="32"/>
      <c r="AF437" s="32"/>
      <c r="AG437" s="32"/>
      <c r="AH437" s="32"/>
      <c r="AI437" s="32"/>
      <c r="AJ437" s="32"/>
      <c r="AK437" s="32"/>
      <c r="AL437" s="32"/>
    </row>
    <row r="438" spans="1:38">
      <c r="A438" s="32" t="str">
        <f>_xlfn.TEXTJOIN("",TRUE,_xlfn.XLOOKUP(B438,Input!J:J,Input!G:G,"",0,1),_xlfn.XLOOKUP(B438,Input!J:J,Input!H:H,"",0,1))</f>
        <v/>
      </c>
      <c r="B438" s="32"/>
      <c r="C438" s="51">
        <f>_xlfn.XLOOKUP(B438,Input!J:J,Input!F:F)</f>
        <v>0</v>
      </c>
      <c r="D438" s="32">
        <f>_xlfn.XLOOKUP(C438,Models!H:H,Models!G:G,C438)</f>
        <v>0</v>
      </c>
      <c r="E438" s="32">
        <f>_xlfn.XLOOKUP(B438,Input!J:J,Input!E:E)</f>
        <v>0</v>
      </c>
      <c r="F438" s="32">
        <f>IF(E438="LENOVO",_xlfn.XLOOKUP(B438,Input!J:J,Input!K:K),_xlfn.XLOOKUP(B438,Input!J:J,Input!L:L))</f>
        <v>0</v>
      </c>
      <c r="G438" s="32"/>
      <c r="H438" s="32"/>
      <c r="I438" s="32"/>
      <c r="J438" s="51" t="e">
        <f>INDEX(Input!$D$2:$AC$500,
       MATCH(B438, Input!$J$2:$J$500, 0),
       MATCH("Total Memory", Input!$D$1:$AC$1, 0))</f>
        <v>#N/A</v>
      </c>
      <c r="K438" s="51"/>
      <c r="L438" s="51" t="str" cm="1">
        <f t="array" ref="L438">IFERROR(_xlfn.FILTERXML("&lt;t&gt;&lt;s&gt;" &amp; SUBSTITUTE(K438," / ","&lt;/s&gt;&lt;s&gt;") &amp; "&lt;/s&gt;&lt;/t&gt;","(//s[contains(.,'DDR')])[1]"),"")</f>
        <v/>
      </c>
      <c r="M438" s="32" t="e">
        <f t="shared" si="20"/>
        <v>#N/A</v>
      </c>
      <c r="N438" s="51" t="e">
        <f>INDEX(Input!$D$2:$AC$500,
       MATCH(B438, Input!$J$2:$J$500, 0),
       MATCH("Disk Interface Type", Input!$D$1:$AC$1, 0))</f>
        <v>#N/A</v>
      </c>
      <c r="O438" s="51" t="str" cm="1">
        <f t="array" ref="O438">IFERROR(_xlfn.TEXTJOIN(", ", TRUE, _xlfn._xlws.FILTER(
    INDEX(Input!$D$2:$AC$500,,MATCH("Disk Capacity",Input!$D$1:$AC$1,0)),
    Input!$J$2:$J$500=B438
)), "")</f>
        <v/>
      </c>
      <c r="P438" s="32" t="e">
        <f t="shared" si="19"/>
        <v>#N/A</v>
      </c>
      <c r="Q438" s="51" t="e">
        <f>_xlfn.LET(_xlpm.Result,INDEX(Input!$D$2:$AC$500,
       MATCH(B438, Input!$J$2:$J$500, 0),
       MATCH("Capacity", Input!$D$1:$AC$1, 0)),IF(_xlpm.Result="","",_xlpm.Result))</f>
        <v>#N/A</v>
      </c>
      <c r="R438" s="51"/>
      <c r="S438" s="51"/>
      <c r="T438" s="51" t="str" cm="1">
        <f t="array" ref="T438">IFERROR(_xlfn.IFS(
R438="","",
--R438&lt;55,"Battery Defect",
--R438&lt;=69,"Battery D",
--R438&lt;=80,"Battery C",
--R438&gt;80,""
),"")</f>
        <v/>
      </c>
      <c r="U438" s="51" t="str" cm="1">
        <f t="array" ref="U438">IFERROR(_xlfn.IFS(
S438="","",
--S438&lt;55,"Battery Defect",
--S438&lt;=69,"Battery D",
--S438&lt;=80,"Battery C",
--S438&gt;80,""
),"")</f>
        <v/>
      </c>
      <c r="V438" s="51"/>
      <c r="W438" s="51"/>
      <c r="X438" s="51"/>
      <c r="Y438" s="51"/>
      <c r="Z438" s="51"/>
      <c r="AA438" s="51"/>
      <c r="AB438" s="51"/>
      <c r="AC438" s="51"/>
      <c r="AD438" s="32" t="str">
        <f t="shared" si="18"/>
        <v/>
      </c>
      <c r="AE438" s="32"/>
      <c r="AF438" s="32"/>
      <c r="AG438" s="32"/>
      <c r="AH438" s="32"/>
      <c r="AI438" s="32"/>
      <c r="AJ438" s="32"/>
      <c r="AK438" s="32"/>
      <c r="AL438" s="32"/>
    </row>
    <row r="439" spans="1:38">
      <c r="A439" s="32" t="str">
        <f>_xlfn.TEXTJOIN("",TRUE,_xlfn.XLOOKUP(B439,Input!J:J,Input!G:G,"",0,1),_xlfn.XLOOKUP(B439,Input!J:J,Input!H:H,"",0,1))</f>
        <v/>
      </c>
      <c r="B439" s="32"/>
      <c r="C439" s="51">
        <f>_xlfn.XLOOKUP(B439,Input!J:J,Input!F:F)</f>
        <v>0</v>
      </c>
      <c r="D439" s="32">
        <f>_xlfn.XLOOKUP(C439,Models!H:H,Models!G:G,C439)</f>
        <v>0</v>
      </c>
      <c r="E439" s="32">
        <f>_xlfn.XLOOKUP(B439,Input!J:J,Input!E:E)</f>
        <v>0</v>
      </c>
      <c r="F439" s="32">
        <f>IF(E439="LENOVO",_xlfn.XLOOKUP(B439,Input!J:J,Input!K:K),_xlfn.XLOOKUP(B439,Input!J:J,Input!L:L))</f>
        <v>0</v>
      </c>
      <c r="G439" s="32"/>
      <c r="H439" s="32"/>
      <c r="I439" s="32"/>
      <c r="J439" s="51" t="e">
        <f>INDEX(Input!$D$2:$AC$500,
       MATCH(B439, Input!$J$2:$J$500, 0),
       MATCH("Total Memory", Input!$D$1:$AC$1, 0))</f>
        <v>#N/A</v>
      </c>
      <c r="K439" s="51"/>
      <c r="L439" s="51" t="str" cm="1">
        <f t="array" ref="L439">IFERROR(_xlfn.FILTERXML("&lt;t&gt;&lt;s&gt;" &amp; SUBSTITUTE(K439," / ","&lt;/s&gt;&lt;s&gt;") &amp; "&lt;/s&gt;&lt;/t&gt;","(//s[contains(.,'DDR')])[1]"),"")</f>
        <v/>
      </c>
      <c r="M439" s="32" t="e">
        <f t="shared" si="20"/>
        <v>#N/A</v>
      </c>
      <c r="N439" s="51" t="e">
        <f>INDEX(Input!$D$2:$AC$500,
       MATCH(B439, Input!$J$2:$J$500, 0),
       MATCH("Disk Interface Type", Input!$D$1:$AC$1, 0))</f>
        <v>#N/A</v>
      </c>
      <c r="O439" s="51" t="str" cm="1">
        <f t="array" ref="O439">IFERROR(_xlfn.TEXTJOIN(", ", TRUE, _xlfn._xlws.FILTER(
    INDEX(Input!$D$2:$AC$500,,MATCH("Disk Capacity",Input!$D$1:$AC$1,0)),
    Input!$J$2:$J$500=B439
)), "")</f>
        <v/>
      </c>
      <c r="P439" s="32" t="e">
        <f t="shared" si="19"/>
        <v>#N/A</v>
      </c>
      <c r="Q439" s="51" t="e">
        <f>_xlfn.LET(_xlpm.Result,INDEX(Input!$D$2:$AC$500,
       MATCH(B439, Input!$J$2:$J$500, 0),
       MATCH("Capacity", Input!$D$1:$AC$1, 0)),IF(_xlpm.Result="","",_xlpm.Result))</f>
        <v>#N/A</v>
      </c>
      <c r="R439" s="51"/>
      <c r="S439" s="51"/>
      <c r="T439" s="51" t="str" cm="1">
        <f t="array" ref="T439">IFERROR(_xlfn.IFS(
R439="","",
--R439&lt;55,"Battery Defect",
--R439&lt;=69,"Battery D",
--R439&lt;=80,"Battery C",
--R439&gt;80,""
),"")</f>
        <v/>
      </c>
      <c r="U439" s="51" t="str" cm="1">
        <f t="array" ref="U439">IFERROR(_xlfn.IFS(
S439="","",
--S439&lt;55,"Battery Defect",
--S439&lt;=69,"Battery D",
--S439&lt;=80,"Battery C",
--S439&gt;80,""
),"")</f>
        <v/>
      </c>
      <c r="V439" s="51"/>
      <c r="W439" s="51"/>
      <c r="X439" s="51"/>
      <c r="Y439" s="51"/>
      <c r="Z439" s="51"/>
      <c r="AA439" s="51"/>
      <c r="AB439" s="51"/>
      <c r="AC439" s="51"/>
      <c r="AD439" s="32" t="str">
        <f t="shared" si="18"/>
        <v/>
      </c>
      <c r="AE439" s="32"/>
      <c r="AF439" s="32"/>
      <c r="AG439" s="32"/>
      <c r="AH439" s="32"/>
      <c r="AI439" s="32"/>
      <c r="AJ439" s="32"/>
      <c r="AK439" s="32"/>
      <c r="AL439" s="32"/>
    </row>
    <row r="440" spans="1:38">
      <c r="A440" s="32" t="str">
        <f>_xlfn.TEXTJOIN("",TRUE,_xlfn.XLOOKUP(B440,Input!J:J,Input!G:G,"",0,1),_xlfn.XLOOKUP(B440,Input!J:J,Input!H:H,"",0,1))</f>
        <v/>
      </c>
      <c r="B440" s="32"/>
      <c r="C440" s="51">
        <f>_xlfn.XLOOKUP(B440,Input!J:J,Input!F:F)</f>
        <v>0</v>
      </c>
      <c r="D440" s="32">
        <f>_xlfn.XLOOKUP(C440,Models!H:H,Models!G:G,C440)</f>
        <v>0</v>
      </c>
      <c r="E440" s="32">
        <f>_xlfn.XLOOKUP(B440,Input!J:J,Input!E:E)</f>
        <v>0</v>
      </c>
      <c r="F440" s="32">
        <f>IF(E440="LENOVO",_xlfn.XLOOKUP(B440,Input!J:J,Input!K:K),_xlfn.XLOOKUP(B440,Input!J:J,Input!L:L))</f>
        <v>0</v>
      </c>
      <c r="G440" s="32"/>
      <c r="H440" s="32"/>
      <c r="I440" s="32"/>
      <c r="J440" s="51" t="e">
        <f>INDEX(Input!$D$2:$AC$500,
       MATCH(B440, Input!$J$2:$J$500, 0),
       MATCH("Total Memory", Input!$D$1:$AC$1, 0))</f>
        <v>#N/A</v>
      </c>
      <c r="K440" s="51"/>
      <c r="L440" s="51" t="str" cm="1">
        <f t="array" ref="L440">IFERROR(_xlfn.FILTERXML("&lt;t&gt;&lt;s&gt;" &amp; SUBSTITUTE(K440," / ","&lt;/s&gt;&lt;s&gt;") &amp; "&lt;/s&gt;&lt;/t&gt;","(//s[contains(.,'DDR')])[1]"),"")</f>
        <v/>
      </c>
      <c r="M440" s="32" t="e">
        <f t="shared" si="20"/>
        <v>#N/A</v>
      </c>
      <c r="N440" s="51" t="e">
        <f>INDEX(Input!$D$2:$AC$500,
       MATCH(B440, Input!$J$2:$J$500, 0),
       MATCH("Disk Interface Type", Input!$D$1:$AC$1, 0))</f>
        <v>#N/A</v>
      </c>
      <c r="O440" s="51" t="str" cm="1">
        <f t="array" ref="O440">IFERROR(_xlfn.TEXTJOIN(", ", TRUE, _xlfn._xlws.FILTER(
    INDEX(Input!$D$2:$AC$500,,MATCH("Disk Capacity",Input!$D$1:$AC$1,0)),
    Input!$J$2:$J$500=B440
)), "")</f>
        <v/>
      </c>
      <c r="P440" s="32" t="e">
        <f t="shared" si="19"/>
        <v>#N/A</v>
      </c>
      <c r="Q440" s="51" t="e">
        <f>_xlfn.LET(_xlpm.Result,INDEX(Input!$D$2:$AC$500,
       MATCH(B440, Input!$J$2:$J$500, 0),
       MATCH("Capacity", Input!$D$1:$AC$1, 0)),IF(_xlpm.Result="","",_xlpm.Result))</f>
        <v>#N/A</v>
      </c>
      <c r="R440" s="51"/>
      <c r="S440" s="51"/>
      <c r="T440" s="51" t="str" cm="1">
        <f t="array" ref="T440">IFERROR(_xlfn.IFS(
R440="","",
--R440&lt;55,"Battery Defect",
--R440&lt;=69,"Battery D",
--R440&lt;=80,"Battery C",
--R440&gt;80,""
),"")</f>
        <v/>
      </c>
      <c r="U440" s="51" t="str" cm="1">
        <f t="array" ref="U440">IFERROR(_xlfn.IFS(
S440="","",
--S440&lt;55,"Battery Defect",
--S440&lt;=69,"Battery D",
--S440&lt;=80,"Battery C",
--S440&gt;80,""
),"")</f>
        <v/>
      </c>
      <c r="V440" s="51"/>
      <c r="W440" s="51"/>
      <c r="X440" s="51"/>
      <c r="Y440" s="51"/>
      <c r="Z440" s="51"/>
      <c r="AA440" s="51"/>
      <c r="AB440" s="51"/>
      <c r="AC440" s="51"/>
      <c r="AD440" s="32" t="str">
        <f t="shared" si="18"/>
        <v/>
      </c>
      <c r="AE440" s="32"/>
      <c r="AF440" s="32"/>
      <c r="AG440" s="32"/>
      <c r="AH440" s="32"/>
      <c r="AI440" s="32"/>
      <c r="AJ440" s="32"/>
      <c r="AK440" s="32"/>
      <c r="AL440" s="32"/>
    </row>
    <row r="441" spans="1:38">
      <c r="A441" s="32" t="str">
        <f>_xlfn.TEXTJOIN("",TRUE,_xlfn.XLOOKUP(B441,Input!J:J,Input!G:G,"",0,1),_xlfn.XLOOKUP(B441,Input!J:J,Input!H:H,"",0,1))</f>
        <v/>
      </c>
      <c r="B441" s="32"/>
      <c r="C441" s="51">
        <f>_xlfn.XLOOKUP(B441,Input!J:J,Input!F:F)</f>
        <v>0</v>
      </c>
      <c r="D441" s="32">
        <f>_xlfn.XLOOKUP(C441,Models!H:H,Models!G:G,C441)</f>
        <v>0</v>
      </c>
      <c r="E441" s="32">
        <f>_xlfn.XLOOKUP(B441,Input!J:J,Input!E:E)</f>
        <v>0</v>
      </c>
      <c r="F441" s="32">
        <f>IF(E441="LENOVO",_xlfn.XLOOKUP(B441,Input!J:J,Input!K:K),_xlfn.XLOOKUP(B441,Input!J:J,Input!L:L))</f>
        <v>0</v>
      </c>
      <c r="G441" s="32"/>
      <c r="H441" s="32"/>
      <c r="I441" s="32"/>
      <c r="J441" s="51" t="e">
        <f>INDEX(Input!$D$2:$AC$500,
       MATCH(B441, Input!$J$2:$J$500, 0),
       MATCH("Total Memory", Input!$D$1:$AC$1, 0))</f>
        <v>#N/A</v>
      </c>
      <c r="K441" s="51"/>
      <c r="L441" s="51" t="str" cm="1">
        <f t="array" ref="L441">IFERROR(_xlfn.FILTERXML("&lt;t&gt;&lt;s&gt;" &amp; SUBSTITUTE(K441," / ","&lt;/s&gt;&lt;s&gt;") &amp; "&lt;/s&gt;&lt;/t&gt;","(//s[contains(.,'DDR')])[1]"),"")</f>
        <v/>
      </c>
      <c r="M441" s="32" t="e">
        <f t="shared" si="20"/>
        <v>#N/A</v>
      </c>
      <c r="N441" s="51" t="e">
        <f>INDEX(Input!$D$2:$AC$500,
       MATCH(B441, Input!$J$2:$J$500, 0),
       MATCH("Disk Interface Type", Input!$D$1:$AC$1, 0))</f>
        <v>#N/A</v>
      </c>
      <c r="O441" s="51" t="str" cm="1">
        <f t="array" ref="O441">IFERROR(_xlfn.TEXTJOIN(", ", TRUE, _xlfn._xlws.FILTER(
    INDEX(Input!$D$2:$AC$500,,MATCH("Disk Capacity",Input!$D$1:$AC$1,0)),
    Input!$J$2:$J$500=B441
)), "")</f>
        <v/>
      </c>
      <c r="P441" s="32" t="e">
        <f t="shared" si="19"/>
        <v>#N/A</v>
      </c>
      <c r="Q441" s="51" t="e">
        <f>_xlfn.LET(_xlpm.Result,INDEX(Input!$D$2:$AC$500,
       MATCH(B441, Input!$J$2:$J$500, 0),
       MATCH("Capacity", Input!$D$1:$AC$1, 0)),IF(_xlpm.Result="","",_xlpm.Result))</f>
        <v>#N/A</v>
      </c>
      <c r="R441" s="51"/>
      <c r="S441" s="51"/>
      <c r="T441" s="51" t="str" cm="1">
        <f t="array" ref="T441">IFERROR(_xlfn.IFS(
R441="","",
--R441&lt;55,"Battery Defect",
--R441&lt;=69,"Battery D",
--R441&lt;=80,"Battery C",
--R441&gt;80,""
),"")</f>
        <v/>
      </c>
      <c r="U441" s="51" t="str" cm="1">
        <f t="array" ref="U441">IFERROR(_xlfn.IFS(
S441="","",
--S441&lt;55,"Battery Defect",
--S441&lt;=69,"Battery D",
--S441&lt;=80,"Battery C",
--S441&gt;80,""
),"")</f>
        <v/>
      </c>
      <c r="V441" s="51"/>
      <c r="W441" s="51"/>
      <c r="X441" s="51"/>
      <c r="Y441" s="51"/>
      <c r="Z441" s="51"/>
      <c r="AA441" s="51"/>
      <c r="AB441" s="51"/>
      <c r="AC441" s="51"/>
      <c r="AD441" s="32" t="str">
        <f t="shared" si="18"/>
        <v/>
      </c>
      <c r="AE441" s="32"/>
      <c r="AF441" s="32"/>
      <c r="AG441" s="32"/>
      <c r="AH441" s="32"/>
      <c r="AI441" s="32"/>
      <c r="AJ441" s="32"/>
      <c r="AK441" s="32"/>
      <c r="AL441" s="32"/>
    </row>
    <row r="442" spans="1:38">
      <c r="A442" s="32" t="str">
        <f>_xlfn.TEXTJOIN("",TRUE,_xlfn.XLOOKUP(B442,Input!J:J,Input!G:G,"",0,1),_xlfn.XLOOKUP(B442,Input!J:J,Input!H:H,"",0,1))</f>
        <v/>
      </c>
      <c r="B442" s="32"/>
      <c r="C442" s="51">
        <f>_xlfn.XLOOKUP(B442,Input!J:J,Input!F:F)</f>
        <v>0</v>
      </c>
      <c r="D442" s="32">
        <f>_xlfn.XLOOKUP(C442,Models!H:H,Models!G:G,C442)</f>
        <v>0</v>
      </c>
      <c r="E442" s="32">
        <f>_xlfn.XLOOKUP(B442,Input!J:J,Input!E:E)</f>
        <v>0</v>
      </c>
      <c r="F442" s="32">
        <f>IF(E442="LENOVO",_xlfn.XLOOKUP(B442,Input!J:J,Input!K:K),_xlfn.XLOOKUP(B442,Input!J:J,Input!L:L))</f>
        <v>0</v>
      </c>
      <c r="G442" s="32"/>
      <c r="H442" s="32"/>
      <c r="I442" s="32"/>
      <c r="J442" s="51" t="e">
        <f>INDEX(Input!$D$2:$AC$500,
       MATCH(B442, Input!$J$2:$J$500, 0),
       MATCH("Total Memory", Input!$D$1:$AC$1, 0))</f>
        <v>#N/A</v>
      </c>
      <c r="K442" s="51"/>
      <c r="L442" s="51" t="str" cm="1">
        <f t="array" ref="L442">IFERROR(_xlfn.FILTERXML("&lt;t&gt;&lt;s&gt;" &amp; SUBSTITUTE(K442," / ","&lt;/s&gt;&lt;s&gt;") &amp; "&lt;/s&gt;&lt;/t&gt;","(//s[contains(.,'DDR')])[1]"),"")</f>
        <v/>
      </c>
      <c r="M442" s="32" t="e">
        <f t="shared" si="20"/>
        <v>#N/A</v>
      </c>
      <c r="N442" s="51" t="e">
        <f>INDEX(Input!$D$2:$AC$500,
       MATCH(B442, Input!$J$2:$J$500, 0),
       MATCH("Disk Interface Type", Input!$D$1:$AC$1, 0))</f>
        <v>#N/A</v>
      </c>
      <c r="O442" s="51" t="str" cm="1">
        <f t="array" ref="O442">IFERROR(_xlfn.TEXTJOIN(", ", TRUE, _xlfn._xlws.FILTER(
    INDEX(Input!$D$2:$AC$500,,MATCH("Disk Capacity",Input!$D$1:$AC$1,0)),
    Input!$J$2:$J$500=B442
)), "")</f>
        <v/>
      </c>
      <c r="P442" s="32" t="e">
        <f t="shared" si="19"/>
        <v>#N/A</v>
      </c>
      <c r="Q442" s="51" t="e">
        <f>_xlfn.LET(_xlpm.Result,INDEX(Input!$D$2:$AC$500,
       MATCH(B442, Input!$J$2:$J$500, 0),
       MATCH("Capacity", Input!$D$1:$AC$1, 0)),IF(_xlpm.Result="","",_xlpm.Result))</f>
        <v>#N/A</v>
      </c>
      <c r="R442" s="51"/>
      <c r="S442" s="51"/>
      <c r="T442" s="51" t="str" cm="1">
        <f t="array" ref="T442">IFERROR(_xlfn.IFS(
R442="","",
--R442&lt;55,"Battery Defect",
--R442&lt;=69,"Battery D",
--R442&lt;=80,"Battery C",
--R442&gt;80,""
),"")</f>
        <v/>
      </c>
      <c r="U442" s="51" t="str" cm="1">
        <f t="array" ref="U442">IFERROR(_xlfn.IFS(
S442="","",
--S442&lt;55,"Battery Defect",
--S442&lt;=69,"Battery D",
--S442&lt;=80,"Battery C",
--S442&gt;80,""
),"")</f>
        <v/>
      </c>
      <c r="V442" s="51"/>
      <c r="W442" s="51"/>
      <c r="X442" s="51"/>
      <c r="Y442" s="51"/>
      <c r="Z442" s="51"/>
      <c r="AA442" s="51"/>
      <c r="AB442" s="51"/>
      <c r="AC442" s="51"/>
      <c r="AD442" s="32" t="str">
        <f t="shared" si="18"/>
        <v/>
      </c>
      <c r="AE442" s="32"/>
      <c r="AF442" s="32"/>
      <c r="AG442" s="32"/>
      <c r="AH442" s="32"/>
      <c r="AI442" s="32"/>
      <c r="AJ442" s="32"/>
      <c r="AK442" s="32"/>
      <c r="AL442" s="32"/>
    </row>
    <row r="443" spans="1:38">
      <c r="A443" s="32" t="str">
        <f>_xlfn.TEXTJOIN("",TRUE,_xlfn.XLOOKUP(B443,Input!J:J,Input!G:G,"",0,1),_xlfn.XLOOKUP(B443,Input!J:J,Input!H:H,"",0,1))</f>
        <v/>
      </c>
      <c r="B443" s="32"/>
      <c r="C443" s="51">
        <f>_xlfn.XLOOKUP(B443,Input!J:J,Input!F:F)</f>
        <v>0</v>
      </c>
      <c r="D443" s="32">
        <f>_xlfn.XLOOKUP(C443,Models!H:H,Models!G:G,C443)</f>
        <v>0</v>
      </c>
      <c r="E443" s="32">
        <f>_xlfn.XLOOKUP(B443,Input!J:J,Input!E:E)</f>
        <v>0</v>
      </c>
      <c r="F443" s="32">
        <f>IF(E443="LENOVO",_xlfn.XLOOKUP(B443,Input!J:J,Input!K:K),_xlfn.XLOOKUP(B443,Input!J:J,Input!L:L))</f>
        <v>0</v>
      </c>
      <c r="G443" s="32"/>
      <c r="H443" s="32"/>
      <c r="I443" s="32"/>
      <c r="J443" s="51" t="e">
        <f>INDEX(Input!$D$2:$AC$500,
       MATCH(B443, Input!$J$2:$J$500, 0),
       MATCH("Total Memory", Input!$D$1:$AC$1, 0))</f>
        <v>#N/A</v>
      </c>
      <c r="K443" s="51"/>
      <c r="L443" s="51" t="str" cm="1">
        <f t="array" ref="L443">IFERROR(_xlfn.FILTERXML("&lt;t&gt;&lt;s&gt;" &amp; SUBSTITUTE(K443," / ","&lt;/s&gt;&lt;s&gt;") &amp; "&lt;/s&gt;&lt;/t&gt;","(//s[contains(.,'DDR')])[1]"),"")</f>
        <v/>
      </c>
      <c r="M443" s="32" t="e">
        <f t="shared" si="20"/>
        <v>#N/A</v>
      </c>
      <c r="N443" s="51" t="e">
        <f>INDEX(Input!$D$2:$AC$500,
       MATCH(B443, Input!$J$2:$J$500, 0),
       MATCH("Disk Interface Type", Input!$D$1:$AC$1, 0))</f>
        <v>#N/A</v>
      </c>
      <c r="O443" s="51" t="str" cm="1">
        <f t="array" ref="O443">IFERROR(_xlfn.TEXTJOIN(", ", TRUE, _xlfn._xlws.FILTER(
    INDEX(Input!$D$2:$AC$500,,MATCH("Disk Capacity",Input!$D$1:$AC$1,0)),
    Input!$J$2:$J$500=B443
)), "")</f>
        <v/>
      </c>
      <c r="P443" s="32" t="e">
        <f t="shared" si="19"/>
        <v>#N/A</v>
      </c>
      <c r="Q443" s="51" t="e">
        <f>_xlfn.LET(_xlpm.Result,INDEX(Input!$D$2:$AC$500,
       MATCH(B443, Input!$J$2:$J$500, 0),
       MATCH("Capacity", Input!$D$1:$AC$1, 0)),IF(_xlpm.Result="","",_xlpm.Result))</f>
        <v>#N/A</v>
      </c>
      <c r="R443" s="51"/>
      <c r="S443" s="51"/>
      <c r="T443" s="51" t="str" cm="1">
        <f t="array" ref="T443">IFERROR(_xlfn.IFS(
R443="","",
--R443&lt;55,"Battery Defect",
--R443&lt;=69,"Battery D",
--R443&lt;=80,"Battery C",
--R443&gt;80,""
),"")</f>
        <v/>
      </c>
      <c r="U443" s="51" t="str" cm="1">
        <f t="array" ref="U443">IFERROR(_xlfn.IFS(
S443="","",
--S443&lt;55,"Battery Defect",
--S443&lt;=69,"Battery D",
--S443&lt;=80,"Battery C",
--S443&gt;80,""
),"")</f>
        <v/>
      </c>
      <c r="V443" s="51"/>
      <c r="W443" s="51"/>
      <c r="X443" s="51"/>
      <c r="Y443" s="51"/>
      <c r="Z443" s="51"/>
      <c r="AA443" s="51"/>
      <c r="AB443" s="51"/>
      <c r="AC443" s="51"/>
      <c r="AD443" s="32" t="str">
        <f t="shared" si="18"/>
        <v/>
      </c>
      <c r="AE443" s="32"/>
      <c r="AF443" s="32"/>
      <c r="AG443" s="32"/>
      <c r="AH443" s="32"/>
      <c r="AI443" s="32"/>
      <c r="AJ443" s="32"/>
      <c r="AK443" s="32"/>
      <c r="AL443" s="32"/>
    </row>
    <row r="444" spans="1:38">
      <c r="A444" s="32" t="str">
        <f>_xlfn.TEXTJOIN("",TRUE,_xlfn.XLOOKUP(B444,Input!J:J,Input!G:G,"",0,1),_xlfn.XLOOKUP(B444,Input!J:J,Input!H:H,"",0,1))</f>
        <v/>
      </c>
      <c r="B444" s="32"/>
      <c r="C444" s="51">
        <f>_xlfn.XLOOKUP(B444,Input!J:J,Input!F:F)</f>
        <v>0</v>
      </c>
      <c r="D444" s="32">
        <f>_xlfn.XLOOKUP(C444,Models!H:H,Models!G:G,C444)</f>
        <v>0</v>
      </c>
      <c r="E444" s="32">
        <f>_xlfn.XLOOKUP(B444,Input!J:J,Input!E:E)</f>
        <v>0</v>
      </c>
      <c r="F444" s="32">
        <f>IF(E444="LENOVO",_xlfn.XLOOKUP(B444,Input!J:J,Input!K:K),_xlfn.XLOOKUP(B444,Input!J:J,Input!L:L))</f>
        <v>0</v>
      </c>
      <c r="G444" s="32"/>
      <c r="H444" s="32"/>
      <c r="I444" s="32"/>
      <c r="J444" s="51" t="e">
        <f>INDEX(Input!$D$2:$AC$500,
       MATCH(B444, Input!$J$2:$J$500, 0),
       MATCH("Total Memory", Input!$D$1:$AC$1, 0))</f>
        <v>#N/A</v>
      </c>
      <c r="K444" s="51"/>
      <c r="L444" s="51" t="str" cm="1">
        <f t="array" ref="L444">IFERROR(_xlfn.FILTERXML("&lt;t&gt;&lt;s&gt;" &amp; SUBSTITUTE(K444," / ","&lt;/s&gt;&lt;s&gt;") &amp; "&lt;/s&gt;&lt;/t&gt;","(//s[contains(.,'DDR')])[1]"),"")</f>
        <v/>
      </c>
      <c r="M444" s="32" t="e">
        <f t="shared" si="20"/>
        <v>#N/A</v>
      </c>
      <c r="N444" s="51" t="e">
        <f>INDEX(Input!$D$2:$AC$500,
       MATCH(B444, Input!$J$2:$J$500, 0),
       MATCH("Disk Interface Type", Input!$D$1:$AC$1, 0))</f>
        <v>#N/A</v>
      </c>
      <c r="O444" s="51" t="str" cm="1">
        <f t="array" ref="O444">IFERROR(_xlfn.TEXTJOIN(", ", TRUE, _xlfn._xlws.FILTER(
    INDEX(Input!$D$2:$AC$500,,MATCH("Disk Capacity",Input!$D$1:$AC$1,0)),
    Input!$J$2:$J$500=B444
)), "")</f>
        <v/>
      </c>
      <c r="P444" s="32" t="e">
        <f t="shared" si="19"/>
        <v>#N/A</v>
      </c>
      <c r="Q444" s="51" t="e">
        <f>_xlfn.LET(_xlpm.Result,INDEX(Input!$D$2:$AC$500,
       MATCH(B444, Input!$J$2:$J$500, 0),
       MATCH("Capacity", Input!$D$1:$AC$1, 0)),IF(_xlpm.Result="","",_xlpm.Result))</f>
        <v>#N/A</v>
      </c>
      <c r="R444" s="51"/>
      <c r="S444" s="51"/>
      <c r="T444" s="51" t="str" cm="1">
        <f t="array" ref="T444">IFERROR(_xlfn.IFS(
R444="","",
--R444&lt;55,"Battery Defect",
--R444&lt;=69,"Battery D",
--R444&lt;=80,"Battery C",
--R444&gt;80,""
),"")</f>
        <v/>
      </c>
      <c r="U444" s="51" t="str" cm="1">
        <f t="array" ref="U444">IFERROR(_xlfn.IFS(
S444="","",
--S444&lt;55,"Battery Defect",
--S444&lt;=69,"Battery D",
--S444&lt;=80,"Battery C",
--S444&gt;80,""
),"")</f>
        <v/>
      </c>
      <c r="V444" s="51"/>
      <c r="W444" s="51"/>
      <c r="X444" s="51"/>
      <c r="Y444" s="51"/>
      <c r="Z444" s="51"/>
      <c r="AA444" s="51"/>
      <c r="AB444" s="51"/>
      <c r="AC444" s="51"/>
      <c r="AD444" s="32" t="str">
        <f t="shared" si="18"/>
        <v/>
      </c>
      <c r="AE444" s="32"/>
      <c r="AF444" s="32"/>
      <c r="AG444" s="32"/>
      <c r="AH444" s="32"/>
      <c r="AI444" s="32"/>
      <c r="AJ444" s="32"/>
      <c r="AK444" s="32"/>
      <c r="AL444" s="32"/>
    </row>
    <row r="445" spans="1:38">
      <c r="A445" s="32" t="str">
        <f>_xlfn.TEXTJOIN("",TRUE,_xlfn.XLOOKUP(B445,Input!J:J,Input!G:G,"",0,1),_xlfn.XLOOKUP(B445,Input!J:J,Input!H:H,"",0,1))</f>
        <v/>
      </c>
      <c r="B445" s="32"/>
      <c r="C445" s="51">
        <f>_xlfn.XLOOKUP(B445,Input!J:J,Input!F:F)</f>
        <v>0</v>
      </c>
      <c r="D445" s="32">
        <f>_xlfn.XLOOKUP(C445,Models!H:H,Models!G:G,C445)</f>
        <v>0</v>
      </c>
      <c r="E445" s="32">
        <f>_xlfn.XLOOKUP(B445,Input!J:J,Input!E:E)</f>
        <v>0</v>
      </c>
      <c r="F445" s="32">
        <f>IF(E445="LENOVO",_xlfn.XLOOKUP(B445,Input!J:J,Input!K:K),_xlfn.XLOOKUP(B445,Input!J:J,Input!L:L))</f>
        <v>0</v>
      </c>
      <c r="G445" s="32"/>
      <c r="H445" s="32"/>
      <c r="I445" s="32"/>
      <c r="J445" s="51" t="e">
        <f>INDEX(Input!$D$2:$AC$500,
       MATCH(B445, Input!$J$2:$J$500, 0),
       MATCH("Total Memory", Input!$D$1:$AC$1, 0))</f>
        <v>#N/A</v>
      </c>
      <c r="K445" s="51"/>
      <c r="L445" s="51" t="str" cm="1">
        <f t="array" ref="L445">IFERROR(_xlfn.FILTERXML("&lt;t&gt;&lt;s&gt;" &amp; SUBSTITUTE(K445," / ","&lt;/s&gt;&lt;s&gt;") &amp; "&lt;/s&gt;&lt;/t&gt;","(//s[contains(.,'DDR')])[1]"),"")</f>
        <v/>
      </c>
      <c r="M445" s="32" t="e">
        <f t="shared" si="20"/>
        <v>#N/A</v>
      </c>
      <c r="N445" s="51" t="e">
        <f>INDEX(Input!$D$2:$AC$500,
       MATCH(B445, Input!$J$2:$J$500, 0),
       MATCH("Disk Interface Type", Input!$D$1:$AC$1, 0))</f>
        <v>#N/A</v>
      </c>
      <c r="O445" s="51" t="str" cm="1">
        <f t="array" ref="O445">IFERROR(_xlfn.TEXTJOIN(", ", TRUE, _xlfn._xlws.FILTER(
    INDEX(Input!$D$2:$AC$500,,MATCH("Disk Capacity",Input!$D$1:$AC$1,0)),
    Input!$J$2:$J$500=B445
)), "")</f>
        <v/>
      </c>
      <c r="P445" s="32" t="e">
        <f t="shared" si="19"/>
        <v>#N/A</v>
      </c>
      <c r="Q445" s="51" t="e">
        <f>_xlfn.LET(_xlpm.Result,INDEX(Input!$D$2:$AC$500,
       MATCH(B445, Input!$J$2:$J$500, 0),
       MATCH("Capacity", Input!$D$1:$AC$1, 0)),IF(_xlpm.Result="","",_xlpm.Result))</f>
        <v>#N/A</v>
      </c>
      <c r="R445" s="51"/>
      <c r="S445" s="51"/>
      <c r="T445" s="51" t="str" cm="1">
        <f t="array" ref="T445">IFERROR(_xlfn.IFS(
R445="","",
--R445&lt;55,"Battery Defect",
--R445&lt;=69,"Battery D",
--R445&lt;=80,"Battery C",
--R445&gt;80,""
),"")</f>
        <v/>
      </c>
      <c r="U445" s="51" t="str" cm="1">
        <f t="array" ref="U445">IFERROR(_xlfn.IFS(
S445="","",
--S445&lt;55,"Battery Defect",
--S445&lt;=69,"Battery D",
--S445&lt;=80,"Battery C",
--S445&gt;80,""
),"")</f>
        <v/>
      </c>
      <c r="V445" s="51"/>
      <c r="W445" s="51"/>
      <c r="X445" s="51"/>
      <c r="Y445" s="51"/>
      <c r="Z445" s="51"/>
      <c r="AA445" s="51"/>
      <c r="AB445" s="51"/>
      <c r="AC445" s="51"/>
      <c r="AD445" s="32" t="str">
        <f t="shared" si="18"/>
        <v/>
      </c>
      <c r="AE445" s="32"/>
      <c r="AF445" s="32"/>
      <c r="AG445" s="32"/>
      <c r="AH445" s="32"/>
      <c r="AI445" s="32"/>
      <c r="AJ445" s="32"/>
      <c r="AK445" s="32"/>
      <c r="AL445" s="32"/>
    </row>
    <row r="446" spans="1:38">
      <c r="A446" s="32" t="str">
        <f>_xlfn.TEXTJOIN("",TRUE,_xlfn.XLOOKUP(B446,Input!J:J,Input!G:G,"",0,1),_xlfn.XLOOKUP(B446,Input!J:J,Input!H:H,"",0,1))</f>
        <v/>
      </c>
      <c r="B446" s="32"/>
      <c r="C446" s="51">
        <f>_xlfn.XLOOKUP(B446,Input!J:J,Input!F:F)</f>
        <v>0</v>
      </c>
      <c r="D446" s="32">
        <f>_xlfn.XLOOKUP(C446,Models!H:H,Models!G:G,C446)</f>
        <v>0</v>
      </c>
      <c r="E446" s="32">
        <f>_xlfn.XLOOKUP(B446,Input!J:J,Input!E:E)</f>
        <v>0</v>
      </c>
      <c r="F446" s="32">
        <f>IF(E446="LENOVO",_xlfn.XLOOKUP(B446,Input!J:J,Input!K:K),_xlfn.XLOOKUP(B446,Input!J:J,Input!L:L))</f>
        <v>0</v>
      </c>
      <c r="G446" s="32"/>
      <c r="H446" s="32"/>
      <c r="I446" s="32"/>
      <c r="J446" s="51" t="e">
        <f>INDEX(Input!$D$2:$AC$500,
       MATCH(B446, Input!$J$2:$J$500, 0),
       MATCH("Total Memory", Input!$D$1:$AC$1, 0))</f>
        <v>#N/A</v>
      </c>
      <c r="K446" s="51"/>
      <c r="L446" s="51" t="str" cm="1">
        <f t="array" ref="L446">IFERROR(_xlfn.FILTERXML("&lt;t&gt;&lt;s&gt;" &amp; SUBSTITUTE(K446," / ","&lt;/s&gt;&lt;s&gt;") &amp; "&lt;/s&gt;&lt;/t&gt;","(//s[contains(.,'DDR')])[1]"),"")</f>
        <v/>
      </c>
      <c r="M446" s="32" t="e">
        <f t="shared" si="20"/>
        <v>#N/A</v>
      </c>
      <c r="N446" s="51" t="e">
        <f>INDEX(Input!$D$2:$AC$500,
       MATCH(B446, Input!$J$2:$J$500, 0),
       MATCH("Disk Interface Type", Input!$D$1:$AC$1, 0))</f>
        <v>#N/A</v>
      </c>
      <c r="O446" s="51" t="str" cm="1">
        <f t="array" ref="O446">IFERROR(_xlfn.TEXTJOIN(", ", TRUE, _xlfn._xlws.FILTER(
    INDEX(Input!$D$2:$AC$500,,MATCH("Disk Capacity",Input!$D$1:$AC$1,0)),
    Input!$J$2:$J$500=B446
)), "")</f>
        <v/>
      </c>
      <c r="P446" s="32" t="e">
        <f t="shared" si="19"/>
        <v>#N/A</v>
      </c>
      <c r="Q446" s="51" t="e">
        <f>_xlfn.LET(_xlpm.Result,INDEX(Input!$D$2:$AC$500,
       MATCH(B446, Input!$J$2:$J$500, 0),
       MATCH("Capacity", Input!$D$1:$AC$1, 0)),IF(_xlpm.Result="","",_xlpm.Result))</f>
        <v>#N/A</v>
      </c>
      <c r="R446" s="51"/>
      <c r="S446" s="51"/>
      <c r="T446" s="51" t="str" cm="1">
        <f t="array" ref="T446">IFERROR(_xlfn.IFS(
R446="","",
--R446&lt;55,"Battery Defect",
--R446&lt;=69,"Battery D",
--R446&lt;=80,"Battery C",
--R446&gt;80,""
),"")</f>
        <v/>
      </c>
      <c r="U446" s="51" t="str" cm="1">
        <f t="array" ref="U446">IFERROR(_xlfn.IFS(
S446="","",
--S446&lt;55,"Battery Defect",
--S446&lt;=69,"Battery D",
--S446&lt;=80,"Battery C",
--S446&gt;80,""
),"")</f>
        <v/>
      </c>
      <c r="V446" s="51"/>
      <c r="W446" s="51"/>
      <c r="X446" s="51"/>
      <c r="Y446" s="51"/>
      <c r="Z446" s="51"/>
      <c r="AA446" s="51"/>
      <c r="AB446" s="51"/>
      <c r="AC446" s="51"/>
      <c r="AD446" s="32" t="str">
        <f t="shared" si="18"/>
        <v/>
      </c>
      <c r="AE446" s="32"/>
      <c r="AF446" s="32"/>
      <c r="AG446" s="32"/>
      <c r="AH446" s="32"/>
      <c r="AI446" s="32"/>
      <c r="AJ446" s="32"/>
      <c r="AK446" s="32"/>
      <c r="AL446" s="32"/>
    </row>
    <row r="447" spans="1:38">
      <c r="A447" s="32" t="str">
        <f>_xlfn.TEXTJOIN("",TRUE,_xlfn.XLOOKUP(B447,Input!J:J,Input!G:G,"",0,1),_xlfn.XLOOKUP(B447,Input!J:J,Input!H:H,"",0,1))</f>
        <v/>
      </c>
      <c r="B447" s="32"/>
      <c r="C447" s="51">
        <f>_xlfn.XLOOKUP(B447,Input!J:J,Input!F:F)</f>
        <v>0</v>
      </c>
      <c r="D447" s="32">
        <f>_xlfn.XLOOKUP(C447,Models!H:H,Models!G:G,C447)</f>
        <v>0</v>
      </c>
      <c r="E447" s="32">
        <f>_xlfn.XLOOKUP(B447,Input!J:J,Input!E:E)</f>
        <v>0</v>
      </c>
      <c r="F447" s="32">
        <f>IF(E447="LENOVO",_xlfn.XLOOKUP(B447,Input!J:J,Input!K:K),_xlfn.XLOOKUP(B447,Input!J:J,Input!L:L))</f>
        <v>0</v>
      </c>
      <c r="G447" s="32"/>
      <c r="H447" s="32"/>
      <c r="I447" s="32"/>
      <c r="J447" s="51" t="e">
        <f>INDEX(Input!$D$2:$AC$500,
       MATCH(B447, Input!$J$2:$J$500, 0),
       MATCH("Total Memory", Input!$D$1:$AC$1, 0))</f>
        <v>#N/A</v>
      </c>
      <c r="K447" s="51"/>
      <c r="L447" s="51" t="str" cm="1">
        <f t="array" ref="L447">IFERROR(_xlfn.FILTERXML("&lt;t&gt;&lt;s&gt;" &amp; SUBSTITUTE(K447," / ","&lt;/s&gt;&lt;s&gt;") &amp; "&lt;/s&gt;&lt;/t&gt;","(//s[contains(.,'DDR')])[1]"),"")</f>
        <v/>
      </c>
      <c r="M447" s="32" t="e">
        <f t="shared" si="20"/>
        <v>#N/A</v>
      </c>
      <c r="N447" s="51" t="e">
        <f>INDEX(Input!$D$2:$AC$500,
       MATCH(B447, Input!$J$2:$J$500, 0),
       MATCH("Disk Interface Type", Input!$D$1:$AC$1, 0))</f>
        <v>#N/A</v>
      </c>
      <c r="O447" s="51" t="str" cm="1">
        <f t="array" ref="O447">IFERROR(_xlfn.TEXTJOIN(", ", TRUE, _xlfn._xlws.FILTER(
    INDEX(Input!$D$2:$AC$500,,MATCH("Disk Capacity",Input!$D$1:$AC$1,0)),
    Input!$J$2:$J$500=B447
)), "")</f>
        <v/>
      </c>
      <c r="P447" s="32" t="e">
        <f t="shared" si="19"/>
        <v>#N/A</v>
      </c>
      <c r="Q447" s="51" t="e">
        <f>_xlfn.LET(_xlpm.Result,INDEX(Input!$D$2:$AC$500,
       MATCH(B447, Input!$J$2:$J$500, 0),
       MATCH("Capacity", Input!$D$1:$AC$1, 0)),IF(_xlpm.Result="","",_xlpm.Result))</f>
        <v>#N/A</v>
      </c>
      <c r="R447" s="51"/>
      <c r="S447" s="51"/>
      <c r="T447" s="51" t="str" cm="1">
        <f t="array" ref="T447">IFERROR(_xlfn.IFS(
R447="","",
--R447&lt;55,"Battery Defect",
--R447&lt;=69,"Battery D",
--R447&lt;=80,"Battery C",
--R447&gt;80,""
),"")</f>
        <v/>
      </c>
      <c r="U447" s="51" t="str" cm="1">
        <f t="array" ref="U447">IFERROR(_xlfn.IFS(
S447="","",
--S447&lt;55,"Battery Defect",
--S447&lt;=69,"Battery D",
--S447&lt;=80,"Battery C",
--S447&gt;80,""
),"")</f>
        <v/>
      </c>
      <c r="V447" s="51"/>
      <c r="W447" s="51"/>
      <c r="X447" s="51"/>
      <c r="Y447" s="51"/>
      <c r="Z447" s="51"/>
      <c r="AA447" s="51"/>
      <c r="AB447" s="51"/>
      <c r="AC447" s="51"/>
      <c r="AD447" s="32" t="str">
        <f t="shared" si="18"/>
        <v/>
      </c>
      <c r="AE447" s="32"/>
      <c r="AF447" s="32"/>
      <c r="AG447" s="32"/>
      <c r="AH447" s="32"/>
      <c r="AI447" s="32"/>
      <c r="AJ447" s="32"/>
      <c r="AK447" s="32"/>
      <c r="AL447" s="32"/>
    </row>
    <row r="448" spans="1:38">
      <c r="A448" s="32" t="str">
        <f>_xlfn.TEXTJOIN("",TRUE,_xlfn.XLOOKUP(B448,Input!J:J,Input!G:G,"",0,1),_xlfn.XLOOKUP(B448,Input!J:J,Input!H:H,"",0,1))</f>
        <v/>
      </c>
      <c r="B448" s="32"/>
      <c r="C448" s="51">
        <f>_xlfn.XLOOKUP(B448,Input!J:J,Input!F:F)</f>
        <v>0</v>
      </c>
      <c r="D448" s="32">
        <f>_xlfn.XLOOKUP(C448,Models!H:H,Models!G:G,C448)</f>
        <v>0</v>
      </c>
      <c r="E448" s="32">
        <f>_xlfn.XLOOKUP(B448,Input!J:J,Input!E:E)</f>
        <v>0</v>
      </c>
      <c r="F448" s="32">
        <f>IF(E448="LENOVO",_xlfn.XLOOKUP(B448,Input!J:J,Input!K:K),_xlfn.XLOOKUP(B448,Input!J:J,Input!L:L))</f>
        <v>0</v>
      </c>
      <c r="G448" s="32"/>
      <c r="H448" s="32"/>
      <c r="I448" s="32"/>
      <c r="J448" s="51" t="e">
        <f>INDEX(Input!$D$2:$AC$500,
       MATCH(B448, Input!$J$2:$J$500, 0),
       MATCH("Total Memory", Input!$D$1:$AC$1, 0))</f>
        <v>#N/A</v>
      </c>
      <c r="K448" s="51"/>
      <c r="L448" s="51" t="str" cm="1">
        <f t="array" ref="L448">IFERROR(_xlfn.FILTERXML("&lt;t&gt;&lt;s&gt;" &amp; SUBSTITUTE(K448," / ","&lt;/s&gt;&lt;s&gt;") &amp; "&lt;/s&gt;&lt;/t&gt;","(//s[contains(.,'DDR')])[1]"),"")</f>
        <v/>
      </c>
      <c r="M448" s="32" t="e">
        <f t="shared" si="20"/>
        <v>#N/A</v>
      </c>
      <c r="N448" s="51" t="e">
        <f>INDEX(Input!$D$2:$AC$500,
       MATCH(B448, Input!$J$2:$J$500, 0),
       MATCH("Disk Interface Type", Input!$D$1:$AC$1, 0))</f>
        <v>#N/A</v>
      </c>
      <c r="O448" s="51" t="str" cm="1">
        <f t="array" ref="O448">IFERROR(_xlfn.TEXTJOIN(", ", TRUE, _xlfn._xlws.FILTER(
    INDEX(Input!$D$2:$AC$500,,MATCH("Disk Capacity",Input!$D$1:$AC$1,0)),
    Input!$J$2:$J$500=B448
)), "")</f>
        <v/>
      </c>
      <c r="P448" s="32" t="e">
        <f t="shared" si="19"/>
        <v>#N/A</v>
      </c>
      <c r="Q448" s="51" t="e">
        <f>_xlfn.LET(_xlpm.Result,INDEX(Input!$D$2:$AC$500,
       MATCH(B448, Input!$J$2:$J$500, 0),
       MATCH("Capacity", Input!$D$1:$AC$1, 0)),IF(_xlpm.Result="","",_xlpm.Result))</f>
        <v>#N/A</v>
      </c>
      <c r="R448" s="51"/>
      <c r="S448" s="51"/>
      <c r="T448" s="51" t="str" cm="1">
        <f t="array" ref="T448">IFERROR(_xlfn.IFS(
R448="","",
--R448&lt;55,"Battery Defect",
--R448&lt;=69,"Battery D",
--R448&lt;=80,"Battery C",
--R448&gt;80,""
),"")</f>
        <v/>
      </c>
      <c r="U448" s="51" t="str" cm="1">
        <f t="array" ref="U448">IFERROR(_xlfn.IFS(
S448="","",
--S448&lt;55,"Battery Defect",
--S448&lt;=69,"Battery D",
--S448&lt;=80,"Battery C",
--S448&gt;80,""
),"")</f>
        <v/>
      </c>
      <c r="V448" s="51"/>
      <c r="W448" s="51"/>
      <c r="X448" s="51"/>
      <c r="Y448" s="51"/>
      <c r="Z448" s="51"/>
      <c r="AA448" s="51"/>
      <c r="AB448" s="51"/>
      <c r="AC448" s="51"/>
      <c r="AD448" s="32" t="str">
        <f t="shared" si="18"/>
        <v/>
      </c>
      <c r="AE448" s="32"/>
      <c r="AF448" s="32"/>
      <c r="AG448" s="32"/>
      <c r="AH448" s="32"/>
      <c r="AI448" s="32"/>
      <c r="AJ448" s="32"/>
      <c r="AK448" s="32"/>
      <c r="AL448" s="32"/>
    </row>
    <row r="449" spans="1:38">
      <c r="A449" s="32" t="str">
        <f>_xlfn.TEXTJOIN("",TRUE,_xlfn.XLOOKUP(B449,Input!J:J,Input!G:G,"",0,1),_xlfn.XLOOKUP(B449,Input!J:J,Input!H:H,"",0,1))</f>
        <v/>
      </c>
      <c r="B449" s="32"/>
      <c r="C449" s="51">
        <f>_xlfn.XLOOKUP(B449,Input!J:J,Input!F:F)</f>
        <v>0</v>
      </c>
      <c r="D449" s="32">
        <f>_xlfn.XLOOKUP(C449,Models!H:H,Models!G:G,C449)</f>
        <v>0</v>
      </c>
      <c r="E449" s="32">
        <f>_xlfn.XLOOKUP(B449,Input!J:J,Input!E:E)</f>
        <v>0</v>
      </c>
      <c r="F449" s="32">
        <f>IF(E449="LENOVO",_xlfn.XLOOKUP(B449,Input!J:J,Input!K:K),_xlfn.XLOOKUP(B449,Input!J:J,Input!L:L))</f>
        <v>0</v>
      </c>
      <c r="G449" s="32"/>
      <c r="H449" s="32"/>
      <c r="I449" s="32"/>
      <c r="J449" s="51" t="e">
        <f>INDEX(Input!$D$2:$AC$500,
       MATCH(B449, Input!$J$2:$J$500, 0),
       MATCH("Total Memory", Input!$D$1:$AC$1, 0))</f>
        <v>#N/A</v>
      </c>
      <c r="K449" s="51"/>
      <c r="L449" s="51" t="str" cm="1">
        <f t="array" ref="L449">IFERROR(_xlfn.FILTERXML("&lt;t&gt;&lt;s&gt;" &amp; SUBSTITUTE(K449," / ","&lt;/s&gt;&lt;s&gt;") &amp; "&lt;/s&gt;&lt;/t&gt;","(//s[contains(.,'DDR')])[1]"),"")</f>
        <v/>
      </c>
      <c r="M449" s="32" t="e">
        <f t="shared" si="20"/>
        <v>#N/A</v>
      </c>
      <c r="N449" s="51" t="e">
        <f>INDEX(Input!$D$2:$AC$500,
       MATCH(B449, Input!$J$2:$J$500, 0),
       MATCH("Disk Interface Type", Input!$D$1:$AC$1, 0))</f>
        <v>#N/A</v>
      </c>
      <c r="O449" s="51" t="str" cm="1">
        <f t="array" ref="O449">IFERROR(_xlfn.TEXTJOIN(", ", TRUE, _xlfn._xlws.FILTER(
    INDEX(Input!$D$2:$AC$500,,MATCH("Disk Capacity",Input!$D$1:$AC$1,0)),
    Input!$J$2:$J$500=B449
)), "")</f>
        <v/>
      </c>
      <c r="P449" s="32" t="e">
        <f t="shared" si="19"/>
        <v>#N/A</v>
      </c>
      <c r="Q449" s="51" t="e">
        <f>_xlfn.LET(_xlpm.Result,INDEX(Input!$D$2:$AC$500,
       MATCH(B449, Input!$J$2:$J$500, 0),
       MATCH("Capacity", Input!$D$1:$AC$1, 0)),IF(_xlpm.Result="","",_xlpm.Result))</f>
        <v>#N/A</v>
      </c>
      <c r="R449" s="51"/>
      <c r="S449" s="51"/>
      <c r="T449" s="51" t="str" cm="1">
        <f t="array" ref="T449">IFERROR(_xlfn.IFS(
R449="","",
--R449&lt;55,"Battery Defect",
--R449&lt;=69,"Battery D",
--R449&lt;=80,"Battery C",
--R449&gt;80,""
),"")</f>
        <v/>
      </c>
      <c r="U449" s="51" t="str" cm="1">
        <f t="array" ref="U449">IFERROR(_xlfn.IFS(
S449="","",
--S449&lt;55,"Battery Defect",
--S449&lt;=69,"Battery D",
--S449&lt;=80,"Battery C",
--S449&gt;80,""
),"")</f>
        <v/>
      </c>
      <c r="V449" s="51"/>
      <c r="W449" s="51"/>
      <c r="X449" s="51"/>
      <c r="Y449" s="51"/>
      <c r="Z449" s="51"/>
      <c r="AA449" s="51"/>
      <c r="AB449" s="51"/>
      <c r="AC449" s="51"/>
      <c r="AD449" s="32" t="str">
        <f t="shared" si="18"/>
        <v/>
      </c>
      <c r="AE449" s="32"/>
      <c r="AF449" s="32"/>
      <c r="AG449" s="32"/>
      <c r="AH449" s="32"/>
      <c r="AI449" s="32"/>
      <c r="AJ449" s="32"/>
      <c r="AK449" s="32"/>
      <c r="AL449" s="32"/>
    </row>
    <row r="450" spans="1:38">
      <c r="A450" s="32" t="str">
        <f>_xlfn.TEXTJOIN("",TRUE,_xlfn.XLOOKUP(B450,Input!J:J,Input!G:G,"",0,1),_xlfn.XLOOKUP(B450,Input!J:J,Input!H:H,"",0,1))</f>
        <v/>
      </c>
      <c r="B450" s="32"/>
      <c r="C450" s="51">
        <f>_xlfn.XLOOKUP(B450,Input!J:J,Input!F:F)</f>
        <v>0</v>
      </c>
      <c r="D450" s="32">
        <f>_xlfn.XLOOKUP(C450,Models!H:H,Models!G:G,C450)</f>
        <v>0</v>
      </c>
      <c r="E450" s="32">
        <f>_xlfn.XLOOKUP(B450,Input!J:J,Input!E:E)</f>
        <v>0</v>
      </c>
      <c r="F450" s="32">
        <f>IF(E450="LENOVO",_xlfn.XLOOKUP(B450,Input!J:J,Input!K:K),_xlfn.XLOOKUP(B450,Input!J:J,Input!L:L))</f>
        <v>0</v>
      </c>
      <c r="G450" s="32"/>
      <c r="H450" s="32"/>
      <c r="I450" s="32"/>
      <c r="J450" s="51" t="e">
        <f>INDEX(Input!$D$2:$AC$500,
       MATCH(B450, Input!$J$2:$J$500, 0),
       MATCH("Total Memory", Input!$D$1:$AC$1, 0))</f>
        <v>#N/A</v>
      </c>
      <c r="K450" s="51"/>
      <c r="L450" s="51" t="str" cm="1">
        <f t="array" ref="L450">IFERROR(_xlfn.FILTERXML("&lt;t&gt;&lt;s&gt;" &amp; SUBSTITUTE(K450," / ","&lt;/s&gt;&lt;s&gt;") &amp; "&lt;/s&gt;&lt;/t&gt;","(//s[contains(.,'DDR')])[1]"),"")</f>
        <v/>
      </c>
      <c r="M450" s="32" t="e">
        <f t="shared" si="20"/>
        <v>#N/A</v>
      </c>
      <c r="N450" s="51" t="e">
        <f>INDEX(Input!$D$2:$AC$500,
       MATCH(B450, Input!$J$2:$J$500, 0),
       MATCH("Disk Interface Type", Input!$D$1:$AC$1, 0))</f>
        <v>#N/A</v>
      </c>
      <c r="O450" s="51" t="str" cm="1">
        <f t="array" ref="O450">IFERROR(_xlfn.TEXTJOIN(", ", TRUE, _xlfn._xlws.FILTER(
    INDEX(Input!$D$2:$AC$500,,MATCH("Disk Capacity",Input!$D$1:$AC$1,0)),
    Input!$J$2:$J$500=B450
)), "")</f>
        <v/>
      </c>
      <c r="P450" s="32" t="e">
        <f t="shared" si="19"/>
        <v>#N/A</v>
      </c>
      <c r="Q450" s="51" t="e">
        <f>_xlfn.LET(_xlpm.Result,INDEX(Input!$D$2:$AC$500,
       MATCH(B450, Input!$J$2:$J$500, 0),
       MATCH("Capacity", Input!$D$1:$AC$1, 0)),IF(_xlpm.Result="","",_xlpm.Result))</f>
        <v>#N/A</v>
      </c>
      <c r="R450" s="51"/>
      <c r="S450" s="51"/>
      <c r="T450" s="51" t="str" cm="1">
        <f t="array" ref="T450">IFERROR(_xlfn.IFS(
R450="","",
--R450&lt;55,"Battery Defect",
--R450&lt;=69,"Battery D",
--R450&lt;=80,"Battery C",
--R450&gt;80,""
),"")</f>
        <v/>
      </c>
      <c r="U450" s="51" t="str" cm="1">
        <f t="array" ref="U450">IFERROR(_xlfn.IFS(
S450="","",
--S450&lt;55,"Battery Defect",
--S450&lt;=69,"Battery D",
--S450&lt;=80,"Battery C",
--S450&gt;80,""
),"")</f>
        <v/>
      </c>
      <c r="V450" s="51"/>
      <c r="W450" s="51"/>
      <c r="X450" s="51"/>
      <c r="Y450" s="51"/>
      <c r="Z450" s="51"/>
      <c r="AA450" s="51"/>
      <c r="AB450" s="51"/>
      <c r="AC450" s="51"/>
      <c r="AD450" s="32" t="str">
        <f t="shared" ref="AD450:AD513" si="21">IF(D450="Laptop",_xlfn.TEXTJOIN(", ",TRUE,T450,U450,V450,W450,X450,Y450,Z450,AA450), _xlfn.TEXTJOIN(", ",TRUE,V450,W450,X450,Y450,Z450,AA450))</f>
        <v/>
      </c>
      <c r="AE450" s="32"/>
      <c r="AF450" s="32"/>
      <c r="AG450" s="32"/>
      <c r="AH450" s="32"/>
      <c r="AI450" s="32"/>
      <c r="AJ450" s="32"/>
      <c r="AK450" s="32"/>
      <c r="AL450" s="32"/>
    </row>
    <row r="451" spans="1:38">
      <c r="A451" s="32" t="str">
        <f>_xlfn.TEXTJOIN("",TRUE,_xlfn.XLOOKUP(B451,Input!J:J,Input!G:G,"",0,1),_xlfn.XLOOKUP(B451,Input!J:J,Input!H:H,"",0,1))</f>
        <v/>
      </c>
      <c r="B451" s="32"/>
      <c r="C451" s="51">
        <f>_xlfn.XLOOKUP(B451,Input!J:J,Input!F:F)</f>
        <v>0</v>
      </c>
      <c r="D451" s="32">
        <f>_xlfn.XLOOKUP(C451,Models!H:H,Models!G:G,C451)</f>
        <v>0</v>
      </c>
      <c r="E451" s="32">
        <f>_xlfn.XLOOKUP(B451,Input!J:J,Input!E:E)</f>
        <v>0</v>
      </c>
      <c r="F451" s="32">
        <f>IF(E451="LENOVO",_xlfn.XLOOKUP(B451,Input!J:J,Input!K:K),_xlfn.XLOOKUP(B451,Input!J:J,Input!L:L))</f>
        <v>0</v>
      </c>
      <c r="G451" s="32"/>
      <c r="H451" s="32"/>
      <c r="I451" s="32"/>
      <c r="J451" s="51" t="e">
        <f>INDEX(Input!$D$2:$AC$500,
       MATCH(B451, Input!$J$2:$J$500, 0),
       MATCH("Total Memory", Input!$D$1:$AC$1, 0))</f>
        <v>#N/A</v>
      </c>
      <c r="K451" s="51"/>
      <c r="L451" s="51" t="str" cm="1">
        <f t="array" ref="L451">IFERROR(_xlfn.FILTERXML("&lt;t&gt;&lt;s&gt;" &amp; SUBSTITUTE(K451," / ","&lt;/s&gt;&lt;s&gt;") &amp; "&lt;/s&gt;&lt;/t&gt;","(//s[contains(.,'DDR')])[1]"),"")</f>
        <v/>
      </c>
      <c r="M451" s="32" t="e">
        <f t="shared" si="20"/>
        <v>#N/A</v>
      </c>
      <c r="N451" s="51" t="e">
        <f>INDEX(Input!$D$2:$AC$500,
       MATCH(B451, Input!$J$2:$J$500, 0),
       MATCH("Disk Interface Type", Input!$D$1:$AC$1, 0))</f>
        <v>#N/A</v>
      </c>
      <c r="O451" s="51" t="str" cm="1">
        <f t="array" ref="O451">IFERROR(_xlfn.TEXTJOIN(", ", TRUE, _xlfn._xlws.FILTER(
    INDEX(Input!$D$2:$AC$500,,MATCH("Disk Capacity",Input!$D$1:$AC$1,0)),
    Input!$J$2:$J$500=B451
)), "")</f>
        <v/>
      </c>
      <c r="P451" s="32" t="e">
        <f t="shared" ref="P451:P514" si="22">_xlfn.TEXTJOIN(" ",TRUE,O451,N451)</f>
        <v>#N/A</v>
      </c>
      <c r="Q451" s="51" t="e">
        <f>_xlfn.LET(_xlpm.Result,INDEX(Input!$D$2:$AC$500,
       MATCH(B451, Input!$J$2:$J$500, 0),
       MATCH("Capacity", Input!$D$1:$AC$1, 0)),IF(_xlpm.Result="","",_xlpm.Result))</f>
        <v>#N/A</v>
      </c>
      <c r="R451" s="51"/>
      <c r="S451" s="51"/>
      <c r="T451" s="51" t="str" cm="1">
        <f t="array" ref="T451">IFERROR(_xlfn.IFS(
R451="","",
--R451&lt;55,"Battery Defect",
--R451&lt;=69,"Battery D",
--R451&lt;=80,"Battery C",
--R451&gt;80,""
),"")</f>
        <v/>
      </c>
      <c r="U451" s="51" t="str" cm="1">
        <f t="array" ref="U451">IFERROR(_xlfn.IFS(
S451="","",
--S451&lt;55,"Battery Defect",
--S451&lt;=69,"Battery D",
--S451&lt;=80,"Battery C",
--S451&gt;80,""
),"")</f>
        <v/>
      </c>
      <c r="V451" s="51"/>
      <c r="W451" s="51"/>
      <c r="X451" s="51"/>
      <c r="Y451" s="51"/>
      <c r="Z451" s="51"/>
      <c r="AA451" s="51"/>
      <c r="AB451" s="51"/>
      <c r="AC451" s="51"/>
      <c r="AD451" s="32" t="str">
        <f t="shared" si="21"/>
        <v/>
      </c>
      <c r="AE451" s="32"/>
      <c r="AF451" s="32"/>
      <c r="AG451" s="32"/>
      <c r="AH451" s="32"/>
      <c r="AI451" s="32"/>
      <c r="AJ451" s="32"/>
      <c r="AK451" s="32"/>
      <c r="AL451" s="32"/>
    </row>
    <row r="452" spans="1:38">
      <c r="A452" s="32" t="str">
        <f>_xlfn.TEXTJOIN("",TRUE,_xlfn.XLOOKUP(B452,Input!J:J,Input!G:G,"",0,1),_xlfn.XLOOKUP(B452,Input!J:J,Input!H:H,"",0,1))</f>
        <v/>
      </c>
      <c r="B452" s="32"/>
      <c r="C452" s="51">
        <f>_xlfn.XLOOKUP(B452,Input!J:J,Input!F:F)</f>
        <v>0</v>
      </c>
      <c r="D452" s="32">
        <f>_xlfn.XLOOKUP(C452,Models!H:H,Models!G:G,C452)</f>
        <v>0</v>
      </c>
      <c r="E452" s="32">
        <f>_xlfn.XLOOKUP(B452,Input!J:J,Input!E:E)</f>
        <v>0</v>
      </c>
      <c r="F452" s="32">
        <f>IF(E452="LENOVO",_xlfn.XLOOKUP(B452,Input!J:J,Input!K:K),_xlfn.XLOOKUP(B452,Input!J:J,Input!L:L))</f>
        <v>0</v>
      </c>
      <c r="G452" s="32"/>
      <c r="H452" s="32"/>
      <c r="I452" s="32"/>
      <c r="J452" s="51" t="e">
        <f>INDEX(Input!$D$2:$AC$500,
       MATCH(B452, Input!$J$2:$J$500, 0),
       MATCH("Total Memory", Input!$D$1:$AC$1, 0))</f>
        <v>#N/A</v>
      </c>
      <c r="K452" s="51"/>
      <c r="L452" s="51" t="str" cm="1">
        <f t="array" ref="L452">IFERROR(_xlfn.FILTERXML("&lt;t&gt;&lt;s&gt;" &amp; SUBSTITUTE(K452," / ","&lt;/s&gt;&lt;s&gt;") &amp; "&lt;/s&gt;&lt;/t&gt;","(//s[contains(.,'DDR')])[1]"),"")</f>
        <v/>
      </c>
      <c r="M452" s="32" t="e">
        <f t="shared" ref="M452:M515" si="23">_xlfn.TEXTJOIN(" ",TRUE,SUBSTITUTE(J452,"i",""),L452)</f>
        <v>#N/A</v>
      </c>
      <c r="N452" s="51" t="e">
        <f>INDEX(Input!$D$2:$AC$500,
       MATCH(B452, Input!$J$2:$J$500, 0),
       MATCH("Disk Interface Type", Input!$D$1:$AC$1, 0))</f>
        <v>#N/A</v>
      </c>
      <c r="O452" s="51" t="str" cm="1">
        <f t="array" ref="O452">IFERROR(_xlfn.TEXTJOIN(", ", TRUE, _xlfn._xlws.FILTER(
    INDEX(Input!$D$2:$AC$500,,MATCH("Disk Capacity",Input!$D$1:$AC$1,0)),
    Input!$J$2:$J$500=B452
)), "")</f>
        <v/>
      </c>
      <c r="P452" s="32" t="e">
        <f t="shared" si="22"/>
        <v>#N/A</v>
      </c>
      <c r="Q452" s="51" t="e">
        <f>_xlfn.LET(_xlpm.Result,INDEX(Input!$D$2:$AC$500,
       MATCH(B452, Input!$J$2:$J$500, 0),
       MATCH("Capacity", Input!$D$1:$AC$1, 0)),IF(_xlpm.Result="","",_xlpm.Result))</f>
        <v>#N/A</v>
      </c>
      <c r="R452" s="51"/>
      <c r="S452" s="51"/>
      <c r="T452" s="51" t="str" cm="1">
        <f t="array" ref="T452">IFERROR(_xlfn.IFS(
R452="","",
--R452&lt;55,"Battery Defect",
--R452&lt;=69,"Battery D",
--R452&lt;=80,"Battery C",
--R452&gt;80,""
),"")</f>
        <v/>
      </c>
      <c r="U452" s="51" t="str" cm="1">
        <f t="array" ref="U452">IFERROR(_xlfn.IFS(
S452="","",
--S452&lt;55,"Battery Defect",
--S452&lt;=69,"Battery D",
--S452&lt;=80,"Battery C",
--S452&gt;80,""
),"")</f>
        <v/>
      </c>
      <c r="V452" s="51"/>
      <c r="W452" s="51"/>
      <c r="X452" s="51"/>
      <c r="Y452" s="51"/>
      <c r="Z452" s="51"/>
      <c r="AA452" s="51"/>
      <c r="AB452" s="51"/>
      <c r="AC452" s="51"/>
      <c r="AD452" s="32" t="str">
        <f t="shared" si="21"/>
        <v/>
      </c>
      <c r="AE452" s="32"/>
      <c r="AF452" s="32"/>
      <c r="AG452" s="32"/>
      <c r="AH452" s="32"/>
      <c r="AI452" s="32"/>
      <c r="AJ452" s="32"/>
      <c r="AK452" s="32"/>
      <c r="AL452" s="32"/>
    </row>
    <row r="453" spans="1:38">
      <c r="A453" s="32" t="str">
        <f>_xlfn.TEXTJOIN("",TRUE,_xlfn.XLOOKUP(B453,Input!J:J,Input!G:G,"",0,1),_xlfn.XLOOKUP(B453,Input!J:J,Input!H:H,"",0,1))</f>
        <v/>
      </c>
      <c r="B453" s="32"/>
      <c r="C453" s="51">
        <f>_xlfn.XLOOKUP(B453,Input!J:J,Input!F:F)</f>
        <v>0</v>
      </c>
      <c r="D453" s="32">
        <f>_xlfn.XLOOKUP(C453,Models!H:H,Models!G:G,C453)</f>
        <v>0</v>
      </c>
      <c r="E453" s="32">
        <f>_xlfn.XLOOKUP(B453,Input!J:J,Input!E:E)</f>
        <v>0</v>
      </c>
      <c r="F453" s="32">
        <f>IF(E453="LENOVO",_xlfn.XLOOKUP(B453,Input!J:J,Input!K:K),_xlfn.XLOOKUP(B453,Input!J:J,Input!L:L))</f>
        <v>0</v>
      </c>
      <c r="G453" s="32"/>
      <c r="H453" s="32"/>
      <c r="I453" s="32"/>
      <c r="J453" s="51" t="e">
        <f>INDEX(Input!$D$2:$AC$500,
       MATCH(B453, Input!$J$2:$J$500, 0),
       MATCH("Total Memory", Input!$D$1:$AC$1, 0))</f>
        <v>#N/A</v>
      </c>
      <c r="K453" s="51"/>
      <c r="L453" s="51" t="str" cm="1">
        <f t="array" ref="L453">IFERROR(_xlfn.FILTERXML("&lt;t&gt;&lt;s&gt;" &amp; SUBSTITUTE(K453," / ","&lt;/s&gt;&lt;s&gt;") &amp; "&lt;/s&gt;&lt;/t&gt;","(//s[contains(.,'DDR')])[1]"),"")</f>
        <v/>
      </c>
      <c r="M453" s="32" t="e">
        <f t="shared" si="23"/>
        <v>#N/A</v>
      </c>
      <c r="N453" s="51" t="e">
        <f>INDEX(Input!$D$2:$AC$500,
       MATCH(B453, Input!$J$2:$J$500, 0),
       MATCH("Disk Interface Type", Input!$D$1:$AC$1, 0))</f>
        <v>#N/A</v>
      </c>
      <c r="O453" s="51" t="str" cm="1">
        <f t="array" ref="O453">IFERROR(_xlfn.TEXTJOIN(", ", TRUE, _xlfn._xlws.FILTER(
    INDEX(Input!$D$2:$AC$500,,MATCH("Disk Capacity",Input!$D$1:$AC$1,0)),
    Input!$J$2:$J$500=B453
)), "")</f>
        <v/>
      </c>
      <c r="P453" s="32" t="e">
        <f t="shared" si="22"/>
        <v>#N/A</v>
      </c>
      <c r="Q453" s="51" t="e">
        <f>_xlfn.LET(_xlpm.Result,INDEX(Input!$D$2:$AC$500,
       MATCH(B453, Input!$J$2:$J$500, 0),
       MATCH("Capacity", Input!$D$1:$AC$1, 0)),IF(_xlpm.Result="","",_xlpm.Result))</f>
        <v>#N/A</v>
      </c>
      <c r="R453" s="51"/>
      <c r="S453" s="51"/>
      <c r="T453" s="51" t="str" cm="1">
        <f t="array" ref="T453">IFERROR(_xlfn.IFS(
R453="","",
--R453&lt;55,"Battery Defect",
--R453&lt;=69,"Battery D",
--R453&lt;=80,"Battery C",
--R453&gt;80,""
),"")</f>
        <v/>
      </c>
      <c r="U453" s="51" t="str" cm="1">
        <f t="array" ref="U453">IFERROR(_xlfn.IFS(
S453="","",
--S453&lt;55,"Battery Defect",
--S453&lt;=69,"Battery D",
--S453&lt;=80,"Battery C",
--S453&gt;80,""
),"")</f>
        <v/>
      </c>
      <c r="V453" s="51"/>
      <c r="W453" s="51"/>
      <c r="X453" s="51"/>
      <c r="Y453" s="51"/>
      <c r="Z453" s="51"/>
      <c r="AA453" s="51"/>
      <c r="AB453" s="51"/>
      <c r="AC453" s="51"/>
      <c r="AD453" s="32" t="str">
        <f t="shared" si="21"/>
        <v/>
      </c>
      <c r="AE453" s="32"/>
      <c r="AF453" s="32"/>
      <c r="AG453" s="32"/>
      <c r="AH453" s="32"/>
      <c r="AI453" s="32"/>
      <c r="AJ453" s="32"/>
      <c r="AK453" s="32"/>
      <c r="AL453" s="32"/>
    </row>
    <row r="454" spans="1:38">
      <c r="A454" s="32" t="str">
        <f>_xlfn.TEXTJOIN("",TRUE,_xlfn.XLOOKUP(B454,Input!J:J,Input!G:G,"",0,1),_xlfn.XLOOKUP(B454,Input!J:J,Input!H:H,"",0,1))</f>
        <v/>
      </c>
      <c r="B454" s="32"/>
      <c r="C454" s="51">
        <f>_xlfn.XLOOKUP(B454,Input!J:J,Input!F:F)</f>
        <v>0</v>
      </c>
      <c r="D454" s="32">
        <f>_xlfn.XLOOKUP(C454,Models!H:H,Models!G:G,C454)</f>
        <v>0</v>
      </c>
      <c r="E454" s="32">
        <f>_xlfn.XLOOKUP(B454,Input!J:J,Input!E:E)</f>
        <v>0</v>
      </c>
      <c r="F454" s="32">
        <f>IF(E454="LENOVO",_xlfn.XLOOKUP(B454,Input!J:J,Input!K:K),_xlfn.XLOOKUP(B454,Input!J:J,Input!L:L))</f>
        <v>0</v>
      </c>
      <c r="G454" s="32"/>
      <c r="H454" s="32"/>
      <c r="I454" s="32"/>
      <c r="J454" s="51" t="e">
        <f>INDEX(Input!$D$2:$AC$500,
       MATCH(B454, Input!$J$2:$J$500, 0),
       MATCH("Total Memory", Input!$D$1:$AC$1, 0))</f>
        <v>#N/A</v>
      </c>
      <c r="K454" s="51"/>
      <c r="L454" s="51" t="str" cm="1">
        <f t="array" ref="L454">IFERROR(_xlfn.FILTERXML("&lt;t&gt;&lt;s&gt;" &amp; SUBSTITUTE(K454," / ","&lt;/s&gt;&lt;s&gt;") &amp; "&lt;/s&gt;&lt;/t&gt;","(//s[contains(.,'DDR')])[1]"),"")</f>
        <v/>
      </c>
      <c r="M454" s="32" t="e">
        <f t="shared" si="23"/>
        <v>#N/A</v>
      </c>
      <c r="N454" s="51" t="e">
        <f>INDEX(Input!$D$2:$AC$500,
       MATCH(B454, Input!$J$2:$J$500, 0),
       MATCH("Disk Interface Type", Input!$D$1:$AC$1, 0))</f>
        <v>#N/A</v>
      </c>
      <c r="O454" s="51" t="str" cm="1">
        <f t="array" ref="O454">IFERROR(_xlfn.TEXTJOIN(", ", TRUE, _xlfn._xlws.FILTER(
    INDEX(Input!$D$2:$AC$500,,MATCH("Disk Capacity",Input!$D$1:$AC$1,0)),
    Input!$J$2:$J$500=B454
)), "")</f>
        <v/>
      </c>
      <c r="P454" s="32" t="e">
        <f t="shared" si="22"/>
        <v>#N/A</v>
      </c>
      <c r="Q454" s="51" t="e">
        <f>_xlfn.LET(_xlpm.Result,INDEX(Input!$D$2:$AC$500,
       MATCH(B454, Input!$J$2:$J$500, 0),
       MATCH("Capacity", Input!$D$1:$AC$1, 0)),IF(_xlpm.Result="","",_xlpm.Result))</f>
        <v>#N/A</v>
      </c>
      <c r="R454" s="51"/>
      <c r="S454" s="51"/>
      <c r="T454" s="51" t="str" cm="1">
        <f t="array" ref="T454">IFERROR(_xlfn.IFS(
R454="","",
--R454&lt;55,"Battery Defect",
--R454&lt;=69,"Battery D",
--R454&lt;=80,"Battery C",
--R454&gt;80,""
),"")</f>
        <v/>
      </c>
      <c r="U454" s="51" t="str" cm="1">
        <f t="array" ref="U454">IFERROR(_xlfn.IFS(
S454="","",
--S454&lt;55,"Battery Defect",
--S454&lt;=69,"Battery D",
--S454&lt;=80,"Battery C",
--S454&gt;80,""
),"")</f>
        <v/>
      </c>
      <c r="V454" s="51"/>
      <c r="W454" s="51"/>
      <c r="X454" s="51"/>
      <c r="Y454" s="51"/>
      <c r="Z454" s="51"/>
      <c r="AA454" s="51"/>
      <c r="AB454" s="51"/>
      <c r="AC454" s="51"/>
      <c r="AD454" s="32" t="str">
        <f t="shared" si="21"/>
        <v/>
      </c>
      <c r="AE454" s="32"/>
      <c r="AF454" s="32"/>
      <c r="AG454" s="32"/>
      <c r="AH454" s="32"/>
      <c r="AI454" s="32"/>
      <c r="AJ454" s="32"/>
      <c r="AK454" s="32"/>
      <c r="AL454" s="32"/>
    </row>
    <row r="455" spans="1:38">
      <c r="A455" s="32" t="str">
        <f>_xlfn.TEXTJOIN("",TRUE,_xlfn.XLOOKUP(B455,Input!J:J,Input!G:G,"",0,1),_xlfn.XLOOKUP(B455,Input!J:J,Input!H:H,"",0,1))</f>
        <v/>
      </c>
      <c r="B455" s="32"/>
      <c r="C455" s="51">
        <f>_xlfn.XLOOKUP(B455,Input!J:J,Input!F:F)</f>
        <v>0</v>
      </c>
      <c r="D455" s="32">
        <f>_xlfn.XLOOKUP(C455,Models!H:H,Models!G:G,C455)</f>
        <v>0</v>
      </c>
      <c r="E455" s="32">
        <f>_xlfn.XLOOKUP(B455,Input!J:J,Input!E:E)</f>
        <v>0</v>
      </c>
      <c r="F455" s="32">
        <f>IF(E455="LENOVO",_xlfn.XLOOKUP(B455,Input!J:J,Input!K:K),_xlfn.XLOOKUP(B455,Input!J:J,Input!L:L))</f>
        <v>0</v>
      </c>
      <c r="G455" s="32"/>
      <c r="H455" s="32"/>
      <c r="I455" s="32"/>
      <c r="J455" s="51" t="e">
        <f>INDEX(Input!$D$2:$AC$500,
       MATCH(B455, Input!$J$2:$J$500, 0),
       MATCH("Total Memory", Input!$D$1:$AC$1, 0))</f>
        <v>#N/A</v>
      </c>
      <c r="K455" s="51"/>
      <c r="L455" s="51" t="str" cm="1">
        <f t="array" ref="L455">IFERROR(_xlfn.FILTERXML("&lt;t&gt;&lt;s&gt;" &amp; SUBSTITUTE(K455," / ","&lt;/s&gt;&lt;s&gt;") &amp; "&lt;/s&gt;&lt;/t&gt;","(//s[contains(.,'DDR')])[1]"),"")</f>
        <v/>
      </c>
      <c r="M455" s="32" t="e">
        <f t="shared" si="23"/>
        <v>#N/A</v>
      </c>
      <c r="N455" s="51" t="e">
        <f>INDEX(Input!$D$2:$AC$500,
       MATCH(B455, Input!$J$2:$J$500, 0),
       MATCH("Disk Interface Type", Input!$D$1:$AC$1, 0))</f>
        <v>#N/A</v>
      </c>
      <c r="O455" s="51" t="str" cm="1">
        <f t="array" ref="O455">IFERROR(_xlfn.TEXTJOIN(", ", TRUE, _xlfn._xlws.FILTER(
    INDEX(Input!$D$2:$AC$500,,MATCH("Disk Capacity",Input!$D$1:$AC$1,0)),
    Input!$J$2:$J$500=B455
)), "")</f>
        <v/>
      </c>
      <c r="P455" s="32" t="e">
        <f t="shared" si="22"/>
        <v>#N/A</v>
      </c>
      <c r="Q455" s="51" t="e">
        <f>_xlfn.LET(_xlpm.Result,INDEX(Input!$D$2:$AC$500,
       MATCH(B455, Input!$J$2:$J$500, 0),
       MATCH("Capacity", Input!$D$1:$AC$1, 0)),IF(_xlpm.Result="","",_xlpm.Result))</f>
        <v>#N/A</v>
      </c>
      <c r="R455" s="51"/>
      <c r="S455" s="51"/>
      <c r="T455" s="51" t="str" cm="1">
        <f t="array" ref="T455">IFERROR(_xlfn.IFS(
R455="","",
--R455&lt;55,"Battery Defect",
--R455&lt;=69,"Battery D",
--R455&lt;=80,"Battery C",
--R455&gt;80,""
),"")</f>
        <v/>
      </c>
      <c r="U455" s="51" t="str" cm="1">
        <f t="array" ref="U455">IFERROR(_xlfn.IFS(
S455="","",
--S455&lt;55,"Battery Defect",
--S455&lt;=69,"Battery D",
--S455&lt;=80,"Battery C",
--S455&gt;80,""
),"")</f>
        <v/>
      </c>
      <c r="V455" s="51"/>
      <c r="W455" s="51"/>
      <c r="X455" s="51"/>
      <c r="Y455" s="51"/>
      <c r="Z455" s="51"/>
      <c r="AA455" s="51"/>
      <c r="AB455" s="51"/>
      <c r="AC455" s="51"/>
      <c r="AD455" s="32" t="str">
        <f t="shared" si="21"/>
        <v/>
      </c>
      <c r="AE455" s="32"/>
      <c r="AF455" s="32"/>
      <c r="AG455" s="32"/>
      <c r="AH455" s="32"/>
      <c r="AI455" s="32"/>
      <c r="AJ455" s="32"/>
      <c r="AK455" s="32"/>
      <c r="AL455" s="32"/>
    </row>
    <row r="456" spans="1:38">
      <c r="A456" s="32" t="str">
        <f>_xlfn.TEXTJOIN("",TRUE,_xlfn.XLOOKUP(B456,Input!J:J,Input!G:G,"",0,1),_xlfn.XLOOKUP(B456,Input!J:J,Input!H:H,"",0,1))</f>
        <v/>
      </c>
      <c r="B456" s="32"/>
      <c r="C456" s="51">
        <f>_xlfn.XLOOKUP(B456,Input!J:J,Input!F:F)</f>
        <v>0</v>
      </c>
      <c r="D456" s="32">
        <f>_xlfn.XLOOKUP(C456,Models!H:H,Models!G:G,C456)</f>
        <v>0</v>
      </c>
      <c r="E456" s="32">
        <f>_xlfn.XLOOKUP(B456,Input!J:J,Input!E:E)</f>
        <v>0</v>
      </c>
      <c r="F456" s="32">
        <f>IF(E456="LENOVO",_xlfn.XLOOKUP(B456,Input!J:J,Input!K:K),_xlfn.XLOOKUP(B456,Input!J:J,Input!L:L))</f>
        <v>0</v>
      </c>
      <c r="G456" s="32"/>
      <c r="H456" s="32"/>
      <c r="I456" s="32"/>
      <c r="J456" s="51" t="e">
        <f>INDEX(Input!$D$2:$AC$500,
       MATCH(B456, Input!$J$2:$J$500, 0),
       MATCH("Total Memory", Input!$D$1:$AC$1, 0))</f>
        <v>#N/A</v>
      </c>
      <c r="K456" s="51"/>
      <c r="L456" s="51" t="str" cm="1">
        <f t="array" ref="L456">IFERROR(_xlfn.FILTERXML("&lt;t&gt;&lt;s&gt;" &amp; SUBSTITUTE(K456," / ","&lt;/s&gt;&lt;s&gt;") &amp; "&lt;/s&gt;&lt;/t&gt;","(//s[contains(.,'DDR')])[1]"),"")</f>
        <v/>
      </c>
      <c r="M456" s="32" t="e">
        <f t="shared" si="23"/>
        <v>#N/A</v>
      </c>
      <c r="N456" s="51" t="e">
        <f>INDEX(Input!$D$2:$AC$500,
       MATCH(B456, Input!$J$2:$J$500, 0),
       MATCH("Disk Interface Type", Input!$D$1:$AC$1, 0))</f>
        <v>#N/A</v>
      </c>
      <c r="O456" s="51" t="str" cm="1">
        <f t="array" ref="O456">IFERROR(_xlfn.TEXTJOIN(", ", TRUE, _xlfn._xlws.FILTER(
    INDEX(Input!$D$2:$AC$500,,MATCH("Disk Capacity",Input!$D$1:$AC$1,0)),
    Input!$J$2:$J$500=B456
)), "")</f>
        <v/>
      </c>
      <c r="P456" s="32" t="e">
        <f t="shared" si="22"/>
        <v>#N/A</v>
      </c>
      <c r="Q456" s="51" t="e">
        <f>_xlfn.LET(_xlpm.Result,INDEX(Input!$D$2:$AC$500,
       MATCH(B456, Input!$J$2:$J$500, 0),
       MATCH("Capacity", Input!$D$1:$AC$1, 0)),IF(_xlpm.Result="","",_xlpm.Result))</f>
        <v>#N/A</v>
      </c>
      <c r="R456" s="51"/>
      <c r="S456" s="51"/>
      <c r="T456" s="51" t="str" cm="1">
        <f t="array" ref="T456">IFERROR(_xlfn.IFS(
R456="","",
--R456&lt;55,"Battery Defect",
--R456&lt;=69,"Battery D",
--R456&lt;=80,"Battery C",
--R456&gt;80,""
),"")</f>
        <v/>
      </c>
      <c r="U456" s="51" t="str" cm="1">
        <f t="array" ref="U456">IFERROR(_xlfn.IFS(
S456="","",
--S456&lt;55,"Battery Defect",
--S456&lt;=69,"Battery D",
--S456&lt;=80,"Battery C",
--S456&gt;80,""
),"")</f>
        <v/>
      </c>
      <c r="V456" s="51"/>
      <c r="W456" s="51"/>
      <c r="X456" s="51"/>
      <c r="Y456" s="51"/>
      <c r="Z456" s="51"/>
      <c r="AA456" s="51"/>
      <c r="AB456" s="51"/>
      <c r="AC456" s="51"/>
      <c r="AD456" s="32" t="str">
        <f t="shared" si="21"/>
        <v/>
      </c>
      <c r="AE456" s="32"/>
      <c r="AF456" s="32"/>
      <c r="AG456" s="32"/>
      <c r="AH456" s="32"/>
      <c r="AI456" s="32"/>
      <c r="AJ456" s="32"/>
      <c r="AK456" s="32"/>
      <c r="AL456" s="32"/>
    </row>
    <row r="457" spans="1:38">
      <c r="A457" s="32" t="str">
        <f>_xlfn.TEXTJOIN("",TRUE,_xlfn.XLOOKUP(B457,Input!J:J,Input!G:G,"",0,1),_xlfn.XLOOKUP(B457,Input!J:J,Input!H:H,"",0,1))</f>
        <v/>
      </c>
      <c r="B457" s="32"/>
      <c r="C457" s="51">
        <f>_xlfn.XLOOKUP(B457,Input!J:J,Input!F:F)</f>
        <v>0</v>
      </c>
      <c r="D457" s="32">
        <f>_xlfn.XLOOKUP(C457,Models!H:H,Models!G:G,C457)</f>
        <v>0</v>
      </c>
      <c r="E457" s="32">
        <f>_xlfn.XLOOKUP(B457,Input!J:J,Input!E:E)</f>
        <v>0</v>
      </c>
      <c r="F457" s="32">
        <f>IF(E457="LENOVO",_xlfn.XLOOKUP(B457,Input!J:J,Input!K:K),_xlfn.XLOOKUP(B457,Input!J:J,Input!L:L))</f>
        <v>0</v>
      </c>
      <c r="G457" s="32"/>
      <c r="H457" s="32"/>
      <c r="I457" s="32"/>
      <c r="J457" s="51" t="e">
        <f>INDEX(Input!$D$2:$AC$500,
       MATCH(B457, Input!$J$2:$J$500, 0),
       MATCH("Total Memory", Input!$D$1:$AC$1, 0))</f>
        <v>#N/A</v>
      </c>
      <c r="K457" s="51"/>
      <c r="L457" s="51" t="str" cm="1">
        <f t="array" ref="L457">IFERROR(_xlfn.FILTERXML("&lt;t&gt;&lt;s&gt;" &amp; SUBSTITUTE(K457," / ","&lt;/s&gt;&lt;s&gt;") &amp; "&lt;/s&gt;&lt;/t&gt;","(//s[contains(.,'DDR')])[1]"),"")</f>
        <v/>
      </c>
      <c r="M457" s="32" t="e">
        <f t="shared" si="23"/>
        <v>#N/A</v>
      </c>
      <c r="N457" s="51" t="e">
        <f>INDEX(Input!$D$2:$AC$500,
       MATCH(B457, Input!$J$2:$J$500, 0),
       MATCH("Disk Interface Type", Input!$D$1:$AC$1, 0))</f>
        <v>#N/A</v>
      </c>
      <c r="O457" s="51" t="str" cm="1">
        <f t="array" ref="O457">IFERROR(_xlfn.TEXTJOIN(", ", TRUE, _xlfn._xlws.FILTER(
    INDEX(Input!$D$2:$AC$500,,MATCH("Disk Capacity",Input!$D$1:$AC$1,0)),
    Input!$J$2:$J$500=B457
)), "")</f>
        <v/>
      </c>
      <c r="P457" s="32" t="e">
        <f t="shared" si="22"/>
        <v>#N/A</v>
      </c>
      <c r="Q457" s="51" t="e">
        <f>_xlfn.LET(_xlpm.Result,INDEX(Input!$D$2:$AC$500,
       MATCH(B457, Input!$J$2:$J$500, 0),
       MATCH("Capacity", Input!$D$1:$AC$1, 0)),IF(_xlpm.Result="","",_xlpm.Result))</f>
        <v>#N/A</v>
      </c>
      <c r="R457" s="51"/>
      <c r="S457" s="51"/>
      <c r="T457" s="51" t="str" cm="1">
        <f t="array" ref="T457">IFERROR(_xlfn.IFS(
R457="","",
--R457&lt;55,"Battery Defect",
--R457&lt;=69,"Battery D",
--R457&lt;=80,"Battery C",
--R457&gt;80,""
),"")</f>
        <v/>
      </c>
      <c r="U457" s="51" t="str" cm="1">
        <f t="array" ref="U457">IFERROR(_xlfn.IFS(
S457="","",
--S457&lt;55,"Battery Defect",
--S457&lt;=69,"Battery D",
--S457&lt;=80,"Battery C",
--S457&gt;80,""
),"")</f>
        <v/>
      </c>
      <c r="V457" s="51"/>
      <c r="W457" s="51"/>
      <c r="X457" s="51"/>
      <c r="Y457" s="51"/>
      <c r="Z457" s="51"/>
      <c r="AA457" s="51"/>
      <c r="AB457" s="51"/>
      <c r="AC457" s="51"/>
      <c r="AD457" s="32" t="str">
        <f t="shared" si="21"/>
        <v/>
      </c>
      <c r="AE457" s="32"/>
      <c r="AF457" s="32"/>
      <c r="AG457" s="32"/>
      <c r="AH457" s="32"/>
      <c r="AI457" s="32"/>
      <c r="AJ457" s="32"/>
      <c r="AK457" s="32"/>
      <c r="AL457" s="32"/>
    </row>
    <row r="458" spans="1:38">
      <c r="A458" s="32" t="str">
        <f>_xlfn.TEXTJOIN("",TRUE,_xlfn.XLOOKUP(B458,Input!J:J,Input!G:G,"",0,1),_xlfn.XLOOKUP(B458,Input!J:J,Input!H:H,"",0,1))</f>
        <v/>
      </c>
      <c r="B458" s="32"/>
      <c r="C458" s="51">
        <f>_xlfn.XLOOKUP(B458,Input!J:J,Input!F:F)</f>
        <v>0</v>
      </c>
      <c r="D458" s="32">
        <f>_xlfn.XLOOKUP(C458,Models!H:H,Models!G:G,C458)</f>
        <v>0</v>
      </c>
      <c r="E458" s="32">
        <f>_xlfn.XLOOKUP(B458,Input!J:J,Input!E:E)</f>
        <v>0</v>
      </c>
      <c r="F458" s="32">
        <f>IF(E458="LENOVO",_xlfn.XLOOKUP(B458,Input!J:J,Input!K:K),_xlfn.XLOOKUP(B458,Input!J:J,Input!L:L))</f>
        <v>0</v>
      </c>
      <c r="G458" s="32"/>
      <c r="H458" s="32"/>
      <c r="I458" s="32"/>
      <c r="J458" s="51" t="e">
        <f>INDEX(Input!$D$2:$AC$500,
       MATCH(B458, Input!$J$2:$J$500, 0),
       MATCH("Total Memory", Input!$D$1:$AC$1, 0))</f>
        <v>#N/A</v>
      </c>
      <c r="K458" s="51"/>
      <c r="L458" s="51" t="str" cm="1">
        <f t="array" ref="L458">IFERROR(_xlfn.FILTERXML("&lt;t&gt;&lt;s&gt;" &amp; SUBSTITUTE(K458," / ","&lt;/s&gt;&lt;s&gt;") &amp; "&lt;/s&gt;&lt;/t&gt;","(//s[contains(.,'DDR')])[1]"),"")</f>
        <v/>
      </c>
      <c r="M458" s="32" t="e">
        <f t="shared" si="23"/>
        <v>#N/A</v>
      </c>
      <c r="N458" s="51" t="e">
        <f>INDEX(Input!$D$2:$AC$500,
       MATCH(B458, Input!$J$2:$J$500, 0),
       MATCH("Disk Interface Type", Input!$D$1:$AC$1, 0))</f>
        <v>#N/A</v>
      </c>
      <c r="O458" s="51" t="str" cm="1">
        <f t="array" ref="O458">IFERROR(_xlfn.TEXTJOIN(", ", TRUE, _xlfn._xlws.FILTER(
    INDEX(Input!$D$2:$AC$500,,MATCH("Disk Capacity",Input!$D$1:$AC$1,0)),
    Input!$J$2:$J$500=B458
)), "")</f>
        <v/>
      </c>
      <c r="P458" s="32" t="e">
        <f t="shared" si="22"/>
        <v>#N/A</v>
      </c>
      <c r="Q458" s="51" t="e">
        <f>_xlfn.LET(_xlpm.Result,INDEX(Input!$D$2:$AC$500,
       MATCH(B458, Input!$J$2:$J$500, 0),
       MATCH("Capacity", Input!$D$1:$AC$1, 0)),IF(_xlpm.Result="","",_xlpm.Result))</f>
        <v>#N/A</v>
      </c>
      <c r="R458" s="51"/>
      <c r="S458" s="51"/>
      <c r="T458" s="51" t="str" cm="1">
        <f t="array" ref="T458">IFERROR(_xlfn.IFS(
R458="","",
--R458&lt;55,"Battery Defect",
--R458&lt;=69,"Battery D",
--R458&lt;=80,"Battery C",
--R458&gt;80,""
),"")</f>
        <v/>
      </c>
      <c r="U458" s="51" t="str" cm="1">
        <f t="array" ref="U458">IFERROR(_xlfn.IFS(
S458="","",
--S458&lt;55,"Battery Defect",
--S458&lt;=69,"Battery D",
--S458&lt;=80,"Battery C",
--S458&gt;80,""
),"")</f>
        <v/>
      </c>
      <c r="V458" s="51"/>
      <c r="W458" s="51"/>
      <c r="X458" s="51"/>
      <c r="Y458" s="51"/>
      <c r="Z458" s="51"/>
      <c r="AA458" s="51"/>
      <c r="AB458" s="51"/>
      <c r="AC458" s="51"/>
      <c r="AD458" s="32" t="str">
        <f t="shared" si="21"/>
        <v/>
      </c>
      <c r="AE458" s="32"/>
      <c r="AF458" s="32"/>
      <c r="AG458" s="32"/>
      <c r="AH458" s="32"/>
      <c r="AI458" s="32"/>
      <c r="AJ458" s="32"/>
      <c r="AK458" s="32"/>
      <c r="AL458" s="32"/>
    </row>
    <row r="459" spans="1:38">
      <c r="A459" s="32" t="str">
        <f>_xlfn.TEXTJOIN("",TRUE,_xlfn.XLOOKUP(B459,Input!J:J,Input!G:G,"",0,1),_xlfn.XLOOKUP(B459,Input!J:J,Input!H:H,"",0,1))</f>
        <v/>
      </c>
      <c r="B459" s="32"/>
      <c r="C459" s="51">
        <f>_xlfn.XLOOKUP(B459,Input!J:J,Input!F:F)</f>
        <v>0</v>
      </c>
      <c r="D459" s="32">
        <f>_xlfn.XLOOKUP(C459,Models!H:H,Models!G:G,C459)</f>
        <v>0</v>
      </c>
      <c r="E459" s="32">
        <f>_xlfn.XLOOKUP(B459,Input!J:J,Input!E:E)</f>
        <v>0</v>
      </c>
      <c r="F459" s="32">
        <f>IF(E459="LENOVO",_xlfn.XLOOKUP(B459,Input!J:J,Input!K:K),_xlfn.XLOOKUP(B459,Input!J:J,Input!L:L))</f>
        <v>0</v>
      </c>
      <c r="G459" s="32"/>
      <c r="H459" s="32"/>
      <c r="I459" s="32"/>
      <c r="J459" s="51" t="e">
        <f>INDEX(Input!$D$2:$AC$500,
       MATCH(B459, Input!$J$2:$J$500, 0),
       MATCH("Total Memory", Input!$D$1:$AC$1, 0))</f>
        <v>#N/A</v>
      </c>
      <c r="K459" s="51"/>
      <c r="L459" s="51" t="str" cm="1">
        <f t="array" ref="L459">IFERROR(_xlfn.FILTERXML("&lt;t&gt;&lt;s&gt;" &amp; SUBSTITUTE(K459," / ","&lt;/s&gt;&lt;s&gt;") &amp; "&lt;/s&gt;&lt;/t&gt;","(//s[contains(.,'DDR')])[1]"),"")</f>
        <v/>
      </c>
      <c r="M459" s="32" t="e">
        <f t="shared" si="23"/>
        <v>#N/A</v>
      </c>
      <c r="N459" s="51" t="e">
        <f>INDEX(Input!$D$2:$AC$500,
       MATCH(B459, Input!$J$2:$J$500, 0),
       MATCH("Disk Interface Type", Input!$D$1:$AC$1, 0))</f>
        <v>#N/A</v>
      </c>
      <c r="O459" s="51" t="str" cm="1">
        <f t="array" ref="O459">IFERROR(_xlfn.TEXTJOIN(", ", TRUE, _xlfn._xlws.FILTER(
    INDEX(Input!$D$2:$AC$500,,MATCH("Disk Capacity",Input!$D$1:$AC$1,0)),
    Input!$J$2:$J$500=B459
)), "")</f>
        <v/>
      </c>
      <c r="P459" s="32" t="e">
        <f t="shared" si="22"/>
        <v>#N/A</v>
      </c>
      <c r="Q459" s="51" t="e">
        <f>_xlfn.LET(_xlpm.Result,INDEX(Input!$D$2:$AC$500,
       MATCH(B459, Input!$J$2:$J$500, 0),
       MATCH("Capacity", Input!$D$1:$AC$1, 0)),IF(_xlpm.Result="","",_xlpm.Result))</f>
        <v>#N/A</v>
      </c>
      <c r="R459" s="51"/>
      <c r="S459" s="51"/>
      <c r="T459" s="51" t="str" cm="1">
        <f t="array" ref="T459">IFERROR(_xlfn.IFS(
R459="","",
--R459&lt;55,"Battery Defect",
--R459&lt;=69,"Battery D",
--R459&lt;=80,"Battery C",
--R459&gt;80,""
),"")</f>
        <v/>
      </c>
      <c r="U459" s="51" t="str" cm="1">
        <f t="array" ref="U459">IFERROR(_xlfn.IFS(
S459="","",
--S459&lt;55,"Battery Defect",
--S459&lt;=69,"Battery D",
--S459&lt;=80,"Battery C",
--S459&gt;80,""
),"")</f>
        <v/>
      </c>
      <c r="V459" s="51"/>
      <c r="W459" s="51"/>
      <c r="X459" s="51"/>
      <c r="Y459" s="51"/>
      <c r="Z459" s="51"/>
      <c r="AA459" s="51"/>
      <c r="AB459" s="51"/>
      <c r="AC459" s="51"/>
      <c r="AD459" s="32" t="str">
        <f t="shared" si="21"/>
        <v/>
      </c>
      <c r="AE459" s="32"/>
      <c r="AF459" s="32"/>
      <c r="AG459" s="32"/>
      <c r="AH459" s="32"/>
      <c r="AI459" s="32"/>
      <c r="AJ459" s="32"/>
      <c r="AK459" s="32"/>
      <c r="AL459" s="32"/>
    </row>
    <row r="460" spans="1:38">
      <c r="A460" s="32" t="str">
        <f>_xlfn.TEXTJOIN("",TRUE,_xlfn.XLOOKUP(B460,Input!J:J,Input!G:G,"",0,1),_xlfn.XLOOKUP(B460,Input!J:J,Input!H:H,"",0,1))</f>
        <v/>
      </c>
      <c r="B460" s="32"/>
      <c r="C460" s="51">
        <f>_xlfn.XLOOKUP(B460,Input!J:J,Input!F:F)</f>
        <v>0</v>
      </c>
      <c r="D460" s="32">
        <f>_xlfn.XLOOKUP(C460,Models!H:H,Models!G:G,C460)</f>
        <v>0</v>
      </c>
      <c r="E460" s="32">
        <f>_xlfn.XLOOKUP(B460,Input!J:J,Input!E:E)</f>
        <v>0</v>
      </c>
      <c r="F460" s="32">
        <f>IF(E460="LENOVO",_xlfn.XLOOKUP(B460,Input!J:J,Input!K:K),_xlfn.XLOOKUP(B460,Input!J:J,Input!L:L))</f>
        <v>0</v>
      </c>
      <c r="G460" s="32"/>
      <c r="H460" s="32"/>
      <c r="I460" s="32"/>
      <c r="J460" s="51" t="e">
        <f>INDEX(Input!$D$2:$AC$500,
       MATCH(B460, Input!$J$2:$J$500, 0),
       MATCH("Total Memory", Input!$D$1:$AC$1, 0))</f>
        <v>#N/A</v>
      </c>
      <c r="K460" s="51"/>
      <c r="L460" s="51" t="str" cm="1">
        <f t="array" ref="L460">IFERROR(_xlfn.FILTERXML("&lt;t&gt;&lt;s&gt;" &amp; SUBSTITUTE(K460," / ","&lt;/s&gt;&lt;s&gt;") &amp; "&lt;/s&gt;&lt;/t&gt;","(//s[contains(.,'DDR')])[1]"),"")</f>
        <v/>
      </c>
      <c r="M460" s="32" t="e">
        <f t="shared" si="23"/>
        <v>#N/A</v>
      </c>
      <c r="N460" s="51" t="e">
        <f>INDEX(Input!$D$2:$AC$500,
       MATCH(B460, Input!$J$2:$J$500, 0),
       MATCH("Disk Interface Type", Input!$D$1:$AC$1, 0))</f>
        <v>#N/A</v>
      </c>
      <c r="O460" s="51" t="str" cm="1">
        <f t="array" ref="O460">IFERROR(_xlfn.TEXTJOIN(", ", TRUE, _xlfn._xlws.FILTER(
    INDEX(Input!$D$2:$AC$500,,MATCH("Disk Capacity",Input!$D$1:$AC$1,0)),
    Input!$J$2:$J$500=B460
)), "")</f>
        <v/>
      </c>
      <c r="P460" s="32" t="e">
        <f t="shared" si="22"/>
        <v>#N/A</v>
      </c>
      <c r="Q460" s="51" t="e">
        <f>_xlfn.LET(_xlpm.Result,INDEX(Input!$D$2:$AC$500,
       MATCH(B460, Input!$J$2:$J$500, 0),
       MATCH("Capacity", Input!$D$1:$AC$1, 0)),IF(_xlpm.Result="","",_xlpm.Result))</f>
        <v>#N/A</v>
      </c>
      <c r="R460" s="51"/>
      <c r="S460" s="51"/>
      <c r="T460" s="51" t="str" cm="1">
        <f t="array" ref="T460">IFERROR(_xlfn.IFS(
R460="","",
--R460&lt;55,"Battery Defect",
--R460&lt;=69,"Battery D",
--R460&lt;=80,"Battery C",
--R460&gt;80,""
),"")</f>
        <v/>
      </c>
      <c r="U460" s="51" t="str" cm="1">
        <f t="array" ref="U460">IFERROR(_xlfn.IFS(
S460="","",
--S460&lt;55,"Battery Defect",
--S460&lt;=69,"Battery D",
--S460&lt;=80,"Battery C",
--S460&gt;80,""
),"")</f>
        <v/>
      </c>
      <c r="V460" s="51"/>
      <c r="W460" s="51"/>
      <c r="X460" s="51"/>
      <c r="Y460" s="51"/>
      <c r="Z460" s="51"/>
      <c r="AA460" s="51"/>
      <c r="AB460" s="51"/>
      <c r="AC460" s="51"/>
      <c r="AD460" s="32" t="str">
        <f t="shared" si="21"/>
        <v/>
      </c>
      <c r="AE460" s="32"/>
      <c r="AF460" s="32"/>
      <c r="AG460" s="32"/>
      <c r="AH460" s="32"/>
      <c r="AI460" s="32"/>
      <c r="AJ460" s="32"/>
      <c r="AK460" s="32"/>
      <c r="AL460" s="32"/>
    </row>
    <row r="461" spans="1:38">
      <c r="A461" s="32" t="str">
        <f>_xlfn.TEXTJOIN("",TRUE,_xlfn.XLOOKUP(B461,Input!J:J,Input!G:G,"",0,1),_xlfn.XLOOKUP(B461,Input!J:J,Input!H:H,"",0,1))</f>
        <v/>
      </c>
      <c r="B461" s="32"/>
      <c r="C461" s="51">
        <f>_xlfn.XLOOKUP(B461,Input!J:J,Input!F:F)</f>
        <v>0</v>
      </c>
      <c r="D461" s="32">
        <f>_xlfn.XLOOKUP(C461,Models!H:H,Models!G:G,C461)</f>
        <v>0</v>
      </c>
      <c r="E461" s="32">
        <f>_xlfn.XLOOKUP(B461,Input!J:J,Input!E:E)</f>
        <v>0</v>
      </c>
      <c r="F461" s="32">
        <f>IF(E461="LENOVO",_xlfn.XLOOKUP(B461,Input!J:J,Input!K:K),_xlfn.XLOOKUP(B461,Input!J:J,Input!L:L))</f>
        <v>0</v>
      </c>
      <c r="G461" s="32"/>
      <c r="H461" s="32"/>
      <c r="I461" s="32"/>
      <c r="J461" s="51" t="e">
        <f>INDEX(Input!$D$2:$AC$500,
       MATCH(B461, Input!$J$2:$J$500, 0),
       MATCH("Total Memory", Input!$D$1:$AC$1, 0))</f>
        <v>#N/A</v>
      </c>
      <c r="K461" s="51"/>
      <c r="L461" s="51" t="str" cm="1">
        <f t="array" ref="L461">IFERROR(_xlfn.FILTERXML("&lt;t&gt;&lt;s&gt;" &amp; SUBSTITUTE(K461," / ","&lt;/s&gt;&lt;s&gt;") &amp; "&lt;/s&gt;&lt;/t&gt;","(//s[contains(.,'DDR')])[1]"),"")</f>
        <v/>
      </c>
      <c r="M461" s="32" t="e">
        <f t="shared" si="23"/>
        <v>#N/A</v>
      </c>
      <c r="N461" s="51" t="e">
        <f>INDEX(Input!$D$2:$AC$500,
       MATCH(B461, Input!$J$2:$J$500, 0),
       MATCH("Disk Interface Type", Input!$D$1:$AC$1, 0))</f>
        <v>#N/A</v>
      </c>
      <c r="O461" s="51" t="str" cm="1">
        <f t="array" ref="O461">IFERROR(_xlfn.TEXTJOIN(", ", TRUE, _xlfn._xlws.FILTER(
    INDEX(Input!$D$2:$AC$500,,MATCH("Disk Capacity",Input!$D$1:$AC$1,0)),
    Input!$J$2:$J$500=B461
)), "")</f>
        <v/>
      </c>
      <c r="P461" s="32" t="e">
        <f t="shared" si="22"/>
        <v>#N/A</v>
      </c>
      <c r="Q461" s="51" t="e">
        <f>_xlfn.LET(_xlpm.Result,INDEX(Input!$D$2:$AC$500,
       MATCH(B461, Input!$J$2:$J$500, 0),
       MATCH("Capacity", Input!$D$1:$AC$1, 0)),IF(_xlpm.Result="","",_xlpm.Result))</f>
        <v>#N/A</v>
      </c>
      <c r="R461" s="51"/>
      <c r="S461" s="51"/>
      <c r="T461" s="51" t="str" cm="1">
        <f t="array" ref="T461">IFERROR(_xlfn.IFS(
R461="","",
--R461&lt;55,"Battery Defect",
--R461&lt;=69,"Battery D",
--R461&lt;=80,"Battery C",
--R461&gt;80,""
),"")</f>
        <v/>
      </c>
      <c r="U461" s="51" t="str" cm="1">
        <f t="array" ref="U461">IFERROR(_xlfn.IFS(
S461="","",
--S461&lt;55,"Battery Defect",
--S461&lt;=69,"Battery D",
--S461&lt;=80,"Battery C",
--S461&gt;80,""
),"")</f>
        <v/>
      </c>
      <c r="V461" s="51"/>
      <c r="W461" s="51"/>
      <c r="X461" s="51"/>
      <c r="Y461" s="51"/>
      <c r="Z461" s="51"/>
      <c r="AA461" s="51"/>
      <c r="AB461" s="51"/>
      <c r="AC461" s="51"/>
      <c r="AD461" s="32" t="str">
        <f t="shared" si="21"/>
        <v/>
      </c>
      <c r="AE461" s="32"/>
      <c r="AF461" s="32"/>
      <c r="AG461" s="32"/>
      <c r="AH461" s="32"/>
      <c r="AI461" s="32"/>
      <c r="AJ461" s="32"/>
      <c r="AK461" s="32"/>
      <c r="AL461" s="32"/>
    </row>
    <row r="462" spans="1:38">
      <c r="A462" s="32" t="str">
        <f>_xlfn.TEXTJOIN("",TRUE,_xlfn.XLOOKUP(B462,Input!J:J,Input!G:G,"",0,1),_xlfn.XLOOKUP(B462,Input!J:J,Input!H:H,"",0,1))</f>
        <v/>
      </c>
      <c r="B462" s="32"/>
      <c r="C462" s="51">
        <f>_xlfn.XLOOKUP(B462,Input!J:J,Input!F:F)</f>
        <v>0</v>
      </c>
      <c r="D462" s="32">
        <f>_xlfn.XLOOKUP(C462,Models!H:H,Models!G:G,C462)</f>
        <v>0</v>
      </c>
      <c r="E462" s="32">
        <f>_xlfn.XLOOKUP(B462,Input!J:J,Input!E:E)</f>
        <v>0</v>
      </c>
      <c r="F462" s="32">
        <f>IF(E462="LENOVO",_xlfn.XLOOKUP(B462,Input!J:J,Input!K:K),_xlfn.XLOOKUP(B462,Input!J:J,Input!L:L))</f>
        <v>0</v>
      </c>
      <c r="G462" s="32"/>
      <c r="H462" s="32"/>
      <c r="I462" s="32"/>
      <c r="J462" s="51" t="e">
        <f>INDEX(Input!$D$2:$AC$500,
       MATCH(B462, Input!$J$2:$J$500, 0),
       MATCH("Total Memory", Input!$D$1:$AC$1, 0))</f>
        <v>#N/A</v>
      </c>
      <c r="K462" s="51"/>
      <c r="L462" s="51" t="str" cm="1">
        <f t="array" ref="L462">IFERROR(_xlfn.FILTERXML("&lt;t&gt;&lt;s&gt;" &amp; SUBSTITUTE(K462," / ","&lt;/s&gt;&lt;s&gt;") &amp; "&lt;/s&gt;&lt;/t&gt;","(//s[contains(.,'DDR')])[1]"),"")</f>
        <v/>
      </c>
      <c r="M462" s="32" t="e">
        <f t="shared" si="23"/>
        <v>#N/A</v>
      </c>
      <c r="N462" s="51" t="e">
        <f>INDEX(Input!$D$2:$AC$500,
       MATCH(B462, Input!$J$2:$J$500, 0),
       MATCH("Disk Interface Type", Input!$D$1:$AC$1, 0))</f>
        <v>#N/A</v>
      </c>
      <c r="O462" s="51" t="str" cm="1">
        <f t="array" ref="O462">IFERROR(_xlfn.TEXTJOIN(", ", TRUE, _xlfn._xlws.FILTER(
    INDEX(Input!$D$2:$AC$500,,MATCH("Disk Capacity",Input!$D$1:$AC$1,0)),
    Input!$J$2:$J$500=B462
)), "")</f>
        <v/>
      </c>
      <c r="P462" s="32" t="e">
        <f t="shared" si="22"/>
        <v>#N/A</v>
      </c>
      <c r="Q462" s="51" t="e">
        <f>_xlfn.LET(_xlpm.Result,INDEX(Input!$D$2:$AC$500,
       MATCH(B462, Input!$J$2:$J$500, 0),
       MATCH("Capacity", Input!$D$1:$AC$1, 0)),IF(_xlpm.Result="","",_xlpm.Result))</f>
        <v>#N/A</v>
      </c>
      <c r="R462" s="51"/>
      <c r="S462" s="51"/>
      <c r="T462" s="51" t="str" cm="1">
        <f t="array" ref="T462">IFERROR(_xlfn.IFS(
R462="","",
--R462&lt;55,"Battery Defect",
--R462&lt;=69,"Battery D",
--R462&lt;=80,"Battery C",
--R462&gt;80,""
),"")</f>
        <v/>
      </c>
      <c r="U462" s="51" t="str" cm="1">
        <f t="array" ref="U462">IFERROR(_xlfn.IFS(
S462="","",
--S462&lt;55,"Battery Defect",
--S462&lt;=69,"Battery D",
--S462&lt;=80,"Battery C",
--S462&gt;80,""
),"")</f>
        <v/>
      </c>
      <c r="V462" s="51"/>
      <c r="W462" s="51"/>
      <c r="X462" s="51"/>
      <c r="Y462" s="51"/>
      <c r="Z462" s="51"/>
      <c r="AA462" s="51"/>
      <c r="AB462" s="51"/>
      <c r="AC462" s="51"/>
      <c r="AD462" s="32" t="str">
        <f t="shared" si="21"/>
        <v/>
      </c>
      <c r="AE462" s="32"/>
      <c r="AF462" s="32"/>
      <c r="AG462" s="32"/>
      <c r="AH462" s="32"/>
      <c r="AI462" s="32"/>
      <c r="AJ462" s="32"/>
      <c r="AK462" s="32"/>
      <c r="AL462" s="32"/>
    </row>
    <row r="463" spans="1:38">
      <c r="A463" s="32" t="str">
        <f>_xlfn.TEXTJOIN("",TRUE,_xlfn.XLOOKUP(B463,Input!J:J,Input!G:G,"",0,1),_xlfn.XLOOKUP(B463,Input!J:J,Input!H:H,"",0,1))</f>
        <v/>
      </c>
      <c r="B463" s="32"/>
      <c r="C463" s="51">
        <f>_xlfn.XLOOKUP(B463,Input!J:J,Input!F:F)</f>
        <v>0</v>
      </c>
      <c r="D463" s="32">
        <f>_xlfn.XLOOKUP(C463,Models!H:H,Models!G:G,C463)</f>
        <v>0</v>
      </c>
      <c r="E463" s="32">
        <f>_xlfn.XLOOKUP(B463,Input!J:J,Input!E:E)</f>
        <v>0</v>
      </c>
      <c r="F463" s="32">
        <f>IF(E463="LENOVO",_xlfn.XLOOKUP(B463,Input!J:J,Input!K:K),_xlfn.XLOOKUP(B463,Input!J:J,Input!L:L))</f>
        <v>0</v>
      </c>
      <c r="G463" s="32"/>
      <c r="H463" s="32"/>
      <c r="I463" s="32"/>
      <c r="J463" s="51" t="e">
        <f>INDEX(Input!$D$2:$AC$500,
       MATCH(B463, Input!$J$2:$J$500, 0),
       MATCH("Total Memory", Input!$D$1:$AC$1, 0))</f>
        <v>#N/A</v>
      </c>
      <c r="K463" s="51"/>
      <c r="L463" s="51" t="str" cm="1">
        <f t="array" ref="L463">IFERROR(_xlfn.FILTERXML("&lt;t&gt;&lt;s&gt;" &amp; SUBSTITUTE(K463," / ","&lt;/s&gt;&lt;s&gt;") &amp; "&lt;/s&gt;&lt;/t&gt;","(//s[contains(.,'DDR')])[1]"),"")</f>
        <v/>
      </c>
      <c r="M463" s="32" t="e">
        <f t="shared" si="23"/>
        <v>#N/A</v>
      </c>
      <c r="N463" s="51" t="e">
        <f>INDEX(Input!$D$2:$AC$500,
       MATCH(B463, Input!$J$2:$J$500, 0),
       MATCH("Disk Interface Type", Input!$D$1:$AC$1, 0))</f>
        <v>#N/A</v>
      </c>
      <c r="O463" s="51" t="str" cm="1">
        <f t="array" ref="O463">IFERROR(_xlfn.TEXTJOIN(", ", TRUE, _xlfn._xlws.FILTER(
    INDEX(Input!$D$2:$AC$500,,MATCH("Disk Capacity",Input!$D$1:$AC$1,0)),
    Input!$J$2:$J$500=B463
)), "")</f>
        <v/>
      </c>
      <c r="P463" s="32" t="e">
        <f t="shared" si="22"/>
        <v>#N/A</v>
      </c>
      <c r="Q463" s="51" t="e">
        <f>_xlfn.LET(_xlpm.Result,INDEX(Input!$D$2:$AC$500,
       MATCH(B463, Input!$J$2:$J$500, 0),
       MATCH("Capacity", Input!$D$1:$AC$1, 0)),IF(_xlpm.Result="","",_xlpm.Result))</f>
        <v>#N/A</v>
      </c>
      <c r="R463" s="51"/>
      <c r="S463" s="51"/>
      <c r="T463" s="51" t="str" cm="1">
        <f t="array" ref="T463">IFERROR(_xlfn.IFS(
R463="","",
--R463&lt;55,"Battery Defect",
--R463&lt;=69,"Battery D",
--R463&lt;=80,"Battery C",
--R463&gt;80,""
),"")</f>
        <v/>
      </c>
      <c r="U463" s="51" t="str" cm="1">
        <f t="array" ref="U463">IFERROR(_xlfn.IFS(
S463="","",
--S463&lt;55,"Battery Defect",
--S463&lt;=69,"Battery D",
--S463&lt;=80,"Battery C",
--S463&gt;80,""
),"")</f>
        <v/>
      </c>
      <c r="V463" s="51"/>
      <c r="W463" s="51"/>
      <c r="X463" s="51"/>
      <c r="Y463" s="51"/>
      <c r="Z463" s="51"/>
      <c r="AA463" s="51"/>
      <c r="AB463" s="51"/>
      <c r="AC463" s="51"/>
      <c r="AD463" s="32" t="str">
        <f t="shared" si="21"/>
        <v/>
      </c>
      <c r="AE463" s="32"/>
      <c r="AF463" s="32"/>
      <c r="AG463" s="32"/>
      <c r="AH463" s="32"/>
      <c r="AI463" s="32"/>
      <c r="AJ463" s="32"/>
      <c r="AK463" s="32"/>
      <c r="AL463" s="32"/>
    </row>
    <row r="464" spans="1:38">
      <c r="A464" s="32" t="str">
        <f>_xlfn.TEXTJOIN("",TRUE,_xlfn.XLOOKUP(B464,Input!J:J,Input!G:G,"",0,1),_xlfn.XLOOKUP(B464,Input!J:J,Input!H:H,"",0,1))</f>
        <v/>
      </c>
      <c r="B464" s="32"/>
      <c r="C464" s="51">
        <f>_xlfn.XLOOKUP(B464,Input!J:J,Input!F:F)</f>
        <v>0</v>
      </c>
      <c r="D464" s="32">
        <f>_xlfn.XLOOKUP(C464,Models!H:H,Models!G:G,C464)</f>
        <v>0</v>
      </c>
      <c r="E464" s="32">
        <f>_xlfn.XLOOKUP(B464,Input!J:J,Input!E:E)</f>
        <v>0</v>
      </c>
      <c r="F464" s="32">
        <f>IF(E464="LENOVO",_xlfn.XLOOKUP(B464,Input!J:J,Input!K:K),_xlfn.XLOOKUP(B464,Input!J:J,Input!L:L))</f>
        <v>0</v>
      </c>
      <c r="G464" s="32"/>
      <c r="H464" s="32"/>
      <c r="I464" s="32"/>
      <c r="J464" s="51" t="e">
        <f>INDEX(Input!$D$2:$AC$500,
       MATCH(B464, Input!$J$2:$J$500, 0),
       MATCH("Total Memory", Input!$D$1:$AC$1, 0))</f>
        <v>#N/A</v>
      </c>
      <c r="K464" s="51"/>
      <c r="L464" s="51" t="str" cm="1">
        <f t="array" ref="L464">IFERROR(_xlfn.FILTERXML("&lt;t&gt;&lt;s&gt;" &amp; SUBSTITUTE(K464," / ","&lt;/s&gt;&lt;s&gt;") &amp; "&lt;/s&gt;&lt;/t&gt;","(//s[contains(.,'DDR')])[1]"),"")</f>
        <v/>
      </c>
      <c r="M464" s="32" t="e">
        <f t="shared" si="23"/>
        <v>#N/A</v>
      </c>
      <c r="N464" s="51" t="e">
        <f>INDEX(Input!$D$2:$AC$500,
       MATCH(B464, Input!$J$2:$J$500, 0),
       MATCH("Disk Interface Type", Input!$D$1:$AC$1, 0))</f>
        <v>#N/A</v>
      </c>
      <c r="O464" s="51" t="str" cm="1">
        <f t="array" ref="O464">IFERROR(_xlfn.TEXTJOIN(", ", TRUE, _xlfn._xlws.FILTER(
    INDEX(Input!$D$2:$AC$500,,MATCH("Disk Capacity",Input!$D$1:$AC$1,0)),
    Input!$J$2:$J$500=B464
)), "")</f>
        <v/>
      </c>
      <c r="P464" s="32" t="e">
        <f t="shared" si="22"/>
        <v>#N/A</v>
      </c>
      <c r="Q464" s="51" t="e">
        <f>_xlfn.LET(_xlpm.Result,INDEX(Input!$D$2:$AC$500,
       MATCH(B464, Input!$J$2:$J$500, 0),
       MATCH("Capacity", Input!$D$1:$AC$1, 0)),IF(_xlpm.Result="","",_xlpm.Result))</f>
        <v>#N/A</v>
      </c>
      <c r="R464" s="51"/>
      <c r="S464" s="51"/>
      <c r="T464" s="51" t="str" cm="1">
        <f t="array" ref="T464">IFERROR(_xlfn.IFS(
R464="","",
--R464&lt;55,"Battery Defect",
--R464&lt;=69,"Battery D",
--R464&lt;=80,"Battery C",
--R464&gt;80,""
),"")</f>
        <v/>
      </c>
      <c r="U464" s="51" t="str" cm="1">
        <f t="array" ref="U464">IFERROR(_xlfn.IFS(
S464="","",
--S464&lt;55,"Battery Defect",
--S464&lt;=69,"Battery D",
--S464&lt;=80,"Battery C",
--S464&gt;80,""
),"")</f>
        <v/>
      </c>
      <c r="V464" s="51"/>
      <c r="W464" s="51"/>
      <c r="X464" s="51"/>
      <c r="Y464" s="51"/>
      <c r="Z464" s="51"/>
      <c r="AA464" s="51"/>
      <c r="AB464" s="51"/>
      <c r="AC464" s="51"/>
      <c r="AD464" s="32" t="str">
        <f t="shared" si="21"/>
        <v/>
      </c>
      <c r="AE464" s="32"/>
      <c r="AF464" s="32"/>
      <c r="AG464" s="32"/>
      <c r="AH464" s="32"/>
      <c r="AI464" s="32"/>
      <c r="AJ464" s="32"/>
      <c r="AK464" s="32"/>
      <c r="AL464" s="32"/>
    </row>
    <row r="465" spans="1:38">
      <c r="A465" s="32" t="str">
        <f>_xlfn.TEXTJOIN("",TRUE,_xlfn.XLOOKUP(B465,Input!J:J,Input!G:G,"",0,1),_xlfn.XLOOKUP(B465,Input!J:J,Input!H:H,"",0,1))</f>
        <v/>
      </c>
      <c r="B465" s="32"/>
      <c r="C465" s="51">
        <f>_xlfn.XLOOKUP(B465,Input!J:J,Input!F:F)</f>
        <v>0</v>
      </c>
      <c r="D465" s="32">
        <f>_xlfn.XLOOKUP(C465,Models!H:H,Models!G:G,C465)</f>
        <v>0</v>
      </c>
      <c r="E465" s="32">
        <f>_xlfn.XLOOKUP(B465,Input!J:J,Input!E:E)</f>
        <v>0</v>
      </c>
      <c r="F465" s="32">
        <f>IF(E465="LENOVO",_xlfn.XLOOKUP(B465,Input!J:J,Input!K:K),_xlfn.XLOOKUP(B465,Input!J:J,Input!L:L))</f>
        <v>0</v>
      </c>
      <c r="G465" s="32"/>
      <c r="H465" s="32"/>
      <c r="I465" s="32"/>
      <c r="J465" s="51" t="e">
        <f>INDEX(Input!$D$2:$AC$500,
       MATCH(B465, Input!$J$2:$J$500, 0),
       MATCH("Total Memory", Input!$D$1:$AC$1, 0))</f>
        <v>#N/A</v>
      </c>
      <c r="K465" s="51"/>
      <c r="L465" s="51" t="str" cm="1">
        <f t="array" ref="L465">IFERROR(_xlfn.FILTERXML("&lt;t&gt;&lt;s&gt;" &amp; SUBSTITUTE(K465," / ","&lt;/s&gt;&lt;s&gt;") &amp; "&lt;/s&gt;&lt;/t&gt;","(//s[contains(.,'DDR')])[1]"),"")</f>
        <v/>
      </c>
      <c r="M465" s="32" t="e">
        <f t="shared" si="23"/>
        <v>#N/A</v>
      </c>
      <c r="N465" s="51" t="e">
        <f>INDEX(Input!$D$2:$AC$500,
       MATCH(B465, Input!$J$2:$J$500, 0),
       MATCH("Disk Interface Type", Input!$D$1:$AC$1, 0))</f>
        <v>#N/A</v>
      </c>
      <c r="O465" s="51" t="str" cm="1">
        <f t="array" ref="O465">IFERROR(_xlfn.TEXTJOIN(", ", TRUE, _xlfn._xlws.FILTER(
    INDEX(Input!$D$2:$AC$500,,MATCH("Disk Capacity",Input!$D$1:$AC$1,0)),
    Input!$J$2:$J$500=B465
)), "")</f>
        <v/>
      </c>
      <c r="P465" s="32" t="e">
        <f t="shared" si="22"/>
        <v>#N/A</v>
      </c>
      <c r="Q465" s="51" t="e">
        <f>_xlfn.LET(_xlpm.Result,INDEX(Input!$D$2:$AC$500,
       MATCH(B465, Input!$J$2:$J$500, 0),
       MATCH("Capacity", Input!$D$1:$AC$1, 0)),IF(_xlpm.Result="","",_xlpm.Result))</f>
        <v>#N/A</v>
      </c>
      <c r="R465" s="51"/>
      <c r="S465" s="51"/>
      <c r="T465" s="51" t="str" cm="1">
        <f t="array" ref="T465">IFERROR(_xlfn.IFS(
R465="","",
--R465&lt;55,"Battery Defect",
--R465&lt;=69,"Battery D",
--R465&lt;=80,"Battery C",
--R465&gt;80,""
),"")</f>
        <v/>
      </c>
      <c r="U465" s="51" t="str" cm="1">
        <f t="array" ref="U465">IFERROR(_xlfn.IFS(
S465="","",
--S465&lt;55,"Battery Defect",
--S465&lt;=69,"Battery D",
--S465&lt;=80,"Battery C",
--S465&gt;80,""
),"")</f>
        <v/>
      </c>
      <c r="V465" s="51"/>
      <c r="W465" s="51"/>
      <c r="X465" s="51"/>
      <c r="Y465" s="51"/>
      <c r="Z465" s="51"/>
      <c r="AA465" s="51"/>
      <c r="AB465" s="51"/>
      <c r="AC465" s="51"/>
      <c r="AD465" s="32" t="str">
        <f t="shared" si="21"/>
        <v/>
      </c>
      <c r="AE465" s="32"/>
      <c r="AF465" s="32"/>
      <c r="AG465" s="32"/>
      <c r="AH465" s="32"/>
      <c r="AI465" s="32"/>
      <c r="AJ465" s="32"/>
      <c r="AK465" s="32"/>
      <c r="AL465" s="32"/>
    </row>
    <row r="466" spans="1:38">
      <c r="A466" s="32" t="str">
        <f>_xlfn.TEXTJOIN("",TRUE,_xlfn.XLOOKUP(B466,Input!J:J,Input!G:G,"",0,1),_xlfn.XLOOKUP(B466,Input!J:J,Input!H:H,"",0,1))</f>
        <v/>
      </c>
      <c r="B466" s="32"/>
      <c r="C466" s="51">
        <f>_xlfn.XLOOKUP(B466,Input!J:J,Input!F:F)</f>
        <v>0</v>
      </c>
      <c r="D466" s="32">
        <f>_xlfn.XLOOKUP(C466,Models!H:H,Models!G:G,C466)</f>
        <v>0</v>
      </c>
      <c r="E466" s="32">
        <f>_xlfn.XLOOKUP(B466,Input!J:J,Input!E:E)</f>
        <v>0</v>
      </c>
      <c r="F466" s="32">
        <f>IF(E466="LENOVO",_xlfn.XLOOKUP(B466,Input!J:J,Input!K:K),_xlfn.XLOOKUP(B466,Input!J:J,Input!L:L))</f>
        <v>0</v>
      </c>
      <c r="G466" s="32"/>
      <c r="H466" s="32"/>
      <c r="I466" s="32"/>
      <c r="J466" s="51" t="e">
        <f>INDEX(Input!$D$2:$AC$500,
       MATCH(B466, Input!$J$2:$J$500, 0),
       MATCH("Total Memory", Input!$D$1:$AC$1, 0))</f>
        <v>#N/A</v>
      </c>
      <c r="K466" s="51"/>
      <c r="L466" s="51" t="str" cm="1">
        <f t="array" ref="L466">IFERROR(_xlfn.FILTERXML("&lt;t&gt;&lt;s&gt;" &amp; SUBSTITUTE(K466," / ","&lt;/s&gt;&lt;s&gt;") &amp; "&lt;/s&gt;&lt;/t&gt;","(//s[contains(.,'DDR')])[1]"),"")</f>
        <v/>
      </c>
      <c r="M466" s="32" t="e">
        <f t="shared" si="23"/>
        <v>#N/A</v>
      </c>
      <c r="N466" s="51" t="e">
        <f>INDEX(Input!$D$2:$AC$500,
       MATCH(B466, Input!$J$2:$J$500, 0),
       MATCH("Disk Interface Type", Input!$D$1:$AC$1, 0))</f>
        <v>#N/A</v>
      </c>
      <c r="O466" s="51" t="str" cm="1">
        <f t="array" ref="O466">IFERROR(_xlfn.TEXTJOIN(", ", TRUE, _xlfn._xlws.FILTER(
    INDEX(Input!$D$2:$AC$500,,MATCH("Disk Capacity",Input!$D$1:$AC$1,0)),
    Input!$J$2:$J$500=B466
)), "")</f>
        <v/>
      </c>
      <c r="P466" s="32" t="e">
        <f t="shared" si="22"/>
        <v>#N/A</v>
      </c>
      <c r="Q466" s="51" t="e">
        <f>_xlfn.LET(_xlpm.Result,INDEX(Input!$D$2:$AC$500,
       MATCH(B466, Input!$J$2:$J$500, 0),
       MATCH("Capacity", Input!$D$1:$AC$1, 0)),IF(_xlpm.Result="","",_xlpm.Result))</f>
        <v>#N/A</v>
      </c>
      <c r="R466" s="51"/>
      <c r="S466" s="51"/>
      <c r="T466" s="51" t="str" cm="1">
        <f t="array" ref="T466">IFERROR(_xlfn.IFS(
R466="","",
--R466&lt;55,"Battery Defect",
--R466&lt;=69,"Battery D",
--R466&lt;=80,"Battery C",
--R466&gt;80,""
),"")</f>
        <v/>
      </c>
      <c r="U466" s="51" t="str" cm="1">
        <f t="array" ref="U466">IFERROR(_xlfn.IFS(
S466="","",
--S466&lt;55,"Battery Defect",
--S466&lt;=69,"Battery D",
--S466&lt;=80,"Battery C",
--S466&gt;80,""
),"")</f>
        <v/>
      </c>
      <c r="V466" s="51"/>
      <c r="W466" s="51"/>
      <c r="X466" s="51"/>
      <c r="Y466" s="51"/>
      <c r="Z466" s="51"/>
      <c r="AA466" s="51"/>
      <c r="AB466" s="51"/>
      <c r="AC466" s="51"/>
      <c r="AD466" s="32" t="str">
        <f t="shared" si="21"/>
        <v/>
      </c>
      <c r="AE466" s="32"/>
      <c r="AF466" s="32"/>
      <c r="AG466" s="32"/>
      <c r="AH466" s="32"/>
      <c r="AI466" s="32"/>
      <c r="AJ466" s="32"/>
      <c r="AK466" s="32"/>
      <c r="AL466" s="32"/>
    </row>
    <row r="467" spans="1:38">
      <c r="A467" s="32" t="str">
        <f>_xlfn.TEXTJOIN("",TRUE,_xlfn.XLOOKUP(B467,Input!J:J,Input!G:G,"",0,1),_xlfn.XLOOKUP(B467,Input!J:J,Input!H:H,"",0,1))</f>
        <v/>
      </c>
      <c r="B467" s="32"/>
      <c r="C467" s="51">
        <f>_xlfn.XLOOKUP(B467,Input!J:J,Input!F:F)</f>
        <v>0</v>
      </c>
      <c r="D467" s="32">
        <f>_xlfn.XLOOKUP(C467,Models!H:H,Models!G:G,C467)</f>
        <v>0</v>
      </c>
      <c r="E467" s="32">
        <f>_xlfn.XLOOKUP(B467,Input!J:J,Input!E:E)</f>
        <v>0</v>
      </c>
      <c r="F467" s="32">
        <f>IF(E467="LENOVO",_xlfn.XLOOKUP(B467,Input!J:J,Input!K:K),_xlfn.XLOOKUP(B467,Input!J:J,Input!L:L))</f>
        <v>0</v>
      </c>
      <c r="G467" s="32"/>
      <c r="H467" s="32"/>
      <c r="I467" s="32"/>
      <c r="J467" s="51" t="e">
        <f>INDEX(Input!$D$2:$AC$500,
       MATCH(B467, Input!$J$2:$J$500, 0),
       MATCH("Total Memory", Input!$D$1:$AC$1, 0))</f>
        <v>#N/A</v>
      </c>
      <c r="K467" s="51"/>
      <c r="L467" s="51" t="str" cm="1">
        <f t="array" ref="L467">IFERROR(_xlfn.FILTERXML("&lt;t&gt;&lt;s&gt;" &amp; SUBSTITUTE(K467," / ","&lt;/s&gt;&lt;s&gt;") &amp; "&lt;/s&gt;&lt;/t&gt;","(//s[contains(.,'DDR')])[1]"),"")</f>
        <v/>
      </c>
      <c r="M467" s="32" t="e">
        <f t="shared" si="23"/>
        <v>#N/A</v>
      </c>
      <c r="N467" s="51" t="e">
        <f>INDEX(Input!$D$2:$AC$500,
       MATCH(B467, Input!$J$2:$J$500, 0),
       MATCH("Disk Interface Type", Input!$D$1:$AC$1, 0))</f>
        <v>#N/A</v>
      </c>
      <c r="O467" s="51" t="str" cm="1">
        <f t="array" ref="O467">IFERROR(_xlfn.TEXTJOIN(", ", TRUE, _xlfn._xlws.FILTER(
    INDEX(Input!$D$2:$AC$500,,MATCH("Disk Capacity",Input!$D$1:$AC$1,0)),
    Input!$J$2:$J$500=B467
)), "")</f>
        <v/>
      </c>
      <c r="P467" s="32" t="e">
        <f t="shared" si="22"/>
        <v>#N/A</v>
      </c>
      <c r="Q467" s="51" t="e">
        <f>_xlfn.LET(_xlpm.Result,INDEX(Input!$D$2:$AC$500,
       MATCH(B467, Input!$J$2:$J$500, 0),
       MATCH("Capacity", Input!$D$1:$AC$1, 0)),IF(_xlpm.Result="","",_xlpm.Result))</f>
        <v>#N/A</v>
      </c>
      <c r="R467" s="51"/>
      <c r="S467" s="51"/>
      <c r="T467" s="51" t="str" cm="1">
        <f t="array" ref="T467">IFERROR(_xlfn.IFS(
R467="","",
--R467&lt;55,"Battery Defect",
--R467&lt;=69,"Battery D",
--R467&lt;=80,"Battery C",
--R467&gt;80,""
),"")</f>
        <v/>
      </c>
      <c r="U467" s="51" t="str" cm="1">
        <f t="array" ref="U467">IFERROR(_xlfn.IFS(
S467="","",
--S467&lt;55,"Battery Defect",
--S467&lt;=69,"Battery D",
--S467&lt;=80,"Battery C",
--S467&gt;80,""
),"")</f>
        <v/>
      </c>
      <c r="V467" s="51"/>
      <c r="W467" s="51"/>
      <c r="X467" s="51"/>
      <c r="Y467" s="51"/>
      <c r="Z467" s="51"/>
      <c r="AA467" s="51"/>
      <c r="AB467" s="51"/>
      <c r="AC467" s="51"/>
      <c r="AD467" s="32" t="str">
        <f t="shared" si="21"/>
        <v/>
      </c>
      <c r="AE467" s="32"/>
      <c r="AF467" s="32"/>
      <c r="AG467" s="32"/>
      <c r="AH467" s="32"/>
      <c r="AI467" s="32"/>
      <c r="AJ467" s="32"/>
      <c r="AK467" s="32"/>
      <c r="AL467" s="32"/>
    </row>
    <row r="468" spans="1:38">
      <c r="A468" s="32" t="str">
        <f>_xlfn.TEXTJOIN("",TRUE,_xlfn.XLOOKUP(B468,Input!J:J,Input!G:G,"",0,1),_xlfn.XLOOKUP(B468,Input!J:J,Input!H:H,"",0,1))</f>
        <v/>
      </c>
      <c r="B468" s="32"/>
      <c r="C468" s="51">
        <f>_xlfn.XLOOKUP(B468,Input!J:J,Input!F:F)</f>
        <v>0</v>
      </c>
      <c r="D468" s="32">
        <f>_xlfn.XLOOKUP(C468,Models!H:H,Models!G:G,C468)</f>
        <v>0</v>
      </c>
      <c r="E468" s="32">
        <f>_xlfn.XLOOKUP(B468,Input!J:J,Input!E:E)</f>
        <v>0</v>
      </c>
      <c r="F468" s="32">
        <f>IF(E468="LENOVO",_xlfn.XLOOKUP(B468,Input!J:J,Input!K:K),_xlfn.XLOOKUP(B468,Input!J:J,Input!L:L))</f>
        <v>0</v>
      </c>
      <c r="G468" s="32"/>
      <c r="H468" s="32"/>
      <c r="I468" s="32"/>
      <c r="J468" s="51" t="e">
        <f>INDEX(Input!$D$2:$AC$500,
       MATCH(B468, Input!$J$2:$J$500, 0),
       MATCH("Total Memory", Input!$D$1:$AC$1, 0))</f>
        <v>#N/A</v>
      </c>
      <c r="K468" s="51"/>
      <c r="L468" s="51" t="str" cm="1">
        <f t="array" ref="L468">IFERROR(_xlfn.FILTERXML("&lt;t&gt;&lt;s&gt;" &amp; SUBSTITUTE(K468," / ","&lt;/s&gt;&lt;s&gt;") &amp; "&lt;/s&gt;&lt;/t&gt;","(//s[contains(.,'DDR')])[1]"),"")</f>
        <v/>
      </c>
      <c r="M468" s="32" t="e">
        <f t="shared" si="23"/>
        <v>#N/A</v>
      </c>
      <c r="N468" s="51" t="e">
        <f>INDEX(Input!$D$2:$AC$500,
       MATCH(B468, Input!$J$2:$J$500, 0),
       MATCH("Disk Interface Type", Input!$D$1:$AC$1, 0))</f>
        <v>#N/A</v>
      </c>
      <c r="O468" s="51" t="str" cm="1">
        <f t="array" ref="O468">IFERROR(_xlfn.TEXTJOIN(", ", TRUE, _xlfn._xlws.FILTER(
    INDEX(Input!$D$2:$AC$500,,MATCH("Disk Capacity",Input!$D$1:$AC$1,0)),
    Input!$J$2:$J$500=B468
)), "")</f>
        <v/>
      </c>
      <c r="P468" s="32" t="e">
        <f t="shared" si="22"/>
        <v>#N/A</v>
      </c>
      <c r="Q468" s="51" t="e">
        <f>_xlfn.LET(_xlpm.Result,INDEX(Input!$D$2:$AC$500,
       MATCH(B468, Input!$J$2:$J$500, 0),
       MATCH("Capacity", Input!$D$1:$AC$1, 0)),IF(_xlpm.Result="","",_xlpm.Result))</f>
        <v>#N/A</v>
      </c>
      <c r="R468" s="51"/>
      <c r="S468" s="51"/>
      <c r="T468" s="51" t="str" cm="1">
        <f t="array" ref="T468">IFERROR(_xlfn.IFS(
R468="","",
--R468&lt;55,"Battery Defect",
--R468&lt;=69,"Battery D",
--R468&lt;=80,"Battery C",
--R468&gt;80,""
),"")</f>
        <v/>
      </c>
      <c r="U468" s="51" t="str" cm="1">
        <f t="array" ref="U468">IFERROR(_xlfn.IFS(
S468="","",
--S468&lt;55,"Battery Defect",
--S468&lt;=69,"Battery D",
--S468&lt;=80,"Battery C",
--S468&gt;80,""
),"")</f>
        <v/>
      </c>
      <c r="V468" s="51"/>
      <c r="W468" s="51"/>
      <c r="X468" s="51"/>
      <c r="Y468" s="51"/>
      <c r="Z468" s="51"/>
      <c r="AA468" s="51"/>
      <c r="AB468" s="51"/>
      <c r="AC468" s="51"/>
      <c r="AD468" s="32" t="str">
        <f t="shared" si="21"/>
        <v/>
      </c>
      <c r="AE468" s="32"/>
      <c r="AF468" s="32"/>
      <c r="AG468" s="32"/>
      <c r="AH468" s="32"/>
      <c r="AI468" s="32"/>
      <c r="AJ468" s="32"/>
      <c r="AK468" s="32"/>
      <c r="AL468" s="32"/>
    </row>
    <row r="469" spans="1:38">
      <c r="A469" s="32" t="str">
        <f>_xlfn.TEXTJOIN("",TRUE,_xlfn.XLOOKUP(B469,Input!J:J,Input!G:G,"",0,1),_xlfn.XLOOKUP(B469,Input!J:J,Input!H:H,"",0,1))</f>
        <v/>
      </c>
      <c r="B469" s="32"/>
      <c r="C469" s="51">
        <f>_xlfn.XLOOKUP(B469,Input!J:J,Input!F:F)</f>
        <v>0</v>
      </c>
      <c r="D469" s="32">
        <f>_xlfn.XLOOKUP(C469,Models!H:H,Models!G:G,C469)</f>
        <v>0</v>
      </c>
      <c r="E469" s="32">
        <f>_xlfn.XLOOKUP(B469,Input!J:J,Input!E:E)</f>
        <v>0</v>
      </c>
      <c r="F469" s="32">
        <f>IF(E469="LENOVO",_xlfn.XLOOKUP(B469,Input!J:J,Input!K:K),_xlfn.XLOOKUP(B469,Input!J:J,Input!L:L))</f>
        <v>0</v>
      </c>
      <c r="G469" s="32"/>
      <c r="H469" s="32"/>
      <c r="I469" s="32"/>
      <c r="J469" s="51" t="e">
        <f>INDEX(Input!$D$2:$AC$500,
       MATCH(B469, Input!$J$2:$J$500, 0),
       MATCH("Total Memory", Input!$D$1:$AC$1, 0))</f>
        <v>#N/A</v>
      </c>
      <c r="K469" s="51"/>
      <c r="L469" s="51" t="str" cm="1">
        <f t="array" ref="L469">IFERROR(_xlfn.FILTERXML("&lt;t&gt;&lt;s&gt;" &amp; SUBSTITUTE(K469," / ","&lt;/s&gt;&lt;s&gt;") &amp; "&lt;/s&gt;&lt;/t&gt;","(//s[contains(.,'DDR')])[1]"),"")</f>
        <v/>
      </c>
      <c r="M469" s="32" t="e">
        <f t="shared" si="23"/>
        <v>#N/A</v>
      </c>
      <c r="N469" s="51" t="e">
        <f>INDEX(Input!$D$2:$AC$500,
       MATCH(B469, Input!$J$2:$J$500, 0),
       MATCH("Disk Interface Type", Input!$D$1:$AC$1, 0))</f>
        <v>#N/A</v>
      </c>
      <c r="O469" s="51" t="str" cm="1">
        <f t="array" ref="O469">IFERROR(_xlfn.TEXTJOIN(", ", TRUE, _xlfn._xlws.FILTER(
    INDEX(Input!$D$2:$AC$500,,MATCH("Disk Capacity",Input!$D$1:$AC$1,0)),
    Input!$J$2:$J$500=B469
)), "")</f>
        <v/>
      </c>
      <c r="P469" s="32" t="e">
        <f t="shared" si="22"/>
        <v>#N/A</v>
      </c>
      <c r="Q469" s="51" t="e">
        <f>_xlfn.LET(_xlpm.Result,INDEX(Input!$D$2:$AC$500,
       MATCH(B469, Input!$J$2:$J$500, 0),
       MATCH("Capacity", Input!$D$1:$AC$1, 0)),IF(_xlpm.Result="","",_xlpm.Result))</f>
        <v>#N/A</v>
      </c>
      <c r="R469" s="51"/>
      <c r="S469" s="51"/>
      <c r="T469" s="51" t="str" cm="1">
        <f t="array" ref="T469">IFERROR(_xlfn.IFS(
R469="","",
--R469&lt;55,"Battery Defect",
--R469&lt;=69,"Battery D",
--R469&lt;=80,"Battery C",
--R469&gt;80,""
),"")</f>
        <v/>
      </c>
      <c r="U469" s="51" t="str" cm="1">
        <f t="array" ref="U469">IFERROR(_xlfn.IFS(
S469="","",
--S469&lt;55,"Battery Defect",
--S469&lt;=69,"Battery D",
--S469&lt;=80,"Battery C",
--S469&gt;80,""
),"")</f>
        <v/>
      </c>
      <c r="V469" s="51"/>
      <c r="W469" s="51"/>
      <c r="X469" s="51"/>
      <c r="Y469" s="51"/>
      <c r="Z469" s="51"/>
      <c r="AA469" s="51"/>
      <c r="AB469" s="51"/>
      <c r="AC469" s="51"/>
      <c r="AD469" s="32" t="str">
        <f t="shared" si="21"/>
        <v/>
      </c>
      <c r="AE469" s="32"/>
      <c r="AF469" s="32"/>
      <c r="AG469" s="32"/>
      <c r="AH469" s="32"/>
      <c r="AI469" s="32"/>
      <c r="AJ469" s="32"/>
      <c r="AK469" s="32"/>
      <c r="AL469" s="32"/>
    </row>
    <row r="470" spans="1:38">
      <c r="A470" s="32" t="str">
        <f>_xlfn.TEXTJOIN("",TRUE,_xlfn.XLOOKUP(B470,Input!J:J,Input!G:G,"",0,1),_xlfn.XLOOKUP(B470,Input!J:J,Input!H:H,"",0,1))</f>
        <v/>
      </c>
      <c r="B470" s="32"/>
      <c r="C470" s="51">
        <f>_xlfn.XLOOKUP(B470,Input!J:J,Input!F:F)</f>
        <v>0</v>
      </c>
      <c r="D470" s="32">
        <f>_xlfn.XLOOKUP(C470,Models!H:H,Models!G:G,C470)</f>
        <v>0</v>
      </c>
      <c r="E470" s="32">
        <f>_xlfn.XLOOKUP(B470,Input!J:J,Input!E:E)</f>
        <v>0</v>
      </c>
      <c r="F470" s="32">
        <f>IF(E470="LENOVO",_xlfn.XLOOKUP(B470,Input!J:J,Input!K:K),_xlfn.XLOOKUP(B470,Input!J:J,Input!L:L))</f>
        <v>0</v>
      </c>
      <c r="G470" s="32"/>
      <c r="H470" s="32"/>
      <c r="I470" s="32"/>
      <c r="J470" s="51" t="e">
        <f>INDEX(Input!$D$2:$AC$500,
       MATCH(B470, Input!$J$2:$J$500, 0),
       MATCH("Total Memory", Input!$D$1:$AC$1, 0))</f>
        <v>#N/A</v>
      </c>
      <c r="K470" s="51"/>
      <c r="L470" s="51" t="str" cm="1">
        <f t="array" ref="L470">IFERROR(_xlfn.FILTERXML("&lt;t&gt;&lt;s&gt;" &amp; SUBSTITUTE(K470," / ","&lt;/s&gt;&lt;s&gt;") &amp; "&lt;/s&gt;&lt;/t&gt;","(//s[contains(.,'DDR')])[1]"),"")</f>
        <v/>
      </c>
      <c r="M470" s="32" t="e">
        <f t="shared" si="23"/>
        <v>#N/A</v>
      </c>
      <c r="N470" s="51" t="e">
        <f>INDEX(Input!$D$2:$AC$500,
       MATCH(B470, Input!$J$2:$J$500, 0),
       MATCH("Disk Interface Type", Input!$D$1:$AC$1, 0))</f>
        <v>#N/A</v>
      </c>
      <c r="O470" s="51" t="str" cm="1">
        <f t="array" ref="O470">IFERROR(_xlfn.TEXTJOIN(", ", TRUE, _xlfn._xlws.FILTER(
    INDEX(Input!$D$2:$AC$500,,MATCH("Disk Capacity",Input!$D$1:$AC$1,0)),
    Input!$J$2:$J$500=B470
)), "")</f>
        <v/>
      </c>
      <c r="P470" s="32" t="e">
        <f t="shared" si="22"/>
        <v>#N/A</v>
      </c>
      <c r="Q470" s="51" t="e">
        <f>_xlfn.LET(_xlpm.Result,INDEX(Input!$D$2:$AC$500,
       MATCH(B470, Input!$J$2:$J$500, 0),
       MATCH("Capacity", Input!$D$1:$AC$1, 0)),IF(_xlpm.Result="","",_xlpm.Result))</f>
        <v>#N/A</v>
      </c>
      <c r="R470" s="51"/>
      <c r="S470" s="51"/>
      <c r="T470" s="51" t="str" cm="1">
        <f t="array" ref="T470">IFERROR(_xlfn.IFS(
R470="","",
--R470&lt;55,"Battery Defect",
--R470&lt;=69,"Battery D",
--R470&lt;=80,"Battery C",
--R470&gt;80,""
),"")</f>
        <v/>
      </c>
      <c r="U470" s="51" t="str" cm="1">
        <f t="array" ref="U470">IFERROR(_xlfn.IFS(
S470="","",
--S470&lt;55,"Battery Defect",
--S470&lt;=69,"Battery D",
--S470&lt;=80,"Battery C",
--S470&gt;80,""
),"")</f>
        <v/>
      </c>
      <c r="V470" s="51"/>
      <c r="W470" s="51"/>
      <c r="X470" s="51"/>
      <c r="Y470" s="51"/>
      <c r="Z470" s="51"/>
      <c r="AA470" s="51"/>
      <c r="AB470" s="51"/>
      <c r="AC470" s="51"/>
      <c r="AD470" s="32" t="str">
        <f t="shared" si="21"/>
        <v/>
      </c>
      <c r="AE470" s="32"/>
      <c r="AF470" s="32"/>
      <c r="AG470" s="32"/>
      <c r="AH470" s="32"/>
      <c r="AI470" s="32"/>
      <c r="AJ470" s="32"/>
      <c r="AK470" s="32"/>
      <c r="AL470" s="32"/>
    </row>
    <row r="471" spans="1:38">
      <c r="A471" s="32" t="str">
        <f>_xlfn.TEXTJOIN("",TRUE,_xlfn.XLOOKUP(B471,Input!J:J,Input!G:G,"",0,1),_xlfn.XLOOKUP(B471,Input!J:J,Input!H:H,"",0,1))</f>
        <v/>
      </c>
      <c r="B471" s="32"/>
      <c r="C471" s="51">
        <f>_xlfn.XLOOKUP(B471,Input!J:J,Input!F:F)</f>
        <v>0</v>
      </c>
      <c r="D471" s="32">
        <f>_xlfn.XLOOKUP(C471,Models!H:H,Models!G:G,C471)</f>
        <v>0</v>
      </c>
      <c r="E471" s="32">
        <f>_xlfn.XLOOKUP(B471,Input!J:J,Input!E:E)</f>
        <v>0</v>
      </c>
      <c r="F471" s="32">
        <f>IF(E471="LENOVO",_xlfn.XLOOKUP(B471,Input!J:J,Input!K:K),_xlfn.XLOOKUP(B471,Input!J:J,Input!L:L))</f>
        <v>0</v>
      </c>
      <c r="G471" s="32"/>
      <c r="H471" s="32"/>
      <c r="I471" s="32"/>
      <c r="J471" s="51" t="e">
        <f>INDEX(Input!$D$2:$AC$500,
       MATCH(B471, Input!$J$2:$J$500, 0),
       MATCH("Total Memory", Input!$D$1:$AC$1, 0))</f>
        <v>#N/A</v>
      </c>
      <c r="K471" s="51"/>
      <c r="L471" s="51" t="str" cm="1">
        <f t="array" ref="L471">IFERROR(_xlfn.FILTERXML("&lt;t&gt;&lt;s&gt;" &amp; SUBSTITUTE(K471," / ","&lt;/s&gt;&lt;s&gt;") &amp; "&lt;/s&gt;&lt;/t&gt;","(//s[contains(.,'DDR')])[1]"),"")</f>
        <v/>
      </c>
      <c r="M471" s="32" t="e">
        <f t="shared" si="23"/>
        <v>#N/A</v>
      </c>
      <c r="N471" s="51" t="e">
        <f>INDEX(Input!$D$2:$AC$500,
       MATCH(B471, Input!$J$2:$J$500, 0),
       MATCH("Disk Interface Type", Input!$D$1:$AC$1, 0))</f>
        <v>#N/A</v>
      </c>
      <c r="O471" s="51" t="str" cm="1">
        <f t="array" ref="O471">IFERROR(_xlfn.TEXTJOIN(", ", TRUE, _xlfn._xlws.FILTER(
    INDEX(Input!$D$2:$AC$500,,MATCH("Disk Capacity",Input!$D$1:$AC$1,0)),
    Input!$J$2:$J$500=B471
)), "")</f>
        <v/>
      </c>
      <c r="P471" s="32" t="e">
        <f t="shared" si="22"/>
        <v>#N/A</v>
      </c>
      <c r="Q471" s="51" t="e">
        <f>_xlfn.LET(_xlpm.Result,INDEX(Input!$D$2:$AC$500,
       MATCH(B471, Input!$J$2:$J$500, 0),
       MATCH("Capacity", Input!$D$1:$AC$1, 0)),IF(_xlpm.Result="","",_xlpm.Result))</f>
        <v>#N/A</v>
      </c>
      <c r="R471" s="51"/>
      <c r="S471" s="51"/>
      <c r="T471" s="51" t="str" cm="1">
        <f t="array" ref="T471">IFERROR(_xlfn.IFS(
R471="","",
--R471&lt;55,"Battery Defect",
--R471&lt;=69,"Battery D",
--R471&lt;=80,"Battery C",
--R471&gt;80,""
),"")</f>
        <v/>
      </c>
      <c r="U471" s="51" t="str" cm="1">
        <f t="array" ref="U471">IFERROR(_xlfn.IFS(
S471="","",
--S471&lt;55,"Battery Defect",
--S471&lt;=69,"Battery D",
--S471&lt;=80,"Battery C",
--S471&gt;80,""
),"")</f>
        <v/>
      </c>
      <c r="V471" s="51"/>
      <c r="W471" s="51"/>
      <c r="X471" s="51"/>
      <c r="Y471" s="51"/>
      <c r="Z471" s="51"/>
      <c r="AA471" s="51"/>
      <c r="AB471" s="51"/>
      <c r="AC471" s="51"/>
      <c r="AD471" s="32" t="str">
        <f t="shared" si="21"/>
        <v/>
      </c>
      <c r="AE471" s="32"/>
      <c r="AF471" s="32"/>
      <c r="AG471" s="32"/>
      <c r="AH471" s="32"/>
      <c r="AI471" s="32"/>
      <c r="AJ471" s="32"/>
      <c r="AK471" s="32"/>
      <c r="AL471" s="32"/>
    </row>
    <row r="472" spans="1:38">
      <c r="A472" s="32" t="str">
        <f>_xlfn.TEXTJOIN("",TRUE,_xlfn.XLOOKUP(B472,Input!J:J,Input!G:G,"",0,1),_xlfn.XLOOKUP(B472,Input!J:J,Input!H:H,"",0,1))</f>
        <v/>
      </c>
      <c r="B472" s="32"/>
      <c r="C472" s="51">
        <f>_xlfn.XLOOKUP(B472,Input!J:J,Input!F:F)</f>
        <v>0</v>
      </c>
      <c r="D472" s="32">
        <f>_xlfn.XLOOKUP(C472,Models!H:H,Models!G:G,C472)</f>
        <v>0</v>
      </c>
      <c r="E472" s="32">
        <f>_xlfn.XLOOKUP(B472,Input!J:J,Input!E:E)</f>
        <v>0</v>
      </c>
      <c r="F472" s="32">
        <f>IF(E472="LENOVO",_xlfn.XLOOKUP(B472,Input!J:J,Input!K:K),_xlfn.XLOOKUP(B472,Input!J:J,Input!L:L))</f>
        <v>0</v>
      </c>
      <c r="G472" s="32"/>
      <c r="H472" s="32"/>
      <c r="I472" s="32"/>
      <c r="J472" s="51" t="e">
        <f>INDEX(Input!$D$2:$AC$500,
       MATCH(B472, Input!$J$2:$J$500, 0),
       MATCH("Total Memory", Input!$D$1:$AC$1, 0))</f>
        <v>#N/A</v>
      </c>
      <c r="K472" s="51"/>
      <c r="L472" s="51" t="str" cm="1">
        <f t="array" ref="L472">IFERROR(_xlfn.FILTERXML("&lt;t&gt;&lt;s&gt;" &amp; SUBSTITUTE(K472," / ","&lt;/s&gt;&lt;s&gt;") &amp; "&lt;/s&gt;&lt;/t&gt;","(//s[contains(.,'DDR')])[1]"),"")</f>
        <v/>
      </c>
      <c r="M472" s="32" t="e">
        <f t="shared" si="23"/>
        <v>#N/A</v>
      </c>
      <c r="N472" s="51" t="e">
        <f>INDEX(Input!$D$2:$AC$500,
       MATCH(B472, Input!$J$2:$J$500, 0),
       MATCH("Disk Interface Type", Input!$D$1:$AC$1, 0))</f>
        <v>#N/A</v>
      </c>
      <c r="O472" s="51" t="str" cm="1">
        <f t="array" ref="O472">IFERROR(_xlfn.TEXTJOIN(", ", TRUE, _xlfn._xlws.FILTER(
    INDEX(Input!$D$2:$AC$500,,MATCH("Disk Capacity",Input!$D$1:$AC$1,0)),
    Input!$J$2:$J$500=B472
)), "")</f>
        <v/>
      </c>
      <c r="P472" s="32" t="e">
        <f t="shared" si="22"/>
        <v>#N/A</v>
      </c>
      <c r="Q472" s="51" t="e">
        <f>_xlfn.LET(_xlpm.Result,INDEX(Input!$D$2:$AC$500,
       MATCH(B472, Input!$J$2:$J$500, 0),
       MATCH("Capacity", Input!$D$1:$AC$1, 0)),IF(_xlpm.Result="","",_xlpm.Result))</f>
        <v>#N/A</v>
      </c>
      <c r="R472" s="51"/>
      <c r="S472" s="51"/>
      <c r="T472" s="51" t="str" cm="1">
        <f t="array" ref="T472">IFERROR(_xlfn.IFS(
R472="","",
--R472&lt;55,"Battery Defect",
--R472&lt;=69,"Battery D",
--R472&lt;=80,"Battery C",
--R472&gt;80,""
),"")</f>
        <v/>
      </c>
      <c r="U472" s="51" t="str" cm="1">
        <f t="array" ref="U472">IFERROR(_xlfn.IFS(
S472="","",
--S472&lt;55,"Battery Defect",
--S472&lt;=69,"Battery D",
--S472&lt;=80,"Battery C",
--S472&gt;80,""
),"")</f>
        <v/>
      </c>
      <c r="V472" s="51"/>
      <c r="W472" s="51"/>
      <c r="X472" s="51"/>
      <c r="Y472" s="51"/>
      <c r="Z472" s="51"/>
      <c r="AA472" s="51"/>
      <c r="AB472" s="51"/>
      <c r="AC472" s="51"/>
      <c r="AD472" s="32" t="str">
        <f t="shared" si="21"/>
        <v/>
      </c>
      <c r="AE472" s="32"/>
      <c r="AF472" s="32"/>
      <c r="AG472" s="32"/>
      <c r="AH472" s="32"/>
      <c r="AI472" s="32"/>
      <c r="AJ472" s="32"/>
      <c r="AK472" s="32"/>
      <c r="AL472" s="32"/>
    </row>
    <row r="473" spans="1:38">
      <c r="A473" s="32" t="str">
        <f>_xlfn.TEXTJOIN("",TRUE,_xlfn.XLOOKUP(B473,Input!J:J,Input!G:G,"",0,1),_xlfn.XLOOKUP(B473,Input!J:J,Input!H:H,"",0,1))</f>
        <v/>
      </c>
      <c r="B473" s="32"/>
      <c r="C473" s="51">
        <f>_xlfn.XLOOKUP(B473,Input!J:J,Input!F:F)</f>
        <v>0</v>
      </c>
      <c r="D473" s="32">
        <f>_xlfn.XLOOKUP(C473,Models!H:H,Models!G:G,C473)</f>
        <v>0</v>
      </c>
      <c r="E473" s="32">
        <f>_xlfn.XLOOKUP(B473,Input!J:J,Input!E:E)</f>
        <v>0</v>
      </c>
      <c r="F473" s="32">
        <f>IF(E473="LENOVO",_xlfn.XLOOKUP(B473,Input!J:J,Input!K:K),_xlfn.XLOOKUP(B473,Input!J:J,Input!L:L))</f>
        <v>0</v>
      </c>
      <c r="G473" s="32"/>
      <c r="H473" s="32"/>
      <c r="I473" s="32"/>
      <c r="J473" s="51" t="e">
        <f>INDEX(Input!$D$2:$AC$500,
       MATCH(B473, Input!$J$2:$J$500, 0),
       MATCH("Total Memory", Input!$D$1:$AC$1, 0))</f>
        <v>#N/A</v>
      </c>
      <c r="K473" s="51"/>
      <c r="L473" s="51" t="str" cm="1">
        <f t="array" ref="L473">IFERROR(_xlfn.FILTERXML("&lt;t&gt;&lt;s&gt;" &amp; SUBSTITUTE(K473," / ","&lt;/s&gt;&lt;s&gt;") &amp; "&lt;/s&gt;&lt;/t&gt;","(//s[contains(.,'DDR')])[1]"),"")</f>
        <v/>
      </c>
      <c r="M473" s="32" t="e">
        <f t="shared" si="23"/>
        <v>#N/A</v>
      </c>
      <c r="N473" s="51" t="e">
        <f>INDEX(Input!$D$2:$AC$500,
       MATCH(B473, Input!$J$2:$J$500, 0),
       MATCH("Disk Interface Type", Input!$D$1:$AC$1, 0))</f>
        <v>#N/A</v>
      </c>
      <c r="O473" s="51" t="str" cm="1">
        <f t="array" ref="O473">IFERROR(_xlfn.TEXTJOIN(", ", TRUE, _xlfn._xlws.FILTER(
    INDEX(Input!$D$2:$AC$500,,MATCH("Disk Capacity",Input!$D$1:$AC$1,0)),
    Input!$J$2:$J$500=B473
)), "")</f>
        <v/>
      </c>
      <c r="P473" s="32" t="e">
        <f t="shared" si="22"/>
        <v>#N/A</v>
      </c>
      <c r="Q473" s="51" t="e">
        <f>_xlfn.LET(_xlpm.Result,INDEX(Input!$D$2:$AC$500,
       MATCH(B473, Input!$J$2:$J$500, 0),
       MATCH("Capacity", Input!$D$1:$AC$1, 0)),IF(_xlpm.Result="","",_xlpm.Result))</f>
        <v>#N/A</v>
      </c>
      <c r="R473" s="51"/>
      <c r="S473" s="51"/>
      <c r="T473" s="51" t="str" cm="1">
        <f t="array" ref="T473">IFERROR(_xlfn.IFS(
R473="","",
--R473&lt;55,"Battery Defect",
--R473&lt;=69,"Battery D",
--R473&lt;=80,"Battery C",
--R473&gt;80,""
),"")</f>
        <v/>
      </c>
      <c r="U473" s="51" t="str" cm="1">
        <f t="array" ref="U473">IFERROR(_xlfn.IFS(
S473="","",
--S473&lt;55,"Battery Defect",
--S473&lt;=69,"Battery D",
--S473&lt;=80,"Battery C",
--S473&gt;80,""
),"")</f>
        <v/>
      </c>
      <c r="V473" s="51"/>
      <c r="W473" s="51"/>
      <c r="X473" s="51"/>
      <c r="Y473" s="51"/>
      <c r="Z473" s="51"/>
      <c r="AA473" s="51"/>
      <c r="AB473" s="51"/>
      <c r="AC473" s="51"/>
      <c r="AD473" s="32" t="str">
        <f t="shared" si="21"/>
        <v/>
      </c>
      <c r="AE473" s="32"/>
      <c r="AF473" s="32"/>
      <c r="AG473" s="32"/>
      <c r="AH473" s="32"/>
      <c r="AI473" s="32"/>
      <c r="AJ473" s="32"/>
      <c r="AK473" s="32"/>
      <c r="AL473" s="32"/>
    </row>
    <row r="474" spans="1:38">
      <c r="A474" s="32" t="str">
        <f>_xlfn.TEXTJOIN("",TRUE,_xlfn.XLOOKUP(B474,Input!J:J,Input!G:G,"",0,1),_xlfn.XLOOKUP(B474,Input!J:J,Input!H:H,"",0,1))</f>
        <v/>
      </c>
      <c r="B474" s="32"/>
      <c r="C474" s="51">
        <f>_xlfn.XLOOKUP(B474,Input!J:J,Input!F:F)</f>
        <v>0</v>
      </c>
      <c r="D474" s="32">
        <f>_xlfn.XLOOKUP(C474,Models!H:H,Models!G:G,C474)</f>
        <v>0</v>
      </c>
      <c r="E474" s="32">
        <f>_xlfn.XLOOKUP(B474,Input!J:J,Input!E:E)</f>
        <v>0</v>
      </c>
      <c r="F474" s="32">
        <f>IF(E474="LENOVO",_xlfn.XLOOKUP(B474,Input!J:J,Input!K:K),_xlfn.XLOOKUP(B474,Input!J:J,Input!L:L))</f>
        <v>0</v>
      </c>
      <c r="G474" s="32"/>
      <c r="H474" s="32"/>
      <c r="I474" s="32"/>
      <c r="J474" s="51" t="e">
        <f>INDEX(Input!$D$2:$AC$500,
       MATCH(B474, Input!$J$2:$J$500, 0),
       MATCH("Total Memory", Input!$D$1:$AC$1, 0))</f>
        <v>#N/A</v>
      </c>
      <c r="K474" s="51"/>
      <c r="L474" s="51" t="str" cm="1">
        <f t="array" ref="L474">IFERROR(_xlfn.FILTERXML("&lt;t&gt;&lt;s&gt;" &amp; SUBSTITUTE(K474," / ","&lt;/s&gt;&lt;s&gt;") &amp; "&lt;/s&gt;&lt;/t&gt;","(//s[contains(.,'DDR')])[1]"),"")</f>
        <v/>
      </c>
      <c r="M474" s="32" t="e">
        <f t="shared" si="23"/>
        <v>#N/A</v>
      </c>
      <c r="N474" s="51" t="e">
        <f>INDEX(Input!$D$2:$AC$500,
       MATCH(B474, Input!$J$2:$J$500, 0),
       MATCH("Disk Interface Type", Input!$D$1:$AC$1, 0))</f>
        <v>#N/A</v>
      </c>
      <c r="O474" s="51" t="str" cm="1">
        <f t="array" ref="O474">IFERROR(_xlfn.TEXTJOIN(", ", TRUE, _xlfn._xlws.FILTER(
    INDEX(Input!$D$2:$AC$500,,MATCH("Disk Capacity",Input!$D$1:$AC$1,0)),
    Input!$J$2:$J$500=B474
)), "")</f>
        <v/>
      </c>
      <c r="P474" s="32" t="e">
        <f t="shared" si="22"/>
        <v>#N/A</v>
      </c>
      <c r="Q474" s="51" t="e">
        <f>_xlfn.LET(_xlpm.Result,INDEX(Input!$D$2:$AC$500,
       MATCH(B474, Input!$J$2:$J$500, 0),
       MATCH("Capacity", Input!$D$1:$AC$1, 0)),IF(_xlpm.Result="","",_xlpm.Result))</f>
        <v>#N/A</v>
      </c>
      <c r="R474" s="51"/>
      <c r="S474" s="51"/>
      <c r="T474" s="51" t="str" cm="1">
        <f t="array" ref="T474">IFERROR(_xlfn.IFS(
R474="","",
--R474&lt;55,"Battery Defect",
--R474&lt;=69,"Battery D",
--R474&lt;=80,"Battery C",
--R474&gt;80,""
),"")</f>
        <v/>
      </c>
      <c r="U474" s="51" t="str" cm="1">
        <f t="array" ref="U474">IFERROR(_xlfn.IFS(
S474="","",
--S474&lt;55,"Battery Defect",
--S474&lt;=69,"Battery D",
--S474&lt;=80,"Battery C",
--S474&gt;80,""
),"")</f>
        <v/>
      </c>
      <c r="V474" s="51"/>
      <c r="W474" s="51"/>
      <c r="X474" s="51"/>
      <c r="Y474" s="51"/>
      <c r="Z474" s="51"/>
      <c r="AA474" s="51"/>
      <c r="AB474" s="51"/>
      <c r="AC474" s="51"/>
      <c r="AD474" s="32" t="str">
        <f t="shared" si="21"/>
        <v/>
      </c>
      <c r="AE474" s="32"/>
      <c r="AF474" s="32"/>
      <c r="AG474" s="32"/>
      <c r="AH474" s="32"/>
      <c r="AI474" s="32"/>
      <c r="AJ474" s="32"/>
      <c r="AK474" s="32"/>
      <c r="AL474" s="32"/>
    </row>
    <row r="475" spans="1:38">
      <c r="A475" s="32" t="str">
        <f>_xlfn.TEXTJOIN("",TRUE,_xlfn.XLOOKUP(B475,Input!J:J,Input!G:G,"",0,1),_xlfn.XLOOKUP(B475,Input!J:J,Input!H:H,"",0,1))</f>
        <v/>
      </c>
      <c r="B475" s="32"/>
      <c r="C475" s="51">
        <f>_xlfn.XLOOKUP(B475,Input!J:J,Input!F:F)</f>
        <v>0</v>
      </c>
      <c r="D475" s="32">
        <f>_xlfn.XLOOKUP(C475,Models!H:H,Models!G:G,C475)</f>
        <v>0</v>
      </c>
      <c r="E475" s="32">
        <f>_xlfn.XLOOKUP(B475,Input!J:J,Input!E:E)</f>
        <v>0</v>
      </c>
      <c r="F475" s="32">
        <f>IF(E475="LENOVO",_xlfn.XLOOKUP(B475,Input!J:J,Input!K:K),_xlfn.XLOOKUP(B475,Input!J:J,Input!L:L))</f>
        <v>0</v>
      </c>
      <c r="G475" s="32"/>
      <c r="H475" s="32"/>
      <c r="I475" s="32"/>
      <c r="J475" s="51" t="e">
        <f>INDEX(Input!$D$2:$AC$500,
       MATCH(B475, Input!$J$2:$J$500, 0),
       MATCH("Total Memory", Input!$D$1:$AC$1, 0))</f>
        <v>#N/A</v>
      </c>
      <c r="K475" s="51"/>
      <c r="L475" s="51" t="str" cm="1">
        <f t="array" ref="L475">IFERROR(_xlfn.FILTERXML("&lt;t&gt;&lt;s&gt;" &amp; SUBSTITUTE(K475," / ","&lt;/s&gt;&lt;s&gt;") &amp; "&lt;/s&gt;&lt;/t&gt;","(//s[contains(.,'DDR')])[1]"),"")</f>
        <v/>
      </c>
      <c r="M475" s="32" t="e">
        <f t="shared" si="23"/>
        <v>#N/A</v>
      </c>
      <c r="N475" s="51" t="e">
        <f>INDEX(Input!$D$2:$AC$500,
       MATCH(B475, Input!$J$2:$J$500, 0),
       MATCH("Disk Interface Type", Input!$D$1:$AC$1, 0))</f>
        <v>#N/A</v>
      </c>
      <c r="O475" s="51" t="str" cm="1">
        <f t="array" ref="O475">IFERROR(_xlfn.TEXTJOIN(", ", TRUE, _xlfn._xlws.FILTER(
    INDEX(Input!$D$2:$AC$500,,MATCH("Disk Capacity",Input!$D$1:$AC$1,0)),
    Input!$J$2:$J$500=B475
)), "")</f>
        <v/>
      </c>
      <c r="P475" s="32" t="e">
        <f t="shared" si="22"/>
        <v>#N/A</v>
      </c>
      <c r="Q475" s="51" t="e">
        <f>_xlfn.LET(_xlpm.Result,INDEX(Input!$D$2:$AC$500,
       MATCH(B475, Input!$J$2:$J$500, 0),
       MATCH("Capacity", Input!$D$1:$AC$1, 0)),IF(_xlpm.Result="","",_xlpm.Result))</f>
        <v>#N/A</v>
      </c>
      <c r="R475" s="51"/>
      <c r="S475" s="51"/>
      <c r="T475" s="51" t="str" cm="1">
        <f t="array" ref="T475">IFERROR(_xlfn.IFS(
R475="","",
--R475&lt;55,"Battery Defect",
--R475&lt;=69,"Battery D",
--R475&lt;=80,"Battery C",
--R475&gt;80,""
),"")</f>
        <v/>
      </c>
      <c r="U475" s="51" t="str" cm="1">
        <f t="array" ref="U475">IFERROR(_xlfn.IFS(
S475="","",
--S475&lt;55,"Battery Defect",
--S475&lt;=69,"Battery D",
--S475&lt;=80,"Battery C",
--S475&gt;80,""
),"")</f>
        <v/>
      </c>
      <c r="V475" s="51"/>
      <c r="W475" s="51"/>
      <c r="X475" s="51"/>
      <c r="Y475" s="51"/>
      <c r="Z475" s="51"/>
      <c r="AA475" s="51"/>
      <c r="AB475" s="51"/>
      <c r="AC475" s="51"/>
      <c r="AD475" s="32" t="str">
        <f t="shared" si="21"/>
        <v/>
      </c>
      <c r="AE475" s="32"/>
      <c r="AF475" s="32"/>
      <c r="AG475" s="32"/>
      <c r="AH475" s="32"/>
      <c r="AI475" s="32"/>
      <c r="AJ475" s="32"/>
      <c r="AK475" s="32"/>
      <c r="AL475" s="32"/>
    </row>
    <row r="476" spans="1:38">
      <c r="A476" s="32" t="str">
        <f>_xlfn.TEXTJOIN("",TRUE,_xlfn.XLOOKUP(B476,Input!J:J,Input!G:G,"",0,1),_xlfn.XLOOKUP(B476,Input!J:J,Input!H:H,"",0,1))</f>
        <v/>
      </c>
      <c r="B476" s="32"/>
      <c r="C476" s="51">
        <f>_xlfn.XLOOKUP(B476,Input!J:J,Input!F:F)</f>
        <v>0</v>
      </c>
      <c r="D476" s="32">
        <f>_xlfn.XLOOKUP(C476,Models!H:H,Models!G:G,C476)</f>
        <v>0</v>
      </c>
      <c r="E476" s="32">
        <f>_xlfn.XLOOKUP(B476,Input!J:J,Input!E:E)</f>
        <v>0</v>
      </c>
      <c r="F476" s="32">
        <f>IF(E476="LENOVO",_xlfn.XLOOKUP(B476,Input!J:J,Input!K:K),_xlfn.XLOOKUP(B476,Input!J:J,Input!L:L))</f>
        <v>0</v>
      </c>
      <c r="G476" s="32"/>
      <c r="H476" s="32"/>
      <c r="I476" s="32"/>
      <c r="J476" s="51" t="e">
        <f>INDEX(Input!$D$2:$AC$500,
       MATCH(B476, Input!$J$2:$J$500, 0),
       MATCH("Total Memory", Input!$D$1:$AC$1, 0))</f>
        <v>#N/A</v>
      </c>
      <c r="K476" s="51"/>
      <c r="L476" s="51" t="str" cm="1">
        <f t="array" ref="L476">IFERROR(_xlfn.FILTERXML("&lt;t&gt;&lt;s&gt;" &amp; SUBSTITUTE(K476," / ","&lt;/s&gt;&lt;s&gt;") &amp; "&lt;/s&gt;&lt;/t&gt;","(//s[contains(.,'DDR')])[1]"),"")</f>
        <v/>
      </c>
      <c r="M476" s="32" t="e">
        <f t="shared" si="23"/>
        <v>#N/A</v>
      </c>
      <c r="N476" s="51" t="e">
        <f>INDEX(Input!$D$2:$AC$500,
       MATCH(B476, Input!$J$2:$J$500, 0),
       MATCH("Disk Interface Type", Input!$D$1:$AC$1, 0))</f>
        <v>#N/A</v>
      </c>
      <c r="O476" s="51" t="str" cm="1">
        <f t="array" ref="O476">IFERROR(_xlfn.TEXTJOIN(", ", TRUE, _xlfn._xlws.FILTER(
    INDEX(Input!$D$2:$AC$500,,MATCH("Disk Capacity",Input!$D$1:$AC$1,0)),
    Input!$J$2:$J$500=B476
)), "")</f>
        <v/>
      </c>
      <c r="P476" s="32" t="e">
        <f t="shared" si="22"/>
        <v>#N/A</v>
      </c>
      <c r="Q476" s="51" t="e">
        <f>_xlfn.LET(_xlpm.Result,INDEX(Input!$D$2:$AC$500,
       MATCH(B476, Input!$J$2:$J$500, 0),
       MATCH("Capacity", Input!$D$1:$AC$1, 0)),IF(_xlpm.Result="","",_xlpm.Result))</f>
        <v>#N/A</v>
      </c>
      <c r="R476" s="51"/>
      <c r="S476" s="51"/>
      <c r="T476" s="51" t="str" cm="1">
        <f t="array" ref="T476">IFERROR(_xlfn.IFS(
R476="","",
--R476&lt;55,"Battery Defect",
--R476&lt;=69,"Battery D",
--R476&lt;=80,"Battery C",
--R476&gt;80,""
),"")</f>
        <v/>
      </c>
      <c r="U476" s="51" t="str" cm="1">
        <f t="array" ref="U476">IFERROR(_xlfn.IFS(
S476="","",
--S476&lt;55,"Battery Defect",
--S476&lt;=69,"Battery D",
--S476&lt;=80,"Battery C",
--S476&gt;80,""
),"")</f>
        <v/>
      </c>
      <c r="V476" s="51"/>
      <c r="W476" s="51"/>
      <c r="X476" s="51"/>
      <c r="Y476" s="51"/>
      <c r="Z476" s="51"/>
      <c r="AA476" s="51"/>
      <c r="AB476" s="51"/>
      <c r="AC476" s="51"/>
      <c r="AD476" s="32" t="str">
        <f t="shared" si="21"/>
        <v/>
      </c>
      <c r="AE476" s="32"/>
      <c r="AF476" s="32"/>
      <c r="AG476" s="32"/>
      <c r="AH476" s="32"/>
      <c r="AI476" s="32"/>
      <c r="AJ476" s="32"/>
      <c r="AK476" s="32"/>
      <c r="AL476" s="32"/>
    </row>
    <row r="477" spans="1:38">
      <c r="A477" s="32" t="str">
        <f>_xlfn.TEXTJOIN("",TRUE,_xlfn.XLOOKUP(B477,Input!J:J,Input!G:G,"",0,1),_xlfn.XLOOKUP(B477,Input!J:J,Input!H:H,"",0,1))</f>
        <v/>
      </c>
      <c r="B477" s="32"/>
      <c r="C477" s="51">
        <f>_xlfn.XLOOKUP(B477,Input!J:J,Input!F:F)</f>
        <v>0</v>
      </c>
      <c r="D477" s="32">
        <f>_xlfn.XLOOKUP(C477,Models!H:H,Models!G:G,C477)</f>
        <v>0</v>
      </c>
      <c r="E477" s="32">
        <f>_xlfn.XLOOKUP(B477,Input!J:J,Input!E:E)</f>
        <v>0</v>
      </c>
      <c r="F477" s="32">
        <f>IF(E477="LENOVO",_xlfn.XLOOKUP(B477,Input!J:J,Input!K:K),_xlfn.XLOOKUP(B477,Input!J:J,Input!L:L))</f>
        <v>0</v>
      </c>
      <c r="G477" s="32"/>
      <c r="H477" s="32"/>
      <c r="I477" s="32"/>
      <c r="J477" s="51" t="e">
        <f>INDEX(Input!$D$2:$AC$500,
       MATCH(B477, Input!$J$2:$J$500, 0),
       MATCH("Total Memory", Input!$D$1:$AC$1, 0))</f>
        <v>#N/A</v>
      </c>
      <c r="K477" s="51"/>
      <c r="L477" s="51" t="str" cm="1">
        <f t="array" ref="L477">IFERROR(_xlfn.FILTERXML("&lt;t&gt;&lt;s&gt;" &amp; SUBSTITUTE(K477," / ","&lt;/s&gt;&lt;s&gt;") &amp; "&lt;/s&gt;&lt;/t&gt;","(//s[contains(.,'DDR')])[1]"),"")</f>
        <v/>
      </c>
      <c r="M477" s="32" t="e">
        <f t="shared" si="23"/>
        <v>#N/A</v>
      </c>
      <c r="N477" s="51" t="e">
        <f>INDEX(Input!$D$2:$AC$500,
       MATCH(B477, Input!$J$2:$J$500, 0),
       MATCH("Disk Interface Type", Input!$D$1:$AC$1, 0))</f>
        <v>#N/A</v>
      </c>
      <c r="O477" s="51" t="str" cm="1">
        <f t="array" ref="O477">IFERROR(_xlfn.TEXTJOIN(", ", TRUE, _xlfn._xlws.FILTER(
    INDEX(Input!$D$2:$AC$500,,MATCH("Disk Capacity",Input!$D$1:$AC$1,0)),
    Input!$J$2:$J$500=B477
)), "")</f>
        <v/>
      </c>
      <c r="P477" s="32" t="e">
        <f t="shared" si="22"/>
        <v>#N/A</v>
      </c>
      <c r="Q477" s="51" t="e">
        <f>_xlfn.LET(_xlpm.Result,INDEX(Input!$D$2:$AC$500,
       MATCH(B477, Input!$J$2:$J$500, 0),
       MATCH("Capacity", Input!$D$1:$AC$1, 0)),IF(_xlpm.Result="","",_xlpm.Result))</f>
        <v>#N/A</v>
      </c>
      <c r="R477" s="51"/>
      <c r="S477" s="51"/>
      <c r="T477" s="51" t="str" cm="1">
        <f t="array" ref="T477">IFERROR(_xlfn.IFS(
R477="","",
--R477&lt;55,"Battery Defect",
--R477&lt;=69,"Battery D",
--R477&lt;=80,"Battery C",
--R477&gt;80,""
),"")</f>
        <v/>
      </c>
      <c r="U477" s="51" t="str" cm="1">
        <f t="array" ref="U477">IFERROR(_xlfn.IFS(
S477="","",
--S477&lt;55,"Battery Defect",
--S477&lt;=69,"Battery D",
--S477&lt;=80,"Battery C",
--S477&gt;80,""
),"")</f>
        <v/>
      </c>
      <c r="V477" s="51"/>
      <c r="W477" s="51"/>
      <c r="X477" s="51"/>
      <c r="Y477" s="51"/>
      <c r="Z477" s="51"/>
      <c r="AA477" s="51"/>
      <c r="AB477" s="51"/>
      <c r="AC477" s="51"/>
      <c r="AD477" s="32" t="str">
        <f t="shared" si="21"/>
        <v/>
      </c>
      <c r="AE477" s="32"/>
      <c r="AF477" s="32"/>
      <c r="AG477" s="32"/>
      <c r="AH477" s="32"/>
      <c r="AI477" s="32"/>
      <c r="AJ477" s="32"/>
      <c r="AK477" s="32"/>
      <c r="AL477" s="32"/>
    </row>
    <row r="478" spans="1:38">
      <c r="A478" s="32" t="str">
        <f>_xlfn.TEXTJOIN("",TRUE,_xlfn.XLOOKUP(B478,Input!J:J,Input!G:G,"",0,1),_xlfn.XLOOKUP(B478,Input!J:J,Input!H:H,"",0,1))</f>
        <v/>
      </c>
      <c r="B478" s="32"/>
      <c r="C478" s="51">
        <f>_xlfn.XLOOKUP(B478,Input!J:J,Input!F:F)</f>
        <v>0</v>
      </c>
      <c r="D478" s="32">
        <f>_xlfn.XLOOKUP(C478,Models!H:H,Models!G:G,C478)</f>
        <v>0</v>
      </c>
      <c r="E478" s="32">
        <f>_xlfn.XLOOKUP(B478,Input!J:J,Input!E:E)</f>
        <v>0</v>
      </c>
      <c r="F478" s="32">
        <f>IF(E478="LENOVO",_xlfn.XLOOKUP(B478,Input!J:J,Input!K:K),_xlfn.XLOOKUP(B478,Input!J:J,Input!L:L))</f>
        <v>0</v>
      </c>
      <c r="G478" s="32"/>
      <c r="H478" s="32"/>
      <c r="I478" s="32"/>
      <c r="J478" s="51" t="e">
        <f>INDEX(Input!$D$2:$AC$500,
       MATCH(B478, Input!$J$2:$J$500, 0),
       MATCH("Total Memory", Input!$D$1:$AC$1, 0))</f>
        <v>#N/A</v>
      </c>
      <c r="K478" s="51"/>
      <c r="L478" s="51" t="str" cm="1">
        <f t="array" ref="L478">IFERROR(_xlfn.FILTERXML("&lt;t&gt;&lt;s&gt;" &amp; SUBSTITUTE(K478," / ","&lt;/s&gt;&lt;s&gt;") &amp; "&lt;/s&gt;&lt;/t&gt;","(//s[contains(.,'DDR')])[1]"),"")</f>
        <v/>
      </c>
      <c r="M478" s="32" t="e">
        <f t="shared" si="23"/>
        <v>#N/A</v>
      </c>
      <c r="N478" s="51" t="e">
        <f>INDEX(Input!$D$2:$AC$500,
       MATCH(B478, Input!$J$2:$J$500, 0),
       MATCH("Disk Interface Type", Input!$D$1:$AC$1, 0))</f>
        <v>#N/A</v>
      </c>
      <c r="O478" s="51" t="str" cm="1">
        <f t="array" ref="O478">IFERROR(_xlfn.TEXTJOIN(", ", TRUE, _xlfn._xlws.FILTER(
    INDEX(Input!$D$2:$AC$500,,MATCH("Disk Capacity",Input!$D$1:$AC$1,0)),
    Input!$J$2:$J$500=B478
)), "")</f>
        <v/>
      </c>
      <c r="P478" s="32" t="e">
        <f t="shared" si="22"/>
        <v>#N/A</v>
      </c>
      <c r="Q478" s="51" t="e">
        <f>_xlfn.LET(_xlpm.Result,INDEX(Input!$D$2:$AC$500,
       MATCH(B478, Input!$J$2:$J$500, 0),
       MATCH("Capacity", Input!$D$1:$AC$1, 0)),IF(_xlpm.Result="","",_xlpm.Result))</f>
        <v>#N/A</v>
      </c>
      <c r="R478" s="51"/>
      <c r="S478" s="51"/>
      <c r="T478" s="51" t="str" cm="1">
        <f t="array" ref="T478">IFERROR(_xlfn.IFS(
R478="","",
--R478&lt;55,"Battery Defect",
--R478&lt;=69,"Battery D",
--R478&lt;=80,"Battery C",
--R478&gt;80,""
),"")</f>
        <v/>
      </c>
      <c r="U478" s="51" t="str" cm="1">
        <f t="array" ref="U478">IFERROR(_xlfn.IFS(
S478="","",
--S478&lt;55,"Battery Defect",
--S478&lt;=69,"Battery D",
--S478&lt;=80,"Battery C",
--S478&gt;80,""
),"")</f>
        <v/>
      </c>
      <c r="V478" s="51"/>
      <c r="W478" s="51"/>
      <c r="X478" s="51"/>
      <c r="Y478" s="51"/>
      <c r="Z478" s="51"/>
      <c r="AA478" s="51"/>
      <c r="AB478" s="51"/>
      <c r="AC478" s="51"/>
      <c r="AD478" s="32" t="str">
        <f t="shared" si="21"/>
        <v/>
      </c>
      <c r="AE478" s="32"/>
      <c r="AF478" s="32"/>
      <c r="AG478" s="32"/>
      <c r="AH478" s="32"/>
      <c r="AI478" s="32"/>
      <c r="AJ478" s="32"/>
      <c r="AK478" s="32"/>
      <c r="AL478" s="32"/>
    </row>
    <row r="479" spans="1:38">
      <c r="A479" s="32" t="str">
        <f>_xlfn.TEXTJOIN("",TRUE,_xlfn.XLOOKUP(B479,Input!J:J,Input!G:G,"",0,1),_xlfn.XLOOKUP(B479,Input!J:J,Input!H:H,"",0,1))</f>
        <v/>
      </c>
      <c r="B479" s="32"/>
      <c r="C479" s="51">
        <f>_xlfn.XLOOKUP(B479,Input!J:J,Input!F:F)</f>
        <v>0</v>
      </c>
      <c r="D479" s="32">
        <f>_xlfn.XLOOKUP(C479,Models!H:H,Models!G:G,C479)</f>
        <v>0</v>
      </c>
      <c r="E479" s="32">
        <f>_xlfn.XLOOKUP(B479,Input!J:J,Input!E:E)</f>
        <v>0</v>
      </c>
      <c r="F479" s="32">
        <f>IF(E479="LENOVO",_xlfn.XLOOKUP(B479,Input!J:J,Input!K:K),_xlfn.XLOOKUP(B479,Input!J:J,Input!L:L))</f>
        <v>0</v>
      </c>
      <c r="G479" s="32"/>
      <c r="H479" s="32"/>
      <c r="I479" s="32"/>
      <c r="J479" s="51" t="e">
        <f>INDEX(Input!$D$2:$AC$500,
       MATCH(B479, Input!$J$2:$J$500, 0),
       MATCH("Total Memory", Input!$D$1:$AC$1, 0))</f>
        <v>#N/A</v>
      </c>
      <c r="K479" s="51"/>
      <c r="L479" s="51" t="str" cm="1">
        <f t="array" ref="L479">IFERROR(_xlfn.FILTERXML("&lt;t&gt;&lt;s&gt;" &amp; SUBSTITUTE(K479," / ","&lt;/s&gt;&lt;s&gt;") &amp; "&lt;/s&gt;&lt;/t&gt;","(//s[contains(.,'DDR')])[1]"),"")</f>
        <v/>
      </c>
      <c r="M479" s="32" t="e">
        <f t="shared" si="23"/>
        <v>#N/A</v>
      </c>
      <c r="N479" s="51" t="e">
        <f>INDEX(Input!$D$2:$AC$500,
       MATCH(B479, Input!$J$2:$J$500, 0),
       MATCH("Disk Interface Type", Input!$D$1:$AC$1, 0))</f>
        <v>#N/A</v>
      </c>
      <c r="O479" s="51" t="str" cm="1">
        <f t="array" ref="O479">IFERROR(_xlfn.TEXTJOIN(", ", TRUE, _xlfn._xlws.FILTER(
    INDEX(Input!$D$2:$AC$500,,MATCH("Disk Capacity",Input!$D$1:$AC$1,0)),
    Input!$J$2:$J$500=B479
)), "")</f>
        <v/>
      </c>
      <c r="P479" s="32" t="e">
        <f t="shared" si="22"/>
        <v>#N/A</v>
      </c>
      <c r="Q479" s="51" t="e">
        <f>_xlfn.LET(_xlpm.Result,INDEX(Input!$D$2:$AC$500,
       MATCH(B479, Input!$J$2:$J$500, 0),
       MATCH("Capacity", Input!$D$1:$AC$1, 0)),IF(_xlpm.Result="","",_xlpm.Result))</f>
        <v>#N/A</v>
      </c>
      <c r="R479" s="51"/>
      <c r="S479" s="51"/>
      <c r="T479" s="51" t="str" cm="1">
        <f t="array" ref="T479">IFERROR(_xlfn.IFS(
R479="","",
--R479&lt;55,"Battery Defect",
--R479&lt;=69,"Battery D",
--R479&lt;=80,"Battery C",
--R479&gt;80,""
),"")</f>
        <v/>
      </c>
      <c r="U479" s="51" t="str" cm="1">
        <f t="array" ref="U479">IFERROR(_xlfn.IFS(
S479="","",
--S479&lt;55,"Battery Defect",
--S479&lt;=69,"Battery D",
--S479&lt;=80,"Battery C",
--S479&gt;80,""
),"")</f>
        <v/>
      </c>
      <c r="V479" s="51"/>
      <c r="W479" s="51"/>
      <c r="X479" s="51"/>
      <c r="Y479" s="51"/>
      <c r="Z479" s="51"/>
      <c r="AA479" s="51"/>
      <c r="AB479" s="51"/>
      <c r="AC479" s="51"/>
      <c r="AD479" s="32" t="str">
        <f t="shared" si="21"/>
        <v/>
      </c>
      <c r="AE479" s="32"/>
      <c r="AF479" s="32"/>
      <c r="AG479" s="32"/>
      <c r="AH479" s="32"/>
      <c r="AI479" s="32"/>
      <c r="AJ479" s="32"/>
      <c r="AK479" s="32"/>
      <c r="AL479" s="32"/>
    </row>
    <row r="480" spans="1:38">
      <c r="A480" s="32" t="str">
        <f>_xlfn.TEXTJOIN("",TRUE,_xlfn.XLOOKUP(B480,Input!J:J,Input!G:G,"",0,1),_xlfn.XLOOKUP(B480,Input!J:J,Input!H:H,"",0,1))</f>
        <v/>
      </c>
      <c r="B480" s="32"/>
      <c r="C480" s="51">
        <f>_xlfn.XLOOKUP(B480,Input!J:J,Input!F:F)</f>
        <v>0</v>
      </c>
      <c r="D480" s="32">
        <f>_xlfn.XLOOKUP(C480,Models!H:H,Models!G:G,C480)</f>
        <v>0</v>
      </c>
      <c r="E480" s="32">
        <f>_xlfn.XLOOKUP(B480,Input!J:J,Input!E:E)</f>
        <v>0</v>
      </c>
      <c r="F480" s="32">
        <f>IF(E480="LENOVO",_xlfn.XLOOKUP(B480,Input!J:J,Input!K:K),_xlfn.XLOOKUP(B480,Input!J:J,Input!L:L))</f>
        <v>0</v>
      </c>
      <c r="G480" s="32"/>
      <c r="H480" s="32"/>
      <c r="I480" s="32"/>
      <c r="J480" s="51" t="e">
        <f>INDEX(Input!$D$2:$AC$500,
       MATCH(B480, Input!$J$2:$J$500, 0),
       MATCH("Total Memory", Input!$D$1:$AC$1, 0))</f>
        <v>#N/A</v>
      </c>
      <c r="K480" s="51"/>
      <c r="L480" s="51" t="str" cm="1">
        <f t="array" ref="L480">IFERROR(_xlfn.FILTERXML("&lt;t&gt;&lt;s&gt;" &amp; SUBSTITUTE(K480," / ","&lt;/s&gt;&lt;s&gt;") &amp; "&lt;/s&gt;&lt;/t&gt;","(//s[contains(.,'DDR')])[1]"),"")</f>
        <v/>
      </c>
      <c r="M480" s="32" t="e">
        <f t="shared" si="23"/>
        <v>#N/A</v>
      </c>
      <c r="N480" s="51" t="e">
        <f>INDEX(Input!$D$2:$AC$500,
       MATCH(B480, Input!$J$2:$J$500, 0),
       MATCH("Disk Interface Type", Input!$D$1:$AC$1, 0))</f>
        <v>#N/A</v>
      </c>
      <c r="O480" s="51" t="str" cm="1">
        <f t="array" ref="O480">IFERROR(_xlfn.TEXTJOIN(", ", TRUE, _xlfn._xlws.FILTER(
    INDEX(Input!$D$2:$AC$500,,MATCH("Disk Capacity",Input!$D$1:$AC$1,0)),
    Input!$J$2:$J$500=B480
)), "")</f>
        <v/>
      </c>
      <c r="P480" s="32" t="e">
        <f t="shared" si="22"/>
        <v>#N/A</v>
      </c>
      <c r="Q480" s="51" t="e">
        <f>_xlfn.LET(_xlpm.Result,INDEX(Input!$D$2:$AC$500,
       MATCH(B480, Input!$J$2:$J$500, 0),
       MATCH("Capacity", Input!$D$1:$AC$1, 0)),IF(_xlpm.Result="","",_xlpm.Result))</f>
        <v>#N/A</v>
      </c>
      <c r="R480" s="51"/>
      <c r="S480" s="51"/>
      <c r="T480" s="51" t="str" cm="1">
        <f t="array" ref="T480">IFERROR(_xlfn.IFS(
R480="","",
--R480&lt;55,"Battery Defect",
--R480&lt;=69,"Battery D",
--R480&lt;=80,"Battery C",
--R480&gt;80,""
),"")</f>
        <v/>
      </c>
      <c r="U480" s="51" t="str" cm="1">
        <f t="array" ref="U480">IFERROR(_xlfn.IFS(
S480="","",
--S480&lt;55,"Battery Defect",
--S480&lt;=69,"Battery D",
--S480&lt;=80,"Battery C",
--S480&gt;80,""
),"")</f>
        <v/>
      </c>
      <c r="V480" s="51"/>
      <c r="W480" s="51"/>
      <c r="X480" s="51"/>
      <c r="Y480" s="51"/>
      <c r="Z480" s="51"/>
      <c r="AA480" s="51"/>
      <c r="AB480" s="51"/>
      <c r="AC480" s="51"/>
      <c r="AD480" s="32" t="str">
        <f t="shared" si="21"/>
        <v/>
      </c>
      <c r="AE480" s="32"/>
      <c r="AF480" s="32"/>
      <c r="AG480" s="32"/>
      <c r="AH480" s="32"/>
      <c r="AI480" s="32"/>
      <c r="AJ480" s="32"/>
      <c r="AK480" s="32"/>
      <c r="AL480" s="32"/>
    </row>
    <row r="481" spans="1:38">
      <c r="A481" s="32" t="str">
        <f>_xlfn.TEXTJOIN("",TRUE,_xlfn.XLOOKUP(B481,Input!J:J,Input!G:G,"",0,1),_xlfn.XLOOKUP(B481,Input!J:J,Input!H:H,"",0,1))</f>
        <v/>
      </c>
      <c r="B481" s="32"/>
      <c r="C481" s="51">
        <f>_xlfn.XLOOKUP(B481,Input!J:J,Input!F:F)</f>
        <v>0</v>
      </c>
      <c r="D481" s="32">
        <f>_xlfn.XLOOKUP(C481,Models!H:H,Models!G:G,C481)</f>
        <v>0</v>
      </c>
      <c r="E481" s="32">
        <f>_xlfn.XLOOKUP(B481,Input!J:J,Input!E:E)</f>
        <v>0</v>
      </c>
      <c r="F481" s="32">
        <f>IF(E481="LENOVO",_xlfn.XLOOKUP(B481,Input!J:J,Input!K:K),_xlfn.XLOOKUP(B481,Input!J:J,Input!L:L))</f>
        <v>0</v>
      </c>
      <c r="G481" s="32"/>
      <c r="H481" s="32"/>
      <c r="I481" s="32"/>
      <c r="J481" s="51" t="e">
        <f>INDEX(Input!$D$2:$AC$500,
       MATCH(B481, Input!$J$2:$J$500, 0),
       MATCH("Total Memory", Input!$D$1:$AC$1, 0))</f>
        <v>#N/A</v>
      </c>
      <c r="K481" s="51"/>
      <c r="L481" s="51" t="str" cm="1">
        <f t="array" ref="L481">IFERROR(_xlfn.FILTERXML("&lt;t&gt;&lt;s&gt;" &amp; SUBSTITUTE(K481," / ","&lt;/s&gt;&lt;s&gt;") &amp; "&lt;/s&gt;&lt;/t&gt;","(//s[contains(.,'DDR')])[1]"),"")</f>
        <v/>
      </c>
      <c r="M481" s="32" t="e">
        <f t="shared" si="23"/>
        <v>#N/A</v>
      </c>
      <c r="N481" s="51" t="e">
        <f>INDEX(Input!$D$2:$AC$500,
       MATCH(B481, Input!$J$2:$J$500, 0),
       MATCH("Disk Interface Type", Input!$D$1:$AC$1, 0))</f>
        <v>#N/A</v>
      </c>
      <c r="O481" s="51" t="str" cm="1">
        <f t="array" ref="O481">IFERROR(_xlfn.TEXTJOIN(", ", TRUE, _xlfn._xlws.FILTER(
    INDEX(Input!$D$2:$AC$500,,MATCH("Disk Capacity",Input!$D$1:$AC$1,0)),
    Input!$J$2:$J$500=B481
)), "")</f>
        <v/>
      </c>
      <c r="P481" s="32" t="e">
        <f t="shared" si="22"/>
        <v>#N/A</v>
      </c>
      <c r="Q481" s="51" t="e">
        <f>_xlfn.LET(_xlpm.Result,INDEX(Input!$D$2:$AC$500,
       MATCH(B481, Input!$J$2:$J$500, 0),
       MATCH("Capacity", Input!$D$1:$AC$1, 0)),IF(_xlpm.Result="","",_xlpm.Result))</f>
        <v>#N/A</v>
      </c>
      <c r="R481" s="51"/>
      <c r="S481" s="51"/>
      <c r="T481" s="51" t="str" cm="1">
        <f t="array" ref="T481">IFERROR(_xlfn.IFS(
R481="","",
--R481&lt;55,"Battery Defect",
--R481&lt;=69,"Battery D",
--R481&lt;=80,"Battery C",
--R481&gt;80,""
),"")</f>
        <v/>
      </c>
      <c r="U481" s="51" t="str" cm="1">
        <f t="array" ref="U481">IFERROR(_xlfn.IFS(
S481="","",
--S481&lt;55,"Battery Defect",
--S481&lt;=69,"Battery D",
--S481&lt;=80,"Battery C",
--S481&gt;80,""
),"")</f>
        <v/>
      </c>
      <c r="V481" s="51"/>
      <c r="W481" s="51"/>
      <c r="X481" s="51"/>
      <c r="Y481" s="51"/>
      <c r="Z481" s="51"/>
      <c r="AA481" s="51"/>
      <c r="AB481" s="51"/>
      <c r="AC481" s="51"/>
      <c r="AD481" s="32" t="str">
        <f t="shared" si="21"/>
        <v/>
      </c>
      <c r="AE481" s="32"/>
      <c r="AF481" s="32"/>
      <c r="AG481" s="32"/>
      <c r="AH481" s="32"/>
      <c r="AI481" s="32"/>
      <c r="AJ481" s="32"/>
      <c r="AK481" s="32"/>
      <c r="AL481" s="32"/>
    </row>
    <row r="482" spans="1:38">
      <c r="A482" s="32" t="str">
        <f>_xlfn.TEXTJOIN("",TRUE,_xlfn.XLOOKUP(B482,Input!J:J,Input!G:G,"",0,1),_xlfn.XLOOKUP(B482,Input!J:J,Input!H:H,"",0,1))</f>
        <v/>
      </c>
      <c r="B482" s="32"/>
      <c r="C482" s="51">
        <f>_xlfn.XLOOKUP(B482,Input!J:J,Input!F:F)</f>
        <v>0</v>
      </c>
      <c r="D482" s="32">
        <f>_xlfn.XLOOKUP(C482,Models!H:H,Models!G:G,C482)</f>
        <v>0</v>
      </c>
      <c r="E482" s="32">
        <f>_xlfn.XLOOKUP(B482,Input!J:J,Input!E:E)</f>
        <v>0</v>
      </c>
      <c r="F482" s="32">
        <f>IF(E482="LENOVO",_xlfn.XLOOKUP(B482,Input!J:J,Input!K:K),_xlfn.XLOOKUP(B482,Input!J:J,Input!L:L))</f>
        <v>0</v>
      </c>
      <c r="G482" s="32"/>
      <c r="H482" s="32"/>
      <c r="I482" s="32"/>
      <c r="J482" s="51" t="e">
        <f>INDEX(Input!$D$2:$AC$500,
       MATCH(B482, Input!$J$2:$J$500, 0),
       MATCH("Total Memory", Input!$D$1:$AC$1, 0))</f>
        <v>#N/A</v>
      </c>
      <c r="K482" s="51"/>
      <c r="L482" s="51" t="str" cm="1">
        <f t="array" ref="L482">IFERROR(_xlfn.FILTERXML("&lt;t&gt;&lt;s&gt;" &amp; SUBSTITUTE(K482," / ","&lt;/s&gt;&lt;s&gt;") &amp; "&lt;/s&gt;&lt;/t&gt;","(//s[contains(.,'DDR')])[1]"),"")</f>
        <v/>
      </c>
      <c r="M482" s="32" t="e">
        <f t="shared" si="23"/>
        <v>#N/A</v>
      </c>
      <c r="N482" s="51" t="e">
        <f>INDEX(Input!$D$2:$AC$500,
       MATCH(B482, Input!$J$2:$J$500, 0),
       MATCH("Disk Interface Type", Input!$D$1:$AC$1, 0))</f>
        <v>#N/A</v>
      </c>
      <c r="O482" s="51" t="str" cm="1">
        <f t="array" ref="O482">IFERROR(_xlfn.TEXTJOIN(", ", TRUE, _xlfn._xlws.FILTER(
    INDEX(Input!$D$2:$AC$500,,MATCH("Disk Capacity",Input!$D$1:$AC$1,0)),
    Input!$J$2:$J$500=B482
)), "")</f>
        <v/>
      </c>
      <c r="P482" s="32" t="e">
        <f t="shared" si="22"/>
        <v>#N/A</v>
      </c>
      <c r="Q482" s="51" t="e">
        <f>_xlfn.LET(_xlpm.Result,INDEX(Input!$D$2:$AC$500,
       MATCH(B482, Input!$J$2:$J$500, 0),
       MATCH("Capacity", Input!$D$1:$AC$1, 0)),IF(_xlpm.Result="","",_xlpm.Result))</f>
        <v>#N/A</v>
      </c>
      <c r="R482" s="51"/>
      <c r="S482" s="51"/>
      <c r="T482" s="51" t="str" cm="1">
        <f t="array" ref="T482">IFERROR(_xlfn.IFS(
R482="","",
--R482&lt;55,"Battery Defect",
--R482&lt;=69,"Battery D",
--R482&lt;=80,"Battery C",
--R482&gt;80,""
),"")</f>
        <v/>
      </c>
      <c r="U482" s="51" t="str" cm="1">
        <f t="array" ref="U482">IFERROR(_xlfn.IFS(
S482="","",
--S482&lt;55,"Battery Defect",
--S482&lt;=69,"Battery D",
--S482&lt;=80,"Battery C",
--S482&gt;80,""
),"")</f>
        <v/>
      </c>
      <c r="V482" s="51"/>
      <c r="W482" s="51"/>
      <c r="X482" s="51"/>
      <c r="Y482" s="51"/>
      <c r="Z482" s="51"/>
      <c r="AA482" s="51"/>
      <c r="AB482" s="51"/>
      <c r="AC482" s="51"/>
      <c r="AD482" s="32" t="str">
        <f t="shared" si="21"/>
        <v/>
      </c>
      <c r="AE482" s="32"/>
      <c r="AF482" s="32"/>
      <c r="AG482" s="32"/>
      <c r="AH482" s="32"/>
      <c r="AI482" s="32"/>
      <c r="AJ482" s="32"/>
      <c r="AK482" s="32"/>
      <c r="AL482" s="32"/>
    </row>
    <row r="483" spans="1:38">
      <c r="A483" s="32" t="str">
        <f>_xlfn.TEXTJOIN("",TRUE,_xlfn.XLOOKUP(B483,Input!J:J,Input!G:G,"",0,1),_xlfn.XLOOKUP(B483,Input!J:J,Input!H:H,"",0,1))</f>
        <v/>
      </c>
      <c r="B483" s="32"/>
      <c r="C483" s="51">
        <f>_xlfn.XLOOKUP(B483,Input!J:J,Input!F:F)</f>
        <v>0</v>
      </c>
      <c r="D483" s="32">
        <f>_xlfn.XLOOKUP(C483,Models!H:H,Models!G:G,C483)</f>
        <v>0</v>
      </c>
      <c r="E483" s="32">
        <f>_xlfn.XLOOKUP(B483,Input!J:J,Input!E:E)</f>
        <v>0</v>
      </c>
      <c r="F483" s="32">
        <f>IF(E483="LENOVO",_xlfn.XLOOKUP(B483,Input!J:J,Input!K:K),_xlfn.XLOOKUP(B483,Input!J:J,Input!L:L))</f>
        <v>0</v>
      </c>
      <c r="G483" s="32"/>
      <c r="H483" s="32"/>
      <c r="I483" s="32"/>
      <c r="J483" s="51" t="e">
        <f>INDEX(Input!$D$2:$AC$500,
       MATCH(B483, Input!$J$2:$J$500, 0),
       MATCH("Total Memory", Input!$D$1:$AC$1, 0))</f>
        <v>#N/A</v>
      </c>
      <c r="K483" s="51"/>
      <c r="L483" s="51" t="str" cm="1">
        <f t="array" ref="L483">IFERROR(_xlfn.FILTERXML("&lt;t&gt;&lt;s&gt;" &amp; SUBSTITUTE(K483," / ","&lt;/s&gt;&lt;s&gt;") &amp; "&lt;/s&gt;&lt;/t&gt;","(//s[contains(.,'DDR')])[1]"),"")</f>
        <v/>
      </c>
      <c r="M483" s="32" t="e">
        <f t="shared" si="23"/>
        <v>#N/A</v>
      </c>
      <c r="N483" s="51" t="e">
        <f>INDEX(Input!$D$2:$AC$500,
       MATCH(B483, Input!$J$2:$J$500, 0),
       MATCH("Disk Interface Type", Input!$D$1:$AC$1, 0))</f>
        <v>#N/A</v>
      </c>
      <c r="O483" s="51" t="str" cm="1">
        <f t="array" ref="O483">IFERROR(_xlfn.TEXTJOIN(", ", TRUE, _xlfn._xlws.FILTER(
    INDEX(Input!$D$2:$AC$500,,MATCH("Disk Capacity",Input!$D$1:$AC$1,0)),
    Input!$J$2:$J$500=B483
)), "")</f>
        <v/>
      </c>
      <c r="P483" s="32" t="e">
        <f t="shared" si="22"/>
        <v>#N/A</v>
      </c>
      <c r="Q483" s="51" t="e">
        <f>_xlfn.LET(_xlpm.Result,INDEX(Input!$D$2:$AC$500,
       MATCH(B483, Input!$J$2:$J$500, 0),
       MATCH("Capacity", Input!$D$1:$AC$1, 0)),IF(_xlpm.Result="","",_xlpm.Result))</f>
        <v>#N/A</v>
      </c>
      <c r="R483" s="51"/>
      <c r="S483" s="51"/>
      <c r="T483" s="51" t="str" cm="1">
        <f t="array" ref="T483">IFERROR(_xlfn.IFS(
R483="","",
--R483&lt;55,"Battery Defect",
--R483&lt;=69,"Battery D",
--R483&lt;=80,"Battery C",
--R483&gt;80,""
),"")</f>
        <v/>
      </c>
      <c r="U483" s="51" t="str" cm="1">
        <f t="array" ref="U483">IFERROR(_xlfn.IFS(
S483="","",
--S483&lt;55,"Battery Defect",
--S483&lt;=69,"Battery D",
--S483&lt;=80,"Battery C",
--S483&gt;80,""
),"")</f>
        <v/>
      </c>
      <c r="V483" s="51"/>
      <c r="W483" s="51"/>
      <c r="X483" s="51"/>
      <c r="Y483" s="51"/>
      <c r="Z483" s="51"/>
      <c r="AA483" s="51"/>
      <c r="AB483" s="51"/>
      <c r="AC483" s="51"/>
      <c r="AD483" s="32" t="str">
        <f t="shared" si="21"/>
        <v/>
      </c>
      <c r="AE483" s="32"/>
      <c r="AF483" s="32"/>
      <c r="AG483" s="32"/>
      <c r="AH483" s="32"/>
      <c r="AI483" s="32"/>
      <c r="AJ483" s="32"/>
      <c r="AK483" s="32"/>
      <c r="AL483" s="32"/>
    </row>
    <row r="484" spans="1:38">
      <c r="A484" s="32" t="str">
        <f>_xlfn.TEXTJOIN("",TRUE,_xlfn.XLOOKUP(B484,Input!J:J,Input!G:G,"",0,1),_xlfn.XLOOKUP(B484,Input!J:J,Input!H:H,"",0,1))</f>
        <v/>
      </c>
      <c r="B484" s="32"/>
      <c r="C484" s="51">
        <f>_xlfn.XLOOKUP(B484,Input!J:J,Input!F:F)</f>
        <v>0</v>
      </c>
      <c r="D484" s="32">
        <f>_xlfn.XLOOKUP(C484,Models!H:H,Models!G:G,C484)</f>
        <v>0</v>
      </c>
      <c r="E484" s="32">
        <f>_xlfn.XLOOKUP(B484,Input!J:J,Input!E:E)</f>
        <v>0</v>
      </c>
      <c r="F484" s="32">
        <f>IF(E484="LENOVO",_xlfn.XLOOKUP(B484,Input!J:J,Input!K:K),_xlfn.XLOOKUP(B484,Input!J:J,Input!L:L))</f>
        <v>0</v>
      </c>
      <c r="G484" s="32"/>
      <c r="H484" s="32"/>
      <c r="I484" s="32"/>
      <c r="J484" s="51" t="e">
        <f>INDEX(Input!$D$2:$AC$500,
       MATCH(B484, Input!$J$2:$J$500, 0),
       MATCH("Total Memory", Input!$D$1:$AC$1, 0))</f>
        <v>#N/A</v>
      </c>
      <c r="K484" s="51"/>
      <c r="L484" s="51" t="str" cm="1">
        <f t="array" ref="L484">IFERROR(_xlfn.FILTERXML("&lt;t&gt;&lt;s&gt;" &amp; SUBSTITUTE(K484," / ","&lt;/s&gt;&lt;s&gt;") &amp; "&lt;/s&gt;&lt;/t&gt;","(//s[contains(.,'DDR')])[1]"),"")</f>
        <v/>
      </c>
      <c r="M484" s="32" t="e">
        <f t="shared" si="23"/>
        <v>#N/A</v>
      </c>
      <c r="N484" s="51" t="e">
        <f>INDEX(Input!$D$2:$AC$500,
       MATCH(B484, Input!$J$2:$J$500, 0),
       MATCH("Disk Interface Type", Input!$D$1:$AC$1, 0))</f>
        <v>#N/A</v>
      </c>
      <c r="O484" s="51" t="str" cm="1">
        <f t="array" ref="O484">IFERROR(_xlfn.TEXTJOIN(", ", TRUE, _xlfn._xlws.FILTER(
    INDEX(Input!$D$2:$AC$500,,MATCH("Disk Capacity",Input!$D$1:$AC$1,0)),
    Input!$J$2:$J$500=B484
)), "")</f>
        <v/>
      </c>
      <c r="P484" s="32" t="e">
        <f t="shared" si="22"/>
        <v>#N/A</v>
      </c>
      <c r="Q484" s="51" t="e">
        <f>_xlfn.LET(_xlpm.Result,INDEX(Input!$D$2:$AC$500,
       MATCH(B484, Input!$J$2:$J$500, 0),
       MATCH("Capacity", Input!$D$1:$AC$1, 0)),IF(_xlpm.Result="","",_xlpm.Result))</f>
        <v>#N/A</v>
      </c>
      <c r="R484" s="51"/>
      <c r="S484" s="51"/>
      <c r="T484" s="51" t="str" cm="1">
        <f t="array" ref="T484">IFERROR(_xlfn.IFS(
R484="","",
--R484&lt;55,"Battery Defect",
--R484&lt;=69,"Battery D",
--R484&lt;=80,"Battery C",
--R484&gt;80,""
),"")</f>
        <v/>
      </c>
      <c r="U484" s="51" t="str" cm="1">
        <f t="array" ref="U484">IFERROR(_xlfn.IFS(
S484="","",
--S484&lt;55,"Battery Defect",
--S484&lt;=69,"Battery D",
--S484&lt;=80,"Battery C",
--S484&gt;80,""
),"")</f>
        <v/>
      </c>
      <c r="V484" s="51"/>
      <c r="W484" s="51"/>
      <c r="X484" s="51"/>
      <c r="Y484" s="51"/>
      <c r="Z484" s="51"/>
      <c r="AA484" s="51"/>
      <c r="AB484" s="51"/>
      <c r="AC484" s="51"/>
      <c r="AD484" s="32" t="str">
        <f t="shared" si="21"/>
        <v/>
      </c>
      <c r="AE484" s="32"/>
      <c r="AF484" s="32"/>
      <c r="AG484" s="32"/>
      <c r="AH484" s="32"/>
      <c r="AI484" s="32"/>
      <c r="AJ484" s="32"/>
      <c r="AK484" s="32"/>
      <c r="AL484" s="32"/>
    </row>
    <row r="485" spans="1:38">
      <c r="A485" s="32" t="str">
        <f>_xlfn.TEXTJOIN("",TRUE,_xlfn.XLOOKUP(B485,Input!J:J,Input!G:G,"",0,1),_xlfn.XLOOKUP(B485,Input!J:J,Input!H:H,"",0,1))</f>
        <v/>
      </c>
      <c r="B485" s="32"/>
      <c r="C485" s="51">
        <f>_xlfn.XLOOKUP(B485,Input!J:J,Input!F:F)</f>
        <v>0</v>
      </c>
      <c r="D485" s="32">
        <f>_xlfn.XLOOKUP(C485,Models!H:H,Models!G:G,C485)</f>
        <v>0</v>
      </c>
      <c r="E485" s="32">
        <f>_xlfn.XLOOKUP(B485,Input!J:J,Input!E:E)</f>
        <v>0</v>
      </c>
      <c r="F485" s="32">
        <f>IF(E485="LENOVO",_xlfn.XLOOKUP(B485,Input!J:J,Input!K:K),_xlfn.XLOOKUP(B485,Input!J:J,Input!L:L))</f>
        <v>0</v>
      </c>
      <c r="G485" s="32"/>
      <c r="H485" s="32"/>
      <c r="I485" s="32"/>
      <c r="J485" s="51" t="e">
        <f>INDEX(Input!$D$2:$AC$500,
       MATCH(B485, Input!$J$2:$J$500, 0),
       MATCH("Total Memory", Input!$D$1:$AC$1, 0))</f>
        <v>#N/A</v>
      </c>
      <c r="K485" s="51"/>
      <c r="L485" s="51" t="str" cm="1">
        <f t="array" ref="L485">IFERROR(_xlfn.FILTERXML("&lt;t&gt;&lt;s&gt;" &amp; SUBSTITUTE(K485," / ","&lt;/s&gt;&lt;s&gt;") &amp; "&lt;/s&gt;&lt;/t&gt;","(//s[contains(.,'DDR')])[1]"),"")</f>
        <v/>
      </c>
      <c r="M485" s="32" t="e">
        <f t="shared" si="23"/>
        <v>#N/A</v>
      </c>
      <c r="N485" s="51" t="e">
        <f>INDEX(Input!$D$2:$AC$500,
       MATCH(B485, Input!$J$2:$J$500, 0),
       MATCH("Disk Interface Type", Input!$D$1:$AC$1, 0))</f>
        <v>#N/A</v>
      </c>
      <c r="O485" s="51" t="str" cm="1">
        <f t="array" ref="O485">IFERROR(_xlfn.TEXTJOIN(", ", TRUE, _xlfn._xlws.FILTER(
    INDEX(Input!$D$2:$AC$500,,MATCH("Disk Capacity",Input!$D$1:$AC$1,0)),
    Input!$J$2:$J$500=B485
)), "")</f>
        <v/>
      </c>
      <c r="P485" s="32" t="e">
        <f t="shared" si="22"/>
        <v>#N/A</v>
      </c>
      <c r="Q485" s="51" t="e">
        <f>_xlfn.LET(_xlpm.Result,INDEX(Input!$D$2:$AC$500,
       MATCH(B485, Input!$J$2:$J$500, 0),
       MATCH("Capacity", Input!$D$1:$AC$1, 0)),IF(_xlpm.Result="","",_xlpm.Result))</f>
        <v>#N/A</v>
      </c>
      <c r="R485" s="51"/>
      <c r="S485" s="51"/>
      <c r="T485" s="51" t="str" cm="1">
        <f t="array" ref="T485">IFERROR(_xlfn.IFS(
R485="","",
--R485&lt;55,"Battery Defect",
--R485&lt;=69,"Battery D",
--R485&lt;=80,"Battery C",
--R485&gt;80,""
),"")</f>
        <v/>
      </c>
      <c r="U485" s="51" t="str" cm="1">
        <f t="array" ref="U485">IFERROR(_xlfn.IFS(
S485="","",
--S485&lt;55,"Battery Defect",
--S485&lt;=69,"Battery D",
--S485&lt;=80,"Battery C",
--S485&gt;80,""
),"")</f>
        <v/>
      </c>
      <c r="V485" s="51"/>
      <c r="W485" s="51"/>
      <c r="X485" s="51"/>
      <c r="Y485" s="51"/>
      <c r="Z485" s="51"/>
      <c r="AA485" s="51"/>
      <c r="AB485" s="51"/>
      <c r="AC485" s="51"/>
      <c r="AD485" s="32" t="str">
        <f t="shared" si="21"/>
        <v/>
      </c>
      <c r="AE485" s="32"/>
      <c r="AF485" s="32"/>
      <c r="AG485" s="32"/>
      <c r="AH485" s="32"/>
      <c r="AI485" s="32"/>
      <c r="AJ485" s="32"/>
      <c r="AK485" s="32"/>
      <c r="AL485" s="32"/>
    </row>
    <row r="486" spans="1:38">
      <c r="A486" s="32" t="str">
        <f>_xlfn.TEXTJOIN("",TRUE,_xlfn.XLOOKUP(B486,Input!J:J,Input!G:G,"",0,1),_xlfn.XLOOKUP(B486,Input!J:J,Input!H:H,"",0,1))</f>
        <v/>
      </c>
      <c r="B486" s="32"/>
      <c r="C486" s="51">
        <f>_xlfn.XLOOKUP(B486,Input!J:J,Input!F:F)</f>
        <v>0</v>
      </c>
      <c r="D486" s="32">
        <f>_xlfn.XLOOKUP(C486,Models!H:H,Models!G:G,C486)</f>
        <v>0</v>
      </c>
      <c r="E486" s="32">
        <f>_xlfn.XLOOKUP(B486,Input!J:J,Input!E:E)</f>
        <v>0</v>
      </c>
      <c r="F486" s="32">
        <f>IF(E486="LENOVO",_xlfn.XLOOKUP(B486,Input!J:J,Input!K:K),_xlfn.XLOOKUP(B486,Input!J:J,Input!L:L))</f>
        <v>0</v>
      </c>
      <c r="G486" s="32"/>
      <c r="H486" s="32"/>
      <c r="I486" s="32"/>
      <c r="J486" s="51" t="e">
        <f>INDEX(Input!$D$2:$AC$500,
       MATCH(B486, Input!$J$2:$J$500, 0),
       MATCH("Total Memory", Input!$D$1:$AC$1, 0))</f>
        <v>#N/A</v>
      </c>
      <c r="K486" s="51"/>
      <c r="L486" s="51" t="str" cm="1">
        <f t="array" ref="L486">IFERROR(_xlfn.FILTERXML("&lt;t&gt;&lt;s&gt;" &amp; SUBSTITUTE(K486," / ","&lt;/s&gt;&lt;s&gt;") &amp; "&lt;/s&gt;&lt;/t&gt;","(//s[contains(.,'DDR')])[1]"),"")</f>
        <v/>
      </c>
      <c r="M486" s="32" t="e">
        <f t="shared" si="23"/>
        <v>#N/A</v>
      </c>
      <c r="N486" s="51" t="e">
        <f>INDEX(Input!$D$2:$AC$500,
       MATCH(B486, Input!$J$2:$J$500, 0),
       MATCH("Disk Interface Type", Input!$D$1:$AC$1, 0))</f>
        <v>#N/A</v>
      </c>
      <c r="O486" s="51" t="str" cm="1">
        <f t="array" ref="O486">IFERROR(_xlfn.TEXTJOIN(", ", TRUE, _xlfn._xlws.FILTER(
    INDEX(Input!$D$2:$AC$500,,MATCH("Disk Capacity",Input!$D$1:$AC$1,0)),
    Input!$J$2:$J$500=B486
)), "")</f>
        <v/>
      </c>
      <c r="P486" s="32" t="e">
        <f t="shared" si="22"/>
        <v>#N/A</v>
      </c>
      <c r="Q486" s="51" t="e">
        <f>_xlfn.LET(_xlpm.Result,INDEX(Input!$D$2:$AC$500,
       MATCH(B486, Input!$J$2:$J$500, 0),
       MATCH("Capacity", Input!$D$1:$AC$1, 0)),IF(_xlpm.Result="","",_xlpm.Result))</f>
        <v>#N/A</v>
      </c>
      <c r="R486" s="51"/>
      <c r="S486" s="51"/>
      <c r="T486" s="51" t="str" cm="1">
        <f t="array" ref="T486">IFERROR(_xlfn.IFS(
R486="","",
--R486&lt;55,"Battery Defect",
--R486&lt;=69,"Battery D",
--R486&lt;=80,"Battery C",
--R486&gt;80,""
),"")</f>
        <v/>
      </c>
      <c r="U486" s="51" t="str" cm="1">
        <f t="array" ref="U486">IFERROR(_xlfn.IFS(
S486="","",
--S486&lt;55,"Battery Defect",
--S486&lt;=69,"Battery D",
--S486&lt;=80,"Battery C",
--S486&gt;80,""
),"")</f>
        <v/>
      </c>
      <c r="V486" s="51"/>
      <c r="W486" s="51"/>
      <c r="X486" s="51"/>
      <c r="Y486" s="51"/>
      <c r="Z486" s="51"/>
      <c r="AA486" s="51"/>
      <c r="AB486" s="51"/>
      <c r="AC486" s="51"/>
      <c r="AD486" s="32" t="str">
        <f t="shared" si="21"/>
        <v/>
      </c>
      <c r="AE486" s="32"/>
      <c r="AF486" s="32"/>
      <c r="AG486" s="32"/>
      <c r="AH486" s="32"/>
      <c r="AI486" s="32"/>
      <c r="AJ486" s="32"/>
      <c r="AK486" s="32"/>
      <c r="AL486" s="32"/>
    </row>
    <row r="487" spans="1:38">
      <c r="A487" s="32" t="str">
        <f>_xlfn.TEXTJOIN("",TRUE,_xlfn.XLOOKUP(B487,Input!J:J,Input!G:G,"",0,1),_xlfn.XLOOKUP(B487,Input!J:J,Input!H:H,"",0,1))</f>
        <v/>
      </c>
      <c r="B487" s="32"/>
      <c r="C487" s="51">
        <f>_xlfn.XLOOKUP(B487,Input!J:J,Input!F:F)</f>
        <v>0</v>
      </c>
      <c r="D487" s="32">
        <f>_xlfn.XLOOKUP(C487,Models!H:H,Models!G:G,C487)</f>
        <v>0</v>
      </c>
      <c r="E487" s="32">
        <f>_xlfn.XLOOKUP(B487,Input!J:J,Input!E:E)</f>
        <v>0</v>
      </c>
      <c r="F487" s="32">
        <f>IF(E487="LENOVO",_xlfn.XLOOKUP(B487,Input!J:J,Input!K:K),_xlfn.XLOOKUP(B487,Input!J:J,Input!L:L))</f>
        <v>0</v>
      </c>
      <c r="G487" s="32"/>
      <c r="H487" s="32"/>
      <c r="I487" s="32"/>
      <c r="J487" s="51" t="e">
        <f>INDEX(Input!$D$2:$AC$500,
       MATCH(B487, Input!$J$2:$J$500, 0),
       MATCH("Total Memory", Input!$D$1:$AC$1, 0))</f>
        <v>#N/A</v>
      </c>
      <c r="K487" s="51"/>
      <c r="L487" s="51" t="str" cm="1">
        <f t="array" ref="L487">IFERROR(_xlfn.FILTERXML("&lt;t&gt;&lt;s&gt;" &amp; SUBSTITUTE(K487," / ","&lt;/s&gt;&lt;s&gt;") &amp; "&lt;/s&gt;&lt;/t&gt;","(//s[contains(.,'DDR')])[1]"),"")</f>
        <v/>
      </c>
      <c r="M487" s="32" t="e">
        <f t="shared" si="23"/>
        <v>#N/A</v>
      </c>
      <c r="N487" s="51" t="e">
        <f>INDEX(Input!$D$2:$AC$500,
       MATCH(B487, Input!$J$2:$J$500, 0),
       MATCH("Disk Interface Type", Input!$D$1:$AC$1, 0))</f>
        <v>#N/A</v>
      </c>
      <c r="O487" s="51" t="str" cm="1">
        <f t="array" ref="O487">IFERROR(_xlfn.TEXTJOIN(", ", TRUE, _xlfn._xlws.FILTER(
    INDEX(Input!$D$2:$AC$500,,MATCH("Disk Capacity",Input!$D$1:$AC$1,0)),
    Input!$J$2:$J$500=B487
)), "")</f>
        <v/>
      </c>
      <c r="P487" s="32" t="e">
        <f t="shared" si="22"/>
        <v>#N/A</v>
      </c>
      <c r="Q487" s="51" t="e">
        <f>_xlfn.LET(_xlpm.Result,INDEX(Input!$D$2:$AC$500,
       MATCH(B487, Input!$J$2:$J$500, 0),
       MATCH("Capacity", Input!$D$1:$AC$1, 0)),IF(_xlpm.Result="","",_xlpm.Result))</f>
        <v>#N/A</v>
      </c>
      <c r="R487" s="51"/>
      <c r="S487" s="51"/>
      <c r="T487" s="51" t="str" cm="1">
        <f t="array" ref="T487">IFERROR(_xlfn.IFS(
R487="","",
--R487&lt;55,"Battery Defect",
--R487&lt;=69,"Battery D",
--R487&lt;=80,"Battery C",
--R487&gt;80,""
),"")</f>
        <v/>
      </c>
      <c r="U487" s="51" t="str" cm="1">
        <f t="array" ref="U487">IFERROR(_xlfn.IFS(
S487="","",
--S487&lt;55,"Battery Defect",
--S487&lt;=69,"Battery D",
--S487&lt;=80,"Battery C",
--S487&gt;80,""
),"")</f>
        <v/>
      </c>
      <c r="V487" s="51"/>
      <c r="W487" s="51"/>
      <c r="X487" s="51"/>
      <c r="Y487" s="51"/>
      <c r="Z487" s="51"/>
      <c r="AA487" s="51"/>
      <c r="AB487" s="51"/>
      <c r="AC487" s="51"/>
      <c r="AD487" s="32" t="str">
        <f t="shared" si="21"/>
        <v/>
      </c>
      <c r="AE487" s="32"/>
      <c r="AF487" s="32"/>
      <c r="AG487" s="32"/>
      <c r="AH487" s="32"/>
      <c r="AI487" s="32"/>
      <c r="AJ487" s="32"/>
      <c r="AK487" s="32"/>
      <c r="AL487" s="32"/>
    </row>
    <row r="488" spans="1:38">
      <c r="A488" s="32" t="str">
        <f>_xlfn.TEXTJOIN("",TRUE,_xlfn.XLOOKUP(B488,Input!J:J,Input!G:G,"",0,1),_xlfn.XLOOKUP(B488,Input!J:J,Input!H:H,"",0,1))</f>
        <v/>
      </c>
      <c r="B488" s="32"/>
      <c r="C488" s="51">
        <f>_xlfn.XLOOKUP(B488,Input!J:J,Input!F:F)</f>
        <v>0</v>
      </c>
      <c r="D488" s="32">
        <f>_xlfn.XLOOKUP(C488,Models!H:H,Models!G:G,C488)</f>
        <v>0</v>
      </c>
      <c r="E488" s="32">
        <f>_xlfn.XLOOKUP(B488,Input!J:J,Input!E:E)</f>
        <v>0</v>
      </c>
      <c r="F488" s="32">
        <f>IF(E488="LENOVO",_xlfn.XLOOKUP(B488,Input!J:J,Input!K:K),_xlfn.XLOOKUP(B488,Input!J:J,Input!L:L))</f>
        <v>0</v>
      </c>
      <c r="G488" s="32"/>
      <c r="H488" s="32"/>
      <c r="I488" s="32"/>
      <c r="J488" s="51" t="e">
        <f>INDEX(Input!$D$2:$AC$500,
       MATCH(B488, Input!$J$2:$J$500, 0),
       MATCH("Total Memory", Input!$D$1:$AC$1, 0))</f>
        <v>#N/A</v>
      </c>
      <c r="K488" s="51"/>
      <c r="L488" s="51" t="str" cm="1">
        <f t="array" ref="L488">IFERROR(_xlfn.FILTERXML("&lt;t&gt;&lt;s&gt;" &amp; SUBSTITUTE(K488," / ","&lt;/s&gt;&lt;s&gt;") &amp; "&lt;/s&gt;&lt;/t&gt;","(//s[contains(.,'DDR')])[1]"),"")</f>
        <v/>
      </c>
      <c r="M488" s="32" t="e">
        <f t="shared" si="23"/>
        <v>#N/A</v>
      </c>
      <c r="N488" s="51" t="e">
        <f>INDEX(Input!$D$2:$AC$500,
       MATCH(B488, Input!$J$2:$J$500, 0),
       MATCH("Disk Interface Type", Input!$D$1:$AC$1, 0))</f>
        <v>#N/A</v>
      </c>
      <c r="O488" s="51" t="str" cm="1">
        <f t="array" ref="O488">IFERROR(_xlfn.TEXTJOIN(", ", TRUE, _xlfn._xlws.FILTER(
    INDEX(Input!$D$2:$AC$500,,MATCH("Disk Capacity",Input!$D$1:$AC$1,0)),
    Input!$J$2:$J$500=B488
)), "")</f>
        <v/>
      </c>
      <c r="P488" s="32" t="e">
        <f t="shared" si="22"/>
        <v>#N/A</v>
      </c>
      <c r="Q488" s="51" t="e">
        <f>_xlfn.LET(_xlpm.Result,INDEX(Input!$D$2:$AC$500,
       MATCH(B488, Input!$J$2:$J$500, 0),
       MATCH("Capacity", Input!$D$1:$AC$1, 0)),IF(_xlpm.Result="","",_xlpm.Result))</f>
        <v>#N/A</v>
      </c>
      <c r="R488" s="51"/>
      <c r="S488" s="51"/>
      <c r="T488" s="51" t="str" cm="1">
        <f t="array" ref="T488">IFERROR(_xlfn.IFS(
R488="","",
--R488&lt;55,"Battery Defect",
--R488&lt;=69,"Battery D",
--R488&lt;=80,"Battery C",
--R488&gt;80,""
),"")</f>
        <v/>
      </c>
      <c r="U488" s="51" t="str" cm="1">
        <f t="array" ref="U488">IFERROR(_xlfn.IFS(
S488="","",
--S488&lt;55,"Battery Defect",
--S488&lt;=69,"Battery D",
--S488&lt;=80,"Battery C",
--S488&gt;80,""
),"")</f>
        <v/>
      </c>
      <c r="V488" s="51"/>
      <c r="W488" s="51"/>
      <c r="X488" s="51"/>
      <c r="Y488" s="51"/>
      <c r="Z488" s="51"/>
      <c r="AA488" s="51"/>
      <c r="AB488" s="51"/>
      <c r="AC488" s="51"/>
      <c r="AD488" s="32" t="str">
        <f t="shared" si="21"/>
        <v/>
      </c>
      <c r="AE488" s="32"/>
      <c r="AF488" s="32"/>
      <c r="AG488" s="32"/>
      <c r="AH488" s="32"/>
      <c r="AI488" s="32"/>
      <c r="AJ488" s="32"/>
      <c r="AK488" s="32"/>
      <c r="AL488" s="32"/>
    </row>
    <row r="489" spans="1:38">
      <c r="A489" s="32" t="str">
        <f>_xlfn.TEXTJOIN("",TRUE,_xlfn.XLOOKUP(B489,Input!J:J,Input!G:G,"",0,1),_xlfn.XLOOKUP(B489,Input!J:J,Input!H:H,"",0,1))</f>
        <v/>
      </c>
      <c r="B489" s="32"/>
      <c r="C489" s="51">
        <f>_xlfn.XLOOKUP(B489,Input!J:J,Input!F:F)</f>
        <v>0</v>
      </c>
      <c r="D489" s="32">
        <f>_xlfn.XLOOKUP(C489,Models!H:H,Models!G:G,C489)</f>
        <v>0</v>
      </c>
      <c r="E489" s="32">
        <f>_xlfn.XLOOKUP(B489,Input!J:J,Input!E:E)</f>
        <v>0</v>
      </c>
      <c r="F489" s="32">
        <f>IF(E489="LENOVO",_xlfn.XLOOKUP(B489,Input!J:J,Input!K:K),_xlfn.XLOOKUP(B489,Input!J:J,Input!L:L))</f>
        <v>0</v>
      </c>
      <c r="G489" s="32"/>
      <c r="H489" s="32"/>
      <c r="I489" s="32"/>
      <c r="J489" s="51" t="e">
        <f>INDEX(Input!$D$2:$AC$500,
       MATCH(B489, Input!$J$2:$J$500, 0),
       MATCH("Total Memory", Input!$D$1:$AC$1, 0))</f>
        <v>#N/A</v>
      </c>
      <c r="K489" s="51"/>
      <c r="L489" s="51" t="str" cm="1">
        <f t="array" ref="L489">IFERROR(_xlfn.FILTERXML("&lt;t&gt;&lt;s&gt;" &amp; SUBSTITUTE(K489," / ","&lt;/s&gt;&lt;s&gt;") &amp; "&lt;/s&gt;&lt;/t&gt;","(//s[contains(.,'DDR')])[1]"),"")</f>
        <v/>
      </c>
      <c r="M489" s="32" t="e">
        <f t="shared" si="23"/>
        <v>#N/A</v>
      </c>
      <c r="N489" s="51" t="e">
        <f>INDEX(Input!$D$2:$AC$500,
       MATCH(B489, Input!$J$2:$J$500, 0),
       MATCH("Disk Interface Type", Input!$D$1:$AC$1, 0))</f>
        <v>#N/A</v>
      </c>
      <c r="O489" s="51" t="str" cm="1">
        <f t="array" ref="O489">IFERROR(_xlfn.TEXTJOIN(", ", TRUE, _xlfn._xlws.FILTER(
    INDEX(Input!$D$2:$AC$500,,MATCH("Disk Capacity",Input!$D$1:$AC$1,0)),
    Input!$J$2:$J$500=B489
)), "")</f>
        <v/>
      </c>
      <c r="P489" s="32" t="e">
        <f t="shared" si="22"/>
        <v>#N/A</v>
      </c>
      <c r="Q489" s="51" t="e">
        <f>_xlfn.LET(_xlpm.Result,INDEX(Input!$D$2:$AC$500,
       MATCH(B489, Input!$J$2:$J$500, 0),
       MATCH("Capacity", Input!$D$1:$AC$1, 0)),IF(_xlpm.Result="","",_xlpm.Result))</f>
        <v>#N/A</v>
      </c>
      <c r="R489" s="51"/>
      <c r="S489" s="51"/>
      <c r="T489" s="51" t="str" cm="1">
        <f t="array" ref="T489">IFERROR(_xlfn.IFS(
R489="","",
--R489&lt;55,"Battery Defect",
--R489&lt;=69,"Battery D",
--R489&lt;=80,"Battery C",
--R489&gt;80,""
),"")</f>
        <v/>
      </c>
      <c r="U489" s="51" t="str" cm="1">
        <f t="array" ref="U489">IFERROR(_xlfn.IFS(
S489="","",
--S489&lt;55,"Battery Defect",
--S489&lt;=69,"Battery D",
--S489&lt;=80,"Battery C",
--S489&gt;80,""
),"")</f>
        <v/>
      </c>
      <c r="V489" s="51"/>
      <c r="W489" s="51"/>
      <c r="X489" s="51"/>
      <c r="Y489" s="51"/>
      <c r="Z489" s="51"/>
      <c r="AA489" s="51"/>
      <c r="AB489" s="51"/>
      <c r="AC489" s="51"/>
      <c r="AD489" s="32" t="str">
        <f t="shared" si="21"/>
        <v/>
      </c>
      <c r="AE489" s="32"/>
      <c r="AF489" s="32"/>
      <c r="AG489" s="32"/>
      <c r="AH489" s="32"/>
      <c r="AI489" s="32"/>
      <c r="AJ489" s="32"/>
      <c r="AK489" s="32"/>
      <c r="AL489" s="32"/>
    </row>
    <row r="490" spans="1:38">
      <c r="A490" s="32" t="str">
        <f>_xlfn.TEXTJOIN("",TRUE,_xlfn.XLOOKUP(B490,Input!J:J,Input!G:G,"",0,1),_xlfn.XLOOKUP(B490,Input!J:J,Input!H:H,"",0,1))</f>
        <v/>
      </c>
      <c r="B490" s="32"/>
      <c r="C490" s="51">
        <f>_xlfn.XLOOKUP(B490,Input!J:J,Input!F:F)</f>
        <v>0</v>
      </c>
      <c r="D490" s="32">
        <f>_xlfn.XLOOKUP(C490,Models!H:H,Models!G:G,C490)</f>
        <v>0</v>
      </c>
      <c r="E490" s="32">
        <f>_xlfn.XLOOKUP(B490,Input!J:J,Input!E:E)</f>
        <v>0</v>
      </c>
      <c r="F490" s="32">
        <f>IF(E490="LENOVO",_xlfn.XLOOKUP(B490,Input!J:J,Input!K:K),_xlfn.XLOOKUP(B490,Input!J:J,Input!L:L))</f>
        <v>0</v>
      </c>
      <c r="G490" s="32"/>
      <c r="H490" s="32"/>
      <c r="I490" s="32"/>
      <c r="J490" s="51" t="e">
        <f>INDEX(Input!$D$2:$AC$500,
       MATCH(B490, Input!$J$2:$J$500, 0),
       MATCH("Total Memory", Input!$D$1:$AC$1, 0))</f>
        <v>#N/A</v>
      </c>
      <c r="K490" s="51"/>
      <c r="L490" s="51" t="str" cm="1">
        <f t="array" ref="L490">IFERROR(_xlfn.FILTERXML("&lt;t&gt;&lt;s&gt;" &amp; SUBSTITUTE(K490," / ","&lt;/s&gt;&lt;s&gt;") &amp; "&lt;/s&gt;&lt;/t&gt;","(//s[contains(.,'DDR')])[1]"),"")</f>
        <v/>
      </c>
      <c r="M490" s="32" t="e">
        <f t="shared" si="23"/>
        <v>#N/A</v>
      </c>
      <c r="N490" s="51" t="e">
        <f>INDEX(Input!$D$2:$AC$500,
       MATCH(B490, Input!$J$2:$J$500, 0),
       MATCH("Disk Interface Type", Input!$D$1:$AC$1, 0))</f>
        <v>#N/A</v>
      </c>
      <c r="O490" s="51" t="str" cm="1">
        <f t="array" ref="O490">IFERROR(_xlfn.TEXTJOIN(", ", TRUE, _xlfn._xlws.FILTER(
    INDEX(Input!$D$2:$AC$500,,MATCH("Disk Capacity",Input!$D$1:$AC$1,0)),
    Input!$J$2:$J$500=B490
)), "")</f>
        <v/>
      </c>
      <c r="P490" s="32" t="e">
        <f t="shared" si="22"/>
        <v>#N/A</v>
      </c>
      <c r="Q490" s="51" t="e">
        <f>_xlfn.LET(_xlpm.Result,INDEX(Input!$D$2:$AC$500,
       MATCH(B490, Input!$J$2:$J$500, 0),
       MATCH("Capacity", Input!$D$1:$AC$1, 0)),IF(_xlpm.Result="","",_xlpm.Result))</f>
        <v>#N/A</v>
      </c>
      <c r="R490" s="51"/>
      <c r="S490" s="51"/>
      <c r="T490" s="51" t="str" cm="1">
        <f t="array" ref="T490">IFERROR(_xlfn.IFS(
R490="","",
--R490&lt;55,"Battery Defect",
--R490&lt;=69,"Battery D",
--R490&lt;=80,"Battery C",
--R490&gt;80,""
),"")</f>
        <v/>
      </c>
      <c r="U490" s="51" t="str" cm="1">
        <f t="array" ref="U490">IFERROR(_xlfn.IFS(
S490="","",
--S490&lt;55,"Battery Defect",
--S490&lt;=69,"Battery D",
--S490&lt;=80,"Battery C",
--S490&gt;80,""
),"")</f>
        <v/>
      </c>
      <c r="V490" s="51"/>
      <c r="W490" s="51"/>
      <c r="X490" s="51"/>
      <c r="Y490" s="51"/>
      <c r="Z490" s="51"/>
      <c r="AA490" s="51"/>
      <c r="AB490" s="51"/>
      <c r="AC490" s="51"/>
      <c r="AD490" s="32" t="str">
        <f t="shared" si="21"/>
        <v/>
      </c>
      <c r="AE490" s="32"/>
      <c r="AF490" s="32"/>
      <c r="AG490" s="32"/>
      <c r="AH490" s="32"/>
      <c r="AI490" s="32"/>
      <c r="AJ490" s="32"/>
      <c r="AK490" s="32"/>
      <c r="AL490" s="32"/>
    </row>
    <row r="491" spans="1:38">
      <c r="A491" s="32" t="str">
        <f>_xlfn.TEXTJOIN("",TRUE,_xlfn.XLOOKUP(B491,Input!J:J,Input!G:G,"",0,1),_xlfn.XLOOKUP(B491,Input!J:J,Input!H:H,"",0,1))</f>
        <v/>
      </c>
      <c r="B491" s="32"/>
      <c r="C491" s="51">
        <f>_xlfn.XLOOKUP(B491,Input!J:J,Input!F:F)</f>
        <v>0</v>
      </c>
      <c r="D491" s="32">
        <f>_xlfn.XLOOKUP(C491,Models!H:H,Models!G:G,C491)</f>
        <v>0</v>
      </c>
      <c r="E491" s="32">
        <f>_xlfn.XLOOKUP(B491,Input!J:J,Input!E:E)</f>
        <v>0</v>
      </c>
      <c r="F491" s="32">
        <f>IF(E491="LENOVO",_xlfn.XLOOKUP(B491,Input!J:J,Input!K:K),_xlfn.XLOOKUP(B491,Input!J:J,Input!L:L))</f>
        <v>0</v>
      </c>
      <c r="G491" s="32"/>
      <c r="H491" s="32"/>
      <c r="I491" s="32"/>
      <c r="J491" s="51" t="e">
        <f>INDEX(Input!$D$2:$AC$500,
       MATCH(B491, Input!$J$2:$J$500, 0),
       MATCH("Total Memory", Input!$D$1:$AC$1, 0))</f>
        <v>#N/A</v>
      </c>
      <c r="K491" s="51"/>
      <c r="L491" s="51" t="str" cm="1">
        <f t="array" ref="L491">IFERROR(_xlfn.FILTERXML("&lt;t&gt;&lt;s&gt;" &amp; SUBSTITUTE(K491," / ","&lt;/s&gt;&lt;s&gt;") &amp; "&lt;/s&gt;&lt;/t&gt;","(//s[contains(.,'DDR')])[1]"),"")</f>
        <v/>
      </c>
      <c r="M491" s="32" t="e">
        <f t="shared" si="23"/>
        <v>#N/A</v>
      </c>
      <c r="N491" s="51" t="e">
        <f>INDEX(Input!$D$2:$AC$500,
       MATCH(B491, Input!$J$2:$J$500, 0),
       MATCH("Disk Interface Type", Input!$D$1:$AC$1, 0))</f>
        <v>#N/A</v>
      </c>
      <c r="O491" s="51" t="str" cm="1">
        <f t="array" ref="O491">IFERROR(_xlfn.TEXTJOIN(", ", TRUE, _xlfn._xlws.FILTER(
    INDEX(Input!$D$2:$AC$500,,MATCH("Disk Capacity",Input!$D$1:$AC$1,0)),
    Input!$J$2:$J$500=B491
)), "")</f>
        <v/>
      </c>
      <c r="P491" s="32" t="e">
        <f t="shared" si="22"/>
        <v>#N/A</v>
      </c>
      <c r="Q491" s="51" t="e">
        <f>_xlfn.LET(_xlpm.Result,INDEX(Input!$D$2:$AC$500,
       MATCH(B491, Input!$J$2:$J$500, 0),
       MATCH("Capacity", Input!$D$1:$AC$1, 0)),IF(_xlpm.Result="","",_xlpm.Result))</f>
        <v>#N/A</v>
      </c>
      <c r="R491" s="51"/>
      <c r="S491" s="51"/>
      <c r="T491" s="51" t="str" cm="1">
        <f t="array" ref="T491">IFERROR(_xlfn.IFS(
R491="","",
--R491&lt;55,"Battery Defect",
--R491&lt;=69,"Battery D",
--R491&lt;=80,"Battery C",
--R491&gt;80,""
),"")</f>
        <v/>
      </c>
      <c r="U491" s="51" t="str" cm="1">
        <f t="array" ref="U491">IFERROR(_xlfn.IFS(
S491="","",
--S491&lt;55,"Battery Defect",
--S491&lt;=69,"Battery D",
--S491&lt;=80,"Battery C",
--S491&gt;80,""
),"")</f>
        <v/>
      </c>
      <c r="V491" s="51"/>
      <c r="W491" s="51"/>
      <c r="X491" s="51"/>
      <c r="Y491" s="51"/>
      <c r="Z491" s="51"/>
      <c r="AA491" s="51"/>
      <c r="AB491" s="51"/>
      <c r="AC491" s="51"/>
      <c r="AD491" s="32" t="str">
        <f t="shared" si="21"/>
        <v/>
      </c>
      <c r="AE491" s="32"/>
      <c r="AF491" s="32"/>
      <c r="AG491" s="32"/>
      <c r="AH491" s="32"/>
      <c r="AI491" s="32"/>
      <c r="AJ491" s="32"/>
      <c r="AK491" s="32"/>
      <c r="AL491" s="32"/>
    </row>
    <row r="492" spans="1:38">
      <c r="A492" s="32" t="str">
        <f>_xlfn.TEXTJOIN("",TRUE,_xlfn.XLOOKUP(B492,Input!J:J,Input!G:G,"",0,1),_xlfn.XLOOKUP(B492,Input!J:J,Input!H:H,"",0,1))</f>
        <v/>
      </c>
      <c r="B492" s="32"/>
      <c r="C492" s="51">
        <f>_xlfn.XLOOKUP(B492,Input!J:J,Input!F:F)</f>
        <v>0</v>
      </c>
      <c r="D492" s="32">
        <f>_xlfn.XLOOKUP(C492,Models!H:H,Models!G:G,C492)</f>
        <v>0</v>
      </c>
      <c r="E492" s="32">
        <f>_xlfn.XLOOKUP(B492,Input!J:J,Input!E:E)</f>
        <v>0</v>
      </c>
      <c r="F492" s="32">
        <f>IF(E492="LENOVO",_xlfn.XLOOKUP(B492,Input!J:J,Input!K:K),_xlfn.XLOOKUP(B492,Input!J:J,Input!L:L))</f>
        <v>0</v>
      </c>
      <c r="G492" s="32"/>
      <c r="H492" s="32"/>
      <c r="I492" s="32"/>
      <c r="J492" s="51" t="e">
        <f>INDEX(Input!$D$2:$AC$500,
       MATCH(B492, Input!$J$2:$J$500, 0),
       MATCH("Total Memory", Input!$D$1:$AC$1, 0))</f>
        <v>#N/A</v>
      </c>
      <c r="K492" s="51"/>
      <c r="L492" s="51" t="str" cm="1">
        <f t="array" ref="L492">IFERROR(_xlfn.FILTERXML("&lt;t&gt;&lt;s&gt;" &amp; SUBSTITUTE(K492," / ","&lt;/s&gt;&lt;s&gt;") &amp; "&lt;/s&gt;&lt;/t&gt;","(//s[contains(.,'DDR')])[1]"),"")</f>
        <v/>
      </c>
      <c r="M492" s="32" t="e">
        <f t="shared" si="23"/>
        <v>#N/A</v>
      </c>
      <c r="N492" s="51" t="e">
        <f>INDEX(Input!$D$2:$AC$500,
       MATCH(B492, Input!$J$2:$J$500, 0),
       MATCH("Disk Interface Type", Input!$D$1:$AC$1, 0))</f>
        <v>#N/A</v>
      </c>
      <c r="O492" s="51" t="str" cm="1">
        <f t="array" ref="O492">IFERROR(_xlfn.TEXTJOIN(", ", TRUE, _xlfn._xlws.FILTER(
    INDEX(Input!$D$2:$AC$500,,MATCH("Disk Capacity",Input!$D$1:$AC$1,0)),
    Input!$J$2:$J$500=B492
)), "")</f>
        <v/>
      </c>
      <c r="P492" s="32" t="e">
        <f t="shared" si="22"/>
        <v>#N/A</v>
      </c>
      <c r="Q492" s="51" t="e">
        <f>_xlfn.LET(_xlpm.Result,INDEX(Input!$D$2:$AC$500,
       MATCH(B492, Input!$J$2:$J$500, 0),
       MATCH("Capacity", Input!$D$1:$AC$1, 0)),IF(_xlpm.Result="","",_xlpm.Result))</f>
        <v>#N/A</v>
      </c>
      <c r="R492" s="51"/>
      <c r="S492" s="51"/>
      <c r="T492" s="51" t="str" cm="1">
        <f t="array" ref="T492">IFERROR(_xlfn.IFS(
R492="","",
--R492&lt;55,"Battery Defect",
--R492&lt;=69,"Battery D",
--R492&lt;=80,"Battery C",
--R492&gt;80,""
),"")</f>
        <v/>
      </c>
      <c r="U492" s="51" t="str" cm="1">
        <f t="array" ref="U492">IFERROR(_xlfn.IFS(
S492="","",
--S492&lt;55,"Battery Defect",
--S492&lt;=69,"Battery D",
--S492&lt;=80,"Battery C",
--S492&gt;80,""
),"")</f>
        <v/>
      </c>
      <c r="V492" s="51"/>
      <c r="W492" s="51"/>
      <c r="X492" s="51"/>
      <c r="Y492" s="51"/>
      <c r="Z492" s="51"/>
      <c r="AA492" s="51"/>
      <c r="AB492" s="51"/>
      <c r="AC492" s="51"/>
      <c r="AD492" s="32" t="str">
        <f t="shared" si="21"/>
        <v/>
      </c>
      <c r="AE492" s="32"/>
      <c r="AF492" s="32"/>
      <c r="AG492" s="32"/>
      <c r="AH492" s="32"/>
      <c r="AI492" s="32"/>
      <c r="AJ492" s="32"/>
      <c r="AK492" s="32"/>
      <c r="AL492" s="32"/>
    </row>
    <row r="493" spans="1:38">
      <c r="A493" s="32" t="str">
        <f>_xlfn.TEXTJOIN("",TRUE,_xlfn.XLOOKUP(B493,Input!J:J,Input!G:G,"",0,1),_xlfn.XLOOKUP(B493,Input!J:J,Input!H:H,"",0,1))</f>
        <v/>
      </c>
      <c r="B493" s="32"/>
      <c r="C493" s="51">
        <f>_xlfn.XLOOKUP(B493,Input!J:J,Input!F:F)</f>
        <v>0</v>
      </c>
      <c r="D493" s="32">
        <f>_xlfn.XLOOKUP(C493,Models!H:H,Models!G:G,C493)</f>
        <v>0</v>
      </c>
      <c r="E493" s="32">
        <f>_xlfn.XLOOKUP(B493,Input!J:J,Input!E:E)</f>
        <v>0</v>
      </c>
      <c r="F493" s="32">
        <f>IF(E493="LENOVO",_xlfn.XLOOKUP(B493,Input!J:J,Input!K:K),_xlfn.XLOOKUP(B493,Input!J:J,Input!L:L))</f>
        <v>0</v>
      </c>
      <c r="G493" s="32"/>
      <c r="H493" s="32"/>
      <c r="I493" s="32"/>
      <c r="J493" s="51" t="e">
        <f>INDEX(Input!$D$2:$AC$500,
       MATCH(B493, Input!$J$2:$J$500, 0),
       MATCH("Total Memory", Input!$D$1:$AC$1, 0))</f>
        <v>#N/A</v>
      </c>
      <c r="K493" s="51"/>
      <c r="L493" s="51" t="str" cm="1">
        <f t="array" ref="L493">IFERROR(_xlfn.FILTERXML("&lt;t&gt;&lt;s&gt;" &amp; SUBSTITUTE(K493," / ","&lt;/s&gt;&lt;s&gt;") &amp; "&lt;/s&gt;&lt;/t&gt;","(//s[contains(.,'DDR')])[1]"),"")</f>
        <v/>
      </c>
      <c r="M493" s="32" t="e">
        <f t="shared" si="23"/>
        <v>#N/A</v>
      </c>
      <c r="N493" s="51" t="e">
        <f>INDEX(Input!$D$2:$AC$500,
       MATCH(B493, Input!$J$2:$J$500, 0),
       MATCH("Disk Interface Type", Input!$D$1:$AC$1, 0))</f>
        <v>#N/A</v>
      </c>
      <c r="O493" s="51" t="str" cm="1">
        <f t="array" ref="O493">IFERROR(_xlfn.TEXTJOIN(", ", TRUE, _xlfn._xlws.FILTER(
    INDEX(Input!$D$2:$AC$500,,MATCH("Disk Capacity",Input!$D$1:$AC$1,0)),
    Input!$J$2:$J$500=B493
)), "")</f>
        <v/>
      </c>
      <c r="P493" s="32" t="e">
        <f t="shared" si="22"/>
        <v>#N/A</v>
      </c>
      <c r="Q493" s="51" t="e">
        <f>_xlfn.LET(_xlpm.Result,INDEX(Input!$D$2:$AC$500,
       MATCH(B493, Input!$J$2:$J$500, 0),
       MATCH("Capacity", Input!$D$1:$AC$1, 0)),IF(_xlpm.Result="","",_xlpm.Result))</f>
        <v>#N/A</v>
      </c>
      <c r="R493" s="51"/>
      <c r="S493" s="51"/>
      <c r="T493" s="51" t="str" cm="1">
        <f t="array" ref="T493">IFERROR(_xlfn.IFS(
R493="","",
--R493&lt;55,"Battery Defect",
--R493&lt;=69,"Battery D",
--R493&lt;=80,"Battery C",
--R493&gt;80,""
),"")</f>
        <v/>
      </c>
      <c r="U493" s="51" t="str" cm="1">
        <f t="array" ref="U493">IFERROR(_xlfn.IFS(
S493="","",
--S493&lt;55,"Battery Defect",
--S493&lt;=69,"Battery D",
--S493&lt;=80,"Battery C",
--S493&gt;80,""
),"")</f>
        <v/>
      </c>
      <c r="V493" s="51"/>
      <c r="W493" s="51"/>
      <c r="X493" s="51"/>
      <c r="Y493" s="51"/>
      <c r="Z493" s="51"/>
      <c r="AA493" s="51"/>
      <c r="AB493" s="51"/>
      <c r="AC493" s="51"/>
      <c r="AD493" s="32" t="str">
        <f t="shared" si="21"/>
        <v/>
      </c>
      <c r="AE493" s="32"/>
      <c r="AF493" s="32"/>
      <c r="AG493" s="32"/>
      <c r="AH493" s="32"/>
      <c r="AI493" s="32"/>
      <c r="AJ493" s="32"/>
      <c r="AK493" s="32"/>
      <c r="AL493" s="32"/>
    </row>
    <row r="494" spans="1:38">
      <c r="A494" s="32" t="str">
        <f>_xlfn.TEXTJOIN("",TRUE,_xlfn.XLOOKUP(B494,Input!J:J,Input!G:G,"",0,1),_xlfn.XLOOKUP(B494,Input!J:J,Input!H:H,"",0,1))</f>
        <v/>
      </c>
      <c r="B494" s="32"/>
      <c r="C494" s="51">
        <f>_xlfn.XLOOKUP(B494,Input!J:J,Input!F:F)</f>
        <v>0</v>
      </c>
      <c r="D494" s="32">
        <f>_xlfn.XLOOKUP(C494,Models!H:H,Models!G:G,C494)</f>
        <v>0</v>
      </c>
      <c r="E494" s="32">
        <f>_xlfn.XLOOKUP(B494,Input!J:J,Input!E:E)</f>
        <v>0</v>
      </c>
      <c r="F494" s="32">
        <f>IF(E494="LENOVO",_xlfn.XLOOKUP(B494,Input!J:J,Input!K:K),_xlfn.XLOOKUP(B494,Input!J:J,Input!L:L))</f>
        <v>0</v>
      </c>
      <c r="G494" s="32"/>
      <c r="H494" s="32"/>
      <c r="I494" s="32"/>
      <c r="J494" s="51" t="e">
        <f>INDEX(Input!$D$2:$AC$500,
       MATCH(B494, Input!$J$2:$J$500, 0),
       MATCH("Total Memory", Input!$D$1:$AC$1, 0))</f>
        <v>#N/A</v>
      </c>
      <c r="K494" s="51"/>
      <c r="L494" s="51" t="str" cm="1">
        <f t="array" ref="L494">IFERROR(_xlfn.FILTERXML("&lt;t&gt;&lt;s&gt;" &amp; SUBSTITUTE(K494," / ","&lt;/s&gt;&lt;s&gt;") &amp; "&lt;/s&gt;&lt;/t&gt;","(//s[contains(.,'DDR')])[1]"),"")</f>
        <v/>
      </c>
      <c r="M494" s="32" t="e">
        <f t="shared" si="23"/>
        <v>#N/A</v>
      </c>
      <c r="N494" s="51" t="e">
        <f>INDEX(Input!$D$2:$AC$500,
       MATCH(B494, Input!$J$2:$J$500, 0),
       MATCH("Disk Interface Type", Input!$D$1:$AC$1, 0))</f>
        <v>#N/A</v>
      </c>
      <c r="O494" s="51" t="str" cm="1">
        <f t="array" ref="O494">IFERROR(_xlfn.TEXTJOIN(", ", TRUE, _xlfn._xlws.FILTER(
    INDEX(Input!$D$2:$AC$500,,MATCH("Disk Capacity",Input!$D$1:$AC$1,0)),
    Input!$J$2:$J$500=B494
)), "")</f>
        <v/>
      </c>
      <c r="P494" s="32" t="e">
        <f t="shared" si="22"/>
        <v>#N/A</v>
      </c>
      <c r="Q494" s="51" t="e">
        <f>_xlfn.LET(_xlpm.Result,INDEX(Input!$D$2:$AC$500,
       MATCH(B494, Input!$J$2:$J$500, 0),
       MATCH("Capacity", Input!$D$1:$AC$1, 0)),IF(_xlpm.Result="","",_xlpm.Result))</f>
        <v>#N/A</v>
      </c>
      <c r="R494" s="51"/>
      <c r="S494" s="51"/>
      <c r="T494" s="51" t="str" cm="1">
        <f t="array" ref="T494">IFERROR(_xlfn.IFS(
R494="","",
--R494&lt;55,"Battery Defect",
--R494&lt;=69,"Battery D",
--R494&lt;=80,"Battery C",
--R494&gt;80,""
),"")</f>
        <v/>
      </c>
      <c r="U494" s="51" t="str" cm="1">
        <f t="array" ref="U494">IFERROR(_xlfn.IFS(
S494="","",
--S494&lt;55,"Battery Defect",
--S494&lt;=69,"Battery D",
--S494&lt;=80,"Battery C",
--S494&gt;80,""
),"")</f>
        <v/>
      </c>
      <c r="V494" s="51"/>
      <c r="W494" s="51"/>
      <c r="X494" s="51"/>
      <c r="Y494" s="51"/>
      <c r="Z494" s="51"/>
      <c r="AA494" s="51"/>
      <c r="AB494" s="51"/>
      <c r="AC494" s="51"/>
      <c r="AD494" s="32" t="str">
        <f t="shared" si="21"/>
        <v/>
      </c>
      <c r="AE494" s="32"/>
      <c r="AF494" s="32"/>
      <c r="AG494" s="32"/>
      <c r="AH494" s="32"/>
      <c r="AI494" s="32"/>
      <c r="AJ494" s="32"/>
      <c r="AK494" s="32"/>
      <c r="AL494" s="32"/>
    </row>
    <row r="495" spans="1:38">
      <c r="A495" s="32" t="str">
        <f>_xlfn.TEXTJOIN("",TRUE,_xlfn.XLOOKUP(B495,Input!J:J,Input!G:G,"",0,1),_xlfn.XLOOKUP(B495,Input!J:J,Input!H:H,"",0,1))</f>
        <v/>
      </c>
      <c r="B495" s="32"/>
      <c r="C495" s="51">
        <f>_xlfn.XLOOKUP(B495,Input!J:J,Input!F:F)</f>
        <v>0</v>
      </c>
      <c r="D495" s="32">
        <f>_xlfn.XLOOKUP(C495,Models!H:H,Models!G:G,C495)</f>
        <v>0</v>
      </c>
      <c r="E495" s="32">
        <f>_xlfn.XLOOKUP(B495,Input!J:J,Input!E:E)</f>
        <v>0</v>
      </c>
      <c r="F495" s="32">
        <f>IF(E495="LENOVO",_xlfn.XLOOKUP(B495,Input!J:J,Input!K:K),_xlfn.XLOOKUP(B495,Input!J:J,Input!L:L))</f>
        <v>0</v>
      </c>
      <c r="G495" s="32"/>
      <c r="H495" s="32"/>
      <c r="I495" s="32"/>
      <c r="J495" s="51" t="e">
        <f>INDEX(Input!$D$2:$AC$500,
       MATCH(B495, Input!$J$2:$J$500, 0),
       MATCH("Total Memory", Input!$D$1:$AC$1, 0))</f>
        <v>#N/A</v>
      </c>
      <c r="K495" s="51"/>
      <c r="L495" s="51" t="str" cm="1">
        <f t="array" ref="L495">IFERROR(_xlfn.FILTERXML("&lt;t&gt;&lt;s&gt;" &amp; SUBSTITUTE(K495," / ","&lt;/s&gt;&lt;s&gt;") &amp; "&lt;/s&gt;&lt;/t&gt;","(//s[contains(.,'DDR')])[1]"),"")</f>
        <v/>
      </c>
      <c r="M495" s="32" t="e">
        <f t="shared" si="23"/>
        <v>#N/A</v>
      </c>
      <c r="N495" s="51" t="e">
        <f>INDEX(Input!$D$2:$AC$500,
       MATCH(B495, Input!$J$2:$J$500, 0),
       MATCH("Disk Interface Type", Input!$D$1:$AC$1, 0))</f>
        <v>#N/A</v>
      </c>
      <c r="O495" s="51" t="str" cm="1">
        <f t="array" ref="O495">IFERROR(_xlfn.TEXTJOIN(", ", TRUE, _xlfn._xlws.FILTER(
    INDEX(Input!$D$2:$AC$500,,MATCH("Disk Capacity",Input!$D$1:$AC$1,0)),
    Input!$J$2:$J$500=B495
)), "")</f>
        <v/>
      </c>
      <c r="P495" s="32" t="e">
        <f t="shared" si="22"/>
        <v>#N/A</v>
      </c>
      <c r="Q495" s="51" t="e">
        <f>_xlfn.LET(_xlpm.Result,INDEX(Input!$D$2:$AC$500,
       MATCH(B495, Input!$J$2:$J$500, 0),
       MATCH("Capacity", Input!$D$1:$AC$1, 0)),IF(_xlpm.Result="","",_xlpm.Result))</f>
        <v>#N/A</v>
      </c>
      <c r="R495" s="51"/>
      <c r="S495" s="51"/>
      <c r="T495" s="51" t="str" cm="1">
        <f t="array" ref="T495">IFERROR(_xlfn.IFS(
R495="","",
--R495&lt;55,"Battery Defect",
--R495&lt;=69,"Battery D",
--R495&lt;=80,"Battery C",
--R495&gt;80,""
),"")</f>
        <v/>
      </c>
      <c r="U495" s="51" t="str" cm="1">
        <f t="array" ref="U495">IFERROR(_xlfn.IFS(
S495="","",
--S495&lt;55,"Battery Defect",
--S495&lt;=69,"Battery D",
--S495&lt;=80,"Battery C",
--S495&gt;80,""
),"")</f>
        <v/>
      </c>
      <c r="V495" s="51"/>
      <c r="W495" s="51"/>
      <c r="X495" s="51"/>
      <c r="Y495" s="51"/>
      <c r="Z495" s="51"/>
      <c r="AA495" s="51"/>
      <c r="AB495" s="51"/>
      <c r="AC495" s="51"/>
      <c r="AD495" s="32" t="str">
        <f t="shared" si="21"/>
        <v/>
      </c>
      <c r="AE495" s="32"/>
      <c r="AF495" s="32"/>
      <c r="AG495" s="32"/>
      <c r="AH495" s="32"/>
      <c r="AI495" s="32"/>
      <c r="AJ495" s="32"/>
      <c r="AK495" s="32"/>
      <c r="AL495" s="32"/>
    </row>
    <row r="496" spans="1:38">
      <c r="A496" s="32" t="str">
        <f>_xlfn.TEXTJOIN("",TRUE,_xlfn.XLOOKUP(B496,Input!J:J,Input!G:G,"",0,1),_xlfn.XLOOKUP(B496,Input!J:J,Input!H:H,"",0,1))</f>
        <v/>
      </c>
      <c r="B496" s="32"/>
      <c r="C496" s="51">
        <f>_xlfn.XLOOKUP(B496,Input!J:J,Input!F:F)</f>
        <v>0</v>
      </c>
      <c r="D496" s="32">
        <f>_xlfn.XLOOKUP(C496,Models!H:H,Models!G:G,C496)</f>
        <v>0</v>
      </c>
      <c r="E496" s="32">
        <f>_xlfn.XLOOKUP(B496,Input!J:J,Input!E:E)</f>
        <v>0</v>
      </c>
      <c r="F496" s="32">
        <f>IF(E496="LENOVO",_xlfn.XLOOKUP(B496,Input!J:J,Input!K:K),_xlfn.XLOOKUP(B496,Input!J:J,Input!L:L))</f>
        <v>0</v>
      </c>
      <c r="G496" s="32"/>
      <c r="H496" s="32"/>
      <c r="I496" s="32"/>
      <c r="J496" s="51" t="e">
        <f>INDEX(Input!$D$2:$AC$500,
       MATCH(B496, Input!$J$2:$J$500, 0),
       MATCH("Total Memory", Input!$D$1:$AC$1, 0))</f>
        <v>#N/A</v>
      </c>
      <c r="K496" s="51"/>
      <c r="L496" s="51" t="str" cm="1">
        <f t="array" ref="L496">IFERROR(_xlfn.FILTERXML("&lt;t&gt;&lt;s&gt;" &amp; SUBSTITUTE(K496," / ","&lt;/s&gt;&lt;s&gt;") &amp; "&lt;/s&gt;&lt;/t&gt;","(//s[contains(.,'DDR')])[1]"),"")</f>
        <v/>
      </c>
      <c r="M496" s="32" t="e">
        <f t="shared" si="23"/>
        <v>#N/A</v>
      </c>
      <c r="N496" s="51" t="e">
        <f>INDEX(Input!$D$2:$AC$500,
       MATCH(B496, Input!$J$2:$J$500, 0),
       MATCH("Disk Interface Type", Input!$D$1:$AC$1, 0))</f>
        <v>#N/A</v>
      </c>
      <c r="O496" s="51" t="str" cm="1">
        <f t="array" ref="O496">IFERROR(_xlfn.TEXTJOIN(", ", TRUE, _xlfn._xlws.FILTER(
    INDEX(Input!$D$2:$AC$500,,MATCH("Disk Capacity",Input!$D$1:$AC$1,0)),
    Input!$J$2:$J$500=B496
)), "")</f>
        <v/>
      </c>
      <c r="P496" s="32" t="e">
        <f t="shared" si="22"/>
        <v>#N/A</v>
      </c>
      <c r="Q496" s="51" t="e">
        <f>_xlfn.LET(_xlpm.Result,INDEX(Input!$D$2:$AC$500,
       MATCH(B496, Input!$J$2:$J$500, 0),
       MATCH("Capacity", Input!$D$1:$AC$1, 0)),IF(_xlpm.Result="","",_xlpm.Result))</f>
        <v>#N/A</v>
      </c>
      <c r="R496" s="51"/>
      <c r="S496" s="51"/>
      <c r="T496" s="51" t="str" cm="1">
        <f t="array" ref="T496">IFERROR(_xlfn.IFS(
R496="","",
--R496&lt;55,"Battery Defect",
--R496&lt;=69,"Battery D",
--R496&lt;=80,"Battery C",
--R496&gt;80,""
),"")</f>
        <v/>
      </c>
      <c r="U496" s="51" t="str" cm="1">
        <f t="array" ref="U496">IFERROR(_xlfn.IFS(
S496="","",
--S496&lt;55,"Battery Defect",
--S496&lt;=69,"Battery D",
--S496&lt;=80,"Battery C",
--S496&gt;80,""
),"")</f>
        <v/>
      </c>
      <c r="V496" s="51"/>
      <c r="W496" s="51"/>
      <c r="X496" s="51"/>
      <c r="Y496" s="51"/>
      <c r="Z496" s="51"/>
      <c r="AA496" s="51"/>
      <c r="AB496" s="51"/>
      <c r="AC496" s="51"/>
      <c r="AD496" s="32" t="str">
        <f t="shared" si="21"/>
        <v/>
      </c>
      <c r="AE496" s="32"/>
      <c r="AF496" s="32"/>
      <c r="AG496" s="32"/>
      <c r="AH496" s="32"/>
      <c r="AI496" s="32"/>
      <c r="AJ496" s="32"/>
      <c r="AK496" s="32"/>
      <c r="AL496" s="32"/>
    </row>
    <row r="497" spans="1:38">
      <c r="A497" s="32" t="str">
        <f>_xlfn.TEXTJOIN("",TRUE,_xlfn.XLOOKUP(B497,Input!J:J,Input!G:G,"",0,1),_xlfn.XLOOKUP(B497,Input!J:J,Input!H:H,"",0,1))</f>
        <v/>
      </c>
      <c r="B497" s="32"/>
      <c r="C497" s="51">
        <f>_xlfn.XLOOKUP(B497,Input!J:J,Input!F:F)</f>
        <v>0</v>
      </c>
      <c r="D497" s="32">
        <f>_xlfn.XLOOKUP(C497,Models!H:H,Models!G:G,C497)</f>
        <v>0</v>
      </c>
      <c r="E497" s="32">
        <f>_xlfn.XLOOKUP(B497,Input!J:J,Input!E:E)</f>
        <v>0</v>
      </c>
      <c r="F497" s="32">
        <f>IF(E497="LENOVO",_xlfn.XLOOKUP(B497,Input!J:J,Input!K:K),_xlfn.XLOOKUP(B497,Input!J:J,Input!L:L))</f>
        <v>0</v>
      </c>
      <c r="G497" s="32"/>
      <c r="H497" s="32"/>
      <c r="I497" s="32"/>
      <c r="J497" s="51" t="e">
        <f>INDEX(Input!$D$2:$AC$500,
       MATCH(B497, Input!$J$2:$J$500, 0),
       MATCH("Total Memory", Input!$D$1:$AC$1, 0))</f>
        <v>#N/A</v>
      </c>
      <c r="K497" s="51"/>
      <c r="L497" s="51" t="str" cm="1">
        <f t="array" ref="L497">IFERROR(_xlfn.FILTERXML("&lt;t&gt;&lt;s&gt;" &amp; SUBSTITUTE(K497," / ","&lt;/s&gt;&lt;s&gt;") &amp; "&lt;/s&gt;&lt;/t&gt;","(//s[contains(.,'DDR')])[1]"),"")</f>
        <v/>
      </c>
      <c r="M497" s="32" t="e">
        <f t="shared" si="23"/>
        <v>#N/A</v>
      </c>
      <c r="N497" s="51" t="e">
        <f>INDEX(Input!$D$2:$AC$500,
       MATCH(B497, Input!$J$2:$J$500, 0),
       MATCH("Disk Interface Type", Input!$D$1:$AC$1, 0))</f>
        <v>#N/A</v>
      </c>
      <c r="O497" s="51" t="str" cm="1">
        <f t="array" ref="O497">IFERROR(_xlfn.TEXTJOIN(", ", TRUE, _xlfn._xlws.FILTER(
    INDEX(Input!$D$2:$AC$500,,MATCH("Disk Capacity",Input!$D$1:$AC$1,0)),
    Input!$J$2:$J$500=B497
)), "")</f>
        <v/>
      </c>
      <c r="P497" s="32" t="e">
        <f t="shared" si="22"/>
        <v>#N/A</v>
      </c>
      <c r="Q497" s="51" t="e">
        <f>_xlfn.LET(_xlpm.Result,INDEX(Input!$D$2:$AC$500,
       MATCH(B497, Input!$J$2:$J$500, 0),
       MATCH("Capacity", Input!$D$1:$AC$1, 0)),IF(_xlpm.Result="","",_xlpm.Result))</f>
        <v>#N/A</v>
      </c>
      <c r="R497" s="51"/>
      <c r="S497" s="51"/>
      <c r="T497" s="51" t="str" cm="1">
        <f t="array" ref="T497">IFERROR(_xlfn.IFS(
R497="","",
--R497&lt;55,"Battery Defect",
--R497&lt;=69,"Battery D",
--R497&lt;=80,"Battery C",
--R497&gt;80,""
),"")</f>
        <v/>
      </c>
      <c r="U497" s="51" t="str" cm="1">
        <f t="array" ref="U497">IFERROR(_xlfn.IFS(
S497="","",
--S497&lt;55,"Battery Defect",
--S497&lt;=69,"Battery D",
--S497&lt;=80,"Battery C",
--S497&gt;80,""
),"")</f>
        <v/>
      </c>
      <c r="V497" s="51"/>
      <c r="W497" s="51"/>
      <c r="X497" s="51"/>
      <c r="Y497" s="51"/>
      <c r="Z497" s="51"/>
      <c r="AA497" s="51"/>
      <c r="AB497" s="51"/>
      <c r="AC497" s="51"/>
      <c r="AD497" s="32" t="str">
        <f t="shared" si="21"/>
        <v/>
      </c>
      <c r="AE497" s="32"/>
      <c r="AF497" s="32"/>
      <c r="AG497" s="32"/>
      <c r="AH497" s="32"/>
      <c r="AI497" s="32"/>
      <c r="AJ497" s="32"/>
      <c r="AK497" s="32"/>
      <c r="AL497" s="32"/>
    </row>
    <row r="498" spans="1:38">
      <c r="A498" s="32" t="str">
        <f>_xlfn.TEXTJOIN("",TRUE,_xlfn.XLOOKUP(B498,Input!J:J,Input!G:G,"",0,1),_xlfn.XLOOKUP(B498,Input!J:J,Input!H:H,"",0,1))</f>
        <v/>
      </c>
      <c r="B498" s="32"/>
      <c r="C498" s="51">
        <f>_xlfn.XLOOKUP(B498,Input!J:J,Input!F:F)</f>
        <v>0</v>
      </c>
      <c r="D498" s="32">
        <f>_xlfn.XLOOKUP(C498,Models!H:H,Models!G:G,C498)</f>
        <v>0</v>
      </c>
      <c r="E498" s="32">
        <f>_xlfn.XLOOKUP(B498,Input!J:J,Input!E:E)</f>
        <v>0</v>
      </c>
      <c r="F498" s="32">
        <f>IF(E498="LENOVO",_xlfn.XLOOKUP(B498,Input!J:J,Input!K:K),_xlfn.XLOOKUP(B498,Input!J:J,Input!L:L))</f>
        <v>0</v>
      </c>
      <c r="G498" s="32"/>
      <c r="H498" s="32"/>
      <c r="I498" s="32"/>
      <c r="J498" s="51" t="e">
        <f>INDEX(Input!$D$2:$AC$500,
       MATCH(B498, Input!$J$2:$J$500, 0),
       MATCH("Total Memory", Input!$D$1:$AC$1, 0))</f>
        <v>#N/A</v>
      </c>
      <c r="K498" s="51"/>
      <c r="L498" s="51" t="str" cm="1">
        <f t="array" ref="L498">IFERROR(_xlfn.FILTERXML("&lt;t&gt;&lt;s&gt;" &amp; SUBSTITUTE(K498," / ","&lt;/s&gt;&lt;s&gt;") &amp; "&lt;/s&gt;&lt;/t&gt;","(//s[contains(.,'DDR')])[1]"),"")</f>
        <v/>
      </c>
      <c r="M498" s="32" t="e">
        <f t="shared" si="23"/>
        <v>#N/A</v>
      </c>
      <c r="N498" s="51" t="e">
        <f>INDEX(Input!$D$2:$AC$500,
       MATCH(B498, Input!$J$2:$J$500, 0),
       MATCH("Disk Interface Type", Input!$D$1:$AC$1, 0))</f>
        <v>#N/A</v>
      </c>
      <c r="O498" s="51" t="str" cm="1">
        <f t="array" ref="O498">IFERROR(_xlfn.TEXTJOIN(", ", TRUE, _xlfn._xlws.FILTER(
    INDEX(Input!$D$2:$AC$500,,MATCH("Disk Capacity",Input!$D$1:$AC$1,0)),
    Input!$J$2:$J$500=B498
)), "")</f>
        <v/>
      </c>
      <c r="P498" s="32" t="e">
        <f t="shared" si="22"/>
        <v>#N/A</v>
      </c>
      <c r="Q498" s="51" t="e">
        <f>_xlfn.LET(_xlpm.Result,INDEX(Input!$D$2:$AC$500,
       MATCH(B498, Input!$J$2:$J$500, 0),
       MATCH("Capacity", Input!$D$1:$AC$1, 0)),IF(_xlpm.Result="","",_xlpm.Result))</f>
        <v>#N/A</v>
      </c>
      <c r="R498" s="51"/>
      <c r="S498" s="51"/>
      <c r="T498" s="51" t="str" cm="1">
        <f t="array" ref="T498">IFERROR(_xlfn.IFS(
R498="","",
--R498&lt;55,"Battery Defect",
--R498&lt;=69,"Battery D",
--R498&lt;=80,"Battery C",
--R498&gt;80,""
),"")</f>
        <v/>
      </c>
      <c r="U498" s="51" t="str" cm="1">
        <f t="array" ref="U498">IFERROR(_xlfn.IFS(
S498="","",
--S498&lt;55,"Battery Defect",
--S498&lt;=69,"Battery D",
--S498&lt;=80,"Battery C",
--S498&gt;80,""
),"")</f>
        <v/>
      </c>
      <c r="V498" s="51"/>
      <c r="W498" s="51"/>
      <c r="X498" s="51"/>
      <c r="Y498" s="51"/>
      <c r="Z498" s="51"/>
      <c r="AA498" s="51"/>
      <c r="AB498" s="51"/>
      <c r="AC498" s="51"/>
      <c r="AD498" s="32" t="str">
        <f t="shared" si="21"/>
        <v/>
      </c>
      <c r="AE498" s="32"/>
      <c r="AF498" s="32"/>
      <c r="AG498" s="32"/>
      <c r="AH498" s="32"/>
      <c r="AI498" s="32"/>
      <c r="AJ498" s="32"/>
      <c r="AK498" s="32"/>
      <c r="AL498" s="32"/>
    </row>
    <row r="499" spans="1:38">
      <c r="A499" s="32" t="str">
        <f>_xlfn.TEXTJOIN("",TRUE,_xlfn.XLOOKUP(B499,Input!J:J,Input!G:G,"",0,1),_xlfn.XLOOKUP(B499,Input!J:J,Input!H:H,"",0,1))</f>
        <v/>
      </c>
      <c r="B499" s="32"/>
      <c r="C499" s="51">
        <f>_xlfn.XLOOKUP(B499,Input!J:J,Input!F:F)</f>
        <v>0</v>
      </c>
      <c r="D499" s="32">
        <f>_xlfn.XLOOKUP(C499,Models!H:H,Models!G:G,C499)</f>
        <v>0</v>
      </c>
      <c r="E499" s="32">
        <f>_xlfn.XLOOKUP(B499,Input!J:J,Input!E:E)</f>
        <v>0</v>
      </c>
      <c r="F499" s="32">
        <f>IF(E499="LENOVO",_xlfn.XLOOKUP(B499,Input!J:J,Input!K:K),_xlfn.XLOOKUP(B499,Input!J:J,Input!L:L))</f>
        <v>0</v>
      </c>
      <c r="G499" s="32"/>
      <c r="H499" s="32"/>
      <c r="I499" s="32"/>
      <c r="J499" s="51" t="e">
        <f>INDEX(Input!$D$2:$AC$500,
       MATCH(B499, Input!$J$2:$J$500, 0),
       MATCH("Total Memory", Input!$D$1:$AC$1, 0))</f>
        <v>#N/A</v>
      </c>
      <c r="K499" s="51"/>
      <c r="L499" s="51" t="str" cm="1">
        <f t="array" ref="L499">IFERROR(_xlfn.FILTERXML("&lt;t&gt;&lt;s&gt;" &amp; SUBSTITUTE(K499," / ","&lt;/s&gt;&lt;s&gt;") &amp; "&lt;/s&gt;&lt;/t&gt;","(//s[contains(.,'DDR')])[1]"),"")</f>
        <v/>
      </c>
      <c r="M499" s="32" t="e">
        <f t="shared" si="23"/>
        <v>#N/A</v>
      </c>
      <c r="N499" s="51" t="e">
        <f>INDEX(Input!$D$2:$AC$500,
       MATCH(B499, Input!$J$2:$J$500, 0),
       MATCH("Disk Interface Type", Input!$D$1:$AC$1, 0))</f>
        <v>#N/A</v>
      </c>
      <c r="O499" s="51" t="str" cm="1">
        <f t="array" ref="O499">IFERROR(_xlfn.TEXTJOIN(", ", TRUE, _xlfn._xlws.FILTER(
    INDEX(Input!$D$2:$AC$500,,MATCH("Disk Capacity",Input!$D$1:$AC$1,0)),
    Input!$J$2:$J$500=B499
)), "")</f>
        <v/>
      </c>
      <c r="P499" s="32" t="e">
        <f t="shared" si="22"/>
        <v>#N/A</v>
      </c>
      <c r="Q499" s="51" t="e">
        <f>_xlfn.LET(_xlpm.Result,INDEX(Input!$D$2:$AC$500,
       MATCH(B499, Input!$J$2:$J$500, 0),
       MATCH("Capacity", Input!$D$1:$AC$1, 0)),IF(_xlpm.Result="","",_xlpm.Result))</f>
        <v>#N/A</v>
      </c>
      <c r="R499" s="51"/>
      <c r="S499" s="51"/>
      <c r="T499" s="51" t="str" cm="1">
        <f t="array" ref="T499">IFERROR(_xlfn.IFS(
R499="","",
--R499&lt;55,"Battery Defect",
--R499&lt;=69,"Battery D",
--R499&lt;=80,"Battery C",
--R499&gt;80,""
),"")</f>
        <v/>
      </c>
      <c r="U499" s="51" t="str" cm="1">
        <f t="array" ref="U499">IFERROR(_xlfn.IFS(
S499="","",
--S499&lt;55,"Battery Defect",
--S499&lt;=69,"Battery D",
--S499&lt;=80,"Battery C",
--S499&gt;80,""
),"")</f>
        <v/>
      </c>
      <c r="V499" s="51"/>
      <c r="W499" s="51"/>
      <c r="X499" s="51"/>
      <c r="Y499" s="51"/>
      <c r="Z499" s="51"/>
      <c r="AA499" s="51"/>
      <c r="AB499" s="51"/>
      <c r="AC499" s="51"/>
      <c r="AD499" s="32" t="str">
        <f t="shared" si="21"/>
        <v/>
      </c>
      <c r="AE499" s="32"/>
      <c r="AF499" s="32"/>
      <c r="AG499" s="32"/>
      <c r="AH499" s="32"/>
      <c r="AI499" s="32"/>
      <c r="AJ499" s="32"/>
      <c r="AK499" s="32"/>
      <c r="AL499" s="32"/>
    </row>
    <row r="500" spans="1:38">
      <c r="A500" s="32" t="str">
        <f>_xlfn.TEXTJOIN("",TRUE,_xlfn.XLOOKUP(B500,Input!J:J,Input!G:G,"",0,1),_xlfn.XLOOKUP(B500,Input!J:J,Input!H:H,"",0,1))</f>
        <v/>
      </c>
      <c r="B500" s="32"/>
      <c r="C500" s="51">
        <f>_xlfn.XLOOKUP(B500,Input!J:J,Input!F:F)</f>
        <v>0</v>
      </c>
      <c r="D500" s="32">
        <f>_xlfn.XLOOKUP(C500,Models!H:H,Models!G:G,C500)</f>
        <v>0</v>
      </c>
      <c r="E500" s="32">
        <f>_xlfn.XLOOKUP(B500,Input!J:J,Input!E:E)</f>
        <v>0</v>
      </c>
      <c r="F500" s="32">
        <f>IF(E500="LENOVO",_xlfn.XLOOKUP(B500,Input!J:J,Input!K:K),_xlfn.XLOOKUP(B500,Input!J:J,Input!L:L))</f>
        <v>0</v>
      </c>
      <c r="G500" s="32"/>
      <c r="H500" s="32"/>
      <c r="I500" s="32"/>
      <c r="J500" s="51" t="e">
        <f>INDEX(Input!$D$2:$AC$500,
       MATCH(B500, Input!$J$2:$J$500, 0),
       MATCH("Total Memory", Input!$D$1:$AC$1, 0))</f>
        <v>#N/A</v>
      </c>
      <c r="K500" s="51"/>
      <c r="L500" s="51" t="str" cm="1">
        <f t="array" ref="L500">IFERROR(_xlfn.FILTERXML("&lt;t&gt;&lt;s&gt;" &amp; SUBSTITUTE(K500," / ","&lt;/s&gt;&lt;s&gt;") &amp; "&lt;/s&gt;&lt;/t&gt;","(//s[contains(.,'DDR')])[1]"),"")</f>
        <v/>
      </c>
      <c r="M500" s="32" t="e">
        <f t="shared" si="23"/>
        <v>#N/A</v>
      </c>
      <c r="N500" s="51" t="e">
        <f>INDEX(Input!$D$2:$AC$500,
       MATCH(B500, Input!$J$2:$J$500, 0),
       MATCH("Disk Interface Type", Input!$D$1:$AC$1, 0))</f>
        <v>#N/A</v>
      </c>
      <c r="O500" s="51" t="str" cm="1">
        <f t="array" ref="O500">IFERROR(_xlfn.TEXTJOIN(", ", TRUE, _xlfn._xlws.FILTER(
    INDEX(Input!$D$2:$AC$500,,MATCH("Disk Capacity",Input!$D$1:$AC$1,0)),
    Input!$J$2:$J$500=B500
)), "")</f>
        <v/>
      </c>
      <c r="P500" s="32" t="e">
        <f t="shared" si="22"/>
        <v>#N/A</v>
      </c>
      <c r="Q500" s="51" t="e">
        <f>_xlfn.LET(_xlpm.Result,INDEX(Input!$D$2:$AC$500,
       MATCH(B500, Input!$J$2:$J$500, 0),
       MATCH("Capacity", Input!$D$1:$AC$1, 0)),IF(_xlpm.Result="","",_xlpm.Result))</f>
        <v>#N/A</v>
      </c>
      <c r="R500" s="51"/>
      <c r="S500" s="51"/>
      <c r="T500" s="51" t="str" cm="1">
        <f t="array" ref="T500">IFERROR(_xlfn.IFS(
R500="","",
--R500&lt;55,"Battery Defect",
--R500&lt;=69,"Battery D",
--R500&lt;=80,"Battery C",
--R500&gt;80,""
),"")</f>
        <v/>
      </c>
      <c r="U500" s="51" t="str" cm="1">
        <f t="array" ref="U500">IFERROR(_xlfn.IFS(
S500="","",
--S500&lt;55,"Battery Defect",
--S500&lt;=69,"Battery D",
--S500&lt;=80,"Battery C",
--S500&gt;80,""
),"")</f>
        <v/>
      </c>
      <c r="V500" s="51"/>
      <c r="W500" s="51"/>
      <c r="X500" s="51"/>
      <c r="Y500" s="51"/>
      <c r="Z500" s="51"/>
      <c r="AA500" s="51"/>
      <c r="AB500" s="51"/>
      <c r="AC500" s="51"/>
      <c r="AD500" s="32" t="str">
        <f t="shared" si="21"/>
        <v/>
      </c>
      <c r="AE500" s="32"/>
      <c r="AF500" s="32"/>
      <c r="AG500" s="32"/>
      <c r="AH500" s="32"/>
      <c r="AI500" s="32"/>
      <c r="AJ500" s="32"/>
      <c r="AK500" s="32"/>
      <c r="AL500" s="32"/>
    </row>
    <row r="501" spans="1:38">
      <c r="A501" s="32" t="str">
        <f>_xlfn.TEXTJOIN("",TRUE,_xlfn.XLOOKUP(B501,Input!J:J,Input!G:G,"",0,1),_xlfn.XLOOKUP(B501,Input!J:J,Input!H:H,"",0,1))</f>
        <v/>
      </c>
      <c r="B501" s="32"/>
      <c r="C501" s="51">
        <f>_xlfn.XLOOKUP(B501,Input!J:J,Input!F:F)</f>
        <v>0</v>
      </c>
      <c r="D501" s="32">
        <f>_xlfn.XLOOKUP(C501,Models!H:H,Models!G:G,C501)</f>
        <v>0</v>
      </c>
      <c r="E501" s="32">
        <f>_xlfn.XLOOKUP(B501,Input!J:J,Input!E:E)</f>
        <v>0</v>
      </c>
      <c r="F501" s="32">
        <f>IF(E501="LENOVO",_xlfn.XLOOKUP(B501,Input!J:J,Input!K:K),_xlfn.XLOOKUP(B501,Input!J:J,Input!L:L))</f>
        <v>0</v>
      </c>
      <c r="G501" s="32"/>
      <c r="H501" s="32"/>
      <c r="I501" s="32"/>
      <c r="J501" s="51" t="e">
        <f>INDEX(Input!$D$2:$AC$500,
       MATCH(B501, Input!$J$2:$J$500, 0),
       MATCH("Total Memory", Input!$D$1:$AC$1, 0))</f>
        <v>#N/A</v>
      </c>
      <c r="K501" s="51"/>
      <c r="L501" s="51" t="str" cm="1">
        <f t="array" ref="L501">IFERROR(_xlfn.FILTERXML("&lt;t&gt;&lt;s&gt;" &amp; SUBSTITUTE(K501," / ","&lt;/s&gt;&lt;s&gt;") &amp; "&lt;/s&gt;&lt;/t&gt;","(//s[contains(.,'DDR')])[1]"),"")</f>
        <v/>
      </c>
      <c r="M501" s="32" t="e">
        <f t="shared" si="23"/>
        <v>#N/A</v>
      </c>
      <c r="N501" s="51" t="e">
        <f>INDEX(Input!$D$2:$AC$500,
       MATCH(B501, Input!$J$2:$J$500, 0),
       MATCH("Disk Interface Type", Input!$D$1:$AC$1, 0))</f>
        <v>#N/A</v>
      </c>
      <c r="O501" s="51" t="str" cm="1">
        <f t="array" ref="O501">IFERROR(_xlfn.TEXTJOIN(", ", TRUE, _xlfn._xlws.FILTER(
    INDEX(Input!$D$2:$AC$500,,MATCH("Disk Capacity",Input!$D$1:$AC$1,0)),
    Input!$J$2:$J$500=B501
)), "")</f>
        <v/>
      </c>
      <c r="P501" s="32" t="e">
        <f t="shared" si="22"/>
        <v>#N/A</v>
      </c>
      <c r="Q501" s="51" t="e">
        <f>_xlfn.LET(_xlpm.Result,INDEX(Input!$D$2:$AC$500,
       MATCH(B501, Input!$J$2:$J$500, 0),
       MATCH("Capacity", Input!$D$1:$AC$1, 0)),IF(_xlpm.Result="","",_xlpm.Result))</f>
        <v>#N/A</v>
      </c>
      <c r="R501" s="51"/>
      <c r="S501" s="51"/>
      <c r="T501" s="51" t="str" cm="1">
        <f t="array" ref="T501">IFERROR(_xlfn.IFS(
R501="","",
--R501&lt;55,"Battery Defect",
--R501&lt;=69,"Battery D",
--R501&lt;=80,"Battery C",
--R501&gt;80,""
),"")</f>
        <v/>
      </c>
      <c r="U501" s="51" t="str" cm="1">
        <f t="array" ref="U501">IFERROR(_xlfn.IFS(
S501="","",
--S501&lt;55,"Battery Defect",
--S501&lt;=69,"Battery D",
--S501&lt;=80,"Battery C",
--S501&gt;80,""
),"")</f>
        <v/>
      </c>
      <c r="V501" s="51"/>
      <c r="W501" s="51"/>
      <c r="X501" s="51"/>
      <c r="Y501" s="51"/>
      <c r="Z501" s="51"/>
      <c r="AA501" s="51"/>
      <c r="AB501" s="51"/>
      <c r="AC501" s="51"/>
      <c r="AD501" s="32" t="str">
        <f t="shared" si="21"/>
        <v/>
      </c>
      <c r="AE501" s="32"/>
      <c r="AF501" s="32"/>
      <c r="AG501" s="32"/>
      <c r="AH501" s="32"/>
      <c r="AI501" s="32"/>
      <c r="AJ501" s="32"/>
      <c r="AK501" s="32"/>
      <c r="AL501" s="32"/>
    </row>
    <row r="502" spans="1:38">
      <c r="A502" s="32" t="str">
        <f>_xlfn.TEXTJOIN("",TRUE,_xlfn.XLOOKUP(B502,Input!J:J,Input!G:G,"",0,1),_xlfn.XLOOKUP(B502,Input!J:J,Input!H:H,"",0,1))</f>
        <v/>
      </c>
      <c r="B502" s="32"/>
      <c r="C502" s="51">
        <f>_xlfn.XLOOKUP(B502,Input!J:J,Input!F:F)</f>
        <v>0</v>
      </c>
      <c r="D502" s="32">
        <f>_xlfn.XLOOKUP(C502,Models!H:H,Models!G:G,C502)</f>
        <v>0</v>
      </c>
      <c r="E502" s="32">
        <f>_xlfn.XLOOKUP(B502,Input!J:J,Input!E:E)</f>
        <v>0</v>
      </c>
      <c r="F502" s="32">
        <f>IF(E502="LENOVO",_xlfn.XLOOKUP(B502,Input!J:J,Input!K:K),_xlfn.XLOOKUP(B502,Input!J:J,Input!L:L))</f>
        <v>0</v>
      </c>
      <c r="G502" s="32"/>
      <c r="H502" s="32"/>
      <c r="I502" s="32"/>
      <c r="J502" s="51" t="e">
        <f>INDEX(Input!$D$2:$AC$500,
       MATCH(B502, Input!$J$2:$J$500, 0),
       MATCH("Total Memory", Input!$D$1:$AC$1, 0))</f>
        <v>#N/A</v>
      </c>
      <c r="K502" s="51"/>
      <c r="L502" s="51" t="str" cm="1">
        <f t="array" ref="L502">IFERROR(_xlfn.FILTERXML("&lt;t&gt;&lt;s&gt;" &amp; SUBSTITUTE(K502," / ","&lt;/s&gt;&lt;s&gt;") &amp; "&lt;/s&gt;&lt;/t&gt;","(//s[contains(.,'DDR')])[1]"),"")</f>
        <v/>
      </c>
      <c r="M502" s="32" t="e">
        <f t="shared" si="23"/>
        <v>#N/A</v>
      </c>
      <c r="N502" s="51" t="e">
        <f>INDEX(Input!$D$2:$AC$500,
       MATCH(B502, Input!$J$2:$J$500, 0),
       MATCH("Disk Interface Type", Input!$D$1:$AC$1, 0))</f>
        <v>#N/A</v>
      </c>
      <c r="O502" s="51" t="str" cm="1">
        <f t="array" ref="O502">IFERROR(_xlfn.TEXTJOIN(", ", TRUE, _xlfn._xlws.FILTER(
    INDEX(Input!$D$2:$AC$500,,MATCH("Disk Capacity",Input!$D$1:$AC$1,0)),
    Input!$J$2:$J$500=B502
)), "")</f>
        <v/>
      </c>
      <c r="P502" s="32" t="e">
        <f t="shared" si="22"/>
        <v>#N/A</v>
      </c>
      <c r="Q502" s="51" t="e">
        <f>_xlfn.LET(_xlpm.Result,INDEX(Input!$D$2:$AC$500,
       MATCH(B502, Input!$J$2:$J$500, 0),
       MATCH("Capacity", Input!$D$1:$AC$1, 0)),IF(_xlpm.Result="","",_xlpm.Result))</f>
        <v>#N/A</v>
      </c>
      <c r="R502" s="51"/>
      <c r="S502" s="51"/>
      <c r="T502" s="51" t="str" cm="1">
        <f t="array" ref="T502">IFERROR(_xlfn.IFS(
R502="","",
--R502&lt;55,"Battery Defect",
--R502&lt;=69,"Battery D",
--R502&lt;=80,"Battery C",
--R502&gt;80,""
),"")</f>
        <v/>
      </c>
      <c r="U502" s="51" t="str" cm="1">
        <f t="array" ref="U502">IFERROR(_xlfn.IFS(
S502="","",
--S502&lt;55,"Battery Defect",
--S502&lt;=69,"Battery D",
--S502&lt;=80,"Battery C",
--S502&gt;80,""
),"")</f>
        <v/>
      </c>
      <c r="V502" s="51"/>
      <c r="W502" s="51"/>
      <c r="X502" s="51"/>
      <c r="Y502" s="51"/>
      <c r="Z502" s="51"/>
      <c r="AA502" s="51"/>
      <c r="AB502" s="51"/>
      <c r="AC502" s="51"/>
      <c r="AD502" s="32" t="str">
        <f t="shared" si="21"/>
        <v/>
      </c>
      <c r="AE502" s="32"/>
      <c r="AF502" s="32"/>
      <c r="AG502" s="32"/>
      <c r="AH502" s="32"/>
      <c r="AI502" s="32"/>
      <c r="AJ502" s="32"/>
      <c r="AK502" s="32"/>
      <c r="AL502" s="32"/>
    </row>
    <row r="503" spans="1:38">
      <c r="A503" s="32" t="str">
        <f>_xlfn.TEXTJOIN("",TRUE,_xlfn.XLOOKUP(B503,Input!J:J,Input!G:G,"",0,1),_xlfn.XLOOKUP(B503,Input!J:J,Input!H:H,"",0,1))</f>
        <v/>
      </c>
      <c r="B503" s="32"/>
      <c r="C503" s="51">
        <f>_xlfn.XLOOKUP(B503,Input!J:J,Input!F:F)</f>
        <v>0</v>
      </c>
      <c r="D503" s="32">
        <f>_xlfn.XLOOKUP(C503,Models!H:H,Models!G:G,C503)</f>
        <v>0</v>
      </c>
      <c r="E503" s="32">
        <f>_xlfn.XLOOKUP(B503,Input!J:J,Input!E:E)</f>
        <v>0</v>
      </c>
      <c r="F503" s="32">
        <f>IF(E503="LENOVO",_xlfn.XLOOKUP(B503,Input!J:J,Input!K:K),_xlfn.XLOOKUP(B503,Input!J:J,Input!L:L))</f>
        <v>0</v>
      </c>
      <c r="G503" s="32"/>
      <c r="H503" s="32"/>
      <c r="I503" s="32"/>
      <c r="J503" s="51" t="e">
        <f>INDEX(Input!$D$2:$AC$500,
       MATCH(B503, Input!$J$2:$J$500, 0),
       MATCH("Total Memory", Input!$D$1:$AC$1, 0))</f>
        <v>#N/A</v>
      </c>
      <c r="K503" s="51"/>
      <c r="L503" s="51" t="str" cm="1">
        <f t="array" ref="L503">IFERROR(_xlfn.FILTERXML("&lt;t&gt;&lt;s&gt;" &amp; SUBSTITUTE(K503," / ","&lt;/s&gt;&lt;s&gt;") &amp; "&lt;/s&gt;&lt;/t&gt;","(//s[contains(.,'DDR')])[1]"),"")</f>
        <v/>
      </c>
      <c r="M503" s="32" t="e">
        <f t="shared" si="23"/>
        <v>#N/A</v>
      </c>
      <c r="N503" s="51" t="e">
        <f>INDEX(Input!$D$2:$AC$500,
       MATCH(B503, Input!$J$2:$J$500, 0),
       MATCH("Disk Interface Type", Input!$D$1:$AC$1, 0))</f>
        <v>#N/A</v>
      </c>
      <c r="O503" s="51" t="str" cm="1">
        <f t="array" ref="O503">IFERROR(_xlfn.TEXTJOIN(", ", TRUE, _xlfn._xlws.FILTER(
    INDEX(Input!$D$2:$AC$500,,MATCH("Disk Capacity",Input!$D$1:$AC$1,0)),
    Input!$J$2:$J$500=B503
)), "")</f>
        <v/>
      </c>
      <c r="P503" s="32" t="e">
        <f t="shared" si="22"/>
        <v>#N/A</v>
      </c>
      <c r="Q503" s="51" t="e">
        <f>_xlfn.LET(_xlpm.Result,INDEX(Input!$D$2:$AC$500,
       MATCH(B503, Input!$J$2:$J$500, 0),
       MATCH("Capacity", Input!$D$1:$AC$1, 0)),IF(_xlpm.Result="","",_xlpm.Result))</f>
        <v>#N/A</v>
      </c>
      <c r="R503" s="51"/>
      <c r="S503" s="51"/>
      <c r="T503" s="51" t="str" cm="1">
        <f t="array" ref="T503">IFERROR(_xlfn.IFS(
R503="","",
--R503&lt;55,"Battery Defect",
--R503&lt;=69,"Battery D",
--R503&lt;=80,"Battery C",
--R503&gt;80,""
),"")</f>
        <v/>
      </c>
      <c r="U503" s="51" t="str" cm="1">
        <f t="array" ref="U503">IFERROR(_xlfn.IFS(
S503="","",
--S503&lt;55,"Battery Defect",
--S503&lt;=69,"Battery D",
--S503&lt;=80,"Battery C",
--S503&gt;80,""
),"")</f>
        <v/>
      </c>
      <c r="V503" s="51"/>
      <c r="W503" s="51"/>
      <c r="X503" s="51"/>
      <c r="Y503" s="51"/>
      <c r="Z503" s="51"/>
      <c r="AA503" s="51"/>
      <c r="AB503" s="51"/>
      <c r="AC503" s="51"/>
      <c r="AD503" s="32" t="str">
        <f t="shared" si="21"/>
        <v/>
      </c>
      <c r="AE503" s="32"/>
      <c r="AF503" s="32"/>
      <c r="AG503" s="32"/>
      <c r="AH503" s="32"/>
      <c r="AI503" s="32"/>
      <c r="AJ503" s="32"/>
      <c r="AK503" s="32"/>
      <c r="AL503" s="32"/>
    </row>
    <row r="504" spans="1:38">
      <c r="A504" s="32" t="str">
        <f>_xlfn.TEXTJOIN("",TRUE,_xlfn.XLOOKUP(B504,Input!J:J,Input!G:G,"",0,1),_xlfn.XLOOKUP(B504,Input!J:J,Input!H:H,"",0,1))</f>
        <v/>
      </c>
      <c r="B504" s="32"/>
      <c r="C504" s="51">
        <f>_xlfn.XLOOKUP(B504,Input!J:J,Input!F:F)</f>
        <v>0</v>
      </c>
      <c r="D504" s="32">
        <f>_xlfn.XLOOKUP(C504,Models!H:H,Models!G:G,C504)</f>
        <v>0</v>
      </c>
      <c r="E504" s="32">
        <f>_xlfn.XLOOKUP(B504,Input!J:J,Input!E:E)</f>
        <v>0</v>
      </c>
      <c r="F504" s="32">
        <f>IF(E504="LENOVO",_xlfn.XLOOKUP(B504,Input!J:J,Input!K:K),_xlfn.XLOOKUP(B504,Input!J:J,Input!L:L))</f>
        <v>0</v>
      </c>
      <c r="G504" s="32"/>
      <c r="H504" s="32"/>
      <c r="I504" s="32"/>
      <c r="J504" s="51" t="e">
        <f>INDEX(Input!$D$2:$AC$500,
       MATCH(B504, Input!$J$2:$J$500, 0),
       MATCH("Total Memory", Input!$D$1:$AC$1, 0))</f>
        <v>#N/A</v>
      </c>
      <c r="K504" s="51"/>
      <c r="L504" s="51" t="str" cm="1">
        <f t="array" ref="L504">IFERROR(_xlfn.FILTERXML("&lt;t&gt;&lt;s&gt;" &amp; SUBSTITUTE(K504," / ","&lt;/s&gt;&lt;s&gt;") &amp; "&lt;/s&gt;&lt;/t&gt;","(//s[contains(.,'DDR')])[1]"),"")</f>
        <v/>
      </c>
      <c r="M504" s="32" t="e">
        <f t="shared" si="23"/>
        <v>#N/A</v>
      </c>
      <c r="N504" s="51" t="e">
        <f>INDEX(Input!$D$2:$AC$500,
       MATCH(B504, Input!$J$2:$J$500, 0),
       MATCH("Disk Interface Type", Input!$D$1:$AC$1, 0))</f>
        <v>#N/A</v>
      </c>
      <c r="O504" s="51" t="str" cm="1">
        <f t="array" ref="O504">IFERROR(_xlfn.TEXTJOIN(", ", TRUE, _xlfn._xlws.FILTER(
    INDEX(Input!$D$2:$AC$500,,MATCH("Disk Capacity",Input!$D$1:$AC$1,0)),
    Input!$J$2:$J$500=B504
)), "")</f>
        <v/>
      </c>
      <c r="P504" s="32" t="e">
        <f t="shared" si="22"/>
        <v>#N/A</v>
      </c>
      <c r="Q504" s="51" t="e">
        <f>_xlfn.LET(_xlpm.Result,INDEX(Input!$D$2:$AC$500,
       MATCH(B504, Input!$J$2:$J$500, 0),
       MATCH("Capacity", Input!$D$1:$AC$1, 0)),IF(_xlpm.Result="","",_xlpm.Result))</f>
        <v>#N/A</v>
      </c>
      <c r="R504" s="51"/>
      <c r="S504" s="51"/>
      <c r="T504" s="51" t="str" cm="1">
        <f t="array" ref="T504">IFERROR(_xlfn.IFS(
R504="","",
--R504&lt;55,"Battery Defect",
--R504&lt;=69,"Battery D",
--R504&lt;=80,"Battery C",
--R504&gt;80,""
),"")</f>
        <v/>
      </c>
      <c r="U504" s="51" t="str" cm="1">
        <f t="array" ref="U504">IFERROR(_xlfn.IFS(
S504="","",
--S504&lt;55,"Battery Defect",
--S504&lt;=69,"Battery D",
--S504&lt;=80,"Battery C",
--S504&gt;80,""
),"")</f>
        <v/>
      </c>
      <c r="V504" s="51"/>
      <c r="W504" s="51"/>
      <c r="X504" s="51"/>
      <c r="Y504" s="51"/>
      <c r="Z504" s="51"/>
      <c r="AA504" s="51"/>
      <c r="AB504" s="51"/>
      <c r="AC504" s="51"/>
      <c r="AD504" s="32" t="str">
        <f t="shared" si="21"/>
        <v/>
      </c>
      <c r="AE504" s="32"/>
      <c r="AF504" s="32"/>
      <c r="AG504" s="32"/>
      <c r="AH504" s="32"/>
      <c r="AI504" s="32"/>
      <c r="AJ504" s="32"/>
      <c r="AK504" s="32"/>
      <c r="AL504" s="32"/>
    </row>
    <row r="505" spans="1:38">
      <c r="A505" s="32" t="str">
        <f>_xlfn.TEXTJOIN("",TRUE,_xlfn.XLOOKUP(B505,Input!J:J,Input!G:G,"",0,1),_xlfn.XLOOKUP(B505,Input!J:J,Input!H:H,"",0,1))</f>
        <v/>
      </c>
      <c r="B505" s="32"/>
      <c r="C505" s="51">
        <f>_xlfn.XLOOKUP(B505,Input!J:J,Input!F:F)</f>
        <v>0</v>
      </c>
      <c r="D505" s="32">
        <f>_xlfn.XLOOKUP(C505,Models!H:H,Models!G:G,C505)</f>
        <v>0</v>
      </c>
      <c r="E505" s="32">
        <f>_xlfn.XLOOKUP(B505,Input!J:J,Input!E:E)</f>
        <v>0</v>
      </c>
      <c r="F505" s="32">
        <f>IF(E505="LENOVO",_xlfn.XLOOKUP(B505,Input!J:J,Input!K:K),_xlfn.XLOOKUP(B505,Input!J:J,Input!L:L))</f>
        <v>0</v>
      </c>
      <c r="G505" s="32"/>
      <c r="H505" s="32"/>
      <c r="I505" s="32"/>
      <c r="J505" s="51" t="e">
        <f>INDEX(Input!$D$2:$AC$500,
       MATCH(B505, Input!$J$2:$J$500, 0),
       MATCH("Total Memory", Input!$D$1:$AC$1, 0))</f>
        <v>#N/A</v>
      </c>
      <c r="K505" s="51"/>
      <c r="L505" s="51" t="str" cm="1">
        <f t="array" ref="L505">IFERROR(_xlfn.FILTERXML("&lt;t&gt;&lt;s&gt;" &amp; SUBSTITUTE(K505," / ","&lt;/s&gt;&lt;s&gt;") &amp; "&lt;/s&gt;&lt;/t&gt;","(//s[contains(.,'DDR')])[1]"),"")</f>
        <v/>
      </c>
      <c r="M505" s="32" t="e">
        <f t="shared" si="23"/>
        <v>#N/A</v>
      </c>
      <c r="N505" s="51" t="e">
        <f>INDEX(Input!$D$2:$AC$500,
       MATCH(B505, Input!$J$2:$J$500, 0),
       MATCH("Disk Interface Type", Input!$D$1:$AC$1, 0))</f>
        <v>#N/A</v>
      </c>
      <c r="O505" s="51" t="str" cm="1">
        <f t="array" ref="O505">IFERROR(_xlfn.TEXTJOIN(", ", TRUE, _xlfn._xlws.FILTER(
    INDEX(Input!$D$2:$AC$500,,MATCH("Disk Capacity",Input!$D$1:$AC$1,0)),
    Input!$J$2:$J$500=B505
)), "")</f>
        <v/>
      </c>
      <c r="P505" s="32" t="e">
        <f t="shared" si="22"/>
        <v>#N/A</v>
      </c>
      <c r="Q505" s="51" t="e">
        <f>_xlfn.LET(_xlpm.Result,INDEX(Input!$D$2:$AC$500,
       MATCH(B505, Input!$J$2:$J$500, 0),
       MATCH("Capacity", Input!$D$1:$AC$1, 0)),IF(_xlpm.Result="","",_xlpm.Result))</f>
        <v>#N/A</v>
      </c>
      <c r="R505" s="51"/>
      <c r="S505" s="51"/>
      <c r="T505" s="51" t="str" cm="1">
        <f t="array" ref="T505">IFERROR(_xlfn.IFS(
R505="","",
--R505&lt;55,"Battery Defect",
--R505&lt;=69,"Battery D",
--R505&lt;=80,"Battery C",
--R505&gt;80,""
),"")</f>
        <v/>
      </c>
      <c r="U505" s="51" t="str" cm="1">
        <f t="array" ref="U505">IFERROR(_xlfn.IFS(
S505="","",
--S505&lt;55,"Battery Defect",
--S505&lt;=69,"Battery D",
--S505&lt;=80,"Battery C",
--S505&gt;80,""
),"")</f>
        <v/>
      </c>
      <c r="V505" s="51"/>
      <c r="W505" s="51"/>
      <c r="X505" s="51"/>
      <c r="Y505" s="51"/>
      <c r="Z505" s="51"/>
      <c r="AA505" s="51"/>
      <c r="AB505" s="51"/>
      <c r="AC505" s="51"/>
      <c r="AD505" s="32" t="str">
        <f t="shared" si="21"/>
        <v/>
      </c>
      <c r="AE505" s="32"/>
      <c r="AF505" s="32"/>
      <c r="AG505" s="32"/>
      <c r="AH505" s="32"/>
      <c r="AI505" s="32"/>
      <c r="AJ505" s="32"/>
      <c r="AK505" s="32"/>
      <c r="AL505" s="32"/>
    </row>
    <row r="506" spans="1:38">
      <c r="A506" s="32" t="str">
        <f>_xlfn.TEXTJOIN("",TRUE,_xlfn.XLOOKUP(B506,Input!J:J,Input!G:G,"",0,1),_xlfn.XLOOKUP(B506,Input!J:J,Input!H:H,"",0,1))</f>
        <v/>
      </c>
      <c r="B506" s="32"/>
      <c r="C506" s="51">
        <f>_xlfn.XLOOKUP(B506,Input!J:J,Input!F:F)</f>
        <v>0</v>
      </c>
      <c r="D506" s="32">
        <f>_xlfn.XLOOKUP(C506,Models!H:H,Models!G:G,C506)</f>
        <v>0</v>
      </c>
      <c r="E506" s="32">
        <f>_xlfn.XLOOKUP(B506,Input!J:J,Input!E:E)</f>
        <v>0</v>
      </c>
      <c r="F506" s="32">
        <f>IF(E506="LENOVO",_xlfn.XLOOKUP(B506,Input!J:J,Input!K:K),_xlfn.XLOOKUP(B506,Input!J:J,Input!L:L))</f>
        <v>0</v>
      </c>
      <c r="G506" s="32"/>
      <c r="H506" s="32"/>
      <c r="I506" s="32"/>
      <c r="J506" s="51" t="e">
        <f>INDEX(Input!$D$2:$AC$500,
       MATCH(B506, Input!$J$2:$J$500, 0),
       MATCH("Total Memory", Input!$D$1:$AC$1, 0))</f>
        <v>#N/A</v>
      </c>
      <c r="K506" s="51"/>
      <c r="L506" s="51" t="str" cm="1">
        <f t="array" ref="L506">IFERROR(_xlfn.FILTERXML("&lt;t&gt;&lt;s&gt;" &amp; SUBSTITUTE(K506," / ","&lt;/s&gt;&lt;s&gt;") &amp; "&lt;/s&gt;&lt;/t&gt;","(//s[contains(.,'DDR')])[1]"),"")</f>
        <v/>
      </c>
      <c r="M506" s="32" t="e">
        <f t="shared" si="23"/>
        <v>#N/A</v>
      </c>
      <c r="N506" s="51" t="e">
        <f>INDEX(Input!$D$2:$AC$500,
       MATCH(B506, Input!$J$2:$J$500, 0),
       MATCH("Disk Interface Type", Input!$D$1:$AC$1, 0))</f>
        <v>#N/A</v>
      </c>
      <c r="O506" s="51" t="str" cm="1">
        <f t="array" ref="O506">IFERROR(_xlfn.TEXTJOIN(", ", TRUE, _xlfn._xlws.FILTER(
    INDEX(Input!$D$2:$AC$500,,MATCH("Disk Capacity",Input!$D$1:$AC$1,0)),
    Input!$J$2:$J$500=B506
)), "")</f>
        <v/>
      </c>
      <c r="P506" s="32" t="e">
        <f t="shared" si="22"/>
        <v>#N/A</v>
      </c>
      <c r="Q506" s="51" t="e">
        <f>_xlfn.LET(_xlpm.Result,INDEX(Input!$D$2:$AC$500,
       MATCH(B506, Input!$J$2:$J$500, 0),
       MATCH("Capacity", Input!$D$1:$AC$1, 0)),IF(_xlpm.Result="","",_xlpm.Result))</f>
        <v>#N/A</v>
      </c>
      <c r="R506" s="51"/>
      <c r="S506" s="51"/>
      <c r="T506" s="51" t="str" cm="1">
        <f t="array" ref="T506">IFERROR(_xlfn.IFS(
R506="","",
--R506&lt;55,"Battery Defect",
--R506&lt;=69,"Battery D",
--R506&lt;=80,"Battery C",
--R506&gt;80,""
),"")</f>
        <v/>
      </c>
      <c r="U506" s="51" t="str" cm="1">
        <f t="array" ref="U506">IFERROR(_xlfn.IFS(
S506="","",
--S506&lt;55,"Battery Defect",
--S506&lt;=69,"Battery D",
--S506&lt;=80,"Battery C",
--S506&gt;80,""
),"")</f>
        <v/>
      </c>
      <c r="V506" s="51"/>
      <c r="W506" s="51"/>
      <c r="X506" s="51"/>
      <c r="Y506" s="51"/>
      <c r="Z506" s="51"/>
      <c r="AA506" s="51"/>
      <c r="AB506" s="51"/>
      <c r="AC506" s="51"/>
      <c r="AD506" s="32" t="str">
        <f t="shared" si="21"/>
        <v/>
      </c>
      <c r="AE506" s="32"/>
      <c r="AF506" s="32"/>
      <c r="AG506" s="32"/>
      <c r="AH506" s="32"/>
      <c r="AI506" s="32"/>
      <c r="AJ506" s="32"/>
      <c r="AK506" s="32"/>
      <c r="AL506" s="32"/>
    </row>
    <row r="507" spans="1:38">
      <c r="A507" s="32" t="str">
        <f>_xlfn.TEXTJOIN("",TRUE,_xlfn.XLOOKUP(B507,Input!J:J,Input!G:G,"",0,1),_xlfn.XLOOKUP(B507,Input!J:J,Input!H:H,"",0,1))</f>
        <v/>
      </c>
      <c r="B507" s="32"/>
      <c r="C507" s="51">
        <f>_xlfn.XLOOKUP(B507,Input!J:J,Input!F:F)</f>
        <v>0</v>
      </c>
      <c r="D507" s="32">
        <f>_xlfn.XLOOKUP(C507,Models!H:H,Models!G:G,C507)</f>
        <v>0</v>
      </c>
      <c r="E507" s="32">
        <f>_xlfn.XLOOKUP(B507,Input!J:J,Input!E:E)</f>
        <v>0</v>
      </c>
      <c r="F507" s="32">
        <f>IF(E507="LENOVO",_xlfn.XLOOKUP(B507,Input!J:J,Input!K:K),_xlfn.XLOOKUP(B507,Input!J:J,Input!L:L))</f>
        <v>0</v>
      </c>
      <c r="G507" s="32"/>
      <c r="H507" s="32"/>
      <c r="I507" s="32"/>
      <c r="J507" s="51" t="e">
        <f>INDEX(Input!$D$2:$AC$500,
       MATCH(B507, Input!$J$2:$J$500, 0),
       MATCH("Total Memory", Input!$D$1:$AC$1, 0))</f>
        <v>#N/A</v>
      </c>
      <c r="K507" s="51"/>
      <c r="L507" s="51" t="str" cm="1">
        <f t="array" ref="L507">IFERROR(_xlfn.FILTERXML("&lt;t&gt;&lt;s&gt;" &amp; SUBSTITUTE(K507," / ","&lt;/s&gt;&lt;s&gt;") &amp; "&lt;/s&gt;&lt;/t&gt;","(//s[contains(.,'DDR')])[1]"),"")</f>
        <v/>
      </c>
      <c r="M507" s="32" t="e">
        <f t="shared" si="23"/>
        <v>#N/A</v>
      </c>
      <c r="N507" s="51" t="e">
        <f>INDEX(Input!$D$2:$AC$500,
       MATCH(B507, Input!$J$2:$J$500, 0),
       MATCH("Disk Interface Type", Input!$D$1:$AC$1, 0))</f>
        <v>#N/A</v>
      </c>
      <c r="O507" s="51" t="str" cm="1">
        <f t="array" ref="O507">IFERROR(_xlfn.TEXTJOIN(", ", TRUE, _xlfn._xlws.FILTER(
    INDEX(Input!$D$2:$AC$500,,MATCH("Disk Capacity",Input!$D$1:$AC$1,0)),
    Input!$J$2:$J$500=B507
)), "")</f>
        <v/>
      </c>
      <c r="P507" s="32" t="e">
        <f t="shared" si="22"/>
        <v>#N/A</v>
      </c>
      <c r="Q507" s="51" t="e">
        <f>_xlfn.LET(_xlpm.Result,INDEX(Input!$D$2:$AC$500,
       MATCH(B507, Input!$J$2:$J$500, 0),
       MATCH("Capacity", Input!$D$1:$AC$1, 0)),IF(_xlpm.Result="","",_xlpm.Result))</f>
        <v>#N/A</v>
      </c>
      <c r="R507" s="51"/>
      <c r="S507" s="51"/>
      <c r="T507" s="51" t="str" cm="1">
        <f t="array" ref="T507">IFERROR(_xlfn.IFS(
R507="","",
--R507&lt;55,"Battery Defect",
--R507&lt;=69,"Battery D",
--R507&lt;=80,"Battery C",
--R507&gt;80,""
),"")</f>
        <v/>
      </c>
      <c r="U507" s="51" t="str" cm="1">
        <f t="array" ref="U507">IFERROR(_xlfn.IFS(
S507="","",
--S507&lt;55,"Battery Defect",
--S507&lt;=69,"Battery D",
--S507&lt;=80,"Battery C",
--S507&gt;80,""
),"")</f>
        <v/>
      </c>
      <c r="V507" s="51"/>
      <c r="W507" s="51"/>
      <c r="X507" s="51"/>
      <c r="Y507" s="51"/>
      <c r="Z507" s="51"/>
      <c r="AA507" s="51"/>
      <c r="AB507" s="51"/>
      <c r="AC507" s="51"/>
      <c r="AD507" s="32" t="str">
        <f t="shared" si="21"/>
        <v/>
      </c>
      <c r="AE507" s="32"/>
      <c r="AF507" s="32"/>
      <c r="AG507" s="32"/>
      <c r="AH507" s="32"/>
      <c r="AI507" s="32"/>
      <c r="AJ507" s="32"/>
      <c r="AK507" s="32"/>
      <c r="AL507" s="32"/>
    </row>
    <row r="508" spans="1:38">
      <c r="A508" s="32" t="str">
        <f>_xlfn.TEXTJOIN("",TRUE,_xlfn.XLOOKUP(B508,Input!J:J,Input!G:G,"",0,1),_xlfn.XLOOKUP(B508,Input!J:J,Input!H:H,"",0,1))</f>
        <v/>
      </c>
      <c r="B508" s="32"/>
      <c r="C508" s="51">
        <f>_xlfn.XLOOKUP(B508,Input!J:J,Input!F:F)</f>
        <v>0</v>
      </c>
      <c r="D508" s="32">
        <f>_xlfn.XLOOKUP(C508,Models!H:H,Models!G:G,C508)</f>
        <v>0</v>
      </c>
      <c r="E508" s="32">
        <f>_xlfn.XLOOKUP(B508,Input!J:J,Input!E:E)</f>
        <v>0</v>
      </c>
      <c r="F508" s="32">
        <f>IF(E508="LENOVO",_xlfn.XLOOKUP(B508,Input!J:J,Input!K:K),_xlfn.XLOOKUP(B508,Input!J:J,Input!L:L))</f>
        <v>0</v>
      </c>
      <c r="G508" s="32"/>
      <c r="H508" s="32"/>
      <c r="I508" s="32"/>
      <c r="J508" s="51" t="e">
        <f>INDEX(Input!$D$2:$AC$500,
       MATCH(B508, Input!$J$2:$J$500, 0),
       MATCH("Total Memory", Input!$D$1:$AC$1, 0))</f>
        <v>#N/A</v>
      </c>
      <c r="K508" s="51"/>
      <c r="L508" s="51" t="str" cm="1">
        <f t="array" ref="L508">IFERROR(_xlfn.FILTERXML("&lt;t&gt;&lt;s&gt;" &amp; SUBSTITUTE(K508," / ","&lt;/s&gt;&lt;s&gt;") &amp; "&lt;/s&gt;&lt;/t&gt;","(//s[contains(.,'DDR')])[1]"),"")</f>
        <v/>
      </c>
      <c r="M508" s="32" t="e">
        <f t="shared" si="23"/>
        <v>#N/A</v>
      </c>
      <c r="N508" s="51" t="e">
        <f>INDEX(Input!$D$2:$AC$500,
       MATCH(B508, Input!$J$2:$J$500, 0),
       MATCH("Disk Interface Type", Input!$D$1:$AC$1, 0))</f>
        <v>#N/A</v>
      </c>
      <c r="O508" s="51" t="str" cm="1">
        <f t="array" ref="O508">IFERROR(_xlfn.TEXTJOIN(", ", TRUE, _xlfn._xlws.FILTER(
    INDEX(Input!$D$2:$AC$500,,MATCH("Disk Capacity",Input!$D$1:$AC$1,0)),
    Input!$J$2:$J$500=B508
)), "")</f>
        <v/>
      </c>
      <c r="P508" s="32" t="e">
        <f t="shared" si="22"/>
        <v>#N/A</v>
      </c>
      <c r="Q508" s="51" t="e">
        <f>_xlfn.LET(_xlpm.Result,INDEX(Input!$D$2:$AC$500,
       MATCH(B508, Input!$J$2:$J$500, 0),
       MATCH("Capacity", Input!$D$1:$AC$1, 0)),IF(_xlpm.Result="","",_xlpm.Result))</f>
        <v>#N/A</v>
      </c>
      <c r="R508" s="51"/>
      <c r="S508" s="51"/>
      <c r="T508" s="51" t="str" cm="1">
        <f t="array" ref="T508">IFERROR(_xlfn.IFS(
R508="","",
--R508&lt;55,"Battery Defect",
--R508&lt;=69,"Battery D",
--R508&lt;=80,"Battery C",
--R508&gt;80,""
),"")</f>
        <v/>
      </c>
      <c r="U508" s="51" t="str" cm="1">
        <f t="array" ref="U508">IFERROR(_xlfn.IFS(
S508="","",
--S508&lt;55,"Battery Defect",
--S508&lt;=69,"Battery D",
--S508&lt;=80,"Battery C",
--S508&gt;80,""
),"")</f>
        <v/>
      </c>
      <c r="V508" s="51"/>
      <c r="W508" s="51"/>
      <c r="X508" s="51"/>
      <c r="Y508" s="51"/>
      <c r="Z508" s="51"/>
      <c r="AA508" s="51"/>
      <c r="AB508" s="51"/>
      <c r="AC508" s="51"/>
      <c r="AD508" s="32" t="str">
        <f t="shared" si="21"/>
        <v/>
      </c>
      <c r="AE508" s="32"/>
      <c r="AF508" s="32"/>
      <c r="AG508" s="32"/>
      <c r="AH508" s="32"/>
      <c r="AI508" s="32"/>
      <c r="AJ508" s="32"/>
      <c r="AK508" s="32"/>
      <c r="AL508" s="32"/>
    </row>
    <row r="509" spans="1:38">
      <c r="A509" s="32" t="str">
        <f>_xlfn.TEXTJOIN("",TRUE,_xlfn.XLOOKUP(B509,Input!J:J,Input!G:G,"",0,1),_xlfn.XLOOKUP(B509,Input!J:J,Input!H:H,"",0,1))</f>
        <v/>
      </c>
      <c r="B509" s="32"/>
      <c r="C509" s="51">
        <f>_xlfn.XLOOKUP(B509,Input!J:J,Input!F:F)</f>
        <v>0</v>
      </c>
      <c r="D509" s="32">
        <f>_xlfn.XLOOKUP(C509,Models!H:H,Models!G:G,C509)</f>
        <v>0</v>
      </c>
      <c r="E509" s="32">
        <f>_xlfn.XLOOKUP(B509,Input!J:J,Input!E:E)</f>
        <v>0</v>
      </c>
      <c r="F509" s="32">
        <f>IF(E509="LENOVO",_xlfn.XLOOKUP(B509,Input!J:J,Input!K:K),_xlfn.XLOOKUP(B509,Input!J:J,Input!L:L))</f>
        <v>0</v>
      </c>
      <c r="G509" s="32"/>
      <c r="H509" s="32"/>
      <c r="I509" s="32"/>
      <c r="J509" s="51" t="e">
        <f>INDEX(Input!$D$2:$AC$500,
       MATCH(B509, Input!$J$2:$J$500, 0),
       MATCH("Total Memory", Input!$D$1:$AC$1, 0))</f>
        <v>#N/A</v>
      </c>
      <c r="K509" s="51"/>
      <c r="L509" s="51" t="str" cm="1">
        <f t="array" ref="L509">IFERROR(_xlfn.FILTERXML("&lt;t&gt;&lt;s&gt;" &amp; SUBSTITUTE(K509," / ","&lt;/s&gt;&lt;s&gt;") &amp; "&lt;/s&gt;&lt;/t&gt;","(//s[contains(.,'DDR')])[1]"),"")</f>
        <v/>
      </c>
      <c r="M509" s="32" t="e">
        <f t="shared" si="23"/>
        <v>#N/A</v>
      </c>
      <c r="N509" s="51" t="e">
        <f>INDEX(Input!$D$2:$AC$500,
       MATCH(B509, Input!$J$2:$J$500, 0),
       MATCH("Disk Interface Type", Input!$D$1:$AC$1, 0))</f>
        <v>#N/A</v>
      </c>
      <c r="O509" s="51" t="str" cm="1">
        <f t="array" ref="O509">IFERROR(_xlfn.TEXTJOIN(", ", TRUE, _xlfn._xlws.FILTER(
    INDEX(Input!$D$2:$AC$500,,MATCH("Disk Capacity",Input!$D$1:$AC$1,0)),
    Input!$J$2:$J$500=B509
)), "")</f>
        <v/>
      </c>
      <c r="P509" s="32" t="e">
        <f t="shared" si="22"/>
        <v>#N/A</v>
      </c>
      <c r="Q509" s="51" t="e">
        <f>_xlfn.LET(_xlpm.Result,INDEX(Input!$D$2:$AC$500,
       MATCH(B509, Input!$J$2:$J$500, 0),
       MATCH("Capacity", Input!$D$1:$AC$1, 0)),IF(_xlpm.Result="","",_xlpm.Result))</f>
        <v>#N/A</v>
      </c>
      <c r="R509" s="51"/>
      <c r="S509" s="51"/>
      <c r="T509" s="51" t="str" cm="1">
        <f t="array" ref="T509">IFERROR(_xlfn.IFS(
R509="","",
--R509&lt;55,"Battery Defect",
--R509&lt;=69,"Battery D",
--R509&lt;=80,"Battery C",
--R509&gt;80,""
),"")</f>
        <v/>
      </c>
      <c r="U509" s="51" t="str" cm="1">
        <f t="array" ref="U509">IFERROR(_xlfn.IFS(
S509="","",
--S509&lt;55,"Battery Defect",
--S509&lt;=69,"Battery D",
--S509&lt;=80,"Battery C",
--S509&gt;80,""
),"")</f>
        <v/>
      </c>
      <c r="V509" s="51"/>
      <c r="W509" s="51"/>
      <c r="X509" s="51"/>
      <c r="Y509" s="51"/>
      <c r="Z509" s="51"/>
      <c r="AA509" s="51"/>
      <c r="AB509" s="51"/>
      <c r="AC509" s="51"/>
      <c r="AD509" s="32" t="str">
        <f t="shared" si="21"/>
        <v/>
      </c>
      <c r="AE509" s="32"/>
      <c r="AF509" s="32"/>
      <c r="AG509" s="32"/>
      <c r="AH509" s="32"/>
      <c r="AI509" s="32"/>
      <c r="AJ509" s="32"/>
      <c r="AK509" s="32"/>
      <c r="AL509" s="32"/>
    </row>
    <row r="510" spans="1:38">
      <c r="A510" s="32" t="str">
        <f>_xlfn.TEXTJOIN("",TRUE,_xlfn.XLOOKUP(B510,Input!J:J,Input!G:G,"",0,1),_xlfn.XLOOKUP(B510,Input!J:J,Input!H:H,"",0,1))</f>
        <v/>
      </c>
      <c r="B510" s="32"/>
      <c r="C510" s="51">
        <f>_xlfn.XLOOKUP(B510,Input!J:J,Input!F:F)</f>
        <v>0</v>
      </c>
      <c r="D510" s="32">
        <f>_xlfn.XLOOKUP(C510,Models!H:H,Models!G:G,C510)</f>
        <v>0</v>
      </c>
      <c r="E510" s="32">
        <f>_xlfn.XLOOKUP(B510,Input!J:J,Input!E:E)</f>
        <v>0</v>
      </c>
      <c r="F510" s="32">
        <f>IF(E510="LENOVO",_xlfn.XLOOKUP(B510,Input!J:J,Input!K:K),_xlfn.XLOOKUP(B510,Input!J:J,Input!L:L))</f>
        <v>0</v>
      </c>
      <c r="G510" s="32"/>
      <c r="H510" s="32"/>
      <c r="I510" s="32"/>
      <c r="J510" s="51" t="e">
        <f>INDEX(Input!$D$2:$AC$500,
       MATCH(B510, Input!$J$2:$J$500, 0),
       MATCH("Total Memory", Input!$D$1:$AC$1, 0))</f>
        <v>#N/A</v>
      </c>
      <c r="K510" s="51"/>
      <c r="L510" s="51" t="str" cm="1">
        <f t="array" ref="L510">IFERROR(_xlfn.FILTERXML("&lt;t&gt;&lt;s&gt;" &amp; SUBSTITUTE(K510," / ","&lt;/s&gt;&lt;s&gt;") &amp; "&lt;/s&gt;&lt;/t&gt;","(//s[contains(.,'DDR')])[1]"),"")</f>
        <v/>
      </c>
      <c r="M510" s="32" t="e">
        <f t="shared" si="23"/>
        <v>#N/A</v>
      </c>
      <c r="N510" s="51" t="e">
        <f>INDEX(Input!$D$2:$AC$500,
       MATCH(B510, Input!$J$2:$J$500, 0),
       MATCH("Disk Interface Type", Input!$D$1:$AC$1, 0))</f>
        <v>#N/A</v>
      </c>
      <c r="O510" s="51" t="str" cm="1">
        <f t="array" ref="O510">IFERROR(_xlfn.TEXTJOIN(", ", TRUE, _xlfn._xlws.FILTER(
    INDEX(Input!$D$2:$AC$500,,MATCH("Disk Capacity",Input!$D$1:$AC$1,0)),
    Input!$J$2:$J$500=B510
)), "")</f>
        <v/>
      </c>
      <c r="P510" s="32" t="e">
        <f t="shared" si="22"/>
        <v>#N/A</v>
      </c>
      <c r="Q510" s="51" t="e">
        <f>_xlfn.LET(_xlpm.Result,INDEX(Input!$D$2:$AC$500,
       MATCH(B510, Input!$J$2:$J$500, 0),
       MATCH("Capacity", Input!$D$1:$AC$1, 0)),IF(_xlpm.Result="","",_xlpm.Result))</f>
        <v>#N/A</v>
      </c>
      <c r="R510" s="51"/>
      <c r="S510" s="51"/>
      <c r="T510" s="51" t="str" cm="1">
        <f t="array" ref="T510">IFERROR(_xlfn.IFS(
R510="","",
--R510&lt;55,"Battery Defect",
--R510&lt;=69,"Battery D",
--R510&lt;=80,"Battery C",
--R510&gt;80,""
),"")</f>
        <v/>
      </c>
      <c r="U510" s="51" t="str" cm="1">
        <f t="array" ref="U510">IFERROR(_xlfn.IFS(
S510="","",
--S510&lt;55,"Battery Defect",
--S510&lt;=69,"Battery D",
--S510&lt;=80,"Battery C",
--S510&gt;80,""
),"")</f>
        <v/>
      </c>
      <c r="V510" s="51"/>
      <c r="W510" s="51"/>
      <c r="X510" s="51"/>
      <c r="Y510" s="51"/>
      <c r="Z510" s="51"/>
      <c r="AA510" s="51"/>
      <c r="AB510" s="51"/>
      <c r="AC510" s="51"/>
      <c r="AD510" s="32" t="str">
        <f t="shared" si="21"/>
        <v/>
      </c>
      <c r="AE510" s="32"/>
      <c r="AF510" s="32"/>
      <c r="AG510" s="32"/>
      <c r="AH510" s="32"/>
      <c r="AI510" s="32"/>
      <c r="AJ510" s="32"/>
      <c r="AK510" s="32"/>
      <c r="AL510" s="32"/>
    </row>
    <row r="511" spans="1:38">
      <c r="A511" s="32" t="str">
        <f>_xlfn.TEXTJOIN("",TRUE,_xlfn.XLOOKUP(B511,Input!J:J,Input!G:G,"",0,1),_xlfn.XLOOKUP(B511,Input!J:J,Input!H:H,"",0,1))</f>
        <v/>
      </c>
      <c r="B511" s="32"/>
      <c r="C511" s="51">
        <f>_xlfn.XLOOKUP(B511,Input!J:J,Input!F:F)</f>
        <v>0</v>
      </c>
      <c r="D511" s="32">
        <f>_xlfn.XLOOKUP(C511,Models!H:H,Models!G:G,C511)</f>
        <v>0</v>
      </c>
      <c r="E511" s="32">
        <f>_xlfn.XLOOKUP(B511,Input!J:J,Input!E:E)</f>
        <v>0</v>
      </c>
      <c r="F511" s="32">
        <f>IF(E511="LENOVO",_xlfn.XLOOKUP(B511,Input!J:J,Input!K:K),_xlfn.XLOOKUP(B511,Input!J:J,Input!L:L))</f>
        <v>0</v>
      </c>
      <c r="G511" s="32"/>
      <c r="H511" s="32"/>
      <c r="I511" s="32"/>
      <c r="J511" s="51" t="e">
        <f>INDEX(Input!$D$2:$AC$500,
       MATCH(B511, Input!$J$2:$J$500, 0),
       MATCH("Total Memory", Input!$D$1:$AC$1, 0))</f>
        <v>#N/A</v>
      </c>
      <c r="K511" s="51"/>
      <c r="L511" s="51" t="str" cm="1">
        <f t="array" ref="L511">IFERROR(_xlfn.FILTERXML("&lt;t&gt;&lt;s&gt;" &amp; SUBSTITUTE(K511," / ","&lt;/s&gt;&lt;s&gt;") &amp; "&lt;/s&gt;&lt;/t&gt;","(//s[contains(.,'DDR')])[1]"),"")</f>
        <v/>
      </c>
      <c r="M511" s="32" t="e">
        <f t="shared" si="23"/>
        <v>#N/A</v>
      </c>
      <c r="N511" s="51" t="e">
        <f>INDEX(Input!$D$2:$AC$500,
       MATCH(B511, Input!$J$2:$J$500, 0),
       MATCH("Disk Interface Type", Input!$D$1:$AC$1, 0))</f>
        <v>#N/A</v>
      </c>
      <c r="O511" s="51" t="str" cm="1">
        <f t="array" ref="O511">IFERROR(_xlfn.TEXTJOIN(", ", TRUE, _xlfn._xlws.FILTER(
    INDEX(Input!$D$2:$AC$500,,MATCH("Disk Capacity",Input!$D$1:$AC$1,0)),
    Input!$J$2:$J$500=B511
)), "")</f>
        <v/>
      </c>
      <c r="P511" s="32" t="e">
        <f t="shared" si="22"/>
        <v>#N/A</v>
      </c>
      <c r="Q511" s="51" t="e">
        <f>_xlfn.LET(_xlpm.Result,INDEX(Input!$D$2:$AC$500,
       MATCH(B511, Input!$J$2:$J$500, 0),
       MATCH("Capacity", Input!$D$1:$AC$1, 0)),IF(_xlpm.Result="","",_xlpm.Result))</f>
        <v>#N/A</v>
      </c>
      <c r="R511" s="51"/>
      <c r="S511" s="51"/>
      <c r="T511" s="51" t="str" cm="1">
        <f t="array" ref="T511">IFERROR(_xlfn.IFS(
R511="","",
--R511&lt;55,"Battery Defect",
--R511&lt;=69,"Battery D",
--R511&lt;=80,"Battery C",
--R511&gt;80,""
),"")</f>
        <v/>
      </c>
      <c r="U511" s="51" t="str" cm="1">
        <f t="array" ref="U511">IFERROR(_xlfn.IFS(
S511="","",
--S511&lt;55,"Battery Defect",
--S511&lt;=69,"Battery D",
--S511&lt;=80,"Battery C",
--S511&gt;80,""
),"")</f>
        <v/>
      </c>
      <c r="V511" s="51"/>
      <c r="W511" s="51"/>
      <c r="X511" s="51"/>
      <c r="Y511" s="51"/>
      <c r="Z511" s="51"/>
      <c r="AA511" s="51"/>
      <c r="AB511" s="51"/>
      <c r="AC511" s="51"/>
      <c r="AD511" s="32" t="str">
        <f t="shared" si="21"/>
        <v/>
      </c>
      <c r="AE511" s="32"/>
      <c r="AF511" s="32"/>
      <c r="AG511" s="32"/>
      <c r="AH511" s="32"/>
      <c r="AI511" s="32"/>
      <c r="AJ511" s="32"/>
      <c r="AK511" s="32"/>
      <c r="AL511" s="32"/>
    </row>
    <row r="512" spans="1:38">
      <c r="A512" s="32" t="str">
        <f>_xlfn.TEXTJOIN("",TRUE,_xlfn.XLOOKUP(B512,Input!J:J,Input!G:G,"",0,1),_xlfn.XLOOKUP(B512,Input!J:J,Input!H:H,"",0,1))</f>
        <v/>
      </c>
      <c r="B512" s="32"/>
      <c r="C512" s="51">
        <f>_xlfn.XLOOKUP(B512,Input!J:J,Input!F:F)</f>
        <v>0</v>
      </c>
      <c r="D512" s="32">
        <f>_xlfn.XLOOKUP(C512,Models!H:H,Models!G:G,C512)</f>
        <v>0</v>
      </c>
      <c r="E512" s="32">
        <f>_xlfn.XLOOKUP(B512,Input!J:J,Input!E:E)</f>
        <v>0</v>
      </c>
      <c r="F512" s="32">
        <f>IF(E512="LENOVO",_xlfn.XLOOKUP(B512,Input!J:J,Input!K:K),_xlfn.XLOOKUP(B512,Input!J:J,Input!L:L))</f>
        <v>0</v>
      </c>
      <c r="G512" s="32"/>
      <c r="H512" s="32"/>
      <c r="I512" s="32"/>
      <c r="J512" s="51" t="e">
        <f>INDEX(Input!$D$2:$AC$500,
       MATCH(B512, Input!$J$2:$J$500, 0),
       MATCH("Total Memory", Input!$D$1:$AC$1, 0))</f>
        <v>#N/A</v>
      </c>
      <c r="K512" s="51"/>
      <c r="L512" s="51" t="str" cm="1">
        <f t="array" ref="L512">IFERROR(_xlfn.FILTERXML("&lt;t&gt;&lt;s&gt;" &amp; SUBSTITUTE(K512," / ","&lt;/s&gt;&lt;s&gt;") &amp; "&lt;/s&gt;&lt;/t&gt;","(//s[contains(.,'DDR')])[1]"),"")</f>
        <v/>
      </c>
      <c r="M512" s="32" t="e">
        <f t="shared" si="23"/>
        <v>#N/A</v>
      </c>
      <c r="N512" s="51" t="e">
        <f>INDEX(Input!$D$2:$AC$500,
       MATCH(B512, Input!$J$2:$J$500, 0),
       MATCH("Disk Interface Type", Input!$D$1:$AC$1, 0))</f>
        <v>#N/A</v>
      </c>
      <c r="O512" s="51" t="str" cm="1">
        <f t="array" ref="O512">IFERROR(_xlfn.TEXTJOIN(", ", TRUE, _xlfn._xlws.FILTER(
    INDEX(Input!$D$2:$AC$500,,MATCH("Disk Capacity",Input!$D$1:$AC$1,0)),
    Input!$J$2:$J$500=B512
)), "")</f>
        <v/>
      </c>
      <c r="P512" s="32" t="e">
        <f t="shared" si="22"/>
        <v>#N/A</v>
      </c>
      <c r="Q512" s="51" t="e">
        <f>_xlfn.LET(_xlpm.Result,INDEX(Input!$D$2:$AC$500,
       MATCH(B512, Input!$J$2:$J$500, 0),
       MATCH("Capacity", Input!$D$1:$AC$1, 0)),IF(_xlpm.Result="","",_xlpm.Result))</f>
        <v>#N/A</v>
      </c>
      <c r="R512" s="51"/>
      <c r="S512" s="51"/>
      <c r="T512" s="51" t="str" cm="1">
        <f t="array" ref="T512">IFERROR(_xlfn.IFS(
R512="","",
--R512&lt;55,"Battery Defect",
--R512&lt;=69,"Battery D",
--R512&lt;=80,"Battery C",
--R512&gt;80,""
),"")</f>
        <v/>
      </c>
      <c r="U512" s="51" t="str" cm="1">
        <f t="array" ref="U512">IFERROR(_xlfn.IFS(
S512="","",
--S512&lt;55,"Battery Defect",
--S512&lt;=69,"Battery D",
--S512&lt;=80,"Battery C",
--S512&gt;80,""
),"")</f>
        <v/>
      </c>
      <c r="V512" s="51"/>
      <c r="W512" s="51"/>
      <c r="X512" s="51"/>
      <c r="Y512" s="51"/>
      <c r="Z512" s="51"/>
      <c r="AA512" s="51"/>
      <c r="AB512" s="51"/>
      <c r="AC512" s="51"/>
      <c r="AD512" s="32" t="str">
        <f t="shared" si="21"/>
        <v/>
      </c>
      <c r="AE512" s="32"/>
      <c r="AF512" s="32"/>
      <c r="AG512" s="32"/>
      <c r="AH512" s="32"/>
      <c r="AI512" s="32"/>
      <c r="AJ512" s="32"/>
      <c r="AK512" s="32"/>
      <c r="AL512" s="32"/>
    </row>
    <row r="513" spans="1:38">
      <c r="A513" s="32" t="str">
        <f>_xlfn.TEXTJOIN("",TRUE,_xlfn.XLOOKUP(B513,Input!J:J,Input!G:G,"",0,1),_xlfn.XLOOKUP(B513,Input!J:J,Input!H:H,"",0,1))</f>
        <v/>
      </c>
      <c r="B513" s="32"/>
      <c r="C513" s="51">
        <f>_xlfn.XLOOKUP(B513,Input!J:J,Input!F:F)</f>
        <v>0</v>
      </c>
      <c r="D513" s="32">
        <f>_xlfn.XLOOKUP(C513,Models!H:H,Models!G:G,C513)</f>
        <v>0</v>
      </c>
      <c r="E513" s="32">
        <f>_xlfn.XLOOKUP(B513,Input!J:J,Input!E:E)</f>
        <v>0</v>
      </c>
      <c r="F513" s="32">
        <f>IF(E513="LENOVO",_xlfn.XLOOKUP(B513,Input!J:J,Input!K:K),_xlfn.XLOOKUP(B513,Input!J:J,Input!L:L))</f>
        <v>0</v>
      </c>
      <c r="G513" s="32"/>
      <c r="H513" s="32"/>
      <c r="I513" s="32"/>
      <c r="J513" s="51" t="e">
        <f>INDEX(Input!$D$2:$AC$500,
       MATCH(B513, Input!$J$2:$J$500, 0),
       MATCH("Total Memory", Input!$D$1:$AC$1, 0))</f>
        <v>#N/A</v>
      </c>
      <c r="K513" s="51"/>
      <c r="L513" s="51" t="str" cm="1">
        <f t="array" ref="L513">IFERROR(_xlfn.FILTERXML("&lt;t&gt;&lt;s&gt;" &amp; SUBSTITUTE(K513," / ","&lt;/s&gt;&lt;s&gt;") &amp; "&lt;/s&gt;&lt;/t&gt;","(//s[contains(.,'DDR')])[1]"),"")</f>
        <v/>
      </c>
      <c r="M513" s="32" t="e">
        <f t="shared" si="23"/>
        <v>#N/A</v>
      </c>
      <c r="N513" s="51" t="e">
        <f>INDEX(Input!$D$2:$AC$500,
       MATCH(B513, Input!$J$2:$J$500, 0),
       MATCH("Disk Interface Type", Input!$D$1:$AC$1, 0))</f>
        <v>#N/A</v>
      </c>
      <c r="O513" s="51" t="str" cm="1">
        <f t="array" ref="O513">IFERROR(_xlfn.TEXTJOIN(", ", TRUE, _xlfn._xlws.FILTER(
    INDEX(Input!$D$2:$AC$500,,MATCH("Disk Capacity",Input!$D$1:$AC$1,0)),
    Input!$J$2:$J$500=B513
)), "")</f>
        <v/>
      </c>
      <c r="P513" s="32" t="e">
        <f t="shared" si="22"/>
        <v>#N/A</v>
      </c>
      <c r="Q513" s="51" t="e">
        <f>_xlfn.LET(_xlpm.Result,INDEX(Input!$D$2:$AC$500,
       MATCH(B513, Input!$J$2:$J$500, 0),
       MATCH("Capacity", Input!$D$1:$AC$1, 0)),IF(_xlpm.Result="","",_xlpm.Result))</f>
        <v>#N/A</v>
      </c>
      <c r="R513" s="51"/>
      <c r="S513" s="51"/>
      <c r="T513" s="51" t="str" cm="1">
        <f t="array" ref="T513">IFERROR(_xlfn.IFS(
R513="","",
--R513&lt;55,"Battery Defect",
--R513&lt;=69,"Battery D",
--R513&lt;=80,"Battery C",
--R513&gt;80,""
),"")</f>
        <v/>
      </c>
      <c r="U513" s="51" t="str" cm="1">
        <f t="array" ref="U513">IFERROR(_xlfn.IFS(
S513="","",
--S513&lt;55,"Battery Defect",
--S513&lt;=69,"Battery D",
--S513&lt;=80,"Battery C",
--S513&gt;80,""
),"")</f>
        <v/>
      </c>
      <c r="V513" s="51"/>
      <c r="W513" s="51"/>
      <c r="X513" s="51"/>
      <c r="Y513" s="51"/>
      <c r="Z513" s="51"/>
      <c r="AA513" s="51"/>
      <c r="AB513" s="51"/>
      <c r="AC513" s="51"/>
      <c r="AD513" s="32" t="str">
        <f t="shared" si="21"/>
        <v/>
      </c>
      <c r="AE513" s="32"/>
      <c r="AF513" s="32"/>
      <c r="AG513" s="32"/>
      <c r="AH513" s="32"/>
      <c r="AI513" s="32"/>
      <c r="AJ513" s="32"/>
      <c r="AK513" s="32"/>
      <c r="AL513" s="32"/>
    </row>
    <row r="514" spans="1:38">
      <c r="A514" s="32" t="str">
        <f>_xlfn.TEXTJOIN("",TRUE,_xlfn.XLOOKUP(B514,Input!J:J,Input!G:G,"",0,1),_xlfn.XLOOKUP(B514,Input!J:J,Input!H:H,"",0,1))</f>
        <v/>
      </c>
      <c r="B514" s="32"/>
      <c r="C514" s="51">
        <f>_xlfn.XLOOKUP(B514,Input!J:J,Input!F:F)</f>
        <v>0</v>
      </c>
      <c r="D514" s="32">
        <f>_xlfn.XLOOKUP(C514,Models!H:H,Models!G:G,C514)</f>
        <v>0</v>
      </c>
      <c r="E514" s="32">
        <f>_xlfn.XLOOKUP(B514,Input!J:J,Input!E:E)</f>
        <v>0</v>
      </c>
      <c r="F514" s="32">
        <f>IF(E514="LENOVO",_xlfn.XLOOKUP(B514,Input!J:J,Input!K:K),_xlfn.XLOOKUP(B514,Input!J:J,Input!L:L))</f>
        <v>0</v>
      </c>
      <c r="G514" s="32"/>
      <c r="H514" s="32"/>
      <c r="I514" s="32"/>
      <c r="J514" s="51" t="e">
        <f>INDEX(Input!$D$2:$AC$500,
       MATCH(B514, Input!$J$2:$J$500, 0),
       MATCH("Total Memory", Input!$D$1:$AC$1, 0))</f>
        <v>#N/A</v>
      </c>
      <c r="K514" s="51"/>
      <c r="L514" s="51" t="str" cm="1">
        <f t="array" ref="L514">IFERROR(_xlfn.FILTERXML("&lt;t&gt;&lt;s&gt;" &amp; SUBSTITUTE(K514," / ","&lt;/s&gt;&lt;s&gt;") &amp; "&lt;/s&gt;&lt;/t&gt;","(//s[contains(.,'DDR')])[1]"),"")</f>
        <v/>
      </c>
      <c r="M514" s="32" t="e">
        <f t="shared" si="23"/>
        <v>#N/A</v>
      </c>
      <c r="N514" s="51" t="e">
        <f>INDEX(Input!$D$2:$AC$500,
       MATCH(B514, Input!$J$2:$J$500, 0),
       MATCH("Disk Interface Type", Input!$D$1:$AC$1, 0))</f>
        <v>#N/A</v>
      </c>
      <c r="O514" s="51" t="str" cm="1">
        <f t="array" ref="O514">IFERROR(_xlfn.TEXTJOIN(", ", TRUE, _xlfn._xlws.FILTER(
    INDEX(Input!$D$2:$AC$500,,MATCH("Disk Capacity",Input!$D$1:$AC$1,0)),
    Input!$J$2:$J$500=B514
)), "")</f>
        <v/>
      </c>
      <c r="P514" s="32" t="e">
        <f t="shared" si="22"/>
        <v>#N/A</v>
      </c>
      <c r="Q514" s="51" t="e">
        <f>_xlfn.LET(_xlpm.Result,INDEX(Input!$D$2:$AC$500,
       MATCH(B514, Input!$J$2:$J$500, 0),
       MATCH("Capacity", Input!$D$1:$AC$1, 0)),IF(_xlpm.Result="","",_xlpm.Result))</f>
        <v>#N/A</v>
      </c>
      <c r="R514" s="51"/>
      <c r="S514" s="51"/>
      <c r="T514" s="51" t="str" cm="1">
        <f t="array" ref="T514">IFERROR(_xlfn.IFS(
R514="","",
--R514&lt;55,"Battery Defect",
--R514&lt;=69,"Battery D",
--R514&lt;=80,"Battery C",
--R514&gt;80,""
),"")</f>
        <v/>
      </c>
      <c r="U514" s="51" t="str" cm="1">
        <f t="array" ref="U514">IFERROR(_xlfn.IFS(
S514="","",
--S514&lt;55,"Battery Defect",
--S514&lt;=69,"Battery D",
--S514&lt;=80,"Battery C",
--S514&gt;80,""
),"")</f>
        <v/>
      </c>
      <c r="V514" s="51"/>
      <c r="W514" s="51"/>
      <c r="X514" s="51"/>
      <c r="Y514" s="51"/>
      <c r="Z514" s="51"/>
      <c r="AA514" s="51"/>
      <c r="AB514" s="51"/>
      <c r="AC514" s="51"/>
      <c r="AD514" s="32" t="str">
        <f t="shared" ref="AD514:AD574" si="24">IF(D514="Laptop",_xlfn.TEXTJOIN(", ",TRUE,T514,U514,V514,W514,X514,Y514,Z514,AA514), _xlfn.TEXTJOIN(", ",TRUE,V514,W514,X514,Y514,Z514,AA514))</f>
        <v/>
      </c>
      <c r="AE514" s="32"/>
      <c r="AF514" s="32"/>
      <c r="AG514" s="32"/>
      <c r="AH514" s="32"/>
      <c r="AI514" s="32"/>
      <c r="AJ514" s="32"/>
      <c r="AK514" s="32"/>
      <c r="AL514" s="32"/>
    </row>
    <row r="515" spans="1:38">
      <c r="A515" s="32" t="str">
        <f>_xlfn.TEXTJOIN("",TRUE,_xlfn.XLOOKUP(B515,Input!J:J,Input!G:G,"",0,1),_xlfn.XLOOKUP(B515,Input!J:J,Input!H:H,"",0,1))</f>
        <v/>
      </c>
      <c r="B515" s="32"/>
      <c r="C515" s="51">
        <f>_xlfn.XLOOKUP(B515,Input!J:J,Input!F:F)</f>
        <v>0</v>
      </c>
      <c r="D515" s="32">
        <f>_xlfn.XLOOKUP(C515,Models!H:H,Models!G:G,C515)</f>
        <v>0</v>
      </c>
      <c r="E515" s="32">
        <f>_xlfn.XLOOKUP(B515,Input!J:J,Input!E:E)</f>
        <v>0</v>
      </c>
      <c r="F515" s="32">
        <f>IF(E515="LENOVO",_xlfn.XLOOKUP(B515,Input!J:J,Input!K:K),_xlfn.XLOOKUP(B515,Input!J:J,Input!L:L))</f>
        <v>0</v>
      </c>
      <c r="G515" s="32"/>
      <c r="H515" s="32"/>
      <c r="I515" s="32"/>
      <c r="J515" s="51" t="e">
        <f>INDEX(Input!$D$2:$AC$500,
       MATCH(B515, Input!$J$2:$J$500, 0),
       MATCH("Total Memory", Input!$D$1:$AC$1, 0))</f>
        <v>#N/A</v>
      </c>
      <c r="K515" s="51"/>
      <c r="L515" s="51" t="str" cm="1">
        <f t="array" ref="L515">IFERROR(_xlfn.FILTERXML("&lt;t&gt;&lt;s&gt;" &amp; SUBSTITUTE(K515," / ","&lt;/s&gt;&lt;s&gt;") &amp; "&lt;/s&gt;&lt;/t&gt;","(//s[contains(.,'DDR')])[1]"),"")</f>
        <v/>
      </c>
      <c r="M515" s="32" t="e">
        <f t="shared" si="23"/>
        <v>#N/A</v>
      </c>
      <c r="N515" s="51" t="e">
        <f>INDEX(Input!$D$2:$AC$500,
       MATCH(B515, Input!$J$2:$J$500, 0),
       MATCH("Disk Interface Type", Input!$D$1:$AC$1, 0))</f>
        <v>#N/A</v>
      </c>
      <c r="O515" s="51" t="str" cm="1">
        <f t="array" ref="O515">IFERROR(_xlfn.TEXTJOIN(", ", TRUE, _xlfn._xlws.FILTER(
    INDEX(Input!$D$2:$AC$500,,MATCH("Disk Capacity",Input!$D$1:$AC$1,0)),
    Input!$J$2:$J$500=B515
)), "")</f>
        <v/>
      </c>
      <c r="P515" s="32" t="e">
        <f t="shared" ref="P515:P569" si="25">_xlfn.TEXTJOIN(" ",TRUE,O515,N515)</f>
        <v>#N/A</v>
      </c>
      <c r="Q515" s="51" t="e">
        <f>_xlfn.LET(_xlpm.Result,INDEX(Input!$D$2:$AC$500,
       MATCH(B515, Input!$J$2:$J$500, 0),
       MATCH("Capacity", Input!$D$1:$AC$1, 0)),IF(_xlpm.Result="","",_xlpm.Result))</f>
        <v>#N/A</v>
      </c>
      <c r="R515" s="51"/>
      <c r="S515" s="51"/>
      <c r="T515" s="51" t="str" cm="1">
        <f t="array" ref="T515">IFERROR(_xlfn.IFS(
R515="","",
--R515&lt;55,"Battery Defect",
--R515&lt;=69,"Battery D",
--R515&lt;=80,"Battery C",
--R515&gt;80,""
),"")</f>
        <v/>
      </c>
      <c r="U515" s="51" t="str" cm="1">
        <f t="array" ref="U515">IFERROR(_xlfn.IFS(
S515="","",
--S515&lt;55,"Battery Defect",
--S515&lt;=69,"Battery D",
--S515&lt;=80,"Battery C",
--S515&gt;80,""
),"")</f>
        <v/>
      </c>
      <c r="V515" s="51"/>
      <c r="W515" s="51"/>
      <c r="X515" s="51"/>
      <c r="Y515" s="51"/>
      <c r="Z515" s="51"/>
      <c r="AA515" s="51"/>
      <c r="AB515" s="51"/>
      <c r="AC515" s="51"/>
      <c r="AD515" s="32" t="str">
        <f t="shared" si="24"/>
        <v/>
      </c>
      <c r="AE515" s="32"/>
      <c r="AF515" s="32"/>
      <c r="AG515" s="32"/>
      <c r="AH515" s="32"/>
      <c r="AI515" s="32"/>
      <c r="AJ515" s="32"/>
      <c r="AK515" s="32"/>
      <c r="AL515" s="32"/>
    </row>
    <row r="516" spans="1:38">
      <c r="A516" s="32" t="str">
        <f>_xlfn.TEXTJOIN("",TRUE,_xlfn.XLOOKUP(B516,Input!J:J,Input!G:G,"",0,1),_xlfn.XLOOKUP(B516,Input!J:J,Input!H:H,"",0,1))</f>
        <v/>
      </c>
      <c r="B516" s="32"/>
      <c r="C516" s="51">
        <f>_xlfn.XLOOKUP(B516,Input!J:J,Input!F:F)</f>
        <v>0</v>
      </c>
      <c r="D516" s="32">
        <f>_xlfn.XLOOKUP(C516,Models!H:H,Models!G:G,C516)</f>
        <v>0</v>
      </c>
      <c r="E516" s="32">
        <f>_xlfn.XLOOKUP(B516,Input!J:J,Input!E:E)</f>
        <v>0</v>
      </c>
      <c r="F516" s="32">
        <f>IF(E516="LENOVO",_xlfn.XLOOKUP(B516,Input!J:J,Input!K:K),_xlfn.XLOOKUP(B516,Input!J:J,Input!L:L))</f>
        <v>0</v>
      </c>
      <c r="G516" s="32"/>
      <c r="H516" s="32"/>
      <c r="I516" s="32"/>
      <c r="J516" s="51" t="e">
        <f>INDEX(Input!$D$2:$AC$500,
       MATCH(B516, Input!$J$2:$J$500, 0),
       MATCH("Total Memory", Input!$D$1:$AC$1, 0))</f>
        <v>#N/A</v>
      </c>
      <c r="K516" s="51"/>
      <c r="L516" s="51" t="str" cm="1">
        <f t="array" ref="L516">IFERROR(_xlfn.FILTERXML("&lt;t&gt;&lt;s&gt;" &amp; SUBSTITUTE(K516," / ","&lt;/s&gt;&lt;s&gt;") &amp; "&lt;/s&gt;&lt;/t&gt;","(//s[contains(.,'DDR')])[1]"),"")</f>
        <v/>
      </c>
      <c r="M516" s="32" t="e">
        <f t="shared" ref="M516:M579" si="26">_xlfn.TEXTJOIN(" ",TRUE,SUBSTITUTE(J516,"i",""),L516)</f>
        <v>#N/A</v>
      </c>
      <c r="N516" s="51" t="e">
        <f>INDEX(Input!$D$2:$AC$500,
       MATCH(B516, Input!$J$2:$J$500, 0),
       MATCH("Disk Interface Type", Input!$D$1:$AC$1, 0))</f>
        <v>#N/A</v>
      </c>
      <c r="O516" s="51" t="str" cm="1">
        <f t="array" ref="O516">IFERROR(_xlfn.TEXTJOIN(", ", TRUE, _xlfn._xlws.FILTER(
    INDEX(Input!$D$2:$AC$500,,MATCH("Disk Capacity",Input!$D$1:$AC$1,0)),
    Input!$J$2:$J$500=B516
)), "")</f>
        <v/>
      </c>
      <c r="P516" s="32" t="e">
        <f t="shared" si="25"/>
        <v>#N/A</v>
      </c>
      <c r="Q516" s="51" t="e">
        <f>_xlfn.LET(_xlpm.Result,INDEX(Input!$D$2:$AC$500,
       MATCH(B516, Input!$J$2:$J$500, 0),
       MATCH("Capacity", Input!$D$1:$AC$1, 0)),IF(_xlpm.Result="","",_xlpm.Result))</f>
        <v>#N/A</v>
      </c>
      <c r="R516" s="51"/>
      <c r="S516" s="51"/>
      <c r="T516" s="51" t="str" cm="1">
        <f t="array" ref="T516">IFERROR(_xlfn.IFS(
R516="","",
--R516&lt;55,"Battery Defect",
--R516&lt;=69,"Battery D",
--R516&lt;=80,"Battery C",
--R516&gt;80,""
),"")</f>
        <v/>
      </c>
      <c r="U516" s="51" t="str" cm="1">
        <f t="array" ref="U516">IFERROR(_xlfn.IFS(
S516="","",
--S516&lt;55,"Battery Defect",
--S516&lt;=69,"Battery D",
--S516&lt;=80,"Battery C",
--S516&gt;80,""
),"")</f>
        <v/>
      </c>
      <c r="V516" s="51"/>
      <c r="W516" s="51"/>
      <c r="X516" s="51"/>
      <c r="Y516" s="51"/>
      <c r="Z516" s="51"/>
      <c r="AA516" s="51"/>
      <c r="AB516" s="51"/>
      <c r="AC516" s="51"/>
      <c r="AD516" s="32" t="str">
        <f t="shared" si="24"/>
        <v/>
      </c>
      <c r="AE516" s="32"/>
      <c r="AF516" s="32"/>
      <c r="AG516" s="32"/>
      <c r="AH516" s="32"/>
      <c r="AI516" s="32"/>
      <c r="AJ516" s="32"/>
      <c r="AK516" s="32"/>
      <c r="AL516" s="32"/>
    </row>
    <row r="517" spans="1:38">
      <c r="A517" s="32" t="str">
        <f>_xlfn.TEXTJOIN("",TRUE,_xlfn.XLOOKUP(B517,Input!J:J,Input!G:G,"",0,1),_xlfn.XLOOKUP(B517,Input!J:J,Input!H:H,"",0,1))</f>
        <v/>
      </c>
      <c r="B517" s="32"/>
      <c r="C517" s="51">
        <f>_xlfn.XLOOKUP(B517,Input!J:J,Input!F:F)</f>
        <v>0</v>
      </c>
      <c r="D517" s="32">
        <f>_xlfn.XLOOKUP(C517,Models!H:H,Models!G:G,C517)</f>
        <v>0</v>
      </c>
      <c r="E517" s="32">
        <f>_xlfn.XLOOKUP(B517,Input!J:J,Input!E:E)</f>
        <v>0</v>
      </c>
      <c r="F517" s="32">
        <f>IF(E517="LENOVO",_xlfn.XLOOKUP(B517,Input!J:J,Input!K:K),_xlfn.XLOOKUP(B517,Input!J:J,Input!L:L))</f>
        <v>0</v>
      </c>
      <c r="G517" s="32"/>
      <c r="H517" s="32"/>
      <c r="I517" s="32"/>
      <c r="J517" s="51" t="e">
        <f>INDEX(Input!$D$2:$AC$500,
       MATCH(B517, Input!$J$2:$J$500, 0),
       MATCH("Total Memory", Input!$D$1:$AC$1, 0))</f>
        <v>#N/A</v>
      </c>
      <c r="K517" s="51"/>
      <c r="L517" s="51" t="str" cm="1">
        <f t="array" ref="L517">IFERROR(_xlfn.FILTERXML("&lt;t&gt;&lt;s&gt;" &amp; SUBSTITUTE(K517," / ","&lt;/s&gt;&lt;s&gt;") &amp; "&lt;/s&gt;&lt;/t&gt;","(//s[contains(.,'DDR')])[1]"),"")</f>
        <v/>
      </c>
      <c r="M517" s="32" t="e">
        <f t="shared" si="26"/>
        <v>#N/A</v>
      </c>
      <c r="N517" s="51" t="e">
        <f>INDEX(Input!$D$2:$AC$500,
       MATCH(B517, Input!$J$2:$J$500, 0),
       MATCH("Disk Interface Type", Input!$D$1:$AC$1, 0))</f>
        <v>#N/A</v>
      </c>
      <c r="O517" s="51" t="str" cm="1">
        <f t="array" ref="O517">IFERROR(_xlfn.TEXTJOIN(", ", TRUE, _xlfn._xlws.FILTER(
    INDEX(Input!$D$2:$AC$500,,MATCH("Disk Capacity",Input!$D$1:$AC$1,0)),
    Input!$J$2:$J$500=B517
)), "")</f>
        <v/>
      </c>
      <c r="P517" s="32" t="e">
        <f t="shared" si="25"/>
        <v>#N/A</v>
      </c>
      <c r="Q517" s="51" t="e">
        <f>_xlfn.LET(_xlpm.Result,INDEX(Input!$D$2:$AC$500,
       MATCH(B517, Input!$J$2:$J$500, 0),
       MATCH("Capacity", Input!$D$1:$AC$1, 0)),IF(_xlpm.Result="","",_xlpm.Result))</f>
        <v>#N/A</v>
      </c>
      <c r="R517" s="51"/>
      <c r="S517" s="51"/>
      <c r="T517" s="51" t="str" cm="1">
        <f t="array" ref="T517">IFERROR(_xlfn.IFS(
R517="","",
--R517&lt;55,"Battery Defect",
--R517&lt;=69,"Battery D",
--R517&lt;=80,"Battery C",
--R517&gt;80,""
),"")</f>
        <v/>
      </c>
      <c r="U517" s="51" t="str" cm="1">
        <f t="array" ref="U517">IFERROR(_xlfn.IFS(
S517="","",
--S517&lt;55,"Battery Defect",
--S517&lt;=69,"Battery D",
--S517&lt;=80,"Battery C",
--S517&gt;80,""
),"")</f>
        <v/>
      </c>
      <c r="V517" s="51"/>
      <c r="W517" s="51"/>
      <c r="X517" s="51"/>
      <c r="Y517" s="51"/>
      <c r="Z517" s="51"/>
      <c r="AA517" s="51"/>
      <c r="AB517" s="51"/>
      <c r="AC517" s="51"/>
      <c r="AD517" s="32" t="str">
        <f t="shared" si="24"/>
        <v/>
      </c>
      <c r="AE517" s="32"/>
      <c r="AF517" s="32"/>
      <c r="AG517" s="32"/>
      <c r="AH517" s="32"/>
      <c r="AI517" s="32"/>
      <c r="AJ517" s="32"/>
      <c r="AK517" s="32"/>
      <c r="AL517" s="32"/>
    </row>
    <row r="518" spans="1:38">
      <c r="A518" s="32" t="str">
        <f>_xlfn.TEXTJOIN("",TRUE,_xlfn.XLOOKUP(B518,Input!J:J,Input!G:G,"",0,1),_xlfn.XLOOKUP(B518,Input!J:J,Input!H:H,"",0,1))</f>
        <v/>
      </c>
      <c r="B518" s="32"/>
      <c r="C518" s="51">
        <f>_xlfn.XLOOKUP(B518,Input!J:J,Input!F:F)</f>
        <v>0</v>
      </c>
      <c r="D518" s="32">
        <f>_xlfn.XLOOKUP(C518,Models!H:H,Models!G:G,C518)</f>
        <v>0</v>
      </c>
      <c r="E518" s="32">
        <f>_xlfn.XLOOKUP(B518,Input!J:J,Input!E:E)</f>
        <v>0</v>
      </c>
      <c r="F518" s="32">
        <f>IF(E518="LENOVO",_xlfn.XLOOKUP(B518,Input!J:J,Input!K:K),_xlfn.XLOOKUP(B518,Input!J:J,Input!L:L))</f>
        <v>0</v>
      </c>
      <c r="G518" s="32"/>
      <c r="H518" s="32"/>
      <c r="I518" s="32"/>
      <c r="J518" s="51" t="e">
        <f>INDEX(Input!$D$2:$AC$500,
       MATCH(B518, Input!$J$2:$J$500, 0),
       MATCH("Total Memory", Input!$D$1:$AC$1, 0))</f>
        <v>#N/A</v>
      </c>
      <c r="K518" s="51"/>
      <c r="L518" s="51" t="str" cm="1">
        <f t="array" ref="L518">IFERROR(_xlfn.FILTERXML("&lt;t&gt;&lt;s&gt;" &amp; SUBSTITUTE(K518," / ","&lt;/s&gt;&lt;s&gt;") &amp; "&lt;/s&gt;&lt;/t&gt;","(//s[contains(.,'DDR')])[1]"),"")</f>
        <v/>
      </c>
      <c r="M518" s="32" t="e">
        <f t="shared" si="26"/>
        <v>#N/A</v>
      </c>
      <c r="N518" s="51" t="e">
        <f>INDEX(Input!$D$2:$AC$500,
       MATCH(B518, Input!$J$2:$J$500, 0),
       MATCH("Disk Interface Type", Input!$D$1:$AC$1, 0))</f>
        <v>#N/A</v>
      </c>
      <c r="O518" s="51" t="str" cm="1">
        <f t="array" ref="O518">IFERROR(_xlfn.TEXTJOIN(", ", TRUE, _xlfn._xlws.FILTER(
    INDEX(Input!$D$2:$AC$500,,MATCH("Disk Capacity",Input!$D$1:$AC$1,0)),
    Input!$J$2:$J$500=B518
)), "")</f>
        <v/>
      </c>
      <c r="P518" s="32" t="e">
        <f t="shared" si="25"/>
        <v>#N/A</v>
      </c>
      <c r="Q518" s="51" t="e">
        <f>_xlfn.LET(_xlpm.Result,INDEX(Input!$D$2:$AC$500,
       MATCH(B518, Input!$J$2:$J$500, 0),
       MATCH("Capacity", Input!$D$1:$AC$1, 0)),IF(_xlpm.Result="","",_xlpm.Result))</f>
        <v>#N/A</v>
      </c>
      <c r="R518" s="51"/>
      <c r="S518" s="51"/>
      <c r="T518" s="51" t="str" cm="1">
        <f t="array" ref="T518">IFERROR(_xlfn.IFS(
R518="","",
--R518&lt;55,"Battery Defect",
--R518&lt;=69,"Battery D",
--R518&lt;=80,"Battery C",
--R518&gt;80,""
),"")</f>
        <v/>
      </c>
      <c r="U518" s="51" t="str" cm="1">
        <f t="array" ref="U518">IFERROR(_xlfn.IFS(
S518="","",
--S518&lt;55,"Battery Defect",
--S518&lt;=69,"Battery D",
--S518&lt;=80,"Battery C",
--S518&gt;80,""
),"")</f>
        <v/>
      </c>
      <c r="V518" s="51"/>
      <c r="W518" s="51"/>
      <c r="X518" s="51"/>
      <c r="Y518" s="51"/>
      <c r="Z518" s="51"/>
      <c r="AA518" s="51"/>
      <c r="AB518" s="51"/>
      <c r="AC518" s="51"/>
      <c r="AD518" s="32" t="str">
        <f t="shared" si="24"/>
        <v/>
      </c>
      <c r="AE518" s="32"/>
      <c r="AF518" s="32"/>
      <c r="AG518" s="32"/>
      <c r="AH518" s="32"/>
      <c r="AI518" s="32"/>
      <c r="AJ518" s="32"/>
      <c r="AK518" s="32"/>
      <c r="AL518" s="32"/>
    </row>
    <row r="519" spans="1:38">
      <c r="A519" s="32" t="str">
        <f>_xlfn.TEXTJOIN("",TRUE,_xlfn.XLOOKUP(B519,Input!J:J,Input!G:G,"",0,1),_xlfn.XLOOKUP(B519,Input!J:J,Input!H:H,"",0,1))</f>
        <v/>
      </c>
      <c r="B519" s="32"/>
      <c r="C519" s="51">
        <f>_xlfn.XLOOKUP(B519,Input!J:J,Input!F:F)</f>
        <v>0</v>
      </c>
      <c r="D519" s="32">
        <f>_xlfn.XLOOKUP(C519,Models!H:H,Models!G:G,C519)</f>
        <v>0</v>
      </c>
      <c r="E519" s="32">
        <f>_xlfn.XLOOKUP(B519,Input!J:J,Input!E:E)</f>
        <v>0</v>
      </c>
      <c r="F519" s="32">
        <f>IF(E519="LENOVO",_xlfn.XLOOKUP(B519,Input!J:J,Input!K:K),_xlfn.XLOOKUP(B519,Input!J:J,Input!L:L))</f>
        <v>0</v>
      </c>
      <c r="G519" s="32"/>
      <c r="H519" s="32"/>
      <c r="I519" s="32"/>
      <c r="J519" s="51" t="e">
        <f>INDEX(Input!$D$2:$AC$500,
       MATCH(B519, Input!$J$2:$J$500, 0),
       MATCH("Total Memory", Input!$D$1:$AC$1, 0))</f>
        <v>#N/A</v>
      </c>
      <c r="K519" s="51"/>
      <c r="L519" s="51" t="str" cm="1">
        <f t="array" ref="L519">IFERROR(_xlfn.FILTERXML("&lt;t&gt;&lt;s&gt;" &amp; SUBSTITUTE(K519," / ","&lt;/s&gt;&lt;s&gt;") &amp; "&lt;/s&gt;&lt;/t&gt;","(//s[contains(.,'DDR')])[1]"),"")</f>
        <v/>
      </c>
      <c r="M519" s="32" t="e">
        <f t="shared" si="26"/>
        <v>#N/A</v>
      </c>
      <c r="N519" s="51" t="e">
        <f>INDEX(Input!$D$2:$AC$500,
       MATCH(B519, Input!$J$2:$J$500, 0),
       MATCH("Disk Interface Type", Input!$D$1:$AC$1, 0))</f>
        <v>#N/A</v>
      </c>
      <c r="O519" s="51" t="str" cm="1">
        <f t="array" ref="O519">IFERROR(_xlfn.TEXTJOIN(", ", TRUE, _xlfn._xlws.FILTER(
    INDEX(Input!$D$2:$AC$500,,MATCH("Disk Capacity",Input!$D$1:$AC$1,0)),
    Input!$J$2:$J$500=B519
)), "")</f>
        <v/>
      </c>
      <c r="P519" s="32" t="e">
        <f t="shared" si="25"/>
        <v>#N/A</v>
      </c>
      <c r="Q519" s="51" t="e">
        <f>_xlfn.LET(_xlpm.Result,INDEX(Input!$D$2:$AC$500,
       MATCH(B519, Input!$J$2:$J$500, 0),
       MATCH("Capacity", Input!$D$1:$AC$1, 0)),IF(_xlpm.Result="","",_xlpm.Result))</f>
        <v>#N/A</v>
      </c>
      <c r="R519" s="51"/>
      <c r="S519" s="51"/>
      <c r="T519" s="51" t="str" cm="1">
        <f t="array" ref="T519">IFERROR(_xlfn.IFS(
R519="","",
--R519&lt;55,"Battery Defect",
--R519&lt;=69,"Battery D",
--R519&lt;=80,"Battery C",
--R519&gt;80,""
),"")</f>
        <v/>
      </c>
      <c r="U519" s="51" t="str" cm="1">
        <f t="array" ref="U519">IFERROR(_xlfn.IFS(
S519="","",
--S519&lt;55,"Battery Defect",
--S519&lt;=69,"Battery D",
--S519&lt;=80,"Battery C",
--S519&gt;80,""
),"")</f>
        <v/>
      </c>
      <c r="V519" s="51"/>
      <c r="W519" s="51"/>
      <c r="X519" s="51"/>
      <c r="Y519" s="51"/>
      <c r="Z519" s="51"/>
      <c r="AA519" s="51"/>
      <c r="AB519" s="51"/>
      <c r="AC519" s="51"/>
      <c r="AD519" s="32" t="str">
        <f t="shared" si="24"/>
        <v/>
      </c>
      <c r="AE519" s="32"/>
      <c r="AF519" s="32"/>
      <c r="AG519" s="32"/>
      <c r="AH519" s="32"/>
      <c r="AI519" s="32"/>
      <c r="AJ519" s="32"/>
      <c r="AK519" s="32"/>
      <c r="AL519" s="32"/>
    </row>
    <row r="520" spans="1:38">
      <c r="A520" s="32" t="str">
        <f>_xlfn.TEXTJOIN("",TRUE,_xlfn.XLOOKUP(B520,Input!J:J,Input!G:G,"",0,1),_xlfn.XLOOKUP(B520,Input!J:J,Input!H:H,"",0,1))</f>
        <v/>
      </c>
      <c r="B520" s="32"/>
      <c r="C520" s="51">
        <f>_xlfn.XLOOKUP(B520,Input!J:J,Input!F:F)</f>
        <v>0</v>
      </c>
      <c r="D520" s="32">
        <f>_xlfn.XLOOKUP(C520,Models!H:H,Models!G:G,C520)</f>
        <v>0</v>
      </c>
      <c r="E520" s="32">
        <f>_xlfn.XLOOKUP(B520,Input!J:J,Input!E:E)</f>
        <v>0</v>
      </c>
      <c r="F520" s="32">
        <f>IF(E520="LENOVO",_xlfn.XLOOKUP(B520,Input!J:J,Input!K:K),_xlfn.XLOOKUP(B520,Input!J:J,Input!L:L))</f>
        <v>0</v>
      </c>
      <c r="G520" s="32"/>
      <c r="H520" s="32"/>
      <c r="I520" s="32"/>
      <c r="J520" s="51" t="e">
        <f>INDEX(Input!$D$2:$AC$500,
       MATCH(B520, Input!$J$2:$J$500, 0),
       MATCH("Total Memory", Input!$D$1:$AC$1, 0))</f>
        <v>#N/A</v>
      </c>
      <c r="K520" s="51"/>
      <c r="L520" s="51" t="str" cm="1">
        <f t="array" ref="L520">IFERROR(_xlfn.FILTERXML("&lt;t&gt;&lt;s&gt;" &amp; SUBSTITUTE(K520," / ","&lt;/s&gt;&lt;s&gt;") &amp; "&lt;/s&gt;&lt;/t&gt;","(//s[contains(.,'DDR')])[1]"),"")</f>
        <v/>
      </c>
      <c r="M520" s="32" t="e">
        <f t="shared" si="26"/>
        <v>#N/A</v>
      </c>
      <c r="N520" s="51" t="e">
        <f>INDEX(Input!$D$2:$AC$500,
       MATCH(B520, Input!$J$2:$J$500, 0),
       MATCH("Disk Interface Type", Input!$D$1:$AC$1, 0))</f>
        <v>#N/A</v>
      </c>
      <c r="O520" s="51" t="str" cm="1">
        <f t="array" ref="O520">IFERROR(_xlfn.TEXTJOIN(", ", TRUE, _xlfn._xlws.FILTER(
    INDEX(Input!$D$2:$AC$500,,MATCH("Disk Capacity",Input!$D$1:$AC$1,0)),
    Input!$J$2:$J$500=B520
)), "")</f>
        <v/>
      </c>
      <c r="P520" s="32" t="e">
        <f t="shared" si="25"/>
        <v>#N/A</v>
      </c>
      <c r="Q520" s="51" t="e">
        <f>_xlfn.LET(_xlpm.Result,INDEX(Input!$D$2:$AC$500,
       MATCH(B520, Input!$J$2:$J$500, 0),
       MATCH("Capacity", Input!$D$1:$AC$1, 0)),IF(_xlpm.Result="","",_xlpm.Result))</f>
        <v>#N/A</v>
      </c>
      <c r="R520" s="51"/>
      <c r="S520" s="51"/>
      <c r="T520" s="51" t="str" cm="1">
        <f t="array" ref="T520">IFERROR(_xlfn.IFS(
R520="","",
--R520&lt;55,"Battery Defect",
--R520&lt;=69,"Battery D",
--R520&lt;=80,"Battery C",
--R520&gt;80,""
),"")</f>
        <v/>
      </c>
      <c r="U520" s="51" t="str" cm="1">
        <f t="array" ref="U520">IFERROR(_xlfn.IFS(
S520="","",
--S520&lt;55,"Battery Defect",
--S520&lt;=69,"Battery D",
--S520&lt;=80,"Battery C",
--S520&gt;80,""
),"")</f>
        <v/>
      </c>
      <c r="V520" s="51"/>
      <c r="W520" s="51"/>
      <c r="X520" s="51"/>
      <c r="Y520" s="51"/>
      <c r="Z520" s="51"/>
      <c r="AA520" s="51"/>
      <c r="AB520" s="51"/>
      <c r="AC520" s="51"/>
      <c r="AD520" s="32" t="str">
        <f t="shared" si="24"/>
        <v/>
      </c>
      <c r="AE520" s="32"/>
      <c r="AF520" s="32"/>
      <c r="AG520" s="32"/>
      <c r="AH520" s="32"/>
      <c r="AI520" s="32"/>
      <c r="AJ520" s="32"/>
      <c r="AK520" s="32"/>
      <c r="AL520" s="32"/>
    </row>
    <row r="521" spans="1:38">
      <c r="A521" s="32" t="str">
        <f>_xlfn.TEXTJOIN("",TRUE,_xlfn.XLOOKUP(B521,Input!J:J,Input!G:G,"",0,1),_xlfn.XLOOKUP(B521,Input!J:J,Input!H:H,"",0,1))</f>
        <v/>
      </c>
      <c r="B521" s="32"/>
      <c r="C521" s="51">
        <f>_xlfn.XLOOKUP(B521,Input!J:J,Input!F:F)</f>
        <v>0</v>
      </c>
      <c r="D521" s="32">
        <f>_xlfn.XLOOKUP(C521,Models!H:H,Models!G:G,C521)</f>
        <v>0</v>
      </c>
      <c r="E521" s="32">
        <f>_xlfn.XLOOKUP(B521,Input!J:J,Input!E:E)</f>
        <v>0</v>
      </c>
      <c r="F521" s="32">
        <f>IF(E521="LENOVO",_xlfn.XLOOKUP(B521,Input!J:J,Input!K:K),_xlfn.XLOOKUP(B521,Input!J:J,Input!L:L))</f>
        <v>0</v>
      </c>
      <c r="G521" s="32"/>
      <c r="H521" s="32"/>
      <c r="I521" s="32"/>
      <c r="J521" s="51" t="e">
        <f>INDEX(Input!$D$2:$AC$500,
       MATCH(B521, Input!$J$2:$J$500, 0),
       MATCH("Total Memory", Input!$D$1:$AC$1, 0))</f>
        <v>#N/A</v>
      </c>
      <c r="K521" s="51"/>
      <c r="L521" s="51" t="str" cm="1">
        <f t="array" ref="L521">IFERROR(_xlfn.FILTERXML("&lt;t&gt;&lt;s&gt;" &amp; SUBSTITUTE(K521," / ","&lt;/s&gt;&lt;s&gt;") &amp; "&lt;/s&gt;&lt;/t&gt;","(//s[contains(.,'DDR')])[1]"),"")</f>
        <v/>
      </c>
      <c r="M521" s="32" t="e">
        <f t="shared" si="26"/>
        <v>#N/A</v>
      </c>
      <c r="N521" s="51" t="e">
        <f>INDEX(Input!$D$2:$AC$500,
       MATCH(B521, Input!$J$2:$J$500, 0),
       MATCH("Disk Interface Type", Input!$D$1:$AC$1, 0))</f>
        <v>#N/A</v>
      </c>
      <c r="O521" s="51" t="str" cm="1">
        <f t="array" ref="O521">IFERROR(_xlfn.TEXTJOIN(", ", TRUE, _xlfn._xlws.FILTER(
    INDEX(Input!$D$2:$AC$500,,MATCH("Disk Capacity",Input!$D$1:$AC$1,0)),
    Input!$J$2:$J$500=B521
)), "")</f>
        <v/>
      </c>
      <c r="P521" s="32" t="e">
        <f t="shared" si="25"/>
        <v>#N/A</v>
      </c>
      <c r="Q521" s="51" t="e">
        <f>_xlfn.LET(_xlpm.Result,INDEX(Input!$D$2:$AC$500,
       MATCH(B521, Input!$J$2:$J$500, 0),
       MATCH("Capacity", Input!$D$1:$AC$1, 0)),IF(_xlpm.Result="","",_xlpm.Result))</f>
        <v>#N/A</v>
      </c>
      <c r="R521" s="51"/>
      <c r="S521" s="51"/>
      <c r="T521" s="51" t="str" cm="1">
        <f t="array" ref="T521">IFERROR(_xlfn.IFS(
R521="","",
--R521&lt;55,"Battery Defect",
--R521&lt;=69,"Battery D",
--R521&lt;=80,"Battery C",
--R521&gt;80,""
),"")</f>
        <v/>
      </c>
      <c r="U521" s="51" t="str" cm="1">
        <f t="array" ref="U521">IFERROR(_xlfn.IFS(
S521="","",
--S521&lt;55,"Battery Defect",
--S521&lt;=69,"Battery D",
--S521&lt;=80,"Battery C",
--S521&gt;80,""
),"")</f>
        <v/>
      </c>
      <c r="V521" s="51"/>
      <c r="W521" s="51"/>
      <c r="X521" s="51"/>
      <c r="Y521" s="51"/>
      <c r="Z521" s="51"/>
      <c r="AA521" s="51"/>
      <c r="AB521" s="51"/>
      <c r="AC521" s="51"/>
      <c r="AD521" s="32" t="str">
        <f t="shared" si="24"/>
        <v/>
      </c>
      <c r="AE521" s="32"/>
      <c r="AF521" s="32"/>
      <c r="AG521" s="32"/>
      <c r="AH521" s="32"/>
      <c r="AI521" s="32"/>
      <c r="AJ521" s="32"/>
      <c r="AK521" s="32"/>
      <c r="AL521" s="32"/>
    </row>
    <row r="522" spans="1:38">
      <c r="A522" s="32" t="str">
        <f>_xlfn.TEXTJOIN("",TRUE,_xlfn.XLOOKUP(B522,Input!J:J,Input!G:G,"",0,1),_xlfn.XLOOKUP(B522,Input!J:J,Input!H:H,"",0,1))</f>
        <v/>
      </c>
      <c r="B522" s="32"/>
      <c r="C522" s="51">
        <f>_xlfn.XLOOKUP(B522,Input!J:J,Input!F:F)</f>
        <v>0</v>
      </c>
      <c r="D522" s="32">
        <f>_xlfn.XLOOKUP(C522,Models!H:H,Models!G:G,C522)</f>
        <v>0</v>
      </c>
      <c r="E522" s="32">
        <f>_xlfn.XLOOKUP(B522,Input!J:J,Input!E:E)</f>
        <v>0</v>
      </c>
      <c r="F522" s="32">
        <f>IF(E522="LENOVO",_xlfn.XLOOKUP(B522,Input!J:J,Input!K:K),_xlfn.XLOOKUP(B522,Input!J:J,Input!L:L))</f>
        <v>0</v>
      </c>
      <c r="G522" s="32"/>
      <c r="H522" s="32"/>
      <c r="I522" s="32"/>
      <c r="J522" s="51" t="e">
        <f>INDEX(Input!$D$2:$AC$500,
       MATCH(B522, Input!$J$2:$J$500, 0),
       MATCH("Total Memory", Input!$D$1:$AC$1, 0))</f>
        <v>#N/A</v>
      </c>
      <c r="K522" s="51"/>
      <c r="L522" s="51" t="str" cm="1">
        <f t="array" ref="L522">IFERROR(_xlfn.FILTERXML("&lt;t&gt;&lt;s&gt;" &amp; SUBSTITUTE(K522," / ","&lt;/s&gt;&lt;s&gt;") &amp; "&lt;/s&gt;&lt;/t&gt;","(//s[contains(.,'DDR')])[1]"),"")</f>
        <v/>
      </c>
      <c r="M522" s="32" t="e">
        <f t="shared" si="26"/>
        <v>#N/A</v>
      </c>
      <c r="N522" s="51" t="e">
        <f>INDEX(Input!$D$2:$AC$500,
       MATCH(B522, Input!$J$2:$J$500, 0),
       MATCH("Disk Interface Type", Input!$D$1:$AC$1, 0))</f>
        <v>#N/A</v>
      </c>
      <c r="O522" s="51" t="str" cm="1">
        <f t="array" ref="O522">IFERROR(_xlfn.TEXTJOIN(", ", TRUE, _xlfn._xlws.FILTER(
    INDEX(Input!$D$2:$AC$500,,MATCH("Disk Capacity",Input!$D$1:$AC$1,0)),
    Input!$J$2:$J$500=B522
)), "")</f>
        <v/>
      </c>
      <c r="P522" s="32" t="e">
        <f t="shared" si="25"/>
        <v>#N/A</v>
      </c>
      <c r="Q522" s="51" t="e">
        <f>_xlfn.LET(_xlpm.Result,INDEX(Input!$D$2:$AC$500,
       MATCH(B522, Input!$J$2:$J$500, 0),
       MATCH("Capacity", Input!$D$1:$AC$1, 0)),IF(_xlpm.Result="","",_xlpm.Result))</f>
        <v>#N/A</v>
      </c>
      <c r="R522" s="51"/>
      <c r="S522" s="51"/>
      <c r="T522" s="51" t="str" cm="1">
        <f t="array" ref="T522">IFERROR(_xlfn.IFS(
R522="","",
--R522&lt;55,"Battery Defect",
--R522&lt;=69,"Battery D",
--R522&lt;=80,"Battery C",
--R522&gt;80,""
),"")</f>
        <v/>
      </c>
      <c r="U522" s="51" t="str" cm="1">
        <f t="array" ref="U522">IFERROR(_xlfn.IFS(
S522="","",
--S522&lt;55,"Battery Defect",
--S522&lt;=69,"Battery D",
--S522&lt;=80,"Battery C",
--S522&gt;80,""
),"")</f>
        <v/>
      </c>
      <c r="V522" s="51"/>
      <c r="W522" s="51"/>
      <c r="X522" s="51"/>
      <c r="Y522" s="51"/>
      <c r="Z522" s="51"/>
      <c r="AA522" s="51"/>
      <c r="AB522" s="51"/>
      <c r="AC522" s="51"/>
      <c r="AD522" s="32" t="str">
        <f t="shared" si="24"/>
        <v/>
      </c>
      <c r="AE522" s="32"/>
      <c r="AF522" s="32"/>
      <c r="AG522" s="32"/>
      <c r="AH522" s="32"/>
      <c r="AI522" s="32"/>
      <c r="AJ522" s="32"/>
      <c r="AK522" s="32"/>
      <c r="AL522" s="32"/>
    </row>
    <row r="523" spans="1:38">
      <c r="A523" s="32" t="str">
        <f>_xlfn.TEXTJOIN("",TRUE,_xlfn.XLOOKUP(B523,Input!J:J,Input!G:G,"",0,1),_xlfn.XLOOKUP(B523,Input!J:J,Input!H:H,"",0,1))</f>
        <v/>
      </c>
      <c r="B523" s="32"/>
      <c r="C523" s="51">
        <f>_xlfn.XLOOKUP(B523,Input!J:J,Input!F:F)</f>
        <v>0</v>
      </c>
      <c r="D523" s="32">
        <f>_xlfn.XLOOKUP(C523,Models!H:H,Models!G:G,C523)</f>
        <v>0</v>
      </c>
      <c r="E523" s="32">
        <f>_xlfn.XLOOKUP(B523,Input!J:J,Input!E:E)</f>
        <v>0</v>
      </c>
      <c r="F523" s="32">
        <f>IF(E523="LENOVO",_xlfn.XLOOKUP(B523,Input!J:J,Input!K:K),_xlfn.XLOOKUP(B523,Input!J:J,Input!L:L))</f>
        <v>0</v>
      </c>
      <c r="G523" s="32"/>
      <c r="H523" s="32"/>
      <c r="I523" s="32"/>
      <c r="J523" s="51" t="e">
        <f>INDEX(Input!$D$2:$AC$500,
       MATCH(B523, Input!$J$2:$J$500, 0),
       MATCH("Total Memory", Input!$D$1:$AC$1, 0))</f>
        <v>#N/A</v>
      </c>
      <c r="K523" s="51"/>
      <c r="L523" s="51" t="str" cm="1">
        <f t="array" ref="L523">IFERROR(_xlfn.FILTERXML("&lt;t&gt;&lt;s&gt;" &amp; SUBSTITUTE(K523," / ","&lt;/s&gt;&lt;s&gt;") &amp; "&lt;/s&gt;&lt;/t&gt;","(//s[contains(.,'DDR')])[1]"),"")</f>
        <v/>
      </c>
      <c r="M523" s="32" t="e">
        <f t="shared" si="26"/>
        <v>#N/A</v>
      </c>
      <c r="N523" s="51" t="e">
        <f>INDEX(Input!$D$2:$AC$500,
       MATCH(B523, Input!$J$2:$J$500, 0),
       MATCH("Disk Interface Type", Input!$D$1:$AC$1, 0))</f>
        <v>#N/A</v>
      </c>
      <c r="O523" s="51" t="str" cm="1">
        <f t="array" ref="O523">IFERROR(_xlfn.TEXTJOIN(", ", TRUE, _xlfn._xlws.FILTER(
    INDEX(Input!$D$2:$AC$500,,MATCH("Disk Capacity",Input!$D$1:$AC$1,0)),
    Input!$J$2:$J$500=B523
)), "")</f>
        <v/>
      </c>
      <c r="P523" s="32" t="e">
        <f t="shared" si="25"/>
        <v>#N/A</v>
      </c>
      <c r="Q523" s="51" t="e">
        <f>_xlfn.LET(_xlpm.Result,INDEX(Input!$D$2:$AC$500,
       MATCH(B523, Input!$J$2:$J$500, 0),
       MATCH("Capacity", Input!$D$1:$AC$1, 0)),IF(_xlpm.Result="","",_xlpm.Result))</f>
        <v>#N/A</v>
      </c>
      <c r="R523" s="51"/>
      <c r="S523" s="51"/>
      <c r="T523" s="51" t="str" cm="1">
        <f t="array" ref="T523">IFERROR(_xlfn.IFS(
R523="","",
--R523&lt;55,"Battery Defect",
--R523&lt;=69,"Battery D",
--R523&lt;=80,"Battery C",
--R523&gt;80,""
),"")</f>
        <v/>
      </c>
      <c r="U523" s="51" t="str" cm="1">
        <f t="array" ref="U523">IFERROR(_xlfn.IFS(
S523="","",
--S523&lt;55,"Battery Defect",
--S523&lt;=69,"Battery D",
--S523&lt;=80,"Battery C",
--S523&gt;80,""
),"")</f>
        <v/>
      </c>
      <c r="V523" s="51"/>
      <c r="W523" s="51"/>
      <c r="X523" s="51"/>
      <c r="Y523" s="51"/>
      <c r="Z523" s="51"/>
      <c r="AA523" s="51"/>
      <c r="AB523" s="51"/>
      <c r="AC523" s="51"/>
      <c r="AD523" s="32" t="str">
        <f t="shared" si="24"/>
        <v/>
      </c>
      <c r="AE523" s="32"/>
      <c r="AF523" s="32"/>
      <c r="AG523" s="32"/>
      <c r="AH523" s="32"/>
      <c r="AI523" s="32"/>
      <c r="AJ523" s="32"/>
      <c r="AK523" s="32"/>
      <c r="AL523" s="32"/>
    </row>
    <row r="524" spans="1:38">
      <c r="A524" s="32" t="str">
        <f>_xlfn.TEXTJOIN("",TRUE,_xlfn.XLOOKUP(B524,Input!J:J,Input!G:G,"",0,1),_xlfn.XLOOKUP(B524,Input!J:J,Input!H:H,"",0,1))</f>
        <v/>
      </c>
      <c r="B524" s="32"/>
      <c r="C524" s="51">
        <f>_xlfn.XLOOKUP(B524,Input!J:J,Input!F:F)</f>
        <v>0</v>
      </c>
      <c r="D524" s="32">
        <f>_xlfn.XLOOKUP(C524,Models!H:H,Models!G:G,C524)</f>
        <v>0</v>
      </c>
      <c r="E524" s="32">
        <f>_xlfn.XLOOKUP(B524,Input!J:J,Input!E:E)</f>
        <v>0</v>
      </c>
      <c r="F524" s="32">
        <f>IF(E524="LENOVO",_xlfn.XLOOKUP(B524,Input!J:J,Input!K:K),_xlfn.XLOOKUP(B524,Input!J:J,Input!L:L))</f>
        <v>0</v>
      </c>
      <c r="G524" s="32"/>
      <c r="H524" s="32"/>
      <c r="I524" s="32"/>
      <c r="J524" s="51" t="e">
        <f>INDEX(Input!$D$2:$AC$500,
       MATCH(B524, Input!$J$2:$J$500, 0),
       MATCH("Total Memory", Input!$D$1:$AC$1, 0))</f>
        <v>#N/A</v>
      </c>
      <c r="K524" s="51"/>
      <c r="L524" s="51" t="str" cm="1">
        <f t="array" ref="L524">IFERROR(_xlfn.FILTERXML("&lt;t&gt;&lt;s&gt;" &amp; SUBSTITUTE(K524," / ","&lt;/s&gt;&lt;s&gt;") &amp; "&lt;/s&gt;&lt;/t&gt;","(//s[contains(.,'DDR')])[1]"),"")</f>
        <v/>
      </c>
      <c r="M524" s="32" t="e">
        <f t="shared" si="26"/>
        <v>#N/A</v>
      </c>
      <c r="N524" s="51" t="e">
        <f>INDEX(Input!$D$2:$AC$500,
       MATCH(B524, Input!$J$2:$J$500, 0),
       MATCH("Disk Interface Type", Input!$D$1:$AC$1, 0))</f>
        <v>#N/A</v>
      </c>
      <c r="O524" s="51" t="str" cm="1">
        <f t="array" ref="O524">IFERROR(_xlfn.TEXTJOIN(", ", TRUE, _xlfn._xlws.FILTER(
    INDEX(Input!$D$2:$AC$500,,MATCH("Disk Capacity",Input!$D$1:$AC$1,0)),
    Input!$J$2:$J$500=B524
)), "")</f>
        <v/>
      </c>
      <c r="P524" s="32" t="e">
        <f t="shared" si="25"/>
        <v>#N/A</v>
      </c>
      <c r="Q524" s="51" t="e">
        <f>_xlfn.LET(_xlpm.Result,INDEX(Input!$D$2:$AC$500,
       MATCH(B524, Input!$J$2:$J$500, 0),
       MATCH("Capacity", Input!$D$1:$AC$1, 0)),IF(_xlpm.Result="","",_xlpm.Result))</f>
        <v>#N/A</v>
      </c>
      <c r="R524" s="51"/>
      <c r="S524" s="51"/>
      <c r="T524" s="51" t="str" cm="1">
        <f t="array" ref="T524">IFERROR(_xlfn.IFS(
R524="","",
--R524&lt;55,"Battery Defect",
--R524&lt;=69,"Battery D",
--R524&lt;=80,"Battery C",
--R524&gt;80,""
),"")</f>
        <v/>
      </c>
      <c r="U524" s="51" t="str" cm="1">
        <f t="array" ref="U524">IFERROR(_xlfn.IFS(
S524="","",
--S524&lt;55,"Battery Defect",
--S524&lt;=69,"Battery D",
--S524&lt;=80,"Battery C",
--S524&gt;80,""
),"")</f>
        <v/>
      </c>
      <c r="V524" s="51"/>
      <c r="W524" s="51"/>
      <c r="X524" s="51"/>
      <c r="Y524" s="51"/>
      <c r="Z524" s="51"/>
      <c r="AA524" s="51"/>
      <c r="AB524" s="51"/>
      <c r="AC524" s="51"/>
      <c r="AD524" s="32" t="str">
        <f t="shared" si="24"/>
        <v/>
      </c>
      <c r="AE524" s="32"/>
      <c r="AF524" s="32"/>
      <c r="AG524" s="32"/>
      <c r="AH524" s="32"/>
      <c r="AI524" s="32"/>
      <c r="AJ524" s="32"/>
      <c r="AK524" s="32"/>
      <c r="AL524" s="32"/>
    </row>
    <row r="525" spans="1:38">
      <c r="A525" s="32" t="str">
        <f>_xlfn.TEXTJOIN("",TRUE,_xlfn.XLOOKUP(B525,Input!J:J,Input!G:G,"",0,1),_xlfn.XLOOKUP(B525,Input!J:J,Input!H:H,"",0,1))</f>
        <v/>
      </c>
      <c r="B525" s="32"/>
      <c r="C525" s="51">
        <f>_xlfn.XLOOKUP(B525,Input!J:J,Input!F:F)</f>
        <v>0</v>
      </c>
      <c r="D525" s="32">
        <f>_xlfn.XLOOKUP(C525,Models!H:H,Models!G:G,C525)</f>
        <v>0</v>
      </c>
      <c r="E525" s="32">
        <f>_xlfn.XLOOKUP(B525,Input!J:J,Input!E:E)</f>
        <v>0</v>
      </c>
      <c r="F525" s="32">
        <f>IF(E525="LENOVO",_xlfn.XLOOKUP(B525,Input!J:J,Input!K:K),_xlfn.XLOOKUP(B525,Input!J:J,Input!L:L))</f>
        <v>0</v>
      </c>
      <c r="G525" s="32"/>
      <c r="H525" s="32"/>
      <c r="I525" s="32"/>
      <c r="J525" s="51" t="e">
        <f>INDEX(Input!$D$2:$AC$500,
       MATCH(B525, Input!$J$2:$J$500, 0),
       MATCH("Total Memory", Input!$D$1:$AC$1, 0))</f>
        <v>#N/A</v>
      </c>
      <c r="K525" s="51"/>
      <c r="L525" s="51" t="str" cm="1">
        <f t="array" ref="L525">IFERROR(_xlfn.FILTERXML("&lt;t&gt;&lt;s&gt;" &amp; SUBSTITUTE(K525," / ","&lt;/s&gt;&lt;s&gt;") &amp; "&lt;/s&gt;&lt;/t&gt;","(//s[contains(.,'DDR')])[1]"),"")</f>
        <v/>
      </c>
      <c r="M525" s="32" t="e">
        <f t="shared" si="26"/>
        <v>#N/A</v>
      </c>
      <c r="N525" s="51" t="e">
        <f>INDEX(Input!$D$2:$AC$500,
       MATCH(B525, Input!$J$2:$J$500, 0),
       MATCH("Disk Interface Type", Input!$D$1:$AC$1, 0))</f>
        <v>#N/A</v>
      </c>
      <c r="O525" s="51" t="str" cm="1">
        <f t="array" ref="O525">IFERROR(_xlfn.TEXTJOIN(", ", TRUE, _xlfn._xlws.FILTER(
    INDEX(Input!$D$2:$AC$500,,MATCH("Disk Capacity",Input!$D$1:$AC$1,0)),
    Input!$J$2:$J$500=B525
)), "")</f>
        <v/>
      </c>
      <c r="P525" s="32" t="e">
        <f t="shared" si="25"/>
        <v>#N/A</v>
      </c>
      <c r="Q525" s="51" t="e">
        <f>_xlfn.LET(_xlpm.Result,INDEX(Input!$D$2:$AC$500,
       MATCH(B525, Input!$J$2:$J$500, 0),
       MATCH("Capacity", Input!$D$1:$AC$1, 0)),IF(_xlpm.Result="","",_xlpm.Result))</f>
        <v>#N/A</v>
      </c>
      <c r="R525" s="51"/>
      <c r="S525" s="51"/>
      <c r="T525" s="51" t="str" cm="1">
        <f t="array" ref="T525">IFERROR(_xlfn.IFS(
R525="","",
--R525&lt;55,"Battery Defect",
--R525&lt;=69,"Battery D",
--R525&lt;=80,"Battery C",
--R525&gt;80,""
),"")</f>
        <v/>
      </c>
      <c r="U525" s="51" t="str" cm="1">
        <f t="array" ref="U525">IFERROR(_xlfn.IFS(
S525="","",
--S525&lt;55,"Battery Defect",
--S525&lt;=69,"Battery D",
--S525&lt;=80,"Battery C",
--S525&gt;80,""
),"")</f>
        <v/>
      </c>
      <c r="V525" s="51"/>
      <c r="W525" s="51"/>
      <c r="X525" s="51"/>
      <c r="Y525" s="51"/>
      <c r="Z525" s="51"/>
      <c r="AA525" s="51"/>
      <c r="AB525" s="51"/>
      <c r="AC525" s="51"/>
      <c r="AD525" s="32" t="str">
        <f t="shared" si="24"/>
        <v/>
      </c>
      <c r="AE525" s="32"/>
      <c r="AF525" s="32"/>
      <c r="AG525" s="32"/>
      <c r="AH525" s="32"/>
      <c r="AI525" s="32"/>
      <c r="AJ525" s="32"/>
      <c r="AK525" s="32"/>
      <c r="AL525" s="32"/>
    </row>
    <row r="526" spans="1:38">
      <c r="A526" s="32" t="str">
        <f>_xlfn.TEXTJOIN("",TRUE,_xlfn.XLOOKUP(B526,Input!J:J,Input!G:G,"",0,1),_xlfn.XLOOKUP(B526,Input!J:J,Input!H:H,"",0,1))</f>
        <v/>
      </c>
      <c r="B526" s="32"/>
      <c r="C526" s="51">
        <f>_xlfn.XLOOKUP(B526,Input!J:J,Input!F:F)</f>
        <v>0</v>
      </c>
      <c r="D526" s="32">
        <f>_xlfn.XLOOKUP(C526,Models!H:H,Models!G:G,C526)</f>
        <v>0</v>
      </c>
      <c r="E526" s="32">
        <f>_xlfn.XLOOKUP(B526,Input!J:J,Input!E:E)</f>
        <v>0</v>
      </c>
      <c r="F526" s="32">
        <f>IF(E526="LENOVO",_xlfn.XLOOKUP(B526,Input!J:J,Input!K:K),_xlfn.XLOOKUP(B526,Input!J:J,Input!L:L))</f>
        <v>0</v>
      </c>
      <c r="G526" s="32"/>
      <c r="H526" s="32"/>
      <c r="I526" s="32"/>
      <c r="J526" s="51" t="e">
        <f>INDEX(Input!$D$2:$AC$500,
       MATCH(B526, Input!$J$2:$J$500, 0),
       MATCH("Total Memory", Input!$D$1:$AC$1, 0))</f>
        <v>#N/A</v>
      </c>
      <c r="K526" s="51"/>
      <c r="L526" s="51" t="str" cm="1">
        <f t="array" ref="L526">IFERROR(_xlfn.FILTERXML("&lt;t&gt;&lt;s&gt;" &amp; SUBSTITUTE(K526," / ","&lt;/s&gt;&lt;s&gt;") &amp; "&lt;/s&gt;&lt;/t&gt;","(//s[contains(.,'DDR')])[1]"),"")</f>
        <v/>
      </c>
      <c r="M526" s="32" t="e">
        <f t="shared" si="26"/>
        <v>#N/A</v>
      </c>
      <c r="N526" s="51" t="e">
        <f>INDEX(Input!$D$2:$AC$500,
       MATCH(B526, Input!$J$2:$J$500, 0),
       MATCH("Disk Interface Type", Input!$D$1:$AC$1, 0))</f>
        <v>#N/A</v>
      </c>
      <c r="O526" s="51" t="str" cm="1">
        <f t="array" ref="O526">IFERROR(_xlfn.TEXTJOIN(", ", TRUE, _xlfn._xlws.FILTER(
    INDEX(Input!$D$2:$AC$500,,MATCH("Disk Capacity",Input!$D$1:$AC$1,0)),
    Input!$J$2:$J$500=B526
)), "")</f>
        <v/>
      </c>
      <c r="P526" s="32" t="e">
        <f t="shared" si="25"/>
        <v>#N/A</v>
      </c>
      <c r="Q526" s="51" t="e">
        <f>_xlfn.LET(_xlpm.Result,INDEX(Input!$D$2:$AC$500,
       MATCH(B526, Input!$J$2:$J$500, 0),
       MATCH("Capacity", Input!$D$1:$AC$1, 0)),IF(_xlpm.Result="","",_xlpm.Result))</f>
        <v>#N/A</v>
      </c>
      <c r="R526" s="51"/>
      <c r="S526" s="51"/>
      <c r="T526" s="51" t="str" cm="1">
        <f t="array" ref="T526">IFERROR(_xlfn.IFS(
R526="","",
--R526&lt;55,"Battery Defect",
--R526&lt;=69,"Battery D",
--R526&lt;=80,"Battery C",
--R526&gt;80,""
),"")</f>
        <v/>
      </c>
      <c r="U526" s="51" t="str" cm="1">
        <f t="array" ref="U526">IFERROR(_xlfn.IFS(
S526="","",
--S526&lt;55,"Battery Defect",
--S526&lt;=69,"Battery D",
--S526&lt;=80,"Battery C",
--S526&gt;80,""
),"")</f>
        <v/>
      </c>
      <c r="V526" s="51"/>
      <c r="W526" s="51"/>
      <c r="X526" s="51"/>
      <c r="Y526" s="51"/>
      <c r="Z526" s="51"/>
      <c r="AA526" s="51"/>
      <c r="AB526" s="51"/>
      <c r="AC526" s="51"/>
      <c r="AD526" s="32" t="str">
        <f t="shared" si="24"/>
        <v/>
      </c>
      <c r="AE526" s="32"/>
      <c r="AF526" s="32"/>
      <c r="AG526" s="32"/>
      <c r="AH526" s="32"/>
      <c r="AI526" s="32"/>
      <c r="AJ526" s="32"/>
      <c r="AK526" s="32"/>
      <c r="AL526" s="32"/>
    </row>
    <row r="527" spans="1:38">
      <c r="A527" s="32" t="str">
        <f>_xlfn.TEXTJOIN("",TRUE,_xlfn.XLOOKUP(B527,Input!J:J,Input!G:G,"",0,1),_xlfn.XLOOKUP(B527,Input!J:J,Input!H:H,"",0,1))</f>
        <v/>
      </c>
      <c r="B527" s="32"/>
      <c r="C527" s="51">
        <f>_xlfn.XLOOKUP(B527,Input!J:J,Input!F:F)</f>
        <v>0</v>
      </c>
      <c r="D527" s="32">
        <f>_xlfn.XLOOKUP(C527,Models!H:H,Models!G:G,C527)</f>
        <v>0</v>
      </c>
      <c r="E527" s="32">
        <f>_xlfn.XLOOKUP(B527,Input!J:J,Input!E:E)</f>
        <v>0</v>
      </c>
      <c r="F527" s="32">
        <f>IF(E527="LENOVO",_xlfn.XLOOKUP(B527,Input!J:J,Input!K:K),_xlfn.XLOOKUP(B527,Input!J:J,Input!L:L))</f>
        <v>0</v>
      </c>
      <c r="G527" s="32"/>
      <c r="H527" s="32"/>
      <c r="I527" s="32"/>
      <c r="J527" s="51" t="e">
        <f>INDEX(Input!$D$2:$AC$500,
       MATCH(B527, Input!$J$2:$J$500, 0),
       MATCH("Total Memory", Input!$D$1:$AC$1, 0))</f>
        <v>#N/A</v>
      </c>
      <c r="K527" s="51"/>
      <c r="L527" s="51" t="str" cm="1">
        <f t="array" ref="L527">IFERROR(_xlfn.FILTERXML("&lt;t&gt;&lt;s&gt;" &amp; SUBSTITUTE(K527," / ","&lt;/s&gt;&lt;s&gt;") &amp; "&lt;/s&gt;&lt;/t&gt;","(//s[contains(.,'DDR')])[1]"),"")</f>
        <v/>
      </c>
      <c r="M527" s="32" t="e">
        <f t="shared" si="26"/>
        <v>#N/A</v>
      </c>
      <c r="N527" s="51" t="e">
        <f>INDEX(Input!$D$2:$AC$500,
       MATCH(B527, Input!$J$2:$J$500, 0),
       MATCH("Disk Interface Type", Input!$D$1:$AC$1, 0))</f>
        <v>#N/A</v>
      </c>
      <c r="O527" s="51" t="str" cm="1">
        <f t="array" ref="O527">IFERROR(_xlfn.TEXTJOIN(", ", TRUE, _xlfn._xlws.FILTER(
    INDEX(Input!$D$2:$AC$500,,MATCH("Disk Capacity",Input!$D$1:$AC$1,0)),
    Input!$J$2:$J$500=B527
)), "")</f>
        <v/>
      </c>
      <c r="P527" s="32" t="e">
        <f t="shared" si="25"/>
        <v>#N/A</v>
      </c>
      <c r="Q527" s="51" t="e">
        <f>_xlfn.LET(_xlpm.Result,INDEX(Input!$D$2:$AC$500,
       MATCH(B527, Input!$J$2:$J$500, 0),
       MATCH("Capacity", Input!$D$1:$AC$1, 0)),IF(_xlpm.Result="","",_xlpm.Result))</f>
        <v>#N/A</v>
      </c>
      <c r="R527" s="51"/>
      <c r="S527" s="51"/>
      <c r="T527" s="51" t="str" cm="1">
        <f t="array" ref="T527">IFERROR(_xlfn.IFS(
R527="","",
--R527&lt;55,"Battery Defect",
--R527&lt;=69,"Battery D",
--R527&lt;=80,"Battery C",
--R527&gt;80,""
),"")</f>
        <v/>
      </c>
      <c r="U527" s="51" t="str" cm="1">
        <f t="array" ref="U527">IFERROR(_xlfn.IFS(
S527="","",
--S527&lt;55,"Battery Defect",
--S527&lt;=69,"Battery D",
--S527&lt;=80,"Battery C",
--S527&gt;80,""
),"")</f>
        <v/>
      </c>
      <c r="V527" s="51"/>
      <c r="W527" s="51"/>
      <c r="X527" s="51"/>
      <c r="Y527" s="51"/>
      <c r="Z527" s="51"/>
      <c r="AA527" s="51"/>
      <c r="AB527" s="51"/>
      <c r="AC527" s="51"/>
      <c r="AD527" s="32" t="str">
        <f t="shared" si="24"/>
        <v/>
      </c>
      <c r="AE527" s="32"/>
      <c r="AF527" s="32"/>
      <c r="AG527" s="32"/>
      <c r="AH527" s="32"/>
      <c r="AI527" s="32"/>
      <c r="AJ527" s="32"/>
      <c r="AK527" s="32"/>
      <c r="AL527" s="32"/>
    </row>
    <row r="528" spans="1:38">
      <c r="A528" s="32" t="str">
        <f>_xlfn.TEXTJOIN("",TRUE,_xlfn.XLOOKUP(B528,Input!J:J,Input!G:G,"",0,1),_xlfn.XLOOKUP(B528,Input!J:J,Input!H:H,"",0,1))</f>
        <v/>
      </c>
      <c r="B528" s="32"/>
      <c r="C528" s="51">
        <f>_xlfn.XLOOKUP(B528,Input!J:J,Input!F:F)</f>
        <v>0</v>
      </c>
      <c r="D528" s="32">
        <f>_xlfn.XLOOKUP(C528,Models!H:H,Models!G:G,C528)</f>
        <v>0</v>
      </c>
      <c r="E528" s="32">
        <f>_xlfn.XLOOKUP(B528,Input!J:J,Input!E:E)</f>
        <v>0</v>
      </c>
      <c r="F528" s="32">
        <f>IF(E528="LENOVO",_xlfn.XLOOKUP(B528,Input!J:J,Input!K:K),_xlfn.XLOOKUP(B528,Input!J:J,Input!L:L))</f>
        <v>0</v>
      </c>
      <c r="G528" s="32"/>
      <c r="H528" s="32"/>
      <c r="I528" s="32"/>
      <c r="J528" s="51" t="e">
        <f>INDEX(Input!$D$2:$AC$500,
       MATCH(B528, Input!$J$2:$J$500, 0),
       MATCH("Total Memory", Input!$D$1:$AC$1, 0))</f>
        <v>#N/A</v>
      </c>
      <c r="K528" s="51"/>
      <c r="L528" s="51" t="str" cm="1">
        <f t="array" ref="L528">IFERROR(_xlfn.FILTERXML("&lt;t&gt;&lt;s&gt;" &amp; SUBSTITUTE(K528," / ","&lt;/s&gt;&lt;s&gt;") &amp; "&lt;/s&gt;&lt;/t&gt;","(//s[contains(.,'DDR')])[1]"),"")</f>
        <v/>
      </c>
      <c r="M528" s="32" t="e">
        <f t="shared" si="26"/>
        <v>#N/A</v>
      </c>
      <c r="N528" s="51" t="e">
        <f>INDEX(Input!$D$2:$AC$500,
       MATCH(B528, Input!$J$2:$J$500, 0),
       MATCH("Disk Interface Type", Input!$D$1:$AC$1, 0))</f>
        <v>#N/A</v>
      </c>
      <c r="O528" s="51" t="str" cm="1">
        <f t="array" ref="O528">IFERROR(_xlfn.TEXTJOIN(", ", TRUE, _xlfn._xlws.FILTER(
    INDEX(Input!$D$2:$AC$500,,MATCH("Disk Capacity",Input!$D$1:$AC$1,0)),
    Input!$J$2:$J$500=B528
)), "")</f>
        <v/>
      </c>
      <c r="P528" s="32" t="e">
        <f t="shared" si="25"/>
        <v>#N/A</v>
      </c>
      <c r="Q528" s="51" t="e">
        <f>_xlfn.LET(_xlpm.Result,INDEX(Input!$D$2:$AC$500,
       MATCH(B528, Input!$J$2:$J$500, 0),
       MATCH("Capacity", Input!$D$1:$AC$1, 0)),IF(_xlpm.Result="","",_xlpm.Result))</f>
        <v>#N/A</v>
      </c>
      <c r="R528" s="51"/>
      <c r="S528" s="51"/>
      <c r="T528" s="51" t="str" cm="1">
        <f t="array" ref="T528">IFERROR(_xlfn.IFS(
R528="","",
--R528&lt;55,"Battery Defect",
--R528&lt;=69,"Battery D",
--R528&lt;=80,"Battery C",
--R528&gt;80,""
),"")</f>
        <v/>
      </c>
      <c r="U528" s="51" t="str" cm="1">
        <f t="array" ref="U528">IFERROR(_xlfn.IFS(
S528="","",
--S528&lt;55,"Battery Defect",
--S528&lt;=69,"Battery D",
--S528&lt;=80,"Battery C",
--S528&gt;80,""
),"")</f>
        <v/>
      </c>
      <c r="V528" s="51"/>
      <c r="W528" s="51"/>
      <c r="X528" s="51"/>
      <c r="Y528" s="51"/>
      <c r="Z528" s="51"/>
      <c r="AA528" s="51"/>
      <c r="AB528" s="51"/>
      <c r="AC528" s="51"/>
      <c r="AD528" s="32" t="str">
        <f t="shared" si="24"/>
        <v/>
      </c>
      <c r="AE528" s="32"/>
      <c r="AF528" s="32"/>
      <c r="AG528" s="32"/>
      <c r="AH528" s="32"/>
      <c r="AI528" s="32"/>
      <c r="AJ528" s="32"/>
      <c r="AK528" s="32"/>
      <c r="AL528" s="32"/>
    </row>
    <row r="529" spans="1:38">
      <c r="A529" s="32" t="str">
        <f>_xlfn.TEXTJOIN("",TRUE,_xlfn.XLOOKUP(B529,Input!J:J,Input!G:G,"",0,1),_xlfn.XLOOKUP(B529,Input!J:J,Input!H:H,"",0,1))</f>
        <v/>
      </c>
      <c r="B529" s="32"/>
      <c r="C529" s="51">
        <f>_xlfn.XLOOKUP(B529,Input!J:J,Input!F:F)</f>
        <v>0</v>
      </c>
      <c r="D529" s="32">
        <f>_xlfn.XLOOKUP(C529,Models!H:H,Models!G:G,C529)</f>
        <v>0</v>
      </c>
      <c r="E529" s="32">
        <f>_xlfn.XLOOKUP(B529,Input!J:J,Input!E:E)</f>
        <v>0</v>
      </c>
      <c r="F529" s="32">
        <f>IF(E529="LENOVO",_xlfn.XLOOKUP(B529,Input!J:J,Input!K:K),_xlfn.XLOOKUP(B529,Input!J:J,Input!L:L))</f>
        <v>0</v>
      </c>
      <c r="G529" s="32"/>
      <c r="H529" s="32"/>
      <c r="I529" s="32"/>
      <c r="J529" s="51" t="e">
        <f>INDEX(Input!$D$2:$AC$500,
       MATCH(B529, Input!$J$2:$J$500, 0),
       MATCH("Total Memory", Input!$D$1:$AC$1, 0))</f>
        <v>#N/A</v>
      </c>
      <c r="K529" s="51"/>
      <c r="L529" s="51" t="str" cm="1">
        <f t="array" ref="L529">IFERROR(_xlfn.FILTERXML("&lt;t&gt;&lt;s&gt;" &amp; SUBSTITUTE(K529," / ","&lt;/s&gt;&lt;s&gt;") &amp; "&lt;/s&gt;&lt;/t&gt;","(//s[contains(.,'DDR')])[1]"),"")</f>
        <v/>
      </c>
      <c r="M529" s="32" t="e">
        <f t="shared" si="26"/>
        <v>#N/A</v>
      </c>
      <c r="N529" s="51" t="e">
        <f>INDEX(Input!$D$2:$AC$500,
       MATCH(B529, Input!$J$2:$J$500, 0),
       MATCH("Disk Interface Type", Input!$D$1:$AC$1, 0))</f>
        <v>#N/A</v>
      </c>
      <c r="O529" s="51" t="str" cm="1">
        <f t="array" ref="O529">IFERROR(_xlfn.TEXTJOIN(", ", TRUE, _xlfn._xlws.FILTER(
    INDEX(Input!$D$2:$AC$500,,MATCH("Disk Capacity",Input!$D$1:$AC$1,0)),
    Input!$J$2:$J$500=B529
)), "")</f>
        <v/>
      </c>
      <c r="P529" s="32" t="e">
        <f t="shared" si="25"/>
        <v>#N/A</v>
      </c>
      <c r="Q529" s="51" t="e">
        <f>_xlfn.LET(_xlpm.Result,INDEX(Input!$D$2:$AC$500,
       MATCH(B529, Input!$J$2:$J$500, 0),
       MATCH("Capacity", Input!$D$1:$AC$1, 0)),IF(_xlpm.Result="","",_xlpm.Result))</f>
        <v>#N/A</v>
      </c>
      <c r="R529" s="51"/>
      <c r="S529" s="51"/>
      <c r="T529" s="51" t="str" cm="1">
        <f t="array" ref="T529">IFERROR(_xlfn.IFS(
R529="","",
--R529&lt;55,"Battery Defect",
--R529&lt;=69,"Battery D",
--R529&lt;=80,"Battery C",
--R529&gt;80,""
),"")</f>
        <v/>
      </c>
      <c r="U529" s="51" t="str" cm="1">
        <f t="array" ref="U529">IFERROR(_xlfn.IFS(
S529="","",
--S529&lt;55,"Battery Defect",
--S529&lt;=69,"Battery D",
--S529&lt;=80,"Battery C",
--S529&gt;80,""
),"")</f>
        <v/>
      </c>
      <c r="V529" s="51"/>
      <c r="W529" s="51"/>
      <c r="X529" s="51"/>
      <c r="Y529" s="51"/>
      <c r="Z529" s="51"/>
      <c r="AA529" s="51"/>
      <c r="AB529" s="51"/>
      <c r="AC529" s="51"/>
      <c r="AD529" s="32" t="str">
        <f t="shared" si="24"/>
        <v/>
      </c>
      <c r="AE529" s="32"/>
      <c r="AF529" s="32"/>
      <c r="AG529" s="32"/>
      <c r="AH529" s="32"/>
      <c r="AI529" s="32"/>
      <c r="AJ529" s="32"/>
      <c r="AK529" s="32"/>
      <c r="AL529" s="32"/>
    </row>
    <row r="530" spans="1:38">
      <c r="A530" s="32" t="str">
        <f>_xlfn.TEXTJOIN("",TRUE,_xlfn.XLOOKUP(B530,Input!J:J,Input!G:G,"",0,1),_xlfn.XLOOKUP(B530,Input!J:J,Input!H:H,"",0,1))</f>
        <v/>
      </c>
      <c r="B530" s="32"/>
      <c r="C530" s="51">
        <f>_xlfn.XLOOKUP(B530,Input!J:J,Input!F:F)</f>
        <v>0</v>
      </c>
      <c r="D530" s="32">
        <f>_xlfn.XLOOKUP(C530,Models!H:H,Models!G:G,C530)</f>
        <v>0</v>
      </c>
      <c r="E530" s="32">
        <f>_xlfn.XLOOKUP(B530,Input!J:J,Input!E:E)</f>
        <v>0</v>
      </c>
      <c r="F530" s="32">
        <f>IF(E530="LENOVO",_xlfn.XLOOKUP(B530,Input!J:J,Input!K:K),_xlfn.XLOOKUP(B530,Input!J:J,Input!L:L))</f>
        <v>0</v>
      </c>
      <c r="G530" s="32"/>
      <c r="H530" s="32"/>
      <c r="I530" s="32"/>
      <c r="J530" s="51" t="e">
        <f>INDEX(Input!$D$2:$AC$500,
       MATCH(B530, Input!$J$2:$J$500, 0),
       MATCH("Total Memory", Input!$D$1:$AC$1, 0))</f>
        <v>#N/A</v>
      </c>
      <c r="K530" s="51"/>
      <c r="L530" s="51" t="str" cm="1">
        <f t="array" ref="L530">IFERROR(_xlfn.FILTERXML("&lt;t&gt;&lt;s&gt;" &amp; SUBSTITUTE(K530," / ","&lt;/s&gt;&lt;s&gt;") &amp; "&lt;/s&gt;&lt;/t&gt;","(//s[contains(.,'DDR')])[1]"),"")</f>
        <v/>
      </c>
      <c r="M530" s="32" t="e">
        <f t="shared" si="26"/>
        <v>#N/A</v>
      </c>
      <c r="N530" s="51" t="e">
        <f>INDEX(Input!$D$2:$AC$500,
       MATCH(B530, Input!$J$2:$J$500, 0),
       MATCH("Disk Interface Type", Input!$D$1:$AC$1, 0))</f>
        <v>#N/A</v>
      </c>
      <c r="O530" s="51" t="str" cm="1">
        <f t="array" ref="O530">IFERROR(_xlfn.TEXTJOIN(", ", TRUE, _xlfn._xlws.FILTER(
    INDEX(Input!$D$2:$AC$500,,MATCH("Disk Capacity",Input!$D$1:$AC$1,0)),
    Input!$J$2:$J$500=B530
)), "")</f>
        <v/>
      </c>
      <c r="P530" s="32" t="e">
        <f t="shared" si="25"/>
        <v>#N/A</v>
      </c>
      <c r="Q530" s="51" t="e">
        <f>_xlfn.LET(_xlpm.Result,INDEX(Input!$D$2:$AC$500,
       MATCH(B530, Input!$J$2:$J$500, 0),
       MATCH("Capacity", Input!$D$1:$AC$1, 0)),IF(_xlpm.Result="","",_xlpm.Result))</f>
        <v>#N/A</v>
      </c>
      <c r="R530" s="51"/>
      <c r="S530" s="51"/>
      <c r="T530" s="51" t="str" cm="1">
        <f t="array" ref="T530">IFERROR(_xlfn.IFS(
R530="","",
--R530&lt;55,"Battery Defect",
--R530&lt;=69,"Battery D",
--R530&lt;=80,"Battery C",
--R530&gt;80,""
),"")</f>
        <v/>
      </c>
      <c r="U530" s="51" t="str" cm="1">
        <f t="array" ref="U530">IFERROR(_xlfn.IFS(
S530="","",
--S530&lt;55,"Battery Defect",
--S530&lt;=69,"Battery D",
--S530&lt;=80,"Battery C",
--S530&gt;80,""
),"")</f>
        <v/>
      </c>
      <c r="V530" s="51"/>
      <c r="W530" s="51"/>
      <c r="X530" s="51"/>
      <c r="Y530" s="51"/>
      <c r="Z530" s="51"/>
      <c r="AA530" s="51"/>
      <c r="AB530" s="51"/>
      <c r="AC530" s="51"/>
      <c r="AD530" s="32" t="str">
        <f t="shared" si="24"/>
        <v/>
      </c>
      <c r="AE530" s="32"/>
      <c r="AF530" s="32"/>
      <c r="AG530" s="32"/>
      <c r="AH530" s="32"/>
      <c r="AI530" s="32"/>
      <c r="AJ530" s="32"/>
      <c r="AK530" s="32"/>
      <c r="AL530" s="32"/>
    </row>
    <row r="531" spans="1:38">
      <c r="A531" s="32" t="str">
        <f>_xlfn.TEXTJOIN("",TRUE,_xlfn.XLOOKUP(B531,Input!J:J,Input!G:G,"",0,1),_xlfn.XLOOKUP(B531,Input!J:J,Input!H:H,"",0,1))</f>
        <v/>
      </c>
      <c r="B531" s="32"/>
      <c r="C531" s="51">
        <f>_xlfn.XLOOKUP(B531,Input!J:J,Input!F:F)</f>
        <v>0</v>
      </c>
      <c r="D531" s="32">
        <f>_xlfn.XLOOKUP(C531,Models!H:H,Models!G:G,C531)</f>
        <v>0</v>
      </c>
      <c r="E531" s="32">
        <f>_xlfn.XLOOKUP(B531,Input!J:J,Input!E:E)</f>
        <v>0</v>
      </c>
      <c r="F531" s="32">
        <f>IF(E531="LENOVO",_xlfn.XLOOKUP(B531,Input!J:J,Input!K:K),_xlfn.XLOOKUP(B531,Input!J:J,Input!L:L))</f>
        <v>0</v>
      </c>
      <c r="G531" s="32"/>
      <c r="H531" s="32"/>
      <c r="I531" s="32"/>
      <c r="J531" s="51" t="e">
        <f>INDEX(Input!$D$2:$AC$500,
       MATCH(B531, Input!$J$2:$J$500, 0),
       MATCH("Total Memory", Input!$D$1:$AC$1, 0))</f>
        <v>#N/A</v>
      </c>
      <c r="K531" s="51"/>
      <c r="L531" s="51" t="str" cm="1">
        <f t="array" ref="L531">IFERROR(_xlfn.FILTERXML("&lt;t&gt;&lt;s&gt;" &amp; SUBSTITUTE(K531," / ","&lt;/s&gt;&lt;s&gt;") &amp; "&lt;/s&gt;&lt;/t&gt;","(//s[contains(.,'DDR')])[1]"),"")</f>
        <v/>
      </c>
      <c r="M531" s="32" t="e">
        <f t="shared" si="26"/>
        <v>#N/A</v>
      </c>
      <c r="N531" s="51" t="e">
        <f>INDEX(Input!$D$2:$AC$500,
       MATCH(B531, Input!$J$2:$J$500, 0),
       MATCH("Disk Interface Type", Input!$D$1:$AC$1, 0))</f>
        <v>#N/A</v>
      </c>
      <c r="O531" s="51" t="str" cm="1">
        <f t="array" ref="O531">IFERROR(_xlfn.TEXTJOIN(", ", TRUE, _xlfn._xlws.FILTER(
    INDEX(Input!$D$2:$AC$500,,MATCH("Disk Capacity",Input!$D$1:$AC$1,0)),
    Input!$J$2:$J$500=B531
)), "")</f>
        <v/>
      </c>
      <c r="P531" s="32" t="e">
        <f t="shared" si="25"/>
        <v>#N/A</v>
      </c>
      <c r="Q531" s="51" t="e">
        <f>_xlfn.LET(_xlpm.Result,INDEX(Input!$D$2:$AC$500,
       MATCH(B531, Input!$J$2:$J$500, 0),
       MATCH("Capacity", Input!$D$1:$AC$1, 0)),IF(_xlpm.Result="","",_xlpm.Result))</f>
        <v>#N/A</v>
      </c>
      <c r="R531" s="51"/>
      <c r="S531" s="51"/>
      <c r="T531" s="51" t="str" cm="1">
        <f t="array" ref="T531">IFERROR(_xlfn.IFS(
R531="","",
--R531&lt;55,"Battery Defect",
--R531&lt;=69,"Battery D",
--R531&lt;=80,"Battery C",
--R531&gt;80,""
),"")</f>
        <v/>
      </c>
      <c r="U531" s="51" t="str" cm="1">
        <f t="array" ref="U531">IFERROR(_xlfn.IFS(
S531="","",
--S531&lt;55,"Battery Defect",
--S531&lt;=69,"Battery D",
--S531&lt;=80,"Battery C",
--S531&gt;80,""
),"")</f>
        <v/>
      </c>
      <c r="V531" s="51"/>
      <c r="W531" s="51"/>
      <c r="X531" s="51"/>
      <c r="Y531" s="51"/>
      <c r="Z531" s="51"/>
      <c r="AA531" s="51"/>
      <c r="AB531" s="51"/>
      <c r="AC531" s="51"/>
      <c r="AD531" s="32" t="str">
        <f t="shared" si="24"/>
        <v/>
      </c>
      <c r="AE531" s="32"/>
      <c r="AF531" s="32"/>
      <c r="AG531" s="32"/>
      <c r="AH531" s="32"/>
      <c r="AI531" s="32"/>
      <c r="AJ531" s="32"/>
      <c r="AK531" s="32"/>
      <c r="AL531" s="32"/>
    </row>
    <row r="532" spans="1:38">
      <c r="A532" s="32" t="str">
        <f>_xlfn.TEXTJOIN("",TRUE,_xlfn.XLOOKUP(B532,Input!J:J,Input!G:G,"",0,1),_xlfn.XLOOKUP(B532,Input!J:J,Input!H:H,"",0,1))</f>
        <v/>
      </c>
      <c r="B532" s="32"/>
      <c r="C532" s="51">
        <f>_xlfn.XLOOKUP(B532,Input!J:J,Input!F:F)</f>
        <v>0</v>
      </c>
      <c r="D532" s="32">
        <f>_xlfn.XLOOKUP(C532,Models!H:H,Models!G:G,C532)</f>
        <v>0</v>
      </c>
      <c r="E532" s="32">
        <f>_xlfn.XLOOKUP(B532,Input!J:J,Input!E:E)</f>
        <v>0</v>
      </c>
      <c r="F532" s="32">
        <f>IF(E532="LENOVO",_xlfn.XLOOKUP(B532,Input!J:J,Input!K:K),_xlfn.XLOOKUP(B532,Input!J:J,Input!L:L))</f>
        <v>0</v>
      </c>
      <c r="G532" s="32"/>
      <c r="H532" s="32"/>
      <c r="I532" s="32"/>
      <c r="J532" s="51" t="e">
        <f>INDEX(Input!$D$2:$AC$500,
       MATCH(B532, Input!$J$2:$J$500, 0),
       MATCH("Total Memory", Input!$D$1:$AC$1, 0))</f>
        <v>#N/A</v>
      </c>
      <c r="K532" s="51"/>
      <c r="L532" s="51" t="str" cm="1">
        <f t="array" ref="L532">IFERROR(_xlfn.FILTERXML("&lt;t&gt;&lt;s&gt;" &amp; SUBSTITUTE(K532," / ","&lt;/s&gt;&lt;s&gt;") &amp; "&lt;/s&gt;&lt;/t&gt;","(//s[contains(.,'DDR')])[1]"),"")</f>
        <v/>
      </c>
      <c r="M532" s="32" t="e">
        <f t="shared" si="26"/>
        <v>#N/A</v>
      </c>
      <c r="N532" s="51" t="e">
        <f>INDEX(Input!$D$2:$AC$500,
       MATCH(B532, Input!$J$2:$J$500, 0),
       MATCH("Disk Interface Type", Input!$D$1:$AC$1, 0))</f>
        <v>#N/A</v>
      </c>
      <c r="O532" s="51" t="str" cm="1">
        <f t="array" ref="O532">IFERROR(_xlfn.TEXTJOIN(", ", TRUE, _xlfn._xlws.FILTER(
    INDEX(Input!$D$2:$AC$500,,MATCH("Disk Capacity",Input!$D$1:$AC$1,0)),
    Input!$J$2:$J$500=B532
)), "")</f>
        <v/>
      </c>
      <c r="P532" s="32" t="e">
        <f t="shared" si="25"/>
        <v>#N/A</v>
      </c>
      <c r="Q532" s="51" t="e">
        <f>_xlfn.LET(_xlpm.Result,INDEX(Input!$D$2:$AC$500,
       MATCH(B532, Input!$J$2:$J$500, 0),
       MATCH("Capacity", Input!$D$1:$AC$1, 0)),IF(_xlpm.Result="","",_xlpm.Result))</f>
        <v>#N/A</v>
      </c>
      <c r="R532" s="51"/>
      <c r="S532" s="51"/>
      <c r="T532" s="51" t="str" cm="1">
        <f t="array" ref="T532">IFERROR(_xlfn.IFS(
R532="","",
--R532&lt;55,"Battery Defect",
--R532&lt;=69,"Battery D",
--R532&lt;=80,"Battery C",
--R532&gt;80,""
),"")</f>
        <v/>
      </c>
      <c r="U532" s="51" t="str" cm="1">
        <f t="array" ref="U532">IFERROR(_xlfn.IFS(
S532="","",
--S532&lt;55,"Battery Defect",
--S532&lt;=69,"Battery D",
--S532&lt;=80,"Battery C",
--S532&gt;80,""
),"")</f>
        <v/>
      </c>
      <c r="V532" s="51"/>
      <c r="W532" s="51"/>
      <c r="X532" s="51"/>
      <c r="Y532" s="51"/>
      <c r="Z532" s="51"/>
      <c r="AA532" s="51"/>
      <c r="AB532" s="51"/>
      <c r="AC532" s="51"/>
      <c r="AD532" s="32" t="str">
        <f t="shared" si="24"/>
        <v/>
      </c>
      <c r="AE532" s="32"/>
      <c r="AF532" s="32"/>
      <c r="AG532" s="32"/>
      <c r="AH532" s="32"/>
      <c r="AI532" s="32"/>
      <c r="AJ532" s="32"/>
      <c r="AK532" s="32"/>
      <c r="AL532" s="32"/>
    </row>
    <row r="533" spans="1:38">
      <c r="A533" s="32" t="str">
        <f>_xlfn.TEXTJOIN("",TRUE,_xlfn.XLOOKUP(B533,Input!J:J,Input!G:G,"",0,1),_xlfn.XLOOKUP(B533,Input!J:J,Input!H:H,"",0,1))</f>
        <v/>
      </c>
      <c r="B533" s="32"/>
      <c r="C533" s="51">
        <f>_xlfn.XLOOKUP(B533,Input!J:J,Input!F:F)</f>
        <v>0</v>
      </c>
      <c r="D533" s="32">
        <f>_xlfn.XLOOKUP(C533,Models!H:H,Models!G:G,C533)</f>
        <v>0</v>
      </c>
      <c r="E533" s="32">
        <f>_xlfn.XLOOKUP(B533,Input!J:J,Input!E:E)</f>
        <v>0</v>
      </c>
      <c r="F533" s="32">
        <f>IF(E533="LENOVO",_xlfn.XLOOKUP(B533,Input!J:J,Input!K:K),_xlfn.XLOOKUP(B533,Input!J:J,Input!L:L))</f>
        <v>0</v>
      </c>
      <c r="G533" s="32"/>
      <c r="H533" s="32"/>
      <c r="I533" s="32"/>
      <c r="J533" s="51" t="e">
        <f>INDEX(Input!$D$2:$AC$500,
       MATCH(B533, Input!$J$2:$J$500, 0),
       MATCH("Total Memory", Input!$D$1:$AC$1, 0))</f>
        <v>#N/A</v>
      </c>
      <c r="K533" s="51"/>
      <c r="L533" s="51" t="str" cm="1">
        <f t="array" ref="L533">IFERROR(_xlfn.FILTERXML("&lt;t&gt;&lt;s&gt;" &amp; SUBSTITUTE(K533," / ","&lt;/s&gt;&lt;s&gt;") &amp; "&lt;/s&gt;&lt;/t&gt;","(//s[contains(.,'DDR')])[1]"),"")</f>
        <v/>
      </c>
      <c r="M533" s="32" t="e">
        <f t="shared" si="26"/>
        <v>#N/A</v>
      </c>
      <c r="N533" s="51" t="e">
        <f>INDEX(Input!$D$2:$AC$500,
       MATCH(B533, Input!$J$2:$J$500, 0),
       MATCH("Disk Interface Type", Input!$D$1:$AC$1, 0))</f>
        <v>#N/A</v>
      </c>
      <c r="O533" s="51" t="str" cm="1">
        <f t="array" ref="O533">IFERROR(_xlfn.TEXTJOIN(", ", TRUE, _xlfn._xlws.FILTER(
    INDEX(Input!$D$2:$AC$500,,MATCH("Disk Capacity",Input!$D$1:$AC$1,0)),
    Input!$J$2:$J$500=B533
)), "")</f>
        <v/>
      </c>
      <c r="P533" s="32" t="e">
        <f t="shared" si="25"/>
        <v>#N/A</v>
      </c>
      <c r="Q533" s="51" t="e">
        <f>_xlfn.LET(_xlpm.Result,INDEX(Input!$D$2:$AC$500,
       MATCH(B533, Input!$J$2:$J$500, 0),
       MATCH("Capacity", Input!$D$1:$AC$1, 0)),IF(_xlpm.Result="","",_xlpm.Result))</f>
        <v>#N/A</v>
      </c>
      <c r="R533" s="51"/>
      <c r="S533" s="51"/>
      <c r="T533" s="51" t="str" cm="1">
        <f t="array" ref="T533">IFERROR(_xlfn.IFS(
R533="","",
--R533&lt;55,"Battery Defect",
--R533&lt;=69,"Battery D",
--R533&lt;=80,"Battery C",
--R533&gt;80,""
),"")</f>
        <v/>
      </c>
      <c r="U533" s="51" t="str" cm="1">
        <f t="array" ref="U533">IFERROR(_xlfn.IFS(
S533="","",
--S533&lt;55,"Battery Defect",
--S533&lt;=69,"Battery D",
--S533&lt;=80,"Battery C",
--S533&gt;80,""
),"")</f>
        <v/>
      </c>
      <c r="V533" s="51"/>
      <c r="W533" s="51"/>
      <c r="X533" s="51"/>
      <c r="Y533" s="51"/>
      <c r="Z533" s="51"/>
      <c r="AA533" s="51"/>
      <c r="AB533" s="51"/>
      <c r="AC533" s="51"/>
      <c r="AD533" s="32" t="str">
        <f t="shared" si="24"/>
        <v/>
      </c>
      <c r="AE533" s="32"/>
      <c r="AF533" s="32"/>
      <c r="AG533" s="32"/>
      <c r="AH533" s="32"/>
      <c r="AI533" s="32"/>
      <c r="AJ533" s="32"/>
      <c r="AK533" s="32"/>
      <c r="AL533" s="32"/>
    </row>
    <row r="534" spans="1:38">
      <c r="A534" s="32" t="str">
        <f>_xlfn.TEXTJOIN("",TRUE,_xlfn.XLOOKUP(B534,Input!J:J,Input!G:G,"",0,1),_xlfn.XLOOKUP(B534,Input!J:J,Input!H:H,"",0,1))</f>
        <v/>
      </c>
      <c r="B534" s="32"/>
      <c r="C534" s="51">
        <f>_xlfn.XLOOKUP(B534,Input!J:J,Input!F:F)</f>
        <v>0</v>
      </c>
      <c r="D534" s="32">
        <f>_xlfn.XLOOKUP(C534,Models!H:H,Models!G:G,C534)</f>
        <v>0</v>
      </c>
      <c r="E534" s="32">
        <f>_xlfn.XLOOKUP(B534,Input!J:J,Input!E:E)</f>
        <v>0</v>
      </c>
      <c r="F534" s="32">
        <f>IF(E534="LENOVO",_xlfn.XLOOKUP(B534,Input!J:J,Input!K:K),_xlfn.XLOOKUP(B534,Input!J:J,Input!L:L))</f>
        <v>0</v>
      </c>
      <c r="G534" s="32"/>
      <c r="H534" s="32"/>
      <c r="I534" s="32"/>
      <c r="J534" s="51" t="e">
        <f>INDEX(Input!$D$2:$AC$500,
       MATCH(B534, Input!$J$2:$J$500, 0),
       MATCH("Total Memory", Input!$D$1:$AC$1, 0))</f>
        <v>#N/A</v>
      </c>
      <c r="K534" s="51"/>
      <c r="L534" s="51" t="str" cm="1">
        <f t="array" ref="L534">IFERROR(_xlfn.FILTERXML("&lt;t&gt;&lt;s&gt;" &amp; SUBSTITUTE(K534," / ","&lt;/s&gt;&lt;s&gt;") &amp; "&lt;/s&gt;&lt;/t&gt;","(//s[contains(.,'DDR')])[1]"),"")</f>
        <v/>
      </c>
      <c r="M534" s="32" t="e">
        <f t="shared" si="26"/>
        <v>#N/A</v>
      </c>
      <c r="N534" s="51" t="e">
        <f>INDEX(Input!$D$2:$AC$500,
       MATCH(B534, Input!$J$2:$J$500, 0),
       MATCH("Disk Interface Type", Input!$D$1:$AC$1, 0))</f>
        <v>#N/A</v>
      </c>
      <c r="O534" s="51" t="str" cm="1">
        <f t="array" ref="O534">IFERROR(_xlfn.TEXTJOIN(", ", TRUE, _xlfn._xlws.FILTER(
    INDEX(Input!$D$2:$AC$500,,MATCH("Disk Capacity",Input!$D$1:$AC$1,0)),
    Input!$J$2:$J$500=B534
)), "")</f>
        <v/>
      </c>
      <c r="P534" s="32" t="e">
        <f t="shared" si="25"/>
        <v>#N/A</v>
      </c>
      <c r="Q534" s="51" t="e">
        <f>_xlfn.LET(_xlpm.Result,INDEX(Input!$D$2:$AC$500,
       MATCH(B534, Input!$J$2:$J$500, 0),
       MATCH("Capacity", Input!$D$1:$AC$1, 0)),IF(_xlpm.Result="","",_xlpm.Result))</f>
        <v>#N/A</v>
      </c>
      <c r="R534" s="51"/>
      <c r="S534" s="51"/>
      <c r="T534" s="51" t="str" cm="1">
        <f t="array" ref="T534">IFERROR(_xlfn.IFS(
R534="","",
--R534&lt;55,"Battery Defect",
--R534&lt;=69,"Battery D",
--R534&lt;=80,"Battery C",
--R534&gt;80,""
),"")</f>
        <v/>
      </c>
      <c r="U534" s="51" t="str" cm="1">
        <f t="array" ref="U534">IFERROR(_xlfn.IFS(
S534="","",
--S534&lt;55,"Battery Defect",
--S534&lt;=69,"Battery D",
--S534&lt;=80,"Battery C",
--S534&gt;80,""
),"")</f>
        <v/>
      </c>
      <c r="V534" s="51"/>
      <c r="W534" s="51"/>
      <c r="X534" s="51"/>
      <c r="Y534" s="51"/>
      <c r="Z534" s="51"/>
      <c r="AA534" s="51"/>
      <c r="AB534" s="51"/>
      <c r="AC534" s="51"/>
      <c r="AD534" s="32" t="str">
        <f t="shared" si="24"/>
        <v/>
      </c>
      <c r="AE534" s="32"/>
      <c r="AF534" s="32"/>
      <c r="AG534" s="32"/>
      <c r="AH534" s="32"/>
      <c r="AI534" s="32"/>
      <c r="AJ534" s="32"/>
      <c r="AK534" s="32"/>
      <c r="AL534" s="32"/>
    </row>
    <row r="535" spans="1:38">
      <c r="A535" s="32" t="str">
        <f>_xlfn.TEXTJOIN("",TRUE,_xlfn.XLOOKUP(B535,Input!J:J,Input!G:G,"",0,1),_xlfn.XLOOKUP(B535,Input!J:J,Input!H:H,"",0,1))</f>
        <v/>
      </c>
      <c r="B535" s="32"/>
      <c r="C535" s="51">
        <f>_xlfn.XLOOKUP(B535,Input!J:J,Input!F:F)</f>
        <v>0</v>
      </c>
      <c r="D535" s="32">
        <f>_xlfn.XLOOKUP(C535,Models!H:H,Models!G:G,C535)</f>
        <v>0</v>
      </c>
      <c r="E535" s="32">
        <f>_xlfn.XLOOKUP(B535,Input!J:J,Input!E:E)</f>
        <v>0</v>
      </c>
      <c r="F535" s="32">
        <f>IF(E535="LENOVO",_xlfn.XLOOKUP(B535,Input!J:J,Input!K:K),_xlfn.XLOOKUP(B535,Input!J:J,Input!L:L))</f>
        <v>0</v>
      </c>
      <c r="G535" s="32"/>
      <c r="H535" s="32"/>
      <c r="I535" s="32"/>
      <c r="J535" s="51" t="e">
        <f>INDEX(Input!$D$2:$AC$500,
       MATCH(B535, Input!$J$2:$J$500, 0),
       MATCH("Total Memory", Input!$D$1:$AC$1, 0))</f>
        <v>#N/A</v>
      </c>
      <c r="K535" s="51"/>
      <c r="L535" s="51" t="str" cm="1">
        <f t="array" ref="L535">IFERROR(_xlfn.FILTERXML("&lt;t&gt;&lt;s&gt;" &amp; SUBSTITUTE(K535," / ","&lt;/s&gt;&lt;s&gt;") &amp; "&lt;/s&gt;&lt;/t&gt;","(//s[contains(.,'DDR')])[1]"),"")</f>
        <v/>
      </c>
      <c r="M535" s="32" t="e">
        <f t="shared" si="26"/>
        <v>#N/A</v>
      </c>
      <c r="N535" s="51" t="e">
        <f>INDEX(Input!$D$2:$AC$500,
       MATCH(B535, Input!$J$2:$J$500, 0),
       MATCH("Disk Interface Type", Input!$D$1:$AC$1, 0))</f>
        <v>#N/A</v>
      </c>
      <c r="O535" s="51" t="str" cm="1">
        <f t="array" ref="O535">IFERROR(_xlfn.TEXTJOIN(", ", TRUE, _xlfn._xlws.FILTER(
    INDEX(Input!$D$2:$AC$500,,MATCH("Disk Capacity",Input!$D$1:$AC$1,0)),
    Input!$J$2:$J$500=B535
)), "")</f>
        <v/>
      </c>
      <c r="P535" s="32" t="e">
        <f t="shared" si="25"/>
        <v>#N/A</v>
      </c>
      <c r="Q535" s="51" t="e">
        <f>_xlfn.LET(_xlpm.Result,INDEX(Input!$D$2:$AC$500,
       MATCH(B535, Input!$J$2:$J$500, 0),
       MATCH("Capacity", Input!$D$1:$AC$1, 0)),IF(_xlpm.Result="","",_xlpm.Result))</f>
        <v>#N/A</v>
      </c>
      <c r="R535" s="51"/>
      <c r="S535" s="51"/>
      <c r="T535" s="51" t="str" cm="1">
        <f t="array" ref="T535">IFERROR(_xlfn.IFS(
R535="","",
--R535&lt;55,"Battery Defect",
--R535&lt;=69,"Battery D",
--R535&lt;=80,"Battery C",
--R535&gt;80,""
),"")</f>
        <v/>
      </c>
      <c r="U535" s="51" t="str" cm="1">
        <f t="array" ref="U535">IFERROR(_xlfn.IFS(
S535="","",
--S535&lt;55,"Battery Defect",
--S535&lt;=69,"Battery D",
--S535&lt;=80,"Battery C",
--S535&gt;80,""
),"")</f>
        <v/>
      </c>
      <c r="V535" s="51"/>
      <c r="W535" s="51"/>
      <c r="X535" s="51"/>
      <c r="Y535" s="51"/>
      <c r="Z535" s="51"/>
      <c r="AA535" s="51"/>
      <c r="AB535" s="51"/>
      <c r="AC535" s="51"/>
      <c r="AD535" s="32" t="str">
        <f t="shared" si="24"/>
        <v/>
      </c>
      <c r="AE535" s="32"/>
      <c r="AF535" s="32"/>
      <c r="AG535" s="32"/>
      <c r="AH535" s="32"/>
      <c r="AI535" s="32"/>
      <c r="AJ535" s="32"/>
      <c r="AK535" s="32"/>
      <c r="AL535" s="32"/>
    </row>
    <row r="536" spans="1:38">
      <c r="A536" s="32" t="str">
        <f>_xlfn.TEXTJOIN("",TRUE,_xlfn.XLOOKUP(B536,Input!J:J,Input!G:G,"",0,1),_xlfn.XLOOKUP(B536,Input!J:J,Input!H:H,"",0,1))</f>
        <v/>
      </c>
      <c r="B536" s="32"/>
      <c r="C536" s="51">
        <f>_xlfn.XLOOKUP(B536,Input!J:J,Input!F:F)</f>
        <v>0</v>
      </c>
      <c r="D536" s="32">
        <f>_xlfn.XLOOKUP(C536,Models!H:H,Models!G:G,C536)</f>
        <v>0</v>
      </c>
      <c r="E536" s="32">
        <f>_xlfn.XLOOKUP(B536,Input!J:J,Input!E:E)</f>
        <v>0</v>
      </c>
      <c r="F536" s="32">
        <f>IF(E536="LENOVO",_xlfn.XLOOKUP(B536,Input!J:J,Input!K:K),_xlfn.XLOOKUP(B536,Input!J:J,Input!L:L))</f>
        <v>0</v>
      </c>
      <c r="G536" s="32"/>
      <c r="H536" s="32"/>
      <c r="I536" s="32"/>
      <c r="J536" s="51" t="e">
        <f>INDEX(Input!$D$2:$AC$500,
       MATCH(B536, Input!$J$2:$J$500, 0),
       MATCH("Total Memory", Input!$D$1:$AC$1, 0))</f>
        <v>#N/A</v>
      </c>
      <c r="K536" s="51"/>
      <c r="L536" s="51" t="str" cm="1">
        <f t="array" ref="L536">IFERROR(_xlfn.FILTERXML("&lt;t&gt;&lt;s&gt;" &amp; SUBSTITUTE(K536," / ","&lt;/s&gt;&lt;s&gt;") &amp; "&lt;/s&gt;&lt;/t&gt;","(//s[contains(.,'DDR')])[1]"),"")</f>
        <v/>
      </c>
      <c r="M536" s="32" t="e">
        <f t="shared" si="26"/>
        <v>#N/A</v>
      </c>
      <c r="N536" s="51" t="e">
        <f>INDEX(Input!$D$2:$AC$500,
       MATCH(B536, Input!$J$2:$J$500, 0),
       MATCH("Disk Interface Type", Input!$D$1:$AC$1, 0))</f>
        <v>#N/A</v>
      </c>
      <c r="O536" s="51" t="str" cm="1">
        <f t="array" ref="O536">IFERROR(_xlfn.TEXTJOIN(", ", TRUE, _xlfn._xlws.FILTER(
    INDEX(Input!$D$2:$AC$500,,MATCH("Disk Capacity",Input!$D$1:$AC$1,0)),
    Input!$J$2:$J$500=B536
)), "")</f>
        <v/>
      </c>
      <c r="P536" s="32" t="e">
        <f t="shared" si="25"/>
        <v>#N/A</v>
      </c>
      <c r="Q536" s="51" t="e">
        <f>_xlfn.LET(_xlpm.Result,INDEX(Input!$D$2:$AC$500,
       MATCH(B536, Input!$J$2:$J$500, 0),
       MATCH("Capacity", Input!$D$1:$AC$1, 0)),IF(_xlpm.Result="","",_xlpm.Result))</f>
        <v>#N/A</v>
      </c>
      <c r="R536" s="51"/>
      <c r="S536" s="51"/>
      <c r="T536" s="51" t="str" cm="1">
        <f t="array" ref="T536">IFERROR(_xlfn.IFS(
R536="","",
--R536&lt;55,"Battery Defect",
--R536&lt;=69,"Battery D",
--R536&lt;=80,"Battery C",
--R536&gt;80,""
),"")</f>
        <v/>
      </c>
      <c r="U536" s="51" t="str" cm="1">
        <f t="array" ref="U536">IFERROR(_xlfn.IFS(
S536="","",
--S536&lt;55,"Battery Defect",
--S536&lt;=69,"Battery D",
--S536&lt;=80,"Battery C",
--S536&gt;80,""
),"")</f>
        <v/>
      </c>
      <c r="V536" s="51"/>
      <c r="W536" s="51"/>
      <c r="X536" s="51"/>
      <c r="Y536" s="51"/>
      <c r="Z536" s="51"/>
      <c r="AA536" s="51"/>
      <c r="AB536" s="51"/>
      <c r="AC536" s="51"/>
      <c r="AD536" s="32" t="str">
        <f t="shared" si="24"/>
        <v/>
      </c>
      <c r="AE536" s="32"/>
      <c r="AF536" s="32"/>
      <c r="AG536" s="32"/>
      <c r="AH536" s="32"/>
      <c r="AI536" s="32"/>
      <c r="AJ536" s="32"/>
      <c r="AK536" s="32"/>
      <c r="AL536" s="32"/>
    </row>
    <row r="537" spans="1:38">
      <c r="A537" s="32" t="str">
        <f>_xlfn.TEXTJOIN("",TRUE,_xlfn.XLOOKUP(B537,Input!J:J,Input!G:G,"",0,1),_xlfn.XLOOKUP(B537,Input!J:J,Input!H:H,"",0,1))</f>
        <v/>
      </c>
      <c r="B537" s="32"/>
      <c r="C537" s="51">
        <f>_xlfn.XLOOKUP(B537,Input!J:J,Input!F:F)</f>
        <v>0</v>
      </c>
      <c r="D537" s="32">
        <f>_xlfn.XLOOKUP(C537,Models!H:H,Models!G:G,C537)</f>
        <v>0</v>
      </c>
      <c r="E537" s="32">
        <f>_xlfn.XLOOKUP(B537,Input!J:J,Input!E:E)</f>
        <v>0</v>
      </c>
      <c r="F537" s="32">
        <f>IF(E537="LENOVO",_xlfn.XLOOKUP(B537,Input!J:J,Input!K:K),_xlfn.XLOOKUP(B537,Input!J:J,Input!L:L))</f>
        <v>0</v>
      </c>
      <c r="G537" s="32"/>
      <c r="H537" s="32"/>
      <c r="I537" s="32"/>
      <c r="J537" s="51" t="e">
        <f>INDEX(Input!$D$2:$AC$500,
       MATCH(B537, Input!$J$2:$J$500, 0),
       MATCH("Total Memory", Input!$D$1:$AC$1, 0))</f>
        <v>#N/A</v>
      </c>
      <c r="K537" s="51"/>
      <c r="L537" s="51" t="str" cm="1">
        <f t="array" ref="L537">IFERROR(_xlfn.FILTERXML("&lt;t&gt;&lt;s&gt;" &amp; SUBSTITUTE(K537," / ","&lt;/s&gt;&lt;s&gt;") &amp; "&lt;/s&gt;&lt;/t&gt;","(//s[contains(.,'DDR')])[1]"),"")</f>
        <v/>
      </c>
      <c r="M537" s="32" t="e">
        <f t="shared" si="26"/>
        <v>#N/A</v>
      </c>
      <c r="N537" s="51" t="e">
        <f>INDEX(Input!$D$2:$AC$500,
       MATCH(B537, Input!$J$2:$J$500, 0),
       MATCH("Disk Interface Type", Input!$D$1:$AC$1, 0))</f>
        <v>#N/A</v>
      </c>
      <c r="O537" s="51" t="str" cm="1">
        <f t="array" ref="O537">IFERROR(_xlfn.TEXTJOIN(", ", TRUE, _xlfn._xlws.FILTER(
    INDEX(Input!$D$2:$AC$500,,MATCH("Disk Capacity",Input!$D$1:$AC$1,0)),
    Input!$J$2:$J$500=B537
)), "")</f>
        <v/>
      </c>
      <c r="P537" s="32" t="e">
        <f t="shared" si="25"/>
        <v>#N/A</v>
      </c>
      <c r="Q537" s="51" t="e">
        <f>_xlfn.LET(_xlpm.Result,INDEX(Input!$D$2:$AC$500,
       MATCH(B537, Input!$J$2:$J$500, 0),
       MATCH("Capacity", Input!$D$1:$AC$1, 0)),IF(_xlpm.Result="","",_xlpm.Result))</f>
        <v>#N/A</v>
      </c>
      <c r="R537" s="51"/>
      <c r="S537" s="51"/>
      <c r="T537" s="51" t="str" cm="1">
        <f t="array" ref="T537">IFERROR(_xlfn.IFS(
R537="","",
--R537&lt;55,"Battery Defect",
--R537&lt;=69,"Battery D",
--R537&lt;=80,"Battery C",
--R537&gt;80,""
),"")</f>
        <v/>
      </c>
      <c r="U537" s="51" t="str" cm="1">
        <f t="array" ref="U537">IFERROR(_xlfn.IFS(
S537="","",
--S537&lt;55,"Battery Defect",
--S537&lt;=69,"Battery D",
--S537&lt;=80,"Battery C",
--S537&gt;80,""
),"")</f>
        <v/>
      </c>
      <c r="V537" s="51"/>
      <c r="W537" s="51"/>
      <c r="X537" s="51"/>
      <c r="Y537" s="51"/>
      <c r="Z537" s="51"/>
      <c r="AA537" s="51"/>
      <c r="AB537" s="51"/>
      <c r="AC537" s="51"/>
      <c r="AD537" s="32" t="str">
        <f t="shared" si="24"/>
        <v/>
      </c>
      <c r="AE537" s="32"/>
      <c r="AF537" s="32"/>
      <c r="AG537" s="32"/>
      <c r="AH537" s="32"/>
      <c r="AI537" s="32"/>
      <c r="AJ537" s="32"/>
      <c r="AK537" s="32"/>
      <c r="AL537" s="32"/>
    </row>
    <row r="538" spans="1:38">
      <c r="A538" s="32" t="str">
        <f>_xlfn.TEXTJOIN("",TRUE,_xlfn.XLOOKUP(B538,Input!J:J,Input!G:G,"",0,1),_xlfn.XLOOKUP(B538,Input!J:J,Input!H:H,"",0,1))</f>
        <v/>
      </c>
      <c r="B538" s="32"/>
      <c r="C538" s="51">
        <f>_xlfn.XLOOKUP(B538,Input!J:J,Input!F:F)</f>
        <v>0</v>
      </c>
      <c r="D538" s="32">
        <f>_xlfn.XLOOKUP(C538,Models!H:H,Models!G:G,C538)</f>
        <v>0</v>
      </c>
      <c r="E538" s="32">
        <f>_xlfn.XLOOKUP(B538,Input!J:J,Input!E:E)</f>
        <v>0</v>
      </c>
      <c r="F538" s="32">
        <f>IF(E538="LENOVO",_xlfn.XLOOKUP(B538,Input!J:J,Input!K:K),_xlfn.XLOOKUP(B538,Input!J:J,Input!L:L))</f>
        <v>0</v>
      </c>
      <c r="G538" s="32"/>
      <c r="H538" s="32"/>
      <c r="I538" s="32"/>
      <c r="J538" s="51" t="e">
        <f>INDEX(Input!$D$2:$AC$500,
       MATCH(B538, Input!$J$2:$J$500, 0),
       MATCH("Total Memory", Input!$D$1:$AC$1, 0))</f>
        <v>#N/A</v>
      </c>
      <c r="K538" s="51"/>
      <c r="L538" s="51" t="str" cm="1">
        <f t="array" ref="L538">IFERROR(_xlfn.FILTERXML("&lt;t&gt;&lt;s&gt;" &amp; SUBSTITUTE(K538," / ","&lt;/s&gt;&lt;s&gt;") &amp; "&lt;/s&gt;&lt;/t&gt;","(//s[contains(.,'DDR')])[1]"),"")</f>
        <v/>
      </c>
      <c r="M538" s="32" t="e">
        <f t="shared" si="26"/>
        <v>#N/A</v>
      </c>
      <c r="N538" s="51" t="e">
        <f>INDEX(Input!$D$2:$AC$500,
       MATCH(B538, Input!$J$2:$J$500, 0),
       MATCH("Disk Interface Type", Input!$D$1:$AC$1, 0))</f>
        <v>#N/A</v>
      </c>
      <c r="O538" s="51" t="str" cm="1">
        <f t="array" ref="O538">IFERROR(_xlfn.TEXTJOIN(", ", TRUE, _xlfn._xlws.FILTER(
    INDEX(Input!$D$2:$AC$500,,MATCH("Disk Capacity",Input!$D$1:$AC$1,0)),
    Input!$J$2:$J$500=B538
)), "")</f>
        <v/>
      </c>
      <c r="P538" s="32" t="e">
        <f t="shared" si="25"/>
        <v>#N/A</v>
      </c>
      <c r="Q538" s="51" t="e">
        <f>_xlfn.LET(_xlpm.Result,INDEX(Input!$D$2:$AC$500,
       MATCH(B538, Input!$J$2:$J$500, 0),
       MATCH("Capacity", Input!$D$1:$AC$1, 0)),IF(_xlpm.Result="","",_xlpm.Result))</f>
        <v>#N/A</v>
      </c>
      <c r="R538" s="51"/>
      <c r="S538" s="51"/>
      <c r="T538" s="51" t="str" cm="1">
        <f t="array" ref="T538">IFERROR(_xlfn.IFS(
R538="","",
--R538&lt;55,"Battery Defect",
--R538&lt;=69,"Battery D",
--R538&lt;=80,"Battery C",
--R538&gt;80,""
),"")</f>
        <v/>
      </c>
      <c r="U538" s="51" t="str" cm="1">
        <f t="array" ref="U538">IFERROR(_xlfn.IFS(
S538="","",
--S538&lt;55,"Battery Defect",
--S538&lt;=69,"Battery D",
--S538&lt;=80,"Battery C",
--S538&gt;80,""
),"")</f>
        <v/>
      </c>
      <c r="V538" s="51"/>
      <c r="W538" s="51"/>
      <c r="X538" s="51"/>
      <c r="Y538" s="51"/>
      <c r="Z538" s="51"/>
      <c r="AA538" s="51"/>
      <c r="AB538" s="51"/>
      <c r="AC538" s="51"/>
      <c r="AD538" s="32" t="str">
        <f t="shared" si="24"/>
        <v/>
      </c>
      <c r="AE538" s="32"/>
      <c r="AF538" s="32"/>
      <c r="AG538" s="32"/>
      <c r="AH538" s="32"/>
      <c r="AI538" s="32"/>
      <c r="AJ538" s="32"/>
      <c r="AK538" s="32"/>
      <c r="AL538" s="32"/>
    </row>
    <row r="539" spans="1:38">
      <c r="A539" s="32" t="str">
        <f>_xlfn.TEXTJOIN("",TRUE,_xlfn.XLOOKUP(B539,Input!J:J,Input!G:G,"",0,1),_xlfn.XLOOKUP(B539,Input!J:J,Input!H:H,"",0,1))</f>
        <v/>
      </c>
      <c r="B539" s="32"/>
      <c r="C539" s="51">
        <f>_xlfn.XLOOKUP(B539,Input!J:J,Input!F:F)</f>
        <v>0</v>
      </c>
      <c r="D539" s="32">
        <f>_xlfn.XLOOKUP(C539,Models!H:H,Models!G:G,C539)</f>
        <v>0</v>
      </c>
      <c r="E539" s="32">
        <f>_xlfn.XLOOKUP(B539,Input!J:J,Input!E:E)</f>
        <v>0</v>
      </c>
      <c r="F539" s="32">
        <f>IF(E539="LENOVO",_xlfn.XLOOKUP(B539,Input!J:J,Input!K:K),_xlfn.XLOOKUP(B539,Input!J:J,Input!L:L))</f>
        <v>0</v>
      </c>
      <c r="G539" s="32"/>
      <c r="H539" s="32"/>
      <c r="I539" s="32"/>
      <c r="J539" s="51" t="e">
        <f>INDEX(Input!$D$2:$AC$500,
       MATCH(B539, Input!$J$2:$J$500, 0),
       MATCH("Total Memory", Input!$D$1:$AC$1, 0))</f>
        <v>#N/A</v>
      </c>
      <c r="K539" s="51"/>
      <c r="L539" s="51" t="str" cm="1">
        <f t="array" ref="L539">IFERROR(_xlfn.FILTERXML("&lt;t&gt;&lt;s&gt;" &amp; SUBSTITUTE(K539," / ","&lt;/s&gt;&lt;s&gt;") &amp; "&lt;/s&gt;&lt;/t&gt;","(//s[contains(.,'DDR')])[1]"),"")</f>
        <v/>
      </c>
      <c r="M539" s="32" t="e">
        <f t="shared" si="26"/>
        <v>#N/A</v>
      </c>
      <c r="N539" s="51" t="e">
        <f>INDEX(Input!$D$2:$AC$500,
       MATCH(B539, Input!$J$2:$J$500, 0),
       MATCH("Disk Interface Type", Input!$D$1:$AC$1, 0))</f>
        <v>#N/A</v>
      </c>
      <c r="O539" s="51" t="str" cm="1">
        <f t="array" ref="O539">IFERROR(_xlfn.TEXTJOIN(", ", TRUE, _xlfn._xlws.FILTER(
    INDEX(Input!$D$2:$AC$500,,MATCH("Disk Capacity",Input!$D$1:$AC$1,0)),
    Input!$J$2:$J$500=B539
)), "")</f>
        <v/>
      </c>
      <c r="P539" s="32" t="e">
        <f t="shared" si="25"/>
        <v>#N/A</v>
      </c>
      <c r="Q539" s="51" t="e">
        <f>_xlfn.LET(_xlpm.Result,INDEX(Input!$D$2:$AC$500,
       MATCH(B539, Input!$J$2:$J$500, 0),
       MATCH("Capacity", Input!$D$1:$AC$1, 0)),IF(_xlpm.Result="","",_xlpm.Result))</f>
        <v>#N/A</v>
      </c>
      <c r="R539" s="51"/>
      <c r="S539" s="51"/>
      <c r="T539" s="51" t="str" cm="1">
        <f t="array" ref="T539">IFERROR(_xlfn.IFS(
R539="","",
--R539&lt;55,"Battery Defect",
--R539&lt;=69,"Battery D",
--R539&lt;=80,"Battery C",
--R539&gt;80,""
),"")</f>
        <v/>
      </c>
      <c r="U539" s="51" t="str" cm="1">
        <f t="array" ref="U539">IFERROR(_xlfn.IFS(
S539="","",
--S539&lt;55,"Battery Defect",
--S539&lt;=69,"Battery D",
--S539&lt;=80,"Battery C",
--S539&gt;80,""
),"")</f>
        <v/>
      </c>
      <c r="V539" s="51"/>
      <c r="W539" s="51"/>
      <c r="X539" s="51"/>
      <c r="Y539" s="51"/>
      <c r="Z539" s="51"/>
      <c r="AA539" s="51"/>
      <c r="AB539" s="51"/>
      <c r="AC539" s="51"/>
      <c r="AD539" s="32" t="str">
        <f t="shared" si="24"/>
        <v/>
      </c>
      <c r="AE539" s="32"/>
      <c r="AF539" s="32"/>
      <c r="AG539" s="32"/>
      <c r="AH539" s="32"/>
      <c r="AI539" s="32"/>
      <c r="AJ539" s="32"/>
      <c r="AK539" s="32"/>
      <c r="AL539" s="32"/>
    </row>
    <row r="540" spans="1:38">
      <c r="A540" s="32" t="str">
        <f>_xlfn.TEXTJOIN("",TRUE,_xlfn.XLOOKUP(B540,Input!J:J,Input!G:G,"",0,1),_xlfn.XLOOKUP(B540,Input!J:J,Input!H:H,"",0,1))</f>
        <v/>
      </c>
      <c r="B540" s="32"/>
      <c r="C540" s="51">
        <f>_xlfn.XLOOKUP(B540,Input!J:J,Input!F:F)</f>
        <v>0</v>
      </c>
      <c r="D540" s="32">
        <f>_xlfn.XLOOKUP(C540,Models!H:H,Models!G:G,C540)</f>
        <v>0</v>
      </c>
      <c r="E540" s="32">
        <f>_xlfn.XLOOKUP(B540,Input!J:J,Input!E:E)</f>
        <v>0</v>
      </c>
      <c r="F540" s="32">
        <f>IF(E540="LENOVO",_xlfn.XLOOKUP(B540,Input!J:J,Input!K:K),_xlfn.XLOOKUP(B540,Input!J:J,Input!L:L))</f>
        <v>0</v>
      </c>
      <c r="G540" s="32"/>
      <c r="H540" s="32"/>
      <c r="I540" s="32"/>
      <c r="J540" s="51" t="e">
        <f>INDEX(Input!$D$2:$AC$500,
       MATCH(B540, Input!$J$2:$J$500, 0),
       MATCH("Total Memory", Input!$D$1:$AC$1, 0))</f>
        <v>#N/A</v>
      </c>
      <c r="K540" s="51"/>
      <c r="L540" s="51" t="str" cm="1">
        <f t="array" ref="L540">IFERROR(_xlfn.FILTERXML("&lt;t&gt;&lt;s&gt;" &amp; SUBSTITUTE(K540," / ","&lt;/s&gt;&lt;s&gt;") &amp; "&lt;/s&gt;&lt;/t&gt;","(//s[contains(.,'DDR')])[1]"),"")</f>
        <v/>
      </c>
      <c r="M540" s="32" t="e">
        <f t="shared" si="26"/>
        <v>#N/A</v>
      </c>
      <c r="N540" s="51" t="e">
        <f>INDEX(Input!$D$2:$AC$500,
       MATCH(B540, Input!$J$2:$J$500, 0),
       MATCH("Disk Interface Type", Input!$D$1:$AC$1, 0))</f>
        <v>#N/A</v>
      </c>
      <c r="O540" s="51" t="str" cm="1">
        <f t="array" ref="O540">IFERROR(_xlfn.TEXTJOIN(", ", TRUE, _xlfn._xlws.FILTER(
    INDEX(Input!$D$2:$AC$500,,MATCH("Disk Capacity",Input!$D$1:$AC$1,0)),
    Input!$J$2:$J$500=B540
)), "")</f>
        <v/>
      </c>
      <c r="P540" s="32" t="e">
        <f t="shared" si="25"/>
        <v>#N/A</v>
      </c>
      <c r="Q540" s="51" t="e">
        <f>_xlfn.LET(_xlpm.Result,INDEX(Input!$D$2:$AC$500,
       MATCH(B540, Input!$J$2:$J$500, 0),
       MATCH("Capacity", Input!$D$1:$AC$1, 0)),IF(_xlpm.Result="","",_xlpm.Result))</f>
        <v>#N/A</v>
      </c>
      <c r="R540" s="51"/>
      <c r="S540" s="51"/>
      <c r="T540" s="51" t="str" cm="1">
        <f t="array" ref="T540">IFERROR(_xlfn.IFS(
R540="","",
--R540&lt;55,"Battery Defect",
--R540&lt;=69,"Battery D",
--R540&lt;=80,"Battery C",
--R540&gt;80,""
),"")</f>
        <v/>
      </c>
      <c r="U540" s="51" t="str" cm="1">
        <f t="array" ref="U540">IFERROR(_xlfn.IFS(
S540="","",
--S540&lt;55,"Battery Defect",
--S540&lt;=69,"Battery D",
--S540&lt;=80,"Battery C",
--S540&gt;80,""
),"")</f>
        <v/>
      </c>
      <c r="V540" s="51"/>
      <c r="W540" s="51"/>
      <c r="X540" s="51"/>
      <c r="Y540" s="51"/>
      <c r="Z540" s="51"/>
      <c r="AA540" s="51"/>
      <c r="AB540" s="51"/>
      <c r="AC540" s="51"/>
      <c r="AD540" s="32" t="str">
        <f t="shared" si="24"/>
        <v/>
      </c>
      <c r="AE540" s="32"/>
      <c r="AF540" s="32"/>
      <c r="AG540" s="32"/>
      <c r="AH540" s="32"/>
      <c r="AI540" s="32"/>
      <c r="AJ540" s="32"/>
      <c r="AK540" s="32"/>
      <c r="AL540" s="32"/>
    </row>
    <row r="541" spans="1:38">
      <c r="A541" s="32" t="str">
        <f>_xlfn.TEXTJOIN("",TRUE,_xlfn.XLOOKUP(B541,Input!J:J,Input!G:G,"",0,1),_xlfn.XLOOKUP(B541,Input!J:J,Input!H:H,"",0,1))</f>
        <v/>
      </c>
      <c r="B541" s="32"/>
      <c r="C541" s="51">
        <f>_xlfn.XLOOKUP(B541,Input!J:J,Input!F:F)</f>
        <v>0</v>
      </c>
      <c r="D541" s="32">
        <f>_xlfn.XLOOKUP(C541,Models!H:H,Models!G:G,C541)</f>
        <v>0</v>
      </c>
      <c r="E541" s="32">
        <f>_xlfn.XLOOKUP(B541,Input!J:J,Input!E:E)</f>
        <v>0</v>
      </c>
      <c r="F541" s="32">
        <f>IF(E541="LENOVO",_xlfn.XLOOKUP(B541,Input!J:J,Input!K:K),_xlfn.XLOOKUP(B541,Input!J:J,Input!L:L))</f>
        <v>0</v>
      </c>
      <c r="G541" s="32"/>
      <c r="H541" s="32"/>
      <c r="I541" s="32"/>
      <c r="J541" s="51" t="e">
        <f>INDEX(Input!$D$2:$AC$500,
       MATCH(B541, Input!$J$2:$J$500, 0),
       MATCH("Total Memory", Input!$D$1:$AC$1, 0))</f>
        <v>#N/A</v>
      </c>
      <c r="K541" s="51"/>
      <c r="L541" s="51" t="str" cm="1">
        <f t="array" ref="L541">IFERROR(_xlfn.FILTERXML("&lt;t&gt;&lt;s&gt;" &amp; SUBSTITUTE(K541," / ","&lt;/s&gt;&lt;s&gt;") &amp; "&lt;/s&gt;&lt;/t&gt;","(//s[contains(.,'DDR')])[1]"),"")</f>
        <v/>
      </c>
      <c r="M541" s="32" t="e">
        <f t="shared" si="26"/>
        <v>#N/A</v>
      </c>
      <c r="N541" s="51" t="e">
        <f>INDEX(Input!$D$2:$AC$500,
       MATCH(B541, Input!$J$2:$J$500, 0),
       MATCH("Disk Interface Type", Input!$D$1:$AC$1, 0))</f>
        <v>#N/A</v>
      </c>
      <c r="O541" s="51" t="str" cm="1">
        <f t="array" ref="O541">IFERROR(_xlfn.TEXTJOIN(", ", TRUE, _xlfn._xlws.FILTER(
    INDEX(Input!$D$2:$AC$500,,MATCH("Disk Capacity",Input!$D$1:$AC$1,0)),
    Input!$J$2:$J$500=B541
)), "")</f>
        <v/>
      </c>
      <c r="P541" s="32" t="e">
        <f t="shared" si="25"/>
        <v>#N/A</v>
      </c>
      <c r="Q541" s="51" t="e">
        <f>_xlfn.LET(_xlpm.Result,INDEX(Input!$D$2:$AC$500,
       MATCH(B541, Input!$J$2:$J$500, 0),
       MATCH("Capacity", Input!$D$1:$AC$1, 0)),IF(_xlpm.Result="","",_xlpm.Result))</f>
        <v>#N/A</v>
      </c>
      <c r="R541" s="51"/>
      <c r="S541" s="51"/>
      <c r="T541" s="51" t="str" cm="1">
        <f t="array" ref="T541">IFERROR(_xlfn.IFS(
R541="","",
--R541&lt;55,"Battery Defect",
--R541&lt;=69,"Battery D",
--R541&lt;=80,"Battery C",
--R541&gt;80,""
),"")</f>
        <v/>
      </c>
      <c r="U541" s="51" t="str" cm="1">
        <f t="array" ref="U541">IFERROR(_xlfn.IFS(
S541="","",
--S541&lt;55,"Battery Defect",
--S541&lt;=69,"Battery D",
--S541&lt;=80,"Battery C",
--S541&gt;80,""
),"")</f>
        <v/>
      </c>
      <c r="V541" s="51"/>
      <c r="W541" s="51"/>
      <c r="X541" s="51"/>
      <c r="Y541" s="51"/>
      <c r="Z541" s="51"/>
      <c r="AA541" s="51"/>
      <c r="AB541" s="51"/>
      <c r="AC541" s="51"/>
      <c r="AD541" s="32" t="str">
        <f t="shared" si="24"/>
        <v/>
      </c>
      <c r="AE541" s="32"/>
      <c r="AF541" s="32"/>
      <c r="AG541" s="32"/>
      <c r="AH541" s="32"/>
      <c r="AI541" s="32"/>
      <c r="AJ541" s="32"/>
      <c r="AK541" s="32"/>
      <c r="AL541" s="32"/>
    </row>
    <row r="542" spans="1:38">
      <c r="A542" s="32" t="str">
        <f>_xlfn.TEXTJOIN("",TRUE,_xlfn.XLOOKUP(B542,Input!J:J,Input!G:G,"",0,1),_xlfn.XLOOKUP(B542,Input!J:J,Input!H:H,"",0,1))</f>
        <v/>
      </c>
      <c r="B542" s="32"/>
      <c r="C542" s="51">
        <f>_xlfn.XLOOKUP(B542,Input!J:J,Input!F:F)</f>
        <v>0</v>
      </c>
      <c r="D542" s="32">
        <f>_xlfn.XLOOKUP(C542,Models!H:H,Models!G:G,C542)</f>
        <v>0</v>
      </c>
      <c r="E542" s="32">
        <f>_xlfn.XLOOKUP(B542,Input!J:J,Input!E:E)</f>
        <v>0</v>
      </c>
      <c r="F542" s="32">
        <f>IF(E542="LENOVO",_xlfn.XLOOKUP(B542,Input!J:J,Input!K:K),_xlfn.XLOOKUP(B542,Input!J:J,Input!L:L))</f>
        <v>0</v>
      </c>
      <c r="G542" s="32"/>
      <c r="H542" s="32"/>
      <c r="I542" s="32"/>
      <c r="J542" s="51" t="e">
        <f>INDEX(Input!$D$2:$AC$500,
       MATCH(B542, Input!$J$2:$J$500, 0),
       MATCH("Total Memory", Input!$D$1:$AC$1, 0))</f>
        <v>#N/A</v>
      </c>
      <c r="K542" s="51"/>
      <c r="L542" s="51" t="str" cm="1">
        <f t="array" ref="L542">IFERROR(_xlfn.FILTERXML("&lt;t&gt;&lt;s&gt;" &amp; SUBSTITUTE(K542," / ","&lt;/s&gt;&lt;s&gt;") &amp; "&lt;/s&gt;&lt;/t&gt;","(//s[contains(.,'DDR')])[1]"),"")</f>
        <v/>
      </c>
      <c r="M542" s="32" t="e">
        <f t="shared" si="26"/>
        <v>#N/A</v>
      </c>
      <c r="N542" s="51" t="e">
        <f>INDEX(Input!$D$2:$AC$500,
       MATCH(B542, Input!$J$2:$J$500, 0),
       MATCH("Disk Interface Type", Input!$D$1:$AC$1, 0))</f>
        <v>#N/A</v>
      </c>
      <c r="O542" s="51" t="str" cm="1">
        <f t="array" ref="O542">IFERROR(_xlfn.TEXTJOIN(", ", TRUE, _xlfn._xlws.FILTER(
    INDEX(Input!$D$2:$AC$500,,MATCH("Disk Capacity",Input!$D$1:$AC$1,0)),
    Input!$J$2:$J$500=B542
)), "")</f>
        <v/>
      </c>
      <c r="P542" s="32" t="e">
        <f t="shared" si="25"/>
        <v>#N/A</v>
      </c>
      <c r="Q542" s="51" t="e">
        <f>_xlfn.LET(_xlpm.Result,INDEX(Input!$D$2:$AC$500,
       MATCH(B542, Input!$J$2:$J$500, 0),
       MATCH("Capacity", Input!$D$1:$AC$1, 0)),IF(_xlpm.Result="","",_xlpm.Result))</f>
        <v>#N/A</v>
      </c>
      <c r="R542" s="51"/>
      <c r="S542" s="51"/>
      <c r="T542" s="51" t="str" cm="1">
        <f t="array" ref="T542">IFERROR(_xlfn.IFS(
R542="","",
--R542&lt;55,"Battery Defect",
--R542&lt;=69,"Battery D",
--R542&lt;=80,"Battery C",
--R542&gt;80,""
),"")</f>
        <v/>
      </c>
      <c r="U542" s="51" t="str" cm="1">
        <f t="array" ref="U542">IFERROR(_xlfn.IFS(
S542="","",
--S542&lt;55,"Battery Defect",
--S542&lt;=69,"Battery D",
--S542&lt;=80,"Battery C",
--S542&gt;80,""
),"")</f>
        <v/>
      </c>
      <c r="V542" s="51"/>
      <c r="W542" s="51"/>
      <c r="X542" s="51"/>
      <c r="Y542" s="51"/>
      <c r="Z542" s="51"/>
      <c r="AA542" s="51"/>
      <c r="AB542" s="51"/>
      <c r="AC542" s="51"/>
      <c r="AD542" s="32" t="str">
        <f t="shared" si="24"/>
        <v/>
      </c>
      <c r="AE542" s="32"/>
      <c r="AF542" s="32"/>
      <c r="AG542" s="32"/>
      <c r="AH542" s="32"/>
      <c r="AI542" s="32"/>
      <c r="AJ542" s="32"/>
      <c r="AK542" s="32"/>
      <c r="AL542" s="32"/>
    </row>
    <row r="543" spans="1:38">
      <c r="A543" s="32" t="str">
        <f>_xlfn.TEXTJOIN("",TRUE,_xlfn.XLOOKUP(B543,Input!J:J,Input!G:G,"",0,1),_xlfn.XLOOKUP(B543,Input!J:J,Input!H:H,"",0,1))</f>
        <v/>
      </c>
      <c r="B543" s="32"/>
      <c r="C543" s="51">
        <f>_xlfn.XLOOKUP(B543,Input!J:J,Input!F:F)</f>
        <v>0</v>
      </c>
      <c r="D543" s="32">
        <f>_xlfn.XLOOKUP(C543,Models!H:H,Models!G:G,C543)</f>
        <v>0</v>
      </c>
      <c r="E543" s="32">
        <f>_xlfn.XLOOKUP(B543,Input!J:J,Input!E:E)</f>
        <v>0</v>
      </c>
      <c r="F543" s="32">
        <f>IF(E543="LENOVO",_xlfn.XLOOKUP(B543,Input!J:J,Input!K:K),_xlfn.XLOOKUP(B543,Input!J:J,Input!L:L))</f>
        <v>0</v>
      </c>
      <c r="G543" s="32"/>
      <c r="H543" s="32"/>
      <c r="I543" s="32"/>
      <c r="J543" s="51" t="e">
        <f>INDEX(Input!$D$2:$AC$500,
       MATCH(B543, Input!$J$2:$J$500, 0),
       MATCH("Total Memory", Input!$D$1:$AC$1, 0))</f>
        <v>#N/A</v>
      </c>
      <c r="K543" s="51"/>
      <c r="L543" s="51" t="str" cm="1">
        <f t="array" ref="L543">IFERROR(_xlfn.FILTERXML("&lt;t&gt;&lt;s&gt;" &amp; SUBSTITUTE(K543," / ","&lt;/s&gt;&lt;s&gt;") &amp; "&lt;/s&gt;&lt;/t&gt;","(//s[contains(.,'DDR')])[1]"),"")</f>
        <v/>
      </c>
      <c r="M543" s="32" t="e">
        <f t="shared" si="26"/>
        <v>#N/A</v>
      </c>
      <c r="N543" s="51" t="e">
        <f>INDEX(Input!$D$2:$AC$500,
       MATCH(B543, Input!$J$2:$J$500, 0),
       MATCH("Disk Interface Type", Input!$D$1:$AC$1, 0))</f>
        <v>#N/A</v>
      </c>
      <c r="O543" s="51" t="str" cm="1">
        <f t="array" ref="O543">IFERROR(_xlfn.TEXTJOIN(", ", TRUE, _xlfn._xlws.FILTER(
    INDEX(Input!$D$2:$AC$500,,MATCH("Disk Capacity",Input!$D$1:$AC$1,0)),
    Input!$J$2:$J$500=B543
)), "")</f>
        <v/>
      </c>
      <c r="P543" s="32" t="e">
        <f t="shared" si="25"/>
        <v>#N/A</v>
      </c>
      <c r="Q543" s="51" t="e">
        <f>_xlfn.LET(_xlpm.Result,INDEX(Input!$D$2:$AC$500,
       MATCH(B543, Input!$J$2:$J$500, 0),
       MATCH("Capacity", Input!$D$1:$AC$1, 0)),IF(_xlpm.Result="","",_xlpm.Result))</f>
        <v>#N/A</v>
      </c>
      <c r="R543" s="51"/>
      <c r="S543" s="51"/>
      <c r="T543" s="51" t="str" cm="1">
        <f t="array" ref="T543">IFERROR(_xlfn.IFS(
R543="","",
--R543&lt;55,"Battery Defect",
--R543&lt;=69,"Battery D",
--R543&lt;=80,"Battery C",
--R543&gt;80,""
),"")</f>
        <v/>
      </c>
      <c r="U543" s="51" t="str" cm="1">
        <f t="array" ref="U543">IFERROR(_xlfn.IFS(
S543="","",
--S543&lt;55,"Battery Defect",
--S543&lt;=69,"Battery D",
--S543&lt;=80,"Battery C",
--S543&gt;80,""
),"")</f>
        <v/>
      </c>
      <c r="V543" s="51"/>
      <c r="W543" s="51"/>
      <c r="X543" s="51"/>
      <c r="Y543" s="51"/>
      <c r="Z543" s="51"/>
      <c r="AA543" s="51"/>
      <c r="AB543" s="51"/>
      <c r="AC543" s="51"/>
      <c r="AD543" s="32" t="str">
        <f t="shared" si="24"/>
        <v/>
      </c>
      <c r="AE543" s="32"/>
      <c r="AF543" s="32"/>
      <c r="AG543" s="32"/>
      <c r="AH543" s="32"/>
      <c r="AI543" s="32"/>
      <c r="AJ543" s="32"/>
      <c r="AK543" s="32"/>
      <c r="AL543" s="32"/>
    </row>
    <row r="544" spans="1:38">
      <c r="A544" s="32" t="str">
        <f>_xlfn.TEXTJOIN("",TRUE,_xlfn.XLOOKUP(B544,Input!J:J,Input!G:G,"",0,1),_xlfn.XLOOKUP(B544,Input!J:J,Input!H:H,"",0,1))</f>
        <v/>
      </c>
      <c r="B544" s="32"/>
      <c r="C544" s="51">
        <f>_xlfn.XLOOKUP(B544,Input!J:J,Input!F:F)</f>
        <v>0</v>
      </c>
      <c r="D544" s="32">
        <f>_xlfn.XLOOKUP(C544,Models!H:H,Models!G:G,C544)</f>
        <v>0</v>
      </c>
      <c r="E544" s="32">
        <f>_xlfn.XLOOKUP(B544,Input!J:J,Input!E:E)</f>
        <v>0</v>
      </c>
      <c r="F544" s="32">
        <f>IF(E544="LENOVO",_xlfn.XLOOKUP(B544,Input!J:J,Input!K:K),_xlfn.XLOOKUP(B544,Input!J:J,Input!L:L))</f>
        <v>0</v>
      </c>
      <c r="G544" s="32"/>
      <c r="H544" s="32"/>
      <c r="I544" s="32"/>
      <c r="J544" s="51" t="e">
        <f>INDEX(Input!$D$2:$AC$500,
       MATCH(B544, Input!$J$2:$J$500, 0),
       MATCH("Total Memory", Input!$D$1:$AC$1, 0))</f>
        <v>#N/A</v>
      </c>
      <c r="K544" s="51"/>
      <c r="L544" s="51" t="str" cm="1">
        <f t="array" ref="L544">IFERROR(_xlfn.FILTERXML("&lt;t&gt;&lt;s&gt;" &amp; SUBSTITUTE(K544," / ","&lt;/s&gt;&lt;s&gt;") &amp; "&lt;/s&gt;&lt;/t&gt;","(//s[contains(.,'DDR')])[1]"),"")</f>
        <v/>
      </c>
      <c r="M544" s="32" t="e">
        <f t="shared" si="26"/>
        <v>#N/A</v>
      </c>
      <c r="N544" s="51" t="e">
        <f>INDEX(Input!$D$2:$AC$500,
       MATCH(B544, Input!$J$2:$J$500, 0),
       MATCH("Disk Interface Type", Input!$D$1:$AC$1, 0))</f>
        <v>#N/A</v>
      </c>
      <c r="O544" s="51" t="str" cm="1">
        <f t="array" ref="O544">IFERROR(_xlfn.TEXTJOIN(", ", TRUE, _xlfn._xlws.FILTER(
    INDEX(Input!$D$2:$AC$500,,MATCH("Disk Capacity",Input!$D$1:$AC$1,0)),
    Input!$J$2:$J$500=B544
)), "")</f>
        <v/>
      </c>
      <c r="P544" s="32" t="e">
        <f t="shared" si="25"/>
        <v>#N/A</v>
      </c>
      <c r="Q544" s="51" t="e">
        <f>_xlfn.LET(_xlpm.Result,INDEX(Input!$D$2:$AC$500,
       MATCH(B544, Input!$J$2:$J$500, 0),
       MATCH("Capacity", Input!$D$1:$AC$1, 0)),IF(_xlpm.Result="","",_xlpm.Result))</f>
        <v>#N/A</v>
      </c>
      <c r="R544" s="51"/>
      <c r="S544" s="51"/>
      <c r="T544" s="51" t="str" cm="1">
        <f t="array" ref="T544">IFERROR(_xlfn.IFS(
R544="","",
--R544&lt;55,"Battery Defect",
--R544&lt;=69,"Battery D",
--R544&lt;=80,"Battery C",
--R544&gt;80,""
),"")</f>
        <v/>
      </c>
      <c r="U544" s="51" t="str" cm="1">
        <f t="array" ref="U544">IFERROR(_xlfn.IFS(
S544="","",
--S544&lt;55,"Battery Defect",
--S544&lt;=69,"Battery D",
--S544&lt;=80,"Battery C",
--S544&gt;80,""
),"")</f>
        <v/>
      </c>
      <c r="V544" s="51"/>
      <c r="W544" s="51"/>
      <c r="X544" s="51"/>
      <c r="Y544" s="51"/>
      <c r="Z544" s="51"/>
      <c r="AA544" s="51"/>
      <c r="AB544" s="51"/>
      <c r="AC544" s="51"/>
      <c r="AD544" s="32" t="str">
        <f t="shared" si="24"/>
        <v/>
      </c>
      <c r="AE544" s="32"/>
      <c r="AF544" s="32"/>
      <c r="AG544" s="32"/>
      <c r="AH544" s="32"/>
      <c r="AI544" s="32"/>
      <c r="AJ544" s="32"/>
      <c r="AK544" s="32"/>
      <c r="AL544" s="32"/>
    </row>
    <row r="545" spans="1:38">
      <c r="A545" s="32" t="str">
        <f>_xlfn.TEXTJOIN("",TRUE,_xlfn.XLOOKUP(B545,Input!J:J,Input!G:G,"",0,1),_xlfn.XLOOKUP(B545,Input!J:J,Input!H:H,"",0,1))</f>
        <v/>
      </c>
      <c r="B545" s="32"/>
      <c r="C545" s="51">
        <f>_xlfn.XLOOKUP(B545,Input!J:J,Input!F:F)</f>
        <v>0</v>
      </c>
      <c r="D545" s="32">
        <f>_xlfn.XLOOKUP(C545,Models!H:H,Models!G:G,C545)</f>
        <v>0</v>
      </c>
      <c r="E545" s="32">
        <f>_xlfn.XLOOKUP(B545,Input!J:J,Input!E:E)</f>
        <v>0</v>
      </c>
      <c r="F545" s="32">
        <f>IF(E545="LENOVO",_xlfn.XLOOKUP(B545,Input!J:J,Input!K:K),_xlfn.XLOOKUP(B545,Input!J:J,Input!L:L))</f>
        <v>0</v>
      </c>
      <c r="G545" s="32"/>
      <c r="H545" s="32"/>
      <c r="I545" s="32"/>
      <c r="J545" s="51" t="e">
        <f>INDEX(Input!$D$2:$AC$500,
       MATCH(B545, Input!$J$2:$J$500, 0),
       MATCH("Total Memory", Input!$D$1:$AC$1, 0))</f>
        <v>#N/A</v>
      </c>
      <c r="K545" s="51"/>
      <c r="L545" s="51" t="str" cm="1">
        <f t="array" ref="L545">IFERROR(_xlfn.FILTERXML("&lt;t&gt;&lt;s&gt;" &amp; SUBSTITUTE(K545," / ","&lt;/s&gt;&lt;s&gt;") &amp; "&lt;/s&gt;&lt;/t&gt;","(//s[contains(.,'DDR')])[1]"),"")</f>
        <v/>
      </c>
      <c r="M545" s="32" t="e">
        <f t="shared" si="26"/>
        <v>#N/A</v>
      </c>
      <c r="N545" s="51" t="e">
        <f>INDEX(Input!$D$2:$AC$500,
       MATCH(B545, Input!$J$2:$J$500, 0),
       MATCH("Disk Interface Type", Input!$D$1:$AC$1, 0))</f>
        <v>#N/A</v>
      </c>
      <c r="O545" s="51" t="str" cm="1">
        <f t="array" ref="O545">IFERROR(_xlfn.TEXTJOIN(", ", TRUE, _xlfn._xlws.FILTER(
    INDEX(Input!$D$2:$AC$500,,MATCH("Disk Capacity",Input!$D$1:$AC$1,0)),
    Input!$J$2:$J$500=B545
)), "")</f>
        <v/>
      </c>
      <c r="P545" s="32" t="e">
        <f t="shared" si="25"/>
        <v>#N/A</v>
      </c>
      <c r="Q545" s="51" t="e">
        <f>_xlfn.LET(_xlpm.Result,INDEX(Input!$D$2:$AC$500,
       MATCH(B545, Input!$J$2:$J$500, 0),
       MATCH("Capacity", Input!$D$1:$AC$1, 0)),IF(_xlpm.Result="","",_xlpm.Result))</f>
        <v>#N/A</v>
      </c>
      <c r="R545" s="51"/>
      <c r="S545" s="51"/>
      <c r="T545" s="51" t="str" cm="1">
        <f t="array" ref="T545">IFERROR(_xlfn.IFS(
R545="","",
--R545&lt;55,"Battery Defect",
--R545&lt;=69,"Battery D",
--R545&lt;=80,"Battery C",
--R545&gt;80,""
),"")</f>
        <v/>
      </c>
      <c r="U545" s="51" t="str" cm="1">
        <f t="array" ref="U545">IFERROR(_xlfn.IFS(
S545="","",
--S545&lt;55,"Battery Defect",
--S545&lt;=69,"Battery D",
--S545&lt;=80,"Battery C",
--S545&gt;80,""
),"")</f>
        <v/>
      </c>
      <c r="V545" s="51"/>
      <c r="W545" s="51"/>
      <c r="X545" s="51"/>
      <c r="Y545" s="51"/>
      <c r="Z545" s="51"/>
      <c r="AA545" s="51"/>
      <c r="AB545" s="51"/>
      <c r="AC545" s="51"/>
      <c r="AD545" s="32" t="str">
        <f t="shared" si="24"/>
        <v/>
      </c>
      <c r="AE545" s="32"/>
      <c r="AF545" s="32"/>
      <c r="AG545" s="32"/>
      <c r="AH545" s="32"/>
      <c r="AI545" s="32"/>
      <c r="AJ545" s="32"/>
      <c r="AK545" s="32"/>
      <c r="AL545" s="32"/>
    </row>
    <row r="546" spans="1:38">
      <c r="A546" s="32" t="str">
        <f>_xlfn.TEXTJOIN("",TRUE,_xlfn.XLOOKUP(B546,Input!J:J,Input!G:G,"",0,1),_xlfn.XLOOKUP(B546,Input!J:J,Input!H:H,"",0,1))</f>
        <v/>
      </c>
      <c r="B546" s="32"/>
      <c r="C546" s="51">
        <f>_xlfn.XLOOKUP(B546,Input!J:J,Input!F:F)</f>
        <v>0</v>
      </c>
      <c r="D546" s="32">
        <f>_xlfn.XLOOKUP(C546,Models!H:H,Models!G:G,C546)</f>
        <v>0</v>
      </c>
      <c r="E546" s="32">
        <f>_xlfn.XLOOKUP(B546,Input!J:J,Input!E:E)</f>
        <v>0</v>
      </c>
      <c r="F546" s="32">
        <f>IF(E546="LENOVO",_xlfn.XLOOKUP(B546,Input!J:J,Input!K:K),_xlfn.XLOOKUP(B546,Input!J:J,Input!L:L))</f>
        <v>0</v>
      </c>
      <c r="G546" s="32"/>
      <c r="H546" s="32"/>
      <c r="I546" s="32"/>
      <c r="J546" s="51" t="e">
        <f>INDEX(Input!$D$2:$AC$500,
       MATCH(B546, Input!$J$2:$J$500, 0),
       MATCH("Total Memory", Input!$D$1:$AC$1, 0))</f>
        <v>#N/A</v>
      </c>
      <c r="K546" s="51"/>
      <c r="L546" s="51" t="str" cm="1">
        <f t="array" ref="L546">IFERROR(_xlfn.FILTERXML("&lt;t&gt;&lt;s&gt;" &amp; SUBSTITUTE(K546," / ","&lt;/s&gt;&lt;s&gt;") &amp; "&lt;/s&gt;&lt;/t&gt;","(//s[contains(.,'DDR')])[1]"),"")</f>
        <v/>
      </c>
      <c r="M546" s="32" t="e">
        <f t="shared" si="26"/>
        <v>#N/A</v>
      </c>
      <c r="N546" s="51" t="e">
        <f>INDEX(Input!$D$2:$AC$500,
       MATCH(B546, Input!$J$2:$J$500, 0),
       MATCH("Disk Interface Type", Input!$D$1:$AC$1, 0))</f>
        <v>#N/A</v>
      </c>
      <c r="O546" s="51" t="str" cm="1">
        <f t="array" ref="O546">IFERROR(_xlfn.TEXTJOIN(", ", TRUE, _xlfn._xlws.FILTER(
    INDEX(Input!$D$2:$AC$500,,MATCH("Disk Capacity",Input!$D$1:$AC$1,0)),
    Input!$J$2:$J$500=B546
)), "")</f>
        <v/>
      </c>
      <c r="P546" s="32" t="e">
        <f t="shared" si="25"/>
        <v>#N/A</v>
      </c>
      <c r="Q546" s="51" t="e">
        <f>_xlfn.LET(_xlpm.Result,INDEX(Input!$D$2:$AC$500,
       MATCH(B546, Input!$J$2:$J$500, 0),
       MATCH("Capacity", Input!$D$1:$AC$1, 0)),IF(_xlpm.Result="","",_xlpm.Result))</f>
        <v>#N/A</v>
      </c>
      <c r="R546" s="51"/>
      <c r="S546" s="51"/>
      <c r="T546" s="51" t="str" cm="1">
        <f t="array" ref="T546">IFERROR(_xlfn.IFS(
R546="","",
--R546&lt;55,"Battery Defect",
--R546&lt;=69,"Battery D",
--R546&lt;=80,"Battery C",
--R546&gt;80,""
),"")</f>
        <v/>
      </c>
      <c r="U546" s="51" t="str" cm="1">
        <f t="array" ref="U546">IFERROR(_xlfn.IFS(
S546="","",
--S546&lt;55,"Battery Defect",
--S546&lt;=69,"Battery D",
--S546&lt;=80,"Battery C",
--S546&gt;80,""
),"")</f>
        <v/>
      </c>
      <c r="V546" s="51"/>
      <c r="W546" s="51"/>
      <c r="X546" s="51"/>
      <c r="Y546" s="51"/>
      <c r="Z546" s="51"/>
      <c r="AA546" s="51"/>
      <c r="AB546" s="51"/>
      <c r="AC546" s="51"/>
      <c r="AD546" s="32" t="str">
        <f t="shared" si="24"/>
        <v/>
      </c>
      <c r="AE546" s="32"/>
      <c r="AF546" s="32"/>
      <c r="AG546" s="32"/>
      <c r="AH546" s="32"/>
      <c r="AI546" s="32"/>
      <c r="AJ546" s="32"/>
      <c r="AK546" s="32"/>
      <c r="AL546" s="32"/>
    </row>
    <row r="547" spans="1:38">
      <c r="A547" s="32" t="str">
        <f>_xlfn.TEXTJOIN("",TRUE,_xlfn.XLOOKUP(B547,Input!J:J,Input!G:G,"",0,1),_xlfn.XLOOKUP(B547,Input!J:J,Input!H:H,"",0,1))</f>
        <v/>
      </c>
      <c r="B547" s="32"/>
      <c r="C547" s="51">
        <f>_xlfn.XLOOKUP(B547,Input!J:J,Input!F:F)</f>
        <v>0</v>
      </c>
      <c r="D547" s="32">
        <f>_xlfn.XLOOKUP(C547,Models!H:H,Models!G:G,C547)</f>
        <v>0</v>
      </c>
      <c r="E547" s="32">
        <f>_xlfn.XLOOKUP(B547,Input!J:J,Input!E:E)</f>
        <v>0</v>
      </c>
      <c r="F547" s="32">
        <f>IF(E547="LENOVO",_xlfn.XLOOKUP(B547,Input!J:J,Input!K:K),_xlfn.XLOOKUP(B547,Input!J:J,Input!L:L))</f>
        <v>0</v>
      </c>
      <c r="G547" s="32"/>
      <c r="H547" s="32"/>
      <c r="I547" s="32"/>
      <c r="J547" s="51" t="e">
        <f>INDEX(Input!$D$2:$AC$500,
       MATCH(B547, Input!$J$2:$J$500, 0),
       MATCH("Total Memory", Input!$D$1:$AC$1, 0))</f>
        <v>#N/A</v>
      </c>
      <c r="K547" s="51"/>
      <c r="L547" s="51" t="str" cm="1">
        <f t="array" ref="L547">IFERROR(_xlfn.FILTERXML("&lt;t&gt;&lt;s&gt;" &amp; SUBSTITUTE(K547," / ","&lt;/s&gt;&lt;s&gt;") &amp; "&lt;/s&gt;&lt;/t&gt;","(//s[contains(.,'DDR')])[1]"),"")</f>
        <v/>
      </c>
      <c r="M547" s="32" t="e">
        <f t="shared" si="26"/>
        <v>#N/A</v>
      </c>
      <c r="N547" s="51" t="e">
        <f>INDEX(Input!$D$2:$AC$500,
       MATCH(B547, Input!$J$2:$J$500, 0),
       MATCH("Disk Interface Type", Input!$D$1:$AC$1, 0))</f>
        <v>#N/A</v>
      </c>
      <c r="O547" s="51" t="str" cm="1">
        <f t="array" ref="O547">IFERROR(_xlfn.TEXTJOIN(", ", TRUE, _xlfn._xlws.FILTER(
    INDEX(Input!$D$2:$AC$500,,MATCH("Disk Capacity",Input!$D$1:$AC$1,0)),
    Input!$J$2:$J$500=B547
)), "")</f>
        <v/>
      </c>
      <c r="P547" s="32" t="e">
        <f t="shared" si="25"/>
        <v>#N/A</v>
      </c>
      <c r="Q547" s="51" t="e">
        <f>_xlfn.LET(_xlpm.Result,INDEX(Input!$D$2:$AC$500,
       MATCH(B547, Input!$J$2:$J$500, 0),
       MATCH("Capacity", Input!$D$1:$AC$1, 0)),IF(_xlpm.Result="","",_xlpm.Result))</f>
        <v>#N/A</v>
      </c>
      <c r="R547" s="51"/>
      <c r="S547" s="51"/>
      <c r="T547" s="51" t="str" cm="1">
        <f t="array" ref="T547">IFERROR(_xlfn.IFS(
R547="","",
--R547&lt;55,"Battery Defect",
--R547&lt;=69,"Battery D",
--R547&lt;=80,"Battery C",
--R547&gt;80,""
),"")</f>
        <v/>
      </c>
      <c r="U547" s="51" t="str" cm="1">
        <f t="array" ref="U547">IFERROR(_xlfn.IFS(
S547="","",
--S547&lt;55,"Battery Defect",
--S547&lt;=69,"Battery D",
--S547&lt;=80,"Battery C",
--S547&gt;80,""
),"")</f>
        <v/>
      </c>
      <c r="V547" s="51"/>
      <c r="W547" s="51"/>
      <c r="X547" s="51"/>
      <c r="Y547" s="51"/>
      <c r="Z547" s="51"/>
      <c r="AA547" s="51"/>
      <c r="AB547" s="51"/>
      <c r="AC547" s="51"/>
      <c r="AD547" s="32" t="str">
        <f t="shared" si="24"/>
        <v/>
      </c>
      <c r="AE547" s="32"/>
      <c r="AF547" s="32"/>
      <c r="AG547" s="32"/>
      <c r="AH547" s="32"/>
      <c r="AI547" s="32"/>
      <c r="AJ547" s="32"/>
      <c r="AK547" s="32"/>
      <c r="AL547" s="32"/>
    </row>
    <row r="548" spans="1:38">
      <c r="A548" s="32" t="str">
        <f>_xlfn.TEXTJOIN("",TRUE,_xlfn.XLOOKUP(B548,Input!J:J,Input!G:G,"",0,1),_xlfn.XLOOKUP(B548,Input!J:J,Input!H:H,"",0,1))</f>
        <v/>
      </c>
      <c r="B548" s="32"/>
      <c r="C548" s="51">
        <f>_xlfn.XLOOKUP(B548,Input!J:J,Input!F:F)</f>
        <v>0</v>
      </c>
      <c r="D548" s="32">
        <f>_xlfn.XLOOKUP(C548,Models!H:H,Models!G:G,C548)</f>
        <v>0</v>
      </c>
      <c r="E548" s="32">
        <f>_xlfn.XLOOKUP(B548,Input!J:J,Input!E:E)</f>
        <v>0</v>
      </c>
      <c r="F548" s="32">
        <f>IF(E548="LENOVO",_xlfn.XLOOKUP(B548,Input!J:J,Input!K:K),_xlfn.XLOOKUP(B548,Input!J:J,Input!L:L))</f>
        <v>0</v>
      </c>
      <c r="G548" s="32"/>
      <c r="H548" s="32"/>
      <c r="I548" s="32"/>
      <c r="J548" s="51" t="e">
        <f>INDEX(Input!$D$2:$AC$500,
       MATCH(B548, Input!$J$2:$J$500, 0),
       MATCH("Total Memory", Input!$D$1:$AC$1, 0))</f>
        <v>#N/A</v>
      </c>
      <c r="K548" s="51"/>
      <c r="L548" s="51" t="str" cm="1">
        <f t="array" ref="L548">IFERROR(_xlfn.FILTERXML("&lt;t&gt;&lt;s&gt;" &amp; SUBSTITUTE(K548," / ","&lt;/s&gt;&lt;s&gt;") &amp; "&lt;/s&gt;&lt;/t&gt;","(//s[contains(.,'DDR')])[1]"),"")</f>
        <v/>
      </c>
      <c r="M548" s="32" t="e">
        <f t="shared" si="26"/>
        <v>#N/A</v>
      </c>
      <c r="N548" s="51" t="e">
        <f>INDEX(Input!$D$2:$AC$500,
       MATCH(B548, Input!$J$2:$J$500, 0),
       MATCH("Disk Interface Type", Input!$D$1:$AC$1, 0))</f>
        <v>#N/A</v>
      </c>
      <c r="O548" s="51" t="str" cm="1">
        <f t="array" ref="O548">IFERROR(_xlfn.TEXTJOIN(", ", TRUE, _xlfn._xlws.FILTER(
    INDEX(Input!$D$2:$AC$500,,MATCH("Disk Capacity",Input!$D$1:$AC$1,0)),
    Input!$J$2:$J$500=B548
)), "")</f>
        <v/>
      </c>
      <c r="P548" s="32" t="e">
        <f t="shared" si="25"/>
        <v>#N/A</v>
      </c>
      <c r="Q548" s="51" t="e">
        <f>_xlfn.LET(_xlpm.Result,INDEX(Input!$D$2:$AC$500,
       MATCH(B548, Input!$J$2:$J$500, 0),
       MATCH("Capacity", Input!$D$1:$AC$1, 0)),IF(_xlpm.Result="","",_xlpm.Result))</f>
        <v>#N/A</v>
      </c>
      <c r="R548" s="51"/>
      <c r="S548" s="51"/>
      <c r="T548" s="51" t="str" cm="1">
        <f t="array" ref="T548">IFERROR(_xlfn.IFS(
R548="","",
--R548&lt;55,"Battery Defect",
--R548&lt;=69,"Battery D",
--R548&lt;=80,"Battery C",
--R548&gt;80,""
),"")</f>
        <v/>
      </c>
      <c r="U548" s="51" t="str" cm="1">
        <f t="array" ref="U548">IFERROR(_xlfn.IFS(
S548="","",
--S548&lt;55,"Battery Defect",
--S548&lt;=69,"Battery D",
--S548&lt;=80,"Battery C",
--S548&gt;80,""
),"")</f>
        <v/>
      </c>
      <c r="V548" s="51"/>
      <c r="W548" s="51"/>
      <c r="X548" s="51"/>
      <c r="Y548" s="51"/>
      <c r="Z548" s="51"/>
      <c r="AA548" s="51"/>
      <c r="AB548" s="51"/>
      <c r="AC548" s="51"/>
      <c r="AD548" s="32" t="str">
        <f t="shared" si="24"/>
        <v/>
      </c>
      <c r="AE548" s="32"/>
      <c r="AF548" s="32"/>
      <c r="AG548" s="32"/>
      <c r="AH548" s="32"/>
      <c r="AI548" s="32"/>
      <c r="AJ548" s="32"/>
      <c r="AK548" s="32"/>
      <c r="AL548" s="32"/>
    </row>
    <row r="549" spans="1:38">
      <c r="A549" s="32" t="str">
        <f>_xlfn.TEXTJOIN("",TRUE,_xlfn.XLOOKUP(B549,Input!J:J,Input!G:G,"",0,1),_xlfn.XLOOKUP(B549,Input!J:J,Input!H:H,"",0,1))</f>
        <v/>
      </c>
      <c r="B549" s="32"/>
      <c r="C549" s="51">
        <f>_xlfn.XLOOKUP(B549,Input!J:J,Input!F:F)</f>
        <v>0</v>
      </c>
      <c r="D549" s="32">
        <f>_xlfn.XLOOKUP(C549,Models!H:H,Models!G:G,C549)</f>
        <v>0</v>
      </c>
      <c r="E549" s="32">
        <f>_xlfn.XLOOKUP(B549,Input!J:J,Input!E:E)</f>
        <v>0</v>
      </c>
      <c r="F549" s="32">
        <f>IF(E549="LENOVO",_xlfn.XLOOKUP(B549,Input!J:J,Input!K:K),_xlfn.XLOOKUP(B549,Input!J:J,Input!L:L))</f>
        <v>0</v>
      </c>
      <c r="G549" s="32"/>
      <c r="H549" s="32"/>
      <c r="I549" s="32"/>
      <c r="J549" s="51" t="e">
        <f>INDEX(Input!$D$2:$AC$500,
       MATCH(B549, Input!$J$2:$J$500, 0),
       MATCH("Total Memory", Input!$D$1:$AC$1, 0))</f>
        <v>#N/A</v>
      </c>
      <c r="K549" s="51"/>
      <c r="L549" s="51" t="str" cm="1">
        <f t="array" ref="L549">IFERROR(_xlfn.FILTERXML("&lt;t&gt;&lt;s&gt;" &amp; SUBSTITUTE(K549," / ","&lt;/s&gt;&lt;s&gt;") &amp; "&lt;/s&gt;&lt;/t&gt;","(//s[contains(.,'DDR')])[1]"),"")</f>
        <v/>
      </c>
      <c r="M549" s="32" t="e">
        <f t="shared" si="26"/>
        <v>#N/A</v>
      </c>
      <c r="N549" s="51" t="e">
        <f>INDEX(Input!$D$2:$AC$500,
       MATCH(B549, Input!$J$2:$J$500, 0),
       MATCH("Disk Interface Type", Input!$D$1:$AC$1, 0))</f>
        <v>#N/A</v>
      </c>
      <c r="O549" s="51" t="str" cm="1">
        <f t="array" ref="O549">IFERROR(_xlfn.TEXTJOIN(", ", TRUE, _xlfn._xlws.FILTER(
    INDEX(Input!$D$2:$AC$500,,MATCH("Disk Capacity",Input!$D$1:$AC$1,0)),
    Input!$J$2:$J$500=B549
)), "")</f>
        <v/>
      </c>
      <c r="P549" s="32" t="e">
        <f t="shared" si="25"/>
        <v>#N/A</v>
      </c>
      <c r="Q549" s="51" t="e">
        <f>_xlfn.LET(_xlpm.Result,INDEX(Input!$D$2:$AC$500,
       MATCH(B549, Input!$J$2:$J$500, 0),
       MATCH("Capacity", Input!$D$1:$AC$1, 0)),IF(_xlpm.Result="","",_xlpm.Result))</f>
        <v>#N/A</v>
      </c>
      <c r="R549" s="51"/>
      <c r="S549" s="51"/>
      <c r="T549" s="51" t="str" cm="1">
        <f t="array" ref="T549">IFERROR(_xlfn.IFS(
R549="","",
--R549&lt;55,"Battery Defect",
--R549&lt;=69,"Battery D",
--R549&lt;=80,"Battery C",
--R549&gt;80,""
),"")</f>
        <v/>
      </c>
      <c r="U549" s="51" t="str" cm="1">
        <f t="array" ref="U549">IFERROR(_xlfn.IFS(
S549="","",
--S549&lt;55,"Battery Defect",
--S549&lt;=69,"Battery D",
--S549&lt;=80,"Battery C",
--S549&gt;80,""
),"")</f>
        <v/>
      </c>
      <c r="V549" s="51"/>
      <c r="W549" s="51"/>
      <c r="X549" s="51"/>
      <c r="Y549" s="51"/>
      <c r="Z549" s="51"/>
      <c r="AA549" s="51"/>
      <c r="AB549" s="51"/>
      <c r="AC549" s="51"/>
      <c r="AD549" s="32" t="str">
        <f t="shared" si="24"/>
        <v/>
      </c>
      <c r="AE549" s="32"/>
      <c r="AF549" s="32"/>
      <c r="AG549" s="32"/>
      <c r="AH549" s="32"/>
      <c r="AI549" s="32"/>
      <c r="AJ549" s="32"/>
      <c r="AK549" s="32"/>
      <c r="AL549" s="32"/>
    </row>
    <row r="550" spans="1:38">
      <c r="A550" s="32" t="str">
        <f>_xlfn.TEXTJOIN("",TRUE,_xlfn.XLOOKUP(B550,Input!J:J,Input!G:G,"",0,1),_xlfn.XLOOKUP(B550,Input!J:J,Input!H:H,"",0,1))</f>
        <v/>
      </c>
      <c r="B550" s="32"/>
      <c r="C550" s="51">
        <f>_xlfn.XLOOKUP(B550,Input!J:J,Input!F:F)</f>
        <v>0</v>
      </c>
      <c r="D550" s="32">
        <f>_xlfn.XLOOKUP(C550,Models!H:H,Models!G:G,C550)</f>
        <v>0</v>
      </c>
      <c r="E550" s="32">
        <f>_xlfn.XLOOKUP(B550,Input!J:J,Input!E:E)</f>
        <v>0</v>
      </c>
      <c r="F550" s="32">
        <f>IF(E550="LENOVO",_xlfn.XLOOKUP(B550,Input!J:J,Input!K:K),_xlfn.XLOOKUP(B550,Input!J:J,Input!L:L))</f>
        <v>0</v>
      </c>
      <c r="G550" s="32"/>
      <c r="H550" s="32"/>
      <c r="I550" s="32"/>
      <c r="J550" s="51" t="e">
        <f>INDEX(Input!$D$2:$AC$500,
       MATCH(B550, Input!$J$2:$J$500, 0),
       MATCH("Total Memory", Input!$D$1:$AC$1, 0))</f>
        <v>#N/A</v>
      </c>
      <c r="K550" s="51"/>
      <c r="L550" s="51" t="str" cm="1">
        <f t="array" ref="L550">IFERROR(_xlfn.FILTERXML("&lt;t&gt;&lt;s&gt;" &amp; SUBSTITUTE(K550," / ","&lt;/s&gt;&lt;s&gt;") &amp; "&lt;/s&gt;&lt;/t&gt;","(//s[contains(.,'DDR')])[1]"),"")</f>
        <v/>
      </c>
      <c r="M550" s="32" t="e">
        <f t="shared" si="26"/>
        <v>#N/A</v>
      </c>
      <c r="N550" s="51" t="e">
        <f>INDEX(Input!$D$2:$AC$500,
       MATCH(B550, Input!$J$2:$J$500, 0),
       MATCH("Disk Interface Type", Input!$D$1:$AC$1, 0))</f>
        <v>#N/A</v>
      </c>
      <c r="O550" s="51" t="str" cm="1">
        <f t="array" ref="O550">IFERROR(_xlfn.TEXTJOIN(", ", TRUE, _xlfn._xlws.FILTER(
    INDEX(Input!$D$2:$AC$500,,MATCH("Disk Capacity",Input!$D$1:$AC$1,0)),
    Input!$J$2:$J$500=B550
)), "")</f>
        <v/>
      </c>
      <c r="P550" s="32" t="e">
        <f t="shared" si="25"/>
        <v>#N/A</v>
      </c>
      <c r="Q550" s="51" t="e">
        <f>_xlfn.LET(_xlpm.Result,INDEX(Input!$D$2:$AC$500,
       MATCH(B550, Input!$J$2:$J$500, 0),
       MATCH("Capacity", Input!$D$1:$AC$1, 0)),IF(_xlpm.Result="","",_xlpm.Result))</f>
        <v>#N/A</v>
      </c>
      <c r="R550" s="51"/>
      <c r="S550" s="51"/>
      <c r="T550" s="51" t="str" cm="1">
        <f t="array" ref="T550">IFERROR(_xlfn.IFS(
R550="","",
--R550&lt;55,"Battery Defect",
--R550&lt;=69,"Battery D",
--R550&lt;=80,"Battery C",
--R550&gt;80,""
),"")</f>
        <v/>
      </c>
      <c r="U550" s="51" t="str" cm="1">
        <f t="array" ref="U550">IFERROR(_xlfn.IFS(
S550="","",
--S550&lt;55,"Battery Defect",
--S550&lt;=69,"Battery D",
--S550&lt;=80,"Battery C",
--S550&gt;80,""
),"")</f>
        <v/>
      </c>
      <c r="V550" s="51"/>
      <c r="W550" s="51"/>
      <c r="X550" s="51"/>
      <c r="Y550" s="51"/>
      <c r="Z550" s="51"/>
      <c r="AA550" s="51"/>
      <c r="AB550" s="51"/>
      <c r="AC550" s="51"/>
      <c r="AD550" s="32" t="str">
        <f t="shared" si="24"/>
        <v/>
      </c>
      <c r="AE550" s="32"/>
      <c r="AF550" s="32"/>
      <c r="AG550" s="32"/>
      <c r="AH550" s="32"/>
      <c r="AI550" s="32"/>
      <c r="AJ550" s="32"/>
      <c r="AK550" s="32"/>
      <c r="AL550" s="32"/>
    </row>
    <row r="551" spans="1:38">
      <c r="A551" s="32" t="str">
        <f>_xlfn.TEXTJOIN("",TRUE,_xlfn.XLOOKUP(B551,Input!J:J,Input!G:G,"",0,1),_xlfn.XLOOKUP(B551,Input!J:J,Input!H:H,"",0,1))</f>
        <v/>
      </c>
      <c r="B551" s="32"/>
      <c r="C551" s="51">
        <f>_xlfn.XLOOKUP(B551,Input!J:J,Input!F:F)</f>
        <v>0</v>
      </c>
      <c r="D551" s="32">
        <f>_xlfn.XLOOKUP(C551,Models!H:H,Models!G:G,C551)</f>
        <v>0</v>
      </c>
      <c r="E551" s="32">
        <f>_xlfn.XLOOKUP(B551,Input!J:J,Input!E:E)</f>
        <v>0</v>
      </c>
      <c r="F551" s="32">
        <f>IF(E551="LENOVO",_xlfn.XLOOKUP(B551,Input!J:J,Input!K:K),_xlfn.XLOOKUP(B551,Input!J:J,Input!L:L))</f>
        <v>0</v>
      </c>
      <c r="G551" s="32"/>
      <c r="H551" s="32"/>
      <c r="I551" s="32"/>
      <c r="J551" s="51" t="e">
        <f>INDEX(Input!$D$2:$AC$500,
       MATCH(B551, Input!$J$2:$J$500, 0),
       MATCH("Total Memory", Input!$D$1:$AC$1, 0))</f>
        <v>#N/A</v>
      </c>
      <c r="K551" s="51"/>
      <c r="L551" s="51" t="str" cm="1">
        <f t="array" ref="L551">IFERROR(_xlfn.FILTERXML("&lt;t&gt;&lt;s&gt;" &amp; SUBSTITUTE(K551," / ","&lt;/s&gt;&lt;s&gt;") &amp; "&lt;/s&gt;&lt;/t&gt;","(//s[contains(.,'DDR')])[1]"),"")</f>
        <v/>
      </c>
      <c r="M551" s="32" t="e">
        <f t="shared" si="26"/>
        <v>#N/A</v>
      </c>
      <c r="N551" s="51" t="e">
        <f>INDEX(Input!$D$2:$AC$500,
       MATCH(B551, Input!$J$2:$J$500, 0),
       MATCH("Disk Interface Type", Input!$D$1:$AC$1, 0))</f>
        <v>#N/A</v>
      </c>
      <c r="O551" s="51" t="str" cm="1">
        <f t="array" ref="O551">IFERROR(_xlfn.TEXTJOIN(", ", TRUE, _xlfn._xlws.FILTER(
    INDEX(Input!$D$2:$AC$500,,MATCH("Disk Capacity",Input!$D$1:$AC$1,0)),
    Input!$J$2:$J$500=B551
)), "")</f>
        <v/>
      </c>
      <c r="P551" s="32" t="e">
        <f t="shared" si="25"/>
        <v>#N/A</v>
      </c>
      <c r="Q551" s="51" t="e">
        <f>_xlfn.LET(_xlpm.Result,INDEX(Input!$D$2:$AC$500,
       MATCH(B551, Input!$J$2:$J$500, 0),
       MATCH("Capacity", Input!$D$1:$AC$1, 0)),IF(_xlpm.Result="","",_xlpm.Result))</f>
        <v>#N/A</v>
      </c>
      <c r="R551" s="51"/>
      <c r="S551" s="51"/>
      <c r="T551" s="51" t="str" cm="1">
        <f t="array" ref="T551">IFERROR(_xlfn.IFS(
R551="","",
--R551&lt;55,"Battery Defect",
--R551&lt;=69,"Battery D",
--R551&lt;=80,"Battery C",
--R551&gt;80,""
),"")</f>
        <v/>
      </c>
      <c r="U551" s="51" t="str" cm="1">
        <f t="array" ref="U551">IFERROR(_xlfn.IFS(
S551="","",
--S551&lt;55,"Battery Defect",
--S551&lt;=69,"Battery D",
--S551&lt;=80,"Battery C",
--S551&gt;80,""
),"")</f>
        <v/>
      </c>
      <c r="V551" s="51"/>
      <c r="W551" s="51"/>
      <c r="X551" s="51"/>
      <c r="Y551" s="51"/>
      <c r="Z551" s="51"/>
      <c r="AA551" s="51"/>
      <c r="AB551" s="51"/>
      <c r="AC551" s="51"/>
      <c r="AD551" s="32" t="str">
        <f t="shared" si="24"/>
        <v/>
      </c>
      <c r="AE551" s="32"/>
      <c r="AF551" s="32"/>
      <c r="AG551" s="32"/>
      <c r="AH551" s="32"/>
      <c r="AI551" s="32"/>
      <c r="AJ551" s="32"/>
      <c r="AK551" s="32"/>
      <c r="AL551" s="32"/>
    </row>
    <row r="552" spans="1:38">
      <c r="A552" s="32" t="str">
        <f>_xlfn.TEXTJOIN("",TRUE,_xlfn.XLOOKUP(B552,Input!J:J,Input!G:G,"",0,1),_xlfn.XLOOKUP(B552,Input!J:J,Input!H:H,"",0,1))</f>
        <v/>
      </c>
      <c r="B552" s="32"/>
      <c r="C552" s="51">
        <f>_xlfn.XLOOKUP(B552,Input!J:J,Input!F:F)</f>
        <v>0</v>
      </c>
      <c r="D552" s="32">
        <f>_xlfn.XLOOKUP(C552,Models!H:H,Models!G:G,C552)</f>
        <v>0</v>
      </c>
      <c r="E552" s="32">
        <f>_xlfn.XLOOKUP(B552,Input!J:J,Input!E:E)</f>
        <v>0</v>
      </c>
      <c r="F552" s="32">
        <f>IF(E552="LENOVO",_xlfn.XLOOKUP(B552,Input!J:J,Input!K:K),_xlfn.XLOOKUP(B552,Input!J:J,Input!L:L))</f>
        <v>0</v>
      </c>
      <c r="G552" s="32"/>
      <c r="H552" s="32"/>
      <c r="I552" s="32"/>
      <c r="J552" s="51" t="e">
        <f>INDEX(Input!$D$2:$AC$500,
       MATCH(B552, Input!$J$2:$J$500, 0),
       MATCH("Total Memory", Input!$D$1:$AC$1, 0))</f>
        <v>#N/A</v>
      </c>
      <c r="K552" s="51"/>
      <c r="L552" s="51" t="str" cm="1">
        <f t="array" ref="L552">IFERROR(_xlfn.FILTERXML("&lt;t&gt;&lt;s&gt;" &amp; SUBSTITUTE(K552," / ","&lt;/s&gt;&lt;s&gt;") &amp; "&lt;/s&gt;&lt;/t&gt;","(//s[contains(.,'DDR')])[1]"),"")</f>
        <v/>
      </c>
      <c r="M552" s="32" t="e">
        <f t="shared" si="26"/>
        <v>#N/A</v>
      </c>
      <c r="N552" s="51" t="e">
        <f>INDEX(Input!$D$2:$AC$500,
       MATCH(B552, Input!$J$2:$J$500, 0),
       MATCH("Disk Interface Type", Input!$D$1:$AC$1, 0))</f>
        <v>#N/A</v>
      </c>
      <c r="O552" s="51" t="str" cm="1">
        <f t="array" ref="O552">IFERROR(_xlfn.TEXTJOIN(", ", TRUE, _xlfn._xlws.FILTER(
    INDEX(Input!$D$2:$AC$500,,MATCH("Disk Capacity",Input!$D$1:$AC$1,0)),
    Input!$J$2:$J$500=B552
)), "")</f>
        <v/>
      </c>
      <c r="P552" s="32" t="e">
        <f t="shared" si="25"/>
        <v>#N/A</v>
      </c>
      <c r="Q552" s="51" t="e">
        <f>_xlfn.LET(_xlpm.Result,INDEX(Input!$D$2:$AC$500,
       MATCH(B552, Input!$J$2:$J$500, 0),
       MATCH("Capacity", Input!$D$1:$AC$1, 0)),IF(_xlpm.Result="","",_xlpm.Result))</f>
        <v>#N/A</v>
      </c>
      <c r="R552" s="51"/>
      <c r="S552" s="51"/>
      <c r="T552" s="51" t="str" cm="1">
        <f t="array" ref="T552">IFERROR(_xlfn.IFS(
R552="","",
--R552&lt;55,"Battery Defect",
--R552&lt;=69,"Battery D",
--R552&lt;=80,"Battery C",
--R552&gt;80,""
),"")</f>
        <v/>
      </c>
      <c r="U552" s="51" t="str" cm="1">
        <f t="array" ref="U552">IFERROR(_xlfn.IFS(
S552="","",
--S552&lt;55,"Battery Defect",
--S552&lt;=69,"Battery D",
--S552&lt;=80,"Battery C",
--S552&gt;80,""
),"")</f>
        <v/>
      </c>
      <c r="V552" s="51"/>
      <c r="W552" s="51"/>
      <c r="X552" s="51"/>
      <c r="Y552" s="51"/>
      <c r="Z552" s="51"/>
      <c r="AA552" s="51"/>
      <c r="AB552" s="51"/>
      <c r="AC552" s="51"/>
      <c r="AD552" s="32" t="str">
        <f t="shared" si="24"/>
        <v/>
      </c>
      <c r="AE552" s="32"/>
      <c r="AF552" s="32"/>
      <c r="AG552" s="32"/>
      <c r="AH552" s="32"/>
      <c r="AI552" s="32"/>
      <c r="AJ552" s="32"/>
      <c r="AK552" s="32"/>
      <c r="AL552" s="32"/>
    </row>
    <row r="553" spans="1:38">
      <c r="A553" s="32" t="str">
        <f>_xlfn.TEXTJOIN("",TRUE,_xlfn.XLOOKUP(B553,Input!J:J,Input!G:G,"",0,1),_xlfn.XLOOKUP(B553,Input!J:J,Input!H:H,"",0,1))</f>
        <v/>
      </c>
      <c r="B553" s="32"/>
      <c r="C553" s="51">
        <f>_xlfn.XLOOKUP(B553,Input!J:J,Input!F:F)</f>
        <v>0</v>
      </c>
      <c r="D553" s="32">
        <f>_xlfn.XLOOKUP(C553,Models!H:H,Models!G:G,C553)</f>
        <v>0</v>
      </c>
      <c r="E553" s="32">
        <f>_xlfn.XLOOKUP(B553,Input!J:J,Input!E:E)</f>
        <v>0</v>
      </c>
      <c r="F553" s="32">
        <f>IF(E553="LENOVO",_xlfn.XLOOKUP(B553,Input!J:J,Input!K:K),_xlfn.XLOOKUP(B553,Input!J:J,Input!L:L))</f>
        <v>0</v>
      </c>
      <c r="G553" s="32"/>
      <c r="H553" s="32"/>
      <c r="I553" s="32"/>
      <c r="J553" s="51" t="e">
        <f>INDEX(Input!$D$2:$AC$500,
       MATCH(B553, Input!$J$2:$J$500, 0),
       MATCH("Total Memory", Input!$D$1:$AC$1, 0))</f>
        <v>#N/A</v>
      </c>
      <c r="K553" s="51"/>
      <c r="L553" s="51" t="str" cm="1">
        <f t="array" ref="L553">IFERROR(_xlfn.FILTERXML("&lt;t&gt;&lt;s&gt;" &amp; SUBSTITUTE(K553," / ","&lt;/s&gt;&lt;s&gt;") &amp; "&lt;/s&gt;&lt;/t&gt;","(//s[contains(.,'DDR')])[1]"),"")</f>
        <v/>
      </c>
      <c r="M553" s="32" t="e">
        <f t="shared" si="26"/>
        <v>#N/A</v>
      </c>
      <c r="N553" s="51" t="e">
        <f>INDEX(Input!$D$2:$AC$500,
       MATCH(B553, Input!$J$2:$J$500, 0),
       MATCH("Disk Interface Type", Input!$D$1:$AC$1, 0))</f>
        <v>#N/A</v>
      </c>
      <c r="O553" s="51" t="str" cm="1">
        <f t="array" ref="O553">IFERROR(_xlfn.TEXTJOIN(", ", TRUE, _xlfn._xlws.FILTER(
    INDEX(Input!$D$2:$AC$500,,MATCH("Disk Capacity",Input!$D$1:$AC$1,0)),
    Input!$J$2:$J$500=B553
)), "")</f>
        <v/>
      </c>
      <c r="P553" s="32" t="e">
        <f t="shared" si="25"/>
        <v>#N/A</v>
      </c>
      <c r="Q553" s="51" t="e">
        <f>_xlfn.LET(_xlpm.Result,INDEX(Input!$D$2:$AC$500,
       MATCH(B553, Input!$J$2:$J$500, 0),
       MATCH("Capacity", Input!$D$1:$AC$1, 0)),IF(_xlpm.Result="","",_xlpm.Result))</f>
        <v>#N/A</v>
      </c>
      <c r="R553" s="51"/>
      <c r="S553" s="51"/>
      <c r="T553" s="51" t="str" cm="1">
        <f t="array" ref="T553">IFERROR(_xlfn.IFS(
R553="","",
--R553&lt;55,"Battery Defect",
--R553&lt;=69,"Battery D",
--R553&lt;=80,"Battery C",
--R553&gt;80,""
),"")</f>
        <v/>
      </c>
      <c r="U553" s="51" t="str" cm="1">
        <f t="array" ref="U553">IFERROR(_xlfn.IFS(
S553="","",
--S553&lt;55,"Battery Defect",
--S553&lt;=69,"Battery D",
--S553&lt;=80,"Battery C",
--S553&gt;80,""
),"")</f>
        <v/>
      </c>
      <c r="V553" s="51"/>
      <c r="W553" s="51"/>
      <c r="X553" s="51"/>
      <c r="Y553" s="51"/>
      <c r="Z553" s="51"/>
      <c r="AA553" s="51"/>
      <c r="AB553" s="51"/>
      <c r="AC553" s="51"/>
      <c r="AD553" s="32" t="str">
        <f t="shared" si="24"/>
        <v/>
      </c>
      <c r="AE553" s="32"/>
      <c r="AF553" s="32"/>
      <c r="AG553" s="32"/>
      <c r="AH553" s="32"/>
      <c r="AI553" s="32"/>
      <c r="AJ553" s="32"/>
      <c r="AK553" s="32"/>
      <c r="AL553" s="32"/>
    </row>
    <row r="554" spans="1:38">
      <c r="A554" s="32" t="str">
        <f>_xlfn.TEXTJOIN("",TRUE,_xlfn.XLOOKUP(B554,Input!J:J,Input!G:G,"",0,1),_xlfn.XLOOKUP(B554,Input!J:J,Input!H:H,"",0,1))</f>
        <v/>
      </c>
      <c r="B554" s="32"/>
      <c r="C554" s="51">
        <f>_xlfn.XLOOKUP(B554,Input!J:J,Input!F:F)</f>
        <v>0</v>
      </c>
      <c r="D554" s="32">
        <f>_xlfn.XLOOKUP(C554,Models!H:H,Models!G:G,C554)</f>
        <v>0</v>
      </c>
      <c r="E554" s="32">
        <f>_xlfn.XLOOKUP(B554,Input!J:J,Input!E:E)</f>
        <v>0</v>
      </c>
      <c r="F554" s="32">
        <f>IF(E554="LENOVO",_xlfn.XLOOKUP(B554,Input!J:J,Input!K:K),_xlfn.XLOOKUP(B554,Input!J:J,Input!L:L))</f>
        <v>0</v>
      </c>
      <c r="G554" s="32"/>
      <c r="H554" s="32"/>
      <c r="I554" s="32"/>
      <c r="J554" s="51" t="e">
        <f>INDEX(Input!$D$2:$AC$500,
       MATCH(B554, Input!$J$2:$J$500, 0),
       MATCH("Total Memory", Input!$D$1:$AC$1, 0))</f>
        <v>#N/A</v>
      </c>
      <c r="K554" s="51"/>
      <c r="L554" s="51" t="str" cm="1">
        <f t="array" ref="L554">IFERROR(_xlfn.FILTERXML("&lt;t&gt;&lt;s&gt;" &amp; SUBSTITUTE(K554," / ","&lt;/s&gt;&lt;s&gt;") &amp; "&lt;/s&gt;&lt;/t&gt;","(//s[contains(.,'DDR')])[1]"),"")</f>
        <v/>
      </c>
      <c r="M554" s="32" t="e">
        <f t="shared" si="26"/>
        <v>#N/A</v>
      </c>
      <c r="N554" s="51" t="e">
        <f>INDEX(Input!$D$2:$AC$500,
       MATCH(B554, Input!$J$2:$J$500, 0),
       MATCH("Disk Interface Type", Input!$D$1:$AC$1, 0))</f>
        <v>#N/A</v>
      </c>
      <c r="O554" s="51" t="str" cm="1">
        <f t="array" ref="O554">IFERROR(_xlfn.TEXTJOIN(", ", TRUE, _xlfn._xlws.FILTER(
    INDEX(Input!$D$2:$AC$500,,MATCH("Disk Capacity",Input!$D$1:$AC$1,0)),
    Input!$J$2:$J$500=B554
)), "")</f>
        <v/>
      </c>
      <c r="P554" s="32" t="e">
        <f t="shared" si="25"/>
        <v>#N/A</v>
      </c>
      <c r="Q554" s="51" t="e">
        <f>_xlfn.LET(_xlpm.Result,INDEX(Input!$D$2:$AC$500,
       MATCH(B554, Input!$J$2:$J$500, 0),
       MATCH("Capacity", Input!$D$1:$AC$1, 0)),IF(_xlpm.Result="","",_xlpm.Result))</f>
        <v>#N/A</v>
      </c>
      <c r="R554" s="51"/>
      <c r="S554" s="51"/>
      <c r="T554" s="51" t="str" cm="1">
        <f t="array" ref="T554">IFERROR(_xlfn.IFS(
R554="","",
--R554&lt;55,"Battery Defect",
--R554&lt;=69,"Battery D",
--R554&lt;=80,"Battery C",
--R554&gt;80,""
),"")</f>
        <v/>
      </c>
      <c r="U554" s="51" t="str" cm="1">
        <f t="array" ref="U554">IFERROR(_xlfn.IFS(
S554="","",
--S554&lt;55,"Battery Defect",
--S554&lt;=69,"Battery D",
--S554&lt;=80,"Battery C",
--S554&gt;80,""
),"")</f>
        <v/>
      </c>
      <c r="V554" s="51"/>
      <c r="W554" s="51"/>
      <c r="X554" s="51"/>
      <c r="Y554" s="51"/>
      <c r="Z554" s="51"/>
      <c r="AA554" s="51"/>
      <c r="AB554" s="51"/>
      <c r="AC554" s="51"/>
      <c r="AD554" s="32" t="str">
        <f t="shared" si="24"/>
        <v/>
      </c>
      <c r="AE554" s="32"/>
      <c r="AF554" s="32"/>
      <c r="AG554" s="32"/>
      <c r="AH554" s="32"/>
      <c r="AI554" s="32"/>
      <c r="AJ554" s="32"/>
      <c r="AK554" s="32"/>
      <c r="AL554" s="32"/>
    </row>
    <row r="555" spans="1:38">
      <c r="A555" s="32" t="str">
        <f>_xlfn.TEXTJOIN("",TRUE,_xlfn.XLOOKUP(B555,Input!J:J,Input!G:G,"",0,1),_xlfn.XLOOKUP(B555,Input!J:J,Input!H:H,"",0,1))</f>
        <v/>
      </c>
      <c r="B555" s="32"/>
      <c r="C555" s="51">
        <f>_xlfn.XLOOKUP(B555,Input!J:J,Input!F:F)</f>
        <v>0</v>
      </c>
      <c r="D555" s="32">
        <f>_xlfn.XLOOKUP(C555,Models!H:H,Models!G:G,C555)</f>
        <v>0</v>
      </c>
      <c r="E555" s="32">
        <f>_xlfn.XLOOKUP(B555,Input!J:J,Input!E:E)</f>
        <v>0</v>
      </c>
      <c r="F555" s="32">
        <f>IF(E555="LENOVO",_xlfn.XLOOKUP(B555,Input!J:J,Input!K:K),_xlfn.XLOOKUP(B555,Input!J:J,Input!L:L))</f>
        <v>0</v>
      </c>
      <c r="G555" s="32"/>
      <c r="H555" s="32"/>
      <c r="I555" s="32"/>
      <c r="J555" s="51" t="e">
        <f>INDEX(Input!$D$2:$AC$500,
       MATCH(B555, Input!$J$2:$J$500, 0),
       MATCH("Total Memory", Input!$D$1:$AC$1, 0))</f>
        <v>#N/A</v>
      </c>
      <c r="K555" s="51"/>
      <c r="L555" s="51" t="str" cm="1">
        <f t="array" ref="L555">IFERROR(_xlfn.FILTERXML("&lt;t&gt;&lt;s&gt;" &amp; SUBSTITUTE(K555," / ","&lt;/s&gt;&lt;s&gt;") &amp; "&lt;/s&gt;&lt;/t&gt;","(//s[contains(.,'DDR')])[1]"),"")</f>
        <v/>
      </c>
      <c r="M555" s="32" t="e">
        <f t="shared" si="26"/>
        <v>#N/A</v>
      </c>
      <c r="N555" s="51" t="e">
        <f>INDEX(Input!$D$2:$AC$500,
       MATCH(B555, Input!$J$2:$J$500, 0),
       MATCH("Disk Interface Type", Input!$D$1:$AC$1, 0))</f>
        <v>#N/A</v>
      </c>
      <c r="O555" s="51" t="str" cm="1">
        <f t="array" ref="O555">IFERROR(_xlfn.TEXTJOIN(", ", TRUE, _xlfn._xlws.FILTER(
    INDEX(Input!$D$2:$AC$500,,MATCH("Disk Capacity",Input!$D$1:$AC$1,0)),
    Input!$J$2:$J$500=B555
)), "")</f>
        <v/>
      </c>
      <c r="P555" s="32" t="e">
        <f t="shared" si="25"/>
        <v>#N/A</v>
      </c>
      <c r="Q555" s="51" t="e">
        <f>_xlfn.LET(_xlpm.Result,INDEX(Input!$D$2:$AC$500,
       MATCH(B555, Input!$J$2:$J$500, 0),
       MATCH("Capacity", Input!$D$1:$AC$1, 0)),IF(_xlpm.Result="","",_xlpm.Result))</f>
        <v>#N/A</v>
      </c>
      <c r="R555" s="51"/>
      <c r="S555" s="51"/>
      <c r="T555" s="51" t="str" cm="1">
        <f t="array" ref="T555">IFERROR(_xlfn.IFS(
R555="","",
--R555&lt;55,"Battery Defect",
--R555&lt;=69,"Battery D",
--R555&lt;=80,"Battery C",
--R555&gt;80,""
),"")</f>
        <v/>
      </c>
      <c r="U555" s="51" t="str" cm="1">
        <f t="array" ref="U555">IFERROR(_xlfn.IFS(
S555="","",
--S555&lt;55,"Battery Defect",
--S555&lt;=69,"Battery D",
--S555&lt;=80,"Battery C",
--S555&gt;80,""
),"")</f>
        <v/>
      </c>
      <c r="V555" s="51"/>
      <c r="W555" s="51"/>
      <c r="X555" s="51"/>
      <c r="Y555" s="51"/>
      <c r="Z555" s="51"/>
      <c r="AA555" s="51"/>
      <c r="AB555" s="51"/>
      <c r="AC555" s="51"/>
      <c r="AD555" s="32" t="str">
        <f t="shared" si="24"/>
        <v/>
      </c>
      <c r="AE555" s="32"/>
      <c r="AF555" s="32"/>
      <c r="AG555" s="32"/>
      <c r="AH555" s="32"/>
      <c r="AI555" s="32"/>
      <c r="AJ555" s="32"/>
      <c r="AK555" s="32"/>
      <c r="AL555" s="32"/>
    </row>
    <row r="556" spans="1:38">
      <c r="A556" s="32" t="str">
        <f>_xlfn.TEXTJOIN("",TRUE,_xlfn.XLOOKUP(B556,Input!J:J,Input!G:G,"",0,1),_xlfn.XLOOKUP(B556,Input!J:J,Input!H:H,"",0,1))</f>
        <v/>
      </c>
      <c r="B556" s="32"/>
      <c r="C556" s="51">
        <f>_xlfn.XLOOKUP(B556,Input!J:J,Input!F:F)</f>
        <v>0</v>
      </c>
      <c r="D556" s="32">
        <f>_xlfn.XLOOKUP(C556,Models!H:H,Models!G:G,C556)</f>
        <v>0</v>
      </c>
      <c r="E556" s="32">
        <f>_xlfn.XLOOKUP(B556,Input!J:J,Input!E:E)</f>
        <v>0</v>
      </c>
      <c r="F556" s="32">
        <f>IF(E556="LENOVO",_xlfn.XLOOKUP(B556,Input!J:J,Input!K:K),_xlfn.XLOOKUP(B556,Input!J:J,Input!L:L))</f>
        <v>0</v>
      </c>
      <c r="G556" s="32"/>
      <c r="H556" s="32"/>
      <c r="I556" s="32"/>
      <c r="J556" s="51" t="e">
        <f>INDEX(Input!$D$2:$AC$500,
       MATCH(B556, Input!$J$2:$J$500, 0),
       MATCH("Total Memory", Input!$D$1:$AC$1, 0))</f>
        <v>#N/A</v>
      </c>
      <c r="K556" s="51"/>
      <c r="L556" s="51" t="str" cm="1">
        <f t="array" ref="L556">IFERROR(_xlfn.FILTERXML("&lt;t&gt;&lt;s&gt;" &amp; SUBSTITUTE(K556," / ","&lt;/s&gt;&lt;s&gt;") &amp; "&lt;/s&gt;&lt;/t&gt;","(//s[contains(.,'DDR')])[1]"),"")</f>
        <v/>
      </c>
      <c r="M556" s="32" t="e">
        <f t="shared" si="26"/>
        <v>#N/A</v>
      </c>
      <c r="N556" s="51" t="e">
        <f>INDEX(Input!$D$2:$AC$500,
       MATCH(B556, Input!$J$2:$J$500, 0),
       MATCH("Disk Interface Type", Input!$D$1:$AC$1, 0))</f>
        <v>#N/A</v>
      </c>
      <c r="O556" s="51" t="str" cm="1">
        <f t="array" ref="O556">IFERROR(_xlfn.TEXTJOIN(", ", TRUE, _xlfn._xlws.FILTER(
    INDEX(Input!$D$2:$AC$500,,MATCH("Disk Capacity",Input!$D$1:$AC$1,0)),
    Input!$J$2:$J$500=B556
)), "")</f>
        <v/>
      </c>
      <c r="P556" s="32" t="e">
        <f t="shared" si="25"/>
        <v>#N/A</v>
      </c>
      <c r="Q556" s="51" t="e">
        <f>_xlfn.LET(_xlpm.Result,INDEX(Input!$D$2:$AC$500,
       MATCH(B556, Input!$J$2:$J$500, 0),
       MATCH("Capacity", Input!$D$1:$AC$1, 0)),IF(_xlpm.Result="","",_xlpm.Result))</f>
        <v>#N/A</v>
      </c>
      <c r="R556" s="51"/>
      <c r="S556" s="51"/>
      <c r="T556" s="51" t="str" cm="1">
        <f t="array" ref="T556">IFERROR(_xlfn.IFS(
R556="","",
--R556&lt;55,"Battery Defect",
--R556&lt;=69,"Battery D",
--R556&lt;=80,"Battery C",
--R556&gt;80,""
),"")</f>
        <v/>
      </c>
      <c r="U556" s="51" t="str" cm="1">
        <f t="array" ref="U556">IFERROR(_xlfn.IFS(
S556="","",
--S556&lt;55,"Battery Defect",
--S556&lt;=69,"Battery D",
--S556&lt;=80,"Battery C",
--S556&gt;80,""
),"")</f>
        <v/>
      </c>
      <c r="V556" s="51"/>
      <c r="W556" s="51"/>
      <c r="X556" s="51"/>
      <c r="Y556" s="51"/>
      <c r="Z556" s="51"/>
      <c r="AA556" s="51"/>
      <c r="AB556" s="51"/>
      <c r="AC556" s="51"/>
      <c r="AD556" s="32" t="str">
        <f t="shared" si="24"/>
        <v/>
      </c>
      <c r="AE556" s="32"/>
      <c r="AF556" s="32"/>
      <c r="AG556" s="32"/>
      <c r="AH556" s="32"/>
      <c r="AI556" s="32"/>
      <c r="AJ556" s="32"/>
      <c r="AK556" s="32"/>
      <c r="AL556" s="32"/>
    </row>
    <row r="557" spans="1:38">
      <c r="A557" s="32" t="str">
        <f>_xlfn.TEXTJOIN("",TRUE,_xlfn.XLOOKUP(B557,Input!J:J,Input!G:G,"",0,1),_xlfn.XLOOKUP(B557,Input!J:J,Input!H:H,"",0,1))</f>
        <v/>
      </c>
      <c r="B557" s="32"/>
      <c r="C557" s="51">
        <f>_xlfn.XLOOKUP(B557,Input!J:J,Input!F:F)</f>
        <v>0</v>
      </c>
      <c r="D557" s="32"/>
      <c r="E557" s="32"/>
      <c r="F557" s="32"/>
      <c r="G557" s="32"/>
      <c r="H557" s="32"/>
      <c r="I557" s="32"/>
      <c r="J557" s="51"/>
      <c r="K557" s="51"/>
      <c r="L557" s="51" t="str" cm="1">
        <f t="array" ref="L557">IFERROR(_xlfn.FILTERXML("&lt;t&gt;&lt;s&gt;" &amp; SUBSTITUTE(K557," / ","&lt;/s&gt;&lt;s&gt;") &amp; "&lt;/s&gt;&lt;/t&gt;","(//s[contains(.,'DDR')])[1]"),"")</f>
        <v/>
      </c>
      <c r="M557" s="32" t="str">
        <f t="shared" si="26"/>
        <v/>
      </c>
      <c r="N557" s="51" t="e">
        <f>INDEX(Input!$D$2:$AC$500,
       MATCH(B557, Input!$J$2:$J$500, 0),
       MATCH("Disk Interface Type", Input!$D$1:$AC$1, 0))</f>
        <v>#N/A</v>
      </c>
      <c r="O557" s="51" t="str" cm="1">
        <f t="array" ref="O557">IFERROR(_xlfn.TEXTJOIN(", ", TRUE, _xlfn._xlws.FILTER(
    INDEX(Input!$D$2:$AC$500,,MATCH("Disk Capacity",Input!$D$1:$AC$1,0)),
    Input!$J$2:$J$500=B557
)), "")</f>
        <v/>
      </c>
      <c r="P557" s="32" t="e">
        <f t="shared" si="25"/>
        <v>#N/A</v>
      </c>
      <c r="Q557" s="51" t="e">
        <f>_xlfn.LET(_xlpm.Result,INDEX(Input!$D$2:$AC$500,
       MATCH(B557, Input!$J$2:$J$500, 0),
       MATCH("Capacity", Input!$D$1:$AC$1, 0)),IF(_xlpm.Result="","",_xlpm.Result))</f>
        <v>#N/A</v>
      </c>
      <c r="R557" s="51"/>
      <c r="S557" s="51"/>
      <c r="T557" s="51" t="str" cm="1">
        <f t="array" ref="T557">IFERROR(_xlfn.IFS(
R557="","",
--R557&lt;55,"Battery Defect",
--R557&lt;=69,"Battery D",
--R557&lt;=80,"Battery C",
--R557&gt;80,""
),"")</f>
        <v/>
      </c>
      <c r="U557" s="51" t="str" cm="1">
        <f t="array" ref="U557">IFERROR(_xlfn.IFS(
S557="","",
--S557&lt;55,"Battery Defect",
--S557&lt;=69,"Battery D",
--S557&lt;=80,"Battery C",
--S557&gt;80,""
),"")</f>
        <v/>
      </c>
      <c r="V557" s="51"/>
      <c r="W557" s="51"/>
      <c r="X557" s="51"/>
      <c r="Y557" s="51"/>
      <c r="Z557" s="51"/>
      <c r="AA557" s="51"/>
      <c r="AB557" s="51"/>
      <c r="AC557" s="51"/>
      <c r="AD557" s="32" t="str">
        <f t="shared" si="24"/>
        <v/>
      </c>
      <c r="AE557" s="32"/>
      <c r="AF557" s="32"/>
      <c r="AG557" s="32"/>
      <c r="AH557" s="32"/>
      <c r="AI557" s="32"/>
      <c r="AJ557" s="32"/>
      <c r="AK557" s="32"/>
      <c r="AL557" s="32"/>
    </row>
    <row r="558" spans="1:38">
      <c r="A558" s="32" t="str">
        <f>_xlfn.TEXTJOIN("",TRUE,_xlfn.XLOOKUP(B558,Input!J:J,Input!G:G,"",0,1),_xlfn.XLOOKUP(B558,Input!J:J,Input!H:H,"",0,1))</f>
        <v/>
      </c>
      <c r="B558" s="32"/>
      <c r="C558" s="51">
        <f>_xlfn.XLOOKUP(B558,Input!J:J,Input!F:F)</f>
        <v>0</v>
      </c>
      <c r="D558" s="32"/>
      <c r="E558" s="32"/>
      <c r="F558" s="32"/>
      <c r="G558" s="32"/>
      <c r="H558" s="32"/>
      <c r="I558" s="32"/>
      <c r="J558" s="51"/>
      <c r="K558" s="51"/>
      <c r="L558" s="51" t="str" cm="1">
        <f t="array" ref="L558">IFERROR(_xlfn.FILTERXML("&lt;t&gt;&lt;s&gt;" &amp; SUBSTITUTE(K558," / ","&lt;/s&gt;&lt;s&gt;") &amp; "&lt;/s&gt;&lt;/t&gt;","(//s[contains(.,'DDR')])[1]"),"")</f>
        <v/>
      </c>
      <c r="M558" s="32" t="str">
        <f t="shared" si="26"/>
        <v/>
      </c>
      <c r="N558" s="51" t="e">
        <f>INDEX(Input!$D$2:$AC$500,
       MATCH(B558, Input!$J$2:$J$500, 0),
       MATCH("Disk Interface Type", Input!$D$1:$AC$1, 0))</f>
        <v>#N/A</v>
      </c>
      <c r="O558" s="51" t="str" cm="1">
        <f t="array" ref="O558">IFERROR(_xlfn.TEXTJOIN(", ", TRUE, _xlfn._xlws.FILTER(
    INDEX(Input!$D$2:$AC$500,,MATCH("Disk Capacity",Input!$D$1:$AC$1,0)),
    Input!$J$2:$J$500=B558
)), "")</f>
        <v/>
      </c>
      <c r="P558" s="32" t="e">
        <f t="shared" si="25"/>
        <v>#N/A</v>
      </c>
      <c r="Q558" s="51" t="e">
        <f>_xlfn.LET(_xlpm.Result,INDEX(Input!$D$2:$AC$500,
       MATCH(B558, Input!$J$2:$J$500, 0),
       MATCH("Capacity", Input!$D$1:$AC$1, 0)),IF(_xlpm.Result="","",_xlpm.Result))</f>
        <v>#N/A</v>
      </c>
      <c r="R558" s="51"/>
      <c r="S558" s="51"/>
      <c r="T558" s="51" t="str" cm="1">
        <f t="array" ref="T558">IFERROR(_xlfn.IFS(
R558="","",
--R558&lt;55,"Battery Defect",
--R558&lt;=69,"Battery D",
--R558&lt;=80,"Battery C",
--R558&gt;80,""
),"")</f>
        <v/>
      </c>
      <c r="U558" s="51" t="str" cm="1">
        <f t="array" ref="U558">IFERROR(_xlfn.IFS(
S558="","",
--S558&lt;55,"Battery Defect",
--S558&lt;=69,"Battery D",
--S558&lt;=80,"Battery C",
--S558&gt;80,""
),"")</f>
        <v/>
      </c>
      <c r="V558" s="51"/>
      <c r="W558" s="51"/>
      <c r="X558" s="51"/>
      <c r="Y558" s="51"/>
      <c r="Z558" s="51"/>
      <c r="AA558" s="51"/>
      <c r="AB558" s="51"/>
      <c r="AC558" s="51"/>
      <c r="AD558" s="32" t="str">
        <f t="shared" si="24"/>
        <v/>
      </c>
      <c r="AE558" s="32"/>
      <c r="AF558" s="32"/>
      <c r="AG558" s="32"/>
      <c r="AH558" s="32"/>
      <c r="AI558" s="32"/>
      <c r="AJ558" s="32"/>
      <c r="AK558" s="32"/>
      <c r="AL558" s="32"/>
    </row>
    <row r="559" spans="1:38">
      <c r="A559" s="32" t="str">
        <f>_xlfn.TEXTJOIN("",TRUE,_xlfn.XLOOKUP(B559,Input!J:J,Input!G:G,"",0,1),_xlfn.XLOOKUP(B559,Input!J:J,Input!H:H,"",0,1))</f>
        <v/>
      </c>
      <c r="B559" s="32"/>
      <c r="C559" s="51"/>
      <c r="D559" s="32"/>
      <c r="E559" s="32"/>
      <c r="F559" s="32"/>
      <c r="G559" s="32"/>
      <c r="H559" s="32"/>
      <c r="I559" s="32"/>
      <c r="J559" s="51"/>
      <c r="K559" s="51"/>
      <c r="L559" s="51" t="str" cm="1">
        <f t="array" ref="L559">IFERROR(_xlfn.FILTERXML("&lt;t&gt;&lt;s&gt;" &amp; SUBSTITUTE(K559," / ","&lt;/s&gt;&lt;s&gt;") &amp; "&lt;/s&gt;&lt;/t&gt;","(//s[contains(.,'DDR')])[1]"),"")</f>
        <v/>
      </c>
      <c r="M559" s="32" t="str">
        <f t="shared" si="26"/>
        <v/>
      </c>
      <c r="N559" s="51" t="e">
        <f>INDEX(Input!$D$2:$AC$500,
       MATCH(B559, Input!$J$2:$J$500, 0),
       MATCH("Disk Interface Type", Input!$D$1:$AC$1, 0))</f>
        <v>#N/A</v>
      </c>
      <c r="O559" s="51" t="str" cm="1">
        <f t="array" ref="O559">IFERROR(_xlfn.TEXTJOIN(", ", TRUE, _xlfn._xlws.FILTER(
    INDEX(Input!$D$2:$AC$500,,MATCH("Disk Capacity",Input!$D$1:$AC$1,0)),
    Input!$J$2:$J$500=B559
)), "")</f>
        <v/>
      </c>
      <c r="P559" s="32" t="e">
        <f t="shared" si="25"/>
        <v>#N/A</v>
      </c>
      <c r="Q559" s="51" t="e">
        <f>_xlfn.LET(_xlpm.Result,INDEX(Input!$D$2:$AC$500,
       MATCH(B559, Input!$J$2:$J$500, 0),
       MATCH("Capacity", Input!$D$1:$AC$1, 0)),IF(_xlpm.Result="","",_xlpm.Result))</f>
        <v>#N/A</v>
      </c>
      <c r="R559" s="51"/>
      <c r="S559" s="51"/>
      <c r="T559" s="51" t="str" cm="1">
        <f t="array" ref="T559">IFERROR(_xlfn.IFS(
R559="","",
--R559&lt;55,"Battery Defect",
--R559&lt;=69,"Battery D",
--R559&lt;=80,"Battery C",
--R559&gt;80,""
),"")</f>
        <v/>
      </c>
      <c r="U559" s="51" t="str" cm="1">
        <f t="array" ref="U559">IFERROR(_xlfn.IFS(
S559="","",
--S559&lt;55,"Battery Defect",
--S559&lt;=69,"Battery D",
--S559&lt;=80,"Battery C",
--S559&gt;80,""
),"")</f>
        <v/>
      </c>
      <c r="V559" s="51"/>
      <c r="W559" s="51"/>
      <c r="X559" s="51"/>
      <c r="Y559" s="51"/>
      <c r="Z559" s="51"/>
      <c r="AA559" s="51"/>
      <c r="AB559" s="51"/>
      <c r="AC559" s="51"/>
      <c r="AD559" s="32" t="str">
        <f t="shared" si="24"/>
        <v/>
      </c>
      <c r="AE559" s="32"/>
      <c r="AF559" s="32"/>
      <c r="AG559" s="32"/>
      <c r="AH559" s="32"/>
      <c r="AI559" s="32"/>
      <c r="AJ559" s="32"/>
      <c r="AK559" s="32"/>
      <c r="AL559" s="32"/>
    </row>
    <row r="560" spans="1:38">
      <c r="A560" s="32" t="str">
        <f>_xlfn.TEXTJOIN("",TRUE,_xlfn.XLOOKUP(B560,Input!J:J,Input!G:G,"",0,1),_xlfn.XLOOKUP(B560,Input!J:J,Input!H:H,"",0,1))</f>
        <v/>
      </c>
      <c r="B560" s="32"/>
      <c r="C560" s="51"/>
      <c r="D560" s="32"/>
      <c r="E560" s="32"/>
      <c r="F560" s="32"/>
      <c r="G560" s="32"/>
      <c r="H560" s="32"/>
      <c r="I560" s="32"/>
      <c r="J560" s="51"/>
      <c r="K560" s="51"/>
      <c r="L560" s="51" t="str" cm="1">
        <f t="array" ref="L560">IFERROR(_xlfn.FILTERXML("&lt;t&gt;&lt;s&gt;" &amp; SUBSTITUTE(K560," / ","&lt;/s&gt;&lt;s&gt;") &amp; "&lt;/s&gt;&lt;/t&gt;","(//s[contains(.,'DDR')])[1]"),"")</f>
        <v/>
      </c>
      <c r="M560" s="32" t="str">
        <f t="shared" si="26"/>
        <v/>
      </c>
      <c r="N560" s="51" t="e">
        <f>INDEX(Input!$D$2:$AC$500,
       MATCH(B560, Input!$J$2:$J$500, 0),
       MATCH("Disk Interface Type", Input!$D$1:$AC$1, 0))</f>
        <v>#N/A</v>
      </c>
      <c r="O560" s="51" t="str" cm="1">
        <f t="array" ref="O560">IFERROR(_xlfn.TEXTJOIN(", ", TRUE, _xlfn._xlws.FILTER(
    INDEX(Input!$D$2:$AC$500,,MATCH("Disk Capacity",Input!$D$1:$AC$1,0)),
    Input!$J$2:$J$500=B560
)), "")</f>
        <v/>
      </c>
      <c r="P560" s="32" t="e">
        <f t="shared" si="25"/>
        <v>#N/A</v>
      </c>
      <c r="Q560" s="51" t="e">
        <f>_xlfn.LET(_xlpm.Result,INDEX(Input!$D$2:$AC$500,
       MATCH(B560, Input!$J$2:$J$500, 0),
       MATCH("Capacity", Input!$D$1:$AC$1, 0)),IF(_xlpm.Result="","",_xlpm.Result))</f>
        <v>#N/A</v>
      </c>
      <c r="R560" s="51"/>
      <c r="S560" s="51"/>
      <c r="T560" s="51" t="str" cm="1">
        <f t="array" ref="T560">IFERROR(_xlfn.IFS(
R560="","",
--R560&lt;55,"Battery Defect",
--R560&lt;=69,"Battery D",
--R560&lt;=80,"Battery C",
--R560&gt;80,""
),"")</f>
        <v/>
      </c>
      <c r="U560" s="51" t="str" cm="1">
        <f t="array" ref="U560">IFERROR(_xlfn.IFS(
S560="","",
--S560&lt;55,"Battery Defect",
--S560&lt;=69,"Battery D",
--S560&lt;=80,"Battery C",
--S560&gt;80,""
),"")</f>
        <v/>
      </c>
      <c r="V560" s="51"/>
      <c r="W560" s="51"/>
      <c r="X560" s="51"/>
      <c r="Y560" s="51"/>
      <c r="Z560" s="51"/>
      <c r="AA560" s="51"/>
      <c r="AB560" s="51"/>
      <c r="AC560" s="51"/>
      <c r="AD560" s="32" t="str">
        <f t="shared" si="24"/>
        <v/>
      </c>
      <c r="AE560" s="32"/>
      <c r="AF560" s="32"/>
      <c r="AG560" s="32"/>
      <c r="AH560" s="32"/>
      <c r="AI560" s="32"/>
      <c r="AJ560" s="32"/>
      <c r="AK560" s="32"/>
      <c r="AL560" s="32"/>
    </row>
    <row r="561" spans="1:38">
      <c r="A561" s="32" t="str">
        <f>_xlfn.TEXTJOIN("",TRUE,_xlfn.XLOOKUP(B561,Input!J:J,Input!G:G,"",0,1),_xlfn.XLOOKUP(B561,Input!J:J,Input!H:H,"",0,1))</f>
        <v/>
      </c>
      <c r="B561" s="32"/>
      <c r="C561" s="51"/>
      <c r="D561" s="32"/>
      <c r="E561" s="32"/>
      <c r="F561" s="32"/>
      <c r="G561" s="32"/>
      <c r="H561" s="32"/>
      <c r="I561" s="32"/>
      <c r="J561" s="51"/>
      <c r="K561" s="51"/>
      <c r="L561" s="51" t="str" cm="1">
        <f t="array" ref="L561">IFERROR(_xlfn.FILTERXML("&lt;t&gt;&lt;s&gt;" &amp; SUBSTITUTE(K561," / ","&lt;/s&gt;&lt;s&gt;") &amp; "&lt;/s&gt;&lt;/t&gt;","(//s[contains(.,'DDR')])[1]"),"")</f>
        <v/>
      </c>
      <c r="M561" s="32" t="str">
        <f t="shared" si="26"/>
        <v/>
      </c>
      <c r="N561" s="51" t="e">
        <f>INDEX(Input!$D$2:$AC$500,
       MATCH(B561, Input!$J$2:$J$500, 0),
       MATCH("Disk Interface Type", Input!$D$1:$AC$1, 0))</f>
        <v>#N/A</v>
      </c>
      <c r="O561" s="51" t="str" cm="1">
        <f t="array" ref="O561">IFERROR(_xlfn.TEXTJOIN(", ", TRUE, _xlfn._xlws.FILTER(
    INDEX(Input!$D$2:$AC$500,,MATCH("Disk Capacity",Input!$D$1:$AC$1,0)),
    Input!$J$2:$J$500=B561
)), "")</f>
        <v/>
      </c>
      <c r="P561" s="32" t="e">
        <f t="shared" si="25"/>
        <v>#N/A</v>
      </c>
      <c r="Q561" s="51" t="e">
        <f>_xlfn.LET(_xlpm.Result,INDEX(Input!$D$2:$AC$500,
       MATCH(B561, Input!$J$2:$J$500, 0),
       MATCH("Capacity", Input!$D$1:$AC$1, 0)),IF(_xlpm.Result="","",_xlpm.Result))</f>
        <v>#N/A</v>
      </c>
      <c r="R561" s="51"/>
      <c r="S561" s="51"/>
      <c r="T561" s="51" t="str" cm="1">
        <f t="array" ref="T561">IFERROR(_xlfn.IFS(
R561="","",
--R561&lt;55,"Battery Defect",
--R561&lt;=69,"Battery D",
--R561&lt;=80,"Battery C",
--R561&gt;80,""
),"")</f>
        <v/>
      </c>
      <c r="U561" s="51" t="str" cm="1">
        <f t="array" ref="U561">IFERROR(_xlfn.IFS(
S561="","",
--S561&lt;55,"Battery Defect",
--S561&lt;=69,"Battery D",
--S561&lt;=80,"Battery C",
--S561&gt;80,""
),"")</f>
        <v/>
      </c>
      <c r="V561" s="51"/>
      <c r="W561" s="51"/>
      <c r="X561" s="51"/>
      <c r="Y561" s="51"/>
      <c r="Z561" s="51"/>
      <c r="AA561" s="51"/>
      <c r="AB561" s="51"/>
      <c r="AC561" s="51"/>
      <c r="AD561" s="32" t="str">
        <f t="shared" si="24"/>
        <v/>
      </c>
      <c r="AE561" s="32"/>
      <c r="AF561" s="32"/>
      <c r="AG561" s="32"/>
      <c r="AH561" s="32"/>
      <c r="AI561" s="32"/>
      <c r="AJ561" s="32"/>
      <c r="AK561" s="32"/>
      <c r="AL561" s="32"/>
    </row>
    <row r="562" spans="1:38">
      <c r="A562" s="32" t="str">
        <f>_xlfn.TEXTJOIN("",TRUE,_xlfn.XLOOKUP(B562,Input!J:J,Input!G:G,"",0,1),_xlfn.XLOOKUP(B562,Input!J:J,Input!H:H,"",0,1))</f>
        <v/>
      </c>
      <c r="B562" s="32"/>
      <c r="C562" s="51"/>
      <c r="D562" s="32"/>
      <c r="E562" s="32"/>
      <c r="F562" s="32"/>
      <c r="G562" s="32"/>
      <c r="H562" s="32"/>
      <c r="I562" s="32"/>
      <c r="J562" s="51"/>
      <c r="K562" s="51"/>
      <c r="L562" s="51" t="str" cm="1">
        <f t="array" ref="L562">IFERROR(_xlfn.FILTERXML("&lt;t&gt;&lt;s&gt;" &amp; SUBSTITUTE(K562," / ","&lt;/s&gt;&lt;s&gt;") &amp; "&lt;/s&gt;&lt;/t&gt;","(//s[contains(.,'DDR')])[1]"),"")</f>
        <v/>
      </c>
      <c r="M562" s="32" t="str">
        <f t="shared" si="26"/>
        <v/>
      </c>
      <c r="N562" s="51" t="e">
        <f>INDEX(Input!$D$2:$AC$500,
       MATCH(B562, Input!$J$2:$J$500, 0),
       MATCH("Disk Interface Type", Input!$D$1:$AC$1, 0))</f>
        <v>#N/A</v>
      </c>
      <c r="O562" s="51" t="str" cm="1">
        <f t="array" ref="O562">IFERROR(_xlfn.TEXTJOIN(", ", TRUE, _xlfn._xlws.FILTER(
    INDEX(Input!$D$2:$AC$500,,MATCH("Disk Capacity",Input!$D$1:$AC$1,0)),
    Input!$J$2:$J$500=B562
)), "")</f>
        <v/>
      </c>
      <c r="P562" s="32" t="e">
        <f t="shared" si="25"/>
        <v>#N/A</v>
      </c>
      <c r="Q562" s="51" t="e">
        <f>_xlfn.LET(_xlpm.Result,INDEX(Input!$D$2:$AC$500,
       MATCH(B562, Input!$J$2:$J$500, 0),
       MATCH("Capacity", Input!$D$1:$AC$1, 0)),IF(_xlpm.Result="","",_xlpm.Result))</f>
        <v>#N/A</v>
      </c>
      <c r="R562" s="51"/>
      <c r="S562" s="51"/>
      <c r="T562" s="51" t="str" cm="1">
        <f t="array" ref="T562">IFERROR(_xlfn.IFS(
R562="","",
--R562&lt;55,"Battery Defect",
--R562&lt;=69,"Battery D",
--R562&lt;=80,"Battery C",
--R562&gt;80,""
),"")</f>
        <v/>
      </c>
      <c r="U562" s="51" t="str" cm="1">
        <f t="array" ref="U562">IFERROR(_xlfn.IFS(
S562="","",
--S562&lt;55,"Battery Defect",
--S562&lt;=69,"Battery D",
--S562&lt;=80,"Battery C",
--S562&gt;80,""
),"")</f>
        <v/>
      </c>
      <c r="V562" s="51"/>
      <c r="W562" s="51"/>
      <c r="X562" s="51"/>
      <c r="Y562" s="51"/>
      <c r="Z562" s="51"/>
      <c r="AA562" s="51"/>
      <c r="AB562" s="51"/>
      <c r="AC562" s="51"/>
      <c r="AD562" s="32" t="str">
        <f t="shared" si="24"/>
        <v/>
      </c>
      <c r="AE562" s="32"/>
      <c r="AF562" s="32"/>
      <c r="AG562" s="32"/>
      <c r="AH562" s="32"/>
      <c r="AI562" s="32"/>
      <c r="AJ562" s="32"/>
      <c r="AK562" s="32"/>
      <c r="AL562" s="32"/>
    </row>
    <row r="563" spans="1:38">
      <c r="A563" s="32" t="str">
        <f>_xlfn.TEXTJOIN("",TRUE,_xlfn.XLOOKUP(B563,Input!J:J,Input!G:G,"",0,1),_xlfn.XLOOKUP(B563,Input!J:J,Input!H:H,"",0,1))</f>
        <v/>
      </c>
      <c r="B563" s="32"/>
      <c r="C563" s="51"/>
      <c r="D563" s="32"/>
      <c r="E563" s="32"/>
      <c r="F563" s="32"/>
      <c r="G563" s="32"/>
      <c r="H563" s="32"/>
      <c r="I563" s="32"/>
      <c r="J563" s="51"/>
      <c r="K563" s="51"/>
      <c r="L563" s="51" t="str" cm="1">
        <f t="array" ref="L563">IFERROR(_xlfn.FILTERXML("&lt;t&gt;&lt;s&gt;" &amp; SUBSTITUTE(K563," / ","&lt;/s&gt;&lt;s&gt;") &amp; "&lt;/s&gt;&lt;/t&gt;","(//s[contains(.,'DDR')])[1]"),"")</f>
        <v/>
      </c>
      <c r="M563" s="32" t="str">
        <f t="shared" si="26"/>
        <v/>
      </c>
      <c r="N563" s="51" t="e">
        <f>INDEX(Input!$D$2:$AC$500,
       MATCH(B563, Input!$J$2:$J$500, 0),
       MATCH("Disk Interface Type", Input!$D$1:$AC$1, 0))</f>
        <v>#N/A</v>
      </c>
      <c r="O563" s="51" t="str" cm="1">
        <f t="array" ref="O563">IFERROR(_xlfn.TEXTJOIN(", ", TRUE, _xlfn._xlws.FILTER(
    INDEX(Input!$D$2:$AC$500,,MATCH("Disk Capacity",Input!$D$1:$AC$1,0)),
    Input!$J$2:$J$500=B563
)), "")</f>
        <v/>
      </c>
      <c r="P563" s="32" t="e">
        <f t="shared" si="25"/>
        <v>#N/A</v>
      </c>
      <c r="Q563" s="51" t="e">
        <f>_xlfn.LET(_xlpm.Result,INDEX(Input!$D$2:$AC$500,
       MATCH(B563, Input!$J$2:$J$500, 0),
       MATCH("Capacity", Input!$D$1:$AC$1, 0)),IF(_xlpm.Result="","",_xlpm.Result))</f>
        <v>#N/A</v>
      </c>
      <c r="R563" s="51"/>
      <c r="S563" s="51"/>
      <c r="T563" s="51" t="str" cm="1">
        <f t="array" ref="T563">IFERROR(_xlfn.IFS(
R563="","",
--R563&lt;55,"Battery Defect",
--R563&lt;=69,"Battery D",
--R563&lt;=80,"Battery C",
--R563&gt;80,""
),"")</f>
        <v/>
      </c>
      <c r="U563" s="51" t="str" cm="1">
        <f t="array" ref="U563">IFERROR(_xlfn.IFS(
S563="","",
--S563&lt;55,"Battery Defect",
--S563&lt;=69,"Battery D",
--S563&lt;=80,"Battery C",
--S563&gt;80,""
),"")</f>
        <v/>
      </c>
      <c r="V563" s="51"/>
      <c r="W563" s="51"/>
      <c r="X563" s="51"/>
      <c r="Y563" s="51"/>
      <c r="Z563" s="51"/>
      <c r="AA563" s="51"/>
      <c r="AB563" s="51"/>
      <c r="AC563" s="51"/>
      <c r="AD563" s="32" t="str">
        <f t="shared" si="24"/>
        <v/>
      </c>
      <c r="AE563" s="32"/>
      <c r="AF563" s="32"/>
      <c r="AG563" s="32"/>
      <c r="AH563" s="32"/>
      <c r="AI563" s="32"/>
      <c r="AJ563" s="32"/>
      <c r="AK563" s="32"/>
      <c r="AL563" s="32"/>
    </row>
    <row r="564" spans="1:38">
      <c r="A564" s="32" t="str">
        <f>_xlfn.TEXTJOIN("",TRUE,_xlfn.XLOOKUP(B564,Input!J:J,Input!G:G,"",0,1),_xlfn.XLOOKUP(B564,Input!J:J,Input!H:H,"",0,1))</f>
        <v/>
      </c>
      <c r="B564" s="32"/>
      <c r="C564" s="51"/>
      <c r="D564" s="32"/>
      <c r="E564" s="32"/>
      <c r="F564" s="32"/>
      <c r="G564" s="32"/>
      <c r="H564" s="32"/>
      <c r="I564" s="32"/>
      <c r="J564" s="51"/>
      <c r="K564" s="51"/>
      <c r="L564" s="51" t="str" cm="1">
        <f t="array" ref="L564">IFERROR(_xlfn.FILTERXML("&lt;t&gt;&lt;s&gt;" &amp; SUBSTITUTE(K564," / ","&lt;/s&gt;&lt;s&gt;") &amp; "&lt;/s&gt;&lt;/t&gt;","(//s[contains(.,'DDR')])[1]"),"")</f>
        <v/>
      </c>
      <c r="M564" s="32" t="str">
        <f t="shared" si="26"/>
        <v/>
      </c>
      <c r="N564" s="51" t="e">
        <f>INDEX(Input!$D$2:$AC$500,
       MATCH(B564, Input!$J$2:$J$500, 0),
       MATCH("Disk Interface Type", Input!$D$1:$AC$1, 0))</f>
        <v>#N/A</v>
      </c>
      <c r="O564" s="51" t="str" cm="1">
        <f t="array" ref="O564">IFERROR(_xlfn.TEXTJOIN(", ", TRUE, _xlfn._xlws.FILTER(
    INDEX(Input!$D$2:$AC$500,,MATCH("Disk Capacity",Input!$D$1:$AC$1,0)),
    Input!$J$2:$J$500=B564
)), "")</f>
        <v/>
      </c>
      <c r="P564" s="32" t="e">
        <f t="shared" si="25"/>
        <v>#N/A</v>
      </c>
      <c r="Q564" s="51" t="e">
        <f>_xlfn.LET(_xlpm.Result,INDEX(Input!$D$2:$AC$500,
       MATCH(B564, Input!$J$2:$J$500, 0),
       MATCH("Capacity", Input!$D$1:$AC$1, 0)),IF(_xlpm.Result="","",_xlpm.Result))</f>
        <v>#N/A</v>
      </c>
      <c r="R564" s="51"/>
      <c r="S564" s="51"/>
      <c r="T564" s="51" t="str" cm="1">
        <f t="array" ref="T564">IFERROR(_xlfn.IFS(
R564="","",
--R564&lt;55,"Battery Defect",
--R564&lt;=69,"Battery D",
--R564&lt;=80,"Battery C",
--R564&gt;80,""
),"")</f>
        <v/>
      </c>
      <c r="U564" s="51" t="str" cm="1">
        <f t="array" ref="U564">IFERROR(_xlfn.IFS(
S564="","",
--S564&lt;55,"Battery Defect",
--S564&lt;=69,"Battery D",
--S564&lt;=80,"Battery C",
--S564&gt;80,""
),"")</f>
        <v/>
      </c>
      <c r="V564" s="51"/>
      <c r="W564" s="51"/>
      <c r="X564" s="51"/>
      <c r="Y564" s="51"/>
      <c r="Z564" s="51"/>
      <c r="AA564" s="51"/>
      <c r="AB564" s="51"/>
      <c r="AC564" s="51"/>
      <c r="AD564" s="32" t="str">
        <f t="shared" si="24"/>
        <v/>
      </c>
      <c r="AE564" s="32"/>
      <c r="AF564" s="32"/>
      <c r="AG564" s="32"/>
      <c r="AH564" s="32"/>
      <c r="AI564" s="32"/>
      <c r="AJ564" s="32"/>
      <c r="AK564" s="32"/>
      <c r="AL564" s="32"/>
    </row>
    <row r="565" spans="1:38">
      <c r="A565" s="32" t="str">
        <f>_xlfn.TEXTJOIN("",TRUE,_xlfn.XLOOKUP(B565,Input!J:J,Input!G:G,"",0,1),_xlfn.XLOOKUP(B565,Input!J:J,Input!H:H,"",0,1))</f>
        <v/>
      </c>
      <c r="B565" s="32"/>
      <c r="C565" s="51"/>
      <c r="D565" s="32"/>
      <c r="E565" s="32"/>
      <c r="F565" s="32"/>
      <c r="G565" s="32"/>
      <c r="H565" s="32"/>
      <c r="I565" s="32"/>
      <c r="J565" s="51"/>
      <c r="K565" s="51"/>
      <c r="L565" s="51" t="str" cm="1">
        <f t="array" ref="L565">IFERROR(_xlfn.FILTERXML("&lt;t&gt;&lt;s&gt;" &amp; SUBSTITUTE(K565," / ","&lt;/s&gt;&lt;s&gt;") &amp; "&lt;/s&gt;&lt;/t&gt;","(//s[contains(.,'DDR')])[1]"),"")</f>
        <v/>
      </c>
      <c r="M565" s="32" t="str">
        <f t="shared" si="26"/>
        <v/>
      </c>
      <c r="N565" s="51" t="e">
        <f>INDEX(Input!$D$2:$AC$500,
       MATCH(B565, Input!$J$2:$J$500, 0),
       MATCH("Disk Interface Type", Input!$D$1:$AC$1, 0))</f>
        <v>#N/A</v>
      </c>
      <c r="O565" s="51" t="str" cm="1">
        <f t="array" ref="O565">IFERROR(_xlfn.TEXTJOIN(", ", TRUE, _xlfn._xlws.FILTER(
    INDEX(Input!$D$2:$AC$500,,MATCH("Disk Capacity",Input!$D$1:$AC$1,0)),
    Input!$J$2:$J$500=B565
)), "")</f>
        <v/>
      </c>
      <c r="P565" s="32" t="e">
        <f t="shared" si="25"/>
        <v>#N/A</v>
      </c>
      <c r="Q565" s="51"/>
      <c r="R565" s="51"/>
      <c r="S565" s="51"/>
      <c r="T565" s="51" t="str" cm="1">
        <f t="array" ref="T565">IFERROR(_xlfn.IFS(
R565="","",
--R565&lt;55,"Battery Defect",
--R565&lt;=69,"Battery D",
--R565&lt;=80,"Battery C",
--R565&gt;80,""
),"")</f>
        <v/>
      </c>
      <c r="U565" s="51" t="str" cm="1">
        <f t="array" ref="U565">IFERROR(_xlfn.IFS(
S565="","",
--S565&lt;55,"Battery Defect",
--S565&lt;=69,"Battery D",
--S565&lt;=80,"Battery C",
--S565&gt;80,""
),"")</f>
        <v/>
      </c>
      <c r="V565" s="51"/>
      <c r="W565" s="51"/>
      <c r="X565" s="51"/>
      <c r="Y565" s="51"/>
      <c r="Z565" s="51"/>
      <c r="AA565" s="51"/>
      <c r="AB565" s="51"/>
      <c r="AC565" s="51"/>
      <c r="AD565" s="32" t="str">
        <f t="shared" si="24"/>
        <v/>
      </c>
      <c r="AE565" s="32"/>
      <c r="AF565" s="32"/>
      <c r="AG565" s="32"/>
      <c r="AH565" s="32"/>
      <c r="AI565" s="32"/>
      <c r="AJ565" s="32"/>
      <c r="AK565" s="32"/>
      <c r="AL565" s="32"/>
    </row>
    <row r="566" spans="1:38">
      <c r="A566" s="32" t="str">
        <f>_xlfn.TEXTJOIN("",TRUE,_xlfn.XLOOKUP(B566,Input!J:J,Input!G:G,"",0,1),_xlfn.XLOOKUP(B566,Input!J:J,Input!H:H,"",0,1))</f>
        <v/>
      </c>
      <c r="B566" s="32"/>
      <c r="C566" s="51"/>
      <c r="D566" s="32"/>
      <c r="E566" s="32"/>
      <c r="F566" s="32"/>
      <c r="G566" s="32"/>
      <c r="H566" s="32"/>
      <c r="I566" s="32"/>
      <c r="J566" s="51"/>
      <c r="K566" s="51"/>
      <c r="L566" s="51" t="str" cm="1">
        <f t="array" ref="L566">IFERROR(_xlfn.FILTERXML("&lt;t&gt;&lt;s&gt;" &amp; SUBSTITUTE(K566," / ","&lt;/s&gt;&lt;s&gt;") &amp; "&lt;/s&gt;&lt;/t&gt;","(//s[contains(.,'DDR')])[1]"),"")</f>
        <v/>
      </c>
      <c r="M566" s="32" t="str">
        <f t="shared" si="26"/>
        <v/>
      </c>
      <c r="N566" s="51" t="e">
        <f>INDEX(Input!$D$2:$AC$500,
       MATCH(B566, Input!$J$2:$J$500, 0),
       MATCH("Disk Interface Type", Input!$D$1:$AC$1, 0))</f>
        <v>#N/A</v>
      </c>
      <c r="O566" s="51" t="str" cm="1">
        <f t="array" ref="O566">IFERROR(_xlfn.TEXTJOIN(", ", TRUE, _xlfn._xlws.FILTER(
    INDEX(Input!$D$2:$AC$500,,MATCH("Disk Capacity",Input!$D$1:$AC$1,0)),
    Input!$J$2:$J$500=B566
)), "")</f>
        <v/>
      </c>
      <c r="P566" s="32" t="e">
        <f t="shared" si="25"/>
        <v>#N/A</v>
      </c>
      <c r="Q566" s="51"/>
      <c r="R566" s="51"/>
      <c r="S566" s="51"/>
      <c r="T566" s="51" t="str" cm="1">
        <f t="array" ref="T566">IFERROR(_xlfn.IFS(
R566="","",
--R566&lt;55,"Battery Defect",
--R566&lt;=69,"Battery D",
--R566&lt;=80,"Battery C",
--R566&gt;80,""
),"")</f>
        <v/>
      </c>
      <c r="U566" s="51" t="str" cm="1">
        <f t="array" ref="U566">IFERROR(_xlfn.IFS(
S566="","",
--S566&lt;55,"Battery Defect",
--S566&lt;=69,"Battery D",
--S566&lt;=80,"Battery C",
--S566&gt;80,""
),"")</f>
        <v/>
      </c>
      <c r="V566" s="51"/>
      <c r="W566" s="51"/>
      <c r="X566" s="51"/>
      <c r="Y566" s="51"/>
      <c r="Z566" s="51"/>
      <c r="AA566" s="51"/>
      <c r="AB566" s="51"/>
      <c r="AC566" s="51"/>
      <c r="AD566" s="32" t="str">
        <f t="shared" si="24"/>
        <v/>
      </c>
      <c r="AE566" s="32"/>
      <c r="AF566" s="32"/>
      <c r="AG566" s="32"/>
      <c r="AH566" s="32"/>
      <c r="AI566" s="32"/>
      <c r="AJ566" s="32"/>
      <c r="AK566" s="32"/>
      <c r="AL566" s="32"/>
    </row>
    <row r="567" spans="1:38">
      <c r="A567" s="32" t="str">
        <f>_xlfn.TEXTJOIN("",TRUE,_xlfn.XLOOKUP(B567,Input!J:J,Input!G:G,"",0,1),_xlfn.XLOOKUP(B567,Input!J:J,Input!H:H,"",0,1))</f>
        <v/>
      </c>
      <c r="B567" s="32"/>
      <c r="C567" s="51"/>
      <c r="D567" s="32"/>
      <c r="E567" s="32"/>
      <c r="F567" s="32"/>
      <c r="G567" s="32"/>
      <c r="H567" s="32"/>
      <c r="I567" s="32"/>
      <c r="J567" s="51"/>
      <c r="K567" s="51"/>
      <c r="L567" s="51" t="str" cm="1">
        <f t="array" ref="L567">IFERROR(_xlfn.FILTERXML("&lt;t&gt;&lt;s&gt;" &amp; SUBSTITUTE(K567," / ","&lt;/s&gt;&lt;s&gt;") &amp; "&lt;/s&gt;&lt;/t&gt;","(//s[contains(.,'DDR')])[1]"),"")</f>
        <v/>
      </c>
      <c r="M567" s="32" t="str">
        <f t="shared" si="26"/>
        <v/>
      </c>
      <c r="N567" s="51" t="e">
        <f>INDEX(Input!$D$2:$AC$500,
       MATCH(B567, Input!$J$2:$J$500, 0),
       MATCH("Disk Interface Type", Input!$D$1:$AC$1, 0))</f>
        <v>#N/A</v>
      </c>
      <c r="O567" s="51"/>
      <c r="P567" s="32" t="e">
        <f t="shared" si="25"/>
        <v>#N/A</v>
      </c>
      <c r="Q567" s="51"/>
      <c r="R567" s="51"/>
      <c r="S567" s="51"/>
      <c r="T567" s="51" t="str" cm="1">
        <f t="array" ref="T567">IFERROR(_xlfn.IFS(
R567="","",
--R567&lt;55,"Battery Defect",
--R567&lt;=69,"Battery D",
--R567&lt;=80,"Battery C",
--R567&gt;80,""
),"")</f>
        <v/>
      </c>
      <c r="U567" s="51" t="str" cm="1">
        <f t="array" ref="U567">IFERROR(_xlfn.IFS(
S567="","",
--S567&lt;55,"Battery Defect",
--S567&lt;=69,"Battery D",
--S567&lt;=80,"Battery C",
--S567&gt;80,""
),"")</f>
        <v/>
      </c>
      <c r="V567" s="51"/>
      <c r="W567" s="51"/>
      <c r="X567" s="51"/>
      <c r="Y567" s="51"/>
      <c r="Z567" s="51"/>
      <c r="AA567" s="51"/>
      <c r="AB567" s="51"/>
      <c r="AC567" s="51"/>
      <c r="AD567" s="32" t="str">
        <f t="shared" si="24"/>
        <v/>
      </c>
      <c r="AE567" s="32"/>
      <c r="AF567" s="32"/>
      <c r="AG567" s="32"/>
      <c r="AH567" s="32"/>
      <c r="AI567" s="32"/>
      <c r="AJ567" s="32"/>
      <c r="AK567" s="32"/>
      <c r="AL567" s="32"/>
    </row>
    <row r="568" spans="1:38">
      <c r="A568" s="32" t="str">
        <f>_xlfn.TEXTJOIN("",TRUE,_xlfn.XLOOKUP(B568,Input!J:J,Input!G:G,"",0,1),_xlfn.XLOOKUP(B568,Input!J:J,Input!H:H,"",0,1))</f>
        <v/>
      </c>
      <c r="B568" s="32"/>
      <c r="C568" s="51"/>
      <c r="D568" s="32"/>
      <c r="E568" s="32"/>
      <c r="F568" s="32"/>
      <c r="G568" s="32"/>
      <c r="H568" s="32"/>
      <c r="I568" s="32"/>
      <c r="J568" s="51"/>
      <c r="K568" s="51"/>
      <c r="L568" s="51" t="str" cm="1">
        <f t="array" ref="L568">IFERROR(_xlfn.FILTERXML("&lt;t&gt;&lt;s&gt;" &amp; SUBSTITUTE(K568," / ","&lt;/s&gt;&lt;s&gt;") &amp; "&lt;/s&gt;&lt;/t&gt;","(//s[contains(.,'DDR')])[1]"),"")</f>
        <v/>
      </c>
      <c r="M568" s="32" t="str">
        <f t="shared" si="26"/>
        <v/>
      </c>
      <c r="N568" s="51" t="e">
        <f>INDEX(Input!$D$2:$AC$500,
       MATCH(B568, Input!$J$2:$J$500, 0),
       MATCH("Disk Interface Type", Input!$D$1:$AC$1, 0))</f>
        <v>#N/A</v>
      </c>
      <c r="O568" s="51"/>
      <c r="P568" s="32" t="e">
        <f t="shared" si="25"/>
        <v>#N/A</v>
      </c>
      <c r="Q568" s="51"/>
      <c r="R568" s="51"/>
      <c r="S568" s="51"/>
      <c r="T568" s="51" t="str" cm="1">
        <f t="array" ref="T568">IFERROR(_xlfn.IFS(
R568="","",
--R568&lt;55,"Battery Defect",
--R568&lt;=69,"Battery D",
--R568&lt;=80,"Battery C",
--R568&gt;80,""
),"")</f>
        <v/>
      </c>
      <c r="U568" s="51" t="str" cm="1">
        <f t="array" ref="U568">IFERROR(_xlfn.IFS(
S568="","",
--S568&lt;55,"Battery Defect",
--S568&lt;=69,"Battery D",
--S568&lt;=80,"Battery C",
--S568&gt;80,""
),"")</f>
        <v/>
      </c>
      <c r="V568" s="51"/>
      <c r="W568" s="51"/>
      <c r="X568" s="51"/>
      <c r="Y568" s="51"/>
      <c r="Z568" s="51"/>
      <c r="AA568" s="51"/>
      <c r="AB568" s="51"/>
      <c r="AC568" s="51"/>
      <c r="AD568" s="32" t="str">
        <f t="shared" si="24"/>
        <v/>
      </c>
      <c r="AE568" s="32"/>
      <c r="AF568" s="32"/>
      <c r="AG568" s="32"/>
      <c r="AH568" s="32"/>
      <c r="AI568" s="32"/>
      <c r="AJ568" s="32"/>
      <c r="AK568" s="32"/>
      <c r="AL568" s="32"/>
    </row>
    <row r="569" spans="1:38">
      <c r="A569" s="32" t="str">
        <f>_xlfn.TEXTJOIN("",TRUE,_xlfn.XLOOKUP(B569,Input!J:J,Input!G:G,"",0,1),_xlfn.XLOOKUP(B569,Input!J:J,Input!H:H,"",0,1))</f>
        <v/>
      </c>
      <c r="B569" s="32"/>
      <c r="C569" s="51"/>
      <c r="D569" s="32"/>
      <c r="E569" s="32"/>
      <c r="F569" s="32"/>
      <c r="G569" s="32"/>
      <c r="H569" s="32"/>
      <c r="I569" s="32"/>
      <c r="J569" s="51"/>
      <c r="K569" s="51"/>
      <c r="L569" s="51"/>
      <c r="M569" s="32" t="str">
        <f t="shared" si="26"/>
        <v/>
      </c>
      <c r="N569" s="51" t="e">
        <f>INDEX(Input!$D$2:$AC$500,
       MATCH(B569, Input!$J$2:$J$500, 0),
       MATCH("Disk Interface Type", Input!$D$1:$AC$1, 0))</f>
        <v>#N/A</v>
      </c>
      <c r="O569" s="51"/>
      <c r="P569" s="32" t="e">
        <f t="shared" si="25"/>
        <v>#N/A</v>
      </c>
      <c r="Q569" s="51"/>
      <c r="R569" s="51"/>
      <c r="S569" s="51"/>
      <c r="T569" s="51" t="str" cm="1">
        <f t="array" ref="T569">IFERROR(_xlfn.IFS(
R569="","",
--R569&lt;55,"Battery Defect",
--R569&lt;=69,"Battery D",
--R569&lt;=80,"Battery C",
--R569&gt;80,""
),"")</f>
        <v/>
      </c>
      <c r="U569" s="51" t="str" cm="1">
        <f t="array" ref="U569">IFERROR(_xlfn.IFS(
S569="","",
--S569&lt;55,"Battery Defect",
--S569&lt;=69,"Battery D",
--S569&lt;=80,"Battery C",
--S569&gt;80,""
),"")</f>
        <v/>
      </c>
      <c r="V569" s="51"/>
      <c r="W569" s="51"/>
      <c r="X569" s="51"/>
      <c r="Y569" s="51"/>
      <c r="Z569" s="51"/>
      <c r="AA569" s="51"/>
      <c r="AB569" s="51"/>
      <c r="AC569" s="51"/>
      <c r="AD569" s="32" t="str">
        <f t="shared" si="24"/>
        <v/>
      </c>
      <c r="AE569" s="32"/>
      <c r="AF569" s="32"/>
      <c r="AG569" s="32"/>
      <c r="AH569" s="32"/>
      <c r="AI569" s="32"/>
      <c r="AJ569" s="32"/>
      <c r="AK569" s="32"/>
      <c r="AL569" s="32"/>
    </row>
    <row r="570" spans="1:38">
      <c r="A570" s="32" t="str">
        <f>_xlfn.TEXTJOIN("",TRUE,_xlfn.XLOOKUP(B570,Input!J:J,Input!G:G,"",0,1),_xlfn.XLOOKUP(B570,Input!J:J,Input!H:H,"",0,1))</f>
        <v/>
      </c>
      <c r="B570" s="32"/>
      <c r="C570" s="51"/>
      <c r="D570" s="32"/>
      <c r="E570" s="32"/>
      <c r="F570" s="32"/>
      <c r="G570" s="32"/>
      <c r="H570" s="32"/>
      <c r="I570" s="32"/>
      <c r="J570" s="51"/>
      <c r="K570" s="51"/>
      <c r="L570" s="51"/>
      <c r="M570" s="32" t="str">
        <f t="shared" si="26"/>
        <v/>
      </c>
      <c r="N570" s="51" t="e">
        <f>INDEX(Input!$D$2:$AC$500,
       MATCH(B570, Input!$J$2:$J$500, 0),
       MATCH("Disk Interface Type", Input!$D$1:$AC$1, 0))</f>
        <v>#N/A</v>
      </c>
      <c r="O570" s="51"/>
      <c r="P570" s="32"/>
      <c r="Q570" s="51"/>
      <c r="R570" s="51"/>
      <c r="S570" s="51"/>
      <c r="T570" s="51" t="str" cm="1">
        <f t="array" ref="T570">IFERROR(_xlfn.IFS(
R570="","",
--R570&lt;55,"Battery Defect",
--R570&lt;=69,"Battery D",
--R570&lt;=80,"Battery C",
--R570&gt;80,""
),"")</f>
        <v/>
      </c>
      <c r="U570" s="51" t="str" cm="1">
        <f t="array" ref="U570">IFERROR(_xlfn.IFS(
S570="","",
--S570&lt;55,"Battery Defect",
--S570&lt;=69,"Battery D",
--S570&lt;=80,"Battery C",
--S570&gt;80,""
),"")</f>
        <v/>
      </c>
      <c r="V570" s="51"/>
      <c r="W570" s="51"/>
      <c r="X570" s="51"/>
      <c r="Y570" s="51"/>
      <c r="Z570" s="51"/>
      <c r="AA570" s="51"/>
      <c r="AB570" s="51"/>
      <c r="AC570" s="51"/>
      <c r="AD570" s="32" t="str">
        <f t="shared" si="24"/>
        <v/>
      </c>
      <c r="AE570" s="32"/>
      <c r="AF570" s="32"/>
      <c r="AG570" s="32"/>
      <c r="AH570" s="32"/>
      <c r="AI570" s="32"/>
      <c r="AJ570" s="32"/>
      <c r="AK570" s="32"/>
      <c r="AL570" s="32"/>
    </row>
    <row r="571" spans="1:38">
      <c r="A571" s="32" t="str">
        <f>_xlfn.TEXTJOIN("",TRUE,_xlfn.XLOOKUP(B571,Input!J:J,Input!G:G,"",0,1),_xlfn.XLOOKUP(B571,Input!J:J,Input!H:H,"",0,1))</f>
        <v/>
      </c>
      <c r="B571" s="32"/>
      <c r="C571" s="51"/>
      <c r="D571" s="32"/>
      <c r="E571" s="32"/>
      <c r="F571" s="32"/>
      <c r="G571" s="32"/>
      <c r="H571" s="32"/>
      <c r="I571" s="32"/>
      <c r="J571" s="51"/>
      <c r="K571" s="51"/>
      <c r="L571" s="51"/>
      <c r="M571" s="32" t="str">
        <f t="shared" si="26"/>
        <v/>
      </c>
      <c r="N571" s="51" t="e">
        <f>INDEX(Input!$D$2:$AC$500,
       MATCH(B571, Input!$J$2:$J$500, 0),
       MATCH("Disk Interface Type", Input!$D$1:$AC$1, 0))</f>
        <v>#N/A</v>
      </c>
      <c r="O571" s="51"/>
      <c r="P571" s="32"/>
      <c r="Q571" s="51"/>
      <c r="R571" s="51"/>
      <c r="S571" s="51"/>
      <c r="T571" s="51" t="str" cm="1">
        <f t="array" ref="T571">IFERROR(_xlfn.IFS(
R571="","",
--R571&lt;55,"Battery Defect",
--R571&lt;=69,"Battery D",
--R571&lt;=80,"Battery C",
--R571&gt;80,""
),"")</f>
        <v/>
      </c>
      <c r="U571" s="51" t="str" cm="1">
        <f t="array" ref="U571">IFERROR(_xlfn.IFS(
S571="","",
--S571&lt;55,"Battery Defect",
--S571&lt;=69,"Battery D",
--S571&lt;=80,"Battery C",
--S571&gt;80,""
),"")</f>
        <v/>
      </c>
      <c r="V571" s="51"/>
      <c r="W571" s="51"/>
      <c r="X571" s="51"/>
      <c r="Y571" s="51"/>
      <c r="Z571" s="51"/>
      <c r="AA571" s="51"/>
      <c r="AB571" s="51"/>
      <c r="AC571" s="51"/>
      <c r="AD571" s="32" t="str">
        <f t="shared" si="24"/>
        <v/>
      </c>
      <c r="AE571" s="32"/>
      <c r="AF571" s="32"/>
      <c r="AG571" s="32"/>
      <c r="AH571" s="32"/>
      <c r="AI571" s="32"/>
      <c r="AJ571" s="32"/>
      <c r="AK571" s="32"/>
      <c r="AL571" s="32"/>
    </row>
    <row r="572" spans="1:38">
      <c r="A572" s="32" t="str">
        <f>_xlfn.TEXTJOIN("",TRUE,_xlfn.XLOOKUP(B572,Input!J:J,Input!G:G,"",0,1),_xlfn.XLOOKUP(B572,Input!J:J,Input!H:H,"",0,1))</f>
        <v/>
      </c>
      <c r="B572" s="32"/>
      <c r="C572" s="51"/>
      <c r="D572" s="32"/>
      <c r="E572" s="32"/>
      <c r="F572" s="32"/>
      <c r="G572" s="32"/>
      <c r="H572" s="32"/>
      <c r="I572" s="32"/>
      <c r="J572" s="51"/>
      <c r="K572" s="51"/>
      <c r="L572" s="51"/>
      <c r="M572" s="32" t="str">
        <f t="shared" si="26"/>
        <v/>
      </c>
      <c r="N572" s="51" t="e">
        <f>INDEX(Input!$D$2:$AC$500,
       MATCH(B572, Input!$J$2:$J$500, 0),
       MATCH("Disk Interface Type", Input!$D$1:$AC$1, 0))</f>
        <v>#N/A</v>
      </c>
      <c r="O572" s="51"/>
      <c r="P572" s="32"/>
      <c r="Q572" s="51"/>
      <c r="R572" s="51"/>
      <c r="S572" s="51"/>
      <c r="T572" s="51" t="str" cm="1">
        <f t="array" ref="T572">IFERROR(_xlfn.IFS(
R572="","",
--R572&lt;55,"Battery Defect",
--R572&lt;=69,"Battery D",
--R572&lt;=80,"Battery C",
--R572&gt;80,""
),"")</f>
        <v/>
      </c>
      <c r="U572" s="51" t="str" cm="1">
        <f t="array" ref="U572">IFERROR(_xlfn.IFS(
S572="","",
--S572&lt;55,"Battery Defect",
--S572&lt;=69,"Battery D",
--S572&lt;=80,"Battery C",
--S572&gt;80,""
),"")</f>
        <v/>
      </c>
      <c r="V572" s="51"/>
      <c r="W572" s="51"/>
      <c r="X572" s="51"/>
      <c r="Y572" s="51"/>
      <c r="Z572" s="51"/>
      <c r="AA572" s="51"/>
      <c r="AB572" s="51"/>
      <c r="AC572" s="51"/>
      <c r="AD572" s="32" t="str">
        <f t="shared" si="24"/>
        <v/>
      </c>
      <c r="AE572" s="32"/>
      <c r="AF572" s="32"/>
      <c r="AG572" s="32"/>
      <c r="AH572" s="32"/>
      <c r="AI572" s="32"/>
      <c r="AJ572" s="32"/>
      <c r="AK572" s="32"/>
      <c r="AL572" s="32"/>
    </row>
    <row r="573" spans="1:38">
      <c r="A573" s="32" t="str">
        <f>_xlfn.TEXTJOIN("",TRUE,_xlfn.XLOOKUP(B573,Input!J:J,Input!G:G,"",0,1),_xlfn.XLOOKUP(B573,Input!J:J,Input!H:H,"",0,1))</f>
        <v/>
      </c>
      <c r="B573" s="32"/>
      <c r="C573" s="51"/>
      <c r="D573" s="32"/>
      <c r="E573" s="32"/>
      <c r="F573" s="32"/>
      <c r="G573" s="32"/>
      <c r="H573" s="32"/>
      <c r="I573" s="32"/>
      <c r="J573" s="51"/>
      <c r="K573" s="51"/>
      <c r="L573" s="51"/>
      <c r="M573" s="32" t="str">
        <f t="shared" si="26"/>
        <v/>
      </c>
      <c r="N573" s="51"/>
      <c r="O573" s="51"/>
      <c r="P573" s="32"/>
      <c r="Q573" s="51"/>
      <c r="R573" s="51"/>
      <c r="S573" s="51"/>
      <c r="T573" s="51" t="str" cm="1">
        <f t="array" ref="T573">IFERROR(_xlfn.IFS(
R573="","",
--R573&lt;55,"Battery Defect",
--R573&lt;=69,"Battery D",
--R573&lt;=80,"Battery C",
--R573&gt;80,""
),"")</f>
        <v/>
      </c>
      <c r="U573" s="51" t="str" cm="1">
        <f t="array" ref="U573">IFERROR(_xlfn.IFS(
S573="","",
--S573&lt;55,"Battery Defect",
--S573&lt;=69,"Battery D",
--S573&lt;=80,"Battery C",
--S573&gt;80,""
),"")</f>
        <v/>
      </c>
      <c r="V573" s="51"/>
      <c r="W573" s="51"/>
      <c r="X573" s="51"/>
      <c r="Y573" s="51"/>
      <c r="Z573" s="51"/>
      <c r="AA573" s="51"/>
      <c r="AB573" s="51"/>
      <c r="AC573" s="51"/>
      <c r="AD573" s="32" t="str">
        <f t="shared" si="24"/>
        <v/>
      </c>
      <c r="AE573" s="32"/>
      <c r="AF573" s="32"/>
      <c r="AG573" s="32"/>
      <c r="AH573" s="32"/>
      <c r="AI573" s="32"/>
      <c r="AJ573" s="32"/>
      <c r="AK573" s="32"/>
      <c r="AL573" s="32"/>
    </row>
    <row r="574" spans="1:38">
      <c r="A574" s="32" t="str">
        <f>_xlfn.TEXTJOIN("",TRUE,_xlfn.XLOOKUP(B574,Input!J:J,Input!G:G,"",0,1),_xlfn.XLOOKUP(B574,Input!J:J,Input!H:H,"",0,1))</f>
        <v/>
      </c>
      <c r="B574" s="32"/>
      <c r="C574" s="51"/>
      <c r="D574" s="32"/>
      <c r="E574" s="32"/>
      <c r="F574" s="32"/>
      <c r="G574" s="32"/>
      <c r="H574" s="32"/>
      <c r="I574" s="32"/>
      <c r="J574" s="51"/>
      <c r="K574" s="51"/>
      <c r="L574" s="51"/>
      <c r="M574" s="32" t="str">
        <f t="shared" si="26"/>
        <v/>
      </c>
      <c r="N574" s="51"/>
      <c r="O574" s="51"/>
      <c r="P574" s="32"/>
      <c r="Q574" s="51"/>
      <c r="R574" s="51"/>
      <c r="S574" s="51"/>
      <c r="T574" s="51" t="str" cm="1">
        <f t="array" ref="T574">IFERROR(_xlfn.IFS(
R574="","",
--R574&lt;55,"Battery Defect",
--R574&lt;=69,"Battery D",
--R574&lt;=80,"Battery C",
--R574&gt;80,""
),"")</f>
        <v/>
      </c>
      <c r="U574" s="51" t="str" cm="1">
        <f t="array" ref="U574">IFERROR(_xlfn.IFS(
S574="","",
--S574&lt;55,"Battery Defect",
--S574&lt;=69,"Battery D",
--S574&lt;=80,"Battery C",
--S574&gt;80,""
),"")</f>
        <v/>
      </c>
      <c r="V574" s="51"/>
      <c r="W574" s="51"/>
      <c r="X574" s="51"/>
      <c r="Y574" s="51"/>
      <c r="Z574" s="51"/>
      <c r="AA574" s="51"/>
      <c r="AB574" s="51"/>
      <c r="AC574" s="51"/>
      <c r="AD574" s="32" t="str">
        <f t="shared" si="24"/>
        <v/>
      </c>
      <c r="AE574" s="32"/>
      <c r="AF574" s="32"/>
      <c r="AG574" s="32"/>
      <c r="AH574" s="32"/>
      <c r="AI574" s="32"/>
      <c r="AJ574" s="32"/>
      <c r="AK574" s="32"/>
      <c r="AL574" s="32"/>
    </row>
    <row r="575" spans="1:38">
      <c r="A575" s="32" t="str">
        <f>_xlfn.TEXTJOIN("",TRUE,_xlfn.XLOOKUP(B575,Input!J:J,Input!G:G,"",0,1),_xlfn.XLOOKUP(B575,Input!J:J,Input!H:H,"",0,1))</f>
        <v/>
      </c>
      <c r="B575" s="32"/>
      <c r="C575" s="51"/>
      <c r="D575" s="32"/>
      <c r="E575" s="32"/>
      <c r="F575" s="32"/>
      <c r="G575" s="32"/>
      <c r="H575" s="32"/>
      <c r="I575" s="32"/>
      <c r="J575" s="51"/>
      <c r="K575" s="51"/>
      <c r="L575" s="51"/>
      <c r="M575" s="32" t="str">
        <f t="shared" si="26"/>
        <v/>
      </c>
      <c r="N575" s="51"/>
      <c r="O575" s="51"/>
      <c r="P575" s="32"/>
      <c r="Q575" s="51"/>
      <c r="R575" s="51"/>
      <c r="S575" s="51"/>
      <c r="T575" s="51"/>
      <c r="U575" s="51"/>
      <c r="V575" s="51"/>
      <c r="W575" s="51"/>
      <c r="X575" s="51"/>
      <c r="Y575" s="51"/>
      <c r="Z575" s="51"/>
      <c r="AA575" s="51"/>
      <c r="AB575" s="51"/>
      <c r="AC575" s="51"/>
      <c r="AD575" s="32"/>
      <c r="AE575" s="32"/>
      <c r="AF575" s="32"/>
      <c r="AG575" s="32"/>
      <c r="AH575" s="32"/>
      <c r="AI575" s="32"/>
      <c r="AJ575" s="32"/>
      <c r="AK575" s="32"/>
      <c r="AL575" s="32"/>
    </row>
    <row r="576" spans="1:38">
      <c r="A576" s="32" t="str">
        <f>_xlfn.TEXTJOIN("",TRUE,_xlfn.XLOOKUP(B576,Input!J:J,Input!G:G,"",0,1),_xlfn.XLOOKUP(B576,Input!J:J,Input!H:H,"",0,1))</f>
        <v/>
      </c>
      <c r="B576" s="32"/>
      <c r="C576" s="51"/>
      <c r="D576" s="32"/>
      <c r="E576" s="32"/>
      <c r="F576" s="32"/>
      <c r="G576" s="32"/>
      <c r="H576" s="32"/>
      <c r="I576" s="32"/>
      <c r="J576" s="51"/>
      <c r="K576" s="51"/>
      <c r="L576" s="51"/>
      <c r="M576" s="32" t="str">
        <f t="shared" si="26"/>
        <v/>
      </c>
      <c r="N576" s="51"/>
      <c r="O576" s="51"/>
      <c r="P576" s="32"/>
      <c r="Q576" s="51"/>
      <c r="R576" s="51"/>
      <c r="S576" s="51"/>
      <c r="T576" s="51"/>
      <c r="U576" s="51"/>
      <c r="V576" s="51"/>
      <c r="W576" s="51"/>
      <c r="X576" s="51"/>
      <c r="Y576" s="51"/>
      <c r="Z576" s="51"/>
      <c r="AA576" s="51"/>
      <c r="AB576" s="51"/>
      <c r="AC576" s="51"/>
      <c r="AD576" s="32"/>
      <c r="AE576" s="32"/>
      <c r="AF576" s="32"/>
      <c r="AG576" s="32"/>
      <c r="AH576" s="32"/>
      <c r="AI576" s="32"/>
      <c r="AJ576" s="32"/>
      <c r="AK576" s="32"/>
      <c r="AL576" s="32"/>
    </row>
    <row r="577" spans="13:13">
      <c r="M577" s="32" t="str">
        <f t="shared" si="26"/>
        <v/>
      </c>
    </row>
    <row r="578" spans="13:13">
      <c r="M578" s="32" t="str">
        <f t="shared" si="26"/>
        <v/>
      </c>
    </row>
    <row r="579" spans="13:13">
      <c r="M579" s="32" t="str">
        <f t="shared" si="26"/>
        <v/>
      </c>
    </row>
    <row r="580" spans="13:13">
      <c r="M580" s="32" t="str">
        <f t="shared" ref="M580:M643" si="27">_xlfn.TEXTJOIN(" ",TRUE,SUBSTITUTE(J580,"i",""),L580)</f>
        <v/>
      </c>
    </row>
    <row r="581" spans="13:13">
      <c r="M581" s="32" t="str">
        <f t="shared" si="27"/>
        <v/>
      </c>
    </row>
    <row r="582" spans="13:13">
      <c r="M582" s="32" t="str">
        <f t="shared" si="27"/>
        <v/>
      </c>
    </row>
    <row r="583" spans="13:13">
      <c r="M583" s="32" t="str">
        <f t="shared" si="27"/>
        <v/>
      </c>
    </row>
    <row r="584" spans="13:13">
      <c r="M584" s="32" t="str">
        <f t="shared" si="27"/>
        <v/>
      </c>
    </row>
    <row r="585" spans="13:13">
      <c r="M585" s="32" t="str">
        <f t="shared" si="27"/>
        <v/>
      </c>
    </row>
    <row r="586" spans="13:13">
      <c r="M586" s="32" t="str">
        <f t="shared" si="27"/>
        <v/>
      </c>
    </row>
    <row r="587" spans="13:13">
      <c r="M587" s="32" t="str">
        <f t="shared" si="27"/>
        <v/>
      </c>
    </row>
    <row r="588" spans="13:13">
      <c r="M588" s="32" t="str">
        <f t="shared" si="27"/>
        <v/>
      </c>
    </row>
    <row r="589" spans="13:13">
      <c r="M589" s="32" t="str">
        <f t="shared" si="27"/>
        <v/>
      </c>
    </row>
    <row r="590" spans="13:13">
      <c r="M590" s="32" t="str">
        <f t="shared" si="27"/>
        <v/>
      </c>
    </row>
    <row r="591" spans="13:13">
      <c r="M591" s="32" t="str">
        <f t="shared" si="27"/>
        <v/>
      </c>
    </row>
    <row r="592" spans="13:13">
      <c r="M592" s="32" t="str">
        <f t="shared" si="27"/>
        <v/>
      </c>
    </row>
    <row r="593" spans="13:13">
      <c r="M593" s="32" t="str">
        <f t="shared" si="27"/>
        <v/>
      </c>
    </row>
    <row r="594" spans="13:13">
      <c r="M594" s="32" t="str">
        <f t="shared" si="27"/>
        <v/>
      </c>
    </row>
    <row r="595" spans="13:13">
      <c r="M595" s="32" t="str">
        <f t="shared" si="27"/>
        <v/>
      </c>
    </row>
    <row r="596" spans="13:13">
      <c r="M596" s="32" t="str">
        <f t="shared" si="27"/>
        <v/>
      </c>
    </row>
    <row r="597" spans="13:13">
      <c r="M597" s="32" t="str">
        <f t="shared" si="27"/>
        <v/>
      </c>
    </row>
    <row r="598" spans="13:13">
      <c r="M598" s="32" t="str">
        <f t="shared" si="27"/>
        <v/>
      </c>
    </row>
    <row r="599" spans="13:13">
      <c r="M599" s="32" t="str">
        <f t="shared" si="27"/>
        <v/>
      </c>
    </row>
    <row r="600" spans="13:13">
      <c r="M600" s="32" t="str">
        <f t="shared" si="27"/>
        <v/>
      </c>
    </row>
    <row r="601" spans="13:13">
      <c r="M601" s="32" t="str">
        <f t="shared" si="27"/>
        <v/>
      </c>
    </row>
    <row r="602" spans="13:13">
      <c r="M602" s="32" t="str">
        <f t="shared" si="27"/>
        <v/>
      </c>
    </row>
    <row r="603" spans="13:13">
      <c r="M603" s="32" t="str">
        <f t="shared" si="27"/>
        <v/>
      </c>
    </row>
    <row r="604" spans="13:13">
      <c r="M604" s="32" t="str">
        <f t="shared" si="27"/>
        <v/>
      </c>
    </row>
    <row r="605" spans="13:13">
      <c r="M605" s="32" t="str">
        <f t="shared" si="27"/>
        <v/>
      </c>
    </row>
    <row r="606" spans="13:13">
      <c r="M606" s="32" t="str">
        <f t="shared" si="27"/>
        <v/>
      </c>
    </row>
    <row r="607" spans="13:13">
      <c r="M607" s="32" t="str">
        <f t="shared" si="27"/>
        <v/>
      </c>
    </row>
    <row r="608" spans="13:13">
      <c r="M608" s="32" t="str">
        <f t="shared" si="27"/>
        <v/>
      </c>
    </row>
    <row r="609" spans="13:13">
      <c r="M609" s="32" t="str">
        <f t="shared" si="27"/>
        <v/>
      </c>
    </row>
    <row r="610" spans="13:13">
      <c r="M610" s="32" t="str">
        <f t="shared" si="27"/>
        <v/>
      </c>
    </row>
    <row r="611" spans="13:13">
      <c r="M611" s="32" t="str">
        <f t="shared" si="27"/>
        <v/>
      </c>
    </row>
    <row r="612" spans="13:13">
      <c r="M612" s="32" t="str">
        <f t="shared" si="27"/>
        <v/>
      </c>
    </row>
    <row r="613" spans="13:13">
      <c r="M613" s="32" t="str">
        <f t="shared" si="27"/>
        <v/>
      </c>
    </row>
    <row r="614" spans="13:13">
      <c r="M614" s="32" t="str">
        <f t="shared" si="27"/>
        <v/>
      </c>
    </row>
    <row r="615" spans="13:13">
      <c r="M615" s="32" t="str">
        <f t="shared" si="27"/>
        <v/>
      </c>
    </row>
    <row r="616" spans="13:13">
      <c r="M616" s="32" t="str">
        <f t="shared" si="27"/>
        <v/>
      </c>
    </row>
    <row r="617" spans="13:13">
      <c r="M617" s="32" t="str">
        <f t="shared" si="27"/>
        <v/>
      </c>
    </row>
    <row r="618" spans="13:13">
      <c r="M618" s="32" t="str">
        <f t="shared" si="27"/>
        <v/>
      </c>
    </row>
    <row r="619" spans="13:13">
      <c r="M619" s="32" t="str">
        <f t="shared" si="27"/>
        <v/>
      </c>
    </row>
    <row r="620" spans="13:13">
      <c r="M620" s="32" t="str">
        <f t="shared" si="27"/>
        <v/>
      </c>
    </row>
    <row r="621" spans="13:13">
      <c r="M621" s="32" t="str">
        <f t="shared" si="27"/>
        <v/>
      </c>
    </row>
    <row r="622" spans="13:13">
      <c r="M622" s="32" t="str">
        <f t="shared" si="27"/>
        <v/>
      </c>
    </row>
    <row r="623" spans="13:13">
      <c r="M623" s="32" t="str">
        <f t="shared" si="27"/>
        <v/>
      </c>
    </row>
    <row r="624" spans="13:13">
      <c r="M624" s="32" t="str">
        <f t="shared" si="27"/>
        <v/>
      </c>
    </row>
    <row r="625" spans="13:13">
      <c r="M625" s="32" t="str">
        <f t="shared" si="27"/>
        <v/>
      </c>
    </row>
    <row r="626" spans="13:13">
      <c r="M626" s="32" t="str">
        <f t="shared" si="27"/>
        <v/>
      </c>
    </row>
    <row r="627" spans="13:13">
      <c r="M627" s="32" t="str">
        <f t="shared" si="27"/>
        <v/>
      </c>
    </row>
    <row r="628" spans="13:13">
      <c r="M628" s="32" t="str">
        <f t="shared" si="27"/>
        <v/>
      </c>
    </row>
    <row r="629" spans="13:13">
      <c r="M629" s="32" t="str">
        <f t="shared" si="27"/>
        <v/>
      </c>
    </row>
    <row r="630" spans="13:13">
      <c r="M630" s="32" t="str">
        <f t="shared" si="27"/>
        <v/>
      </c>
    </row>
    <row r="631" spans="13:13">
      <c r="M631" s="32" t="str">
        <f t="shared" si="27"/>
        <v/>
      </c>
    </row>
    <row r="632" spans="13:13">
      <c r="M632" s="32" t="str">
        <f t="shared" si="27"/>
        <v/>
      </c>
    </row>
    <row r="633" spans="13:13">
      <c r="M633" s="32" t="str">
        <f t="shared" si="27"/>
        <v/>
      </c>
    </row>
    <row r="634" spans="13:13">
      <c r="M634" s="32" t="str">
        <f t="shared" si="27"/>
        <v/>
      </c>
    </row>
    <row r="635" spans="13:13">
      <c r="M635" s="32" t="str">
        <f t="shared" si="27"/>
        <v/>
      </c>
    </row>
    <row r="636" spans="13:13">
      <c r="M636" s="32" t="str">
        <f t="shared" si="27"/>
        <v/>
      </c>
    </row>
    <row r="637" spans="13:13">
      <c r="M637" s="32" t="str">
        <f t="shared" si="27"/>
        <v/>
      </c>
    </row>
    <row r="638" spans="13:13">
      <c r="M638" s="32" t="str">
        <f t="shared" si="27"/>
        <v/>
      </c>
    </row>
    <row r="639" spans="13:13">
      <c r="M639" s="32" t="str">
        <f t="shared" si="27"/>
        <v/>
      </c>
    </row>
    <row r="640" spans="13:13">
      <c r="M640" s="32" t="str">
        <f t="shared" si="27"/>
        <v/>
      </c>
    </row>
    <row r="641" spans="13:13">
      <c r="M641" s="32" t="str">
        <f t="shared" si="27"/>
        <v/>
      </c>
    </row>
    <row r="642" spans="13:13">
      <c r="M642" s="32" t="str">
        <f t="shared" si="27"/>
        <v/>
      </c>
    </row>
    <row r="643" spans="13:13">
      <c r="M643" s="32" t="str">
        <f t="shared" si="27"/>
        <v/>
      </c>
    </row>
    <row r="644" spans="13:13">
      <c r="M644" s="32" t="str">
        <f t="shared" ref="M644:M661" si="28">_xlfn.TEXTJOIN(" ",TRUE,SUBSTITUTE(J644,"i",""),L644)</f>
        <v/>
      </c>
    </row>
    <row r="645" spans="13:13">
      <c r="M645" s="32" t="str">
        <f t="shared" si="28"/>
        <v/>
      </c>
    </row>
    <row r="646" spans="13:13">
      <c r="M646" s="32" t="str">
        <f t="shared" si="28"/>
        <v/>
      </c>
    </row>
    <row r="647" spans="13:13">
      <c r="M647" s="32" t="str">
        <f t="shared" si="28"/>
        <v/>
      </c>
    </row>
    <row r="648" spans="13:13">
      <c r="M648" s="32" t="str">
        <f t="shared" si="28"/>
        <v/>
      </c>
    </row>
    <row r="649" spans="13:13">
      <c r="M649" s="32" t="str">
        <f t="shared" si="28"/>
        <v/>
      </c>
    </row>
    <row r="650" spans="13:13">
      <c r="M650" s="32" t="str">
        <f t="shared" si="28"/>
        <v/>
      </c>
    </row>
    <row r="651" spans="13:13">
      <c r="M651" s="32" t="str">
        <f t="shared" si="28"/>
        <v/>
      </c>
    </row>
    <row r="652" spans="13:13">
      <c r="M652" s="32" t="str">
        <f t="shared" si="28"/>
        <v/>
      </c>
    </row>
    <row r="653" spans="13:13">
      <c r="M653" s="32" t="str">
        <f t="shared" si="28"/>
        <v/>
      </c>
    </row>
    <row r="654" spans="13:13">
      <c r="M654" s="32" t="str">
        <f t="shared" si="28"/>
        <v/>
      </c>
    </row>
    <row r="655" spans="13:13">
      <c r="M655" s="32" t="str">
        <f t="shared" si="28"/>
        <v/>
      </c>
    </row>
    <row r="656" spans="13:13">
      <c r="M656" s="32" t="str">
        <f t="shared" si="28"/>
        <v/>
      </c>
    </row>
    <row r="657" spans="13:13">
      <c r="M657" s="32" t="str">
        <f t="shared" si="28"/>
        <v/>
      </c>
    </row>
    <row r="658" spans="13:13">
      <c r="M658" s="32" t="str">
        <f t="shared" si="28"/>
        <v/>
      </c>
    </row>
    <row r="659" spans="13:13">
      <c r="M659" s="32" t="str">
        <f t="shared" si="28"/>
        <v/>
      </c>
    </row>
    <row r="660" spans="13:13">
      <c r="M660" s="32" t="str">
        <f t="shared" si="28"/>
        <v/>
      </c>
    </row>
    <row r="661" spans="13:13">
      <c r="M661" s="32" t="str">
        <f t="shared" si="28"/>
        <v/>
      </c>
    </row>
  </sheetData>
  <mergeCells count="1">
    <mergeCell ref="V1:AA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I693"/>
  <sheetViews>
    <sheetView topLeftCell="A114" workbookViewId="0">
      <selection activeCell="E165" sqref="E165"/>
    </sheetView>
  </sheetViews>
  <sheetFormatPr defaultRowHeight="15"/>
  <cols>
    <col min="1" max="1" width="11.28515625" bestFit="1" customWidth="1"/>
    <col min="2" max="2" width="46" style="13" bestFit="1" customWidth="1"/>
    <col min="3" max="3" width="23.5703125" style="13" bestFit="1" customWidth="1"/>
    <col min="4" max="4" width="35.85546875" style="13" bestFit="1" customWidth="1"/>
    <col min="5" max="5" width="11.42578125" style="13" bestFit="1" customWidth="1"/>
    <col min="6" max="6" width="11.7109375" style="13" bestFit="1" customWidth="1"/>
    <col min="7" max="7" width="12.85546875" style="13" bestFit="1" customWidth="1"/>
    <col min="8" max="8" width="11.7109375" style="13" bestFit="1" customWidth="1"/>
    <col min="9" max="9" width="11.42578125" bestFit="1" customWidth="1"/>
  </cols>
  <sheetData>
    <row r="1" spans="1:9" ht="18" thickBot="1">
      <c r="A1" s="29" t="s">
        <v>57</v>
      </c>
      <c r="B1" s="12" t="s">
        <v>285</v>
      </c>
      <c r="C1" s="12" t="s">
        <v>534</v>
      </c>
      <c r="D1" s="12" t="s">
        <v>281</v>
      </c>
      <c r="E1" s="12" t="s">
        <v>282</v>
      </c>
      <c r="F1" s="12" t="s">
        <v>535</v>
      </c>
      <c r="G1" s="12" t="s">
        <v>283</v>
      </c>
      <c r="H1" s="12" t="s">
        <v>284</v>
      </c>
      <c r="I1" s="1" t="s">
        <v>9</v>
      </c>
    </row>
    <row r="2" spans="1:9" ht="15.75" thickTop="1">
      <c r="A2">
        <f>CSV!B2</f>
        <v>0</v>
      </c>
      <c r="B2" s="13" t="e">
        <f>INDEX(Input!$D$2:$AC$500,
       MATCH(CPU_Formula!A2, Input!$J$2:$J$500, 0),
       MATCH("CPU model", Input!$D$1:$AC$1, 0))</f>
        <v>#N/A</v>
      </c>
      <c r="C2" s="13" t="str">
        <f>IFERROR(_xlfn.TEXTAFTER(B2,"Core(TM) "),IFERROR(_xlfn.TEXTAFTER(B2,"Xeon(R) CPU"),""))</f>
        <v/>
      </c>
      <c r="D2" s="13" t="str">
        <f t="shared" ref="D2:D65" si="0">IF(ISNUMBER(SEARCH("Ryzen", B2)), _xlfn.TEXTAFTER(B2, "AMD"), "")</f>
        <v/>
      </c>
      <c r="E2" s="13" t="str">
        <f t="shared" ref="E2:E65" si="1">IF(ISNUMBER(SEARCH("Ultra", B2)), "Ultra"&amp;_xlfn.TEXTAFTER(B2, "Ultra"), "")</f>
        <v/>
      </c>
      <c r="F2" s="13" t="str">
        <f t="shared" ref="F2:F65" si="2">IF(C2&lt;&gt;"", TRIM(_xlfn.TEXTBEFORE(C2," ",,1,1)), "")</f>
        <v/>
      </c>
      <c r="G2" s="13" t="str">
        <f t="shared" ref="G2:G65" si="3">IFERROR(_xlfn.TEXTBEFORE(D2,"w/"),"")</f>
        <v/>
      </c>
      <c r="H2" s="13" t="str">
        <f t="shared" ref="H2:H65" si="4">E2</f>
        <v/>
      </c>
      <c r="I2" t="str">
        <f t="shared" ref="I2:I65" si="5">IF(H2&lt;&gt;"",H2,IF(G2&lt;&gt;"",G2,F2))</f>
        <v/>
      </c>
    </row>
    <row r="3" spans="1:9">
      <c r="A3">
        <f>CSV!B3</f>
        <v>0</v>
      </c>
      <c r="B3" s="13" t="e">
        <f>INDEX(Input!$D$2:$AC$500,
       MATCH(CPU_Formula!A3, Input!$J$2:$J$500, 0),
       MATCH("CPU model", Input!$D$1:$AC$1, 0))</f>
        <v>#N/A</v>
      </c>
      <c r="C3" s="13" t="str">
        <f t="shared" ref="C3:C66" si="6">IFERROR(_xlfn.TEXTAFTER(B3,"Core(TM) "),IFERROR(_xlfn.TEXTAFTER(B3,"Xeon(R) CPU"),""))</f>
        <v/>
      </c>
      <c r="D3" s="13" t="str">
        <f t="shared" si="0"/>
        <v/>
      </c>
      <c r="E3" s="13" t="str">
        <f t="shared" si="1"/>
        <v/>
      </c>
      <c r="F3" s="13" t="str">
        <f t="shared" si="2"/>
        <v/>
      </c>
      <c r="G3" s="13" t="str">
        <f t="shared" si="3"/>
        <v/>
      </c>
      <c r="H3" s="13" t="str">
        <f t="shared" si="4"/>
        <v/>
      </c>
      <c r="I3" t="str">
        <f t="shared" si="5"/>
        <v/>
      </c>
    </row>
    <row r="4" spans="1:9">
      <c r="A4">
        <f>CSV!B4</f>
        <v>0</v>
      </c>
      <c r="B4" s="13" t="e">
        <f>INDEX(Input!$D$2:$AC$500,
       MATCH(CPU_Formula!A4, Input!$J$2:$J$500, 0),
       MATCH("CPU model", Input!$D$1:$AC$1, 0))</f>
        <v>#N/A</v>
      </c>
      <c r="C4" s="13" t="str">
        <f t="shared" si="6"/>
        <v/>
      </c>
      <c r="D4" s="13" t="str">
        <f t="shared" si="0"/>
        <v/>
      </c>
      <c r="E4" s="13" t="str">
        <f t="shared" si="1"/>
        <v/>
      </c>
      <c r="F4" s="13" t="str">
        <f t="shared" si="2"/>
        <v/>
      </c>
      <c r="G4" s="13" t="str">
        <f t="shared" si="3"/>
        <v/>
      </c>
      <c r="H4" s="13" t="str">
        <f t="shared" si="4"/>
        <v/>
      </c>
      <c r="I4" t="str">
        <f t="shared" si="5"/>
        <v/>
      </c>
    </row>
    <row r="5" spans="1:9">
      <c r="A5">
        <f>CSV!B5</f>
        <v>0</v>
      </c>
      <c r="B5" s="13" t="e">
        <f>INDEX(Input!$D$2:$AC$500,
       MATCH(CPU_Formula!A5, Input!$J$2:$J$500, 0),
       MATCH("CPU model", Input!$D$1:$AC$1, 0))</f>
        <v>#N/A</v>
      </c>
      <c r="C5" s="13" t="str">
        <f t="shared" si="6"/>
        <v/>
      </c>
      <c r="D5" s="13" t="str">
        <f t="shared" si="0"/>
        <v/>
      </c>
      <c r="E5" s="13" t="str">
        <f t="shared" si="1"/>
        <v/>
      </c>
      <c r="F5" s="13" t="str">
        <f t="shared" si="2"/>
        <v/>
      </c>
      <c r="G5" s="13" t="str">
        <f t="shared" si="3"/>
        <v/>
      </c>
      <c r="H5" s="13" t="str">
        <f t="shared" si="4"/>
        <v/>
      </c>
      <c r="I5" t="str">
        <f t="shared" si="5"/>
        <v/>
      </c>
    </row>
    <row r="6" spans="1:9">
      <c r="A6">
        <f>CSV!B6</f>
        <v>0</v>
      </c>
      <c r="B6" s="13" t="e">
        <f>INDEX(Input!$D$2:$AC$500,
       MATCH(CPU_Formula!A6, Input!$J$2:$J$500, 0),
       MATCH("CPU model", Input!$D$1:$AC$1, 0))</f>
        <v>#N/A</v>
      </c>
      <c r="C6" s="13" t="str">
        <f t="shared" si="6"/>
        <v/>
      </c>
      <c r="D6" s="13" t="str">
        <f t="shared" si="0"/>
        <v/>
      </c>
      <c r="E6" s="13" t="str">
        <f t="shared" si="1"/>
        <v/>
      </c>
      <c r="F6" s="13" t="str">
        <f t="shared" si="2"/>
        <v/>
      </c>
      <c r="G6" s="13" t="str">
        <f t="shared" si="3"/>
        <v/>
      </c>
      <c r="H6" s="13" t="str">
        <f t="shared" si="4"/>
        <v/>
      </c>
      <c r="I6" t="str">
        <f t="shared" si="5"/>
        <v/>
      </c>
    </row>
    <row r="7" spans="1:9">
      <c r="A7">
        <f>CSV!B7</f>
        <v>0</v>
      </c>
      <c r="B7" s="13" t="e">
        <f>INDEX(Input!$D$2:$AC$500,
       MATCH(CPU_Formula!A7, Input!$J$2:$J$500, 0),
       MATCH("CPU model", Input!$D$1:$AC$1, 0))</f>
        <v>#N/A</v>
      </c>
      <c r="C7" s="13" t="str">
        <f t="shared" si="6"/>
        <v/>
      </c>
      <c r="D7" s="13" t="str">
        <f t="shared" si="0"/>
        <v/>
      </c>
      <c r="E7" s="13" t="str">
        <f t="shared" si="1"/>
        <v/>
      </c>
      <c r="F7" s="13" t="str">
        <f t="shared" si="2"/>
        <v/>
      </c>
      <c r="G7" s="13" t="str">
        <f t="shared" si="3"/>
        <v/>
      </c>
      <c r="H7" s="13" t="str">
        <f t="shared" si="4"/>
        <v/>
      </c>
      <c r="I7" t="str">
        <f t="shared" si="5"/>
        <v/>
      </c>
    </row>
    <row r="8" spans="1:9">
      <c r="A8">
        <f>CSV!B8</f>
        <v>0</v>
      </c>
      <c r="B8" s="13" t="e">
        <f>INDEX(Input!$D$2:$AC$500,
       MATCH(CPU_Formula!A8, Input!$J$2:$J$500, 0),
       MATCH("CPU model", Input!$D$1:$AC$1, 0))</f>
        <v>#N/A</v>
      </c>
      <c r="C8" s="13" t="str">
        <f t="shared" si="6"/>
        <v/>
      </c>
      <c r="D8" s="13" t="str">
        <f t="shared" si="0"/>
        <v/>
      </c>
      <c r="E8" s="13" t="str">
        <f t="shared" si="1"/>
        <v/>
      </c>
      <c r="F8" s="13" t="str">
        <f t="shared" si="2"/>
        <v/>
      </c>
      <c r="G8" s="13" t="str">
        <f t="shared" si="3"/>
        <v/>
      </c>
      <c r="H8" s="13" t="str">
        <f t="shared" si="4"/>
        <v/>
      </c>
      <c r="I8" t="str">
        <f t="shared" si="5"/>
        <v/>
      </c>
    </row>
    <row r="9" spans="1:9">
      <c r="A9">
        <f>CSV!B9</f>
        <v>0</v>
      </c>
      <c r="B9" s="13" t="e">
        <f>INDEX(Input!$D$2:$AC$500,
       MATCH(CPU_Formula!A9, Input!$J$2:$J$500, 0),
       MATCH("CPU model", Input!$D$1:$AC$1, 0))</f>
        <v>#N/A</v>
      </c>
      <c r="C9" s="13" t="str">
        <f t="shared" si="6"/>
        <v/>
      </c>
      <c r="D9" s="13" t="str">
        <f t="shared" si="0"/>
        <v/>
      </c>
      <c r="E9" s="13" t="str">
        <f t="shared" si="1"/>
        <v/>
      </c>
      <c r="F9" s="13" t="str">
        <f t="shared" si="2"/>
        <v/>
      </c>
      <c r="G9" s="13" t="str">
        <f t="shared" si="3"/>
        <v/>
      </c>
      <c r="H9" s="13" t="str">
        <f t="shared" si="4"/>
        <v/>
      </c>
      <c r="I9" t="str">
        <f t="shared" si="5"/>
        <v/>
      </c>
    </row>
    <row r="10" spans="1:9">
      <c r="A10">
        <f>CSV!B10</f>
        <v>0</v>
      </c>
      <c r="B10" s="13" t="e">
        <f>INDEX(Input!$D$2:$AC$500,
       MATCH(CPU_Formula!A10, Input!$J$2:$J$500, 0),
       MATCH("CPU model", Input!$D$1:$AC$1, 0))</f>
        <v>#N/A</v>
      </c>
      <c r="C10" s="13" t="str">
        <f t="shared" si="6"/>
        <v/>
      </c>
      <c r="D10" s="13" t="str">
        <f t="shared" si="0"/>
        <v/>
      </c>
      <c r="E10" s="13" t="str">
        <f t="shared" si="1"/>
        <v/>
      </c>
      <c r="F10" s="13" t="str">
        <f t="shared" si="2"/>
        <v/>
      </c>
      <c r="G10" s="13" t="str">
        <f t="shared" si="3"/>
        <v/>
      </c>
      <c r="H10" s="13" t="str">
        <f t="shared" si="4"/>
        <v/>
      </c>
      <c r="I10" t="str">
        <f t="shared" si="5"/>
        <v/>
      </c>
    </row>
    <row r="11" spans="1:9">
      <c r="A11">
        <f>CSV!B11</f>
        <v>0</v>
      </c>
      <c r="B11" s="13" t="e">
        <f>INDEX(Input!$D$2:$AC$500,
       MATCH(CPU_Formula!A11, Input!$J$2:$J$500, 0),
       MATCH("CPU model", Input!$D$1:$AC$1, 0))</f>
        <v>#N/A</v>
      </c>
      <c r="C11" s="13" t="str">
        <f t="shared" si="6"/>
        <v/>
      </c>
      <c r="D11" s="13" t="str">
        <f t="shared" si="0"/>
        <v/>
      </c>
      <c r="E11" s="13" t="str">
        <f t="shared" si="1"/>
        <v/>
      </c>
      <c r="F11" s="13" t="str">
        <f t="shared" si="2"/>
        <v/>
      </c>
      <c r="G11" s="13" t="str">
        <f t="shared" si="3"/>
        <v/>
      </c>
      <c r="H11" s="13" t="str">
        <f t="shared" si="4"/>
        <v/>
      </c>
      <c r="I11" t="str">
        <f t="shared" si="5"/>
        <v/>
      </c>
    </row>
    <row r="12" spans="1:9">
      <c r="A12">
        <f>CSV!B12</f>
        <v>0</v>
      </c>
      <c r="B12" s="13" t="e">
        <f>INDEX(Input!$D$2:$AC$500,
       MATCH(CPU_Formula!A12, Input!$J$2:$J$500, 0),
       MATCH("CPU model", Input!$D$1:$AC$1, 0))</f>
        <v>#N/A</v>
      </c>
      <c r="C12" s="13" t="str">
        <f t="shared" si="6"/>
        <v/>
      </c>
      <c r="D12" s="13" t="str">
        <f t="shared" si="0"/>
        <v/>
      </c>
      <c r="E12" s="13" t="str">
        <f t="shared" si="1"/>
        <v/>
      </c>
      <c r="F12" s="13" t="str">
        <f t="shared" si="2"/>
        <v/>
      </c>
      <c r="G12" s="13" t="str">
        <f t="shared" si="3"/>
        <v/>
      </c>
      <c r="H12" s="13" t="str">
        <f t="shared" si="4"/>
        <v/>
      </c>
      <c r="I12" t="str">
        <f t="shared" si="5"/>
        <v/>
      </c>
    </row>
    <row r="13" spans="1:9">
      <c r="A13">
        <f>CSV!B13</f>
        <v>0</v>
      </c>
      <c r="B13" s="13" t="e">
        <f>INDEX(Input!$D$2:$AC$500,
       MATCH(CPU_Formula!A13, Input!$J$2:$J$500, 0),
       MATCH("CPU model", Input!$D$1:$AC$1, 0))</f>
        <v>#N/A</v>
      </c>
      <c r="C13" s="13" t="str">
        <f t="shared" si="6"/>
        <v/>
      </c>
      <c r="D13" s="13" t="str">
        <f t="shared" si="0"/>
        <v/>
      </c>
      <c r="E13" s="13" t="str">
        <f t="shared" si="1"/>
        <v/>
      </c>
      <c r="F13" s="13" t="str">
        <f t="shared" si="2"/>
        <v/>
      </c>
      <c r="G13" s="13" t="str">
        <f t="shared" si="3"/>
        <v/>
      </c>
      <c r="H13" s="13" t="str">
        <f t="shared" si="4"/>
        <v/>
      </c>
      <c r="I13" t="str">
        <f t="shared" si="5"/>
        <v/>
      </c>
    </row>
    <row r="14" spans="1:9">
      <c r="A14">
        <f>CSV!B14</f>
        <v>0</v>
      </c>
      <c r="B14" s="13" t="e">
        <f>INDEX(Input!$D$2:$AC$500,
       MATCH(CPU_Formula!A14, Input!$J$2:$J$500, 0),
       MATCH("CPU model", Input!$D$1:$AC$1, 0))</f>
        <v>#N/A</v>
      </c>
      <c r="C14" s="13" t="str">
        <f t="shared" si="6"/>
        <v/>
      </c>
      <c r="D14" s="13" t="str">
        <f t="shared" si="0"/>
        <v/>
      </c>
      <c r="E14" s="13" t="str">
        <f t="shared" si="1"/>
        <v/>
      </c>
      <c r="F14" s="13" t="str">
        <f t="shared" si="2"/>
        <v/>
      </c>
      <c r="G14" s="13" t="str">
        <f t="shared" si="3"/>
        <v/>
      </c>
      <c r="H14" s="13" t="str">
        <f t="shared" si="4"/>
        <v/>
      </c>
      <c r="I14" t="str">
        <f t="shared" si="5"/>
        <v/>
      </c>
    </row>
    <row r="15" spans="1:9">
      <c r="A15">
        <f>CSV!B15</f>
        <v>0</v>
      </c>
      <c r="B15" s="13" t="e">
        <f>INDEX(Input!$D$2:$AC$500,
       MATCH(CPU_Formula!A15, Input!$J$2:$J$500, 0),
       MATCH("CPU model", Input!$D$1:$AC$1, 0))</f>
        <v>#N/A</v>
      </c>
      <c r="C15" s="13" t="str">
        <f t="shared" si="6"/>
        <v/>
      </c>
      <c r="D15" s="13" t="str">
        <f t="shared" si="0"/>
        <v/>
      </c>
      <c r="E15" s="13" t="str">
        <f t="shared" si="1"/>
        <v/>
      </c>
      <c r="F15" s="13" t="str">
        <f t="shared" si="2"/>
        <v/>
      </c>
      <c r="G15" s="13" t="str">
        <f t="shared" si="3"/>
        <v/>
      </c>
      <c r="H15" s="13" t="str">
        <f t="shared" si="4"/>
        <v/>
      </c>
      <c r="I15" t="str">
        <f t="shared" si="5"/>
        <v/>
      </c>
    </row>
    <row r="16" spans="1:9">
      <c r="A16">
        <f>CSV!B16</f>
        <v>0</v>
      </c>
      <c r="B16" s="13" t="e">
        <f>INDEX(Input!$D$2:$AC$500,
       MATCH(CPU_Formula!A16, Input!$J$2:$J$500, 0),
       MATCH("CPU model", Input!$D$1:$AC$1, 0))</f>
        <v>#N/A</v>
      </c>
      <c r="C16" s="13" t="str">
        <f t="shared" si="6"/>
        <v/>
      </c>
      <c r="D16" s="13" t="str">
        <f t="shared" si="0"/>
        <v/>
      </c>
      <c r="E16" s="13" t="str">
        <f t="shared" si="1"/>
        <v/>
      </c>
      <c r="F16" s="13" t="str">
        <f t="shared" si="2"/>
        <v/>
      </c>
      <c r="G16" s="13" t="str">
        <f t="shared" si="3"/>
        <v/>
      </c>
      <c r="H16" s="13" t="str">
        <f t="shared" si="4"/>
        <v/>
      </c>
      <c r="I16" t="str">
        <f t="shared" si="5"/>
        <v/>
      </c>
    </row>
    <row r="17" spans="1:9">
      <c r="A17">
        <f>CSV!B17</f>
        <v>0</v>
      </c>
      <c r="B17" s="13" t="e">
        <f>INDEX(Input!$D$2:$AC$500,
       MATCH(CPU_Formula!A17, Input!$J$2:$J$500, 0),
       MATCH("CPU model", Input!$D$1:$AC$1, 0))</f>
        <v>#N/A</v>
      </c>
      <c r="C17" s="13" t="str">
        <f t="shared" si="6"/>
        <v/>
      </c>
      <c r="D17" s="13" t="str">
        <f t="shared" si="0"/>
        <v/>
      </c>
      <c r="E17" s="13" t="str">
        <f t="shared" si="1"/>
        <v/>
      </c>
      <c r="F17" s="13" t="str">
        <f t="shared" si="2"/>
        <v/>
      </c>
      <c r="G17" s="13" t="str">
        <f t="shared" si="3"/>
        <v/>
      </c>
      <c r="H17" s="13" t="str">
        <f t="shared" si="4"/>
        <v/>
      </c>
      <c r="I17" t="str">
        <f t="shared" si="5"/>
        <v/>
      </c>
    </row>
    <row r="18" spans="1:9">
      <c r="A18">
        <f>CSV!B18</f>
        <v>0</v>
      </c>
      <c r="B18" s="13" t="e">
        <f>INDEX(Input!$D$2:$AC$500,
       MATCH(CPU_Formula!A18, Input!$J$2:$J$500, 0),
       MATCH("CPU model", Input!$D$1:$AC$1, 0))</f>
        <v>#N/A</v>
      </c>
      <c r="C18" s="13" t="str">
        <f t="shared" si="6"/>
        <v/>
      </c>
      <c r="D18" s="13" t="str">
        <f t="shared" si="0"/>
        <v/>
      </c>
      <c r="E18" s="13" t="str">
        <f t="shared" si="1"/>
        <v/>
      </c>
      <c r="F18" s="13" t="str">
        <f t="shared" si="2"/>
        <v/>
      </c>
      <c r="G18" s="13" t="str">
        <f t="shared" si="3"/>
        <v/>
      </c>
      <c r="H18" s="13" t="str">
        <f t="shared" si="4"/>
        <v/>
      </c>
      <c r="I18" t="str">
        <f t="shared" si="5"/>
        <v/>
      </c>
    </row>
    <row r="19" spans="1:9">
      <c r="A19">
        <f>CSV!B19</f>
        <v>0</v>
      </c>
      <c r="B19" s="13" t="e">
        <f>INDEX(Input!$D$2:$AC$500,
       MATCH(CPU_Formula!A19, Input!$J$2:$J$500, 0),
       MATCH("CPU model", Input!$D$1:$AC$1, 0))</f>
        <v>#N/A</v>
      </c>
      <c r="C19" s="13" t="str">
        <f t="shared" si="6"/>
        <v/>
      </c>
      <c r="D19" s="13" t="str">
        <f t="shared" si="0"/>
        <v/>
      </c>
      <c r="E19" s="13" t="str">
        <f t="shared" si="1"/>
        <v/>
      </c>
      <c r="F19" s="13" t="str">
        <f t="shared" si="2"/>
        <v/>
      </c>
      <c r="G19" s="13" t="str">
        <f t="shared" si="3"/>
        <v/>
      </c>
      <c r="H19" s="13" t="str">
        <f t="shared" si="4"/>
        <v/>
      </c>
      <c r="I19" t="str">
        <f t="shared" si="5"/>
        <v/>
      </c>
    </row>
    <row r="20" spans="1:9">
      <c r="A20">
        <f>CSV!B20</f>
        <v>0</v>
      </c>
      <c r="B20" s="13" t="e">
        <f>INDEX(Input!$D$2:$AC$500,
       MATCH(CPU_Formula!A20, Input!$J$2:$J$500, 0),
       MATCH("CPU model", Input!$D$1:$AC$1, 0))</f>
        <v>#N/A</v>
      </c>
      <c r="C20" s="13" t="str">
        <f t="shared" si="6"/>
        <v/>
      </c>
      <c r="D20" s="13" t="str">
        <f t="shared" si="0"/>
        <v/>
      </c>
      <c r="E20" s="13" t="str">
        <f t="shared" si="1"/>
        <v/>
      </c>
      <c r="F20" s="13" t="str">
        <f t="shared" si="2"/>
        <v/>
      </c>
      <c r="G20" s="13" t="str">
        <f t="shared" si="3"/>
        <v/>
      </c>
      <c r="H20" s="13" t="str">
        <f t="shared" si="4"/>
        <v/>
      </c>
      <c r="I20" t="str">
        <f t="shared" si="5"/>
        <v/>
      </c>
    </row>
    <row r="21" spans="1:9">
      <c r="A21">
        <f>CSV!B21</f>
        <v>0</v>
      </c>
      <c r="B21" s="13" t="e">
        <f>INDEX(Input!$D$2:$AC$500,
       MATCH(CPU_Formula!A21, Input!$J$2:$J$500, 0),
       MATCH("CPU model", Input!$D$1:$AC$1, 0))</f>
        <v>#N/A</v>
      </c>
      <c r="C21" s="13" t="str">
        <f t="shared" si="6"/>
        <v/>
      </c>
      <c r="D21" s="13" t="str">
        <f t="shared" si="0"/>
        <v/>
      </c>
      <c r="E21" s="13" t="str">
        <f t="shared" si="1"/>
        <v/>
      </c>
      <c r="F21" s="13" t="str">
        <f t="shared" si="2"/>
        <v/>
      </c>
      <c r="G21" s="13" t="str">
        <f t="shared" si="3"/>
        <v/>
      </c>
      <c r="H21" s="13" t="str">
        <f t="shared" si="4"/>
        <v/>
      </c>
      <c r="I21" t="str">
        <f t="shared" si="5"/>
        <v/>
      </c>
    </row>
    <row r="22" spans="1:9">
      <c r="A22">
        <f>CSV!B22</f>
        <v>0</v>
      </c>
      <c r="B22" s="13" t="e">
        <f>INDEX(Input!$D$2:$AC$500,
       MATCH(CPU_Formula!A22, Input!$J$2:$J$500, 0),
       MATCH("CPU model", Input!$D$1:$AC$1, 0))</f>
        <v>#N/A</v>
      </c>
      <c r="C22" s="13" t="str">
        <f t="shared" si="6"/>
        <v/>
      </c>
      <c r="D22" s="13" t="str">
        <f t="shared" si="0"/>
        <v/>
      </c>
      <c r="E22" s="13" t="str">
        <f t="shared" si="1"/>
        <v/>
      </c>
      <c r="F22" s="13" t="str">
        <f t="shared" si="2"/>
        <v/>
      </c>
      <c r="G22" s="13" t="str">
        <f t="shared" si="3"/>
        <v/>
      </c>
      <c r="H22" s="13" t="str">
        <f t="shared" si="4"/>
        <v/>
      </c>
      <c r="I22" t="str">
        <f t="shared" si="5"/>
        <v/>
      </c>
    </row>
    <row r="23" spans="1:9">
      <c r="A23">
        <f>CSV!B23</f>
        <v>0</v>
      </c>
      <c r="B23" s="13" t="e">
        <f>INDEX(Input!$D$2:$AC$500,
       MATCH(CPU_Formula!A23, Input!$J$2:$J$500, 0),
       MATCH("CPU model", Input!$D$1:$AC$1, 0))</f>
        <v>#N/A</v>
      </c>
      <c r="C23" s="13" t="str">
        <f t="shared" si="6"/>
        <v/>
      </c>
      <c r="D23" s="13" t="str">
        <f t="shared" si="0"/>
        <v/>
      </c>
      <c r="E23" s="13" t="str">
        <f t="shared" si="1"/>
        <v/>
      </c>
      <c r="F23" s="13" t="str">
        <f t="shared" si="2"/>
        <v/>
      </c>
      <c r="G23" s="13" t="str">
        <f t="shared" si="3"/>
        <v/>
      </c>
      <c r="H23" s="13" t="str">
        <f t="shared" si="4"/>
        <v/>
      </c>
      <c r="I23" t="str">
        <f t="shared" si="5"/>
        <v/>
      </c>
    </row>
    <row r="24" spans="1:9">
      <c r="A24">
        <f>CSV!B24</f>
        <v>0</v>
      </c>
      <c r="B24" s="13" t="e">
        <f>INDEX(Input!$D$2:$AC$500,
       MATCH(CPU_Formula!A24, Input!$J$2:$J$500, 0),
       MATCH("CPU model", Input!$D$1:$AC$1, 0))</f>
        <v>#N/A</v>
      </c>
      <c r="C24" s="13" t="str">
        <f t="shared" si="6"/>
        <v/>
      </c>
      <c r="D24" s="13" t="str">
        <f t="shared" si="0"/>
        <v/>
      </c>
      <c r="E24" s="13" t="str">
        <f t="shared" si="1"/>
        <v/>
      </c>
      <c r="F24" s="13" t="str">
        <f t="shared" si="2"/>
        <v/>
      </c>
      <c r="G24" s="13" t="str">
        <f t="shared" si="3"/>
        <v/>
      </c>
      <c r="H24" s="13" t="str">
        <f t="shared" si="4"/>
        <v/>
      </c>
      <c r="I24" t="str">
        <f t="shared" si="5"/>
        <v/>
      </c>
    </row>
    <row r="25" spans="1:9">
      <c r="A25">
        <f>CSV!B25</f>
        <v>0</v>
      </c>
      <c r="B25" s="13" t="e">
        <f>INDEX(Input!$D$2:$AC$500,
       MATCH(CPU_Formula!A25, Input!$J$2:$J$500, 0),
       MATCH("CPU model", Input!$D$1:$AC$1, 0))</f>
        <v>#N/A</v>
      </c>
      <c r="C25" s="13" t="str">
        <f t="shared" si="6"/>
        <v/>
      </c>
      <c r="D25" s="13" t="str">
        <f t="shared" si="0"/>
        <v/>
      </c>
      <c r="E25" s="13" t="str">
        <f t="shared" si="1"/>
        <v/>
      </c>
      <c r="F25" s="13" t="str">
        <f t="shared" si="2"/>
        <v/>
      </c>
      <c r="G25" s="13" t="str">
        <f t="shared" si="3"/>
        <v/>
      </c>
      <c r="H25" s="13" t="str">
        <f t="shared" si="4"/>
        <v/>
      </c>
      <c r="I25" t="str">
        <f t="shared" si="5"/>
        <v/>
      </c>
    </row>
    <row r="26" spans="1:9">
      <c r="A26">
        <f>CSV!B26</f>
        <v>0</v>
      </c>
      <c r="B26" s="13" t="e">
        <f>INDEX(Input!$D$2:$AC$500,
       MATCH(CPU_Formula!A26, Input!$J$2:$J$500, 0),
       MATCH("CPU model", Input!$D$1:$AC$1, 0))</f>
        <v>#N/A</v>
      </c>
      <c r="C26" s="13" t="str">
        <f t="shared" si="6"/>
        <v/>
      </c>
      <c r="D26" s="13" t="str">
        <f t="shared" si="0"/>
        <v/>
      </c>
      <c r="E26" s="13" t="str">
        <f t="shared" si="1"/>
        <v/>
      </c>
      <c r="F26" s="13" t="str">
        <f t="shared" si="2"/>
        <v/>
      </c>
      <c r="G26" s="13" t="str">
        <f t="shared" si="3"/>
        <v/>
      </c>
      <c r="H26" s="13" t="str">
        <f t="shared" si="4"/>
        <v/>
      </c>
      <c r="I26" t="str">
        <f t="shared" si="5"/>
        <v/>
      </c>
    </row>
    <row r="27" spans="1:9">
      <c r="A27">
        <f>CSV!B27</f>
        <v>0</v>
      </c>
      <c r="B27" s="13" t="e">
        <f>INDEX(Input!$D$2:$AC$500,
       MATCH(CPU_Formula!A27, Input!$J$2:$J$500, 0),
       MATCH("CPU model", Input!$D$1:$AC$1, 0))</f>
        <v>#N/A</v>
      </c>
      <c r="C27" s="13" t="str">
        <f t="shared" si="6"/>
        <v/>
      </c>
      <c r="D27" s="13" t="str">
        <f t="shared" si="0"/>
        <v/>
      </c>
      <c r="E27" s="13" t="str">
        <f t="shared" si="1"/>
        <v/>
      </c>
      <c r="F27" s="13" t="str">
        <f t="shared" si="2"/>
        <v/>
      </c>
      <c r="G27" s="13" t="str">
        <f t="shared" si="3"/>
        <v/>
      </c>
      <c r="H27" s="13" t="str">
        <f t="shared" si="4"/>
        <v/>
      </c>
      <c r="I27" t="str">
        <f t="shared" si="5"/>
        <v/>
      </c>
    </row>
    <row r="28" spans="1:9">
      <c r="A28">
        <f>CSV!B28</f>
        <v>0</v>
      </c>
      <c r="B28" s="13" t="e">
        <f>INDEX(Input!$D$2:$AC$500,
       MATCH(CPU_Formula!A28, Input!$J$2:$J$500, 0),
       MATCH("CPU model", Input!$D$1:$AC$1, 0))</f>
        <v>#N/A</v>
      </c>
      <c r="C28" s="13" t="str">
        <f t="shared" si="6"/>
        <v/>
      </c>
      <c r="D28" s="13" t="str">
        <f t="shared" si="0"/>
        <v/>
      </c>
      <c r="E28" s="13" t="str">
        <f t="shared" si="1"/>
        <v/>
      </c>
      <c r="F28" s="13" t="str">
        <f t="shared" si="2"/>
        <v/>
      </c>
      <c r="G28" s="13" t="str">
        <f t="shared" si="3"/>
        <v/>
      </c>
      <c r="H28" s="13" t="str">
        <f t="shared" si="4"/>
        <v/>
      </c>
      <c r="I28" t="str">
        <f t="shared" si="5"/>
        <v/>
      </c>
    </row>
    <row r="29" spans="1:9">
      <c r="A29">
        <f>CSV!B29</f>
        <v>0</v>
      </c>
      <c r="B29" s="13" t="e">
        <f>INDEX(Input!$D$2:$AC$500,
       MATCH(CPU_Formula!A29, Input!$J$2:$J$500, 0),
       MATCH("CPU model", Input!$D$1:$AC$1, 0))</f>
        <v>#N/A</v>
      </c>
      <c r="C29" s="13" t="str">
        <f t="shared" si="6"/>
        <v/>
      </c>
      <c r="D29" s="13" t="str">
        <f t="shared" si="0"/>
        <v/>
      </c>
      <c r="E29" s="13" t="str">
        <f t="shared" si="1"/>
        <v/>
      </c>
      <c r="F29" s="13" t="str">
        <f t="shared" si="2"/>
        <v/>
      </c>
      <c r="G29" s="13" t="str">
        <f t="shared" si="3"/>
        <v/>
      </c>
      <c r="H29" s="13" t="str">
        <f t="shared" si="4"/>
        <v/>
      </c>
      <c r="I29" t="str">
        <f t="shared" si="5"/>
        <v/>
      </c>
    </row>
    <row r="30" spans="1:9">
      <c r="A30">
        <f>CSV!B30</f>
        <v>0</v>
      </c>
      <c r="B30" s="13" t="e">
        <f>INDEX(Input!$D$2:$AC$500,
       MATCH(CPU_Formula!A30, Input!$J$2:$J$500, 0),
       MATCH("CPU model", Input!$D$1:$AC$1, 0))</f>
        <v>#N/A</v>
      </c>
      <c r="C30" s="13" t="str">
        <f t="shared" si="6"/>
        <v/>
      </c>
      <c r="D30" s="13" t="str">
        <f t="shared" si="0"/>
        <v/>
      </c>
      <c r="E30" s="13" t="str">
        <f t="shared" si="1"/>
        <v/>
      </c>
      <c r="F30" s="13" t="str">
        <f t="shared" si="2"/>
        <v/>
      </c>
      <c r="G30" s="13" t="str">
        <f t="shared" si="3"/>
        <v/>
      </c>
      <c r="H30" s="13" t="str">
        <f t="shared" si="4"/>
        <v/>
      </c>
      <c r="I30" t="str">
        <f t="shared" si="5"/>
        <v/>
      </c>
    </row>
    <row r="31" spans="1:9">
      <c r="A31">
        <f>CSV!B31</f>
        <v>0</v>
      </c>
      <c r="B31" s="13" t="e">
        <f>INDEX(Input!$D$2:$AC$500,
       MATCH(CPU_Formula!A31, Input!$J$2:$J$500, 0),
       MATCH("CPU model", Input!$D$1:$AC$1, 0))</f>
        <v>#N/A</v>
      </c>
      <c r="C31" s="13" t="str">
        <f t="shared" si="6"/>
        <v/>
      </c>
      <c r="D31" s="13" t="str">
        <f t="shared" si="0"/>
        <v/>
      </c>
      <c r="E31" s="13" t="str">
        <f t="shared" si="1"/>
        <v/>
      </c>
      <c r="F31" s="13" t="str">
        <f t="shared" si="2"/>
        <v/>
      </c>
      <c r="G31" s="13" t="str">
        <f t="shared" si="3"/>
        <v/>
      </c>
      <c r="H31" s="13" t="str">
        <f t="shared" si="4"/>
        <v/>
      </c>
      <c r="I31" t="str">
        <f t="shared" si="5"/>
        <v/>
      </c>
    </row>
    <row r="32" spans="1:9">
      <c r="A32">
        <f>CSV!B32</f>
        <v>0</v>
      </c>
      <c r="B32" s="13" t="e">
        <f>INDEX(Input!$D$2:$AC$500,
       MATCH(CPU_Formula!A32, Input!$J$2:$J$500, 0),
       MATCH("CPU model", Input!$D$1:$AC$1, 0))</f>
        <v>#N/A</v>
      </c>
      <c r="C32" s="13" t="str">
        <f t="shared" si="6"/>
        <v/>
      </c>
      <c r="D32" s="13" t="str">
        <f t="shared" si="0"/>
        <v/>
      </c>
      <c r="E32" s="13" t="str">
        <f t="shared" si="1"/>
        <v/>
      </c>
      <c r="F32" s="13" t="str">
        <f t="shared" si="2"/>
        <v/>
      </c>
      <c r="G32" s="13" t="str">
        <f t="shared" si="3"/>
        <v/>
      </c>
      <c r="H32" s="13" t="str">
        <f t="shared" si="4"/>
        <v/>
      </c>
      <c r="I32" t="str">
        <f t="shared" si="5"/>
        <v/>
      </c>
    </row>
    <row r="33" spans="1:9">
      <c r="A33">
        <f>CSV!B33</f>
        <v>0</v>
      </c>
      <c r="B33" s="13" t="e">
        <f>INDEX(Input!$D$2:$AC$500,
       MATCH(CPU_Formula!A33, Input!$J$2:$J$500, 0),
       MATCH("CPU model", Input!$D$1:$AC$1, 0))</f>
        <v>#N/A</v>
      </c>
      <c r="C33" s="13" t="str">
        <f t="shared" si="6"/>
        <v/>
      </c>
      <c r="D33" s="13" t="str">
        <f t="shared" si="0"/>
        <v/>
      </c>
      <c r="E33" s="13" t="str">
        <f t="shared" si="1"/>
        <v/>
      </c>
      <c r="F33" s="13" t="str">
        <f t="shared" si="2"/>
        <v/>
      </c>
      <c r="G33" s="13" t="str">
        <f t="shared" si="3"/>
        <v/>
      </c>
      <c r="H33" s="13" t="str">
        <f t="shared" si="4"/>
        <v/>
      </c>
      <c r="I33" t="str">
        <f t="shared" si="5"/>
        <v/>
      </c>
    </row>
    <row r="34" spans="1:9">
      <c r="A34">
        <f>CSV!B34</f>
        <v>0</v>
      </c>
      <c r="B34" s="13" t="e">
        <f>INDEX(Input!$D$2:$AC$500,
       MATCH(CPU_Formula!A34, Input!$J$2:$J$500, 0),
       MATCH("CPU model", Input!$D$1:$AC$1, 0))</f>
        <v>#N/A</v>
      </c>
      <c r="C34" s="13" t="str">
        <f t="shared" si="6"/>
        <v/>
      </c>
      <c r="D34" s="13" t="str">
        <f t="shared" si="0"/>
        <v/>
      </c>
      <c r="E34" s="13" t="str">
        <f t="shared" si="1"/>
        <v/>
      </c>
      <c r="F34" s="13" t="str">
        <f t="shared" si="2"/>
        <v/>
      </c>
      <c r="G34" s="13" t="str">
        <f t="shared" si="3"/>
        <v/>
      </c>
      <c r="H34" s="13" t="str">
        <f t="shared" si="4"/>
        <v/>
      </c>
      <c r="I34" t="str">
        <f t="shared" si="5"/>
        <v/>
      </c>
    </row>
    <row r="35" spans="1:9">
      <c r="A35">
        <f>CSV!B35</f>
        <v>0</v>
      </c>
      <c r="B35" s="13" t="e">
        <f>INDEX(Input!$D$2:$AC$500,
       MATCH(CPU_Formula!A35, Input!$J$2:$J$500, 0),
       MATCH("CPU model", Input!$D$1:$AC$1, 0))</f>
        <v>#N/A</v>
      </c>
      <c r="C35" s="13" t="str">
        <f t="shared" si="6"/>
        <v/>
      </c>
      <c r="D35" s="13" t="str">
        <f t="shared" si="0"/>
        <v/>
      </c>
      <c r="E35" s="13" t="str">
        <f t="shared" si="1"/>
        <v/>
      </c>
      <c r="F35" s="13" t="str">
        <f t="shared" si="2"/>
        <v/>
      </c>
      <c r="G35" s="13" t="str">
        <f t="shared" si="3"/>
        <v/>
      </c>
      <c r="H35" s="13" t="str">
        <f t="shared" si="4"/>
        <v/>
      </c>
      <c r="I35" t="str">
        <f t="shared" si="5"/>
        <v/>
      </c>
    </row>
    <row r="36" spans="1:9">
      <c r="A36">
        <f>CSV!B36</f>
        <v>0</v>
      </c>
      <c r="B36" s="13" t="e">
        <f>INDEX(Input!$D$2:$AC$500,
       MATCH(CPU_Formula!A36, Input!$J$2:$J$500, 0),
       MATCH("CPU model", Input!$D$1:$AC$1, 0))</f>
        <v>#N/A</v>
      </c>
      <c r="C36" s="13" t="str">
        <f t="shared" si="6"/>
        <v/>
      </c>
      <c r="D36" s="13" t="str">
        <f t="shared" si="0"/>
        <v/>
      </c>
      <c r="E36" s="13" t="str">
        <f t="shared" si="1"/>
        <v/>
      </c>
      <c r="F36" s="13" t="str">
        <f t="shared" si="2"/>
        <v/>
      </c>
      <c r="G36" s="13" t="str">
        <f t="shared" si="3"/>
        <v/>
      </c>
      <c r="H36" s="13" t="str">
        <f t="shared" si="4"/>
        <v/>
      </c>
      <c r="I36" t="str">
        <f t="shared" si="5"/>
        <v/>
      </c>
    </row>
    <row r="37" spans="1:9">
      <c r="A37">
        <f>CSV!B37</f>
        <v>0</v>
      </c>
      <c r="B37" s="13" t="e">
        <f>INDEX(Input!$D$2:$AC$500,
       MATCH(CPU_Formula!A37, Input!$J$2:$J$500, 0),
       MATCH("CPU model", Input!$D$1:$AC$1, 0))</f>
        <v>#N/A</v>
      </c>
      <c r="C37" s="13" t="str">
        <f t="shared" si="6"/>
        <v/>
      </c>
      <c r="D37" s="13" t="str">
        <f t="shared" si="0"/>
        <v/>
      </c>
      <c r="E37" s="13" t="str">
        <f t="shared" si="1"/>
        <v/>
      </c>
      <c r="F37" s="13" t="str">
        <f t="shared" si="2"/>
        <v/>
      </c>
      <c r="G37" s="13" t="str">
        <f t="shared" si="3"/>
        <v/>
      </c>
      <c r="H37" s="13" t="str">
        <f t="shared" si="4"/>
        <v/>
      </c>
      <c r="I37" t="str">
        <f t="shared" si="5"/>
        <v/>
      </c>
    </row>
    <row r="38" spans="1:9">
      <c r="A38">
        <f>CSV!B38</f>
        <v>0</v>
      </c>
      <c r="B38" s="13" t="e">
        <f>INDEX(Input!$D$2:$AC$500,
       MATCH(CPU_Formula!A38, Input!$J$2:$J$500, 0),
       MATCH("CPU model", Input!$D$1:$AC$1, 0))</f>
        <v>#N/A</v>
      </c>
      <c r="C38" s="13" t="str">
        <f t="shared" si="6"/>
        <v/>
      </c>
      <c r="D38" s="13" t="str">
        <f t="shared" si="0"/>
        <v/>
      </c>
      <c r="E38" s="13" t="str">
        <f t="shared" si="1"/>
        <v/>
      </c>
      <c r="F38" s="13" t="str">
        <f t="shared" si="2"/>
        <v/>
      </c>
      <c r="G38" s="13" t="str">
        <f t="shared" si="3"/>
        <v/>
      </c>
      <c r="H38" s="13" t="str">
        <f t="shared" si="4"/>
        <v/>
      </c>
      <c r="I38" t="str">
        <f t="shared" si="5"/>
        <v/>
      </c>
    </row>
    <row r="39" spans="1:9">
      <c r="A39">
        <f>CSV!B39</f>
        <v>0</v>
      </c>
      <c r="B39" s="13" t="e">
        <f>INDEX(Input!$D$2:$AC$500,
       MATCH(CPU_Formula!A39, Input!$J$2:$J$500, 0),
       MATCH("CPU model", Input!$D$1:$AC$1, 0))</f>
        <v>#N/A</v>
      </c>
      <c r="C39" s="13" t="str">
        <f t="shared" si="6"/>
        <v/>
      </c>
      <c r="D39" s="13" t="str">
        <f t="shared" si="0"/>
        <v/>
      </c>
      <c r="E39" s="13" t="str">
        <f t="shared" si="1"/>
        <v/>
      </c>
      <c r="F39" s="13" t="str">
        <f t="shared" si="2"/>
        <v/>
      </c>
      <c r="G39" s="13" t="str">
        <f t="shared" si="3"/>
        <v/>
      </c>
      <c r="H39" s="13" t="str">
        <f t="shared" si="4"/>
        <v/>
      </c>
      <c r="I39" t="str">
        <f t="shared" si="5"/>
        <v/>
      </c>
    </row>
    <row r="40" spans="1:9">
      <c r="A40">
        <f>CSV!B40</f>
        <v>0</v>
      </c>
      <c r="B40" s="13" t="e">
        <f>INDEX(Input!$D$2:$AC$500,
       MATCH(CPU_Formula!A40, Input!$J$2:$J$500, 0),
       MATCH("CPU model", Input!$D$1:$AC$1, 0))</f>
        <v>#N/A</v>
      </c>
      <c r="C40" s="13" t="str">
        <f t="shared" si="6"/>
        <v/>
      </c>
      <c r="D40" s="13" t="str">
        <f t="shared" si="0"/>
        <v/>
      </c>
      <c r="E40" s="13" t="str">
        <f t="shared" si="1"/>
        <v/>
      </c>
      <c r="F40" s="13" t="str">
        <f t="shared" si="2"/>
        <v/>
      </c>
      <c r="G40" s="13" t="str">
        <f t="shared" si="3"/>
        <v/>
      </c>
      <c r="H40" s="13" t="str">
        <f t="shared" si="4"/>
        <v/>
      </c>
      <c r="I40" t="str">
        <f t="shared" si="5"/>
        <v/>
      </c>
    </row>
    <row r="41" spans="1:9">
      <c r="A41">
        <f>CSV!B41</f>
        <v>0</v>
      </c>
      <c r="B41" s="13" t="e">
        <f>INDEX(Input!$D$2:$AC$500,
       MATCH(CPU_Formula!A41, Input!$J$2:$J$500, 0),
       MATCH("CPU model", Input!$D$1:$AC$1, 0))</f>
        <v>#N/A</v>
      </c>
      <c r="C41" s="13" t="str">
        <f t="shared" si="6"/>
        <v/>
      </c>
      <c r="D41" s="13" t="str">
        <f t="shared" si="0"/>
        <v/>
      </c>
      <c r="E41" s="13" t="str">
        <f t="shared" si="1"/>
        <v/>
      </c>
      <c r="F41" s="13" t="str">
        <f t="shared" si="2"/>
        <v/>
      </c>
      <c r="G41" s="13" t="str">
        <f t="shared" si="3"/>
        <v/>
      </c>
      <c r="H41" s="13" t="str">
        <f t="shared" si="4"/>
        <v/>
      </c>
      <c r="I41" t="str">
        <f t="shared" si="5"/>
        <v/>
      </c>
    </row>
    <row r="42" spans="1:9">
      <c r="A42">
        <f>CSV!B42</f>
        <v>0</v>
      </c>
      <c r="B42" s="13" t="e">
        <f>INDEX(Input!$D$2:$AC$500,
       MATCH(CPU_Formula!A42, Input!$J$2:$J$500, 0),
       MATCH("CPU model", Input!$D$1:$AC$1, 0))</f>
        <v>#N/A</v>
      </c>
      <c r="C42" s="13" t="str">
        <f t="shared" si="6"/>
        <v/>
      </c>
      <c r="D42" s="13" t="str">
        <f t="shared" si="0"/>
        <v/>
      </c>
      <c r="E42" s="13" t="str">
        <f t="shared" si="1"/>
        <v/>
      </c>
      <c r="F42" s="13" t="str">
        <f t="shared" si="2"/>
        <v/>
      </c>
      <c r="G42" s="13" t="str">
        <f t="shared" si="3"/>
        <v/>
      </c>
      <c r="H42" s="13" t="str">
        <f t="shared" si="4"/>
        <v/>
      </c>
      <c r="I42" t="str">
        <f t="shared" si="5"/>
        <v/>
      </c>
    </row>
    <row r="43" spans="1:9">
      <c r="A43">
        <f>CSV!B43</f>
        <v>0</v>
      </c>
      <c r="B43" s="13" t="e">
        <f>INDEX(Input!$D$2:$AC$500,
       MATCH(CPU_Formula!A43, Input!$J$2:$J$500, 0),
       MATCH("CPU model", Input!$D$1:$AC$1, 0))</f>
        <v>#N/A</v>
      </c>
      <c r="C43" s="13" t="str">
        <f t="shared" si="6"/>
        <v/>
      </c>
      <c r="D43" s="13" t="str">
        <f t="shared" si="0"/>
        <v/>
      </c>
      <c r="E43" s="13" t="str">
        <f t="shared" si="1"/>
        <v/>
      </c>
      <c r="F43" s="13" t="str">
        <f t="shared" si="2"/>
        <v/>
      </c>
      <c r="G43" s="13" t="str">
        <f t="shared" si="3"/>
        <v/>
      </c>
      <c r="H43" s="13" t="str">
        <f t="shared" si="4"/>
        <v/>
      </c>
      <c r="I43" t="str">
        <f t="shared" si="5"/>
        <v/>
      </c>
    </row>
    <row r="44" spans="1:9">
      <c r="A44">
        <f>CSV!B44</f>
        <v>0</v>
      </c>
      <c r="B44" s="13" t="e">
        <f>INDEX(Input!$D$2:$AC$500,
       MATCH(CPU_Formula!A44, Input!$J$2:$J$500, 0),
       MATCH("CPU model", Input!$D$1:$AC$1, 0))</f>
        <v>#N/A</v>
      </c>
      <c r="C44" s="13" t="str">
        <f t="shared" si="6"/>
        <v/>
      </c>
      <c r="D44" s="13" t="str">
        <f t="shared" si="0"/>
        <v/>
      </c>
      <c r="E44" s="13" t="str">
        <f t="shared" si="1"/>
        <v/>
      </c>
      <c r="F44" s="13" t="str">
        <f t="shared" si="2"/>
        <v/>
      </c>
      <c r="G44" s="13" t="str">
        <f t="shared" si="3"/>
        <v/>
      </c>
      <c r="H44" s="13" t="str">
        <f t="shared" si="4"/>
        <v/>
      </c>
      <c r="I44" t="str">
        <f t="shared" si="5"/>
        <v/>
      </c>
    </row>
    <row r="45" spans="1:9">
      <c r="A45">
        <f>CSV!B45</f>
        <v>0</v>
      </c>
      <c r="B45" s="13" t="e">
        <f>INDEX(Input!$D$2:$AC$500,
       MATCH(CPU_Formula!A45, Input!$J$2:$J$500, 0),
       MATCH("CPU model", Input!$D$1:$AC$1, 0))</f>
        <v>#N/A</v>
      </c>
      <c r="C45" s="13" t="str">
        <f t="shared" si="6"/>
        <v/>
      </c>
      <c r="D45" s="13" t="str">
        <f t="shared" si="0"/>
        <v/>
      </c>
      <c r="E45" s="13" t="str">
        <f t="shared" si="1"/>
        <v/>
      </c>
      <c r="F45" s="13" t="str">
        <f t="shared" si="2"/>
        <v/>
      </c>
      <c r="G45" s="13" t="str">
        <f t="shared" si="3"/>
        <v/>
      </c>
      <c r="H45" s="13" t="str">
        <f t="shared" si="4"/>
        <v/>
      </c>
      <c r="I45" t="str">
        <f t="shared" si="5"/>
        <v/>
      </c>
    </row>
    <row r="46" spans="1:9">
      <c r="A46">
        <f>CSV!B46</f>
        <v>0</v>
      </c>
      <c r="B46" s="13" t="e">
        <f>INDEX(Input!$D$2:$AC$500,
       MATCH(CPU_Formula!A46, Input!$J$2:$J$500, 0),
       MATCH("CPU model", Input!$D$1:$AC$1, 0))</f>
        <v>#N/A</v>
      </c>
      <c r="C46" s="13" t="str">
        <f t="shared" si="6"/>
        <v/>
      </c>
      <c r="D46" s="13" t="str">
        <f t="shared" si="0"/>
        <v/>
      </c>
      <c r="E46" s="13" t="str">
        <f t="shared" si="1"/>
        <v/>
      </c>
      <c r="F46" s="13" t="str">
        <f t="shared" si="2"/>
        <v/>
      </c>
      <c r="G46" s="13" t="str">
        <f t="shared" si="3"/>
        <v/>
      </c>
      <c r="H46" s="13" t="str">
        <f t="shared" si="4"/>
        <v/>
      </c>
      <c r="I46" t="str">
        <f t="shared" si="5"/>
        <v/>
      </c>
    </row>
    <row r="47" spans="1:9">
      <c r="A47">
        <f>CSV!B47</f>
        <v>0</v>
      </c>
      <c r="B47" s="13" t="e">
        <f>INDEX(Input!$D$2:$AC$500,
       MATCH(CPU_Formula!A47, Input!$J$2:$J$500, 0),
       MATCH("CPU model", Input!$D$1:$AC$1, 0))</f>
        <v>#N/A</v>
      </c>
      <c r="C47" s="13" t="str">
        <f t="shared" si="6"/>
        <v/>
      </c>
      <c r="D47" s="13" t="str">
        <f t="shared" si="0"/>
        <v/>
      </c>
      <c r="E47" s="13" t="str">
        <f t="shared" si="1"/>
        <v/>
      </c>
      <c r="F47" s="13" t="str">
        <f t="shared" si="2"/>
        <v/>
      </c>
      <c r="G47" s="13" t="str">
        <f t="shared" si="3"/>
        <v/>
      </c>
      <c r="H47" s="13" t="str">
        <f t="shared" si="4"/>
        <v/>
      </c>
      <c r="I47" t="str">
        <f t="shared" si="5"/>
        <v/>
      </c>
    </row>
    <row r="48" spans="1:9">
      <c r="A48">
        <f>CSV!B48</f>
        <v>0</v>
      </c>
      <c r="B48" s="13" t="e">
        <f>INDEX(Input!$D$2:$AC$500,
       MATCH(CPU_Formula!A48, Input!$J$2:$J$500, 0),
       MATCH("CPU model", Input!$D$1:$AC$1, 0))</f>
        <v>#N/A</v>
      </c>
      <c r="C48" s="13" t="str">
        <f t="shared" si="6"/>
        <v/>
      </c>
      <c r="D48" s="13" t="str">
        <f t="shared" si="0"/>
        <v/>
      </c>
      <c r="E48" s="13" t="str">
        <f t="shared" si="1"/>
        <v/>
      </c>
      <c r="F48" s="13" t="str">
        <f t="shared" si="2"/>
        <v/>
      </c>
      <c r="G48" s="13" t="str">
        <f t="shared" si="3"/>
        <v/>
      </c>
      <c r="H48" s="13" t="str">
        <f t="shared" si="4"/>
        <v/>
      </c>
      <c r="I48" t="str">
        <f t="shared" si="5"/>
        <v/>
      </c>
    </row>
    <row r="49" spans="1:9">
      <c r="A49">
        <f>CSV!B49</f>
        <v>0</v>
      </c>
      <c r="B49" s="13" t="e">
        <f>INDEX(Input!$D$2:$AC$500,
       MATCH(CPU_Formula!A49, Input!$J$2:$J$500, 0),
       MATCH("CPU model", Input!$D$1:$AC$1, 0))</f>
        <v>#N/A</v>
      </c>
      <c r="C49" s="13" t="str">
        <f t="shared" si="6"/>
        <v/>
      </c>
      <c r="D49" s="13" t="str">
        <f t="shared" si="0"/>
        <v/>
      </c>
      <c r="E49" s="13" t="str">
        <f t="shared" si="1"/>
        <v/>
      </c>
      <c r="F49" s="13" t="str">
        <f t="shared" si="2"/>
        <v/>
      </c>
      <c r="G49" s="13" t="str">
        <f t="shared" si="3"/>
        <v/>
      </c>
      <c r="H49" s="13" t="str">
        <f t="shared" si="4"/>
        <v/>
      </c>
      <c r="I49" t="str">
        <f t="shared" si="5"/>
        <v/>
      </c>
    </row>
    <row r="50" spans="1:9">
      <c r="A50">
        <f>CSV!B50</f>
        <v>0</v>
      </c>
      <c r="B50" s="13" t="e">
        <f>INDEX(Input!$D$2:$AC$500,
       MATCH(CPU_Formula!A50, Input!$J$2:$J$500, 0),
       MATCH("CPU model", Input!$D$1:$AC$1, 0))</f>
        <v>#N/A</v>
      </c>
      <c r="C50" s="13" t="str">
        <f t="shared" si="6"/>
        <v/>
      </c>
      <c r="D50" s="13" t="str">
        <f t="shared" si="0"/>
        <v/>
      </c>
      <c r="E50" s="13" t="str">
        <f t="shared" si="1"/>
        <v/>
      </c>
      <c r="F50" s="13" t="str">
        <f t="shared" si="2"/>
        <v/>
      </c>
      <c r="G50" s="13" t="str">
        <f t="shared" si="3"/>
        <v/>
      </c>
      <c r="H50" s="13" t="str">
        <f t="shared" si="4"/>
        <v/>
      </c>
      <c r="I50" t="str">
        <f t="shared" si="5"/>
        <v/>
      </c>
    </row>
    <row r="51" spans="1:9">
      <c r="A51">
        <f>CSV!B51</f>
        <v>0</v>
      </c>
      <c r="B51" s="13" t="e">
        <f>INDEX(Input!$D$2:$AC$500,
       MATCH(CPU_Formula!A51, Input!$J$2:$J$500, 0),
       MATCH("CPU model", Input!$D$1:$AC$1, 0))</f>
        <v>#N/A</v>
      </c>
      <c r="C51" s="13" t="str">
        <f t="shared" si="6"/>
        <v/>
      </c>
      <c r="D51" s="13" t="str">
        <f t="shared" si="0"/>
        <v/>
      </c>
      <c r="E51" s="13" t="str">
        <f t="shared" si="1"/>
        <v/>
      </c>
      <c r="F51" s="13" t="str">
        <f t="shared" si="2"/>
        <v/>
      </c>
      <c r="G51" s="13" t="str">
        <f t="shared" si="3"/>
        <v/>
      </c>
      <c r="H51" s="13" t="str">
        <f t="shared" si="4"/>
        <v/>
      </c>
      <c r="I51" t="str">
        <f t="shared" si="5"/>
        <v/>
      </c>
    </row>
    <row r="52" spans="1:9">
      <c r="A52">
        <f>CSV!B52</f>
        <v>0</v>
      </c>
      <c r="B52" s="13" t="e">
        <f>INDEX(Input!$D$2:$AC$500,
       MATCH(CPU_Formula!A52, Input!$J$2:$J$500, 0),
       MATCH("CPU model", Input!$D$1:$AC$1, 0))</f>
        <v>#N/A</v>
      </c>
      <c r="C52" s="13" t="str">
        <f t="shared" si="6"/>
        <v/>
      </c>
      <c r="D52" s="13" t="str">
        <f t="shared" si="0"/>
        <v/>
      </c>
      <c r="E52" s="13" t="str">
        <f t="shared" si="1"/>
        <v/>
      </c>
      <c r="F52" s="13" t="str">
        <f t="shared" si="2"/>
        <v/>
      </c>
      <c r="G52" s="13" t="str">
        <f t="shared" si="3"/>
        <v/>
      </c>
      <c r="H52" s="13" t="str">
        <f t="shared" si="4"/>
        <v/>
      </c>
      <c r="I52" t="str">
        <f t="shared" si="5"/>
        <v/>
      </c>
    </row>
    <row r="53" spans="1:9">
      <c r="A53">
        <f>CSV!B53</f>
        <v>0</v>
      </c>
      <c r="B53" s="13" t="e">
        <f>INDEX(Input!$D$2:$AC$500,
       MATCH(CPU_Formula!A53, Input!$J$2:$J$500, 0),
       MATCH("CPU model", Input!$D$1:$AC$1, 0))</f>
        <v>#N/A</v>
      </c>
      <c r="C53" s="13" t="str">
        <f t="shared" si="6"/>
        <v/>
      </c>
      <c r="D53" s="13" t="str">
        <f t="shared" si="0"/>
        <v/>
      </c>
      <c r="E53" s="13" t="str">
        <f t="shared" si="1"/>
        <v/>
      </c>
      <c r="F53" s="13" t="str">
        <f t="shared" si="2"/>
        <v/>
      </c>
      <c r="G53" s="13" t="str">
        <f t="shared" si="3"/>
        <v/>
      </c>
      <c r="H53" s="13" t="str">
        <f t="shared" si="4"/>
        <v/>
      </c>
      <c r="I53" t="str">
        <f t="shared" si="5"/>
        <v/>
      </c>
    </row>
    <row r="54" spans="1:9">
      <c r="A54">
        <f>CSV!B54</f>
        <v>0</v>
      </c>
      <c r="B54" s="13" t="e">
        <f>INDEX(Input!$D$2:$AC$500,
       MATCH(CPU_Formula!A54, Input!$J$2:$J$500, 0),
       MATCH("CPU model", Input!$D$1:$AC$1, 0))</f>
        <v>#N/A</v>
      </c>
      <c r="C54" s="13" t="str">
        <f t="shared" si="6"/>
        <v/>
      </c>
      <c r="D54" s="13" t="str">
        <f t="shared" si="0"/>
        <v/>
      </c>
      <c r="E54" s="13" t="str">
        <f t="shared" si="1"/>
        <v/>
      </c>
      <c r="F54" s="13" t="str">
        <f t="shared" si="2"/>
        <v/>
      </c>
      <c r="G54" s="13" t="str">
        <f t="shared" si="3"/>
        <v/>
      </c>
      <c r="H54" s="13" t="str">
        <f t="shared" si="4"/>
        <v/>
      </c>
      <c r="I54" t="str">
        <f t="shared" si="5"/>
        <v/>
      </c>
    </row>
    <row r="55" spans="1:9">
      <c r="A55">
        <f>CSV!B55</f>
        <v>0</v>
      </c>
      <c r="B55" s="13" t="e">
        <f>INDEX(Input!$D$2:$AC$500,
       MATCH(CPU_Formula!A55, Input!$J$2:$J$500, 0),
       MATCH("CPU model", Input!$D$1:$AC$1, 0))</f>
        <v>#N/A</v>
      </c>
      <c r="C55" s="13" t="str">
        <f t="shared" si="6"/>
        <v/>
      </c>
      <c r="D55" s="13" t="str">
        <f t="shared" si="0"/>
        <v/>
      </c>
      <c r="E55" s="13" t="str">
        <f t="shared" si="1"/>
        <v/>
      </c>
      <c r="F55" s="13" t="str">
        <f t="shared" si="2"/>
        <v/>
      </c>
      <c r="G55" s="13" t="str">
        <f t="shared" si="3"/>
        <v/>
      </c>
      <c r="H55" s="13" t="str">
        <f t="shared" si="4"/>
        <v/>
      </c>
      <c r="I55" t="str">
        <f t="shared" si="5"/>
        <v/>
      </c>
    </row>
    <row r="56" spans="1:9">
      <c r="A56">
        <f>CSV!B56</f>
        <v>0</v>
      </c>
      <c r="B56" s="13" t="e">
        <f>INDEX(Input!$D$2:$AC$500,
       MATCH(CPU_Formula!A56, Input!$J$2:$J$500, 0),
       MATCH("CPU model", Input!$D$1:$AC$1, 0))</f>
        <v>#N/A</v>
      </c>
      <c r="C56" s="13" t="str">
        <f t="shared" si="6"/>
        <v/>
      </c>
      <c r="D56" s="13" t="str">
        <f t="shared" si="0"/>
        <v/>
      </c>
      <c r="E56" s="13" t="str">
        <f t="shared" si="1"/>
        <v/>
      </c>
      <c r="F56" s="13" t="str">
        <f t="shared" si="2"/>
        <v/>
      </c>
      <c r="G56" s="13" t="str">
        <f t="shared" si="3"/>
        <v/>
      </c>
      <c r="H56" s="13" t="str">
        <f t="shared" si="4"/>
        <v/>
      </c>
      <c r="I56" t="str">
        <f t="shared" si="5"/>
        <v/>
      </c>
    </row>
    <row r="57" spans="1:9">
      <c r="A57">
        <f>CSV!B57</f>
        <v>0</v>
      </c>
      <c r="B57" s="13" t="e">
        <f>INDEX(Input!$D$2:$AC$500,
       MATCH(CPU_Formula!A57, Input!$J$2:$J$500, 0),
       MATCH("CPU model", Input!$D$1:$AC$1, 0))</f>
        <v>#N/A</v>
      </c>
      <c r="C57" s="13" t="str">
        <f t="shared" si="6"/>
        <v/>
      </c>
      <c r="D57" s="13" t="str">
        <f t="shared" si="0"/>
        <v/>
      </c>
      <c r="E57" s="13" t="str">
        <f t="shared" si="1"/>
        <v/>
      </c>
      <c r="F57" s="13" t="str">
        <f t="shared" si="2"/>
        <v/>
      </c>
      <c r="G57" s="13" t="str">
        <f t="shared" si="3"/>
        <v/>
      </c>
      <c r="H57" s="13" t="str">
        <f t="shared" si="4"/>
        <v/>
      </c>
      <c r="I57" t="str">
        <f t="shared" si="5"/>
        <v/>
      </c>
    </row>
    <row r="58" spans="1:9">
      <c r="A58">
        <f>CSV!B58</f>
        <v>0</v>
      </c>
      <c r="B58" s="13" t="e">
        <f>INDEX(Input!$D$2:$AC$500,
       MATCH(CPU_Formula!A58, Input!$J$2:$J$500, 0),
       MATCH("CPU model", Input!$D$1:$AC$1, 0))</f>
        <v>#N/A</v>
      </c>
      <c r="C58" s="13" t="str">
        <f t="shared" si="6"/>
        <v/>
      </c>
      <c r="D58" s="13" t="str">
        <f t="shared" si="0"/>
        <v/>
      </c>
      <c r="E58" s="13" t="str">
        <f t="shared" si="1"/>
        <v/>
      </c>
      <c r="F58" s="13" t="str">
        <f t="shared" si="2"/>
        <v/>
      </c>
      <c r="G58" s="13" t="str">
        <f t="shared" si="3"/>
        <v/>
      </c>
      <c r="H58" s="13" t="str">
        <f t="shared" si="4"/>
        <v/>
      </c>
      <c r="I58" t="str">
        <f t="shared" si="5"/>
        <v/>
      </c>
    </row>
    <row r="59" spans="1:9">
      <c r="A59">
        <f>CSV!B59</f>
        <v>0</v>
      </c>
      <c r="B59" s="13" t="e">
        <f>INDEX(Input!$D$2:$AC$500,
       MATCH(CPU_Formula!A59, Input!$J$2:$J$500, 0),
       MATCH("CPU model", Input!$D$1:$AC$1, 0))</f>
        <v>#N/A</v>
      </c>
      <c r="C59" s="13" t="str">
        <f t="shared" si="6"/>
        <v/>
      </c>
      <c r="D59" s="13" t="str">
        <f t="shared" si="0"/>
        <v/>
      </c>
      <c r="E59" s="13" t="str">
        <f t="shared" si="1"/>
        <v/>
      </c>
      <c r="F59" s="13" t="str">
        <f t="shared" si="2"/>
        <v/>
      </c>
      <c r="G59" s="13" t="str">
        <f t="shared" si="3"/>
        <v/>
      </c>
      <c r="H59" s="13" t="str">
        <f t="shared" si="4"/>
        <v/>
      </c>
      <c r="I59" t="str">
        <f t="shared" si="5"/>
        <v/>
      </c>
    </row>
    <row r="60" spans="1:9">
      <c r="A60">
        <f>CSV!B60</f>
        <v>0</v>
      </c>
      <c r="B60" s="13" t="e">
        <f>INDEX(Input!$D$2:$AC$500,
       MATCH(CPU_Formula!A60, Input!$J$2:$J$500, 0),
       MATCH("CPU model", Input!$D$1:$AC$1, 0))</f>
        <v>#N/A</v>
      </c>
      <c r="C60" s="13" t="str">
        <f t="shared" si="6"/>
        <v/>
      </c>
      <c r="D60" s="13" t="str">
        <f t="shared" si="0"/>
        <v/>
      </c>
      <c r="E60" s="13" t="str">
        <f t="shared" si="1"/>
        <v/>
      </c>
      <c r="F60" s="13" t="str">
        <f t="shared" si="2"/>
        <v/>
      </c>
      <c r="G60" s="13" t="str">
        <f t="shared" si="3"/>
        <v/>
      </c>
      <c r="H60" s="13" t="str">
        <f t="shared" si="4"/>
        <v/>
      </c>
      <c r="I60" t="str">
        <f t="shared" si="5"/>
        <v/>
      </c>
    </row>
    <row r="61" spans="1:9">
      <c r="A61">
        <f>CSV!B61</f>
        <v>0</v>
      </c>
      <c r="B61" s="13" t="e">
        <f>INDEX(Input!$D$2:$AC$500,
       MATCH(CPU_Formula!A61, Input!$J$2:$J$500, 0),
       MATCH("CPU model", Input!$D$1:$AC$1, 0))</f>
        <v>#N/A</v>
      </c>
      <c r="C61" s="13" t="str">
        <f t="shared" si="6"/>
        <v/>
      </c>
      <c r="D61" s="13" t="str">
        <f t="shared" si="0"/>
        <v/>
      </c>
      <c r="E61" s="13" t="str">
        <f t="shared" si="1"/>
        <v/>
      </c>
      <c r="F61" s="13" t="str">
        <f t="shared" si="2"/>
        <v/>
      </c>
      <c r="G61" s="13" t="str">
        <f t="shared" si="3"/>
        <v/>
      </c>
      <c r="H61" s="13" t="str">
        <f t="shared" si="4"/>
        <v/>
      </c>
      <c r="I61" t="str">
        <f t="shared" si="5"/>
        <v/>
      </c>
    </row>
    <row r="62" spans="1:9">
      <c r="A62">
        <f>CSV!B62</f>
        <v>0</v>
      </c>
      <c r="B62" s="13" t="e">
        <f>INDEX(Input!$D$2:$AC$500,
       MATCH(CPU_Formula!A62, Input!$J$2:$J$500, 0),
       MATCH("CPU model", Input!$D$1:$AC$1, 0))</f>
        <v>#N/A</v>
      </c>
      <c r="C62" s="13" t="str">
        <f t="shared" si="6"/>
        <v/>
      </c>
      <c r="D62" s="13" t="str">
        <f t="shared" si="0"/>
        <v/>
      </c>
      <c r="E62" s="13" t="str">
        <f t="shared" si="1"/>
        <v/>
      </c>
      <c r="F62" s="13" t="str">
        <f t="shared" si="2"/>
        <v/>
      </c>
      <c r="G62" s="13" t="str">
        <f t="shared" si="3"/>
        <v/>
      </c>
      <c r="H62" s="13" t="str">
        <f t="shared" si="4"/>
        <v/>
      </c>
      <c r="I62" t="str">
        <f t="shared" si="5"/>
        <v/>
      </c>
    </row>
    <row r="63" spans="1:9">
      <c r="A63">
        <f>CSV!B63</f>
        <v>0</v>
      </c>
      <c r="B63" s="13" t="e">
        <f>INDEX(Input!$D$2:$AC$500,
       MATCH(CPU_Formula!A63, Input!$J$2:$J$500, 0),
       MATCH("CPU model", Input!$D$1:$AC$1, 0))</f>
        <v>#N/A</v>
      </c>
      <c r="C63" s="13" t="str">
        <f t="shared" si="6"/>
        <v/>
      </c>
      <c r="D63" s="13" t="str">
        <f t="shared" si="0"/>
        <v/>
      </c>
      <c r="E63" s="13" t="str">
        <f t="shared" si="1"/>
        <v/>
      </c>
      <c r="F63" s="13" t="str">
        <f t="shared" si="2"/>
        <v/>
      </c>
      <c r="G63" s="13" t="str">
        <f t="shared" si="3"/>
        <v/>
      </c>
      <c r="H63" s="13" t="str">
        <f t="shared" si="4"/>
        <v/>
      </c>
      <c r="I63" t="str">
        <f t="shared" si="5"/>
        <v/>
      </c>
    </row>
    <row r="64" spans="1:9">
      <c r="A64">
        <f>CSV!B64</f>
        <v>0</v>
      </c>
      <c r="B64" s="13" t="e">
        <f>INDEX(Input!$D$2:$AC$500,
       MATCH(CPU_Formula!A64, Input!$J$2:$J$500, 0),
       MATCH("CPU model", Input!$D$1:$AC$1, 0))</f>
        <v>#N/A</v>
      </c>
      <c r="C64" s="13" t="str">
        <f t="shared" si="6"/>
        <v/>
      </c>
      <c r="D64" s="13" t="str">
        <f t="shared" si="0"/>
        <v/>
      </c>
      <c r="E64" s="13" t="str">
        <f t="shared" si="1"/>
        <v/>
      </c>
      <c r="F64" s="13" t="str">
        <f t="shared" si="2"/>
        <v/>
      </c>
      <c r="G64" s="13" t="str">
        <f t="shared" si="3"/>
        <v/>
      </c>
      <c r="H64" s="13" t="str">
        <f t="shared" si="4"/>
        <v/>
      </c>
      <c r="I64" t="str">
        <f t="shared" si="5"/>
        <v/>
      </c>
    </row>
    <row r="65" spans="1:9">
      <c r="A65">
        <f>CSV!B65</f>
        <v>0</v>
      </c>
      <c r="B65" s="13" t="e">
        <f>INDEX(Input!$D$2:$AC$500,
       MATCH(CPU_Formula!A65, Input!$J$2:$J$500, 0),
       MATCH("CPU model", Input!$D$1:$AC$1, 0))</f>
        <v>#N/A</v>
      </c>
      <c r="C65" s="13" t="str">
        <f t="shared" si="6"/>
        <v/>
      </c>
      <c r="D65" s="13" t="str">
        <f t="shared" si="0"/>
        <v/>
      </c>
      <c r="E65" s="13" t="str">
        <f t="shared" si="1"/>
        <v/>
      </c>
      <c r="F65" s="13" t="str">
        <f t="shared" si="2"/>
        <v/>
      </c>
      <c r="G65" s="13" t="str">
        <f t="shared" si="3"/>
        <v/>
      </c>
      <c r="H65" s="13" t="str">
        <f t="shared" si="4"/>
        <v/>
      </c>
      <c r="I65" t="str">
        <f t="shared" si="5"/>
        <v/>
      </c>
    </row>
    <row r="66" spans="1:9">
      <c r="A66">
        <f>CSV!B66</f>
        <v>0</v>
      </c>
      <c r="B66" s="13" t="e">
        <f>INDEX(Input!$D$2:$AC$500,
       MATCH(CPU_Formula!A66, Input!$J$2:$J$500, 0),
       MATCH("CPU model", Input!$D$1:$AC$1, 0))</f>
        <v>#N/A</v>
      </c>
      <c r="C66" s="13" t="str">
        <f t="shared" si="6"/>
        <v/>
      </c>
      <c r="D66" s="13" t="str">
        <f t="shared" ref="D66:D73" si="7">IF(ISNUMBER(SEARCH("Ryzen", B66)), _xlfn.TEXTAFTER(B66, "AMD"), "")</f>
        <v/>
      </c>
      <c r="E66" s="13" t="str">
        <f t="shared" ref="E66:E73" si="8">IF(ISNUMBER(SEARCH("Ultra", B66)), "Ultra"&amp;_xlfn.TEXTAFTER(B66, "Ultra"), "")</f>
        <v/>
      </c>
      <c r="F66" s="13" t="str">
        <f t="shared" ref="F66:F73" si="9">IF(C66&lt;&gt;"", TRIM(_xlfn.TEXTBEFORE(C66," ",,1,1)), "")</f>
        <v/>
      </c>
      <c r="G66" s="13" t="str">
        <f t="shared" ref="G66:G73" si="10">IFERROR(_xlfn.TEXTBEFORE(D66,"w/"),"")</f>
        <v/>
      </c>
      <c r="H66" s="13" t="str">
        <f t="shared" ref="H66:H73" si="11">E66</f>
        <v/>
      </c>
      <c r="I66" t="str">
        <f t="shared" ref="I66:I73" si="12">IF(H66&lt;&gt;"",H66,IF(G66&lt;&gt;"",G66,F66))</f>
        <v/>
      </c>
    </row>
    <row r="67" spans="1:9">
      <c r="A67">
        <f>CSV!B67</f>
        <v>0</v>
      </c>
      <c r="B67" s="13" t="e">
        <f>INDEX(Input!$D$2:$AC$500,
       MATCH(CPU_Formula!A67, Input!$J$2:$J$500, 0),
       MATCH("CPU model", Input!$D$1:$AC$1, 0))</f>
        <v>#N/A</v>
      </c>
      <c r="C67" s="13" t="str">
        <f t="shared" ref="C67:C103" si="13">IFERROR(_xlfn.TEXTAFTER(B67,"Core(TM) "),IFERROR(_xlfn.TEXTAFTER(B67,"Xeon(R) CPU"),""))</f>
        <v/>
      </c>
      <c r="D67" s="13" t="str">
        <f t="shared" si="7"/>
        <v/>
      </c>
      <c r="E67" s="13" t="str">
        <f t="shared" si="8"/>
        <v/>
      </c>
      <c r="F67" s="13" t="str">
        <f t="shared" si="9"/>
        <v/>
      </c>
      <c r="G67" s="13" t="str">
        <f t="shared" si="10"/>
        <v/>
      </c>
      <c r="H67" s="13" t="str">
        <f t="shared" si="11"/>
        <v/>
      </c>
      <c r="I67" t="str">
        <f t="shared" si="12"/>
        <v/>
      </c>
    </row>
    <row r="68" spans="1:9">
      <c r="A68">
        <f>CSV!B68</f>
        <v>0</v>
      </c>
      <c r="B68" s="13" t="e">
        <f>INDEX(Input!$D$2:$AC$500,
       MATCH(CPU_Formula!A68, Input!$J$2:$J$500, 0),
       MATCH("CPU model", Input!$D$1:$AC$1, 0))</f>
        <v>#N/A</v>
      </c>
      <c r="C68" s="13" t="str">
        <f t="shared" si="13"/>
        <v/>
      </c>
      <c r="D68" s="13" t="str">
        <f t="shared" si="7"/>
        <v/>
      </c>
      <c r="E68" s="13" t="str">
        <f t="shared" si="8"/>
        <v/>
      </c>
      <c r="F68" s="13" t="str">
        <f t="shared" si="9"/>
        <v/>
      </c>
      <c r="G68" s="13" t="str">
        <f t="shared" si="10"/>
        <v/>
      </c>
      <c r="H68" s="13" t="str">
        <f t="shared" si="11"/>
        <v/>
      </c>
      <c r="I68" t="str">
        <f t="shared" si="12"/>
        <v/>
      </c>
    </row>
    <row r="69" spans="1:9">
      <c r="A69">
        <f>CSV!B69</f>
        <v>0</v>
      </c>
      <c r="B69" s="13" t="e">
        <f>INDEX(Input!$D$2:$AC$500,
       MATCH(CPU_Formula!A69, Input!$J$2:$J$500, 0),
       MATCH("CPU model", Input!$D$1:$AC$1, 0))</f>
        <v>#N/A</v>
      </c>
      <c r="C69" s="13" t="str">
        <f t="shared" si="13"/>
        <v/>
      </c>
      <c r="D69" s="13" t="str">
        <f t="shared" si="7"/>
        <v/>
      </c>
      <c r="E69" s="13" t="str">
        <f t="shared" si="8"/>
        <v/>
      </c>
      <c r="F69" s="13" t="str">
        <f t="shared" si="9"/>
        <v/>
      </c>
      <c r="G69" s="13" t="str">
        <f t="shared" si="10"/>
        <v/>
      </c>
      <c r="H69" s="13" t="str">
        <f t="shared" si="11"/>
        <v/>
      </c>
      <c r="I69" t="str">
        <f t="shared" si="12"/>
        <v/>
      </c>
    </row>
    <row r="70" spans="1:9">
      <c r="A70">
        <f>CSV!B70</f>
        <v>0</v>
      </c>
      <c r="B70" s="13" t="e">
        <f>INDEX(Input!$D$2:$AC$500,
       MATCH(CPU_Formula!A70, Input!$J$2:$J$500, 0),
       MATCH("CPU model", Input!$D$1:$AC$1, 0))</f>
        <v>#N/A</v>
      </c>
      <c r="C70" s="13" t="str">
        <f t="shared" si="13"/>
        <v/>
      </c>
      <c r="D70" s="13" t="str">
        <f t="shared" si="7"/>
        <v/>
      </c>
      <c r="E70" s="13" t="str">
        <f t="shared" si="8"/>
        <v/>
      </c>
      <c r="F70" s="13" t="str">
        <f t="shared" si="9"/>
        <v/>
      </c>
      <c r="G70" s="13" t="str">
        <f t="shared" si="10"/>
        <v/>
      </c>
      <c r="H70" s="13" t="str">
        <f t="shared" si="11"/>
        <v/>
      </c>
      <c r="I70" t="str">
        <f t="shared" si="12"/>
        <v/>
      </c>
    </row>
    <row r="71" spans="1:9">
      <c r="A71">
        <f>CSV!B71</f>
        <v>0</v>
      </c>
      <c r="B71" s="13" t="e">
        <f>INDEX(Input!$D$2:$AC$500,
       MATCH(CPU_Formula!A71, Input!$J$2:$J$500, 0),
       MATCH("CPU model", Input!$D$1:$AC$1, 0))</f>
        <v>#N/A</v>
      </c>
      <c r="C71" s="13" t="str">
        <f t="shared" si="13"/>
        <v/>
      </c>
      <c r="D71" s="13" t="str">
        <f t="shared" si="7"/>
        <v/>
      </c>
      <c r="E71" s="13" t="str">
        <f t="shared" si="8"/>
        <v/>
      </c>
      <c r="F71" s="13" t="str">
        <f t="shared" si="9"/>
        <v/>
      </c>
      <c r="G71" s="13" t="str">
        <f t="shared" si="10"/>
        <v/>
      </c>
      <c r="H71" s="13" t="str">
        <f t="shared" si="11"/>
        <v/>
      </c>
      <c r="I71" t="str">
        <f t="shared" si="12"/>
        <v/>
      </c>
    </row>
    <row r="72" spans="1:9">
      <c r="A72">
        <f>CSV!B72</f>
        <v>0</v>
      </c>
      <c r="B72" s="13" t="e">
        <f>INDEX(Input!$D$2:$AC$500,
       MATCH(CPU_Formula!A72, Input!$J$2:$J$500, 0),
       MATCH("CPU model", Input!$D$1:$AC$1, 0))</f>
        <v>#N/A</v>
      </c>
      <c r="C72" s="13" t="str">
        <f t="shared" si="13"/>
        <v/>
      </c>
      <c r="D72" s="13" t="str">
        <f t="shared" si="7"/>
        <v/>
      </c>
      <c r="E72" s="13" t="str">
        <f t="shared" si="8"/>
        <v/>
      </c>
      <c r="F72" s="13" t="str">
        <f t="shared" si="9"/>
        <v/>
      </c>
      <c r="G72" s="13" t="str">
        <f t="shared" si="10"/>
        <v/>
      </c>
      <c r="H72" s="13" t="str">
        <f t="shared" si="11"/>
        <v/>
      </c>
      <c r="I72" t="str">
        <f t="shared" si="12"/>
        <v/>
      </c>
    </row>
    <row r="73" spans="1:9">
      <c r="A73">
        <f>CSV!B73</f>
        <v>0</v>
      </c>
      <c r="B73" s="13" t="e">
        <f>INDEX(Input!$D$2:$AC$500,
       MATCH(CPU_Formula!A73, Input!$J$2:$J$500, 0),
       MATCH("CPU model", Input!$D$1:$AC$1, 0))</f>
        <v>#N/A</v>
      </c>
      <c r="C73" s="13" t="str">
        <f t="shared" si="13"/>
        <v/>
      </c>
      <c r="D73" s="13" t="str">
        <f t="shared" si="7"/>
        <v/>
      </c>
      <c r="E73" s="13" t="str">
        <f t="shared" si="8"/>
        <v/>
      </c>
      <c r="F73" s="13" t="str">
        <f t="shared" si="9"/>
        <v/>
      </c>
      <c r="G73" s="13" t="str">
        <f t="shared" si="10"/>
        <v/>
      </c>
      <c r="H73" s="13" t="str">
        <f t="shared" si="11"/>
        <v/>
      </c>
      <c r="I73" t="str">
        <f t="shared" si="12"/>
        <v/>
      </c>
    </row>
    <row r="74" spans="1:9">
      <c r="A74">
        <f>CSV!B74</f>
        <v>0</v>
      </c>
      <c r="B74" s="13" t="e">
        <f>INDEX(Input!$D$2:$AC$500,
       MATCH(CPU_Formula!A74, Input!$J$2:$J$500, 0),
       MATCH("CPU model", Input!$D$1:$AC$1, 0))</f>
        <v>#N/A</v>
      </c>
      <c r="C74" s="13" t="str">
        <f t="shared" si="13"/>
        <v/>
      </c>
      <c r="D74" s="13" t="str">
        <f>IF(ISNUMBER(SEARCH("Ryzen", B74)), _xlfn.TEXTAFTER(B74, "AMD"), "")</f>
        <v/>
      </c>
      <c r="E74" s="13" t="str">
        <f t="shared" ref="E74:E103" si="14">IF(ISNUMBER(SEARCH("Ultra", B74)), "Ultra"&amp;_xlfn.TEXTAFTER(B74, "Ultra"), "")</f>
        <v/>
      </c>
      <c r="F74" s="13" t="str">
        <f t="shared" ref="F74:F103" si="15">IF(C74&lt;&gt;"", TRIM(_xlfn.TEXTBEFORE(C74," ",,1,1)), "")</f>
        <v/>
      </c>
      <c r="G74" s="13" t="str">
        <f>IFERROR(_xlfn.TEXTBEFORE(D74,"w/"),"")</f>
        <v/>
      </c>
      <c r="H74" s="13" t="str">
        <f t="shared" ref="H74:H103" si="16">E74</f>
        <v/>
      </c>
      <c r="I74" t="str">
        <f t="shared" ref="I74:I103" si="17">IF(H74&lt;&gt;"",H74,IF(G74&lt;&gt;"",G74,F74))</f>
        <v/>
      </c>
    </row>
    <row r="75" spans="1:9">
      <c r="A75">
        <f>CSV!B75</f>
        <v>0</v>
      </c>
      <c r="B75" s="13" t="e">
        <f>INDEX(Input!$D$2:$AC$500,
       MATCH(CPU_Formula!A75, Input!$J$2:$J$500, 0),
       MATCH("CPU model", Input!$D$1:$AC$1, 0))</f>
        <v>#N/A</v>
      </c>
      <c r="C75" s="13" t="str">
        <f t="shared" si="13"/>
        <v/>
      </c>
      <c r="D75" s="13" t="str">
        <f t="shared" ref="D75:D87" si="18">IF(ISNUMBER(SEARCH("Ryzen", B75)), _xlfn.TEXTAFTER(B75, "AMD"), "")</f>
        <v/>
      </c>
      <c r="E75" s="13" t="str">
        <f t="shared" ref="E75:E87" si="19">IF(ISNUMBER(SEARCH("Ultra", B75)), "Ultra"&amp;_xlfn.TEXTAFTER(B75, "Ultra"), "")</f>
        <v/>
      </c>
      <c r="F75" s="13" t="str">
        <f t="shared" ref="F75:F87" si="20">IF(C75&lt;&gt;"", TRIM(_xlfn.TEXTBEFORE(C75," ",,1,1)), "")</f>
        <v/>
      </c>
      <c r="G75" s="13" t="str">
        <f t="shared" ref="G75:G87" si="21">IFERROR(_xlfn.TEXTBEFORE(D75,"w/"),"")</f>
        <v/>
      </c>
      <c r="H75" s="13" t="str">
        <f t="shared" ref="H75:H87" si="22">E75</f>
        <v/>
      </c>
      <c r="I75" t="str">
        <f t="shared" ref="I75:I87" si="23">IF(H75&lt;&gt;"",H75,IF(G75&lt;&gt;"",G75,F75))</f>
        <v/>
      </c>
    </row>
    <row r="76" spans="1:9">
      <c r="A76">
        <f>CSV!B76</f>
        <v>0</v>
      </c>
      <c r="B76" s="13" t="e">
        <f>INDEX(Input!$D$2:$AC$500,
       MATCH(CPU_Formula!A76, Input!$J$2:$J$500, 0),
       MATCH("CPU model", Input!$D$1:$AC$1, 0))</f>
        <v>#N/A</v>
      </c>
      <c r="C76" s="13" t="str">
        <f t="shared" si="13"/>
        <v/>
      </c>
      <c r="D76" s="13" t="str">
        <f t="shared" si="18"/>
        <v/>
      </c>
      <c r="E76" s="13" t="str">
        <f t="shared" si="19"/>
        <v/>
      </c>
      <c r="F76" s="13" t="str">
        <f t="shared" si="20"/>
        <v/>
      </c>
      <c r="G76" s="13" t="str">
        <f t="shared" si="21"/>
        <v/>
      </c>
      <c r="H76" s="13" t="str">
        <f t="shared" si="22"/>
        <v/>
      </c>
      <c r="I76" t="str">
        <f t="shared" si="23"/>
        <v/>
      </c>
    </row>
    <row r="77" spans="1:9">
      <c r="A77">
        <f>CSV!B77</f>
        <v>0</v>
      </c>
      <c r="B77" s="13" t="e">
        <f>INDEX(Input!$D$2:$AC$500,
       MATCH(CPU_Formula!A77, Input!$J$2:$J$500, 0),
       MATCH("CPU model", Input!$D$1:$AC$1, 0))</f>
        <v>#N/A</v>
      </c>
      <c r="C77" s="13" t="str">
        <f t="shared" si="13"/>
        <v/>
      </c>
      <c r="D77" s="13" t="str">
        <f t="shared" si="18"/>
        <v/>
      </c>
      <c r="E77" s="13" t="str">
        <f t="shared" si="19"/>
        <v/>
      </c>
      <c r="F77" s="13" t="str">
        <f t="shared" si="20"/>
        <v/>
      </c>
      <c r="G77" s="13" t="str">
        <f t="shared" si="21"/>
        <v/>
      </c>
      <c r="H77" s="13" t="str">
        <f t="shared" si="22"/>
        <v/>
      </c>
      <c r="I77" t="str">
        <f t="shared" si="23"/>
        <v/>
      </c>
    </row>
    <row r="78" spans="1:9">
      <c r="A78">
        <f>CSV!B78</f>
        <v>0</v>
      </c>
      <c r="B78" s="13" t="e">
        <f>INDEX(Input!$D$2:$AC$500,
       MATCH(CPU_Formula!A78, Input!$J$2:$J$500, 0),
       MATCH("CPU model", Input!$D$1:$AC$1, 0))</f>
        <v>#N/A</v>
      </c>
      <c r="C78" s="13" t="str">
        <f t="shared" si="13"/>
        <v/>
      </c>
      <c r="D78" s="13" t="str">
        <f t="shared" si="18"/>
        <v/>
      </c>
      <c r="E78" s="13" t="str">
        <f t="shared" si="19"/>
        <v/>
      </c>
      <c r="F78" s="13" t="str">
        <f t="shared" si="20"/>
        <v/>
      </c>
      <c r="G78" s="13" t="str">
        <f t="shared" si="21"/>
        <v/>
      </c>
      <c r="H78" s="13" t="str">
        <f t="shared" si="22"/>
        <v/>
      </c>
      <c r="I78" t="str">
        <f t="shared" si="23"/>
        <v/>
      </c>
    </row>
    <row r="79" spans="1:9">
      <c r="A79">
        <f>CSV!B79</f>
        <v>0</v>
      </c>
      <c r="B79" s="13" t="e">
        <f>INDEX(Input!$D$2:$AC$500,
       MATCH(CPU_Formula!A79, Input!$J$2:$J$500, 0),
       MATCH("CPU model", Input!$D$1:$AC$1, 0))</f>
        <v>#N/A</v>
      </c>
      <c r="C79" s="13" t="str">
        <f t="shared" si="13"/>
        <v/>
      </c>
      <c r="D79" s="13" t="str">
        <f t="shared" si="18"/>
        <v/>
      </c>
      <c r="E79" s="13" t="str">
        <f t="shared" si="19"/>
        <v/>
      </c>
      <c r="F79" s="13" t="str">
        <f t="shared" si="20"/>
        <v/>
      </c>
      <c r="G79" s="13" t="str">
        <f t="shared" si="21"/>
        <v/>
      </c>
      <c r="H79" s="13" t="str">
        <f t="shared" si="22"/>
        <v/>
      </c>
      <c r="I79" t="str">
        <f t="shared" si="23"/>
        <v/>
      </c>
    </row>
    <row r="80" spans="1:9">
      <c r="A80">
        <f>CSV!B80</f>
        <v>0</v>
      </c>
      <c r="B80" s="13" t="e">
        <f>INDEX(Input!$D$2:$AC$500,
       MATCH(CPU_Formula!A80, Input!$J$2:$J$500, 0),
       MATCH("CPU model", Input!$D$1:$AC$1, 0))</f>
        <v>#N/A</v>
      </c>
      <c r="C80" s="13" t="str">
        <f t="shared" si="13"/>
        <v/>
      </c>
      <c r="D80" s="13" t="str">
        <f t="shared" si="18"/>
        <v/>
      </c>
      <c r="E80" s="13" t="str">
        <f t="shared" si="19"/>
        <v/>
      </c>
      <c r="F80" s="13" t="str">
        <f t="shared" si="20"/>
        <v/>
      </c>
      <c r="G80" s="13" t="str">
        <f t="shared" si="21"/>
        <v/>
      </c>
      <c r="H80" s="13" t="str">
        <f t="shared" si="22"/>
        <v/>
      </c>
      <c r="I80" t="str">
        <f t="shared" si="23"/>
        <v/>
      </c>
    </row>
    <row r="81" spans="1:9">
      <c r="A81">
        <f>CSV!B81</f>
        <v>0</v>
      </c>
      <c r="B81" s="13" t="e">
        <f>INDEX(Input!$D$2:$AC$500,
       MATCH(CPU_Formula!A81, Input!$J$2:$J$500, 0),
       MATCH("CPU model", Input!$D$1:$AC$1, 0))</f>
        <v>#N/A</v>
      </c>
      <c r="C81" s="13" t="str">
        <f t="shared" si="13"/>
        <v/>
      </c>
      <c r="D81" s="13" t="str">
        <f t="shared" si="18"/>
        <v/>
      </c>
      <c r="E81" s="13" t="str">
        <f t="shared" si="19"/>
        <v/>
      </c>
      <c r="F81" s="13" t="str">
        <f t="shared" si="20"/>
        <v/>
      </c>
      <c r="G81" s="13" t="str">
        <f t="shared" si="21"/>
        <v/>
      </c>
      <c r="H81" s="13" t="str">
        <f t="shared" si="22"/>
        <v/>
      </c>
      <c r="I81" t="str">
        <f t="shared" si="23"/>
        <v/>
      </c>
    </row>
    <row r="82" spans="1:9">
      <c r="A82">
        <f>CSV!B82</f>
        <v>0</v>
      </c>
      <c r="B82" s="13" t="e">
        <f>INDEX(Input!$D$2:$AC$500,
       MATCH(CPU_Formula!A82, Input!$J$2:$J$500, 0),
       MATCH("CPU model", Input!$D$1:$AC$1, 0))</f>
        <v>#N/A</v>
      </c>
      <c r="C82" s="13" t="str">
        <f t="shared" si="13"/>
        <v/>
      </c>
      <c r="D82" s="13" t="str">
        <f t="shared" si="18"/>
        <v/>
      </c>
      <c r="E82" s="13" t="str">
        <f t="shared" si="19"/>
        <v/>
      </c>
      <c r="F82" s="13" t="str">
        <f t="shared" si="20"/>
        <v/>
      </c>
      <c r="G82" s="13" t="str">
        <f t="shared" si="21"/>
        <v/>
      </c>
      <c r="H82" s="13" t="str">
        <f t="shared" si="22"/>
        <v/>
      </c>
      <c r="I82" t="str">
        <f t="shared" si="23"/>
        <v/>
      </c>
    </row>
    <row r="83" spans="1:9">
      <c r="A83">
        <f>CSV!B83</f>
        <v>0</v>
      </c>
      <c r="B83" s="13" t="e">
        <f>INDEX(Input!$D$2:$AC$500,
       MATCH(CPU_Formula!A83, Input!$J$2:$J$500, 0),
       MATCH("CPU model", Input!$D$1:$AC$1, 0))</f>
        <v>#N/A</v>
      </c>
      <c r="C83" s="13" t="str">
        <f t="shared" si="13"/>
        <v/>
      </c>
      <c r="D83" s="13" t="str">
        <f t="shared" si="18"/>
        <v/>
      </c>
      <c r="E83" s="13" t="str">
        <f t="shared" si="19"/>
        <v/>
      </c>
      <c r="F83" s="13" t="str">
        <f t="shared" si="20"/>
        <v/>
      </c>
      <c r="G83" s="13" t="str">
        <f t="shared" si="21"/>
        <v/>
      </c>
      <c r="H83" s="13" t="str">
        <f t="shared" si="22"/>
        <v/>
      </c>
      <c r="I83" t="str">
        <f t="shared" si="23"/>
        <v/>
      </c>
    </row>
    <row r="84" spans="1:9">
      <c r="A84">
        <f>CSV!B84</f>
        <v>0</v>
      </c>
      <c r="B84" s="13" t="e">
        <f>INDEX(Input!$D$2:$AC$500,
       MATCH(CPU_Formula!A84, Input!$J$2:$J$500, 0),
       MATCH("CPU model", Input!$D$1:$AC$1, 0))</f>
        <v>#N/A</v>
      </c>
      <c r="C84" s="13" t="str">
        <f t="shared" si="13"/>
        <v/>
      </c>
      <c r="D84" s="13" t="str">
        <f t="shared" si="18"/>
        <v/>
      </c>
      <c r="E84" s="13" t="str">
        <f t="shared" si="19"/>
        <v/>
      </c>
      <c r="F84" s="13" t="str">
        <f t="shared" si="20"/>
        <v/>
      </c>
      <c r="G84" s="13" t="str">
        <f t="shared" si="21"/>
        <v/>
      </c>
      <c r="H84" s="13" t="str">
        <f t="shared" si="22"/>
        <v/>
      </c>
      <c r="I84" t="str">
        <f t="shared" si="23"/>
        <v/>
      </c>
    </row>
    <row r="85" spans="1:9">
      <c r="A85">
        <f>CSV!B85</f>
        <v>0</v>
      </c>
      <c r="B85" s="13" t="e">
        <f>INDEX(Input!$D$2:$AC$500,
       MATCH(CPU_Formula!A85, Input!$J$2:$J$500, 0),
       MATCH("CPU model", Input!$D$1:$AC$1, 0))</f>
        <v>#N/A</v>
      </c>
      <c r="C85" s="13" t="str">
        <f t="shared" si="13"/>
        <v/>
      </c>
      <c r="D85" s="13" t="str">
        <f t="shared" si="18"/>
        <v/>
      </c>
      <c r="E85" s="13" t="str">
        <f t="shared" si="19"/>
        <v/>
      </c>
      <c r="F85" s="13" t="str">
        <f t="shared" si="20"/>
        <v/>
      </c>
      <c r="G85" s="13" t="str">
        <f t="shared" si="21"/>
        <v/>
      </c>
      <c r="H85" s="13" t="str">
        <f t="shared" si="22"/>
        <v/>
      </c>
      <c r="I85" t="str">
        <f t="shared" si="23"/>
        <v/>
      </c>
    </row>
    <row r="86" spans="1:9">
      <c r="A86">
        <f>CSV!B86</f>
        <v>0</v>
      </c>
      <c r="B86" s="13" t="e">
        <f>INDEX(Input!$D$2:$AC$500,
       MATCH(CPU_Formula!A86, Input!$J$2:$J$500, 0),
       MATCH("CPU model", Input!$D$1:$AC$1, 0))</f>
        <v>#N/A</v>
      </c>
      <c r="C86" s="13" t="str">
        <f t="shared" si="13"/>
        <v/>
      </c>
      <c r="D86" s="13" t="str">
        <f t="shared" si="18"/>
        <v/>
      </c>
      <c r="E86" s="13" t="str">
        <f t="shared" si="19"/>
        <v/>
      </c>
      <c r="F86" s="13" t="str">
        <f t="shared" si="20"/>
        <v/>
      </c>
      <c r="G86" s="13" t="str">
        <f t="shared" si="21"/>
        <v/>
      </c>
      <c r="H86" s="13" t="str">
        <f t="shared" si="22"/>
        <v/>
      </c>
      <c r="I86" t="str">
        <f t="shared" si="23"/>
        <v/>
      </c>
    </row>
    <row r="87" spans="1:9">
      <c r="A87">
        <f>CSV!B87</f>
        <v>0</v>
      </c>
      <c r="B87" s="13" t="e">
        <f>INDEX(Input!$D$2:$AC$500,
       MATCH(CPU_Formula!A87, Input!$J$2:$J$500, 0),
       MATCH("CPU model", Input!$D$1:$AC$1, 0))</f>
        <v>#N/A</v>
      </c>
      <c r="C87" s="13" t="str">
        <f t="shared" si="13"/>
        <v/>
      </c>
      <c r="D87" s="13" t="str">
        <f t="shared" si="18"/>
        <v/>
      </c>
      <c r="E87" s="13" t="str">
        <f t="shared" si="19"/>
        <v/>
      </c>
      <c r="F87" s="13" t="str">
        <f t="shared" si="20"/>
        <v/>
      </c>
      <c r="G87" s="13" t="str">
        <f t="shared" si="21"/>
        <v/>
      </c>
      <c r="H87" s="13" t="str">
        <f t="shared" si="22"/>
        <v/>
      </c>
      <c r="I87" t="str">
        <f t="shared" si="23"/>
        <v/>
      </c>
    </row>
    <row r="88" spans="1:9">
      <c r="A88">
        <f>CSV!B88</f>
        <v>0</v>
      </c>
      <c r="B88" s="13" t="e">
        <f>INDEX(Input!$D$2:$AC$500,
       MATCH(CPU_Formula!A88, Input!$J$2:$J$500, 0),
       MATCH("CPU model", Input!$D$1:$AC$1, 0))</f>
        <v>#N/A</v>
      </c>
      <c r="C88" s="13" t="str">
        <f t="shared" si="13"/>
        <v/>
      </c>
      <c r="D88" s="13" t="str">
        <f t="shared" ref="D88:D103" si="24">IFERROR(_xlfn.TEXTAFTER(B88,"Ryzen "), "")</f>
        <v/>
      </c>
      <c r="E88" s="13" t="str">
        <f t="shared" si="14"/>
        <v/>
      </c>
      <c r="F88" s="13" t="str">
        <f t="shared" si="15"/>
        <v/>
      </c>
      <c r="G88" s="13" t="str">
        <f t="shared" ref="G88:G103" si="25">IF(D88&lt;&gt;"", TRIM(_xlfn.TEXTBEFORE(D88," ",,1)), "")</f>
        <v/>
      </c>
      <c r="H88" s="13" t="str">
        <f t="shared" si="16"/>
        <v/>
      </c>
      <c r="I88" t="str">
        <f t="shared" si="17"/>
        <v/>
      </c>
    </row>
    <row r="89" spans="1:9">
      <c r="A89">
        <f>CSV!B89</f>
        <v>0</v>
      </c>
      <c r="B89" s="13" t="e">
        <f>INDEX(Input!$D$2:$AC$500,
       MATCH(CPU_Formula!A89, Input!$J$2:$J$500, 0),
       MATCH("CPU model", Input!$D$1:$AC$1, 0))</f>
        <v>#N/A</v>
      </c>
      <c r="C89" s="13" t="str">
        <f t="shared" si="13"/>
        <v/>
      </c>
      <c r="D89" s="13" t="str">
        <f t="shared" si="24"/>
        <v/>
      </c>
      <c r="E89" s="13" t="str">
        <f t="shared" si="14"/>
        <v/>
      </c>
      <c r="F89" s="13" t="str">
        <f t="shared" si="15"/>
        <v/>
      </c>
      <c r="G89" s="13" t="str">
        <f t="shared" si="25"/>
        <v/>
      </c>
      <c r="H89" s="13" t="str">
        <f t="shared" si="16"/>
        <v/>
      </c>
      <c r="I89" t="str">
        <f t="shared" si="17"/>
        <v/>
      </c>
    </row>
    <row r="90" spans="1:9">
      <c r="A90">
        <f>CSV!B90</f>
        <v>0</v>
      </c>
      <c r="B90" s="13" t="e">
        <f>INDEX(Input!$D$2:$AC$500,
       MATCH(CPU_Formula!A90, Input!$J$2:$J$500, 0),
       MATCH("CPU model", Input!$D$1:$AC$1, 0))</f>
        <v>#N/A</v>
      </c>
      <c r="C90" s="13" t="str">
        <f t="shared" si="13"/>
        <v/>
      </c>
      <c r="D90" s="13" t="str">
        <f t="shared" si="24"/>
        <v/>
      </c>
      <c r="E90" s="13" t="str">
        <f t="shared" si="14"/>
        <v/>
      </c>
      <c r="F90" s="13" t="str">
        <f t="shared" si="15"/>
        <v/>
      </c>
      <c r="G90" s="13" t="str">
        <f t="shared" si="25"/>
        <v/>
      </c>
      <c r="H90" s="13" t="str">
        <f t="shared" si="16"/>
        <v/>
      </c>
      <c r="I90" t="str">
        <f t="shared" si="17"/>
        <v/>
      </c>
    </row>
    <row r="91" spans="1:9">
      <c r="A91">
        <f>CSV!B91</f>
        <v>0</v>
      </c>
      <c r="B91" s="13" t="e">
        <f>INDEX(Input!$D$2:$AC$500,
       MATCH(CPU_Formula!A91, Input!$J$2:$J$500, 0),
       MATCH("CPU model", Input!$D$1:$AC$1, 0))</f>
        <v>#N/A</v>
      </c>
      <c r="C91" s="13" t="str">
        <f t="shared" si="13"/>
        <v/>
      </c>
      <c r="D91" s="13" t="str">
        <f t="shared" si="24"/>
        <v/>
      </c>
      <c r="E91" s="13" t="str">
        <f t="shared" si="14"/>
        <v/>
      </c>
      <c r="F91" s="13" t="str">
        <f t="shared" si="15"/>
        <v/>
      </c>
      <c r="G91" s="13" t="str">
        <f t="shared" si="25"/>
        <v/>
      </c>
      <c r="H91" s="13" t="str">
        <f t="shared" si="16"/>
        <v/>
      </c>
      <c r="I91" t="str">
        <f t="shared" si="17"/>
        <v/>
      </c>
    </row>
    <row r="92" spans="1:9">
      <c r="A92">
        <f>CSV!B92</f>
        <v>0</v>
      </c>
      <c r="B92" s="13" t="e">
        <f>INDEX(Input!$D$2:$AC$500,
       MATCH(CPU_Formula!A92, Input!$J$2:$J$500, 0),
       MATCH("CPU model", Input!$D$1:$AC$1, 0))</f>
        <v>#N/A</v>
      </c>
      <c r="C92" s="13" t="str">
        <f t="shared" si="13"/>
        <v/>
      </c>
      <c r="D92" s="13" t="str">
        <f t="shared" si="24"/>
        <v/>
      </c>
      <c r="E92" s="13" t="str">
        <f t="shared" si="14"/>
        <v/>
      </c>
      <c r="F92" s="13" t="str">
        <f t="shared" si="15"/>
        <v/>
      </c>
      <c r="G92" s="13" t="str">
        <f t="shared" si="25"/>
        <v/>
      </c>
      <c r="H92" s="13" t="str">
        <f t="shared" si="16"/>
        <v/>
      </c>
      <c r="I92" t="str">
        <f t="shared" si="17"/>
        <v/>
      </c>
    </row>
    <row r="93" spans="1:9">
      <c r="A93">
        <f>CSV!B93</f>
        <v>0</v>
      </c>
      <c r="B93" s="13" t="e">
        <f>INDEX(Input!$D$2:$AC$500,
       MATCH(CPU_Formula!A93, Input!$J$2:$J$500, 0),
       MATCH("CPU model", Input!$D$1:$AC$1, 0))</f>
        <v>#N/A</v>
      </c>
      <c r="C93" s="13" t="str">
        <f t="shared" si="13"/>
        <v/>
      </c>
      <c r="D93" s="13" t="str">
        <f t="shared" si="24"/>
        <v/>
      </c>
      <c r="E93" s="13" t="str">
        <f t="shared" si="14"/>
        <v/>
      </c>
      <c r="F93" s="13" t="str">
        <f t="shared" si="15"/>
        <v/>
      </c>
      <c r="G93" s="13" t="str">
        <f t="shared" si="25"/>
        <v/>
      </c>
      <c r="H93" s="13" t="str">
        <f t="shared" si="16"/>
        <v/>
      </c>
      <c r="I93" t="str">
        <f t="shared" si="17"/>
        <v/>
      </c>
    </row>
    <row r="94" spans="1:9">
      <c r="A94">
        <f>CSV!B94</f>
        <v>0</v>
      </c>
      <c r="B94" s="13" t="e">
        <f>INDEX(Input!$D$2:$AC$500,
       MATCH(CPU_Formula!A94, Input!$J$2:$J$500, 0),
       MATCH("CPU model", Input!$D$1:$AC$1, 0))</f>
        <v>#N/A</v>
      </c>
      <c r="C94" s="13" t="str">
        <f t="shared" si="13"/>
        <v/>
      </c>
      <c r="D94" s="13" t="str">
        <f t="shared" si="24"/>
        <v/>
      </c>
      <c r="E94" s="13" t="str">
        <f t="shared" si="14"/>
        <v/>
      </c>
      <c r="F94" s="13" t="str">
        <f t="shared" si="15"/>
        <v/>
      </c>
      <c r="G94" s="13" t="str">
        <f t="shared" si="25"/>
        <v/>
      </c>
      <c r="H94" s="13" t="str">
        <f t="shared" si="16"/>
        <v/>
      </c>
      <c r="I94" t="str">
        <f t="shared" si="17"/>
        <v/>
      </c>
    </row>
    <row r="95" spans="1:9">
      <c r="A95">
        <f>CSV!B95</f>
        <v>0</v>
      </c>
      <c r="B95" s="13" t="e">
        <f>INDEX(Input!$D$2:$AC$500,
       MATCH(CPU_Formula!A95, Input!$J$2:$J$500, 0),
       MATCH("CPU model", Input!$D$1:$AC$1, 0))</f>
        <v>#N/A</v>
      </c>
      <c r="C95" s="13" t="str">
        <f t="shared" si="13"/>
        <v/>
      </c>
      <c r="D95" s="13" t="str">
        <f t="shared" si="24"/>
        <v/>
      </c>
      <c r="E95" s="13" t="str">
        <f t="shared" si="14"/>
        <v/>
      </c>
      <c r="F95" s="13" t="str">
        <f t="shared" si="15"/>
        <v/>
      </c>
      <c r="G95" s="13" t="str">
        <f t="shared" si="25"/>
        <v/>
      </c>
      <c r="H95" s="13" t="str">
        <f t="shared" si="16"/>
        <v/>
      </c>
      <c r="I95" t="str">
        <f t="shared" si="17"/>
        <v/>
      </c>
    </row>
    <row r="96" spans="1:9">
      <c r="A96">
        <f>CSV!B96</f>
        <v>0</v>
      </c>
      <c r="B96" s="13" t="e">
        <f>INDEX(Input!$D$2:$AC$500,
       MATCH(CPU_Formula!A96, Input!$J$2:$J$500, 0),
       MATCH("CPU model", Input!$D$1:$AC$1, 0))</f>
        <v>#N/A</v>
      </c>
      <c r="C96" s="13" t="str">
        <f t="shared" si="13"/>
        <v/>
      </c>
      <c r="D96" s="13" t="str">
        <f t="shared" si="24"/>
        <v/>
      </c>
      <c r="E96" s="13" t="str">
        <f t="shared" si="14"/>
        <v/>
      </c>
      <c r="F96" s="13" t="str">
        <f t="shared" si="15"/>
        <v/>
      </c>
      <c r="G96" s="13" t="str">
        <f t="shared" si="25"/>
        <v/>
      </c>
      <c r="H96" s="13" t="str">
        <f t="shared" si="16"/>
        <v/>
      </c>
      <c r="I96" t="str">
        <f t="shared" si="17"/>
        <v/>
      </c>
    </row>
    <row r="97" spans="1:9">
      <c r="A97">
        <f>CSV!B97</f>
        <v>0</v>
      </c>
      <c r="B97" s="13" t="e">
        <f>INDEX(Input!$D$2:$AC$500,
       MATCH(CPU_Formula!A97, Input!$J$2:$J$500, 0),
       MATCH("CPU model", Input!$D$1:$AC$1, 0))</f>
        <v>#N/A</v>
      </c>
      <c r="C97" s="13" t="str">
        <f t="shared" si="13"/>
        <v/>
      </c>
      <c r="D97" s="13" t="str">
        <f t="shared" si="24"/>
        <v/>
      </c>
      <c r="E97" s="13" t="str">
        <f t="shared" si="14"/>
        <v/>
      </c>
      <c r="F97" s="13" t="str">
        <f t="shared" si="15"/>
        <v/>
      </c>
      <c r="G97" s="13" t="str">
        <f t="shared" si="25"/>
        <v/>
      </c>
      <c r="H97" s="13" t="str">
        <f t="shared" si="16"/>
        <v/>
      </c>
      <c r="I97" t="str">
        <f t="shared" si="17"/>
        <v/>
      </c>
    </row>
    <row r="98" spans="1:9">
      <c r="A98">
        <f>CSV!B98</f>
        <v>0</v>
      </c>
      <c r="B98" s="13" t="e">
        <f>INDEX(Input!$D$2:$AC$500,
       MATCH(CPU_Formula!A98, Input!$J$2:$J$500, 0),
       MATCH("CPU model", Input!$D$1:$AC$1, 0))</f>
        <v>#N/A</v>
      </c>
      <c r="C98" s="13" t="str">
        <f t="shared" si="13"/>
        <v/>
      </c>
      <c r="D98" s="13" t="str">
        <f t="shared" si="24"/>
        <v/>
      </c>
      <c r="E98" s="13" t="str">
        <f t="shared" si="14"/>
        <v/>
      </c>
      <c r="F98" s="13" t="str">
        <f t="shared" si="15"/>
        <v/>
      </c>
      <c r="G98" s="13" t="str">
        <f t="shared" si="25"/>
        <v/>
      </c>
      <c r="H98" s="13" t="str">
        <f t="shared" si="16"/>
        <v/>
      </c>
      <c r="I98" t="str">
        <f t="shared" si="17"/>
        <v/>
      </c>
    </row>
    <row r="99" spans="1:9">
      <c r="A99">
        <f>CSV!B99</f>
        <v>0</v>
      </c>
      <c r="B99" s="13" t="e">
        <f>INDEX(Input!$D$2:$AC$500,
       MATCH(CPU_Formula!A99, Input!$J$2:$J$500, 0),
       MATCH("CPU model", Input!$D$1:$AC$1, 0))</f>
        <v>#N/A</v>
      </c>
      <c r="C99" s="13" t="str">
        <f t="shared" si="13"/>
        <v/>
      </c>
      <c r="D99" s="13" t="str">
        <f t="shared" si="24"/>
        <v/>
      </c>
      <c r="E99" s="13" t="str">
        <f t="shared" si="14"/>
        <v/>
      </c>
      <c r="F99" s="13" t="str">
        <f t="shared" si="15"/>
        <v/>
      </c>
      <c r="G99" s="13" t="str">
        <f t="shared" si="25"/>
        <v/>
      </c>
      <c r="H99" s="13" t="str">
        <f t="shared" si="16"/>
        <v/>
      </c>
      <c r="I99" t="str">
        <f t="shared" si="17"/>
        <v/>
      </c>
    </row>
    <row r="100" spans="1:9">
      <c r="A100">
        <f>CSV!B100</f>
        <v>0</v>
      </c>
      <c r="B100" s="13" t="e">
        <f>INDEX(Input!$D$2:$AC$500,
       MATCH(CPU_Formula!A100, Input!$J$2:$J$500, 0),
       MATCH("CPU model", Input!$D$1:$AC$1, 0))</f>
        <v>#N/A</v>
      </c>
      <c r="C100" s="13" t="str">
        <f t="shared" si="13"/>
        <v/>
      </c>
      <c r="D100" s="13" t="str">
        <f t="shared" si="24"/>
        <v/>
      </c>
      <c r="E100" s="13" t="str">
        <f t="shared" si="14"/>
        <v/>
      </c>
      <c r="F100" s="13" t="str">
        <f t="shared" si="15"/>
        <v/>
      </c>
      <c r="G100" s="13" t="str">
        <f t="shared" si="25"/>
        <v/>
      </c>
      <c r="H100" s="13" t="str">
        <f t="shared" si="16"/>
        <v/>
      </c>
      <c r="I100" t="str">
        <f t="shared" si="17"/>
        <v/>
      </c>
    </row>
    <row r="101" spans="1:9">
      <c r="A101">
        <f>CSV!B101</f>
        <v>0</v>
      </c>
      <c r="B101" s="13" t="e">
        <f>INDEX(Input!$D$2:$AC$500,
       MATCH(CPU_Formula!A101, Input!$J$2:$J$500, 0),
       MATCH("CPU model", Input!$D$1:$AC$1, 0))</f>
        <v>#N/A</v>
      </c>
      <c r="C101" s="13" t="str">
        <f t="shared" si="13"/>
        <v/>
      </c>
      <c r="D101" s="13" t="str">
        <f t="shared" si="24"/>
        <v/>
      </c>
      <c r="E101" s="13" t="str">
        <f t="shared" si="14"/>
        <v/>
      </c>
      <c r="F101" s="13" t="str">
        <f t="shared" si="15"/>
        <v/>
      </c>
      <c r="G101" s="13" t="str">
        <f t="shared" si="25"/>
        <v/>
      </c>
      <c r="H101" s="13" t="str">
        <f t="shared" si="16"/>
        <v/>
      </c>
      <c r="I101" t="str">
        <f t="shared" si="17"/>
        <v/>
      </c>
    </row>
    <row r="102" spans="1:9">
      <c r="A102">
        <f>CSV!B102</f>
        <v>0</v>
      </c>
      <c r="B102" s="13" t="e">
        <f>INDEX(Input!$D$2:$AC$500,
       MATCH(CPU_Formula!A102, Input!$J$2:$J$500, 0),
       MATCH("CPU model", Input!$D$1:$AC$1, 0))</f>
        <v>#N/A</v>
      </c>
      <c r="C102" s="13" t="str">
        <f t="shared" si="13"/>
        <v/>
      </c>
      <c r="D102" s="13" t="str">
        <f t="shared" si="24"/>
        <v/>
      </c>
      <c r="E102" s="13" t="str">
        <f t="shared" si="14"/>
        <v/>
      </c>
      <c r="F102" s="13" t="str">
        <f t="shared" si="15"/>
        <v/>
      </c>
      <c r="G102" s="13" t="str">
        <f t="shared" si="25"/>
        <v/>
      </c>
      <c r="H102" s="13" t="str">
        <f t="shared" si="16"/>
        <v/>
      </c>
      <c r="I102" t="str">
        <f t="shared" si="17"/>
        <v/>
      </c>
    </row>
    <row r="103" spans="1:9">
      <c r="A103">
        <f>CSV!B103</f>
        <v>0</v>
      </c>
      <c r="B103" s="13" t="e">
        <f>INDEX(Input!$D$2:$AC$500,
       MATCH(CPU_Formula!A103, Input!$J$2:$J$500, 0),
       MATCH("CPU model", Input!$D$1:$AC$1, 0))</f>
        <v>#N/A</v>
      </c>
      <c r="C103" s="13" t="str">
        <f t="shared" si="13"/>
        <v/>
      </c>
      <c r="D103" s="13" t="str">
        <f t="shared" si="24"/>
        <v/>
      </c>
      <c r="E103" s="13" t="str">
        <f t="shared" si="14"/>
        <v/>
      </c>
      <c r="F103" s="13" t="str">
        <f t="shared" si="15"/>
        <v/>
      </c>
      <c r="G103" s="13" t="str">
        <f t="shared" si="25"/>
        <v/>
      </c>
      <c r="H103" s="13" t="str">
        <f t="shared" si="16"/>
        <v/>
      </c>
      <c r="I103" t="str">
        <f t="shared" si="17"/>
        <v/>
      </c>
    </row>
    <row r="104" spans="1:9">
      <c r="A104">
        <f>CSV!B104</f>
        <v>0</v>
      </c>
      <c r="B104" s="13" t="e">
        <f>INDEX(Input!$D$2:$AC$500,
       MATCH(CPU_Formula!A104, Input!$J$2:$J$500, 0),
       MATCH("CPU model", Input!$D$1:$AC$1, 0))</f>
        <v>#N/A</v>
      </c>
      <c r="C104" s="13" t="str">
        <f t="shared" ref="C104:C167" si="26">IFERROR(_xlfn.TEXTAFTER(B104,"Core(TM) "),IFERROR(_xlfn.TEXTAFTER(B104,"Xeon(R) CPU"),""))</f>
        <v/>
      </c>
      <c r="D104" s="13" t="str">
        <f t="shared" ref="D104:D167" si="27">IFERROR(_xlfn.TEXTAFTER(B104,"Ryzen "), "")</f>
        <v/>
      </c>
      <c r="E104" s="13" t="str">
        <f t="shared" ref="E104:E167" si="28">IF(ISNUMBER(SEARCH("Ultra", B104)), "Ultra"&amp;_xlfn.TEXTAFTER(B104, "Ultra"), "")</f>
        <v/>
      </c>
      <c r="F104" s="13" t="str">
        <f t="shared" ref="F104:F167" si="29">IF(C104&lt;&gt;"", TRIM(_xlfn.TEXTBEFORE(C104," ",,1,1)), "")</f>
        <v/>
      </c>
      <c r="G104" s="13" t="str">
        <f t="shared" ref="G104:G167" si="30">IF(D104&lt;&gt;"", TRIM(_xlfn.TEXTBEFORE(D104," ",,1)), "")</f>
        <v/>
      </c>
      <c r="H104" s="13" t="str">
        <f t="shared" ref="H104:H167" si="31">E104</f>
        <v/>
      </c>
      <c r="I104" t="str">
        <f t="shared" ref="I104:I167" si="32">IF(H104&lt;&gt;"",H104,IF(G104&lt;&gt;"",G104,F104))</f>
        <v/>
      </c>
    </row>
    <row r="105" spans="1:9">
      <c r="A105">
        <f>CSV!B105</f>
        <v>0</v>
      </c>
      <c r="B105" s="13" t="e">
        <f>INDEX(Input!$D$2:$AC$500,
       MATCH(CPU_Formula!A105, Input!$J$2:$J$500, 0),
       MATCH("CPU model", Input!$D$1:$AC$1, 0))</f>
        <v>#N/A</v>
      </c>
      <c r="C105" s="13" t="str">
        <f t="shared" si="26"/>
        <v/>
      </c>
      <c r="D105" s="13" t="str">
        <f t="shared" si="27"/>
        <v/>
      </c>
      <c r="E105" s="13" t="str">
        <f t="shared" si="28"/>
        <v/>
      </c>
      <c r="F105" s="13" t="str">
        <f t="shared" si="29"/>
        <v/>
      </c>
      <c r="G105" s="13" t="str">
        <f t="shared" si="30"/>
        <v/>
      </c>
      <c r="H105" s="13" t="str">
        <f t="shared" si="31"/>
        <v/>
      </c>
      <c r="I105" t="str">
        <f t="shared" si="32"/>
        <v/>
      </c>
    </row>
    <row r="106" spans="1:9">
      <c r="A106">
        <f>CSV!B106</f>
        <v>0</v>
      </c>
      <c r="B106" s="13" t="e">
        <f>INDEX(Input!$D$2:$AC$500,
       MATCH(CPU_Formula!A106, Input!$J$2:$J$500, 0),
       MATCH("CPU model", Input!$D$1:$AC$1, 0))</f>
        <v>#N/A</v>
      </c>
      <c r="C106" s="13" t="str">
        <f t="shared" si="26"/>
        <v/>
      </c>
      <c r="D106" s="13" t="str">
        <f t="shared" si="27"/>
        <v/>
      </c>
      <c r="E106" s="13" t="str">
        <f t="shared" si="28"/>
        <v/>
      </c>
      <c r="F106" s="13" t="str">
        <f t="shared" si="29"/>
        <v/>
      </c>
      <c r="G106" s="13" t="str">
        <f t="shared" si="30"/>
        <v/>
      </c>
      <c r="H106" s="13" t="str">
        <f t="shared" si="31"/>
        <v/>
      </c>
      <c r="I106" t="str">
        <f t="shared" si="32"/>
        <v/>
      </c>
    </row>
    <row r="107" spans="1:9">
      <c r="A107">
        <f>CSV!B107</f>
        <v>0</v>
      </c>
      <c r="B107" s="13" t="e">
        <f>INDEX(Input!$D$2:$AC$500,
       MATCH(CPU_Formula!A107, Input!$J$2:$J$500, 0),
       MATCH("CPU model", Input!$D$1:$AC$1, 0))</f>
        <v>#N/A</v>
      </c>
      <c r="C107" s="13" t="str">
        <f t="shared" si="26"/>
        <v/>
      </c>
      <c r="D107" s="13" t="str">
        <f t="shared" si="27"/>
        <v/>
      </c>
      <c r="E107" s="13" t="str">
        <f t="shared" si="28"/>
        <v/>
      </c>
      <c r="F107" s="13" t="str">
        <f t="shared" si="29"/>
        <v/>
      </c>
      <c r="G107" s="13" t="str">
        <f t="shared" si="30"/>
        <v/>
      </c>
      <c r="H107" s="13" t="str">
        <f t="shared" si="31"/>
        <v/>
      </c>
      <c r="I107" t="str">
        <f t="shared" si="32"/>
        <v/>
      </c>
    </row>
    <row r="108" spans="1:9">
      <c r="A108">
        <f>CSV!B108</f>
        <v>0</v>
      </c>
      <c r="B108" s="13" t="e">
        <f>INDEX(Input!$D$2:$AC$500,
       MATCH(CPU_Formula!A108, Input!$J$2:$J$500, 0),
       MATCH("CPU model", Input!$D$1:$AC$1, 0))</f>
        <v>#N/A</v>
      </c>
      <c r="C108" s="13" t="str">
        <f t="shared" si="26"/>
        <v/>
      </c>
      <c r="D108" s="13" t="str">
        <f t="shared" si="27"/>
        <v/>
      </c>
      <c r="E108" s="13" t="str">
        <f t="shared" si="28"/>
        <v/>
      </c>
      <c r="F108" s="13" t="str">
        <f t="shared" si="29"/>
        <v/>
      </c>
      <c r="G108" s="13" t="str">
        <f t="shared" si="30"/>
        <v/>
      </c>
      <c r="H108" s="13" t="str">
        <f t="shared" si="31"/>
        <v/>
      </c>
      <c r="I108" t="str">
        <f t="shared" si="32"/>
        <v/>
      </c>
    </row>
    <row r="109" spans="1:9">
      <c r="A109">
        <f>CSV!B109</f>
        <v>0</v>
      </c>
      <c r="B109" s="13" t="e">
        <f>INDEX(Input!$D$2:$AC$500,
       MATCH(CPU_Formula!A109, Input!$J$2:$J$500, 0),
       MATCH("CPU model", Input!$D$1:$AC$1, 0))</f>
        <v>#N/A</v>
      </c>
      <c r="C109" s="13" t="str">
        <f t="shared" si="26"/>
        <v/>
      </c>
      <c r="D109" s="13" t="str">
        <f t="shared" si="27"/>
        <v/>
      </c>
      <c r="E109" s="13" t="str">
        <f t="shared" si="28"/>
        <v/>
      </c>
      <c r="F109" s="13" t="str">
        <f t="shared" si="29"/>
        <v/>
      </c>
      <c r="G109" s="13" t="str">
        <f t="shared" si="30"/>
        <v/>
      </c>
      <c r="H109" s="13" t="str">
        <f t="shared" si="31"/>
        <v/>
      </c>
      <c r="I109" t="str">
        <f t="shared" si="32"/>
        <v/>
      </c>
    </row>
    <row r="110" spans="1:9">
      <c r="A110">
        <f>CSV!B110</f>
        <v>0</v>
      </c>
      <c r="B110" s="13" t="e">
        <f>INDEX(Input!$D$2:$AC$500,
       MATCH(CPU_Formula!A110, Input!$J$2:$J$500, 0),
       MATCH("CPU model", Input!$D$1:$AC$1, 0))</f>
        <v>#N/A</v>
      </c>
      <c r="C110" s="13" t="str">
        <f t="shared" si="26"/>
        <v/>
      </c>
      <c r="D110" s="13" t="str">
        <f t="shared" si="27"/>
        <v/>
      </c>
      <c r="E110" s="13" t="str">
        <f t="shared" si="28"/>
        <v/>
      </c>
      <c r="F110" s="13" t="str">
        <f t="shared" si="29"/>
        <v/>
      </c>
      <c r="G110" s="13" t="str">
        <f t="shared" si="30"/>
        <v/>
      </c>
      <c r="H110" s="13" t="str">
        <f t="shared" si="31"/>
        <v/>
      </c>
      <c r="I110" t="str">
        <f t="shared" si="32"/>
        <v/>
      </c>
    </row>
    <row r="111" spans="1:9">
      <c r="A111">
        <f>CSV!B111</f>
        <v>0</v>
      </c>
      <c r="B111" s="13" t="e">
        <f>INDEX(Input!$D$2:$AC$500,
       MATCH(CPU_Formula!A111, Input!$J$2:$J$500, 0),
       MATCH("CPU model", Input!$D$1:$AC$1, 0))</f>
        <v>#N/A</v>
      </c>
      <c r="C111" s="13" t="str">
        <f t="shared" si="26"/>
        <v/>
      </c>
      <c r="D111" s="13" t="str">
        <f t="shared" si="27"/>
        <v/>
      </c>
      <c r="E111" s="13" t="str">
        <f t="shared" si="28"/>
        <v/>
      </c>
      <c r="F111" s="13" t="str">
        <f t="shared" si="29"/>
        <v/>
      </c>
      <c r="G111" s="13" t="str">
        <f t="shared" si="30"/>
        <v/>
      </c>
      <c r="H111" s="13" t="str">
        <f t="shared" si="31"/>
        <v/>
      </c>
      <c r="I111" t="str">
        <f t="shared" si="32"/>
        <v/>
      </c>
    </row>
    <row r="112" spans="1:9">
      <c r="A112">
        <f>CSV!B112</f>
        <v>0</v>
      </c>
      <c r="B112" s="13" t="e">
        <f>INDEX(Input!$D$2:$AC$500,
       MATCH(CPU_Formula!A112, Input!$J$2:$J$500, 0),
       MATCH("CPU model", Input!$D$1:$AC$1, 0))</f>
        <v>#N/A</v>
      </c>
      <c r="C112" s="13" t="str">
        <f t="shared" si="26"/>
        <v/>
      </c>
      <c r="D112" s="13" t="str">
        <f t="shared" si="27"/>
        <v/>
      </c>
      <c r="E112" s="13" t="str">
        <f t="shared" si="28"/>
        <v/>
      </c>
      <c r="F112" s="13" t="str">
        <f t="shared" si="29"/>
        <v/>
      </c>
      <c r="G112" s="13" t="str">
        <f t="shared" si="30"/>
        <v/>
      </c>
      <c r="H112" s="13" t="str">
        <f t="shared" si="31"/>
        <v/>
      </c>
      <c r="I112" t="str">
        <f t="shared" si="32"/>
        <v/>
      </c>
    </row>
    <row r="113" spans="1:9">
      <c r="A113">
        <f>CSV!B113</f>
        <v>0</v>
      </c>
      <c r="B113" s="13" t="e">
        <f>INDEX(Input!$D$2:$AC$500,
       MATCH(CPU_Formula!A113, Input!$J$2:$J$500, 0),
       MATCH("CPU model", Input!$D$1:$AC$1, 0))</f>
        <v>#N/A</v>
      </c>
      <c r="C113" s="13" t="str">
        <f t="shared" si="26"/>
        <v/>
      </c>
      <c r="D113" s="13" t="str">
        <f t="shared" si="27"/>
        <v/>
      </c>
      <c r="E113" s="13" t="str">
        <f t="shared" si="28"/>
        <v/>
      </c>
      <c r="F113" s="13" t="str">
        <f t="shared" si="29"/>
        <v/>
      </c>
      <c r="G113" s="13" t="str">
        <f t="shared" si="30"/>
        <v/>
      </c>
      <c r="H113" s="13" t="str">
        <f t="shared" si="31"/>
        <v/>
      </c>
      <c r="I113" t="str">
        <f t="shared" si="32"/>
        <v/>
      </c>
    </row>
    <row r="114" spans="1:9">
      <c r="A114">
        <f>CSV!B114</f>
        <v>0</v>
      </c>
      <c r="B114" s="13" t="e">
        <f>INDEX(Input!$D$2:$AC$500,
       MATCH(CPU_Formula!A114, Input!$J$2:$J$500, 0),
       MATCH("CPU model", Input!$D$1:$AC$1, 0))</f>
        <v>#N/A</v>
      </c>
      <c r="C114" s="13" t="str">
        <f t="shared" si="26"/>
        <v/>
      </c>
      <c r="D114" s="13" t="str">
        <f t="shared" si="27"/>
        <v/>
      </c>
      <c r="E114" s="13" t="str">
        <f t="shared" si="28"/>
        <v/>
      </c>
      <c r="F114" s="13" t="str">
        <f t="shared" si="29"/>
        <v/>
      </c>
      <c r="G114" s="13" t="str">
        <f t="shared" si="30"/>
        <v/>
      </c>
      <c r="H114" s="13" t="str">
        <f t="shared" si="31"/>
        <v/>
      </c>
      <c r="I114" t="str">
        <f t="shared" si="32"/>
        <v/>
      </c>
    </row>
    <row r="115" spans="1:9">
      <c r="A115">
        <f>CSV!B115</f>
        <v>0</v>
      </c>
      <c r="B115" s="13" t="e">
        <f>INDEX(Input!$D$2:$AC$500,
       MATCH(CPU_Formula!A115, Input!$J$2:$J$500, 0),
       MATCH("CPU model", Input!$D$1:$AC$1, 0))</f>
        <v>#N/A</v>
      </c>
      <c r="C115" s="13" t="str">
        <f t="shared" si="26"/>
        <v/>
      </c>
      <c r="D115" s="13" t="str">
        <f t="shared" si="27"/>
        <v/>
      </c>
      <c r="E115" s="13" t="str">
        <f t="shared" si="28"/>
        <v/>
      </c>
      <c r="F115" s="13" t="str">
        <f t="shared" si="29"/>
        <v/>
      </c>
      <c r="G115" s="13" t="str">
        <f t="shared" si="30"/>
        <v/>
      </c>
      <c r="H115" s="13" t="str">
        <f t="shared" si="31"/>
        <v/>
      </c>
      <c r="I115" t="str">
        <f t="shared" si="32"/>
        <v/>
      </c>
    </row>
    <row r="116" spans="1:9">
      <c r="A116">
        <f>CSV!B116</f>
        <v>0</v>
      </c>
      <c r="B116" s="13" t="e">
        <f>INDEX(Input!$D$2:$AC$500,
       MATCH(CPU_Formula!A116, Input!$J$2:$J$500, 0),
       MATCH("CPU model", Input!$D$1:$AC$1, 0))</f>
        <v>#N/A</v>
      </c>
      <c r="C116" s="13" t="str">
        <f t="shared" si="26"/>
        <v/>
      </c>
      <c r="D116" s="13" t="str">
        <f t="shared" si="27"/>
        <v/>
      </c>
      <c r="E116" s="13" t="str">
        <f t="shared" si="28"/>
        <v/>
      </c>
      <c r="F116" s="13" t="str">
        <f t="shared" si="29"/>
        <v/>
      </c>
      <c r="G116" s="13" t="str">
        <f t="shared" si="30"/>
        <v/>
      </c>
      <c r="H116" s="13" t="str">
        <f t="shared" si="31"/>
        <v/>
      </c>
      <c r="I116" t="str">
        <f t="shared" si="32"/>
        <v/>
      </c>
    </row>
    <row r="117" spans="1:9">
      <c r="A117">
        <f>CSV!B117</f>
        <v>0</v>
      </c>
      <c r="B117" s="13" t="e">
        <f>INDEX(Input!$D$2:$AC$500,
       MATCH(CPU_Formula!A117, Input!$J$2:$J$500, 0),
       MATCH("CPU model", Input!$D$1:$AC$1, 0))</f>
        <v>#N/A</v>
      </c>
      <c r="C117" s="13" t="str">
        <f t="shared" si="26"/>
        <v/>
      </c>
      <c r="D117" s="13" t="str">
        <f t="shared" si="27"/>
        <v/>
      </c>
      <c r="E117" s="13" t="str">
        <f t="shared" si="28"/>
        <v/>
      </c>
      <c r="F117" s="13" t="str">
        <f t="shared" si="29"/>
        <v/>
      </c>
      <c r="G117" s="13" t="str">
        <f t="shared" si="30"/>
        <v/>
      </c>
      <c r="H117" s="13" t="str">
        <f t="shared" si="31"/>
        <v/>
      </c>
      <c r="I117" t="str">
        <f t="shared" si="32"/>
        <v/>
      </c>
    </row>
    <row r="118" spans="1:9">
      <c r="A118">
        <f>CSV!B118</f>
        <v>0</v>
      </c>
      <c r="B118" s="13" t="e">
        <f>INDEX(Input!$D$2:$AC$500,
       MATCH(CPU_Formula!A118, Input!$J$2:$J$500, 0),
       MATCH("CPU model", Input!$D$1:$AC$1, 0))</f>
        <v>#N/A</v>
      </c>
      <c r="C118" s="13" t="str">
        <f t="shared" si="26"/>
        <v/>
      </c>
      <c r="D118" s="13" t="str">
        <f t="shared" si="27"/>
        <v/>
      </c>
      <c r="E118" s="13" t="str">
        <f t="shared" si="28"/>
        <v/>
      </c>
      <c r="F118" s="13" t="str">
        <f t="shared" si="29"/>
        <v/>
      </c>
      <c r="G118" s="13" t="str">
        <f t="shared" si="30"/>
        <v/>
      </c>
      <c r="H118" s="13" t="str">
        <f t="shared" si="31"/>
        <v/>
      </c>
      <c r="I118" t="str">
        <f t="shared" si="32"/>
        <v/>
      </c>
    </row>
    <row r="119" spans="1:9">
      <c r="A119">
        <f>CSV!B119</f>
        <v>0</v>
      </c>
      <c r="B119" s="13" t="e">
        <f>INDEX(Input!$D$2:$AC$500,
       MATCH(CPU_Formula!A119, Input!$J$2:$J$500, 0),
       MATCH("CPU model", Input!$D$1:$AC$1, 0))</f>
        <v>#N/A</v>
      </c>
      <c r="C119" s="13" t="str">
        <f t="shared" si="26"/>
        <v/>
      </c>
      <c r="D119" s="13" t="str">
        <f t="shared" si="27"/>
        <v/>
      </c>
      <c r="E119" s="13" t="str">
        <f t="shared" si="28"/>
        <v/>
      </c>
      <c r="F119" s="13" t="str">
        <f t="shared" si="29"/>
        <v/>
      </c>
      <c r="G119" s="13" t="str">
        <f t="shared" si="30"/>
        <v/>
      </c>
      <c r="H119" s="13" t="str">
        <f t="shared" si="31"/>
        <v/>
      </c>
      <c r="I119" t="str">
        <f t="shared" si="32"/>
        <v/>
      </c>
    </row>
    <row r="120" spans="1:9">
      <c r="A120">
        <f>CSV!B120</f>
        <v>0</v>
      </c>
      <c r="B120" s="13" t="e">
        <f>INDEX(Input!$D$2:$AC$500,
       MATCH(CPU_Formula!A120, Input!$J$2:$J$500, 0),
       MATCH("CPU model", Input!$D$1:$AC$1, 0))</f>
        <v>#N/A</v>
      </c>
      <c r="C120" s="13" t="str">
        <f t="shared" si="26"/>
        <v/>
      </c>
      <c r="D120" s="13" t="str">
        <f t="shared" si="27"/>
        <v/>
      </c>
      <c r="E120" s="13" t="str">
        <f t="shared" si="28"/>
        <v/>
      </c>
      <c r="F120" s="13" t="str">
        <f t="shared" si="29"/>
        <v/>
      </c>
      <c r="G120" s="13" t="str">
        <f t="shared" si="30"/>
        <v/>
      </c>
      <c r="H120" s="13" t="str">
        <f t="shared" si="31"/>
        <v/>
      </c>
      <c r="I120" t="str">
        <f t="shared" si="32"/>
        <v/>
      </c>
    </row>
    <row r="121" spans="1:9">
      <c r="A121">
        <f>CSV!B121</f>
        <v>0</v>
      </c>
      <c r="B121" s="13" t="e">
        <f>INDEX(Input!$D$2:$AC$500,
       MATCH(CPU_Formula!A121, Input!$J$2:$J$500, 0),
       MATCH("CPU model", Input!$D$1:$AC$1, 0))</f>
        <v>#N/A</v>
      </c>
      <c r="C121" s="13" t="str">
        <f t="shared" si="26"/>
        <v/>
      </c>
      <c r="D121" s="13" t="str">
        <f t="shared" si="27"/>
        <v/>
      </c>
      <c r="E121" s="13" t="str">
        <f t="shared" si="28"/>
        <v/>
      </c>
      <c r="F121" s="13" t="str">
        <f t="shared" si="29"/>
        <v/>
      </c>
      <c r="G121" s="13" t="str">
        <f t="shared" si="30"/>
        <v/>
      </c>
      <c r="H121" s="13" t="str">
        <f t="shared" si="31"/>
        <v/>
      </c>
      <c r="I121" t="str">
        <f t="shared" si="32"/>
        <v/>
      </c>
    </row>
    <row r="122" spans="1:9">
      <c r="A122">
        <f>CSV!B122</f>
        <v>0</v>
      </c>
      <c r="B122" s="13" t="e">
        <f>INDEX(Input!$D$2:$AC$500,
       MATCH(CPU_Formula!A122, Input!$J$2:$J$500, 0),
       MATCH("CPU model", Input!$D$1:$AC$1, 0))</f>
        <v>#N/A</v>
      </c>
      <c r="C122" s="13" t="str">
        <f t="shared" si="26"/>
        <v/>
      </c>
      <c r="D122" s="13" t="str">
        <f t="shared" si="27"/>
        <v/>
      </c>
      <c r="E122" s="13" t="str">
        <f t="shared" si="28"/>
        <v/>
      </c>
      <c r="F122" s="13" t="str">
        <f t="shared" si="29"/>
        <v/>
      </c>
      <c r="G122" s="13" t="str">
        <f t="shared" si="30"/>
        <v/>
      </c>
      <c r="H122" s="13" t="str">
        <f t="shared" si="31"/>
        <v/>
      </c>
      <c r="I122" t="str">
        <f t="shared" si="32"/>
        <v/>
      </c>
    </row>
    <row r="123" spans="1:9">
      <c r="A123">
        <f>CSV!B123</f>
        <v>0</v>
      </c>
      <c r="B123" s="13" t="e">
        <f>INDEX(Input!$D$2:$AC$500,
       MATCH(CPU_Formula!A123, Input!$J$2:$J$500, 0),
       MATCH("CPU model", Input!$D$1:$AC$1, 0))</f>
        <v>#N/A</v>
      </c>
      <c r="C123" s="13" t="str">
        <f t="shared" si="26"/>
        <v/>
      </c>
      <c r="D123" s="13" t="str">
        <f t="shared" si="27"/>
        <v/>
      </c>
      <c r="E123" s="13" t="str">
        <f t="shared" si="28"/>
        <v/>
      </c>
      <c r="F123" s="13" t="str">
        <f t="shared" si="29"/>
        <v/>
      </c>
      <c r="G123" s="13" t="str">
        <f t="shared" si="30"/>
        <v/>
      </c>
      <c r="H123" s="13" t="str">
        <f t="shared" si="31"/>
        <v/>
      </c>
      <c r="I123" t="str">
        <f t="shared" si="32"/>
        <v/>
      </c>
    </row>
    <row r="124" spans="1:9">
      <c r="A124">
        <f>CSV!B124</f>
        <v>0</v>
      </c>
      <c r="B124" s="13" t="e">
        <f>INDEX(Input!$D$2:$AC$500,
       MATCH(CPU_Formula!A124, Input!$J$2:$J$500, 0),
       MATCH("CPU model", Input!$D$1:$AC$1, 0))</f>
        <v>#N/A</v>
      </c>
      <c r="C124" s="13" t="str">
        <f t="shared" si="26"/>
        <v/>
      </c>
      <c r="D124" s="13" t="str">
        <f t="shared" si="27"/>
        <v/>
      </c>
      <c r="E124" s="13" t="str">
        <f t="shared" si="28"/>
        <v/>
      </c>
      <c r="F124" s="13" t="str">
        <f t="shared" si="29"/>
        <v/>
      </c>
      <c r="G124" s="13" t="str">
        <f t="shared" si="30"/>
        <v/>
      </c>
      <c r="H124" s="13" t="str">
        <f t="shared" si="31"/>
        <v/>
      </c>
      <c r="I124" t="str">
        <f t="shared" si="32"/>
        <v/>
      </c>
    </row>
    <row r="125" spans="1:9">
      <c r="A125">
        <f>CSV!B125</f>
        <v>0</v>
      </c>
      <c r="B125" s="13" t="e">
        <f>INDEX(Input!$D$2:$AC$500,
       MATCH(CPU_Formula!A125, Input!$J$2:$J$500, 0),
       MATCH("CPU model", Input!$D$1:$AC$1, 0))</f>
        <v>#N/A</v>
      </c>
      <c r="C125" s="13" t="str">
        <f t="shared" si="26"/>
        <v/>
      </c>
      <c r="D125" s="13" t="str">
        <f t="shared" si="27"/>
        <v/>
      </c>
      <c r="E125" s="13" t="str">
        <f t="shared" si="28"/>
        <v/>
      </c>
      <c r="F125" s="13" t="str">
        <f t="shared" si="29"/>
        <v/>
      </c>
      <c r="G125" s="13" t="str">
        <f t="shared" si="30"/>
        <v/>
      </c>
      <c r="H125" s="13" t="str">
        <f t="shared" si="31"/>
        <v/>
      </c>
      <c r="I125" t="str">
        <f t="shared" si="32"/>
        <v/>
      </c>
    </row>
    <row r="126" spans="1:9">
      <c r="A126">
        <f>CSV!B126</f>
        <v>0</v>
      </c>
      <c r="B126" s="13" t="e">
        <f>INDEX(Input!$D$2:$AC$500,
       MATCH(CPU_Formula!A126, Input!$J$2:$J$500, 0),
       MATCH("CPU model", Input!$D$1:$AC$1, 0))</f>
        <v>#N/A</v>
      </c>
      <c r="C126" s="13" t="str">
        <f t="shared" si="26"/>
        <v/>
      </c>
      <c r="D126" s="13" t="str">
        <f t="shared" si="27"/>
        <v/>
      </c>
      <c r="E126" s="13" t="str">
        <f t="shared" si="28"/>
        <v/>
      </c>
      <c r="F126" s="13" t="str">
        <f t="shared" si="29"/>
        <v/>
      </c>
      <c r="G126" s="13" t="str">
        <f t="shared" si="30"/>
        <v/>
      </c>
      <c r="H126" s="13" t="str">
        <f t="shared" si="31"/>
        <v/>
      </c>
      <c r="I126" t="str">
        <f t="shared" si="32"/>
        <v/>
      </c>
    </row>
    <row r="127" spans="1:9">
      <c r="A127">
        <f>CSV!B127</f>
        <v>0</v>
      </c>
      <c r="B127" s="13" t="e">
        <f>INDEX(Input!$D$2:$AC$500,
       MATCH(CPU_Formula!A127, Input!$J$2:$J$500, 0),
       MATCH("CPU model", Input!$D$1:$AC$1, 0))</f>
        <v>#N/A</v>
      </c>
      <c r="C127" s="13" t="str">
        <f t="shared" si="26"/>
        <v/>
      </c>
      <c r="D127" s="13" t="str">
        <f t="shared" si="27"/>
        <v/>
      </c>
      <c r="E127" s="13" t="str">
        <f t="shared" si="28"/>
        <v/>
      </c>
      <c r="F127" s="13" t="str">
        <f t="shared" si="29"/>
        <v/>
      </c>
      <c r="G127" s="13" t="str">
        <f t="shared" si="30"/>
        <v/>
      </c>
      <c r="H127" s="13" t="str">
        <f t="shared" si="31"/>
        <v/>
      </c>
      <c r="I127" t="str">
        <f t="shared" si="32"/>
        <v/>
      </c>
    </row>
    <row r="128" spans="1:9">
      <c r="A128">
        <f>CSV!B128</f>
        <v>0</v>
      </c>
      <c r="B128" s="13" t="e">
        <f>INDEX(Input!$D$2:$AC$500,
       MATCH(CPU_Formula!A128, Input!$J$2:$J$500, 0),
       MATCH("CPU model", Input!$D$1:$AC$1, 0))</f>
        <v>#N/A</v>
      </c>
      <c r="C128" s="13" t="str">
        <f t="shared" si="26"/>
        <v/>
      </c>
      <c r="D128" s="13" t="str">
        <f t="shared" si="27"/>
        <v/>
      </c>
      <c r="E128" s="13" t="str">
        <f t="shared" si="28"/>
        <v/>
      </c>
      <c r="F128" s="13" t="str">
        <f t="shared" si="29"/>
        <v/>
      </c>
      <c r="G128" s="13" t="str">
        <f t="shared" si="30"/>
        <v/>
      </c>
      <c r="H128" s="13" t="str">
        <f t="shared" si="31"/>
        <v/>
      </c>
      <c r="I128" t="str">
        <f t="shared" si="32"/>
        <v/>
      </c>
    </row>
    <row r="129" spans="1:9">
      <c r="A129">
        <f>CSV!B129</f>
        <v>0</v>
      </c>
      <c r="B129" s="13" t="e">
        <f>INDEX(Input!$D$2:$AC$500,
       MATCH(CPU_Formula!A129, Input!$J$2:$J$500, 0),
       MATCH("CPU model", Input!$D$1:$AC$1, 0))</f>
        <v>#N/A</v>
      </c>
      <c r="C129" s="13" t="str">
        <f t="shared" si="26"/>
        <v/>
      </c>
      <c r="D129" s="13" t="str">
        <f t="shared" si="27"/>
        <v/>
      </c>
      <c r="E129" s="13" t="str">
        <f t="shared" si="28"/>
        <v/>
      </c>
      <c r="F129" s="13" t="str">
        <f t="shared" si="29"/>
        <v/>
      </c>
      <c r="G129" s="13" t="str">
        <f t="shared" si="30"/>
        <v/>
      </c>
      <c r="H129" s="13" t="str">
        <f t="shared" si="31"/>
        <v/>
      </c>
      <c r="I129" t="str">
        <f t="shared" si="32"/>
        <v/>
      </c>
    </row>
    <row r="130" spans="1:9">
      <c r="A130">
        <f>CSV!B130</f>
        <v>0</v>
      </c>
      <c r="B130" s="13" t="e">
        <f>INDEX(Input!$D$2:$AC$500,
       MATCH(CPU_Formula!A130, Input!$J$2:$J$500, 0),
       MATCH("CPU model", Input!$D$1:$AC$1, 0))</f>
        <v>#N/A</v>
      </c>
      <c r="C130" s="13" t="str">
        <f t="shared" si="26"/>
        <v/>
      </c>
      <c r="D130" s="13" t="str">
        <f t="shared" si="27"/>
        <v/>
      </c>
      <c r="E130" s="13" t="str">
        <f t="shared" si="28"/>
        <v/>
      </c>
      <c r="F130" s="13" t="str">
        <f t="shared" si="29"/>
        <v/>
      </c>
      <c r="G130" s="13" t="str">
        <f t="shared" si="30"/>
        <v/>
      </c>
      <c r="H130" s="13" t="str">
        <f t="shared" si="31"/>
        <v/>
      </c>
      <c r="I130" t="str">
        <f t="shared" si="32"/>
        <v/>
      </c>
    </row>
    <row r="131" spans="1:9">
      <c r="A131">
        <f>CSV!B131</f>
        <v>0</v>
      </c>
      <c r="B131" s="13" t="e">
        <f>INDEX(Input!$D$2:$AC$500,
       MATCH(CPU_Formula!A131, Input!$J$2:$J$500, 0),
       MATCH("CPU model", Input!$D$1:$AC$1, 0))</f>
        <v>#N/A</v>
      </c>
      <c r="C131" s="13" t="str">
        <f t="shared" si="26"/>
        <v/>
      </c>
      <c r="D131" s="13" t="str">
        <f t="shared" si="27"/>
        <v/>
      </c>
      <c r="E131" s="13" t="str">
        <f t="shared" si="28"/>
        <v/>
      </c>
      <c r="F131" s="13" t="str">
        <f t="shared" si="29"/>
        <v/>
      </c>
      <c r="G131" s="13" t="str">
        <f t="shared" si="30"/>
        <v/>
      </c>
      <c r="H131" s="13" t="str">
        <f t="shared" si="31"/>
        <v/>
      </c>
      <c r="I131" t="str">
        <f t="shared" si="32"/>
        <v/>
      </c>
    </row>
    <row r="132" spans="1:9">
      <c r="A132">
        <f>CSV!B132</f>
        <v>0</v>
      </c>
      <c r="B132" s="13" t="e">
        <f>INDEX(Input!$D$2:$AC$500,
       MATCH(CPU_Formula!A132, Input!$J$2:$J$500, 0),
       MATCH("CPU model", Input!$D$1:$AC$1, 0))</f>
        <v>#N/A</v>
      </c>
      <c r="C132" s="13" t="str">
        <f t="shared" si="26"/>
        <v/>
      </c>
      <c r="D132" s="13" t="str">
        <f t="shared" si="27"/>
        <v/>
      </c>
      <c r="E132" s="13" t="str">
        <f t="shared" si="28"/>
        <v/>
      </c>
      <c r="F132" s="13" t="str">
        <f t="shared" si="29"/>
        <v/>
      </c>
      <c r="G132" s="13" t="str">
        <f t="shared" si="30"/>
        <v/>
      </c>
      <c r="H132" s="13" t="str">
        <f t="shared" si="31"/>
        <v/>
      </c>
      <c r="I132" t="str">
        <f t="shared" si="32"/>
        <v/>
      </c>
    </row>
    <row r="133" spans="1:9">
      <c r="A133">
        <f>CSV!B133</f>
        <v>0</v>
      </c>
      <c r="B133" s="13" t="e">
        <f>INDEX(Input!$D$2:$AC$500,
       MATCH(CPU_Formula!A133, Input!$J$2:$J$500, 0),
       MATCH("CPU model", Input!$D$1:$AC$1, 0))</f>
        <v>#N/A</v>
      </c>
      <c r="C133" s="13" t="str">
        <f t="shared" si="26"/>
        <v/>
      </c>
      <c r="D133" s="13" t="str">
        <f t="shared" si="27"/>
        <v/>
      </c>
      <c r="E133" s="13" t="str">
        <f t="shared" si="28"/>
        <v/>
      </c>
      <c r="F133" s="13" t="str">
        <f t="shared" si="29"/>
        <v/>
      </c>
      <c r="G133" s="13" t="str">
        <f t="shared" si="30"/>
        <v/>
      </c>
      <c r="H133" s="13" t="str">
        <f t="shared" si="31"/>
        <v/>
      </c>
      <c r="I133" t="str">
        <f t="shared" si="32"/>
        <v/>
      </c>
    </row>
    <row r="134" spans="1:9">
      <c r="A134">
        <f>CSV!B134</f>
        <v>0</v>
      </c>
      <c r="B134" s="13" t="e">
        <f>INDEX(Input!$D$2:$AC$500,
       MATCH(CPU_Formula!A134, Input!$J$2:$J$500, 0),
       MATCH("CPU model", Input!$D$1:$AC$1, 0))</f>
        <v>#N/A</v>
      </c>
      <c r="C134" s="13" t="str">
        <f t="shared" si="26"/>
        <v/>
      </c>
      <c r="D134" s="13" t="str">
        <f t="shared" si="27"/>
        <v/>
      </c>
      <c r="E134" s="13" t="str">
        <f t="shared" si="28"/>
        <v/>
      </c>
      <c r="F134" s="13" t="str">
        <f t="shared" si="29"/>
        <v/>
      </c>
      <c r="G134" s="13" t="str">
        <f t="shared" si="30"/>
        <v/>
      </c>
      <c r="H134" s="13" t="str">
        <f t="shared" si="31"/>
        <v/>
      </c>
      <c r="I134" t="str">
        <f t="shared" si="32"/>
        <v/>
      </c>
    </row>
    <row r="135" spans="1:9">
      <c r="A135">
        <f>CSV!B135</f>
        <v>0</v>
      </c>
      <c r="B135" s="13" t="e">
        <f>INDEX(Input!$D$2:$AC$500,
       MATCH(CPU_Formula!A135, Input!$J$2:$J$500, 0),
       MATCH("CPU model", Input!$D$1:$AC$1, 0))</f>
        <v>#N/A</v>
      </c>
      <c r="C135" s="13" t="str">
        <f t="shared" si="26"/>
        <v/>
      </c>
      <c r="D135" s="13" t="str">
        <f t="shared" si="27"/>
        <v/>
      </c>
      <c r="E135" s="13" t="str">
        <f t="shared" si="28"/>
        <v/>
      </c>
      <c r="F135" s="13" t="str">
        <f t="shared" si="29"/>
        <v/>
      </c>
      <c r="G135" s="13" t="str">
        <f t="shared" si="30"/>
        <v/>
      </c>
      <c r="H135" s="13" t="str">
        <f t="shared" si="31"/>
        <v/>
      </c>
      <c r="I135" t="str">
        <f t="shared" si="32"/>
        <v/>
      </c>
    </row>
    <row r="136" spans="1:9">
      <c r="A136">
        <f>CSV!B136</f>
        <v>0</v>
      </c>
      <c r="B136" s="13" t="e">
        <f>INDEX(Input!$D$2:$AC$500,
       MATCH(CPU_Formula!A136, Input!$J$2:$J$500, 0),
       MATCH("CPU model", Input!$D$1:$AC$1, 0))</f>
        <v>#N/A</v>
      </c>
      <c r="C136" s="13" t="str">
        <f t="shared" si="26"/>
        <v/>
      </c>
      <c r="D136" s="13" t="str">
        <f t="shared" si="27"/>
        <v/>
      </c>
      <c r="E136" s="13" t="str">
        <f t="shared" si="28"/>
        <v/>
      </c>
      <c r="F136" s="13" t="str">
        <f t="shared" si="29"/>
        <v/>
      </c>
      <c r="G136" s="13" t="str">
        <f t="shared" si="30"/>
        <v/>
      </c>
      <c r="H136" s="13" t="str">
        <f t="shared" si="31"/>
        <v/>
      </c>
      <c r="I136" t="str">
        <f t="shared" si="32"/>
        <v/>
      </c>
    </row>
    <row r="137" spans="1:9">
      <c r="A137">
        <f>CSV!B137</f>
        <v>0</v>
      </c>
      <c r="B137" s="13" t="e">
        <f>INDEX(Input!$D$2:$AC$500,
       MATCH(CPU_Formula!A137, Input!$J$2:$J$500, 0),
       MATCH("CPU model", Input!$D$1:$AC$1, 0))</f>
        <v>#N/A</v>
      </c>
      <c r="C137" s="13" t="str">
        <f t="shared" si="26"/>
        <v/>
      </c>
      <c r="D137" s="13" t="str">
        <f t="shared" si="27"/>
        <v/>
      </c>
      <c r="E137" s="13" t="str">
        <f t="shared" si="28"/>
        <v/>
      </c>
      <c r="F137" s="13" t="str">
        <f t="shared" si="29"/>
        <v/>
      </c>
      <c r="G137" s="13" t="str">
        <f t="shared" si="30"/>
        <v/>
      </c>
      <c r="H137" s="13" t="str">
        <f t="shared" si="31"/>
        <v/>
      </c>
      <c r="I137" t="str">
        <f t="shared" si="32"/>
        <v/>
      </c>
    </row>
    <row r="138" spans="1:9">
      <c r="A138">
        <f>CSV!B138</f>
        <v>0</v>
      </c>
      <c r="B138" s="13" t="e">
        <f>INDEX(Input!$D$2:$AC$500,
       MATCH(CPU_Formula!A138, Input!$J$2:$J$500, 0),
       MATCH("CPU model", Input!$D$1:$AC$1, 0))</f>
        <v>#N/A</v>
      </c>
      <c r="C138" s="13" t="str">
        <f t="shared" si="26"/>
        <v/>
      </c>
      <c r="D138" s="13" t="str">
        <f t="shared" si="27"/>
        <v/>
      </c>
      <c r="E138" s="13" t="str">
        <f t="shared" si="28"/>
        <v/>
      </c>
      <c r="F138" s="13" t="str">
        <f t="shared" si="29"/>
        <v/>
      </c>
      <c r="G138" s="13" t="str">
        <f t="shared" si="30"/>
        <v/>
      </c>
      <c r="H138" s="13" t="str">
        <f t="shared" si="31"/>
        <v/>
      </c>
      <c r="I138" t="str">
        <f t="shared" si="32"/>
        <v/>
      </c>
    </row>
    <row r="139" spans="1:9">
      <c r="A139">
        <f>CSV!B139</f>
        <v>0</v>
      </c>
      <c r="B139" s="13" t="e">
        <f>INDEX(Input!$D$2:$AC$500,
       MATCH(CPU_Formula!A139, Input!$J$2:$J$500, 0),
       MATCH("CPU model", Input!$D$1:$AC$1, 0))</f>
        <v>#N/A</v>
      </c>
      <c r="C139" s="13" t="str">
        <f t="shared" si="26"/>
        <v/>
      </c>
      <c r="D139" s="13" t="str">
        <f t="shared" si="27"/>
        <v/>
      </c>
      <c r="E139" s="13" t="str">
        <f t="shared" si="28"/>
        <v/>
      </c>
      <c r="F139" s="13" t="str">
        <f t="shared" si="29"/>
        <v/>
      </c>
      <c r="G139" s="13" t="str">
        <f t="shared" si="30"/>
        <v/>
      </c>
      <c r="H139" s="13" t="str">
        <f t="shared" si="31"/>
        <v/>
      </c>
      <c r="I139" t="str">
        <f t="shared" si="32"/>
        <v/>
      </c>
    </row>
    <row r="140" spans="1:9">
      <c r="A140">
        <f>CSV!B140</f>
        <v>0</v>
      </c>
      <c r="B140" s="13" t="e">
        <f>INDEX(Input!$D$2:$AC$500,
       MATCH(CPU_Formula!A140, Input!$J$2:$J$500, 0),
       MATCH("CPU model", Input!$D$1:$AC$1, 0))</f>
        <v>#N/A</v>
      </c>
      <c r="C140" s="13" t="str">
        <f t="shared" si="26"/>
        <v/>
      </c>
      <c r="D140" s="13" t="str">
        <f t="shared" si="27"/>
        <v/>
      </c>
      <c r="E140" s="13" t="str">
        <f t="shared" si="28"/>
        <v/>
      </c>
      <c r="F140" s="13" t="str">
        <f t="shared" si="29"/>
        <v/>
      </c>
      <c r="G140" s="13" t="str">
        <f t="shared" si="30"/>
        <v/>
      </c>
      <c r="H140" s="13" t="str">
        <f t="shared" si="31"/>
        <v/>
      </c>
      <c r="I140" t="str">
        <f t="shared" si="32"/>
        <v/>
      </c>
    </row>
    <row r="141" spans="1:9">
      <c r="A141">
        <f>CSV!B141</f>
        <v>0</v>
      </c>
      <c r="B141" s="13" t="e">
        <f>INDEX(Input!$D$2:$AC$500,
       MATCH(CPU_Formula!A141, Input!$J$2:$J$500, 0),
       MATCH("CPU model", Input!$D$1:$AC$1, 0))</f>
        <v>#N/A</v>
      </c>
      <c r="C141" s="13" t="str">
        <f t="shared" si="26"/>
        <v/>
      </c>
      <c r="D141" s="13" t="str">
        <f t="shared" si="27"/>
        <v/>
      </c>
      <c r="E141" s="13" t="str">
        <f t="shared" si="28"/>
        <v/>
      </c>
      <c r="F141" s="13" t="str">
        <f t="shared" si="29"/>
        <v/>
      </c>
      <c r="G141" s="13" t="str">
        <f t="shared" si="30"/>
        <v/>
      </c>
      <c r="H141" s="13" t="str">
        <f t="shared" si="31"/>
        <v/>
      </c>
      <c r="I141" t="str">
        <f t="shared" si="32"/>
        <v/>
      </c>
    </row>
    <row r="142" spans="1:9">
      <c r="A142">
        <f>CSV!B142</f>
        <v>0</v>
      </c>
      <c r="B142" s="13" t="e">
        <f>INDEX(Input!$D$2:$AC$500,
       MATCH(CPU_Formula!A142, Input!$J$2:$J$500, 0),
       MATCH("CPU model", Input!$D$1:$AC$1, 0))</f>
        <v>#N/A</v>
      </c>
      <c r="C142" s="13" t="str">
        <f t="shared" si="26"/>
        <v/>
      </c>
      <c r="D142" s="13" t="str">
        <f t="shared" si="27"/>
        <v/>
      </c>
      <c r="E142" s="13" t="str">
        <f t="shared" si="28"/>
        <v/>
      </c>
      <c r="F142" s="13" t="str">
        <f t="shared" si="29"/>
        <v/>
      </c>
      <c r="G142" s="13" t="str">
        <f t="shared" si="30"/>
        <v/>
      </c>
      <c r="H142" s="13" t="str">
        <f t="shared" si="31"/>
        <v/>
      </c>
      <c r="I142" t="str">
        <f t="shared" si="32"/>
        <v/>
      </c>
    </row>
    <row r="143" spans="1:9">
      <c r="A143">
        <f>CSV!B143</f>
        <v>0</v>
      </c>
      <c r="B143" s="13" t="e">
        <f>INDEX(Input!$D$2:$AC$500,
       MATCH(CPU_Formula!A143, Input!$J$2:$J$500, 0),
       MATCH("CPU model", Input!$D$1:$AC$1, 0))</f>
        <v>#N/A</v>
      </c>
      <c r="C143" s="13" t="str">
        <f t="shared" si="26"/>
        <v/>
      </c>
      <c r="D143" s="13" t="str">
        <f t="shared" si="27"/>
        <v/>
      </c>
      <c r="E143" s="13" t="str">
        <f t="shared" si="28"/>
        <v/>
      </c>
      <c r="F143" s="13" t="str">
        <f t="shared" si="29"/>
        <v/>
      </c>
      <c r="G143" s="13" t="str">
        <f t="shared" si="30"/>
        <v/>
      </c>
      <c r="H143" s="13" t="str">
        <f t="shared" si="31"/>
        <v/>
      </c>
      <c r="I143" t="str">
        <f t="shared" si="32"/>
        <v/>
      </c>
    </row>
    <row r="144" spans="1:9">
      <c r="A144">
        <f>CSV!B144</f>
        <v>0</v>
      </c>
      <c r="B144" s="13" t="e">
        <f>INDEX(Input!$D$2:$AC$500,
       MATCH(CPU_Formula!A144, Input!$J$2:$J$500, 0),
       MATCH("CPU model", Input!$D$1:$AC$1, 0))</f>
        <v>#N/A</v>
      </c>
      <c r="C144" s="13" t="str">
        <f t="shared" si="26"/>
        <v/>
      </c>
      <c r="D144" s="13" t="str">
        <f t="shared" si="27"/>
        <v/>
      </c>
      <c r="E144" s="13" t="str">
        <f t="shared" si="28"/>
        <v/>
      </c>
      <c r="F144" s="13" t="str">
        <f t="shared" si="29"/>
        <v/>
      </c>
      <c r="G144" s="13" t="str">
        <f t="shared" si="30"/>
        <v/>
      </c>
      <c r="H144" s="13" t="str">
        <f t="shared" si="31"/>
        <v/>
      </c>
      <c r="I144" t="str">
        <f t="shared" si="32"/>
        <v/>
      </c>
    </row>
    <row r="145" spans="1:9">
      <c r="A145">
        <f>CSV!B145</f>
        <v>0</v>
      </c>
      <c r="B145" s="13" t="e">
        <f>INDEX(Input!$D$2:$AC$500,
       MATCH(CPU_Formula!A145, Input!$J$2:$J$500, 0),
       MATCH("CPU model", Input!$D$1:$AC$1, 0))</f>
        <v>#N/A</v>
      </c>
      <c r="C145" s="13" t="str">
        <f t="shared" si="26"/>
        <v/>
      </c>
      <c r="D145" s="13" t="str">
        <f t="shared" si="27"/>
        <v/>
      </c>
      <c r="E145" s="13" t="str">
        <f t="shared" si="28"/>
        <v/>
      </c>
      <c r="F145" s="13" t="str">
        <f t="shared" si="29"/>
        <v/>
      </c>
      <c r="G145" s="13" t="str">
        <f t="shared" si="30"/>
        <v/>
      </c>
      <c r="H145" s="13" t="str">
        <f t="shared" si="31"/>
        <v/>
      </c>
      <c r="I145" t="str">
        <f t="shared" si="32"/>
        <v/>
      </c>
    </row>
    <row r="146" spans="1:9">
      <c r="A146">
        <f>CSV!B146</f>
        <v>0</v>
      </c>
      <c r="B146" s="13" t="e">
        <f>INDEX(Input!$D$2:$AC$500,
       MATCH(CPU_Formula!A146, Input!$J$2:$J$500, 0),
       MATCH("CPU model", Input!$D$1:$AC$1, 0))</f>
        <v>#N/A</v>
      </c>
      <c r="C146" s="13" t="str">
        <f t="shared" si="26"/>
        <v/>
      </c>
      <c r="D146" s="13" t="str">
        <f t="shared" si="27"/>
        <v/>
      </c>
      <c r="E146" s="13" t="str">
        <f t="shared" si="28"/>
        <v/>
      </c>
      <c r="F146" s="13" t="str">
        <f t="shared" si="29"/>
        <v/>
      </c>
      <c r="G146" s="13" t="str">
        <f t="shared" si="30"/>
        <v/>
      </c>
      <c r="H146" s="13" t="str">
        <f t="shared" si="31"/>
        <v/>
      </c>
      <c r="I146" t="str">
        <f t="shared" si="32"/>
        <v/>
      </c>
    </row>
    <row r="147" spans="1:9">
      <c r="A147">
        <f>CSV!B147</f>
        <v>0</v>
      </c>
      <c r="B147" s="13" t="e">
        <f>INDEX(Input!$D$2:$AC$500,
       MATCH(CPU_Formula!A147, Input!$J$2:$J$500, 0),
       MATCH("CPU model", Input!$D$1:$AC$1, 0))</f>
        <v>#N/A</v>
      </c>
      <c r="C147" s="13" t="str">
        <f t="shared" si="26"/>
        <v/>
      </c>
      <c r="D147" s="13" t="str">
        <f t="shared" si="27"/>
        <v/>
      </c>
      <c r="E147" s="13" t="str">
        <f t="shared" si="28"/>
        <v/>
      </c>
      <c r="F147" s="13" t="str">
        <f t="shared" si="29"/>
        <v/>
      </c>
      <c r="G147" s="13" t="str">
        <f t="shared" si="30"/>
        <v/>
      </c>
      <c r="H147" s="13" t="str">
        <f t="shared" si="31"/>
        <v/>
      </c>
      <c r="I147" t="str">
        <f t="shared" si="32"/>
        <v/>
      </c>
    </row>
    <row r="148" spans="1:9">
      <c r="A148">
        <f>CSV!B148</f>
        <v>0</v>
      </c>
      <c r="B148" s="13" t="e">
        <f>INDEX(Input!$D$2:$AC$500,
       MATCH(CPU_Formula!A148, Input!$J$2:$J$500, 0),
       MATCH("CPU model", Input!$D$1:$AC$1, 0))</f>
        <v>#N/A</v>
      </c>
      <c r="C148" s="13" t="str">
        <f t="shared" si="26"/>
        <v/>
      </c>
      <c r="D148" s="13" t="str">
        <f t="shared" si="27"/>
        <v/>
      </c>
      <c r="E148" s="13" t="str">
        <f t="shared" si="28"/>
        <v/>
      </c>
      <c r="F148" s="13" t="str">
        <f t="shared" si="29"/>
        <v/>
      </c>
      <c r="G148" s="13" t="str">
        <f t="shared" si="30"/>
        <v/>
      </c>
      <c r="H148" s="13" t="str">
        <f t="shared" si="31"/>
        <v/>
      </c>
      <c r="I148" t="str">
        <f t="shared" si="32"/>
        <v/>
      </c>
    </row>
    <row r="149" spans="1:9">
      <c r="A149">
        <f>CSV!B149</f>
        <v>0</v>
      </c>
      <c r="B149" s="13" t="e">
        <f>INDEX(Input!$D$2:$AC$500,
       MATCH(CPU_Formula!A149, Input!$J$2:$J$500, 0),
       MATCH("CPU model", Input!$D$1:$AC$1, 0))</f>
        <v>#N/A</v>
      </c>
      <c r="C149" s="13" t="str">
        <f t="shared" si="26"/>
        <v/>
      </c>
      <c r="D149" s="13" t="str">
        <f t="shared" si="27"/>
        <v/>
      </c>
      <c r="E149" s="13" t="str">
        <f t="shared" si="28"/>
        <v/>
      </c>
      <c r="F149" s="13" t="str">
        <f t="shared" si="29"/>
        <v/>
      </c>
      <c r="G149" s="13" t="str">
        <f t="shared" si="30"/>
        <v/>
      </c>
      <c r="H149" s="13" t="str">
        <f t="shared" si="31"/>
        <v/>
      </c>
      <c r="I149" t="str">
        <f t="shared" si="32"/>
        <v/>
      </c>
    </row>
    <row r="150" spans="1:9">
      <c r="A150">
        <f>CSV!B150</f>
        <v>0</v>
      </c>
      <c r="B150" s="13" t="e">
        <f>INDEX(Input!$D$2:$AC$500,
       MATCH(CPU_Formula!A150, Input!$J$2:$J$500, 0),
       MATCH("CPU model", Input!$D$1:$AC$1, 0))</f>
        <v>#N/A</v>
      </c>
      <c r="C150" s="13" t="str">
        <f t="shared" si="26"/>
        <v/>
      </c>
      <c r="D150" s="13" t="str">
        <f t="shared" si="27"/>
        <v/>
      </c>
      <c r="E150" s="13" t="str">
        <f t="shared" si="28"/>
        <v/>
      </c>
      <c r="F150" s="13" t="str">
        <f t="shared" si="29"/>
        <v/>
      </c>
      <c r="G150" s="13" t="str">
        <f t="shared" si="30"/>
        <v/>
      </c>
      <c r="H150" s="13" t="str">
        <f t="shared" si="31"/>
        <v/>
      </c>
      <c r="I150" t="str">
        <f t="shared" si="32"/>
        <v/>
      </c>
    </row>
    <row r="151" spans="1:9">
      <c r="A151">
        <f>CSV!B151</f>
        <v>0</v>
      </c>
      <c r="B151" s="13" t="e">
        <f>INDEX(Input!$D$2:$AC$500,
       MATCH(CPU_Formula!A151, Input!$J$2:$J$500, 0),
       MATCH("CPU model", Input!$D$1:$AC$1, 0))</f>
        <v>#N/A</v>
      </c>
      <c r="C151" s="13" t="str">
        <f t="shared" si="26"/>
        <v/>
      </c>
      <c r="D151" s="13" t="str">
        <f t="shared" si="27"/>
        <v/>
      </c>
      <c r="E151" s="13" t="str">
        <f t="shared" si="28"/>
        <v/>
      </c>
      <c r="F151" s="13" t="str">
        <f t="shared" si="29"/>
        <v/>
      </c>
      <c r="G151" s="13" t="str">
        <f t="shared" si="30"/>
        <v/>
      </c>
      <c r="H151" s="13" t="str">
        <f t="shared" si="31"/>
        <v/>
      </c>
      <c r="I151" t="str">
        <f t="shared" si="32"/>
        <v/>
      </c>
    </row>
    <row r="152" spans="1:9">
      <c r="A152">
        <f>CSV!B152</f>
        <v>0</v>
      </c>
      <c r="B152" s="13" t="e">
        <f>INDEX(Input!$D$2:$AC$500,
       MATCH(CPU_Formula!A152, Input!$J$2:$J$500, 0),
       MATCH("CPU model", Input!$D$1:$AC$1, 0))</f>
        <v>#N/A</v>
      </c>
      <c r="C152" s="13" t="str">
        <f t="shared" si="26"/>
        <v/>
      </c>
      <c r="D152" s="13" t="str">
        <f t="shared" si="27"/>
        <v/>
      </c>
      <c r="E152" s="13" t="str">
        <f t="shared" si="28"/>
        <v/>
      </c>
      <c r="F152" s="13" t="str">
        <f t="shared" si="29"/>
        <v/>
      </c>
      <c r="G152" s="13" t="str">
        <f t="shared" si="30"/>
        <v/>
      </c>
      <c r="H152" s="13" t="str">
        <f t="shared" si="31"/>
        <v/>
      </c>
      <c r="I152" t="str">
        <f t="shared" si="32"/>
        <v/>
      </c>
    </row>
    <row r="153" spans="1:9">
      <c r="A153">
        <f>CSV!B153</f>
        <v>0</v>
      </c>
      <c r="B153" s="13" t="e">
        <f>INDEX(Input!$D$2:$AC$500,
       MATCH(CPU_Formula!A153, Input!$J$2:$J$500, 0),
       MATCH("CPU model", Input!$D$1:$AC$1, 0))</f>
        <v>#N/A</v>
      </c>
      <c r="C153" s="13" t="str">
        <f t="shared" si="26"/>
        <v/>
      </c>
      <c r="D153" s="13" t="str">
        <f t="shared" si="27"/>
        <v/>
      </c>
      <c r="E153" s="13" t="str">
        <f t="shared" si="28"/>
        <v/>
      </c>
      <c r="F153" s="13" t="str">
        <f t="shared" si="29"/>
        <v/>
      </c>
      <c r="G153" s="13" t="str">
        <f t="shared" si="30"/>
        <v/>
      </c>
      <c r="H153" s="13" t="str">
        <f t="shared" si="31"/>
        <v/>
      </c>
      <c r="I153" t="str">
        <f t="shared" si="32"/>
        <v/>
      </c>
    </row>
    <row r="154" spans="1:9">
      <c r="A154">
        <f>CSV!B154</f>
        <v>0</v>
      </c>
      <c r="B154" s="13" t="e">
        <f>INDEX(Input!$D$2:$AC$500,
       MATCH(CPU_Formula!A154, Input!$J$2:$J$500, 0),
       MATCH("CPU model", Input!$D$1:$AC$1, 0))</f>
        <v>#N/A</v>
      </c>
      <c r="C154" s="13" t="str">
        <f t="shared" si="26"/>
        <v/>
      </c>
      <c r="D154" s="13" t="str">
        <f t="shared" si="27"/>
        <v/>
      </c>
      <c r="E154" s="13" t="str">
        <f t="shared" si="28"/>
        <v/>
      </c>
      <c r="F154" s="13" t="str">
        <f t="shared" si="29"/>
        <v/>
      </c>
      <c r="G154" s="13" t="str">
        <f t="shared" si="30"/>
        <v/>
      </c>
      <c r="H154" s="13" t="str">
        <f t="shared" si="31"/>
        <v/>
      </c>
      <c r="I154" t="str">
        <f t="shared" si="32"/>
        <v/>
      </c>
    </row>
    <row r="155" spans="1:9">
      <c r="A155">
        <f>CSV!B155</f>
        <v>0</v>
      </c>
      <c r="B155" s="13" t="e">
        <f>INDEX(Input!$D$2:$AC$500,
       MATCH(CPU_Formula!A155, Input!$J$2:$J$500, 0),
       MATCH("CPU model", Input!$D$1:$AC$1, 0))</f>
        <v>#N/A</v>
      </c>
      <c r="C155" s="13" t="str">
        <f t="shared" si="26"/>
        <v/>
      </c>
      <c r="D155" s="13" t="str">
        <f t="shared" si="27"/>
        <v/>
      </c>
      <c r="E155" s="13" t="str">
        <f t="shared" si="28"/>
        <v/>
      </c>
      <c r="F155" s="13" t="str">
        <f t="shared" si="29"/>
        <v/>
      </c>
      <c r="G155" s="13" t="str">
        <f t="shared" si="30"/>
        <v/>
      </c>
      <c r="H155" s="13" t="str">
        <f t="shared" si="31"/>
        <v/>
      </c>
      <c r="I155" t="str">
        <f t="shared" si="32"/>
        <v/>
      </c>
    </row>
    <row r="156" spans="1:9">
      <c r="A156">
        <f>CSV!B156</f>
        <v>0</v>
      </c>
      <c r="B156" s="13" t="e">
        <f>INDEX(Input!$D$2:$AC$500,
       MATCH(CPU_Formula!A156, Input!$J$2:$J$500, 0),
       MATCH("CPU model", Input!$D$1:$AC$1, 0))</f>
        <v>#N/A</v>
      </c>
      <c r="C156" s="13" t="str">
        <f t="shared" si="26"/>
        <v/>
      </c>
      <c r="D156" s="13" t="str">
        <f t="shared" si="27"/>
        <v/>
      </c>
      <c r="E156" s="13" t="str">
        <f t="shared" si="28"/>
        <v/>
      </c>
      <c r="F156" s="13" t="str">
        <f t="shared" si="29"/>
        <v/>
      </c>
      <c r="G156" s="13" t="str">
        <f t="shared" si="30"/>
        <v/>
      </c>
      <c r="H156" s="13" t="str">
        <f t="shared" si="31"/>
        <v/>
      </c>
      <c r="I156" t="str">
        <f t="shared" si="32"/>
        <v/>
      </c>
    </row>
    <row r="157" spans="1:9">
      <c r="A157">
        <f>CSV!B157</f>
        <v>0</v>
      </c>
      <c r="B157" s="13" t="e">
        <f>INDEX(Input!$D$2:$AC$500,
       MATCH(CPU_Formula!A157, Input!$J$2:$J$500, 0),
       MATCH("CPU model", Input!$D$1:$AC$1, 0))</f>
        <v>#N/A</v>
      </c>
      <c r="C157" s="13" t="str">
        <f t="shared" si="26"/>
        <v/>
      </c>
      <c r="D157" s="13" t="str">
        <f t="shared" si="27"/>
        <v/>
      </c>
      <c r="E157" s="13" t="str">
        <f t="shared" si="28"/>
        <v/>
      </c>
      <c r="F157" s="13" t="str">
        <f t="shared" si="29"/>
        <v/>
      </c>
      <c r="G157" s="13" t="str">
        <f t="shared" si="30"/>
        <v/>
      </c>
      <c r="H157" s="13" t="str">
        <f t="shared" si="31"/>
        <v/>
      </c>
      <c r="I157" t="str">
        <f t="shared" si="32"/>
        <v/>
      </c>
    </row>
    <row r="158" spans="1:9">
      <c r="A158">
        <f>CSV!B158</f>
        <v>0</v>
      </c>
      <c r="B158" s="13" t="e">
        <f>INDEX(Input!$D$2:$AC$500,
       MATCH(CPU_Formula!A158, Input!$J$2:$J$500, 0),
       MATCH("CPU model", Input!$D$1:$AC$1, 0))</f>
        <v>#N/A</v>
      </c>
      <c r="C158" s="13" t="str">
        <f t="shared" si="26"/>
        <v/>
      </c>
      <c r="D158" s="13" t="str">
        <f t="shared" si="27"/>
        <v/>
      </c>
      <c r="E158" s="13" t="str">
        <f t="shared" si="28"/>
        <v/>
      </c>
      <c r="F158" s="13" t="str">
        <f t="shared" si="29"/>
        <v/>
      </c>
      <c r="G158" s="13" t="str">
        <f t="shared" si="30"/>
        <v/>
      </c>
      <c r="H158" s="13" t="str">
        <f t="shared" si="31"/>
        <v/>
      </c>
      <c r="I158" t="str">
        <f t="shared" si="32"/>
        <v/>
      </c>
    </row>
    <row r="159" spans="1:9">
      <c r="A159">
        <f>CSV!B159</f>
        <v>0</v>
      </c>
      <c r="B159" s="13" t="e">
        <f>INDEX(Input!$D$2:$AC$500,
       MATCH(CPU_Formula!A159, Input!$J$2:$J$500, 0),
       MATCH("CPU model", Input!$D$1:$AC$1, 0))</f>
        <v>#N/A</v>
      </c>
      <c r="C159" s="13" t="str">
        <f t="shared" si="26"/>
        <v/>
      </c>
      <c r="D159" s="13" t="str">
        <f t="shared" si="27"/>
        <v/>
      </c>
      <c r="E159" s="13" t="str">
        <f t="shared" si="28"/>
        <v/>
      </c>
      <c r="F159" s="13" t="str">
        <f t="shared" si="29"/>
        <v/>
      </c>
      <c r="G159" s="13" t="str">
        <f t="shared" si="30"/>
        <v/>
      </c>
      <c r="H159" s="13" t="str">
        <f t="shared" si="31"/>
        <v/>
      </c>
      <c r="I159" t="str">
        <f t="shared" si="32"/>
        <v/>
      </c>
    </row>
    <row r="160" spans="1:9">
      <c r="A160">
        <f>CSV!B160</f>
        <v>0</v>
      </c>
      <c r="B160" s="13" t="e">
        <f>INDEX(Input!$D$2:$AC$500,
       MATCH(CPU_Formula!A160, Input!$J$2:$J$500, 0),
       MATCH("CPU model", Input!$D$1:$AC$1, 0))</f>
        <v>#N/A</v>
      </c>
      <c r="C160" s="13" t="str">
        <f t="shared" si="26"/>
        <v/>
      </c>
      <c r="D160" s="13" t="str">
        <f t="shared" si="27"/>
        <v/>
      </c>
      <c r="E160" s="13" t="str">
        <f t="shared" si="28"/>
        <v/>
      </c>
      <c r="F160" s="13" t="str">
        <f t="shared" si="29"/>
        <v/>
      </c>
      <c r="G160" s="13" t="str">
        <f t="shared" si="30"/>
        <v/>
      </c>
      <c r="H160" s="13" t="str">
        <f t="shared" si="31"/>
        <v/>
      </c>
      <c r="I160" t="str">
        <f t="shared" si="32"/>
        <v/>
      </c>
    </row>
    <row r="161" spans="1:9">
      <c r="A161">
        <f>CSV!B161</f>
        <v>0</v>
      </c>
      <c r="B161" s="13" t="e">
        <f>INDEX(Input!$D$2:$AC$500,
       MATCH(CPU_Formula!A161, Input!$J$2:$J$500, 0),
       MATCH("CPU model", Input!$D$1:$AC$1, 0))</f>
        <v>#N/A</v>
      </c>
      <c r="C161" s="13" t="str">
        <f t="shared" si="26"/>
        <v/>
      </c>
      <c r="D161" s="13" t="str">
        <f t="shared" si="27"/>
        <v/>
      </c>
      <c r="E161" s="13" t="str">
        <f t="shared" si="28"/>
        <v/>
      </c>
      <c r="F161" s="13" t="str">
        <f t="shared" si="29"/>
        <v/>
      </c>
      <c r="G161" s="13" t="str">
        <f t="shared" si="30"/>
        <v/>
      </c>
      <c r="H161" s="13" t="str">
        <f t="shared" si="31"/>
        <v/>
      </c>
      <c r="I161" t="str">
        <f t="shared" si="32"/>
        <v/>
      </c>
    </row>
    <row r="162" spans="1:9">
      <c r="A162">
        <f>CSV!B162</f>
        <v>0</v>
      </c>
      <c r="B162" s="13" t="e">
        <f>INDEX(Input!$D$2:$AC$500,
       MATCH(CPU_Formula!A162, Input!$J$2:$J$500, 0),
       MATCH("CPU model", Input!$D$1:$AC$1, 0))</f>
        <v>#N/A</v>
      </c>
      <c r="C162" s="13" t="str">
        <f t="shared" si="26"/>
        <v/>
      </c>
      <c r="D162" s="13" t="str">
        <f t="shared" si="27"/>
        <v/>
      </c>
      <c r="E162" s="13" t="str">
        <f t="shared" si="28"/>
        <v/>
      </c>
      <c r="F162" s="13" t="str">
        <f t="shared" si="29"/>
        <v/>
      </c>
      <c r="G162" s="13" t="str">
        <f t="shared" si="30"/>
        <v/>
      </c>
      <c r="H162" s="13" t="str">
        <f t="shared" si="31"/>
        <v/>
      </c>
      <c r="I162" t="str">
        <f t="shared" si="32"/>
        <v/>
      </c>
    </row>
    <row r="163" spans="1:9">
      <c r="A163">
        <f>CSV!B163</f>
        <v>0</v>
      </c>
      <c r="B163" s="13" t="e">
        <f>INDEX(Input!$D$2:$AC$500,
       MATCH(CPU_Formula!A163, Input!$J$2:$J$500, 0),
       MATCH("CPU model", Input!$D$1:$AC$1, 0))</f>
        <v>#N/A</v>
      </c>
      <c r="C163" s="13" t="str">
        <f t="shared" si="26"/>
        <v/>
      </c>
      <c r="D163" s="13" t="str">
        <f t="shared" si="27"/>
        <v/>
      </c>
      <c r="E163" s="13" t="str">
        <f t="shared" si="28"/>
        <v/>
      </c>
      <c r="F163" s="13" t="str">
        <f t="shared" si="29"/>
        <v/>
      </c>
      <c r="G163" s="13" t="str">
        <f t="shared" si="30"/>
        <v/>
      </c>
      <c r="H163" s="13" t="str">
        <f t="shared" si="31"/>
        <v/>
      </c>
      <c r="I163" t="str">
        <f t="shared" si="32"/>
        <v/>
      </c>
    </row>
    <row r="164" spans="1:9">
      <c r="A164">
        <f>CSV!B164</f>
        <v>0</v>
      </c>
      <c r="B164" s="13" t="e">
        <f>INDEX(Input!$D$2:$AC$500,
       MATCH(CPU_Formula!A164, Input!$J$2:$J$500, 0),
       MATCH("CPU model", Input!$D$1:$AC$1, 0))</f>
        <v>#N/A</v>
      </c>
      <c r="C164" s="13" t="str">
        <f t="shared" si="26"/>
        <v/>
      </c>
      <c r="D164" s="13" t="str">
        <f t="shared" si="27"/>
        <v/>
      </c>
      <c r="E164" s="13" t="str">
        <f t="shared" si="28"/>
        <v/>
      </c>
      <c r="F164" s="13" t="str">
        <f t="shared" si="29"/>
        <v/>
      </c>
      <c r="G164" s="13" t="str">
        <f t="shared" si="30"/>
        <v/>
      </c>
      <c r="H164" s="13" t="str">
        <f t="shared" si="31"/>
        <v/>
      </c>
      <c r="I164" t="str">
        <f t="shared" si="32"/>
        <v/>
      </c>
    </row>
    <row r="165" spans="1:9">
      <c r="A165">
        <f>CSV!B165</f>
        <v>0</v>
      </c>
      <c r="B165" s="13" t="e">
        <f>INDEX(Input!$D$2:$AC$500,
       MATCH(CPU_Formula!A165, Input!$J$2:$J$500, 0),
       MATCH("CPU model", Input!$D$1:$AC$1, 0))</f>
        <v>#N/A</v>
      </c>
      <c r="C165" s="13" t="str">
        <f t="shared" si="26"/>
        <v/>
      </c>
      <c r="D165" s="13" t="str">
        <f t="shared" si="27"/>
        <v/>
      </c>
      <c r="E165" s="13" t="str">
        <f t="shared" si="28"/>
        <v/>
      </c>
      <c r="F165" s="13" t="str">
        <f t="shared" si="29"/>
        <v/>
      </c>
      <c r="G165" s="13" t="str">
        <f t="shared" si="30"/>
        <v/>
      </c>
      <c r="H165" s="13" t="str">
        <f t="shared" si="31"/>
        <v/>
      </c>
      <c r="I165" t="str">
        <f t="shared" si="32"/>
        <v/>
      </c>
    </row>
    <row r="166" spans="1:9">
      <c r="A166">
        <f>CSV!B166</f>
        <v>0</v>
      </c>
      <c r="B166" s="13" t="e">
        <f>INDEX(Input!$D$2:$AC$500,
       MATCH(CPU_Formula!A166, Input!$J$2:$J$500, 0),
       MATCH("CPU model", Input!$D$1:$AC$1, 0))</f>
        <v>#N/A</v>
      </c>
      <c r="C166" s="13" t="str">
        <f t="shared" si="26"/>
        <v/>
      </c>
      <c r="D166" s="13" t="str">
        <f t="shared" si="27"/>
        <v/>
      </c>
      <c r="E166" s="13" t="str">
        <f t="shared" si="28"/>
        <v/>
      </c>
      <c r="F166" s="13" t="str">
        <f t="shared" si="29"/>
        <v/>
      </c>
      <c r="G166" s="13" t="str">
        <f t="shared" si="30"/>
        <v/>
      </c>
      <c r="H166" s="13" t="str">
        <f t="shared" si="31"/>
        <v/>
      </c>
      <c r="I166" t="str">
        <f t="shared" si="32"/>
        <v/>
      </c>
    </row>
    <row r="167" spans="1:9">
      <c r="A167">
        <f>CSV!B167</f>
        <v>0</v>
      </c>
      <c r="B167" s="13" t="e">
        <f>INDEX(Input!$D$2:$AC$500,
       MATCH(CPU_Formula!A167, Input!$J$2:$J$500, 0),
       MATCH("CPU model", Input!$D$1:$AC$1, 0))</f>
        <v>#N/A</v>
      </c>
      <c r="C167" s="13" t="str">
        <f t="shared" si="26"/>
        <v/>
      </c>
      <c r="D167" s="13" t="str">
        <f t="shared" si="27"/>
        <v/>
      </c>
      <c r="E167" s="13" t="str">
        <f t="shared" si="28"/>
        <v/>
      </c>
      <c r="F167" s="13" t="str">
        <f t="shared" si="29"/>
        <v/>
      </c>
      <c r="G167" s="13" t="str">
        <f t="shared" si="30"/>
        <v/>
      </c>
      <c r="H167" s="13" t="str">
        <f t="shared" si="31"/>
        <v/>
      </c>
      <c r="I167" t="str">
        <f t="shared" si="32"/>
        <v/>
      </c>
    </row>
    <row r="168" spans="1:9">
      <c r="A168">
        <f>CSV!B168</f>
        <v>0</v>
      </c>
      <c r="B168" s="13" t="e">
        <f>INDEX(Input!$D$2:$AC$500,
       MATCH(CPU_Formula!A168, Input!$J$2:$J$500, 0),
       MATCH("CPU model", Input!$D$1:$AC$1, 0))</f>
        <v>#N/A</v>
      </c>
      <c r="C168" s="13" t="str">
        <f t="shared" ref="C168:C231" si="33">IFERROR(_xlfn.TEXTAFTER(B168,"Core(TM) "),IFERROR(_xlfn.TEXTAFTER(B168,"Xeon(R) CPU"),""))</f>
        <v/>
      </c>
      <c r="D168" s="13" t="str">
        <f t="shared" ref="D168:D231" si="34">IFERROR(_xlfn.TEXTAFTER(B168,"Ryzen "), "")</f>
        <v/>
      </c>
      <c r="E168" s="13" t="str">
        <f t="shared" ref="E168:E231" si="35">IF(ISNUMBER(SEARCH("Ultra", B168)), "Ultra"&amp;_xlfn.TEXTAFTER(B168, "Ultra"), "")</f>
        <v/>
      </c>
      <c r="F168" s="13" t="str">
        <f t="shared" ref="F168:F231" si="36">IF(C168&lt;&gt;"", TRIM(_xlfn.TEXTBEFORE(C168," ",,1,1)), "")</f>
        <v/>
      </c>
      <c r="G168" s="13" t="str">
        <f t="shared" ref="G168:G231" si="37">IF(D168&lt;&gt;"", TRIM(_xlfn.TEXTBEFORE(D168," ",,1)), "")</f>
        <v/>
      </c>
      <c r="H168" s="13" t="str">
        <f t="shared" ref="H168:H231" si="38">E168</f>
        <v/>
      </c>
      <c r="I168" t="str">
        <f t="shared" ref="I168:I231" si="39">IF(H168&lt;&gt;"",H168,IF(G168&lt;&gt;"",G168,F168))</f>
        <v/>
      </c>
    </row>
    <row r="169" spans="1:9">
      <c r="A169">
        <f>CSV!B169</f>
        <v>0</v>
      </c>
      <c r="B169" s="13" t="e">
        <f>INDEX(Input!$D$2:$AC$500,
       MATCH(CPU_Formula!A169, Input!$J$2:$J$500, 0),
       MATCH("CPU model", Input!$D$1:$AC$1, 0))</f>
        <v>#N/A</v>
      </c>
      <c r="C169" s="13" t="str">
        <f t="shared" si="33"/>
        <v/>
      </c>
      <c r="D169" s="13" t="str">
        <f t="shared" si="34"/>
        <v/>
      </c>
      <c r="E169" s="13" t="str">
        <f t="shared" si="35"/>
        <v/>
      </c>
      <c r="F169" s="13" t="str">
        <f t="shared" si="36"/>
        <v/>
      </c>
      <c r="G169" s="13" t="str">
        <f t="shared" si="37"/>
        <v/>
      </c>
      <c r="H169" s="13" t="str">
        <f t="shared" si="38"/>
        <v/>
      </c>
      <c r="I169" t="str">
        <f t="shared" si="39"/>
        <v/>
      </c>
    </row>
    <row r="170" spans="1:9">
      <c r="A170">
        <f>CSV!B170</f>
        <v>0</v>
      </c>
      <c r="B170" s="13" t="e">
        <f>INDEX(Input!$D$2:$AC$500,
       MATCH(CPU_Formula!A170, Input!$J$2:$J$500, 0),
       MATCH("CPU model", Input!$D$1:$AC$1, 0))</f>
        <v>#N/A</v>
      </c>
      <c r="C170" s="13" t="str">
        <f t="shared" si="33"/>
        <v/>
      </c>
      <c r="D170" s="13" t="str">
        <f t="shared" si="34"/>
        <v/>
      </c>
      <c r="E170" s="13" t="str">
        <f t="shared" si="35"/>
        <v/>
      </c>
      <c r="F170" s="13" t="str">
        <f t="shared" si="36"/>
        <v/>
      </c>
      <c r="G170" s="13" t="str">
        <f t="shared" si="37"/>
        <v/>
      </c>
      <c r="H170" s="13" t="str">
        <f t="shared" si="38"/>
        <v/>
      </c>
      <c r="I170" t="str">
        <f t="shared" si="39"/>
        <v/>
      </c>
    </row>
    <row r="171" spans="1:9">
      <c r="A171">
        <f>CSV!B171</f>
        <v>0</v>
      </c>
      <c r="B171" s="13" t="e">
        <f>INDEX(Input!$D$2:$AC$500,
       MATCH(CPU_Formula!A171, Input!$J$2:$J$500, 0),
       MATCH("CPU model", Input!$D$1:$AC$1, 0))</f>
        <v>#N/A</v>
      </c>
      <c r="C171" s="13" t="str">
        <f t="shared" si="33"/>
        <v/>
      </c>
      <c r="D171" s="13" t="str">
        <f t="shared" si="34"/>
        <v/>
      </c>
      <c r="E171" s="13" t="str">
        <f t="shared" si="35"/>
        <v/>
      </c>
      <c r="F171" s="13" t="str">
        <f t="shared" si="36"/>
        <v/>
      </c>
      <c r="G171" s="13" t="str">
        <f t="shared" si="37"/>
        <v/>
      </c>
      <c r="H171" s="13" t="str">
        <f t="shared" si="38"/>
        <v/>
      </c>
      <c r="I171" t="str">
        <f t="shared" si="39"/>
        <v/>
      </c>
    </row>
    <row r="172" spans="1:9">
      <c r="A172">
        <f>CSV!B172</f>
        <v>0</v>
      </c>
      <c r="B172" s="13" t="e">
        <f>INDEX(Input!$D$2:$AC$500,
       MATCH(CPU_Formula!A172, Input!$J$2:$J$500, 0),
       MATCH("CPU model", Input!$D$1:$AC$1, 0))</f>
        <v>#N/A</v>
      </c>
      <c r="C172" s="13" t="str">
        <f t="shared" si="33"/>
        <v/>
      </c>
      <c r="D172" s="13" t="str">
        <f t="shared" si="34"/>
        <v/>
      </c>
      <c r="E172" s="13" t="str">
        <f t="shared" si="35"/>
        <v/>
      </c>
      <c r="F172" s="13" t="str">
        <f t="shared" si="36"/>
        <v/>
      </c>
      <c r="G172" s="13" t="str">
        <f t="shared" si="37"/>
        <v/>
      </c>
      <c r="H172" s="13" t="str">
        <f t="shared" si="38"/>
        <v/>
      </c>
      <c r="I172" t="str">
        <f t="shared" si="39"/>
        <v/>
      </c>
    </row>
    <row r="173" spans="1:9">
      <c r="A173">
        <f>CSV!B173</f>
        <v>0</v>
      </c>
      <c r="B173" s="13" t="e">
        <f>INDEX(Input!$D$2:$AC$500,
       MATCH(CPU_Formula!A173, Input!$J$2:$J$500, 0),
       MATCH("CPU model", Input!$D$1:$AC$1, 0))</f>
        <v>#N/A</v>
      </c>
      <c r="C173" s="13" t="str">
        <f t="shared" si="33"/>
        <v/>
      </c>
      <c r="D173" s="13" t="str">
        <f t="shared" si="34"/>
        <v/>
      </c>
      <c r="E173" s="13" t="str">
        <f t="shared" si="35"/>
        <v/>
      </c>
      <c r="F173" s="13" t="str">
        <f t="shared" si="36"/>
        <v/>
      </c>
      <c r="G173" s="13" t="str">
        <f t="shared" si="37"/>
        <v/>
      </c>
      <c r="H173" s="13" t="str">
        <f t="shared" si="38"/>
        <v/>
      </c>
      <c r="I173" t="str">
        <f t="shared" si="39"/>
        <v/>
      </c>
    </row>
    <row r="174" spans="1:9">
      <c r="A174">
        <f>CSV!B174</f>
        <v>0</v>
      </c>
      <c r="B174" s="13" t="e">
        <f>INDEX(Input!$D$2:$AC$500,
       MATCH(CPU_Formula!A174, Input!$J$2:$J$500, 0),
       MATCH("CPU model", Input!$D$1:$AC$1, 0))</f>
        <v>#N/A</v>
      </c>
      <c r="C174" s="13" t="str">
        <f t="shared" si="33"/>
        <v/>
      </c>
      <c r="D174" s="13" t="str">
        <f t="shared" si="34"/>
        <v/>
      </c>
      <c r="E174" s="13" t="str">
        <f t="shared" si="35"/>
        <v/>
      </c>
      <c r="F174" s="13" t="str">
        <f t="shared" si="36"/>
        <v/>
      </c>
      <c r="G174" s="13" t="str">
        <f t="shared" si="37"/>
        <v/>
      </c>
      <c r="H174" s="13" t="str">
        <f t="shared" si="38"/>
        <v/>
      </c>
      <c r="I174" t="str">
        <f t="shared" si="39"/>
        <v/>
      </c>
    </row>
    <row r="175" spans="1:9">
      <c r="A175">
        <f>CSV!B175</f>
        <v>0</v>
      </c>
      <c r="B175" s="13" t="e">
        <f>INDEX(Input!$D$2:$AC$500,
       MATCH(CPU_Formula!A175, Input!$J$2:$J$500, 0),
       MATCH("CPU model", Input!$D$1:$AC$1, 0))</f>
        <v>#N/A</v>
      </c>
      <c r="C175" s="13" t="str">
        <f t="shared" si="33"/>
        <v/>
      </c>
      <c r="D175" s="13" t="str">
        <f t="shared" si="34"/>
        <v/>
      </c>
      <c r="E175" s="13" t="str">
        <f t="shared" si="35"/>
        <v/>
      </c>
      <c r="F175" s="13" t="str">
        <f t="shared" si="36"/>
        <v/>
      </c>
      <c r="G175" s="13" t="str">
        <f t="shared" si="37"/>
        <v/>
      </c>
      <c r="H175" s="13" t="str">
        <f t="shared" si="38"/>
        <v/>
      </c>
      <c r="I175" t="str">
        <f t="shared" si="39"/>
        <v/>
      </c>
    </row>
    <row r="176" spans="1:9">
      <c r="A176">
        <f>CSV!B176</f>
        <v>0</v>
      </c>
      <c r="B176" s="13" t="e">
        <f>INDEX(Input!$D$2:$AC$500,
       MATCH(CPU_Formula!A176, Input!$J$2:$J$500, 0),
       MATCH("CPU model", Input!$D$1:$AC$1, 0))</f>
        <v>#N/A</v>
      </c>
      <c r="C176" s="13" t="str">
        <f t="shared" si="33"/>
        <v/>
      </c>
      <c r="D176" s="13" t="str">
        <f t="shared" si="34"/>
        <v/>
      </c>
      <c r="E176" s="13" t="str">
        <f t="shared" si="35"/>
        <v/>
      </c>
      <c r="F176" s="13" t="str">
        <f t="shared" si="36"/>
        <v/>
      </c>
      <c r="G176" s="13" t="str">
        <f t="shared" si="37"/>
        <v/>
      </c>
      <c r="H176" s="13" t="str">
        <f t="shared" si="38"/>
        <v/>
      </c>
      <c r="I176" t="str">
        <f t="shared" si="39"/>
        <v/>
      </c>
    </row>
    <row r="177" spans="1:9">
      <c r="A177">
        <f>CSV!B177</f>
        <v>0</v>
      </c>
      <c r="B177" s="13" t="e">
        <f>INDEX(Input!$D$2:$AC$500,
       MATCH(CPU_Formula!A177, Input!$J$2:$J$500, 0),
       MATCH("CPU model", Input!$D$1:$AC$1, 0))</f>
        <v>#N/A</v>
      </c>
      <c r="C177" s="13" t="str">
        <f t="shared" si="33"/>
        <v/>
      </c>
      <c r="D177" s="13" t="str">
        <f t="shared" si="34"/>
        <v/>
      </c>
      <c r="E177" s="13" t="str">
        <f t="shared" si="35"/>
        <v/>
      </c>
      <c r="F177" s="13" t="str">
        <f t="shared" si="36"/>
        <v/>
      </c>
      <c r="G177" s="13" t="str">
        <f t="shared" si="37"/>
        <v/>
      </c>
      <c r="H177" s="13" t="str">
        <f t="shared" si="38"/>
        <v/>
      </c>
      <c r="I177" t="str">
        <f t="shared" si="39"/>
        <v/>
      </c>
    </row>
    <row r="178" spans="1:9">
      <c r="A178">
        <f>CSV!B178</f>
        <v>0</v>
      </c>
      <c r="B178" s="13" t="e">
        <f>INDEX(Input!$D$2:$AC$500,
       MATCH(CPU_Formula!A178, Input!$J$2:$J$500, 0),
       MATCH("CPU model", Input!$D$1:$AC$1, 0))</f>
        <v>#N/A</v>
      </c>
      <c r="C178" s="13" t="str">
        <f t="shared" si="33"/>
        <v/>
      </c>
      <c r="D178" s="13" t="str">
        <f t="shared" si="34"/>
        <v/>
      </c>
      <c r="E178" s="13" t="str">
        <f t="shared" si="35"/>
        <v/>
      </c>
      <c r="F178" s="13" t="str">
        <f t="shared" si="36"/>
        <v/>
      </c>
      <c r="G178" s="13" t="str">
        <f t="shared" si="37"/>
        <v/>
      </c>
      <c r="H178" s="13" t="str">
        <f t="shared" si="38"/>
        <v/>
      </c>
      <c r="I178" t="str">
        <f t="shared" si="39"/>
        <v/>
      </c>
    </row>
    <row r="179" spans="1:9">
      <c r="A179">
        <f>CSV!B179</f>
        <v>0</v>
      </c>
      <c r="B179" s="13" t="e">
        <f>INDEX(Input!$D$2:$AC$500,
       MATCH(CPU_Formula!A179, Input!$J$2:$J$500, 0),
       MATCH("CPU model", Input!$D$1:$AC$1, 0))</f>
        <v>#N/A</v>
      </c>
      <c r="C179" s="13" t="str">
        <f t="shared" si="33"/>
        <v/>
      </c>
      <c r="D179" s="13" t="str">
        <f t="shared" si="34"/>
        <v/>
      </c>
      <c r="E179" s="13" t="str">
        <f t="shared" si="35"/>
        <v/>
      </c>
      <c r="F179" s="13" t="str">
        <f t="shared" si="36"/>
        <v/>
      </c>
      <c r="G179" s="13" t="str">
        <f t="shared" si="37"/>
        <v/>
      </c>
      <c r="H179" s="13" t="str">
        <f t="shared" si="38"/>
        <v/>
      </c>
      <c r="I179" t="str">
        <f t="shared" si="39"/>
        <v/>
      </c>
    </row>
    <row r="180" spans="1:9">
      <c r="A180">
        <f>CSV!B180</f>
        <v>0</v>
      </c>
      <c r="B180" s="13" t="e">
        <f>INDEX(Input!$D$2:$AC$500,
       MATCH(CPU_Formula!A180, Input!$J$2:$J$500, 0),
       MATCH("CPU model", Input!$D$1:$AC$1, 0))</f>
        <v>#N/A</v>
      </c>
      <c r="C180" s="13" t="str">
        <f t="shared" si="33"/>
        <v/>
      </c>
      <c r="D180" s="13" t="str">
        <f t="shared" si="34"/>
        <v/>
      </c>
      <c r="E180" s="13" t="str">
        <f t="shared" si="35"/>
        <v/>
      </c>
      <c r="F180" s="13" t="str">
        <f t="shared" si="36"/>
        <v/>
      </c>
      <c r="G180" s="13" t="str">
        <f t="shared" si="37"/>
        <v/>
      </c>
      <c r="H180" s="13" t="str">
        <f t="shared" si="38"/>
        <v/>
      </c>
      <c r="I180" t="str">
        <f t="shared" si="39"/>
        <v/>
      </c>
    </row>
    <row r="181" spans="1:9">
      <c r="A181">
        <f>CSV!B181</f>
        <v>0</v>
      </c>
      <c r="B181" s="13" t="e">
        <f>INDEX(Input!$D$2:$AC$500,
       MATCH(CPU_Formula!A181, Input!$J$2:$J$500, 0),
       MATCH("CPU model", Input!$D$1:$AC$1, 0))</f>
        <v>#N/A</v>
      </c>
      <c r="C181" s="13" t="str">
        <f t="shared" si="33"/>
        <v/>
      </c>
      <c r="D181" s="13" t="str">
        <f t="shared" si="34"/>
        <v/>
      </c>
      <c r="E181" s="13" t="str">
        <f t="shared" si="35"/>
        <v/>
      </c>
      <c r="F181" s="13" t="str">
        <f t="shared" si="36"/>
        <v/>
      </c>
      <c r="G181" s="13" t="str">
        <f t="shared" si="37"/>
        <v/>
      </c>
      <c r="H181" s="13" t="str">
        <f t="shared" si="38"/>
        <v/>
      </c>
      <c r="I181" t="str">
        <f t="shared" si="39"/>
        <v/>
      </c>
    </row>
    <row r="182" spans="1:9">
      <c r="A182">
        <f>CSV!B182</f>
        <v>0</v>
      </c>
      <c r="B182" s="13" t="e">
        <f>INDEX(Input!$D$2:$AC$500,
       MATCH(CPU_Formula!A182, Input!$J$2:$J$500, 0),
       MATCH("CPU model", Input!$D$1:$AC$1, 0))</f>
        <v>#N/A</v>
      </c>
      <c r="C182" s="13" t="str">
        <f t="shared" si="33"/>
        <v/>
      </c>
      <c r="D182" s="13" t="str">
        <f t="shared" si="34"/>
        <v/>
      </c>
      <c r="E182" s="13" t="str">
        <f t="shared" si="35"/>
        <v/>
      </c>
      <c r="F182" s="13" t="str">
        <f t="shared" si="36"/>
        <v/>
      </c>
      <c r="G182" s="13" t="str">
        <f t="shared" si="37"/>
        <v/>
      </c>
      <c r="H182" s="13" t="str">
        <f t="shared" si="38"/>
        <v/>
      </c>
      <c r="I182" t="str">
        <f t="shared" si="39"/>
        <v/>
      </c>
    </row>
    <row r="183" spans="1:9">
      <c r="A183">
        <f>CSV!B183</f>
        <v>0</v>
      </c>
      <c r="B183" s="13" t="e">
        <f>INDEX(Input!$D$2:$AC$500,
       MATCH(CPU_Formula!A183, Input!$J$2:$J$500, 0),
       MATCH("CPU model", Input!$D$1:$AC$1, 0))</f>
        <v>#N/A</v>
      </c>
      <c r="C183" s="13" t="str">
        <f t="shared" si="33"/>
        <v/>
      </c>
      <c r="D183" s="13" t="str">
        <f t="shared" si="34"/>
        <v/>
      </c>
      <c r="E183" s="13" t="str">
        <f t="shared" si="35"/>
        <v/>
      </c>
      <c r="F183" s="13" t="str">
        <f t="shared" si="36"/>
        <v/>
      </c>
      <c r="G183" s="13" t="str">
        <f t="shared" si="37"/>
        <v/>
      </c>
      <c r="H183" s="13" t="str">
        <f t="shared" si="38"/>
        <v/>
      </c>
      <c r="I183" t="str">
        <f t="shared" si="39"/>
        <v/>
      </c>
    </row>
    <row r="184" spans="1:9">
      <c r="A184">
        <f>CSV!B184</f>
        <v>0</v>
      </c>
      <c r="B184" s="13" t="e">
        <f>INDEX(Input!$D$2:$AC$500,
       MATCH(CPU_Formula!A184, Input!$J$2:$J$500, 0),
       MATCH("CPU model", Input!$D$1:$AC$1, 0))</f>
        <v>#N/A</v>
      </c>
      <c r="C184" s="13" t="str">
        <f t="shared" si="33"/>
        <v/>
      </c>
      <c r="D184" s="13" t="str">
        <f t="shared" si="34"/>
        <v/>
      </c>
      <c r="E184" s="13" t="str">
        <f t="shared" si="35"/>
        <v/>
      </c>
      <c r="F184" s="13" t="str">
        <f t="shared" si="36"/>
        <v/>
      </c>
      <c r="G184" s="13" t="str">
        <f t="shared" si="37"/>
        <v/>
      </c>
      <c r="H184" s="13" t="str">
        <f t="shared" si="38"/>
        <v/>
      </c>
      <c r="I184" t="str">
        <f t="shared" si="39"/>
        <v/>
      </c>
    </row>
    <row r="185" spans="1:9">
      <c r="A185">
        <f>CSV!B185</f>
        <v>0</v>
      </c>
      <c r="B185" s="13" t="e">
        <f>INDEX(Input!$D$2:$AC$500,
       MATCH(CPU_Formula!A185, Input!$J$2:$J$500, 0),
       MATCH("CPU model", Input!$D$1:$AC$1, 0))</f>
        <v>#N/A</v>
      </c>
      <c r="C185" s="13" t="str">
        <f t="shared" si="33"/>
        <v/>
      </c>
      <c r="D185" s="13" t="str">
        <f t="shared" si="34"/>
        <v/>
      </c>
      <c r="E185" s="13" t="str">
        <f t="shared" si="35"/>
        <v/>
      </c>
      <c r="F185" s="13" t="str">
        <f t="shared" si="36"/>
        <v/>
      </c>
      <c r="G185" s="13" t="str">
        <f t="shared" si="37"/>
        <v/>
      </c>
      <c r="H185" s="13" t="str">
        <f t="shared" si="38"/>
        <v/>
      </c>
      <c r="I185" t="str">
        <f t="shared" si="39"/>
        <v/>
      </c>
    </row>
    <row r="186" spans="1:9">
      <c r="A186">
        <f>CSV!B186</f>
        <v>0</v>
      </c>
      <c r="B186" s="13" t="e">
        <f>INDEX(Input!$D$2:$AC$500,
       MATCH(CPU_Formula!A186, Input!$J$2:$J$500, 0),
       MATCH("CPU model", Input!$D$1:$AC$1, 0))</f>
        <v>#N/A</v>
      </c>
      <c r="C186" s="13" t="str">
        <f t="shared" si="33"/>
        <v/>
      </c>
      <c r="D186" s="13" t="str">
        <f t="shared" si="34"/>
        <v/>
      </c>
      <c r="E186" s="13" t="str">
        <f t="shared" si="35"/>
        <v/>
      </c>
      <c r="F186" s="13" t="str">
        <f t="shared" si="36"/>
        <v/>
      </c>
      <c r="G186" s="13" t="str">
        <f t="shared" si="37"/>
        <v/>
      </c>
      <c r="H186" s="13" t="str">
        <f t="shared" si="38"/>
        <v/>
      </c>
      <c r="I186" t="str">
        <f t="shared" si="39"/>
        <v/>
      </c>
    </row>
    <row r="187" spans="1:9">
      <c r="A187">
        <f>CSV!B187</f>
        <v>0</v>
      </c>
      <c r="B187" s="13" t="e">
        <f>INDEX(Input!$D$2:$AC$500,
       MATCH(CPU_Formula!A187, Input!$J$2:$J$500, 0),
       MATCH("CPU model", Input!$D$1:$AC$1, 0))</f>
        <v>#N/A</v>
      </c>
      <c r="C187" s="13" t="str">
        <f t="shared" si="33"/>
        <v/>
      </c>
      <c r="D187" s="13" t="str">
        <f t="shared" si="34"/>
        <v/>
      </c>
      <c r="E187" s="13" t="str">
        <f t="shared" si="35"/>
        <v/>
      </c>
      <c r="F187" s="13" t="str">
        <f t="shared" si="36"/>
        <v/>
      </c>
      <c r="G187" s="13" t="str">
        <f t="shared" si="37"/>
        <v/>
      </c>
      <c r="H187" s="13" t="str">
        <f t="shared" si="38"/>
        <v/>
      </c>
      <c r="I187" t="str">
        <f t="shared" si="39"/>
        <v/>
      </c>
    </row>
    <row r="188" spans="1:9">
      <c r="A188">
        <f>CSV!B188</f>
        <v>0</v>
      </c>
      <c r="B188" s="13" t="e">
        <f>INDEX(Input!$D$2:$AC$500,
       MATCH(CPU_Formula!A188, Input!$J$2:$J$500, 0),
       MATCH("CPU model", Input!$D$1:$AC$1, 0))</f>
        <v>#N/A</v>
      </c>
      <c r="C188" s="13" t="str">
        <f t="shared" si="33"/>
        <v/>
      </c>
      <c r="D188" s="13" t="str">
        <f t="shared" si="34"/>
        <v/>
      </c>
      <c r="E188" s="13" t="str">
        <f t="shared" si="35"/>
        <v/>
      </c>
      <c r="F188" s="13" t="str">
        <f t="shared" si="36"/>
        <v/>
      </c>
      <c r="G188" s="13" t="str">
        <f t="shared" si="37"/>
        <v/>
      </c>
      <c r="H188" s="13" t="str">
        <f t="shared" si="38"/>
        <v/>
      </c>
      <c r="I188" t="str">
        <f t="shared" si="39"/>
        <v/>
      </c>
    </row>
    <row r="189" spans="1:9">
      <c r="A189">
        <f>CSV!B189</f>
        <v>0</v>
      </c>
      <c r="B189" s="13" t="e">
        <f>INDEX(Input!$D$2:$AC$500,
       MATCH(CPU_Formula!A189, Input!$J$2:$J$500, 0),
       MATCH("CPU model", Input!$D$1:$AC$1, 0))</f>
        <v>#N/A</v>
      </c>
      <c r="C189" s="13" t="str">
        <f t="shared" si="33"/>
        <v/>
      </c>
      <c r="D189" s="13" t="str">
        <f t="shared" si="34"/>
        <v/>
      </c>
      <c r="E189" s="13" t="str">
        <f t="shared" si="35"/>
        <v/>
      </c>
      <c r="F189" s="13" t="str">
        <f t="shared" si="36"/>
        <v/>
      </c>
      <c r="G189" s="13" t="str">
        <f t="shared" si="37"/>
        <v/>
      </c>
      <c r="H189" s="13" t="str">
        <f t="shared" si="38"/>
        <v/>
      </c>
      <c r="I189" t="str">
        <f t="shared" si="39"/>
        <v/>
      </c>
    </row>
    <row r="190" spans="1:9">
      <c r="A190">
        <f>CSV!B190</f>
        <v>0</v>
      </c>
      <c r="B190" s="13" t="e">
        <f>INDEX(Input!$D$2:$AC$500,
       MATCH(CPU_Formula!A190, Input!$J$2:$J$500, 0),
       MATCH("CPU model", Input!$D$1:$AC$1, 0))</f>
        <v>#N/A</v>
      </c>
      <c r="C190" s="13" t="str">
        <f t="shared" si="33"/>
        <v/>
      </c>
      <c r="D190" s="13" t="str">
        <f t="shared" si="34"/>
        <v/>
      </c>
      <c r="E190" s="13" t="str">
        <f t="shared" si="35"/>
        <v/>
      </c>
      <c r="F190" s="13" t="str">
        <f t="shared" si="36"/>
        <v/>
      </c>
      <c r="G190" s="13" t="str">
        <f t="shared" si="37"/>
        <v/>
      </c>
      <c r="H190" s="13" t="str">
        <f t="shared" si="38"/>
        <v/>
      </c>
      <c r="I190" t="str">
        <f t="shared" si="39"/>
        <v/>
      </c>
    </row>
    <row r="191" spans="1:9">
      <c r="A191">
        <f>CSV!B191</f>
        <v>0</v>
      </c>
      <c r="B191" s="13" t="e">
        <f>INDEX(Input!$D$2:$AC$500,
       MATCH(CPU_Formula!A191, Input!$J$2:$J$500, 0),
       MATCH("CPU model", Input!$D$1:$AC$1, 0))</f>
        <v>#N/A</v>
      </c>
      <c r="C191" s="13" t="str">
        <f t="shared" si="33"/>
        <v/>
      </c>
      <c r="D191" s="13" t="str">
        <f t="shared" si="34"/>
        <v/>
      </c>
      <c r="E191" s="13" t="str">
        <f t="shared" si="35"/>
        <v/>
      </c>
      <c r="F191" s="13" t="str">
        <f t="shared" si="36"/>
        <v/>
      </c>
      <c r="G191" s="13" t="str">
        <f t="shared" si="37"/>
        <v/>
      </c>
      <c r="H191" s="13" t="str">
        <f t="shared" si="38"/>
        <v/>
      </c>
      <c r="I191" t="str">
        <f t="shared" si="39"/>
        <v/>
      </c>
    </row>
    <row r="192" spans="1:9">
      <c r="A192">
        <f>CSV!B192</f>
        <v>0</v>
      </c>
      <c r="B192" s="13" t="e">
        <f>INDEX(Input!$D$2:$AC$500,
       MATCH(CPU_Formula!A192, Input!$J$2:$J$500, 0),
       MATCH("CPU model", Input!$D$1:$AC$1, 0))</f>
        <v>#N/A</v>
      </c>
      <c r="C192" s="13" t="str">
        <f t="shared" si="33"/>
        <v/>
      </c>
      <c r="D192" s="13" t="str">
        <f t="shared" si="34"/>
        <v/>
      </c>
      <c r="E192" s="13" t="str">
        <f t="shared" si="35"/>
        <v/>
      </c>
      <c r="F192" s="13" t="str">
        <f t="shared" si="36"/>
        <v/>
      </c>
      <c r="G192" s="13" t="str">
        <f t="shared" si="37"/>
        <v/>
      </c>
      <c r="H192" s="13" t="str">
        <f t="shared" si="38"/>
        <v/>
      </c>
      <c r="I192" t="str">
        <f t="shared" si="39"/>
        <v/>
      </c>
    </row>
    <row r="193" spans="1:9">
      <c r="A193">
        <f>CSV!B193</f>
        <v>0</v>
      </c>
      <c r="B193" s="13" t="e">
        <f>INDEX(Input!$D$2:$AC$500,
       MATCH(CPU_Formula!A193, Input!$J$2:$J$500, 0),
       MATCH("CPU model", Input!$D$1:$AC$1, 0))</f>
        <v>#N/A</v>
      </c>
      <c r="C193" s="13" t="str">
        <f t="shared" si="33"/>
        <v/>
      </c>
      <c r="D193" s="13" t="str">
        <f t="shared" si="34"/>
        <v/>
      </c>
      <c r="E193" s="13" t="str">
        <f t="shared" si="35"/>
        <v/>
      </c>
      <c r="F193" s="13" t="str">
        <f t="shared" si="36"/>
        <v/>
      </c>
      <c r="G193" s="13" t="str">
        <f t="shared" si="37"/>
        <v/>
      </c>
      <c r="H193" s="13" t="str">
        <f t="shared" si="38"/>
        <v/>
      </c>
      <c r="I193" t="str">
        <f t="shared" si="39"/>
        <v/>
      </c>
    </row>
    <row r="194" spans="1:9">
      <c r="A194">
        <f>CSV!B194</f>
        <v>0</v>
      </c>
      <c r="B194" s="13" t="e">
        <f>INDEX(Input!$D$2:$AC$500,
       MATCH(CPU_Formula!A194, Input!$J$2:$J$500, 0),
       MATCH("CPU model", Input!$D$1:$AC$1, 0))</f>
        <v>#N/A</v>
      </c>
      <c r="C194" s="13" t="str">
        <f t="shared" si="33"/>
        <v/>
      </c>
      <c r="D194" s="13" t="str">
        <f t="shared" si="34"/>
        <v/>
      </c>
      <c r="E194" s="13" t="str">
        <f t="shared" si="35"/>
        <v/>
      </c>
      <c r="F194" s="13" t="str">
        <f t="shared" si="36"/>
        <v/>
      </c>
      <c r="G194" s="13" t="str">
        <f t="shared" si="37"/>
        <v/>
      </c>
      <c r="H194" s="13" t="str">
        <f t="shared" si="38"/>
        <v/>
      </c>
      <c r="I194" t="str">
        <f t="shared" si="39"/>
        <v/>
      </c>
    </row>
    <row r="195" spans="1:9">
      <c r="A195">
        <f>CSV!B195</f>
        <v>0</v>
      </c>
      <c r="B195" s="13" t="e">
        <f>INDEX(Input!$D$2:$AC$500,
       MATCH(CPU_Formula!A195, Input!$J$2:$J$500, 0),
       MATCH("CPU model", Input!$D$1:$AC$1, 0))</f>
        <v>#N/A</v>
      </c>
      <c r="C195" s="13" t="str">
        <f t="shared" si="33"/>
        <v/>
      </c>
      <c r="D195" s="13" t="str">
        <f t="shared" si="34"/>
        <v/>
      </c>
      <c r="E195" s="13" t="str">
        <f t="shared" si="35"/>
        <v/>
      </c>
      <c r="F195" s="13" t="str">
        <f t="shared" si="36"/>
        <v/>
      </c>
      <c r="G195" s="13" t="str">
        <f t="shared" si="37"/>
        <v/>
      </c>
      <c r="H195" s="13" t="str">
        <f t="shared" si="38"/>
        <v/>
      </c>
      <c r="I195" t="str">
        <f t="shared" si="39"/>
        <v/>
      </c>
    </row>
    <row r="196" spans="1:9">
      <c r="A196">
        <f>CSV!B196</f>
        <v>0</v>
      </c>
      <c r="B196" s="13" t="e">
        <f>INDEX(Input!$D$2:$AC$500,
       MATCH(CPU_Formula!A196, Input!$J$2:$J$500, 0),
       MATCH("CPU model", Input!$D$1:$AC$1, 0))</f>
        <v>#N/A</v>
      </c>
      <c r="C196" s="13" t="str">
        <f t="shared" si="33"/>
        <v/>
      </c>
      <c r="D196" s="13" t="str">
        <f t="shared" si="34"/>
        <v/>
      </c>
      <c r="E196" s="13" t="str">
        <f t="shared" si="35"/>
        <v/>
      </c>
      <c r="F196" s="13" t="str">
        <f t="shared" si="36"/>
        <v/>
      </c>
      <c r="G196" s="13" t="str">
        <f t="shared" si="37"/>
        <v/>
      </c>
      <c r="H196" s="13" t="str">
        <f t="shared" si="38"/>
        <v/>
      </c>
      <c r="I196" t="str">
        <f t="shared" si="39"/>
        <v/>
      </c>
    </row>
    <row r="197" spans="1:9">
      <c r="A197">
        <f>CSV!B197</f>
        <v>0</v>
      </c>
      <c r="B197" s="13" t="e">
        <f>INDEX(Input!$D$2:$AC$500,
       MATCH(CPU_Formula!A197, Input!$J$2:$J$500, 0),
       MATCH("CPU model", Input!$D$1:$AC$1, 0))</f>
        <v>#N/A</v>
      </c>
      <c r="C197" s="13" t="str">
        <f t="shared" si="33"/>
        <v/>
      </c>
      <c r="D197" s="13" t="str">
        <f t="shared" si="34"/>
        <v/>
      </c>
      <c r="E197" s="13" t="str">
        <f t="shared" si="35"/>
        <v/>
      </c>
      <c r="F197" s="13" t="str">
        <f t="shared" si="36"/>
        <v/>
      </c>
      <c r="G197" s="13" t="str">
        <f t="shared" si="37"/>
        <v/>
      </c>
      <c r="H197" s="13" t="str">
        <f t="shared" si="38"/>
        <v/>
      </c>
      <c r="I197" t="str">
        <f t="shared" si="39"/>
        <v/>
      </c>
    </row>
    <row r="198" spans="1:9">
      <c r="A198">
        <f>CSV!B198</f>
        <v>0</v>
      </c>
      <c r="B198" s="13" t="e">
        <f>INDEX(Input!$D$2:$AC$500,
       MATCH(CPU_Formula!A198, Input!$J$2:$J$500, 0),
       MATCH("CPU model", Input!$D$1:$AC$1, 0))</f>
        <v>#N/A</v>
      </c>
      <c r="C198" s="13" t="str">
        <f t="shared" si="33"/>
        <v/>
      </c>
      <c r="D198" s="13" t="str">
        <f t="shared" si="34"/>
        <v/>
      </c>
      <c r="E198" s="13" t="str">
        <f t="shared" si="35"/>
        <v/>
      </c>
      <c r="F198" s="13" t="str">
        <f t="shared" si="36"/>
        <v/>
      </c>
      <c r="G198" s="13" t="str">
        <f t="shared" si="37"/>
        <v/>
      </c>
      <c r="H198" s="13" t="str">
        <f t="shared" si="38"/>
        <v/>
      </c>
      <c r="I198" t="str">
        <f t="shared" si="39"/>
        <v/>
      </c>
    </row>
    <row r="199" spans="1:9">
      <c r="A199">
        <f>CSV!B199</f>
        <v>0</v>
      </c>
      <c r="B199" s="13" t="e">
        <f>INDEX(Input!$D$2:$AC$500,
       MATCH(CPU_Formula!A199, Input!$J$2:$J$500, 0),
       MATCH("CPU model", Input!$D$1:$AC$1, 0))</f>
        <v>#N/A</v>
      </c>
      <c r="C199" s="13" t="str">
        <f t="shared" si="33"/>
        <v/>
      </c>
      <c r="D199" s="13" t="str">
        <f t="shared" si="34"/>
        <v/>
      </c>
      <c r="E199" s="13" t="str">
        <f t="shared" si="35"/>
        <v/>
      </c>
      <c r="F199" s="13" t="str">
        <f t="shared" si="36"/>
        <v/>
      </c>
      <c r="G199" s="13" t="str">
        <f t="shared" si="37"/>
        <v/>
      </c>
      <c r="H199" s="13" t="str">
        <f t="shared" si="38"/>
        <v/>
      </c>
      <c r="I199" t="str">
        <f t="shared" si="39"/>
        <v/>
      </c>
    </row>
    <row r="200" spans="1:9">
      <c r="A200">
        <f>CSV!B200</f>
        <v>0</v>
      </c>
      <c r="B200" s="13" t="e">
        <f>INDEX(Input!$D$2:$AC$500,
       MATCH(CPU_Formula!A200, Input!$J$2:$J$500, 0),
       MATCH("CPU model", Input!$D$1:$AC$1, 0))</f>
        <v>#N/A</v>
      </c>
      <c r="C200" s="13" t="str">
        <f t="shared" si="33"/>
        <v/>
      </c>
      <c r="D200" s="13" t="str">
        <f t="shared" si="34"/>
        <v/>
      </c>
      <c r="E200" s="13" t="str">
        <f t="shared" si="35"/>
        <v/>
      </c>
      <c r="F200" s="13" t="str">
        <f t="shared" si="36"/>
        <v/>
      </c>
      <c r="G200" s="13" t="str">
        <f t="shared" si="37"/>
        <v/>
      </c>
      <c r="H200" s="13" t="str">
        <f t="shared" si="38"/>
        <v/>
      </c>
      <c r="I200" t="str">
        <f t="shared" si="39"/>
        <v/>
      </c>
    </row>
    <row r="201" spans="1:9">
      <c r="A201">
        <f>CSV!B201</f>
        <v>0</v>
      </c>
      <c r="B201" s="13" t="e">
        <f>INDEX(Input!$D$2:$AC$500,
       MATCH(CPU_Formula!A201, Input!$J$2:$J$500, 0),
       MATCH("CPU model", Input!$D$1:$AC$1, 0))</f>
        <v>#N/A</v>
      </c>
      <c r="C201" s="13" t="str">
        <f t="shared" si="33"/>
        <v/>
      </c>
      <c r="D201" s="13" t="str">
        <f t="shared" si="34"/>
        <v/>
      </c>
      <c r="E201" s="13" t="str">
        <f t="shared" si="35"/>
        <v/>
      </c>
      <c r="F201" s="13" t="str">
        <f t="shared" si="36"/>
        <v/>
      </c>
      <c r="G201" s="13" t="str">
        <f t="shared" si="37"/>
        <v/>
      </c>
      <c r="H201" s="13" t="str">
        <f t="shared" si="38"/>
        <v/>
      </c>
      <c r="I201" t="str">
        <f t="shared" si="39"/>
        <v/>
      </c>
    </row>
    <row r="202" spans="1:9">
      <c r="A202">
        <f>CSV!B202</f>
        <v>0</v>
      </c>
      <c r="B202" s="13" t="e">
        <f>INDEX(Input!$D$2:$AC$500,
       MATCH(CPU_Formula!A202, Input!$J$2:$J$500, 0),
       MATCH("CPU model", Input!$D$1:$AC$1, 0))</f>
        <v>#N/A</v>
      </c>
      <c r="C202" s="13" t="str">
        <f t="shared" si="33"/>
        <v/>
      </c>
      <c r="D202" s="13" t="str">
        <f t="shared" si="34"/>
        <v/>
      </c>
      <c r="E202" s="13" t="str">
        <f t="shared" si="35"/>
        <v/>
      </c>
      <c r="F202" s="13" t="str">
        <f t="shared" si="36"/>
        <v/>
      </c>
      <c r="G202" s="13" t="str">
        <f t="shared" si="37"/>
        <v/>
      </c>
      <c r="H202" s="13" t="str">
        <f t="shared" si="38"/>
        <v/>
      </c>
      <c r="I202" t="str">
        <f t="shared" si="39"/>
        <v/>
      </c>
    </row>
    <row r="203" spans="1:9">
      <c r="A203">
        <f>CSV!B203</f>
        <v>0</v>
      </c>
      <c r="B203" s="13" t="e">
        <f>INDEX(Input!$D$2:$AC$500,
       MATCH(CPU_Formula!A203, Input!$J$2:$J$500, 0),
       MATCH("CPU model", Input!$D$1:$AC$1, 0))</f>
        <v>#N/A</v>
      </c>
      <c r="C203" s="13" t="str">
        <f t="shared" si="33"/>
        <v/>
      </c>
      <c r="D203" s="13" t="str">
        <f t="shared" si="34"/>
        <v/>
      </c>
      <c r="E203" s="13" t="str">
        <f t="shared" si="35"/>
        <v/>
      </c>
      <c r="F203" s="13" t="str">
        <f t="shared" si="36"/>
        <v/>
      </c>
      <c r="G203" s="13" t="str">
        <f t="shared" si="37"/>
        <v/>
      </c>
      <c r="H203" s="13" t="str">
        <f t="shared" si="38"/>
        <v/>
      </c>
      <c r="I203" t="str">
        <f t="shared" si="39"/>
        <v/>
      </c>
    </row>
    <row r="204" spans="1:9">
      <c r="A204">
        <f>CSV!B204</f>
        <v>0</v>
      </c>
      <c r="B204" s="13" t="e">
        <f>INDEX(Input!$D$2:$AC$500,
       MATCH(CPU_Formula!A204, Input!$J$2:$J$500, 0),
       MATCH("CPU model", Input!$D$1:$AC$1, 0))</f>
        <v>#N/A</v>
      </c>
      <c r="C204" s="13" t="str">
        <f t="shared" si="33"/>
        <v/>
      </c>
      <c r="D204" s="13" t="str">
        <f t="shared" si="34"/>
        <v/>
      </c>
      <c r="E204" s="13" t="str">
        <f t="shared" si="35"/>
        <v/>
      </c>
      <c r="F204" s="13" t="str">
        <f t="shared" si="36"/>
        <v/>
      </c>
      <c r="G204" s="13" t="str">
        <f t="shared" si="37"/>
        <v/>
      </c>
      <c r="H204" s="13" t="str">
        <f t="shared" si="38"/>
        <v/>
      </c>
      <c r="I204" t="str">
        <f t="shared" si="39"/>
        <v/>
      </c>
    </row>
    <row r="205" spans="1:9">
      <c r="A205">
        <f>CSV!B205</f>
        <v>0</v>
      </c>
      <c r="B205" s="13" t="e">
        <f>INDEX(Input!$D$2:$AC$500,
       MATCH(CPU_Formula!A205, Input!$J$2:$J$500, 0),
       MATCH("CPU model", Input!$D$1:$AC$1, 0))</f>
        <v>#N/A</v>
      </c>
      <c r="C205" s="13" t="str">
        <f t="shared" si="33"/>
        <v/>
      </c>
      <c r="D205" s="13" t="str">
        <f t="shared" si="34"/>
        <v/>
      </c>
      <c r="E205" s="13" t="str">
        <f t="shared" si="35"/>
        <v/>
      </c>
      <c r="F205" s="13" t="str">
        <f t="shared" si="36"/>
        <v/>
      </c>
      <c r="G205" s="13" t="str">
        <f t="shared" si="37"/>
        <v/>
      </c>
      <c r="H205" s="13" t="str">
        <f t="shared" si="38"/>
        <v/>
      </c>
      <c r="I205" t="str">
        <f t="shared" si="39"/>
        <v/>
      </c>
    </row>
    <row r="206" spans="1:9">
      <c r="A206">
        <f>CSV!B206</f>
        <v>0</v>
      </c>
      <c r="B206" s="13" t="e">
        <f>INDEX(Input!$D$2:$AC$500,
       MATCH(CPU_Formula!A206, Input!$J$2:$J$500, 0),
       MATCH("CPU model", Input!$D$1:$AC$1, 0))</f>
        <v>#N/A</v>
      </c>
      <c r="C206" s="13" t="str">
        <f t="shared" si="33"/>
        <v/>
      </c>
      <c r="D206" s="13" t="str">
        <f t="shared" si="34"/>
        <v/>
      </c>
      <c r="E206" s="13" t="str">
        <f t="shared" si="35"/>
        <v/>
      </c>
      <c r="F206" s="13" t="str">
        <f t="shared" si="36"/>
        <v/>
      </c>
      <c r="G206" s="13" t="str">
        <f t="shared" si="37"/>
        <v/>
      </c>
      <c r="H206" s="13" t="str">
        <f t="shared" si="38"/>
        <v/>
      </c>
      <c r="I206" t="str">
        <f t="shared" si="39"/>
        <v/>
      </c>
    </row>
    <row r="207" spans="1:9">
      <c r="A207">
        <f>CSV!B207</f>
        <v>0</v>
      </c>
      <c r="B207" s="13" t="e">
        <f>INDEX(Input!$D$2:$AC$500,
       MATCH(CPU_Formula!A207, Input!$J$2:$J$500, 0),
       MATCH("CPU model", Input!$D$1:$AC$1, 0))</f>
        <v>#N/A</v>
      </c>
      <c r="C207" s="13" t="str">
        <f t="shared" si="33"/>
        <v/>
      </c>
      <c r="D207" s="13" t="str">
        <f t="shared" si="34"/>
        <v/>
      </c>
      <c r="E207" s="13" t="str">
        <f t="shared" si="35"/>
        <v/>
      </c>
      <c r="F207" s="13" t="str">
        <f t="shared" si="36"/>
        <v/>
      </c>
      <c r="G207" s="13" t="str">
        <f t="shared" si="37"/>
        <v/>
      </c>
      <c r="H207" s="13" t="str">
        <f t="shared" si="38"/>
        <v/>
      </c>
      <c r="I207" t="str">
        <f t="shared" si="39"/>
        <v/>
      </c>
    </row>
    <row r="208" spans="1:9">
      <c r="A208">
        <f>CSV!B208</f>
        <v>0</v>
      </c>
      <c r="B208" s="13" t="e">
        <f>INDEX(Input!$D$2:$AC$500,
       MATCH(CPU_Formula!A208, Input!$J$2:$J$500, 0),
       MATCH("CPU model", Input!$D$1:$AC$1, 0))</f>
        <v>#N/A</v>
      </c>
      <c r="C208" s="13" t="str">
        <f t="shared" si="33"/>
        <v/>
      </c>
      <c r="D208" s="13" t="str">
        <f t="shared" si="34"/>
        <v/>
      </c>
      <c r="E208" s="13" t="str">
        <f t="shared" si="35"/>
        <v/>
      </c>
      <c r="F208" s="13" t="str">
        <f t="shared" si="36"/>
        <v/>
      </c>
      <c r="G208" s="13" t="str">
        <f t="shared" si="37"/>
        <v/>
      </c>
      <c r="H208" s="13" t="str">
        <f t="shared" si="38"/>
        <v/>
      </c>
      <c r="I208" t="str">
        <f t="shared" si="39"/>
        <v/>
      </c>
    </row>
    <row r="209" spans="1:9">
      <c r="A209">
        <f>CSV!B209</f>
        <v>0</v>
      </c>
      <c r="B209" s="13" t="e">
        <f>INDEX(Input!$D$2:$AC$500,
       MATCH(CPU_Formula!A209, Input!$J$2:$J$500, 0),
       MATCH("CPU model", Input!$D$1:$AC$1, 0))</f>
        <v>#N/A</v>
      </c>
      <c r="C209" s="13" t="str">
        <f t="shared" si="33"/>
        <v/>
      </c>
      <c r="D209" s="13" t="str">
        <f t="shared" si="34"/>
        <v/>
      </c>
      <c r="E209" s="13" t="str">
        <f t="shared" si="35"/>
        <v/>
      </c>
      <c r="F209" s="13" t="str">
        <f t="shared" si="36"/>
        <v/>
      </c>
      <c r="G209" s="13" t="str">
        <f t="shared" si="37"/>
        <v/>
      </c>
      <c r="H209" s="13" t="str">
        <f t="shared" si="38"/>
        <v/>
      </c>
      <c r="I209" t="str">
        <f t="shared" si="39"/>
        <v/>
      </c>
    </row>
    <row r="210" spans="1:9">
      <c r="A210">
        <f>CSV!B210</f>
        <v>0</v>
      </c>
      <c r="B210" s="13" t="e">
        <f>INDEX(Input!$D$2:$AC$500,
       MATCH(CPU_Formula!A210, Input!$J$2:$J$500, 0),
       MATCH("CPU model", Input!$D$1:$AC$1, 0))</f>
        <v>#N/A</v>
      </c>
      <c r="C210" s="13" t="str">
        <f t="shared" si="33"/>
        <v/>
      </c>
      <c r="D210" s="13" t="str">
        <f t="shared" si="34"/>
        <v/>
      </c>
      <c r="E210" s="13" t="str">
        <f t="shared" si="35"/>
        <v/>
      </c>
      <c r="F210" s="13" t="str">
        <f t="shared" si="36"/>
        <v/>
      </c>
      <c r="G210" s="13" t="str">
        <f t="shared" si="37"/>
        <v/>
      </c>
      <c r="H210" s="13" t="str">
        <f t="shared" si="38"/>
        <v/>
      </c>
      <c r="I210" t="str">
        <f t="shared" si="39"/>
        <v/>
      </c>
    </row>
    <row r="211" spans="1:9">
      <c r="A211">
        <f>CSV!B211</f>
        <v>0</v>
      </c>
      <c r="B211" s="13" t="e">
        <f>INDEX(Input!$D$2:$AC$500,
       MATCH(CPU_Formula!A211, Input!$J$2:$J$500, 0),
       MATCH("CPU model", Input!$D$1:$AC$1, 0))</f>
        <v>#N/A</v>
      </c>
      <c r="C211" s="13" t="str">
        <f t="shared" si="33"/>
        <v/>
      </c>
      <c r="D211" s="13" t="str">
        <f t="shared" si="34"/>
        <v/>
      </c>
      <c r="E211" s="13" t="str">
        <f t="shared" si="35"/>
        <v/>
      </c>
      <c r="F211" s="13" t="str">
        <f t="shared" si="36"/>
        <v/>
      </c>
      <c r="G211" s="13" t="str">
        <f t="shared" si="37"/>
        <v/>
      </c>
      <c r="H211" s="13" t="str">
        <f t="shared" si="38"/>
        <v/>
      </c>
      <c r="I211" t="str">
        <f t="shared" si="39"/>
        <v/>
      </c>
    </row>
    <row r="212" spans="1:9">
      <c r="A212">
        <f>CSV!B212</f>
        <v>0</v>
      </c>
      <c r="B212" s="13" t="e">
        <f>INDEX(Input!$D$2:$AC$500,
       MATCH(CPU_Formula!A212, Input!$J$2:$J$500, 0),
       MATCH("CPU model", Input!$D$1:$AC$1, 0))</f>
        <v>#N/A</v>
      </c>
      <c r="C212" s="13" t="str">
        <f t="shared" si="33"/>
        <v/>
      </c>
      <c r="D212" s="13" t="str">
        <f t="shared" si="34"/>
        <v/>
      </c>
      <c r="E212" s="13" t="str">
        <f t="shared" si="35"/>
        <v/>
      </c>
      <c r="F212" s="13" t="str">
        <f t="shared" si="36"/>
        <v/>
      </c>
      <c r="G212" s="13" t="str">
        <f t="shared" si="37"/>
        <v/>
      </c>
      <c r="H212" s="13" t="str">
        <f t="shared" si="38"/>
        <v/>
      </c>
      <c r="I212" t="str">
        <f t="shared" si="39"/>
        <v/>
      </c>
    </row>
    <row r="213" spans="1:9">
      <c r="A213">
        <f>CSV!B213</f>
        <v>0</v>
      </c>
      <c r="B213" s="13" t="e">
        <f>INDEX(Input!$D$2:$AC$500,
       MATCH(CPU_Formula!A213, Input!$J$2:$J$500, 0),
       MATCH("CPU model", Input!$D$1:$AC$1, 0))</f>
        <v>#N/A</v>
      </c>
      <c r="C213" s="13" t="str">
        <f t="shared" si="33"/>
        <v/>
      </c>
      <c r="D213" s="13" t="str">
        <f t="shared" si="34"/>
        <v/>
      </c>
      <c r="E213" s="13" t="str">
        <f t="shared" si="35"/>
        <v/>
      </c>
      <c r="F213" s="13" t="str">
        <f t="shared" si="36"/>
        <v/>
      </c>
      <c r="G213" s="13" t="str">
        <f t="shared" si="37"/>
        <v/>
      </c>
      <c r="H213" s="13" t="str">
        <f t="shared" si="38"/>
        <v/>
      </c>
      <c r="I213" t="str">
        <f t="shared" si="39"/>
        <v/>
      </c>
    </row>
    <row r="214" spans="1:9">
      <c r="A214">
        <f>CSV!B214</f>
        <v>0</v>
      </c>
      <c r="B214" s="13" t="e">
        <f>INDEX(Input!$D$2:$AC$500,
       MATCH(CPU_Formula!A214, Input!$J$2:$J$500, 0),
       MATCH("CPU model", Input!$D$1:$AC$1, 0))</f>
        <v>#N/A</v>
      </c>
      <c r="C214" s="13" t="str">
        <f t="shared" si="33"/>
        <v/>
      </c>
      <c r="D214" s="13" t="str">
        <f t="shared" si="34"/>
        <v/>
      </c>
      <c r="E214" s="13" t="str">
        <f t="shared" si="35"/>
        <v/>
      </c>
      <c r="F214" s="13" t="str">
        <f t="shared" si="36"/>
        <v/>
      </c>
      <c r="G214" s="13" t="str">
        <f t="shared" si="37"/>
        <v/>
      </c>
      <c r="H214" s="13" t="str">
        <f t="shared" si="38"/>
        <v/>
      </c>
      <c r="I214" t="str">
        <f t="shared" si="39"/>
        <v/>
      </c>
    </row>
    <row r="215" spans="1:9">
      <c r="A215">
        <f>CSV!B215</f>
        <v>0</v>
      </c>
      <c r="B215" s="13" t="e">
        <f>INDEX(Input!$D$2:$AC$500,
       MATCH(CPU_Formula!A215, Input!$J$2:$J$500, 0),
       MATCH("CPU model", Input!$D$1:$AC$1, 0))</f>
        <v>#N/A</v>
      </c>
      <c r="C215" s="13" t="str">
        <f t="shared" si="33"/>
        <v/>
      </c>
      <c r="D215" s="13" t="str">
        <f t="shared" si="34"/>
        <v/>
      </c>
      <c r="E215" s="13" t="str">
        <f t="shared" si="35"/>
        <v/>
      </c>
      <c r="F215" s="13" t="str">
        <f t="shared" si="36"/>
        <v/>
      </c>
      <c r="G215" s="13" t="str">
        <f t="shared" si="37"/>
        <v/>
      </c>
      <c r="H215" s="13" t="str">
        <f t="shared" si="38"/>
        <v/>
      </c>
      <c r="I215" t="str">
        <f t="shared" si="39"/>
        <v/>
      </c>
    </row>
    <row r="216" spans="1:9">
      <c r="A216">
        <f>CSV!B216</f>
        <v>0</v>
      </c>
      <c r="B216" s="13" t="e">
        <f>INDEX(Input!$D$2:$AC$500,
       MATCH(CPU_Formula!A216, Input!$J$2:$J$500, 0),
       MATCH("CPU model", Input!$D$1:$AC$1, 0))</f>
        <v>#N/A</v>
      </c>
      <c r="C216" s="13" t="str">
        <f t="shared" si="33"/>
        <v/>
      </c>
      <c r="D216" s="13" t="str">
        <f t="shared" si="34"/>
        <v/>
      </c>
      <c r="E216" s="13" t="str">
        <f t="shared" si="35"/>
        <v/>
      </c>
      <c r="F216" s="13" t="str">
        <f t="shared" si="36"/>
        <v/>
      </c>
      <c r="G216" s="13" t="str">
        <f t="shared" si="37"/>
        <v/>
      </c>
      <c r="H216" s="13" t="str">
        <f t="shared" si="38"/>
        <v/>
      </c>
      <c r="I216" t="str">
        <f t="shared" si="39"/>
        <v/>
      </c>
    </row>
    <row r="217" spans="1:9">
      <c r="A217">
        <f>CSV!B217</f>
        <v>0</v>
      </c>
      <c r="B217" s="13" t="e">
        <f>INDEX(Input!$D$2:$AC$500,
       MATCH(CPU_Formula!A217, Input!$J$2:$J$500, 0),
       MATCH("CPU model", Input!$D$1:$AC$1, 0))</f>
        <v>#N/A</v>
      </c>
      <c r="C217" s="13" t="str">
        <f t="shared" si="33"/>
        <v/>
      </c>
      <c r="D217" s="13" t="str">
        <f t="shared" si="34"/>
        <v/>
      </c>
      <c r="E217" s="13" t="str">
        <f t="shared" si="35"/>
        <v/>
      </c>
      <c r="F217" s="13" t="str">
        <f t="shared" si="36"/>
        <v/>
      </c>
      <c r="G217" s="13" t="str">
        <f t="shared" si="37"/>
        <v/>
      </c>
      <c r="H217" s="13" t="str">
        <f t="shared" si="38"/>
        <v/>
      </c>
      <c r="I217" t="str">
        <f t="shared" si="39"/>
        <v/>
      </c>
    </row>
    <row r="218" spans="1:9">
      <c r="A218">
        <f>CSV!B218</f>
        <v>0</v>
      </c>
      <c r="B218" s="13" t="e">
        <f>INDEX(Input!$D$2:$AC$500,
       MATCH(CPU_Formula!A218, Input!$J$2:$J$500, 0),
       MATCH("CPU model", Input!$D$1:$AC$1, 0))</f>
        <v>#N/A</v>
      </c>
      <c r="C218" s="13" t="str">
        <f t="shared" si="33"/>
        <v/>
      </c>
      <c r="D218" s="13" t="str">
        <f t="shared" si="34"/>
        <v/>
      </c>
      <c r="E218" s="13" t="str">
        <f t="shared" si="35"/>
        <v/>
      </c>
      <c r="F218" s="13" t="str">
        <f t="shared" si="36"/>
        <v/>
      </c>
      <c r="G218" s="13" t="str">
        <f t="shared" si="37"/>
        <v/>
      </c>
      <c r="H218" s="13" t="str">
        <f t="shared" si="38"/>
        <v/>
      </c>
      <c r="I218" t="str">
        <f t="shared" si="39"/>
        <v/>
      </c>
    </row>
    <row r="219" spans="1:9">
      <c r="A219">
        <f>CSV!B219</f>
        <v>0</v>
      </c>
      <c r="B219" s="13" t="e">
        <f>INDEX(Input!$D$2:$AC$500,
       MATCH(CPU_Formula!A219, Input!$J$2:$J$500, 0),
       MATCH("CPU model", Input!$D$1:$AC$1, 0))</f>
        <v>#N/A</v>
      </c>
      <c r="C219" s="13" t="str">
        <f t="shared" si="33"/>
        <v/>
      </c>
      <c r="D219" s="13" t="str">
        <f t="shared" si="34"/>
        <v/>
      </c>
      <c r="E219" s="13" t="str">
        <f t="shared" si="35"/>
        <v/>
      </c>
      <c r="F219" s="13" t="str">
        <f t="shared" si="36"/>
        <v/>
      </c>
      <c r="G219" s="13" t="str">
        <f t="shared" si="37"/>
        <v/>
      </c>
      <c r="H219" s="13" t="str">
        <f t="shared" si="38"/>
        <v/>
      </c>
      <c r="I219" t="str">
        <f t="shared" si="39"/>
        <v/>
      </c>
    </row>
    <row r="220" spans="1:9">
      <c r="A220">
        <f>CSV!B220</f>
        <v>0</v>
      </c>
      <c r="B220" s="13" t="e">
        <f>INDEX(Input!$D$2:$AC$500,
       MATCH(CPU_Formula!A220, Input!$J$2:$J$500, 0),
       MATCH("CPU model", Input!$D$1:$AC$1, 0))</f>
        <v>#N/A</v>
      </c>
      <c r="C220" s="13" t="str">
        <f t="shared" si="33"/>
        <v/>
      </c>
      <c r="D220" s="13" t="str">
        <f t="shared" si="34"/>
        <v/>
      </c>
      <c r="E220" s="13" t="str">
        <f t="shared" si="35"/>
        <v/>
      </c>
      <c r="F220" s="13" t="str">
        <f t="shared" si="36"/>
        <v/>
      </c>
      <c r="G220" s="13" t="str">
        <f t="shared" si="37"/>
        <v/>
      </c>
      <c r="H220" s="13" t="str">
        <f t="shared" si="38"/>
        <v/>
      </c>
      <c r="I220" t="str">
        <f t="shared" si="39"/>
        <v/>
      </c>
    </row>
    <row r="221" spans="1:9">
      <c r="A221">
        <f>CSV!B221</f>
        <v>0</v>
      </c>
      <c r="B221" s="13" t="e">
        <f>INDEX(Input!$D$2:$AC$500,
       MATCH(CPU_Formula!A221, Input!$J$2:$J$500, 0),
       MATCH("CPU model", Input!$D$1:$AC$1, 0))</f>
        <v>#N/A</v>
      </c>
      <c r="C221" s="13" t="str">
        <f t="shared" si="33"/>
        <v/>
      </c>
      <c r="D221" s="13" t="str">
        <f t="shared" si="34"/>
        <v/>
      </c>
      <c r="E221" s="13" t="str">
        <f t="shared" si="35"/>
        <v/>
      </c>
      <c r="F221" s="13" t="str">
        <f t="shared" si="36"/>
        <v/>
      </c>
      <c r="G221" s="13" t="str">
        <f t="shared" si="37"/>
        <v/>
      </c>
      <c r="H221" s="13" t="str">
        <f t="shared" si="38"/>
        <v/>
      </c>
      <c r="I221" t="str">
        <f t="shared" si="39"/>
        <v/>
      </c>
    </row>
    <row r="222" spans="1:9">
      <c r="A222">
        <f>CSV!B222</f>
        <v>0</v>
      </c>
      <c r="B222" s="13" t="e">
        <f>INDEX(Input!$D$2:$AC$500,
       MATCH(CPU_Formula!A222, Input!$J$2:$J$500, 0),
       MATCH("CPU model", Input!$D$1:$AC$1, 0))</f>
        <v>#N/A</v>
      </c>
      <c r="C222" s="13" t="str">
        <f t="shared" si="33"/>
        <v/>
      </c>
      <c r="D222" s="13" t="str">
        <f t="shared" si="34"/>
        <v/>
      </c>
      <c r="E222" s="13" t="str">
        <f t="shared" si="35"/>
        <v/>
      </c>
      <c r="F222" s="13" t="str">
        <f t="shared" si="36"/>
        <v/>
      </c>
      <c r="G222" s="13" t="str">
        <f t="shared" si="37"/>
        <v/>
      </c>
      <c r="H222" s="13" t="str">
        <f t="shared" si="38"/>
        <v/>
      </c>
      <c r="I222" t="str">
        <f t="shared" si="39"/>
        <v/>
      </c>
    </row>
    <row r="223" spans="1:9">
      <c r="A223">
        <f>CSV!B223</f>
        <v>0</v>
      </c>
      <c r="B223" s="13" t="e">
        <f>INDEX(Input!$D$2:$AC$500,
       MATCH(CPU_Formula!A223, Input!$J$2:$J$500, 0),
       MATCH("CPU model", Input!$D$1:$AC$1, 0))</f>
        <v>#N/A</v>
      </c>
      <c r="C223" s="13" t="str">
        <f t="shared" si="33"/>
        <v/>
      </c>
      <c r="D223" s="13" t="str">
        <f t="shared" si="34"/>
        <v/>
      </c>
      <c r="E223" s="13" t="str">
        <f t="shared" si="35"/>
        <v/>
      </c>
      <c r="F223" s="13" t="str">
        <f t="shared" si="36"/>
        <v/>
      </c>
      <c r="G223" s="13" t="str">
        <f t="shared" si="37"/>
        <v/>
      </c>
      <c r="H223" s="13" t="str">
        <f t="shared" si="38"/>
        <v/>
      </c>
      <c r="I223" t="str">
        <f t="shared" si="39"/>
        <v/>
      </c>
    </row>
    <row r="224" spans="1:9">
      <c r="A224">
        <f>CSV!B224</f>
        <v>0</v>
      </c>
      <c r="B224" s="13" t="e">
        <f>INDEX(Input!$D$2:$AC$500,
       MATCH(CPU_Formula!A224, Input!$J$2:$J$500, 0),
       MATCH("CPU model", Input!$D$1:$AC$1, 0))</f>
        <v>#N/A</v>
      </c>
      <c r="C224" s="13" t="str">
        <f t="shared" si="33"/>
        <v/>
      </c>
      <c r="D224" s="13" t="str">
        <f t="shared" si="34"/>
        <v/>
      </c>
      <c r="E224" s="13" t="str">
        <f t="shared" si="35"/>
        <v/>
      </c>
      <c r="F224" s="13" t="str">
        <f t="shared" si="36"/>
        <v/>
      </c>
      <c r="G224" s="13" t="str">
        <f t="shared" si="37"/>
        <v/>
      </c>
      <c r="H224" s="13" t="str">
        <f t="shared" si="38"/>
        <v/>
      </c>
      <c r="I224" t="str">
        <f t="shared" si="39"/>
        <v/>
      </c>
    </row>
    <row r="225" spans="1:9">
      <c r="A225">
        <f>CSV!B225</f>
        <v>0</v>
      </c>
      <c r="B225" s="13" t="e">
        <f>INDEX(Input!$D$2:$AC$500,
       MATCH(CPU_Formula!A225, Input!$J$2:$J$500, 0),
       MATCH("CPU model", Input!$D$1:$AC$1, 0))</f>
        <v>#N/A</v>
      </c>
      <c r="C225" s="13" t="str">
        <f t="shared" si="33"/>
        <v/>
      </c>
      <c r="D225" s="13" t="str">
        <f t="shared" si="34"/>
        <v/>
      </c>
      <c r="E225" s="13" t="str">
        <f t="shared" si="35"/>
        <v/>
      </c>
      <c r="F225" s="13" t="str">
        <f t="shared" si="36"/>
        <v/>
      </c>
      <c r="G225" s="13" t="str">
        <f t="shared" si="37"/>
        <v/>
      </c>
      <c r="H225" s="13" t="str">
        <f t="shared" si="38"/>
        <v/>
      </c>
      <c r="I225" t="str">
        <f t="shared" si="39"/>
        <v/>
      </c>
    </row>
    <row r="226" spans="1:9">
      <c r="A226">
        <f>CSV!B226</f>
        <v>0</v>
      </c>
      <c r="B226" s="13" t="e">
        <f>INDEX(Input!$D$2:$AC$500,
       MATCH(CPU_Formula!A226, Input!$J$2:$J$500, 0),
       MATCH("CPU model", Input!$D$1:$AC$1, 0))</f>
        <v>#N/A</v>
      </c>
      <c r="C226" s="13" t="str">
        <f t="shared" si="33"/>
        <v/>
      </c>
      <c r="D226" s="13" t="str">
        <f t="shared" si="34"/>
        <v/>
      </c>
      <c r="E226" s="13" t="str">
        <f t="shared" si="35"/>
        <v/>
      </c>
      <c r="F226" s="13" t="str">
        <f t="shared" si="36"/>
        <v/>
      </c>
      <c r="G226" s="13" t="str">
        <f t="shared" si="37"/>
        <v/>
      </c>
      <c r="H226" s="13" t="str">
        <f t="shared" si="38"/>
        <v/>
      </c>
      <c r="I226" t="str">
        <f t="shared" si="39"/>
        <v/>
      </c>
    </row>
    <row r="227" spans="1:9">
      <c r="A227">
        <f>CSV!B227</f>
        <v>0</v>
      </c>
      <c r="B227" s="13" t="e">
        <f>INDEX(Input!$D$2:$AC$500,
       MATCH(CPU_Formula!A227, Input!$J$2:$J$500, 0),
       MATCH("CPU model", Input!$D$1:$AC$1, 0))</f>
        <v>#N/A</v>
      </c>
      <c r="C227" s="13" t="str">
        <f t="shared" si="33"/>
        <v/>
      </c>
      <c r="D227" s="13" t="str">
        <f t="shared" si="34"/>
        <v/>
      </c>
      <c r="E227" s="13" t="str">
        <f t="shared" si="35"/>
        <v/>
      </c>
      <c r="F227" s="13" t="str">
        <f t="shared" si="36"/>
        <v/>
      </c>
      <c r="G227" s="13" t="str">
        <f t="shared" si="37"/>
        <v/>
      </c>
      <c r="H227" s="13" t="str">
        <f t="shared" si="38"/>
        <v/>
      </c>
      <c r="I227" t="str">
        <f t="shared" si="39"/>
        <v/>
      </c>
    </row>
    <row r="228" spans="1:9">
      <c r="A228">
        <f>CSV!B228</f>
        <v>0</v>
      </c>
      <c r="B228" s="13" t="e">
        <f>INDEX(Input!$D$2:$AC$500,
       MATCH(CPU_Formula!A228, Input!$J$2:$J$500, 0),
       MATCH("CPU model", Input!$D$1:$AC$1, 0))</f>
        <v>#N/A</v>
      </c>
      <c r="C228" s="13" t="str">
        <f t="shared" si="33"/>
        <v/>
      </c>
      <c r="D228" s="13" t="str">
        <f t="shared" si="34"/>
        <v/>
      </c>
      <c r="E228" s="13" t="str">
        <f t="shared" si="35"/>
        <v/>
      </c>
      <c r="F228" s="13" t="str">
        <f t="shared" si="36"/>
        <v/>
      </c>
      <c r="G228" s="13" t="str">
        <f t="shared" si="37"/>
        <v/>
      </c>
      <c r="H228" s="13" t="str">
        <f t="shared" si="38"/>
        <v/>
      </c>
      <c r="I228" t="str">
        <f t="shared" si="39"/>
        <v/>
      </c>
    </row>
    <row r="229" spans="1:9">
      <c r="A229">
        <f>CSV!B229</f>
        <v>0</v>
      </c>
      <c r="B229" s="13" t="e">
        <f>INDEX(Input!$D$2:$AC$500,
       MATCH(CPU_Formula!A229, Input!$J$2:$J$500, 0),
       MATCH("CPU model", Input!$D$1:$AC$1, 0))</f>
        <v>#N/A</v>
      </c>
      <c r="C229" s="13" t="str">
        <f t="shared" si="33"/>
        <v/>
      </c>
      <c r="D229" s="13" t="str">
        <f t="shared" si="34"/>
        <v/>
      </c>
      <c r="E229" s="13" t="str">
        <f t="shared" si="35"/>
        <v/>
      </c>
      <c r="F229" s="13" t="str">
        <f t="shared" si="36"/>
        <v/>
      </c>
      <c r="G229" s="13" t="str">
        <f t="shared" si="37"/>
        <v/>
      </c>
      <c r="H229" s="13" t="str">
        <f t="shared" si="38"/>
        <v/>
      </c>
      <c r="I229" t="str">
        <f t="shared" si="39"/>
        <v/>
      </c>
    </row>
    <row r="230" spans="1:9">
      <c r="A230">
        <f>CSV!B230</f>
        <v>0</v>
      </c>
      <c r="B230" s="13" t="e">
        <f>INDEX(Input!$D$2:$AC$500,
       MATCH(CPU_Formula!A230, Input!$J$2:$J$500, 0),
       MATCH("CPU model", Input!$D$1:$AC$1, 0))</f>
        <v>#N/A</v>
      </c>
      <c r="C230" s="13" t="str">
        <f t="shared" si="33"/>
        <v/>
      </c>
      <c r="D230" s="13" t="str">
        <f t="shared" si="34"/>
        <v/>
      </c>
      <c r="E230" s="13" t="str">
        <f t="shared" si="35"/>
        <v/>
      </c>
      <c r="F230" s="13" t="str">
        <f t="shared" si="36"/>
        <v/>
      </c>
      <c r="G230" s="13" t="str">
        <f t="shared" si="37"/>
        <v/>
      </c>
      <c r="H230" s="13" t="str">
        <f t="shared" si="38"/>
        <v/>
      </c>
      <c r="I230" t="str">
        <f t="shared" si="39"/>
        <v/>
      </c>
    </row>
    <row r="231" spans="1:9">
      <c r="A231">
        <f>CSV!B231</f>
        <v>0</v>
      </c>
      <c r="B231" s="13" t="e">
        <f>INDEX(Input!$D$2:$AC$500,
       MATCH(CPU_Formula!A231, Input!$J$2:$J$500, 0),
       MATCH("CPU model", Input!$D$1:$AC$1, 0))</f>
        <v>#N/A</v>
      </c>
      <c r="C231" s="13" t="str">
        <f t="shared" si="33"/>
        <v/>
      </c>
      <c r="D231" s="13" t="str">
        <f t="shared" si="34"/>
        <v/>
      </c>
      <c r="E231" s="13" t="str">
        <f t="shared" si="35"/>
        <v/>
      </c>
      <c r="F231" s="13" t="str">
        <f t="shared" si="36"/>
        <v/>
      </c>
      <c r="G231" s="13" t="str">
        <f t="shared" si="37"/>
        <v/>
      </c>
      <c r="H231" s="13" t="str">
        <f t="shared" si="38"/>
        <v/>
      </c>
      <c r="I231" t="str">
        <f t="shared" si="39"/>
        <v/>
      </c>
    </row>
    <row r="232" spans="1:9">
      <c r="A232">
        <f>CSV!B232</f>
        <v>0</v>
      </c>
      <c r="B232" s="13" t="e">
        <f>INDEX(Input!$D$2:$AC$500,
       MATCH(CPU_Formula!A232, Input!$J$2:$J$500, 0),
       MATCH("CPU model", Input!$D$1:$AC$1, 0))</f>
        <v>#N/A</v>
      </c>
      <c r="C232" s="13" t="str">
        <f t="shared" ref="C232:C295" si="40">IFERROR(_xlfn.TEXTAFTER(B232,"Core(TM) "),IFERROR(_xlfn.TEXTAFTER(B232,"Xeon(R) CPU"),""))</f>
        <v/>
      </c>
      <c r="D232" s="13" t="str">
        <f t="shared" ref="D232:D295" si="41">IFERROR(_xlfn.TEXTAFTER(B232,"Ryzen "), "")</f>
        <v/>
      </c>
      <c r="E232" s="13" t="str">
        <f t="shared" ref="E232:E295" si="42">IF(ISNUMBER(SEARCH("Ultra", B232)), "Ultra"&amp;_xlfn.TEXTAFTER(B232, "Ultra"), "")</f>
        <v/>
      </c>
      <c r="F232" s="13" t="str">
        <f t="shared" ref="F232:F295" si="43">IF(C232&lt;&gt;"", TRIM(_xlfn.TEXTBEFORE(C232," ",,1,1)), "")</f>
        <v/>
      </c>
      <c r="G232" s="13" t="str">
        <f t="shared" ref="G232:G295" si="44">IF(D232&lt;&gt;"", TRIM(_xlfn.TEXTBEFORE(D232," ",,1)), "")</f>
        <v/>
      </c>
      <c r="H232" s="13" t="str">
        <f t="shared" ref="H232:H295" si="45">E232</f>
        <v/>
      </c>
      <c r="I232" t="str">
        <f t="shared" ref="I232:I295" si="46">IF(H232&lt;&gt;"",H232,IF(G232&lt;&gt;"",G232,F232))</f>
        <v/>
      </c>
    </row>
    <row r="233" spans="1:9">
      <c r="A233">
        <f>CSV!B233</f>
        <v>0</v>
      </c>
      <c r="B233" s="13" t="e">
        <f>INDEX(Input!$D$2:$AC$500,
       MATCH(CPU_Formula!A233, Input!$J$2:$J$500, 0),
       MATCH("CPU model", Input!$D$1:$AC$1, 0))</f>
        <v>#N/A</v>
      </c>
      <c r="C233" s="13" t="str">
        <f t="shared" si="40"/>
        <v/>
      </c>
      <c r="D233" s="13" t="str">
        <f t="shared" si="41"/>
        <v/>
      </c>
      <c r="E233" s="13" t="str">
        <f t="shared" si="42"/>
        <v/>
      </c>
      <c r="F233" s="13" t="str">
        <f t="shared" si="43"/>
        <v/>
      </c>
      <c r="G233" s="13" t="str">
        <f t="shared" si="44"/>
        <v/>
      </c>
      <c r="H233" s="13" t="str">
        <f t="shared" si="45"/>
        <v/>
      </c>
      <c r="I233" t="str">
        <f t="shared" si="46"/>
        <v/>
      </c>
    </row>
    <row r="234" spans="1:9">
      <c r="A234">
        <f>CSV!B234</f>
        <v>0</v>
      </c>
      <c r="B234" s="13" t="e">
        <f>INDEX(Input!$D$2:$AC$500,
       MATCH(CPU_Formula!A234, Input!$J$2:$J$500, 0),
       MATCH("CPU model", Input!$D$1:$AC$1, 0))</f>
        <v>#N/A</v>
      </c>
      <c r="C234" s="13" t="str">
        <f t="shared" si="40"/>
        <v/>
      </c>
      <c r="D234" s="13" t="str">
        <f t="shared" si="41"/>
        <v/>
      </c>
      <c r="E234" s="13" t="str">
        <f t="shared" si="42"/>
        <v/>
      </c>
      <c r="F234" s="13" t="str">
        <f t="shared" si="43"/>
        <v/>
      </c>
      <c r="G234" s="13" t="str">
        <f t="shared" si="44"/>
        <v/>
      </c>
      <c r="H234" s="13" t="str">
        <f t="shared" si="45"/>
        <v/>
      </c>
      <c r="I234" t="str">
        <f t="shared" si="46"/>
        <v/>
      </c>
    </row>
    <row r="235" spans="1:9">
      <c r="A235">
        <f>CSV!B235</f>
        <v>0</v>
      </c>
      <c r="B235" s="13" t="e">
        <f>INDEX(Input!$D$2:$AC$500,
       MATCH(CPU_Formula!A235, Input!$J$2:$J$500, 0),
       MATCH("CPU model", Input!$D$1:$AC$1, 0))</f>
        <v>#N/A</v>
      </c>
      <c r="C235" s="13" t="str">
        <f t="shared" si="40"/>
        <v/>
      </c>
      <c r="D235" s="13" t="str">
        <f t="shared" si="41"/>
        <v/>
      </c>
      <c r="E235" s="13" t="str">
        <f t="shared" si="42"/>
        <v/>
      </c>
      <c r="F235" s="13" t="str">
        <f t="shared" si="43"/>
        <v/>
      </c>
      <c r="G235" s="13" t="str">
        <f t="shared" si="44"/>
        <v/>
      </c>
      <c r="H235" s="13" t="str">
        <f t="shared" si="45"/>
        <v/>
      </c>
      <c r="I235" t="str">
        <f t="shared" si="46"/>
        <v/>
      </c>
    </row>
    <row r="236" spans="1:9">
      <c r="A236">
        <f>CSV!B236</f>
        <v>0</v>
      </c>
      <c r="B236" s="13" t="e">
        <f>INDEX(Input!$D$2:$AC$500,
       MATCH(CPU_Formula!A236, Input!$J$2:$J$500, 0),
       MATCH("CPU model", Input!$D$1:$AC$1, 0))</f>
        <v>#N/A</v>
      </c>
      <c r="C236" s="13" t="str">
        <f t="shared" si="40"/>
        <v/>
      </c>
      <c r="D236" s="13" t="str">
        <f t="shared" si="41"/>
        <v/>
      </c>
      <c r="E236" s="13" t="str">
        <f t="shared" si="42"/>
        <v/>
      </c>
      <c r="F236" s="13" t="str">
        <f t="shared" si="43"/>
        <v/>
      </c>
      <c r="G236" s="13" t="str">
        <f t="shared" si="44"/>
        <v/>
      </c>
      <c r="H236" s="13" t="str">
        <f t="shared" si="45"/>
        <v/>
      </c>
      <c r="I236" t="str">
        <f t="shared" si="46"/>
        <v/>
      </c>
    </row>
    <row r="237" spans="1:9">
      <c r="A237">
        <f>CSV!B237</f>
        <v>0</v>
      </c>
      <c r="B237" s="13" t="e">
        <f>INDEX(Input!$D$2:$AC$500,
       MATCH(CPU_Formula!A237, Input!$J$2:$J$500, 0),
       MATCH("CPU model", Input!$D$1:$AC$1, 0))</f>
        <v>#N/A</v>
      </c>
      <c r="C237" s="13" t="str">
        <f t="shared" si="40"/>
        <v/>
      </c>
      <c r="D237" s="13" t="str">
        <f t="shared" si="41"/>
        <v/>
      </c>
      <c r="E237" s="13" t="str">
        <f t="shared" si="42"/>
        <v/>
      </c>
      <c r="F237" s="13" t="str">
        <f t="shared" si="43"/>
        <v/>
      </c>
      <c r="G237" s="13" t="str">
        <f t="shared" si="44"/>
        <v/>
      </c>
      <c r="H237" s="13" t="str">
        <f t="shared" si="45"/>
        <v/>
      </c>
      <c r="I237" t="str">
        <f t="shared" si="46"/>
        <v/>
      </c>
    </row>
    <row r="238" spans="1:9">
      <c r="A238">
        <f>CSV!B238</f>
        <v>0</v>
      </c>
      <c r="B238" s="13" t="e">
        <f>INDEX(Input!$D$2:$AC$500,
       MATCH(CPU_Formula!A238, Input!$J$2:$J$500, 0),
       MATCH("CPU model", Input!$D$1:$AC$1, 0))</f>
        <v>#N/A</v>
      </c>
      <c r="C238" s="13" t="str">
        <f t="shared" si="40"/>
        <v/>
      </c>
      <c r="D238" s="13" t="str">
        <f t="shared" si="41"/>
        <v/>
      </c>
      <c r="E238" s="13" t="str">
        <f t="shared" si="42"/>
        <v/>
      </c>
      <c r="F238" s="13" t="str">
        <f t="shared" si="43"/>
        <v/>
      </c>
      <c r="G238" s="13" t="str">
        <f t="shared" si="44"/>
        <v/>
      </c>
      <c r="H238" s="13" t="str">
        <f t="shared" si="45"/>
        <v/>
      </c>
      <c r="I238" t="str">
        <f t="shared" si="46"/>
        <v/>
      </c>
    </row>
    <row r="239" spans="1:9">
      <c r="A239">
        <f>CSV!B239</f>
        <v>0</v>
      </c>
      <c r="B239" s="13" t="e">
        <f>INDEX(Input!$D$2:$AC$500,
       MATCH(CPU_Formula!A239, Input!$J$2:$J$500, 0),
       MATCH("CPU model", Input!$D$1:$AC$1, 0))</f>
        <v>#N/A</v>
      </c>
      <c r="C239" s="13" t="str">
        <f t="shared" si="40"/>
        <v/>
      </c>
      <c r="D239" s="13" t="str">
        <f t="shared" si="41"/>
        <v/>
      </c>
      <c r="E239" s="13" t="str">
        <f t="shared" si="42"/>
        <v/>
      </c>
      <c r="F239" s="13" t="str">
        <f t="shared" si="43"/>
        <v/>
      </c>
      <c r="G239" s="13" t="str">
        <f t="shared" si="44"/>
        <v/>
      </c>
      <c r="H239" s="13" t="str">
        <f t="shared" si="45"/>
        <v/>
      </c>
      <c r="I239" t="str">
        <f t="shared" si="46"/>
        <v/>
      </c>
    </row>
    <row r="240" spans="1:9">
      <c r="A240">
        <f>CSV!B240</f>
        <v>0</v>
      </c>
      <c r="B240" s="13" t="e">
        <f>INDEX(Input!$D$2:$AC$500,
       MATCH(CPU_Formula!A240, Input!$J$2:$J$500, 0),
       MATCH("CPU model", Input!$D$1:$AC$1, 0))</f>
        <v>#N/A</v>
      </c>
      <c r="C240" s="13" t="str">
        <f t="shared" si="40"/>
        <v/>
      </c>
      <c r="D240" s="13" t="str">
        <f t="shared" si="41"/>
        <v/>
      </c>
      <c r="E240" s="13" t="str">
        <f t="shared" si="42"/>
        <v/>
      </c>
      <c r="F240" s="13" t="str">
        <f t="shared" si="43"/>
        <v/>
      </c>
      <c r="G240" s="13" t="str">
        <f t="shared" si="44"/>
        <v/>
      </c>
      <c r="H240" s="13" t="str">
        <f t="shared" si="45"/>
        <v/>
      </c>
      <c r="I240" t="str">
        <f t="shared" si="46"/>
        <v/>
      </c>
    </row>
    <row r="241" spans="1:9">
      <c r="A241">
        <f>CSV!B241</f>
        <v>0</v>
      </c>
      <c r="B241" s="13" t="e">
        <f>INDEX(Input!$D$2:$AC$500,
       MATCH(CPU_Formula!A241, Input!$J$2:$J$500, 0),
       MATCH("CPU model", Input!$D$1:$AC$1, 0))</f>
        <v>#N/A</v>
      </c>
      <c r="C241" s="13" t="str">
        <f t="shared" si="40"/>
        <v/>
      </c>
      <c r="D241" s="13" t="str">
        <f t="shared" si="41"/>
        <v/>
      </c>
      <c r="E241" s="13" t="str">
        <f t="shared" si="42"/>
        <v/>
      </c>
      <c r="F241" s="13" t="str">
        <f t="shared" si="43"/>
        <v/>
      </c>
      <c r="G241" s="13" t="str">
        <f t="shared" si="44"/>
        <v/>
      </c>
      <c r="H241" s="13" t="str">
        <f t="shared" si="45"/>
        <v/>
      </c>
      <c r="I241" t="str">
        <f t="shared" si="46"/>
        <v/>
      </c>
    </row>
    <row r="242" spans="1:9">
      <c r="A242">
        <f>CSV!B242</f>
        <v>0</v>
      </c>
      <c r="B242" s="13" t="e">
        <f>INDEX(Input!$D$2:$AC$500,
       MATCH(CPU_Formula!A242, Input!$J$2:$J$500, 0),
       MATCH("CPU model", Input!$D$1:$AC$1, 0))</f>
        <v>#N/A</v>
      </c>
      <c r="C242" s="13" t="str">
        <f t="shared" si="40"/>
        <v/>
      </c>
      <c r="D242" s="13" t="str">
        <f t="shared" si="41"/>
        <v/>
      </c>
      <c r="E242" s="13" t="str">
        <f t="shared" si="42"/>
        <v/>
      </c>
      <c r="F242" s="13" t="str">
        <f t="shared" si="43"/>
        <v/>
      </c>
      <c r="G242" s="13" t="str">
        <f t="shared" si="44"/>
        <v/>
      </c>
      <c r="H242" s="13" t="str">
        <f t="shared" si="45"/>
        <v/>
      </c>
      <c r="I242" t="str">
        <f t="shared" si="46"/>
        <v/>
      </c>
    </row>
    <row r="243" spans="1:9">
      <c r="A243">
        <f>CSV!B243</f>
        <v>0</v>
      </c>
      <c r="B243" s="13" t="e">
        <f>INDEX(Input!$D$2:$AC$500,
       MATCH(CPU_Formula!A243, Input!$J$2:$J$500, 0),
       MATCH("CPU model", Input!$D$1:$AC$1, 0))</f>
        <v>#N/A</v>
      </c>
      <c r="C243" s="13" t="str">
        <f t="shared" si="40"/>
        <v/>
      </c>
      <c r="D243" s="13" t="str">
        <f t="shared" si="41"/>
        <v/>
      </c>
      <c r="E243" s="13" t="str">
        <f t="shared" si="42"/>
        <v/>
      </c>
      <c r="F243" s="13" t="str">
        <f t="shared" si="43"/>
        <v/>
      </c>
      <c r="G243" s="13" t="str">
        <f t="shared" si="44"/>
        <v/>
      </c>
      <c r="H243" s="13" t="str">
        <f t="shared" si="45"/>
        <v/>
      </c>
      <c r="I243" t="str">
        <f t="shared" si="46"/>
        <v/>
      </c>
    </row>
    <row r="244" spans="1:9">
      <c r="A244">
        <f>CSV!B244</f>
        <v>0</v>
      </c>
      <c r="B244" s="13" t="e">
        <f>INDEX(Input!$D$2:$AC$500,
       MATCH(CPU_Formula!A244, Input!$J$2:$J$500, 0),
       MATCH("CPU model", Input!$D$1:$AC$1, 0))</f>
        <v>#N/A</v>
      </c>
      <c r="C244" s="13" t="str">
        <f t="shared" si="40"/>
        <v/>
      </c>
      <c r="D244" s="13" t="str">
        <f t="shared" si="41"/>
        <v/>
      </c>
      <c r="E244" s="13" t="str">
        <f t="shared" si="42"/>
        <v/>
      </c>
      <c r="F244" s="13" t="str">
        <f t="shared" si="43"/>
        <v/>
      </c>
      <c r="G244" s="13" t="str">
        <f t="shared" si="44"/>
        <v/>
      </c>
      <c r="H244" s="13" t="str">
        <f t="shared" si="45"/>
        <v/>
      </c>
      <c r="I244" t="str">
        <f t="shared" si="46"/>
        <v/>
      </c>
    </row>
    <row r="245" spans="1:9">
      <c r="A245">
        <f>CSV!B245</f>
        <v>0</v>
      </c>
      <c r="B245" s="13" t="e">
        <f>INDEX(Input!$D$2:$AC$500,
       MATCH(CPU_Formula!A245, Input!$J$2:$J$500, 0),
       MATCH("CPU model", Input!$D$1:$AC$1, 0))</f>
        <v>#N/A</v>
      </c>
      <c r="C245" s="13" t="str">
        <f t="shared" si="40"/>
        <v/>
      </c>
      <c r="D245" s="13" t="str">
        <f t="shared" si="41"/>
        <v/>
      </c>
      <c r="E245" s="13" t="str">
        <f t="shared" si="42"/>
        <v/>
      </c>
      <c r="F245" s="13" t="str">
        <f t="shared" si="43"/>
        <v/>
      </c>
      <c r="G245" s="13" t="str">
        <f t="shared" si="44"/>
        <v/>
      </c>
      <c r="H245" s="13" t="str">
        <f t="shared" si="45"/>
        <v/>
      </c>
      <c r="I245" t="str">
        <f t="shared" si="46"/>
        <v/>
      </c>
    </row>
    <row r="246" spans="1:9">
      <c r="A246">
        <f>CSV!B246</f>
        <v>0</v>
      </c>
      <c r="B246" s="13" t="e">
        <f>INDEX(Input!$D$2:$AC$500,
       MATCH(CPU_Formula!A246, Input!$J$2:$J$500, 0),
       MATCH("CPU model", Input!$D$1:$AC$1, 0))</f>
        <v>#N/A</v>
      </c>
      <c r="C246" s="13" t="str">
        <f t="shared" si="40"/>
        <v/>
      </c>
      <c r="D246" s="13" t="str">
        <f t="shared" si="41"/>
        <v/>
      </c>
      <c r="E246" s="13" t="str">
        <f t="shared" si="42"/>
        <v/>
      </c>
      <c r="F246" s="13" t="str">
        <f t="shared" si="43"/>
        <v/>
      </c>
      <c r="G246" s="13" t="str">
        <f t="shared" si="44"/>
        <v/>
      </c>
      <c r="H246" s="13" t="str">
        <f t="shared" si="45"/>
        <v/>
      </c>
      <c r="I246" t="str">
        <f t="shared" si="46"/>
        <v/>
      </c>
    </row>
    <row r="247" spans="1:9">
      <c r="A247">
        <f>CSV!B247</f>
        <v>0</v>
      </c>
      <c r="B247" s="13" t="e">
        <f>INDEX(Input!$D$2:$AC$500,
       MATCH(CPU_Formula!A247, Input!$J$2:$J$500, 0),
       MATCH("CPU model", Input!$D$1:$AC$1, 0))</f>
        <v>#N/A</v>
      </c>
      <c r="C247" s="13" t="str">
        <f t="shared" si="40"/>
        <v/>
      </c>
      <c r="D247" s="13" t="str">
        <f t="shared" si="41"/>
        <v/>
      </c>
      <c r="E247" s="13" t="str">
        <f t="shared" si="42"/>
        <v/>
      </c>
      <c r="F247" s="13" t="str">
        <f t="shared" si="43"/>
        <v/>
      </c>
      <c r="G247" s="13" t="str">
        <f t="shared" si="44"/>
        <v/>
      </c>
      <c r="H247" s="13" t="str">
        <f t="shared" si="45"/>
        <v/>
      </c>
      <c r="I247" t="str">
        <f t="shared" si="46"/>
        <v/>
      </c>
    </row>
    <row r="248" spans="1:9">
      <c r="A248">
        <f>CSV!B248</f>
        <v>0</v>
      </c>
      <c r="B248" s="13" t="e">
        <f>INDEX(Input!$D$2:$AC$500,
       MATCH(CPU_Formula!A248, Input!$J$2:$J$500, 0),
       MATCH("CPU model", Input!$D$1:$AC$1, 0))</f>
        <v>#N/A</v>
      </c>
      <c r="C248" s="13" t="str">
        <f t="shared" si="40"/>
        <v/>
      </c>
      <c r="D248" s="13" t="str">
        <f t="shared" si="41"/>
        <v/>
      </c>
      <c r="E248" s="13" t="str">
        <f t="shared" si="42"/>
        <v/>
      </c>
      <c r="F248" s="13" t="str">
        <f t="shared" si="43"/>
        <v/>
      </c>
      <c r="G248" s="13" t="str">
        <f t="shared" si="44"/>
        <v/>
      </c>
      <c r="H248" s="13" t="str">
        <f t="shared" si="45"/>
        <v/>
      </c>
      <c r="I248" t="str">
        <f t="shared" si="46"/>
        <v/>
      </c>
    </row>
    <row r="249" spans="1:9">
      <c r="A249">
        <f>CSV!B249</f>
        <v>0</v>
      </c>
      <c r="B249" s="13" t="e">
        <f>INDEX(Input!$D$2:$AC$500,
       MATCH(CPU_Formula!A249, Input!$J$2:$J$500, 0),
       MATCH("CPU model", Input!$D$1:$AC$1, 0))</f>
        <v>#N/A</v>
      </c>
      <c r="C249" s="13" t="str">
        <f t="shared" si="40"/>
        <v/>
      </c>
      <c r="D249" s="13" t="str">
        <f t="shared" si="41"/>
        <v/>
      </c>
      <c r="E249" s="13" t="str">
        <f t="shared" si="42"/>
        <v/>
      </c>
      <c r="F249" s="13" t="str">
        <f t="shared" si="43"/>
        <v/>
      </c>
      <c r="G249" s="13" t="str">
        <f t="shared" si="44"/>
        <v/>
      </c>
      <c r="H249" s="13" t="str">
        <f t="shared" si="45"/>
        <v/>
      </c>
      <c r="I249" t="str">
        <f t="shared" si="46"/>
        <v/>
      </c>
    </row>
    <row r="250" spans="1:9">
      <c r="A250">
        <f>CSV!B250</f>
        <v>0</v>
      </c>
      <c r="B250" s="13" t="e">
        <f>INDEX(Input!$D$2:$AC$500,
       MATCH(CPU_Formula!A250, Input!$J$2:$J$500, 0),
       MATCH("CPU model", Input!$D$1:$AC$1, 0))</f>
        <v>#N/A</v>
      </c>
      <c r="C250" s="13" t="str">
        <f t="shared" si="40"/>
        <v/>
      </c>
      <c r="D250" s="13" t="str">
        <f t="shared" si="41"/>
        <v/>
      </c>
      <c r="E250" s="13" t="str">
        <f t="shared" si="42"/>
        <v/>
      </c>
      <c r="F250" s="13" t="str">
        <f t="shared" si="43"/>
        <v/>
      </c>
      <c r="G250" s="13" t="str">
        <f t="shared" si="44"/>
        <v/>
      </c>
      <c r="H250" s="13" t="str">
        <f t="shared" si="45"/>
        <v/>
      </c>
      <c r="I250" t="str">
        <f t="shared" si="46"/>
        <v/>
      </c>
    </row>
    <row r="251" spans="1:9">
      <c r="A251">
        <f>CSV!B251</f>
        <v>0</v>
      </c>
      <c r="B251" s="13" t="e">
        <f>INDEX(Input!$D$2:$AC$500,
       MATCH(CPU_Formula!A251, Input!$J$2:$J$500, 0),
       MATCH("CPU model", Input!$D$1:$AC$1, 0))</f>
        <v>#N/A</v>
      </c>
      <c r="C251" s="13" t="str">
        <f t="shared" si="40"/>
        <v/>
      </c>
      <c r="D251" s="13" t="str">
        <f t="shared" si="41"/>
        <v/>
      </c>
      <c r="E251" s="13" t="str">
        <f t="shared" si="42"/>
        <v/>
      </c>
      <c r="F251" s="13" t="str">
        <f t="shared" si="43"/>
        <v/>
      </c>
      <c r="G251" s="13" t="str">
        <f t="shared" si="44"/>
        <v/>
      </c>
      <c r="H251" s="13" t="str">
        <f t="shared" si="45"/>
        <v/>
      </c>
      <c r="I251" t="str">
        <f t="shared" si="46"/>
        <v/>
      </c>
    </row>
    <row r="252" spans="1:9">
      <c r="A252">
        <f>CSV!B252</f>
        <v>0</v>
      </c>
      <c r="B252" s="13" t="e">
        <f>INDEX(Input!$D$2:$AC$500,
       MATCH(CPU_Formula!A252, Input!$J$2:$J$500, 0),
       MATCH("CPU model", Input!$D$1:$AC$1, 0))</f>
        <v>#N/A</v>
      </c>
      <c r="C252" s="13" t="str">
        <f t="shared" si="40"/>
        <v/>
      </c>
      <c r="D252" s="13" t="str">
        <f t="shared" si="41"/>
        <v/>
      </c>
      <c r="E252" s="13" t="str">
        <f t="shared" si="42"/>
        <v/>
      </c>
      <c r="F252" s="13" t="str">
        <f t="shared" si="43"/>
        <v/>
      </c>
      <c r="G252" s="13" t="str">
        <f t="shared" si="44"/>
        <v/>
      </c>
      <c r="H252" s="13" t="str">
        <f t="shared" si="45"/>
        <v/>
      </c>
      <c r="I252" t="str">
        <f t="shared" si="46"/>
        <v/>
      </c>
    </row>
    <row r="253" spans="1:9">
      <c r="A253">
        <f>CSV!B253</f>
        <v>0</v>
      </c>
      <c r="B253" s="13" t="e">
        <f>INDEX(Input!$D$2:$AC$500,
       MATCH(CPU_Formula!A253, Input!$J$2:$J$500, 0),
       MATCH("CPU model", Input!$D$1:$AC$1, 0))</f>
        <v>#N/A</v>
      </c>
      <c r="C253" s="13" t="str">
        <f t="shared" si="40"/>
        <v/>
      </c>
      <c r="D253" s="13" t="str">
        <f t="shared" si="41"/>
        <v/>
      </c>
      <c r="E253" s="13" t="str">
        <f t="shared" si="42"/>
        <v/>
      </c>
      <c r="F253" s="13" t="str">
        <f t="shared" si="43"/>
        <v/>
      </c>
      <c r="G253" s="13" t="str">
        <f t="shared" si="44"/>
        <v/>
      </c>
      <c r="H253" s="13" t="str">
        <f t="shared" si="45"/>
        <v/>
      </c>
      <c r="I253" t="str">
        <f t="shared" si="46"/>
        <v/>
      </c>
    </row>
    <row r="254" spans="1:9">
      <c r="A254">
        <f>CSV!B254</f>
        <v>0</v>
      </c>
      <c r="B254" s="13" t="e">
        <f>INDEX(Input!$D$2:$AC$500,
       MATCH(CPU_Formula!A254, Input!$J$2:$J$500, 0),
       MATCH("CPU model", Input!$D$1:$AC$1, 0))</f>
        <v>#N/A</v>
      </c>
      <c r="C254" s="13" t="str">
        <f t="shared" si="40"/>
        <v/>
      </c>
      <c r="D254" s="13" t="str">
        <f t="shared" si="41"/>
        <v/>
      </c>
      <c r="E254" s="13" t="str">
        <f t="shared" si="42"/>
        <v/>
      </c>
      <c r="F254" s="13" t="str">
        <f t="shared" si="43"/>
        <v/>
      </c>
      <c r="G254" s="13" t="str">
        <f t="shared" si="44"/>
        <v/>
      </c>
      <c r="H254" s="13" t="str">
        <f t="shared" si="45"/>
        <v/>
      </c>
      <c r="I254" t="str">
        <f t="shared" si="46"/>
        <v/>
      </c>
    </row>
    <row r="255" spans="1:9">
      <c r="A255">
        <f>CSV!B255</f>
        <v>0</v>
      </c>
      <c r="B255" s="13" t="e">
        <f>INDEX(Input!$D$2:$AC$500,
       MATCH(CPU_Formula!A255, Input!$J$2:$J$500, 0),
       MATCH("CPU model", Input!$D$1:$AC$1, 0))</f>
        <v>#N/A</v>
      </c>
      <c r="C255" s="13" t="str">
        <f t="shared" si="40"/>
        <v/>
      </c>
      <c r="D255" s="13" t="str">
        <f t="shared" si="41"/>
        <v/>
      </c>
      <c r="E255" s="13" t="str">
        <f t="shared" si="42"/>
        <v/>
      </c>
      <c r="F255" s="13" t="str">
        <f t="shared" si="43"/>
        <v/>
      </c>
      <c r="G255" s="13" t="str">
        <f t="shared" si="44"/>
        <v/>
      </c>
      <c r="H255" s="13" t="str">
        <f t="shared" si="45"/>
        <v/>
      </c>
      <c r="I255" t="str">
        <f t="shared" si="46"/>
        <v/>
      </c>
    </row>
    <row r="256" spans="1:9">
      <c r="A256">
        <f>CSV!B256</f>
        <v>0</v>
      </c>
      <c r="B256" s="13" t="e">
        <f>INDEX(Input!$D$2:$AC$500,
       MATCH(CPU_Formula!A256, Input!$J$2:$J$500, 0),
       MATCH("CPU model", Input!$D$1:$AC$1, 0))</f>
        <v>#N/A</v>
      </c>
      <c r="C256" s="13" t="str">
        <f t="shared" si="40"/>
        <v/>
      </c>
      <c r="D256" s="13" t="str">
        <f t="shared" si="41"/>
        <v/>
      </c>
      <c r="E256" s="13" t="str">
        <f t="shared" si="42"/>
        <v/>
      </c>
      <c r="F256" s="13" t="str">
        <f t="shared" si="43"/>
        <v/>
      </c>
      <c r="G256" s="13" t="str">
        <f t="shared" si="44"/>
        <v/>
      </c>
      <c r="H256" s="13" t="str">
        <f t="shared" si="45"/>
        <v/>
      </c>
      <c r="I256" t="str">
        <f t="shared" si="46"/>
        <v/>
      </c>
    </row>
    <row r="257" spans="1:9">
      <c r="A257">
        <f>CSV!B257</f>
        <v>0</v>
      </c>
      <c r="B257" s="13" t="e">
        <f>INDEX(Input!$D$2:$AC$500,
       MATCH(CPU_Formula!A257, Input!$J$2:$J$500, 0),
       MATCH("CPU model", Input!$D$1:$AC$1, 0))</f>
        <v>#N/A</v>
      </c>
      <c r="C257" s="13" t="str">
        <f t="shared" si="40"/>
        <v/>
      </c>
      <c r="D257" s="13" t="str">
        <f t="shared" si="41"/>
        <v/>
      </c>
      <c r="E257" s="13" t="str">
        <f t="shared" si="42"/>
        <v/>
      </c>
      <c r="F257" s="13" t="str">
        <f t="shared" si="43"/>
        <v/>
      </c>
      <c r="G257" s="13" t="str">
        <f t="shared" si="44"/>
        <v/>
      </c>
      <c r="H257" s="13" t="str">
        <f t="shared" si="45"/>
        <v/>
      </c>
      <c r="I257" t="str">
        <f t="shared" si="46"/>
        <v/>
      </c>
    </row>
    <row r="258" spans="1:9">
      <c r="A258">
        <f>CSV!B258</f>
        <v>0</v>
      </c>
      <c r="B258" s="13" t="e">
        <f>INDEX(Input!$D$2:$AC$500,
       MATCH(CPU_Formula!A258, Input!$J$2:$J$500, 0),
       MATCH("CPU model", Input!$D$1:$AC$1, 0))</f>
        <v>#N/A</v>
      </c>
      <c r="C258" s="13" t="str">
        <f t="shared" si="40"/>
        <v/>
      </c>
      <c r="D258" s="13" t="str">
        <f t="shared" si="41"/>
        <v/>
      </c>
      <c r="E258" s="13" t="str">
        <f t="shared" si="42"/>
        <v/>
      </c>
      <c r="F258" s="13" t="str">
        <f t="shared" si="43"/>
        <v/>
      </c>
      <c r="G258" s="13" t="str">
        <f t="shared" si="44"/>
        <v/>
      </c>
      <c r="H258" s="13" t="str">
        <f t="shared" si="45"/>
        <v/>
      </c>
      <c r="I258" t="str">
        <f t="shared" si="46"/>
        <v/>
      </c>
    </row>
    <row r="259" spans="1:9">
      <c r="A259">
        <f>CSV!B259</f>
        <v>0</v>
      </c>
      <c r="B259" s="13" t="e">
        <f>INDEX(Input!$D$2:$AC$500,
       MATCH(CPU_Formula!A259, Input!$J$2:$J$500, 0),
       MATCH("CPU model", Input!$D$1:$AC$1, 0))</f>
        <v>#N/A</v>
      </c>
      <c r="C259" s="13" t="str">
        <f t="shared" si="40"/>
        <v/>
      </c>
      <c r="D259" s="13" t="str">
        <f t="shared" si="41"/>
        <v/>
      </c>
      <c r="E259" s="13" t="str">
        <f t="shared" si="42"/>
        <v/>
      </c>
      <c r="F259" s="13" t="str">
        <f t="shared" si="43"/>
        <v/>
      </c>
      <c r="G259" s="13" t="str">
        <f t="shared" si="44"/>
        <v/>
      </c>
      <c r="H259" s="13" t="str">
        <f t="shared" si="45"/>
        <v/>
      </c>
      <c r="I259" t="str">
        <f t="shared" si="46"/>
        <v/>
      </c>
    </row>
    <row r="260" spans="1:9">
      <c r="A260">
        <f>CSV!B260</f>
        <v>0</v>
      </c>
      <c r="B260" s="13" t="e">
        <f>INDEX(Input!$D$2:$AC$500,
       MATCH(CPU_Formula!A260, Input!$J$2:$J$500, 0),
       MATCH("CPU model", Input!$D$1:$AC$1, 0))</f>
        <v>#N/A</v>
      </c>
      <c r="C260" s="13" t="str">
        <f t="shared" si="40"/>
        <v/>
      </c>
      <c r="D260" s="13" t="str">
        <f t="shared" si="41"/>
        <v/>
      </c>
      <c r="E260" s="13" t="str">
        <f t="shared" si="42"/>
        <v/>
      </c>
      <c r="F260" s="13" t="str">
        <f t="shared" si="43"/>
        <v/>
      </c>
      <c r="G260" s="13" t="str">
        <f t="shared" si="44"/>
        <v/>
      </c>
      <c r="H260" s="13" t="str">
        <f t="shared" si="45"/>
        <v/>
      </c>
      <c r="I260" t="str">
        <f t="shared" si="46"/>
        <v/>
      </c>
    </row>
    <row r="261" spans="1:9">
      <c r="A261">
        <f>CSV!B261</f>
        <v>0</v>
      </c>
      <c r="B261" s="13" t="e">
        <f>INDEX(Input!$D$2:$AC$500,
       MATCH(CPU_Formula!A261, Input!$J$2:$J$500, 0),
       MATCH("CPU model", Input!$D$1:$AC$1, 0))</f>
        <v>#N/A</v>
      </c>
      <c r="C261" s="13" t="str">
        <f t="shared" si="40"/>
        <v/>
      </c>
      <c r="D261" s="13" t="str">
        <f t="shared" si="41"/>
        <v/>
      </c>
      <c r="E261" s="13" t="str">
        <f t="shared" si="42"/>
        <v/>
      </c>
      <c r="F261" s="13" t="str">
        <f t="shared" si="43"/>
        <v/>
      </c>
      <c r="G261" s="13" t="str">
        <f t="shared" si="44"/>
        <v/>
      </c>
      <c r="H261" s="13" t="str">
        <f t="shared" si="45"/>
        <v/>
      </c>
      <c r="I261" t="str">
        <f t="shared" si="46"/>
        <v/>
      </c>
    </row>
    <row r="262" spans="1:9">
      <c r="A262">
        <f>CSV!B262</f>
        <v>0</v>
      </c>
      <c r="B262" s="13" t="e">
        <f>INDEX(Input!$D$2:$AC$500,
       MATCH(CPU_Formula!A262, Input!$J$2:$J$500, 0),
       MATCH("CPU model", Input!$D$1:$AC$1, 0))</f>
        <v>#N/A</v>
      </c>
      <c r="C262" s="13" t="str">
        <f t="shared" si="40"/>
        <v/>
      </c>
      <c r="D262" s="13" t="str">
        <f t="shared" si="41"/>
        <v/>
      </c>
      <c r="E262" s="13" t="str">
        <f t="shared" si="42"/>
        <v/>
      </c>
      <c r="F262" s="13" t="str">
        <f t="shared" si="43"/>
        <v/>
      </c>
      <c r="G262" s="13" t="str">
        <f t="shared" si="44"/>
        <v/>
      </c>
      <c r="H262" s="13" t="str">
        <f t="shared" si="45"/>
        <v/>
      </c>
      <c r="I262" t="str">
        <f t="shared" si="46"/>
        <v/>
      </c>
    </row>
    <row r="263" spans="1:9">
      <c r="A263">
        <f>CSV!B263</f>
        <v>0</v>
      </c>
      <c r="B263" s="13" t="e">
        <f>INDEX(Input!$D$2:$AC$500,
       MATCH(CPU_Formula!A263, Input!$J$2:$J$500, 0),
       MATCH("CPU model", Input!$D$1:$AC$1, 0))</f>
        <v>#N/A</v>
      </c>
      <c r="C263" s="13" t="str">
        <f t="shared" si="40"/>
        <v/>
      </c>
      <c r="D263" s="13" t="str">
        <f t="shared" si="41"/>
        <v/>
      </c>
      <c r="E263" s="13" t="str">
        <f t="shared" si="42"/>
        <v/>
      </c>
      <c r="F263" s="13" t="str">
        <f t="shared" si="43"/>
        <v/>
      </c>
      <c r="G263" s="13" t="str">
        <f t="shared" si="44"/>
        <v/>
      </c>
      <c r="H263" s="13" t="str">
        <f t="shared" si="45"/>
        <v/>
      </c>
      <c r="I263" t="str">
        <f t="shared" si="46"/>
        <v/>
      </c>
    </row>
    <row r="264" spans="1:9">
      <c r="A264">
        <f>CSV!B264</f>
        <v>0</v>
      </c>
      <c r="B264" s="13" t="e">
        <f>INDEX(Input!$D$2:$AC$500,
       MATCH(CPU_Formula!A264, Input!$J$2:$J$500, 0),
       MATCH("CPU model", Input!$D$1:$AC$1, 0))</f>
        <v>#N/A</v>
      </c>
      <c r="C264" s="13" t="str">
        <f t="shared" si="40"/>
        <v/>
      </c>
      <c r="D264" s="13" t="str">
        <f t="shared" si="41"/>
        <v/>
      </c>
      <c r="E264" s="13" t="str">
        <f t="shared" si="42"/>
        <v/>
      </c>
      <c r="F264" s="13" t="str">
        <f t="shared" si="43"/>
        <v/>
      </c>
      <c r="G264" s="13" t="str">
        <f t="shared" si="44"/>
        <v/>
      </c>
      <c r="H264" s="13" t="str">
        <f t="shared" si="45"/>
        <v/>
      </c>
      <c r="I264" t="str">
        <f t="shared" si="46"/>
        <v/>
      </c>
    </row>
    <row r="265" spans="1:9">
      <c r="A265">
        <f>CSV!B265</f>
        <v>0</v>
      </c>
      <c r="B265" s="13" t="e">
        <f>INDEX(Input!$D$2:$AC$500,
       MATCH(CPU_Formula!A265, Input!$J$2:$J$500, 0),
       MATCH("CPU model", Input!$D$1:$AC$1, 0))</f>
        <v>#N/A</v>
      </c>
      <c r="C265" s="13" t="str">
        <f t="shared" si="40"/>
        <v/>
      </c>
      <c r="D265" s="13" t="str">
        <f t="shared" si="41"/>
        <v/>
      </c>
      <c r="E265" s="13" t="str">
        <f t="shared" si="42"/>
        <v/>
      </c>
      <c r="F265" s="13" t="str">
        <f t="shared" si="43"/>
        <v/>
      </c>
      <c r="G265" s="13" t="str">
        <f t="shared" si="44"/>
        <v/>
      </c>
      <c r="H265" s="13" t="str">
        <f t="shared" si="45"/>
        <v/>
      </c>
      <c r="I265" t="str">
        <f t="shared" si="46"/>
        <v/>
      </c>
    </row>
    <row r="266" spans="1:9">
      <c r="A266">
        <f>CSV!B266</f>
        <v>0</v>
      </c>
      <c r="B266" s="13" t="e">
        <f>INDEX(Input!$D$2:$AC$500,
       MATCH(CPU_Formula!A266, Input!$J$2:$J$500, 0),
       MATCH("CPU model", Input!$D$1:$AC$1, 0))</f>
        <v>#N/A</v>
      </c>
      <c r="C266" s="13" t="str">
        <f t="shared" si="40"/>
        <v/>
      </c>
      <c r="D266" s="13" t="str">
        <f t="shared" si="41"/>
        <v/>
      </c>
      <c r="E266" s="13" t="str">
        <f t="shared" si="42"/>
        <v/>
      </c>
      <c r="F266" s="13" t="str">
        <f t="shared" si="43"/>
        <v/>
      </c>
      <c r="G266" s="13" t="str">
        <f t="shared" si="44"/>
        <v/>
      </c>
      <c r="H266" s="13" t="str">
        <f t="shared" si="45"/>
        <v/>
      </c>
      <c r="I266" t="str">
        <f t="shared" si="46"/>
        <v/>
      </c>
    </row>
    <row r="267" spans="1:9">
      <c r="A267">
        <f>CSV!B267</f>
        <v>0</v>
      </c>
      <c r="B267" s="13" t="e">
        <f>INDEX(Input!$D$2:$AC$500,
       MATCH(CPU_Formula!A267, Input!$J$2:$J$500, 0),
       MATCH("CPU model", Input!$D$1:$AC$1, 0))</f>
        <v>#N/A</v>
      </c>
      <c r="C267" s="13" t="str">
        <f t="shared" si="40"/>
        <v/>
      </c>
      <c r="D267" s="13" t="str">
        <f t="shared" si="41"/>
        <v/>
      </c>
      <c r="E267" s="13" t="str">
        <f t="shared" si="42"/>
        <v/>
      </c>
      <c r="F267" s="13" t="str">
        <f t="shared" si="43"/>
        <v/>
      </c>
      <c r="G267" s="13" t="str">
        <f t="shared" si="44"/>
        <v/>
      </c>
      <c r="H267" s="13" t="str">
        <f t="shared" si="45"/>
        <v/>
      </c>
      <c r="I267" t="str">
        <f t="shared" si="46"/>
        <v/>
      </c>
    </row>
    <row r="268" spans="1:9">
      <c r="A268">
        <f>CSV!B268</f>
        <v>0</v>
      </c>
      <c r="B268" s="13" t="e">
        <f>INDEX(Input!$D$2:$AC$500,
       MATCH(CPU_Formula!A268, Input!$J$2:$J$500, 0),
       MATCH("CPU model", Input!$D$1:$AC$1, 0))</f>
        <v>#N/A</v>
      </c>
      <c r="C268" s="13" t="str">
        <f t="shared" si="40"/>
        <v/>
      </c>
      <c r="D268" s="13" t="str">
        <f t="shared" si="41"/>
        <v/>
      </c>
      <c r="E268" s="13" t="str">
        <f t="shared" si="42"/>
        <v/>
      </c>
      <c r="F268" s="13" t="str">
        <f t="shared" si="43"/>
        <v/>
      </c>
      <c r="G268" s="13" t="str">
        <f t="shared" si="44"/>
        <v/>
      </c>
      <c r="H268" s="13" t="str">
        <f t="shared" si="45"/>
        <v/>
      </c>
      <c r="I268" t="str">
        <f t="shared" si="46"/>
        <v/>
      </c>
    </row>
    <row r="269" spans="1:9">
      <c r="A269">
        <f>CSV!B269</f>
        <v>0</v>
      </c>
      <c r="B269" s="13" t="e">
        <f>INDEX(Input!$D$2:$AC$500,
       MATCH(CPU_Formula!A269, Input!$J$2:$J$500, 0),
       MATCH("CPU model", Input!$D$1:$AC$1, 0))</f>
        <v>#N/A</v>
      </c>
      <c r="C269" s="13" t="str">
        <f t="shared" si="40"/>
        <v/>
      </c>
      <c r="D269" s="13" t="str">
        <f t="shared" si="41"/>
        <v/>
      </c>
      <c r="E269" s="13" t="str">
        <f t="shared" si="42"/>
        <v/>
      </c>
      <c r="F269" s="13" t="str">
        <f t="shared" si="43"/>
        <v/>
      </c>
      <c r="G269" s="13" t="str">
        <f t="shared" si="44"/>
        <v/>
      </c>
      <c r="H269" s="13" t="str">
        <f t="shared" si="45"/>
        <v/>
      </c>
      <c r="I269" t="str">
        <f t="shared" si="46"/>
        <v/>
      </c>
    </row>
    <row r="270" spans="1:9">
      <c r="A270">
        <f>CSV!B270</f>
        <v>0</v>
      </c>
      <c r="B270" s="13" t="e">
        <f>INDEX(Input!$D$2:$AC$500,
       MATCH(CPU_Formula!A270, Input!$J$2:$J$500, 0),
       MATCH("CPU model", Input!$D$1:$AC$1, 0))</f>
        <v>#N/A</v>
      </c>
      <c r="C270" s="13" t="str">
        <f t="shared" si="40"/>
        <v/>
      </c>
      <c r="D270" s="13" t="str">
        <f t="shared" si="41"/>
        <v/>
      </c>
      <c r="E270" s="13" t="str">
        <f t="shared" si="42"/>
        <v/>
      </c>
      <c r="F270" s="13" t="str">
        <f t="shared" si="43"/>
        <v/>
      </c>
      <c r="G270" s="13" t="str">
        <f t="shared" si="44"/>
        <v/>
      </c>
      <c r="H270" s="13" t="str">
        <f t="shared" si="45"/>
        <v/>
      </c>
      <c r="I270" t="str">
        <f t="shared" si="46"/>
        <v/>
      </c>
    </row>
    <row r="271" spans="1:9">
      <c r="A271">
        <f>CSV!B271</f>
        <v>0</v>
      </c>
      <c r="B271" s="13" t="e">
        <f>INDEX(Input!$D$2:$AC$500,
       MATCH(CPU_Formula!A271, Input!$J$2:$J$500, 0),
       MATCH("CPU model", Input!$D$1:$AC$1, 0))</f>
        <v>#N/A</v>
      </c>
      <c r="C271" s="13" t="str">
        <f t="shared" si="40"/>
        <v/>
      </c>
      <c r="D271" s="13" t="str">
        <f t="shared" si="41"/>
        <v/>
      </c>
      <c r="E271" s="13" t="str">
        <f t="shared" si="42"/>
        <v/>
      </c>
      <c r="F271" s="13" t="str">
        <f t="shared" si="43"/>
        <v/>
      </c>
      <c r="G271" s="13" t="str">
        <f t="shared" si="44"/>
        <v/>
      </c>
      <c r="H271" s="13" t="str">
        <f t="shared" si="45"/>
        <v/>
      </c>
      <c r="I271" t="str">
        <f t="shared" si="46"/>
        <v/>
      </c>
    </row>
    <row r="272" spans="1:9">
      <c r="A272">
        <f>CSV!B272</f>
        <v>0</v>
      </c>
      <c r="B272" s="13" t="e">
        <f>INDEX(Input!$D$2:$AC$500,
       MATCH(CPU_Formula!A272, Input!$J$2:$J$500, 0),
       MATCH("CPU model", Input!$D$1:$AC$1, 0))</f>
        <v>#N/A</v>
      </c>
      <c r="C272" s="13" t="str">
        <f t="shared" si="40"/>
        <v/>
      </c>
      <c r="D272" s="13" t="str">
        <f t="shared" si="41"/>
        <v/>
      </c>
      <c r="E272" s="13" t="str">
        <f t="shared" si="42"/>
        <v/>
      </c>
      <c r="F272" s="13" t="str">
        <f t="shared" si="43"/>
        <v/>
      </c>
      <c r="G272" s="13" t="str">
        <f t="shared" si="44"/>
        <v/>
      </c>
      <c r="H272" s="13" t="str">
        <f t="shared" si="45"/>
        <v/>
      </c>
      <c r="I272" t="str">
        <f t="shared" si="46"/>
        <v/>
      </c>
    </row>
    <row r="273" spans="1:9">
      <c r="A273">
        <f>CSV!B273</f>
        <v>0</v>
      </c>
      <c r="B273" s="13" t="e">
        <f>INDEX(Input!$D$2:$AC$500,
       MATCH(CPU_Formula!A273, Input!$J$2:$J$500, 0),
       MATCH("CPU model", Input!$D$1:$AC$1, 0))</f>
        <v>#N/A</v>
      </c>
      <c r="C273" s="13" t="str">
        <f t="shared" si="40"/>
        <v/>
      </c>
      <c r="D273" s="13" t="str">
        <f t="shared" si="41"/>
        <v/>
      </c>
      <c r="E273" s="13" t="str">
        <f t="shared" si="42"/>
        <v/>
      </c>
      <c r="F273" s="13" t="str">
        <f t="shared" si="43"/>
        <v/>
      </c>
      <c r="G273" s="13" t="str">
        <f t="shared" si="44"/>
        <v/>
      </c>
      <c r="H273" s="13" t="str">
        <f t="shared" si="45"/>
        <v/>
      </c>
      <c r="I273" t="str">
        <f t="shared" si="46"/>
        <v/>
      </c>
    </row>
    <row r="274" spans="1:9">
      <c r="A274">
        <f>CSV!B274</f>
        <v>0</v>
      </c>
      <c r="B274" s="13" t="e">
        <f>INDEX(Input!$D$2:$AC$500,
       MATCH(CPU_Formula!A274, Input!$J$2:$J$500, 0),
       MATCH("CPU model", Input!$D$1:$AC$1, 0))</f>
        <v>#N/A</v>
      </c>
      <c r="C274" s="13" t="str">
        <f t="shared" si="40"/>
        <v/>
      </c>
      <c r="D274" s="13" t="str">
        <f t="shared" si="41"/>
        <v/>
      </c>
      <c r="E274" s="13" t="str">
        <f t="shared" si="42"/>
        <v/>
      </c>
      <c r="F274" s="13" t="str">
        <f t="shared" si="43"/>
        <v/>
      </c>
      <c r="G274" s="13" t="str">
        <f t="shared" si="44"/>
        <v/>
      </c>
      <c r="H274" s="13" t="str">
        <f t="shared" si="45"/>
        <v/>
      </c>
      <c r="I274" t="str">
        <f t="shared" si="46"/>
        <v/>
      </c>
    </row>
    <row r="275" spans="1:9">
      <c r="A275">
        <f>CSV!B275</f>
        <v>0</v>
      </c>
      <c r="B275" s="13" t="e">
        <f>INDEX(Input!$D$2:$AC$500,
       MATCH(CPU_Formula!A275, Input!$J$2:$J$500, 0),
       MATCH("CPU model", Input!$D$1:$AC$1, 0))</f>
        <v>#N/A</v>
      </c>
      <c r="C275" s="13" t="str">
        <f t="shared" si="40"/>
        <v/>
      </c>
      <c r="D275" s="13" t="str">
        <f t="shared" si="41"/>
        <v/>
      </c>
      <c r="E275" s="13" t="str">
        <f t="shared" si="42"/>
        <v/>
      </c>
      <c r="F275" s="13" t="str">
        <f t="shared" si="43"/>
        <v/>
      </c>
      <c r="G275" s="13" t="str">
        <f t="shared" si="44"/>
        <v/>
      </c>
      <c r="H275" s="13" t="str">
        <f t="shared" si="45"/>
        <v/>
      </c>
      <c r="I275" t="str">
        <f t="shared" si="46"/>
        <v/>
      </c>
    </row>
    <row r="276" spans="1:9">
      <c r="A276">
        <f>CSV!B276</f>
        <v>0</v>
      </c>
      <c r="B276" s="13" t="e">
        <f>INDEX(Input!$D$2:$AC$500,
       MATCH(CPU_Formula!A276, Input!$J$2:$J$500, 0),
       MATCH("CPU model", Input!$D$1:$AC$1, 0))</f>
        <v>#N/A</v>
      </c>
      <c r="C276" s="13" t="str">
        <f t="shared" si="40"/>
        <v/>
      </c>
      <c r="D276" s="13" t="str">
        <f t="shared" si="41"/>
        <v/>
      </c>
      <c r="E276" s="13" t="str">
        <f t="shared" si="42"/>
        <v/>
      </c>
      <c r="F276" s="13" t="str">
        <f t="shared" si="43"/>
        <v/>
      </c>
      <c r="G276" s="13" t="str">
        <f t="shared" si="44"/>
        <v/>
      </c>
      <c r="H276" s="13" t="str">
        <f t="shared" si="45"/>
        <v/>
      </c>
      <c r="I276" t="str">
        <f t="shared" si="46"/>
        <v/>
      </c>
    </row>
    <row r="277" spans="1:9">
      <c r="A277">
        <f>CSV!B277</f>
        <v>0</v>
      </c>
      <c r="B277" s="13" t="e">
        <f>INDEX(Input!$D$2:$AC$500,
       MATCH(CPU_Formula!A277, Input!$J$2:$J$500, 0),
       MATCH("CPU model", Input!$D$1:$AC$1, 0))</f>
        <v>#N/A</v>
      </c>
      <c r="C277" s="13" t="str">
        <f t="shared" si="40"/>
        <v/>
      </c>
      <c r="D277" s="13" t="str">
        <f t="shared" si="41"/>
        <v/>
      </c>
      <c r="E277" s="13" t="str">
        <f t="shared" si="42"/>
        <v/>
      </c>
      <c r="F277" s="13" t="str">
        <f t="shared" si="43"/>
        <v/>
      </c>
      <c r="G277" s="13" t="str">
        <f t="shared" si="44"/>
        <v/>
      </c>
      <c r="H277" s="13" t="str">
        <f t="shared" si="45"/>
        <v/>
      </c>
      <c r="I277" t="str">
        <f t="shared" si="46"/>
        <v/>
      </c>
    </row>
    <row r="278" spans="1:9">
      <c r="A278">
        <f>CSV!B278</f>
        <v>0</v>
      </c>
      <c r="B278" s="13" t="e">
        <f>INDEX(Input!$D$2:$AC$500,
       MATCH(CPU_Formula!A278, Input!$J$2:$J$500, 0),
       MATCH("CPU model", Input!$D$1:$AC$1, 0))</f>
        <v>#N/A</v>
      </c>
      <c r="C278" s="13" t="str">
        <f t="shared" si="40"/>
        <v/>
      </c>
      <c r="D278" s="13" t="str">
        <f t="shared" si="41"/>
        <v/>
      </c>
      <c r="E278" s="13" t="str">
        <f t="shared" si="42"/>
        <v/>
      </c>
      <c r="F278" s="13" t="str">
        <f t="shared" si="43"/>
        <v/>
      </c>
      <c r="G278" s="13" t="str">
        <f t="shared" si="44"/>
        <v/>
      </c>
      <c r="H278" s="13" t="str">
        <f t="shared" si="45"/>
        <v/>
      </c>
      <c r="I278" t="str">
        <f t="shared" si="46"/>
        <v/>
      </c>
    </row>
    <row r="279" spans="1:9">
      <c r="A279">
        <f>CSV!B279</f>
        <v>0</v>
      </c>
      <c r="B279" s="13" t="e">
        <f>INDEX(Input!$D$2:$AC$500,
       MATCH(CPU_Formula!A279, Input!$J$2:$J$500, 0),
       MATCH("CPU model", Input!$D$1:$AC$1, 0))</f>
        <v>#N/A</v>
      </c>
      <c r="C279" s="13" t="str">
        <f t="shared" si="40"/>
        <v/>
      </c>
      <c r="D279" s="13" t="str">
        <f t="shared" si="41"/>
        <v/>
      </c>
      <c r="E279" s="13" t="str">
        <f t="shared" si="42"/>
        <v/>
      </c>
      <c r="F279" s="13" t="str">
        <f t="shared" si="43"/>
        <v/>
      </c>
      <c r="G279" s="13" t="str">
        <f t="shared" si="44"/>
        <v/>
      </c>
      <c r="H279" s="13" t="str">
        <f t="shared" si="45"/>
        <v/>
      </c>
      <c r="I279" t="str">
        <f t="shared" si="46"/>
        <v/>
      </c>
    </row>
    <row r="280" spans="1:9">
      <c r="A280">
        <f>CSV!B280</f>
        <v>0</v>
      </c>
      <c r="B280" s="13" t="e">
        <f>INDEX(Input!$D$2:$AC$500,
       MATCH(CPU_Formula!A280, Input!$J$2:$J$500, 0),
       MATCH("CPU model", Input!$D$1:$AC$1, 0))</f>
        <v>#N/A</v>
      </c>
      <c r="C280" s="13" t="str">
        <f t="shared" si="40"/>
        <v/>
      </c>
      <c r="D280" s="13" t="str">
        <f t="shared" si="41"/>
        <v/>
      </c>
      <c r="E280" s="13" t="str">
        <f t="shared" si="42"/>
        <v/>
      </c>
      <c r="F280" s="13" t="str">
        <f t="shared" si="43"/>
        <v/>
      </c>
      <c r="G280" s="13" t="str">
        <f t="shared" si="44"/>
        <v/>
      </c>
      <c r="H280" s="13" t="str">
        <f t="shared" si="45"/>
        <v/>
      </c>
      <c r="I280" t="str">
        <f t="shared" si="46"/>
        <v/>
      </c>
    </row>
    <row r="281" spans="1:9">
      <c r="A281">
        <f>CSV!B281</f>
        <v>0</v>
      </c>
      <c r="B281" s="13" t="e">
        <f>INDEX(Input!$D$2:$AC$500,
       MATCH(CPU_Formula!A281, Input!$J$2:$J$500, 0),
       MATCH("CPU model", Input!$D$1:$AC$1, 0))</f>
        <v>#N/A</v>
      </c>
      <c r="C281" s="13" t="str">
        <f t="shared" si="40"/>
        <v/>
      </c>
      <c r="D281" s="13" t="str">
        <f t="shared" si="41"/>
        <v/>
      </c>
      <c r="E281" s="13" t="str">
        <f t="shared" si="42"/>
        <v/>
      </c>
      <c r="F281" s="13" t="str">
        <f t="shared" si="43"/>
        <v/>
      </c>
      <c r="G281" s="13" t="str">
        <f t="shared" si="44"/>
        <v/>
      </c>
      <c r="H281" s="13" t="str">
        <f t="shared" si="45"/>
        <v/>
      </c>
      <c r="I281" t="str">
        <f t="shared" si="46"/>
        <v/>
      </c>
    </row>
    <row r="282" spans="1:9">
      <c r="A282">
        <f>CSV!B282</f>
        <v>0</v>
      </c>
      <c r="B282" s="13" t="e">
        <f>INDEX(Input!$D$2:$AC$500,
       MATCH(CPU_Formula!A282, Input!$J$2:$J$500, 0),
       MATCH("CPU model", Input!$D$1:$AC$1, 0))</f>
        <v>#N/A</v>
      </c>
      <c r="C282" s="13" t="str">
        <f t="shared" si="40"/>
        <v/>
      </c>
      <c r="D282" s="13" t="str">
        <f t="shared" si="41"/>
        <v/>
      </c>
      <c r="E282" s="13" t="str">
        <f t="shared" si="42"/>
        <v/>
      </c>
      <c r="F282" s="13" t="str">
        <f t="shared" si="43"/>
        <v/>
      </c>
      <c r="G282" s="13" t="str">
        <f t="shared" si="44"/>
        <v/>
      </c>
      <c r="H282" s="13" t="str">
        <f t="shared" si="45"/>
        <v/>
      </c>
      <c r="I282" t="str">
        <f t="shared" si="46"/>
        <v/>
      </c>
    </row>
    <row r="283" spans="1:9">
      <c r="A283">
        <f>CSV!B283</f>
        <v>0</v>
      </c>
      <c r="B283" s="13" t="e">
        <f>INDEX(Input!$D$2:$AC$500,
       MATCH(CPU_Formula!A283, Input!$J$2:$J$500, 0),
       MATCH("CPU model", Input!$D$1:$AC$1, 0))</f>
        <v>#N/A</v>
      </c>
      <c r="C283" s="13" t="str">
        <f t="shared" si="40"/>
        <v/>
      </c>
      <c r="D283" s="13" t="str">
        <f t="shared" si="41"/>
        <v/>
      </c>
      <c r="E283" s="13" t="str">
        <f t="shared" si="42"/>
        <v/>
      </c>
      <c r="F283" s="13" t="str">
        <f t="shared" si="43"/>
        <v/>
      </c>
      <c r="G283" s="13" t="str">
        <f t="shared" si="44"/>
        <v/>
      </c>
      <c r="H283" s="13" t="str">
        <f t="shared" si="45"/>
        <v/>
      </c>
      <c r="I283" t="str">
        <f t="shared" si="46"/>
        <v/>
      </c>
    </row>
    <row r="284" spans="1:9">
      <c r="A284">
        <f>CSV!B284</f>
        <v>0</v>
      </c>
      <c r="B284" s="13" t="e">
        <f>INDEX(Input!$D$2:$AC$500,
       MATCH(CPU_Formula!A284, Input!$J$2:$J$500, 0),
       MATCH("CPU model", Input!$D$1:$AC$1, 0))</f>
        <v>#N/A</v>
      </c>
      <c r="C284" s="13" t="str">
        <f t="shared" si="40"/>
        <v/>
      </c>
      <c r="D284" s="13" t="str">
        <f t="shared" si="41"/>
        <v/>
      </c>
      <c r="E284" s="13" t="str">
        <f t="shared" si="42"/>
        <v/>
      </c>
      <c r="F284" s="13" t="str">
        <f t="shared" si="43"/>
        <v/>
      </c>
      <c r="G284" s="13" t="str">
        <f t="shared" si="44"/>
        <v/>
      </c>
      <c r="H284" s="13" t="str">
        <f t="shared" si="45"/>
        <v/>
      </c>
      <c r="I284" t="str">
        <f t="shared" si="46"/>
        <v/>
      </c>
    </row>
    <row r="285" spans="1:9">
      <c r="A285">
        <f>CSV!B285</f>
        <v>0</v>
      </c>
      <c r="B285" s="13" t="e">
        <f>INDEX(Input!$D$2:$AC$500,
       MATCH(CPU_Formula!A285, Input!$J$2:$J$500, 0),
       MATCH("CPU model", Input!$D$1:$AC$1, 0))</f>
        <v>#N/A</v>
      </c>
      <c r="C285" s="13" t="str">
        <f t="shared" si="40"/>
        <v/>
      </c>
      <c r="D285" s="13" t="str">
        <f t="shared" si="41"/>
        <v/>
      </c>
      <c r="E285" s="13" t="str">
        <f t="shared" si="42"/>
        <v/>
      </c>
      <c r="F285" s="13" t="str">
        <f t="shared" si="43"/>
        <v/>
      </c>
      <c r="G285" s="13" t="str">
        <f t="shared" si="44"/>
        <v/>
      </c>
      <c r="H285" s="13" t="str">
        <f t="shared" si="45"/>
        <v/>
      </c>
      <c r="I285" t="str">
        <f t="shared" si="46"/>
        <v/>
      </c>
    </row>
    <row r="286" spans="1:9">
      <c r="A286">
        <f>CSV!B286</f>
        <v>0</v>
      </c>
      <c r="B286" s="13" t="e">
        <f>INDEX(Input!$D$2:$AC$500,
       MATCH(CPU_Formula!A286, Input!$J$2:$J$500, 0),
       MATCH("CPU model", Input!$D$1:$AC$1, 0))</f>
        <v>#N/A</v>
      </c>
      <c r="C286" s="13" t="str">
        <f t="shared" si="40"/>
        <v/>
      </c>
      <c r="D286" s="13" t="str">
        <f t="shared" si="41"/>
        <v/>
      </c>
      <c r="E286" s="13" t="str">
        <f t="shared" si="42"/>
        <v/>
      </c>
      <c r="F286" s="13" t="str">
        <f t="shared" si="43"/>
        <v/>
      </c>
      <c r="G286" s="13" t="str">
        <f t="shared" si="44"/>
        <v/>
      </c>
      <c r="H286" s="13" t="str">
        <f t="shared" si="45"/>
        <v/>
      </c>
      <c r="I286" t="str">
        <f t="shared" si="46"/>
        <v/>
      </c>
    </row>
    <row r="287" spans="1:9">
      <c r="A287">
        <f>CSV!B287</f>
        <v>0</v>
      </c>
      <c r="B287" s="13" t="e">
        <f>INDEX(Input!$D$2:$AC$500,
       MATCH(CPU_Formula!A287, Input!$J$2:$J$500, 0),
       MATCH("CPU model", Input!$D$1:$AC$1, 0))</f>
        <v>#N/A</v>
      </c>
      <c r="C287" s="13" t="str">
        <f t="shared" si="40"/>
        <v/>
      </c>
      <c r="D287" s="13" t="str">
        <f t="shared" si="41"/>
        <v/>
      </c>
      <c r="E287" s="13" t="str">
        <f t="shared" si="42"/>
        <v/>
      </c>
      <c r="F287" s="13" t="str">
        <f t="shared" si="43"/>
        <v/>
      </c>
      <c r="G287" s="13" t="str">
        <f t="shared" si="44"/>
        <v/>
      </c>
      <c r="H287" s="13" t="str">
        <f t="shared" si="45"/>
        <v/>
      </c>
      <c r="I287" t="str">
        <f t="shared" si="46"/>
        <v/>
      </c>
    </row>
    <row r="288" spans="1:9">
      <c r="A288">
        <f>CSV!B288</f>
        <v>0</v>
      </c>
      <c r="B288" s="13" t="e">
        <f>INDEX(Input!$D$2:$AC$500,
       MATCH(CPU_Formula!A288, Input!$J$2:$J$500, 0),
       MATCH("CPU model", Input!$D$1:$AC$1, 0))</f>
        <v>#N/A</v>
      </c>
      <c r="C288" s="13" t="str">
        <f t="shared" si="40"/>
        <v/>
      </c>
      <c r="D288" s="13" t="str">
        <f t="shared" si="41"/>
        <v/>
      </c>
      <c r="E288" s="13" t="str">
        <f t="shared" si="42"/>
        <v/>
      </c>
      <c r="F288" s="13" t="str">
        <f t="shared" si="43"/>
        <v/>
      </c>
      <c r="G288" s="13" t="str">
        <f t="shared" si="44"/>
        <v/>
      </c>
      <c r="H288" s="13" t="str">
        <f t="shared" si="45"/>
        <v/>
      </c>
      <c r="I288" t="str">
        <f t="shared" si="46"/>
        <v/>
      </c>
    </row>
    <row r="289" spans="1:9">
      <c r="A289">
        <f>CSV!B289</f>
        <v>0</v>
      </c>
      <c r="B289" s="13" t="e">
        <f>INDEX(Input!$D$2:$AC$500,
       MATCH(CPU_Formula!A289, Input!$J$2:$J$500, 0),
       MATCH("CPU model", Input!$D$1:$AC$1, 0))</f>
        <v>#N/A</v>
      </c>
      <c r="C289" s="13" t="str">
        <f t="shared" si="40"/>
        <v/>
      </c>
      <c r="D289" s="13" t="str">
        <f t="shared" si="41"/>
        <v/>
      </c>
      <c r="E289" s="13" t="str">
        <f t="shared" si="42"/>
        <v/>
      </c>
      <c r="F289" s="13" t="str">
        <f t="shared" si="43"/>
        <v/>
      </c>
      <c r="G289" s="13" t="str">
        <f t="shared" si="44"/>
        <v/>
      </c>
      <c r="H289" s="13" t="str">
        <f t="shared" si="45"/>
        <v/>
      </c>
      <c r="I289" t="str">
        <f t="shared" si="46"/>
        <v/>
      </c>
    </row>
    <row r="290" spans="1:9">
      <c r="A290">
        <f>CSV!B290</f>
        <v>0</v>
      </c>
      <c r="B290" s="13" t="e">
        <f>INDEX(Input!$D$2:$AC$500,
       MATCH(CPU_Formula!A290, Input!$J$2:$J$500, 0),
       MATCH("CPU model", Input!$D$1:$AC$1, 0))</f>
        <v>#N/A</v>
      </c>
      <c r="C290" s="13" t="str">
        <f t="shared" si="40"/>
        <v/>
      </c>
      <c r="D290" s="13" t="str">
        <f t="shared" si="41"/>
        <v/>
      </c>
      <c r="E290" s="13" t="str">
        <f t="shared" si="42"/>
        <v/>
      </c>
      <c r="F290" s="13" t="str">
        <f t="shared" si="43"/>
        <v/>
      </c>
      <c r="G290" s="13" t="str">
        <f t="shared" si="44"/>
        <v/>
      </c>
      <c r="H290" s="13" t="str">
        <f t="shared" si="45"/>
        <v/>
      </c>
      <c r="I290" t="str">
        <f t="shared" si="46"/>
        <v/>
      </c>
    </row>
    <row r="291" spans="1:9">
      <c r="A291">
        <f>CSV!B291</f>
        <v>0</v>
      </c>
      <c r="B291" s="13" t="e">
        <f>INDEX(Input!$D$2:$AC$500,
       MATCH(CPU_Formula!A291, Input!$J$2:$J$500, 0),
       MATCH("CPU model", Input!$D$1:$AC$1, 0))</f>
        <v>#N/A</v>
      </c>
      <c r="C291" s="13" t="str">
        <f t="shared" si="40"/>
        <v/>
      </c>
      <c r="D291" s="13" t="str">
        <f t="shared" si="41"/>
        <v/>
      </c>
      <c r="E291" s="13" t="str">
        <f t="shared" si="42"/>
        <v/>
      </c>
      <c r="F291" s="13" t="str">
        <f t="shared" si="43"/>
        <v/>
      </c>
      <c r="G291" s="13" t="str">
        <f t="shared" si="44"/>
        <v/>
      </c>
      <c r="H291" s="13" t="str">
        <f t="shared" si="45"/>
        <v/>
      </c>
      <c r="I291" t="str">
        <f t="shared" si="46"/>
        <v/>
      </c>
    </row>
    <row r="292" spans="1:9">
      <c r="A292">
        <f>CSV!B292</f>
        <v>0</v>
      </c>
      <c r="B292" s="13" t="e">
        <f>INDEX(Input!$D$2:$AC$500,
       MATCH(CPU_Formula!A292, Input!$J$2:$J$500, 0),
       MATCH("CPU model", Input!$D$1:$AC$1, 0))</f>
        <v>#N/A</v>
      </c>
      <c r="C292" s="13" t="str">
        <f t="shared" si="40"/>
        <v/>
      </c>
      <c r="D292" s="13" t="str">
        <f t="shared" si="41"/>
        <v/>
      </c>
      <c r="E292" s="13" t="str">
        <f t="shared" si="42"/>
        <v/>
      </c>
      <c r="F292" s="13" t="str">
        <f t="shared" si="43"/>
        <v/>
      </c>
      <c r="G292" s="13" t="str">
        <f t="shared" si="44"/>
        <v/>
      </c>
      <c r="H292" s="13" t="str">
        <f t="shared" si="45"/>
        <v/>
      </c>
      <c r="I292" t="str">
        <f t="shared" si="46"/>
        <v/>
      </c>
    </row>
    <row r="293" spans="1:9">
      <c r="A293">
        <f>CSV!B293</f>
        <v>0</v>
      </c>
      <c r="B293" s="13" t="e">
        <f>INDEX(Input!$D$2:$AC$500,
       MATCH(CPU_Formula!A293, Input!$J$2:$J$500, 0),
       MATCH("CPU model", Input!$D$1:$AC$1, 0))</f>
        <v>#N/A</v>
      </c>
      <c r="C293" s="13" t="str">
        <f t="shared" si="40"/>
        <v/>
      </c>
      <c r="D293" s="13" t="str">
        <f t="shared" si="41"/>
        <v/>
      </c>
      <c r="E293" s="13" t="str">
        <f t="shared" si="42"/>
        <v/>
      </c>
      <c r="F293" s="13" t="str">
        <f t="shared" si="43"/>
        <v/>
      </c>
      <c r="G293" s="13" t="str">
        <f t="shared" si="44"/>
        <v/>
      </c>
      <c r="H293" s="13" t="str">
        <f t="shared" si="45"/>
        <v/>
      </c>
      <c r="I293" t="str">
        <f t="shared" si="46"/>
        <v/>
      </c>
    </row>
    <row r="294" spans="1:9">
      <c r="A294">
        <f>CSV!B294</f>
        <v>0</v>
      </c>
      <c r="B294" s="13" t="e">
        <f>INDEX(Input!$D$2:$AC$500,
       MATCH(CPU_Formula!A294, Input!$J$2:$J$500, 0),
       MATCH("CPU model", Input!$D$1:$AC$1, 0))</f>
        <v>#N/A</v>
      </c>
      <c r="C294" s="13" t="str">
        <f t="shared" si="40"/>
        <v/>
      </c>
      <c r="D294" s="13" t="str">
        <f t="shared" si="41"/>
        <v/>
      </c>
      <c r="E294" s="13" t="str">
        <f t="shared" si="42"/>
        <v/>
      </c>
      <c r="F294" s="13" t="str">
        <f t="shared" si="43"/>
        <v/>
      </c>
      <c r="G294" s="13" t="str">
        <f t="shared" si="44"/>
        <v/>
      </c>
      <c r="H294" s="13" t="str">
        <f t="shared" si="45"/>
        <v/>
      </c>
      <c r="I294" t="str">
        <f t="shared" si="46"/>
        <v/>
      </c>
    </row>
    <row r="295" spans="1:9">
      <c r="A295">
        <f>CSV!B295</f>
        <v>0</v>
      </c>
      <c r="B295" s="13" t="e">
        <f>INDEX(Input!$D$2:$AC$500,
       MATCH(CPU_Formula!A295, Input!$J$2:$J$500, 0),
       MATCH("CPU model", Input!$D$1:$AC$1, 0))</f>
        <v>#N/A</v>
      </c>
      <c r="C295" s="13" t="str">
        <f t="shared" si="40"/>
        <v/>
      </c>
      <c r="D295" s="13" t="str">
        <f t="shared" si="41"/>
        <v/>
      </c>
      <c r="E295" s="13" t="str">
        <f t="shared" si="42"/>
        <v/>
      </c>
      <c r="F295" s="13" t="str">
        <f t="shared" si="43"/>
        <v/>
      </c>
      <c r="G295" s="13" t="str">
        <f t="shared" si="44"/>
        <v/>
      </c>
      <c r="H295" s="13" t="str">
        <f t="shared" si="45"/>
        <v/>
      </c>
      <c r="I295" t="str">
        <f t="shared" si="46"/>
        <v/>
      </c>
    </row>
    <row r="296" spans="1:9">
      <c r="A296">
        <f>CSV!B296</f>
        <v>0</v>
      </c>
      <c r="B296" s="13" t="e">
        <f>INDEX(Input!$D$2:$AC$500,
       MATCH(CPU_Formula!A296, Input!$J$2:$J$500, 0),
       MATCH("CPU model", Input!$D$1:$AC$1, 0))</f>
        <v>#N/A</v>
      </c>
      <c r="C296" s="13" t="str">
        <f t="shared" ref="C296:C359" si="47">IFERROR(_xlfn.TEXTAFTER(B296,"Core(TM) "),IFERROR(_xlfn.TEXTAFTER(B296,"Xeon(R) CPU"),""))</f>
        <v/>
      </c>
      <c r="D296" s="13" t="str">
        <f t="shared" ref="D296:D359" si="48">IFERROR(_xlfn.TEXTAFTER(B296,"Ryzen "), "")</f>
        <v/>
      </c>
      <c r="E296" s="13" t="str">
        <f t="shared" ref="E296:E359" si="49">IF(ISNUMBER(SEARCH("Ultra", B296)), "Ultra"&amp;_xlfn.TEXTAFTER(B296, "Ultra"), "")</f>
        <v/>
      </c>
      <c r="F296" s="13" t="str">
        <f t="shared" ref="F296:F359" si="50">IF(C296&lt;&gt;"", TRIM(_xlfn.TEXTBEFORE(C296," ",,1,1)), "")</f>
        <v/>
      </c>
      <c r="G296" s="13" t="str">
        <f t="shared" ref="G296:G359" si="51">IF(D296&lt;&gt;"", TRIM(_xlfn.TEXTBEFORE(D296," ",,1)), "")</f>
        <v/>
      </c>
      <c r="H296" s="13" t="str">
        <f t="shared" ref="H296:H359" si="52">E296</f>
        <v/>
      </c>
      <c r="I296" t="str">
        <f t="shared" ref="I296:I359" si="53">IF(H296&lt;&gt;"",H296,IF(G296&lt;&gt;"",G296,F296))</f>
        <v/>
      </c>
    </row>
    <row r="297" spans="1:9">
      <c r="A297">
        <f>CSV!B297</f>
        <v>0</v>
      </c>
      <c r="B297" s="13" t="e">
        <f>INDEX(Input!$D$2:$AC$500,
       MATCH(CPU_Formula!A297, Input!$J$2:$J$500, 0),
       MATCH("CPU model", Input!$D$1:$AC$1, 0))</f>
        <v>#N/A</v>
      </c>
      <c r="C297" s="13" t="str">
        <f t="shared" si="47"/>
        <v/>
      </c>
      <c r="D297" s="13" t="str">
        <f t="shared" si="48"/>
        <v/>
      </c>
      <c r="E297" s="13" t="str">
        <f t="shared" si="49"/>
        <v/>
      </c>
      <c r="F297" s="13" t="str">
        <f t="shared" si="50"/>
        <v/>
      </c>
      <c r="G297" s="13" t="str">
        <f t="shared" si="51"/>
        <v/>
      </c>
      <c r="H297" s="13" t="str">
        <f t="shared" si="52"/>
        <v/>
      </c>
      <c r="I297" t="str">
        <f t="shared" si="53"/>
        <v/>
      </c>
    </row>
    <row r="298" spans="1:9">
      <c r="A298">
        <f>CSV!B298</f>
        <v>0</v>
      </c>
      <c r="B298" s="13" t="e">
        <f>INDEX(Input!$D$2:$AC$500,
       MATCH(CPU_Formula!A298, Input!$J$2:$J$500, 0),
       MATCH("CPU model", Input!$D$1:$AC$1, 0))</f>
        <v>#N/A</v>
      </c>
      <c r="C298" s="13" t="str">
        <f t="shared" si="47"/>
        <v/>
      </c>
      <c r="D298" s="13" t="str">
        <f t="shared" si="48"/>
        <v/>
      </c>
      <c r="E298" s="13" t="str">
        <f t="shared" si="49"/>
        <v/>
      </c>
      <c r="F298" s="13" t="str">
        <f t="shared" si="50"/>
        <v/>
      </c>
      <c r="G298" s="13" t="str">
        <f t="shared" si="51"/>
        <v/>
      </c>
      <c r="H298" s="13" t="str">
        <f t="shared" si="52"/>
        <v/>
      </c>
      <c r="I298" t="str">
        <f t="shared" si="53"/>
        <v/>
      </c>
    </row>
    <row r="299" spans="1:9">
      <c r="A299">
        <f>CSV!B299</f>
        <v>0</v>
      </c>
      <c r="B299" s="13" t="e">
        <f>INDEX(Input!$D$2:$AC$500,
       MATCH(CPU_Formula!A299, Input!$J$2:$J$500, 0),
       MATCH("CPU model", Input!$D$1:$AC$1, 0))</f>
        <v>#N/A</v>
      </c>
      <c r="C299" s="13" t="str">
        <f t="shared" si="47"/>
        <v/>
      </c>
      <c r="D299" s="13" t="str">
        <f t="shared" si="48"/>
        <v/>
      </c>
      <c r="E299" s="13" t="str">
        <f t="shared" si="49"/>
        <v/>
      </c>
      <c r="F299" s="13" t="str">
        <f t="shared" si="50"/>
        <v/>
      </c>
      <c r="G299" s="13" t="str">
        <f t="shared" si="51"/>
        <v/>
      </c>
      <c r="H299" s="13" t="str">
        <f t="shared" si="52"/>
        <v/>
      </c>
      <c r="I299" t="str">
        <f t="shared" si="53"/>
        <v/>
      </c>
    </row>
    <row r="300" spans="1:9">
      <c r="A300">
        <f>CSV!B300</f>
        <v>0</v>
      </c>
      <c r="B300" s="13" t="e">
        <f>INDEX(Input!$D$2:$AC$500,
       MATCH(CPU_Formula!A300, Input!$J$2:$J$500, 0),
       MATCH("CPU model", Input!$D$1:$AC$1, 0))</f>
        <v>#N/A</v>
      </c>
      <c r="C300" s="13" t="str">
        <f t="shared" si="47"/>
        <v/>
      </c>
      <c r="D300" s="13" t="str">
        <f t="shared" si="48"/>
        <v/>
      </c>
      <c r="E300" s="13" t="str">
        <f t="shared" si="49"/>
        <v/>
      </c>
      <c r="F300" s="13" t="str">
        <f t="shared" si="50"/>
        <v/>
      </c>
      <c r="G300" s="13" t="str">
        <f t="shared" si="51"/>
        <v/>
      </c>
      <c r="H300" s="13" t="str">
        <f t="shared" si="52"/>
        <v/>
      </c>
      <c r="I300" t="str">
        <f t="shared" si="53"/>
        <v/>
      </c>
    </row>
    <row r="301" spans="1:9">
      <c r="A301">
        <f>CSV!B301</f>
        <v>0</v>
      </c>
      <c r="B301" s="13" t="e">
        <f>INDEX(Input!$D$2:$AC$500,
       MATCH(CPU_Formula!A301, Input!$J$2:$J$500, 0),
       MATCH("CPU model", Input!$D$1:$AC$1, 0))</f>
        <v>#N/A</v>
      </c>
      <c r="C301" s="13" t="str">
        <f t="shared" si="47"/>
        <v/>
      </c>
      <c r="D301" s="13" t="str">
        <f t="shared" si="48"/>
        <v/>
      </c>
      <c r="E301" s="13" t="str">
        <f t="shared" si="49"/>
        <v/>
      </c>
      <c r="F301" s="13" t="str">
        <f t="shared" si="50"/>
        <v/>
      </c>
      <c r="G301" s="13" t="str">
        <f t="shared" si="51"/>
        <v/>
      </c>
      <c r="H301" s="13" t="str">
        <f t="shared" si="52"/>
        <v/>
      </c>
      <c r="I301" t="str">
        <f t="shared" si="53"/>
        <v/>
      </c>
    </row>
    <row r="302" spans="1:9">
      <c r="A302">
        <f>CSV!B302</f>
        <v>0</v>
      </c>
      <c r="B302" s="13" t="e">
        <f>INDEX(Input!$D$2:$AC$500,
       MATCH(CPU_Formula!A302, Input!$J$2:$J$500, 0),
       MATCH("CPU model", Input!$D$1:$AC$1, 0))</f>
        <v>#N/A</v>
      </c>
      <c r="C302" s="13" t="str">
        <f t="shared" si="47"/>
        <v/>
      </c>
      <c r="D302" s="13" t="str">
        <f t="shared" si="48"/>
        <v/>
      </c>
      <c r="E302" s="13" t="str">
        <f t="shared" si="49"/>
        <v/>
      </c>
      <c r="F302" s="13" t="str">
        <f t="shared" si="50"/>
        <v/>
      </c>
      <c r="G302" s="13" t="str">
        <f t="shared" si="51"/>
        <v/>
      </c>
      <c r="H302" s="13" t="str">
        <f t="shared" si="52"/>
        <v/>
      </c>
      <c r="I302" t="str">
        <f t="shared" si="53"/>
        <v/>
      </c>
    </row>
    <row r="303" spans="1:9">
      <c r="A303">
        <f>CSV!B303</f>
        <v>0</v>
      </c>
      <c r="B303" s="13" t="e">
        <f>INDEX(Input!$D$2:$AC$500,
       MATCH(CPU_Formula!A303, Input!$J$2:$J$500, 0),
       MATCH("CPU model", Input!$D$1:$AC$1, 0))</f>
        <v>#N/A</v>
      </c>
      <c r="C303" s="13" t="str">
        <f t="shared" si="47"/>
        <v/>
      </c>
      <c r="D303" s="13" t="str">
        <f t="shared" si="48"/>
        <v/>
      </c>
      <c r="E303" s="13" t="str">
        <f t="shared" si="49"/>
        <v/>
      </c>
      <c r="F303" s="13" t="str">
        <f t="shared" si="50"/>
        <v/>
      </c>
      <c r="G303" s="13" t="str">
        <f t="shared" si="51"/>
        <v/>
      </c>
      <c r="H303" s="13" t="str">
        <f t="shared" si="52"/>
        <v/>
      </c>
      <c r="I303" t="str">
        <f t="shared" si="53"/>
        <v/>
      </c>
    </row>
    <row r="304" spans="1:9">
      <c r="A304">
        <f>CSV!B304</f>
        <v>0</v>
      </c>
      <c r="B304" s="13" t="e">
        <f>INDEX(Input!$D$2:$AC$500,
       MATCH(CPU_Formula!A304, Input!$J$2:$J$500, 0),
       MATCH("CPU model", Input!$D$1:$AC$1, 0))</f>
        <v>#N/A</v>
      </c>
      <c r="C304" s="13" t="str">
        <f t="shared" si="47"/>
        <v/>
      </c>
      <c r="D304" s="13" t="str">
        <f t="shared" si="48"/>
        <v/>
      </c>
      <c r="E304" s="13" t="str">
        <f t="shared" si="49"/>
        <v/>
      </c>
      <c r="F304" s="13" t="str">
        <f t="shared" si="50"/>
        <v/>
      </c>
      <c r="G304" s="13" t="str">
        <f t="shared" si="51"/>
        <v/>
      </c>
      <c r="H304" s="13" t="str">
        <f t="shared" si="52"/>
        <v/>
      </c>
      <c r="I304" t="str">
        <f t="shared" si="53"/>
        <v/>
      </c>
    </row>
    <row r="305" spans="1:9">
      <c r="A305">
        <f>CSV!B305</f>
        <v>0</v>
      </c>
      <c r="B305" s="13" t="e">
        <f>INDEX(Input!$D$2:$AC$500,
       MATCH(CPU_Formula!A305, Input!$J$2:$J$500, 0),
       MATCH("CPU model", Input!$D$1:$AC$1, 0))</f>
        <v>#N/A</v>
      </c>
      <c r="C305" s="13" t="str">
        <f t="shared" si="47"/>
        <v/>
      </c>
      <c r="D305" s="13" t="str">
        <f t="shared" si="48"/>
        <v/>
      </c>
      <c r="E305" s="13" t="str">
        <f t="shared" si="49"/>
        <v/>
      </c>
      <c r="F305" s="13" t="str">
        <f t="shared" si="50"/>
        <v/>
      </c>
      <c r="G305" s="13" t="str">
        <f t="shared" si="51"/>
        <v/>
      </c>
      <c r="H305" s="13" t="str">
        <f t="shared" si="52"/>
        <v/>
      </c>
      <c r="I305" t="str">
        <f t="shared" si="53"/>
        <v/>
      </c>
    </row>
    <row r="306" spans="1:9">
      <c r="A306">
        <f>CSV!B306</f>
        <v>0</v>
      </c>
      <c r="B306" s="13" t="e">
        <f>INDEX(Input!$D$2:$AC$500,
       MATCH(CPU_Formula!A306, Input!$J$2:$J$500, 0),
       MATCH("CPU model", Input!$D$1:$AC$1, 0))</f>
        <v>#N/A</v>
      </c>
      <c r="C306" s="13" t="str">
        <f t="shared" si="47"/>
        <v/>
      </c>
      <c r="D306" s="13" t="str">
        <f t="shared" si="48"/>
        <v/>
      </c>
      <c r="E306" s="13" t="str">
        <f t="shared" si="49"/>
        <v/>
      </c>
      <c r="F306" s="13" t="str">
        <f t="shared" si="50"/>
        <v/>
      </c>
      <c r="G306" s="13" t="str">
        <f t="shared" si="51"/>
        <v/>
      </c>
      <c r="H306" s="13" t="str">
        <f t="shared" si="52"/>
        <v/>
      </c>
      <c r="I306" t="str">
        <f t="shared" si="53"/>
        <v/>
      </c>
    </row>
    <row r="307" spans="1:9">
      <c r="A307">
        <f>CSV!B307</f>
        <v>0</v>
      </c>
      <c r="B307" s="13" t="e">
        <f>INDEX(Input!$D$2:$AC$500,
       MATCH(CPU_Formula!A307, Input!$J$2:$J$500, 0),
       MATCH("CPU model", Input!$D$1:$AC$1, 0))</f>
        <v>#N/A</v>
      </c>
      <c r="C307" s="13" t="str">
        <f t="shared" si="47"/>
        <v/>
      </c>
      <c r="D307" s="13" t="str">
        <f t="shared" si="48"/>
        <v/>
      </c>
      <c r="E307" s="13" t="str">
        <f t="shared" si="49"/>
        <v/>
      </c>
      <c r="F307" s="13" t="str">
        <f t="shared" si="50"/>
        <v/>
      </c>
      <c r="G307" s="13" t="str">
        <f t="shared" si="51"/>
        <v/>
      </c>
      <c r="H307" s="13" t="str">
        <f t="shared" si="52"/>
        <v/>
      </c>
      <c r="I307" t="str">
        <f t="shared" si="53"/>
        <v/>
      </c>
    </row>
    <row r="308" spans="1:9">
      <c r="A308">
        <f>CSV!B308</f>
        <v>0</v>
      </c>
      <c r="B308" s="13" t="e">
        <f>INDEX(Input!$D$2:$AC$500,
       MATCH(CPU_Formula!A308, Input!$J$2:$J$500, 0),
       MATCH("CPU model", Input!$D$1:$AC$1, 0))</f>
        <v>#N/A</v>
      </c>
      <c r="C308" s="13" t="str">
        <f t="shared" si="47"/>
        <v/>
      </c>
      <c r="D308" s="13" t="str">
        <f t="shared" si="48"/>
        <v/>
      </c>
      <c r="E308" s="13" t="str">
        <f t="shared" si="49"/>
        <v/>
      </c>
      <c r="F308" s="13" t="str">
        <f t="shared" si="50"/>
        <v/>
      </c>
      <c r="G308" s="13" t="str">
        <f t="shared" si="51"/>
        <v/>
      </c>
      <c r="H308" s="13" t="str">
        <f t="shared" si="52"/>
        <v/>
      </c>
      <c r="I308" t="str">
        <f t="shared" si="53"/>
        <v/>
      </c>
    </row>
    <row r="309" spans="1:9">
      <c r="A309">
        <f>CSV!B309</f>
        <v>0</v>
      </c>
      <c r="B309" s="13" t="e">
        <f>INDEX(Input!$D$2:$AC$500,
       MATCH(CPU_Formula!A309, Input!$J$2:$J$500, 0),
       MATCH("CPU model", Input!$D$1:$AC$1, 0))</f>
        <v>#N/A</v>
      </c>
      <c r="C309" s="13" t="str">
        <f t="shared" si="47"/>
        <v/>
      </c>
      <c r="D309" s="13" t="str">
        <f t="shared" si="48"/>
        <v/>
      </c>
      <c r="E309" s="13" t="str">
        <f t="shared" si="49"/>
        <v/>
      </c>
      <c r="F309" s="13" t="str">
        <f t="shared" si="50"/>
        <v/>
      </c>
      <c r="G309" s="13" t="str">
        <f t="shared" si="51"/>
        <v/>
      </c>
      <c r="H309" s="13" t="str">
        <f t="shared" si="52"/>
        <v/>
      </c>
      <c r="I309" t="str">
        <f t="shared" si="53"/>
        <v/>
      </c>
    </row>
    <row r="310" spans="1:9">
      <c r="A310">
        <f>CSV!B310</f>
        <v>0</v>
      </c>
      <c r="B310" s="13" t="e">
        <f>INDEX(Input!$D$2:$AC$500,
       MATCH(CPU_Formula!A310, Input!$J$2:$J$500, 0),
       MATCH("CPU model", Input!$D$1:$AC$1, 0))</f>
        <v>#N/A</v>
      </c>
      <c r="C310" s="13" t="str">
        <f t="shared" si="47"/>
        <v/>
      </c>
      <c r="D310" s="13" t="str">
        <f t="shared" si="48"/>
        <v/>
      </c>
      <c r="E310" s="13" t="str">
        <f t="shared" si="49"/>
        <v/>
      </c>
      <c r="F310" s="13" t="str">
        <f t="shared" si="50"/>
        <v/>
      </c>
      <c r="G310" s="13" t="str">
        <f t="shared" si="51"/>
        <v/>
      </c>
      <c r="H310" s="13" t="str">
        <f t="shared" si="52"/>
        <v/>
      </c>
      <c r="I310" t="str">
        <f t="shared" si="53"/>
        <v/>
      </c>
    </row>
    <row r="311" spans="1:9">
      <c r="A311">
        <f>CSV!B311</f>
        <v>0</v>
      </c>
      <c r="B311" s="13" t="e">
        <f>INDEX(Input!$D$2:$AC$500,
       MATCH(CPU_Formula!A311, Input!$J$2:$J$500, 0),
       MATCH("CPU model", Input!$D$1:$AC$1, 0))</f>
        <v>#N/A</v>
      </c>
      <c r="C311" s="13" t="str">
        <f t="shared" si="47"/>
        <v/>
      </c>
      <c r="D311" s="13" t="str">
        <f t="shared" si="48"/>
        <v/>
      </c>
      <c r="E311" s="13" t="str">
        <f t="shared" si="49"/>
        <v/>
      </c>
      <c r="F311" s="13" t="str">
        <f t="shared" si="50"/>
        <v/>
      </c>
      <c r="G311" s="13" t="str">
        <f t="shared" si="51"/>
        <v/>
      </c>
      <c r="H311" s="13" t="str">
        <f t="shared" si="52"/>
        <v/>
      </c>
      <c r="I311" t="str">
        <f t="shared" si="53"/>
        <v/>
      </c>
    </row>
    <row r="312" spans="1:9">
      <c r="A312">
        <f>CSV!B312</f>
        <v>0</v>
      </c>
      <c r="B312" s="13" t="e">
        <f>INDEX(Input!$D$2:$AC$500,
       MATCH(CPU_Formula!A312, Input!$J$2:$J$500, 0),
       MATCH("CPU model", Input!$D$1:$AC$1, 0))</f>
        <v>#N/A</v>
      </c>
      <c r="C312" s="13" t="str">
        <f t="shared" si="47"/>
        <v/>
      </c>
      <c r="D312" s="13" t="str">
        <f t="shared" si="48"/>
        <v/>
      </c>
      <c r="E312" s="13" t="str">
        <f t="shared" si="49"/>
        <v/>
      </c>
      <c r="F312" s="13" t="str">
        <f t="shared" si="50"/>
        <v/>
      </c>
      <c r="G312" s="13" t="str">
        <f t="shared" si="51"/>
        <v/>
      </c>
      <c r="H312" s="13" t="str">
        <f t="shared" si="52"/>
        <v/>
      </c>
      <c r="I312" t="str">
        <f t="shared" si="53"/>
        <v/>
      </c>
    </row>
    <row r="313" spans="1:9">
      <c r="A313">
        <f>CSV!B313</f>
        <v>0</v>
      </c>
      <c r="B313" s="13" t="e">
        <f>INDEX(Input!$D$2:$AC$500,
       MATCH(CPU_Formula!A313, Input!$J$2:$J$500, 0),
       MATCH("CPU model", Input!$D$1:$AC$1, 0))</f>
        <v>#N/A</v>
      </c>
      <c r="C313" s="13" t="str">
        <f t="shared" si="47"/>
        <v/>
      </c>
      <c r="D313" s="13" t="str">
        <f t="shared" si="48"/>
        <v/>
      </c>
      <c r="E313" s="13" t="str">
        <f t="shared" si="49"/>
        <v/>
      </c>
      <c r="F313" s="13" t="str">
        <f t="shared" si="50"/>
        <v/>
      </c>
      <c r="G313" s="13" t="str">
        <f t="shared" si="51"/>
        <v/>
      </c>
      <c r="H313" s="13" t="str">
        <f t="shared" si="52"/>
        <v/>
      </c>
      <c r="I313" t="str">
        <f t="shared" si="53"/>
        <v/>
      </c>
    </row>
    <row r="314" spans="1:9">
      <c r="A314">
        <f>CSV!B314</f>
        <v>0</v>
      </c>
      <c r="B314" s="13" t="e">
        <f>INDEX(Input!$D$2:$AC$500,
       MATCH(CPU_Formula!A314, Input!$J$2:$J$500, 0),
       MATCH("CPU model", Input!$D$1:$AC$1, 0))</f>
        <v>#N/A</v>
      </c>
      <c r="C314" s="13" t="str">
        <f t="shared" si="47"/>
        <v/>
      </c>
      <c r="D314" s="13" t="str">
        <f t="shared" si="48"/>
        <v/>
      </c>
      <c r="E314" s="13" t="str">
        <f t="shared" si="49"/>
        <v/>
      </c>
      <c r="F314" s="13" t="str">
        <f t="shared" si="50"/>
        <v/>
      </c>
      <c r="G314" s="13" t="str">
        <f t="shared" si="51"/>
        <v/>
      </c>
      <c r="H314" s="13" t="str">
        <f t="shared" si="52"/>
        <v/>
      </c>
      <c r="I314" t="str">
        <f t="shared" si="53"/>
        <v/>
      </c>
    </row>
    <row r="315" spans="1:9">
      <c r="A315">
        <f>CSV!B315</f>
        <v>0</v>
      </c>
      <c r="B315" s="13" t="e">
        <f>INDEX(Input!$D$2:$AC$500,
       MATCH(CPU_Formula!A315, Input!$J$2:$J$500, 0),
       MATCH("CPU model", Input!$D$1:$AC$1, 0))</f>
        <v>#N/A</v>
      </c>
      <c r="C315" s="13" t="str">
        <f t="shared" si="47"/>
        <v/>
      </c>
      <c r="D315" s="13" t="str">
        <f t="shared" si="48"/>
        <v/>
      </c>
      <c r="E315" s="13" t="str">
        <f t="shared" si="49"/>
        <v/>
      </c>
      <c r="F315" s="13" t="str">
        <f t="shared" si="50"/>
        <v/>
      </c>
      <c r="G315" s="13" t="str">
        <f t="shared" si="51"/>
        <v/>
      </c>
      <c r="H315" s="13" t="str">
        <f t="shared" si="52"/>
        <v/>
      </c>
      <c r="I315" t="str">
        <f t="shared" si="53"/>
        <v/>
      </c>
    </row>
    <row r="316" spans="1:9">
      <c r="A316">
        <f>CSV!B316</f>
        <v>0</v>
      </c>
      <c r="B316" s="13" t="e">
        <f>INDEX(Input!$D$2:$AC$500,
       MATCH(CPU_Formula!A316, Input!$J$2:$J$500, 0),
       MATCH("CPU model", Input!$D$1:$AC$1, 0))</f>
        <v>#N/A</v>
      </c>
      <c r="C316" s="13" t="str">
        <f t="shared" si="47"/>
        <v/>
      </c>
      <c r="D316" s="13" t="str">
        <f t="shared" si="48"/>
        <v/>
      </c>
      <c r="E316" s="13" t="str">
        <f t="shared" si="49"/>
        <v/>
      </c>
      <c r="F316" s="13" t="str">
        <f t="shared" si="50"/>
        <v/>
      </c>
      <c r="G316" s="13" t="str">
        <f t="shared" si="51"/>
        <v/>
      </c>
      <c r="H316" s="13" t="str">
        <f t="shared" si="52"/>
        <v/>
      </c>
      <c r="I316" t="str">
        <f t="shared" si="53"/>
        <v/>
      </c>
    </row>
    <row r="317" spans="1:9">
      <c r="A317">
        <f>CSV!B317</f>
        <v>0</v>
      </c>
      <c r="B317" s="13" t="e">
        <f>INDEX(Input!$D$2:$AC$500,
       MATCH(CPU_Formula!A317, Input!$J$2:$J$500, 0),
       MATCH("CPU model", Input!$D$1:$AC$1, 0))</f>
        <v>#N/A</v>
      </c>
      <c r="C317" s="13" t="str">
        <f t="shared" si="47"/>
        <v/>
      </c>
      <c r="D317" s="13" t="str">
        <f t="shared" si="48"/>
        <v/>
      </c>
      <c r="E317" s="13" t="str">
        <f t="shared" si="49"/>
        <v/>
      </c>
      <c r="F317" s="13" t="str">
        <f t="shared" si="50"/>
        <v/>
      </c>
      <c r="G317" s="13" t="str">
        <f t="shared" si="51"/>
        <v/>
      </c>
      <c r="H317" s="13" t="str">
        <f t="shared" si="52"/>
        <v/>
      </c>
      <c r="I317" t="str">
        <f t="shared" si="53"/>
        <v/>
      </c>
    </row>
    <row r="318" spans="1:9">
      <c r="A318">
        <f>CSV!B318</f>
        <v>0</v>
      </c>
      <c r="B318" s="13" t="e">
        <f>INDEX(Input!$D$2:$AC$500,
       MATCH(CPU_Formula!A318, Input!$J$2:$J$500, 0),
       MATCH("CPU model", Input!$D$1:$AC$1, 0))</f>
        <v>#N/A</v>
      </c>
      <c r="C318" s="13" t="str">
        <f t="shared" si="47"/>
        <v/>
      </c>
      <c r="D318" s="13" t="str">
        <f t="shared" si="48"/>
        <v/>
      </c>
      <c r="E318" s="13" t="str">
        <f t="shared" si="49"/>
        <v/>
      </c>
      <c r="F318" s="13" t="str">
        <f t="shared" si="50"/>
        <v/>
      </c>
      <c r="G318" s="13" t="str">
        <f t="shared" si="51"/>
        <v/>
      </c>
      <c r="H318" s="13" t="str">
        <f t="shared" si="52"/>
        <v/>
      </c>
      <c r="I318" t="str">
        <f t="shared" si="53"/>
        <v/>
      </c>
    </row>
    <row r="319" spans="1:9">
      <c r="A319">
        <f>CSV!B319</f>
        <v>0</v>
      </c>
      <c r="B319" s="13" t="e">
        <f>INDEX(Input!$D$2:$AC$500,
       MATCH(CPU_Formula!A319, Input!$J$2:$J$500, 0),
       MATCH("CPU model", Input!$D$1:$AC$1, 0))</f>
        <v>#N/A</v>
      </c>
      <c r="C319" s="13" t="str">
        <f t="shared" si="47"/>
        <v/>
      </c>
      <c r="D319" s="13" t="str">
        <f t="shared" si="48"/>
        <v/>
      </c>
      <c r="E319" s="13" t="str">
        <f t="shared" si="49"/>
        <v/>
      </c>
      <c r="F319" s="13" t="str">
        <f t="shared" si="50"/>
        <v/>
      </c>
      <c r="G319" s="13" t="str">
        <f t="shared" si="51"/>
        <v/>
      </c>
      <c r="H319" s="13" t="str">
        <f t="shared" si="52"/>
        <v/>
      </c>
      <c r="I319" t="str">
        <f t="shared" si="53"/>
        <v/>
      </c>
    </row>
    <row r="320" spans="1:9">
      <c r="A320">
        <f>CSV!B320</f>
        <v>0</v>
      </c>
      <c r="B320" s="13" t="e">
        <f>INDEX(Input!$D$2:$AC$500,
       MATCH(CPU_Formula!A320, Input!$J$2:$J$500, 0),
       MATCH("CPU model", Input!$D$1:$AC$1, 0))</f>
        <v>#N/A</v>
      </c>
      <c r="C320" s="13" t="str">
        <f t="shared" si="47"/>
        <v/>
      </c>
      <c r="D320" s="13" t="str">
        <f t="shared" si="48"/>
        <v/>
      </c>
      <c r="E320" s="13" t="str">
        <f t="shared" si="49"/>
        <v/>
      </c>
      <c r="F320" s="13" t="str">
        <f t="shared" si="50"/>
        <v/>
      </c>
      <c r="G320" s="13" t="str">
        <f t="shared" si="51"/>
        <v/>
      </c>
      <c r="H320" s="13" t="str">
        <f t="shared" si="52"/>
        <v/>
      </c>
      <c r="I320" t="str">
        <f t="shared" si="53"/>
        <v/>
      </c>
    </row>
    <row r="321" spans="1:9">
      <c r="A321">
        <f>CSV!B321</f>
        <v>0</v>
      </c>
      <c r="B321" s="13" t="e">
        <f>INDEX(Input!$D$2:$AC$500,
       MATCH(CPU_Formula!A321, Input!$J$2:$J$500, 0),
       MATCH("CPU model", Input!$D$1:$AC$1, 0))</f>
        <v>#N/A</v>
      </c>
      <c r="C321" s="13" t="str">
        <f t="shared" si="47"/>
        <v/>
      </c>
      <c r="D321" s="13" t="str">
        <f t="shared" si="48"/>
        <v/>
      </c>
      <c r="E321" s="13" t="str">
        <f t="shared" si="49"/>
        <v/>
      </c>
      <c r="F321" s="13" t="str">
        <f t="shared" si="50"/>
        <v/>
      </c>
      <c r="G321" s="13" t="str">
        <f t="shared" si="51"/>
        <v/>
      </c>
      <c r="H321" s="13" t="str">
        <f t="shared" si="52"/>
        <v/>
      </c>
      <c r="I321" t="str">
        <f t="shared" si="53"/>
        <v/>
      </c>
    </row>
    <row r="322" spans="1:9">
      <c r="A322">
        <f>CSV!B322</f>
        <v>0</v>
      </c>
      <c r="B322" s="13" t="e">
        <f>INDEX(Input!$D$2:$AC$500,
       MATCH(CPU_Formula!A322, Input!$J$2:$J$500, 0),
       MATCH("CPU model", Input!$D$1:$AC$1, 0))</f>
        <v>#N/A</v>
      </c>
      <c r="C322" s="13" t="str">
        <f t="shared" si="47"/>
        <v/>
      </c>
      <c r="D322" s="13" t="str">
        <f t="shared" si="48"/>
        <v/>
      </c>
      <c r="E322" s="13" t="str">
        <f t="shared" si="49"/>
        <v/>
      </c>
      <c r="F322" s="13" t="str">
        <f t="shared" si="50"/>
        <v/>
      </c>
      <c r="G322" s="13" t="str">
        <f t="shared" si="51"/>
        <v/>
      </c>
      <c r="H322" s="13" t="str">
        <f t="shared" si="52"/>
        <v/>
      </c>
      <c r="I322" t="str">
        <f t="shared" si="53"/>
        <v/>
      </c>
    </row>
    <row r="323" spans="1:9">
      <c r="A323">
        <f>CSV!B323</f>
        <v>0</v>
      </c>
      <c r="B323" s="13" t="e">
        <f>INDEX(Input!$D$2:$AC$500,
       MATCH(CPU_Formula!A323, Input!$J$2:$J$500, 0),
       MATCH("CPU model", Input!$D$1:$AC$1, 0))</f>
        <v>#N/A</v>
      </c>
      <c r="C323" s="13" t="str">
        <f t="shared" si="47"/>
        <v/>
      </c>
      <c r="D323" s="13" t="str">
        <f t="shared" si="48"/>
        <v/>
      </c>
      <c r="E323" s="13" t="str">
        <f t="shared" si="49"/>
        <v/>
      </c>
      <c r="F323" s="13" t="str">
        <f t="shared" si="50"/>
        <v/>
      </c>
      <c r="G323" s="13" t="str">
        <f t="shared" si="51"/>
        <v/>
      </c>
      <c r="H323" s="13" t="str">
        <f t="shared" si="52"/>
        <v/>
      </c>
      <c r="I323" t="str">
        <f t="shared" si="53"/>
        <v/>
      </c>
    </row>
    <row r="324" spans="1:9">
      <c r="A324">
        <f>CSV!B324</f>
        <v>0</v>
      </c>
      <c r="B324" s="13" t="e">
        <f>INDEX(Input!$D$2:$AC$500,
       MATCH(CPU_Formula!A324, Input!$J$2:$J$500, 0),
       MATCH("CPU model", Input!$D$1:$AC$1, 0))</f>
        <v>#N/A</v>
      </c>
      <c r="C324" s="13" t="str">
        <f t="shared" si="47"/>
        <v/>
      </c>
      <c r="D324" s="13" t="str">
        <f t="shared" si="48"/>
        <v/>
      </c>
      <c r="E324" s="13" t="str">
        <f t="shared" si="49"/>
        <v/>
      </c>
      <c r="F324" s="13" t="str">
        <f t="shared" si="50"/>
        <v/>
      </c>
      <c r="G324" s="13" t="str">
        <f t="shared" si="51"/>
        <v/>
      </c>
      <c r="H324" s="13" t="str">
        <f t="shared" si="52"/>
        <v/>
      </c>
      <c r="I324" t="str">
        <f t="shared" si="53"/>
        <v/>
      </c>
    </row>
    <row r="325" spans="1:9">
      <c r="A325">
        <f>CSV!B325</f>
        <v>0</v>
      </c>
      <c r="B325" s="13" t="e">
        <f>INDEX(Input!$D$2:$AC$500,
       MATCH(CPU_Formula!A325, Input!$J$2:$J$500, 0),
       MATCH("CPU model", Input!$D$1:$AC$1, 0))</f>
        <v>#N/A</v>
      </c>
      <c r="C325" s="13" t="str">
        <f t="shared" si="47"/>
        <v/>
      </c>
      <c r="D325" s="13" t="str">
        <f t="shared" si="48"/>
        <v/>
      </c>
      <c r="E325" s="13" t="str">
        <f t="shared" si="49"/>
        <v/>
      </c>
      <c r="F325" s="13" t="str">
        <f t="shared" si="50"/>
        <v/>
      </c>
      <c r="G325" s="13" t="str">
        <f t="shared" si="51"/>
        <v/>
      </c>
      <c r="H325" s="13" t="str">
        <f t="shared" si="52"/>
        <v/>
      </c>
      <c r="I325" t="str">
        <f t="shared" si="53"/>
        <v/>
      </c>
    </row>
    <row r="326" spans="1:9">
      <c r="A326">
        <f>CSV!B326</f>
        <v>0</v>
      </c>
      <c r="B326" s="13" t="e">
        <f>INDEX(Input!$D$2:$AC$500,
       MATCH(CPU_Formula!A326, Input!$J$2:$J$500, 0),
       MATCH("CPU model", Input!$D$1:$AC$1, 0))</f>
        <v>#N/A</v>
      </c>
      <c r="C326" s="13" t="str">
        <f t="shared" si="47"/>
        <v/>
      </c>
      <c r="D326" s="13" t="str">
        <f t="shared" si="48"/>
        <v/>
      </c>
      <c r="E326" s="13" t="str">
        <f t="shared" si="49"/>
        <v/>
      </c>
      <c r="F326" s="13" t="str">
        <f t="shared" si="50"/>
        <v/>
      </c>
      <c r="G326" s="13" t="str">
        <f t="shared" si="51"/>
        <v/>
      </c>
      <c r="H326" s="13" t="str">
        <f t="shared" si="52"/>
        <v/>
      </c>
      <c r="I326" t="str">
        <f t="shared" si="53"/>
        <v/>
      </c>
    </row>
    <row r="327" spans="1:9">
      <c r="A327">
        <f>CSV!B327</f>
        <v>0</v>
      </c>
      <c r="B327" s="13" t="e">
        <f>INDEX(Input!$D$2:$AC$500,
       MATCH(CPU_Formula!A327, Input!$J$2:$J$500, 0),
       MATCH("CPU model", Input!$D$1:$AC$1, 0))</f>
        <v>#N/A</v>
      </c>
      <c r="C327" s="13" t="str">
        <f t="shared" si="47"/>
        <v/>
      </c>
      <c r="D327" s="13" t="str">
        <f t="shared" si="48"/>
        <v/>
      </c>
      <c r="E327" s="13" t="str">
        <f t="shared" si="49"/>
        <v/>
      </c>
      <c r="F327" s="13" t="str">
        <f t="shared" si="50"/>
        <v/>
      </c>
      <c r="G327" s="13" t="str">
        <f t="shared" si="51"/>
        <v/>
      </c>
      <c r="H327" s="13" t="str">
        <f t="shared" si="52"/>
        <v/>
      </c>
      <c r="I327" t="str">
        <f t="shared" si="53"/>
        <v/>
      </c>
    </row>
    <row r="328" spans="1:9">
      <c r="A328">
        <f>CSV!B328</f>
        <v>0</v>
      </c>
      <c r="B328" s="13" t="e">
        <f>INDEX(Input!$D$2:$AC$500,
       MATCH(CPU_Formula!A328, Input!$J$2:$J$500, 0),
       MATCH("CPU model", Input!$D$1:$AC$1, 0))</f>
        <v>#N/A</v>
      </c>
      <c r="C328" s="13" t="str">
        <f t="shared" si="47"/>
        <v/>
      </c>
      <c r="D328" s="13" t="str">
        <f t="shared" si="48"/>
        <v/>
      </c>
      <c r="E328" s="13" t="str">
        <f t="shared" si="49"/>
        <v/>
      </c>
      <c r="F328" s="13" t="str">
        <f t="shared" si="50"/>
        <v/>
      </c>
      <c r="G328" s="13" t="str">
        <f t="shared" si="51"/>
        <v/>
      </c>
      <c r="H328" s="13" t="str">
        <f t="shared" si="52"/>
        <v/>
      </c>
      <c r="I328" t="str">
        <f t="shared" si="53"/>
        <v/>
      </c>
    </row>
    <row r="329" spans="1:9">
      <c r="A329">
        <f>CSV!B329</f>
        <v>0</v>
      </c>
      <c r="B329" s="13" t="e">
        <f>INDEX(Input!$D$2:$AC$500,
       MATCH(CPU_Formula!A329, Input!$J$2:$J$500, 0),
       MATCH("CPU model", Input!$D$1:$AC$1, 0))</f>
        <v>#N/A</v>
      </c>
      <c r="C329" s="13" t="str">
        <f t="shared" si="47"/>
        <v/>
      </c>
      <c r="D329" s="13" t="str">
        <f t="shared" si="48"/>
        <v/>
      </c>
      <c r="E329" s="13" t="str">
        <f t="shared" si="49"/>
        <v/>
      </c>
      <c r="F329" s="13" t="str">
        <f t="shared" si="50"/>
        <v/>
      </c>
      <c r="G329" s="13" t="str">
        <f t="shared" si="51"/>
        <v/>
      </c>
      <c r="H329" s="13" t="str">
        <f t="shared" si="52"/>
        <v/>
      </c>
      <c r="I329" t="str">
        <f t="shared" si="53"/>
        <v/>
      </c>
    </row>
    <row r="330" spans="1:9">
      <c r="A330">
        <f>CSV!B330</f>
        <v>0</v>
      </c>
      <c r="B330" s="13" t="e">
        <f>INDEX(Input!$D$2:$AC$500,
       MATCH(CPU_Formula!A330, Input!$J$2:$J$500, 0),
       MATCH("CPU model", Input!$D$1:$AC$1, 0))</f>
        <v>#N/A</v>
      </c>
      <c r="C330" s="13" t="str">
        <f t="shared" si="47"/>
        <v/>
      </c>
      <c r="D330" s="13" t="str">
        <f t="shared" si="48"/>
        <v/>
      </c>
      <c r="E330" s="13" t="str">
        <f t="shared" si="49"/>
        <v/>
      </c>
      <c r="F330" s="13" t="str">
        <f t="shared" si="50"/>
        <v/>
      </c>
      <c r="G330" s="13" t="str">
        <f t="shared" si="51"/>
        <v/>
      </c>
      <c r="H330" s="13" t="str">
        <f t="shared" si="52"/>
        <v/>
      </c>
      <c r="I330" t="str">
        <f t="shared" si="53"/>
        <v/>
      </c>
    </row>
    <row r="331" spans="1:9">
      <c r="A331">
        <f>CSV!B331</f>
        <v>0</v>
      </c>
      <c r="B331" s="13" t="e">
        <f>INDEX(Input!$D$2:$AC$500,
       MATCH(CPU_Formula!A331, Input!$J$2:$J$500, 0),
       MATCH("CPU model", Input!$D$1:$AC$1, 0))</f>
        <v>#N/A</v>
      </c>
      <c r="C331" s="13" t="str">
        <f t="shared" si="47"/>
        <v/>
      </c>
      <c r="D331" s="13" t="str">
        <f t="shared" si="48"/>
        <v/>
      </c>
      <c r="E331" s="13" t="str">
        <f t="shared" si="49"/>
        <v/>
      </c>
      <c r="F331" s="13" t="str">
        <f t="shared" si="50"/>
        <v/>
      </c>
      <c r="G331" s="13" t="str">
        <f t="shared" si="51"/>
        <v/>
      </c>
      <c r="H331" s="13" t="str">
        <f t="shared" si="52"/>
        <v/>
      </c>
      <c r="I331" t="str">
        <f t="shared" si="53"/>
        <v/>
      </c>
    </row>
    <row r="332" spans="1:9">
      <c r="A332">
        <f>CSV!B332</f>
        <v>0</v>
      </c>
      <c r="B332" s="13" t="e">
        <f>INDEX(Input!$D$2:$AC$500,
       MATCH(CPU_Formula!A332, Input!$J$2:$J$500, 0),
       MATCH("CPU model", Input!$D$1:$AC$1, 0))</f>
        <v>#N/A</v>
      </c>
      <c r="C332" s="13" t="str">
        <f t="shared" si="47"/>
        <v/>
      </c>
      <c r="D332" s="13" t="str">
        <f t="shared" si="48"/>
        <v/>
      </c>
      <c r="E332" s="13" t="str">
        <f t="shared" si="49"/>
        <v/>
      </c>
      <c r="F332" s="13" t="str">
        <f t="shared" si="50"/>
        <v/>
      </c>
      <c r="G332" s="13" t="str">
        <f t="shared" si="51"/>
        <v/>
      </c>
      <c r="H332" s="13" t="str">
        <f t="shared" si="52"/>
        <v/>
      </c>
      <c r="I332" t="str">
        <f t="shared" si="53"/>
        <v/>
      </c>
    </row>
    <row r="333" spans="1:9">
      <c r="A333">
        <f>CSV!B333</f>
        <v>0</v>
      </c>
      <c r="B333" s="13" t="e">
        <f>INDEX(Input!$D$2:$AC$500,
       MATCH(CPU_Formula!A333, Input!$J$2:$J$500, 0),
       MATCH("CPU model", Input!$D$1:$AC$1, 0))</f>
        <v>#N/A</v>
      </c>
      <c r="C333" s="13" t="str">
        <f t="shared" si="47"/>
        <v/>
      </c>
      <c r="D333" s="13" t="str">
        <f t="shared" si="48"/>
        <v/>
      </c>
      <c r="E333" s="13" t="str">
        <f t="shared" si="49"/>
        <v/>
      </c>
      <c r="F333" s="13" t="str">
        <f t="shared" si="50"/>
        <v/>
      </c>
      <c r="G333" s="13" t="str">
        <f t="shared" si="51"/>
        <v/>
      </c>
      <c r="H333" s="13" t="str">
        <f t="shared" si="52"/>
        <v/>
      </c>
      <c r="I333" t="str">
        <f t="shared" si="53"/>
        <v/>
      </c>
    </row>
    <row r="334" spans="1:9">
      <c r="A334">
        <f>CSV!B334</f>
        <v>0</v>
      </c>
      <c r="B334" s="13" t="e">
        <f>INDEX(Input!$D$2:$AC$500,
       MATCH(CPU_Formula!A334, Input!$J$2:$J$500, 0),
       MATCH("CPU model", Input!$D$1:$AC$1, 0))</f>
        <v>#N/A</v>
      </c>
      <c r="C334" s="13" t="str">
        <f t="shared" si="47"/>
        <v/>
      </c>
      <c r="D334" s="13" t="str">
        <f t="shared" si="48"/>
        <v/>
      </c>
      <c r="E334" s="13" t="str">
        <f t="shared" si="49"/>
        <v/>
      </c>
      <c r="F334" s="13" t="str">
        <f t="shared" si="50"/>
        <v/>
      </c>
      <c r="G334" s="13" t="str">
        <f t="shared" si="51"/>
        <v/>
      </c>
      <c r="H334" s="13" t="str">
        <f t="shared" si="52"/>
        <v/>
      </c>
      <c r="I334" t="str">
        <f t="shared" si="53"/>
        <v/>
      </c>
    </row>
    <row r="335" spans="1:9">
      <c r="A335">
        <f>CSV!B335</f>
        <v>0</v>
      </c>
      <c r="B335" s="13" t="e">
        <f>INDEX(Input!$D$2:$AC$500,
       MATCH(CPU_Formula!A335, Input!$J$2:$J$500, 0),
       MATCH("CPU model", Input!$D$1:$AC$1, 0))</f>
        <v>#N/A</v>
      </c>
      <c r="C335" s="13" t="str">
        <f t="shared" si="47"/>
        <v/>
      </c>
      <c r="D335" s="13" t="str">
        <f t="shared" si="48"/>
        <v/>
      </c>
      <c r="E335" s="13" t="str">
        <f t="shared" si="49"/>
        <v/>
      </c>
      <c r="F335" s="13" t="str">
        <f t="shared" si="50"/>
        <v/>
      </c>
      <c r="G335" s="13" t="str">
        <f t="shared" si="51"/>
        <v/>
      </c>
      <c r="H335" s="13" t="str">
        <f t="shared" si="52"/>
        <v/>
      </c>
      <c r="I335" t="str">
        <f t="shared" si="53"/>
        <v/>
      </c>
    </row>
    <row r="336" spans="1:9">
      <c r="A336">
        <f>CSV!B336</f>
        <v>0</v>
      </c>
      <c r="B336" s="13" t="e">
        <f>INDEX(Input!$D$2:$AC$500,
       MATCH(CPU_Formula!A336, Input!$J$2:$J$500, 0),
       MATCH("CPU model", Input!$D$1:$AC$1, 0))</f>
        <v>#N/A</v>
      </c>
      <c r="C336" s="13" t="str">
        <f t="shared" si="47"/>
        <v/>
      </c>
      <c r="D336" s="13" t="str">
        <f t="shared" si="48"/>
        <v/>
      </c>
      <c r="E336" s="13" t="str">
        <f t="shared" si="49"/>
        <v/>
      </c>
      <c r="F336" s="13" t="str">
        <f t="shared" si="50"/>
        <v/>
      </c>
      <c r="G336" s="13" t="str">
        <f t="shared" si="51"/>
        <v/>
      </c>
      <c r="H336" s="13" t="str">
        <f t="shared" si="52"/>
        <v/>
      </c>
      <c r="I336" t="str">
        <f t="shared" si="53"/>
        <v/>
      </c>
    </row>
    <row r="337" spans="1:9">
      <c r="A337">
        <f>CSV!B337</f>
        <v>0</v>
      </c>
      <c r="B337" s="13" t="e">
        <f>INDEX(Input!$D$2:$AC$500,
       MATCH(CPU_Formula!A337, Input!$J$2:$J$500, 0),
       MATCH("CPU model", Input!$D$1:$AC$1, 0))</f>
        <v>#N/A</v>
      </c>
      <c r="C337" s="13" t="str">
        <f t="shared" si="47"/>
        <v/>
      </c>
      <c r="D337" s="13" t="str">
        <f t="shared" si="48"/>
        <v/>
      </c>
      <c r="E337" s="13" t="str">
        <f t="shared" si="49"/>
        <v/>
      </c>
      <c r="F337" s="13" t="str">
        <f t="shared" si="50"/>
        <v/>
      </c>
      <c r="G337" s="13" t="str">
        <f t="shared" si="51"/>
        <v/>
      </c>
      <c r="H337" s="13" t="str">
        <f t="shared" si="52"/>
        <v/>
      </c>
      <c r="I337" t="str">
        <f t="shared" si="53"/>
        <v/>
      </c>
    </row>
    <row r="338" spans="1:9">
      <c r="A338">
        <f>CSV!B338</f>
        <v>0</v>
      </c>
      <c r="B338" s="13" t="e">
        <f>INDEX(Input!$D$2:$AC$500,
       MATCH(CPU_Formula!A338, Input!$J$2:$J$500, 0),
       MATCH("CPU model", Input!$D$1:$AC$1, 0))</f>
        <v>#N/A</v>
      </c>
      <c r="C338" s="13" t="str">
        <f t="shared" si="47"/>
        <v/>
      </c>
      <c r="D338" s="13" t="str">
        <f t="shared" si="48"/>
        <v/>
      </c>
      <c r="E338" s="13" t="str">
        <f t="shared" si="49"/>
        <v/>
      </c>
      <c r="F338" s="13" t="str">
        <f t="shared" si="50"/>
        <v/>
      </c>
      <c r="G338" s="13" t="str">
        <f t="shared" si="51"/>
        <v/>
      </c>
      <c r="H338" s="13" t="str">
        <f t="shared" si="52"/>
        <v/>
      </c>
      <c r="I338" t="str">
        <f t="shared" si="53"/>
        <v/>
      </c>
    </row>
    <row r="339" spans="1:9">
      <c r="A339">
        <f>CSV!B339</f>
        <v>0</v>
      </c>
      <c r="B339" s="13" t="e">
        <f>INDEX(Input!$D$2:$AC$500,
       MATCH(CPU_Formula!A339, Input!$J$2:$J$500, 0),
       MATCH("CPU model", Input!$D$1:$AC$1, 0))</f>
        <v>#N/A</v>
      </c>
      <c r="C339" s="13" t="str">
        <f t="shared" si="47"/>
        <v/>
      </c>
      <c r="D339" s="13" t="str">
        <f t="shared" si="48"/>
        <v/>
      </c>
      <c r="E339" s="13" t="str">
        <f t="shared" si="49"/>
        <v/>
      </c>
      <c r="F339" s="13" t="str">
        <f t="shared" si="50"/>
        <v/>
      </c>
      <c r="G339" s="13" t="str">
        <f t="shared" si="51"/>
        <v/>
      </c>
      <c r="H339" s="13" t="str">
        <f t="shared" si="52"/>
        <v/>
      </c>
      <c r="I339" t="str">
        <f t="shared" si="53"/>
        <v/>
      </c>
    </row>
    <row r="340" spans="1:9">
      <c r="A340">
        <f>CSV!B340</f>
        <v>0</v>
      </c>
      <c r="B340" s="13" t="e">
        <f>INDEX(Input!$D$2:$AC$500,
       MATCH(CPU_Formula!A340, Input!$J$2:$J$500, 0),
       MATCH("CPU model", Input!$D$1:$AC$1, 0))</f>
        <v>#N/A</v>
      </c>
      <c r="C340" s="13" t="str">
        <f t="shared" si="47"/>
        <v/>
      </c>
      <c r="D340" s="13" t="str">
        <f t="shared" si="48"/>
        <v/>
      </c>
      <c r="E340" s="13" t="str">
        <f t="shared" si="49"/>
        <v/>
      </c>
      <c r="F340" s="13" t="str">
        <f t="shared" si="50"/>
        <v/>
      </c>
      <c r="G340" s="13" t="str">
        <f t="shared" si="51"/>
        <v/>
      </c>
      <c r="H340" s="13" t="str">
        <f t="shared" si="52"/>
        <v/>
      </c>
      <c r="I340" t="str">
        <f t="shared" si="53"/>
        <v/>
      </c>
    </row>
    <row r="341" spans="1:9">
      <c r="A341">
        <f>CSV!B341</f>
        <v>0</v>
      </c>
      <c r="B341" s="13" t="e">
        <f>INDEX(Input!$D$2:$AC$500,
       MATCH(CPU_Formula!A341, Input!$J$2:$J$500, 0),
       MATCH("CPU model", Input!$D$1:$AC$1, 0))</f>
        <v>#N/A</v>
      </c>
      <c r="C341" s="13" t="str">
        <f t="shared" si="47"/>
        <v/>
      </c>
      <c r="D341" s="13" t="str">
        <f t="shared" si="48"/>
        <v/>
      </c>
      <c r="E341" s="13" t="str">
        <f t="shared" si="49"/>
        <v/>
      </c>
      <c r="F341" s="13" t="str">
        <f t="shared" si="50"/>
        <v/>
      </c>
      <c r="G341" s="13" t="str">
        <f t="shared" si="51"/>
        <v/>
      </c>
      <c r="H341" s="13" t="str">
        <f t="shared" si="52"/>
        <v/>
      </c>
      <c r="I341" t="str">
        <f t="shared" si="53"/>
        <v/>
      </c>
    </row>
    <row r="342" spans="1:9">
      <c r="A342">
        <f>CSV!B342</f>
        <v>0</v>
      </c>
      <c r="B342" s="13" t="e">
        <f>INDEX(Input!$D$2:$AC$500,
       MATCH(CPU_Formula!A342, Input!$J$2:$J$500, 0),
       MATCH("CPU model", Input!$D$1:$AC$1, 0))</f>
        <v>#N/A</v>
      </c>
      <c r="C342" s="13" t="str">
        <f t="shared" si="47"/>
        <v/>
      </c>
      <c r="D342" s="13" t="str">
        <f t="shared" si="48"/>
        <v/>
      </c>
      <c r="E342" s="13" t="str">
        <f t="shared" si="49"/>
        <v/>
      </c>
      <c r="F342" s="13" t="str">
        <f t="shared" si="50"/>
        <v/>
      </c>
      <c r="G342" s="13" t="str">
        <f t="shared" si="51"/>
        <v/>
      </c>
      <c r="H342" s="13" t="str">
        <f t="shared" si="52"/>
        <v/>
      </c>
      <c r="I342" t="str">
        <f t="shared" si="53"/>
        <v/>
      </c>
    </row>
    <row r="343" spans="1:9">
      <c r="A343">
        <f>CSV!B343</f>
        <v>0</v>
      </c>
      <c r="B343" s="13" t="e">
        <f>INDEX(Input!$D$2:$AC$500,
       MATCH(CPU_Formula!A343, Input!$J$2:$J$500, 0),
       MATCH("CPU model", Input!$D$1:$AC$1, 0))</f>
        <v>#N/A</v>
      </c>
      <c r="C343" s="13" t="str">
        <f t="shared" si="47"/>
        <v/>
      </c>
      <c r="D343" s="13" t="str">
        <f t="shared" si="48"/>
        <v/>
      </c>
      <c r="E343" s="13" t="str">
        <f t="shared" si="49"/>
        <v/>
      </c>
      <c r="F343" s="13" t="str">
        <f t="shared" si="50"/>
        <v/>
      </c>
      <c r="G343" s="13" t="str">
        <f t="shared" si="51"/>
        <v/>
      </c>
      <c r="H343" s="13" t="str">
        <f t="shared" si="52"/>
        <v/>
      </c>
      <c r="I343" t="str">
        <f t="shared" si="53"/>
        <v/>
      </c>
    </row>
    <row r="344" spans="1:9">
      <c r="A344">
        <f>CSV!B344</f>
        <v>0</v>
      </c>
      <c r="B344" s="13" t="e">
        <f>INDEX(Input!$D$2:$AC$500,
       MATCH(CPU_Formula!A344, Input!$J$2:$J$500, 0),
       MATCH("CPU model", Input!$D$1:$AC$1, 0))</f>
        <v>#N/A</v>
      </c>
      <c r="C344" s="13" t="str">
        <f t="shared" si="47"/>
        <v/>
      </c>
      <c r="D344" s="13" t="str">
        <f t="shared" si="48"/>
        <v/>
      </c>
      <c r="E344" s="13" t="str">
        <f t="shared" si="49"/>
        <v/>
      </c>
      <c r="F344" s="13" t="str">
        <f t="shared" si="50"/>
        <v/>
      </c>
      <c r="G344" s="13" t="str">
        <f t="shared" si="51"/>
        <v/>
      </c>
      <c r="H344" s="13" t="str">
        <f t="shared" si="52"/>
        <v/>
      </c>
      <c r="I344" t="str">
        <f t="shared" si="53"/>
        <v/>
      </c>
    </row>
    <row r="345" spans="1:9">
      <c r="A345">
        <f>CSV!B345</f>
        <v>0</v>
      </c>
      <c r="B345" s="13" t="e">
        <f>INDEX(Input!$D$2:$AC$500,
       MATCH(CPU_Formula!A345, Input!$J$2:$J$500, 0),
       MATCH("CPU model", Input!$D$1:$AC$1, 0))</f>
        <v>#N/A</v>
      </c>
      <c r="C345" s="13" t="str">
        <f t="shared" si="47"/>
        <v/>
      </c>
      <c r="D345" s="13" t="str">
        <f t="shared" si="48"/>
        <v/>
      </c>
      <c r="E345" s="13" t="str">
        <f t="shared" si="49"/>
        <v/>
      </c>
      <c r="F345" s="13" t="str">
        <f t="shared" si="50"/>
        <v/>
      </c>
      <c r="G345" s="13" t="str">
        <f t="shared" si="51"/>
        <v/>
      </c>
      <c r="H345" s="13" t="str">
        <f t="shared" si="52"/>
        <v/>
      </c>
      <c r="I345" t="str">
        <f t="shared" si="53"/>
        <v/>
      </c>
    </row>
    <row r="346" spans="1:9">
      <c r="A346">
        <f>CSV!B346</f>
        <v>0</v>
      </c>
      <c r="B346" s="13" t="e">
        <f>INDEX(Input!$D$2:$AC$500,
       MATCH(CPU_Formula!A346, Input!$J$2:$J$500, 0),
       MATCH("CPU model", Input!$D$1:$AC$1, 0))</f>
        <v>#N/A</v>
      </c>
      <c r="C346" s="13" t="str">
        <f t="shared" si="47"/>
        <v/>
      </c>
      <c r="D346" s="13" t="str">
        <f t="shared" si="48"/>
        <v/>
      </c>
      <c r="E346" s="13" t="str">
        <f t="shared" si="49"/>
        <v/>
      </c>
      <c r="F346" s="13" t="str">
        <f t="shared" si="50"/>
        <v/>
      </c>
      <c r="G346" s="13" t="str">
        <f t="shared" si="51"/>
        <v/>
      </c>
      <c r="H346" s="13" t="str">
        <f t="shared" si="52"/>
        <v/>
      </c>
      <c r="I346" t="str">
        <f t="shared" si="53"/>
        <v/>
      </c>
    </row>
    <row r="347" spans="1:9">
      <c r="A347">
        <f>CSV!B347</f>
        <v>0</v>
      </c>
      <c r="B347" s="13" t="e">
        <f>INDEX(Input!$D$2:$AC$500,
       MATCH(CPU_Formula!A347, Input!$J$2:$J$500, 0),
       MATCH("CPU model", Input!$D$1:$AC$1, 0))</f>
        <v>#N/A</v>
      </c>
      <c r="C347" s="13" t="str">
        <f t="shared" si="47"/>
        <v/>
      </c>
      <c r="D347" s="13" t="str">
        <f t="shared" si="48"/>
        <v/>
      </c>
      <c r="E347" s="13" t="str">
        <f t="shared" si="49"/>
        <v/>
      </c>
      <c r="F347" s="13" t="str">
        <f t="shared" si="50"/>
        <v/>
      </c>
      <c r="G347" s="13" t="str">
        <f t="shared" si="51"/>
        <v/>
      </c>
      <c r="H347" s="13" t="str">
        <f t="shared" si="52"/>
        <v/>
      </c>
      <c r="I347" t="str">
        <f t="shared" si="53"/>
        <v/>
      </c>
    </row>
    <row r="348" spans="1:9">
      <c r="A348">
        <f>CSV!B348</f>
        <v>0</v>
      </c>
      <c r="B348" s="13" t="e">
        <f>INDEX(Input!$D$2:$AC$500,
       MATCH(CPU_Formula!A348, Input!$J$2:$J$500, 0),
       MATCH("CPU model", Input!$D$1:$AC$1, 0))</f>
        <v>#N/A</v>
      </c>
      <c r="C348" s="13" t="str">
        <f t="shared" si="47"/>
        <v/>
      </c>
      <c r="D348" s="13" t="str">
        <f t="shared" si="48"/>
        <v/>
      </c>
      <c r="E348" s="13" t="str">
        <f t="shared" si="49"/>
        <v/>
      </c>
      <c r="F348" s="13" t="str">
        <f t="shared" si="50"/>
        <v/>
      </c>
      <c r="G348" s="13" t="str">
        <f t="shared" si="51"/>
        <v/>
      </c>
      <c r="H348" s="13" t="str">
        <f t="shared" si="52"/>
        <v/>
      </c>
      <c r="I348" t="str">
        <f t="shared" si="53"/>
        <v/>
      </c>
    </row>
    <row r="349" spans="1:9">
      <c r="A349">
        <f>CSV!B349</f>
        <v>0</v>
      </c>
      <c r="B349" s="13" t="e">
        <f>INDEX(Input!$D$2:$AC$500,
       MATCH(CPU_Formula!A349, Input!$J$2:$J$500, 0),
       MATCH("CPU model", Input!$D$1:$AC$1, 0))</f>
        <v>#N/A</v>
      </c>
      <c r="C349" s="13" t="str">
        <f t="shared" si="47"/>
        <v/>
      </c>
      <c r="D349" s="13" t="str">
        <f t="shared" si="48"/>
        <v/>
      </c>
      <c r="E349" s="13" t="str">
        <f t="shared" si="49"/>
        <v/>
      </c>
      <c r="F349" s="13" t="str">
        <f t="shared" si="50"/>
        <v/>
      </c>
      <c r="G349" s="13" t="str">
        <f t="shared" si="51"/>
        <v/>
      </c>
      <c r="H349" s="13" t="str">
        <f t="shared" si="52"/>
        <v/>
      </c>
      <c r="I349" t="str">
        <f t="shared" si="53"/>
        <v/>
      </c>
    </row>
    <row r="350" spans="1:9">
      <c r="A350">
        <f>CSV!B350</f>
        <v>0</v>
      </c>
      <c r="B350" s="13" t="e">
        <f>INDEX(Input!$D$2:$AC$500,
       MATCH(CPU_Formula!A350, Input!$J$2:$J$500, 0),
       MATCH("CPU model", Input!$D$1:$AC$1, 0))</f>
        <v>#N/A</v>
      </c>
      <c r="C350" s="13" t="str">
        <f t="shared" si="47"/>
        <v/>
      </c>
      <c r="D350" s="13" t="str">
        <f t="shared" si="48"/>
        <v/>
      </c>
      <c r="E350" s="13" t="str">
        <f t="shared" si="49"/>
        <v/>
      </c>
      <c r="F350" s="13" t="str">
        <f t="shared" si="50"/>
        <v/>
      </c>
      <c r="G350" s="13" t="str">
        <f t="shared" si="51"/>
        <v/>
      </c>
      <c r="H350" s="13" t="str">
        <f t="shared" si="52"/>
        <v/>
      </c>
      <c r="I350" t="str">
        <f t="shared" si="53"/>
        <v/>
      </c>
    </row>
    <row r="351" spans="1:9">
      <c r="A351">
        <f>CSV!B351</f>
        <v>0</v>
      </c>
      <c r="B351" s="13" t="e">
        <f>INDEX(Input!$D$2:$AC$500,
       MATCH(CPU_Formula!A351, Input!$J$2:$J$500, 0),
       MATCH("CPU model", Input!$D$1:$AC$1, 0))</f>
        <v>#N/A</v>
      </c>
      <c r="C351" s="13" t="str">
        <f t="shared" si="47"/>
        <v/>
      </c>
      <c r="D351" s="13" t="str">
        <f t="shared" si="48"/>
        <v/>
      </c>
      <c r="E351" s="13" t="str">
        <f t="shared" si="49"/>
        <v/>
      </c>
      <c r="F351" s="13" t="str">
        <f t="shared" si="50"/>
        <v/>
      </c>
      <c r="G351" s="13" t="str">
        <f t="shared" si="51"/>
        <v/>
      </c>
      <c r="H351" s="13" t="str">
        <f t="shared" si="52"/>
        <v/>
      </c>
      <c r="I351" t="str">
        <f t="shared" si="53"/>
        <v/>
      </c>
    </row>
    <row r="352" spans="1:9">
      <c r="A352">
        <f>CSV!B352</f>
        <v>0</v>
      </c>
      <c r="B352" s="13" t="e">
        <f>INDEX(Input!$D$2:$AC$500,
       MATCH(CPU_Formula!A352, Input!$J$2:$J$500, 0),
       MATCH("CPU model", Input!$D$1:$AC$1, 0))</f>
        <v>#N/A</v>
      </c>
      <c r="C352" s="13" t="str">
        <f t="shared" si="47"/>
        <v/>
      </c>
      <c r="D352" s="13" t="str">
        <f t="shared" si="48"/>
        <v/>
      </c>
      <c r="E352" s="13" t="str">
        <f t="shared" si="49"/>
        <v/>
      </c>
      <c r="F352" s="13" t="str">
        <f t="shared" si="50"/>
        <v/>
      </c>
      <c r="G352" s="13" t="str">
        <f t="shared" si="51"/>
        <v/>
      </c>
      <c r="H352" s="13" t="str">
        <f t="shared" si="52"/>
        <v/>
      </c>
      <c r="I352" t="str">
        <f t="shared" si="53"/>
        <v/>
      </c>
    </row>
    <row r="353" spans="1:9">
      <c r="A353">
        <f>CSV!B353</f>
        <v>0</v>
      </c>
      <c r="B353" s="13" t="e">
        <f>INDEX(Input!$D$2:$AC$500,
       MATCH(CPU_Formula!A353, Input!$J$2:$J$500, 0),
       MATCH("CPU model", Input!$D$1:$AC$1, 0))</f>
        <v>#N/A</v>
      </c>
      <c r="C353" s="13" t="str">
        <f t="shared" si="47"/>
        <v/>
      </c>
      <c r="D353" s="13" t="str">
        <f t="shared" si="48"/>
        <v/>
      </c>
      <c r="E353" s="13" t="str">
        <f t="shared" si="49"/>
        <v/>
      </c>
      <c r="F353" s="13" t="str">
        <f t="shared" si="50"/>
        <v/>
      </c>
      <c r="G353" s="13" t="str">
        <f t="shared" si="51"/>
        <v/>
      </c>
      <c r="H353" s="13" t="str">
        <f t="shared" si="52"/>
        <v/>
      </c>
      <c r="I353" t="str">
        <f t="shared" si="53"/>
        <v/>
      </c>
    </row>
    <row r="354" spans="1:9">
      <c r="A354">
        <f>CSV!B354</f>
        <v>0</v>
      </c>
      <c r="B354" s="13" t="e">
        <f>INDEX(Input!$D$2:$AC$500,
       MATCH(CPU_Formula!A354, Input!$J$2:$J$500, 0),
       MATCH("CPU model", Input!$D$1:$AC$1, 0))</f>
        <v>#N/A</v>
      </c>
      <c r="C354" s="13" t="str">
        <f t="shared" si="47"/>
        <v/>
      </c>
      <c r="D354" s="13" t="str">
        <f t="shared" si="48"/>
        <v/>
      </c>
      <c r="E354" s="13" t="str">
        <f t="shared" si="49"/>
        <v/>
      </c>
      <c r="F354" s="13" t="str">
        <f t="shared" si="50"/>
        <v/>
      </c>
      <c r="G354" s="13" t="str">
        <f t="shared" si="51"/>
        <v/>
      </c>
      <c r="H354" s="13" t="str">
        <f t="shared" si="52"/>
        <v/>
      </c>
      <c r="I354" t="str">
        <f t="shared" si="53"/>
        <v/>
      </c>
    </row>
    <row r="355" spans="1:9">
      <c r="A355">
        <f>CSV!B355</f>
        <v>0</v>
      </c>
      <c r="B355" s="13" t="e">
        <f>INDEX(Input!$D$2:$AC$500,
       MATCH(CPU_Formula!A355, Input!$J$2:$J$500, 0),
       MATCH("CPU model", Input!$D$1:$AC$1, 0))</f>
        <v>#N/A</v>
      </c>
      <c r="C355" s="13" t="str">
        <f t="shared" si="47"/>
        <v/>
      </c>
      <c r="D355" s="13" t="str">
        <f t="shared" si="48"/>
        <v/>
      </c>
      <c r="E355" s="13" t="str">
        <f t="shared" si="49"/>
        <v/>
      </c>
      <c r="F355" s="13" t="str">
        <f t="shared" si="50"/>
        <v/>
      </c>
      <c r="G355" s="13" t="str">
        <f t="shared" si="51"/>
        <v/>
      </c>
      <c r="H355" s="13" t="str">
        <f t="shared" si="52"/>
        <v/>
      </c>
      <c r="I355" t="str">
        <f t="shared" si="53"/>
        <v/>
      </c>
    </row>
    <row r="356" spans="1:9">
      <c r="A356">
        <f>CSV!B356</f>
        <v>0</v>
      </c>
      <c r="B356" s="13" t="e">
        <f>INDEX(Input!$D$2:$AC$500,
       MATCH(CPU_Formula!A356, Input!$J$2:$J$500, 0),
       MATCH("CPU model", Input!$D$1:$AC$1, 0))</f>
        <v>#N/A</v>
      </c>
      <c r="C356" s="13" t="str">
        <f t="shared" si="47"/>
        <v/>
      </c>
      <c r="D356" s="13" t="str">
        <f t="shared" si="48"/>
        <v/>
      </c>
      <c r="E356" s="13" t="str">
        <f t="shared" si="49"/>
        <v/>
      </c>
      <c r="F356" s="13" t="str">
        <f t="shared" si="50"/>
        <v/>
      </c>
      <c r="G356" s="13" t="str">
        <f t="shared" si="51"/>
        <v/>
      </c>
      <c r="H356" s="13" t="str">
        <f t="shared" si="52"/>
        <v/>
      </c>
      <c r="I356" t="str">
        <f t="shared" si="53"/>
        <v/>
      </c>
    </row>
    <row r="357" spans="1:9">
      <c r="A357">
        <f>CSV!B357</f>
        <v>0</v>
      </c>
      <c r="B357" s="13" t="e">
        <f>INDEX(Input!$D$2:$AC$500,
       MATCH(CPU_Formula!A357, Input!$J$2:$J$500, 0),
       MATCH("CPU model", Input!$D$1:$AC$1, 0))</f>
        <v>#N/A</v>
      </c>
      <c r="C357" s="13" t="str">
        <f t="shared" si="47"/>
        <v/>
      </c>
      <c r="D357" s="13" t="str">
        <f t="shared" si="48"/>
        <v/>
      </c>
      <c r="E357" s="13" t="str">
        <f t="shared" si="49"/>
        <v/>
      </c>
      <c r="F357" s="13" t="str">
        <f t="shared" si="50"/>
        <v/>
      </c>
      <c r="G357" s="13" t="str">
        <f t="shared" si="51"/>
        <v/>
      </c>
      <c r="H357" s="13" t="str">
        <f t="shared" si="52"/>
        <v/>
      </c>
      <c r="I357" t="str">
        <f t="shared" si="53"/>
        <v/>
      </c>
    </row>
    <row r="358" spans="1:9">
      <c r="A358">
        <f>CSV!B358</f>
        <v>0</v>
      </c>
      <c r="B358" s="13" t="e">
        <f>INDEX(Input!$D$2:$AC$500,
       MATCH(CPU_Formula!A358, Input!$J$2:$J$500, 0),
       MATCH("CPU model", Input!$D$1:$AC$1, 0))</f>
        <v>#N/A</v>
      </c>
      <c r="C358" s="13" t="str">
        <f t="shared" si="47"/>
        <v/>
      </c>
      <c r="D358" s="13" t="str">
        <f t="shared" si="48"/>
        <v/>
      </c>
      <c r="E358" s="13" t="str">
        <f t="shared" si="49"/>
        <v/>
      </c>
      <c r="F358" s="13" t="str">
        <f t="shared" si="50"/>
        <v/>
      </c>
      <c r="G358" s="13" t="str">
        <f t="shared" si="51"/>
        <v/>
      </c>
      <c r="H358" s="13" t="str">
        <f t="shared" si="52"/>
        <v/>
      </c>
      <c r="I358" t="str">
        <f t="shared" si="53"/>
        <v/>
      </c>
    </row>
    <row r="359" spans="1:9">
      <c r="A359">
        <f>CSV!B359</f>
        <v>0</v>
      </c>
      <c r="B359" s="13" t="e">
        <f>INDEX(Input!$D$2:$AC$500,
       MATCH(CPU_Formula!A359, Input!$J$2:$J$500, 0),
       MATCH("CPU model", Input!$D$1:$AC$1, 0))</f>
        <v>#N/A</v>
      </c>
      <c r="C359" s="13" t="str">
        <f t="shared" si="47"/>
        <v/>
      </c>
      <c r="D359" s="13" t="str">
        <f t="shared" si="48"/>
        <v/>
      </c>
      <c r="E359" s="13" t="str">
        <f t="shared" si="49"/>
        <v/>
      </c>
      <c r="F359" s="13" t="str">
        <f t="shared" si="50"/>
        <v/>
      </c>
      <c r="G359" s="13" t="str">
        <f t="shared" si="51"/>
        <v/>
      </c>
      <c r="H359" s="13" t="str">
        <f t="shared" si="52"/>
        <v/>
      </c>
      <c r="I359" t="str">
        <f t="shared" si="53"/>
        <v/>
      </c>
    </row>
    <row r="360" spans="1:9">
      <c r="A360">
        <f>CSV!B360</f>
        <v>0</v>
      </c>
      <c r="B360" s="13" t="e">
        <f>INDEX(Input!$D$2:$AC$500,
       MATCH(CPU_Formula!A360, Input!$J$2:$J$500, 0),
       MATCH("CPU model", Input!$D$1:$AC$1, 0))</f>
        <v>#N/A</v>
      </c>
      <c r="C360" s="13" t="str">
        <f t="shared" ref="C360:C423" si="54">IFERROR(_xlfn.TEXTAFTER(B360,"Core(TM) "),IFERROR(_xlfn.TEXTAFTER(B360,"Xeon(R) CPU"),""))</f>
        <v/>
      </c>
      <c r="D360" s="13" t="str">
        <f t="shared" ref="D360:D423" si="55">IFERROR(_xlfn.TEXTAFTER(B360,"Ryzen "), "")</f>
        <v/>
      </c>
      <c r="E360" s="13" t="str">
        <f t="shared" ref="E360:E423" si="56">IF(ISNUMBER(SEARCH("Ultra", B360)), "Ultra"&amp;_xlfn.TEXTAFTER(B360, "Ultra"), "")</f>
        <v/>
      </c>
      <c r="F360" s="13" t="str">
        <f t="shared" ref="F360:F423" si="57">IF(C360&lt;&gt;"", TRIM(_xlfn.TEXTBEFORE(C360," ",,1,1)), "")</f>
        <v/>
      </c>
      <c r="G360" s="13" t="str">
        <f t="shared" ref="G360:G423" si="58">IF(D360&lt;&gt;"", TRIM(_xlfn.TEXTBEFORE(D360," ",,1)), "")</f>
        <v/>
      </c>
      <c r="H360" s="13" t="str">
        <f t="shared" ref="H360:H423" si="59">E360</f>
        <v/>
      </c>
      <c r="I360" t="str">
        <f t="shared" ref="I360:I423" si="60">IF(H360&lt;&gt;"",H360,IF(G360&lt;&gt;"",G360,F360))</f>
        <v/>
      </c>
    </row>
    <row r="361" spans="1:9">
      <c r="A361">
        <f>CSV!B361</f>
        <v>0</v>
      </c>
      <c r="B361" s="13" t="e">
        <f>INDEX(Input!$D$2:$AC$500,
       MATCH(CPU_Formula!A361, Input!$J$2:$J$500, 0),
       MATCH("CPU model", Input!$D$1:$AC$1, 0))</f>
        <v>#N/A</v>
      </c>
      <c r="C361" s="13" t="str">
        <f t="shared" si="54"/>
        <v/>
      </c>
      <c r="D361" s="13" t="str">
        <f t="shared" si="55"/>
        <v/>
      </c>
      <c r="E361" s="13" t="str">
        <f t="shared" si="56"/>
        <v/>
      </c>
      <c r="F361" s="13" t="str">
        <f t="shared" si="57"/>
        <v/>
      </c>
      <c r="G361" s="13" t="str">
        <f t="shared" si="58"/>
        <v/>
      </c>
      <c r="H361" s="13" t="str">
        <f t="shared" si="59"/>
        <v/>
      </c>
      <c r="I361" t="str">
        <f t="shared" si="60"/>
        <v/>
      </c>
    </row>
    <row r="362" spans="1:9">
      <c r="A362">
        <f>CSV!B362</f>
        <v>0</v>
      </c>
      <c r="B362" s="13" t="e">
        <f>INDEX(Input!$D$2:$AC$500,
       MATCH(CPU_Formula!A362, Input!$J$2:$J$500, 0),
       MATCH("CPU model", Input!$D$1:$AC$1, 0))</f>
        <v>#N/A</v>
      </c>
      <c r="C362" s="13" t="str">
        <f t="shared" si="54"/>
        <v/>
      </c>
      <c r="D362" s="13" t="str">
        <f t="shared" si="55"/>
        <v/>
      </c>
      <c r="E362" s="13" t="str">
        <f t="shared" si="56"/>
        <v/>
      </c>
      <c r="F362" s="13" t="str">
        <f t="shared" si="57"/>
        <v/>
      </c>
      <c r="G362" s="13" t="str">
        <f t="shared" si="58"/>
        <v/>
      </c>
      <c r="H362" s="13" t="str">
        <f t="shared" si="59"/>
        <v/>
      </c>
      <c r="I362" t="str">
        <f t="shared" si="60"/>
        <v/>
      </c>
    </row>
    <row r="363" spans="1:9">
      <c r="A363">
        <f>CSV!B363</f>
        <v>0</v>
      </c>
      <c r="B363" s="13" t="e">
        <f>INDEX(Input!$D$2:$AC$500,
       MATCH(CPU_Formula!A363, Input!$J$2:$J$500, 0),
       MATCH("CPU model", Input!$D$1:$AC$1, 0))</f>
        <v>#N/A</v>
      </c>
      <c r="C363" s="13" t="str">
        <f t="shared" si="54"/>
        <v/>
      </c>
      <c r="D363" s="13" t="str">
        <f t="shared" si="55"/>
        <v/>
      </c>
      <c r="E363" s="13" t="str">
        <f t="shared" si="56"/>
        <v/>
      </c>
      <c r="F363" s="13" t="str">
        <f t="shared" si="57"/>
        <v/>
      </c>
      <c r="G363" s="13" t="str">
        <f t="shared" si="58"/>
        <v/>
      </c>
      <c r="H363" s="13" t="str">
        <f t="shared" si="59"/>
        <v/>
      </c>
      <c r="I363" t="str">
        <f t="shared" si="60"/>
        <v/>
      </c>
    </row>
    <row r="364" spans="1:9">
      <c r="A364">
        <f>CSV!B364</f>
        <v>0</v>
      </c>
      <c r="B364" s="13" t="e">
        <f>INDEX(Input!$D$2:$AC$500,
       MATCH(CPU_Formula!A364, Input!$J$2:$J$500, 0),
       MATCH("CPU model", Input!$D$1:$AC$1, 0))</f>
        <v>#N/A</v>
      </c>
      <c r="C364" s="13" t="str">
        <f t="shared" si="54"/>
        <v/>
      </c>
      <c r="D364" s="13" t="str">
        <f t="shared" si="55"/>
        <v/>
      </c>
      <c r="E364" s="13" t="str">
        <f t="shared" si="56"/>
        <v/>
      </c>
      <c r="F364" s="13" t="str">
        <f t="shared" si="57"/>
        <v/>
      </c>
      <c r="G364" s="13" t="str">
        <f t="shared" si="58"/>
        <v/>
      </c>
      <c r="H364" s="13" t="str">
        <f t="shared" si="59"/>
        <v/>
      </c>
      <c r="I364" t="str">
        <f t="shared" si="60"/>
        <v/>
      </c>
    </row>
    <row r="365" spans="1:9">
      <c r="A365">
        <f>CSV!B365</f>
        <v>0</v>
      </c>
      <c r="B365" s="13" t="e">
        <f>INDEX(Input!$D$2:$AC$500,
       MATCH(CPU_Formula!A365, Input!$J$2:$J$500, 0),
       MATCH("CPU model", Input!$D$1:$AC$1, 0))</f>
        <v>#N/A</v>
      </c>
      <c r="C365" s="13" t="str">
        <f t="shared" si="54"/>
        <v/>
      </c>
      <c r="D365" s="13" t="str">
        <f t="shared" si="55"/>
        <v/>
      </c>
      <c r="E365" s="13" t="str">
        <f t="shared" si="56"/>
        <v/>
      </c>
      <c r="F365" s="13" t="str">
        <f t="shared" si="57"/>
        <v/>
      </c>
      <c r="G365" s="13" t="str">
        <f t="shared" si="58"/>
        <v/>
      </c>
      <c r="H365" s="13" t="str">
        <f t="shared" si="59"/>
        <v/>
      </c>
      <c r="I365" t="str">
        <f t="shared" si="60"/>
        <v/>
      </c>
    </row>
    <row r="366" spans="1:9">
      <c r="A366">
        <f>CSV!B366</f>
        <v>0</v>
      </c>
      <c r="B366" s="13" t="e">
        <f>INDEX(Input!$D$2:$AC$500,
       MATCH(CPU_Formula!A366, Input!$J$2:$J$500, 0),
       MATCH("CPU model", Input!$D$1:$AC$1, 0))</f>
        <v>#N/A</v>
      </c>
      <c r="C366" s="13" t="str">
        <f t="shared" si="54"/>
        <v/>
      </c>
      <c r="D366" s="13" t="str">
        <f t="shared" si="55"/>
        <v/>
      </c>
      <c r="E366" s="13" t="str">
        <f t="shared" si="56"/>
        <v/>
      </c>
      <c r="F366" s="13" t="str">
        <f t="shared" si="57"/>
        <v/>
      </c>
      <c r="G366" s="13" t="str">
        <f t="shared" si="58"/>
        <v/>
      </c>
      <c r="H366" s="13" t="str">
        <f t="shared" si="59"/>
        <v/>
      </c>
      <c r="I366" t="str">
        <f t="shared" si="60"/>
        <v/>
      </c>
    </row>
    <row r="367" spans="1:9">
      <c r="A367">
        <f>CSV!B367</f>
        <v>0</v>
      </c>
      <c r="B367" s="13" t="e">
        <f>INDEX(Input!$D$2:$AC$500,
       MATCH(CPU_Formula!A367, Input!$J$2:$J$500, 0),
       MATCH("CPU model", Input!$D$1:$AC$1, 0))</f>
        <v>#N/A</v>
      </c>
      <c r="C367" s="13" t="str">
        <f t="shared" si="54"/>
        <v/>
      </c>
      <c r="D367" s="13" t="str">
        <f t="shared" si="55"/>
        <v/>
      </c>
      <c r="E367" s="13" t="str">
        <f t="shared" si="56"/>
        <v/>
      </c>
      <c r="F367" s="13" t="str">
        <f t="shared" si="57"/>
        <v/>
      </c>
      <c r="G367" s="13" t="str">
        <f t="shared" si="58"/>
        <v/>
      </c>
      <c r="H367" s="13" t="str">
        <f t="shared" si="59"/>
        <v/>
      </c>
      <c r="I367" t="str">
        <f t="shared" si="60"/>
        <v/>
      </c>
    </row>
    <row r="368" spans="1:9">
      <c r="A368">
        <f>CSV!B368</f>
        <v>0</v>
      </c>
      <c r="B368" s="13" t="e">
        <f>INDEX(Input!$D$2:$AC$500,
       MATCH(CPU_Formula!A368, Input!$J$2:$J$500, 0),
       MATCH("CPU model", Input!$D$1:$AC$1, 0))</f>
        <v>#N/A</v>
      </c>
      <c r="C368" s="13" t="str">
        <f t="shared" si="54"/>
        <v/>
      </c>
      <c r="D368" s="13" t="str">
        <f t="shared" si="55"/>
        <v/>
      </c>
      <c r="E368" s="13" t="str">
        <f t="shared" si="56"/>
        <v/>
      </c>
      <c r="F368" s="13" t="str">
        <f t="shared" si="57"/>
        <v/>
      </c>
      <c r="G368" s="13" t="str">
        <f t="shared" si="58"/>
        <v/>
      </c>
      <c r="H368" s="13" t="str">
        <f t="shared" si="59"/>
        <v/>
      </c>
      <c r="I368" t="str">
        <f t="shared" si="60"/>
        <v/>
      </c>
    </row>
    <row r="369" spans="1:9">
      <c r="A369">
        <f>CSV!B369</f>
        <v>0</v>
      </c>
      <c r="B369" s="13" t="e">
        <f>INDEX(Input!$D$2:$AC$500,
       MATCH(CPU_Formula!A369, Input!$J$2:$J$500, 0),
       MATCH("CPU model", Input!$D$1:$AC$1, 0))</f>
        <v>#N/A</v>
      </c>
      <c r="C369" s="13" t="str">
        <f t="shared" si="54"/>
        <v/>
      </c>
      <c r="D369" s="13" t="str">
        <f t="shared" si="55"/>
        <v/>
      </c>
      <c r="E369" s="13" t="str">
        <f t="shared" si="56"/>
        <v/>
      </c>
      <c r="F369" s="13" t="str">
        <f t="shared" si="57"/>
        <v/>
      </c>
      <c r="G369" s="13" t="str">
        <f t="shared" si="58"/>
        <v/>
      </c>
      <c r="H369" s="13" t="str">
        <f t="shared" si="59"/>
        <v/>
      </c>
      <c r="I369" t="str">
        <f t="shared" si="60"/>
        <v/>
      </c>
    </row>
    <row r="370" spans="1:9">
      <c r="A370">
        <f>CSV!B370</f>
        <v>0</v>
      </c>
      <c r="B370" s="13" t="e">
        <f>INDEX(Input!$D$2:$AC$500,
       MATCH(CPU_Formula!A370, Input!$J$2:$J$500, 0),
       MATCH("CPU model", Input!$D$1:$AC$1, 0))</f>
        <v>#N/A</v>
      </c>
      <c r="C370" s="13" t="str">
        <f t="shared" si="54"/>
        <v/>
      </c>
      <c r="D370" s="13" t="str">
        <f t="shared" si="55"/>
        <v/>
      </c>
      <c r="E370" s="13" t="str">
        <f t="shared" si="56"/>
        <v/>
      </c>
      <c r="F370" s="13" t="str">
        <f t="shared" si="57"/>
        <v/>
      </c>
      <c r="G370" s="13" t="str">
        <f t="shared" si="58"/>
        <v/>
      </c>
      <c r="H370" s="13" t="str">
        <f t="shared" si="59"/>
        <v/>
      </c>
      <c r="I370" t="str">
        <f t="shared" si="60"/>
        <v/>
      </c>
    </row>
    <row r="371" spans="1:9">
      <c r="A371">
        <f>CSV!B371</f>
        <v>0</v>
      </c>
      <c r="B371" s="13" t="e">
        <f>INDEX(Input!$D$2:$AC$500,
       MATCH(CPU_Formula!A371, Input!$J$2:$J$500, 0),
       MATCH("CPU model", Input!$D$1:$AC$1, 0))</f>
        <v>#N/A</v>
      </c>
      <c r="C371" s="13" t="str">
        <f t="shared" si="54"/>
        <v/>
      </c>
      <c r="D371" s="13" t="str">
        <f t="shared" si="55"/>
        <v/>
      </c>
      <c r="E371" s="13" t="str">
        <f t="shared" si="56"/>
        <v/>
      </c>
      <c r="F371" s="13" t="str">
        <f t="shared" si="57"/>
        <v/>
      </c>
      <c r="G371" s="13" t="str">
        <f t="shared" si="58"/>
        <v/>
      </c>
      <c r="H371" s="13" t="str">
        <f t="shared" si="59"/>
        <v/>
      </c>
      <c r="I371" t="str">
        <f t="shared" si="60"/>
        <v/>
      </c>
    </row>
    <row r="372" spans="1:9">
      <c r="A372">
        <f>CSV!B372</f>
        <v>0</v>
      </c>
      <c r="B372" s="13" t="e">
        <f>INDEX(Input!$D$2:$AC$500,
       MATCH(CPU_Formula!A372, Input!$J$2:$J$500, 0),
       MATCH("CPU model", Input!$D$1:$AC$1, 0))</f>
        <v>#N/A</v>
      </c>
      <c r="C372" s="13" t="str">
        <f t="shared" si="54"/>
        <v/>
      </c>
      <c r="D372" s="13" t="str">
        <f t="shared" si="55"/>
        <v/>
      </c>
      <c r="E372" s="13" t="str">
        <f t="shared" si="56"/>
        <v/>
      </c>
      <c r="F372" s="13" t="str">
        <f t="shared" si="57"/>
        <v/>
      </c>
      <c r="G372" s="13" t="str">
        <f t="shared" si="58"/>
        <v/>
      </c>
      <c r="H372" s="13" t="str">
        <f t="shared" si="59"/>
        <v/>
      </c>
      <c r="I372" t="str">
        <f t="shared" si="60"/>
        <v/>
      </c>
    </row>
    <row r="373" spans="1:9">
      <c r="A373">
        <f>CSV!B373</f>
        <v>0</v>
      </c>
      <c r="B373" s="13" t="e">
        <f>INDEX(Input!$D$2:$AC$500,
       MATCH(CPU_Formula!A373, Input!$J$2:$J$500, 0),
       MATCH("CPU model", Input!$D$1:$AC$1, 0))</f>
        <v>#N/A</v>
      </c>
      <c r="C373" s="13" t="str">
        <f t="shared" si="54"/>
        <v/>
      </c>
      <c r="D373" s="13" t="str">
        <f t="shared" si="55"/>
        <v/>
      </c>
      <c r="E373" s="13" t="str">
        <f t="shared" si="56"/>
        <v/>
      </c>
      <c r="F373" s="13" t="str">
        <f t="shared" si="57"/>
        <v/>
      </c>
      <c r="G373" s="13" t="str">
        <f t="shared" si="58"/>
        <v/>
      </c>
      <c r="H373" s="13" t="str">
        <f t="shared" si="59"/>
        <v/>
      </c>
      <c r="I373" t="str">
        <f t="shared" si="60"/>
        <v/>
      </c>
    </row>
    <row r="374" spans="1:9">
      <c r="A374">
        <f>CSV!B374</f>
        <v>0</v>
      </c>
      <c r="B374" s="13" t="e">
        <f>INDEX(Input!$D$2:$AC$500,
       MATCH(CPU_Formula!A374, Input!$J$2:$J$500, 0),
       MATCH("CPU model", Input!$D$1:$AC$1, 0))</f>
        <v>#N/A</v>
      </c>
      <c r="C374" s="13" t="str">
        <f t="shared" si="54"/>
        <v/>
      </c>
      <c r="D374" s="13" t="str">
        <f t="shared" si="55"/>
        <v/>
      </c>
      <c r="E374" s="13" t="str">
        <f t="shared" si="56"/>
        <v/>
      </c>
      <c r="F374" s="13" t="str">
        <f t="shared" si="57"/>
        <v/>
      </c>
      <c r="G374" s="13" t="str">
        <f t="shared" si="58"/>
        <v/>
      </c>
      <c r="H374" s="13" t="str">
        <f t="shared" si="59"/>
        <v/>
      </c>
      <c r="I374" t="str">
        <f t="shared" si="60"/>
        <v/>
      </c>
    </row>
    <row r="375" spans="1:9">
      <c r="A375">
        <f>CSV!B375</f>
        <v>0</v>
      </c>
      <c r="B375" s="13" t="e">
        <f>INDEX(Input!$D$2:$AC$500,
       MATCH(CPU_Formula!A375, Input!$J$2:$J$500, 0),
       MATCH("CPU model", Input!$D$1:$AC$1, 0))</f>
        <v>#N/A</v>
      </c>
      <c r="C375" s="13" t="str">
        <f t="shared" si="54"/>
        <v/>
      </c>
      <c r="D375" s="13" t="str">
        <f t="shared" si="55"/>
        <v/>
      </c>
      <c r="E375" s="13" t="str">
        <f t="shared" si="56"/>
        <v/>
      </c>
      <c r="F375" s="13" t="str">
        <f t="shared" si="57"/>
        <v/>
      </c>
      <c r="G375" s="13" t="str">
        <f t="shared" si="58"/>
        <v/>
      </c>
      <c r="H375" s="13" t="str">
        <f t="shared" si="59"/>
        <v/>
      </c>
      <c r="I375" t="str">
        <f t="shared" si="60"/>
        <v/>
      </c>
    </row>
    <row r="376" spans="1:9">
      <c r="A376">
        <f>CSV!B376</f>
        <v>0</v>
      </c>
      <c r="B376" s="13" t="e">
        <f>INDEX(Input!$D$2:$AC$500,
       MATCH(CPU_Formula!A376, Input!$J$2:$J$500, 0),
       MATCH("CPU model", Input!$D$1:$AC$1, 0))</f>
        <v>#N/A</v>
      </c>
      <c r="C376" s="13" t="str">
        <f t="shared" si="54"/>
        <v/>
      </c>
      <c r="D376" s="13" t="str">
        <f t="shared" si="55"/>
        <v/>
      </c>
      <c r="E376" s="13" t="str">
        <f t="shared" si="56"/>
        <v/>
      </c>
      <c r="F376" s="13" t="str">
        <f t="shared" si="57"/>
        <v/>
      </c>
      <c r="G376" s="13" t="str">
        <f t="shared" si="58"/>
        <v/>
      </c>
      <c r="H376" s="13" t="str">
        <f t="shared" si="59"/>
        <v/>
      </c>
      <c r="I376" t="str">
        <f t="shared" si="60"/>
        <v/>
      </c>
    </row>
    <row r="377" spans="1:9">
      <c r="A377">
        <f>CSV!B377</f>
        <v>0</v>
      </c>
      <c r="B377" s="13" t="e">
        <f>INDEX(Input!$D$2:$AC$500,
       MATCH(CPU_Formula!A377, Input!$J$2:$J$500, 0),
       MATCH("CPU model", Input!$D$1:$AC$1, 0))</f>
        <v>#N/A</v>
      </c>
      <c r="C377" s="13" t="str">
        <f t="shared" si="54"/>
        <v/>
      </c>
      <c r="D377" s="13" t="str">
        <f t="shared" si="55"/>
        <v/>
      </c>
      <c r="E377" s="13" t="str">
        <f t="shared" si="56"/>
        <v/>
      </c>
      <c r="F377" s="13" t="str">
        <f t="shared" si="57"/>
        <v/>
      </c>
      <c r="G377" s="13" t="str">
        <f t="shared" si="58"/>
        <v/>
      </c>
      <c r="H377" s="13" t="str">
        <f t="shared" si="59"/>
        <v/>
      </c>
      <c r="I377" t="str">
        <f t="shared" si="60"/>
        <v/>
      </c>
    </row>
    <row r="378" spans="1:9">
      <c r="A378">
        <f>CSV!B378</f>
        <v>0</v>
      </c>
      <c r="B378" s="13" t="e">
        <f>INDEX(Input!$D$2:$AC$500,
       MATCH(CPU_Formula!A378, Input!$J$2:$J$500, 0),
       MATCH("CPU model", Input!$D$1:$AC$1, 0))</f>
        <v>#N/A</v>
      </c>
      <c r="C378" s="13" t="str">
        <f t="shared" si="54"/>
        <v/>
      </c>
      <c r="D378" s="13" t="str">
        <f t="shared" si="55"/>
        <v/>
      </c>
      <c r="E378" s="13" t="str">
        <f t="shared" si="56"/>
        <v/>
      </c>
      <c r="F378" s="13" t="str">
        <f t="shared" si="57"/>
        <v/>
      </c>
      <c r="G378" s="13" t="str">
        <f t="shared" si="58"/>
        <v/>
      </c>
      <c r="H378" s="13" t="str">
        <f t="shared" si="59"/>
        <v/>
      </c>
      <c r="I378" t="str">
        <f t="shared" si="60"/>
        <v/>
      </c>
    </row>
    <row r="379" spans="1:9">
      <c r="A379">
        <f>CSV!B379</f>
        <v>0</v>
      </c>
      <c r="B379" s="13" t="e">
        <f>INDEX(Input!$D$2:$AC$500,
       MATCH(CPU_Formula!A379, Input!$J$2:$J$500, 0),
       MATCH("CPU model", Input!$D$1:$AC$1, 0))</f>
        <v>#N/A</v>
      </c>
      <c r="C379" s="13" t="str">
        <f t="shared" si="54"/>
        <v/>
      </c>
      <c r="D379" s="13" t="str">
        <f t="shared" si="55"/>
        <v/>
      </c>
      <c r="E379" s="13" t="str">
        <f t="shared" si="56"/>
        <v/>
      </c>
      <c r="F379" s="13" t="str">
        <f t="shared" si="57"/>
        <v/>
      </c>
      <c r="G379" s="13" t="str">
        <f t="shared" si="58"/>
        <v/>
      </c>
      <c r="H379" s="13" t="str">
        <f t="shared" si="59"/>
        <v/>
      </c>
      <c r="I379" t="str">
        <f t="shared" si="60"/>
        <v/>
      </c>
    </row>
    <row r="380" spans="1:9">
      <c r="A380">
        <f>CSV!B380</f>
        <v>0</v>
      </c>
      <c r="B380" s="13" t="e">
        <f>INDEX(Input!$D$2:$AC$500,
       MATCH(CPU_Formula!A380, Input!$J$2:$J$500, 0),
       MATCH("CPU model", Input!$D$1:$AC$1, 0))</f>
        <v>#N/A</v>
      </c>
      <c r="C380" s="13" t="str">
        <f t="shared" si="54"/>
        <v/>
      </c>
      <c r="D380" s="13" t="str">
        <f t="shared" si="55"/>
        <v/>
      </c>
      <c r="E380" s="13" t="str">
        <f t="shared" si="56"/>
        <v/>
      </c>
      <c r="F380" s="13" t="str">
        <f t="shared" si="57"/>
        <v/>
      </c>
      <c r="G380" s="13" t="str">
        <f t="shared" si="58"/>
        <v/>
      </c>
      <c r="H380" s="13" t="str">
        <f t="shared" si="59"/>
        <v/>
      </c>
      <c r="I380" t="str">
        <f t="shared" si="60"/>
        <v/>
      </c>
    </row>
    <row r="381" spans="1:9">
      <c r="A381">
        <f>CSV!B381</f>
        <v>0</v>
      </c>
      <c r="B381" s="13" t="e">
        <f>INDEX(Input!$D$2:$AC$500,
       MATCH(CPU_Formula!A381, Input!$J$2:$J$500, 0),
       MATCH("CPU model", Input!$D$1:$AC$1, 0))</f>
        <v>#N/A</v>
      </c>
      <c r="C381" s="13" t="str">
        <f t="shared" si="54"/>
        <v/>
      </c>
      <c r="D381" s="13" t="str">
        <f t="shared" si="55"/>
        <v/>
      </c>
      <c r="E381" s="13" t="str">
        <f t="shared" si="56"/>
        <v/>
      </c>
      <c r="F381" s="13" t="str">
        <f t="shared" si="57"/>
        <v/>
      </c>
      <c r="G381" s="13" t="str">
        <f t="shared" si="58"/>
        <v/>
      </c>
      <c r="H381" s="13" t="str">
        <f t="shared" si="59"/>
        <v/>
      </c>
      <c r="I381" t="str">
        <f t="shared" si="60"/>
        <v/>
      </c>
    </row>
    <row r="382" spans="1:9">
      <c r="A382">
        <f>CSV!B382</f>
        <v>0</v>
      </c>
      <c r="B382" s="13" t="e">
        <f>INDEX(Input!$D$2:$AC$500,
       MATCH(CPU_Formula!A382, Input!$J$2:$J$500, 0),
       MATCH("CPU model", Input!$D$1:$AC$1, 0))</f>
        <v>#N/A</v>
      </c>
      <c r="C382" s="13" t="str">
        <f t="shared" si="54"/>
        <v/>
      </c>
      <c r="D382" s="13" t="str">
        <f t="shared" si="55"/>
        <v/>
      </c>
      <c r="E382" s="13" t="str">
        <f t="shared" si="56"/>
        <v/>
      </c>
      <c r="F382" s="13" t="str">
        <f t="shared" si="57"/>
        <v/>
      </c>
      <c r="G382" s="13" t="str">
        <f t="shared" si="58"/>
        <v/>
      </c>
      <c r="H382" s="13" t="str">
        <f t="shared" si="59"/>
        <v/>
      </c>
      <c r="I382" t="str">
        <f t="shared" si="60"/>
        <v/>
      </c>
    </row>
    <row r="383" spans="1:9">
      <c r="A383">
        <f>CSV!B383</f>
        <v>0</v>
      </c>
      <c r="B383" s="13" t="e">
        <f>INDEX(Input!$D$2:$AC$500,
       MATCH(CPU_Formula!A383, Input!$J$2:$J$500, 0),
       MATCH("CPU model", Input!$D$1:$AC$1, 0))</f>
        <v>#N/A</v>
      </c>
      <c r="C383" s="13" t="str">
        <f t="shared" si="54"/>
        <v/>
      </c>
      <c r="D383" s="13" t="str">
        <f t="shared" si="55"/>
        <v/>
      </c>
      <c r="E383" s="13" t="str">
        <f t="shared" si="56"/>
        <v/>
      </c>
      <c r="F383" s="13" t="str">
        <f t="shared" si="57"/>
        <v/>
      </c>
      <c r="G383" s="13" t="str">
        <f t="shared" si="58"/>
        <v/>
      </c>
      <c r="H383" s="13" t="str">
        <f t="shared" si="59"/>
        <v/>
      </c>
      <c r="I383" t="str">
        <f t="shared" si="60"/>
        <v/>
      </c>
    </row>
    <row r="384" spans="1:9">
      <c r="A384">
        <f>CSV!B384</f>
        <v>0</v>
      </c>
      <c r="B384" s="13" t="e">
        <f>INDEX(Input!$D$2:$AC$500,
       MATCH(CPU_Formula!A384, Input!$J$2:$J$500, 0),
       MATCH("CPU model", Input!$D$1:$AC$1, 0))</f>
        <v>#N/A</v>
      </c>
      <c r="C384" s="13" t="str">
        <f t="shared" si="54"/>
        <v/>
      </c>
      <c r="D384" s="13" t="str">
        <f t="shared" si="55"/>
        <v/>
      </c>
      <c r="E384" s="13" t="str">
        <f t="shared" si="56"/>
        <v/>
      </c>
      <c r="F384" s="13" t="str">
        <f t="shared" si="57"/>
        <v/>
      </c>
      <c r="G384" s="13" t="str">
        <f t="shared" si="58"/>
        <v/>
      </c>
      <c r="H384" s="13" t="str">
        <f t="shared" si="59"/>
        <v/>
      </c>
      <c r="I384" t="str">
        <f t="shared" si="60"/>
        <v/>
      </c>
    </row>
    <row r="385" spans="1:9">
      <c r="A385">
        <f>CSV!B385</f>
        <v>0</v>
      </c>
      <c r="B385" s="13" t="e">
        <f>INDEX(Input!$D$2:$AC$500,
       MATCH(CPU_Formula!A385, Input!$J$2:$J$500, 0),
       MATCH("CPU model", Input!$D$1:$AC$1, 0))</f>
        <v>#N/A</v>
      </c>
      <c r="C385" s="13" t="str">
        <f t="shared" si="54"/>
        <v/>
      </c>
      <c r="D385" s="13" t="str">
        <f t="shared" si="55"/>
        <v/>
      </c>
      <c r="E385" s="13" t="str">
        <f t="shared" si="56"/>
        <v/>
      </c>
      <c r="F385" s="13" t="str">
        <f t="shared" si="57"/>
        <v/>
      </c>
      <c r="G385" s="13" t="str">
        <f t="shared" si="58"/>
        <v/>
      </c>
      <c r="H385" s="13" t="str">
        <f t="shared" si="59"/>
        <v/>
      </c>
      <c r="I385" t="str">
        <f t="shared" si="60"/>
        <v/>
      </c>
    </row>
    <row r="386" spans="1:9">
      <c r="A386">
        <f>CSV!B386</f>
        <v>0</v>
      </c>
      <c r="B386" s="13" t="e">
        <f>INDEX(Input!$D$2:$AC$500,
       MATCH(CPU_Formula!A386, Input!$J$2:$J$500, 0),
       MATCH("CPU model", Input!$D$1:$AC$1, 0))</f>
        <v>#N/A</v>
      </c>
      <c r="C386" s="13" t="str">
        <f t="shared" si="54"/>
        <v/>
      </c>
      <c r="D386" s="13" t="str">
        <f t="shared" si="55"/>
        <v/>
      </c>
      <c r="E386" s="13" t="str">
        <f t="shared" si="56"/>
        <v/>
      </c>
      <c r="F386" s="13" t="str">
        <f t="shared" si="57"/>
        <v/>
      </c>
      <c r="G386" s="13" t="str">
        <f t="shared" si="58"/>
        <v/>
      </c>
      <c r="H386" s="13" t="str">
        <f t="shared" si="59"/>
        <v/>
      </c>
      <c r="I386" t="str">
        <f t="shared" si="60"/>
        <v/>
      </c>
    </row>
    <row r="387" spans="1:9">
      <c r="A387">
        <f>CSV!B387</f>
        <v>0</v>
      </c>
      <c r="B387" s="13" t="e">
        <f>INDEX(Input!$D$2:$AC$500,
       MATCH(CPU_Formula!A387, Input!$J$2:$J$500, 0),
       MATCH("CPU model", Input!$D$1:$AC$1, 0))</f>
        <v>#N/A</v>
      </c>
      <c r="C387" s="13" t="str">
        <f t="shared" si="54"/>
        <v/>
      </c>
      <c r="D387" s="13" t="str">
        <f t="shared" si="55"/>
        <v/>
      </c>
      <c r="E387" s="13" t="str">
        <f t="shared" si="56"/>
        <v/>
      </c>
      <c r="F387" s="13" t="str">
        <f t="shared" si="57"/>
        <v/>
      </c>
      <c r="G387" s="13" t="str">
        <f t="shared" si="58"/>
        <v/>
      </c>
      <c r="H387" s="13" t="str">
        <f t="shared" si="59"/>
        <v/>
      </c>
      <c r="I387" t="str">
        <f t="shared" si="60"/>
        <v/>
      </c>
    </row>
    <row r="388" spans="1:9">
      <c r="A388">
        <f>CSV!B388</f>
        <v>0</v>
      </c>
      <c r="B388" s="13" t="e">
        <f>INDEX(Input!$D$2:$AC$500,
       MATCH(CPU_Formula!A388, Input!$J$2:$J$500, 0),
       MATCH("CPU model", Input!$D$1:$AC$1, 0))</f>
        <v>#N/A</v>
      </c>
      <c r="C388" s="13" t="str">
        <f t="shared" si="54"/>
        <v/>
      </c>
      <c r="D388" s="13" t="str">
        <f t="shared" si="55"/>
        <v/>
      </c>
      <c r="E388" s="13" t="str">
        <f t="shared" si="56"/>
        <v/>
      </c>
      <c r="F388" s="13" t="str">
        <f t="shared" si="57"/>
        <v/>
      </c>
      <c r="G388" s="13" t="str">
        <f t="shared" si="58"/>
        <v/>
      </c>
      <c r="H388" s="13" t="str">
        <f t="shared" si="59"/>
        <v/>
      </c>
      <c r="I388" t="str">
        <f t="shared" si="60"/>
        <v/>
      </c>
    </row>
    <row r="389" spans="1:9">
      <c r="A389">
        <f>CSV!B389</f>
        <v>0</v>
      </c>
      <c r="B389" s="13" t="e">
        <f>INDEX(Input!$D$2:$AC$500,
       MATCH(CPU_Formula!A389, Input!$J$2:$J$500, 0),
       MATCH("CPU model", Input!$D$1:$AC$1, 0))</f>
        <v>#N/A</v>
      </c>
      <c r="C389" s="13" t="str">
        <f t="shared" si="54"/>
        <v/>
      </c>
      <c r="D389" s="13" t="str">
        <f t="shared" si="55"/>
        <v/>
      </c>
      <c r="E389" s="13" t="str">
        <f t="shared" si="56"/>
        <v/>
      </c>
      <c r="F389" s="13" t="str">
        <f t="shared" si="57"/>
        <v/>
      </c>
      <c r="G389" s="13" t="str">
        <f t="shared" si="58"/>
        <v/>
      </c>
      <c r="H389" s="13" t="str">
        <f t="shared" si="59"/>
        <v/>
      </c>
      <c r="I389" t="str">
        <f t="shared" si="60"/>
        <v/>
      </c>
    </row>
    <row r="390" spans="1:9">
      <c r="A390">
        <f>CSV!B390</f>
        <v>0</v>
      </c>
      <c r="B390" s="13" t="e">
        <f>INDEX(Input!$D$2:$AC$500,
       MATCH(CPU_Formula!A390, Input!$J$2:$J$500, 0),
       MATCH("CPU model", Input!$D$1:$AC$1, 0))</f>
        <v>#N/A</v>
      </c>
      <c r="C390" s="13" t="str">
        <f t="shared" si="54"/>
        <v/>
      </c>
      <c r="D390" s="13" t="str">
        <f t="shared" si="55"/>
        <v/>
      </c>
      <c r="E390" s="13" t="str">
        <f t="shared" si="56"/>
        <v/>
      </c>
      <c r="F390" s="13" t="str">
        <f t="shared" si="57"/>
        <v/>
      </c>
      <c r="G390" s="13" t="str">
        <f t="shared" si="58"/>
        <v/>
      </c>
      <c r="H390" s="13" t="str">
        <f t="shared" si="59"/>
        <v/>
      </c>
      <c r="I390" t="str">
        <f t="shared" si="60"/>
        <v/>
      </c>
    </row>
    <row r="391" spans="1:9">
      <c r="A391">
        <f>CSV!B391</f>
        <v>0</v>
      </c>
      <c r="B391" s="13" t="e">
        <f>INDEX(Input!$D$2:$AC$500,
       MATCH(CPU_Formula!A391, Input!$J$2:$J$500, 0),
       MATCH("CPU model", Input!$D$1:$AC$1, 0))</f>
        <v>#N/A</v>
      </c>
      <c r="C391" s="13" t="str">
        <f t="shared" si="54"/>
        <v/>
      </c>
      <c r="D391" s="13" t="str">
        <f t="shared" si="55"/>
        <v/>
      </c>
      <c r="E391" s="13" t="str">
        <f t="shared" si="56"/>
        <v/>
      </c>
      <c r="F391" s="13" t="str">
        <f t="shared" si="57"/>
        <v/>
      </c>
      <c r="G391" s="13" t="str">
        <f t="shared" si="58"/>
        <v/>
      </c>
      <c r="H391" s="13" t="str">
        <f t="shared" si="59"/>
        <v/>
      </c>
      <c r="I391" t="str">
        <f t="shared" si="60"/>
        <v/>
      </c>
    </row>
    <row r="392" spans="1:9">
      <c r="A392">
        <f>CSV!B392</f>
        <v>0</v>
      </c>
      <c r="B392" s="13" t="e">
        <f>INDEX(Input!$D$2:$AC$500,
       MATCH(CPU_Formula!A392, Input!$J$2:$J$500, 0),
       MATCH("CPU model", Input!$D$1:$AC$1, 0))</f>
        <v>#N/A</v>
      </c>
      <c r="C392" s="13" t="str">
        <f t="shared" si="54"/>
        <v/>
      </c>
      <c r="D392" s="13" t="str">
        <f t="shared" si="55"/>
        <v/>
      </c>
      <c r="E392" s="13" t="str">
        <f t="shared" si="56"/>
        <v/>
      </c>
      <c r="F392" s="13" t="str">
        <f t="shared" si="57"/>
        <v/>
      </c>
      <c r="G392" s="13" t="str">
        <f t="shared" si="58"/>
        <v/>
      </c>
      <c r="H392" s="13" t="str">
        <f t="shared" si="59"/>
        <v/>
      </c>
      <c r="I392" t="str">
        <f t="shared" si="60"/>
        <v/>
      </c>
    </row>
    <row r="393" spans="1:9">
      <c r="A393">
        <f>CSV!B393</f>
        <v>0</v>
      </c>
      <c r="B393" s="13" t="e">
        <f>INDEX(Input!$D$2:$AC$500,
       MATCH(CPU_Formula!A393, Input!$J$2:$J$500, 0),
       MATCH("CPU model", Input!$D$1:$AC$1, 0))</f>
        <v>#N/A</v>
      </c>
      <c r="C393" s="13" t="str">
        <f t="shared" si="54"/>
        <v/>
      </c>
      <c r="D393" s="13" t="str">
        <f t="shared" si="55"/>
        <v/>
      </c>
      <c r="E393" s="13" t="str">
        <f t="shared" si="56"/>
        <v/>
      </c>
      <c r="F393" s="13" t="str">
        <f t="shared" si="57"/>
        <v/>
      </c>
      <c r="G393" s="13" t="str">
        <f t="shared" si="58"/>
        <v/>
      </c>
      <c r="H393" s="13" t="str">
        <f t="shared" si="59"/>
        <v/>
      </c>
      <c r="I393" t="str">
        <f t="shared" si="60"/>
        <v/>
      </c>
    </row>
    <row r="394" spans="1:9">
      <c r="A394">
        <f>CSV!B394</f>
        <v>0</v>
      </c>
      <c r="B394" s="13" t="e">
        <f>INDEX(Input!$D$2:$AC$500,
       MATCH(CPU_Formula!A394, Input!$J$2:$J$500, 0),
       MATCH("CPU model", Input!$D$1:$AC$1, 0))</f>
        <v>#N/A</v>
      </c>
      <c r="C394" s="13" t="str">
        <f t="shared" si="54"/>
        <v/>
      </c>
      <c r="D394" s="13" t="str">
        <f t="shared" si="55"/>
        <v/>
      </c>
      <c r="E394" s="13" t="str">
        <f t="shared" si="56"/>
        <v/>
      </c>
      <c r="F394" s="13" t="str">
        <f t="shared" si="57"/>
        <v/>
      </c>
      <c r="G394" s="13" t="str">
        <f t="shared" si="58"/>
        <v/>
      </c>
      <c r="H394" s="13" t="str">
        <f t="shared" si="59"/>
        <v/>
      </c>
      <c r="I394" t="str">
        <f t="shared" si="60"/>
        <v/>
      </c>
    </row>
    <row r="395" spans="1:9">
      <c r="A395">
        <f>CSV!B395</f>
        <v>0</v>
      </c>
      <c r="B395" s="13" t="e">
        <f>INDEX(Input!$D$2:$AC$500,
       MATCH(CPU_Formula!A395, Input!$J$2:$J$500, 0),
       MATCH("CPU model", Input!$D$1:$AC$1, 0))</f>
        <v>#N/A</v>
      </c>
      <c r="C395" s="13" t="str">
        <f t="shared" si="54"/>
        <v/>
      </c>
      <c r="D395" s="13" t="str">
        <f t="shared" si="55"/>
        <v/>
      </c>
      <c r="E395" s="13" t="str">
        <f t="shared" si="56"/>
        <v/>
      </c>
      <c r="F395" s="13" t="str">
        <f t="shared" si="57"/>
        <v/>
      </c>
      <c r="G395" s="13" t="str">
        <f t="shared" si="58"/>
        <v/>
      </c>
      <c r="H395" s="13" t="str">
        <f t="shared" si="59"/>
        <v/>
      </c>
      <c r="I395" t="str">
        <f t="shared" si="60"/>
        <v/>
      </c>
    </row>
    <row r="396" spans="1:9">
      <c r="A396">
        <f>CSV!B396</f>
        <v>0</v>
      </c>
      <c r="B396" s="13" t="e">
        <f>INDEX(Input!$D$2:$AC$500,
       MATCH(CPU_Formula!A396, Input!$J$2:$J$500, 0),
       MATCH("CPU model", Input!$D$1:$AC$1, 0))</f>
        <v>#N/A</v>
      </c>
      <c r="C396" s="13" t="str">
        <f t="shared" si="54"/>
        <v/>
      </c>
      <c r="D396" s="13" t="str">
        <f t="shared" si="55"/>
        <v/>
      </c>
      <c r="E396" s="13" t="str">
        <f t="shared" si="56"/>
        <v/>
      </c>
      <c r="F396" s="13" t="str">
        <f t="shared" si="57"/>
        <v/>
      </c>
      <c r="G396" s="13" t="str">
        <f t="shared" si="58"/>
        <v/>
      </c>
      <c r="H396" s="13" t="str">
        <f t="shared" si="59"/>
        <v/>
      </c>
      <c r="I396" t="str">
        <f t="shared" si="60"/>
        <v/>
      </c>
    </row>
    <row r="397" spans="1:9">
      <c r="A397">
        <f>CSV!B397</f>
        <v>0</v>
      </c>
      <c r="B397" s="13" t="e">
        <f>INDEX(Input!$D$2:$AC$500,
       MATCH(CPU_Formula!A397, Input!$J$2:$J$500, 0),
       MATCH("CPU model", Input!$D$1:$AC$1, 0))</f>
        <v>#N/A</v>
      </c>
      <c r="C397" s="13" t="str">
        <f t="shared" si="54"/>
        <v/>
      </c>
      <c r="D397" s="13" t="str">
        <f t="shared" si="55"/>
        <v/>
      </c>
      <c r="E397" s="13" t="str">
        <f t="shared" si="56"/>
        <v/>
      </c>
      <c r="F397" s="13" t="str">
        <f t="shared" si="57"/>
        <v/>
      </c>
      <c r="G397" s="13" t="str">
        <f t="shared" si="58"/>
        <v/>
      </c>
      <c r="H397" s="13" t="str">
        <f t="shared" si="59"/>
        <v/>
      </c>
      <c r="I397" t="str">
        <f t="shared" si="60"/>
        <v/>
      </c>
    </row>
    <row r="398" spans="1:9">
      <c r="A398">
        <f>CSV!B398</f>
        <v>0</v>
      </c>
      <c r="B398" s="13" t="e">
        <f>INDEX(Input!$D$2:$AC$500,
       MATCH(CPU_Formula!A398, Input!$J$2:$J$500, 0),
       MATCH("CPU model", Input!$D$1:$AC$1, 0))</f>
        <v>#N/A</v>
      </c>
      <c r="C398" s="13" t="str">
        <f t="shared" si="54"/>
        <v/>
      </c>
      <c r="D398" s="13" t="str">
        <f t="shared" si="55"/>
        <v/>
      </c>
      <c r="E398" s="13" t="str">
        <f t="shared" si="56"/>
        <v/>
      </c>
      <c r="F398" s="13" t="str">
        <f t="shared" si="57"/>
        <v/>
      </c>
      <c r="G398" s="13" t="str">
        <f t="shared" si="58"/>
        <v/>
      </c>
      <c r="H398" s="13" t="str">
        <f t="shared" si="59"/>
        <v/>
      </c>
      <c r="I398" t="str">
        <f t="shared" si="60"/>
        <v/>
      </c>
    </row>
    <row r="399" spans="1:9">
      <c r="A399">
        <f>CSV!B399</f>
        <v>0</v>
      </c>
      <c r="B399" s="13" t="e">
        <f>INDEX(Input!$D$2:$AC$500,
       MATCH(CPU_Formula!A399, Input!$J$2:$J$500, 0),
       MATCH("CPU model", Input!$D$1:$AC$1, 0))</f>
        <v>#N/A</v>
      </c>
      <c r="C399" s="13" t="str">
        <f t="shared" si="54"/>
        <v/>
      </c>
      <c r="D399" s="13" t="str">
        <f t="shared" si="55"/>
        <v/>
      </c>
      <c r="E399" s="13" t="str">
        <f t="shared" si="56"/>
        <v/>
      </c>
      <c r="F399" s="13" t="str">
        <f t="shared" si="57"/>
        <v/>
      </c>
      <c r="G399" s="13" t="str">
        <f t="shared" si="58"/>
        <v/>
      </c>
      <c r="H399" s="13" t="str">
        <f t="shared" si="59"/>
        <v/>
      </c>
      <c r="I399" t="str">
        <f t="shared" si="60"/>
        <v/>
      </c>
    </row>
    <row r="400" spans="1:9">
      <c r="A400">
        <f>CSV!B400</f>
        <v>0</v>
      </c>
      <c r="B400" s="13" t="e">
        <f>INDEX(Input!$D$2:$AC$500,
       MATCH(CPU_Formula!A400, Input!$J$2:$J$500, 0),
       MATCH("CPU model", Input!$D$1:$AC$1, 0))</f>
        <v>#N/A</v>
      </c>
      <c r="C400" s="13" t="str">
        <f t="shared" si="54"/>
        <v/>
      </c>
      <c r="D400" s="13" t="str">
        <f t="shared" si="55"/>
        <v/>
      </c>
      <c r="E400" s="13" t="str">
        <f t="shared" si="56"/>
        <v/>
      </c>
      <c r="F400" s="13" t="str">
        <f t="shared" si="57"/>
        <v/>
      </c>
      <c r="G400" s="13" t="str">
        <f t="shared" si="58"/>
        <v/>
      </c>
      <c r="H400" s="13" t="str">
        <f t="shared" si="59"/>
        <v/>
      </c>
      <c r="I400" t="str">
        <f t="shared" si="60"/>
        <v/>
      </c>
    </row>
    <row r="401" spans="1:9">
      <c r="A401">
        <f>CSV!B401</f>
        <v>0</v>
      </c>
      <c r="B401" s="13" t="e">
        <f>INDEX(Input!$D$2:$AC$500,
       MATCH(CPU_Formula!A401, Input!$J$2:$J$500, 0),
       MATCH("CPU model", Input!$D$1:$AC$1, 0))</f>
        <v>#N/A</v>
      </c>
      <c r="C401" s="13" t="str">
        <f t="shared" si="54"/>
        <v/>
      </c>
      <c r="D401" s="13" t="str">
        <f t="shared" si="55"/>
        <v/>
      </c>
      <c r="E401" s="13" t="str">
        <f t="shared" si="56"/>
        <v/>
      </c>
      <c r="F401" s="13" t="str">
        <f t="shared" si="57"/>
        <v/>
      </c>
      <c r="G401" s="13" t="str">
        <f t="shared" si="58"/>
        <v/>
      </c>
      <c r="H401" s="13" t="str">
        <f t="shared" si="59"/>
        <v/>
      </c>
      <c r="I401" t="str">
        <f t="shared" si="60"/>
        <v/>
      </c>
    </row>
    <row r="402" spans="1:9">
      <c r="A402">
        <f>CSV!B402</f>
        <v>0</v>
      </c>
      <c r="B402" s="13" t="e">
        <f>INDEX(Input!$D$2:$AC$500,
       MATCH(CPU_Formula!A402, Input!$J$2:$J$500, 0),
       MATCH("CPU model", Input!$D$1:$AC$1, 0))</f>
        <v>#N/A</v>
      </c>
      <c r="C402" s="13" t="str">
        <f t="shared" si="54"/>
        <v/>
      </c>
      <c r="D402" s="13" t="str">
        <f t="shared" si="55"/>
        <v/>
      </c>
      <c r="E402" s="13" t="str">
        <f t="shared" si="56"/>
        <v/>
      </c>
      <c r="F402" s="13" t="str">
        <f t="shared" si="57"/>
        <v/>
      </c>
      <c r="G402" s="13" t="str">
        <f t="shared" si="58"/>
        <v/>
      </c>
      <c r="H402" s="13" t="str">
        <f t="shared" si="59"/>
        <v/>
      </c>
      <c r="I402" t="str">
        <f t="shared" si="60"/>
        <v/>
      </c>
    </row>
    <row r="403" spans="1:9">
      <c r="A403">
        <f>CSV!B403</f>
        <v>0</v>
      </c>
      <c r="B403" s="13" t="e">
        <f>INDEX(Input!$D$2:$AC$500,
       MATCH(CPU_Formula!A403, Input!$J$2:$J$500, 0),
       MATCH("CPU model", Input!$D$1:$AC$1, 0))</f>
        <v>#N/A</v>
      </c>
      <c r="C403" s="13" t="str">
        <f t="shared" si="54"/>
        <v/>
      </c>
      <c r="D403" s="13" t="str">
        <f t="shared" si="55"/>
        <v/>
      </c>
      <c r="E403" s="13" t="str">
        <f t="shared" si="56"/>
        <v/>
      </c>
      <c r="F403" s="13" t="str">
        <f t="shared" si="57"/>
        <v/>
      </c>
      <c r="G403" s="13" t="str">
        <f t="shared" si="58"/>
        <v/>
      </c>
      <c r="H403" s="13" t="str">
        <f t="shared" si="59"/>
        <v/>
      </c>
      <c r="I403" t="str">
        <f t="shared" si="60"/>
        <v/>
      </c>
    </row>
    <row r="404" spans="1:9">
      <c r="A404">
        <f>CSV!B404</f>
        <v>0</v>
      </c>
      <c r="B404" s="13" t="e">
        <f>INDEX(Input!$D$2:$AC$500,
       MATCH(CPU_Formula!A404, Input!$J$2:$J$500, 0),
       MATCH("CPU model", Input!$D$1:$AC$1, 0))</f>
        <v>#N/A</v>
      </c>
      <c r="C404" s="13" t="str">
        <f t="shared" si="54"/>
        <v/>
      </c>
      <c r="D404" s="13" t="str">
        <f t="shared" si="55"/>
        <v/>
      </c>
      <c r="E404" s="13" t="str">
        <f t="shared" si="56"/>
        <v/>
      </c>
      <c r="F404" s="13" t="str">
        <f t="shared" si="57"/>
        <v/>
      </c>
      <c r="G404" s="13" t="str">
        <f t="shared" si="58"/>
        <v/>
      </c>
      <c r="H404" s="13" t="str">
        <f t="shared" si="59"/>
        <v/>
      </c>
      <c r="I404" t="str">
        <f t="shared" si="60"/>
        <v/>
      </c>
    </row>
    <row r="405" spans="1:9">
      <c r="A405">
        <f>CSV!B405</f>
        <v>0</v>
      </c>
      <c r="B405" s="13" t="e">
        <f>INDEX(Input!$D$2:$AC$500,
       MATCH(CPU_Formula!A405, Input!$J$2:$J$500, 0),
       MATCH("CPU model", Input!$D$1:$AC$1, 0))</f>
        <v>#N/A</v>
      </c>
      <c r="C405" s="13" t="str">
        <f t="shared" si="54"/>
        <v/>
      </c>
      <c r="D405" s="13" t="str">
        <f t="shared" si="55"/>
        <v/>
      </c>
      <c r="E405" s="13" t="str">
        <f t="shared" si="56"/>
        <v/>
      </c>
      <c r="F405" s="13" t="str">
        <f t="shared" si="57"/>
        <v/>
      </c>
      <c r="G405" s="13" t="str">
        <f t="shared" si="58"/>
        <v/>
      </c>
      <c r="H405" s="13" t="str">
        <f t="shared" si="59"/>
        <v/>
      </c>
      <c r="I405" t="str">
        <f t="shared" si="60"/>
        <v/>
      </c>
    </row>
    <row r="406" spans="1:9">
      <c r="A406">
        <f>CSV!B406</f>
        <v>0</v>
      </c>
      <c r="B406" s="13" t="e">
        <f>INDEX(Input!$D$2:$AC$500,
       MATCH(CPU_Formula!A406, Input!$J$2:$J$500, 0),
       MATCH("CPU model", Input!$D$1:$AC$1, 0))</f>
        <v>#N/A</v>
      </c>
      <c r="C406" s="13" t="str">
        <f t="shared" si="54"/>
        <v/>
      </c>
      <c r="D406" s="13" t="str">
        <f t="shared" si="55"/>
        <v/>
      </c>
      <c r="E406" s="13" t="str">
        <f t="shared" si="56"/>
        <v/>
      </c>
      <c r="F406" s="13" t="str">
        <f t="shared" si="57"/>
        <v/>
      </c>
      <c r="G406" s="13" t="str">
        <f t="shared" si="58"/>
        <v/>
      </c>
      <c r="H406" s="13" t="str">
        <f t="shared" si="59"/>
        <v/>
      </c>
      <c r="I406" t="str">
        <f t="shared" si="60"/>
        <v/>
      </c>
    </row>
    <row r="407" spans="1:9">
      <c r="A407">
        <f>CSV!B407</f>
        <v>0</v>
      </c>
      <c r="B407" s="13" t="e">
        <f>INDEX(Input!$D$2:$AC$500,
       MATCH(CPU_Formula!A407, Input!$J$2:$J$500, 0),
       MATCH("CPU model", Input!$D$1:$AC$1, 0))</f>
        <v>#N/A</v>
      </c>
      <c r="C407" s="13" t="str">
        <f t="shared" si="54"/>
        <v/>
      </c>
      <c r="D407" s="13" t="str">
        <f t="shared" si="55"/>
        <v/>
      </c>
      <c r="E407" s="13" t="str">
        <f t="shared" si="56"/>
        <v/>
      </c>
      <c r="F407" s="13" t="str">
        <f t="shared" si="57"/>
        <v/>
      </c>
      <c r="G407" s="13" t="str">
        <f t="shared" si="58"/>
        <v/>
      </c>
      <c r="H407" s="13" t="str">
        <f t="shared" si="59"/>
        <v/>
      </c>
      <c r="I407" t="str">
        <f t="shared" si="60"/>
        <v/>
      </c>
    </row>
    <row r="408" spans="1:9">
      <c r="A408">
        <f>CSV!B408</f>
        <v>0</v>
      </c>
      <c r="B408" s="13" t="e">
        <f>INDEX(Input!$D$2:$AC$500,
       MATCH(CPU_Formula!A408, Input!$J$2:$J$500, 0),
       MATCH("CPU model", Input!$D$1:$AC$1, 0))</f>
        <v>#N/A</v>
      </c>
      <c r="C408" s="13" t="str">
        <f t="shared" si="54"/>
        <v/>
      </c>
      <c r="D408" s="13" t="str">
        <f t="shared" si="55"/>
        <v/>
      </c>
      <c r="E408" s="13" t="str">
        <f t="shared" si="56"/>
        <v/>
      </c>
      <c r="F408" s="13" t="str">
        <f t="shared" si="57"/>
        <v/>
      </c>
      <c r="G408" s="13" t="str">
        <f t="shared" si="58"/>
        <v/>
      </c>
      <c r="H408" s="13" t="str">
        <f t="shared" si="59"/>
        <v/>
      </c>
      <c r="I408" t="str">
        <f t="shared" si="60"/>
        <v/>
      </c>
    </row>
    <row r="409" spans="1:9">
      <c r="A409">
        <f>CSV!B409</f>
        <v>0</v>
      </c>
      <c r="B409" s="13" t="e">
        <f>INDEX(Input!$D$2:$AC$500,
       MATCH(CPU_Formula!A409, Input!$J$2:$J$500, 0),
       MATCH("CPU model", Input!$D$1:$AC$1, 0))</f>
        <v>#N/A</v>
      </c>
      <c r="C409" s="13" t="str">
        <f t="shared" si="54"/>
        <v/>
      </c>
      <c r="D409" s="13" t="str">
        <f t="shared" si="55"/>
        <v/>
      </c>
      <c r="E409" s="13" t="str">
        <f t="shared" si="56"/>
        <v/>
      </c>
      <c r="F409" s="13" t="str">
        <f t="shared" si="57"/>
        <v/>
      </c>
      <c r="G409" s="13" t="str">
        <f t="shared" si="58"/>
        <v/>
      </c>
      <c r="H409" s="13" t="str">
        <f t="shared" si="59"/>
        <v/>
      </c>
      <c r="I409" t="str">
        <f t="shared" si="60"/>
        <v/>
      </c>
    </row>
    <row r="410" spans="1:9">
      <c r="A410">
        <f>CSV!B410</f>
        <v>0</v>
      </c>
      <c r="B410" s="13" t="e">
        <f>INDEX(Input!$D$2:$AC$500,
       MATCH(CPU_Formula!A410, Input!$J$2:$J$500, 0),
       MATCH("CPU model", Input!$D$1:$AC$1, 0))</f>
        <v>#N/A</v>
      </c>
      <c r="C410" s="13" t="str">
        <f t="shared" si="54"/>
        <v/>
      </c>
      <c r="D410" s="13" t="str">
        <f t="shared" si="55"/>
        <v/>
      </c>
      <c r="E410" s="13" t="str">
        <f t="shared" si="56"/>
        <v/>
      </c>
      <c r="F410" s="13" t="str">
        <f t="shared" si="57"/>
        <v/>
      </c>
      <c r="G410" s="13" t="str">
        <f t="shared" si="58"/>
        <v/>
      </c>
      <c r="H410" s="13" t="str">
        <f t="shared" si="59"/>
        <v/>
      </c>
      <c r="I410" t="str">
        <f t="shared" si="60"/>
        <v/>
      </c>
    </row>
    <row r="411" spans="1:9">
      <c r="A411">
        <f>CSV!B411</f>
        <v>0</v>
      </c>
      <c r="B411" s="13" t="e">
        <f>INDEX(Input!$D$2:$AC$500,
       MATCH(CPU_Formula!A411, Input!$J$2:$J$500, 0),
       MATCH("CPU model", Input!$D$1:$AC$1, 0))</f>
        <v>#N/A</v>
      </c>
      <c r="C411" s="13" t="str">
        <f t="shared" si="54"/>
        <v/>
      </c>
      <c r="D411" s="13" t="str">
        <f t="shared" si="55"/>
        <v/>
      </c>
      <c r="E411" s="13" t="str">
        <f t="shared" si="56"/>
        <v/>
      </c>
      <c r="F411" s="13" t="str">
        <f t="shared" si="57"/>
        <v/>
      </c>
      <c r="G411" s="13" t="str">
        <f t="shared" si="58"/>
        <v/>
      </c>
      <c r="H411" s="13" t="str">
        <f t="shared" si="59"/>
        <v/>
      </c>
      <c r="I411" t="str">
        <f t="shared" si="60"/>
        <v/>
      </c>
    </row>
    <row r="412" spans="1:9">
      <c r="A412">
        <f>CSV!B412</f>
        <v>0</v>
      </c>
      <c r="B412" s="13" t="e">
        <f>INDEX(Input!$D$2:$AC$500,
       MATCH(CPU_Formula!A412, Input!$J$2:$J$500, 0),
       MATCH("CPU model", Input!$D$1:$AC$1, 0))</f>
        <v>#N/A</v>
      </c>
      <c r="C412" s="13" t="str">
        <f t="shared" si="54"/>
        <v/>
      </c>
      <c r="D412" s="13" t="str">
        <f t="shared" si="55"/>
        <v/>
      </c>
      <c r="E412" s="13" t="str">
        <f t="shared" si="56"/>
        <v/>
      </c>
      <c r="F412" s="13" t="str">
        <f t="shared" si="57"/>
        <v/>
      </c>
      <c r="G412" s="13" t="str">
        <f t="shared" si="58"/>
        <v/>
      </c>
      <c r="H412" s="13" t="str">
        <f t="shared" si="59"/>
        <v/>
      </c>
      <c r="I412" t="str">
        <f t="shared" si="60"/>
        <v/>
      </c>
    </row>
    <row r="413" spans="1:9">
      <c r="A413">
        <f>CSV!B413</f>
        <v>0</v>
      </c>
      <c r="B413" s="13" t="e">
        <f>INDEX(Input!$D$2:$AC$500,
       MATCH(CPU_Formula!A413, Input!$J$2:$J$500, 0),
       MATCH("CPU model", Input!$D$1:$AC$1, 0))</f>
        <v>#N/A</v>
      </c>
      <c r="C413" s="13" t="str">
        <f t="shared" si="54"/>
        <v/>
      </c>
      <c r="D413" s="13" t="str">
        <f t="shared" si="55"/>
        <v/>
      </c>
      <c r="E413" s="13" t="str">
        <f t="shared" si="56"/>
        <v/>
      </c>
      <c r="F413" s="13" t="str">
        <f t="shared" si="57"/>
        <v/>
      </c>
      <c r="G413" s="13" t="str">
        <f t="shared" si="58"/>
        <v/>
      </c>
      <c r="H413" s="13" t="str">
        <f t="shared" si="59"/>
        <v/>
      </c>
      <c r="I413" t="str">
        <f t="shared" si="60"/>
        <v/>
      </c>
    </row>
    <row r="414" spans="1:9">
      <c r="A414">
        <f>CSV!B414</f>
        <v>0</v>
      </c>
      <c r="B414" s="13" t="e">
        <f>INDEX(Input!$D$2:$AC$500,
       MATCH(CPU_Formula!A414, Input!$J$2:$J$500, 0),
       MATCH("CPU model", Input!$D$1:$AC$1, 0))</f>
        <v>#N/A</v>
      </c>
      <c r="C414" s="13" t="str">
        <f t="shared" si="54"/>
        <v/>
      </c>
      <c r="D414" s="13" t="str">
        <f t="shared" si="55"/>
        <v/>
      </c>
      <c r="E414" s="13" t="str">
        <f t="shared" si="56"/>
        <v/>
      </c>
      <c r="F414" s="13" t="str">
        <f t="shared" si="57"/>
        <v/>
      </c>
      <c r="G414" s="13" t="str">
        <f t="shared" si="58"/>
        <v/>
      </c>
      <c r="H414" s="13" t="str">
        <f t="shared" si="59"/>
        <v/>
      </c>
      <c r="I414" t="str">
        <f t="shared" si="60"/>
        <v/>
      </c>
    </row>
    <row r="415" spans="1:9">
      <c r="A415">
        <f>CSV!B415</f>
        <v>0</v>
      </c>
      <c r="B415" s="13" t="e">
        <f>INDEX(Input!$D$2:$AC$500,
       MATCH(CPU_Formula!A415, Input!$J$2:$J$500, 0),
       MATCH("CPU model", Input!$D$1:$AC$1, 0))</f>
        <v>#N/A</v>
      </c>
      <c r="C415" s="13" t="str">
        <f t="shared" si="54"/>
        <v/>
      </c>
      <c r="D415" s="13" t="str">
        <f t="shared" si="55"/>
        <v/>
      </c>
      <c r="E415" s="13" t="str">
        <f t="shared" si="56"/>
        <v/>
      </c>
      <c r="F415" s="13" t="str">
        <f t="shared" si="57"/>
        <v/>
      </c>
      <c r="G415" s="13" t="str">
        <f t="shared" si="58"/>
        <v/>
      </c>
      <c r="H415" s="13" t="str">
        <f t="shared" si="59"/>
        <v/>
      </c>
      <c r="I415" t="str">
        <f t="shared" si="60"/>
        <v/>
      </c>
    </row>
    <row r="416" spans="1:9">
      <c r="A416">
        <f>CSV!B416</f>
        <v>0</v>
      </c>
      <c r="B416" s="13" t="e">
        <f>INDEX(Input!$D$2:$AC$500,
       MATCH(CPU_Formula!A416, Input!$J$2:$J$500, 0),
       MATCH("CPU model", Input!$D$1:$AC$1, 0))</f>
        <v>#N/A</v>
      </c>
      <c r="C416" s="13" t="str">
        <f t="shared" si="54"/>
        <v/>
      </c>
      <c r="D416" s="13" t="str">
        <f t="shared" si="55"/>
        <v/>
      </c>
      <c r="E416" s="13" t="str">
        <f t="shared" si="56"/>
        <v/>
      </c>
      <c r="F416" s="13" t="str">
        <f t="shared" si="57"/>
        <v/>
      </c>
      <c r="G416" s="13" t="str">
        <f t="shared" si="58"/>
        <v/>
      </c>
      <c r="H416" s="13" t="str">
        <f t="shared" si="59"/>
        <v/>
      </c>
      <c r="I416" t="str">
        <f t="shared" si="60"/>
        <v/>
      </c>
    </row>
    <row r="417" spans="1:9">
      <c r="A417">
        <f>CSV!B417</f>
        <v>0</v>
      </c>
      <c r="B417" s="13" t="e">
        <f>INDEX(Input!$D$2:$AC$500,
       MATCH(CPU_Formula!A417, Input!$J$2:$J$500, 0),
       MATCH("CPU model", Input!$D$1:$AC$1, 0))</f>
        <v>#N/A</v>
      </c>
      <c r="C417" s="13" t="str">
        <f t="shared" si="54"/>
        <v/>
      </c>
      <c r="D417" s="13" t="str">
        <f t="shared" si="55"/>
        <v/>
      </c>
      <c r="E417" s="13" t="str">
        <f t="shared" si="56"/>
        <v/>
      </c>
      <c r="F417" s="13" t="str">
        <f t="shared" si="57"/>
        <v/>
      </c>
      <c r="G417" s="13" t="str">
        <f t="shared" si="58"/>
        <v/>
      </c>
      <c r="H417" s="13" t="str">
        <f t="shared" si="59"/>
        <v/>
      </c>
      <c r="I417" t="str">
        <f t="shared" si="60"/>
        <v/>
      </c>
    </row>
    <row r="418" spans="1:9">
      <c r="A418">
        <f>CSV!B418</f>
        <v>0</v>
      </c>
      <c r="B418" s="13" t="e">
        <f>INDEX(Input!$D$2:$AC$500,
       MATCH(CPU_Formula!A418, Input!$J$2:$J$500, 0),
       MATCH("CPU model", Input!$D$1:$AC$1, 0))</f>
        <v>#N/A</v>
      </c>
      <c r="C418" s="13" t="str">
        <f t="shared" si="54"/>
        <v/>
      </c>
      <c r="D418" s="13" t="str">
        <f t="shared" si="55"/>
        <v/>
      </c>
      <c r="E418" s="13" t="str">
        <f t="shared" si="56"/>
        <v/>
      </c>
      <c r="F418" s="13" t="str">
        <f t="shared" si="57"/>
        <v/>
      </c>
      <c r="G418" s="13" t="str">
        <f t="shared" si="58"/>
        <v/>
      </c>
      <c r="H418" s="13" t="str">
        <f t="shared" si="59"/>
        <v/>
      </c>
      <c r="I418" t="str">
        <f t="shared" si="60"/>
        <v/>
      </c>
    </row>
    <row r="419" spans="1:9">
      <c r="A419">
        <f>CSV!B419</f>
        <v>0</v>
      </c>
      <c r="B419" s="13" t="e">
        <f>INDEX(Input!$D$2:$AC$500,
       MATCH(CPU_Formula!A419, Input!$J$2:$J$500, 0),
       MATCH("CPU model", Input!$D$1:$AC$1, 0))</f>
        <v>#N/A</v>
      </c>
      <c r="C419" s="13" t="str">
        <f t="shared" si="54"/>
        <v/>
      </c>
      <c r="D419" s="13" t="str">
        <f t="shared" si="55"/>
        <v/>
      </c>
      <c r="E419" s="13" t="str">
        <f t="shared" si="56"/>
        <v/>
      </c>
      <c r="F419" s="13" t="str">
        <f t="shared" si="57"/>
        <v/>
      </c>
      <c r="G419" s="13" t="str">
        <f t="shared" si="58"/>
        <v/>
      </c>
      <c r="H419" s="13" t="str">
        <f t="shared" si="59"/>
        <v/>
      </c>
      <c r="I419" t="str">
        <f t="shared" si="60"/>
        <v/>
      </c>
    </row>
    <row r="420" spans="1:9">
      <c r="A420">
        <f>CSV!B420</f>
        <v>0</v>
      </c>
      <c r="B420" s="13" t="e">
        <f>INDEX(Input!$D$2:$AC$500,
       MATCH(CPU_Formula!A420, Input!$J$2:$J$500, 0),
       MATCH("CPU model", Input!$D$1:$AC$1, 0))</f>
        <v>#N/A</v>
      </c>
      <c r="C420" s="13" t="str">
        <f t="shared" si="54"/>
        <v/>
      </c>
      <c r="D420" s="13" t="str">
        <f t="shared" si="55"/>
        <v/>
      </c>
      <c r="E420" s="13" t="str">
        <f t="shared" si="56"/>
        <v/>
      </c>
      <c r="F420" s="13" t="str">
        <f t="shared" si="57"/>
        <v/>
      </c>
      <c r="G420" s="13" t="str">
        <f t="shared" si="58"/>
        <v/>
      </c>
      <c r="H420" s="13" t="str">
        <f t="shared" si="59"/>
        <v/>
      </c>
      <c r="I420" t="str">
        <f t="shared" si="60"/>
        <v/>
      </c>
    </row>
    <row r="421" spans="1:9">
      <c r="A421">
        <f>CSV!B421</f>
        <v>0</v>
      </c>
      <c r="B421" s="13" t="e">
        <f>INDEX(Input!$D$2:$AC$500,
       MATCH(CPU_Formula!A421, Input!$J$2:$J$500, 0),
       MATCH("CPU model", Input!$D$1:$AC$1, 0))</f>
        <v>#N/A</v>
      </c>
      <c r="C421" s="13" t="str">
        <f t="shared" si="54"/>
        <v/>
      </c>
      <c r="D421" s="13" t="str">
        <f t="shared" si="55"/>
        <v/>
      </c>
      <c r="E421" s="13" t="str">
        <f t="shared" si="56"/>
        <v/>
      </c>
      <c r="F421" s="13" t="str">
        <f t="shared" si="57"/>
        <v/>
      </c>
      <c r="G421" s="13" t="str">
        <f t="shared" si="58"/>
        <v/>
      </c>
      <c r="H421" s="13" t="str">
        <f t="shared" si="59"/>
        <v/>
      </c>
      <c r="I421" t="str">
        <f t="shared" si="60"/>
        <v/>
      </c>
    </row>
    <row r="422" spans="1:9">
      <c r="A422">
        <f>CSV!B422</f>
        <v>0</v>
      </c>
      <c r="B422" s="13" t="e">
        <f>INDEX(Input!$D$2:$AC$500,
       MATCH(CPU_Formula!A422, Input!$J$2:$J$500, 0),
       MATCH("CPU model", Input!$D$1:$AC$1, 0))</f>
        <v>#N/A</v>
      </c>
      <c r="C422" s="13" t="str">
        <f t="shared" si="54"/>
        <v/>
      </c>
      <c r="D422" s="13" t="str">
        <f t="shared" si="55"/>
        <v/>
      </c>
      <c r="E422" s="13" t="str">
        <f t="shared" si="56"/>
        <v/>
      </c>
      <c r="F422" s="13" t="str">
        <f t="shared" si="57"/>
        <v/>
      </c>
      <c r="G422" s="13" t="str">
        <f t="shared" si="58"/>
        <v/>
      </c>
      <c r="H422" s="13" t="str">
        <f t="shared" si="59"/>
        <v/>
      </c>
      <c r="I422" t="str">
        <f t="shared" si="60"/>
        <v/>
      </c>
    </row>
    <row r="423" spans="1:9">
      <c r="A423">
        <f>CSV!B423</f>
        <v>0</v>
      </c>
      <c r="B423" s="13" t="e">
        <f>INDEX(Input!$D$2:$AC$500,
       MATCH(CPU_Formula!A423, Input!$J$2:$J$500, 0),
       MATCH("CPU model", Input!$D$1:$AC$1, 0))</f>
        <v>#N/A</v>
      </c>
      <c r="C423" s="13" t="str">
        <f t="shared" si="54"/>
        <v/>
      </c>
      <c r="D423" s="13" t="str">
        <f t="shared" si="55"/>
        <v/>
      </c>
      <c r="E423" s="13" t="str">
        <f t="shared" si="56"/>
        <v/>
      </c>
      <c r="F423" s="13" t="str">
        <f t="shared" si="57"/>
        <v/>
      </c>
      <c r="G423" s="13" t="str">
        <f t="shared" si="58"/>
        <v/>
      </c>
      <c r="H423" s="13" t="str">
        <f t="shared" si="59"/>
        <v/>
      </c>
      <c r="I423" t="str">
        <f t="shared" si="60"/>
        <v/>
      </c>
    </row>
    <row r="424" spans="1:9">
      <c r="A424">
        <f>CSV!B424</f>
        <v>0</v>
      </c>
      <c r="B424" s="13" t="e">
        <f>INDEX(Input!$D$2:$AC$500,
       MATCH(CPU_Formula!A424, Input!$J$2:$J$500, 0),
       MATCH("CPU model", Input!$D$1:$AC$1, 0))</f>
        <v>#N/A</v>
      </c>
      <c r="C424" s="13" t="str">
        <f t="shared" ref="C424:C487" si="61">IFERROR(_xlfn.TEXTAFTER(B424,"Core(TM) "),IFERROR(_xlfn.TEXTAFTER(B424,"Xeon(R) CPU"),""))</f>
        <v/>
      </c>
      <c r="D424" s="13" t="str">
        <f t="shared" ref="D424:D487" si="62">IFERROR(_xlfn.TEXTAFTER(B424,"Ryzen "), "")</f>
        <v/>
      </c>
      <c r="E424" s="13" t="str">
        <f t="shared" ref="E424:E487" si="63">IF(ISNUMBER(SEARCH("Ultra", B424)), "Ultra"&amp;_xlfn.TEXTAFTER(B424, "Ultra"), "")</f>
        <v/>
      </c>
      <c r="F424" s="13" t="str">
        <f t="shared" ref="F424:F487" si="64">IF(C424&lt;&gt;"", TRIM(_xlfn.TEXTBEFORE(C424," ",,1,1)), "")</f>
        <v/>
      </c>
      <c r="G424" s="13" t="str">
        <f t="shared" ref="G424:G487" si="65">IF(D424&lt;&gt;"", TRIM(_xlfn.TEXTBEFORE(D424," ",,1)), "")</f>
        <v/>
      </c>
      <c r="H424" s="13" t="str">
        <f t="shared" ref="H424:H487" si="66">E424</f>
        <v/>
      </c>
      <c r="I424" t="str">
        <f t="shared" ref="I424:I487" si="67">IF(H424&lt;&gt;"",H424,IF(G424&lt;&gt;"",G424,F424))</f>
        <v/>
      </c>
    </row>
    <row r="425" spans="1:9">
      <c r="A425">
        <f>CSV!B425</f>
        <v>0</v>
      </c>
      <c r="B425" s="13" t="e">
        <f>INDEX(Input!$D$2:$AC$500,
       MATCH(CPU_Formula!A425, Input!$J$2:$J$500, 0),
       MATCH("CPU model", Input!$D$1:$AC$1, 0))</f>
        <v>#N/A</v>
      </c>
      <c r="C425" s="13" t="str">
        <f t="shared" si="61"/>
        <v/>
      </c>
      <c r="D425" s="13" t="str">
        <f t="shared" si="62"/>
        <v/>
      </c>
      <c r="E425" s="13" t="str">
        <f t="shared" si="63"/>
        <v/>
      </c>
      <c r="F425" s="13" t="str">
        <f t="shared" si="64"/>
        <v/>
      </c>
      <c r="G425" s="13" t="str">
        <f t="shared" si="65"/>
        <v/>
      </c>
      <c r="H425" s="13" t="str">
        <f t="shared" si="66"/>
        <v/>
      </c>
      <c r="I425" t="str">
        <f t="shared" si="67"/>
        <v/>
      </c>
    </row>
    <row r="426" spans="1:9">
      <c r="A426">
        <f>CSV!B426</f>
        <v>0</v>
      </c>
      <c r="B426" s="13" t="e">
        <f>INDEX(Input!$D$2:$AC$500,
       MATCH(CPU_Formula!A426, Input!$J$2:$J$500, 0),
       MATCH("CPU model", Input!$D$1:$AC$1, 0))</f>
        <v>#N/A</v>
      </c>
      <c r="C426" s="13" t="str">
        <f t="shared" si="61"/>
        <v/>
      </c>
      <c r="D426" s="13" t="str">
        <f t="shared" si="62"/>
        <v/>
      </c>
      <c r="E426" s="13" t="str">
        <f t="shared" si="63"/>
        <v/>
      </c>
      <c r="F426" s="13" t="str">
        <f t="shared" si="64"/>
        <v/>
      </c>
      <c r="G426" s="13" t="str">
        <f t="shared" si="65"/>
        <v/>
      </c>
      <c r="H426" s="13" t="str">
        <f t="shared" si="66"/>
        <v/>
      </c>
      <c r="I426" t="str">
        <f t="shared" si="67"/>
        <v/>
      </c>
    </row>
    <row r="427" spans="1:9">
      <c r="A427">
        <f>CSV!B427</f>
        <v>0</v>
      </c>
      <c r="B427" s="13" t="e">
        <f>INDEX(Input!$D$2:$AC$500,
       MATCH(CPU_Formula!A427, Input!$J$2:$J$500, 0),
       MATCH("CPU model", Input!$D$1:$AC$1, 0))</f>
        <v>#N/A</v>
      </c>
      <c r="C427" s="13" t="str">
        <f t="shared" si="61"/>
        <v/>
      </c>
      <c r="D427" s="13" t="str">
        <f t="shared" si="62"/>
        <v/>
      </c>
      <c r="E427" s="13" t="str">
        <f t="shared" si="63"/>
        <v/>
      </c>
      <c r="F427" s="13" t="str">
        <f t="shared" si="64"/>
        <v/>
      </c>
      <c r="G427" s="13" t="str">
        <f t="shared" si="65"/>
        <v/>
      </c>
      <c r="H427" s="13" t="str">
        <f t="shared" si="66"/>
        <v/>
      </c>
      <c r="I427" t="str">
        <f t="shared" si="67"/>
        <v/>
      </c>
    </row>
    <row r="428" spans="1:9">
      <c r="A428">
        <f>CSV!B428</f>
        <v>0</v>
      </c>
      <c r="B428" s="13" t="e">
        <f>INDEX(Input!$D$2:$AC$500,
       MATCH(CPU_Formula!A428, Input!$J$2:$J$500, 0),
       MATCH("CPU model", Input!$D$1:$AC$1, 0))</f>
        <v>#N/A</v>
      </c>
      <c r="C428" s="13" t="str">
        <f t="shared" si="61"/>
        <v/>
      </c>
      <c r="D428" s="13" t="str">
        <f t="shared" si="62"/>
        <v/>
      </c>
      <c r="E428" s="13" t="str">
        <f t="shared" si="63"/>
        <v/>
      </c>
      <c r="F428" s="13" t="str">
        <f t="shared" si="64"/>
        <v/>
      </c>
      <c r="G428" s="13" t="str">
        <f t="shared" si="65"/>
        <v/>
      </c>
      <c r="H428" s="13" t="str">
        <f t="shared" si="66"/>
        <v/>
      </c>
      <c r="I428" t="str">
        <f t="shared" si="67"/>
        <v/>
      </c>
    </row>
    <row r="429" spans="1:9">
      <c r="A429">
        <f>CSV!B429</f>
        <v>0</v>
      </c>
      <c r="B429" s="13" t="e">
        <f>INDEX(Input!$D$2:$AC$500,
       MATCH(CPU_Formula!A429, Input!$J$2:$J$500, 0),
       MATCH("CPU model", Input!$D$1:$AC$1, 0))</f>
        <v>#N/A</v>
      </c>
      <c r="C429" s="13" t="str">
        <f t="shared" si="61"/>
        <v/>
      </c>
      <c r="D429" s="13" t="str">
        <f t="shared" si="62"/>
        <v/>
      </c>
      <c r="E429" s="13" t="str">
        <f t="shared" si="63"/>
        <v/>
      </c>
      <c r="F429" s="13" t="str">
        <f t="shared" si="64"/>
        <v/>
      </c>
      <c r="G429" s="13" t="str">
        <f t="shared" si="65"/>
        <v/>
      </c>
      <c r="H429" s="13" t="str">
        <f t="shared" si="66"/>
        <v/>
      </c>
      <c r="I429" t="str">
        <f t="shared" si="67"/>
        <v/>
      </c>
    </row>
    <row r="430" spans="1:9">
      <c r="A430">
        <f>CSV!B430</f>
        <v>0</v>
      </c>
      <c r="B430" s="13" t="e">
        <f>INDEX(Input!$D$2:$AC$500,
       MATCH(CPU_Formula!A430, Input!$J$2:$J$500, 0),
       MATCH("CPU model", Input!$D$1:$AC$1, 0))</f>
        <v>#N/A</v>
      </c>
      <c r="C430" s="13" t="str">
        <f t="shared" si="61"/>
        <v/>
      </c>
      <c r="D430" s="13" t="str">
        <f t="shared" si="62"/>
        <v/>
      </c>
      <c r="E430" s="13" t="str">
        <f t="shared" si="63"/>
        <v/>
      </c>
      <c r="F430" s="13" t="str">
        <f t="shared" si="64"/>
        <v/>
      </c>
      <c r="G430" s="13" t="str">
        <f t="shared" si="65"/>
        <v/>
      </c>
      <c r="H430" s="13" t="str">
        <f t="shared" si="66"/>
        <v/>
      </c>
      <c r="I430" t="str">
        <f t="shared" si="67"/>
        <v/>
      </c>
    </row>
    <row r="431" spans="1:9">
      <c r="A431">
        <f>CSV!B431</f>
        <v>0</v>
      </c>
      <c r="B431" s="13" t="e">
        <f>INDEX(Input!$D$2:$AC$500,
       MATCH(CPU_Formula!A431, Input!$J$2:$J$500, 0),
       MATCH("CPU model", Input!$D$1:$AC$1, 0))</f>
        <v>#N/A</v>
      </c>
      <c r="C431" s="13" t="str">
        <f t="shared" si="61"/>
        <v/>
      </c>
      <c r="D431" s="13" t="str">
        <f t="shared" si="62"/>
        <v/>
      </c>
      <c r="E431" s="13" t="str">
        <f t="shared" si="63"/>
        <v/>
      </c>
      <c r="F431" s="13" t="str">
        <f t="shared" si="64"/>
        <v/>
      </c>
      <c r="G431" s="13" t="str">
        <f t="shared" si="65"/>
        <v/>
      </c>
      <c r="H431" s="13" t="str">
        <f t="shared" si="66"/>
        <v/>
      </c>
      <c r="I431" t="str">
        <f t="shared" si="67"/>
        <v/>
      </c>
    </row>
    <row r="432" spans="1:9">
      <c r="A432">
        <f>CSV!B432</f>
        <v>0</v>
      </c>
      <c r="B432" s="13" t="e">
        <f>INDEX(Input!$D$2:$AC$500,
       MATCH(CPU_Formula!A432, Input!$J$2:$J$500, 0),
       MATCH("CPU model", Input!$D$1:$AC$1, 0))</f>
        <v>#N/A</v>
      </c>
      <c r="C432" s="13" t="str">
        <f t="shared" si="61"/>
        <v/>
      </c>
      <c r="D432" s="13" t="str">
        <f t="shared" si="62"/>
        <v/>
      </c>
      <c r="E432" s="13" t="str">
        <f t="shared" si="63"/>
        <v/>
      </c>
      <c r="F432" s="13" t="str">
        <f t="shared" si="64"/>
        <v/>
      </c>
      <c r="G432" s="13" t="str">
        <f t="shared" si="65"/>
        <v/>
      </c>
      <c r="H432" s="13" t="str">
        <f t="shared" si="66"/>
        <v/>
      </c>
      <c r="I432" t="str">
        <f t="shared" si="67"/>
        <v/>
      </c>
    </row>
    <row r="433" spans="1:9">
      <c r="A433">
        <f>CSV!B433</f>
        <v>0</v>
      </c>
      <c r="B433" s="13" t="e">
        <f>INDEX(Input!$D$2:$AC$500,
       MATCH(CPU_Formula!A433, Input!$J$2:$J$500, 0),
       MATCH("CPU model", Input!$D$1:$AC$1, 0))</f>
        <v>#N/A</v>
      </c>
      <c r="C433" s="13" t="str">
        <f t="shared" si="61"/>
        <v/>
      </c>
      <c r="D433" s="13" t="str">
        <f t="shared" si="62"/>
        <v/>
      </c>
      <c r="E433" s="13" t="str">
        <f t="shared" si="63"/>
        <v/>
      </c>
      <c r="F433" s="13" t="str">
        <f t="shared" si="64"/>
        <v/>
      </c>
      <c r="G433" s="13" t="str">
        <f t="shared" si="65"/>
        <v/>
      </c>
      <c r="H433" s="13" t="str">
        <f t="shared" si="66"/>
        <v/>
      </c>
      <c r="I433" t="str">
        <f t="shared" si="67"/>
        <v/>
      </c>
    </row>
    <row r="434" spans="1:9">
      <c r="A434">
        <f>CSV!B434</f>
        <v>0</v>
      </c>
      <c r="B434" s="13" t="e">
        <f>INDEX(Input!$D$2:$AC$500,
       MATCH(CPU_Formula!A434, Input!$J$2:$J$500, 0),
       MATCH("CPU model", Input!$D$1:$AC$1, 0))</f>
        <v>#N/A</v>
      </c>
      <c r="C434" s="13" t="str">
        <f t="shared" si="61"/>
        <v/>
      </c>
      <c r="D434" s="13" t="str">
        <f t="shared" si="62"/>
        <v/>
      </c>
      <c r="E434" s="13" t="str">
        <f t="shared" si="63"/>
        <v/>
      </c>
      <c r="F434" s="13" t="str">
        <f t="shared" si="64"/>
        <v/>
      </c>
      <c r="G434" s="13" t="str">
        <f t="shared" si="65"/>
        <v/>
      </c>
      <c r="H434" s="13" t="str">
        <f t="shared" si="66"/>
        <v/>
      </c>
      <c r="I434" t="str">
        <f t="shared" si="67"/>
        <v/>
      </c>
    </row>
    <row r="435" spans="1:9">
      <c r="A435">
        <f>CSV!B435</f>
        <v>0</v>
      </c>
      <c r="B435" s="13" t="e">
        <f>INDEX(Input!$D$2:$AC$500,
       MATCH(CPU_Formula!A435, Input!$J$2:$J$500, 0),
       MATCH("CPU model", Input!$D$1:$AC$1, 0))</f>
        <v>#N/A</v>
      </c>
      <c r="C435" s="13" t="str">
        <f t="shared" si="61"/>
        <v/>
      </c>
      <c r="D435" s="13" t="str">
        <f t="shared" si="62"/>
        <v/>
      </c>
      <c r="E435" s="13" t="str">
        <f t="shared" si="63"/>
        <v/>
      </c>
      <c r="F435" s="13" t="str">
        <f t="shared" si="64"/>
        <v/>
      </c>
      <c r="G435" s="13" t="str">
        <f t="shared" si="65"/>
        <v/>
      </c>
      <c r="H435" s="13" t="str">
        <f t="shared" si="66"/>
        <v/>
      </c>
      <c r="I435" t="str">
        <f t="shared" si="67"/>
        <v/>
      </c>
    </row>
    <row r="436" spans="1:9">
      <c r="A436">
        <f>CSV!B436</f>
        <v>0</v>
      </c>
      <c r="B436" s="13" t="e">
        <f>INDEX(Input!$D$2:$AC$500,
       MATCH(CPU_Formula!A436, Input!$J$2:$J$500, 0),
       MATCH("CPU model", Input!$D$1:$AC$1, 0))</f>
        <v>#N/A</v>
      </c>
      <c r="C436" s="13" t="str">
        <f t="shared" si="61"/>
        <v/>
      </c>
      <c r="D436" s="13" t="str">
        <f t="shared" si="62"/>
        <v/>
      </c>
      <c r="E436" s="13" t="str">
        <f t="shared" si="63"/>
        <v/>
      </c>
      <c r="F436" s="13" t="str">
        <f t="shared" si="64"/>
        <v/>
      </c>
      <c r="G436" s="13" t="str">
        <f t="shared" si="65"/>
        <v/>
      </c>
      <c r="H436" s="13" t="str">
        <f t="shared" si="66"/>
        <v/>
      </c>
      <c r="I436" t="str">
        <f t="shared" si="67"/>
        <v/>
      </c>
    </row>
    <row r="437" spans="1:9">
      <c r="A437">
        <f>CSV!B437</f>
        <v>0</v>
      </c>
      <c r="B437" s="13" t="e">
        <f>INDEX(Input!$D$2:$AC$500,
       MATCH(CPU_Formula!A437, Input!$J$2:$J$500, 0),
       MATCH("CPU model", Input!$D$1:$AC$1, 0))</f>
        <v>#N/A</v>
      </c>
      <c r="C437" s="13" t="str">
        <f t="shared" si="61"/>
        <v/>
      </c>
      <c r="D437" s="13" t="str">
        <f t="shared" si="62"/>
        <v/>
      </c>
      <c r="E437" s="13" t="str">
        <f t="shared" si="63"/>
        <v/>
      </c>
      <c r="F437" s="13" t="str">
        <f t="shared" si="64"/>
        <v/>
      </c>
      <c r="G437" s="13" t="str">
        <f t="shared" si="65"/>
        <v/>
      </c>
      <c r="H437" s="13" t="str">
        <f t="shared" si="66"/>
        <v/>
      </c>
      <c r="I437" t="str">
        <f t="shared" si="67"/>
        <v/>
      </c>
    </row>
    <row r="438" spans="1:9">
      <c r="A438">
        <f>CSV!B438</f>
        <v>0</v>
      </c>
      <c r="B438" s="13" t="e">
        <f>INDEX(Input!$D$2:$AC$500,
       MATCH(CPU_Formula!A438, Input!$J$2:$J$500, 0),
       MATCH("CPU model", Input!$D$1:$AC$1, 0))</f>
        <v>#N/A</v>
      </c>
      <c r="C438" s="13" t="str">
        <f t="shared" si="61"/>
        <v/>
      </c>
      <c r="D438" s="13" t="str">
        <f t="shared" si="62"/>
        <v/>
      </c>
      <c r="E438" s="13" t="str">
        <f t="shared" si="63"/>
        <v/>
      </c>
      <c r="F438" s="13" t="str">
        <f t="shared" si="64"/>
        <v/>
      </c>
      <c r="G438" s="13" t="str">
        <f t="shared" si="65"/>
        <v/>
      </c>
      <c r="H438" s="13" t="str">
        <f t="shared" si="66"/>
        <v/>
      </c>
      <c r="I438" t="str">
        <f t="shared" si="67"/>
        <v/>
      </c>
    </row>
    <row r="439" spans="1:9">
      <c r="A439">
        <f>CSV!B439</f>
        <v>0</v>
      </c>
      <c r="B439" s="13" t="e">
        <f>INDEX(Input!$D$2:$AC$500,
       MATCH(CPU_Formula!A439, Input!$J$2:$J$500, 0),
       MATCH("CPU model", Input!$D$1:$AC$1, 0))</f>
        <v>#N/A</v>
      </c>
      <c r="C439" s="13" t="str">
        <f t="shared" si="61"/>
        <v/>
      </c>
      <c r="D439" s="13" t="str">
        <f t="shared" si="62"/>
        <v/>
      </c>
      <c r="E439" s="13" t="str">
        <f t="shared" si="63"/>
        <v/>
      </c>
      <c r="F439" s="13" t="str">
        <f t="shared" si="64"/>
        <v/>
      </c>
      <c r="G439" s="13" t="str">
        <f t="shared" si="65"/>
        <v/>
      </c>
      <c r="H439" s="13" t="str">
        <f t="shared" si="66"/>
        <v/>
      </c>
      <c r="I439" t="str">
        <f t="shared" si="67"/>
        <v/>
      </c>
    </row>
    <row r="440" spans="1:9">
      <c r="A440">
        <f>CSV!B440</f>
        <v>0</v>
      </c>
      <c r="B440" s="13" t="e">
        <f>INDEX(Input!$D$2:$AC$500,
       MATCH(CPU_Formula!A440, Input!$J$2:$J$500, 0),
       MATCH("CPU model", Input!$D$1:$AC$1, 0))</f>
        <v>#N/A</v>
      </c>
      <c r="C440" s="13" t="str">
        <f t="shared" si="61"/>
        <v/>
      </c>
      <c r="D440" s="13" t="str">
        <f t="shared" si="62"/>
        <v/>
      </c>
      <c r="E440" s="13" t="str">
        <f t="shared" si="63"/>
        <v/>
      </c>
      <c r="F440" s="13" t="str">
        <f t="shared" si="64"/>
        <v/>
      </c>
      <c r="G440" s="13" t="str">
        <f t="shared" si="65"/>
        <v/>
      </c>
      <c r="H440" s="13" t="str">
        <f t="shared" si="66"/>
        <v/>
      </c>
      <c r="I440" t="str">
        <f t="shared" si="67"/>
        <v/>
      </c>
    </row>
    <row r="441" spans="1:9">
      <c r="A441">
        <f>CSV!B441</f>
        <v>0</v>
      </c>
      <c r="B441" s="13" t="e">
        <f>INDEX(Input!$D$2:$AC$500,
       MATCH(CPU_Formula!A441, Input!$J$2:$J$500, 0),
       MATCH("CPU model", Input!$D$1:$AC$1, 0))</f>
        <v>#N/A</v>
      </c>
      <c r="C441" s="13" t="str">
        <f t="shared" si="61"/>
        <v/>
      </c>
      <c r="D441" s="13" t="str">
        <f t="shared" si="62"/>
        <v/>
      </c>
      <c r="E441" s="13" t="str">
        <f t="shared" si="63"/>
        <v/>
      </c>
      <c r="F441" s="13" t="str">
        <f t="shared" si="64"/>
        <v/>
      </c>
      <c r="G441" s="13" t="str">
        <f t="shared" si="65"/>
        <v/>
      </c>
      <c r="H441" s="13" t="str">
        <f t="shared" si="66"/>
        <v/>
      </c>
      <c r="I441" t="str">
        <f t="shared" si="67"/>
        <v/>
      </c>
    </row>
    <row r="442" spans="1:9">
      <c r="A442">
        <f>CSV!B442</f>
        <v>0</v>
      </c>
      <c r="B442" s="13" t="e">
        <f>INDEX(Input!$D$2:$AC$500,
       MATCH(CPU_Formula!A442, Input!$J$2:$J$500, 0),
       MATCH("CPU model", Input!$D$1:$AC$1, 0))</f>
        <v>#N/A</v>
      </c>
      <c r="C442" s="13" t="str">
        <f t="shared" si="61"/>
        <v/>
      </c>
      <c r="D442" s="13" t="str">
        <f t="shared" si="62"/>
        <v/>
      </c>
      <c r="E442" s="13" t="str">
        <f t="shared" si="63"/>
        <v/>
      </c>
      <c r="F442" s="13" t="str">
        <f t="shared" si="64"/>
        <v/>
      </c>
      <c r="G442" s="13" t="str">
        <f t="shared" si="65"/>
        <v/>
      </c>
      <c r="H442" s="13" t="str">
        <f t="shared" si="66"/>
        <v/>
      </c>
      <c r="I442" t="str">
        <f t="shared" si="67"/>
        <v/>
      </c>
    </row>
    <row r="443" spans="1:9">
      <c r="A443">
        <f>CSV!B443</f>
        <v>0</v>
      </c>
      <c r="B443" s="13" t="e">
        <f>INDEX(Input!$D$2:$AC$500,
       MATCH(CPU_Formula!A443, Input!$J$2:$J$500, 0),
       MATCH("CPU model", Input!$D$1:$AC$1, 0))</f>
        <v>#N/A</v>
      </c>
      <c r="C443" s="13" t="str">
        <f t="shared" si="61"/>
        <v/>
      </c>
      <c r="D443" s="13" t="str">
        <f t="shared" si="62"/>
        <v/>
      </c>
      <c r="E443" s="13" t="str">
        <f t="shared" si="63"/>
        <v/>
      </c>
      <c r="F443" s="13" t="str">
        <f t="shared" si="64"/>
        <v/>
      </c>
      <c r="G443" s="13" t="str">
        <f t="shared" si="65"/>
        <v/>
      </c>
      <c r="H443" s="13" t="str">
        <f t="shared" si="66"/>
        <v/>
      </c>
      <c r="I443" t="str">
        <f t="shared" si="67"/>
        <v/>
      </c>
    </row>
    <row r="444" spans="1:9">
      <c r="A444">
        <f>CSV!B444</f>
        <v>0</v>
      </c>
      <c r="B444" s="13" t="e">
        <f>INDEX(Input!$D$2:$AC$500,
       MATCH(CPU_Formula!A444, Input!$J$2:$J$500, 0),
       MATCH("CPU model", Input!$D$1:$AC$1, 0))</f>
        <v>#N/A</v>
      </c>
      <c r="C444" s="13" t="str">
        <f t="shared" si="61"/>
        <v/>
      </c>
      <c r="D444" s="13" t="str">
        <f t="shared" si="62"/>
        <v/>
      </c>
      <c r="E444" s="13" t="str">
        <f t="shared" si="63"/>
        <v/>
      </c>
      <c r="F444" s="13" t="str">
        <f t="shared" si="64"/>
        <v/>
      </c>
      <c r="G444" s="13" t="str">
        <f t="shared" si="65"/>
        <v/>
      </c>
      <c r="H444" s="13" t="str">
        <f t="shared" si="66"/>
        <v/>
      </c>
      <c r="I444" t="str">
        <f t="shared" si="67"/>
        <v/>
      </c>
    </row>
    <row r="445" spans="1:9">
      <c r="A445">
        <f>CSV!B445</f>
        <v>0</v>
      </c>
      <c r="B445" s="13" t="e">
        <f>INDEX(Input!$D$2:$AC$500,
       MATCH(CPU_Formula!A445, Input!$J$2:$J$500, 0),
       MATCH("CPU model", Input!$D$1:$AC$1, 0))</f>
        <v>#N/A</v>
      </c>
      <c r="C445" s="13" t="str">
        <f t="shared" si="61"/>
        <v/>
      </c>
      <c r="D445" s="13" t="str">
        <f t="shared" si="62"/>
        <v/>
      </c>
      <c r="E445" s="13" t="str">
        <f t="shared" si="63"/>
        <v/>
      </c>
      <c r="F445" s="13" t="str">
        <f t="shared" si="64"/>
        <v/>
      </c>
      <c r="G445" s="13" t="str">
        <f t="shared" si="65"/>
        <v/>
      </c>
      <c r="H445" s="13" t="str">
        <f t="shared" si="66"/>
        <v/>
      </c>
      <c r="I445" t="str">
        <f t="shared" si="67"/>
        <v/>
      </c>
    </row>
    <row r="446" spans="1:9">
      <c r="A446">
        <f>CSV!B446</f>
        <v>0</v>
      </c>
      <c r="B446" s="13" t="e">
        <f>INDEX(Input!$D$2:$AC$500,
       MATCH(CPU_Formula!A446, Input!$J$2:$J$500, 0),
       MATCH("CPU model", Input!$D$1:$AC$1, 0))</f>
        <v>#N/A</v>
      </c>
      <c r="C446" s="13" t="str">
        <f t="shared" si="61"/>
        <v/>
      </c>
      <c r="D446" s="13" t="str">
        <f t="shared" si="62"/>
        <v/>
      </c>
      <c r="E446" s="13" t="str">
        <f t="shared" si="63"/>
        <v/>
      </c>
      <c r="F446" s="13" t="str">
        <f t="shared" si="64"/>
        <v/>
      </c>
      <c r="G446" s="13" t="str">
        <f t="shared" si="65"/>
        <v/>
      </c>
      <c r="H446" s="13" t="str">
        <f t="shared" si="66"/>
        <v/>
      </c>
      <c r="I446" t="str">
        <f t="shared" si="67"/>
        <v/>
      </c>
    </row>
    <row r="447" spans="1:9">
      <c r="A447">
        <f>CSV!B447</f>
        <v>0</v>
      </c>
      <c r="B447" s="13" t="e">
        <f>INDEX(Input!$D$2:$AC$500,
       MATCH(CPU_Formula!A447, Input!$J$2:$J$500, 0),
       MATCH("CPU model", Input!$D$1:$AC$1, 0))</f>
        <v>#N/A</v>
      </c>
      <c r="C447" s="13" t="str">
        <f t="shared" si="61"/>
        <v/>
      </c>
      <c r="D447" s="13" t="str">
        <f t="shared" si="62"/>
        <v/>
      </c>
      <c r="E447" s="13" t="str">
        <f t="shared" si="63"/>
        <v/>
      </c>
      <c r="F447" s="13" t="str">
        <f t="shared" si="64"/>
        <v/>
      </c>
      <c r="G447" s="13" t="str">
        <f t="shared" si="65"/>
        <v/>
      </c>
      <c r="H447" s="13" t="str">
        <f t="shared" si="66"/>
        <v/>
      </c>
      <c r="I447" t="str">
        <f t="shared" si="67"/>
        <v/>
      </c>
    </row>
    <row r="448" spans="1:9">
      <c r="A448">
        <f>CSV!B448</f>
        <v>0</v>
      </c>
      <c r="B448" s="13" t="e">
        <f>INDEX(Input!$D$2:$AC$500,
       MATCH(CPU_Formula!A448, Input!$J$2:$J$500, 0),
       MATCH("CPU model", Input!$D$1:$AC$1, 0))</f>
        <v>#N/A</v>
      </c>
      <c r="C448" s="13" t="str">
        <f t="shared" si="61"/>
        <v/>
      </c>
      <c r="D448" s="13" t="str">
        <f t="shared" si="62"/>
        <v/>
      </c>
      <c r="E448" s="13" t="str">
        <f t="shared" si="63"/>
        <v/>
      </c>
      <c r="F448" s="13" t="str">
        <f t="shared" si="64"/>
        <v/>
      </c>
      <c r="G448" s="13" t="str">
        <f t="shared" si="65"/>
        <v/>
      </c>
      <c r="H448" s="13" t="str">
        <f t="shared" si="66"/>
        <v/>
      </c>
      <c r="I448" t="str">
        <f t="shared" si="67"/>
        <v/>
      </c>
    </row>
    <row r="449" spans="1:9">
      <c r="A449">
        <f>CSV!B449</f>
        <v>0</v>
      </c>
      <c r="B449" s="13" t="e">
        <f>INDEX(Input!$D$2:$AC$500,
       MATCH(CPU_Formula!A449, Input!$J$2:$J$500, 0),
       MATCH("CPU model", Input!$D$1:$AC$1, 0))</f>
        <v>#N/A</v>
      </c>
      <c r="C449" s="13" t="str">
        <f t="shared" si="61"/>
        <v/>
      </c>
      <c r="D449" s="13" t="str">
        <f t="shared" si="62"/>
        <v/>
      </c>
      <c r="E449" s="13" t="str">
        <f t="shared" si="63"/>
        <v/>
      </c>
      <c r="F449" s="13" t="str">
        <f t="shared" si="64"/>
        <v/>
      </c>
      <c r="G449" s="13" t="str">
        <f t="shared" si="65"/>
        <v/>
      </c>
      <c r="H449" s="13" t="str">
        <f t="shared" si="66"/>
        <v/>
      </c>
      <c r="I449" t="str">
        <f t="shared" si="67"/>
        <v/>
      </c>
    </row>
    <row r="450" spans="1:9">
      <c r="A450">
        <f>CSV!B450</f>
        <v>0</v>
      </c>
      <c r="B450" s="13" t="e">
        <f>INDEX(Input!$D$2:$AC$500,
       MATCH(CPU_Formula!A450, Input!$J$2:$J$500, 0),
       MATCH("CPU model", Input!$D$1:$AC$1, 0))</f>
        <v>#N/A</v>
      </c>
      <c r="C450" s="13" t="str">
        <f t="shared" si="61"/>
        <v/>
      </c>
      <c r="D450" s="13" t="str">
        <f t="shared" si="62"/>
        <v/>
      </c>
      <c r="E450" s="13" t="str">
        <f t="shared" si="63"/>
        <v/>
      </c>
      <c r="F450" s="13" t="str">
        <f t="shared" si="64"/>
        <v/>
      </c>
      <c r="G450" s="13" t="str">
        <f t="shared" si="65"/>
        <v/>
      </c>
      <c r="H450" s="13" t="str">
        <f t="shared" si="66"/>
        <v/>
      </c>
      <c r="I450" t="str">
        <f t="shared" si="67"/>
        <v/>
      </c>
    </row>
    <row r="451" spans="1:9">
      <c r="A451">
        <f>CSV!B451</f>
        <v>0</v>
      </c>
      <c r="B451" s="13" t="e">
        <f>INDEX(Input!$D$2:$AC$500,
       MATCH(CPU_Formula!A451, Input!$J$2:$J$500, 0),
       MATCH("CPU model", Input!$D$1:$AC$1, 0))</f>
        <v>#N/A</v>
      </c>
      <c r="C451" s="13" t="str">
        <f t="shared" si="61"/>
        <v/>
      </c>
      <c r="D451" s="13" t="str">
        <f t="shared" si="62"/>
        <v/>
      </c>
      <c r="E451" s="13" t="str">
        <f t="shared" si="63"/>
        <v/>
      </c>
      <c r="F451" s="13" t="str">
        <f t="shared" si="64"/>
        <v/>
      </c>
      <c r="G451" s="13" t="str">
        <f t="shared" si="65"/>
        <v/>
      </c>
      <c r="H451" s="13" t="str">
        <f t="shared" si="66"/>
        <v/>
      </c>
      <c r="I451" t="str">
        <f t="shared" si="67"/>
        <v/>
      </c>
    </row>
    <row r="452" spans="1:9">
      <c r="A452">
        <f>CSV!B452</f>
        <v>0</v>
      </c>
      <c r="B452" s="13" t="e">
        <f>INDEX(Input!$D$2:$AC$500,
       MATCH(CPU_Formula!A452, Input!$J$2:$J$500, 0),
       MATCH("CPU model", Input!$D$1:$AC$1, 0))</f>
        <v>#N/A</v>
      </c>
      <c r="C452" s="13" t="str">
        <f t="shared" si="61"/>
        <v/>
      </c>
      <c r="D452" s="13" t="str">
        <f t="shared" si="62"/>
        <v/>
      </c>
      <c r="E452" s="13" t="str">
        <f t="shared" si="63"/>
        <v/>
      </c>
      <c r="F452" s="13" t="str">
        <f t="shared" si="64"/>
        <v/>
      </c>
      <c r="G452" s="13" t="str">
        <f t="shared" si="65"/>
        <v/>
      </c>
      <c r="H452" s="13" t="str">
        <f t="shared" si="66"/>
        <v/>
      </c>
      <c r="I452" t="str">
        <f t="shared" si="67"/>
        <v/>
      </c>
    </row>
    <row r="453" spans="1:9">
      <c r="A453">
        <f>CSV!B453</f>
        <v>0</v>
      </c>
      <c r="B453" s="13" t="e">
        <f>INDEX(Input!$D$2:$AC$500,
       MATCH(CPU_Formula!A453, Input!$J$2:$J$500, 0),
       MATCH("CPU model", Input!$D$1:$AC$1, 0))</f>
        <v>#N/A</v>
      </c>
      <c r="C453" s="13" t="str">
        <f t="shared" si="61"/>
        <v/>
      </c>
      <c r="D453" s="13" t="str">
        <f t="shared" si="62"/>
        <v/>
      </c>
      <c r="E453" s="13" t="str">
        <f t="shared" si="63"/>
        <v/>
      </c>
      <c r="F453" s="13" t="str">
        <f t="shared" si="64"/>
        <v/>
      </c>
      <c r="G453" s="13" t="str">
        <f t="shared" si="65"/>
        <v/>
      </c>
      <c r="H453" s="13" t="str">
        <f t="shared" si="66"/>
        <v/>
      </c>
      <c r="I453" t="str">
        <f t="shared" si="67"/>
        <v/>
      </c>
    </row>
    <row r="454" spans="1:9">
      <c r="A454">
        <f>CSV!B454</f>
        <v>0</v>
      </c>
      <c r="B454" s="13" t="e">
        <f>INDEX(Input!$D$2:$AC$500,
       MATCH(CPU_Formula!A454, Input!$J$2:$J$500, 0),
       MATCH("CPU model", Input!$D$1:$AC$1, 0))</f>
        <v>#N/A</v>
      </c>
      <c r="C454" s="13" t="str">
        <f t="shared" si="61"/>
        <v/>
      </c>
      <c r="D454" s="13" t="str">
        <f t="shared" si="62"/>
        <v/>
      </c>
      <c r="E454" s="13" t="str">
        <f t="shared" si="63"/>
        <v/>
      </c>
      <c r="F454" s="13" t="str">
        <f t="shared" si="64"/>
        <v/>
      </c>
      <c r="G454" s="13" t="str">
        <f t="shared" si="65"/>
        <v/>
      </c>
      <c r="H454" s="13" t="str">
        <f t="shared" si="66"/>
        <v/>
      </c>
      <c r="I454" t="str">
        <f t="shared" si="67"/>
        <v/>
      </c>
    </row>
    <row r="455" spans="1:9">
      <c r="A455">
        <f>CSV!B455</f>
        <v>0</v>
      </c>
      <c r="B455" s="13" t="e">
        <f>INDEX(Input!$D$2:$AC$500,
       MATCH(CPU_Formula!A455, Input!$J$2:$J$500, 0),
       MATCH("CPU model", Input!$D$1:$AC$1, 0))</f>
        <v>#N/A</v>
      </c>
      <c r="C455" s="13" t="str">
        <f t="shared" si="61"/>
        <v/>
      </c>
      <c r="D455" s="13" t="str">
        <f t="shared" si="62"/>
        <v/>
      </c>
      <c r="E455" s="13" t="str">
        <f t="shared" si="63"/>
        <v/>
      </c>
      <c r="F455" s="13" t="str">
        <f t="shared" si="64"/>
        <v/>
      </c>
      <c r="G455" s="13" t="str">
        <f t="shared" si="65"/>
        <v/>
      </c>
      <c r="H455" s="13" t="str">
        <f t="shared" si="66"/>
        <v/>
      </c>
      <c r="I455" t="str">
        <f t="shared" si="67"/>
        <v/>
      </c>
    </row>
    <row r="456" spans="1:9">
      <c r="A456">
        <f>CSV!B456</f>
        <v>0</v>
      </c>
      <c r="B456" s="13" t="e">
        <f>INDEX(Input!$D$2:$AC$500,
       MATCH(CPU_Formula!A456, Input!$J$2:$J$500, 0),
       MATCH("CPU model", Input!$D$1:$AC$1, 0))</f>
        <v>#N/A</v>
      </c>
      <c r="C456" s="13" t="str">
        <f t="shared" si="61"/>
        <v/>
      </c>
      <c r="D456" s="13" t="str">
        <f t="shared" si="62"/>
        <v/>
      </c>
      <c r="E456" s="13" t="str">
        <f t="shared" si="63"/>
        <v/>
      </c>
      <c r="F456" s="13" t="str">
        <f t="shared" si="64"/>
        <v/>
      </c>
      <c r="G456" s="13" t="str">
        <f t="shared" si="65"/>
        <v/>
      </c>
      <c r="H456" s="13" t="str">
        <f t="shared" si="66"/>
        <v/>
      </c>
      <c r="I456" t="str">
        <f t="shared" si="67"/>
        <v/>
      </c>
    </row>
    <row r="457" spans="1:9">
      <c r="A457">
        <f>CSV!B457</f>
        <v>0</v>
      </c>
      <c r="B457" s="13" t="e">
        <f>INDEX(Input!$D$2:$AC$500,
       MATCH(CPU_Formula!A457, Input!$J$2:$J$500, 0),
       MATCH("CPU model", Input!$D$1:$AC$1, 0))</f>
        <v>#N/A</v>
      </c>
      <c r="C457" s="13" t="str">
        <f t="shared" si="61"/>
        <v/>
      </c>
      <c r="D457" s="13" t="str">
        <f t="shared" si="62"/>
        <v/>
      </c>
      <c r="E457" s="13" t="str">
        <f t="shared" si="63"/>
        <v/>
      </c>
      <c r="F457" s="13" t="str">
        <f t="shared" si="64"/>
        <v/>
      </c>
      <c r="G457" s="13" t="str">
        <f t="shared" si="65"/>
        <v/>
      </c>
      <c r="H457" s="13" t="str">
        <f t="shared" si="66"/>
        <v/>
      </c>
      <c r="I457" t="str">
        <f t="shared" si="67"/>
        <v/>
      </c>
    </row>
    <row r="458" spans="1:9">
      <c r="A458">
        <f>CSV!B458</f>
        <v>0</v>
      </c>
      <c r="B458" s="13" t="e">
        <f>INDEX(Input!$D$2:$AC$500,
       MATCH(CPU_Formula!A458, Input!$J$2:$J$500, 0),
       MATCH("CPU model", Input!$D$1:$AC$1, 0))</f>
        <v>#N/A</v>
      </c>
      <c r="C458" s="13" t="str">
        <f t="shared" si="61"/>
        <v/>
      </c>
      <c r="D458" s="13" t="str">
        <f t="shared" si="62"/>
        <v/>
      </c>
      <c r="E458" s="13" t="str">
        <f t="shared" si="63"/>
        <v/>
      </c>
      <c r="F458" s="13" t="str">
        <f t="shared" si="64"/>
        <v/>
      </c>
      <c r="G458" s="13" t="str">
        <f t="shared" si="65"/>
        <v/>
      </c>
      <c r="H458" s="13" t="str">
        <f t="shared" si="66"/>
        <v/>
      </c>
      <c r="I458" t="str">
        <f t="shared" si="67"/>
        <v/>
      </c>
    </row>
    <row r="459" spans="1:9">
      <c r="A459">
        <f>CSV!B459</f>
        <v>0</v>
      </c>
      <c r="B459" s="13" t="e">
        <f>INDEX(Input!$D$2:$AC$500,
       MATCH(CPU_Formula!A459, Input!$J$2:$J$500, 0),
       MATCH("CPU model", Input!$D$1:$AC$1, 0))</f>
        <v>#N/A</v>
      </c>
      <c r="C459" s="13" t="str">
        <f t="shared" si="61"/>
        <v/>
      </c>
      <c r="D459" s="13" t="str">
        <f t="shared" si="62"/>
        <v/>
      </c>
      <c r="E459" s="13" t="str">
        <f t="shared" si="63"/>
        <v/>
      </c>
      <c r="F459" s="13" t="str">
        <f t="shared" si="64"/>
        <v/>
      </c>
      <c r="G459" s="13" t="str">
        <f t="shared" si="65"/>
        <v/>
      </c>
      <c r="H459" s="13" t="str">
        <f t="shared" si="66"/>
        <v/>
      </c>
      <c r="I459" t="str">
        <f t="shared" si="67"/>
        <v/>
      </c>
    </row>
    <row r="460" spans="1:9">
      <c r="A460">
        <f>CSV!B460</f>
        <v>0</v>
      </c>
      <c r="B460" s="13" t="e">
        <f>INDEX(Input!$D$2:$AC$500,
       MATCH(CPU_Formula!A460, Input!$J$2:$J$500, 0),
       MATCH("CPU model", Input!$D$1:$AC$1, 0))</f>
        <v>#N/A</v>
      </c>
      <c r="C460" s="13" t="str">
        <f t="shared" si="61"/>
        <v/>
      </c>
      <c r="D460" s="13" t="str">
        <f t="shared" si="62"/>
        <v/>
      </c>
      <c r="E460" s="13" t="str">
        <f t="shared" si="63"/>
        <v/>
      </c>
      <c r="F460" s="13" t="str">
        <f t="shared" si="64"/>
        <v/>
      </c>
      <c r="G460" s="13" t="str">
        <f t="shared" si="65"/>
        <v/>
      </c>
      <c r="H460" s="13" t="str">
        <f t="shared" si="66"/>
        <v/>
      </c>
      <c r="I460" t="str">
        <f t="shared" si="67"/>
        <v/>
      </c>
    </row>
    <row r="461" spans="1:9">
      <c r="A461">
        <f>CSV!B461</f>
        <v>0</v>
      </c>
      <c r="B461" s="13" t="e">
        <f>INDEX(Input!$D$2:$AC$500,
       MATCH(CPU_Formula!A461, Input!$J$2:$J$500, 0),
       MATCH("CPU model", Input!$D$1:$AC$1, 0))</f>
        <v>#N/A</v>
      </c>
      <c r="C461" s="13" t="str">
        <f t="shared" si="61"/>
        <v/>
      </c>
      <c r="D461" s="13" t="str">
        <f t="shared" si="62"/>
        <v/>
      </c>
      <c r="E461" s="13" t="str">
        <f t="shared" si="63"/>
        <v/>
      </c>
      <c r="F461" s="13" t="str">
        <f t="shared" si="64"/>
        <v/>
      </c>
      <c r="G461" s="13" t="str">
        <f t="shared" si="65"/>
        <v/>
      </c>
      <c r="H461" s="13" t="str">
        <f t="shared" si="66"/>
        <v/>
      </c>
      <c r="I461" t="str">
        <f t="shared" si="67"/>
        <v/>
      </c>
    </row>
    <row r="462" spans="1:9">
      <c r="A462">
        <f>CSV!B462</f>
        <v>0</v>
      </c>
      <c r="B462" s="13" t="e">
        <f>INDEX(Input!$D$2:$AC$500,
       MATCH(CPU_Formula!A462, Input!$J$2:$J$500, 0),
       MATCH("CPU model", Input!$D$1:$AC$1, 0))</f>
        <v>#N/A</v>
      </c>
      <c r="C462" s="13" t="str">
        <f t="shared" si="61"/>
        <v/>
      </c>
      <c r="D462" s="13" t="str">
        <f t="shared" si="62"/>
        <v/>
      </c>
      <c r="E462" s="13" t="str">
        <f t="shared" si="63"/>
        <v/>
      </c>
      <c r="F462" s="13" t="str">
        <f t="shared" si="64"/>
        <v/>
      </c>
      <c r="G462" s="13" t="str">
        <f t="shared" si="65"/>
        <v/>
      </c>
      <c r="H462" s="13" t="str">
        <f t="shared" si="66"/>
        <v/>
      </c>
      <c r="I462" t="str">
        <f t="shared" si="67"/>
        <v/>
      </c>
    </row>
    <row r="463" spans="1:9">
      <c r="A463">
        <f>CSV!B463</f>
        <v>0</v>
      </c>
      <c r="B463" s="13" t="e">
        <f>INDEX(Input!$D$2:$AC$500,
       MATCH(CPU_Formula!A463, Input!$J$2:$J$500, 0),
       MATCH("CPU model", Input!$D$1:$AC$1, 0))</f>
        <v>#N/A</v>
      </c>
      <c r="C463" s="13" t="str">
        <f t="shared" si="61"/>
        <v/>
      </c>
      <c r="D463" s="13" t="str">
        <f t="shared" si="62"/>
        <v/>
      </c>
      <c r="E463" s="13" t="str">
        <f t="shared" si="63"/>
        <v/>
      </c>
      <c r="F463" s="13" t="str">
        <f t="shared" si="64"/>
        <v/>
      </c>
      <c r="G463" s="13" t="str">
        <f t="shared" si="65"/>
        <v/>
      </c>
      <c r="H463" s="13" t="str">
        <f t="shared" si="66"/>
        <v/>
      </c>
      <c r="I463" t="str">
        <f t="shared" si="67"/>
        <v/>
      </c>
    </row>
    <row r="464" spans="1:9">
      <c r="A464">
        <f>CSV!B464</f>
        <v>0</v>
      </c>
      <c r="B464" s="13" t="e">
        <f>INDEX(Input!$D$2:$AC$500,
       MATCH(CPU_Formula!A464, Input!$J$2:$J$500, 0),
       MATCH("CPU model", Input!$D$1:$AC$1, 0))</f>
        <v>#N/A</v>
      </c>
      <c r="C464" s="13" t="str">
        <f t="shared" si="61"/>
        <v/>
      </c>
      <c r="D464" s="13" t="str">
        <f t="shared" si="62"/>
        <v/>
      </c>
      <c r="E464" s="13" t="str">
        <f t="shared" si="63"/>
        <v/>
      </c>
      <c r="F464" s="13" t="str">
        <f t="shared" si="64"/>
        <v/>
      </c>
      <c r="G464" s="13" t="str">
        <f t="shared" si="65"/>
        <v/>
      </c>
      <c r="H464" s="13" t="str">
        <f t="shared" si="66"/>
        <v/>
      </c>
      <c r="I464" t="str">
        <f t="shared" si="67"/>
        <v/>
      </c>
    </row>
    <row r="465" spans="1:9">
      <c r="A465">
        <f>CSV!B465</f>
        <v>0</v>
      </c>
      <c r="B465" s="13" t="e">
        <f>INDEX(Input!$D$2:$AC$500,
       MATCH(CPU_Formula!A465, Input!$J$2:$J$500, 0),
       MATCH("CPU model", Input!$D$1:$AC$1, 0))</f>
        <v>#N/A</v>
      </c>
      <c r="C465" s="13" t="str">
        <f t="shared" si="61"/>
        <v/>
      </c>
      <c r="D465" s="13" t="str">
        <f t="shared" si="62"/>
        <v/>
      </c>
      <c r="E465" s="13" t="str">
        <f t="shared" si="63"/>
        <v/>
      </c>
      <c r="F465" s="13" t="str">
        <f t="shared" si="64"/>
        <v/>
      </c>
      <c r="G465" s="13" t="str">
        <f t="shared" si="65"/>
        <v/>
      </c>
      <c r="H465" s="13" t="str">
        <f t="shared" si="66"/>
        <v/>
      </c>
      <c r="I465" t="str">
        <f t="shared" si="67"/>
        <v/>
      </c>
    </row>
    <row r="466" spans="1:9">
      <c r="A466">
        <f>CSV!B466</f>
        <v>0</v>
      </c>
      <c r="B466" s="13" t="e">
        <f>INDEX(Input!$D$2:$AC$500,
       MATCH(CPU_Formula!A466, Input!$J$2:$J$500, 0),
       MATCH("CPU model", Input!$D$1:$AC$1, 0))</f>
        <v>#N/A</v>
      </c>
      <c r="C466" s="13" t="str">
        <f t="shared" si="61"/>
        <v/>
      </c>
      <c r="D466" s="13" t="str">
        <f t="shared" si="62"/>
        <v/>
      </c>
      <c r="E466" s="13" t="str">
        <f t="shared" si="63"/>
        <v/>
      </c>
      <c r="F466" s="13" t="str">
        <f t="shared" si="64"/>
        <v/>
      </c>
      <c r="G466" s="13" t="str">
        <f t="shared" si="65"/>
        <v/>
      </c>
      <c r="H466" s="13" t="str">
        <f t="shared" si="66"/>
        <v/>
      </c>
      <c r="I466" t="str">
        <f t="shared" si="67"/>
        <v/>
      </c>
    </row>
    <row r="467" spans="1:9">
      <c r="A467">
        <f>CSV!B467</f>
        <v>0</v>
      </c>
      <c r="B467" s="13" t="e">
        <f>INDEX(Input!$D$2:$AC$500,
       MATCH(CPU_Formula!A467, Input!$J$2:$J$500, 0),
       MATCH("CPU model", Input!$D$1:$AC$1, 0))</f>
        <v>#N/A</v>
      </c>
      <c r="C467" s="13" t="str">
        <f t="shared" si="61"/>
        <v/>
      </c>
      <c r="D467" s="13" t="str">
        <f t="shared" si="62"/>
        <v/>
      </c>
      <c r="E467" s="13" t="str">
        <f t="shared" si="63"/>
        <v/>
      </c>
      <c r="F467" s="13" t="str">
        <f t="shared" si="64"/>
        <v/>
      </c>
      <c r="G467" s="13" t="str">
        <f t="shared" si="65"/>
        <v/>
      </c>
      <c r="H467" s="13" t="str">
        <f t="shared" si="66"/>
        <v/>
      </c>
      <c r="I467" t="str">
        <f t="shared" si="67"/>
        <v/>
      </c>
    </row>
    <row r="468" spans="1:9">
      <c r="A468">
        <f>CSV!B468</f>
        <v>0</v>
      </c>
      <c r="B468" s="13" t="e">
        <f>INDEX(Input!$D$2:$AC$500,
       MATCH(CPU_Formula!A468, Input!$J$2:$J$500, 0),
       MATCH("CPU model", Input!$D$1:$AC$1, 0))</f>
        <v>#N/A</v>
      </c>
      <c r="C468" s="13" t="str">
        <f t="shared" si="61"/>
        <v/>
      </c>
      <c r="D468" s="13" t="str">
        <f t="shared" si="62"/>
        <v/>
      </c>
      <c r="E468" s="13" t="str">
        <f t="shared" si="63"/>
        <v/>
      </c>
      <c r="F468" s="13" t="str">
        <f t="shared" si="64"/>
        <v/>
      </c>
      <c r="G468" s="13" t="str">
        <f t="shared" si="65"/>
        <v/>
      </c>
      <c r="H468" s="13" t="str">
        <f t="shared" si="66"/>
        <v/>
      </c>
      <c r="I468" t="str">
        <f t="shared" si="67"/>
        <v/>
      </c>
    </row>
    <row r="469" spans="1:9">
      <c r="A469">
        <f>CSV!B469</f>
        <v>0</v>
      </c>
      <c r="B469" s="13" t="e">
        <f>INDEX(Input!$D$2:$AC$500,
       MATCH(CPU_Formula!A469, Input!$J$2:$J$500, 0),
       MATCH("CPU model", Input!$D$1:$AC$1, 0))</f>
        <v>#N/A</v>
      </c>
      <c r="C469" s="13" t="str">
        <f t="shared" si="61"/>
        <v/>
      </c>
      <c r="D469" s="13" t="str">
        <f t="shared" si="62"/>
        <v/>
      </c>
      <c r="E469" s="13" t="str">
        <f t="shared" si="63"/>
        <v/>
      </c>
      <c r="F469" s="13" t="str">
        <f t="shared" si="64"/>
        <v/>
      </c>
      <c r="G469" s="13" t="str">
        <f t="shared" si="65"/>
        <v/>
      </c>
      <c r="H469" s="13" t="str">
        <f t="shared" si="66"/>
        <v/>
      </c>
      <c r="I469" t="str">
        <f t="shared" si="67"/>
        <v/>
      </c>
    </row>
    <row r="470" spans="1:9">
      <c r="A470">
        <f>CSV!B470</f>
        <v>0</v>
      </c>
      <c r="B470" s="13" t="e">
        <f>INDEX(Input!$D$2:$AC$500,
       MATCH(CPU_Formula!A470, Input!$J$2:$J$500, 0),
       MATCH("CPU model", Input!$D$1:$AC$1, 0))</f>
        <v>#N/A</v>
      </c>
      <c r="C470" s="13" t="str">
        <f t="shared" si="61"/>
        <v/>
      </c>
      <c r="D470" s="13" t="str">
        <f t="shared" si="62"/>
        <v/>
      </c>
      <c r="E470" s="13" t="str">
        <f t="shared" si="63"/>
        <v/>
      </c>
      <c r="F470" s="13" t="str">
        <f t="shared" si="64"/>
        <v/>
      </c>
      <c r="G470" s="13" t="str">
        <f t="shared" si="65"/>
        <v/>
      </c>
      <c r="H470" s="13" t="str">
        <f t="shared" si="66"/>
        <v/>
      </c>
      <c r="I470" t="str">
        <f t="shared" si="67"/>
        <v/>
      </c>
    </row>
    <row r="471" spans="1:9">
      <c r="A471">
        <f>CSV!B471</f>
        <v>0</v>
      </c>
      <c r="B471" s="13" t="e">
        <f>INDEX(Input!$D$2:$AC$500,
       MATCH(CPU_Formula!A471, Input!$J$2:$J$500, 0),
       MATCH("CPU model", Input!$D$1:$AC$1, 0))</f>
        <v>#N/A</v>
      </c>
      <c r="C471" s="13" t="str">
        <f t="shared" si="61"/>
        <v/>
      </c>
      <c r="D471" s="13" t="str">
        <f t="shared" si="62"/>
        <v/>
      </c>
      <c r="E471" s="13" t="str">
        <f t="shared" si="63"/>
        <v/>
      </c>
      <c r="F471" s="13" t="str">
        <f t="shared" si="64"/>
        <v/>
      </c>
      <c r="G471" s="13" t="str">
        <f t="shared" si="65"/>
        <v/>
      </c>
      <c r="H471" s="13" t="str">
        <f t="shared" si="66"/>
        <v/>
      </c>
      <c r="I471" t="str">
        <f t="shared" si="67"/>
        <v/>
      </c>
    </row>
    <row r="472" spans="1:9">
      <c r="A472">
        <f>CSV!B472</f>
        <v>0</v>
      </c>
      <c r="B472" s="13" t="e">
        <f>INDEX(Input!$D$2:$AC$500,
       MATCH(CPU_Formula!A472, Input!$J$2:$J$500, 0),
       MATCH("CPU model", Input!$D$1:$AC$1, 0))</f>
        <v>#N/A</v>
      </c>
      <c r="C472" s="13" t="str">
        <f t="shared" si="61"/>
        <v/>
      </c>
      <c r="D472" s="13" t="str">
        <f t="shared" si="62"/>
        <v/>
      </c>
      <c r="E472" s="13" t="str">
        <f t="shared" si="63"/>
        <v/>
      </c>
      <c r="F472" s="13" t="str">
        <f t="shared" si="64"/>
        <v/>
      </c>
      <c r="G472" s="13" t="str">
        <f t="shared" si="65"/>
        <v/>
      </c>
      <c r="H472" s="13" t="str">
        <f t="shared" si="66"/>
        <v/>
      </c>
      <c r="I472" t="str">
        <f t="shared" si="67"/>
        <v/>
      </c>
    </row>
    <row r="473" spans="1:9">
      <c r="A473">
        <f>CSV!B473</f>
        <v>0</v>
      </c>
      <c r="B473" s="13" t="e">
        <f>INDEX(Input!$D$2:$AC$500,
       MATCH(CPU_Formula!A473, Input!$J$2:$J$500, 0),
       MATCH("CPU model", Input!$D$1:$AC$1, 0))</f>
        <v>#N/A</v>
      </c>
      <c r="C473" s="13" t="str">
        <f t="shared" si="61"/>
        <v/>
      </c>
      <c r="D473" s="13" t="str">
        <f t="shared" si="62"/>
        <v/>
      </c>
      <c r="E473" s="13" t="str">
        <f t="shared" si="63"/>
        <v/>
      </c>
      <c r="F473" s="13" t="str">
        <f t="shared" si="64"/>
        <v/>
      </c>
      <c r="G473" s="13" t="str">
        <f t="shared" si="65"/>
        <v/>
      </c>
      <c r="H473" s="13" t="str">
        <f t="shared" si="66"/>
        <v/>
      </c>
      <c r="I473" t="str">
        <f t="shared" si="67"/>
        <v/>
      </c>
    </row>
    <row r="474" spans="1:9">
      <c r="A474">
        <f>CSV!B474</f>
        <v>0</v>
      </c>
      <c r="B474" s="13" t="e">
        <f>INDEX(Input!$D$2:$AC$500,
       MATCH(CPU_Formula!A474, Input!$J$2:$J$500, 0),
       MATCH("CPU model", Input!$D$1:$AC$1, 0))</f>
        <v>#N/A</v>
      </c>
      <c r="C474" s="13" t="str">
        <f t="shared" si="61"/>
        <v/>
      </c>
      <c r="D474" s="13" t="str">
        <f t="shared" si="62"/>
        <v/>
      </c>
      <c r="E474" s="13" t="str">
        <f t="shared" si="63"/>
        <v/>
      </c>
      <c r="F474" s="13" t="str">
        <f t="shared" si="64"/>
        <v/>
      </c>
      <c r="G474" s="13" t="str">
        <f t="shared" si="65"/>
        <v/>
      </c>
      <c r="H474" s="13" t="str">
        <f t="shared" si="66"/>
        <v/>
      </c>
      <c r="I474" t="str">
        <f t="shared" si="67"/>
        <v/>
      </c>
    </row>
    <row r="475" spans="1:9">
      <c r="A475">
        <f>CSV!B475</f>
        <v>0</v>
      </c>
      <c r="B475" s="13" t="e">
        <f>INDEX(Input!$D$2:$AC$500,
       MATCH(CPU_Formula!A475, Input!$J$2:$J$500, 0),
       MATCH("CPU model", Input!$D$1:$AC$1, 0))</f>
        <v>#N/A</v>
      </c>
      <c r="C475" s="13" t="str">
        <f t="shared" si="61"/>
        <v/>
      </c>
      <c r="D475" s="13" t="str">
        <f t="shared" si="62"/>
        <v/>
      </c>
      <c r="E475" s="13" t="str">
        <f t="shared" si="63"/>
        <v/>
      </c>
      <c r="F475" s="13" t="str">
        <f t="shared" si="64"/>
        <v/>
      </c>
      <c r="G475" s="13" t="str">
        <f t="shared" si="65"/>
        <v/>
      </c>
      <c r="H475" s="13" t="str">
        <f t="shared" si="66"/>
        <v/>
      </c>
      <c r="I475" t="str">
        <f t="shared" si="67"/>
        <v/>
      </c>
    </row>
    <row r="476" spans="1:9">
      <c r="A476">
        <f>CSV!B476</f>
        <v>0</v>
      </c>
      <c r="B476" s="13" t="e">
        <f>INDEX(Input!$D$2:$AC$500,
       MATCH(CPU_Formula!A476, Input!$J$2:$J$500, 0),
       MATCH("CPU model", Input!$D$1:$AC$1, 0))</f>
        <v>#N/A</v>
      </c>
      <c r="C476" s="13" t="str">
        <f t="shared" si="61"/>
        <v/>
      </c>
      <c r="D476" s="13" t="str">
        <f t="shared" si="62"/>
        <v/>
      </c>
      <c r="E476" s="13" t="str">
        <f t="shared" si="63"/>
        <v/>
      </c>
      <c r="F476" s="13" t="str">
        <f t="shared" si="64"/>
        <v/>
      </c>
      <c r="G476" s="13" t="str">
        <f t="shared" si="65"/>
        <v/>
      </c>
      <c r="H476" s="13" t="str">
        <f t="shared" si="66"/>
        <v/>
      </c>
      <c r="I476" t="str">
        <f t="shared" si="67"/>
        <v/>
      </c>
    </row>
    <row r="477" spans="1:9">
      <c r="A477">
        <f>CSV!B477</f>
        <v>0</v>
      </c>
      <c r="B477" s="13" t="e">
        <f>INDEX(Input!$D$2:$AC$500,
       MATCH(CPU_Formula!A477, Input!$J$2:$J$500, 0),
       MATCH("CPU model", Input!$D$1:$AC$1, 0))</f>
        <v>#N/A</v>
      </c>
      <c r="C477" s="13" t="str">
        <f t="shared" si="61"/>
        <v/>
      </c>
      <c r="D477" s="13" t="str">
        <f t="shared" si="62"/>
        <v/>
      </c>
      <c r="E477" s="13" t="str">
        <f t="shared" si="63"/>
        <v/>
      </c>
      <c r="F477" s="13" t="str">
        <f t="shared" si="64"/>
        <v/>
      </c>
      <c r="G477" s="13" t="str">
        <f t="shared" si="65"/>
        <v/>
      </c>
      <c r="H477" s="13" t="str">
        <f t="shared" si="66"/>
        <v/>
      </c>
      <c r="I477" t="str">
        <f t="shared" si="67"/>
        <v/>
      </c>
    </row>
    <row r="478" spans="1:9">
      <c r="A478">
        <f>CSV!B478</f>
        <v>0</v>
      </c>
      <c r="B478" s="13" t="e">
        <f>INDEX(Input!$D$2:$AC$500,
       MATCH(CPU_Formula!A478, Input!$J$2:$J$500, 0),
       MATCH("CPU model", Input!$D$1:$AC$1, 0))</f>
        <v>#N/A</v>
      </c>
      <c r="C478" s="13" t="str">
        <f t="shared" si="61"/>
        <v/>
      </c>
      <c r="D478" s="13" t="str">
        <f t="shared" si="62"/>
        <v/>
      </c>
      <c r="E478" s="13" t="str">
        <f t="shared" si="63"/>
        <v/>
      </c>
      <c r="F478" s="13" t="str">
        <f t="shared" si="64"/>
        <v/>
      </c>
      <c r="G478" s="13" t="str">
        <f t="shared" si="65"/>
        <v/>
      </c>
      <c r="H478" s="13" t="str">
        <f t="shared" si="66"/>
        <v/>
      </c>
      <c r="I478" t="str">
        <f t="shared" si="67"/>
        <v/>
      </c>
    </row>
    <row r="479" spans="1:9">
      <c r="A479">
        <f>CSV!B479</f>
        <v>0</v>
      </c>
      <c r="B479" s="13" t="e">
        <f>INDEX(Input!$D$2:$AC$500,
       MATCH(CPU_Formula!A479, Input!$J$2:$J$500, 0),
       MATCH("CPU model", Input!$D$1:$AC$1, 0))</f>
        <v>#N/A</v>
      </c>
      <c r="C479" s="13" t="str">
        <f t="shared" si="61"/>
        <v/>
      </c>
      <c r="D479" s="13" t="str">
        <f t="shared" si="62"/>
        <v/>
      </c>
      <c r="E479" s="13" t="str">
        <f t="shared" si="63"/>
        <v/>
      </c>
      <c r="F479" s="13" t="str">
        <f t="shared" si="64"/>
        <v/>
      </c>
      <c r="G479" s="13" t="str">
        <f t="shared" si="65"/>
        <v/>
      </c>
      <c r="H479" s="13" t="str">
        <f t="shared" si="66"/>
        <v/>
      </c>
      <c r="I479" t="str">
        <f t="shared" si="67"/>
        <v/>
      </c>
    </row>
    <row r="480" spans="1:9">
      <c r="A480">
        <f>CSV!B480</f>
        <v>0</v>
      </c>
      <c r="B480" s="13" t="e">
        <f>INDEX(Input!$D$2:$AC$500,
       MATCH(CPU_Formula!A480, Input!$J$2:$J$500, 0),
       MATCH("CPU model", Input!$D$1:$AC$1, 0))</f>
        <v>#N/A</v>
      </c>
      <c r="C480" s="13" t="str">
        <f t="shared" si="61"/>
        <v/>
      </c>
      <c r="D480" s="13" t="str">
        <f t="shared" si="62"/>
        <v/>
      </c>
      <c r="E480" s="13" t="str">
        <f t="shared" si="63"/>
        <v/>
      </c>
      <c r="F480" s="13" t="str">
        <f t="shared" si="64"/>
        <v/>
      </c>
      <c r="G480" s="13" t="str">
        <f t="shared" si="65"/>
        <v/>
      </c>
      <c r="H480" s="13" t="str">
        <f t="shared" si="66"/>
        <v/>
      </c>
      <c r="I480" t="str">
        <f t="shared" si="67"/>
        <v/>
      </c>
    </row>
    <row r="481" spans="1:9">
      <c r="A481">
        <f>CSV!B481</f>
        <v>0</v>
      </c>
      <c r="B481" s="13" t="e">
        <f>INDEX(Input!$D$2:$AC$500,
       MATCH(CPU_Formula!A481, Input!$J$2:$J$500, 0),
       MATCH("CPU model", Input!$D$1:$AC$1, 0))</f>
        <v>#N/A</v>
      </c>
      <c r="C481" s="13" t="str">
        <f t="shared" si="61"/>
        <v/>
      </c>
      <c r="D481" s="13" t="str">
        <f t="shared" si="62"/>
        <v/>
      </c>
      <c r="E481" s="13" t="str">
        <f t="shared" si="63"/>
        <v/>
      </c>
      <c r="F481" s="13" t="str">
        <f t="shared" si="64"/>
        <v/>
      </c>
      <c r="G481" s="13" t="str">
        <f t="shared" si="65"/>
        <v/>
      </c>
      <c r="H481" s="13" t="str">
        <f t="shared" si="66"/>
        <v/>
      </c>
      <c r="I481" t="str">
        <f t="shared" si="67"/>
        <v/>
      </c>
    </row>
    <row r="482" spans="1:9">
      <c r="A482">
        <f>CSV!B482</f>
        <v>0</v>
      </c>
      <c r="B482" s="13" t="e">
        <f>INDEX(Input!$D$2:$AC$500,
       MATCH(CPU_Formula!A482, Input!$J$2:$J$500, 0),
       MATCH("CPU model", Input!$D$1:$AC$1, 0))</f>
        <v>#N/A</v>
      </c>
      <c r="C482" s="13" t="str">
        <f t="shared" si="61"/>
        <v/>
      </c>
      <c r="D482" s="13" t="str">
        <f t="shared" si="62"/>
        <v/>
      </c>
      <c r="E482" s="13" t="str">
        <f t="shared" si="63"/>
        <v/>
      </c>
      <c r="F482" s="13" t="str">
        <f t="shared" si="64"/>
        <v/>
      </c>
      <c r="G482" s="13" t="str">
        <f t="shared" si="65"/>
        <v/>
      </c>
      <c r="H482" s="13" t="str">
        <f t="shared" si="66"/>
        <v/>
      </c>
      <c r="I482" t="str">
        <f t="shared" si="67"/>
        <v/>
      </c>
    </row>
    <row r="483" spans="1:9">
      <c r="A483">
        <f>CSV!B483</f>
        <v>0</v>
      </c>
      <c r="B483" s="13" t="e">
        <f>INDEX(Input!$D$2:$AC$500,
       MATCH(CPU_Formula!A483, Input!$J$2:$J$500, 0),
       MATCH("CPU model", Input!$D$1:$AC$1, 0))</f>
        <v>#N/A</v>
      </c>
      <c r="C483" s="13" t="str">
        <f t="shared" si="61"/>
        <v/>
      </c>
      <c r="D483" s="13" t="str">
        <f t="shared" si="62"/>
        <v/>
      </c>
      <c r="E483" s="13" t="str">
        <f t="shared" si="63"/>
        <v/>
      </c>
      <c r="F483" s="13" t="str">
        <f t="shared" si="64"/>
        <v/>
      </c>
      <c r="G483" s="13" t="str">
        <f t="shared" si="65"/>
        <v/>
      </c>
      <c r="H483" s="13" t="str">
        <f t="shared" si="66"/>
        <v/>
      </c>
      <c r="I483" t="str">
        <f t="shared" si="67"/>
        <v/>
      </c>
    </row>
    <row r="484" spans="1:9">
      <c r="A484">
        <f>CSV!B484</f>
        <v>0</v>
      </c>
      <c r="B484" s="13" t="e">
        <f>INDEX(Input!$D$2:$AC$500,
       MATCH(CPU_Formula!A484, Input!$J$2:$J$500, 0),
       MATCH("CPU model", Input!$D$1:$AC$1, 0))</f>
        <v>#N/A</v>
      </c>
      <c r="C484" s="13" t="str">
        <f t="shared" si="61"/>
        <v/>
      </c>
      <c r="D484" s="13" t="str">
        <f t="shared" si="62"/>
        <v/>
      </c>
      <c r="E484" s="13" t="str">
        <f t="shared" si="63"/>
        <v/>
      </c>
      <c r="F484" s="13" t="str">
        <f t="shared" si="64"/>
        <v/>
      </c>
      <c r="G484" s="13" t="str">
        <f t="shared" si="65"/>
        <v/>
      </c>
      <c r="H484" s="13" t="str">
        <f t="shared" si="66"/>
        <v/>
      </c>
      <c r="I484" t="str">
        <f t="shared" si="67"/>
        <v/>
      </c>
    </row>
    <row r="485" spans="1:9">
      <c r="A485">
        <f>CSV!B485</f>
        <v>0</v>
      </c>
      <c r="B485" s="13" t="e">
        <f>INDEX(Input!$D$2:$AC$500,
       MATCH(CPU_Formula!A485, Input!$J$2:$J$500, 0),
       MATCH("CPU model", Input!$D$1:$AC$1, 0))</f>
        <v>#N/A</v>
      </c>
      <c r="C485" s="13" t="str">
        <f t="shared" si="61"/>
        <v/>
      </c>
      <c r="D485" s="13" t="str">
        <f t="shared" si="62"/>
        <v/>
      </c>
      <c r="E485" s="13" t="str">
        <f t="shared" si="63"/>
        <v/>
      </c>
      <c r="F485" s="13" t="str">
        <f t="shared" si="64"/>
        <v/>
      </c>
      <c r="G485" s="13" t="str">
        <f t="shared" si="65"/>
        <v/>
      </c>
      <c r="H485" s="13" t="str">
        <f t="shared" si="66"/>
        <v/>
      </c>
      <c r="I485" t="str">
        <f t="shared" si="67"/>
        <v/>
      </c>
    </row>
    <row r="486" spans="1:9">
      <c r="A486">
        <f>CSV!B486</f>
        <v>0</v>
      </c>
      <c r="B486" s="13" t="e">
        <f>INDEX(Input!$D$2:$AC$500,
       MATCH(CPU_Formula!A486, Input!$J$2:$J$500, 0),
       MATCH("CPU model", Input!$D$1:$AC$1, 0))</f>
        <v>#N/A</v>
      </c>
      <c r="C486" s="13" t="str">
        <f t="shared" si="61"/>
        <v/>
      </c>
      <c r="D486" s="13" t="str">
        <f t="shared" si="62"/>
        <v/>
      </c>
      <c r="E486" s="13" t="str">
        <f t="shared" si="63"/>
        <v/>
      </c>
      <c r="F486" s="13" t="str">
        <f t="shared" si="64"/>
        <v/>
      </c>
      <c r="G486" s="13" t="str">
        <f t="shared" si="65"/>
        <v/>
      </c>
      <c r="H486" s="13" t="str">
        <f t="shared" si="66"/>
        <v/>
      </c>
      <c r="I486" t="str">
        <f t="shared" si="67"/>
        <v/>
      </c>
    </row>
    <row r="487" spans="1:9">
      <c r="A487">
        <f>CSV!B487</f>
        <v>0</v>
      </c>
      <c r="B487" s="13" t="e">
        <f>INDEX(Input!$D$2:$AC$500,
       MATCH(CPU_Formula!A487, Input!$J$2:$J$500, 0),
       MATCH("CPU model", Input!$D$1:$AC$1, 0))</f>
        <v>#N/A</v>
      </c>
      <c r="C487" s="13" t="str">
        <f t="shared" si="61"/>
        <v/>
      </c>
      <c r="D487" s="13" t="str">
        <f t="shared" si="62"/>
        <v/>
      </c>
      <c r="E487" s="13" t="str">
        <f t="shared" si="63"/>
        <v/>
      </c>
      <c r="F487" s="13" t="str">
        <f t="shared" si="64"/>
        <v/>
      </c>
      <c r="G487" s="13" t="str">
        <f t="shared" si="65"/>
        <v/>
      </c>
      <c r="H487" s="13" t="str">
        <f t="shared" si="66"/>
        <v/>
      </c>
      <c r="I487" t="str">
        <f t="shared" si="67"/>
        <v/>
      </c>
    </row>
    <row r="488" spans="1:9">
      <c r="A488">
        <f>CSV!B488</f>
        <v>0</v>
      </c>
      <c r="B488" s="13" t="e">
        <f>INDEX(Input!$D$2:$AC$500,
       MATCH(CPU_Formula!A488, Input!$J$2:$J$500, 0),
       MATCH("CPU model", Input!$D$1:$AC$1, 0))</f>
        <v>#N/A</v>
      </c>
      <c r="C488" s="13" t="str">
        <f t="shared" ref="C488:C551" si="68">IFERROR(_xlfn.TEXTAFTER(B488,"Core(TM) "),IFERROR(_xlfn.TEXTAFTER(B488,"Xeon(R) CPU"),""))</f>
        <v/>
      </c>
      <c r="D488" s="13" t="str">
        <f t="shared" ref="D488:D551" si="69">IFERROR(_xlfn.TEXTAFTER(B488,"Ryzen "), "")</f>
        <v/>
      </c>
      <c r="E488" s="13" t="str">
        <f t="shared" ref="E488:E551" si="70">IF(ISNUMBER(SEARCH("Ultra", B488)), "Ultra"&amp;_xlfn.TEXTAFTER(B488, "Ultra"), "")</f>
        <v/>
      </c>
      <c r="F488" s="13" t="str">
        <f t="shared" ref="F488:F551" si="71">IF(C488&lt;&gt;"", TRIM(_xlfn.TEXTBEFORE(C488," ",,1,1)), "")</f>
        <v/>
      </c>
      <c r="G488" s="13" t="str">
        <f t="shared" ref="G488:G551" si="72">IF(D488&lt;&gt;"", TRIM(_xlfn.TEXTBEFORE(D488," ",,1)), "")</f>
        <v/>
      </c>
      <c r="H488" s="13" t="str">
        <f t="shared" ref="H488:H551" si="73">E488</f>
        <v/>
      </c>
      <c r="I488" t="str">
        <f t="shared" ref="I488:I551" si="74">IF(H488&lt;&gt;"",H488,IF(G488&lt;&gt;"",G488,F488))</f>
        <v/>
      </c>
    </row>
    <row r="489" spans="1:9">
      <c r="A489">
        <f>CSV!B489</f>
        <v>0</v>
      </c>
      <c r="B489" s="13" t="e">
        <f>INDEX(Input!$D$2:$AC$500,
       MATCH(CPU_Formula!A489, Input!$J$2:$J$500, 0),
       MATCH("CPU model", Input!$D$1:$AC$1, 0))</f>
        <v>#N/A</v>
      </c>
      <c r="C489" s="13" t="str">
        <f t="shared" si="68"/>
        <v/>
      </c>
      <c r="D489" s="13" t="str">
        <f t="shared" si="69"/>
        <v/>
      </c>
      <c r="E489" s="13" t="str">
        <f t="shared" si="70"/>
        <v/>
      </c>
      <c r="F489" s="13" t="str">
        <f t="shared" si="71"/>
        <v/>
      </c>
      <c r="G489" s="13" t="str">
        <f t="shared" si="72"/>
        <v/>
      </c>
      <c r="H489" s="13" t="str">
        <f t="shared" si="73"/>
        <v/>
      </c>
      <c r="I489" t="str">
        <f t="shared" si="74"/>
        <v/>
      </c>
    </row>
    <row r="490" spans="1:9">
      <c r="A490">
        <f>CSV!B490</f>
        <v>0</v>
      </c>
      <c r="B490" s="13" t="e">
        <f>INDEX(Input!$D$2:$AC$500,
       MATCH(CPU_Formula!A490, Input!$J$2:$J$500, 0),
       MATCH("CPU model", Input!$D$1:$AC$1, 0))</f>
        <v>#N/A</v>
      </c>
      <c r="C490" s="13" t="str">
        <f t="shared" si="68"/>
        <v/>
      </c>
      <c r="D490" s="13" t="str">
        <f t="shared" si="69"/>
        <v/>
      </c>
      <c r="E490" s="13" t="str">
        <f t="shared" si="70"/>
        <v/>
      </c>
      <c r="F490" s="13" t="str">
        <f t="shared" si="71"/>
        <v/>
      </c>
      <c r="G490" s="13" t="str">
        <f t="shared" si="72"/>
        <v/>
      </c>
      <c r="H490" s="13" t="str">
        <f t="shared" si="73"/>
        <v/>
      </c>
      <c r="I490" t="str">
        <f t="shared" si="74"/>
        <v/>
      </c>
    </row>
    <row r="491" spans="1:9">
      <c r="A491">
        <f>CSV!B491</f>
        <v>0</v>
      </c>
      <c r="B491" s="13" t="e">
        <f>INDEX(Input!$D$2:$AC$500,
       MATCH(CPU_Formula!A491, Input!$J$2:$J$500, 0),
       MATCH("CPU model", Input!$D$1:$AC$1, 0))</f>
        <v>#N/A</v>
      </c>
      <c r="C491" s="13" t="str">
        <f t="shared" si="68"/>
        <v/>
      </c>
      <c r="D491" s="13" t="str">
        <f t="shared" si="69"/>
        <v/>
      </c>
      <c r="E491" s="13" t="str">
        <f t="shared" si="70"/>
        <v/>
      </c>
      <c r="F491" s="13" t="str">
        <f t="shared" si="71"/>
        <v/>
      </c>
      <c r="G491" s="13" t="str">
        <f t="shared" si="72"/>
        <v/>
      </c>
      <c r="H491" s="13" t="str">
        <f t="shared" si="73"/>
        <v/>
      </c>
      <c r="I491" t="str">
        <f t="shared" si="74"/>
        <v/>
      </c>
    </row>
    <row r="492" spans="1:9">
      <c r="A492">
        <f>CSV!B492</f>
        <v>0</v>
      </c>
      <c r="B492" s="13" t="e">
        <f>INDEX(Input!$D$2:$AC$500,
       MATCH(CPU_Formula!A492, Input!$J$2:$J$500, 0),
       MATCH("CPU model", Input!$D$1:$AC$1, 0))</f>
        <v>#N/A</v>
      </c>
      <c r="C492" s="13" t="str">
        <f t="shared" si="68"/>
        <v/>
      </c>
      <c r="D492" s="13" t="str">
        <f t="shared" si="69"/>
        <v/>
      </c>
      <c r="E492" s="13" t="str">
        <f t="shared" si="70"/>
        <v/>
      </c>
      <c r="F492" s="13" t="str">
        <f t="shared" si="71"/>
        <v/>
      </c>
      <c r="G492" s="13" t="str">
        <f t="shared" si="72"/>
        <v/>
      </c>
      <c r="H492" s="13" t="str">
        <f t="shared" si="73"/>
        <v/>
      </c>
      <c r="I492" t="str">
        <f t="shared" si="74"/>
        <v/>
      </c>
    </row>
    <row r="493" spans="1:9">
      <c r="A493">
        <f>CSV!B493</f>
        <v>0</v>
      </c>
      <c r="B493" s="13" t="e">
        <f>INDEX(Input!$D$2:$AC$500,
       MATCH(CPU_Formula!A493, Input!$J$2:$J$500, 0),
       MATCH("CPU model", Input!$D$1:$AC$1, 0))</f>
        <v>#N/A</v>
      </c>
      <c r="C493" s="13" t="str">
        <f t="shared" si="68"/>
        <v/>
      </c>
      <c r="D493" s="13" t="str">
        <f t="shared" si="69"/>
        <v/>
      </c>
      <c r="E493" s="13" t="str">
        <f t="shared" si="70"/>
        <v/>
      </c>
      <c r="F493" s="13" t="str">
        <f t="shared" si="71"/>
        <v/>
      </c>
      <c r="G493" s="13" t="str">
        <f t="shared" si="72"/>
        <v/>
      </c>
      <c r="H493" s="13" t="str">
        <f t="shared" si="73"/>
        <v/>
      </c>
      <c r="I493" t="str">
        <f t="shared" si="74"/>
        <v/>
      </c>
    </row>
    <row r="494" spans="1:9">
      <c r="A494">
        <f>CSV!B494</f>
        <v>0</v>
      </c>
      <c r="B494" s="13" t="e">
        <f>INDEX(Input!$D$2:$AC$500,
       MATCH(CPU_Formula!A494, Input!$J$2:$J$500, 0),
       MATCH("CPU model", Input!$D$1:$AC$1, 0))</f>
        <v>#N/A</v>
      </c>
      <c r="C494" s="13" t="str">
        <f t="shared" si="68"/>
        <v/>
      </c>
      <c r="D494" s="13" t="str">
        <f t="shared" si="69"/>
        <v/>
      </c>
      <c r="E494" s="13" t="str">
        <f t="shared" si="70"/>
        <v/>
      </c>
      <c r="F494" s="13" t="str">
        <f t="shared" si="71"/>
        <v/>
      </c>
      <c r="G494" s="13" t="str">
        <f t="shared" si="72"/>
        <v/>
      </c>
      <c r="H494" s="13" t="str">
        <f t="shared" si="73"/>
        <v/>
      </c>
      <c r="I494" t="str">
        <f t="shared" si="74"/>
        <v/>
      </c>
    </row>
    <row r="495" spans="1:9">
      <c r="A495">
        <f>CSV!B495</f>
        <v>0</v>
      </c>
      <c r="B495" s="13" t="e">
        <f>INDEX(Input!$D$2:$AC$500,
       MATCH(CPU_Formula!A495, Input!$J$2:$J$500, 0),
       MATCH("CPU model", Input!$D$1:$AC$1, 0))</f>
        <v>#N/A</v>
      </c>
      <c r="C495" s="13" t="str">
        <f t="shared" si="68"/>
        <v/>
      </c>
      <c r="D495" s="13" t="str">
        <f t="shared" si="69"/>
        <v/>
      </c>
      <c r="E495" s="13" t="str">
        <f t="shared" si="70"/>
        <v/>
      </c>
      <c r="F495" s="13" t="str">
        <f t="shared" si="71"/>
        <v/>
      </c>
      <c r="G495" s="13" t="str">
        <f t="shared" si="72"/>
        <v/>
      </c>
      <c r="H495" s="13" t="str">
        <f t="shared" si="73"/>
        <v/>
      </c>
      <c r="I495" t="str">
        <f t="shared" si="74"/>
        <v/>
      </c>
    </row>
    <row r="496" spans="1:9">
      <c r="A496">
        <f>CSV!B496</f>
        <v>0</v>
      </c>
      <c r="B496" s="13" t="e">
        <f>INDEX(Input!$D$2:$AC$500,
       MATCH(CPU_Formula!A496, Input!$J$2:$J$500, 0),
       MATCH("CPU model", Input!$D$1:$AC$1, 0))</f>
        <v>#N/A</v>
      </c>
      <c r="C496" s="13" t="str">
        <f t="shared" si="68"/>
        <v/>
      </c>
      <c r="D496" s="13" t="str">
        <f t="shared" si="69"/>
        <v/>
      </c>
      <c r="E496" s="13" t="str">
        <f t="shared" si="70"/>
        <v/>
      </c>
      <c r="F496" s="13" t="str">
        <f t="shared" si="71"/>
        <v/>
      </c>
      <c r="G496" s="13" t="str">
        <f t="shared" si="72"/>
        <v/>
      </c>
      <c r="H496" s="13" t="str">
        <f t="shared" si="73"/>
        <v/>
      </c>
      <c r="I496" t="str">
        <f t="shared" si="74"/>
        <v/>
      </c>
    </row>
    <row r="497" spans="1:9">
      <c r="A497">
        <f>CSV!B497</f>
        <v>0</v>
      </c>
      <c r="B497" s="13" t="e">
        <f>INDEX(Input!$D$2:$AC$500,
       MATCH(CPU_Formula!A497, Input!$J$2:$J$500, 0),
       MATCH("CPU model", Input!$D$1:$AC$1, 0))</f>
        <v>#N/A</v>
      </c>
      <c r="C497" s="13" t="str">
        <f t="shared" si="68"/>
        <v/>
      </c>
      <c r="D497" s="13" t="str">
        <f t="shared" si="69"/>
        <v/>
      </c>
      <c r="E497" s="13" t="str">
        <f t="shared" si="70"/>
        <v/>
      </c>
      <c r="F497" s="13" t="str">
        <f t="shared" si="71"/>
        <v/>
      </c>
      <c r="G497" s="13" t="str">
        <f t="shared" si="72"/>
        <v/>
      </c>
      <c r="H497" s="13" t="str">
        <f t="shared" si="73"/>
        <v/>
      </c>
      <c r="I497" t="str">
        <f t="shared" si="74"/>
        <v/>
      </c>
    </row>
    <row r="498" spans="1:9">
      <c r="A498">
        <f>CSV!B498</f>
        <v>0</v>
      </c>
      <c r="B498" s="13" t="e">
        <f>INDEX(Input!$D$2:$AC$500,
       MATCH(CPU_Formula!A498, Input!$J$2:$J$500, 0),
       MATCH("CPU model", Input!$D$1:$AC$1, 0))</f>
        <v>#N/A</v>
      </c>
      <c r="C498" s="13" t="str">
        <f t="shared" si="68"/>
        <v/>
      </c>
      <c r="D498" s="13" t="str">
        <f t="shared" si="69"/>
        <v/>
      </c>
      <c r="E498" s="13" t="str">
        <f t="shared" si="70"/>
        <v/>
      </c>
      <c r="F498" s="13" t="str">
        <f t="shared" si="71"/>
        <v/>
      </c>
      <c r="G498" s="13" t="str">
        <f t="shared" si="72"/>
        <v/>
      </c>
      <c r="H498" s="13" t="str">
        <f t="shared" si="73"/>
        <v/>
      </c>
      <c r="I498" t="str">
        <f t="shared" si="74"/>
        <v/>
      </c>
    </row>
    <row r="499" spans="1:9">
      <c r="A499">
        <f>CSV!B499</f>
        <v>0</v>
      </c>
      <c r="B499" s="13" t="e">
        <f>INDEX(Input!$D$2:$AC$500,
       MATCH(CPU_Formula!A499, Input!$J$2:$J$500, 0),
       MATCH("CPU model", Input!$D$1:$AC$1, 0))</f>
        <v>#N/A</v>
      </c>
      <c r="C499" s="13" t="str">
        <f t="shared" si="68"/>
        <v/>
      </c>
      <c r="D499" s="13" t="str">
        <f t="shared" si="69"/>
        <v/>
      </c>
      <c r="E499" s="13" t="str">
        <f t="shared" si="70"/>
        <v/>
      </c>
      <c r="F499" s="13" t="str">
        <f t="shared" si="71"/>
        <v/>
      </c>
      <c r="G499" s="13" t="str">
        <f t="shared" si="72"/>
        <v/>
      </c>
      <c r="H499" s="13" t="str">
        <f t="shared" si="73"/>
        <v/>
      </c>
      <c r="I499" t="str">
        <f t="shared" si="74"/>
        <v/>
      </c>
    </row>
    <row r="500" spans="1:9">
      <c r="A500">
        <f>CSV!B500</f>
        <v>0</v>
      </c>
      <c r="B500" s="13" t="e">
        <f>INDEX(Input!$D$2:$AC$500,
       MATCH(CPU_Formula!A500, Input!$J$2:$J$500, 0),
       MATCH("CPU model", Input!$D$1:$AC$1, 0))</f>
        <v>#N/A</v>
      </c>
      <c r="C500" s="13" t="str">
        <f t="shared" si="68"/>
        <v/>
      </c>
      <c r="D500" s="13" t="str">
        <f t="shared" si="69"/>
        <v/>
      </c>
      <c r="E500" s="13" t="str">
        <f t="shared" si="70"/>
        <v/>
      </c>
      <c r="F500" s="13" t="str">
        <f t="shared" si="71"/>
        <v/>
      </c>
      <c r="G500" s="13" t="str">
        <f t="shared" si="72"/>
        <v/>
      </c>
      <c r="H500" s="13" t="str">
        <f t="shared" si="73"/>
        <v/>
      </c>
      <c r="I500" t="str">
        <f t="shared" si="74"/>
        <v/>
      </c>
    </row>
    <row r="501" spans="1:9">
      <c r="A501">
        <f>CSV!B501</f>
        <v>0</v>
      </c>
      <c r="B501" s="13" t="e">
        <f>INDEX(Input!$D$2:$AC$500,
       MATCH(CPU_Formula!A501, Input!$J$2:$J$500, 0),
       MATCH("CPU model", Input!$D$1:$AC$1, 0))</f>
        <v>#N/A</v>
      </c>
      <c r="C501" s="13" t="str">
        <f t="shared" si="68"/>
        <v/>
      </c>
      <c r="D501" s="13" t="str">
        <f t="shared" si="69"/>
        <v/>
      </c>
      <c r="E501" s="13" t="str">
        <f t="shared" si="70"/>
        <v/>
      </c>
      <c r="F501" s="13" t="str">
        <f t="shared" si="71"/>
        <v/>
      </c>
      <c r="G501" s="13" t="str">
        <f t="shared" si="72"/>
        <v/>
      </c>
      <c r="H501" s="13" t="str">
        <f t="shared" si="73"/>
        <v/>
      </c>
      <c r="I501" t="str">
        <f t="shared" si="74"/>
        <v/>
      </c>
    </row>
    <row r="502" spans="1:9">
      <c r="A502">
        <f>CSV!B502</f>
        <v>0</v>
      </c>
      <c r="B502" s="13" t="e">
        <f>INDEX(Input!$D$2:$AC$500,
       MATCH(CPU_Formula!A502, Input!$J$2:$J$500, 0),
       MATCH("CPU model", Input!$D$1:$AC$1, 0))</f>
        <v>#N/A</v>
      </c>
      <c r="C502" s="13" t="str">
        <f t="shared" si="68"/>
        <v/>
      </c>
      <c r="D502" s="13" t="str">
        <f t="shared" si="69"/>
        <v/>
      </c>
      <c r="E502" s="13" t="str">
        <f t="shared" si="70"/>
        <v/>
      </c>
      <c r="F502" s="13" t="str">
        <f t="shared" si="71"/>
        <v/>
      </c>
      <c r="G502" s="13" t="str">
        <f t="shared" si="72"/>
        <v/>
      </c>
      <c r="H502" s="13" t="str">
        <f t="shared" si="73"/>
        <v/>
      </c>
      <c r="I502" t="str">
        <f t="shared" si="74"/>
        <v/>
      </c>
    </row>
    <row r="503" spans="1:9">
      <c r="A503">
        <f>CSV!B503</f>
        <v>0</v>
      </c>
      <c r="B503" s="13" t="e">
        <f>INDEX(Input!$D$2:$AC$500,
       MATCH(CPU_Formula!A503, Input!$J$2:$J$500, 0),
       MATCH("CPU model", Input!$D$1:$AC$1, 0))</f>
        <v>#N/A</v>
      </c>
      <c r="C503" s="13" t="str">
        <f t="shared" si="68"/>
        <v/>
      </c>
      <c r="D503" s="13" t="str">
        <f t="shared" si="69"/>
        <v/>
      </c>
      <c r="E503" s="13" t="str">
        <f t="shared" si="70"/>
        <v/>
      </c>
      <c r="F503" s="13" t="str">
        <f t="shared" si="71"/>
        <v/>
      </c>
      <c r="G503" s="13" t="str">
        <f t="shared" si="72"/>
        <v/>
      </c>
      <c r="H503" s="13" t="str">
        <f t="shared" si="73"/>
        <v/>
      </c>
      <c r="I503" t="str">
        <f t="shared" si="74"/>
        <v/>
      </c>
    </row>
    <row r="504" spans="1:9">
      <c r="A504">
        <f>CSV!B504</f>
        <v>0</v>
      </c>
      <c r="B504" s="13" t="e">
        <f>INDEX(Input!$D$2:$AC$500,
       MATCH(CPU_Formula!A504, Input!$J$2:$J$500, 0),
       MATCH("CPU model", Input!$D$1:$AC$1, 0))</f>
        <v>#N/A</v>
      </c>
      <c r="C504" s="13" t="str">
        <f t="shared" si="68"/>
        <v/>
      </c>
      <c r="D504" s="13" t="str">
        <f t="shared" si="69"/>
        <v/>
      </c>
      <c r="E504" s="13" t="str">
        <f t="shared" si="70"/>
        <v/>
      </c>
      <c r="F504" s="13" t="str">
        <f t="shared" si="71"/>
        <v/>
      </c>
      <c r="G504" s="13" t="str">
        <f t="shared" si="72"/>
        <v/>
      </c>
      <c r="H504" s="13" t="str">
        <f t="shared" si="73"/>
        <v/>
      </c>
      <c r="I504" t="str">
        <f t="shared" si="74"/>
        <v/>
      </c>
    </row>
    <row r="505" spans="1:9">
      <c r="A505">
        <f>CSV!B505</f>
        <v>0</v>
      </c>
      <c r="B505" s="13" t="e">
        <f>INDEX(Input!$D$2:$AC$500,
       MATCH(CPU_Formula!A505, Input!$J$2:$J$500, 0),
       MATCH("CPU model", Input!$D$1:$AC$1, 0))</f>
        <v>#N/A</v>
      </c>
      <c r="C505" s="13" t="str">
        <f t="shared" si="68"/>
        <v/>
      </c>
      <c r="D505" s="13" t="str">
        <f t="shared" si="69"/>
        <v/>
      </c>
      <c r="E505" s="13" t="str">
        <f t="shared" si="70"/>
        <v/>
      </c>
      <c r="F505" s="13" t="str">
        <f t="shared" si="71"/>
        <v/>
      </c>
      <c r="G505" s="13" t="str">
        <f t="shared" si="72"/>
        <v/>
      </c>
      <c r="H505" s="13" t="str">
        <f t="shared" si="73"/>
        <v/>
      </c>
      <c r="I505" t="str">
        <f t="shared" si="74"/>
        <v/>
      </c>
    </row>
    <row r="506" spans="1:9">
      <c r="A506">
        <f>CSV!B506</f>
        <v>0</v>
      </c>
      <c r="B506" s="13" t="e">
        <f>INDEX(Input!$D$2:$AC$500,
       MATCH(CPU_Formula!A506, Input!$J$2:$J$500, 0),
       MATCH("CPU model", Input!$D$1:$AC$1, 0))</f>
        <v>#N/A</v>
      </c>
      <c r="C506" s="13" t="str">
        <f t="shared" si="68"/>
        <v/>
      </c>
      <c r="D506" s="13" t="str">
        <f t="shared" si="69"/>
        <v/>
      </c>
      <c r="E506" s="13" t="str">
        <f t="shared" si="70"/>
        <v/>
      </c>
      <c r="F506" s="13" t="str">
        <f t="shared" si="71"/>
        <v/>
      </c>
      <c r="G506" s="13" t="str">
        <f t="shared" si="72"/>
        <v/>
      </c>
      <c r="H506" s="13" t="str">
        <f t="shared" si="73"/>
        <v/>
      </c>
      <c r="I506" t="str">
        <f t="shared" si="74"/>
        <v/>
      </c>
    </row>
    <row r="507" spans="1:9">
      <c r="A507">
        <f>CSV!B507</f>
        <v>0</v>
      </c>
      <c r="B507" s="13" t="e">
        <f>INDEX(Input!$D$2:$AC$500,
       MATCH(CPU_Formula!A507, Input!$J$2:$J$500, 0),
       MATCH("CPU model", Input!$D$1:$AC$1, 0))</f>
        <v>#N/A</v>
      </c>
      <c r="C507" s="13" t="str">
        <f t="shared" si="68"/>
        <v/>
      </c>
      <c r="D507" s="13" t="str">
        <f t="shared" si="69"/>
        <v/>
      </c>
      <c r="E507" s="13" t="str">
        <f t="shared" si="70"/>
        <v/>
      </c>
      <c r="F507" s="13" t="str">
        <f t="shared" si="71"/>
        <v/>
      </c>
      <c r="G507" s="13" t="str">
        <f t="shared" si="72"/>
        <v/>
      </c>
      <c r="H507" s="13" t="str">
        <f t="shared" si="73"/>
        <v/>
      </c>
      <c r="I507" t="str">
        <f t="shared" si="74"/>
        <v/>
      </c>
    </row>
    <row r="508" spans="1:9">
      <c r="A508">
        <f>CSV!B508</f>
        <v>0</v>
      </c>
      <c r="B508" s="13" t="e">
        <f>INDEX(Input!$D$2:$AC$500,
       MATCH(CPU_Formula!A508, Input!$J$2:$J$500, 0),
       MATCH("CPU model", Input!$D$1:$AC$1, 0))</f>
        <v>#N/A</v>
      </c>
      <c r="C508" s="13" t="str">
        <f t="shared" si="68"/>
        <v/>
      </c>
      <c r="D508" s="13" t="str">
        <f t="shared" si="69"/>
        <v/>
      </c>
      <c r="E508" s="13" t="str">
        <f t="shared" si="70"/>
        <v/>
      </c>
      <c r="F508" s="13" t="str">
        <f t="shared" si="71"/>
        <v/>
      </c>
      <c r="G508" s="13" t="str">
        <f t="shared" si="72"/>
        <v/>
      </c>
      <c r="H508" s="13" t="str">
        <f t="shared" si="73"/>
        <v/>
      </c>
      <c r="I508" t="str">
        <f t="shared" si="74"/>
        <v/>
      </c>
    </row>
    <row r="509" spans="1:9">
      <c r="A509">
        <f>CSV!B509</f>
        <v>0</v>
      </c>
      <c r="B509" s="13" t="e">
        <f>INDEX(Input!$D$2:$AC$500,
       MATCH(CPU_Formula!A509, Input!$J$2:$J$500, 0),
       MATCH("CPU model", Input!$D$1:$AC$1, 0))</f>
        <v>#N/A</v>
      </c>
      <c r="C509" s="13" t="str">
        <f t="shared" si="68"/>
        <v/>
      </c>
      <c r="D509" s="13" t="str">
        <f t="shared" si="69"/>
        <v/>
      </c>
      <c r="E509" s="13" t="str">
        <f t="shared" si="70"/>
        <v/>
      </c>
      <c r="F509" s="13" t="str">
        <f t="shared" si="71"/>
        <v/>
      </c>
      <c r="G509" s="13" t="str">
        <f t="shared" si="72"/>
        <v/>
      </c>
      <c r="H509" s="13" t="str">
        <f t="shared" si="73"/>
        <v/>
      </c>
      <c r="I509" t="str">
        <f t="shared" si="74"/>
        <v/>
      </c>
    </row>
    <row r="510" spans="1:9">
      <c r="A510">
        <f>CSV!B510</f>
        <v>0</v>
      </c>
      <c r="B510" s="13" t="e">
        <f>INDEX(Input!$D$2:$AC$500,
       MATCH(CPU_Formula!A510, Input!$J$2:$J$500, 0),
       MATCH("CPU model", Input!$D$1:$AC$1, 0))</f>
        <v>#N/A</v>
      </c>
      <c r="C510" s="13" t="str">
        <f t="shared" si="68"/>
        <v/>
      </c>
      <c r="D510" s="13" t="str">
        <f t="shared" si="69"/>
        <v/>
      </c>
      <c r="E510" s="13" t="str">
        <f t="shared" si="70"/>
        <v/>
      </c>
      <c r="F510" s="13" t="str">
        <f t="shared" si="71"/>
        <v/>
      </c>
      <c r="G510" s="13" t="str">
        <f t="shared" si="72"/>
        <v/>
      </c>
      <c r="H510" s="13" t="str">
        <f t="shared" si="73"/>
        <v/>
      </c>
      <c r="I510" t="str">
        <f t="shared" si="74"/>
        <v/>
      </c>
    </row>
    <row r="511" spans="1:9">
      <c r="A511">
        <f>CSV!B511</f>
        <v>0</v>
      </c>
      <c r="B511" s="13" t="e">
        <f>INDEX(Input!$D$2:$AC$500,
       MATCH(CPU_Formula!A511, Input!$J$2:$J$500, 0),
       MATCH("CPU model", Input!$D$1:$AC$1, 0))</f>
        <v>#N/A</v>
      </c>
      <c r="C511" s="13" t="str">
        <f t="shared" si="68"/>
        <v/>
      </c>
      <c r="D511" s="13" t="str">
        <f t="shared" si="69"/>
        <v/>
      </c>
      <c r="E511" s="13" t="str">
        <f t="shared" si="70"/>
        <v/>
      </c>
      <c r="F511" s="13" t="str">
        <f t="shared" si="71"/>
        <v/>
      </c>
      <c r="G511" s="13" t="str">
        <f t="shared" si="72"/>
        <v/>
      </c>
      <c r="H511" s="13" t="str">
        <f t="shared" si="73"/>
        <v/>
      </c>
      <c r="I511" t="str">
        <f t="shared" si="74"/>
        <v/>
      </c>
    </row>
    <row r="512" spans="1:9">
      <c r="A512">
        <f>CSV!B512</f>
        <v>0</v>
      </c>
      <c r="B512" s="13" t="e">
        <f>INDEX(Input!$D$2:$AC$500,
       MATCH(CPU_Formula!A512, Input!$J$2:$J$500, 0),
       MATCH("CPU model", Input!$D$1:$AC$1, 0))</f>
        <v>#N/A</v>
      </c>
      <c r="C512" s="13" t="str">
        <f t="shared" si="68"/>
        <v/>
      </c>
      <c r="D512" s="13" t="str">
        <f t="shared" si="69"/>
        <v/>
      </c>
      <c r="E512" s="13" t="str">
        <f t="shared" si="70"/>
        <v/>
      </c>
      <c r="F512" s="13" t="str">
        <f t="shared" si="71"/>
        <v/>
      </c>
      <c r="G512" s="13" t="str">
        <f t="shared" si="72"/>
        <v/>
      </c>
      <c r="H512" s="13" t="str">
        <f t="shared" si="73"/>
        <v/>
      </c>
      <c r="I512" t="str">
        <f t="shared" si="74"/>
        <v/>
      </c>
    </row>
    <row r="513" spans="1:9">
      <c r="A513">
        <f>CSV!B513</f>
        <v>0</v>
      </c>
      <c r="B513" s="13" t="e">
        <f>INDEX(Input!$D$2:$AC$500,
       MATCH(CPU_Formula!A513, Input!$J$2:$J$500, 0),
       MATCH("CPU model", Input!$D$1:$AC$1, 0))</f>
        <v>#N/A</v>
      </c>
      <c r="C513" s="13" t="str">
        <f t="shared" si="68"/>
        <v/>
      </c>
      <c r="D513" s="13" t="str">
        <f t="shared" si="69"/>
        <v/>
      </c>
      <c r="E513" s="13" t="str">
        <f t="shared" si="70"/>
        <v/>
      </c>
      <c r="F513" s="13" t="str">
        <f t="shared" si="71"/>
        <v/>
      </c>
      <c r="G513" s="13" t="str">
        <f t="shared" si="72"/>
        <v/>
      </c>
      <c r="H513" s="13" t="str">
        <f t="shared" si="73"/>
        <v/>
      </c>
      <c r="I513" t="str">
        <f t="shared" si="74"/>
        <v/>
      </c>
    </row>
    <row r="514" spans="1:9">
      <c r="A514">
        <f>CSV!B514</f>
        <v>0</v>
      </c>
      <c r="B514" s="13" t="e">
        <f>INDEX(Input!$D$2:$AC$500,
       MATCH(CPU_Formula!A514, Input!$J$2:$J$500, 0),
       MATCH("CPU model", Input!$D$1:$AC$1, 0))</f>
        <v>#N/A</v>
      </c>
      <c r="C514" s="13" t="str">
        <f t="shared" si="68"/>
        <v/>
      </c>
      <c r="D514" s="13" t="str">
        <f t="shared" si="69"/>
        <v/>
      </c>
      <c r="E514" s="13" t="str">
        <f t="shared" si="70"/>
        <v/>
      </c>
      <c r="F514" s="13" t="str">
        <f t="shared" si="71"/>
        <v/>
      </c>
      <c r="G514" s="13" t="str">
        <f t="shared" si="72"/>
        <v/>
      </c>
      <c r="H514" s="13" t="str">
        <f t="shared" si="73"/>
        <v/>
      </c>
      <c r="I514" t="str">
        <f t="shared" si="74"/>
        <v/>
      </c>
    </row>
    <row r="515" spans="1:9">
      <c r="A515">
        <f>CSV!B515</f>
        <v>0</v>
      </c>
      <c r="B515" s="13" t="e">
        <f>INDEX(Input!$D$2:$AC$500,
       MATCH(CPU_Formula!A515, Input!$J$2:$J$500, 0),
       MATCH("CPU model", Input!$D$1:$AC$1, 0))</f>
        <v>#N/A</v>
      </c>
      <c r="C515" s="13" t="str">
        <f t="shared" si="68"/>
        <v/>
      </c>
      <c r="D515" s="13" t="str">
        <f t="shared" si="69"/>
        <v/>
      </c>
      <c r="E515" s="13" t="str">
        <f t="shared" si="70"/>
        <v/>
      </c>
      <c r="F515" s="13" t="str">
        <f t="shared" si="71"/>
        <v/>
      </c>
      <c r="G515" s="13" t="str">
        <f t="shared" si="72"/>
        <v/>
      </c>
      <c r="H515" s="13" t="str">
        <f t="shared" si="73"/>
        <v/>
      </c>
      <c r="I515" t="str">
        <f t="shared" si="74"/>
        <v/>
      </c>
    </row>
    <row r="516" spans="1:9">
      <c r="A516">
        <f>CSV!B516</f>
        <v>0</v>
      </c>
      <c r="B516" s="13" t="e">
        <f>INDEX(Input!$D$2:$AC$500,
       MATCH(CPU_Formula!A516, Input!$J$2:$J$500, 0),
       MATCH("CPU model", Input!$D$1:$AC$1, 0))</f>
        <v>#N/A</v>
      </c>
      <c r="C516" s="13" t="str">
        <f t="shared" si="68"/>
        <v/>
      </c>
      <c r="D516" s="13" t="str">
        <f t="shared" si="69"/>
        <v/>
      </c>
      <c r="E516" s="13" t="str">
        <f t="shared" si="70"/>
        <v/>
      </c>
      <c r="F516" s="13" t="str">
        <f t="shared" si="71"/>
        <v/>
      </c>
      <c r="G516" s="13" t="str">
        <f t="shared" si="72"/>
        <v/>
      </c>
      <c r="H516" s="13" t="str">
        <f t="shared" si="73"/>
        <v/>
      </c>
      <c r="I516" t="str">
        <f t="shared" si="74"/>
        <v/>
      </c>
    </row>
    <row r="517" spans="1:9">
      <c r="A517">
        <f>CSV!B517</f>
        <v>0</v>
      </c>
      <c r="B517" s="13" t="e">
        <f>INDEX(Input!$D$2:$AC$500,
       MATCH(CPU_Formula!A517, Input!$J$2:$J$500, 0),
       MATCH("CPU model", Input!$D$1:$AC$1, 0))</f>
        <v>#N/A</v>
      </c>
      <c r="C517" s="13" t="str">
        <f t="shared" si="68"/>
        <v/>
      </c>
      <c r="D517" s="13" t="str">
        <f t="shared" si="69"/>
        <v/>
      </c>
      <c r="E517" s="13" t="str">
        <f t="shared" si="70"/>
        <v/>
      </c>
      <c r="F517" s="13" t="str">
        <f t="shared" si="71"/>
        <v/>
      </c>
      <c r="G517" s="13" t="str">
        <f t="shared" si="72"/>
        <v/>
      </c>
      <c r="H517" s="13" t="str">
        <f t="shared" si="73"/>
        <v/>
      </c>
      <c r="I517" t="str">
        <f t="shared" si="74"/>
        <v/>
      </c>
    </row>
    <row r="518" spans="1:9">
      <c r="A518">
        <f>CSV!B518</f>
        <v>0</v>
      </c>
      <c r="B518" s="13" t="e">
        <f>INDEX(Input!$D$2:$AC$500,
       MATCH(CPU_Formula!A518, Input!$J$2:$J$500, 0),
       MATCH("CPU model", Input!$D$1:$AC$1, 0))</f>
        <v>#N/A</v>
      </c>
      <c r="C518" s="13" t="str">
        <f t="shared" si="68"/>
        <v/>
      </c>
      <c r="D518" s="13" t="str">
        <f t="shared" si="69"/>
        <v/>
      </c>
      <c r="E518" s="13" t="str">
        <f t="shared" si="70"/>
        <v/>
      </c>
      <c r="F518" s="13" t="str">
        <f t="shared" si="71"/>
        <v/>
      </c>
      <c r="G518" s="13" t="str">
        <f t="shared" si="72"/>
        <v/>
      </c>
      <c r="H518" s="13" t="str">
        <f t="shared" si="73"/>
        <v/>
      </c>
      <c r="I518" t="str">
        <f t="shared" si="74"/>
        <v/>
      </c>
    </row>
    <row r="519" spans="1:9">
      <c r="A519">
        <f>CSV!B519</f>
        <v>0</v>
      </c>
      <c r="B519" s="13" t="e">
        <f>INDEX(Input!$D$2:$AC$500,
       MATCH(CPU_Formula!A519, Input!$J$2:$J$500, 0),
       MATCH("CPU model", Input!$D$1:$AC$1, 0))</f>
        <v>#N/A</v>
      </c>
      <c r="C519" s="13" t="str">
        <f t="shared" si="68"/>
        <v/>
      </c>
      <c r="D519" s="13" t="str">
        <f t="shared" si="69"/>
        <v/>
      </c>
      <c r="E519" s="13" t="str">
        <f t="shared" si="70"/>
        <v/>
      </c>
      <c r="F519" s="13" t="str">
        <f t="shared" si="71"/>
        <v/>
      </c>
      <c r="G519" s="13" t="str">
        <f t="shared" si="72"/>
        <v/>
      </c>
      <c r="H519" s="13" t="str">
        <f t="shared" si="73"/>
        <v/>
      </c>
      <c r="I519" t="str">
        <f t="shared" si="74"/>
        <v/>
      </c>
    </row>
    <row r="520" spans="1:9">
      <c r="A520">
        <f>CSV!B520</f>
        <v>0</v>
      </c>
      <c r="B520" s="13" t="e">
        <f>INDEX(Input!$D$2:$AC$500,
       MATCH(CPU_Formula!A520, Input!$J$2:$J$500, 0),
       MATCH("CPU model", Input!$D$1:$AC$1, 0))</f>
        <v>#N/A</v>
      </c>
      <c r="C520" s="13" t="str">
        <f t="shared" si="68"/>
        <v/>
      </c>
      <c r="D520" s="13" t="str">
        <f t="shared" si="69"/>
        <v/>
      </c>
      <c r="E520" s="13" t="str">
        <f t="shared" si="70"/>
        <v/>
      </c>
      <c r="F520" s="13" t="str">
        <f t="shared" si="71"/>
        <v/>
      </c>
      <c r="G520" s="13" t="str">
        <f t="shared" si="72"/>
        <v/>
      </c>
      <c r="H520" s="13" t="str">
        <f t="shared" si="73"/>
        <v/>
      </c>
      <c r="I520" t="str">
        <f t="shared" si="74"/>
        <v/>
      </c>
    </row>
    <row r="521" spans="1:9">
      <c r="A521">
        <f>CSV!B521</f>
        <v>0</v>
      </c>
      <c r="B521" s="13" t="e">
        <f>INDEX(Input!$D$2:$AC$500,
       MATCH(CPU_Formula!A521, Input!$J$2:$J$500, 0),
       MATCH("CPU model", Input!$D$1:$AC$1, 0))</f>
        <v>#N/A</v>
      </c>
      <c r="C521" s="13" t="str">
        <f t="shared" si="68"/>
        <v/>
      </c>
      <c r="D521" s="13" t="str">
        <f t="shared" si="69"/>
        <v/>
      </c>
      <c r="E521" s="13" t="str">
        <f t="shared" si="70"/>
        <v/>
      </c>
      <c r="F521" s="13" t="str">
        <f t="shared" si="71"/>
        <v/>
      </c>
      <c r="G521" s="13" t="str">
        <f t="shared" si="72"/>
        <v/>
      </c>
      <c r="H521" s="13" t="str">
        <f t="shared" si="73"/>
        <v/>
      </c>
      <c r="I521" t="str">
        <f t="shared" si="74"/>
        <v/>
      </c>
    </row>
    <row r="522" spans="1:9">
      <c r="A522">
        <f>CSV!B522</f>
        <v>0</v>
      </c>
      <c r="B522" s="13" t="e">
        <f>INDEX(Input!$D$2:$AC$500,
       MATCH(CPU_Formula!A522, Input!$J$2:$J$500, 0),
       MATCH("CPU model", Input!$D$1:$AC$1, 0))</f>
        <v>#N/A</v>
      </c>
      <c r="C522" s="13" t="str">
        <f t="shared" si="68"/>
        <v/>
      </c>
      <c r="D522" s="13" t="str">
        <f t="shared" si="69"/>
        <v/>
      </c>
      <c r="E522" s="13" t="str">
        <f t="shared" si="70"/>
        <v/>
      </c>
      <c r="F522" s="13" t="str">
        <f t="shared" si="71"/>
        <v/>
      </c>
      <c r="G522" s="13" t="str">
        <f t="shared" si="72"/>
        <v/>
      </c>
      <c r="H522" s="13" t="str">
        <f t="shared" si="73"/>
        <v/>
      </c>
      <c r="I522" t="str">
        <f t="shared" si="74"/>
        <v/>
      </c>
    </row>
    <row r="523" spans="1:9">
      <c r="A523">
        <f>CSV!B523</f>
        <v>0</v>
      </c>
      <c r="B523" s="13" t="e">
        <f>INDEX(Input!$D$2:$AC$500,
       MATCH(CPU_Formula!A523, Input!$J$2:$J$500, 0),
       MATCH("CPU model", Input!$D$1:$AC$1, 0))</f>
        <v>#N/A</v>
      </c>
      <c r="C523" s="13" t="str">
        <f t="shared" si="68"/>
        <v/>
      </c>
      <c r="D523" s="13" t="str">
        <f t="shared" si="69"/>
        <v/>
      </c>
      <c r="E523" s="13" t="str">
        <f t="shared" si="70"/>
        <v/>
      </c>
      <c r="F523" s="13" t="str">
        <f t="shared" si="71"/>
        <v/>
      </c>
      <c r="G523" s="13" t="str">
        <f t="shared" si="72"/>
        <v/>
      </c>
      <c r="H523" s="13" t="str">
        <f t="shared" si="73"/>
        <v/>
      </c>
      <c r="I523" t="str">
        <f t="shared" si="74"/>
        <v/>
      </c>
    </row>
    <row r="524" spans="1:9">
      <c r="A524">
        <f>CSV!B524</f>
        <v>0</v>
      </c>
      <c r="B524" s="13" t="e">
        <f>INDEX(Input!$D$2:$AC$500,
       MATCH(CPU_Formula!A524, Input!$J$2:$J$500, 0),
       MATCH("CPU model", Input!$D$1:$AC$1, 0))</f>
        <v>#N/A</v>
      </c>
      <c r="C524" s="13" t="str">
        <f t="shared" si="68"/>
        <v/>
      </c>
      <c r="D524" s="13" t="str">
        <f t="shared" si="69"/>
        <v/>
      </c>
      <c r="E524" s="13" t="str">
        <f t="shared" si="70"/>
        <v/>
      </c>
      <c r="F524" s="13" t="str">
        <f t="shared" si="71"/>
        <v/>
      </c>
      <c r="G524" s="13" t="str">
        <f t="shared" si="72"/>
        <v/>
      </c>
      <c r="H524" s="13" t="str">
        <f t="shared" si="73"/>
        <v/>
      </c>
      <c r="I524" t="str">
        <f t="shared" si="74"/>
        <v/>
      </c>
    </row>
    <row r="525" spans="1:9">
      <c r="A525">
        <f>CSV!B525</f>
        <v>0</v>
      </c>
      <c r="B525" s="13" t="e">
        <f>INDEX(Input!$D$2:$AC$500,
       MATCH(CPU_Formula!A525, Input!$J$2:$J$500, 0),
       MATCH("CPU model", Input!$D$1:$AC$1, 0))</f>
        <v>#N/A</v>
      </c>
      <c r="C525" s="13" t="str">
        <f t="shared" si="68"/>
        <v/>
      </c>
      <c r="D525" s="13" t="str">
        <f t="shared" si="69"/>
        <v/>
      </c>
      <c r="E525" s="13" t="str">
        <f t="shared" si="70"/>
        <v/>
      </c>
      <c r="F525" s="13" t="str">
        <f t="shared" si="71"/>
        <v/>
      </c>
      <c r="G525" s="13" t="str">
        <f t="shared" si="72"/>
        <v/>
      </c>
      <c r="H525" s="13" t="str">
        <f t="shared" si="73"/>
        <v/>
      </c>
      <c r="I525" t="str">
        <f t="shared" si="74"/>
        <v/>
      </c>
    </row>
    <row r="526" spans="1:9">
      <c r="A526">
        <f>CSV!B526</f>
        <v>0</v>
      </c>
      <c r="B526" s="13" t="e">
        <f>INDEX(Input!$D$2:$AC$500,
       MATCH(CPU_Formula!A526, Input!$J$2:$J$500, 0),
       MATCH("CPU model", Input!$D$1:$AC$1, 0))</f>
        <v>#N/A</v>
      </c>
      <c r="C526" s="13" t="str">
        <f t="shared" si="68"/>
        <v/>
      </c>
      <c r="D526" s="13" t="str">
        <f t="shared" si="69"/>
        <v/>
      </c>
      <c r="E526" s="13" t="str">
        <f t="shared" si="70"/>
        <v/>
      </c>
      <c r="F526" s="13" t="str">
        <f t="shared" si="71"/>
        <v/>
      </c>
      <c r="G526" s="13" t="str">
        <f t="shared" si="72"/>
        <v/>
      </c>
      <c r="H526" s="13" t="str">
        <f t="shared" si="73"/>
        <v/>
      </c>
      <c r="I526" t="str">
        <f t="shared" si="74"/>
        <v/>
      </c>
    </row>
    <row r="527" spans="1:9">
      <c r="A527">
        <f>CSV!B527</f>
        <v>0</v>
      </c>
      <c r="B527" s="13" t="e">
        <f>INDEX(Input!$D$2:$AC$500,
       MATCH(CPU_Formula!A527, Input!$J$2:$J$500, 0),
       MATCH("CPU model", Input!$D$1:$AC$1, 0))</f>
        <v>#N/A</v>
      </c>
      <c r="C527" s="13" t="str">
        <f t="shared" si="68"/>
        <v/>
      </c>
      <c r="D527" s="13" t="str">
        <f t="shared" si="69"/>
        <v/>
      </c>
      <c r="E527" s="13" t="str">
        <f t="shared" si="70"/>
        <v/>
      </c>
      <c r="F527" s="13" t="str">
        <f t="shared" si="71"/>
        <v/>
      </c>
      <c r="G527" s="13" t="str">
        <f t="shared" si="72"/>
        <v/>
      </c>
      <c r="H527" s="13" t="str">
        <f t="shared" si="73"/>
        <v/>
      </c>
      <c r="I527" t="str">
        <f t="shared" si="74"/>
        <v/>
      </c>
    </row>
    <row r="528" spans="1:9">
      <c r="A528">
        <f>CSV!B528</f>
        <v>0</v>
      </c>
      <c r="B528" s="13" t="e">
        <f>INDEX(Input!$D$2:$AC$500,
       MATCH(CPU_Formula!A528, Input!$J$2:$J$500, 0),
       MATCH("CPU model", Input!$D$1:$AC$1, 0))</f>
        <v>#N/A</v>
      </c>
      <c r="C528" s="13" t="str">
        <f t="shared" si="68"/>
        <v/>
      </c>
      <c r="D528" s="13" t="str">
        <f t="shared" si="69"/>
        <v/>
      </c>
      <c r="E528" s="13" t="str">
        <f t="shared" si="70"/>
        <v/>
      </c>
      <c r="F528" s="13" t="str">
        <f t="shared" si="71"/>
        <v/>
      </c>
      <c r="G528" s="13" t="str">
        <f t="shared" si="72"/>
        <v/>
      </c>
      <c r="H528" s="13" t="str">
        <f t="shared" si="73"/>
        <v/>
      </c>
      <c r="I528" t="str">
        <f t="shared" si="74"/>
        <v/>
      </c>
    </row>
    <row r="529" spans="1:9">
      <c r="A529">
        <f>CSV!B529</f>
        <v>0</v>
      </c>
      <c r="B529" s="13" t="e">
        <f>INDEX(Input!$D$2:$AC$500,
       MATCH(CPU_Formula!A529, Input!$J$2:$J$500, 0),
       MATCH("CPU model", Input!$D$1:$AC$1, 0))</f>
        <v>#N/A</v>
      </c>
      <c r="C529" s="13" t="str">
        <f t="shared" si="68"/>
        <v/>
      </c>
      <c r="D529" s="13" t="str">
        <f t="shared" si="69"/>
        <v/>
      </c>
      <c r="E529" s="13" t="str">
        <f t="shared" si="70"/>
        <v/>
      </c>
      <c r="F529" s="13" t="str">
        <f t="shared" si="71"/>
        <v/>
      </c>
      <c r="G529" s="13" t="str">
        <f t="shared" si="72"/>
        <v/>
      </c>
      <c r="H529" s="13" t="str">
        <f t="shared" si="73"/>
        <v/>
      </c>
      <c r="I529" t="str">
        <f t="shared" si="74"/>
        <v/>
      </c>
    </row>
    <row r="530" spans="1:9">
      <c r="A530">
        <f>CSV!B530</f>
        <v>0</v>
      </c>
      <c r="B530" s="13" t="e">
        <f>INDEX(Input!$D$2:$AC$500,
       MATCH(CPU_Formula!A530, Input!$J$2:$J$500, 0),
       MATCH("CPU model", Input!$D$1:$AC$1, 0))</f>
        <v>#N/A</v>
      </c>
      <c r="C530" s="13" t="str">
        <f t="shared" si="68"/>
        <v/>
      </c>
      <c r="D530" s="13" t="str">
        <f t="shared" si="69"/>
        <v/>
      </c>
      <c r="E530" s="13" t="str">
        <f t="shared" si="70"/>
        <v/>
      </c>
      <c r="F530" s="13" t="str">
        <f t="shared" si="71"/>
        <v/>
      </c>
      <c r="G530" s="13" t="str">
        <f t="shared" si="72"/>
        <v/>
      </c>
      <c r="H530" s="13" t="str">
        <f t="shared" si="73"/>
        <v/>
      </c>
      <c r="I530" t="str">
        <f t="shared" si="74"/>
        <v/>
      </c>
    </row>
    <row r="531" spans="1:9">
      <c r="A531">
        <f>CSV!B531</f>
        <v>0</v>
      </c>
      <c r="B531" s="13" t="e">
        <f>INDEX(Input!$D$2:$AC$500,
       MATCH(CPU_Formula!A531, Input!$J$2:$J$500, 0),
       MATCH("CPU model", Input!$D$1:$AC$1, 0))</f>
        <v>#N/A</v>
      </c>
      <c r="C531" s="13" t="str">
        <f t="shared" si="68"/>
        <v/>
      </c>
      <c r="D531" s="13" t="str">
        <f t="shared" si="69"/>
        <v/>
      </c>
      <c r="E531" s="13" t="str">
        <f t="shared" si="70"/>
        <v/>
      </c>
      <c r="F531" s="13" t="str">
        <f t="shared" si="71"/>
        <v/>
      </c>
      <c r="G531" s="13" t="str">
        <f t="shared" si="72"/>
        <v/>
      </c>
      <c r="H531" s="13" t="str">
        <f t="shared" si="73"/>
        <v/>
      </c>
      <c r="I531" t="str">
        <f t="shared" si="74"/>
        <v/>
      </c>
    </row>
    <row r="532" spans="1:9">
      <c r="A532">
        <f>CSV!B532</f>
        <v>0</v>
      </c>
      <c r="B532" s="13" t="e">
        <f>INDEX(Input!$D$2:$AC$500,
       MATCH(CPU_Formula!A532, Input!$J$2:$J$500, 0),
       MATCH("CPU model", Input!$D$1:$AC$1, 0))</f>
        <v>#N/A</v>
      </c>
      <c r="C532" s="13" t="str">
        <f t="shared" si="68"/>
        <v/>
      </c>
      <c r="D532" s="13" t="str">
        <f t="shared" si="69"/>
        <v/>
      </c>
      <c r="E532" s="13" t="str">
        <f t="shared" si="70"/>
        <v/>
      </c>
      <c r="F532" s="13" t="str">
        <f t="shared" si="71"/>
        <v/>
      </c>
      <c r="G532" s="13" t="str">
        <f t="shared" si="72"/>
        <v/>
      </c>
      <c r="H532" s="13" t="str">
        <f t="shared" si="73"/>
        <v/>
      </c>
      <c r="I532" t="str">
        <f t="shared" si="74"/>
        <v/>
      </c>
    </row>
    <row r="533" spans="1:9">
      <c r="A533">
        <f>CSV!B533</f>
        <v>0</v>
      </c>
      <c r="B533" s="13" t="e">
        <f>INDEX(Input!$D$2:$AC$500,
       MATCH(CPU_Formula!A533, Input!$J$2:$J$500, 0),
       MATCH("CPU model", Input!$D$1:$AC$1, 0))</f>
        <v>#N/A</v>
      </c>
      <c r="C533" s="13" t="str">
        <f t="shared" si="68"/>
        <v/>
      </c>
      <c r="D533" s="13" t="str">
        <f t="shared" si="69"/>
        <v/>
      </c>
      <c r="E533" s="13" t="str">
        <f t="shared" si="70"/>
        <v/>
      </c>
      <c r="F533" s="13" t="str">
        <f t="shared" si="71"/>
        <v/>
      </c>
      <c r="G533" s="13" t="str">
        <f t="shared" si="72"/>
        <v/>
      </c>
      <c r="H533" s="13" t="str">
        <f t="shared" si="73"/>
        <v/>
      </c>
      <c r="I533" t="str">
        <f t="shared" si="74"/>
        <v/>
      </c>
    </row>
    <row r="534" spans="1:9">
      <c r="A534">
        <f>CSV!B534</f>
        <v>0</v>
      </c>
      <c r="B534" s="13" t="e">
        <f>INDEX(Input!$D$2:$AC$500,
       MATCH(CPU_Formula!A534, Input!$J$2:$J$500, 0),
       MATCH("CPU model", Input!$D$1:$AC$1, 0))</f>
        <v>#N/A</v>
      </c>
      <c r="C534" s="13" t="str">
        <f t="shared" si="68"/>
        <v/>
      </c>
      <c r="D534" s="13" t="str">
        <f t="shared" si="69"/>
        <v/>
      </c>
      <c r="E534" s="13" t="str">
        <f t="shared" si="70"/>
        <v/>
      </c>
      <c r="F534" s="13" t="str">
        <f t="shared" si="71"/>
        <v/>
      </c>
      <c r="G534" s="13" t="str">
        <f t="shared" si="72"/>
        <v/>
      </c>
      <c r="H534" s="13" t="str">
        <f t="shared" si="73"/>
        <v/>
      </c>
      <c r="I534" t="str">
        <f t="shared" si="74"/>
        <v/>
      </c>
    </row>
    <row r="535" spans="1:9">
      <c r="A535">
        <f>CSV!B535</f>
        <v>0</v>
      </c>
      <c r="B535" s="13" t="e">
        <f>INDEX(Input!$D$2:$AC$500,
       MATCH(CPU_Formula!A535, Input!$J$2:$J$500, 0),
       MATCH("CPU model", Input!$D$1:$AC$1, 0))</f>
        <v>#N/A</v>
      </c>
      <c r="C535" s="13" t="str">
        <f t="shared" si="68"/>
        <v/>
      </c>
      <c r="D535" s="13" t="str">
        <f t="shared" si="69"/>
        <v/>
      </c>
      <c r="E535" s="13" t="str">
        <f t="shared" si="70"/>
        <v/>
      </c>
      <c r="F535" s="13" t="str">
        <f t="shared" si="71"/>
        <v/>
      </c>
      <c r="G535" s="13" t="str">
        <f t="shared" si="72"/>
        <v/>
      </c>
      <c r="H535" s="13" t="str">
        <f t="shared" si="73"/>
        <v/>
      </c>
      <c r="I535" t="str">
        <f t="shared" si="74"/>
        <v/>
      </c>
    </row>
    <row r="536" spans="1:9">
      <c r="A536">
        <f>CSV!B536</f>
        <v>0</v>
      </c>
      <c r="B536" s="13" t="e">
        <f>INDEX(Input!$D$2:$AC$500,
       MATCH(CPU_Formula!A536, Input!$J$2:$J$500, 0),
       MATCH("CPU model", Input!$D$1:$AC$1, 0))</f>
        <v>#N/A</v>
      </c>
      <c r="C536" s="13" t="str">
        <f t="shared" si="68"/>
        <v/>
      </c>
      <c r="D536" s="13" t="str">
        <f t="shared" si="69"/>
        <v/>
      </c>
      <c r="E536" s="13" t="str">
        <f t="shared" si="70"/>
        <v/>
      </c>
      <c r="F536" s="13" t="str">
        <f t="shared" si="71"/>
        <v/>
      </c>
      <c r="G536" s="13" t="str">
        <f t="shared" si="72"/>
        <v/>
      </c>
      <c r="H536" s="13" t="str">
        <f t="shared" si="73"/>
        <v/>
      </c>
      <c r="I536" t="str">
        <f t="shared" si="74"/>
        <v/>
      </c>
    </row>
    <row r="537" spans="1:9">
      <c r="A537">
        <f>CSV!B537</f>
        <v>0</v>
      </c>
      <c r="B537" s="13" t="e">
        <f>INDEX(Input!$D$2:$AC$500,
       MATCH(CPU_Formula!A537, Input!$J$2:$J$500, 0),
       MATCH("CPU model", Input!$D$1:$AC$1, 0))</f>
        <v>#N/A</v>
      </c>
      <c r="C537" s="13" t="str">
        <f t="shared" si="68"/>
        <v/>
      </c>
      <c r="D537" s="13" t="str">
        <f t="shared" si="69"/>
        <v/>
      </c>
      <c r="E537" s="13" t="str">
        <f t="shared" si="70"/>
        <v/>
      </c>
      <c r="F537" s="13" t="str">
        <f t="shared" si="71"/>
        <v/>
      </c>
      <c r="G537" s="13" t="str">
        <f t="shared" si="72"/>
        <v/>
      </c>
      <c r="H537" s="13" t="str">
        <f t="shared" si="73"/>
        <v/>
      </c>
      <c r="I537" t="str">
        <f t="shared" si="74"/>
        <v/>
      </c>
    </row>
    <row r="538" spans="1:9">
      <c r="A538">
        <f>CSV!B538</f>
        <v>0</v>
      </c>
      <c r="B538" s="13" t="e">
        <f>INDEX(Input!$D$2:$AC$500,
       MATCH(CPU_Formula!A538, Input!$J$2:$J$500, 0),
       MATCH("CPU model", Input!$D$1:$AC$1, 0))</f>
        <v>#N/A</v>
      </c>
      <c r="C538" s="13" t="str">
        <f t="shared" si="68"/>
        <v/>
      </c>
      <c r="D538" s="13" t="str">
        <f t="shared" si="69"/>
        <v/>
      </c>
      <c r="E538" s="13" t="str">
        <f t="shared" si="70"/>
        <v/>
      </c>
      <c r="F538" s="13" t="str">
        <f t="shared" si="71"/>
        <v/>
      </c>
      <c r="G538" s="13" t="str">
        <f t="shared" si="72"/>
        <v/>
      </c>
      <c r="H538" s="13" t="str">
        <f t="shared" si="73"/>
        <v/>
      </c>
      <c r="I538" t="str">
        <f t="shared" si="74"/>
        <v/>
      </c>
    </row>
    <row r="539" spans="1:9">
      <c r="A539">
        <f>CSV!B539</f>
        <v>0</v>
      </c>
      <c r="B539" s="13" t="e">
        <f>INDEX(Input!$D$2:$AC$500,
       MATCH(CPU_Formula!A539, Input!$J$2:$J$500, 0),
       MATCH("CPU model", Input!$D$1:$AC$1, 0))</f>
        <v>#N/A</v>
      </c>
      <c r="C539" s="13" t="str">
        <f t="shared" si="68"/>
        <v/>
      </c>
      <c r="D539" s="13" t="str">
        <f t="shared" si="69"/>
        <v/>
      </c>
      <c r="E539" s="13" t="str">
        <f t="shared" si="70"/>
        <v/>
      </c>
      <c r="F539" s="13" t="str">
        <f t="shared" si="71"/>
        <v/>
      </c>
      <c r="G539" s="13" t="str">
        <f t="shared" si="72"/>
        <v/>
      </c>
      <c r="H539" s="13" t="str">
        <f t="shared" si="73"/>
        <v/>
      </c>
      <c r="I539" t="str">
        <f t="shared" si="74"/>
        <v/>
      </c>
    </row>
    <row r="540" spans="1:9">
      <c r="A540">
        <f>CSV!B540</f>
        <v>0</v>
      </c>
      <c r="B540" s="13" t="e">
        <f>INDEX(Input!$D$2:$AC$500,
       MATCH(CPU_Formula!A540, Input!$J$2:$J$500, 0),
       MATCH("CPU model", Input!$D$1:$AC$1, 0))</f>
        <v>#N/A</v>
      </c>
      <c r="C540" s="13" t="str">
        <f t="shared" si="68"/>
        <v/>
      </c>
      <c r="D540" s="13" t="str">
        <f t="shared" si="69"/>
        <v/>
      </c>
      <c r="E540" s="13" t="str">
        <f t="shared" si="70"/>
        <v/>
      </c>
      <c r="F540" s="13" t="str">
        <f t="shared" si="71"/>
        <v/>
      </c>
      <c r="G540" s="13" t="str">
        <f t="shared" si="72"/>
        <v/>
      </c>
      <c r="H540" s="13" t="str">
        <f t="shared" si="73"/>
        <v/>
      </c>
      <c r="I540" t="str">
        <f t="shared" si="74"/>
        <v/>
      </c>
    </row>
    <row r="541" spans="1:9">
      <c r="A541">
        <f>CSV!B541</f>
        <v>0</v>
      </c>
      <c r="B541" s="13" t="e">
        <f>INDEX(Input!$D$2:$AC$500,
       MATCH(CPU_Formula!A541, Input!$J$2:$J$500, 0),
       MATCH("CPU model", Input!$D$1:$AC$1, 0))</f>
        <v>#N/A</v>
      </c>
      <c r="C541" s="13" t="str">
        <f t="shared" si="68"/>
        <v/>
      </c>
      <c r="D541" s="13" t="str">
        <f t="shared" si="69"/>
        <v/>
      </c>
      <c r="E541" s="13" t="str">
        <f t="shared" si="70"/>
        <v/>
      </c>
      <c r="F541" s="13" t="str">
        <f t="shared" si="71"/>
        <v/>
      </c>
      <c r="G541" s="13" t="str">
        <f t="shared" si="72"/>
        <v/>
      </c>
      <c r="H541" s="13" t="str">
        <f t="shared" si="73"/>
        <v/>
      </c>
      <c r="I541" t="str">
        <f t="shared" si="74"/>
        <v/>
      </c>
    </row>
    <row r="542" spans="1:9">
      <c r="A542">
        <f>CSV!B542</f>
        <v>0</v>
      </c>
      <c r="B542" s="13" t="e">
        <f>INDEX(Input!$D$2:$AC$500,
       MATCH(CPU_Formula!A542, Input!$J$2:$J$500, 0),
       MATCH("CPU model", Input!$D$1:$AC$1, 0))</f>
        <v>#N/A</v>
      </c>
      <c r="C542" s="13" t="str">
        <f t="shared" si="68"/>
        <v/>
      </c>
      <c r="D542" s="13" t="str">
        <f t="shared" si="69"/>
        <v/>
      </c>
      <c r="E542" s="13" t="str">
        <f t="shared" si="70"/>
        <v/>
      </c>
      <c r="F542" s="13" t="str">
        <f t="shared" si="71"/>
        <v/>
      </c>
      <c r="G542" s="13" t="str">
        <f t="shared" si="72"/>
        <v/>
      </c>
      <c r="H542" s="13" t="str">
        <f t="shared" si="73"/>
        <v/>
      </c>
      <c r="I542" t="str">
        <f t="shared" si="74"/>
        <v/>
      </c>
    </row>
    <row r="543" spans="1:9">
      <c r="A543">
        <f>CSV!B543</f>
        <v>0</v>
      </c>
      <c r="B543" s="13" t="e">
        <f>INDEX(Input!$D$2:$AC$500,
       MATCH(CPU_Formula!A543, Input!$J$2:$J$500, 0),
       MATCH("CPU model", Input!$D$1:$AC$1, 0))</f>
        <v>#N/A</v>
      </c>
      <c r="C543" s="13" t="str">
        <f t="shared" si="68"/>
        <v/>
      </c>
      <c r="D543" s="13" t="str">
        <f t="shared" si="69"/>
        <v/>
      </c>
      <c r="E543" s="13" t="str">
        <f t="shared" si="70"/>
        <v/>
      </c>
      <c r="F543" s="13" t="str">
        <f t="shared" si="71"/>
        <v/>
      </c>
      <c r="G543" s="13" t="str">
        <f t="shared" si="72"/>
        <v/>
      </c>
      <c r="H543" s="13" t="str">
        <f t="shared" si="73"/>
        <v/>
      </c>
      <c r="I543" t="str">
        <f t="shared" si="74"/>
        <v/>
      </c>
    </row>
    <row r="544" spans="1:9">
      <c r="A544">
        <f>CSV!B544</f>
        <v>0</v>
      </c>
      <c r="B544" s="13" t="e">
        <f>INDEX(Input!$D$2:$AC$500,
       MATCH(CPU_Formula!A544, Input!$J$2:$J$500, 0),
       MATCH("CPU model", Input!$D$1:$AC$1, 0))</f>
        <v>#N/A</v>
      </c>
      <c r="C544" s="13" t="str">
        <f t="shared" si="68"/>
        <v/>
      </c>
      <c r="D544" s="13" t="str">
        <f t="shared" si="69"/>
        <v/>
      </c>
      <c r="E544" s="13" t="str">
        <f t="shared" si="70"/>
        <v/>
      </c>
      <c r="F544" s="13" t="str">
        <f t="shared" si="71"/>
        <v/>
      </c>
      <c r="G544" s="13" t="str">
        <f t="shared" si="72"/>
        <v/>
      </c>
      <c r="H544" s="13" t="str">
        <f t="shared" si="73"/>
        <v/>
      </c>
      <c r="I544" t="str">
        <f t="shared" si="74"/>
        <v/>
      </c>
    </row>
    <row r="545" spans="1:9">
      <c r="A545">
        <f>CSV!B545</f>
        <v>0</v>
      </c>
      <c r="B545" s="13" t="e">
        <f>INDEX(Input!$D$2:$AC$500,
       MATCH(CPU_Formula!A545, Input!$J$2:$J$500, 0),
       MATCH("CPU model", Input!$D$1:$AC$1, 0))</f>
        <v>#N/A</v>
      </c>
      <c r="C545" s="13" t="str">
        <f t="shared" si="68"/>
        <v/>
      </c>
      <c r="D545" s="13" t="str">
        <f t="shared" si="69"/>
        <v/>
      </c>
      <c r="E545" s="13" t="str">
        <f t="shared" si="70"/>
        <v/>
      </c>
      <c r="F545" s="13" t="str">
        <f t="shared" si="71"/>
        <v/>
      </c>
      <c r="G545" s="13" t="str">
        <f t="shared" si="72"/>
        <v/>
      </c>
      <c r="H545" s="13" t="str">
        <f t="shared" si="73"/>
        <v/>
      </c>
      <c r="I545" t="str">
        <f t="shared" si="74"/>
        <v/>
      </c>
    </row>
    <row r="546" spans="1:9">
      <c r="A546">
        <f>CSV!B546</f>
        <v>0</v>
      </c>
      <c r="B546" s="13" t="e">
        <f>INDEX(Input!$D$2:$AC$500,
       MATCH(CPU_Formula!A546, Input!$J$2:$J$500, 0),
       MATCH("CPU model", Input!$D$1:$AC$1, 0))</f>
        <v>#N/A</v>
      </c>
      <c r="C546" s="13" t="str">
        <f t="shared" si="68"/>
        <v/>
      </c>
      <c r="D546" s="13" t="str">
        <f t="shared" si="69"/>
        <v/>
      </c>
      <c r="E546" s="13" t="str">
        <f t="shared" si="70"/>
        <v/>
      </c>
      <c r="F546" s="13" t="str">
        <f t="shared" si="71"/>
        <v/>
      </c>
      <c r="G546" s="13" t="str">
        <f t="shared" si="72"/>
        <v/>
      </c>
      <c r="H546" s="13" t="str">
        <f t="shared" si="73"/>
        <v/>
      </c>
      <c r="I546" t="str">
        <f t="shared" si="74"/>
        <v/>
      </c>
    </row>
    <row r="547" spans="1:9">
      <c r="A547">
        <f>CSV!B547</f>
        <v>0</v>
      </c>
      <c r="B547" s="13" t="e">
        <f>INDEX(Input!$D$2:$AC$500,
       MATCH(CPU_Formula!A547, Input!$J$2:$J$500, 0),
       MATCH("CPU model", Input!$D$1:$AC$1, 0))</f>
        <v>#N/A</v>
      </c>
      <c r="C547" s="13" t="str">
        <f t="shared" si="68"/>
        <v/>
      </c>
      <c r="D547" s="13" t="str">
        <f t="shared" si="69"/>
        <v/>
      </c>
      <c r="E547" s="13" t="str">
        <f t="shared" si="70"/>
        <v/>
      </c>
      <c r="F547" s="13" t="str">
        <f t="shared" si="71"/>
        <v/>
      </c>
      <c r="G547" s="13" t="str">
        <f t="shared" si="72"/>
        <v/>
      </c>
      <c r="H547" s="13" t="str">
        <f t="shared" si="73"/>
        <v/>
      </c>
      <c r="I547" t="str">
        <f t="shared" si="74"/>
        <v/>
      </c>
    </row>
    <row r="548" spans="1:9">
      <c r="A548">
        <f>CSV!B548</f>
        <v>0</v>
      </c>
      <c r="B548" s="13" t="e">
        <f>INDEX(Input!$D$2:$AC$500,
       MATCH(CPU_Formula!A548, Input!$J$2:$J$500, 0),
       MATCH("CPU model", Input!$D$1:$AC$1, 0))</f>
        <v>#N/A</v>
      </c>
      <c r="C548" s="13" t="str">
        <f t="shared" si="68"/>
        <v/>
      </c>
      <c r="D548" s="13" t="str">
        <f t="shared" si="69"/>
        <v/>
      </c>
      <c r="E548" s="13" t="str">
        <f t="shared" si="70"/>
        <v/>
      </c>
      <c r="F548" s="13" t="str">
        <f t="shared" si="71"/>
        <v/>
      </c>
      <c r="G548" s="13" t="str">
        <f t="shared" si="72"/>
        <v/>
      </c>
      <c r="H548" s="13" t="str">
        <f t="shared" si="73"/>
        <v/>
      </c>
      <c r="I548" t="str">
        <f t="shared" si="74"/>
        <v/>
      </c>
    </row>
    <row r="549" spans="1:9">
      <c r="A549">
        <f>CSV!B549</f>
        <v>0</v>
      </c>
      <c r="B549" s="13" t="e">
        <f>INDEX(Input!$D$2:$AC$500,
       MATCH(CPU_Formula!A549, Input!$J$2:$J$500, 0),
       MATCH("CPU model", Input!$D$1:$AC$1, 0))</f>
        <v>#N/A</v>
      </c>
      <c r="C549" s="13" t="str">
        <f t="shared" si="68"/>
        <v/>
      </c>
      <c r="D549" s="13" t="str">
        <f t="shared" si="69"/>
        <v/>
      </c>
      <c r="E549" s="13" t="str">
        <f t="shared" si="70"/>
        <v/>
      </c>
      <c r="F549" s="13" t="str">
        <f t="shared" si="71"/>
        <v/>
      </c>
      <c r="G549" s="13" t="str">
        <f t="shared" si="72"/>
        <v/>
      </c>
      <c r="H549" s="13" t="str">
        <f t="shared" si="73"/>
        <v/>
      </c>
      <c r="I549" t="str">
        <f t="shared" si="74"/>
        <v/>
      </c>
    </row>
    <row r="550" spans="1:9">
      <c r="A550">
        <f>CSV!B550</f>
        <v>0</v>
      </c>
      <c r="B550" s="13" t="e">
        <f>INDEX(Input!$D$2:$AC$500,
       MATCH(CPU_Formula!A550, Input!$J$2:$J$500, 0),
       MATCH("CPU model", Input!$D$1:$AC$1, 0))</f>
        <v>#N/A</v>
      </c>
      <c r="C550" s="13" t="str">
        <f t="shared" si="68"/>
        <v/>
      </c>
      <c r="D550" s="13" t="str">
        <f t="shared" si="69"/>
        <v/>
      </c>
      <c r="E550" s="13" t="str">
        <f t="shared" si="70"/>
        <v/>
      </c>
      <c r="F550" s="13" t="str">
        <f t="shared" si="71"/>
        <v/>
      </c>
      <c r="G550" s="13" t="str">
        <f t="shared" si="72"/>
        <v/>
      </c>
      <c r="H550" s="13" t="str">
        <f t="shared" si="73"/>
        <v/>
      </c>
      <c r="I550" t="str">
        <f t="shared" si="74"/>
        <v/>
      </c>
    </row>
    <row r="551" spans="1:9">
      <c r="A551">
        <f>CSV!B551</f>
        <v>0</v>
      </c>
      <c r="B551" s="13" t="e">
        <f>INDEX(Input!$D$2:$AC$500,
       MATCH(CPU_Formula!A551, Input!$J$2:$J$500, 0),
       MATCH("CPU model", Input!$D$1:$AC$1, 0))</f>
        <v>#N/A</v>
      </c>
      <c r="C551" s="13" t="str">
        <f t="shared" si="68"/>
        <v/>
      </c>
      <c r="D551" s="13" t="str">
        <f t="shared" si="69"/>
        <v/>
      </c>
      <c r="E551" s="13" t="str">
        <f t="shared" si="70"/>
        <v/>
      </c>
      <c r="F551" s="13" t="str">
        <f t="shared" si="71"/>
        <v/>
      </c>
      <c r="G551" s="13" t="str">
        <f t="shared" si="72"/>
        <v/>
      </c>
      <c r="H551" s="13" t="str">
        <f t="shared" si="73"/>
        <v/>
      </c>
      <c r="I551" t="str">
        <f t="shared" si="74"/>
        <v/>
      </c>
    </row>
    <row r="552" spans="1:9">
      <c r="A552">
        <f>CSV!B552</f>
        <v>0</v>
      </c>
      <c r="B552" s="13" t="e">
        <f>INDEX(Input!$D$2:$AC$500,
       MATCH(CPU_Formula!A552, Input!$J$2:$J$500, 0),
       MATCH("CPU model", Input!$D$1:$AC$1, 0))</f>
        <v>#N/A</v>
      </c>
      <c r="C552" s="13" t="str">
        <f t="shared" ref="C552:C615" si="75">IFERROR(_xlfn.TEXTAFTER(B552,"Core(TM) "),IFERROR(_xlfn.TEXTAFTER(B552,"Xeon(R) CPU"),""))</f>
        <v/>
      </c>
      <c r="D552" s="13" t="str">
        <f t="shared" ref="D552:D615" si="76">IFERROR(_xlfn.TEXTAFTER(B552,"Ryzen "), "")</f>
        <v/>
      </c>
      <c r="E552" s="13" t="str">
        <f t="shared" ref="E552:E615" si="77">IF(ISNUMBER(SEARCH("Ultra", B552)), "Ultra"&amp;_xlfn.TEXTAFTER(B552, "Ultra"), "")</f>
        <v/>
      </c>
      <c r="F552" s="13" t="str">
        <f t="shared" ref="F552:F615" si="78">IF(C552&lt;&gt;"", TRIM(_xlfn.TEXTBEFORE(C552," ",,1,1)), "")</f>
        <v/>
      </c>
      <c r="G552" s="13" t="str">
        <f t="shared" ref="G552:G615" si="79">IF(D552&lt;&gt;"", TRIM(_xlfn.TEXTBEFORE(D552," ",,1)), "")</f>
        <v/>
      </c>
      <c r="H552" s="13" t="str">
        <f t="shared" ref="H552:H615" si="80">E552</f>
        <v/>
      </c>
      <c r="I552" t="str">
        <f t="shared" ref="I552:I615" si="81">IF(H552&lt;&gt;"",H552,IF(G552&lt;&gt;"",G552,F552))</f>
        <v/>
      </c>
    </row>
    <row r="553" spans="1:9">
      <c r="A553">
        <f>CSV!B553</f>
        <v>0</v>
      </c>
      <c r="B553" s="13" t="e">
        <f>INDEX(Input!$D$2:$AC$500,
       MATCH(CPU_Formula!A553, Input!$J$2:$J$500, 0),
       MATCH("CPU model", Input!$D$1:$AC$1, 0))</f>
        <v>#N/A</v>
      </c>
      <c r="C553" s="13" t="str">
        <f t="shared" si="75"/>
        <v/>
      </c>
      <c r="D553" s="13" t="str">
        <f t="shared" si="76"/>
        <v/>
      </c>
      <c r="E553" s="13" t="str">
        <f t="shared" si="77"/>
        <v/>
      </c>
      <c r="F553" s="13" t="str">
        <f t="shared" si="78"/>
        <v/>
      </c>
      <c r="G553" s="13" t="str">
        <f t="shared" si="79"/>
        <v/>
      </c>
      <c r="H553" s="13" t="str">
        <f t="shared" si="80"/>
        <v/>
      </c>
      <c r="I553" t="str">
        <f t="shared" si="81"/>
        <v/>
      </c>
    </row>
    <row r="554" spans="1:9">
      <c r="A554">
        <f>CSV!B554</f>
        <v>0</v>
      </c>
      <c r="B554" s="13" t="e">
        <f>INDEX(Input!$D$2:$AC$500,
       MATCH(CPU_Formula!A554, Input!$J$2:$J$500, 0),
       MATCH("CPU model", Input!$D$1:$AC$1, 0))</f>
        <v>#N/A</v>
      </c>
      <c r="C554" s="13" t="str">
        <f t="shared" si="75"/>
        <v/>
      </c>
      <c r="D554" s="13" t="str">
        <f t="shared" si="76"/>
        <v/>
      </c>
      <c r="E554" s="13" t="str">
        <f t="shared" si="77"/>
        <v/>
      </c>
      <c r="F554" s="13" t="str">
        <f t="shared" si="78"/>
        <v/>
      </c>
      <c r="G554" s="13" t="str">
        <f t="shared" si="79"/>
        <v/>
      </c>
      <c r="H554" s="13" t="str">
        <f t="shared" si="80"/>
        <v/>
      </c>
      <c r="I554" t="str">
        <f t="shared" si="81"/>
        <v/>
      </c>
    </row>
    <row r="555" spans="1:9">
      <c r="A555">
        <f>CSV!B555</f>
        <v>0</v>
      </c>
      <c r="B555" s="13" t="e">
        <f>INDEX(Input!$D$2:$AC$500,
       MATCH(CPU_Formula!A555, Input!$J$2:$J$500, 0),
       MATCH("CPU model", Input!$D$1:$AC$1, 0))</f>
        <v>#N/A</v>
      </c>
      <c r="C555" s="13" t="str">
        <f t="shared" si="75"/>
        <v/>
      </c>
      <c r="D555" s="13" t="str">
        <f t="shared" si="76"/>
        <v/>
      </c>
      <c r="E555" s="13" t="str">
        <f t="shared" si="77"/>
        <v/>
      </c>
      <c r="F555" s="13" t="str">
        <f t="shared" si="78"/>
        <v/>
      </c>
      <c r="G555" s="13" t="str">
        <f t="shared" si="79"/>
        <v/>
      </c>
      <c r="H555" s="13" t="str">
        <f t="shared" si="80"/>
        <v/>
      </c>
      <c r="I555" t="str">
        <f t="shared" si="81"/>
        <v/>
      </c>
    </row>
    <row r="556" spans="1:9">
      <c r="A556">
        <f>CSV!B556</f>
        <v>0</v>
      </c>
      <c r="B556" s="13" t="e">
        <f>INDEX(Input!$D$2:$AC$500,
       MATCH(CPU_Formula!A556, Input!$J$2:$J$500, 0),
       MATCH("CPU model", Input!$D$1:$AC$1, 0))</f>
        <v>#N/A</v>
      </c>
      <c r="C556" s="13" t="str">
        <f t="shared" si="75"/>
        <v/>
      </c>
      <c r="D556" s="13" t="str">
        <f t="shared" si="76"/>
        <v/>
      </c>
      <c r="E556" s="13" t="str">
        <f t="shared" si="77"/>
        <v/>
      </c>
      <c r="F556" s="13" t="str">
        <f t="shared" si="78"/>
        <v/>
      </c>
      <c r="G556" s="13" t="str">
        <f t="shared" si="79"/>
        <v/>
      </c>
      <c r="H556" s="13" t="str">
        <f t="shared" si="80"/>
        <v/>
      </c>
      <c r="I556" t="str">
        <f t="shared" si="81"/>
        <v/>
      </c>
    </row>
    <row r="557" spans="1:9">
      <c r="A557">
        <f>CSV!B557</f>
        <v>0</v>
      </c>
      <c r="B557" s="13" t="e">
        <f>INDEX(Input!$D$2:$AC$500,
       MATCH(CPU_Formula!A557, Input!$J$2:$J$500, 0),
       MATCH("CPU model", Input!$D$1:$AC$1, 0))</f>
        <v>#N/A</v>
      </c>
      <c r="C557" s="13" t="str">
        <f t="shared" si="75"/>
        <v/>
      </c>
      <c r="D557" s="13" t="str">
        <f t="shared" si="76"/>
        <v/>
      </c>
      <c r="E557" s="13" t="str">
        <f t="shared" si="77"/>
        <v/>
      </c>
      <c r="F557" s="13" t="str">
        <f t="shared" si="78"/>
        <v/>
      </c>
      <c r="G557" s="13" t="str">
        <f t="shared" si="79"/>
        <v/>
      </c>
      <c r="H557" s="13" t="str">
        <f t="shared" si="80"/>
        <v/>
      </c>
      <c r="I557" t="str">
        <f t="shared" si="81"/>
        <v/>
      </c>
    </row>
    <row r="558" spans="1:9">
      <c r="A558">
        <f>CSV!B558</f>
        <v>0</v>
      </c>
      <c r="B558" s="13" t="e">
        <f>INDEX(Input!$D$2:$AC$500,
       MATCH(CPU_Formula!A558, Input!$J$2:$J$500, 0),
       MATCH("CPU model", Input!$D$1:$AC$1, 0))</f>
        <v>#N/A</v>
      </c>
      <c r="C558" s="13" t="str">
        <f t="shared" si="75"/>
        <v/>
      </c>
      <c r="D558" s="13" t="str">
        <f t="shared" si="76"/>
        <v/>
      </c>
      <c r="E558" s="13" t="str">
        <f t="shared" si="77"/>
        <v/>
      </c>
      <c r="F558" s="13" t="str">
        <f t="shared" si="78"/>
        <v/>
      </c>
      <c r="G558" s="13" t="str">
        <f t="shared" si="79"/>
        <v/>
      </c>
      <c r="H558" s="13" t="str">
        <f t="shared" si="80"/>
        <v/>
      </c>
      <c r="I558" t="str">
        <f t="shared" si="81"/>
        <v/>
      </c>
    </row>
    <row r="559" spans="1:9">
      <c r="A559">
        <f>CSV!B559</f>
        <v>0</v>
      </c>
      <c r="B559" s="13" t="e">
        <f>INDEX(Input!$D$2:$AC$500,
       MATCH(CPU_Formula!A559, Input!$J$2:$J$500, 0),
       MATCH("CPU model", Input!$D$1:$AC$1, 0))</f>
        <v>#N/A</v>
      </c>
      <c r="C559" s="13" t="str">
        <f t="shared" si="75"/>
        <v/>
      </c>
      <c r="D559" s="13" t="str">
        <f t="shared" si="76"/>
        <v/>
      </c>
      <c r="E559" s="13" t="str">
        <f t="shared" si="77"/>
        <v/>
      </c>
      <c r="F559" s="13" t="str">
        <f t="shared" si="78"/>
        <v/>
      </c>
      <c r="G559" s="13" t="str">
        <f t="shared" si="79"/>
        <v/>
      </c>
      <c r="H559" s="13" t="str">
        <f t="shared" si="80"/>
        <v/>
      </c>
      <c r="I559" t="str">
        <f t="shared" si="81"/>
        <v/>
      </c>
    </row>
    <row r="560" spans="1:9">
      <c r="A560">
        <f>CSV!B560</f>
        <v>0</v>
      </c>
      <c r="B560" s="13" t="e">
        <f>INDEX(Input!$D$2:$AC$500,
       MATCH(CPU_Formula!A560, Input!$J$2:$J$500, 0),
       MATCH("CPU model", Input!$D$1:$AC$1, 0))</f>
        <v>#N/A</v>
      </c>
      <c r="C560" s="13" t="str">
        <f t="shared" si="75"/>
        <v/>
      </c>
      <c r="D560" s="13" t="str">
        <f t="shared" si="76"/>
        <v/>
      </c>
      <c r="E560" s="13" t="str">
        <f t="shared" si="77"/>
        <v/>
      </c>
      <c r="F560" s="13" t="str">
        <f t="shared" si="78"/>
        <v/>
      </c>
      <c r="G560" s="13" t="str">
        <f t="shared" si="79"/>
        <v/>
      </c>
      <c r="H560" s="13" t="str">
        <f t="shared" si="80"/>
        <v/>
      </c>
      <c r="I560" t="str">
        <f t="shared" si="81"/>
        <v/>
      </c>
    </row>
    <row r="561" spans="1:9">
      <c r="A561">
        <f>CSV!B561</f>
        <v>0</v>
      </c>
      <c r="B561" s="13" t="e">
        <f>INDEX(Input!$D$2:$AC$500,
       MATCH(CPU_Formula!A561, Input!$J$2:$J$500, 0),
       MATCH("CPU model", Input!$D$1:$AC$1, 0))</f>
        <v>#N/A</v>
      </c>
      <c r="C561" s="13" t="str">
        <f t="shared" si="75"/>
        <v/>
      </c>
      <c r="D561" s="13" t="str">
        <f t="shared" si="76"/>
        <v/>
      </c>
      <c r="E561" s="13" t="str">
        <f t="shared" si="77"/>
        <v/>
      </c>
      <c r="F561" s="13" t="str">
        <f t="shared" si="78"/>
        <v/>
      </c>
      <c r="G561" s="13" t="str">
        <f t="shared" si="79"/>
        <v/>
      </c>
      <c r="H561" s="13" t="str">
        <f t="shared" si="80"/>
        <v/>
      </c>
      <c r="I561" t="str">
        <f t="shared" si="81"/>
        <v/>
      </c>
    </row>
    <row r="562" spans="1:9">
      <c r="A562">
        <f>CSV!B562</f>
        <v>0</v>
      </c>
      <c r="B562" s="13" t="e">
        <f>INDEX(Input!$D$2:$AC$500,
       MATCH(CPU_Formula!A562, Input!$J$2:$J$500, 0),
       MATCH("CPU model", Input!$D$1:$AC$1, 0))</f>
        <v>#N/A</v>
      </c>
      <c r="C562" s="13" t="str">
        <f t="shared" si="75"/>
        <v/>
      </c>
      <c r="D562" s="13" t="str">
        <f t="shared" si="76"/>
        <v/>
      </c>
      <c r="E562" s="13" t="str">
        <f t="shared" si="77"/>
        <v/>
      </c>
      <c r="F562" s="13" t="str">
        <f t="shared" si="78"/>
        <v/>
      </c>
      <c r="G562" s="13" t="str">
        <f t="shared" si="79"/>
        <v/>
      </c>
      <c r="H562" s="13" t="str">
        <f t="shared" si="80"/>
        <v/>
      </c>
      <c r="I562" t="str">
        <f t="shared" si="81"/>
        <v/>
      </c>
    </row>
    <row r="563" spans="1:9">
      <c r="A563">
        <f>CSV!B563</f>
        <v>0</v>
      </c>
      <c r="B563" s="13" t="e">
        <f>INDEX(Input!$D$2:$AC$500,
       MATCH(CPU_Formula!A563, Input!$J$2:$J$500, 0),
       MATCH("CPU model", Input!$D$1:$AC$1, 0))</f>
        <v>#N/A</v>
      </c>
      <c r="C563" s="13" t="str">
        <f t="shared" si="75"/>
        <v/>
      </c>
      <c r="D563" s="13" t="str">
        <f t="shared" si="76"/>
        <v/>
      </c>
      <c r="E563" s="13" t="str">
        <f t="shared" si="77"/>
        <v/>
      </c>
      <c r="F563" s="13" t="str">
        <f t="shared" si="78"/>
        <v/>
      </c>
      <c r="G563" s="13" t="str">
        <f t="shared" si="79"/>
        <v/>
      </c>
      <c r="H563" s="13" t="str">
        <f t="shared" si="80"/>
        <v/>
      </c>
      <c r="I563" t="str">
        <f t="shared" si="81"/>
        <v/>
      </c>
    </row>
    <row r="564" spans="1:9">
      <c r="A564">
        <f>CSV!B564</f>
        <v>0</v>
      </c>
      <c r="B564" s="13" t="e">
        <f>INDEX(Input!$D$2:$AC$500,
       MATCH(CPU_Formula!A564, Input!$J$2:$J$500, 0),
       MATCH("CPU model", Input!$D$1:$AC$1, 0))</f>
        <v>#N/A</v>
      </c>
      <c r="C564" s="13" t="str">
        <f t="shared" si="75"/>
        <v/>
      </c>
      <c r="D564" s="13" t="str">
        <f t="shared" si="76"/>
        <v/>
      </c>
      <c r="E564" s="13" t="str">
        <f t="shared" si="77"/>
        <v/>
      </c>
      <c r="F564" s="13" t="str">
        <f t="shared" si="78"/>
        <v/>
      </c>
      <c r="G564" s="13" t="str">
        <f t="shared" si="79"/>
        <v/>
      </c>
      <c r="H564" s="13" t="str">
        <f t="shared" si="80"/>
        <v/>
      </c>
      <c r="I564" t="str">
        <f t="shared" si="81"/>
        <v/>
      </c>
    </row>
    <row r="565" spans="1:9">
      <c r="A565">
        <f>CSV!B565</f>
        <v>0</v>
      </c>
      <c r="B565" s="13" t="e">
        <f>INDEX(Input!$D$2:$AC$500,
       MATCH(CPU_Formula!A565, Input!$J$2:$J$500, 0),
       MATCH("CPU model", Input!$D$1:$AC$1, 0))</f>
        <v>#N/A</v>
      </c>
      <c r="C565" s="13" t="str">
        <f t="shared" si="75"/>
        <v/>
      </c>
      <c r="D565" s="13" t="str">
        <f t="shared" si="76"/>
        <v/>
      </c>
      <c r="E565" s="13" t="str">
        <f t="shared" si="77"/>
        <v/>
      </c>
      <c r="F565" s="13" t="str">
        <f t="shared" si="78"/>
        <v/>
      </c>
      <c r="G565" s="13" t="str">
        <f t="shared" si="79"/>
        <v/>
      </c>
      <c r="H565" s="13" t="str">
        <f t="shared" si="80"/>
        <v/>
      </c>
      <c r="I565" t="str">
        <f t="shared" si="81"/>
        <v/>
      </c>
    </row>
    <row r="566" spans="1:9">
      <c r="A566">
        <f>CSV!B566</f>
        <v>0</v>
      </c>
      <c r="B566" s="13" t="e">
        <f>INDEX(Input!$D$2:$AC$500,
       MATCH(CPU_Formula!A566, Input!$J$2:$J$500, 0),
       MATCH("CPU model", Input!$D$1:$AC$1, 0))</f>
        <v>#N/A</v>
      </c>
      <c r="C566" s="13" t="str">
        <f t="shared" si="75"/>
        <v/>
      </c>
      <c r="D566" s="13" t="str">
        <f t="shared" si="76"/>
        <v/>
      </c>
      <c r="E566" s="13" t="str">
        <f t="shared" si="77"/>
        <v/>
      </c>
      <c r="F566" s="13" t="str">
        <f t="shared" si="78"/>
        <v/>
      </c>
      <c r="G566" s="13" t="str">
        <f t="shared" si="79"/>
        <v/>
      </c>
      <c r="H566" s="13" t="str">
        <f t="shared" si="80"/>
        <v/>
      </c>
      <c r="I566" t="str">
        <f t="shared" si="81"/>
        <v/>
      </c>
    </row>
    <row r="567" spans="1:9">
      <c r="A567">
        <f>CSV!B567</f>
        <v>0</v>
      </c>
      <c r="B567" s="13" t="e">
        <f>INDEX(Input!$D$2:$AC$500,
       MATCH(CPU_Formula!A567, Input!$J$2:$J$500, 0),
       MATCH("CPU model", Input!$D$1:$AC$1, 0))</f>
        <v>#N/A</v>
      </c>
      <c r="C567" s="13" t="str">
        <f t="shared" si="75"/>
        <v/>
      </c>
      <c r="D567" s="13" t="str">
        <f t="shared" si="76"/>
        <v/>
      </c>
      <c r="E567" s="13" t="str">
        <f t="shared" si="77"/>
        <v/>
      </c>
      <c r="F567" s="13" t="str">
        <f t="shared" si="78"/>
        <v/>
      </c>
      <c r="G567" s="13" t="str">
        <f t="shared" si="79"/>
        <v/>
      </c>
      <c r="H567" s="13" t="str">
        <f t="shared" si="80"/>
        <v/>
      </c>
      <c r="I567" t="str">
        <f t="shared" si="81"/>
        <v/>
      </c>
    </row>
    <row r="568" spans="1:9">
      <c r="A568">
        <f>CSV!B568</f>
        <v>0</v>
      </c>
      <c r="B568" s="13" t="e">
        <f>INDEX(Input!$D$2:$AC$500,
       MATCH(CPU_Formula!A568, Input!$J$2:$J$500, 0),
       MATCH("CPU model", Input!$D$1:$AC$1, 0))</f>
        <v>#N/A</v>
      </c>
      <c r="C568" s="13" t="str">
        <f t="shared" si="75"/>
        <v/>
      </c>
      <c r="D568" s="13" t="str">
        <f t="shared" si="76"/>
        <v/>
      </c>
      <c r="E568" s="13" t="str">
        <f t="shared" si="77"/>
        <v/>
      </c>
      <c r="F568" s="13" t="str">
        <f t="shared" si="78"/>
        <v/>
      </c>
      <c r="G568" s="13" t="str">
        <f t="shared" si="79"/>
        <v/>
      </c>
      <c r="H568" s="13" t="str">
        <f t="shared" si="80"/>
        <v/>
      </c>
      <c r="I568" t="str">
        <f t="shared" si="81"/>
        <v/>
      </c>
    </row>
    <row r="569" spans="1:9">
      <c r="A569">
        <f>CSV!B569</f>
        <v>0</v>
      </c>
      <c r="B569" s="13" t="e">
        <f>INDEX(Input!$D$2:$AC$500,
       MATCH(CPU_Formula!A569, Input!$J$2:$J$500, 0),
       MATCH("CPU model", Input!$D$1:$AC$1, 0))</f>
        <v>#N/A</v>
      </c>
      <c r="C569" s="13" t="str">
        <f t="shared" si="75"/>
        <v/>
      </c>
      <c r="D569" s="13" t="str">
        <f t="shared" si="76"/>
        <v/>
      </c>
      <c r="E569" s="13" t="str">
        <f t="shared" si="77"/>
        <v/>
      </c>
      <c r="F569" s="13" t="str">
        <f t="shared" si="78"/>
        <v/>
      </c>
      <c r="G569" s="13" t="str">
        <f t="shared" si="79"/>
        <v/>
      </c>
      <c r="H569" s="13" t="str">
        <f t="shared" si="80"/>
        <v/>
      </c>
      <c r="I569" t="str">
        <f t="shared" si="81"/>
        <v/>
      </c>
    </row>
    <row r="570" spans="1:9">
      <c r="A570">
        <f>CSV!B570</f>
        <v>0</v>
      </c>
      <c r="B570" s="13" t="e">
        <f>INDEX(Input!$D$2:$AC$500,
       MATCH(CPU_Formula!A570, Input!$J$2:$J$500, 0),
       MATCH("CPU model", Input!$D$1:$AC$1, 0))</f>
        <v>#N/A</v>
      </c>
      <c r="C570" s="13" t="str">
        <f t="shared" si="75"/>
        <v/>
      </c>
      <c r="D570" s="13" t="str">
        <f t="shared" si="76"/>
        <v/>
      </c>
      <c r="E570" s="13" t="str">
        <f t="shared" si="77"/>
        <v/>
      </c>
      <c r="F570" s="13" t="str">
        <f t="shared" si="78"/>
        <v/>
      </c>
      <c r="G570" s="13" t="str">
        <f t="shared" si="79"/>
        <v/>
      </c>
      <c r="H570" s="13" t="str">
        <f t="shared" si="80"/>
        <v/>
      </c>
      <c r="I570" t="str">
        <f t="shared" si="81"/>
        <v/>
      </c>
    </row>
    <row r="571" spans="1:9">
      <c r="A571">
        <f>CSV!B571</f>
        <v>0</v>
      </c>
      <c r="B571" s="13" t="e">
        <f>INDEX(Input!$D$2:$AC$500,
       MATCH(CPU_Formula!A571, Input!$J$2:$J$500, 0),
       MATCH("CPU model", Input!$D$1:$AC$1, 0))</f>
        <v>#N/A</v>
      </c>
      <c r="C571" s="13" t="str">
        <f t="shared" si="75"/>
        <v/>
      </c>
      <c r="D571" s="13" t="str">
        <f t="shared" si="76"/>
        <v/>
      </c>
      <c r="E571" s="13" t="str">
        <f t="shared" si="77"/>
        <v/>
      </c>
      <c r="F571" s="13" t="str">
        <f t="shared" si="78"/>
        <v/>
      </c>
      <c r="G571" s="13" t="str">
        <f t="shared" si="79"/>
        <v/>
      </c>
      <c r="H571" s="13" t="str">
        <f t="shared" si="80"/>
        <v/>
      </c>
      <c r="I571" t="str">
        <f t="shared" si="81"/>
        <v/>
      </c>
    </row>
    <row r="572" spans="1:9">
      <c r="A572">
        <f>CSV!B572</f>
        <v>0</v>
      </c>
      <c r="B572" s="13" t="e">
        <f>INDEX(Input!$D$2:$AC$500,
       MATCH(CPU_Formula!A572, Input!$J$2:$J$500, 0),
       MATCH("CPU model", Input!$D$1:$AC$1, 0))</f>
        <v>#N/A</v>
      </c>
      <c r="C572" s="13" t="str">
        <f t="shared" si="75"/>
        <v/>
      </c>
      <c r="D572" s="13" t="str">
        <f t="shared" si="76"/>
        <v/>
      </c>
      <c r="E572" s="13" t="str">
        <f t="shared" si="77"/>
        <v/>
      </c>
      <c r="F572" s="13" t="str">
        <f t="shared" si="78"/>
        <v/>
      </c>
      <c r="G572" s="13" t="str">
        <f t="shared" si="79"/>
        <v/>
      </c>
      <c r="H572" s="13" t="str">
        <f t="shared" si="80"/>
        <v/>
      </c>
      <c r="I572" t="str">
        <f t="shared" si="81"/>
        <v/>
      </c>
    </row>
    <row r="573" spans="1:9">
      <c r="A573">
        <f>CSV!B573</f>
        <v>0</v>
      </c>
      <c r="B573" s="13" t="e">
        <f>INDEX(Input!$D$2:$AC$500,
       MATCH(CPU_Formula!A573, Input!$J$2:$J$500, 0),
       MATCH("CPU model", Input!$D$1:$AC$1, 0))</f>
        <v>#N/A</v>
      </c>
      <c r="C573" s="13" t="str">
        <f t="shared" si="75"/>
        <v/>
      </c>
      <c r="D573" s="13" t="str">
        <f t="shared" si="76"/>
        <v/>
      </c>
      <c r="E573" s="13" t="str">
        <f t="shared" si="77"/>
        <v/>
      </c>
      <c r="F573" s="13" t="str">
        <f t="shared" si="78"/>
        <v/>
      </c>
      <c r="G573" s="13" t="str">
        <f t="shared" si="79"/>
        <v/>
      </c>
      <c r="H573" s="13" t="str">
        <f t="shared" si="80"/>
        <v/>
      </c>
      <c r="I573" t="str">
        <f t="shared" si="81"/>
        <v/>
      </c>
    </row>
    <row r="574" spans="1:9">
      <c r="A574">
        <f>CSV!B574</f>
        <v>0</v>
      </c>
      <c r="B574" s="13" t="e">
        <f>INDEX(Input!$D$2:$AC$500,
       MATCH(CPU_Formula!A574, Input!$J$2:$J$500, 0),
       MATCH("CPU model", Input!$D$1:$AC$1, 0))</f>
        <v>#N/A</v>
      </c>
      <c r="C574" s="13" t="str">
        <f t="shared" si="75"/>
        <v/>
      </c>
      <c r="D574" s="13" t="str">
        <f t="shared" si="76"/>
        <v/>
      </c>
      <c r="E574" s="13" t="str">
        <f t="shared" si="77"/>
        <v/>
      </c>
      <c r="F574" s="13" t="str">
        <f t="shared" si="78"/>
        <v/>
      </c>
      <c r="G574" s="13" t="str">
        <f t="shared" si="79"/>
        <v/>
      </c>
      <c r="H574" s="13" t="str">
        <f t="shared" si="80"/>
        <v/>
      </c>
      <c r="I574" t="str">
        <f t="shared" si="81"/>
        <v/>
      </c>
    </row>
    <row r="575" spans="1:9">
      <c r="A575">
        <f>CSV!B575</f>
        <v>0</v>
      </c>
      <c r="B575" s="13" t="e">
        <f>INDEX(Input!$D$2:$AC$500,
       MATCH(CPU_Formula!A575, Input!$J$2:$J$500, 0),
       MATCH("CPU model", Input!$D$1:$AC$1, 0))</f>
        <v>#N/A</v>
      </c>
      <c r="C575" s="13" t="str">
        <f t="shared" si="75"/>
        <v/>
      </c>
      <c r="D575" s="13" t="str">
        <f t="shared" si="76"/>
        <v/>
      </c>
      <c r="E575" s="13" t="str">
        <f t="shared" si="77"/>
        <v/>
      </c>
      <c r="F575" s="13" t="str">
        <f t="shared" si="78"/>
        <v/>
      </c>
      <c r="G575" s="13" t="str">
        <f t="shared" si="79"/>
        <v/>
      </c>
      <c r="H575" s="13" t="str">
        <f t="shared" si="80"/>
        <v/>
      </c>
      <c r="I575" t="str">
        <f t="shared" si="81"/>
        <v/>
      </c>
    </row>
    <row r="576" spans="1:9">
      <c r="A576">
        <f>CSV!B576</f>
        <v>0</v>
      </c>
      <c r="B576" s="13" t="e">
        <f>INDEX(Input!$D$2:$AC$500,
       MATCH(CPU_Formula!A576, Input!$J$2:$J$500, 0),
       MATCH("CPU model", Input!$D$1:$AC$1, 0))</f>
        <v>#N/A</v>
      </c>
      <c r="C576" s="13" t="str">
        <f t="shared" si="75"/>
        <v/>
      </c>
      <c r="D576" s="13" t="str">
        <f t="shared" si="76"/>
        <v/>
      </c>
      <c r="E576" s="13" t="str">
        <f t="shared" si="77"/>
        <v/>
      </c>
      <c r="F576" s="13" t="str">
        <f t="shared" si="78"/>
        <v/>
      </c>
      <c r="G576" s="13" t="str">
        <f t="shared" si="79"/>
        <v/>
      </c>
      <c r="H576" s="13" t="str">
        <f t="shared" si="80"/>
        <v/>
      </c>
      <c r="I576" t="str">
        <f t="shared" si="81"/>
        <v/>
      </c>
    </row>
    <row r="577" spans="1:9">
      <c r="A577">
        <f>CSV!B577</f>
        <v>0</v>
      </c>
      <c r="B577" s="13" t="e">
        <f>INDEX(Input!$D$2:$AC$500,
       MATCH(CPU_Formula!A577, Input!$J$2:$J$500, 0),
       MATCH("CPU model", Input!$D$1:$AC$1, 0))</f>
        <v>#N/A</v>
      </c>
      <c r="C577" s="13" t="str">
        <f t="shared" si="75"/>
        <v/>
      </c>
      <c r="D577" s="13" t="str">
        <f t="shared" si="76"/>
        <v/>
      </c>
      <c r="E577" s="13" t="str">
        <f t="shared" si="77"/>
        <v/>
      </c>
      <c r="F577" s="13" t="str">
        <f t="shared" si="78"/>
        <v/>
      </c>
      <c r="G577" s="13" t="str">
        <f t="shared" si="79"/>
        <v/>
      </c>
      <c r="H577" s="13" t="str">
        <f t="shared" si="80"/>
        <v/>
      </c>
      <c r="I577" t="str">
        <f t="shared" si="81"/>
        <v/>
      </c>
    </row>
    <row r="578" spans="1:9">
      <c r="A578">
        <f>CSV!B578</f>
        <v>0</v>
      </c>
      <c r="B578" s="13" t="e">
        <f>INDEX(Input!$D$2:$AC$500,
       MATCH(CPU_Formula!A578, Input!$J$2:$J$500, 0),
       MATCH("CPU model", Input!$D$1:$AC$1, 0))</f>
        <v>#N/A</v>
      </c>
      <c r="C578" s="13" t="str">
        <f t="shared" si="75"/>
        <v/>
      </c>
      <c r="D578" s="13" t="str">
        <f t="shared" si="76"/>
        <v/>
      </c>
      <c r="E578" s="13" t="str">
        <f t="shared" si="77"/>
        <v/>
      </c>
      <c r="F578" s="13" t="str">
        <f t="shared" si="78"/>
        <v/>
      </c>
      <c r="G578" s="13" t="str">
        <f t="shared" si="79"/>
        <v/>
      </c>
      <c r="H578" s="13" t="str">
        <f t="shared" si="80"/>
        <v/>
      </c>
      <c r="I578" t="str">
        <f t="shared" si="81"/>
        <v/>
      </c>
    </row>
    <row r="579" spans="1:9">
      <c r="A579">
        <f>CSV!B579</f>
        <v>0</v>
      </c>
      <c r="B579" s="13" t="e">
        <f>INDEX(Input!$D$2:$AC$500,
       MATCH(CPU_Formula!A579, Input!$J$2:$J$500, 0),
       MATCH("CPU model", Input!$D$1:$AC$1, 0))</f>
        <v>#N/A</v>
      </c>
      <c r="C579" s="13" t="str">
        <f t="shared" si="75"/>
        <v/>
      </c>
      <c r="D579" s="13" t="str">
        <f t="shared" si="76"/>
        <v/>
      </c>
      <c r="E579" s="13" t="str">
        <f t="shared" si="77"/>
        <v/>
      </c>
      <c r="F579" s="13" t="str">
        <f t="shared" si="78"/>
        <v/>
      </c>
      <c r="G579" s="13" t="str">
        <f t="shared" si="79"/>
        <v/>
      </c>
      <c r="H579" s="13" t="str">
        <f t="shared" si="80"/>
        <v/>
      </c>
      <c r="I579" t="str">
        <f t="shared" si="81"/>
        <v/>
      </c>
    </row>
    <row r="580" spans="1:9">
      <c r="A580">
        <f>CSV!B580</f>
        <v>0</v>
      </c>
      <c r="B580" s="13" t="e">
        <f>INDEX(Input!$D$2:$AC$500,
       MATCH(CPU_Formula!A580, Input!$J$2:$J$500, 0),
       MATCH("CPU model", Input!$D$1:$AC$1, 0))</f>
        <v>#N/A</v>
      </c>
      <c r="C580" s="13" t="str">
        <f t="shared" si="75"/>
        <v/>
      </c>
      <c r="D580" s="13" t="str">
        <f t="shared" si="76"/>
        <v/>
      </c>
      <c r="E580" s="13" t="str">
        <f t="shared" si="77"/>
        <v/>
      </c>
      <c r="F580" s="13" t="str">
        <f t="shared" si="78"/>
        <v/>
      </c>
      <c r="G580" s="13" t="str">
        <f t="shared" si="79"/>
        <v/>
      </c>
      <c r="H580" s="13" t="str">
        <f t="shared" si="80"/>
        <v/>
      </c>
      <c r="I580" t="str">
        <f t="shared" si="81"/>
        <v/>
      </c>
    </row>
    <row r="581" spans="1:9">
      <c r="A581">
        <f>CSV!B581</f>
        <v>0</v>
      </c>
      <c r="B581" s="13" t="e">
        <f>INDEX(Input!$D$2:$AC$500,
       MATCH(CPU_Formula!A581, Input!$J$2:$J$500, 0),
       MATCH("CPU model", Input!$D$1:$AC$1, 0))</f>
        <v>#N/A</v>
      </c>
      <c r="C581" s="13" t="str">
        <f t="shared" si="75"/>
        <v/>
      </c>
      <c r="D581" s="13" t="str">
        <f t="shared" si="76"/>
        <v/>
      </c>
      <c r="E581" s="13" t="str">
        <f t="shared" si="77"/>
        <v/>
      </c>
      <c r="F581" s="13" t="str">
        <f t="shared" si="78"/>
        <v/>
      </c>
      <c r="G581" s="13" t="str">
        <f t="shared" si="79"/>
        <v/>
      </c>
      <c r="H581" s="13" t="str">
        <f t="shared" si="80"/>
        <v/>
      </c>
      <c r="I581" t="str">
        <f t="shared" si="81"/>
        <v/>
      </c>
    </row>
    <row r="582" spans="1:9">
      <c r="A582">
        <f>CSV!B582</f>
        <v>0</v>
      </c>
      <c r="B582" s="13" t="e">
        <f>INDEX(Input!$D$2:$AC$500,
       MATCH(CPU_Formula!A582, Input!$J$2:$J$500, 0),
       MATCH("CPU model", Input!$D$1:$AC$1, 0))</f>
        <v>#N/A</v>
      </c>
      <c r="C582" s="13" t="str">
        <f t="shared" si="75"/>
        <v/>
      </c>
      <c r="D582" s="13" t="str">
        <f t="shared" si="76"/>
        <v/>
      </c>
      <c r="E582" s="13" t="str">
        <f t="shared" si="77"/>
        <v/>
      </c>
      <c r="F582" s="13" t="str">
        <f t="shared" si="78"/>
        <v/>
      </c>
      <c r="G582" s="13" t="str">
        <f t="shared" si="79"/>
        <v/>
      </c>
      <c r="H582" s="13" t="str">
        <f t="shared" si="80"/>
        <v/>
      </c>
      <c r="I582" t="str">
        <f t="shared" si="81"/>
        <v/>
      </c>
    </row>
    <row r="583" spans="1:9">
      <c r="A583">
        <f>CSV!B583</f>
        <v>0</v>
      </c>
      <c r="B583" s="13" t="e">
        <f>INDEX(Input!$D$2:$AC$500,
       MATCH(CPU_Formula!A583, Input!$J$2:$J$500, 0),
       MATCH("CPU model", Input!$D$1:$AC$1, 0))</f>
        <v>#N/A</v>
      </c>
      <c r="C583" s="13" t="str">
        <f t="shared" si="75"/>
        <v/>
      </c>
      <c r="D583" s="13" t="str">
        <f t="shared" si="76"/>
        <v/>
      </c>
      <c r="E583" s="13" t="str">
        <f t="shared" si="77"/>
        <v/>
      </c>
      <c r="F583" s="13" t="str">
        <f t="shared" si="78"/>
        <v/>
      </c>
      <c r="G583" s="13" t="str">
        <f t="shared" si="79"/>
        <v/>
      </c>
      <c r="H583" s="13" t="str">
        <f t="shared" si="80"/>
        <v/>
      </c>
      <c r="I583" t="str">
        <f t="shared" si="81"/>
        <v/>
      </c>
    </row>
    <row r="584" spans="1:9">
      <c r="A584">
        <f>CSV!B584</f>
        <v>0</v>
      </c>
      <c r="B584" s="13" t="e">
        <f>INDEX(Input!$D$2:$AC$500,
       MATCH(CPU_Formula!A584, Input!$J$2:$J$500, 0),
       MATCH("CPU model", Input!$D$1:$AC$1, 0))</f>
        <v>#N/A</v>
      </c>
      <c r="C584" s="13" t="str">
        <f t="shared" si="75"/>
        <v/>
      </c>
      <c r="D584" s="13" t="str">
        <f t="shared" si="76"/>
        <v/>
      </c>
      <c r="E584" s="13" t="str">
        <f t="shared" si="77"/>
        <v/>
      </c>
      <c r="F584" s="13" t="str">
        <f t="shared" si="78"/>
        <v/>
      </c>
      <c r="G584" s="13" t="str">
        <f t="shared" si="79"/>
        <v/>
      </c>
      <c r="H584" s="13" t="str">
        <f t="shared" si="80"/>
        <v/>
      </c>
      <c r="I584" t="str">
        <f t="shared" si="81"/>
        <v/>
      </c>
    </row>
    <row r="585" spans="1:9">
      <c r="A585">
        <f>CSV!B585</f>
        <v>0</v>
      </c>
      <c r="B585" s="13" t="e">
        <f>INDEX(Input!$D$2:$AC$500,
       MATCH(CPU_Formula!A585, Input!$J$2:$J$500, 0),
       MATCH("CPU model", Input!$D$1:$AC$1, 0))</f>
        <v>#N/A</v>
      </c>
      <c r="C585" s="13" t="str">
        <f t="shared" si="75"/>
        <v/>
      </c>
      <c r="D585" s="13" t="str">
        <f t="shared" si="76"/>
        <v/>
      </c>
      <c r="E585" s="13" t="str">
        <f t="shared" si="77"/>
        <v/>
      </c>
      <c r="F585" s="13" t="str">
        <f t="shared" si="78"/>
        <v/>
      </c>
      <c r="G585" s="13" t="str">
        <f t="shared" si="79"/>
        <v/>
      </c>
      <c r="H585" s="13" t="str">
        <f t="shared" si="80"/>
        <v/>
      </c>
      <c r="I585" t="str">
        <f t="shared" si="81"/>
        <v/>
      </c>
    </row>
    <row r="586" spans="1:9">
      <c r="A586">
        <f>CSV!B586</f>
        <v>0</v>
      </c>
      <c r="B586" s="13" t="e">
        <f>INDEX(Input!$D$2:$AC$500,
       MATCH(CPU_Formula!A586, Input!$J$2:$J$500, 0),
       MATCH("CPU model", Input!$D$1:$AC$1, 0))</f>
        <v>#N/A</v>
      </c>
      <c r="C586" s="13" t="str">
        <f t="shared" si="75"/>
        <v/>
      </c>
      <c r="D586" s="13" t="str">
        <f t="shared" si="76"/>
        <v/>
      </c>
      <c r="E586" s="13" t="str">
        <f t="shared" si="77"/>
        <v/>
      </c>
      <c r="F586" s="13" t="str">
        <f t="shared" si="78"/>
        <v/>
      </c>
      <c r="G586" s="13" t="str">
        <f t="shared" si="79"/>
        <v/>
      </c>
      <c r="H586" s="13" t="str">
        <f t="shared" si="80"/>
        <v/>
      </c>
      <c r="I586" t="str">
        <f t="shared" si="81"/>
        <v/>
      </c>
    </row>
    <row r="587" spans="1:9">
      <c r="A587">
        <f>CSV!B587</f>
        <v>0</v>
      </c>
      <c r="B587" s="13" t="e">
        <f>INDEX(Input!$D$2:$AC$500,
       MATCH(CPU_Formula!A587, Input!$J$2:$J$500, 0),
       MATCH("CPU model", Input!$D$1:$AC$1, 0))</f>
        <v>#N/A</v>
      </c>
      <c r="C587" s="13" t="str">
        <f t="shared" si="75"/>
        <v/>
      </c>
      <c r="D587" s="13" t="str">
        <f t="shared" si="76"/>
        <v/>
      </c>
      <c r="E587" s="13" t="str">
        <f t="shared" si="77"/>
        <v/>
      </c>
      <c r="F587" s="13" t="str">
        <f t="shared" si="78"/>
        <v/>
      </c>
      <c r="G587" s="13" t="str">
        <f t="shared" si="79"/>
        <v/>
      </c>
      <c r="H587" s="13" t="str">
        <f t="shared" si="80"/>
        <v/>
      </c>
      <c r="I587" t="str">
        <f t="shared" si="81"/>
        <v/>
      </c>
    </row>
    <row r="588" spans="1:9">
      <c r="A588">
        <f>CSV!B588</f>
        <v>0</v>
      </c>
      <c r="B588" s="13" t="e">
        <f>INDEX(Input!$D$2:$AC$500,
       MATCH(CPU_Formula!A588, Input!$J$2:$J$500, 0),
       MATCH("CPU model", Input!$D$1:$AC$1, 0))</f>
        <v>#N/A</v>
      </c>
      <c r="C588" s="13" t="str">
        <f t="shared" si="75"/>
        <v/>
      </c>
      <c r="D588" s="13" t="str">
        <f t="shared" si="76"/>
        <v/>
      </c>
      <c r="E588" s="13" t="str">
        <f t="shared" si="77"/>
        <v/>
      </c>
      <c r="F588" s="13" t="str">
        <f t="shared" si="78"/>
        <v/>
      </c>
      <c r="G588" s="13" t="str">
        <f t="shared" si="79"/>
        <v/>
      </c>
      <c r="H588" s="13" t="str">
        <f t="shared" si="80"/>
        <v/>
      </c>
      <c r="I588" t="str">
        <f t="shared" si="81"/>
        <v/>
      </c>
    </row>
    <row r="589" spans="1:9">
      <c r="A589">
        <f>CSV!B589</f>
        <v>0</v>
      </c>
      <c r="B589" s="13" t="e">
        <f>INDEX(Input!$D$2:$AC$500,
       MATCH(CPU_Formula!A589, Input!$J$2:$J$500, 0),
       MATCH("CPU model", Input!$D$1:$AC$1, 0))</f>
        <v>#N/A</v>
      </c>
      <c r="C589" s="13" t="str">
        <f t="shared" si="75"/>
        <v/>
      </c>
      <c r="D589" s="13" t="str">
        <f t="shared" si="76"/>
        <v/>
      </c>
      <c r="E589" s="13" t="str">
        <f t="shared" si="77"/>
        <v/>
      </c>
      <c r="F589" s="13" t="str">
        <f t="shared" si="78"/>
        <v/>
      </c>
      <c r="G589" s="13" t="str">
        <f t="shared" si="79"/>
        <v/>
      </c>
      <c r="H589" s="13" t="str">
        <f t="shared" si="80"/>
        <v/>
      </c>
      <c r="I589" t="str">
        <f t="shared" si="81"/>
        <v/>
      </c>
    </row>
    <row r="590" spans="1:9">
      <c r="A590">
        <f>CSV!B590</f>
        <v>0</v>
      </c>
      <c r="B590" s="13" t="e">
        <f>INDEX(Input!$D$2:$AC$500,
       MATCH(CPU_Formula!A590, Input!$J$2:$J$500, 0),
       MATCH("CPU model", Input!$D$1:$AC$1, 0))</f>
        <v>#N/A</v>
      </c>
      <c r="C590" s="13" t="str">
        <f t="shared" si="75"/>
        <v/>
      </c>
      <c r="D590" s="13" t="str">
        <f t="shared" si="76"/>
        <v/>
      </c>
      <c r="E590" s="13" t="str">
        <f t="shared" si="77"/>
        <v/>
      </c>
      <c r="F590" s="13" t="str">
        <f t="shared" si="78"/>
        <v/>
      </c>
      <c r="G590" s="13" t="str">
        <f t="shared" si="79"/>
        <v/>
      </c>
      <c r="H590" s="13" t="str">
        <f t="shared" si="80"/>
        <v/>
      </c>
      <c r="I590" t="str">
        <f t="shared" si="81"/>
        <v/>
      </c>
    </row>
    <row r="591" spans="1:9">
      <c r="A591">
        <f>CSV!B591</f>
        <v>0</v>
      </c>
      <c r="B591" s="13" t="e">
        <f>INDEX(Input!$D$2:$AC$500,
       MATCH(CPU_Formula!A591, Input!$J$2:$J$500, 0),
       MATCH("CPU model", Input!$D$1:$AC$1, 0))</f>
        <v>#N/A</v>
      </c>
      <c r="C591" s="13" t="str">
        <f t="shared" si="75"/>
        <v/>
      </c>
      <c r="D591" s="13" t="str">
        <f t="shared" si="76"/>
        <v/>
      </c>
      <c r="E591" s="13" t="str">
        <f t="shared" si="77"/>
        <v/>
      </c>
      <c r="F591" s="13" t="str">
        <f t="shared" si="78"/>
        <v/>
      </c>
      <c r="G591" s="13" t="str">
        <f t="shared" si="79"/>
        <v/>
      </c>
      <c r="H591" s="13" t="str">
        <f t="shared" si="80"/>
        <v/>
      </c>
      <c r="I591" t="str">
        <f t="shared" si="81"/>
        <v/>
      </c>
    </row>
    <row r="592" spans="1:9">
      <c r="A592">
        <f>CSV!B592</f>
        <v>0</v>
      </c>
      <c r="B592" s="13" t="e">
        <f>INDEX(Input!$D$2:$AC$500,
       MATCH(CPU_Formula!A592, Input!$J$2:$J$500, 0),
       MATCH("CPU model", Input!$D$1:$AC$1, 0))</f>
        <v>#N/A</v>
      </c>
      <c r="C592" s="13" t="str">
        <f t="shared" si="75"/>
        <v/>
      </c>
      <c r="D592" s="13" t="str">
        <f t="shared" si="76"/>
        <v/>
      </c>
      <c r="E592" s="13" t="str">
        <f t="shared" si="77"/>
        <v/>
      </c>
      <c r="F592" s="13" t="str">
        <f t="shared" si="78"/>
        <v/>
      </c>
      <c r="G592" s="13" t="str">
        <f t="shared" si="79"/>
        <v/>
      </c>
      <c r="H592" s="13" t="str">
        <f t="shared" si="80"/>
        <v/>
      </c>
      <c r="I592" t="str">
        <f t="shared" si="81"/>
        <v/>
      </c>
    </row>
    <row r="593" spans="1:9">
      <c r="A593">
        <f>CSV!B593</f>
        <v>0</v>
      </c>
      <c r="B593" s="13" t="e">
        <f>INDEX(Input!$D$2:$AC$500,
       MATCH(CPU_Formula!A593, Input!$J$2:$J$500, 0),
       MATCH("CPU model", Input!$D$1:$AC$1, 0))</f>
        <v>#N/A</v>
      </c>
      <c r="C593" s="13" t="str">
        <f t="shared" si="75"/>
        <v/>
      </c>
      <c r="D593" s="13" t="str">
        <f t="shared" si="76"/>
        <v/>
      </c>
      <c r="E593" s="13" t="str">
        <f t="shared" si="77"/>
        <v/>
      </c>
      <c r="F593" s="13" t="str">
        <f t="shared" si="78"/>
        <v/>
      </c>
      <c r="G593" s="13" t="str">
        <f t="shared" si="79"/>
        <v/>
      </c>
      <c r="H593" s="13" t="str">
        <f t="shared" si="80"/>
        <v/>
      </c>
      <c r="I593" t="str">
        <f t="shared" si="81"/>
        <v/>
      </c>
    </row>
    <row r="594" spans="1:9">
      <c r="A594">
        <f>CSV!B594</f>
        <v>0</v>
      </c>
      <c r="B594" s="13" t="e">
        <f>INDEX(Input!$D$2:$AC$500,
       MATCH(CPU_Formula!A594, Input!$J$2:$J$500, 0),
       MATCH("CPU model", Input!$D$1:$AC$1, 0))</f>
        <v>#N/A</v>
      </c>
      <c r="C594" s="13" t="str">
        <f t="shared" si="75"/>
        <v/>
      </c>
      <c r="D594" s="13" t="str">
        <f t="shared" si="76"/>
        <v/>
      </c>
      <c r="E594" s="13" t="str">
        <f t="shared" si="77"/>
        <v/>
      </c>
      <c r="F594" s="13" t="str">
        <f t="shared" si="78"/>
        <v/>
      </c>
      <c r="G594" s="13" t="str">
        <f t="shared" si="79"/>
        <v/>
      </c>
      <c r="H594" s="13" t="str">
        <f t="shared" si="80"/>
        <v/>
      </c>
      <c r="I594" t="str">
        <f t="shared" si="81"/>
        <v/>
      </c>
    </row>
    <row r="595" spans="1:9">
      <c r="A595">
        <f>CSV!B595</f>
        <v>0</v>
      </c>
      <c r="B595" s="13" t="e">
        <f>INDEX(Input!$D$2:$AC$500,
       MATCH(CPU_Formula!A595, Input!$J$2:$J$500, 0),
       MATCH("CPU model", Input!$D$1:$AC$1, 0))</f>
        <v>#N/A</v>
      </c>
      <c r="C595" s="13" t="str">
        <f t="shared" si="75"/>
        <v/>
      </c>
      <c r="D595" s="13" t="str">
        <f t="shared" si="76"/>
        <v/>
      </c>
      <c r="E595" s="13" t="str">
        <f t="shared" si="77"/>
        <v/>
      </c>
      <c r="F595" s="13" t="str">
        <f t="shared" si="78"/>
        <v/>
      </c>
      <c r="G595" s="13" t="str">
        <f t="shared" si="79"/>
        <v/>
      </c>
      <c r="H595" s="13" t="str">
        <f t="shared" si="80"/>
        <v/>
      </c>
      <c r="I595" t="str">
        <f t="shared" si="81"/>
        <v/>
      </c>
    </row>
    <row r="596" spans="1:9">
      <c r="A596">
        <f>CSV!B596</f>
        <v>0</v>
      </c>
      <c r="B596" s="13" t="e">
        <f>INDEX(Input!$D$2:$AC$500,
       MATCH(CPU_Formula!A596, Input!$J$2:$J$500, 0),
       MATCH("CPU model", Input!$D$1:$AC$1, 0))</f>
        <v>#N/A</v>
      </c>
      <c r="C596" s="13" t="str">
        <f t="shared" si="75"/>
        <v/>
      </c>
      <c r="D596" s="13" t="str">
        <f t="shared" si="76"/>
        <v/>
      </c>
      <c r="E596" s="13" t="str">
        <f t="shared" si="77"/>
        <v/>
      </c>
      <c r="F596" s="13" t="str">
        <f t="shared" si="78"/>
        <v/>
      </c>
      <c r="G596" s="13" t="str">
        <f t="shared" si="79"/>
        <v/>
      </c>
      <c r="H596" s="13" t="str">
        <f t="shared" si="80"/>
        <v/>
      </c>
      <c r="I596" t="str">
        <f t="shared" si="81"/>
        <v/>
      </c>
    </row>
    <row r="597" spans="1:9">
      <c r="A597">
        <f>CSV!B597</f>
        <v>0</v>
      </c>
      <c r="B597" s="13" t="e">
        <f>INDEX(Input!$D$2:$AC$500,
       MATCH(CPU_Formula!A597, Input!$J$2:$J$500, 0),
       MATCH("CPU model", Input!$D$1:$AC$1, 0))</f>
        <v>#N/A</v>
      </c>
      <c r="C597" s="13" t="str">
        <f t="shared" si="75"/>
        <v/>
      </c>
      <c r="D597" s="13" t="str">
        <f t="shared" si="76"/>
        <v/>
      </c>
      <c r="E597" s="13" t="str">
        <f t="shared" si="77"/>
        <v/>
      </c>
      <c r="F597" s="13" t="str">
        <f t="shared" si="78"/>
        <v/>
      </c>
      <c r="G597" s="13" t="str">
        <f t="shared" si="79"/>
        <v/>
      </c>
      <c r="H597" s="13" t="str">
        <f t="shared" si="80"/>
        <v/>
      </c>
      <c r="I597" t="str">
        <f t="shared" si="81"/>
        <v/>
      </c>
    </row>
    <row r="598" spans="1:9">
      <c r="A598">
        <f>CSV!B598</f>
        <v>0</v>
      </c>
      <c r="B598" s="13" t="e">
        <f>INDEX(Input!$D$2:$AC$500,
       MATCH(CPU_Formula!A598, Input!$J$2:$J$500, 0),
       MATCH("CPU model", Input!$D$1:$AC$1, 0))</f>
        <v>#N/A</v>
      </c>
      <c r="C598" s="13" t="str">
        <f t="shared" si="75"/>
        <v/>
      </c>
      <c r="D598" s="13" t="str">
        <f t="shared" si="76"/>
        <v/>
      </c>
      <c r="E598" s="13" t="str">
        <f t="shared" si="77"/>
        <v/>
      </c>
      <c r="F598" s="13" t="str">
        <f t="shared" si="78"/>
        <v/>
      </c>
      <c r="G598" s="13" t="str">
        <f t="shared" si="79"/>
        <v/>
      </c>
      <c r="H598" s="13" t="str">
        <f t="shared" si="80"/>
        <v/>
      </c>
      <c r="I598" t="str">
        <f t="shared" si="81"/>
        <v/>
      </c>
    </row>
    <row r="599" spans="1:9">
      <c r="A599">
        <f>CSV!B599</f>
        <v>0</v>
      </c>
      <c r="B599" s="13" t="e">
        <f>INDEX(Input!$D$2:$AC$500,
       MATCH(CPU_Formula!A599, Input!$J$2:$J$500, 0),
       MATCH("CPU model", Input!$D$1:$AC$1, 0))</f>
        <v>#N/A</v>
      </c>
      <c r="C599" s="13" t="str">
        <f t="shared" si="75"/>
        <v/>
      </c>
      <c r="D599" s="13" t="str">
        <f t="shared" si="76"/>
        <v/>
      </c>
      <c r="E599" s="13" t="str">
        <f t="shared" si="77"/>
        <v/>
      </c>
      <c r="F599" s="13" t="str">
        <f t="shared" si="78"/>
        <v/>
      </c>
      <c r="G599" s="13" t="str">
        <f t="shared" si="79"/>
        <v/>
      </c>
      <c r="H599" s="13" t="str">
        <f t="shared" si="80"/>
        <v/>
      </c>
      <c r="I599" t="str">
        <f t="shared" si="81"/>
        <v/>
      </c>
    </row>
    <row r="600" spans="1:9">
      <c r="A600">
        <f>CSV!B600</f>
        <v>0</v>
      </c>
      <c r="B600" s="13" t="e">
        <f>INDEX(Input!$D$2:$AC$500,
       MATCH(CPU_Formula!A600, Input!$J$2:$J$500, 0),
       MATCH("CPU model", Input!$D$1:$AC$1, 0))</f>
        <v>#N/A</v>
      </c>
      <c r="C600" s="13" t="str">
        <f t="shared" si="75"/>
        <v/>
      </c>
      <c r="D600" s="13" t="str">
        <f t="shared" si="76"/>
        <v/>
      </c>
      <c r="E600" s="13" t="str">
        <f t="shared" si="77"/>
        <v/>
      </c>
      <c r="F600" s="13" t="str">
        <f t="shared" si="78"/>
        <v/>
      </c>
      <c r="G600" s="13" t="str">
        <f t="shared" si="79"/>
        <v/>
      </c>
      <c r="H600" s="13" t="str">
        <f t="shared" si="80"/>
        <v/>
      </c>
      <c r="I600" t="str">
        <f t="shared" si="81"/>
        <v/>
      </c>
    </row>
    <row r="601" spans="1:9">
      <c r="A601">
        <f>CSV!B601</f>
        <v>0</v>
      </c>
      <c r="B601" s="13" t="e">
        <f>INDEX(Input!$D$2:$AC$500,
       MATCH(CPU_Formula!A601, Input!$J$2:$J$500, 0),
       MATCH("CPU model", Input!$D$1:$AC$1, 0))</f>
        <v>#N/A</v>
      </c>
      <c r="C601" s="13" t="str">
        <f t="shared" si="75"/>
        <v/>
      </c>
      <c r="D601" s="13" t="str">
        <f t="shared" si="76"/>
        <v/>
      </c>
      <c r="E601" s="13" t="str">
        <f t="shared" si="77"/>
        <v/>
      </c>
      <c r="F601" s="13" t="str">
        <f t="shared" si="78"/>
        <v/>
      </c>
      <c r="G601" s="13" t="str">
        <f t="shared" si="79"/>
        <v/>
      </c>
      <c r="H601" s="13" t="str">
        <f t="shared" si="80"/>
        <v/>
      </c>
      <c r="I601" t="str">
        <f t="shared" si="81"/>
        <v/>
      </c>
    </row>
    <row r="602" spans="1:9">
      <c r="A602">
        <f>CSV!B602</f>
        <v>0</v>
      </c>
      <c r="B602" s="13" t="e">
        <f>INDEX(Input!$D$2:$AC$500,
       MATCH(CPU_Formula!A602, Input!$J$2:$J$500, 0),
       MATCH("CPU model", Input!$D$1:$AC$1, 0))</f>
        <v>#N/A</v>
      </c>
      <c r="C602" s="13" t="str">
        <f t="shared" si="75"/>
        <v/>
      </c>
      <c r="D602" s="13" t="str">
        <f t="shared" si="76"/>
        <v/>
      </c>
      <c r="E602" s="13" t="str">
        <f t="shared" si="77"/>
        <v/>
      </c>
      <c r="F602" s="13" t="str">
        <f t="shared" si="78"/>
        <v/>
      </c>
      <c r="G602" s="13" t="str">
        <f t="shared" si="79"/>
        <v/>
      </c>
      <c r="H602" s="13" t="str">
        <f t="shared" si="80"/>
        <v/>
      </c>
      <c r="I602" t="str">
        <f t="shared" si="81"/>
        <v/>
      </c>
    </row>
    <row r="603" spans="1:9">
      <c r="A603">
        <f>CSV!B603</f>
        <v>0</v>
      </c>
      <c r="B603" s="13" t="e">
        <f>INDEX(Input!$D$2:$AC$500,
       MATCH(CPU_Formula!A603, Input!$J$2:$J$500, 0),
       MATCH("CPU model", Input!$D$1:$AC$1, 0))</f>
        <v>#N/A</v>
      </c>
      <c r="C603" s="13" t="str">
        <f t="shared" si="75"/>
        <v/>
      </c>
      <c r="D603" s="13" t="str">
        <f t="shared" si="76"/>
        <v/>
      </c>
      <c r="E603" s="13" t="str">
        <f t="shared" si="77"/>
        <v/>
      </c>
      <c r="F603" s="13" t="str">
        <f t="shared" si="78"/>
        <v/>
      </c>
      <c r="G603" s="13" t="str">
        <f t="shared" si="79"/>
        <v/>
      </c>
      <c r="H603" s="13" t="str">
        <f t="shared" si="80"/>
        <v/>
      </c>
      <c r="I603" t="str">
        <f t="shared" si="81"/>
        <v/>
      </c>
    </row>
    <row r="604" spans="1:9">
      <c r="A604">
        <f>CSV!B604</f>
        <v>0</v>
      </c>
      <c r="B604" s="13" t="e">
        <f>INDEX(Input!$D$2:$AC$500,
       MATCH(CPU_Formula!A604, Input!$J$2:$J$500, 0),
       MATCH("CPU model", Input!$D$1:$AC$1, 0))</f>
        <v>#N/A</v>
      </c>
      <c r="C604" s="13" t="str">
        <f t="shared" si="75"/>
        <v/>
      </c>
      <c r="D604" s="13" t="str">
        <f t="shared" si="76"/>
        <v/>
      </c>
      <c r="E604" s="13" t="str">
        <f t="shared" si="77"/>
        <v/>
      </c>
      <c r="F604" s="13" t="str">
        <f t="shared" si="78"/>
        <v/>
      </c>
      <c r="G604" s="13" t="str">
        <f t="shared" si="79"/>
        <v/>
      </c>
      <c r="H604" s="13" t="str">
        <f t="shared" si="80"/>
        <v/>
      </c>
      <c r="I604" t="str">
        <f t="shared" si="81"/>
        <v/>
      </c>
    </row>
    <row r="605" spans="1:9">
      <c r="A605">
        <f>CSV!B605</f>
        <v>0</v>
      </c>
      <c r="B605" s="13" t="e">
        <f>INDEX(Input!$D$2:$AC$500,
       MATCH(CPU_Formula!A605, Input!$J$2:$J$500, 0),
       MATCH("CPU model", Input!$D$1:$AC$1, 0))</f>
        <v>#N/A</v>
      </c>
      <c r="C605" s="13" t="str">
        <f t="shared" si="75"/>
        <v/>
      </c>
      <c r="D605" s="13" t="str">
        <f t="shared" si="76"/>
        <v/>
      </c>
      <c r="E605" s="13" t="str">
        <f t="shared" si="77"/>
        <v/>
      </c>
      <c r="F605" s="13" t="str">
        <f t="shared" si="78"/>
        <v/>
      </c>
      <c r="G605" s="13" t="str">
        <f t="shared" si="79"/>
        <v/>
      </c>
      <c r="H605" s="13" t="str">
        <f t="shared" si="80"/>
        <v/>
      </c>
      <c r="I605" t="str">
        <f t="shared" si="81"/>
        <v/>
      </c>
    </row>
    <row r="606" spans="1:9">
      <c r="A606">
        <f>CSV!B606</f>
        <v>0</v>
      </c>
      <c r="B606" s="13" t="e">
        <f>INDEX(Input!$D$2:$AC$500,
       MATCH(CPU_Formula!A606, Input!$J$2:$J$500, 0),
       MATCH("CPU model", Input!$D$1:$AC$1, 0))</f>
        <v>#N/A</v>
      </c>
      <c r="C606" s="13" t="str">
        <f t="shared" si="75"/>
        <v/>
      </c>
      <c r="D606" s="13" t="str">
        <f t="shared" si="76"/>
        <v/>
      </c>
      <c r="E606" s="13" t="str">
        <f t="shared" si="77"/>
        <v/>
      </c>
      <c r="F606" s="13" t="str">
        <f t="shared" si="78"/>
        <v/>
      </c>
      <c r="G606" s="13" t="str">
        <f t="shared" si="79"/>
        <v/>
      </c>
      <c r="H606" s="13" t="str">
        <f t="shared" si="80"/>
        <v/>
      </c>
      <c r="I606" t="str">
        <f t="shared" si="81"/>
        <v/>
      </c>
    </row>
    <row r="607" spans="1:9">
      <c r="A607">
        <f>CSV!B607</f>
        <v>0</v>
      </c>
      <c r="B607" s="13" t="e">
        <f>INDEX(Input!$D$2:$AC$500,
       MATCH(CPU_Formula!A607, Input!$J$2:$J$500, 0),
       MATCH("CPU model", Input!$D$1:$AC$1, 0))</f>
        <v>#N/A</v>
      </c>
      <c r="C607" s="13" t="str">
        <f t="shared" si="75"/>
        <v/>
      </c>
      <c r="D607" s="13" t="str">
        <f t="shared" si="76"/>
        <v/>
      </c>
      <c r="E607" s="13" t="str">
        <f t="shared" si="77"/>
        <v/>
      </c>
      <c r="F607" s="13" t="str">
        <f t="shared" si="78"/>
        <v/>
      </c>
      <c r="G607" s="13" t="str">
        <f t="shared" si="79"/>
        <v/>
      </c>
      <c r="H607" s="13" t="str">
        <f t="shared" si="80"/>
        <v/>
      </c>
      <c r="I607" t="str">
        <f t="shared" si="81"/>
        <v/>
      </c>
    </row>
    <row r="608" spans="1:9">
      <c r="A608">
        <f>CSV!B608</f>
        <v>0</v>
      </c>
      <c r="B608" s="13" t="e">
        <f>INDEX(Input!$D$2:$AC$500,
       MATCH(CPU_Formula!A608, Input!$J$2:$J$500, 0),
       MATCH("CPU model", Input!$D$1:$AC$1, 0))</f>
        <v>#N/A</v>
      </c>
      <c r="C608" s="13" t="str">
        <f t="shared" si="75"/>
        <v/>
      </c>
      <c r="D608" s="13" t="str">
        <f t="shared" si="76"/>
        <v/>
      </c>
      <c r="E608" s="13" t="str">
        <f t="shared" si="77"/>
        <v/>
      </c>
      <c r="F608" s="13" t="str">
        <f t="shared" si="78"/>
        <v/>
      </c>
      <c r="G608" s="13" t="str">
        <f t="shared" si="79"/>
        <v/>
      </c>
      <c r="H608" s="13" t="str">
        <f t="shared" si="80"/>
        <v/>
      </c>
      <c r="I608" t="str">
        <f t="shared" si="81"/>
        <v/>
      </c>
    </row>
    <row r="609" spans="1:9">
      <c r="A609">
        <f>CSV!B609</f>
        <v>0</v>
      </c>
      <c r="B609" s="13" t="e">
        <f>INDEX(Input!$D$2:$AC$500,
       MATCH(CPU_Formula!A609, Input!$J$2:$J$500, 0),
       MATCH("CPU model", Input!$D$1:$AC$1, 0))</f>
        <v>#N/A</v>
      </c>
      <c r="C609" s="13" t="str">
        <f t="shared" si="75"/>
        <v/>
      </c>
      <c r="D609" s="13" t="str">
        <f t="shared" si="76"/>
        <v/>
      </c>
      <c r="E609" s="13" t="str">
        <f t="shared" si="77"/>
        <v/>
      </c>
      <c r="F609" s="13" t="str">
        <f t="shared" si="78"/>
        <v/>
      </c>
      <c r="G609" s="13" t="str">
        <f t="shared" si="79"/>
        <v/>
      </c>
      <c r="H609" s="13" t="str">
        <f t="shared" si="80"/>
        <v/>
      </c>
      <c r="I609" t="str">
        <f t="shared" si="81"/>
        <v/>
      </c>
    </row>
    <row r="610" spans="1:9">
      <c r="A610">
        <f>CSV!B610</f>
        <v>0</v>
      </c>
      <c r="B610" s="13" t="e">
        <f>INDEX(Input!$D$2:$AC$500,
       MATCH(CPU_Formula!A610, Input!$J$2:$J$500, 0),
       MATCH("CPU model", Input!$D$1:$AC$1, 0))</f>
        <v>#N/A</v>
      </c>
      <c r="C610" s="13" t="str">
        <f t="shared" si="75"/>
        <v/>
      </c>
      <c r="D610" s="13" t="str">
        <f t="shared" si="76"/>
        <v/>
      </c>
      <c r="E610" s="13" t="str">
        <f t="shared" si="77"/>
        <v/>
      </c>
      <c r="F610" s="13" t="str">
        <f t="shared" si="78"/>
        <v/>
      </c>
      <c r="G610" s="13" t="str">
        <f t="shared" si="79"/>
        <v/>
      </c>
      <c r="H610" s="13" t="str">
        <f t="shared" si="80"/>
        <v/>
      </c>
      <c r="I610" t="str">
        <f t="shared" si="81"/>
        <v/>
      </c>
    </row>
    <row r="611" spans="1:9">
      <c r="A611">
        <f>CSV!B611</f>
        <v>0</v>
      </c>
      <c r="B611" s="13" t="e">
        <f>INDEX(Input!$D$2:$AC$500,
       MATCH(CPU_Formula!A611, Input!$J$2:$J$500, 0),
       MATCH("CPU model", Input!$D$1:$AC$1, 0))</f>
        <v>#N/A</v>
      </c>
      <c r="C611" s="13" t="str">
        <f t="shared" si="75"/>
        <v/>
      </c>
      <c r="D611" s="13" t="str">
        <f t="shared" si="76"/>
        <v/>
      </c>
      <c r="E611" s="13" t="str">
        <f t="shared" si="77"/>
        <v/>
      </c>
      <c r="F611" s="13" t="str">
        <f t="shared" si="78"/>
        <v/>
      </c>
      <c r="G611" s="13" t="str">
        <f t="shared" si="79"/>
        <v/>
      </c>
      <c r="H611" s="13" t="str">
        <f t="shared" si="80"/>
        <v/>
      </c>
      <c r="I611" t="str">
        <f t="shared" si="81"/>
        <v/>
      </c>
    </row>
    <row r="612" spans="1:9">
      <c r="A612">
        <f>CSV!B612</f>
        <v>0</v>
      </c>
      <c r="B612" s="13" t="e">
        <f>INDEX(Input!$D$2:$AC$500,
       MATCH(CPU_Formula!A612, Input!$J$2:$J$500, 0),
       MATCH("CPU model", Input!$D$1:$AC$1, 0))</f>
        <v>#N/A</v>
      </c>
      <c r="C612" s="13" t="str">
        <f t="shared" si="75"/>
        <v/>
      </c>
      <c r="D612" s="13" t="str">
        <f t="shared" si="76"/>
        <v/>
      </c>
      <c r="E612" s="13" t="str">
        <f t="shared" si="77"/>
        <v/>
      </c>
      <c r="F612" s="13" t="str">
        <f t="shared" si="78"/>
        <v/>
      </c>
      <c r="G612" s="13" t="str">
        <f t="shared" si="79"/>
        <v/>
      </c>
      <c r="H612" s="13" t="str">
        <f t="shared" si="80"/>
        <v/>
      </c>
      <c r="I612" t="str">
        <f t="shared" si="81"/>
        <v/>
      </c>
    </row>
    <row r="613" spans="1:9">
      <c r="A613">
        <f>CSV!B613</f>
        <v>0</v>
      </c>
      <c r="B613" s="13" t="e">
        <f>INDEX(Input!$D$2:$AC$500,
       MATCH(CPU_Formula!A613, Input!$J$2:$J$500, 0),
       MATCH("CPU model", Input!$D$1:$AC$1, 0))</f>
        <v>#N/A</v>
      </c>
      <c r="C613" s="13" t="str">
        <f t="shared" si="75"/>
        <v/>
      </c>
      <c r="D613" s="13" t="str">
        <f t="shared" si="76"/>
        <v/>
      </c>
      <c r="E613" s="13" t="str">
        <f t="shared" si="77"/>
        <v/>
      </c>
      <c r="F613" s="13" t="str">
        <f t="shared" si="78"/>
        <v/>
      </c>
      <c r="G613" s="13" t="str">
        <f t="shared" si="79"/>
        <v/>
      </c>
      <c r="H613" s="13" t="str">
        <f t="shared" si="80"/>
        <v/>
      </c>
      <c r="I613" t="str">
        <f t="shared" si="81"/>
        <v/>
      </c>
    </row>
    <row r="614" spans="1:9">
      <c r="A614">
        <f>CSV!B614</f>
        <v>0</v>
      </c>
      <c r="B614" s="13" t="e">
        <f>INDEX(Input!$D$2:$AC$500,
       MATCH(CPU_Formula!A614, Input!$J$2:$J$500, 0),
       MATCH("CPU model", Input!$D$1:$AC$1, 0))</f>
        <v>#N/A</v>
      </c>
      <c r="C614" s="13" t="str">
        <f t="shared" si="75"/>
        <v/>
      </c>
      <c r="D614" s="13" t="str">
        <f t="shared" si="76"/>
        <v/>
      </c>
      <c r="E614" s="13" t="str">
        <f t="shared" si="77"/>
        <v/>
      </c>
      <c r="F614" s="13" t="str">
        <f t="shared" si="78"/>
        <v/>
      </c>
      <c r="G614" s="13" t="str">
        <f t="shared" si="79"/>
        <v/>
      </c>
      <c r="H614" s="13" t="str">
        <f t="shared" si="80"/>
        <v/>
      </c>
      <c r="I614" t="str">
        <f t="shared" si="81"/>
        <v/>
      </c>
    </row>
    <row r="615" spans="1:9">
      <c r="A615">
        <f>CSV!B615</f>
        <v>0</v>
      </c>
      <c r="B615" s="13" t="e">
        <f>INDEX(Input!$D$2:$AC$500,
       MATCH(CPU_Formula!A615, Input!$J$2:$J$500, 0),
       MATCH("CPU model", Input!$D$1:$AC$1, 0))</f>
        <v>#N/A</v>
      </c>
      <c r="C615" s="13" t="str">
        <f t="shared" si="75"/>
        <v/>
      </c>
      <c r="D615" s="13" t="str">
        <f t="shared" si="76"/>
        <v/>
      </c>
      <c r="E615" s="13" t="str">
        <f t="shared" si="77"/>
        <v/>
      </c>
      <c r="F615" s="13" t="str">
        <f t="shared" si="78"/>
        <v/>
      </c>
      <c r="G615" s="13" t="str">
        <f t="shared" si="79"/>
        <v/>
      </c>
      <c r="H615" s="13" t="str">
        <f t="shared" si="80"/>
        <v/>
      </c>
      <c r="I615" t="str">
        <f t="shared" si="81"/>
        <v/>
      </c>
    </row>
    <row r="616" spans="1:9">
      <c r="A616">
        <f>CSV!B616</f>
        <v>0</v>
      </c>
      <c r="B616" s="13" t="e">
        <f>INDEX(Input!$D$2:$AC$500,
       MATCH(CPU_Formula!A616, Input!$J$2:$J$500, 0),
       MATCH("CPU model", Input!$D$1:$AC$1, 0))</f>
        <v>#N/A</v>
      </c>
      <c r="C616" s="13" t="str">
        <f t="shared" ref="C616:C670" si="82">IFERROR(_xlfn.TEXTAFTER(B616,"Core(TM) "),IFERROR(_xlfn.TEXTAFTER(B616,"Xeon(R) CPU"),""))</f>
        <v/>
      </c>
      <c r="D616" s="13" t="str">
        <f t="shared" ref="D616:D670" si="83">IFERROR(_xlfn.TEXTAFTER(B616,"Ryzen "), "")</f>
        <v/>
      </c>
      <c r="E616" s="13" t="str">
        <f t="shared" ref="E616:E670" si="84">IF(ISNUMBER(SEARCH("Ultra", B616)), "Ultra"&amp;_xlfn.TEXTAFTER(B616, "Ultra"), "")</f>
        <v/>
      </c>
      <c r="F616" s="13" t="str">
        <f t="shared" ref="F616:F670" si="85">IF(C616&lt;&gt;"", TRIM(_xlfn.TEXTBEFORE(C616," ",,1,1)), "")</f>
        <v/>
      </c>
      <c r="G616" s="13" t="str">
        <f t="shared" ref="G616:G670" si="86">IF(D616&lt;&gt;"", TRIM(_xlfn.TEXTBEFORE(D616," ",,1)), "")</f>
        <v/>
      </c>
      <c r="H616" s="13" t="str">
        <f t="shared" ref="H616:H670" si="87">E616</f>
        <v/>
      </c>
      <c r="I616" t="str">
        <f t="shared" ref="I616:I670" si="88">IF(H616&lt;&gt;"",H616,IF(G616&lt;&gt;"",G616,F616))</f>
        <v/>
      </c>
    </row>
    <row r="617" spans="1:9">
      <c r="A617">
        <f>CSV!B617</f>
        <v>0</v>
      </c>
      <c r="B617" s="13" t="e">
        <f>INDEX(Input!$D$2:$AC$500,
       MATCH(CPU_Formula!A617, Input!$J$2:$J$500, 0),
       MATCH("CPU model", Input!$D$1:$AC$1, 0))</f>
        <v>#N/A</v>
      </c>
      <c r="C617" s="13" t="str">
        <f t="shared" si="82"/>
        <v/>
      </c>
      <c r="D617" s="13" t="str">
        <f t="shared" si="83"/>
        <v/>
      </c>
      <c r="E617" s="13" t="str">
        <f t="shared" si="84"/>
        <v/>
      </c>
      <c r="F617" s="13" t="str">
        <f t="shared" si="85"/>
        <v/>
      </c>
      <c r="G617" s="13" t="str">
        <f t="shared" si="86"/>
        <v/>
      </c>
      <c r="H617" s="13" t="str">
        <f t="shared" si="87"/>
        <v/>
      </c>
      <c r="I617" t="str">
        <f t="shared" si="88"/>
        <v/>
      </c>
    </row>
    <row r="618" spans="1:9">
      <c r="A618">
        <f>CSV!B618</f>
        <v>0</v>
      </c>
      <c r="B618" s="13" t="e">
        <f>INDEX(Input!$D$2:$AC$500,
       MATCH(CPU_Formula!A618, Input!$J$2:$J$500, 0),
       MATCH("CPU model", Input!$D$1:$AC$1, 0))</f>
        <v>#N/A</v>
      </c>
      <c r="C618" s="13" t="str">
        <f t="shared" si="82"/>
        <v/>
      </c>
      <c r="D618" s="13" t="str">
        <f t="shared" si="83"/>
        <v/>
      </c>
      <c r="E618" s="13" t="str">
        <f t="shared" si="84"/>
        <v/>
      </c>
      <c r="F618" s="13" t="str">
        <f t="shared" si="85"/>
        <v/>
      </c>
      <c r="G618" s="13" t="str">
        <f t="shared" si="86"/>
        <v/>
      </c>
      <c r="H618" s="13" t="str">
        <f t="shared" si="87"/>
        <v/>
      </c>
      <c r="I618" t="str">
        <f t="shared" si="88"/>
        <v/>
      </c>
    </row>
    <row r="619" spans="1:9">
      <c r="A619">
        <f>CSV!B619</f>
        <v>0</v>
      </c>
      <c r="B619" s="13" t="e">
        <f>INDEX(Input!$D$2:$AC$500,
       MATCH(CPU_Formula!A619, Input!$J$2:$J$500, 0),
       MATCH("CPU model", Input!$D$1:$AC$1, 0))</f>
        <v>#N/A</v>
      </c>
      <c r="C619" s="13" t="str">
        <f t="shared" si="82"/>
        <v/>
      </c>
      <c r="D619" s="13" t="str">
        <f t="shared" si="83"/>
        <v/>
      </c>
      <c r="E619" s="13" t="str">
        <f t="shared" si="84"/>
        <v/>
      </c>
      <c r="F619" s="13" t="str">
        <f t="shared" si="85"/>
        <v/>
      </c>
      <c r="G619" s="13" t="str">
        <f t="shared" si="86"/>
        <v/>
      </c>
      <c r="H619" s="13" t="str">
        <f t="shared" si="87"/>
        <v/>
      </c>
      <c r="I619" t="str">
        <f t="shared" si="88"/>
        <v/>
      </c>
    </row>
    <row r="620" spans="1:9">
      <c r="A620">
        <f>CSV!B620</f>
        <v>0</v>
      </c>
      <c r="B620" s="13" t="e">
        <f>INDEX(Input!$D$2:$AC$500,
       MATCH(CPU_Formula!A620, Input!$J$2:$J$500, 0),
       MATCH("CPU model", Input!$D$1:$AC$1, 0))</f>
        <v>#N/A</v>
      </c>
      <c r="C620" s="13" t="str">
        <f t="shared" si="82"/>
        <v/>
      </c>
      <c r="D620" s="13" t="str">
        <f t="shared" si="83"/>
        <v/>
      </c>
      <c r="E620" s="13" t="str">
        <f t="shared" si="84"/>
        <v/>
      </c>
      <c r="F620" s="13" t="str">
        <f t="shared" si="85"/>
        <v/>
      </c>
      <c r="G620" s="13" t="str">
        <f t="shared" si="86"/>
        <v/>
      </c>
      <c r="H620" s="13" t="str">
        <f t="shared" si="87"/>
        <v/>
      </c>
      <c r="I620" t="str">
        <f t="shared" si="88"/>
        <v/>
      </c>
    </row>
    <row r="621" spans="1:9">
      <c r="A621">
        <f>CSV!B621</f>
        <v>0</v>
      </c>
      <c r="B621" s="13" t="e">
        <f>INDEX(Input!$D$2:$AC$500,
       MATCH(CPU_Formula!A621, Input!$J$2:$J$500, 0),
       MATCH("CPU model", Input!$D$1:$AC$1, 0))</f>
        <v>#N/A</v>
      </c>
      <c r="C621" s="13" t="str">
        <f t="shared" si="82"/>
        <v/>
      </c>
      <c r="D621" s="13" t="str">
        <f t="shared" si="83"/>
        <v/>
      </c>
      <c r="E621" s="13" t="str">
        <f t="shared" si="84"/>
        <v/>
      </c>
      <c r="F621" s="13" t="str">
        <f t="shared" si="85"/>
        <v/>
      </c>
      <c r="G621" s="13" t="str">
        <f t="shared" si="86"/>
        <v/>
      </c>
      <c r="H621" s="13" t="str">
        <f t="shared" si="87"/>
        <v/>
      </c>
      <c r="I621" t="str">
        <f t="shared" si="88"/>
        <v/>
      </c>
    </row>
    <row r="622" spans="1:9">
      <c r="A622">
        <f>CSV!B622</f>
        <v>0</v>
      </c>
      <c r="B622" s="13" t="e">
        <f>INDEX(Input!$D$2:$AC$500,
       MATCH(CPU_Formula!A622, Input!$J$2:$J$500, 0),
       MATCH("CPU model", Input!$D$1:$AC$1, 0))</f>
        <v>#N/A</v>
      </c>
      <c r="C622" s="13" t="str">
        <f t="shared" si="82"/>
        <v/>
      </c>
      <c r="D622" s="13" t="str">
        <f t="shared" si="83"/>
        <v/>
      </c>
      <c r="E622" s="13" t="str">
        <f t="shared" si="84"/>
        <v/>
      </c>
      <c r="F622" s="13" t="str">
        <f t="shared" si="85"/>
        <v/>
      </c>
      <c r="G622" s="13" t="str">
        <f t="shared" si="86"/>
        <v/>
      </c>
      <c r="H622" s="13" t="str">
        <f t="shared" si="87"/>
        <v/>
      </c>
      <c r="I622" t="str">
        <f t="shared" si="88"/>
        <v/>
      </c>
    </row>
    <row r="623" spans="1:9">
      <c r="A623">
        <f>CSV!B623</f>
        <v>0</v>
      </c>
      <c r="B623" s="13" t="e">
        <f>INDEX(Input!$D$2:$AC$500,
       MATCH(CPU_Formula!A623, Input!$J$2:$J$500, 0),
       MATCH("CPU model", Input!$D$1:$AC$1, 0))</f>
        <v>#N/A</v>
      </c>
      <c r="C623" s="13" t="str">
        <f t="shared" si="82"/>
        <v/>
      </c>
      <c r="D623" s="13" t="str">
        <f t="shared" si="83"/>
        <v/>
      </c>
      <c r="E623" s="13" t="str">
        <f t="shared" si="84"/>
        <v/>
      </c>
      <c r="F623" s="13" t="str">
        <f t="shared" si="85"/>
        <v/>
      </c>
      <c r="G623" s="13" t="str">
        <f t="shared" si="86"/>
        <v/>
      </c>
      <c r="H623" s="13" t="str">
        <f t="shared" si="87"/>
        <v/>
      </c>
      <c r="I623" t="str">
        <f t="shared" si="88"/>
        <v/>
      </c>
    </row>
    <row r="624" spans="1:9">
      <c r="A624">
        <f>CSV!B624</f>
        <v>0</v>
      </c>
      <c r="B624" s="13" t="e">
        <f>INDEX(Input!$D$2:$AC$500,
       MATCH(CPU_Formula!A624, Input!$J$2:$J$500, 0),
       MATCH("CPU model", Input!$D$1:$AC$1, 0))</f>
        <v>#N/A</v>
      </c>
      <c r="C624" s="13" t="str">
        <f t="shared" si="82"/>
        <v/>
      </c>
      <c r="D624" s="13" t="str">
        <f t="shared" si="83"/>
        <v/>
      </c>
      <c r="E624" s="13" t="str">
        <f t="shared" si="84"/>
        <v/>
      </c>
      <c r="F624" s="13" t="str">
        <f t="shared" si="85"/>
        <v/>
      </c>
      <c r="G624" s="13" t="str">
        <f t="shared" si="86"/>
        <v/>
      </c>
      <c r="H624" s="13" t="str">
        <f t="shared" si="87"/>
        <v/>
      </c>
      <c r="I624" t="str">
        <f t="shared" si="88"/>
        <v/>
      </c>
    </row>
    <row r="625" spans="1:9">
      <c r="A625">
        <f>CSV!B625</f>
        <v>0</v>
      </c>
      <c r="B625" s="13" t="e">
        <f>INDEX(Input!$D$2:$AC$500,
       MATCH(CPU_Formula!A625, Input!$J$2:$J$500, 0),
       MATCH("CPU model", Input!$D$1:$AC$1, 0))</f>
        <v>#N/A</v>
      </c>
      <c r="C625" s="13" t="str">
        <f t="shared" si="82"/>
        <v/>
      </c>
      <c r="D625" s="13" t="str">
        <f t="shared" si="83"/>
        <v/>
      </c>
      <c r="E625" s="13" t="str">
        <f t="shared" si="84"/>
        <v/>
      </c>
      <c r="F625" s="13" t="str">
        <f t="shared" si="85"/>
        <v/>
      </c>
      <c r="G625" s="13" t="str">
        <f t="shared" si="86"/>
        <v/>
      </c>
      <c r="H625" s="13" t="str">
        <f t="shared" si="87"/>
        <v/>
      </c>
      <c r="I625" t="str">
        <f t="shared" si="88"/>
        <v/>
      </c>
    </row>
    <row r="626" spans="1:9">
      <c r="A626">
        <f>CSV!B626</f>
        <v>0</v>
      </c>
      <c r="B626" s="13" t="e">
        <f>INDEX(Input!$D$2:$AC$500,
       MATCH(CPU_Formula!A626, Input!$J$2:$J$500, 0),
       MATCH("CPU model", Input!$D$1:$AC$1, 0))</f>
        <v>#N/A</v>
      </c>
      <c r="C626" s="13" t="str">
        <f t="shared" si="82"/>
        <v/>
      </c>
      <c r="D626" s="13" t="str">
        <f t="shared" si="83"/>
        <v/>
      </c>
      <c r="E626" s="13" t="str">
        <f t="shared" si="84"/>
        <v/>
      </c>
      <c r="F626" s="13" t="str">
        <f t="shared" si="85"/>
        <v/>
      </c>
      <c r="G626" s="13" t="str">
        <f t="shared" si="86"/>
        <v/>
      </c>
      <c r="H626" s="13" t="str">
        <f t="shared" si="87"/>
        <v/>
      </c>
      <c r="I626" t="str">
        <f t="shared" si="88"/>
        <v/>
      </c>
    </row>
    <row r="627" spans="1:9">
      <c r="A627">
        <f>CSV!B627</f>
        <v>0</v>
      </c>
      <c r="B627" s="13" t="e">
        <f>INDEX(Input!$D$2:$AC$500,
       MATCH(CPU_Formula!A627, Input!$J$2:$J$500, 0),
       MATCH("CPU model", Input!$D$1:$AC$1, 0))</f>
        <v>#N/A</v>
      </c>
      <c r="C627" s="13" t="str">
        <f t="shared" si="82"/>
        <v/>
      </c>
      <c r="D627" s="13" t="str">
        <f t="shared" si="83"/>
        <v/>
      </c>
      <c r="E627" s="13" t="str">
        <f t="shared" si="84"/>
        <v/>
      </c>
      <c r="F627" s="13" t="str">
        <f t="shared" si="85"/>
        <v/>
      </c>
      <c r="G627" s="13" t="str">
        <f t="shared" si="86"/>
        <v/>
      </c>
      <c r="H627" s="13" t="str">
        <f t="shared" si="87"/>
        <v/>
      </c>
      <c r="I627" t="str">
        <f t="shared" si="88"/>
        <v/>
      </c>
    </row>
    <row r="628" spans="1:9">
      <c r="A628">
        <f>CSV!B628</f>
        <v>0</v>
      </c>
      <c r="B628" s="13" t="e">
        <f>INDEX(Input!$D$2:$AC$500,
       MATCH(CPU_Formula!A628, Input!$J$2:$J$500, 0),
       MATCH("CPU model", Input!$D$1:$AC$1, 0))</f>
        <v>#N/A</v>
      </c>
      <c r="C628" s="13" t="str">
        <f t="shared" si="82"/>
        <v/>
      </c>
      <c r="D628" s="13" t="str">
        <f t="shared" si="83"/>
        <v/>
      </c>
      <c r="E628" s="13" t="str">
        <f t="shared" si="84"/>
        <v/>
      </c>
      <c r="F628" s="13" t="str">
        <f t="shared" si="85"/>
        <v/>
      </c>
      <c r="G628" s="13" t="str">
        <f t="shared" si="86"/>
        <v/>
      </c>
      <c r="H628" s="13" t="str">
        <f t="shared" si="87"/>
        <v/>
      </c>
      <c r="I628" t="str">
        <f t="shared" si="88"/>
        <v/>
      </c>
    </row>
    <row r="629" spans="1:9">
      <c r="A629">
        <f>CSV!B629</f>
        <v>0</v>
      </c>
      <c r="B629" s="13" t="e">
        <f>INDEX(Input!$D$2:$AC$500,
       MATCH(CPU_Formula!A629, Input!$J$2:$J$500, 0),
       MATCH("CPU model", Input!$D$1:$AC$1, 0))</f>
        <v>#N/A</v>
      </c>
      <c r="C629" s="13" t="str">
        <f t="shared" si="82"/>
        <v/>
      </c>
      <c r="D629" s="13" t="str">
        <f t="shared" si="83"/>
        <v/>
      </c>
      <c r="E629" s="13" t="str">
        <f t="shared" si="84"/>
        <v/>
      </c>
      <c r="F629" s="13" t="str">
        <f t="shared" si="85"/>
        <v/>
      </c>
      <c r="G629" s="13" t="str">
        <f t="shared" si="86"/>
        <v/>
      </c>
      <c r="H629" s="13" t="str">
        <f t="shared" si="87"/>
        <v/>
      </c>
      <c r="I629" t="str">
        <f t="shared" si="88"/>
        <v/>
      </c>
    </row>
    <row r="630" spans="1:9">
      <c r="A630">
        <f>CSV!B630</f>
        <v>0</v>
      </c>
      <c r="B630" s="13" t="e">
        <f>INDEX(Input!$D$2:$AC$500,
       MATCH(CPU_Formula!A630, Input!$J$2:$J$500, 0),
       MATCH("CPU model", Input!$D$1:$AC$1, 0))</f>
        <v>#N/A</v>
      </c>
      <c r="C630" s="13" t="str">
        <f t="shared" si="82"/>
        <v/>
      </c>
      <c r="D630" s="13" t="str">
        <f t="shared" si="83"/>
        <v/>
      </c>
      <c r="E630" s="13" t="str">
        <f t="shared" si="84"/>
        <v/>
      </c>
      <c r="F630" s="13" t="str">
        <f t="shared" si="85"/>
        <v/>
      </c>
      <c r="G630" s="13" t="str">
        <f t="shared" si="86"/>
        <v/>
      </c>
      <c r="H630" s="13" t="str">
        <f t="shared" si="87"/>
        <v/>
      </c>
      <c r="I630" t="str">
        <f t="shared" si="88"/>
        <v/>
      </c>
    </row>
    <row r="631" spans="1:9">
      <c r="A631">
        <f>CSV!B631</f>
        <v>0</v>
      </c>
      <c r="B631" s="13" t="e">
        <f>INDEX(Input!$D$2:$AC$500,
       MATCH(CPU_Formula!A631, Input!$J$2:$J$500, 0),
       MATCH("CPU model", Input!$D$1:$AC$1, 0))</f>
        <v>#N/A</v>
      </c>
      <c r="C631" s="13" t="str">
        <f t="shared" si="82"/>
        <v/>
      </c>
      <c r="D631" s="13" t="str">
        <f t="shared" si="83"/>
        <v/>
      </c>
      <c r="E631" s="13" t="str">
        <f t="shared" si="84"/>
        <v/>
      </c>
      <c r="F631" s="13" t="str">
        <f t="shared" si="85"/>
        <v/>
      </c>
      <c r="G631" s="13" t="str">
        <f t="shared" si="86"/>
        <v/>
      </c>
      <c r="H631" s="13" t="str">
        <f t="shared" si="87"/>
        <v/>
      </c>
      <c r="I631" t="str">
        <f t="shared" si="88"/>
        <v/>
      </c>
    </row>
    <row r="632" spans="1:9">
      <c r="A632">
        <f>CSV!B632</f>
        <v>0</v>
      </c>
      <c r="B632" s="13" t="e">
        <f>INDEX(Input!$D$2:$AC$500,
       MATCH(CPU_Formula!A632, Input!$J$2:$J$500, 0),
       MATCH("CPU model", Input!$D$1:$AC$1, 0))</f>
        <v>#N/A</v>
      </c>
      <c r="C632" s="13" t="str">
        <f t="shared" si="82"/>
        <v/>
      </c>
      <c r="D632" s="13" t="str">
        <f t="shared" si="83"/>
        <v/>
      </c>
      <c r="E632" s="13" t="str">
        <f t="shared" si="84"/>
        <v/>
      </c>
      <c r="F632" s="13" t="str">
        <f t="shared" si="85"/>
        <v/>
      </c>
      <c r="G632" s="13" t="str">
        <f t="shared" si="86"/>
        <v/>
      </c>
      <c r="H632" s="13" t="str">
        <f t="shared" si="87"/>
        <v/>
      </c>
      <c r="I632" t="str">
        <f t="shared" si="88"/>
        <v/>
      </c>
    </row>
    <row r="633" spans="1:9">
      <c r="A633">
        <f>CSV!B633</f>
        <v>0</v>
      </c>
      <c r="B633" s="13" t="e">
        <f>INDEX(Input!$D$2:$AC$500,
       MATCH(CPU_Formula!A633, Input!$J$2:$J$500, 0),
       MATCH("CPU model", Input!$D$1:$AC$1, 0))</f>
        <v>#N/A</v>
      </c>
      <c r="C633" s="13" t="str">
        <f t="shared" si="82"/>
        <v/>
      </c>
      <c r="D633" s="13" t="str">
        <f t="shared" si="83"/>
        <v/>
      </c>
      <c r="E633" s="13" t="str">
        <f t="shared" si="84"/>
        <v/>
      </c>
      <c r="F633" s="13" t="str">
        <f t="shared" si="85"/>
        <v/>
      </c>
      <c r="G633" s="13" t="str">
        <f t="shared" si="86"/>
        <v/>
      </c>
      <c r="H633" s="13" t="str">
        <f t="shared" si="87"/>
        <v/>
      </c>
      <c r="I633" t="str">
        <f t="shared" si="88"/>
        <v/>
      </c>
    </row>
    <row r="634" spans="1:9">
      <c r="A634">
        <f>CSV!B634</f>
        <v>0</v>
      </c>
      <c r="B634" s="13" t="e">
        <f>INDEX(Input!$D$2:$AC$500,
       MATCH(CPU_Formula!A634, Input!$J$2:$J$500, 0),
       MATCH("CPU model", Input!$D$1:$AC$1, 0))</f>
        <v>#N/A</v>
      </c>
      <c r="C634" s="13" t="str">
        <f t="shared" si="82"/>
        <v/>
      </c>
      <c r="D634" s="13" t="str">
        <f t="shared" si="83"/>
        <v/>
      </c>
      <c r="E634" s="13" t="str">
        <f t="shared" si="84"/>
        <v/>
      </c>
      <c r="F634" s="13" t="str">
        <f t="shared" si="85"/>
        <v/>
      </c>
      <c r="G634" s="13" t="str">
        <f t="shared" si="86"/>
        <v/>
      </c>
      <c r="H634" s="13" t="str">
        <f t="shared" si="87"/>
        <v/>
      </c>
      <c r="I634" t="str">
        <f t="shared" si="88"/>
        <v/>
      </c>
    </row>
    <row r="635" spans="1:9">
      <c r="A635">
        <f>CSV!B635</f>
        <v>0</v>
      </c>
      <c r="B635" s="13" t="e">
        <f>INDEX(Input!$D$2:$AC$500,
       MATCH(CPU_Formula!A635, Input!$J$2:$J$500, 0),
       MATCH("CPU model", Input!$D$1:$AC$1, 0))</f>
        <v>#N/A</v>
      </c>
      <c r="C635" s="13" t="str">
        <f t="shared" si="82"/>
        <v/>
      </c>
      <c r="D635" s="13" t="str">
        <f t="shared" si="83"/>
        <v/>
      </c>
      <c r="E635" s="13" t="str">
        <f t="shared" si="84"/>
        <v/>
      </c>
      <c r="F635" s="13" t="str">
        <f t="shared" si="85"/>
        <v/>
      </c>
      <c r="G635" s="13" t="str">
        <f t="shared" si="86"/>
        <v/>
      </c>
      <c r="H635" s="13" t="str">
        <f t="shared" si="87"/>
        <v/>
      </c>
      <c r="I635" t="str">
        <f t="shared" si="88"/>
        <v/>
      </c>
    </row>
    <row r="636" spans="1:9">
      <c r="A636">
        <f>CSV!B636</f>
        <v>0</v>
      </c>
      <c r="B636" s="13" t="e">
        <f>INDEX(Input!$D$2:$AC$500,
       MATCH(CPU_Formula!A636, Input!$J$2:$J$500, 0),
       MATCH("CPU model", Input!$D$1:$AC$1, 0))</f>
        <v>#N/A</v>
      </c>
      <c r="C636" s="13" t="str">
        <f t="shared" si="82"/>
        <v/>
      </c>
      <c r="D636" s="13" t="str">
        <f t="shared" si="83"/>
        <v/>
      </c>
      <c r="E636" s="13" t="str">
        <f t="shared" si="84"/>
        <v/>
      </c>
      <c r="F636" s="13" t="str">
        <f t="shared" si="85"/>
        <v/>
      </c>
      <c r="G636" s="13" t="str">
        <f t="shared" si="86"/>
        <v/>
      </c>
      <c r="H636" s="13" t="str">
        <f t="shared" si="87"/>
        <v/>
      </c>
      <c r="I636" t="str">
        <f t="shared" si="88"/>
        <v/>
      </c>
    </row>
    <row r="637" spans="1:9">
      <c r="A637">
        <f>CSV!B637</f>
        <v>0</v>
      </c>
      <c r="B637" s="13" t="e">
        <f>INDEX(Input!$D$2:$AC$500,
       MATCH(CPU_Formula!A637, Input!$J$2:$J$500, 0),
       MATCH("CPU model", Input!$D$1:$AC$1, 0))</f>
        <v>#N/A</v>
      </c>
      <c r="C637" s="13" t="str">
        <f t="shared" si="82"/>
        <v/>
      </c>
      <c r="D637" s="13" t="str">
        <f t="shared" si="83"/>
        <v/>
      </c>
      <c r="E637" s="13" t="str">
        <f t="shared" si="84"/>
        <v/>
      </c>
      <c r="F637" s="13" t="str">
        <f t="shared" si="85"/>
        <v/>
      </c>
      <c r="G637" s="13" t="str">
        <f t="shared" si="86"/>
        <v/>
      </c>
      <c r="H637" s="13" t="str">
        <f t="shared" si="87"/>
        <v/>
      </c>
      <c r="I637" t="str">
        <f t="shared" si="88"/>
        <v/>
      </c>
    </row>
    <row r="638" spans="1:9">
      <c r="A638">
        <f>CSV!B638</f>
        <v>0</v>
      </c>
      <c r="B638" s="13" t="e">
        <f>INDEX(Input!$D$2:$AC$500,
       MATCH(CPU_Formula!A638, Input!$J$2:$J$500, 0),
       MATCH("CPU model", Input!$D$1:$AC$1, 0))</f>
        <v>#N/A</v>
      </c>
      <c r="C638" s="13" t="str">
        <f t="shared" si="82"/>
        <v/>
      </c>
      <c r="D638" s="13" t="str">
        <f t="shared" si="83"/>
        <v/>
      </c>
      <c r="E638" s="13" t="str">
        <f t="shared" si="84"/>
        <v/>
      </c>
      <c r="F638" s="13" t="str">
        <f t="shared" si="85"/>
        <v/>
      </c>
      <c r="G638" s="13" t="str">
        <f t="shared" si="86"/>
        <v/>
      </c>
      <c r="H638" s="13" t="str">
        <f t="shared" si="87"/>
        <v/>
      </c>
      <c r="I638" t="str">
        <f t="shared" si="88"/>
        <v/>
      </c>
    </row>
    <row r="639" spans="1:9">
      <c r="A639">
        <f>CSV!B639</f>
        <v>0</v>
      </c>
      <c r="B639" s="13" t="e">
        <f>INDEX(Input!$D$2:$AC$500,
       MATCH(CPU_Formula!A639, Input!$J$2:$J$500, 0),
       MATCH("CPU model", Input!$D$1:$AC$1, 0))</f>
        <v>#N/A</v>
      </c>
      <c r="C639" s="13" t="str">
        <f t="shared" si="82"/>
        <v/>
      </c>
      <c r="D639" s="13" t="str">
        <f t="shared" si="83"/>
        <v/>
      </c>
      <c r="E639" s="13" t="str">
        <f t="shared" si="84"/>
        <v/>
      </c>
      <c r="F639" s="13" t="str">
        <f t="shared" si="85"/>
        <v/>
      </c>
      <c r="G639" s="13" t="str">
        <f t="shared" si="86"/>
        <v/>
      </c>
      <c r="H639" s="13" t="str">
        <f t="shared" si="87"/>
        <v/>
      </c>
      <c r="I639" t="str">
        <f t="shared" si="88"/>
        <v/>
      </c>
    </row>
    <row r="640" spans="1:9">
      <c r="A640">
        <f>CSV!B640</f>
        <v>0</v>
      </c>
      <c r="B640" s="13" t="e">
        <f>INDEX(Input!$D$2:$AC$500,
       MATCH(CPU_Formula!A640, Input!$J$2:$J$500, 0),
       MATCH("CPU model", Input!$D$1:$AC$1, 0))</f>
        <v>#N/A</v>
      </c>
      <c r="C640" s="13" t="str">
        <f t="shared" si="82"/>
        <v/>
      </c>
      <c r="D640" s="13" t="str">
        <f t="shared" si="83"/>
        <v/>
      </c>
      <c r="E640" s="13" t="str">
        <f t="shared" si="84"/>
        <v/>
      </c>
      <c r="F640" s="13" t="str">
        <f t="shared" si="85"/>
        <v/>
      </c>
      <c r="G640" s="13" t="str">
        <f t="shared" si="86"/>
        <v/>
      </c>
      <c r="H640" s="13" t="str">
        <f t="shared" si="87"/>
        <v/>
      </c>
      <c r="I640" t="str">
        <f t="shared" si="88"/>
        <v/>
      </c>
    </row>
    <row r="641" spans="1:9">
      <c r="A641">
        <f>CSV!B641</f>
        <v>0</v>
      </c>
      <c r="B641" s="13" t="e">
        <f>INDEX(Input!$D$2:$AC$500,
       MATCH(CPU_Formula!A641, Input!$J$2:$J$500, 0),
       MATCH("CPU model", Input!$D$1:$AC$1, 0))</f>
        <v>#N/A</v>
      </c>
      <c r="C641" s="13" t="str">
        <f t="shared" si="82"/>
        <v/>
      </c>
      <c r="D641" s="13" t="str">
        <f t="shared" si="83"/>
        <v/>
      </c>
      <c r="E641" s="13" t="str">
        <f t="shared" si="84"/>
        <v/>
      </c>
      <c r="F641" s="13" t="str">
        <f t="shared" si="85"/>
        <v/>
      </c>
      <c r="G641" s="13" t="str">
        <f t="shared" si="86"/>
        <v/>
      </c>
      <c r="H641" s="13" t="str">
        <f t="shared" si="87"/>
        <v/>
      </c>
      <c r="I641" t="str">
        <f t="shared" si="88"/>
        <v/>
      </c>
    </row>
    <row r="642" spans="1:9">
      <c r="A642">
        <f>CSV!B642</f>
        <v>0</v>
      </c>
      <c r="B642" s="13" t="e">
        <f>INDEX(Input!$D$2:$AC$500,
       MATCH(CPU_Formula!A642, Input!$J$2:$J$500, 0),
       MATCH("CPU model", Input!$D$1:$AC$1, 0))</f>
        <v>#N/A</v>
      </c>
      <c r="C642" s="13" t="str">
        <f t="shared" si="82"/>
        <v/>
      </c>
      <c r="D642" s="13" t="str">
        <f t="shared" si="83"/>
        <v/>
      </c>
      <c r="E642" s="13" t="str">
        <f t="shared" si="84"/>
        <v/>
      </c>
      <c r="F642" s="13" t="str">
        <f t="shared" si="85"/>
        <v/>
      </c>
      <c r="G642" s="13" t="str">
        <f t="shared" si="86"/>
        <v/>
      </c>
      <c r="H642" s="13" t="str">
        <f t="shared" si="87"/>
        <v/>
      </c>
      <c r="I642" t="str">
        <f t="shared" si="88"/>
        <v/>
      </c>
    </row>
    <row r="643" spans="1:9">
      <c r="A643">
        <f>CSV!B643</f>
        <v>0</v>
      </c>
      <c r="B643" s="13" t="e">
        <f>INDEX(Input!$D$2:$AC$500,
       MATCH(CPU_Formula!A643, Input!$J$2:$J$500, 0),
       MATCH("CPU model", Input!$D$1:$AC$1, 0))</f>
        <v>#N/A</v>
      </c>
      <c r="C643" s="13" t="str">
        <f t="shared" si="82"/>
        <v/>
      </c>
      <c r="D643" s="13" t="str">
        <f t="shared" si="83"/>
        <v/>
      </c>
      <c r="E643" s="13" t="str">
        <f t="shared" si="84"/>
        <v/>
      </c>
      <c r="F643" s="13" t="str">
        <f t="shared" si="85"/>
        <v/>
      </c>
      <c r="G643" s="13" t="str">
        <f t="shared" si="86"/>
        <v/>
      </c>
      <c r="H643" s="13" t="str">
        <f t="shared" si="87"/>
        <v/>
      </c>
      <c r="I643" t="str">
        <f t="shared" si="88"/>
        <v/>
      </c>
    </row>
    <row r="644" spans="1:9">
      <c r="A644">
        <f>CSV!B644</f>
        <v>0</v>
      </c>
      <c r="B644" s="13" t="e">
        <f>INDEX(Input!$D$2:$AC$500,
       MATCH(CPU_Formula!A644, Input!$J$2:$J$500, 0),
       MATCH("CPU model", Input!$D$1:$AC$1, 0))</f>
        <v>#N/A</v>
      </c>
      <c r="C644" s="13" t="str">
        <f t="shared" si="82"/>
        <v/>
      </c>
      <c r="D644" s="13" t="str">
        <f t="shared" si="83"/>
        <v/>
      </c>
      <c r="E644" s="13" t="str">
        <f t="shared" si="84"/>
        <v/>
      </c>
      <c r="F644" s="13" t="str">
        <f t="shared" si="85"/>
        <v/>
      </c>
      <c r="G644" s="13" t="str">
        <f t="shared" si="86"/>
        <v/>
      </c>
      <c r="H644" s="13" t="str">
        <f t="shared" si="87"/>
        <v/>
      </c>
      <c r="I644" t="str">
        <f t="shared" si="88"/>
        <v/>
      </c>
    </row>
    <row r="645" spans="1:9">
      <c r="A645">
        <f>CSV!B645</f>
        <v>0</v>
      </c>
      <c r="B645" s="13" t="e">
        <f>INDEX(Input!$D$2:$AC$500,
       MATCH(CPU_Formula!A645, Input!$J$2:$J$500, 0),
       MATCH("CPU model", Input!$D$1:$AC$1, 0))</f>
        <v>#N/A</v>
      </c>
      <c r="C645" s="13" t="str">
        <f t="shared" si="82"/>
        <v/>
      </c>
      <c r="D645" s="13" t="str">
        <f t="shared" si="83"/>
        <v/>
      </c>
      <c r="E645" s="13" t="str">
        <f t="shared" si="84"/>
        <v/>
      </c>
      <c r="F645" s="13" t="str">
        <f t="shared" si="85"/>
        <v/>
      </c>
      <c r="G645" s="13" t="str">
        <f t="shared" si="86"/>
        <v/>
      </c>
      <c r="H645" s="13" t="str">
        <f t="shared" si="87"/>
        <v/>
      </c>
      <c r="I645" t="str">
        <f t="shared" si="88"/>
        <v/>
      </c>
    </row>
    <row r="646" spans="1:9">
      <c r="A646">
        <f>CSV!B646</f>
        <v>0</v>
      </c>
      <c r="B646" s="13" t="e">
        <f>INDEX(Input!$D$2:$AC$500,
       MATCH(CPU_Formula!A646, Input!$J$2:$J$500, 0),
       MATCH("CPU model", Input!$D$1:$AC$1, 0))</f>
        <v>#N/A</v>
      </c>
      <c r="C646" s="13" t="str">
        <f t="shared" si="82"/>
        <v/>
      </c>
      <c r="D646" s="13" t="str">
        <f t="shared" si="83"/>
        <v/>
      </c>
      <c r="E646" s="13" t="str">
        <f t="shared" si="84"/>
        <v/>
      </c>
      <c r="F646" s="13" t="str">
        <f t="shared" si="85"/>
        <v/>
      </c>
      <c r="G646" s="13" t="str">
        <f t="shared" si="86"/>
        <v/>
      </c>
      <c r="H646" s="13" t="str">
        <f t="shared" si="87"/>
        <v/>
      </c>
      <c r="I646" t="str">
        <f t="shared" si="88"/>
        <v/>
      </c>
    </row>
    <row r="647" spans="1:9">
      <c r="A647">
        <f>CSV!B647</f>
        <v>0</v>
      </c>
      <c r="B647" s="13" t="e">
        <f>INDEX(Input!$D$2:$AC$500,
       MATCH(CPU_Formula!A647, Input!$J$2:$J$500, 0),
       MATCH("CPU model", Input!$D$1:$AC$1, 0))</f>
        <v>#N/A</v>
      </c>
      <c r="C647" s="13" t="str">
        <f t="shared" si="82"/>
        <v/>
      </c>
      <c r="D647" s="13" t="str">
        <f t="shared" si="83"/>
        <v/>
      </c>
      <c r="E647" s="13" t="str">
        <f t="shared" si="84"/>
        <v/>
      </c>
      <c r="F647" s="13" t="str">
        <f t="shared" si="85"/>
        <v/>
      </c>
      <c r="G647" s="13" t="str">
        <f t="shared" si="86"/>
        <v/>
      </c>
      <c r="H647" s="13" t="str">
        <f t="shared" si="87"/>
        <v/>
      </c>
      <c r="I647" t="str">
        <f t="shared" si="88"/>
        <v/>
      </c>
    </row>
    <row r="648" spans="1:9">
      <c r="A648">
        <f>CSV!B648</f>
        <v>0</v>
      </c>
      <c r="B648" s="13" t="e">
        <f>INDEX(Input!$D$2:$AC$500,
       MATCH(CPU_Formula!A648, Input!$J$2:$J$500, 0),
       MATCH("CPU model", Input!$D$1:$AC$1, 0))</f>
        <v>#N/A</v>
      </c>
      <c r="C648" s="13" t="str">
        <f t="shared" si="82"/>
        <v/>
      </c>
      <c r="D648" s="13" t="str">
        <f t="shared" si="83"/>
        <v/>
      </c>
      <c r="E648" s="13" t="str">
        <f t="shared" si="84"/>
        <v/>
      </c>
      <c r="F648" s="13" t="str">
        <f t="shared" si="85"/>
        <v/>
      </c>
      <c r="G648" s="13" t="str">
        <f t="shared" si="86"/>
        <v/>
      </c>
      <c r="H648" s="13" t="str">
        <f t="shared" si="87"/>
        <v/>
      </c>
      <c r="I648" t="str">
        <f t="shared" si="88"/>
        <v/>
      </c>
    </row>
    <row r="649" spans="1:9">
      <c r="A649">
        <f>CSV!B649</f>
        <v>0</v>
      </c>
      <c r="B649" s="13" t="e">
        <f>INDEX(Input!$D$2:$AC$500,
       MATCH(CPU_Formula!A649, Input!$J$2:$J$500, 0),
       MATCH("CPU model", Input!$D$1:$AC$1, 0))</f>
        <v>#N/A</v>
      </c>
      <c r="C649" s="13" t="str">
        <f t="shared" si="82"/>
        <v/>
      </c>
      <c r="D649" s="13" t="str">
        <f t="shared" si="83"/>
        <v/>
      </c>
      <c r="E649" s="13" t="str">
        <f t="shared" si="84"/>
        <v/>
      </c>
      <c r="F649" s="13" t="str">
        <f t="shared" si="85"/>
        <v/>
      </c>
      <c r="G649" s="13" t="str">
        <f t="shared" si="86"/>
        <v/>
      </c>
      <c r="H649" s="13" t="str">
        <f t="shared" si="87"/>
        <v/>
      </c>
      <c r="I649" t="str">
        <f t="shared" si="88"/>
        <v/>
      </c>
    </row>
    <row r="650" spans="1:9">
      <c r="A650">
        <f>CSV!B650</f>
        <v>0</v>
      </c>
      <c r="B650" s="13" t="e">
        <f>INDEX(Input!$D$2:$AC$500,
       MATCH(CPU_Formula!A650, Input!$J$2:$J$500, 0),
       MATCH("CPU model", Input!$D$1:$AC$1, 0))</f>
        <v>#N/A</v>
      </c>
      <c r="C650" s="13" t="str">
        <f t="shared" si="82"/>
        <v/>
      </c>
      <c r="D650" s="13" t="str">
        <f t="shared" si="83"/>
        <v/>
      </c>
      <c r="E650" s="13" t="str">
        <f t="shared" si="84"/>
        <v/>
      </c>
      <c r="F650" s="13" t="str">
        <f t="shared" si="85"/>
        <v/>
      </c>
      <c r="G650" s="13" t="str">
        <f t="shared" si="86"/>
        <v/>
      </c>
      <c r="H650" s="13" t="str">
        <f t="shared" si="87"/>
        <v/>
      </c>
      <c r="I650" t="str">
        <f t="shared" si="88"/>
        <v/>
      </c>
    </row>
    <row r="651" spans="1:9">
      <c r="A651">
        <f>CSV!B651</f>
        <v>0</v>
      </c>
      <c r="B651" s="13" t="e">
        <f>INDEX(Input!$D$2:$AC$500,
       MATCH(CPU_Formula!A651, Input!$J$2:$J$500, 0),
       MATCH("CPU model", Input!$D$1:$AC$1, 0))</f>
        <v>#N/A</v>
      </c>
      <c r="C651" s="13" t="str">
        <f t="shared" si="82"/>
        <v/>
      </c>
      <c r="D651" s="13" t="str">
        <f t="shared" si="83"/>
        <v/>
      </c>
      <c r="E651" s="13" t="str">
        <f t="shared" si="84"/>
        <v/>
      </c>
      <c r="F651" s="13" t="str">
        <f t="shared" si="85"/>
        <v/>
      </c>
      <c r="G651" s="13" t="str">
        <f t="shared" si="86"/>
        <v/>
      </c>
      <c r="H651" s="13" t="str">
        <f t="shared" si="87"/>
        <v/>
      </c>
      <c r="I651" t="str">
        <f t="shared" si="88"/>
        <v/>
      </c>
    </row>
    <row r="652" spans="1:9">
      <c r="A652">
        <f>CSV!B652</f>
        <v>0</v>
      </c>
      <c r="B652" s="13" t="e">
        <f>INDEX(Input!$D$2:$AC$500,
       MATCH(CPU_Formula!A652, Input!$J$2:$J$500, 0),
       MATCH("CPU model", Input!$D$1:$AC$1, 0))</f>
        <v>#N/A</v>
      </c>
      <c r="C652" s="13" t="str">
        <f t="shared" si="82"/>
        <v/>
      </c>
      <c r="D652" s="13" t="str">
        <f t="shared" si="83"/>
        <v/>
      </c>
      <c r="E652" s="13" t="str">
        <f t="shared" si="84"/>
        <v/>
      </c>
      <c r="F652" s="13" t="str">
        <f t="shared" si="85"/>
        <v/>
      </c>
      <c r="G652" s="13" t="str">
        <f t="shared" si="86"/>
        <v/>
      </c>
      <c r="H652" s="13" t="str">
        <f t="shared" si="87"/>
        <v/>
      </c>
      <c r="I652" t="str">
        <f t="shared" si="88"/>
        <v/>
      </c>
    </row>
    <row r="653" spans="1:9">
      <c r="A653">
        <f>CSV!B653</f>
        <v>0</v>
      </c>
      <c r="B653" s="13" t="e">
        <f>INDEX(Input!$D$2:$AC$500,
       MATCH(CPU_Formula!A653, Input!$J$2:$J$500, 0),
       MATCH("CPU model", Input!$D$1:$AC$1, 0))</f>
        <v>#N/A</v>
      </c>
      <c r="C653" s="13" t="str">
        <f t="shared" si="82"/>
        <v/>
      </c>
      <c r="D653" s="13" t="str">
        <f t="shared" si="83"/>
        <v/>
      </c>
      <c r="E653" s="13" t="str">
        <f t="shared" si="84"/>
        <v/>
      </c>
      <c r="F653" s="13" t="str">
        <f t="shared" si="85"/>
        <v/>
      </c>
      <c r="G653" s="13" t="str">
        <f t="shared" si="86"/>
        <v/>
      </c>
      <c r="H653" s="13" t="str">
        <f t="shared" si="87"/>
        <v/>
      </c>
      <c r="I653" t="str">
        <f t="shared" si="88"/>
        <v/>
      </c>
    </row>
    <row r="654" spans="1:9">
      <c r="A654">
        <f>CSV!B654</f>
        <v>0</v>
      </c>
      <c r="B654" s="13" t="e">
        <f>INDEX(Input!$D$2:$AC$500,
       MATCH(CPU_Formula!A654, Input!$J$2:$J$500, 0),
       MATCH("CPU model", Input!$D$1:$AC$1, 0))</f>
        <v>#N/A</v>
      </c>
      <c r="C654" s="13" t="str">
        <f t="shared" si="82"/>
        <v/>
      </c>
      <c r="D654" s="13" t="str">
        <f t="shared" si="83"/>
        <v/>
      </c>
      <c r="E654" s="13" t="str">
        <f t="shared" si="84"/>
        <v/>
      </c>
      <c r="F654" s="13" t="str">
        <f t="shared" si="85"/>
        <v/>
      </c>
      <c r="G654" s="13" t="str">
        <f t="shared" si="86"/>
        <v/>
      </c>
      <c r="H654" s="13" t="str">
        <f t="shared" si="87"/>
        <v/>
      </c>
      <c r="I654" t="str">
        <f t="shared" si="88"/>
        <v/>
      </c>
    </row>
    <row r="655" spans="1:9">
      <c r="A655">
        <f>CSV!B655</f>
        <v>0</v>
      </c>
      <c r="B655" s="13" t="e">
        <f>INDEX(Input!$D$2:$AC$500,
       MATCH(CPU_Formula!A655, Input!$J$2:$J$500, 0),
       MATCH("CPU model", Input!$D$1:$AC$1, 0))</f>
        <v>#N/A</v>
      </c>
      <c r="C655" s="13" t="str">
        <f t="shared" si="82"/>
        <v/>
      </c>
      <c r="D655" s="13" t="str">
        <f t="shared" si="83"/>
        <v/>
      </c>
      <c r="E655" s="13" t="str">
        <f t="shared" si="84"/>
        <v/>
      </c>
      <c r="F655" s="13" t="str">
        <f t="shared" si="85"/>
        <v/>
      </c>
      <c r="G655" s="13" t="str">
        <f t="shared" si="86"/>
        <v/>
      </c>
      <c r="H655" s="13" t="str">
        <f t="shared" si="87"/>
        <v/>
      </c>
      <c r="I655" t="str">
        <f t="shared" si="88"/>
        <v/>
      </c>
    </row>
    <row r="656" spans="1:9">
      <c r="A656">
        <f>CSV!B656</f>
        <v>0</v>
      </c>
      <c r="B656" s="13" t="e">
        <f>INDEX(Input!$D$2:$AC$500,
       MATCH(CPU_Formula!A656, Input!$J$2:$J$500, 0),
       MATCH("CPU model", Input!$D$1:$AC$1, 0))</f>
        <v>#N/A</v>
      </c>
      <c r="C656" s="13" t="str">
        <f t="shared" si="82"/>
        <v/>
      </c>
      <c r="D656" s="13" t="str">
        <f t="shared" si="83"/>
        <v/>
      </c>
      <c r="E656" s="13" t="str">
        <f t="shared" si="84"/>
        <v/>
      </c>
      <c r="F656" s="13" t="str">
        <f t="shared" si="85"/>
        <v/>
      </c>
      <c r="G656" s="13" t="str">
        <f t="shared" si="86"/>
        <v/>
      </c>
      <c r="H656" s="13" t="str">
        <f t="shared" si="87"/>
        <v/>
      </c>
      <c r="I656" t="str">
        <f t="shared" si="88"/>
        <v/>
      </c>
    </row>
    <row r="657" spans="1:9">
      <c r="A657">
        <f>CSV!B657</f>
        <v>0</v>
      </c>
      <c r="B657" s="13" t="e">
        <f>INDEX(Input!$D$2:$AC$500,
       MATCH(CPU_Formula!A657, Input!$J$2:$J$500, 0),
       MATCH("CPU model", Input!$D$1:$AC$1, 0))</f>
        <v>#N/A</v>
      </c>
      <c r="C657" s="13" t="str">
        <f t="shared" si="82"/>
        <v/>
      </c>
      <c r="D657" s="13" t="str">
        <f t="shared" si="83"/>
        <v/>
      </c>
      <c r="E657" s="13" t="str">
        <f t="shared" si="84"/>
        <v/>
      </c>
      <c r="F657" s="13" t="str">
        <f t="shared" si="85"/>
        <v/>
      </c>
      <c r="G657" s="13" t="str">
        <f t="shared" si="86"/>
        <v/>
      </c>
      <c r="H657" s="13" t="str">
        <f t="shared" si="87"/>
        <v/>
      </c>
      <c r="I657" t="str">
        <f t="shared" si="88"/>
        <v/>
      </c>
    </row>
    <row r="658" spans="1:9">
      <c r="A658">
        <f>CSV!B658</f>
        <v>0</v>
      </c>
      <c r="B658" s="13" t="e">
        <f>INDEX(Input!$D$2:$AC$500,
       MATCH(CPU_Formula!A658, Input!$J$2:$J$500, 0),
       MATCH("CPU model", Input!$D$1:$AC$1, 0))</f>
        <v>#N/A</v>
      </c>
      <c r="C658" s="13" t="str">
        <f t="shared" si="82"/>
        <v/>
      </c>
      <c r="D658" s="13" t="str">
        <f t="shared" si="83"/>
        <v/>
      </c>
      <c r="E658" s="13" t="str">
        <f t="shared" si="84"/>
        <v/>
      </c>
      <c r="F658" s="13" t="str">
        <f t="shared" si="85"/>
        <v/>
      </c>
      <c r="G658" s="13" t="str">
        <f t="shared" si="86"/>
        <v/>
      </c>
      <c r="H658" s="13" t="str">
        <f t="shared" si="87"/>
        <v/>
      </c>
      <c r="I658" t="str">
        <f t="shared" si="88"/>
        <v/>
      </c>
    </row>
    <row r="659" spans="1:9">
      <c r="A659">
        <f>CSV!B659</f>
        <v>0</v>
      </c>
      <c r="B659" s="13" t="e">
        <f>INDEX(Input!$D$2:$AC$500,
       MATCH(CPU_Formula!A659, Input!$J$2:$J$500, 0),
       MATCH("CPU model", Input!$D$1:$AC$1, 0))</f>
        <v>#N/A</v>
      </c>
      <c r="C659" s="13" t="str">
        <f t="shared" si="82"/>
        <v/>
      </c>
      <c r="D659" s="13" t="str">
        <f t="shared" si="83"/>
        <v/>
      </c>
      <c r="E659" s="13" t="str">
        <f t="shared" si="84"/>
        <v/>
      </c>
      <c r="F659" s="13" t="str">
        <f t="shared" si="85"/>
        <v/>
      </c>
      <c r="G659" s="13" t="str">
        <f t="shared" si="86"/>
        <v/>
      </c>
      <c r="H659" s="13" t="str">
        <f t="shared" si="87"/>
        <v/>
      </c>
      <c r="I659" t="str">
        <f t="shared" si="88"/>
        <v/>
      </c>
    </row>
    <row r="660" spans="1:9">
      <c r="A660">
        <f>CSV!B660</f>
        <v>0</v>
      </c>
      <c r="B660" s="13" t="e">
        <f>INDEX(Input!$D$2:$AC$500,
       MATCH(CPU_Formula!A660, Input!$J$2:$J$500, 0),
       MATCH("CPU model", Input!$D$1:$AC$1, 0))</f>
        <v>#N/A</v>
      </c>
      <c r="C660" s="13" t="str">
        <f t="shared" si="82"/>
        <v/>
      </c>
      <c r="D660" s="13" t="str">
        <f t="shared" si="83"/>
        <v/>
      </c>
      <c r="E660" s="13" t="str">
        <f t="shared" si="84"/>
        <v/>
      </c>
      <c r="F660" s="13" t="str">
        <f t="shared" si="85"/>
        <v/>
      </c>
      <c r="G660" s="13" t="str">
        <f t="shared" si="86"/>
        <v/>
      </c>
      <c r="H660" s="13" t="str">
        <f t="shared" si="87"/>
        <v/>
      </c>
      <c r="I660" t="str">
        <f t="shared" si="88"/>
        <v/>
      </c>
    </row>
    <row r="661" spans="1:9">
      <c r="A661">
        <f>CSV!B661</f>
        <v>0</v>
      </c>
      <c r="B661" s="13" t="e">
        <f>INDEX(Input!$D$2:$AC$500,
       MATCH(CPU_Formula!A661, Input!$J$2:$J$500, 0),
       MATCH("CPU model", Input!$D$1:$AC$1, 0))</f>
        <v>#N/A</v>
      </c>
      <c r="C661" s="13" t="str">
        <f t="shared" si="82"/>
        <v/>
      </c>
      <c r="D661" s="13" t="str">
        <f t="shared" si="83"/>
        <v/>
      </c>
      <c r="E661" s="13" t="str">
        <f t="shared" si="84"/>
        <v/>
      </c>
      <c r="F661" s="13" t="str">
        <f t="shared" si="85"/>
        <v/>
      </c>
      <c r="G661" s="13" t="str">
        <f t="shared" si="86"/>
        <v/>
      </c>
      <c r="H661" s="13" t="str">
        <f t="shared" si="87"/>
        <v/>
      </c>
      <c r="I661" t="str">
        <f t="shared" si="88"/>
        <v/>
      </c>
    </row>
    <row r="662" spans="1:9">
      <c r="A662">
        <f>CSV!B662</f>
        <v>0</v>
      </c>
      <c r="B662" s="13" t="e">
        <f>INDEX(Input!$D$2:$AC$500,
       MATCH(CPU_Formula!A662, Input!$J$2:$J$500, 0),
       MATCH("CPU model", Input!$D$1:$AC$1, 0))</f>
        <v>#N/A</v>
      </c>
      <c r="C662" s="13" t="str">
        <f t="shared" si="82"/>
        <v/>
      </c>
      <c r="D662" s="13" t="str">
        <f t="shared" si="83"/>
        <v/>
      </c>
      <c r="E662" s="13" t="str">
        <f t="shared" si="84"/>
        <v/>
      </c>
      <c r="F662" s="13" t="str">
        <f t="shared" si="85"/>
        <v/>
      </c>
      <c r="G662" s="13" t="str">
        <f t="shared" si="86"/>
        <v/>
      </c>
      <c r="H662" s="13" t="str">
        <f t="shared" si="87"/>
        <v/>
      </c>
      <c r="I662" t="str">
        <f t="shared" si="88"/>
        <v/>
      </c>
    </row>
    <row r="663" spans="1:9">
      <c r="A663">
        <f>CSV!B663</f>
        <v>0</v>
      </c>
      <c r="B663" s="13" t="e">
        <f>INDEX(Input!$D$2:$AC$500,
       MATCH(CPU_Formula!A663, Input!$J$2:$J$500, 0),
       MATCH("CPU model", Input!$D$1:$AC$1, 0))</f>
        <v>#N/A</v>
      </c>
      <c r="C663" s="13" t="str">
        <f t="shared" si="82"/>
        <v/>
      </c>
      <c r="D663" s="13" t="str">
        <f t="shared" si="83"/>
        <v/>
      </c>
      <c r="E663" s="13" t="str">
        <f t="shared" si="84"/>
        <v/>
      </c>
      <c r="F663" s="13" t="str">
        <f t="shared" si="85"/>
        <v/>
      </c>
      <c r="G663" s="13" t="str">
        <f t="shared" si="86"/>
        <v/>
      </c>
      <c r="H663" s="13" t="str">
        <f t="shared" si="87"/>
        <v/>
      </c>
      <c r="I663" t="str">
        <f t="shared" si="88"/>
        <v/>
      </c>
    </row>
    <row r="664" spans="1:9">
      <c r="A664">
        <f>CSV!B664</f>
        <v>0</v>
      </c>
      <c r="B664" s="13" t="e">
        <f>INDEX(Input!$D$2:$AC$500,
       MATCH(CPU_Formula!A664, Input!$J$2:$J$500, 0),
       MATCH("CPU model", Input!$D$1:$AC$1, 0))</f>
        <v>#N/A</v>
      </c>
      <c r="C664" s="13" t="str">
        <f t="shared" si="82"/>
        <v/>
      </c>
      <c r="D664" s="13" t="str">
        <f t="shared" si="83"/>
        <v/>
      </c>
      <c r="E664" s="13" t="str">
        <f t="shared" si="84"/>
        <v/>
      </c>
      <c r="F664" s="13" t="str">
        <f t="shared" si="85"/>
        <v/>
      </c>
      <c r="G664" s="13" t="str">
        <f t="shared" si="86"/>
        <v/>
      </c>
      <c r="H664" s="13" t="str">
        <f t="shared" si="87"/>
        <v/>
      </c>
      <c r="I664" t="str">
        <f t="shared" si="88"/>
        <v/>
      </c>
    </row>
    <row r="665" spans="1:9">
      <c r="A665">
        <f>CSV!B665</f>
        <v>0</v>
      </c>
      <c r="B665" s="13" t="e">
        <f>INDEX(Input!$D$2:$AC$500,
       MATCH(CPU_Formula!A665, Input!$J$2:$J$500, 0),
       MATCH("CPU model", Input!$D$1:$AC$1, 0))</f>
        <v>#N/A</v>
      </c>
      <c r="C665" s="13" t="str">
        <f t="shared" si="82"/>
        <v/>
      </c>
      <c r="D665" s="13" t="str">
        <f t="shared" si="83"/>
        <v/>
      </c>
      <c r="E665" s="13" t="str">
        <f t="shared" si="84"/>
        <v/>
      </c>
      <c r="F665" s="13" t="str">
        <f t="shared" si="85"/>
        <v/>
      </c>
      <c r="G665" s="13" t="str">
        <f t="shared" si="86"/>
        <v/>
      </c>
      <c r="H665" s="13" t="str">
        <f t="shared" si="87"/>
        <v/>
      </c>
      <c r="I665" t="str">
        <f t="shared" si="88"/>
        <v/>
      </c>
    </row>
    <row r="666" spans="1:9">
      <c r="A666">
        <f>CSV!B666</f>
        <v>0</v>
      </c>
      <c r="B666" s="13" t="e">
        <f>INDEX(Input!$D$2:$AC$500,
       MATCH(CPU_Formula!A666, Input!$J$2:$J$500, 0),
       MATCH("CPU model", Input!$D$1:$AC$1, 0))</f>
        <v>#N/A</v>
      </c>
      <c r="C666" s="13" t="str">
        <f t="shared" si="82"/>
        <v/>
      </c>
      <c r="D666" s="13" t="str">
        <f t="shared" si="83"/>
        <v/>
      </c>
      <c r="E666" s="13" t="str">
        <f t="shared" si="84"/>
        <v/>
      </c>
      <c r="F666" s="13" t="str">
        <f t="shared" si="85"/>
        <v/>
      </c>
      <c r="G666" s="13" t="str">
        <f t="shared" si="86"/>
        <v/>
      </c>
      <c r="H666" s="13" t="str">
        <f t="shared" si="87"/>
        <v/>
      </c>
      <c r="I666" t="str">
        <f t="shared" si="88"/>
        <v/>
      </c>
    </row>
    <row r="667" spans="1:9">
      <c r="A667">
        <f>CSV!B667</f>
        <v>0</v>
      </c>
      <c r="B667" s="13" t="e">
        <f>INDEX(Input!$D$2:$AC$500,
       MATCH(CPU_Formula!A667, Input!$J$2:$J$500, 0),
       MATCH("CPU model", Input!$D$1:$AC$1, 0))</f>
        <v>#N/A</v>
      </c>
      <c r="C667" s="13" t="str">
        <f t="shared" si="82"/>
        <v/>
      </c>
      <c r="D667" s="13" t="str">
        <f t="shared" si="83"/>
        <v/>
      </c>
      <c r="E667" s="13" t="str">
        <f t="shared" si="84"/>
        <v/>
      </c>
      <c r="F667" s="13" t="str">
        <f t="shared" si="85"/>
        <v/>
      </c>
      <c r="G667" s="13" t="str">
        <f t="shared" si="86"/>
        <v/>
      </c>
      <c r="H667" s="13" t="str">
        <f t="shared" si="87"/>
        <v/>
      </c>
      <c r="I667" t="str">
        <f t="shared" si="88"/>
        <v/>
      </c>
    </row>
    <row r="668" spans="1:9">
      <c r="A668">
        <f>CSV!B668</f>
        <v>0</v>
      </c>
      <c r="B668" s="13" t="e">
        <f>INDEX(Input!$D$2:$AC$500,
       MATCH(CPU_Formula!A668, Input!$J$2:$J$500, 0),
       MATCH("CPU model", Input!$D$1:$AC$1, 0))</f>
        <v>#N/A</v>
      </c>
      <c r="C668" s="13" t="str">
        <f t="shared" si="82"/>
        <v/>
      </c>
      <c r="D668" s="13" t="str">
        <f t="shared" si="83"/>
        <v/>
      </c>
      <c r="E668" s="13" t="str">
        <f t="shared" si="84"/>
        <v/>
      </c>
      <c r="F668" s="13" t="str">
        <f t="shared" si="85"/>
        <v/>
      </c>
      <c r="G668" s="13" t="str">
        <f t="shared" si="86"/>
        <v/>
      </c>
      <c r="H668" s="13" t="str">
        <f t="shared" si="87"/>
        <v/>
      </c>
      <c r="I668" t="str">
        <f t="shared" si="88"/>
        <v/>
      </c>
    </row>
    <row r="669" spans="1:9">
      <c r="A669">
        <f>CSV!B669</f>
        <v>0</v>
      </c>
      <c r="B669" s="13" t="e">
        <f>INDEX(Input!$D$2:$AC$500,
       MATCH(CPU_Formula!A669, Input!$J$2:$J$500, 0),
       MATCH("CPU model", Input!$D$1:$AC$1, 0))</f>
        <v>#N/A</v>
      </c>
      <c r="C669" s="13" t="str">
        <f t="shared" si="82"/>
        <v/>
      </c>
      <c r="D669" s="13" t="str">
        <f t="shared" si="83"/>
        <v/>
      </c>
      <c r="E669" s="13" t="str">
        <f t="shared" si="84"/>
        <v/>
      </c>
      <c r="F669" s="13" t="str">
        <f t="shared" si="85"/>
        <v/>
      </c>
      <c r="G669" s="13" t="str">
        <f t="shared" si="86"/>
        <v/>
      </c>
      <c r="H669" s="13" t="str">
        <f t="shared" si="87"/>
        <v/>
      </c>
      <c r="I669" t="str">
        <f t="shared" si="88"/>
        <v/>
      </c>
    </row>
    <row r="670" spans="1:9">
      <c r="A670">
        <f>CSV!B670</f>
        <v>0</v>
      </c>
      <c r="B670" s="13" t="e">
        <f>INDEX(Input!$D$2:$AC$500,
       MATCH(CPU_Formula!A670, Input!$J$2:$J$500, 0),
       MATCH("CPU model", Input!$D$1:$AC$1, 0))</f>
        <v>#N/A</v>
      </c>
      <c r="C670" s="13" t="str">
        <f t="shared" si="82"/>
        <v/>
      </c>
      <c r="D670" s="13" t="str">
        <f t="shared" si="83"/>
        <v/>
      </c>
      <c r="E670" s="13" t="str">
        <f t="shared" si="84"/>
        <v/>
      </c>
      <c r="F670" s="13" t="str">
        <f t="shared" si="85"/>
        <v/>
      </c>
      <c r="G670" s="13" t="str">
        <f t="shared" si="86"/>
        <v/>
      </c>
      <c r="H670" s="13" t="str">
        <f t="shared" si="87"/>
        <v/>
      </c>
      <c r="I670" t="str">
        <f t="shared" si="88"/>
        <v/>
      </c>
    </row>
    <row r="671" spans="1:9">
      <c r="C671" s="13" t="str">
        <f t="shared" ref="C671:C693" si="89">IFERROR(_xlfn.TEXTAFTER(B671,"Core(TM) "),IFERROR(_xlfn.TEXTAFTER(B671,"Xeon(R) CPU"),""))</f>
        <v/>
      </c>
    </row>
    <row r="672" spans="1:9">
      <c r="C672" s="13" t="str">
        <f t="shared" si="89"/>
        <v/>
      </c>
    </row>
    <row r="673" spans="3:3">
      <c r="C673" s="13" t="str">
        <f t="shared" si="89"/>
        <v/>
      </c>
    </row>
    <row r="674" spans="3:3">
      <c r="C674" s="13" t="str">
        <f t="shared" si="89"/>
        <v/>
      </c>
    </row>
    <row r="675" spans="3:3">
      <c r="C675" s="13" t="str">
        <f t="shared" si="89"/>
        <v/>
      </c>
    </row>
    <row r="676" spans="3:3">
      <c r="C676" s="13" t="str">
        <f t="shared" si="89"/>
        <v/>
      </c>
    </row>
    <row r="677" spans="3:3">
      <c r="C677" s="13" t="str">
        <f t="shared" si="89"/>
        <v/>
      </c>
    </row>
    <row r="678" spans="3:3">
      <c r="C678" s="13" t="str">
        <f t="shared" si="89"/>
        <v/>
      </c>
    </row>
    <row r="679" spans="3:3">
      <c r="C679" s="13" t="str">
        <f t="shared" si="89"/>
        <v/>
      </c>
    </row>
    <row r="680" spans="3:3">
      <c r="C680" s="13" t="str">
        <f t="shared" si="89"/>
        <v/>
      </c>
    </row>
    <row r="681" spans="3:3">
      <c r="C681" s="13" t="str">
        <f t="shared" si="89"/>
        <v/>
      </c>
    </row>
    <row r="682" spans="3:3">
      <c r="C682" s="13" t="str">
        <f t="shared" si="89"/>
        <v/>
      </c>
    </row>
    <row r="683" spans="3:3">
      <c r="C683" s="13" t="str">
        <f t="shared" si="89"/>
        <v/>
      </c>
    </row>
    <row r="684" spans="3:3">
      <c r="C684" s="13" t="str">
        <f t="shared" si="89"/>
        <v/>
      </c>
    </row>
    <row r="685" spans="3:3">
      <c r="C685" s="13" t="str">
        <f t="shared" si="89"/>
        <v/>
      </c>
    </row>
    <row r="686" spans="3:3">
      <c r="C686" s="13" t="str">
        <f t="shared" si="89"/>
        <v/>
      </c>
    </row>
    <row r="687" spans="3:3">
      <c r="C687" s="13" t="str">
        <f t="shared" si="89"/>
        <v/>
      </c>
    </row>
    <row r="688" spans="3:3">
      <c r="C688" s="13" t="str">
        <f t="shared" si="89"/>
        <v/>
      </c>
    </row>
    <row r="689" spans="3:3">
      <c r="C689" s="13" t="str">
        <f t="shared" si="89"/>
        <v/>
      </c>
    </row>
    <row r="690" spans="3:3">
      <c r="C690" s="13" t="str">
        <f t="shared" si="89"/>
        <v/>
      </c>
    </row>
    <row r="691" spans="3:3">
      <c r="C691" s="13" t="str">
        <f t="shared" si="89"/>
        <v/>
      </c>
    </row>
    <row r="692" spans="3:3">
      <c r="C692" s="13" t="str">
        <f t="shared" si="89"/>
        <v/>
      </c>
    </row>
    <row r="693" spans="3:3">
      <c r="C693" s="13" t="str">
        <f t="shared" si="89"/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AB812"/>
  <sheetViews>
    <sheetView workbookViewId="0">
      <selection activeCell="G22" sqref="G22"/>
    </sheetView>
  </sheetViews>
  <sheetFormatPr defaultRowHeight="15"/>
  <cols>
    <col min="2" max="2" width="19.42578125" customWidth="1"/>
    <col min="7" max="7" width="21.85546875" style="13" customWidth="1"/>
    <col min="8" max="8" width="19.28515625" customWidth="1"/>
    <col min="11" max="11" width="12.42578125" customWidth="1"/>
    <col min="14" max="15" width="16" style="13" customWidth="1"/>
    <col min="16" max="18" width="35.28515625" style="13" customWidth="1"/>
    <col min="19" max="19" width="63.42578125" customWidth="1"/>
    <col min="20" max="20" width="20.28515625" customWidth="1"/>
    <col min="21" max="21" width="22.28515625" customWidth="1"/>
    <col min="22" max="22" width="21" customWidth="1"/>
    <col min="23" max="23" width="21.42578125" customWidth="1"/>
    <col min="28" max="28" width="20.7109375" customWidth="1"/>
  </cols>
  <sheetData>
    <row r="1" spans="1:28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2" t="s">
        <v>273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2" t="s">
        <v>275</v>
      </c>
      <c r="O1" s="12" t="s">
        <v>274</v>
      </c>
      <c r="P1" s="12" t="s">
        <v>18</v>
      </c>
      <c r="Q1" s="12" t="s">
        <v>276</v>
      </c>
      <c r="R1" s="12" t="s">
        <v>277</v>
      </c>
      <c r="S1" s="17" t="s">
        <v>12</v>
      </c>
      <c r="T1" s="1" t="s">
        <v>13</v>
      </c>
      <c r="U1" s="1" t="s">
        <v>14</v>
      </c>
      <c r="V1" s="1" t="s">
        <v>15</v>
      </c>
      <c r="W1" s="1" t="s">
        <v>16</v>
      </c>
      <c r="X1" s="1" t="s">
        <v>17</v>
      </c>
      <c r="Y1" s="1" t="s">
        <v>18</v>
      </c>
      <c r="Z1" s="1" t="s">
        <v>19</v>
      </c>
      <c r="AA1" s="1" t="s">
        <v>20</v>
      </c>
      <c r="AB1" s="37" t="s">
        <v>488</v>
      </c>
    </row>
    <row r="2" spans="1:28" ht="15.75" thickTop="1">
      <c r="A2" t="str">
        <f>MacReports!A2</f>
        <v/>
      </c>
      <c r="B2">
        <f>MacReports!B2</f>
        <v>0</v>
      </c>
      <c r="C2">
        <f>MacReports!C2</f>
        <v>0</v>
      </c>
      <c r="E2" t="e">
        <f>_xlfn.XLOOKUP(G2,Models!A:A,Models!F:F)</f>
        <v>#N/A</v>
      </c>
      <c r="F2" t="str">
        <f>_xlfn.XLOOKUP(B2,MacReports!B:B,MacReports!D:D,"")</f>
        <v/>
      </c>
      <c r="G2" s="13">
        <f>MacReports!E2</f>
        <v>0</v>
      </c>
      <c r="H2">
        <f>_xlfn.XLOOKUP(G2,Models!A:A,Models!B:B,G2)</f>
        <v>0</v>
      </c>
      <c r="I2" t="e">
        <f>_xlfn.XLOOKUP(G2,Models!A:A,Models!E:E)</f>
        <v>#N/A</v>
      </c>
      <c r="J2" t="e">
        <f>_xlfn.XLOOKUP(G2,Models!A:A,Models!D:D)</f>
        <v>#N/A</v>
      </c>
      <c r="K2">
        <f>MacReports!F2</f>
        <v>0</v>
      </c>
      <c r="L2">
        <f>MacReports!G2</f>
        <v>0</v>
      </c>
      <c r="M2" s="15" t="e" cm="1">
        <f t="array" ref="M2">--_xlfn.LET(
    _xlpm.txt, MacReports!H2,
    _xlpm.chars, MID(_xlpm.txt, _xlfn.SEQUENCE(LEN(_xlpm.txt)), 1),
    _xlfn.TEXTJOIN("", TRUE, IF(ISNUMBER(--_xlpm.chars), _xlpm.chars, ""))
)</f>
        <v>#VALUE!</v>
      </c>
      <c r="N2" s="16" t="str" cm="1">
        <f t="array" ref="N2">_xlfn.IFS(
   --MacReports!M2&lt;55,"Battery Defect",
  -- MacReports!M2&lt;=69,"Battery D",
  --MacReports!M2&lt;=80,"Battery C",
 --MacReports!M2&gt;80,""
)</f>
        <v>Battery Defect</v>
      </c>
      <c r="O2" s="16" t="str">
        <f>IF(MacReports!I2="Service","Battery Service","")</f>
        <v/>
      </c>
      <c r="P2" s="13">
        <f>MacReports!P2</f>
        <v>0</v>
      </c>
      <c r="Q2" s="13" t="str">
        <f>IF(MacReports!J2="Enabled","Apple ID Lock","")</f>
        <v/>
      </c>
      <c r="R2" s="13" t="str">
        <f>IF(MacReports!L2="y","Remote Locked","")</f>
        <v/>
      </c>
      <c r="S2" t="str">
        <f t="shared" ref="S2:S9" si="0">_xlfn.TEXTJOIN(", ",TRUE,Q2,R2,N2,O2,P2)</f>
        <v>Battery Defect, 0</v>
      </c>
      <c r="T2" t="str">
        <f>_xlfn.XLOOKUP(B2,Disk_Pivot!G:G,Disk_Pivot!I:I)</f>
        <v>Yes x2</v>
      </c>
      <c r="U2" t="str">
        <f>_xlfn.XLOOKUP(B2,Disk_Pivot!G:G,Disk_Pivot!N:N)</f>
        <v>Pass, Fail</v>
      </c>
      <c r="V2" t="str">
        <f>IF(U2="Fail",MacReports!N2,"")</f>
        <v/>
      </c>
      <c r="AB2" t="str">
        <f>_xlfn.TEXTJOIN(", ",TRUE,Q2,R2)</f>
        <v/>
      </c>
    </row>
    <row r="3" spans="1:28">
      <c r="A3" t="str">
        <f>MacReports!A3</f>
        <v/>
      </c>
      <c r="B3">
        <f>MacReports!B3</f>
        <v>0</v>
      </c>
      <c r="C3">
        <f>MacReports!C3</f>
        <v>0</v>
      </c>
      <c r="E3" t="e">
        <f>_xlfn.XLOOKUP(G3,Models!A:A,Models!F:F)</f>
        <v>#N/A</v>
      </c>
      <c r="F3" t="str">
        <f>_xlfn.XLOOKUP(B3,MacReports!B:B,MacReports!D:D,"")</f>
        <v/>
      </c>
      <c r="G3" s="13">
        <f>MacReports!E3</f>
        <v>0</v>
      </c>
      <c r="H3" t="e">
        <f>_xlfn.XLOOKUP(G3,Models!A:A,Models!B:B)</f>
        <v>#N/A</v>
      </c>
      <c r="I3" t="e">
        <f>_xlfn.XLOOKUP(G3,Models!A:A,Models!E:E)</f>
        <v>#N/A</v>
      </c>
      <c r="J3" t="e">
        <f>_xlfn.XLOOKUP(G3,Models!A:A,Models!D:D)</f>
        <v>#N/A</v>
      </c>
      <c r="K3">
        <f>MacReports!F3</f>
        <v>0</v>
      </c>
      <c r="L3">
        <f>MacReports!G3</f>
        <v>0</v>
      </c>
      <c r="M3" s="15" t="e" cm="1">
        <f t="array" ref="M3">--_xlfn.LET(
    _xlpm.txt, MacReports!H3,
    _xlpm.chars, MID(_xlpm.txt, _xlfn.SEQUENCE(LEN(_xlpm.txt)), 1),
    _xlfn.TEXTJOIN("", TRUE, IF(ISNUMBER(--_xlpm.chars), _xlpm.chars, ""))
)</f>
        <v>#VALUE!</v>
      </c>
      <c r="N3" s="16" t="str" cm="1">
        <f t="array" ref="N3">_xlfn.IFS(
   --MacReports!M3&lt;55,"Battery Defect",
  -- MacReports!M3&lt;=69,"Battery D",
  --MacReports!M3&lt;=80,"Battery C",
 --MacReports!M3&gt;80,""
)</f>
        <v>Battery Defect</v>
      </c>
      <c r="O3" s="16" t="str">
        <f>IF(MacReports!I3="Service","Battery Service","")</f>
        <v/>
      </c>
      <c r="P3" s="13">
        <f>MacReports!P3</f>
        <v>0</v>
      </c>
      <c r="Q3" s="13" t="str">
        <f>IF(MacReports!J3="Enabled","Apple ID Lock","")</f>
        <v/>
      </c>
      <c r="R3" s="13" t="str">
        <f>IF(MacReports!L3="y","Remote Locked","")</f>
        <v/>
      </c>
      <c r="S3" t="str">
        <f t="shared" si="0"/>
        <v>Battery Defect, 0</v>
      </c>
      <c r="T3" t="str">
        <f>_xlfn.XLOOKUP(B3,Disk_Pivot!G:G,Disk_Pivot!I:I)</f>
        <v>Yes x2</v>
      </c>
      <c r="U3" t="str">
        <f>_xlfn.XLOOKUP(B3,Disk_Pivot!G:G,Disk_Pivot!N:N)</f>
        <v>Pass, Fail</v>
      </c>
      <c r="V3" t="str">
        <f>IF(U3="Fail",MacReports!N3,"")</f>
        <v/>
      </c>
      <c r="AB3" t="str">
        <f t="shared" ref="AB3:AB34" si="1">_xlfn.TEXTJOIN(", ",TRUE,Q3,R3)</f>
        <v/>
      </c>
    </row>
    <row r="4" spans="1:28">
      <c r="A4" t="str">
        <f>MacReports!A4</f>
        <v/>
      </c>
      <c r="B4">
        <f>MacReports!B4</f>
        <v>0</v>
      </c>
      <c r="C4">
        <f>MacReports!C4</f>
        <v>0</v>
      </c>
      <c r="E4" t="e">
        <f>_xlfn.XLOOKUP(G4,Models!A:A,Models!F:F)</f>
        <v>#N/A</v>
      </c>
      <c r="F4" t="str">
        <f>_xlfn.XLOOKUP(B4,MacReports!B:B,MacReports!D:D,"")</f>
        <v/>
      </c>
      <c r="G4" s="13">
        <f>MacReports!E4</f>
        <v>0</v>
      </c>
      <c r="H4" t="e">
        <f>_xlfn.XLOOKUP(G4,Models!A:A,Models!B:B)</f>
        <v>#N/A</v>
      </c>
      <c r="I4" t="e">
        <f>_xlfn.XLOOKUP(G4,Models!A:A,Models!E:E)</f>
        <v>#N/A</v>
      </c>
      <c r="J4" t="e">
        <f>_xlfn.XLOOKUP(G4,Models!A:A,Models!D:D)</f>
        <v>#N/A</v>
      </c>
      <c r="K4">
        <f>MacReports!F4</f>
        <v>0</v>
      </c>
      <c r="L4">
        <f>MacReports!G4</f>
        <v>0</v>
      </c>
      <c r="M4" s="15" t="e" cm="1">
        <f t="array" ref="M4">--_xlfn.LET(
    _xlpm.txt, MacReports!H4,
    _xlpm.chars, MID(_xlpm.txt, _xlfn.SEQUENCE(LEN(_xlpm.txt)), 1),
    _xlfn.TEXTJOIN("", TRUE, IF(ISNUMBER(--_xlpm.chars), _xlpm.chars, ""))
)</f>
        <v>#VALUE!</v>
      </c>
      <c r="N4" s="16" t="str" cm="1">
        <f t="array" ref="N4">_xlfn.IFS(
   --MacReports!M4&lt;55,"Battery Defect",
  -- MacReports!M4&lt;=69,"Battery D",
  --MacReports!M4&lt;=80,"Battery C",
 --MacReports!M4&gt;80,""
)</f>
        <v>Battery Defect</v>
      </c>
      <c r="O4" s="16" t="str">
        <f>IF(MacReports!I4="Service","Battery Service","")</f>
        <v/>
      </c>
      <c r="P4" s="13">
        <f>MacReports!P4</f>
        <v>0</v>
      </c>
      <c r="Q4" s="13" t="str">
        <f>IF(MacReports!J4="Enabled","Apple ID Lock","")</f>
        <v/>
      </c>
      <c r="R4" s="13" t="str">
        <f>IF(MacReports!L4="y","Remote Locked","")</f>
        <v/>
      </c>
      <c r="S4" t="str">
        <f t="shared" si="0"/>
        <v>Battery Defect, 0</v>
      </c>
      <c r="T4" t="str">
        <f>_xlfn.XLOOKUP(B4,Disk_Pivot!G:G,Disk_Pivot!I:I)</f>
        <v>Yes x2</v>
      </c>
      <c r="U4" t="str">
        <f>_xlfn.XLOOKUP(B4,Disk_Pivot!G:G,Disk_Pivot!N:N)</f>
        <v>Pass, Fail</v>
      </c>
      <c r="V4" t="str">
        <f>IF(U4="Fail",MacReports!N4,"")</f>
        <v/>
      </c>
      <c r="AB4" t="str">
        <f t="shared" si="1"/>
        <v/>
      </c>
    </row>
    <row r="5" spans="1:28">
      <c r="A5" t="str">
        <f>MacReports!A5</f>
        <v/>
      </c>
      <c r="B5">
        <f>MacReports!B5</f>
        <v>0</v>
      </c>
      <c r="C5">
        <f>MacReports!C5</f>
        <v>0</v>
      </c>
      <c r="E5" t="e">
        <f>_xlfn.XLOOKUP(G5,Models!A:A,Models!F:F)</f>
        <v>#N/A</v>
      </c>
      <c r="F5" t="str">
        <f>_xlfn.XLOOKUP(B5,MacReports!B:B,MacReports!D:D,"")</f>
        <v/>
      </c>
      <c r="G5" s="13">
        <f>MacReports!E5</f>
        <v>0</v>
      </c>
      <c r="H5" t="e">
        <f>_xlfn.XLOOKUP(G5,Models!A:A,Models!B:B)</f>
        <v>#N/A</v>
      </c>
      <c r="I5" t="e">
        <f>_xlfn.XLOOKUP(G5,Models!A:A,Models!E:E)</f>
        <v>#N/A</v>
      </c>
      <c r="J5" t="e">
        <f>_xlfn.XLOOKUP(G5,Models!A:A,Models!D:D)</f>
        <v>#N/A</v>
      </c>
      <c r="K5">
        <f>MacReports!F5</f>
        <v>0</v>
      </c>
      <c r="L5">
        <f>MacReports!G5</f>
        <v>0</v>
      </c>
      <c r="M5" s="15" t="e" cm="1">
        <f t="array" ref="M5">--_xlfn.LET(
    _xlpm.txt, MacReports!H5,
    _xlpm.chars, MID(_xlpm.txt, _xlfn.SEQUENCE(LEN(_xlpm.txt)), 1),
    _xlfn.TEXTJOIN("", TRUE, IF(ISNUMBER(--_xlpm.chars), _xlpm.chars, ""))
)</f>
        <v>#VALUE!</v>
      </c>
      <c r="N5" s="16" t="str" cm="1">
        <f t="array" ref="N5">_xlfn.IFS(
   --MacReports!M5&lt;55,"Battery Defect",
  -- MacReports!M5&lt;=69,"Battery D",
  --MacReports!M5&lt;=80,"Battery C",
 --MacReports!M5&gt;80,""
)</f>
        <v>Battery Defect</v>
      </c>
      <c r="O5" s="16" t="str">
        <f>IF(MacReports!I5="Service","Battery Service","")</f>
        <v/>
      </c>
      <c r="P5" s="13">
        <f>MacReports!P5</f>
        <v>0</v>
      </c>
      <c r="Q5" s="13" t="str">
        <f>IF(MacReports!J5="Enabled","Apple ID Lock","")</f>
        <v/>
      </c>
      <c r="R5" s="13" t="str">
        <f>IF(MacReports!L5="y","Remote Locked","")</f>
        <v/>
      </c>
      <c r="S5" t="str">
        <f t="shared" si="0"/>
        <v>Battery Defect, 0</v>
      </c>
      <c r="T5" t="str">
        <f>_xlfn.XLOOKUP(B5,Disk_Pivot!G:G,Disk_Pivot!I:I)</f>
        <v>Yes x2</v>
      </c>
      <c r="U5" t="str">
        <f>_xlfn.XLOOKUP(B5,Disk_Pivot!G:G,Disk_Pivot!N:N)</f>
        <v>Pass, Fail</v>
      </c>
      <c r="V5" t="str">
        <f>IF(U5="Fail",MacReports!N5,"")</f>
        <v/>
      </c>
      <c r="AB5" t="str">
        <f t="shared" si="1"/>
        <v/>
      </c>
    </row>
    <row r="6" spans="1:28">
      <c r="A6" t="str">
        <f>MacReports!A6</f>
        <v/>
      </c>
      <c r="B6">
        <f>MacReports!B6</f>
        <v>0</v>
      </c>
      <c r="C6">
        <f>MacReports!C6</f>
        <v>0</v>
      </c>
      <c r="E6" t="e">
        <f>_xlfn.XLOOKUP(G6,Models!A:A,Models!F:F)</f>
        <v>#N/A</v>
      </c>
      <c r="F6" t="str">
        <f>_xlfn.XLOOKUP(B6,MacReports!B:B,MacReports!D:D,"")</f>
        <v/>
      </c>
      <c r="G6" s="13">
        <f>MacReports!E6</f>
        <v>0</v>
      </c>
      <c r="H6" t="e">
        <f>_xlfn.XLOOKUP(G6,Models!A:A,Models!B:B)</f>
        <v>#N/A</v>
      </c>
      <c r="I6" t="e">
        <f>_xlfn.XLOOKUP(G6,Models!A:A,Models!E:E)</f>
        <v>#N/A</v>
      </c>
      <c r="J6" t="e">
        <f>_xlfn.XLOOKUP(G6,Models!A:A,Models!D:D)</f>
        <v>#N/A</v>
      </c>
      <c r="K6">
        <f>MacReports!F6</f>
        <v>0</v>
      </c>
      <c r="L6">
        <f>MacReports!G6</f>
        <v>0</v>
      </c>
      <c r="M6" s="15" t="e" cm="1">
        <f t="array" ref="M6">--_xlfn.LET(
    _xlpm.txt, MacReports!H6,
    _xlpm.chars, MID(_xlpm.txt, _xlfn.SEQUENCE(LEN(_xlpm.txt)), 1),
    _xlfn.TEXTJOIN("", TRUE, IF(ISNUMBER(--_xlpm.chars), _xlpm.chars, ""))
)</f>
        <v>#VALUE!</v>
      </c>
      <c r="N6" s="16" t="str" cm="1">
        <f t="array" ref="N6">_xlfn.IFS(
   --MacReports!M6&lt;55,"Battery Defect",
  -- MacReports!M6&lt;=69,"Battery D",
  --MacReports!M6&lt;=80,"Battery C",
 --MacReports!M6&gt;80,""
)</f>
        <v>Battery Defect</v>
      </c>
      <c r="O6" s="16" t="str">
        <f>IF(MacReports!I6="Service","Battery Service","")</f>
        <v/>
      </c>
      <c r="P6" s="13">
        <f>MacReports!P6</f>
        <v>0</v>
      </c>
      <c r="Q6" s="13" t="str">
        <f>IF(MacReports!J6="Enabled","Apple ID Lock","")</f>
        <v/>
      </c>
      <c r="R6" s="13" t="str">
        <f>IF(MacReports!L6="y","Remote Locked","")</f>
        <v/>
      </c>
      <c r="S6" t="str">
        <f t="shared" si="0"/>
        <v>Battery Defect, 0</v>
      </c>
      <c r="T6" t="str">
        <f>_xlfn.XLOOKUP(B6,Disk_Pivot!G:G,Disk_Pivot!I:I)</f>
        <v>Yes x2</v>
      </c>
      <c r="U6" t="str">
        <f>_xlfn.XLOOKUP(B6,Disk_Pivot!G:G,Disk_Pivot!N:N)</f>
        <v>Pass, Fail</v>
      </c>
      <c r="V6" t="str">
        <f>IF(U6="Fail",MacReports!N6,"")</f>
        <v/>
      </c>
      <c r="AB6" t="str">
        <f t="shared" si="1"/>
        <v/>
      </c>
    </row>
    <row r="7" spans="1:28">
      <c r="A7" t="str">
        <f>MacReports!A7</f>
        <v/>
      </c>
      <c r="B7">
        <f>MacReports!B7</f>
        <v>0</v>
      </c>
      <c r="C7">
        <f>MacReports!C7</f>
        <v>0</v>
      </c>
      <c r="E7" t="e">
        <f>_xlfn.XLOOKUP(G7,Models!A:A,Models!F:F)</f>
        <v>#N/A</v>
      </c>
      <c r="F7" t="str">
        <f>_xlfn.XLOOKUP(B7,MacReports!B:B,MacReports!D:D,"")</f>
        <v/>
      </c>
      <c r="G7" s="13">
        <f>MacReports!E7</f>
        <v>0</v>
      </c>
      <c r="H7" t="e">
        <f>_xlfn.XLOOKUP(G7,Models!A:A,Models!B:B)</f>
        <v>#N/A</v>
      </c>
      <c r="I7" t="e">
        <f>_xlfn.XLOOKUP(G7,Models!A:A,Models!E:E)</f>
        <v>#N/A</v>
      </c>
      <c r="J7" t="e">
        <f>_xlfn.XLOOKUP(G7,Models!A:A,Models!D:D)</f>
        <v>#N/A</v>
      </c>
      <c r="K7">
        <f>MacReports!F7</f>
        <v>0</v>
      </c>
      <c r="L7">
        <f>MacReports!G7</f>
        <v>0</v>
      </c>
      <c r="M7" s="15" t="e" cm="1">
        <f t="array" ref="M7">--_xlfn.LET(
    _xlpm.txt, MacReports!H7,
    _xlpm.chars, MID(_xlpm.txt, _xlfn.SEQUENCE(LEN(_xlpm.txt)), 1),
    _xlfn.TEXTJOIN("", TRUE, IF(ISNUMBER(--_xlpm.chars), _xlpm.chars, ""))
)</f>
        <v>#VALUE!</v>
      </c>
      <c r="N7" s="16" t="str" cm="1">
        <f t="array" ref="N7">_xlfn.IFS(
   --MacReports!M7&lt;55,"Battery Defect",
  -- MacReports!M7&lt;=69,"Battery D",
  --MacReports!M7&lt;=80,"Battery C",
 --MacReports!M7&gt;80,""
)</f>
        <v>Battery Defect</v>
      </c>
      <c r="O7" s="16" t="str">
        <f>IF(MacReports!I7="Service","Battery Service","")</f>
        <v/>
      </c>
      <c r="P7" s="13">
        <f>MacReports!P7</f>
        <v>0</v>
      </c>
      <c r="Q7" s="13" t="str">
        <f>IF(MacReports!J7="Enabled","Apple ID Lock","")</f>
        <v/>
      </c>
      <c r="R7" s="13" t="str">
        <f>IF(MacReports!L7="y","Remote Locked","")</f>
        <v/>
      </c>
      <c r="S7" t="str">
        <f t="shared" si="0"/>
        <v>Battery Defect, 0</v>
      </c>
      <c r="T7" t="str">
        <f>_xlfn.XLOOKUP(B7,Disk_Pivot!G:G,Disk_Pivot!I:I)</f>
        <v>Yes x2</v>
      </c>
      <c r="U7" t="str">
        <f>_xlfn.XLOOKUP(B7,Disk_Pivot!G:G,Disk_Pivot!N:N)</f>
        <v>Pass, Fail</v>
      </c>
      <c r="V7" t="str">
        <f>IF(U7="Fail",MacReports!N7,"")</f>
        <v/>
      </c>
      <c r="AB7" t="str">
        <f t="shared" si="1"/>
        <v/>
      </c>
    </row>
    <row r="8" spans="1:28">
      <c r="A8" t="str">
        <f>MacReports!A8</f>
        <v/>
      </c>
      <c r="B8">
        <f>MacReports!B8</f>
        <v>0</v>
      </c>
      <c r="C8">
        <f>MacReports!C8</f>
        <v>0</v>
      </c>
      <c r="E8" t="e">
        <f>_xlfn.XLOOKUP(G8,Models!A:A,Models!F:F)</f>
        <v>#N/A</v>
      </c>
      <c r="F8" t="str">
        <f>_xlfn.XLOOKUP(B8,MacReports!B:B,MacReports!D:D,"")</f>
        <v/>
      </c>
      <c r="G8" s="13">
        <f>MacReports!E8</f>
        <v>0</v>
      </c>
      <c r="H8" t="e">
        <f>_xlfn.XLOOKUP(G8,Models!A:A,Models!B:B)</f>
        <v>#N/A</v>
      </c>
      <c r="I8" t="e">
        <f>_xlfn.XLOOKUP(G8,Models!A:A,Models!E:E)</f>
        <v>#N/A</v>
      </c>
      <c r="J8" t="e">
        <f>_xlfn.XLOOKUP(G8,Models!A:A,Models!D:D)</f>
        <v>#N/A</v>
      </c>
      <c r="K8">
        <f>MacReports!F8</f>
        <v>0</v>
      </c>
      <c r="L8">
        <f>MacReports!G8</f>
        <v>0</v>
      </c>
      <c r="M8" s="15" t="e" cm="1">
        <f t="array" ref="M8">--_xlfn.LET(
    _xlpm.txt, MacReports!H8,
    _xlpm.chars, MID(_xlpm.txt, _xlfn.SEQUENCE(LEN(_xlpm.txt)), 1),
    _xlfn.TEXTJOIN("", TRUE, IF(ISNUMBER(--_xlpm.chars), _xlpm.chars, ""))
)</f>
        <v>#VALUE!</v>
      </c>
      <c r="N8" s="16" t="str" cm="1">
        <f t="array" ref="N8">_xlfn.IFS(
   --MacReports!M8&lt;55,"Battery Defect",
  -- MacReports!M8&lt;=69,"Battery D",
  --MacReports!M8&lt;=80,"Battery C",
 --MacReports!M8&gt;80,""
)</f>
        <v>Battery Defect</v>
      </c>
      <c r="O8" s="16" t="str">
        <f>IF(MacReports!I8="Service","Battery Service","")</f>
        <v/>
      </c>
      <c r="P8" s="13">
        <f>MacReports!P8</f>
        <v>0</v>
      </c>
      <c r="Q8" s="13" t="str">
        <f>IF(MacReports!J8="Enabled","Apple ID Lock","")</f>
        <v/>
      </c>
      <c r="R8" s="13" t="str">
        <f>IF(MacReports!L8="y","Remote Locked","")</f>
        <v/>
      </c>
      <c r="S8" t="str">
        <f t="shared" si="0"/>
        <v>Battery Defect, 0</v>
      </c>
      <c r="T8" t="str">
        <f>_xlfn.XLOOKUP(B8,Disk_Pivot!G:G,Disk_Pivot!I:I)</f>
        <v>Yes x2</v>
      </c>
      <c r="U8" t="str">
        <f>_xlfn.XLOOKUP(B8,Disk_Pivot!G:G,Disk_Pivot!N:N)</f>
        <v>Pass, Fail</v>
      </c>
      <c r="V8" t="str">
        <f>IF(U8="Fail",MacReports!N8,"")</f>
        <v/>
      </c>
      <c r="AB8" t="str">
        <f t="shared" si="1"/>
        <v/>
      </c>
    </row>
    <row r="9" spans="1:28">
      <c r="A9" t="str">
        <f>MacReports!A9</f>
        <v/>
      </c>
      <c r="B9">
        <f>MacReports!B9</f>
        <v>0</v>
      </c>
      <c r="C9">
        <f>MacReports!C9</f>
        <v>0</v>
      </c>
      <c r="E9" t="e">
        <f>_xlfn.XLOOKUP(G9,Models!A:A,Models!F:F)</f>
        <v>#N/A</v>
      </c>
      <c r="F9" t="str">
        <f>_xlfn.XLOOKUP(B9,MacReports!B:B,MacReports!D:D,"")</f>
        <v/>
      </c>
      <c r="G9" s="13">
        <f>MacReports!E9</f>
        <v>0</v>
      </c>
      <c r="H9" t="e">
        <f>_xlfn.XLOOKUP(G9,Models!A:A,Models!B:B)</f>
        <v>#N/A</v>
      </c>
      <c r="I9" t="e">
        <f>_xlfn.XLOOKUP(G9,Models!A:A,Models!E:E)</f>
        <v>#N/A</v>
      </c>
      <c r="J9" t="e">
        <f>_xlfn.XLOOKUP(G9,Models!A:A,Models!D:D)</f>
        <v>#N/A</v>
      </c>
      <c r="K9">
        <f>MacReports!F9</f>
        <v>0</v>
      </c>
      <c r="L9">
        <f>MacReports!G9</f>
        <v>0</v>
      </c>
      <c r="M9" s="15" t="e" cm="1">
        <f t="array" ref="M9">--_xlfn.LET(
    _xlpm.txt, MacReports!H9,
    _xlpm.chars, MID(_xlpm.txt, _xlfn.SEQUENCE(LEN(_xlpm.txt)), 1),
    _xlfn.TEXTJOIN("", TRUE, IF(ISNUMBER(--_xlpm.chars), _xlpm.chars, ""))
)</f>
        <v>#VALUE!</v>
      </c>
      <c r="N9" s="16" t="str" cm="1">
        <f t="array" ref="N9">_xlfn.IFS(
   --MacReports!M9&lt;55,"Battery Defect",
  -- MacReports!M9&lt;=69,"Battery D",
  --MacReports!M9&lt;=80,"Battery C",
 --MacReports!M9&gt;80,""
)</f>
        <v>Battery Defect</v>
      </c>
      <c r="O9" s="16" t="str">
        <f>IF(MacReports!I9="Service","Battery Service","")</f>
        <v/>
      </c>
      <c r="P9" s="13">
        <f>MacReports!P9</f>
        <v>0</v>
      </c>
      <c r="Q9" s="13" t="str">
        <f>IF(MacReports!J9="Enabled","Apple ID Lock","")</f>
        <v/>
      </c>
      <c r="R9" s="13" t="str">
        <f>IF(MacReports!L9="y","Remote Locked","")</f>
        <v/>
      </c>
      <c r="S9" t="str">
        <f t="shared" si="0"/>
        <v>Battery Defect, 0</v>
      </c>
      <c r="T9" t="str">
        <f>_xlfn.XLOOKUP(B9,Disk_Pivot!G:G,Disk_Pivot!I:I)</f>
        <v>Yes x2</v>
      </c>
      <c r="U9" t="str">
        <f>_xlfn.XLOOKUP(B9,Disk_Pivot!G:G,Disk_Pivot!N:N)</f>
        <v>Pass, Fail</v>
      </c>
      <c r="V9" t="str">
        <f>IF(U9="Fail",MacReports!N9,"")</f>
        <v/>
      </c>
      <c r="AB9" t="str">
        <f t="shared" si="1"/>
        <v/>
      </c>
    </row>
    <row r="10" spans="1:28">
      <c r="A10" t="str">
        <f>MacReports!A10</f>
        <v/>
      </c>
      <c r="B10">
        <f>MacReports!B10</f>
        <v>0</v>
      </c>
      <c r="C10">
        <f>MacReports!C10</f>
        <v>0</v>
      </c>
      <c r="E10" t="e">
        <f>_xlfn.XLOOKUP(G10,Models!A:A,Models!F:F)</f>
        <v>#N/A</v>
      </c>
      <c r="F10" t="str">
        <f>_xlfn.XLOOKUP(B10,MacReports!B:B,MacReports!D:D,"")</f>
        <v/>
      </c>
      <c r="G10" s="13">
        <f>MacReports!E10</f>
        <v>0</v>
      </c>
      <c r="H10" t="e">
        <f>_xlfn.XLOOKUP(G10,Models!A:A,Models!B:B)</f>
        <v>#N/A</v>
      </c>
      <c r="I10" t="e">
        <f>_xlfn.XLOOKUP(G10,Models!A:A,Models!E:E)</f>
        <v>#N/A</v>
      </c>
      <c r="J10" t="e">
        <f>_xlfn.XLOOKUP(G10,Models!A:A,Models!D:D)</f>
        <v>#N/A</v>
      </c>
      <c r="K10">
        <f>MacReports!F10</f>
        <v>0</v>
      </c>
      <c r="L10">
        <f>MacReports!G10</f>
        <v>0</v>
      </c>
      <c r="M10" s="15" t="e" cm="1">
        <f t="array" ref="M10">--_xlfn.LET(
    _xlpm.txt, MacReports!H10,
    _xlpm.chars, MID(_xlpm.txt, _xlfn.SEQUENCE(LEN(_xlpm.txt)), 1),
    _xlfn.TEXTJOIN("", TRUE, IF(ISNUMBER(--_xlpm.chars), _xlpm.chars, ""))
)</f>
        <v>#VALUE!</v>
      </c>
      <c r="N10" s="16" t="str" cm="1">
        <f t="array" ref="N10">_xlfn.IFS(
   --MacReports!M10&lt;55,"Battery Defect",
  -- MacReports!M10&lt;=69,"Battery D",
  --MacReports!M10&lt;=80,"Battery C",
 --MacReports!M10&gt;80,""
)</f>
        <v>Battery Defect</v>
      </c>
      <c r="O10" s="16" t="str">
        <f>IF(MacReports!I10="Service","Battery Service","")</f>
        <v/>
      </c>
      <c r="P10" s="13">
        <f>MacReports!P10</f>
        <v>0</v>
      </c>
      <c r="Q10" s="13" t="str">
        <f>IF(MacReports!J10="Enabled","Apple ID Lock","")</f>
        <v/>
      </c>
      <c r="R10" s="13" t="str">
        <f>IF(MacReports!L10="y","Remote Locked","")</f>
        <v/>
      </c>
      <c r="S10" t="str">
        <f t="shared" ref="S10:S34" si="2">_xlfn.TEXTJOIN(", ",TRUE,Q10,R10,N10,O10,P10)</f>
        <v>Battery Defect, 0</v>
      </c>
      <c r="T10" t="str">
        <f>_xlfn.XLOOKUP(B10,Disk_Pivot!G:G,Disk_Pivot!I:I)</f>
        <v>Yes x2</v>
      </c>
      <c r="U10" t="str">
        <f>_xlfn.XLOOKUP(B10,Disk_Pivot!G:G,Disk_Pivot!N:N)</f>
        <v>Pass, Fail</v>
      </c>
      <c r="V10" t="str">
        <f>IF(U10="Fail",MacReports!N10,"")</f>
        <v/>
      </c>
      <c r="AB10" t="str">
        <f t="shared" si="1"/>
        <v/>
      </c>
    </row>
    <row r="11" spans="1:28">
      <c r="A11" t="str">
        <f>MacReports!A11</f>
        <v/>
      </c>
      <c r="B11">
        <f>MacReports!B11</f>
        <v>0</v>
      </c>
      <c r="C11">
        <f>MacReports!C11</f>
        <v>0</v>
      </c>
      <c r="E11" t="e">
        <f>_xlfn.XLOOKUP(G11,Models!A:A,Models!F:F)</f>
        <v>#N/A</v>
      </c>
      <c r="F11" t="str">
        <f>_xlfn.XLOOKUP(B11,MacReports!B:B,MacReports!D:D,"")</f>
        <v/>
      </c>
      <c r="G11" s="13">
        <f>MacReports!E11</f>
        <v>0</v>
      </c>
      <c r="H11" t="e">
        <f>_xlfn.XLOOKUP(G11,Models!A:A,Models!B:B)</f>
        <v>#N/A</v>
      </c>
      <c r="I11" t="e">
        <f>_xlfn.XLOOKUP(G11,Models!A:A,Models!E:E)</f>
        <v>#N/A</v>
      </c>
      <c r="J11" t="e">
        <f>_xlfn.XLOOKUP(G11,Models!A:A,Models!D:D)</f>
        <v>#N/A</v>
      </c>
      <c r="K11">
        <f>MacReports!F11</f>
        <v>0</v>
      </c>
      <c r="L11">
        <f>MacReports!G11</f>
        <v>0</v>
      </c>
      <c r="M11" s="15" t="e" cm="1">
        <f t="array" ref="M11">--_xlfn.LET(
    _xlpm.txt, MacReports!H11,
    _xlpm.chars, MID(_xlpm.txt, _xlfn.SEQUENCE(LEN(_xlpm.txt)), 1),
    _xlfn.TEXTJOIN("", TRUE, IF(ISNUMBER(--_xlpm.chars), _xlpm.chars, ""))
)</f>
        <v>#VALUE!</v>
      </c>
      <c r="N11" s="16" t="str" cm="1">
        <f t="array" ref="N11">_xlfn.IFS(
   --MacReports!M11&lt;55,"Battery Defect",
  -- MacReports!M11&lt;=69,"Battery D",
  --MacReports!M11&lt;=80,"Battery C",
 --MacReports!M11&gt;80,""
)</f>
        <v>Battery Defect</v>
      </c>
      <c r="O11" s="16" t="str">
        <f>IF(MacReports!I11="Service","Battery Service","")</f>
        <v/>
      </c>
      <c r="P11" s="13">
        <f>MacReports!P11</f>
        <v>0</v>
      </c>
      <c r="Q11" s="13" t="str">
        <f>IF(MacReports!J11="Enabled","Apple ID Lock","")</f>
        <v/>
      </c>
      <c r="R11" s="13" t="str">
        <f>IF(MacReports!L11="y","Remote Locked","")</f>
        <v/>
      </c>
      <c r="S11" t="str">
        <f t="shared" si="2"/>
        <v>Battery Defect, 0</v>
      </c>
      <c r="T11" t="str">
        <f>_xlfn.XLOOKUP(B11,Disk_Pivot!G:G,Disk_Pivot!I:I)</f>
        <v>Yes x2</v>
      </c>
      <c r="U11" t="str">
        <f>_xlfn.XLOOKUP(B11,Disk_Pivot!G:G,Disk_Pivot!N:N)</f>
        <v>Pass, Fail</v>
      </c>
      <c r="V11" t="str">
        <f>IF(U11="Fail",MacReports!N11,"")</f>
        <v/>
      </c>
      <c r="AB11" t="str">
        <f t="shared" si="1"/>
        <v/>
      </c>
    </row>
    <row r="12" spans="1:28">
      <c r="A12" t="str">
        <f>MacReports!A12</f>
        <v/>
      </c>
      <c r="B12">
        <f>MacReports!B12</f>
        <v>0</v>
      </c>
      <c r="C12">
        <f>MacReports!C12</f>
        <v>0</v>
      </c>
      <c r="E12" t="e">
        <f>_xlfn.XLOOKUP(G12,Models!A:A,Models!F:F)</f>
        <v>#N/A</v>
      </c>
      <c r="F12" t="str">
        <f>_xlfn.XLOOKUP(B12,MacReports!B:B,MacReports!D:D,"")</f>
        <v/>
      </c>
      <c r="G12" s="13">
        <f>MacReports!E12</f>
        <v>0</v>
      </c>
      <c r="H12" t="e">
        <f>_xlfn.XLOOKUP(G12,Models!A:A,Models!B:B)</f>
        <v>#N/A</v>
      </c>
      <c r="I12" t="e">
        <f>_xlfn.XLOOKUP(G12,Models!A:A,Models!E:E)</f>
        <v>#N/A</v>
      </c>
      <c r="J12" t="e">
        <f>_xlfn.XLOOKUP(G12,Models!A:A,Models!D:D)</f>
        <v>#N/A</v>
      </c>
      <c r="K12">
        <f>MacReports!F12</f>
        <v>0</v>
      </c>
      <c r="L12">
        <f>MacReports!G12</f>
        <v>0</v>
      </c>
      <c r="M12" s="15" t="e" cm="1">
        <f t="array" ref="M12">--_xlfn.LET(
    _xlpm.txt, MacReports!H12,
    _xlpm.chars, MID(_xlpm.txt, _xlfn.SEQUENCE(LEN(_xlpm.txt)), 1),
    _xlfn.TEXTJOIN("", TRUE, IF(ISNUMBER(--_xlpm.chars), _xlpm.chars, ""))
)</f>
        <v>#VALUE!</v>
      </c>
      <c r="N12" s="16" t="str" cm="1">
        <f t="array" ref="N12">_xlfn.IFS(
   --MacReports!M12&lt;55,"Battery Defect",
  -- MacReports!M12&lt;=69,"Battery D",
  --MacReports!M12&lt;=80,"Battery C",
 --MacReports!M12&gt;80,""
)</f>
        <v>Battery Defect</v>
      </c>
      <c r="O12" s="16" t="str">
        <f>IF(MacReports!I12="Service","Battery Service","")</f>
        <v/>
      </c>
      <c r="P12" s="13">
        <f>MacReports!P12</f>
        <v>0</v>
      </c>
      <c r="Q12" s="13" t="str">
        <f>IF(MacReports!J12="Enabled","Apple ID Lock","")</f>
        <v/>
      </c>
      <c r="R12" s="13" t="str">
        <f>IF(MacReports!L12="y","Remote Locked","")</f>
        <v/>
      </c>
      <c r="S12" t="str">
        <f t="shared" si="2"/>
        <v>Battery Defect, 0</v>
      </c>
      <c r="T12" t="str">
        <f>_xlfn.XLOOKUP(B12,Disk_Pivot!G:G,Disk_Pivot!I:I)</f>
        <v>Yes x2</v>
      </c>
      <c r="U12" t="str">
        <f>_xlfn.XLOOKUP(B12,Disk_Pivot!G:G,Disk_Pivot!N:N)</f>
        <v>Pass, Fail</v>
      </c>
      <c r="V12" t="str">
        <f>IF(U12="Fail",MacReports!N12,"")</f>
        <v/>
      </c>
      <c r="AB12" t="str">
        <f t="shared" si="1"/>
        <v/>
      </c>
    </row>
    <row r="13" spans="1:28">
      <c r="A13" t="str">
        <f>MacReports!A13</f>
        <v/>
      </c>
      <c r="B13">
        <f>MacReports!B13</f>
        <v>0</v>
      </c>
      <c r="C13">
        <f>MacReports!C13</f>
        <v>0</v>
      </c>
      <c r="E13" t="e">
        <f>_xlfn.XLOOKUP(G13,Models!A:A,Models!F:F)</f>
        <v>#N/A</v>
      </c>
      <c r="F13" t="str">
        <f>_xlfn.XLOOKUP(B13,MacReports!B:B,MacReports!D:D,"")</f>
        <v/>
      </c>
      <c r="G13" s="13">
        <f>MacReports!E13</f>
        <v>0</v>
      </c>
      <c r="H13" t="e">
        <f>_xlfn.XLOOKUP(G13,Models!A:A,Models!B:B)</f>
        <v>#N/A</v>
      </c>
      <c r="I13" t="e">
        <f>_xlfn.XLOOKUP(G13,Models!A:A,Models!E:E)</f>
        <v>#N/A</v>
      </c>
      <c r="J13" t="e">
        <f>_xlfn.XLOOKUP(G13,Models!A:A,Models!D:D)</f>
        <v>#N/A</v>
      </c>
      <c r="K13">
        <f>MacReports!F13</f>
        <v>0</v>
      </c>
      <c r="L13">
        <f>MacReports!G13</f>
        <v>0</v>
      </c>
      <c r="M13" s="15" t="e" cm="1">
        <f t="array" ref="M13">--_xlfn.LET(
    _xlpm.txt, MacReports!H13,
    _xlpm.chars, MID(_xlpm.txt, _xlfn.SEQUENCE(LEN(_xlpm.txt)), 1),
    _xlfn.TEXTJOIN("", TRUE, IF(ISNUMBER(--_xlpm.chars), _xlpm.chars, ""))
)</f>
        <v>#VALUE!</v>
      </c>
      <c r="N13" s="16" t="str" cm="1">
        <f t="array" ref="N13">_xlfn.IFS(
   --MacReports!M13&lt;55,"Battery Defect",
  -- MacReports!M13&lt;=69,"Battery D",
  --MacReports!M13&lt;=80,"Battery C",
 --MacReports!M13&gt;80,""
)</f>
        <v>Battery Defect</v>
      </c>
      <c r="O13" s="16" t="str">
        <f>IF(MacReports!I13="Service","Battery Service","")</f>
        <v/>
      </c>
      <c r="P13" s="13">
        <f>MacReports!P13</f>
        <v>0</v>
      </c>
      <c r="Q13" s="13" t="str">
        <f>IF(MacReports!J13="Enabled","Apple ID Lock","")</f>
        <v/>
      </c>
      <c r="R13" s="13" t="str">
        <f>IF(MacReports!L13="y","Remote Locked","")</f>
        <v/>
      </c>
      <c r="S13" t="str">
        <f t="shared" si="2"/>
        <v>Battery Defect, 0</v>
      </c>
      <c r="T13" t="str">
        <f>_xlfn.XLOOKUP(B13,Disk_Pivot!G:G,Disk_Pivot!I:I)</f>
        <v>Yes x2</v>
      </c>
      <c r="U13" t="str">
        <f>_xlfn.XLOOKUP(B13,Disk_Pivot!G:G,Disk_Pivot!N:N)</f>
        <v>Pass, Fail</v>
      </c>
      <c r="V13" t="str">
        <f>IF(U13="Fail",MacReports!N13,"")</f>
        <v/>
      </c>
      <c r="AB13" t="str">
        <f t="shared" si="1"/>
        <v/>
      </c>
    </row>
    <row r="14" spans="1:28">
      <c r="A14" t="str">
        <f>MacReports!A14</f>
        <v/>
      </c>
      <c r="B14">
        <f>MacReports!B14</f>
        <v>0</v>
      </c>
      <c r="C14">
        <f>MacReports!C14</f>
        <v>0</v>
      </c>
      <c r="E14" t="e">
        <f>_xlfn.XLOOKUP(G14,Models!A:A,Models!F:F)</f>
        <v>#N/A</v>
      </c>
      <c r="F14" t="str">
        <f>_xlfn.XLOOKUP(B14,MacReports!B:B,MacReports!D:D,"")</f>
        <v/>
      </c>
      <c r="G14" s="13">
        <f>MacReports!E14</f>
        <v>0</v>
      </c>
      <c r="H14" t="e">
        <f>_xlfn.XLOOKUP(G14,Models!A:A,Models!B:B)</f>
        <v>#N/A</v>
      </c>
      <c r="I14" t="e">
        <f>_xlfn.XLOOKUP(G14,Models!A:A,Models!E:E)</f>
        <v>#N/A</v>
      </c>
      <c r="J14" t="e">
        <f>_xlfn.XLOOKUP(G14,Models!A:A,Models!D:D)</f>
        <v>#N/A</v>
      </c>
      <c r="K14">
        <f>MacReports!F14</f>
        <v>0</v>
      </c>
      <c r="L14">
        <f>MacReports!G14</f>
        <v>0</v>
      </c>
      <c r="M14" s="15" t="e" cm="1">
        <f t="array" ref="M14">--_xlfn.LET(
    _xlpm.txt, MacReports!H14,
    _xlpm.chars, MID(_xlpm.txt, _xlfn.SEQUENCE(LEN(_xlpm.txt)), 1),
    _xlfn.TEXTJOIN("", TRUE, IF(ISNUMBER(--_xlpm.chars), _xlpm.chars, ""))
)</f>
        <v>#VALUE!</v>
      </c>
      <c r="N14" s="16" t="str" cm="1">
        <f t="array" ref="N14">_xlfn.IFS(
   --MacReports!M14&lt;55,"Battery Defect",
  -- MacReports!M14&lt;=69,"Battery D",
  --MacReports!M14&lt;=80,"Battery C",
 --MacReports!M14&gt;80,""
)</f>
        <v>Battery Defect</v>
      </c>
      <c r="O14" s="16" t="str">
        <f>IF(MacReports!I14="Service","Battery Service","")</f>
        <v/>
      </c>
      <c r="P14" s="13">
        <f>MacReports!P14</f>
        <v>0</v>
      </c>
      <c r="Q14" s="13" t="str">
        <f>IF(MacReports!J14="Enabled","Apple ID Lock","")</f>
        <v/>
      </c>
      <c r="R14" s="13" t="str">
        <f>IF(MacReports!L14="y","Remote Locked","")</f>
        <v/>
      </c>
      <c r="S14" t="str">
        <f t="shared" si="2"/>
        <v>Battery Defect, 0</v>
      </c>
      <c r="T14" t="str">
        <f>_xlfn.XLOOKUP(B14,Disk_Pivot!G:G,Disk_Pivot!I:I)</f>
        <v>Yes x2</v>
      </c>
      <c r="U14" t="str">
        <f>_xlfn.XLOOKUP(B14,Disk_Pivot!G:G,Disk_Pivot!N:N)</f>
        <v>Pass, Fail</v>
      </c>
      <c r="V14" t="str">
        <f>IF(U14="Fail",MacReports!N14,"")</f>
        <v/>
      </c>
      <c r="AB14" t="str">
        <f t="shared" si="1"/>
        <v/>
      </c>
    </row>
    <row r="15" spans="1:28">
      <c r="A15" t="str">
        <f>MacReports!A15</f>
        <v/>
      </c>
      <c r="B15">
        <f>MacReports!B15</f>
        <v>0</v>
      </c>
      <c r="C15">
        <f>MacReports!C15</f>
        <v>0</v>
      </c>
      <c r="E15" t="e">
        <f>_xlfn.XLOOKUP(G15,Models!A:A,Models!F:F)</f>
        <v>#N/A</v>
      </c>
      <c r="F15" t="str">
        <f>_xlfn.XLOOKUP(B15,MacReports!B:B,MacReports!D:D,"")</f>
        <v/>
      </c>
      <c r="G15" s="13">
        <f>MacReports!E15</f>
        <v>0</v>
      </c>
      <c r="H15" t="e">
        <f>_xlfn.XLOOKUP(G15,Models!A:A,Models!B:B)</f>
        <v>#N/A</v>
      </c>
      <c r="I15" t="e">
        <f>_xlfn.XLOOKUP(G15,Models!A:A,Models!E:E)</f>
        <v>#N/A</v>
      </c>
      <c r="J15" t="e">
        <f>_xlfn.XLOOKUP(G15,Models!A:A,Models!D:D)</f>
        <v>#N/A</v>
      </c>
      <c r="K15">
        <f>MacReports!F15</f>
        <v>0</v>
      </c>
      <c r="L15">
        <f>MacReports!G15</f>
        <v>0</v>
      </c>
      <c r="M15" s="15" t="e" cm="1">
        <f t="array" ref="M15">--_xlfn.LET(
    _xlpm.txt, MacReports!H15,
    _xlpm.chars, MID(_xlpm.txt, _xlfn.SEQUENCE(LEN(_xlpm.txt)), 1),
    _xlfn.TEXTJOIN("", TRUE, IF(ISNUMBER(--_xlpm.chars), _xlpm.chars, ""))
)</f>
        <v>#VALUE!</v>
      </c>
      <c r="N15" s="16" t="str" cm="1">
        <f t="array" ref="N15">_xlfn.IFS(
   --MacReports!M15&lt;55,"Battery Defect",
  -- MacReports!M15&lt;=69,"Battery D",
  --MacReports!M15&lt;=80,"Battery C",
 --MacReports!M15&gt;80,""
)</f>
        <v>Battery Defect</v>
      </c>
      <c r="O15" s="16" t="str">
        <f>IF(MacReports!I15="Service","Battery Service","")</f>
        <v/>
      </c>
      <c r="P15" s="13">
        <f>MacReports!P15</f>
        <v>0</v>
      </c>
      <c r="Q15" s="13" t="str">
        <f>IF(MacReports!J15="Enabled","Apple ID Lock","")</f>
        <v/>
      </c>
      <c r="R15" s="13" t="str">
        <f>IF(MacReports!L15="y","Remote Locked","")</f>
        <v/>
      </c>
      <c r="S15" t="str">
        <f t="shared" si="2"/>
        <v>Battery Defect, 0</v>
      </c>
      <c r="T15" t="str">
        <f>_xlfn.XLOOKUP(B15,Disk_Pivot!G:G,Disk_Pivot!I:I)</f>
        <v>Yes x2</v>
      </c>
      <c r="U15" t="str">
        <f>_xlfn.XLOOKUP(B15,Disk_Pivot!G:G,Disk_Pivot!N:N)</f>
        <v>Pass, Fail</v>
      </c>
      <c r="V15" t="str">
        <f>IF(U15="Fail",MacReports!N15,"")</f>
        <v/>
      </c>
      <c r="AB15" t="str">
        <f t="shared" si="1"/>
        <v/>
      </c>
    </row>
    <row r="16" spans="1:28">
      <c r="A16" t="str">
        <f>MacReports!A16</f>
        <v/>
      </c>
      <c r="B16">
        <f>MacReports!B16</f>
        <v>0</v>
      </c>
      <c r="C16">
        <f>MacReports!C16</f>
        <v>0</v>
      </c>
      <c r="E16" t="e">
        <f>_xlfn.XLOOKUP(G16,Models!A:A,Models!F:F)</f>
        <v>#N/A</v>
      </c>
      <c r="F16" t="str">
        <f>_xlfn.XLOOKUP(B16,MacReports!B:B,MacReports!D:D,"")</f>
        <v/>
      </c>
      <c r="G16" s="13">
        <f>MacReports!E16</f>
        <v>0</v>
      </c>
      <c r="H16" t="e">
        <f>_xlfn.XLOOKUP(G16,Models!A:A,Models!B:B)</f>
        <v>#N/A</v>
      </c>
      <c r="I16" t="e">
        <f>_xlfn.XLOOKUP(G16,Models!A:A,Models!E:E)</f>
        <v>#N/A</v>
      </c>
      <c r="J16" t="e">
        <f>_xlfn.XLOOKUP(G16,Models!A:A,Models!D:D)</f>
        <v>#N/A</v>
      </c>
      <c r="K16">
        <f>MacReports!F16</f>
        <v>0</v>
      </c>
      <c r="L16">
        <f>MacReports!G16</f>
        <v>0</v>
      </c>
      <c r="M16" s="15" t="e" cm="1">
        <f t="array" ref="M16">--_xlfn.LET(
    _xlpm.txt, MacReports!H16,
    _xlpm.chars, MID(_xlpm.txt, _xlfn.SEQUENCE(LEN(_xlpm.txt)), 1),
    _xlfn.TEXTJOIN("", TRUE, IF(ISNUMBER(--_xlpm.chars), _xlpm.chars, ""))
)</f>
        <v>#VALUE!</v>
      </c>
      <c r="N16" s="16" t="str" cm="1">
        <f t="array" ref="N16">_xlfn.IFS(
   --MacReports!M16&lt;55,"Battery Defect",
  -- MacReports!M16&lt;=69,"Battery D",
  --MacReports!M16&lt;=80,"Battery C",
 --MacReports!M16&gt;80,""
)</f>
        <v>Battery Defect</v>
      </c>
      <c r="O16" s="16" t="str">
        <f>IF(MacReports!I16="Service","Battery Service","")</f>
        <v/>
      </c>
      <c r="P16" s="13">
        <f>MacReports!P16</f>
        <v>0</v>
      </c>
      <c r="Q16" s="13" t="str">
        <f>IF(MacReports!J16="Enabled","Apple ID Lock","")</f>
        <v/>
      </c>
      <c r="R16" s="13" t="str">
        <f>IF(MacReports!L16="y","Remote Locked","")</f>
        <v/>
      </c>
      <c r="S16" t="str">
        <f t="shared" si="2"/>
        <v>Battery Defect, 0</v>
      </c>
      <c r="T16" t="str">
        <f>_xlfn.XLOOKUP(B16,Disk_Pivot!G:G,Disk_Pivot!I:I)</f>
        <v>Yes x2</v>
      </c>
      <c r="U16" t="str">
        <f>_xlfn.XLOOKUP(B16,Disk_Pivot!G:G,Disk_Pivot!N:N)</f>
        <v>Pass, Fail</v>
      </c>
      <c r="V16" t="str">
        <f>IF(U16="Fail",MacReports!N16,"")</f>
        <v/>
      </c>
      <c r="AB16" t="str">
        <f t="shared" si="1"/>
        <v/>
      </c>
    </row>
    <row r="17" spans="1:28">
      <c r="A17" t="str">
        <f>MacReports!A17</f>
        <v/>
      </c>
      <c r="B17">
        <f>MacReports!B17</f>
        <v>0</v>
      </c>
      <c r="C17">
        <f>MacReports!C17</f>
        <v>0</v>
      </c>
      <c r="E17" t="e">
        <f>_xlfn.XLOOKUP(G17,Models!A:A,Models!F:F)</f>
        <v>#N/A</v>
      </c>
      <c r="F17" t="str">
        <f>_xlfn.XLOOKUP(B17,MacReports!B:B,MacReports!D:D,"")</f>
        <v/>
      </c>
      <c r="G17" s="13">
        <f>MacReports!E17</f>
        <v>0</v>
      </c>
      <c r="H17" t="e">
        <f>_xlfn.XLOOKUP(G17,Models!A:A,Models!B:B)</f>
        <v>#N/A</v>
      </c>
      <c r="I17" t="e">
        <f>_xlfn.XLOOKUP(G17,Models!A:A,Models!E:E)</f>
        <v>#N/A</v>
      </c>
      <c r="J17" t="e">
        <f>_xlfn.XLOOKUP(G17,Models!A:A,Models!D:D)</f>
        <v>#N/A</v>
      </c>
      <c r="K17">
        <f>MacReports!F17</f>
        <v>0</v>
      </c>
      <c r="L17">
        <f>MacReports!G17</f>
        <v>0</v>
      </c>
      <c r="M17" s="15" t="e" cm="1">
        <f t="array" ref="M17">--_xlfn.LET(
    _xlpm.txt, MacReports!H17,
    _xlpm.chars, MID(_xlpm.txt, _xlfn.SEQUENCE(LEN(_xlpm.txt)), 1),
    _xlfn.TEXTJOIN("", TRUE, IF(ISNUMBER(--_xlpm.chars), _xlpm.chars, ""))
)</f>
        <v>#VALUE!</v>
      </c>
      <c r="N17" s="16" t="str" cm="1">
        <f t="array" ref="N17">_xlfn.IFS(
   --MacReports!M17&lt;55,"Battery Defect",
  -- MacReports!M17&lt;=69,"Battery D",
  --MacReports!M17&lt;=80,"Battery C",
 --MacReports!M17&gt;80,""
)</f>
        <v>Battery Defect</v>
      </c>
      <c r="O17" s="16" t="str">
        <f>IF(MacReports!I17="Service","Battery Service","")</f>
        <v/>
      </c>
      <c r="P17" s="13">
        <f>MacReports!P17</f>
        <v>0</v>
      </c>
      <c r="Q17" s="13" t="str">
        <f>IF(MacReports!J17="Enabled","Apple ID Lock","")</f>
        <v/>
      </c>
      <c r="R17" s="13" t="str">
        <f>IF(MacReports!L17="y","Remote Locked","")</f>
        <v/>
      </c>
      <c r="S17" t="str">
        <f t="shared" si="2"/>
        <v>Battery Defect, 0</v>
      </c>
      <c r="T17" t="str">
        <f>_xlfn.XLOOKUP(B17,Disk_Pivot!G:G,Disk_Pivot!I:I)</f>
        <v>Yes x2</v>
      </c>
      <c r="U17" t="str">
        <f>_xlfn.XLOOKUP(B17,Disk_Pivot!G:G,Disk_Pivot!N:N)</f>
        <v>Pass, Fail</v>
      </c>
      <c r="V17" t="str">
        <f>IF(U17="Fail",MacReports!N17,"")</f>
        <v/>
      </c>
      <c r="AB17" t="str">
        <f t="shared" si="1"/>
        <v/>
      </c>
    </row>
    <row r="18" spans="1:28">
      <c r="A18" t="str">
        <f>MacReports!A18</f>
        <v/>
      </c>
      <c r="B18">
        <f>MacReports!B18</f>
        <v>0</v>
      </c>
      <c r="C18">
        <f>MacReports!C18</f>
        <v>0</v>
      </c>
      <c r="E18" t="e">
        <f>_xlfn.XLOOKUP(G18,Models!A:A,Models!F:F)</f>
        <v>#N/A</v>
      </c>
      <c r="F18" t="str">
        <f>_xlfn.XLOOKUP(B18,MacReports!B:B,MacReports!D:D,"")</f>
        <v/>
      </c>
      <c r="G18" s="13">
        <f>MacReports!E18</f>
        <v>0</v>
      </c>
      <c r="H18" t="e">
        <f>_xlfn.XLOOKUP(G18,Models!A:A,Models!B:B)</f>
        <v>#N/A</v>
      </c>
      <c r="I18" t="e">
        <f>_xlfn.XLOOKUP(G18,Models!A:A,Models!E:E)</f>
        <v>#N/A</v>
      </c>
      <c r="J18" t="e">
        <f>_xlfn.XLOOKUP(G18,Models!A:A,Models!D:D)</f>
        <v>#N/A</v>
      </c>
      <c r="K18">
        <f>MacReports!F18</f>
        <v>0</v>
      </c>
      <c r="L18">
        <f>MacReports!G18</f>
        <v>0</v>
      </c>
      <c r="M18" s="15" t="e" cm="1">
        <f t="array" ref="M18">--_xlfn.LET(
    _xlpm.txt, MacReports!H18,
    _xlpm.chars, MID(_xlpm.txt, _xlfn.SEQUENCE(LEN(_xlpm.txt)), 1),
    _xlfn.TEXTJOIN("", TRUE, IF(ISNUMBER(--_xlpm.chars), _xlpm.chars, ""))
)</f>
        <v>#VALUE!</v>
      </c>
      <c r="N18" s="16" t="str" cm="1">
        <f t="array" ref="N18">_xlfn.IFS(
   --MacReports!M18&lt;55,"Battery Defect",
  -- MacReports!M18&lt;=69,"Battery D",
  --MacReports!M18&lt;=80,"Battery C",
 --MacReports!M18&gt;80,""
)</f>
        <v>Battery Defect</v>
      </c>
      <c r="O18" s="16" t="str">
        <f>IF(MacReports!I18="Service","Battery Service","")</f>
        <v/>
      </c>
      <c r="P18" s="13">
        <f>MacReports!P18</f>
        <v>0</v>
      </c>
      <c r="Q18" s="13" t="str">
        <f>IF(MacReports!J18="Enabled","Apple ID Lock","")</f>
        <v/>
      </c>
      <c r="R18" s="13" t="str">
        <f>IF(MacReports!L18="y","Remote Locked","")</f>
        <v/>
      </c>
      <c r="S18" t="str">
        <f t="shared" si="2"/>
        <v>Battery Defect, 0</v>
      </c>
      <c r="T18" t="str">
        <f>_xlfn.XLOOKUP(B18,Disk_Pivot!G:G,Disk_Pivot!I:I)</f>
        <v>Yes x2</v>
      </c>
      <c r="U18" t="str">
        <f>_xlfn.XLOOKUP(B18,Disk_Pivot!G:G,Disk_Pivot!N:N)</f>
        <v>Pass, Fail</v>
      </c>
      <c r="V18" t="str">
        <f>IF(U18="Fail",MacReports!N18,"")</f>
        <v/>
      </c>
      <c r="AB18" t="str">
        <f t="shared" si="1"/>
        <v/>
      </c>
    </row>
    <row r="19" spans="1:28">
      <c r="A19" t="str">
        <f>MacReports!A19</f>
        <v/>
      </c>
      <c r="B19">
        <f>MacReports!B19</f>
        <v>0</v>
      </c>
      <c r="C19">
        <f>MacReports!C19</f>
        <v>0</v>
      </c>
      <c r="E19" t="e">
        <f>_xlfn.XLOOKUP(G19,Models!A:A,Models!F:F)</f>
        <v>#N/A</v>
      </c>
      <c r="F19" t="str">
        <f>_xlfn.XLOOKUP(B19,MacReports!B:B,MacReports!D:D,"")</f>
        <v/>
      </c>
      <c r="G19" s="13">
        <f>MacReports!E19</f>
        <v>0</v>
      </c>
      <c r="H19" t="e">
        <f>_xlfn.XLOOKUP(G19,Models!A:A,Models!B:B)</f>
        <v>#N/A</v>
      </c>
      <c r="I19" t="e">
        <f>_xlfn.XLOOKUP(G19,Models!A:A,Models!E:E)</f>
        <v>#N/A</v>
      </c>
      <c r="J19" t="e">
        <f>_xlfn.XLOOKUP(G19,Models!A:A,Models!D:D)</f>
        <v>#N/A</v>
      </c>
      <c r="K19">
        <f>MacReports!F19</f>
        <v>0</v>
      </c>
      <c r="L19">
        <f>MacReports!G19</f>
        <v>0</v>
      </c>
      <c r="M19" s="15" t="e" cm="1">
        <f t="array" ref="M19">--_xlfn.LET(
    _xlpm.txt, MacReports!H19,
    _xlpm.chars, MID(_xlpm.txt, _xlfn.SEQUENCE(LEN(_xlpm.txt)), 1),
    _xlfn.TEXTJOIN("", TRUE, IF(ISNUMBER(--_xlpm.chars), _xlpm.chars, ""))
)</f>
        <v>#VALUE!</v>
      </c>
      <c r="N19" s="16" t="str" cm="1">
        <f t="array" ref="N19">_xlfn.IFS(
   --MacReports!M19&lt;55,"Battery Defect",
  -- MacReports!M19&lt;=69,"Battery D",
  --MacReports!M19&lt;=80,"Battery C",
 --MacReports!M19&gt;80,""
)</f>
        <v>Battery Defect</v>
      </c>
      <c r="O19" s="16" t="str">
        <f>IF(MacReports!I19="Service","Battery Service","")</f>
        <v/>
      </c>
      <c r="P19" s="13">
        <f>MacReports!P19</f>
        <v>0</v>
      </c>
      <c r="Q19" s="13" t="str">
        <f>IF(MacReports!J19="Enabled","Apple ID Lock","")</f>
        <v/>
      </c>
      <c r="R19" s="13" t="str">
        <f>IF(MacReports!L19="y","Remote Locked","")</f>
        <v/>
      </c>
      <c r="S19" t="str">
        <f t="shared" si="2"/>
        <v>Battery Defect, 0</v>
      </c>
      <c r="T19" t="str">
        <f>_xlfn.XLOOKUP(B19,Disk_Pivot!G:G,Disk_Pivot!I:I)</f>
        <v>Yes x2</v>
      </c>
      <c r="U19" t="str">
        <f>_xlfn.XLOOKUP(B19,Disk_Pivot!G:G,Disk_Pivot!N:N)</f>
        <v>Pass, Fail</v>
      </c>
      <c r="V19" t="str">
        <f>IF(U19="Fail",MacReports!N19,"")</f>
        <v/>
      </c>
      <c r="AB19" t="str">
        <f t="shared" si="1"/>
        <v/>
      </c>
    </row>
    <row r="20" spans="1:28">
      <c r="A20" t="str">
        <f>MacReports!A20</f>
        <v/>
      </c>
      <c r="B20">
        <f>MacReports!B20</f>
        <v>0</v>
      </c>
      <c r="C20">
        <f>MacReports!C20</f>
        <v>0</v>
      </c>
      <c r="E20" t="e">
        <f>_xlfn.XLOOKUP(G20,Models!A:A,Models!F:F)</f>
        <v>#N/A</v>
      </c>
      <c r="F20" t="str">
        <f>_xlfn.XLOOKUP(B20,MacReports!B:B,MacReports!D:D,"")</f>
        <v/>
      </c>
      <c r="G20" s="13">
        <f>MacReports!E20</f>
        <v>0</v>
      </c>
      <c r="H20" t="e">
        <f>_xlfn.XLOOKUP(G20,Models!A:A,Models!B:B)</f>
        <v>#N/A</v>
      </c>
      <c r="I20" t="e">
        <f>_xlfn.XLOOKUP(G20,Models!A:A,Models!E:E)</f>
        <v>#N/A</v>
      </c>
      <c r="J20" t="e">
        <f>_xlfn.XLOOKUP(G20,Models!A:A,Models!D:D)</f>
        <v>#N/A</v>
      </c>
      <c r="K20">
        <f>MacReports!F20</f>
        <v>0</v>
      </c>
      <c r="L20">
        <f>MacReports!G20</f>
        <v>0</v>
      </c>
      <c r="M20" s="15" t="e" cm="1">
        <f t="array" ref="M20">--_xlfn.LET(
    _xlpm.txt, MacReports!H20,
    _xlpm.chars, MID(_xlpm.txt, _xlfn.SEQUENCE(LEN(_xlpm.txt)), 1),
    _xlfn.TEXTJOIN("", TRUE, IF(ISNUMBER(--_xlpm.chars), _xlpm.chars, ""))
)</f>
        <v>#VALUE!</v>
      </c>
      <c r="N20" s="16" t="str" cm="1">
        <f t="array" ref="N20">_xlfn.IFS(
   --MacReports!M20&lt;55,"Battery Defect",
  -- MacReports!M20&lt;=69,"Battery D",
  --MacReports!M20&lt;=80,"Battery C",
 --MacReports!M20&gt;80,""
)</f>
        <v>Battery Defect</v>
      </c>
      <c r="O20" s="16" t="str">
        <f>IF(MacReports!I20="Service","Battery Service","")</f>
        <v/>
      </c>
      <c r="P20" s="13">
        <f>MacReports!P20</f>
        <v>0</v>
      </c>
      <c r="Q20" s="13" t="str">
        <f>IF(MacReports!J20="Enabled","Apple ID Lock","")</f>
        <v/>
      </c>
      <c r="R20" s="13" t="str">
        <f>IF(MacReports!L20="y","Remote Locked","")</f>
        <v/>
      </c>
      <c r="S20" t="str">
        <f t="shared" si="2"/>
        <v>Battery Defect, 0</v>
      </c>
      <c r="T20" t="str">
        <f>_xlfn.XLOOKUP(B20,Disk_Pivot!G:G,Disk_Pivot!I:I)</f>
        <v>Yes x2</v>
      </c>
      <c r="U20" t="str">
        <f>_xlfn.XLOOKUP(B20,Disk_Pivot!G:G,Disk_Pivot!N:N)</f>
        <v>Pass, Fail</v>
      </c>
      <c r="V20" t="str">
        <f>IF(U20="Fail",MacReports!N20,"")</f>
        <v/>
      </c>
      <c r="AB20" t="str">
        <f t="shared" si="1"/>
        <v/>
      </c>
    </row>
    <row r="21" spans="1:28">
      <c r="A21" t="str">
        <f>MacReports!A21</f>
        <v/>
      </c>
      <c r="B21">
        <f>MacReports!B21</f>
        <v>0</v>
      </c>
      <c r="C21">
        <f>MacReports!C21</f>
        <v>0</v>
      </c>
      <c r="E21" t="e">
        <f>_xlfn.XLOOKUP(G21,Models!A:A,Models!F:F)</f>
        <v>#N/A</v>
      </c>
      <c r="F21" t="str">
        <f>_xlfn.XLOOKUP(B21,MacReports!B:B,MacReports!D:D,"")</f>
        <v/>
      </c>
      <c r="G21" s="13">
        <f>MacReports!E21</f>
        <v>0</v>
      </c>
      <c r="H21" t="e">
        <f>_xlfn.XLOOKUP(G21,Models!A:A,Models!B:B)</f>
        <v>#N/A</v>
      </c>
      <c r="I21" t="e">
        <f>_xlfn.XLOOKUP(G21,Models!A:A,Models!E:E)</f>
        <v>#N/A</v>
      </c>
      <c r="J21" t="e">
        <f>_xlfn.XLOOKUP(G21,Models!A:A,Models!D:D)</f>
        <v>#N/A</v>
      </c>
      <c r="K21">
        <f>MacReports!F21</f>
        <v>0</v>
      </c>
      <c r="L21">
        <f>MacReports!G21</f>
        <v>0</v>
      </c>
      <c r="M21" s="15" t="e" cm="1">
        <f t="array" ref="M21">--_xlfn.LET(
    _xlpm.txt, MacReports!H21,
    _xlpm.chars, MID(_xlpm.txt, _xlfn.SEQUENCE(LEN(_xlpm.txt)), 1),
    _xlfn.TEXTJOIN("", TRUE, IF(ISNUMBER(--_xlpm.chars), _xlpm.chars, ""))
)</f>
        <v>#VALUE!</v>
      </c>
      <c r="N21" s="16" t="str" cm="1">
        <f t="array" ref="N21">_xlfn.IFS(
   --MacReports!M21&lt;55,"Battery Defect",
  -- MacReports!M21&lt;=69,"Battery D",
  --MacReports!M21&lt;=80,"Battery C",
 --MacReports!M21&gt;80,""
)</f>
        <v>Battery Defect</v>
      </c>
      <c r="O21" s="16" t="str">
        <f>IF(MacReports!I21="Service","Battery Service","")</f>
        <v/>
      </c>
      <c r="P21" s="13">
        <f>MacReports!P21</f>
        <v>0</v>
      </c>
      <c r="Q21" s="13" t="str">
        <f>IF(MacReports!J21="Enabled","Apple ID Lock","")</f>
        <v/>
      </c>
      <c r="R21" s="13" t="str">
        <f>IF(MacReports!L21="y","Remote Locked","")</f>
        <v/>
      </c>
      <c r="S21" t="str">
        <f t="shared" si="2"/>
        <v>Battery Defect, 0</v>
      </c>
      <c r="T21" t="str">
        <f>_xlfn.XLOOKUP(B21,Disk_Pivot!G:G,Disk_Pivot!I:I)</f>
        <v>Yes x2</v>
      </c>
      <c r="U21" t="str">
        <f>_xlfn.XLOOKUP(B21,Disk_Pivot!G:G,Disk_Pivot!N:N)</f>
        <v>Pass, Fail</v>
      </c>
      <c r="V21" t="str">
        <f>IF(U21="Fail",MacReports!N21,"")</f>
        <v/>
      </c>
      <c r="AB21" t="str">
        <f t="shared" si="1"/>
        <v/>
      </c>
    </row>
    <row r="22" spans="1:28">
      <c r="A22" t="str">
        <f>MacReports!A22</f>
        <v/>
      </c>
      <c r="B22">
        <f>MacReports!B22</f>
        <v>0</v>
      </c>
      <c r="C22">
        <f>MacReports!C22</f>
        <v>0</v>
      </c>
      <c r="E22" t="e">
        <f>_xlfn.XLOOKUP(G22,Models!A:A,Models!F:F)</f>
        <v>#N/A</v>
      </c>
      <c r="F22" t="str">
        <f>_xlfn.XLOOKUP(B22,MacReports!B:B,MacReports!D:D,"")</f>
        <v/>
      </c>
      <c r="G22" s="13">
        <f>MacReports!E22</f>
        <v>0</v>
      </c>
      <c r="H22" t="e">
        <f>_xlfn.XLOOKUP(G22,Models!A:A,Models!B:B)</f>
        <v>#N/A</v>
      </c>
      <c r="I22" t="e">
        <f>_xlfn.XLOOKUP(G22,Models!A:A,Models!E:E)</f>
        <v>#N/A</v>
      </c>
      <c r="J22" t="e">
        <f>_xlfn.XLOOKUP(G22,Models!A:A,Models!D:D)</f>
        <v>#N/A</v>
      </c>
      <c r="K22">
        <f>MacReports!F22</f>
        <v>0</v>
      </c>
      <c r="L22">
        <f>MacReports!G22</f>
        <v>0</v>
      </c>
      <c r="M22" s="15" t="e" cm="1">
        <f t="array" ref="M22">--_xlfn.LET(
    _xlpm.txt, MacReports!H22,
    _xlpm.chars, MID(_xlpm.txt, _xlfn.SEQUENCE(LEN(_xlpm.txt)), 1),
    _xlfn.TEXTJOIN("", TRUE, IF(ISNUMBER(--_xlpm.chars), _xlpm.chars, ""))
)</f>
        <v>#VALUE!</v>
      </c>
      <c r="N22" s="16" t="str" cm="1">
        <f t="array" ref="N22">_xlfn.IFS(
   --MacReports!M22&lt;55,"Battery Defect",
  -- MacReports!M22&lt;=69,"Battery D",
  --MacReports!M22&lt;=80,"Battery C",
 --MacReports!M22&gt;80,""
)</f>
        <v>Battery Defect</v>
      </c>
      <c r="O22" s="16" t="str">
        <f>IF(MacReports!I22="Service","Battery Service","")</f>
        <v/>
      </c>
      <c r="P22" s="13">
        <f>MacReports!P22</f>
        <v>0</v>
      </c>
      <c r="Q22" s="13" t="str">
        <f>IF(MacReports!J22="Enabled","Apple ID Lock","")</f>
        <v/>
      </c>
      <c r="R22" s="13" t="str">
        <f>IF(MacReports!L22="y","Remote Locked","")</f>
        <v/>
      </c>
      <c r="S22" t="str">
        <f t="shared" si="2"/>
        <v>Battery Defect, 0</v>
      </c>
      <c r="T22" t="str">
        <f>_xlfn.XLOOKUP(B22,Disk_Pivot!G:G,Disk_Pivot!I:I)</f>
        <v>Yes x2</v>
      </c>
      <c r="U22" t="str">
        <f>_xlfn.XLOOKUP(B22,Disk_Pivot!G:G,Disk_Pivot!N:N)</f>
        <v>Pass, Fail</v>
      </c>
      <c r="V22" t="str">
        <f>IF(U22="Fail",MacReports!N22,"")</f>
        <v/>
      </c>
      <c r="AB22" t="str">
        <f t="shared" si="1"/>
        <v/>
      </c>
    </row>
    <row r="23" spans="1:28">
      <c r="A23" t="str">
        <f>MacReports!A23</f>
        <v/>
      </c>
      <c r="B23">
        <f>MacReports!B23</f>
        <v>0</v>
      </c>
      <c r="C23">
        <f>MacReports!C23</f>
        <v>0</v>
      </c>
      <c r="E23" t="e">
        <f>_xlfn.XLOOKUP(G23,Models!A:A,Models!F:F)</f>
        <v>#N/A</v>
      </c>
      <c r="F23" t="str">
        <f>_xlfn.XLOOKUP(B23,MacReports!B:B,MacReports!D:D,"")</f>
        <v/>
      </c>
      <c r="G23" s="13">
        <f>MacReports!E23</f>
        <v>0</v>
      </c>
      <c r="H23" t="e">
        <f>_xlfn.XLOOKUP(G23,Models!A:A,Models!B:B)</f>
        <v>#N/A</v>
      </c>
      <c r="I23" t="e">
        <f>_xlfn.XLOOKUP(G23,Models!A:A,Models!E:E)</f>
        <v>#N/A</v>
      </c>
      <c r="J23" t="e">
        <f>_xlfn.XLOOKUP(G23,Models!A:A,Models!D:D)</f>
        <v>#N/A</v>
      </c>
      <c r="K23">
        <f>MacReports!F23</f>
        <v>0</v>
      </c>
      <c r="L23">
        <f>MacReports!G23</f>
        <v>0</v>
      </c>
      <c r="M23" s="15" t="e" cm="1">
        <f t="array" ref="M23">--_xlfn.LET(
    _xlpm.txt, MacReports!H23,
    _xlpm.chars, MID(_xlpm.txt, _xlfn.SEQUENCE(LEN(_xlpm.txt)), 1),
    _xlfn.TEXTJOIN("", TRUE, IF(ISNUMBER(--_xlpm.chars), _xlpm.chars, ""))
)</f>
        <v>#VALUE!</v>
      </c>
      <c r="N23" s="16" t="str" cm="1">
        <f t="array" ref="N23">_xlfn.IFS(
   --MacReports!M23&lt;55,"Battery Defect",
  -- MacReports!M23&lt;=69,"Battery D",
  --MacReports!M23&lt;=80,"Battery C",
 --MacReports!M23&gt;80,""
)</f>
        <v>Battery Defect</v>
      </c>
      <c r="O23" s="16" t="str">
        <f>IF(MacReports!I23="Service","Battery Service","")</f>
        <v/>
      </c>
      <c r="P23" s="13">
        <f>MacReports!P23</f>
        <v>0</v>
      </c>
      <c r="Q23" s="13" t="str">
        <f>IF(MacReports!J23="Enabled","Apple ID Lock","")</f>
        <v/>
      </c>
      <c r="R23" s="13" t="str">
        <f>IF(MacReports!L23="y","Remote Locked","")</f>
        <v/>
      </c>
      <c r="S23" t="str">
        <f t="shared" si="2"/>
        <v>Battery Defect, 0</v>
      </c>
      <c r="T23" t="str">
        <f>_xlfn.XLOOKUP(B23,Disk_Pivot!G:G,Disk_Pivot!I:I)</f>
        <v>Yes x2</v>
      </c>
      <c r="U23" t="str">
        <f>_xlfn.XLOOKUP(B23,Disk_Pivot!G:G,Disk_Pivot!N:N)</f>
        <v>Pass, Fail</v>
      </c>
      <c r="V23" t="str">
        <f>IF(U23="Fail",MacReports!N23,"")</f>
        <v/>
      </c>
      <c r="AB23" t="str">
        <f t="shared" si="1"/>
        <v/>
      </c>
    </row>
    <row r="24" spans="1:28">
      <c r="A24" t="str">
        <f>MacReports!A24</f>
        <v/>
      </c>
      <c r="B24">
        <f>MacReports!B24</f>
        <v>0</v>
      </c>
      <c r="C24">
        <f>MacReports!C24</f>
        <v>0</v>
      </c>
      <c r="E24" t="e">
        <f>_xlfn.XLOOKUP(G24,Models!A:A,Models!F:F)</f>
        <v>#N/A</v>
      </c>
      <c r="F24" t="str">
        <f>_xlfn.XLOOKUP(B24,MacReports!B:B,MacReports!D:D,"")</f>
        <v/>
      </c>
      <c r="G24" s="13">
        <f>MacReports!E24</f>
        <v>0</v>
      </c>
      <c r="H24" t="e">
        <f>_xlfn.XLOOKUP(G24,Models!A:A,Models!B:B)</f>
        <v>#N/A</v>
      </c>
      <c r="I24" t="e">
        <f>_xlfn.XLOOKUP(G24,Models!A:A,Models!E:E)</f>
        <v>#N/A</v>
      </c>
      <c r="J24" t="e">
        <f>_xlfn.XLOOKUP(G24,Models!A:A,Models!D:D)</f>
        <v>#N/A</v>
      </c>
      <c r="K24">
        <f>MacReports!F24</f>
        <v>0</v>
      </c>
      <c r="L24">
        <f>MacReports!G24</f>
        <v>0</v>
      </c>
      <c r="M24" s="15" t="e" cm="1">
        <f t="array" ref="M24">--_xlfn.LET(
    _xlpm.txt, MacReports!H24,
    _xlpm.chars, MID(_xlpm.txt, _xlfn.SEQUENCE(LEN(_xlpm.txt)), 1),
    _xlfn.TEXTJOIN("", TRUE, IF(ISNUMBER(--_xlpm.chars), _xlpm.chars, ""))
)</f>
        <v>#VALUE!</v>
      </c>
      <c r="N24" s="16" t="str" cm="1">
        <f t="array" ref="N24">_xlfn.IFS(
   --MacReports!M24&lt;55,"Battery Defect",
  -- MacReports!M24&lt;=69,"Battery D",
  --MacReports!M24&lt;=80,"Battery C",
 --MacReports!M24&gt;80,""
)</f>
        <v>Battery Defect</v>
      </c>
      <c r="O24" s="16" t="str">
        <f>IF(MacReports!I24="Service","Battery Service","")</f>
        <v/>
      </c>
      <c r="P24" s="13">
        <f>MacReports!P24</f>
        <v>0</v>
      </c>
      <c r="Q24" s="13" t="str">
        <f>IF(MacReports!J24="Enabled","Apple ID Lock","")</f>
        <v/>
      </c>
      <c r="R24" s="13" t="str">
        <f>IF(MacReports!L24="y","Remote Locked","")</f>
        <v/>
      </c>
      <c r="S24" t="str">
        <f t="shared" si="2"/>
        <v>Battery Defect, 0</v>
      </c>
      <c r="T24" t="str">
        <f>_xlfn.XLOOKUP(B24,Disk_Pivot!G:G,Disk_Pivot!I:I)</f>
        <v>Yes x2</v>
      </c>
      <c r="U24" t="str">
        <f>_xlfn.XLOOKUP(B24,Disk_Pivot!G:G,Disk_Pivot!N:N)</f>
        <v>Pass, Fail</v>
      </c>
      <c r="V24" t="str">
        <f>IF(U24="Fail",MacReports!N24,"")</f>
        <v/>
      </c>
      <c r="AB24" t="str">
        <f t="shared" si="1"/>
        <v/>
      </c>
    </row>
    <row r="25" spans="1:28">
      <c r="A25" t="str">
        <f>MacReports!A25</f>
        <v/>
      </c>
      <c r="B25">
        <f>MacReports!B25</f>
        <v>0</v>
      </c>
      <c r="C25">
        <f>MacReports!C25</f>
        <v>0</v>
      </c>
      <c r="E25" t="e">
        <f>_xlfn.XLOOKUP(G25,Models!A:A,Models!F:F)</f>
        <v>#N/A</v>
      </c>
      <c r="F25" t="str">
        <f>_xlfn.XLOOKUP(B25,MacReports!B:B,MacReports!D:D,"")</f>
        <v/>
      </c>
      <c r="G25" s="13">
        <f>MacReports!E25</f>
        <v>0</v>
      </c>
      <c r="H25" t="e">
        <f>_xlfn.XLOOKUP(G25,Models!A:A,Models!B:B)</f>
        <v>#N/A</v>
      </c>
      <c r="I25" t="e">
        <f>_xlfn.XLOOKUP(G25,Models!A:A,Models!E:E)</f>
        <v>#N/A</v>
      </c>
      <c r="J25" t="e">
        <f>_xlfn.XLOOKUP(G25,Models!A:A,Models!D:D)</f>
        <v>#N/A</v>
      </c>
      <c r="K25">
        <f>MacReports!F25</f>
        <v>0</v>
      </c>
      <c r="L25">
        <f>MacReports!G25</f>
        <v>0</v>
      </c>
      <c r="M25" s="15" t="e" cm="1">
        <f t="array" ref="M25">--_xlfn.LET(
    _xlpm.txt, MacReports!H25,
    _xlpm.chars, MID(_xlpm.txt, _xlfn.SEQUENCE(LEN(_xlpm.txt)), 1),
    _xlfn.TEXTJOIN("", TRUE, IF(ISNUMBER(--_xlpm.chars), _xlpm.chars, ""))
)</f>
        <v>#VALUE!</v>
      </c>
      <c r="N25" s="16" t="str" cm="1">
        <f t="array" ref="N25">_xlfn.IFS(
   --MacReports!M25&lt;55,"Battery Defect",
  -- MacReports!M25&lt;=69,"Battery D",
  --MacReports!M25&lt;=80,"Battery C",
 --MacReports!M25&gt;80,""
)</f>
        <v>Battery Defect</v>
      </c>
      <c r="O25" s="16" t="str">
        <f>IF(MacReports!I25="Service","Battery Service","")</f>
        <v/>
      </c>
      <c r="P25" s="13">
        <f>MacReports!P25</f>
        <v>0</v>
      </c>
      <c r="Q25" s="13" t="str">
        <f>IF(MacReports!J25="Enabled","Apple ID Lock","")</f>
        <v/>
      </c>
      <c r="R25" s="13" t="str">
        <f>IF(MacReports!L25="y","Remote Locked","")</f>
        <v/>
      </c>
      <c r="S25" t="str">
        <f t="shared" si="2"/>
        <v>Battery Defect, 0</v>
      </c>
      <c r="T25" t="str">
        <f>_xlfn.XLOOKUP(B25,Disk_Pivot!G:G,Disk_Pivot!I:I)</f>
        <v>Yes x2</v>
      </c>
      <c r="U25" t="str">
        <f>_xlfn.XLOOKUP(B25,Disk_Pivot!G:G,Disk_Pivot!N:N)</f>
        <v>Pass, Fail</v>
      </c>
      <c r="V25" t="str">
        <f>IF(U25="Fail",MacReports!N25,"")</f>
        <v/>
      </c>
      <c r="AB25" t="str">
        <f t="shared" si="1"/>
        <v/>
      </c>
    </row>
    <row r="26" spans="1:28">
      <c r="A26" t="str">
        <f>MacReports!A26</f>
        <v/>
      </c>
      <c r="B26">
        <f>MacReports!B26</f>
        <v>0</v>
      </c>
      <c r="C26">
        <f>MacReports!C26</f>
        <v>0</v>
      </c>
      <c r="E26" t="e">
        <f>_xlfn.XLOOKUP(G26,Models!A:A,Models!F:F)</f>
        <v>#N/A</v>
      </c>
      <c r="F26" t="str">
        <f>_xlfn.XLOOKUP(B26,MacReports!B:B,MacReports!D:D,"")</f>
        <v/>
      </c>
      <c r="G26" s="13">
        <f>MacReports!E26</f>
        <v>0</v>
      </c>
      <c r="H26" t="e">
        <f>_xlfn.XLOOKUP(G26,Models!A:A,Models!B:B)</f>
        <v>#N/A</v>
      </c>
      <c r="I26" t="e">
        <f>_xlfn.XLOOKUP(G26,Models!A:A,Models!E:E)</f>
        <v>#N/A</v>
      </c>
      <c r="J26" t="e">
        <f>_xlfn.XLOOKUP(G26,Models!A:A,Models!D:D)</f>
        <v>#N/A</v>
      </c>
      <c r="K26">
        <f>MacReports!F26</f>
        <v>0</v>
      </c>
      <c r="L26">
        <f>MacReports!G26</f>
        <v>0</v>
      </c>
      <c r="M26" s="15" t="e" cm="1">
        <f t="array" ref="M26">--_xlfn.LET(
    _xlpm.txt, MacReports!H26,
    _xlpm.chars, MID(_xlpm.txt, _xlfn.SEQUENCE(LEN(_xlpm.txt)), 1),
    _xlfn.TEXTJOIN("", TRUE, IF(ISNUMBER(--_xlpm.chars), _xlpm.chars, ""))
)</f>
        <v>#VALUE!</v>
      </c>
      <c r="N26" s="16" t="str" cm="1">
        <f t="array" ref="N26">_xlfn.IFS(
   --MacReports!M26&lt;55,"Battery Defect",
  -- MacReports!M26&lt;=69,"Battery D",
  --MacReports!M26&lt;=80,"Battery C",
 --MacReports!M26&gt;80,""
)</f>
        <v>Battery Defect</v>
      </c>
      <c r="O26" s="16" t="str">
        <f>IF(MacReports!I26="Service","Battery Service","")</f>
        <v/>
      </c>
      <c r="P26" s="13">
        <f>MacReports!P26</f>
        <v>0</v>
      </c>
      <c r="Q26" s="13" t="str">
        <f>IF(MacReports!J26="Enabled","Apple ID Lock","")</f>
        <v/>
      </c>
      <c r="R26" s="13" t="str">
        <f>IF(MacReports!L26="y","Remote Locked","")</f>
        <v/>
      </c>
      <c r="S26" t="str">
        <f t="shared" si="2"/>
        <v>Battery Defect, 0</v>
      </c>
      <c r="T26" t="str">
        <f>_xlfn.XLOOKUP(B26,Disk_Pivot!G:G,Disk_Pivot!I:I)</f>
        <v>Yes x2</v>
      </c>
      <c r="U26" t="str">
        <f>_xlfn.XLOOKUP(B26,Disk_Pivot!G:G,Disk_Pivot!N:N)</f>
        <v>Pass, Fail</v>
      </c>
      <c r="V26" t="str">
        <f>IF(U26="Fail",MacReports!N26,"")</f>
        <v/>
      </c>
      <c r="AB26" t="str">
        <f t="shared" si="1"/>
        <v/>
      </c>
    </row>
    <row r="27" spans="1:28">
      <c r="A27" t="str">
        <f>MacReports!A27</f>
        <v/>
      </c>
      <c r="B27">
        <f>MacReports!B27</f>
        <v>0</v>
      </c>
      <c r="C27">
        <f>MacReports!C27</f>
        <v>0</v>
      </c>
      <c r="E27" t="e">
        <f>_xlfn.XLOOKUP(G27,Models!A:A,Models!F:F)</f>
        <v>#N/A</v>
      </c>
      <c r="F27" t="str">
        <f>_xlfn.XLOOKUP(B27,MacReports!B:B,MacReports!D:D,"")</f>
        <v/>
      </c>
      <c r="G27" s="13">
        <f>MacReports!E27</f>
        <v>0</v>
      </c>
      <c r="H27" t="e">
        <f>_xlfn.XLOOKUP(G27,Models!A:A,Models!B:B)</f>
        <v>#N/A</v>
      </c>
      <c r="I27" t="e">
        <f>_xlfn.XLOOKUP(G27,Models!A:A,Models!E:E)</f>
        <v>#N/A</v>
      </c>
      <c r="J27" t="e">
        <f>_xlfn.XLOOKUP(G27,Models!A:A,Models!D:D)</f>
        <v>#N/A</v>
      </c>
      <c r="K27">
        <f>MacReports!F27</f>
        <v>0</v>
      </c>
      <c r="L27">
        <f>MacReports!G27</f>
        <v>0</v>
      </c>
      <c r="M27" s="15" t="e" cm="1">
        <f t="array" ref="M27">--_xlfn.LET(
    _xlpm.txt, MacReports!H27,
    _xlpm.chars, MID(_xlpm.txt, _xlfn.SEQUENCE(LEN(_xlpm.txt)), 1),
    _xlfn.TEXTJOIN("", TRUE, IF(ISNUMBER(--_xlpm.chars), _xlpm.chars, ""))
)</f>
        <v>#VALUE!</v>
      </c>
      <c r="N27" s="16" t="str" cm="1">
        <f t="array" ref="N27">_xlfn.IFS(
   --MacReports!M27&lt;55,"Battery Defect",
  -- MacReports!M27&lt;=69,"Battery D",
  --MacReports!M27&lt;=80,"Battery C",
 --MacReports!M27&gt;80,""
)</f>
        <v>Battery Defect</v>
      </c>
      <c r="O27" s="16" t="str">
        <f>IF(MacReports!I27="Service","Battery Service","")</f>
        <v/>
      </c>
      <c r="P27" s="13">
        <f>MacReports!P27</f>
        <v>0</v>
      </c>
      <c r="Q27" s="13" t="str">
        <f>IF(MacReports!J27="Enabled","Apple ID Lock","")</f>
        <v/>
      </c>
      <c r="R27" s="13" t="str">
        <f>IF(MacReports!L27="y","Remote Locked","")</f>
        <v/>
      </c>
      <c r="S27" t="str">
        <f t="shared" si="2"/>
        <v>Battery Defect, 0</v>
      </c>
      <c r="T27" t="str">
        <f>_xlfn.XLOOKUP(B27,Disk_Pivot!G:G,Disk_Pivot!I:I)</f>
        <v>Yes x2</v>
      </c>
      <c r="U27" t="str">
        <f>_xlfn.XLOOKUP(B27,Disk_Pivot!G:G,Disk_Pivot!N:N)</f>
        <v>Pass, Fail</v>
      </c>
      <c r="V27" t="str">
        <f>IF(U27="Fail",MacReports!N27,"")</f>
        <v/>
      </c>
      <c r="AB27" t="str">
        <f t="shared" si="1"/>
        <v/>
      </c>
    </row>
    <row r="28" spans="1:28">
      <c r="A28" t="str">
        <f>MacReports!A28</f>
        <v/>
      </c>
      <c r="B28">
        <f>MacReports!B28</f>
        <v>0</v>
      </c>
      <c r="C28">
        <f>MacReports!C28</f>
        <v>0</v>
      </c>
      <c r="E28" t="e">
        <f>_xlfn.XLOOKUP(G28,Models!A:A,Models!F:F)</f>
        <v>#N/A</v>
      </c>
      <c r="F28" t="str">
        <f>_xlfn.XLOOKUP(B28,MacReports!B:B,MacReports!D:D,"")</f>
        <v/>
      </c>
      <c r="G28" s="13">
        <f>MacReports!E28</f>
        <v>0</v>
      </c>
      <c r="H28" t="e">
        <f>_xlfn.XLOOKUP(G28,Models!A:A,Models!B:B)</f>
        <v>#N/A</v>
      </c>
      <c r="I28" t="e">
        <f>_xlfn.XLOOKUP(G28,Models!A:A,Models!E:E)</f>
        <v>#N/A</v>
      </c>
      <c r="J28" t="e">
        <f>_xlfn.XLOOKUP(G28,Models!A:A,Models!D:D)</f>
        <v>#N/A</v>
      </c>
      <c r="K28">
        <f>MacReports!F28</f>
        <v>0</v>
      </c>
      <c r="L28">
        <f>MacReports!G28</f>
        <v>0</v>
      </c>
      <c r="M28" s="15" t="e" cm="1">
        <f t="array" ref="M28">--_xlfn.LET(
    _xlpm.txt, MacReports!H28,
    _xlpm.chars, MID(_xlpm.txt, _xlfn.SEQUENCE(LEN(_xlpm.txt)), 1),
    _xlfn.TEXTJOIN("", TRUE, IF(ISNUMBER(--_xlpm.chars), _xlpm.chars, ""))
)</f>
        <v>#VALUE!</v>
      </c>
      <c r="N28" s="16" t="str" cm="1">
        <f t="array" ref="N28">_xlfn.IFS(
   --MacReports!M28&lt;55,"Battery Defect",
  -- MacReports!M28&lt;=69,"Battery D",
  --MacReports!M28&lt;=80,"Battery C",
 --MacReports!M28&gt;80,""
)</f>
        <v>Battery Defect</v>
      </c>
      <c r="O28" s="16" t="str">
        <f>IF(MacReports!I28="Service","Battery Service","")</f>
        <v/>
      </c>
      <c r="P28" s="13">
        <f>MacReports!P28</f>
        <v>0</v>
      </c>
      <c r="Q28" s="13" t="str">
        <f>IF(MacReports!J28="Enabled","Apple ID Lock","")</f>
        <v/>
      </c>
      <c r="R28" s="13" t="str">
        <f>IF(MacReports!L28="y","Remote Locked","")</f>
        <v/>
      </c>
      <c r="S28" t="str">
        <f t="shared" si="2"/>
        <v>Battery Defect, 0</v>
      </c>
      <c r="T28" t="str">
        <f>_xlfn.XLOOKUP(B28,Disk_Pivot!G:G,Disk_Pivot!I:I)</f>
        <v>Yes x2</v>
      </c>
      <c r="U28" t="str">
        <f>_xlfn.XLOOKUP(B28,Disk_Pivot!G:G,Disk_Pivot!N:N)</f>
        <v>Pass, Fail</v>
      </c>
      <c r="V28" t="str">
        <f>IF(U28="Fail",MacReports!N28,"")</f>
        <v/>
      </c>
      <c r="AB28" t="str">
        <f t="shared" si="1"/>
        <v/>
      </c>
    </row>
    <row r="29" spans="1:28">
      <c r="A29" t="str">
        <f>MacReports!A29</f>
        <v/>
      </c>
      <c r="B29">
        <f>MacReports!B29</f>
        <v>0</v>
      </c>
      <c r="C29">
        <f>MacReports!C29</f>
        <v>0</v>
      </c>
      <c r="E29" t="e">
        <f>_xlfn.XLOOKUP(G29,Models!A:A,Models!F:F)</f>
        <v>#N/A</v>
      </c>
      <c r="F29" t="str">
        <f>_xlfn.XLOOKUP(B29,MacReports!B:B,MacReports!D:D,"")</f>
        <v/>
      </c>
      <c r="G29" s="13">
        <f>MacReports!E29</f>
        <v>0</v>
      </c>
      <c r="H29" t="e">
        <f>_xlfn.XLOOKUP(G29,Models!A:A,Models!B:B)</f>
        <v>#N/A</v>
      </c>
      <c r="I29" t="e">
        <f>_xlfn.XLOOKUP(G29,Models!A:A,Models!E:E)</f>
        <v>#N/A</v>
      </c>
      <c r="J29" t="e">
        <f>_xlfn.XLOOKUP(G29,Models!A:A,Models!D:D)</f>
        <v>#N/A</v>
      </c>
      <c r="K29">
        <f>MacReports!F29</f>
        <v>0</v>
      </c>
      <c r="L29">
        <f>MacReports!G29</f>
        <v>0</v>
      </c>
      <c r="M29" s="15" t="e" cm="1">
        <f t="array" ref="M29">--_xlfn.LET(
    _xlpm.txt, MacReports!H29,
    _xlpm.chars, MID(_xlpm.txt, _xlfn.SEQUENCE(LEN(_xlpm.txt)), 1),
    _xlfn.TEXTJOIN("", TRUE, IF(ISNUMBER(--_xlpm.chars), _xlpm.chars, ""))
)</f>
        <v>#VALUE!</v>
      </c>
      <c r="N29" s="16" t="str" cm="1">
        <f t="array" ref="N29">_xlfn.IFS(
   --MacReports!M29&lt;55,"Battery Defect",
  -- MacReports!M29&lt;=69,"Battery D",
  --MacReports!M29&lt;=80,"Battery C",
 --MacReports!M29&gt;80,""
)</f>
        <v>Battery Defect</v>
      </c>
      <c r="O29" s="16" t="str">
        <f>IF(MacReports!I29="Service","Battery Service","")</f>
        <v/>
      </c>
      <c r="P29" s="13">
        <f>MacReports!P29</f>
        <v>0</v>
      </c>
      <c r="Q29" s="13" t="str">
        <f>IF(MacReports!J29="Enabled","Apple ID Lock","")</f>
        <v/>
      </c>
      <c r="R29" s="13" t="str">
        <f>IF(MacReports!L29="y","Remote Locked","")</f>
        <v/>
      </c>
      <c r="S29" t="str">
        <f t="shared" si="2"/>
        <v>Battery Defect, 0</v>
      </c>
      <c r="T29" t="str">
        <f>_xlfn.XLOOKUP(B29,Disk_Pivot!G:G,Disk_Pivot!I:I)</f>
        <v>Yes x2</v>
      </c>
      <c r="U29" t="str">
        <f>_xlfn.XLOOKUP(B29,Disk_Pivot!G:G,Disk_Pivot!N:N)</f>
        <v>Pass, Fail</v>
      </c>
      <c r="V29" t="str">
        <f>IF(U29="Fail",MacReports!N29,"")</f>
        <v/>
      </c>
      <c r="AB29" t="str">
        <f t="shared" si="1"/>
        <v/>
      </c>
    </row>
    <row r="30" spans="1:28">
      <c r="A30" t="str">
        <f>MacReports!A30</f>
        <v/>
      </c>
      <c r="B30">
        <f>MacReports!B30</f>
        <v>0</v>
      </c>
      <c r="C30">
        <f>MacReports!C30</f>
        <v>0</v>
      </c>
      <c r="E30" t="e">
        <f>_xlfn.XLOOKUP(G30,Models!A:A,Models!F:F)</f>
        <v>#N/A</v>
      </c>
      <c r="F30" t="str">
        <f>_xlfn.XLOOKUP(B30,MacReports!B:B,MacReports!D:D,"")</f>
        <v/>
      </c>
      <c r="G30" s="13">
        <f>MacReports!E30</f>
        <v>0</v>
      </c>
      <c r="H30" t="e">
        <f>_xlfn.XLOOKUP(G30,Models!A:A,Models!B:B)</f>
        <v>#N/A</v>
      </c>
      <c r="I30" t="e">
        <f>_xlfn.XLOOKUP(G30,Models!A:A,Models!E:E)</f>
        <v>#N/A</v>
      </c>
      <c r="J30" t="e">
        <f>_xlfn.XLOOKUP(G30,Models!A:A,Models!D:D)</f>
        <v>#N/A</v>
      </c>
      <c r="K30">
        <f>MacReports!F30</f>
        <v>0</v>
      </c>
      <c r="L30">
        <f>MacReports!G30</f>
        <v>0</v>
      </c>
      <c r="M30" s="15" t="e" cm="1">
        <f t="array" ref="M30">--_xlfn.LET(
    _xlpm.txt, MacReports!H30,
    _xlpm.chars, MID(_xlpm.txt, _xlfn.SEQUENCE(LEN(_xlpm.txt)), 1),
    _xlfn.TEXTJOIN("", TRUE, IF(ISNUMBER(--_xlpm.chars), _xlpm.chars, ""))
)</f>
        <v>#VALUE!</v>
      </c>
      <c r="N30" s="16" t="str" cm="1">
        <f t="array" ref="N30">_xlfn.IFS(
   --MacReports!M30&lt;55,"Battery Defect",
  -- MacReports!M30&lt;=69,"Battery D",
  --MacReports!M30&lt;=80,"Battery C",
 --MacReports!M30&gt;80,""
)</f>
        <v>Battery Defect</v>
      </c>
      <c r="O30" s="16" t="str">
        <f>IF(MacReports!I30="Service","Battery Service","")</f>
        <v/>
      </c>
      <c r="P30" s="13">
        <f>MacReports!P30</f>
        <v>0</v>
      </c>
      <c r="Q30" s="13" t="str">
        <f>IF(MacReports!J30="Enabled","Apple ID Lock","")</f>
        <v/>
      </c>
      <c r="R30" s="13" t="str">
        <f>IF(MacReports!L30="y","Remote Locked","")</f>
        <v/>
      </c>
      <c r="S30" t="str">
        <f t="shared" si="2"/>
        <v>Battery Defect, 0</v>
      </c>
      <c r="T30" t="str">
        <f>_xlfn.XLOOKUP(B30,Disk_Pivot!G:G,Disk_Pivot!I:I)</f>
        <v>Yes x2</v>
      </c>
      <c r="U30" t="str">
        <f>_xlfn.XLOOKUP(B30,Disk_Pivot!G:G,Disk_Pivot!N:N)</f>
        <v>Pass, Fail</v>
      </c>
      <c r="V30" t="str">
        <f>IF(U30="Fail",MacReports!N30,"")</f>
        <v/>
      </c>
      <c r="AB30" t="str">
        <f t="shared" si="1"/>
        <v/>
      </c>
    </row>
    <row r="31" spans="1:28">
      <c r="A31" t="str">
        <f>MacReports!A31</f>
        <v/>
      </c>
      <c r="B31">
        <f>MacReports!B31</f>
        <v>0</v>
      </c>
      <c r="C31">
        <f>MacReports!C31</f>
        <v>0</v>
      </c>
      <c r="E31" t="e">
        <f>_xlfn.XLOOKUP(G31,Models!A:A,Models!F:F)</f>
        <v>#N/A</v>
      </c>
      <c r="F31" t="str">
        <f>_xlfn.XLOOKUP(B31,MacReports!B:B,MacReports!D:D,"")</f>
        <v/>
      </c>
      <c r="G31" s="13">
        <f>MacReports!E31</f>
        <v>0</v>
      </c>
      <c r="H31" t="e">
        <f>_xlfn.XLOOKUP(G31,Models!A:A,Models!B:B)</f>
        <v>#N/A</v>
      </c>
      <c r="I31" t="e">
        <f>_xlfn.XLOOKUP(G31,Models!A:A,Models!E:E)</f>
        <v>#N/A</v>
      </c>
      <c r="J31" t="e">
        <f>_xlfn.XLOOKUP(G31,Models!A:A,Models!D:D)</f>
        <v>#N/A</v>
      </c>
      <c r="K31">
        <f>MacReports!F31</f>
        <v>0</v>
      </c>
      <c r="L31">
        <f>MacReports!G31</f>
        <v>0</v>
      </c>
      <c r="M31" s="15" t="e" cm="1">
        <f t="array" ref="M31">--_xlfn.LET(
    _xlpm.txt, MacReports!H31,
    _xlpm.chars, MID(_xlpm.txt, _xlfn.SEQUENCE(LEN(_xlpm.txt)), 1),
    _xlfn.TEXTJOIN("", TRUE, IF(ISNUMBER(--_xlpm.chars), _xlpm.chars, ""))
)</f>
        <v>#VALUE!</v>
      </c>
      <c r="N31" s="16" t="str" cm="1">
        <f t="array" ref="N31">_xlfn.IFS(
   --MacReports!M31&lt;55,"Battery Defect",
  -- MacReports!M31&lt;=69,"Battery D",
  --MacReports!M31&lt;=80,"Battery C",
 --MacReports!M31&gt;80,""
)</f>
        <v>Battery Defect</v>
      </c>
      <c r="O31" s="16" t="str">
        <f>IF(MacReports!I31="Service","Battery Service","")</f>
        <v/>
      </c>
      <c r="P31" s="13">
        <f>MacReports!P31</f>
        <v>0</v>
      </c>
      <c r="Q31" s="13" t="str">
        <f>IF(MacReports!J31="Enabled","Apple ID Lock","")</f>
        <v/>
      </c>
      <c r="R31" s="13" t="str">
        <f>IF(MacReports!L31="y","Remote Locked","")</f>
        <v/>
      </c>
      <c r="S31" t="str">
        <f t="shared" si="2"/>
        <v>Battery Defect, 0</v>
      </c>
      <c r="T31" t="str">
        <f>_xlfn.XLOOKUP(B31,Disk_Pivot!G:G,Disk_Pivot!I:I)</f>
        <v>Yes x2</v>
      </c>
      <c r="U31" t="str">
        <f>_xlfn.XLOOKUP(B31,Disk_Pivot!G:G,Disk_Pivot!N:N)</f>
        <v>Pass, Fail</v>
      </c>
      <c r="V31" t="str">
        <f>IF(U31="Fail",MacReports!N31,"")</f>
        <v/>
      </c>
      <c r="AB31" t="str">
        <f t="shared" si="1"/>
        <v/>
      </c>
    </row>
    <row r="32" spans="1:28">
      <c r="A32" t="str">
        <f>MacReports!A32</f>
        <v/>
      </c>
      <c r="B32">
        <f>MacReports!B32</f>
        <v>0</v>
      </c>
      <c r="C32">
        <f>MacReports!C32</f>
        <v>0</v>
      </c>
      <c r="E32" t="e">
        <f>_xlfn.XLOOKUP(G32,Models!A:A,Models!F:F)</f>
        <v>#N/A</v>
      </c>
      <c r="F32" t="str">
        <f>_xlfn.XLOOKUP(B32,MacReports!B:B,MacReports!D:D,"")</f>
        <v/>
      </c>
      <c r="G32" s="13">
        <f>MacReports!E32</f>
        <v>0</v>
      </c>
      <c r="H32" t="e">
        <f>_xlfn.XLOOKUP(G32,Models!A:A,Models!B:B)</f>
        <v>#N/A</v>
      </c>
      <c r="I32" t="e">
        <f>_xlfn.XLOOKUP(G32,Models!A:A,Models!E:E)</f>
        <v>#N/A</v>
      </c>
      <c r="J32" t="e">
        <f>_xlfn.XLOOKUP(G32,Models!A:A,Models!D:D)</f>
        <v>#N/A</v>
      </c>
      <c r="K32">
        <f>MacReports!F32</f>
        <v>0</v>
      </c>
      <c r="L32">
        <f>MacReports!G32</f>
        <v>0</v>
      </c>
      <c r="M32" s="15" t="e" cm="1">
        <f t="array" ref="M32">--_xlfn.LET(
    _xlpm.txt, MacReports!H32,
    _xlpm.chars, MID(_xlpm.txt, _xlfn.SEQUENCE(LEN(_xlpm.txt)), 1),
    _xlfn.TEXTJOIN("", TRUE, IF(ISNUMBER(--_xlpm.chars), _xlpm.chars, ""))
)</f>
        <v>#VALUE!</v>
      </c>
      <c r="N32" s="16" t="str" cm="1">
        <f t="array" ref="N32">_xlfn.IFS(
   --MacReports!M32&lt;55,"Battery Defect",
  -- MacReports!M32&lt;=69,"Battery D",
  --MacReports!M32&lt;=80,"Battery C",
 --MacReports!M32&gt;80,""
)</f>
        <v>Battery Defect</v>
      </c>
      <c r="O32" s="16" t="str">
        <f>IF(MacReports!I32="Service","Battery Service","")</f>
        <v/>
      </c>
      <c r="P32" s="13">
        <f>MacReports!P32</f>
        <v>0</v>
      </c>
      <c r="Q32" s="13" t="str">
        <f>IF(MacReports!J32="Enabled","Apple ID Lock","")</f>
        <v/>
      </c>
      <c r="R32" s="13" t="str">
        <f>IF(MacReports!L32="y","Remote Locked","")</f>
        <v/>
      </c>
      <c r="S32" t="str">
        <f t="shared" si="2"/>
        <v>Battery Defect, 0</v>
      </c>
      <c r="T32" t="str">
        <f>_xlfn.XLOOKUP(B32,Disk_Pivot!G:G,Disk_Pivot!I:I)</f>
        <v>Yes x2</v>
      </c>
      <c r="U32" t="str">
        <f>_xlfn.XLOOKUP(B32,Disk_Pivot!G:G,Disk_Pivot!N:N)</f>
        <v>Pass, Fail</v>
      </c>
      <c r="V32" t="str">
        <f>IF(U32="Fail",MacReports!N32,"")</f>
        <v/>
      </c>
      <c r="AB32" t="str">
        <f t="shared" si="1"/>
        <v/>
      </c>
    </row>
    <row r="33" spans="1:28">
      <c r="A33" t="str">
        <f>MacReports!A33</f>
        <v/>
      </c>
      <c r="B33">
        <f>MacReports!B33</f>
        <v>0</v>
      </c>
      <c r="C33">
        <f>MacReports!C33</f>
        <v>0</v>
      </c>
      <c r="E33" t="e">
        <f>_xlfn.XLOOKUP(G33,Models!A:A,Models!F:F)</f>
        <v>#N/A</v>
      </c>
      <c r="F33" t="str">
        <f>_xlfn.XLOOKUP(B33,MacReports!B:B,MacReports!D:D,"")</f>
        <v/>
      </c>
      <c r="G33" s="13">
        <f>MacReports!E33</f>
        <v>0</v>
      </c>
      <c r="H33" t="e">
        <f>_xlfn.XLOOKUP(G33,Models!A:A,Models!B:B)</f>
        <v>#N/A</v>
      </c>
      <c r="I33" t="e">
        <f>_xlfn.XLOOKUP(G33,Models!A:A,Models!E:E)</f>
        <v>#N/A</v>
      </c>
      <c r="J33" t="e">
        <f>_xlfn.XLOOKUP(G33,Models!A:A,Models!D:D)</f>
        <v>#N/A</v>
      </c>
      <c r="K33">
        <f>MacReports!F33</f>
        <v>0</v>
      </c>
      <c r="L33">
        <f>MacReports!G33</f>
        <v>0</v>
      </c>
      <c r="M33" s="15" t="e" cm="1">
        <f t="array" ref="M33">--_xlfn.LET(
    _xlpm.txt, MacReports!H33,
    _xlpm.chars, MID(_xlpm.txt, _xlfn.SEQUENCE(LEN(_xlpm.txt)), 1),
    _xlfn.TEXTJOIN("", TRUE, IF(ISNUMBER(--_xlpm.chars), _xlpm.chars, ""))
)</f>
        <v>#VALUE!</v>
      </c>
      <c r="N33" s="16" t="str" cm="1">
        <f t="array" ref="N33">_xlfn.IFS(
   --MacReports!M33&lt;55,"Battery Defect",
  -- MacReports!M33&lt;=69,"Battery D",
  --MacReports!M33&lt;=80,"Battery C",
 --MacReports!M33&gt;80,""
)</f>
        <v>Battery Defect</v>
      </c>
      <c r="O33" s="16" t="str">
        <f>IF(MacReports!I33="Service","Battery Service","")</f>
        <v/>
      </c>
      <c r="P33" s="13">
        <f>MacReports!P33</f>
        <v>0</v>
      </c>
      <c r="Q33" s="13" t="str">
        <f>IF(MacReports!J33="Enabled","Apple ID Lock","")</f>
        <v/>
      </c>
      <c r="R33" s="13" t="str">
        <f>IF(MacReports!L33="y","Remote Locked","")</f>
        <v/>
      </c>
      <c r="S33" t="str">
        <f t="shared" si="2"/>
        <v>Battery Defect, 0</v>
      </c>
      <c r="T33" t="str">
        <f>_xlfn.XLOOKUP(B33,Disk_Pivot!G:G,Disk_Pivot!I:I)</f>
        <v>Yes x2</v>
      </c>
      <c r="U33" t="str">
        <f>_xlfn.XLOOKUP(B33,Disk_Pivot!G:G,Disk_Pivot!N:N)</f>
        <v>Pass, Fail</v>
      </c>
      <c r="V33" t="str">
        <f>IF(U33="Fail",MacReports!N33,"")</f>
        <v/>
      </c>
      <c r="AB33" t="str">
        <f t="shared" si="1"/>
        <v/>
      </c>
    </row>
    <row r="34" spans="1:28">
      <c r="A34" t="str">
        <f>MacReports!A34</f>
        <v/>
      </c>
      <c r="B34">
        <f>MacReports!B34</f>
        <v>0</v>
      </c>
      <c r="C34">
        <f>MacReports!C34</f>
        <v>0</v>
      </c>
      <c r="E34" t="e">
        <f>_xlfn.XLOOKUP(G34,Models!A:A,Models!F:F)</f>
        <v>#N/A</v>
      </c>
      <c r="F34" t="str">
        <f>_xlfn.XLOOKUP(B34,MacReports!B:B,MacReports!D:D,"")</f>
        <v/>
      </c>
      <c r="G34" s="13">
        <f>MacReports!E34</f>
        <v>0</v>
      </c>
      <c r="H34" t="e">
        <f>_xlfn.XLOOKUP(G34,Models!A:A,Models!B:B)</f>
        <v>#N/A</v>
      </c>
      <c r="I34" t="e">
        <f>_xlfn.XLOOKUP(G34,Models!A:A,Models!E:E)</f>
        <v>#N/A</v>
      </c>
      <c r="J34" t="e">
        <f>_xlfn.XLOOKUP(G34,Models!A:A,Models!D:D)</f>
        <v>#N/A</v>
      </c>
      <c r="K34">
        <f>MacReports!F34</f>
        <v>0</v>
      </c>
      <c r="L34">
        <f>MacReports!G34</f>
        <v>0</v>
      </c>
      <c r="M34" s="15" t="e" cm="1">
        <f t="array" ref="M34">--_xlfn.LET(
    _xlpm.txt, MacReports!H34,
    _xlpm.chars, MID(_xlpm.txt, _xlfn.SEQUENCE(LEN(_xlpm.txt)), 1),
    _xlfn.TEXTJOIN("", TRUE, IF(ISNUMBER(--_xlpm.chars), _xlpm.chars, ""))
)</f>
        <v>#VALUE!</v>
      </c>
      <c r="N34" s="16" t="str" cm="1">
        <f t="array" ref="N34">_xlfn.IFS(
   --MacReports!M34&lt;55,"Battery Defect",
  -- MacReports!M34&lt;=69,"Battery D",
  --MacReports!M34&lt;=80,"Battery C",
 --MacReports!M34&gt;80,""
)</f>
        <v>Battery Defect</v>
      </c>
      <c r="O34" s="16" t="str">
        <f>IF(MacReports!I34="Service","Battery Service","")</f>
        <v/>
      </c>
      <c r="P34" s="13">
        <f>MacReports!P34</f>
        <v>0</v>
      </c>
      <c r="Q34" s="13" t="str">
        <f>IF(MacReports!J34="Enabled","Apple ID Lock","")</f>
        <v/>
      </c>
      <c r="R34" s="13" t="str">
        <f>IF(MacReports!L34="y","Remote Locked","")</f>
        <v/>
      </c>
      <c r="S34" t="str">
        <f t="shared" si="2"/>
        <v>Battery Defect, 0</v>
      </c>
      <c r="T34" t="str">
        <f>_xlfn.XLOOKUP(B34,Disk_Pivot!G:G,Disk_Pivot!I:I)</f>
        <v>Yes x2</v>
      </c>
      <c r="U34" t="str">
        <f>_xlfn.XLOOKUP(B34,Disk_Pivot!G:G,Disk_Pivot!N:N)</f>
        <v>Pass, Fail</v>
      </c>
      <c r="V34" t="str">
        <f>IF(U34="Fail",MacReports!N34,"")</f>
        <v/>
      </c>
      <c r="AB34" t="str">
        <f t="shared" si="1"/>
        <v/>
      </c>
    </row>
    <row r="35" spans="1:28">
      <c r="A35" t="str">
        <f>MacReports!A35</f>
        <v/>
      </c>
      <c r="B35">
        <f>MacReports!B35</f>
        <v>0</v>
      </c>
      <c r="C35">
        <f>MacReports!C35</f>
        <v>0</v>
      </c>
      <c r="E35" t="e">
        <f>_xlfn.XLOOKUP(G35,Models!A:A,Models!F:F)</f>
        <v>#N/A</v>
      </c>
      <c r="F35" t="str">
        <f>_xlfn.XLOOKUP(B35,MacReports!B:B,MacReports!D:D,"")</f>
        <v/>
      </c>
      <c r="G35" s="13">
        <f>MacReports!E35</f>
        <v>0</v>
      </c>
      <c r="H35" t="e">
        <f>_xlfn.XLOOKUP(G35,Models!A:A,Models!B:B)</f>
        <v>#N/A</v>
      </c>
      <c r="I35" t="e">
        <f>_xlfn.XLOOKUP(G35,Models!A:A,Models!E:E)</f>
        <v>#N/A</v>
      </c>
      <c r="J35" t="e">
        <f>_xlfn.XLOOKUP(G35,Models!A:A,Models!D:D)</f>
        <v>#N/A</v>
      </c>
      <c r="K35">
        <f>MacReports!F35</f>
        <v>0</v>
      </c>
      <c r="L35">
        <f>MacReports!G35</f>
        <v>0</v>
      </c>
      <c r="M35" s="15" t="e" cm="1">
        <f t="array" ref="M35">--_xlfn.LET(
    _xlpm.txt, MacReports!H35,
    _xlpm.chars, MID(_xlpm.txt, _xlfn.SEQUENCE(LEN(_xlpm.txt)), 1),
    _xlfn.TEXTJOIN("", TRUE, IF(ISNUMBER(--_xlpm.chars), _xlpm.chars, ""))
)</f>
        <v>#VALUE!</v>
      </c>
      <c r="N35" s="16" t="str" cm="1">
        <f t="array" ref="N35">_xlfn.IFS(
   --MacReports!M35&lt;55,"Battery Defect",
  -- MacReports!M35&lt;=69,"Battery D",
  --MacReports!M35&lt;=80,"Battery C",
 --MacReports!M35&gt;80,""
)</f>
        <v>Battery Defect</v>
      </c>
      <c r="O35" s="16" t="str">
        <f>IF(MacReports!I35="Service","Battery Service","")</f>
        <v/>
      </c>
      <c r="P35" s="13">
        <f>MacReports!P35</f>
        <v>0</v>
      </c>
      <c r="Q35" s="13" t="str">
        <f>IF(MacReports!J35="Enabled","Apple ID Lock","")</f>
        <v/>
      </c>
      <c r="R35" s="13" t="str">
        <f>IF(MacReports!L35="y","Remote Locked","")</f>
        <v/>
      </c>
      <c r="S35" t="str">
        <f t="shared" ref="S35:S98" si="3">_xlfn.TEXTJOIN(", ",TRUE,Q35,R35,N35,O35,P35)</f>
        <v>Battery Defect, 0</v>
      </c>
      <c r="T35" t="str">
        <f>_xlfn.XLOOKUP(B35,Disk_Pivot!G:G,Disk_Pivot!I:I)</f>
        <v>Yes x2</v>
      </c>
      <c r="U35" t="str">
        <f>_xlfn.XLOOKUP(B35,Disk_Pivot!G:G,Disk_Pivot!N:N)</f>
        <v>Pass, Fail</v>
      </c>
      <c r="V35" t="str">
        <f>IF(U35="Fail",MacReports!N35,"")</f>
        <v/>
      </c>
      <c r="AB35" t="str">
        <f t="shared" ref="AB35:AB98" si="4">_xlfn.TEXTJOIN(", ",TRUE,Q35,R35)</f>
        <v/>
      </c>
    </row>
    <row r="36" spans="1:28">
      <c r="A36" t="str">
        <f>MacReports!A36</f>
        <v/>
      </c>
      <c r="B36">
        <f>MacReports!B36</f>
        <v>0</v>
      </c>
      <c r="C36">
        <f>MacReports!C36</f>
        <v>0</v>
      </c>
      <c r="E36" t="e">
        <f>_xlfn.XLOOKUP(G36,Models!A:A,Models!F:F)</f>
        <v>#N/A</v>
      </c>
      <c r="F36" t="str">
        <f>_xlfn.XLOOKUP(B36,MacReports!B:B,MacReports!D:D,"")</f>
        <v/>
      </c>
      <c r="G36" s="13">
        <f>MacReports!E36</f>
        <v>0</v>
      </c>
      <c r="H36" t="e">
        <f>_xlfn.XLOOKUP(G36,Models!A:A,Models!B:B)</f>
        <v>#N/A</v>
      </c>
      <c r="I36" t="e">
        <f>_xlfn.XLOOKUP(G36,Models!A:A,Models!E:E)</f>
        <v>#N/A</v>
      </c>
      <c r="J36" t="e">
        <f>_xlfn.XLOOKUP(G36,Models!A:A,Models!D:D)</f>
        <v>#N/A</v>
      </c>
      <c r="K36">
        <f>MacReports!F36</f>
        <v>0</v>
      </c>
      <c r="L36">
        <f>MacReports!G36</f>
        <v>0</v>
      </c>
      <c r="M36" s="15" t="e" cm="1">
        <f t="array" ref="M36">--_xlfn.LET(
    _xlpm.txt, MacReports!H36,
    _xlpm.chars, MID(_xlpm.txt, _xlfn.SEQUENCE(LEN(_xlpm.txt)), 1),
    _xlfn.TEXTJOIN("", TRUE, IF(ISNUMBER(--_xlpm.chars), _xlpm.chars, ""))
)</f>
        <v>#VALUE!</v>
      </c>
      <c r="N36" s="16" t="str" cm="1">
        <f t="array" ref="N36">_xlfn.IFS(
   --MacReports!M36&lt;55,"Battery Defect",
  -- MacReports!M36&lt;=69,"Battery D",
  --MacReports!M36&lt;=80,"Battery C",
 --MacReports!M36&gt;80,""
)</f>
        <v>Battery Defect</v>
      </c>
      <c r="O36" s="16" t="str">
        <f>IF(MacReports!I36="Service","Battery Service","")</f>
        <v/>
      </c>
      <c r="P36" s="13">
        <f>MacReports!P36</f>
        <v>0</v>
      </c>
      <c r="Q36" s="13" t="str">
        <f>IF(MacReports!J36="Enabled","Apple ID Lock","")</f>
        <v/>
      </c>
      <c r="R36" s="13" t="str">
        <f>IF(MacReports!L36="y","Remote Locked","")</f>
        <v/>
      </c>
      <c r="S36" t="str">
        <f t="shared" si="3"/>
        <v>Battery Defect, 0</v>
      </c>
      <c r="T36" t="str">
        <f>_xlfn.XLOOKUP(B36,Disk_Pivot!G:G,Disk_Pivot!I:I)</f>
        <v>Yes x2</v>
      </c>
      <c r="U36" t="str">
        <f>_xlfn.XLOOKUP(B36,Disk_Pivot!G:G,Disk_Pivot!N:N)</f>
        <v>Pass, Fail</v>
      </c>
      <c r="V36" t="str">
        <f>IF(U36="Fail",MacReports!N36,"")</f>
        <v/>
      </c>
      <c r="AB36" t="str">
        <f t="shared" si="4"/>
        <v/>
      </c>
    </row>
    <row r="37" spans="1:28">
      <c r="A37" t="str">
        <f>MacReports!A37</f>
        <v/>
      </c>
      <c r="B37">
        <f>MacReports!B37</f>
        <v>0</v>
      </c>
      <c r="C37">
        <f>MacReports!C37</f>
        <v>0</v>
      </c>
      <c r="E37" t="e">
        <f>_xlfn.XLOOKUP(G37,Models!A:A,Models!F:F)</f>
        <v>#N/A</v>
      </c>
      <c r="F37" t="str">
        <f>_xlfn.XLOOKUP(B37,MacReports!B:B,MacReports!D:D,"")</f>
        <v/>
      </c>
      <c r="G37" s="13">
        <f>MacReports!E37</f>
        <v>0</v>
      </c>
      <c r="H37" t="e">
        <f>_xlfn.XLOOKUP(G37,Models!A:A,Models!B:B)</f>
        <v>#N/A</v>
      </c>
      <c r="I37" t="e">
        <f>_xlfn.XLOOKUP(G37,Models!A:A,Models!E:E)</f>
        <v>#N/A</v>
      </c>
      <c r="J37" t="e">
        <f>_xlfn.XLOOKUP(G37,Models!A:A,Models!D:D)</f>
        <v>#N/A</v>
      </c>
      <c r="K37">
        <f>MacReports!F37</f>
        <v>0</v>
      </c>
      <c r="L37">
        <f>MacReports!G37</f>
        <v>0</v>
      </c>
      <c r="M37" s="15" t="e" cm="1">
        <f t="array" ref="M37">--_xlfn.LET(
    _xlpm.txt, MacReports!H37,
    _xlpm.chars, MID(_xlpm.txt, _xlfn.SEQUENCE(LEN(_xlpm.txt)), 1),
    _xlfn.TEXTJOIN("", TRUE, IF(ISNUMBER(--_xlpm.chars), _xlpm.chars, ""))
)</f>
        <v>#VALUE!</v>
      </c>
      <c r="N37" s="16" t="str" cm="1">
        <f t="array" ref="N37">_xlfn.IFS(
   --MacReports!M37&lt;55,"Battery Defect",
  -- MacReports!M37&lt;=69,"Battery D",
  --MacReports!M37&lt;=80,"Battery C",
 --MacReports!M37&gt;80,""
)</f>
        <v>Battery Defect</v>
      </c>
      <c r="O37" s="16" t="str">
        <f>IF(MacReports!I37="Service","Battery Service","")</f>
        <v/>
      </c>
      <c r="P37" s="13">
        <f>MacReports!P37</f>
        <v>0</v>
      </c>
      <c r="Q37" s="13" t="str">
        <f>IF(MacReports!J37="Enabled","Apple ID Lock","")</f>
        <v/>
      </c>
      <c r="R37" s="13" t="str">
        <f>IF(MacReports!L37="y","Remote Locked","")</f>
        <v/>
      </c>
      <c r="S37" t="str">
        <f t="shared" si="3"/>
        <v>Battery Defect, 0</v>
      </c>
      <c r="T37" t="str">
        <f>_xlfn.XLOOKUP(B37,Disk_Pivot!G:G,Disk_Pivot!I:I)</f>
        <v>Yes x2</v>
      </c>
      <c r="U37" t="str">
        <f>_xlfn.XLOOKUP(B37,Disk_Pivot!G:G,Disk_Pivot!N:N)</f>
        <v>Pass, Fail</v>
      </c>
      <c r="V37" t="str">
        <f>IF(U37="Fail",MacReports!N37,"")</f>
        <v/>
      </c>
      <c r="AB37" t="str">
        <f t="shared" si="4"/>
        <v/>
      </c>
    </row>
    <row r="38" spans="1:28">
      <c r="A38" t="str">
        <f>MacReports!A38</f>
        <v/>
      </c>
      <c r="B38">
        <f>MacReports!B38</f>
        <v>0</v>
      </c>
      <c r="C38">
        <f>MacReports!C38</f>
        <v>0</v>
      </c>
      <c r="E38" t="e">
        <f>_xlfn.XLOOKUP(G38,Models!A:A,Models!F:F)</f>
        <v>#N/A</v>
      </c>
      <c r="F38" t="str">
        <f>_xlfn.XLOOKUP(B38,MacReports!B:B,MacReports!D:D,"")</f>
        <v/>
      </c>
      <c r="G38" s="13">
        <f>MacReports!E38</f>
        <v>0</v>
      </c>
      <c r="H38" t="e">
        <f>_xlfn.XLOOKUP(G38,Models!A:A,Models!B:B)</f>
        <v>#N/A</v>
      </c>
      <c r="I38" t="e">
        <f>_xlfn.XLOOKUP(G38,Models!A:A,Models!E:E)</f>
        <v>#N/A</v>
      </c>
      <c r="J38" t="e">
        <f>_xlfn.XLOOKUP(G38,Models!A:A,Models!D:D)</f>
        <v>#N/A</v>
      </c>
      <c r="K38">
        <f>MacReports!F38</f>
        <v>0</v>
      </c>
      <c r="L38">
        <f>MacReports!G38</f>
        <v>0</v>
      </c>
      <c r="M38" s="15" t="e" cm="1">
        <f t="array" ref="M38">--_xlfn.LET(
    _xlpm.txt, MacReports!H38,
    _xlpm.chars, MID(_xlpm.txt, _xlfn.SEQUENCE(LEN(_xlpm.txt)), 1),
    _xlfn.TEXTJOIN("", TRUE, IF(ISNUMBER(--_xlpm.chars), _xlpm.chars, ""))
)</f>
        <v>#VALUE!</v>
      </c>
      <c r="N38" s="16" t="str" cm="1">
        <f t="array" ref="N38">_xlfn.IFS(
   --MacReports!M38&lt;55,"Battery Defect",
  -- MacReports!M38&lt;=69,"Battery D",
  --MacReports!M38&lt;=80,"Battery C",
 --MacReports!M38&gt;80,""
)</f>
        <v>Battery Defect</v>
      </c>
      <c r="O38" s="16" t="str">
        <f>IF(MacReports!I38="Service","Battery Service","")</f>
        <v/>
      </c>
      <c r="P38" s="13">
        <f>MacReports!P38</f>
        <v>0</v>
      </c>
      <c r="Q38" s="13" t="str">
        <f>IF(MacReports!J38="Enabled","Apple ID Lock","")</f>
        <v/>
      </c>
      <c r="R38" s="13" t="str">
        <f>IF(MacReports!L38="y","Remote Locked","")</f>
        <v/>
      </c>
      <c r="S38" t="str">
        <f t="shared" si="3"/>
        <v>Battery Defect, 0</v>
      </c>
      <c r="T38" t="str">
        <f>_xlfn.XLOOKUP(B38,Disk_Pivot!G:G,Disk_Pivot!I:I)</f>
        <v>Yes x2</v>
      </c>
      <c r="U38" t="str">
        <f>_xlfn.XLOOKUP(B38,Disk_Pivot!G:G,Disk_Pivot!N:N)</f>
        <v>Pass, Fail</v>
      </c>
      <c r="V38" t="str">
        <f>IF(U38="Fail",MacReports!N38,"")</f>
        <v/>
      </c>
      <c r="AB38" t="str">
        <f t="shared" si="4"/>
        <v/>
      </c>
    </row>
    <row r="39" spans="1:28">
      <c r="A39" t="str">
        <f>MacReports!A39</f>
        <v/>
      </c>
      <c r="B39">
        <f>MacReports!B39</f>
        <v>0</v>
      </c>
      <c r="C39">
        <f>MacReports!C39</f>
        <v>0</v>
      </c>
      <c r="E39" t="e">
        <f>_xlfn.XLOOKUP(G39,Models!A:A,Models!F:F)</f>
        <v>#N/A</v>
      </c>
      <c r="F39" t="str">
        <f>_xlfn.XLOOKUP(B39,MacReports!B:B,MacReports!D:D,"")</f>
        <v/>
      </c>
      <c r="G39" s="13">
        <f>MacReports!E39</f>
        <v>0</v>
      </c>
      <c r="H39" t="e">
        <f>_xlfn.XLOOKUP(G39,Models!A:A,Models!B:B)</f>
        <v>#N/A</v>
      </c>
      <c r="I39" t="e">
        <f>_xlfn.XLOOKUP(G39,Models!A:A,Models!E:E)</f>
        <v>#N/A</v>
      </c>
      <c r="J39" t="e">
        <f>_xlfn.XLOOKUP(G39,Models!A:A,Models!D:D)</f>
        <v>#N/A</v>
      </c>
      <c r="K39">
        <f>MacReports!F39</f>
        <v>0</v>
      </c>
      <c r="L39">
        <f>MacReports!G39</f>
        <v>0</v>
      </c>
      <c r="M39" s="15" t="e" cm="1">
        <f t="array" ref="M39">--_xlfn.LET(
    _xlpm.txt, MacReports!H39,
    _xlpm.chars, MID(_xlpm.txt, _xlfn.SEQUENCE(LEN(_xlpm.txt)), 1),
    _xlfn.TEXTJOIN("", TRUE, IF(ISNUMBER(--_xlpm.chars), _xlpm.chars, ""))
)</f>
        <v>#VALUE!</v>
      </c>
      <c r="N39" s="16" t="str" cm="1">
        <f t="array" ref="N39">_xlfn.IFS(
   --MacReports!M39&lt;55,"Battery Defect",
  -- MacReports!M39&lt;=69,"Battery D",
  --MacReports!M39&lt;=80,"Battery C",
 --MacReports!M39&gt;80,""
)</f>
        <v>Battery Defect</v>
      </c>
      <c r="O39" s="16" t="str">
        <f>IF(MacReports!I39="Service","Battery Service","")</f>
        <v/>
      </c>
      <c r="P39" s="13">
        <f>MacReports!P39</f>
        <v>0</v>
      </c>
      <c r="Q39" s="13" t="str">
        <f>IF(MacReports!J39="Enabled","Apple ID Lock","")</f>
        <v/>
      </c>
      <c r="R39" s="13" t="str">
        <f>IF(MacReports!L39="y","Remote Locked","")</f>
        <v/>
      </c>
      <c r="S39" t="str">
        <f t="shared" si="3"/>
        <v>Battery Defect, 0</v>
      </c>
      <c r="T39" t="str">
        <f>_xlfn.XLOOKUP(B39,Disk_Pivot!G:G,Disk_Pivot!I:I)</f>
        <v>Yes x2</v>
      </c>
      <c r="U39" t="str">
        <f>_xlfn.XLOOKUP(B39,Disk_Pivot!G:G,Disk_Pivot!N:N)</f>
        <v>Pass, Fail</v>
      </c>
      <c r="V39" t="str">
        <f>IF(U39="Fail",MacReports!N39,"")</f>
        <v/>
      </c>
      <c r="AB39" t="str">
        <f t="shared" si="4"/>
        <v/>
      </c>
    </row>
    <row r="40" spans="1:28">
      <c r="A40" t="str">
        <f>MacReports!A40</f>
        <v/>
      </c>
      <c r="B40">
        <f>MacReports!B40</f>
        <v>0</v>
      </c>
      <c r="C40">
        <f>MacReports!C40</f>
        <v>0</v>
      </c>
      <c r="E40" t="e">
        <f>_xlfn.XLOOKUP(G40,Models!A:A,Models!F:F)</f>
        <v>#N/A</v>
      </c>
      <c r="F40" t="str">
        <f>_xlfn.XLOOKUP(B40,MacReports!B:B,MacReports!D:D,"")</f>
        <v/>
      </c>
      <c r="G40" s="13">
        <f>MacReports!E40</f>
        <v>0</v>
      </c>
      <c r="H40" t="e">
        <f>_xlfn.XLOOKUP(G40,Models!A:A,Models!B:B)</f>
        <v>#N/A</v>
      </c>
      <c r="I40" t="e">
        <f>_xlfn.XLOOKUP(G40,Models!A:A,Models!E:E)</f>
        <v>#N/A</v>
      </c>
      <c r="J40" t="e">
        <f>_xlfn.XLOOKUP(G40,Models!A:A,Models!D:D)</f>
        <v>#N/A</v>
      </c>
      <c r="K40">
        <f>MacReports!F40</f>
        <v>0</v>
      </c>
      <c r="L40">
        <f>MacReports!G40</f>
        <v>0</v>
      </c>
      <c r="M40" s="15" t="e" cm="1">
        <f t="array" ref="M40">--_xlfn.LET(
    _xlpm.txt, MacReports!H40,
    _xlpm.chars, MID(_xlpm.txt, _xlfn.SEQUENCE(LEN(_xlpm.txt)), 1),
    _xlfn.TEXTJOIN("", TRUE, IF(ISNUMBER(--_xlpm.chars), _xlpm.chars, ""))
)</f>
        <v>#VALUE!</v>
      </c>
      <c r="N40" s="16" t="str" cm="1">
        <f t="array" ref="N40">_xlfn.IFS(
   --MacReports!M40&lt;55,"Battery Defect",
  -- MacReports!M40&lt;=69,"Battery D",
  --MacReports!M40&lt;=80,"Battery C",
 --MacReports!M40&gt;80,""
)</f>
        <v>Battery Defect</v>
      </c>
      <c r="O40" s="16" t="str">
        <f>IF(MacReports!I40="Service","Battery Service","")</f>
        <v/>
      </c>
      <c r="P40" s="13">
        <f>MacReports!P40</f>
        <v>0</v>
      </c>
      <c r="Q40" s="13" t="str">
        <f>IF(MacReports!J40="Enabled","Apple ID Lock","")</f>
        <v/>
      </c>
      <c r="R40" s="13" t="str">
        <f>IF(MacReports!L40="y","Remote Locked","")</f>
        <v/>
      </c>
      <c r="S40" t="str">
        <f t="shared" si="3"/>
        <v>Battery Defect, 0</v>
      </c>
      <c r="T40" t="str">
        <f>_xlfn.XLOOKUP(B40,Disk_Pivot!G:G,Disk_Pivot!I:I)</f>
        <v>Yes x2</v>
      </c>
      <c r="U40" t="str">
        <f>_xlfn.XLOOKUP(B40,Disk_Pivot!G:G,Disk_Pivot!N:N)</f>
        <v>Pass, Fail</v>
      </c>
      <c r="V40" t="str">
        <f>IF(U40="Fail",MacReports!N40,"")</f>
        <v/>
      </c>
      <c r="AB40" t="str">
        <f t="shared" si="4"/>
        <v/>
      </c>
    </row>
    <row r="41" spans="1:28">
      <c r="A41" t="str">
        <f>MacReports!A41</f>
        <v/>
      </c>
      <c r="B41">
        <f>MacReports!B41</f>
        <v>0</v>
      </c>
      <c r="C41">
        <f>MacReports!C41</f>
        <v>0</v>
      </c>
      <c r="E41" t="e">
        <f>_xlfn.XLOOKUP(G41,Models!A:A,Models!F:F)</f>
        <v>#N/A</v>
      </c>
      <c r="F41" t="str">
        <f>_xlfn.XLOOKUP(B41,MacReports!B:B,MacReports!D:D,"")</f>
        <v/>
      </c>
      <c r="G41" s="13">
        <f>MacReports!E41</f>
        <v>0</v>
      </c>
      <c r="H41" t="e">
        <f>_xlfn.XLOOKUP(G41,Models!A:A,Models!B:B)</f>
        <v>#N/A</v>
      </c>
      <c r="I41" t="e">
        <f>_xlfn.XLOOKUP(G41,Models!A:A,Models!E:E)</f>
        <v>#N/A</v>
      </c>
      <c r="J41" t="e">
        <f>_xlfn.XLOOKUP(G41,Models!A:A,Models!D:D)</f>
        <v>#N/A</v>
      </c>
      <c r="K41">
        <f>MacReports!F41</f>
        <v>0</v>
      </c>
      <c r="L41">
        <f>MacReports!G41</f>
        <v>0</v>
      </c>
      <c r="M41" s="15" t="e" cm="1">
        <f t="array" ref="M41">--_xlfn.LET(
    _xlpm.txt, MacReports!H41,
    _xlpm.chars, MID(_xlpm.txt, _xlfn.SEQUENCE(LEN(_xlpm.txt)), 1),
    _xlfn.TEXTJOIN("", TRUE, IF(ISNUMBER(--_xlpm.chars), _xlpm.chars, ""))
)</f>
        <v>#VALUE!</v>
      </c>
      <c r="N41" s="16" t="str" cm="1">
        <f t="array" ref="N41">_xlfn.IFS(
   --MacReports!M41&lt;55,"Battery Defect",
  -- MacReports!M41&lt;=69,"Battery D",
  --MacReports!M41&lt;=80,"Battery C",
 --MacReports!M41&gt;80,""
)</f>
        <v>Battery Defect</v>
      </c>
      <c r="O41" s="16" t="str">
        <f>IF(MacReports!I41="Service","Battery Service","")</f>
        <v/>
      </c>
      <c r="P41" s="13">
        <f>MacReports!P41</f>
        <v>0</v>
      </c>
      <c r="Q41" s="13" t="str">
        <f>IF(MacReports!J41="Enabled","Apple ID Lock","")</f>
        <v/>
      </c>
      <c r="R41" s="13" t="str">
        <f>IF(MacReports!L41="y","Remote Locked","")</f>
        <v/>
      </c>
      <c r="S41" t="str">
        <f t="shared" si="3"/>
        <v>Battery Defect, 0</v>
      </c>
      <c r="T41" t="str">
        <f>_xlfn.XLOOKUP(B41,Disk_Pivot!G:G,Disk_Pivot!I:I)</f>
        <v>Yes x2</v>
      </c>
      <c r="U41" t="str">
        <f>_xlfn.XLOOKUP(B41,Disk_Pivot!G:G,Disk_Pivot!N:N)</f>
        <v>Pass, Fail</v>
      </c>
      <c r="V41" t="str">
        <f>IF(U41="Fail",MacReports!N41,"")</f>
        <v/>
      </c>
      <c r="AB41" t="str">
        <f t="shared" si="4"/>
        <v/>
      </c>
    </row>
    <row r="42" spans="1:28">
      <c r="A42" t="str">
        <f>MacReports!A42</f>
        <v/>
      </c>
      <c r="B42">
        <f>MacReports!B42</f>
        <v>0</v>
      </c>
      <c r="C42">
        <f>MacReports!C42</f>
        <v>0</v>
      </c>
      <c r="E42" t="e">
        <f>_xlfn.XLOOKUP(G42,Models!A:A,Models!F:F)</f>
        <v>#N/A</v>
      </c>
      <c r="F42" t="str">
        <f>_xlfn.XLOOKUP(B42,MacReports!B:B,MacReports!D:D,"")</f>
        <v/>
      </c>
      <c r="G42" s="13">
        <f>MacReports!E42</f>
        <v>0</v>
      </c>
      <c r="H42" t="e">
        <f>_xlfn.XLOOKUP(G42,Models!A:A,Models!B:B)</f>
        <v>#N/A</v>
      </c>
      <c r="I42" t="e">
        <f>_xlfn.XLOOKUP(G42,Models!A:A,Models!E:E)</f>
        <v>#N/A</v>
      </c>
      <c r="J42" t="e">
        <f>_xlfn.XLOOKUP(G42,Models!A:A,Models!D:D)</f>
        <v>#N/A</v>
      </c>
      <c r="K42">
        <f>MacReports!F42</f>
        <v>0</v>
      </c>
      <c r="L42">
        <f>MacReports!G42</f>
        <v>0</v>
      </c>
      <c r="M42" s="15" t="e" cm="1">
        <f t="array" ref="M42">--_xlfn.LET(
    _xlpm.txt, MacReports!H42,
    _xlpm.chars, MID(_xlpm.txt, _xlfn.SEQUENCE(LEN(_xlpm.txt)), 1),
    _xlfn.TEXTJOIN("", TRUE, IF(ISNUMBER(--_xlpm.chars), _xlpm.chars, ""))
)</f>
        <v>#VALUE!</v>
      </c>
      <c r="N42" s="16" t="str" cm="1">
        <f t="array" ref="N42">_xlfn.IFS(
   --MacReports!M42&lt;55,"Battery Defect",
  -- MacReports!M42&lt;=69,"Battery D",
  --MacReports!M42&lt;=80,"Battery C",
 --MacReports!M42&gt;80,""
)</f>
        <v>Battery Defect</v>
      </c>
      <c r="O42" s="16" t="str">
        <f>IF(MacReports!I42="Service","Battery Service","")</f>
        <v/>
      </c>
      <c r="P42" s="13">
        <f>MacReports!P42</f>
        <v>0</v>
      </c>
      <c r="Q42" s="13" t="str">
        <f>IF(MacReports!J42="Enabled","Apple ID Lock","")</f>
        <v/>
      </c>
      <c r="R42" s="13" t="str">
        <f>IF(MacReports!L42="y","Remote Locked","")</f>
        <v/>
      </c>
      <c r="S42" t="str">
        <f t="shared" si="3"/>
        <v>Battery Defect, 0</v>
      </c>
      <c r="T42" t="str">
        <f>_xlfn.XLOOKUP(B42,Disk_Pivot!G:G,Disk_Pivot!I:I)</f>
        <v>Yes x2</v>
      </c>
      <c r="U42" t="str">
        <f>_xlfn.XLOOKUP(B42,Disk_Pivot!G:G,Disk_Pivot!N:N)</f>
        <v>Pass, Fail</v>
      </c>
      <c r="V42" t="str">
        <f>IF(U42="Fail",MacReports!N42,"")</f>
        <v/>
      </c>
      <c r="AB42" t="str">
        <f t="shared" si="4"/>
        <v/>
      </c>
    </row>
    <row r="43" spans="1:28">
      <c r="A43" t="str">
        <f>MacReports!A43</f>
        <v/>
      </c>
      <c r="B43">
        <f>MacReports!B43</f>
        <v>0</v>
      </c>
      <c r="C43">
        <f>MacReports!C43</f>
        <v>0</v>
      </c>
      <c r="E43" t="e">
        <f>_xlfn.XLOOKUP(G43,Models!A:A,Models!F:F)</f>
        <v>#N/A</v>
      </c>
      <c r="F43" t="str">
        <f>_xlfn.XLOOKUP(B43,MacReports!B:B,MacReports!D:D,"")</f>
        <v/>
      </c>
      <c r="G43" s="13">
        <f>MacReports!E43</f>
        <v>0</v>
      </c>
      <c r="H43" t="e">
        <f>_xlfn.XLOOKUP(G43,Models!A:A,Models!B:B)</f>
        <v>#N/A</v>
      </c>
      <c r="I43" t="e">
        <f>_xlfn.XLOOKUP(G43,Models!A:A,Models!E:E)</f>
        <v>#N/A</v>
      </c>
      <c r="J43" t="e">
        <f>_xlfn.XLOOKUP(G43,Models!A:A,Models!D:D)</f>
        <v>#N/A</v>
      </c>
      <c r="K43">
        <f>MacReports!F43</f>
        <v>0</v>
      </c>
      <c r="L43">
        <f>MacReports!G43</f>
        <v>0</v>
      </c>
      <c r="M43" s="15" t="e" cm="1">
        <f t="array" ref="M43">--_xlfn.LET(
    _xlpm.txt, MacReports!H43,
    _xlpm.chars, MID(_xlpm.txt, _xlfn.SEQUENCE(LEN(_xlpm.txt)), 1),
    _xlfn.TEXTJOIN("", TRUE, IF(ISNUMBER(--_xlpm.chars), _xlpm.chars, ""))
)</f>
        <v>#VALUE!</v>
      </c>
      <c r="N43" s="16" t="str" cm="1">
        <f t="array" ref="N43">_xlfn.IFS(
   --MacReports!M43&lt;55,"Battery Defect",
  -- MacReports!M43&lt;=69,"Battery D",
  --MacReports!M43&lt;=80,"Battery C",
 --MacReports!M43&gt;80,""
)</f>
        <v>Battery Defect</v>
      </c>
      <c r="O43" s="16" t="str">
        <f>IF(MacReports!I43="Service","Battery Service","")</f>
        <v/>
      </c>
      <c r="P43" s="13">
        <f>MacReports!P43</f>
        <v>0</v>
      </c>
      <c r="Q43" s="13" t="str">
        <f>IF(MacReports!J43="Enabled","Apple ID Lock","")</f>
        <v/>
      </c>
      <c r="R43" s="13" t="str">
        <f>IF(MacReports!L43="y","Remote Locked","")</f>
        <v/>
      </c>
      <c r="S43" t="str">
        <f t="shared" si="3"/>
        <v>Battery Defect, 0</v>
      </c>
      <c r="T43" t="str">
        <f>_xlfn.XLOOKUP(B43,Disk_Pivot!G:G,Disk_Pivot!I:I)</f>
        <v>Yes x2</v>
      </c>
      <c r="U43" t="str">
        <f>_xlfn.XLOOKUP(B43,Disk_Pivot!G:G,Disk_Pivot!N:N)</f>
        <v>Pass, Fail</v>
      </c>
      <c r="V43" t="str">
        <f>IF(U43="Fail",MacReports!N43,"")</f>
        <v/>
      </c>
      <c r="AB43" t="str">
        <f t="shared" si="4"/>
        <v/>
      </c>
    </row>
    <row r="44" spans="1:28">
      <c r="A44" t="str">
        <f>MacReports!A44</f>
        <v/>
      </c>
      <c r="B44">
        <f>MacReports!B44</f>
        <v>0</v>
      </c>
      <c r="C44">
        <f>MacReports!C44</f>
        <v>0</v>
      </c>
      <c r="E44" t="e">
        <f>_xlfn.XLOOKUP(G44,Models!A:A,Models!F:F)</f>
        <v>#N/A</v>
      </c>
      <c r="F44" t="str">
        <f>_xlfn.XLOOKUP(B44,MacReports!B:B,MacReports!D:D,"")</f>
        <v/>
      </c>
      <c r="G44" s="13">
        <f>MacReports!E44</f>
        <v>0</v>
      </c>
      <c r="H44" t="e">
        <f>_xlfn.XLOOKUP(G44,Models!A:A,Models!B:B)</f>
        <v>#N/A</v>
      </c>
      <c r="I44" t="e">
        <f>_xlfn.XLOOKUP(G44,Models!A:A,Models!E:E)</f>
        <v>#N/A</v>
      </c>
      <c r="J44" t="e">
        <f>_xlfn.XLOOKUP(G44,Models!A:A,Models!D:D)</f>
        <v>#N/A</v>
      </c>
      <c r="K44">
        <f>MacReports!F44</f>
        <v>0</v>
      </c>
      <c r="L44">
        <f>MacReports!G44</f>
        <v>0</v>
      </c>
      <c r="M44" s="15" t="e" cm="1">
        <f t="array" ref="M44">--_xlfn.LET(
    _xlpm.txt, MacReports!H44,
    _xlpm.chars, MID(_xlpm.txt, _xlfn.SEQUENCE(LEN(_xlpm.txt)), 1),
    _xlfn.TEXTJOIN("", TRUE, IF(ISNUMBER(--_xlpm.chars), _xlpm.chars, ""))
)</f>
        <v>#VALUE!</v>
      </c>
      <c r="N44" s="16" t="str" cm="1">
        <f t="array" ref="N44">_xlfn.IFS(
   --MacReports!M44&lt;55,"Battery Defect",
  -- MacReports!M44&lt;=69,"Battery D",
  --MacReports!M44&lt;=80,"Battery C",
 --MacReports!M44&gt;80,""
)</f>
        <v>Battery Defect</v>
      </c>
      <c r="O44" s="16" t="str">
        <f>IF(MacReports!I44="Service","Battery Service","")</f>
        <v/>
      </c>
      <c r="P44" s="13">
        <f>MacReports!P44</f>
        <v>0</v>
      </c>
      <c r="Q44" s="13" t="str">
        <f>IF(MacReports!J44="Enabled","Apple ID Lock","")</f>
        <v/>
      </c>
      <c r="R44" s="13" t="str">
        <f>IF(MacReports!L44="y","Remote Locked","")</f>
        <v/>
      </c>
      <c r="S44" t="str">
        <f t="shared" si="3"/>
        <v>Battery Defect, 0</v>
      </c>
      <c r="T44" t="str">
        <f>_xlfn.XLOOKUP(B44,Disk_Pivot!G:G,Disk_Pivot!I:I)</f>
        <v>Yes x2</v>
      </c>
      <c r="U44" t="str">
        <f>_xlfn.XLOOKUP(B44,Disk_Pivot!G:G,Disk_Pivot!N:N)</f>
        <v>Pass, Fail</v>
      </c>
      <c r="V44" t="str">
        <f>IF(U44="Fail",MacReports!N44,"")</f>
        <v/>
      </c>
      <c r="AB44" t="str">
        <f t="shared" si="4"/>
        <v/>
      </c>
    </row>
    <row r="45" spans="1:28">
      <c r="A45" t="str">
        <f>MacReports!A45</f>
        <v/>
      </c>
      <c r="B45">
        <f>MacReports!B45</f>
        <v>0</v>
      </c>
      <c r="C45">
        <f>MacReports!C45</f>
        <v>0</v>
      </c>
      <c r="E45" t="e">
        <f>_xlfn.XLOOKUP(G45,Models!A:A,Models!F:F)</f>
        <v>#N/A</v>
      </c>
      <c r="F45" t="str">
        <f>_xlfn.XLOOKUP(B45,MacReports!B:B,MacReports!D:D,"")</f>
        <v/>
      </c>
      <c r="G45" s="13">
        <f>MacReports!E45</f>
        <v>0</v>
      </c>
      <c r="H45" t="e">
        <f>_xlfn.XLOOKUP(G45,Models!A:A,Models!B:B)</f>
        <v>#N/A</v>
      </c>
      <c r="I45" t="e">
        <f>_xlfn.XLOOKUP(G45,Models!A:A,Models!E:E)</f>
        <v>#N/A</v>
      </c>
      <c r="J45" t="e">
        <f>_xlfn.XLOOKUP(G45,Models!A:A,Models!D:D)</f>
        <v>#N/A</v>
      </c>
      <c r="K45">
        <f>MacReports!F45</f>
        <v>0</v>
      </c>
      <c r="L45">
        <f>MacReports!G45</f>
        <v>0</v>
      </c>
      <c r="M45" s="15" t="e" cm="1">
        <f t="array" ref="M45">--_xlfn.LET(
    _xlpm.txt, MacReports!H45,
    _xlpm.chars, MID(_xlpm.txt, _xlfn.SEQUENCE(LEN(_xlpm.txt)), 1),
    _xlfn.TEXTJOIN("", TRUE, IF(ISNUMBER(--_xlpm.chars), _xlpm.chars, ""))
)</f>
        <v>#VALUE!</v>
      </c>
      <c r="N45" s="16" t="str" cm="1">
        <f t="array" ref="N45">_xlfn.IFS(
   --MacReports!M45&lt;55,"Battery Defect",
  -- MacReports!M45&lt;=69,"Battery D",
  --MacReports!M45&lt;=80,"Battery C",
 --MacReports!M45&gt;80,""
)</f>
        <v>Battery Defect</v>
      </c>
      <c r="O45" s="16" t="str">
        <f>IF(MacReports!I45="Service","Battery Service","")</f>
        <v/>
      </c>
      <c r="P45" s="13">
        <f>MacReports!P45</f>
        <v>0</v>
      </c>
      <c r="Q45" s="13" t="str">
        <f>IF(MacReports!J45="Enabled","Apple ID Lock","")</f>
        <v/>
      </c>
      <c r="R45" s="13" t="str">
        <f>IF(MacReports!L45="y","Remote Locked","")</f>
        <v/>
      </c>
      <c r="S45" t="str">
        <f t="shared" si="3"/>
        <v>Battery Defect, 0</v>
      </c>
      <c r="T45" t="str">
        <f>_xlfn.XLOOKUP(B45,Disk_Pivot!G:G,Disk_Pivot!I:I)</f>
        <v>Yes x2</v>
      </c>
      <c r="U45" t="str">
        <f>_xlfn.XLOOKUP(B45,Disk_Pivot!G:G,Disk_Pivot!N:N)</f>
        <v>Pass, Fail</v>
      </c>
      <c r="V45" t="str">
        <f>IF(U45="Fail",MacReports!N45,"")</f>
        <v/>
      </c>
      <c r="AB45" t="str">
        <f t="shared" si="4"/>
        <v/>
      </c>
    </row>
    <row r="46" spans="1:28">
      <c r="A46" t="str">
        <f>MacReports!A46</f>
        <v/>
      </c>
      <c r="B46">
        <f>MacReports!B46</f>
        <v>0</v>
      </c>
      <c r="C46">
        <f>MacReports!C46</f>
        <v>0</v>
      </c>
      <c r="E46" t="e">
        <f>_xlfn.XLOOKUP(G46,Models!A:A,Models!F:F)</f>
        <v>#N/A</v>
      </c>
      <c r="F46" t="str">
        <f>_xlfn.XLOOKUP(B46,MacReports!B:B,MacReports!D:D,"")</f>
        <v/>
      </c>
      <c r="G46" s="13">
        <f>MacReports!E46</f>
        <v>0</v>
      </c>
      <c r="H46" t="e">
        <f>_xlfn.XLOOKUP(G46,Models!A:A,Models!B:B)</f>
        <v>#N/A</v>
      </c>
      <c r="I46" t="e">
        <f>_xlfn.XLOOKUP(G46,Models!A:A,Models!E:E)</f>
        <v>#N/A</v>
      </c>
      <c r="J46" t="e">
        <f>_xlfn.XLOOKUP(G46,Models!A:A,Models!D:D)</f>
        <v>#N/A</v>
      </c>
      <c r="K46">
        <f>MacReports!F46</f>
        <v>0</v>
      </c>
      <c r="L46">
        <f>MacReports!G46</f>
        <v>0</v>
      </c>
      <c r="M46" s="15" t="e" cm="1">
        <f t="array" ref="M46">--_xlfn.LET(
    _xlpm.txt, MacReports!H46,
    _xlpm.chars, MID(_xlpm.txt, _xlfn.SEQUENCE(LEN(_xlpm.txt)), 1),
    _xlfn.TEXTJOIN("", TRUE, IF(ISNUMBER(--_xlpm.chars), _xlpm.chars, ""))
)</f>
        <v>#VALUE!</v>
      </c>
      <c r="N46" s="16" t="str" cm="1">
        <f t="array" ref="N46">_xlfn.IFS(
   --MacReports!M46&lt;55,"Battery Defect",
  -- MacReports!M46&lt;=69,"Battery D",
  --MacReports!M46&lt;=80,"Battery C",
 --MacReports!M46&gt;80,""
)</f>
        <v>Battery Defect</v>
      </c>
      <c r="O46" s="16" t="str">
        <f>IF(MacReports!I46="Service","Battery Service","")</f>
        <v/>
      </c>
      <c r="P46" s="13">
        <f>MacReports!P46</f>
        <v>0</v>
      </c>
      <c r="Q46" s="13" t="str">
        <f>IF(MacReports!J46="Enabled","Apple ID Lock","")</f>
        <v/>
      </c>
      <c r="R46" s="13" t="str">
        <f>IF(MacReports!L46="y","Remote Locked","")</f>
        <v/>
      </c>
      <c r="S46" t="str">
        <f t="shared" si="3"/>
        <v>Battery Defect, 0</v>
      </c>
      <c r="T46" t="str">
        <f>_xlfn.XLOOKUP(B46,Disk_Pivot!G:G,Disk_Pivot!I:I)</f>
        <v>Yes x2</v>
      </c>
      <c r="U46" t="str">
        <f>_xlfn.XLOOKUP(B46,Disk_Pivot!G:G,Disk_Pivot!N:N)</f>
        <v>Pass, Fail</v>
      </c>
      <c r="V46" t="str">
        <f>IF(U46="Fail",MacReports!N46,"")</f>
        <v/>
      </c>
      <c r="AB46" t="str">
        <f t="shared" si="4"/>
        <v/>
      </c>
    </row>
    <row r="47" spans="1:28">
      <c r="A47" t="str">
        <f>MacReports!A47</f>
        <v/>
      </c>
      <c r="B47">
        <f>MacReports!B47</f>
        <v>0</v>
      </c>
      <c r="C47">
        <f>MacReports!C47</f>
        <v>0</v>
      </c>
      <c r="E47" t="e">
        <f>_xlfn.XLOOKUP(G47,Models!A:A,Models!F:F)</f>
        <v>#N/A</v>
      </c>
      <c r="F47" t="str">
        <f>_xlfn.XLOOKUP(B47,MacReports!B:B,MacReports!D:D,"")</f>
        <v/>
      </c>
      <c r="G47" s="13">
        <f>MacReports!E47</f>
        <v>0</v>
      </c>
      <c r="H47" t="e">
        <f>_xlfn.XLOOKUP(G47,Models!A:A,Models!B:B)</f>
        <v>#N/A</v>
      </c>
      <c r="I47" t="e">
        <f>_xlfn.XLOOKUP(G47,Models!A:A,Models!E:E)</f>
        <v>#N/A</v>
      </c>
      <c r="J47" t="e">
        <f>_xlfn.XLOOKUP(G47,Models!A:A,Models!D:D)</f>
        <v>#N/A</v>
      </c>
      <c r="K47">
        <f>MacReports!F47</f>
        <v>0</v>
      </c>
      <c r="L47">
        <f>MacReports!G47</f>
        <v>0</v>
      </c>
      <c r="M47" s="15" t="e" cm="1">
        <f t="array" ref="M47">--_xlfn.LET(
    _xlpm.txt, MacReports!H47,
    _xlpm.chars, MID(_xlpm.txt, _xlfn.SEQUENCE(LEN(_xlpm.txt)), 1),
    _xlfn.TEXTJOIN("", TRUE, IF(ISNUMBER(--_xlpm.chars), _xlpm.chars, ""))
)</f>
        <v>#VALUE!</v>
      </c>
      <c r="N47" s="16" t="str" cm="1">
        <f t="array" ref="N47">_xlfn.IFS(
   --MacReports!M47&lt;55,"Battery Defect",
  -- MacReports!M47&lt;=69,"Battery D",
  --MacReports!M47&lt;=80,"Battery C",
 --MacReports!M47&gt;80,""
)</f>
        <v>Battery Defect</v>
      </c>
      <c r="O47" s="16" t="str">
        <f>IF(MacReports!I47="Service","Battery Service","")</f>
        <v/>
      </c>
      <c r="P47" s="13">
        <f>MacReports!P47</f>
        <v>0</v>
      </c>
      <c r="Q47" s="13" t="str">
        <f>IF(MacReports!J47="Enabled","Apple ID Lock","")</f>
        <v/>
      </c>
      <c r="R47" s="13" t="str">
        <f>IF(MacReports!L47="y","Remote Locked","")</f>
        <v/>
      </c>
      <c r="S47" t="str">
        <f t="shared" si="3"/>
        <v>Battery Defect, 0</v>
      </c>
      <c r="T47" t="str">
        <f>_xlfn.XLOOKUP(B47,Disk_Pivot!G:G,Disk_Pivot!I:I)</f>
        <v>Yes x2</v>
      </c>
      <c r="U47" t="str">
        <f>_xlfn.XLOOKUP(B47,Disk_Pivot!G:G,Disk_Pivot!N:N)</f>
        <v>Pass, Fail</v>
      </c>
      <c r="V47" t="str">
        <f>IF(U47="Fail",MacReports!N47,"")</f>
        <v/>
      </c>
      <c r="AB47" t="str">
        <f t="shared" si="4"/>
        <v/>
      </c>
    </row>
    <row r="48" spans="1:28">
      <c r="A48" t="str">
        <f>MacReports!A48</f>
        <v/>
      </c>
      <c r="B48">
        <f>MacReports!B48</f>
        <v>0</v>
      </c>
      <c r="C48">
        <f>MacReports!C48</f>
        <v>0</v>
      </c>
      <c r="E48" t="e">
        <f>_xlfn.XLOOKUP(G48,Models!A:A,Models!F:F)</f>
        <v>#N/A</v>
      </c>
      <c r="F48" t="str">
        <f>_xlfn.XLOOKUP(B48,MacReports!B:B,MacReports!D:D,"")</f>
        <v/>
      </c>
      <c r="G48" s="13">
        <f>MacReports!E48</f>
        <v>0</v>
      </c>
      <c r="H48" t="e">
        <f>_xlfn.XLOOKUP(G48,Models!A:A,Models!B:B)</f>
        <v>#N/A</v>
      </c>
      <c r="I48" t="e">
        <f>_xlfn.XLOOKUP(G48,Models!A:A,Models!E:E)</f>
        <v>#N/A</v>
      </c>
      <c r="J48" t="e">
        <f>_xlfn.XLOOKUP(G48,Models!A:A,Models!D:D)</f>
        <v>#N/A</v>
      </c>
      <c r="K48">
        <f>MacReports!F48</f>
        <v>0</v>
      </c>
      <c r="L48">
        <f>MacReports!G48</f>
        <v>0</v>
      </c>
      <c r="M48" s="15" t="e" cm="1">
        <f t="array" ref="M48">--_xlfn.LET(
    _xlpm.txt, MacReports!H48,
    _xlpm.chars, MID(_xlpm.txt, _xlfn.SEQUENCE(LEN(_xlpm.txt)), 1),
    _xlfn.TEXTJOIN("", TRUE, IF(ISNUMBER(--_xlpm.chars), _xlpm.chars, ""))
)</f>
        <v>#VALUE!</v>
      </c>
      <c r="N48" s="16" t="str" cm="1">
        <f t="array" ref="N48">_xlfn.IFS(
   --MacReports!M48&lt;55,"Battery Defect",
  -- MacReports!M48&lt;=69,"Battery D",
  --MacReports!M48&lt;=80,"Battery C",
 --MacReports!M48&gt;80,""
)</f>
        <v>Battery Defect</v>
      </c>
      <c r="O48" s="16" t="str">
        <f>IF(MacReports!I48="Service","Battery Service","")</f>
        <v/>
      </c>
      <c r="P48" s="13">
        <f>MacReports!P48</f>
        <v>0</v>
      </c>
      <c r="Q48" s="13" t="str">
        <f>IF(MacReports!J48="Enabled","Apple ID Lock","")</f>
        <v/>
      </c>
      <c r="R48" s="13" t="str">
        <f>IF(MacReports!L48="y","Remote Locked","")</f>
        <v/>
      </c>
      <c r="S48" t="str">
        <f t="shared" si="3"/>
        <v>Battery Defect, 0</v>
      </c>
      <c r="T48" t="str">
        <f>_xlfn.XLOOKUP(B48,Disk_Pivot!G:G,Disk_Pivot!I:I)</f>
        <v>Yes x2</v>
      </c>
      <c r="U48" t="str">
        <f>_xlfn.XLOOKUP(B48,Disk_Pivot!G:G,Disk_Pivot!N:N)</f>
        <v>Pass, Fail</v>
      </c>
      <c r="V48" t="str">
        <f>IF(U48="Fail",MacReports!N48,"")</f>
        <v/>
      </c>
      <c r="AB48" t="str">
        <f t="shared" si="4"/>
        <v/>
      </c>
    </row>
    <row r="49" spans="1:28">
      <c r="A49" t="str">
        <f>MacReports!A49</f>
        <v/>
      </c>
      <c r="B49">
        <f>MacReports!B49</f>
        <v>0</v>
      </c>
      <c r="C49">
        <f>MacReports!C49</f>
        <v>0</v>
      </c>
      <c r="E49" t="e">
        <f>_xlfn.XLOOKUP(G49,Models!A:A,Models!F:F)</f>
        <v>#N/A</v>
      </c>
      <c r="F49" t="str">
        <f>_xlfn.XLOOKUP(B49,MacReports!B:B,MacReports!D:D,"")</f>
        <v/>
      </c>
      <c r="G49" s="13">
        <f>MacReports!E49</f>
        <v>0</v>
      </c>
      <c r="H49" t="e">
        <f>_xlfn.XLOOKUP(G49,Models!A:A,Models!B:B)</f>
        <v>#N/A</v>
      </c>
      <c r="I49" t="e">
        <f>_xlfn.XLOOKUP(G49,Models!A:A,Models!E:E)</f>
        <v>#N/A</v>
      </c>
      <c r="J49" t="e">
        <f>_xlfn.XLOOKUP(G49,Models!A:A,Models!D:D)</f>
        <v>#N/A</v>
      </c>
      <c r="K49">
        <f>MacReports!F49</f>
        <v>0</v>
      </c>
      <c r="L49">
        <f>MacReports!G49</f>
        <v>0</v>
      </c>
      <c r="M49" s="15" t="e" cm="1">
        <f t="array" ref="M49">--_xlfn.LET(
    _xlpm.txt, MacReports!H49,
    _xlpm.chars, MID(_xlpm.txt, _xlfn.SEQUENCE(LEN(_xlpm.txt)), 1),
    _xlfn.TEXTJOIN("", TRUE, IF(ISNUMBER(--_xlpm.chars), _xlpm.chars, ""))
)</f>
        <v>#VALUE!</v>
      </c>
      <c r="N49" s="16" t="str" cm="1">
        <f t="array" ref="N49">_xlfn.IFS(
   --MacReports!M49&lt;55,"Battery Defect",
  -- MacReports!M49&lt;=69,"Battery D",
  --MacReports!M49&lt;=80,"Battery C",
 --MacReports!M49&gt;80,""
)</f>
        <v>Battery Defect</v>
      </c>
      <c r="O49" s="16" t="str">
        <f>IF(MacReports!I49="Service","Battery Service","")</f>
        <v/>
      </c>
      <c r="P49" s="13">
        <f>MacReports!P49</f>
        <v>0</v>
      </c>
      <c r="Q49" s="13" t="str">
        <f>IF(MacReports!J49="Enabled","Apple ID Lock","")</f>
        <v/>
      </c>
      <c r="R49" s="13" t="str">
        <f>IF(MacReports!L49="y","Remote Locked","")</f>
        <v/>
      </c>
      <c r="S49" t="str">
        <f t="shared" si="3"/>
        <v>Battery Defect, 0</v>
      </c>
      <c r="T49" t="str">
        <f>_xlfn.XLOOKUP(B49,Disk_Pivot!G:G,Disk_Pivot!I:I)</f>
        <v>Yes x2</v>
      </c>
      <c r="U49" t="str">
        <f>_xlfn.XLOOKUP(B49,Disk_Pivot!G:G,Disk_Pivot!N:N)</f>
        <v>Pass, Fail</v>
      </c>
      <c r="V49" t="str">
        <f>IF(U49="Fail",MacReports!N49,"")</f>
        <v/>
      </c>
      <c r="AB49" t="str">
        <f t="shared" si="4"/>
        <v/>
      </c>
    </row>
    <row r="50" spans="1:28">
      <c r="A50" t="str">
        <f>MacReports!A50</f>
        <v/>
      </c>
      <c r="B50">
        <f>MacReports!B50</f>
        <v>0</v>
      </c>
      <c r="C50">
        <f>MacReports!C50</f>
        <v>0</v>
      </c>
      <c r="E50" t="e">
        <f>_xlfn.XLOOKUP(G50,Models!A:A,Models!F:F)</f>
        <v>#N/A</v>
      </c>
      <c r="F50" t="str">
        <f>_xlfn.XLOOKUP(B50,MacReports!B:B,MacReports!D:D,"")</f>
        <v/>
      </c>
      <c r="G50" s="13">
        <f>MacReports!E50</f>
        <v>0</v>
      </c>
      <c r="H50" t="e">
        <f>_xlfn.XLOOKUP(G50,Models!A:A,Models!B:B)</f>
        <v>#N/A</v>
      </c>
      <c r="I50" t="e">
        <f>_xlfn.XLOOKUP(G50,Models!A:A,Models!E:E)</f>
        <v>#N/A</v>
      </c>
      <c r="J50" t="e">
        <f>_xlfn.XLOOKUP(G50,Models!A:A,Models!D:D)</f>
        <v>#N/A</v>
      </c>
      <c r="K50">
        <f>MacReports!F50</f>
        <v>0</v>
      </c>
      <c r="L50">
        <f>MacReports!G50</f>
        <v>0</v>
      </c>
      <c r="M50" s="15" t="e" cm="1">
        <f t="array" ref="M50">--_xlfn.LET(
    _xlpm.txt, MacReports!H50,
    _xlpm.chars, MID(_xlpm.txt, _xlfn.SEQUENCE(LEN(_xlpm.txt)), 1),
    _xlfn.TEXTJOIN("", TRUE, IF(ISNUMBER(--_xlpm.chars), _xlpm.chars, ""))
)</f>
        <v>#VALUE!</v>
      </c>
      <c r="N50" s="16" t="str" cm="1">
        <f t="array" ref="N50">_xlfn.IFS(
   --MacReports!M50&lt;55,"Battery Defect",
  -- MacReports!M50&lt;=69,"Battery D",
  --MacReports!M50&lt;=80,"Battery C",
 --MacReports!M50&gt;80,""
)</f>
        <v>Battery Defect</v>
      </c>
      <c r="O50" s="16" t="str">
        <f>IF(MacReports!I50="Service","Battery Service","")</f>
        <v/>
      </c>
      <c r="P50" s="13">
        <f>MacReports!P50</f>
        <v>0</v>
      </c>
      <c r="Q50" s="13" t="str">
        <f>IF(MacReports!J50="Enabled","Apple ID Lock","")</f>
        <v/>
      </c>
      <c r="R50" s="13" t="str">
        <f>IF(MacReports!L50="y","Remote Locked","")</f>
        <v/>
      </c>
      <c r="S50" t="str">
        <f t="shared" si="3"/>
        <v>Battery Defect, 0</v>
      </c>
      <c r="T50" t="str">
        <f>_xlfn.XLOOKUP(B50,Disk_Pivot!G:G,Disk_Pivot!I:I)</f>
        <v>Yes x2</v>
      </c>
      <c r="U50" t="str">
        <f>_xlfn.XLOOKUP(B50,Disk_Pivot!G:G,Disk_Pivot!N:N)</f>
        <v>Pass, Fail</v>
      </c>
      <c r="V50" t="str">
        <f>IF(U50="Fail",MacReports!N50,"")</f>
        <v/>
      </c>
      <c r="AB50" t="str">
        <f t="shared" si="4"/>
        <v/>
      </c>
    </row>
    <row r="51" spans="1:28">
      <c r="A51" t="str">
        <f>MacReports!A51</f>
        <v/>
      </c>
      <c r="B51">
        <f>MacReports!B51</f>
        <v>0</v>
      </c>
      <c r="C51">
        <f>MacReports!C51</f>
        <v>0</v>
      </c>
      <c r="E51" t="e">
        <f>_xlfn.XLOOKUP(G51,Models!A:A,Models!F:F)</f>
        <v>#N/A</v>
      </c>
      <c r="F51" t="str">
        <f>_xlfn.XLOOKUP(B51,MacReports!B:B,MacReports!D:D,"")</f>
        <v/>
      </c>
      <c r="G51" s="13">
        <f>MacReports!E51</f>
        <v>0</v>
      </c>
      <c r="H51" t="e">
        <f>_xlfn.XLOOKUP(G51,Models!A:A,Models!B:B)</f>
        <v>#N/A</v>
      </c>
      <c r="I51" t="e">
        <f>_xlfn.XLOOKUP(G51,Models!A:A,Models!E:E)</f>
        <v>#N/A</v>
      </c>
      <c r="J51" t="e">
        <f>_xlfn.XLOOKUP(G51,Models!A:A,Models!D:D)</f>
        <v>#N/A</v>
      </c>
      <c r="K51">
        <f>MacReports!F51</f>
        <v>0</v>
      </c>
      <c r="L51">
        <f>MacReports!G51</f>
        <v>0</v>
      </c>
      <c r="M51" s="15" t="e" cm="1">
        <f t="array" ref="M51">--_xlfn.LET(
    _xlpm.txt, MacReports!H51,
    _xlpm.chars, MID(_xlpm.txt, _xlfn.SEQUENCE(LEN(_xlpm.txt)), 1),
    _xlfn.TEXTJOIN("", TRUE, IF(ISNUMBER(--_xlpm.chars), _xlpm.chars, ""))
)</f>
        <v>#VALUE!</v>
      </c>
      <c r="N51" s="16" t="str" cm="1">
        <f t="array" ref="N51">_xlfn.IFS(
   --MacReports!M51&lt;55,"Battery Defect",
  -- MacReports!M51&lt;=69,"Battery D",
  --MacReports!M51&lt;=80,"Battery C",
 --MacReports!M51&gt;80,""
)</f>
        <v>Battery Defect</v>
      </c>
      <c r="O51" s="16" t="str">
        <f>IF(MacReports!I51="Service","Battery Service","")</f>
        <v/>
      </c>
      <c r="P51" s="13">
        <f>MacReports!P51</f>
        <v>0</v>
      </c>
      <c r="Q51" s="13" t="str">
        <f>IF(MacReports!J51="Enabled","Apple ID Lock","")</f>
        <v/>
      </c>
      <c r="R51" s="13" t="str">
        <f>IF(MacReports!L51="y","Remote Locked","")</f>
        <v/>
      </c>
      <c r="S51" t="str">
        <f t="shared" si="3"/>
        <v>Battery Defect, 0</v>
      </c>
      <c r="T51" t="str">
        <f>_xlfn.XLOOKUP(B51,Disk_Pivot!G:G,Disk_Pivot!I:I)</f>
        <v>Yes x2</v>
      </c>
      <c r="U51" t="str">
        <f>_xlfn.XLOOKUP(B51,Disk_Pivot!G:G,Disk_Pivot!N:N)</f>
        <v>Pass, Fail</v>
      </c>
      <c r="V51" t="str">
        <f>IF(U51="Fail",MacReports!N51,"")</f>
        <v/>
      </c>
      <c r="AB51" t="str">
        <f t="shared" si="4"/>
        <v/>
      </c>
    </row>
    <row r="52" spans="1:28">
      <c r="A52" t="str">
        <f>MacReports!A52</f>
        <v/>
      </c>
      <c r="B52">
        <f>MacReports!B52</f>
        <v>0</v>
      </c>
      <c r="C52">
        <f>MacReports!C52</f>
        <v>0</v>
      </c>
      <c r="E52" t="e">
        <f>_xlfn.XLOOKUP(G52,Models!A:A,Models!F:F)</f>
        <v>#N/A</v>
      </c>
      <c r="F52" t="str">
        <f>_xlfn.XLOOKUP(B52,MacReports!B:B,MacReports!D:D,"")</f>
        <v/>
      </c>
      <c r="G52" s="13">
        <f>MacReports!E52</f>
        <v>0</v>
      </c>
      <c r="H52" t="e">
        <f>_xlfn.XLOOKUP(G52,Models!A:A,Models!B:B)</f>
        <v>#N/A</v>
      </c>
      <c r="I52" t="e">
        <f>_xlfn.XLOOKUP(G52,Models!A:A,Models!E:E)</f>
        <v>#N/A</v>
      </c>
      <c r="J52" t="e">
        <f>_xlfn.XLOOKUP(G52,Models!A:A,Models!D:D)</f>
        <v>#N/A</v>
      </c>
      <c r="K52">
        <f>MacReports!F52</f>
        <v>0</v>
      </c>
      <c r="L52">
        <f>MacReports!G52</f>
        <v>0</v>
      </c>
      <c r="M52" s="15" t="e" cm="1">
        <f t="array" ref="M52">--_xlfn.LET(
    _xlpm.txt, MacReports!H52,
    _xlpm.chars, MID(_xlpm.txt, _xlfn.SEQUENCE(LEN(_xlpm.txt)), 1),
    _xlfn.TEXTJOIN("", TRUE, IF(ISNUMBER(--_xlpm.chars), _xlpm.chars, ""))
)</f>
        <v>#VALUE!</v>
      </c>
      <c r="N52" s="16" t="str" cm="1">
        <f t="array" ref="N52">_xlfn.IFS(
   --MacReports!M52&lt;55,"Battery Defect",
  -- MacReports!M52&lt;=69,"Battery D",
  --MacReports!M52&lt;=80,"Battery C",
 --MacReports!M52&gt;80,""
)</f>
        <v>Battery Defect</v>
      </c>
      <c r="O52" s="16" t="str">
        <f>IF(MacReports!I52="Service","Battery Service","")</f>
        <v/>
      </c>
      <c r="P52" s="13">
        <f>MacReports!P52</f>
        <v>0</v>
      </c>
      <c r="Q52" s="13" t="str">
        <f>IF(MacReports!J52="Enabled","Apple ID Lock","")</f>
        <v/>
      </c>
      <c r="R52" s="13" t="str">
        <f>IF(MacReports!L52="y","Remote Locked","")</f>
        <v/>
      </c>
      <c r="S52" t="str">
        <f t="shared" si="3"/>
        <v>Battery Defect, 0</v>
      </c>
      <c r="T52" t="str">
        <f>_xlfn.XLOOKUP(B52,Disk_Pivot!G:G,Disk_Pivot!I:I)</f>
        <v>Yes x2</v>
      </c>
      <c r="U52" t="str">
        <f>_xlfn.XLOOKUP(B52,Disk_Pivot!G:G,Disk_Pivot!N:N)</f>
        <v>Pass, Fail</v>
      </c>
      <c r="V52" t="str">
        <f>IF(U52="Fail",MacReports!N52,"")</f>
        <v/>
      </c>
      <c r="AB52" t="str">
        <f t="shared" si="4"/>
        <v/>
      </c>
    </row>
    <row r="53" spans="1:28">
      <c r="A53" t="str">
        <f>MacReports!A53</f>
        <v/>
      </c>
      <c r="B53">
        <f>MacReports!B53</f>
        <v>0</v>
      </c>
      <c r="C53">
        <f>MacReports!C53</f>
        <v>0</v>
      </c>
      <c r="E53" t="e">
        <f>_xlfn.XLOOKUP(G53,Models!A:A,Models!F:F)</f>
        <v>#N/A</v>
      </c>
      <c r="F53" t="str">
        <f>_xlfn.XLOOKUP(B53,MacReports!B:B,MacReports!D:D,"")</f>
        <v/>
      </c>
      <c r="G53" s="13">
        <f>MacReports!E53</f>
        <v>0</v>
      </c>
      <c r="H53" t="e">
        <f>_xlfn.XLOOKUP(G53,Models!A:A,Models!B:B)</f>
        <v>#N/A</v>
      </c>
      <c r="I53" t="e">
        <f>_xlfn.XLOOKUP(G53,Models!A:A,Models!E:E)</f>
        <v>#N/A</v>
      </c>
      <c r="J53" t="e">
        <f>_xlfn.XLOOKUP(G53,Models!A:A,Models!D:D)</f>
        <v>#N/A</v>
      </c>
      <c r="K53">
        <f>MacReports!F53</f>
        <v>0</v>
      </c>
      <c r="L53">
        <f>MacReports!G53</f>
        <v>0</v>
      </c>
      <c r="M53" s="15" t="e" cm="1">
        <f t="array" ref="M53">--_xlfn.LET(
    _xlpm.txt, MacReports!H53,
    _xlpm.chars, MID(_xlpm.txt, _xlfn.SEQUENCE(LEN(_xlpm.txt)), 1),
    _xlfn.TEXTJOIN("", TRUE, IF(ISNUMBER(--_xlpm.chars), _xlpm.chars, ""))
)</f>
        <v>#VALUE!</v>
      </c>
      <c r="N53" s="16" t="str" cm="1">
        <f t="array" ref="N53">_xlfn.IFS(
   --MacReports!M53&lt;55,"Battery Defect",
  -- MacReports!M53&lt;=69,"Battery D",
  --MacReports!M53&lt;=80,"Battery C",
 --MacReports!M53&gt;80,""
)</f>
        <v>Battery Defect</v>
      </c>
      <c r="O53" s="16" t="str">
        <f>IF(MacReports!I53="Service","Battery Service","")</f>
        <v/>
      </c>
      <c r="P53" s="13">
        <f>MacReports!P53</f>
        <v>0</v>
      </c>
      <c r="Q53" s="13" t="str">
        <f>IF(MacReports!J53="Enabled","Apple ID Lock","")</f>
        <v/>
      </c>
      <c r="R53" s="13" t="str">
        <f>IF(MacReports!L53="y","Remote Locked","")</f>
        <v/>
      </c>
      <c r="S53" t="str">
        <f t="shared" si="3"/>
        <v>Battery Defect, 0</v>
      </c>
      <c r="T53" t="str">
        <f>_xlfn.XLOOKUP(B53,Disk_Pivot!G:G,Disk_Pivot!I:I)</f>
        <v>Yes x2</v>
      </c>
      <c r="U53" t="str">
        <f>_xlfn.XLOOKUP(B53,Disk_Pivot!G:G,Disk_Pivot!N:N)</f>
        <v>Pass, Fail</v>
      </c>
      <c r="V53" t="str">
        <f>IF(U53="Fail",MacReports!N53,"")</f>
        <v/>
      </c>
      <c r="AB53" t="str">
        <f t="shared" si="4"/>
        <v/>
      </c>
    </row>
    <row r="54" spans="1:28">
      <c r="A54" t="str">
        <f>MacReports!A54</f>
        <v/>
      </c>
      <c r="B54">
        <f>MacReports!B54</f>
        <v>0</v>
      </c>
      <c r="C54">
        <f>MacReports!C54</f>
        <v>0</v>
      </c>
      <c r="E54" t="e">
        <f>_xlfn.XLOOKUP(G54,Models!A:A,Models!F:F)</f>
        <v>#N/A</v>
      </c>
      <c r="F54" t="str">
        <f>_xlfn.XLOOKUP(B54,MacReports!B:B,MacReports!D:D,"")</f>
        <v/>
      </c>
      <c r="G54" s="13">
        <f>MacReports!E54</f>
        <v>0</v>
      </c>
      <c r="H54" t="e">
        <f>_xlfn.XLOOKUP(G54,Models!A:A,Models!B:B)</f>
        <v>#N/A</v>
      </c>
      <c r="I54" t="e">
        <f>_xlfn.XLOOKUP(G54,Models!A:A,Models!E:E)</f>
        <v>#N/A</v>
      </c>
      <c r="J54" t="e">
        <f>_xlfn.XLOOKUP(G54,Models!A:A,Models!D:D)</f>
        <v>#N/A</v>
      </c>
      <c r="K54">
        <f>MacReports!F54</f>
        <v>0</v>
      </c>
      <c r="L54">
        <f>MacReports!G54</f>
        <v>0</v>
      </c>
      <c r="M54" s="15" t="e" cm="1">
        <f t="array" ref="M54">--_xlfn.LET(
    _xlpm.txt, MacReports!H54,
    _xlpm.chars, MID(_xlpm.txt, _xlfn.SEQUENCE(LEN(_xlpm.txt)), 1),
    _xlfn.TEXTJOIN("", TRUE, IF(ISNUMBER(--_xlpm.chars), _xlpm.chars, ""))
)</f>
        <v>#VALUE!</v>
      </c>
      <c r="N54" s="16" t="str" cm="1">
        <f t="array" ref="N54">_xlfn.IFS(
   --MacReports!M54&lt;55,"Battery Defect",
  -- MacReports!M54&lt;=69,"Battery D",
  --MacReports!M54&lt;=80,"Battery C",
 --MacReports!M54&gt;80,""
)</f>
        <v>Battery Defect</v>
      </c>
      <c r="O54" s="16" t="str">
        <f>IF(MacReports!I54="Service","Battery Service","")</f>
        <v/>
      </c>
      <c r="P54" s="13">
        <f>MacReports!P54</f>
        <v>0</v>
      </c>
      <c r="Q54" s="13" t="str">
        <f>IF(MacReports!J54="Enabled","Apple ID Lock","")</f>
        <v/>
      </c>
      <c r="R54" s="13" t="str">
        <f>IF(MacReports!L54="y","Remote Locked","")</f>
        <v/>
      </c>
      <c r="S54" t="str">
        <f t="shared" si="3"/>
        <v>Battery Defect, 0</v>
      </c>
      <c r="T54" t="str">
        <f>_xlfn.XLOOKUP(B54,Disk_Pivot!G:G,Disk_Pivot!I:I)</f>
        <v>Yes x2</v>
      </c>
      <c r="U54" t="str">
        <f>_xlfn.XLOOKUP(B54,Disk_Pivot!G:G,Disk_Pivot!N:N)</f>
        <v>Pass, Fail</v>
      </c>
      <c r="V54" t="str">
        <f>IF(U54="Fail",MacReports!N54,"")</f>
        <v/>
      </c>
      <c r="AB54" t="str">
        <f t="shared" si="4"/>
        <v/>
      </c>
    </row>
    <row r="55" spans="1:28">
      <c r="A55" t="str">
        <f>MacReports!A55</f>
        <v/>
      </c>
      <c r="B55">
        <f>MacReports!B55</f>
        <v>0</v>
      </c>
      <c r="C55">
        <f>MacReports!C55</f>
        <v>0</v>
      </c>
      <c r="E55" t="e">
        <f>_xlfn.XLOOKUP(G55,Models!A:A,Models!F:F)</f>
        <v>#N/A</v>
      </c>
      <c r="F55" t="str">
        <f>_xlfn.XLOOKUP(B55,MacReports!B:B,MacReports!D:D,"")</f>
        <v/>
      </c>
      <c r="G55" s="13">
        <f>MacReports!E55</f>
        <v>0</v>
      </c>
      <c r="H55" t="e">
        <f>_xlfn.XLOOKUP(G55,Models!A:A,Models!B:B)</f>
        <v>#N/A</v>
      </c>
      <c r="I55" t="e">
        <f>_xlfn.XLOOKUP(G55,Models!A:A,Models!E:E)</f>
        <v>#N/A</v>
      </c>
      <c r="J55" t="e">
        <f>_xlfn.XLOOKUP(G55,Models!A:A,Models!D:D)</f>
        <v>#N/A</v>
      </c>
      <c r="K55">
        <f>MacReports!F55</f>
        <v>0</v>
      </c>
      <c r="L55">
        <f>MacReports!G55</f>
        <v>0</v>
      </c>
      <c r="M55" s="15" t="e" cm="1">
        <f t="array" ref="M55">--_xlfn.LET(
    _xlpm.txt, MacReports!H55,
    _xlpm.chars, MID(_xlpm.txt, _xlfn.SEQUENCE(LEN(_xlpm.txt)), 1),
    _xlfn.TEXTJOIN("", TRUE, IF(ISNUMBER(--_xlpm.chars), _xlpm.chars, ""))
)</f>
        <v>#VALUE!</v>
      </c>
      <c r="N55" s="16" t="str" cm="1">
        <f t="array" ref="N55">_xlfn.IFS(
   --MacReports!M55&lt;55,"Battery Defect",
  -- MacReports!M55&lt;=69,"Battery D",
  --MacReports!M55&lt;=80,"Battery C",
 --MacReports!M55&gt;80,""
)</f>
        <v>Battery Defect</v>
      </c>
      <c r="O55" s="16" t="str">
        <f>IF(MacReports!I55="Service","Battery Service","")</f>
        <v/>
      </c>
      <c r="P55" s="13">
        <f>MacReports!P55</f>
        <v>0</v>
      </c>
      <c r="Q55" s="13" t="str">
        <f>IF(MacReports!J55="Enabled","Apple ID Lock","")</f>
        <v/>
      </c>
      <c r="R55" s="13" t="str">
        <f>IF(MacReports!L55="y","Remote Locked","")</f>
        <v/>
      </c>
      <c r="S55" t="str">
        <f t="shared" si="3"/>
        <v>Battery Defect, 0</v>
      </c>
      <c r="T55" t="str">
        <f>_xlfn.XLOOKUP(B55,Disk_Pivot!G:G,Disk_Pivot!I:I)</f>
        <v>Yes x2</v>
      </c>
      <c r="U55" t="str">
        <f>_xlfn.XLOOKUP(B55,Disk_Pivot!G:G,Disk_Pivot!N:N)</f>
        <v>Pass, Fail</v>
      </c>
      <c r="V55" t="str">
        <f>IF(U55="Fail",MacReports!N55,"")</f>
        <v/>
      </c>
      <c r="AB55" t="str">
        <f t="shared" si="4"/>
        <v/>
      </c>
    </row>
    <row r="56" spans="1:28">
      <c r="A56" t="str">
        <f>MacReports!A56</f>
        <v/>
      </c>
      <c r="B56">
        <f>MacReports!B56</f>
        <v>0</v>
      </c>
      <c r="C56">
        <f>MacReports!C56</f>
        <v>0</v>
      </c>
      <c r="E56" t="e">
        <f>_xlfn.XLOOKUP(G56,Models!A:A,Models!F:F)</f>
        <v>#N/A</v>
      </c>
      <c r="F56" t="str">
        <f>_xlfn.XLOOKUP(B56,MacReports!B:B,MacReports!D:D,"")</f>
        <v/>
      </c>
      <c r="G56" s="13">
        <f>MacReports!E56</f>
        <v>0</v>
      </c>
      <c r="H56" t="e">
        <f>_xlfn.XLOOKUP(G56,Models!A:A,Models!B:B)</f>
        <v>#N/A</v>
      </c>
      <c r="I56" t="e">
        <f>_xlfn.XLOOKUP(G56,Models!A:A,Models!E:E)</f>
        <v>#N/A</v>
      </c>
      <c r="J56" t="e">
        <f>_xlfn.XLOOKUP(G56,Models!A:A,Models!D:D)</f>
        <v>#N/A</v>
      </c>
      <c r="K56">
        <f>MacReports!F56</f>
        <v>0</v>
      </c>
      <c r="L56">
        <f>MacReports!G56</f>
        <v>0</v>
      </c>
      <c r="M56" s="15" t="e" cm="1">
        <f t="array" ref="M56">--_xlfn.LET(
    _xlpm.txt, MacReports!H56,
    _xlpm.chars, MID(_xlpm.txt, _xlfn.SEQUENCE(LEN(_xlpm.txt)), 1),
    _xlfn.TEXTJOIN("", TRUE, IF(ISNUMBER(--_xlpm.chars), _xlpm.chars, ""))
)</f>
        <v>#VALUE!</v>
      </c>
      <c r="N56" s="16" t="str" cm="1">
        <f t="array" ref="N56">_xlfn.IFS(
   --MacReports!M56&lt;55,"Battery Defect",
  -- MacReports!M56&lt;=69,"Battery D",
  --MacReports!M56&lt;=80,"Battery C",
 --MacReports!M56&gt;80,""
)</f>
        <v>Battery Defect</v>
      </c>
      <c r="O56" s="16" t="str">
        <f>IF(MacReports!I56="Service","Battery Service","")</f>
        <v/>
      </c>
      <c r="P56" s="13">
        <f>MacReports!P56</f>
        <v>0</v>
      </c>
      <c r="Q56" s="13" t="str">
        <f>IF(MacReports!J56="Enabled","Apple ID Lock","")</f>
        <v/>
      </c>
      <c r="R56" s="13" t="str">
        <f>IF(MacReports!L56="y","Remote Locked","")</f>
        <v/>
      </c>
      <c r="S56" t="str">
        <f t="shared" si="3"/>
        <v>Battery Defect, 0</v>
      </c>
      <c r="T56" t="str">
        <f>_xlfn.XLOOKUP(B56,Disk_Pivot!G:G,Disk_Pivot!I:I)</f>
        <v>Yes x2</v>
      </c>
      <c r="U56" t="str">
        <f>_xlfn.XLOOKUP(B56,Disk_Pivot!G:G,Disk_Pivot!N:N)</f>
        <v>Pass, Fail</v>
      </c>
      <c r="V56" t="str">
        <f>IF(U56="Fail",MacReports!N56,"")</f>
        <v/>
      </c>
      <c r="AB56" t="str">
        <f t="shared" si="4"/>
        <v/>
      </c>
    </row>
    <row r="57" spans="1:28">
      <c r="A57" t="str">
        <f>MacReports!A57</f>
        <v/>
      </c>
      <c r="B57">
        <f>MacReports!B57</f>
        <v>0</v>
      </c>
      <c r="C57">
        <f>MacReports!C57</f>
        <v>0</v>
      </c>
      <c r="E57" t="e">
        <f>_xlfn.XLOOKUP(G57,Models!A:A,Models!F:F)</f>
        <v>#N/A</v>
      </c>
      <c r="F57" t="str">
        <f>_xlfn.XLOOKUP(B57,MacReports!B:B,MacReports!D:D,"")</f>
        <v/>
      </c>
      <c r="G57" s="13">
        <f>MacReports!E57</f>
        <v>0</v>
      </c>
      <c r="H57" t="e">
        <f>_xlfn.XLOOKUP(G57,Models!A:A,Models!B:B)</f>
        <v>#N/A</v>
      </c>
      <c r="I57" t="e">
        <f>_xlfn.XLOOKUP(G57,Models!A:A,Models!E:E)</f>
        <v>#N/A</v>
      </c>
      <c r="J57" t="e">
        <f>_xlfn.XLOOKUP(G57,Models!A:A,Models!D:D)</f>
        <v>#N/A</v>
      </c>
      <c r="K57">
        <f>MacReports!F57</f>
        <v>0</v>
      </c>
      <c r="L57">
        <f>MacReports!G57</f>
        <v>0</v>
      </c>
      <c r="M57" s="15" t="e" cm="1">
        <f t="array" ref="M57">--_xlfn.LET(
    _xlpm.txt, MacReports!H57,
    _xlpm.chars, MID(_xlpm.txt, _xlfn.SEQUENCE(LEN(_xlpm.txt)), 1),
    _xlfn.TEXTJOIN("", TRUE, IF(ISNUMBER(--_xlpm.chars), _xlpm.chars, ""))
)</f>
        <v>#VALUE!</v>
      </c>
      <c r="N57" s="16" t="str" cm="1">
        <f t="array" ref="N57">_xlfn.IFS(
   --MacReports!M57&lt;55,"Battery Defect",
  -- MacReports!M57&lt;=69,"Battery D",
  --MacReports!M57&lt;=80,"Battery C",
 --MacReports!M57&gt;80,""
)</f>
        <v>Battery Defect</v>
      </c>
      <c r="O57" s="16" t="str">
        <f>IF(MacReports!I57="Service","Battery Service","")</f>
        <v/>
      </c>
      <c r="P57" s="13">
        <f>MacReports!P57</f>
        <v>0</v>
      </c>
      <c r="Q57" s="13" t="str">
        <f>IF(MacReports!J57="Enabled","Apple ID Lock","")</f>
        <v/>
      </c>
      <c r="R57" s="13" t="str">
        <f>IF(MacReports!L57="y","Remote Locked","")</f>
        <v/>
      </c>
      <c r="S57" t="str">
        <f t="shared" si="3"/>
        <v>Battery Defect, 0</v>
      </c>
      <c r="T57" t="str">
        <f>_xlfn.XLOOKUP(B57,Disk_Pivot!G:G,Disk_Pivot!I:I)</f>
        <v>Yes x2</v>
      </c>
      <c r="U57" t="str">
        <f>_xlfn.XLOOKUP(B57,Disk_Pivot!G:G,Disk_Pivot!N:N)</f>
        <v>Pass, Fail</v>
      </c>
      <c r="V57" t="str">
        <f>IF(U57="Fail",MacReports!N57,"")</f>
        <v/>
      </c>
      <c r="AB57" t="str">
        <f t="shared" si="4"/>
        <v/>
      </c>
    </row>
    <row r="58" spans="1:28">
      <c r="A58" t="str">
        <f>MacReports!A58</f>
        <v/>
      </c>
      <c r="B58">
        <f>MacReports!B58</f>
        <v>0</v>
      </c>
      <c r="C58">
        <f>MacReports!C58</f>
        <v>0</v>
      </c>
      <c r="E58" t="e">
        <f>_xlfn.XLOOKUP(G58,Models!A:A,Models!F:F)</f>
        <v>#N/A</v>
      </c>
      <c r="F58" t="str">
        <f>_xlfn.XLOOKUP(B58,MacReports!B:B,MacReports!D:D,"")</f>
        <v/>
      </c>
      <c r="G58" s="13">
        <f>MacReports!E58</f>
        <v>0</v>
      </c>
      <c r="H58" t="e">
        <f>_xlfn.XLOOKUP(G58,Models!A:A,Models!B:B)</f>
        <v>#N/A</v>
      </c>
      <c r="I58" t="e">
        <f>_xlfn.XLOOKUP(G58,Models!A:A,Models!E:E)</f>
        <v>#N/A</v>
      </c>
      <c r="J58" t="e">
        <f>_xlfn.XLOOKUP(G58,Models!A:A,Models!D:D)</f>
        <v>#N/A</v>
      </c>
      <c r="K58">
        <f>MacReports!F58</f>
        <v>0</v>
      </c>
      <c r="L58">
        <f>MacReports!G58</f>
        <v>0</v>
      </c>
      <c r="M58" s="15" t="e" cm="1">
        <f t="array" ref="M58">--_xlfn.LET(
    _xlpm.txt, MacReports!H58,
    _xlpm.chars, MID(_xlpm.txt, _xlfn.SEQUENCE(LEN(_xlpm.txt)), 1),
    _xlfn.TEXTJOIN("", TRUE, IF(ISNUMBER(--_xlpm.chars), _xlpm.chars, ""))
)</f>
        <v>#VALUE!</v>
      </c>
      <c r="N58" s="16" t="str" cm="1">
        <f t="array" ref="N58">_xlfn.IFS(
   --MacReports!M58&lt;55,"Battery Defect",
  -- MacReports!M58&lt;=69,"Battery D",
  --MacReports!M58&lt;=80,"Battery C",
 --MacReports!M58&gt;80,""
)</f>
        <v>Battery Defect</v>
      </c>
      <c r="O58" s="16" t="str">
        <f>IF(MacReports!I58="Service","Battery Service","")</f>
        <v/>
      </c>
      <c r="P58" s="13">
        <f>MacReports!P58</f>
        <v>0</v>
      </c>
      <c r="Q58" s="13" t="str">
        <f>IF(MacReports!J58="Enabled","Apple ID Lock","")</f>
        <v/>
      </c>
      <c r="R58" s="13" t="str">
        <f>IF(MacReports!L58="y","Remote Locked","")</f>
        <v/>
      </c>
      <c r="S58" t="str">
        <f t="shared" si="3"/>
        <v>Battery Defect, 0</v>
      </c>
      <c r="T58" t="str">
        <f>_xlfn.XLOOKUP(B58,Disk_Pivot!G:G,Disk_Pivot!I:I)</f>
        <v>Yes x2</v>
      </c>
      <c r="U58" t="str">
        <f>_xlfn.XLOOKUP(B58,Disk_Pivot!G:G,Disk_Pivot!N:N)</f>
        <v>Pass, Fail</v>
      </c>
      <c r="V58" t="str">
        <f>IF(U58="Fail",MacReports!N58,"")</f>
        <v/>
      </c>
      <c r="AB58" t="str">
        <f t="shared" si="4"/>
        <v/>
      </c>
    </row>
    <row r="59" spans="1:28">
      <c r="A59" t="str">
        <f>MacReports!A59</f>
        <v/>
      </c>
      <c r="B59">
        <f>MacReports!B59</f>
        <v>0</v>
      </c>
      <c r="C59">
        <f>MacReports!C59</f>
        <v>0</v>
      </c>
      <c r="E59" t="e">
        <f>_xlfn.XLOOKUP(G59,Models!A:A,Models!F:F)</f>
        <v>#N/A</v>
      </c>
      <c r="F59" t="str">
        <f>_xlfn.XLOOKUP(B59,MacReports!B:B,MacReports!D:D,"")</f>
        <v/>
      </c>
      <c r="G59" s="13">
        <f>MacReports!E59</f>
        <v>0</v>
      </c>
      <c r="H59" t="e">
        <f>_xlfn.XLOOKUP(G59,Models!A:A,Models!B:B)</f>
        <v>#N/A</v>
      </c>
      <c r="I59" t="e">
        <f>_xlfn.XLOOKUP(G59,Models!A:A,Models!E:E)</f>
        <v>#N/A</v>
      </c>
      <c r="J59" t="e">
        <f>_xlfn.XLOOKUP(G59,Models!A:A,Models!D:D)</f>
        <v>#N/A</v>
      </c>
      <c r="K59">
        <f>MacReports!F59</f>
        <v>0</v>
      </c>
      <c r="L59">
        <f>MacReports!G59</f>
        <v>0</v>
      </c>
      <c r="M59" s="15" t="e" cm="1">
        <f t="array" ref="M59">--_xlfn.LET(
    _xlpm.txt, MacReports!H59,
    _xlpm.chars, MID(_xlpm.txt, _xlfn.SEQUENCE(LEN(_xlpm.txt)), 1),
    _xlfn.TEXTJOIN("", TRUE, IF(ISNUMBER(--_xlpm.chars), _xlpm.chars, ""))
)</f>
        <v>#VALUE!</v>
      </c>
      <c r="N59" s="16" t="str" cm="1">
        <f t="array" ref="N59">_xlfn.IFS(
   --MacReports!M59&lt;55,"Battery Defect",
  -- MacReports!M59&lt;=69,"Battery D",
  --MacReports!M59&lt;=80,"Battery C",
 --MacReports!M59&gt;80,""
)</f>
        <v>Battery Defect</v>
      </c>
      <c r="O59" s="16" t="str">
        <f>IF(MacReports!I59="Service","Battery Service","")</f>
        <v/>
      </c>
      <c r="P59" s="13">
        <f>MacReports!P59</f>
        <v>0</v>
      </c>
      <c r="Q59" s="13" t="str">
        <f>IF(MacReports!J59="Enabled","Apple ID Lock","")</f>
        <v/>
      </c>
      <c r="R59" s="13" t="str">
        <f>IF(MacReports!L59="y","Remote Locked","")</f>
        <v/>
      </c>
      <c r="S59" t="str">
        <f t="shared" si="3"/>
        <v>Battery Defect, 0</v>
      </c>
      <c r="T59" t="str">
        <f>_xlfn.XLOOKUP(B59,Disk_Pivot!G:G,Disk_Pivot!I:I)</f>
        <v>Yes x2</v>
      </c>
      <c r="U59" t="str">
        <f>_xlfn.XLOOKUP(B59,Disk_Pivot!G:G,Disk_Pivot!N:N)</f>
        <v>Pass, Fail</v>
      </c>
      <c r="V59" t="str">
        <f>IF(U59="Fail",MacReports!N59,"")</f>
        <v/>
      </c>
      <c r="AB59" t="str">
        <f t="shared" si="4"/>
        <v/>
      </c>
    </row>
    <row r="60" spans="1:28">
      <c r="A60" t="str">
        <f>MacReports!A60</f>
        <v/>
      </c>
      <c r="B60">
        <f>MacReports!B60</f>
        <v>0</v>
      </c>
      <c r="C60">
        <f>MacReports!C60</f>
        <v>0</v>
      </c>
      <c r="E60" t="e">
        <f>_xlfn.XLOOKUP(G60,Models!A:A,Models!F:F)</f>
        <v>#N/A</v>
      </c>
      <c r="F60" t="str">
        <f>_xlfn.XLOOKUP(B60,MacReports!B:B,MacReports!D:D,"")</f>
        <v/>
      </c>
      <c r="G60" s="13">
        <f>MacReports!E60</f>
        <v>0</v>
      </c>
      <c r="H60" t="e">
        <f>_xlfn.XLOOKUP(G60,Models!A:A,Models!B:B)</f>
        <v>#N/A</v>
      </c>
      <c r="I60" t="e">
        <f>_xlfn.XLOOKUP(G60,Models!A:A,Models!E:E)</f>
        <v>#N/A</v>
      </c>
      <c r="J60" t="e">
        <f>_xlfn.XLOOKUP(G60,Models!A:A,Models!D:D)</f>
        <v>#N/A</v>
      </c>
      <c r="K60">
        <f>MacReports!F60</f>
        <v>0</v>
      </c>
      <c r="L60">
        <f>MacReports!G60</f>
        <v>0</v>
      </c>
      <c r="M60" s="15" t="e" cm="1">
        <f t="array" ref="M60">--_xlfn.LET(
    _xlpm.txt, MacReports!H60,
    _xlpm.chars, MID(_xlpm.txt, _xlfn.SEQUENCE(LEN(_xlpm.txt)), 1),
    _xlfn.TEXTJOIN("", TRUE, IF(ISNUMBER(--_xlpm.chars), _xlpm.chars, ""))
)</f>
        <v>#VALUE!</v>
      </c>
      <c r="N60" s="16" t="str" cm="1">
        <f t="array" ref="N60">_xlfn.IFS(
   --MacReports!M60&lt;55,"Battery Defect",
  -- MacReports!M60&lt;=69,"Battery D",
  --MacReports!M60&lt;=80,"Battery C",
 --MacReports!M60&gt;80,""
)</f>
        <v>Battery Defect</v>
      </c>
      <c r="O60" s="16" t="str">
        <f>IF(MacReports!I60="Service","Battery Service","")</f>
        <v/>
      </c>
      <c r="P60" s="13">
        <f>MacReports!P60</f>
        <v>0</v>
      </c>
      <c r="Q60" s="13" t="str">
        <f>IF(MacReports!J60="Enabled","Apple ID Lock","")</f>
        <v/>
      </c>
      <c r="R60" s="13" t="str">
        <f>IF(MacReports!L60="y","Remote Locked","")</f>
        <v/>
      </c>
      <c r="S60" t="str">
        <f t="shared" si="3"/>
        <v>Battery Defect, 0</v>
      </c>
      <c r="T60" t="str">
        <f>_xlfn.XLOOKUP(B60,Disk_Pivot!G:G,Disk_Pivot!I:I)</f>
        <v>Yes x2</v>
      </c>
      <c r="U60" t="str">
        <f>_xlfn.XLOOKUP(B60,Disk_Pivot!G:G,Disk_Pivot!N:N)</f>
        <v>Pass, Fail</v>
      </c>
      <c r="V60" t="str">
        <f>IF(U60="Fail",MacReports!N60,"")</f>
        <v/>
      </c>
      <c r="AB60" t="str">
        <f t="shared" si="4"/>
        <v/>
      </c>
    </row>
    <row r="61" spans="1:28">
      <c r="A61" t="str">
        <f>MacReports!A61</f>
        <v/>
      </c>
      <c r="B61">
        <f>MacReports!B61</f>
        <v>0</v>
      </c>
      <c r="C61">
        <f>MacReports!C61</f>
        <v>0</v>
      </c>
      <c r="E61" t="e">
        <f>_xlfn.XLOOKUP(G61,Models!A:A,Models!F:F)</f>
        <v>#N/A</v>
      </c>
      <c r="F61" t="str">
        <f>_xlfn.XLOOKUP(B61,MacReports!B:B,MacReports!D:D,"")</f>
        <v/>
      </c>
      <c r="G61" s="13">
        <f>MacReports!E61</f>
        <v>0</v>
      </c>
      <c r="H61" t="e">
        <f>_xlfn.XLOOKUP(G61,Models!A:A,Models!B:B)</f>
        <v>#N/A</v>
      </c>
      <c r="I61" t="e">
        <f>_xlfn.XLOOKUP(G61,Models!A:A,Models!E:E)</f>
        <v>#N/A</v>
      </c>
      <c r="J61" t="e">
        <f>_xlfn.XLOOKUP(G61,Models!A:A,Models!D:D)</f>
        <v>#N/A</v>
      </c>
      <c r="K61">
        <f>MacReports!F61</f>
        <v>0</v>
      </c>
      <c r="L61">
        <f>MacReports!G61</f>
        <v>0</v>
      </c>
      <c r="M61" s="15" t="e" cm="1">
        <f t="array" ref="M61">--_xlfn.LET(
    _xlpm.txt, MacReports!H61,
    _xlpm.chars, MID(_xlpm.txt, _xlfn.SEQUENCE(LEN(_xlpm.txt)), 1),
    _xlfn.TEXTJOIN("", TRUE, IF(ISNUMBER(--_xlpm.chars), _xlpm.chars, ""))
)</f>
        <v>#VALUE!</v>
      </c>
      <c r="N61" s="16" t="str" cm="1">
        <f t="array" ref="N61">_xlfn.IFS(
   --MacReports!M61&lt;55,"Battery Defect",
  -- MacReports!M61&lt;=69,"Battery D",
  --MacReports!M61&lt;=80,"Battery C",
 --MacReports!M61&gt;80,""
)</f>
        <v>Battery Defect</v>
      </c>
      <c r="O61" s="16" t="str">
        <f>IF(MacReports!I61="Service","Battery Service","")</f>
        <v/>
      </c>
      <c r="P61" s="13">
        <f>MacReports!P61</f>
        <v>0</v>
      </c>
      <c r="Q61" s="13" t="str">
        <f>IF(MacReports!J61="Enabled","Apple ID Lock","")</f>
        <v/>
      </c>
      <c r="R61" s="13" t="str">
        <f>IF(MacReports!L61="y","Remote Locked","")</f>
        <v/>
      </c>
      <c r="S61" t="str">
        <f t="shared" si="3"/>
        <v>Battery Defect, 0</v>
      </c>
      <c r="T61" t="str">
        <f>_xlfn.XLOOKUP(B61,Disk_Pivot!G:G,Disk_Pivot!I:I)</f>
        <v>Yes x2</v>
      </c>
      <c r="U61" t="str">
        <f>_xlfn.XLOOKUP(B61,Disk_Pivot!G:G,Disk_Pivot!N:N)</f>
        <v>Pass, Fail</v>
      </c>
      <c r="V61" t="str">
        <f>IF(U61="Fail",MacReports!N61,"")</f>
        <v/>
      </c>
      <c r="AB61" t="str">
        <f t="shared" si="4"/>
        <v/>
      </c>
    </row>
    <row r="62" spans="1:28">
      <c r="A62" t="str">
        <f>MacReports!A62</f>
        <v/>
      </c>
      <c r="B62">
        <f>MacReports!B62</f>
        <v>0</v>
      </c>
      <c r="C62">
        <f>MacReports!C62</f>
        <v>0</v>
      </c>
      <c r="E62" t="e">
        <f>_xlfn.XLOOKUP(G62,Models!A:A,Models!F:F)</f>
        <v>#N/A</v>
      </c>
      <c r="F62" t="str">
        <f>_xlfn.XLOOKUP(B62,MacReports!B:B,MacReports!D:D,"")</f>
        <v/>
      </c>
      <c r="G62" s="13">
        <f>MacReports!E62</f>
        <v>0</v>
      </c>
      <c r="H62" t="e">
        <f>_xlfn.XLOOKUP(G62,Models!A:A,Models!B:B)</f>
        <v>#N/A</v>
      </c>
      <c r="I62" t="e">
        <f>_xlfn.XLOOKUP(G62,Models!A:A,Models!E:E)</f>
        <v>#N/A</v>
      </c>
      <c r="J62" t="e">
        <f>_xlfn.XLOOKUP(G62,Models!A:A,Models!D:D)</f>
        <v>#N/A</v>
      </c>
      <c r="K62">
        <f>MacReports!F62</f>
        <v>0</v>
      </c>
      <c r="L62">
        <f>MacReports!G62</f>
        <v>0</v>
      </c>
      <c r="M62" s="15" t="e" cm="1">
        <f t="array" ref="M62">--_xlfn.LET(
    _xlpm.txt, MacReports!H62,
    _xlpm.chars, MID(_xlpm.txt, _xlfn.SEQUENCE(LEN(_xlpm.txt)), 1),
    _xlfn.TEXTJOIN("", TRUE, IF(ISNUMBER(--_xlpm.chars), _xlpm.chars, ""))
)</f>
        <v>#VALUE!</v>
      </c>
      <c r="N62" s="16" t="str" cm="1">
        <f t="array" ref="N62">_xlfn.IFS(
   --MacReports!M62&lt;55,"Battery Defect",
  -- MacReports!M62&lt;=69,"Battery D",
  --MacReports!M62&lt;=80,"Battery C",
 --MacReports!M62&gt;80,""
)</f>
        <v>Battery Defect</v>
      </c>
      <c r="O62" s="16" t="str">
        <f>IF(MacReports!I62="Service","Battery Service","")</f>
        <v/>
      </c>
      <c r="P62" s="13">
        <f>MacReports!P62</f>
        <v>0</v>
      </c>
      <c r="Q62" s="13" t="str">
        <f>IF(MacReports!J62="Enabled","Apple ID Lock","")</f>
        <v/>
      </c>
      <c r="R62" s="13" t="str">
        <f>IF(MacReports!L62="y","Remote Locked","")</f>
        <v/>
      </c>
      <c r="S62" t="str">
        <f t="shared" si="3"/>
        <v>Battery Defect, 0</v>
      </c>
      <c r="T62" t="str">
        <f>_xlfn.XLOOKUP(B62,Disk_Pivot!G:G,Disk_Pivot!I:I)</f>
        <v>Yes x2</v>
      </c>
      <c r="U62" t="str">
        <f>_xlfn.XLOOKUP(B62,Disk_Pivot!G:G,Disk_Pivot!N:N)</f>
        <v>Pass, Fail</v>
      </c>
      <c r="V62" t="str">
        <f>IF(U62="Fail",MacReports!N62,"")</f>
        <v/>
      </c>
      <c r="AB62" t="str">
        <f t="shared" si="4"/>
        <v/>
      </c>
    </row>
    <row r="63" spans="1:28">
      <c r="A63" t="str">
        <f>MacReports!A63</f>
        <v/>
      </c>
      <c r="B63">
        <f>MacReports!B63</f>
        <v>0</v>
      </c>
      <c r="C63">
        <f>MacReports!C63</f>
        <v>0</v>
      </c>
      <c r="E63" t="e">
        <f>_xlfn.XLOOKUP(G63,Models!A:A,Models!F:F)</f>
        <v>#N/A</v>
      </c>
      <c r="F63" t="str">
        <f>_xlfn.XLOOKUP(B63,MacReports!B:B,MacReports!D:D,"")</f>
        <v/>
      </c>
      <c r="G63" s="13">
        <f>MacReports!E63</f>
        <v>0</v>
      </c>
      <c r="H63" t="e">
        <f>_xlfn.XLOOKUP(G63,Models!A:A,Models!B:B)</f>
        <v>#N/A</v>
      </c>
      <c r="I63" t="e">
        <f>_xlfn.XLOOKUP(G63,Models!A:A,Models!E:E)</f>
        <v>#N/A</v>
      </c>
      <c r="J63" t="e">
        <f>_xlfn.XLOOKUP(G63,Models!A:A,Models!D:D)</f>
        <v>#N/A</v>
      </c>
      <c r="K63">
        <f>MacReports!F63</f>
        <v>0</v>
      </c>
      <c r="L63">
        <f>MacReports!G63</f>
        <v>0</v>
      </c>
      <c r="M63" s="15" t="e" cm="1">
        <f t="array" ref="M63">--_xlfn.LET(
    _xlpm.txt, MacReports!H63,
    _xlpm.chars, MID(_xlpm.txt, _xlfn.SEQUENCE(LEN(_xlpm.txt)), 1),
    _xlfn.TEXTJOIN("", TRUE, IF(ISNUMBER(--_xlpm.chars), _xlpm.chars, ""))
)</f>
        <v>#VALUE!</v>
      </c>
      <c r="N63" s="16" t="str" cm="1">
        <f t="array" ref="N63">_xlfn.IFS(
   --MacReports!M63&lt;55,"Battery Defect",
  -- MacReports!M63&lt;=69,"Battery D",
  --MacReports!M63&lt;=80,"Battery C",
 --MacReports!M63&gt;80,""
)</f>
        <v>Battery Defect</v>
      </c>
      <c r="O63" s="16" t="str">
        <f>IF(MacReports!I63="Service","Battery Service","")</f>
        <v/>
      </c>
      <c r="P63" s="13">
        <f>MacReports!P63</f>
        <v>0</v>
      </c>
      <c r="Q63" s="13" t="str">
        <f>IF(MacReports!J63="Enabled","Apple ID Lock","")</f>
        <v/>
      </c>
      <c r="R63" s="13" t="str">
        <f>IF(MacReports!L63="y","Remote Locked","")</f>
        <v/>
      </c>
      <c r="S63" t="str">
        <f t="shared" si="3"/>
        <v>Battery Defect, 0</v>
      </c>
      <c r="T63" t="str">
        <f>_xlfn.XLOOKUP(B63,Disk_Pivot!G:G,Disk_Pivot!I:I)</f>
        <v>Yes x2</v>
      </c>
      <c r="U63" t="str">
        <f>_xlfn.XLOOKUP(B63,Disk_Pivot!G:G,Disk_Pivot!N:N)</f>
        <v>Pass, Fail</v>
      </c>
      <c r="V63" t="str">
        <f>IF(U63="Fail",MacReports!N63,"")</f>
        <v/>
      </c>
      <c r="AB63" t="str">
        <f t="shared" si="4"/>
        <v/>
      </c>
    </row>
    <row r="64" spans="1:28">
      <c r="A64" t="str">
        <f>MacReports!A64</f>
        <v/>
      </c>
      <c r="B64">
        <f>MacReports!B64</f>
        <v>0</v>
      </c>
      <c r="C64">
        <f>MacReports!C64</f>
        <v>0</v>
      </c>
      <c r="E64" t="e">
        <f>_xlfn.XLOOKUP(G64,Models!A:A,Models!F:F)</f>
        <v>#N/A</v>
      </c>
      <c r="F64" t="str">
        <f>_xlfn.XLOOKUP(B64,MacReports!B:B,MacReports!D:D,"")</f>
        <v/>
      </c>
      <c r="G64" s="13">
        <f>MacReports!E64</f>
        <v>0</v>
      </c>
      <c r="H64" t="e">
        <f>_xlfn.XLOOKUP(G64,Models!A:A,Models!B:B)</f>
        <v>#N/A</v>
      </c>
      <c r="I64" t="e">
        <f>_xlfn.XLOOKUP(G64,Models!A:A,Models!E:E)</f>
        <v>#N/A</v>
      </c>
      <c r="J64" t="e">
        <f>_xlfn.XLOOKUP(G64,Models!A:A,Models!D:D)</f>
        <v>#N/A</v>
      </c>
      <c r="K64">
        <f>MacReports!F64</f>
        <v>0</v>
      </c>
      <c r="L64">
        <f>MacReports!G64</f>
        <v>0</v>
      </c>
      <c r="M64" s="15" t="e" cm="1">
        <f t="array" ref="M64">--_xlfn.LET(
    _xlpm.txt, MacReports!H64,
    _xlpm.chars, MID(_xlpm.txt, _xlfn.SEQUENCE(LEN(_xlpm.txt)), 1),
    _xlfn.TEXTJOIN("", TRUE, IF(ISNUMBER(--_xlpm.chars), _xlpm.chars, ""))
)</f>
        <v>#VALUE!</v>
      </c>
      <c r="N64" s="16" t="str" cm="1">
        <f t="array" ref="N64">_xlfn.IFS(
   --MacReports!M64&lt;55,"Battery Defect",
  -- MacReports!M64&lt;=69,"Battery D",
  --MacReports!M64&lt;=80,"Battery C",
 --MacReports!M64&gt;80,""
)</f>
        <v>Battery Defect</v>
      </c>
      <c r="O64" s="16" t="str">
        <f>IF(MacReports!I64="Service","Battery Service","")</f>
        <v/>
      </c>
      <c r="P64" s="13">
        <f>MacReports!P64</f>
        <v>0</v>
      </c>
      <c r="Q64" s="13" t="str">
        <f>IF(MacReports!J64="Enabled","Apple ID Lock","")</f>
        <v/>
      </c>
      <c r="R64" s="13" t="str">
        <f>IF(MacReports!L64="y","Remote Locked","")</f>
        <v/>
      </c>
      <c r="S64" t="str">
        <f t="shared" si="3"/>
        <v>Battery Defect, 0</v>
      </c>
      <c r="T64" t="str">
        <f>_xlfn.XLOOKUP(B64,Disk_Pivot!G:G,Disk_Pivot!I:I)</f>
        <v>Yes x2</v>
      </c>
      <c r="U64" t="str">
        <f>_xlfn.XLOOKUP(B64,Disk_Pivot!G:G,Disk_Pivot!N:N)</f>
        <v>Pass, Fail</v>
      </c>
      <c r="V64" t="str">
        <f>IF(U64="Fail",MacReports!N64,"")</f>
        <v/>
      </c>
      <c r="AB64" t="str">
        <f t="shared" si="4"/>
        <v/>
      </c>
    </row>
    <row r="65" spans="1:28">
      <c r="A65" t="str">
        <f>MacReports!A65</f>
        <v/>
      </c>
      <c r="B65">
        <f>MacReports!B65</f>
        <v>0</v>
      </c>
      <c r="C65">
        <f>MacReports!C65</f>
        <v>0</v>
      </c>
      <c r="E65" t="e">
        <f>_xlfn.XLOOKUP(G65,Models!A:A,Models!F:F)</f>
        <v>#N/A</v>
      </c>
      <c r="F65" t="str">
        <f>_xlfn.XLOOKUP(B65,MacReports!B:B,MacReports!D:D,"")</f>
        <v/>
      </c>
      <c r="G65" s="13">
        <f>MacReports!E65</f>
        <v>0</v>
      </c>
      <c r="H65" t="e">
        <f>_xlfn.XLOOKUP(G65,Models!A:A,Models!B:B)</f>
        <v>#N/A</v>
      </c>
      <c r="I65" t="e">
        <f>_xlfn.XLOOKUP(G65,Models!A:A,Models!E:E)</f>
        <v>#N/A</v>
      </c>
      <c r="J65" t="e">
        <f>_xlfn.XLOOKUP(G65,Models!A:A,Models!D:D)</f>
        <v>#N/A</v>
      </c>
      <c r="K65">
        <f>MacReports!F65</f>
        <v>0</v>
      </c>
      <c r="L65">
        <f>MacReports!G65</f>
        <v>0</v>
      </c>
      <c r="M65" s="15" t="e" cm="1">
        <f t="array" ref="M65">--_xlfn.LET(
    _xlpm.txt, MacReports!H65,
    _xlpm.chars, MID(_xlpm.txt, _xlfn.SEQUENCE(LEN(_xlpm.txt)), 1),
    _xlfn.TEXTJOIN("", TRUE, IF(ISNUMBER(--_xlpm.chars), _xlpm.chars, ""))
)</f>
        <v>#VALUE!</v>
      </c>
      <c r="N65" s="16" t="str" cm="1">
        <f t="array" ref="N65">_xlfn.IFS(
   --MacReports!M65&lt;55,"Battery Defect",
  -- MacReports!M65&lt;=69,"Battery D",
  --MacReports!M65&lt;=80,"Battery C",
 --MacReports!M65&gt;80,""
)</f>
        <v>Battery Defect</v>
      </c>
      <c r="O65" s="16" t="str">
        <f>IF(MacReports!I65="Service","Battery Service","")</f>
        <v/>
      </c>
      <c r="P65" s="13">
        <f>MacReports!P65</f>
        <v>0</v>
      </c>
      <c r="Q65" s="13" t="str">
        <f>IF(MacReports!J65="Enabled","Apple ID Lock","")</f>
        <v/>
      </c>
      <c r="R65" s="13" t="str">
        <f>IF(MacReports!L65="y","Remote Locked","")</f>
        <v/>
      </c>
      <c r="S65" t="str">
        <f t="shared" si="3"/>
        <v>Battery Defect, 0</v>
      </c>
      <c r="T65" t="str">
        <f>_xlfn.XLOOKUP(B65,Disk_Pivot!G:G,Disk_Pivot!I:I)</f>
        <v>Yes x2</v>
      </c>
      <c r="U65" t="str">
        <f>_xlfn.XLOOKUP(B65,Disk_Pivot!G:G,Disk_Pivot!N:N)</f>
        <v>Pass, Fail</v>
      </c>
      <c r="V65" t="str">
        <f>IF(U65="Fail",MacReports!N65,"")</f>
        <v/>
      </c>
      <c r="AB65" t="str">
        <f t="shared" si="4"/>
        <v/>
      </c>
    </row>
    <row r="66" spans="1:28">
      <c r="A66" t="str">
        <f>MacReports!A66</f>
        <v/>
      </c>
      <c r="B66">
        <f>MacReports!B66</f>
        <v>0</v>
      </c>
      <c r="C66">
        <f>MacReports!C66</f>
        <v>0</v>
      </c>
      <c r="E66" t="e">
        <f>_xlfn.XLOOKUP(G66,Models!A:A,Models!F:F)</f>
        <v>#N/A</v>
      </c>
      <c r="F66" t="str">
        <f>_xlfn.XLOOKUP(B66,MacReports!B:B,MacReports!D:D,"")</f>
        <v/>
      </c>
      <c r="G66" s="13">
        <f>MacReports!E66</f>
        <v>0</v>
      </c>
      <c r="H66" t="e">
        <f>_xlfn.XLOOKUP(G66,Models!A:A,Models!B:B)</f>
        <v>#N/A</v>
      </c>
      <c r="I66" t="e">
        <f>_xlfn.XLOOKUP(G66,Models!A:A,Models!E:E)</f>
        <v>#N/A</v>
      </c>
      <c r="J66" t="e">
        <f>_xlfn.XLOOKUP(G66,Models!A:A,Models!D:D)</f>
        <v>#N/A</v>
      </c>
      <c r="K66">
        <f>MacReports!F66</f>
        <v>0</v>
      </c>
      <c r="L66">
        <f>MacReports!G66</f>
        <v>0</v>
      </c>
      <c r="M66" s="15" t="e" cm="1">
        <f t="array" ref="M66">--_xlfn.LET(
    _xlpm.txt, MacReports!H66,
    _xlpm.chars, MID(_xlpm.txt, _xlfn.SEQUENCE(LEN(_xlpm.txt)), 1),
    _xlfn.TEXTJOIN("", TRUE, IF(ISNUMBER(--_xlpm.chars), _xlpm.chars, ""))
)</f>
        <v>#VALUE!</v>
      </c>
      <c r="N66" s="16" t="str" cm="1">
        <f t="array" ref="N66">_xlfn.IFS(
   --MacReports!M66&lt;55,"Battery Defect",
  -- MacReports!M66&lt;=69,"Battery D",
  --MacReports!M66&lt;=80,"Battery C",
 --MacReports!M66&gt;80,""
)</f>
        <v>Battery Defect</v>
      </c>
      <c r="O66" s="16" t="str">
        <f>IF(MacReports!I66="Service","Battery Service","")</f>
        <v/>
      </c>
      <c r="P66" s="13">
        <f>MacReports!P66</f>
        <v>0</v>
      </c>
      <c r="Q66" s="13" t="str">
        <f>IF(MacReports!J66="Enabled","Apple ID Lock","")</f>
        <v/>
      </c>
      <c r="R66" s="13" t="str">
        <f>IF(MacReports!L66="y","Remote Locked","")</f>
        <v/>
      </c>
      <c r="S66" t="str">
        <f t="shared" si="3"/>
        <v>Battery Defect, 0</v>
      </c>
      <c r="T66" t="str">
        <f>_xlfn.XLOOKUP(B66,Disk_Pivot!G:G,Disk_Pivot!I:I)</f>
        <v>Yes x2</v>
      </c>
      <c r="U66" t="str">
        <f>_xlfn.XLOOKUP(B66,Disk_Pivot!G:G,Disk_Pivot!N:N)</f>
        <v>Pass, Fail</v>
      </c>
      <c r="V66" t="str">
        <f>IF(U66="Fail",MacReports!N66,"")</f>
        <v/>
      </c>
      <c r="AB66" t="str">
        <f t="shared" si="4"/>
        <v/>
      </c>
    </row>
    <row r="67" spans="1:28">
      <c r="A67" t="str">
        <f>MacReports!A67</f>
        <v/>
      </c>
      <c r="B67">
        <f>MacReports!B67</f>
        <v>0</v>
      </c>
      <c r="C67">
        <f>MacReports!C67</f>
        <v>0</v>
      </c>
      <c r="E67" t="e">
        <f>_xlfn.XLOOKUP(G67,Models!A:A,Models!F:F)</f>
        <v>#N/A</v>
      </c>
      <c r="F67" t="str">
        <f>_xlfn.XLOOKUP(B67,MacReports!B:B,MacReports!D:D,"")</f>
        <v/>
      </c>
      <c r="G67" s="13">
        <f>MacReports!E67</f>
        <v>0</v>
      </c>
      <c r="H67" t="e">
        <f>_xlfn.XLOOKUP(G67,Models!A:A,Models!B:B)</f>
        <v>#N/A</v>
      </c>
      <c r="I67" t="e">
        <f>_xlfn.XLOOKUP(G67,Models!A:A,Models!E:E)</f>
        <v>#N/A</v>
      </c>
      <c r="J67" t="e">
        <f>_xlfn.XLOOKUP(G67,Models!A:A,Models!D:D)</f>
        <v>#N/A</v>
      </c>
      <c r="K67">
        <f>MacReports!F67</f>
        <v>0</v>
      </c>
      <c r="L67">
        <f>MacReports!G67</f>
        <v>0</v>
      </c>
      <c r="M67" s="15" t="e" cm="1">
        <f t="array" ref="M67">--_xlfn.LET(
    _xlpm.txt, MacReports!H67,
    _xlpm.chars, MID(_xlpm.txt, _xlfn.SEQUENCE(LEN(_xlpm.txt)), 1),
    _xlfn.TEXTJOIN("", TRUE, IF(ISNUMBER(--_xlpm.chars), _xlpm.chars, ""))
)</f>
        <v>#VALUE!</v>
      </c>
      <c r="N67" s="16" t="str" cm="1">
        <f t="array" ref="N67">_xlfn.IFS(
   --MacReports!M67&lt;55,"Battery Defect",
  -- MacReports!M67&lt;=69,"Battery D",
  --MacReports!M67&lt;=80,"Battery C",
 --MacReports!M67&gt;80,""
)</f>
        <v>Battery Defect</v>
      </c>
      <c r="O67" s="16" t="str">
        <f>IF(MacReports!I67="Service","Battery Service","")</f>
        <v/>
      </c>
      <c r="P67" s="13">
        <f>MacReports!P67</f>
        <v>0</v>
      </c>
      <c r="Q67" s="13" t="str">
        <f>IF(MacReports!J67="Enabled","Apple ID Lock","")</f>
        <v/>
      </c>
      <c r="R67" s="13" t="str">
        <f>IF(MacReports!L67="y","Remote Locked","")</f>
        <v/>
      </c>
      <c r="S67" t="str">
        <f t="shared" si="3"/>
        <v>Battery Defect, 0</v>
      </c>
      <c r="T67" t="str">
        <f>_xlfn.XLOOKUP(B67,Disk_Pivot!G:G,Disk_Pivot!I:I)</f>
        <v>Yes x2</v>
      </c>
      <c r="U67" t="str">
        <f>_xlfn.XLOOKUP(B67,Disk_Pivot!G:G,Disk_Pivot!N:N)</f>
        <v>Pass, Fail</v>
      </c>
      <c r="V67" t="str">
        <f>IF(U67="Fail",MacReports!N67,"")</f>
        <v/>
      </c>
      <c r="AB67" t="str">
        <f t="shared" si="4"/>
        <v/>
      </c>
    </row>
    <row r="68" spans="1:28">
      <c r="A68" t="str">
        <f>MacReports!A68</f>
        <v/>
      </c>
      <c r="B68">
        <f>MacReports!B68</f>
        <v>0</v>
      </c>
      <c r="C68">
        <f>MacReports!C68</f>
        <v>0</v>
      </c>
      <c r="E68" t="e">
        <f>_xlfn.XLOOKUP(G68,Models!A:A,Models!F:F)</f>
        <v>#N/A</v>
      </c>
      <c r="F68" t="str">
        <f>_xlfn.XLOOKUP(B68,MacReports!B:B,MacReports!D:D,"")</f>
        <v/>
      </c>
      <c r="G68" s="13">
        <f>MacReports!E68</f>
        <v>0</v>
      </c>
      <c r="H68" t="e">
        <f>_xlfn.XLOOKUP(G68,Models!A:A,Models!B:B)</f>
        <v>#N/A</v>
      </c>
      <c r="I68" t="e">
        <f>_xlfn.XLOOKUP(G68,Models!A:A,Models!E:E)</f>
        <v>#N/A</v>
      </c>
      <c r="J68" t="e">
        <f>_xlfn.XLOOKUP(G68,Models!A:A,Models!D:D)</f>
        <v>#N/A</v>
      </c>
      <c r="K68">
        <f>MacReports!F68</f>
        <v>0</v>
      </c>
      <c r="L68">
        <f>MacReports!G68</f>
        <v>0</v>
      </c>
      <c r="M68" s="15" t="e" cm="1">
        <f t="array" ref="M68">--_xlfn.LET(
    _xlpm.txt, MacReports!H68,
    _xlpm.chars, MID(_xlpm.txt, _xlfn.SEQUENCE(LEN(_xlpm.txt)), 1),
    _xlfn.TEXTJOIN("", TRUE, IF(ISNUMBER(--_xlpm.chars), _xlpm.chars, ""))
)</f>
        <v>#VALUE!</v>
      </c>
      <c r="N68" s="16" t="str" cm="1">
        <f t="array" ref="N68">_xlfn.IFS(
   --MacReports!M68&lt;55,"Battery Defect",
  -- MacReports!M68&lt;=69,"Battery D",
  --MacReports!M68&lt;=80,"Battery C",
 --MacReports!M68&gt;80,""
)</f>
        <v>Battery Defect</v>
      </c>
      <c r="O68" s="16" t="str">
        <f>IF(MacReports!I68="Service","Battery Service","")</f>
        <v/>
      </c>
      <c r="P68" s="13">
        <f>MacReports!P68</f>
        <v>0</v>
      </c>
      <c r="Q68" s="13" t="str">
        <f>IF(MacReports!J68="Enabled","Apple ID Lock","")</f>
        <v/>
      </c>
      <c r="R68" s="13" t="str">
        <f>IF(MacReports!L68="y","Remote Locked","")</f>
        <v/>
      </c>
      <c r="S68" t="str">
        <f t="shared" si="3"/>
        <v>Battery Defect, 0</v>
      </c>
      <c r="T68" t="str">
        <f>_xlfn.XLOOKUP(B68,Disk_Pivot!G:G,Disk_Pivot!I:I)</f>
        <v>Yes x2</v>
      </c>
      <c r="U68" t="str">
        <f>_xlfn.XLOOKUP(B68,Disk_Pivot!G:G,Disk_Pivot!N:N)</f>
        <v>Pass, Fail</v>
      </c>
      <c r="V68" t="str">
        <f>IF(U68="Fail",MacReports!N68,"")</f>
        <v/>
      </c>
      <c r="AB68" t="str">
        <f t="shared" si="4"/>
        <v/>
      </c>
    </row>
    <row r="69" spans="1:28">
      <c r="A69" t="str">
        <f>MacReports!A69</f>
        <v/>
      </c>
      <c r="B69">
        <f>MacReports!B69</f>
        <v>0</v>
      </c>
      <c r="C69">
        <f>MacReports!C69</f>
        <v>0</v>
      </c>
      <c r="E69" t="e">
        <f>_xlfn.XLOOKUP(G69,Models!A:A,Models!F:F)</f>
        <v>#N/A</v>
      </c>
      <c r="F69" t="str">
        <f>_xlfn.XLOOKUP(B69,MacReports!B:B,MacReports!D:D,"")</f>
        <v/>
      </c>
      <c r="G69" s="13">
        <f>MacReports!E69</f>
        <v>0</v>
      </c>
      <c r="H69" t="e">
        <f>_xlfn.XLOOKUP(G69,Models!A:A,Models!B:B)</f>
        <v>#N/A</v>
      </c>
      <c r="I69" t="e">
        <f>_xlfn.XLOOKUP(G69,Models!A:A,Models!E:E)</f>
        <v>#N/A</v>
      </c>
      <c r="J69" t="e">
        <f>_xlfn.XLOOKUP(G69,Models!A:A,Models!D:D)</f>
        <v>#N/A</v>
      </c>
      <c r="K69">
        <f>MacReports!F69</f>
        <v>0</v>
      </c>
      <c r="L69">
        <f>MacReports!G69</f>
        <v>0</v>
      </c>
      <c r="M69" s="15" t="e" cm="1">
        <f t="array" ref="M69">--_xlfn.LET(
    _xlpm.txt, MacReports!H69,
    _xlpm.chars, MID(_xlpm.txt, _xlfn.SEQUENCE(LEN(_xlpm.txt)), 1),
    _xlfn.TEXTJOIN("", TRUE, IF(ISNUMBER(--_xlpm.chars), _xlpm.chars, ""))
)</f>
        <v>#VALUE!</v>
      </c>
      <c r="N69" s="16" t="str" cm="1">
        <f t="array" ref="N69">_xlfn.IFS(
   --MacReports!M69&lt;55,"Battery Defect",
  -- MacReports!M69&lt;=69,"Battery D",
  --MacReports!M69&lt;=80,"Battery C",
 --MacReports!M69&gt;80,""
)</f>
        <v>Battery Defect</v>
      </c>
      <c r="O69" s="16" t="str">
        <f>IF(MacReports!I69="Service","Battery Service","")</f>
        <v/>
      </c>
      <c r="P69" s="13">
        <f>MacReports!P69</f>
        <v>0</v>
      </c>
      <c r="Q69" s="13" t="str">
        <f>IF(MacReports!J69="Enabled","Apple ID Lock","")</f>
        <v/>
      </c>
      <c r="R69" s="13" t="str">
        <f>IF(MacReports!L69="y","Remote Locked","")</f>
        <v/>
      </c>
      <c r="S69" t="str">
        <f t="shared" si="3"/>
        <v>Battery Defect, 0</v>
      </c>
      <c r="T69" t="str">
        <f>_xlfn.XLOOKUP(B69,Disk_Pivot!G:G,Disk_Pivot!I:I)</f>
        <v>Yes x2</v>
      </c>
      <c r="U69" t="str">
        <f>_xlfn.XLOOKUP(B69,Disk_Pivot!G:G,Disk_Pivot!N:N)</f>
        <v>Pass, Fail</v>
      </c>
      <c r="V69" t="str">
        <f>IF(U69="Fail",MacReports!N69,"")</f>
        <v/>
      </c>
      <c r="AB69" t="str">
        <f t="shared" si="4"/>
        <v/>
      </c>
    </row>
    <row r="70" spans="1:28">
      <c r="A70" t="str">
        <f>MacReports!A70</f>
        <v/>
      </c>
      <c r="B70">
        <f>MacReports!B70</f>
        <v>0</v>
      </c>
      <c r="C70">
        <f>MacReports!C70</f>
        <v>0</v>
      </c>
      <c r="E70" t="e">
        <f>_xlfn.XLOOKUP(G70,Models!A:A,Models!F:F)</f>
        <v>#N/A</v>
      </c>
      <c r="F70" t="str">
        <f>_xlfn.XLOOKUP(B70,MacReports!B:B,MacReports!D:D,"")</f>
        <v/>
      </c>
      <c r="G70" s="13">
        <f>MacReports!E70</f>
        <v>0</v>
      </c>
      <c r="H70" t="e">
        <f>_xlfn.XLOOKUP(G70,Models!A:A,Models!B:B)</f>
        <v>#N/A</v>
      </c>
      <c r="I70" t="e">
        <f>_xlfn.XLOOKUP(G70,Models!A:A,Models!E:E)</f>
        <v>#N/A</v>
      </c>
      <c r="J70" t="e">
        <f>_xlfn.XLOOKUP(G70,Models!A:A,Models!D:D)</f>
        <v>#N/A</v>
      </c>
      <c r="K70">
        <f>MacReports!F70</f>
        <v>0</v>
      </c>
      <c r="L70">
        <f>MacReports!G70</f>
        <v>0</v>
      </c>
      <c r="M70" s="15" t="e" cm="1">
        <f t="array" ref="M70">--_xlfn.LET(
    _xlpm.txt, MacReports!H70,
    _xlpm.chars, MID(_xlpm.txt, _xlfn.SEQUENCE(LEN(_xlpm.txt)), 1),
    _xlfn.TEXTJOIN("", TRUE, IF(ISNUMBER(--_xlpm.chars), _xlpm.chars, ""))
)</f>
        <v>#VALUE!</v>
      </c>
      <c r="N70" s="16" t="str" cm="1">
        <f t="array" ref="N70">_xlfn.IFS(
   --MacReports!M70&lt;55,"Battery Defect",
  -- MacReports!M70&lt;=69,"Battery D",
  --MacReports!M70&lt;=80,"Battery C",
 --MacReports!M70&gt;80,""
)</f>
        <v>Battery Defect</v>
      </c>
      <c r="O70" s="16" t="str">
        <f>IF(MacReports!I70="Service","Battery Service","")</f>
        <v/>
      </c>
      <c r="P70" s="13">
        <f>MacReports!P70</f>
        <v>0</v>
      </c>
      <c r="Q70" s="13" t="str">
        <f>IF(MacReports!J70="Enabled","Apple ID Lock","")</f>
        <v/>
      </c>
      <c r="R70" s="13" t="str">
        <f>IF(MacReports!L70="y","Remote Locked","")</f>
        <v/>
      </c>
      <c r="S70" t="str">
        <f t="shared" si="3"/>
        <v>Battery Defect, 0</v>
      </c>
      <c r="T70" t="str">
        <f>_xlfn.XLOOKUP(B70,Disk_Pivot!G:G,Disk_Pivot!I:I)</f>
        <v>Yes x2</v>
      </c>
      <c r="U70" t="str">
        <f>_xlfn.XLOOKUP(B70,Disk_Pivot!G:G,Disk_Pivot!N:N)</f>
        <v>Pass, Fail</v>
      </c>
      <c r="V70" t="str">
        <f>IF(U70="Fail",MacReports!N70,"")</f>
        <v/>
      </c>
      <c r="AB70" t="str">
        <f t="shared" si="4"/>
        <v/>
      </c>
    </row>
    <row r="71" spans="1:28">
      <c r="A71" t="str">
        <f>MacReports!A71</f>
        <v/>
      </c>
      <c r="B71">
        <f>MacReports!B71</f>
        <v>0</v>
      </c>
      <c r="C71">
        <f>MacReports!C71</f>
        <v>0</v>
      </c>
      <c r="E71" t="e">
        <f>_xlfn.XLOOKUP(G71,Models!A:A,Models!F:F)</f>
        <v>#N/A</v>
      </c>
      <c r="F71" t="str">
        <f>_xlfn.XLOOKUP(B71,MacReports!B:B,MacReports!D:D,"")</f>
        <v/>
      </c>
      <c r="G71" s="13">
        <f>MacReports!E71</f>
        <v>0</v>
      </c>
      <c r="H71" t="e">
        <f>_xlfn.XLOOKUP(G71,Models!A:A,Models!B:B)</f>
        <v>#N/A</v>
      </c>
      <c r="I71" t="e">
        <f>_xlfn.XLOOKUP(G71,Models!A:A,Models!E:E)</f>
        <v>#N/A</v>
      </c>
      <c r="J71" t="e">
        <f>_xlfn.XLOOKUP(G71,Models!A:A,Models!D:D)</f>
        <v>#N/A</v>
      </c>
      <c r="K71">
        <f>MacReports!F71</f>
        <v>0</v>
      </c>
      <c r="L71">
        <f>MacReports!G71</f>
        <v>0</v>
      </c>
      <c r="M71" s="15" t="e" cm="1">
        <f t="array" ref="M71">--_xlfn.LET(
    _xlpm.txt, MacReports!H71,
    _xlpm.chars, MID(_xlpm.txt, _xlfn.SEQUENCE(LEN(_xlpm.txt)), 1),
    _xlfn.TEXTJOIN("", TRUE, IF(ISNUMBER(--_xlpm.chars), _xlpm.chars, ""))
)</f>
        <v>#VALUE!</v>
      </c>
      <c r="N71" s="16" t="str" cm="1">
        <f t="array" ref="N71">_xlfn.IFS(
   --MacReports!M71&lt;55,"Battery Defect",
  -- MacReports!M71&lt;=69,"Battery D",
  --MacReports!M71&lt;=80,"Battery C",
 --MacReports!M71&gt;80,""
)</f>
        <v>Battery Defect</v>
      </c>
      <c r="O71" s="16" t="str">
        <f>IF(MacReports!I71="Service","Battery Service","")</f>
        <v/>
      </c>
      <c r="P71" s="13">
        <f>MacReports!P71</f>
        <v>0</v>
      </c>
      <c r="Q71" s="13" t="str">
        <f>IF(MacReports!J71="Enabled","Apple ID Lock","")</f>
        <v/>
      </c>
      <c r="R71" s="13" t="str">
        <f>IF(MacReports!L71="y","Remote Locked","")</f>
        <v/>
      </c>
      <c r="S71" t="str">
        <f t="shared" si="3"/>
        <v>Battery Defect, 0</v>
      </c>
      <c r="T71" t="str">
        <f>_xlfn.XLOOKUP(B71,Disk_Pivot!G:G,Disk_Pivot!I:I)</f>
        <v>Yes x2</v>
      </c>
      <c r="U71" t="str">
        <f>_xlfn.XLOOKUP(B71,Disk_Pivot!G:G,Disk_Pivot!N:N)</f>
        <v>Pass, Fail</v>
      </c>
      <c r="V71" t="str">
        <f>IF(U71="Fail",MacReports!N71,"")</f>
        <v/>
      </c>
      <c r="AB71" t="str">
        <f t="shared" si="4"/>
        <v/>
      </c>
    </row>
    <row r="72" spans="1:28">
      <c r="A72" t="str">
        <f>MacReports!A72</f>
        <v/>
      </c>
      <c r="B72">
        <f>MacReports!B72</f>
        <v>0</v>
      </c>
      <c r="C72">
        <f>MacReports!C72</f>
        <v>0</v>
      </c>
      <c r="E72" t="e">
        <f>_xlfn.XLOOKUP(G72,Models!A:A,Models!F:F)</f>
        <v>#N/A</v>
      </c>
      <c r="F72" t="str">
        <f>_xlfn.XLOOKUP(B72,MacReports!B:B,MacReports!D:D,"")</f>
        <v/>
      </c>
      <c r="G72" s="13">
        <f>MacReports!E72</f>
        <v>0</v>
      </c>
      <c r="H72" t="e">
        <f>_xlfn.XLOOKUP(G72,Models!A:A,Models!B:B)</f>
        <v>#N/A</v>
      </c>
      <c r="I72" t="e">
        <f>_xlfn.XLOOKUP(G72,Models!A:A,Models!E:E)</f>
        <v>#N/A</v>
      </c>
      <c r="J72" t="e">
        <f>_xlfn.XLOOKUP(G72,Models!A:A,Models!D:D)</f>
        <v>#N/A</v>
      </c>
      <c r="K72">
        <f>MacReports!F72</f>
        <v>0</v>
      </c>
      <c r="L72">
        <f>MacReports!G72</f>
        <v>0</v>
      </c>
      <c r="M72" s="15" t="e" cm="1">
        <f t="array" ref="M72">--_xlfn.LET(
    _xlpm.txt, MacReports!H72,
    _xlpm.chars, MID(_xlpm.txt, _xlfn.SEQUENCE(LEN(_xlpm.txt)), 1),
    _xlfn.TEXTJOIN("", TRUE, IF(ISNUMBER(--_xlpm.chars), _xlpm.chars, ""))
)</f>
        <v>#VALUE!</v>
      </c>
      <c r="N72" s="16" t="str" cm="1">
        <f t="array" ref="N72">_xlfn.IFS(
   --MacReports!M72&lt;55,"Battery Defect",
  -- MacReports!M72&lt;=69,"Battery D",
  --MacReports!M72&lt;=80,"Battery C",
 --MacReports!M72&gt;80,""
)</f>
        <v>Battery Defect</v>
      </c>
      <c r="O72" s="16" t="str">
        <f>IF(MacReports!I72="Service","Battery Service","")</f>
        <v/>
      </c>
      <c r="P72" s="13">
        <f>MacReports!P72</f>
        <v>0</v>
      </c>
      <c r="Q72" s="13" t="str">
        <f>IF(MacReports!J72="Enabled","Apple ID Lock","")</f>
        <v/>
      </c>
      <c r="R72" s="13" t="str">
        <f>IF(MacReports!L72="y","Remote Locked","")</f>
        <v/>
      </c>
      <c r="S72" t="str">
        <f t="shared" si="3"/>
        <v>Battery Defect, 0</v>
      </c>
      <c r="T72" t="str">
        <f>_xlfn.XLOOKUP(B72,Disk_Pivot!G:G,Disk_Pivot!I:I)</f>
        <v>Yes x2</v>
      </c>
      <c r="U72" t="str">
        <f>_xlfn.XLOOKUP(B72,Disk_Pivot!G:G,Disk_Pivot!N:N)</f>
        <v>Pass, Fail</v>
      </c>
      <c r="V72" t="str">
        <f>IF(U72="Fail",MacReports!N72,"")</f>
        <v/>
      </c>
      <c r="AB72" t="str">
        <f t="shared" si="4"/>
        <v/>
      </c>
    </row>
    <row r="73" spans="1:28">
      <c r="A73" t="str">
        <f>MacReports!A73</f>
        <v/>
      </c>
      <c r="B73">
        <f>MacReports!B73</f>
        <v>0</v>
      </c>
      <c r="C73">
        <f>MacReports!C73</f>
        <v>0</v>
      </c>
      <c r="E73" t="e">
        <f>_xlfn.XLOOKUP(G73,Models!A:A,Models!F:F)</f>
        <v>#N/A</v>
      </c>
      <c r="F73" t="str">
        <f>_xlfn.XLOOKUP(B73,MacReports!B:B,MacReports!D:D,"")</f>
        <v/>
      </c>
      <c r="G73" s="13">
        <f>MacReports!E73</f>
        <v>0</v>
      </c>
      <c r="H73" t="e">
        <f>_xlfn.XLOOKUP(G73,Models!A:A,Models!B:B)</f>
        <v>#N/A</v>
      </c>
      <c r="I73" t="e">
        <f>_xlfn.XLOOKUP(G73,Models!A:A,Models!E:E)</f>
        <v>#N/A</v>
      </c>
      <c r="J73" t="e">
        <f>_xlfn.XLOOKUP(G73,Models!A:A,Models!D:D)</f>
        <v>#N/A</v>
      </c>
      <c r="K73">
        <f>MacReports!F73</f>
        <v>0</v>
      </c>
      <c r="L73">
        <f>MacReports!G73</f>
        <v>0</v>
      </c>
      <c r="M73" s="15" t="e" cm="1">
        <f t="array" ref="M73">--_xlfn.LET(
    _xlpm.txt, MacReports!H73,
    _xlpm.chars, MID(_xlpm.txt, _xlfn.SEQUENCE(LEN(_xlpm.txt)), 1),
    _xlfn.TEXTJOIN("", TRUE, IF(ISNUMBER(--_xlpm.chars), _xlpm.chars, ""))
)</f>
        <v>#VALUE!</v>
      </c>
      <c r="N73" s="16" t="str" cm="1">
        <f t="array" ref="N73">_xlfn.IFS(
   --MacReports!M73&lt;55,"Battery Defect",
  -- MacReports!M73&lt;=69,"Battery D",
  --MacReports!M73&lt;=80,"Battery C",
 --MacReports!M73&gt;80,""
)</f>
        <v>Battery Defect</v>
      </c>
      <c r="O73" s="16" t="str">
        <f>IF(MacReports!I73="Service","Battery Service","")</f>
        <v/>
      </c>
      <c r="P73" s="13">
        <f>MacReports!P73</f>
        <v>0</v>
      </c>
      <c r="Q73" s="13" t="str">
        <f>IF(MacReports!J73="Enabled","Apple ID Lock","")</f>
        <v/>
      </c>
      <c r="R73" s="13" t="str">
        <f>IF(MacReports!L73="y","Remote Locked","")</f>
        <v/>
      </c>
      <c r="S73" t="str">
        <f t="shared" si="3"/>
        <v>Battery Defect, 0</v>
      </c>
      <c r="T73" t="str">
        <f>_xlfn.XLOOKUP(B73,Disk_Pivot!G:G,Disk_Pivot!I:I)</f>
        <v>Yes x2</v>
      </c>
      <c r="U73" t="str">
        <f>_xlfn.XLOOKUP(B73,Disk_Pivot!G:G,Disk_Pivot!N:N)</f>
        <v>Pass, Fail</v>
      </c>
      <c r="V73" t="str">
        <f>IF(U73="Fail",MacReports!N73,"")</f>
        <v/>
      </c>
      <c r="AB73" t="str">
        <f t="shared" si="4"/>
        <v/>
      </c>
    </row>
    <row r="74" spans="1:28">
      <c r="A74" t="str">
        <f>MacReports!A74</f>
        <v/>
      </c>
      <c r="B74">
        <f>MacReports!B74</f>
        <v>0</v>
      </c>
      <c r="C74">
        <f>MacReports!C74</f>
        <v>0</v>
      </c>
      <c r="E74" t="e">
        <f>_xlfn.XLOOKUP(G74,Models!A:A,Models!F:F)</f>
        <v>#N/A</v>
      </c>
      <c r="F74" t="str">
        <f>_xlfn.XLOOKUP(B74,MacReports!B:B,MacReports!D:D,"")</f>
        <v/>
      </c>
      <c r="G74" s="13">
        <f>MacReports!E74</f>
        <v>0</v>
      </c>
      <c r="H74" t="e">
        <f>_xlfn.XLOOKUP(G74,Models!A:A,Models!B:B)</f>
        <v>#N/A</v>
      </c>
      <c r="I74" t="e">
        <f>_xlfn.XLOOKUP(G74,Models!A:A,Models!E:E)</f>
        <v>#N/A</v>
      </c>
      <c r="J74" t="e">
        <f>_xlfn.XLOOKUP(G74,Models!A:A,Models!D:D)</f>
        <v>#N/A</v>
      </c>
      <c r="K74">
        <f>MacReports!F74</f>
        <v>0</v>
      </c>
      <c r="L74">
        <f>MacReports!G74</f>
        <v>0</v>
      </c>
      <c r="M74" s="15" t="e" cm="1">
        <f t="array" ref="M74">--_xlfn.LET(
    _xlpm.txt, MacReports!H74,
    _xlpm.chars, MID(_xlpm.txt, _xlfn.SEQUENCE(LEN(_xlpm.txt)), 1),
    _xlfn.TEXTJOIN("", TRUE, IF(ISNUMBER(--_xlpm.chars), _xlpm.chars, ""))
)</f>
        <v>#VALUE!</v>
      </c>
      <c r="N74" s="16" t="str" cm="1">
        <f t="array" ref="N74">_xlfn.IFS(
   --MacReports!M74&lt;55,"Battery Defect",
  -- MacReports!M74&lt;=69,"Battery D",
  --MacReports!M74&lt;=80,"Battery C",
 --MacReports!M74&gt;80,""
)</f>
        <v>Battery Defect</v>
      </c>
      <c r="O74" s="16" t="str">
        <f>IF(MacReports!I74="Service","Battery Service","")</f>
        <v/>
      </c>
      <c r="P74" s="13">
        <f>MacReports!P74</f>
        <v>0</v>
      </c>
      <c r="Q74" s="13" t="str">
        <f>IF(MacReports!J74="Enabled","Apple ID Lock","")</f>
        <v/>
      </c>
      <c r="R74" s="13" t="str">
        <f>IF(MacReports!L74="y","Remote Locked","")</f>
        <v/>
      </c>
      <c r="S74" t="str">
        <f t="shared" si="3"/>
        <v>Battery Defect, 0</v>
      </c>
      <c r="T74" t="str">
        <f>_xlfn.XLOOKUP(B74,Disk_Pivot!G:G,Disk_Pivot!I:I)</f>
        <v>Yes x2</v>
      </c>
      <c r="U74" t="str">
        <f>_xlfn.XLOOKUP(B74,Disk_Pivot!G:G,Disk_Pivot!N:N)</f>
        <v>Pass, Fail</v>
      </c>
      <c r="V74" t="str">
        <f>IF(U74="Fail",MacReports!N74,"")</f>
        <v/>
      </c>
      <c r="AB74" t="str">
        <f t="shared" si="4"/>
        <v/>
      </c>
    </row>
    <row r="75" spans="1:28">
      <c r="A75" t="str">
        <f>MacReports!A75</f>
        <v/>
      </c>
      <c r="B75">
        <f>MacReports!B75</f>
        <v>0</v>
      </c>
      <c r="C75">
        <f>MacReports!C75</f>
        <v>0</v>
      </c>
      <c r="E75" t="e">
        <f>_xlfn.XLOOKUP(G75,Models!A:A,Models!F:F)</f>
        <v>#N/A</v>
      </c>
      <c r="F75" t="str">
        <f>_xlfn.XLOOKUP(B75,MacReports!B:B,MacReports!D:D,"")</f>
        <v/>
      </c>
      <c r="G75" s="13">
        <f>MacReports!E75</f>
        <v>0</v>
      </c>
      <c r="H75" t="e">
        <f>_xlfn.XLOOKUP(G75,Models!A:A,Models!B:B)</f>
        <v>#N/A</v>
      </c>
      <c r="I75" t="e">
        <f>_xlfn.XLOOKUP(G75,Models!A:A,Models!E:E)</f>
        <v>#N/A</v>
      </c>
      <c r="J75" t="e">
        <f>_xlfn.XLOOKUP(G75,Models!A:A,Models!D:D)</f>
        <v>#N/A</v>
      </c>
      <c r="K75">
        <f>MacReports!F75</f>
        <v>0</v>
      </c>
      <c r="L75">
        <f>MacReports!G75</f>
        <v>0</v>
      </c>
      <c r="M75" s="15" t="e" cm="1">
        <f t="array" ref="M75">--_xlfn.LET(
    _xlpm.txt, MacReports!H75,
    _xlpm.chars, MID(_xlpm.txt, _xlfn.SEQUENCE(LEN(_xlpm.txt)), 1),
    _xlfn.TEXTJOIN("", TRUE, IF(ISNUMBER(--_xlpm.chars), _xlpm.chars, ""))
)</f>
        <v>#VALUE!</v>
      </c>
      <c r="N75" s="16" t="str" cm="1">
        <f t="array" ref="N75">_xlfn.IFS(
   --MacReports!M75&lt;55,"Battery Defect",
  -- MacReports!M75&lt;=69,"Battery D",
  --MacReports!M75&lt;=80,"Battery C",
 --MacReports!M75&gt;80,""
)</f>
        <v>Battery Defect</v>
      </c>
      <c r="O75" s="16" t="str">
        <f>IF(MacReports!I75="Service","Battery Service","")</f>
        <v/>
      </c>
      <c r="P75" s="13">
        <f>MacReports!P75</f>
        <v>0</v>
      </c>
      <c r="Q75" s="13" t="str">
        <f>IF(MacReports!J75="Enabled","Apple ID Lock","")</f>
        <v/>
      </c>
      <c r="R75" s="13" t="str">
        <f>IF(MacReports!L75="y","Remote Locked","")</f>
        <v/>
      </c>
      <c r="S75" t="str">
        <f t="shared" si="3"/>
        <v>Battery Defect, 0</v>
      </c>
      <c r="T75" t="str">
        <f>_xlfn.XLOOKUP(B75,Disk_Pivot!G:G,Disk_Pivot!I:I)</f>
        <v>Yes x2</v>
      </c>
      <c r="U75" t="str">
        <f>_xlfn.XLOOKUP(B75,Disk_Pivot!G:G,Disk_Pivot!N:N)</f>
        <v>Pass, Fail</v>
      </c>
      <c r="V75" t="str">
        <f>IF(U75="Fail",MacReports!N75,"")</f>
        <v/>
      </c>
      <c r="AB75" t="str">
        <f t="shared" si="4"/>
        <v/>
      </c>
    </row>
    <row r="76" spans="1:28">
      <c r="A76" t="str">
        <f>MacReports!A76</f>
        <v/>
      </c>
      <c r="B76">
        <f>MacReports!B76</f>
        <v>0</v>
      </c>
      <c r="C76">
        <f>MacReports!C76</f>
        <v>0</v>
      </c>
      <c r="E76" t="e">
        <f>_xlfn.XLOOKUP(G76,Models!A:A,Models!F:F)</f>
        <v>#N/A</v>
      </c>
      <c r="F76" t="str">
        <f>_xlfn.XLOOKUP(B76,MacReports!B:B,MacReports!D:D,"")</f>
        <v/>
      </c>
      <c r="G76" s="13">
        <f>MacReports!E76</f>
        <v>0</v>
      </c>
      <c r="H76" t="e">
        <f>_xlfn.XLOOKUP(G76,Models!A:A,Models!B:B)</f>
        <v>#N/A</v>
      </c>
      <c r="I76" t="e">
        <f>_xlfn.XLOOKUP(G76,Models!A:A,Models!E:E)</f>
        <v>#N/A</v>
      </c>
      <c r="J76" t="e">
        <f>_xlfn.XLOOKUP(G76,Models!A:A,Models!D:D)</f>
        <v>#N/A</v>
      </c>
      <c r="K76">
        <f>MacReports!F76</f>
        <v>0</v>
      </c>
      <c r="L76">
        <f>MacReports!G76</f>
        <v>0</v>
      </c>
      <c r="M76" s="15" t="e" cm="1">
        <f t="array" ref="M76">--_xlfn.LET(
    _xlpm.txt, MacReports!H76,
    _xlpm.chars, MID(_xlpm.txt, _xlfn.SEQUENCE(LEN(_xlpm.txt)), 1),
    _xlfn.TEXTJOIN("", TRUE, IF(ISNUMBER(--_xlpm.chars), _xlpm.chars, ""))
)</f>
        <v>#VALUE!</v>
      </c>
      <c r="N76" s="16" t="str" cm="1">
        <f t="array" ref="N76">_xlfn.IFS(
   --MacReports!M76&lt;55,"Battery Defect",
  -- MacReports!M76&lt;=69,"Battery D",
  --MacReports!M76&lt;=80,"Battery C",
 --MacReports!M76&gt;80,""
)</f>
        <v>Battery Defect</v>
      </c>
      <c r="O76" s="16" t="str">
        <f>IF(MacReports!I76="Service","Battery Service","")</f>
        <v/>
      </c>
      <c r="P76" s="13">
        <f>MacReports!P76</f>
        <v>0</v>
      </c>
      <c r="Q76" s="13" t="str">
        <f>IF(MacReports!J76="Enabled","Apple ID Lock","")</f>
        <v/>
      </c>
      <c r="R76" s="13" t="str">
        <f>IF(MacReports!L76="y","Remote Locked","")</f>
        <v/>
      </c>
      <c r="S76" t="str">
        <f t="shared" si="3"/>
        <v>Battery Defect, 0</v>
      </c>
      <c r="T76" t="str">
        <f>_xlfn.XLOOKUP(B76,Disk_Pivot!G:G,Disk_Pivot!I:I)</f>
        <v>Yes x2</v>
      </c>
      <c r="U76" t="str">
        <f>_xlfn.XLOOKUP(B76,Disk_Pivot!G:G,Disk_Pivot!N:N)</f>
        <v>Pass, Fail</v>
      </c>
      <c r="V76" t="str">
        <f>IF(U76="Fail",MacReports!N76,"")</f>
        <v/>
      </c>
      <c r="AB76" t="str">
        <f t="shared" si="4"/>
        <v/>
      </c>
    </row>
    <row r="77" spans="1:28">
      <c r="A77" t="str">
        <f>MacReports!A77</f>
        <v/>
      </c>
      <c r="B77">
        <f>MacReports!B77</f>
        <v>0</v>
      </c>
      <c r="C77">
        <f>MacReports!C77</f>
        <v>0</v>
      </c>
      <c r="E77" t="e">
        <f>_xlfn.XLOOKUP(G77,Models!A:A,Models!F:F)</f>
        <v>#N/A</v>
      </c>
      <c r="F77" t="str">
        <f>_xlfn.XLOOKUP(B77,MacReports!B:B,MacReports!D:D,"")</f>
        <v/>
      </c>
      <c r="G77" s="13">
        <f>MacReports!E77</f>
        <v>0</v>
      </c>
      <c r="H77" t="e">
        <f>_xlfn.XLOOKUP(G77,Models!A:A,Models!B:B)</f>
        <v>#N/A</v>
      </c>
      <c r="I77" t="e">
        <f>_xlfn.XLOOKUP(G77,Models!A:A,Models!E:E)</f>
        <v>#N/A</v>
      </c>
      <c r="J77" t="e">
        <f>_xlfn.XLOOKUP(G77,Models!A:A,Models!D:D)</f>
        <v>#N/A</v>
      </c>
      <c r="K77">
        <f>MacReports!F77</f>
        <v>0</v>
      </c>
      <c r="L77">
        <f>MacReports!G77</f>
        <v>0</v>
      </c>
      <c r="M77" s="15" t="e" cm="1">
        <f t="array" ref="M77">--_xlfn.LET(
    _xlpm.txt, MacReports!H77,
    _xlpm.chars, MID(_xlpm.txt, _xlfn.SEQUENCE(LEN(_xlpm.txt)), 1),
    _xlfn.TEXTJOIN("", TRUE, IF(ISNUMBER(--_xlpm.chars), _xlpm.chars, ""))
)</f>
        <v>#VALUE!</v>
      </c>
      <c r="N77" s="16" t="str" cm="1">
        <f t="array" ref="N77">_xlfn.IFS(
   --MacReports!M77&lt;55,"Battery Defect",
  -- MacReports!M77&lt;=69,"Battery D",
  --MacReports!M77&lt;=80,"Battery C",
 --MacReports!M77&gt;80,""
)</f>
        <v>Battery Defect</v>
      </c>
      <c r="O77" s="16" t="str">
        <f>IF(MacReports!I77="Service","Battery Service","")</f>
        <v/>
      </c>
      <c r="P77" s="13">
        <f>MacReports!P77</f>
        <v>0</v>
      </c>
      <c r="Q77" s="13" t="str">
        <f>IF(MacReports!J77="Enabled","Apple ID Lock","")</f>
        <v/>
      </c>
      <c r="R77" s="13" t="str">
        <f>IF(MacReports!L77="y","Remote Locked","")</f>
        <v/>
      </c>
      <c r="S77" t="str">
        <f t="shared" si="3"/>
        <v>Battery Defect, 0</v>
      </c>
      <c r="T77" t="str">
        <f>_xlfn.XLOOKUP(B77,Disk_Pivot!G:G,Disk_Pivot!I:I)</f>
        <v>Yes x2</v>
      </c>
      <c r="U77" t="str">
        <f>_xlfn.XLOOKUP(B77,Disk_Pivot!G:G,Disk_Pivot!N:N)</f>
        <v>Pass, Fail</v>
      </c>
      <c r="V77" t="str">
        <f>IF(U77="Fail",MacReports!N77,"")</f>
        <v/>
      </c>
      <c r="AB77" t="str">
        <f t="shared" si="4"/>
        <v/>
      </c>
    </row>
    <row r="78" spans="1:28">
      <c r="A78" t="str">
        <f>MacReports!A78</f>
        <v/>
      </c>
      <c r="B78">
        <f>MacReports!B78</f>
        <v>0</v>
      </c>
      <c r="C78">
        <f>MacReports!C78</f>
        <v>0</v>
      </c>
      <c r="E78" t="e">
        <f>_xlfn.XLOOKUP(G78,Models!A:A,Models!F:F)</f>
        <v>#N/A</v>
      </c>
      <c r="F78" t="str">
        <f>_xlfn.XLOOKUP(B78,MacReports!B:B,MacReports!D:D,"")</f>
        <v/>
      </c>
      <c r="G78" s="13">
        <f>MacReports!E78</f>
        <v>0</v>
      </c>
      <c r="H78" t="e">
        <f>_xlfn.XLOOKUP(G78,Models!A:A,Models!B:B)</f>
        <v>#N/A</v>
      </c>
      <c r="I78" t="e">
        <f>_xlfn.XLOOKUP(G78,Models!A:A,Models!E:E)</f>
        <v>#N/A</v>
      </c>
      <c r="J78" t="e">
        <f>_xlfn.XLOOKUP(G78,Models!A:A,Models!D:D)</f>
        <v>#N/A</v>
      </c>
      <c r="K78">
        <f>MacReports!F78</f>
        <v>0</v>
      </c>
      <c r="L78">
        <f>MacReports!G78</f>
        <v>0</v>
      </c>
      <c r="M78" s="15" t="e" cm="1">
        <f t="array" ref="M78">--_xlfn.LET(
    _xlpm.txt, MacReports!H78,
    _xlpm.chars, MID(_xlpm.txt, _xlfn.SEQUENCE(LEN(_xlpm.txt)), 1),
    _xlfn.TEXTJOIN("", TRUE, IF(ISNUMBER(--_xlpm.chars), _xlpm.chars, ""))
)</f>
        <v>#VALUE!</v>
      </c>
      <c r="N78" s="16" t="str" cm="1">
        <f t="array" ref="N78">_xlfn.IFS(
   --MacReports!M78&lt;55,"Battery Defect",
  -- MacReports!M78&lt;=69,"Battery D",
  --MacReports!M78&lt;=80,"Battery C",
 --MacReports!M78&gt;80,""
)</f>
        <v>Battery Defect</v>
      </c>
      <c r="O78" s="16" t="str">
        <f>IF(MacReports!I78="Service","Battery Service","")</f>
        <v/>
      </c>
      <c r="P78" s="13">
        <f>MacReports!P78</f>
        <v>0</v>
      </c>
      <c r="Q78" s="13" t="str">
        <f>IF(MacReports!J78="Enabled","Apple ID Lock","")</f>
        <v/>
      </c>
      <c r="R78" s="13" t="str">
        <f>IF(MacReports!L78="y","Remote Locked","")</f>
        <v/>
      </c>
      <c r="S78" t="str">
        <f t="shared" si="3"/>
        <v>Battery Defect, 0</v>
      </c>
      <c r="T78" t="str">
        <f>_xlfn.XLOOKUP(B78,Disk_Pivot!G:G,Disk_Pivot!I:I)</f>
        <v>Yes x2</v>
      </c>
      <c r="U78" t="str">
        <f>_xlfn.XLOOKUP(B78,Disk_Pivot!G:G,Disk_Pivot!N:N)</f>
        <v>Pass, Fail</v>
      </c>
      <c r="V78" t="str">
        <f>IF(U78="Fail",MacReports!N78,"")</f>
        <v/>
      </c>
      <c r="AB78" t="str">
        <f t="shared" si="4"/>
        <v/>
      </c>
    </row>
    <row r="79" spans="1:28">
      <c r="A79" t="str">
        <f>MacReports!A79</f>
        <v/>
      </c>
      <c r="B79">
        <f>MacReports!B79</f>
        <v>0</v>
      </c>
      <c r="C79">
        <f>MacReports!C79</f>
        <v>0</v>
      </c>
      <c r="E79" t="e">
        <f>_xlfn.XLOOKUP(G79,Models!A:A,Models!F:F)</f>
        <v>#N/A</v>
      </c>
      <c r="F79" t="str">
        <f>_xlfn.XLOOKUP(B79,MacReports!B:B,MacReports!D:D,"")</f>
        <v/>
      </c>
      <c r="G79" s="13">
        <f>MacReports!E79</f>
        <v>0</v>
      </c>
      <c r="H79" t="e">
        <f>_xlfn.XLOOKUP(G79,Models!A:A,Models!B:B)</f>
        <v>#N/A</v>
      </c>
      <c r="I79" t="e">
        <f>_xlfn.XLOOKUP(G79,Models!A:A,Models!E:E)</f>
        <v>#N/A</v>
      </c>
      <c r="J79" t="e">
        <f>_xlfn.XLOOKUP(G79,Models!A:A,Models!D:D)</f>
        <v>#N/A</v>
      </c>
      <c r="K79">
        <f>MacReports!F79</f>
        <v>0</v>
      </c>
      <c r="L79">
        <f>MacReports!G79</f>
        <v>0</v>
      </c>
      <c r="M79" s="15" t="e" cm="1">
        <f t="array" ref="M79">--_xlfn.LET(
    _xlpm.txt, MacReports!H79,
    _xlpm.chars, MID(_xlpm.txt, _xlfn.SEQUENCE(LEN(_xlpm.txt)), 1),
    _xlfn.TEXTJOIN("", TRUE, IF(ISNUMBER(--_xlpm.chars), _xlpm.chars, ""))
)</f>
        <v>#VALUE!</v>
      </c>
      <c r="N79" s="16" t="str" cm="1">
        <f t="array" ref="N79">_xlfn.IFS(
   --MacReports!M79&lt;55,"Battery Defect",
  -- MacReports!M79&lt;=69,"Battery D",
  --MacReports!M79&lt;=80,"Battery C",
 --MacReports!M79&gt;80,""
)</f>
        <v>Battery Defect</v>
      </c>
      <c r="O79" s="16" t="str">
        <f>IF(MacReports!I79="Service","Battery Service","")</f>
        <v/>
      </c>
      <c r="P79" s="13">
        <f>MacReports!P79</f>
        <v>0</v>
      </c>
      <c r="Q79" s="13" t="str">
        <f>IF(MacReports!J79="Enabled","Apple ID Lock","")</f>
        <v/>
      </c>
      <c r="R79" s="13" t="str">
        <f>IF(MacReports!L79="y","Remote Locked","")</f>
        <v/>
      </c>
      <c r="S79" t="str">
        <f t="shared" si="3"/>
        <v>Battery Defect, 0</v>
      </c>
      <c r="T79" t="str">
        <f>_xlfn.XLOOKUP(B79,Disk_Pivot!G:G,Disk_Pivot!I:I)</f>
        <v>Yes x2</v>
      </c>
      <c r="U79" t="str">
        <f>_xlfn.XLOOKUP(B79,Disk_Pivot!G:G,Disk_Pivot!N:N)</f>
        <v>Pass, Fail</v>
      </c>
      <c r="V79" t="str">
        <f>IF(U79="Fail",MacReports!N79,"")</f>
        <v/>
      </c>
      <c r="AB79" t="str">
        <f t="shared" si="4"/>
        <v/>
      </c>
    </row>
    <row r="80" spans="1:28">
      <c r="A80" t="str">
        <f>MacReports!A80</f>
        <v/>
      </c>
      <c r="B80">
        <f>MacReports!B80</f>
        <v>0</v>
      </c>
      <c r="C80">
        <f>MacReports!C80</f>
        <v>0</v>
      </c>
      <c r="E80" t="e">
        <f>_xlfn.XLOOKUP(G80,Models!A:A,Models!F:F)</f>
        <v>#N/A</v>
      </c>
      <c r="F80" t="str">
        <f>_xlfn.XLOOKUP(B80,MacReports!B:B,MacReports!D:D,"")</f>
        <v/>
      </c>
      <c r="G80" s="13">
        <f>MacReports!E80</f>
        <v>0</v>
      </c>
      <c r="H80" t="e">
        <f>_xlfn.XLOOKUP(G80,Models!A:A,Models!B:B)</f>
        <v>#N/A</v>
      </c>
      <c r="I80" t="e">
        <f>_xlfn.XLOOKUP(G80,Models!A:A,Models!E:E)</f>
        <v>#N/A</v>
      </c>
      <c r="J80" t="e">
        <f>_xlfn.XLOOKUP(G80,Models!A:A,Models!D:D)</f>
        <v>#N/A</v>
      </c>
      <c r="K80">
        <f>MacReports!F80</f>
        <v>0</v>
      </c>
      <c r="L80">
        <f>MacReports!G80</f>
        <v>0</v>
      </c>
      <c r="M80" s="15" t="e" cm="1">
        <f t="array" ref="M80">--_xlfn.LET(
    _xlpm.txt, MacReports!H80,
    _xlpm.chars, MID(_xlpm.txt, _xlfn.SEQUENCE(LEN(_xlpm.txt)), 1),
    _xlfn.TEXTJOIN("", TRUE, IF(ISNUMBER(--_xlpm.chars), _xlpm.chars, ""))
)</f>
        <v>#VALUE!</v>
      </c>
      <c r="N80" s="16" t="str" cm="1">
        <f t="array" ref="N80">_xlfn.IFS(
   --MacReports!M80&lt;55,"Battery Defect",
  -- MacReports!M80&lt;=69,"Battery D",
  --MacReports!M80&lt;=80,"Battery C",
 --MacReports!M80&gt;80,""
)</f>
        <v>Battery Defect</v>
      </c>
      <c r="O80" s="16" t="str">
        <f>IF(MacReports!I80="Service","Battery Service","")</f>
        <v/>
      </c>
      <c r="P80" s="13">
        <f>MacReports!P80</f>
        <v>0</v>
      </c>
      <c r="Q80" s="13" t="str">
        <f>IF(MacReports!J80="Enabled","Apple ID Lock","")</f>
        <v/>
      </c>
      <c r="R80" s="13" t="str">
        <f>IF(MacReports!L80="y","Remote Locked","")</f>
        <v/>
      </c>
      <c r="S80" t="str">
        <f t="shared" si="3"/>
        <v>Battery Defect, 0</v>
      </c>
      <c r="T80" t="str">
        <f>_xlfn.XLOOKUP(B80,Disk_Pivot!G:G,Disk_Pivot!I:I)</f>
        <v>Yes x2</v>
      </c>
      <c r="U80" t="str">
        <f>_xlfn.XLOOKUP(B80,Disk_Pivot!G:G,Disk_Pivot!N:N)</f>
        <v>Pass, Fail</v>
      </c>
      <c r="V80" t="str">
        <f>IF(U80="Fail",MacReports!N80,"")</f>
        <v/>
      </c>
      <c r="AB80" t="str">
        <f t="shared" si="4"/>
        <v/>
      </c>
    </row>
    <row r="81" spans="1:28">
      <c r="A81" t="str">
        <f>MacReports!A81</f>
        <v/>
      </c>
      <c r="B81">
        <f>MacReports!B81</f>
        <v>0</v>
      </c>
      <c r="C81">
        <f>MacReports!C81</f>
        <v>0</v>
      </c>
      <c r="E81" t="e">
        <f>_xlfn.XLOOKUP(G81,Models!A:A,Models!F:F)</f>
        <v>#N/A</v>
      </c>
      <c r="F81" t="str">
        <f>_xlfn.XLOOKUP(B81,MacReports!B:B,MacReports!D:D,"")</f>
        <v/>
      </c>
      <c r="G81" s="13">
        <f>MacReports!E81</f>
        <v>0</v>
      </c>
      <c r="H81" t="e">
        <f>_xlfn.XLOOKUP(G81,Models!A:A,Models!B:B)</f>
        <v>#N/A</v>
      </c>
      <c r="I81" t="e">
        <f>_xlfn.XLOOKUP(G81,Models!A:A,Models!E:E)</f>
        <v>#N/A</v>
      </c>
      <c r="J81" t="e">
        <f>_xlfn.XLOOKUP(G81,Models!A:A,Models!D:D)</f>
        <v>#N/A</v>
      </c>
      <c r="K81">
        <f>MacReports!F81</f>
        <v>0</v>
      </c>
      <c r="L81">
        <f>MacReports!G81</f>
        <v>0</v>
      </c>
      <c r="M81" s="15" t="e" cm="1">
        <f t="array" ref="M81">--_xlfn.LET(
    _xlpm.txt, MacReports!H81,
    _xlpm.chars, MID(_xlpm.txt, _xlfn.SEQUENCE(LEN(_xlpm.txt)), 1),
    _xlfn.TEXTJOIN("", TRUE, IF(ISNUMBER(--_xlpm.chars), _xlpm.chars, ""))
)</f>
        <v>#VALUE!</v>
      </c>
      <c r="N81" s="16" t="str" cm="1">
        <f t="array" ref="N81">_xlfn.IFS(
   --MacReports!M81&lt;55,"Battery Defect",
  -- MacReports!M81&lt;=69,"Battery D",
  --MacReports!M81&lt;=80,"Battery C",
 --MacReports!M81&gt;80,""
)</f>
        <v>Battery Defect</v>
      </c>
      <c r="O81" s="16" t="str">
        <f>IF(MacReports!I81="Service","Battery Service","")</f>
        <v/>
      </c>
      <c r="P81" s="13">
        <f>MacReports!P81</f>
        <v>0</v>
      </c>
      <c r="Q81" s="13" t="str">
        <f>IF(MacReports!J81="Enabled","Apple ID Lock","")</f>
        <v/>
      </c>
      <c r="R81" s="13" t="str">
        <f>IF(MacReports!L81="y","Remote Locked","")</f>
        <v/>
      </c>
      <c r="S81" t="str">
        <f t="shared" si="3"/>
        <v>Battery Defect, 0</v>
      </c>
      <c r="T81" t="str">
        <f>_xlfn.XLOOKUP(B81,Disk_Pivot!G:G,Disk_Pivot!I:I)</f>
        <v>Yes x2</v>
      </c>
      <c r="U81" t="str">
        <f>_xlfn.XLOOKUP(B81,Disk_Pivot!G:G,Disk_Pivot!N:N)</f>
        <v>Pass, Fail</v>
      </c>
      <c r="V81" t="str">
        <f>IF(U81="Fail",MacReports!N81,"")</f>
        <v/>
      </c>
      <c r="AB81" t="str">
        <f t="shared" si="4"/>
        <v/>
      </c>
    </row>
    <row r="82" spans="1:28">
      <c r="A82" t="str">
        <f>MacReports!A82</f>
        <v/>
      </c>
      <c r="B82">
        <f>MacReports!B82</f>
        <v>0</v>
      </c>
      <c r="C82">
        <f>MacReports!C82</f>
        <v>0</v>
      </c>
      <c r="E82" t="e">
        <f>_xlfn.XLOOKUP(G82,Models!A:A,Models!F:F)</f>
        <v>#N/A</v>
      </c>
      <c r="F82" t="str">
        <f>_xlfn.XLOOKUP(B82,MacReports!B:B,MacReports!D:D,"")</f>
        <v/>
      </c>
      <c r="G82" s="13">
        <f>MacReports!E82</f>
        <v>0</v>
      </c>
      <c r="H82" t="e">
        <f>_xlfn.XLOOKUP(G82,Models!A:A,Models!B:B)</f>
        <v>#N/A</v>
      </c>
      <c r="I82" t="e">
        <f>_xlfn.XLOOKUP(G82,Models!A:A,Models!E:E)</f>
        <v>#N/A</v>
      </c>
      <c r="J82" t="e">
        <f>_xlfn.XLOOKUP(G82,Models!A:A,Models!D:D)</f>
        <v>#N/A</v>
      </c>
      <c r="K82">
        <f>MacReports!F82</f>
        <v>0</v>
      </c>
      <c r="L82">
        <f>MacReports!G82</f>
        <v>0</v>
      </c>
      <c r="M82" s="15" t="e" cm="1">
        <f t="array" ref="M82">--_xlfn.LET(
    _xlpm.txt, MacReports!H82,
    _xlpm.chars, MID(_xlpm.txt, _xlfn.SEQUENCE(LEN(_xlpm.txt)), 1),
    _xlfn.TEXTJOIN("", TRUE, IF(ISNUMBER(--_xlpm.chars), _xlpm.chars, ""))
)</f>
        <v>#VALUE!</v>
      </c>
      <c r="N82" s="16" t="str" cm="1">
        <f t="array" ref="N82">_xlfn.IFS(
   --MacReports!M82&lt;55,"Battery Defect",
  -- MacReports!M82&lt;=69,"Battery D",
  --MacReports!M82&lt;=80,"Battery C",
 --MacReports!M82&gt;80,""
)</f>
        <v>Battery Defect</v>
      </c>
      <c r="O82" s="16" t="str">
        <f>IF(MacReports!I82="Service","Battery Service","")</f>
        <v/>
      </c>
      <c r="P82" s="13">
        <f>MacReports!P82</f>
        <v>0</v>
      </c>
      <c r="Q82" s="13" t="str">
        <f>IF(MacReports!J82="Enabled","Apple ID Lock","")</f>
        <v/>
      </c>
      <c r="R82" s="13" t="str">
        <f>IF(MacReports!L82="y","Remote Locked","")</f>
        <v/>
      </c>
      <c r="S82" t="str">
        <f t="shared" si="3"/>
        <v>Battery Defect, 0</v>
      </c>
      <c r="T82" t="str">
        <f>_xlfn.XLOOKUP(B82,Disk_Pivot!G:G,Disk_Pivot!I:I)</f>
        <v>Yes x2</v>
      </c>
      <c r="U82" t="str">
        <f>_xlfn.XLOOKUP(B82,Disk_Pivot!G:G,Disk_Pivot!N:N)</f>
        <v>Pass, Fail</v>
      </c>
      <c r="V82" t="str">
        <f>IF(U82="Fail",MacReports!N82,"")</f>
        <v/>
      </c>
      <c r="AB82" t="str">
        <f t="shared" si="4"/>
        <v/>
      </c>
    </row>
    <row r="83" spans="1:28">
      <c r="A83" t="str">
        <f>MacReports!A83</f>
        <v/>
      </c>
      <c r="B83">
        <f>MacReports!B83</f>
        <v>0</v>
      </c>
      <c r="C83">
        <f>MacReports!C83</f>
        <v>0</v>
      </c>
      <c r="E83" t="e">
        <f>_xlfn.XLOOKUP(G83,Models!A:A,Models!F:F)</f>
        <v>#N/A</v>
      </c>
      <c r="F83" t="str">
        <f>_xlfn.XLOOKUP(B83,MacReports!B:B,MacReports!D:D,"")</f>
        <v/>
      </c>
      <c r="G83" s="13">
        <f>MacReports!E83</f>
        <v>0</v>
      </c>
      <c r="H83" t="e">
        <f>_xlfn.XLOOKUP(G83,Models!A:A,Models!B:B)</f>
        <v>#N/A</v>
      </c>
      <c r="I83" t="e">
        <f>_xlfn.XLOOKUP(G83,Models!A:A,Models!E:E)</f>
        <v>#N/A</v>
      </c>
      <c r="J83" t="e">
        <f>_xlfn.XLOOKUP(G83,Models!A:A,Models!D:D)</f>
        <v>#N/A</v>
      </c>
      <c r="K83">
        <f>MacReports!F83</f>
        <v>0</v>
      </c>
      <c r="L83">
        <f>MacReports!G83</f>
        <v>0</v>
      </c>
      <c r="M83" s="15" t="e" cm="1">
        <f t="array" ref="M83">--_xlfn.LET(
    _xlpm.txt, MacReports!H83,
    _xlpm.chars, MID(_xlpm.txt, _xlfn.SEQUENCE(LEN(_xlpm.txt)), 1),
    _xlfn.TEXTJOIN("", TRUE, IF(ISNUMBER(--_xlpm.chars), _xlpm.chars, ""))
)</f>
        <v>#VALUE!</v>
      </c>
      <c r="N83" s="16" t="str" cm="1">
        <f t="array" ref="N83">_xlfn.IFS(
   --MacReports!M83&lt;55,"Battery Defect",
  -- MacReports!M83&lt;=69,"Battery D",
  --MacReports!M83&lt;=80,"Battery C",
 --MacReports!M83&gt;80,""
)</f>
        <v>Battery Defect</v>
      </c>
      <c r="O83" s="16" t="str">
        <f>IF(MacReports!I83="Service","Battery Service","")</f>
        <v/>
      </c>
      <c r="P83" s="13">
        <f>MacReports!P83</f>
        <v>0</v>
      </c>
      <c r="Q83" s="13" t="str">
        <f>IF(MacReports!J83="Enabled","Apple ID Lock","")</f>
        <v/>
      </c>
      <c r="R83" s="13" t="str">
        <f>IF(MacReports!L83="y","Remote Locked","")</f>
        <v/>
      </c>
      <c r="S83" t="str">
        <f t="shared" si="3"/>
        <v>Battery Defect, 0</v>
      </c>
      <c r="T83" t="str">
        <f>_xlfn.XLOOKUP(B83,Disk_Pivot!G:G,Disk_Pivot!I:I)</f>
        <v>Yes x2</v>
      </c>
      <c r="U83" t="str">
        <f>_xlfn.XLOOKUP(B83,Disk_Pivot!G:G,Disk_Pivot!N:N)</f>
        <v>Pass, Fail</v>
      </c>
      <c r="V83" t="str">
        <f>IF(U83="Fail",MacReports!N83,"")</f>
        <v/>
      </c>
      <c r="AB83" t="str">
        <f t="shared" si="4"/>
        <v/>
      </c>
    </row>
    <row r="84" spans="1:28">
      <c r="A84" t="str">
        <f>MacReports!A84</f>
        <v/>
      </c>
      <c r="B84">
        <f>MacReports!B84</f>
        <v>0</v>
      </c>
      <c r="C84">
        <f>MacReports!C84</f>
        <v>0</v>
      </c>
      <c r="E84" t="e">
        <f>_xlfn.XLOOKUP(G84,Models!A:A,Models!F:F)</f>
        <v>#N/A</v>
      </c>
      <c r="F84" t="str">
        <f>_xlfn.XLOOKUP(B84,MacReports!B:B,MacReports!D:D,"")</f>
        <v/>
      </c>
      <c r="G84" s="13">
        <f>MacReports!E84</f>
        <v>0</v>
      </c>
      <c r="H84" t="e">
        <f>_xlfn.XLOOKUP(G84,Models!A:A,Models!B:B)</f>
        <v>#N/A</v>
      </c>
      <c r="I84" t="e">
        <f>_xlfn.XLOOKUP(G84,Models!A:A,Models!E:E)</f>
        <v>#N/A</v>
      </c>
      <c r="J84" t="e">
        <f>_xlfn.XLOOKUP(G84,Models!A:A,Models!D:D)</f>
        <v>#N/A</v>
      </c>
      <c r="K84">
        <f>MacReports!F84</f>
        <v>0</v>
      </c>
      <c r="L84">
        <f>MacReports!G84</f>
        <v>0</v>
      </c>
      <c r="M84" s="15" t="e" cm="1">
        <f t="array" ref="M84">--_xlfn.LET(
    _xlpm.txt, MacReports!H84,
    _xlpm.chars, MID(_xlpm.txt, _xlfn.SEQUENCE(LEN(_xlpm.txt)), 1),
    _xlfn.TEXTJOIN("", TRUE, IF(ISNUMBER(--_xlpm.chars), _xlpm.chars, ""))
)</f>
        <v>#VALUE!</v>
      </c>
      <c r="N84" s="16" t="str" cm="1">
        <f t="array" ref="N84">_xlfn.IFS(
   --MacReports!M84&lt;55,"Battery Defect",
  -- MacReports!M84&lt;=69,"Battery D",
  --MacReports!M84&lt;=80,"Battery C",
 --MacReports!M84&gt;80,""
)</f>
        <v>Battery Defect</v>
      </c>
      <c r="O84" s="16" t="str">
        <f>IF(MacReports!I84="Service","Battery Service","")</f>
        <v/>
      </c>
      <c r="P84" s="13">
        <f>MacReports!P84</f>
        <v>0</v>
      </c>
      <c r="Q84" s="13" t="str">
        <f>IF(MacReports!J84="Enabled","Apple ID Lock","")</f>
        <v/>
      </c>
      <c r="R84" s="13" t="str">
        <f>IF(MacReports!L84="y","Remote Locked","")</f>
        <v/>
      </c>
      <c r="S84" t="str">
        <f t="shared" si="3"/>
        <v>Battery Defect, 0</v>
      </c>
      <c r="T84" t="str">
        <f>_xlfn.XLOOKUP(B84,Disk_Pivot!G:G,Disk_Pivot!I:I)</f>
        <v>Yes x2</v>
      </c>
      <c r="U84" t="str">
        <f>_xlfn.XLOOKUP(B84,Disk_Pivot!G:G,Disk_Pivot!N:N)</f>
        <v>Pass, Fail</v>
      </c>
      <c r="V84" t="str">
        <f>IF(U84="Fail",MacReports!N84,"")</f>
        <v/>
      </c>
      <c r="AB84" t="str">
        <f t="shared" si="4"/>
        <v/>
      </c>
    </row>
    <row r="85" spans="1:28">
      <c r="A85" t="str">
        <f>MacReports!A85</f>
        <v/>
      </c>
      <c r="B85">
        <f>MacReports!B85</f>
        <v>0</v>
      </c>
      <c r="C85">
        <f>MacReports!C85</f>
        <v>0</v>
      </c>
      <c r="E85" t="e">
        <f>_xlfn.XLOOKUP(G85,Models!A:A,Models!F:F)</f>
        <v>#N/A</v>
      </c>
      <c r="F85" t="str">
        <f>_xlfn.XLOOKUP(B85,MacReports!B:B,MacReports!D:D,"")</f>
        <v/>
      </c>
      <c r="G85" s="13">
        <f>MacReports!E85</f>
        <v>0</v>
      </c>
      <c r="H85" t="e">
        <f>_xlfn.XLOOKUP(G85,Models!A:A,Models!B:B)</f>
        <v>#N/A</v>
      </c>
      <c r="I85" t="e">
        <f>_xlfn.XLOOKUP(G85,Models!A:A,Models!E:E)</f>
        <v>#N/A</v>
      </c>
      <c r="J85" t="e">
        <f>_xlfn.XLOOKUP(G85,Models!A:A,Models!D:D)</f>
        <v>#N/A</v>
      </c>
      <c r="K85">
        <f>MacReports!F85</f>
        <v>0</v>
      </c>
      <c r="L85">
        <f>MacReports!G85</f>
        <v>0</v>
      </c>
      <c r="M85" s="15" t="e" cm="1">
        <f t="array" ref="M85">--_xlfn.LET(
    _xlpm.txt, MacReports!H85,
    _xlpm.chars, MID(_xlpm.txt, _xlfn.SEQUENCE(LEN(_xlpm.txt)), 1),
    _xlfn.TEXTJOIN("", TRUE, IF(ISNUMBER(--_xlpm.chars), _xlpm.chars, ""))
)</f>
        <v>#VALUE!</v>
      </c>
      <c r="N85" s="16" t="str" cm="1">
        <f t="array" ref="N85">_xlfn.IFS(
   --MacReports!M85&lt;55,"Battery Defect",
  -- MacReports!M85&lt;=69,"Battery D",
  --MacReports!M85&lt;=80,"Battery C",
 --MacReports!M85&gt;80,""
)</f>
        <v>Battery Defect</v>
      </c>
      <c r="O85" s="16" t="str">
        <f>IF(MacReports!I85="Service","Battery Service","")</f>
        <v/>
      </c>
      <c r="P85" s="13">
        <f>MacReports!P85</f>
        <v>0</v>
      </c>
      <c r="Q85" s="13" t="str">
        <f>IF(MacReports!J85="Enabled","Apple ID Lock","")</f>
        <v/>
      </c>
      <c r="R85" s="13" t="str">
        <f>IF(MacReports!L85="y","Remote Locked","")</f>
        <v/>
      </c>
      <c r="S85" t="str">
        <f t="shared" si="3"/>
        <v>Battery Defect, 0</v>
      </c>
      <c r="T85" t="str">
        <f>_xlfn.XLOOKUP(B85,Disk_Pivot!G:G,Disk_Pivot!I:I)</f>
        <v>Yes x2</v>
      </c>
      <c r="U85" t="str">
        <f>_xlfn.XLOOKUP(B85,Disk_Pivot!G:G,Disk_Pivot!N:N)</f>
        <v>Pass, Fail</v>
      </c>
      <c r="V85" t="str">
        <f>IF(U85="Fail",MacReports!N85,"")</f>
        <v/>
      </c>
      <c r="AB85" t="str">
        <f t="shared" si="4"/>
        <v/>
      </c>
    </row>
    <row r="86" spans="1:28">
      <c r="A86" t="str">
        <f>MacReports!A86</f>
        <v/>
      </c>
      <c r="B86">
        <f>MacReports!B86</f>
        <v>0</v>
      </c>
      <c r="C86">
        <f>MacReports!C86</f>
        <v>0</v>
      </c>
      <c r="E86" t="e">
        <f>_xlfn.XLOOKUP(G86,Models!A:A,Models!F:F)</f>
        <v>#N/A</v>
      </c>
      <c r="F86" t="str">
        <f>_xlfn.XLOOKUP(B86,MacReports!B:B,MacReports!D:D,"")</f>
        <v/>
      </c>
      <c r="G86" s="13">
        <f>MacReports!E86</f>
        <v>0</v>
      </c>
      <c r="H86" t="e">
        <f>_xlfn.XLOOKUP(G86,Models!A:A,Models!B:B)</f>
        <v>#N/A</v>
      </c>
      <c r="I86" t="e">
        <f>_xlfn.XLOOKUP(G86,Models!A:A,Models!E:E)</f>
        <v>#N/A</v>
      </c>
      <c r="J86" t="e">
        <f>_xlfn.XLOOKUP(G86,Models!A:A,Models!D:D)</f>
        <v>#N/A</v>
      </c>
      <c r="K86">
        <f>MacReports!F86</f>
        <v>0</v>
      </c>
      <c r="L86">
        <f>MacReports!G86</f>
        <v>0</v>
      </c>
      <c r="M86" s="15" t="e" cm="1">
        <f t="array" ref="M86">--_xlfn.LET(
    _xlpm.txt, MacReports!H86,
    _xlpm.chars, MID(_xlpm.txt, _xlfn.SEQUENCE(LEN(_xlpm.txt)), 1),
    _xlfn.TEXTJOIN("", TRUE, IF(ISNUMBER(--_xlpm.chars), _xlpm.chars, ""))
)</f>
        <v>#VALUE!</v>
      </c>
      <c r="N86" s="16" t="str" cm="1">
        <f t="array" ref="N86">_xlfn.IFS(
   --MacReports!M86&lt;55,"Battery Defect",
  -- MacReports!M86&lt;=69,"Battery D",
  --MacReports!M86&lt;=80,"Battery C",
 --MacReports!M86&gt;80,""
)</f>
        <v>Battery Defect</v>
      </c>
      <c r="O86" s="16" t="str">
        <f>IF(MacReports!I86="Service","Battery Service","")</f>
        <v/>
      </c>
      <c r="P86" s="13">
        <f>MacReports!P86</f>
        <v>0</v>
      </c>
      <c r="Q86" s="13" t="str">
        <f>IF(MacReports!J86="Enabled","Apple ID Lock","")</f>
        <v/>
      </c>
      <c r="R86" s="13" t="str">
        <f>IF(MacReports!L86="y","Remote Locked","")</f>
        <v/>
      </c>
      <c r="S86" t="str">
        <f t="shared" si="3"/>
        <v>Battery Defect, 0</v>
      </c>
      <c r="T86" t="str">
        <f>_xlfn.XLOOKUP(B86,Disk_Pivot!G:G,Disk_Pivot!I:I)</f>
        <v>Yes x2</v>
      </c>
      <c r="U86" t="str">
        <f>_xlfn.XLOOKUP(B86,Disk_Pivot!G:G,Disk_Pivot!N:N)</f>
        <v>Pass, Fail</v>
      </c>
      <c r="V86" t="str">
        <f>IF(U86="Fail",MacReports!N86,"")</f>
        <v/>
      </c>
      <c r="AB86" t="str">
        <f t="shared" si="4"/>
        <v/>
      </c>
    </row>
    <row r="87" spans="1:28">
      <c r="A87" t="str">
        <f>MacReports!A87</f>
        <v/>
      </c>
      <c r="B87">
        <f>MacReports!B87</f>
        <v>0</v>
      </c>
      <c r="C87">
        <f>MacReports!C87</f>
        <v>0</v>
      </c>
      <c r="E87" t="e">
        <f>_xlfn.XLOOKUP(G87,Models!A:A,Models!F:F)</f>
        <v>#N/A</v>
      </c>
      <c r="F87" t="str">
        <f>_xlfn.XLOOKUP(B87,MacReports!B:B,MacReports!D:D,"")</f>
        <v/>
      </c>
      <c r="G87" s="13">
        <f>MacReports!E87</f>
        <v>0</v>
      </c>
      <c r="H87" t="e">
        <f>_xlfn.XLOOKUP(G87,Models!A:A,Models!B:B)</f>
        <v>#N/A</v>
      </c>
      <c r="I87" t="e">
        <f>_xlfn.XLOOKUP(G87,Models!A:A,Models!E:E)</f>
        <v>#N/A</v>
      </c>
      <c r="J87" t="e">
        <f>_xlfn.XLOOKUP(G87,Models!A:A,Models!D:D)</f>
        <v>#N/A</v>
      </c>
      <c r="K87">
        <f>MacReports!F87</f>
        <v>0</v>
      </c>
      <c r="L87">
        <f>MacReports!G87</f>
        <v>0</v>
      </c>
      <c r="M87" s="15" t="e" cm="1">
        <f t="array" ref="M87">--_xlfn.LET(
    _xlpm.txt, MacReports!H87,
    _xlpm.chars, MID(_xlpm.txt, _xlfn.SEQUENCE(LEN(_xlpm.txt)), 1),
    _xlfn.TEXTJOIN("", TRUE, IF(ISNUMBER(--_xlpm.chars), _xlpm.chars, ""))
)</f>
        <v>#VALUE!</v>
      </c>
      <c r="N87" s="16" t="str" cm="1">
        <f t="array" ref="N87">_xlfn.IFS(
   --MacReports!M87&lt;55,"Battery Defect",
  -- MacReports!M87&lt;=69,"Battery D",
  --MacReports!M87&lt;=80,"Battery C",
 --MacReports!M87&gt;80,""
)</f>
        <v>Battery Defect</v>
      </c>
      <c r="O87" s="16" t="str">
        <f>IF(MacReports!I87="Service","Battery Service","")</f>
        <v/>
      </c>
      <c r="P87" s="13">
        <f>MacReports!P87</f>
        <v>0</v>
      </c>
      <c r="Q87" s="13" t="str">
        <f>IF(MacReports!J87="Enabled","Apple ID Lock","")</f>
        <v/>
      </c>
      <c r="R87" s="13" t="str">
        <f>IF(MacReports!L87="y","Remote Locked","")</f>
        <v/>
      </c>
      <c r="S87" t="str">
        <f t="shared" si="3"/>
        <v>Battery Defect, 0</v>
      </c>
      <c r="T87" t="str">
        <f>_xlfn.XLOOKUP(B87,Disk_Pivot!G:G,Disk_Pivot!I:I)</f>
        <v>Yes x2</v>
      </c>
      <c r="U87" t="str">
        <f>_xlfn.XLOOKUP(B87,Disk_Pivot!G:G,Disk_Pivot!N:N)</f>
        <v>Pass, Fail</v>
      </c>
      <c r="V87" t="str">
        <f>IF(U87="Fail",MacReports!N87,"")</f>
        <v/>
      </c>
      <c r="AB87" t="str">
        <f t="shared" si="4"/>
        <v/>
      </c>
    </row>
    <row r="88" spans="1:28">
      <c r="A88" t="str">
        <f>MacReports!A88</f>
        <v/>
      </c>
      <c r="B88">
        <f>MacReports!B88</f>
        <v>0</v>
      </c>
      <c r="C88">
        <f>MacReports!C88</f>
        <v>0</v>
      </c>
      <c r="E88" t="e">
        <f>_xlfn.XLOOKUP(G88,Models!A:A,Models!F:F)</f>
        <v>#N/A</v>
      </c>
      <c r="F88" t="str">
        <f>_xlfn.XLOOKUP(B88,MacReports!B:B,MacReports!D:D,"")</f>
        <v/>
      </c>
      <c r="G88" s="13">
        <f>MacReports!E88</f>
        <v>0</v>
      </c>
      <c r="H88" t="e">
        <f>_xlfn.XLOOKUP(G88,Models!A:A,Models!B:B)</f>
        <v>#N/A</v>
      </c>
      <c r="I88" t="e">
        <f>_xlfn.XLOOKUP(G88,Models!A:A,Models!E:E)</f>
        <v>#N/A</v>
      </c>
      <c r="J88" t="e">
        <f>_xlfn.XLOOKUP(G88,Models!A:A,Models!D:D)</f>
        <v>#N/A</v>
      </c>
      <c r="K88">
        <f>MacReports!F88</f>
        <v>0</v>
      </c>
      <c r="L88">
        <f>MacReports!G88</f>
        <v>0</v>
      </c>
      <c r="M88" s="15" t="e" cm="1">
        <f t="array" ref="M88">--_xlfn.LET(
    _xlpm.txt, MacReports!H88,
    _xlpm.chars, MID(_xlpm.txt, _xlfn.SEQUENCE(LEN(_xlpm.txt)), 1),
    _xlfn.TEXTJOIN("", TRUE, IF(ISNUMBER(--_xlpm.chars), _xlpm.chars, ""))
)</f>
        <v>#VALUE!</v>
      </c>
      <c r="N88" s="16" t="str" cm="1">
        <f t="array" ref="N88">_xlfn.IFS(
   --MacReports!M88&lt;55,"Battery Defect",
  -- MacReports!M88&lt;=69,"Battery D",
  --MacReports!M88&lt;=80,"Battery C",
 --MacReports!M88&gt;80,""
)</f>
        <v>Battery Defect</v>
      </c>
      <c r="O88" s="16" t="str">
        <f>IF(MacReports!I88="Service","Battery Service","")</f>
        <v/>
      </c>
      <c r="P88" s="13">
        <f>MacReports!P88</f>
        <v>0</v>
      </c>
      <c r="Q88" s="13" t="str">
        <f>IF(MacReports!J88="Enabled","Apple ID Lock","")</f>
        <v/>
      </c>
      <c r="R88" s="13" t="str">
        <f>IF(MacReports!L88="y","Remote Locked","")</f>
        <v/>
      </c>
      <c r="S88" t="str">
        <f t="shared" si="3"/>
        <v>Battery Defect, 0</v>
      </c>
      <c r="T88" t="str">
        <f>_xlfn.XLOOKUP(B88,Disk_Pivot!G:G,Disk_Pivot!I:I)</f>
        <v>Yes x2</v>
      </c>
      <c r="U88" t="str">
        <f>_xlfn.XLOOKUP(B88,Disk_Pivot!G:G,Disk_Pivot!N:N)</f>
        <v>Pass, Fail</v>
      </c>
      <c r="V88" t="str">
        <f>IF(U88="Fail",MacReports!N88,"")</f>
        <v/>
      </c>
      <c r="AB88" t="str">
        <f t="shared" si="4"/>
        <v/>
      </c>
    </row>
    <row r="89" spans="1:28">
      <c r="A89" t="str">
        <f>MacReports!A89</f>
        <v/>
      </c>
      <c r="B89">
        <f>MacReports!B89</f>
        <v>0</v>
      </c>
      <c r="C89">
        <f>MacReports!C89</f>
        <v>0</v>
      </c>
      <c r="E89" t="e">
        <f>_xlfn.XLOOKUP(G89,Models!A:A,Models!F:F)</f>
        <v>#N/A</v>
      </c>
      <c r="F89" t="str">
        <f>_xlfn.XLOOKUP(B89,MacReports!B:B,MacReports!D:D,"")</f>
        <v/>
      </c>
      <c r="G89" s="13">
        <f>MacReports!E89</f>
        <v>0</v>
      </c>
      <c r="H89" t="e">
        <f>_xlfn.XLOOKUP(G89,Models!A:A,Models!B:B)</f>
        <v>#N/A</v>
      </c>
      <c r="I89" t="e">
        <f>_xlfn.XLOOKUP(G89,Models!A:A,Models!E:E)</f>
        <v>#N/A</v>
      </c>
      <c r="J89" t="e">
        <f>_xlfn.XLOOKUP(G89,Models!A:A,Models!D:D)</f>
        <v>#N/A</v>
      </c>
      <c r="K89">
        <f>MacReports!F89</f>
        <v>0</v>
      </c>
      <c r="L89">
        <f>MacReports!G89</f>
        <v>0</v>
      </c>
      <c r="M89" s="15" t="e" cm="1">
        <f t="array" ref="M89">--_xlfn.LET(
    _xlpm.txt, MacReports!H89,
    _xlpm.chars, MID(_xlpm.txt, _xlfn.SEQUENCE(LEN(_xlpm.txt)), 1),
    _xlfn.TEXTJOIN("", TRUE, IF(ISNUMBER(--_xlpm.chars), _xlpm.chars, ""))
)</f>
        <v>#VALUE!</v>
      </c>
      <c r="N89" s="16" t="str" cm="1">
        <f t="array" ref="N89">_xlfn.IFS(
   --MacReports!M89&lt;55,"Battery Defect",
  -- MacReports!M89&lt;=69,"Battery D",
  --MacReports!M89&lt;=80,"Battery C",
 --MacReports!M89&gt;80,""
)</f>
        <v>Battery Defect</v>
      </c>
      <c r="O89" s="16" t="str">
        <f>IF(MacReports!I89="Service","Battery Service","")</f>
        <v/>
      </c>
      <c r="P89" s="13">
        <f>MacReports!P89</f>
        <v>0</v>
      </c>
      <c r="Q89" s="13" t="str">
        <f>IF(MacReports!J89="Enabled","Apple ID Lock","")</f>
        <v/>
      </c>
      <c r="R89" s="13" t="str">
        <f>IF(MacReports!L89="y","Remote Locked","")</f>
        <v/>
      </c>
      <c r="S89" t="str">
        <f t="shared" si="3"/>
        <v>Battery Defect, 0</v>
      </c>
      <c r="T89" t="str">
        <f>_xlfn.XLOOKUP(B89,Disk_Pivot!G:G,Disk_Pivot!I:I)</f>
        <v>Yes x2</v>
      </c>
      <c r="U89" t="str">
        <f>_xlfn.XLOOKUP(B89,Disk_Pivot!G:G,Disk_Pivot!N:N)</f>
        <v>Pass, Fail</v>
      </c>
      <c r="V89" t="str">
        <f>IF(U89="Fail",MacReports!N89,"")</f>
        <v/>
      </c>
      <c r="AB89" t="str">
        <f t="shared" si="4"/>
        <v/>
      </c>
    </row>
    <row r="90" spans="1:28">
      <c r="A90" t="str">
        <f>MacReports!A90</f>
        <v/>
      </c>
      <c r="B90">
        <f>MacReports!B90</f>
        <v>0</v>
      </c>
      <c r="C90">
        <f>MacReports!C90</f>
        <v>0</v>
      </c>
      <c r="E90" t="e">
        <f>_xlfn.XLOOKUP(G90,Models!A:A,Models!F:F)</f>
        <v>#N/A</v>
      </c>
      <c r="F90" t="str">
        <f>_xlfn.XLOOKUP(B90,MacReports!B:B,MacReports!D:D,"")</f>
        <v/>
      </c>
      <c r="G90" s="13">
        <f>MacReports!E90</f>
        <v>0</v>
      </c>
      <c r="H90" t="e">
        <f>_xlfn.XLOOKUP(G90,Models!A:A,Models!B:B)</f>
        <v>#N/A</v>
      </c>
      <c r="I90" t="e">
        <f>_xlfn.XLOOKUP(G90,Models!A:A,Models!E:E)</f>
        <v>#N/A</v>
      </c>
      <c r="J90" t="e">
        <f>_xlfn.XLOOKUP(G90,Models!A:A,Models!D:D)</f>
        <v>#N/A</v>
      </c>
      <c r="K90">
        <f>MacReports!F90</f>
        <v>0</v>
      </c>
      <c r="L90">
        <f>MacReports!G90</f>
        <v>0</v>
      </c>
      <c r="M90" s="15" t="e" cm="1">
        <f t="array" ref="M90">--_xlfn.LET(
    _xlpm.txt, MacReports!H90,
    _xlpm.chars, MID(_xlpm.txt, _xlfn.SEQUENCE(LEN(_xlpm.txt)), 1),
    _xlfn.TEXTJOIN("", TRUE, IF(ISNUMBER(--_xlpm.chars), _xlpm.chars, ""))
)</f>
        <v>#VALUE!</v>
      </c>
      <c r="N90" s="16" t="str" cm="1">
        <f t="array" ref="N90">_xlfn.IFS(
   --MacReports!M90&lt;55,"Battery Defect",
  -- MacReports!M90&lt;=69,"Battery D",
  --MacReports!M90&lt;=80,"Battery C",
 --MacReports!M90&gt;80,""
)</f>
        <v>Battery Defect</v>
      </c>
      <c r="O90" s="16" t="str">
        <f>IF(MacReports!I90="Service","Battery Service","")</f>
        <v/>
      </c>
      <c r="P90" s="13">
        <f>MacReports!P90</f>
        <v>0</v>
      </c>
      <c r="Q90" s="13" t="str">
        <f>IF(MacReports!J90="Enabled","Apple ID Lock","")</f>
        <v/>
      </c>
      <c r="R90" s="13" t="str">
        <f>IF(MacReports!L90="y","Remote Locked","")</f>
        <v/>
      </c>
      <c r="S90" t="str">
        <f t="shared" si="3"/>
        <v>Battery Defect, 0</v>
      </c>
      <c r="T90" t="str">
        <f>_xlfn.XLOOKUP(B90,Disk_Pivot!G:G,Disk_Pivot!I:I)</f>
        <v>Yes x2</v>
      </c>
      <c r="U90" t="str">
        <f>_xlfn.XLOOKUP(B90,Disk_Pivot!G:G,Disk_Pivot!N:N)</f>
        <v>Pass, Fail</v>
      </c>
      <c r="V90" t="str">
        <f>IF(U90="Fail",MacReports!N90,"")</f>
        <v/>
      </c>
      <c r="AB90" t="str">
        <f t="shared" si="4"/>
        <v/>
      </c>
    </row>
    <row r="91" spans="1:28">
      <c r="A91" t="str">
        <f>MacReports!A91</f>
        <v/>
      </c>
      <c r="B91">
        <f>MacReports!B91</f>
        <v>0</v>
      </c>
      <c r="C91">
        <f>MacReports!C91</f>
        <v>0</v>
      </c>
      <c r="E91" t="e">
        <f>_xlfn.XLOOKUP(G91,Models!A:A,Models!F:F)</f>
        <v>#N/A</v>
      </c>
      <c r="F91" t="str">
        <f>_xlfn.XLOOKUP(B91,MacReports!B:B,MacReports!D:D,"")</f>
        <v/>
      </c>
      <c r="G91" s="13">
        <f>MacReports!E91</f>
        <v>0</v>
      </c>
      <c r="H91" t="e">
        <f>_xlfn.XLOOKUP(G91,Models!A:A,Models!B:B)</f>
        <v>#N/A</v>
      </c>
      <c r="I91" t="e">
        <f>_xlfn.XLOOKUP(G91,Models!A:A,Models!E:E)</f>
        <v>#N/A</v>
      </c>
      <c r="J91" t="e">
        <f>_xlfn.XLOOKUP(G91,Models!A:A,Models!D:D)</f>
        <v>#N/A</v>
      </c>
      <c r="K91">
        <f>MacReports!F91</f>
        <v>0</v>
      </c>
      <c r="L91">
        <f>MacReports!G91</f>
        <v>0</v>
      </c>
      <c r="M91" s="15" t="e" cm="1">
        <f t="array" ref="M91">--_xlfn.LET(
    _xlpm.txt, MacReports!H91,
    _xlpm.chars, MID(_xlpm.txt, _xlfn.SEQUENCE(LEN(_xlpm.txt)), 1),
    _xlfn.TEXTJOIN("", TRUE, IF(ISNUMBER(--_xlpm.chars), _xlpm.chars, ""))
)</f>
        <v>#VALUE!</v>
      </c>
      <c r="N91" s="16" t="str" cm="1">
        <f t="array" ref="N91">_xlfn.IFS(
   --MacReports!M91&lt;55,"Battery Defect",
  -- MacReports!M91&lt;=69,"Battery D",
  --MacReports!M91&lt;=80,"Battery C",
 --MacReports!M91&gt;80,""
)</f>
        <v>Battery Defect</v>
      </c>
      <c r="O91" s="16" t="str">
        <f>IF(MacReports!I91="Service","Battery Service","")</f>
        <v/>
      </c>
      <c r="P91" s="13">
        <f>MacReports!P91</f>
        <v>0</v>
      </c>
      <c r="Q91" s="13" t="str">
        <f>IF(MacReports!J91="Enabled","Apple ID Lock","")</f>
        <v/>
      </c>
      <c r="R91" s="13" t="str">
        <f>IF(MacReports!L91="y","Remote Locked","")</f>
        <v/>
      </c>
      <c r="S91" t="str">
        <f t="shared" si="3"/>
        <v>Battery Defect, 0</v>
      </c>
      <c r="T91" t="str">
        <f>_xlfn.XLOOKUP(B91,Disk_Pivot!G:G,Disk_Pivot!I:I)</f>
        <v>Yes x2</v>
      </c>
      <c r="U91" t="str">
        <f>_xlfn.XLOOKUP(B91,Disk_Pivot!G:G,Disk_Pivot!N:N)</f>
        <v>Pass, Fail</v>
      </c>
      <c r="V91" t="str">
        <f>IF(U91="Fail",MacReports!N91,"")</f>
        <v/>
      </c>
      <c r="AB91" t="str">
        <f t="shared" si="4"/>
        <v/>
      </c>
    </row>
    <row r="92" spans="1:28">
      <c r="A92" t="str">
        <f>MacReports!A92</f>
        <v/>
      </c>
      <c r="B92">
        <f>MacReports!B92</f>
        <v>0</v>
      </c>
      <c r="C92">
        <f>MacReports!C92</f>
        <v>0</v>
      </c>
      <c r="E92" t="e">
        <f>_xlfn.XLOOKUP(G92,Models!A:A,Models!F:F)</f>
        <v>#N/A</v>
      </c>
      <c r="F92" t="str">
        <f>_xlfn.XLOOKUP(B92,MacReports!B:B,MacReports!D:D,"")</f>
        <v/>
      </c>
      <c r="G92" s="13">
        <f>MacReports!E92</f>
        <v>0</v>
      </c>
      <c r="H92" t="e">
        <f>_xlfn.XLOOKUP(G92,Models!A:A,Models!B:B)</f>
        <v>#N/A</v>
      </c>
      <c r="I92" t="e">
        <f>_xlfn.XLOOKUP(G92,Models!A:A,Models!E:E)</f>
        <v>#N/A</v>
      </c>
      <c r="J92" t="e">
        <f>_xlfn.XLOOKUP(G92,Models!A:A,Models!D:D)</f>
        <v>#N/A</v>
      </c>
      <c r="K92">
        <f>MacReports!F92</f>
        <v>0</v>
      </c>
      <c r="L92">
        <f>MacReports!G92</f>
        <v>0</v>
      </c>
      <c r="M92" s="15" t="e" cm="1">
        <f t="array" ref="M92">--_xlfn.LET(
    _xlpm.txt, MacReports!H92,
    _xlpm.chars, MID(_xlpm.txt, _xlfn.SEQUENCE(LEN(_xlpm.txt)), 1),
    _xlfn.TEXTJOIN("", TRUE, IF(ISNUMBER(--_xlpm.chars), _xlpm.chars, ""))
)</f>
        <v>#VALUE!</v>
      </c>
      <c r="N92" s="16" t="str" cm="1">
        <f t="array" ref="N92">_xlfn.IFS(
   --MacReports!M92&lt;55,"Battery Defect",
  -- MacReports!M92&lt;=69,"Battery D",
  --MacReports!M92&lt;=80,"Battery C",
 --MacReports!M92&gt;80,""
)</f>
        <v>Battery Defect</v>
      </c>
      <c r="O92" s="16" t="str">
        <f>IF(MacReports!I92="Service","Battery Service","")</f>
        <v/>
      </c>
      <c r="P92" s="13">
        <f>MacReports!P92</f>
        <v>0</v>
      </c>
      <c r="Q92" s="13" t="str">
        <f>IF(MacReports!J92="Enabled","Apple ID Lock","")</f>
        <v/>
      </c>
      <c r="R92" s="13" t="str">
        <f>IF(MacReports!L92="y","Remote Locked","")</f>
        <v/>
      </c>
      <c r="S92" t="str">
        <f t="shared" si="3"/>
        <v>Battery Defect, 0</v>
      </c>
      <c r="T92" t="str">
        <f>_xlfn.XLOOKUP(B92,Disk_Pivot!G:G,Disk_Pivot!I:I)</f>
        <v>Yes x2</v>
      </c>
      <c r="U92" t="str">
        <f>_xlfn.XLOOKUP(B92,Disk_Pivot!G:G,Disk_Pivot!N:N)</f>
        <v>Pass, Fail</v>
      </c>
      <c r="V92" t="str">
        <f>IF(U92="Fail",MacReports!N92,"")</f>
        <v/>
      </c>
      <c r="AB92" t="str">
        <f t="shared" si="4"/>
        <v/>
      </c>
    </row>
    <row r="93" spans="1:28">
      <c r="A93" t="str">
        <f>MacReports!A93</f>
        <v/>
      </c>
      <c r="B93">
        <f>MacReports!B93</f>
        <v>0</v>
      </c>
      <c r="C93">
        <f>MacReports!C93</f>
        <v>0</v>
      </c>
      <c r="E93" t="e">
        <f>_xlfn.XLOOKUP(G93,Models!A:A,Models!F:F)</f>
        <v>#N/A</v>
      </c>
      <c r="F93" t="str">
        <f>_xlfn.XLOOKUP(B93,MacReports!B:B,MacReports!D:D,"")</f>
        <v/>
      </c>
      <c r="G93" s="13">
        <f>MacReports!E93</f>
        <v>0</v>
      </c>
      <c r="H93" t="e">
        <f>_xlfn.XLOOKUP(G93,Models!A:A,Models!B:B)</f>
        <v>#N/A</v>
      </c>
      <c r="I93" t="e">
        <f>_xlfn.XLOOKUP(G93,Models!A:A,Models!E:E)</f>
        <v>#N/A</v>
      </c>
      <c r="J93" t="e">
        <f>_xlfn.XLOOKUP(G93,Models!A:A,Models!D:D)</f>
        <v>#N/A</v>
      </c>
      <c r="K93">
        <f>MacReports!F93</f>
        <v>0</v>
      </c>
      <c r="L93">
        <f>MacReports!G93</f>
        <v>0</v>
      </c>
      <c r="M93" s="15" t="e" cm="1">
        <f t="array" ref="M93">--_xlfn.LET(
    _xlpm.txt, MacReports!H93,
    _xlpm.chars, MID(_xlpm.txt, _xlfn.SEQUENCE(LEN(_xlpm.txt)), 1),
    _xlfn.TEXTJOIN("", TRUE, IF(ISNUMBER(--_xlpm.chars), _xlpm.chars, ""))
)</f>
        <v>#VALUE!</v>
      </c>
      <c r="N93" s="16" t="str" cm="1">
        <f t="array" ref="N93">_xlfn.IFS(
   --MacReports!M93&lt;55,"Battery Defect",
  -- MacReports!M93&lt;=69,"Battery D",
  --MacReports!M93&lt;=80,"Battery C",
 --MacReports!M93&gt;80,""
)</f>
        <v>Battery Defect</v>
      </c>
      <c r="O93" s="16" t="str">
        <f>IF(MacReports!I93="Service","Battery Service","")</f>
        <v/>
      </c>
      <c r="P93" s="13">
        <f>MacReports!P93</f>
        <v>0</v>
      </c>
      <c r="Q93" s="13" t="str">
        <f>IF(MacReports!J93="Enabled","Apple ID Lock","")</f>
        <v/>
      </c>
      <c r="R93" s="13" t="str">
        <f>IF(MacReports!L93="y","Remote Locked","")</f>
        <v/>
      </c>
      <c r="S93" t="str">
        <f t="shared" si="3"/>
        <v>Battery Defect, 0</v>
      </c>
      <c r="T93" t="str">
        <f>_xlfn.XLOOKUP(B93,Disk_Pivot!G:G,Disk_Pivot!I:I)</f>
        <v>Yes x2</v>
      </c>
      <c r="U93" t="str">
        <f>_xlfn.XLOOKUP(B93,Disk_Pivot!G:G,Disk_Pivot!N:N)</f>
        <v>Pass, Fail</v>
      </c>
      <c r="V93" t="str">
        <f>IF(U93="Fail",MacReports!N93,"")</f>
        <v/>
      </c>
      <c r="AB93" t="str">
        <f t="shared" si="4"/>
        <v/>
      </c>
    </row>
    <row r="94" spans="1:28">
      <c r="A94" t="str">
        <f>MacReports!A94</f>
        <v/>
      </c>
      <c r="B94">
        <f>MacReports!B94</f>
        <v>0</v>
      </c>
      <c r="C94">
        <f>MacReports!C94</f>
        <v>0</v>
      </c>
      <c r="E94" t="e">
        <f>_xlfn.XLOOKUP(G94,Models!A:A,Models!F:F)</f>
        <v>#N/A</v>
      </c>
      <c r="F94" t="str">
        <f>_xlfn.XLOOKUP(B94,MacReports!B:B,MacReports!D:D,"")</f>
        <v/>
      </c>
      <c r="G94" s="13">
        <f>MacReports!E94</f>
        <v>0</v>
      </c>
      <c r="H94" t="e">
        <f>_xlfn.XLOOKUP(G94,Models!A:A,Models!B:B)</f>
        <v>#N/A</v>
      </c>
      <c r="I94" t="e">
        <f>_xlfn.XLOOKUP(G94,Models!A:A,Models!E:E)</f>
        <v>#N/A</v>
      </c>
      <c r="J94" t="e">
        <f>_xlfn.XLOOKUP(G94,Models!A:A,Models!D:D)</f>
        <v>#N/A</v>
      </c>
      <c r="K94">
        <f>MacReports!F94</f>
        <v>0</v>
      </c>
      <c r="L94">
        <f>MacReports!G94</f>
        <v>0</v>
      </c>
      <c r="M94" s="15" t="e" cm="1">
        <f t="array" ref="M94">--_xlfn.LET(
    _xlpm.txt, MacReports!H94,
    _xlpm.chars, MID(_xlpm.txt, _xlfn.SEQUENCE(LEN(_xlpm.txt)), 1),
    _xlfn.TEXTJOIN("", TRUE, IF(ISNUMBER(--_xlpm.chars), _xlpm.chars, ""))
)</f>
        <v>#VALUE!</v>
      </c>
      <c r="N94" s="16" t="str" cm="1">
        <f t="array" ref="N94">_xlfn.IFS(
   --MacReports!M94&lt;55,"Battery Defect",
  -- MacReports!M94&lt;=69,"Battery D",
  --MacReports!M94&lt;=80,"Battery C",
 --MacReports!M94&gt;80,""
)</f>
        <v>Battery Defect</v>
      </c>
      <c r="O94" s="16" t="str">
        <f>IF(MacReports!I94="Service","Battery Service","")</f>
        <v/>
      </c>
      <c r="P94" s="13">
        <f>MacReports!P94</f>
        <v>0</v>
      </c>
      <c r="Q94" s="13" t="str">
        <f>IF(MacReports!J94="Enabled","Apple ID Lock","")</f>
        <v/>
      </c>
      <c r="R94" s="13" t="str">
        <f>IF(MacReports!L94="y","Remote Locked","")</f>
        <v/>
      </c>
      <c r="S94" t="str">
        <f t="shared" si="3"/>
        <v>Battery Defect, 0</v>
      </c>
      <c r="T94" t="str">
        <f>_xlfn.XLOOKUP(B94,Disk_Pivot!G:G,Disk_Pivot!I:I)</f>
        <v>Yes x2</v>
      </c>
      <c r="U94" t="str">
        <f>_xlfn.XLOOKUP(B94,Disk_Pivot!G:G,Disk_Pivot!N:N)</f>
        <v>Pass, Fail</v>
      </c>
      <c r="V94" t="str">
        <f>IF(U94="Fail",MacReports!N94,"")</f>
        <v/>
      </c>
      <c r="AB94" t="str">
        <f t="shared" si="4"/>
        <v/>
      </c>
    </row>
    <row r="95" spans="1:28">
      <c r="A95" t="str">
        <f>MacReports!A95</f>
        <v/>
      </c>
      <c r="B95">
        <f>MacReports!B95</f>
        <v>0</v>
      </c>
      <c r="C95">
        <f>MacReports!C95</f>
        <v>0</v>
      </c>
      <c r="E95" t="e">
        <f>_xlfn.XLOOKUP(G95,Models!A:A,Models!F:F)</f>
        <v>#N/A</v>
      </c>
      <c r="F95" t="str">
        <f>_xlfn.XLOOKUP(B95,MacReports!B:B,MacReports!D:D,"")</f>
        <v/>
      </c>
      <c r="G95" s="13">
        <f>MacReports!E95</f>
        <v>0</v>
      </c>
      <c r="H95" t="e">
        <f>_xlfn.XLOOKUP(G95,Models!A:A,Models!B:B)</f>
        <v>#N/A</v>
      </c>
      <c r="I95" t="e">
        <f>_xlfn.XLOOKUP(G95,Models!A:A,Models!E:E)</f>
        <v>#N/A</v>
      </c>
      <c r="J95" t="e">
        <f>_xlfn.XLOOKUP(G95,Models!A:A,Models!D:D)</f>
        <v>#N/A</v>
      </c>
      <c r="K95">
        <f>MacReports!F95</f>
        <v>0</v>
      </c>
      <c r="L95">
        <f>MacReports!G95</f>
        <v>0</v>
      </c>
      <c r="M95" s="15" t="e" cm="1">
        <f t="array" ref="M95">--_xlfn.LET(
    _xlpm.txt, MacReports!H95,
    _xlpm.chars, MID(_xlpm.txt, _xlfn.SEQUENCE(LEN(_xlpm.txt)), 1),
    _xlfn.TEXTJOIN("", TRUE, IF(ISNUMBER(--_xlpm.chars), _xlpm.chars, ""))
)</f>
        <v>#VALUE!</v>
      </c>
      <c r="N95" s="16" t="str" cm="1">
        <f t="array" ref="N95">_xlfn.IFS(
   --MacReports!M95&lt;55,"Battery Defect",
  -- MacReports!M95&lt;=69,"Battery D",
  --MacReports!M95&lt;=80,"Battery C",
 --MacReports!M95&gt;80,""
)</f>
        <v>Battery Defect</v>
      </c>
      <c r="O95" s="16" t="str">
        <f>IF(MacReports!I95="Service","Battery Service","")</f>
        <v/>
      </c>
      <c r="P95" s="13">
        <f>MacReports!P95</f>
        <v>0</v>
      </c>
      <c r="Q95" s="13" t="str">
        <f>IF(MacReports!J95="Enabled","Apple ID Lock","")</f>
        <v/>
      </c>
      <c r="R95" s="13" t="str">
        <f>IF(MacReports!L95="y","Remote Locked","")</f>
        <v/>
      </c>
      <c r="S95" t="str">
        <f t="shared" si="3"/>
        <v>Battery Defect, 0</v>
      </c>
      <c r="T95" t="str">
        <f>_xlfn.XLOOKUP(B95,Disk_Pivot!G:G,Disk_Pivot!I:I)</f>
        <v>Yes x2</v>
      </c>
      <c r="U95" t="str">
        <f>_xlfn.XLOOKUP(B95,Disk_Pivot!G:G,Disk_Pivot!N:N)</f>
        <v>Pass, Fail</v>
      </c>
      <c r="V95" t="str">
        <f>IF(U95="Fail",MacReports!N95,"")</f>
        <v/>
      </c>
      <c r="AB95" t="str">
        <f t="shared" si="4"/>
        <v/>
      </c>
    </row>
    <row r="96" spans="1:28">
      <c r="A96" t="str">
        <f>MacReports!A96</f>
        <v/>
      </c>
      <c r="B96">
        <f>MacReports!B96</f>
        <v>0</v>
      </c>
      <c r="C96">
        <f>MacReports!C96</f>
        <v>0</v>
      </c>
      <c r="E96" t="e">
        <f>_xlfn.XLOOKUP(G96,Models!A:A,Models!F:F)</f>
        <v>#N/A</v>
      </c>
      <c r="F96" t="str">
        <f>_xlfn.XLOOKUP(B96,MacReports!B:B,MacReports!D:D,"")</f>
        <v/>
      </c>
      <c r="G96" s="13">
        <f>MacReports!E96</f>
        <v>0</v>
      </c>
      <c r="H96" t="e">
        <f>_xlfn.XLOOKUP(G96,Models!A:A,Models!B:B)</f>
        <v>#N/A</v>
      </c>
      <c r="I96" t="e">
        <f>_xlfn.XLOOKUP(G96,Models!A:A,Models!E:E)</f>
        <v>#N/A</v>
      </c>
      <c r="J96" t="e">
        <f>_xlfn.XLOOKUP(G96,Models!A:A,Models!D:D)</f>
        <v>#N/A</v>
      </c>
      <c r="K96">
        <f>MacReports!F96</f>
        <v>0</v>
      </c>
      <c r="L96">
        <f>MacReports!G96</f>
        <v>0</v>
      </c>
      <c r="M96" s="15" t="e" cm="1">
        <f t="array" ref="M96">--_xlfn.LET(
    _xlpm.txt, MacReports!H96,
    _xlpm.chars, MID(_xlpm.txt, _xlfn.SEQUENCE(LEN(_xlpm.txt)), 1),
    _xlfn.TEXTJOIN("", TRUE, IF(ISNUMBER(--_xlpm.chars), _xlpm.chars, ""))
)</f>
        <v>#VALUE!</v>
      </c>
      <c r="N96" s="16" t="str" cm="1">
        <f t="array" ref="N96">_xlfn.IFS(
   --MacReports!M96&lt;55,"Battery Defect",
  -- MacReports!M96&lt;=69,"Battery D",
  --MacReports!M96&lt;=80,"Battery C",
 --MacReports!M96&gt;80,""
)</f>
        <v>Battery Defect</v>
      </c>
      <c r="O96" s="16" t="str">
        <f>IF(MacReports!I96="Service","Battery Service","")</f>
        <v/>
      </c>
      <c r="P96" s="13">
        <f>MacReports!P96</f>
        <v>0</v>
      </c>
      <c r="Q96" s="13" t="str">
        <f>IF(MacReports!J96="Enabled","Apple ID Lock","")</f>
        <v/>
      </c>
      <c r="R96" s="13" t="str">
        <f>IF(MacReports!L96="y","Remote Locked","")</f>
        <v/>
      </c>
      <c r="S96" t="str">
        <f t="shared" si="3"/>
        <v>Battery Defect, 0</v>
      </c>
      <c r="T96" t="str">
        <f>_xlfn.XLOOKUP(B96,Disk_Pivot!G:G,Disk_Pivot!I:I)</f>
        <v>Yes x2</v>
      </c>
      <c r="U96" t="str">
        <f>_xlfn.XLOOKUP(B96,Disk_Pivot!G:G,Disk_Pivot!N:N)</f>
        <v>Pass, Fail</v>
      </c>
      <c r="V96" t="str">
        <f>IF(U96="Fail",MacReports!N96,"")</f>
        <v/>
      </c>
      <c r="AB96" t="str">
        <f t="shared" si="4"/>
        <v/>
      </c>
    </row>
    <row r="97" spans="1:28">
      <c r="A97" t="str">
        <f>MacReports!A97</f>
        <v/>
      </c>
      <c r="B97">
        <f>MacReports!B97</f>
        <v>0</v>
      </c>
      <c r="C97">
        <f>MacReports!C97</f>
        <v>0</v>
      </c>
      <c r="E97" t="e">
        <f>_xlfn.XLOOKUP(G97,Models!A:A,Models!F:F)</f>
        <v>#N/A</v>
      </c>
      <c r="F97" t="str">
        <f>_xlfn.XLOOKUP(B97,MacReports!B:B,MacReports!D:D,"")</f>
        <v/>
      </c>
      <c r="G97" s="13">
        <f>MacReports!E97</f>
        <v>0</v>
      </c>
      <c r="H97" t="e">
        <f>_xlfn.XLOOKUP(G97,Models!A:A,Models!B:B)</f>
        <v>#N/A</v>
      </c>
      <c r="I97" t="e">
        <f>_xlfn.XLOOKUP(G97,Models!A:A,Models!E:E)</f>
        <v>#N/A</v>
      </c>
      <c r="J97" t="e">
        <f>_xlfn.XLOOKUP(G97,Models!A:A,Models!D:D)</f>
        <v>#N/A</v>
      </c>
      <c r="K97">
        <f>MacReports!F97</f>
        <v>0</v>
      </c>
      <c r="L97">
        <f>MacReports!G97</f>
        <v>0</v>
      </c>
      <c r="M97" s="15" t="e" cm="1">
        <f t="array" ref="M97">--_xlfn.LET(
    _xlpm.txt, MacReports!H97,
    _xlpm.chars, MID(_xlpm.txt, _xlfn.SEQUENCE(LEN(_xlpm.txt)), 1),
    _xlfn.TEXTJOIN("", TRUE, IF(ISNUMBER(--_xlpm.chars), _xlpm.chars, ""))
)</f>
        <v>#VALUE!</v>
      </c>
      <c r="N97" s="16" t="str" cm="1">
        <f t="array" ref="N97">_xlfn.IFS(
   --MacReports!M97&lt;55,"Battery Defect",
  -- MacReports!M97&lt;=69,"Battery D",
  --MacReports!M97&lt;=80,"Battery C",
 --MacReports!M97&gt;80,""
)</f>
        <v>Battery Defect</v>
      </c>
      <c r="O97" s="16" t="str">
        <f>IF(MacReports!I97="Service","Battery Service","")</f>
        <v/>
      </c>
      <c r="P97" s="13">
        <f>MacReports!P97</f>
        <v>0</v>
      </c>
      <c r="Q97" s="13" t="str">
        <f>IF(MacReports!J97="Enabled","Apple ID Lock","")</f>
        <v/>
      </c>
      <c r="R97" s="13" t="str">
        <f>IF(MacReports!L97="y","Remote Locked","")</f>
        <v/>
      </c>
      <c r="S97" t="str">
        <f t="shared" si="3"/>
        <v>Battery Defect, 0</v>
      </c>
      <c r="T97" t="str">
        <f>_xlfn.XLOOKUP(B97,Disk_Pivot!G:G,Disk_Pivot!I:I)</f>
        <v>Yes x2</v>
      </c>
      <c r="U97" t="str">
        <f>_xlfn.XLOOKUP(B97,Disk_Pivot!G:G,Disk_Pivot!N:N)</f>
        <v>Pass, Fail</v>
      </c>
      <c r="V97" t="str">
        <f>IF(U97="Fail",MacReports!N97,"")</f>
        <v/>
      </c>
      <c r="AB97" t="str">
        <f t="shared" si="4"/>
        <v/>
      </c>
    </row>
    <row r="98" spans="1:28">
      <c r="A98" t="str">
        <f>MacReports!A98</f>
        <v/>
      </c>
      <c r="B98">
        <f>MacReports!B98</f>
        <v>0</v>
      </c>
      <c r="C98">
        <f>MacReports!C98</f>
        <v>0</v>
      </c>
      <c r="E98" t="e">
        <f>_xlfn.XLOOKUP(G98,Models!A:A,Models!F:F)</f>
        <v>#N/A</v>
      </c>
      <c r="F98" t="str">
        <f>_xlfn.XLOOKUP(B98,MacReports!B:B,MacReports!D:D,"")</f>
        <v/>
      </c>
      <c r="G98" s="13">
        <f>MacReports!E98</f>
        <v>0</v>
      </c>
      <c r="H98" t="e">
        <f>_xlfn.XLOOKUP(G98,Models!A:A,Models!B:B)</f>
        <v>#N/A</v>
      </c>
      <c r="I98" t="e">
        <f>_xlfn.XLOOKUP(G98,Models!A:A,Models!E:E)</f>
        <v>#N/A</v>
      </c>
      <c r="J98" t="e">
        <f>_xlfn.XLOOKUP(G98,Models!A:A,Models!D:D)</f>
        <v>#N/A</v>
      </c>
      <c r="K98">
        <f>MacReports!F98</f>
        <v>0</v>
      </c>
      <c r="L98">
        <f>MacReports!G98</f>
        <v>0</v>
      </c>
      <c r="M98" s="15" t="e" cm="1">
        <f t="array" ref="M98">--_xlfn.LET(
    _xlpm.txt, MacReports!H98,
    _xlpm.chars, MID(_xlpm.txt, _xlfn.SEQUENCE(LEN(_xlpm.txt)), 1),
    _xlfn.TEXTJOIN("", TRUE, IF(ISNUMBER(--_xlpm.chars), _xlpm.chars, ""))
)</f>
        <v>#VALUE!</v>
      </c>
      <c r="N98" s="16" t="str" cm="1">
        <f t="array" ref="N98">_xlfn.IFS(
   --MacReports!M98&lt;55,"Battery Defect",
  -- MacReports!M98&lt;=69,"Battery D",
  --MacReports!M98&lt;=80,"Battery C",
 --MacReports!M98&gt;80,""
)</f>
        <v>Battery Defect</v>
      </c>
      <c r="O98" s="16" t="str">
        <f>IF(MacReports!I98="Service","Battery Service","")</f>
        <v/>
      </c>
      <c r="P98" s="13">
        <f>MacReports!P98</f>
        <v>0</v>
      </c>
      <c r="Q98" s="13" t="str">
        <f>IF(MacReports!J98="Enabled","Apple ID Lock","")</f>
        <v/>
      </c>
      <c r="R98" s="13" t="str">
        <f>IF(MacReports!L98="y","Remote Locked","")</f>
        <v/>
      </c>
      <c r="S98" t="str">
        <f t="shared" si="3"/>
        <v>Battery Defect, 0</v>
      </c>
      <c r="T98" t="str">
        <f>_xlfn.XLOOKUP(B98,Disk_Pivot!G:G,Disk_Pivot!I:I)</f>
        <v>Yes x2</v>
      </c>
      <c r="U98" t="str">
        <f>_xlfn.XLOOKUP(B98,Disk_Pivot!G:G,Disk_Pivot!N:N)</f>
        <v>Pass, Fail</v>
      </c>
      <c r="V98" t="str">
        <f>IF(U98="Fail",MacReports!N98,"")</f>
        <v/>
      </c>
      <c r="AB98" t="str">
        <f t="shared" si="4"/>
        <v/>
      </c>
    </row>
    <row r="99" spans="1:28">
      <c r="A99" t="str">
        <f>MacReports!A99</f>
        <v/>
      </c>
      <c r="B99">
        <f>MacReports!B99</f>
        <v>0</v>
      </c>
      <c r="C99">
        <f>MacReports!C99</f>
        <v>0</v>
      </c>
      <c r="E99" t="e">
        <f>_xlfn.XLOOKUP(G99,Models!A:A,Models!F:F)</f>
        <v>#N/A</v>
      </c>
      <c r="F99" t="str">
        <f>_xlfn.XLOOKUP(B99,MacReports!B:B,MacReports!D:D,"")</f>
        <v/>
      </c>
      <c r="G99" s="13">
        <f>MacReports!E99</f>
        <v>0</v>
      </c>
      <c r="H99" t="e">
        <f>_xlfn.XLOOKUP(G99,Models!A:A,Models!B:B)</f>
        <v>#N/A</v>
      </c>
      <c r="I99" t="e">
        <f>_xlfn.XLOOKUP(G99,Models!A:A,Models!E:E)</f>
        <v>#N/A</v>
      </c>
      <c r="J99" t="e">
        <f>_xlfn.XLOOKUP(G99,Models!A:A,Models!D:D)</f>
        <v>#N/A</v>
      </c>
      <c r="K99">
        <f>MacReports!F99</f>
        <v>0</v>
      </c>
      <c r="L99">
        <f>MacReports!G99</f>
        <v>0</v>
      </c>
      <c r="M99" s="15" t="e" cm="1">
        <f t="array" ref="M99">--_xlfn.LET(
    _xlpm.txt, MacReports!H99,
    _xlpm.chars, MID(_xlpm.txt, _xlfn.SEQUENCE(LEN(_xlpm.txt)), 1),
    _xlfn.TEXTJOIN("", TRUE, IF(ISNUMBER(--_xlpm.chars), _xlpm.chars, ""))
)</f>
        <v>#VALUE!</v>
      </c>
      <c r="N99" s="16" t="str" cm="1">
        <f t="array" ref="N99">_xlfn.IFS(
   --MacReports!M99&lt;55,"Battery Defect",
  -- MacReports!M99&lt;=69,"Battery D",
  --MacReports!M99&lt;=80,"Battery C",
 --MacReports!M99&gt;80,""
)</f>
        <v>Battery Defect</v>
      </c>
      <c r="O99" s="16" t="str">
        <f>IF(MacReports!I99="Service","Battery Service","")</f>
        <v/>
      </c>
      <c r="P99" s="13">
        <f>MacReports!P99</f>
        <v>0</v>
      </c>
      <c r="Q99" s="13" t="str">
        <f>IF(MacReports!J99="Enabled","Apple ID Lock","")</f>
        <v/>
      </c>
      <c r="R99" s="13" t="str">
        <f>IF(MacReports!L99="y","Remote Locked","")</f>
        <v/>
      </c>
      <c r="S99" t="str">
        <f t="shared" ref="S99:S162" si="5">_xlfn.TEXTJOIN(", ",TRUE,Q99,R99,N99,O99,P99)</f>
        <v>Battery Defect, 0</v>
      </c>
      <c r="T99" t="str">
        <f>_xlfn.XLOOKUP(B99,Disk_Pivot!G:G,Disk_Pivot!I:I)</f>
        <v>Yes x2</v>
      </c>
      <c r="U99" t="str">
        <f>_xlfn.XLOOKUP(B99,Disk_Pivot!G:G,Disk_Pivot!N:N)</f>
        <v>Pass, Fail</v>
      </c>
      <c r="V99" t="str">
        <f>IF(U99="Fail",MacReports!N99,"")</f>
        <v/>
      </c>
      <c r="AB99" t="str">
        <f t="shared" ref="AB99:AB162" si="6">_xlfn.TEXTJOIN(", ",TRUE,Q99,R99)</f>
        <v/>
      </c>
    </row>
    <row r="100" spans="1:28">
      <c r="A100" t="str">
        <f>MacReports!A100</f>
        <v/>
      </c>
      <c r="B100">
        <f>MacReports!B100</f>
        <v>0</v>
      </c>
      <c r="C100">
        <f>MacReports!C100</f>
        <v>0</v>
      </c>
      <c r="E100" t="e">
        <f>_xlfn.XLOOKUP(G100,Models!A:A,Models!F:F)</f>
        <v>#N/A</v>
      </c>
      <c r="F100" t="str">
        <f>_xlfn.XLOOKUP(B100,MacReports!B:B,MacReports!D:D,"")</f>
        <v/>
      </c>
      <c r="G100" s="13">
        <f>MacReports!E100</f>
        <v>0</v>
      </c>
      <c r="H100" t="e">
        <f>_xlfn.XLOOKUP(G100,Models!A:A,Models!B:B)</f>
        <v>#N/A</v>
      </c>
      <c r="I100" t="e">
        <f>_xlfn.XLOOKUP(G100,Models!A:A,Models!E:E)</f>
        <v>#N/A</v>
      </c>
      <c r="J100" t="e">
        <f>_xlfn.XLOOKUP(G100,Models!A:A,Models!D:D)</f>
        <v>#N/A</v>
      </c>
      <c r="K100">
        <f>MacReports!F100</f>
        <v>0</v>
      </c>
      <c r="L100">
        <f>MacReports!G100</f>
        <v>0</v>
      </c>
      <c r="M100" s="15" t="e" cm="1">
        <f t="array" ref="M100">--_xlfn.LET(
    _xlpm.txt, MacReports!H100,
    _xlpm.chars, MID(_xlpm.txt, _xlfn.SEQUENCE(LEN(_xlpm.txt)), 1),
    _xlfn.TEXTJOIN("", TRUE, IF(ISNUMBER(--_xlpm.chars), _xlpm.chars, ""))
)</f>
        <v>#VALUE!</v>
      </c>
      <c r="N100" s="16" t="str" cm="1">
        <f t="array" ref="N100">_xlfn.IFS(
   --MacReports!M100&lt;55,"Battery Defect",
  -- MacReports!M100&lt;=69,"Battery D",
  --MacReports!M100&lt;=80,"Battery C",
 --MacReports!M100&gt;80,""
)</f>
        <v>Battery Defect</v>
      </c>
      <c r="O100" s="16" t="str">
        <f>IF(MacReports!I100="Service","Battery Service","")</f>
        <v/>
      </c>
      <c r="P100" s="13">
        <f>MacReports!P100</f>
        <v>0</v>
      </c>
      <c r="Q100" s="13" t="str">
        <f>IF(MacReports!J100="Enabled","Apple ID Lock","")</f>
        <v/>
      </c>
      <c r="R100" s="13" t="str">
        <f>IF(MacReports!L100="y","Remote Locked","")</f>
        <v/>
      </c>
      <c r="S100" t="str">
        <f t="shared" si="5"/>
        <v>Battery Defect, 0</v>
      </c>
      <c r="T100" t="str">
        <f>_xlfn.XLOOKUP(B100,Disk_Pivot!G:G,Disk_Pivot!I:I)</f>
        <v>Yes x2</v>
      </c>
      <c r="U100" t="str">
        <f>_xlfn.XLOOKUP(B100,Disk_Pivot!G:G,Disk_Pivot!N:N)</f>
        <v>Pass, Fail</v>
      </c>
      <c r="V100" t="str">
        <f>IF(U100="Fail",MacReports!N100,"")</f>
        <v/>
      </c>
      <c r="AB100" t="str">
        <f t="shared" si="6"/>
        <v/>
      </c>
    </row>
    <row r="101" spans="1:28">
      <c r="A101" t="str">
        <f>MacReports!A101</f>
        <v/>
      </c>
      <c r="B101">
        <f>MacReports!B101</f>
        <v>0</v>
      </c>
      <c r="C101">
        <f>MacReports!C101</f>
        <v>0</v>
      </c>
      <c r="E101" t="e">
        <f>_xlfn.XLOOKUP(G101,Models!A:A,Models!F:F)</f>
        <v>#N/A</v>
      </c>
      <c r="F101" t="str">
        <f>_xlfn.XLOOKUP(B101,MacReports!B:B,MacReports!D:D,"")</f>
        <v/>
      </c>
      <c r="G101" s="13">
        <f>MacReports!E101</f>
        <v>0</v>
      </c>
      <c r="H101" t="e">
        <f>_xlfn.XLOOKUP(G101,Models!A:A,Models!B:B)</f>
        <v>#N/A</v>
      </c>
      <c r="I101" t="e">
        <f>_xlfn.XLOOKUP(G101,Models!A:A,Models!E:E)</f>
        <v>#N/A</v>
      </c>
      <c r="J101" t="e">
        <f>_xlfn.XLOOKUP(G101,Models!A:A,Models!D:D)</f>
        <v>#N/A</v>
      </c>
      <c r="K101">
        <f>MacReports!F101</f>
        <v>0</v>
      </c>
      <c r="L101">
        <f>MacReports!G101</f>
        <v>0</v>
      </c>
      <c r="M101" s="15" t="e" cm="1">
        <f t="array" ref="M101">--_xlfn.LET(
    _xlpm.txt, MacReports!H101,
    _xlpm.chars, MID(_xlpm.txt, _xlfn.SEQUENCE(LEN(_xlpm.txt)), 1),
    _xlfn.TEXTJOIN("", TRUE, IF(ISNUMBER(--_xlpm.chars), _xlpm.chars, ""))
)</f>
        <v>#VALUE!</v>
      </c>
      <c r="N101" s="16" t="str" cm="1">
        <f t="array" ref="N101">_xlfn.IFS(
   --MacReports!M101&lt;55,"Battery Defect",
  -- MacReports!M101&lt;=69,"Battery D",
  --MacReports!M101&lt;=80,"Battery C",
 --MacReports!M101&gt;80,""
)</f>
        <v>Battery Defect</v>
      </c>
      <c r="O101" s="16" t="str">
        <f>IF(MacReports!I101="Service","Battery Service","")</f>
        <v/>
      </c>
      <c r="P101" s="13">
        <f>MacReports!P101</f>
        <v>0</v>
      </c>
      <c r="Q101" s="13" t="str">
        <f>IF(MacReports!J101="Enabled","Apple ID Lock","")</f>
        <v/>
      </c>
      <c r="R101" s="13" t="str">
        <f>IF(MacReports!L101="y","Remote Locked","")</f>
        <v/>
      </c>
      <c r="S101" t="str">
        <f t="shared" si="5"/>
        <v>Battery Defect, 0</v>
      </c>
      <c r="T101" t="str">
        <f>_xlfn.XLOOKUP(B101,Disk_Pivot!G:G,Disk_Pivot!I:I)</f>
        <v>Yes x2</v>
      </c>
      <c r="U101" t="str">
        <f>_xlfn.XLOOKUP(B101,Disk_Pivot!G:G,Disk_Pivot!N:N)</f>
        <v>Pass, Fail</v>
      </c>
      <c r="V101" t="str">
        <f>IF(U101="Fail",MacReports!N101,"")</f>
        <v/>
      </c>
      <c r="AB101" t="str">
        <f t="shared" si="6"/>
        <v/>
      </c>
    </row>
    <row r="102" spans="1:28">
      <c r="A102" t="str">
        <f>MacReports!A102</f>
        <v/>
      </c>
      <c r="B102">
        <f>MacReports!B102</f>
        <v>0</v>
      </c>
      <c r="C102">
        <f>MacReports!C102</f>
        <v>0</v>
      </c>
      <c r="E102" t="e">
        <f>_xlfn.XLOOKUP(G102,Models!A:A,Models!F:F)</f>
        <v>#N/A</v>
      </c>
      <c r="F102" t="str">
        <f>_xlfn.XLOOKUP(B102,MacReports!B:B,MacReports!D:D,"")</f>
        <v/>
      </c>
      <c r="G102" s="13">
        <f>MacReports!E102</f>
        <v>0</v>
      </c>
      <c r="H102" t="e">
        <f>_xlfn.XLOOKUP(G102,Models!A:A,Models!B:B)</f>
        <v>#N/A</v>
      </c>
      <c r="I102" t="e">
        <f>_xlfn.XLOOKUP(G102,Models!A:A,Models!E:E)</f>
        <v>#N/A</v>
      </c>
      <c r="J102" t="e">
        <f>_xlfn.XLOOKUP(G102,Models!A:A,Models!D:D)</f>
        <v>#N/A</v>
      </c>
      <c r="K102">
        <f>MacReports!F102</f>
        <v>0</v>
      </c>
      <c r="L102">
        <f>MacReports!G102</f>
        <v>0</v>
      </c>
      <c r="M102" s="15" t="e" cm="1">
        <f t="array" ref="M102">--_xlfn.LET(
    _xlpm.txt, MacReports!H102,
    _xlpm.chars, MID(_xlpm.txt, _xlfn.SEQUENCE(LEN(_xlpm.txt)), 1),
    _xlfn.TEXTJOIN("", TRUE, IF(ISNUMBER(--_xlpm.chars), _xlpm.chars, ""))
)</f>
        <v>#VALUE!</v>
      </c>
      <c r="N102" s="16" t="str" cm="1">
        <f t="array" ref="N102">_xlfn.IFS(
   --MacReports!M102&lt;55,"Battery Defect",
  -- MacReports!M102&lt;=69,"Battery D",
  --MacReports!M102&lt;=80,"Battery C",
 --MacReports!M102&gt;80,""
)</f>
        <v>Battery Defect</v>
      </c>
      <c r="O102" s="16" t="str">
        <f>IF(MacReports!I102="Service","Battery Service","")</f>
        <v/>
      </c>
      <c r="P102" s="13">
        <f>MacReports!P102</f>
        <v>0</v>
      </c>
      <c r="Q102" s="13" t="str">
        <f>IF(MacReports!J102="Enabled","Apple ID Lock","")</f>
        <v/>
      </c>
      <c r="R102" s="13" t="str">
        <f>IF(MacReports!L102="y","Remote Locked","")</f>
        <v/>
      </c>
      <c r="S102" t="str">
        <f t="shared" si="5"/>
        <v>Battery Defect, 0</v>
      </c>
      <c r="T102" t="str">
        <f>_xlfn.XLOOKUP(B102,Disk_Pivot!G:G,Disk_Pivot!I:I)</f>
        <v>Yes x2</v>
      </c>
      <c r="U102" t="str">
        <f>_xlfn.XLOOKUP(B102,Disk_Pivot!G:G,Disk_Pivot!N:N)</f>
        <v>Pass, Fail</v>
      </c>
      <c r="V102" t="str">
        <f>IF(U102="Fail",MacReports!N102,"")</f>
        <v/>
      </c>
      <c r="AB102" t="str">
        <f t="shared" si="6"/>
        <v/>
      </c>
    </row>
    <row r="103" spans="1:28">
      <c r="A103" t="str">
        <f>MacReports!A103</f>
        <v/>
      </c>
      <c r="B103">
        <f>MacReports!B103</f>
        <v>0</v>
      </c>
      <c r="C103">
        <f>MacReports!C103</f>
        <v>0</v>
      </c>
      <c r="E103" t="e">
        <f>_xlfn.XLOOKUP(G103,Models!A:A,Models!F:F)</f>
        <v>#N/A</v>
      </c>
      <c r="F103" t="str">
        <f>_xlfn.XLOOKUP(B103,MacReports!B:B,MacReports!D:D,"")</f>
        <v/>
      </c>
      <c r="G103" s="13">
        <f>MacReports!E103</f>
        <v>0</v>
      </c>
      <c r="H103" t="e">
        <f>_xlfn.XLOOKUP(G103,Models!A:A,Models!B:B)</f>
        <v>#N/A</v>
      </c>
      <c r="I103" t="e">
        <f>_xlfn.XLOOKUP(G103,Models!A:A,Models!E:E)</f>
        <v>#N/A</v>
      </c>
      <c r="J103" t="e">
        <f>_xlfn.XLOOKUP(G103,Models!A:A,Models!D:D)</f>
        <v>#N/A</v>
      </c>
      <c r="K103">
        <f>MacReports!F103</f>
        <v>0</v>
      </c>
      <c r="L103">
        <f>MacReports!G103</f>
        <v>0</v>
      </c>
      <c r="M103" s="15" t="e" cm="1">
        <f t="array" ref="M103">--_xlfn.LET(
    _xlpm.txt, MacReports!H103,
    _xlpm.chars, MID(_xlpm.txt, _xlfn.SEQUENCE(LEN(_xlpm.txt)), 1),
    _xlfn.TEXTJOIN("", TRUE, IF(ISNUMBER(--_xlpm.chars), _xlpm.chars, ""))
)</f>
        <v>#VALUE!</v>
      </c>
      <c r="N103" s="16" t="str" cm="1">
        <f t="array" ref="N103">_xlfn.IFS(
   --MacReports!M103&lt;55,"Battery Defect",
  -- MacReports!M103&lt;=69,"Battery D",
  --MacReports!M103&lt;=80,"Battery C",
 --MacReports!M103&gt;80,""
)</f>
        <v>Battery Defect</v>
      </c>
      <c r="O103" s="16" t="str">
        <f>IF(MacReports!I103="Service","Battery Service","")</f>
        <v/>
      </c>
      <c r="P103" s="13">
        <f>MacReports!P103</f>
        <v>0</v>
      </c>
      <c r="Q103" s="13" t="str">
        <f>IF(MacReports!J103="Enabled","Apple ID Lock","")</f>
        <v/>
      </c>
      <c r="R103" s="13" t="str">
        <f>IF(MacReports!L103="y","Remote Locked","")</f>
        <v/>
      </c>
      <c r="S103" t="str">
        <f t="shared" si="5"/>
        <v>Battery Defect, 0</v>
      </c>
      <c r="T103" t="str">
        <f>_xlfn.XLOOKUP(B103,Disk_Pivot!G:G,Disk_Pivot!I:I)</f>
        <v>Yes x2</v>
      </c>
      <c r="U103" t="str">
        <f>_xlfn.XLOOKUP(B103,Disk_Pivot!G:G,Disk_Pivot!N:N)</f>
        <v>Pass, Fail</v>
      </c>
      <c r="V103" t="str">
        <f>IF(U103="Fail",MacReports!N103,"")</f>
        <v/>
      </c>
      <c r="AB103" t="str">
        <f t="shared" si="6"/>
        <v/>
      </c>
    </row>
    <row r="104" spans="1:28">
      <c r="A104" t="str">
        <f>MacReports!A104</f>
        <v/>
      </c>
      <c r="B104">
        <f>MacReports!B104</f>
        <v>0</v>
      </c>
      <c r="C104">
        <f>MacReports!C104</f>
        <v>0</v>
      </c>
      <c r="E104" t="e">
        <f>_xlfn.XLOOKUP(G104,Models!A:A,Models!F:F)</f>
        <v>#N/A</v>
      </c>
      <c r="F104" t="str">
        <f>_xlfn.XLOOKUP(B104,MacReports!B:B,MacReports!D:D,"")</f>
        <v/>
      </c>
      <c r="G104" s="13">
        <f>MacReports!E104</f>
        <v>0</v>
      </c>
      <c r="H104" t="e">
        <f>_xlfn.XLOOKUP(G104,Models!A:A,Models!B:B)</f>
        <v>#N/A</v>
      </c>
      <c r="I104" t="e">
        <f>_xlfn.XLOOKUP(G104,Models!A:A,Models!E:E)</f>
        <v>#N/A</v>
      </c>
      <c r="J104" t="e">
        <f>_xlfn.XLOOKUP(G104,Models!A:A,Models!D:D)</f>
        <v>#N/A</v>
      </c>
      <c r="K104">
        <f>MacReports!F104</f>
        <v>0</v>
      </c>
      <c r="L104">
        <f>MacReports!G104</f>
        <v>0</v>
      </c>
      <c r="M104" s="15" t="e" cm="1">
        <f t="array" ref="M104">--_xlfn.LET(
    _xlpm.txt, MacReports!H104,
    _xlpm.chars, MID(_xlpm.txt, _xlfn.SEQUENCE(LEN(_xlpm.txt)), 1),
    _xlfn.TEXTJOIN("", TRUE, IF(ISNUMBER(--_xlpm.chars), _xlpm.chars, ""))
)</f>
        <v>#VALUE!</v>
      </c>
      <c r="N104" s="16" t="str" cm="1">
        <f t="array" ref="N104">_xlfn.IFS(
   --MacReports!M104&lt;55,"Battery Defect",
  -- MacReports!M104&lt;=69,"Battery D",
  --MacReports!M104&lt;=80,"Battery C",
 --MacReports!M104&gt;80,""
)</f>
        <v>Battery Defect</v>
      </c>
      <c r="O104" s="16" t="str">
        <f>IF(MacReports!I104="Service","Battery Service","")</f>
        <v/>
      </c>
      <c r="P104" s="13">
        <f>MacReports!P104</f>
        <v>0</v>
      </c>
      <c r="Q104" s="13" t="str">
        <f>IF(MacReports!J104="Enabled","Apple ID Lock","")</f>
        <v/>
      </c>
      <c r="R104" s="13" t="str">
        <f>IF(MacReports!L104="y","Remote Locked","")</f>
        <v/>
      </c>
      <c r="S104" t="str">
        <f t="shared" si="5"/>
        <v>Battery Defect, 0</v>
      </c>
      <c r="T104" t="str">
        <f>_xlfn.XLOOKUP(B104,Disk_Pivot!G:G,Disk_Pivot!I:I)</f>
        <v>Yes x2</v>
      </c>
      <c r="U104" t="str">
        <f>_xlfn.XLOOKUP(B104,Disk_Pivot!G:G,Disk_Pivot!N:N)</f>
        <v>Pass, Fail</v>
      </c>
      <c r="V104" t="str">
        <f>IF(U104="Fail",MacReports!N104,"")</f>
        <v/>
      </c>
      <c r="AB104" t="str">
        <f t="shared" si="6"/>
        <v/>
      </c>
    </row>
    <row r="105" spans="1:28">
      <c r="A105" t="str">
        <f>MacReports!A105</f>
        <v/>
      </c>
      <c r="B105">
        <f>MacReports!B105</f>
        <v>0</v>
      </c>
      <c r="C105">
        <f>MacReports!C105</f>
        <v>0</v>
      </c>
      <c r="E105" t="e">
        <f>_xlfn.XLOOKUP(G105,Models!A:A,Models!F:F)</f>
        <v>#N/A</v>
      </c>
      <c r="F105" t="str">
        <f>_xlfn.XLOOKUP(B105,MacReports!B:B,MacReports!D:D,"")</f>
        <v/>
      </c>
      <c r="G105" s="13">
        <f>MacReports!E105</f>
        <v>0</v>
      </c>
      <c r="H105" t="e">
        <f>_xlfn.XLOOKUP(G105,Models!A:A,Models!B:B)</f>
        <v>#N/A</v>
      </c>
      <c r="I105" t="e">
        <f>_xlfn.XLOOKUP(G105,Models!A:A,Models!E:E)</f>
        <v>#N/A</v>
      </c>
      <c r="J105" t="e">
        <f>_xlfn.XLOOKUP(G105,Models!A:A,Models!D:D)</f>
        <v>#N/A</v>
      </c>
      <c r="K105">
        <f>MacReports!F105</f>
        <v>0</v>
      </c>
      <c r="L105">
        <f>MacReports!G105</f>
        <v>0</v>
      </c>
      <c r="M105" s="15" t="e" cm="1">
        <f t="array" ref="M105">--_xlfn.LET(
    _xlpm.txt, MacReports!H105,
    _xlpm.chars, MID(_xlpm.txt, _xlfn.SEQUENCE(LEN(_xlpm.txt)), 1),
    _xlfn.TEXTJOIN("", TRUE, IF(ISNUMBER(--_xlpm.chars), _xlpm.chars, ""))
)</f>
        <v>#VALUE!</v>
      </c>
      <c r="N105" s="16" t="str" cm="1">
        <f t="array" ref="N105">_xlfn.IFS(
   --MacReports!M105&lt;55,"Battery Defect",
  -- MacReports!M105&lt;=69,"Battery D",
  --MacReports!M105&lt;=80,"Battery C",
 --MacReports!M105&gt;80,""
)</f>
        <v>Battery Defect</v>
      </c>
      <c r="O105" s="16" t="str">
        <f>IF(MacReports!I105="Service","Battery Service","")</f>
        <v/>
      </c>
      <c r="P105" s="13">
        <f>MacReports!P105</f>
        <v>0</v>
      </c>
      <c r="Q105" s="13" t="str">
        <f>IF(MacReports!J105="Enabled","Apple ID Lock","")</f>
        <v/>
      </c>
      <c r="R105" s="13" t="str">
        <f>IF(MacReports!L105="y","Remote Locked","")</f>
        <v/>
      </c>
      <c r="S105" t="str">
        <f t="shared" si="5"/>
        <v>Battery Defect, 0</v>
      </c>
      <c r="T105" t="str">
        <f>_xlfn.XLOOKUP(B105,Disk_Pivot!G:G,Disk_Pivot!I:I)</f>
        <v>Yes x2</v>
      </c>
      <c r="U105" t="str">
        <f>_xlfn.XLOOKUP(B105,Disk_Pivot!G:G,Disk_Pivot!N:N)</f>
        <v>Pass, Fail</v>
      </c>
      <c r="V105" t="str">
        <f>IF(U105="Fail",MacReports!N105,"")</f>
        <v/>
      </c>
      <c r="AB105" t="str">
        <f t="shared" si="6"/>
        <v/>
      </c>
    </row>
    <row r="106" spans="1:28">
      <c r="A106" t="str">
        <f>MacReports!A106</f>
        <v/>
      </c>
      <c r="B106">
        <f>MacReports!B106</f>
        <v>0</v>
      </c>
      <c r="C106">
        <f>MacReports!C106</f>
        <v>0</v>
      </c>
      <c r="E106" t="e">
        <f>_xlfn.XLOOKUP(G106,Models!A:A,Models!F:F)</f>
        <v>#N/A</v>
      </c>
      <c r="F106" t="str">
        <f>_xlfn.XLOOKUP(B106,MacReports!B:B,MacReports!D:D,"")</f>
        <v/>
      </c>
      <c r="G106" s="13">
        <f>MacReports!E106</f>
        <v>0</v>
      </c>
      <c r="H106" t="e">
        <f>_xlfn.XLOOKUP(G106,Models!A:A,Models!B:B)</f>
        <v>#N/A</v>
      </c>
      <c r="I106" t="e">
        <f>_xlfn.XLOOKUP(G106,Models!A:A,Models!E:E)</f>
        <v>#N/A</v>
      </c>
      <c r="J106" t="e">
        <f>_xlfn.XLOOKUP(G106,Models!A:A,Models!D:D)</f>
        <v>#N/A</v>
      </c>
      <c r="K106">
        <f>MacReports!F106</f>
        <v>0</v>
      </c>
      <c r="L106">
        <f>MacReports!G106</f>
        <v>0</v>
      </c>
      <c r="M106" s="15" t="e" cm="1">
        <f t="array" ref="M106">--_xlfn.LET(
    _xlpm.txt, MacReports!H106,
    _xlpm.chars, MID(_xlpm.txt, _xlfn.SEQUENCE(LEN(_xlpm.txt)), 1),
    _xlfn.TEXTJOIN("", TRUE, IF(ISNUMBER(--_xlpm.chars), _xlpm.chars, ""))
)</f>
        <v>#VALUE!</v>
      </c>
      <c r="N106" s="16" t="str" cm="1">
        <f t="array" ref="N106">_xlfn.IFS(
   --MacReports!M106&lt;55,"Battery Defect",
  -- MacReports!M106&lt;=69,"Battery D",
  --MacReports!M106&lt;=80,"Battery C",
 --MacReports!M106&gt;80,""
)</f>
        <v>Battery Defect</v>
      </c>
      <c r="O106" s="16" t="str">
        <f>IF(MacReports!I106="Service","Battery Service","")</f>
        <v/>
      </c>
      <c r="P106" s="13">
        <f>MacReports!P106</f>
        <v>0</v>
      </c>
      <c r="Q106" s="13" t="str">
        <f>IF(MacReports!J106="Enabled","Apple ID Lock","")</f>
        <v/>
      </c>
      <c r="R106" s="13" t="str">
        <f>IF(MacReports!L106="y","Remote Locked","")</f>
        <v/>
      </c>
      <c r="S106" t="str">
        <f t="shared" si="5"/>
        <v>Battery Defect, 0</v>
      </c>
      <c r="T106" t="str">
        <f>_xlfn.XLOOKUP(B106,Disk_Pivot!G:G,Disk_Pivot!I:I)</f>
        <v>Yes x2</v>
      </c>
      <c r="U106" t="str">
        <f>_xlfn.XLOOKUP(B106,Disk_Pivot!G:G,Disk_Pivot!N:N)</f>
        <v>Pass, Fail</v>
      </c>
      <c r="V106" t="str">
        <f>IF(U106="Fail",MacReports!N106,"")</f>
        <v/>
      </c>
      <c r="AB106" t="str">
        <f t="shared" si="6"/>
        <v/>
      </c>
    </row>
    <row r="107" spans="1:28">
      <c r="A107" t="str">
        <f>MacReports!A107</f>
        <v/>
      </c>
      <c r="B107">
        <f>MacReports!B107</f>
        <v>0</v>
      </c>
      <c r="C107">
        <f>MacReports!C107</f>
        <v>0</v>
      </c>
      <c r="E107" t="e">
        <f>_xlfn.XLOOKUP(G107,Models!A:A,Models!F:F)</f>
        <v>#N/A</v>
      </c>
      <c r="F107" t="str">
        <f>_xlfn.XLOOKUP(B107,MacReports!B:B,MacReports!D:D,"")</f>
        <v/>
      </c>
      <c r="G107" s="13">
        <f>MacReports!E107</f>
        <v>0</v>
      </c>
      <c r="H107" t="e">
        <f>_xlfn.XLOOKUP(G107,Models!A:A,Models!B:B)</f>
        <v>#N/A</v>
      </c>
      <c r="I107" t="e">
        <f>_xlfn.XLOOKUP(G107,Models!A:A,Models!E:E)</f>
        <v>#N/A</v>
      </c>
      <c r="J107" t="e">
        <f>_xlfn.XLOOKUP(G107,Models!A:A,Models!D:D)</f>
        <v>#N/A</v>
      </c>
      <c r="K107">
        <f>MacReports!F107</f>
        <v>0</v>
      </c>
      <c r="L107">
        <f>MacReports!G107</f>
        <v>0</v>
      </c>
      <c r="M107" s="15" t="e" cm="1">
        <f t="array" ref="M107">--_xlfn.LET(
    _xlpm.txt, MacReports!H107,
    _xlpm.chars, MID(_xlpm.txt, _xlfn.SEQUENCE(LEN(_xlpm.txt)), 1),
    _xlfn.TEXTJOIN("", TRUE, IF(ISNUMBER(--_xlpm.chars), _xlpm.chars, ""))
)</f>
        <v>#VALUE!</v>
      </c>
      <c r="N107" s="16" t="str" cm="1">
        <f t="array" ref="N107">_xlfn.IFS(
   --MacReports!M107&lt;55,"Battery Defect",
  -- MacReports!M107&lt;=69,"Battery D",
  --MacReports!M107&lt;=80,"Battery C",
 --MacReports!M107&gt;80,""
)</f>
        <v>Battery Defect</v>
      </c>
      <c r="O107" s="16" t="str">
        <f>IF(MacReports!I107="Service","Battery Service","")</f>
        <v/>
      </c>
      <c r="P107" s="13">
        <f>MacReports!P107</f>
        <v>0</v>
      </c>
      <c r="Q107" s="13" t="str">
        <f>IF(MacReports!J107="Enabled","Apple ID Lock","")</f>
        <v/>
      </c>
      <c r="R107" s="13" t="str">
        <f>IF(MacReports!L107="y","Remote Locked","")</f>
        <v/>
      </c>
      <c r="S107" t="str">
        <f t="shared" si="5"/>
        <v>Battery Defect, 0</v>
      </c>
      <c r="T107" t="str">
        <f>_xlfn.XLOOKUP(B107,Disk_Pivot!G:G,Disk_Pivot!I:I)</f>
        <v>Yes x2</v>
      </c>
      <c r="U107" t="str">
        <f>_xlfn.XLOOKUP(B107,Disk_Pivot!G:G,Disk_Pivot!N:N)</f>
        <v>Pass, Fail</v>
      </c>
      <c r="V107" t="str">
        <f>IF(U107="Fail",MacReports!N107,"")</f>
        <v/>
      </c>
      <c r="AB107" t="str">
        <f t="shared" si="6"/>
        <v/>
      </c>
    </row>
    <row r="108" spans="1:28">
      <c r="A108" t="str">
        <f>MacReports!A108</f>
        <v/>
      </c>
      <c r="B108">
        <f>MacReports!B108</f>
        <v>0</v>
      </c>
      <c r="C108">
        <f>MacReports!C108</f>
        <v>0</v>
      </c>
      <c r="E108" t="e">
        <f>_xlfn.XLOOKUP(G108,Models!A:A,Models!F:F)</f>
        <v>#N/A</v>
      </c>
      <c r="F108" t="str">
        <f>_xlfn.XLOOKUP(B108,MacReports!B:B,MacReports!D:D,"")</f>
        <v/>
      </c>
      <c r="G108" s="13">
        <f>MacReports!E108</f>
        <v>0</v>
      </c>
      <c r="H108" t="e">
        <f>_xlfn.XLOOKUP(G108,Models!A:A,Models!B:B)</f>
        <v>#N/A</v>
      </c>
      <c r="I108" t="e">
        <f>_xlfn.XLOOKUP(G108,Models!A:A,Models!E:E)</f>
        <v>#N/A</v>
      </c>
      <c r="J108" t="e">
        <f>_xlfn.XLOOKUP(G108,Models!A:A,Models!D:D)</f>
        <v>#N/A</v>
      </c>
      <c r="K108">
        <f>MacReports!F108</f>
        <v>0</v>
      </c>
      <c r="L108">
        <f>MacReports!G108</f>
        <v>0</v>
      </c>
      <c r="M108" s="15" t="e" cm="1">
        <f t="array" ref="M108">--_xlfn.LET(
    _xlpm.txt, MacReports!H108,
    _xlpm.chars, MID(_xlpm.txt, _xlfn.SEQUENCE(LEN(_xlpm.txt)), 1),
    _xlfn.TEXTJOIN("", TRUE, IF(ISNUMBER(--_xlpm.chars), _xlpm.chars, ""))
)</f>
        <v>#VALUE!</v>
      </c>
      <c r="N108" s="16" t="str" cm="1">
        <f t="array" ref="N108">_xlfn.IFS(
   --MacReports!M108&lt;55,"Battery Defect",
  -- MacReports!M108&lt;=69,"Battery D",
  --MacReports!M108&lt;=80,"Battery C",
 --MacReports!M108&gt;80,""
)</f>
        <v>Battery Defect</v>
      </c>
      <c r="O108" s="16" t="str">
        <f>IF(MacReports!I108="Service","Battery Service","")</f>
        <v/>
      </c>
      <c r="P108" s="13">
        <f>MacReports!P108</f>
        <v>0</v>
      </c>
      <c r="Q108" s="13" t="str">
        <f>IF(MacReports!J108="Enabled","Apple ID Lock","")</f>
        <v/>
      </c>
      <c r="R108" s="13" t="str">
        <f>IF(MacReports!L108="y","Remote Locked","")</f>
        <v/>
      </c>
      <c r="S108" t="str">
        <f t="shared" si="5"/>
        <v>Battery Defect, 0</v>
      </c>
      <c r="T108" t="str">
        <f>_xlfn.XLOOKUP(B108,Disk_Pivot!G:G,Disk_Pivot!I:I)</f>
        <v>Yes x2</v>
      </c>
      <c r="U108" t="str">
        <f>_xlfn.XLOOKUP(B108,Disk_Pivot!G:G,Disk_Pivot!N:N)</f>
        <v>Pass, Fail</v>
      </c>
      <c r="V108" t="str">
        <f>IF(U108="Fail",MacReports!N108,"")</f>
        <v/>
      </c>
      <c r="AB108" t="str">
        <f t="shared" si="6"/>
        <v/>
      </c>
    </row>
    <row r="109" spans="1:28">
      <c r="A109" t="str">
        <f>MacReports!A109</f>
        <v/>
      </c>
      <c r="B109">
        <f>MacReports!B109</f>
        <v>0</v>
      </c>
      <c r="C109">
        <f>MacReports!C109</f>
        <v>0</v>
      </c>
      <c r="E109" t="e">
        <f>_xlfn.XLOOKUP(G109,Models!A:A,Models!F:F)</f>
        <v>#N/A</v>
      </c>
      <c r="F109" t="str">
        <f>_xlfn.XLOOKUP(B109,MacReports!B:B,MacReports!D:D,"")</f>
        <v/>
      </c>
      <c r="G109" s="13">
        <f>MacReports!E109</f>
        <v>0</v>
      </c>
      <c r="H109" t="e">
        <f>_xlfn.XLOOKUP(G109,Models!A:A,Models!B:B)</f>
        <v>#N/A</v>
      </c>
      <c r="I109" t="e">
        <f>_xlfn.XLOOKUP(G109,Models!A:A,Models!E:E)</f>
        <v>#N/A</v>
      </c>
      <c r="J109" t="e">
        <f>_xlfn.XLOOKUP(G109,Models!A:A,Models!D:D)</f>
        <v>#N/A</v>
      </c>
      <c r="K109">
        <f>MacReports!F109</f>
        <v>0</v>
      </c>
      <c r="L109">
        <f>MacReports!G109</f>
        <v>0</v>
      </c>
      <c r="M109" s="15" t="e" cm="1">
        <f t="array" ref="M109">--_xlfn.LET(
    _xlpm.txt, MacReports!H109,
    _xlpm.chars, MID(_xlpm.txt, _xlfn.SEQUENCE(LEN(_xlpm.txt)), 1),
    _xlfn.TEXTJOIN("", TRUE, IF(ISNUMBER(--_xlpm.chars), _xlpm.chars, ""))
)</f>
        <v>#VALUE!</v>
      </c>
      <c r="N109" s="16" t="str" cm="1">
        <f t="array" ref="N109">_xlfn.IFS(
   --MacReports!M109&lt;55,"Battery Defect",
  -- MacReports!M109&lt;=69,"Battery D",
  --MacReports!M109&lt;=80,"Battery C",
 --MacReports!M109&gt;80,""
)</f>
        <v>Battery Defect</v>
      </c>
      <c r="O109" s="16" t="str">
        <f>IF(MacReports!I109="Service","Battery Service","")</f>
        <v/>
      </c>
      <c r="P109" s="13">
        <f>MacReports!P109</f>
        <v>0</v>
      </c>
      <c r="Q109" s="13" t="str">
        <f>IF(MacReports!J109="Enabled","Apple ID Lock","")</f>
        <v/>
      </c>
      <c r="R109" s="13" t="str">
        <f>IF(MacReports!L109="y","Remote Locked","")</f>
        <v/>
      </c>
      <c r="S109" t="str">
        <f t="shared" si="5"/>
        <v>Battery Defect, 0</v>
      </c>
      <c r="T109" t="str">
        <f>_xlfn.XLOOKUP(B109,Disk_Pivot!G:G,Disk_Pivot!I:I)</f>
        <v>Yes x2</v>
      </c>
      <c r="U109" t="str">
        <f>_xlfn.XLOOKUP(B109,Disk_Pivot!G:G,Disk_Pivot!N:N)</f>
        <v>Pass, Fail</v>
      </c>
      <c r="V109" t="str">
        <f>IF(U109="Fail",MacReports!N109,"")</f>
        <v/>
      </c>
      <c r="AB109" t="str">
        <f t="shared" si="6"/>
        <v/>
      </c>
    </row>
    <row r="110" spans="1:28">
      <c r="A110" t="str">
        <f>MacReports!A110</f>
        <v/>
      </c>
      <c r="B110">
        <f>MacReports!B110</f>
        <v>0</v>
      </c>
      <c r="C110">
        <f>MacReports!C110</f>
        <v>0</v>
      </c>
      <c r="E110" t="e">
        <f>_xlfn.XLOOKUP(G110,Models!A:A,Models!F:F)</f>
        <v>#N/A</v>
      </c>
      <c r="F110" t="str">
        <f>_xlfn.XLOOKUP(B110,MacReports!B:B,MacReports!D:D,"")</f>
        <v/>
      </c>
      <c r="G110" s="13">
        <f>MacReports!E110</f>
        <v>0</v>
      </c>
      <c r="H110" t="e">
        <f>_xlfn.XLOOKUP(G110,Models!A:A,Models!B:B)</f>
        <v>#N/A</v>
      </c>
      <c r="I110" t="e">
        <f>_xlfn.XLOOKUP(G110,Models!A:A,Models!E:E)</f>
        <v>#N/A</v>
      </c>
      <c r="J110" t="e">
        <f>_xlfn.XLOOKUP(G110,Models!A:A,Models!D:D)</f>
        <v>#N/A</v>
      </c>
      <c r="K110">
        <f>MacReports!F110</f>
        <v>0</v>
      </c>
      <c r="L110">
        <f>MacReports!G110</f>
        <v>0</v>
      </c>
      <c r="M110" s="15" t="e" cm="1">
        <f t="array" ref="M110">--_xlfn.LET(
    _xlpm.txt, MacReports!H110,
    _xlpm.chars, MID(_xlpm.txt, _xlfn.SEQUENCE(LEN(_xlpm.txt)), 1),
    _xlfn.TEXTJOIN("", TRUE, IF(ISNUMBER(--_xlpm.chars), _xlpm.chars, ""))
)</f>
        <v>#VALUE!</v>
      </c>
      <c r="N110" s="16" t="str" cm="1">
        <f t="array" ref="N110">_xlfn.IFS(
   --MacReports!M110&lt;55,"Battery Defect",
  -- MacReports!M110&lt;=69,"Battery D",
  --MacReports!M110&lt;=80,"Battery C",
 --MacReports!M110&gt;80,""
)</f>
        <v>Battery Defect</v>
      </c>
      <c r="O110" s="16" t="str">
        <f>IF(MacReports!I110="Service","Battery Service","")</f>
        <v/>
      </c>
      <c r="P110" s="13">
        <f>MacReports!P110</f>
        <v>0</v>
      </c>
      <c r="Q110" s="13" t="str">
        <f>IF(MacReports!J110="Enabled","Apple ID Lock","")</f>
        <v/>
      </c>
      <c r="R110" s="13" t="str">
        <f>IF(MacReports!L110="y","Remote Locked","")</f>
        <v/>
      </c>
      <c r="S110" t="str">
        <f t="shared" si="5"/>
        <v>Battery Defect, 0</v>
      </c>
      <c r="T110" t="str">
        <f>_xlfn.XLOOKUP(B110,Disk_Pivot!G:G,Disk_Pivot!I:I)</f>
        <v>Yes x2</v>
      </c>
      <c r="U110" t="str">
        <f>_xlfn.XLOOKUP(B110,Disk_Pivot!G:G,Disk_Pivot!N:N)</f>
        <v>Pass, Fail</v>
      </c>
      <c r="V110" t="str">
        <f>IF(U110="Fail",MacReports!N110,"")</f>
        <v/>
      </c>
      <c r="AB110" t="str">
        <f t="shared" si="6"/>
        <v/>
      </c>
    </row>
    <row r="111" spans="1:28">
      <c r="A111" t="str">
        <f>MacReports!A111</f>
        <v/>
      </c>
      <c r="B111">
        <f>MacReports!B111</f>
        <v>0</v>
      </c>
      <c r="C111">
        <f>MacReports!C111</f>
        <v>0</v>
      </c>
      <c r="E111" t="e">
        <f>_xlfn.XLOOKUP(G111,Models!A:A,Models!F:F)</f>
        <v>#N/A</v>
      </c>
      <c r="F111" t="str">
        <f>_xlfn.XLOOKUP(B111,MacReports!B:B,MacReports!D:D,"")</f>
        <v/>
      </c>
      <c r="G111" s="13">
        <f>MacReports!E111</f>
        <v>0</v>
      </c>
      <c r="H111" t="e">
        <f>_xlfn.XLOOKUP(G111,Models!A:A,Models!B:B)</f>
        <v>#N/A</v>
      </c>
      <c r="I111" t="e">
        <f>_xlfn.XLOOKUP(G111,Models!A:A,Models!E:E)</f>
        <v>#N/A</v>
      </c>
      <c r="J111" t="e">
        <f>_xlfn.XLOOKUP(G111,Models!A:A,Models!D:D)</f>
        <v>#N/A</v>
      </c>
      <c r="K111">
        <f>MacReports!F111</f>
        <v>0</v>
      </c>
      <c r="L111">
        <f>MacReports!G111</f>
        <v>0</v>
      </c>
      <c r="M111" s="15" t="e" cm="1">
        <f t="array" ref="M111">--_xlfn.LET(
    _xlpm.txt, MacReports!H111,
    _xlpm.chars, MID(_xlpm.txt, _xlfn.SEQUENCE(LEN(_xlpm.txt)), 1),
    _xlfn.TEXTJOIN("", TRUE, IF(ISNUMBER(--_xlpm.chars), _xlpm.chars, ""))
)</f>
        <v>#VALUE!</v>
      </c>
      <c r="N111" s="16" t="str" cm="1">
        <f t="array" ref="N111">_xlfn.IFS(
   --MacReports!M111&lt;55,"Battery Defect",
  -- MacReports!M111&lt;=69,"Battery D",
  --MacReports!M111&lt;=80,"Battery C",
 --MacReports!M111&gt;80,""
)</f>
        <v>Battery Defect</v>
      </c>
      <c r="O111" s="16" t="str">
        <f>IF(MacReports!I111="Service","Battery Service","")</f>
        <v/>
      </c>
      <c r="P111" s="13">
        <f>MacReports!P111</f>
        <v>0</v>
      </c>
      <c r="Q111" s="13" t="str">
        <f>IF(MacReports!J111="Enabled","Apple ID Lock","")</f>
        <v/>
      </c>
      <c r="R111" s="13" t="str">
        <f>IF(MacReports!L111="y","Remote Locked","")</f>
        <v/>
      </c>
      <c r="S111" t="str">
        <f t="shared" si="5"/>
        <v>Battery Defect, 0</v>
      </c>
      <c r="T111" t="str">
        <f>_xlfn.XLOOKUP(B111,Disk_Pivot!G:G,Disk_Pivot!I:I)</f>
        <v>Yes x2</v>
      </c>
      <c r="U111" t="str">
        <f>_xlfn.XLOOKUP(B111,Disk_Pivot!G:G,Disk_Pivot!N:N)</f>
        <v>Pass, Fail</v>
      </c>
      <c r="V111" t="str">
        <f>IF(U111="Fail",MacReports!N111,"")</f>
        <v/>
      </c>
      <c r="AB111" t="str">
        <f t="shared" si="6"/>
        <v/>
      </c>
    </row>
    <row r="112" spans="1:28">
      <c r="A112" t="str">
        <f>MacReports!A112</f>
        <v/>
      </c>
      <c r="B112">
        <f>MacReports!B112</f>
        <v>0</v>
      </c>
      <c r="C112">
        <f>MacReports!C112</f>
        <v>0</v>
      </c>
      <c r="E112" t="e">
        <f>_xlfn.XLOOKUP(G112,Models!A:A,Models!F:F)</f>
        <v>#N/A</v>
      </c>
      <c r="F112" t="str">
        <f>_xlfn.XLOOKUP(B112,MacReports!B:B,MacReports!D:D,"")</f>
        <v/>
      </c>
      <c r="G112" s="13">
        <f>MacReports!E112</f>
        <v>0</v>
      </c>
      <c r="H112" t="e">
        <f>_xlfn.XLOOKUP(G112,Models!A:A,Models!B:B)</f>
        <v>#N/A</v>
      </c>
      <c r="I112" t="e">
        <f>_xlfn.XLOOKUP(G112,Models!A:A,Models!E:E)</f>
        <v>#N/A</v>
      </c>
      <c r="J112" t="e">
        <f>_xlfn.XLOOKUP(G112,Models!A:A,Models!D:D)</f>
        <v>#N/A</v>
      </c>
      <c r="K112">
        <f>MacReports!F112</f>
        <v>0</v>
      </c>
      <c r="L112">
        <f>MacReports!G112</f>
        <v>0</v>
      </c>
      <c r="M112" s="15" t="e" cm="1">
        <f t="array" ref="M112">--_xlfn.LET(
    _xlpm.txt, MacReports!H112,
    _xlpm.chars, MID(_xlpm.txt, _xlfn.SEQUENCE(LEN(_xlpm.txt)), 1),
    _xlfn.TEXTJOIN("", TRUE, IF(ISNUMBER(--_xlpm.chars), _xlpm.chars, ""))
)</f>
        <v>#VALUE!</v>
      </c>
      <c r="N112" s="16" t="str" cm="1">
        <f t="array" ref="N112">_xlfn.IFS(
   --MacReports!M112&lt;55,"Battery Defect",
  -- MacReports!M112&lt;=69,"Battery D",
  --MacReports!M112&lt;=80,"Battery C",
 --MacReports!M112&gt;80,""
)</f>
        <v>Battery Defect</v>
      </c>
      <c r="O112" s="16" t="str">
        <f>IF(MacReports!I112="Service","Battery Service","")</f>
        <v/>
      </c>
      <c r="P112" s="13">
        <f>MacReports!P112</f>
        <v>0</v>
      </c>
      <c r="Q112" s="13" t="str">
        <f>IF(MacReports!J112="Enabled","Apple ID Lock","")</f>
        <v/>
      </c>
      <c r="R112" s="13" t="str">
        <f>IF(MacReports!L112="y","Remote Locked","")</f>
        <v/>
      </c>
      <c r="S112" t="str">
        <f t="shared" si="5"/>
        <v>Battery Defect, 0</v>
      </c>
      <c r="T112" t="str">
        <f>_xlfn.XLOOKUP(B112,Disk_Pivot!G:G,Disk_Pivot!I:I)</f>
        <v>Yes x2</v>
      </c>
      <c r="U112" t="str">
        <f>_xlfn.XLOOKUP(B112,Disk_Pivot!G:G,Disk_Pivot!N:N)</f>
        <v>Pass, Fail</v>
      </c>
      <c r="V112" t="str">
        <f>IF(U112="Fail",MacReports!N112,"")</f>
        <v/>
      </c>
      <c r="AB112" t="str">
        <f t="shared" si="6"/>
        <v/>
      </c>
    </row>
    <row r="113" spans="1:28">
      <c r="A113" t="str">
        <f>MacReports!A113</f>
        <v/>
      </c>
      <c r="B113">
        <f>MacReports!B113</f>
        <v>0</v>
      </c>
      <c r="C113">
        <f>MacReports!C113</f>
        <v>0</v>
      </c>
      <c r="E113" t="e">
        <f>_xlfn.XLOOKUP(G113,Models!A:A,Models!F:F)</f>
        <v>#N/A</v>
      </c>
      <c r="F113" t="str">
        <f>_xlfn.XLOOKUP(B113,MacReports!B:B,MacReports!D:D,"")</f>
        <v/>
      </c>
      <c r="G113" s="13">
        <f>MacReports!E113</f>
        <v>0</v>
      </c>
      <c r="H113" t="e">
        <f>_xlfn.XLOOKUP(G113,Models!A:A,Models!B:B)</f>
        <v>#N/A</v>
      </c>
      <c r="I113" t="e">
        <f>_xlfn.XLOOKUP(G113,Models!A:A,Models!E:E)</f>
        <v>#N/A</v>
      </c>
      <c r="J113" t="e">
        <f>_xlfn.XLOOKUP(G113,Models!A:A,Models!D:D)</f>
        <v>#N/A</v>
      </c>
      <c r="K113">
        <f>MacReports!F113</f>
        <v>0</v>
      </c>
      <c r="L113">
        <f>MacReports!G113</f>
        <v>0</v>
      </c>
      <c r="M113" s="15" t="e" cm="1">
        <f t="array" ref="M113">--_xlfn.LET(
    _xlpm.txt, MacReports!H113,
    _xlpm.chars, MID(_xlpm.txt, _xlfn.SEQUENCE(LEN(_xlpm.txt)), 1),
    _xlfn.TEXTJOIN("", TRUE, IF(ISNUMBER(--_xlpm.chars), _xlpm.chars, ""))
)</f>
        <v>#VALUE!</v>
      </c>
      <c r="N113" s="16" t="str" cm="1">
        <f t="array" ref="N113">_xlfn.IFS(
   --MacReports!M113&lt;55,"Battery Defect",
  -- MacReports!M113&lt;=69,"Battery D",
  --MacReports!M113&lt;=80,"Battery C",
 --MacReports!M113&gt;80,""
)</f>
        <v>Battery Defect</v>
      </c>
      <c r="O113" s="16" t="str">
        <f>IF(MacReports!I113="Service","Battery Service","")</f>
        <v/>
      </c>
      <c r="P113" s="13">
        <f>MacReports!P113</f>
        <v>0</v>
      </c>
      <c r="Q113" s="13" t="str">
        <f>IF(MacReports!J113="Enabled","Apple ID Lock","")</f>
        <v/>
      </c>
      <c r="R113" s="13" t="str">
        <f>IF(MacReports!L113="y","Remote Locked","")</f>
        <v/>
      </c>
      <c r="S113" t="str">
        <f t="shared" si="5"/>
        <v>Battery Defect, 0</v>
      </c>
      <c r="T113" t="str">
        <f>_xlfn.XLOOKUP(B113,Disk_Pivot!G:G,Disk_Pivot!I:I)</f>
        <v>Yes x2</v>
      </c>
      <c r="U113" t="str">
        <f>_xlfn.XLOOKUP(B113,Disk_Pivot!G:G,Disk_Pivot!N:N)</f>
        <v>Pass, Fail</v>
      </c>
      <c r="V113" t="str">
        <f>IF(U113="Fail",MacReports!N113,"")</f>
        <v/>
      </c>
      <c r="AB113" t="str">
        <f t="shared" si="6"/>
        <v/>
      </c>
    </row>
    <row r="114" spans="1:28">
      <c r="A114" t="str">
        <f>MacReports!A114</f>
        <v/>
      </c>
      <c r="B114">
        <f>MacReports!B114</f>
        <v>0</v>
      </c>
      <c r="C114">
        <f>MacReports!C114</f>
        <v>0</v>
      </c>
      <c r="E114" t="e">
        <f>_xlfn.XLOOKUP(G114,Models!A:A,Models!F:F)</f>
        <v>#N/A</v>
      </c>
      <c r="F114" t="str">
        <f>_xlfn.XLOOKUP(B114,MacReports!B:B,MacReports!D:D,"")</f>
        <v/>
      </c>
      <c r="G114" s="13">
        <f>MacReports!E114</f>
        <v>0</v>
      </c>
      <c r="H114" t="e">
        <f>_xlfn.XLOOKUP(G114,Models!A:A,Models!B:B)</f>
        <v>#N/A</v>
      </c>
      <c r="I114" t="e">
        <f>_xlfn.XLOOKUP(G114,Models!A:A,Models!E:E)</f>
        <v>#N/A</v>
      </c>
      <c r="J114" t="e">
        <f>_xlfn.XLOOKUP(G114,Models!A:A,Models!D:D)</f>
        <v>#N/A</v>
      </c>
      <c r="K114">
        <f>MacReports!F114</f>
        <v>0</v>
      </c>
      <c r="L114">
        <f>MacReports!G114</f>
        <v>0</v>
      </c>
      <c r="M114" s="15" t="e" cm="1">
        <f t="array" ref="M114">--_xlfn.LET(
    _xlpm.txt, MacReports!H114,
    _xlpm.chars, MID(_xlpm.txt, _xlfn.SEQUENCE(LEN(_xlpm.txt)), 1),
    _xlfn.TEXTJOIN("", TRUE, IF(ISNUMBER(--_xlpm.chars), _xlpm.chars, ""))
)</f>
        <v>#VALUE!</v>
      </c>
      <c r="N114" s="16" t="str" cm="1">
        <f t="array" ref="N114">_xlfn.IFS(
   --MacReports!M114&lt;55,"Battery Defect",
  -- MacReports!M114&lt;=69,"Battery D",
  --MacReports!M114&lt;=80,"Battery C",
 --MacReports!M114&gt;80,""
)</f>
        <v>Battery Defect</v>
      </c>
      <c r="O114" s="16" t="str">
        <f>IF(MacReports!I114="Service","Battery Service","")</f>
        <v/>
      </c>
      <c r="P114" s="13">
        <f>MacReports!P114</f>
        <v>0</v>
      </c>
      <c r="Q114" s="13" t="str">
        <f>IF(MacReports!J114="Enabled","Apple ID Lock","")</f>
        <v/>
      </c>
      <c r="R114" s="13" t="str">
        <f>IF(MacReports!L114="y","Remote Locked","")</f>
        <v/>
      </c>
      <c r="S114" t="str">
        <f t="shared" si="5"/>
        <v>Battery Defect, 0</v>
      </c>
      <c r="T114" t="str">
        <f>_xlfn.XLOOKUP(B114,Disk_Pivot!G:G,Disk_Pivot!I:I)</f>
        <v>Yes x2</v>
      </c>
      <c r="U114" t="str">
        <f>_xlfn.XLOOKUP(B114,Disk_Pivot!G:G,Disk_Pivot!N:N)</f>
        <v>Pass, Fail</v>
      </c>
      <c r="V114" t="str">
        <f>IF(U114="Fail",MacReports!N114,"")</f>
        <v/>
      </c>
      <c r="AB114" t="str">
        <f t="shared" si="6"/>
        <v/>
      </c>
    </row>
    <row r="115" spans="1:28">
      <c r="A115" t="str">
        <f>MacReports!A115</f>
        <v/>
      </c>
      <c r="B115">
        <f>MacReports!B115</f>
        <v>0</v>
      </c>
      <c r="C115">
        <f>MacReports!C115</f>
        <v>0</v>
      </c>
      <c r="E115" t="e">
        <f>_xlfn.XLOOKUP(G115,Models!A:A,Models!F:F)</f>
        <v>#N/A</v>
      </c>
      <c r="F115" t="str">
        <f>_xlfn.XLOOKUP(B115,MacReports!B:B,MacReports!D:D,"")</f>
        <v/>
      </c>
      <c r="G115" s="13">
        <f>MacReports!E115</f>
        <v>0</v>
      </c>
      <c r="H115" t="e">
        <f>_xlfn.XLOOKUP(G115,Models!A:A,Models!B:B)</f>
        <v>#N/A</v>
      </c>
      <c r="I115" t="e">
        <f>_xlfn.XLOOKUP(G115,Models!A:A,Models!E:E)</f>
        <v>#N/A</v>
      </c>
      <c r="J115" t="e">
        <f>_xlfn.XLOOKUP(G115,Models!A:A,Models!D:D)</f>
        <v>#N/A</v>
      </c>
      <c r="K115">
        <f>MacReports!F115</f>
        <v>0</v>
      </c>
      <c r="L115">
        <f>MacReports!G115</f>
        <v>0</v>
      </c>
      <c r="M115" s="15" t="e" cm="1">
        <f t="array" ref="M115">--_xlfn.LET(
    _xlpm.txt, MacReports!H115,
    _xlpm.chars, MID(_xlpm.txt, _xlfn.SEQUENCE(LEN(_xlpm.txt)), 1),
    _xlfn.TEXTJOIN("", TRUE, IF(ISNUMBER(--_xlpm.chars), _xlpm.chars, ""))
)</f>
        <v>#VALUE!</v>
      </c>
      <c r="N115" s="16" t="str" cm="1">
        <f t="array" ref="N115">_xlfn.IFS(
   --MacReports!M115&lt;55,"Battery Defect",
  -- MacReports!M115&lt;=69,"Battery D",
  --MacReports!M115&lt;=80,"Battery C",
 --MacReports!M115&gt;80,""
)</f>
        <v>Battery Defect</v>
      </c>
      <c r="O115" s="16" t="str">
        <f>IF(MacReports!I115="Service","Battery Service","")</f>
        <v/>
      </c>
      <c r="P115" s="13">
        <f>MacReports!P115</f>
        <v>0</v>
      </c>
      <c r="Q115" s="13" t="str">
        <f>IF(MacReports!J115="Enabled","Apple ID Lock","")</f>
        <v/>
      </c>
      <c r="R115" s="13" t="str">
        <f>IF(MacReports!L115="y","Remote Locked","")</f>
        <v/>
      </c>
      <c r="S115" t="str">
        <f t="shared" si="5"/>
        <v>Battery Defect, 0</v>
      </c>
      <c r="T115" t="str">
        <f>_xlfn.XLOOKUP(B115,Disk_Pivot!G:G,Disk_Pivot!I:I)</f>
        <v>Yes x2</v>
      </c>
      <c r="U115" t="str">
        <f>_xlfn.XLOOKUP(B115,Disk_Pivot!G:G,Disk_Pivot!N:N)</f>
        <v>Pass, Fail</v>
      </c>
      <c r="V115" t="str">
        <f>IF(U115="Fail",MacReports!N115,"")</f>
        <v/>
      </c>
      <c r="AB115" t="str">
        <f t="shared" si="6"/>
        <v/>
      </c>
    </row>
    <row r="116" spans="1:28">
      <c r="A116" t="str">
        <f>MacReports!A116</f>
        <v/>
      </c>
      <c r="B116">
        <f>MacReports!B116</f>
        <v>0</v>
      </c>
      <c r="C116">
        <f>MacReports!C116</f>
        <v>0</v>
      </c>
      <c r="E116" t="e">
        <f>_xlfn.XLOOKUP(G116,Models!A:A,Models!F:F)</f>
        <v>#N/A</v>
      </c>
      <c r="F116" t="str">
        <f>_xlfn.XLOOKUP(B116,MacReports!B:B,MacReports!D:D,"")</f>
        <v/>
      </c>
      <c r="G116" s="13">
        <f>MacReports!E116</f>
        <v>0</v>
      </c>
      <c r="H116" t="e">
        <f>_xlfn.XLOOKUP(G116,Models!A:A,Models!B:B)</f>
        <v>#N/A</v>
      </c>
      <c r="I116" t="e">
        <f>_xlfn.XLOOKUP(G116,Models!A:A,Models!E:E)</f>
        <v>#N/A</v>
      </c>
      <c r="J116" t="e">
        <f>_xlfn.XLOOKUP(G116,Models!A:A,Models!D:D)</f>
        <v>#N/A</v>
      </c>
      <c r="K116">
        <f>MacReports!F116</f>
        <v>0</v>
      </c>
      <c r="L116">
        <f>MacReports!G116</f>
        <v>0</v>
      </c>
      <c r="M116" s="15" t="e" cm="1">
        <f t="array" ref="M116">--_xlfn.LET(
    _xlpm.txt, MacReports!H116,
    _xlpm.chars, MID(_xlpm.txt, _xlfn.SEQUENCE(LEN(_xlpm.txt)), 1),
    _xlfn.TEXTJOIN("", TRUE, IF(ISNUMBER(--_xlpm.chars), _xlpm.chars, ""))
)</f>
        <v>#VALUE!</v>
      </c>
      <c r="N116" s="16" t="str" cm="1">
        <f t="array" ref="N116">_xlfn.IFS(
   --MacReports!M116&lt;55,"Battery Defect",
  -- MacReports!M116&lt;=69,"Battery D",
  --MacReports!M116&lt;=80,"Battery C",
 --MacReports!M116&gt;80,""
)</f>
        <v>Battery Defect</v>
      </c>
      <c r="O116" s="16" t="str">
        <f>IF(MacReports!I116="Service","Battery Service","")</f>
        <v/>
      </c>
      <c r="P116" s="13">
        <f>MacReports!P116</f>
        <v>0</v>
      </c>
      <c r="Q116" s="13" t="str">
        <f>IF(MacReports!J116="Enabled","Apple ID Lock","")</f>
        <v/>
      </c>
      <c r="R116" s="13" t="str">
        <f>IF(MacReports!L116="y","Remote Locked","")</f>
        <v/>
      </c>
      <c r="S116" t="str">
        <f t="shared" si="5"/>
        <v>Battery Defect, 0</v>
      </c>
      <c r="T116" t="str">
        <f>_xlfn.XLOOKUP(B116,Disk_Pivot!G:G,Disk_Pivot!I:I)</f>
        <v>Yes x2</v>
      </c>
      <c r="U116" t="str">
        <f>_xlfn.XLOOKUP(B116,Disk_Pivot!G:G,Disk_Pivot!N:N)</f>
        <v>Pass, Fail</v>
      </c>
      <c r="V116" t="str">
        <f>IF(U116="Fail",MacReports!N116,"")</f>
        <v/>
      </c>
      <c r="AB116" t="str">
        <f t="shared" si="6"/>
        <v/>
      </c>
    </row>
    <row r="117" spans="1:28">
      <c r="A117" t="str">
        <f>MacReports!A117</f>
        <v/>
      </c>
      <c r="B117">
        <f>MacReports!B117</f>
        <v>0</v>
      </c>
      <c r="C117">
        <f>MacReports!C117</f>
        <v>0</v>
      </c>
      <c r="E117" t="e">
        <f>_xlfn.XLOOKUP(G117,Models!A:A,Models!F:F)</f>
        <v>#N/A</v>
      </c>
      <c r="F117" t="str">
        <f>_xlfn.XLOOKUP(B117,MacReports!B:B,MacReports!D:D,"")</f>
        <v/>
      </c>
      <c r="G117" s="13">
        <f>MacReports!E117</f>
        <v>0</v>
      </c>
      <c r="H117" t="e">
        <f>_xlfn.XLOOKUP(G117,Models!A:A,Models!B:B)</f>
        <v>#N/A</v>
      </c>
      <c r="I117" t="e">
        <f>_xlfn.XLOOKUP(G117,Models!A:A,Models!E:E)</f>
        <v>#N/A</v>
      </c>
      <c r="J117" t="e">
        <f>_xlfn.XLOOKUP(G117,Models!A:A,Models!D:D)</f>
        <v>#N/A</v>
      </c>
      <c r="K117">
        <f>MacReports!F117</f>
        <v>0</v>
      </c>
      <c r="L117">
        <f>MacReports!G117</f>
        <v>0</v>
      </c>
      <c r="M117" s="15" t="e" cm="1">
        <f t="array" ref="M117">--_xlfn.LET(
    _xlpm.txt, MacReports!H117,
    _xlpm.chars, MID(_xlpm.txt, _xlfn.SEQUENCE(LEN(_xlpm.txt)), 1),
    _xlfn.TEXTJOIN("", TRUE, IF(ISNUMBER(--_xlpm.chars), _xlpm.chars, ""))
)</f>
        <v>#VALUE!</v>
      </c>
      <c r="N117" s="16" t="str" cm="1">
        <f t="array" ref="N117">_xlfn.IFS(
   --MacReports!M117&lt;55,"Battery Defect",
  -- MacReports!M117&lt;=69,"Battery D",
  --MacReports!M117&lt;=80,"Battery C",
 --MacReports!M117&gt;80,""
)</f>
        <v>Battery Defect</v>
      </c>
      <c r="O117" s="16" t="str">
        <f>IF(MacReports!I117="Service","Battery Service","")</f>
        <v/>
      </c>
      <c r="P117" s="13">
        <f>MacReports!P117</f>
        <v>0</v>
      </c>
      <c r="Q117" s="13" t="str">
        <f>IF(MacReports!J117="Enabled","Apple ID Lock","")</f>
        <v/>
      </c>
      <c r="R117" s="13" t="str">
        <f>IF(MacReports!L117="y","Remote Locked","")</f>
        <v/>
      </c>
      <c r="S117" t="str">
        <f t="shared" si="5"/>
        <v>Battery Defect, 0</v>
      </c>
      <c r="T117" t="str">
        <f>_xlfn.XLOOKUP(B117,Disk_Pivot!G:G,Disk_Pivot!I:I)</f>
        <v>Yes x2</v>
      </c>
      <c r="U117" t="str">
        <f>_xlfn.XLOOKUP(B117,Disk_Pivot!G:G,Disk_Pivot!N:N)</f>
        <v>Pass, Fail</v>
      </c>
      <c r="V117" t="str">
        <f>IF(U117="Fail",MacReports!N117,"")</f>
        <v/>
      </c>
      <c r="AB117" t="str">
        <f t="shared" si="6"/>
        <v/>
      </c>
    </row>
    <row r="118" spans="1:28">
      <c r="A118" t="str">
        <f>MacReports!A118</f>
        <v/>
      </c>
      <c r="B118">
        <f>MacReports!B118</f>
        <v>0</v>
      </c>
      <c r="C118">
        <f>MacReports!C118</f>
        <v>0</v>
      </c>
      <c r="E118" t="e">
        <f>_xlfn.XLOOKUP(G118,Models!A:A,Models!F:F)</f>
        <v>#N/A</v>
      </c>
      <c r="F118" t="str">
        <f>_xlfn.XLOOKUP(B118,MacReports!B:B,MacReports!D:D,"")</f>
        <v/>
      </c>
      <c r="G118" s="13">
        <f>MacReports!E118</f>
        <v>0</v>
      </c>
      <c r="H118" t="e">
        <f>_xlfn.XLOOKUP(G118,Models!A:A,Models!B:B)</f>
        <v>#N/A</v>
      </c>
      <c r="I118" t="e">
        <f>_xlfn.XLOOKUP(G118,Models!A:A,Models!E:E)</f>
        <v>#N/A</v>
      </c>
      <c r="J118" t="e">
        <f>_xlfn.XLOOKUP(G118,Models!A:A,Models!D:D)</f>
        <v>#N/A</v>
      </c>
      <c r="K118">
        <f>MacReports!F118</f>
        <v>0</v>
      </c>
      <c r="L118">
        <f>MacReports!G118</f>
        <v>0</v>
      </c>
      <c r="M118" s="15" t="e" cm="1">
        <f t="array" ref="M118">--_xlfn.LET(
    _xlpm.txt, MacReports!H118,
    _xlpm.chars, MID(_xlpm.txt, _xlfn.SEQUENCE(LEN(_xlpm.txt)), 1),
    _xlfn.TEXTJOIN("", TRUE, IF(ISNUMBER(--_xlpm.chars), _xlpm.chars, ""))
)</f>
        <v>#VALUE!</v>
      </c>
      <c r="N118" s="16" t="str" cm="1">
        <f t="array" ref="N118">_xlfn.IFS(
   --MacReports!M118&lt;55,"Battery Defect",
  -- MacReports!M118&lt;=69,"Battery D",
  --MacReports!M118&lt;=80,"Battery C",
 --MacReports!M118&gt;80,""
)</f>
        <v>Battery Defect</v>
      </c>
      <c r="O118" s="16" t="str">
        <f>IF(MacReports!I118="Service","Battery Service","")</f>
        <v/>
      </c>
      <c r="P118" s="13">
        <f>MacReports!P118</f>
        <v>0</v>
      </c>
      <c r="Q118" s="13" t="str">
        <f>IF(MacReports!J118="Enabled","Apple ID Lock","")</f>
        <v/>
      </c>
      <c r="R118" s="13" t="str">
        <f>IF(MacReports!L118="y","Remote Locked","")</f>
        <v/>
      </c>
      <c r="S118" t="str">
        <f t="shared" si="5"/>
        <v>Battery Defect, 0</v>
      </c>
      <c r="T118" t="str">
        <f>_xlfn.XLOOKUP(B118,Disk_Pivot!G:G,Disk_Pivot!I:I)</f>
        <v>Yes x2</v>
      </c>
      <c r="U118" t="str">
        <f>_xlfn.XLOOKUP(B118,Disk_Pivot!G:G,Disk_Pivot!N:N)</f>
        <v>Pass, Fail</v>
      </c>
      <c r="V118" t="str">
        <f>IF(U118="Fail",MacReports!N118,"")</f>
        <v/>
      </c>
      <c r="AB118" t="str">
        <f t="shared" si="6"/>
        <v/>
      </c>
    </row>
    <row r="119" spans="1:28">
      <c r="A119" t="str">
        <f>MacReports!A119</f>
        <v/>
      </c>
      <c r="B119">
        <f>MacReports!B119</f>
        <v>0</v>
      </c>
      <c r="C119">
        <f>MacReports!C119</f>
        <v>0</v>
      </c>
      <c r="E119" t="e">
        <f>_xlfn.XLOOKUP(G119,Models!A:A,Models!F:F)</f>
        <v>#N/A</v>
      </c>
      <c r="F119" t="str">
        <f>_xlfn.XLOOKUP(B119,MacReports!B:B,MacReports!D:D,"")</f>
        <v/>
      </c>
      <c r="G119" s="13">
        <f>MacReports!E119</f>
        <v>0</v>
      </c>
      <c r="H119" t="e">
        <f>_xlfn.XLOOKUP(G119,Models!A:A,Models!B:B)</f>
        <v>#N/A</v>
      </c>
      <c r="I119" t="e">
        <f>_xlfn.XLOOKUP(G119,Models!A:A,Models!E:E)</f>
        <v>#N/A</v>
      </c>
      <c r="J119" t="e">
        <f>_xlfn.XLOOKUP(G119,Models!A:A,Models!D:D)</f>
        <v>#N/A</v>
      </c>
      <c r="K119">
        <f>MacReports!F119</f>
        <v>0</v>
      </c>
      <c r="L119">
        <f>MacReports!G119</f>
        <v>0</v>
      </c>
      <c r="M119" s="15" t="e" cm="1">
        <f t="array" ref="M119">--_xlfn.LET(
    _xlpm.txt, MacReports!H119,
    _xlpm.chars, MID(_xlpm.txt, _xlfn.SEQUENCE(LEN(_xlpm.txt)), 1),
    _xlfn.TEXTJOIN("", TRUE, IF(ISNUMBER(--_xlpm.chars), _xlpm.chars, ""))
)</f>
        <v>#VALUE!</v>
      </c>
      <c r="N119" s="16" t="str" cm="1">
        <f t="array" ref="N119">_xlfn.IFS(
   --MacReports!M119&lt;55,"Battery Defect",
  -- MacReports!M119&lt;=69,"Battery D",
  --MacReports!M119&lt;=80,"Battery C",
 --MacReports!M119&gt;80,""
)</f>
        <v>Battery Defect</v>
      </c>
      <c r="O119" s="16" t="str">
        <f>IF(MacReports!I119="Service","Battery Service","")</f>
        <v/>
      </c>
      <c r="P119" s="13">
        <f>MacReports!P119</f>
        <v>0</v>
      </c>
      <c r="Q119" s="13" t="str">
        <f>IF(MacReports!J119="Enabled","Apple ID Lock","")</f>
        <v/>
      </c>
      <c r="R119" s="13" t="str">
        <f>IF(MacReports!L119="y","Remote Locked","")</f>
        <v/>
      </c>
      <c r="S119" t="str">
        <f t="shared" si="5"/>
        <v>Battery Defect, 0</v>
      </c>
      <c r="T119" t="str">
        <f>_xlfn.XLOOKUP(B119,Disk_Pivot!G:G,Disk_Pivot!I:I)</f>
        <v>Yes x2</v>
      </c>
      <c r="U119" t="str">
        <f>_xlfn.XLOOKUP(B119,Disk_Pivot!G:G,Disk_Pivot!N:N)</f>
        <v>Pass, Fail</v>
      </c>
      <c r="V119" t="str">
        <f>IF(U119="Fail",MacReports!N119,"")</f>
        <v/>
      </c>
      <c r="AB119" t="str">
        <f t="shared" si="6"/>
        <v/>
      </c>
    </row>
    <row r="120" spans="1:28">
      <c r="A120" t="str">
        <f>MacReports!A120</f>
        <v/>
      </c>
      <c r="B120">
        <f>MacReports!B120</f>
        <v>0</v>
      </c>
      <c r="C120">
        <f>MacReports!C120</f>
        <v>0</v>
      </c>
      <c r="E120" t="e">
        <f>_xlfn.XLOOKUP(G120,Models!A:A,Models!F:F)</f>
        <v>#N/A</v>
      </c>
      <c r="F120" t="str">
        <f>_xlfn.XLOOKUP(B120,MacReports!B:B,MacReports!D:D,"")</f>
        <v/>
      </c>
      <c r="G120" s="13">
        <f>MacReports!E120</f>
        <v>0</v>
      </c>
      <c r="H120" t="e">
        <f>_xlfn.XLOOKUP(G120,Models!A:A,Models!B:B)</f>
        <v>#N/A</v>
      </c>
      <c r="I120" t="e">
        <f>_xlfn.XLOOKUP(G120,Models!A:A,Models!E:E)</f>
        <v>#N/A</v>
      </c>
      <c r="J120" t="e">
        <f>_xlfn.XLOOKUP(G120,Models!A:A,Models!D:D)</f>
        <v>#N/A</v>
      </c>
      <c r="K120">
        <f>MacReports!F120</f>
        <v>0</v>
      </c>
      <c r="L120">
        <f>MacReports!G120</f>
        <v>0</v>
      </c>
      <c r="M120" s="15" t="e" cm="1">
        <f t="array" ref="M120">--_xlfn.LET(
    _xlpm.txt, MacReports!H120,
    _xlpm.chars, MID(_xlpm.txt, _xlfn.SEQUENCE(LEN(_xlpm.txt)), 1),
    _xlfn.TEXTJOIN("", TRUE, IF(ISNUMBER(--_xlpm.chars), _xlpm.chars, ""))
)</f>
        <v>#VALUE!</v>
      </c>
      <c r="N120" s="16" t="str" cm="1">
        <f t="array" ref="N120">_xlfn.IFS(
   --MacReports!M120&lt;55,"Battery Defect",
  -- MacReports!M120&lt;=69,"Battery D",
  --MacReports!M120&lt;=80,"Battery C",
 --MacReports!M120&gt;80,""
)</f>
        <v>Battery Defect</v>
      </c>
      <c r="O120" s="16" t="str">
        <f>IF(MacReports!I120="Service","Battery Service","")</f>
        <v/>
      </c>
      <c r="P120" s="13">
        <f>MacReports!P120</f>
        <v>0</v>
      </c>
      <c r="Q120" s="13" t="str">
        <f>IF(MacReports!J120="Enabled","Apple ID Lock","")</f>
        <v/>
      </c>
      <c r="R120" s="13" t="str">
        <f>IF(MacReports!L120="y","Remote Locked","")</f>
        <v/>
      </c>
      <c r="S120" t="str">
        <f t="shared" si="5"/>
        <v>Battery Defect, 0</v>
      </c>
      <c r="T120" t="str">
        <f>_xlfn.XLOOKUP(B120,Disk_Pivot!G:G,Disk_Pivot!I:I)</f>
        <v>Yes x2</v>
      </c>
      <c r="U120" t="str">
        <f>_xlfn.XLOOKUP(B120,Disk_Pivot!G:G,Disk_Pivot!N:N)</f>
        <v>Pass, Fail</v>
      </c>
      <c r="V120" t="str">
        <f>IF(U120="Fail",MacReports!N120,"")</f>
        <v/>
      </c>
      <c r="AB120" t="str">
        <f t="shared" si="6"/>
        <v/>
      </c>
    </row>
    <row r="121" spans="1:28">
      <c r="A121" t="str">
        <f>MacReports!A121</f>
        <v/>
      </c>
      <c r="B121">
        <f>MacReports!B121</f>
        <v>0</v>
      </c>
      <c r="C121">
        <f>MacReports!C121</f>
        <v>0</v>
      </c>
      <c r="E121" t="e">
        <f>_xlfn.XLOOKUP(G121,Models!A:A,Models!F:F)</f>
        <v>#N/A</v>
      </c>
      <c r="F121" t="str">
        <f>_xlfn.XLOOKUP(B121,MacReports!B:B,MacReports!D:D,"")</f>
        <v/>
      </c>
      <c r="G121" s="13">
        <f>MacReports!E121</f>
        <v>0</v>
      </c>
      <c r="H121" t="e">
        <f>_xlfn.XLOOKUP(G121,Models!A:A,Models!B:B)</f>
        <v>#N/A</v>
      </c>
      <c r="I121" t="e">
        <f>_xlfn.XLOOKUP(G121,Models!A:A,Models!E:E)</f>
        <v>#N/A</v>
      </c>
      <c r="J121" t="e">
        <f>_xlfn.XLOOKUP(G121,Models!A:A,Models!D:D)</f>
        <v>#N/A</v>
      </c>
      <c r="K121">
        <f>MacReports!F121</f>
        <v>0</v>
      </c>
      <c r="L121">
        <f>MacReports!G121</f>
        <v>0</v>
      </c>
      <c r="M121" s="15" t="e" cm="1">
        <f t="array" ref="M121">--_xlfn.LET(
    _xlpm.txt, MacReports!H121,
    _xlpm.chars, MID(_xlpm.txt, _xlfn.SEQUENCE(LEN(_xlpm.txt)), 1),
    _xlfn.TEXTJOIN("", TRUE, IF(ISNUMBER(--_xlpm.chars), _xlpm.chars, ""))
)</f>
        <v>#VALUE!</v>
      </c>
      <c r="N121" s="16" t="str" cm="1">
        <f t="array" ref="N121">_xlfn.IFS(
   --MacReports!M121&lt;55,"Battery Defect",
  -- MacReports!M121&lt;=69,"Battery D",
  --MacReports!M121&lt;=80,"Battery C",
 --MacReports!M121&gt;80,""
)</f>
        <v>Battery Defect</v>
      </c>
      <c r="O121" s="16" t="str">
        <f>IF(MacReports!I121="Service","Battery Service","")</f>
        <v/>
      </c>
      <c r="P121" s="13">
        <f>MacReports!P121</f>
        <v>0</v>
      </c>
      <c r="Q121" s="13" t="str">
        <f>IF(MacReports!J121="Enabled","Apple ID Lock","")</f>
        <v/>
      </c>
      <c r="R121" s="13" t="str">
        <f>IF(MacReports!L121="y","Remote Locked","")</f>
        <v/>
      </c>
      <c r="S121" t="str">
        <f t="shared" si="5"/>
        <v>Battery Defect, 0</v>
      </c>
      <c r="T121" t="str">
        <f>_xlfn.XLOOKUP(B121,Disk_Pivot!G:G,Disk_Pivot!I:I)</f>
        <v>Yes x2</v>
      </c>
      <c r="U121" t="str">
        <f>_xlfn.XLOOKUP(B121,Disk_Pivot!G:G,Disk_Pivot!N:N)</f>
        <v>Pass, Fail</v>
      </c>
      <c r="V121" t="str">
        <f>IF(U121="Fail",MacReports!N121,"")</f>
        <v/>
      </c>
      <c r="AB121" t="str">
        <f t="shared" si="6"/>
        <v/>
      </c>
    </row>
    <row r="122" spans="1:28">
      <c r="A122" t="str">
        <f>MacReports!A122</f>
        <v/>
      </c>
      <c r="B122">
        <f>MacReports!B122</f>
        <v>0</v>
      </c>
      <c r="C122">
        <f>MacReports!C122</f>
        <v>0</v>
      </c>
      <c r="E122" t="e">
        <f>_xlfn.XLOOKUP(G122,Models!A:A,Models!F:F)</f>
        <v>#N/A</v>
      </c>
      <c r="F122" t="str">
        <f>_xlfn.XLOOKUP(B122,MacReports!B:B,MacReports!D:D,"")</f>
        <v/>
      </c>
      <c r="G122" s="13">
        <f>MacReports!E122</f>
        <v>0</v>
      </c>
      <c r="H122" t="e">
        <f>_xlfn.XLOOKUP(G122,Models!A:A,Models!B:B)</f>
        <v>#N/A</v>
      </c>
      <c r="I122" t="e">
        <f>_xlfn.XLOOKUP(G122,Models!A:A,Models!E:E)</f>
        <v>#N/A</v>
      </c>
      <c r="J122" t="e">
        <f>_xlfn.XLOOKUP(G122,Models!A:A,Models!D:D)</f>
        <v>#N/A</v>
      </c>
      <c r="K122">
        <f>MacReports!F122</f>
        <v>0</v>
      </c>
      <c r="L122">
        <f>MacReports!G122</f>
        <v>0</v>
      </c>
      <c r="M122" s="15" t="e" cm="1">
        <f t="array" ref="M122">--_xlfn.LET(
    _xlpm.txt, MacReports!H122,
    _xlpm.chars, MID(_xlpm.txt, _xlfn.SEQUENCE(LEN(_xlpm.txt)), 1),
    _xlfn.TEXTJOIN("", TRUE, IF(ISNUMBER(--_xlpm.chars), _xlpm.chars, ""))
)</f>
        <v>#VALUE!</v>
      </c>
      <c r="N122" s="16" t="str" cm="1">
        <f t="array" ref="N122">_xlfn.IFS(
   --MacReports!M122&lt;55,"Battery Defect",
  -- MacReports!M122&lt;=69,"Battery D",
  --MacReports!M122&lt;=80,"Battery C",
 --MacReports!M122&gt;80,""
)</f>
        <v>Battery Defect</v>
      </c>
      <c r="O122" s="16" t="str">
        <f>IF(MacReports!I122="Service","Battery Service","")</f>
        <v/>
      </c>
      <c r="P122" s="13">
        <f>MacReports!P122</f>
        <v>0</v>
      </c>
      <c r="Q122" s="13" t="str">
        <f>IF(MacReports!J122="Enabled","Apple ID Lock","")</f>
        <v/>
      </c>
      <c r="R122" s="13" t="str">
        <f>IF(MacReports!L122="y","Remote Locked","")</f>
        <v/>
      </c>
      <c r="S122" t="str">
        <f t="shared" si="5"/>
        <v>Battery Defect, 0</v>
      </c>
      <c r="T122" t="str">
        <f>_xlfn.XLOOKUP(B122,Disk_Pivot!G:G,Disk_Pivot!I:I)</f>
        <v>Yes x2</v>
      </c>
      <c r="U122" t="str">
        <f>_xlfn.XLOOKUP(B122,Disk_Pivot!G:G,Disk_Pivot!N:N)</f>
        <v>Pass, Fail</v>
      </c>
      <c r="V122" t="str">
        <f>IF(U122="Fail",MacReports!N122,"")</f>
        <v/>
      </c>
      <c r="AB122" t="str">
        <f t="shared" si="6"/>
        <v/>
      </c>
    </row>
    <row r="123" spans="1:28">
      <c r="A123" t="str">
        <f>MacReports!A123</f>
        <v/>
      </c>
      <c r="B123">
        <f>MacReports!B123</f>
        <v>0</v>
      </c>
      <c r="C123">
        <f>MacReports!C123</f>
        <v>0</v>
      </c>
      <c r="E123" t="e">
        <f>_xlfn.XLOOKUP(G123,Models!A:A,Models!F:F)</f>
        <v>#N/A</v>
      </c>
      <c r="F123" t="str">
        <f>_xlfn.XLOOKUP(B123,MacReports!B:B,MacReports!D:D,"")</f>
        <v/>
      </c>
      <c r="G123" s="13">
        <f>MacReports!E123</f>
        <v>0</v>
      </c>
      <c r="H123" t="e">
        <f>_xlfn.XLOOKUP(G123,Models!A:A,Models!B:B)</f>
        <v>#N/A</v>
      </c>
      <c r="I123" t="e">
        <f>_xlfn.XLOOKUP(G123,Models!A:A,Models!E:E)</f>
        <v>#N/A</v>
      </c>
      <c r="J123" t="e">
        <f>_xlfn.XLOOKUP(G123,Models!A:A,Models!D:D)</f>
        <v>#N/A</v>
      </c>
      <c r="K123">
        <f>MacReports!F123</f>
        <v>0</v>
      </c>
      <c r="L123">
        <f>MacReports!G123</f>
        <v>0</v>
      </c>
      <c r="M123" s="15" t="e" cm="1">
        <f t="array" ref="M123">--_xlfn.LET(
    _xlpm.txt, MacReports!H123,
    _xlpm.chars, MID(_xlpm.txt, _xlfn.SEQUENCE(LEN(_xlpm.txt)), 1),
    _xlfn.TEXTJOIN("", TRUE, IF(ISNUMBER(--_xlpm.chars), _xlpm.chars, ""))
)</f>
        <v>#VALUE!</v>
      </c>
      <c r="N123" s="16" t="str" cm="1">
        <f t="array" ref="N123">_xlfn.IFS(
   --MacReports!M123&lt;55,"Battery Defect",
  -- MacReports!M123&lt;=69,"Battery D",
  --MacReports!M123&lt;=80,"Battery C",
 --MacReports!M123&gt;80,""
)</f>
        <v>Battery Defect</v>
      </c>
      <c r="O123" s="16" t="str">
        <f>IF(MacReports!I123="Service","Battery Service","")</f>
        <v/>
      </c>
      <c r="P123" s="13">
        <f>MacReports!P123</f>
        <v>0</v>
      </c>
      <c r="Q123" s="13" t="str">
        <f>IF(MacReports!J123="Enabled","Apple ID Lock","")</f>
        <v/>
      </c>
      <c r="R123" s="13" t="str">
        <f>IF(MacReports!L123="y","Remote Locked","")</f>
        <v/>
      </c>
      <c r="S123" t="str">
        <f t="shared" si="5"/>
        <v>Battery Defect, 0</v>
      </c>
      <c r="T123" t="str">
        <f>_xlfn.XLOOKUP(B123,Disk_Pivot!G:G,Disk_Pivot!I:I)</f>
        <v>Yes x2</v>
      </c>
      <c r="U123" t="str">
        <f>_xlfn.XLOOKUP(B123,Disk_Pivot!G:G,Disk_Pivot!N:N)</f>
        <v>Pass, Fail</v>
      </c>
      <c r="V123" t="str">
        <f>IF(U123="Fail",MacReports!N123,"")</f>
        <v/>
      </c>
      <c r="AB123" t="str">
        <f t="shared" si="6"/>
        <v/>
      </c>
    </row>
    <row r="124" spans="1:28">
      <c r="A124" t="str">
        <f>MacReports!A124</f>
        <v/>
      </c>
      <c r="B124">
        <f>MacReports!B124</f>
        <v>0</v>
      </c>
      <c r="C124">
        <f>MacReports!C124</f>
        <v>0</v>
      </c>
      <c r="E124" t="e">
        <f>_xlfn.XLOOKUP(G124,Models!A:A,Models!F:F)</f>
        <v>#N/A</v>
      </c>
      <c r="F124" t="str">
        <f>_xlfn.XLOOKUP(B124,MacReports!B:B,MacReports!D:D,"")</f>
        <v/>
      </c>
      <c r="G124" s="13">
        <f>MacReports!E124</f>
        <v>0</v>
      </c>
      <c r="H124" t="e">
        <f>_xlfn.XLOOKUP(G124,Models!A:A,Models!B:B)</f>
        <v>#N/A</v>
      </c>
      <c r="I124" t="e">
        <f>_xlfn.XLOOKUP(G124,Models!A:A,Models!E:E)</f>
        <v>#N/A</v>
      </c>
      <c r="J124" t="e">
        <f>_xlfn.XLOOKUP(G124,Models!A:A,Models!D:D)</f>
        <v>#N/A</v>
      </c>
      <c r="K124">
        <f>MacReports!F124</f>
        <v>0</v>
      </c>
      <c r="L124">
        <f>MacReports!G124</f>
        <v>0</v>
      </c>
      <c r="M124" s="15" t="e" cm="1">
        <f t="array" ref="M124">--_xlfn.LET(
    _xlpm.txt, MacReports!H124,
    _xlpm.chars, MID(_xlpm.txt, _xlfn.SEQUENCE(LEN(_xlpm.txt)), 1),
    _xlfn.TEXTJOIN("", TRUE, IF(ISNUMBER(--_xlpm.chars), _xlpm.chars, ""))
)</f>
        <v>#VALUE!</v>
      </c>
      <c r="N124" s="16" t="str" cm="1">
        <f t="array" ref="N124">_xlfn.IFS(
   --MacReports!M124&lt;55,"Battery Defect",
  -- MacReports!M124&lt;=69,"Battery D",
  --MacReports!M124&lt;=80,"Battery C",
 --MacReports!M124&gt;80,""
)</f>
        <v>Battery Defect</v>
      </c>
      <c r="O124" s="16" t="str">
        <f>IF(MacReports!I124="Service","Battery Service","")</f>
        <v/>
      </c>
      <c r="P124" s="13">
        <f>MacReports!P124</f>
        <v>0</v>
      </c>
      <c r="Q124" s="13" t="str">
        <f>IF(MacReports!J124="Enabled","Apple ID Lock","")</f>
        <v/>
      </c>
      <c r="R124" s="13" t="str">
        <f>IF(MacReports!L124="y","Remote Locked","")</f>
        <v/>
      </c>
      <c r="S124" t="str">
        <f t="shared" si="5"/>
        <v>Battery Defect, 0</v>
      </c>
      <c r="T124" t="str">
        <f>_xlfn.XLOOKUP(B124,Disk_Pivot!G:G,Disk_Pivot!I:I)</f>
        <v>Yes x2</v>
      </c>
      <c r="U124" t="str">
        <f>_xlfn.XLOOKUP(B124,Disk_Pivot!G:G,Disk_Pivot!N:N)</f>
        <v>Pass, Fail</v>
      </c>
      <c r="V124" t="str">
        <f>IF(U124="Fail",MacReports!N124,"")</f>
        <v/>
      </c>
      <c r="AB124" t="str">
        <f t="shared" si="6"/>
        <v/>
      </c>
    </row>
    <row r="125" spans="1:28">
      <c r="A125" t="str">
        <f>MacReports!A125</f>
        <v/>
      </c>
      <c r="B125">
        <f>MacReports!B125</f>
        <v>0</v>
      </c>
      <c r="C125">
        <f>MacReports!C125</f>
        <v>0</v>
      </c>
      <c r="E125" t="e">
        <f>_xlfn.XLOOKUP(G125,Models!A:A,Models!F:F)</f>
        <v>#N/A</v>
      </c>
      <c r="F125" t="str">
        <f>_xlfn.XLOOKUP(B125,MacReports!B:B,MacReports!D:D,"")</f>
        <v/>
      </c>
      <c r="G125" s="13">
        <f>MacReports!E125</f>
        <v>0</v>
      </c>
      <c r="H125" t="e">
        <f>_xlfn.XLOOKUP(G125,Models!A:A,Models!B:B)</f>
        <v>#N/A</v>
      </c>
      <c r="I125" t="e">
        <f>_xlfn.XLOOKUP(G125,Models!A:A,Models!E:E)</f>
        <v>#N/A</v>
      </c>
      <c r="J125" t="e">
        <f>_xlfn.XLOOKUP(G125,Models!A:A,Models!D:D)</f>
        <v>#N/A</v>
      </c>
      <c r="K125">
        <f>MacReports!F125</f>
        <v>0</v>
      </c>
      <c r="L125">
        <f>MacReports!G125</f>
        <v>0</v>
      </c>
      <c r="M125" s="15" t="e" cm="1">
        <f t="array" ref="M125">--_xlfn.LET(
    _xlpm.txt, MacReports!H125,
    _xlpm.chars, MID(_xlpm.txt, _xlfn.SEQUENCE(LEN(_xlpm.txt)), 1),
    _xlfn.TEXTJOIN("", TRUE, IF(ISNUMBER(--_xlpm.chars), _xlpm.chars, ""))
)</f>
        <v>#VALUE!</v>
      </c>
      <c r="N125" s="16" t="str" cm="1">
        <f t="array" ref="N125">_xlfn.IFS(
   --MacReports!M125&lt;55,"Battery Defect",
  -- MacReports!M125&lt;=69,"Battery D",
  --MacReports!M125&lt;=80,"Battery C",
 --MacReports!M125&gt;80,""
)</f>
        <v>Battery Defect</v>
      </c>
      <c r="O125" s="16" t="str">
        <f>IF(MacReports!I125="Service","Battery Service","")</f>
        <v/>
      </c>
      <c r="P125" s="13">
        <f>MacReports!P125</f>
        <v>0</v>
      </c>
      <c r="Q125" s="13" t="str">
        <f>IF(MacReports!J125="Enabled","Apple ID Lock","")</f>
        <v/>
      </c>
      <c r="R125" s="13" t="str">
        <f>IF(MacReports!L125="y","Remote Locked","")</f>
        <v/>
      </c>
      <c r="S125" t="str">
        <f t="shared" si="5"/>
        <v>Battery Defect, 0</v>
      </c>
      <c r="T125" t="str">
        <f>_xlfn.XLOOKUP(B125,Disk_Pivot!G:G,Disk_Pivot!I:I)</f>
        <v>Yes x2</v>
      </c>
      <c r="U125" t="str">
        <f>_xlfn.XLOOKUP(B125,Disk_Pivot!G:G,Disk_Pivot!N:N)</f>
        <v>Pass, Fail</v>
      </c>
      <c r="V125" t="str">
        <f>IF(U125="Fail",MacReports!N125,"")</f>
        <v/>
      </c>
      <c r="AB125" t="str">
        <f t="shared" si="6"/>
        <v/>
      </c>
    </row>
    <row r="126" spans="1:28">
      <c r="A126" t="str">
        <f>MacReports!A126</f>
        <v/>
      </c>
      <c r="B126">
        <f>MacReports!B126</f>
        <v>0</v>
      </c>
      <c r="C126">
        <f>MacReports!C126</f>
        <v>0</v>
      </c>
      <c r="E126" t="e">
        <f>_xlfn.XLOOKUP(G126,Models!A:A,Models!F:F)</f>
        <v>#N/A</v>
      </c>
      <c r="F126" t="str">
        <f>_xlfn.XLOOKUP(B126,MacReports!B:B,MacReports!D:D,"")</f>
        <v/>
      </c>
      <c r="G126" s="13">
        <f>MacReports!E126</f>
        <v>0</v>
      </c>
      <c r="H126" t="e">
        <f>_xlfn.XLOOKUP(G126,Models!A:A,Models!B:B)</f>
        <v>#N/A</v>
      </c>
      <c r="I126" t="e">
        <f>_xlfn.XLOOKUP(G126,Models!A:A,Models!E:E)</f>
        <v>#N/A</v>
      </c>
      <c r="J126" t="e">
        <f>_xlfn.XLOOKUP(G126,Models!A:A,Models!D:D)</f>
        <v>#N/A</v>
      </c>
      <c r="K126">
        <f>MacReports!F126</f>
        <v>0</v>
      </c>
      <c r="L126">
        <f>MacReports!G126</f>
        <v>0</v>
      </c>
      <c r="M126" s="15" t="e" cm="1">
        <f t="array" ref="M126">--_xlfn.LET(
    _xlpm.txt, MacReports!H126,
    _xlpm.chars, MID(_xlpm.txt, _xlfn.SEQUENCE(LEN(_xlpm.txt)), 1),
    _xlfn.TEXTJOIN("", TRUE, IF(ISNUMBER(--_xlpm.chars), _xlpm.chars, ""))
)</f>
        <v>#VALUE!</v>
      </c>
      <c r="N126" s="16" t="str" cm="1">
        <f t="array" ref="N126">_xlfn.IFS(
   --MacReports!M126&lt;55,"Battery Defect",
  -- MacReports!M126&lt;=69,"Battery D",
  --MacReports!M126&lt;=80,"Battery C",
 --MacReports!M126&gt;80,""
)</f>
        <v>Battery Defect</v>
      </c>
      <c r="O126" s="16" t="str">
        <f>IF(MacReports!I126="Service","Battery Service","")</f>
        <v/>
      </c>
      <c r="P126" s="13">
        <f>MacReports!P126</f>
        <v>0</v>
      </c>
      <c r="Q126" s="13" t="str">
        <f>IF(MacReports!J126="Enabled","Apple ID Lock","")</f>
        <v/>
      </c>
      <c r="R126" s="13" t="str">
        <f>IF(MacReports!L126="y","Remote Locked","")</f>
        <v/>
      </c>
      <c r="S126" t="str">
        <f t="shared" si="5"/>
        <v>Battery Defect, 0</v>
      </c>
      <c r="T126" t="str">
        <f>_xlfn.XLOOKUP(B126,Disk_Pivot!G:G,Disk_Pivot!I:I)</f>
        <v>Yes x2</v>
      </c>
      <c r="U126" t="str">
        <f>_xlfn.XLOOKUP(B126,Disk_Pivot!G:G,Disk_Pivot!N:N)</f>
        <v>Pass, Fail</v>
      </c>
      <c r="V126" t="str">
        <f>IF(U126="Fail",MacReports!N126,"")</f>
        <v/>
      </c>
      <c r="AB126" t="str">
        <f t="shared" si="6"/>
        <v/>
      </c>
    </row>
    <row r="127" spans="1:28">
      <c r="A127" t="str">
        <f>MacReports!A127</f>
        <v/>
      </c>
      <c r="B127">
        <f>MacReports!B127</f>
        <v>0</v>
      </c>
      <c r="C127">
        <f>MacReports!C127</f>
        <v>0</v>
      </c>
      <c r="E127" t="e">
        <f>_xlfn.XLOOKUP(G127,Models!A:A,Models!F:F)</f>
        <v>#N/A</v>
      </c>
      <c r="F127" t="str">
        <f>_xlfn.XLOOKUP(B127,MacReports!B:B,MacReports!D:D,"")</f>
        <v/>
      </c>
      <c r="G127" s="13">
        <f>MacReports!E127</f>
        <v>0</v>
      </c>
      <c r="H127" t="e">
        <f>_xlfn.XLOOKUP(G127,Models!A:A,Models!B:B)</f>
        <v>#N/A</v>
      </c>
      <c r="I127" t="e">
        <f>_xlfn.XLOOKUP(G127,Models!A:A,Models!E:E)</f>
        <v>#N/A</v>
      </c>
      <c r="J127" t="e">
        <f>_xlfn.XLOOKUP(G127,Models!A:A,Models!D:D)</f>
        <v>#N/A</v>
      </c>
      <c r="K127">
        <f>MacReports!F127</f>
        <v>0</v>
      </c>
      <c r="L127">
        <f>MacReports!G127</f>
        <v>0</v>
      </c>
      <c r="M127" s="15" t="e" cm="1">
        <f t="array" ref="M127">--_xlfn.LET(
    _xlpm.txt, MacReports!H127,
    _xlpm.chars, MID(_xlpm.txt, _xlfn.SEQUENCE(LEN(_xlpm.txt)), 1),
    _xlfn.TEXTJOIN("", TRUE, IF(ISNUMBER(--_xlpm.chars), _xlpm.chars, ""))
)</f>
        <v>#VALUE!</v>
      </c>
      <c r="N127" s="16" t="str" cm="1">
        <f t="array" ref="N127">_xlfn.IFS(
   --MacReports!M127&lt;55,"Battery Defect",
  -- MacReports!M127&lt;=69,"Battery D",
  --MacReports!M127&lt;=80,"Battery C",
 --MacReports!M127&gt;80,""
)</f>
        <v>Battery Defect</v>
      </c>
      <c r="O127" s="16" t="str">
        <f>IF(MacReports!I127="Service","Battery Service","")</f>
        <v/>
      </c>
      <c r="P127" s="13">
        <f>MacReports!P127</f>
        <v>0</v>
      </c>
      <c r="Q127" s="13" t="str">
        <f>IF(MacReports!J127="Enabled","Apple ID Lock","")</f>
        <v/>
      </c>
      <c r="R127" s="13" t="str">
        <f>IF(MacReports!L127="y","Remote Locked","")</f>
        <v/>
      </c>
      <c r="S127" t="str">
        <f t="shared" si="5"/>
        <v>Battery Defect, 0</v>
      </c>
      <c r="T127" t="str">
        <f>_xlfn.XLOOKUP(B127,Disk_Pivot!G:G,Disk_Pivot!I:I)</f>
        <v>Yes x2</v>
      </c>
      <c r="U127" t="str">
        <f>_xlfn.XLOOKUP(B127,Disk_Pivot!G:G,Disk_Pivot!N:N)</f>
        <v>Pass, Fail</v>
      </c>
      <c r="V127" t="str">
        <f>IF(U127="Fail",MacReports!N127,"")</f>
        <v/>
      </c>
      <c r="AB127" t="str">
        <f t="shared" si="6"/>
        <v/>
      </c>
    </row>
    <row r="128" spans="1:28">
      <c r="A128" t="str">
        <f>MacReports!A128</f>
        <v/>
      </c>
      <c r="B128">
        <f>MacReports!B128</f>
        <v>0</v>
      </c>
      <c r="C128">
        <f>MacReports!C128</f>
        <v>0</v>
      </c>
      <c r="E128" t="e">
        <f>_xlfn.XLOOKUP(G128,Models!A:A,Models!F:F)</f>
        <v>#N/A</v>
      </c>
      <c r="F128" t="str">
        <f>_xlfn.XLOOKUP(B128,MacReports!B:B,MacReports!D:D,"")</f>
        <v/>
      </c>
      <c r="G128" s="13">
        <f>MacReports!E128</f>
        <v>0</v>
      </c>
      <c r="H128" t="e">
        <f>_xlfn.XLOOKUP(G128,Models!A:A,Models!B:B)</f>
        <v>#N/A</v>
      </c>
      <c r="I128" t="e">
        <f>_xlfn.XLOOKUP(G128,Models!A:A,Models!E:E)</f>
        <v>#N/A</v>
      </c>
      <c r="J128" t="e">
        <f>_xlfn.XLOOKUP(G128,Models!A:A,Models!D:D)</f>
        <v>#N/A</v>
      </c>
      <c r="K128">
        <f>MacReports!F128</f>
        <v>0</v>
      </c>
      <c r="L128">
        <f>MacReports!G128</f>
        <v>0</v>
      </c>
      <c r="M128" s="15" t="e" cm="1">
        <f t="array" ref="M128">--_xlfn.LET(
    _xlpm.txt, MacReports!H128,
    _xlpm.chars, MID(_xlpm.txt, _xlfn.SEQUENCE(LEN(_xlpm.txt)), 1),
    _xlfn.TEXTJOIN("", TRUE, IF(ISNUMBER(--_xlpm.chars), _xlpm.chars, ""))
)</f>
        <v>#VALUE!</v>
      </c>
      <c r="N128" s="16" t="str" cm="1">
        <f t="array" ref="N128">_xlfn.IFS(
   --MacReports!M128&lt;55,"Battery Defect",
  -- MacReports!M128&lt;=69,"Battery D",
  --MacReports!M128&lt;=80,"Battery C",
 --MacReports!M128&gt;80,""
)</f>
        <v>Battery Defect</v>
      </c>
      <c r="O128" s="16" t="str">
        <f>IF(MacReports!I128="Service","Battery Service","")</f>
        <v/>
      </c>
      <c r="P128" s="13">
        <f>MacReports!P128</f>
        <v>0</v>
      </c>
      <c r="Q128" s="13" t="str">
        <f>IF(MacReports!J128="Enabled","Apple ID Lock","")</f>
        <v/>
      </c>
      <c r="R128" s="13" t="str">
        <f>IF(MacReports!L128="y","Remote Locked","")</f>
        <v/>
      </c>
      <c r="S128" t="str">
        <f t="shared" si="5"/>
        <v>Battery Defect, 0</v>
      </c>
      <c r="T128" t="str">
        <f>_xlfn.XLOOKUP(B128,Disk_Pivot!G:G,Disk_Pivot!I:I)</f>
        <v>Yes x2</v>
      </c>
      <c r="U128" t="str">
        <f>_xlfn.XLOOKUP(B128,Disk_Pivot!G:G,Disk_Pivot!N:N)</f>
        <v>Pass, Fail</v>
      </c>
      <c r="V128" t="str">
        <f>IF(U128="Fail",MacReports!N128,"")</f>
        <v/>
      </c>
      <c r="AB128" t="str">
        <f t="shared" si="6"/>
        <v/>
      </c>
    </row>
    <row r="129" spans="1:28">
      <c r="A129" t="str">
        <f>MacReports!A129</f>
        <v/>
      </c>
      <c r="B129">
        <f>MacReports!B129</f>
        <v>0</v>
      </c>
      <c r="C129">
        <f>MacReports!C129</f>
        <v>0</v>
      </c>
      <c r="E129" t="e">
        <f>_xlfn.XLOOKUP(G129,Models!A:A,Models!F:F)</f>
        <v>#N/A</v>
      </c>
      <c r="F129" t="str">
        <f>_xlfn.XLOOKUP(B129,MacReports!B:B,MacReports!D:D,"")</f>
        <v/>
      </c>
      <c r="G129" s="13">
        <f>MacReports!E129</f>
        <v>0</v>
      </c>
      <c r="H129" t="e">
        <f>_xlfn.XLOOKUP(G129,Models!A:A,Models!B:B)</f>
        <v>#N/A</v>
      </c>
      <c r="I129" t="e">
        <f>_xlfn.XLOOKUP(G129,Models!A:A,Models!E:E)</f>
        <v>#N/A</v>
      </c>
      <c r="J129" t="e">
        <f>_xlfn.XLOOKUP(G129,Models!A:A,Models!D:D)</f>
        <v>#N/A</v>
      </c>
      <c r="K129">
        <f>MacReports!F129</f>
        <v>0</v>
      </c>
      <c r="L129">
        <f>MacReports!G129</f>
        <v>0</v>
      </c>
      <c r="M129" s="15" t="e" cm="1">
        <f t="array" ref="M129">--_xlfn.LET(
    _xlpm.txt, MacReports!H129,
    _xlpm.chars, MID(_xlpm.txt, _xlfn.SEQUENCE(LEN(_xlpm.txt)), 1),
    _xlfn.TEXTJOIN("", TRUE, IF(ISNUMBER(--_xlpm.chars), _xlpm.chars, ""))
)</f>
        <v>#VALUE!</v>
      </c>
      <c r="N129" s="16" t="str" cm="1">
        <f t="array" ref="N129">_xlfn.IFS(
   --MacReports!M129&lt;55,"Battery Defect",
  -- MacReports!M129&lt;=69,"Battery D",
  --MacReports!M129&lt;=80,"Battery C",
 --MacReports!M129&gt;80,""
)</f>
        <v>Battery Defect</v>
      </c>
      <c r="O129" s="16" t="str">
        <f>IF(MacReports!I129="Service","Battery Service","")</f>
        <v/>
      </c>
      <c r="P129" s="13">
        <f>MacReports!P129</f>
        <v>0</v>
      </c>
      <c r="Q129" s="13" t="str">
        <f>IF(MacReports!J129="Enabled","Apple ID Lock","")</f>
        <v/>
      </c>
      <c r="R129" s="13" t="str">
        <f>IF(MacReports!L129="y","Remote Locked","")</f>
        <v/>
      </c>
      <c r="S129" t="str">
        <f t="shared" si="5"/>
        <v>Battery Defect, 0</v>
      </c>
      <c r="T129" t="str">
        <f>_xlfn.XLOOKUP(B129,Disk_Pivot!G:G,Disk_Pivot!I:I)</f>
        <v>Yes x2</v>
      </c>
      <c r="U129" t="str">
        <f>_xlfn.XLOOKUP(B129,Disk_Pivot!G:G,Disk_Pivot!N:N)</f>
        <v>Pass, Fail</v>
      </c>
      <c r="V129" t="str">
        <f>IF(U129="Fail",MacReports!N129,"")</f>
        <v/>
      </c>
      <c r="AB129" t="str">
        <f t="shared" si="6"/>
        <v/>
      </c>
    </row>
    <row r="130" spans="1:28">
      <c r="A130" t="str">
        <f>MacReports!A130</f>
        <v/>
      </c>
      <c r="B130">
        <f>MacReports!B130</f>
        <v>0</v>
      </c>
      <c r="C130">
        <f>MacReports!C130</f>
        <v>0</v>
      </c>
      <c r="E130" t="e">
        <f>_xlfn.XLOOKUP(G130,Models!A:A,Models!F:F)</f>
        <v>#N/A</v>
      </c>
      <c r="F130" t="str">
        <f>_xlfn.XLOOKUP(B130,MacReports!B:B,MacReports!D:D,"")</f>
        <v/>
      </c>
      <c r="G130" s="13">
        <f>MacReports!E130</f>
        <v>0</v>
      </c>
      <c r="H130" t="e">
        <f>_xlfn.XLOOKUP(G130,Models!A:A,Models!B:B)</f>
        <v>#N/A</v>
      </c>
      <c r="I130" t="e">
        <f>_xlfn.XLOOKUP(G130,Models!A:A,Models!E:E)</f>
        <v>#N/A</v>
      </c>
      <c r="J130" t="e">
        <f>_xlfn.XLOOKUP(G130,Models!A:A,Models!D:D)</f>
        <v>#N/A</v>
      </c>
      <c r="K130">
        <f>MacReports!F130</f>
        <v>0</v>
      </c>
      <c r="L130">
        <f>MacReports!G130</f>
        <v>0</v>
      </c>
      <c r="M130" s="15" t="e" cm="1">
        <f t="array" ref="M130">--_xlfn.LET(
    _xlpm.txt, MacReports!H130,
    _xlpm.chars, MID(_xlpm.txt, _xlfn.SEQUENCE(LEN(_xlpm.txt)), 1),
    _xlfn.TEXTJOIN("", TRUE, IF(ISNUMBER(--_xlpm.chars), _xlpm.chars, ""))
)</f>
        <v>#VALUE!</v>
      </c>
      <c r="N130" s="16" t="str" cm="1">
        <f t="array" ref="N130">_xlfn.IFS(
   --MacReports!M130&lt;55,"Battery Defect",
  -- MacReports!M130&lt;=69,"Battery D",
  --MacReports!M130&lt;=80,"Battery C",
 --MacReports!M130&gt;80,""
)</f>
        <v>Battery Defect</v>
      </c>
      <c r="O130" s="16" t="str">
        <f>IF(MacReports!I130="Service","Battery Service","")</f>
        <v/>
      </c>
      <c r="P130" s="13">
        <f>MacReports!P130</f>
        <v>0</v>
      </c>
      <c r="Q130" s="13" t="str">
        <f>IF(MacReports!J130="Enabled","Apple ID Lock","")</f>
        <v/>
      </c>
      <c r="R130" s="13" t="str">
        <f>IF(MacReports!L130="y","Remote Locked","")</f>
        <v/>
      </c>
      <c r="S130" t="str">
        <f t="shared" si="5"/>
        <v>Battery Defect, 0</v>
      </c>
      <c r="T130" t="str">
        <f>_xlfn.XLOOKUP(B130,Disk_Pivot!G:G,Disk_Pivot!I:I)</f>
        <v>Yes x2</v>
      </c>
      <c r="U130" t="str">
        <f>_xlfn.XLOOKUP(B130,Disk_Pivot!G:G,Disk_Pivot!N:N)</f>
        <v>Pass, Fail</v>
      </c>
      <c r="V130" t="str">
        <f>IF(U130="Fail",MacReports!N130,"")</f>
        <v/>
      </c>
      <c r="AB130" t="str">
        <f t="shared" si="6"/>
        <v/>
      </c>
    </row>
    <row r="131" spans="1:28">
      <c r="A131" t="str">
        <f>MacReports!A131</f>
        <v/>
      </c>
      <c r="B131">
        <f>MacReports!B131</f>
        <v>0</v>
      </c>
      <c r="C131">
        <f>MacReports!C131</f>
        <v>0</v>
      </c>
      <c r="E131" t="e">
        <f>_xlfn.XLOOKUP(G131,Models!A:A,Models!F:F)</f>
        <v>#N/A</v>
      </c>
      <c r="F131" t="str">
        <f>_xlfn.XLOOKUP(B131,MacReports!B:B,MacReports!D:D,"")</f>
        <v/>
      </c>
      <c r="G131" s="13">
        <f>MacReports!E131</f>
        <v>0</v>
      </c>
      <c r="H131" t="e">
        <f>_xlfn.XLOOKUP(G131,Models!A:A,Models!B:B)</f>
        <v>#N/A</v>
      </c>
      <c r="I131" t="e">
        <f>_xlfn.XLOOKUP(G131,Models!A:A,Models!E:E)</f>
        <v>#N/A</v>
      </c>
      <c r="J131" t="e">
        <f>_xlfn.XLOOKUP(G131,Models!A:A,Models!D:D)</f>
        <v>#N/A</v>
      </c>
      <c r="K131">
        <f>MacReports!F131</f>
        <v>0</v>
      </c>
      <c r="L131">
        <f>MacReports!G131</f>
        <v>0</v>
      </c>
      <c r="M131" s="15" t="e" cm="1">
        <f t="array" ref="M131">--_xlfn.LET(
    _xlpm.txt, MacReports!H131,
    _xlpm.chars, MID(_xlpm.txt, _xlfn.SEQUENCE(LEN(_xlpm.txt)), 1),
    _xlfn.TEXTJOIN("", TRUE, IF(ISNUMBER(--_xlpm.chars), _xlpm.chars, ""))
)</f>
        <v>#VALUE!</v>
      </c>
      <c r="N131" s="16" t="str" cm="1">
        <f t="array" ref="N131">_xlfn.IFS(
   --MacReports!M131&lt;55,"Battery Defect",
  -- MacReports!M131&lt;=69,"Battery D",
  --MacReports!M131&lt;=80,"Battery C",
 --MacReports!M131&gt;80,""
)</f>
        <v>Battery Defect</v>
      </c>
      <c r="O131" s="16" t="str">
        <f>IF(MacReports!I131="Service","Battery Service","")</f>
        <v/>
      </c>
      <c r="P131" s="13">
        <f>MacReports!P131</f>
        <v>0</v>
      </c>
      <c r="Q131" s="13" t="str">
        <f>IF(MacReports!J131="Enabled","Apple ID Lock","")</f>
        <v/>
      </c>
      <c r="R131" s="13" t="str">
        <f>IF(MacReports!L131="y","Remote Locked","")</f>
        <v/>
      </c>
      <c r="S131" t="str">
        <f t="shared" si="5"/>
        <v>Battery Defect, 0</v>
      </c>
      <c r="T131" t="str">
        <f>_xlfn.XLOOKUP(B131,Disk_Pivot!G:G,Disk_Pivot!I:I)</f>
        <v>Yes x2</v>
      </c>
      <c r="U131" t="str">
        <f>_xlfn.XLOOKUP(B131,Disk_Pivot!G:G,Disk_Pivot!N:N)</f>
        <v>Pass, Fail</v>
      </c>
      <c r="V131" t="str">
        <f>IF(U131="Fail",MacReports!N131,"")</f>
        <v/>
      </c>
      <c r="AB131" t="str">
        <f t="shared" si="6"/>
        <v/>
      </c>
    </row>
    <row r="132" spans="1:28">
      <c r="A132" t="str">
        <f>MacReports!A132</f>
        <v/>
      </c>
      <c r="B132">
        <f>MacReports!B132</f>
        <v>0</v>
      </c>
      <c r="C132">
        <f>MacReports!C132</f>
        <v>0</v>
      </c>
      <c r="E132" t="e">
        <f>_xlfn.XLOOKUP(G132,Models!A:A,Models!F:F)</f>
        <v>#N/A</v>
      </c>
      <c r="F132" t="str">
        <f>_xlfn.XLOOKUP(B132,MacReports!B:B,MacReports!D:D,"")</f>
        <v/>
      </c>
      <c r="G132" s="13">
        <f>MacReports!E132</f>
        <v>0</v>
      </c>
      <c r="H132" t="e">
        <f>_xlfn.XLOOKUP(G132,Models!A:A,Models!B:B)</f>
        <v>#N/A</v>
      </c>
      <c r="I132" t="e">
        <f>_xlfn.XLOOKUP(G132,Models!A:A,Models!E:E)</f>
        <v>#N/A</v>
      </c>
      <c r="J132" t="e">
        <f>_xlfn.XLOOKUP(G132,Models!A:A,Models!D:D)</f>
        <v>#N/A</v>
      </c>
      <c r="K132">
        <f>MacReports!F132</f>
        <v>0</v>
      </c>
      <c r="L132">
        <f>MacReports!G132</f>
        <v>0</v>
      </c>
      <c r="M132" s="15" t="e" cm="1">
        <f t="array" ref="M132">--_xlfn.LET(
    _xlpm.txt, MacReports!H132,
    _xlpm.chars, MID(_xlpm.txt, _xlfn.SEQUENCE(LEN(_xlpm.txt)), 1),
    _xlfn.TEXTJOIN("", TRUE, IF(ISNUMBER(--_xlpm.chars), _xlpm.chars, ""))
)</f>
        <v>#VALUE!</v>
      </c>
      <c r="N132" s="16" t="str" cm="1">
        <f t="array" ref="N132">_xlfn.IFS(
   --MacReports!M132&lt;55,"Battery Defect",
  -- MacReports!M132&lt;=69,"Battery D",
  --MacReports!M132&lt;=80,"Battery C",
 --MacReports!M132&gt;80,""
)</f>
        <v>Battery Defect</v>
      </c>
      <c r="O132" s="16" t="str">
        <f>IF(MacReports!I132="Service","Battery Service","")</f>
        <v/>
      </c>
      <c r="P132" s="13">
        <f>MacReports!P132</f>
        <v>0</v>
      </c>
      <c r="Q132" s="13" t="str">
        <f>IF(MacReports!J132="Enabled","Apple ID Lock","")</f>
        <v/>
      </c>
      <c r="R132" s="13" t="str">
        <f>IF(MacReports!L132="y","Remote Locked","")</f>
        <v/>
      </c>
      <c r="S132" t="str">
        <f t="shared" si="5"/>
        <v>Battery Defect, 0</v>
      </c>
      <c r="T132" t="str">
        <f>_xlfn.XLOOKUP(B132,Disk_Pivot!G:G,Disk_Pivot!I:I)</f>
        <v>Yes x2</v>
      </c>
      <c r="U132" t="str">
        <f>_xlfn.XLOOKUP(B132,Disk_Pivot!G:G,Disk_Pivot!N:N)</f>
        <v>Pass, Fail</v>
      </c>
      <c r="V132" t="str">
        <f>IF(U132="Fail",MacReports!N132,"")</f>
        <v/>
      </c>
      <c r="AB132" t="str">
        <f t="shared" si="6"/>
        <v/>
      </c>
    </row>
    <row r="133" spans="1:28">
      <c r="A133" t="str">
        <f>MacReports!A133</f>
        <v/>
      </c>
      <c r="B133">
        <f>MacReports!B133</f>
        <v>0</v>
      </c>
      <c r="C133">
        <f>MacReports!C133</f>
        <v>0</v>
      </c>
      <c r="E133" t="e">
        <f>_xlfn.XLOOKUP(G133,Models!A:A,Models!F:F)</f>
        <v>#N/A</v>
      </c>
      <c r="F133" t="str">
        <f>_xlfn.XLOOKUP(B133,MacReports!B:B,MacReports!D:D,"")</f>
        <v/>
      </c>
      <c r="G133" s="13">
        <f>MacReports!E133</f>
        <v>0</v>
      </c>
      <c r="H133" t="e">
        <f>_xlfn.XLOOKUP(G133,Models!A:A,Models!B:B)</f>
        <v>#N/A</v>
      </c>
      <c r="I133" t="e">
        <f>_xlfn.XLOOKUP(G133,Models!A:A,Models!E:E)</f>
        <v>#N/A</v>
      </c>
      <c r="J133" t="e">
        <f>_xlfn.XLOOKUP(G133,Models!A:A,Models!D:D)</f>
        <v>#N/A</v>
      </c>
      <c r="K133">
        <f>MacReports!F133</f>
        <v>0</v>
      </c>
      <c r="L133">
        <f>MacReports!G133</f>
        <v>0</v>
      </c>
      <c r="M133" s="15" t="e" cm="1">
        <f t="array" ref="M133">--_xlfn.LET(
    _xlpm.txt, MacReports!H133,
    _xlpm.chars, MID(_xlpm.txt, _xlfn.SEQUENCE(LEN(_xlpm.txt)), 1),
    _xlfn.TEXTJOIN("", TRUE, IF(ISNUMBER(--_xlpm.chars), _xlpm.chars, ""))
)</f>
        <v>#VALUE!</v>
      </c>
      <c r="N133" s="16" t="str" cm="1">
        <f t="array" ref="N133">_xlfn.IFS(
   --MacReports!M133&lt;55,"Battery Defect",
  -- MacReports!M133&lt;=69,"Battery D",
  --MacReports!M133&lt;=80,"Battery C",
 --MacReports!M133&gt;80,""
)</f>
        <v>Battery Defect</v>
      </c>
      <c r="O133" s="16" t="str">
        <f>IF(MacReports!I133="Service","Battery Service","")</f>
        <v/>
      </c>
      <c r="P133" s="13">
        <f>MacReports!P133</f>
        <v>0</v>
      </c>
      <c r="Q133" s="13" t="str">
        <f>IF(MacReports!J133="Enabled","Apple ID Lock","")</f>
        <v/>
      </c>
      <c r="R133" s="13" t="str">
        <f>IF(MacReports!L133="y","Remote Locked","")</f>
        <v/>
      </c>
      <c r="S133" t="str">
        <f t="shared" si="5"/>
        <v>Battery Defect, 0</v>
      </c>
      <c r="T133" t="str">
        <f>_xlfn.XLOOKUP(B133,Disk_Pivot!G:G,Disk_Pivot!I:I)</f>
        <v>Yes x2</v>
      </c>
      <c r="U133" t="str">
        <f>_xlfn.XLOOKUP(B133,Disk_Pivot!G:G,Disk_Pivot!N:N)</f>
        <v>Pass, Fail</v>
      </c>
      <c r="V133" t="str">
        <f>IF(U133="Fail",MacReports!N133,"")</f>
        <v/>
      </c>
      <c r="AB133" t="str">
        <f t="shared" si="6"/>
        <v/>
      </c>
    </row>
    <row r="134" spans="1:28">
      <c r="A134" t="str">
        <f>MacReports!A134</f>
        <v/>
      </c>
      <c r="B134">
        <f>MacReports!B134</f>
        <v>0</v>
      </c>
      <c r="C134">
        <f>MacReports!C134</f>
        <v>0</v>
      </c>
      <c r="E134" t="e">
        <f>_xlfn.XLOOKUP(G134,Models!A:A,Models!F:F)</f>
        <v>#N/A</v>
      </c>
      <c r="F134" t="str">
        <f>_xlfn.XLOOKUP(B134,MacReports!B:B,MacReports!D:D,"")</f>
        <v/>
      </c>
      <c r="G134" s="13">
        <f>MacReports!E134</f>
        <v>0</v>
      </c>
      <c r="H134" t="e">
        <f>_xlfn.XLOOKUP(G134,Models!A:A,Models!B:B)</f>
        <v>#N/A</v>
      </c>
      <c r="I134" t="e">
        <f>_xlfn.XLOOKUP(G134,Models!A:A,Models!E:E)</f>
        <v>#N/A</v>
      </c>
      <c r="J134" t="e">
        <f>_xlfn.XLOOKUP(G134,Models!A:A,Models!D:D)</f>
        <v>#N/A</v>
      </c>
      <c r="K134">
        <f>MacReports!F134</f>
        <v>0</v>
      </c>
      <c r="L134">
        <f>MacReports!G134</f>
        <v>0</v>
      </c>
      <c r="M134" s="15" t="e" cm="1">
        <f t="array" ref="M134">--_xlfn.LET(
    _xlpm.txt, MacReports!H134,
    _xlpm.chars, MID(_xlpm.txt, _xlfn.SEQUENCE(LEN(_xlpm.txt)), 1),
    _xlfn.TEXTJOIN("", TRUE, IF(ISNUMBER(--_xlpm.chars), _xlpm.chars, ""))
)</f>
        <v>#VALUE!</v>
      </c>
      <c r="N134" s="16" t="str" cm="1">
        <f t="array" ref="N134">_xlfn.IFS(
   --MacReports!M134&lt;55,"Battery Defect",
  -- MacReports!M134&lt;=69,"Battery D",
  --MacReports!M134&lt;=80,"Battery C",
 --MacReports!M134&gt;80,""
)</f>
        <v>Battery Defect</v>
      </c>
      <c r="O134" s="16" t="str">
        <f>IF(MacReports!I134="Service","Battery Service","")</f>
        <v/>
      </c>
      <c r="P134" s="13">
        <f>MacReports!P134</f>
        <v>0</v>
      </c>
      <c r="Q134" s="13" t="str">
        <f>IF(MacReports!J134="Enabled","Apple ID Lock","")</f>
        <v/>
      </c>
      <c r="R134" s="13" t="str">
        <f>IF(MacReports!L134="y","Remote Locked","")</f>
        <v/>
      </c>
      <c r="S134" t="str">
        <f t="shared" si="5"/>
        <v>Battery Defect, 0</v>
      </c>
      <c r="T134" t="str">
        <f>_xlfn.XLOOKUP(B134,Disk_Pivot!G:G,Disk_Pivot!I:I)</f>
        <v>Yes x2</v>
      </c>
      <c r="U134" t="str">
        <f>_xlfn.XLOOKUP(B134,Disk_Pivot!G:G,Disk_Pivot!N:N)</f>
        <v>Pass, Fail</v>
      </c>
      <c r="V134" t="str">
        <f>IF(U134="Fail",MacReports!N134,"")</f>
        <v/>
      </c>
      <c r="AB134" t="str">
        <f t="shared" si="6"/>
        <v/>
      </c>
    </row>
    <row r="135" spans="1:28">
      <c r="A135" t="str">
        <f>MacReports!A135</f>
        <v/>
      </c>
      <c r="B135">
        <f>MacReports!B135</f>
        <v>0</v>
      </c>
      <c r="C135">
        <f>MacReports!C135</f>
        <v>0</v>
      </c>
      <c r="E135" t="e">
        <f>_xlfn.XLOOKUP(G135,Models!A:A,Models!F:F)</f>
        <v>#N/A</v>
      </c>
      <c r="F135" t="str">
        <f>_xlfn.XLOOKUP(B135,MacReports!B:B,MacReports!D:D,"")</f>
        <v/>
      </c>
      <c r="G135" s="13">
        <f>MacReports!E135</f>
        <v>0</v>
      </c>
      <c r="H135" t="e">
        <f>_xlfn.XLOOKUP(G135,Models!A:A,Models!B:B)</f>
        <v>#N/A</v>
      </c>
      <c r="I135" t="e">
        <f>_xlfn.XLOOKUP(G135,Models!A:A,Models!E:E)</f>
        <v>#N/A</v>
      </c>
      <c r="J135" t="e">
        <f>_xlfn.XLOOKUP(G135,Models!A:A,Models!D:D)</f>
        <v>#N/A</v>
      </c>
      <c r="K135">
        <f>MacReports!F135</f>
        <v>0</v>
      </c>
      <c r="L135">
        <f>MacReports!G135</f>
        <v>0</v>
      </c>
      <c r="M135" s="15" t="e" cm="1">
        <f t="array" ref="M135">--_xlfn.LET(
    _xlpm.txt, MacReports!H135,
    _xlpm.chars, MID(_xlpm.txt, _xlfn.SEQUENCE(LEN(_xlpm.txt)), 1),
    _xlfn.TEXTJOIN("", TRUE, IF(ISNUMBER(--_xlpm.chars), _xlpm.chars, ""))
)</f>
        <v>#VALUE!</v>
      </c>
      <c r="N135" s="16" t="str" cm="1">
        <f t="array" ref="N135">_xlfn.IFS(
   --MacReports!M135&lt;55,"Battery Defect",
  -- MacReports!M135&lt;=69,"Battery D",
  --MacReports!M135&lt;=80,"Battery C",
 --MacReports!M135&gt;80,""
)</f>
        <v>Battery Defect</v>
      </c>
      <c r="O135" s="16" t="str">
        <f>IF(MacReports!I135="Service","Battery Service","")</f>
        <v/>
      </c>
      <c r="P135" s="13">
        <f>MacReports!P135</f>
        <v>0</v>
      </c>
      <c r="Q135" s="13" t="str">
        <f>IF(MacReports!J135="Enabled","Apple ID Lock","")</f>
        <v/>
      </c>
      <c r="R135" s="13" t="str">
        <f>IF(MacReports!L135="y","Remote Locked","")</f>
        <v/>
      </c>
      <c r="S135" t="str">
        <f t="shared" si="5"/>
        <v>Battery Defect, 0</v>
      </c>
      <c r="T135" t="str">
        <f>_xlfn.XLOOKUP(B135,Disk_Pivot!G:G,Disk_Pivot!I:I)</f>
        <v>Yes x2</v>
      </c>
      <c r="U135" t="str">
        <f>_xlfn.XLOOKUP(B135,Disk_Pivot!G:G,Disk_Pivot!N:N)</f>
        <v>Pass, Fail</v>
      </c>
      <c r="V135" t="str">
        <f>IF(U135="Fail",MacReports!N135,"")</f>
        <v/>
      </c>
      <c r="AB135" t="str">
        <f t="shared" si="6"/>
        <v/>
      </c>
    </row>
    <row r="136" spans="1:28">
      <c r="A136" t="str">
        <f>MacReports!A136</f>
        <v/>
      </c>
      <c r="B136">
        <f>MacReports!B136</f>
        <v>0</v>
      </c>
      <c r="C136">
        <f>MacReports!C136</f>
        <v>0</v>
      </c>
      <c r="E136" t="e">
        <f>_xlfn.XLOOKUP(G136,Models!A:A,Models!F:F)</f>
        <v>#N/A</v>
      </c>
      <c r="F136" t="str">
        <f>_xlfn.XLOOKUP(B136,MacReports!B:B,MacReports!D:D,"")</f>
        <v/>
      </c>
      <c r="G136" s="13">
        <f>MacReports!E136</f>
        <v>0</v>
      </c>
      <c r="H136" t="e">
        <f>_xlfn.XLOOKUP(G136,Models!A:A,Models!B:B)</f>
        <v>#N/A</v>
      </c>
      <c r="I136" t="e">
        <f>_xlfn.XLOOKUP(G136,Models!A:A,Models!E:E)</f>
        <v>#N/A</v>
      </c>
      <c r="J136" t="e">
        <f>_xlfn.XLOOKUP(G136,Models!A:A,Models!D:D)</f>
        <v>#N/A</v>
      </c>
      <c r="K136">
        <f>MacReports!F136</f>
        <v>0</v>
      </c>
      <c r="L136">
        <f>MacReports!G136</f>
        <v>0</v>
      </c>
      <c r="M136" s="15" t="e" cm="1">
        <f t="array" ref="M136">--_xlfn.LET(
    _xlpm.txt, MacReports!H136,
    _xlpm.chars, MID(_xlpm.txt, _xlfn.SEQUENCE(LEN(_xlpm.txt)), 1),
    _xlfn.TEXTJOIN("", TRUE, IF(ISNUMBER(--_xlpm.chars), _xlpm.chars, ""))
)</f>
        <v>#VALUE!</v>
      </c>
      <c r="N136" s="16" t="str" cm="1">
        <f t="array" ref="N136">_xlfn.IFS(
   --MacReports!M136&lt;55,"Battery Defect",
  -- MacReports!M136&lt;=69,"Battery D",
  --MacReports!M136&lt;=80,"Battery C",
 --MacReports!M136&gt;80,""
)</f>
        <v>Battery Defect</v>
      </c>
      <c r="O136" s="16" t="str">
        <f>IF(MacReports!I136="Service","Battery Service","")</f>
        <v/>
      </c>
      <c r="P136" s="13">
        <f>MacReports!P136</f>
        <v>0</v>
      </c>
      <c r="Q136" s="13" t="str">
        <f>IF(MacReports!J136="Enabled","Apple ID Lock","")</f>
        <v/>
      </c>
      <c r="R136" s="13" t="str">
        <f>IF(MacReports!L136="y","Remote Locked","")</f>
        <v/>
      </c>
      <c r="S136" t="str">
        <f t="shared" si="5"/>
        <v>Battery Defect, 0</v>
      </c>
      <c r="T136" t="str">
        <f>_xlfn.XLOOKUP(B136,Disk_Pivot!G:G,Disk_Pivot!I:I)</f>
        <v>Yes x2</v>
      </c>
      <c r="U136" t="str">
        <f>_xlfn.XLOOKUP(B136,Disk_Pivot!G:G,Disk_Pivot!N:N)</f>
        <v>Pass, Fail</v>
      </c>
      <c r="V136" t="str">
        <f>IF(U136="Fail",MacReports!N136,"")</f>
        <v/>
      </c>
      <c r="AB136" t="str">
        <f t="shared" si="6"/>
        <v/>
      </c>
    </row>
    <row r="137" spans="1:28">
      <c r="A137" t="str">
        <f>MacReports!A137</f>
        <v/>
      </c>
      <c r="B137">
        <f>MacReports!B137</f>
        <v>0</v>
      </c>
      <c r="C137">
        <f>MacReports!C137</f>
        <v>0</v>
      </c>
      <c r="E137" t="e">
        <f>_xlfn.XLOOKUP(G137,Models!A:A,Models!F:F)</f>
        <v>#N/A</v>
      </c>
      <c r="F137" t="str">
        <f>_xlfn.XLOOKUP(B137,MacReports!B:B,MacReports!D:D,"")</f>
        <v/>
      </c>
      <c r="G137" s="13">
        <f>MacReports!E137</f>
        <v>0</v>
      </c>
      <c r="H137" t="e">
        <f>_xlfn.XLOOKUP(G137,Models!A:A,Models!B:B)</f>
        <v>#N/A</v>
      </c>
      <c r="I137" t="e">
        <f>_xlfn.XLOOKUP(G137,Models!A:A,Models!E:E)</f>
        <v>#N/A</v>
      </c>
      <c r="J137" t="e">
        <f>_xlfn.XLOOKUP(G137,Models!A:A,Models!D:D)</f>
        <v>#N/A</v>
      </c>
      <c r="K137">
        <f>MacReports!F137</f>
        <v>0</v>
      </c>
      <c r="L137">
        <f>MacReports!G137</f>
        <v>0</v>
      </c>
      <c r="M137" s="15" t="e" cm="1">
        <f t="array" ref="M137">--_xlfn.LET(
    _xlpm.txt, MacReports!H137,
    _xlpm.chars, MID(_xlpm.txt, _xlfn.SEQUENCE(LEN(_xlpm.txt)), 1),
    _xlfn.TEXTJOIN("", TRUE, IF(ISNUMBER(--_xlpm.chars), _xlpm.chars, ""))
)</f>
        <v>#VALUE!</v>
      </c>
      <c r="N137" s="16" t="str" cm="1">
        <f t="array" ref="N137">_xlfn.IFS(
   --MacReports!M137&lt;55,"Battery Defect",
  -- MacReports!M137&lt;=69,"Battery D",
  --MacReports!M137&lt;=80,"Battery C",
 --MacReports!M137&gt;80,""
)</f>
        <v>Battery Defect</v>
      </c>
      <c r="O137" s="16" t="str">
        <f>IF(MacReports!I137="Service","Battery Service","")</f>
        <v/>
      </c>
      <c r="P137" s="13">
        <f>MacReports!P137</f>
        <v>0</v>
      </c>
      <c r="Q137" s="13" t="str">
        <f>IF(MacReports!J137="Enabled","Apple ID Lock","")</f>
        <v/>
      </c>
      <c r="R137" s="13" t="str">
        <f>IF(MacReports!L137="y","Remote Locked","")</f>
        <v/>
      </c>
      <c r="S137" t="str">
        <f t="shared" si="5"/>
        <v>Battery Defect, 0</v>
      </c>
      <c r="T137" t="str">
        <f>_xlfn.XLOOKUP(B137,Disk_Pivot!G:G,Disk_Pivot!I:I)</f>
        <v>Yes x2</v>
      </c>
      <c r="U137" t="str">
        <f>_xlfn.XLOOKUP(B137,Disk_Pivot!G:G,Disk_Pivot!N:N)</f>
        <v>Pass, Fail</v>
      </c>
      <c r="V137" t="str">
        <f>IF(U137="Fail",MacReports!N137,"")</f>
        <v/>
      </c>
      <c r="AB137" t="str">
        <f t="shared" si="6"/>
        <v/>
      </c>
    </row>
    <row r="138" spans="1:28">
      <c r="A138" t="str">
        <f>MacReports!A138</f>
        <v/>
      </c>
      <c r="B138">
        <f>MacReports!B138</f>
        <v>0</v>
      </c>
      <c r="C138">
        <f>MacReports!C138</f>
        <v>0</v>
      </c>
      <c r="E138" t="e">
        <f>_xlfn.XLOOKUP(G138,Models!A:A,Models!F:F)</f>
        <v>#N/A</v>
      </c>
      <c r="F138" t="str">
        <f>_xlfn.XLOOKUP(B138,MacReports!B:B,MacReports!D:D,"")</f>
        <v/>
      </c>
      <c r="G138" s="13">
        <f>MacReports!E138</f>
        <v>0</v>
      </c>
      <c r="H138" t="e">
        <f>_xlfn.XLOOKUP(G138,Models!A:A,Models!B:B)</f>
        <v>#N/A</v>
      </c>
      <c r="I138" t="e">
        <f>_xlfn.XLOOKUP(G138,Models!A:A,Models!E:E)</f>
        <v>#N/A</v>
      </c>
      <c r="J138" t="e">
        <f>_xlfn.XLOOKUP(G138,Models!A:A,Models!D:D)</f>
        <v>#N/A</v>
      </c>
      <c r="K138">
        <f>MacReports!F138</f>
        <v>0</v>
      </c>
      <c r="L138">
        <f>MacReports!G138</f>
        <v>0</v>
      </c>
      <c r="M138" s="15" t="e" cm="1">
        <f t="array" ref="M138">--_xlfn.LET(
    _xlpm.txt, MacReports!H138,
    _xlpm.chars, MID(_xlpm.txt, _xlfn.SEQUENCE(LEN(_xlpm.txt)), 1),
    _xlfn.TEXTJOIN("", TRUE, IF(ISNUMBER(--_xlpm.chars), _xlpm.chars, ""))
)</f>
        <v>#VALUE!</v>
      </c>
      <c r="N138" s="16" t="str" cm="1">
        <f t="array" ref="N138">_xlfn.IFS(
   --MacReports!M138&lt;55,"Battery Defect",
  -- MacReports!M138&lt;=69,"Battery D",
  --MacReports!M138&lt;=80,"Battery C",
 --MacReports!M138&gt;80,""
)</f>
        <v>Battery Defect</v>
      </c>
      <c r="O138" s="16" t="str">
        <f>IF(MacReports!I138="Service","Battery Service","")</f>
        <v/>
      </c>
      <c r="P138" s="13">
        <f>MacReports!P138</f>
        <v>0</v>
      </c>
      <c r="Q138" s="13" t="str">
        <f>IF(MacReports!J138="Enabled","Apple ID Lock","")</f>
        <v/>
      </c>
      <c r="R138" s="13" t="str">
        <f>IF(MacReports!L138="y","Remote Locked","")</f>
        <v/>
      </c>
      <c r="S138" t="str">
        <f t="shared" si="5"/>
        <v>Battery Defect, 0</v>
      </c>
      <c r="T138" t="str">
        <f>_xlfn.XLOOKUP(B138,Disk_Pivot!G:G,Disk_Pivot!I:I)</f>
        <v>Yes x2</v>
      </c>
      <c r="U138" t="str">
        <f>_xlfn.XLOOKUP(B138,Disk_Pivot!G:G,Disk_Pivot!N:N)</f>
        <v>Pass, Fail</v>
      </c>
      <c r="V138" t="str">
        <f>IF(U138="Fail",MacReports!N138,"")</f>
        <v/>
      </c>
      <c r="AB138" t="str">
        <f t="shared" si="6"/>
        <v/>
      </c>
    </row>
    <row r="139" spans="1:28">
      <c r="A139" t="str">
        <f>MacReports!A139</f>
        <v/>
      </c>
      <c r="B139">
        <f>MacReports!B139</f>
        <v>0</v>
      </c>
      <c r="C139">
        <f>MacReports!C139</f>
        <v>0</v>
      </c>
      <c r="E139" t="e">
        <f>_xlfn.XLOOKUP(G139,Models!A:A,Models!F:F)</f>
        <v>#N/A</v>
      </c>
      <c r="F139" t="str">
        <f>_xlfn.XLOOKUP(B139,MacReports!B:B,MacReports!D:D,"")</f>
        <v/>
      </c>
      <c r="G139" s="13">
        <f>MacReports!E139</f>
        <v>0</v>
      </c>
      <c r="H139" t="e">
        <f>_xlfn.XLOOKUP(G139,Models!A:A,Models!B:B)</f>
        <v>#N/A</v>
      </c>
      <c r="I139" t="e">
        <f>_xlfn.XLOOKUP(G139,Models!A:A,Models!E:E)</f>
        <v>#N/A</v>
      </c>
      <c r="J139" t="e">
        <f>_xlfn.XLOOKUP(G139,Models!A:A,Models!D:D)</f>
        <v>#N/A</v>
      </c>
      <c r="K139">
        <f>MacReports!F139</f>
        <v>0</v>
      </c>
      <c r="L139">
        <f>MacReports!G139</f>
        <v>0</v>
      </c>
      <c r="M139" s="15" t="e" cm="1">
        <f t="array" ref="M139">--_xlfn.LET(
    _xlpm.txt, MacReports!H139,
    _xlpm.chars, MID(_xlpm.txt, _xlfn.SEQUENCE(LEN(_xlpm.txt)), 1),
    _xlfn.TEXTJOIN("", TRUE, IF(ISNUMBER(--_xlpm.chars), _xlpm.chars, ""))
)</f>
        <v>#VALUE!</v>
      </c>
      <c r="N139" s="16" t="str" cm="1">
        <f t="array" ref="N139">_xlfn.IFS(
   --MacReports!M139&lt;55,"Battery Defect",
  -- MacReports!M139&lt;=69,"Battery D",
  --MacReports!M139&lt;=80,"Battery C",
 --MacReports!M139&gt;80,""
)</f>
        <v>Battery Defect</v>
      </c>
      <c r="O139" s="16" t="str">
        <f>IF(MacReports!I139="Service","Battery Service","")</f>
        <v/>
      </c>
      <c r="P139" s="13">
        <f>MacReports!P139</f>
        <v>0</v>
      </c>
      <c r="Q139" s="13" t="str">
        <f>IF(MacReports!J139="Enabled","Apple ID Lock","")</f>
        <v/>
      </c>
      <c r="R139" s="13" t="str">
        <f>IF(MacReports!L139="y","Remote Locked","")</f>
        <v/>
      </c>
      <c r="S139" t="str">
        <f t="shared" si="5"/>
        <v>Battery Defect, 0</v>
      </c>
      <c r="T139" t="str">
        <f>_xlfn.XLOOKUP(B139,Disk_Pivot!G:G,Disk_Pivot!I:I)</f>
        <v>Yes x2</v>
      </c>
      <c r="U139" t="str">
        <f>_xlfn.XLOOKUP(B139,Disk_Pivot!G:G,Disk_Pivot!N:N)</f>
        <v>Pass, Fail</v>
      </c>
      <c r="V139" t="str">
        <f>IF(U139="Fail",MacReports!N139,"")</f>
        <v/>
      </c>
      <c r="AB139" t="str">
        <f t="shared" si="6"/>
        <v/>
      </c>
    </row>
    <row r="140" spans="1:28">
      <c r="A140" t="str">
        <f>MacReports!A140</f>
        <v/>
      </c>
      <c r="B140">
        <f>MacReports!B140</f>
        <v>0</v>
      </c>
      <c r="C140">
        <f>MacReports!C140</f>
        <v>0</v>
      </c>
      <c r="E140" t="e">
        <f>_xlfn.XLOOKUP(G140,Models!A:A,Models!F:F)</f>
        <v>#N/A</v>
      </c>
      <c r="F140" t="str">
        <f>_xlfn.XLOOKUP(B140,MacReports!B:B,MacReports!D:D,"")</f>
        <v/>
      </c>
      <c r="G140" s="13">
        <f>MacReports!E140</f>
        <v>0</v>
      </c>
      <c r="H140" t="e">
        <f>_xlfn.XLOOKUP(G140,Models!A:A,Models!B:B)</f>
        <v>#N/A</v>
      </c>
      <c r="I140" t="e">
        <f>_xlfn.XLOOKUP(G140,Models!A:A,Models!E:E)</f>
        <v>#N/A</v>
      </c>
      <c r="J140" t="e">
        <f>_xlfn.XLOOKUP(G140,Models!A:A,Models!D:D)</f>
        <v>#N/A</v>
      </c>
      <c r="K140">
        <f>MacReports!F140</f>
        <v>0</v>
      </c>
      <c r="L140">
        <f>MacReports!G140</f>
        <v>0</v>
      </c>
      <c r="M140" s="15" t="e" cm="1">
        <f t="array" ref="M140">--_xlfn.LET(
    _xlpm.txt, MacReports!H140,
    _xlpm.chars, MID(_xlpm.txt, _xlfn.SEQUENCE(LEN(_xlpm.txt)), 1),
    _xlfn.TEXTJOIN("", TRUE, IF(ISNUMBER(--_xlpm.chars), _xlpm.chars, ""))
)</f>
        <v>#VALUE!</v>
      </c>
      <c r="N140" s="16" t="str" cm="1">
        <f t="array" ref="N140">_xlfn.IFS(
   --MacReports!M140&lt;55,"Battery Defect",
  -- MacReports!M140&lt;=69,"Battery D",
  --MacReports!M140&lt;=80,"Battery C",
 --MacReports!M140&gt;80,""
)</f>
        <v>Battery Defect</v>
      </c>
      <c r="O140" s="16" t="str">
        <f>IF(MacReports!I140="Service","Battery Service","")</f>
        <v/>
      </c>
      <c r="P140" s="13">
        <f>MacReports!P140</f>
        <v>0</v>
      </c>
      <c r="Q140" s="13" t="str">
        <f>IF(MacReports!J140="Enabled","Apple ID Lock","")</f>
        <v/>
      </c>
      <c r="R140" s="13" t="str">
        <f>IF(MacReports!L140="y","Remote Locked","")</f>
        <v/>
      </c>
      <c r="S140" t="str">
        <f t="shared" si="5"/>
        <v>Battery Defect, 0</v>
      </c>
      <c r="T140" t="str">
        <f>_xlfn.XLOOKUP(B140,Disk_Pivot!G:G,Disk_Pivot!I:I)</f>
        <v>Yes x2</v>
      </c>
      <c r="U140" t="str">
        <f>_xlfn.XLOOKUP(B140,Disk_Pivot!G:G,Disk_Pivot!N:N)</f>
        <v>Pass, Fail</v>
      </c>
      <c r="V140" t="str">
        <f>IF(U140="Fail",MacReports!N140,"")</f>
        <v/>
      </c>
      <c r="AB140" t="str">
        <f t="shared" si="6"/>
        <v/>
      </c>
    </row>
    <row r="141" spans="1:28">
      <c r="A141" t="str">
        <f>MacReports!A141</f>
        <v/>
      </c>
      <c r="B141">
        <f>MacReports!B141</f>
        <v>0</v>
      </c>
      <c r="C141">
        <f>MacReports!C141</f>
        <v>0</v>
      </c>
      <c r="E141" t="e">
        <f>_xlfn.XLOOKUP(G141,Models!A:A,Models!F:F)</f>
        <v>#N/A</v>
      </c>
      <c r="F141" t="str">
        <f>_xlfn.XLOOKUP(B141,MacReports!B:B,MacReports!D:D,"")</f>
        <v/>
      </c>
      <c r="G141" s="13">
        <f>MacReports!E141</f>
        <v>0</v>
      </c>
      <c r="H141" t="e">
        <f>_xlfn.XLOOKUP(G141,Models!A:A,Models!B:B)</f>
        <v>#N/A</v>
      </c>
      <c r="I141" t="e">
        <f>_xlfn.XLOOKUP(G141,Models!A:A,Models!E:E)</f>
        <v>#N/A</v>
      </c>
      <c r="J141" t="e">
        <f>_xlfn.XLOOKUP(G141,Models!A:A,Models!D:D)</f>
        <v>#N/A</v>
      </c>
      <c r="K141">
        <f>MacReports!F141</f>
        <v>0</v>
      </c>
      <c r="L141">
        <f>MacReports!G141</f>
        <v>0</v>
      </c>
      <c r="M141" s="15" t="e" cm="1">
        <f t="array" ref="M141">--_xlfn.LET(
    _xlpm.txt, MacReports!H141,
    _xlpm.chars, MID(_xlpm.txt, _xlfn.SEQUENCE(LEN(_xlpm.txt)), 1),
    _xlfn.TEXTJOIN("", TRUE, IF(ISNUMBER(--_xlpm.chars), _xlpm.chars, ""))
)</f>
        <v>#VALUE!</v>
      </c>
      <c r="N141" s="16" t="str" cm="1">
        <f t="array" ref="N141">_xlfn.IFS(
   --MacReports!M141&lt;55,"Battery Defect",
  -- MacReports!M141&lt;=69,"Battery D",
  --MacReports!M141&lt;=80,"Battery C",
 --MacReports!M141&gt;80,""
)</f>
        <v>Battery Defect</v>
      </c>
      <c r="O141" s="16" t="str">
        <f>IF(MacReports!I141="Service","Battery Service","")</f>
        <v/>
      </c>
      <c r="P141" s="13">
        <f>MacReports!P141</f>
        <v>0</v>
      </c>
      <c r="Q141" s="13" t="str">
        <f>IF(MacReports!J141="Enabled","Apple ID Lock","")</f>
        <v/>
      </c>
      <c r="R141" s="13" t="str">
        <f>IF(MacReports!L141="y","Remote Locked","")</f>
        <v/>
      </c>
      <c r="S141" t="str">
        <f t="shared" si="5"/>
        <v>Battery Defect, 0</v>
      </c>
      <c r="T141" t="str">
        <f>_xlfn.XLOOKUP(B141,Disk_Pivot!G:G,Disk_Pivot!I:I)</f>
        <v>Yes x2</v>
      </c>
      <c r="U141" t="str">
        <f>_xlfn.XLOOKUP(B141,Disk_Pivot!G:G,Disk_Pivot!N:N)</f>
        <v>Pass, Fail</v>
      </c>
      <c r="V141" t="str">
        <f>IF(U141="Fail",MacReports!N141,"")</f>
        <v/>
      </c>
      <c r="AB141" t="str">
        <f t="shared" si="6"/>
        <v/>
      </c>
    </row>
    <row r="142" spans="1:28">
      <c r="A142" t="str">
        <f>MacReports!A142</f>
        <v/>
      </c>
      <c r="B142">
        <f>MacReports!B142</f>
        <v>0</v>
      </c>
      <c r="C142">
        <f>MacReports!C142</f>
        <v>0</v>
      </c>
      <c r="E142" t="e">
        <f>_xlfn.XLOOKUP(G142,Models!A:A,Models!F:F)</f>
        <v>#N/A</v>
      </c>
      <c r="F142" t="str">
        <f>_xlfn.XLOOKUP(B142,MacReports!B:B,MacReports!D:D,"")</f>
        <v/>
      </c>
      <c r="G142" s="13">
        <f>MacReports!E142</f>
        <v>0</v>
      </c>
      <c r="H142" t="e">
        <f>_xlfn.XLOOKUP(G142,Models!A:A,Models!B:B)</f>
        <v>#N/A</v>
      </c>
      <c r="I142" t="e">
        <f>_xlfn.XLOOKUP(G142,Models!A:A,Models!E:E)</f>
        <v>#N/A</v>
      </c>
      <c r="J142" t="e">
        <f>_xlfn.XLOOKUP(G142,Models!A:A,Models!D:D)</f>
        <v>#N/A</v>
      </c>
      <c r="K142">
        <f>MacReports!F142</f>
        <v>0</v>
      </c>
      <c r="L142">
        <f>MacReports!G142</f>
        <v>0</v>
      </c>
      <c r="M142" s="15" t="e" cm="1">
        <f t="array" ref="M142">--_xlfn.LET(
    _xlpm.txt, MacReports!H142,
    _xlpm.chars, MID(_xlpm.txt, _xlfn.SEQUENCE(LEN(_xlpm.txt)), 1),
    _xlfn.TEXTJOIN("", TRUE, IF(ISNUMBER(--_xlpm.chars), _xlpm.chars, ""))
)</f>
        <v>#VALUE!</v>
      </c>
      <c r="N142" s="16" t="str" cm="1">
        <f t="array" ref="N142">_xlfn.IFS(
   --MacReports!M142&lt;55,"Battery Defect",
  -- MacReports!M142&lt;=69,"Battery D",
  --MacReports!M142&lt;=80,"Battery C",
 --MacReports!M142&gt;80,""
)</f>
        <v>Battery Defect</v>
      </c>
      <c r="O142" s="16" t="str">
        <f>IF(MacReports!I142="Service","Battery Service","")</f>
        <v/>
      </c>
      <c r="P142" s="13">
        <f>MacReports!P142</f>
        <v>0</v>
      </c>
      <c r="Q142" s="13" t="str">
        <f>IF(MacReports!J142="Enabled","Apple ID Lock","")</f>
        <v/>
      </c>
      <c r="R142" s="13" t="str">
        <f>IF(MacReports!L142="y","Remote Locked","")</f>
        <v/>
      </c>
      <c r="S142" t="str">
        <f t="shared" si="5"/>
        <v>Battery Defect, 0</v>
      </c>
      <c r="T142" t="str">
        <f>_xlfn.XLOOKUP(B142,Disk_Pivot!G:G,Disk_Pivot!I:I)</f>
        <v>Yes x2</v>
      </c>
      <c r="U142" t="str">
        <f>_xlfn.XLOOKUP(B142,Disk_Pivot!G:G,Disk_Pivot!N:N)</f>
        <v>Pass, Fail</v>
      </c>
      <c r="V142" t="str">
        <f>IF(U142="Fail",MacReports!N142,"")</f>
        <v/>
      </c>
      <c r="AB142" t="str">
        <f t="shared" si="6"/>
        <v/>
      </c>
    </row>
    <row r="143" spans="1:28">
      <c r="A143" t="str">
        <f>MacReports!A143</f>
        <v/>
      </c>
      <c r="B143">
        <f>MacReports!B143</f>
        <v>0</v>
      </c>
      <c r="C143">
        <f>MacReports!C143</f>
        <v>0</v>
      </c>
      <c r="E143" t="e">
        <f>_xlfn.XLOOKUP(G143,Models!A:A,Models!F:F)</f>
        <v>#N/A</v>
      </c>
      <c r="F143" t="str">
        <f>_xlfn.XLOOKUP(B143,MacReports!B:B,MacReports!D:D,"")</f>
        <v/>
      </c>
      <c r="G143" s="13">
        <f>MacReports!E143</f>
        <v>0</v>
      </c>
      <c r="H143" t="e">
        <f>_xlfn.XLOOKUP(G143,Models!A:A,Models!B:B)</f>
        <v>#N/A</v>
      </c>
      <c r="I143" t="e">
        <f>_xlfn.XLOOKUP(G143,Models!A:A,Models!E:E)</f>
        <v>#N/A</v>
      </c>
      <c r="J143" t="e">
        <f>_xlfn.XLOOKUP(G143,Models!A:A,Models!D:D)</f>
        <v>#N/A</v>
      </c>
      <c r="K143">
        <f>MacReports!F143</f>
        <v>0</v>
      </c>
      <c r="L143">
        <f>MacReports!G143</f>
        <v>0</v>
      </c>
      <c r="M143" s="15" t="e" cm="1">
        <f t="array" ref="M143">--_xlfn.LET(
    _xlpm.txt, MacReports!H143,
    _xlpm.chars, MID(_xlpm.txt, _xlfn.SEQUENCE(LEN(_xlpm.txt)), 1),
    _xlfn.TEXTJOIN("", TRUE, IF(ISNUMBER(--_xlpm.chars), _xlpm.chars, ""))
)</f>
        <v>#VALUE!</v>
      </c>
      <c r="N143" s="16" t="str" cm="1">
        <f t="array" ref="N143">_xlfn.IFS(
   --MacReports!M143&lt;55,"Battery Defect",
  -- MacReports!M143&lt;=69,"Battery D",
  --MacReports!M143&lt;=80,"Battery C",
 --MacReports!M143&gt;80,""
)</f>
        <v>Battery Defect</v>
      </c>
      <c r="O143" s="16" t="str">
        <f>IF(MacReports!I143="Service","Battery Service","")</f>
        <v/>
      </c>
      <c r="P143" s="13">
        <f>MacReports!P143</f>
        <v>0</v>
      </c>
      <c r="Q143" s="13" t="str">
        <f>IF(MacReports!J143="Enabled","Apple ID Lock","")</f>
        <v/>
      </c>
      <c r="R143" s="13" t="str">
        <f>IF(MacReports!L143="y","Remote Locked","")</f>
        <v/>
      </c>
      <c r="S143" t="str">
        <f t="shared" si="5"/>
        <v>Battery Defect, 0</v>
      </c>
      <c r="T143" t="str">
        <f>_xlfn.XLOOKUP(B143,Disk_Pivot!G:G,Disk_Pivot!I:I)</f>
        <v>Yes x2</v>
      </c>
      <c r="U143" t="str">
        <f>_xlfn.XLOOKUP(B143,Disk_Pivot!G:G,Disk_Pivot!N:N)</f>
        <v>Pass, Fail</v>
      </c>
      <c r="V143" t="str">
        <f>IF(U143="Fail",MacReports!N143,"")</f>
        <v/>
      </c>
      <c r="AB143" t="str">
        <f t="shared" si="6"/>
        <v/>
      </c>
    </row>
    <row r="144" spans="1:28">
      <c r="A144" t="str">
        <f>MacReports!A144</f>
        <v/>
      </c>
      <c r="B144">
        <f>MacReports!B144</f>
        <v>0</v>
      </c>
      <c r="C144">
        <f>MacReports!C144</f>
        <v>0</v>
      </c>
      <c r="E144" t="e">
        <f>_xlfn.XLOOKUP(G144,Models!A:A,Models!F:F)</f>
        <v>#N/A</v>
      </c>
      <c r="F144" t="str">
        <f>_xlfn.XLOOKUP(B144,MacReports!B:B,MacReports!D:D,"")</f>
        <v/>
      </c>
      <c r="G144" s="13">
        <f>MacReports!E144</f>
        <v>0</v>
      </c>
      <c r="H144" t="e">
        <f>_xlfn.XLOOKUP(G144,Models!A:A,Models!B:B)</f>
        <v>#N/A</v>
      </c>
      <c r="I144" t="e">
        <f>_xlfn.XLOOKUP(G144,Models!A:A,Models!E:E)</f>
        <v>#N/A</v>
      </c>
      <c r="J144" t="e">
        <f>_xlfn.XLOOKUP(G144,Models!A:A,Models!D:D)</f>
        <v>#N/A</v>
      </c>
      <c r="K144">
        <f>MacReports!F144</f>
        <v>0</v>
      </c>
      <c r="L144">
        <f>MacReports!G144</f>
        <v>0</v>
      </c>
      <c r="M144" s="15" t="e" cm="1">
        <f t="array" ref="M144">--_xlfn.LET(
    _xlpm.txt, MacReports!H144,
    _xlpm.chars, MID(_xlpm.txt, _xlfn.SEQUENCE(LEN(_xlpm.txt)), 1),
    _xlfn.TEXTJOIN("", TRUE, IF(ISNUMBER(--_xlpm.chars), _xlpm.chars, ""))
)</f>
        <v>#VALUE!</v>
      </c>
      <c r="N144" s="16" t="str" cm="1">
        <f t="array" ref="N144">_xlfn.IFS(
   --MacReports!M144&lt;55,"Battery Defect",
  -- MacReports!M144&lt;=69,"Battery D",
  --MacReports!M144&lt;=80,"Battery C",
 --MacReports!M144&gt;80,""
)</f>
        <v>Battery Defect</v>
      </c>
      <c r="O144" s="16" t="str">
        <f>IF(MacReports!I144="Service","Battery Service","")</f>
        <v/>
      </c>
      <c r="P144" s="13">
        <f>MacReports!P144</f>
        <v>0</v>
      </c>
      <c r="Q144" s="13" t="str">
        <f>IF(MacReports!J144="Enabled","Apple ID Lock","")</f>
        <v/>
      </c>
      <c r="R144" s="13" t="str">
        <f>IF(MacReports!L144="y","Remote Locked","")</f>
        <v/>
      </c>
      <c r="S144" t="str">
        <f t="shared" si="5"/>
        <v>Battery Defect, 0</v>
      </c>
      <c r="T144" t="str">
        <f>_xlfn.XLOOKUP(B144,Disk_Pivot!G:G,Disk_Pivot!I:I)</f>
        <v>Yes x2</v>
      </c>
      <c r="U144" t="str">
        <f>_xlfn.XLOOKUP(B144,Disk_Pivot!G:G,Disk_Pivot!N:N)</f>
        <v>Pass, Fail</v>
      </c>
      <c r="V144" t="str">
        <f>IF(U144="Fail",MacReports!N144,"")</f>
        <v/>
      </c>
      <c r="AB144" t="str">
        <f t="shared" si="6"/>
        <v/>
      </c>
    </row>
    <row r="145" spans="1:28">
      <c r="A145" t="str">
        <f>MacReports!A145</f>
        <v/>
      </c>
      <c r="B145">
        <f>MacReports!B145</f>
        <v>0</v>
      </c>
      <c r="C145">
        <f>MacReports!C145</f>
        <v>0</v>
      </c>
      <c r="E145" t="e">
        <f>_xlfn.XLOOKUP(G145,Models!A:A,Models!F:F)</f>
        <v>#N/A</v>
      </c>
      <c r="F145" t="str">
        <f>_xlfn.XLOOKUP(B145,MacReports!B:B,MacReports!D:D,"")</f>
        <v/>
      </c>
      <c r="G145" s="13">
        <f>MacReports!E145</f>
        <v>0</v>
      </c>
      <c r="H145" t="e">
        <f>_xlfn.XLOOKUP(G145,Models!A:A,Models!B:B)</f>
        <v>#N/A</v>
      </c>
      <c r="I145" t="e">
        <f>_xlfn.XLOOKUP(G145,Models!A:A,Models!E:E)</f>
        <v>#N/A</v>
      </c>
      <c r="J145" t="e">
        <f>_xlfn.XLOOKUP(G145,Models!A:A,Models!D:D)</f>
        <v>#N/A</v>
      </c>
      <c r="K145">
        <f>MacReports!F145</f>
        <v>0</v>
      </c>
      <c r="L145">
        <f>MacReports!G145</f>
        <v>0</v>
      </c>
      <c r="M145" s="15" t="e" cm="1">
        <f t="array" ref="M145">--_xlfn.LET(
    _xlpm.txt, MacReports!H145,
    _xlpm.chars, MID(_xlpm.txt, _xlfn.SEQUENCE(LEN(_xlpm.txt)), 1),
    _xlfn.TEXTJOIN("", TRUE, IF(ISNUMBER(--_xlpm.chars), _xlpm.chars, ""))
)</f>
        <v>#VALUE!</v>
      </c>
      <c r="N145" s="16" t="str" cm="1">
        <f t="array" ref="N145">_xlfn.IFS(
   --MacReports!M145&lt;55,"Battery Defect",
  -- MacReports!M145&lt;=69,"Battery D",
  --MacReports!M145&lt;=80,"Battery C",
 --MacReports!M145&gt;80,""
)</f>
        <v>Battery Defect</v>
      </c>
      <c r="O145" s="16" t="str">
        <f>IF(MacReports!I145="Service","Battery Service","")</f>
        <v/>
      </c>
      <c r="P145" s="13">
        <f>MacReports!P145</f>
        <v>0</v>
      </c>
      <c r="Q145" s="13" t="str">
        <f>IF(MacReports!J145="Enabled","Apple ID Lock","")</f>
        <v/>
      </c>
      <c r="R145" s="13" t="str">
        <f>IF(MacReports!L145="y","Remote Locked","")</f>
        <v/>
      </c>
      <c r="S145" t="str">
        <f t="shared" si="5"/>
        <v>Battery Defect, 0</v>
      </c>
      <c r="T145" t="str">
        <f>_xlfn.XLOOKUP(B145,Disk_Pivot!G:G,Disk_Pivot!I:I)</f>
        <v>Yes x2</v>
      </c>
      <c r="U145" t="str">
        <f>_xlfn.XLOOKUP(B145,Disk_Pivot!G:G,Disk_Pivot!N:N)</f>
        <v>Pass, Fail</v>
      </c>
      <c r="V145" t="str">
        <f>IF(U145="Fail",MacReports!N145,"")</f>
        <v/>
      </c>
      <c r="AB145" t="str">
        <f t="shared" si="6"/>
        <v/>
      </c>
    </row>
    <row r="146" spans="1:28">
      <c r="A146" t="str">
        <f>MacReports!A146</f>
        <v/>
      </c>
      <c r="B146">
        <f>MacReports!B146</f>
        <v>0</v>
      </c>
      <c r="C146">
        <f>MacReports!C146</f>
        <v>0</v>
      </c>
      <c r="E146" t="e">
        <f>_xlfn.XLOOKUP(G146,Models!A:A,Models!F:F)</f>
        <v>#N/A</v>
      </c>
      <c r="F146" t="str">
        <f>_xlfn.XLOOKUP(B146,MacReports!B:B,MacReports!D:D,"")</f>
        <v/>
      </c>
      <c r="G146" s="13">
        <f>MacReports!E146</f>
        <v>0</v>
      </c>
      <c r="H146" t="e">
        <f>_xlfn.XLOOKUP(G146,Models!A:A,Models!B:B)</f>
        <v>#N/A</v>
      </c>
      <c r="I146" t="e">
        <f>_xlfn.XLOOKUP(G146,Models!A:A,Models!E:E)</f>
        <v>#N/A</v>
      </c>
      <c r="J146" t="e">
        <f>_xlfn.XLOOKUP(G146,Models!A:A,Models!D:D)</f>
        <v>#N/A</v>
      </c>
      <c r="K146">
        <f>MacReports!F146</f>
        <v>0</v>
      </c>
      <c r="L146">
        <f>MacReports!G146</f>
        <v>0</v>
      </c>
      <c r="M146" s="15" t="e" cm="1">
        <f t="array" ref="M146">--_xlfn.LET(
    _xlpm.txt, MacReports!H146,
    _xlpm.chars, MID(_xlpm.txt, _xlfn.SEQUENCE(LEN(_xlpm.txt)), 1),
    _xlfn.TEXTJOIN("", TRUE, IF(ISNUMBER(--_xlpm.chars), _xlpm.chars, ""))
)</f>
        <v>#VALUE!</v>
      </c>
      <c r="N146" s="16" t="str" cm="1">
        <f t="array" ref="N146">_xlfn.IFS(
   --MacReports!M146&lt;55,"Battery Defect",
  -- MacReports!M146&lt;=69,"Battery D",
  --MacReports!M146&lt;=80,"Battery C",
 --MacReports!M146&gt;80,""
)</f>
        <v>Battery Defect</v>
      </c>
      <c r="O146" s="16" t="str">
        <f>IF(MacReports!I146="Service","Battery Service","")</f>
        <v/>
      </c>
      <c r="P146" s="13">
        <f>MacReports!P146</f>
        <v>0</v>
      </c>
      <c r="Q146" s="13" t="str">
        <f>IF(MacReports!J146="Enabled","Apple ID Lock","")</f>
        <v/>
      </c>
      <c r="R146" s="13" t="str">
        <f>IF(MacReports!L146="y","Remote Locked","")</f>
        <v/>
      </c>
      <c r="S146" t="str">
        <f t="shared" si="5"/>
        <v>Battery Defect, 0</v>
      </c>
      <c r="T146" t="str">
        <f>_xlfn.XLOOKUP(B146,Disk_Pivot!G:G,Disk_Pivot!I:I)</f>
        <v>Yes x2</v>
      </c>
      <c r="U146" t="str">
        <f>_xlfn.XLOOKUP(B146,Disk_Pivot!G:G,Disk_Pivot!N:N)</f>
        <v>Pass, Fail</v>
      </c>
      <c r="V146" t="str">
        <f>IF(U146="Fail",MacReports!N146,"")</f>
        <v/>
      </c>
      <c r="AB146" t="str">
        <f t="shared" si="6"/>
        <v/>
      </c>
    </row>
    <row r="147" spans="1:28">
      <c r="A147" t="str">
        <f>MacReports!A147</f>
        <v/>
      </c>
      <c r="B147">
        <f>MacReports!B147</f>
        <v>0</v>
      </c>
      <c r="C147">
        <f>MacReports!C147</f>
        <v>0</v>
      </c>
      <c r="E147" t="e">
        <f>_xlfn.XLOOKUP(G147,Models!A:A,Models!F:F)</f>
        <v>#N/A</v>
      </c>
      <c r="F147" t="str">
        <f>_xlfn.XLOOKUP(B147,MacReports!B:B,MacReports!D:D,"")</f>
        <v/>
      </c>
      <c r="G147" s="13">
        <f>MacReports!E147</f>
        <v>0</v>
      </c>
      <c r="H147" t="e">
        <f>_xlfn.XLOOKUP(G147,Models!A:A,Models!B:B)</f>
        <v>#N/A</v>
      </c>
      <c r="I147" t="e">
        <f>_xlfn.XLOOKUP(G147,Models!A:A,Models!E:E)</f>
        <v>#N/A</v>
      </c>
      <c r="J147" t="e">
        <f>_xlfn.XLOOKUP(G147,Models!A:A,Models!D:D)</f>
        <v>#N/A</v>
      </c>
      <c r="K147">
        <f>MacReports!F147</f>
        <v>0</v>
      </c>
      <c r="L147">
        <f>MacReports!G147</f>
        <v>0</v>
      </c>
      <c r="M147" s="15" t="e" cm="1">
        <f t="array" ref="M147">--_xlfn.LET(
    _xlpm.txt, MacReports!H147,
    _xlpm.chars, MID(_xlpm.txt, _xlfn.SEQUENCE(LEN(_xlpm.txt)), 1),
    _xlfn.TEXTJOIN("", TRUE, IF(ISNUMBER(--_xlpm.chars), _xlpm.chars, ""))
)</f>
        <v>#VALUE!</v>
      </c>
      <c r="N147" s="16" t="str" cm="1">
        <f t="array" ref="N147">_xlfn.IFS(
   --MacReports!M147&lt;55,"Battery Defect",
  -- MacReports!M147&lt;=69,"Battery D",
  --MacReports!M147&lt;=80,"Battery C",
 --MacReports!M147&gt;80,""
)</f>
        <v>Battery Defect</v>
      </c>
      <c r="O147" s="16" t="str">
        <f>IF(MacReports!I147="Service","Battery Service","")</f>
        <v/>
      </c>
      <c r="P147" s="13">
        <f>MacReports!P147</f>
        <v>0</v>
      </c>
      <c r="Q147" s="13" t="str">
        <f>IF(MacReports!J147="Enabled","Apple ID Lock","")</f>
        <v/>
      </c>
      <c r="R147" s="13" t="str">
        <f>IF(MacReports!L147="y","Remote Locked","")</f>
        <v/>
      </c>
      <c r="S147" t="str">
        <f t="shared" si="5"/>
        <v>Battery Defect, 0</v>
      </c>
      <c r="T147" t="str">
        <f>_xlfn.XLOOKUP(B147,Disk_Pivot!G:G,Disk_Pivot!I:I)</f>
        <v>Yes x2</v>
      </c>
      <c r="U147" t="str">
        <f>_xlfn.XLOOKUP(B147,Disk_Pivot!G:G,Disk_Pivot!N:N)</f>
        <v>Pass, Fail</v>
      </c>
      <c r="V147" t="str">
        <f>IF(U147="Fail",MacReports!N147,"")</f>
        <v/>
      </c>
      <c r="AB147" t="str">
        <f t="shared" si="6"/>
        <v/>
      </c>
    </row>
    <row r="148" spans="1:28">
      <c r="A148" t="str">
        <f>MacReports!A148</f>
        <v/>
      </c>
      <c r="B148">
        <f>MacReports!B148</f>
        <v>0</v>
      </c>
      <c r="C148">
        <f>MacReports!C148</f>
        <v>0</v>
      </c>
      <c r="E148" t="e">
        <f>_xlfn.XLOOKUP(G148,Models!A:A,Models!F:F)</f>
        <v>#N/A</v>
      </c>
      <c r="F148" t="str">
        <f>_xlfn.XLOOKUP(B148,MacReports!B:B,MacReports!D:D,"")</f>
        <v/>
      </c>
      <c r="G148" s="13">
        <f>MacReports!E148</f>
        <v>0</v>
      </c>
      <c r="H148" t="e">
        <f>_xlfn.XLOOKUP(G148,Models!A:A,Models!B:B)</f>
        <v>#N/A</v>
      </c>
      <c r="I148" t="e">
        <f>_xlfn.XLOOKUP(G148,Models!A:A,Models!E:E)</f>
        <v>#N/A</v>
      </c>
      <c r="J148" t="e">
        <f>_xlfn.XLOOKUP(G148,Models!A:A,Models!D:D)</f>
        <v>#N/A</v>
      </c>
      <c r="K148">
        <f>MacReports!F148</f>
        <v>0</v>
      </c>
      <c r="L148">
        <f>MacReports!G148</f>
        <v>0</v>
      </c>
      <c r="M148" s="15" t="e" cm="1">
        <f t="array" ref="M148">--_xlfn.LET(
    _xlpm.txt, MacReports!H148,
    _xlpm.chars, MID(_xlpm.txt, _xlfn.SEQUENCE(LEN(_xlpm.txt)), 1),
    _xlfn.TEXTJOIN("", TRUE, IF(ISNUMBER(--_xlpm.chars), _xlpm.chars, ""))
)</f>
        <v>#VALUE!</v>
      </c>
      <c r="N148" s="16" t="str" cm="1">
        <f t="array" ref="N148">_xlfn.IFS(
   --MacReports!M148&lt;55,"Battery Defect",
  -- MacReports!M148&lt;=69,"Battery D",
  --MacReports!M148&lt;=80,"Battery C",
 --MacReports!M148&gt;80,""
)</f>
        <v>Battery Defect</v>
      </c>
      <c r="O148" s="16" t="str">
        <f>IF(MacReports!I148="Service","Battery Service","")</f>
        <v/>
      </c>
      <c r="P148" s="13">
        <f>MacReports!P148</f>
        <v>0</v>
      </c>
      <c r="Q148" s="13" t="str">
        <f>IF(MacReports!J148="Enabled","Apple ID Lock","")</f>
        <v/>
      </c>
      <c r="R148" s="13" t="str">
        <f>IF(MacReports!L148="y","Remote Locked","")</f>
        <v/>
      </c>
      <c r="S148" t="str">
        <f t="shared" si="5"/>
        <v>Battery Defect, 0</v>
      </c>
      <c r="T148" t="str">
        <f>_xlfn.XLOOKUP(B148,Disk_Pivot!G:G,Disk_Pivot!I:I)</f>
        <v>Yes x2</v>
      </c>
      <c r="U148" t="str">
        <f>_xlfn.XLOOKUP(B148,Disk_Pivot!G:G,Disk_Pivot!N:N)</f>
        <v>Pass, Fail</v>
      </c>
      <c r="V148" t="str">
        <f>IF(U148="Fail",MacReports!N148,"")</f>
        <v/>
      </c>
      <c r="AB148" t="str">
        <f t="shared" si="6"/>
        <v/>
      </c>
    </row>
    <row r="149" spans="1:28">
      <c r="A149" t="str">
        <f>MacReports!A149</f>
        <v/>
      </c>
      <c r="B149">
        <f>MacReports!B149</f>
        <v>0</v>
      </c>
      <c r="C149">
        <f>MacReports!C149</f>
        <v>0</v>
      </c>
      <c r="E149" t="e">
        <f>_xlfn.XLOOKUP(G149,Models!A:A,Models!F:F)</f>
        <v>#N/A</v>
      </c>
      <c r="F149" t="str">
        <f>_xlfn.XLOOKUP(B149,MacReports!B:B,MacReports!D:D,"")</f>
        <v/>
      </c>
      <c r="G149" s="13">
        <f>MacReports!E149</f>
        <v>0</v>
      </c>
      <c r="H149" t="e">
        <f>_xlfn.XLOOKUP(G149,Models!A:A,Models!B:B)</f>
        <v>#N/A</v>
      </c>
      <c r="I149" t="e">
        <f>_xlfn.XLOOKUP(G149,Models!A:A,Models!E:E)</f>
        <v>#N/A</v>
      </c>
      <c r="J149" t="e">
        <f>_xlfn.XLOOKUP(G149,Models!A:A,Models!D:D)</f>
        <v>#N/A</v>
      </c>
      <c r="K149">
        <f>MacReports!F149</f>
        <v>0</v>
      </c>
      <c r="L149">
        <f>MacReports!G149</f>
        <v>0</v>
      </c>
      <c r="M149" s="15" t="e" cm="1">
        <f t="array" ref="M149">--_xlfn.LET(
    _xlpm.txt, MacReports!H149,
    _xlpm.chars, MID(_xlpm.txt, _xlfn.SEQUENCE(LEN(_xlpm.txt)), 1),
    _xlfn.TEXTJOIN("", TRUE, IF(ISNUMBER(--_xlpm.chars), _xlpm.chars, ""))
)</f>
        <v>#VALUE!</v>
      </c>
      <c r="N149" s="16" t="str" cm="1">
        <f t="array" ref="N149">_xlfn.IFS(
   --MacReports!M149&lt;55,"Battery Defect",
  -- MacReports!M149&lt;=69,"Battery D",
  --MacReports!M149&lt;=80,"Battery C",
 --MacReports!M149&gt;80,""
)</f>
        <v>Battery Defect</v>
      </c>
      <c r="O149" s="16" t="str">
        <f>IF(MacReports!I149="Service","Battery Service","")</f>
        <v/>
      </c>
      <c r="P149" s="13">
        <f>MacReports!P149</f>
        <v>0</v>
      </c>
      <c r="Q149" s="13" t="str">
        <f>IF(MacReports!J149="Enabled","Apple ID Lock","")</f>
        <v/>
      </c>
      <c r="R149" s="13" t="str">
        <f>IF(MacReports!L149="y","Remote Locked","")</f>
        <v/>
      </c>
      <c r="S149" t="str">
        <f t="shared" si="5"/>
        <v>Battery Defect, 0</v>
      </c>
      <c r="T149" t="str">
        <f>_xlfn.XLOOKUP(B149,Disk_Pivot!G:G,Disk_Pivot!I:I)</f>
        <v>Yes x2</v>
      </c>
      <c r="U149" t="str">
        <f>_xlfn.XLOOKUP(B149,Disk_Pivot!G:G,Disk_Pivot!N:N)</f>
        <v>Pass, Fail</v>
      </c>
      <c r="V149" t="str">
        <f>IF(U149="Fail",MacReports!N149,"")</f>
        <v/>
      </c>
      <c r="AB149" t="str">
        <f t="shared" si="6"/>
        <v/>
      </c>
    </row>
    <row r="150" spans="1:28">
      <c r="A150" t="str">
        <f>MacReports!A150</f>
        <v/>
      </c>
      <c r="B150">
        <f>MacReports!B150</f>
        <v>0</v>
      </c>
      <c r="C150">
        <f>MacReports!C150</f>
        <v>0</v>
      </c>
      <c r="E150" t="e">
        <f>_xlfn.XLOOKUP(G150,Models!A:A,Models!F:F)</f>
        <v>#N/A</v>
      </c>
      <c r="F150" t="str">
        <f>_xlfn.XLOOKUP(B150,MacReports!B:B,MacReports!D:D,"")</f>
        <v/>
      </c>
      <c r="G150" s="13">
        <f>MacReports!E150</f>
        <v>0</v>
      </c>
      <c r="H150" t="e">
        <f>_xlfn.XLOOKUP(G150,Models!A:A,Models!B:B)</f>
        <v>#N/A</v>
      </c>
      <c r="I150" t="e">
        <f>_xlfn.XLOOKUP(G150,Models!A:A,Models!E:E)</f>
        <v>#N/A</v>
      </c>
      <c r="J150" t="e">
        <f>_xlfn.XLOOKUP(G150,Models!A:A,Models!D:D)</f>
        <v>#N/A</v>
      </c>
      <c r="K150">
        <f>MacReports!F150</f>
        <v>0</v>
      </c>
      <c r="L150">
        <f>MacReports!G150</f>
        <v>0</v>
      </c>
      <c r="M150" s="15" t="e" cm="1">
        <f t="array" ref="M150">--_xlfn.LET(
    _xlpm.txt, MacReports!H150,
    _xlpm.chars, MID(_xlpm.txt, _xlfn.SEQUENCE(LEN(_xlpm.txt)), 1),
    _xlfn.TEXTJOIN("", TRUE, IF(ISNUMBER(--_xlpm.chars), _xlpm.chars, ""))
)</f>
        <v>#VALUE!</v>
      </c>
      <c r="N150" s="16" t="str" cm="1">
        <f t="array" ref="N150">_xlfn.IFS(
   --MacReports!M150&lt;55,"Battery Defect",
  -- MacReports!M150&lt;=69,"Battery D",
  --MacReports!M150&lt;=80,"Battery C",
 --MacReports!M150&gt;80,""
)</f>
        <v>Battery Defect</v>
      </c>
      <c r="O150" s="16" t="str">
        <f>IF(MacReports!I150="Service","Battery Service","")</f>
        <v/>
      </c>
      <c r="P150" s="13">
        <f>MacReports!P150</f>
        <v>0</v>
      </c>
      <c r="Q150" s="13" t="str">
        <f>IF(MacReports!J150="Enabled","Apple ID Lock","")</f>
        <v/>
      </c>
      <c r="R150" s="13" t="str">
        <f>IF(MacReports!L150="y","Remote Locked","")</f>
        <v/>
      </c>
      <c r="S150" t="str">
        <f t="shared" si="5"/>
        <v>Battery Defect, 0</v>
      </c>
      <c r="T150" t="str">
        <f>_xlfn.XLOOKUP(B150,Disk_Pivot!G:G,Disk_Pivot!I:I)</f>
        <v>Yes x2</v>
      </c>
      <c r="U150" t="str">
        <f>_xlfn.XLOOKUP(B150,Disk_Pivot!G:G,Disk_Pivot!N:N)</f>
        <v>Pass, Fail</v>
      </c>
      <c r="V150" t="str">
        <f>IF(U150="Fail",MacReports!N150,"")</f>
        <v/>
      </c>
      <c r="AB150" t="str">
        <f t="shared" si="6"/>
        <v/>
      </c>
    </row>
    <row r="151" spans="1:28">
      <c r="A151" t="str">
        <f>MacReports!A151</f>
        <v/>
      </c>
      <c r="B151">
        <f>MacReports!B151</f>
        <v>0</v>
      </c>
      <c r="C151">
        <f>MacReports!C151</f>
        <v>0</v>
      </c>
      <c r="E151" t="e">
        <f>_xlfn.XLOOKUP(G151,Models!A:A,Models!F:F)</f>
        <v>#N/A</v>
      </c>
      <c r="F151" t="str">
        <f>_xlfn.XLOOKUP(B151,MacReports!B:B,MacReports!D:D,"")</f>
        <v/>
      </c>
      <c r="G151" s="13">
        <f>MacReports!E151</f>
        <v>0</v>
      </c>
      <c r="H151" t="e">
        <f>_xlfn.XLOOKUP(G151,Models!A:A,Models!B:B)</f>
        <v>#N/A</v>
      </c>
      <c r="I151" t="e">
        <f>_xlfn.XLOOKUP(G151,Models!A:A,Models!E:E)</f>
        <v>#N/A</v>
      </c>
      <c r="J151" t="e">
        <f>_xlfn.XLOOKUP(G151,Models!A:A,Models!D:D)</f>
        <v>#N/A</v>
      </c>
      <c r="K151">
        <f>MacReports!F151</f>
        <v>0</v>
      </c>
      <c r="L151">
        <f>MacReports!G151</f>
        <v>0</v>
      </c>
      <c r="M151" s="15" t="e" cm="1">
        <f t="array" ref="M151">--_xlfn.LET(
    _xlpm.txt, MacReports!H151,
    _xlpm.chars, MID(_xlpm.txt, _xlfn.SEQUENCE(LEN(_xlpm.txt)), 1),
    _xlfn.TEXTJOIN("", TRUE, IF(ISNUMBER(--_xlpm.chars), _xlpm.chars, ""))
)</f>
        <v>#VALUE!</v>
      </c>
      <c r="N151" s="16" t="str" cm="1">
        <f t="array" ref="N151">_xlfn.IFS(
   --MacReports!M151&lt;55,"Battery Defect",
  -- MacReports!M151&lt;=69,"Battery D",
  --MacReports!M151&lt;=80,"Battery C",
 --MacReports!M151&gt;80,""
)</f>
        <v>Battery Defect</v>
      </c>
      <c r="O151" s="16" t="str">
        <f>IF(MacReports!I151="Service","Battery Service","")</f>
        <v/>
      </c>
      <c r="P151" s="13">
        <f>MacReports!P151</f>
        <v>0</v>
      </c>
      <c r="Q151" s="13" t="str">
        <f>IF(MacReports!J151="Enabled","Apple ID Lock","")</f>
        <v/>
      </c>
      <c r="R151" s="13" t="str">
        <f>IF(MacReports!L151="y","Remote Locked","")</f>
        <v/>
      </c>
      <c r="S151" t="str">
        <f t="shared" si="5"/>
        <v>Battery Defect, 0</v>
      </c>
      <c r="T151" t="str">
        <f>_xlfn.XLOOKUP(B151,Disk_Pivot!G:G,Disk_Pivot!I:I)</f>
        <v>Yes x2</v>
      </c>
      <c r="U151" t="str">
        <f>_xlfn.XLOOKUP(B151,Disk_Pivot!G:G,Disk_Pivot!N:N)</f>
        <v>Pass, Fail</v>
      </c>
      <c r="V151" t="str">
        <f>IF(U151="Fail",MacReports!N151,"")</f>
        <v/>
      </c>
      <c r="AB151" t="str">
        <f t="shared" si="6"/>
        <v/>
      </c>
    </row>
    <row r="152" spans="1:28">
      <c r="A152" t="str">
        <f>MacReports!A152</f>
        <v/>
      </c>
      <c r="B152">
        <f>MacReports!B152</f>
        <v>0</v>
      </c>
      <c r="C152">
        <f>MacReports!C152</f>
        <v>0</v>
      </c>
      <c r="E152" t="e">
        <f>_xlfn.XLOOKUP(G152,Models!A:A,Models!F:F)</f>
        <v>#N/A</v>
      </c>
      <c r="F152" t="str">
        <f>_xlfn.XLOOKUP(B152,MacReports!B:B,MacReports!D:D,"")</f>
        <v/>
      </c>
      <c r="G152" s="13">
        <f>MacReports!E152</f>
        <v>0</v>
      </c>
      <c r="H152" t="e">
        <f>_xlfn.XLOOKUP(G152,Models!A:A,Models!B:B)</f>
        <v>#N/A</v>
      </c>
      <c r="I152" t="e">
        <f>_xlfn.XLOOKUP(G152,Models!A:A,Models!E:E)</f>
        <v>#N/A</v>
      </c>
      <c r="J152" t="e">
        <f>_xlfn.XLOOKUP(G152,Models!A:A,Models!D:D)</f>
        <v>#N/A</v>
      </c>
      <c r="K152">
        <f>MacReports!F152</f>
        <v>0</v>
      </c>
      <c r="L152">
        <f>MacReports!G152</f>
        <v>0</v>
      </c>
      <c r="M152" s="15" t="e" cm="1">
        <f t="array" ref="M152">--_xlfn.LET(
    _xlpm.txt, MacReports!H152,
    _xlpm.chars, MID(_xlpm.txt, _xlfn.SEQUENCE(LEN(_xlpm.txt)), 1),
    _xlfn.TEXTJOIN("", TRUE, IF(ISNUMBER(--_xlpm.chars), _xlpm.chars, ""))
)</f>
        <v>#VALUE!</v>
      </c>
      <c r="N152" s="16" t="str" cm="1">
        <f t="array" ref="N152">_xlfn.IFS(
   --MacReports!M152&lt;55,"Battery Defect",
  -- MacReports!M152&lt;=69,"Battery D",
  --MacReports!M152&lt;=80,"Battery C",
 --MacReports!M152&gt;80,""
)</f>
        <v>Battery Defect</v>
      </c>
      <c r="O152" s="16" t="str">
        <f>IF(MacReports!I152="Service","Battery Service","")</f>
        <v/>
      </c>
      <c r="P152" s="13">
        <f>MacReports!P152</f>
        <v>0</v>
      </c>
      <c r="Q152" s="13" t="str">
        <f>IF(MacReports!J152="Enabled","Apple ID Lock","")</f>
        <v/>
      </c>
      <c r="R152" s="13" t="str">
        <f>IF(MacReports!L152="y","Remote Locked","")</f>
        <v/>
      </c>
      <c r="S152" t="str">
        <f t="shared" si="5"/>
        <v>Battery Defect, 0</v>
      </c>
      <c r="T152" t="str">
        <f>_xlfn.XLOOKUP(B152,Disk_Pivot!G:G,Disk_Pivot!I:I)</f>
        <v>Yes x2</v>
      </c>
      <c r="U152" t="str">
        <f>_xlfn.XLOOKUP(B152,Disk_Pivot!G:G,Disk_Pivot!N:N)</f>
        <v>Pass, Fail</v>
      </c>
      <c r="V152" t="str">
        <f>IF(U152="Fail",MacReports!N152,"")</f>
        <v/>
      </c>
      <c r="AB152" t="str">
        <f t="shared" si="6"/>
        <v/>
      </c>
    </row>
    <row r="153" spans="1:28">
      <c r="A153" t="str">
        <f>MacReports!A153</f>
        <v/>
      </c>
      <c r="B153">
        <f>MacReports!B153</f>
        <v>0</v>
      </c>
      <c r="C153">
        <f>MacReports!C153</f>
        <v>0</v>
      </c>
      <c r="E153" t="e">
        <f>_xlfn.XLOOKUP(G153,Models!A:A,Models!F:F)</f>
        <v>#N/A</v>
      </c>
      <c r="F153" t="str">
        <f>_xlfn.XLOOKUP(B153,MacReports!B:B,MacReports!D:D,"")</f>
        <v/>
      </c>
      <c r="G153" s="13">
        <f>MacReports!E153</f>
        <v>0</v>
      </c>
      <c r="H153" t="e">
        <f>_xlfn.XLOOKUP(G153,Models!A:A,Models!B:B)</f>
        <v>#N/A</v>
      </c>
      <c r="I153" t="e">
        <f>_xlfn.XLOOKUP(G153,Models!A:A,Models!E:E)</f>
        <v>#N/A</v>
      </c>
      <c r="J153" t="e">
        <f>_xlfn.XLOOKUP(G153,Models!A:A,Models!D:D)</f>
        <v>#N/A</v>
      </c>
      <c r="K153">
        <f>MacReports!F153</f>
        <v>0</v>
      </c>
      <c r="L153">
        <f>MacReports!G153</f>
        <v>0</v>
      </c>
      <c r="M153" s="15" t="e" cm="1">
        <f t="array" ref="M153">--_xlfn.LET(
    _xlpm.txt, MacReports!H153,
    _xlpm.chars, MID(_xlpm.txt, _xlfn.SEQUENCE(LEN(_xlpm.txt)), 1),
    _xlfn.TEXTJOIN("", TRUE, IF(ISNUMBER(--_xlpm.chars), _xlpm.chars, ""))
)</f>
        <v>#VALUE!</v>
      </c>
      <c r="N153" s="16" t="str" cm="1">
        <f t="array" ref="N153">_xlfn.IFS(
   --MacReports!M153&lt;55,"Battery Defect",
  -- MacReports!M153&lt;=69,"Battery D",
  --MacReports!M153&lt;=80,"Battery C",
 --MacReports!M153&gt;80,""
)</f>
        <v>Battery Defect</v>
      </c>
      <c r="O153" s="16" t="str">
        <f>IF(MacReports!I153="Service","Battery Service","")</f>
        <v/>
      </c>
      <c r="P153" s="13">
        <f>MacReports!P153</f>
        <v>0</v>
      </c>
      <c r="Q153" s="13" t="str">
        <f>IF(MacReports!J153="Enabled","Apple ID Lock","")</f>
        <v/>
      </c>
      <c r="R153" s="13" t="str">
        <f>IF(MacReports!L153="y","Remote Locked","")</f>
        <v/>
      </c>
      <c r="S153" t="str">
        <f t="shared" si="5"/>
        <v>Battery Defect, 0</v>
      </c>
      <c r="T153" t="str">
        <f>_xlfn.XLOOKUP(B153,Disk_Pivot!G:G,Disk_Pivot!I:I)</f>
        <v>Yes x2</v>
      </c>
      <c r="U153" t="str">
        <f>_xlfn.XLOOKUP(B153,Disk_Pivot!G:G,Disk_Pivot!N:N)</f>
        <v>Pass, Fail</v>
      </c>
      <c r="V153" t="str">
        <f>IF(U153="Fail",MacReports!N153,"")</f>
        <v/>
      </c>
      <c r="AB153" t="str">
        <f t="shared" si="6"/>
        <v/>
      </c>
    </row>
    <row r="154" spans="1:28">
      <c r="A154" t="str">
        <f>MacReports!A154</f>
        <v/>
      </c>
      <c r="B154">
        <f>MacReports!B154</f>
        <v>0</v>
      </c>
      <c r="C154">
        <f>MacReports!C154</f>
        <v>0</v>
      </c>
      <c r="E154" t="e">
        <f>_xlfn.XLOOKUP(G154,Models!A:A,Models!F:F)</f>
        <v>#N/A</v>
      </c>
      <c r="F154" t="str">
        <f>_xlfn.XLOOKUP(B154,MacReports!B:B,MacReports!D:D,"")</f>
        <v/>
      </c>
      <c r="G154" s="13">
        <f>MacReports!E154</f>
        <v>0</v>
      </c>
      <c r="H154" t="e">
        <f>_xlfn.XLOOKUP(G154,Models!A:A,Models!B:B)</f>
        <v>#N/A</v>
      </c>
      <c r="I154" t="e">
        <f>_xlfn.XLOOKUP(G154,Models!A:A,Models!E:E)</f>
        <v>#N/A</v>
      </c>
      <c r="J154" t="e">
        <f>_xlfn.XLOOKUP(G154,Models!A:A,Models!D:D)</f>
        <v>#N/A</v>
      </c>
      <c r="K154">
        <f>MacReports!F154</f>
        <v>0</v>
      </c>
      <c r="L154">
        <f>MacReports!G154</f>
        <v>0</v>
      </c>
      <c r="M154" s="15" t="e" cm="1">
        <f t="array" ref="M154">--_xlfn.LET(
    _xlpm.txt, MacReports!H154,
    _xlpm.chars, MID(_xlpm.txt, _xlfn.SEQUENCE(LEN(_xlpm.txt)), 1),
    _xlfn.TEXTJOIN("", TRUE, IF(ISNUMBER(--_xlpm.chars), _xlpm.chars, ""))
)</f>
        <v>#VALUE!</v>
      </c>
      <c r="N154" s="16" t="str" cm="1">
        <f t="array" ref="N154">_xlfn.IFS(
   --MacReports!M154&lt;55,"Battery Defect",
  -- MacReports!M154&lt;=69,"Battery D",
  --MacReports!M154&lt;=80,"Battery C",
 --MacReports!M154&gt;80,""
)</f>
        <v>Battery Defect</v>
      </c>
      <c r="O154" s="16" t="str">
        <f>IF(MacReports!I154="Service","Battery Service","")</f>
        <v/>
      </c>
      <c r="P154" s="13">
        <f>MacReports!P154</f>
        <v>0</v>
      </c>
      <c r="Q154" s="13" t="str">
        <f>IF(MacReports!J154="Enabled","Apple ID Lock","")</f>
        <v/>
      </c>
      <c r="R154" s="13" t="str">
        <f>IF(MacReports!L154="y","Remote Locked","")</f>
        <v/>
      </c>
      <c r="S154" t="str">
        <f t="shared" si="5"/>
        <v>Battery Defect, 0</v>
      </c>
      <c r="T154" t="str">
        <f>_xlfn.XLOOKUP(B154,Disk_Pivot!G:G,Disk_Pivot!I:I)</f>
        <v>Yes x2</v>
      </c>
      <c r="U154" t="str">
        <f>_xlfn.XLOOKUP(B154,Disk_Pivot!G:G,Disk_Pivot!N:N)</f>
        <v>Pass, Fail</v>
      </c>
      <c r="V154" t="str">
        <f>IF(U154="Fail",MacReports!N154,"")</f>
        <v/>
      </c>
      <c r="AB154" t="str">
        <f t="shared" si="6"/>
        <v/>
      </c>
    </row>
    <row r="155" spans="1:28">
      <c r="A155" t="str">
        <f>MacReports!A155</f>
        <v/>
      </c>
      <c r="B155">
        <f>MacReports!B155</f>
        <v>0</v>
      </c>
      <c r="C155">
        <f>MacReports!C155</f>
        <v>0</v>
      </c>
      <c r="E155" t="e">
        <f>_xlfn.XLOOKUP(G155,Models!A:A,Models!F:F)</f>
        <v>#N/A</v>
      </c>
      <c r="F155" t="str">
        <f>_xlfn.XLOOKUP(B155,MacReports!B:B,MacReports!D:D,"")</f>
        <v/>
      </c>
      <c r="G155" s="13">
        <f>MacReports!E155</f>
        <v>0</v>
      </c>
      <c r="H155" t="e">
        <f>_xlfn.XLOOKUP(G155,Models!A:A,Models!B:B)</f>
        <v>#N/A</v>
      </c>
      <c r="I155" t="e">
        <f>_xlfn.XLOOKUP(G155,Models!A:A,Models!E:E)</f>
        <v>#N/A</v>
      </c>
      <c r="J155" t="e">
        <f>_xlfn.XLOOKUP(G155,Models!A:A,Models!D:D)</f>
        <v>#N/A</v>
      </c>
      <c r="K155">
        <f>MacReports!F155</f>
        <v>0</v>
      </c>
      <c r="L155">
        <f>MacReports!G155</f>
        <v>0</v>
      </c>
      <c r="M155" s="15" t="e" cm="1">
        <f t="array" ref="M155">--_xlfn.LET(
    _xlpm.txt, MacReports!H155,
    _xlpm.chars, MID(_xlpm.txt, _xlfn.SEQUENCE(LEN(_xlpm.txt)), 1),
    _xlfn.TEXTJOIN("", TRUE, IF(ISNUMBER(--_xlpm.chars), _xlpm.chars, ""))
)</f>
        <v>#VALUE!</v>
      </c>
      <c r="N155" s="16" t="str" cm="1">
        <f t="array" ref="N155">_xlfn.IFS(
   --MacReports!M155&lt;55,"Battery Defect",
  -- MacReports!M155&lt;=69,"Battery D",
  --MacReports!M155&lt;=80,"Battery C",
 --MacReports!M155&gt;80,""
)</f>
        <v>Battery Defect</v>
      </c>
      <c r="O155" s="16" t="str">
        <f>IF(MacReports!I155="Service","Battery Service","")</f>
        <v/>
      </c>
      <c r="P155" s="13">
        <f>MacReports!P155</f>
        <v>0</v>
      </c>
      <c r="Q155" s="13" t="str">
        <f>IF(MacReports!J155="Enabled","Apple ID Lock","")</f>
        <v/>
      </c>
      <c r="R155" s="13" t="str">
        <f>IF(MacReports!L155="y","Remote Locked","")</f>
        <v/>
      </c>
      <c r="S155" t="str">
        <f t="shared" si="5"/>
        <v>Battery Defect, 0</v>
      </c>
      <c r="T155" t="str">
        <f>_xlfn.XLOOKUP(B155,Disk_Pivot!G:G,Disk_Pivot!I:I)</f>
        <v>Yes x2</v>
      </c>
      <c r="U155" t="str">
        <f>_xlfn.XLOOKUP(B155,Disk_Pivot!G:G,Disk_Pivot!N:N)</f>
        <v>Pass, Fail</v>
      </c>
      <c r="V155" t="str">
        <f>IF(U155="Fail",MacReports!N155,"")</f>
        <v/>
      </c>
      <c r="AB155" t="str">
        <f t="shared" si="6"/>
        <v/>
      </c>
    </row>
    <row r="156" spans="1:28">
      <c r="A156" t="str">
        <f>MacReports!A156</f>
        <v/>
      </c>
      <c r="B156">
        <f>MacReports!B156</f>
        <v>0</v>
      </c>
      <c r="C156">
        <f>MacReports!C156</f>
        <v>0</v>
      </c>
      <c r="E156" t="e">
        <f>_xlfn.XLOOKUP(G156,Models!A:A,Models!F:F)</f>
        <v>#N/A</v>
      </c>
      <c r="F156" t="str">
        <f>_xlfn.XLOOKUP(B156,MacReports!B:B,MacReports!D:D,"")</f>
        <v/>
      </c>
      <c r="G156" s="13">
        <f>MacReports!E156</f>
        <v>0</v>
      </c>
      <c r="H156" t="e">
        <f>_xlfn.XLOOKUP(G156,Models!A:A,Models!B:B)</f>
        <v>#N/A</v>
      </c>
      <c r="I156" t="e">
        <f>_xlfn.XLOOKUP(G156,Models!A:A,Models!E:E)</f>
        <v>#N/A</v>
      </c>
      <c r="J156" t="e">
        <f>_xlfn.XLOOKUP(G156,Models!A:A,Models!D:D)</f>
        <v>#N/A</v>
      </c>
      <c r="K156">
        <f>MacReports!F156</f>
        <v>0</v>
      </c>
      <c r="L156">
        <f>MacReports!G156</f>
        <v>0</v>
      </c>
      <c r="M156" s="15" t="e" cm="1">
        <f t="array" ref="M156">--_xlfn.LET(
    _xlpm.txt, MacReports!H156,
    _xlpm.chars, MID(_xlpm.txt, _xlfn.SEQUENCE(LEN(_xlpm.txt)), 1),
    _xlfn.TEXTJOIN("", TRUE, IF(ISNUMBER(--_xlpm.chars), _xlpm.chars, ""))
)</f>
        <v>#VALUE!</v>
      </c>
      <c r="N156" s="16" t="str" cm="1">
        <f t="array" ref="N156">_xlfn.IFS(
   --MacReports!M156&lt;55,"Battery Defect",
  -- MacReports!M156&lt;=69,"Battery D",
  --MacReports!M156&lt;=80,"Battery C",
 --MacReports!M156&gt;80,""
)</f>
        <v>Battery Defect</v>
      </c>
      <c r="O156" s="16" t="str">
        <f>IF(MacReports!I156="Service","Battery Service","")</f>
        <v/>
      </c>
      <c r="P156" s="13">
        <f>MacReports!P156</f>
        <v>0</v>
      </c>
      <c r="Q156" s="13" t="str">
        <f>IF(MacReports!J156="Enabled","Apple ID Lock","")</f>
        <v/>
      </c>
      <c r="R156" s="13" t="str">
        <f>IF(MacReports!L156="y","Remote Locked","")</f>
        <v/>
      </c>
      <c r="S156" t="str">
        <f t="shared" si="5"/>
        <v>Battery Defect, 0</v>
      </c>
      <c r="T156" t="str">
        <f>_xlfn.XLOOKUP(B156,Disk_Pivot!G:G,Disk_Pivot!I:I)</f>
        <v>Yes x2</v>
      </c>
      <c r="U156" t="str">
        <f>_xlfn.XLOOKUP(B156,Disk_Pivot!G:G,Disk_Pivot!N:N)</f>
        <v>Pass, Fail</v>
      </c>
      <c r="V156" t="str">
        <f>IF(U156="Fail",MacReports!N156,"")</f>
        <v/>
      </c>
      <c r="AB156" t="str">
        <f t="shared" si="6"/>
        <v/>
      </c>
    </row>
    <row r="157" spans="1:28">
      <c r="A157" t="str">
        <f>MacReports!A157</f>
        <v/>
      </c>
      <c r="B157">
        <f>MacReports!B157</f>
        <v>0</v>
      </c>
      <c r="C157">
        <f>MacReports!C157</f>
        <v>0</v>
      </c>
      <c r="E157" t="e">
        <f>_xlfn.XLOOKUP(G157,Models!A:A,Models!F:F)</f>
        <v>#N/A</v>
      </c>
      <c r="F157" t="str">
        <f>_xlfn.XLOOKUP(B157,MacReports!B:B,MacReports!D:D,"")</f>
        <v/>
      </c>
      <c r="G157" s="13">
        <f>MacReports!E157</f>
        <v>0</v>
      </c>
      <c r="H157" t="e">
        <f>_xlfn.XLOOKUP(G157,Models!A:A,Models!B:B)</f>
        <v>#N/A</v>
      </c>
      <c r="I157" t="e">
        <f>_xlfn.XLOOKUP(G157,Models!A:A,Models!E:E)</f>
        <v>#N/A</v>
      </c>
      <c r="J157" t="e">
        <f>_xlfn.XLOOKUP(G157,Models!A:A,Models!D:D)</f>
        <v>#N/A</v>
      </c>
      <c r="K157">
        <f>MacReports!F157</f>
        <v>0</v>
      </c>
      <c r="L157">
        <f>MacReports!G157</f>
        <v>0</v>
      </c>
      <c r="M157" s="15" t="e" cm="1">
        <f t="array" ref="M157">--_xlfn.LET(
    _xlpm.txt, MacReports!H157,
    _xlpm.chars, MID(_xlpm.txt, _xlfn.SEQUENCE(LEN(_xlpm.txt)), 1),
    _xlfn.TEXTJOIN("", TRUE, IF(ISNUMBER(--_xlpm.chars), _xlpm.chars, ""))
)</f>
        <v>#VALUE!</v>
      </c>
      <c r="N157" s="16" t="str" cm="1">
        <f t="array" ref="N157">_xlfn.IFS(
   --MacReports!M157&lt;55,"Battery Defect",
  -- MacReports!M157&lt;=69,"Battery D",
  --MacReports!M157&lt;=80,"Battery C",
 --MacReports!M157&gt;80,""
)</f>
        <v>Battery Defect</v>
      </c>
      <c r="O157" s="16" t="str">
        <f>IF(MacReports!I157="Service","Battery Service","")</f>
        <v/>
      </c>
      <c r="P157" s="13">
        <f>MacReports!P157</f>
        <v>0</v>
      </c>
      <c r="Q157" s="13" t="str">
        <f>IF(MacReports!J157="Enabled","Apple ID Lock","")</f>
        <v/>
      </c>
      <c r="R157" s="13" t="str">
        <f>IF(MacReports!L157="y","Remote Locked","")</f>
        <v/>
      </c>
      <c r="S157" t="str">
        <f t="shared" si="5"/>
        <v>Battery Defect, 0</v>
      </c>
      <c r="T157" t="str">
        <f>_xlfn.XLOOKUP(B157,Disk_Pivot!G:G,Disk_Pivot!I:I)</f>
        <v>Yes x2</v>
      </c>
      <c r="U157" t="str">
        <f>_xlfn.XLOOKUP(B157,Disk_Pivot!G:G,Disk_Pivot!N:N)</f>
        <v>Pass, Fail</v>
      </c>
      <c r="V157" t="str">
        <f>IF(U157="Fail",MacReports!N157,"")</f>
        <v/>
      </c>
      <c r="AB157" t="str">
        <f t="shared" si="6"/>
        <v/>
      </c>
    </row>
    <row r="158" spans="1:28">
      <c r="A158" t="str">
        <f>MacReports!A158</f>
        <v/>
      </c>
      <c r="B158">
        <f>MacReports!B158</f>
        <v>0</v>
      </c>
      <c r="C158">
        <f>MacReports!C158</f>
        <v>0</v>
      </c>
      <c r="E158" t="e">
        <f>_xlfn.XLOOKUP(G158,Models!A:A,Models!F:F)</f>
        <v>#N/A</v>
      </c>
      <c r="F158" t="str">
        <f>_xlfn.XLOOKUP(B158,MacReports!B:B,MacReports!D:D,"")</f>
        <v/>
      </c>
      <c r="G158" s="13">
        <f>MacReports!E158</f>
        <v>0</v>
      </c>
      <c r="H158" t="e">
        <f>_xlfn.XLOOKUP(G158,Models!A:A,Models!B:B)</f>
        <v>#N/A</v>
      </c>
      <c r="I158" t="e">
        <f>_xlfn.XLOOKUP(G158,Models!A:A,Models!E:E)</f>
        <v>#N/A</v>
      </c>
      <c r="J158" t="e">
        <f>_xlfn.XLOOKUP(G158,Models!A:A,Models!D:D)</f>
        <v>#N/A</v>
      </c>
      <c r="K158">
        <f>MacReports!F158</f>
        <v>0</v>
      </c>
      <c r="L158">
        <f>MacReports!G158</f>
        <v>0</v>
      </c>
      <c r="M158" s="15" t="e" cm="1">
        <f t="array" ref="M158">--_xlfn.LET(
    _xlpm.txt, MacReports!H158,
    _xlpm.chars, MID(_xlpm.txt, _xlfn.SEQUENCE(LEN(_xlpm.txt)), 1),
    _xlfn.TEXTJOIN("", TRUE, IF(ISNUMBER(--_xlpm.chars), _xlpm.chars, ""))
)</f>
        <v>#VALUE!</v>
      </c>
      <c r="N158" s="16" t="str" cm="1">
        <f t="array" ref="N158">_xlfn.IFS(
   --MacReports!M158&lt;55,"Battery Defect",
  -- MacReports!M158&lt;=69,"Battery D",
  --MacReports!M158&lt;=80,"Battery C",
 --MacReports!M158&gt;80,""
)</f>
        <v>Battery Defect</v>
      </c>
      <c r="O158" s="16" t="str">
        <f>IF(MacReports!I158="Service","Battery Service","")</f>
        <v/>
      </c>
      <c r="P158" s="13">
        <f>MacReports!P158</f>
        <v>0</v>
      </c>
      <c r="Q158" s="13" t="str">
        <f>IF(MacReports!J158="Enabled","Apple ID Lock","")</f>
        <v/>
      </c>
      <c r="R158" s="13" t="str">
        <f>IF(MacReports!L158="y","Remote Locked","")</f>
        <v/>
      </c>
      <c r="S158" t="str">
        <f t="shared" si="5"/>
        <v>Battery Defect, 0</v>
      </c>
      <c r="T158" t="str">
        <f>_xlfn.XLOOKUP(B158,Disk_Pivot!G:G,Disk_Pivot!I:I)</f>
        <v>Yes x2</v>
      </c>
      <c r="U158" t="str">
        <f>_xlfn.XLOOKUP(B158,Disk_Pivot!G:G,Disk_Pivot!N:N)</f>
        <v>Pass, Fail</v>
      </c>
      <c r="V158" t="str">
        <f>IF(U158="Fail",MacReports!N158,"")</f>
        <v/>
      </c>
      <c r="AB158" t="str">
        <f t="shared" si="6"/>
        <v/>
      </c>
    </row>
    <row r="159" spans="1:28">
      <c r="A159" t="str">
        <f>MacReports!A159</f>
        <v/>
      </c>
      <c r="B159">
        <f>MacReports!B159</f>
        <v>0</v>
      </c>
      <c r="C159">
        <f>MacReports!C159</f>
        <v>0</v>
      </c>
      <c r="E159" t="e">
        <f>_xlfn.XLOOKUP(G159,Models!A:A,Models!F:F)</f>
        <v>#N/A</v>
      </c>
      <c r="F159" t="str">
        <f>_xlfn.XLOOKUP(B159,MacReports!B:B,MacReports!D:D,"")</f>
        <v/>
      </c>
      <c r="G159" s="13">
        <f>MacReports!E159</f>
        <v>0</v>
      </c>
      <c r="H159" t="e">
        <f>_xlfn.XLOOKUP(G159,Models!A:A,Models!B:B)</f>
        <v>#N/A</v>
      </c>
      <c r="I159" t="e">
        <f>_xlfn.XLOOKUP(G159,Models!A:A,Models!E:E)</f>
        <v>#N/A</v>
      </c>
      <c r="J159" t="e">
        <f>_xlfn.XLOOKUP(G159,Models!A:A,Models!D:D)</f>
        <v>#N/A</v>
      </c>
      <c r="K159">
        <f>MacReports!F159</f>
        <v>0</v>
      </c>
      <c r="L159">
        <f>MacReports!G159</f>
        <v>0</v>
      </c>
      <c r="M159" s="15" t="e" cm="1">
        <f t="array" ref="M159">--_xlfn.LET(
    _xlpm.txt, MacReports!H159,
    _xlpm.chars, MID(_xlpm.txt, _xlfn.SEQUENCE(LEN(_xlpm.txt)), 1),
    _xlfn.TEXTJOIN("", TRUE, IF(ISNUMBER(--_xlpm.chars), _xlpm.chars, ""))
)</f>
        <v>#VALUE!</v>
      </c>
      <c r="N159" s="16" t="str" cm="1">
        <f t="array" ref="N159">_xlfn.IFS(
   --MacReports!M159&lt;55,"Battery Defect",
  -- MacReports!M159&lt;=69,"Battery D",
  --MacReports!M159&lt;=80,"Battery C",
 --MacReports!M159&gt;80,""
)</f>
        <v>Battery Defect</v>
      </c>
      <c r="O159" s="16" t="str">
        <f>IF(MacReports!I159="Service","Battery Service","")</f>
        <v/>
      </c>
      <c r="P159" s="13">
        <f>MacReports!P159</f>
        <v>0</v>
      </c>
      <c r="Q159" s="13" t="str">
        <f>IF(MacReports!J159="Enabled","Apple ID Lock","")</f>
        <v/>
      </c>
      <c r="R159" s="13" t="str">
        <f>IF(MacReports!L159="y","Remote Locked","")</f>
        <v/>
      </c>
      <c r="S159" t="str">
        <f t="shared" si="5"/>
        <v>Battery Defect, 0</v>
      </c>
      <c r="T159" t="str">
        <f>_xlfn.XLOOKUP(B159,Disk_Pivot!G:G,Disk_Pivot!I:I)</f>
        <v>Yes x2</v>
      </c>
      <c r="U159" t="str">
        <f>_xlfn.XLOOKUP(B159,Disk_Pivot!G:G,Disk_Pivot!N:N)</f>
        <v>Pass, Fail</v>
      </c>
      <c r="V159" t="str">
        <f>IF(U159="Fail",MacReports!N159,"")</f>
        <v/>
      </c>
      <c r="AB159" t="str">
        <f t="shared" si="6"/>
        <v/>
      </c>
    </row>
    <row r="160" spans="1:28">
      <c r="A160" t="str">
        <f>MacReports!A160</f>
        <v/>
      </c>
      <c r="B160">
        <f>MacReports!B160</f>
        <v>0</v>
      </c>
      <c r="C160">
        <f>MacReports!C160</f>
        <v>0</v>
      </c>
      <c r="E160" t="e">
        <f>_xlfn.XLOOKUP(G160,Models!A:A,Models!F:F)</f>
        <v>#N/A</v>
      </c>
      <c r="F160" t="str">
        <f>_xlfn.XLOOKUP(B160,MacReports!B:B,MacReports!D:D,"")</f>
        <v/>
      </c>
      <c r="G160" s="13">
        <f>MacReports!E160</f>
        <v>0</v>
      </c>
      <c r="H160" t="e">
        <f>_xlfn.XLOOKUP(G160,Models!A:A,Models!B:B)</f>
        <v>#N/A</v>
      </c>
      <c r="I160" t="e">
        <f>_xlfn.XLOOKUP(G160,Models!A:A,Models!E:E)</f>
        <v>#N/A</v>
      </c>
      <c r="J160" t="e">
        <f>_xlfn.XLOOKUP(G160,Models!A:A,Models!D:D)</f>
        <v>#N/A</v>
      </c>
      <c r="K160">
        <f>MacReports!F160</f>
        <v>0</v>
      </c>
      <c r="L160">
        <f>MacReports!G160</f>
        <v>0</v>
      </c>
      <c r="M160" s="15" t="e" cm="1">
        <f t="array" ref="M160">--_xlfn.LET(
    _xlpm.txt, MacReports!H160,
    _xlpm.chars, MID(_xlpm.txt, _xlfn.SEQUENCE(LEN(_xlpm.txt)), 1),
    _xlfn.TEXTJOIN("", TRUE, IF(ISNUMBER(--_xlpm.chars), _xlpm.chars, ""))
)</f>
        <v>#VALUE!</v>
      </c>
      <c r="N160" s="16" t="str" cm="1">
        <f t="array" ref="N160">_xlfn.IFS(
   --MacReports!M160&lt;55,"Battery Defect",
  -- MacReports!M160&lt;=69,"Battery D",
  --MacReports!M160&lt;=80,"Battery C",
 --MacReports!M160&gt;80,""
)</f>
        <v>Battery Defect</v>
      </c>
      <c r="O160" s="16" t="str">
        <f>IF(MacReports!I160="Service","Battery Service","")</f>
        <v/>
      </c>
      <c r="P160" s="13">
        <f>MacReports!P160</f>
        <v>0</v>
      </c>
      <c r="Q160" s="13" t="str">
        <f>IF(MacReports!J160="Enabled","Apple ID Lock","")</f>
        <v/>
      </c>
      <c r="R160" s="13" t="str">
        <f>IF(MacReports!L160="y","Remote Locked","")</f>
        <v/>
      </c>
      <c r="S160" t="str">
        <f t="shared" si="5"/>
        <v>Battery Defect, 0</v>
      </c>
      <c r="T160" t="str">
        <f>_xlfn.XLOOKUP(B160,Disk_Pivot!G:G,Disk_Pivot!I:I)</f>
        <v>Yes x2</v>
      </c>
      <c r="U160" t="str">
        <f>_xlfn.XLOOKUP(B160,Disk_Pivot!G:G,Disk_Pivot!N:N)</f>
        <v>Pass, Fail</v>
      </c>
      <c r="V160" t="str">
        <f>IF(U160="Fail",MacReports!N160,"")</f>
        <v/>
      </c>
      <c r="AB160" t="str">
        <f t="shared" si="6"/>
        <v/>
      </c>
    </row>
    <row r="161" spans="1:28">
      <c r="A161" t="str">
        <f>MacReports!A161</f>
        <v/>
      </c>
      <c r="B161">
        <f>MacReports!B161</f>
        <v>0</v>
      </c>
      <c r="C161">
        <f>MacReports!C161</f>
        <v>0</v>
      </c>
      <c r="E161" t="e">
        <f>_xlfn.XLOOKUP(G161,Models!A:A,Models!F:F)</f>
        <v>#N/A</v>
      </c>
      <c r="F161" t="str">
        <f>_xlfn.XLOOKUP(B161,MacReports!B:B,MacReports!D:D,"")</f>
        <v/>
      </c>
      <c r="G161" s="13">
        <f>MacReports!E161</f>
        <v>0</v>
      </c>
      <c r="H161" t="e">
        <f>_xlfn.XLOOKUP(G161,Models!A:A,Models!B:B)</f>
        <v>#N/A</v>
      </c>
      <c r="I161" t="e">
        <f>_xlfn.XLOOKUP(G161,Models!A:A,Models!E:E)</f>
        <v>#N/A</v>
      </c>
      <c r="J161" t="e">
        <f>_xlfn.XLOOKUP(G161,Models!A:A,Models!D:D)</f>
        <v>#N/A</v>
      </c>
      <c r="K161">
        <f>MacReports!F161</f>
        <v>0</v>
      </c>
      <c r="L161">
        <f>MacReports!G161</f>
        <v>0</v>
      </c>
      <c r="M161" s="15" t="e" cm="1">
        <f t="array" ref="M161">--_xlfn.LET(
    _xlpm.txt, MacReports!H161,
    _xlpm.chars, MID(_xlpm.txt, _xlfn.SEQUENCE(LEN(_xlpm.txt)), 1),
    _xlfn.TEXTJOIN("", TRUE, IF(ISNUMBER(--_xlpm.chars), _xlpm.chars, ""))
)</f>
        <v>#VALUE!</v>
      </c>
      <c r="N161" s="16" t="str" cm="1">
        <f t="array" ref="N161">_xlfn.IFS(
   --MacReports!M161&lt;55,"Battery Defect",
  -- MacReports!M161&lt;=69,"Battery D",
  --MacReports!M161&lt;=80,"Battery C",
 --MacReports!M161&gt;80,""
)</f>
        <v>Battery Defect</v>
      </c>
      <c r="O161" s="16" t="str">
        <f>IF(MacReports!I161="Service","Battery Service","")</f>
        <v/>
      </c>
      <c r="P161" s="13">
        <f>MacReports!P161</f>
        <v>0</v>
      </c>
      <c r="Q161" s="13" t="str">
        <f>IF(MacReports!J161="Enabled","Apple ID Lock","")</f>
        <v/>
      </c>
      <c r="R161" s="13" t="str">
        <f>IF(MacReports!L161="y","Remote Locked","")</f>
        <v/>
      </c>
      <c r="S161" t="str">
        <f t="shared" si="5"/>
        <v>Battery Defect, 0</v>
      </c>
      <c r="T161" t="str">
        <f>_xlfn.XLOOKUP(B161,Disk_Pivot!G:G,Disk_Pivot!I:I)</f>
        <v>Yes x2</v>
      </c>
      <c r="U161" t="str">
        <f>_xlfn.XLOOKUP(B161,Disk_Pivot!G:G,Disk_Pivot!N:N)</f>
        <v>Pass, Fail</v>
      </c>
      <c r="V161" t="str">
        <f>IF(U161="Fail",MacReports!N161,"")</f>
        <v/>
      </c>
      <c r="AB161" t="str">
        <f t="shared" si="6"/>
        <v/>
      </c>
    </row>
    <row r="162" spans="1:28">
      <c r="A162" t="str">
        <f>MacReports!A162</f>
        <v/>
      </c>
      <c r="B162">
        <f>MacReports!B162</f>
        <v>0</v>
      </c>
      <c r="C162">
        <f>MacReports!C162</f>
        <v>0</v>
      </c>
      <c r="E162" t="e">
        <f>_xlfn.XLOOKUP(G162,Models!A:A,Models!F:F)</f>
        <v>#N/A</v>
      </c>
      <c r="F162" t="str">
        <f>_xlfn.XLOOKUP(B162,MacReports!B:B,MacReports!D:D,"")</f>
        <v/>
      </c>
      <c r="G162" s="13">
        <f>MacReports!E162</f>
        <v>0</v>
      </c>
      <c r="H162" t="e">
        <f>_xlfn.XLOOKUP(G162,Models!A:A,Models!B:B)</f>
        <v>#N/A</v>
      </c>
      <c r="I162" t="e">
        <f>_xlfn.XLOOKUP(G162,Models!A:A,Models!E:E)</f>
        <v>#N/A</v>
      </c>
      <c r="J162" t="e">
        <f>_xlfn.XLOOKUP(G162,Models!A:A,Models!D:D)</f>
        <v>#N/A</v>
      </c>
      <c r="K162">
        <f>MacReports!F162</f>
        <v>0</v>
      </c>
      <c r="L162">
        <f>MacReports!G162</f>
        <v>0</v>
      </c>
      <c r="M162" s="15" t="e" cm="1">
        <f t="array" ref="M162">--_xlfn.LET(
    _xlpm.txt, MacReports!H162,
    _xlpm.chars, MID(_xlpm.txt, _xlfn.SEQUENCE(LEN(_xlpm.txt)), 1),
    _xlfn.TEXTJOIN("", TRUE, IF(ISNUMBER(--_xlpm.chars), _xlpm.chars, ""))
)</f>
        <v>#VALUE!</v>
      </c>
      <c r="N162" s="16" t="str" cm="1">
        <f t="array" ref="N162">_xlfn.IFS(
   --MacReports!M162&lt;55,"Battery Defect",
  -- MacReports!M162&lt;=69,"Battery D",
  --MacReports!M162&lt;=80,"Battery C",
 --MacReports!M162&gt;80,""
)</f>
        <v>Battery Defect</v>
      </c>
      <c r="O162" s="16" t="str">
        <f>IF(MacReports!I162="Service","Battery Service","")</f>
        <v/>
      </c>
      <c r="P162" s="13">
        <f>MacReports!P162</f>
        <v>0</v>
      </c>
      <c r="Q162" s="13" t="str">
        <f>IF(MacReports!J162="Enabled","Apple ID Lock","")</f>
        <v/>
      </c>
      <c r="R162" s="13" t="str">
        <f>IF(MacReports!L162="y","Remote Locked","")</f>
        <v/>
      </c>
      <c r="S162" t="str">
        <f t="shared" si="5"/>
        <v>Battery Defect, 0</v>
      </c>
      <c r="T162" t="str">
        <f>_xlfn.XLOOKUP(B162,Disk_Pivot!G:G,Disk_Pivot!I:I)</f>
        <v>Yes x2</v>
      </c>
      <c r="U162" t="str">
        <f>_xlfn.XLOOKUP(B162,Disk_Pivot!G:G,Disk_Pivot!N:N)</f>
        <v>Pass, Fail</v>
      </c>
      <c r="V162" t="str">
        <f>IF(U162="Fail",MacReports!N162,"")</f>
        <v/>
      </c>
      <c r="AB162" t="str">
        <f t="shared" si="6"/>
        <v/>
      </c>
    </row>
    <row r="163" spans="1:28">
      <c r="A163" t="str">
        <f>MacReports!A163</f>
        <v/>
      </c>
      <c r="B163">
        <f>MacReports!B163</f>
        <v>0</v>
      </c>
      <c r="C163">
        <f>MacReports!C163</f>
        <v>0</v>
      </c>
      <c r="E163" t="e">
        <f>_xlfn.XLOOKUP(G163,Models!A:A,Models!F:F)</f>
        <v>#N/A</v>
      </c>
      <c r="F163" t="str">
        <f>_xlfn.XLOOKUP(B163,MacReports!B:B,MacReports!D:D,"")</f>
        <v/>
      </c>
      <c r="G163" s="13">
        <f>MacReports!E163</f>
        <v>0</v>
      </c>
      <c r="H163" t="e">
        <f>_xlfn.XLOOKUP(G163,Models!A:A,Models!B:B)</f>
        <v>#N/A</v>
      </c>
      <c r="I163" t="e">
        <f>_xlfn.XLOOKUP(G163,Models!A:A,Models!E:E)</f>
        <v>#N/A</v>
      </c>
      <c r="J163" t="e">
        <f>_xlfn.XLOOKUP(G163,Models!A:A,Models!D:D)</f>
        <v>#N/A</v>
      </c>
      <c r="K163">
        <f>MacReports!F163</f>
        <v>0</v>
      </c>
      <c r="L163">
        <f>MacReports!G163</f>
        <v>0</v>
      </c>
      <c r="M163" s="15" t="e" cm="1">
        <f t="array" ref="M163">--_xlfn.LET(
    _xlpm.txt, MacReports!H163,
    _xlpm.chars, MID(_xlpm.txt, _xlfn.SEQUENCE(LEN(_xlpm.txt)), 1),
    _xlfn.TEXTJOIN("", TRUE, IF(ISNUMBER(--_xlpm.chars), _xlpm.chars, ""))
)</f>
        <v>#VALUE!</v>
      </c>
      <c r="N163" s="16" t="str" cm="1">
        <f t="array" ref="N163">_xlfn.IFS(
   --MacReports!M163&lt;55,"Battery Defect",
  -- MacReports!M163&lt;=69,"Battery D",
  --MacReports!M163&lt;=80,"Battery C",
 --MacReports!M163&gt;80,""
)</f>
        <v>Battery Defect</v>
      </c>
      <c r="O163" s="16" t="str">
        <f>IF(MacReports!I163="Service","Battery Service","")</f>
        <v/>
      </c>
      <c r="P163" s="13">
        <f>MacReports!P163</f>
        <v>0</v>
      </c>
      <c r="Q163" s="13" t="str">
        <f>IF(MacReports!J163="Enabled","Apple ID Lock","")</f>
        <v/>
      </c>
      <c r="R163" s="13" t="str">
        <f>IF(MacReports!L163="y","Remote Locked","")</f>
        <v/>
      </c>
      <c r="S163" t="str">
        <f t="shared" ref="S163:S226" si="7">_xlfn.TEXTJOIN(", ",TRUE,Q163,R163,N163,O163,P163)</f>
        <v>Battery Defect, 0</v>
      </c>
      <c r="T163" t="str">
        <f>_xlfn.XLOOKUP(B163,Disk_Pivot!G:G,Disk_Pivot!I:I)</f>
        <v>Yes x2</v>
      </c>
      <c r="U163" t="str">
        <f>_xlfn.XLOOKUP(B163,Disk_Pivot!G:G,Disk_Pivot!N:N)</f>
        <v>Pass, Fail</v>
      </c>
      <c r="V163" t="str">
        <f>IF(U163="Fail",MacReports!N163,"")</f>
        <v/>
      </c>
      <c r="AB163" t="str">
        <f t="shared" ref="AB163:AB226" si="8">_xlfn.TEXTJOIN(", ",TRUE,Q163,R163)</f>
        <v/>
      </c>
    </row>
    <row r="164" spans="1:28">
      <c r="A164" t="str">
        <f>MacReports!A164</f>
        <v/>
      </c>
      <c r="B164">
        <f>MacReports!B164</f>
        <v>0</v>
      </c>
      <c r="C164">
        <f>MacReports!C164</f>
        <v>0</v>
      </c>
      <c r="E164" t="e">
        <f>_xlfn.XLOOKUP(G164,Models!A:A,Models!F:F)</f>
        <v>#N/A</v>
      </c>
      <c r="F164" t="str">
        <f>_xlfn.XLOOKUP(B164,MacReports!B:B,MacReports!D:D,"")</f>
        <v/>
      </c>
      <c r="G164" s="13">
        <f>MacReports!E164</f>
        <v>0</v>
      </c>
      <c r="H164" t="e">
        <f>_xlfn.XLOOKUP(G164,Models!A:A,Models!B:B)</f>
        <v>#N/A</v>
      </c>
      <c r="I164" t="e">
        <f>_xlfn.XLOOKUP(G164,Models!A:A,Models!E:E)</f>
        <v>#N/A</v>
      </c>
      <c r="J164" t="e">
        <f>_xlfn.XLOOKUP(G164,Models!A:A,Models!D:D)</f>
        <v>#N/A</v>
      </c>
      <c r="K164">
        <f>MacReports!F164</f>
        <v>0</v>
      </c>
      <c r="L164">
        <f>MacReports!G164</f>
        <v>0</v>
      </c>
      <c r="M164" s="15" t="e" cm="1">
        <f t="array" ref="M164">--_xlfn.LET(
    _xlpm.txt, MacReports!H164,
    _xlpm.chars, MID(_xlpm.txt, _xlfn.SEQUENCE(LEN(_xlpm.txt)), 1),
    _xlfn.TEXTJOIN("", TRUE, IF(ISNUMBER(--_xlpm.chars), _xlpm.chars, ""))
)</f>
        <v>#VALUE!</v>
      </c>
      <c r="N164" s="16" t="str" cm="1">
        <f t="array" ref="N164">_xlfn.IFS(
   --MacReports!M164&lt;55,"Battery Defect",
  -- MacReports!M164&lt;=69,"Battery D",
  --MacReports!M164&lt;=80,"Battery C",
 --MacReports!M164&gt;80,""
)</f>
        <v>Battery Defect</v>
      </c>
      <c r="O164" s="16" t="str">
        <f>IF(MacReports!I164="Service","Battery Service","")</f>
        <v/>
      </c>
      <c r="P164" s="13">
        <f>MacReports!P164</f>
        <v>0</v>
      </c>
      <c r="Q164" s="13" t="str">
        <f>IF(MacReports!J164="Enabled","Apple ID Lock","")</f>
        <v/>
      </c>
      <c r="R164" s="13" t="str">
        <f>IF(MacReports!L164="y","Remote Locked","")</f>
        <v/>
      </c>
      <c r="S164" t="str">
        <f t="shared" si="7"/>
        <v>Battery Defect, 0</v>
      </c>
      <c r="T164" t="str">
        <f>_xlfn.XLOOKUP(B164,Disk_Pivot!G:G,Disk_Pivot!I:I)</f>
        <v>Yes x2</v>
      </c>
      <c r="U164" t="str">
        <f>_xlfn.XLOOKUP(B164,Disk_Pivot!G:G,Disk_Pivot!N:N)</f>
        <v>Pass, Fail</v>
      </c>
      <c r="V164" t="str">
        <f>IF(U164="Fail",MacReports!N164,"")</f>
        <v/>
      </c>
      <c r="AB164" t="str">
        <f t="shared" si="8"/>
        <v/>
      </c>
    </row>
    <row r="165" spans="1:28">
      <c r="A165" t="str">
        <f>MacReports!A165</f>
        <v/>
      </c>
      <c r="B165">
        <f>MacReports!B165</f>
        <v>0</v>
      </c>
      <c r="C165">
        <f>MacReports!C165</f>
        <v>0</v>
      </c>
      <c r="E165" t="e">
        <f>_xlfn.XLOOKUP(G165,Models!A:A,Models!F:F)</f>
        <v>#N/A</v>
      </c>
      <c r="F165" t="str">
        <f>_xlfn.XLOOKUP(B165,MacReports!B:B,MacReports!D:D,"")</f>
        <v/>
      </c>
      <c r="G165" s="13">
        <f>MacReports!E165</f>
        <v>0</v>
      </c>
      <c r="H165" t="e">
        <f>_xlfn.XLOOKUP(G165,Models!A:A,Models!B:B)</f>
        <v>#N/A</v>
      </c>
      <c r="I165" t="e">
        <f>_xlfn.XLOOKUP(G165,Models!A:A,Models!E:E)</f>
        <v>#N/A</v>
      </c>
      <c r="J165" t="e">
        <f>_xlfn.XLOOKUP(G165,Models!A:A,Models!D:D)</f>
        <v>#N/A</v>
      </c>
      <c r="K165">
        <f>MacReports!F165</f>
        <v>0</v>
      </c>
      <c r="L165">
        <f>MacReports!G165</f>
        <v>0</v>
      </c>
      <c r="M165" s="15" t="e" cm="1">
        <f t="array" ref="M165">--_xlfn.LET(
    _xlpm.txt, MacReports!H165,
    _xlpm.chars, MID(_xlpm.txt, _xlfn.SEQUENCE(LEN(_xlpm.txt)), 1),
    _xlfn.TEXTJOIN("", TRUE, IF(ISNUMBER(--_xlpm.chars), _xlpm.chars, ""))
)</f>
        <v>#VALUE!</v>
      </c>
      <c r="N165" s="16" t="str" cm="1">
        <f t="array" ref="N165">_xlfn.IFS(
   --MacReports!M165&lt;55,"Battery Defect",
  -- MacReports!M165&lt;=69,"Battery D",
  --MacReports!M165&lt;=80,"Battery C",
 --MacReports!M165&gt;80,""
)</f>
        <v>Battery Defect</v>
      </c>
      <c r="O165" s="16" t="str">
        <f>IF(MacReports!I165="Service","Battery Service","")</f>
        <v/>
      </c>
      <c r="P165" s="13">
        <f>MacReports!P165</f>
        <v>0</v>
      </c>
      <c r="Q165" s="13" t="str">
        <f>IF(MacReports!J165="Enabled","Apple ID Lock","")</f>
        <v/>
      </c>
      <c r="R165" s="13" t="str">
        <f>IF(MacReports!L165="y","Remote Locked","")</f>
        <v/>
      </c>
      <c r="S165" t="str">
        <f t="shared" si="7"/>
        <v>Battery Defect, 0</v>
      </c>
      <c r="T165" t="str">
        <f>_xlfn.XLOOKUP(B165,Disk_Pivot!G:G,Disk_Pivot!I:I)</f>
        <v>Yes x2</v>
      </c>
      <c r="U165" t="str">
        <f>_xlfn.XLOOKUP(B165,Disk_Pivot!G:G,Disk_Pivot!N:N)</f>
        <v>Pass, Fail</v>
      </c>
      <c r="V165" t="str">
        <f>IF(U165="Fail",MacReports!N165,"")</f>
        <v/>
      </c>
      <c r="AB165" t="str">
        <f t="shared" si="8"/>
        <v/>
      </c>
    </row>
    <row r="166" spans="1:28">
      <c r="A166" t="str">
        <f>MacReports!A166</f>
        <v/>
      </c>
      <c r="B166">
        <f>MacReports!B166</f>
        <v>0</v>
      </c>
      <c r="C166">
        <f>MacReports!C166</f>
        <v>0</v>
      </c>
      <c r="E166" t="e">
        <f>_xlfn.XLOOKUP(G166,Models!A:A,Models!F:F)</f>
        <v>#N/A</v>
      </c>
      <c r="F166" t="str">
        <f>_xlfn.XLOOKUP(B166,MacReports!B:B,MacReports!D:D,"")</f>
        <v/>
      </c>
      <c r="G166" s="13">
        <f>MacReports!E166</f>
        <v>0</v>
      </c>
      <c r="H166" t="e">
        <f>_xlfn.XLOOKUP(G166,Models!A:A,Models!B:B)</f>
        <v>#N/A</v>
      </c>
      <c r="I166" t="e">
        <f>_xlfn.XLOOKUP(G166,Models!A:A,Models!E:E)</f>
        <v>#N/A</v>
      </c>
      <c r="J166" t="e">
        <f>_xlfn.XLOOKUP(G166,Models!A:A,Models!D:D)</f>
        <v>#N/A</v>
      </c>
      <c r="K166">
        <f>MacReports!F166</f>
        <v>0</v>
      </c>
      <c r="L166">
        <f>MacReports!G166</f>
        <v>0</v>
      </c>
      <c r="M166" s="15" t="e" cm="1">
        <f t="array" ref="M166">--_xlfn.LET(
    _xlpm.txt, MacReports!H166,
    _xlpm.chars, MID(_xlpm.txt, _xlfn.SEQUENCE(LEN(_xlpm.txt)), 1),
    _xlfn.TEXTJOIN("", TRUE, IF(ISNUMBER(--_xlpm.chars), _xlpm.chars, ""))
)</f>
        <v>#VALUE!</v>
      </c>
      <c r="N166" s="16" t="str" cm="1">
        <f t="array" ref="N166">_xlfn.IFS(
   --MacReports!M166&lt;55,"Battery Defect",
  -- MacReports!M166&lt;=69,"Battery D",
  --MacReports!M166&lt;=80,"Battery C",
 --MacReports!M166&gt;80,""
)</f>
        <v>Battery Defect</v>
      </c>
      <c r="O166" s="16" t="str">
        <f>IF(MacReports!I166="Service","Battery Service","")</f>
        <v/>
      </c>
      <c r="P166" s="13">
        <f>MacReports!P166</f>
        <v>0</v>
      </c>
      <c r="Q166" s="13" t="str">
        <f>IF(MacReports!J166="Enabled","Apple ID Lock","")</f>
        <v/>
      </c>
      <c r="R166" s="13" t="str">
        <f>IF(MacReports!L166="y","Remote Locked","")</f>
        <v/>
      </c>
      <c r="S166" t="str">
        <f t="shared" si="7"/>
        <v>Battery Defect, 0</v>
      </c>
      <c r="T166" t="str">
        <f>_xlfn.XLOOKUP(B166,Disk_Pivot!G:G,Disk_Pivot!I:I)</f>
        <v>Yes x2</v>
      </c>
      <c r="U166" t="str">
        <f>_xlfn.XLOOKUP(B166,Disk_Pivot!G:G,Disk_Pivot!N:N)</f>
        <v>Pass, Fail</v>
      </c>
      <c r="V166" t="str">
        <f>IF(U166="Fail",MacReports!N166,"")</f>
        <v/>
      </c>
      <c r="AB166" t="str">
        <f t="shared" si="8"/>
        <v/>
      </c>
    </row>
    <row r="167" spans="1:28">
      <c r="A167" t="str">
        <f>MacReports!A167</f>
        <v/>
      </c>
      <c r="B167">
        <f>MacReports!B167</f>
        <v>0</v>
      </c>
      <c r="C167">
        <f>MacReports!C167</f>
        <v>0</v>
      </c>
      <c r="E167" t="e">
        <f>_xlfn.XLOOKUP(G167,Models!A:A,Models!F:F)</f>
        <v>#N/A</v>
      </c>
      <c r="F167" t="str">
        <f>_xlfn.XLOOKUP(B167,MacReports!B:B,MacReports!D:D,"")</f>
        <v/>
      </c>
      <c r="G167" s="13">
        <f>MacReports!E167</f>
        <v>0</v>
      </c>
      <c r="H167" t="e">
        <f>_xlfn.XLOOKUP(G167,Models!A:A,Models!B:B)</f>
        <v>#N/A</v>
      </c>
      <c r="I167" t="e">
        <f>_xlfn.XLOOKUP(G167,Models!A:A,Models!E:E)</f>
        <v>#N/A</v>
      </c>
      <c r="J167" t="e">
        <f>_xlfn.XLOOKUP(G167,Models!A:A,Models!D:D)</f>
        <v>#N/A</v>
      </c>
      <c r="K167">
        <f>MacReports!F167</f>
        <v>0</v>
      </c>
      <c r="L167">
        <f>MacReports!G167</f>
        <v>0</v>
      </c>
      <c r="M167" s="15" t="e" cm="1">
        <f t="array" ref="M167">--_xlfn.LET(
    _xlpm.txt, MacReports!H167,
    _xlpm.chars, MID(_xlpm.txt, _xlfn.SEQUENCE(LEN(_xlpm.txt)), 1),
    _xlfn.TEXTJOIN("", TRUE, IF(ISNUMBER(--_xlpm.chars), _xlpm.chars, ""))
)</f>
        <v>#VALUE!</v>
      </c>
      <c r="N167" s="16" t="str" cm="1">
        <f t="array" ref="N167">_xlfn.IFS(
   --MacReports!M167&lt;55,"Battery Defect",
  -- MacReports!M167&lt;=69,"Battery D",
  --MacReports!M167&lt;=80,"Battery C",
 --MacReports!M167&gt;80,""
)</f>
        <v>Battery Defect</v>
      </c>
      <c r="O167" s="16" t="str">
        <f>IF(MacReports!I167="Service","Battery Service","")</f>
        <v/>
      </c>
      <c r="P167" s="13">
        <f>MacReports!P167</f>
        <v>0</v>
      </c>
      <c r="Q167" s="13" t="str">
        <f>IF(MacReports!J167="Enabled","Apple ID Lock","")</f>
        <v/>
      </c>
      <c r="R167" s="13" t="str">
        <f>IF(MacReports!L167="y","Remote Locked","")</f>
        <v/>
      </c>
      <c r="S167" t="str">
        <f t="shared" si="7"/>
        <v>Battery Defect, 0</v>
      </c>
      <c r="T167" t="str">
        <f>_xlfn.XLOOKUP(B167,Disk_Pivot!G:G,Disk_Pivot!I:I)</f>
        <v>Yes x2</v>
      </c>
      <c r="U167" t="str">
        <f>_xlfn.XLOOKUP(B167,Disk_Pivot!G:G,Disk_Pivot!N:N)</f>
        <v>Pass, Fail</v>
      </c>
      <c r="V167" t="str">
        <f>IF(U167="Fail",MacReports!N167,"")</f>
        <v/>
      </c>
      <c r="AB167" t="str">
        <f t="shared" si="8"/>
        <v/>
      </c>
    </row>
    <row r="168" spans="1:28">
      <c r="A168" t="str">
        <f>MacReports!A168</f>
        <v/>
      </c>
      <c r="B168">
        <f>MacReports!B168</f>
        <v>0</v>
      </c>
      <c r="C168">
        <f>MacReports!C168</f>
        <v>0</v>
      </c>
      <c r="E168" t="e">
        <f>_xlfn.XLOOKUP(G168,Models!A:A,Models!F:F)</f>
        <v>#N/A</v>
      </c>
      <c r="F168" t="str">
        <f>_xlfn.XLOOKUP(B168,MacReports!B:B,MacReports!D:D,"")</f>
        <v/>
      </c>
      <c r="G168" s="13">
        <f>MacReports!E168</f>
        <v>0</v>
      </c>
      <c r="H168" t="e">
        <f>_xlfn.XLOOKUP(G168,Models!A:A,Models!B:B)</f>
        <v>#N/A</v>
      </c>
      <c r="I168" t="e">
        <f>_xlfn.XLOOKUP(G168,Models!A:A,Models!E:E)</f>
        <v>#N/A</v>
      </c>
      <c r="J168" t="e">
        <f>_xlfn.XLOOKUP(G168,Models!A:A,Models!D:D)</f>
        <v>#N/A</v>
      </c>
      <c r="K168">
        <f>MacReports!F168</f>
        <v>0</v>
      </c>
      <c r="L168">
        <f>MacReports!G168</f>
        <v>0</v>
      </c>
      <c r="M168" s="15" t="e" cm="1">
        <f t="array" ref="M168">--_xlfn.LET(
    _xlpm.txt, MacReports!H168,
    _xlpm.chars, MID(_xlpm.txt, _xlfn.SEQUENCE(LEN(_xlpm.txt)), 1),
    _xlfn.TEXTJOIN("", TRUE, IF(ISNUMBER(--_xlpm.chars), _xlpm.chars, ""))
)</f>
        <v>#VALUE!</v>
      </c>
      <c r="N168" s="16" t="str" cm="1">
        <f t="array" ref="N168">_xlfn.IFS(
   --MacReports!M168&lt;55,"Battery Defect",
  -- MacReports!M168&lt;=69,"Battery D",
  --MacReports!M168&lt;=80,"Battery C",
 --MacReports!M168&gt;80,""
)</f>
        <v>Battery Defect</v>
      </c>
      <c r="O168" s="16" t="str">
        <f>IF(MacReports!I168="Service","Battery Service","")</f>
        <v/>
      </c>
      <c r="P168" s="13">
        <f>MacReports!P168</f>
        <v>0</v>
      </c>
      <c r="Q168" s="13" t="str">
        <f>IF(MacReports!J168="Enabled","Apple ID Lock","")</f>
        <v/>
      </c>
      <c r="R168" s="13" t="str">
        <f>IF(MacReports!L168="y","Remote Locked","")</f>
        <v/>
      </c>
      <c r="S168" t="str">
        <f t="shared" si="7"/>
        <v>Battery Defect, 0</v>
      </c>
      <c r="T168" t="str">
        <f>_xlfn.XLOOKUP(B168,Disk_Pivot!G:G,Disk_Pivot!I:I)</f>
        <v>Yes x2</v>
      </c>
      <c r="U168" t="str">
        <f>_xlfn.XLOOKUP(B168,Disk_Pivot!G:G,Disk_Pivot!N:N)</f>
        <v>Pass, Fail</v>
      </c>
      <c r="V168" t="str">
        <f>IF(U168="Fail",MacReports!N168,"")</f>
        <v/>
      </c>
      <c r="AB168" t="str">
        <f t="shared" si="8"/>
        <v/>
      </c>
    </row>
    <row r="169" spans="1:28">
      <c r="A169" t="str">
        <f>MacReports!A169</f>
        <v/>
      </c>
      <c r="B169">
        <f>MacReports!B169</f>
        <v>0</v>
      </c>
      <c r="C169">
        <f>MacReports!C169</f>
        <v>0</v>
      </c>
      <c r="E169" t="e">
        <f>_xlfn.XLOOKUP(G169,Models!A:A,Models!F:F)</f>
        <v>#N/A</v>
      </c>
      <c r="F169" t="str">
        <f>_xlfn.XLOOKUP(B169,MacReports!B:B,MacReports!D:D,"")</f>
        <v/>
      </c>
      <c r="G169" s="13">
        <f>MacReports!E169</f>
        <v>0</v>
      </c>
      <c r="H169" t="e">
        <f>_xlfn.XLOOKUP(G169,Models!A:A,Models!B:B)</f>
        <v>#N/A</v>
      </c>
      <c r="I169" t="e">
        <f>_xlfn.XLOOKUP(G169,Models!A:A,Models!E:E)</f>
        <v>#N/A</v>
      </c>
      <c r="J169" t="e">
        <f>_xlfn.XLOOKUP(G169,Models!A:A,Models!D:D)</f>
        <v>#N/A</v>
      </c>
      <c r="K169">
        <f>MacReports!F169</f>
        <v>0</v>
      </c>
      <c r="L169">
        <f>MacReports!G169</f>
        <v>0</v>
      </c>
      <c r="M169" s="15" t="e" cm="1">
        <f t="array" ref="M169">--_xlfn.LET(
    _xlpm.txt, MacReports!H169,
    _xlpm.chars, MID(_xlpm.txt, _xlfn.SEQUENCE(LEN(_xlpm.txt)), 1),
    _xlfn.TEXTJOIN("", TRUE, IF(ISNUMBER(--_xlpm.chars), _xlpm.chars, ""))
)</f>
        <v>#VALUE!</v>
      </c>
      <c r="N169" s="16" t="str" cm="1">
        <f t="array" ref="N169">_xlfn.IFS(
   --MacReports!M169&lt;55,"Battery Defect",
  -- MacReports!M169&lt;=69,"Battery D",
  --MacReports!M169&lt;=80,"Battery C",
 --MacReports!M169&gt;80,""
)</f>
        <v>Battery Defect</v>
      </c>
      <c r="O169" s="16" t="str">
        <f>IF(MacReports!I169="Service","Battery Service","")</f>
        <v/>
      </c>
      <c r="P169" s="13">
        <f>MacReports!P169</f>
        <v>0</v>
      </c>
      <c r="Q169" s="13" t="str">
        <f>IF(MacReports!J169="Enabled","Apple ID Lock","")</f>
        <v/>
      </c>
      <c r="R169" s="13" t="str">
        <f>IF(MacReports!L169="y","Remote Locked","")</f>
        <v/>
      </c>
      <c r="S169" t="str">
        <f t="shared" si="7"/>
        <v>Battery Defect, 0</v>
      </c>
      <c r="T169" t="str">
        <f>_xlfn.XLOOKUP(B169,Disk_Pivot!G:G,Disk_Pivot!I:I)</f>
        <v>Yes x2</v>
      </c>
      <c r="U169" t="str">
        <f>_xlfn.XLOOKUP(B169,Disk_Pivot!G:G,Disk_Pivot!N:N)</f>
        <v>Pass, Fail</v>
      </c>
      <c r="V169" t="str">
        <f>IF(U169="Fail",MacReports!N169,"")</f>
        <v/>
      </c>
      <c r="AB169" t="str">
        <f t="shared" si="8"/>
        <v/>
      </c>
    </row>
    <row r="170" spans="1:28">
      <c r="A170" t="str">
        <f>MacReports!A170</f>
        <v/>
      </c>
      <c r="B170">
        <f>MacReports!B170</f>
        <v>0</v>
      </c>
      <c r="C170">
        <f>MacReports!C170</f>
        <v>0</v>
      </c>
      <c r="E170" t="e">
        <f>_xlfn.XLOOKUP(G170,Models!A:A,Models!F:F)</f>
        <v>#N/A</v>
      </c>
      <c r="F170" t="str">
        <f>_xlfn.XLOOKUP(B170,MacReports!B:B,MacReports!D:D,"")</f>
        <v/>
      </c>
      <c r="G170" s="13">
        <f>MacReports!E170</f>
        <v>0</v>
      </c>
      <c r="H170" t="e">
        <f>_xlfn.XLOOKUP(G170,Models!A:A,Models!B:B)</f>
        <v>#N/A</v>
      </c>
      <c r="I170" t="e">
        <f>_xlfn.XLOOKUP(G170,Models!A:A,Models!E:E)</f>
        <v>#N/A</v>
      </c>
      <c r="J170" t="e">
        <f>_xlfn.XLOOKUP(G170,Models!A:A,Models!D:D)</f>
        <v>#N/A</v>
      </c>
      <c r="K170">
        <f>MacReports!F170</f>
        <v>0</v>
      </c>
      <c r="L170">
        <f>MacReports!G170</f>
        <v>0</v>
      </c>
      <c r="M170" s="15" t="e" cm="1">
        <f t="array" ref="M170">--_xlfn.LET(
    _xlpm.txt, MacReports!H170,
    _xlpm.chars, MID(_xlpm.txt, _xlfn.SEQUENCE(LEN(_xlpm.txt)), 1),
    _xlfn.TEXTJOIN("", TRUE, IF(ISNUMBER(--_xlpm.chars), _xlpm.chars, ""))
)</f>
        <v>#VALUE!</v>
      </c>
      <c r="N170" s="16" t="str" cm="1">
        <f t="array" ref="N170">_xlfn.IFS(
   --MacReports!M170&lt;55,"Battery Defect",
  -- MacReports!M170&lt;=69,"Battery D",
  --MacReports!M170&lt;=80,"Battery C",
 --MacReports!M170&gt;80,""
)</f>
        <v>Battery Defect</v>
      </c>
      <c r="O170" s="16" t="str">
        <f>IF(MacReports!I170="Service","Battery Service","")</f>
        <v/>
      </c>
      <c r="P170" s="13">
        <f>MacReports!P170</f>
        <v>0</v>
      </c>
      <c r="Q170" s="13" t="str">
        <f>IF(MacReports!J170="Enabled","Apple ID Lock","")</f>
        <v/>
      </c>
      <c r="R170" s="13" t="str">
        <f>IF(MacReports!L170="y","Remote Locked","")</f>
        <v/>
      </c>
      <c r="S170" t="str">
        <f t="shared" si="7"/>
        <v>Battery Defect, 0</v>
      </c>
      <c r="T170" t="str">
        <f>_xlfn.XLOOKUP(B170,Disk_Pivot!G:G,Disk_Pivot!I:I)</f>
        <v>Yes x2</v>
      </c>
      <c r="U170" t="str">
        <f>_xlfn.XLOOKUP(B170,Disk_Pivot!G:G,Disk_Pivot!N:N)</f>
        <v>Pass, Fail</v>
      </c>
      <c r="V170" t="str">
        <f>IF(U170="Fail",MacReports!N170,"")</f>
        <v/>
      </c>
      <c r="AB170" t="str">
        <f t="shared" si="8"/>
        <v/>
      </c>
    </row>
    <row r="171" spans="1:28">
      <c r="A171" t="str">
        <f>MacReports!A171</f>
        <v/>
      </c>
      <c r="B171">
        <f>MacReports!B171</f>
        <v>0</v>
      </c>
      <c r="C171">
        <f>MacReports!C171</f>
        <v>0</v>
      </c>
      <c r="E171" t="e">
        <f>_xlfn.XLOOKUP(G171,Models!A:A,Models!F:F)</f>
        <v>#N/A</v>
      </c>
      <c r="F171" t="str">
        <f>_xlfn.XLOOKUP(B171,MacReports!B:B,MacReports!D:D,"")</f>
        <v/>
      </c>
      <c r="G171" s="13">
        <f>MacReports!E171</f>
        <v>0</v>
      </c>
      <c r="H171" t="e">
        <f>_xlfn.XLOOKUP(G171,Models!A:A,Models!B:B)</f>
        <v>#N/A</v>
      </c>
      <c r="I171" t="e">
        <f>_xlfn.XLOOKUP(G171,Models!A:A,Models!E:E)</f>
        <v>#N/A</v>
      </c>
      <c r="J171" t="e">
        <f>_xlfn.XLOOKUP(G171,Models!A:A,Models!D:D)</f>
        <v>#N/A</v>
      </c>
      <c r="K171">
        <f>MacReports!F171</f>
        <v>0</v>
      </c>
      <c r="L171">
        <f>MacReports!G171</f>
        <v>0</v>
      </c>
      <c r="M171" s="15" t="e" cm="1">
        <f t="array" ref="M171">--_xlfn.LET(
    _xlpm.txt, MacReports!H171,
    _xlpm.chars, MID(_xlpm.txt, _xlfn.SEQUENCE(LEN(_xlpm.txt)), 1),
    _xlfn.TEXTJOIN("", TRUE, IF(ISNUMBER(--_xlpm.chars), _xlpm.chars, ""))
)</f>
        <v>#VALUE!</v>
      </c>
      <c r="N171" s="16" t="str" cm="1">
        <f t="array" ref="N171">_xlfn.IFS(
   --MacReports!M171&lt;55,"Battery Defect",
  -- MacReports!M171&lt;=69,"Battery D",
  --MacReports!M171&lt;=80,"Battery C",
 --MacReports!M171&gt;80,""
)</f>
        <v>Battery Defect</v>
      </c>
      <c r="O171" s="16" t="str">
        <f>IF(MacReports!I171="Service","Battery Service","")</f>
        <v/>
      </c>
      <c r="P171" s="13">
        <f>MacReports!P171</f>
        <v>0</v>
      </c>
      <c r="Q171" s="13" t="str">
        <f>IF(MacReports!J171="Enabled","Apple ID Lock","")</f>
        <v/>
      </c>
      <c r="R171" s="13" t="str">
        <f>IF(MacReports!L171="y","Remote Locked","")</f>
        <v/>
      </c>
      <c r="S171" t="str">
        <f t="shared" si="7"/>
        <v>Battery Defect, 0</v>
      </c>
      <c r="T171" t="str">
        <f>_xlfn.XLOOKUP(B171,Disk_Pivot!G:G,Disk_Pivot!I:I)</f>
        <v>Yes x2</v>
      </c>
      <c r="U171" t="str">
        <f>_xlfn.XLOOKUP(B171,Disk_Pivot!G:G,Disk_Pivot!N:N)</f>
        <v>Pass, Fail</v>
      </c>
      <c r="V171" t="str">
        <f>IF(U171="Fail",MacReports!N171,"")</f>
        <v/>
      </c>
      <c r="AB171" t="str">
        <f t="shared" si="8"/>
        <v/>
      </c>
    </row>
    <row r="172" spans="1:28">
      <c r="A172" t="str">
        <f>MacReports!A172</f>
        <v/>
      </c>
      <c r="B172">
        <f>MacReports!B172</f>
        <v>0</v>
      </c>
      <c r="C172">
        <f>MacReports!C172</f>
        <v>0</v>
      </c>
      <c r="E172" t="e">
        <f>_xlfn.XLOOKUP(G172,Models!A:A,Models!F:F)</f>
        <v>#N/A</v>
      </c>
      <c r="F172" t="str">
        <f>_xlfn.XLOOKUP(B172,MacReports!B:B,MacReports!D:D,"")</f>
        <v/>
      </c>
      <c r="G172" s="13">
        <f>MacReports!E172</f>
        <v>0</v>
      </c>
      <c r="H172" t="e">
        <f>_xlfn.XLOOKUP(G172,Models!A:A,Models!B:B)</f>
        <v>#N/A</v>
      </c>
      <c r="I172" t="e">
        <f>_xlfn.XLOOKUP(G172,Models!A:A,Models!E:E)</f>
        <v>#N/A</v>
      </c>
      <c r="J172" t="e">
        <f>_xlfn.XLOOKUP(G172,Models!A:A,Models!D:D)</f>
        <v>#N/A</v>
      </c>
      <c r="K172">
        <f>MacReports!F172</f>
        <v>0</v>
      </c>
      <c r="L172">
        <f>MacReports!G172</f>
        <v>0</v>
      </c>
      <c r="M172" s="15" t="e" cm="1">
        <f t="array" ref="M172">--_xlfn.LET(
    _xlpm.txt, MacReports!H172,
    _xlpm.chars, MID(_xlpm.txt, _xlfn.SEQUENCE(LEN(_xlpm.txt)), 1),
    _xlfn.TEXTJOIN("", TRUE, IF(ISNUMBER(--_xlpm.chars), _xlpm.chars, ""))
)</f>
        <v>#VALUE!</v>
      </c>
      <c r="N172" s="16" t="str" cm="1">
        <f t="array" ref="N172">_xlfn.IFS(
   --MacReports!M172&lt;55,"Battery Defect",
  -- MacReports!M172&lt;=69,"Battery D",
  --MacReports!M172&lt;=80,"Battery C",
 --MacReports!M172&gt;80,""
)</f>
        <v>Battery Defect</v>
      </c>
      <c r="O172" s="16" t="str">
        <f>IF(MacReports!I172="Service","Battery Service","")</f>
        <v/>
      </c>
      <c r="P172" s="13">
        <f>MacReports!P172</f>
        <v>0</v>
      </c>
      <c r="Q172" s="13" t="str">
        <f>IF(MacReports!J172="Enabled","Apple ID Lock","")</f>
        <v/>
      </c>
      <c r="R172" s="13" t="str">
        <f>IF(MacReports!L172="y","Remote Locked","")</f>
        <v/>
      </c>
      <c r="S172" t="str">
        <f t="shared" si="7"/>
        <v>Battery Defect, 0</v>
      </c>
      <c r="T172" t="str">
        <f>_xlfn.XLOOKUP(B172,Disk_Pivot!G:G,Disk_Pivot!I:I)</f>
        <v>Yes x2</v>
      </c>
      <c r="U172" t="str">
        <f>_xlfn.XLOOKUP(B172,Disk_Pivot!G:G,Disk_Pivot!N:N)</f>
        <v>Pass, Fail</v>
      </c>
      <c r="V172" t="str">
        <f>IF(U172="Fail",MacReports!N172,"")</f>
        <v/>
      </c>
      <c r="AB172" t="str">
        <f t="shared" si="8"/>
        <v/>
      </c>
    </row>
    <row r="173" spans="1:28">
      <c r="A173" t="str">
        <f>MacReports!A173</f>
        <v/>
      </c>
      <c r="B173">
        <f>MacReports!B173</f>
        <v>0</v>
      </c>
      <c r="C173">
        <f>MacReports!C173</f>
        <v>0</v>
      </c>
      <c r="E173" t="e">
        <f>_xlfn.XLOOKUP(G173,Models!A:A,Models!F:F)</f>
        <v>#N/A</v>
      </c>
      <c r="F173" t="str">
        <f>_xlfn.XLOOKUP(B173,MacReports!B:B,MacReports!D:D,"")</f>
        <v/>
      </c>
      <c r="G173" s="13">
        <f>MacReports!E173</f>
        <v>0</v>
      </c>
      <c r="H173" t="e">
        <f>_xlfn.XLOOKUP(G173,Models!A:A,Models!B:B)</f>
        <v>#N/A</v>
      </c>
      <c r="I173" t="e">
        <f>_xlfn.XLOOKUP(G173,Models!A:A,Models!E:E)</f>
        <v>#N/A</v>
      </c>
      <c r="J173" t="e">
        <f>_xlfn.XLOOKUP(G173,Models!A:A,Models!D:D)</f>
        <v>#N/A</v>
      </c>
      <c r="K173">
        <f>MacReports!F173</f>
        <v>0</v>
      </c>
      <c r="L173">
        <f>MacReports!G173</f>
        <v>0</v>
      </c>
      <c r="M173" s="15" t="e" cm="1">
        <f t="array" ref="M173">--_xlfn.LET(
    _xlpm.txt, MacReports!H173,
    _xlpm.chars, MID(_xlpm.txt, _xlfn.SEQUENCE(LEN(_xlpm.txt)), 1),
    _xlfn.TEXTJOIN("", TRUE, IF(ISNUMBER(--_xlpm.chars), _xlpm.chars, ""))
)</f>
        <v>#VALUE!</v>
      </c>
      <c r="N173" s="16" t="str" cm="1">
        <f t="array" ref="N173">_xlfn.IFS(
   --MacReports!M173&lt;55,"Battery Defect",
  -- MacReports!M173&lt;=69,"Battery D",
  --MacReports!M173&lt;=80,"Battery C",
 --MacReports!M173&gt;80,""
)</f>
        <v>Battery Defect</v>
      </c>
      <c r="O173" s="16" t="str">
        <f>IF(MacReports!I173="Service","Battery Service","")</f>
        <v/>
      </c>
      <c r="P173" s="13">
        <f>MacReports!P173</f>
        <v>0</v>
      </c>
      <c r="Q173" s="13" t="str">
        <f>IF(MacReports!J173="Enabled","Apple ID Lock","")</f>
        <v/>
      </c>
      <c r="R173" s="13" t="str">
        <f>IF(MacReports!L173="y","Remote Locked","")</f>
        <v/>
      </c>
      <c r="S173" t="str">
        <f t="shared" si="7"/>
        <v>Battery Defect, 0</v>
      </c>
      <c r="T173" t="str">
        <f>_xlfn.XLOOKUP(B173,Disk_Pivot!G:G,Disk_Pivot!I:I)</f>
        <v>Yes x2</v>
      </c>
      <c r="U173" t="str">
        <f>_xlfn.XLOOKUP(B173,Disk_Pivot!G:G,Disk_Pivot!N:N)</f>
        <v>Pass, Fail</v>
      </c>
      <c r="V173" t="str">
        <f>IF(U173="Fail",MacReports!N173,"")</f>
        <v/>
      </c>
      <c r="AB173" t="str">
        <f t="shared" si="8"/>
        <v/>
      </c>
    </row>
    <row r="174" spans="1:28">
      <c r="A174" t="str">
        <f>MacReports!A174</f>
        <v/>
      </c>
      <c r="B174">
        <f>MacReports!B174</f>
        <v>0</v>
      </c>
      <c r="C174">
        <f>MacReports!C174</f>
        <v>0</v>
      </c>
      <c r="E174" t="e">
        <f>_xlfn.XLOOKUP(G174,Models!A:A,Models!F:F)</f>
        <v>#N/A</v>
      </c>
      <c r="F174" t="str">
        <f>_xlfn.XLOOKUP(B174,MacReports!B:B,MacReports!D:D,"")</f>
        <v/>
      </c>
      <c r="G174" s="13">
        <f>MacReports!E174</f>
        <v>0</v>
      </c>
      <c r="H174" t="e">
        <f>_xlfn.XLOOKUP(G174,Models!A:A,Models!B:B)</f>
        <v>#N/A</v>
      </c>
      <c r="I174" t="e">
        <f>_xlfn.XLOOKUP(G174,Models!A:A,Models!E:E)</f>
        <v>#N/A</v>
      </c>
      <c r="J174" t="e">
        <f>_xlfn.XLOOKUP(G174,Models!A:A,Models!D:D)</f>
        <v>#N/A</v>
      </c>
      <c r="K174">
        <f>MacReports!F174</f>
        <v>0</v>
      </c>
      <c r="L174">
        <f>MacReports!G174</f>
        <v>0</v>
      </c>
      <c r="M174" s="15" t="e" cm="1">
        <f t="array" ref="M174">--_xlfn.LET(
    _xlpm.txt, MacReports!H174,
    _xlpm.chars, MID(_xlpm.txt, _xlfn.SEQUENCE(LEN(_xlpm.txt)), 1),
    _xlfn.TEXTJOIN("", TRUE, IF(ISNUMBER(--_xlpm.chars), _xlpm.chars, ""))
)</f>
        <v>#VALUE!</v>
      </c>
      <c r="N174" s="16" t="str" cm="1">
        <f t="array" ref="N174">_xlfn.IFS(
   --MacReports!M174&lt;55,"Battery Defect",
  -- MacReports!M174&lt;=69,"Battery D",
  --MacReports!M174&lt;=80,"Battery C",
 --MacReports!M174&gt;80,""
)</f>
        <v>Battery Defect</v>
      </c>
      <c r="O174" s="16" t="str">
        <f>IF(MacReports!I174="Service","Battery Service","")</f>
        <v/>
      </c>
      <c r="P174" s="13">
        <f>MacReports!P174</f>
        <v>0</v>
      </c>
      <c r="Q174" s="13" t="str">
        <f>IF(MacReports!J174="Enabled","Apple ID Lock","")</f>
        <v/>
      </c>
      <c r="R174" s="13" t="str">
        <f>IF(MacReports!L174="y","Remote Locked","")</f>
        <v/>
      </c>
      <c r="S174" t="str">
        <f t="shared" si="7"/>
        <v>Battery Defect, 0</v>
      </c>
      <c r="T174" t="str">
        <f>_xlfn.XLOOKUP(B174,Disk_Pivot!G:G,Disk_Pivot!I:I)</f>
        <v>Yes x2</v>
      </c>
      <c r="U174" t="str">
        <f>_xlfn.XLOOKUP(B174,Disk_Pivot!G:G,Disk_Pivot!N:N)</f>
        <v>Pass, Fail</v>
      </c>
      <c r="V174" t="str">
        <f>IF(U174="Fail",MacReports!N174,"")</f>
        <v/>
      </c>
      <c r="AB174" t="str">
        <f t="shared" si="8"/>
        <v/>
      </c>
    </row>
    <row r="175" spans="1:28">
      <c r="A175" t="str">
        <f>MacReports!A175</f>
        <v/>
      </c>
      <c r="B175">
        <f>MacReports!B175</f>
        <v>0</v>
      </c>
      <c r="C175">
        <f>MacReports!C175</f>
        <v>0</v>
      </c>
      <c r="E175" t="e">
        <f>_xlfn.XLOOKUP(G175,Models!A:A,Models!F:F)</f>
        <v>#N/A</v>
      </c>
      <c r="F175" t="str">
        <f>_xlfn.XLOOKUP(B175,MacReports!B:B,MacReports!D:D,"")</f>
        <v/>
      </c>
      <c r="G175" s="13">
        <f>MacReports!E175</f>
        <v>0</v>
      </c>
      <c r="H175" t="e">
        <f>_xlfn.XLOOKUP(G175,Models!A:A,Models!B:B)</f>
        <v>#N/A</v>
      </c>
      <c r="I175" t="e">
        <f>_xlfn.XLOOKUP(G175,Models!A:A,Models!E:E)</f>
        <v>#N/A</v>
      </c>
      <c r="J175" t="e">
        <f>_xlfn.XLOOKUP(G175,Models!A:A,Models!D:D)</f>
        <v>#N/A</v>
      </c>
      <c r="K175">
        <f>MacReports!F175</f>
        <v>0</v>
      </c>
      <c r="L175">
        <f>MacReports!G175</f>
        <v>0</v>
      </c>
      <c r="M175" s="15" t="e" cm="1">
        <f t="array" ref="M175">--_xlfn.LET(
    _xlpm.txt, MacReports!H175,
    _xlpm.chars, MID(_xlpm.txt, _xlfn.SEQUENCE(LEN(_xlpm.txt)), 1),
    _xlfn.TEXTJOIN("", TRUE, IF(ISNUMBER(--_xlpm.chars), _xlpm.chars, ""))
)</f>
        <v>#VALUE!</v>
      </c>
      <c r="N175" s="16" t="str" cm="1">
        <f t="array" ref="N175">_xlfn.IFS(
   --MacReports!M175&lt;55,"Battery Defect",
  -- MacReports!M175&lt;=69,"Battery D",
  --MacReports!M175&lt;=80,"Battery C",
 --MacReports!M175&gt;80,""
)</f>
        <v>Battery Defect</v>
      </c>
      <c r="O175" s="16" t="str">
        <f>IF(MacReports!I175="Service","Battery Service","")</f>
        <v/>
      </c>
      <c r="P175" s="13">
        <f>MacReports!P175</f>
        <v>0</v>
      </c>
      <c r="Q175" s="13" t="str">
        <f>IF(MacReports!J175="Enabled","Apple ID Lock","")</f>
        <v/>
      </c>
      <c r="R175" s="13" t="str">
        <f>IF(MacReports!L175="y","Remote Locked","")</f>
        <v/>
      </c>
      <c r="S175" t="str">
        <f t="shared" si="7"/>
        <v>Battery Defect, 0</v>
      </c>
      <c r="T175" t="str">
        <f>_xlfn.XLOOKUP(B175,Disk_Pivot!G:G,Disk_Pivot!I:I)</f>
        <v>Yes x2</v>
      </c>
      <c r="U175" t="str">
        <f>_xlfn.XLOOKUP(B175,Disk_Pivot!G:G,Disk_Pivot!N:N)</f>
        <v>Pass, Fail</v>
      </c>
      <c r="V175" t="str">
        <f>IF(U175="Fail",MacReports!N175,"")</f>
        <v/>
      </c>
      <c r="AB175" t="str">
        <f t="shared" si="8"/>
        <v/>
      </c>
    </row>
    <row r="176" spans="1:28">
      <c r="A176" t="str">
        <f>MacReports!A176</f>
        <v/>
      </c>
      <c r="B176">
        <f>MacReports!B176</f>
        <v>0</v>
      </c>
      <c r="C176">
        <f>MacReports!C176</f>
        <v>0</v>
      </c>
      <c r="E176" t="e">
        <f>_xlfn.XLOOKUP(G176,Models!A:A,Models!F:F)</f>
        <v>#N/A</v>
      </c>
      <c r="F176" t="str">
        <f>_xlfn.XLOOKUP(B176,MacReports!B:B,MacReports!D:D,"")</f>
        <v/>
      </c>
      <c r="G176" s="13">
        <f>MacReports!E176</f>
        <v>0</v>
      </c>
      <c r="H176" t="e">
        <f>_xlfn.XLOOKUP(G176,Models!A:A,Models!B:B)</f>
        <v>#N/A</v>
      </c>
      <c r="I176" t="e">
        <f>_xlfn.XLOOKUP(G176,Models!A:A,Models!E:E)</f>
        <v>#N/A</v>
      </c>
      <c r="J176" t="e">
        <f>_xlfn.XLOOKUP(G176,Models!A:A,Models!D:D)</f>
        <v>#N/A</v>
      </c>
      <c r="K176">
        <f>MacReports!F176</f>
        <v>0</v>
      </c>
      <c r="L176">
        <f>MacReports!G176</f>
        <v>0</v>
      </c>
      <c r="M176" s="15" t="e" cm="1">
        <f t="array" ref="M176">--_xlfn.LET(
    _xlpm.txt, MacReports!H176,
    _xlpm.chars, MID(_xlpm.txt, _xlfn.SEQUENCE(LEN(_xlpm.txt)), 1),
    _xlfn.TEXTJOIN("", TRUE, IF(ISNUMBER(--_xlpm.chars), _xlpm.chars, ""))
)</f>
        <v>#VALUE!</v>
      </c>
      <c r="N176" s="16" t="str" cm="1">
        <f t="array" ref="N176">_xlfn.IFS(
   --MacReports!M176&lt;55,"Battery Defect",
  -- MacReports!M176&lt;=69,"Battery D",
  --MacReports!M176&lt;=80,"Battery C",
 --MacReports!M176&gt;80,""
)</f>
        <v>Battery Defect</v>
      </c>
      <c r="O176" s="16" t="str">
        <f>IF(MacReports!I176="Service","Battery Service","")</f>
        <v/>
      </c>
      <c r="P176" s="13">
        <f>MacReports!P176</f>
        <v>0</v>
      </c>
      <c r="Q176" s="13" t="str">
        <f>IF(MacReports!J176="Enabled","Apple ID Lock","")</f>
        <v/>
      </c>
      <c r="R176" s="13" t="str">
        <f>IF(MacReports!L176="y","Remote Locked","")</f>
        <v/>
      </c>
      <c r="S176" t="str">
        <f t="shared" si="7"/>
        <v>Battery Defect, 0</v>
      </c>
      <c r="T176" t="str">
        <f>_xlfn.XLOOKUP(B176,Disk_Pivot!G:G,Disk_Pivot!I:I)</f>
        <v>Yes x2</v>
      </c>
      <c r="U176" t="str">
        <f>_xlfn.XLOOKUP(B176,Disk_Pivot!G:G,Disk_Pivot!N:N)</f>
        <v>Pass, Fail</v>
      </c>
      <c r="V176" t="str">
        <f>IF(U176="Fail",MacReports!N176,"")</f>
        <v/>
      </c>
      <c r="AB176" t="str">
        <f t="shared" si="8"/>
        <v/>
      </c>
    </row>
    <row r="177" spans="1:28">
      <c r="A177" t="str">
        <f>MacReports!A177</f>
        <v/>
      </c>
      <c r="B177">
        <f>MacReports!B177</f>
        <v>0</v>
      </c>
      <c r="C177">
        <f>MacReports!C177</f>
        <v>0</v>
      </c>
      <c r="E177" t="e">
        <f>_xlfn.XLOOKUP(G177,Models!A:A,Models!F:F)</f>
        <v>#N/A</v>
      </c>
      <c r="F177" t="str">
        <f>_xlfn.XLOOKUP(B177,MacReports!B:B,MacReports!D:D,"")</f>
        <v/>
      </c>
      <c r="G177" s="13">
        <f>MacReports!E177</f>
        <v>0</v>
      </c>
      <c r="H177" t="e">
        <f>_xlfn.XLOOKUP(G177,Models!A:A,Models!B:B)</f>
        <v>#N/A</v>
      </c>
      <c r="I177" t="e">
        <f>_xlfn.XLOOKUP(G177,Models!A:A,Models!E:E)</f>
        <v>#N/A</v>
      </c>
      <c r="J177" t="e">
        <f>_xlfn.XLOOKUP(G177,Models!A:A,Models!D:D)</f>
        <v>#N/A</v>
      </c>
      <c r="K177">
        <f>MacReports!F177</f>
        <v>0</v>
      </c>
      <c r="L177">
        <f>MacReports!G177</f>
        <v>0</v>
      </c>
      <c r="M177" s="15" t="e" cm="1">
        <f t="array" ref="M177">--_xlfn.LET(
    _xlpm.txt, MacReports!H177,
    _xlpm.chars, MID(_xlpm.txt, _xlfn.SEQUENCE(LEN(_xlpm.txt)), 1),
    _xlfn.TEXTJOIN("", TRUE, IF(ISNUMBER(--_xlpm.chars), _xlpm.chars, ""))
)</f>
        <v>#VALUE!</v>
      </c>
      <c r="N177" s="16" t="str" cm="1">
        <f t="array" ref="N177">_xlfn.IFS(
   --MacReports!M177&lt;55,"Battery Defect",
  -- MacReports!M177&lt;=69,"Battery D",
  --MacReports!M177&lt;=80,"Battery C",
 --MacReports!M177&gt;80,""
)</f>
        <v>Battery Defect</v>
      </c>
      <c r="O177" s="16" t="str">
        <f>IF(MacReports!I177="Service","Battery Service","")</f>
        <v/>
      </c>
      <c r="P177" s="13">
        <f>MacReports!P177</f>
        <v>0</v>
      </c>
      <c r="Q177" s="13" t="str">
        <f>IF(MacReports!J177="Enabled","Apple ID Lock","")</f>
        <v/>
      </c>
      <c r="R177" s="13" t="str">
        <f>IF(MacReports!L177="y","Remote Locked","")</f>
        <v/>
      </c>
      <c r="S177" t="str">
        <f t="shared" si="7"/>
        <v>Battery Defect, 0</v>
      </c>
      <c r="T177" t="str">
        <f>_xlfn.XLOOKUP(B177,Disk_Pivot!G:G,Disk_Pivot!I:I)</f>
        <v>Yes x2</v>
      </c>
      <c r="U177" t="str">
        <f>_xlfn.XLOOKUP(B177,Disk_Pivot!G:G,Disk_Pivot!N:N)</f>
        <v>Pass, Fail</v>
      </c>
      <c r="V177" t="str">
        <f>IF(U177="Fail",MacReports!N177,"")</f>
        <v/>
      </c>
      <c r="AB177" t="str">
        <f t="shared" si="8"/>
        <v/>
      </c>
    </row>
    <row r="178" spans="1:28">
      <c r="A178" t="str">
        <f>MacReports!A178</f>
        <v/>
      </c>
      <c r="B178">
        <f>MacReports!B178</f>
        <v>0</v>
      </c>
      <c r="C178">
        <f>MacReports!C178</f>
        <v>0</v>
      </c>
      <c r="E178" t="e">
        <f>_xlfn.XLOOKUP(G178,Models!A:A,Models!F:F)</f>
        <v>#N/A</v>
      </c>
      <c r="F178" t="str">
        <f>_xlfn.XLOOKUP(B178,MacReports!B:B,MacReports!D:D,"")</f>
        <v/>
      </c>
      <c r="G178" s="13">
        <f>MacReports!E178</f>
        <v>0</v>
      </c>
      <c r="H178" t="e">
        <f>_xlfn.XLOOKUP(G178,Models!A:A,Models!B:B)</f>
        <v>#N/A</v>
      </c>
      <c r="I178" t="e">
        <f>_xlfn.XLOOKUP(G178,Models!A:A,Models!E:E)</f>
        <v>#N/A</v>
      </c>
      <c r="J178" t="e">
        <f>_xlfn.XLOOKUP(G178,Models!A:A,Models!D:D)</f>
        <v>#N/A</v>
      </c>
      <c r="K178">
        <f>MacReports!F178</f>
        <v>0</v>
      </c>
      <c r="L178">
        <f>MacReports!G178</f>
        <v>0</v>
      </c>
      <c r="M178" s="15" t="e" cm="1">
        <f t="array" ref="M178">--_xlfn.LET(
    _xlpm.txt, MacReports!H178,
    _xlpm.chars, MID(_xlpm.txt, _xlfn.SEQUENCE(LEN(_xlpm.txt)), 1),
    _xlfn.TEXTJOIN("", TRUE, IF(ISNUMBER(--_xlpm.chars), _xlpm.chars, ""))
)</f>
        <v>#VALUE!</v>
      </c>
      <c r="N178" s="16" t="str" cm="1">
        <f t="array" ref="N178">_xlfn.IFS(
   --MacReports!M178&lt;55,"Battery Defect",
  -- MacReports!M178&lt;=69,"Battery D",
  --MacReports!M178&lt;=80,"Battery C",
 --MacReports!M178&gt;80,""
)</f>
        <v>Battery Defect</v>
      </c>
      <c r="O178" s="16" t="str">
        <f>IF(MacReports!I178="Service","Battery Service","")</f>
        <v/>
      </c>
      <c r="P178" s="13">
        <f>MacReports!P178</f>
        <v>0</v>
      </c>
      <c r="Q178" s="13" t="str">
        <f>IF(MacReports!J178="Enabled","Apple ID Lock","")</f>
        <v/>
      </c>
      <c r="R178" s="13" t="str">
        <f>IF(MacReports!L178="y","Remote Locked","")</f>
        <v/>
      </c>
      <c r="S178" t="str">
        <f t="shared" si="7"/>
        <v>Battery Defect, 0</v>
      </c>
      <c r="T178" t="str">
        <f>_xlfn.XLOOKUP(B178,Disk_Pivot!G:G,Disk_Pivot!I:I)</f>
        <v>Yes x2</v>
      </c>
      <c r="U178" t="str">
        <f>_xlfn.XLOOKUP(B178,Disk_Pivot!G:G,Disk_Pivot!N:N)</f>
        <v>Pass, Fail</v>
      </c>
      <c r="V178" t="str">
        <f>IF(U178="Fail",MacReports!N178,"")</f>
        <v/>
      </c>
      <c r="AB178" t="str">
        <f t="shared" si="8"/>
        <v/>
      </c>
    </row>
    <row r="179" spans="1:28">
      <c r="A179" t="str">
        <f>MacReports!A179</f>
        <v/>
      </c>
      <c r="B179">
        <f>MacReports!B179</f>
        <v>0</v>
      </c>
      <c r="C179">
        <f>MacReports!C179</f>
        <v>0</v>
      </c>
      <c r="E179" t="e">
        <f>_xlfn.XLOOKUP(G179,Models!A:A,Models!F:F)</f>
        <v>#N/A</v>
      </c>
      <c r="F179" t="str">
        <f>_xlfn.XLOOKUP(B179,MacReports!B:B,MacReports!D:D,"")</f>
        <v/>
      </c>
      <c r="G179" s="13">
        <f>MacReports!E179</f>
        <v>0</v>
      </c>
      <c r="H179" t="e">
        <f>_xlfn.XLOOKUP(G179,Models!A:A,Models!B:B)</f>
        <v>#N/A</v>
      </c>
      <c r="I179" t="e">
        <f>_xlfn.XLOOKUP(G179,Models!A:A,Models!E:E)</f>
        <v>#N/A</v>
      </c>
      <c r="J179" t="e">
        <f>_xlfn.XLOOKUP(G179,Models!A:A,Models!D:D)</f>
        <v>#N/A</v>
      </c>
      <c r="K179">
        <f>MacReports!F179</f>
        <v>0</v>
      </c>
      <c r="L179">
        <f>MacReports!G179</f>
        <v>0</v>
      </c>
      <c r="M179" s="15" t="e" cm="1">
        <f t="array" ref="M179">--_xlfn.LET(
    _xlpm.txt, MacReports!H179,
    _xlpm.chars, MID(_xlpm.txt, _xlfn.SEQUENCE(LEN(_xlpm.txt)), 1),
    _xlfn.TEXTJOIN("", TRUE, IF(ISNUMBER(--_xlpm.chars), _xlpm.chars, ""))
)</f>
        <v>#VALUE!</v>
      </c>
      <c r="N179" s="16" t="str" cm="1">
        <f t="array" ref="N179">_xlfn.IFS(
   --MacReports!M179&lt;55,"Battery Defect",
  -- MacReports!M179&lt;=69,"Battery D",
  --MacReports!M179&lt;=80,"Battery C",
 --MacReports!M179&gt;80,""
)</f>
        <v>Battery Defect</v>
      </c>
      <c r="O179" s="16" t="str">
        <f>IF(MacReports!I179="Service","Battery Service","")</f>
        <v/>
      </c>
      <c r="P179" s="13">
        <f>MacReports!P179</f>
        <v>0</v>
      </c>
      <c r="Q179" s="13" t="str">
        <f>IF(MacReports!J179="Enabled","Apple ID Lock","")</f>
        <v/>
      </c>
      <c r="R179" s="13" t="str">
        <f>IF(MacReports!L179="y","Remote Locked","")</f>
        <v/>
      </c>
      <c r="S179" t="str">
        <f t="shared" si="7"/>
        <v>Battery Defect, 0</v>
      </c>
      <c r="T179" t="str">
        <f>_xlfn.XLOOKUP(B179,Disk_Pivot!G:G,Disk_Pivot!I:I)</f>
        <v>Yes x2</v>
      </c>
      <c r="U179" t="str">
        <f>_xlfn.XLOOKUP(B179,Disk_Pivot!G:G,Disk_Pivot!N:N)</f>
        <v>Pass, Fail</v>
      </c>
      <c r="V179" t="str">
        <f>IF(U179="Fail",MacReports!N179,"")</f>
        <v/>
      </c>
      <c r="AB179" t="str">
        <f t="shared" si="8"/>
        <v/>
      </c>
    </row>
    <row r="180" spans="1:28">
      <c r="A180" t="str">
        <f>MacReports!A180</f>
        <v/>
      </c>
      <c r="B180">
        <f>MacReports!B180</f>
        <v>0</v>
      </c>
      <c r="C180">
        <f>MacReports!C180</f>
        <v>0</v>
      </c>
      <c r="E180" t="e">
        <f>_xlfn.XLOOKUP(G180,Models!A:A,Models!F:F)</f>
        <v>#N/A</v>
      </c>
      <c r="F180" t="str">
        <f>_xlfn.XLOOKUP(B180,MacReports!B:B,MacReports!D:D,"")</f>
        <v/>
      </c>
      <c r="G180" s="13">
        <f>MacReports!E180</f>
        <v>0</v>
      </c>
      <c r="H180" t="e">
        <f>_xlfn.XLOOKUP(G180,Models!A:A,Models!B:B)</f>
        <v>#N/A</v>
      </c>
      <c r="I180" t="e">
        <f>_xlfn.XLOOKUP(G180,Models!A:A,Models!E:E)</f>
        <v>#N/A</v>
      </c>
      <c r="J180" t="e">
        <f>_xlfn.XLOOKUP(G180,Models!A:A,Models!D:D)</f>
        <v>#N/A</v>
      </c>
      <c r="K180">
        <f>MacReports!F180</f>
        <v>0</v>
      </c>
      <c r="L180">
        <f>MacReports!G180</f>
        <v>0</v>
      </c>
      <c r="M180" s="15" t="e" cm="1">
        <f t="array" ref="M180">--_xlfn.LET(
    _xlpm.txt, MacReports!H180,
    _xlpm.chars, MID(_xlpm.txt, _xlfn.SEQUENCE(LEN(_xlpm.txt)), 1),
    _xlfn.TEXTJOIN("", TRUE, IF(ISNUMBER(--_xlpm.chars), _xlpm.chars, ""))
)</f>
        <v>#VALUE!</v>
      </c>
      <c r="N180" s="16" t="str" cm="1">
        <f t="array" ref="N180">_xlfn.IFS(
   --MacReports!M180&lt;55,"Battery Defect",
  -- MacReports!M180&lt;=69,"Battery D",
  --MacReports!M180&lt;=80,"Battery C",
 --MacReports!M180&gt;80,""
)</f>
        <v>Battery Defect</v>
      </c>
      <c r="O180" s="16" t="str">
        <f>IF(MacReports!I180="Service","Battery Service","")</f>
        <v/>
      </c>
      <c r="P180" s="13">
        <f>MacReports!P180</f>
        <v>0</v>
      </c>
      <c r="Q180" s="13" t="str">
        <f>IF(MacReports!J180="Enabled","Apple ID Lock","")</f>
        <v/>
      </c>
      <c r="R180" s="13" t="str">
        <f>IF(MacReports!L180="y","Remote Locked","")</f>
        <v/>
      </c>
      <c r="S180" t="str">
        <f t="shared" si="7"/>
        <v>Battery Defect, 0</v>
      </c>
      <c r="T180" t="str">
        <f>_xlfn.XLOOKUP(B180,Disk_Pivot!G:G,Disk_Pivot!I:I)</f>
        <v>Yes x2</v>
      </c>
      <c r="U180" t="str">
        <f>_xlfn.XLOOKUP(B180,Disk_Pivot!G:G,Disk_Pivot!N:N)</f>
        <v>Pass, Fail</v>
      </c>
      <c r="V180" t="str">
        <f>IF(U180="Fail",MacReports!N180,"")</f>
        <v/>
      </c>
      <c r="AB180" t="str">
        <f t="shared" si="8"/>
        <v/>
      </c>
    </row>
    <row r="181" spans="1:28">
      <c r="A181" t="str">
        <f>MacReports!A181</f>
        <v/>
      </c>
      <c r="B181">
        <f>MacReports!B181</f>
        <v>0</v>
      </c>
      <c r="C181">
        <f>MacReports!C181</f>
        <v>0</v>
      </c>
      <c r="E181" t="e">
        <f>_xlfn.XLOOKUP(G181,Models!A:A,Models!F:F)</f>
        <v>#N/A</v>
      </c>
      <c r="F181" t="str">
        <f>_xlfn.XLOOKUP(B181,MacReports!B:B,MacReports!D:D,"")</f>
        <v/>
      </c>
      <c r="G181" s="13">
        <f>MacReports!E181</f>
        <v>0</v>
      </c>
      <c r="H181" t="e">
        <f>_xlfn.XLOOKUP(G181,Models!A:A,Models!B:B)</f>
        <v>#N/A</v>
      </c>
      <c r="I181" t="e">
        <f>_xlfn.XLOOKUP(G181,Models!A:A,Models!E:E)</f>
        <v>#N/A</v>
      </c>
      <c r="J181" t="e">
        <f>_xlfn.XLOOKUP(G181,Models!A:A,Models!D:D)</f>
        <v>#N/A</v>
      </c>
      <c r="K181">
        <f>MacReports!F181</f>
        <v>0</v>
      </c>
      <c r="L181">
        <f>MacReports!G181</f>
        <v>0</v>
      </c>
      <c r="M181" s="15" t="e" cm="1">
        <f t="array" ref="M181">--_xlfn.LET(
    _xlpm.txt, MacReports!H181,
    _xlpm.chars, MID(_xlpm.txt, _xlfn.SEQUENCE(LEN(_xlpm.txt)), 1),
    _xlfn.TEXTJOIN("", TRUE, IF(ISNUMBER(--_xlpm.chars), _xlpm.chars, ""))
)</f>
        <v>#VALUE!</v>
      </c>
      <c r="N181" s="16" t="str" cm="1">
        <f t="array" ref="N181">_xlfn.IFS(
   --MacReports!M181&lt;55,"Battery Defect",
  -- MacReports!M181&lt;=69,"Battery D",
  --MacReports!M181&lt;=80,"Battery C",
 --MacReports!M181&gt;80,""
)</f>
        <v>Battery Defect</v>
      </c>
      <c r="O181" s="16" t="str">
        <f>IF(MacReports!I181="Service","Battery Service","")</f>
        <v/>
      </c>
      <c r="P181" s="13">
        <f>MacReports!P181</f>
        <v>0</v>
      </c>
      <c r="Q181" s="13" t="str">
        <f>IF(MacReports!J181="Enabled","Apple ID Lock","")</f>
        <v/>
      </c>
      <c r="R181" s="13" t="str">
        <f>IF(MacReports!L181="y","Remote Locked","")</f>
        <v/>
      </c>
      <c r="S181" t="str">
        <f t="shared" si="7"/>
        <v>Battery Defect, 0</v>
      </c>
      <c r="T181" t="str">
        <f>_xlfn.XLOOKUP(B181,Disk_Pivot!G:G,Disk_Pivot!I:I)</f>
        <v>Yes x2</v>
      </c>
      <c r="U181" t="str">
        <f>_xlfn.XLOOKUP(B181,Disk_Pivot!G:G,Disk_Pivot!N:N)</f>
        <v>Pass, Fail</v>
      </c>
      <c r="V181" t="str">
        <f>IF(U181="Fail",MacReports!N181,"")</f>
        <v/>
      </c>
      <c r="AB181" t="str">
        <f t="shared" si="8"/>
        <v/>
      </c>
    </row>
    <row r="182" spans="1:28">
      <c r="A182" t="str">
        <f>MacReports!A182</f>
        <v/>
      </c>
      <c r="B182">
        <f>MacReports!B182</f>
        <v>0</v>
      </c>
      <c r="C182">
        <f>MacReports!C182</f>
        <v>0</v>
      </c>
      <c r="E182" t="e">
        <f>_xlfn.XLOOKUP(G182,Models!A:A,Models!F:F)</f>
        <v>#N/A</v>
      </c>
      <c r="F182" t="str">
        <f>_xlfn.XLOOKUP(B182,MacReports!B:B,MacReports!D:D,"")</f>
        <v/>
      </c>
      <c r="G182" s="13">
        <f>MacReports!E182</f>
        <v>0</v>
      </c>
      <c r="H182" t="e">
        <f>_xlfn.XLOOKUP(G182,Models!A:A,Models!B:B)</f>
        <v>#N/A</v>
      </c>
      <c r="I182" t="e">
        <f>_xlfn.XLOOKUP(G182,Models!A:A,Models!E:E)</f>
        <v>#N/A</v>
      </c>
      <c r="J182" t="e">
        <f>_xlfn.XLOOKUP(G182,Models!A:A,Models!D:D)</f>
        <v>#N/A</v>
      </c>
      <c r="K182">
        <f>MacReports!F182</f>
        <v>0</v>
      </c>
      <c r="L182">
        <f>MacReports!G182</f>
        <v>0</v>
      </c>
      <c r="M182" s="15" t="e" cm="1">
        <f t="array" ref="M182">--_xlfn.LET(
    _xlpm.txt, MacReports!H182,
    _xlpm.chars, MID(_xlpm.txt, _xlfn.SEQUENCE(LEN(_xlpm.txt)), 1),
    _xlfn.TEXTJOIN("", TRUE, IF(ISNUMBER(--_xlpm.chars), _xlpm.chars, ""))
)</f>
        <v>#VALUE!</v>
      </c>
      <c r="N182" s="16" t="str" cm="1">
        <f t="array" ref="N182">_xlfn.IFS(
   --MacReports!M182&lt;55,"Battery Defect",
  -- MacReports!M182&lt;=69,"Battery D",
  --MacReports!M182&lt;=80,"Battery C",
 --MacReports!M182&gt;80,""
)</f>
        <v>Battery Defect</v>
      </c>
      <c r="O182" s="16" t="str">
        <f>IF(MacReports!I182="Service","Battery Service","")</f>
        <v/>
      </c>
      <c r="P182" s="13">
        <f>MacReports!P182</f>
        <v>0</v>
      </c>
      <c r="Q182" s="13" t="str">
        <f>IF(MacReports!J182="Enabled","Apple ID Lock","")</f>
        <v/>
      </c>
      <c r="R182" s="13" t="str">
        <f>IF(MacReports!L182="y","Remote Locked","")</f>
        <v/>
      </c>
      <c r="S182" t="str">
        <f t="shared" si="7"/>
        <v>Battery Defect, 0</v>
      </c>
      <c r="T182" t="str">
        <f>_xlfn.XLOOKUP(B182,Disk_Pivot!G:G,Disk_Pivot!I:I)</f>
        <v>Yes x2</v>
      </c>
      <c r="U182" t="str">
        <f>_xlfn.XLOOKUP(B182,Disk_Pivot!G:G,Disk_Pivot!N:N)</f>
        <v>Pass, Fail</v>
      </c>
      <c r="V182" t="str">
        <f>IF(U182="Fail",MacReports!N182,"")</f>
        <v/>
      </c>
      <c r="AB182" t="str">
        <f t="shared" si="8"/>
        <v/>
      </c>
    </row>
    <row r="183" spans="1:28">
      <c r="A183" t="str">
        <f>MacReports!A183</f>
        <v/>
      </c>
      <c r="B183">
        <f>MacReports!B183</f>
        <v>0</v>
      </c>
      <c r="C183">
        <f>MacReports!C183</f>
        <v>0</v>
      </c>
      <c r="E183" t="e">
        <f>_xlfn.XLOOKUP(G183,Models!A:A,Models!F:F)</f>
        <v>#N/A</v>
      </c>
      <c r="F183" t="str">
        <f>_xlfn.XLOOKUP(B183,MacReports!B:B,MacReports!D:D,"")</f>
        <v/>
      </c>
      <c r="G183" s="13">
        <f>MacReports!E183</f>
        <v>0</v>
      </c>
      <c r="H183" t="e">
        <f>_xlfn.XLOOKUP(G183,Models!A:A,Models!B:B)</f>
        <v>#N/A</v>
      </c>
      <c r="I183" t="e">
        <f>_xlfn.XLOOKUP(G183,Models!A:A,Models!E:E)</f>
        <v>#N/A</v>
      </c>
      <c r="J183" t="e">
        <f>_xlfn.XLOOKUP(G183,Models!A:A,Models!D:D)</f>
        <v>#N/A</v>
      </c>
      <c r="K183">
        <f>MacReports!F183</f>
        <v>0</v>
      </c>
      <c r="L183">
        <f>MacReports!G183</f>
        <v>0</v>
      </c>
      <c r="M183" s="15" t="e" cm="1">
        <f t="array" ref="M183">--_xlfn.LET(
    _xlpm.txt, MacReports!H183,
    _xlpm.chars, MID(_xlpm.txt, _xlfn.SEQUENCE(LEN(_xlpm.txt)), 1),
    _xlfn.TEXTJOIN("", TRUE, IF(ISNUMBER(--_xlpm.chars), _xlpm.chars, ""))
)</f>
        <v>#VALUE!</v>
      </c>
      <c r="N183" s="16" t="str" cm="1">
        <f t="array" ref="N183">_xlfn.IFS(
   --MacReports!M183&lt;55,"Battery Defect",
  -- MacReports!M183&lt;=69,"Battery D",
  --MacReports!M183&lt;=80,"Battery C",
 --MacReports!M183&gt;80,""
)</f>
        <v>Battery Defect</v>
      </c>
      <c r="O183" s="16" t="str">
        <f>IF(MacReports!I183="Service","Battery Service","")</f>
        <v/>
      </c>
      <c r="P183" s="13">
        <f>MacReports!P183</f>
        <v>0</v>
      </c>
      <c r="Q183" s="13" t="str">
        <f>IF(MacReports!J183="Enabled","Apple ID Lock","")</f>
        <v/>
      </c>
      <c r="R183" s="13" t="str">
        <f>IF(MacReports!L183="y","Remote Locked","")</f>
        <v/>
      </c>
      <c r="S183" t="str">
        <f t="shared" si="7"/>
        <v>Battery Defect, 0</v>
      </c>
      <c r="T183" t="str">
        <f>_xlfn.XLOOKUP(B183,Disk_Pivot!G:G,Disk_Pivot!I:I)</f>
        <v>Yes x2</v>
      </c>
      <c r="U183" t="str">
        <f>_xlfn.XLOOKUP(B183,Disk_Pivot!G:G,Disk_Pivot!N:N)</f>
        <v>Pass, Fail</v>
      </c>
      <c r="V183" t="str">
        <f>IF(U183="Fail",MacReports!N183,"")</f>
        <v/>
      </c>
      <c r="AB183" t="str">
        <f t="shared" si="8"/>
        <v/>
      </c>
    </row>
    <row r="184" spans="1:28">
      <c r="A184" t="str">
        <f>MacReports!A184</f>
        <v/>
      </c>
      <c r="B184">
        <f>MacReports!B184</f>
        <v>0</v>
      </c>
      <c r="C184">
        <f>MacReports!C184</f>
        <v>0</v>
      </c>
      <c r="E184" t="e">
        <f>_xlfn.XLOOKUP(G184,Models!A:A,Models!F:F)</f>
        <v>#N/A</v>
      </c>
      <c r="F184" t="str">
        <f>_xlfn.XLOOKUP(B184,MacReports!B:B,MacReports!D:D,"")</f>
        <v/>
      </c>
      <c r="G184" s="13">
        <f>MacReports!E184</f>
        <v>0</v>
      </c>
      <c r="H184" t="e">
        <f>_xlfn.XLOOKUP(G184,Models!A:A,Models!B:B)</f>
        <v>#N/A</v>
      </c>
      <c r="I184" t="e">
        <f>_xlfn.XLOOKUP(G184,Models!A:A,Models!E:E)</f>
        <v>#N/A</v>
      </c>
      <c r="J184" t="e">
        <f>_xlfn.XLOOKUP(G184,Models!A:A,Models!D:D)</f>
        <v>#N/A</v>
      </c>
      <c r="K184">
        <f>MacReports!F184</f>
        <v>0</v>
      </c>
      <c r="L184">
        <f>MacReports!G184</f>
        <v>0</v>
      </c>
      <c r="M184" s="15" t="e" cm="1">
        <f t="array" ref="M184">--_xlfn.LET(
    _xlpm.txt, MacReports!H184,
    _xlpm.chars, MID(_xlpm.txt, _xlfn.SEQUENCE(LEN(_xlpm.txt)), 1),
    _xlfn.TEXTJOIN("", TRUE, IF(ISNUMBER(--_xlpm.chars), _xlpm.chars, ""))
)</f>
        <v>#VALUE!</v>
      </c>
      <c r="N184" s="16" t="str" cm="1">
        <f t="array" ref="N184">_xlfn.IFS(
   --MacReports!M184&lt;55,"Battery Defect",
  -- MacReports!M184&lt;=69,"Battery D",
  --MacReports!M184&lt;=80,"Battery C",
 --MacReports!M184&gt;80,""
)</f>
        <v>Battery Defect</v>
      </c>
      <c r="O184" s="16" t="str">
        <f>IF(MacReports!I184="Service","Battery Service","")</f>
        <v/>
      </c>
      <c r="P184" s="13">
        <f>MacReports!P184</f>
        <v>0</v>
      </c>
      <c r="Q184" s="13" t="str">
        <f>IF(MacReports!J184="Enabled","Apple ID Lock","")</f>
        <v/>
      </c>
      <c r="R184" s="13" t="str">
        <f>IF(MacReports!L184="y","Remote Locked","")</f>
        <v/>
      </c>
      <c r="S184" t="str">
        <f t="shared" si="7"/>
        <v>Battery Defect, 0</v>
      </c>
      <c r="T184" t="str">
        <f>_xlfn.XLOOKUP(B184,Disk_Pivot!G:G,Disk_Pivot!I:I)</f>
        <v>Yes x2</v>
      </c>
      <c r="U184" t="str">
        <f>_xlfn.XLOOKUP(B184,Disk_Pivot!G:G,Disk_Pivot!N:N)</f>
        <v>Pass, Fail</v>
      </c>
      <c r="V184" t="str">
        <f>IF(U184="Fail",MacReports!N184,"")</f>
        <v/>
      </c>
      <c r="AB184" t="str">
        <f t="shared" si="8"/>
        <v/>
      </c>
    </row>
    <row r="185" spans="1:28">
      <c r="A185" t="str">
        <f>MacReports!A185</f>
        <v/>
      </c>
      <c r="B185">
        <f>MacReports!B185</f>
        <v>0</v>
      </c>
      <c r="C185">
        <f>MacReports!C185</f>
        <v>0</v>
      </c>
      <c r="E185" t="e">
        <f>_xlfn.XLOOKUP(G185,Models!A:A,Models!F:F)</f>
        <v>#N/A</v>
      </c>
      <c r="F185" t="str">
        <f>_xlfn.XLOOKUP(B185,MacReports!B:B,MacReports!D:D,"")</f>
        <v/>
      </c>
      <c r="G185" s="13">
        <f>MacReports!E185</f>
        <v>0</v>
      </c>
      <c r="H185" t="e">
        <f>_xlfn.XLOOKUP(G185,Models!A:A,Models!B:B)</f>
        <v>#N/A</v>
      </c>
      <c r="I185" t="e">
        <f>_xlfn.XLOOKUP(G185,Models!A:A,Models!E:E)</f>
        <v>#N/A</v>
      </c>
      <c r="J185" t="e">
        <f>_xlfn.XLOOKUP(G185,Models!A:A,Models!D:D)</f>
        <v>#N/A</v>
      </c>
      <c r="K185">
        <f>MacReports!F185</f>
        <v>0</v>
      </c>
      <c r="L185">
        <f>MacReports!G185</f>
        <v>0</v>
      </c>
      <c r="M185" s="15" t="e" cm="1">
        <f t="array" ref="M185">--_xlfn.LET(
    _xlpm.txt, MacReports!H185,
    _xlpm.chars, MID(_xlpm.txt, _xlfn.SEQUENCE(LEN(_xlpm.txt)), 1),
    _xlfn.TEXTJOIN("", TRUE, IF(ISNUMBER(--_xlpm.chars), _xlpm.chars, ""))
)</f>
        <v>#VALUE!</v>
      </c>
      <c r="N185" s="16" t="str" cm="1">
        <f t="array" ref="N185">_xlfn.IFS(
   --MacReports!M185&lt;55,"Battery Defect",
  -- MacReports!M185&lt;=69,"Battery D",
  --MacReports!M185&lt;=80,"Battery C",
 --MacReports!M185&gt;80,""
)</f>
        <v>Battery Defect</v>
      </c>
      <c r="O185" s="16" t="str">
        <f>IF(MacReports!I185="Service","Battery Service","")</f>
        <v/>
      </c>
      <c r="P185" s="13">
        <f>MacReports!P185</f>
        <v>0</v>
      </c>
      <c r="Q185" s="13" t="str">
        <f>IF(MacReports!J185="Enabled","Apple ID Lock","")</f>
        <v/>
      </c>
      <c r="R185" s="13" t="str">
        <f>IF(MacReports!L185="y","Remote Locked","")</f>
        <v/>
      </c>
      <c r="S185" t="str">
        <f t="shared" si="7"/>
        <v>Battery Defect, 0</v>
      </c>
      <c r="T185" t="str">
        <f>_xlfn.XLOOKUP(B185,Disk_Pivot!G:G,Disk_Pivot!I:I)</f>
        <v>Yes x2</v>
      </c>
      <c r="U185" t="str">
        <f>_xlfn.XLOOKUP(B185,Disk_Pivot!G:G,Disk_Pivot!N:N)</f>
        <v>Pass, Fail</v>
      </c>
      <c r="V185" t="str">
        <f>IF(U185="Fail",MacReports!N185,"")</f>
        <v/>
      </c>
      <c r="AB185" t="str">
        <f t="shared" si="8"/>
        <v/>
      </c>
    </row>
    <row r="186" spans="1:28">
      <c r="A186" t="str">
        <f>MacReports!A186</f>
        <v/>
      </c>
      <c r="B186">
        <f>MacReports!B186</f>
        <v>0</v>
      </c>
      <c r="C186">
        <f>MacReports!C186</f>
        <v>0</v>
      </c>
      <c r="E186" t="e">
        <f>_xlfn.XLOOKUP(G186,Models!A:A,Models!F:F)</f>
        <v>#N/A</v>
      </c>
      <c r="F186" t="str">
        <f>_xlfn.XLOOKUP(B186,MacReports!B:B,MacReports!D:D,"")</f>
        <v/>
      </c>
      <c r="G186" s="13">
        <f>MacReports!E186</f>
        <v>0</v>
      </c>
      <c r="H186" t="e">
        <f>_xlfn.XLOOKUP(G186,Models!A:A,Models!B:B)</f>
        <v>#N/A</v>
      </c>
      <c r="I186" t="e">
        <f>_xlfn.XLOOKUP(G186,Models!A:A,Models!E:E)</f>
        <v>#N/A</v>
      </c>
      <c r="J186" t="e">
        <f>_xlfn.XLOOKUP(G186,Models!A:A,Models!D:D)</f>
        <v>#N/A</v>
      </c>
      <c r="K186">
        <f>MacReports!F186</f>
        <v>0</v>
      </c>
      <c r="L186">
        <f>MacReports!G186</f>
        <v>0</v>
      </c>
      <c r="M186" s="15" t="e" cm="1">
        <f t="array" ref="M186">--_xlfn.LET(
    _xlpm.txt, MacReports!H186,
    _xlpm.chars, MID(_xlpm.txt, _xlfn.SEQUENCE(LEN(_xlpm.txt)), 1),
    _xlfn.TEXTJOIN("", TRUE, IF(ISNUMBER(--_xlpm.chars), _xlpm.chars, ""))
)</f>
        <v>#VALUE!</v>
      </c>
      <c r="N186" s="16" t="str" cm="1">
        <f t="array" ref="N186">_xlfn.IFS(
   --MacReports!M186&lt;55,"Battery Defect",
  -- MacReports!M186&lt;=69,"Battery D",
  --MacReports!M186&lt;=80,"Battery C",
 --MacReports!M186&gt;80,""
)</f>
        <v>Battery Defect</v>
      </c>
      <c r="O186" s="16" t="str">
        <f>IF(MacReports!I186="Service","Battery Service","")</f>
        <v/>
      </c>
      <c r="P186" s="13">
        <f>MacReports!P186</f>
        <v>0</v>
      </c>
      <c r="Q186" s="13" t="str">
        <f>IF(MacReports!J186="Enabled","Apple ID Lock","")</f>
        <v/>
      </c>
      <c r="R186" s="13" t="str">
        <f>IF(MacReports!L186="y","Remote Locked","")</f>
        <v/>
      </c>
      <c r="S186" t="str">
        <f t="shared" si="7"/>
        <v>Battery Defect, 0</v>
      </c>
      <c r="T186" t="str">
        <f>_xlfn.XLOOKUP(B186,Disk_Pivot!G:G,Disk_Pivot!I:I)</f>
        <v>Yes x2</v>
      </c>
      <c r="U186" t="str">
        <f>_xlfn.XLOOKUP(B186,Disk_Pivot!G:G,Disk_Pivot!N:N)</f>
        <v>Pass, Fail</v>
      </c>
      <c r="V186" t="str">
        <f>IF(U186="Fail",MacReports!N186,"")</f>
        <v/>
      </c>
      <c r="AB186" t="str">
        <f t="shared" si="8"/>
        <v/>
      </c>
    </row>
    <row r="187" spans="1:28">
      <c r="A187" t="str">
        <f>MacReports!A187</f>
        <v/>
      </c>
      <c r="B187">
        <f>MacReports!B187</f>
        <v>0</v>
      </c>
      <c r="C187">
        <f>MacReports!C187</f>
        <v>0</v>
      </c>
      <c r="E187" t="e">
        <f>_xlfn.XLOOKUP(G187,Models!A:A,Models!F:F)</f>
        <v>#N/A</v>
      </c>
      <c r="F187" t="str">
        <f>_xlfn.XLOOKUP(B187,MacReports!B:B,MacReports!D:D,"")</f>
        <v/>
      </c>
      <c r="G187" s="13">
        <f>MacReports!E187</f>
        <v>0</v>
      </c>
      <c r="H187" t="e">
        <f>_xlfn.XLOOKUP(G187,Models!A:A,Models!B:B)</f>
        <v>#N/A</v>
      </c>
      <c r="I187" t="e">
        <f>_xlfn.XLOOKUP(G187,Models!A:A,Models!E:E)</f>
        <v>#N/A</v>
      </c>
      <c r="J187" t="e">
        <f>_xlfn.XLOOKUP(G187,Models!A:A,Models!D:D)</f>
        <v>#N/A</v>
      </c>
      <c r="K187">
        <f>MacReports!F187</f>
        <v>0</v>
      </c>
      <c r="L187">
        <f>MacReports!G187</f>
        <v>0</v>
      </c>
      <c r="M187" s="15" t="e" cm="1">
        <f t="array" ref="M187">--_xlfn.LET(
    _xlpm.txt, MacReports!H187,
    _xlpm.chars, MID(_xlpm.txt, _xlfn.SEQUENCE(LEN(_xlpm.txt)), 1),
    _xlfn.TEXTJOIN("", TRUE, IF(ISNUMBER(--_xlpm.chars), _xlpm.chars, ""))
)</f>
        <v>#VALUE!</v>
      </c>
      <c r="N187" s="16" t="str" cm="1">
        <f t="array" ref="N187">_xlfn.IFS(
   --MacReports!M187&lt;55,"Battery Defect",
  -- MacReports!M187&lt;=69,"Battery D",
  --MacReports!M187&lt;=80,"Battery C",
 --MacReports!M187&gt;80,""
)</f>
        <v>Battery Defect</v>
      </c>
      <c r="O187" s="16" t="str">
        <f>IF(MacReports!I187="Service","Battery Service","")</f>
        <v/>
      </c>
      <c r="P187" s="13">
        <f>MacReports!P187</f>
        <v>0</v>
      </c>
      <c r="Q187" s="13" t="str">
        <f>IF(MacReports!J187="Enabled","Apple ID Lock","")</f>
        <v/>
      </c>
      <c r="R187" s="13" t="str">
        <f>IF(MacReports!L187="y","Remote Locked","")</f>
        <v/>
      </c>
      <c r="S187" t="str">
        <f t="shared" si="7"/>
        <v>Battery Defect, 0</v>
      </c>
      <c r="T187" t="str">
        <f>_xlfn.XLOOKUP(B187,Disk_Pivot!G:G,Disk_Pivot!I:I)</f>
        <v>Yes x2</v>
      </c>
      <c r="U187" t="str">
        <f>_xlfn.XLOOKUP(B187,Disk_Pivot!G:G,Disk_Pivot!N:N)</f>
        <v>Pass, Fail</v>
      </c>
      <c r="V187" t="str">
        <f>IF(U187="Fail",MacReports!N187,"")</f>
        <v/>
      </c>
      <c r="AB187" t="str">
        <f t="shared" si="8"/>
        <v/>
      </c>
    </row>
    <row r="188" spans="1:28">
      <c r="A188" t="str">
        <f>MacReports!A188</f>
        <v/>
      </c>
      <c r="B188">
        <f>MacReports!B188</f>
        <v>0</v>
      </c>
      <c r="C188">
        <f>MacReports!C188</f>
        <v>0</v>
      </c>
      <c r="E188" t="e">
        <f>_xlfn.XLOOKUP(G188,Models!A:A,Models!F:F)</f>
        <v>#N/A</v>
      </c>
      <c r="F188" t="str">
        <f>_xlfn.XLOOKUP(B188,MacReports!B:B,MacReports!D:D,"")</f>
        <v/>
      </c>
      <c r="G188" s="13">
        <f>MacReports!E188</f>
        <v>0</v>
      </c>
      <c r="H188" t="e">
        <f>_xlfn.XLOOKUP(G188,Models!A:A,Models!B:B)</f>
        <v>#N/A</v>
      </c>
      <c r="I188" t="e">
        <f>_xlfn.XLOOKUP(G188,Models!A:A,Models!E:E)</f>
        <v>#N/A</v>
      </c>
      <c r="J188" t="e">
        <f>_xlfn.XLOOKUP(G188,Models!A:A,Models!D:D)</f>
        <v>#N/A</v>
      </c>
      <c r="K188">
        <f>MacReports!F188</f>
        <v>0</v>
      </c>
      <c r="L188">
        <f>MacReports!G188</f>
        <v>0</v>
      </c>
      <c r="M188" s="15" t="e" cm="1">
        <f t="array" ref="M188">--_xlfn.LET(
    _xlpm.txt, MacReports!H188,
    _xlpm.chars, MID(_xlpm.txt, _xlfn.SEQUENCE(LEN(_xlpm.txt)), 1),
    _xlfn.TEXTJOIN("", TRUE, IF(ISNUMBER(--_xlpm.chars), _xlpm.chars, ""))
)</f>
        <v>#VALUE!</v>
      </c>
      <c r="N188" s="16" t="str" cm="1">
        <f t="array" ref="N188">_xlfn.IFS(
   --MacReports!M188&lt;55,"Battery Defect",
  -- MacReports!M188&lt;=69,"Battery D",
  --MacReports!M188&lt;=80,"Battery C",
 --MacReports!M188&gt;80,""
)</f>
        <v>Battery Defect</v>
      </c>
      <c r="O188" s="16" t="str">
        <f>IF(MacReports!I188="Service","Battery Service","")</f>
        <v/>
      </c>
      <c r="P188" s="13">
        <f>MacReports!P188</f>
        <v>0</v>
      </c>
      <c r="Q188" s="13" t="str">
        <f>IF(MacReports!J188="Enabled","Apple ID Lock","")</f>
        <v/>
      </c>
      <c r="R188" s="13" t="str">
        <f>IF(MacReports!L188="y","Remote Locked","")</f>
        <v/>
      </c>
      <c r="S188" t="str">
        <f t="shared" si="7"/>
        <v>Battery Defect, 0</v>
      </c>
      <c r="T188" t="str">
        <f>_xlfn.XLOOKUP(B188,Disk_Pivot!G:G,Disk_Pivot!I:I)</f>
        <v>Yes x2</v>
      </c>
      <c r="U188" t="str">
        <f>_xlfn.XLOOKUP(B188,Disk_Pivot!G:G,Disk_Pivot!N:N)</f>
        <v>Pass, Fail</v>
      </c>
      <c r="V188" t="str">
        <f>IF(U188="Fail",MacReports!N188,"")</f>
        <v/>
      </c>
      <c r="AB188" t="str">
        <f t="shared" si="8"/>
        <v/>
      </c>
    </row>
    <row r="189" spans="1:28">
      <c r="A189" t="str">
        <f>MacReports!A189</f>
        <v/>
      </c>
      <c r="B189">
        <f>MacReports!B189</f>
        <v>0</v>
      </c>
      <c r="C189">
        <f>MacReports!C189</f>
        <v>0</v>
      </c>
      <c r="E189" t="e">
        <f>_xlfn.XLOOKUP(G189,Models!A:A,Models!F:F)</f>
        <v>#N/A</v>
      </c>
      <c r="F189" t="str">
        <f>_xlfn.XLOOKUP(B189,MacReports!B:B,MacReports!D:D,"")</f>
        <v/>
      </c>
      <c r="G189" s="13">
        <f>MacReports!E189</f>
        <v>0</v>
      </c>
      <c r="H189" t="e">
        <f>_xlfn.XLOOKUP(G189,Models!A:A,Models!B:B)</f>
        <v>#N/A</v>
      </c>
      <c r="I189" t="e">
        <f>_xlfn.XLOOKUP(G189,Models!A:A,Models!E:E)</f>
        <v>#N/A</v>
      </c>
      <c r="J189" t="e">
        <f>_xlfn.XLOOKUP(G189,Models!A:A,Models!D:D)</f>
        <v>#N/A</v>
      </c>
      <c r="K189">
        <f>MacReports!F189</f>
        <v>0</v>
      </c>
      <c r="L189">
        <f>MacReports!G189</f>
        <v>0</v>
      </c>
      <c r="M189" s="15" t="e" cm="1">
        <f t="array" ref="M189">--_xlfn.LET(
    _xlpm.txt, MacReports!H189,
    _xlpm.chars, MID(_xlpm.txt, _xlfn.SEQUENCE(LEN(_xlpm.txt)), 1),
    _xlfn.TEXTJOIN("", TRUE, IF(ISNUMBER(--_xlpm.chars), _xlpm.chars, ""))
)</f>
        <v>#VALUE!</v>
      </c>
      <c r="N189" s="16" t="str" cm="1">
        <f t="array" ref="N189">_xlfn.IFS(
   --MacReports!M189&lt;55,"Battery Defect",
  -- MacReports!M189&lt;=69,"Battery D",
  --MacReports!M189&lt;=80,"Battery C",
 --MacReports!M189&gt;80,""
)</f>
        <v>Battery Defect</v>
      </c>
      <c r="O189" s="16" t="str">
        <f>IF(MacReports!I189="Service","Battery Service","")</f>
        <v/>
      </c>
      <c r="P189" s="13">
        <f>MacReports!P189</f>
        <v>0</v>
      </c>
      <c r="Q189" s="13" t="str">
        <f>IF(MacReports!J189="Enabled","Apple ID Lock","")</f>
        <v/>
      </c>
      <c r="R189" s="13" t="str">
        <f>IF(MacReports!L189="y","Remote Locked","")</f>
        <v/>
      </c>
      <c r="S189" t="str">
        <f t="shared" si="7"/>
        <v>Battery Defect, 0</v>
      </c>
      <c r="T189" t="str">
        <f>_xlfn.XLOOKUP(B189,Disk_Pivot!G:G,Disk_Pivot!I:I)</f>
        <v>Yes x2</v>
      </c>
      <c r="U189" t="str">
        <f>_xlfn.XLOOKUP(B189,Disk_Pivot!G:G,Disk_Pivot!N:N)</f>
        <v>Pass, Fail</v>
      </c>
      <c r="V189" t="str">
        <f>IF(U189="Fail",MacReports!N189,"")</f>
        <v/>
      </c>
      <c r="AB189" t="str">
        <f t="shared" si="8"/>
        <v/>
      </c>
    </row>
    <row r="190" spans="1:28">
      <c r="A190" t="str">
        <f>MacReports!A190</f>
        <v/>
      </c>
      <c r="B190">
        <f>MacReports!B190</f>
        <v>0</v>
      </c>
      <c r="C190">
        <f>MacReports!C190</f>
        <v>0</v>
      </c>
      <c r="E190" t="e">
        <f>_xlfn.XLOOKUP(G190,Models!A:A,Models!F:F)</f>
        <v>#N/A</v>
      </c>
      <c r="F190" t="str">
        <f>_xlfn.XLOOKUP(B190,MacReports!B:B,MacReports!D:D,"")</f>
        <v/>
      </c>
      <c r="G190" s="13">
        <f>MacReports!E190</f>
        <v>0</v>
      </c>
      <c r="H190" t="e">
        <f>_xlfn.XLOOKUP(G190,Models!A:A,Models!B:B)</f>
        <v>#N/A</v>
      </c>
      <c r="I190" t="e">
        <f>_xlfn.XLOOKUP(G190,Models!A:A,Models!E:E)</f>
        <v>#N/A</v>
      </c>
      <c r="J190" t="e">
        <f>_xlfn.XLOOKUP(G190,Models!A:A,Models!D:D)</f>
        <v>#N/A</v>
      </c>
      <c r="K190">
        <f>MacReports!F190</f>
        <v>0</v>
      </c>
      <c r="L190">
        <f>MacReports!G190</f>
        <v>0</v>
      </c>
      <c r="M190" s="15" t="e" cm="1">
        <f t="array" ref="M190">--_xlfn.LET(
    _xlpm.txt, MacReports!H190,
    _xlpm.chars, MID(_xlpm.txt, _xlfn.SEQUENCE(LEN(_xlpm.txt)), 1),
    _xlfn.TEXTJOIN("", TRUE, IF(ISNUMBER(--_xlpm.chars), _xlpm.chars, ""))
)</f>
        <v>#VALUE!</v>
      </c>
      <c r="N190" s="16" t="str" cm="1">
        <f t="array" ref="N190">_xlfn.IFS(
   --MacReports!M190&lt;55,"Battery Defect",
  -- MacReports!M190&lt;=69,"Battery D",
  --MacReports!M190&lt;=80,"Battery C",
 --MacReports!M190&gt;80,""
)</f>
        <v>Battery Defect</v>
      </c>
      <c r="O190" s="16" t="str">
        <f>IF(MacReports!I190="Service","Battery Service","")</f>
        <v/>
      </c>
      <c r="P190" s="13">
        <f>MacReports!P190</f>
        <v>0</v>
      </c>
      <c r="Q190" s="13" t="str">
        <f>IF(MacReports!J190="Enabled","Apple ID Lock","")</f>
        <v/>
      </c>
      <c r="R190" s="13" t="str">
        <f>IF(MacReports!L190="y","Remote Locked","")</f>
        <v/>
      </c>
      <c r="S190" t="str">
        <f t="shared" si="7"/>
        <v>Battery Defect, 0</v>
      </c>
      <c r="T190" t="str">
        <f>_xlfn.XLOOKUP(B190,Disk_Pivot!G:G,Disk_Pivot!I:I)</f>
        <v>Yes x2</v>
      </c>
      <c r="U190" t="str">
        <f>_xlfn.XLOOKUP(B190,Disk_Pivot!G:G,Disk_Pivot!N:N)</f>
        <v>Pass, Fail</v>
      </c>
      <c r="V190" t="str">
        <f>IF(U190="Fail",MacReports!N190,"")</f>
        <v/>
      </c>
      <c r="AB190" t="str">
        <f t="shared" si="8"/>
        <v/>
      </c>
    </row>
    <row r="191" spans="1:28">
      <c r="A191" t="str">
        <f>MacReports!A191</f>
        <v/>
      </c>
      <c r="B191">
        <f>MacReports!B191</f>
        <v>0</v>
      </c>
      <c r="C191">
        <f>MacReports!C191</f>
        <v>0</v>
      </c>
      <c r="E191" t="e">
        <f>_xlfn.XLOOKUP(G191,Models!A:A,Models!F:F)</f>
        <v>#N/A</v>
      </c>
      <c r="F191" t="str">
        <f>_xlfn.XLOOKUP(B191,MacReports!B:B,MacReports!D:D,"")</f>
        <v/>
      </c>
      <c r="G191" s="13">
        <f>MacReports!E191</f>
        <v>0</v>
      </c>
      <c r="H191" t="e">
        <f>_xlfn.XLOOKUP(G191,Models!A:A,Models!B:B)</f>
        <v>#N/A</v>
      </c>
      <c r="I191" t="e">
        <f>_xlfn.XLOOKUP(G191,Models!A:A,Models!E:E)</f>
        <v>#N/A</v>
      </c>
      <c r="J191" t="e">
        <f>_xlfn.XLOOKUP(G191,Models!A:A,Models!D:D)</f>
        <v>#N/A</v>
      </c>
      <c r="K191">
        <f>MacReports!F191</f>
        <v>0</v>
      </c>
      <c r="L191">
        <f>MacReports!G191</f>
        <v>0</v>
      </c>
      <c r="M191" s="15" t="e" cm="1">
        <f t="array" ref="M191">--_xlfn.LET(
    _xlpm.txt, MacReports!H191,
    _xlpm.chars, MID(_xlpm.txt, _xlfn.SEQUENCE(LEN(_xlpm.txt)), 1),
    _xlfn.TEXTJOIN("", TRUE, IF(ISNUMBER(--_xlpm.chars), _xlpm.chars, ""))
)</f>
        <v>#VALUE!</v>
      </c>
      <c r="N191" s="16" t="str" cm="1">
        <f t="array" ref="N191">_xlfn.IFS(
   --MacReports!M191&lt;55,"Battery Defect",
  -- MacReports!M191&lt;=69,"Battery D",
  --MacReports!M191&lt;=80,"Battery C",
 --MacReports!M191&gt;80,""
)</f>
        <v>Battery Defect</v>
      </c>
      <c r="O191" s="16" t="str">
        <f>IF(MacReports!I191="Service","Battery Service","")</f>
        <v/>
      </c>
      <c r="P191" s="13">
        <f>MacReports!P191</f>
        <v>0</v>
      </c>
      <c r="Q191" s="13" t="str">
        <f>IF(MacReports!J191="Enabled","Apple ID Lock","")</f>
        <v/>
      </c>
      <c r="R191" s="13" t="str">
        <f>IF(MacReports!L191="y","Remote Locked","")</f>
        <v/>
      </c>
      <c r="S191" t="str">
        <f t="shared" si="7"/>
        <v>Battery Defect, 0</v>
      </c>
      <c r="T191" t="str">
        <f>_xlfn.XLOOKUP(B191,Disk_Pivot!G:G,Disk_Pivot!I:I)</f>
        <v>Yes x2</v>
      </c>
      <c r="U191" t="str">
        <f>_xlfn.XLOOKUP(B191,Disk_Pivot!G:G,Disk_Pivot!N:N)</f>
        <v>Pass, Fail</v>
      </c>
      <c r="V191" t="str">
        <f>IF(U191="Fail",MacReports!N191,"")</f>
        <v/>
      </c>
      <c r="AB191" t="str">
        <f t="shared" si="8"/>
        <v/>
      </c>
    </row>
    <row r="192" spans="1:28">
      <c r="A192" t="str">
        <f>MacReports!A192</f>
        <v/>
      </c>
      <c r="B192">
        <f>MacReports!B192</f>
        <v>0</v>
      </c>
      <c r="C192">
        <f>MacReports!C192</f>
        <v>0</v>
      </c>
      <c r="E192" t="e">
        <f>_xlfn.XLOOKUP(G192,Models!A:A,Models!F:F)</f>
        <v>#N/A</v>
      </c>
      <c r="F192" t="str">
        <f>_xlfn.XLOOKUP(B192,MacReports!B:B,MacReports!D:D,"")</f>
        <v/>
      </c>
      <c r="G192" s="13">
        <f>MacReports!E192</f>
        <v>0</v>
      </c>
      <c r="H192" t="e">
        <f>_xlfn.XLOOKUP(G192,Models!A:A,Models!B:B)</f>
        <v>#N/A</v>
      </c>
      <c r="I192" t="e">
        <f>_xlfn.XLOOKUP(G192,Models!A:A,Models!E:E)</f>
        <v>#N/A</v>
      </c>
      <c r="J192" t="e">
        <f>_xlfn.XLOOKUP(G192,Models!A:A,Models!D:D)</f>
        <v>#N/A</v>
      </c>
      <c r="K192">
        <f>MacReports!F192</f>
        <v>0</v>
      </c>
      <c r="L192">
        <f>MacReports!G192</f>
        <v>0</v>
      </c>
      <c r="M192" s="15" t="e" cm="1">
        <f t="array" ref="M192">--_xlfn.LET(
    _xlpm.txt, MacReports!H192,
    _xlpm.chars, MID(_xlpm.txt, _xlfn.SEQUENCE(LEN(_xlpm.txt)), 1),
    _xlfn.TEXTJOIN("", TRUE, IF(ISNUMBER(--_xlpm.chars), _xlpm.chars, ""))
)</f>
        <v>#VALUE!</v>
      </c>
      <c r="N192" s="16" t="str" cm="1">
        <f t="array" ref="N192">_xlfn.IFS(
   --MacReports!M192&lt;55,"Battery Defect",
  -- MacReports!M192&lt;=69,"Battery D",
  --MacReports!M192&lt;=80,"Battery C",
 --MacReports!M192&gt;80,""
)</f>
        <v>Battery Defect</v>
      </c>
      <c r="O192" s="16" t="str">
        <f>IF(MacReports!I192="Service","Battery Service","")</f>
        <v/>
      </c>
      <c r="P192" s="13">
        <f>MacReports!P192</f>
        <v>0</v>
      </c>
      <c r="Q192" s="13" t="str">
        <f>IF(MacReports!J192="Enabled","Apple ID Lock","")</f>
        <v/>
      </c>
      <c r="R192" s="13" t="str">
        <f>IF(MacReports!L192="y","Remote Locked","")</f>
        <v/>
      </c>
      <c r="S192" t="str">
        <f t="shared" si="7"/>
        <v>Battery Defect, 0</v>
      </c>
      <c r="T192" t="str">
        <f>_xlfn.XLOOKUP(B192,Disk_Pivot!G:G,Disk_Pivot!I:I)</f>
        <v>Yes x2</v>
      </c>
      <c r="U192" t="str">
        <f>_xlfn.XLOOKUP(B192,Disk_Pivot!G:G,Disk_Pivot!N:N)</f>
        <v>Pass, Fail</v>
      </c>
      <c r="V192" t="str">
        <f>IF(U192="Fail",MacReports!N192,"")</f>
        <v/>
      </c>
      <c r="AB192" t="str">
        <f t="shared" si="8"/>
        <v/>
      </c>
    </row>
    <row r="193" spans="1:28">
      <c r="A193" t="str">
        <f>MacReports!A193</f>
        <v/>
      </c>
      <c r="B193">
        <f>MacReports!B193</f>
        <v>0</v>
      </c>
      <c r="C193">
        <f>MacReports!C193</f>
        <v>0</v>
      </c>
      <c r="E193" t="e">
        <f>_xlfn.XLOOKUP(G193,Models!A:A,Models!F:F)</f>
        <v>#N/A</v>
      </c>
      <c r="F193" t="str">
        <f>_xlfn.XLOOKUP(B193,MacReports!B:B,MacReports!D:D,"")</f>
        <v/>
      </c>
      <c r="G193" s="13">
        <f>MacReports!E193</f>
        <v>0</v>
      </c>
      <c r="H193" t="e">
        <f>_xlfn.XLOOKUP(G193,Models!A:A,Models!B:B)</f>
        <v>#N/A</v>
      </c>
      <c r="I193" t="e">
        <f>_xlfn.XLOOKUP(G193,Models!A:A,Models!E:E)</f>
        <v>#N/A</v>
      </c>
      <c r="J193" t="e">
        <f>_xlfn.XLOOKUP(G193,Models!A:A,Models!D:D)</f>
        <v>#N/A</v>
      </c>
      <c r="K193">
        <f>MacReports!F193</f>
        <v>0</v>
      </c>
      <c r="L193">
        <f>MacReports!G193</f>
        <v>0</v>
      </c>
      <c r="M193" s="15" t="e" cm="1">
        <f t="array" ref="M193">--_xlfn.LET(
    _xlpm.txt, MacReports!H193,
    _xlpm.chars, MID(_xlpm.txt, _xlfn.SEQUENCE(LEN(_xlpm.txt)), 1),
    _xlfn.TEXTJOIN("", TRUE, IF(ISNUMBER(--_xlpm.chars), _xlpm.chars, ""))
)</f>
        <v>#VALUE!</v>
      </c>
      <c r="N193" s="16" t="str" cm="1">
        <f t="array" ref="N193">_xlfn.IFS(
   --MacReports!M193&lt;55,"Battery Defect",
  -- MacReports!M193&lt;=69,"Battery D",
  --MacReports!M193&lt;=80,"Battery C",
 --MacReports!M193&gt;80,""
)</f>
        <v>Battery Defect</v>
      </c>
      <c r="O193" s="16" t="str">
        <f>IF(MacReports!I193="Service","Battery Service","")</f>
        <v/>
      </c>
      <c r="P193" s="13">
        <f>MacReports!P193</f>
        <v>0</v>
      </c>
      <c r="Q193" s="13" t="str">
        <f>IF(MacReports!J193="Enabled","Apple ID Lock","")</f>
        <v/>
      </c>
      <c r="R193" s="13" t="str">
        <f>IF(MacReports!L193="y","Remote Locked","")</f>
        <v/>
      </c>
      <c r="S193" t="str">
        <f t="shared" si="7"/>
        <v>Battery Defect, 0</v>
      </c>
      <c r="T193" t="str">
        <f>_xlfn.XLOOKUP(B193,Disk_Pivot!G:G,Disk_Pivot!I:I)</f>
        <v>Yes x2</v>
      </c>
      <c r="U193" t="str">
        <f>_xlfn.XLOOKUP(B193,Disk_Pivot!G:G,Disk_Pivot!N:N)</f>
        <v>Pass, Fail</v>
      </c>
      <c r="V193" t="str">
        <f>IF(U193="Fail",MacReports!N193,"")</f>
        <v/>
      </c>
      <c r="AB193" t="str">
        <f t="shared" si="8"/>
        <v/>
      </c>
    </row>
    <row r="194" spans="1:28">
      <c r="A194" t="str">
        <f>MacReports!A194</f>
        <v/>
      </c>
      <c r="B194">
        <f>MacReports!B194</f>
        <v>0</v>
      </c>
      <c r="C194">
        <f>MacReports!C194</f>
        <v>0</v>
      </c>
      <c r="E194" t="e">
        <f>_xlfn.XLOOKUP(G194,Models!A:A,Models!F:F)</f>
        <v>#N/A</v>
      </c>
      <c r="F194" t="str">
        <f>_xlfn.XLOOKUP(B194,MacReports!B:B,MacReports!D:D,"")</f>
        <v/>
      </c>
      <c r="G194" s="13">
        <f>MacReports!E194</f>
        <v>0</v>
      </c>
      <c r="H194" t="e">
        <f>_xlfn.XLOOKUP(G194,Models!A:A,Models!B:B)</f>
        <v>#N/A</v>
      </c>
      <c r="I194" t="e">
        <f>_xlfn.XLOOKUP(G194,Models!A:A,Models!E:E)</f>
        <v>#N/A</v>
      </c>
      <c r="J194" t="e">
        <f>_xlfn.XLOOKUP(G194,Models!A:A,Models!D:D)</f>
        <v>#N/A</v>
      </c>
      <c r="K194">
        <f>MacReports!F194</f>
        <v>0</v>
      </c>
      <c r="L194">
        <f>MacReports!G194</f>
        <v>0</v>
      </c>
      <c r="M194" s="15" t="e" cm="1">
        <f t="array" ref="M194">--_xlfn.LET(
    _xlpm.txt, MacReports!H194,
    _xlpm.chars, MID(_xlpm.txt, _xlfn.SEQUENCE(LEN(_xlpm.txt)), 1),
    _xlfn.TEXTJOIN("", TRUE, IF(ISNUMBER(--_xlpm.chars), _xlpm.chars, ""))
)</f>
        <v>#VALUE!</v>
      </c>
      <c r="N194" s="16" t="str" cm="1">
        <f t="array" ref="N194">_xlfn.IFS(
   --MacReports!M194&lt;55,"Battery Defect",
  -- MacReports!M194&lt;=69,"Battery D",
  --MacReports!M194&lt;=80,"Battery C",
 --MacReports!M194&gt;80,""
)</f>
        <v>Battery Defect</v>
      </c>
      <c r="O194" s="16" t="str">
        <f>IF(MacReports!I194="Service","Battery Service","")</f>
        <v/>
      </c>
      <c r="P194" s="13">
        <f>MacReports!P194</f>
        <v>0</v>
      </c>
      <c r="Q194" s="13" t="str">
        <f>IF(MacReports!J194="Enabled","Apple ID Lock","")</f>
        <v/>
      </c>
      <c r="R194" s="13" t="str">
        <f>IF(MacReports!L194="y","Remote Locked","")</f>
        <v/>
      </c>
      <c r="S194" t="str">
        <f t="shared" si="7"/>
        <v>Battery Defect, 0</v>
      </c>
      <c r="T194" t="str">
        <f>_xlfn.XLOOKUP(B194,Disk_Pivot!G:G,Disk_Pivot!I:I)</f>
        <v>Yes x2</v>
      </c>
      <c r="U194" t="str">
        <f>_xlfn.XLOOKUP(B194,Disk_Pivot!G:G,Disk_Pivot!N:N)</f>
        <v>Pass, Fail</v>
      </c>
      <c r="V194" t="str">
        <f>IF(U194="Fail",MacReports!N194,"")</f>
        <v/>
      </c>
      <c r="AB194" t="str">
        <f t="shared" si="8"/>
        <v/>
      </c>
    </row>
    <row r="195" spans="1:28">
      <c r="A195" t="str">
        <f>MacReports!A195</f>
        <v/>
      </c>
      <c r="B195">
        <f>MacReports!B195</f>
        <v>0</v>
      </c>
      <c r="C195">
        <f>MacReports!C195</f>
        <v>0</v>
      </c>
      <c r="E195" t="e">
        <f>_xlfn.XLOOKUP(G195,Models!A:A,Models!F:F)</f>
        <v>#N/A</v>
      </c>
      <c r="F195" t="str">
        <f>_xlfn.XLOOKUP(B195,MacReports!B:B,MacReports!D:D,"")</f>
        <v/>
      </c>
      <c r="G195" s="13">
        <f>MacReports!E195</f>
        <v>0</v>
      </c>
      <c r="H195" t="e">
        <f>_xlfn.XLOOKUP(G195,Models!A:A,Models!B:B)</f>
        <v>#N/A</v>
      </c>
      <c r="I195" t="e">
        <f>_xlfn.XLOOKUP(G195,Models!A:A,Models!E:E)</f>
        <v>#N/A</v>
      </c>
      <c r="J195" t="e">
        <f>_xlfn.XLOOKUP(G195,Models!A:A,Models!D:D)</f>
        <v>#N/A</v>
      </c>
      <c r="K195">
        <f>MacReports!F195</f>
        <v>0</v>
      </c>
      <c r="L195">
        <f>MacReports!G195</f>
        <v>0</v>
      </c>
      <c r="M195" s="15" t="e" cm="1">
        <f t="array" ref="M195">--_xlfn.LET(
    _xlpm.txt, MacReports!H195,
    _xlpm.chars, MID(_xlpm.txt, _xlfn.SEQUENCE(LEN(_xlpm.txt)), 1),
    _xlfn.TEXTJOIN("", TRUE, IF(ISNUMBER(--_xlpm.chars), _xlpm.chars, ""))
)</f>
        <v>#VALUE!</v>
      </c>
      <c r="N195" s="16" t="str" cm="1">
        <f t="array" ref="N195">_xlfn.IFS(
   --MacReports!M195&lt;55,"Battery Defect",
  -- MacReports!M195&lt;=69,"Battery D",
  --MacReports!M195&lt;=80,"Battery C",
 --MacReports!M195&gt;80,""
)</f>
        <v>Battery Defect</v>
      </c>
      <c r="O195" s="16" t="str">
        <f>IF(MacReports!I195="Service","Battery Service","")</f>
        <v/>
      </c>
      <c r="P195" s="13">
        <f>MacReports!P195</f>
        <v>0</v>
      </c>
      <c r="Q195" s="13" t="str">
        <f>IF(MacReports!J195="Enabled","Apple ID Lock","")</f>
        <v/>
      </c>
      <c r="R195" s="13" t="str">
        <f>IF(MacReports!L195="y","Remote Locked","")</f>
        <v/>
      </c>
      <c r="S195" t="str">
        <f t="shared" si="7"/>
        <v>Battery Defect, 0</v>
      </c>
      <c r="T195" t="str">
        <f>_xlfn.XLOOKUP(B195,Disk_Pivot!G:G,Disk_Pivot!I:I)</f>
        <v>Yes x2</v>
      </c>
      <c r="U195" t="str">
        <f>_xlfn.XLOOKUP(B195,Disk_Pivot!G:G,Disk_Pivot!N:N)</f>
        <v>Pass, Fail</v>
      </c>
      <c r="V195" t="str">
        <f>IF(U195="Fail",MacReports!N195,"")</f>
        <v/>
      </c>
      <c r="AB195" t="str">
        <f t="shared" si="8"/>
        <v/>
      </c>
    </row>
    <row r="196" spans="1:28">
      <c r="A196" t="str">
        <f>MacReports!A196</f>
        <v/>
      </c>
      <c r="B196">
        <f>MacReports!B196</f>
        <v>0</v>
      </c>
      <c r="C196">
        <f>MacReports!C196</f>
        <v>0</v>
      </c>
      <c r="E196" t="e">
        <f>_xlfn.XLOOKUP(G196,Models!A:A,Models!F:F)</f>
        <v>#N/A</v>
      </c>
      <c r="F196" t="str">
        <f>_xlfn.XLOOKUP(B196,MacReports!B:B,MacReports!D:D,"")</f>
        <v/>
      </c>
      <c r="G196" s="13">
        <f>MacReports!E196</f>
        <v>0</v>
      </c>
      <c r="H196" t="e">
        <f>_xlfn.XLOOKUP(G196,Models!A:A,Models!B:B)</f>
        <v>#N/A</v>
      </c>
      <c r="I196" t="e">
        <f>_xlfn.XLOOKUP(G196,Models!A:A,Models!E:E)</f>
        <v>#N/A</v>
      </c>
      <c r="J196" t="e">
        <f>_xlfn.XLOOKUP(G196,Models!A:A,Models!D:D)</f>
        <v>#N/A</v>
      </c>
      <c r="K196">
        <f>MacReports!F196</f>
        <v>0</v>
      </c>
      <c r="L196">
        <f>MacReports!G196</f>
        <v>0</v>
      </c>
      <c r="M196" s="15" t="e" cm="1">
        <f t="array" ref="M196">--_xlfn.LET(
    _xlpm.txt, MacReports!H196,
    _xlpm.chars, MID(_xlpm.txt, _xlfn.SEQUENCE(LEN(_xlpm.txt)), 1),
    _xlfn.TEXTJOIN("", TRUE, IF(ISNUMBER(--_xlpm.chars), _xlpm.chars, ""))
)</f>
        <v>#VALUE!</v>
      </c>
      <c r="N196" s="16" t="str" cm="1">
        <f t="array" ref="N196">_xlfn.IFS(
   --MacReports!M196&lt;55,"Battery Defect",
  -- MacReports!M196&lt;=69,"Battery D",
  --MacReports!M196&lt;=80,"Battery C",
 --MacReports!M196&gt;80,""
)</f>
        <v>Battery Defect</v>
      </c>
      <c r="O196" s="16" t="str">
        <f>IF(MacReports!I196="Service","Battery Service","")</f>
        <v/>
      </c>
      <c r="P196" s="13">
        <f>MacReports!P196</f>
        <v>0</v>
      </c>
      <c r="Q196" s="13" t="str">
        <f>IF(MacReports!J196="Enabled","Apple ID Lock","")</f>
        <v/>
      </c>
      <c r="R196" s="13" t="str">
        <f>IF(MacReports!L196="y","Remote Locked","")</f>
        <v/>
      </c>
      <c r="S196" t="str">
        <f t="shared" si="7"/>
        <v>Battery Defect, 0</v>
      </c>
      <c r="T196" t="str">
        <f>_xlfn.XLOOKUP(B196,Disk_Pivot!G:G,Disk_Pivot!I:I)</f>
        <v>Yes x2</v>
      </c>
      <c r="U196" t="str">
        <f>_xlfn.XLOOKUP(B196,Disk_Pivot!G:G,Disk_Pivot!N:N)</f>
        <v>Pass, Fail</v>
      </c>
      <c r="V196" t="str">
        <f>IF(U196="Fail",MacReports!N196,"")</f>
        <v/>
      </c>
      <c r="AB196" t="str">
        <f t="shared" si="8"/>
        <v/>
      </c>
    </row>
    <row r="197" spans="1:28">
      <c r="A197" t="str">
        <f>MacReports!A197</f>
        <v/>
      </c>
      <c r="B197">
        <f>MacReports!B197</f>
        <v>0</v>
      </c>
      <c r="C197">
        <f>MacReports!C197</f>
        <v>0</v>
      </c>
      <c r="E197" t="e">
        <f>_xlfn.XLOOKUP(G197,Models!A:A,Models!F:F)</f>
        <v>#N/A</v>
      </c>
      <c r="F197" t="str">
        <f>_xlfn.XLOOKUP(B197,MacReports!B:B,MacReports!D:D,"")</f>
        <v/>
      </c>
      <c r="G197" s="13">
        <f>MacReports!E197</f>
        <v>0</v>
      </c>
      <c r="H197" t="e">
        <f>_xlfn.XLOOKUP(G197,Models!A:A,Models!B:B)</f>
        <v>#N/A</v>
      </c>
      <c r="I197" t="e">
        <f>_xlfn.XLOOKUP(G197,Models!A:A,Models!E:E)</f>
        <v>#N/A</v>
      </c>
      <c r="J197" t="e">
        <f>_xlfn.XLOOKUP(G197,Models!A:A,Models!D:D)</f>
        <v>#N/A</v>
      </c>
      <c r="K197">
        <f>MacReports!F197</f>
        <v>0</v>
      </c>
      <c r="L197">
        <f>MacReports!G197</f>
        <v>0</v>
      </c>
      <c r="M197" s="15" t="e" cm="1">
        <f t="array" ref="M197">--_xlfn.LET(
    _xlpm.txt, MacReports!H197,
    _xlpm.chars, MID(_xlpm.txt, _xlfn.SEQUENCE(LEN(_xlpm.txt)), 1),
    _xlfn.TEXTJOIN("", TRUE, IF(ISNUMBER(--_xlpm.chars), _xlpm.chars, ""))
)</f>
        <v>#VALUE!</v>
      </c>
      <c r="N197" s="16" t="str" cm="1">
        <f t="array" ref="N197">_xlfn.IFS(
   --MacReports!M197&lt;55,"Battery Defect",
  -- MacReports!M197&lt;=69,"Battery D",
  --MacReports!M197&lt;=80,"Battery C",
 --MacReports!M197&gt;80,""
)</f>
        <v>Battery Defect</v>
      </c>
      <c r="O197" s="16" t="str">
        <f>IF(MacReports!I197="Service","Battery Service","")</f>
        <v/>
      </c>
      <c r="P197" s="13">
        <f>MacReports!P197</f>
        <v>0</v>
      </c>
      <c r="Q197" s="13" t="str">
        <f>IF(MacReports!J197="Enabled","Apple ID Lock","")</f>
        <v/>
      </c>
      <c r="R197" s="13" t="str">
        <f>IF(MacReports!L197="y","Remote Locked","")</f>
        <v/>
      </c>
      <c r="S197" t="str">
        <f t="shared" si="7"/>
        <v>Battery Defect, 0</v>
      </c>
      <c r="T197" t="str">
        <f>_xlfn.XLOOKUP(B197,Disk_Pivot!G:G,Disk_Pivot!I:I)</f>
        <v>Yes x2</v>
      </c>
      <c r="U197" t="str">
        <f>_xlfn.XLOOKUP(B197,Disk_Pivot!G:G,Disk_Pivot!N:N)</f>
        <v>Pass, Fail</v>
      </c>
      <c r="V197" t="str">
        <f>IF(U197="Fail",MacReports!N197,"")</f>
        <v/>
      </c>
      <c r="AB197" t="str">
        <f t="shared" si="8"/>
        <v/>
      </c>
    </row>
    <row r="198" spans="1:28">
      <c r="A198" t="str">
        <f>MacReports!A198</f>
        <v/>
      </c>
      <c r="B198">
        <f>MacReports!B198</f>
        <v>0</v>
      </c>
      <c r="C198">
        <f>MacReports!C198</f>
        <v>0</v>
      </c>
      <c r="E198" t="e">
        <f>_xlfn.XLOOKUP(G198,Models!A:A,Models!F:F)</f>
        <v>#N/A</v>
      </c>
      <c r="F198" t="str">
        <f>_xlfn.XLOOKUP(B198,MacReports!B:B,MacReports!D:D,"")</f>
        <v/>
      </c>
      <c r="G198" s="13">
        <f>MacReports!E198</f>
        <v>0</v>
      </c>
      <c r="H198" t="e">
        <f>_xlfn.XLOOKUP(G198,Models!A:A,Models!B:B)</f>
        <v>#N/A</v>
      </c>
      <c r="I198" t="e">
        <f>_xlfn.XLOOKUP(G198,Models!A:A,Models!E:E)</f>
        <v>#N/A</v>
      </c>
      <c r="J198" t="e">
        <f>_xlfn.XLOOKUP(G198,Models!A:A,Models!D:D)</f>
        <v>#N/A</v>
      </c>
      <c r="K198">
        <f>MacReports!F198</f>
        <v>0</v>
      </c>
      <c r="L198">
        <f>MacReports!G198</f>
        <v>0</v>
      </c>
      <c r="M198" s="15" t="e" cm="1">
        <f t="array" ref="M198">--_xlfn.LET(
    _xlpm.txt, MacReports!H198,
    _xlpm.chars, MID(_xlpm.txt, _xlfn.SEQUENCE(LEN(_xlpm.txt)), 1),
    _xlfn.TEXTJOIN("", TRUE, IF(ISNUMBER(--_xlpm.chars), _xlpm.chars, ""))
)</f>
        <v>#VALUE!</v>
      </c>
      <c r="N198" s="16" t="str" cm="1">
        <f t="array" ref="N198">_xlfn.IFS(
   --MacReports!M198&lt;55,"Battery Defect",
  -- MacReports!M198&lt;=69,"Battery D",
  --MacReports!M198&lt;=80,"Battery C",
 --MacReports!M198&gt;80,""
)</f>
        <v>Battery Defect</v>
      </c>
      <c r="O198" s="16" t="str">
        <f>IF(MacReports!I198="Service","Battery Service","")</f>
        <v/>
      </c>
      <c r="P198" s="13">
        <f>MacReports!P198</f>
        <v>0</v>
      </c>
      <c r="Q198" s="13" t="str">
        <f>IF(MacReports!J198="Enabled","Apple ID Lock","")</f>
        <v/>
      </c>
      <c r="R198" s="13" t="str">
        <f>IF(MacReports!L198="y","Remote Locked","")</f>
        <v/>
      </c>
      <c r="S198" t="str">
        <f t="shared" si="7"/>
        <v>Battery Defect, 0</v>
      </c>
      <c r="T198" t="str">
        <f>_xlfn.XLOOKUP(B198,Disk_Pivot!G:G,Disk_Pivot!I:I)</f>
        <v>Yes x2</v>
      </c>
      <c r="U198" t="str">
        <f>_xlfn.XLOOKUP(B198,Disk_Pivot!G:G,Disk_Pivot!N:N)</f>
        <v>Pass, Fail</v>
      </c>
      <c r="V198" t="str">
        <f>IF(U198="Fail",MacReports!N198,"")</f>
        <v/>
      </c>
      <c r="AB198" t="str">
        <f t="shared" si="8"/>
        <v/>
      </c>
    </row>
    <row r="199" spans="1:28">
      <c r="A199" t="str">
        <f>MacReports!A199</f>
        <v/>
      </c>
      <c r="B199">
        <f>MacReports!B199</f>
        <v>0</v>
      </c>
      <c r="C199">
        <f>MacReports!C199</f>
        <v>0</v>
      </c>
      <c r="E199" t="e">
        <f>_xlfn.XLOOKUP(G199,Models!A:A,Models!F:F)</f>
        <v>#N/A</v>
      </c>
      <c r="F199" t="str">
        <f>_xlfn.XLOOKUP(B199,MacReports!B:B,MacReports!D:D,"")</f>
        <v/>
      </c>
      <c r="G199" s="13">
        <f>MacReports!E199</f>
        <v>0</v>
      </c>
      <c r="H199" t="e">
        <f>_xlfn.XLOOKUP(G199,Models!A:A,Models!B:B)</f>
        <v>#N/A</v>
      </c>
      <c r="I199" t="e">
        <f>_xlfn.XLOOKUP(G199,Models!A:A,Models!E:E)</f>
        <v>#N/A</v>
      </c>
      <c r="J199" t="e">
        <f>_xlfn.XLOOKUP(G199,Models!A:A,Models!D:D)</f>
        <v>#N/A</v>
      </c>
      <c r="K199">
        <f>MacReports!F199</f>
        <v>0</v>
      </c>
      <c r="L199">
        <f>MacReports!G199</f>
        <v>0</v>
      </c>
      <c r="M199" s="15" t="e" cm="1">
        <f t="array" ref="M199">--_xlfn.LET(
    _xlpm.txt, MacReports!H199,
    _xlpm.chars, MID(_xlpm.txt, _xlfn.SEQUENCE(LEN(_xlpm.txt)), 1),
    _xlfn.TEXTJOIN("", TRUE, IF(ISNUMBER(--_xlpm.chars), _xlpm.chars, ""))
)</f>
        <v>#VALUE!</v>
      </c>
      <c r="N199" s="16" t="str" cm="1">
        <f t="array" ref="N199">_xlfn.IFS(
   --MacReports!M199&lt;55,"Battery Defect",
  -- MacReports!M199&lt;=69,"Battery D",
  --MacReports!M199&lt;=80,"Battery C",
 --MacReports!M199&gt;80,""
)</f>
        <v>Battery Defect</v>
      </c>
      <c r="O199" s="16" t="str">
        <f>IF(MacReports!I199="Service","Battery Service","")</f>
        <v/>
      </c>
      <c r="P199" s="13">
        <f>MacReports!P199</f>
        <v>0</v>
      </c>
      <c r="Q199" s="13" t="str">
        <f>IF(MacReports!J199="Enabled","Apple ID Lock","")</f>
        <v/>
      </c>
      <c r="R199" s="13" t="str">
        <f>IF(MacReports!L199="y","Remote Locked","")</f>
        <v/>
      </c>
      <c r="S199" t="str">
        <f t="shared" si="7"/>
        <v>Battery Defect, 0</v>
      </c>
      <c r="T199" t="str">
        <f>_xlfn.XLOOKUP(B199,Disk_Pivot!G:G,Disk_Pivot!I:I)</f>
        <v>Yes x2</v>
      </c>
      <c r="U199" t="str">
        <f>_xlfn.XLOOKUP(B199,Disk_Pivot!G:G,Disk_Pivot!N:N)</f>
        <v>Pass, Fail</v>
      </c>
      <c r="V199" t="str">
        <f>IF(U199="Fail",MacReports!N199,"")</f>
        <v/>
      </c>
      <c r="AB199" t="str">
        <f t="shared" si="8"/>
        <v/>
      </c>
    </row>
    <row r="200" spans="1:28">
      <c r="A200" t="str">
        <f>MacReports!A200</f>
        <v/>
      </c>
      <c r="B200">
        <f>MacReports!B200</f>
        <v>0</v>
      </c>
      <c r="C200">
        <f>MacReports!C200</f>
        <v>0</v>
      </c>
      <c r="E200" t="e">
        <f>_xlfn.XLOOKUP(G200,Models!A:A,Models!F:F)</f>
        <v>#N/A</v>
      </c>
      <c r="F200" t="str">
        <f>_xlfn.XLOOKUP(B200,MacReports!B:B,MacReports!D:D,"")</f>
        <v/>
      </c>
      <c r="G200" s="13">
        <f>MacReports!E200</f>
        <v>0</v>
      </c>
      <c r="H200" t="e">
        <f>_xlfn.XLOOKUP(G200,Models!A:A,Models!B:B)</f>
        <v>#N/A</v>
      </c>
      <c r="I200" t="e">
        <f>_xlfn.XLOOKUP(G200,Models!A:A,Models!E:E)</f>
        <v>#N/A</v>
      </c>
      <c r="J200" t="e">
        <f>_xlfn.XLOOKUP(G200,Models!A:A,Models!D:D)</f>
        <v>#N/A</v>
      </c>
      <c r="K200">
        <f>MacReports!F200</f>
        <v>0</v>
      </c>
      <c r="L200">
        <f>MacReports!G200</f>
        <v>0</v>
      </c>
      <c r="M200" s="15" t="e" cm="1">
        <f t="array" ref="M200">--_xlfn.LET(
    _xlpm.txt, MacReports!H200,
    _xlpm.chars, MID(_xlpm.txt, _xlfn.SEQUENCE(LEN(_xlpm.txt)), 1),
    _xlfn.TEXTJOIN("", TRUE, IF(ISNUMBER(--_xlpm.chars), _xlpm.chars, ""))
)</f>
        <v>#VALUE!</v>
      </c>
      <c r="N200" s="16" t="str" cm="1">
        <f t="array" ref="N200">_xlfn.IFS(
   --MacReports!M200&lt;55,"Battery Defect",
  -- MacReports!M200&lt;=69,"Battery D",
  --MacReports!M200&lt;=80,"Battery C",
 --MacReports!M200&gt;80,""
)</f>
        <v>Battery Defect</v>
      </c>
      <c r="O200" s="16" t="str">
        <f>IF(MacReports!I200="Service","Battery Service","")</f>
        <v/>
      </c>
      <c r="P200" s="13">
        <f>MacReports!P200</f>
        <v>0</v>
      </c>
      <c r="Q200" s="13" t="str">
        <f>IF(MacReports!J200="Enabled","Apple ID Lock","")</f>
        <v/>
      </c>
      <c r="R200" s="13" t="str">
        <f>IF(MacReports!L200="y","Remote Locked","")</f>
        <v/>
      </c>
      <c r="S200" t="str">
        <f t="shared" si="7"/>
        <v>Battery Defect, 0</v>
      </c>
      <c r="T200" t="str">
        <f>_xlfn.XLOOKUP(B200,Disk_Pivot!G:G,Disk_Pivot!I:I)</f>
        <v>Yes x2</v>
      </c>
      <c r="U200" t="str">
        <f>_xlfn.XLOOKUP(B200,Disk_Pivot!G:G,Disk_Pivot!N:N)</f>
        <v>Pass, Fail</v>
      </c>
      <c r="V200" t="str">
        <f>IF(U200="Fail",MacReports!N200,"")</f>
        <v/>
      </c>
      <c r="AB200" t="str">
        <f t="shared" si="8"/>
        <v/>
      </c>
    </row>
    <row r="201" spans="1:28">
      <c r="A201" t="str">
        <f>MacReports!A201</f>
        <v/>
      </c>
      <c r="B201">
        <f>MacReports!B201</f>
        <v>0</v>
      </c>
      <c r="C201">
        <f>MacReports!C201</f>
        <v>0</v>
      </c>
      <c r="E201" t="e">
        <f>_xlfn.XLOOKUP(G201,Models!A:A,Models!F:F)</f>
        <v>#N/A</v>
      </c>
      <c r="F201" t="str">
        <f>_xlfn.XLOOKUP(B201,MacReports!B:B,MacReports!D:D,"")</f>
        <v/>
      </c>
      <c r="G201" s="13">
        <f>MacReports!E201</f>
        <v>0</v>
      </c>
      <c r="H201" t="e">
        <f>_xlfn.XLOOKUP(G201,Models!A:A,Models!B:B)</f>
        <v>#N/A</v>
      </c>
      <c r="I201" t="e">
        <f>_xlfn.XLOOKUP(G201,Models!A:A,Models!E:E)</f>
        <v>#N/A</v>
      </c>
      <c r="J201" t="e">
        <f>_xlfn.XLOOKUP(G201,Models!A:A,Models!D:D)</f>
        <v>#N/A</v>
      </c>
      <c r="K201">
        <f>MacReports!F201</f>
        <v>0</v>
      </c>
      <c r="L201">
        <f>MacReports!G201</f>
        <v>0</v>
      </c>
      <c r="M201" s="15" t="e" cm="1">
        <f t="array" ref="M201">--_xlfn.LET(
    _xlpm.txt, MacReports!H201,
    _xlpm.chars, MID(_xlpm.txt, _xlfn.SEQUENCE(LEN(_xlpm.txt)), 1),
    _xlfn.TEXTJOIN("", TRUE, IF(ISNUMBER(--_xlpm.chars), _xlpm.chars, ""))
)</f>
        <v>#VALUE!</v>
      </c>
      <c r="N201" s="16" t="str" cm="1">
        <f t="array" ref="N201">_xlfn.IFS(
   --MacReports!M201&lt;55,"Battery Defect",
  -- MacReports!M201&lt;=69,"Battery D",
  --MacReports!M201&lt;=80,"Battery C",
 --MacReports!M201&gt;80,""
)</f>
        <v>Battery Defect</v>
      </c>
      <c r="O201" s="16" t="str">
        <f>IF(MacReports!I201="Service","Battery Service","")</f>
        <v/>
      </c>
      <c r="P201" s="13">
        <f>MacReports!P201</f>
        <v>0</v>
      </c>
      <c r="Q201" s="13" t="str">
        <f>IF(MacReports!J201="Enabled","Apple ID Lock","")</f>
        <v/>
      </c>
      <c r="R201" s="13" t="str">
        <f>IF(MacReports!L201="y","Remote Locked","")</f>
        <v/>
      </c>
      <c r="S201" t="str">
        <f t="shared" si="7"/>
        <v>Battery Defect, 0</v>
      </c>
      <c r="T201" t="str">
        <f>_xlfn.XLOOKUP(B201,Disk_Pivot!G:G,Disk_Pivot!I:I)</f>
        <v>Yes x2</v>
      </c>
      <c r="U201" t="str">
        <f>_xlfn.XLOOKUP(B201,Disk_Pivot!G:G,Disk_Pivot!N:N)</f>
        <v>Pass, Fail</v>
      </c>
      <c r="V201" t="str">
        <f>IF(U201="Fail",MacReports!N201,"")</f>
        <v/>
      </c>
      <c r="AB201" t="str">
        <f t="shared" si="8"/>
        <v/>
      </c>
    </row>
    <row r="202" spans="1:28">
      <c r="A202" t="str">
        <f>MacReports!A202</f>
        <v/>
      </c>
      <c r="B202">
        <f>MacReports!B202</f>
        <v>0</v>
      </c>
      <c r="C202">
        <f>MacReports!C202</f>
        <v>0</v>
      </c>
      <c r="E202" t="e">
        <f>_xlfn.XLOOKUP(G202,Models!A:A,Models!F:F)</f>
        <v>#N/A</v>
      </c>
      <c r="F202" t="str">
        <f>_xlfn.XLOOKUP(B202,MacReports!B:B,MacReports!D:D,"")</f>
        <v/>
      </c>
      <c r="G202" s="13">
        <f>MacReports!E202</f>
        <v>0</v>
      </c>
      <c r="H202" t="e">
        <f>_xlfn.XLOOKUP(G202,Models!A:A,Models!B:B)</f>
        <v>#N/A</v>
      </c>
      <c r="I202" t="e">
        <f>_xlfn.XLOOKUP(G202,Models!A:A,Models!E:E)</f>
        <v>#N/A</v>
      </c>
      <c r="J202" t="e">
        <f>_xlfn.XLOOKUP(G202,Models!A:A,Models!D:D)</f>
        <v>#N/A</v>
      </c>
      <c r="K202">
        <f>MacReports!F202</f>
        <v>0</v>
      </c>
      <c r="L202">
        <f>MacReports!G202</f>
        <v>0</v>
      </c>
      <c r="M202" s="15" t="e" cm="1">
        <f t="array" ref="M202">--_xlfn.LET(
    _xlpm.txt, MacReports!H202,
    _xlpm.chars, MID(_xlpm.txt, _xlfn.SEQUENCE(LEN(_xlpm.txt)), 1),
    _xlfn.TEXTJOIN("", TRUE, IF(ISNUMBER(--_xlpm.chars), _xlpm.chars, ""))
)</f>
        <v>#VALUE!</v>
      </c>
      <c r="N202" s="16" t="str" cm="1">
        <f t="array" ref="N202">_xlfn.IFS(
   --MacReports!M202&lt;55,"Battery Defect",
  -- MacReports!M202&lt;=69,"Battery D",
  --MacReports!M202&lt;=80,"Battery C",
 --MacReports!M202&gt;80,""
)</f>
        <v>Battery Defect</v>
      </c>
      <c r="O202" s="16" t="str">
        <f>IF(MacReports!I202="Service","Battery Service","")</f>
        <v/>
      </c>
      <c r="P202" s="13">
        <f>MacReports!P202</f>
        <v>0</v>
      </c>
      <c r="Q202" s="13" t="str">
        <f>IF(MacReports!J202="Enabled","Apple ID Lock","")</f>
        <v/>
      </c>
      <c r="R202" s="13" t="str">
        <f>IF(MacReports!L202="y","Remote Locked","")</f>
        <v/>
      </c>
      <c r="S202" t="str">
        <f t="shared" si="7"/>
        <v>Battery Defect, 0</v>
      </c>
      <c r="T202" t="str">
        <f>_xlfn.XLOOKUP(B202,Disk_Pivot!G:G,Disk_Pivot!I:I)</f>
        <v>Yes x2</v>
      </c>
      <c r="U202" t="str">
        <f>_xlfn.XLOOKUP(B202,Disk_Pivot!G:G,Disk_Pivot!N:N)</f>
        <v>Pass, Fail</v>
      </c>
      <c r="V202" t="str">
        <f>IF(U202="Fail",MacReports!N202,"")</f>
        <v/>
      </c>
      <c r="AB202" t="str">
        <f t="shared" si="8"/>
        <v/>
      </c>
    </row>
    <row r="203" spans="1:28">
      <c r="A203" t="str">
        <f>MacReports!A203</f>
        <v/>
      </c>
      <c r="B203">
        <f>MacReports!B203</f>
        <v>0</v>
      </c>
      <c r="C203">
        <f>MacReports!C203</f>
        <v>0</v>
      </c>
      <c r="E203" t="e">
        <f>_xlfn.XLOOKUP(G203,Models!A:A,Models!F:F)</f>
        <v>#N/A</v>
      </c>
      <c r="F203" t="str">
        <f>_xlfn.XLOOKUP(B203,MacReports!B:B,MacReports!D:D,"")</f>
        <v/>
      </c>
      <c r="G203" s="13">
        <f>MacReports!E203</f>
        <v>0</v>
      </c>
      <c r="H203" t="e">
        <f>_xlfn.XLOOKUP(G203,Models!A:A,Models!B:B)</f>
        <v>#N/A</v>
      </c>
      <c r="I203" t="e">
        <f>_xlfn.XLOOKUP(G203,Models!A:A,Models!E:E)</f>
        <v>#N/A</v>
      </c>
      <c r="J203" t="e">
        <f>_xlfn.XLOOKUP(G203,Models!A:A,Models!D:D)</f>
        <v>#N/A</v>
      </c>
      <c r="K203">
        <f>MacReports!F203</f>
        <v>0</v>
      </c>
      <c r="L203">
        <f>MacReports!G203</f>
        <v>0</v>
      </c>
      <c r="M203" s="15" t="e" cm="1">
        <f t="array" ref="M203">--_xlfn.LET(
    _xlpm.txt, MacReports!H203,
    _xlpm.chars, MID(_xlpm.txt, _xlfn.SEQUENCE(LEN(_xlpm.txt)), 1),
    _xlfn.TEXTJOIN("", TRUE, IF(ISNUMBER(--_xlpm.chars), _xlpm.chars, ""))
)</f>
        <v>#VALUE!</v>
      </c>
      <c r="N203" s="16" t="str" cm="1">
        <f t="array" ref="N203">_xlfn.IFS(
   --MacReports!M203&lt;55,"Battery Defect",
  -- MacReports!M203&lt;=69,"Battery D",
  --MacReports!M203&lt;=80,"Battery C",
 --MacReports!M203&gt;80,""
)</f>
        <v>Battery Defect</v>
      </c>
      <c r="O203" s="16" t="str">
        <f>IF(MacReports!I203="Service","Battery Service","")</f>
        <v/>
      </c>
      <c r="P203" s="13">
        <f>MacReports!P203</f>
        <v>0</v>
      </c>
      <c r="Q203" s="13" t="str">
        <f>IF(MacReports!J203="Enabled","Apple ID Lock","")</f>
        <v/>
      </c>
      <c r="R203" s="13" t="str">
        <f>IF(MacReports!L203="y","Remote Locked","")</f>
        <v/>
      </c>
      <c r="S203" t="str">
        <f t="shared" si="7"/>
        <v>Battery Defect, 0</v>
      </c>
      <c r="T203" t="str">
        <f>_xlfn.XLOOKUP(B203,Disk_Pivot!G:G,Disk_Pivot!I:I)</f>
        <v>Yes x2</v>
      </c>
      <c r="U203" t="str">
        <f>_xlfn.XLOOKUP(B203,Disk_Pivot!G:G,Disk_Pivot!N:N)</f>
        <v>Pass, Fail</v>
      </c>
      <c r="V203" t="str">
        <f>IF(U203="Fail",MacReports!N203,"")</f>
        <v/>
      </c>
      <c r="AB203" t="str">
        <f t="shared" si="8"/>
        <v/>
      </c>
    </row>
    <row r="204" spans="1:28">
      <c r="A204" t="str">
        <f>MacReports!A204</f>
        <v/>
      </c>
      <c r="B204">
        <f>MacReports!B204</f>
        <v>0</v>
      </c>
      <c r="C204">
        <f>MacReports!C204</f>
        <v>0</v>
      </c>
      <c r="E204" t="e">
        <f>_xlfn.XLOOKUP(G204,Models!A:A,Models!F:F)</f>
        <v>#N/A</v>
      </c>
      <c r="F204" t="str">
        <f>_xlfn.XLOOKUP(B204,MacReports!B:B,MacReports!D:D,"")</f>
        <v/>
      </c>
      <c r="G204" s="13">
        <f>MacReports!E204</f>
        <v>0</v>
      </c>
      <c r="H204" t="e">
        <f>_xlfn.XLOOKUP(G204,Models!A:A,Models!B:B)</f>
        <v>#N/A</v>
      </c>
      <c r="I204" t="e">
        <f>_xlfn.XLOOKUP(G204,Models!A:A,Models!E:E)</f>
        <v>#N/A</v>
      </c>
      <c r="J204" t="e">
        <f>_xlfn.XLOOKUP(G204,Models!A:A,Models!D:D)</f>
        <v>#N/A</v>
      </c>
      <c r="K204">
        <f>MacReports!F204</f>
        <v>0</v>
      </c>
      <c r="L204">
        <f>MacReports!G204</f>
        <v>0</v>
      </c>
      <c r="M204" s="15" t="e" cm="1">
        <f t="array" ref="M204">--_xlfn.LET(
    _xlpm.txt, MacReports!H204,
    _xlpm.chars, MID(_xlpm.txt, _xlfn.SEQUENCE(LEN(_xlpm.txt)), 1),
    _xlfn.TEXTJOIN("", TRUE, IF(ISNUMBER(--_xlpm.chars), _xlpm.chars, ""))
)</f>
        <v>#VALUE!</v>
      </c>
      <c r="N204" s="16" t="str" cm="1">
        <f t="array" ref="N204">_xlfn.IFS(
   --MacReports!M204&lt;55,"Battery Defect",
  -- MacReports!M204&lt;=69,"Battery D",
  --MacReports!M204&lt;=80,"Battery C",
 --MacReports!M204&gt;80,""
)</f>
        <v>Battery Defect</v>
      </c>
      <c r="O204" s="16" t="str">
        <f>IF(MacReports!I204="Service","Battery Service","")</f>
        <v/>
      </c>
      <c r="P204" s="13">
        <f>MacReports!P204</f>
        <v>0</v>
      </c>
      <c r="Q204" s="13" t="str">
        <f>IF(MacReports!J204="Enabled","Apple ID Lock","")</f>
        <v/>
      </c>
      <c r="R204" s="13" t="str">
        <f>IF(MacReports!L204="y","Remote Locked","")</f>
        <v/>
      </c>
      <c r="S204" t="str">
        <f t="shared" si="7"/>
        <v>Battery Defect, 0</v>
      </c>
      <c r="T204" t="str">
        <f>_xlfn.XLOOKUP(B204,Disk_Pivot!G:G,Disk_Pivot!I:I)</f>
        <v>Yes x2</v>
      </c>
      <c r="U204" t="str">
        <f>_xlfn.XLOOKUP(B204,Disk_Pivot!G:G,Disk_Pivot!N:N)</f>
        <v>Pass, Fail</v>
      </c>
      <c r="V204" t="str">
        <f>IF(U204="Fail",MacReports!N204,"")</f>
        <v/>
      </c>
      <c r="AB204" t="str">
        <f t="shared" si="8"/>
        <v/>
      </c>
    </row>
    <row r="205" spans="1:28">
      <c r="A205" t="str">
        <f>MacReports!A205</f>
        <v/>
      </c>
      <c r="B205">
        <f>MacReports!B205</f>
        <v>0</v>
      </c>
      <c r="C205">
        <f>MacReports!C205</f>
        <v>0</v>
      </c>
      <c r="E205" t="e">
        <f>_xlfn.XLOOKUP(G205,Models!A:A,Models!F:F)</f>
        <v>#N/A</v>
      </c>
      <c r="F205" t="str">
        <f>_xlfn.XLOOKUP(B205,MacReports!B:B,MacReports!D:D,"")</f>
        <v/>
      </c>
      <c r="G205" s="13">
        <f>MacReports!E205</f>
        <v>0</v>
      </c>
      <c r="H205" t="e">
        <f>_xlfn.XLOOKUP(G205,Models!A:A,Models!B:B)</f>
        <v>#N/A</v>
      </c>
      <c r="I205" t="e">
        <f>_xlfn.XLOOKUP(G205,Models!A:A,Models!E:E)</f>
        <v>#N/A</v>
      </c>
      <c r="J205" t="e">
        <f>_xlfn.XLOOKUP(G205,Models!A:A,Models!D:D)</f>
        <v>#N/A</v>
      </c>
      <c r="K205">
        <f>MacReports!F205</f>
        <v>0</v>
      </c>
      <c r="L205">
        <f>MacReports!G205</f>
        <v>0</v>
      </c>
      <c r="M205" s="15" t="e" cm="1">
        <f t="array" ref="M205">--_xlfn.LET(
    _xlpm.txt, MacReports!H205,
    _xlpm.chars, MID(_xlpm.txt, _xlfn.SEQUENCE(LEN(_xlpm.txt)), 1),
    _xlfn.TEXTJOIN("", TRUE, IF(ISNUMBER(--_xlpm.chars), _xlpm.chars, ""))
)</f>
        <v>#VALUE!</v>
      </c>
      <c r="N205" s="16" t="str" cm="1">
        <f t="array" ref="N205">_xlfn.IFS(
   --MacReports!M205&lt;55,"Battery Defect",
  -- MacReports!M205&lt;=69,"Battery D",
  --MacReports!M205&lt;=80,"Battery C",
 --MacReports!M205&gt;80,""
)</f>
        <v>Battery Defect</v>
      </c>
      <c r="O205" s="16" t="str">
        <f>IF(MacReports!I205="Service","Battery Service","")</f>
        <v/>
      </c>
      <c r="P205" s="13">
        <f>MacReports!P205</f>
        <v>0</v>
      </c>
      <c r="Q205" s="13" t="str">
        <f>IF(MacReports!J205="Enabled","Apple ID Lock","")</f>
        <v/>
      </c>
      <c r="R205" s="13" t="str">
        <f>IF(MacReports!L205="y","Remote Locked","")</f>
        <v/>
      </c>
      <c r="S205" t="str">
        <f t="shared" si="7"/>
        <v>Battery Defect, 0</v>
      </c>
      <c r="T205" t="str">
        <f>_xlfn.XLOOKUP(B205,Disk_Pivot!G:G,Disk_Pivot!I:I)</f>
        <v>Yes x2</v>
      </c>
      <c r="U205" t="str">
        <f>_xlfn.XLOOKUP(B205,Disk_Pivot!G:G,Disk_Pivot!N:N)</f>
        <v>Pass, Fail</v>
      </c>
      <c r="V205" t="str">
        <f>IF(U205="Fail",MacReports!N205,"")</f>
        <v/>
      </c>
      <c r="AB205" t="str">
        <f t="shared" si="8"/>
        <v/>
      </c>
    </row>
    <row r="206" spans="1:28">
      <c r="A206" t="str">
        <f>MacReports!A206</f>
        <v/>
      </c>
      <c r="B206">
        <f>MacReports!B206</f>
        <v>0</v>
      </c>
      <c r="C206">
        <f>MacReports!C206</f>
        <v>0</v>
      </c>
      <c r="E206" t="e">
        <f>_xlfn.XLOOKUP(G206,Models!A:A,Models!F:F)</f>
        <v>#N/A</v>
      </c>
      <c r="F206" t="str">
        <f>_xlfn.XLOOKUP(B206,MacReports!B:B,MacReports!D:D,"")</f>
        <v/>
      </c>
      <c r="G206" s="13">
        <f>MacReports!E206</f>
        <v>0</v>
      </c>
      <c r="H206" t="e">
        <f>_xlfn.XLOOKUP(G206,Models!A:A,Models!B:B)</f>
        <v>#N/A</v>
      </c>
      <c r="I206" t="e">
        <f>_xlfn.XLOOKUP(G206,Models!A:A,Models!E:E)</f>
        <v>#N/A</v>
      </c>
      <c r="J206" t="e">
        <f>_xlfn.XLOOKUP(G206,Models!A:A,Models!D:D)</f>
        <v>#N/A</v>
      </c>
      <c r="K206">
        <f>MacReports!F206</f>
        <v>0</v>
      </c>
      <c r="L206">
        <f>MacReports!G206</f>
        <v>0</v>
      </c>
      <c r="M206" s="15" t="e" cm="1">
        <f t="array" ref="M206">--_xlfn.LET(
    _xlpm.txt, MacReports!H206,
    _xlpm.chars, MID(_xlpm.txt, _xlfn.SEQUENCE(LEN(_xlpm.txt)), 1),
    _xlfn.TEXTJOIN("", TRUE, IF(ISNUMBER(--_xlpm.chars), _xlpm.chars, ""))
)</f>
        <v>#VALUE!</v>
      </c>
      <c r="N206" s="16" t="str" cm="1">
        <f t="array" ref="N206">_xlfn.IFS(
   --MacReports!M206&lt;55,"Battery Defect",
  -- MacReports!M206&lt;=69,"Battery D",
  --MacReports!M206&lt;=80,"Battery C",
 --MacReports!M206&gt;80,""
)</f>
        <v>Battery Defect</v>
      </c>
      <c r="O206" s="16" t="str">
        <f>IF(MacReports!I206="Service","Battery Service","")</f>
        <v/>
      </c>
      <c r="P206" s="13">
        <f>MacReports!P206</f>
        <v>0</v>
      </c>
      <c r="Q206" s="13" t="str">
        <f>IF(MacReports!J206="Enabled","Apple ID Lock","")</f>
        <v/>
      </c>
      <c r="R206" s="13" t="str">
        <f>IF(MacReports!L206="y","Remote Locked","")</f>
        <v/>
      </c>
      <c r="S206" t="str">
        <f t="shared" si="7"/>
        <v>Battery Defect, 0</v>
      </c>
      <c r="T206" t="str">
        <f>_xlfn.XLOOKUP(B206,Disk_Pivot!G:G,Disk_Pivot!I:I)</f>
        <v>Yes x2</v>
      </c>
      <c r="U206" t="str">
        <f>_xlfn.XLOOKUP(B206,Disk_Pivot!G:G,Disk_Pivot!N:N)</f>
        <v>Pass, Fail</v>
      </c>
      <c r="V206" t="str">
        <f>IF(U206="Fail",MacReports!N206,"")</f>
        <v/>
      </c>
      <c r="AB206" t="str">
        <f t="shared" si="8"/>
        <v/>
      </c>
    </row>
    <row r="207" spans="1:28">
      <c r="A207" t="str">
        <f>MacReports!A207</f>
        <v/>
      </c>
      <c r="B207">
        <f>MacReports!B207</f>
        <v>0</v>
      </c>
      <c r="C207">
        <f>MacReports!C207</f>
        <v>0</v>
      </c>
      <c r="E207" t="e">
        <f>_xlfn.XLOOKUP(G207,Models!A:A,Models!F:F)</f>
        <v>#N/A</v>
      </c>
      <c r="F207" t="str">
        <f>_xlfn.XLOOKUP(B207,MacReports!B:B,MacReports!D:D,"")</f>
        <v/>
      </c>
      <c r="G207" s="13">
        <f>MacReports!E207</f>
        <v>0</v>
      </c>
      <c r="H207" t="e">
        <f>_xlfn.XLOOKUP(G207,Models!A:A,Models!B:B)</f>
        <v>#N/A</v>
      </c>
      <c r="I207" t="e">
        <f>_xlfn.XLOOKUP(G207,Models!A:A,Models!E:E)</f>
        <v>#N/A</v>
      </c>
      <c r="J207" t="e">
        <f>_xlfn.XLOOKUP(G207,Models!A:A,Models!D:D)</f>
        <v>#N/A</v>
      </c>
      <c r="K207">
        <f>MacReports!F207</f>
        <v>0</v>
      </c>
      <c r="L207">
        <f>MacReports!G207</f>
        <v>0</v>
      </c>
      <c r="M207" s="15" t="e" cm="1">
        <f t="array" ref="M207">--_xlfn.LET(
    _xlpm.txt, MacReports!H207,
    _xlpm.chars, MID(_xlpm.txt, _xlfn.SEQUENCE(LEN(_xlpm.txt)), 1),
    _xlfn.TEXTJOIN("", TRUE, IF(ISNUMBER(--_xlpm.chars), _xlpm.chars, ""))
)</f>
        <v>#VALUE!</v>
      </c>
      <c r="N207" s="16" t="str" cm="1">
        <f t="array" ref="N207">_xlfn.IFS(
   --MacReports!M207&lt;55,"Battery Defect",
  -- MacReports!M207&lt;=69,"Battery D",
  --MacReports!M207&lt;=80,"Battery C",
 --MacReports!M207&gt;80,""
)</f>
        <v>Battery Defect</v>
      </c>
      <c r="O207" s="16" t="str">
        <f>IF(MacReports!I207="Service","Battery Service","")</f>
        <v/>
      </c>
      <c r="P207" s="13">
        <f>MacReports!P207</f>
        <v>0</v>
      </c>
      <c r="Q207" s="13" t="str">
        <f>IF(MacReports!J207="Enabled","Apple ID Lock","")</f>
        <v/>
      </c>
      <c r="R207" s="13" t="str">
        <f>IF(MacReports!L207="y","Remote Locked","")</f>
        <v/>
      </c>
      <c r="S207" t="str">
        <f t="shared" si="7"/>
        <v>Battery Defect, 0</v>
      </c>
      <c r="T207" t="str">
        <f>_xlfn.XLOOKUP(B207,Disk_Pivot!G:G,Disk_Pivot!I:I)</f>
        <v>Yes x2</v>
      </c>
      <c r="U207" t="str">
        <f>_xlfn.XLOOKUP(B207,Disk_Pivot!G:G,Disk_Pivot!N:N)</f>
        <v>Pass, Fail</v>
      </c>
      <c r="V207" t="str">
        <f>IF(U207="Fail",MacReports!N207,"")</f>
        <v/>
      </c>
      <c r="AB207" t="str">
        <f t="shared" si="8"/>
        <v/>
      </c>
    </row>
    <row r="208" spans="1:28">
      <c r="A208" t="str">
        <f>MacReports!A208</f>
        <v/>
      </c>
      <c r="B208">
        <f>MacReports!B208</f>
        <v>0</v>
      </c>
      <c r="C208">
        <f>MacReports!C208</f>
        <v>0</v>
      </c>
      <c r="E208" t="e">
        <f>_xlfn.XLOOKUP(G208,Models!A:A,Models!F:F)</f>
        <v>#N/A</v>
      </c>
      <c r="F208" t="str">
        <f>_xlfn.XLOOKUP(B208,MacReports!B:B,MacReports!D:D,"")</f>
        <v/>
      </c>
      <c r="G208" s="13">
        <f>MacReports!E208</f>
        <v>0</v>
      </c>
      <c r="H208" t="e">
        <f>_xlfn.XLOOKUP(G208,Models!A:A,Models!B:B)</f>
        <v>#N/A</v>
      </c>
      <c r="I208" t="e">
        <f>_xlfn.XLOOKUP(G208,Models!A:A,Models!E:E)</f>
        <v>#N/A</v>
      </c>
      <c r="J208" t="e">
        <f>_xlfn.XLOOKUP(G208,Models!A:A,Models!D:D)</f>
        <v>#N/A</v>
      </c>
      <c r="K208">
        <f>MacReports!F208</f>
        <v>0</v>
      </c>
      <c r="L208">
        <f>MacReports!G208</f>
        <v>0</v>
      </c>
      <c r="M208" s="15" t="e" cm="1">
        <f t="array" ref="M208">--_xlfn.LET(
    _xlpm.txt, MacReports!H208,
    _xlpm.chars, MID(_xlpm.txt, _xlfn.SEQUENCE(LEN(_xlpm.txt)), 1),
    _xlfn.TEXTJOIN("", TRUE, IF(ISNUMBER(--_xlpm.chars), _xlpm.chars, ""))
)</f>
        <v>#VALUE!</v>
      </c>
      <c r="N208" s="16" t="str" cm="1">
        <f t="array" ref="N208">_xlfn.IFS(
   --MacReports!M208&lt;55,"Battery Defect",
  -- MacReports!M208&lt;=69,"Battery D",
  --MacReports!M208&lt;=80,"Battery C",
 --MacReports!M208&gt;80,""
)</f>
        <v>Battery Defect</v>
      </c>
      <c r="O208" s="16" t="str">
        <f>IF(MacReports!I208="Service","Battery Service","")</f>
        <v/>
      </c>
      <c r="P208" s="13">
        <f>MacReports!P208</f>
        <v>0</v>
      </c>
      <c r="Q208" s="13" t="str">
        <f>IF(MacReports!J208="Enabled","Apple ID Lock","")</f>
        <v/>
      </c>
      <c r="R208" s="13" t="str">
        <f>IF(MacReports!L208="y","Remote Locked","")</f>
        <v/>
      </c>
      <c r="S208" t="str">
        <f t="shared" si="7"/>
        <v>Battery Defect, 0</v>
      </c>
      <c r="T208" t="str">
        <f>_xlfn.XLOOKUP(B208,Disk_Pivot!G:G,Disk_Pivot!I:I)</f>
        <v>Yes x2</v>
      </c>
      <c r="U208" t="str">
        <f>_xlfn.XLOOKUP(B208,Disk_Pivot!G:G,Disk_Pivot!N:N)</f>
        <v>Pass, Fail</v>
      </c>
      <c r="V208" t="str">
        <f>IF(U208="Fail",MacReports!N208,"")</f>
        <v/>
      </c>
      <c r="AB208" t="str">
        <f t="shared" si="8"/>
        <v/>
      </c>
    </row>
    <row r="209" spans="1:28">
      <c r="A209" t="str">
        <f>MacReports!A209</f>
        <v/>
      </c>
      <c r="B209">
        <f>MacReports!B209</f>
        <v>0</v>
      </c>
      <c r="C209">
        <f>MacReports!C209</f>
        <v>0</v>
      </c>
      <c r="E209" t="e">
        <f>_xlfn.XLOOKUP(G209,Models!A:A,Models!F:F)</f>
        <v>#N/A</v>
      </c>
      <c r="F209" t="str">
        <f>_xlfn.XLOOKUP(B209,MacReports!B:B,MacReports!D:D,"")</f>
        <v/>
      </c>
      <c r="G209" s="13">
        <f>MacReports!E209</f>
        <v>0</v>
      </c>
      <c r="H209" t="e">
        <f>_xlfn.XLOOKUP(G209,Models!A:A,Models!B:B)</f>
        <v>#N/A</v>
      </c>
      <c r="I209" t="e">
        <f>_xlfn.XLOOKUP(G209,Models!A:A,Models!E:E)</f>
        <v>#N/A</v>
      </c>
      <c r="J209" t="e">
        <f>_xlfn.XLOOKUP(G209,Models!A:A,Models!D:D)</f>
        <v>#N/A</v>
      </c>
      <c r="K209">
        <f>MacReports!F209</f>
        <v>0</v>
      </c>
      <c r="L209">
        <f>MacReports!G209</f>
        <v>0</v>
      </c>
      <c r="M209" s="15" t="e" cm="1">
        <f t="array" ref="M209">--_xlfn.LET(
    _xlpm.txt, MacReports!H209,
    _xlpm.chars, MID(_xlpm.txt, _xlfn.SEQUENCE(LEN(_xlpm.txt)), 1),
    _xlfn.TEXTJOIN("", TRUE, IF(ISNUMBER(--_xlpm.chars), _xlpm.chars, ""))
)</f>
        <v>#VALUE!</v>
      </c>
      <c r="N209" s="16" t="str" cm="1">
        <f t="array" ref="N209">_xlfn.IFS(
   --MacReports!M209&lt;55,"Battery Defect",
  -- MacReports!M209&lt;=69,"Battery D",
  --MacReports!M209&lt;=80,"Battery C",
 --MacReports!M209&gt;80,""
)</f>
        <v>Battery Defect</v>
      </c>
      <c r="O209" s="16" t="str">
        <f>IF(MacReports!I209="Service","Battery Service","")</f>
        <v/>
      </c>
      <c r="P209" s="13">
        <f>MacReports!P209</f>
        <v>0</v>
      </c>
      <c r="Q209" s="13" t="str">
        <f>IF(MacReports!J209="Enabled","Apple ID Lock","")</f>
        <v/>
      </c>
      <c r="R209" s="13" t="str">
        <f>IF(MacReports!L209="y","Remote Locked","")</f>
        <v/>
      </c>
      <c r="S209" t="str">
        <f t="shared" si="7"/>
        <v>Battery Defect, 0</v>
      </c>
      <c r="T209" t="str">
        <f>_xlfn.XLOOKUP(B209,Disk_Pivot!G:G,Disk_Pivot!I:I)</f>
        <v>Yes x2</v>
      </c>
      <c r="U209" t="str">
        <f>_xlfn.XLOOKUP(B209,Disk_Pivot!G:G,Disk_Pivot!N:N)</f>
        <v>Pass, Fail</v>
      </c>
      <c r="V209" t="str">
        <f>IF(U209="Fail",MacReports!N209,"")</f>
        <v/>
      </c>
      <c r="AB209" t="str">
        <f t="shared" si="8"/>
        <v/>
      </c>
    </row>
    <row r="210" spans="1:28">
      <c r="A210" t="str">
        <f>MacReports!A210</f>
        <v/>
      </c>
      <c r="B210">
        <f>MacReports!B210</f>
        <v>0</v>
      </c>
      <c r="C210">
        <f>MacReports!C210</f>
        <v>0</v>
      </c>
      <c r="E210" t="e">
        <f>_xlfn.XLOOKUP(G210,Models!A:A,Models!F:F)</f>
        <v>#N/A</v>
      </c>
      <c r="F210" t="str">
        <f>_xlfn.XLOOKUP(B210,MacReports!B:B,MacReports!D:D,"")</f>
        <v/>
      </c>
      <c r="G210" s="13">
        <f>MacReports!E210</f>
        <v>0</v>
      </c>
      <c r="H210" t="e">
        <f>_xlfn.XLOOKUP(G210,Models!A:A,Models!B:B)</f>
        <v>#N/A</v>
      </c>
      <c r="I210" t="e">
        <f>_xlfn.XLOOKUP(G210,Models!A:A,Models!E:E)</f>
        <v>#N/A</v>
      </c>
      <c r="J210" t="e">
        <f>_xlfn.XLOOKUP(G210,Models!A:A,Models!D:D)</f>
        <v>#N/A</v>
      </c>
      <c r="K210">
        <f>MacReports!F210</f>
        <v>0</v>
      </c>
      <c r="L210">
        <f>MacReports!G210</f>
        <v>0</v>
      </c>
      <c r="M210" s="15" t="e" cm="1">
        <f t="array" ref="M210">--_xlfn.LET(
    _xlpm.txt, MacReports!H210,
    _xlpm.chars, MID(_xlpm.txt, _xlfn.SEQUENCE(LEN(_xlpm.txt)), 1),
    _xlfn.TEXTJOIN("", TRUE, IF(ISNUMBER(--_xlpm.chars), _xlpm.chars, ""))
)</f>
        <v>#VALUE!</v>
      </c>
      <c r="N210" s="16" t="str" cm="1">
        <f t="array" ref="N210">_xlfn.IFS(
   --MacReports!M210&lt;55,"Battery Defect",
  -- MacReports!M210&lt;=69,"Battery D",
  --MacReports!M210&lt;=80,"Battery C",
 --MacReports!M210&gt;80,""
)</f>
        <v>Battery Defect</v>
      </c>
      <c r="O210" s="16" t="str">
        <f>IF(MacReports!I210="Service","Battery Service","")</f>
        <v/>
      </c>
      <c r="P210" s="13">
        <f>MacReports!P210</f>
        <v>0</v>
      </c>
      <c r="Q210" s="13" t="str">
        <f>IF(MacReports!J210="Enabled","Apple ID Lock","")</f>
        <v/>
      </c>
      <c r="R210" s="13" t="str">
        <f>IF(MacReports!L210="y","Remote Locked","")</f>
        <v/>
      </c>
      <c r="S210" t="str">
        <f t="shared" si="7"/>
        <v>Battery Defect, 0</v>
      </c>
      <c r="T210" t="str">
        <f>_xlfn.XLOOKUP(B210,Disk_Pivot!G:G,Disk_Pivot!I:I)</f>
        <v>Yes x2</v>
      </c>
      <c r="U210" t="str">
        <f>_xlfn.XLOOKUP(B210,Disk_Pivot!G:G,Disk_Pivot!N:N)</f>
        <v>Pass, Fail</v>
      </c>
      <c r="V210" t="str">
        <f>IF(U210="Fail",MacReports!N210,"")</f>
        <v/>
      </c>
      <c r="AB210" t="str">
        <f t="shared" si="8"/>
        <v/>
      </c>
    </row>
    <row r="211" spans="1:28">
      <c r="A211" t="str">
        <f>MacReports!A211</f>
        <v/>
      </c>
      <c r="B211">
        <f>MacReports!B211</f>
        <v>0</v>
      </c>
      <c r="C211">
        <f>MacReports!C211</f>
        <v>0</v>
      </c>
      <c r="E211" t="e">
        <f>_xlfn.XLOOKUP(G211,Models!A:A,Models!F:F)</f>
        <v>#N/A</v>
      </c>
      <c r="F211" t="str">
        <f>_xlfn.XLOOKUP(B211,MacReports!B:B,MacReports!D:D,"")</f>
        <v/>
      </c>
      <c r="G211" s="13">
        <f>MacReports!E211</f>
        <v>0</v>
      </c>
      <c r="H211" t="e">
        <f>_xlfn.XLOOKUP(G211,Models!A:A,Models!B:B)</f>
        <v>#N/A</v>
      </c>
      <c r="I211" t="e">
        <f>_xlfn.XLOOKUP(G211,Models!A:A,Models!E:E)</f>
        <v>#N/A</v>
      </c>
      <c r="J211" t="e">
        <f>_xlfn.XLOOKUP(G211,Models!A:A,Models!D:D)</f>
        <v>#N/A</v>
      </c>
      <c r="K211">
        <f>MacReports!F211</f>
        <v>0</v>
      </c>
      <c r="L211">
        <f>MacReports!G211</f>
        <v>0</v>
      </c>
      <c r="M211" s="15" t="e" cm="1">
        <f t="array" ref="M211">--_xlfn.LET(
    _xlpm.txt, MacReports!H211,
    _xlpm.chars, MID(_xlpm.txt, _xlfn.SEQUENCE(LEN(_xlpm.txt)), 1),
    _xlfn.TEXTJOIN("", TRUE, IF(ISNUMBER(--_xlpm.chars), _xlpm.chars, ""))
)</f>
        <v>#VALUE!</v>
      </c>
      <c r="N211" s="16" t="str" cm="1">
        <f t="array" ref="N211">_xlfn.IFS(
   --MacReports!M211&lt;55,"Battery Defect",
  -- MacReports!M211&lt;=69,"Battery D",
  --MacReports!M211&lt;=80,"Battery C",
 --MacReports!M211&gt;80,""
)</f>
        <v>Battery Defect</v>
      </c>
      <c r="O211" s="16" t="str">
        <f>IF(MacReports!I211="Service","Battery Service","")</f>
        <v/>
      </c>
      <c r="P211" s="13">
        <f>MacReports!P211</f>
        <v>0</v>
      </c>
      <c r="Q211" s="13" t="str">
        <f>IF(MacReports!J211="Enabled","Apple ID Lock","")</f>
        <v/>
      </c>
      <c r="R211" s="13" t="str">
        <f>IF(MacReports!L211="y","Remote Locked","")</f>
        <v/>
      </c>
      <c r="S211" t="str">
        <f t="shared" si="7"/>
        <v>Battery Defect, 0</v>
      </c>
      <c r="T211" t="str">
        <f>_xlfn.XLOOKUP(B211,Disk_Pivot!G:G,Disk_Pivot!I:I)</f>
        <v>Yes x2</v>
      </c>
      <c r="U211" t="str">
        <f>_xlfn.XLOOKUP(B211,Disk_Pivot!G:G,Disk_Pivot!N:N)</f>
        <v>Pass, Fail</v>
      </c>
      <c r="V211" t="str">
        <f>IF(U211="Fail",MacReports!N211,"")</f>
        <v/>
      </c>
      <c r="AB211" t="str">
        <f t="shared" si="8"/>
        <v/>
      </c>
    </row>
    <row r="212" spans="1:28">
      <c r="A212" t="str">
        <f>MacReports!A212</f>
        <v/>
      </c>
      <c r="B212">
        <f>MacReports!B212</f>
        <v>0</v>
      </c>
      <c r="C212">
        <f>MacReports!C212</f>
        <v>0</v>
      </c>
      <c r="E212" t="e">
        <f>_xlfn.XLOOKUP(G212,Models!A:A,Models!F:F)</f>
        <v>#N/A</v>
      </c>
      <c r="F212" t="str">
        <f>_xlfn.XLOOKUP(B212,MacReports!B:B,MacReports!D:D,"")</f>
        <v/>
      </c>
      <c r="G212" s="13">
        <f>MacReports!E212</f>
        <v>0</v>
      </c>
      <c r="H212" t="e">
        <f>_xlfn.XLOOKUP(G212,Models!A:A,Models!B:B)</f>
        <v>#N/A</v>
      </c>
      <c r="I212" t="e">
        <f>_xlfn.XLOOKUP(G212,Models!A:A,Models!E:E)</f>
        <v>#N/A</v>
      </c>
      <c r="J212" t="e">
        <f>_xlfn.XLOOKUP(G212,Models!A:A,Models!D:D)</f>
        <v>#N/A</v>
      </c>
      <c r="K212">
        <f>MacReports!F212</f>
        <v>0</v>
      </c>
      <c r="L212">
        <f>MacReports!G212</f>
        <v>0</v>
      </c>
      <c r="M212" s="15" t="e" cm="1">
        <f t="array" ref="M212">--_xlfn.LET(
    _xlpm.txt, MacReports!H212,
    _xlpm.chars, MID(_xlpm.txt, _xlfn.SEQUENCE(LEN(_xlpm.txt)), 1),
    _xlfn.TEXTJOIN("", TRUE, IF(ISNUMBER(--_xlpm.chars), _xlpm.chars, ""))
)</f>
        <v>#VALUE!</v>
      </c>
      <c r="N212" s="16" t="str" cm="1">
        <f t="array" ref="N212">_xlfn.IFS(
   --MacReports!M212&lt;55,"Battery Defect",
  -- MacReports!M212&lt;=69,"Battery D",
  --MacReports!M212&lt;=80,"Battery C",
 --MacReports!M212&gt;80,""
)</f>
        <v>Battery Defect</v>
      </c>
      <c r="O212" s="16" t="str">
        <f>IF(MacReports!I212="Service","Battery Service","")</f>
        <v/>
      </c>
      <c r="P212" s="13">
        <f>MacReports!P212</f>
        <v>0</v>
      </c>
      <c r="Q212" s="13" t="str">
        <f>IF(MacReports!J212="Enabled","Apple ID Lock","")</f>
        <v/>
      </c>
      <c r="R212" s="13" t="str">
        <f>IF(MacReports!L212="y","Remote Locked","")</f>
        <v/>
      </c>
      <c r="S212" t="str">
        <f t="shared" si="7"/>
        <v>Battery Defect, 0</v>
      </c>
      <c r="T212" t="str">
        <f>_xlfn.XLOOKUP(B212,Disk_Pivot!G:G,Disk_Pivot!I:I)</f>
        <v>Yes x2</v>
      </c>
      <c r="U212" t="str">
        <f>_xlfn.XLOOKUP(B212,Disk_Pivot!G:G,Disk_Pivot!N:N)</f>
        <v>Pass, Fail</v>
      </c>
      <c r="V212" t="str">
        <f>IF(U212="Fail",MacReports!N212,"")</f>
        <v/>
      </c>
      <c r="AB212" t="str">
        <f t="shared" si="8"/>
        <v/>
      </c>
    </row>
    <row r="213" spans="1:28">
      <c r="A213" t="str">
        <f>MacReports!A213</f>
        <v/>
      </c>
      <c r="B213">
        <f>MacReports!B213</f>
        <v>0</v>
      </c>
      <c r="C213">
        <f>MacReports!C213</f>
        <v>0</v>
      </c>
      <c r="E213" t="e">
        <f>_xlfn.XLOOKUP(G213,Models!A:A,Models!F:F)</f>
        <v>#N/A</v>
      </c>
      <c r="F213" t="str">
        <f>_xlfn.XLOOKUP(B213,MacReports!B:B,MacReports!D:D,"")</f>
        <v/>
      </c>
      <c r="G213" s="13">
        <f>MacReports!E213</f>
        <v>0</v>
      </c>
      <c r="H213" t="e">
        <f>_xlfn.XLOOKUP(G213,Models!A:A,Models!B:B)</f>
        <v>#N/A</v>
      </c>
      <c r="I213" t="e">
        <f>_xlfn.XLOOKUP(G213,Models!A:A,Models!E:E)</f>
        <v>#N/A</v>
      </c>
      <c r="J213" t="e">
        <f>_xlfn.XLOOKUP(G213,Models!A:A,Models!D:D)</f>
        <v>#N/A</v>
      </c>
      <c r="K213">
        <f>MacReports!F213</f>
        <v>0</v>
      </c>
      <c r="L213">
        <f>MacReports!G213</f>
        <v>0</v>
      </c>
      <c r="M213" s="15" t="e" cm="1">
        <f t="array" ref="M213">--_xlfn.LET(
    _xlpm.txt, MacReports!H213,
    _xlpm.chars, MID(_xlpm.txt, _xlfn.SEQUENCE(LEN(_xlpm.txt)), 1),
    _xlfn.TEXTJOIN("", TRUE, IF(ISNUMBER(--_xlpm.chars), _xlpm.chars, ""))
)</f>
        <v>#VALUE!</v>
      </c>
      <c r="N213" s="16" t="str" cm="1">
        <f t="array" ref="N213">_xlfn.IFS(
   --MacReports!M213&lt;55,"Battery Defect",
  -- MacReports!M213&lt;=69,"Battery D",
  --MacReports!M213&lt;=80,"Battery C",
 --MacReports!M213&gt;80,""
)</f>
        <v>Battery Defect</v>
      </c>
      <c r="O213" s="16" t="str">
        <f>IF(MacReports!I213="Service","Battery Service","")</f>
        <v/>
      </c>
      <c r="P213" s="13">
        <f>MacReports!P213</f>
        <v>0</v>
      </c>
      <c r="Q213" s="13" t="str">
        <f>IF(MacReports!J213="Enabled","Apple ID Lock","")</f>
        <v/>
      </c>
      <c r="R213" s="13" t="str">
        <f>IF(MacReports!L213="y","Remote Locked","")</f>
        <v/>
      </c>
      <c r="S213" t="str">
        <f t="shared" si="7"/>
        <v>Battery Defect, 0</v>
      </c>
      <c r="T213" t="str">
        <f>_xlfn.XLOOKUP(B213,Disk_Pivot!G:G,Disk_Pivot!I:I)</f>
        <v>Yes x2</v>
      </c>
      <c r="U213" t="str">
        <f>_xlfn.XLOOKUP(B213,Disk_Pivot!G:G,Disk_Pivot!N:N)</f>
        <v>Pass, Fail</v>
      </c>
      <c r="V213" t="str">
        <f>IF(U213="Fail",MacReports!N213,"")</f>
        <v/>
      </c>
      <c r="AB213" t="str">
        <f t="shared" si="8"/>
        <v/>
      </c>
    </row>
    <row r="214" spans="1:28">
      <c r="A214" t="str">
        <f>MacReports!A214</f>
        <v/>
      </c>
      <c r="B214">
        <f>MacReports!B214</f>
        <v>0</v>
      </c>
      <c r="C214">
        <f>MacReports!C214</f>
        <v>0</v>
      </c>
      <c r="E214" t="e">
        <f>_xlfn.XLOOKUP(G214,Models!A:A,Models!F:F)</f>
        <v>#N/A</v>
      </c>
      <c r="F214" t="str">
        <f>_xlfn.XLOOKUP(B214,MacReports!B:B,MacReports!D:D,"")</f>
        <v/>
      </c>
      <c r="G214" s="13">
        <f>MacReports!E214</f>
        <v>0</v>
      </c>
      <c r="H214" t="e">
        <f>_xlfn.XLOOKUP(G214,Models!A:A,Models!B:B)</f>
        <v>#N/A</v>
      </c>
      <c r="I214" t="e">
        <f>_xlfn.XLOOKUP(G214,Models!A:A,Models!E:E)</f>
        <v>#N/A</v>
      </c>
      <c r="J214" t="e">
        <f>_xlfn.XLOOKUP(G214,Models!A:A,Models!D:D)</f>
        <v>#N/A</v>
      </c>
      <c r="K214">
        <f>MacReports!F214</f>
        <v>0</v>
      </c>
      <c r="L214">
        <f>MacReports!G214</f>
        <v>0</v>
      </c>
      <c r="M214" s="15" t="e" cm="1">
        <f t="array" ref="M214">--_xlfn.LET(
    _xlpm.txt, MacReports!H214,
    _xlpm.chars, MID(_xlpm.txt, _xlfn.SEQUENCE(LEN(_xlpm.txt)), 1),
    _xlfn.TEXTJOIN("", TRUE, IF(ISNUMBER(--_xlpm.chars), _xlpm.chars, ""))
)</f>
        <v>#VALUE!</v>
      </c>
      <c r="N214" s="16" t="str" cm="1">
        <f t="array" ref="N214">_xlfn.IFS(
   --MacReports!M214&lt;55,"Battery Defect",
  -- MacReports!M214&lt;=69,"Battery D",
  --MacReports!M214&lt;=80,"Battery C",
 --MacReports!M214&gt;80,""
)</f>
        <v>Battery Defect</v>
      </c>
      <c r="O214" s="16" t="str">
        <f>IF(MacReports!I214="Service","Battery Service","")</f>
        <v/>
      </c>
      <c r="P214" s="13">
        <f>MacReports!P214</f>
        <v>0</v>
      </c>
      <c r="Q214" s="13" t="str">
        <f>IF(MacReports!J214="Enabled","Apple ID Lock","")</f>
        <v/>
      </c>
      <c r="R214" s="13" t="str">
        <f>IF(MacReports!L214="y","Remote Locked","")</f>
        <v/>
      </c>
      <c r="S214" t="str">
        <f t="shared" si="7"/>
        <v>Battery Defect, 0</v>
      </c>
      <c r="T214" t="str">
        <f>_xlfn.XLOOKUP(B214,Disk_Pivot!G:G,Disk_Pivot!I:I)</f>
        <v>Yes x2</v>
      </c>
      <c r="U214" t="str">
        <f>_xlfn.XLOOKUP(B214,Disk_Pivot!G:G,Disk_Pivot!N:N)</f>
        <v>Pass, Fail</v>
      </c>
      <c r="V214" t="str">
        <f>IF(U214="Fail",MacReports!N214,"")</f>
        <v/>
      </c>
      <c r="AB214" t="str">
        <f t="shared" si="8"/>
        <v/>
      </c>
    </row>
    <row r="215" spans="1:28">
      <c r="A215" t="str">
        <f>MacReports!A215</f>
        <v/>
      </c>
      <c r="B215">
        <f>MacReports!B215</f>
        <v>0</v>
      </c>
      <c r="C215">
        <f>MacReports!C215</f>
        <v>0</v>
      </c>
      <c r="E215" t="e">
        <f>_xlfn.XLOOKUP(G215,Models!A:A,Models!F:F)</f>
        <v>#N/A</v>
      </c>
      <c r="F215" t="str">
        <f>_xlfn.XLOOKUP(B215,MacReports!B:B,MacReports!D:D,"")</f>
        <v/>
      </c>
      <c r="G215" s="13">
        <f>MacReports!E215</f>
        <v>0</v>
      </c>
      <c r="H215" t="e">
        <f>_xlfn.XLOOKUP(G215,Models!A:A,Models!B:B)</f>
        <v>#N/A</v>
      </c>
      <c r="I215" t="e">
        <f>_xlfn.XLOOKUP(G215,Models!A:A,Models!E:E)</f>
        <v>#N/A</v>
      </c>
      <c r="J215" t="e">
        <f>_xlfn.XLOOKUP(G215,Models!A:A,Models!D:D)</f>
        <v>#N/A</v>
      </c>
      <c r="K215">
        <f>MacReports!F215</f>
        <v>0</v>
      </c>
      <c r="L215">
        <f>MacReports!G215</f>
        <v>0</v>
      </c>
      <c r="M215" s="15" t="e" cm="1">
        <f t="array" ref="M215">--_xlfn.LET(
    _xlpm.txt, MacReports!H215,
    _xlpm.chars, MID(_xlpm.txt, _xlfn.SEQUENCE(LEN(_xlpm.txt)), 1),
    _xlfn.TEXTJOIN("", TRUE, IF(ISNUMBER(--_xlpm.chars), _xlpm.chars, ""))
)</f>
        <v>#VALUE!</v>
      </c>
      <c r="N215" s="16" t="str" cm="1">
        <f t="array" ref="N215">_xlfn.IFS(
   --MacReports!M215&lt;55,"Battery Defect",
  -- MacReports!M215&lt;=69,"Battery D",
  --MacReports!M215&lt;=80,"Battery C",
 --MacReports!M215&gt;80,""
)</f>
        <v>Battery Defect</v>
      </c>
      <c r="O215" s="16" t="str">
        <f>IF(MacReports!I215="Service","Battery Service","")</f>
        <v/>
      </c>
      <c r="P215" s="13">
        <f>MacReports!P215</f>
        <v>0</v>
      </c>
      <c r="Q215" s="13" t="str">
        <f>IF(MacReports!J215="Enabled","Apple ID Lock","")</f>
        <v/>
      </c>
      <c r="R215" s="13" t="str">
        <f>IF(MacReports!L215="y","Remote Locked","")</f>
        <v/>
      </c>
      <c r="S215" t="str">
        <f t="shared" si="7"/>
        <v>Battery Defect, 0</v>
      </c>
      <c r="T215" t="str">
        <f>_xlfn.XLOOKUP(B215,Disk_Pivot!G:G,Disk_Pivot!I:I)</f>
        <v>Yes x2</v>
      </c>
      <c r="U215" t="str">
        <f>_xlfn.XLOOKUP(B215,Disk_Pivot!G:G,Disk_Pivot!N:N)</f>
        <v>Pass, Fail</v>
      </c>
      <c r="V215" t="str">
        <f>IF(U215="Fail",MacReports!N215,"")</f>
        <v/>
      </c>
      <c r="AB215" t="str">
        <f t="shared" si="8"/>
        <v/>
      </c>
    </row>
    <row r="216" spans="1:28">
      <c r="A216" t="str">
        <f>MacReports!A216</f>
        <v/>
      </c>
      <c r="B216">
        <f>MacReports!B216</f>
        <v>0</v>
      </c>
      <c r="C216">
        <f>MacReports!C216</f>
        <v>0</v>
      </c>
      <c r="E216" t="e">
        <f>_xlfn.XLOOKUP(G216,Models!A:A,Models!F:F)</f>
        <v>#N/A</v>
      </c>
      <c r="F216" t="str">
        <f>_xlfn.XLOOKUP(B216,MacReports!B:B,MacReports!D:D,"")</f>
        <v/>
      </c>
      <c r="G216" s="13">
        <f>MacReports!E216</f>
        <v>0</v>
      </c>
      <c r="H216" t="e">
        <f>_xlfn.XLOOKUP(G216,Models!A:A,Models!B:B)</f>
        <v>#N/A</v>
      </c>
      <c r="I216" t="e">
        <f>_xlfn.XLOOKUP(G216,Models!A:A,Models!E:E)</f>
        <v>#N/A</v>
      </c>
      <c r="J216" t="e">
        <f>_xlfn.XLOOKUP(G216,Models!A:A,Models!D:D)</f>
        <v>#N/A</v>
      </c>
      <c r="K216">
        <f>MacReports!F216</f>
        <v>0</v>
      </c>
      <c r="L216">
        <f>MacReports!G216</f>
        <v>0</v>
      </c>
      <c r="M216" s="15" t="e" cm="1">
        <f t="array" ref="M216">--_xlfn.LET(
    _xlpm.txt, MacReports!H216,
    _xlpm.chars, MID(_xlpm.txt, _xlfn.SEQUENCE(LEN(_xlpm.txt)), 1),
    _xlfn.TEXTJOIN("", TRUE, IF(ISNUMBER(--_xlpm.chars), _xlpm.chars, ""))
)</f>
        <v>#VALUE!</v>
      </c>
      <c r="N216" s="16" t="str" cm="1">
        <f t="array" ref="N216">_xlfn.IFS(
   --MacReports!M216&lt;55,"Battery Defect",
  -- MacReports!M216&lt;=69,"Battery D",
  --MacReports!M216&lt;=80,"Battery C",
 --MacReports!M216&gt;80,""
)</f>
        <v>Battery Defect</v>
      </c>
      <c r="O216" s="16" t="str">
        <f>IF(MacReports!I216="Service","Battery Service","")</f>
        <v/>
      </c>
      <c r="P216" s="13">
        <f>MacReports!P216</f>
        <v>0</v>
      </c>
      <c r="Q216" s="13" t="str">
        <f>IF(MacReports!J216="Enabled","Apple ID Lock","")</f>
        <v/>
      </c>
      <c r="R216" s="13" t="str">
        <f>IF(MacReports!L216="y","Remote Locked","")</f>
        <v/>
      </c>
      <c r="S216" t="str">
        <f t="shared" si="7"/>
        <v>Battery Defect, 0</v>
      </c>
      <c r="T216" t="str">
        <f>_xlfn.XLOOKUP(B216,Disk_Pivot!G:G,Disk_Pivot!I:I)</f>
        <v>Yes x2</v>
      </c>
      <c r="U216" t="str">
        <f>_xlfn.XLOOKUP(B216,Disk_Pivot!G:G,Disk_Pivot!N:N)</f>
        <v>Pass, Fail</v>
      </c>
      <c r="V216" t="str">
        <f>IF(U216="Fail",MacReports!N216,"")</f>
        <v/>
      </c>
      <c r="AB216" t="str">
        <f t="shared" si="8"/>
        <v/>
      </c>
    </row>
    <row r="217" spans="1:28">
      <c r="A217" t="str">
        <f>MacReports!A217</f>
        <v/>
      </c>
      <c r="B217">
        <f>MacReports!B217</f>
        <v>0</v>
      </c>
      <c r="C217">
        <f>MacReports!C217</f>
        <v>0</v>
      </c>
      <c r="E217" t="e">
        <f>_xlfn.XLOOKUP(G217,Models!A:A,Models!F:F)</f>
        <v>#N/A</v>
      </c>
      <c r="F217" t="str">
        <f>_xlfn.XLOOKUP(B217,MacReports!B:B,MacReports!D:D,"")</f>
        <v/>
      </c>
      <c r="G217" s="13">
        <f>MacReports!E217</f>
        <v>0</v>
      </c>
      <c r="H217" t="e">
        <f>_xlfn.XLOOKUP(G217,Models!A:A,Models!B:B)</f>
        <v>#N/A</v>
      </c>
      <c r="I217" t="e">
        <f>_xlfn.XLOOKUP(G217,Models!A:A,Models!E:E)</f>
        <v>#N/A</v>
      </c>
      <c r="J217" t="e">
        <f>_xlfn.XLOOKUP(G217,Models!A:A,Models!D:D)</f>
        <v>#N/A</v>
      </c>
      <c r="K217">
        <f>MacReports!F217</f>
        <v>0</v>
      </c>
      <c r="L217">
        <f>MacReports!G217</f>
        <v>0</v>
      </c>
      <c r="M217" s="15" t="e" cm="1">
        <f t="array" ref="M217">--_xlfn.LET(
    _xlpm.txt, MacReports!H217,
    _xlpm.chars, MID(_xlpm.txt, _xlfn.SEQUENCE(LEN(_xlpm.txt)), 1),
    _xlfn.TEXTJOIN("", TRUE, IF(ISNUMBER(--_xlpm.chars), _xlpm.chars, ""))
)</f>
        <v>#VALUE!</v>
      </c>
      <c r="N217" s="16" t="str" cm="1">
        <f t="array" ref="N217">_xlfn.IFS(
   --MacReports!M217&lt;55,"Battery Defect",
  -- MacReports!M217&lt;=69,"Battery D",
  --MacReports!M217&lt;=80,"Battery C",
 --MacReports!M217&gt;80,""
)</f>
        <v>Battery Defect</v>
      </c>
      <c r="O217" s="16" t="str">
        <f>IF(MacReports!I217="Service","Battery Service","")</f>
        <v/>
      </c>
      <c r="P217" s="13">
        <f>MacReports!P217</f>
        <v>0</v>
      </c>
      <c r="Q217" s="13" t="str">
        <f>IF(MacReports!J217="Enabled","Apple ID Lock","")</f>
        <v/>
      </c>
      <c r="R217" s="13" t="str">
        <f>IF(MacReports!L217="y","Remote Locked","")</f>
        <v/>
      </c>
      <c r="S217" t="str">
        <f t="shared" si="7"/>
        <v>Battery Defect, 0</v>
      </c>
      <c r="T217" t="str">
        <f>_xlfn.XLOOKUP(B217,Disk_Pivot!G:G,Disk_Pivot!I:I)</f>
        <v>Yes x2</v>
      </c>
      <c r="U217" t="str">
        <f>_xlfn.XLOOKUP(B217,Disk_Pivot!G:G,Disk_Pivot!N:N)</f>
        <v>Pass, Fail</v>
      </c>
      <c r="V217" t="str">
        <f>IF(U217="Fail",MacReports!N217,"")</f>
        <v/>
      </c>
      <c r="AB217" t="str">
        <f t="shared" si="8"/>
        <v/>
      </c>
    </row>
    <row r="218" spans="1:28">
      <c r="A218" t="str">
        <f>MacReports!A218</f>
        <v/>
      </c>
      <c r="B218">
        <f>MacReports!B218</f>
        <v>0</v>
      </c>
      <c r="C218">
        <f>MacReports!C218</f>
        <v>0</v>
      </c>
      <c r="E218" t="e">
        <f>_xlfn.XLOOKUP(G218,Models!A:A,Models!F:F)</f>
        <v>#N/A</v>
      </c>
      <c r="F218" t="str">
        <f>_xlfn.XLOOKUP(B218,MacReports!B:B,MacReports!D:D,"")</f>
        <v/>
      </c>
      <c r="G218" s="13">
        <f>MacReports!E218</f>
        <v>0</v>
      </c>
      <c r="H218" t="e">
        <f>_xlfn.XLOOKUP(G218,Models!A:A,Models!B:B)</f>
        <v>#N/A</v>
      </c>
      <c r="I218" t="e">
        <f>_xlfn.XLOOKUP(G218,Models!A:A,Models!E:E)</f>
        <v>#N/A</v>
      </c>
      <c r="J218" t="e">
        <f>_xlfn.XLOOKUP(G218,Models!A:A,Models!D:D)</f>
        <v>#N/A</v>
      </c>
      <c r="K218">
        <f>MacReports!F218</f>
        <v>0</v>
      </c>
      <c r="L218">
        <f>MacReports!G218</f>
        <v>0</v>
      </c>
      <c r="M218" s="15" t="e" cm="1">
        <f t="array" ref="M218">--_xlfn.LET(
    _xlpm.txt, MacReports!H218,
    _xlpm.chars, MID(_xlpm.txt, _xlfn.SEQUENCE(LEN(_xlpm.txt)), 1),
    _xlfn.TEXTJOIN("", TRUE, IF(ISNUMBER(--_xlpm.chars), _xlpm.chars, ""))
)</f>
        <v>#VALUE!</v>
      </c>
      <c r="N218" s="16" t="str" cm="1">
        <f t="array" ref="N218">_xlfn.IFS(
   --MacReports!M218&lt;55,"Battery Defect",
  -- MacReports!M218&lt;=69,"Battery D",
  --MacReports!M218&lt;=80,"Battery C",
 --MacReports!M218&gt;80,""
)</f>
        <v>Battery Defect</v>
      </c>
      <c r="O218" s="16" t="str">
        <f>IF(MacReports!I218="Service","Battery Service","")</f>
        <v/>
      </c>
      <c r="P218" s="13">
        <f>MacReports!P218</f>
        <v>0</v>
      </c>
      <c r="Q218" s="13" t="str">
        <f>IF(MacReports!J218="Enabled","Apple ID Lock","")</f>
        <v/>
      </c>
      <c r="R218" s="13" t="str">
        <f>IF(MacReports!L218="y","Remote Locked","")</f>
        <v/>
      </c>
      <c r="S218" t="str">
        <f t="shared" si="7"/>
        <v>Battery Defect, 0</v>
      </c>
      <c r="T218" t="str">
        <f>_xlfn.XLOOKUP(B218,Disk_Pivot!G:G,Disk_Pivot!I:I)</f>
        <v>Yes x2</v>
      </c>
      <c r="U218" t="str">
        <f>_xlfn.XLOOKUP(B218,Disk_Pivot!G:G,Disk_Pivot!N:N)</f>
        <v>Pass, Fail</v>
      </c>
      <c r="V218" t="str">
        <f>IF(U218="Fail",MacReports!N218,"")</f>
        <v/>
      </c>
      <c r="AB218" t="str">
        <f t="shared" si="8"/>
        <v/>
      </c>
    </row>
    <row r="219" spans="1:28">
      <c r="A219" t="str">
        <f>MacReports!A219</f>
        <v/>
      </c>
      <c r="B219">
        <f>MacReports!B219</f>
        <v>0</v>
      </c>
      <c r="C219">
        <f>MacReports!C219</f>
        <v>0</v>
      </c>
      <c r="E219" t="e">
        <f>_xlfn.XLOOKUP(G219,Models!A:A,Models!F:F)</f>
        <v>#N/A</v>
      </c>
      <c r="F219" t="str">
        <f>_xlfn.XLOOKUP(B219,MacReports!B:B,MacReports!D:D,"")</f>
        <v/>
      </c>
      <c r="G219" s="13">
        <f>MacReports!E219</f>
        <v>0</v>
      </c>
      <c r="H219" t="e">
        <f>_xlfn.XLOOKUP(G219,Models!A:A,Models!B:B)</f>
        <v>#N/A</v>
      </c>
      <c r="I219" t="e">
        <f>_xlfn.XLOOKUP(G219,Models!A:A,Models!E:E)</f>
        <v>#N/A</v>
      </c>
      <c r="J219" t="e">
        <f>_xlfn.XLOOKUP(G219,Models!A:A,Models!D:D)</f>
        <v>#N/A</v>
      </c>
      <c r="K219">
        <f>MacReports!F219</f>
        <v>0</v>
      </c>
      <c r="L219">
        <f>MacReports!G219</f>
        <v>0</v>
      </c>
      <c r="M219" s="15" t="e" cm="1">
        <f t="array" ref="M219">--_xlfn.LET(
    _xlpm.txt, MacReports!H219,
    _xlpm.chars, MID(_xlpm.txt, _xlfn.SEQUENCE(LEN(_xlpm.txt)), 1),
    _xlfn.TEXTJOIN("", TRUE, IF(ISNUMBER(--_xlpm.chars), _xlpm.chars, ""))
)</f>
        <v>#VALUE!</v>
      </c>
      <c r="N219" s="16" t="str" cm="1">
        <f t="array" ref="N219">_xlfn.IFS(
   --MacReports!M219&lt;55,"Battery Defect",
  -- MacReports!M219&lt;=69,"Battery D",
  --MacReports!M219&lt;=80,"Battery C",
 --MacReports!M219&gt;80,""
)</f>
        <v>Battery Defect</v>
      </c>
      <c r="O219" s="16" t="str">
        <f>IF(MacReports!I219="Service","Battery Service","")</f>
        <v/>
      </c>
      <c r="P219" s="13">
        <f>MacReports!P219</f>
        <v>0</v>
      </c>
      <c r="Q219" s="13" t="str">
        <f>IF(MacReports!J219="Enabled","Apple ID Lock","")</f>
        <v/>
      </c>
      <c r="R219" s="13" t="str">
        <f>IF(MacReports!L219="y","Remote Locked","")</f>
        <v/>
      </c>
      <c r="S219" t="str">
        <f t="shared" si="7"/>
        <v>Battery Defect, 0</v>
      </c>
      <c r="T219" t="str">
        <f>_xlfn.XLOOKUP(B219,Disk_Pivot!G:G,Disk_Pivot!I:I)</f>
        <v>Yes x2</v>
      </c>
      <c r="U219" t="str">
        <f>_xlfn.XLOOKUP(B219,Disk_Pivot!G:G,Disk_Pivot!N:N)</f>
        <v>Pass, Fail</v>
      </c>
      <c r="V219" t="str">
        <f>IF(U219="Fail",MacReports!N219,"")</f>
        <v/>
      </c>
      <c r="AB219" t="str">
        <f t="shared" si="8"/>
        <v/>
      </c>
    </row>
    <row r="220" spans="1:28">
      <c r="A220" t="str">
        <f>MacReports!A220</f>
        <v/>
      </c>
      <c r="B220">
        <f>MacReports!B220</f>
        <v>0</v>
      </c>
      <c r="C220">
        <f>MacReports!C220</f>
        <v>0</v>
      </c>
      <c r="E220" t="e">
        <f>_xlfn.XLOOKUP(G220,Models!A:A,Models!F:F)</f>
        <v>#N/A</v>
      </c>
      <c r="F220" t="str">
        <f>_xlfn.XLOOKUP(B220,MacReports!B:B,MacReports!D:D,"")</f>
        <v/>
      </c>
      <c r="G220" s="13">
        <f>MacReports!E220</f>
        <v>0</v>
      </c>
      <c r="H220" t="e">
        <f>_xlfn.XLOOKUP(G220,Models!A:A,Models!B:B)</f>
        <v>#N/A</v>
      </c>
      <c r="I220" t="e">
        <f>_xlfn.XLOOKUP(G220,Models!A:A,Models!E:E)</f>
        <v>#N/A</v>
      </c>
      <c r="J220" t="e">
        <f>_xlfn.XLOOKUP(G220,Models!A:A,Models!D:D)</f>
        <v>#N/A</v>
      </c>
      <c r="K220">
        <f>MacReports!F220</f>
        <v>0</v>
      </c>
      <c r="L220">
        <f>MacReports!G220</f>
        <v>0</v>
      </c>
      <c r="M220" s="15" t="e" cm="1">
        <f t="array" ref="M220">--_xlfn.LET(
    _xlpm.txt, MacReports!H220,
    _xlpm.chars, MID(_xlpm.txt, _xlfn.SEQUENCE(LEN(_xlpm.txt)), 1),
    _xlfn.TEXTJOIN("", TRUE, IF(ISNUMBER(--_xlpm.chars), _xlpm.chars, ""))
)</f>
        <v>#VALUE!</v>
      </c>
      <c r="N220" s="16" t="str" cm="1">
        <f t="array" ref="N220">_xlfn.IFS(
   --MacReports!M220&lt;55,"Battery Defect",
  -- MacReports!M220&lt;=69,"Battery D",
  --MacReports!M220&lt;=80,"Battery C",
 --MacReports!M220&gt;80,""
)</f>
        <v>Battery Defect</v>
      </c>
      <c r="O220" s="16" t="str">
        <f>IF(MacReports!I220="Service","Battery Service","")</f>
        <v/>
      </c>
      <c r="P220" s="13">
        <f>MacReports!P220</f>
        <v>0</v>
      </c>
      <c r="Q220" s="13" t="str">
        <f>IF(MacReports!J220="Enabled","Apple ID Lock","")</f>
        <v/>
      </c>
      <c r="R220" s="13" t="str">
        <f>IF(MacReports!L220="y","Remote Locked","")</f>
        <v/>
      </c>
      <c r="S220" t="str">
        <f t="shared" si="7"/>
        <v>Battery Defect, 0</v>
      </c>
      <c r="T220" t="str">
        <f>_xlfn.XLOOKUP(B220,Disk_Pivot!G:G,Disk_Pivot!I:I)</f>
        <v>Yes x2</v>
      </c>
      <c r="U220" t="str">
        <f>_xlfn.XLOOKUP(B220,Disk_Pivot!G:G,Disk_Pivot!N:N)</f>
        <v>Pass, Fail</v>
      </c>
      <c r="V220" t="str">
        <f>IF(U220="Fail",MacReports!N220,"")</f>
        <v/>
      </c>
      <c r="AB220" t="str">
        <f t="shared" si="8"/>
        <v/>
      </c>
    </row>
    <row r="221" spans="1:28">
      <c r="A221" t="str">
        <f>MacReports!A221</f>
        <v/>
      </c>
      <c r="B221">
        <f>MacReports!B221</f>
        <v>0</v>
      </c>
      <c r="C221">
        <f>MacReports!C221</f>
        <v>0</v>
      </c>
      <c r="E221" t="e">
        <f>_xlfn.XLOOKUP(G221,Models!A:A,Models!F:F)</f>
        <v>#N/A</v>
      </c>
      <c r="F221" t="str">
        <f>_xlfn.XLOOKUP(B221,MacReports!B:B,MacReports!D:D,"")</f>
        <v/>
      </c>
      <c r="G221" s="13">
        <f>MacReports!E221</f>
        <v>0</v>
      </c>
      <c r="H221" t="e">
        <f>_xlfn.XLOOKUP(G221,Models!A:A,Models!B:B)</f>
        <v>#N/A</v>
      </c>
      <c r="I221" t="e">
        <f>_xlfn.XLOOKUP(G221,Models!A:A,Models!E:E)</f>
        <v>#N/A</v>
      </c>
      <c r="J221" t="e">
        <f>_xlfn.XLOOKUP(G221,Models!A:A,Models!D:D)</f>
        <v>#N/A</v>
      </c>
      <c r="K221">
        <f>MacReports!F221</f>
        <v>0</v>
      </c>
      <c r="L221">
        <f>MacReports!G221</f>
        <v>0</v>
      </c>
      <c r="M221" s="15" t="e" cm="1">
        <f t="array" ref="M221">--_xlfn.LET(
    _xlpm.txt, MacReports!H221,
    _xlpm.chars, MID(_xlpm.txt, _xlfn.SEQUENCE(LEN(_xlpm.txt)), 1),
    _xlfn.TEXTJOIN("", TRUE, IF(ISNUMBER(--_xlpm.chars), _xlpm.chars, ""))
)</f>
        <v>#VALUE!</v>
      </c>
      <c r="N221" s="16" t="str" cm="1">
        <f t="array" ref="N221">_xlfn.IFS(
   --MacReports!M221&lt;55,"Battery Defect",
  -- MacReports!M221&lt;=69,"Battery D",
  --MacReports!M221&lt;=80,"Battery C",
 --MacReports!M221&gt;80,""
)</f>
        <v>Battery Defect</v>
      </c>
      <c r="O221" s="16" t="str">
        <f>IF(MacReports!I221="Service","Battery Service","")</f>
        <v/>
      </c>
      <c r="P221" s="13">
        <f>MacReports!P221</f>
        <v>0</v>
      </c>
      <c r="Q221" s="13" t="str">
        <f>IF(MacReports!J221="Enabled","Apple ID Lock","")</f>
        <v/>
      </c>
      <c r="R221" s="13" t="str">
        <f>IF(MacReports!L221="y","Remote Locked","")</f>
        <v/>
      </c>
      <c r="S221" t="str">
        <f t="shared" si="7"/>
        <v>Battery Defect, 0</v>
      </c>
      <c r="T221" t="str">
        <f>_xlfn.XLOOKUP(B221,Disk_Pivot!G:G,Disk_Pivot!I:I)</f>
        <v>Yes x2</v>
      </c>
      <c r="U221" t="str">
        <f>_xlfn.XLOOKUP(B221,Disk_Pivot!G:G,Disk_Pivot!N:N)</f>
        <v>Pass, Fail</v>
      </c>
      <c r="V221" t="str">
        <f>IF(U221="Fail",MacReports!N221,"")</f>
        <v/>
      </c>
      <c r="AB221" t="str">
        <f t="shared" si="8"/>
        <v/>
      </c>
    </row>
    <row r="222" spans="1:28">
      <c r="A222" t="str">
        <f>MacReports!A222</f>
        <v/>
      </c>
      <c r="B222">
        <f>MacReports!B222</f>
        <v>0</v>
      </c>
      <c r="C222">
        <f>MacReports!C222</f>
        <v>0</v>
      </c>
      <c r="E222" t="e">
        <f>_xlfn.XLOOKUP(G222,Models!A:A,Models!F:F)</f>
        <v>#N/A</v>
      </c>
      <c r="F222" t="str">
        <f>_xlfn.XLOOKUP(B222,MacReports!B:B,MacReports!D:D,"")</f>
        <v/>
      </c>
      <c r="G222" s="13">
        <f>MacReports!E222</f>
        <v>0</v>
      </c>
      <c r="H222" t="e">
        <f>_xlfn.XLOOKUP(G222,Models!A:A,Models!B:B)</f>
        <v>#N/A</v>
      </c>
      <c r="I222" t="e">
        <f>_xlfn.XLOOKUP(G222,Models!A:A,Models!E:E)</f>
        <v>#N/A</v>
      </c>
      <c r="J222" t="e">
        <f>_xlfn.XLOOKUP(G222,Models!A:A,Models!D:D)</f>
        <v>#N/A</v>
      </c>
      <c r="K222">
        <f>MacReports!F222</f>
        <v>0</v>
      </c>
      <c r="L222">
        <f>MacReports!G222</f>
        <v>0</v>
      </c>
      <c r="M222" s="15" t="e" cm="1">
        <f t="array" ref="M222">--_xlfn.LET(
    _xlpm.txt, MacReports!H222,
    _xlpm.chars, MID(_xlpm.txt, _xlfn.SEQUENCE(LEN(_xlpm.txt)), 1),
    _xlfn.TEXTJOIN("", TRUE, IF(ISNUMBER(--_xlpm.chars), _xlpm.chars, ""))
)</f>
        <v>#VALUE!</v>
      </c>
      <c r="N222" s="16" t="str" cm="1">
        <f t="array" ref="N222">_xlfn.IFS(
   --MacReports!M222&lt;55,"Battery Defect",
  -- MacReports!M222&lt;=69,"Battery D",
  --MacReports!M222&lt;=80,"Battery C",
 --MacReports!M222&gt;80,""
)</f>
        <v>Battery Defect</v>
      </c>
      <c r="O222" s="16" t="str">
        <f>IF(MacReports!I222="Service","Battery Service","")</f>
        <v/>
      </c>
      <c r="P222" s="13">
        <f>MacReports!P222</f>
        <v>0</v>
      </c>
      <c r="Q222" s="13" t="str">
        <f>IF(MacReports!J222="Enabled","Apple ID Lock","")</f>
        <v/>
      </c>
      <c r="R222" s="13" t="str">
        <f>IF(MacReports!L222="y","Remote Locked","")</f>
        <v/>
      </c>
      <c r="S222" t="str">
        <f t="shared" si="7"/>
        <v>Battery Defect, 0</v>
      </c>
      <c r="T222" t="str">
        <f>_xlfn.XLOOKUP(B222,Disk_Pivot!G:G,Disk_Pivot!I:I)</f>
        <v>Yes x2</v>
      </c>
      <c r="U222" t="str">
        <f>_xlfn.XLOOKUP(B222,Disk_Pivot!G:G,Disk_Pivot!N:N)</f>
        <v>Pass, Fail</v>
      </c>
      <c r="V222" t="str">
        <f>IF(U222="Fail",MacReports!N222,"")</f>
        <v/>
      </c>
      <c r="AB222" t="str">
        <f t="shared" si="8"/>
        <v/>
      </c>
    </row>
    <row r="223" spans="1:28">
      <c r="A223" t="str">
        <f>MacReports!A223</f>
        <v/>
      </c>
      <c r="B223">
        <f>MacReports!B223</f>
        <v>0</v>
      </c>
      <c r="C223">
        <f>MacReports!C223</f>
        <v>0</v>
      </c>
      <c r="E223" t="e">
        <f>_xlfn.XLOOKUP(G223,Models!A:A,Models!F:F)</f>
        <v>#N/A</v>
      </c>
      <c r="F223" t="str">
        <f>_xlfn.XLOOKUP(B223,MacReports!B:B,MacReports!D:D,"")</f>
        <v/>
      </c>
      <c r="G223" s="13">
        <f>MacReports!E223</f>
        <v>0</v>
      </c>
      <c r="H223" t="e">
        <f>_xlfn.XLOOKUP(G223,Models!A:A,Models!B:B)</f>
        <v>#N/A</v>
      </c>
      <c r="I223" t="e">
        <f>_xlfn.XLOOKUP(G223,Models!A:A,Models!E:E)</f>
        <v>#N/A</v>
      </c>
      <c r="J223" t="e">
        <f>_xlfn.XLOOKUP(G223,Models!A:A,Models!D:D)</f>
        <v>#N/A</v>
      </c>
      <c r="K223">
        <f>MacReports!F223</f>
        <v>0</v>
      </c>
      <c r="L223">
        <f>MacReports!G223</f>
        <v>0</v>
      </c>
      <c r="M223" s="15" t="e" cm="1">
        <f t="array" ref="M223">--_xlfn.LET(
    _xlpm.txt, MacReports!H223,
    _xlpm.chars, MID(_xlpm.txt, _xlfn.SEQUENCE(LEN(_xlpm.txt)), 1),
    _xlfn.TEXTJOIN("", TRUE, IF(ISNUMBER(--_xlpm.chars), _xlpm.chars, ""))
)</f>
        <v>#VALUE!</v>
      </c>
      <c r="N223" s="16" t="str" cm="1">
        <f t="array" ref="N223">_xlfn.IFS(
   --MacReports!M223&lt;55,"Battery Defect",
  -- MacReports!M223&lt;=69,"Battery D",
  --MacReports!M223&lt;=80,"Battery C",
 --MacReports!M223&gt;80,""
)</f>
        <v>Battery Defect</v>
      </c>
      <c r="O223" s="16" t="str">
        <f>IF(MacReports!I223="Service","Battery Service","")</f>
        <v/>
      </c>
      <c r="P223" s="13">
        <f>MacReports!P223</f>
        <v>0</v>
      </c>
      <c r="Q223" s="13" t="str">
        <f>IF(MacReports!J223="Enabled","Apple ID Lock","")</f>
        <v/>
      </c>
      <c r="R223" s="13" t="str">
        <f>IF(MacReports!L223="y","Remote Locked","")</f>
        <v/>
      </c>
      <c r="S223" t="str">
        <f t="shared" si="7"/>
        <v>Battery Defect, 0</v>
      </c>
      <c r="T223" t="str">
        <f>_xlfn.XLOOKUP(B223,Disk_Pivot!G:G,Disk_Pivot!I:I)</f>
        <v>Yes x2</v>
      </c>
      <c r="U223" t="str">
        <f>_xlfn.XLOOKUP(B223,Disk_Pivot!G:G,Disk_Pivot!N:N)</f>
        <v>Pass, Fail</v>
      </c>
      <c r="V223" t="str">
        <f>IF(U223="Fail",MacReports!N223,"")</f>
        <v/>
      </c>
      <c r="AB223" t="str">
        <f t="shared" si="8"/>
        <v/>
      </c>
    </row>
    <row r="224" spans="1:28">
      <c r="A224" t="str">
        <f>MacReports!A224</f>
        <v/>
      </c>
      <c r="B224">
        <f>MacReports!B224</f>
        <v>0</v>
      </c>
      <c r="C224">
        <f>MacReports!C224</f>
        <v>0</v>
      </c>
      <c r="E224" t="e">
        <f>_xlfn.XLOOKUP(G224,Models!A:A,Models!F:F)</f>
        <v>#N/A</v>
      </c>
      <c r="F224" t="str">
        <f>_xlfn.XLOOKUP(B224,MacReports!B:B,MacReports!D:D,"")</f>
        <v/>
      </c>
      <c r="G224" s="13">
        <f>MacReports!E224</f>
        <v>0</v>
      </c>
      <c r="H224" t="e">
        <f>_xlfn.XLOOKUP(G224,Models!A:A,Models!B:B)</f>
        <v>#N/A</v>
      </c>
      <c r="I224" t="e">
        <f>_xlfn.XLOOKUP(G224,Models!A:A,Models!E:E)</f>
        <v>#N/A</v>
      </c>
      <c r="J224" t="e">
        <f>_xlfn.XLOOKUP(G224,Models!A:A,Models!D:D)</f>
        <v>#N/A</v>
      </c>
      <c r="K224">
        <f>MacReports!F224</f>
        <v>0</v>
      </c>
      <c r="L224">
        <f>MacReports!G224</f>
        <v>0</v>
      </c>
      <c r="M224" s="15" t="e" cm="1">
        <f t="array" ref="M224">--_xlfn.LET(
    _xlpm.txt, MacReports!H224,
    _xlpm.chars, MID(_xlpm.txt, _xlfn.SEQUENCE(LEN(_xlpm.txt)), 1),
    _xlfn.TEXTJOIN("", TRUE, IF(ISNUMBER(--_xlpm.chars), _xlpm.chars, ""))
)</f>
        <v>#VALUE!</v>
      </c>
      <c r="N224" s="16" t="str" cm="1">
        <f t="array" ref="N224">_xlfn.IFS(
   --MacReports!M224&lt;55,"Battery Defect",
  -- MacReports!M224&lt;=69,"Battery D",
  --MacReports!M224&lt;=80,"Battery C",
 --MacReports!M224&gt;80,""
)</f>
        <v>Battery Defect</v>
      </c>
      <c r="O224" s="16" t="str">
        <f>IF(MacReports!I224="Service","Battery Service","")</f>
        <v/>
      </c>
      <c r="P224" s="13">
        <f>MacReports!P224</f>
        <v>0</v>
      </c>
      <c r="Q224" s="13" t="str">
        <f>IF(MacReports!J224="Enabled","Apple ID Lock","")</f>
        <v/>
      </c>
      <c r="R224" s="13" t="str">
        <f>IF(MacReports!L224="y","Remote Locked","")</f>
        <v/>
      </c>
      <c r="S224" t="str">
        <f t="shared" si="7"/>
        <v>Battery Defect, 0</v>
      </c>
      <c r="T224" t="str">
        <f>_xlfn.XLOOKUP(B224,Disk_Pivot!G:G,Disk_Pivot!I:I)</f>
        <v>Yes x2</v>
      </c>
      <c r="U224" t="str">
        <f>_xlfn.XLOOKUP(B224,Disk_Pivot!G:G,Disk_Pivot!N:N)</f>
        <v>Pass, Fail</v>
      </c>
      <c r="V224" t="str">
        <f>IF(U224="Fail",MacReports!N224,"")</f>
        <v/>
      </c>
      <c r="AB224" t="str">
        <f t="shared" si="8"/>
        <v/>
      </c>
    </row>
    <row r="225" spans="1:28">
      <c r="A225" t="str">
        <f>MacReports!A225</f>
        <v/>
      </c>
      <c r="B225">
        <f>MacReports!B225</f>
        <v>0</v>
      </c>
      <c r="C225">
        <f>MacReports!C225</f>
        <v>0</v>
      </c>
      <c r="E225" t="e">
        <f>_xlfn.XLOOKUP(G225,Models!A:A,Models!F:F)</f>
        <v>#N/A</v>
      </c>
      <c r="F225" t="str">
        <f>_xlfn.XLOOKUP(B225,MacReports!B:B,MacReports!D:D,"")</f>
        <v/>
      </c>
      <c r="G225" s="13">
        <f>MacReports!E225</f>
        <v>0</v>
      </c>
      <c r="H225" t="e">
        <f>_xlfn.XLOOKUP(G225,Models!A:A,Models!B:B)</f>
        <v>#N/A</v>
      </c>
      <c r="I225" t="e">
        <f>_xlfn.XLOOKUP(G225,Models!A:A,Models!E:E)</f>
        <v>#N/A</v>
      </c>
      <c r="J225" t="e">
        <f>_xlfn.XLOOKUP(G225,Models!A:A,Models!D:D)</f>
        <v>#N/A</v>
      </c>
      <c r="K225">
        <f>MacReports!F225</f>
        <v>0</v>
      </c>
      <c r="L225">
        <f>MacReports!G225</f>
        <v>0</v>
      </c>
      <c r="M225" s="15" t="e" cm="1">
        <f t="array" ref="M225">--_xlfn.LET(
    _xlpm.txt, MacReports!H225,
    _xlpm.chars, MID(_xlpm.txt, _xlfn.SEQUENCE(LEN(_xlpm.txt)), 1),
    _xlfn.TEXTJOIN("", TRUE, IF(ISNUMBER(--_xlpm.chars), _xlpm.chars, ""))
)</f>
        <v>#VALUE!</v>
      </c>
      <c r="N225" s="16" t="str" cm="1">
        <f t="array" ref="N225">_xlfn.IFS(
   --MacReports!M225&lt;55,"Battery Defect",
  -- MacReports!M225&lt;=69,"Battery D",
  --MacReports!M225&lt;=80,"Battery C",
 --MacReports!M225&gt;80,""
)</f>
        <v>Battery Defect</v>
      </c>
      <c r="O225" s="16" t="str">
        <f>IF(MacReports!I225="Service","Battery Service","")</f>
        <v/>
      </c>
      <c r="P225" s="13">
        <f>MacReports!P225</f>
        <v>0</v>
      </c>
      <c r="Q225" s="13" t="str">
        <f>IF(MacReports!J225="Enabled","Apple ID Lock","")</f>
        <v/>
      </c>
      <c r="R225" s="13" t="str">
        <f>IF(MacReports!L225="y","Remote Locked","")</f>
        <v/>
      </c>
      <c r="S225" t="str">
        <f t="shared" si="7"/>
        <v>Battery Defect, 0</v>
      </c>
      <c r="T225" t="str">
        <f>_xlfn.XLOOKUP(B225,Disk_Pivot!G:G,Disk_Pivot!I:I)</f>
        <v>Yes x2</v>
      </c>
      <c r="U225" t="str">
        <f>_xlfn.XLOOKUP(B225,Disk_Pivot!G:G,Disk_Pivot!N:N)</f>
        <v>Pass, Fail</v>
      </c>
      <c r="V225" t="str">
        <f>IF(U225="Fail",MacReports!N225,"")</f>
        <v/>
      </c>
      <c r="AB225" t="str">
        <f t="shared" si="8"/>
        <v/>
      </c>
    </row>
    <row r="226" spans="1:28">
      <c r="A226" t="str">
        <f>MacReports!A226</f>
        <v/>
      </c>
      <c r="B226">
        <f>MacReports!B226</f>
        <v>0</v>
      </c>
      <c r="C226">
        <f>MacReports!C226</f>
        <v>0</v>
      </c>
      <c r="E226" t="e">
        <f>_xlfn.XLOOKUP(G226,Models!A:A,Models!F:F)</f>
        <v>#N/A</v>
      </c>
      <c r="F226" t="str">
        <f>_xlfn.XLOOKUP(B226,MacReports!B:B,MacReports!D:D,"")</f>
        <v/>
      </c>
      <c r="G226" s="13">
        <f>MacReports!E226</f>
        <v>0</v>
      </c>
      <c r="H226" t="e">
        <f>_xlfn.XLOOKUP(G226,Models!A:A,Models!B:B)</f>
        <v>#N/A</v>
      </c>
      <c r="I226" t="e">
        <f>_xlfn.XLOOKUP(G226,Models!A:A,Models!E:E)</f>
        <v>#N/A</v>
      </c>
      <c r="J226" t="e">
        <f>_xlfn.XLOOKUP(G226,Models!A:A,Models!D:D)</f>
        <v>#N/A</v>
      </c>
      <c r="K226">
        <f>MacReports!F226</f>
        <v>0</v>
      </c>
      <c r="L226">
        <f>MacReports!G226</f>
        <v>0</v>
      </c>
      <c r="M226" s="15" t="e" cm="1">
        <f t="array" ref="M226">--_xlfn.LET(
    _xlpm.txt, MacReports!H226,
    _xlpm.chars, MID(_xlpm.txt, _xlfn.SEQUENCE(LEN(_xlpm.txt)), 1),
    _xlfn.TEXTJOIN("", TRUE, IF(ISNUMBER(--_xlpm.chars), _xlpm.chars, ""))
)</f>
        <v>#VALUE!</v>
      </c>
      <c r="N226" s="16" t="str" cm="1">
        <f t="array" ref="N226">_xlfn.IFS(
   --MacReports!M226&lt;55,"Battery Defect",
  -- MacReports!M226&lt;=69,"Battery D",
  --MacReports!M226&lt;=80,"Battery C",
 --MacReports!M226&gt;80,""
)</f>
        <v>Battery Defect</v>
      </c>
      <c r="O226" s="16" t="str">
        <f>IF(MacReports!I226="Service","Battery Service","")</f>
        <v/>
      </c>
      <c r="P226" s="13">
        <f>MacReports!P226</f>
        <v>0</v>
      </c>
      <c r="Q226" s="13" t="str">
        <f>IF(MacReports!J226="Enabled","Apple ID Lock","")</f>
        <v/>
      </c>
      <c r="R226" s="13" t="str">
        <f>IF(MacReports!L226="y","Remote Locked","")</f>
        <v/>
      </c>
      <c r="S226" t="str">
        <f t="shared" si="7"/>
        <v>Battery Defect, 0</v>
      </c>
      <c r="T226" t="str">
        <f>_xlfn.XLOOKUP(B226,Disk_Pivot!G:G,Disk_Pivot!I:I)</f>
        <v>Yes x2</v>
      </c>
      <c r="U226" t="str">
        <f>_xlfn.XLOOKUP(B226,Disk_Pivot!G:G,Disk_Pivot!N:N)</f>
        <v>Pass, Fail</v>
      </c>
      <c r="V226" t="str">
        <f>IF(U226="Fail",MacReports!N226,"")</f>
        <v/>
      </c>
      <c r="AB226" t="str">
        <f t="shared" si="8"/>
        <v/>
      </c>
    </row>
    <row r="227" spans="1:28">
      <c r="A227" t="str">
        <f>MacReports!A227</f>
        <v/>
      </c>
      <c r="B227">
        <f>MacReports!B227</f>
        <v>0</v>
      </c>
      <c r="C227">
        <f>MacReports!C227</f>
        <v>0</v>
      </c>
      <c r="E227" t="e">
        <f>_xlfn.XLOOKUP(G227,Models!A:A,Models!F:F)</f>
        <v>#N/A</v>
      </c>
      <c r="F227" t="str">
        <f>_xlfn.XLOOKUP(B227,MacReports!B:B,MacReports!D:D,"")</f>
        <v/>
      </c>
      <c r="G227" s="13">
        <f>MacReports!E227</f>
        <v>0</v>
      </c>
      <c r="H227" t="e">
        <f>_xlfn.XLOOKUP(G227,Models!A:A,Models!B:B)</f>
        <v>#N/A</v>
      </c>
      <c r="I227" t="e">
        <f>_xlfn.XLOOKUP(G227,Models!A:A,Models!E:E)</f>
        <v>#N/A</v>
      </c>
      <c r="J227" t="e">
        <f>_xlfn.XLOOKUP(G227,Models!A:A,Models!D:D)</f>
        <v>#N/A</v>
      </c>
      <c r="K227">
        <f>MacReports!F227</f>
        <v>0</v>
      </c>
      <c r="L227">
        <f>MacReports!G227</f>
        <v>0</v>
      </c>
      <c r="M227" s="15" t="e" cm="1">
        <f t="array" ref="M227">--_xlfn.LET(
    _xlpm.txt, MacReports!H227,
    _xlpm.chars, MID(_xlpm.txt, _xlfn.SEQUENCE(LEN(_xlpm.txt)), 1),
    _xlfn.TEXTJOIN("", TRUE, IF(ISNUMBER(--_xlpm.chars), _xlpm.chars, ""))
)</f>
        <v>#VALUE!</v>
      </c>
      <c r="N227" s="16" t="str" cm="1">
        <f t="array" ref="N227">_xlfn.IFS(
   --MacReports!M227&lt;55,"Battery Defect",
  -- MacReports!M227&lt;=69,"Battery D",
  --MacReports!M227&lt;=80,"Battery C",
 --MacReports!M227&gt;80,""
)</f>
        <v>Battery Defect</v>
      </c>
      <c r="O227" s="16" t="str">
        <f>IF(MacReports!I227="Service","Battery Service","")</f>
        <v/>
      </c>
      <c r="P227" s="13">
        <f>MacReports!P227</f>
        <v>0</v>
      </c>
      <c r="Q227" s="13" t="str">
        <f>IF(MacReports!J227="Enabled","Apple ID Lock","")</f>
        <v/>
      </c>
      <c r="R227" s="13" t="str">
        <f>IF(MacReports!L227="y","Remote Locked","")</f>
        <v/>
      </c>
      <c r="S227" t="str">
        <f t="shared" ref="S227:S290" si="9">_xlfn.TEXTJOIN(", ",TRUE,Q227,R227,N227,O227,P227)</f>
        <v>Battery Defect, 0</v>
      </c>
      <c r="T227" t="str">
        <f>_xlfn.XLOOKUP(B227,Disk_Pivot!G:G,Disk_Pivot!I:I)</f>
        <v>Yes x2</v>
      </c>
      <c r="U227" t="str">
        <f>_xlfn.XLOOKUP(B227,Disk_Pivot!G:G,Disk_Pivot!N:N)</f>
        <v>Pass, Fail</v>
      </c>
      <c r="V227" t="str">
        <f>IF(U227="Fail",MacReports!N227,"")</f>
        <v/>
      </c>
      <c r="AB227" t="str">
        <f t="shared" ref="AB227:AB290" si="10">_xlfn.TEXTJOIN(", ",TRUE,Q227,R227)</f>
        <v/>
      </c>
    </row>
    <row r="228" spans="1:28">
      <c r="A228" t="str">
        <f>MacReports!A228</f>
        <v/>
      </c>
      <c r="B228">
        <f>MacReports!B228</f>
        <v>0</v>
      </c>
      <c r="C228">
        <f>MacReports!C228</f>
        <v>0</v>
      </c>
      <c r="E228" t="e">
        <f>_xlfn.XLOOKUP(G228,Models!A:A,Models!F:F)</f>
        <v>#N/A</v>
      </c>
      <c r="F228" t="str">
        <f>_xlfn.XLOOKUP(B228,MacReports!B:B,MacReports!D:D,"")</f>
        <v/>
      </c>
      <c r="G228" s="13">
        <f>MacReports!E228</f>
        <v>0</v>
      </c>
      <c r="H228" t="e">
        <f>_xlfn.XLOOKUP(G228,Models!A:A,Models!B:B)</f>
        <v>#N/A</v>
      </c>
      <c r="I228" t="e">
        <f>_xlfn.XLOOKUP(G228,Models!A:A,Models!E:E)</f>
        <v>#N/A</v>
      </c>
      <c r="J228" t="e">
        <f>_xlfn.XLOOKUP(G228,Models!A:A,Models!D:D)</f>
        <v>#N/A</v>
      </c>
      <c r="K228">
        <f>MacReports!F228</f>
        <v>0</v>
      </c>
      <c r="L228">
        <f>MacReports!G228</f>
        <v>0</v>
      </c>
      <c r="M228" s="15" t="e" cm="1">
        <f t="array" ref="M228">--_xlfn.LET(
    _xlpm.txt, MacReports!H228,
    _xlpm.chars, MID(_xlpm.txt, _xlfn.SEQUENCE(LEN(_xlpm.txt)), 1),
    _xlfn.TEXTJOIN("", TRUE, IF(ISNUMBER(--_xlpm.chars), _xlpm.chars, ""))
)</f>
        <v>#VALUE!</v>
      </c>
      <c r="N228" s="16" t="str" cm="1">
        <f t="array" ref="N228">_xlfn.IFS(
   --MacReports!M228&lt;55,"Battery Defect",
  -- MacReports!M228&lt;=69,"Battery D",
  --MacReports!M228&lt;=80,"Battery C",
 --MacReports!M228&gt;80,""
)</f>
        <v>Battery Defect</v>
      </c>
      <c r="O228" s="16" t="str">
        <f>IF(MacReports!I228="Service","Battery Service","")</f>
        <v/>
      </c>
      <c r="P228" s="13">
        <f>MacReports!P228</f>
        <v>0</v>
      </c>
      <c r="Q228" s="13" t="str">
        <f>IF(MacReports!J228="Enabled","Apple ID Lock","")</f>
        <v/>
      </c>
      <c r="R228" s="13" t="str">
        <f>IF(MacReports!L228="y","Remote Locked","")</f>
        <v/>
      </c>
      <c r="S228" t="str">
        <f t="shared" si="9"/>
        <v>Battery Defect, 0</v>
      </c>
      <c r="T228" t="str">
        <f>_xlfn.XLOOKUP(B228,Disk_Pivot!G:G,Disk_Pivot!I:I)</f>
        <v>Yes x2</v>
      </c>
      <c r="U228" t="str">
        <f>_xlfn.XLOOKUP(B228,Disk_Pivot!G:G,Disk_Pivot!N:N)</f>
        <v>Pass, Fail</v>
      </c>
      <c r="V228" t="str">
        <f>IF(U228="Fail",MacReports!N228,"")</f>
        <v/>
      </c>
      <c r="AB228" t="str">
        <f t="shared" si="10"/>
        <v/>
      </c>
    </row>
    <row r="229" spans="1:28">
      <c r="A229" t="str">
        <f>MacReports!A229</f>
        <v/>
      </c>
      <c r="B229">
        <f>MacReports!B229</f>
        <v>0</v>
      </c>
      <c r="C229">
        <f>MacReports!C229</f>
        <v>0</v>
      </c>
      <c r="E229" t="e">
        <f>_xlfn.XLOOKUP(G229,Models!A:A,Models!F:F)</f>
        <v>#N/A</v>
      </c>
      <c r="F229" t="str">
        <f>_xlfn.XLOOKUP(B229,MacReports!B:B,MacReports!D:D,"")</f>
        <v/>
      </c>
      <c r="G229" s="13">
        <f>MacReports!E229</f>
        <v>0</v>
      </c>
      <c r="H229" t="e">
        <f>_xlfn.XLOOKUP(G229,Models!A:A,Models!B:B)</f>
        <v>#N/A</v>
      </c>
      <c r="I229" t="e">
        <f>_xlfn.XLOOKUP(G229,Models!A:A,Models!E:E)</f>
        <v>#N/A</v>
      </c>
      <c r="J229" t="e">
        <f>_xlfn.XLOOKUP(G229,Models!A:A,Models!D:D)</f>
        <v>#N/A</v>
      </c>
      <c r="K229">
        <f>MacReports!F229</f>
        <v>0</v>
      </c>
      <c r="L229">
        <f>MacReports!G229</f>
        <v>0</v>
      </c>
      <c r="M229" s="15" t="e" cm="1">
        <f t="array" ref="M229">--_xlfn.LET(
    _xlpm.txt, MacReports!H229,
    _xlpm.chars, MID(_xlpm.txt, _xlfn.SEQUENCE(LEN(_xlpm.txt)), 1),
    _xlfn.TEXTJOIN("", TRUE, IF(ISNUMBER(--_xlpm.chars), _xlpm.chars, ""))
)</f>
        <v>#VALUE!</v>
      </c>
      <c r="N229" s="16" t="str" cm="1">
        <f t="array" ref="N229">_xlfn.IFS(
   --MacReports!M229&lt;55,"Battery Defect",
  -- MacReports!M229&lt;=69,"Battery D",
  --MacReports!M229&lt;=80,"Battery C",
 --MacReports!M229&gt;80,""
)</f>
        <v>Battery Defect</v>
      </c>
      <c r="O229" s="16" t="str">
        <f>IF(MacReports!I229="Service","Battery Service","")</f>
        <v/>
      </c>
      <c r="P229" s="13">
        <f>MacReports!P229</f>
        <v>0</v>
      </c>
      <c r="Q229" s="13" t="str">
        <f>IF(MacReports!J229="Enabled","Apple ID Lock","")</f>
        <v/>
      </c>
      <c r="R229" s="13" t="str">
        <f>IF(MacReports!L229="y","Remote Locked","")</f>
        <v/>
      </c>
      <c r="S229" t="str">
        <f t="shared" si="9"/>
        <v>Battery Defect, 0</v>
      </c>
      <c r="T229" t="str">
        <f>_xlfn.XLOOKUP(B229,Disk_Pivot!G:G,Disk_Pivot!I:I)</f>
        <v>Yes x2</v>
      </c>
      <c r="U229" t="str">
        <f>_xlfn.XLOOKUP(B229,Disk_Pivot!G:G,Disk_Pivot!N:N)</f>
        <v>Pass, Fail</v>
      </c>
      <c r="V229" t="str">
        <f>IF(U229="Fail",MacReports!N229,"")</f>
        <v/>
      </c>
      <c r="AB229" t="str">
        <f t="shared" si="10"/>
        <v/>
      </c>
    </row>
    <row r="230" spans="1:28">
      <c r="A230" t="str">
        <f>MacReports!A230</f>
        <v/>
      </c>
      <c r="B230">
        <f>MacReports!B230</f>
        <v>0</v>
      </c>
      <c r="C230">
        <f>MacReports!C230</f>
        <v>0</v>
      </c>
      <c r="E230" t="e">
        <f>_xlfn.XLOOKUP(G230,Models!A:A,Models!F:F)</f>
        <v>#N/A</v>
      </c>
      <c r="F230" t="str">
        <f>_xlfn.XLOOKUP(B230,MacReports!B:B,MacReports!D:D,"")</f>
        <v/>
      </c>
      <c r="G230" s="13">
        <f>MacReports!E230</f>
        <v>0</v>
      </c>
      <c r="H230" t="e">
        <f>_xlfn.XLOOKUP(G230,Models!A:A,Models!B:B)</f>
        <v>#N/A</v>
      </c>
      <c r="I230" t="e">
        <f>_xlfn.XLOOKUP(G230,Models!A:A,Models!E:E)</f>
        <v>#N/A</v>
      </c>
      <c r="J230" t="e">
        <f>_xlfn.XLOOKUP(G230,Models!A:A,Models!D:D)</f>
        <v>#N/A</v>
      </c>
      <c r="K230">
        <f>MacReports!F230</f>
        <v>0</v>
      </c>
      <c r="L230">
        <f>MacReports!G230</f>
        <v>0</v>
      </c>
      <c r="M230" s="15" t="e" cm="1">
        <f t="array" ref="M230">--_xlfn.LET(
    _xlpm.txt, MacReports!H230,
    _xlpm.chars, MID(_xlpm.txt, _xlfn.SEQUENCE(LEN(_xlpm.txt)), 1),
    _xlfn.TEXTJOIN("", TRUE, IF(ISNUMBER(--_xlpm.chars), _xlpm.chars, ""))
)</f>
        <v>#VALUE!</v>
      </c>
      <c r="N230" s="16" t="str" cm="1">
        <f t="array" ref="N230">_xlfn.IFS(
   --MacReports!M230&lt;55,"Battery Defect",
  -- MacReports!M230&lt;=69,"Battery D",
  --MacReports!M230&lt;=80,"Battery C",
 --MacReports!M230&gt;80,""
)</f>
        <v>Battery Defect</v>
      </c>
      <c r="O230" s="16" t="str">
        <f>IF(MacReports!I230="Service","Battery Service","")</f>
        <v/>
      </c>
      <c r="P230" s="13">
        <f>MacReports!P230</f>
        <v>0</v>
      </c>
      <c r="Q230" s="13" t="str">
        <f>IF(MacReports!J230="Enabled","Apple ID Lock","")</f>
        <v/>
      </c>
      <c r="R230" s="13" t="str">
        <f>IF(MacReports!L230="y","Remote Locked","")</f>
        <v/>
      </c>
      <c r="S230" t="str">
        <f t="shared" si="9"/>
        <v>Battery Defect, 0</v>
      </c>
      <c r="T230" t="str">
        <f>_xlfn.XLOOKUP(B230,Disk_Pivot!G:G,Disk_Pivot!I:I)</f>
        <v>Yes x2</v>
      </c>
      <c r="U230" t="str">
        <f>_xlfn.XLOOKUP(B230,Disk_Pivot!G:G,Disk_Pivot!N:N)</f>
        <v>Pass, Fail</v>
      </c>
      <c r="V230" t="str">
        <f>IF(U230="Fail",MacReports!N230,"")</f>
        <v/>
      </c>
      <c r="AB230" t="str">
        <f t="shared" si="10"/>
        <v/>
      </c>
    </row>
    <row r="231" spans="1:28">
      <c r="A231" t="str">
        <f>MacReports!A231</f>
        <v/>
      </c>
      <c r="B231">
        <f>MacReports!B231</f>
        <v>0</v>
      </c>
      <c r="C231">
        <f>MacReports!C231</f>
        <v>0</v>
      </c>
      <c r="E231" t="e">
        <f>_xlfn.XLOOKUP(G231,Models!A:A,Models!F:F)</f>
        <v>#N/A</v>
      </c>
      <c r="F231" t="str">
        <f>_xlfn.XLOOKUP(B231,MacReports!B:B,MacReports!D:D,"")</f>
        <v/>
      </c>
      <c r="G231" s="13">
        <f>MacReports!E231</f>
        <v>0</v>
      </c>
      <c r="H231" t="e">
        <f>_xlfn.XLOOKUP(G231,Models!A:A,Models!B:B)</f>
        <v>#N/A</v>
      </c>
      <c r="I231" t="e">
        <f>_xlfn.XLOOKUP(G231,Models!A:A,Models!E:E)</f>
        <v>#N/A</v>
      </c>
      <c r="J231" t="e">
        <f>_xlfn.XLOOKUP(G231,Models!A:A,Models!D:D)</f>
        <v>#N/A</v>
      </c>
      <c r="K231">
        <f>MacReports!F231</f>
        <v>0</v>
      </c>
      <c r="L231">
        <f>MacReports!G231</f>
        <v>0</v>
      </c>
      <c r="M231" s="15" t="e" cm="1">
        <f t="array" ref="M231">--_xlfn.LET(
    _xlpm.txt, MacReports!H231,
    _xlpm.chars, MID(_xlpm.txt, _xlfn.SEQUENCE(LEN(_xlpm.txt)), 1),
    _xlfn.TEXTJOIN("", TRUE, IF(ISNUMBER(--_xlpm.chars), _xlpm.chars, ""))
)</f>
        <v>#VALUE!</v>
      </c>
      <c r="N231" s="16" t="str" cm="1">
        <f t="array" ref="N231">_xlfn.IFS(
   --MacReports!M231&lt;55,"Battery Defect",
  -- MacReports!M231&lt;=69,"Battery D",
  --MacReports!M231&lt;=80,"Battery C",
 --MacReports!M231&gt;80,""
)</f>
        <v>Battery Defect</v>
      </c>
      <c r="O231" s="16" t="str">
        <f>IF(MacReports!I231="Service","Battery Service","")</f>
        <v/>
      </c>
      <c r="P231" s="13">
        <f>MacReports!P231</f>
        <v>0</v>
      </c>
      <c r="Q231" s="13" t="str">
        <f>IF(MacReports!J231="Enabled","Apple ID Lock","")</f>
        <v/>
      </c>
      <c r="R231" s="13" t="str">
        <f>IF(MacReports!L231="y","Remote Locked","")</f>
        <v/>
      </c>
      <c r="S231" t="str">
        <f t="shared" si="9"/>
        <v>Battery Defect, 0</v>
      </c>
      <c r="T231" t="str">
        <f>_xlfn.XLOOKUP(B231,Disk_Pivot!G:G,Disk_Pivot!I:I)</f>
        <v>Yes x2</v>
      </c>
      <c r="U231" t="str">
        <f>_xlfn.XLOOKUP(B231,Disk_Pivot!G:G,Disk_Pivot!N:N)</f>
        <v>Pass, Fail</v>
      </c>
      <c r="V231" t="str">
        <f>IF(U231="Fail",MacReports!N231,"")</f>
        <v/>
      </c>
      <c r="AB231" t="str">
        <f t="shared" si="10"/>
        <v/>
      </c>
    </row>
    <row r="232" spans="1:28">
      <c r="A232" t="str">
        <f>MacReports!A232</f>
        <v/>
      </c>
      <c r="B232">
        <f>MacReports!B232</f>
        <v>0</v>
      </c>
      <c r="C232">
        <f>MacReports!C232</f>
        <v>0</v>
      </c>
      <c r="E232" t="e">
        <f>_xlfn.XLOOKUP(G232,Models!A:A,Models!F:F)</f>
        <v>#N/A</v>
      </c>
      <c r="F232" t="str">
        <f>_xlfn.XLOOKUP(B232,MacReports!B:B,MacReports!D:D,"")</f>
        <v/>
      </c>
      <c r="G232" s="13">
        <f>MacReports!E232</f>
        <v>0</v>
      </c>
      <c r="H232" t="e">
        <f>_xlfn.XLOOKUP(G232,Models!A:A,Models!B:B)</f>
        <v>#N/A</v>
      </c>
      <c r="I232" t="e">
        <f>_xlfn.XLOOKUP(G232,Models!A:A,Models!E:E)</f>
        <v>#N/A</v>
      </c>
      <c r="J232" t="e">
        <f>_xlfn.XLOOKUP(G232,Models!A:A,Models!D:D)</f>
        <v>#N/A</v>
      </c>
      <c r="K232">
        <f>MacReports!F232</f>
        <v>0</v>
      </c>
      <c r="L232">
        <f>MacReports!G232</f>
        <v>0</v>
      </c>
      <c r="M232" s="15" t="e" cm="1">
        <f t="array" ref="M232">--_xlfn.LET(
    _xlpm.txt, MacReports!H232,
    _xlpm.chars, MID(_xlpm.txt, _xlfn.SEQUENCE(LEN(_xlpm.txt)), 1),
    _xlfn.TEXTJOIN("", TRUE, IF(ISNUMBER(--_xlpm.chars), _xlpm.chars, ""))
)</f>
        <v>#VALUE!</v>
      </c>
      <c r="N232" s="16" t="str" cm="1">
        <f t="array" ref="N232">_xlfn.IFS(
   --MacReports!M232&lt;55,"Battery Defect",
  -- MacReports!M232&lt;=69,"Battery D",
  --MacReports!M232&lt;=80,"Battery C",
 --MacReports!M232&gt;80,""
)</f>
        <v>Battery Defect</v>
      </c>
      <c r="O232" s="16" t="str">
        <f>IF(MacReports!I232="Service","Battery Service","")</f>
        <v/>
      </c>
      <c r="P232" s="13">
        <f>MacReports!P232</f>
        <v>0</v>
      </c>
      <c r="Q232" s="13" t="str">
        <f>IF(MacReports!J232="Enabled","Apple ID Lock","")</f>
        <v/>
      </c>
      <c r="R232" s="13" t="str">
        <f>IF(MacReports!L232="y","Remote Locked","")</f>
        <v/>
      </c>
      <c r="S232" t="str">
        <f t="shared" si="9"/>
        <v>Battery Defect, 0</v>
      </c>
      <c r="T232" t="str">
        <f>_xlfn.XLOOKUP(B232,Disk_Pivot!G:G,Disk_Pivot!I:I)</f>
        <v>Yes x2</v>
      </c>
      <c r="U232" t="str">
        <f>_xlfn.XLOOKUP(B232,Disk_Pivot!G:G,Disk_Pivot!N:N)</f>
        <v>Pass, Fail</v>
      </c>
      <c r="V232" t="str">
        <f>IF(U232="Fail",MacReports!N232,"")</f>
        <v/>
      </c>
      <c r="AB232" t="str">
        <f t="shared" si="10"/>
        <v/>
      </c>
    </row>
    <row r="233" spans="1:28">
      <c r="A233" t="str">
        <f>MacReports!A233</f>
        <v/>
      </c>
      <c r="B233">
        <f>MacReports!B233</f>
        <v>0</v>
      </c>
      <c r="C233">
        <f>MacReports!C233</f>
        <v>0</v>
      </c>
      <c r="E233" t="e">
        <f>_xlfn.XLOOKUP(G233,Models!A:A,Models!F:F)</f>
        <v>#N/A</v>
      </c>
      <c r="F233" t="str">
        <f>_xlfn.XLOOKUP(B233,MacReports!B:B,MacReports!D:D,"")</f>
        <v/>
      </c>
      <c r="G233" s="13">
        <f>MacReports!E233</f>
        <v>0</v>
      </c>
      <c r="H233" t="e">
        <f>_xlfn.XLOOKUP(G233,Models!A:A,Models!B:B)</f>
        <v>#N/A</v>
      </c>
      <c r="I233" t="e">
        <f>_xlfn.XLOOKUP(G233,Models!A:A,Models!E:E)</f>
        <v>#N/A</v>
      </c>
      <c r="J233" t="e">
        <f>_xlfn.XLOOKUP(G233,Models!A:A,Models!D:D)</f>
        <v>#N/A</v>
      </c>
      <c r="K233">
        <f>MacReports!F233</f>
        <v>0</v>
      </c>
      <c r="L233">
        <f>MacReports!G233</f>
        <v>0</v>
      </c>
      <c r="M233" s="15" t="e" cm="1">
        <f t="array" ref="M233">--_xlfn.LET(
    _xlpm.txt, MacReports!H233,
    _xlpm.chars, MID(_xlpm.txt, _xlfn.SEQUENCE(LEN(_xlpm.txt)), 1),
    _xlfn.TEXTJOIN("", TRUE, IF(ISNUMBER(--_xlpm.chars), _xlpm.chars, ""))
)</f>
        <v>#VALUE!</v>
      </c>
      <c r="N233" s="16" t="str" cm="1">
        <f t="array" ref="N233">_xlfn.IFS(
   --MacReports!M233&lt;55,"Battery Defect",
  -- MacReports!M233&lt;=69,"Battery D",
  --MacReports!M233&lt;=80,"Battery C",
 --MacReports!M233&gt;80,""
)</f>
        <v>Battery Defect</v>
      </c>
      <c r="O233" s="16" t="str">
        <f>IF(MacReports!I233="Service","Battery Service","")</f>
        <v/>
      </c>
      <c r="P233" s="13">
        <f>MacReports!P233</f>
        <v>0</v>
      </c>
      <c r="Q233" s="13" t="str">
        <f>IF(MacReports!J233="Enabled","Apple ID Lock","")</f>
        <v/>
      </c>
      <c r="R233" s="13" t="str">
        <f>IF(MacReports!L233="y","Remote Locked","")</f>
        <v/>
      </c>
      <c r="S233" t="str">
        <f t="shared" si="9"/>
        <v>Battery Defect, 0</v>
      </c>
      <c r="T233" t="str">
        <f>_xlfn.XLOOKUP(B233,Disk_Pivot!G:G,Disk_Pivot!I:I)</f>
        <v>Yes x2</v>
      </c>
      <c r="U233" t="str">
        <f>_xlfn.XLOOKUP(B233,Disk_Pivot!G:G,Disk_Pivot!N:N)</f>
        <v>Pass, Fail</v>
      </c>
      <c r="V233" t="str">
        <f>IF(U233="Fail",MacReports!N233,"")</f>
        <v/>
      </c>
      <c r="AB233" t="str">
        <f t="shared" si="10"/>
        <v/>
      </c>
    </row>
    <row r="234" spans="1:28">
      <c r="A234" t="str">
        <f>MacReports!A234</f>
        <v/>
      </c>
      <c r="B234">
        <f>MacReports!B234</f>
        <v>0</v>
      </c>
      <c r="C234">
        <f>MacReports!C234</f>
        <v>0</v>
      </c>
      <c r="E234" t="e">
        <f>_xlfn.XLOOKUP(G234,Models!A:A,Models!F:F)</f>
        <v>#N/A</v>
      </c>
      <c r="F234" t="str">
        <f>_xlfn.XLOOKUP(B234,MacReports!B:B,MacReports!D:D,"")</f>
        <v/>
      </c>
      <c r="G234" s="13">
        <f>MacReports!E234</f>
        <v>0</v>
      </c>
      <c r="H234" t="e">
        <f>_xlfn.XLOOKUP(G234,Models!A:A,Models!B:B)</f>
        <v>#N/A</v>
      </c>
      <c r="I234" t="e">
        <f>_xlfn.XLOOKUP(G234,Models!A:A,Models!E:E)</f>
        <v>#N/A</v>
      </c>
      <c r="J234" t="e">
        <f>_xlfn.XLOOKUP(G234,Models!A:A,Models!D:D)</f>
        <v>#N/A</v>
      </c>
      <c r="K234">
        <f>MacReports!F234</f>
        <v>0</v>
      </c>
      <c r="L234">
        <f>MacReports!G234</f>
        <v>0</v>
      </c>
      <c r="M234" s="15" t="e" cm="1">
        <f t="array" ref="M234">--_xlfn.LET(
    _xlpm.txt, MacReports!H234,
    _xlpm.chars, MID(_xlpm.txt, _xlfn.SEQUENCE(LEN(_xlpm.txt)), 1),
    _xlfn.TEXTJOIN("", TRUE, IF(ISNUMBER(--_xlpm.chars), _xlpm.chars, ""))
)</f>
        <v>#VALUE!</v>
      </c>
      <c r="N234" s="16" t="str" cm="1">
        <f t="array" ref="N234">_xlfn.IFS(
   --MacReports!M234&lt;55,"Battery Defect",
  -- MacReports!M234&lt;=69,"Battery D",
  --MacReports!M234&lt;=80,"Battery C",
 --MacReports!M234&gt;80,""
)</f>
        <v>Battery Defect</v>
      </c>
      <c r="O234" s="16" t="str">
        <f>IF(MacReports!I234="Service","Battery Service","")</f>
        <v/>
      </c>
      <c r="P234" s="13">
        <f>MacReports!P234</f>
        <v>0</v>
      </c>
      <c r="Q234" s="13" t="str">
        <f>IF(MacReports!J234="Enabled","Apple ID Lock","")</f>
        <v/>
      </c>
      <c r="R234" s="13" t="str">
        <f>IF(MacReports!L234="y","Remote Locked","")</f>
        <v/>
      </c>
      <c r="S234" t="str">
        <f t="shared" si="9"/>
        <v>Battery Defect, 0</v>
      </c>
      <c r="T234" t="str">
        <f>_xlfn.XLOOKUP(B234,Disk_Pivot!G:G,Disk_Pivot!I:I)</f>
        <v>Yes x2</v>
      </c>
      <c r="U234" t="str">
        <f>_xlfn.XLOOKUP(B234,Disk_Pivot!G:G,Disk_Pivot!N:N)</f>
        <v>Pass, Fail</v>
      </c>
      <c r="V234" t="str">
        <f>IF(U234="Fail",MacReports!N234,"")</f>
        <v/>
      </c>
      <c r="AB234" t="str">
        <f t="shared" si="10"/>
        <v/>
      </c>
    </row>
    <row r="235" spans="1:28">
      <c r="A235" t="str">
        <f>MacReports!A235</f>
        <v/>
      </c>
      <c r="B235">
        <f>MacReports!B235</f>
        <v>0</v>
      </c>
      <c r="C235">
        <f>MacReports!C235</f>
        <v>0</v>
      </c>
      <c r="E235" t="e">
        <f>_xlfn.XLOOKUP(G235,Models!A:A,Models!F:F)</f>
        <v>#N/A</v>
      </c>
      <c r="F235" t="str">
        <f>_xlfn.XLOOKUP(B235,MacReports!B:B,MacReports!D:D,"")</f>
        <v/>
      </c>
      <c r="G235" s="13">
        <f>MacReports!E235</f>
        <v>0</v>
      </c>
      <c r="H235" t="e">
        <f>_xlfn.XLOOKUP(G235,Models!A:A,Models!B:B)</f>
        <v>#N/A</v>
      </c>
      <c r="I235" t="e">
        <f>_xlfn.XLOOKUP(G235,Models!A:A,Models!E:E)</f>
        <v>#N/A</v>
      </c>
      <c r="J235" t="e">
        <f>_xlfn.XLOOKUP(G235,Models!A:A,Models!D:D)</f>
        <v>#N/A</v>
      </c>
      <c r="K235">
        <f>MacReports!F235</f>
        <v>0</v>
      </c>
      <c r="L235">
        <f>MacReports!G235</f>
        <v>0</v>
      </c>
      <c r="M235" s="15" t="e" cm="1">
        <f t="array" ref="M235">--_xlfn.LET(
    _xlpm.txt, MacReports!H235,
    _xlpm.chars, MID(_xlpm.txt, _xlfn.SEQUENCE(LEN(_xlpm.txt)), 1),
    _xlfn.TEXTJOIN("", TRUE, IF(ISNUMBER(--_xlpm.chars), _xlpm.chars, ""))
)</f>
        <v>#VALUE!</v>
      </c>
      <c r="N235" s="16" t="str" cm="1">
        <f t="array" ref="N235">_xlfn.IFS(
   --MacReports!M235&lt;55,"Battery Defect",
  -- MacReports!M235&lt;=69,"Battery D",
  --MacReports!M235&lt;=80,"Battery C",
 --MacReports!M235&gt;80,""
)</f>
        <v>Battery Defect</v>
      </c>
      <c r="O235" s="16" t="str">
        <f>IF(MacReports!I235="Service","Battery Service","")</f>
        <v/>
      </c>
      <c r="P235" s="13">
        <f>MacReports!P235</f>
        <v>0</v>
      </c>
      <c r="Q235" s="13" t="str">
        <f>IF(MacReports!J235="Enabled","Apple ID Lock","")</f>
        <v/>
      </c>
      <c r="R235" s="13" t="str">
        <f>IF(MacReports!L235="y","Remote Locked","")</f>
        <v/>
      </c>
      <c r="S235" t="str">
        <f t="shared" si="9"/>
        <v>Battery Defect, 0</v>
      </c>
      <c r="T235" t="str">
        <f>_xlfn.XLOOKUP(B235,Disk_Pivot!G:G,Disk_Pivot!I:I)</f>
        <v>Yes x2</v>
      </c>
      <c r="U235" t="str">
        <f>_xlfn.XLOOKUP(B235,Disk_Pivot!G:G,Disk_Pivot!N:N)</f>
        <v>Pass, Fail</v>
      </c>
      <c r="V235" t="str">
        <f>IF(U235="Fail",MacReports!N235,"")</f>
        <v/>
      </c>
      <c r="AB235" t="str">
        <f t="shared" si="10"/>
        <v/>
      </c>
    </row>
    <row r="236" spans="1:28">
      <c r="A236" t="str">
        <f>MacReports!A236</f>
        <v/>
      </c>
      <c r="B236">
        <f>MacReports!B236</f>
        <v>0</v>
      </c>
      <c r="C236">
        <f>MacReports!C236</f>
        <v>0</v>
      </c>
      <c r="E236" t="e">
        <f>_xlfn.XLOOKUP(G236,Models!A:A,Models!F:F)</f>
        <v>#N/A</v>
      </c>
      <c r="F236" t="str">
        <f>_xlfn.XLOOKUP(B236,MacReports!B:B,MacReports!D:D,"")</f>
        <v/>
      </c>
      <c r="G236" s="13">
        <f>MacReports!E236</f>
        <v>0</v>
      </c>
      <c r="H236" t="e">
        <f>_xlfn.XLOOKUP(G236,Models!A:A,Models!B:B)</f>
        <v>#N/A</v>
      </c>
      <c r="I236" t="e">
        <f>_xlfn.XLOOKUP(G236,Models!A:A,Models!E:E)</f>
        <v>#N/A</v>
      </c>
      <c r="J236" t="e">
        <f>_xlfn.XLOOKUP(G236,Models!A:A,Models!D:D)</f>
        <v>#N/A</v>
      </c>
      <c r="K236">
        <f>MacReports!F236</f>
        <v>0</v>
      </c>
      <c r="L236">
        <f>MacReports!G236</f>
        <v>0</v>
      </c>
      <c r="M236" s="15" t="e" cm="1">
        <f t="array" ref="M236">--_xlfn.LET(
    _xlpm.txt, MacReports!H236,
    _xlpm.chars, MID(_xlpm.txt, _xlfn.SEQUENCE(LEN(_xlpm.txt)), 1),
    _xlfn.TEXTJOIN("", TRUE, IF(ISNUMBER(--_xlpm.chars), _xlpm.chars, ""))
)</f>
        <v>#VALUE!</v>
      </c>
      <c r="N236" s="16" t="str" cm="1">
        <f t="array" ref="N236">_xlfn.IFS(
   --MacReports!M236&lt;55,"Battery Defect",
  -- MacReports!M236&lt;=69,"Battery D",
  --MacReports!M236&lt;=80,"Battery C",
 --MacReports!M236&gt;80,""
)</f>
        <v>Battery Defect</v>
      </c>
      <c r="O236" s="16" t="str">
        <f>IF(MacReports!I236="Service","Battery Service","")</f>
        <v/>
      </c>
      <c r="P236" s="13">
        <f>MacReports!P236</f>
        <v>0</v>
      </c>
      <c r="Q236" s="13" t="str">
        <f>IF(MacReports!J236="Enabled","Apple ID Lock","")</f>
        <v/>
      </c>
      <c r="R236" s="13" t="str">
        <f>IF(MacReports!L236="y","Remote Locked","")</f>
        <v/>
      </c>
      <c r="S236" t="str">
        <f t="shared" si="9"/>
        <v>Battery Defect, 0</v>
      </c>
      <c r="T236" t="str">
        <f>_xlfn.XLOOKUP(B236,Disk_Pivot!G:G,Disk_Pivot!I:I)</f>
        <v>Yes x2</v>
      </c>
      <c r="U236" t="str">
        <f>_xlfn.XLOOKUP(B236,Disk_Pivot!G:G,Disk_Pivot!N:N)</f>
        <v>Pass, Fail</v>
      </c>
      <c r="V236" t="str">
        <f>IF(U236="Fail",MacReports!N236,"")</f>
        <v/>
      </c>
      <c r="AB236" t="str">
        <f t="shared" si="10"/>
        <v/>
      </c>
    </row>
    <row r="237" spans="1:28">
      <c r="A237" t="str">
        <f>MacReports!A237</f>
        <v/>
      </c>
      <c r="B237">
        <f>MacReports!B237</f>
        <v>0</v>
      </c>
      <c r="C237">
        <f>MacReports!C237</f>
        <v>0</v>
      </c>
      <c r="E237" t="e">
        <f>_xlfn.XLOOKUP(G237,Models!A:A,Models!F:F)</f>
        <v>#N/A</v>
      </c>
      <c r="F237" t="str">
        <f>_xlfn.XLOOKUP(B237,MacReports!B:B,MacReports!D:D,"")</f>
        <v/>
      </c>
      <c r="G237" s="13">
        <f>MacReports!E237</f>
        <v>0</v>
      </c>
      <c r="H237" t="e">
        <f>_xlfn.XLOOKUP(G237,Models!A:A,Models!B:B)</f>
        <v>#N/A</v>
      </c>
      <c r="I237" t="e">
        <f>_xlfn.XLOOKUP(G237,Models!A:A,Models!E:E)</f>
        <v>#N/A</v>
      </c>
      <c r="J237" t="e">
        <f>_xlfn.XLOOKUP(G237,Models!A:A,Models!D:D)</f>
        <v>#N/A</v>
      </c>
      <c r="K237">
        <f>MacReports!F237</f>
        <v>0</v>
      </c>
      <c r="L237">
        <f>MacReports!G237</f>
        <v>0</v>
      </c>
      <c r="M237" s="15" t="e" cm="1">
        <f t="array" ref="M237">--_xlfn.LET(
    _xlpm.txt, MacReports!H237,
    _xlpm.chars, MID(_xlpm.txt, _xlfn.SEQUENCE(LEN(_xlpm.txt)), 1),
    _xlfn.TEXTJOIN("", TRUE, IF(ISNUMBER(--_xlpm.chars), _xlpm.chars, ""))
)</f>
        <v>#VALUE!</v>
      </c>
      <c r="N237" s="16" t="str" cm="1">
        <f t="array" ref="N237">_xlfn.IFS(
   --MacReports!M237&lt;55,"Battery Defect",
  -- MacReports!M237&lt;=69,"Battery D",
  --MacReports!M237&lt;=80,"Battery C",
 --MacReports!M237&gt;80,""
)</f>
        <v>Battery Defect</v>
      </c>
      <c r="O237" s="16" t="str">
        <f>IF(MacReports!I237="Service","Battery Service","")</f>
        <v/>
      </c>
      <c r="P237" s="13">
        <f>MacReports!P237</f>
        <v>0</v>
      </c>
      <c r="Q237" s="13" t="str">
        <f>IF(MacReports!J237="Enabled","Apple ID Lock","")</f>
        <v/>
      </c>
      <c r="R237" s="13" t="str">
        <f>IF(MacReports!L237="y","Remote Locked","")</f>
        <v/>
      </c>
      <c r="S237" t="str">
        <f t="shared" si="9"/>
        <v>Battery Defect, 0</v>
      </c>
      <c r="T237" t="str">
        <f>_xlfn.XLOOKUP(B237,Disk_Pivot!G:G,Disk_Pivot!I:I)</f>
        <v>Yes x2</v>
      </c>
      <c r="U237" t="str">
        <f>_xlfn.XLOOKUP(B237,Disk_Pivot!G:G,Disk_Pivot!N:N)</f>
        <v>Pass, Fail</v>
      </c>
      <c r="V237" t="str">
        <f>IF(U237="Fail",MacReports!N237,"")</f>
        <v/>
      </c>
      <c r="AB237" t="str">
        <f t="shared" si="10"/>
        <v/>
      </c>
    </row>
    <row r="238" spans="1:28">
      <c r="A238" t="str">
        <f>MacReports!A238</f>
        <v/>
      </c>
      <c r="B238">
        <f>MacReports!B238</f>
        <v>0</v>
      </c>
      <c r="C238">
        <f>MacReports!C238</f>
        <v>0</v>
      </c>
      <c r="E238" t="e">
        <f>_xlfn.XLOOKUP(G238,Models!A:A,Models!F:F)</f>
        <v>#N/A</v>
      </c>
      <c r="F238" t="str">
        <f>_xlfn.XLOOKUP(B238,MacReports!B:B,MacReports!D:D,"")</f>
        <v/>
      </c>
      <c r="G238" s="13">
        <f>MacReports!E238</f>
        <v>0</v>
      </c>
      <c r="H238" t="e">
        <f>_xlfn.XLOOKUP(G238,Models!A:A,Models!B:B)</f>
        <v>#N/A</v>
      </c>
      <c r="I238" t="e">
        <f>_xlfn.XLOOKUP(G238,Models!A:A,Models!E:E)</f>
        <v>#N/A</v>
      </c>
      <c r="J238" t="e">
        <f>_xlfn.XLOOKUP(G238,Models!A:A,Models!D:D)</f>
        <v>#N/A</v>
      </c>
      <c r="K238">
        <f>MacReports!F238</f>
        <v>0</v>
      </c>
      <c r="L238">
        <f>MacReports!G238</f>
        <v>0</v>
      </c>
      <c r="M238" s="15" t="e" cm="1">
        <f t="array" ref="M238">--_xlfn.LET(
    _xlpm.txt, MacReports!H238,
    _xlpm.chars, MID(_xlpm.txt, _xlfn.SEQUENCE(LEN(_xlpm.txt)), 1),
    _xlfn.TEXTJOIN("", TRUE, IF(ISNUMBER(--_xlpm.chars), _xlpm.chars, ""))
)</f>
        <v>#VALUE!</v>
      </c>
      <c r="N238" s="16" t="str" cm="1">
        <f t="array" ref="N238">_xlfn.IFS(
   --MacReports!M238&lt;55,"Battery Defect",
  -- MacReports!M238&lt;=69,"Battery D",
  --MacReports!M238&lt;=80,"Battery C",
 --MacReports!M238&gt;80,""
)</f>
        <v>Battery Defect</v>
      </c>
      <c r="O238" s="16" t="str">
        <f>IF(MacReports!I238="Service","Battery Service","")</f>
        <v/>
      </c>
      <c r="P238" s="13">
        <f>MacReports!P238</f>
        <v>0</v>
      </c>
      <c r="Q238" s="13" t="str">
        <f>IF(MacReports!J238="Enabled","Apple ID Lock","")</f>
        <v/>
      </c>
      <c r="R238" s="13" t="str">
        <f>IF(MacReports!L238="y","Remote Locked","")</f>
        <v/>
      </c>
      <c r="S238" t="str">
        <f t="shared" si="9"/>
        <v>Battery Defect, 0</v>
      </c>
      <c r="T238" t="str">
        <f>_xlfn.XLOOKUP(B238,Disk_Pivot!G:G,Disk_Pivot!I:I)</f>
        <v>Yes x2</v>
      </c>
      <c r="U238" t="str">
        <f>_xlfn.XLOOKUP(B238,Disk_Pivot!G:G,Disk_Pivot!N:N)</f>
        <v>Pass, Fail</v>
      </c>
      <c r="V238" t="str">
        <f>IF(U238="Fail",MacReports!N238,"")</f>
        <v/>
      </c>
      <c r="AB238" t="str">
        <f t="shared" si="10"/>
        <v/>
      </c>
    </row>
    <row r="239" spans="1:28">
      <c r="A239" t="str">
        <f>MacReports!A239</f>
        <v/>
      </c>
      <c r="B239">
        <f>MacReports!B239</f>
        <v>0</v>
      </c>
      <c r="C239">
        <f>MacReports!C239</f>
        <v>0</v>
      </c>
      <c r="E239" t="e">
        <f>_xlfn.XLOOKUP(G239,Models!A:A,Models!F:F)</f>
        <v>#N/A</v>
      </c>
      <c r="F239" t="str">
        <f>_xlfn.XLOOKUP(B239,MacReports!B:B,MacReports!D:D,"")</f>
        <v/>
      </c>
      <c r="G239" s="13">
        <f>MacReports!E239</f>
        <v>0</v>
      </c>
      <c r="H239" t="e">
        <f>_xlfn.XLOOKUP(G239,Models!A:A,Models!B:B)</f>
        <v>#N/A</v>
      </c>
      <c r="I239" t="e">
        <f>_xlfn.XLOOKUP(G239,Models!A:A,Models!E:E)</f>
        <v>#N/A</v>
      </c>
      <c r="J239" t="e">
        <f>_xlfn.XLOOKUP(G239,Models!A:A,Models!D:D)</f>
        <v>#N/A</v>
      </c>
      <c r="K239">
        <f>MacReports!F239</f>
        <v>0</v>
      </c>
      <c r="L239">
        <f>MacReports!G239</f>
        <v>0</v>
      </c>
      <c r="M239" s="15" t="e" cm="1">
        <f t="array" ref="M239">--_xlfn.LET(
    _xlpm.txt, MacReports!H239,
    _xlpm.chars, MID(_xlpm.txt, _xlfn.SEQUENCE(LEN(_xlpm.txt)), 1),
    _xlfn.TEXTJOIN("", TRUE, IF(ISNUMBER(--_xlpm.chars), _xlpm.chars, ""))
)</f>
        <v>#VALUE!</v>
      </c>
      <c r="N239" s="16" t="str" cm="1">
        <f t="array" ref="N239">_xlfn.IFS(
   --MacReports!M239&lt;55,"Battery Defect",
  -- MacReports!M239&lt;=69,"Battery D",
  --MacReports!M239&lt;=80,"Battery C",
 --MacReports!M239&gt;80,""
)</f>
        <v>Battery Defect</v>
      </c>
      <c r="O239" s="16" t="str">
        <f>IF(MacReports!I239="Service","Battery Service","")</f>
        <v/>
      </c>
      <c r="P239" s="13">
        <f>MacReports!P239</f>
        <v>0</v>
      </c>
      <c r="Q239" s="13" t="str">
        <f>IF(MacReports!J239="Enabled","Apple ID Lock","")</f>
        <v/>
      </c>
      <c r="R239" s="13" t="str">
        <f>IF(MacReports!L239="y","Remote Locked","")</f>
        <v/>
      </c>
      <c r="S239" t="str">
        <f t="shared" si="9"/>
        <v>Battery Defect, 0</v>
      </c>
      <c r="T239" t="str">
        <f>_xlfn.XLOOKUP(B239,Disk_Pivot!G:G,Disk_Pivot!I:I)</f>
        <v>Yes x2</v>
      </c>
      <c r="U239" t="str">
        <f>_xlfn.XLOOKUP(B239,Disk_Pivot!G:G,Disk_Pivot!N:N)</f>
        <v>Pass, Fail</v>
      </c>
      <c r="V239" t="str">
        <f>IF(U239="Fail",MacReports!N239,"")</f>
        <v/>
      </c>
      <c r="AB239" t="str">
        <f t="shared" si="10"/>
        <v/>
      </c>
    </row>
    <row r="240" spans="1:28">
      <c r="A240" t="str">
        <f>MacReports!A240</f>
        <v/>
      </c>
      <c r="B240">
        <f>MacReports!B240</f>
        <v>0</v>
      </c>
      <c r="C240">
        <f>MacReports!C240</f>
        <v>0</v>
      </c>
      <c r="E240" t="e">
        <f>_xlfn.XLOOKUP(G240,Models!A:A,Models!F:F)</f>
        <v>#N/A</v>
      </c>
      <c r="F240" t="str">
        <f>_xlfn.XLOOKUP(B240,MacReports!B:B,MacReports!D:D,"")</f>
        <v/>
      </c>
      <c r="G240" s="13">
        <f>MacReports!E240</f>
        <v>0</v>
      </c>
      <c r="H240" t="e">
        <f>_xlfn.XLOOKUP(G240,Models!A:A,Models!B:B)</f>
        <v>#N/A</v>
      </c>
      <c r="I240" t="e">
        <f>_xlfn.XLOOKUP(G240,Models!A:A,Models!E:E)</f>
        <v>#N/A</v>
      </c>
      <c r="J240" t="e">
        <f>_xlfn.XLOOKUP(G240,Models!A:A,Models!D:D)</f>
        <v>#N/A</v>
      </c>
      <c r="K240">
        <f>MacReports!F240</f>
        <v>0</v>
      </c>
      <c r="L240">
        <f>MacReports!G240</f>
        <v>0</v>
      </c>
      <c r="M240" s="15" t="e" cm="1">
        <f t="array" ref="M240">--_xlfn.LET(
    _xlpm.txt, MacReports!H240,
    _xlpm.chars, MID(_xlpm.txt, _xlfn.SEQUENCE(LEN(_xlpm.txt)), 1),
    _xlfn.TEXTJOIN("", TRUE, IF(ISNUMBER(--_xlpm.chars), _xlpm.chars, ""))
)</f>
        <v>#VALUE!</v>
      </c>
      <c r="N240" s="16" t="str" cm="1">
        <f t="array" ref="N240">_xlfn.IFS(
   --MacReports!M240&lt;55,"Battery Defect",
  -- MacReports!M240&lt;=69,"Battery D",
  --MacReports!M240&lt;=80,"Battery C",
 --MacReports!M240&gt;80,""
)</f>
        <v>Battery Defect</v>
      </c>
      <c r="O240" s="16" t="str">
        <f>IF(MacReports!I240="Service","Battery Service","")</f>
        <v/>
      </c>
      <c r="P240" s="13">
        <f>MacReports!P240</f>
        <v>0</v>
      </c>
      <c r="Q240" s="13" t="str">
        <f>IF(MacReports!J240="Enabled","Apple ID Lock","")</f>
        <v/>
      </c>
      <c r="R240" s="13" t="str">
        <f>IF(MacReports!L240="y","Remote Locked","")</f>
        <v/>
      </c>
      <c r="S240" t="str">
        <f t="shared" si="9"/>
        <v>Battery Defect, 0</v>
      </c>
      <c r="T240" t="str">
        <f>_xlfn.XLOOKUP(B240,Disk_Pivot!G:G,Disk_Pivot!I:I)</f>
        <v>Yes x2</v>
      </c>
      <c r="U240" t="str">
        <f>_xlfn.XLOOKUP(B240,Disk_Pivot!G:G,Disk_Pivot!N:N)</f>
        <v>Pass, Fail</v>
      </c>
      <c r="V240" t="str">
        <f>IF(U240="Fail",MacReports!N240,"")</f>
        <v/>
      </c>
      <c r="AB240" t="str">
        <f t="shared" si="10"/>
        <v/>
      </c>
    </row>
    <row r="241" spans="1:28">
      <c r="A241" t="str">
        <f>MacReports!A241</f>
        <v/>
      </c>
      <c r="B241">
        <f>MacReports!B241</f>
        <v>0</v>
      </c>
      <c r="C241">
        <f>MacReports!C241</f>
        <v>0</v>
      </c>
      <c r="E241" t="e">
        <f>_xlfn.XLOOKUP(G241,Models!A:A,Models!F:F)</f>
        <v>#N/A</v>
      </c>
      <c r="F241" t="str">
        <f>_xlfn.XLOOKUP(B241,MacReports!B:B,MacReports!D:D,"")</f>
        <v/>
      </c>
      <c r="G241" s="13">
        <f>MacReports!E241</f>
        <v>0</v>
      </c>
      <c r="H241" t="e">
        <f>_xlfn.XLOOKUP(G241,Models!A:A,Models!B:B)</f>
        <v>#N/A</v>
      </c>
      <c r="I241" t="e">
        <f>_xlfn.XLOOKUP(G241,Models!A:A,Models!E:E)</f>
        <v>#N/A</v>
      </c>
      <c r="J241" t="e">
        <f>_xlfn.XLOOKUP(G241,Models!A:A,Models!D:D)</f>
        <v>#N/A</v>
      </c>
      <c r="K241">
        <f>MacReports!F241</f>
        <v>0</v>
      </c>
      <c r="L241">
        <f>MacReports!G241</f>
        <v>0</v>
      </c>
      <c r="M241" s="15" t="e" cm="1">
        <f t="array" ref="M241">--_xlfn.LET(
    _xlpm.txt, MacReports!H241,
    _xlpm.chars, MID(_xlpm.txt, _xlfn.SEQUENCE(LEN(_xlpm.txt)), 1),
    _xlfn.TEXTJOIN("", TRUE, IF(ISNUMBER(--_xlpm.chars), _xlpm.chars, ""))
)</f>
        <v>#VALUE!</v>
      </c>
      <c r="N241" s="16" t="str" cm="1">
        <f t="array" ref="N241">_xlfn.IFS(
   --MacReports!M241&lt;55,"Battery Defect",
  -- MacReports!M241&lt;=69,"Battery D",
  --MacReports!M241&lt;=80,"Battery C",
 --MacReports!M241&gt;80,""
)</f>
        <v>Battery Defect</v>
      </c>
      <c r="O241" s="16" t="str">
        <f>IF(MacReports!I241="Service","Battery Service","")</f>
        <v/>
      </c>
      <c r="P241" s="13">
        <f>MacReports!P241</f>
        <v>0</v>
      </c>
      <c r="Q241" s="13" t="str">
        <f>IF(MacReports!J241="Enabled","Apple ID Lock","")</f>
        <v/>
      </c>
      <c r="R241" s="13" t="str">
        <f>IF(MacReports!L241="y","Remote Locked","")</f>
        <v/>
      </c>
      <c r="S241" t="str">
        <f t="shared" si="9"/>
        <v>Battery Defect, 0</v>
      </c>
      <c r="T241" t="str">
        <f>_xlfn.XLOOKUP(B241,Disk_Pivot!G:G,Disk_Pivot!I:I)</f>
        <v>Yes x2</v>
      </c>
      <c r="U241" t="str">
        <f>_xlfn.XLOOKUP(B241,Disk_Pivot!G:G,Disk_Pivot!N:N)</f>
        <v>Pass, Fail</v>
      </c>
      <c r="V241" t="str">
        <f>IF(U241="Fail",MacReports!N241,"")</f>
        <v/>
      </c>
      <c r="AB241" t="str">
        <f t="shared" si="10"/>
        <v/>
      </c>
    </row>
    <row r="242" spans="1:28">
      <c r="A242" t="str">
        <f>MacReports!A242</f>
        <v/>
      </c>
      <c r="B242">
        <f>MacReports!B242</f>
        <v>0</v>
      </c>
      <c r="C242">
        <f>MacReports!C242</f>
        <v>0</v>
      </c>
      <c r="E242" t="e">
        <f>_xlfn.XLOOKUP(G242,Models!A:A,Models!F:F)</f>
        <v>#N/A</v>
      </c>
      <c r="F242" t="str">
        <f>_xlfn.XLOOKUP(B242,MacReports!B:B,MacReports!D:D,"")</f>
        <v/>
      </c>
      <c r="G242" s="13">
        <f>MacReports!E242</f>
        <v>0</v>
      </c>
      <c r="H242" t="e">
        <f>_xlfn.XLOOKUP(G242,Models!A:A,Models!B:B)</f>
        <v>#N/A</v>
      </c>
      <c r="I242" t="e">
        <f>_xlfn.XLOOKUP(G242,Models!A:A,Models!E:E)</f>
        <v>#N/A</v>
      </c>
      <c r="J242" t="e">
        <f>_xlfn.XLOOKUP(G242,Models!A:A,Models!D:D)</f>
        <v>#N/A</v>
      </c>
      <c r="K242">
        <f>MacReports!F242</f>
        <v>0</v>
      </c>
      <c r="L242">
        <f>MacReports!G242</f>
        <v>0</v>
      </c>
      <c r="M242" s="15" t="e" cm="1">
        <f t="array" ref="M242">--_xlfn.LET(
    _xlpm.txt, MacReports!H242,
    _xlpm.chars, MID(_xlpm.txt, _xlfn.SEQUENCE(LEN(_xlpm.txt)), 1),
    _xlfn.TEXTJOIN("", TRUE, IF(ISNUMBER(--_xlpm.chars), _xlpm.chars, ""))
)</f>
        <v>#VALUE!</v>
      </c>
      <c r="N242" s="16" t="str" cm="1">
        <f t="array" ref="N242">_xlfn.IFS(
   --MacReports!M242&lt;55,"Battery Defect",
  -- MacReports!M242&lt;=69,"Battery D",
  --MacReports!M242&lt;=80,"Battery C",
 --MacReports!M242&gt;80,""
)</f>
        <v>Battery Defect</v>
      </c>
      <c r="O242" s="16" t="str">
        <f>IF(MacReports!I242="Service","Battery Service","")</f>
        <v/>
      </c>
      <c r="P242" s="13">
        <f>MacReports!P242</f>
        <v>0</v>
      </c>
      <c r="Q242" s="13" t="str">
        <f>IF(MacReports!J242="Enabled","Apple ID Lock","")</f>
        <v/>
      </c>
      <c r="R242" s="13" t="str">
        <f>IF(MacReports!L242="y","Remote Locked","")</f>
        <v/>
      </c>
      <c r="S242" t="str">
        <f t="shared" si="9"/>
        <v>Battery Defect, 0</v>
      </c>
      <c r="T242" t="str">
        <f>_xlfn.XLOOKUP(B242,Disk_Pivot!G:G,Disk_Pivot!I:I)</f>
        <v>Yes x2</v>
      </c>
      <c r="U242" t="str">
        <f>_xlfn.XLOOKUP(B242,Disk_Pivot!G:G,Disk_Pivot!N:N)</f>
        <v>Pass, Fail</v>
      </c>
      <c r="V242" t="str">
        <f>IF(U242="Fail",MacReports!N242,"")</f>
        <v/>
      </c>
      <c r="AB242" t="str">
        <f t="shared" si="10"/>
        <v/>
      </c>
    </row>
    <row r="243" spans="1:28">
      <c r="A243" t="str">
        <f>MacReports!A243</f>
        <v/>
      </c>
      <c r="B243">
        <f>MacReports!B243</f>
        <v>0</v>
      </c>
      <c r="C243">
        <f>MacReports!C243</f>
        <v>0</v>
      </c>
      <c r="E243" t="e">
        <f>_xlfn.XLOOKUP(G243,Models!A:A,Models!F:F)</f>
        <v>#N/A</v>
      </c>
      <c r="F243" t="str">
        <f>_xlfn.XLOOKUP(B243,MacReports!B:B,MacReports!D:D,"")</f>
        <v/>
      </c>
      <c r="G243" s="13">
        <f>MacReports!E243</f>
        <v>0</v>
      </c>
      <c r="H243" t="e">
        <f>_xlfn.XLOOKUP(G243,Models!A:A,Models!B:B)</f>
        <v>#N/A</v>
      </c>
      <c r="I243" t="e">
        <f>_xlfn.XLOOKUP(G243,Models!A:A,Models!E:E)</f>
        <v>#N/A</v>
      </c>
      <c r="J243" t="e">
        <f>_xlfn.XLOOKUP(G243,Models!A:A,Models!D:D)</f>
        <v>#N/A</v>
      </c>
      <c r="K243">
        <f>MacReports!F243</f>
        <v>0</v>
      </c>
      <c r="L243">
        <f>MacReports!G243</f>
        <v>0</v>
      </c>
      <c r="M243" s="15" t="e" cm="1">
        <f t="array" ref="M243">--_xlfn.LET(
    _xlpm.txt, MacReports!H243,
    _xlpm.chars, MID(_xlpm.txt, _xlfn.SEQUENCE(LEN(_xlpm.txt)), 1),
    _xlfn.TEXTJOIN("", TRUE, IF(ISNUMBER(--_xlpm.chars), _xlpm.chars, ""))
)</f>
        <v>#VALUE!</v>
      </c>
      <c r="N243" s="16" t="str" cm="1">
        <f t="array" ref="N243">_xlfn.IFS(
   --MacReports!M243&lt;55,"Battery Defect",
  -- MacReports!M243&lt;=69,"Battery D",
  --MacReports!M243&lt;=80,"Battery C",
 --MacReports!M243&gt;80,""
)</f>
        <v>Battery Defect</v>
      </c>
      <c r="O243" s="16" t="str">
        <f>IF(MacReports!I243="Service","Battery Service","")</f>
        <v/>
      </c>
      <c r="P243" s="13">
        <f>MacReports!P243</f>
        <v>0</v>
      </c>
      <c r="Q243" s="13" t="str">
        <f>IF(MacReports!J243="Enabled","Apple ID Lock","")</f>
        <v/>
      </c>
      <c r="R243" s="13" t="str">
        <f>IF(MacReports!L243="y","Remote Locked","")</f>
        <v/>
      </c>
      <c r="S243" t="str">
        <f t="shared" si="9"/>
        <v>Battery Defect, 0</v>
      </c>
      <c r="T243" t="str">
        <f>_xlfn.XLOOKUP(B243,Disk_Pivot!G:G,Disk_Pivot!I:I)</f>
        <v>Yes x2</v>
      </c>
      <c r="U243" t="str">
        <f>_xlfn.XLOOKUP(B243,Disk_Pivot!G:G,Disk_Pivot!N:N)</f>
        <v>Pass, Fail</v>
      </c>
      <c r="V243" t="str">
        <f>IF(U243="Fail",MacReports!N243,"")</f>
        <v/>
      </c>
      <c r="AB243" t="str">
        <f t="shared" si="10"/>
        <v/>
      </c>
    </row>
    <row r="244" spans="1:28">
      <c r="A244">
        <f>MacReports!A244</f>
        <v>0</v>
      </c>
      <c r="B244">
        <f>MacReports!B244</f>
        <v>0</v>
      </c>
      <c r="C244">
        <f>MacReports!C244</f>
        <v>0</v>
      </c>
      <c r="E244" t="e">
        <f>_xlfn.XLOOKUP(G244,Models!A:A,Models!F:F)</f>
        <v>#N/A</v>
      </c>
      <c r="F244" t="str">
        <f>_xlfn.XLOOKUP(B244,MacReports!B:B,MacReports!D:D,"")</f>
        <v/>
      </c>
      <c r="G244" s="13">
        <f>MacReports!E244</f>
        <v>0</v>
      </c>
      <c r="H244" t="e">
        <f>_xlfn.XLOOKUP(G244,Models!A:A,Models!B:B)</f>
        <v>#N/A</v>
      </c>
      <c r="I244" t="e">
        <f>_xlfn.XLOOKUP(G244,Models!A:A,Models!E:E)</f>
        <v>#N/A</v>
      </c>
      <c r="J244" t="e">
        <f>_xlfn.XLOOKUP(G244,Models!A:A,Models!D:D)</f>
        <v>#N/A</v>
      </c>
      <c r="K244">
        <f>MacReports!F244</f>
        <v>0</v>
      </c>
      <c r="L244">
        <f>MacReports!G244</f>
        <v>0</v>
      </c>
      <c r="M244" s="15" t="e" cm="1">
        <f t="array" ref="M244">--_xlfn.LET(
    _xlpm.txt, MacReports!H244,
    _xlpm.chars, MID(_xlpm.txt, _xlfn.SEQUENCE(LEN(_xlpm.txt)), 1),
    _xlfn.TEXTJOIN("", TRUE, IF(ISNUMBER(--_xlpm.chars), _xlpm.chars, ""))
)</f>
        <v>#VALUE!</v>
      </c>
      <c r="N244" s="16" t="str" cm="1">
        <f t="array" ref="N244">_xlfn.IFS(
   --MacReports!M244&lt;55,"Battery Defect",
  -- MacReports!M244&lt;=69,"Battery D",
  --MacReports!M244&lt;=80,"Battery C",
 --MacReports!M244&gt;80,""
)</f>
        <v>Battery Defect</v>
      </c>
      <c r="O244" s="16" t="str">
        <f>IF(MacReports!I244="Service","Battery Service","")</f>
        <v/>
      </c>
      <c r="P244" s="13">
        <f>MacReports!P244</f>
        <v>0</v>
      </c>
      <c r="Q244" s="13" t="str">
        <f>IF(MacReports!J244="Enabled","Apple ID Lock","")</f>
        <v/>
      </c>
      <c r="R244" s="13" t="str">
        <f>IF(MacReports!L244="y","Remote Locked","")</f>
        <v/>
      </c>
      <c r="S244" t="str">
        <f t="shared" si="9"/>
        <v>Battery Defect, 0</v>
      </c>
      <c r="T244" t="str">
        <f>_xlfn.XLOOKUP(B244,Disk_Pivot!G:G,Disk_Pivot!I:I)</f>
        <v>Yes x2</v>
      </c>
      <c r="U244" t="str">
        <f>_xlfn.XLOOKUP(B244,Disk_Pivot!G:G,Disk_Pivot!N:N)</f>
        <v>Pass, Fail</v>
      </c>
      <c r="V244" t="str">
        <f>IF(U244="Fail",MacReports!N244,"")</f>
        <v/>
      </c>
      <c r="AB244" t="str">
        <f t="shared" si="10"/>
        <v/>
      </c>
    </row>
    <row r="245" spans="1:28">
      <c r="A245">
        <f>MacReports!A245</f>
        <v>0</v>
      </c>
      <c r="B245">
        <f>MacReports!B245</f>
        <v>0</v>
      </c>
      <c r="C245">
        <f>MacReports!C245</f>
        <v>0</v>
      </c>
      <c r="E245" t="e">
        <f>_xlfn.XLOOKUP(G245,Models!A:A,Models!F:F)</f>
        <v>#N/A</v>
      </c>
      <c r="F245" t="str">
        <f>_xlfn.XLOOKUP(B245,MacReports!B:B,MacReports!D:D,"")</f>
        <v/>
      </c>
      <c r="G245" s="13">
        <f>MacReports!E245</f>
        <v>0</v>
      </c>
      <c r="H245" t="e">
        <f>_xlfn.XLOOKUP(G245,Models!A:A,Models!B:B)</f>
        <v>#N/A</v>
      </c>
      <c r="I245" t="e">
        <f>_xlfn.XLOOKUP(G245,Models!A:A,Models!E:E)</f>
        <v>#N/A</v>
      </c>
      <c r="J245" t="e">
        <f>_xlfn.XLOOKUP(G245,Models!A:A,Models!D:D)</f>
        <v>#N/A</v>
      </c>
      <c r="K245">
        <f>MacReports!F245</f>
        <v>0</v>
      </c>
      <c r="L245">
        <f>MacReports!G245</f>
        <v>0</v>
      </c>
      <c r="M245" s="15" t="e" cm="1">
        <f t="array" ref="M245">--_xlfn.LET(
    _xlpm.txt, MacReports!H245,
    _xlpm.chars, MID(_xlpm.txt, _xlfn.SEQUENCE(LEN(_xlpm.txt)), 1),
    _xlfn.TEXTJOIN("", TRUE, IF(ISNUMBER(--_xlpm.chars), _xlpm.chars, ""))
)</f>
        <v>#VALUE!</v>
      </c>
      <c r="N245" s="16" t="str" cm="1">
        <f t="array" ref="N245">_xlfn.IFS(
   --MacReports!M245&lt;55,"Battery Defect",
  -- MacReports!M245&lt;=69,"Battery D",
  --MacReports!M245&lt;=80,"Battery C",
 --MacReports!M245&gt;80,""
)</f>
        <v>Battery Defect</v>
      </c>
      <c r="O245" s="16" t="str">
        <f>IF(MacReports!I245="Service","Battery Service","")</f>
        <v/>
      </c>
      <c r="P245" s="13">
        <f>MacReports!P245</f>
        <v>0</v>
      </c>
      <c r="Q245" s="13" t="str">
        <f>IF(MacReports!J245="Enabled","Apple ID Lock","")</f>
        <v/>
      </c>
      <c r="R245" s="13" t="str">
        <f>IF(MacReports!L245="y","Remote Locked","")</f>
        <v/>
      </c>
      <c r="S245" t="str">
        <f t="shared" si="9"/>
        <v>Battery Defect, 0</v>
      </c>
      <c r="T245" t="str">
        <f>_xlfn.XLOOKUP(B245,Disk_Pivot!G:G,Disk_Pivot!I:I)</f>
        <v>Yes x2</v>
      </c>
      <c r="U245" t="str">
        <f>_xlfn.XLOOKUP(B245,Disk_Pivot!G:G,Disk_Pivot!N:N)</f>
        <v>Pass, Fail</v>
      </c>
      <c r="V245" t="str">
        <f>IF(U245="Fail",MacReports!N245,"")</f>
        <v/>
      </c>
      <c r="AB245" t="str">
        <f t="shared" si="10"/>
        <v/>
      </c>
    </row>
    <row r="246" spans="1:28">
      <c r="A246">
        <f>MacReports!A246</f>
        <v>0</v>
      </c>
      <c r="B246">
        <f>MacReports!B246</f>
        <v>0</v>
      </c>
      <c r="C246">
        <f>MacReports!C246</f>
        <v>0</v>
      </c>
      <c r="E246" t="e">
        <f>_xlfn.XLOOKUP(G246,Models!A:A,Models!F:F)</f>
        <v>#N/A</v>
      </c>
      <c r="F246" t="str">
        <f>_xlfn.XLOOKUP(B246,MacReports!B:B,MacReports!D:D,"")</f>
        <v/>
      </c>
      <c r="G246" s="13">
        <f>MacReports!E246</f>
        <v>0</v>
      </c>
      <c r="H246" t="e">
        <f>_xlfn.XLOOKUP(G246,Models!A:A,Models!B:B)</f>
        <v>#N/A</v>
      </c>
      <c r="I246" t="e">
        <f>_xlfn.XLOOKUP(G246,Models!A:A,Models!E:E)</f>
        <v>#N/A</v>
      </c>
      <c r="J246" t="e">
        <f>_xlfn.XLOOKUP(G246,Models!A:A,Models!D:D)</f>
        <v>#N/A</v>
      </c>
      <c r="K246">
        <f>MacReports!F246</f>
        <v>0</v>
      </c>
      <c r="L246">
        <f>MacReports!G246</f>
        <v>0</v>
      </c>
      <c r="M246" s="15" t="e" cm="1">
        <f t="array" ref="M246">--_xlfn.LET(
    _xlpm.txt, MacReports!H246,
    _xlpm.chars, MID(_xlpm.txt, _xlfn.SEQUENCE(LEN(_xlpm.txt)), 1),
    _xlfn.TEXTJOIN("", TRUE, IF(ISNUMBER(--_xlpm.chars), _xlpm.chars, ""))
)</f>
        <v>#VALUE!</v>
      </c>
      <c r="N246" s="16" t="str" cm="1">
        <f t="array" ref="N246">_xlfn.IFS(
   --MacReports!M246&lt;55,"Battery Defect",
  -- MacReports!M246&lt;=69,"Battery D",
  --MacReports!M246&lt;=80,"Battery C",
 --MacReports!M246&gt;80,""
)</f>
        <v>Battery Defect</v>
      </c>
      <c r="O246" s="16" t="str">
        <f>IF(MacReports!I246="Service","Battery Service","")</f>
        <v/>
      </c>
      <c r="P246" s="13">
        <f>MacReports!P246</f>
        <v>0</v>
      </c>
      <c r="Q246" s="13" t="str">
        <f>IF(MacReports!J246="Enabled","Apple ID Lock","")</f>
        <v/>
      </c>
      <c r="R246" s="13" t="str">
        <f>IF(MacReports!L246="y","Remote Locked","")</f>
        <v/>
      </c>
      <c r="S246" t="str">
        <f t="shared" si="9"/>
        <v>Battery Defect, 0</v>
      </c>
      <c r="T246" t="str">
        <f>_xlfn.XLOOKUP(B246,Disk_Pivot!G:G,Disk_Pivot!I:I)</f>
        <v>Yes x2</v>
      </c>
      <c r="U246" t="str">
        <f>_xlfn.XLOOKUP(B246,Disk_Pivot!G:G,Disk_Pivot!N:N)</f>
        <v>Pass, Fail</v>
      </c>
      <c r="V246" t="str">
        <f>IF(U246="Fail",MacReports!N246,"")</f>
        <v/>
      </c>
      <c r="AB246" t="str">
        <f t="shared" si="10"/>
        <v/>
      </c>
    </row>
    <row r="247" spans="1:28">
      <c r="A247">
        <f>MacReports!A247</f>
        <v>0</v>
      </c>
      <c r="B247">
        <f>MacReports!B247</f>
        <v>0</v>
      </c>
      <c r="C247">
        <f>MacReports!C247</f>
        <v>0</v>
      </c>
      <c r="E247" t="e">
        <f>_xlfn.XLOOKUP(G247,Models!A:A,Models!F:F)</f>
        <v>#N/A</v>
      </c>
      <c r="F247" t="str">
        <f>_xlfn.XLOOKUP(B247,MacReports!B:B,MacReports!D:D,"")</f>
        <v/>
      </c>
      <c r="G247" s="13">
        <f>MacReports!E247</f>
        <v>0</v>
      </c>
      <c r="H247" t="e">
        <f>_xlfn.XLOOKUP(G247,Models!A:A,Models!B:B)</f>
        <v>#N/A</v>
      </c>
      <c r="I247" t="e">
        <f>_xlfn.XLOOKUP(G247,Models!A:A,Models!E:E)</f>
        <v>#N/A</v>
      </c>
      <c r="J247" t="e">
        <f>_xlfn.XLOOKUP(G247,Models!A:A,Models!D:D)</f>
        <v>#N/A</v>
      </c>
      <c r="K247">
        <f>MacReports!F247</f>
        <v>0</v>
      </c>
      <c r="L247">
        <f>MacReports!G247</f>
        <v>0</v>
      </c>
      <c r="M247" s="15" t="e" cm="1">
        <f t="array" ref="M247">--_xlfn.LET(
    _xlpm.txt, MacReports!H247,
    _xlpm.chars, MID(_xlpm.txt, _xlfn.SEQUENCE(LEN(_xlpm.txt)), 1),
    _xlfn.TEXTJOIN("", TRUE, IF(ISNUMBER(--_xlpm.chars), _xlpm.chars, ""))
)</f>
        <v>#VALUE!</v>
      </c>
      <c r="N247" s="16" t="str" cm="1">
        <f t="array" ref="N247">_xlfn.IFS(
   --MacReports!M247&lt;55,"Battery Defect",
  -- MacReports!M247&lt;=69,"Battery D",
  --MacReports!M247&lt;=80,"Battery C",
 --MacReports!M247&gt;80,""
)</f>
        <v>Battery Defect</v>
      </c>
      <c r="O247" s="16" t="str">
        <f>IF(MacReports!I247="Service","Battery Service","")</f>
        <v/>
      </c>
      <c r="P247" s="13">
        <f>MacReports!P247</f>
        <v>0</v>
      </c>
      <c r="Q247" s="13" t="str">
        <f>IF(MacReports!J247="Enabled","Apple ID Lock","")</f>
        <v/>
      </c>
      <c r="R247" s="13" t="str">
        <f>IF(MacReports!L247="y","Remote Locked","")</f>
        <v/>
      </c>
      <c r="S247" t="str">
        <f t="shared" si="9"/>
        <v>Battery Defect, 0</v>
      </c>
      <c r="T247" t="str">
        <f>_xlfn.XLOOKUP(B247,Disk_Pivot!G:G,Disk_Pivot!I:I)</f>
        <v>Yes x2</v>
      </c>
      <c r="U247" t="str">
        <f>_xlfn.XLOOKUP(B247,Disk_Pivot!G:G,Disk_Pivot!N:N)</f>
        <v>Pass, Fail</v>
      </c>
      <c r="V247" t="str">
        <f>IF(U247="Fail",MacReports!N247,"")</f>
        <v/>
      </c>
      <c r="AB247" t="str">
        <f t="shared" si="10"/>
        <v/>
      </c>
    </row>
    <row r="248" spans="1:28">
      <c r="A248">
        <f>MacReports!A248</f>
        <v>0</v>
      </c>
      <c r="B248">
        <f>MacReports!B248</f>
        <v>0</v>
      </c>
      <c r="C248">
        <f>MacReports!C248</f>
        <v>0</v>
      </c>
      <c r="E248" t="e">
        <f>_xlfn.XLOOKUP(G248,Models!A:A,Models!F:F)</f>
        <v>#N/A</v>
      </c>
      <c r="F248" t="str">
        <f>_xlfn.XLOOKUP(B248,MacReports!B:B,MacReports!D:D,"")</f>
        <v/>
      </c>
      <c r="G248" s="13">
        <f>MacReports!E248</f>
        <v>0</v>
      </c>
      <c r="H248" t="e">
        <f>_xlfn.XLOOKUP(G248,Models!A:A,Models!B:B)</f>
        <v>#N/A</v>
      </c>
      <c r="I248" t="e">
        <f>_xlfn.XLOOKUP(G248,Models!A:A,Models!E:E)</f>
        <v>#N/A</v>
      </c>
      <c r="J248" t="e">
        <f>_xlfn.XLOOKUP(G248,Models!A:A,Models!D:D)</f>
        <v>#N/A</v>
      </c>
      <c r="K248">
        <f>MacReports!F248</f>
        <v>0</v>
      </c>
      <c r="L248">
        <f>MacReports!G248</f>
        <v>0</v>
      </c>
      <c r="M248" s="15" t="e" cm="1">
        <f t="array" ref="M248">--_xlfn.LET(
    _xlpm.txt, MacReports!H248,
    _xlpm.chars, MID(_xlpm.txt, _xlfn.SEQUENCE(LEN(_xlpm.txt)), 1),
    _xlfn.TEXTJOIN("", TRUE, IF(ISNUMBER(--_xlpm.chars), _xlpm.chars, ""))
)</f>
        <v>#VALUE!</v>
      </c>
      <c r="N248" s="16" t="str" cm="1">
        <f t="array" ref="N248">_xlfn.IFS(
   --MacReports!M248&lt;55,"Battery Defect",
  -- MacReports!M248&lt;=69,"Battery D",
  --MacReports!M248&lt;=80,"Battery C",
 --MacReports!M248&gt;80,""
)</f>
        <v>Battery Defect</v>
      </c>
      <c r="O248" s="16" t="str">
        <f>IF(MacReports!I248="Service","Battery Service","")</f>
        <v/>
      </c>
      <c r="P248" s="13">
        <f>MacReports!P248</f>
        <v>0</v>
      </c>
      <c r="Q248" s="13" t="str">
        <f>IF(MacReports!J248="Enabled","Apple ID Lock","")</f>
        <v/>
      </c>
      <c r="R248" s="13" t="str">
        <f>IF(MacReports!L248="y","Remote Locked","")</f>
        <v/>
      </c>
      <c r="S248" t="str">
        <f t="shared" si="9"/>
        <v>Battery Defect, 0</v>
      </c>
      <c r="T248" t="str">
        <f>_xlfn.XLOOKUP(B248,Disk_Pivot!G:G,Disk_Pivot!I:I)</f>
        <v>Yes x2</v>
      </c>
      <c r="U248" t="str">
        <f>_xlfn.XLOOKUP(B248,Disk_Pivot!G:G,Disk_Pivot!N:N)</f>
        <v>Pass, Fail</v>
      </c>
      <c r="V248" t="str">
        <f>IF(U248="Fail",MacReports!N248,"")</f>
        <v/>
      </c>
      <c r="AB248" t="str">
        <f t="shared" si="10"/>
        <v/>
      </c>
    </row>
    <row r="249" spans="1:28">
      <c r="A249">
        <f>MacReports!A249</f>
        <v>0</v>
      </c>
      <c r="B249">
        <f>MacReports!B249</f>
        <v>0</v>
      </c>
      <c r="C249">
        <f>MacReports!C249</f>
        <v>0</v>
      </c>
      <c r="E249" t="e">
        <f>_xlfn.XLOOKUP(G249,Models!A:A,Models!F:F)</f>
        <v>#N/A</v>
      </c>
      <c r="F249" t="str">
        <f>_xlfn.XLOOKUP(B249,MacReports!B:B,MacReports!D:D,"")</f>
        <v/>
      </c>
      <c r="G249" s="13">
        <f>MacReports!E249</f>
        <v>0</v>
      </c>
      <c r="H249" t="e">
        <f>_xlfn.XLOOKUP(G249,Models!A:A,Models!B:B)</f>
        <v>#N/A</v>
      </c>
      <c r="I249" t="e">
        <f>_xlfn.XLOOKUP(G249,Models!A:A,Models!E:E)</f>
        <v>#N/A</v>
      </c>
      <c r="J249" t="e">
        <f>_xlfn.XLOOKUP(G249,Models!A:A,Models!D:D)</f>
        <v>#N/A</v>
      </c>
      <c r="K249">
        <f>MacReports!F249</f>
        <v>0</v>
      </c>
      <c r="L249">
        <f>MacReports!G249</f>
        <v>0</v>
      </c>
      <c r="M249" s="15" t="e" cm="1">
        <f t="array" ref="M249">--_xlfn.LET(
    _xlpm.txt, MacReports!H249,
    _xlpm.chars, MID(_xlpm.txt, _xlfn.SEQUENCE(LEN(_xlpm.txt)), 1),
    _xlfn.TEXTJOIN("", TRUE, IF(ISNUMBER(--_xlpm.chars), _xlpm.chars, ""))
)</f>
        <v>#VALUE!</v>
      </c>
      <c r="N249" s="16" t="str" cm="1">
        <f t="array" ref="N249">_xlfn.IFS(
   --MacReports!M249&lt;55,"Battery Defect",
  -- MacReports!M249&lt;=69,"Battery D",
  --MacReports!M249&lt;=80,"Battery C",
 --MacReports!M249&gt;80,""
)</f>
        <v>Battery Defect</v>
      </c>
      <c r="O249" s="16" t="str">
        <f>IF(MacReports!I249="Service","Battery Service","")</f>
        <v/>
      </c>
      <c r="P249" s="13">
        <f>MacReports!P249</f>
        <v>0</v>
      </c>
      <c r="Q249" s="13" t="str">
        <f>IF(MacReports!J249="Enabled","Apple ID Lock","")</f>
        <v/>
      </c>
      <c r="R249" s="13" t="str">
        <f>IF(MacReports!L249="y","Remote Locked","")</f>
        <v/>
      </c>
      <c r="S249" t="str">
        <f t="shared" si="9"/>
        <v>Battery Defect, 0</v>
      </c>
      <c r="T249" t="str">
        <f>_xlfn.XLOOKUP(B249,Disk_Pivot!G:G,Disk_Pivot!I:I)</f>
        <v>Yes x2</v>
      </c>
      <c r="U249" t="str">
        <f>_xlfn.XLOOKUP(B249,Disk_Pivot!G:G,Disk_Pivot!N:N)</f>
        <v>Pass, Fail</v>
      </c>
      <c r="V249" t="str">
        <f>IF(U249="Fail",MacReports!N249,"")</f>
        <v/>
      </c>
      <c r="AB249" t="str">
        <f t="shared" si="10"/>
        <v/>
      </c>
    </row>
    <row r="250" spans="1:28">
      <c r="A250">
        <f>MacReports!A250</f>
        <v>0</v>
      </c>
      <c r="B250">
        <f>MacReports!B250</f>
        <v>0</v>
      </c>
      <c r="C250">
        <f>MacReports!C250</f>
        <v>0</v>
      </c>
      <c r="E250" t="e">
        <f>_xlfn.XLOOKUP(G250,Models!A:A,Models!F:F)</f>
        <v>#N/A</v>
      </c>
      <c r="F250" t="str">
        <f>_xlfn.XLOOKUP(B250,MacReports!B:B,MacReports!D:D,"")</f>
        <v/>
      </c>
      <c r="G250" s="13">
        <f>MacReports!E250</f>
        <v>0</v>
      </c>
      <c r="H250" t="e">
        <f>_xlfn.XLOOKUP(G250,Models!A:A,Models!B:B)</f>
        <v>#N/A</v>
      </c>
      <c r="I250" t="e">
        <f>_xlfn.XLOOKUP(G250,Models!A:A,Models!E:E)</f>
        <v>#N/A</v>
      </c>
      <c r="J250" t="e">
        <f>_xlfn.XLOOKUP(G250,Models!A:A,Models!D:D)</f>
        <v>#N/A</v>
      </c>
      <c r="K250">
        <f>MacReports!F250</f>
        <v>0</v>
      </c>
      <c r="L250">
        <f>MacReports!G250</f>
        <v>0</v>
      </c>
      <c r="M250" s="15" t="e" cm="1">
        <f t="array" ref="M250">--_xlfn.LET(
    _xlpm.txt, MacReports!H250,
    _xlpm.chars, MID(_xlpm.txt, _xlfn.SEQUENCE(LEN(_xlpm.txt)), 1),
    _xlfn.TEXTJOIN("", TRUE, IF(ISNUMBER(--_xlpm.chars), _xlpm.chars, ""))
)</f>
        <v>#VALUE!</v>
      </c>
      <c r="N250" s="16" t="str" cm="1">
        <f t="array" ref="N250">_xlfn.IFS(
   --MacReports!M250&lt;55,"Battery Defect",
  -- MacReports!M250&lt;=69,"Battery D",
  --MacReports!M250&lt;=80,"Battery C",
 --MacReports!M250&gt;80,""
)</f>
        <v>Battery Defect</v>
      </c>
      <c r="O250" s="16" t="str">
        <f>IF(MacReports!I250="Service","Battery Service","")</f>
        <v/>
      </c>
      <c r="P250" s="13">
        <f>MacReports!P250</f>
        <v>0</v>
      </c>
      <c r="Q250" s="13" t="str">
        <f>IF(MacReports!J250="Enabled","Apple ID Lock","")</f>
        <v/>
      </c>
      <c r="R250" s="13" t="str">
        <f>IF(MacReports!L250="y","Remote Locked","")</f>
        <v/>
      </c>
      <c r="S250" t="str">
        <f t="shared" si="9"/>
        <v>Battery Defect, 0</v>
      </c>
      <c r="T250" t="str">
        <f>_xlfn.XLOOKUP(B250,Disk_Pivot!G:G,Disk_Pivot!I:I)</f>
        <v>Yes x2</v>
      </c>
      <c r="U250" t="str">
        <f>_xlfn.XLOOKUP(B250,Disk_Pivot!G:G,Disk_Pivot!N:N)</f>
        <v>Pass, Fail</v>
      </c>
      <c r="V250" t="str">
        <f>IF(U250="Fail",MacReports!N250,"")</f>
        <v/>
      </c>
      <c r="AB250" t="str">
        <f t="shared" si="10"/>
        <v/>
      </c>
    </row>
    <row r="251" spans="1:28">
      <c r="A251">
        <f>MacReports!A251</f>
        <v>0</v>
      </c>
      <c r="B251">
        <f>MacReports!B251</f>
        <v>0</v>
      </c>
      <c r="C251">
        <f>MacReports!C251</f>
        <v>0</v>
      </c>
      <c r="E251" t="e">
        <f>_xlfn.XLOOKUP(G251,Models!A:A,Models!F:F)</f>
        <v>#N/A</v>
      </c>
      <c r="F251" t="str">
        <f>_xlfn.XLOOKUP(B251,MacReports!B:B,MacReports!D:D,"")</f>
        <v/>
      </c>
      <c r="G251" s="13">
        <f>MacReports!E251</f>
        <v>0</v>
      </c>
      <c r="H251" t="e">
        <f>_xlfn.XLOOKUP(G251,Models!A:A,Models!B:B)</f>
        <v>#N/A</v>
      </c>
      <c r="I251" t="e">
        <f>_xlfn.XLOOKUP(G251,Models!A:A,Models!E:E)</f>
        <v>#N/A</v>
      </c>
      <c r="J251" t="e">
        <f>_xlfn.XLOOKUP(G251,Models!A:A,Models!D:D)</f>
        <v>#N/A</v>
      </c>
      <c r="K251">
        <f>MacReports!F251</f>
        <v>0</v>
      </c>
      <c r="L251">
        <f>MacReports!G251</f>
        <v>0</v>
      </c>
      <c r="M251" s="15" t="e" cm="1">
        <f t="array" ref="M251">--_xlfn.LET(
    _xlpm.txt, MacReports!H251,
    _xlpm.chars, MID(_xlpm.txt, _xlfn.SEQUENCE(LEN(_xlpm.txt)), 1),
    _xlfn.TEXTJOIN("", TRUE, IF(ISNUMBER(--_xlpm.chars), _xlpm.chars, ""))
)</f>
        <v>#VALUE!</v>
      </c>
      <c r="N251" s="16" t="str" cm="1">
        <f t="array" ref="N251">_xlfn.IFS(
   --MacReports!M251&lt;55,"Battery Defect",
  -- MacReports!M251&lt;=69,"Battery D",
  --MacReports!M251&lt;=80,"Battery C",
 --MacReports!M251&gt;80,""
)</f>
        <v>Battery Defect</v>
      </c>
      <c r="O251" s="16" t="str">
        <f>IF(MacReports!I251="Service","Battery Service","")</f>
        <v/>
      </c>
      <c r="P251" s="13">
        <f>MacReports!P251</f>
        <v>0</v>
      </c>
      <c r="Q251" s="13" t="str">
        <f>IF(MacReports!J251="Enabled","Apple ID Lock","")</f>
        <v/>
      </c>
      <c r="R251" s="13" t="str">
        <f>IF(MacReports!L251="y","Remote Locked","")</f>
        <v/>
      </c>
      <c r="S251" t="str">
        <f t="shared" si="9"/>
        <v>Battery Defect, 0</v>
      </c>
      <c r="T251" t="str">
        <f>_xlfn.XLOOKUP(B251,Disk_Pivot!G:G,Disk_Pivot!I:I)</f>
        <v>Yes x2</v>
      </c>
      <c r="U251" t="str">
        <f>_xlfn.XLOOKUP(B251,Disk_Pivot!G:G,Disk_Pivot!N:N)</f>
        <v>Pass, Fail</v>
      </c>
      <c r="V251" t="str">
        <f>IF(U251="Fail",MacReports!N251,"")</f>
        <v/>
      </c>
      <c r="AB251" t="str">
        <f t="shared" si="10"/>
        <v/>
      </c>
    </row>
    <row r="252" spans="1:28">
      <c r="A252">
        <f>MacReports!A252</f>
        <v>0</v>
      </c>
      <c r="B252">
        <f>MacReports!B252</f>
        <v>0</v>
      </c>
      <c r="C252">
        <f>MacReports!C252</f>
        <v>0</v>
      </c>
      <c r="E252" t="e">
        <f>_xlfn.XLOOKUP(G252,Models!A:A,Models!F:F)</f>
        <v>#N/A</v>
      </c>
      <c r="F252" t="str">
        <f>_xlfn.XLOOKUP(B252,MacReports!B:B,MacReports!D:D,"")</f>
        <v/>
      </c>
      <c r="G252" s="13">
        <f>MacReports!E252</f>
        <v>0</v>
      </c>
      <c r="H252" t="e">
        <f>_xlfn.XLOOKUP(G252,Models!A:A,Models!B:B)</f>
        <v>#N/A</v>
      </c>
      <c r="I252" t="e">
        <f>_xlfn.XLOOKUP(G252,Models!A:A,Models!E:E)</f>
        <v>#N/A</v>
      </c>
      <c r="J252" t="e">
        <f>_xlfn.XLOOKUP(G252,Models!A:A,Models!D:D)</f>
        <v>#N/A</v>
      </c>
      <c r="K252">
        <f>MacReports!F252</f>
        <v>0</v>
      </c>
      <c r="L252">
        <f>MacReports!G252</f>
        <v>0</v>
      </c>
      <c r="M252" s="15" t="e" cm="1">
        <f t="array" ref="M252">--_xlfn.LET(
    _xlpm.txt, MacReports!H252,
    _xlpm.chars, MID(_xlpm.txt, _xlfn.SEQUENCE(LEN(_xlpm.txt)), 1),
    _xlfn.TEXTJOIN("", TRUE, IF(ISNUMBER(--_xlpm.chars), _xlpm.chars, ""))
)</f>
        <v>#VALUE!</v>
      </c>
      <c r="N252" s="16" t="str" cm="1">
        <f t="array" ref="N252">_xlfn.IFS(
   --MacReports!M252&lt;55,"Battery Defect",
  -- MacReports!M252&lt;=69,"Battery D",
  --MacReports!M252&lt;=80,"Battery C",
 --MacReports!M252&gt;80,""
)</f>
        <v>Battery Defect</v>
      </c>
      <c r="O252" s="16" t="str">
        <f>IF(MacReports!I252="Service","Battery Service","")</f>
        <v/>
      </c>
      <c r="P252" s="13">
        <f>MacReports!P252</f>
        <v>0</v>
      </c>
      <c r="Q252" s="13" t="str">
        <f>IF(MacReports!J252="Enabled","Apple ID Lock","")</f>
        <v/>
      </c>
      <c r="R252" s="13" t="str">
        <f>IF(MacReports!L252="y","Remote Locked","")</f>
        <v/>
      </c>
      <c r="S252" t="str">
        <f t="shared" si="9"/>
        <v>Battery Defect, 0</v>
      </c>
      <c r="T252" t="str">
        <f>_xlfn.XLOOKUP(B252,Disk_Pivot!G:G,Disk_Pivot!I:I)</f>
        <v>Yes x2</v>
      </c>
      <c r="U252" t="str">
        <f>_xlfn.XLOOKUP(B252,Disk_Pivot!G:G,Disk_Pivot!N:N)</f>
        <v>Pass, Fail</v>
      </c>
      <c r="V252" t="str">
        <f>IF(U252="Fail",MacReports!N252,"")</f>
        <v/>
      </c>
      <c r="AB252" t="str">
        <f t="shared" si="10"/>
        <v/>
      </c>
    </row>
    <row r="253" spans="1:28">
      <c r="A253">
        <f>MacReports!A253</f>
        <v>0</v>
      </c>
      <c r="B253">
        <f>MacReports!B253</f>
        <v>0</v>
      </c>
      <c r="C253">
        <f>MacReports!C253</f>
        <v>0</v>
      </c>
      <c r="E253" t="e">
        <f>_xlfn.XLOOKUP(G253,Models!A:A,Models!F:F)</f>
        <v>#N/A</v>
      </c>
      <c r="F253" t="str">
        <f>_xlfn.XLOOKUP(B253,MacReports!B:B,MacReports!D:D,"")</f>
        <v/>
      </c>
      <c r="G253" s="13">
        <f>MacReports!E253</f>
        <v>0</v>
      </c>
      <c r="H253" t="e">
        <f>_xlfn.XLOOKUP(G253,Models!A:A,Models!B:B)</f>
        <v>#N/A</v>
      </c>
      <c r="I253" t="e">
        <f>_xlfn.XLOOKUP(G253,Models!A:A,Models!E:E)</f>
        <v>#N/A</v>
      </c>
      <c r="J253" t="e">
        <f>_xlfn.XLOOKUP(G253,Models!A:A,Models!D:D)</f>
        <v>#N/A</v>
      </c>
      <c r="K253">
        <f>MacReports!F253</f>
        <v>0</v>
      </c>
      <c r="L253">
        <f>MacReports!G253</f>
        <v>0</v>
      </c>
      <c r="M253" s="15" t="e" cm="1">
        <f t="array" ref="M253">--_xlfn.LET(
    _xlpm.txt, MacReports!H253,
    _xlpm.chars, MID(_xlpm.txt, _xlfn.SEQUENCE(LEN(_xlpm.txt)), 1),
    _xlfn.TEXTJOIN("", TRUE, IF(ISNUMBER(--_xlpm.chars), _xlpm.chars, ""))
)</f>
        <v>#VALUE!</v>
      </c>
      <c r="N253" s="16" t="str" cm="1">
        <f t="array" ref="N253">_xlfn.IFS(
   --MacReports!M253&lt;55,"Battery Defect",
  -- MacReports!M253&lt;=69,"Battery D",
  --MacReports!M253&lt;=80,"Battery C",
 --MacReports!M253&gt;80,""
)</f>
        <v>Battery Defect</v>
      </c>
      <c r="O253" s="16" t="str">
        <f>IF(MacReports!I253="Service","Battery Service","")</f>
        <v/>
      </c>
      <c r="P253" s="13">
        <f>MacReports!P253</f>
        <v>0</v>
      </c>
      <c r="Q253" s="13" t="str">
        <f>IF(MacReports!J253="Enabled","Apple ID Lock","")</f>
        <v/>
      </c>
      <c r="R253" s="13" t="str">
        <f>IF(MacReports!L253="y","Remote Locked","")</f>
        <v/>
      </c>
      <c r="S253" t="str">
        <f t="shared" si="9"/>
        <v>Battery Defect, 0</v>
      </c>
      <c r="T253" t="str">
        <f>_xlfn.XLOOKUP(B253,Disk_Pivot!G:G,Disk_Pivot!I:I)</f>
        <v>Yes x2</v>
      </c>
      <c r="U253" t="str">
        <f>_xlfn.XLOOKUP(B253,Disk_Pivot!G:G,Disk_Pivot!N:N)</f>
        <v>Pass, Fail</v>
      </c>
      <c r="V253" t="str">
        <f>IF(U253="Fail",MacReports!N253,"")</f>
        <v/>
      </c>
      <c r="AB253" t="str">
        <f t="shared" si="10"/>
        <v/>
      </c>
    </row>
    <row r="254" spans="1:28">
      <c r="A254">
        <f>MacReports!A254</f>
        <v>0</v>
      </c>
      <c r="B254">
        <f>MacReports!B254</f>
        <v>0</v>
      </c>
      <c r="C254">
        <f>MacReports!C254</f>
        <v>0</v>
      </c>
      <c r="E254" t="e">
        <f>_xlfn.XLOOKUP(G254,Models!A:A,Models!F:F)</f>
        <v>#N/A</v>
      </c>
      <c r="F254" t="str">
        <f>_xlfn.XLOOKUP(B254,MacReports!B:B,MacReports!D:D,"")</f>
        <v/>
      </c>
      <c r="G254" s="13">
        <f>MacReports!E254</f>
        <v>0</v>
      </c>
      <c r="H254" t="e">
        <f>_xlfn.XLOOKUP(G254,Models!A:A,Models!B:B)</f>
        <v>#N/A</v>
      </c>
      <c r="I254" t="e">
        <f>_xlfn.XLOOKUP(G254,Models!A:A,Models!E:E)</f>
        <v>#N/A</v>
      </c>
      <c r="J254" t="e">
        <f>_xlfn.XLOOKUP(G254,Models!A:A,Models!D:D)</f>
        <v>#N/A</v>
      </c>
      <c r="K254">
        <f>MacReports!F254</f>
        <v>0</v>
      </c>
      <c r="L254">
        <f>MacReports!G254</f>
        <v>0</v>
      </c>
      <c r="M254" s="15" t="e" cm="1">
        <f t="array" ref="M254">--_xlfn.LET(
    _xlpm.txt, MacReports!H254,
    _xlpm.chars, MID(_xlpm.txt, _xlfn.SEQUENCE(LEN(_xlpm.txt)), 1),
    _xlfn.TEXTJOIN("", TRUE, IF(ISNUMBER(--_xlpm.chars), _xlpm.chars, ""))
)</f>
        <v>#VALUE!</v>
      </c>
      <c r="N254" s="16" t="str" cm="1">
        <f t="array" ref="N254">_xlfn.IFS(
   --MacReports!M254&lt;55,"Battery Defect",
  -- MacReports!M254&lt;=69,"Battery D",
  --MacReports!M254&lt;=80,"Battery C",
 --MacReports!M254&gt;80,""
)</f>
        <v>Battery Defect</v>
      </c>
      <c r="O254" s="16" t="str">
        <f>IF(MacReports!I254="Service","Battery Service","")</f>
        <v/>
      </c>
      <c r="P254" s="13">
        <f>MacReports!P254</f>
        <v>0</v>
      </c>
      <c r="Q254" s="13" t="str">
        <f>IF(MacReports!J254="Enabled","Apple ID Lock","")</f>
        <v/>
      </c>
      <c r="R254" s="13" t="str">
        <f>IF(MacReports!L254="y","Remote Locked","")</f>
        <v/>
      </c>
      <c r="S254" t="str">
        <f t="shared" si="9"/>
        <v>Battery Defect, 0</v>
      </c>
      <c r="T254" t="str">
        <f>_xlfn.XLOOKUP(B254,Disk_Pivot!G:G,Disk_Pivot!I:I)</f>
        <v>Yes x2</v>
      </c>
      <c r="U254" t="str">
        <f>_xlfn.XLOOKUP(B254,Disk_Pivot!G:G,Disk_Pivot!N:N)</f>
        <v>Pass, Fail</v>
      </c>
      <c r="V254" t="str">
        <f>IF(U254="Fail",MacReports!N254,"")</f>
        <v/>
      </c>
      <c r="AB254" t="str">
        <f t="shared" si="10"/>
        <v/>
      </c>
    </row>
    <row r="255" spans="1:28">
      <c r="A255">
        <f>MacReports!A255</f>
        <v>0</v>
      </c>
      <c r="B255">
        <f>MacReports!B255</f>
        <v>0</v>
      </c>
      <c r="C255">
        <f>MacReports!C255</f>
        <v>0</v>
      </c>
      <c r="E255" t="e">
        <f>_xlfn.XLOOKUP(G255,Models!A:A,Models!F:F)</f>
        <v>#N/A</v>
      </c>
      <c r="F255" t="str">
        <f>_xlfn.XLOOKUP(B255,MacReports!B:B,MacReports!D:D,"")</f>
        <v/>
      </c>
      <c r="G255" s="13">
        <f>MacReports!E255</f>
        <v>0</v>
      </c>
      <c r="H255" t="e">
        <f>_xlfn.XLOOKUP(G255,Models!A:A,Models!B:B)</f>
        <v>#N/A</v>
      </c>
      <c r="I255" t="e">
        <f>_xlfn.XLOOKUP(G255,Models!A:A,Models!E:E)</f>
        <v>#N/A</v>
      </c>
      <c r="J255" t="e">
        <f>_xlfn.XLOOKUP(G255,Models!A:A,Models!D:D)</f>
        <v>#N/A</v>
      </c>
      <c r="K255">
        <f>MacReports!F255</f>
        <v>0</v>
      </c>
      <c r="L255">
        <f>MacReports!G255</f>
        <v>0</v>
      </c>
      <c r="M255" s="15" t="e" cm="1">
        <f t="array" ref="M255">--_xlfn.LET(
    _xlpm.txt, MacReports!H255,
    _xlpm.chars, MID(_xlpm.txt, _xlfn.SEQUENCE(LEN(_xlpm.txt)), 1),
    _xlfn.TEXTJOIN("", TRUE, IF(ISNUMBER(--_xlpm.chars), _xlpm.chars, ""))
)</f>
        <v>#VALUE!</v>
      </c>
      <c r="N255" s="16" t="str" cm="1">
        <f t="array" ref="N255">_xlfn.IFS(
   --MacReports!M255&lt;55,"Battery Defect",
  -- MacReports!M255&lt;=69,"Battery D",
  --MacReports!M255&lt;=80,"Battery C",
 --MacReports!M255&gt;80,""
)</f>
        <v>Battery Defect</v>
      </c>
      <c r="O255" s="16" t="str">
        <f>IF(MacReports!I255="Service","Battery Service","")</f>
        <v/>
      </c>
      <c r="P255" s="13">
        <f>MacReports!P255</f>
        <v>0</v>
      </c>
      <c r="Q255" s="13" t="str">
        <f>IF(MacReports!J255="Enabled","Apple ID Lock","")</f>
        <v/>
      </c>
      <c r="R255" s="13" t="str">
        <f>IF(MacReports!L255="y","Remote Locked","")</f>
        <v/>
      </c>
      <c r="S255" t="str">
        <f t="shared" si="9"/>
        <v>Battery Defect, 0</v>
      </c>
      <c r="T255" t="str">
        <f>_xlfn.XLOOKUP(B255,Disk_Pivot!G:G,Disk_Pivot!I:I)</f>
        <v>Yes x2</v>
      </c>
      <c r="U255" t="str">
        <f>_xlfn.XLOOKUP(B255,Disk_Pivot!G:G,Disk_Pivot!N:N)</f>
        <v>Pass, Fail</v>
      </c>
      <c r="V255" t="str">
        <f>IF(U255="Fail",MacReports!N255,"")</f>
        <v/>
      </c>
      <c r="AB255" t="str">
        <f t="shared" si="10"/>
        <v/>
      </c>
    </row>
    <row r="256" spans="1:28">
      <c r="A256">
        <f>MacReports!A256</f>
        <v>0</v>
      </c>
      <c r="B256">
        <f>MacReports!B256</f>
        <v>0</v>
      </c>
      <c r="C256">
        <f>MacReports!C256</f>
        <v>0</v>
      </c>
      <c r="E256" t="e">
        <f>_xlfn.XLOOKUP(G256,Models!A:A,Models!F:F)</f>
        <v>#N/A</v>
      </c>
      <c r="F256" t="str">
        <f>_xlfn.XLOOKUP(B256,MacReports!B:B,MacReports!D:D,"")</f>
        <v/>
      </c>
      <c r="G256" s="13">
        <f>MacReports!E256</f>
        <v>0</v>
      </c>
      <c r="H256" t="e">
        <f>_xlfn.XLOOKUP(G256,Models!A:A,Models!B:B)</f>
        <v>#N/A</v>
      </c>
      <c r="I256" t="e">
        <f>_xlfn.XLOOKUP(G256,Models!A:A,Models!E:E)</f>
        <v>#N/A</v>
      </c>
      <c r="J256" t="e">
        <f>_xlfn.XLOOKUP(G256,Models!A:A,Models!D:D)</f>
        <v>#N/A</v>
      </c>
      <c r="K256">
        <f>MacReports!F256</f>
        <v>0</v>
      </c>
      <c r="L256">
        <f>MacReports!G256</f>
        <v>0</v>
      </c>
      <c r="M256" s="15" t="e" cm="1">
        <f t="array" ref="M256">--_xlfn.LET(
    _xlpm.txt, MacReports!H256,
    _xlpm.chars, MID(_xlpm.txt, _xlfn.SEQUENCE(LEN(_xlpm.txt)), 1),
    _xlfn.TEXTJOIN("", TRUE, IF(ISNUMBER(--_xlpm.chars), _xlpm.chars, ""))
)</f>
        <v>#VALUE!</v>
      </c>
      <c r="N256" s="16" t="str" cm="1">
        <f t="array" ref="N256">_xlfn.IFS(
   --MacReports!M256&lt;55,"Battery Defect",
  -- MacReports!M256&lt;=69,"Battery D",
  --MacReports!M256&lt;=80,"Battery C",
 --MacReports!M256&gt;80,""
)</f>
        <v>Battery Defect</v>
      </c>
      <c r="O256" s="16" t="str">
        <f>IF(MacReports!I256="Service","Battery Service","")</f>
        <v/>
      </c>
      <c r="P256" s="13">
        <f>MacReports!P256</f>
        <v>0</v>
      </c>
      <c r="Q256" s="13" t="str">
        <f>IF(MacReports!J256="Enabled","Apple ID Lock","")</f>
        <v/>
      </c>
      <c r="R256" s="13" t="str">
        <f>IF(MacReports!L256="y","Remote Locked","")</f>
        <v/>
      </c>
      <c r="S256" t="str">
        <f t="shared" si="9"/>
        <v>Battery Defect, 0</v>
      </c>
      <c r="T256" t="str">
        <f>_xlfn.XLOOKUP(B256,Disk_Pivot!G:G,Disk_Pivot!I:I)</f>
        <v>Yes x2</v>
      </c>
      <c r="U256" t="str">
        <f>_xlfn.XLOOKUP(B256,Disk_Pivot!G:G,Disk_Pivot!N:N)</f>
        <v>Pass, Fail</v>
      </c>
      <c r="V256" t="str">
        <f>IF(U256="Fail",MacReports!N256,"")</f>
        <v/>
      </c>
      <c r="AB256" t="str">
        <f t="shared" si="10"/>
        <v/>
      </c>
    </row>
    <row r="257" spans="1:28">
      <c r="A257">
        <f>MacReports!A257</f>
        <v>0</v>
      </c>
      <c r="B257">
        <f>MacReports!B257</f>
        <v>0</v>
      </c>
      <c r="C257">
        <f>MacReports!C257</f>
        <v>0</v>
      </c>
      <c r="E257" t="e">
        <f>_xlfn.XLOOKUP(G257,Models!A:A,Models!F:F)</f>
        <v>#N/A</v>
      </c>
      <c r="F257" t="str">
        <f>_xlfn.XLOOKUP(B257,MacReports!B:B,MacReports!D:D,"")</f>
        <v/>
      </c>
      <c r="G257" s="13">
        <f>MacReports!E257</f>
        <v>0</v>
      </c>
      <c r="H257" t="e">
        <f>_xlfn.XLOOKUP(G257,Models!A:A,Models!B:B)</f>
        <v>#N/A</v>
      </c>
      <c r="I257" t="e">
        <f>_xlfn.XLOOKUP(G257,Models!A:A,Models!E:E)</f>
        <v>#N/A</v>
      </c>
      <c r="J257" t="e">
        <f>_xlfn.XLOOKUP(G257,Models!A:A,Models!D:D)</f>
        <v>#N/A</v>
      </c>
      <c r="K257">
        <f>MacReports!F257</f>
        <v>0</v>
      </c>
      <c r="L257">
        <f>MacReports!G257</f>
        <v>0</v>
      </c>
      <c r="M257" s="15" t="e" cm="1">
        <f t="array" ref="M257">--_xlfn.LET(
    _xlpm.txt, MacReports!H257,
    _xlpm.chars, MID(_xlpm.txt, _xlfn.SEQUENCE(LEN(_xlpm.txt)), 1),
    _xlfn.TEXTJOIN("", TRUE, IF(ISNUMBER(--_xlpm.chars), _xlpm.chars, ""))
)</f>
        <v>#VALUE!</v>
      </c>
      <c r="N257" s="16" t="str" cm="1">
        <f t="array" ref="N257">_xlfn.IFS(
   --MacReports!M257&lt;55,"Battery Defect",
  -- MacReports!M257&lt;=69,"Battery D",
  --MacReports!M257&lt;=80,"Battery C",
 --MacReports!M257&gt;80,""
)</f>
        <v>Battery Defect</v>
      </c>
      <c r="O257" s="16" t="str">
        <f>IF(MacReports!I257="Service","Battery Service","")</f>
        <v/>
      </c>
      <c r="P257" s="13">
        <f>MacReports!P257</f>
        <v>0</v>
      </c>
      <c r="Q257" s="13" t="str">
        <f>IF(MacReports!J257="Enabled","Apple ID Lock","")</f>
        <v/>
      </c>
      <c r="R257" s="13" t="str">
        <f>IF(MacReports!L257="y","Remote Locked","")</f>
        <v/>
      </c>
      <c r="S257" t="str">
        <f t="shared" si="9"/>
        <v>Battery Defect, 0</v>
      </c>
      <c r="T257" t="str">
        <f>_xlfn.XLOOKUP(B257,Disk_Pivot!G:G,Disk_Pivot!I:I)</f>
        <v>Yes x2</v>
      </c>
      <c r="U257" t="str">
        <f>_xlfn.XLOOKUP(B257,Disk_Pivot!G:G,Disk_Pivot!N:N)</f>
        <v>Pass, Fail</v>
      </c>
      <c r="V257" t="str">
        <f>IF(U257="Fail",MacReports!N257,"")</f>
        <v/>
      </c>
      <c r="AB257" t="str">
        <f t="shared" si="10"/>
        <v/>
      </c>
    </row>
    <row r="258" spans="1:28">
      <c r="A258">
        <f>MacReports!A258</f>
        <v>0</v>
      </c>
      <c r="B258">
        <f>MacReports!B258</f>
        <v>0</v>
      </c>
      <c r="C258">
        <f>MacReports!C258</f>
        <v>0</v>
      </c>
      <c r="E258" t="e">
        <f>_xlfn.XLOOKUP(G258,Models!A:A,Models!F:F)</f>
        <v>#N/A</v>
      </c>
      <c r="F258" t="str">
        <f>_xlfn.XLOOKUP(B258,MacReports!B:B,MacReports!D:D,"")</f>
        <v/>
      </c>
      <c r="G258" s="13">
        <f>MacReports!E258</f>
        <v>0</v>
      </c>
      <c r="H258" t="e">
        <f>_xlfn.XLOOKUP(G258,Models!A:A,Models!B:B)</f>
        <v>#N/A</v>
      </c>
      <c r="I258" t="e">
        <f>_xlfn.XLOOKUP(G258,Models!A:A,Models!E:E)</f>
        <v>#N/A</v>
      </c>
      <c r="J258" t="e">
        <f>_xlfn.XLOOKUP(G258,Models!A:A,Models!D:D)</f>
        <v>#N/A</v>
      </c>
      <c r="K258">
        <f>MacReports!F258</f>
        <v>0</v>
      </c>
      <c r="L258">
        <f>MacReports!G258</f>
        <v>0</v>
      </c>
      <c r="M258" s="15" t="e" cm="1">
        <f t="array" ref="M258">--_xlfn.LET(
    _xlpm.txt, MacReports!H258,
    _xlpm.chars, MID(_xlpm.txt, _xlfn.SEQUENCE(LEN(_xlpm.txt)), 1),
    _xlfn.TEXTJOIN("", TRUE, IF(ISNUMBER(--_xlpm.chars), _xlpm.chars, ""))
)</f>
        <v>#VALUE!</v>
      </c>
      <c r="N258" s="16" t="str" cm="1">
        <f t="array" ref="N258">_xlfn.IFS(
   --MacReports!M258&lt;55,"Battery Defect",
  -- MacReports!M258&lt;=69,"Battery D",
  --MacReports!M258&lt;=80,"Battery C",
 --MacReports!M258&gt;80,""
)</f>
        <v>Battery Defect</v>
      </c>
      <c r="O258" s="16" t="str">
        <f>IF(MacReports!I258="Service","Battery Service","")</f>
        <v/>
      </c>
      <c r="P258" s="13">
        <f>MacReports!P258</f>
        <v>0</v>
      </c>
      <c r="Q258" s="13" t="str">
        <f>IF(MacReports!J258="Enabled","Apple ID Lock","")</f>
        <v/>
      </c>
      <c r="R258" s="13" t="str">
        <f>IF(MacReports!L258="y","Remote Locked","")</f>
        <v/>
      </c>
      <c r="S258" t="str">
        <f t="shared" si="9"/>
        <v>Battery Defect, 0</v>
      </c>
      <c r="T258" t="str">
        <f>_xlfn.XLOOKUP(B258,Disk_Pivot!G:G,Disk_Pivot!I:I)</f>
        <v>Yes x2</v>
      </c>
      <c r="U258" t="str">
        <f>_xlfn.XLOOKUP(B258,Disk_Pivot!G:G,Disk_Pivot!N:N)</f>
        <v>Pass, Fail</v>
      </c>
      <c r="V258" t="str">
        <f>IF(U258="Fail",MacReports!N258,"")</f>
        <v/>
      </c>
      <c r="AB258" t="str">
        <f t="shared" si="10"/>
        <v/>
      </c>
    </row>
    <row r="259" spans="1:28">
      <c r="A259">
        <f>MacReports!A259</f>
        <v>0</v>
      </c>
      <c r="B259">
        <f>MacReports!B259</f>
        <v>0</v>
      </c>
      <c r="C259">
        <f>MacReports!C259</f>
        <v>0</v>
      </c>
      <c r="E259" t="e">
        <f>_xlfn.XLOOKUP(G259,Models!A:A,Models!F:F)</f>
        <v>#N/A</v>
      </c>
      <c r="F259" t="str">
        <f>_xlfn.XLOOKUP(B259,MacReports!B:B,MacReports!D:D,"")</f>
        <v/>
      </c>
      <c r="G259" s="13">
        <f>MacReports!E259</f>
        <v>0</v>
      </c>
      <c r="H259" t="e">
        <f>_xlfn.XLOOKUP(G259,Models!A:A,Models!B:B)</f>
        <v>#N/A</v>
      </c>
      <c r="I259" t="e">
        <f>_xlfn.XLOOKUP(G259,Models!A:A,Models!E:E)</f>
        <v>#N/A</v>
      </c>
      <c r="J259" t="e">
        <f>_xlfn.XLOOKUP(G259,Models!A:A,Models!D:D)</f>
        <v>#N/A</v>
      </c>
      <c r="K259">
        <f>MacReports!F259</f>
        <v>0</v>
      </c>
      <c r="L259">
        <f>MacReports!G259</f>
        <v>0</v>
      </c>
      <c r="M259" s="15" t="e" cm="1">
        <f t="array" ref="M259">--_xlfn.LET(
    _xlpm.txt, MacReports!H259,
    _xlpm.chars, MID(_xlpm.txt, _xlfn.SEQUENCE(LEN(_xlpm.txt)), 1),
    _xlfn.TEXTJOIN("", TRUE, IF(ISNUMBER(--_xlpm.chars), _xlpm.chars, ""))
)</f>
        <v>#VALUE!</v>
      </c>
      <c r="N259" s="16" t="str" cm="1">
        <f t="array" ref="N259">_xlfn.IFS(
   --MacReports!M259&lt;55,"Battery Defect",
  -- MacReports!M259&lt;=69,"Battery D",
  --MacReports!M259&lt;=80,"Battery C",
 --MacReports!M259&gt;80,""
)</f>
        <v>Battery Defect</v>
      </c>
      <c r="O259" s="16" t="str">
        <f>IF(MacReports!I259="Service","Battery Service","")</f>
        <v/>
      </c>
      <c r="P259" s="13">
        <f>MacReports!P259</f>
        <v>0</v>
      </c>
      <c r="Q259" s="13" t="str">
        <f>IF(MacReports!J259="Enabled","Apple ID Lock","")</f>
        <v/>
      </c>
      <c r="R259" s="13" t="str">
        <f>IF(MacReports!L259="y","Remote Locked","")</f>
        <v/>
      </c>
      <c r="S259" t="str">
        <f t="shared" si="9"/>
        <v>Battery Defect, 0</v>
      </c>
      <c r="T259" t="str">
        <f>_xlfn.XLOOKUP(B259,Disk_Pivot!G:G,Disk_Pivot!I:I)</f>
        <v>Yes x2</v>
      </c>
      <c r="U259" t="str">
        <f>_xlfn.XLOOKUP(B259,Disk_Pivot!G:G,Disk_Pivot!N:N)</f>
        <v>Pass, Fail</v>
      </c>
      <c r="V259" t="str">
        <f>IF(U259="Fail",MacReports!N259,"")</f>
        <v/>
      </c>
      <c r="AB259" t="str">
        <f t="shared" si="10"/>
        <v/>
      </c>
    </row>
    <row r="260" spans="1:28">
      <c r="A260">
        <f>MacReports!A260</f>
        <v>0</v>
      </c>
      <c r="B260">
        <f>MacReports!B260</f>
        <v>0</v>
      </c>
      <c r="C260">
        <f>MacReports!C260</f>
        <v>0</v>
      </c>
      <c r="E260" t="e">
        <f>_xlfn.XLOOKUP(G260,Models!A:A,Models!F:F)</f>
        <v>#N/A</v>
      </c>
      <c r="F260" t="str">
        <f>_xlfn.XLOOKUP(B260,MacReports!B:B,MacReports!D:D,"")</f>
        <v/>
      </c>
      <c r="G260" s="13">
        <f>MacReports!E260</f>
        <v>0</v>
      </c>
      <c r="H260" t="e">
        <f>_xlfn.XLOOKUP(G260,Models!A:A,Models!B:B)</f>
        <v>#N/A</v>
      </c>
      <c r="I260" t="e">
        <f>_xlfn.XLOOKUP(G260,Models!A:A,Models!E:E)</f>
        <v>#N/A</v>
      </c>
      <c r="J260" t="e">
        <f>_xlfn.XLOOKUP(G260,Models!A:A,Models!D:D)</f>
        <v>#N/A</v>
      </c>
      <c r="K260">
        <f>MacReports!F260</f>
        <v>0</v>
      </c>
      <c r="L260">
        <f>MacReports!G260</f>
        <v>0</v>
      </c>
      <c r="M260" s="15" t="e" cm="1">
        <f t="array" ref="M260">--_xlfn.LET(
    _xlpm.txt, MacReports!H260,
    _xlpm.chars, MID(_xlpm.txt, _xlfn.SEQUENCE(LEN(_xlpm.txt)), 1),
    _xlfn.TEXTJOIN("", TRUE, IF(ISNUMBER(--_xlpm.chars), _xlpm.chars, ""))
)</f>
        <v>#VALUE!</v>
      </c>
      <c r="N260" s="16" t="str" cm="1">
        <f t="array" ref="N260">_xlfn.IFS(
   --MacReports!M260&lt;55,"Battery Defect",
  -- MacReports!M260&lt;=69,"Battery D",
  --MacReports!M260&lt;=80,"Battery C",
 --MacReports!M260&gt;80,""
)</f>
        <v>Battery Defect</v>
      </c>
      <c r="O260" s="16" t="str">
        <f>IF(MacReports!I260="Service","Battery Service","")</f>
        <v/>
      </c>
      <c r="P260" s="13">
        <f>MacReports!P260</f>
        <v>0</v>
      </c>
      <c r="Q260" s="13" t="str">
        <f>IF(MacReports!J260="Enabled","Apple ID Lock","")</f>
        <v/>
      </c>
      <c r="R260" s="13" t="str">
        <f>IF(MacReports!L260="y","Remote Locked","")</f>
        <v/>
      </c>
      <c r="S260" t="str">
        <f t="shared" si="9"/>
        <v>Battery Defect, 0</v>
      </c>
      <c r="T260" t="str">
        <f>_xlfn.XLOOKUP(B260,Disk_Pivot!G:G,Disk_Pivot!I:I)</f>
        <v>Yes x2</v>
      </c>
      <c r="U260" t="str">
        <f>_xlfn.XLOOKUP(B260,Disk_Pivot!G:G,Disk_Pivot!N:N)</f>
        <v>Pass, Fail</v>
      </c>
      <c r="V260" t="str">
        <f>IF(U260="Fail",MacReports!N260,"")</f>
        <v/>
      </c>
      <c r="AB260" t="str">
        <f t="shared" si="10"/>
        <v/>
      </c>
    </row>
    <row r="261" spans="1:28">
      <c r="A261">
        <f>MacReports!A261</f>
        <v>0</v>
      </c>
      <c r="B261">
        <f>MacReports!B261</f>
        <v>0</v>
      </c>
      <c r="C261">
        <f>MacReports!C261</f>
        <v>0</v>
      </c>
      <c r="E261" t="e">
        <f>_xlfn.XLOOKUP(G261,Models!A:A,Models!F:F)</f>
        <v>#N/A</v>
      </c>
      <c r="F261" t="str">
        <f>_xlfn.XLOOKUP(B261,MacReports!B:B,MacReports!D:D,"")</f>
        <v/>
      </c>
      <c r="G261" s="13">
        <f>MacReports!E261</f>
        <v>0</v>
      </c>
      <c r="H261" t="e">
        <f>_xlfn.XLOOKUP(G261,Models!A:A,Models!B:B)</f>
        <v>#N/A</v>
      </c>
      <c r="I261" t="e">
        <f>_xlfn.XLOOKUP(G261,Models!A:A,Models!E:E)</f>
        <v>#N/A</v>
      </c>
      <c r="J261" t="e">
        <f>_xlfn.XLOOKUP(G261,Models!A:A,Models!D:D)</f>
        <v>#N/A</v>
      </c>
      <c r="K261">
        <f>MacReports!F261</f>
        <v>0</v>
      </c>
      <c r="L261">
        <f>MacReports!G261</f>
        <v>0</v>
      </c>
      <c r="M261" s="15" t="e" cm="1">
        <f t="array" ref="M261">--_xlfn.LET(
    _xlpm.txt, MacReports!H261,
    _xlpm.chars, MID(_xlpm.txt, _xlfn.SEQUENCE(LEN(_xlpm.txt)), 1),
    _xlfn.TEXTJOIN("", TRUE, IF(ISNUMBER(--_xlpm.chars), _xlpm.chars, ""))
)</f>
        <v>#VALUE!</v>
      </c>
      <c r="N261" s="16" t="str" cm="1">
        <f t="array" ref="N261">_xlfn.IFS(
   --MacReports!M261&lt;55,"Battery Defect",
  -- MacReports!M261&lt;=69,"Battery D",
  --MacReports!M261&lt;=80,"Battery C",
 --MacReports!M261&gt;80,""
)</f>
        <v>Battery Defect</v>
      </c>
      <c r="O261" s="16" t="str">
        <f>IF(MacReports!I261="Service","Battery Service","")</f>
        <v/>
      </c>
      <c r="P261" s="13">
        <f>MacReports!P261</f>
        <v>0</v>
      </c>
      <c r="Q261" s="13" t="str">
        <f>IF(MacReports!J261="Enabled","Apple ID Lock","")</f>
        <v/>
      </c>
      <c r="R261" s="13" t="str">
        <f>IF(MacReports!L261="y","Remote Locked","")</f>
        <v/>
      </c>
      <c r="S261" t="str">
        <f t="shared" si="9"/>
        <v>Battery Defect, 0</v>
      </c>
      <c r="T261" t="str">
        <f>_xlfn.XLOOKUP(B261,Disk_Pivot!G:G,Disk_Pivot!I:I)</f>
        <v>Yes x2</v>
      </c>
      <c r="U261" t="str">
        <f>_xlfn.XLOOKUP(B261,Disk_Pivot!G:G,Disk_Pivot!N:N)</f>
        <v>Pass, Fail</v>
      </c>
      <c r="V261" t="str">
        <f>IF(U261="Fail",MacReports!N261,"")</f>
        <v/>
      </c>
      <c r="AB261" t="str">
        <f t="shared" si="10"/>
        <v/>
      </c>
    </row>
    <row r="262" spans="1:28">
      <c r="A262">
        <f>MacReports!A262</f>
        <v>0</v>
      </c>
      <c r="B262">
        <f>MacReports!B262</f>
        <v>0</v>
      </c>
      <c r="C262">
        <f>MacReports!C262</f>
        <v>0</v>
      </c>
      <c r="E262" t="e">
        <f>_xlfn.XLOOKUP(G262,Models!A:A,Models!F:F)</f>
        <v>#N/A</v>
      </c>
      <c r="F262" t="str">
        <f>_xlfn.XLOOKUP(B262,MacReports!B:B,MacReports!D:D,"")</f>
        <v/>
      </c>
      <c r="G262" s="13">
        <f>MacReports!E262</f>
        <v>0</v>
      </c>
      <c r="H262" t="e">
        <f>_xlfn.XLOOKUP(G262,Models!A:A,Models!B:B)</f>
        <v>#N/A</v>
      </c>
      <c r="I262" t="e">
        <f>_xlfn.XLOOKUP(G262,Models!A:A,Models!E:E)</f>
        <v>#N/A</v>
      </c>
      <c r="J262" t="e">
        <f>_xlfn.XLOOKUP(G262,Models!A:A,Models!D:D)</f>
        <v>#N/A</v>
      </c>
      <c r="K262">
        <f>MacReports!F262</f>
        <v>0</v>
      </c>
      <c r="L262">
        <f>MacReports!G262</f>
        <v>0</v>
      </c>
      <c r="M262" s="15" t="e" cm="1">
        <f t="array" ref="M262">--_xlfn.LET(
    _xlpm.txt, MacReports!H262,
    _xlpm.chars, MID(_xlpm.txt, _xlfn.SEQUENCE(LEN(_xlpm.txt)), 1),
    _xlfn.TEXTJOIN("", TRUE, IF(ISNUMBER(--_xlpm.chars), _xlpm.chars, ""))
)</f>
        <v>#VALUE!</v>
      </c>
      <c r="N262" s="16" t="str" cm="1">
        <f t="array" ref="N262">_xlfn.IFS(
   --MacReports!M262&lt;55,"Battery Defect",
  -- MacReports!M262&lt;=69,"Battery D",
  --MacReports!M262&lt;=80,"Battery C",
 --MacReports!M262&gt;80,""
)</f>
        <v>Battery Defect</v>
      </c>
      <c r="O262" s="16" t="str">
        <f>IF(MacReports!I262="Service","Battery Service","")</f>
        <v/>
      </c>
      <c r="P262" s="13">
        <f>MacReports!P262</f>
        <v>0</v>
      </c>
      <c r="Q262" s="13" t="str">
        <f>IF(MacReports!J262="Enabled","Apple ID Lock","")</f>
        <v/>
      </c>
      <c r="R262" s="13" t="str">
        <f>IF(MacReports!L262="y","Remote Locked","")</f>
        <v/>
      </c>
      <c r="S262" t="str">
        <f t="shared" si="9"/>
        <v>Battery Defect, 0</v>
      </c>
      <c r="T262" t="str">
        <f>_xlfn.XLOOKUP(B262,Disk_Pivot!G:G,Disk_Pivot!I:I)</f>
        <v>Yes x2</v>
      </c>
      <c r="U262" t="str">
        <f>_xlfn.XLOOKUP(B262,Disk_Pivot!G:G,Disk_Pivot!N:N)</f>
        <v>Pass, Fail</v>
      </c>
      <c r="V262" t="str">
        <f>IF(U262="Fail",MacReports!N262,"")</f>
        <v/>
      </c>
      <c r="AB262" t="str">
        <f t="shared" si="10"/>
        <v/>
      </c>
    </row>
    <row r="263" spans="1:28">
      <c r="A263">
        <f>MacReports!A263</f>
        <v>0</v>
      </c>
      <c r="B263">
        <f>MacReports!B263</f>
        <v>0</v>
      </c>
      <c r="C263">
        <f>MacReports!C263</f>
        <v>0</v>
      </c>
      <c r="E263" t="e">
        <f>_xlfn.XLOOKUP(G263,Models!A:A,Models!F:F)</f>
        <v>#N/A</v>
      </c>
      <c r="F263" t="str">
        <f>_xlfn.XLOOKUP(B263,MacReports!B:B,MacReports!D:D,"")</f>
        <v/>
      </c>
      <c r="G263" s="13">
        <f>MacReports!E263</f>
        <v>0</v>
      </c>
      <c r="H263" t="e">
        <f>_xlfn.XLOOKUP(G263,Models!A:A,Models!B:B)</f>
        <v>#N/A</v>
      </c>
      <c r="I263" t="e">
        <f>_xlfn.XLOOKUP(G263,Models!A:A,Models!E:E)</f>
        <v>#N/A</v>
      </c>
      <c r="J263" t="e">
        <f>_xlfn.XLOOKUP(G263,Models!A:A,Models!D:D)</f>
        <v>#N/A</v>
      </c>
      <c r="K263">
        <f>MacReports!F263</f>
        <v>0</v>
      </c>
      <c r="L263">
        <f>MacReports!G263</f>
        <v>0</v>
      </c>
      <c r="M263" s="15" t="e" cm="1">
        <f t="array" ref="M263">--_xlfn.LET(
    _xlpm.txt, MacReports!H263,
    _xlpm.chars, MID(_xlpm.txt, _xlfn.SEQUENCE(LEN(_xlpm.txt)), 1),
    _xlfn.TEXTJOIN("", TRUE, IF(ISNUMBER(--_xlpm.chars), _xlpm.chars, ""))
)</f>
        <v>#VALUE!</v>
      </c>
      <c r="N263" s="16" t="str" cm="1">
        <f t="array" ref="N263">_xlfn.IFS(
   --MacReports!M263&lt;55,"Battery Defect",
  -- MacReports!M263&lt;=69,"Battery D",
  --MacReports!M263&lt;=80,"Battery C",
 --MacReports!M263&gt;80,""
)</f>
        <v>Battery Defect</v>
      </c>
      <c r="O263" s="16" t="str">
        <f>IF(MacReports!I263="Service","Battery Service","")</f>
        <v/>
      </c>
      <c r="P263" s="13">
        <f>MacReports!P263</f>
        <v>0</v>
      </c>
      <c r="Q263" s="13" t="str">
        <f>IF(MacReports!J263="Enabled","Apple ID Lock","")</f>
        <v/>
      </c>
      <c r="R263" s="13" t="str">
        <f>IF(MacReports!L263="y","Remote Locked","")</f>
        <v/>
      </c>
      <c r="S263" t="str">
        <f t="shared" si="9"/>
        <v>Battery Defect, 0</v>
      </c>
      <c r="T263" t="str">
        <f>_xlfn.XLOOKUP(B263,Disk_Pivot!G:G,Disk_Pivot!I:I)</f>
        <v>Yes x2</v>
      </c>
      <c r="U263" t="str">
        <f>_xlfn.XLOOKUP(B263,Disk_Pivot!G:G,Disk_Pivot!N:N)</f>
        <v>Pass, Fail</v>
      </c>
      <c r="V263" t="str">
        <f>IF(U263="Fail",MacReports!N263,"")</f>
        <v/>
      </c>
      <c r="AB263" t="str">
        <f t="shared" si="10"/>
        <v/>
      </c>
    </row>
    <row r="264" spans="1:28">
      <c r="A264">
        <f>MacReports!A264</f>
        <v>0</v>
      </c>
      <c r="B264">
        <f>MacReports!B264</f>
        <v>0</v>
      </c>
      <c r="C264">
        <f>MacReports!C264</f>
        <v>0</v>
      </c>
      <c r="E264" t="e">
        <f>_xlfn.XLOOKUP(G264,Models!A:A,Models!F:F)</f>
        <v>#N/A</v>
      </c>
      <c r="F264" t="str">
        <f>_xlfn.XLOOKUP(B264,MacReports!B:B,MacReports!D:D,"")</f>
        <v/>
      </c>
      <c r="G264" s="13">
        <f>MacReports!E264</f>
        <v>0</v>
      </c>
      <c r="H264" t="e">
        <f>_xlfn.XLOOKUP(G264,Models!A:A,Models!B:B)</f>
        <v>#N/A</v>
      </c>
      <c r="I264" t="e">
        <f>_xlfn.XLOOKUP(G264,Models!A:A,Models!E:E)</f>
        <v>#N/A</v>
      </c>
      <c r="J264" t="e">
        <f>_xlfn.XLOOKUP(G264,Models!A:A,Models!D:D)</f>
        <v>#N/A</v>
      </c>
      <c r="K264">
        <f>MacReports!F264</f>
        <v>0</v>
      </c>
      <c r="L264">
        <f>MacReports!G264</f>
        <v>0</v>
      </c>
      <c r="M264" s="15" t="e" cm="1">
        <f t="array" ref="M264">--_xlfn.LET(
    _xlpm.txt, MacReports!H264,
    _xlpm.chars, MID(_xlpm.txt, _xlfn.SEQUENCE(LEN(_xlpm.txt)), 1),
    _xlfn.TEXTJOIN("", TRUE, IF(ISNUMBER(--_xlpm.chars), _xlpm.chars, ""))
)</f>
        <v>#VALUE!</v>
      </c>
      <c r="N264" s="16" t="str" cm="1">
        <f t="array" ref="N264">_xlfn.IFS(
   --MacReports!M264&lt;55,"Battery Defect",
  -- MacReports!M264&lt;=69,"Battery D",
  --MacReports!M264&lt;=80,"Battery C",
 --MacReports!M264&gt;80,""
)</f>
        <v>Battery Defect</v>
      </c>
      <c r="O264" s="16" t="str">
        <f>IF(MacReports!I264="Service","Battery Service","")</f>
        <v/>
      </c>
      <c r="P264" s="13">
        <f>MacReports!P264</f>
        <v>0</v>
      </c>
      <c r="Q264" s="13" t="str">
        <f>IF(MacReports!J264="Enabled","Apple ID Lock","")</f>
        <v/>
      </c>
      <c r="R264" s="13" t="str">
        <f>IF(MacReports!L264="y","Remote Locked","")</f>
        <v/>
      </c>
      <c r="S264" t="str">
        <f t="shared" si="9"/>
        <v>Battery Defect, 0</v>
      </c>
      <c r="T264" t="str">
        <f>_xlfn.XLOOKUP(B264,Disk_Pivot!G:G,Disk_Pivot!I:I)</f>
        <v>Yes x2</v>
      </c>
      <c r="U264" t="str">
        <f>_xlfn.XLOOKUP(B264,Disk_Pivot!G:G,Disk_Pivot!N:N)</f>
        <v>Pass, Fail</v>
      </c>
      <c r="V264" t="str">
        <f>IF(U264="Fail",MacReports!N264,"")</f>
        <v/>
      </c>
      <c r="AB264" t="str">
        <f t="shared" si="10"/>
        <v/>
      </c>
    </row>
    <row r="265" spans="1:28">
      <c r="A265">
        <f>MacReports!A265</f>
        <v>0</v>
      </c>
      <c r="B265">
        <f>MacReports!B265</f>
        <v>0</v>
      </c>
      <c r="C265">
        <f>MacReports!C265</f>
        <v>0</v>
      </c>
      <c r="E265" t="e">
        <f>_xlfn.XLOOKUP(G265,Models!A:A,Models!F:F)</f>
        <v>#N/A</v>
      </c>
      <c r="F265" t="str">
        <f>_xlfn.XLOOKUP(B265,MacReports!B:B,MacReports!D:D,"")</f>
        <v/>
      </c>
      <c r="G265" s="13">
        <f>MacReports!E265</f>
        <v>0</v>
      </c>
      <c r="H265" t="e">
        <f>_xlfn.XLOOKUP(G265,Models!A:A,Models!B:B)</f>
        <v>#N/A</v>
      </c>
      <c r="I265" t="e">
        <f>_xlfn.XLOOKUP(G265,Models!A:A,Models!E:E)</f>
        <v>#N/A</v>
      </c>
      <c r="J265" t="e">
        <f>_xlfn.XLOOKUP(G265,Models!A:A,Models!D:D)</f>
        <v>#N/A</v>
      </c>
      <c r="K265">
        <f>MacReports!F265</f>
        <v>0</v>
      </c>
      <c r="L265">
        <f>MacReports!G265</f>
        <v>0</v>
      </c>
      <c r="M265" s="15" t="e" cm="1">
        <f t="array" ref="M265">--_xlfn.LET(
    _xlpm.txt, MacReports!H265,
    _xlpm.chars, MID(_xlpm.txt, _xlfn.SEQUENCE(LEN(_xlpm.txt)), 1),
    _xlfn.TEXTJOIN("", TRUE, IF(ISNUMBER(--_xlpm.chars), _xlpm.chars, ""))
)</f>
        <v>#VALUE!</v>
      </c>
      <c r="N265" s="16" t="str" cm="1">
        <f t="array" ref="N265">_xlfn.IFS(
   --MacReports!M265&lt;55,"Battery Defect",
  -- MacReports!M265&lt;=69,"Battery D",
  --MacReports!M265&lt;=80,"Battery C",
 --MacReports!M265&gt;80,""
)</f>
        <v>Battery Defect</v>
      </c>
      <c r="O265" s="16" t="str">
        <f>IF(MacReports!I265="Service","Battery Service","")</f>
        <v/>
      </c>
      <c r="P265" s="13">
        <f>MacReports!P265</f>
        <v>0</v>
      </c>
      <c r="Q265" s="13" t="str">
        <f>IF(MacReports!J265="Enabled","Apple ID Lock","")</f>
        <v/>
      </c>
      <c r="R265" s="13" t="str">
        <f>IF(MacReports!L265="y","Remote Locked","")</f>
        <v/>
      </c>
      <c r="S265" t="str">
        <f t="shared" si="9"/>
        <v>Battery Defect, 0</v>
      </c>
      <c r="T265" t="str">
        <f>_xlfn.XLOOKUP(B265,Disk_Pivot!G:G,Disk_Pivot!I:I)</f>
        <v>Yes x2</v>
      </c>
      <c r="U265" t="str">
        <f>_xlfn.XLOOKUP(B265,Disk_Pivot!G:G,Disk_Pivot!N:N)</f>
        <v>Pass, Fail</v>
      </c>
      <c r="V265" t="str">
        <f>IF(U265="Fail",MacReports!N265,"")</f>
        <v/>
      </c>
      <c r="AB265" t="str">
        <f t="shared" si="10"/>
        <v/>
      </c>
    </row>
    <row r="266" spans="1:28">
      <c r="A266">
        <f>MacReports!A266</f>
        <v>0</v>
      </c>
      <c r="B266">
        <f>MacReports!B266</f>
        <v>0</v>
      </c>
      <c r="C266">
        <f>MacReports!C266</f>
        <v>0</v>
      </c>
      <c r="E266" t="e">
        <f>_xlfn.XLOOKUP(G266,Models!A:A,Models!F:F)</f>
        <v>#N/A</v>
      </c>
      <c r="F266" t="str">
        <f>_xlfn.XLOOKUP(B266,MacReports!B:B,MacReports!D:D,"")</f>
        <v/>
      </c>
      <c r="G266" s="13">
        <f>MacReports!E266</f>
        <v>0</v>
      </c>
      <c r="H266" t="e">
        <f>_xlfn.XLOOKUP(G266,Models!A:A,Models!B:B)</f>
        <v>#N/A</v>
      </c>
      <c r="I266" t="e">
        <f>_xlfn.XLOOKUP(G266,Models!A:A,Models!E:E)</f>
        <v>#N/A</v>
      </c>
      <c r="J266" t="e">
        <f>_xlfn.XLOOKUP(G266,Models!A:A,Models!D:D)</f>
        <v>#N/A</v>
      </c>
      <c r="K266">
        <f>MacReports!F266</f>
        <v>0</v>
      </c>
      <c r="L266">
        <f>MacReports!G266</f>
        <v>0</v>
      </c>
      <c r="M266" s="15" t="e" cm="1">
        <f t="array" ref="M266">--_xlfn.LET(
    _xlpm.txt, MacReports!H266,
    _xlpm.chars, MID(_xlpm.txt, _xlfn.SEQUENCE(LEN(_xlpm.txt)), 1),
    _xlfn.TEXTJOIN("", TRUE, IF(ISNUMBER(--_xlpm.chars), _xlpm.chars, ""))
)</f>
        <v>#VALUE!</v>
      </c>
      <c r="N266" s="16" t="str" cm="1">
        <f t="array" ref="N266">_xlfn.IFS(
   --MacReports!M266&lt;55,"Battery Defect",
  -- MacReports!M266&lt;=69,"Battery D",
  --MacReports!M266&lt;=80,"Battery C",
 --MacReports!M266&gt;80,""
)</f>
        <v>Battery Defect</v>
      </c>
      <c r="O266" s="16" t="str">
        <f>IF(MacReports!I266="Service","Battery Service","")</f>
        <v/>
      </c>
      <c r="P266" s="13">
        <f>MacReports!P266</f>
        <v>0</v>
      </c>
      <c r="Q266" s="13" t="str">
        <f>IF(MacReports!J266="Enabled","Apple ID Lock","")</f>
        <v/>
      </c>
      <c r="R266" s="13" t="str">
        <f>IF(MacReports!L266="y","Remote Locked","")</f>
        <v/>
      </c>
      <c r="S266" t="str">
        <f t="shared" si="9"/>
        <v>Battery Defect, 0</v>
      </c>
      <c r="T266" t="str">
        <f>_xlfn.XLOOKUP(B266,Disk_Pivot!G:G,Disk_Pivot!I:I)</f>
        <v>Yes x2</v>
      </c>
      <c r="U266" t="str">
        <f>_xlfn.XLOOKUP(B266,Disk_Pivot!G:G,Disk_Pivot!N:N)</f>
        <v>Pass, Fail</v>
      </c>
      <c r="V266" t="str">
        <f>IF(U266="Fail",MacReports!N266,"")</f>
        <v/>
      </c>
      <c r="AB266" t="str">
        <f t="shared" si="10"/>
        <v/>
      </c>
    </row>
    <row r="267" spans="1:28">
      <c r="A267">
        <f>MacReports!A267</f>
        <v>0</v>
      </c>
      <c r="B267">
        <f>MacReports!B267</f>
        <v>0</v>
      </c>
      <c r="C267">
        <f>MacReports!C267</f>
        <v>0</v>
      </c>
      <c r="E267" t="e">
        <f>_xlfn.XLOOKUP(G267,Models!A:A,Models!F:F)</f>
        <v>#N/A</v>
      </c>
      <c r="F267" t="str">
        <f>_xlfn.XLOOKUP(B267,MacReports!B:B,MacReports!D:D,"")</f>
        <v/>
      </c>
      <c r="G267" s="13">
        <f>MacReports!E267</f>
        <v>0</v>
      </c>
      <c r="H267" t="e">
        <f>_xlfn.XLOOKUP(G267,Models!A:A,Models!B:B)</f>
        <v>#N/A</v>
      </c>
      <c r="I267" t="e">
        <f>_xlfn.XLOOKUP(G267,Models!A:A,Models!E:E)</f>
        <v>#N/A</v>
      </c>
      <c r="J267" t="e">
        <f>_xlfn.XLOOKUP(G267,Models!A:A,Models!D:D)</f>
        <v>#N/A</v>
      </c>
      <c r="K267">
        <f>MacReports!F267</f>
        <v>0</v>
      </c>
      <c r="L267">
        <f>MacReports!G267</f>
        <v>0</v>
      </c>
      <c r="M267" s="15" t="e" cm="1">
        <f t="array" ref="M267">--_xlfn.LET(
    _xlpm.txt, MacReports!H267,
    _xlpm.chars, MID(_xlpm.txt, _xlfn.SEQUENCE(LEN(_xlpm.txt)), 1),
    _xlfn.TEXTJOIN("", TRUE, IF(ISNUMBER(--_xlpm.chars), _xlpm.chars, ""))
)</f>
        <v>#VALUE!</v>
      </c>
      <c r="N267" s="16" t="str" cm="1">
        <f t="array" ref="N267">_xlfn.IFS(
   --MacReports!M267&lt;55,"Battery Defect",
  -- MacReports!M267&lt;=69,"Battery D",
  --MacReports!M267&lt;=80,"Battery C",
 --MacReports!M267&gt;80,""
)</f>
        <v>Battery Defect</v>
      </c>
      <c r="O267" s="16" t="str">
        <f>IF(MacReports!I267="Service","Battery Service","")</f>
        <v/>
      </c>
      <c r="P267" s="13">
        <f>MacReports!P267</f>
        <v>0</v>
      </c>
      <c r="Q267" s="13" t="str">
        <f>IF(MacReports!J267="Enabled","Apple ID Lock","")</f>
        <v/>
      </c>
      <c r="R267" s="13" t="str">
        <f>IF(MacReports!L267="y","Remote Locked","")</f>
        <v/>
      </c>
      <c r="S267" t="str">
        <f t="shared" si="9"/>
        <v>Battery Defect, 0</v>
      </c>
      <c r="T267" t="str">
        <f>_xlfn.XLOOKUP(B267,Disk_Pivot!G:G,Disk_Pivot!I:I)</f>
        <v>Yes x2</v>
      </c>
      <c r="U267" t="str">
        <f>_xlfn.XLOOKUP(B267,Disk_Pivot!G:G,Disk_Pivot!N:N)</f>
        <v>Pass, Fail</v>
      </c>
      <c r="V267" t="str">
        <f>IF(U267="Fail",MacReports!N267,"")</f>
        <v/>
      </c>
      <c r="AB267" t="str">
        <f t="shared" si="10"/>
        <v/>
      </c>
    </row>
    <row r="268" spans="1:28">
      <c r="A268">
        <f>MacReports!A268</f>
        <v>0</v>
      </c>
      <c r="B268">
        <f>MacReports!B268</f>
        <v>0</v>
      </c>
      <c r="C268">
        <f>MacReports!C268</f>
        <v>0</v>
      </c>
      <c r="E268" t="e">
        <f>_xlfn.XLOOKUP(G268,Models!A:A,Models!F:F)</f>
        <v>#N/A</v>
      </c>
      <c r="F268" t="str">
        <f>_xlfn.XLOOKUP(B268,MacReports!B:B,MacReports!D:D,"")</f>
        <v/>
      </c>
      <c r="G268" s="13">
        <f>MacReports!E268</f>
        <v>0</v>
      </c>
      <c r="H268" t="e">
        <f>_xlfn.XLOOKUP(G268,Models!A:A,Models!B:B)</f>
        <v>#N/A</v>
      </c>
      <c r="I268" t="e">
        <f>_xlfn.XLOOKUP(G268,Models!A:A,Models!E:E)</f>
        <v>#N/A</v>
      </c>
      <c r="J268" t="e">
        <f>_xlfn.XLOOKUP(G268,Models!A:A,Models!D:D)</f>
        <v>#N/A</v>
      </c>
      <c r="K268">
        <f>MacReports!F268</f>
        <v>0</v>
      </c>
      <c r="L268">
        <f>MacReports!G268</f>
        <v>0</v>
      </c>
      <c r="M268" s="15" t="e" cm="1">
        <f t="array" ref="M268">--_xlfn.LET(
    _xlpm.txt, MacReports!H268,
    _xlpm.chars, MID(_xlpm.txt, _xlfn.SEQUENCE(LEN(_xlpm.txt)), 1),
    _xlfn.TEXTJOIN("", TRUE, IF(ISNUMBER(--_xlpm.chars), _xlpm.chars, ""))
)</f>
        <v>#VALUE!</v>
      </c>
      <c r="N268" s="16" t="str" cm="1">
        <f t="array" ref="N268">_xlfn.IFS(
   --MacReports!M268&lt;55,"Battery Defect",
  -- MacReports!M268&lt;=69,"Battery D",
  --MacReports!M268&lt;=80,"Battery C",
 --MacReports!M268&gt;80,""
)</f>
        <v>Battery Defect</v>
      </c>
      <c r="O268" s="16" t="str">
        <f>IF(MacReports!I268="Service","Battery Service","")</f>
        <v/>
      </c>
      <c r="P268" s="13">
        <f>MacReports!P268</f>
        <v>0</v>
      </c>
      <c r="Q268" s="13" t="str">
        <f>IF(MacReports!J268="Enabled","Apple ID Lock","")</f>
        <v/>
      </c>
      <c r="R268" s="13" t="str">
        <f>IF(MacReports!L268="y","Remote Locked","")</f>
        <v/>
      </c>
      <c r="S268" t="str">
        <f t="shared" si="9"/>
        <v>Battery Defect, 0</v>
      </c>
      <c r="T268" t="str">
        <f>_xlfn.XLOOKUP(B268,Disk_Pivot!G:G,Disk_Pivot!I:I)</f>
        <v>Yes x2</v>
      </c>
      <c r="U268" t="str">
        <f>_xlfn.XLOOKUP(B268,Disk_Pivot!G:G,Disk_Pivot!N:N)</f>
        <v>Pass, Fail</v>
      </c>
      <c r="V268" t="str">
        <f>IF(U268="Fail",MacReports!N268,"")</f>
        <v/>
      </c>
      <c r="AB268" t="str">
        <f t="shared" si="10"/>
        <v/>
      </c>
    </row>
    <row r="269" spans="1:28">
      <c r="A269">
        <f>MacReports!A269</f>
        <v>0</v>
      </c>
      <c r="B269">
        <f>MacReports!B269</f>
        <v>0</v>
      </c>
      <c r="C269">
        <f>MacReports!C269</f>
        <v>0</v>
      </c>
      <c r="E269" t="e">
        <f>_xlfn.XLOOKUP(G269,Models!A:A,Models!F:F)</f>
        <v>#N/A</v>
      </c>
      <c r="F269" t="str">
        <f>_xlfn.XLOOKUP(B269,MacReports!B:B,MacReports!D:D,"")</f>
        <v/>
      </c>
      <c r="G269" s="13">
        <f>MacReports!E269</f>
        <v>0</v>
      </c>
      <c r="H269" t="e">
        <f>_xlfn.XLOOKUP(G269,Models!A:A,Models!B:B)</f>
        <v>#N/A</v>
      </c>
      <c r="I269" t="e">
        <f>_xlfn.XLOOKUP(G269,Models!A:A,Models!E:E)</f>
        <v>#N/A</v>
      </c>
      <c r="J269" t="e">
        <f>_xlfn.XLOOKUP(G269,Models!A:A,Models!D:D)</f>
        <v>#N/A</v>
      </c>
      <c r="K269">
        <f>MacReports!F269</f>
        <v>0</v>
      </c>
      <c r="L269">
        <f>MacReports!G269</f>
        <v>0</v>
      </c>
      <c r="M269" s="15" t="e" cm="1">
        <f t="array" ref="M269">--_xlfn.LET(
    _xlpm.txt, MacReports!H269,
    _xlpm.chars, MID(_xlpm.txt, _xlfn.SEQUENCE(LEN(_xlpm.txt)), 1),
    _xlfn.TEXTJOIN("", TRUE, IF(ISNUMBER(--_xlpm.chars), _xlpm.chars, ""))
)</f>
        <v>#VALUE!</v>
      </c>
      <c r="N269" s="16" t="str" cm="1">
        <f t="array" ref="N269">_xlfn.IFS(
   --MacReports!M269&lt;55,"Battery Defect",
  -- MacReports!M269&lt;=69,"Battery D",
  --MacReports!M269&lt;=80,"Battery C",
 --MacReports!M269&gt;80,""
)</f>
        <v>Battery Defect</v>
      </c>
      <c r="O269" s="16" t="str">
        <f>IF(MacReports!I269="Service","Battery Service","")</f>
        <v/>
      </c>
      <c r="P269" s="13">
        <f>MacReports!P269</f>
        <v>0</v>
      </c>
      <c r="Q269" s="13" t="str">
        <f>IF(MacReports!J269="Enabled","Apple ID Lock","")</f>
        <v/>
      </c>
      <c r="R269" s="13" t="str">
        <f>IF(MacReports!L269="y","Remote Locked","")</f>
        <v/>
      </c>
      <c r="S269" t="str">
        <f t="shared" si="9"/>
        <v>Battery Defect, 0</v>
      </c>
      <c r="T269" t="str">
        <f>_xlfn.XLOOKUP(B269,Disk_Pivot!G:G,Disk_Pivot!I:I)</f>
        <v>Yes x2</v>
      </c>
      <c r="U269" t="str">
        <f>_xlfn.XLOOKUP(B269,Disk_Pivot!G:G,Disk_Pivot!N:N)</f>
        <v>Pass, Fail</v>
      </c>
      <c r="V269" t="str">
        <f>IF(U269="Fail",MacReports!N269,"")</f>
        <v/>
      </c>
      <c r="AB269" t="str">
        <f t="shared" si="10"/>
        <v/>
      </c>
    </row>
    <row r="270" spans="1:28">
      <c r="A270">
        <f>MacReports!A270</f>
        <v>0</v>
      </c>
      <c r="B270">
        <f>MacReports!B270</f>
        <v>0</v>
      </c>
      <c r="C270">
        <f>MacReports!C270</f>
        <v>0</v>
      </c>
      <c r="E270" t="e">
        <f>_xlfn.XLOOKUP(G270,Models!A:A,Models!F:F)</f>
        <v>#N/A</v>
      </c>
      <c r="F270" t="str">
        <f>_xlfn.XLOOKUP(B270,MacReports!B:B,MacReports!D:D,"")</f>
        <v/>
      </c>
      <c r="G270" s="13">
        <f>MacReports!E270</f>
        <v>0</v>
      </c>
      <c r="H270" t="e">
        <f>_xlfn.XLOOKUP(G270,Models!A:A,Models!B:B)</f>
        <v>#N/A</v>
      </c>
      <c r="I270" t="e">
        <f>_xlfn.XLOOKUP(G270,Models!A:A,Models!E:E)</f>
        <v>#N/A</v>
      </c>
      <c r="J270" t="e">
        <f>_xlfn.XLOOKUP(G270,Models!A:A,Models!D:D)</f>
        <v>#N/A</v>
      </c>
      <c r="K270">
        <f>MacReports!F270</f>
        <v>0</v>
      </c>
      <c r="L270">
        <f>MacReports!G270</f>
        <v>0</v>
      </c>
      <c r="M270" s="15" t="e" cm="1">
        <f t="array" ref="M270">--_xlfn.LET(
    _xlpm.txt, MacReports!H270,
    _xlpm.chars, MID(_xlpm.txt, _xlfn.SEQUENCE(LEN(_xlpm.txt)), 1),
    _xlfn.TEXTJOIN("", TRUE, IF(ISNUMBER(--_xlpm.chars), _xlpm.chars, ""))
)</f>
        <v>#VALUE!</v>
      </c>
      <c r="N270" s="16" t="str" cm="1">
        <f t="array" ref="N270">_xlfn.IFS(
   --MacReports!M270&lt;55,"Battery Defect",
  -- MacReports!M270&lt;=69,"Battery D",
  --MacReports!M270&lt;=80,"Battery C",
 --MacReports!M270&gt;80,""
)</f>
        <v>Battery Defect</v>
      </c>
      <c r="O270" s="16" t="str">
        <f>IF(MacReports!I270="Service","Battery Service","")</f>
        <v/>
      </c>
      <c r="P270" s="13">
        <f>MacReports!P270</f>
        <v>0</v>
      </c>
      <c r="Q270" s="13" t="str">
        <f>IF(MacReports!J270="Enabled","Apple ID Lock","")</f>
        <v/>
      </c>
      <c r="R270" s="13" t="str">
        <f>IF(MacReports!L270="y","Remote Locked","")</f>
        <v/>
      </c>
      <c r="S270" t="str">
        <f t="shared" si="9"/>
        <v>Battery Defect, 0</v>
      </c>
      <c r="T270" t="str">
        <f>_xlfn.XLOOKUP(B270,Disk_Pivot!G:G,Disk_Pivot!I:I)</f>
        <v>Yes x2</v>
      </c>
      <c r="U270" t="str">
        <f>_xlfn.XLOOKUP(B270,Disk_Pivot!G:G,Disk_Pivot!N:N)</f>
        <v>Pass, Fail</v>
      </c>
      <c r="V270" t="str">
        <f>IF(U270="Fail",MacReports!N270,"")</f>
        <v/>
      </c>
      <c r="AB270" t="str">
        <f t="shared" si="10"/>
        <v/>
      </c>
    </row>
    <row r="271" spans="1:28">
      <c r="A271">
        <f>MacReports!A271</f>
        <v>0</v>
      </c>
      <c r="B271">
        <f>MacReports!B271</f>
        <v>0</v>
      </c>
      <c r="C271">
        <f>MacReports!C271</f>
        <v>0</v>
      </c>
      <c r="E271" t="e">
        <f>_xlfn.XLOOKUP(G271,Models!A:A,Models!F:F)</f>
        <v>#N/A</v>
      </c>
      <c r="F271" t="str">
        <f>_xlfn.XLOOKUP(B271,MacReports!B:B,MacReports!D:D,"")</f>
        <v/>
      </c>
      <c r="G271" s="13">
        <f>MacReports!E271</f>
        <v>0</v>
      </c>
      <c r="H271" t="e">
        <f>_xlfn.XLOOKUP(G271,Models!A:A,Models!B:B)</f>
        <v>#N/A</v>
      </c>
      <c r="I271" t="e">
        <f>_xlfn.XLOOKUP(G271,Models!A:A,Models!E:E)</f>
        <v>#N/A</v>
      </c>
      <c r="J271" t="e">
        <f>_xlfn.XLOOKUP(G271,Models!A:A,Models!D:D)</f>
        <v>#N/A</v>
      </c>
      <c r="K271">
        <f>MacReports!F271</f>
        <v>0</v>
      </c>
      <c r="L271">
        <f>MacReports!G271</f>
        <v>0</v>
      </c>
      <c r="M271" s="15" t="e" cm="1">
        <f t="array" ref="M271">--_xlfn.LET(
    _xlpm.txt, MacReports!H271,
    _xlpm.chars, MID(_xlpm.txt, _xlfn.SEQUENCE(LEN(_xlpm.txt)), 1),
    _xlfn.TEXTJOIN("", TRUE, IF(ISNUMBER(--_xlpm.chars), _xlpm.chars, ""))
)</f>
        <v>#VALUE!</v>
      </c>
      <c r="N271" s="16" t="str" cm="1">
        <f t="array" ref="N271">_xlfn.IFS(
   --MacReports!M271&lt;55,"Battery Defect",
  -- MacReports!M271&lt;=69,"Battery D",
  --MacReports!M271&lt;=80,"Battery C",
 --MacReports!M271&gt;80,""
)</f>
        <v>Battery Defect</v>
      </c>
      <c r="O271" s="16" t="str">
        <f>IF(MacReports!I271="Service","Battery Service","")</f>
        <v/>
      </c>
      <c r="P271" s="13">
        <f>MacReports!P271</f>
        <v>0</v>
      </c>
      <c r="Q271" s="13" t="str">
        <f>IF(MacReports!J271="Enabled","Apple ID Lock","")</f>
        <v/>
      </c>
      <c r="R271" s="13" t="str">
        <f>IF(MacReports!L271="y","Remote Locked","")</f>
        <v/>
      </c>
      <c r="S271" t="str">
        <f t="shared" si="9"/>
        <v>Battery Defect, 0</v>
      </c>
      <c r="T271" t="str">
        <f>_xlfn.XLOOKUP(B271,Disk_Pivot!G:G,Disk_Pivot!I:I)</f>
        <v>Yes x2</v>
      </c>
      <c r="U271" t="str">
        <f>_xlfn.XLOOKUP(B271,Disk_Pivot!G:G,Disk_Pivot!N:N)</f>
        <v>Pass, Fail</v>
      </c>
      <c r="V271" t="str">
        <f>IF(U271="Fail",MacReports!N271,"")</f>
        <v/>
      </c>
      <c r="AB271" t="str">
        <f t="shared" si="10"/>
        <v/>
      </c>
    </row>
    <row r="272" spans="1:28">
      <c r="A272">
        <f>MacReports!A272</f>
        <v>0</v>
      </c>
      <c r="B272">
        <f>MacReports!B272</f>
        <v>0</v>
      </c>
      <c r="C272">
        <f>MacReports!C272</f>
        <v>0</v>
      </c>
      <c r="E272" t="e">
        <f>_xlfn.XLOOKUP(G272,Models!A:A,Models!F:F)</f>
        <v>#N/A</v>
      </c>
      <c r="F272" t="str">
        <f>_xlfn.XLOOKUP(B272,MacReports!B:B,MacReports!D:D,"")</f>
        <v/>
      </c>
      <c r="G272" s="13">
        <f>MacReports!E272</f>
        <v>0</v>
      </c>
      <c r="H272" t="e">
        <f>_xlfn.XLOOKUP(G272,Models!A:A,Models!B:B)</f>
        <v>#N/A</v>
      </c>
      <c r="I272" t="e">
        <f>_xlfn.XLOOKUP(G272,Models!A:A,Models!E:E)</f>
        <v>#N/A</v>
      </c>
      <c r="J272" t="e">
        <f>_xlfn.XLOOKUP(G272,Models!A:A,Models!D:D)</f>
        <v>#N/A</v>
      </c>
      <c r="K272">
        <f>MacReports!F272</f>
        <v>0</v>
      </c>
      <c r="L272">
        <f>MacReports!G272</f>
        <v>0</v>
      </c>
      <c r="M272" s="15" t="e" cm="1">
        <f t="array" ref="M272">--_xlfn.LET(
    _xlpm.txt, MacReports!H272,
    _xlpm.chars, MID(_xlpm.txt, _xlfn.SEQUENCE(LEN(_xlpm.txt)), 1),
    _xlfn.TEXTJOIN("", TRUE, IF(ISNUMBER(--_xlpm.chars), _xlpm.chars, ""))
)</f>
        <v>#VALUE!</v>
      </c>
      <c r="N272" s="16" t="str" cm="1">
        <f t="array" ref="N272">_xlfn.IFS(
   --MacReports!M272&lt;55,"Battery Defect",
  -- MacReports!M272&lt;=69,"Battery D",
  --MacReports!M272&lt;=80,"Battery C",
 --MacReports!M272&gt;80,""
)</f>
        <v>Battery Defect</v>
      </c>
      <c r="O272" s="16" t="str">
        <f>IF(MacReports!I272="Service","Battery Service","")</f>
        <v/>
      </c>
      <c r="P272" s="13">
        <f>MacReports!P272</f>
        <v>0</v>
      </c>
      <c r="Q272" s="13" t="str">
        <f>IF(MacReports!J272="Enabled","Apple ID Lock","")</f>
        <v/>
      </c>
      <c r="R272" s="13" t="str">
        <f>IF(MacReports!L272="y","Remote Locked","")</f>
        <v/>
      </c>
      <c r="S272" t="str">
        <f t="shared" si="9"/>
        <v>Battery Defect, 0</v>
      </c>
      <c r="T272" t="str">
        <f>_xlfn.XLOOKUP(B272,Disk_Pivot!G:G,Disk_Pivot!I:I)</f>
        <v>Yes x2</v>
      </c>
      <c r="U272" t="str">
        <f>_xlfn.XLOOKUP(B272,Disk_Pivot!G:G,Disk_Pivot!N:N)</f>
        <v>Pass, Fail</v>
      </c>
      <c r="V272" t="str">
        <f>IF(U272="Fail",MacReports!N272,"")</f>
        <v/>
      </c>
      <c r="AB272" t="str">
        <f t="shared" si="10"/>
        <v/>
      </c>
    </row>
    <row r="273" spans="1:28">
      <c r="A273">
        <f>MacReports!A273</f>
        <v>0</v>
      </c>
      <c r="B273">
        <f>MacReports!B273</f>
        <v>0</v>
      </c>
      <c r="C273">
        <f>MacReports!C273</f>
        <v>0</v>
      </c>
      <c r="E273" t="e">
        <f>_xlfn.XLOOKUP(G273,Models!A:A,Models!F:F)</f>
        <v>#N/A</v>
      </c>
      <c r="F273" t="str">
        <f>_xlfn.XLOOKUP(B273,MacReports!B:B,MacReports!D:D,"")</f>
        <v/>
      </c>
      <c r="G273" s="13">
        <f>MacReports!E273</f>
        <v>0</v>
      </c>
      <c r="H273" t="e">
        <f>_xlfn.XLOOKUP(G273,Models!A:A,Models!B:B)</f>
        <v>#N/A</v>
      </c>
      <c r="I273" t="e">
        <f>_xlfn.XLOOKUP(G273,Models!A:A,Models!E:E)</f>
        <v>#N/A</v>
      </c>
      <c r="J273" t="e">
        <f>_xlfn.XLOOKUP(G273,Models!A:A,Models!D:D)</f>
        <v>#N/A</v>
      </c>
      <c r="K273">
        <f>MacReports!F273</f>
        <v>0</v>
      </c>
      <c r="L273">
        <f>MacReports!G273</f>
        <v>0</v>
      </c>
      <c r="M273" s="15" t="e" cm="1">
        <f t="array" ref="M273">--_xlfn.LET(
    _xlpm.txt, MacReports!H273,
    _xlpm.chars, MID(_xlpm.txt, _xlfn.SEQUENCE(LEN(_xlpm.txt)), 1),
    _xlfn.TEXTJOIN("", TRUE, IF(ISNUMBER(--_xlpm.chars), _xlpm.chars, ""))
)</f>
        <v>#VALUE!</v>
      </c>
      <c r="N273" s="16" t="str" cm="1">
        <f t="array" ref="N273">_xlfn.IFS(
   --MacReports!M273&lt;55,"Battery Defect",
  -- MacReports!M273&lt;=69,"Battery D",
  --MacReports!M273&lt;=80,"Battery C",
 --MacReports!M273&gt;80,""
)</f>
        <v>Battery Defect</v>
      </c>
      <c r="O273" s="16" t="str">
        <f>IF(MacReports!I273="Service","Battery Service","")</f>
        <v/>
      </c>
      <c r="P273" s="13">
        <f>MacReports!P273</f>
        <v>0</v>
      </c>
      <c r="Q273" s="13" t="str">
        <f>IF(MacReports!J273="Enabled","Apple ID Lock","")</f>
        <v/>
      </c>
      <c r="R273" s="13" t="str">
        <f>IF(MacReports!L273="y","Remote Locked","")</f>
        <v/>
      </c>
      <c r="S273" t="str">
        <f t="shared" si="9"/>
        <v>Battery Defect, 0</v>
      </c>
      <c r="T273" t="str">
        <f>_xlfn.XLOOKUP(B273,Disk_Pivot!G:G,Disk_Pivot!I:I)</f>
        <v>Yes x2</v>
      </c>
      <c r="U273" t="str">
        <f>_xlfn.XLOOKUP(B273,Disk_Pivot!G:G,Disk_Pivot!N:N)</f>
        <v>Pass, Fail</v>
      </c>
      <c r="V273" t="str">
        <f>IF(U273="Fail",MacReports!N273,"")</f>
        <v/>
      </c>
      <c r="AB273" t="str">
        <f t="shared" si="10"/>
        <v/>
      </c>
    </row>
    <row r="274" spans="1:28">
      <c r="A274">
        <f>MacReports!A274</f>
        <v>0</v>
      </c>
      <c r="B274">
        <f>MacReports!B274</f>
        <v>0</v>
      </c>
      <c r="C274">
        <f>MacReports!C274</f>
        <v>0</v>
      </c>
      <c r="E274" t="e">
        <f>_xlfn.XLOOKUP(G274,Models!A:A,Models!F:F)</f>
        <v>#N/A</v>
      </c>
      <c r="F274" t="str">
        <f>_xlfn.XLOOKUP(B274,MacReports!B:B,MacReports!D:D,"")</f>
        <v/>
      </c>
      <c r="G274" s="13">
        <f>MacReports!E274</f>
        <v>0</v>
      </c>
      <c r="H274" t="e">
        <f>_xlfn.XLOOKUP(G274,Models!A:A,Models!B:B)</f>
        <v>#N/A</v>
      </c>
      <c r="I274" t="e">
        <f>_xlfn.XLOOKUP(G274,Models!A:A,Models!E:E)</f>
        <v>#N/A</v>
      </c>
      <c r="J274" t="e">
        <f>_xlfn.XLOOKUP(G274,Models!A:A,Models!D:D)</f>
        <v>#N/A</v>
      </c>
      <c r="K274">
        <f>MacReports!F274</f>
        <v>0</v>
      </c>
      <c r="L274">
        <f>MacReports!G274</f>
        <v>0</v>
      </c>
      <c r="M274" s="15" t="e" cm="1">
        <f t="array" ref="M274">--_xlfn.LET(
    _xlpm.txt, MacReports!H274,
    _xlpm.chars, MID(_xlpm.txt, _xlfn.SEQUENCE(LEN(_xlpm.txt)), 1),
    _xlfn.TEXTJOIN("", TRUE, IF(ISNUMBER(--_xlpm.chars), _xlpm.chars, ""))
)</f>
        <v>#VALUE!</v>
      </c>
      <c r="N274" s="16" t="str" cm="1">
        <f t="array" ref="N274">_xlfn.IFS(
   --MacReports!M274&lt;55,"Battery Defect",
  -- MacReports!M274&lt;=69,"Battery D",
  --MacReports!M274&lt;=80,"Battery C",
 --MacReports!M274&gt;80,""
)</f>
        <v>Battery Defect</v>
      </c>
      <c r="O274" s="16" t="str">
        <f>IF(MacReports!I274="Service","Battery Service","")</f>
        <v/>
      </c>
      <c r="P274" s="13">
        <f>MacReports!P274</f>
        <v>0</v>
      </c>
      <c r="Q274" s="13" t="str">
        <f>IF(MacReports!J274="Enabled","Apple ID Lock","")</f>
        <v/>
      </c>
      <c r="R274" s="13" t="str">
        <f>IF(MacReports!L274="y","Remote Locked","")</f>
        <v/>
      </c>
      <c r="S274" t="str">
        <f t="shared" si="9"/>
        <v>Battery Defect, 0</v>
      </c>
      <c r="T274" t="str">
        <f>_xlfn.XLOOKUP(B274,Disk_Pivot!G:G,Disk_Pivot!I:I)</f>
        <v>Yes x2</v>
      </c>
      <c r="U274" t="str">
        <f>_xlfn.XLOOKUP(B274,Disk_Pivot!G:G,Disk_Pivot!N:N)</f>
        <v>Pass, Fail</v>
      </c>
      <c r="V274" t="str">
        <f>IF(U274="Fail",MacReports!N274,"")</f>
        <v/>
      </c>
      <c r="AB274" t="str">
        <f t="shared" si="10"/>
        <v/>
      </c>
    </row>
    <row r="275" spans="1:28">
      <c r="A275">
        <f>MacReports!A275</f>
        <v>0</v>
      </c>
      <c r="B275">
        <f>MacReports!B275</f>
        <v>0</v>
      </c>
      <c r="C275">
        <f>MacReports!C275</f>
        <v>0</v>
      </c>
      <c r="E275" t="e">
        <f>_xlfn.XLOOKUP(G275,Models!A:A,Models!F:F)</f>
        <v>#N/A</v>
      </c>
      <c r="F275" t="str">
        <f>_xlfn.XLOOKUP(B275,MacReports!B:B,MacReports!D:D,"")</f>
        <v/>
      </c>
      <c r="G275" s="13">
        <f>MacReports!E275</f>
        <v>0</v>
      </c>
      <c r="H275" t="e">
        <f>_xlfn.XLOOKUP(G275,Models!A:A,Models!B:B)</f>
        <v>#N/A</v>
      </c>
      <c r="I275" t="e">
        <f>_xlfn.XLOOKUP(G275,Models!A:A,Models!E:E)</f>
        <v>#N/A</v>
      </c>
      <c r="J275" t="e">
        <f>_xlfn.XLOOKUP(G275,Models!A:A,Models!D:D)</f>
        <v>#N/A</v>
      </c>
      <c r="K275">
        <f>MacReports!F275</f>
        <v>0</v>
      </c>
      <c r="L275">
        <f>MacReports!G275</f>
        <v>0</v>
      </c>
      <c r="M275" s="15" t="e" cm="1">
        <f t="array" ref="M275">--_xlfn.LET(
    _xlpm.txt, MacReports!H275,
    _xlpm.chars, MID(_xlpm.txt, _xlfn.SEQUENCE(LEN(_xlpm.txt)), 1),
    _xlfn.TEXTJOIN("", TRUE, IF(ISNUMBER(--_xlpm.chars), _xlpm.chars, ""))
)</f>
        <v>#VALUE!</v>
      </c>
      <c r="N275" s="16" t="str" cm="1">
        <f t="array" ref="N275">_xlfn.IFS(
   --MacReports!M275&lt;55,"Battery Defect",
  -- MacReports!M275&lt;=69,"Battery D",
  --MacReports!M275&lt;=80,"Battery C",
 --MacReports!M275&gt;80,""
)</f>
        <v>Battery Defect</v>
      </c>
      <c r="O275" s="16" t="str">
        <f>IF(MacReports!I275="Service","Battery Service","")</f>
        <v/>
      </c>
      <c r="P275" s="13">
        <f>MacReports!P275</f>
        <v>0</v>
      </c>
      <c r="Q275" s="13" t="str">
        <f>IF(MacReports!J275="Enabled","Apple ID Lock","")</f>
        <v/>
      </c>
      <c r="R275" s="13" t="str">
        <f>IF(MacReports!L275="y","Remote Locked","")</f>
        <v/>
      </c>
      <c r="S275" t="str">
        <f t="shared" si="9"/>
        <v>Battery Defect, 0</v>
      </c>
      <c r="T275" t="str">
        <f>_xlfn.XLOOKUP(B275,Disk_Pivot!G:G,Disk_Pivot!I:I)</f>
        <v>Yes x2</v>
      </c>
      <c r="U275" t="str">
        <f>_xlfn.XLOOKUP(B275,Disk_Pivot!G:G,Disk_Pivot!N:N)</f>
        <v>Pass, Fail</v>
      </c>
      <c r="V275" t="str">
        <f>IF(U275="Fail",MacReports!N275,"")</f>
        <v/>
      </c>
      <c r="AB275" t="str">
        <f t="shared" si="10"/>
        <v/>
      </c>
    </row>
    <row r="276" spans="1:28">
      <c r="A276">
        <f>MacReports!A276</f>
        <v>0</v>
      </c>
      <c r="B276">
        <f>MacReports!B276</f>
        <v>0</v>
      </c>
      <c r="C276">
        <f>MacReports!C276</f>
        <v>0</v>
      </c>
      <c r="E276" t="e">
        <f>_xlfn.XLOOKUP(G276,Models!A:A,Models!F:F)</f>
        <v>#N/A</v>
      </c>
      <c r="F276" t="str">
        <f>_xlfn.XLOOKUP(B276,MacReports!B:B,MacReports!D:D,"")</f>
        <v/>
      </c>
      <c r="G276" s="13">
        <f>MacReports!E276</f>
        <v>0</v>
      </c>
      <c r="H276" t="e">
        <f>_xlfn.XLOOKUP(G276,Models!A:A,Models!B:B)</f>
        <v>#N/A</v>
      </c>
      <c r="I276" t="e">
        <f>_xlfn.XLOOKUP(G276,Models!A:A,Models!E:E)</f>
        <v>#N/A</v>
      </c>
      <c r="J276" t="e">
        <f>_xlfn.XLOOKUP(G276,Models!A:A,Models!D:D)</f>
        <v>#N/A</v>
      </c>
      <c r="K276">
        <f>MacReports!F276</f>
        <v>0</v>
      </c>
      <c r="L276">
        <f>MacReports!G276</f>
        <v>0</v>
      </c>
      <c r="M276" s="15" t="e" cm="1">
        <f t="array" ref="M276">--_xlfn.LET(
    _xlpm.txt, MacReports!H276,
    _xlpm.chars, MID(_xlpm.txt, _xlfn.SEQUENCE(LEN(_xlpm.txt)), 1),
    _xlfn.TEXTJOIN("", TRUE, IF(ISNUMBER(--_xlpm.chars), _xlpm.chars, ""))
)</f>
        <v>#VALUE!</v>
      </c>
      <c r="N276" s="16" t="str" cm="1">
        <f t="array" ref="N276">_xlfn.IFS(
   --MacReports!M276&lt;55,"Battery Defect",
  -- MacReports!M276&lt;=69,"Battery D",
  --MacReports!M276&lt;=80,"Battery C",
 --MacReports!M276&gt;80,""
)</f>
        <v>Battery Defect</v>
      </c>
      <c r="O276" s="16" t="str">
        <f>IF(MacReports!I276="Service","Battery Service","")</f>
        <v/>
      </c>
      <c r="P276" s="13">
        <f>MacReports!P276</f>
        <v>0</v>
      </c>
      <c r="Q276" s="13" t="str">
        <f>IF(MacReports!J276="Enabled","Apple ID Lock","")</f>
        <v/>
      </c>
      <c r="R276" s="13" t="str">
        <f>IF(MacReports!L276="y","Remote Locked","")</f>
        <v/>
      </c>
      <c r="S276" t="str">
        <f t="shared" si="9"/>
        <v>Battery Defect, 0</v>
      </c>
      <c r="T276" t="str">
        <f>_xlfn.XLOOKUP(B276,Disk_Pivot!G:G,Disk_Pivot!I:I)</f>
        <v>Yes x2</v>
      </c>
      <c r="U276" t="str">
        <f>_xlfn.XLOOKUP(B276,Disk_Pivot!G:G,Disk_Pivot!N:N)</f>
        <v>Pass, Fail</v>
      </c>
      <c r="V276" t="str">
        <f>IF(U276="Fail",MacReports!N276,"")</f>
        <v/>
      </c>
      <c r="AB276" t="str">
        <f t="shared" si="10"/>
        <v/>
      </c>
    </row>
    <row r="277" spans="1:28">
      <c r="A277">
        <f>MacReports!A277</f>
        <v>0</v>
      </c>
      <c r="B277">
        <f>MacReports!B277</f>
        <v>0</v>
      </c>
      <c r="C277">
        <f>MacReports!C277</f>
        <v>0</v>
      </c>
      <c r="E277" t="e">
        <f>_xlfn.XLOOKUP(G277,Models!A:A,Models!F:F)</f>
        <v>#N/A</v>
      </c>
      <c r="F277" t="str">
        <f>_xlfn.XLOOKUP(B277,MacReports!B:B,MacReports!D:D,"")</f>
        <v/>
      </c>
      <c r="G277" s="13">
        <f>MacReports!E277</f>
        <v>0</v>
      </c>
      <c r="H277" t="e">
        <f>_xlfn.XLOOKUP(G277,Models!A:A,Models!B:B)</f>
        <v>#N/A</v>
      </c>
      <c r="I277" t="e">
        <f>_xlfn.XLOOKUP(G277,Models!A:A,Models!E:E)</f>
        <v>#N/A</v>
      </c>
      <c r="J277" t="e">
        <f>_xlfn.XLOOKUP(G277,Models!A:A,Models!D:D)</f>
        <v>#N/A</v>
      </c>
      <c r="K277">
        <f>MacReports!F277</f>
        <v>0</v>
      </c>
      <c r="L277">
        <f>MacReports!G277</f>
        <v>0</v>
      </c>
      <c r="M277" s="15" t="e" cm="1">
        <f t="array" ref="M277">--_xlfn.LET(
    _xlpm.txt, MacReports!H277,
    _xlpm.chars, MID(_xlpm.txt, _xlfn.SEQUENCE(LEN(_xlpm.txt)), 1),
    _xlfn.TEXTJOIN("", TRUE, IF(ISNUMBER(--_xlpm.chars), _xlpm.chars, ""))
)</f>
        <v>#VALUE!</v>
      </c>
      <c r="N277" s="16" t="str" cm="1">
        <f t="array" ref="N277">_xlfn.IFS(
   --MacReports!M277&lt;55,"Battery Defect",
  -- MacReports!M277&lt;=69,"Battery D",
  --MacReports!M277&lt;=80,"Battery C",
 --MacReports!M277&gt;80,""
)</f>
        <v>Battery Defect</v>
      </c>
      <c r="O277" s="16" t="str">
        <f>IF(MacReports!I277="Service","Battery Service","")</f>
        <v/>
      </c>
      <c r="P277" s="13">
        <f>MacReports!P277</f>
        <v>0</v>
      </c>
      <c r="Q277" s="13" t="str">
        <f>IF(MacReports!J277="Enabled","Apple ID Lock","")</f>
        <v/>
      </c>
      <c r="R277" s="13" t="str">
        <f>IF(MacReports!L277="y","Remote Locked","")</f>
        <v/>
      </c>
      <c r="S277" t="str">
        <f t="shared" si="9"/>
        <v>Battery Defect, 0</v>
      </c>
      <c r="T277" t="str">
        <f>_xlfn.XLOOKUP(B277,Disk_Pivot!G:G,Disk_Pivot!I:I)</f>
        <v>Yes x2</v>
      </c>
      <c r="U277" t="str">
        <f>_xlfn.XLOOKUP(B277,Disk_Pivot!G:G,Disk_Pivot!N:N)</f>
        <v>Pass, Fail</v>
      </c>
      <c r="V277" t="str">
        <f>IF(U277="Fail",MacReports!N277,"")</f>
        <v/>
      </c>
      <c r="AB277" t="str">
        <f t="shared" si="10"/>
        <v/>
      </c>
    </row>
    <row r="278" spans="1:28">
      <c r="A278">
        <f>MacReports!A278</f>
        <v>0</v>
      </c>
      <c r="B278">
        <f>MacReports!B278</f>
        <v>0</v>
      </c>
      <c r="C278">
        <f>MacReports!C278</f>
        <v>0</v>
      </c>
      <c r="E278" t="e">
        <f>_xlfn.XLOOKUP(G278,Models!A:A,Models!F:F)</f>
        <v>#N/A</v>
      </c>
      <c r="F278" t="str">
        <f>_xlfn.XLOOKUP(B278,MacReports!B:B,MacReports!D:D,"")</f>
        <v/>
      </c>
      <c r="G278" s="13">
        <f>MacReports!E278</f>
        <v>0</v>
      </c>
      <c r="H278" t="e">
        <f>_xlfn.XLOOKUP(G278,Models!A:A,Models!B:B)</f>
        <v>#N/A</v>
      </c>
      <c r="I278" t="e">
        <f>_xlfn.XLOOKUP(G278,Models!A:A,Models!E:E)</f>
        <v>#N/A</v>
      </c>
      <c r="J278" t="e">
        <f>_xlfn.XLOOKUP(G278,Models!A:A,Models!D:D)</f>
        <v>#N/A</v>
      </c>
      <c r="K278">
        <f>MacReports!F278</f>
        <v>0</v>
      </c>
      <c r="L278">
        <f>MacReports!G278</f>
        <v>0</v>
      </c>
      <c r="M278" s="15" t="e" cm="1">
        <f t="array" ref="M278">--_xlfn.LET(
    _xlpm.txt, MacReports!H278,
    _xlpm.chars, MID(_xlpm.txt, _xlfn.SEQUENCE(LEN(_xlpm.txt)), 1),
    _xlfn.TEXTJOIN("", TRUE, IF(ISNUMBER(--_xlpm.chars), _xlpm.chars, ""))
)</f>
        <v>#VALUE!</v>
      </c>
      <c r="N278" s="16" t="str" cm="1">
        <f t="array" ref="N278">_xlfn.IFS(
   --MacReports!M278&lt;55,"Battery Defect",
  -- MacReports!M278&lt;=69,"Battery D",
  --MacReports!M278&lt;=80,"Battery C",
 --MacReports!M278&gt;80,""
)</f>
        <v>Battery Defect</v>
      </c>
      <c r="O278" s="16" t="str">
        <f>IF(MacReports!I278="Service","Battery Service","")</f>
        <v/>
      </c>
      <c r="P278" s="13">
        <f>MacReports!P278</f>
        <v>0</v>
      </c>
      <c r="Q278" s="13" t="str">
        <f>IF(MacReports!J278="Enabled","Apple ID Lock","")</f>
        <v/>
      </c>
      <c r="R278" s="13" t="str">
        <f>IF(MacReports!L278="y","Remote Locked","")</f>
        <v/>
      </c>
      <c r="S278" t="str">
        <f t="shared" si="9"/>
        <v>Battery Defect, 0</v>
      </c>
      <c r="T278" t="str">
        <f>_xlfn.XLOOKUP(B278,Disk_Pivot!G:G,Disk_Pivot!I:I)</f>
        <v>Yes x2</v>
      </c>
      <c r="U278" t="str">
        <f>_xlfn.XLOOKUP(B278,Disk_Pivot!G:G,Disk_Pivot!N:N)</f>
        <v>Pass, Fail</v>
      </c>
      <c r="V278" t="str">
        <f>IF(U278="Fail",MacReports!N278,"")</f>
        <v/>
      </c>
      <c r="AB278" t="str">
        <f t="shared" si="10"/>
        <v/>
      </c>
    </row>
    <row r="279" spans="1:28">
      <c r="A279">
        <f>MacReports!A279</f>
        <v>0</v>
      </c>
      <c r="B279">
        <f>MacReports!B279</f>
        <v>0</v>
      </c>
      <c r="C279">
        <f>MacReports!C279</f>
        <v>0</v>
      </c>
      <c r="E279" t="e">
        <f>_xlfn.XLOOKUP(G279,Models!A:A,Models!F:F)</f>
        <v>#N/A</v>
      </c>
      <c r="F279" t="str">
        <f>_xlfn.XLOOKUP(B279,MacReports!B:B,MacReports!D:D,"")</f>
        <v/>
      </c>
      <c r="G279" s="13">
        <f>MacReports!E279</f>
        <v>0</v>
      </c>
      <c r="H279" t="e">
        <f>_xlfn.XLOOKUP(G279,Models!A:A,Models!B:B)</f>
        <v>#N/A</v>
      </c>
      <c r="I279" t="e">
        <f>_xlfn.XLOOKUP(G279,Models!A:A,Models!E:E)</f>
        <v>#N/A</v>
      </c>
      <c r="J279" t="e">
        <f>_xlfn.XLOOKUP(G279,Models!A:A,Models!D:D)</f>
        <v>#N/A</v>
      </c>
      <c r="K279">
        <f>MacReports!F279</f>
        <v>0</v>
      </c>
      <c r="L279">
        <f>MacReports!G279</f>
        <v>0</v>
      </c>
      <c r="M279" s="15" t="e" cm="1">
        <f t="array" ref="M279">--_xlfn.LET(
    _xlpm.txt, MacReports!H279,
    _xlpm.chars, MID(_xlpm.txt, _xlfn.SEQUENCE(LEN(_xlpm.txt)), 1),
    _xlfn.TEXTJOIN("", TRUE, IF(ISNUMBER(--_xlpm.chars), _xlpm.chars, ""))
)</f>
        <v>#VALUE!</v>
      </c>
      <c r="N279" s="16" t="str" cm="1">
        <f t="array" ref="N279">_xlfn.IFS(
   --MacReports!M279&lt;55,"Battery Defect",
  -- MacReports!M279&lt;=69,"Battery D",
  --MacReports!M279&lt;=80,"Battery C",
 --MacReports!M279&gt;80,""
)</f>
        <v>Battery Defect</v>
      </c>
      <c r="O279" s="16" t="str">
        <f>IF(MacReports!I279="Service","Battery Service","")</f>
        <v/>
      </c>
      <c r="P279" s="13">
        <f>MacReports!P279</f>
        <v>0</v>
      </c>
      <c r="Q279" s="13" t="str">
        <f>IF(MacReports!J279="Enabled","Apple ID Lock","")</f>
        <v/>
      </c>
      <c r="R279" s="13" t="str">
        <f>IF(MacReports!L279="y","Remote Locked","")</f>
        <v/>
      </c>
      <c r="S279" t="str">
        <f t="shared" si="9"/>
        <v>Battery Defect, 0</v>
      </c>
      <c r="T279" t="str">
        <f>_xlfn.XLOOKUP(B279,Disk_Pivot!G:G,Disk_Pivot!I:I)</f>
        <v>Yes x2</v>
      </c>
      <c r="U279" t="str">
        <f>_xlfn.XLOOKUP(B279,Disk_Pivot!G:G,Disk_Pivot!N:N)</f>
        <v>Pass, Fail</v>
      </c>
      <c r="V279" t="str">
        <f>IF(U279="Fail",MacReports!N279,"")</f>
        <v/>
      </c>
      <c r="AB279" t="str">
        <f t="shared" si="10"/>
        <v/>
      </c>
    </row>
    <row r="280" spans="1:28">
      <c r="A280">
        <f>MacReports!A280</f>
        <v>0</v>
      </c>
      <c r="B280">
        <f>MacReports!B280</f>
        <v>0</v>
      </c>
      <c r="C280">
        <f>MacReports!C280</f>
        <v>0</v>
      </c>
      <c r="E280" t="e">
        <f>_xlfn.XLOOKUP(G280,Models!A:A,Models!F:F)</f>
        <v>#N/A</v>
      </c>
      <c r="F280" t="str">
        <f>_xlfn.XLOOKUP(B280,MacReports!B:B,MacReports!D:D,"")</f>
        <v/>
      </c>
      <c r="G280" s="13">
        <f>MacReports!E280</f>
        <v>0</v>
      </c>
      <c r="H280" t="e">
        <f>_xlfn.XLOOKUP(G280,Models!A:A,Models!B:B)</f>
        <v>#N/A</v>
      </c>
      <c r="I280" t="e">
        <f>_xlfn.XLOOKUP(G280,Models!A:A,Models!E:E)</f>
        <v>#N/A</v>
      </c>
      <c r="J280" t="e">
        <f>_xlfn.XLOOKUP(G280,Models!A:A,Models!D:D)</f>
        <v>#N/A</v>
      </c>
      <c r="K280">
        <f>MacReports!F280</f>
        <v>0</v>
      </c>
      <c r="L280">
        <f>MacReports!G280</f>
        <v>0</v>
      </c>
      <c r="M280" s="15" t="e" cm="1">
        <f t="array" ref="M280">--_xlfn.LET(
    _xlpm.txt, MacReports!H280,
    _xlpm.chars, MID(_xlpm.txt, _xlfn.SEQUENCE(LEN(_xlpm.txt)), 1),
    _xlfn.TEXTJOIN("", TRUE, IF(ISNUMBER(--_xlpm.chars), _xlpm.chars, ""))
)</f>
        <v>#VALUE!</v>
      </c>
      <c r="N280" s="16" t="str" cm="1">
        <f t="array" ref="N280">_xlfn.IFS(
   --MacReports!M280&lt;55,"Battery Defect",
  -- MacReports!M280&lt;=69,"Battery D",
  --MacReports!M280&lt;=80,"Battery C",
 --MacReports!M280&gt;80,""
)</f>
        <v>Battery Defect</v>
      </c>
      <c r="O280" s="16" t="str">
        <f>IF(MacReports!I280="Service","Battery Service","")</f>
        <v/>
      </c>
      <c r="P280" s="13">
        <f>MacReports!P280</f>
        <v>0</v>
      </c>
      <c r="Q280" s="13" t="str">
        <f>IF(MacReports!J280="Enabled","Apple ID Lock","")</f>
        <v/>
      </c>
      <c r="R280" s="13" t="str">
        <f>IF(MacReports!L280="y","Remote Locked","")</f>
        <v/>
      </c>
      <c r="S280" t="str">
        <f t="shared" si="9"/>
        <v>Battery Defect, 0</v>
      </c>
      <c r="T280" t="str">
        <f>_xlfn.XLOOKUP(B280,Disk_Pivot!G:G,Disk_Pivot!I:I)</f>
        <v>Yes x2</v>
      </c>
      <c r="U280" t="str">
        <f>_xlfn.XLOOKUP(B280,Disk_Pivot!G:G,Disk_Pivot!N:N)</f>
        <v>Pass, Fail</v>
      </c>
      <c r="V280" t="str">
        <f>IF(U280="Fail",MacReports!N280,"")</f>
        <v/>
      </c>
      <c r="AB280" t="str">
        <f t="shared" si="10"/>
        <v/>
      </c>
    </row>
    <row r="281" spans="1:28">
      <c r="A281">
        <f>MacReports!A281</f>
        <v>0</v>
      </c>
      <c r="B281">
        <f>MacReports!B281</f>
        <v>0</v>
      </c>
      <c r="C281">
        <f>MacReports!C281</f>
        <v>0</v>
      </c>
      <c r="E281" t="e">
        <f>_xlfn.XLOOKUP(G281,Models!A:A,Models!F:F)</f>
        <v>#N/A</v>
      </c>
      <c r="F281" t="str">
        <f>_xlfn.XLOOKUP(B281,MacReports!B:B,MacReports!D:D,"")</f>
        <v/>
      </c>
      <c r="G281" s="13">
        <f>MacReports!E281</f>
        <v>0</v>
      </c>
      <c r="H281" t="e">
        <f>_xlfn.XLOOKUP(G281,Models!A:A,Models!B:B)</f>
        <v>#N/A</v>
      </c>
      <c r="I281" t="e">
        <f>_xlfn.XLOOKUP(G281,Models!A:A,Models!E:E)</f>
        <v>#N/A</v>
      </c>
      <c r="J281" t="e">
        <f>_xlfn.XLOOKUP(G281,Models!A:A,Models!D:D)</f>
        <v>#N/A</v>
      </c>
      <c r="K281">
        <f>MacReports!F281</f>
        <v>0</v>
      </c>
      <c r="L281">
        <f>MacReports!G281</f>
        <v>0</v>
      </c>
      <c r="M281" s="15" t="e" cm="1">
        <f t="array" ref="M281">--_xlfn.LET(
    _xlpm.txt, MacReports!H281,
    _xlpm.chars, MID(_xlpm.txt, _xlfn.SEQUENCE(LEN(_xlpm.txt)), 1),
    _xlfn.TEXTJOIN("", TRUE, IF(ISNUMBER(--_xlpm.chars), _xlpm.chars, ""))
)</f>
        <v>#VALUE!</v>
      </c>
      <c r="N281" s="16" t="str" cm="1">
        <f t="array" ref="N281">_xlfn.IFS(
   --MacReports!M281&lt;55,"Battery Defect",
  -- MacReports!M281&lt;=69,"Battery D",
  --MacReports!M281&lt;=80,"Battery C",
 --MacReports!M281&gt;80,""
)</f>
        <v>Battery Defect</v>
      </c>
      <c r="O281" s="16" t="str">
        <f>IF(MacReports!I281="Service","Battery Service","")</f>
        <v/>
      </c>
      <c r="P281" s="13">
        <f>MacReports!P281</f>
        <v>0</v>
      </c>
      <c r="Q281" s="13" t="str">
        <f>IF(MacReports!J281="Enabled","Apple ID Lock","")</f>
        <v/>
      </c>
      <c r="R281" s="13" t="str">
        <f>IF(MacReports!L281="y","Remote Locked","")</f>
        <v/>
      </c>
      <c r="S281" t="str">
        <f t="shared" si="9"/>
        <v>Battery Defect, 0</v>
      </c>
      <c r="T281" t="str">
        <f>_xlfn.XLOOKUP(B281,Disk_Pivot!G:G,Disk_Pivot!I:I)</f>
        <v>Yes x2</v>
      </c>
      <c r="U281" t="str">
        <f>_xlfn.XLOOKUP(B281,Disk_Pivot!G:G,Disk_Pivot!N:N)</f>
        <v>Pass, Fail</v>
      </c>
      <c r="V281" t="str">
        <f>IF(U281="Fail",MacReports!N281,"")</f>
        <v/>
      </c>
      <c r="AB281" t="str">
        <f t="shared" si="10"/>
        <v/>
      </c>
    </row>
    <row r="282" spans="1:28">
      <c r="A282">
        <f>MacReports!A282</f>
        <v>0</v>
      </c>
      <c r="B282">
        <f>MacReports!B282</f>
        <v>0</v>
      </c>
      <c r="C282">
        <f>MacReports!C282</f>
        <v>0</v>
      </c>
      <c r="E282" t="e">
        <f>_xlfn.XLOOKUP(G282,Models!A:A,Models!F:F)</f>
        <v>#N/A</v>
      </c>
      <c r="F282" t="str">
        <f>_xlfn.XLOOKUP(B282,MacReports!B:B,MacReports!D:D,"")</f>
        <v/>
      </c>
      <c r="G282" s="13">
        <f>MacReports!E282</f>
        <v>0</v>
      </c>
      <c r="H282" t="e">
        <f>_xlfn.XLOOKUP(G282,Models!A:A,Models!B:B)</f>
        <v>#N/A</v>
      </c>
      <c r="I282" t="e">
        <f>_xlfn.XLOOKUP(G282,Models!A:A,Models!E:E)</f>
        <v>#N/A</v>
      </c>
      <c r="J282" t="e">
        <f>_xlfn.XLOOKUP(G282,Models!A:A,Models!D:D)</f>
        <v>#N/A</v>
      </c>
      <c r="K282">
        <f>MacReports!F282</f>
        <v>0</v>
      </c>
      <c r="L282">
        <f>MacReports!G282</f>
        <v>0</v>
      </c>
      <c r="M282" s="15" t="e" cm="1">
        <f t="array" ref="M282">--_xlfn.LET(
    _xlpm.txt, MacReports!H282,
    _xlpm.chars, MID(_xlpm.txt, _xlfn.SEQUENCE(LEN(_xlpm.txt)), 1),
    _xlfn.TEXTJOIN("", TRUE, IF(ISNUMBER(--_xlpm.chars), _xlpm.chars, ""))
)</f>
        <v>#VALUE!</v>
      </c>
      <c r="N282" s="16" t="str" cm="1">
        <f t="array" ref="N282">_xlfn.IFS(
   --MacReports!M282&lt;55,"Battery Defect",
  -- MacReports!M282&lt;=69,"Battery D",
  --MacReports!M282&lt;=80,"Battery C",
 --MacReports!M282&gt;80,""
)</f>
        <v>Battery Defect</v>
      </c>
      <c r="O282" s="16" t="str">
        <f>IF(MacReports!I282="Service","Battery Service","")</f>
        <v/>
      </c>
      <c r="P282" s="13">
        <f>MacReports!P282</f>
        <v>0</v>
      </c>
      <c r="Q282" s="13" t="str">
        <f>IF(MacReports!J282="Enabled","Apple ID Lock","")</f>
        <v/>
      </c>
      <c r="R282" s="13" t="str">
        <f>IF(MacReports!L282="y","Remote Locked","")</f>
        <v/>
      </c>
      <c r="S282" t="str">
        <f t="shared" si="9"/>
        <v>Battery Defect, 0</v>
      </c>
      <c r="T282" t="str">
        <f>_xlfn.XLOOKUP(B282,Disk_Pivot!G:G,Disk_Pivot!I:I)</f>
        <v>Yes x2</v>
      </c>
      <c r="U282" t="str">
        <f>_xlfn.XLOOKUP(B282,Disk_Pivot!G:G,Disk_Pivot!N:N)</f>
        <v>Pass, Fail</v>
      </c>
      <c r="V282" t="str">
        <f>IF(U282="Fail",MacReports!N282,"")</f>
        <v/>
      </c>
      <c r="AB282" t="str">
        <f t="shared" si="10"/>
        <v/>
      </c>
    </row>
    <row r="283" spans="1:28">
      <c r="A283">
        <f>MacReports!A283</f>
        <v>0</v>
      </c>
      <c r="B283">
        <f>MacReports!B283</f>
        <v>0</v>
      </c>
      <c r="C283">
        <f>MacReports!C283</f>
        <v>0</v>
      </c>
      <c r="E283" t="e">
        <f>_xlfn.XLOOKUP(G283,Models!A:A,Models!F:F)</f>
        <v>#N/A</v>
      </c>
      <c r="F283" t="str">
        <f>_xlfn.XLOOKUP(B283,MacReports!B:B,MacReports!D:D,"")</f>
        <v/>
      </c>
      <c r="G283" s="13">
        <f>MacReports!E283</f>
        <v>0</v>
      </c>
      <c r="H283" t="e">
        <f>_xlfn.XLOOKUP(G283,Models!A:A,Models!B:B)</f>
        <v>#N/A</v>
      </c>
      <c r="I283" t="e">
        <f>_xlfn.XLOOKUP(G283,Models!A:A,Models!E:E)</f>
        <v>#N/A</v>
      </c>
      <c r="J283" t="e">
        <f>_xlfn.XLOOKUP(G283,Models!A:A,Models!D:D)</f>
        <v>#N/A</v>
      </c>
      <c r="K283">
        <f>MacReports!F283</f>
        <v>0</v>
      </c>
      <c r="L283">
        <f>MacReports!G283</f>
        <v>0</v>
      </c>
      <c r="M283" s="15" t="e" cm="1">
        <f t="array" ref="M283">--_xlfn.LET(
    _xlpm.txt, MacReports!H283,
    _xlpm.chars, MID(_xlpm.txt, _xlfn.SEQUENCE(LEN(_xlpm.txt)), 1),
    _xlfn.TEXTJOIN("", TRUE, IF(ISNUMBER(--_xlpm.chars), _xlpm.chars, ""))
)</f>
        <v>#VALUE!</v>
      </c>
      <c r="N283" s="16" t="str" cm="1">
        <f t="array" ref="N283">_xlfn.IFS(
   --MacReports!M283&lt;55,"Battery Defect",
  -- MacReports!M283&lt;=69,"Battery D",
  --MacReports!M283&lt;=80,"Battery C",
 --MacReports!M283&gt;80,""
)</f>
        <v>Battery Defect</v>
      </c>
      <c r="O283" s="16" t="str">
        <f>IF(MacReports!I283="Service","Battery Service","")</f>
        <v/>
      </c>
      <c r="P283" s="13">
        <f>MacReports!P283</f>
        <v>0</v>
      </c>
      <c r="Q283" s="13" t="str">
        <f>IF(MacReports!J283="Enabled","Apple ID Lock","")</f>
        <v/>
      </c>
      <c r="R283" s="13" t="str">
        <f>IF(MacReports!L283="y","Remote Locked","")</f>
        <v/>
      </c>
      <c r="S283" t="str">
        <f t="shared" si="9"/>
        <v>Battery Defect, 0</v>
      </c>
      <c r="T283" t="str">
        <f>_xlfn.XLOOKUP(B283,Disk_Pivot!G:G,Disk_Pivot!I:I)</f>
        <v>Yes x2</v>
      </c>
      <c r="U283" t="str">
        <f>_xlfn.XLOOKUP(B283,Disk_Pivot!G:G,Disk_Pivot!N:N)</f>
        <v>Pass, Fail</v>
      </c>
      <c r="V283" t="str">
        <f>IF(U283="Fail",MacReports!N283,"")</f>
        <v/>
      </c>
      <c r="AB283" t="str">
        <f t="shared" si="10"/>
        <v/>
      </c>
    </row>
    <row r="284" spans="1:28">
      <c r="A284">
        <f>MacReports!A284</f>
        <v>0</v>
      </c>
      <c r="B284">
        <f>MacReports!B284</f>
        <v>0</v>
      </c>
      <c r="C284">
        <f>MacReports!C284</f>
        <v>0</v>
      </c>
      <c r="E284" t="e">
        <f>_xlfn.XLOOKUP(G284,Models!A:A,Models!F:F)</f>
        <v>#N/A</v>
      </c>
      <c r="F284" t="str">
        <f>_xlfn.XLOOKUP(B284,MacReports!B:B,MacReports!D:D,"")</f>
        <v/>
      </c>
      <c r="G284" s="13">
        <f>MacReports!E284</f>
        <v>0</v>
      </c>
      <c r="H284" t="e">
        <f>_xlfn.XLOOKUP(G284,Models!A:A,Models!B:B)</f>
        <v>#N/A</v>
      </c>
      <c r="I284" t="e">
        <f>_xlfn.XLOOKUP(G284,Models!A:A,Models!E:E)</f>
        <v>#N/A</v>
      </c>
      <c r="J284" t="e">
        <f>_xlfn.XLOOKUP(G284,Models!A:A,Models!D:D)</f>
        <v>#N/A</v>
      </c>
      <c r="K284">
        <f>MacReports!F284</f>
        <v>0</v>
      </c>
      <c r="L284">
        <f>MacReports!G284</f>
        <v>0</v>
      </c>
      <c r="M284" s="15" t="e" cm="1">
        <f t="array" ref="M284">--_xlfn.LET(
    _xlpm.txt, MacReports!H284,
    _xlpm.chars, MID(_xlpm.txt, _xlfn.SEQUENCE(LEN(_xlpm.txt)), 1),
    _xlfn.TEXTJOIN("", TRUE, IF(ISNUMBER(--_xlpm.chars), _xlpm.chars, ""))
)</f>
        <v>#VALUE!</v>
      </c>
      <c r="N284" s="16" t="str" cm="1">
        <f t="array" ref="N284">_xlfn.IFS(
   --MacReports!M284&lt;55,"Battery Defect",
  -- MacReports!M284&lt;=69,"Battery D",
  --MacReports!M284&lt;=80,"Battery C",
 --MacReports!M284&gt;80,""
)</f>
        <v>Battery Defect</v>
      </c>
      <c r="O284" s="16" t="str">
        <f>IF(MacReports!I284="Service","Battery Service","")</f>
        <v/>
      </c>
      <c r="P284" s="13">
        <f>MacReports!P284</f>
        <v>0</v>
      </c>
      <c r="Q284" s="13" t="str">
        <f>IF(MacReports!J284="Enabled","Apple ID Lock","")</f>
        <v/>
      </c>
      <c r="R284" s="13" t="str">
        <f>IF(MacReports!L284="y","Remote Locked","")</f>
        <v/>
      </c>
      <c r="S284" t="str">
        <f t="shared" si="9"/>
        <v>Battery Defect, 0</v>
      </c>
      <c r="T284" t="str">
        <f>_xlfn.XLOOKUP(B284,Disk_Pivot!G:G,Disk_Pivot!I:I)</f>
        <v>Yes x2</v>
      </c>
      <c r="U284" t="str">
        <f>_xlfn.XLOOKUP(B284,Disk_Pivot!G:G,Disk_Pivot!N:N)</f>
        <v>Pass, Fail</v>
      </c>
      <c r="V284" t="str">
        <f>IF(U284="Fail",MacReports!N284,"")</f>
        <v/>
      </c>
      <c r="AB284" t="str">
        <f t="shared" si="10"/>
        <v/>
      </c>
    </row>
    <row r="285" spans="1:28">
      <c r="A285">
        <f>MacReports!A285</f>
        <v>0</v>
      </c>
      <c r="B285">
        <f>MacReports!B285</f>
        <v>0</v>
      </c>
      <c r="C285">
        <f>MacReports!C285</f>
        <v>0</v>
      </c>
      <c r="E285" t="e">
        <f>_xlfn.XLOOKUP(G285,Models!A:A,Models!F:F)</f>
        <v>#N/A</v>
      </c>
      <c r="F285" t="str">
        <f>_xlfn.XLOOKUP(B285,MacReports!B:B,MacReports!D:D,"")</f>
        <v/>
      </c>
      <c r="G285" s="13">
        <f>MacReports!E285</f>
        <v>0</v>
      </c>
      <c r="H285" t="e">
        <f>_xlfn.XLOOKUP(G285,Models!A:A,Models!B:B)</f>
        <v>#N/A</v>
      </c>
      <c r="I285" t="e">
        <f>_xlfn.XLOOKUP(G285,Models!A:A,Models!E:E)</f>
        <v>#N/A</v>
      </c>
      <c r="J285" t="e">
        <f>_xlfn.XLOOKUP(G285,Models!A:A,Models!D:D)</f>
        <v>#N/A</v>
      </c>
      <c r="K285">
        <f>MacReports!F285</f>
        <v>0</v>
      </c>
      <c r="L285">
        <f>MacReports!G285</f>
        <v>0</v>
      </c>
      <c r="M285" s="15" t="e" cm="1">
        <f t="array" ref="M285">--_xlfn.LET(
    _xlpm.txt, MacReports!H285,
    _xlpm.chars, MID(_xlpm.txt, _xlfn.SEQUENCE(LEN(_xlpm.txt)), 1),
    _xlfn.TEXTJOIN("", TRUE, IF(ISNUMBER(--_xlpm.chars), _xlpm.chars, ""))
)</f>
        <v>#VALUE!</v>
      </c>
      <c r="N285" s="16" t="str" cm="1">
        <f t="array" ref="N285">_xlfn.IFS(
   --MacReports!M285&lt;55,"Battery Defect",
  -- MacReports!M285&lt;=69,"Battery D",
  --MacReports!M285&lt;=80,"Battery C",
 --MacReports!M285&gt;80,""
)</f>
        <v>Battery Defect</v>
      </c>
      <c r="O285" s="16" t="str">
        <f>IF(MacReports!I285="Service","Battery Service","")</f>
        <v/>
      </c>
      <c r="P285" s="13">
        <f>MacReports!P285</f>
        <v>0</v>
      </c>
      <c r="Q285" s="13" t="str">
        <f>IF(MacReports!J285="Enabled","Apple ID Lock","")</f>
        <v/>
      </c>
      <c r="R285" s="13" t="str">
        <f>IF(MacReports!L285="y","Remote Locked","")</f>
        <v/>
      </c>
      <c r="S285" t="str">
        <f t="shared" si="9"/>
        <v>Battery Defect, 0</v>
      </c>
      <c r="T285" t="str">
        <f>_xlfn.XLOOKUP(B285,Disk_Pivot!G:G,Disk_Pivot!I:I)</f>
        <v>Yes x2</v>
      </c>
      <c r="U285" t="str">
        <f>_xlfn.XLOOKUP(B285,Disk_Pivot!G:G,Disk_Pivot!N:N)</f>
        <v>Pass, Fail</v>
      </c>
      <c r="V285" t="str">
        <f>IF(U285="Fail",MacReports!N285,"")</f>
        <v/>
      </c>
      <c r="AB285" t="str">
        <f t="shared" si="10"/>
        <v/>
      </c>
    </row>
    <row r="286" spans="1:28">
      <c r="A286">
        <f>MacReports!A286</f>
        <v>0</v>
      </c>
      <c r="B286">
        <f>MacReports!B286</f>
        <v>0</v>
      </c>
      <c r="C286">
        <f>MacReports!C286</f>
        <v>0</v>
      </c>
      <c r="E286" t="e">
        <f>_xlfn.XLOOKUP(G286,Models!A:A,Models!F:F)</f>
        <v>#N/A</v>
      </c>
      <c r="F286" t="str">
        <f>_xlfn.XLOOKUP(B286,MacReports!B:B,MacReports!D:D,"")</f>
        <v/>
      </c>
      <c r="G286" s="13">
        <f>MacReports!E286</f>
        <v>0</v>
      </c>
      <c r="H286" t="e">
        <f>_xlfn.XLOOKUP(G286,Models!A:A,Models!B:B)</f>
        <v>#N/A</v>
      </c>
      <c r="I286" t="e">
        <f>_xlfn.XLOOKUP(G286,Models!A:A,Models!E:E)</f>
        <v>#N/A</v>
      </c>
      <c r="J286" t="e">
        <f>_xlfn.XLOOKUP(G286,Models!A:A,Models!D:D)</f>
        <v>#N/A</v>
      </c>
      <c r="K286">
        <f>MacReports!F286</f>
        <v>0</v>
      </c>
      <c r="L286">
        <f>MacReports!G286</f>
        <v>0</v>
      </c>
      <c r="M286" s="15" t="e" cm="1">
        <f t="array" ref="M286">--_xlfn.LET(
    _xlpm.txt, MacReports!H286,
    _xlpm.chars, MID(_xlpm.txt, _xlfn.SEQUENCE(LEN(_xlpm.txt)), 1),
    _xlfn.TEXTJOIN("", TRUE, IF(ISNUMBER(--_xlpm.chars), _xlpm.chars, ""))
)</f>
        <v>#VALUE!</v>
      </c>
      <c r="N286" s="16" t="str" cm="1">
        <f t="array" ref="N286">_xlfn.IFS(
   --MacReports!M286&lt;55,"Battery Defect",
  -- MacReports!M286&lt;=69,"Battery D",
  --MacReports!M286&lt;=80,"Battery C",
 --MacReports!M286&gt;80,""
)</f>
        <v>Battery Defect</v>
      </c>
      <c r="O286" s="16" t="str">
        <f>IF(MacReports!I286="Service","Battery Service","")</f>
        <v/>
      </c>
      <c r="P286" s="13">
        <f>MacReports!P286</f>
        <v>0</v>
      </c>
      <c r="Q286" s="13" t="str">
        <f>IF(MacReports!J286="Enabled","Apple ID Lock","")</f>
        <v/>
      </c>
      <c r="R286" s="13" t="str">
        <f>IF(MacReports!L286="y","Remote Locked","")</f>
        <v/>
      </c>
      <c r="S286" t="str">
        <f t="shared" si="9"/>
        <v>Battery Defect, 0</v>
      </c>
      <c r="T286" t="str">
        <f>_xlfn.XLOOKUP(B286,Disk_Pivot!G:G,Disk_Pivot!I:I)</f>
        <v>Yes x2</v>
      </c>
      <c r="U286" t="str">
        <f>_xlfn.XLOOKUP(B286,Disk_Pivot!G:G,Disk_Pivot!N:N)</f>
        <v>Pass, Fail</v>
      </c>
      <c r="V286" t="str">
        <f>IF(U286="Fail",MacReports!N286,"")</f>
        <v/>
      </c>
      <c r="AB286" t="str">
        <f t="shared" si="10"/>
        <v/>
      </c>
    </row>
    <row r="287" spans="1:28">
      <c r="A287">
        <f>MacReports!A287</f>
        <v>0</v>
      </c>
      <c r="B287">
        <f>MacReports!B287</f>
        <v>0</v>
      </c>
      <c r="C287">
        <f>MacReports!C287</f>
        <v>0</v>
      </c>
      <c r="E287" t="e">
        <f>_xlfn.XLOOKUP(G287,Models!A:A,Models!F:F)</f>
        <v>#N/A</v>
      </c>
      <c r="F287" t="str">
        <f>_xlfn.XLOOKUP(B287,MacReports!B:B,MacReports!D:D,"")</f>
        <v/>
      </c>
      <c r="G287" s="13">
        <f>MacReports!E287</f>
        <v>0</v>
      </c>
      <c r="H287" t="e">
        <f>_xlfn.XLOOKUP(G287,Models!A:A,Models!B:B)</f>
        <v>#N/A</v>
      </c>
      <c r="I287" t="e">
        <f>_xlfn.XLOOKUP(G287,Models!A:A,Models!E:E)</f>
        <v>#N/A</v>
      </c>
      <c r="J287" t="e">
        <f>_xlfn.XLOOKUP(G287,Models!A:A,Models!D:D)</f>
        <v>#N/A</v>
      </c>
      <c r="K287">
        <f>MacReports!F287</f>
        <v>0</v>
      </c>
      <c r="L287">
        <f>MacReports!G287</f>
        <v>0</v>
      </c>
      <c r="M287" s="15" t="e" cm="1">
        <f t="array" ref="M287">--_xlfn.LET(
    _xlpm.txt, MacReports!H287,
    _xlpm.chars, MID(_xlpm.txt, _xlfn.SEQUENCE(LEN(_xlpm.txt)), 1),
    _xlfn.TEXTJOIN("", TRUE, IF(ISNUMBER(--_xlpm.chars), _xlpm.chars, ""))
)</f>
        <v>#VALUE!</v>
      </c>
      <c r="N287" s="16" t="str" cm="1">
        <f t="array" ref="N287">_xlfn.IFS(
   --MacReports!M287&lt;55,"Battery Defect",
  -- MacReports!M287&lt;=69,"Battery D",
  --MacReports!M287&lt;=80,"Battery C",
 --MacReports!M287&gt;80,""
)</f>
        <v>Battery Defect</v>
      </c>
      <c r="O287" s="16" t="str">
        <f>IF(MacReports!I287="Service","Battery Service","")</f>
        <v/>
      </c>
      <c r="P287" s="13">
        <f>MacReports!P287</f>
        <v>0</v>
      </c>
      <c r="Q287" s="13" t="str">
        <f>IF(MacReports!J287="Enabled","Apple ID Lock","")</f>
        <v/>
      </c>
      <c r="R287" s="13" t="str">
        <f>IF(MacReports!L287="y","Remote Locked","")</f>
        <v/>
      </c>
      <c r="S287" t="str">
        <f t="shared" si="9"/>
        <v>Battery Defect, 0</v>
      </c>
      <c r="T287" t="str">
        <f>_xlfn.XLOOKUP(B287,Disk_Pivot!G:G,Disk_Pivot!I:I)</f>
        <v>Yes x2</v>
      </c>
      <c r="U287" t="str">
        <f>_xlfn.XLOOKUP(B287,Disk_Pivot!G:G,Disk_Pivot!N:N)</f>
        <v>Pass, Fail</v>
      </c>
      <c r="V287" t="str">
        <f>IF(U287="Fail",MacReports!N287,"")</f>
        <v/>
      </c>
      <c r="AB287" t="str">
        <f t="shared" si="10"/>
        <v/>
      </c>
    </row>
    <row r="288" spans="1:28">
      <c r="A288">
        <f>MacReports!A288</f>
        <v>0</v>
      </c>
      <c r="B288">
        <f>MacReports!B288</f>
        <v>0</v>
      </c>
      <c r="C288">
        <f>MacReports!C288</f>
        <v>0</v>
      </c>
      <c r="E288" t="e">
        <f>_xlfn.XLOOKUP(G288,Models!A:A,Models!F:F)</f>
        <v>#N/A</v>
      </c>
      <c r="F288" t="str">
        <f>_xlfn.XLOOKUP(B288,MacReports!B:B,MacReports!D:D,"")</f>
        <v/>
      </c>
      <c r="G288" s="13">
        <f>MacReports!E288</f>
        <v>0</v>
      </c>
      <c r="H288" t="e">
        <f>_xlfn.XLOOKUP(G288,Models!A:A,Models!B:B)</f>
        <v>#N/A</v>
      </c>
      <c r="I288" t="e">
        <f>_xlfn.XLOOKUP(G288,Models!A:A,Models!E:E)</f>
        <v>#N/A</v>
      </c>
      <c r="J288" t="e">
        <f>_xlfn.XLOOKUP(G288,Models!A:A,Models!D:D)</f>
        <v>#N/A</v>
      </c>
      <c r="K288">
        <f>MacReports!F288</f>
        <v>0</v>
      </c>
      <c r="L288">
        <f>MacReports!G288</f>
        <v>0</v>
      </c>
      <c r="M288" s="15" t="e" cm="1">
        <f t="array" ref="M288">--_xlfn.LET(
    _xlpm.txt, MacReports!H288,
    _xlpm.chars, MID(_xlpm.txt, _xlfn.SEQUENCE(LEN(_xlpm.txt)), 1),
    _xlfn.TEXTJOIN("", TRUE, IF(ISNUMBER(--_xlpm.chars), _xlpm.chars, ""))
)</f>
        <v>#VALUE!</v>
      </c>
      <c r="N288" s="16" t="str" cm="1">
        <f t="array" ref="N288">_xlfn.IFS(
   --MacReports!M288&lt;55,"Battery Defect",
  -- MacReports!M288&lt;=69,"Battery D",
  --MacReports!M288&lt;=80,"Battery C",
 --MacReports!M288&gt;80,""
)</f>
        <v>Battery Defect</v>
      </c>
      <c r="O288" s="16" t="str">
        <f>IF(MacReports!I288="Service","Battery Service","")</f>
        <v/>
      </c>
      <c r="P288" s="13">
        <f>MacReports!P288</f>
        <v>0</v>
      </c>
      <c r="Q288" s="13" t="str">
        <f>IF(MacReports!J288="Enabled","Apple ID Lock","")</f>
        <v/>
      </c>
      <c r="R288" s="13" t="str">
        <f>IF(MacReports!L288="y","Remote Locked","")</f>
        <v/>
      </c>
      <c r="S288" t="str">
        <f t="shared" si="9"/>
        <v>Battery Defect, 0</v>
      </c>
      <c r="T288" t="str">
        <f>_xlfn.XLOOKUP(B288,Disk_Pivot!G:G,Disk_Pivot!I:I)</f>
        <v>Yes x2</v>
      </c>
      <c r="U288" t="str">
        <f>_xlfn.XLOOKUP(B288,Disk_Pivot!G:G,Disk_Pivot!N:N)</f>
        <v>Pass, Fail</v>
      </c>
      <c r="V288" t="str">
        <f>IF(U288="Fail",MacReports!N288,"")</f>
        <v/>
      </c>
      <c r="AB288" t="str">
        <f t="shared" si="10"/>
        <v/>
      </c>
    </row>
    <row r="289" spans="1:28">
      <c r="A289">
        <f>MacReports!A289</f>
        <v>0</v>
      </c>
      <c r="B289">
        <f>MacReports!B289</f>
        <v>0</v>
      </c>
      <c r="C289">
        <f>MacReports!C289</f>
        <v>0</v>
      </c>
      <c r="E289" t="e">
        <f>_xlfn.XLOOKUP(G289,Models!A:A,Models!F:F)</f>
        <v>#N/A</v>
      </c>
      <c r="F289" t="str">
        <f>_xlfn.XLOOKUP(B289,MacReports!B:B,MacReports!D:D,"")</f>
        <v/>
      </c>
      <c r="G289" s="13">
        <f>MacReports!E289</f>
        <v>0</v>
      </c>
      <c r="H289" t="e">
        <f>_xlfn.XLOOKUP(G289,Models!A:A,Models!B:B)</f>
        <v>#N/A</v>
      </c>
      <c r="I289" t="e">
        <f>_xlfn.XLOOKUP(G289,Models!A:A,Models!E:E)</f>
        <v>#N/A</v>
      </c>
      <c r="J289" t="e">
        <f>_xlfn.XLOOKUP(G289,Models!A:A,Models!D:D)</f>
        <v>#N/A</v>
      </c>
      <c r="K289">
        <f>MacReports!F289</f>
        <v>0</v>
      </c>
      <c r="L289">
        <f>MacReports!G289</f>
        <v>0</v>
      </c>
      <c r="M289" s="15" t="e" cm="1">
        <f t="array" ref="M289">--_xlfn.LET(
    _xlpm.txt, MacReports!H289,
    _xlpm.chars, MID(_xlpm.txt, _xlfn.SEQUENCE(LEN(_xlpm.txt)), 1),
    _xlfn.TEXTJOIN("", TRUE, IF(ISNUMBER(--_xlpm.chars), _xlpm.chars, ""))
)</f>
        <v>#VALUE!</v>
      </c>
      <c r="N289" s="16" t="str" cm="1">
        <f t="array" ref="N289">_xlfn.IFS(
   --MacReports!M289&lt;55,"Battery Defect",
  -- MacReports!M289&lt;=69,"Battery D",
  --MacReports!M289&lt;=80,"Battery C",
 --MacReports!M289&gt;80,""
)</f>
        <v>Battery Defect</v>
      </c>
      <c r="O289" s="16" t="str">
        <f>IF(MacReports!I289="Service","Battery Service","")</f>
        <v/>
      </c>
      <c r="P289" s="13">
        <f>MacReports!P289</f>
        <v>0</v>
      </c>
      <c r="Q289" s="13" t="str">
        <f>IF(MacReports!J289="Enabled","Apple ID Lock","")</f>
        <v/>
      </c>
      <c r="R289" s="13" t="str">
        <f>IF(MacReports!L289="y","Remote Locked","")</f>
        <v/>
      </c>
      <c r="S289" t="str">
        <f t="shared" si="9"/>
        <v>Battery Defect, 0</v>
      </c>
      <c r="T289" t="str">
        <f>_xlfn.XLOOKUP(B289,Disk_Pivot!G:G,Disk_Pivot!I:I)</f>
        <v>Yes x2</v>
      </c>
      <c r="U289" t="str">
        <f>_xlfn.XLOOKUP(B289,Disk_Pivot!G:G,Disk_Pivot!N:N)</f>
        <v>Pass, Fail</v>
      </c>
      <c r="V289" t="str">
        <f>IF(U289="Fail",MacReports!N289,"")</f>
        <v/>
      </c>
      <c r="AB289" t="str">
        <f t="shared" si="10"/>
        <v/>
      </c>
    </row>
    <row r="290" spans="1:28">
      <c r="A290">
        <f>MacReports!A290</f>
        <v>0</v>
      </c>
      <c r="B290">
        <f>MacReports!B290</f>
        <v>0</v>
      </c>
      <c r="C290">
        <f>MacReports!C290</f>
        <v>0</v>
      </c>
      <c r="E290" t="e">
        <f>_xlfn.XLOOKUP(G290,Models!A:A,Models!F:F)</f>
        <v>#N/A</v>
      </c>
      <c r="F290" t="str">
        <f>_xlfn.XLOOKUP(B290,MacReports!B:B,MacReports!D:D,"")</f>
        <v/>
      </c>
      <c r="G290" s="13">
        <f>MacReports!E290</f>
        <v>0</v>
      </c>
      <c r="H290" t="e">
        <f>_xlfn.XLOOKUP(G290,Models!A:A,Models!B:B)</f>
        <v>#N/A</v>
      </c>
      <c r="I290" t="e">
        <f>_xlfn.XLOOKUP(G290,Models!A:A,Models!E:E)</f>
        <v>#N/A</v>
      </c>
      <c r="J290" t="e">
        <f>_xlfn.XLOOKUP(G290,Models!A:A,Models!D:D)</f>
        <v>#N/A</v>
      </c>
      <c r="K290">
        <f>MacReports!F290</f>
        <v>0</v>
      </c>
      <c r="L290">
        <f>MacReports!G290</f>
        <v>0</v>
      </c>
      <c r="M290" s="15" t="e" cm="1">
        <f t="array" ref="M290">--_xlfn.LET(
    _xlpm.txt, MacReports!H290,
    _xlpm.chars, MID(_xlpm.txt, _xlfn.SEQUENCE(LEN(_xlpm.txt)), 1),
    _xlfn.TEXTJOIN("", TRUE, IF(ISNUMBER(--_xlpm.chars), _xlpm.chars, ""))
)</f>
        <v>#VALUE!</v>
      </c>
      <c r="N290" s="16" t="str" cm="1">
        <f t="array" ref="N290">_xlfn.IFS(
   --MacReports!M290&lt;55,"Battery Defect",
  -- MacReports!M290&lt;=69,"Battery D",
  --MacReports!M290&lt;=80,"Battery C",
 --MacReports!M290&gt;80,""
)</f>
        <v>Battery Defect</v>
      </c>
      <c r="O290" s="16" t="str">
        <f>IF(MacReports!I290="Service","Battery Service","")</f>
        <v/>
      </c>
      <c r="P290" s="13">
        <f>MacReports!P290</f>
        <v>0</v>
      </c>
      <c r="Q290" s="13" t="str">
        <f>IF(MacReports!J290="Enabled","Apple ID Lock","")</f>
        <v/>
      </c>
      <c r="R290" s="13" t="str">
        <f>IF(MacReports!L290="y","Remote Locked","")</f>
        <v/>
      </c>
      <c r="S290" t="str">
        <f t="shared" si="9"/>
        <v>Battery Defect, 0</v>
      </c>
      <c r="T290" t="str">
        <f>_xlfn.XLOOKUP(B290,Disk_Pivot!G:G,Disk_Pivot!I:I)</f>
        <v>Yes x2</v>
      </c>
      <c r="U290" t="str">
        <f>_xlfn.XLOOKUP(B290,Disk_Pivot!G:G,Disk_Pivot!N:N)</f>
        <v>Pass, Fail</v>
      </c>
      <c r="V290" t="str">
        <f>IF(U290="Fail",MacReports!N290,"")</f>
        <v/>
      </c>
      <c r="AB290" t="str">
        <f t="shared" si="10"/>
        <v/>
      </c>
    </row>
    <row r="291" spans="1:28">
      <c r="A291">
        <f>MacReports!A291</f>
        <v>0</v>
      </c>
      <c r="B291">
        <f>MacReports!B291</f>
        <v>0</v>
      </c>
      <c r="C291">
        <f>MacReports!C291</f>
        <v>0</v>
      </c>
      <c r="E291" t="e">
        <f>_xlfn.XLOOKUP(G291,Models!A:A,Models!F:F)</f>
        <v>#N/A</v>
      </c>
      <c r="F291" t="str">
        <f>_xlfn.XLOOKUP(B291,MacReports!B:B,MacReports!D:D,"")</f>
        <v/>
      </c>
      <c r="G291" s="13">
        <f>MacReports!E291</f>
        <v>0</v>
      </c>
      <c r="H291" t="e">
        <f>_xlfn.XLOOKUP(G291,Models!A:A,Models!B:B)</f>
        <v>#N/A</v>
      </c>
      <c r="I291" t="e">
        <f>_xlfn.XLOOKUP(G291,Models!A:A,Models!E:E)</f>
        <v>#N/A</v>
      </c>
      <c r="J291" t="e">
        <f>_xlfn.XLOOKUP(G291,Models!A:A,Models!D:D)</f>
        <v>#N/A</v>
      </c>
      <c r="K291">
        <f>MacReports!F291</f>
        <v>0</v>
      </c>
      <c r="L291">
        <f>MacReports!G291</f>
        <v>0</v>
      </c>
      <c r="M291" s="15" t="e" cm="1">
        <f t="array" ref="M291">--_xlfn.LET(
    _xlpm.txt, MacReports!H291,
    _xlpm.chars, MID(_xlpm.txt, _xlfn.SEQUENCE(LEN(_xlpm.txt)), 1),
    _xlfn.TEXTJOIN("", TRUE, IF(ISNUMBER(--_xlpm.chars), _xlpm.chars, ""))
)</f>
        <v>#VALUE!</v>
      </c>
      <c r="N291" s="16" t="str" cm="1">
        <f t="array" ref="N291">_xlfn.IFS(
   --MacReports!M291&lt;55,"Battery Defect",
  -- MacReports!M291&lt;=69,"Battery D",
  --MacReports!M291&lt;=80,"Battery C",
 --MacReports!M291&gt;80,""
)</f>
        <v>Battery Defect</v>
      </c>
      <c r="O291" s="16" t="str">
        <f>IF(MacReports!I291="Service","Battery Service","")</f>
        <v/>
      </c>
      <c r="P291" s="13">
        <f>MacReports!P291</f>
        <v>0</v>
      </c>
      <c r="Q291" s="13" t="str">
        <f>IF(MacReports!J291="Enabled","Apple ID Lock","")</f>
        <v/>
      </c>
      <c r="R291" s="13" t="str">
        <f>IF(MacReports!L291="y","Remote Locked","")</f>
        <v/>
      </c>
      <c r="S291" t="str">
        <f t="shared" ref="S291:S354" si="11">_xlfn.TEXTJOIN(", ",TRUE,Q291,R291,N291,O291,P291)</f>
        <v>Battery Defect, 0</v>
      </c>
      <c r="T291" t="str">
        <f>_xlfn.XLOOKUP(B291,Disk_Pivot!G:G,Disk_Pivot!I:I)</f>
        <v>Yes x2</v>
      </c>
      <c r="U291" t="str">
        <f>_xlfn.XLOOKUP(B291,Disk_Pivot!G:G,Disk_Pivot!N:N)</f>
        <v>Pass, Fail</v>
      </c>
      <c r="V291" t="str">
        <f>IF(U291="Fail",MacReports!N291,"")</f>
        <v/>
      </c>
      <c r="AB291" t="str">
        <f t="shared" ref="AB291:AB354" si="12">_xlfn.TEXTJOIN(", ",TRUE,Q291,R291)</f>
        <v/>
      </c>
    </row>
    <row r="292" spans="1:28">
      <c r="A292">
        <f>MacReports!A292</f>
        <v>0</v>
      </c>
      <c r="B292">
        <f>MacReports!B292</f>
        <v>0</v>
      </c>
      <c r="C292">
        <f>MacReports!C292</f>
        <v>0</v>
      </c>
      <c r="E292" t="e">
        <f>_xlfn.XLOOKUP(G292,Models!A:A,Models!F:F)</f>
        <v>#N/A</v>
      </c>
      <c r="F292" t="str">
        <f>_xlfn.XLOOKUP(B292,MacReports!B:B,MacReports!D:D,"")</f>
        <v/>
      </c>
      <c r="G292" s="13">
        <f>MacReports!E292</f>
        <v>0</v>
      </c>
      <c r="H292" t="e">
        <f>_xlfn.XLOOKUP(G292,Models!A:A,Models!B:B)</f>
        <v>#N/A</v>
      </c>
      <c r="I292" t="e">
        <f>_xlfn.XLOOKUP(G292,Models!A:A,Models!E:E)</f>
        <v>#N/A</v>
      </c>
      <c r="J292" t="e">
        <f>_xlfn.XLOOKUP(G292,Models!A:A,Models!D:D)</f>
        <v>#N/A</v>
      </c>
      <c r="K292">
        <f>MacReports!F292</f>
        <v>0</v>
      </c>
      <c r="L292">
        <f>MacReports!G292</f>
        <v>0</v>
      </c>
      <c r="M292" s="15" t="e" cm="1">
        <f t="array" ref="M292">--_xlfn.LET(
    _xlpm.txt, MacReports!H292,
    _xlpm.chars, MID(_xlpm.txt, _xlfn.SEQUENCE(LEN(_xlpm.txt)), 1),
    _xlfn.TEXTJOIN("", TRUE, IF(ISNUMBER(--_xlpm.chars), _xlpm.chars, ""))
)</f>
        <v>#VALUE!</v>
      </c>
      <c r="N292" s="16" t="str" cm="1">
        <f t="array" ref="N292">_xlfn.IFS(
   --MacReports!M292&lt;55,"Battery Defect",
  -- MacReports!M292&lt;=69,"Battery D",
  --MacReports!M292&lt;=80,"Battery C",
 --MacReports!M292&gt;80,""
)</f>
        <v>Battery Defect</v>
      </c>
      <c r="O292" s="16" t="str">
        <f>IF(MacReports!I292="Service","Battery Service","")</f>
        <v/>
      </c>
      <c r="P292" s="13">
        <f>MacReports!P292</f>
        <v>0</v>
      </c>
      <c r="Q292" s="13" t="str">
        <f>IF(MacReports!J292="Enabled","Apple ID Lock","")</f>
        <v/>
      </c>
      <c r="R292" s="13" t="str">
        <f>IF(MacReports!L292="y","Remote Locked","")</f>
        <v/>
      </c>
      <c r="S292" t="str">
        <f t="shared" si="11"/>
        <v>Battery Defect, 0</v>
      </c>
      <c r="T292" t="str">
        <f>_xlfn.XLOOKUP(B292,Disk_Pivot!G:G,Disk_Pivot!I:I)</f>
        <v>Yes x2</v>
      </c>
      <c r="U292" t="str">
        <f>_xlfn.XLOOKUP(B292,Disk_Pivot!G:G,Disk_Pivot!N:N)</f>
        <v>Pass, Fail</v>
      </c>
      <c r="V292" t="str">
        <f>IF(U292="Fail",MacReports!N292,"")</f>
        <v/>
      </c>
      <c r="AB292" t="str">
        <f t="shared" si="12"/>
        <v/>
      </c>
    </row>
    <row r="293" spans="1:28">
      <c r="A293">
        <f>MacReports!A293</f>
        <v>0</v>
      </c>
      <c r="B293">
        <f>MacReports!B293</f>
        <v>0</v>
      </c>
      <c r="C293">
        <f>MacReports!C293</f>
        <v>0</v>
      </c>
      <c r="E293" t="e">
        <f>_xlfn.XLOOKUP(G293,Models!A:A,Models!F:F)</f>
        <v>#N/A</v>
      </c>
      <c r="F293" t="str">
        <f>_xlfn.XLOOKUP(B293,MacReports!B:B,MacReports!D:D,"")</f>
        <v/>
      </c>
      <c r="G293" s="13">
        <f>MacReports!E293</f>
        <v>0</v>
      </c>
      <c r="H293" t="e">
        <f>_xlfn.XLOOKUP(G293,Models!A:A,Models!B:B)</f>
        <v>#N/A</v>
      </c>
      <c r="I293" t="e">
        <f>_xlfn.XLOOKUP(G293,Models!A:A,Models!E:E)</f>
        <v>#N/A</v>
      </c>
      <c r="J293" t="e">
        <f>_xlfn.XLOOKUP(G293,Models!A:A,Models!D:D)</f>
        <v>#N/A</v>
      </c>
      <c r="K293">
        <f>MacReports!F293</f>
        <v>0</v>
      </c>
      <c r="L293">
        <f>MacReports!G293</f>
        <v>0</v>
      </c>
      <c r="M293" s="15" t="e" cm="1">
        <f t="array" ref="M293">--_xlfn.LET(
    _xlpm.txt, MacReports!H293,
    _xlpm.chars, MID(_xlpm.txt, _xlfn.SEQUENCE(LEN(_xlpm.txt)), 1),
    _xlfn.TEXTJOIN("", TRUE, IF(ISNUMBER(--_xlpm.chars), _xlpm.chars, ""))
)</f>
        <v>#VALUE!</v>
      </c>
      <c r="N293" s="16" t="str" cm="1">
        <f t="array" ref="N293">_xlfn.IFS(
   --MacReports!M293&lt;55,"Battery Defect",
  -- MacReports!M293&lt;=69,"Battery D",
  --MacReports!M293&lt;=80,"Battery C",
 --MacReports!M293&gt;80,""
)</f>
        <v>Battery Defect</v>
      </c>
      <c r="O293" s="16" t="str">
        <f>IF(MacReports!I293="Service","Battery Service","")</f>
        <v/>
      </c>
      <c r="P293" s="13">
        <f>MacReports!P293</f>
        <v>0</v>
      </c>
      <c r="Q293" s="13" t="str">
        <f>IF(MacReports!J293="Enabled","Apple ID Lock","")</f>
        <v/>
      </c>
      <c r="R293" s="13" t="str">
        <f>IF(MacReports!L293="y","Remote Locked","")</f>
        <v/>
      </c>
      <c r="S293" t="str">
        <f t="shared" si="11"/>
        <v>Battery Defect, 0</v>
      </c>
      <c r="T293" t="str">
        <f>_xlfn.XLOOKUP(B293,Disk_Pivot!G:G,Disk_Pivot!I:I)</f>
        <v>Yes x2</v>
      </c>
      <c r="U293" t="str">
        <f>_xlfn.XLOOKUP(B293,Disk_Pivot!G:G,Disk_Pivot!N:N)</f>
        <v>Pass, Fail</v>
      </c>
      <c r="V293" t="str">
        <f>IF(U293="Fail",MacReports!N293,"")</f>
        <v/>
      </c>
      <c r="AB293" t="str">
        <f t="shared" si="12"/>
        <v/>
      </c>
    </row>
    <row r="294" spans="1:28">
      <c r="A294">
        <f>MacReports!A294</f>
        <v>0</v>
      </c>
      <c r="B294">
        <f>MacReports!B294</f>
        <v>0</v>
      </c>
      <c r="C294">
        <f>MacReports!C294</f>
        <v>0</v>
      </c>
      <c r="E294" t="e">
        <f>_xlfn.XLOOKUP(G294,Models!A:A,Models!F:F)</f>
        <v>#N/A</v>
      </c>
      <c r="F294" t="str">
        <f>_xlfn.XLOOKUP(B294,MacReports!B:B,MacReports!D:D,"")</f>
        <v/>
      </c>
      <c r="G294" s="13">
        <f>MacReports!E294</f>
        <v>0</v>
      </c>
      <c r="H294" t="e">
        <f>_xlfn.XLOOKUP(G294,Models!A:A,Models!B:B)</f>
        <v>#N/A</v>
      </c>
      <c r="I294" t="e">
        <f>_xlfn.XLOOKUP(G294,Models!A:A,Models!E:E)</f>
        <v>#N/A</v>
      </c>
      <c r="J294" t="e">
        <f>_xlfn.XLOOKUP(G294,Models!A:A,Models!D:D)</f>
        <v>#N/A</v>
      </c>
      <c r="K294">
        <f>MacReports!F294</f>
        <v>0</v>
      </c>
      <c r="L294">
        <f>MacReports!G294</f>
        <v>0</v>
      </c>
      <c r="M294" s="15" t="e" cm="1">
        <f t="array" ref="M294">--_xlfn.LET(
    _xlpm.txt, MacReports!H294,
    _xlpm.chars, MID(_xlpm.txt, _xlfn.SEQUENCE(LEN(_xlpm.txt)), 1),
    _xlfn.TEXTJOIN("", TRUE, IF(ISNUMBER(--_xlpm.chars), _xlpm.chars, ""))
)</f>
        <v>#VALUE!</v>
      </c>
      <c r="N294" s="16" t="str" cm="1">
        <f t="array" ref="N294">_xlfn.IFS(
   --MacReports!M294&lt;55,"Battery Defect",
  -- MacReports!M294&lt;=69,"Battery D",
  --MacReports!M294&lt;=80,"Battery C",
 --MacReports!M294&gt;80,""
)</f>
        <v>Battery Defect</v>
      </c>
      <c r="O294" s="16" t="str">
        <f>IF(MacReports!I294="Service","Battery Service","")</f>
        <v/>
      </c>
      <c r="P294" s="13">
        <f>MacReports!P294</f>
        <v>0</v>
      </c>
      <c r="Q294" s="13" t="str">
        <f>IF(MacReports!J294="Enabled","Apple ID Lock","")</f>
        <v/>
      </c>
      <c r="R294" s="13" t="str">
        <f>IF(MacReports!L294="y","Remote Locked","")</f>
        <v/>
      </c>
      <c r="S294" t="str">
        <f t="shared" si="11"/>
        <v>Battery Defect, 0</v>
      </c>
      <c r="T294" t="str">
        <f>_xlfn.XLOOKUP(B294,Disk_Pivot!G:G,Disk_Pivot!I:I)</f>
        <v>Yes x2</v>
      </c>
      <c r="U294" t="str">
        <f>_xlfn.XLOOKUP(B294,Disk_Pivot!G:G,Disk_Pivot!N:N)</f>
        <v>Pass, Fail</v>
      </c>
      <c r="V294" t="str">
        <f>IF(U294="Fail",MacReports!N294,"")</f>
        <v/>
      </c>
      <c r="AB294" t="str">
        <f t="shared" si="12"/>
        <v/>
      </c>
    </row>
    <row r="295" spans="1:28">
      <c r="A295">
        <f>MacReports!A295</f>
        <v>0</v>
      </c>
      <c r="B295">
        <f>MacReports!B295</f>
        <v>0</v>
      </c>
      <c r="C295">
        <f>MacReports!C295</f>
        <v>0</v>
      </c>
      <c r="E295" t="e">
        <f>_xlfn.XLOOKUP(G295,Models!A:A,Models!F:F)</f>
        <v>#N/A</v>
      </c>
      <c r="F295" t="str">
        <f>_xlfn.XLOOKUP(B295,MacReports!B:B,MacReports!D:D,"")</f>
        <v/>
      </c>
      <c r="G295" s="13">
        <f>MacReports!E295</f>
        <v>0</v>
      </c>
      <c r="H295" t="e">
        <f>_xlfn.XLOOKUP(G295,Models!A:A,Models!B:B)</f>
        <v>#N/A</v>
      </c>
      <c r="I295" t="e">
        <f>_xlfn.XLOOKUP(G295,Models!A:A,Models!E:E)</f>
        <v>#N/A</v>
      </c>
      <c r="J295" t="e">
        <f>_xlfn.XLOOKUP(G295,Models!A:A,Models!D:D)</f>
        <v>#N/A</v>
      </c>
      <c r="K295">
        <f>MacReports!F295</f>
        <v>0</v>
      </c>
      <c r="L295">
        <f>MacReports!G295</f>
        <v>0</v>
      </c>
      <c r="M295" s="15" t="e" cm="1">
        <f t="array" ref="M295">--_xlfn.LET(
    _xlpm.txt, MacReports!H295,
    _xlpm.chars, MID(_xlpm.txt, _xlfn.SEQUENCE(LEN(_xlpm.txt)), 1),
    _xlfn.TEXTJOIN("", TRUE, IF(ISNUMBER(--_xlpm.chars), _xlpm.chars, ""))
)</f>
        <v>#VALUE!</v>
      </c>
      <c r="N295" s="16" t="str" cm="1">
        <f t="array" ref="N295">_xlfn.IFS(
   --MacReports!M295&lt;55,"Battery Defect",
  -- MacReports!M295&lt;=69,"Battery D",
  --MacReports!M295&lt;=80,"Battery C",
 --MacReports!M295&gt;80,""
)</f>
        <v>Battery Defect</v>
      </c>
      <c r="O295" s="16" t="str">
        <f>IF(MacReports!I295="Service","Battery Service","")</f>
        <v/>
      </c>
      <c r="P295" s="13">
        <f>MacReports!P295</f>
        <v>0</v>
      </c>
      <c r="Q295" s="13" t="str">
        <f>IF(MacReports!J295="Enabled","Apple ID Lock","")</f>
        <v/>
      </c>
      <c r="R295" s="13" t="str">
        <f>IF(MacReports!L295="y","Remote Locked","")</f>
        <v/>
      </c>
      <c r="S295" t="str">
        <f t="shared" si="11"/>
        <v>Battery Defect, 0</v>
      </c>
      <c r="T295" t="str">
        <f>_xlfn.XLOOKUP(B295,Disk_Pivot!G:G,Disk_Pivot!I:I)</f>
        <v>Yes x2</v>
      </c>
      <c r="U295" t="str">
        <f>_xlfn.XLOOKUP(B295,Disk_Pivot!G:G,Disk_Pivot!N:N)</f>
        <v>Pass, Fail</v>
      </c>
      <c r="V295" t="str">
        <f>IF(U295="Fail",MacReports!N295,"")</f>
        <v/>
      </c>
      <c r="AB295" t="str">
        <f t="shared" si="12"/>
        <v/>
      </c>
    </row>
    <row r="296" spans="1:28">
      <c r="A296">
        <f>MacReports!A296</f>
        <v>0</v>
      </c>
      <c r="B296">
        <f>MacReports!B296</f>
        <v>0</v>
      </c>
      <c r="C296">
        <f>MacReports!C296</f>
        <v>0</v>
      </c>
      <c r="E296" t="e">
        <f>_xlfn.XLOOKUP(G296,Models!A:A,Models!F:F)</f>
        <v>#N/A</v>
      </c>
      <c r="F296" t="str">
        <f>_xlfn.XLOOKUP(B296,MacReports!B:B,MacReports!D:D,"")</f>
        <v/>
      </c>
      <c r="G296" s="13">
        <f>MacReports!E296</f>
        <v>0</v>
      </c>
      <c r="H296" t="e">
        <f>_xlfn.XLOOKUP(G296,Models!A:A,Models!B:B)</f>
        <v>#N/A</v>
      </c>
      <c r="I296" t="e">
        <f>_xlfn.XLOOKUP(G296,Models!A:A,Models!E:E)</f>
        <v>#N/A</v>
      </c>
      <c r="J296" t="e">
        <f>_xlfn.XLOOKUP(G296,Models!A:A,Models!D:D)</f>
        <v>#N/A</v>
      </c>
      <c r="K296">
        <f>MacReports!F296</f>
        <v>0</v>
      </c>
      <c r="L296">
        <f>MacReports!G296</f>
        <v>0</v>
      </c>
      <c r="M296" s="15" t="e" cm="1">
        <f t="array" ref="M296">--_xlfn.LET(
    _xlpm.txt, MacReports!H296,
    _xlpm.chars, MID(_xlpm.txt, _xlfn.SEQUENCE(LEN(_xlpm.txt)), 1),
    _xlfn.TEXTJOIN("", TRUE, IF(ISNUMBER(--_xlpm.chars), _xlpm.chars, ""))
)</f>
        <v>#VALUE!</v>
      </c>
      <c r="N296" s="16" t="str" cm="1">
        <f t="array" ref="N296">_xlfn.IFS(
   --MacReports!M296&lt;55,"Battery Defect",
  -- MacReports!M296&lt;=69,"Battery D",
  --MacReports!M296&lt;=80,"Battery C",
 --MacReports!M296&gt;80,""
)</f>
        <v>Battery Defect</v>
      </c>
      <c r="O296" s="16" t="str">
        <f>IF(MacReports!I296="Service","Battery Service","")</f>
        <v/>
      </c>
      <c r="P296" s="13">
        <f>MacReports!P296</f>
        <v>0</v>
      </c>
      <c r="Q296" s="13" t="str">
        <f>IF(MacReports!J296="Enabled","Apple ID Lock","")</f>
        <v/>
      </c>
      <c r="R296" s="13" t="str">
        <f>IF(MacReports!L296="y","Remote Locked","")</f>
        <v/>
      </c>
      <c r="S296" t="str">
        <f t="shared" si="11"/>
        <v>Battery Defect, 0</v>
      </c>
      <c r="T296" t="str">
        <f>_xlfn.XLOOKUP(B296,Disk_Pivot!G:G,Disk_Pivot!I:I)</f>
        <v>Yes x2</v>
      </c>
      <c r="U296" t="str">
        <f>_xlfn.XLOOKUP(B296,Disk_Pivot!G:G,Disk_Pivot!N:N)</f>
        <v>Pass, Fail</v>
      </c>
      <c r="V296" t="str">
        <f>IF(U296="Fail",MacReports!N296,"")</f>
        <v/>
      </c>
      <c r="AB296" t="str">
        <f t="shared" si="12"/>
        <v/>
      </c>
    </row>
    <row r="297" spans="1:28">
      <c r="A297">
        <f>MacReports!A297</f>
        <v>0</v>
      </c>
      <c r="B297">
        <f>MacReports!B297</f>
        <v>0</v>
      </c>
      <c r="C297">
        <f>MacReports!C297</f>
        <v>0</v>
      </c>
      <c r="E297" t="e">
        <f>_xlfn.XLOOKUP(G297,Models!A:A,Models!F:F)</f>
        <v>#N/A</v>
      </c>
      <c r="F297" t="str">
        <f>_xlfn.XLOOKUP(B297,MacReports!B:B,MacReports!D:D,"")</f>
        <v/>
      </c>
      <c r="G297" s="13">
        <f>MacReports!E297</f>
        <v>0</v>
      </c>
      <c r="H297" t="e">
        <f>_xlfn.XLOOKUP(G297,Models!A:A,Models!B:B)</f>
        <v>#N/A</v>
      </c>
      <c r="I297" t="e">
        <f>_xlfn.XLOOKUP(G297,Models!A:A,Models!E:E)</f>
        <v>#N/A</v>
      </c>
      <c r="J297" t="e">
        <f>_xlfn.XLOOKUP(G297,Models!A:A,Models!D:D)</f>
        <v>#N/A</v>
      </c>
      <c r="K297">
        <f>MacReports!F297</f>
        <v>0</v>
      </c>
      <c r="L297">
        <f>MacReports!G297</f>
        <v>0</v>
      </c>
      <c r="M297" s="15" t="e" cm="1">
        <f t="array" ref="M297">--_xlfn.LET(
    _xlpm.txt, MacReports!H297,
    _xlpm.chars, MID(_xlpm.txt, _xlfn.SEQUENCE(LEN(_xlpm.txt)), 1),
    _xlfn.TEXTJOIN("", TRUE, IF(ISNUMBER(--_xlpm.chars), _xlpm.chars, ""))
)</f>
        <v>#VALUE!</v>
      </c>
      <c r="N297" s="16" t="str" cm="1">
        <f t="array" ref="N297">_xlfn.IFS(
   --MacReports!M297&lt;55,"Battery Defect",
  -- MacReports!M297&lt;=69,"Battery D",
  --MacReports!M297&lt;=80,"Battery C",
 --MacReports!M297&gt;80,""
)</f>
        <v>Battery Defect</v>
      </c>
      <c r="O297" s="16" t="str">
        <f>IF(MacReports!I297="Service","Battery Service","")</f>
        <v/>
      </c>
      <c r="P297" s="13">
        <f>MacReports!P297</f>
        <v>0</v>
      </c>
      <c r="Q297" s="13" t="str">
        <f>IF(MacReports!J297="Enabled","Apple ID Lock","")</f>
        <v/>
      </c>
      <c r="R297" s="13" t="str">
        <f>IF(MacReports!L297="y","Remote Locked","")</f>
        <v/>
      </c>
      <c r="S297" t="str">
        <f t="shared" si="11"/>
        <v>Battery Defect, 0</v>
      </c>
      <c r="T297" t="str">
        <f>_xlfn.XLOOKUP(B297,Disk_Pivot!G:G,Disk_Pivot!I:I)</f>
        <v>Yes x2</v>
      </c>
      <c r="U297" t="str">
        <f>_xlfn.XLOOKUP(B297,Disk_Pivot!G:G,Disk_Pivot!N:N)</f>
        <v>Pass, Fail</v>
      </c>
      <c r="V297" t="str">
        <f>IF(U297="Fail",MacReports!N297,"")</f>
        <v/>
      </c>
      <c r="AB297" t="str">
        <f t="shared" si="12"/>
        <v/>
      </c>
    </row>
    <row r="298" spans="1:28">
      <c r="A298">
        <f>MacReports!A298</f>
        <v>0</v>
      </c>
      <c r="B298">
        <f>MacReports!B298</f>
        <v>0</v>
      </c>
      <c r="C298">
        <f>MacReports!C298</f>
        <v>0</v>
      </c>
      <c r="E298" t="e">
        <f>_xlfn.XLOOKUP(G298,Models!A:A,Models!F:F)</f>
        <v>#N/A</v>
      </c>
      <c r="F298" t="str">
        <f>_xlfn.XLOOKUP(B298,MacReports!B:B,MacReports!D:D,"")</f>
        <v/>
      </c>
      <c r="G298" s="13">
        <f>MacReports!E298</f>
        <v>0</v>
      </c>
      <c r="H298" t="e">
        <f>_xlfn.XLOOKUP(G298,Models!A:A,Models!B:B)</f>
        <v>#N/A</v>
      </c>
      <c r="I298" t="e">
        <f>_xlfn.XLOOKUP(G298,Models!A:A,Models!E:E)</f>
        <v>#N/A</v>
      </c>
      <c r="J298" t="e">
        <f>_xlfn.XLOOKUP(G298,Models!A:A,Models!D:D)</f>
        <v>#N/A</v>
      </c>
      <c r="K298">
        <f>MacReports!F298</f>
        <v>0</v>
      </c>
      <c r="L298">
        <f>MacReports!G298</f>
        <v>0</v>
      </c>
      <c r="M298" s="15" t="e" cm="1">
        <f t="array" ref="M298">--_xlfn.LET(
    _xlpm.txt, MacReports!H298,
    _xlpm.chars, MID(_xlpm.txt, _xlfn.SEQUENCE(LEN(_xlpm.txt)), 1),
    _xlfn.TEXTJOIN("", TRUE, IF(ISNUMBER(--_xlpm.chars), _xlpm.chars, ""))
)</f>
        <v>#VALUE!</v>
      </c>
      <c r="N298" s="16" t="str" cm="1">
        <f t="array" ref="N298">_xlfn.IFS(
   --MacReports!M298&lt;55,"Battery Defect",
  -- MacReports!M298&lt;=69,"Battery D",
  --MacReports!M298&lt;=80,"Battery C",
 --MacReports!M298&gt;80,""
)</f>
        <v>Battery Defect</v>
      </c>
      <c r="O298" s="16" t="str">
        <f>IF(MacReports!I298="Service","Battery Service","")</f>
        <v/>
      </c>
      <c r="P298" s="13">
        <f>MacReports!P298</f>
        <v>0</v>
      </c>
      <c r="Q298" s="13" t="str">
        <f>IF(MacReports!J298="Enabled","Apple ID Lock","")</f>
        <v/>
      </c>
      <c r="R298" s="13" t="str">
        <f>IF(MacReports!L298="y","Remote Locked","")</f>
        <v/>
      </c>
      <c r="S298" t="str">
        <f t="shared" si="11"/>
        <v>Battery Defect, 0</v>
      </c>
      <c r="T298" t="str">
        <f>_xlfn.XLOOKUP(B298,Disk_Pivot!G:G,Disk_Pivot!I:I)</f>
        <v>Yes x2</v>
      </c>
      <c r="U298" t="str">
        <f>_xlfn.XLOOKUP(B298,Disk_Pivot!G:G,Disk_Pivot!N:N)</f>
        <v>Pass, Fail</v>
      </c>
      <c r="V298" t="str">
        <f>IF(U298="Fail",MacReports!N298,"")</f>
        <v/>
      </c>
      <c r="AB298" t="str">
        <f t="shared" si="12"/>
        <v/>
      </c>
    </row>
    <row r="299" spans="1:28">
      <c r="A299">
        <f>MacReports!A299</f>
        <v>0</v>
      </c>
      <c r="B299">
        <f>MacReports!B299</f>
        <v>0</v>
      </c>
      <c r="C299">
        <f>MacReports!C299</f>
        <v>0</v>
      </c>
      <c r="E299" t="e">
        <f>_xlfn.XLOOKUP(G299,Models!A:A,Models!F:F)</f>
        <v>#N/A</v>
      </c>
      <c r="F299" t="str">
        <f>_xlfn.XLOOKUP(B299,MacReports!B:B,MacReports!D:D,"")</f>
        <v/>
      </c>
      <c r="G299" s="13">
        <f>MacReports!E299</f>
        <v>0</v>
      </c>
      <c r="H299" t="e">
        <f>_xlfn.XLOOKUP(G299,Models!A:A,Models!B:B)</f>
        <v>#N/A</v>
      </c>
      <c r="I299" t="e">
        <f>_xlfn.XLOOKUP(G299,Models!A:A,Models!E:E)</f>
        <v>#N/A</v>
      </c>
      <c r="J299" t="e">
        <f>_xlfn.XLOOKUP(G299,Models!A:A,Models!D:D)</f>
        <v>#N/A</v>
      </c>
      <c r="K299">
        <f>MacReports!F299</f>
        <v>0</v>
      </c>
      <c r="L299">
        <f>MacReports!G299</f>
        <v>0</v>
      </c>
      <c r="M299" s="15" t="e" cm="1">
        <f t="array" ref="M299">--_xlfn.LET(
    _xlpm.txt, MacReports!H299,
    _xlpm.chars, MID(_xlpm.txt, _xlfn.SEQUENCE(LEN(_xlpm.txt)), 1),
    _xlfn.TEXTJOIN("", TRUE, IF(ISNUMBER(--_xlpm.chars), _xlpm.chars, ""))
)</f>
        <v>#VALUE!</v>
      </c>
      <c r="N299" s="16" t="str" cm="1">
        <f t="array" ref="N299">_xlfn.IFS(
   --MacReports!M299&lt;55,"Battery Defect",
  -- MacReports!M299&lt;=69,"Battery D",
  --MacReports!M299&lt;=80,"Battery C",
 --MacReports!M299&gt;80,""
)</f>
        <v>Battery Defect</v>
      </c>
      <c r="O299" s="16" t="str">
        <f>IF(MacReports!I299="Service","Battery Service","")</f>
        <v/>
      </c>
      <c r="P299" s="13">
        <f>MacReports!P299</f>
        <v>0</v>
      </c>
      <c r="Q299" s="13" t="str">
        <f>IF(MacReports!J299="Enabled","Apple ID Lock","")</f>
        <v/>
      </c>
      <c r="R299" s="13" t="str">
        <f>IF(MacReports!L299="y","Remote Locked","")</f>
        <v/>
      </c>
      <c r="S299" t="str">
        <f t="shared" si="11"/>
        <v>Battery Defect, 0</v>
      </c>
      <c r="T299" t="str">
        <f>_xlfn.XLOOKUP(B299,Disk_Pivot!G:G,Disk_Pivot!I:I)</f>
        <v>Yes x2</v>
      </c>
      <c r="U299" t="str">
        <f>_xlfn.XLOOKUP(B299,Disk_Pivot!G:G,Disk_Pivot!N:N)</f>
        <v>Pass, Fail</v>
      </c>
      <c r="V299" t="str">
        <f>IF(U299="Fail",MacReports!N299,"")</f>
        <v/>
      </c>
      <c r="AB299" t="str">
        <f t="shared" si="12"/>
        <v/>
      </c>
    </row>
    <row r="300" spans="1:28">
      <c r="A300">
        <f>MacReports!A300</f>
        <v>0</v>
      </c>
      <c r="B300">
        <f>MacReports!B300</f>
        <v>0</v>
      </c>
      <c r="C300">
        <f>MacReports!C300</f>
        <v>0</v>
      </c>
      <c r="E300" t="e">
        <f>_xlfn.XLOOKUP(G300,Models!A:A,Models!F:F)</f>
        <v>#N/A</v>
      </c>
      <c r="F300" t="str">
        <f>_xlfn.XLOOKUP(B300,MacReports!B:B,MacReports!D:D,"")</f>
        <v/>
      </c>
      <c r="G300" s="13">
        <f>MacReports!E300</f>
        <v>0</v>
      </c>
      <c r="H300" t="e">
        <f>_xlfn.XLOOKUP(G300,Models!A:A,Models!B:B)</f>
        <v>#N/A</v>
      </c>
      <c r="I300" t="e">
        <f>_xlfn.XLOOKUP(G300,Models!A:A,Models!E:E)</f>
        <v>#N/A</v>
      </c>
      <c r="J300" t="e">
        <f>_xlfn.XLOOKUP(G300,Models!A:A,Models!D:D)</f>
        <v>#N/A</v>
      </c>
      <c r="K300">
        <f>MacReports!F300</f>
        <v>0</v>
      </c>
      <c r="L300">
        <f>MacReports!G300</f>
        <v>0</v>
      </c>
      <c r="M300" s="15" t="e" cm="1">
        <f t="array" ref="M300">--_xlfn.LET(
    _xlpm.txt, MacReports!H300,
    _xlpm.chars, MID(_xlpm.txt, _xlfn.SEQUENCE(LEN(_xlpm.txt)), 1),
    _xlfn.TEXTJOIN("", TRUE, IF(ISNUMBER(--_xlpm.chars), _xlpm.chars, ""))
)</f>
        <v>#VALUE!</v>
      </c>
      <c r="N300" s="16" t="str" cm="1">
        <f t="array" ref="N300">_xlfn.IFS(
   --MacReports!M300&lt;55,"Battery Defect",
  -- MacReports!M300&lt;=69,"Battery D",
  --MacReports!M300&lt;=80,"Battery C",
 --MacReports!M300&gt;80,""
)</f>
        <v>Battery Defect</v>
      </c>
      <c r="O300" s="16" t="str">
        <f>IF(MacReports!I300="Service","Battery Service","")</f>
        <v/>
      </c>
      <c r="P300" s="13">
        <f>MacReports!P300</f>
        <v>0</v>
      </c>
      <c r="Q300" s="13" t="str">
        <f>IF(MacReports!J300="Enabled","Apple ID Lock","")</f>
        <v/>
      </c>
      <c r="R300" s="13" t="str">
        <f>IF(MacReports!L300="y","Remote Locked","")</f>
        <v/>
      </c>
      <c r="S300" t="str">
        <f t="shared" si="11"/>
        <v>Battery Defect, 0</v>
      </c>
      <c r="T300" t="str">
        <f>_xlfn.XLOOKUP(B300,Disk_Pivot!G:G,Disk_Pivot!I:I)</f>
        <v>Yes x2</v>
      </c>
      <c r="U300" t="str">
        <f>_xlfn.XLOOKUP(B300,Disk_Pivot!G:G,Disk_Pivot!N:N)</f>
        <v>Pass, Fail</v>
      </c>
      <c r="V300" t="str">
        <f>IF(U300="Fail",MacReports!N300,"")</f>
        <v/>
      </c>
      <c r="AB300" t="str">
        <f t="shared" si="12"/>
        <v/>
      </c>
    </row>
    <row r="301" spans="1:28">
      <c r="A301">
        <f>MacReports!A301</f>
        <v>0</v>
      </c>
      <c r="B301">
        <f>MacReports!B301</f>
        <v>0</v>
      </c>
      <c r="C301">
        <f>MacReports!C301</f>
        <v>0</v>
      </c>
      <c r="E301" t="e">
        <f>_xlfn.XLOOKUP(G301,Models!A:A,Models!F:F)</f>
        <v>#N/A</v>
      </c>
      <c r="F301" t="str">
        <f>_xlfn.XLOOKUP(B301,MacReports!B:B,MacReports!D:D,"")</f>
        <v/>
      </c>
      <c r="G301" s="13">
        <f>MacReports!E301</f>
        <v>0</v>
      </c>
      <c r="H301" t="e">
        <f>_xlfn.XLOOKUP(G301,Models!A:A,Models!B:B)</f>
        <v>#N/A</v>
      </c>
      <c r="I301" t="e">
        <f>_xlfn.XLOOKUP(G301,Models!A:A,Models!E:E)</f>
        <v>#N/A</v>
      </c>
      <c r="J301" t="e">
        <f>_xlfn.XLOOKUP(G301,Models!A:A,Models!D:D)</f>
        <v>#N/A</v>
      </c>
      <c r="K301">
        <f>MacReports!F301</f>
        <v>0</v>
      </c>
      <c r="L301">
        <f>MacReports!G301</f>
        <v>0</v>
      </c>
      <c r="M301" s="15" t="e" cm="1">
        <f t="array" ref="M301">--_xlfn.LET(
    _xlpm.txt, MacReports!H301,
    _xlpm.chars, MID(_xlpm.txt, _xlfn.SEQUENCE(LEN(_xlpm.txt)), 1),
    _xlfn.TEXTJOIN("", TRUE, IF(ISNUMBER(--_xlpm.chars), _xlpm.chars, ""))
)</f>
        <v>#VALUE!</v>
      </c>
      <c r="N301" s="16" t="str" cm="1">
        <f t="array" ref="N301">_xlfn.IFS(
   --MacReports!M301&lt;55,"Battery Defect",
  -- MacReports!M301&lt;=69,"Battery D",
  --MacReports!M301&lt;=80,"Battery C",
 --MacReports!M301&gt;80,""
)</f>
        <v>Battery Defect</v>
      </c>
      <c r="O301" s="16" t="str">
        <f>IF(MacReports!I301="Service","Battery Service","")</f>
        <v/>
      </c>
      <c r="P301" s="13">
        <f>MacReports!P301</f>
        <v>0</v>
      </c>
      <c r="Q301" s="13" t="str">
        <f>IF(MacReports!J301="Enabled","Apple ID Lock","")</f>
        <v/>
      </c>
      <c r="R301" s="13" t="str">
        <f>IF(MacReports!L301="y","Remote Locked","")</f>
        <v/>
      </c>
      <c r="S301" t="str">
        <f t="shared" si="11"/>
        <v>Battery Defect, 0</v>
      </c>
      <c r="T301" t="str">
        <f>_xlfn.XLOOKUP(B301,Disk_Pivot!G:G,Disk_Pivot!I:I)</f>
        <v>Yes x2</v>
      </c>
      <c r="U301" t="str">
        <f>_xlfn.XLOOKUP(B301,Disk_Pivot!G:G,Disk_Pivot!N:N)</f>
        <v>Pass, Fail</v>
      </c>
      <c r="V301" t="str">
        <f>IF(U301="Fail",MacReports!N301,"")</f>
        <v/>
      </c>
      <c r="AB301" t="str">
        <f t="shared" si="12"/>
        <v/>
      </c>
    </row>
    <row r="302" spans="1:28">
      <c r="A302">
        <f>MacReports!A302</f>
        <v>0</v>
      </c>
      <c r="B302">
        <f>MacReports!B302</f>
        <v>0</v>
      </c>
      <c r="C302">
        <f>MacReports!C302</f>
        <v>0</v>
      </c>
      <c r="E302" t="e">
        <f>_xlfn.XLOOKUP(G302,Models!A:A,Models!F:F)</f>
        <v>#N/A</v>
      </c>
      <c r="F302" t="str">
        <f>_xlfn.XLOOKUP(B302,MacReports!B:B,MacReports!D:D,"")</f>
        <v/>
      </c>
      <c r="G302" s="13">
        <f>MacReports!E302</f>
        <v>0</v>
      </c>
      <c r="H302" t="e">
        <f>_xlfn.XLOOKUP(G302,Models!A:A,Models!B:B)</f>
        <v>#N/A</v>
      </c>
      <c r="I302" t="e">
        <f>_xlfn.XLOOKUP(G302,Models!A:A,Models!E:E)</f>
        <v>#N/A</v>
      </c>
      <c r="J302" t="e">
        <f>_xlfn.XLOOKUP(G302,Models!A:A,Models!D:D)</f>
        <v>#N/A</v>
      </c>
      <c r="K302">
        <f>MacReports!F302</f>
        <v>0</v>
      </c>
      <c r="L302">
        <f>MacReports!G302</f>
        <v>0</v>
      </c>
      <c r="M302" s="15" t="e" cm="1">
        <f t="array" ref="M302">--_xlfn.LET(
    _xlpm.txt, MacReports!H302,
    _xlpm.chars, MID(_xlpm.txt, _xlfn.SEQUENCE(LEN(_xlpm.txt)), 1),
    _xlfn.TEXTJOIN("", TRUE, IF(ISNUMBER(--_xlpm.chars), _xlpm.chars, ""))
)</f>
        <v>#VALUE!</v>
      </c>
      <c r="N302" s="16" t="str" cm="1">
        <f t="array" ref="N302">_xlfn.IFS(
   --MacReports!M302&lt;55,"Battery Defect",
  -- MacReports!M302&lt;=69,"Battery D",
  --MacReports!M302&lt;=80,"Battery C",
 --MacReports!M302&gt;80,""
)</f>
        <v>Battery Defect</v>
      </c>
      <c r="O302" s="16" t="str">
        <f>IF(MacReports!I302="Service","Battery Service","")</f>
        <v/>
      </c>
      <c r="P302" s="13">
        <f>MacReports!P302</f>
        <v>0</v>
      </c>
      <c r="Q302" s="13" t="str">
        <f>IF(MacReports!J302="Enabled","Apple ID Lock","")</f>
        <v/>
      </c>
      <c r="R302" s="13" t="str">
        <f>IF(MacReports!L302="y","Remote Locked","")</f>
        <v/>
      </c>
      <c r="S302" t="str">
        <f t="shared" si="11"/>
        <v>Battery Defect, 0</v>
      </c>
      <c r="T302" t="str">
        <f>_xlfn.XLOOKUP(B302,Disk_Pivot!G:G,Disk_Pivot!I:I)</f>
        <v>Yes x2</v>
      </c>
      <c r="U302" t="str">
        <f>_xlfn.XLOOKUP(B302,Disk_Pivot!G:G,Disk_Pivot!N:N)</f>
        <v>Pass, Fail</v>
      </c>
      <c r="V302" t="str">
        <f>IF(U302="Fail",MacReports!N302,"")</f>
        <v/>
      </c>
      <c r="AB302" t="str">
        <f t="shared" si="12"/>
        <v/>
      </c>
    </row>
    <row r="303" spans="1:28">
      <c r="A303">
        <f>MacReports!A303</f>
        <v>0</v>
      </c>
      <c r="B303">
        <f>MacReports!B303</f>
        <v>0</v>
      </c>
      <c r="C303">
        <f>MacReports!C303</f>
        <v>0</v>
      </c>
      <c r="E303" t="e">
        <f>_xlfn.XLOOKUP(G303,Models!A:A,Models!F:F)</f>
        <v>#N/A</v>
      </c>
      <c r="F303" t="str">
        <f>_xlfn.XLOOKUP(B303,MacReports!B:B,MacReports!D:D,"")</f>
        <v/>
      </c>
      <c r="G303" s="13">
        <f>MacReports!E303</f>
        <v>0</v>
      </c>
      <c r="H303" t="e">
        <f>_xlfn.XLOOKUP(G303,Models!A:A,Models!B:B)</f>
        <v>#N/A</v>
      </c>
      <c r="I303" t="e">
        <f>_xlfn.XLOOKUP(G303,Models!A:A,Models!E:E)</f>
        <v>#N/A</v>
      </c>
      <c r="J303" t="e">
        <f>_xlfn.XLOOKUP(G303,Models!A:A,Models!D:D)</f>
        <v>#N/A</v>
      </c>
      <c r="K303">
        <f>MacReports!F303</f>
        <v>0</v>
      </c>
      <c r="L303">
        <f>MacReports!G303</f>
        <v>0</v>
      </c>
      <c r="M303" s="15" t="e" cm="1">
        <f t="array" ref="M303">--_xlfn.LET(
    _xlpm.txt, MacReports!H303,
    _xlpm.chars, MID(_xlpm.txt, _xlfn.SEQUENCE(LEN(_xlpm.txt)), 1),
    _xlfn.TEXTJOIN("", TRUE, IF(ISNUMBER(--_xlpm.chars), _xlpm.chars, ""))
)</f>
        <v>#VALUE!</v>
      </c>
      <c r="N303" s="16" t="str" cm="1">
        <f t="array" ref="N303">_xlfn.IFS(
   --MacReports!M303&lt;55,"Battery Defect",
  -- MacReports!M303&lt;=69,"Battery D",
  --MacReports!M303&lt;=80,"Battery C",
 --MacReports!M303&gt;80,""
)</f>
        <v>Battery Defect</v>
      </c>
      <c r="O303" s="16" t="str">
        <f>IF(MacReports!I303="Service","Battery Service","")</f>
        <v/>
      </c>
      <c r="P303" s="13">
        <f>MacReports!P303</f>
        <v>0</v>
      </c>
      <c r="Q303" s="13" t="str">
        <f>IF(MacReports!J303="Enabled","Apple ID Lock","")</f>
        <v/>
      </c>
      <c r="R303" s="13" t="str">
        <f>IF(MacReports!L303="y","Remote Locked","")</f>
        <v/>
      </c>
      <c r="S303" t="str">
        <f t="shared" si="11"/>
        <v>Battery Defect, 0</v>
      </c>
      <c r="T303" t="str">
        <f>_xlfn.XLOOKUP(B303,Disk_Pivot!G:G,Disk_Pivot!I:I)</f>
        <v>Yes x2</v>
      </c>
      <c r="U303" t="str">
        <f>_xlfn.XLOOKUP(B303,Disk_Pivot!G:G,Disk_Pivot!N:N)</f>
        <v>Pass, Fail</v>
      </c>
      <c r="V303" t="str">
        <f>IF(U303="Fail",MacReports!N303,"")</f>
        <v/>
      </c>
      <c r="AB303" t="str">
        <f t="shared" si="12"/>
        <v/>
      </c>
    </row>
    <row r="304" spans="1:28">
      <c r="A304">
        <f>MacReports!A304</f>
        <v>0</v>
      </c>
      <c r="B304">
        <f>MacReports!B304</f>
        <v>0</v>
      </c>
      <c r="C304">
        <f>MacReports!C304</f>
        <v>0</v>
      </c>
      <c r="E304" t="e">
        <f>_xlfn.XLOOKUP(G304,Models!A:A,Models!F:F)</f>
        <v>#N/A</v>
      </c>
      <c r="F304" t="str">
        <f>_xlfn.XLOOKUP(B304,MacReports!B:B,MacReports!D:D,"")</f>
        <v/>
      </c>
      <c r="G304" s="13">
        <f>MacReports!E304</f>
        <v>0</v>
      </c>
      <c r="H304" t="e">
        <f>_xlfn.XLOOKUP(G304,Models!A:A,Models!B:B)</f>
        <v>#N/A</v>
      </c>
      <c r="I304" t="e">
        <f>_xlfn.XLOOKUP(G304,Models!A:A,Models!E:E)</f>
        <v>#N/A</v>
      </c>
      <c r="J304" t="e">
        <f>_xlfn.XLOOKUP(G304,Models!A:A,Models!D:D)</f>
        <v>#N/A</v>
      </c>
      <c r="K304">
        <f>MacReports!F304</f>
        <v>0</v>
      </c>
      <c r="L304">
        <f>MacReports!G304</f>
        <v>0</v>
      </c>
      <c r="M304" s="15" t="e" cm="1">
        <f t="array" ref="M304">--_xlfn.LET(
    _xlpm.txt, MacReports!H304,
    _xlpm.chars, MID(_xlpm.txt, _xlfn.SEQUENCE(LEN(_xlpm.txt)), 1),
    _xlfn.TEXTJOIN("", TRUE, IF(ISNUMBER(--_xlpm.chars), _xlpm.chars, ""))
)</f>
        <v>#VALUE!</v>
      </c>
      <c r="N304" s="16" t="str" cm="1">
        <f t="array" ref="N304">_xlfn.IFS(
   --MacReports!M304&lt;55,"Battery Defect",
  -- MacReports!M304&lt;=69,"Battery D",
  --MacReports!M304&lt;=80,"Battery C",
 --MacReports!M304&gt;80,""
)</f>
        <v>Battery Defect</v>
      </c>
      <c r="O304" s="16" t="str">
        <f>IF(MacReports!I304="Service","Battery Service","")</f>
        <v/>
      </c>
      <c r="P304" s="13">
        <f>MacReports!P304</f>
        <v>0</v>
      </c>
      <c r="Q304" s="13" t="str">
        <f>IF(MacReports!J304="Enabled","Apple ID Lock","")</f>
        <v/>
      </c>
      <c r="R304" s="13" t="str">
        <f>IF(MacReports!L304="y","Remote Locked","")</f>
        <v/>
      </c>
      <c r="S304" t="str">
        <f t="shared" si="11"/>
        <v>Battery Defect, 0</v>
      </c>
      <c r="T304" t="str">
        <f>_xlfn.XLOOKUP(B304,Disk_Pivot!G:G,Disk_Pivot!I:I)</f>
        <v>Yes x2</v>
      </c>
      <c r="U304" t="str">
        <f>_xlfn.XLOOKUP(B304,Disk_Pivot!G:G,Disk_Pivot!N:N)</f>
        <v>Pass, Fail</v>
      </c>
      <c r="V304" t="str">
        <f>IF(U304="Fail",MacReports!N304,"")</f>
        <v/>
      </c>
      <c r="AB304" t="str">
        <f t="shared" si="12"/>
        <v/>
      </c>
    </row>
    <row r="305" spans="1:28">
      <c r="A305">
        <f>MacReports!A305</f>
        <v>0</v>
      </c>
      <c r="B305">
        <f>MacReports!B305</f>
        <v>0</v>
      </c>
      <c r="C305">
        <f>MacReports!C305</f>
        <v>0</v>
      </c>
      <c r="E305" t="e">
        <f>_xlfn.XLOOKUP(G305,Models!A:A,Models!F:F)</f>
        <v>#N/A</v>
      </c>
      <c r="F305" t="str">
        <f>_xlfn.XLOOKUP(B305,MacReports!B:B,MacReports!D:D,"")</f>
        <v/>
      </c>
      <c r="G305" s="13">
        <f>MacReports!E305</f>
        <v>0</v>
      </c>
      <c r="H305" t="e">
        <f>_xlfn.XLOOKUP(G305,Models!A:A,Models!B:B)</f>
        <v>#N/A</v>
      </c>
      <c r="I305" t="e">
        <f>_xlfn.XLOOKUP(G305,Models!A:A,Models!E:E)</f>
        <v>#N/A</v>
      </c>
      <c r="J305" t="e">
        <f>_xlfn.XLOOKUP(G305,Models!A:A,Models!D:D)</f>
        <v>#N/A</v>
      </c>
      <c r="K305">
        <f>MacReports!F305</f>
        <v>0</v>
      </c>
      <c r="L305">
        <f>MacReports!G305</f>
        <v>0</v>
      </c>
      <c r="M305" s="15" t="e" cm="1">
        <f t="array" ref="M305">--_xlfn.LET(
    _xlpm.txt, MacReports!H305,
    _xlpm.chars, MID(_xlpm.txt, _xlfn.SEQUENCE(LEN(_xlpm.txt)), 1),
    _xlfn.TEXTJOIN("", TRUE, IF(ISNUMBER(--_xlpm.chars), _xlpm.chars, ""))
)</f>
        <v>#VALUE!</v>
      </c>
      <c r="N305" s="16" t="str" cm="1">
        <f t="array" ref="N305">_xlfn.IFS(
   --MacReports!M305&lt;55,"Battery Defect",
  -- MacReports!M305&lt;=69,"Battery D",
  --MacReports!M305&lt;=80,"Battery C",
 --MacReports!M305&gt;80,""
)</f>
        <v>Battery Defect</v>
      </c>
      <c r="O305" s="16" t="str">
        <f>IF(MacReports!I305="Service","Battery Service","")</f>
        <v/>
      </c>
      <c r="P305" s="13">
        <f>MacReports!P305</f>
        <v>0</v>
      </c>
      <c r="Q305" s="13" t="str">
        <f>IF(MacReports!J305="Enabled","Apple ID Lock","")</f>
        <v/>
      </c>
      <c r="R305" s="13" t="str">
        <f>IF(MacReports!L305="y","Remote Locked","")</f>
        <v/>
      </c>
      <c r="S305" t="str">
        <f t="shared" si="11"/>
        <v>Battery Defect, 0</v>
      </c>
      <c r="T305" t="str">
        <f>_xlfn.XLOOKUP(B305,Disk_Pivot!G:G,Disk_Pivot!I:I)</f>
        <v>Yes x2</v>
      </c>
      <c r="U305" t="str">
        <f>_xlfn.XLOOKUP(B305,Disk_Pivot!G:G,Disk_Pivot!N:N)</f>
        <v>Pass, Fail</v>
      </c>
      <c r="V305" t="str">
        <f>IF(U305="Fail",MacReports!N305,"")</f>
        <v/>
      </c>
      <c r="AB305" t="str">
        <f t="shared" si="12"/>
        <v/>
      </c>
    </row>
    <row r="306" spans="1:28">
      <c r="A306">
        <f>MacReports!A306</f>
        <v>0</v>
      </c>
      <c r="B306">
        <f>MacReports!B306</f>
        <v>0</v>
      </c>
      <c r="C306">
        <f>MacReports!C306</f>
        <v>0</v>
      </c>
      <c r="E306" t="e">
        <f>_xlfn.XLOOKUP(G306,Models!A:A,Models!F:F)</f>
        <v>#N/A</v>
      </c>
      <c r="F306" t="str">
        <f>_xlfn.XLOOKUP(B306,MacReports!B:B,MacReports!D:D,"")</f>
        <v/>
      </c>
      <c r="G306" s="13">
        <f>MacReports!E306</f>
        <v>0</v>
      </c>
      <c r="H306" t="e">
        <f>_xlfn.XLOOKUP(G306,Models!A:A,Models!B:B)</f>
        <v>#N/A</v>
      </c>
      <c r="I306" t="e">
        <f>_xlfn.XLOOKUP(G306,Models!A:A,Models!E:E)</f>
        <v>#N/A</v>
      </c>
      <c r="J306" t="e">
        <f>_xlfn.XLOOKUP(G306,Models!A:A,Models!D:D)</f>
        <v>#N/A</v>
      </c>
      <c r="K306">
        <f>MacReports!F306</f>
        <v>0</v>
      </c>
      <c r="L306">
        <f>MacReports!G306</f>
        <v>0</v>
      </c>
      <c r="M306" s="15" t="e" cm="1">
        <f t="array" ref="M306">--_xlfn.LET(
    _xlpm.txt, MacReports!H306,
    _xlpm.chars, MID(_xlpm.txt, _xlfn.SEQUENCE(LEN(_xlpm.txt)), 1),
    _xlfn.TEXTJOIN("", TRUE, IF(ISNUMBER(--_xlpm.chars), _xlpm.chars, ""))
)</f>
        <v>#VALUE!</v>
      </c>
      <c r="N306" s="16" t="str" cm="1">
        <f t="array" ref="N306">_xlfn.IFS(
   --MacReports!M306&lt;55,"Battery Defect",
  -- MacReports!M306&lt;=69,"Battery D",
  --MacReports!M306&lt;=80,"Battery C",
 --MacReports!M306&gt;80,""
)</f>
        <v>Battery Defect</v>
      </c>
      <c r="O306" s="16" t="str">
        <f>IF(MacReports!I306="Service","Battery Service","")</f>
        <v/>
      </c>
      <c r="P306" s="13">
        <f>MacReports!P306</f>
        <v>0</v>
      </c>
      <c r="Q306" s="13" t="str">
        <f>IF(MacReports!J306="Enabled","Apple ID Lock","")</f>
        <v/>
      </c>
      <c r="R306" s="13" t="str">
        <f>IF(MacReports!L306="y","Remote Locked","")</f>
        <v/>
      </c>
      <c r="S306" t="str">
        <f t="shared" si="11"/>
        <v>Battery Defect, 0</v>
      </c>
      <c r="T306" t="str">
        <f>_xlfn.XLOOKUP(B306,Disk_Pivot!G:G,Disk_Pivot!I:I)</f>
        <v>Yes x2</v>
      </c>
      <c r="U306" t="str">
        <f>_xlfn.XLOOKUP(B306,Disk_Pivot!G:G,Disk_Pivot!N:N)</f>
        <v>Pass, Fail</v>
      </c>
      <c r="V306" t="str">
        <f>IF(U306="Fail",MacReports!N306,"")</f>
        <v/>
      </c>
      <c r="AB306" t="str">
        <f t="shared" si="12"/>
        <v/>
      </c>
    </row>
    <row r="307" spans="1:28">
      <c r="A307">
        <f>MacReports!A307</f>
        <v>0</v>
      </c>
      <c r="B307">
        <f>MacReports!B307</f>
        <v>0</v>
      </c>
      <c r="C307">
        <f>MacReports!C307</f>
        <v>0</v>
      </c>
      <c r="E307" t="e">
        <f>_xlfn.XLOOKUP(G307,Models!A:A,Models!F:F)</f>
        <v>#N/A</v>
      </c>
      <c r="F307" t="str">
        <f>_xlfn.XLOOKUP(B307,MacReports!B:B,MacReports!D:D,"")</f>
        <v/>
      </c>
      <c r="G307" s="13">
        <f>MacReports!E307</f>
        <v>0</v>
      </c>
      <c r="H307" t="e">
        <f>_xlfn.XLOOKUP(G307,Models!A:A,Models!B:B)</f>
        <v>#N/A</v>
      </c>
      <c r="I307" t="e">
        <f>_xlfn.XLOOKUP(G307,Models!A:A,Models!E:E)</f>
        <v>#N/A</v>
      </c>
      <c r="J307" t="e">
        <f>_xlfn.XLOOKUP(G307,Models!A:A,Models!D:D)</f>
        <v>#N/A</v>
      </c>
      <c r="K307">
        <f>MacReports!F307</f>
        <v>0</v>
      </c>
      <c r="L307">
        <f>MacReports!G307</f>
        <v>0</v>
      </c>
      <c r="M307" s="15" t="e" cm="1">
        <f t="array" ref="M307">--_xlfn.LET(
    _xlpm.txt, MacReports!H307,
    _xlpm.chars, MID(_xlpm.txt, _xlfn.SEQUENCE(LEN(_xlpm.txt)), 1),
    _xlfn.TEXTJOIN("", TRUE, IF(ISNUMBER(--_xlpm.chars), _xlpm.chars, ""))
)</f>
        <v>#VALUE!</v>
      </c>
      <c r="N307" s="16" t="str" cm="1">
        <f t="array" ref="N307">_xlfn.IFS(
   --MacReports!M307&lt;55,"Battery Defect",
  -- MacReports!M307&lt;=69,"Battery D",
  --MacReports!M307&lt;=80,"Battery C",
 --MacReports!M307&gt;80,""
)</f>
        <v>Battery Defect</v>
      </c>
      <c r="O307" s="16" t="str">
        <f>IF(MacReports!I307="Service","Battery Service","")</f>
        <v/>
      </c>
      <c r="P307" s="13">
        <f>MacReports!P307</f>
        <v>0</v>
      </c>
      <c r="Q307" s="13" t="str">
        <f>IF(MacReports!J307="Enabled","Apple ID Lock","")</f>
        <v/>
      </c>
      <c r="R307" s="13" t="str">
        <f>IF(MacReports!L307="y","Remote Locked","")</f>
        <v/>
      </c>
      <c r="S307" t="str">
        <f t="shared" si="11"/>
        <v>Battery Defect, 0</v>
      </c>
      <c r="T307" t="str">
        <f>_xlfn.XLOOKUP(B307,Disk_Pivot!G:G,Disk_Pivot!I:I)</f>
        <v>Yes x2</v>
      </c>
      <c r="U307" t="str">
        <f>_xlfn.XLOOKUP(B307,Disk_Pivot!G:G,Disk_Pivot!N:N)</f>
        <v>Pass, Fail</v>
      </c>
      <c r="V307" t="str">
        <f>IF(U307="Fail",MacReports!N307,"")</f>
        <v/>
      </c>
      <c r="AB307" t="str">
        <f t="shared" si="12"/>
        <v/>
      </c>
    </row>
    <row r="308" spans="1:28">
      <c r="A308">
        <f>MacReports!A308</f>
        <v>0</v>
      </c>
      <c r="B308">
        <f>MacReports!B308</f>
        <v>0</v>
      </c>
      <c r="C308">
        <f>MacReports!C308</f>
        <v>0</v>
      </c>
      <c r="E308" t="e">
        <f>_xlfn.XLOOKUP(G308,Models!A:A,Models!F:F)</f>
        <v>#N/A</v>
      </c>
      <c r="F308" t="str">
        <f>_xlfn.XLOOKUP(B308,MacReports!B:B,MacReports!D:D,"")</f>
        <v/>
      </c>
      <c r="G308" s="13">
        <f>MacReports!E308</f>
        <v>0</v>
      </c>
      <c r="H308" t="e">
        <f>_xlfn.XLOOKUP(G308,Models!A:A,Models!B:B)</f>
        <v>#N/A</v>
      </c>
      <c r="I308" t="e">
        <f>_xlfn.XLOOKUP(G308,Models!A:A,Models!E:E)</f>
        <v>#N/A</v>
      </c>
      <c r="J308" t="e">
        <f>_xlfn.XLOOKUP(G308,Models!A:A,Models!D:D)</f>
        <v>#N/A</v>
      </c>
      <c r="K308">
        <f>MacReports!F308</f>
        <v>0</v>
      </c>
      <c r="L308">
        <f>MacReports!G308</f>
        <v>0</v>
      </c>
      <c r="M308" s="15" t="e" cm="1">
        <f t="array" ref="M308">--_xlfn.LET(
    _xlpm.txt, MacReports!H308,
    _xlpm.chars, MID(_xlpm.txt, _xlfn.SEQUENCE(LEN(_xlpm.txt)), 1),
    _xlfn.TEXTJOIN("", TRUE, IF(ISNUMBER(--_xlpm.chars), _xlpm.chars, ""))
)</f>
        <v>#VALUE!</v>
      </c>
      <c r="N308" s="16" t="str" cm="1">
        <f t="array" ref="N308">_xlfn.IFS(
   --MacReports!M308&lt;55,"Battery Defect",
  -- MacReports!M308&lt;=69,"Battery D",
  --MacReports!M308&lt;=80,"Battery C",
 --MacReports!M308&gt;80,""
)</f>
        <v>Battery Defect</v>
      </c>
      <c r="O308" s="16" t="str">
        <f>IF(MacReports!I308="Service","Battery Service","")</f>
        <v/>
      </c>
      <c r="P308" s="13">
        <f>MacReports!P308</f>
        <v>0</v>
      </c>
      <c r="Q308" s="13" t="str">
        <f>IF(MacReports!J308="Enabled","Apple ID Lock","")</f>
        <v/>
      </c>
      <c r="R308" s="13" t="str">
        <f>IF(MacReports!L308="y","Remote Locked","")</f>
        <v/>
      </c>
      <c r="S308" t="str">
        <f t="shared" si="11"/>
        <v>Battery Defect, 0</v>
      </c>
      <c r="T308" t="str">
        <f>_xlfn.XLOOKUP(B308,Disk_Pivot!G:G,Disk_Pivot!I:I)</f>
        <v>Yes x2</v>
      </c>
      <c r="U308" t="str">
        <f>_xlfn.XLOOKUP(B308,Disk_Pivot!G:G,Disk_Pivot!N:N)</f>
        <v>Pass, Fail</v>
      </c>
      <c r="V308" t="str">
        <f>IF(U308="Fail",MacReports!N308,"")</f>
        <v/>
      </c>
      <c r="AB308" t="str">
        <f t="shared" si="12"/>
        <v/>
      </c>
    </row>
    <row r="309" spans="1:28">
      <c r="A309">
        <f>MacReports!A309</f>
        <v>0</v>
      </c>
      <c r="B309">
        <f>MacReports!B309</f>
        <v>0</v>
      </c>
      <c r="C309">
        <f>MacReports!C309</f>
        <v>0</v>
      </c>
      <c r="E309" t="e">
        <f>_xlfn.XLOOKUP(G309,Models!A:A,Models!F:F)</f>
        <v>#N/A</v>
      </c>
      <c r="F309" t="str">
        <f>_xlfn.XLOOKUP(B309,MacReports!B:B,MacReports!D:D,"")</f>
        <v/>
      </c>
      <c r="G309" s="13">
        <f>MacReports!E309</f>
        <v>0</v>
      </c>
      <c r="H309" t="e">
        <f>_xlfn.XLOOKUP(G309,Models!A:A,Models!B:B)</f>
        <v>#N/A</v>
      </c>
      <c r="I309" t="e">
        <f>_xlfn.XLOOKUP(G309,Models!A:A,Models!E:E)</f>
        <v>#N/A</v>
      </c>
      <c r="J309" t="e">
        <f>_xlfn.XLOOKUP(G309,Models!A:A,Models!D:D)</f>
        <v>#N/A</v>
      </c>
      <c r="K309">
        <f>MacReports!F309</f>
        <v>0</v>
      </c>
      <c r="L309">
        <f>MacReports!G309</f>
        <v>0</v>
      </c>
      <c r="M309" s="15" t="e" cm="1">
        <f t="array" ref="M309">--_xlfn.LET(
    _xlpm.txt, MacReports!H309,
    _xlpm.chars, MID(_xlpm.txt, _xlfn.SEQUENCE(LEN(_xlpm.txt)), 1),
    _xlfn.TEXTJOIN("", TRUE, IF(ISNUMBER(--_xlpm.chars), _xlpm.chars, ""))
)</f>
        <v>#VALUE!</v>
      </c>
      <c r="N309" s="16" t="str" cm="1">
        <f t="array" ref="N309">_xlfn.IFS(
   --MacReports!M309&lt;55,"Battery Defect",
  -- MacReports!M309&lt;=69,"Battery D",
  --MacReports!M309&lt;=80,"Battery C",
 --MacReports!M309&gt;80,""
)</f>
        <v>Battery Defect</v>
      </c>
      <c r="O309" s="16" t="str">
        <f>IF(MacReports!I309="Service","Battery Service","")</f>
        <v/>
      </c>
      <c r="P309" s="13">
        <f>MacReports!P309</f>
        <v>0</v>
      </c>
      <c r="Q309" s="13" t="str">
        <f>IF(MacReports!J309="Enabled","Apple ID Lock","")</f>
        <v/>
      </c>
      <c r="R309" s="13" t="str">
        <f>IF(MacReports!L309="y","Remote Locked","")</f>
        <v/>
      </c>
      <c r="S309" t="str">
        <f t="shared" si="11"/>
        <v>Battery Defect, 0</v>
      </c>
      <c r="T309" t="str">
        <f>_xlfn.XLOOKUP(B309,Disk_Pivot!G:G,Disk_Pivot!I:I)</f>
        <v>Yes x2</v>
      </c>
      <c r="U309" t="str">
        <f>_xlfn.XLOOKUP(B309,Disk_Pivot!G:G,Disk_Pivot!N:N)</f>
        <v>Pass, Fail</v>
      </c>
      <c r="V309" t="str">
        <f>IF(U309="Fail",MacReports!N309,"")</f>
        <v/>
      </c>
      <c r="AB309" t="str">
        <f t="shared" si="12"/>
        <v/>
      </c>
    </row>
    <row r="310" spans="1:28">
      <c r="A310">
        <f>MacReports!A310</f>
        <v>0</v>
      </c>
      <c r="B310">
        <f>MacReports!B310</f>
        <v>0</v>
      </c>
      <c r="C310">
        <f>MacReports!C310</f>
        <v>0</v>
      </c>
      <c r="E310" t="e">
        <f>_xlfn.XLOOKUP(G310,Models!A:A,Models!F:F)</f>
        <v>#N/A</v>
      </c>
      <c r="F310" t="str">
        <f>_xlfn.XLOOKUP(B310,MacReports!B:B,MacReports!D:D,"")</f>
        <v/>
      </c>
      <c r="G310" s="13">
        <f>MacReports!E310</f>
        <v>0</v>
      </c>
      <c r="H310" t="e">
        <f>_xlfn.XLOOKUP(G310,Models!A:A,Models!B:B)</f>
        <v>#N/A</v>
      </c>
      <c r="I310" t="e">
        <f>_xlfn.XLOOKUP(G310,Models!A:A,Models!E:E)</f>
        <v>#N/A</v>
      </c>
      <c r="J310" t="e">
        <f>_xlfn.XLOOKUP(G310,Models!A:A,Models!D:D)</f>
        <v>#N/A</v>
      </c>
      <c r="K310">
        <f>MacReports!F310</f>
        <v>0</v>
      </c>
      <c r="L310">
        <f>MacReports!G310</f>
        <v>0</v>
      </c>
      <c r="M310" s="15" t="e" cm="1">
        <f t="array" ref="M310">--_xlfn.LET(
    _xlpm.txt, MacReports!H310,
    _xlpm.chars, MID(_xlpm.txt, _xlfn.SEQUENCE(LEN(_xlpm.txt)), 1),
    _xlfn.TEXTJOIN("", TRUE, IF(ISNUMBER(--_xlpm.chars), _xlpm.chars, ""))
)</f>
        <v>#VALUE!</v>
      </c>
      <c r="N310" s="16" t="str" cm="1">
        <f t="array" ref="N310">_xlfn.IFS(
   --MacReports!M310&lt;55,"Battery Defect",
  -- MacReports!M310&lt;=69,"Battery D",
  --MacReports!M310&lt;=80,"Battery C",
 --MacReports!M310&gt;80,""
)</f>
        <v>Battery Defect</v>
      </c>
      <c r="O310" s="16" t="str">
        <f>IF(MacReports!I310="Service","Battery Service","")</f>
        <v/>
      </c>
      <c r="P310" s="13">
        <f>MacReports!P310</f>
        <v>0</v>
      </c>
      <c r="Q310" s="13" t="str">
        <f>IF(MacReports!J310="Enabled","Apple ID Lock","")</f>
        <v/>
      </c>
      <c r="R310" s="13" t="str">
        <f>IF(MacReports!L310="y","Remote Locked","")</f>
        <v/>
      </c>
      <c r="S310" t="str">
        <f t="shared" si="11"/>
        <v>Battery Defect, 0</v>
      </c>
      <c r="T310" t="str">
        <f>_xlfn.XLOOKUP(B310,Disk_Pivot!G:G,Disk_Pivot!I:I)</f>
        <v>Yes x2</v>
      </c>
      <c r="U310" t="str">
        <f>_xlfn.XLOOKUP(B310,Disk_Pivot!G:G,Disk_Pivot!N:N)</f>
        <v>Pass, Fail</v>
      </c>
      <c r="V310" t="str">
        <f>IF(U310="Fail",MacReports!N310,"")</f>
        <v/>
      </c>
      <c r="AB310" t="str">
        <f t="shared" si="12"/>
        <v/>
      </c>
    </row>
    <row r="311" spans="1:28">
      <c r="A311">
        <f>MacReports!A311</f>
        <v>0</v>
      </c>
      <c r="B311">
        <f>MacReports!B311</f>
        <v>0</v>
      </c>
      <c r="C311">
        <f>MacReports!C311</f>
        <v>0</v>
      </c>
      <c r="E311" t="e">
        <f>_xlfn.XLOOKUP(G311,Models!A:A,Models!F:F)</f>
        <v>#N/A</v>
      </c>
      <c r="F311" t="str">
        <f>_xlfn.XLOOKUP(B311,MacReports!B:B,MacReports!D:D,"")</f>
        <v/>
      </c>
      <c r="G311" s="13">
        <f>MacReports!E311</f>
        <v>0</v>
      </c>
      <c r="H311" t="e">
        <f>_xlfn.XLOOKUP(G311,Models!A:A,Models!B:B)</f>
        <v>#N/A</v>
      </c>
      <c r="I311" t="e">
        <f>_xlfn.XLOOKUP(G311,Models!A:A,Models!E:E)</f>
        <v>#N/A</v>
      </c>
      <c r="J311" t="e">
        <f>_xlfn.XLOOKUP(G311,Models!A:A,Models!D:D)</f>
        <v>#N/A</v>
      </c>
      <c r="K311">
        <f>MacReports!F311</f>
        <v>0</v>
      </c>
      <c r="L311">
        <f>MacReports!G311</f>
        <v>0</v>
      </c>
      <c r="M311" s="15" t="e" cm="1">
        <f t="array" ref="M311">--_xlfn.LET(
    _xlpm.txt, MacReports!H311,
    _xlpm.chars, MID(_xlpm.txt, _xlfn.SEQUENCE(LEN(_xlpm.txt)), 1),
    _xlfn.TEXTJOIN("", TRUE, IF(ISNUMBER(--_xlpm.chars), _xlpm.chars, ""))
)</f>
        <v>#VALUE!</v>
      </c>
      <c r="N311" s="16" t="str" cm="1">
        <f t="array" ref="N311">_xlfn.IFS(
   --MacReports!M311&lt;55,"Battery Defect",
  -- MacReports!M311&lt;=69,"Battery D",
  --MacReports!M311&lt;=80,"Battery C",
 --MacReports!M311&gt;80,""
)</f>
        <v>Battery Defect</v>
      </c>
      <c r="O311" s="16" t="str">
        <f>IF(MacReports!I311="Service","Battery Service","")</f>
        <v/>
      </c>
      <c r="P311" s="13">
        <f>MacReports!P311</f>
        <v>0</v>
      </c>
      <c r="Q311" s="13" t="str">
        <f>IF(MacReports!J311="Enabled","Apple ID Lock","")</f>
        <v/>
      </c>
      <c r="R311" s="13" t="str">
        <f>IF(MacReports!L311="y","Remote Locked","")</f>
        <v/>
      </c>
      <c r="S311" t="str">
        <f t="shared" si="11"/>
        <v>Battery Defect, 0</v>
      </c>
      <c r="T311" t="str">
        <f>_xlfn.XLOOKUP(B311,Disk_Pivot!G:G,Disk_Pivot!I:I)</f>
        <v>Yes x2</v>
      </c>
      <c r="U311" t="str">
        <f>_xlfn.XLOOKUP(B311,Disk_Pivot!G:G,Disk_Pivot!N:N)</f>
        <v>Pass, Fail</v>
      </c>
      <c r="V311" t="str">
        <f>IF(U311="Fail",MacReports!N311,"")</f>
        <v/>
      </c>
      <c r="AB311" t="str">
        <f t="shared" si="12"/>
        <v/>
      </c>
    </row>
    <row r="312" spans="1:28">
      <c r="A312">
        <f>MacReports!A312</f>
        <v>0</v>
      </c>
      <c r="B312">
        <f>MacReports!B312</f>
        <v>0</v>
      </c>
      <c r="C312">
        <f>MacReports!C312</f>
        <v>0</v>
      </c>
      <c r="E312" t="e">
        <f>_xlfn.XLOOKUP(G312,Models!A:A,Models!F:F)</f>
        <v>#N/A</v>
      </c>
      <c r="F312" t="str">
        <f>_xlfn.XLOOKUP(B312,MacReports!B:B,MacReports!D:D,"")</f>
        <v/>
      </c>
      <c r="G312" s="13">
        <f>MacReports!E312</f>
        <v>0</v>
      </c>
      <c r="H312" t="e">
        <f>_xlfn.XLOOKUP(G312,Models!A:A,Models!B:B)</f>
        <v>#N/A</v>
      </c>
      <c r="I312" t="e">
        <f>_xlfn.XLOOKUP(G312,Models!A:A,Models!E:E)</f>
        <v>#N/A</v>
      </c>
      <c r="J312" t="e">
        <f>_xlfn.XLOOKUP(G312,Models!A:A,Models!D:D)</f>
        <v>#N/A</v>
      </c>
      <c r="K312">
        <f>MacReports!F312</f>
        <v>0</v>
      </c>
      <c r="L312">
        <f>MacReports!G312</f>
        <v>0</v>
      </c>
      <c r="M312" s="15" t="e" cm="1">
        <f t="array" ref="M312">--_xlfn.LET(
    _xlpm.txt, MacReports!H312,
    _xlpm.chars, MID(_xlpm.txt, _xlfn.SEQUENCE(LEN(_xlpm.txt)), 1),
    _xlfn.TEXTJOIN("", TRUE, IF(ISNUMBER(--_xlpm.chars), _xlpm.chars, ""))
)</f>
        <v>#VALUE!</v>
      </c>
      <c r="N312" s="16" t="str" cm="1">
        <f t="array" ref="N312">_xlfn.IFS(
   --MacReports!M312&lt;55,"Battery Defect",
  -- MacReports!M312&lt;=69,"Battery D",
  --MacReports!M312&lt;=80,"Battery C",
 --MacReports!M312&gt;80,""
)</f>
        <v>Battery Defect</v>
      </c>
      <c r="O312" s="16" t="str">
        <f>IF(MacReports!I312="Service","Battery Service","")</f>
        <v/>
      </c>
      <c r="P312" s="13">
        <f>MacReports!P312</f>
        <v>0</v>
      </c>
      <c r="Q312" s="13" t="str">
        <f>IF(MacReports!J312="Enabled","Apple ID Lock","")</f>
        <v/>
      </c>
      <c r="R312" s="13" t="str">
        <f>IF(MacReports!L312="y","Remote Locked","")</f>
        <v/>
      </c>
      <c r="S312" t="str">
        <f t="shared" si="11"/>
        <v>Battery Defect, 0</v>
      </c>
      <c r="T312" t="str">
        <f>_xlfn.XLOOKUP(B312,Disk_Pivot!G:G,Disk_Pivot!I:I)</f>
        <v>Yes x2</v>
      </c>
      <c r="U312" t="str">
        <f>_xlfn.XLOOKUP(B312,Disk_Pivot!G:G,Disk_Pivot!N:N)</f>
        <v>Pass, Fail</v>
      </c>
      <c r="V312" t="str">
        <f>IF(U312="Fail",MacReports!N312,"")</f>
        <v/>
      </c>
      <c r="AB312" t="str">
        <f t="shared" si="12"/>
        <v/>
      </c>
    </row>
    <row r="313" spans="1:28">
      <c r="A313">
        <f>MacReports!A313</f>
        <v>0</v>
      </c>
      <c r="B313">
        <f>MacReports!B313</f>
        <v>0</v>
      </c>
      <c r="C313">
        <f>MacReports!C313</f>
        <v>0</v>
      </c>
      <c r="E313" t="e">
        <f>_xlfn.XLOOKUP(G313,Models!A:A,Models!F:F)</f>
        <v>#N/A</v>
      </c>
      <c r="F313" t="str">
        <f>_xlfn.XLOOKUP(B313,MacReports!B:B,MacReports!D:D,"")</f>
        <v/>
      </c>
      <c r="G313" s="13">
        <f>MacReports!E313</f>
        <v>0</v>
      </c>
      <c r="H313" t="e">
        <f>_xlfn.XLOOKUP(G313,Models!A:A,Models!B:B)</f>
        <v>#N/A</v>
      </c>
      <c r="I313" t="e">
        <f>_xlfn.XLOOKUP(G313,Models!A:A,Models!E:E)</f>
        <v>#N/A</v>
      </c>
      <c r="J313" t="e">
        <f>_xlfn.XLOOKUP(G313,Models!A:A,Models!D:D)</f>
        <v>#N/A</v>
      </c>
      <c r="K313">
        <f>MacReports!F313</f>
        <v>0</v>
      </c>
      <c r="L313">
        <f>MacReports!G313</f>
        <v>0</v>
      </c>
      <c r="M313" s="15" t="e" cm="1">
        <f t="array" ref="M313">--_xlfn.LET(
    _xlpm.txt, MacReports!H313,
    _xlpm.chars, MID(_xlpm.txt, _xlfn.SEQUENCE(LEN(_xlpm.txt)), 1),
    _xlfn.TEXTJOIN("", TRUE, IF(ISNUMBER(--_xlpm.chars), _xlpm.chars, ""))
)</f>
        <v>#VALUE!</v>
      </c>
      <c r="N313" s="16" t="str" cm="1">
        <f t="array" ref="N313">_xlfn.IFS(
   --MacReports!M313&lt;55,"Battery Defect",
  -- MacReports!M313&lt;=69,"Battery D",
  --MacReports!M313&lt;=80,"Battery C",
 --MacReports!M313&gt;80,""
)</f>
        <v>Battery Defect</v>
      </c>
      <c r="O313" s="16" t="str">
        <f>IF(MacReports!I313="Service","Battery Service","")</f>
        <v/>
      </c>
      <c r="P313" s="13">
        <f>MacReports!P313</f>
        <v>0</v>
      </c>
      <c r="Q313" s="13" t="str">
        <f>IF(MacReports!J313="Enabled","Apple ID Lock","")</f>
        <v/>
      </c>
      <c r="R313" s="13" t="str">
        <f>IF(MacReports!L313="y","Remote Locked","")</f>
        <v/>
      </c>
      <c r="S313" t="str">
        <f t="shared" si="11"/>
        <v>Battery Defect, 0</v>
      </c>
      <c r="T313" t="str">
        <f>_xlfn.XLOOKUP(B313,Disk_Pivot!G:G,Disk_Pivot!I:I)</f>
        <v>Yes x2</v>
      </c>
      <c r="U313" t="str">
        <f>_xlfn.XLOOKUP(B313,Disk_Pivot!G:G,Disk_Pivot!N:N)</f>
        <v>Pass, Fail</v>
      </c>
      <c r="V313" t="str">
        <f>IF(U313="Fail",MacReports!N313,"")</f>
        <v/>
      </c>
      <c r="AB313" t="str">
        <f t="shared" si="12"/>
        <v/>
      </c>
    </row>
    <row r="314" spans="1:28">
      <c r="A314">
        <f>MacReports!A314</f>
        <v>0</v>
      </c>
      <c r="B314">
        <f>MacReports!B314</f>
        <v>0</v>
      </c>
      <c r="C314">
        <f>MacReports!C314</f>
        <v>0</v>
      </c>
      <c r="E314" t="e">
        <f>_xlfn.XLOOKUP(G314,Models!A:A,Models!F:F)</f>
        <v>#N/A</v>
      </c>
      <c r="F314" t="str">
        <f>_xlfn.XLOOKUP(B314,MacReports!B:B,MacReports!D:D,"")</f>
        <v/>
      </c>
      <c r="G314" s="13">
        <f>MacReports!E314</f>
        <v>0</v>
      </c>
      <c r="H314" t="e">
        <f>_xlfn.XLOOKUP(G314,Models!A:A,Models!B:B)</f>
        <v>#N/A</v>
      </c>
      <c r="I314" t="e">
        <f>_xlfn.XLOOKUP(G314,Models!A:A,Models!E:E)</f>
        <v>#N/A</v>
      </c>
      <c r="J314" t="e">
        <f>_xlfn.XLOOKUP(G314,Models!A:A,Models!D:D)</f>
        <v>#N/A</v>
      </c>
      <c r="K314">
        <f>MacReports!F314</f>
        <v>0</v>
      </c>
      <c r="L314">
        <f>MacReports!G314</f>
        <v>0</v>
      </c>
      <c r="M314" s="15" t="e" cm="1">
        <f t="array" ref="M314">--_xlfn.LET(
    _xlpm.txt, MacReports!H314,
    _xlpm.chars, MID(_xlpm.txt, _xlfn.SEQUENCE(LEN(_xlpm.txt)), 1),
    _xlfn.TEXTJOIN("", TRUE, IF(ISNUMBER(--_xlpm.chars), _xlpm.chars, ""))
)</f>
        <v>#VALUE!</v>
      </c>
      <c r="N314" s="16" t="str" cm="1">
        <f t="array" ref="N314">_xlfn.IFS(
   --MacReports!M314&lt;55,"Battery Defect",
  -- MacReports!M314&lt;=69,"Battery D",
  --MacReports!M314&lt;=80,"Battery C",
 --MacReports!M314&gt;80,""
)</f>
        <v>Battery Defect</v>
      </c>
      <c r="O314" s="16" t="str">
        <f>IF(MacReports!I314="Service","Battery Service","")</f>
        <v/>
      </c>
      <c r="P314" s="13">
        <f>MacReports!P314</f>
        <v>0</v>
      </c>
      <c r="Q314" s="13" t="str">
        <f>IF(MacReports!J314="Enabled","Apple ID Lock","")</f>
        <v/>
      </c>
      <c r="R314" s="13" t="str">
        <f>IF(MacReports!L314="y","Remote Locked","")</f>
        <v/>
      </c>
      <c r="S314" t="str">
        <f t="shared" si="11"/>
        <v>Battery Defect, 0</v>
      </c>
      <c r="T314" t="str">
        <f>_xlfn.XLOOKUP(B314,Disk_Pivot!G:G,Disk_Pivot!I:I)</f>
        <v>Yes x2</v>
      </c>
      <c r="U314" t="str">
        <f>_xlfn.XLOOKUP(B314,Disk_Pivot!G:G,Disk_Pivot!N:N)</f>
        <v>Pass, Fail</v>
      </c>
      <c r="V314" t="str">
        <f>IF(U314="Fail",MacReports!N314,"")</f>
        <v/>
      </c>
      <c r="AB314" t="str">
        <f t="shared" si="12"/>
        <v/>
      </c>
    </row>
    <row r="315" spans="1:28">
      <c r="A315">
        <f>MacReports!A315</f>
        <v>0</v>
      </c>
      <c r="B315">
        <f>MacReports!B315</f>
        <v>0</v>
      </c>
      <c r="C315">
        <f>MacReports!C315</f>
        <v>0</v>
      </c>
      <c r="E315" t="e">
        <f>_xlfn.XLOOKUP(G315,Models!A:A,Models!F:F)</f>
        <v>#N/A</v>
      </c>
      <c r="F315" t="str">
        <f>_xlfn.XLOOKUP(B315,MacReports!B:B,MacReports!D:D,"")</f>
        <v/>
      </c>
      <c r="G315" s="13">
        <f>MacReports!E315</f>
        <v>0</v>
      </c>
      <c r="H315" t="e">
        <f>_xlfn.XLOOKUP(G315,Models!A:A,Models!B:B)</f>
        <v>#N/A</v>
      </c>
      <c r="I315" t="e">
        <f>_xlfn.XLOOKUP(G315,Models!A:A,Models!E:E)</f>
        <v>#N/A</v>
      </c>
      <c r="J315" t="e">
        <f>_xlfn.XLOOKUP(G315,Models!A:A,Models!D:D)</f>
        <v>#N/A</v>
      </c>
      <c r="K315">
        <f>MacReports!F315</f>
        <v>0</v>
      </c>
      <c r="L315">
        <f>MacReports!G315</f>
        <v>0</v>
      </c>
      <c r="M315" s="15" t="e" cm="1">
        <f t="array" ref="M315">--_xlfn.LET(
    _xlpm.txt, MacReports!H315,
    _xlpm.chars, MID(_xlpm.txt, _xlfn.SEQUENCE(LEN(_xlpm.txt)), 1),
    _xlfn.TEXTJOIN("", TRUE, IF(ISNUMBER(--_xlpm.chars), _xlpm.chars, ""))
)</f>
        <v>#VALUE!</v>
      </c>
      <c r="N315" s="16" t="str" cm="1">
        <f t="array" ref="N315">_xlfn.IFS(
   --MacReports!M315&lt;55,"Battery Defect",
  -- MacReports!M315&lt;=69,"Battery D",
  --MacReports!M315&lt;=80,"Battery C",
 --MacReports!M315&gt;80,""
)</f>
        <v>Battery Defect</v>
      </c>
      <c r="O315" s="16" t="str">
        <f>IF(MacReports!I315="Service","Battery Service","")</f>
        <v/>
      </c>
      <c r="P315" s="13">
        <f>MacReports!P315</f>
        <v>0</v>
      </c>
      <c r="Q315" s="13" t="str">
        <f>IF(MacReports!J315="Enabled","Apple ID Lock","")</f>
        <v/>
      </c>
      <c r="R315" s="13" t="str">
        <f>IF(MacReports!L315="y","Remote Locked","")</f>
        <v/>
      </c>
      <c r="S315" t="str">
        <f t="shared" si="11"/>
        <v>Battery Defect, 0</v>
      </c>
      <c r="T315" t="str">
        <f>_xlfn.XLOOKUP(B315,Disk_Pivot!G:G,Disk_Pivot!I:I)</f>
        <v>Yes x2</v>
      </c>
      <c r="U315" t="str">
        <f>_xlfn.XLOOKUP(B315,Disk_Pivot!G:G,Disk_Pivot!N:N)</f>
        <v>Pass, Fail</v>
      </c>
      <c r="V315" t="str">
        <f>IF(U315="Fail",MacReports!N315,"")</f>
        <v/>
      </c>
      <c r="AB315" t="str">
        <f t="shared" si="12"/>
        <v/>
      </c>
    </row>
    <row r="316" spans="1:28">
      <c r="A316">
        <f>MacReports!A316</f>
        <v>0</v>
      </c>
      <c r="B316">
        <f>MacReports!B316</f>
        <v>0</v>
      </c>
      <c r="C316">
        <f>MacReports!C316</f>
        <v>0</v>
      </c>
      <c r="E316" t="e">
        <f>_xlfn.XLOOKUP(G316,Models!A:A,Models!F:F)</f>
        <v>#N/A</v>
      </c>
      <c r="F316" t="str">
        <f>_xlfn.XLOOKUP(B316,MacReports!B:B,MacReports!D:D,"")</f>
        <v/>
      </c>
      <c r="G316" s="13">
        <f>MacReports!E316</f>
        <v>0</v>
      </c>
      <c r="H316" t="e">
        <f>_xlfn.XLOOKUP(G316,Models!A:A,Models!B:B)</f>
        <v>#N/A</v>
      </c>
      <c r="I316" t="e">
        <f>_xlfn.XLOOKUP(G316,Models!A:A,Models!E:E)</f>
        <v>#N/A</v>
      </c>
      <c r="J316" t="e">
        <f>_xlfn.XLOOKUP(G316,Models!A:A,Models!D:D)</f>
        <v>#N/A</v>
      </c>
      <c r="K316">
        <f>MacReports!F316</f>
        <v>0</v>
      </c>
      <c r="L316">
        <f>MacReports!G316</f>
        <v>0</v>
      </c>
      <c r="M316" s="15" t="e" cm="1">
        <f t="array" ref="M316">--_xlfn.LET(
    _xlpm.txt, MacReports!H316,
    _xlpm.chars, MID(_xlpm.txt, _xlfn.SEQUENCE(LEN(_xlpm.txt)), 1),
    _xlfn.TEXTJOIN("", TRUE, IF(ISNUMBER(--_xlpm.chars), _xlpm.chars, ""))
)</f>
        <v>#VALUE!</v>
      </c>
      <c r="N316" s="16" t="str" cm="1">
        <f t="array" ref="N316">_xlfn.IFS(
   --MacReports!M316&lt;55,"Battery Defect",
  -- MacReports!M316&lt;=69,"Battery D",
  --MacReports!M316&lt;=80,"Battery C",
 --MacReports!M316&gt;80,""
)</f>
        <v>Battery Defect</v>
      </c>
      <c r="O316" s="16" t="str">
        <f>IF(MacReports!I316="Service","Battery Service","")</f>
        <v/>
      </c>
      <c r="P316" s="13">
        <f>MacReports!P316</f>
        <v>0</v>
      </c>
      <c r="Q316" s="13" t="str">
        <f>IF(MacReports!J316="Enabled","Apple ID Lock","")</f>
        <v/>
      </c>
      <c r="R316" s="13" t="str">
        <f>IF(MacReports!L316="y","Remote Locked","")</f>
        <v/>
      </c>
      <c r="S316" t="str">
        <f t="shared" si="11"/>
        <v>Battery Defect, 0</v>
      </c>
      <c r="T316" t="str">
        <f>_xlfn.XLOOKUP(B316,Disk_Pivot!G:G,Disk_Pivot!I:I)</f>
        <v>Yes x2</v>
      </c>
      <c r="U316" t="str">
        <f>_xlfn.XLOOKUP(B316,Disk_Pivot!G:G,Disk_Pivot!N:N)</f>
        <v>Pass, Fail</v>
      </c>
      <c r="V316" t="str">
        <f>IF(U316="Fail",MacReports!N316,"")</f>
        <v/>
      </c>
      <c r="AB316" t="str">
        <f t="shared" si="12"/>
        <v/>
      </c>
    </row>
    <row r="317" spans="1:28">
      <c r="A317">
        <f>MacReports!A317</f>
        <v>0</v>
      </c>
      <c r="B317">
        <f>MacReports!B317</f>
        <v>0</v>
      </c>
      <c r="C317">
        <f>MacReports!C317</f>
        <v>0</v>
      </c>
      <c r="E317" t="e">
        <f>_xlfn.XLOOKUP(G317,Models!A:A,Models!F:F)</f>
        <v>#N/A</v>
      </c>
      <c r="F317" t="str">
        <f>_xlfn.XLOOKUP(B317,MacReports!B:B,MacReports!D:D,"")</f>
        <v/>
      </c>
      <c r="G317" s="13">
        <f>MacReports!E317</f>
        <v>0</v>
      </c>
      <c r="H317" t="e">
        <f>_xlfn.XLOOKUP(G317,Models!A:A,Models!B:B)</f>
        <v>#N/A</v>
      </c>
      <c r="I317" t="e">
        <f>_xlfn.XLOOKUP(G317,Models!A:A,Models!E:E)</f>
        <v>#N/A</v>
      </c>
      <c r="J317" t="e">
        <f>_xlfn.XLOOKUP(G317,Models!A:A,Models!D:D)</f>
        <v>#N/A</v>
      </c>
      <c r="K317">
        <f>MacReports!F317</f>
        <v>0</v>
      </c>
      <c r="L317">
        <f>MacReports!G317</f>
        <v>0</v>
      </c>
      <c r="M317" s="15" t="e" cm="1">
        <f t="array" ref="M317">--_xlfn.LET(
    _xlpm.txt, MacReports!H317,
    _xlpm.chars, MID(_xlpm.txt, _xlfn.SEQUENCE(LEN(_xlpm.txt)), 1),
    _xlfn.TEXTJOIN("", TRUE, IF(ISNUMBER(--_xlpm.chars), _xlpm.chars, ""))
)</f>
        <v>#VALUE!</v>
      </c>
      <c r="N317" s="16" t="str" cm="1">
        <f t="array" ref="N317">_xlfn.IFS(
   --MacReports!M317&lt;55,"Battery Defect",
  -- MacReports!M317&lt;=69,"Battery D",
  --MacReports!M317&lt;=80,"Battery C",
 --MacReports!M317&gt;80,""
)</f>
        <v>Battery Defect</v>
      </c>
      <c r="O317" s="16" t="str">
        <f>IF(MacReports!I317="Service","Battery Service","")</f>
        <v/>
      </c>
      <c r="P317" s="13">
        <f>MacReports!P317</f>
        <v>0</v>
      </c>
      <c r="Q317" s="13" t="str">
        <f>IF(MacReports!J317="Enabled","Apple ID Lock","")</f>
        <v/>
      </c>
      <c r="R317" s="13" t="str">
        <f>IF(MacReports!L317="y","Remote Locked","")</f>
        <v/>
      </c>
      <c r="S317" t="str">
        <f t="shared" si="11"/>
        <v>Battery Defect, 0</v>
      </c>
      <c r="T317" t="str">
        <f>_xlfn.XLOOKUP(B317,Disk_Pivot!G:G,Disk_Pivot!I:I)</f>
        <v>Yes x2</v>
      </c>
      <c r="U317" t="str">
        <f>_xlfn.XLOOKUP(B317,Disk_Pivot!G:G,Disk_Pivot!N:N)</f>
        <v>Pass, Fail</v>
      </c>
      <c r="V317" t="str">
        <f>IF(U317="Fail",MacReports!N317,"")</f>
        <v/>
      </c>
      <c r="AB317" t="str">
        <f t="shared" si="12"/>
        <v/>
      </c>
    </row>
    <row r="318" spans="1:28">
      <c r="A318">
        <f>MacReports!A318</f>
        <v>0</v>
      </c>
      <c r="B318">
        <f>MacReports!B318</f>
        <v>0</v>
      </c>
      <c r="C318">
        <f>MacReports!C318</f>
        <v>0</v>
      </c>
      <c r="E318" t="e">
        <f>_xlfn.XLOOKUP(G318,Models!A:A,Models!F:F)</f>
        <v>#N/A</v>
      </c>
      <c r="F318" t="str">
        <f>_xlfn.XLOOKUP(B318,MacReports!B:B,MacReports!D:D,"")</f>
        <v/>
      </c>
      <c r="G318" s="13">
        <f>MacReports!E318</f>
        <v>0</v>
      </c>
      <c r="H318" t="e">
        <f>_xlfn.XLOOKUP(G318,Models!A:A,Models!B:B)</f>
        <v>#N/A</v>
      </c>
      <c r="I318" t="e">
        <f>_xlfn.XLOOKUP(G318,Models!A:A,Models!E:E)</f>
        <v>#N/A</v>
      </c>
      <c r="J318" t="e">
        <f>_xlfn.XLOOKUP(G318,Models!A:A,Models!D:D)</f>
        <v>#N/A</v>
      </c>
      <c r="K318">
        <f>MacReports!F318</f>
        <v>0</v>
      </c>
      <c r="L318">
        <f>MacReports!G318</f>
        <v>0</v>
      </c>
      <c r="M318" s="15" t="e" cm="1">
        <f t="array" ref="M318">--_xlfn.LET(
    _xlpm.txt, MacReports!H318,
    _xlpm.chars, MID(_xlpm.txt, _xlfn.SEQUENCE(LEN(_xlpm.txt)), 1),
    _xlfn.TEXTJOIN("", TRUE, IF(ISNUMBER(--_xlpm.chars), _xlpm.chars, ""))
)</f>
        <v>#VALUE!</v>
      </c>
      <c r="N318" s="16" t="str" cm="1">
        <f t="array" ref="N318">_xlfn.IFS(
   --MacReports!M318&lt;55,"Battery Defect",
  -- MacReports!M318&lt;=69,"Battery D",
  --MacReports!M318&lt;=80,"Battery C",
 --MacReports!M318&gt;80,""
)</f>
        <v>Battery Defect</v>
      </c>
      <c r="O318" s="16" t="str">
        <f>IF(MacReports!I318="Service","Battery Service","")</f>
        <v/>
      </c>
      <c r="P318" s="13">
        <f>MacReports!P318</f>
        <v>0</v>
      </c>
      <c r="Q318" s="13" t="str">
        <f>IF(MacReports!J318="Enabled","Apple ID Lock","")</f>
        <v/>
      </c>
      <c r="R318" s="13" t="str">
        <f>IF(MacReports!L318="y","Remote Locked","")</f>
        <v/>
      </c>
      <c r="S318" t="str">
        <f t="shared" si="11"/>
        <v>Battery Defect, 0</v>
      </c>
      <c r="T318" t="str">
        <f>_xlfn.XLOOKUP(B318,Disk_Pivot!G:G,Disk_Pivot!I:I)</f>
        <v>Yes x2</v>
      </c>
      <c r="U318" t="str">
        <f>_xlfn.XLOOKUP(B318,Disk_Pivot!G:G,Disk_Pivot!N:N)</f>
        <v>Pass, Fail</v>
      </c>
      <c r="V318" t="str">
        <f>IF(U318="Fail",MacReports!N318,"")</f>
        <v/>
      </c>
      <c r="AB318" t="str">
        <f t="shared" si="12"/>
        <v/>
      </c>
    </row>
    <row r="319" spans="1:28">
      <c r="A319">
        <f>MacReports!A319</f>
        <v>0</v>
      </c>
      <c r="B319">
        <f>MacReports!B319</f>
        <v>0</v>
      </c>
      <c r="C319">
        <f>MacReports!C319</f>
        <v>0</v>
      </c>
      <c r="E319" t="e">
        <f>_xlfn.XLOOKUP(G319,Models!A:A,Models!F:F)</f>
        <v>#N/A</v>
      </c>
      <c r="F319" t="str">
        <f>_xlfn.XLOOKUP(B319,MacReports!B:B,MacReports!D:D,"")</f>
        <v/>
      </c>
      <c r="G319" s="13">
        <f>MacReports!E319</f>
        <v>0</v>
      </c>
      <c r="H319" t="e">
        <f>_xlfn.XLOOKUP(G319,Models!A:A,Models!B:B)</f>
        <v>#N/A</v>
      </c>
      <c r="I319" t="e">
        <f>_xlfn.XLOOKUP(G319,Models!A:A,Models!E:E)</f>
        <v>#N/A</v>
      </c>
      <c r="J319" t="e">
        <f>_xlfn.XLOOKUP(G319,Models!A:A,Models!D:D)</f>
        <v>#N/A</v>
      </c>
      <c r="K319">
        <f>MacReports!F319</f>
        <v>0</v>
      </c>
      <c r="L319">
        <f>MacReports!G319</f>
        <v>0</v>
      </c>
      <c r="M319" s="15" t="e" cm="1">
        <f t="array" ref="M319">--_xlfn.LET(
    _xlpm.txt, MacReports!H319,
    _xlpm.chars, MID(_xlpm.txt, _xlfn.SEQUENCE(LEN(_xlpm.txt)), 1),
    _xlfn.TEXTJOIN("", TRUE, IF(ISNUMBER(--_xlpm.chars), _xlpm.chars, ""))
)</f>
        <v>#VALUE!</v>
      </c>
      <c r="N319" s="16" t="str" cm="1">
        <f t="array" ref="N319">_xlfn.IFS(
   --MacReports!M319&lt;55,"Battery Defect",
  -- MacReports!M319&lt;=69,"Battery D",
  --MacReports!M319&lt;=80,"Battery C",
 --MacReports!M319&gt;80,""
)</f>
        <v>Battery Defect</v>
      </c>
      <c r="O319" s="16" t="str">
        <f>IF(MacReports!I319="Service","Battery Service","")</f>
        <v/>
      </c>
      <c r="P319" s="13">
        <f>MacReports!P319</f>
        <v>0</v>
      </c>
      <c r="Q319" s="13" t="str">
        <f>IF(MacReports!J319="Enabled","Apple ID Lock","")</f>
        <v/>
      </c>
      <c r="R319" s="13" t="str">
        <f>IF(MacReports!L319="y","Remote Locked","")</f>
        <v/>
      </c>
      <c r="S319" t="str">
        <f t="shared" si="11"/>
        <v>Battery Defect, 0</v>
      </c>
      <c r="T319" t="str">
        <f>_xlfn.XLOOKUP(B319,Disk_Pivot!G:G,Disk_Pivot!I:I)</f>
        <v>Yes x2</v>
      </c>
      <c r="U319" t="str">
        <f>_xlfn.XLOOKUP(B319,Disk_Pivot!G:G,Disk_Pivot!N:N)</f>
        <v>Pass, Fail</v>
      </c>
      <c r="V319" t="str">
        <f>IF(U319="Fail",MacReports!N319,"")</f>
        <v/>
      </c>
      <c r="AB319" t="str">
        <f t="shared" si="12"/>
        <v/>
      </c>
    </row>
    <row r="320" spans="1:28">
      <c r="A320">
        <f>MacReports!A320</f>
        <v>0</v>
      </c>
      <c r="B320">
        <f>MacReports!B320</f>
        <v>0</v>
      </c>
      <c r="C320">
        <f>MacReports!C320</f>
        <v>0</v>
      </c>
      <c r="E320" t="e">
        <f>_xlfn.XLOOKUP(G320,Models!A:A,Models!F:F)</f>
        <v>#N/A</v>
      </c>
      <c r="F320" t="str">
        <f>_xlfn.XLOOKUP(B320,MacReports!B:B,MacReports!D:D,"")</f>
        <v/>
      </c>
      <c r="G320" s="13">
        <f>MacReports!E320</f>
        <v>0</v>
      </c>
      <c r="H320" t="e">
        <f>_xlfn.XLOOKUP(G320,Models!A:A,Models!B:B)</f>
        <v>#N/A</v>
      </c>
      <c r="I320" t="e">
        <f>_xlfn.XLOOKUP(G320,Models!A:A,Models!E:E)</f>
        <v>#N/A</v>
      </c>
      <c r="J320" t="e">
        <f>_xlfn.XLOOKUP(G320,Models!A:A,Models!D:D)</f>
        <v>#N/A</v>
      </c>
      <c r="K320">
        <f>MacReports!F320</f>
        <v>0</v>
      </c>
      <c r="L320">
        <f>MacReports!G320</f>
        <v>0</v>
      </c>
      <c r="M320" s="15" t="e" cm="1">
        <f t="array" ref="M320">--_xlfn.LET(
    _xlpm.txt, MacReports!H320,
    _xlpm.chars, MID(_xlpm.txt, _xlfn.SEQUENCE(LEN(_xlpm.txt)), 1),
    _xlfn.TEXTJOIN("", TRUE, IF(ISNUMBER(--_xlpm.chars), _xlpm.chars, ""))
)</f>
        <v>#VALUE!</v>
      </c>
      <c r="N320" s="16" t="str" cm="1">
        <f t="array" ref="N320">_xlfn.IFS(
   --MacReports!M320&lt;55,"Battery Defect",
  -- MacReports!M320&lt;=69,"Battery D",
  --MacReports!M320&lt;=80,"Battery C",
 --MacReports!M320&gt;80,""
)</f>
        <v>Battery Defect</v>
      </c>
      <c r="O320" s="16" t="str">
        <f>IF(MacReports!I320="Service","Battery Service","")</f>
        <v/>
      </c>
      <c r="P320" s="13">
        <f>MacReports!P320</f>
        <v>0</v>
      </c>
      <c r="Q320" s="13" t="str">
        <f>IF(MacReports!J320="Enabled","Apple ID Lock","")</f>
        <v/>
      </c>
      <c r="R320" s="13" t="str">
        <f>IF(MacReports!L320="y","Remote Locked","")</f>
        <v/>
      </c>
      <c r="S320" t="str">
        <f t="shared" si="11"/>
        <v>Battery Defect, 0</v>
      </c>
      <c r="T320" t="str">
        <f>_xlfn.XLOOKUP(B320,Disk_Pivot!G:G,Disk_Pivot!I:I)</f>
        <v>Yes x2</v>
      </c>
      <c r="U320" t="str">
        <f>_xlfn.XLOOKUP(B320,Disk_Pivot!G:G,Disk_Pivot!N:N)</f>
        <v>Pass, Fail</v>
      </c>
      <c r="V320" t="str">
        <f>IF(U320="Fail",MacReports!N320,"")</f>
        <v/>
      </c>
      <c r="AB320" t="str">
        <f t="shared" si="12"/>
        <v/>
      </c>
    </row>
    <row r="321" spans="1:28">
      <c r="A321">
        <f>MacReports!A321</f>
        <v>0</v>
      </c>
      <c r="B321">
        <f>MacReports!B321</f>
        <v>0</v>
      </c>
      <c r="C321">
        <f>MacReports!C321</f>
        <v>0</v>
      </c>
      <c r="E321" t="e">
        <f>_xlfn.XLOOKUP(G321,Models!A:A,Models!F:F)</f>
        <v>#N/A</v>
      </c>
      <c r="F321" t="str">
        <f>_xlfn.XLOOKUP(B321,MacReports!B:B,MacReports!D:D,"")</f>
        <v/>
      </c>
      <c r="G321" s="13">
        <f>MacReports!E321</f>
        <v>0</v>
      </c>
      <c r="H321" t="e">
        <f>_xlfn.XLOOKUP(G321,Models!A:A,Models!B:B)</f>
        <v>#N/A</v>
      </c>
      <c r="I321" t="e">
        <f>_xlfn.XLOOKUP(G321,Models!A:A,Models!E:E)</f>
        <v>#N/A</v>
      </c>
      <c r="J321" t="e">
        <f>_xlfn.XLOOKUP(G321,Models!A:A,Models!D:D)</f>
        <v>#N/A</v>
      </c>
      <c r="K321">
        <f>MacReports!F321</f>
        <v>0</v>
      </c>
      <c r="L321">
        <f>MacReports!G321</f>
        <v>0</v>
      </c>
      <c r="M321" s="15" t="e" cm="1">
        <f t="array" ref="M321">--_xlfn.LET(
    _xlpm.txt, MacReports!H321,
    _xlpm.chars, MID(_xlpm.txt, _xlfn.SEQUENCE(LEN(_xlpm.txt)), 1),
    _xlfn.TEXTJOIN("", TRUE, IF(ISNUMBER(--_xlpm.chars), _xlpm.chars, ""))
)</f>
        <v>#VALUE!</v>
      </c>
      <c r="N321" s="16" t="str" cm="1">
        <f t="array" ref="N321">_xlfn.IFS(
   --MacReports!M321&lt;55,"Battery Defect",
  -- MacReports!M321&lt;=69,"Battery D",
  --MacReports!M321&lt;=80,"Battery C",
 --MacReports!M321&gt;80,""
)</f>
        <v>Battery Defect</v>
      </c>
      <c r="O321" s="16" t="str">
        <f>IF(MacReports!I321="Service","Battery Service","")</f>
        <v/>
      </c>
      <c r="P321" s="13">
        <f>MacReports!P321</f>
        <v>0</v>
      </c>
      <c r="Q321" s="13" t="str">
        <f>IF(MacReports!J321="Enabled","Apple ID Lock","")</f>
        <v/>
      </c>
      <c r="R321" s="13" t="str">
        <f>IF(MacReports!L321="y","Remote Locked","")</f>
        <v/>
      </c>
      <c r="S321" t="str">
        <f t="shared" si="11"/>
        <v>Battery Defect, 0</v>
      </c>
      <c r="T321" t="str">
        <f>_xlfn.XLOOKUP(B321,Disk_Pivot!G:G,Disk_Pivot!I:I)</f>
        <v>Yes x2</v>
      </c>
      <c r="U321" t="str">
        <f>_xlfn.XLOOKUP(B321,Disk_Pivot!G:G,Disk_Pivot!N:N)</f>
        <v>Pass, Fail</v>
      </c>
      <c r="V321" t="str">
        <f>IF(U321="Fail",MacReports!N321,"")</f>
        <v/>
      </c>
      <c r="AB321" t="str">
        <f t="shared" si="12"/>
        <v/>
      </c>
    </row>
    <row r="322" spans="1:28">
      <c r="A322">
        <f>MacReports!A322</f>
        <v>0</v>
      </c>
      <c r="B322">
        <f>MacReports!B322</f>
        <v>0</v>
      </c>
      <c r="C322">
        <f>MacReports!C322</f>
        <v>0</v>
      </c>
      <c r="E322" t="e">
        <f>_xlfn.XLOOKUP(G322,Models!A:A,Models!F:F)</f>
        <v>#N/A</v>
      </c>
      <c r="F322" t="str">
        <f>_xlfn.XLOOKUP(B322,MacReports!B:B,MacReports!D:D,"")</f>
        <v/>
      </c>
      <c r="G322" s="13">
        <f>MacReports!E322</f>
        <v>0</v>
      </c>
      <c r="H322" t="e">
        <f>_xlfn.XLOOKUP(G322,Models!A:A,Models!B:B)</f>
        <v>#N/A</v>
      </c>
      <c r="I322" t="e">
        <f>_xlfn.XLOOKUP(G322,Models!A:A,Models!E:E)</f>
        <v>#N/A</v>
      </c>
      <c r="J322" t="e">
        <f>_xlfn.XLOOKUP(G322,Models!A:A,Models!D:D)</f>
        <v>#N/A</v>
      </c>
      <c r="K322">
        <f>MacReports!F322</f>
        <v>0</v>
      </c>
      <c r="L322">
        <f>MacReports!G322</f>
        <v>0</v>
      </c>
      <c r="M322" s="15" t="e" cm="1">
        <f t="array" ref="M322">--_xlfn.LET(
    _xlpm.txt, MacReports!H322,
    _xlpm.chars, MID(_xlpm.txt, _xlfn.SEQUENCE(LEN(_xlpm.txt)), 1),
    _xlfn.TEXTJOIN("", TRUE, IF(ISNUMBER(--_xlpm.chars), _xlpm.chars, ""))
)</f>
        <v>#VALUE!</v>
      </c>
      <c r="N322" s="16" t="str" cm="1">
        <f t="array" ref="N322">_xlfn.IFS(
   --MacReports!M322&lt;55,"Battery Defect",
  -- MacReports!M322&lt;=69,"Battery D",
  --MacReports!M322&lt;=80,"Battery C",
 --MacReports!M322&gt;80,""
)</f>
        <v>Battery Defect</v>
      </c>
      <c r="O322" s="16" t="str">
        <f>IF(MacReports!I322="Service","Battery Service","")</f>
        <v/>
      </c>
      <c r="P322" s="13">
        <f>MacReports!P322</f>
        <v>0</v>
      </c>
      <c r="Q322" s="13" t="str">
        <f>IF(MacReports!J322="Enabled","Apple ID Lock","")</f>
        <v/>
      </c>
      <c r="R322" s="13" t="str">
        <f>IF(MacReports!L322="y","Remote Locked","")</f>
        <v/>
      </c>
      <c r="S322" t="str">
        <f t="shared" si="11"/>
        <v>Battery Defect, 0</v>
      </c>
      <c r="T322" t="str">
        <f>_xlfn.XLOOKUP(B322,Disk_Pivot!G:G,Disk_Pivot!I:I)</f>
        <v>Yes x2</v>
      </c>
      <c r="U322" t="str">
        <f>_xlfn.XLOOKUP(B322,Disk_Pivot!G:G,Disk_Pivot!N:N)</f>
        <v>Pass, Fail</v>
      </c>
      <c r="V322" t="str">
        <f>IF(U322="Fail",MacReports!N322,"")</f>
        <v/>
      </c>
      <c r="AB322" t="str">
        <f t="shared" si="12"/>
        <v/>
      </c>
    </row>
    <row r="323" spans="1:28">
      <c r="A323">
        <f>MacReports!A323</f>
        <v>0</v>
      </c>
      <c r="B323">
        <f>MacReports!B323</f>
        <v>0</v>
      </c>
      <c r="C323">
        <f>MacReports!C323</f>
        <v>0</v>
      </c>
      <c r="E323" t="e">
        <f>_xlfn.XLOOKUP(G323,Models!A:A,Models!F:F)</f>
        <v>#N/A</v>
      </c>
      <c r="F323" t="str">
        <f>_xlfn.XLOOKUP(B323,MacReports!B:B,MacReports!D:D,"")</f>
        <v/>
      </c>
      <c r="G323" s="13">
        <f>MacReports!E323</f>
        <v>0</v>
      </c>
      <c r="H323" t="e">
        <f>_xlfn.XLOOKUP(G323,Models!A:A,Models!B:B)</f>
        <v>#N/A</v>
      </c>
      <c r="I323" t="e">
        <f>_xlfn.XLOOKUP(G323,Models!A:A,Models!E:E)</f>
        <v>#N/A</v>
      </c>
      <c r="J323" t="e">
        <f>_xlfn.XLOOKUP(G323,Models!A:A,Models!D:D)</f>
        <v>#N/A</v>
      </c>
      <c r="K323">
        <f>MacReports!F323</f>
        <v>0</v>
      </c>
      <c r="L323">
        <f>MacReports!G323</f>
        <v>0</v>
      </c>
      <c r="M323" s="15" t="e" cm="1">
        <f t="array" ref="M323">--_xlfn.LET(
    _xlpm.txt, MacReports!H323,
    _xlpm.chars, MID(_xlpm.txt, _xlfn.SEQUENCE(LEN(_xlpm.txt)), 1),
    _xlfn.TEXTJOIN("", TRUE, IF(ISNUMBER(--_xlpm.chars), _xlpm.chars, ""))
)</f>
        <v>#VALUE!</v>
      </c>
      <c r="N323" s="16" t="str" cm="1">
        <f t="array" ref="N323">_xlfn.IFS(
   --MacReports!M323&lt;55,"Battery Defect",
  -- MacReports!M323&lt;=69,"Battery D",
  --MacReports!M323&lt;=80,"Battery C",
 --MacReports!M323&gt;80,""
)</f>
        <v>Battery Defect</v>
      </c>
      <c r="O323" s="16" t="str">
        <f>IF(MacReports!I323="Service","Battery Service","")</f>
        <v/>
      </c>
      <c r="P323" s="13">
        <f>MacReports!P323</f>
        <v>0</v>
      </c>
      <c r="Q323" s="13" t="str">
        <f>IF(MacReports!J323="Enabled","Apple ID Lock","")</f>
        <v/>
      </c>
      <c r="R323" s="13" t="str">
        <f>IF(MacReports!L323="y","Remote Locked","")</f>
        <v/>
      </c>
      <c r="S323" t="str">
        <f t="shared" si="11"/>
        <v>Battery Defect, 0</v>
      </c>
      <c r="T323" t="str">
        <f>_xlfn.XLOOKUP(B323,Disk_Pivot!G:G,Disk_Pivot!I:I)</f>
        <v>Yes x2</v>
      </c>
      <c r="U323" t="str">
        <f>_xlfn.XLOOKUP(B323,Disk_Pivot!G:G,Disk_Pivot!N:N)</f>
        <v>Pass, Fail</v>
      </c>
      <c r="V323" t="str">
        <f>IF(U323="Fail",MacReports!N323,"")</f>
        <v/>
      </c>
      <c r="AB323" t="str">
        <f t="shared" si="12"/>
        <v/>
      </c>
    </row>
    <row r="324" spans="1:28">
      <c r="A324">
        <f>MacReports!A324</f>
        <v>0</v>
      </c>
      <c r="B324">
        <f>MacReports!B324</f>
        <v>0</v>
      </c>
      <c r="C324">
        <f>MacReports!C324</f>
        <v>0</v>
      </c>
      <c r="E324" t="e">
        <f>_xlfn.XLOOKUP(G324,Models!A:A,Models!F:F)</f>
        <v>#N/A</v>
      </c>
      <c r="F324" t="str">
        <f>_xlfn.XLOOKUP(B324,MacReports!B:B,MacReports!D:D,"")</f>
        <v/>
      </c>
      <c r="G324" s="13">
        <f>MacReports!E324</f>
        <v>0</v>
      </c>
      <c r="H324" t="e">
        <f>_xlfn.XLOOKUP(G324,Models!A:A,Models!B:B)</f>
        <v>#N/A</v>
      </c>
      <c r="I324" t="e">
        <f>_xlfn.XLOOKUP(G324,Models!A:A,Models!E:E)</f>
        <v>#N/A</v>
      </c>
      <c r="J324" t="e">
        <f>_xlfn.XLOOKUP(G324,Models!A:A,Models!D:D)</f>
        <v>#N/A</v>
      </c>
      <c r="K324">
        <f>MacReports!F324</f>
        <v>0</v>
      </c>
      <c r="L324">
        <f>MacReports!G324</f>
        <v>0</v>
      </c>
      <c r="M324" s="15" t="e" cm="1">
        <f t="array" ref="M324">--_xlfn.LET(
    _xlpm.txt, MacReports!H324,
    _xlpm.chars, MID(_xlpm.txt, _xlfn.SEQUENCE(LEN(_xlpm.txt)), 1),
    _xlfn.TEXTJOIN("", TRUE, IF(ISNUMBER(--_xlpm.chars), _xlpm.chars, ""))
)</f>
        <v>#VALUE!</v>
      </c>
      <c r="N324" s="16" t="str" cm="1">
        <f t="array" ref="N324">_xlfn.IFS(
   --MacReports!M324&lt;55,"Battery Defect",
  -- MacReports!M324&lt;=69,"Battery D",
  --MacReports!M324&lt;=80,"Battery C",
 --MacReports!M324&gt;80,""
)</f>
        <v>Battery Defect</v>
      </c>
      <c r="O324" s="16" t="str">
        <f>IF(MacReports!I324="Service","Battery Service","")</f>
        <v/>
      </c>
      <c r="P324" s="13">
        <f>MacReports!P324</f>
        <v>0</v>
      </c>
      <c r="Q324" s="13" t="str">
        <f>IF(MacReports!J324="Enabled","Apple ID Lock","")</f>
        <v/>
      </c>
      <c r="R324" s="13" t="str">
        <f>IF(MacReports!L324="y","Remote Locked","")</f>
        <v/>
      </c>
      <c r="S324" t="str">
        <f t="shared" si="11"/>
        <v>Battery Defect, 0</v>
      </c>
      <c r="T324" t="str">
        <f>_xlfn.XLOOKUP(B324,Disk_Pivot!G:G,Disk_Pivot!I:I)</f>
        <v>Yes x2</v>
      </c>
      <c r="U324" t="str">
        <f>_xlfn.XLOOKUP(B324,Disk_Pivot!G:G,Disk_Pivot!N:N)</f>
        <v>Pass, Fail</v>
      </c>
      <c r="V324" t="str">
        <f>IF(U324="Fail",MacReports!N324,"")</f>
        <v/>
      </c>
      <c r="AB324" t="str">
        <f t="shared" si="12"/>
        <v/>
      </c>
    </row>
    <row r="325" spans="1:28">
      <c r="A325">
        <f>MacReports!A325</f>
        <v>0</v>
      </c>
      <c r="B325">
        <f>MacReports!B325</f>
        <v>0</v>
      </c>
      <c r="C325">
        <f>MacReports!C325</f>
        <v>0</v>
      </c>
      <c r="E325" t="e">
        <f>_xlfn.XLOOKUP(G325,Models!A:A,Models!F:F)</f>
        <v>#N/A</v>
      </c>
      <c r="F325" t="str">
        <f>_xlfn.XLOOKUP(B325,MacReports!B:B,MacReports!D:D,"")</f>
        <v/>
      </c>
      <c r="G325" s="13">
        <f>MacReports!E325</f>
        <v>0</v>
      </c>
      <c r="H325" t="e">
        <f>_xlfn.XLOOKUP(G325,Models!A:A,Models!B:B)</f>
        <v>#N/A</v>
      </c>
      <c r="I325" t="e">
        <f>_xlfn.XLOOKUP(G325,Models!A:A,Models!E:E)</f>
        <v>#N/A</v>
      </c>
      <c r="J325" t="e">
        <f>_xlfn.XLOOKUP(G325,Models!A:A,Models!D:D)</f>
        <v>#N/A</v>
      </c>
      <c r="K325">
        <f>MacReports!F325</f>
        <v>0</v>
      </c>
      <c r="L325">
        <f>MacReports!G325</f>
        <v>0</v>
      </c>
      <c r="M325" s="15" t="e" cm="1">
        <f t="array" ref="M325">--_xlfn.LET(
    _xlpm.txt, MacReports!H325,
    _xlpm.chars, MID(_xlpm.txt, _xlfn.SEQUENCE(LEN(_xlpm.txt)), 1),
    _xlfn.TEXTJOIN("", TRUE, IF(ISNUMBER(--_xlpm.chars), _xlpm.chars, ""))
)</f>
        <v>#VALUE!</v>
      </c>
      <c r="N325" s="16" t="str" cm="1">
        <f t="array" ref="N325">_xlfn.IFS(
   --MacReports!M325&lt;55,"Battery Defect",
  -- MacReports!M325&lt;=69,"Battery D",
  --MacReports!M325&lt;=80,"Battery C",
 --MacReports!M325&gt;80,""
)</f>
        <v>Battery Defect</v>
      </c>
      <c r="O325" s="16" t="str">
        <f>IF(MacReports!I325="Service","Battery Service","")</f>
        <v/>
      </c>
      <c r="P325" s="13">
        <f>MacReports!P325</f>
        <v>0</v>
      </c>
      <c r="Q325" s="13" t="str">
        <f>IF(MacReports!J325="Enabled","Apple ID Lock","")</f>
        <v/>
      </c>
      <c r="R325" s="13" t="str">
        <f>IF(MacReports!L325="y","Remote Locked","")</f>
        <v/>
      </c>
      <c r="S325" t="str">
        <f t="shared" si="11"/>
        <v>Battery Defect, 0</v>
      </c>
      <c r="T325" t="str">
        <f>_xlfn.XLOOKUP(B325,Disk_Pivot!G:G,Disk_Pivot!I:I)</f>
        <v>Yes x2</v>
      </c>
      <c r="U325" t="str">
        <f>_xlfn.XLOOKUP(B325,Disk_Pivot!G:G,Disk_Pivot!N:N)</f>
        <v>Pass, Fail</v>
      </c>
      <c r="V325" t="str">
        <f>IF(U325="Fail",MacReports!N325,"")</f>
        <v/>
      </c>
      <c r="AB325" t="str">
        <f t="shared" si="12"/>
        <v/>
      </c>
    </row>
    <row r="326" spans="1:28">
      <c r="A326">
        <f>MacReports!A326</f>
        <v>0</v>
      </c>
      <c r="B326">
        <f>MacReports!B326</f>
        <v>0</v>
      </c>
      <c r="C326">
        <f>MacReports!C326</f>
        <v>0</v>
      </c>
      <c r="E326" t="e">
        <f>_xlfn.XLOOKUP(G326,Models!A:A,Models!F:F)</f>
        <v>#N/A</v>
      </c>
      <c r="F326" t="str">
        <f>_xlfn.XLOOKUP(B326,MacReports!B:B,MacReports!D:D,"")</f>
        <v/>
      </c>
      <c r="G326" s="13">
        <f>MacReports!E326</f>
        <v>0</v>
      </c>
      <c r="H326" t="e">
        <f>_xlfn.XLOOKUP(G326,Models!A:A,Models!B:B)</f>
        <v>#N/A</v>
      </c>
      <c r="I326" t="e">
        <f>_xlfn.XLOOKUP(G326,Models!A:A,Models!E:E)</f>
        <v>#N/A</v>
      </c>
      <c r="J326" t="e">
        <f>_xlfn.XLOOKUP(G326,Models!A:A,Models!D:D)</f>
        <v>#N/A</v>
      </c>
      <c r="K326">
        <f>MacReports!F326</f>
        <v>0</v>
      </c>
      <c r="L326">
        <f>MacReports!G326</f>
        <v>0</v>
      </c>
      <c r="M326" s="15" t="e" cm="1">
        <f t="array" ref="M326">--_xlfn.LET(
    _xlpm.txt, MacReports!H326,
    _xlpm.chars, MID(_xlpm.txt, _xlfn.SEQUENCE(LEN(_xlpm.txt)), 1),
    _xlfn.TEXTJOIN("", TRUE, IF(ISNUMBER(--_xlpm.chars), _xlpm.chars, ""))
)</f>
        <v>#VALUE!</v>
      </c>
      <c r="N326" s="16" t="str" cm="1">
        <f t="array" ref="N326">_xlfn.IFS(
   --MacReports!M326&lt;55,"Battery Defect",
  -- MacReports!M326&lt;=69,"Battery D",
  --MacReports!M326&lt;=80,"Battery C",
 --MacReports!M326&gt;80,""
)</f>
        <v>Battery Defect</v>
      </c>
      <c r="O326" s="16" t="str">
        <f>IF(MacReports!I326="Service","Battery Service","")</f>
        <v/>
      </c>
      <c r="P326" s="13">
        <f>MacReports!P326</f>
        <v>0</v>
      </c>
      <c r="Q326" s="13" t="str">
        <f>IF(MacReports!J326="Enabled","Apple ID Lock","")</f>
        <v/>
      </c>
      <c r="R326" s="13" t="str">
        <f>IF(MacReports!L326="y","Remote Locked","")</f>
        <v/>
      </c>
      <c r="S326" t="str">
        <f t="shared" si="11"/>
        <v>Battery Defect, 0</v>
      </c>
      <c r="T326" t="str">
        <f>_xlfn.XLOOKUP(B326,Disk_Pivot!G:G,Disk_Pivot!I:I)</f>
        <v>Yes x2</v>
      </c>
      <c r="U326" t="str">
        <f>_xlfn.XLOOKUP(B326,Disk_Pivot!G:G,Disk_Pivot!N:N)</f>
        <v>Pass, Fail</v>
      </c>
      <c r="V326" t="str">
        <f>IF(U326="Fail",MacReports!N326,"")</f>
        <v/>
      </c>
      <c r="AB326" t="str">
        <f t="shared" si="12"/>
        <v/>
      </c>
    </row>
    <row r="327" spans="1:28">
      <c r="A327">
        <f>MacReports!A327</f>
        <v>0</v>
      </c>
      <c r="B327">
        <f>MacReports!B327</f>
        <v>0</v>
      </c>
      <c r="C327">
        <f>MacReports!C327</f>
        <v>0</v>
      </c>
      <c r="E327" t="e">
        <f>_xlfn.XLOOKUP(G327,Models!A:A,Models!F:F)</f>
        <v>#N/A</v>
      </c>
      <c r="F327" t="str">
        <f>_xlfn.XLOOKUP(B327,MacReports!B:B,MacReports!D:D,"")</f>
        <v/>
      </c>
      <c r="G327" s="13">
        <f>MacReports!E327</f>
        <v>0</v>
      </c>
      <c r="H327" t="e">
        <f>_xlfn.XLOOKUP(G327,Models!A:A,Models!B:B)</f>
        <v>#N/A</v>
      </c>
      <c r="I327" t="e">
        <f>_xlfn.XLOOKUP(G327,Models!A:A,Models!E:E)</f>
        <v>#N/A</v>
      </c>
      <c r="J327" t="e">
        <f>_xlfn.XLOOKUP(G327,Models!A:A,Models!D:D)</f>
        <v>#N/A</v>
      </c>
      <c r="K327">
        <f>MacReports!F327</f>
        <v>0</v>
      </c>
      <c r="L327">
        <f>MacReports!G327</f>
        <v>0</v>
      </c>
      <c r="M327" s="15" t="e" cm="1">
        <f t="array" ref="M327">--_xlfn.LET(
    _xlpm.txt, MacReports!H327,
    _xlpm.chars, MID(_xlpm.txt, _xlfn.SEQUENCE(LEN(_xlpm.txt)), 1),
    _xlfn.TEXTJOIN("", TRUE, IF(ISNUMBER(--_xlpm.chars), _xlpm.chars, ""))
)</f>
        <v>#VALUE!</v>
      </c>
      <c r="N327" s="16" t="str" cm="1">
        <f t="array" ref="N327">_xlfn.IFS(
   --MacReports!M327&lt;55,"Battery Defect",
  -- MacReports!M327&lt;=69,"Battery D",
  --MacReports!M327&lt;=80,"Battery C",
 --MacReports!M327&gt;80,""
)</f>
        <v>Battery Defect</v>
      </c>
      <c r="O327" s="16" t="str">
        <f>IF(MacReports!I327="Service","Battery Service","")</f>
        <v/>
      </c>
      <c r="P327" s="13">
        <f>MacReports!P327</f>
        <v>0</v>
      </c>
      <c r="Q327" s="13" t="str">
        <f>IF(MacReports!J327="Enabled","Apple ID Lock","")</f>
        <v/>
      </c>
      <c r="R327" s="13" t="str">
        <f>IF(MacReports!L327="y","Remote Locked","")</f>
        <v/>
      </c>
      <c r="S327" t="str">
        <f t="shared" si="11"/>
        <v>Battery Defect, 0</v>
      </c>
      <c r="T327" t="str">
        <f>_xlfn.XLOOKUP(B327,Disk_Pivot!G:G,Disk_Pivot!I:I)</f>
        <v>Yes x2</v>
      </c>
      <c r="U327" t="str">
        <f>_xlfn.XLOOKUP(B327,Disk_Pivot!G:G,Disk_Pivot!N:N)</f>
        <v>Pass, Fail</v>
      </c>
      <c r="V327" t="str">
        <f>IF(U327="Fail",MacReports!N327,"")</f>
        <v/>
      </c>
      <c r="AB327" t="str">
        <f t="shared" si="12"/>
        <v/>
      </c>
    </row>
    <row r="328" spans="1:28">
      <c r="A328">
        <f>MacReports!A328</f>
        <v>0</v>
      </c>
      <c r="B328">
        <f>MacReports!B328</f>
        <v>0</v>
      </c>
      <c r="C328">
        <f>MacReports!C328</f>
        <v>0</v>
      </c>
      <c r="E328" t="e">
        <f>_xlfn.XLOOKUP(G328,Models!A:A,Models!F:F)</f>
        <v>#N/A</v>
      </c>
      <c r="F328" t="str">
        <f>_xlfn.XLOOKUP(B328,MacReports!B:B,MacReports!D:D,"")</f>
        <v/>
      </c>
      <c r="G328" s="13">
        <f>MacReports!E328</f>
        <v>0</v>
      </c>
      <c r="H328" t="e">
        <f>_xlfn.XLOOKUP(G328,Models!A:A,Models!B:B)</f>
        <v>#N/A</v>
      </c>
      <c r="I328" t="e">
        <f>_xlfn.XLOOKUP(G328,Models!A:A,Models!E:E)</f>
        <v>#N/A</v>
      </c>
      <c r="J328" t="e">
        <f>_xlfn.XLOOKUP(G328,Models!A:A,Models!D:D)</f>
        <v>#N/A</v>
      </c>
      <c r="K328">
        <f>MacReports!F328</f>
        <v>0</v>
      </c>
      <c r="L328">
        <f>MacReports!G328</f>
        <v>0</v>
      </c>
      <c r="M328" s="15" t="e" cm="1">
        <f t="array" ref="M328">--_xlfn.LET(
    _xlpm.txt, MacReports!H328,
    _xlpm.chars, MID(_xlpm.txt, _xlfn.SEQUENCE(LEN(_xlpm.txt)), 1),
    _xlfn.TEXTJOIN("", TRUE, IF(ISNUMBER(--_xlpm.chars), _xlpm.chars, ""))
)</f>
        <v>#VALUE!</v>
      </c>
      <c r="N328" s="16" t="str" cm="1">
        <f t="array" ref="N328">_xlfn.IFS(
   --MacReports!M328&lt;55,"Battery Defect",
  -- MacReports!M328&lt;=69,"Battery D",
  --MacReports!M328&lt;=80,"Battery C",
 --MacReports!M328&gt;80,""
)</f>
        <v>Battery Defect</v>
      </c>
      <c r="O328" s="16" t="str">
        <f>IF(MacReports!I328="Service","Battery Service","")</f>
        <v/>
      </c>
      <c r="P328" s="13">
        <f>MacReports!P328</f>
        <v>0</v>
      </c>
      <c r="Q328" s="13" t="str">
        <f>IF(MacReports!J328="Enabled","Apple ID Lock","")</f>
        <v/>
      </c>
      <c r="R328" s="13" t="str">
        <f>IF(MacReports!L328="y","Remote Locked","")</f>
        <v/>
      </c>
      <c r="S328" t="str">
        <f t="shared" si="11"/>
        <v>Battery Defect, 0</v>
      </c>
      <c r="T328" t="str">
        <f>_xlfn.XLOOKUP(B328,Disk_Pivot!G:G,Disk_Pivot!I:I)</f>
        <v>Yes x2</v>
      </c>
      <c r="U328" t="str">
        <f>_xlfn.XLOOKUP(B328,Disk_Pivot!G:G,Disk_Pivot!N:N)</f>
        <v>Pass, Fail</v>
      </c>
      <c r="V328" t="str">
        <f>IF(U328="Fail",MacReports!N328,"")</f>
        <v/>
      </c>
      <c r="AB328" t="str">
        <f t="shared" si="12"/>
        <v/>
      </c>
    </row>
    <row r="329" spans="1:28">
      <c r="A329">
        <f>MacReports!A329</f>
        <v>0</v>
      </c>
      <c r="B329">
        <f>MacReports!B329</f>
        <v>0</v>
      </c>
      <c r="C329">
        <f>MacReports!C329</f>
        <v>0</v>
      </c>
      <c r="E329" t="e">
        <f>_xlfn.XLOOKUP(G329,Models!A:A,Models!F:F)</f>
        <v>#N/A</v>
      </c>
      <c r="F329" t="str">
        <f>_xlfn.XLOOKUP(B329,MacReports!B:B,MacReports!D:D,"")</f>
        <v/>
      </c>
      <c r="G329" s="13">
        <f>MacReports!E329</f>
        <v>0</v>
      </c>
      <c r="H329" t="e">
        <f>_xlfn.XLOOKUP(G329,Models!A:A,Models!B:B)</f>
        <v>#N/A</v>
      </c>
      <c r="I329" t="e">
        <f>_xlfn.XLOOKUP(G329,Models!A:A,Models!E:E)</f>
        <v>#N/A</v>
      </c>
      <c r="J329" t="e">
        <f>_xlfn.XLOOKUP(G329,Models!A:A,Models!D:D)</f>
        <v>#N/A</v>
      </c>
      <c r="K329">
        <f>MacReports!F329</f>
        <v>0</v>
      </c>
      <c r="L329">
        <f>MacReports!G329</f>
        <v>0</v>
      </c>
      <c r="M329" s="15" t="e" cm="1">
        <f t="array" ref="M329">--_xlfn.LET(
    _xlpm.txt, MacReports!H329,
    _xlpm.chars, MID(_xlpm.txt, _xlfn.SEQUENCE(LEN(_xlpm.txt)), 1),
    _xlfn.TEXTJOIN("", TRUE, IF(ISNUMBER(--_xlpm.chars), _xlpm.chars, ""))
)</f>
        <v>#VALUE!</v>
      </c>
      <c r="N329" s="16" t="str" cm="1">
        <f t="array" ref="N329">_xlfn.IFS(
   --MacReports!M329&lt;55,"Battery Defect",
  -- MacReports!M329&lt;=69,"Battery D",
  --MacReports!M329&lt;=80,"Battery C",
 --MacReports!M329&gt;80,""
)</f>
        <v>Battery Defect</v>
      </c>
      <c r="O329" s="16" t="str">
        <f>IF(MacReports!I329="Service","Battery Service","")</f>
        <v/>
      </c>
      <c r="P329" s="13">
        <f>MacReports!P329</f>
        <v>0</v>
      </c>
      <c r="Q329" s="13" t="str">
        <f>IF(MacReports!J329="Enabled","Apple ID Lock","")</f>
        <v/>
      </c>
      <c r="R329" s="13" t="str">
        <f>IF(MacReports!L329="y","Remote Locked","")</f>
        <v/>
      </c>
      <c r="S329" t="str">
        <f t="shared" si="11"/>
        <v>Battery Defect, 0</v>
      </c>
      <c r="T329" t="str">
        <f>_xlfn.XLOOKUP(B329,Disk_Pivot!G:G,Disk_Pivot!I:I)</f>
        <v>Yes x2</v>
      </c>
      <c r="U329" t="str">
        <f>_xlfn.XLOOKUP(B329,Disk_Pivot!G:G,Disk_Pivot!N:N)</f>
        <v>Pass, Fail</v>
      </c>
      <c r="V329" t="str">
        <f>IF(U329="Fail",MacReports!N329,"")</f>
        <v/>
      </c>
      <c r="AB329" t="str">
        <f t="shared" si="12"/>
        <v/>
      </c>
    </row>
    <row r="330" spans="1:28">
      <c r="A330">
        <f>MacReports!A330</f>
        <v>0</v>
      </c>
      <c r="B330">
        <f>MacReports!B330</f>
        <v>0</v>
      </c>
      <c r="C330">
        <f>MacReports!C330</f>
        <v>0</v>
      </c>
      <c r="E330" t="e">
        <f>_xlfn.XLOOKUP(G330,Models!A:A,Models!F:F)</f>
        <v>#N/A</v>
      </c>
      <c r="F330" t="str">
        <f>_xlfn.XLOOKUP(B330,MacReports!B:B,MacReports!D:D,"")</f>
        <v/>
      </c>
      <c r="G330" s="13">
        <f>MacReports!E330</f>
        <v>0</v>
      </c>
      <c r="H330" t="e">
        <f>_xlfn.XLOOKUP(G330,Models!A:A,Models!B:B)</f>
        <v>#N/A</v>
      </c>
      <c r="I330" t="e">
        <f>_xlfn.XLOOKUP(G330,Models!A:A,Models!E:E)</f>
        <v>#N/A</v>
      </c>
      <c r="J330" t="e">
        <f>_xlfn.XLOOKUP(G330,Models!A:A,Models!D:D)</f>
        <v>#N/A</v>
      </c>
      <c r="K330">
        <f>MacReports!F330</f>
        <v>0</v>
      </c>
      <c r="L330">
        <f>MacReports!G330</f>
        <v>0</v>
      </c>
      <c r="M330" s="15" t="e" cm="1">
        <f t="array" ref="M330">--_xlfn.LET(
    _xlpm.txt, MacReports!H330,
    _xlpm.chars, MID(_xlpm.txt, _xlfn.SEQUENCE(LEN(_xlpm.txt)), 1),
    _xlfn.TEXTJOIN("", TRUE, IF(ISNUMBER(--_xlpm.chars), _xlpm.chars, ""))
)</f>
        <v>#VALUE!</v>
      </c>
      <c r="N330" s="16" t="str" cm="1">
        <f t="array" ref="N330">_xlfn.IFS(
   --MacReports!M330&lt;55,"Battery Defect",
  -- MacReports!M330&lt;=69,"Battery D",
  --MacReports!M330&lt;=80,"Battery C",
 --MacReports!M330&gt;80,""
)</f>
        <v>Battery Defect</v>
      </c>
      <c r="O330" s="16" t="str">
        <f>IF(MacReports!I330="Service","Battery Service","")</f>
        <v/>
      </c>
      <c r="P330" s="13">
        <f>MacReports!P330</f>
        <v>0</v>
      </c>
      <c r="Q330" s="13" t="str">
        <f>IF(MacReports!J330="Enabled","Apple ID Lock","")</f>
        <v/>
      </c>
      <c r="R330" s="13" t="str">
        <f>IF(MacReports!L330="y","Remote Locked","")</f>
        <v/>
      </c>
      <c r="S330" t="str">
        <f t="shared" si="11"/>
        <v>Battery Defect, 0</v>
      </c>
      <c r="T330" t="str">
        <f>_xlfn.XLOOKUP(B330,Disk_Pivot!G:G,Disk_Pivot!I:I)</f>
        <v>Yes x2</v>
      </c>
      <c r="U330" t="str">
        <f>_xlfn.XLOOKUP(B330,Disk_Pivot!G:G,Disk_Pivot!N:N)</f>
        <v>Pass, Fail</v>
      </c>
      <c r="V330" t="str">
        <f>IF(U330="Fail",MacReports!N330,"")</f>
        <v/>
      </c>
      <c r="AB330" t="str">
        <f t="shared" si="12"/>
        <v/>
      </c>
    </row>
    <row r="331" spans="1:28">
      <c r="A331">
        <f>MacReports!A331</f>
        <v>0</v>
      </c>
      <c r="B331">
        <f>MacReports!B331</f>
        <v>0</v>
      </c>
      <c r="C331">
        <f>MacReports!C331</f>
        <v>0</v>
      </c>
      <c r="E331" t="e">
        <f>_xlfn.XLOOKUP(G331,Models!A:A,Models!F:F)</f>
        <v>#N/A</v>
      </c>
      <c r="F331" t="str">
        <f>_xlfn.XLOOKUP(B331,MacReports!B:B,MacReports!D:D,"")</f>
        <v/>
      </c>
      <c r="G331" s="13">
        <f>MacReports!E331</f>
        <v>0</v>
      </c>
      <c r="H331" t="e">
        <f>_xlfn.XLOOKUP(G331,Models!A:A,Models!B:B)</f>
        <v>#N/A</v>
      </c>
      <c r="I331" t="e">
        <f>_xlfn.XLOOKUP(G331,Models!A:A,Models!E:E)</f>
        <v>#N/A</v>
      </c>
      <c r="J331" t="e">
        <f>_xlfn.XLOOKUP(G331,Models!A:A,Models!D:D)</f>
        <v>#N/A</v>
      </c>
      <c r="K331">
        <f>MacReports!F331</f>
        <v>0</v>
      </c>
      <c r="L331">
        <f>MacReports!G331</f>
        <v>0</v>
      </c>
      <c r="M331" s="15" t="e" cm="1">
        <f t="array" ref="M331">--_xlfn.LET(
    _xlpm.txt, MacReports!H331,
    _xlpm.chars, MID(_xlpm.txt, _xlfn.SEQUENCE(LEN(_xlpm.txt)), 1),
    _xlfn.TEXTJOIN("", TRUE, IF(ISNUMBER(--_xlpm.chars), _xlpm.chars, ""))
)</f>
        <v>#VALUE!</v>
      </c>
      <c r="N331" s="16" t="str" cm="1">
        <f t="array" ref="N331">_xlfn.IFS(
   --MacReports!M331&lt;55,"Battery Defect",
  -- MacReports!M331&lt;=69,"Battery D",
  --MacReports!M331&lt;=80,"Battery C",
 --MacReports!M331&gt;80,""
)</f>
        <v>Battery Defect</v>
      </c>
      <c r="O331" s="16" t="str">
        <f>IF(MacReports!I331="Service","Battery Service","")</f>
        <v/>
      </c>
      <c r="P331" s="13">
        <f>MacReports!P331</f>
        <v>0</v>
      </c>
      <c r="Q331" s="13" t="str">
        <f>IF(MacReports!J331="Enabled","Apple ID Lock","")</f>
        <v/>
      </c>
      <c r="R331" s="13" t="str">
        <f>IF(MacReports!L331="y","Remote Locked","")</f>
        <v/>
      </c>
      <c r="S331" t="str">
        <f t="shared" si="11"/>
        <v>Battery Defect, 0</v>
      </c>
      <c r="T331" t="str">
        <f>_xlfn.XLOOKUP(B331,Disk_Pivot!G:G,Disk_Pivot!I:I)</f>
        <v>Yes x2</v>
      </c>
      <c r="U331" t="str">
        <f>_xlfn.XLOOKUP(B331,Disk_Pivot!G:G,Disk_Pivot!N:N)</f>
        <v>Pass, Fail</v>
      </c>
      <c r="V331" t="str">
        <f>IF(U331="Fail",MacReports!N331,"")</f>
        <v/>
      </c>
      <c r="AB331" t="str">
        <f t="shared" si="12"/>
        <v/>
      </c>
    </row>
    <row r="332" spans="1:28">
      <c r="A332">
        <f>MacReports!A332</f>
        <v>0</v>
      </c>
      <c r="B332">
        <f>MacReports!B332</f>
        <v>0</v>
      </c>
      <c r="C332">
        <f>MacReports!C332</f>
        <v>0</v>
      </c>
      <c r="E332" t="e">
        <f>_xlfn.XLOOKUP(G332,Models!A:A,Models!F:F)</f>
        <v>#N/A</v>
      </c>
      <c r="F332" t="str">
        <f>_xlfn.XLOOKUP(B332,MacReports!B:B,MacReports!D:D,"")</f>
        <v/>
      </c>
      <c r="G332" s="13">
        <f>MacReports!E332</f>
        <v>0</v>
      </c>
      <c r="H332" t="e">
        <f>_xlfn.XLOOKUP(G332,Models!A:A,Models!B:B)</f>
        <v>#N/A</v>
      </c>
      <c r="I332" t="e">
        <f>_xlfn.XLOOKUP(G332,Models!A:A,Models!E:E)</f>
        <v>#N/A</v>
      </c>
      <c r="J332" t="e">
        <f>_xlfn.XLOOKUP(G332,Models!A:A,Models!D:D)</f>
        <v>#N/A</v>
      </c>
      <c r="K332">
        <f>MacReports!F332</f>
        <v>0</v>
      </c>
      <c r="L332">
        <f>MacReports!G332</f>
        <v>0</v>
      </c>
      <c r="M332" s="15" t="e" cm="1">
        <f t="array" ref="M332">--_xlfn.LET(
    _xlpm.txt, MacReports!H332,
    _xlpm.chars, MID(_xlpm.txt, _xlfn.SEQUENCE(LEN(_xlpm.txt)), 1),
    _xlfn.TEXTJOIN("", TRUE, IF(ISNUMBER(--_xlpm.chars), _xlpm.chars, ""))
)</f>
        <v>#VALUE!</v>
      </c>
      <c r="N332" s="16" t="str" cm="1">
        <f t="array" ref="N332">_xlfn.IFS(
   --MacReports!M332&lt;55,"Battery Defect",
  -- MacReports!M332&lt;=69,"Battery D",
  --MacReports!M332&lt;=80,"Battery C",
 --MacReports!M332&gt;80,""
)</f>
        <v>Battery Defect</v>
      </c>
      <c r="O332" s="16" t="str">
        <f>IF(MacReports!I332="Service","Battery Service","")</f>
        <v/>
      </c>
      <c r="P332" s="13">
        <f>MacReports!P332</f>
        <v>0</v>
      </c>
      <c r="Q332" s="13" t="str">
        <f>IF(MacReports!J332="Enabled","Apple ID Lock","")</f>
        <v/>
      </c>
      <c r="R332" s="13" t="str">
        <f>IF(MacReports!L332="y","Remote Locked","")</f>
        <v/>
      </c>
      <c r="S332" t="str">
        <f t="shared" si="11"/>
        <v>Battery Defect, 0</v>
      </c>
      <c r="T332" t="str">
        <f>_xlfn.XLOOKUP(B332,Disk_Pivot!G:G,Disk_Pivot!I:I)</f>
        <v>Yes x2</v>
      </c>
      <c r="U332" t="str">
        <f>_xlfn.XLOOKUP(B332,Disk_Pivot!G:G,Disk_Pivot!N:N)</f>
        <v>Pass, Fail</v>
      </c>
      <c r="V332" t="str">
        <f>IF(U332="Fail",MacReports!N332,"")</f>
        <v/>
      </c>
      <c r="AB332" t="str">
        <f t="shared" si="12"/>
        <v/>
      </c>
    </row>
    <row r="333" spans="1:28">
      <c r="A333">
        <f>MacReports!A333</f>
        <v>0</v>
      </c>
      <c r="B333">
        <f>MacReports!B333</f>
        <v>0</v>
      </c>
      <c r="C333">
        <f>MacReports!C333</f>
        <v>0</v>
      </c>
      <c r="E333" t="e">
        <f>_xlfn.XLOOKUP(G333,Models!A:A,Models!F:F)</f>
        <v>#N/A</v>
      </c>
      <c r="F333" t="str">
        <f>_xlfn.XLOOKUP(B333,MacReports!B:B,MacReports!D:D,"")</f>
        <v/>
      </c>
      <c r="G333" s="13">
        <f>MacReports!E333</f>
        <v>0</v>
      </c>
      <c r="H333" t="e">
        <f>_xlfn.XLOOKUP(G333,Models!A:A,Models!B:B)</f>
        <v>#N/A</v>
      </c>
      <c r="I333" t="e">
        <f>_xlfn.XLOOKUP(G333,Models!A:A,Models!E:E)</f>
        <v>#N/A</v>
      </c>
      <c r="J333" t="e">
        <f>_xlfn.XLOOKUP(G333,Models!A:A,Models!D:D)</f>
        <v>#N/A</v>
      </c>
      <c r="K333">
        <f>MacReports!F333</f>
        <v>0</v>
      </c>
      <c r="L333">
        <f>MacReports!G333</f>
        <v>0</v>
      </c>
      <c r="M333" s="15" t="e" cm="1">
        <f t="array" ref="M333">--_xlfn.LET(
    _xlpm.txt, MacReports!H333,
    _xlpm.chars, MID(_xlpm.txt, _xlfn.SEQUENCE(LEN(_xlpm.txt)), 1),
    _xlfn.TEXTJOIN("", TRUE, IF(ISNUMBER(--_xlpm.chars), _xlpm.chars, ""))
)</f>
        <v>#VALUE!</v>
      </c>
      <c r="N333" s="16" t="str" cm="1">
        <f t="array" ref="N333">_xlfn.IFS(
   --MacReports!M333&lt;55,"Battery Defect",
  -- MacReports!M333&lt;=69,"Battery D",
  --MacReports!M333&lt;=80,"Battery C",
 --MacReports!M333&gt;80,""
)</f>
        <v>Battery Defect</v>
      </c>
      <c r="O333" s="16" t="str">
        <f>IF(MacReports!I333="Service","Battery Service","")</f>
        <v/>
      </c>
      <c r="P333" s="13">
        <f>MacReports!P333</f>
        <v>0</v>
      </c>
      <c r="Q333" s="13" t="str">
        <f>IF(MacReports!J333="Enabled","Apple ID Lock","")</f>
        <v/>
      </c>
      <c r="R333" s="13" t="str">
        <f>IF(MacReports!L333="y","Remote Locked","")</f>
        <v/>
      </c>
      <c r="S333" t="str">
        <f t="shared" si="11"/>
        <v>Battery Defect, 0</v>
      </c>
      <c r="T333" t="str">
        <f>_xlfn.XLOOKUP(B333,Disk_Pivot!G:G,Disk_Pivot!I:I)</f>
        <v>Yes x2</v>
      </c>
      <c r="U333" t="str">
        <f>_xlfn.XLOOKUP(B333,Disk_Pivot!G:G,Disk_Pivot!N:N)</f>
        <v>Pass, Fail</v>
      </c>
      <c r="V333" t="str">
        <f>IF(U333="Fail",MacReports!N333,"")</f>
        <v/>
      </c>
      <c r="AB333" t="str">
        <f t="shared" si="12"/>
        <v/>
      </c>
    </row>
    <row r="334" spans="1:28">
      <c r="A334">
        <f>MacReports!A334</f>
        <v>0</v>
      </c>
      <c r="B334">
        <f>MacReports!B334</f>
        <v>0</v>
      </c>
      <c r="C334">
        <f>MacReports!C334</f>
        <v>0</v>
      </c>
      <c r="E334" t="e">
        <f>_xlfn.XLOOKUP(G334,Models!A:A,Models!F:F)</f>
        <v>#N/A</v>
      </c>
      <c r="F334" t="str">
        <f>_xlfn.XLOOKUP(B334,MacReports!B:B,MacReports!D:D,"")</f>
        <v/>
      </c>
      <c r="G334" s="13">
        <f>MacReports!E334</f>
        <v>0</v>
      </c>
      <c r="H334" t="e">
        <f>_xlfn.XLOOKUP(G334,Models!A:A,Models!B:B)</f>
        <v>#N/A</v>
      </c>
      <c r="I334" t="e">
        <f>_xlfn.XLOOKUP(G334,Models!A:A,Models!E:E)</f>
        <v>#N/A</v>
      </c>
      <c r="J334" t="e">
        <f>_xlfn.XLOOKUP(G334,Models!A:A,Models!D:D)</f>
        <v>#N/A</v>
      </c>
      <c r="K334">
        <f>MacReports!F334</f>
        <v>0</v>
      </c>
      <c r="L334">
        <f>MacReports!G334</f>
        <v>0</v>
      </c>
      <c r="M334" s="15" t="e" cm="1">
        <f t="array" ref="M334">--_xlfn.LET(
    _xlpm.txt, MacReports!H334,
    _xlpm.chars, MID(_xlpm.txt, _xlfn.SEQUENCE(LEN(_xlpm.txt)), 1),
    _xlfn.TEXTJOIN("", TRUE, IF(ISNUMBER(--_xlpm.chars), _xlpm.chars, ""))
)</f>
        <v>#VALUE!</v>
      </c>
      <c r="N334" s="16" t="str" cm="1">
        <f t="array" ref="N334">_xlfn.IFS(
   --MacReports!M334&lt;55,"Battery Defect",
  -- MacReports!M334&lt;=69,"Battery D",
  --MacReports!M334&lt;=80,"Battery C",
 --MacReports!M334&gt;80,""
)</f>
        <v>Battery Defect</v>
      </c>
      <c r="O334" s="16" t="str">
        <f>IF(MacReports!I334="Service","Battery Service","")</f>
        <v/>
      </c>
      <c r="P334" s="13">
        <f>MacReports!P334</f>
        <v>0</v>
      </c>
      <c r="Q334" s="13" t="str">
        <f>IF(MacReports!J334="Enabled","Apple ID Lock","")</f>
        <v/>
      </c>
      <c r="R334" s="13" t="str">
        <f>IF(MacReports!L334="y","Remote Locked","")</f>
        <v/>
      </c>
      <c r="S334" t="str">
        <f t="shared" si="11"/>
        <v>Battery Defect, 0</v>
      </c>
      <c r="T334" t="str">
        <f>_xlfn.XLOOKUP(B334,Disk_Pivot!G:G,Disk_Pivot!I:I)</f>
        <v>Yes x2</v>
      </c>
      <c r="U334" t="str">
        <f>_xlfn.XLOOKUP(B334,Disk_Pivot!G:G,Disk_Pivot!N:N)</f>
        <v>Pass, Fail</v>
      </c>
      <c r="V334" t="str">
        <f>IF(U334="Fail",MacReports!N334,"")</f>
        <v/>
      </c>
      <c r="AB334" t="str">
        <f t="shared" si="12"/>
        <v/>
      </c>
    </row>
    <row r="335" spans="1:28">
      <c r="A335">
        <f>MacReports!A335</f>
        <v>0</v>
      </c>
      <c r="B335">
        <f>MacReports!B335</f>
        <v>0</v>
      </c>
      <c r="C335">
        <f>MacReports!C335</f>
        <v>0</v>
      </c>
      <c r="E335" t="e">
        <f>_xlfn.XLOOKUP(G335,Models!A:A,Models!F:F)</f>
        <v>#N/A</v>
      </c>
      <c r="F335" t="str">
        <f>_xlfn.XLOOKUP(B335,MacReports!B:B,MacReports!D:D,"")</f>
        <v/>
      </c>
      <c r="G335" s="13">
        <f>MacReports!E335</f>
        <v>0</v>
      </c>
      <c r="H335" t="e">
        <f>_xlfn.XLOOKUP(G335,Models!A:A,Models!B:B)</f>
        <v>#N/A</v>
      </c>
      <c r="I335" t="e">
        <f>_xlfn.XLOOKUP(G335,Models!A:A,Models!E:E)</f>
        <v>#N/A</v>
      </c>
      <c r="J335" t="e">
        <f>_xlfn.XLOOKUP(G335,Models!A:A,Models!D:D)</f>
        <v>#N/A</v>
      </c>
      <c r="K335">
        <f>MacReports!F335</f>
        <v>0</v>
      </c>
      <c r="L335">
        <f>MacReports!G335</f>
        <v>0</v>
      </c>
      <c r="M335" s="15" t="e" cm="1">
        <f t="array" ref="M335">--_xlfn.LET(
    _xlpm.txt, MacReports!H335,
    _xlpm.chars, MID(_xlpm.txt, _xlfn.SEQUENCE(LEN(_xlpm.txt)), 1),
    _xlfn.TEXTJOIN("", TRUE, IF(ISNUMBER(--_xlpm.chars), _xlpm.chars, ""))
)</f>
        <v>#VALUE!</v>
      </c>
      <c r="N335" s="16" t="str" cm="1">
        <f t="array" ref="N335">_xlfn.IFS(
   --MacReports!M335&lt;55,"Battery Defect",
  -- MacReports!M335&lt;=69,"Battery D",
  --MacReports!M335&lt;=80,"Battery C",
 --MacReports!M335&gt;80,""
)</f>
        <v>Battery Defect</v>
      </c>
      <c r="O335" s="16" t="str">
        <f>IF(MacReports!I335="Service","Battery Service","")</f>
        <v/>
      </c>
      <c r="P335" s="13">
        <f>MacReports!P335</f>
        <v>0</v>
      </c>
      <c r="Q335" s="13" t="str">
        <f>IF(MacReports!J335="Enabled","Apple ID Lock","")</f>
        <v/>
      </c>
      <c r="R335" s="13" t="str">
        <f>IF(MacReports!L335="y","Remote Locked","")</f>
        <v/>
      </c>
      <c r="S335" t="str">
        <f t="shared" si="11"/>
        <v>Battery Defect, 0</v>
      </c>
      <c r="T335" t="str">
        <f>_xlfn.XLOOKUP(B335,Disk_Pivot!G:G,Disk_Pivot!I:I)</f>
        <v>Yes x2</v>
      </c>
      <c r="U335" t="str">
        <f>_xlfn.XLOOKUP(B335,Disk_Pivot!G:G,Disk_Pivot!N:N)</f>
        <v>Pass, Fail</v>
      </c>
      <c r="V335" t="str">
        <f>IF(U335="Fail",MacReports!N335,"")</f>
        <v/>
      </c>
      <c r="AB335" t="str">
        <f t="shared" si="12"/>
        <v/>
      </c>
    </row>
    <row r="336" spans="1:28">
      <c r="A336">
        <f>MacReports!A336</f>
        <v>0</v>
      </c>
      <c r="B336">
        <f>MacReports!B336</f>
        <v>0</v>
      </c>
      <c r="C336">
        <f>MacReports!C336</f>
        <v>0</v>
      </c>
      <c r="E336" t="e">
        <f>_xlfn.XLOOKUP(G336,Models!A:A,Models!F:F)</f>
        <v>#N/A</v>
      </c>
      <c r="F336" t="str">
        <f>_xlfn.XLOOKUP(B336,MacReports!B:B,MacReports!D:D,"")</f>
        <v/>
      </c>
      <c r="G336" s="13">
        <f>MacReports!E336</f>
        <v>0</v>
      </c>
      <c r="H336" t="e">
        <f>_xlfn.XLOOKUP(G336,Models!A:A,Models!B:B)</f>
        <v>#N/A</v>
      </c>
      <c r="I336" t="e">
        <f>_xlfn.XLOOKUP(G336,Models!A:A,Models!E:E)</f>
        <v>#N/A</v>
      </c>
      <c r="J336" t="e">
        <f>_xlfn.XLOOKUP(G336,Models!A:A,Models!D:D)</f>
        <v>#N/A</v>
      </c>
      <c r="K336">
        <f>MacReports!F336</f>
        <v>0</v>
      </c>
      <c r="L336">
        <f>MacReports!G336</f>
        <v>0</v>
      </c>
      <c r="M336" s="15" t="e" cm="1">
        <f t="array" ref="M336">--_xlfn.LET(
    _xlpm.txt, MacReports!H336,
    _xlpm.chars, MID(_xlpm.txt, _xlfn.SEQUENCE(LEN(_xlpm.txt)), 1),
    _xlfn.TEXTJOIN("", TRUE, IF(ISNUMBER(--_xlpm.chars), _xlpm.chars, ""))
)</f>
        <v>#VALUE!</v>
      </c>
      <c r="N336" s="16" t="str" cm="1">
        <f t="array" ref="N336">_xlfn.IFS(
   --MacReports!M336&lt;55,"Battery Defect",
  -- MacReports!M336&lt;=69,"Battery D",
  --MacReports!M336&lt;=80,"Battery C",
 --MacReports!M336&gt;80,""
)</f>
        <v>Battery Defect</v>
      </c>
      <c r="O336" s="16" t="str">
        <f>IF(MacReports!I336="Service","Battery Service","")</f>
        <v/>
      </c>
      <c r="P336" s="13">
        <f>MacReports!P336</f>
        <v>0</v>
      </c>
      <c r="Q336" s="13" t="str">
        <f>IF(MacReports!J336="Enabled","Apple ID Lock","")</f>
        <v/>
      </c>
      <c r="R336" s="13" t="str">
        <f>IF(MacReports!L336="y","Remote Locked","")</f>
        <v/>
      </c>
      <c r="S336" t="str">
        <f t="shared" si="11"/>
        <v>Battery Defect, 0</v>
      </c>
      <c r="T336" t="str">
        <f>_xlfn.XLOOKUP(B336,Disk_Pivot!G:G,Disk_Pivot!I:I)</f>
        <v>Yes x2</v>
      </c>
      <c r="U336" t="str">
        <f>_xlfn.XLOOKUP(B336,Disk_Pivot!G:G,Disk_Pivot!N:N)</f>
        <v>Pass, Fail</v>
      </c>
      <c r="V336" t="str">
        <f>IF(U336="Fail",MacReports!N336,"")</f>
        <v/>
      </c>
      <c r="AB336" t="str">
        <f t="shared" si="12"/>
        <v/>
      </c>
    </row>
    <row r="337" spans="1:28">
      <c r="A337">
        <f>MacReports!A337</f>
        <v>0</v>
      </c>
      <c r="B337">
        <f>MacReports!B337</f>
        <v>0</v>
      </c>
      <c r="C337">
        <f>MacReports!C337</f>
        <v>0</v>
      </c>
      <c r="E337" t="e">
        <f>_xlfn.XLOOKUP(G337,Models!A:A,Models!F:F)</f>
        <v>#N/A</v>
      </c>
      <c r="F337" t="str">
        <f>_xlfn.XLOOKUP(B337,MacReports!B:B,MacReports!D:D,"")</f>
        <v/>
      </c>
      <c r="G337" s="13">
        <f>MacReports!E337</f>
        <v>0</v>
      </c>
      <c r="H337" t="e">
        <f>_xlfn.XLOOKUP(G337,Models!A:A,Models!B:B)</f>
        <v>#N/A</v>
      </c>
      <c r="I337" t="e">
        <f>_xlfn.XLOOKUP(G337,Models!A:A,Models!E:E)</f>
        <v>#N/A</v>
      </c>
      <c r="J337" t="e">
        <f>_xlfn.XLOOKUP(G337,Models!A:A,Models!D:D)</f>
        <v>#N/A</v>
      </c>
      <c r="K337">
        <f>MacReports!F337</f>
        <v>0</v>
      </c>
      <c r="L337">
        <f>MacReports!G337</f>
        <v>0</v>
      </c>
      <c r="M337" s="15" t="e" cm="1">
        <f t="array" ref="M337">--_xlfn.LET(
    _xlpm.txt, MacReports!H337,
    _xlpm.chars, MID(_xlpm.txt, _xlfn.SEQUENCE(LEN(_xlpm.txt)), 1),
    _xlfn.TEXTJOIN("", TRUE, IF(ISNUMBER(--_xlpm.chars), _xlpm.chars, ""))
)</f>
        <v>#VALUE!</v>
      </c>
      <c r="N337" s="16" t="str" cm="1">
        <f t="array" ref="N337">_xlfn.IFS(
   --MacReports!M337&lt;55,"Battery Defect",
  -- MacReports!M337&lt;=69,"Battery D",
  --MacReports!M337&lt;=80,"Battery C",
 --MacReports!M337&gt;80,""
)</f>
        <v>Battery Defect</v>
      </c>
      <c r="O337" s="16" t="str">
        <f>IF(MacReports!I337="Service","Battery Service","")</f>
        <v/>
      </c>
      <c r="P337" s="13">
        <f>MacReports!P337</f>
        <v>0</v>
      </c>
      <c r="Q337" s="13" t="str">
        <f>IF(MacReports!J337="Enabled","Apple ID Lock","")</f>
        <v/>
      </c>
      <c r="R337" s="13" t="str">
        <f>IF(MacReports!L337="y","Remote Locked","")</f>
        <v/>
      </c>
      <c r="S337" t="str">
        <f t="shared" si="11"/>
        <v>Battery Defect, 0</v>
      </c>
      <c r="T337" t="str">
        <f>_xlfn.XLOOKUP(B337,Disk_Pivot!G:G,Disk_Pivot!I:I)</f>
        <v>Yes x2</v>
      </c>
      <c r="U337" t="str">
        <f>_xlfn.XLOOKUP(B337,Disk_Pivot!G:G,Disk_Pivot!N:N)</f>
        <v>Pass, Fail</v>
      </c>
      <c r="V337" t="str">
        <f>IF(U337="Fail",MacReports!N337,"")</f>
        <v/>
      </c>
      <c r="AB337" t="str">
        <f t="shared" si="12"/>
        <v/>
      </c>
    </row>
    <row r="338" spans="1:28">
      <c r="A338">
        <f>MacReports!A338</f>
        <v>0</v>
      </c>
      <c r="B338">
        <f>MacReports!B338</f>
        <v>0</v>
      </c>
      <c r="C338">
        <f>MacReports!C338</f>
        <v>0</v>
      </c>
      <c r="E338" t="e">
        <f>_xlfn.XLOOKUP(G338,Models!A:A,Models!F:F)</f>
        <v>#N/A</v>
      </c>
      <c r="F338" t="str">
        <f>_xlfn.XLOOKUP(B338,MacReports!B:B,MacReports!D:D,"")</f>
        <v/>
      </c>
      <c r="G338" s="13">
        <f>MacReports!E338</f>
        <v>0</v>
      </c>
      <c r="H338" t="e">
        <f>_xlfn.XLOOKUP(G338,Models!A:A,Models!B:B)</f>
        <v>#N/A</v>
      </c>
      <c r="I338" t="e">
        <f>_xlfn.XLOOKUP(G338,Models!A:A,Models!E:E)</f>
        <v>#N/A</v>
      </c>
      <c r="J338" t="e">
        <f>_xlfn.XLOOKUP(G338,Models!A:A,Models!D:D)</f>
        <v>#N/A</v>
      </c>
      <c r="K338">
        <f>MacReports!F338</f>
        <v>0</v>
      </c>
      <c r="L338">
        <f>MacReports!G338</f>
        <v>0</v>
      </c>
      <c r="M338" s="15" t="e" cm="1">
        <f t="array" ref="M338">--_xlfn.LET(
    _xlpm.txt, MacReports!H338,
    _xlpm.chars, MID(_xlpm.txt, _xlfn.SEQUENCE(LEN(_xlpm.txt)), 1),
    _xlfn.TEXTJOIN("", TRUE, IF(ISNUMBER(--_xlpm.chars), _xlpm.chars, ""))
)</f>
        <v>#VALUE!</v>
      </c>
      <c r="N338" s="16" t="str" cm="1">
        <f t="array" ref="N338">_xlfn.IFS(
   --MacReports!M338&lt;55,"Battery Defect",
  -- MacReports!M338&lt;=69,"Battery D",
  --MacReports!M338&lt;=80,"Battery C",
 --MacReports!M338&gt;80,""
)</f>
        <v>Battery Defect</v>
      </c>
      <c r="O338" s="16" t="str">
        <f>IF(MacReports!I338="Service","Battery Service","")</f>
        <v/>
      </c>
      <c r="P338" s="13">
        <f>MacReports!P338</f>
        <v>0</v>
      </c>
      <c r="Q338" s="13" t="str">
        <f>IF(MacReports!J338="Enabled","Apple ID Lock","")</f>
        <v/>
      </c>
      <c r="R338" s="13" t="str">
        <f>IF(MacReports!L338="y","Remote Locked","")</f>
        <v/>
      </c>
      <c r="S338" t="str">
        <f t="shared" si="11"/>
        <v>Battery Defect, 0</v>
      </c>
      <c r="T338" t="str">
        <f>_xlfn.XLOOKUP(B338,Disk_Pivot!G:G,Disk_Pivot!I:I)</f>
        <v>Yes x2</v>
      </c>
      <c r="U338" t="str">
        <f>_xlfn.XLOOKUP(B338,Disk_Pivot!G:G,Disk_Pivot!N:N)</f>
        <v>Pass, Fail</v>
      </c>
      <c r="V338" t="str">
        <f>IF(U338="Fail",MacReports!N338,"")</f>
        <v/>
      </c>
      <c r="AB338" t="str">
        <f t="shared" si="12"/>
        <v/>
      </c>
    </row>
    <row r="339" spans="1:28">
      <c r="A339">
        <f>MacReports!A339</f>
        <v>0</v>
      </c>
      <c r="B339">
        <f>MacReports!B339</f>
        <v>0</v>
      </c>
      <c r="C339">
        <f>MacReports!C339</f>
        <v>0</v>
      </c>
      <c r="E339" t="e">
        <f>_xlfn.XLOOKUP(G339,Models!A:A,Models!F:F)</f>
        <v>#N/A</v>
      </c>
      <c r="F339" t="str">
        <f>_xlfn.XLOOKUP(B339,MacReports!B:B,MacReports!D:D,"")</f>
        <v/>
      </c>
      <c r="G339" s="13">
        <f>MacReports!E339</f>
        <v>0</v>
      </c>
      <c r="H339" t="e">
        <f>_xlfn.XLOOKUP(G339,Models!A:A,Models!B:B)</f>
        <v>#N/A</v>
      </c>
      <c r="I339" t="e">
        <f>_xlfn.XLOOKUP(G339,Models!A:A,Models!E:E)</f>
        <v>#N/A</v>
      </c>
      <c r="J339" t="e">
        <f>_xlfn.XLOOKUP(G339,Models!A:A,Models!D:D)</f>
        <v>#N/A</v>
      </c>
      <c r="K339">
        <f>MacReports!F339</f>
        <v>0</v>
      </c>
      <c r="L339">
        <f>MacReports!G339</f>
        <v>0</v>
      </c>
      <c r="M339" s="15" t="e" cm="1">
        <f t="array" ref="M339">--_xlfn.LET(
    _xlpm.txt, MacReports!H339,
    _xlpm.chars, MID(_xlpm.txt, _xlfn.SEQUENCE(LEN(_xlpm.txt)), 1),
    _xlfn.TEXTJOIN("", TRUE, IF(ISNUMBER(--_xlpm.chars), _xlpm.chars, ""))
)</f>
        <v>#VALUE!</v>
      </c>
      <c r="N339" s="16" t="str" cm="1">
        <f t="array" ref="N339">_xlfn.IFS(
   --MacReports!M339&lt;55,"Battery Defect",
  -- MacReports!M339&lt;=69,"Battery D",
  --MacReports!M339&lt;=80,"Battery C",
 --MacReports!M339&gt;80,""
)</f>
        <v>Battery Defect</v>
      </c>
      <c r="O339" s="16" t="str">
        <f>IF(MacReports!I339="Service","Battery Service","")</f>
        <v/>
      </c>
      <c r="P339" s="13">
        <f>MacReports!P339</f>
        <v>0</v>
      </c>
      <c r="Q339" s="13" t="str">
        <f>IF(MacReports!J339="Enabled","Apple ID Lock","")</f>
        <v/>
      </c>
      <c r="R339" s="13" t="str">
        <f>IF(MacReports!L339="y","Remote Locked","")</f>
        <v/>
      </c>
      <c r="S339" t="str">
        <f t="shared" si="11"/>
        <v>Battery Defect, 0</v>
      </c>
      <c r="T339" t="str">
        <f>_xlfn.XLOOKUP(B339,Disk_Pivot!G:G,Disk_Pivot!I:I)</f>
        <v>Yes x2</v>
      </c>
      <c r="U339" t="str">
        <f>_xlfn.XLOOKUP(B339,Disk_Pivot!G:G,Disk_Pivot!N:N)</f>
        <v>Pass, Fail</v>
      </c>
      <c r="V339" t="str">
        <f>IF(U339="Fail",MacReports!N339,"")</f>
        <v/>
      </c>
      <c r="AB339" t="str">
        <f t="shared" si="12"/>
        <v/>
      </c>
    </row>
    <row r="340" spans="1:28">
      <c r="A340">
        <f>MacReports!A340</f>
        <v>0</v>
      </c>
      <c r="B340">
        <f>MacReports!B340</f>
        <v>0</v>
      </c>
      <c r="C340">
        <f>MacReports!C340</f>
        <v>0</v>
      </c>
      <c r="E340" t="e">
        <f>_xlfn.XLOOKUP(G340,Models!A:A,Models!F:F)</f>
        <v>#N/A</v>
      </c>
      <c r="F340" t="str">
        <f>_xlfn.XLOOKUP(B340,MacReports!B:B,MacReports!D:D,"")</f>
        <v/>
      </c>
      <c r="G340" s="13">
        <f>MacReports!E340</f>
        <v>0</v>
      </c>
      <c r="H340" t="e">
        <f>_xlfn.XLOOKUP(G340,Models!A:A,Models!B:B)</f>
        <v>#N/A</v>
      </c>
      <c r="I340" t="e">
        <f>_xlfn.XLOOKUP(G340,Models!A:A,Models!E:E)</f>
        <v>#N/A</v>
      </c>
      <c r="J340" t="e">
        <f>_xlfn.XLOOKUP(G340,Models!A:A,Models!D:D)</f>
        <v>#N/A</v>
      </c>
      <c r="K340">
        <f>MacReports!F340</f>
        <v>0</v>
      </c>
      <c r="L340">
        <f>MacReports!G340</f>
        <v>0</v>
      </c>
      <c r="M340" s="15" t="e" cm="1">
        <f t="array" ref="M340">--_xlfn.LET(
    _xlpm.txt, MacReports!H340,
    _xlpm.chars, MID(_xlpm.txt, _xlfn.SEQUENCE(LEN(_xlpm.txt)), 1),
    _xlfn.TEXTJOIN("", TRUE, IF(ISNUMBER(--_xlpm.chars), _xlpm.chars, ""))
)</f>
        <v>#VALUE!</v>
      </c>
      <c r="N340" s="16" t="str" cm="1">
        <f t="array" ref="N340">_xlfn.IFS(
   --MacReports!M340&lt;55,"Battery Defect",
  -- MacReports!M340&lt;=69,"Battery D",
  --MacReports!M340&lt;=80,"Battery C",
 --MacReports!M340&gt;80,""
)</f>
        <v>Battery Defect</v>
      </c>
      <c r="O340" s="16" t="str">
        <f>IF(MacReports!I340="Service","Battery Service","")</f>
        <v/>
      </c>
      <c r="P340" s="13">
        <f>MacReports!P340</f>
        <v>0</v>
      </c>
      <c r="Q340" s="13" t="str">
        <f>IF(MacReports!J340="Enabled","Apple ID Lock","")</f>
        <v/>
      </c>
      <c r="R340" s="13" t="str">
        <f>IF(MacReports!L340="y","Remote Locked","")</f>
        <v/>
      </c>
      <c r="S340" t="str">
        <f t="shared" si="11"/>
        <v>Battery Defect, 0</v>
      </c>
      <c r="T340" t="str">
        <f>_xlfn.XLOOKUP(B340,Disk_Pivot!G:G,Disk_Pivot!I:I)</f>
        <v>Yes x2</v>
      </c>
      <c r="U340" t="str">
        <f>_xlfn.XLOOKUP(B340,Disk_Pivot!G:G,Disk_Pivot!N:N)</f>
        <v>Pass, Fail</v>
      </c>
      <c r="V340" t="str">
        <f>IF(U340="Fail",MacReports!N340,"")</f>
        <v/>
      </c>
      <c r="AB340" t="str">
        <f t="shared" si="12"/>
        <v/>
      </c>
    </row>
    <row r="341" spans="1:28">
      <c r="A341">
        <f>MacReports!A341</f>
        <v>0</v>
      </c>
      <c r="B341">
        <f>MacReports!B341</f>
        <v>0</v>
      </c>
      <c r="C341">
        <f>MacReports!C341</f>
        <v>0</v>
      </c>
      <c r="E341" t="e">
        <f>_xlfn.XLOOKUP(G341,Models!A:A,Models!F:F)</f>
        <v>#N/A</v>
      </c>
      <c r="F341" t="str">
        <f>_xlfn.XLOOKUP(B341,MacReports!B:B,MacReports!D:D,"")</f>
        <v/>
      </c>
      <c r="G341" s="13">
        <f>MacReports!E341</f>
        <v>0</v>
      </c>
      <c r="H341" t="e">
        <f>_xlfn.XLOOKUP(G341,Models!A:A,Models!B:B)</f>
        <v>#N/A</v>
      </c>
      <c r="I341" t="e">
        <f>_xlfn.XLOOKUP(G341,Models!A:A,Models!E:E)</f>
        <v>#N/A</v>
      </c>
      <c r="J341" t="e">
        <f>_xlfn.XLOOKUP(G341,Models!A:A,Models!D:D)</f>
        <v>#N/A</v>
      </c>
      <c r="K341">
        <f>MacReports!F341</f>
        <v>0</v>
      </c>
      <c r="L341">
        <f>MacReports!G341</f>
        <v>0</v>
      </c>
      <c r="M341" s="15" t="e" cm="1">
        <f t="array" ref="M341">--_xlfn.LET(
    _xlpm.txt, MacReports!H341,
    _xlpm.chars, MID(_xlpm.txt, _xlfn.SEQUENCE(LEN(_xlpm.txt)), 1),
    _xlfn.TEXTJOIN("", TRUE, IF(ISNUMBER(--_xlpm.chars), _xlpm.chars, ""))
)</f>
        <v>#VALUE!</v>
      </c>
      <c r="N341" s="16" t="str" cm="1">
        <f t="array" ref="N341">_xlfn.IFS(
   --MacReports!M341&lt;55,"Battery Defect",
  -- MacReports!M341&lt;=69,"Battery D",
  --MacReports!M341&lt;=80,"Battery C",
 --MacReports!M341&gt;80,""
)</f>
        <v>Battery Defect</v>
      </c>
      <c r="O341" s="16" t="str">
        <f>IF(MacReports!I341="Service","Battery Service","")</f>
        <v/>
      </c>
      <c r="P341" s="13">
        <f>MacReports!P341</f>
        <v>0</v>
      </c>
      <c r="Q341" s="13" t="str">
        <f>IF(MacReports!J341="Enabled","Apple ID Lock","")</f>
        <v/>
      </c>
      <c r="R341" s="13" t="str">
        <f>IF(MacReports!L341="y","Remote Locked","")</f>
        <v/>
      </c>
      <c r="S341" t="str">
        <f t="shared" si="11"/>
        <v>Battery Defect, 0</v>
      </c>
      <c r="T341" t="str">
        <f>_xlfn.XLOOKUP(B341,Disk_Pivot!G:G,Disk_Pivot!I:I)</f>
        <v>Yes x2</v>
      </c>
      <c r="U341" t="str">
        <f>_xlfn.XLOOKUP(B341,Disk_Pivot!G:G,Disk_Pivot!N:N)</f>
        <v>Pass, Fail</v>
      </c>
      <c r="V341" t="str">
        <f>IF(U341="Fail",MacReports!N341,"")</f>
        <v/>
      </c>
      <c r="AB341" t="str">
        <f t="shared" si="12"/>
        <v/>
      </c>
    </row>
    <row r="342" spans="1:28">
      <c r="A342">
        <f>MacReports!A342</f>
        <v>0</v>
      </c>
      <c r="B342">
        <f>MacReports!B342</f>
        <v>0</v>
      </c>
      <c r="C342">
        <f>MacReports!C342</f>
        <v>0</v>
      </c>
      <c r="E342" t="e">
        <f>_xlfn.XLOOKUP(G342,Models!A:A,Models!F:F)</f>
        <v>#N/A</v>
      </c>
      <c r="F342" t="str">
        <f>_xlfn.XLOOKUP(B342,MacReports!B:B,MacReports!D:D,"")</f>
        <v/>
      </c>
      <c r="G342" s="13">
        <f>MacReports!E342</f>
        <v>0</v>
      </c>
      <c r="H342" t="e">
        <f>_xlfn.XLOOKUP(G342,Models!A:A,Models!B:B)</f>
        <v>#N/A</v>
      </c>
      <c r="I342" t="e">
        <f>_xlfn.XLOOKUP(G342,Models!A:A,Models!E:E)</f>
        <v>#N/A</v>
      </c>
      <c r="J342" t="e">
        <f>_xlfn.XLOOKUP(G342,Models!A:A,Models!D:D)</f>
        <v>#N/A</v>
      </c>
      <c r="K342">
        <f>MacReports!F342</f>
        <v>0</v>
      </c>
      <c r="L342">
        <f>MacReports!G342</f>
        <v>0</v>
      </c>
      <c r="M342" s="15" t="e" cm="1">
        <f t="array" ref="M342">--_xlfn.LET(
    _xlpm.txt, MacReports!H342,
    _xlpm.chars, MID(_xlpm.txt, _xlfn.SEQUENCE(LEN(_xlpm.txt)), 1),
    _xlfn.TEXTJOIN("", TRUE, IF(ISNUMBER(--_xlpm.chars), _xlpm.chars, ""))
)</f>
        <v>#VALUE!</v>
      </c>
      <c r="N342" s="16" t="str" cm="1">
        <f t="array" ref="N342">_xlfn.IFS(
   --MacReports!M342&lt;55,"Battery Defect",
  -- MacReports!M342&lt;=69,"Battery D",
  --MacReports!M342&lt;=80,"Battery C",
 --MacReports!M342&gt;80,""
)</f>
        <v>Battery Defect</v>
      </c>
      <c r="O342" s="16" t="str">
        <f>IF(MacReports!I342="Service","Battery Service","")</f>
        <v/>
      </c>
      <c r="P342" s="13">
        <f>MacReports!P342</f>
        <v>0</v>
      </c>
      <c r="Q342" s="13" t="str">
        <f>IF(MacReports!J342="Enabled","Apple ID Lock","")</f>
        <v/>
      </c>
      <c r="R342" s="13" t="str">
        <f>IF(MacReports!L342="y","Remote Locked","")</f>
        <v/>
      </c>
      <c r="S342" t="str">
        <f t="shared" si="11"/>
        <v>Battery Defect, 0</v>
      </c>
      <c r="T342" t="str">
        <f>_xlfn.XLOOKUP(B342,Disk_Pivot!G:G,Disk_Pivot!I:I)</f>
        <v>Yes x2</v>
      </c>
      <c r="U342" t="str">
        <f>_xlfn.XLOOKUP(B342,Disk_Pivot!G:G,Disk_Pivot!N:N)</f>
        <v>Pass, Fail</v>
      </c>
      <c r="V342" t="str">
        <f>IF(U342="Fail",MacReports!N342,"")</f>
        <v/>
      </c>
      <c r="AB342" t="str">
        <f t="shared" si="12"/>
        <v/>
      </c>
    </row>
    <row r="343" spans="1:28">
      <c r="A343">
        <f>MacReports!A343</f>
        <v>0</v>
      </c>
      <c r="B343">
        <f>MacReports!B343</f>
        <v>0</v>
      </c>
      <c r="C343">
        <f>MacReports!C343</f>
        <v>0</v>
      </c>
      <c r="E343" t="e">
        <f>_xlfn.XLOOKUP(G343,Models!A:A,Models!F:F)</f>
        <v>#N/A</v>
      </c>
      <c r="F343" t="str">
        <f>_xlfn.XLOOKUP(B343,MacReports!B:B,MacReports!D:D,"")</f>
        <v/>
      </c>
      <c r="G343" s="13">
        <f>MacReports!E343</f>
        <v>0</v>
      </c>
      <c r="H343" t="e">
        <f>_xlfn.XLOOKUP(G343,Models!A:A,Models!B:B)</f>
        <v>#N/A</v>
      </c>
      <c r="I343" t="e">
        <f>_xlfn.XLOOKUP(G343,Models!A:A,Models!E:E)</f>
        <v>#N/A</v>
      </c>
      <c r="J343" t="e">
        <f>_xlfn.XLOOKUP(G343,Models!A:A,Models!D:D)</f>
        <v>#N/A</v>
      </c>
      <c r="K343">
        <f>MacReports!F343</f>
        <v>0</v>
      </c>
      <c r="L343">
        <f>MacReports!G343</f>
        <v>0</v>
      </c>
      <c r="M343" s="15" t="e" cm="1">
        <f t="array" ref="M343">--_xlfn.LET(
    _xlpm.txt, MacReports!H343,
    _xlpm.chars, MID(_xlpm.txt, _xlfn.SEQUENCE(LEN(_xlpm.txt)), 1),
    _xlfn.TEXTJOIN("", TRUE, IF(ISNUMBER(--_xlpm.chars), _xlpm.chars, ""))
)</f>
        <v>#VALUE!</v>
      </c>
      <c r="N343" s="16" t="str" cm="1">
        <f t="array" ref="N343">_xlfn.IFS(
   --MacReports!M343&lt;55,"Battery Defect",
  -- MacReports!M343&lt;=69,"Battery D",
  --MacReports!M343&lt;=80,"Battery C",
 --MacReports!M343&gt;80,""
)</f>
        <v>Battery Defect</v>
      </c>
      <c r="O343" s="16" t="str">
        <f>IF(MacReports!I343="Service","Battery Service","")</f>
        <v/>
      </c>
      <c r="P343" s="13">
        <f>MacReports!P343</f>
        <v>0</v>
      </c>
      <c r="Q343" s="13" t="str">
        <f>IF(MacReports!J343="Enabled","Apple ID Lock","")</f>
        <v/>
      </c>
      <c r="R343" s="13" t="str">
        <f>IF(MacReports!L343="y","Remote Locked","")</f>
        <v/>
      </c>
      <c r="S343" t="str">
        <f t="shared" si="11"/>
        <v>Battery Defect, 0</v>
      </c>
      <c r="T343" t="str">
        <f>_xlfn.XLOOKUP(B343,Disk_Pivot!G:G,Disk_Pivot!I:I)</f>
        <v>Yes x2</v>
      </c>
      <c r="U343" t="str">
        <f>_xlfn.XLOOKUP(B343,Disk_Pivot!G:G,Disk_Pivot!N:N)</f>
        <v>Pass, Fail</v>
      </c>
      <c r="V343" t="str">
        <f>IF(U343="Fail",MacReports!N343,"")</f>
        <v/>
      </c>
      <c r="AB343" t="str">
        <f t="shared" si="12"/>
        <v/>
      </c>
    </row>
    <row r="344" spans="1:28">
      <c r="A344">
        <f>MacReports!A344</f>
        <v>0</v>
      </c>
      <c r="B344">
        <f>MacReports!B344</f>
        <v>0</v>
      </c>
      <c r="C344">
        <f>MacReports!C344</f>
        <v>0</v>
      </c>
      <c r="E344" t="e">
        <f>_xlfn.XLOOKUP(G344,Models!A:A,Models!F:F)</f>
        <v>#N/A</v>
      </c>
      <c r="F344" t="str">
        <f>_xlfn.XLOOKUP(B344,MacReports!B:B,MacReports!D:D,"")</f>
        <v/>
      </c>
      <c r="G344" s="13">
        <f>MacReports!E344</f>
        <v>0</v>
      </c>
      <c r="H344" t="e">
        <f>_xlfn.XLOOKUP(G344,Models!A:A,Models!B:B)</f>
        <v>#N/A</v>
      </c>
      <c r="I344" t="e">
        <f>_xlfn.XLOOKUP(G344,Models!A:A,Models!E:E)</f>
        <v>#N/A</v>
      </c>
      <c r="J344" t="e">
        <f>_xlfn.XLOOKUP(G344,Models!A:A,Models!D:D)</f>
        <v>#N/A</v>
      </c>
      <c r="K344">
        <f>MacReports!F344</f>
        <v>0</v>
      </c>
      <c r="L344">
        <f>MacReports!G344</f>
        <v>0</v>
      </c>
      <c r="M344" s="15" t="e" cm="1">
        <f t="array" ref="M344">--_xlfn.LET(
    _xlpm.txt, MacReports!H344,
    _xlpm.chars, MID(_xlpm.txt, _xlfn.SEQUENCE(LEN(_xlpm.txt)), 1),
    _xlfn.TEXTJOIN("", TRUE, IF(ISNUMBER(--_xlpm.chars), _xlpm.chars, ""))
)</f>
        <v>#VALUE!</v>
      </c>
      <c r="N344" s="16" t="str" cm="1">
        <f t="array" ref="N344">_xlfn.IFS(
   --MacReports!M344&lt;55,"Battery Defect",
  -- MacReports!M344&lt;=69,"Battery D",
  --MacReports!M344&lt;=80,"Battery C",
 --MacReports!M344&gt;80,""
)</f>
        <v>Battery Defect</v>
      </c>
      <c r="O344" s="16" t="str">
        <f>IF(MacReports!I344="Service","Battery Service","")</f>
        <v/>
      </c>
      <c r="P344" s="13">
        <f>MacReports!P344</f>
        <v>0</v>
      </c>
      <c r="Q344" s="13" t="str">
        <f>IF(MacReports!J344="Enabled","Apple ID Lock","")</f>
        <v/>
      </c>
      <c r="R344" s="13" t="str">
        <f>IF(MacReports!L344="y","Remote Locked","")</f>
        <v/>
      </c>
      <c r="S344" t="str">
        <f t="shared" si="11"/>
        <v>Battery Defect, 0</v>
      </c>
      <c r="T344" t="str">
        <f>_xlfn.XLOOKUP(B344,Disk_Pivot!G:G,Disk_Pivot!I:I)</f>
        <v>Yes x2</v>
      </c>
      <c r="U344" t="str">
        <f>_xlfn.XLOOKUP(B344,Disk_Pivot!G:G,Disk_Pivot!N:N)</f>
        <v>Pass, Fail</v>
      </c>
      <c r="V344" t="str">
        <f>IF(U344="Fail",MacReports!N344,"")</f>
        <v/>
      </c>
      <c r="AB344" t="str">
        <f t="shared" si="12"/>
        <v/>
      </c>
    </row>
    <row r="345" spans="1:28">
      <c r="A345">
        <f>MacReports!A345</f>
        <v>0</v>
      </c>
      <c r="B345">
        <f>MacReports!B345</f>
        <v>0</v>
      </c>
      <c r="C345">
        <f>MacReports!C345</f>
        <v>0</v>
      </c>
      <c r="E345" t="e">
        <f>_xlfn.XLOOKUP(G345,Models!A:A,Models!F:F)</f>
        <v>#N/A</v>
      </c>
      <c r="F345" t="str">
        <f>_xlfn.XLOOKUP(B345,MacReports!B:B,MacReports!D:D,"")</f>
        <v/>
      </c>
      <c r="G345" s="13">
        <f>MacReports!E345</f>
        <v>0</v>
      </c>
      <c r="H345" t="e">
        <f>_xlfn.XLOOKUP(G345,Models!A:A,Models!B:B)</f>
        <v>#N/A</v>
      </c>
      <c r="I345" t="e">
        <f>_xlfn.XLOOKUP(G345,Models!A:A,Models!E:E)</f>
        <v>#N/A</v>
      </c>
      <c r="J345" t="e">
        <f>_xlfn.XLOOKUP(G345,Models!A:A,Models!D:D)</f>
        <v>#N/A</v>
      </c>
      <c r="K345">
        <f>MacReports!F345</f>
        <v>0</v>
      </c>
      <c r="L345">
        <f>MacReports!G345</f>
        <v>0</v>
      </c>
      <c r="M345" s="15" t="e" cm="1">
        <f t="array" ref="M345">--_xlfn.LET(
    _xlpm.txt, MacReports!H345,
    _xlpm.chars, MID(_xlpm.txt, _xlfn.SEQUENCE(LEN(_xlpm.txt)), 1),
    _xlfn.TEXTJOIN("", TRUE, IF(ISNUMBER(--_xlpm.chars), _xlpm.chars, ""))
)</f>
        <v>#VALUE!</v>
      </c>
      <c r="N345" s="16" t="str" cm="1">
        <f t="array" ref="N345">_xlfn.IFS(
   --MacReports!M345&lt;55,"Battery Defect",
  -- MacReports!M345&lt;=69,"Battery D",
  --MacReports!M345&lt;=80,"Battery C",
 --MacReports!M345&gt;80,""
)</f>
        <v>Battery Defect</v>
      </c>
      <c r="O345" s="16" t="str">
        <f>IF(MacReports!I345="Service","Battery Service","")</f>
        <v/>
      </c>
      <c r="P345" s="13">
        <f>MacReports!P345</f>
        <v>0</v>
      </c>
      <c r="Q345" s="13" t="str">
        <f>IF(MacReports!J345="Enabled","Apple ID Lock","")</f>
        <v/>
      </c>
      <c r="R345" s="13" t="str">
        <f>IF(MacReports!L345="y","Remote Locked","")</f>
        <v/>
      </c>
      <c r="S345" t="str">
        <f t="shared" si="11"/>
        <v>Battery Defect, 0</v>
      </c>
      <c r="T345" t="str">
        <f>_xlfn.XLOOKUP(B345,Disk_Pivot!G:G,Disk_Pivot!I:I)</f>
        <v>Yes x2</v>
      </c>
      <c r="U345" t="str">
        <f>_xlfn.XLOOKUP(B345,Disk_Pivot!G:G,Disk_Pivot!N:N)</f>
        <v>Pass, Fail</v>
      </c>
      <c r="V345" t="str">
        <f>IF(U345="Fail",MacReports!N345,"")</f>
        <v/>
      </c>
      <c r="AB345" t="str">
        <f t="shared" si="12"/>
        <v/>
      </c>
    </row>
    <row r="346" spans="1:28">
      <c r="A346">
        <f>MacReports!A346</f>
        <v>0</v>
      </c>
      <c r="B346">
        <f>MacReports!B346</f>
        <v>0</v>
      </c>
      <c r="C346">
        <f>MacReports!C346</f>
        <v>0</v>
      </c>
      <c r="E346" t="e">
        <f>_xlfn.XLOOKUP(G346,Models!A:A,Models!F:F)</f>
        <v>#N/A</v>
      </c>
      <c r="F346" t="str">
        <f>_xlfn.XLOOKUP(B346,MacReports!B:B,MacReports!D:D,"")</f>
        <v/>
      </c>
      <c r="G346" s="13">
        <f>MacReports!E346</f>
        <v>0</v>
      </c>
      <c r="H346" t="e">
        <f>_xlfn.XLOOKUP(G346,Models!A:A,Models!B:B)</f>
        <v>#N/A</v>
      </c>
      <c r="I346" t="e">
        <f>_xlfn.XLOOKUP(G346,Models!A:A,Models!E:E)</f>
        <v>#N/A</v>
      </c>
      <c r="J346" t="e">
        <f>_xlfn.XLOOKUP(G346,Models!A:A,Models!D:D)</f>
        <v>#N/A</v>
      </c>
      <c r="K346">
        <f>MacReports!F346</f>
        <v>0</v>
      </c>
      <c r="L346">
        <f>MacReports!G346</f>
        <v>0</v>
      </c>
      <c r="M346" s="15" t="e" cm="1">
        <f t="array" ref="M346">--_xlfn.LET(
    _xlpm.txt, MacReports!H346,
    _xlpm.chars, MID(_xlpm.txt, _xlfn.SEQUENCE(LEN(_xlpm.txt)), 1),
    _xlfn.TEXTJOIN("", TRUE, IF(ISNUMBER(--_xlpm.chars), _xlpm.chars, ""))
)</f>
        <v>#VALUE!</v>
      </c>
      <c r="N346" s="16" t="str" cm="1">
        <f t="array" ref="N346">_xlfn.IFS(
   --MacReports!M346&lt;55,"Battery Defect",
  -- MacReports!M346&lt;=69,"Battery D",
  --MacReports!M346&lt;=80,"Battery C",
 --MacReports!M346&gt;80,""
)</f>
        <v>Battery Defect</v>
      </c>
      <c r="O346" s="16" t="str">
        <f>IF(MacReports!I346="Service","Battery Service","")</f>
        <v/>
      </c>
      <c r="P346" s="13">
        <f>MacReports!P346</f>
        <v>0</v>
      </c>
      <c r="Q346" s="13" t="str">
        <f>IF(MacReports!J346="Enabled","Apple ID Lock","")</f>
        <v/>
      </c>
      <c r="R346" s="13" t="str">
        <f>IF(MacReports!L346="y","Remote Locked","")</f>
        <v/>
      </c>
      <c r="S346" t="str">
        <f t="shared" si="11"/>
        <v>Battery Defect, 0</v>
      </c>
      <c r="T346" t="str">
        <f>_xlfn.XLOOKUP(B346,Disk_Pivot!G:G,Disk_Pivot!I:I)</f>
        <v>Yes x2</v>
      </c>
      <c r="U346" t="str">
        <f>_xlfn.XLOOKUP(B346,Disk_Pivot!G:G,Disk_Pivot!N:N)</f>
        <v>Pass, Fail</v>
      </c>
      <c r="V346" t="str">
        <f>IF(U346="Fail",MacReports!N346,"")</f>
        <v/>
      </c>
      <c r="AB346" t="str">
        <f t="shared" si="12"/>
        <v/>
      </c>
    </row>
    <row r="347" spans="1:28">
      <c r="A347">
        <f>MacReports!A347</f>
        <v>0</v>
      </c>
      <c r="B347">
        <f>MacReports!B347</f>
        <v>0</v>
      </c>
      <c r="C347">
        <f>MacReports!C347</f>
        <v>0</v>
      </c>
      <c r="E347" t="e">
        <f>_xlfn.XLOOKUP(G347,Models!A:A,Models!F:F)</f>
        <v>#N/A</v>
      </c>
      <c r="F347" t="str">
        <f>_xlfn.XLOOKUP(B347,MacReports!B:B,MacReports!D:D,"")</f>
        <v/>
      </c>
      <c r="G347" s="13">
        <f>MacReports!E347</f>
        <v>0</v>
      </c>
      <c r="H347" t="e">
        <f>_xlfn.XLOOKUP(G347,Models!A:A,Models!B:B)</f>
        <v>#N/A</v>
      </c>
      <c r="I347" t="e">
        <f>_xlfn.XLOOKUP(G347,Models!A:A,Models!E:E)</f>
        <v>#N/A</v>
      </c>
      <c r="J347" t="e">
        <f>_xlfn.XLOOKUP(G347,Models!A:A,Models!D:D)</f>
        <v>#N/A</v>
      </c>
      <c r="K347">
        <f>MacReports!F347</f>
        <v>0</v>
      </c>
      <c r="L347">
        <f>MacReports!G347</f>
        <v>0</v>
      </c>
      <c r="M347" s="15" t="e" cm="1">
        <f t="array" ref="M347">--_xlfn.LET(
    _xlpm.txt, MacReports!H347,
    _xlpm.chars, MID(_xlpm.txt, _xlfn.SEQUENCE(LEN(_xlpm.txt)), 1),
    _xlfn.TEXTJOIN("", TRUE, IF(ISNUMBER(--_xlpm.chars), _xlpm.chars, ""))
)</f>
        <v>#VALUE!</v>
      </c>
      <c r="N347" s="16" t="str" cm="1">
        <f t="array" ref="N347">_xlfn.IFS(
   --MacReports!M347&lt;55,"Battery Defect",
  -- MacReports!M347&lt;=69,"Battery D",
  --MacReports!M347&lt;=80,"Battery C",
 --MacReports!M347&gt;80,""
)</f>
        <v>Battery Defect</v>
      </c>
      <c r="O347" s="16" t="str">
        <f>IF(MacReports!I347="Service","Battery Service","")</f>
        <v/>
      </c>
      <c r="P347" s="13">
        <f>MacReports!P347</f>
        <v>0</v>
      </c>
      <c r="Q347" s="13" t="str">
        <f>IF(MacReports!J347="Enabled","Apple ID Lock","")</f>
        <v/>
      </c>
      <c r="R347" s="13" t="str">
        <f>IF(MacReports!L347="y","Remote Locked","")</f>
        <v/>
      </c>
      <c r="S347" t="str">
        <f t="shared" si="11"/>
        <v>Battery Defect, 0</v>
      </c>
      <c r="T347" t="str">
        <f>_xlfn.XLOOKUP(B347,Disk_Pivot!G:G,Disk_Pivot!I:I)</f>
        <v>Yes x2</v>
      </c>
      <c r="U347" t="str">
        <f>_xlfn.XLOOKUP(B347,Disk_Pivot!G:G,Disk_Pivot!N:N)</f>
        <v>Pass, Fail</v>
      </c>
      <c r="V347" t="str">
        <f>IF(U347="Fail",MacReports!N347,"")</f>
        <v/>
      </c>
      <c r="AB347" t="str">
        <f t="shared" si="12"/>
        <v/>
      </c>
    </row>
    <row r="348" spans="1:28">
      <c r="A348">
        <f>MacReports!A348</f>
        <v>0</v>
      </c>
      <c r="B348">
        <f>MacReports!B348</f>
        <v>0</v>
      </c>
      <c r="C348">
        <f>MacReports!C348</f>
        <v>0</v>
      </c>
      <c r="E348" t="e">
        <f>_xlfn.XLOOKUP(G348,Models!A:A,Models!F:F)</f>
        <v>#N/A</v>
      </c>
      <c r="F348" t="str">
        <f>_xlfn.XLOOKUP(B348,MacReports!B:B,MacReports!D:D,"")</f>
        <v/>
      </c>
      <c r="G348" s="13">
        <f>MacReports!E348</f>
        <v>0</v>
      </c>
      <c r="H348" t="e">
        <f>_xlfn.XLOOKUP(G348,Models!A:A,Models!B:B)</f>
        <v>#N/A</v>
      </c>
      <c r="I348" t="e">
        <f>_xlfn.XLOOKUP(G348,Models!A:A,Models!E:E)</f>
        <v>#N/A</v>
      </c>
      <c r="J348" t="e">
        <f>_xlfn.XLOOKUP(G348,Models!A:A,Models!D:D)</f>
        <v>#N/A</v>
      </c>
      <c r="K348">
        <f>MacReports!F348</f>
        <v>0</v>
      </c>
      <c r="L348">
        <f>MacReports!G348</f>
        <v>0</v>
      </c>
      <c r="M348" s="15" t="e" cm="1">
        <f t="array" ref="M348">--_xlfn.LET(
    _xlpm.txt, MacReports!H348,
    _xlpm.chars, MID(_xlpm.txt, _xlfn.SEQUENCE(LEN(_xlpm.txt)), 1),
    _xlfn.TEXTJOIN("", TRUE, IF(ISNUMBER(--_xlpm.chars), _xlpm.chars, ""))
)</f>
        <v>#VALUE!</v>
      </c>
      <c r="N348" s="16" t="str" cm="1">
        <f t="array" ref="N348">_xlfn.IFS(
   --MacReports!M348&lt;55,"Battery Defect",
  -- MacReports!M348&lt;=69,"Battery D",
  --MacReports!M348&lt;=80,"Battery C",
 --MacReports!M348&gt;80,""
)</f>
        <v>Battery Defect</v>
      </c>
      <c r="O348" s="16" t="str">
        <f>IF(MacReports!I348="Service","Battery Service","")</f>
        <v/>
      </c>
      <c r="P348" s="13">
        <f>MacReports!P348</f>
        <v>0</v>
      </c>
      <c r="Q348" s="13" t="str">
        <f>IF(MacReports!J348="Enabled","Apple ID Lock","")</f>
        <v/>
      </c>
      <c r="R348" s="13" t="str">
        <f>IF(MacReports!L348="y","Remote Locked","")</f>
        <v/>
      </c>
      <c r="S348" t="str">
        <f t="shared" si="11"/>
        <v>Battery Defect, 0</v>
      </c>
      <c r="T348" t="str">
        <f>_xlfn.XLOOKUP(B348,Disk_Pivot!G:G,Disk_Pivot!I:I)</f>
        <v>Yes x2</v>
      </c>
      <c r="U348" t="str">
        <f>_xlfn.XLOOKUP(B348,Disk_Pivot!G:G,Disk_Pivot!N:N)</f>
        <v>Pass, Fail</v>
      </c>
      <c r="V348" t="str">
        <f>IF(U348="Fail",MacReports!N348,"")</f>
        <v/>
      </c>
      <c r="AB348" t="str">
        <f t="shared" si="12"/>
        <v/>
      </c>
    </row>
    <row r="349" spans="1:28">
      <c r="A349">
        <f>MacReports!A349</f>
        <v>0</v>
      </c>
      <c r="B349">
        <f>MacReports!B349</f>
        <v>0</v>
      </c>
      <c r="C349">
        <f>MacReports!C349</f>
        <v>0</v>
      </c>
      <c r="E349" t="e">
        <f>_xlfn.XLOOKUP(G349,Models!A:A,Models!F:F)</f>
        <v>#N/A</v>
      </c>
      <c r="F349" t="str">
        <f>_xlfn.XLOOKUP(B349,MacReports!B:B,MacReports!D:D,"")</f>
        <v/>
      </c>
      <c r="G349" s="13">
        <f>MacReports!E349</f>
        <v>0</v>
      </c>
      <c r="H349" t="e">
        <f>_xlfn.XLOOKUP(G349,Models!A:A,Models!B:B)</f>
        <v>#N/A</v>
      </c>
      <c r="I349" t="e">
        <f>_xlfn.XLOOKUP(G349,Models!A:A,Models!E:E)</f>
        <v>#N/A</v>
      </c>
      <c r="J349" t="e">
        <f>_xlfn.XLOOKUP(G349,Models!A:A,Models!D:D)</f>
        <v>#N/A</v>
      </c>
      <c r="K349">
        <f>MacReports!F349</f>
        <v>0</v>
      </c>
      <c r="L349">
        <f>MacReports!G349</f>
        <v>0</v>
      </c>
      <c r="M349" s="15" t="e" cm="1">
        <f t="array" ref="M349">--_xlfn.LET(
    _xlpm.txt, MacReports!H349,
    _xlpm.chars, MID(_xlpm.txt, _xlfn.SEQUENCE(LEN(_xlpm.txt)), 1),
    _xlfn.TEXTJOIN("", TRUE, IF(ISNUMBER(--_xlpm.chars), _xlpm.chars, ""))
)</f>
        <v>#VALUE!</v>
      </c>
      <c r="N349" s="16" t="str" cm="1">
        <f t="array" ref="N349">_xlfn.IFS(
   --MacReports!M349&lt;55,"Battery Defect",
  -- MacReports!M349&lt;=69,"Battery D",
  --MacReports!M349&lt;=80,"Battery C",
 --MacReports!M349&gt;80,""
)</f>
        <v>Battery Defect</v>
      </c>
      <c r="O349" s="16" t="str">
        <f>IF(MacReports!I349="Service","Battery Service","")</f>
        <v/>
      </c>
      <c r="P349" s="13">
        <f>MacReports!P349</f>
        <v>0</v>
      </c>
      <c r="Q349" s="13" t="str">
        <f>IF(MacReports!J349="Enabled","Apple ID Lock","")</f>
        <v/>
      </c>
      <c r="R349" s="13" t="str">
        <f>IF(MacReports!L349="y","Remote Locked","")</f>
        <v/>
      </c>
      <c r="S349" t="str">
        <f t="shared" si="11"/>
        <v>Battery Defect, 0</v>
      </c>
      <c r="T349" t="str">
        <f>_xlfn.XLOOKUP(B349,Disk_Pivot!G:G,Disk_Pivot!I:I)</f>
        <v>Yes x2</v>
      </c>
      <c r="U349" t="str">
        <f>_xlfn.XLOOKUP(B349,Disk_Pivot!G:G,Disk_Pivot!N:N)</f>
        <v>Pass, Fail</v>
      </c>
      <c r="V349" t="str">
        <f>IF(U349="Fail",MacReports!N349,"")</f>
        <v/>
      </c>
      <c r="AB349" t="str">
        <f t="shared" si="12"/>
        <v/>
      </c>
    </row>
    <row r="350" spans="1:28">
      <c r="A350">
        <f>MacReports!A350</f>
        <v>0</v>
      </c>
      <c r="B350">
        <f>MacReports!B350</f>
        <v>0</v>
      </c>
      <c r="C350">
        <f>MacReports!C350</f>
        <v>0</v>
      </c>
      <c r="E350" t="e">
        <f>_xlfn.XLOOKUP(G350,Models!A:A,Models!F:F)</f>
        <v>#N/A</v>
      </c>
      <c r="F350" t="str">
        <f>_xlfn.XLOOKUP(B350,MacReports!B:B,MacReports!D:D,"")</f>
        <v/>
      </c>
      <c r="G350" s="13">
        <f>MacReports!E350</f>
        <v>0</v>
      </c>
      <c r="H350" t="e">
        <f>_xlfn.XLOOKUP(G350,Models!A:A,Models!B:B)</f>
        <v>#N/A</v>
      </c>
      <c r="I350" t="e">
        <f>_xlfn.XLOOKUP(G350,Models!A:A,Models!E:E)</f>
        <v>#N/A</v>
      </c>
      <c r="J350" t="e">
        <f>_xlfn.XLOOKUP(G350,Models!A:A,Models!D:D)</f>
        <v>#N/A</v>
      </c>
      <c r="K350">
        <f>MacReports!F350</f>
        <v>0</v>
      </c>
      <c r="L350">
        <f>MacReports!G350</f>
        <v>0</v>
      </c>
      <c r="M350" s="15" t="e" cm="1">
        <f t="array" ref="M350">--_xlfn.LET(
    _xlpm.txt, MacReports!H350,
    _xlpm.chars, MID(_xlpm.txt, _xlfn.SEQUENCE(LEN(_xlpm.txt)), 1),
    _xlfn.TEXTJOIN("", TRUE, IF(ISNUMBER(--_xlpm.chars), _xlpm.chars, ""))
)</f>
        <v>#VALUE!</v>
      </c>
      <c r="N350" s="16" t="str" cm="1">
        <f t="array" ref="N350">_xlfn.IFS(
   --MacReports!M350&lt;55,"Battery Defect",
  -- MacReports!M350&lt;=69,"Battery D",
  --MacReports!M350&lt;=80,"Battery C",
 --MacReports!M350&gt;80,""
)</f>
        <v>Battery Defect</v>
      </c>
      <c r="O350" s="16" t="str">
        <f>IF(MacReports!I350="Service","Battery Service","")</f>
        <v/>
      </c>
      <c r="P350" s="13">
        <f>MacReports!P350</f>
        <v>0</v>
      </c>
      <c r="Q350" s="13" t="str">
        <f>IF(MacReports!J350="Enabled","Apple ID Lock","")</f>
        <v/>
      </c>
      <c r="R350" s="13" t="str">
        <f>IF(MacReports!L350="y","Remote Locked","")</f>
        <v/>
      </c>
      <c r="S350" t="str">
        <f t="shared" si="11"/>
        <v>Battery Defect, 0</v>
      </c>
      <c r="T350" t="str">
        <f>_xlfn.XLOOKUP(B350,Disk_Pivot!G:G,Disk_Pivot!I:I)</f>
        <v>Yes x2</v>
      </c>
      <c r="U350" t="str">
        <f>_xlfn.XLOOKUP(B350,Disk_Pivot!G:G,Disk_Pivot!N:N)</f>
        <v>Pass, Fail</v>
      </c>
      <c r="V350" t="str">
        <f>IF(U350="Fail",MacReports!N350,"")</f>
        <v/>
      </c>
      <c r="AB350" t="str">
        <f t="shared" si="12"/>
        <v/>
      </c>
    </row>
    <row r="351" spans="1:28">
      <c r="A351">
        <f>MacReports!A351</f>
        <v>0</v>
      </c>
      <c r="B351">
        <f>MacReports!B351</f>
        <v>0</v>
      </c>
      <c r="C351">
        <f>MacReports!C351</f>
        <v>0</v>
      </c>
      <c r="E351" t="e">
        <f>_xlfn.XLOOKUP(G351,Models!A:A,Models!F:F)</f>
        <v>#N/A</v>
      </c>
      <c r="F351" t="str">
        <f>_xlfn.XLOOKUP(B351,MacReports!B:B,MacReports!D:D,"")</f>
        <v/>
      </c>
      <c r="G351" s="13">
        <f>MacReports!E351</f>
        <v>0</v>
      </c>
      <c r="H351" t="e">
        <f>_xlfn.XLOOKUP(G351,Models!A:A,Models!B:B)</f>
        <v>#N/A</v>
      </c>
      <c r="I351" t="e">
        <f>_xlfn.XLOOKUP(G351,Models!A:A,Models!E:E)</f>
        <v>#N/A</v>
      </c>
      <c r="J351" t="e">
        <f>_xlfn.XLOOKUP(G351,Models!A:A,Models!D:D)</f>
        <v>#N/A</v>
      </c>
      <c r="K351">
        <f>MacReports!F351</f>
        <v>0</v>
      </c>
      <c r="L351">
        <f>MacReports!G351</f>
        <v>0</v>
      </c>
      <c r="M351" s="15" t="e" cm="1">
        <f t="array" ref="M351">--_xlfn.LET(
    _xlpm.txt, MacReports!H351,
    _xlpm.chars, MID(_xlpm.txt, _xlfn.SEQUENCE(LEN(_xlpm.txt)), 1),
    _xlfn.TEXTJOIN("", TRUE, IF(ISNUMBER(--_xlpm.chars), _xlpm.chars, ""))
)</f>
        <v>#VALUE!</v>
      </c>
      <c r="N351" s="16" t="str" cm="1">
        <f t="array" ref="N351">_xlfn.IFS(
   --MacReports!M351&lt;55,"Battery Defect",
  -- MacReports!M351&lt;=69,"Battery D",
  --MacReports!M351&lt;=80,"Battery C",
 --MacReports!M351&gt;80,""
)</f>
        <v>Battery Defect</v>
      </c>
      <c r="O351" s="16" t="str">
        <f>IF(MacReports!I351="Service","Battery Service","")</f>
        <v/>
      </c>
      <c r="P351" s="13">
        <f>MacReports!P351</f>
        <v>0</v>
      </c>
      <c r="Q351" s="13" t="str">
        <f>IF(MacReports!J351="Enabled","Apple ID Lock","")</f>
        <v/>
      </c>
      <c r="R351" s="13" t="str">
        <f>IF(MacReports!L351="y","Remote Locked","")</f>
        <v/>
      </c>
      <c r="S351" t="str">
        <f t="shared" si="11"/>
        <v>Battery Defect, 0</v>
      </c>
      <c r="T351" t="str">
        <f>_xlfn.XLOOKUP(B351,Disk_Pivot!G:G,Disk_Pivot!I:I)</f>
        <v>Yes x2</v>
      </c>
      <c r="U351" t="str">
        <f>_xlfn.XLOOKUP(B351,Disk_Pivot!G:G,Disk_Pivot!N:N)</f>
        <v>Pass, Fail</v>
      </c>
      <c r="V351" t="str">
        <f>IF(U351="Fail",MacReports!N351,"")</f>
        <v/>
      </c>
      <c r="AB351" t="str">
        <f t="shared" si="12"/>
        <v/>
      </c>
    </row>
    <row r="352" spans="1:28">
      <c r="A352">
        <f>MacReports!A352</f>
        <v>0</v>
      </c>
      <c r="B352">
        <f>MacReports!B352</f>
        <v>0</v>
      </c>
      <c r="C352">
        <f>MacReports!C352</f>
        <v>0</v>
      </c>
      <c r="E352" t="e">
        <f>_xlfn.XLOOKUP(G352,Models!A:A,Models!F:F)</f>
        <v>#N/A</v>
      </c>
      <c r="F352" t="str">
        <f>_xlfn.XLOOKUP(B352,MacReports!B:B,MacReports!D:D,"")</f>
        <v/>
      </c>
      <c r="G352" s="13">
        <f>MacReports!E352</f>
        <v>0</v>
      </c>
      <c r="H352" t="e">
        <f>_xlfn.XLOOKUP(G352,Models!A:A,Models!B:B)</f>
        <v>#N/A</v>
      </c>
      <c r="I352" t="e">
        <f>_xlfn.XLOOKUP(G352,Models!A:A,Models!E:E)</f>
        <v>#N/A</v>
      </c>
      <c r="J352" t="e">
        <f>_xlfn.XLOOKUP(G352,Models!A:A,Models!D:D)</f>
        <v>#N/A</v>
      </c>
      <c r="K352">
        <f>MacReports!F352</f>
        <v>0</v>
      </c>
      <c r="L352">
        <f>MacReports!G352</f>
        <v>0</v>
      </c>
      <c r="M352" s="15" t="e" cm="1">
        <f t="array" ref="M352">--_xlfn.LET(
    _xlpm.txt, MacReports!H352,
    _xlpm.chars, MID(_xlpm.txt, _xlfn.SEQUENCE(LEN(_xlpm.txt)), 1),
    _xlfn.TEXTJOIN("", TRUE, IF(ISNUMBER(--_xlpm.chars), _xlpm.chars, ""))
)</f>
        <v>#VALUE!</v>
      </c>
      <c r="N352" s="16" t="str" cm="1">
        <f t="array" ref="N352">_xlfn.IFS(
   --MacReports!M352&lt;55,"Battery Defect",
  -- MacReports!M352&lt;=69,"Battery D",
  --MacReports!M352&lt;=80,"Battery C",
 --MacReports!M352&gt;80,""
)</f>
        <v>Battery Defect</v>
      </c>
      <c r="O352" s="16" t="str">
        <f>IF(MacReports!I352="Service","Battery Service","")</f>
        <v/>
      </c>
      <c r="P352" s="13">
        <f>MacReports!P352</f>
        <v>0</v>
      </c>
      <c r="Q352" s="13" t="str">
        <f>IF(MacReports!J352="Enabled","Apple ID Lock","")</f>
        <v/>
      </c>
      <c r="R352" s="13" t="str">
        <f>IF(MacReports!L352="y","Remote Locked","")</f>
        <v/>
      </c>
      <c r="S352" t="str">
        <f t="shared" si="11"/>
        <v>Battery Defect, 0</v>
      </c>
      <c r="T352" t="str">
        <f>_xlfn.XLOOKUP(B352,Disk_Pivot!G:G,Disk_Pivot!I:I)</f>
        <v>Yes x2</v>
      </c>
      <c r="U352" t="str">
        <f>_xlfn.XLOOKUP(B352,Disk_Pivot!G:G,Disk_Pivot!N:N)</f>
        <v>Pass, Fail</v>
      </c>
      <c r="V352" t="str">
        <f>IF(U352="Fail",MacReports!N352,"")</f>
        <v/>
      </c>
      <c r="AB352" t="str">
        <f t="shared" si="12"/>
        <v/>
      </c>
    </row>
    <row r="353" spans="1:28">
      <c r="A353">
        <f>MacReports!A353</f>
        <v>0</v>
      </c>
      <c r="B353">
        <f>MacReports!B353</f>
        <v>0</v>
      </c>
      <c r="C353">
        <f>MacReports!C353</f>
        <v>0</v>
      </c>
      <c r="E353" t="e">
        <f>_xlfn.XLOOKUP(G353,Models!A:A,Models!F:F)</f>
        <v>#N/A</v>
      </c>
      <c r="F353" t="str">
        <f>_xlfn.XLOOKUP(B353,MacReports!B:B,MacReports!D:D,"")</f>
        <v/>
      </c>
      <c r="G353" s="13">
        <f>MacReports!E353</f>
        <v>0</v>
      </c>
      <c r="H353" t="e">
        <f>_xlfn.XLOOKUP(G353,Models!A:A,Models!B:B)</f>
        <v>#N/A</v>
      </c>
      <c r="I353" t="e">
        <f>_xlfn.XLOOKUP(G353,Models!A:A,Models!E:E)</f>
        <v>#N/A</v>
      </c>
      <c r="J353" t="e">
        <f>_xlfn.XLOOKUP(G353,Models!A:A,Models!D:D)</f>
        <v>#N/A</v>
      </c>
      <c r="K353">
        <f>MacReports!F353</f>
        <v>0</v>
      </c>
      <c r="L353">
        <f>MacReports!G353</f>
        <v>0</v>
      </c>
      <c r="M353" s="15" t="e" cm="1">
        <f t="array" ref="M353">--_xlfn.LET(
    _xlpm.txt, MacReports!H353,
    _xlpm.chars, MID(_xlpm.txt, _xlfn.SEQUENCE(LEN(_xlpm.txt)), 1),
    _xlfn.TEXTJOIN("", TRUE, IF(ISNUMBER(--_xlpm.chars), _xlpm.chars, ""))
)</f>
        <v>#VALUE!</v>
      </c>
      <c r="N353" s="16" t="str" cm="1">
        <f t="array" ref="N353">_xlfn.IFS(
   --MacReports!M353&lt;55,"Battery Defect",
  -- MacReports!M353&lt;=69,"Battery D",
  --MacReports!M353&lt;=80,"Battery C",
 --MacReports!M353&gt;80,""
)</f>
        <v>Battery Defect</v>
      </c>
      <c r="O353" s="16" t="str">
        <f>IF(MacReports!I353="Service","Battery Service","")</f>
        <v/>
      </c>
      <c r="P353" s="13">
        <f>MacReports!P353</f>
        <v>0</v>
      </c>
      <c r="Q353" s="13" t="str">
        <f>IF(MacReports!J353="Enabled","Apple ID Lock","")</f>
        <v/>
      </c>
      <c r="R353" s="13" t="str">
        <f>IF(MacReports!L353="y","Remote Locked","")</f>
        <v/>
      </c>
      <c r="S353" t="str">
        <f t="shared" si="11"/>
        <v>Battery Defect, 0</v>
      </c>
      <c r="T353" t="str">
        <f>_xlfn.XLOOKUP(B353,Disk_Pivot!G:G,Disk_Pivot!I:I)</f>
        <v>Yes x2</v>
      </c>
      <c r="U353" t="str">
        <f>_xlfn.XLOOKUP(B353,Disk_Pivot!G:G,Disk_Pivot!N:N)</f>
        <v>Pass, Fail</v>
      </c>
      <c r="V353" t="str">
        <f>IF(U353="Fail",MacReports!N353,"")</f>
        <v/>
      </c>
      <c r="AB353" t="str">
        <f t="shared" si="12"/>
        <v/>
      </c>
    </row>
    <row r="354" spans="1:28">
      <c r="A354">
        <f>MacReports!A354</f>
        <v>0</v>
      </c>
      <c r="B354">
        <f>MacReports!B354</f>
        <v>0</v>
      </c>
      <c r="C354">
        <f>MacReports!C354</f>
        <v>0</v>
      </c>
      <c r="E354" t="e">
        <f>_xlfn.XLOOKUP(G354,Models!A:A,Models!F:F)</f>
        <v>#N/A</v>
      </c>
      <c r="F354" t="str">
        <f>_xlfn.XLOOKUP(B354,MacReports!B:B,MacReports!D:D,"")</f>
        <v/>
      </c>
      <c r="G354" s="13">
        <f>MacReports!E354</f>
        <v>0</v>
      </c>
      <c r="H354" t="e">
        <f>_xlfn.XLOOKUP(G354,Models!A:A,Models!B:B)</f>
        <v>#N/A</v>
      </c>
      <c r="I354" t="e">
        <f>_xlfn.XLOOKUP(G354,Models!A:A,Models!E:E)</f>
        <v>#N/A</v>
      </c>
      <c r="J354" t="e">
        <f>_xlfn.XLOOKUP(G354,Models!A:A,Models!D:D)</f>
        <v>#N/A</v>
      </c>
      <c r="K354">
        <f>MacReports!F354</f>
        <v>0</v>
      </c>
      <c r="L354">
        <f>MacReports!G354</f>
        <v>0</v>
      </c>
      <c r="M354" s="15" t="e" cm="1">
        <f t="array" ref="M354">--_xlfn.LET(
    _xlpm.txt, MacReports!H354,
    _xlpm.chars, MID(_xlpm.txt, _xlfn.SEQUENCE(LEN(_xlpm.txt)), 1),
    _xlfn.TEXTJOIN("", TRUE, IF(ISNUMBER(--_xlpm.chars), _xlpm.chars, ""))
)</f>
        <v>#VALUE!</v>
      </c>
      <c r="N354" s="16" t="str" cm="1">
        <f t="array" ref="N354">_xlfn.IFS(
   --MacReports!M354&lt;55,"Battery Defect",
  -- MacReports!M354&lt;=69,"Battery D",
  --MacReports!M354&lt;=80,"Battery C",
 --MacReports!M354&gt;80,""
)</f>
        <v>Battery Defect</v>
      </c>
      <c r="O354" s="16" t="str">
        <f>IF(MacReports!I354="Service","Battery Service","")</f>
        <v/>
      </c>
      <c r="P354" s="13">
        <f>MacReports!P354</f>
        <v>0</v>
      </c>
      <c r="Q354" s="13" t="str">
        <f>IF(MacReports!J354="Enabled","Apple ID Lock","")</f>
        <v/>
      </c>
      <c r="R354" s="13" t="str">
        <f>IF(MacReports!L354="y","Remote Locked","")</f>
        <v/>
      </c>
      <c r="S354" t="str">
        <f t="shared" si="11"/>
        <v>Battery Defect, 0</v>
      </c>
      <c r="T354" t="str">
        <f>_xlfn.XLOOKUP(B354,Disk_Pivot!G:G,Disk_Pivot!I:I)</f>
        <v>Yes x2</v>
      </c>
      <c r="U354" t="str">
        <f>_xlfn.XLOOKUP(B354,Disk_Pivot!G:G,Disk_Pivot!N:N)</f>
        <v>Pass, Fail</v>
      </c>
      <c r="V354" t="str">
        <f>IF(U354="Fail",MacReports!N354,"")</f>
        <v/>
      </c>
      <c r="AB354" t="str">
        <f t="shared" si="12"/>
        <v/>
      </c>
    </row>
    <row r="355" spans="1:28">
      <c r="A355">
        <f>MacReports!A355</f>
        <v>0</v>
      </c>
      <c r="B355">
        <f>MacReports!B355</f>
        <v>0</v>
      </c>
      <c r="C355">
        <f>MacReports!C355</f>
        <v>0</v>
      </c>
      <c r="E355" t="e">
        <f>_xlfn.XLOOKUP(G355,Models!A:A,Models!F:F)</f>
        <v>#N/A</v>
      </c>
      <c r="F355" t="str">
        <f>_xlfn.XLOOKUP(B355,MacReports!B:B,MacReports!D:D,"")</f>
        <v/>
      </c>
      <c r="G355" s="13">
        <f>MacReports!E355</f>
        <v>0</v>
      </c>
      <c r="H355" t="e">
        <f>_xlfn.XLOOKUP(G355,Models!A:A,Models!B:B)</f>
        <v>#N/A</v>
      </c>
      <c r="I355" t="e">
        <f>_xlfn.XLOOKUP(G355,Models!A:A,Models!E:E)</f>
        <v>#N/A</v>
      </c>
      <c r="J355" t="e">
        <f>_xlfn.XLOOKUP(G355,Models!A:A,Models!D:D)</f>
        <v>#N/A</v>
      </c>
      <c r="K355">
        <f>MacReports!F355</f>
        <v>0</v>
      </c>
      <c r="L355">
        <f>MacReports!G355</f>
        <v>0</v>
      </c>
      <c r="M355" s="15" t="e" cm="1">
        <f t="array" ref="M355">--_xlfn.LET(
    _xlpm.txt, MacReports!H355,
    _xlpm.chars, MID(_xlpm.txt, _xlfn.SEQUENCE(LEN(_xlpm.txt)), 1),
    _xlfn.TEXTJOIN("", TRUE, IF(ISNUMBER(--_xlpm.chars), _xlpm.chars, ""))
)</f>
        <v>#VALUE!</v>
      </c>
      <c r="N355" s="16" t="str" cm="1">
        <f t="array" ref="N355">_xlfn.IFS(
   --MacReports!M355&lt;55,"Battery Defect",
  -- MacReports!M355&lt;=69,"Battery D",
  --MacReports!M355&lt;=80,"Battery C",
 --MacReports!M355&gt;80,""
)</f>
        <v>Battery Defect</v>
      </c>
      <c r="O355" s="16" t="str">
        <f>IF(MacReports!I355="Service","Battery Service","")</f>
        <v/>
      </c>
      <c r="P355" s="13">
        <f>MacReports!P355</f>
        <v>0</v>
      </c>
      <c r="Q355" s="13" t="str">
        <f>IF(MacReports!J355="Enabled","Apple ID Lock","")</f>
        <v/>
      </c>
      <c r="R355" s="13" t="str">
        <f>IF(MacReports!L355="y","Remote Locked","")</f>
        <v/>
      </c>
      <c r="S355" t="str">
        <f t="shared" ref="S355:S387" si="13">_xlfn.TEXTJOIN(", ",TRUE,Q355,R355,N355,O355,P355)</f>
        <v>Battery Defect, 0</v>
      </c>
      <c r="T355" t="str">
        <f>_xlfn.XLOOKUP(B355,Disk_Pivot!G:G,Disk_Pivot!I:I)</f>
        <v>Yes x2</v>
      </c>
      <c r="U355" t="str">
        <f>_xlfn.XLOOKUP(B355,Disk_Pivot!G:G,Disk_Pivot!N:N)</f>
        <v>Pass, Fail</v>
      </c>
      <c r="V355" t="str">
        <f>IF(U355="Fail",MacReports!N355,"")</f>
        <v/>
      </c>
      <c r="AB355" t="str">
        <f t="shared" ref="AB355:AB387" si="14">_xlfn.TEXTJOIN(", ",TRUE,Q355,R355)</f>
        <v/>
      </c>
    </row>
    <row r="356" spans="1:28">
      <c r="A356">
        <f>MacReports!A356</f>
        <v>0</v>
      </c>
      <c r="B356">
        <f>MacReports!B356</f>
        <v>0</v>
      </c>
      <c r="C356">
        <f>MacReports!C356</f>
        <v>0</v>
      </c>
      <c r="E356" t="e">
        <f>_xlfn.XLOOKUP(G356,Models!A:A,Models!F:F)</f>
        <v>#N/A</v>
      </c>
      <c r="F356" t="str">
        <f>_xlfn.XLOOKUP(B356,MacReports!B:B,MacReports!D:D,"")</f>
        <v/>
      </c>
      <c r="G356" s="13">
        <f>MacReports!E356</f>
        <v>0</v>
      </c>
      <c r="H356" t="e">
        <f>_xlfn.XLOOKUP(G356,Models!A:A,Models!B:B)</f>
        <v>#N/A</v>
      </c>
      <c r="I356" t="e">
        <f>_xlfn.XLOOKUP(G356,Models!A:A,Models!E:E)</f>
        <v>#N/A</v>
      </c>
      <c r="J356" t="e">
        <f>_xlfn.XLOOKUP(G356,Models!A:A,Models!D:D)</f>
        <v>#N/A</v>
      </c>
      <c r="K356">
        <f>MacReports!F356</f>
        <v>0</v>
      </c>
      <c r="L356">
        <f>MacReports!G356</f>
        <v>0</v>
      </c>
      <c r="M356" s="15" t="e" cm="1">
        <f t="array" ref="M356">--_xlfn.LET(
    _xlpm.txt, MacReports!H356,
    _xlpm.chars, MID(_xlpm.txt, _xlfn.SEQUENCE(LEN(_xlpm.txt)), 1),
    _xlfn.TEXTJOIN("", TRUE, IF(ISNUMBER(--_xlpm.chars), _xlpm.chars, ""))
)</f>
        <v>#VALUE!</v>
      </c>
      <c r="N356" s="16" t="str" cm="1">
        <f t="array" ref="N356">_xlfn.IFS(
   --MacReports!M356&lt;55,"Battery Defect",
  -- MacReports!M356&lt;=69,"Battery D",
  --MacReports!M356&lt;=80,"Battery C",
 --MacReports!M356&gt;80,""
)</f>
        <v>Battery Defect</v>
      </c>
      <c r="O356" s="16" t="str">
        <f>IF(MacReports!I356="Service","Battery Service","")</f>
        <v/>
      </c>
      <c r="P356" s="13">
        <f>MacReports!P356</f>
        <v>0</v>
      </c>
      <c r="Q356" s="13" t="str">
        <f>IF(MacReports!J356="Enabled","Apple ID Lock","")</f>
        <v/>
      </c>
      <c r="R356" s="13" t="str">
        <f>IF(MacReports!L356="y","Remote Locked","")</f>
        <v/>
      </c>
      <c r="S356" t="str">
        <f t="shared" si="13"/>
        <v>Battery Defect, 0</v>
      </c>
      <c r="T356" t="str">
        <f>_xlfn.XLOOKUP(B356,Disk_Pivot!G:G,Disk_Pivot!I:I)</f>
        <v>Yes x2</v>
      </c>
      <c r="U356" t="str">
        <f>_xlfn.XLOOKUP(B356,Disk_Pivot!G:G,Disk_Pivot!N:N)</f>
        <v>Pass, Fail</v>
      </c>
      <c r="V356" t="str">
        <f>IF(U356="Fail",MacReports!N356,"")</f>
        <v/>
      </c>
      <c r="AB356" t="str">
        <f t="shared" si="14"/>
        <v/>
      </c>
    </row>
    <row r="357" spans="1:28">
      <c r="A357">
        <f>MacReports!A357</f>
        <v>0</v>
      </c>
      <c r="B357">
        <f>MacReports!B357</f>
        <v>0</v>
      </c>
      <c r="C357">
        <f>MacReports!C357</f>
        <v>0</v>
      </c>
      <c r="E357" t="e">
        <f>_xlfn.XLOOKUP(G357,Models!A:A,Models!F:F)</f>
        <v>#N/A</v>
      </c>
      <c r="F357" t="str">
        <f>_xlfn.XLOOKUP(B357,MacReports!B:B,MacReports!D:D,"")</f>
        <v/>
      </c>
      <c r="G357" s="13">
        <f>MacReports!E357</f>
        <v>0</v>
      </c>
      <c r="H357" t="e">
        <f>_xlfn.XLOOKUP(G357,Models!A:A,Models!B:B)</f>
        <v>#N/A</v>
      </c>
      <c r="I357" t="e">
        <f>_xlfn.XLOOKUP(G357,Models!A:A,Models!E:E)</f>
        <v>#N/A</v>
      </c>
      <c r="J357" t="e">
        <f>_xlfn.XLOOKUP(G357,Models!A:A,Models!D:D)</f>
        <v>#N/A</v>
      </c>
      <c r="K357">
        <f>MacReports!F357</f>
        <v>0</v>
      </c>
      <c r="L357">
        <f>MacReports!G357</f>
        <v>0</v>
      </c>
      <c r="M357" s="15" t="e" cm="1">
        <f t="array" ref="M357">--_xlfn.LET(
    _xlpm.txt, MacReports!H357,
    _xlpm.chars, MID(_xlpm.txt, _xlfn.SEQUENCE(LEN(_xlpm.txt)), 1),
    _xlfn.TEXTJOIN("", TRUE, IF(ISNUMBER(--_xlpm.chars), _xlpm.chars, ""))
)</f>
        <v>#VALUE!</v>
      </c>
      <c r="N357" s="16" t="str" cm="1">
        <f t="array" ref="N357">_xlfn.IFS(
   --MacReports!M357&lt;55,"Battery Defect",
  -- MacReports!M357&lt;=69,"Battery D",
  --MacReports!M357&lt;=80,"Battery C",
 --MacReports!M357&gt;80,""
)</f>
        <v>Battery Defect</v>
      </c>
      <c r="O357" s="16" t="str">
        <f>IF(MacReports!I357="Service","Battery Service","")</f>
        <v/>
      </c>
      <c r="P357" s="13">
        <f>MacReports!P357</f>
        <v>0</v>
      </c>
      <c r="Q357" s="13" t="str">
        <f>IF(MacReports!J357="Enabled","Apple ID Lock","")</f>
        <v/>
      </c>
      <c r="R357" s="13" t="str">
        <f>IF(MacReports!L357="y","Remote Locked","")</f>
        <v/>
      </c>
      <c r="S357" t="str">
        <f t="shared" si="13"/>
        <v>Battery Defect, 0</v>
      </c>
      <c r="T357" t="str">
        <f>_xlfn.XLOOKUP(B357,Disk_Pivot!G:G,Disk_Pivot!I:I)</f>
        <v>Yes x2</v>
      </c>
      <c r="U357" t="str">
        <f>_xlfn.XLOOKUP(B357,Disk_Pivot!G:G,Disk_Pivot!N:N)</f>
        <v>Pass, Fail</v>
      </c>
      <c r="V357" t="str">
        <f>IF(U357="Fail",MacReports!N357,"")</f>
        <v/>
      </c>
      <c r="AB357" t="str">
        <f t="shared" si="14"/>
        <v/>
      </c>
    </row>
    <row r="358" spans="1:28">
      <c r="A358">
        <f>MacReports!A358</f>
        <v>0</v>
      </c>
      <c r="B358">
        <f>MacReports!B358</f>
        <v>0</v>
      </c>
      <c r="C358">
        <f>MacReports!C358</f>
        <v>0</v>
      </c>
      <c r="E358" t="e">
        <f>_xlfn.XLOOKUP(G358,Models!A:A,Models!F:F)</f>
        <v>#N/A</v>
      </c>
      <c r="F358" t="str">
        <f>_xlfn.XLOOKUP(B358,MacReports!B:B,MacReports!D:D,"")</f>
        <v/>
      </c>
      <c r="G358" s="13">
        <f>MacReports!E358</f>
        <v>0</v>
      </c>
      <c r="H358" t="e">
        <f>_xlfn.XLOOKUP(G358,Models!A:A,Models!B:B)</f>
        <v>#N/A</v>
      </c>
      <c r="I358" t="e">
        <f>_xlfn.XLOOKUP(G358,Models!A:A,Models!E:E)</f>
        <v>#N/A</v>
      </c>
      <c r="J358" t="e">
        <f>_xlfn.XLOOKUP(G358,Models!A:A,Models!D:D)</f>
        <v>#N/A</v>
      </c>
      <c r="K358">
        <f>MacReports!F358</f>
        <v>0</v>
      </c>
      <c r="L358">
        <f>MacReports!G358</f>
        <v>0</v>
      </c>
      <c r="M358" s="15" t="e" cm="1">
        <f t="array" ref="M358">--_xlfn.LET(
    _xlpm.txt, MacReports!H358,
    _xlpm.chars, MID(_xlpm.txt, _xlfn.SEQUENCE(LEN(_xlpm.txt)), 1),
    _xlfn.TEXTJOIN("", TRUE, IF(ISNUMBER(--_xlpm.chars), _xlpm.chars, ""))
)</f>
        <v>#VALUE!</v>
      </c>
      <c r="N358" s="16" t="str" cm="1">
        <f t="array" ref="N358">_xlfn.IFS(
   --MacReports!M358&lt;55,"Battery Defect",
  -- MacReports!M358&lt;=69,"Battery D",
  --MacReports!M358&lt;=80,"Battery C",
 --MacReports!M358&gt;80,""
)</f>
        <v>Battery Defect</v>
      </c>
      <c r="O358" s="16" t="str">
        <f>IF(MacReports!I358="Service","Battery Service","")</f>
        <v/>
      </c>
      <c r="P358" s="13">
        <f>MacReports!P358</f>
        <v>0</v>
      </c>
      <c r="Q358" s="13" t="str">
        <f>IF(MacReports!J358="Enabled","Apple ID Lock","")</f>
        <v/>
      </c>
      <c r="R358" s="13" t="str">
        <f>IF(MacReports!L358="y","Remote Locked","")</f>
        <v/>
      </c>
      <c r="S358" t="str">
        <f t="shared" si="13"/>
        <v>Battery Defect, 0</v>
      </c>
      <c r="T358" t="str">
        <f>_xlfn.XLOOKUP(B358,Disk_Pivot!G:G,Disk_Pivot!I:I)</f>
        <v>Yes x2</v>
      </c>
      <c r="U358" t="str">
        <f>_xlfn.XLOOKUP(B358,Disk_Pivot!G:G,Disk_Pivot!N:N)</f>
        <v>Pass, Fail</v>
      </c>
      <c r="V358" t="str">
        <f>IF(U358="Fail",MacReports!N358,"")</f>
        <v/>
      </c>
      <c r="AB358" t="str">
        <f t="shared" si="14"/>
        <v/>
      </c>
    </row>
    <row r="359" spans="1:28">
      <c r="A359">
        <f>MacReports!A359</f>
        <v>0</v>
      </c>
      <c r="B359">
        <f>MacReports!B359</f>
        <v>0</v>
      </c>
      <c r="C359">
        <f>MacReports!C359</f>
        <v>0</v>
      </c>
      <c r="E359" t="e">
        <f>_xlfn.XLOOKUP(G359,Models!A:A,Models!F:F)</f>
        <v>#N/A</v>
      </c>
      <c r="F359" t="str">
        <f>_xlfn.XLOOKUP(B359,MacReports!B:B,MacReports!D:D,"")</f>
        <v/>
      </c>
      <c r="G359" s="13">
        <f>MacReports!E359</f>
        <v>0</v>
      </c>
      <c r="H359" t="e">
        <f>_xlfn.XLOOKUP(G359,Models!A:A,Models!B:B)</f>
        <v>#N/A</v>
      </c>
      <c r="I359" t="e">
        <f>_xlfn.XLOOKUP(G359,Models!A:A,Models!E:E)</f>
        <v>#N/A</v>
      </c>
      <c r="J359" t="e">
        <f>_xlfn.XLOOKUP(G359,Models!A:A,Models!D:D)</f>
        <v>#N/A</v>
      </c>
      <c r="K359">
        <f>MacReports!F359</f>
        <v>0</v>
      </c>
      <c r="L359">
        <f>MacReports!G359</f>
        <v>0</v>
      </c>
      <c r="M359" s="15" t="e" cm="1">
        <f t="array" ref="M359">--_xlfn.LET(
    _xlpm.txt, MacReports!H359,
    _xlpm.chars, MID(_xlpm.txt, _xlfn.SEQUENCE(LEN(_xlpm.txt)), 1),
    _xlfn.TEXTJOIN("", TRUE, IF(ISNUMBER(--_xlpm.chars), _xlpm.chars, ""))
)</f>
        <v>#VALUE!</v>
      </c>
      <c r="N359" s="16" t="str" cm="1">
        <f t="array" ref="N359">_xlfn.IFS(
   --MacReports!M359&lt;55,"Battery Defect",
  -- MacReports!M359&lt;=69,"Battery D",
  --MacReports!M359&lt;=80,"Battery C",
 --MacReports!M359&gt;80,""
)</f>
        <v>Battery Defect</v>
      </c>
      <c r="O359" s="16" t="str">
        <f>IF(MacReports!I359="Service","Battery Service","")</f>
        <v/>
      </c>
      <c r="P359" s="13">
        <f>MacReports!P359</f>
        <v>0</v>
      </c>
      <c r="Q359" s="13" t="str">
        <f>IF(MacReports!J359="Enabled","Apple ID Lock","")</f>
        <v/>
      </c>
      <c r="R359" s="13" t="str">
        <f>IF(MacReports!L359="y","Remote Locked","")</f>
        <v/>
      </c>
      <c r="S359" t="str">
        <f t="shared" si="13"/>
        <v>Battery Defect, 0</v>
      </c>
      <c r="T359" t="str">
        <f>_xlfn.XLOOKUP(B359,Disk_Pivot!G:G,Disk_Pivot!I:I)</f>
        <v>Yes x2</v>
      </c>
      <c r="U359" t="str">
        <f>_xlfn.XLOOKUP(B359,Disk_Pivot!G:G,Disk_Pivot!N:N)</f>
        <v>Pass, Fail</v>
      </c>
      <c r="V359" t="str">
        <f>IF(U359="Fail",MacReports!N359,"")</f>
        <v/>
      </c>
      <c r="AB359" t="str">
        <f t="shared" si="14"/>
        <v/>
      </c>
    </row>
    <row r="360" spans="1:28">
      <c r="A360">
        <f>MacReports!A360</f>
        <v>0</v>
      </c>
      <c r="B360">
        <f>MacReports!B360</f>
        <v>0</v>
      </c>
      <c r="C360">
        <f>MacReports!C360</f>
        <v>0</v>
      </c>
      <c r="E360" t="e">
        <f>_xlfn.XLOOKUP(G360,Models!A:A,Models!F:F)</f>
        <v>#N/A</v>
      </c>
      <c r="F360" t="str">
        <f>_xlfn.XLOOKUP(B360,MacReports!B:B,MacReports!D:D,"")</f>
        <v/>
      </c>
      <c r="G360" s="13">
        <f>MacReports!E360</f>
        <v>0</v>
      </c>
      <c r="H360" t="e">
        <f>_xlfn.XLOOKUP(G360,Models!A:A,Models!B:B)</f>
        <v>#N/A</v>
      </c>
      <c r="I360" t="e">
        <f>_xlfn.XLOOKUP(G360,Models!A:A,Models!E:E)</f>
        <v>#N/A</v>
      </c>
      <c r="J360" t="e">
        <f>_xlfn.XLOOKUP(G360,Models!A:A,Models!D:D)</f>
        <v>#N/A</v>
      </c>
      <c r="K360">
        <f>MacReports!F360</f>
        <v>0</v>
      </c>
      <c r="L360">
        <f>MacReports!G360</f>
        <v>0</v>
      </c>
      <c r="M360" s="15" t="e" cm="1">
        <f t="array" ref="M360">--_xlfn.LET(
    _xlpm.txt, MacReports!H360,
    _xlpm.chars, MID(_xlpm.txt, _xlfn.SEQUENCE(LEN(_xlpm.txt)), 1),
    _xlfn.TEXTJOIN("", TRUE, IF(ISNUMBER(--_xlpm.chars), _xlpm.chars, ""))
)</f>
        <v>#VALUE!</v>
      </c>
      <c r="N360" s="16" t="str" cm="1">
        <f t="array" ref="N360">_xlfn.IFS(
   --MacReports!M360&lt;55,"Battery Defect",
  -- MacReports!M360&lt;=69,"Battery D",
  --MacReports!M360&lt;=80,"Battery C",
 --MacReports!M360&gt;80,""
)</f>
        <v>Battery Defect</v>
      </c>
      <c r="O360" s="16" t="str">
        <f>IF(MacReports!I360="Service","Battery Service","")</f>
        <v/>
      </c>
      <c r="P360" s="13">
        <f>MacReports!P360</f>
        <v>0</v>
      </c>
      <c r="Q360" s="13" t="str">
        <f>IF(MacReports!J360="Enabled","Apple ID Lock","")</f>
        <v/>
      </c>
      <c r="R360" s="13" t="str">
        <f>IF(MacReports!L360="y","Remote Locked","")</f>
        <v/>
      </c>
      <c r="S360" t="str">
        <f t="shared" si="13"/>
        <v>Battery Defect, 0</v>
      </c>
      <c r="T360" t="str">
        <f>_xlfn.XLOOKUP(B360,Disk_Pivot!G:G,Disk_Pivot!I:I)</f>
        <v>Yes x2</v>
      </c>
      <c r="U360" t="str">
        <f>_xlfn.XLOOKUP(B360,Disk_Pivot!G:G,Disk_Pivot!N:N)</f>
        <v>Pass, Fail</v>
      </c>
      <c r="V360" t="str">
        <f>IF(U360="Fail",MacReports!N360,"")</f>
        <v/>
      </c>
      <c r="AB360" t="str">
        <f t="shared" si="14"/>
        <v/>
      </c>
    </row>
    <row r="361" spans="1:28">
      <c r="A361">
        <f>MacReports!A361</f>
        <v>0</v>
      </c>
      <c r="B361">
        <f>MacReports!B361</f>
        <v>0</v>
      </c>
      <c r="C361">
        <f>MacReports!C361</f>
        <v>0</v>
      </c>
      <c r="E361" t="e">
        <f>_xlfn.XLOOKUP(G361,Models!A:A,Models!F:F)</f>
        <v>#N/A</v>
      </c>
      <c r="F361" t="str">
        <f>_xlfn.XLOOKUP(B361,MacReports!B:B,MacReports!D:D,"")</f>
        <v/>
      </c>
      <c r="G361" s="13">
        <f>MacReports!E361</f>
        <v>0</v>
      </c>
      <c r="H361" t="e">
        <f>_xlfn.XLOOKUP(G361,Models!A:A,Models!B:B)</f>
        <v>#N/A</v>
      </c>
      <c r="I361" t="e">
        <f>_xlfn.XLOOKUP(G361,Models!A:A,Models!E:E)</f>
        <v>#N/A</v>
      </c>
      <c r="J361" t="e">
        <f>_xlfn.XLOOKUP(G361,Models!A:A,Models!D:D)</f>
        <v>#N/A</v>
      </c>
      <c r="K361">
        <f>MacReports!F361</f>
        <v>0</v>
      </c>
      <c r="L361">
        <f>MacReports!G361</f>
        <v>0</v>
      </c>
      <c r="M361" s="15" t="e" cm="1">
        <f t="array" ref="M361">--_xlfn.LET(
    _xlpm.txt, MacReports!H361,
    _xlpm.chars, MID(_xlpm.txt, _xlfn.SEQUENCE(LEN(_xlpm.txt)), 1),
    _xlfn.TEXTJOIN("", TRUE, IF(ISNUMBER(--_xlpm.chars), _xlpm.chars, ""))
)</f>
        <v>#VALUE!</v>
      </c>
      <c r="N361" s="16" t="str" cm="1">
        <f t="array" ref="N361">_xlfn.IFS(
   --MacReports!M361&lt;55,"Battery Defect",
  -- MacReports!M361&lt;=69,"Battery D",
  --MacReports!M361&lt;=80,"Battery C",
 --MacReports!M361&gt;80,""
)</f>
        <v>Battery Defect</v>
      </c>
      <c r="O361" s="16" t="str">
        <f>IF(MacReports!I361="Service","Battery Service","")</f>
        <v/>
      </c>
      <c r="P361" s="13">
        <f>MacReports!P361</f>
        <v>0</v>
      </c>
      <c r="Q361" s="13" t="str">
        <f>IF(MacReports!J361="Enabled","Apple ID Lock","")</f>
        <v/>
      </c>
      <c r="R361" s="13" t="str">
        <f>IF(MacReports!L361="y","Remote Locked","")</f>
        <v/>
      </c>
      <c r="S361" t="str">
        <f t="shared" si="13"/>
        <v>Battery Defect, 0</v>
      </c>
      <c r="T361" t="str">
        <f>_xlfn.XLOOKUP(B361,Disk_Pivot!G:G,Disk_Pivot!I:I)</f>
        <v>Yes x2</v>
      </c>
      <c r="U361" t="str">
        <f>_xlfn.XLOOKUP(B361,Disk_Pivot!G:G,Disk_Pivot!N:N)</f>
        <v>Pass, Fail</v>
      </c>
      <c r="V361" t="str">
        <f>IF(U361="Fail",MacReports!N361,"")</f>
        <v/>
      </c>
      <c r="AB361" t="str">
        <f t="shared" si="14"/>
        <v/>
      </c>
    </row>
    <row r="362" spans="1:28">
      <c r="A362">
        <f>MacReports!A362</f>
        <v>0</v>
      </c>
      <c r="B362">
        <f>MacReports!B362</f>
        <v>0</v>
      </c>
      <c r="C362">
        <f>MacReports!C362</f>
        <v>0</v>
      </c>
      <c r="E362" t="e">
        <f>_xlfn.XLOOKUP(G362,Models!A:A,Models!F:F)</f>
        <v>#N/A</v>
      </c>
      <c r="F362" t="str">
        <f>_xlfn.XLOOKUP(B362,MacReports!B:B,MacReports!D:D,"")</f>
        <v/>
      </c>
      <c r="G362" s="13">
        <f>MacReports!E362</f>
        <v>0</v>
      </c>
      <c r="H362" t="e">
        <f>_xlfn.XLOOKUP(G362,Models!A:A,Models!B:B)</f>
        <v>#N/A</v>
      </c>
      <c r="I362" t="e">
        <f>_xlfn.XLOOKUP(G362,Models!A:A,Models!E:E)</f>
        <v>#N/A</v>
      </c>
      <c r="J362" t="e">
        <f>_xlfn.XLOOKUP(G362,Models!A:A,Models!D:D)</f>
        <v>#N/A</v>
      </c>
      <c r="K362">
        <f>MacReports!F362</f>
        <v>0</v>
      </c>
      <c r="L362">
        <f>MacReports!G362</f>
        <v>0</v>
      </c>
      <c r="M362" s="15" t="e" cm="1">
        <f t="array" ref="M362">--_xlfn.LET(
    _xlpm.txt, MacReports!H362,
    _xlpm.chars, MID(_xlpm.txt, _xlfn.SEQUENCE(LEN(_xlpm.txt)), 1),
    _xlfn.TEXTJOIN("", TRUE, IF(ISNUMBER(--_xlpm.chars), _xlpm.chars, ""))
)</f>
        <v>#VALUE!</v>
      </c>
      <c r="N362" s="16" t="str" cm="1">
        <f t="array" ref="N362">_xlfn.IFS(
   --MacReports!M362&lt;55,"Battery Defect",
  -- MacReports!M362&lt;=69,"Battery D",
  --MacReports!M362&lt;=80,"Battery C",
 --MacReports!M362&gt;80,""
)</f>
        <v>Battery Defect</v>
      </c>
      <c r="O362" s="16" t="str">
        <f>IF(MacReports!I362="Service","Battery Service","")</f>
        <v/>
      </c>
      <c r="P362" s="13">
        <f>MacReports!P362</f>
        <v>0</v>
      </c>
      <c r="Q362" s="13" t="str">
        <f>IF(MacReports!J362="Enabled","Apple ID Lock","")</f>
        <v/>
      </c>
      <c r="R362" s="13" t="str">
        <f>IF(MacReports!L362="y","Remote Locked","")</f>
        <v/>
      </c>
      <c r="S362" t="str">
        <f t="shared" si="13"/>
        <v>Battery Defect, 0</v>
      </c>
      <c r="T362" t="str">
        <f>_xlfn.XLOOKUP(B362,Disk_Pivot!G:G,Disk_Pivot!I:I)</f>
        <v>Yes x2</v>
      </c>
      <c r="U362" t="str">
        <f>_xlfn.XLOOKUP(B362,Disk_Pivot!G:G,Disk_Pivot!N:N)</f>
        <v>Pass, Fail</v>
      </c>
      <c r="V362" t="str">
        <f>IF(U362="Fail",MacReports!N362,"")</f>
        <v/>
      </c>
      <c r="AB362" t="str">
        <f t="shared" si="14"/>
        <v/>
      </c>
    </row>
    <row r="363" spans="1:28">
      <c r="A363">
        <f>MacReports!A363</f>
        <v>0</v>
      </c>
      <c r="B363">
        <f>MacReports!B363</f>
        <v>0</v>
      </c>
      <c r="C363">
        <f>MacReports!C363</f>
        <v>0</v>
      </c>
      <c r="E363" t="e">
        <f>_xlfn.XLOOKUP(G363,Models!A:A,Models!F:F)</f>
        <v>#N/A</v>
      </c>
      <c r="F363" t="str">
        <f>_xlfn.XLOOKUP(B363,MacReports!B:B,MacReports!D:D,"")</f>
        <v/>
      </c>
      <c r="G363" s="13">
        <f>MacReports!E363</f>
        <v>0</v>
      </c>
      <c r="H363" t="e">
        <f>_xlfn.XLOOKUP(G363,Models!A:A,Models!B:B)</f>
        <v>#N/A</v>
      </c>
      <c r="I363" t="e">
        <f>_xlfn.XLOOKUP(G363,Models!A:A,Models!E:E)</f>
        <v>#N/A</v>
      </c>
      <c r="J363" t="e">
        <f>_xlfn.XLOOKUP(G363,Models!A:A,Models!D:D)</f>
        <v>#N/A</v>
      </c>
      <c r="K363">
        <f>MacReports!F363</f>
        <v>0</v>
      </c>
      <c r="L363">
        <f>MacReports!G363</f>
        <v>0</v>
      </c>
      <c r="M363" s="15" t="e" cm="1">
        <f t="array" ref="M363">--_xlfn.LET(
    _xlpm.txt, MacReports!H363,
    _xlpm.chars, MID(_xlpm.txt, _xlfn.SEQUENCE(LEN(_xlpm.txt)), 1),
    _xlfn.TEXTJOIN("", TRUE, IF(ISNUMBER(--_xlpm.chars), _xlpm.chars, ""))
)</f>
        <v>#VALUE!</v>
      </c>
      <c r="N363" s="16" t="str" cm="1">
        <f t="array" ref="N363">_xlfn.IFS(
   --MacReports!M363&lt;55,"Battery Defect",
  -- MacReports!M363&lt;=69,"Battery D",
  --MacReports!M363&lt;=80,"Battery C",
 --MacReports!M363&gt;80,""
)</f>
        <v>Battery Defect</v>
      </c>
      <c r="O363" s="16" t="str">
        <f>IF(MacReports!I363="Service","Battery Service","")</f>
        <v/>
      </c>
      <c r="P363" s="13">
        <f>MacReports!P363</f>
        <v>0</v>
      </c>
      <c r="Q363" s="13" t="str">
        <f>IF(MacReports!J363="Enabled","Apple ID Lock","")</f>
        <v/>
      </c>
      <c r="R363" s="13" t="str">
        <f>IF(MacReports!L363="y","Remote Locked","")</f>
        <v/>
      </c>
      <c r="S363" t="str">
        <f t="shared" si="13"/>
        <v>Battery Defect, 0</v>
      </c>
      <c r="T363" t="str">
        <f>_xlfn.XLOOKUP(B363,Disk_Pivot!G:G,Disk_Pivot!I:I)</f>
        <v>Yes x2</v>
      </c>
      <c r="U363" t="str">
        <f>_xlfn.XLOOKUP(B363,Disk_Pivot!G:G,Disk_Pivot!N:N)</f>
        <v>Pass, Fail</v>
      </c>
      <c r="V363" t="str">
        <f>IF(U363="Fail",MacReports!N363,"")</f>
        <v/>
      </c>
      <c r="AB363" t="str">
        <f t="shared" si="14"/>
        <v/>
      </c>
    </row>
    <row r="364" spans="1:28">
      <c r="A364">
        <f>MacReports!A364</f>
        <v>0</v>
      </c>
      <c r="B364">
        <f>MacReports!B364</f>
        <v>0</v>
      </c>
      <c r="C364">
        <f>MacReports!C364</f>
        <v>0</v>
      </c>
      <c r="E364" t="e">
        <f>_xlfn.XLOOKUP(G364,Models!A:A,Models!F:F)</f>
        <v>#N/A</v>
      </c>
      <c r="F364" t="str">
        <f>_xlfn.XLOOKUP(B364,MacReports!B:B,MacReports!D:D,"")</f>
        <v/>
      </c>
      <c r="G364" s="13">
        <f>MacReports!E364</f>
        <v>0</v>
      </c>
      <c r="H364" t="e">
        <f>_xlfn.XLOOKUP(G364,Models!A:A,Models!B:B)</f>
        <v>#N/A</v>
      </c>
      <c r="I364" t="e">
        <f>_xlfn.XLOOKUP(G364,Models!A:A,Models!E:E)</f>
        <v>#N/A</v>
      </c>
      <c r="J364" t="e">
        <f>_xlfn.XLOOKUP(G364,Models!A:A,Models!D:D)</f>
        <v>#N/A</v>
      </c>
      <c r="K364">
        <f>MacReports!F364</f>
        <v>0</v>
      </c>
      <c r="L364">
        <f>MacReports!G364</f>
        <v>0</v>
      </c>
      <c r="M364" s="15" t="e" cm="1">
        <f t="array" ref="M364">--_xlfn.LET(
    _xlpm.txt, MacReports!H364,
    _xlpm.chars, MID(_xlpm.txt, _xlfn.SEQUENCE(LEN(_xlpm.txt)), 1),
    _xlfn.TEXTJOIN("", TRUE, IF(ISNUMBER(--_xlpm.chars), _xlpm.chars, ""))
)</f>
        <v>#VALUE!</v>
      </c>
      <c r="N364" s="16" t="str" cm="1">
        <f t="array" ref="N364">_xlfn.IFS(
   --MacReports!M364&lt;55,"Battery Defect",
  -- MacReports!M364&lt;=69,"Battery D",
  --MacReports!M364&lt;=80,"Battery C",
 --MacReports!M364&gt;80,""
)</f>
        <v>Battery Defect</v>
      </c>
      <c r="O364" s="16" t="str">
        <f>IF(MacReports!I364="Service","Battery Service","")</f>
        <v/>
      </c>
      <c r="P364" s="13">
        <f>MacReports!P364</f>
        <v>0</v>
      </c>
      <c r="Q364" s="13" t="str">
        <f>IF(MacReports!J364="Enabled","Apple ID Lock","")</f>
        <v/>
      </c>
      <c r="R364" s="13" t="str">
        <f>IF(MacReports!L364="y","Remote Locked","")</f>
        <v/>
      </c>
      <c r="S364" t="str">
        <f t="shared" si="13"/>
        <v>Battery Defect, 0</v>
      </c>
      <c r="T364" t="str">
        <f>_xlfn.XLOOKUP(B364,Disk_Pivot!G:G,Disk_Pivot!I:I)</f>
        <v>Yes x2</v>
      </c>
      <c r="U364" t="str">
        <f>_xlfn.XLOOKUP(B364,Disk_Pivot!G:G,Disk_Pivot!N:N)</f>
        <v>Pass, Fail</v>
      </c>
      <c r="V364" t="str">
        <f>IF(U364="Fail",MacReports!N364,"")</f>
        <v/>
      </c>
      <c r="AB364" t="str">
        <f t="shared" si="14"/>
        <v/>
      </c>
    </row>
    <row r="365" spans="1:28">
      <c r="A365">
        <f>MacReports!A365</f>
        <v>0</v>
      </c>
      <c r="B365">
        <f>MacReports!B365</f>
        <v>0</v>
      </c>
      <c r="C365">
        <f>MacReports!C365</f>
        <v>0</v>
      </c>
      <c r="E365" t="e">
        <f>_xlfn.XLOOKUP(G365,Models!A:A,Models!F:F)</f>
        <v>#N/A</v>
      </c>
      <c r="F365" t="str">
        <f>_xlfn.XLOOKUP(B365,MacReports!B:B,MacReports!D:D,"")</f>
        <v/>
      </c>
      <c r="G365" s="13">
        <f>MacReports!E365</f>
        <v>0</v>
      </c>
      <c r="H365" t="e">
        <f>_xlfn.XLOOKUP(G365,Models!A:A,Models!B:B)</f>
        <v>#N/A</v>
      </c>
      <c r="I365" t="e">
        <f>_xlfn.XLOOKUP(G365,Models!A:A,Models!E:E)</f>
        <v>#N/A</v>
      </c>
      <c r="J365" t="e">
        <f>_xlfn.XLOOKUP(G365,Models!A:A,Models!D:D)</f>
        <v>#N/A</v>
      </c>
      <c r="K365">
        <f>MacReports!F365</f>
        <v>0</v>
      </c>
      <c r="L365">
        <f>MacReports!G365</f>
        <v>0</v>
      </c>
      <c r="M365" s="15" t="e" cm="1">
        <f t="array" ref="M365">--_xlfn.LET(
    _xlpm.txt, MacReports!H365,
    _xlpm.chars, MID(_xlpm.txt, _xlfn.SEQUENCE(LEN(_xlpm.txt)), 1),
    _xlfn.TEXTJOIN("", TRUE, IF(ISNUMBER(--_xlpm.chars), _xlpm.chars, ""))
)</f>
        <v>#VALUE!</v>
      </c>
      <c r="N365" s="16" t="str" cm="1">
        <f t="array" ref="N365">_xlfn.IFS(
   --MacReports!M365&lt;55,"Battery Defect",
  -- MacReports!M365&lt;=69,"Battery D",
  --MacReports!M365&lt;=80,"Battery C",
 --MacReports!M365&gt;80,""
)</f>
        <v>Battery Defect</v>
      </c>
      <c r="O365" s="16" t="str">
        <f>IF(MacReports!I365="Service","Battery Service","")</f>
        <v/>
      </c>
      <c r="P365" s="13">
        <f>MacReports!P365</f>
        <v>0</v>
      </c>
      <c r="Q365" s="13" t="str">
        <f>IF(MacReports!J365="Enabled","Apple ID Lock","")</f>
        <v/>
      </c>
      <c r="R365" s="13" t="str">
        <f>IF(MacReports!L365="y","Remote Locked","")</f>
        <v/>
      </c>
      <c r="S365" t="str">
        <f t="shared" si="13"/>
        <v>Battery Defect, 0</v>
      </c>
      <c r="T365" t="str">
        <f>_xlfn.XLOOKUP(B365,Disk_Pivot!G:G,Disk_Pivot!I:I)</f>
        <v>Yes x2</v>
      </c>
      <c r="U365" t="str">
        <f>_xlfn.XLOOKUP(B365,Disk_Pivot!G:G,Disk_Pivot!N:N)</f>
        <v>Pass, Fail</v>
      </c>
      <c r="V365" t="str">
        <f>IF(U365="Fail",MacReports!N365,"")</f>
        <v/>
      </c>
      <c r="AB365" t="str">
        <f t="shared" si="14"/>
        <v/>
      </c>
    </row>
    <row r="366" spans="1:28">
      <c r="A366">
        <f>MacReports!A366</f>
        <v>0</v>
      </c>
      <c r="B366">
        <f>MacReports!B366</f>
        <v>0</v>
      </c>
      <c r="C366">
        <f>MacReports!C366</f>
        <v>0</v>
      </c>
      <c r="E366" t="e">
        <f>_xlfn.XLOOKUP(G366,Models!A:A,Models!F:F)</f>
        <v>#N/A</v>
      </c>
      <c r="F366" t="str">
        <f>_xlfn.XLOOKUP(B366,MacReports!B:B,MacReports!D:D,"")</f>
        <v/>
      </c>
      <c r="G366" s="13">
        <f>MacReports!E366</f>
        <v>0</v>
      </c>
      <c r="H366" t="e">
        <f>_xlfn.XLOOKUP(G366,Models!A:A,Models!B:B)</f>
        <v>#N/A</v>
      </c>
      <c r="I366" t="e">
        <f>_xlfn.XLOOKUP(G366,Models!A:A,Models!E:E)</f>
        <v>#N/A</v>
      </c>
      <c r="J366" t="e">
        <f>_xlfn.XLOOKUP(G366,Models!A:A,Models!D:D)</f>
        <v>#N/A</v>
      </c>
      <c r="K366">
        <f>MacReports!F366</f>
        <v>0</v>
      </c>
      <c r="L366">
        <f>MacReports!G366</f>
        <v>0</v>
      </c>
      <c r="M366" s="15" t="e" cm="1">
        <f t="array" ref="M366">--_xlfn.LET(
    _xlpm.txt, MacReports!H366,
    _xlpm.chars, MID(_xlpm.txt, _xlfn.SEQUENCE(LEN(_xlpm.txt)), 1),
    _xlfn.TEXTJOIN("", TRUE, IF(ISNUMBER(--_xlpm.chars), _xlpm.chars, ""))
)</f>
        <v>#VALUE!</v>
      </c>
      <c r="N366" s="16" t="str" cm="1">
        <f t="array" ref="N366">_xlfn.IFS(
   --MacReports!M366&lt;55,"Battery Defect",
  -- MacReports!M366&lt;=69,"Battery D",
  --MacReports!M366&lt;=80,"Battery C",
 --MacReports!M366&gt;80,""
)</f>
        <v>Battery Defect</v>
      </c>
      <c r="O366" s="16" t="str">
        <f>IF(MacReports!I366="Service","Battery Service","")</f>
        <v/>
      </c>
      <c r="P366" s="13">
        <f>MacReports!P366</f>
        <v>0</v>
      </c>
      <c r="Q366" s="13" t="str">
        <f>IF(MacReports!J366="Enabled","Apple ID Lock","")</f>
        <v/>
      </c>
      <c r="R366" s="13" t="str">
        <f>IF(MacReports!L366="y","Remote Locked","")</f>
        <v/>
      </c>
      <c r="S366" t="str">
        <f t="shared" si="13"/>
        <v>Battery Defect, 0</v>
      </c>
      <c r="T366" t="str">
        <f>_xlfn.XLOOKUP(B366,Disk_Pivot!G:G,Disk_Pivot!I:I)</f>
        <v>Yes x2</v>
      </c>
      <c r="U366" t="str">
        <f>_xlfn.XLOOKUP(B366,Disk_Pivot!G:G,Disk_Pivot!N:N)</f>
        <v>Pass, Fail</v>
      </c>
      <c r="V366" t="str">
        <f>IF(U366="Fail",MacReports!N366,"")</f>
        <v/>
      </c>
      <c r="AB366" t="str">
        <f t="shared" si="14"/>
        <v/>
      </c>
    </row>
    <row r="367" spans="1:28">
      <c r="A367">
        <f>MacReports!A367</f>
        <v>0</v>
      </c>
      <c r="B367">
        <f>MacReports!B367</f>
        <v>0</v>
      </c>
      <c r="C367">
        <f>MacReports!C367</f>
        <v>0</v>
      </c>
      <c r="E367" t="e">
        <f>_xlfn.XLOOKUP(G367,Models!A:A,Models!F:F)</f>
        <v>#N/A</v>
      </c>
      <c r="F367" t="str">
        <f>_xlfn.XLOOKUP(B367,MacReports!B:B,MacReports!D:D,"")</f>
        <v/>
      </c>
      <c r="G367" s="13">
        <f>MacReports!E367</f>
        <v>0</v>
      </c>
      <c r="H367" t="e">
        <f>_xlfn.XLOOKUP(G367,Models!A:A,Models!B:B)</f>
        <v>#N/A</v>
      </c>
      <c r="I367" t="e">
        <f>_xlfn.XLOOKUP(G367,Models!A:A,Models!E:E)</f>
        <v>#N/A</v>
      </c>
      <c r="J367" t="e">
        <f>_xlfn.XLOOKUP(G367,Models!A:A,Models!D:D)</f>
        <v>#N/A</v>
      </c>
      <c r="K367">
        <f>MacReports!F367</f>
        <v>0</v>
      </c>
      <c r="L367">
        <f>MacReports!G367</f>
        <v>0</v>
      </c>
      <c r="M367" s="15" t="e" cm="1">
        <f t="array" ref="M367">--_xlfn.LET(
    _xlpm.txt, MacReports!H367,
    _xlpm.chars, MID(_xlpm.txt, _xlfn.SEQUENCE(LEN(_xlpm.txt)), 1),
    _xlfn.TEXTJOIN("", TRUE, IF(ISNUMBER(--_xlpm.chars), _xlpm.chars, ""))
)</f>
        <v>#VALUE!</v>
      </c>
      <c r="N367" s="16" t="str" cm="1">
        <f t="array" ref="N367">_xlfn.IFS(
   --MacReports!M367&lt;55,"Battery Defect",
  -- MacReports!M367&lt;=69,"Battery D",
  --MacReports!M367&lt;=80,"Battery C",
 --MacReports!M367&gt;80,""
)</f>
        <v>Battery Defect</v>
      </c>
      <c r="O367" s="16" t="str">
        <f>IF(MacReports!I367="Service","Battery Service","")</f>
        <v/>
      </c>
      <c r="P367" s="13">
        <f>MacReports!P367</f>
        <v>0</v>
      </c>
      <c r="Q367" s="13" t="str">
        <f>IF(MacReports!J367="Enabled","Apple ID Lock","")</f>
        <v/>
      </c>
      <c r="R367" s="13" t="str">
        <f>IF(MacReports!L367="y","Remote Locked","")</f>
        <v/>
      </c>
      <c r="S367" t="str">
        <f t="shared" si="13"/>
        <v>Battery Defect, 0</v>
      </c>
      <c r="T367" t="str">
        <f>_xlfn.XLOOKUP(B367,Disk_Pivot!G:G,Disk_Pivot!I:I)</f>
        <v>Yes x2</v>
      </c>
      <c r="U367" t="str">
        <f>_xlfn.XLOOKUP(B367,Disk_Pivot!G:G,Disk_Pivot!N:N)</f>
        <v>Pass, Fail</v>
      </c>
      <c r="V367" t="str">
        <f>IF(U367="Fail",MacReports!N367,"")</f>
        <v/>
      </c>
      <c r="AB367" t="str">
        <f t="shared" si="14"/>
        <v/>
      </c>
    </row>
    <row r="368" spans="1:28">
      <c r="A368">
        <f>MacReports!A368</f>
        <v>0</v>
      </c>
      <c r="B368">
        <f>MacReports!B368</f>
        <v>0</v>
      </c>
      <c r="C368">
        <f>MacReports!C368</f>
        <v>0</v>
      </c>
      <c r="E368" t="e">
        <f>_xlfn.XLOOKUP(G368,Models!A:A,Models!F:F)</f>
        <v>#N/A</v>
      </c>
      <c r="F368" t="str">
        <f>_xlfn.XLOOKUP(B368,MacReports!B:B,MacReports!D:D,"")</f>
        <v/>
      </c>
      <c r="G368" s="13">
        <f>MacReports!E368</f>
        <v>0</v>
      </c>
      <c r="H368" t="e">
        <f>_xlfn.XLOOKUP(G368,Models!A:A,Models!B:B)</f>
        <v>#N/A</v>
      </c>
      <c r="I368" t="e">
        <f>_xlfn.XLOOKUP(G368,Models!A:A,Models!E:E)</f>
        <v>#N/A</v>
      </c>
      <c r="J368" t="e">
        <f>_xlfn.XLOOKUP(G368,Models!A:A,Models!D:D)</f>
        <v>#N/A</v>
      </c>
      <c r="K368">
        <f>MacReports!F368</f>
        <v>0</v>
      </c>
      <c r="L368">
        <f>MacReports!G368</f>
        <v>0</v>
      </c>
      <c r="M368" s="15" t="e" cm="1">
        <f t="array" ref="M368">--_xlfn.LET(
    _xlpm.txt, MacReports!H368,
    _xlpm.chars, MID(_xlpm.txt, _xlfn.SEQUENCE(LEN(_xlpm.txt)), 1),
    _xlfn.TEXTJOIN("", TRUE, IF(ISNUMBER(--_xlpm.chars), _xlpm.chars, ""))
)</f>
        <v>#VALUE!</v>
      </c>
      <c r="N368" s="16" t="str" cm="1">
        <f t="array" ref="N368">_xlfn.IFS(
   --MacReports!M368&lt;55,"Battery Defect",
  -- MacReports!M368&lt;=69,"Battery D",
  --MacReports!M368&lt;=80,"Battery C",
 --MacReports!M368&gt;80,""
)</f>
        <v>Battery Defect</v>
      </c>
      <c r="O368" s="16" t="str">
        <f>IF(MacReports!I368="Service","Battery Service","")</f>
        <v/>
      </c>
      <c r="P368" s="13">
        <f>MacReports!P368</f>
        <v>0</v>
      </c>
      <c r="Q368" s="13" t="str">
        <f>IF(MacReports!J368="Enabled","Apple ID Lock","")</f>
        <v/>
      </c>
      <c r="R368" s="13" t="str">
        <f>IF(MacReports!L368="y","Remote Locked","")</f>
        <v/>
      </c>
      <c r="S368" t="str">
        <f t="shared" si="13"/>
        <v>Battery Defect, 0</v>
      </c>
      <c r="T368" t="str">
        <f>_xlfn.XLOOKUP(B368,Disk_Pivot!G:G,Disk_Pivot!I:I)</f>
        <v>Yes x2</v>
      </c>
      <c r="U368" t="str">
        <f>_xlfn.XLOOKUP(B368,Disk_Pivot!G:G,Disk_Pivot!N:N)</f>
        <v>Pass, Fail</v>
      </c>
      <c r="V368" t="str">
        <f>IF(U368="Fail",MacReports!N368,"")</f>
        <v/>
      </c>
      <c r="AB368" t="str">
        <f t="shared" si="14"/>
        <v/>
      </c>
    </row>
    <row r="369" spans="1:28">
      <c r="A369">
        <f>MacReports!A369</f>
        <v>0</v>
      </c>
      <c r="B369">
        <f>MacReports!B369</f>
        <v>0</v>
      </c>
      <c r="C369">
        <f>MacReports!C369</f>
        <v>0</v>
      </c>
      <c r="E369" t="e">
        <f>_xlfn.XLOOKUP(G369,Models!A:A,Models!F:F)</f>
        <v>#N/A</v>
      </c>
      <c r="F369" t="str">
        <f>_xlfn.XLOOKUP(B369,MacReports!B:B,MacReports!D:D,"")</f>
        <v/>
      </c>
      <c r="G369" s="13">
        <f>MacReports!E369</f>
        <v>0</v>
      </c>
      <c r="H369" t="e">
        <f>_xlfn.XLOOKUP(G369,Models!A:A,Models!B:B)</f>
        <v>#N/A</v>
      </c>
      <c r="I369" t="e">
        <f>_xlfn.XLOOKUP(G369,Models!A:A,Models!E:E)</f>
        <v>#N/A</v>
      </c>
      <c r="J369" t="e">
        <f>_xlfn.XLOOKUP(G369,Models!A:A,Models!D:D)</f>
        <v>#N/A</v>
      </c>
      <c r="K369">
        <f>MacReports!F369</f>
        <v>0</v>
      </c>
      <c r="L369">
        <f>MacReports!G369</f>
        <v>0</v>
      </c>
      <c r="M369" s="15" t="e" cm="1">
        <f t="array" ref="M369">--_xlfn.LET(
    _xlpm.txt, MacReports!H369,
    _xlpm.chars, MID(_xlpm.txt, _xlfn.SEQUENCE(LEN(_xlpm.txt)), 1),
    _xlfn.TEXTJOIN("", TRUE, IF(ISNUMBER(--_xlpm.chars), _xlpm.chars, ""))
)</f>
        <v>#VALUE!</v>
      </c>
      <c r="N369" s="16" t="str" cm="1">
        <f t="array" ref="N369">_xlfn.IFS(
   --MacReports!M369&lt;55,"Battery Defect",
  -- MacReports!M369&lt;=69,"Battery D",
  --MacReports!M369&lt;=80,"Battery C",
 --MacReports!M369&gt;80,""
)</f>
        <v>Battery Defect</v>
      </c>
      <c r="O369" s="16" t="str">
        <f>IF(MacReports!I369="Service","Battery Service","")</f>
        <v/>
      </c>
      <c r="P369" s="13">
        <f>MacReports!P369</f>
        <v>0</v>
      </c>
      <c r="Q369" s="13" t="str">
        <f>IF(MacReports!J369="Enabled","Apple ID Lock","")</f>
        <v/>
      </c>
      <c r="R369" s="13" t="str">
        <f>IF(MacReports!L369="y","Remote Locked","")</f>
        <v/>
      </c>
      <c r="S369" t="str">
        <f t="shared" si="13"/>
        <v>Battery Defect, 0</v>
      </c>
      <c r="T369" t="str">
        <f>_xlfn.XLOOKUP(B369,Disk_Pivot!G:G,Disk_Pivot!I:I)</f>
        <v>Yes x2</v>
      </c>
      <c r="U369" t="str">
        <f>_xlfn.XLOOKUP(B369,Disk_Pivot!G:G,Disk_Pivot!N:N)</f>
        <v>Pass, Fail</v>
      </c>
      <c r="V369" t="str">
        <f>IF(U369="Fail",MacReports!N369,"")</f>
        <v/>
      </c>
      <c r="AB369" t="str">
        <f t="shared" si="14"/>
        <v/>
      </c>
    </row>
    <row r="370" spans="1:28">
      <c r="A370">
        <f>MacReports!A370</f>
        <v>0</v>
      </c>
      <c r="B370">
        <f>MacReports!B370</f>
        <v>0</v>
      </c>
      <c r="C370">
        <f>MacReports!C370</f>
        <v>0</v>
      </c>
      <c r="E370" t="e">
        <f>_xlfn.XLOOKUP(G370,Models!A:A,Models!F:F)</f>
        <v>#N/A</v>
      </c>
      <c r="F370" t="str">
        <f>_xlfn.XLOOKUP(B370,MacReports!B:B,MacReports!D:D,"")</f>
        <v/>
      </c>
      <c r="G370" s="13">
        <f>MacReports!E370</f>
        <v>0</v>
      </c>
      <c r="H370" t="e">
        <f>_xlfn.XLOOKUP(G370,Models!A:A,Models!B:B)</f>
        <v>#N/A</v>
      </c>
      <c r="I370" t="e">
        <f>_xlfn.XLOOKUP(G370,Models!A:A,Models!E:E)</f>
        <v>#N/A</v>
      </c>
      <c r="J370" t="e">
        <f>_xlfn.XLOOKUP(G370,Models!A:A,Models!D:D)</f>
        <v>#N/A</v>
      </c>
      <c r="K370">
        <f>MacReports!F370</f>
        <v>0</v>
      </c>
      <c r="L370">
        <f>MacReports!G370</f>
        <v>0</v>
      </c>
      <c r="M370" s="15" t="e" cm="1">
        <f t="array" ref="M370">--_xlfn.LET(
    _xlpm.txt, MacReports!H370,
    _xlpm.chars, MID(_xlpm.txt, _xlfn.SEQUENCE(LEN(_xlpm.txt)), 1),
    _xlfn.TEXTJOIN("", TRUE, IF(ISNUMBER(--_xlpm.chars), _xlpm.chars, ""))
)</f>
        <v>#VALUE!</v>
      </c>
      <c r="N370" s="16" t="str" cm="1">
        <f t="array" ref="N370">_xlfn.IFS(
   --MacReports!M370&lt;55,"Battery Defect",
  -- MacReports!M370&lt;=69,"Battery D",
  --MacReports!M370&lt;=80,"Battery C",
 --MacReports!M370&gt;80,""
)</f>
        <v>Battery Defect</v>
      </c>
      <c r="O370" s="16" t="str">
        <f>IF(MacReports!I370="Service","Battery Service","")</f>
        <v/>
      </c>
      <c r="P370" s="13">
        <f>MacReports!P370</f>
        <v>0</v>
      </c>
      <c r="Q370" s="13" t="str">
        <f>IF(MacReports!J370="Enabled","Apple ID Lock","")</f>
        <v/>
      </c>
      <c r="R370" s="13" t="str">
        <f>IF(MacReports!L370="y","Remote Locked","")</f>
        <v/>
      </c>
      <c r="S370" t="str">
        <f t="shared" si="13"/>
        <v>Battery Defect, 0</v>
      </c>
      <c r="T370" t="str">
        <f>_xlfn.XLOOKUP(B370,Disk_Pivot!G:G,Disk_Pivot!I:I)</f>
        <v>Yes x2</v>
      </c>
      <c r="U370" t="str">
        <f>_xlfn.XLOOKUP(B370,Disk_Pivot!G:G,Disk_Pivot!N:N)</f>
        <v>Pass, Fail</v>
      </c>
      <c r="V370" t="str">
        <f>IF(U370="Fail",MacReports!N370,"")</f>
        <v/>
      </c>
      <c r="AB370" t="str">
        <f t="shared" si="14"/>
        <v/>
      </c>
    </row>
    <row r="371" spans="1:28">
      <c r="A371">
        <f>MacReports!A371</f>
        <v>0</v>
      </c>
      <c r="B371">
        <f>MacReports!B371</f>
        <v>0</v>
      </c>
      <c r="C371">
        <f>MacReports!C371</f>
        <v>0</v>
      </c>
      <c r="E371" t="e">
        <f>_xlfn.XLOOKUP(G371,Models!A:A,Models!F:F)</f>
        <v>#N/A</v>
      </c>
      <c r="F371" t="str">
        <f>_xlfn.XLOOKUP(B371,MacReports!B:B,MacReports!D:D,"")</f>
        <v/>
      </c>
      <c r="G371" s="13">
        <f>MacReports!E371</f>
        <v>0</v>
      </c>
      <c r="H371" t="e">
        <f>_xlfn.XLOOKUP(G371,Models!A:A,Models!B:B)</f>
        <v>#N/A</v>
      </c>
      <c r="I371" t="e">
        <f>_xlfn.XLOOKUP(G371,Models!A:A,Models!E:E)</f>
        <v>#N/A</v>
      </c>
      <c r="J371" t="e">
        <f>_xlfn.XLOOKUP(G371,Models!A:A,Models!D:D)</f>
        <v>#N/A</v>
      </c>
      <c r="K371">
        <f>MacReports!F371</f>
        <v>0</v>
      </c>
      <c r="L371">
        <f>MacReports!G371</f>
        <v>0</v>
      </c>
      <c r="M371" s="15" t="e" cm="1">
        <f t="array" ref="M371">--_xlfn.LET(
    _xlpm.txt, MacReports!H371,
    _xlpm.chars, MID(_xlpm.txt, _xlfn.SEQUENCE(LEN(_xlpm.txt)), 1),
    _xlfn.TEXTJOIN("", TRUE, IF(ISNUMBER(--_xlpm.chars), _xlpm.chars, ""))
)</f>
        <v>#VALUE!</v>
      </c>
      <c r="N371" s="16" t="str" cm="1">
        <f t="array" ref="N371">_xlfn.IFS(
   --MacReports!M371&lt;55,"Battery Defect",
  -- MacReports!M371&lt;=69,"Battery D",
  --MacReports!M371&lt;=80,"Battery C",
 --MacReports!M371&gt;80,""
)</f>
        <v>Battery Defect</v>
      </c>
      <c r="O371" s="16" t="str">
        <f>IF(MacReports!I371="Service","Battery Service","")</f>
        <v/>
      </c>
      <c r="P371" s="13">
        <f>MacReports!P371</f>
        <v>0</v>
      </c>
      <c r="Q371" s="13" t="str">
        <f>IF(MacReports!J371="Enabled","Apple ID Lock","")</f>
        <v/>
      </c>
      <c r="R371" s="13" t="str">
        <f>IF(MacReports!L371="y","Remote Locked","")</f>
        <v/>
      </c>
      <c r="S371" t="str">
        <f t="shared" si="13"/>
        <v>Battery Defect, 0</v>
      </c>
      <c r="T371" t="str">
        <f>_xlfn.XLOOKUP(B371,Disk_Pivot!G:G,Disk_Pivot!I:I)</f>
        <v>Yes x2</v>
      </c>
      <c r="U371" t="str">
        <f>_xlfn.XLOOKUP(B371,Disk_Pivot!G:G,Disk_Pivot!N:N)</f>
        <v>Pass, Fail</v>
      </c>
      <c r="V371" t="str">
        <f>IF(U371="Fail",MacReports!N371,"")</f>
        <v/>
      </c>
      <c r="AB371" t="str">
        <f t="shared" si="14"/>
        <v/>
      </c>
    </row>
    <row r="372" spans="1:28">
      <c r="A372">
        <f>MacReports!A372</f>
        <v>0</v>
      </c>
      <c r="B372">
        <f>MacReports!B372</f>
        <v>0</v>
      </c>
      <c r="C372">
        <f>MacReports!C372</f>
        <v>0</v>
      </c>
      <c r="E372" t="e">
        <f>_xlfn.XLOOKUP(G372,Models!A:A,Models!F:F)</f>
        <v>#N/A</v>
      </c>
      <c r="F372" t="str">
        <f>_xlfn.XLOOKUP(B372,MacReports!B:B,MacReports!D:D,"")</f>
        <v/>
      </c>
      <c r="G372" s="13">
        <f>MacReports!E372</f>
        <v>0</v>
      </c>
      <c r="H372" t="e">
        <f>_xlfn.XLOOKUP(G372,Models!A:A,Models!B:B)</f>
        <v>#N/A</v>
      </c>
      <c r="I372" t="e">
        <f>_xlfn.XLOOKUP(G372,Models!A:A,Models!E:E)</f>
        <v>#N/A</v>
      </c>
      <c r="J372" t="e">
        <f>_xlfn.XLOOKUP(G372,Models!A:A,Models!D:D)</f>
        <v>#N/A</v>
      </c>
      <c r="K372">
        <f>MacReports!F372</f>
        <v>0</v>
      </c>
      <c r="L372">
        <f>MacReports!G372</f>
        <v>0</v>
      </c>
      <c r="M372" s="15" t="e" cm="1">
        <f t="array" ref="M372">--_xlfn.LET(
    _xlpm.txt, MacReports!H372,
    _xlpm.chars, MID(_xlpm.txt, _xlfn.SEQUENCE(LEN(_xlpm.txt)), 1),
    _xlfn.TEXTJOIN("", TRUE, IF(ISNUMBER(--_xlpm.chars), _xlpm.chars, ""))
)</f>
        <v>#VALUE!</v>
      </c>
      <c r="N372" s="16" t="str" cm="1">
        <f t="array" ref="N372">_xlfn.IFS(
   --MacReports!M372&lt;55,"Battery Defect",
  -- MacReports!M372&lt;=69,"Battery D",
  --MacReports!M372&lt;=80,"Battery C",
 --MacReports!M372&gt;80,""
)</f>
        <v>Battery Defect</v>
      </c>
      <c r="O372" s="16" t="str">
        <f>IF(MacReports!I372="Service","Battery Service","")</f>
        <v/>
      </c>
      <c r="P372" s="13">
        <f>MacReports!P372</f>
        <v>0</v>
      </c>
      <c r="Q372" s="13" t="str">
        <f>IF(MacReports!J372="Enabled","Apple ID Lock","")</f>
        <v/>
      </c>
      <c r="R372" s="13" t="str">
        <f>IF(MacReports!L372="y","Remote Locked","")</f>
        <v/>
      </c>
      <c r="S372" t="str">
        <f t="shared" si="13"/>
        <v>Battery Defect, 0</v>
      </c>
      <c r="T372" t="str">
        <f>_xlfn.XLOOKUP(B372,Disk_Pivot!G:G,Disk_Pivot!I:I)</f>
        <v>Yes x2</v>
      </c>
      <c r="U372" t="str">
        <f>_xlfn.XLOOKUP(B372,Disk_Pivot!G:G,Disk_Pivot!N:N)</f>
        <v>Pass, Fail</v>
      </c>
      <c r="V372" t="str">
        <f>IF(U372="Fail",MacReports!N372,"")</f>
        <v/>
      </c>
      <c r="AB372" t="str">
        <f t="shared" si="14"/>
        <v/>
      </c>
    </row>
    <row r="373" spans="1:28">
      <c r="A373">
        <f>MacReports!A373</f>
        <v>0</v>
      </c>
      <c r="B373">
        <f>MacReports!B373</f>
        <v>0</v>
      </c>
      <c r="C373">
        <f>MacReports!C373</f>
        <v>0</v>
      </c>
      <c r="E373" t="e">
        <f>_xlfn.XLOOKUP(G373,Models!A:A,Models!F:F)</f>
        <v>#N/A</v>
      </c>
      <c r="F373" t="str">
        <f>_xlfn.XLOOKUP(B373,MacReports!B:B,MacReports!D:D,"")</f>
        <v/>
      </c>
      <c r="G373" s="13">
        <f>MacReports!E373</f>
        <v>0</v>
      </c>
      <c r="H373" t="e">
        <f>_xlfn.XLOOKUP(G373,Models!A:A,Models!B:B)</f>
        <v>#N/A</v>
      </c>
      <c r="I373" t="e">
        <f>_xlfn.XLOOKUP(G373,Models!A:A,Models!E:E)</f>
        <v>#N/A</v>
      </c>
      <c r="J373" t="e">
        <f>_xlfn.XLOOKUP(G373,Models!A:A,Models!D:D)</f>
        <v>#N/A</v>
      </c>
      <c r="K373">
        <f>MacReports!F373</f>
        <v>0</v>
      </c>
      <c r="L373">
        <f>MacReports!G373</f>
        <v>0</v>
      </c>
      <c r="M373" s="15" t="e" cm="1">
        <f t="array" ref="M373">--_xlfn.LET(
    _xlpm.txt, MacReports!H373,
    _xlpm.chars, MID(_xlpm.txt, _xlfn.SEQUENCE(LEN(_xlpm.txt)), 1),
    _xlfn.TEXTJOIN("", TRUE, IF(ISNUMBER(--_xlpm.chars), _xlpm.chars, ""))
)</f>
        <v>#VALUE!</v>
      </c>
      <c r="N373" s="16" t="str" cm="1">
        <f t="array" ref="N373">_xlfn.IFS(
   --MacReports!M373&lt;55,"Battery Defect",
  -- MacReports!M373&lt;=69,"Battery D",
  --MacReports!M373&lt;=80,"Battery C",
 --MacReports!M373&gt;80,""
)</f>
        <v>Battery Defect</v>
      </c>
      <c r="O373" s="16" t="str">
        <f>IF(MacReports!I373="Service","Battery Service","")</f>
        <v/>
      </c>
      <c r="P373" s="13">
        <f>MacReports!P373</f>
        <v>0</v>
      </c>
      <c r="Q373" s="13" t="str">
        <f>IF(MacReports!J373="Enabled","Apple ID Lock","")</f>
        <v/>
      </c>
      <c r="R373" s="13" t="str">
        <f>IF(MacReports!L373="y","Remote Locked","")</f>
        <v/>
      </c>
      <c r="S373" t="str">
        <f t="shared" si="13"/>
        <v>Battery Defect, 0</v>
      </c>
      <c r="T373" t="str">
        <f>_xlfn.XLOOKUP(B373,Disk_Pivot!G:G,Disk_Pivot!I:I)</f>
        <v>Yes x2</v>
      </c>
      <c r="U373" t="str">
        <f>_xlfn.XLOOKUP(B373,Disk_Pivot!G:G,Disk_Pivot!N:N)</f>
        <v>Pass, Fail</v>
      </c>
      <c r="V373" t="str">
        <f>IF(U373="Fail",MacReports!N373,"")</f>
        <v/>
      </c>
      <c r="AB373" t="str">
        <f t="shared" si="14"/>
        <v/>
      </c>
    </row>
    <row r="374" spans="1:28">
      <c r="A374">
        <f>MacReports!A374</f>
        <v>0</v>
      </c>
      <c r="B374">
        <f>MacReports!B374</f>
        <v>0</v>
      </c>
      <c r="C374">
        <f>MacReports!C374</f>
        <v>0</v>
      </c>
      <c r="E374" t="e">
        <f>_xlfn.XLOOKUP(G374,Models!A:A,Models!F:F)</f>
        <v>#N/A</v>
      </c>
      <c r="F374" t="str">
        <f>_xlfn.XLOOKUP(B374,MacReports!B:B,MacReports!D:D,"")</f>
        <v/>
      </c>
      <c r="G374" s="13">
        <f>MacReports!E374</f>
        <v>0</v>
      </c>
      <c r="H374" t="e">
        <f>_xlfn.XLOOKUP(G374,Models!A:A,Models!B:B)</f>
        <v>#N/A</v>
      </c>
      <c r="I374" t="e">
        <f>_xlfn.XLOOKUP(G374,Models!A:A,Models!E:E)</f>
        <v>#N/A</v>
      </c>
      <c r="J374" t="e">
        <f>_xlfn.XLOOKUP(G374,Models!A:A,Models!D:D)</f>
        <v>#N/A</v>
      </c>
      <c r="K374">
        <f>MacReports!F374</f>
        <v>0</v>
      </c>
      <c r="L374">
        <f>MacReports!G374</f>
        <v>0</v>
      </c>
      <c r="M374" s="15" t="e" cm="1">
        <f t="array" ref="M374">--_xlfn.LET(
    _xlpm.txt, MacReports!H374,
    _xlpm.chars, MID(_xlpm.txt, _xlfn.SEQUENCE(LEN(_xlpm.txt)), 1),
    _xlfn.TEXTJOIN("", TRUE, IF(ISNUMBER(--_xlpm.chars), _xlpm.chars, ""))
)</f>
        <v>#VALUE!</v>
      </c>
      <c r="N374" s="16" t="str" cm="1">
        <f t="array" ref="N374">_xlfn.IFS(
   --MacReports!M374&lt;55,"Battery Defect",
  -- MacReports!M374&lt;=69,"Battery D",
  --MacReports!M374&lt;=80,"Battery C",
 --MacReports!M374&gt;80,""
)</f>
        <v>Battery Defect</v>
      </c>
      <c r="O374" s="16" t="str">
        <f>IF(MacReports!I374="Service","Battery Service","")</f>
        <v/>
      </c>
      <c r="P374" s="13">
        <f>MacReports!P374</f>
        <v>0</v>
      </c>
      <c r="Q374" s="13" t="str">
        <f>IF(MacReports!J374="Enabled","Apple ID Lock","")</f>
        <v/>
      </c>
      <c r="R374" s="13" t="str">
        <f>IF(MacReports!L374="y","Remote Locked","")</f>
        <v/>
      </c>
      <c r="S374" t="str">
        <f t="shared" si="13"/>
        <v>Battery Defect, 0</v>
      </c>
      <c r="T374" t="str">
        <f>_xlfn.XLOOKUP(B374,Disk_Pivot!G:G,Disk_Pivot!I:I)</f>
        <v>Yes x2</v>
      </c>
      <c r="U374" t="str">
        <f>_xlfn.XLOOKUP(B374,Disk_Pivot!G:G,Disk_Pivot!N:N)</f>
        <v>Pass, Fail</v>
      </c>
      <c r="V374" t="str">
        <f>IF(U374="Fail",MacReports!N374,"")</f>
        <v/>
      </c>
      <c r="AB374" t="str">
        <f t="shared" si="14"/>
        <v/>
      </c>
    </row>
    <row r="375" spans="1:28">
      <c r="A375">
        <f>MacReports!A375</f>
        <v>0</v>
      </c>
      <c r="B375">
        <f>MacReports!B375</f>
        <v>0</v>
      </c>
      <c r="C375">
        <f>MacReports!C375</f>
        <v>0</v>
      </c>
      <c r="E375" t="e">
        <f>_xlfn.XLOOKUP(G375,Models!A:A,Models!F:F)</f>
        <v>#N/A</v>
      </c>
      <c r="F375" t="str">
        <f>_xlfn.XLOOKUP(B375,MacReports!B:B,MacReports!D:D,"")</f>
        <v/>
      </c>
      <c r="G375" s="13">
        <f>MacReports!E375</f>
        <v>0</v>
      </c>
      <c r="H375" t="e">
        <f>_xlfn.XLOOKUP(G375,Models!A:A,Models!B:B)</f>
        <v>#N/A</v>
      </c>
      <c r="I375" t="e">
        <f>_xlfn.XLOOKUP(G375,Models!A:A,Models!E:E)</f>
        <v>#N/A</v>
      </c>
      <c r="J375" t="e">
        <f>_xlfn.XLOOKUP(G375,Models!A:A,Models!D:D)</f>
        <v>#N/A</v>
      </c>
      <c r="K375">
        <f>MacReports!F375</f>
        <v>0</v>
      </c>
      <c r="L375">
        <f>MacReports!G375</f>
        <v>0</v>
      </c>
      <c r="M375" s="15" t="e" cm="1">
        <f t="array" ref="M375">--_xlfn.LET(
    _xlpm.txt, MacReports!H375,
    _xlpm.chars, MID(_xlpm.txt, _xlfn.SEQUENCE(LEN(_xlpm.txt)), 1),
    _xlfn.TEXTJOIN("", TRUE, IF(ISNUMBER(--_xlpm.chars), _xlpm.chars, ""))
)</f>
        <v>#VALUE!</v>
      </c>
      <c r="N375" s="16" t="str" cm="1">
        <f t="array" ref="N375">_xlfn.IFS(
   --MacReports!M375&lt;55,"Battery Defect",
  -- MacReports!M375&lt;=69,"Battery D",
  --MacReports!M375&lt;=80,"Battery C",
 --MacReports!M375&gt;80,""
)</f>
        <v>Battery Defect</v>
      </c>
      <c r="O375" s="16" t="str">
        <f>IF(MacReports!I375="Service","Battery Service","")</f>
        <v/>
      </c>
      <c r="P375" s="13">
        <f>MacReports!P375</f>
        <v>0</v>
      </c>
      <c r="Q375" s="13" t="str">
        <f>IF(MacReports!J375="Enabled","Apple ID Lock","")</f>
        <v/>
      </c>
      <c r="R375" s="13" t="str">
        <f>IF(MacReports!L375="y","Remote Locked","")</f>
        <v/>
      </c>
      <c r="S375" t="str">
        <f t="shared" si="13"/>
        <v>Battery Defect, 0</v>
      </c>
      <c r="T375" t="str">
        <f>_xlfn.XLOOKUP(B375,Disk_Pivot!G:G,Disk_Pivot!I:I)</f>
        <v>Yes x2</v>
      </c>
      <c r="U375" t="str">
        <f>_xlfn.XLOOKUP(B375,Disk_Pivot!G:G,Disk_Pivot!N:N)</f>
        <v>Pass, Fail</v>
      </c>
      <c r="V375" t="str">
        <f>IF(U375="Fail",MacReports!N375,"")</f>
        <v/>
      </c>
      <c r="AB375" t="str">
        <f t="shared" si="14"/>
        <v/>
      </c>
    </row>
    <row r="376" spans="1:28">
      <c r="A376">
        <f>MacReports!A376</f>
        <v>0</v>
      </c>
      <c r="B376">
        <f>MacReports!B376</f>
        <v>0</v>
      </c>
      <c r="C376">
        <f>MacReports!C376</f>
        <v>0</v>
      </c>
      <c r="E376" t="e">
        <f>_xlfn.XLOOKUP(G376,Models!A:A,Models!F:F)</f>
        <v>#N/A</v>
      </c>
      <c r="F376" t="str">
        <f>_xlfn.XLOOKUP(B376,MacReports!B:B,MacReports!D:D,"")</f>
        <v/>
      </c>
      <c r="G376" s="13">
        <f>MacReports!E376</f>
        <v>0</v>
      </c>
      <c r="H376" t="e">
        <f>_xlfn.XLOOKUP(G376,Models!A:A,Models!B:B)</f>
        <v>#N/A</v>
      </c>
      <c r="I376" t="e">
        <f>_xlfn.XLOOKUP(G376,Models!A:A,Models!E:E)</f>
        <v>#N/A</v>
      </c>
      <c r="J376" t="e">
        <f>_xlfn.XLOOKUP(G376,Models!A:A,Models!D:D)</f>
        <v>#N/A</v>
      </c>
      <c r="K376">
        <f>MacReports!F376</f>
        <v>0</v>
      </c>
      <c r="L376">
        <f>MacReports!G376</f>
        <v>0</v>
      </c>
      <c r="M376" s="15" t="e" cm="1">
        <f t="array" ref="M376">--_xlfn.LET(
    _xlpm.txt, MacReports!H376,
    _xlpm.chars, MID(_xlpm.txt, _xlfn.SEQUENCE(LEN(_xlpm.txt)), 1),
    _xlfn.TEXTJOIN("", TRUE, IF(ISNUMBER(--_xlpm.chars), _xlpm.chars, ""))
)</f>
        <v>#VALUE!</v>
      </c>
      <c r="N376" s="16" t="str" cm="1">
        <f t="array" ref="N376">_xlfn.IFS(
   --MacReports!M376&lt;55,"Battery Defect",
  -- MacReports!M376&lt;=69,"Battery D",
  --MacReports!M376&lt;=80,"Battery C",
 --MacReports!M376&gt;80,""
)</f>
        <v>Battery Defect</v>
      </c>
      <c r="O376" s="16" t="str">
        <f>IF(MacReports!I376="Service","Battery Service","")</f>
        <v/>
      </c>
      <c r="P376" s="13">
        <f>MacReports!P376</f>
        <v>0</v>
      </c>
      <c r="Q376" s="13" t="str">
        <f>IF(MacReports!J376="Enabled","Apple ID Lock","")</f>
        <v/>
      </c>
      <c r="R376" s="13" t="str">
        <f>IF(MacReports!L376="y","Remote Locked","")</f>
        <v/>
      </c>
      <c r="S376" t="str">
        <f t="shared" si="13"/>
        <v>Battery Defect, 0</v>
      </c>
      <c r="T376" t="str">
        <f>_xlfn.XLOOKUP(B376,Disk_Pivot!G:G,Disk_Pivot!I:I)</f>
        <v>Yes x2</v>
      </c>
      <c r="U376" t="str">
        <f>_xlfn.XLOOKUP(B376,Disk_Pivot!G:G,Disk_Pivot!N:N)</f>
        <v>Pass, Fail</v>
      </c>
      <c r="V376" t="str">
        <f>IF(U376="Fail",MacReports!N376,"")</f>
        <v/>
      </c>
      <c r="AB376" t="str">
        <f t="shared" si="14"/>
        <v/>
      </c>
    </row>
    <row r="377" spans="1:28">
      <c r="A377">
        <f>MacReports!A377</f>
        <v>0</v>
      </c>
      <c r="B377">
        <f>MacReports!B377</f>
        <v>0</v>
      </c>
      <c r="C377">
        <f>MacReports!C377</f>
        <v>0</v>
      </c>
      <c r="E377" t="e">
        <f>_xlfn.XLOOKUP(G377,Models!A:A,Models!F:F)</f>
        <v>#N/A</v>
      </c>
      <c r="F377" t="str">
        <f>_xlfn.XLOOKUP(B377,MacReports!B:B,MacReports!D:D,"")</f>
        <v/>
      </c>
      <c r="G377" s="13">
        <f>MacReports!E377</f>
        <v>0</v>
      </c>
      <c r="H377" t="e">
        <f>_xlfn.XLOOKUP(G377,Models!A:A,Models!B:B)</f>
        <v>#N/A</v>
      </c>
      <c r="I377" t="e">
        <f>_xlfn.XLOOKUP(G377,Models!A:A,Models!E:E)</f>
        <v>#N/A</v>
      </c>
      <c r="J377" t="e">
        <f>_xlfn.XLOOKUP(G377,Models!A:A,Models!D:D)</f>
        <v>#N/A</v>
      </c>
      <c r="K377">
        <f>MacReports!F377</f>
        <v>0</v>
      </c>
      <c r="L377">
        <f>MacReports!G377</f>
        <v>0</v>
      </c>
      <c r="M377" s="15" t="e" cm="1">
        <f t="array" ref="M377">--_xlfn.LET(
    _xlpm.txt, MacReports!H377,
    _xlpm.chars, MID(_xlpm.txt, _xlfn.SEQUENCE(LEN(_xlpm.txt)), 1),
    _xlfn.TEXTJOIN("", TRUE, IF(ISNUMBER(--_xlpm.chars), _xlpm.chars, ""))
)</f>
        <v>#VALUE!</v>
      </c>
      <c r="N377" s="16" t="str" cm="1">
        <f t="array" ref="N377">_xlfn.IFS(
   --MacReports!M377&lt;55,"Battery Defect",
  -- MacReports!M377&lt;=69,"Battery D",
  --MacReports!M377&lt;=80,"Battery C",
 --MacReports!M377&gt;80,""
)</f>
        <v>Battery Defect</v>
      </c>
      <c r="O377" s="16" t="str">
        <f>IF(MacReports!I377="Service","Battery Service","")</f>
        <v/>
      </c>
      <c r="P377" s="13">
        <f>MacReports!P377</f>
        <v>0</v>
      </c>
      <c r="Q377" s="13" t="str">
        <f>IF(MacReports!J377="Enabled","Apple ID Lock","")</f>
        <v/>
      </c>
      <c r="R377" s="13" t="str">
        <f>IF(MacReports!L377="y","Remote Locked","")</f>
        <v/>
      </c>
      <c r="S377" t="str">
        <f t="shared" si="13"/>
        <v>Battery Defect, 0</v>
      </c>
      <c r="T377" t="str">
        <f>_xlfn.XLOOKUP(B377,Disk_Pivot!G:G,Disk_Pivot!I:I)</f>
        <v>Yes x2</v>
      </c>
      <c r="U377" t="str">
        <f>_xlfn.XLOOKUP(B377,Disk_Pivot!G:G,Disk_Pivot!N:N)</f>
        <v>Pass, Fail</v>
      </c>
      <c r="V377" t="str">
        <f>IF(U377="Fail",MacReports!N377,"")</f>
        <v/>
      </c>
      <c r="AB377" t="str">
        <f t="shared" si="14"/>
        <v/>
      </c>
    </row>
    <row r="378" spans="1:28">
      <c r="A378">
        <f>MacReports!A378</f>
        <v>0</v>
      </c>
      <c r="B378">
        <f>MacReports!B378</f>
        <v>0</v>
      </c>
      <c r="C378">
        <f>MacReports!C378</f>
        <v>0</v>
      </c>
      <c r="E378" t="e">
        <f>_xlfn.XLOOKUP(G378,Models!A:A,Models!F:F)</f>
        <v>#N/A</v>
      </c>
      <c r="F378" t="str">
        <f>_xlfn.XLOOKUP(B378,MacReports!B:B,MacReports!D:D,"")</f>
        <v/>
      </c>
      <c r="G378" s="13">
        <f>MacReports!E378</f>
        <v>0</v>
      </c>
      <c r="H378" t="e">
        <f>_xlfn.XLOOKUP(G378,Models!A:A,Models!B:B)</f>
        <v>#N/A</v>
      </c>
      <c r="I378" t="e">
        <f>_xlfn.XLOOKUP(G378,Models!A:A,Models!E:E)</f>
        <v>#N/A</v>
      </c>
      <c r="J378" t="e">
        <f>_xlfn.XLOOKUP(G378,Models!A:A,Models!D:D)</f>
        <v>#N/A</v>
      </c>
      <c r="K378">
        <f>MacReports!F378</f>
        <v>0</v>
      </c>
      <c r="L378">
        <f>MacReports!G378</f>
        <v>0</v>
      </c>
      <c r="M378" s="15" t="e" cm="1">
        <f t="array" ref="M378">--_xlfn.LET(
    _xlpm.txt, MacReports!H378,
    _xlpm.chars, MID(_xlpm.txt, _xlfn.SEQUENCE(LEN(_xlpm.txt)), 1),
    _xlfn.TEXTJOIN("", TRUE, IF(ISNUMBER(--_xlpm.chars), _xlpm.chars, ""))
)</f>
        <v>#VALUE!</v>
      </c>
      <c r="N378" s="16" t="str" cm="1">
        <f t="array" ref="N378">_xlfn.IFS(
   --MacReports!M378&lt;55,"Battery Defect",
  -- MacReports!M378&lt;=69,"Battery D",
  --MacReports!M378&lt;=80,"Battery C",
 --MacReports!M378&gt;80,""
)</f>
        <v>Battery Defect</v>
      </c>
      <c r="O378" s="16" t="str">
        <f>IF(MacReports!I378="Service","Battery Service","")</f>
        <v/>
      </c>
      <c r="P378" s="13">
        <f>MacReports!P378</f>
        <v>0</v>
      </c>
      <c r="Q378" s="13" t="str">
        <f>IF(MacReports!J378="Enabled","Apple ID Lock","")</f>
        <v/>
      </c>
      <c r="R378" s="13" t="str">
        <f>IF(MacReports!L378="y","Remote Locked","")</f>
        <v/>
      </c>
      <c r="S378" t="str">
        <f t="shared" si="13"/>
        <v>Battery Defect, 0</v>
      </c>
      <c r="T378" t="str">
        <f>_xlfn.XLOOKUP(B378,Disk_Pivot!G:G,Disk_Pivot!I:I)</f>
        <v>Yes x2</v>
      </c>
      <c r="U378" t="str">
        <f>_xlfn.XLOOKUP(B378,Disk_Pivot!G:G,Disk_Pivot!N:N)</f>
        <v>Pass, Fail</v>
      </c>
      <c r="V378" t="str">
        <f>IF(U378="Fail",MacReports!N378,"")</f>
        <v/>
      </c>
      <c r="AB378" t="str">
        <f t="shared" si="14"/>
        <v/>
      </c>
    </row>
    <row r="379" spans="1:28">
      <c r="A379">
        <f>MacReports!A379</f>
        <v>0</v>
      </c>
      <c r="B379">
        <f>MacReports!B379</f>
        <v>0</v>
      </c>
      <c r="C379">
        <f>MacReports!C379</f>
        <v>0</v>
      </c>
      <c r="E379" t="e">
        <f>_xlfn.XLOOKUP(G379,Models!A:A,Models!F:F)</f>
        <v>#N/A</v>
      </c>
      <c r="F379" t="str">
        <f>_xlfn.XLOOKUP(B379,MacReports!B:B,MacReports!D:D,"")</f>
        <v/>
      </c>
      <c r="G379" s="13">
        <f>MacReports!E379</f>
        <v>0</v>
      </c>
      <c r="H379" t="e">
        <f>_xlfn.XLOOKUP(G379,Models!A:A,Models!B:B)</f>
        <v>#N/A</v>
      </c>
      <c r="I379" t="e">
        <f>_xlfn.XLOOKUP(G379,Models!A:A,Models!E:E)</f>
        <v>#N/A</v>
      </c>
      <c r="J379" t="e">
        <f>_xlfn.XLOOKUP(G379,Models!A:A,Models!D:D)</f>
        <v>#N/A</v>
      </c>
      <c r="K379">
        <f>MacReports!F379</f>
        <v>0</v>
      </c>
      <c r="L379">
        <f>MacReports!G379</f>
        <v>0</v>
      </c>
      <c r="M379" s="15" t="e" cm="1">
        <f t="array" ref="M379">--_xlfn.LET(
    _xlpm.txt, MacReports!H379,
    _xlpm.chars, MID(_xlpm.txt, _xlfn.SEQUENCE(LEN(_xlpm.txt)), 1),
    _xlfn.TEXTJOIN("", TRUE, IF(ISNUMBER(--_xlpm.chars), _xlpm.chars, ""))
)</f>
        <v>#VALUE!</v>
      </c>
      <c r="N379" s="16" t="str" cm="1">
        <f t="array" ref="N379">_xlfn.IFS(
   --MacReports!M379&lt;55,"Battery Defect",
  -- MacReports!M379&lt;=69,"Battery D",
  --MacReports!M379&lt;=80,"Battery C",
 --MacReports!M379&gt;80,""
)</f>
        <v>Battery Defect</v>
      </c>
      <c r="O379" s="16" t="str">
        <f>IF(MacReports!I379="Service","Battery Service","")</f>
        <v/>
      </c>
      <c r="P379" s="13">
        <f>MacReports!P379</f>
        <v>0</v>
      </c>
      <c r="Q379" s="13" t="str">
        <f>IF(MacReports!J379="Enabled","Apple ID Lock","")</f>
        <v/>
      </c>
      <c r="R379" s="13" t="str">
        <f>IF(MacReports!L379="y","Remote Locked","")</f>
        <v/>
      </c>
      <c r="S379" t="str">
        <f t="shared" si="13"/>
        <v>Battery Defect, 0</v>
      </c>
      <c r="T379" t="str">
        <f>_xlfn.XLOOKUP(B379,Disk_Pivot!G:G,Disk_Pivot!I:I)</f>
        <v>Yes x2</v>
      </c>
      <c r="U379" t="str">
        <f>_xlfn.XLOOKUP(B379,Disk_Pivot!G:G,Disk_Pivot!N:N)</f>
        <v>Pass, Fail</v>
      </c>
      <c r="V379" t="str">
        <f>IF(U379="Fail",MacReports!N379,"")</f>
        <v/>
      </c>
      <c r="AB379" t="str">
        <f t="shared" si="14"/>
        <v/>
      </c>
    </row>
    <row r="380" spans="1:28">
      <c r="A380">
        <f>MacReports!A380</f>
        <v>0</v>
      </c>
      <c r="B380">
        <f>MacReports!B380</f>
        <v>0</v>
      </c>
      <c r="C380">
        <f>MacReports!C380</f>
        <v>0</v>
      </c>
      <c r="E380" t="e">
        <f>_xlfn.XLOOKUP(G380,Models!A:A,Models!F:F)</f>
        <v>#N/A</v>
      </c>
      <c r="F380" t="str">
        <f>_xlfn.XLOOKUP(B380,MacReports!B:B,MacReports!D:D,"")</f>
        <v/>
      </c>
      <c r="G380" s="13">
        <f>MacReports!E380</f>
        <v>0</v>
      </c>
      <c r="H380" t="e">
        <f>_xlfn.XLOOKUP(G380,Models!A:A,Models!B:B)</f>
        <v>#N/A</v>
      </c>
      <c r="I380" t="e">
        <f>_xlfn.XLOOKUP(G380,Models!A:A,Models!E:E)</f>
        <v>#N/A</v>
      </c>
      <c r="J380" t="e">
        <f>_xlfn.XLOOKUP(G380,Models!A:A,Models!D:D)</f>
        <v>#N/A</v>
      </c>
      <c r="K380">
        <f>MacReports!F380</f>
        <v>0</v>
      </c>
      <c r="L380">
        <f>MacReports!G380</f>
        <v>0</v>
      </c>
      <c r="M380" s="15" t="e" cm="1">
        <f t="array" ref="M380">--_xlfn.LET(
    _xlpm.txt, MacReports!H380,
    _xlpm.chars, MID(_xlpm.txt, _xlfn.SEQUENCE(LEN(_xlpm.txt)), 1),
    _xlfn.TEXTJOIN("", TRUE, IF(ISNUMBER(--_xlpm.chars), _xlpm.chars, ""))
)</f>
        <v>#VALUE!</v>
      </c>
      <c r="N380" s="16" t="str" cm="1">
        <f t="array" ref="N380">_xlfn.IFS(
   --MacReports!M380&lt;55,"Battery Defect",
  -- MacReports!M380&lt;=69,"Battery D",
  --MacReports!M380&lt;=80,"Battery C",
 --MacReports!M380&gt;80,""
)</f>
        <v>Battery Defect</v>
      </c>
      <c r="O380" s="16" t="str">
        <f>IF(MacReports!I380="Service","Battery Service","")</f>
        <v/>
      </c>
      <c r="P380" s="13">
        <f>MacReports!P380</f>
        <v>0</v>
      </c>
      <c r="Q380" s="13" t="str">
        <f>IF(MacReports!J380="Enabled","Apple ID Lock","")</f>
        <v/>
      </c>
      <c r="R380" s="13" t="str">
        <f>IF(MacReports!L380="y","Remote Locked","")</f>
        <v/>
      </c>
      <c r="S380" t="str">
        <f t="shared" si="13"/>
        <v>Battery Defect, 0</v>
      </c>
      <c r="T380" t="str">
        <f>_xlfn.XLOOKUP(B380,Disk_Pivot!G:G,Disk_Pivot!I:I)</f>
        <v>Yes x2</v>
      </c>
      <c r="U380" t="str">
        <f>_xlfn.XLOOKUP(B380,Disk_Pivot!G:G,Disk_Pivot!N:N)</f>
        <v>Pass, Fail</v>
      </c>
      <c r="V380" t="str">
        <f>IF(U380="Fail",MacReports!N380,"")</f>
        <v/>
      </c>
      <c r="AB380" t="str">
        <f t="shared" si="14"/>
        <v/>
      </c>
    </row>
    <row r="381" spans="1:28">
      <c r="A381">
        <f>MacReports!A381</f>
        <v>0</v>
      </c>
      <c r="B381">
        <f>MacReports!B381</f>
        <v>0</v>
      </c>
      <c r="C381">
        <f>MacReports!C381</f>
        <v>0</v>
      </c>
      <c r="E381" t="e">
        <f>_xlfn.XLOOKUP(G381,Models!A:A,Models!F:F)</f>
        <v>#N/A</v>
      </c>
      <c r="F381" t="str">
        <f>_xlfn.XLOOKUP(B381,MacReports!B:B,MacReports!D:D,"")</f>
        <v/>
      </c>
      <c r="G381" s="13">
        <f>MacReports!E381</f>
        <v>0</v>
      </c>
      <c r="H381" t="e">
        <f>_xlfn.XLOOKUP(G381,Models!A:A,Models!B:B)</f>
        <v>#N/A</v>
      </c>
      <c r="I381" t="e">
        <f>_xlfn.XLOOKUP(G381,Models!A:A,Models!E:E)</f>
        <v>#N/A</v>
      </c>
      <c r="J381" t="e">
        <f>_xlfn.XLOOKUP(G381,Models!A:A,Models!D:D)</f>
        <v>#N/A</v>
      </c>
      <c r="K381">
        <f>MacReports!F381</f>
        <v>0</v>
      </c>
      <c r="L381">
        <f>MacReports!G381</f>
        <v>0</v>
      </c>
      <c r="M381" s="15" t="e" cm="1">
        <f t="array" ref="M381">--_xlfn.LET(
    _xlpm.txt, MacReports!H381,
    _xlpm.chars, MID(_xlpm.txt, _xlfn.SEQUENCE(LEN(_xlpm.txt)), 1),
    _xlfn.TEXTJOIN("", TRUE, IF(ISNUMBER(--_xlpm.chars), _xlpm.chars, ""))
)</f>
        <v>#VALUE!</v>
      </c>
      <c r="N381" s="16" t="str" cm="1">
        <f t="array" ref="N381">_xlfn.IFS(
   --MacReports!M381&lt;55,"Battery Defect",
  -- MacReports!M381&lt;=69,"Battery D",
  --MacReports!M381&lt;=80,"Battery C",
 --MacReports!M381&gt;80,""
)</f>
        <v>Battery Defect</v>
      </c>
      <c r="O381" s="16" t="str">
        <f>IF(MacReports!I381="Service","Battery Service","")</f>
        <v/>
      </c>
      <c r="P381" s="13">
        <f>MacReports!P381</f>
        <v>0</v>
      </c>
      <c r="Q381" s="13" t="str">
        <f>IF(MacReports!J381="Enabled","Apple ID Lock","")</f>
        <v/>
      </c>
      <c r="R381" s="13" t="str">
        <f>IF(MacReports!L381="y","Remote Locked","")</f>
        <v/>
      </c>
      <c r="S381" t="str">
        <f t="shared" si="13"/>
        <v>Battery Defect, 0</v>
      </c>
      <c r="T381" t="str">
        <f>_xlfn.XLOOKUP(B381,Disk_Pivot!G:G,Disk_Pivot!I:I)</f>
        <v>Yes x2</v>
      </c>
      <c r="U381" t="str">
        <f>_xlfn.XLOOKUP(B381,Disk_Pivot!G:G,Disk_Pivot!N:N)</f>
        <v>Pass, Fail</v>
      </c>
      <c r="V381" t="str">
        <f>IF(U381="Fail",MacReports!N381,"")</f>
        <v/>
      </c>
      <c r="AB381" t="str">
        <f t="shared" si="14"/>
        <v/>
      </c>
    </row>
    <row r="382" spans="1:28">
      <c r="A382">
        <f>MacReports!A382</f>
        <v>0</v>
      </c>
      <c r="B382">
        <f>MacReports!B382</f>
        <v>0</v>
      </c>
      <c r="C382">
        <f>MacReports!C382</f>
        <v>0</v>
      </c>
      <c r="E382" t="e">
        <f>_xlfn.XLOOKUP(G382,Models!A:A,Models!F:F)</f>
        <v>#N/A</v>
      </c>
      <c r="F382" t="str">
        <f>_xlfn.XLOOKUP(B382,MacReports!B:B,MacReports!D:D,"")</f>
        <v/>
      </c>
      <c r="G382" s="13">
        <f>MacReports!E382</f>
        <v>0</v>
      </c>
      <c r="H382" t="e">
        <f>_xlfn.XLOOKUP(G382,Models!A:A,Models!B:B)</f>
        <v>#N/A</v>
      </c>
      <c r="I382" t="e">
        <f>_xlfn.XLOOKUP(G382,Models!A:A,Models!E:E)</f>
        <v>#N/A</v>
      </c>
      <c r="J382" t="e">
        <f>_xlfn.XLOOKUP(G382,Models!A:A,Models!D:D)</f>
        <v>#N/A</v>
      </c>
      <c r="K382">
        <f>MacReports!F382</f>
        <v>0</v>
      </c>
      <c r="L382">
        <f>MacReports!G382</f>
        <v>0</v>
      </c>
      <c r="M382" s="15" t="e" cm="1">
        <f t="array" ref="M382">--_xlfn.LET(
    _xlpm.txt, MacReports!H382,
    _xlpm.chars, MID(_xlpm.txt, _xlfn.SEQUENCE(LEN(_xlpm.txt)), 1),
    _xlfn.TEXTJOIN("", TRUE, IF(ISNUMBER(--_xlpm.chars), _xlpm.chars, ""))
)</f>
        <v>#VALUE!</v>
      </c>
      <c r="N382" s="16" t="str" cm="1">
        <f t="array" ref="N382">_xlfn.IFS(
   --MacReports!M382&lt;55,"Battery Defect",
  -- MacReports!M382&lt;=69,"Battery D",
  --MacReports!M382&lt;=80,"Battery C",
 --MacReports!M382&gt;80,""
)</f>
        <v>Battery Defect</v>
      </c>
      <c r="O382" s="16" t="str">
        <f>IF(MacReports!I382="Service","Battery Service","")</f>
        <v/>
      </c>
      <c r="P382" s="13">
        <f>MacReports!P382</f>
        <v>0</v>
      </c>
      <c r="Q382" s="13" t="str">
        <f>IF(MacReports!J382="Enabled","Apple ID Lock","")</f>
        <v/>
      </c>
      <c r="R382" s="13" t="str">
        <f>IF(MacReports!L382="y","Remote Locked","")</f>
        <v/>
      </c>
      <c r="S382" t="str">
        <f t="shared" si="13"/>
        <v>Battery Defect, 0</v>
      </c>
      <c r="T382" t="str">
        <f>_xlfn.XLOOKUP(B382,Disk_Pivot!G:G,Disk_Pivot!I:I)</f>
        <v>Yes x2</v>
      </c>
      <c r="U382" t="str">
        <f>_xlfn.XLOOKUP(B382,Disk_Pivot!G:G,Disk_Pivot!N:N)</f>
        <v>Pass, Fail</v>
      </c>
      <c r="V382" t="str">
        <f>IF(U382="Fail",MacReports!N382,"")</f>
        <v/>
      </c>
      <c r="AB382" t="str">
        <f t="shared" si="14"/>
        <v/>
      </c>
    </row>
    <row r="383" spans="1:28">
      <c r="A383">
        <f>MacReports!A383</f>
        <v>0</v>
      </c>
      <c r="B383">
        <f>MacReports!B383</f>
        <v>0</v>
      </c>
      <c r="C383">
        <f>MacReports!C383</f>
        <v>0</v>
      </c>
      <c r="E383" t="e">
        <f>_xlfn.XLOOKUP(G383,Models!A:A,Models!F:F)</f>
        <v>#N/A</v>
      </c>
      <c r="F383" t="str">
        <f>_xlfn.XLOOKUP(B383,MacReports!B:B,MacReports!D:D,"")</f>
        <v/>
      </c>
      <c r="G383" s="13">
        <f>MacReports!E383</f>
        <v>0</v>
      </c>
      <c r="H383" t="e">
        <f>_xlfn.XLOOKUP(G383,Models!A:A,Models!B:B)</f>
        <v>#N/A</v>
      </c>
      <c r="I383" t="e">
        <f>_xlfn.XLOOKUP(G383,Models!A:A,Models!E:E)</f>
        <v>#N/A</v>
      </c>
      <c r="J383" t="e">
        <f>_xlfn.XLOOKUP(G383,Models!A:A,Models!D:D)</f>
        <v>#N/A</v>
      </c>
      <c r="K383">
        <f>MacReports!F383</f>
        <v>0</v>
      </c>
      <c r="L383">
        <f>MacReports!G383</f>
        <v>0</v>
      </c>
      <c r="M383" s="15" t="e" cm="1">
        <f t="array" ref="M383">--_xlfn.LET(
    _xlpm.txt, MacReports!H383,
    _xlpm.chars, MID(_xlpm.txt, _xlfn.SEQUENCE(LEN(_xlpm.txt)), 1),
    _xlfn.TEXTJOIN("", TRUE, IF(ISNUMBER(--_xlpm.chars), _xlpm.chars, ""))
)</f>
        <v>#VALUE!</v>
      </c>
      <c r="N383" s="16" t="str" cm="1">
        <f t="array" ref="N383">_xlfn.IFS(
   --MacReports!M383&lt;55,"Battery Defect",
  -- MacReports!M383&lt;=69,"Battery D",
  --MacReports!M383&lt;=80,"Battery C",
 --MacReports!M383&gt;80,""
)</f>
        <v>Battery Defect</v>
      </c>
      <c r="O383" s="16" t="str">
        <f>IF(MacReports!I383="Service","Battery Service","")</f>
        <v/>
      </c>
      <c r="P383" s="13">
        <f>MacReports!P383</f>
        <v>0</v>
      </c>
      <c r="Q383" s="13" t="str">
        <f>IF(MacReports!J383="Enabled","Apple ID Lock","")</f>
        <v/>
      </c>
      <c r="R383" s="13" t="str">
        <f>IF(MacReports!L383="y","Remote Locked","")</f>
        <v/>
      </c>
      <c r="S383" t="str">
        <f t="shared" si="13"/>
        <v>Battery Defect, 0</v>
      </c>
      <c r="T383" t="str">
        <f>_xlfn.XLOOKUP(B383,Disk_Pivot!G:G,Disk_Pivot!I:I)</f>
        <v>Yes x2</v>
      </c>
      <c r="U383" t="str">
        <f>_xlfn.XLOOKUP(B383,Disk_Pivot!G:G,Disk_Pivot!N:N)</f>
        <v>Pass, Fail</v>
      </c>
      <c r="V383" t="str">
        <f>IF(U383="Fail",MacReports!N383,"")</f>
        <v/>
      </c>
      <c r="AB383" t="str">
        <f t="shared" si="14"/>
        <v/>
      </c>
    </row>
    <row r="384" spans="1:28">
      <c r="A384">
        <f>MacReports!A384</f>
        <v>0</v>
      </c>
      <c r="B384">
        <f>MacReports!B384</f>
        <v>0</v>
      </c>
      <c r="C384">
        <f>MacReports!C384</f>
        <v>0</v>
      </c>
      <c r="E384" t="e">
        <f>_xlfn.XLOOKUP(G384,Models!A:A,Models!F:F)</f>
        <v>#N/A</v>
      </c>
      <c r="F384" t="str">
        <f>_xlfn.XLOOKUP(B384,MacReports!B:B,MacReports!D:D,"")</f>
        <v/>
      </c>
      <c r="G384" s="13">
        <f>MacReports!E384</f>
        <v>0</v>
      </c>
      <c r="H384" t="e">
        <f>_xlfn.XLOOKUP(G384,Models!A:A,Models!B:B)</f>
        <v>#N/A</v>
      </c>
      <c r="I384" t="e">
        <f>_xlfn.XLOOKUP(G384,Models!A:A,Models!E:E)</f>
        <v>#N/A</v>
      </c>
      <c r="J384" t="e">
        <f>_xlfn.XLOOKUP(G384,Models!A:A,Models!D:D)</f>
        <v>#N/A</v>
      </c>
      <c r="K384">
        <f>MacReports!F384</f>
        <v>0</v>
      </c>
      <c r="L384">
        <f>MacReports!G384</f>
        <v>0</v>
      </c>
      <c r="M384" s="15" t="e" cm="1">
        <f t="array" ref="M384">--_xlfn.LET(
    _xlpm.txt, MacReports!H384,
    _xlpm.chars, MID(_xlpm.txt, _xlfn.SEQUENCE(LEN(_xlpm.txt)), 1),
    _xlfn.TEXTJOIN("", TRUE, IF(ISNUMBER(--_xlpm.chars), _xlpm.chars, ""))
)</f>
        <v>#VALUE!</v>
      </c>
      <c r="N384" s="16" t="str" cm="1">
        <f t="array" ref="N384">_xlfn.IFS(
   --MacReports!M384&lt;55,"Battery Defect",
  -- MacReports!M384&lt;=69,"Battery D",
  --MacReports!M384&lt;=80,"Battery C",
 --MacReports!M384&gt;80,""
)</f>
        <v>Battery Defect</v>
      </c>
      <c r="O384" s="16" t="str">
        <f>IF(MacReports!I384="Service","Battery Service","")</f>
        <v/>
      </c>
      <c r="P384" s="13">
        <f>MacReports!P384</f>
        <v>0</v>
      </c>
      <c r="Q384" s="13" t="str">
        <f>IF(MacReports!J384="Enabled","Apple ID Lock","")</f>
        <v/>
      </c>
      <c r="R384" s="13" t="str">
        <f>IF(MacReports!L384="y","Remote Locked","")</f>
        <v/>
      </c>
      <c r="S384" t="str">
        <f t="shared" si="13"/>
        <v>Battery Defect, 0</v>
      </c>
      <c r="T384" t="str">
        <f>_xlfn.XLOOKUP(B384,Disk_Pivot!G:G,Disk_Pivot!I:I)</f>
        <v>Yes x2</v>
      </c>
      <c r="U384" t="str">
        <f>_xlfn.XLOOKUP(B384,Disk_Pivot!G:G,Disk_Pivot!N:N)</f>
        <v>Pass, Fail</v>
      </c>
      <c r="V384" t="str">
        <f>IF(U384="Fail",MacReports!N384,"")</f>
        <v/>
      </c>
      <c r="AB384" t="str">
        <f t="shared" si="14"/>
        <v/>
      </c>
    </row>
    <row r="385" spans="1:28">
      <c r="A385">
        <f>MacReports!A385</f>
        <v>0</v>
      </c>
      <c r="B385">
        <f>MacReports!B385</f>
        <v>0</v>
      </c>
      <c r="C385">
        <f>MacReports!C385</f>
        <v>0</v>
      </c>
      <c r="E385" t="e">
        <f>_xlfn.XLOOKUP(G385,Models!A:A,Models!F:F)</f>
        <v>#N/A</v>
      </c>
      <c r="F385" t="str">
        <f>_xlfn.XLOOKUP(B385,MacReports!B:B,MacReports!D:D,"")</f>
        <v/>
      </c>
      <c r="G385" s="13">
        <f>MacReports!E385</f>
        <v>0</v>
      </c>
      <c r="H385" t="e">
        <f>_xlfn.XLOOKUP(G385,Models!A:A,Models!B:B)</f>
        <v>#N/A</v>
      </c>
      <c r="I385" t="e">
        <f>_xlfn.XLOOKUP(G385,Models!A:A,Models!E:E)</f>
        <v>#N/A</v>
      </c>
      <c r="J385" t="e">
        <f>_xlfn.XLOOKUP(G385,Models!A:A,Models!D:D)</f>
        <v>#N/A</v>
      </c>
      <c r="K385">
        <f>MacReports!F385</f>
        <v>0</v>
      </c>
      <c r="L385">
        <f>MacReports!G385</f>
        <v>0</v>
      </c>
      <c r="M385" s="15" t="e" cm="1">
        <f t="array" ref="M385">--_xlfn.LET(
    _xlpm.txt, MacReports!H385,
    _xlpm.chars, MID(_xlpm.txt, _xlfn.SEQUENCE(LEN(_xlpm.txt)), 1),
    _xlfn.TEXTJOIN("", TRUE, IF(ISNUMBER(--_xlpm.chars), _xlpm.chars, ""))
)</f>
        <v>#VALUE!</v>
      </c>
      <c r="N385" s="16" t="str" cm="1">
        <f t="array" ref="N385">_xlfn.IFS(
   --MacReports!M385&lt;55,"Battery Defect",
  -- MacReports!M385&lt;=69,"Battery D",
  --MacReports!M385&lt;=80,"Battery C",
 --MacReports!M385&gt;80,""
)</f>
        <v>Battery Defect</v>
      </c>
      <c r="O385" s="16" t="str">
        <f>IF(MacReports!I385="Service","Battery Service","")</f>
        <v/>
      </c>
      <c r="P385" s="13">
        <f>MacReports!P385</f>
        <v>0</v>
      </c>
      <c r="Q385" s="13" t="str">
        <f>IF(MacReports!J385="Enabled","Apple ID Lock","")</f>
        <v/>
      </c>
      <c r="R385" s="13" t="str">
        <f>IF(MacReports!L385="y","Remote Locked","")</f>
        <v/>
      </c>
      <c r="S385" t="str">
        <f t="shared" si="13"/>
        <v>Battery Defect, 0</v>
      </c>
      <c r="T385" t="str">
        <f>_xlfn.XLOOKUP(B385,Disk_Pivot!G:G,Disk_Pivot!I:I)</f>
        <v>Yes x2</v>
      </c>
      <c r="U385" t="str">
        <f>_xlfn.XLOOKUP(B385,Disk_Pivot!G:G,Disk_Pivot!N:N)</f>
        <v>Pass, Fail</v>
      </c>
      <c r="V385" t="str">
        <f>IF(U385="Fail",MacReports!N385,"")</f>
        <v/>
      </c>
      <c r="AB385" t="str">
        <f t="shared" si="14"/>
        <v/>
      </c>
    </row>
    <row r="386" spans="1:28">
      <c r="A386">
        <f>MacReports!A386</f>
        <v>0</v>
      </c>
      <c r="B386">
        <f>MacReports!B386</f>
        <v>0</v>
      </c>
      <c r="C386">
        <f>MacReports!C386</f>
        <v>0</v>
      </c>
      <c r="E386" t="e">
        <f>_xlfn.XLOOKUP(G386,Models!A:A,Models!F:F)</f>
        <v>#N/A</v>
      </c>
      <c r="F386" t="str">
        <f>_xlfn.XLOOKUP(B386,MacReports!B:B,MacReports!D:D,"")</f>
        <v/>
      </c>
      <c r="G386" s="13">
        <f>MacReports!E386</f>
        <v>0</v>
      </c>
      <c r="H386" t="e">
        <f>_xlfn.XLOOKUP(G386,Models!A:A,Models!B:B)</f>
        <v>#N/A</v>
      </c>
      <c r="I386" t="e">
        <f>_xlfn.XLOOKUP(G386,Models!A:A,Models!E:E)</f>
        <v>#N/A</v>
      </c>
      <c r="J386" t="e">
        <f>_xlfn.XLOOKUP(G386,Models!A:A,Models!D:D)</f>
        <v>#N/A</v>
      </c>
      <c r="K386">
        <f>MacReports!F386</f>
        <v>0</v>
      </c>
      <c r="L386">
        <f>MacReports!G386</f>
        <v>0</v>
      </c>
      <c r="M386" s="15" t="e" cm="1">
        <f t="array" ref="M386">--_xlfn.LET(
    _xlpm.txt, MacReports!H386,
    _xlpm.chars, MID(_xlpm.txt, _xlfn.SEQUENCE(LEN(_xlpm.txt)), 1),
    _xlfn.TEXTJOIN("", TRUE, IF(ISNUMBER(--_xlpm.chars), _xlpm.chars, ""))
)</f>
        <v>#VALUE!</v>
      </c>
      <c r="N386" s="16" t="str" cm="1">
        <f t="array" ref="N386">_xlfn.IFS(
   --MacReports!M386&lt;55,"Battery Defect",
  -- MacReports!M386&lt;=69,"Battery D",
  --MacReports!M386&lt;=80,"Battery C",
 --MacReports!M386&gt;80,""
)</f>
        <v>Battery Defect</v>
      </c>
      <c r="O386" s="16" t="str">
        <f>IF(MacReports!I386="Service","Battery Service","")</f>
        <v/>
      </c>
      <c r="P386" s="13">
        <f>MacReports!P386</f>
        <v>0</v>
      </c>
      <c r="Q386" s="13" t="str">
        <f>IF(MacReports!J386="Enabled","Apple ID Lock","")</f>
        <v/>
      </c>
      <c r="R386" s="13" t="str">
        <f>IF(MacReports!L386="y","Remote Locked","")</f>
        <v/>
      </c>
      <c r="S386" t="str">
        <f t="shared" si="13"/>
        <v>Battery Defect, 0</v>
      </c>
      <c r="T386" t="str">
        <f>_xlfn.XLOOKUP(B386,Disk_Pivot!G:G,Disk_Pivot!I:I)</f>
        <v>Yes x2</v>
      </c>
      <c r="U386" t="str">
        <f>_xlfn.XLOOKUP(B386,Disk_Pivot!G:G,Disk_Pivot!N:N)</f>
        <v>Pass, Fail</v>
      </c>
      <c r="V386" t="str">
        <f>IF(U386="Fail",MacReports!N386,"")</f>
        <v/>
      </c>
      <c r="AB386" t="str">
        <f t="shared" si="14"/>
        <v/>
      </c>
    </row>
    <row r="387" spans="1:28">
      <c r="A387">
        <f>MacReports!A387</f>
        <v>0</v>
      </c>
      <c r="B387">
        <f>MacReports!B387</f>
        <v>0</v>
      </c>
      <c r="C387">
        <f>MacReports!C387</f>
        <v>0</v>
      </c>
      <c r="E387" t="e">
        <f>_xlfn.XLOOKUP(G387,Models!A:A,Models!F:F)</f>
        <v>#N/A</v>
      </c>
      <c r="F387" t="str">
        <f>_xlfn.XLOOKUP(B387,MacReports!B:B,MacReports!D:D,"")</f>
        <v/>
      </c>
      <c r="G387" s="13">
        <f>MacReports!E387</f>
        <v>0</v>
      </c>
      <c r="H387" t="e">
        <f>_xlfn.XLOOKUP(G387,Models!A:A,Models!B:B)</f>
        <v>#N/A</v>
      </c>
      <c r="I387" t="e">
        <f>_xlfn.XLOOKUP(G387,Models!A:A,Models!E:E)</f>
        <v>#N/A</v>
      </c>
      <c r="J387" t="e">
        <f>_xlfn.XLOOKUP(G387,Models!A:A,Models!D:D)</f>
        <v>#N/A</v>
      </c>
      <c r="K387">
        <f>MacReports!F387</f>
        <v>0</v>
      </c>
      <c r="L387">
        <f>MacReports!G387</f>
        <v>0</v>
      </c>
      <c r="M387" s="15" t="e" cm="1">
        <f t="array" ref="M387">--_xlfn.LET(
    _xlpm.txt, MacReports!H387,
    _xlpm.chars, MID(_xlpm.txt, _xlfn.SEQUENCE(LEN(_xlpm.txt)), 1),
    _xlfn.TEXTJOIN("", TRUE, IF(ISNUMBER(--_xlpm.chars), _xlpm.chars, ""))
)</f>
        <v>#VALUE!</v>
      </c>
      <c r="N387" s="16" t="str" cm="1">
        <f t="array" ref="N387">_xlfn.IFS(
   --MacReports!M387&lt;55,"Battery Defect",
  -- MacReports!M387&lt;=69,"Battery D",
  --MacReports!M387&lt;=80,"Battery C",
 --MacReports!M387&gt;80,""
)</f>
        <v>Battery Defect</v>
      </c>
      <c r="O387" s="16" t="str">
        <f>IF(MacReports!I387="Service","Battery Service","")</f>
        <v/>
      </c>
      <c r="P387" s="13">
        <f>MacReports!P387</f>
        <v>0</v>
      </c>
      <c r="Q387" s="13" t="str">
        <f>IF(MacReports!J387="Enabled","Apple ID Lock","")</f>
        <v/>
      </c>
      <c r="R387" s="13" t="str">
        <f>IF(MacReports!L387="y","Remote Locked","")</f>
        <v/>
      </c>
      <c r="S387" t="str">
        <f t="shared" si="13"/>
        <v>Battery Defect, 0</v>
      </c>
      <c r="T387" t="str">
        <f>_xlfn.XLOOKUP(B387,Disk_Pivot!G:G,Disk_Pivot!I:I)</f>
        <v>Yes x2</v>
      </c>
      <c r="U387" t="str">
        <f>_xlfn.XLOOKUP(B387,Disk_Pivot!G:G,Disk_Pivot!N:N)</f>
        <v>Pass, Fail</v>
      </c>
      <c r="V387" t="str">
        <f>IF(U387="Fail",MacReports!N387,"")</f>
        <v/>
      </c>
      <c r="AB387" t="str">
        <f t="shared" si="14"/>
        <v/>
      </c>
    </row>
    <row r="388" spans="1:28">
      <c r="F388" t="str">
        <f>_xlfn.XLOOKUP(B388,MacReports!B:B,MacReports!D:D,"")</f>
        <v/>
      </c>
    </row>
    <row r="389" spans="1:28">
      <c r="F389" t="str">
        <f>_xlfn.XLOOKUP(B389,MacReports!B:B,MacReports!D:D,"")</f>
        <v/>
      </c>
    </row>
    <row r="390" spans="1:28">
      <c r="F390" t="str">
        <f>_xlfn.XLOOKUP(B390,MacReports!B:B,MacReports!D:D,"")</f>
        <v/>
      </c>
    </row>
    <row r="391" spans="1:28">
      <c r="F391" t="str">
        <f>_xlfn.XLOOKUP(B391,MacReports!B:B,MacReports!D:D,"")</f>
        <v/>
      </c>
    </row>
    <row r="392" spans="1:28">
      <c r="F392" t="str">
        <f>_xlfn.XLOOKUP(B392,MacReports!B:B,MacReports!D:D,"")</f>
        <v/>
      </c>
    </row>
    <row r="393" spans="1:28">
      <c r="F393" t="str">
        <f>_xlfn.XLOOKUP(B393,MacReports!B:B,MacReports!D:D,"")</f>
        <v/>
      </c>
    </row>
    <row r="394" spans="1:28">
      <c r="F394" t="str">
        <f>_xlfn.XLOOKUP(B394,MacReports!B:B,MacReports!D:D,"")</f>
        <v/>
      </c>
    </row>
    <row r="395" spans="1:28">
      <c r="F395" t="str">
        <f>_xlfn.XLOOKUP(B395,MacReports!B:B,MacReports!D:D,"")</f>
        <v/>
      </c>
    </row>
    <row r="396" spans="1:28">
      <c r="F396" t="str">
        <f>_xlfn.XLOOKUP(B396,MacReports!B:B,MacReports!D:D,"")</f>
        <v/>
      </c>
    </row>
    <row r="397" spans="1:28">
      <c r="F397" t="str">
        <f>_xlfn.XLOOKUP(B397,MacReports!B:B,MacReports!D:D,"")</f>
        <v/>
      </c>
    </row>
    <row r="398" spans="1:28">
      <c r="F398" t="str">
        <f>_xlfn.XLOOKUP(B398,MacReports!B:B,MacReports!D:D,"")</f>
        <v/>
      </c>
    </row>
    <row r="399" spans="1:28">
      <c r="F399" t="str">
        <f>_xlfn.XLOOKUP(B399,MacReports!B:B,MacReports!D:D,"")</f>
        <v/>
      </c>
    </row>
    <row r="400" spans="1:28">
      <c r="F400" t="str">
        <f>_xlfn.XLOOKUP(B400,MacReports!B:B,MacReports!D:D,"")</f>
        <v/>
      </c>
    </row>
    <row r="401" spans="6:6">
      <c r="F401" t="str">
        <f>_xlfn.XLOOKUP(B401,MacReports!B:B,MacReports!D:D,"")</f>
        <v/>
      </c>
    </row>
    <row r="402" spans="6:6">
      <c r="F402" t="str">
        <f>_xlfn.XLOOKUP(B402,MacReports!B:B,MacReports!D:D,"")</f>
        <v/>
      </c>
    </row>
    <row r="403" spans="6:6">
      <c r="F403" t="str">
        <f>_xlfn.XLOOKUP(B403,MacReports!B:B,MacReports!D:D,"")</f>
        <v/>
      </c>
    </row>
    <row r="404" spans="6:6">
      <c r="F404" t="str">
        <f>_xlfn.XLOOKUP(B404,MacReports!B:B,MacReports!D:D,"")</f>
        <v/>
      </c>
    </row>
    <row r="405" spans="6:6">
      <c r="F405" t="str">
        <f>_xlfn.XLOOKUP(B405,MacReports!B:B,MacReports!D:D,"")</f>
        <v/>
      </c>
    </row>
    <row r="406" spans="6:6">
      <c r="F406" t="str">
        <f>_xlfn.XLOOKUP(B406,MacReports!B:B,MacReports!D:D,"")</f>
        <v/>
      </c>
    </row>
    <row r="407" spans="6:6">
      <c r="F407" t="str">
        <f>_xlfn.XLOOKUP(B407,MacReports!B:B,MacReports!D:D,"")</f>
        <v/>
      </c>
    </row>
    <row r="408" spans="6:6">
      <c r="F408" t="str">
        <f>_xlfn.XLOOKUP(B408,MacReports!B:B,MacReports!D:D,"")</f>
        <v/>
      </c>
    </row>
    <row r="409" spans="6:6">
      <c r="F409" t="str">
        <f>_xlfn.XLOOKUP(B409,MacReports!B:B,MacReports!D:D,"")</f>
        <v/>
      </c>
    </row>
    <row r="410" spans="6:6">
      <c r="F410" t="str">
        <f>_xlfn.XLOOKUP(B410,MacReports!B:B,MacReports!D:D,"")</f>
        <v/>
      </c>
    </row>
    <row r="411" spans="6:6">
      <c r="F411" t="str">
        <f>_xlfn.XLOOKUP(B411,MacReports!B:B,MacReports!D:D,"")</f>
        <v/>
      </c>
    </row>
    <row r="412" spans="6:6">
      <c r="F412" t="str">
        <f>_xlfn.XLOOKUP(B412,MacReports!B:B,MacReports!D:D,"")</f>
        <v/>
      </c>
    </row>
    <row r="413" spans="6:6">
      <c r="F413" t="str">
        <f>_xlfn.XLOOKUP(B413,MacReports!B:B,MacReports!D:D,"")</f>
        <v/>
      </c>
    </row>
    <row r="414" spans="6:6">
      <c r="F414" t="str">
        <f>_xlfn.XLOOKUP(B414,MacReports!B:B,MacReports!D:D,"")</f>
        <v/>
      </c>
    </row>
    <row r="415" spans="6:6">
      <c r="F415" t="str">
        <f>_xlfn.XLOOKUP(B415,MacReports!B:B,MacReports!D:D,"")</f>
        <v/>
      </c>
    </row>
    <row r="416" spans="6:6">
      <c r="F416" t="str">
        <f>_xlfn.XLOOKUP(B416,MacReports!B:B,MacReports!D:D,"")</f>
        <v/>
      </c>
    </row>
    <row r="417" spans="6:6">
      <c r="F417" t="str">
        <f>_xlfn.XLOOKUP(B417,MacReports!B:B,MacReports!D:D,"")</f>
        <v/>
      </c>
    </row>
    <row r="418" spans="6:6">
      <c r="F418" t="str">
        <f>_xlfn.XLOOKUP(B418,MacReports!B:B,MacReports!D:D,"")</f>
        <v/>
      </c>
    </row>
    <row r="419" spans="6:6">
      <c r="F419" t="str">
        <f>_xlfn.XLOOKUP(B419,MacReports!B:B,MacReports!D:D,"")</f>
        <v/>
      </c>
    </row>
    <row r="420" spans="6:6">
      <c r="F420" t="str">
        <f>_xlfn.XLOOKUP(B420,MacReports!B:B,MacReports!D:D,"")</f>
        <v/>
      </c>
    </row>
    <row r="421" spans="6:6">
      <c r="F421" t="str">
        <f>_xlfn.XLOOKUP(B421,MacReports!B:B,MacReports!D:D,"")</f>
        <v/>
      </c>
    </row>
    <row r="422" spans="6:6">
      <c r="F422" t="str">
        <f>_xlfn.XLOOKUP(B422,MacReports!B:B,MacReports!D:D,"")</f>
        <v/>
      </c>
    </row>
    <row r="423" spans="6:6">
      <c r="F423" t="str">
        <f>_xlfn.XLOOKUP(B423,MacReports!B:B,MacReports!D:D,"")</f>
        <v/>
      </c>
    </row>
    <row r="424" spans="6:6">
      <c r="F424" t="str">
        <f>_xlfn.XLOOKUP(B424,MacReports!B:B,MacReports!D:D,"")</f>
        <v/>
      </c>
    </row>
    <row r="425" spans="6:6">
      <c r="F425" t="str">
        <f>_xlfn.XLOOKUP(B425,MacReports!B:B,MacReports!D:D,"")</f>
        <v/>
      </c>
    </row>
    <row r="426" spans="6:6">
      <c r="F426" t="str">
        <f>_xlfn.XLOOKUP(B426,MacReports!B:B,MacReports!D:D,"")</f>
        <v/>
      </c>
    </row>
    <row r="427" spans="6:6">
      <c r="F427" t="str">
        <f>_xlfn.XLOOKUP(B427,MacReports!B:B,MacReports!D:D,"")</f>
        <v/>
      </c>
    </row>
    <row r="428" spans="6:6">
      <c r="F428" t="str">
        <f>_xlfn.XLOOKUP(B428,MacReports!B:B,MacReports!D:D,"")</f>
        <v/>
      </c>
    </row>
    <row r="429" spans="6:6">
      <c r="F429" t="str">
        <f>_xlfn.XLOOKUP(B429,MacReports!B:B,MacReports!D:D,"")</f>
        <v/>
      </c>
    </row>
    <row r="430" spans="6:6">
      <c r="F430" t="str">
        <f>_xlfn.XLOOKUP(B430,MacReports!B:B,MacReports!D:D,"")</f>
        <v/>
      </c>
    </row>
    <row r="431" spans="6:6">
      <c r="F431" t="str">
        <f>_xlfn.XLOOKUP(B431,MacReports!B:B,MacReports!D:D,"")</f>
        <v/>
      </c>
    </row>
    <row r="432" spans="6:6">
      <c r="F432" t="str">
        <f>_xlfn.XLOOKUP(B432,MacReports!B:B,MacReports!D:D,"")</f>
        <v/>
      </c>
    </row>
    <row r="433" spans="6:6">
      <c r="F433" t="str">
        <f>_xlfn.XLOOKUP(B433,MacReports!B:B,MacReports!D:D,"")</f>
        <v/>
      </c>
    </row>
    <row r="434" spans="6:6">
      <c r="F434" t="str">
        <f>_xlfn.XLOOKUP(B434,MacReports!B:B,MacReports!D:D,"")</f>
        <v/>
      </c>
    </row>
    <row r="435" spans="6:6">
      <c r="F435" t="str">
        <f>_xlfn.XLOOKUP(B435,MacReports!B:B,MacReports!D:D,"")</f>
        <v/>
      </c>
    </row>
    <row r="436" spans="6:6">
      <c r="F436" t="str">
        <f>_xlfn.XLOOKUP(B436,MacReports!B:B,MacReports!D:D,"")</f>
        <v/>
      </c>
    </row>
    <row r="437" spans="6:6">
      <c r="F437" t="str">
        <f>_xlfn.XLOOKUP(B437,MacReports!B:B,MacReports!D:D,"")</f>
        <v/>
      </c>
    </row>
    <row r="438" spans="6:6">
      <c r="F438" t="str">
        <f>_xlfn.XLOOKUP(B438,MacReports!B:B,MacReports!D:D,"")</f>
        <v/>
      </c>
    </row>
    <row r="439" spans="6:6">
      <c r="F439" t="str">
        <f>_xlfn.XLOOKUP(B439,MacReports!B:B,MacReports!D:D,"")</f>
        <v/>
      </c>
    </row>
    <row r="440" spans="6:6">
      <c r="F440" t="str">
        <f>_xlfn.XLOOKUP(B440,MacReports!B:B,MacReports!D:D,"")</f>
        <v/>
      </c>
    </row>
    <row r="441" spans="6:6">
      <c r="F441" t="str">
        <f>_xlfn.XLOOKUP(B441,MacReports!B:B,MacReports!D:D,"")</f>
        <v/>
      </c>
    </row>
    <row r="442" spans="6:6">
      <c r="F442" t="str">
        <f>_xlfn.XLOOKUP(B442,MacReports!B:B,MacReports!D:D,"")</f>
        <v/>
      </c>
    </row>
    <row r="443" spans="6:6">
      <c r="F443" t="str">
        <f>_xlfn.XLOOKUP(B443,MacReports!B:B,MacReports!D:D,"")</f>
        <v/>
      </c>
    </row>
    <row r="444" spans="6:6">
      <c r="F444" t="str">
        <f>_xlfn.XLOOKUP(B444,MacReports!B:B,MacReports!D:D,"")</f>
        <v/>
      </c>
    </row>
    <row r="445" spans="6:6">
      <c r="F445" t="str">
        <f>_xlfn.XLOOKUP(B445,MacReports!B:B,MacReports!D:D,"")</f>
        <v/>
      </c>
    </row>
    <row r="446" spans="6:6">
      <c r="F446" t="str">
        <f>_xlfn.XLOOKUP(B446,MacReports!B:B,MacReports!D:D,"")</f>
        <v/>
      </c>
    </row>
    <row r="447" spans="6:6">
      <c r="F447" t="str">
        <f>_xlfn.XLOOKUP(B447,MacReports!B:B,MacReports!D:D,"")</f>
        <v/>
      </c>
    </row>
    <row r="448" spans="6:6">
      <c r="F448" t="str">
        <f>_xlfn.XLOOKUP(B448,MacReports!B:B,MacReports!D:D,"")</f>
        <v/>
      </c>
    </row>
    <row r="449" spans="6:6">
      <c r="F449" t="str">
        <f>_xlfn.XLOOKUP(B449,MacReports!B:B,MacReports!D:D,"")</f>
        <v/>
      </c>
    </row>
    <row r="450" spans="6:6">
      <c r="F450" t="str">
        <f>_xlfn.XLOOKUP(B450,MacReports!B:B,MacReports!D:D,"")</f>
        <v/>
      </c>
    </row>
    <row r="451" spans="6:6">
      <c r="F451" t="str">
        <f>_xlfn.XLOOKUP(B451,MacReports!B:B,MacReports!D:D,"")</f>
        <v/>
      </c>
    </row>
    <row r="452" spans="6:6">
      <c r="F452" t="str">
        <f>_xlfn.XLOOKUP(B452,MacReports!B:B,MacReports!D:D,"")</f>
        <v/>
      </c>
    </row>
    <row r="453" spans="6:6">
      <c r="F453" t="str">
        <f>_xlfn.XLOOKUP(B453,MacReports!B:B,MacReports!D:D,"")</f>
        <v/>
      </c>
    </row>
    <row r="454" spans="6:6">
      <c r="F454" t="str">
        <f>_xlfn.XLOOKUP(B454,MacReports!B:B,MacReports!D:D,"")</f>
        <v/>
      </c>
    </row>
    <row r="455" spans="6:6">
      <c r="F455" t="str">
        <f>_xlfn.XLOOKUP(B455,MacReports!B:B,MacReports!D:D,"")</f>
        <v/>
      </c>
    </row>
    <row r="456" spans="6:6">
      <c r="F456" t="str">
        <f>_xlfn.XLOOKUP(B456,MacReports!B:B,MacReports!D:D,"")</f>
        <v/>
      </c>
    </row>
    <row r="457" spans="6:6">
      <c r="F457" t="str">
        <f>_xlfn.XLOOKUP(B457,MacReports!B:B,MacReports!D:D,"")</f>
        <v/>
      </c>
    </row>
    <row r="458" spans="6:6">
      <c r="F458" t="str">
        <f>_xlfn.XLOOKUP(B458,MacReports!B:B,MacReports!D:D,"")</f>
        <v/>
      </c>
    </row>
    <row r="459" spans="6:6">
      <c r="F459" t="str">
        <f>_xlfn.XLOOKUP(B459,MacReports!B:B,MacReports!D:D,"")</f>
        <v/>
      </c>
    </row>
    <row r="460" spans="6:6">
      <c r="F460" t="str">
        <f>_xlfn.XLOOKUP(B460,MacReports!B:B,MacReports!D:D,"")</f>
        <v/>
      </c>
    </row>
    <row r="461" spans="6:6">
      <c r="F461" t="str">
        <f>_xlfn.XLOOKUP(B461,MacReports!B:B,MacReports!D:D,"")</f>
        <v/>
      </c>
    </row>
    <row r="462" spans="6:6">
      <c r="F462" t="str">
        <f>_xlfn.XLOOKUP(B462,MacReports!B:B,MacReports!D:D,"")</f>
        <v/>
      </c>
    </row>
    <row r="463" spans="6:6">
      <c r="F463" t="str">
        <f>_xlfn.XLOOKUP(B463,MacReports!B:B,MacReports!D:D,"")</f>
        <v/>
      </c>
    </row>
    <row r="464" spans="6:6">
      <c r="F464" t="str">
        <f>_xlfn.XLOOKUP(B464,MacReports!B:B,MacReports!D:D,"")</f>
        <v/>
      </c>
    </row>
    <row r="465" spans="6:6">
      <c r="F465" t="str">
        <f>_xlfn.XLOOKUP(B465,MacReports!B:B,MacReports!D:D,"")</f>
        <v/>
      </c>
    </row>
    <row r="466" spans="6:6">
      <c r="F466" t="str">
        <f>_xlfn.XLOOKUP(B466,MacReports!B:B,MacReports!D:D,"")</f>
        <v/>
      </c>
    </row>
    <row r="467" spans="6:6">
      <c r="F467" t="str">
        <f>_xlfn.XLOOKUP(B467,MacReports!B:B,MacReports!D:D,"")</f>
        <v/>
      </c>
    </row>
    <row r="468" spans="6:6">
      <c r="F468" t="str">
        <f>_xlfn.XLOOKUP(B468,MacReports!B:B,MacReports!D:D,"")</f>
        <v/>
      </c>
    </row>
    <row r="469" spans="6:6">
      <c r="F469" t="str">
        <f>_xlfn.XLOOKUP(B469,MacReports!B:B,MacReports!D:D,"")</f>
        <v/>
      </c>
    </row>
    <row r="470" spans="6:6">
      <c r="F470" t="str">
        <f>_xlfn.XLOOKUP(B470,MacReports!B:B,MacReports!D:D,"")</f>
        <v/>
      </c>
    </row>
    <row r="471" spans="6:6">
      <c r="F471" t="str">
        <f>_xlfn.XLOOKUP(B471,MacReports!B:B,MacReports!D:D,"")</f>
        <v/>
      </c>
    </row>
    <row r="472" spans="6:6">
      <c r="F472" t="str">
        <f>_xlfn.XLOOKUP(B472,MacReports!B:B,MacReports!D:D,"")</f>
        <v/>
      </c>
    </row>
    <row r="473" spans="6:6">
      <c r="F473" t="str">
        <f>_xlfn.XLOOKUP(B473,MacReports!B:B,MacReports!D:D,"")</f>
        <v/>
      </c>
    </row>
    <row r="474" spans="6:6">
      <c r="F474" t="str">
        <f>_xlfn.XLOOKUP(B474,MacReports!B:B,MacReports!D:D,"")</f>
        <v/>
      </c>
    </row>
    <row r="475" spans="6:6">
      <c r="F475" t="str">
        <f>_xlfn.XLOOKUP(B475,MacReports!B:B,MacReports!D:D,"")</f>
        <v/>
      </c>
    </row>
    <row r="476" spans="6:6">
      <c r="F476" t="str">
        <f>_xlfn.XLOOKUP(B476,MacReports!B:B,MacReports!D:D,"")</f>
        <v/>
      </c>
    </row>
    <row r="477" spans="6:6">
      <c r="F477" t="str">
        <f>_xlfn.XLOOKUP(B477,MacReports!B:B,MacReports!D:D,"")</f>
        <v/>
      </c>
    </row>
    <row r="478" spans="6:6">
      <c r="F478" t="str">
        <f>_xlfn.XLOOKUP(B478,MacReports!B:B,MacReports!D:D,"")</f>
        <v/>
      </c>
    </row>
    <row r="479" spans="6:6">
      <c r="F479" t="str">
        <f>_xlfn.XLOOKUP(B479,MacReports!B:B,MacReports!D:D,"")</f>
        <v/>
      </c>
    </row>
    <row r="480" spans="6:6">
      <c r="F480" t="str">
        <f>_xlfn.XLOOKUP(B480,MacReports!B:B,MacReports!D:D,"")</f>
        <v/>
      </c>
    </row>
    <row r="481" spans="6:6">
      <c r="F481" t="str">
        <f>_xlfn.XLOOKUP(B481,MacReports!B:B,MacReports!D:D,"")</f>
        <v/>
      </c>
    </row>
    <row r="482" spans="6:6">
      <c r="F482" t="str">
        <f>_xlfn.XLOOKUP(B482,MacReports!B:B,MacReports!D:D,"")</f>
        <v/>
      </c>
    </row>
    <row r="483" spans="6:6">
      <c r="F483" t="str">
        <f>_xlfn.XLOOKUP(B483,MacReports!B:B,MacReports!D:D,"")</f>
        <v/>
      </c>
    </row>
    <row r="484" spans="6:6">
      <c r="F484" t="str">
        <f>_xlfn.XLOOKUP(B484,MacReports!B:B,MacReports!D:D,"")</f>
        <v/>
      </c>
    </row>
    <row r="485" spans="6:6">
      <c r="F485" t="str">
        <f>_xlfn.XLOOKUP(B485,MacReports!B:B,MacReports!D:D,"")</f>
        <v/>
      </c>
    </row>
    <row r="486" spans="6:6">
      <c r="F486" t="str">
        <f>_xlfn.XLOOKUP(B486,MacReports!B:B,MacReports!D:D,"")</f>
        <v/>
      </c>
    </row>
    <row r="487" spans="6:6">
      <c r="F487" t="str">
        <f>_xlfn.XLOOKUP(B487,MacReports!B:B,MacReports!D:D,"")</f>
        <v/>
      </c>
    </row>
    <row r="488" spans="6:6">
      <c r="F488" t="str">
        <f>_xlfn.XLOOKUP(B488,MacReports!B:B,MacReports!D:D,"")</f>
        <v/>
      </c>
    </row>
    <row r="489" spans="6:6">
      <c r="F489" t="str">
        <f>_xlfn.XLOOKUP(B489,MacReports!B:B,MacReports!D:D,"")</f>
        <v/>
      </c>
    </row>
    <row r="490" spans="6:6">
      <c r="F490" t="str">
        <f>_xlfn.XLOOKUP(B490,MacReports!B:B,MacReports!D:D,"")</f>
        <v/>
      </c>
    </row>
    <row r="491" spans="6:6">
      <c r="F491" t="str">
        <f>_xlfn.XLOOKUP(B491,MacReports!B:B,MacReports!D:D,"")</f>
        <v/>
      </c>
    </row>
    <row r="492" spans="6:6">
      <c r="F492" t="str">
        <f>_xlfn.XLOOKUP(B492,MacReports!B:B,MacReports!D:D,"")</f>
        <v/>
      </c>
    </row>
    <row r="493" spans="6:6">
      <c r="F493" t="str">
        <f>_xlfn.XLOOKUP(B493,MacReports!B:B,MacReports!D:D,"")</f>
        <v/>
      </c>
    </row>
    <row r="494" spans="6:6">
      <c r="F494" t="str">
        <f>_xlfn.XLOOKUP(B494,MacReports!B:B,MacReports!D:D,"")</f>
        <v/>
      </c>
    </row>
    <row r="495" spans="6:6">
      <c r="F495" t="str">
        <f>_xlfn.XLOOKUP(B495,MacReports!B:B,MacReports!D:D,"")</f>
        <v/>
      </c>
    </row>
    <row r="496" spans="6:6">
      <c r="F496" t="str">
        <f>_xlfn.XLOOKUP(B496,MacReports!B:B,MacReports!D:D,"")</f>
        <v/>
      </c>
    </row>
    <row r="497" spans="6:6">
      <c r="F497" t="str">
        <f>_xlfn.XLOOKUP(B497,MacReports!B:B,MacReports!D:D,"")</f>
        <v/>
      </c>
    </row>
    <row r="498" spans="6:6">
      <c r="F498" t="str">
        <f>_xlfn.XLOOKUP(B498,MacReports!B:B,MacReports!D:D,"")</f>
        <v/>
      </c>
    </row>
    <row r="499" spans="6:6">
      <c r="F499" t="str">
        <f>_xlfn.XLOOKUP(B499,MacReports!B:B,MacReports!D:D,"")</f>
        <v/>
      </c>
    </row>
    <row r="500" spans="6:6">
      <c r="F500" t="str">
        <f>_xlfn.XLOOKUP(B500,MacReports!B:B,MacReports!D:D,"")</f>
        <v/>
      </c>
    </row>
    <row r="501" spans="6:6">
      <c r="F501" t="str">
        <f>_xlfn.XLOOKUP(B501,MacReports!B:B,MacReports!D:D,"")</f>
        <v/>
      </c>
    </row>
    <row r="502" spans="6:6">
      <c r="F502" t="str">
        <f>_xlfn.XLOOKUP(B502,MacReports!B:B,MacReports!D:D,"")</f>
        <v/>
      </c>
    </row>
    <row r="503" spans="6:6">
      <c r="F503" t="str">
        <f>_xlfn.XLOOKUP(B503,MacReports!B:B,MacReports!D:D,"")</f>
        <v/>
      </c>
    </row>
    <row r="504" spans="6:6">
      <c r="F504" t="str">
        <f>_xlfn.XLOOKUP(B504,MacReports!B:B,MacReports!D:D,"")</f>
        <v/>
      </c>
    </row>
    <row r="505" spans="6:6">
      <c r="F505" t="str">
        <f>_xlfn.XLOOKUP(B505,MacReports!B:B,MacReports!D:D,"")</f>
        <v/>
      </c>
    </row>
    <row r="506" spans="6:6">
      <c r="F506" t="str">
        <f>_xlfn.XLOOKUP(B506,MacReports!B:B,MacReports!D:D,"")</f>
        <v/>
      </c>
    </row>
    <row r="507" spans="6:6">
      <c r="F507" t="str">
        <f>_xlfn.XLOOKUP(B507,MacReports!B:B,MacReports!D:D,"")</f>
        <v/>
      </c>
    </row>
    <row r="508" spans="6:6">
      <c r="F508" t="str">
        <f>_xlfn.XLOOKUP(B508,MacReports!B:B,MacReports!D:D,"")</f>
        <v/>
      </c>
    </row>
    <row r="509" spans="6:6">
      <c r="F509" t="str">
        <f>_xlfn.XLOOKUP(B509,MacReports!B:B,MacReports!D:D,"")</f>
        <v/>
      </c>
    </row>
    <row r="510" spans="6:6">
      <c r="F510" t="str">
        <f>_xlfn.XLOOKUP(B510,MacReports!B:B,MacReports!D:D,"")</f>
        <v/>
      </c>
    </row>
    <row r="511" spans="6:6">
      <c r="F511" t="str">
        <f>_xlfn.XLOOKUP(B511,MacReports!B:B,MacReports!D:D,"")</f>
        <v/>
      </c>
    </row>
    <row r="512" spans="6:6">
      <c r="F512" t="str">
        <f>_xlfn.XLOOKUP(B512,MacReports!B:B,MacReports!D:D,"")</f>
        <v/>
      </c>
    </row>
    <row r="513" spans="6:6">
      <c r="F513" t="str">
        <f>_xlfn.XLOOKUP(B513,MacReports!B:B,MacReports!D:D,"")</f>
        <v/>
      </c>
    </row>
    <row r="514" spans="6:6">
      <c r="F514" t="str">
        <f>_xlfn.XLOOKUP(B514,MacReports!B:B,MacReports!D:D,"")</f>
        <v/>
      </c>
    </row>
    <row r="515" spans="6:6">
      <c r="F515" t="str">
        <f>_xlfn.XLOOKUP(B515,MacReports!B:B,MacReports!D:D,"")</f>
        <v/>
      </c>
    </row>
    <row r="516" spans="6:6">
      <c r="F516" t="str">
        <f>_xlfn.XLOOKUP(B516,MacReports!B:B,MacReports!D:D,"")</f>
        <v/>
      </c>
    </row>
    <row r="517" spans="6:6">
      <c r="F517" t="str">
        <f>_xlfn.XLOOKUP(B517,MacReports!B:B,MacReports!D:D,"")</f>
        <v/>
      </c>
    </row>
    <row r="518" spans="6:6">
      <c r="F518" t="str">
        <f>_xlfn.XLOOKUP(B518,MacReports!B:B,MacReports!D:D,"")</f>
        <v/>
      </c>
    </row>
    <row r="519" spans="6:6">
      <c r="F519" t="str">
        <f>_xlfn.XLOOKUP(B519,MacReports!B:B,MacReports!D:D,"")</f>
        <v/>
      </c>
    </row>
    <row r="520" spans="6:6">
      <c r="F520" t="str">
        <f>_xlfn.XLOOKUP(B520,MacReports!B:B,MacReports!D:D,"")</f>
        <v/>
      </c>
    </row>
    <row r="521" spans="6:6">
      <c r="F521" t="str">
        <f>_xlfn.XLOOKUP(B521,MacReports!B:B,MacReports!D:D,"")</f>
        <v/>
      </c>
    </row>
    <row r="522" spans="6:6">
      <c r="F522" t="str">
        <f>_xlfn.XLOOKUP(B522,MacReports!B:B,MacReports!D:D,"")</f>
        <v/>
      </c>
    </row>
    <row r="523" spans="6:6">
      <c r="F523" t="str">
        <f>_xlfn.XLOOKUP(B523,MacReports!B:B,MacReports!D:D,"")</f>
        <v/>
      </c>
    </row>
    <row r="524" spans="6:6">
      <c r="F524" t="str">
        <f>_xlfn.XLOOKUP(B524,MacReports!B:B,MacReports!D:D,"")</f>
        <v/>
      </c>
    </row>
    <row r="525" spans="6:6">
      <c r="F525" t="str">
        <f>_xlfn.XLOOKUP(B525,MacReports!B:B,MacReports!D:D,"")</f>
        <v/>
      </c>
    </row>
    <row r="526" spans="6:6">
      <c r="F526" t="str">
        <f>_xlfn.XLOOKUP(B526,MacReports!B:B,MacReports!D:D,"")</f>
        <v/>
      </c>
    </row>
    <row r="527" spans="6:6">
      <c r="F527" t="str">
        <f>_xlfn.XLOOKUP(B527,MacReports!B:B,MacReports!D:D,"")</f>
        <v/>
      </c>
    </row>
    <row r="528" spans="6:6">
      <c r="F528" t="str">
        <f>_xlfn.XLOOKUP(B528,MacReports!B:B,MacReports!D:D,"")</f>
        <v/>
      </c>
    </row>
    <row r="529" spans="6:6">
      <c r="F529" t="str">
        <f>_xlfn.XLOOKUP(B529,MacReports!B:B,MacReports!D:D,"")</f>
        <v/>
      </c>
    </row>
    <row r="530" spans="6:6">
      <c r="F530" t="str">
        <f>_xlfn.XLOOKUP(B530,MacReports!B:B,MacReports!D:D,"")</f>
        <v/>
      </c>
    </row>
    <row r="531" spans="6:6">
      <c r="F531" t="str">
        <f>_xlfn.XLOOKUP(B531,MacReports!B:B,MacReports!D:D,"")</f>
        <v/>
      </c>
    </row>
    <row r="532" spans="6:6">
      <c r="F532" t="str">
        <f>_xlfn.XLOOKUP(B532,MacReports!B:B,MacReports!D:D,"")</f>
        <v/>
      </c>
    </row>
    <row r="533" spans="6:6">
      <c r="F533" t="str">
        <f>_xlfn.XLOOKUP(B533,MacReports!B:B,MacReports!D:D,"")</f>
        <v/>
      </c>
    </row>
    <row r="534" spans="6:6">
      <c r="F534" t="str">
        <f>_xlfn.XLOOKUP(B534,MacReports!B:B,MacReports!D:D,"")</f>
        <v/>
      </c>
    </row>
    <row r="535" spans="6:6">
      <c r="F535" t="str">
        <f>_xlfn.XLOOKUP(B535,MacReports!B:B,MacReports!D:D,"")</f>
        <v/>
      </c>
    </row>
    <row r="536" spans="6:6">
      <c r="F536" t="str">
        <f>_xlfn.XLOOKUP(B536,MacReports!B:B,MacReports!D:D,"")</f>
        <v/>
      </c>
    </row>
    <row r="537" spans="6:6">
      <c r="F537" t="str">
        <f>_xlfn.XLOOKUP(B537,MacReports!B:B,MacReports!D:D,"")</f>
        <v/>
      </c>
    </row>
    <row r="538" spans="6:6">
      <c r="F538" t="str">
        <f>_xlfn.XLOOKUP(B538,MacReports!B:B,MacReports!D:D,"")</f>
        <v/>
      </c>
    </row>
    <row r="539" spans="6:6">
      <c r="F539" t="str">
        <f>_xlfn.XLOOKUP(B539,MacReports!B:B,MacReports!D:D,"")</f>
        <v/>
      </c>
    </row>
    <row r="540" spans="6:6">
      <c r="F540" t="str">
        <f>_xlfn.XLOOKUP(B540,MacReports!B:B,MacReports!D:D,"")</f>
        <v/>
      </c>
    </row>
    <row r="541" spans="6:6">
      <c r="F541" t="str">
        <f>_xlfn.XLOOKUP(B541,MacReports!B:B,MacReports!D:D,"")</f>
        <v/>
      </c>
    </row>
    <row r="542" spans="6:6">
      <c r="F542" t="str">
        <f>_xlfn.XLOOKUP(B542,MacReports!B:B,MacReports!D:D,"")</f>
        <v/>
      </c>
    </row>
    <row r="543" spans="6:6">
      <c r="F543" t="str">
        <f>_xlfn.XLOOKUP(B543,MacReports!B:B,MacReports!D:D,"")</f>
        <v/>
      </c>
    </row>
    <row r="544" spans="6:6">
      <c r="F544" t="str">
        <f>_xlfn.XLOOKUP(B544,MacReports!B:B,MacReports!D:D,"")</f>
        <v/>
      </c>
    </row>
    <row r="545" spans="6:6">
      <c r="F545" t="str">
        <f>_xlfn.XLOOKUP(B545,MacReports!B:B,MacReports!D:D,"")</f>
        <v/>
      </c>
    </row>
    <row r="546" spans="6:6">
      <c r="F546" t="str">
        <f>_xlfn.XLOOKUP(B546,MacReports!B:B,MacReports!D:D,"")</f>
        <v/>
      </c>
    </row>
    <row r="547" spans="6:6">
      <c r="F547" t="str">
        <f>_xlfn.XLOOKUP(B547,MacReports!B:B,MacReports!D:D,"")</f>
        <v/>
      </c>
    </row>
    <row r="548" spans="6:6">
      <c r="F548" t="str">
        <f>_xlfn.XLOOKUP(B548,MacReports!B:B,MacReports!D:D,"")</f>
        <v/>
      </c>
    </row>
    <row r="549" spans="6:6">
      <c r="F549" t="str">
        <f>_xlfn.XLOOKUP(B549,MacReports!B:B,MacReports!D:D,"")</f>
        <v/>
      </c>
    </row>
    <row r="550" spans="6:6">
      <c r="F550" t="str">
        <f>_xlfn.XLOOKUP(B550,MacReports!B:B,MacReports!D:D,"")</f>
        <v/>
      </c>
    </row>
    <row r="551" spans="6:6">
      <c r="F551" t="str">
        <f>_xlfn.XLOOKUP(B551,MacReports!B:B,MacReports!D:D,"")</f>
        <v/>
      </c>
    </row>
    <row r="552" spans="6:6">
      <c r="F552" t="str">
        <f>_xlfn.XLOOKUP(B552,MacReports!B:B,MacReports!D:D,"")</f>
        <v/>
      </c>
    </row>
    <row r="553" spans="6:6">
      <c r="F553" t="str">
        <f>_xlfn.XLOOKUP(B553,MacReports!B:B,MacReports!D:D,"")</f>
        <v/>
      </c>
    </row>
    <row r="554" spans="6:6">
      <c r="F554" t="str">
        <f>_xlfn.XLOOKUP(B554,MacReports!B:B,MacReports!D:D,"")</f>
        <v/>
      </c>
    </row>
    <row r="555" spans="6:6">
      <c r="F555" t="str">
        <f>_xlfn.XLOOKUP(B555,MacReports!B:B,MacReports!D:D,"")</f>
        <v/>
      </c>
    </row>
    <row r="556" spans="6:6">
      <c r="F556" t="str">
        <f>_xlfn.XLOOKUP(B556,MacReports!B:B,MacReports!D:D,"")</f>
        <v/>
      </c>
    </row>
    <row r="557" spans="6:6">
      <c r="F557" t="str">
        <f>_xlfn.XLOOKUP(B557,MacReports!B:B,MacReports!D:D,"")</f>
        <v/>
      </c>
    </row>
    <row r="558" spans="6:6">
      <c r="F558" t="str">
        <f>_xlfn.XLOOKUP(B558,MacReports!B:B,MacReports!D:D,"")</f>
        <v/>
      </c>
    </row>
    <row r="559" spans="6:6">
      <c r="F559" t="str">
        <f>_xlfn.XLOOKUP(B559,MacReports!B:B,MacReports!D:D,"")</f>
        <v/>
      </c>
    </row>
    <row r="560" spans="6:6">
      <c r="F560" t="str">
        <f>_xlfn.XLOOKUP(B560,MacReports!B:B,MacReports!D:D,"")</f>
        <v/>
      </c>
    </row>
    <row r="561" spans="6:6">
      <c r="F561" t="str">
        <f>_xlfn.XLOOKUP(B561,MacReports!B:B,MacReports!D:D,"")</f>
        <v/>
      </c>
    </row>
    <row r="562" spans="6:6">
      <c r="F562" t="str">
        <f>_xlfn.XLOOKUP(B562,MacReports!B:B,MacReports!D:D,"")</f>
        <v/>
      </c>
    </row>
    <row r="563" spans="6:6">
      <c r="F563" t="str">
        <f>_xlfn.XLOOKUP(B563,MacReports!B:B,MacReports!D:D,"")</f>
        <v/>
      </c>
    </row>
    <row r="564" spans="6:6">
      <c r="F564" t="str">
        <f>_xlfn.XLOOKUP(B564,MacReports!B:B,MacReports!D:D,"")</f>
        <v/>
      </c>
    </row>
    <row r="565" spans="6:6">
      <c r="F565" t="str">
        <f>_xlfn.XLOOKUP(B565,MacReports!B:B,MacReports!D:D,"")</f>
        <v/>
      </c>
    </row>
    <row r="566" spans="6:6">
      <c r="F566" t="str">
        <f>_xlfn.XLOOKUP(B566,MacReports!B:B,MacReports!D:D,"")</f>
        <v/>
      </c>
    </row>
    <row r="567" spans="6:6">
      <c r="F567" t="str">
        <f>_xlfn.XLOOKUP(B567,MacReports!B:B,MacReports!D:D,"")</f>
        <v/>
      </c>
    </row>
    <row r="568" spans="6:6">
      <c r="F568" t="str">
        <f>_xlfn.XLOOKUP(B568,MacReports!B:B,MacReports!D:D,"")</f>
        <v/>
      </c>
    </row>
    <row r="569" spans="6:6">
      <c r="F569" t="str">
        <f>_xlfn.XLOOKUP(B569,MacReports!B:B,MacReports!D:D,"")</f>
        <v/>
      </c>
    </row>
    <row r="570" spans="6:6">
      <c r="F570" t="str">
        <f>_xlfn.XLOOKUP(B570,MacReports!B:B,MacReports!D:D,"")</f>
        <v/>
      </c>
    </row>
    <row r="571" spans="6:6">
      <c r="F571" t="str">
        <f>_xlfn.XLOOKUP(B571,MacReports!B:B,MacReports!D:D,"")</f>
        <v/>
      </c>
    </row>
    <row r="572" spans="6:6">
      <c r="F572" t="str">
        <f>_xlfn.XLOOKUP(B572,MacReports!B:B,MacReports!D:D,"")</f>
        <v/>
      </c>
    </row>
    <row r="573" spans="6:6">
      <c r="F573" t="str">
        <f>_xlfn.XLOOKUP(B573,MacReports!B:B,MacReports!D:D,"")</f>
        <v/>
      </c>
    </row>
    <row r="574" spans="6:6">
      <c r="F574" t="str">
        <f>_xlfn.XLOOKUP(B574,MacReports!B:B,MacReports!D:D,"")</f>
        <v/>
      </c>
    </row>
    <row r="575" spans="6:6">
      <c r="F575" t="str">
        <f>_xlfn.XLOOKUP(B575,MacReports!B:B,MacReports!D:D,"")</f>
        <v/>
      </c>
    </row>
    <row r="576" spans="6:6">
      <c r="F576" t="str">
        <f>_xlfn.XLOOKUP(B576,MacReports!B:B,MacReports!D:D,"")</f>
        <v/>
      </c>
    </row>
    <row r="577" spans="6:6">
      <c r="F577" t="str">
        <f>_xlfn.XLOOKUP(B577,MacReports!B:B,MacReports!D:D,"")</f>
        <v/>
      </c>
    </row>
    <row r="578" spans="6:6">
      <c r="F578" t="str">
        <f>_xlfn.XLOOKUP(B578,MacReports!B:B,MacReports!D:D,"")</f>
        <v/>
      </c>
    </row>
    <row r="579" spans="6:6">
      <c r="F579" t="str">
        <f>_xlfn.XLOOKUP(B579,MacReports!B:B,MacReports!D:D,"")</f>
        <v/>
      </c>
    </row>
    <row r="580" spans="6:6">
      <c r="F580" t="str">
        <f>_xlfn.XLOOKUP(B580,MacReports!B:B,MacReports!D:D,"")</f>
        <v/>
      </c>
    </row>
    <row r="581" spans="6:6">
      <c r="F581" t="str">
        <f>_xlfn.XLOOKUP(B581,MacReports!B:B,MacReports!D:D,"")</f>
        <v/>
      </c>
    </row>
    <row r="582" spans="6:6">
      <c r="F582" t="str">
        <f>_xlfn.XLOOKUP(B582,MacReports!B:B,MacReports!D:D,"")</f>
        <v/>
      </c>
    </row>
    <row r="583" spans="6:6">
      <c r="F583" t="str">
        <f>_xlfn.XLOOKUP(B583,MacReports!B:B,MacReports!D:D,"")</f>
        <v/>
      </c>
    </row>
    <row r="584" spans="6:6">
      <c r="F584" t="str">
        <f>_xlfn.XLOOKUP(B584,MacReports!B:B,MacReports!D:D,"")</f>
        <v/>
      </c>
    </row>
    <row r="585" spans="6:6">
      <c r="F585" t="str">
        <f>_xlfn.XLOOKUP(B585,MacReports!B:B,MacReports!D:D,"")</f>
        <v/>
      </c>
    </row>
    <row r="586" spans="6:6">
      <c r="F586" t="str">
        <f>_xlfn.XLOOKUP(B586,MacReports!B:B,MacReports!D:D,"")</f>
        <v/>
      </c>
    </row>
    <row r="587" spans="6:6">
      <c r="F587" t="str">
        <f>_xlfn.XLOOKUP(B587,MacReports!B:B,MacReports!D:D,"")</f>
        <v/>
      </c>
    </row>
    <row r="588" spans="6:6">
      <c r="F588" t="str">
        <f>_xlfn.XLOOKUP(B588,MacReports!B:B,MacReports!D:D,"")</f>
        <v/>
      </c>
    </row>
    <row r="589" spans="6:6">
      <c r="F589" t="str">
        <f>_xlfn.XLOOKUP(B589,MacReports!B:B,MacReports!D:D,"")</f>
        <v/>
      </c>
    </row>
    <row r="590" spans="6:6">
      <c r="F590" t="str">
        <f>_xlfn.XLOOKUP(B590,MacReports!B:B,MacReports!D:D,"")</f>
        <v/>
      </c>
    </row>
    <row r="591" spans="6:6">
      <c r="F591" t="str">
        <f>_xlfn.XLOOKUP(B591,MacReports!B:B,MacReports!D:D,"")</f>
        <v/>
      </c>
    </row>
    <row r="592" spans="6:6">
      <c r="F592" t="str">
        <f>_xlfn.XLOOKUP(B592,MacReports!B:B,MacReports!D:D,"")</f>
        <v/>
      </c>
    </row>
    <row r="593" spans="6:6">
      <c r="F593" t="str">
        <f>_xlfn.XLOOKUP(B593,MacReports!B:B,MacReports!D:D,"")</f>
        <v/>
      </c>
    </row>
    <row r="594" spans="6:6">
      <c r="F594" t="str">
        <f>_xlfn.XLOOKUP(B594,MacReports!B:B,MacReports!D:D,"")</f>
        <v/>
      </c>
    </row>
    <row r="595" spans="6:6">
      <c r="F595" t="str">
        <f>_xlfn.XLOOKUP(B595,MacReports!B:B,MacReports!D:D,"")</f>
        <v/>
      </c>
    </row>
    <row r="596" spans="6:6">
      <c r="F596" t="str">
        <f>_xlfn.XLOOKUP(B596,MacReports!B:B,MacReports!D:D,"")</f>
        <v/>
      </c>
    </row>
    <row r="597" spans="6:6">
      <c r="F597" t="str">
        <f>_xlfn.XLOOKUP(B597,MacReports!B:B,MacReports!D:D,"")</f>
        <v/>
      </c>
    </row>
    <row r="598" spans="6:6">
      <c r="F598" t="str">
        <f>_xlfn.XLOOKUP(B598,MacReports!B:B,MacReports!D:D,"")</f>
        <v/>
      </c>
    </row>
    <row r="599" spans="6:6">
      <c r="F599" t="str">
        <f>_xlfn.XLOOKUP(B599,MacReports!B:B,MacReports!D:D,"")</f>
        <v/>
      </c>
    </row>
    <row r="600" spans="6:6">
      <c r="F600" t="str">
        <f>_xlfn.XLOOKUP(B600,MacReports!B:B,MacReports!D:D,"")</f>
        <v/>
      </c>
    </row>
    <row r="601" spans="6:6">
      <c r="F601" t="str">
        <f>_xlfn.XLOOKUP(B601,MacReports!B:B,MacReports!D:D,"")</f>
        <v/>
      </c>
    </row>
    <row r="602" spans="6:6">
      <c r="F602" t="str">
        <f>_xlfn.XLOOKUP(B602,MacReports!B:B,MacReports!D:D,"")</f>
        <v/>
      </c>
    </row>
    <row r="603" spans="6:6">
      <c r="F603" t="str">
        <f>_xlfn.XLOOKUP(B603,MacReports!B:B,MacReports!D:D,"")</f>
        <v/>
      </c>
    </row>
    <row r="604" spans="6:6">
      <c r="F604" t="str">
        <f>_xlfn.XLOOKUP(B604,MacReports!B:B,MacReports!D:D,"")</f>
        <v/>
      </c>
    </row>
    <row r="605" spans="6:6">
      <c r="F605" t="str">
        <f>_xlfn.XLOOKUP(B605,MacReports!B:B,MacReports!D:D,"")</f>
        <v/>
      </c>
    </row>
    <row r="606" spans="6:6">
      <c r="F606" t="str">
        <f>_xlfn.XLOOKUP(B606,MacReports!B:B,MacReports!D:D,"")</f>
        <v/>
      </c>
    </row>
    <row r="607" spans="6:6">
      <c r="F607" t="str">
        <f>_xlfn.XLOOKUP(B607,MacReports!B:B,MacReports!D:D,"")</f>
        <v/>
      </c>
    </row>
    <row r="608" spans="6:6">
      <c r="F608" t="str">
        <f>_xlfn.XLOOKUP(B608,MacReports!B:B,MacReports!D:D,"")</f>
        <v/>
      </c>
    </row>
    <row r="609" spans="6:6">
      <c r="F609" t="str">
        <f>_xlfn.XLOOKUP(B609,MacReports!B:B,MacReports!D:D,"")</f>
        <v/>
      </c>
    </row>
    <row r="610" spans="6:6">
      <c r="F610" t="str">
        <f>_xlfn.XLOOKUP(B610,MacReports!B:B,MacReports!D:D,"")</f>
        <v/>
      </c>
    </row>
    <row r="611" spans="6:6">
      <c r="F611" t="str">
        <f>_xlfn.XLOOKUP(B611,MacReports!B:B,MacReports!D:D,"")</f>
        <v/>
      </c>
    </row>
    <row r="612" spans="6:6">
      <c r="F612" t="str">
        <f>_xlfn.XLOOKUP(B612,MacReports!B:B,MacReports!D:D,"")</f>
        <v/>
      </c>
    </row>
    <row r="613" spans="6:6">
      <c r="F613" t="str">
        <f>_xlfn.XLOOKUP(B613,MacReports!B:B,MacReports!D:D,"")</f>
        <v/>
      </c>
    </row>
    <row r="614" spans="6:6">
      <c r="F614" t="str">
        <f>_xlfn.XLOOKUP(B614,MacReports!B:B,MacReports!D:D,"")</f>
        <v/>
      </c>
    </row>
    <row r="615" spans="6:6">
      <c r="F615" t="str">
        <f>_xlfn.XLOOKUP(B615,MacReports!B:B,MacReports!D:D,"")</f>
        <v/>
      </c>
    </row>
    <row r="616" spans="6:6">
      <c r="F616" t="str">
        <f>_xlfn.XLOOKUP(B616,MacReports!B:B,MacReports!D:D,"")</f>
        <v/>
      </c>
    </row>
    <row r="617" spans="6:6">
      <c r="F617" t="str">
        <f>_xlfn.XLOOKUP(B617,MacReports!B:B,MacReports!D:D,"")</f>
        <v/>
      </c>
    </row>
    <row r="618" spans="6:6">
      <c r="F618" t="str">
        <f>_xlfn.XLOOKUP(B618,MacReports!B:B,MacReports!D:D,"")</f>
        <v/>
      </c>
    </row>
    <row r="619" spans="6:6">
      <c r="F619" t="str">
        <f>_xlfn.XLOOKUP(B619,MacReports!B:B,MacReports!D:D,"")</f>
        <v/>
      </c>
    </row>
    <row r="620" spans="6:6">
      <c r="F620" t="str">
        <f>_xlfn.XLOOKUP(B620,MacReports!B:B,MacReports!D:D,"")</f>
        <v/>
      </c>
    </row>
    <row r="621" spans="6:6">
      <c r="F621" t="str">
        <f>_xlfn.XLOOKUP(B621,MacReports!B:B,MacReports!D:D,"")</f>
        <v/>
      </c>
    </row>
    <row r="622" spans="6:6">
      <c r="F622" t="str">
        <f>_xlfn.XLOOKUP(B622,MacReports!B:B,MacReports!D:D,"")</f>
        <v/>
      </c>
    </row>
    <row r="623" spans="6:6">
      <c r="F623" t="str">
        <f>_xlfn.XLOOKUP(B623,MacReports!B:B,MacReports!D:D,"")</f>
        <v/>
      </c>
    </row>
    <row r="624" spans="6:6">
      <c r="F624" t="str">
        <f>_xlfn.XLOOKUP(B624,MacReports!B:B,MacReports!D:D,"")</f>
        <v/>
      </c>
    </row>
    <row r="625" spans="6:6">
      <c r="F625" t="str">
        <f>_xlfn.XLOOKUP(B625,MacReports!B:B,MacReports!D:D,"")</f>
        <v/>
      </c>
    </row>
    <row r="626" spans="6:6">
      <c r="F626" t="str">
        <f>_xlfn.XLOOKUP(B626,MacReports!B:B,MacReports!D:D,"")</f>
        <v/>
      </c>
    </row>
    <row r="627" spans="6:6">
      <c r="F627" t="str">
        <f>_xlfn.XLOOKUP(B627,MacReports!B:B,MacReports!D:D,"")</f>
        <v/>
      </c>
    </row>
    <row r="628" spans="6:6">
      <c r="F628" t="str">
        <f>_xlfn.XLOOKUP(B628,MacReports!B:B,MacReports!D:D,"")</f>
        <v/>
      </c>
    </row>
    <row r="629" spans="6:6">
      <c r="F629" t="str">
        <f>_xlfn.XLOOKUP(B629,MacReports!B:B,MacReports!D:D,"")</f>
        <v/>
      </c>
    </row>
    <row r="630" spans="6:6">
      <c r="F630" t="str">
        <f>_xlfn.XLOOKUP(B630,MacReports!B:B,MacReports!D:D,"")</f>
        <v/>
      </c>
    </row>
    <row r="631" spans="6:6">
      <c r="F631" t="str">
        <f>_xlfn.XLOOKUP(B631,MacReports!B:B,MacReports!D:D,"")</f>
        <v/>
      </c>
    </row>
    <row r="632" spans="6:6">
      <c r="F632" t="str">
        <f>_xlfn.XLOOKUP(B632,MacReports!B:B,MacReports!D:D,"")</f>
        <v/>
      </c>
    </row>
    <row r="633" spans="6:6">
      <c r="F633" t="str">
        <f>_xlfn.XLOOKUP(B633,MacReports!B:B,MacReports!D:D,"")</f>
        <v/>
      </c>
    </row>
    <row r="634" spans="6:6">
      <c r="F634" t="str">
        <f>_xlfn.XLOOKUP(B634,MacReports!B:B,MacReports!D:D,"")</f>
        <v/>
      </c>
    </row>
    <row r="635" spans="6:6">
      <c r="F635" t="str">
        <f>_xlfn.XLOOKUP(B635,MacReports!B:B,MacReports!D:D,"")</f>
        <v/>
      </c>
    </row>
    <row r="636" spans="6:6">
      <c r="F636" t="str">
        <f>_xlfn.XLOOKUP(B636,MacReports!B:B,MacReports!D:D,"")</f>
        <v/>
      </c>
    </row>
    <row r="637" spans="6:6">
      <c r="F637" t="str">
        <f>_xlfn.XLOOKUP(B637,MacReports!B:B,MacReports!D:D,"")</f>
        <v/>
      </c>
    </row>
    <row r="638" spans="6:6">
      <c r="F638" t="str">
        <f>_xlfn.XLOOKUP(B638,MacReports!B:B,MacReports!D:D,"")</f>
        <v/>
      </c>
    </row>
    <row r="639" spans="6:6">
      <c r="F639" t="str">
        <f>_xlfn.XLOOKUP(B639,MacReports!B:B,MacReports!D:D,"")</f>
        <v/>
      </c>
    </row>
    <row r="640" spans="6:6">
      <c r="F640" t="str">
        <f>_xlfn.XLOOKUP(B640,MacReports!B:B,MacReports!D:D,"")</f>
        <v/>
      </c>
    </row>
    <row r="641" spans="6:6">
      <c r="F641" t="str">
        <f>_xlfn.XLOOKUP(B641,MacReports!B:B,MacReports!D:D,"")</f>
        <v/>
      </c>
    </row>
    <row r="642" spans="6:6">
      <c r="F642" t="str">
        <f>_xlfn.XLOOKUP(B642,MacReports!B:B,MacReports!D:D,"")</f>
        <v/>
      </c>
    </row>
    <row r="643" spans="6:6">
      <c r="F643" t="str">
        <f>_xlfn.XLOOKUP(B643,MacReports!B:B,MacReports!D:D,"")</f>
        <v/>
      </c>
    </row>
    <row r="644" spans="6:6">
      <c r="F644" t="str">
        <f>_xlfn.XLOOKUP(B644,MacReports!B:B,MacReports!D:D,"")</f>
        <v/>
      </c>
    </row>
    <row r="645" spans="6:6">
      <c r="F645" t="str">
        <f>_xlfn.XLOOKUP(B645,MacReports!B:B,MacReports!D:D,"")</f>
        <v/>
      </c>
    </row>
    <row r="646" spans="6:6">
      <c r="F646" t="str">
        <f>_xlfn.XLOOKUP(B646,MacReports!B:B,MacReports!D:D,"")</f>
        <v/>
      </c>
    </row>
    <row r="647" spans="6:6">
      <c r="F647" t="str">
        <f>_xlfn.XLOOKUP(B647,MacReports!B:B,MacReports!D:D,"")</f>
        <v/>
      </c>
    </row>
    <row r="648" spans="6:6">
      <c r="F648" t="str">
        <f>_xlfn.XLOOKUP(B648,MacReports!B:B,MacReports!D:D,"")</f>
        <v/>
      </c>
    </row>
    <row r="649" spans="6:6">
      <c r="F649" t="str">
        <f>_xlfn.XLOOKUP(B649,MacReports!B:B,MacReports!D:D,"")</f>
        <v/>
      </c>
    </row>
    <row r="650" spans="6:6">
      <c r="F650" t="str">
        <f>_xlfn.XLOOKUP(B650,MacReports!B:B,MacReports!D:D,"")</f>
        <v/>
      </c>
    </row>
    <row r="651" spans="6:6">
      <c r="F651" t="str">
        <f>_xlfn.XLOOKUP(B651,MacReports!B:B,MacReports!D:D,"")</f>
        <v/>
      </c>
    </row>
    <row r="652" spans="6:6">
      <c r="F652" t="str">
        <f>_xlfn.XLOOKUP(B652,MacReports!B:B,MacReports!D:D,"")</f>
        <v/>
      </c>
    </row>
    <row r="653" spans="6:6">
      <c r="F653" t="str">
        <f>_xlfn.XLOOKUP(B653,MacReports!B:B,MacReports!D:D,"")</f>
        <v/>
      </c>
    </row>
    <row r="654" spans="6:6">
      <c r="F654" t="str">
        <f>_xlfn.XLOOKUP(B654,MacReports!B:B,MacReports!D:D,"")</f>
        <v/>
      </c>
    </row>
    <row r="655" spans="6:6">
      <c r="F655" t="str">
        <f>_xlfn.XLOOKUP(B655,MacReports!B:B,MacReports!D:D,"")</f>
        <v/>
      </c>
    </row>
    <row r="656" spans="6:6">
      <c r="F656" t="str">
        <f>_xlfn.XLOOKUP(B656,MacReports!B:B,MacReports!D:D,"")</f>
        <v/>
      </c>
    </row>
    <row r="657" spans="6:6">
      <c r="F657" t="str">
        <f>_xlfn.XLOOKUP(B657,MacReports!B:B,MacReports!D:D,"")</f>
        <v/>
      </c>
    </row>
    <row r="658" spans="6:6">
      <c r="F658" t="str">
        <f>_xlfn.XLOOKUP(B658,MacReports!B:B,MacReports!D:D,"")</f>
        <v/>
      </c>
    </row>
    <row r="659" spans="6:6">
      <c r="F659" t="str">
        <f>_xlfn.XLOOKUP(B659,MacReports!B:B,MacReports!D:D,"")</f>
        <v/>
      </c>
    </row>
    <row r="660" spans="6:6">
      <c r="F660" t="str">
        <f>_xlfn.XLOOKUP(B660,MacReports!B:B,MacReports!D:D,"")</f>
        <v/>
      </c>
    </row>
    <row r="661" spans="6:6">
      <c r="F661" t="str">
        <f>_xlfn.XLOOKUP(B661,MacReports!B:B,MacReports!D:D,"")</f>
        <v/>
      </c>
    </row>
    <row r="662" spans="6:6">
      <c r="F662" t="str">
        <f>_xlfn.XLOOKUP(B662,MacReports!B:B,MacReports!D:D,"")</f>
        <v/>
      </c>
    </row>
    <row r="663" spans="6:6">
      <c r="F663" t="str">
        <f>_xlfn.XLOOKUP(B663,MacReports!B:B,MacReports!D:D,"")</f>
        <v/>
      </c>
    </row>
    <row r="664" spans="6:6">
      <c r="F664" t="str">
        <f>_xlfn.XLOOKUP(B664,MacReports!B:B,MacReports!D:D,"")</f>
        <v/>
      </c>
    </row>
    <row r="665" spans="6:6">
      <c r="F665" t="str">
        <f>_xlfn.XLOOKUP(B665,MacReports!B:B,MacReports!D:D,"")</f>
        <v/>
      </c>
    </row>
    <row r="666" spans="6:6">
      <c r="F666" t="str">
        <f>_xlfn.XLOOKUP(B666,MacReports!B:B,MacReports!D:D,"")</f>
        <v/>
      </c>
    </row>
    <row r="667" spans="6:6">
      <c r="F667" t="str">
        <f>_xlfn.XLOOKUP(B667,MacReports!B:B,MacReports!D:D,"")</f>
        <v/>
      </c>
    </row>
    <row r="668" spans="6:6">
      <c r="F668" t="str">
        <f>_xlfn.XLOOKUP(B668,MacReports!B:B,MacReports!D:D,"")</f>
        <v/>
      </c>
    </row>
    <row r="669" spans="6:6">
      <c r="F669" t="str">
        <f>_xlfn.XLOOKUP(B669,MacReports!B:B,MacReports!D:D,"")</f>
        <v/>
      </c>
    </row>
    <row r="670" spans="6:6">
      <c r="F670" t="str">
        <f>_xlfn.XLOOKUP(B670,MacReports!B:B,MacReports!D:D,"")</f>
        <v/>
      </c>
    </row>
    <row r="671" spans="6:6">
      <c r="F671" t="str">
        <f>_xlfn.XLOOKUP(B671,MacReports!B:B,MacReports!D:D,"")</f>
        <v/>
      </c>
    </row>
    <row r="672" spans="6:6">
      <c r="F672" t="str">
        <f>_xlfn.XLOOKUP(B672,MacReports!B:B,MacReports!D:D,"")</f>
        <v/>
      </c>
    </row>
    <row r="673" spans="6:6">
      <c r="F673" t="str">
        <f>_xlfn.XLOOKUP(B673,MacReports!B:B,MacReports!D:D,"")</f>
        <v/>
      </c>
    </row>
    <row r="674" spans="6:6">
      <c r="F674" t="str">
        <f>_xlfn.XLOOKUP(B674,MacReports!B:B,MacReports!D:D,"")</f>
        <v/>
      </c>
    </row>
    <row r="675" spans="6:6">
      <c r="F675" t="str">
        <f>_xlfn.XLOOKUP(B675,MacReports!B:B,MacReports!D:D,"")</f>
        <v/>
      </c>
    </row>
    <row r="676" spans="6:6">
      <c r="F676" t="str">
        <f>_xlfn.XLOOKUP(B676,MacReports!B:B,MacReports!D:D,"")</f>
        <v/>
      </c>
    </row>
    <row r="677" spans="6:6">
      <c r="F677" t="str">
        <f>_xlfn.XLOOKUP(B677,MacReports!B:B,MacReports!D:D,"")</f>
        <v/>
      </c>
    </row>
    <row r="678" spans="6:6">
      <c r="F678" t="str">
        <f>_xlfn.XLOOKUP(B678,MacReports!B:B,MacReports!D:D,"")</f>
        <v/>
      </c>
    </row>
    <row r="679" spans="6:6">
      <c r="F679" t="str">
        <f>_xlfn.XLOOKUP(B679,MacReports!B:B,MacReports!D:D,"")</f>
        <v/>
      </c>
    </row>
    <row r="680" spans="6:6">
      <c r="F680" t="str">
        <f>_xlfn.XLOOKUP(B680,MacReports!B:B,MacReports!D:D,"")</f>
        <v/>
      </c>
    </row>
    <row r="681" spans="6:6">
      <c r="F681" t="str">
        <f>_xlfn.XLOOKUP(B681,MacReports!B:B,MacReports!D:D,"")</f>
        <v/>
      </c>
    </row>
    <row r="682" spans="6:6">
      <c r="F682" t="str">
        <f>_xlfn.XLOOKUP(B682,MacReports!B:B,MacReports!D:D,"")</f>
        <v/>
      </c>
    </row>
    <row r="683" spans="6:6">
      <c r="F683" t="str">
        <f>_xlfn.XLOOKUP(B683,MacReports!B:B,MacReports!D:D,"")</f>
        <v/>
      </c>
    </row>
    <row r="684" spans="6:6">
      <c r="F684" t="str">
        <f>_xlfn.XLOOKUP(B684,MacReports!B:B,MacReports!D:D,"")</f>
        <v/>
      </c>
    </row>
    <row r="685" spans="6:6">
      <c r="F685" t="str">
        <f>_xlfn.XLOOKUP(B685,MacReports!B:B,MacReports!D:D,"")</f>
        <v/>
      </c>
    </row>
    <row r="686" spans="6:6">
      <c r="F686" t="str">
        <f>_xlfn.XLOOKUP(B686,MacReports!B:B,MacReports!D:D,"")</f>
        <v/>
      </c>
    </row>
    <row r="687" spans="6:6">
      <c r="F687" t="str">
        <f>_xlfn.XLOOKUP(B687,MacReports!B:B,MacReports!D:D,"")</f>
        <v/>
      </c>
    </row>
    <row r="688" spans="6:6">
      <c r="F688" t="str">
        <f>_xlfn.XLOOKUP(B688,MacReports!B:B,MacReports!D:D,"")</f>
        <v/>
      </c>
    </row>
    <row r="689" spans="6:6">
      <c r="F689" t="str">
        <f>_xlfn.XLOOKUP(B689,MacReports!B:B,MacReports!D:D,"")</f>
        <v/>
      </c>
    </row>
    <row r="690" spans="6:6">
      <c r="F690" t="str">
        <f>_xlfn.XLOOKUP(B690,MacReports!B:B,MacReports!D:D,"")</f>
        <v/>
      </c>
    </row>
    <row r="691" spans="6:6">
      <c r="F691" t="str">
        <f>_xlfn.XLOOKUP(B691,MacReports!B:B,MacReports!D:D,"")</f>
        <v/>
      </c>
    </row>
    <row r="692" spans="6:6">
      <c r="F692" t="str">
        <f>_xlfn.XLOOKUP(B692,MacReports!B:B,MacReports!D:D,"")</f>
        <v/>
      </c>
    </row>
    <row r="693" spans="6:6">
      <c r="F693" t="str">
        <f>_xlfn.XLOOKUP(B693,MacReports!B:B,MacReports!D:D,"")</f>
        <v/>
      </c>
    </row>
    <row r="694" spans="6:6">
      <c r="F694" t="str">
        <f>_xlfn.XLOOKUP(B694,MacReports!B:B,MacReports!D:D,"")</f>
        <v/>
      </c>
    </row>
    <row r="695" spans="6:6">
      <c r="F695" t="str">
        <f>_xlfn.XLOOKUP(B695,MacReports!B:B,MacReports!D:D,"")</f>
        <v/>
      </c>
    </row>
    <row r="696" spans="6:6">
      <c r="F696" t="str">
        <f>_xlfn.XLOOKUP(B696,MacReports!B:B,MacReports!D:D,"")</f>
        <v/>
      </c>
    </row>
    <row r="697" spans="6:6">
      <c r="F697" t="str">
        <f>_xlfn.XLOOKUP(B697,MacReports!B:B,MacReports!D:D,"")</f>
        <v/>
      </c>
    </row>
    <row r="698" spans="6:6">
      <c r="F698" t="str">
        <f>_xlfn.XLOOKUP(B698,MacReports!B:B,MacReports!D:D,"")</f>
        <v/>
      </c>
    </row>
    <row r="699" spans="6:6">
      <c r="F699" t="str">
        <f>_xlfn.XLOOKUP(B699,MacReports!B:B,MacReports!D:D,"")</f>
        <v/>
      </c>
    </row>
    <row r="700" spans="6:6">
      <c r="F700" t="str">
        <f>_xlfn.XLOOKUP(B700,MacReports!B:B,MacReports!D:D,"")</f>
        <v/>
      </c>
    </row>
    <row r="701" spans="6:6">
      <c r="F701" t="str">
        <f>_xlfn.XLOOKUP(B701,MacReports!B:B,MacReports!D:D,"")</f>
        <v/>
      </c>
    </row>
    <row r="702" spans="6:6">
      <c r="F702" t="str">
        <f>_xlfn.XLOOKUP(B702,MacReports!B:B,MacReports!D:D,"")</f>
        <v/>
      </c>
    </row>
    <row r="703" spans="6:6">
      <c r="F703" t="str">
        <f>_xlfn.XLOOKUP(B703,MacReports!B:B,MacReports!D:D,"")</f>
        <v/>
      </c>
    </row>
    <row r="704" spans="6:6">
      <c r="F704" t="str">
        <f>_xlfn.XLOOKUP(B704,MacReports!B:B,MacReports!D:D,"")</f>
        <v/>
      </c>
    </row>
    <row r="705" spans="6:6">
      <c r="F705" t="str">
        <f>_xlfn.XLOOKUP(B705,MacReports!B:B,MacReports!D:D,"")</f>
        <v/>
      </c>
    </row>
    <row r="706" spans="6:6">
      <c r="F706" t="str">
        <f>_xlfn.XLOOKUP(B706,MacReports!B:B,MacReports!D:D,"")</f>
        <v/>
      </c>
    </row>
    <row r="707" spans="6:6">
      <c r="F707" t="str">
        <f>_xlfn.XLOOKUP(B707,MacReports!B:B,MacReports!D:D,"")</f>
        <v/>
      </c>
    </row>
    <row r="708" spans="6:6">
      <c r="F708" t="str">
        <f>_xlfn.XLOOKUP(B708,MacReports!B:B,MacReports!D:D,"")</f>
        <v/>
      </c>
    </row>
    <row r="709" spans="6:6">
      <c r="F709" t="str">
        <f>_xlfn.XLOOKUP(B709,MacReports!B:B,MacReports!D:D,"")</f>
        <v/>
      </c>
    </row>
    <row r="710" spans="6:6">
      <c r="F710" t="str">
        <f>_xlfn.XLOOKUP(B710,MacReports!B:B,MacReports!D:D,"")</f>
        <v/>
      </c>
    </row>
    <row r="711" spans="6:6">
      <c r="F711" t="str">
        <f>_xlfn.XLOOKUP(B711,MacReports!B:B,MacReports!D:D,"")</f>
        <v/>
      </c>
    </row>
    <row r="712" spans="6:6">
      <c r="F712" t="str">
        <f>_xlfn.XLOOKUP(B712,MacReports!B:B,MacReports!D:D,"")</f>
        <v/>
      </c>
    </row>
    <row r="713" spans="6:6">
      <c r="F713" t="str">
        <f>_xlfn.XLOOKUP(B713,MacReports!B:B,MacReports!D:D,"")</f>
        <v/>
      </c>
    </row>
    <row r="714" spans="6:6">
      <c r="F714" t="str">
        <f>_xlfn.XLOOKUP(B714,MacReports!B:B,MacReports!D:D,"")</f>
        <v/>
      </c>
    </row>
    <row r="715" spans="6:6">
      <c r="F715" t="str">
        <f>_xlfn.XLOOKUP(B715,MacReports!B:B,MacReports!D:D,"")</f>
        <v/>
      </c>
    </row>
    <row r="716" spans="6:6">
      <c r="F716" t="str">
        <f>_xlfn.XLOOKUP(B716,MacReports!B:B,MacReports!D:D,"")</f>
        <v/>
      </c>
    </row>
    <row r="717" spans="6:6">
      <c r="F717" t="str">
        <f>_xlfn.XLOOKUP(B717,MacReports!B:B,MacReports!D:D,"")</f>
        <v/>
      </c>
    </row>
    <row r="718" spans="6:6">
      <c r="F718" t="str">
        <f>_xlfn.XLOOKUP(B718,MacReports!B:B,MacReports!D:D,"")</f>
        <v/>
      </c>
    </row>
    <row r="719" spans="6:6">
      <c r="F719" t="str">
        <f>_xlfn.XLOOKUP(B719,MacReports!B:B,MacReports!D:D,"")</f>
        <v/>
      </c>
    </row>
    <row r="720" spans="6:6">
      <c r="F720" t="str">
        <f>_xlfn.XLOOKUP(B720,MacReports!B:B,MacReports!D:D,"")</f>
        <v/>
      </c>
    </row>
    <row r="721" spans="6:6">
      <c r="F721" t="str">
        <f>_xlfn.XLOOKUP(B721,MacReports!B:B,MacReports!D:D,"")</f>
        <v/>
      </c>
    </row>
    <row r="722" spans="6:6">
      <c r="F722" t="str">
        <f>_xlfn.XLOOKUP(B722,MacReports!B:B,MacReports!D:D,"")</f>
        <v/>
      </c>
    </row>
    <row r="723" spans="6:6">
      <c r="F723" t="str">
        <f>_xlfn.XLOOKUP(B723,MacReports!B:B,MacReports!D:D,"")</f>
        <v/>
      </c>
    </row>
    <row r="724" spans="6:6">
      <c r="F724" t="str">
        <f>_xlfn.XLOOKUP(B724,MacReports!B:B,MacReports!D:D,"")</f>
        <v/>
      </c>
    </row>
    <row r="725" spans="6:6">
      <c r="F725" t="str">
        <f>_xlfn.XLOOKUP(B725,MacReports!B:B,MacReports!D:D,"")</f>
        <v/>
      </c>
    </row>
    <row r="726" spans="6:6">
      <c r="F726" t="str">
        <f>_xlfn.XLOOKUP(B726,MacReports!B:B,MacReports!D:D,"")</f>
        <v/>
      </c>
    </row>
    <row r="727" spans="6:6">
      <c r="F727" t="str">
        <f>_xlfn.XLOOKUP(B727,MacReports!B:B,MacReports!D:D,"")</f>
        <v/>
      </c>
    </row>
    <row r="728" spans="6:6">
      <c r="F728" t="str">
        <f>_xlfn.XLOOKUP(B728,MacReports!B:B,MacReports!D:D,"")</f>
        <v/>
      </c>
    </row>
    <row r="729" spans="6:6">
      <c r="F729" t="str">
        <f>_xlfn.XLOOKUP(B729,MacReports!B:B,MacReports!D:D,"")</f>
        <v/>
      </c>
    </row>
    <row r="730" spans="6:6">
      <c r="F730" t="str">
        <f>_xlfn.XLOOKUP(B730,MacReports!B:B,MacReports!D:D,"")</f>
        <v/>
      </c>
    </row>
    <row r="731" spans="6:6">
      <c r="F731" t="str">
        <f>_xlfn.XLOOKUP(B731,MacReports!B:B,MacReports!D:D,"")</f>
        <v/>
      </c>
    </row>
    <row r="732" spans="6:6">
      <c r="F732" t="str">
        <f>_xlfn.XLOOKUP(B732,MacReports!B:B,MacReports!D:D,"")</f>
        <v/>
      </c>
    </row>
    <row r="733" spans="6:6">
      <c r="F733" t="str">
        <f>_xlfn.XLOOKUP(B733,MacReports!B:B,MacReports!D:D,"")</f>
        <v/>
      </c>
    </row>
    <row r="734" spans="6:6">
      <c r="F734" t="str">
        <f>_xlfn.XLOOKUP(B734,MacReports!B:B,MacReports!D:D,"")</f>
        <v/>
      </c>
    </row>
    <row r="735" spans="6:6">
      <c r="F735" t="str">
        <f>_xlfn.XLOOKUP(B735,MacReports!B:B,MacReports!D:D,"")</f>
        <v/>
      </c>
    </row>
    <row r="736" spans="6:6">
      <c r="F736" t="str">
        <f>_xlfn.XLOOKUP(B736,MacReports!B:B,MacReports!D:D,"")</f>
        <v/>
      </c>
    </row>
    <row r="737" spans="6:6">
      <c r="F737" t="str">
        <f>_xlfn.XLOOKUP(B737,MacReports!B:B,MacReports!D:D,"")</f>
        <v/>
      </c>
    </row>
    <row r="738" spans="6:6">
      <c r="F738" t="str">
        <f>_xlfn.XLOOKUP(B738,MacReports!B:B,MacReports!D:D,"")</f>
        <v/>
      </c>
    </row>
    <row r="739" spans="6:6">
      <c r="F739" t="str">
        <f>_xlfn.XLOOKUP(B739,MacReports!B:B,MacReports!D:D,"")</f>
        <v/>
      </c>
    </row>
    <row r="740" spans="6:6">
      <c r="F740" t="str">
        <f>_xlfn.XLOOKUP(B740,MacReports!B:B,MacReports!D:D,"")</f>
        <v/>
      </c>
    </row>
    <row r="741" spans="6:6">
      <c r="F741" t="str">
        <f>_xlfn.XLOOKUP(B741,MacReports!B:B,MacReports!D:D,"")</f>
        <v/>
      </c>
    </row>
    <row r="742" spans="6:6">
      <c r="F742" t="str">
        <f>_xlfn.XLOOKUP(B742,MacReports!B:B,MacReports!D:D,"")</f>
        <v/>
      </c>
    </row>
    <row r="743" spans="6:6">
      <c r="F743" t="str">
        <f>_xlfn.XLOOKUP(B743,MacReports!B:B,MacReports!D:D,"")</f>
        <v/>
      </c>
    </row>
    <row r="744" spans="6:6">
      <c r="F744" t="str">
        <f>_xlfn.XLOOKUP(B744,MacReports!B:B,MacReports!D:D,"")</f>
        <v/>
      </c>
    </row>
    <row r="745" spans="6:6">
      <c r="F745" t="str">
        <f>_xlfn.XLOOKUP(B745,MacReports!B:B,MacReports!D:D,"")</f>
        <v/>
      </c>
    </row>
    <row r="746" spans="6:6">
      <c r="F746" t="str">
        <f>_xlfn.XLOOKUP(B746,MacReports!B:B,MacReports!D:D,"")</f>
        <v/>
      </c>
    </row>
    <row r="747" spans="6:6">
      <c r="F747" t="str">
        <f>_xlfn.XLOOKUP(B747,MacReports!B:B,MacReports!D:D,"")</f>
        <v/>
      </c>
    </row>
    <row r="748" spans="6:6">
      <c r="F748" t="str">
        <f>_xlfn.XLOOKUP(B748,MacReports!B:B,MacReports!D:D,"")</f>
        <v/>
      </c>
    </row>
    <row r="749" spans="6:6">
      <c r="F749" t="str">
        <f>_xlfn.XLOOKUP(B749,MacReports!B:B,MacReports!D:D,"")</f>
        <v/>
      </c>
    </row>
    <row r="750" spans="6:6">
      <c r="F750" t="str">
        <f>_xlfn.XLOOKUP(B750,MacReports!B:B,MacReports!D:D,"")</f>
        <v/>
      </c>
    </row>
    <row r="751" spans="6:6">
      <c r="F751" t="str">
        <f>_xlfn.XLOOKUP(B751,MacReports!B:B,MacReports!D:D,"")</f>
        <v/>
      </c>
    </row>
    <row r="752" spans="6:6">
      <c r="F752" t="str">
        <f>_xlfn.XLOOKUP(B752,MacReports!B:B,MacReports!D:D,"")</f>
        <v/>
      </c>
    </row>
    <row r="753" spans="6:6">
      <c r="F753" t="str">
        <f>_xlfn.XLOOKUP(B753,MacReports!B:B,MacReports!D:D,"")</f>
        <v/>
      </c>
    </row>
    <row r="754" spans="6:6">
      <c r="F754" t="str">
        <f>_xlfn.XLOOKUP(B754,MacReports!B:B,MacReports!D:D,"")</f>
        <v/>
      </c>
    </row>
    <row r="755" spans="6:6">
      <c r="F755" t="str">
        <f>_xlfn.XLOOKUP(B755,MacReports!B:B,MacReports!D:D,"")</f>
        <v/>
      </c>
    </row>
    <row r="756" spans="6:6">
      <c r="F756" t="str">
        <f>_xlfn.XLOOKUP(B756,MacReports!B:B,MacReports!D:D,"")</f>
        <v/>
      </c>
    </row>
    <row r="757" spans="6:6">
      <c r="F757" t="str">
        <f>_xlfn.XLOOKUP(B757,MacReports!B:B,MacReports!D:D,"")</f>
        <v/>
      </c>
    </row>
    <row r="758" spans="6:6">
      <c r="F758" t="str">
        <f>_xlfn.XLOOKUP(B758,MacReports!B:B,MacReports!D:D,"")</f>
        <v/>
      </c>
    </row>
    <row r="759" spans="6:6">
      <c r="F759" t="str">
        <f>_xlfn.XLOOKUP(B759,MacReports!B:B,MacReports!D:D,"")</f>
        <v/>
      </c>
    </row>
    <row r="760" spans="6:6">
      <c r="F760" t="str">
        <f>_xlfn.XLOOKUP(B760,MacReports!B:B,MacReports!D:D,"")</f>
        <v/>
      </c>
    </row>
    <row r="761" spans="6:6">
      <c r="F761" t="str">
        <f>_xlfn.XLOOKUP(B761,MacReports!B:B,MacReports!D:D,"")</f>
        <v/>
      </c>
    </row>
    <row r="762" spans="6:6">
      <c r="F762" t="str">
        <f>_xlfn.XLOOKUP(B762,MacReports!B:B,MacReports!D:D,"")</f>
        <v/>
      </c>
    </row>
    <row r="763" spans="6:6">
      <c r="F763" t="str">
        <f>_xlfn.XLOOKUP(B763,MacReports!B:B,MacReports!D:D,"")</f>
        <v/>
      </c>
    </row>
    <row r="764" spans="6:6">
      <c r="F764" t="str">
        <f>_xlfn.XLOOKUP(B764,MacReports!B:B,MacReports!D:D,"")</f>
        <v/>
      </c>
    </row>
    <row r="765" spans="6:6">
      <c r="F765" t="str">
        <f>_xlfn.XLOOKUP(B765,MacReports!B:B,MacReports!D:D,"")</f>
        <v/>
      </c>
    </row>
    <row r="766" spans="6:6">
      <c r="F766" t="str">
        <f>_xlfn.XLOOKUP(B766,MacReports!B:B,MacReports!D:D,"")</f>
        <v/>
      </c>
    </row>
    <row r="767" spans="6:6">
      <c r="F767" t="str">
        <f>_xlfn.XLOOKUP(B767,MacReports!B:B,MacReports!D:D,"")</f>
        <v/>
      </c>
    </row>
    <row r="768" spans="6:6">
      <c r="F768" t="str">
        <f>_xlfn.XLOOKUP(B768,MacReports!B:B,MacReports!D:D,"")</f>
        <v/>
      </c>
    </row>
    <row r="769" spans="6:6">
      <c r="F769" t="str">
        <f>_xlfn.XLOOKUP(B769,MacReports!B:B,MacReports!D:D,"")</f>
        <v/>
      </c>
    </row>
    <row r="770" spans="6:6">
      <c r="F770" t="str">
        <f>_xlfn.XLOOKUP(B770,MacReports!B:B,MacReports!D:D,"")</f>
        <v/>
      </c>
    </row>
    <row r="771" spans="6:6">
      <c r="F771" t="str">
        <f>_xlfn.XLOOKUP(B771,MacReports!B:B,MacReports!D:D,"")</f>
        <v/>
      </c>
    </row>
    <row r="772" spans="6:6">
      <c r="F772" t="str">
        <f>_xlfn.XLOOKUP(B772,MacReports!B:B,MacReports!D:D,"")</f>
        <v/>
      </c>
    </row>
    <row r="773" spans="6:6">
      <c r="F773" t="str">
        <f>_xlfn.XLOOKUP(B773,MacReports!B:B,MacReports!D:D,"")</f>
        <v/>
      </c>
    </row>
    <row r="774" spans="6:6">
      <c r="F774" t="str">
        <f>_xlfn.XLOOKUP(B774,MacReports!B:B,MacReports!D:D,"")</f>
        <v/>
      </c>
    </row>
    <row r="775" spans="6:6">
      <c r="F775" t="str">
        <f>_xlfn.XLOOKUP(B775,MacReports!B:B,MacReports!D:D,"")</f>
        <v/>
      </c>
    </row>
    <row r="776" spans="6:6">
      <c r="F776" t="str">
        <f>_xlfn.XLOOKUP(B776,MacReports!B:B,MacReports!D:D,"")</f>
        <v/>
      </c>
    </row>
    <row r="777" spans="6:6">
      <c r="F777" t="str">
        <f>_xlfn.XLOOKUP(B777,MacReports!B:B,MacReports!D:D,"")</f>
        <v/>
      </c>
    </row>
    <row r="778" spans="6:6">
      <c r="F778" t="str">
        <f>_xlfn.XLOOKUP(B778,MacReports!B:B,MacReports!D:D,"")</f>
        <v/>
      </c>
    </row>
    <row r="779" spans="6:6">
      <c r="F779" t="str">
        <f>_xlfn.XLOOKUP(B779,MacReports!B:B,MacReports!D:D,"")</f>
        <v/>
      </c>
    </row>
    <row r="780" spans="6:6">
      <c r="F780" t="str">
        <f>_xlfn.XLOOKUP(B780,MacReports!B:B,MacReports!D:D,"")</f>
        <v/>
      </c>
    </row>
    <row r="781" spans="6:6">
      <c r="F781" t="str">
        <f>_xlfn.XLOOKUP(B781,MacReports!B:B,MacReports!D:D,"")</f>
        <v/>
      </c>
    </row>
    <row r="782" spans="6:6">
      <c r="F782" t="str">
        <f>_xlfn.XLOOKUP(B782,MacReports!B:B,MacReports!D:D,"")</f>
        <v/>
      </c>
    </row>
    <row r="783" spans="6:6">
      <c r="F783" t="str">
        <f>_xlfn.XLOOKUP(B783,MacReports!B:B,MacReports!D:D,"")</f>
        <v/>
      </c>
    </row>
    <row r="784" spans="6:6">
      <c r="F784" t="str">
        <f>_xlfn.XLOOKUP(B784,MacReports!B:B,MacReports!D:D,"")</f>
        <v/>
      </c>
    </row>
    <row r="785" spans="6:6">
      <c r="F785" t="str">
        <f>_xlfn.XLOOKUP(B785,MacReports!B:B,MacReports!D:D,"")</f>
        <v/>
      </c>
    </row>
    <row r="786" spans="6:6">
      <c r="F786" t="str">
        <f>_xlfn.XLOOKUP(B786,MacReports!B:B,MacReports!D:D,"")</f>
        <v/>
      </c>
    </row>
    <row r="787" spans="6:6">
      <c r="F787" t="str">
        <f>_xlfn.XLOOKUP(B787,MacReports!B:B,MacReports!D:D,"")</f>
        <v/>
      </c>
    </row>
    <row r="788" spans="6:6">
      <c r="F788" t="str">
        <f>_xlfn.XLOOKUP(B788,MacReports!B:B,MacReports!D:D,"")</f>
        <v/>
      </c>
    </row>
    <row r="789" spans="6:6">
      <c r="F789" t="str">
        <f>_xlfn.XLOOKUP(B789,MacReports!B:B,MacReports!D:D,"")</f>
        <v/>
      </c>
    </row>
    <row r="790" spans="6:6">
      <c r="F790" t="str">
        <f>_xlfn.XLOOKUP(B790,MacReports!B:B,MacReports!D:D,"")</f>
        <v/>
      </c>
    </row>
    <row r="791" spans="6:6">
      <c r="F791" t="str">
        <f>_xlfn.XLOOKUP(B791,MacReports!B:B,MacReports!D:D,"")</f>
        <v/>
      </c>
    </row>
    <row r="792" spans="6:6">
      <c r="F792" t="str">
        <f>_xlfn.XLOOKUP(B792,MacReports!B:B,MacReports!D:D,"")</f>
        <v/>
      </c>
    </row>
    <row r="793" spans="6:6">
      <c r="F793" t="str">
        <f>_xlfn.XLOOKUP(B793,MacReports!B:B,MacReports!D:D,"")</f>
        <v/>
      </c>
    </row>
    <row r="794" spans="6:6">
      <c r="F794" t="str">
        <f>_xlfn.XLOOKUP(B794,MacReports!B:B,MacReports!D:D,"")</f>
        <v/>
      </c>
    </row>
    <row r="795" spans="6:6">
      <c r="F795" t="str">
        <f>_xlfn.XLOOKUP(B795,MacReports!B:B,MacReports!D:D,"")</f>
        <v/>
      </c>
    </row>
    <row r="796" spans="6:6">
      <c r="F796" t="str">
        <f>_xlfn.XLOOKUP(B796,MacReports!B:B,MacReports!D:D,"")</f>
        <v/>
      </c>
    </row>
    <row r="797" spans="6:6">
      <c r="F797" t="str">
        <f>_xlfn.XLOOKUP(B797,MacReports!B:B,MacReports!D:D,"")</f>
        <v/>
      </c>
    </row>
    <row r="798" spans="6:6">
      <c r="F798" t="str">
        <f>_xlfn.XLOOKUP(B798,MacReports!B:B,MacReports!D:D,"")</f>
        <v/>
      </c>
    </row>
    <row r="799" spans="6:6">
      <c r="F799" t="str">
        <f>_xlfn.XLOOKUP(B799,MacReports!B:B,MacReports!D:D,"")</f>
        <v/>
      </c>
    </row>
    <row r="800" spans="6:6">
      <c r="F800" t="str">
        <f>_xlfn.XLOOKUP(B800,MacReports!B:B,MacReports!D:D,"")</f>
        <v/>
      </c>
    </row>
    <row r="801" spans="6:6">
      <c r="F801" t="str">
        <f>_xlfn.XLOOKUP(B801,MacReports!B:B,MacReports!D:D,"")</f>
        <v/>
      </c>
    </row>
    <row r="802" spans="6:6">
      <c r="F802" t="str">
        <f>_xlfn.XLOOKUP(B802,MacReports!B:B,MacReports!D:D,"")</f>
        <v/>
      </c>
    </row>
    <row r="803" spans="6:6">
      <c r="F803" t="str">
        <f>_xlfn.XLOOKUP(B803,MacReports!B:B,MacReports!D:D,"")</f>
        <v/>
      </c>
    </row>
    <row r="804" spans="6:6">
      <c r="F804" t="str">
        <f>_xlfn.XLOOKUP(B804,MacReports!B:B,MacReports!D:D,"")</f>
        <v/>
      </c>
    </row>
    <row r="805" spans="6:6">
      <c r="F805" t="str">
        <f>_xlfn.XLOOKUP(B805,MacReports!B:B,MacReports!D:D,"")</f>
        <v/>
      </c>
    </row>
    <row r="806" spans="6:6">
      <c r="F806" t="str">
        <f>_xlfn.XLOOKUP(B806,MacReports!B:B,MacReports!D:D,"")</f>
        <v/>
      </c>
    </row>
    <row r="807" spans="6:6">
      <c r="F807" t="str">
        <f>_xlfn.XLOOKUP(B807,MacReports!B:B,MacReports!D:D,"")</f>
        <v/>
      </c>
    </row>
    <row r="808" spans="6:6">
      <c r="F808" t="str">
        <f>_xlfn.XLOOKUP(B808,MacReports!B:B,MacReports!D:D,"")</f>
        <v/>
      </c>
    </row>
    <row r="809" spans="6:6">
      <c r="F809" t="str">
        <f>_xlfn.XLOOKUP(B809,MacReports!B:B,MacReports!D:D,"")</f>
        <v/>
      </c>
    </row>
    <row r="810" spans="6:6">
      <c r="F810" t="str">
        <f>_xlfn.XLOOKUP(B810,MacReports!B:B,MacReports!D:D,"")</f>
        <v/>
      </c>
    </row>
    <row r="811" spans="6:6">
      <c r="F811" t="str">
        <f>_xlfn.XLOOKUP(B811,MacReports!B:B,MacReports!D:D,"")</f>
        <v/>
      </c>
    </row>
    <row r="812" spans="6:6">
      <c r="F812" t="str">
        <f>_xlfn.XLOOKUP(B812,MacReports!B:B,MacReports!D:D,"")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H605"/>
  <sheetViews>
    <sheetView workbookViewId="0">
      <selection activeCell="E53" sqref="E53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5.7109375" customWidth="1"/>
    <col min="6" max="6" width="7.140625" bestFit="1" customWidth="1"/>
    <col min="7" max="7" width="14.42578125" style="19" customWidth="1"/>
    <col min="8" max="8" width="23.5703125" style="19" customWidth="1"/>
  </cols>
  <sheetData>
    <row r="1" spans="1:8" ht="15.75" thickBot="1">
      <c r="A1" s="23" t="s">
        <v>67</v>
      </c>
      <c r="B1" s="23" t="s">
        <v>68</v>
      </c>
      <c r="C1" s="23" t="s">
        <v>2</v>
      </c>
      <c r="D1" s="24" t="s">
        <v>69</v>
      </c>
      <c r="E1" s="25" t="s">
        <v>70</v>
      </c>
      <c r="F1" s="25" t="s">
        <v>71</v>
      </c>
      <c r="G1" s="26" t="s">
        <v>2</v>
      </c>
      <c r="H1" s="26" t="s">
        <v>278</v>
      </c>
    </row>
    <row r="2" spans="1:8" ht="15.75" thickBot="1">
      <c r="A2" s="20" t="s">
        <v>72</v>
      </c>
      <c r="B2" s="20" t="s">
        <v>503</v>
      </c>
      <c r="C2" s="20" t="s">
        <v>43</v>
      </c>
      <c r="D2" s="21">
        <v>2019</v>
      </c>
      <c r="E2" s="22" t="s">
        <v>761</v>
      </c>
      <c r="F2" s="22">
        <v>2</v>
      </c>
      <c r="G2" s="19" t="s">
        <v>43</v>
      </c>
      <c r="H2" s="19" t="s">
        <v>43</v>
      </c>
    </row>
    <row r="3" spans="1:8" ht="15.75" thickBot="1">
      <c r="A3" s="5" t="s">
        <v>73</v>
      </c>
      <c r="B3" s="5" t="s">
        <v>504</v>
      </c>
      <c r="C3" s="5" t="s">
        <v>43</v>
      </c>
      <c r="D3" s="8">
        <v>2020</v>
      </c>
      <c r="E3" s="9" t="s">
        <v>762</v>
      </c>
      <c r="F3" s="9">
        <v>1.4</v>
      </c>
      <c r="G3" s="19" t="s">
        <v>43</v>
      </c>
      <c r="H3" s="19" t="s">
        <v>42</v>
      </c>
    </row>
    <row r="4" spans="1:8" ht="15.75" thickBot="1">
      <c r="A4" s="5" t="s">
        <v>49</v>
      </c>
      <c r="B4" s="5" t="s">
        <v>505</v>
      </c>
      <c r="C4" s="5" t="s">
        <v>43</v>
      </c>
      <c r="D4" s="8">
        <v>2020</v>
      </c>
      <c r="E4" s="9" t="s">
        <v>763</v>
      </c>
      <c r="F4" s="9">
        <v>1.4</v>
      </c>
      <c r="G4" s="19" t="s">
        <v>43</v>
      </c>
      <c r="H4" s="19" t="s">
        <v>279</v>
      </c>
    </row>
    <row r="5" spans="1:8" ht="15.75" thickBot="1">
      <c r="A5" s="5" t="s">
        <v>74</v>
      </c>
      <c r="B5" s="5" t="s">
        <v>503</v>
      </c>
      <c r="C5" s="5" t="s">
        <v>43</v>
      </c>
      <c r="D5" s="8">
        <v>2019</v>
      </c>
      <c r="E5" s="9" t="s">
        <v>761</v>
      </c>
      <c r="F5" s="9">
        <v>2</v>
      </c>
      <c r="G5" s="19" t="s">
        <v>272</v>
      </c>
      <c r="H5" s="19" t="s">
        <v>272</v>
      </c>
    </row>
    <row r="6" spans="1:8" ht="15.75" thickBot="1">
      <c r="A6" s="5" t="s">
        <v>75</v>
      </c>
      <c r="B6" s="5" t="s">
        <v>506</v>
      </c>
      <c r="C6" s="5" t="s">
        <v>43</v>
      </c>
      <c r="D6" s="8">
        <v>2019</v>
      </c>
      <c r="E6" s="9" t="s">
        <v>763</v>
      </c>
      <c r="F6" s="9">
        <v>1.4</v>
      </c>
      <c r="G6" s="19" t="s">
        <v>272</v>
      </c>
      <c r="H6" s="19" t="s">
        <v>280</v>
      </c>
    </row>
    <row r="7" spans="1:8" ht="15.75" thickBot="1">
      <c r="A7" s="5" t="s">
        <v>76</v>
      </c>
      <c r="B7" s="5" t="s">
        <v>507</v>
      </c>
      <c r="C7" s="5" t="s">
        <v>43</v>
      </c>
      <c r="D7" s="8">
        <v>2019</v>
      </c>
      <c r="E7" s="9" t="s">
        <v>764</v>
      </c>
      <c r="F7" s="9">
        <v>1.8</v>
      </c>
    </row>
    <row r="8" spans="1:8" ht="15.75" thickBot="1">
      <c r="A8" s="5" t="s">
        <v>77</v>
      </c>
      <c r="B8" s="5" t="s">
        <v>508</v>
      </c>
      <c r="C8" s="5" t="s">
        <v>43</v>
      </c>
      <c r="D8" s="8">
        <v>2018</v>
      </c>
      <c r="E8" s="9" t="s">
        <v>763</v>
      </c>
      <c r="F8" s="9">
        <v>1.4</v>
      </c>
    </row>
    <row r="9" spans="1:8" ht="15.75" thickBot="1">
      <c r="A9" s="5" t="s">
        <v>77</v>
      </c>
      <c r="B9" s="5" t="s">
        <v>508</v>
      </c>
      <c r="C9" s="5" t="s">
        <v>43</v>
      </c>
      <c r="D9" s="8">
        <v>2018</v>
      </c>
      <c r="E9" s="9" t="s">
        <v>763</v>
      </c>
      <c r="F9" s="9">
        <v>1.4</v>
      </c>
    </row>
    <row r="10" spans="1:8" ht="15.75" thickBot="1">
      <c r="A10" s="5" t="s">
        <v>77</v>
      </c>
      <c r="B10" s="5" t="s">
        <v>508</v>
      </c>
      <c r="C10" s="5" t="s">
        <v>43</v>
      </c>
      <c r="D10" s="8">
        <v>2019</v>
      </c>
      <c r="E10" s="9" t="s">
        <v>763</v>
      </c>
      <c r="F10" s="9">
        <v>1.4</v>
      </c>
    </row>
    <row r="11" spans="1:8" ht="15.75" thickBot="1">
      <c r="A11" s="5" t="s">
        <v>77</v>
      </c>
      <c r="B11" s="5" t="s">
        <v>508</v>
      </c>
      <c r="C11" s="5" t="s">
        <v>43</v>
      </c>
      <c r="D11" s="8">
        <v>2019</v>
      </c>
      <c r="E11" s="9" t="s">
        <v>763</v>
      </c>
      <c r="F11" s="9">
        <v>1.4</v>
      </c>
    </row>
    <row r="12" spans="1:8" ht="15.75" thickBot="1">
      <c r="A12" s="5" t="s">
        <v>78</v>
      </c>
      <c r="B12" s="5" t="s">
        <v>507</v>
      </c>
      <c r="C12" s="5" t="s">
        <v>43</v>
      </c>
      <c r="D12" s="8">
        <v>2018</v>
      </c>
      <c r="E12" s="9" t="s">
        <v>764</v>
      </c>
      <c r="F12" s="9">
        <v>1.8</v>
      </c>
    </row>
    <row r="13" spans="1:8" ht="15.75" thickBot="1">
      <c r="A13" s="5" t="s">
        <v>78</v>
      </c>
      <c r="B13" s="5" t="s">
        <v>507</v>
      </c>
      <c r="C13" s="5" t="s">
        <v>43</v>
      </c>
      <c r="D13" s="8">
        <v>2018</v>
      </c>
      <c r="E13" s="9" t="s">
        <v>764</v>
      </c>
      <c r="F13" s="9">
        <v>1.8</v>
      </c>
    </row>
    <row r="14" spans="1:8" ht="15.75" thickBot="1">
      <c r="A14" s="5" t="s">
        <v>78</v>
      </c>
      <c r="B14" s="5" t="s">
        <v>507</v>
      </c>
      <c r="C14" s="5" t="s">
        <v>43</v>
      </c>
      <c r="D14" s="8">
        <v>2018</v>
      </c>
      <c r="E14" s="9" t="s">
        <v>764</v>
      </c>
      <c r="F14" s="9">
        <v>1.8</v>
      </c>
    </row>
    <row r="15" spans="1:8" ht="15.75" thickBot="1">
      <c r="A15" s="5" t="s">
        <v>78</v>
      </c>
      <c r="B15" s="5" t="s">
        <v>507</v>
      </c>
      <c r="C15" s="5" t="s">
        <v>43</v>
      </c>
      <c r="D15" s="8">
        <v>2019</v>
      </c>
      <c r="E15" s="9" t="s">
        <v>764</v>
      </c>
      <c r="F15" s="9">
        <v>1.8</v>
      </c>
    </row>
    <row r="16" spans="1:8" ht="15.75" thickBot="1">
      <c r="A16" s="5" t="s">
        <v>78</v>
      </c>
      <c r="B16" s="5" t="s">
        <v>507</v>
      </c>
      <c r="C16" s="5" t="s">
        <v>43</v>
      </c>
      <c r="D16" s="8">
        <v>2019</v>
      </c>
      <c r="E16" s="9" t="s">
        <v>764</v>
      </c>
      <c r="F16" s="9">
        <v>1.8</v>
      </c>
    </row>
    <row r="17" spans="1:6" ht="15.75" thickBot="1">
      <c r="A17" s="5" t="s">
        <v>78</v>
      </c>
      <c r="B17" s="5" t="s">
        <v>507</v>
      </c>
      <c r="C17" s="5" t="s">
        <v>43</v>
      </c>
      <c r="D17" s="8">
        <v>2019</v>
      </c>
      <c r="E17" s="9" t="s">
        <v>764</v>
      </c>
      <c r="F17" s="9">
        <v>1.8</v>
      </c>
    </row>
    <row r="18" spans="1:6" ht="15.75" thickBot="1">
      <c r="A18" s="5" t="s">
        <v>79</v>
      </c>
      <c r="B18" s="5" t="s">
        <v>509</v>
      </c>
      <c r="C18" s="5" t="s">
        <v>43</v>
      </c>
      <c r="D18" s="8">
        <v>2017</v>
      </c>
      <c r="E18" s="9" t="s">
        <v>764</v>
      </c>
      <c r="F18" s="9">
        <v>1.8</v>
      </c>
    </row>
    <row r="19" spans="1:6" ht="15.75" thickBot="1">
      <c r="A19" s="5" t="s">
        <v>80</v>
      </c>
      <c r="B19" s="5" t="s">
        <v>510</v>
      </c>
      <c r="C19" s="5" t="s">
        <v>43</v>
      </c>
      <c r="D19" s="8">
        <v>2017</v>
      </c>
      <c r="E19" s="9" t="s">
        <v>763</v>
      </c>
      <c r="F19" s="9">
        <v>1.4</v>
      </c>
    </row>
    <row r="20" spans="1:6" ht="15.75" thickBot="1">
      <c r="A20" s="5" t="s">
        <v>81</v>
      </c>
      <c r="B20" s="5" t="s">
        <v>511</v>
      </c>
      <c r="C20" s="5" t="s">
        <v>43</v>
      </c>
      <c r="D20" s="8">
        <v>2017</v>
      </c>
      <c r="E20" s="9" t="s">
        <v>763</v>
      </c>
      <c r="F20" s="9">
        <v>1.4</v>
      </c>
    </row>
    <row r="21" spans="1:6" ht="15.75" thickBot="1">
      <c r="A21" s="5" t="s">
        <v>82</v>
      </c>
      <c r="B21" s="5" t="s">
        <v>509</v>
      </c>
      <c r="C21" s="5" t="s">
        <v>43</v>
      </c>
      <c r="D21" s="8">
        <v>2016</v>
      </c>
      <c r="E21" s="9" t="s">
        <v>764</v>
      </c>
      <c r="F21" s="9">
        <v>1.8</v>
      </c>
    </row>
    <row r="22" spans="1:6" ht="15.75" thickBot="1">
      <c r="A22" s="5" t="s">
        <v>83</v>
      </c>
      <c r="B22" s="5" t="s">
        <v>510</v>
      </c>
      <c r="C22" s="5" t="s">
        <v>43</v>
      </c>
      <c r="D22" s="8">
        <v>2016</v>
      </c>
      <c r="E22" s="9" t="s">
        <v>763</v>
      </c>
      <c r="F22" s="9">
        <v>1.4</v>
      </c>
    </row>
    <row r="23" spans="1:6" ht="15.75" thickBot="1">
      <c r="A23" s="5" t="s">
        <v>84</v>
      </c>
      <c r="B23" s="5" t="s">
        <v>511</v>
      </c>
      <c r="C23" s="5" t="s">
        <v>43</v>
      </c>
      <c r="D23" s="8">
        <v>2016</v>
      </c>
      <c r="E23" s="9" t="s">
        <v>763</v>
      </c>
      <c r="F23" s="9">
        <v>1.4</v>
      </c>
    </row>
    <row r="24" spans="1:6" ht="15.75" thickBot="1">
      <c r="A24" s="5" t="s">
        <v>85</v>
      </c>
      <c r="B24" s="5" t="s">
        <v>512</v>
      </c>
      <c r="C24" s="5" t="s">
        <v>43</v>
      </c>
      <c r="D24" s="8">
        <v>2015</v>
      </c>
      <c r="E24" s="9" t="s">
        <v>763</v>
      </c>
      <c r="F24" s="9">
        <v>1.4</v>
      </c>
    </row>
    <row r="25" spans="1:6" ht="15.75" thickBot="1">
      <c r="A25" s="5" t="s">
        <v>86</v>
      </c>
      <c r="B25" s="5" t="s">
        <v>513</v>
      </c>
      <c r="C25" s="5" t="s">
        <v>43</v>
      </c>
      <c r="D25" s="8">
        <v>2015</v>
      </c>
      <c r="E25" s="9" t="s">
        <v>764</v>
      </c>
      <c r="F25" s="9">
        <v>1.8</v>
      </c>
    </row>
    <row r="26" spans="1:6" ht="15.75" thickBot="1">
      <c r="A26" s="5" t="s">
        <v>87</v>
      </c>
      <c r="B26" s="5" t="s">
        <v>513</v>
      </c>
      <c r="C26" s="5" t="s">
        <v>43</v>
      </c>
      <c r="D26" s="8">
        <v>2015</v>
      </c>
      <c r="E26" s="9" t="s">
        <v>764</v>
      </c>
      <c r="F26" s="9">
        <v>1.8</v>
      </c>
    </row>
    <row r="27" spans="1:6" ht="15.75" thickBot="1">
      <c r="A27" s="5" t="s">
        <v>88</v>
      </c>
      <c r="B27" s="5" t="s">
        <v>513</v>
      </c>
      <c r="C27" s="5" t="s">
        <v>43</v>
      </c>
      <c r="D27" s="9">
        <v>2014</v>
      </c>
      <c r="E27" s="9" t="s">
        <v>764</v>
      </c>
      <c r="F27" s="9">
        <v>1.8</v>
      </c>
    </row>
    <row r="28" spans="1:6" ht="15.75" thickBot="1">
      <c r="A28" s="5" t="s">
        <v>88</v>
      </c>
      <c r="B28" s="5" t="s">
        <v>513</v>
      </c>
      <c r="C28" s="5" t="s">
        <v>43</v>
      </c>
      <c r="D28" s="9">
        <v>2014</v>
      </c>
      <c r="E28" s="9" t="s">
        <v>764</v>
      </c>
      <c r="F28" s="9">
        <v>1.8</v>
      </c>
    </row>
    <row r="29" spans="1:6" ht="15.75" thickBot="1">
      <c r="A29" s="5" t="s">
        <v>88</v>
      </c>
      <c r="B29" s="5" t="s">
        <v>513</v>
      </c>
      <c r="C29" s="5" t="s">
        <v>43</v>
      </c>
      <c r="D29" s="9">
        <v>2013</v>
      </c>
      <c r="E29" s="9" t="s">
        <v>764</v>
      </c>
      <c r="F29" s="9">
        <v>1.8</v>
      </c>
    </row>
    <row r="30" spans="1:6" ht="15.75" thickBot="1">
      <c r="A30" s="5" t="s">
        <v>89</v>
      </c>
      <c r="B30" s="5" t="s">
        <v>513</v>
      </c>
      <c r="C30" s="5" t="s">
        <v>43</v>
      </c>
      <c r="D30" s="9">
        <v>2014</v>
      </c>
      <c r="E30" s="9" t="s">
        <v>764</v>
      </c>
      <c r="F30" s="9">
        <v>2</v>
      </c>
    </row>
    <row r="31" spans="1:6" ht="15.75" thickBot="1">
      <c r="A31" s="5" t="s">
        <v>88</v>
      </c>
      <c r="B31" s="5" t="s">
        <v>513</v>
      </c>
      <c r="C31" s="5" t="s">
        <v>43</v>
      </c>
      <c r="D31" s="9">
        <v>2013</v>
      </c>
      <c r="E31" s="9" t="s">
        <v>764</v>
      </c>
      <c r="F31" s="9">
        <v>1.8</v>
      </c>
    </row>
    <row r="32" spans="1:6" ht="15.75" thickBot="1">
      <c r="A32" s="5" t="s">
        <v>90</v>
      </c>
      <c r="B32" s="5" t="s">
        <v>514</v>
      </c>
      <c r="C32" s="5" t="s">
        <v>43</v>
      </c>
      <c r="D32" s="9">
        <v>2020</v>
      </c>
      <c r="E32" s="9" t="s">
        <v>763</v>
      </c>
      <c r="F32" s="9">
        <v>1.4</v>
      </c>
    </row>
    <row r="33" spans="1:6" ht="15.75" thickBot="1">
      <c r="A33" s="5" t="s">
        <v>91</v>
      </c>
      <c r="B33" s="5" t="s">
        <v>515</v>
      </c>
      <c r="C33" s="5" t="s">
        <v>43</v>
      </c>
      <c r="D33" s="9">
        <v>2021</v>
      </c>
      <c r="E33" s="9" t="s">
        <v>761</v>
      </c>
      <c r="F33" s="9">
        <v>1.6</v>
      </c>
    </row>
    <row r="34" spans="1:6" ht="15.75" thickBot="1">
      <c r="A34" s="5" t="s">
        <v>92</v>
      </c>
      <c r="B34" s="5" t="s">
        <v>516</v>
      </c>
      <c r="C34" s="5" t="s">
        <v>43</v>
      </c>
      <c r="D34" s="9">
        <v>2021</v>
      </c>
      <c r="E34" s="9" t="s">
        <v>765</v>
      </c>
      <c r="F34" s="9">
        <v>1.6</v>
      </c>
    </row>
    <row r="35" spans="1:6" ht="15.75" thickBot="1">
      <c r="A35" s="5" t="s">
        <v>93</v>
      </c>
      <c r="B35" s="5" t="s">
        <v>516</v>
      </c>
      <c r="C35" s="5" t="s">
        <v>43</v>
      </c>
      <c r="D35" s="9">
        <v>2021</v>
      </c>
      <c r="E35" s="9" t="s">
        <v>765</v>
      </c>
      <c r="F35" s="9">
        <v>1.6</v>
      </c>
    </row>
    <row r="36" spans="1:6" ht="15.75" thickBot="1">
      <c r="A36" s="5" t="s">
        <v>94</v>
      </c>
      <c r="B36" s="7" t="s">
        <v>515</v>
      </c>
      <c r="C36" s="5" t="s">
        <v>43</v>
      </c>
      <c r="D36" s="9">
        <v>2021</v>
      </c>
      <c r="E36" s="9" t="s">
        <v>761</v>
      </c>
      <c r="F36" s="9">
        <v>2</v>
      </c>
    </row>
    <row r="37" spans="1:6" ht="15.75" thickBot="1">
      <c r="A37" s="5" t="s">
        <v>94</v>
      </c>
      <c r="B37" s="7" t="s">
        <v>515</v>
      </c>
      <c r="C37" s="5" t="s">
        <v>43</v>
      </c>
      <c r="D37" s="9">
        <v>2021</v>
      </c>
      <c r="E37" s="9" t="s">
        <v>761</v>
      </c>
      <c r="F37" s="9">
        <v>2</v>
      </c>
    </row>
    <row r="38" spans="1:6" ht="15.75" thickBot="1">
      <c r="A38" s="7" t="s">
        <v>95</v>
      </c>
      <c r="B38" s="5" t="s">
        <v>514</v>
      </c>
      <c r="C38" s="5" t="s">
        <v>43</v>
      </c>
      <c r="D38" s="9">
        <v>2022</v>
      </c>
      <c r="E38" s="9" t="s">
        <v>763</v>
      </c>
      <c r="F38" s="9">
        <v>1.4</v>
      </c>
    </row>
    <row r="39" spans="1:6" ht="15.75" thickBot="1">
      <c r="A39" s="7" t="s">
        <v>96</v>
      </c>
      <c r="B39" s="7" t="s">
        <v>517</v>
      </c>
      <c r="C39" s="5" t="s">
        <v>43</v>
      </c>
      <c r="D39" s="9">
        <v>2023</v>
      </c>
      <c r="E39" s="9" t="s">
        <v>765</v>
      </c>
      <c r="F39" s="9">
        <v>1.6</v>
      </c>
    </row>
    <row r="40" spans="1:6" ht="15.75" thickBot="1">
      <c r="A40" s="7" t="s">
        <v>97</v>
      </c>
      <c r="B40" s="7" t="s">
        <v>517</v>
      </c>
      <c r="C40" s="5" t="s">
        <v>43</v>
      </c>
      <c r="D40" s="9">
        <v>2023</v>
      </c>
      <c r="E40" s="9" t="s">
        <v>765</v>
      </c>
      <c r="F40" s="9">
        <v>1.6</v>
      </c>
    </row>
    <row r="41" spans="1:6" ht="15.75" thickBot="1">
      <c r="A41" s="7" t="s">
        <v>98</v>
      </c>
      <c r="B41" s="7" t="s">
        <v>518</v>
      </c>
      <c r="C41" s="5" t="s">
        <v>43</v>
      </c>
      <c r="D41" s="9">
        <v>2023</v>
      </c>
      <c r="E41" s="9" t="s">
        <v>761</v>
      </c>
      <c r="F41" s="9">
        <v>2</v>
      </c>
    </row>
    <row r="42" spans="1:6" ht="15.75" thickBot="1">
      <c r="A42" s="7" t="s">
        <v>99</v>
      </c>
      <c r="B42" s="7" t="s">
        <v>518</v>
      </c>
      <c r="C42" s="5" t="s">
        <v>43</v>
      </c>
      <c r="D42" s="9">
        <v>2023</v>
      </c>
      <c r="E42" s="9" t="s">
        <v>761</v>
      </c>
      <c r="F42" s="9">
        <v>2</v>
      </c>
    </row>
    <row r="43" spans="1:6" ht="15.75" thickBot="1">
      <c r="A43" s="7" t="s">
        <v>502</v>
      </c>
      <c r="B43" s="7" t="s">
        <v>519</v>
      </c>
      <c r="C43" s="5" t="s">
        <v>43</v>
      </c>
      <c r="D43" s="9">
        <v>2025</v>
      </c>
      <c r="E43" s="9" t="s">
        <v>763</v>
      </c>
      <c r="F43" s="9">
        <v>1.24</v>
      </c>
    </row>
    <row r="44" spans="1:6" ht="15.75" thickBot="1">
      <c r="A44" s="7" t="s">
        <v>100</v>
      </c>
      <c r="B44" s="7" t="s">
        <v>520</v>
      </c>
      <c r="C44" s="5" t="s">
        <v>43</v>
      </c>
      <c r="D44" s="9">
        <v>2023</v>
      </c>
      <c r="E44" s="9" t="s">
        <v>765</v>
      </c>
      <c r="F44" s="9">
        <v>1.6</v>
      </c>
    </row>
    <row r="45" spans="1:6" ht="15.75" thickBot="1">
      <c r="A45" s="7" t="s">
        <v>101</v>
      </c>
      <c r="B45" s="7" t="s">
        <v>521</v>
      </c>
      <c r="C45" s="5" t="s">
        <v>43</v>
      </c>
      <c r="D45" s="9">
        <v>2023</v>
      </c>
      <c r="E45" s="9" t="s">
        <v>765</v>
      </c>
      <c r="F45" s="9">
        <v>1.6</v>
      </c>
    </row>
    <row r="46" spans="1:6" ht="15.75" thickBot="1">
      <c r="A46" s="7" t="s">
        <v>102</v>
      </c>
      <c r="B46" s="7" t="s">
        <v>521</v>
      </c>
      <c r="C46" s="5" t="s">
        <v>43</v>
      </c>
      <c r="D46" s="9">
        <v>2023</v>
      </c>
      <c r="E46" s="9" t="s">
        <v>765</v>
      </c>
      <c r="F46" s="9">
        <v>1.6</v>
      </c>
    </row>
    <row r="47" spans="1:6" ht="15.75" thickBot="1">
      <c r="A47" s="7" t="s">
        <v>103</v>
      </c>
      <c r="B47" s="7" t="s">
        <v>521</v>
      </c>
      <c r="C47" s="5" t="s">
        <v>43</v>
      </c>
      <c r="D47" s="9">
        <v>2023</v>
      </c>
      <c r="E47" s="9" t="s">
        <v>765</v>
      </c>
      <c r="F47" s="9">
        <v>1.6</v>
      </c>
    </row>
    <row r="48" spans="1:6" ht="15.75" thickBot="1">
      <c r="A48" s="7" t="s">
        <v>104</v>
      </c>
      <c r="B48" s="7" t="s">
        <v>522</v>
      </c>
      <c r="C48" s="5" t="s">
        <v>43</v>
      </c>
      <c r="D48" s="9">
        <v>2023</v>
      </c>
      <c r="E48" s="9" t="s">
        <v>761</v>
      </c>
      <c r="F48" s="9">
        <v>2</v>
      </c>
    </row>
    <row r="49" spans="1:6" ht="15.75" thickBot="1">
      <c r="A49" s="7" t="s">
        <v>105</v>
      </c>
      <c r="B49" s="7" t="s">
        <v>522</v>
      </c>
      <c r="C49" s="5" t="s">
        <v>43</v>
      </c>
      <c r="D49" s="9">
        <v>2023</v>
      </c>
      <c r="E49" s="9" t="s">
        <v>761</v>
      </c>
      <c r="F49" s="9">
        <v>2</v>
      </c>
    </row>
    <row r="50" spans="1:6" ht="15.75" thickBot="1">
      <c r="A50" s="7" t="s">
        <v>106</v>
      </c>
      <c r="B50" s="7" t="s">
        <v>522</v>
      </c>
      <c r="C50" s="5" t="s">
        <v>43</v>
      </c>
      <c r="D50" s="9">
        <v>2023</v>
      </c>
      <c r="E50" s="9" t="s">
        <v>761</v>
      </c>
      <c r="F50" s="9">
        <v>2</v>
      </c>
    </row>
    <row r="51" spans="1:6" ht="15.75" thickBot="1">
      <c r="A51" s="7" t="s">
        <v>523</v>
      </c>
      <c r="B51" s="7" t="s">
        <v>524</v>
      </c>
      <c r="C51" s="5" t="s">
        <v>43</v>
      </c>
      <c r="D51" s="9">
        <v>2025</v>
      </c>
      <c r="E51" s="9" t="s">
        <v>765</v>
      </c>
      <c r="F51" s="9">
        <v>1.55</v>
      </c>
    </row>
    <row r="52" spans="1:6" ht="15.75" thickBot="1">
      <c r="A52" s="7" t="s">
        <v>773</v>
      </c>
      <c r="B52" s="7" t="s">
        <v>774</v>
      </c>
      <c r="C52" s="5" t="s">
        <v>43</v>
      </c>
      <c r="D52" s="9">
        <v>2025</v>
      </c>
      <c r="E52" s="9" t="s">
        <v>764</v>
      </c>
      <c r="F52" s="9">
        <v>1.51</v>
      </c>
    </row>
    <row r="53" spans="1:6" ht="15.75" thickBot="1">
      <c r="A53" s="5" t="s">
        <v>107</v>
      </c>
      <c r="B53" s="7" t="s">
        <v>525</v>
      </c>
      <c r="C53" s="5" t="s">
        <v>43</v>
      </c>
      <c r="D53" s="9">
        <v>2015</v>
      </c>
      <c r="E53" s="9" t="s">
        <v>766</v>
      </c>
      <c r="F53" s="9">
        <v>11</v>
      </c>
    </row>
    <row r="54" spans="1:6" ht="15.75" thickBot="1">
      <c r="A54" s="5" t="s">
        <v>107</v>
      </c>
      <c r="B54" s="7" t="s">
        <v>525</v>
      </c>
      <c r="C54" s="7" t="s">
        <v>43</v>
      </c>
      <c r="D54" s="9">
        <v>2015</v>
      </c>
      <c r="E54" s="9" t="s">
        <v>766</v>
      </c>
      <c r="F54" s="9">
        <v>11</v>
      </c>
    </row>
    <row r="55" spans="1:6" ht="15.75" thickBot="1">
      <c r="A55" s="5" t="s">
        <v>108</v>
      </c>
      <c r="B55" s="7" t="s">
        <v>526</v>
      </c>
      <c r="C55" s="7" t="s">
        <v>43</v>
      </c>
      <c r="D55" s="9">
        <v>2015</v>
      </c>
      <c r="E55" s="9" t="s">
        <v>763</v>
      </c>
      <c r="F55" s="9">
        <v>1.4</v>
      </c>
    </row>
    <row r="56" spans="1:6" ht="15.75" thickBot="1">
      <c r="A56" s="5" t="s">
        <v>108</v>
      </c>
      <c r="B56" s="7" t="s">
        <v>526</v>
      </c>
      <c r="C56" s="7" t="s">
        <v>43</v>
      </c>
      <c r="D56" s="9">
        <v>2015</v>
      </c>
      <c r="E56" s="9" t="s">
        <v>763</v>
      </c>
      <c r="F56" s="9">
        <v>1.4</v>
      </c>
    </row>
    <row r="57" spans="1:6" ht="15.75" thickBot="1">
      <c r="A57" s="5" t="s">
        <v>108</v>
      </c>
      <c r="B57" s="7" t="s">
        <v>526</v>
      </c>
      <c r="C57" s="7" t="s">
        <v>43</v>
      </c>
      <c r="D57" s="9">
        <v>2017</v>
      </c>
      <c r="E57" s="9" t="s">
        <v>763</v>
      </c>
      <c r="F57" s="9">
        <v>1.4</v>
      </c>
    </row>
    <row r="58" spans="1:6" ht="15.75" thickBot="1">
      <c r="A58" s="5" t="s">
        <v>108</v>
      </c>
      <c r="B58" s="7" t="s">
        <v>526</v>
      </c>
      <c r="C58" s="7" t="s">
        <v>43</v>
      </c>
      <c r="D58" s="9">
        <v>2017</v>
      </c>
      <c r="E58" s="9" t="s">
        <v>763</v>
      </c>
      <c r="F58" s="9">
        <v>1.4</v>
      </c>
    </row>
    <row r="59" spans="1:6" ht="15.75" thickBot="1">
      <c r="A59" s="5" t="s">
        <v>110</v>
      </c>
      <c r="B59" s="7" t="s">
        <v>527</v>
      </c>
      <c r="C59" s="7" t="s">
        <v>43</v>
      </c>
      <c r="D59" s="9">
        <v>2018</v>
      </c>
      <c r="E59" s="9" t="s">
        <v>763</v>
      </c>
      <c r="F59" s="9">
        <v>1.4</v>
      </c>
    </row>
    <row r="60" spans="1:6" ht="15.75" thickBot="1">
      <c r="A60" s="5" t="s">
        <v>111</v>
      </c>
      <c r="B60" s="7" t="s">
        <v>527</v>
      </c>
      <c r="C60" s="7" t="s">
        <v>43</v>
      </c>
      <c r="D60" s="9">
        <v>2019</v>
      </c>
      <c r="E60" s="9" t="s">
        <v>763</v>
      </c>
      <c r="F60" s="9">
        <v>1.4</v>
      </c>
    </row>
    <row r="61" spans="1:6" ht="15.75" thickBot="1">
      <c r="A61" s="5" t="s">
        <v>112</v>
      </c>
      <c r="B61" s="7" t="s">
        <v>528</v>
      </c>
      <c r="C61" s="7" t="s">
        <v>43</v>
      </c>
      <c r="D61" s="9">
        <v>2020</v>
      </c>
      <c r="E61" s="9" t="s">
        <v>763</v>
      </c>
      <c r="F61" s="9">
        <v>1.4</v>
      </c>
    </row>
    <row r="62" spans="1:6" ht="15.75" thickBot="1">
      <c r="A62" s="5" t="s">
        <v>112</v>
      </c>
      <c r="B62" s="7" t="s">
        <v>528</v>
      </c>
      <c r="C62" s="7" t="s">
        <v>43</v>
      </c>
      <c r="D62" s="9">
        <v>2020</v>
      </c>
      <c r="E62" s="9" t="s">
        <v>763</v>
      </c>
      <c r="F62" s="9">
        <v>1.4</v>
      </c>
    </row>
    <row r="63" spans="1:6" ht="15.75" thickBot="1">
      <c r="A63" s="5" t="s">
        <v>112</v>
      </c>
      <c r="B63" s="7" t="s">
        <v>528</v>
      </c>
      <c r="C63" s="7" t="s">
        <v>43</v>
      </c>
      <c r="D63" s="9">
        <v>2020</v>
      </c>
      <c r="E63" s="9" t="s">
        <v>763</v>
      </c>
      <c r="F63" s="9">
        <v>1.4</v>
      </c>
    </row>
    <row r="64" spans="1:6" ht="15.75" thickBot="1">
      <c r="A64" s="5" t="s">
        <v>113</v>
      </c>
      <c r="B64" s="7" t="s">
        <v>529</v>
      </c>
      <c r="C64" s="7" t="s">
        <v>43</v>
      </c>
      <c r="D64" s="9">
        <v>2020</v>
      </c>
      <c r="E64" s="9" t="s">
        <v>763</v>
      </c>
      <c r="F64" s="9">
        <v>1.4</v>
      </c>
    </row>
    <row r="65" spans="1:6" ht="15.75" thickBot="1">
      <c r="A65" s="7" t="s">
        <v>114</v>
      </c>
      <c r="B65" s="7" t="s">
        <v>530</v>
      </c>
      <c r="C65" s="7" t="s">
        <v>43</v>
      </c>
      <c r="D65" s="9">
        <v>2022</v>
      </c>
      <c r="E65" s="9" t="s">
        <v>763</v>
      </c>
      <c r="F65" s="9">
        <v>1.4</v>
      </c>
    </row>
    <row r="66" spans="1:6" ht="15.75" thickBot="1">
      <c r="A66" s="7" t="s">
        <v>115</v>
      </c>
      <c r="B66" s="7" t="s">
        <v>531</v>
      </c>
      <c r="C66" s="7" t="s">
        <v>43</v>
      </c>
      <c r="D66" s="9">
        <v>2023</v>
      </c>
      <c r="E66" s="9" t="s">
        <v>764</v>
      </c>
      <c r="F66" s="9">
        <v>1.8</v>
      </c>
    </row>
    <row r="67" spans="1:6" ht="15.75" thickBot="1">
      <c r="A67" s="7" t="s">
        <v>116</v>
      </c>
      <c r="B67" s="7" t="s">
        <v>532</v>
      </c>
      <c r="C67" s="7" t="s">
        <v>43</v>
      </c>
      <c r="D67" s="9">
        <v>2024</v>
      </c>
      <c r="E67" s="9" t="s">
        <v>763</v>
      </c>
      <c r="F67" s="9">
        <v>1.4</v>
      </c>
    </row>
    <row r="68" spans="1:6" ht="15.75" thickBot="1">
      <c r="A68" s="7" t="s">
        <v>117</v>
      </c>
      <c r="B68" s="7" t="s">
        <v>533</v>
      </c>
      <c r="C68" s="7" t="s">
        <v>43</v>
      </c>
      <c r="D68" s="9">
        <v>2024</v>
      </c>
      <c r="E68" s="9" t="s">
        <v>764</v>
      </c>
      <c r="F68" s="9">
        <v>1.8</v>
      </c>
    </row>
    <row r="69" spans="1:6" ht="15.75" thickBot="1">
      <c r="A69" s="7" t="s">
        <v>118</v>
      </c>
      <c r="B69" s="7" t="s">
        <v>119</v>
      </c>
      <c r="C69" s="7" t="s">
        <v>272</v>
      </c>
      <c r="D69" s="9">
        <v>2013</v>
      </c>
      <c r="E69" s="7"/>
      <c r="F69" s="9">
        <v>5</v>
      </c>
    </row>
    <row r="70" spans="1:6" ht="15.75" thickBot="1">
      <c r="A70" s="7" t="s">
        <v>120</v>
      </c>
      <c r="B70" s="7" t="s">
        <v>121</v>
      </c>
      <c r="C70" s="7" t="s">
        <v>271</v>
      </c>
      <c r="D70" s="9">
        <v>2015</v>
      </c>
      <c r="E70" s="9" t="s">
        <v>767</v>
      </c>
      <c r="F70" s="9">
        <v>9.5399999999999991</v>
      </c>
    </row>
    <row r="71" spans="1:6" ht="15.75" thickBot="1">
      <c r="A71" s="7" t="s">
        <v>122</v>
      </c>
      <c r="B71" s="7" t="s">
        <v>121</v>
      </c>
      <c r="C71" s="7" t="s">
        <v>271</v>
      </c>
      <c r="D71" s="9">
        <v>2017</v>
      </c>
      <c r="E71" s="9" t="s">
        <v>767</v>
      </c>
      <c r="F71" s="9">
        <v>9.5399999999999991</v>
      </c>
    </row>
    <row r="72" spans="1:6" ht="15.75" thickBot="1">
      <c r="A72" s="7" t="s">
        <v>123</v>
      </c>
      <c r="B72" s="7" t="s">
        <v>124</v>
      </c>
      <c r="C72" s="7" t="s">
        <v>271</v>
      </c>
      <c r="D72" s="9">
        <v>2017</v>
      </c>
      <c r="E72" s="9" t="s">
        <v>768</v>
      </c>
      <c r="F72" s="9">
        <v>9.5399999999999991</v>
      </c>
    </row>
    <row r="73" spans="1:6" ht="15.75" thickBot="1">
      <c r="A73" s="7"/>
      <c r="B73" s="7" t="s">
        <v>125</v>
      </c>
      <c r="C73" s="7"/>
      <c r="D73" s="7"/>
      <c r="E73" s="7"/>
      <c r="F73" s="9">
        <v>2</v>
      </c>
    </row>
    <row r="74" spans="1:6" ht="15.75" thickBot="1">
      <c r="A74" s="7"/>
      <c r="B74" s="7" t="s">
        <v>125</v>
      </c>
      <c r="C74" s="7"/>
      <c r="D74" s="7"/>
      <c r="E74" s="7"/>
      <c r="F74" s="9">
        <v>2</v>
      </c>
    </row>
    <row r="75" spans="1:6" ht="15.75" thickBot="1">
      <c r="A75" s="7"/>
      <c r="B75" s="7" t="s">
        <v>125</v>
      </c>
      <c r="C75" s="7"/>
      <c r="D75" s="7"/>
      <c r="E75" s="7"/>
      <c r="F75" s="9">
        <v>2</v>
      </c>
    </row>
    <row r="76" spans="1:6" ht="15.75" thickBot="1">
      <c r="A76" s="7"/>
      <c r="B76" s="7" t="s">
        <v>125</v>
      </c>
      <c r="C76" s="7"/>
      <c r="D76" s="7"/>
      <c r="E76" s="7"/>
      <c r="F76" s="9">
        <v>2</v>
      </c>
    </row>
    <row r="77" spans="1:6" ht="15.75" thickBot="1">
      <c r="A77" s="7"/>
      <c r="B77" s="10" t="s">
        <v>126</v>
      </c>
      <c r="C77" s="10"/>
      <c r="D77" s="7"/>
      <c r="E77" s="7"/>
      <c r="F77" s="9">
        <v>1.74</v>
      </c>
    </row>
    <row r="78" spans="1:6" ht="15.75" thickBot="1">
      <c r="A78" s="7"/>
      <c r="B78" s="7" t="s">
        <v>125</v>
      </c>
      <c r="C78" s="7"/>
      <c r="D78" s="7"/>
      <c r="E78" s="7"/>
      <c r="F78" s="9">
        <v>2</v>
      </c>
    </row>
    <row r="79" spans="1:6" ht="15.75" thickBot="1">
      <c r="A79" s="7"/>
      <c r="B79" s="10" t="s">
        <v>126</v>
      </c>
      <c r="C79" s="10"/>
      <c r="D79" s="7"/>
      <c r="E79" s="7"/>
      <c r="F79" s="9">
        <v>1.74</v>
      </c>
    </row>
    <row r="80" spans="1:6" ht="15.75" thickBot="1">
      <c r="A80" s="7"/>
      <c r="B80" s="10" t="s">
        <v>127</v>
      </c>
      <c r="C80" s="10"/>
      <c r="D80" s="7"/>
      <c r="E80" s="7"/>
      <c r="F80" s="9">
        <v>1.8</v>
      </c>
    </row>
    <row r="81" spans="1:6" ht="15.75" thickBot="1">
      <c r="A81" s="7"/>
      <c r="B81" s="7" t="s">
        <v>125</v>
      </c>
      <c r="C81" s="7"/>
      <c r="D81" s="7"/>
      <c r="E81" s="7"/>
      <c r="F81" s="9">
        <v>2</v>
      </c>
    </row>
    <row r="82" spans="1:6" ht="15.75" thickBot="1">
      <c r="A82" s="7"/>
      <c r="B82" s="7" t="s">
        <v>128</v>
      </c>
      <c r="C82" s="7"/>
      <c r="D82" s="7"/>
      <c r="E82" s="7"/>
      <c r="F82" s="9">
        <v>1.8</v>
      </c>
    </row>
    <row r="83" spans="1:6" ht="15.75" thickBot="1">
      <c r="A83" s="7"/>
      <c r="B83" s="7" t="s">
        <v>129</v>
      </c>
      <c r="C83" s="7"/>
      <c r="D83" s="7"/>
      <c r="E83" s="7"/>
      <c r="F83" s="9">
        <v>1.26</v>
      </c>
    </row>
    <row r="84" spans="1:6" ht="15.75" thickBot="1">
      <c r="A84" s="7"/>
      <c r="B84" s="7" t="s">
        <v>130</v>
      </c>
      <c r="C84" s="7"/>
      <c r="D84" s="7"/>
      <c r="E84" s="7"/>
      <c r="F84" s="9">
        <v>1.26</v>
      </c>
    </row>
    <row r="85" spans="1:6" ht="15.75" thickBot="1">
      <c r="A85" s="7"/>
      <c r="B85" s="7" t="s">
        <v>131</v>
      </c>
      <c r="C85" s="7"/>
      <c r="D85" s="7"/>
      <c r="E85" s="7"/>
      <c r="F85" s="9">
        <v>1.26</v>
      </c>
    </row>
    <row r="86" spans="1:6" ht="15.75" thickBot="1">
      <c r="A86" s="7"/>
      <c r="B86" s="10" t="s">
        <v>132</v>
      </c>
      <c r="C86" s="10"/>
      <c r="D86" s="7"/>
      <c r="E86" s="7"/>
      <c r="F86" s="9">
        <v>1.26</v>
      </c>
    </row>
    <row r="87" spans="1:6" ht="15.75" thickBot="1">
      <c r="A87" s="7"/>
      <c r="B87" s="7" t="s">
        <v>133</v>
      </c>
      <c r="C87" s="7"/>
      <c r="D87" s="7"/>
      <c r="E87" s="7"/>
      <c r="F87" s="9">
        <v>1.17</v>
      </c>
    </row>
    <row r="88" spans="1:6" ht="15.75" thickBot="1">
      <c r="A88" s="7"/>
      <c r="B88" s="7" t="s">
        <v>134</v>
      </c>
      <c r="C88" s="7"/>
      <c r="D88" s="7"/>
      <c r="E88" s="7"/>
      <c r="F88" s="9">
        <v>1.8</v>
      </c>
    </row>
    <row r="89" spans="1:6" ht="15.75" thickBot="1">
      <c r="A89" s="7"/>
      <c r="B89" s="7" t="s">
        <v>135</v>
      </c>
      <c r="C89" s="7"/>
      <c r="D89" s="7"/>
      <c r="E89" s="7"/>
      <c r="F89" s="9">
        <v>1.35</v>
      </c>
    </row>
    <row r="90" spans="1:6" ht="15.75" thickBot="1">
      <c r="A90" s="7"/>
      <c r="B90" s="6" t="s">
        <v>136</v>
      </c>
      <c r="C90" s="6"/>
      <c r="D90" s="7"/>
      <c r="E90" s="7"/>
      <c r="F90" s="9">
        <v>1.1000000000000001</v>
      </c>
    </row>
    <row r="91" spans="1:6" ht="15.75" thickBot="1">
      <c r="A91" s="7"/>
      <c r="B91" s="6" t="s">
        <v>137</v>
      </c>
      <c r="C91" s="6"/>
      <c r="D91" s="7"/>
      <c r="E91" s="7"/>
      <c r="F91" s="9">
        <v>1.2</v>
      </c>
    </row>
    <row r="92" spans="1:6" ht="15.75" thickBot="1">
      <c r="A92" s="7"/>
      <c r="B92" s="6" t="s">
        <v>138</v>
      </c>
      <c r="C92" s="6"/>
      <c r="D92" s="7"/>
      <c r="E92" s="7"/>
      <c r="F92" s="9">
        <v>1.26</v>
      </c>
    </row>
    <row r="93" spans="1:6" ht="15.75" thickBot="1">
      <c r="A93" s="7"/>
      <c r="B93" s="7" t="s">
        <v>139</v>
      </c>
      <c r="C93" s="7"/>
      <c r="D93" s="7"/>
      <c r="E93" s="7"/>
      <c r="F93" s="9">
        <v>1.27</v>
      </c>
    </row>
    <row r="94" spans="1:6" ht="15.75" thickBot="1">
      <c r="A94" s="7"/>
      <c r="B94" s="7" t="s">
        <v>139</v>
      </c>
      <c r="C94" s="7"/>
      <c r="D94" s="7"/>
      <c r="E94" s="7"/>
      <c r="F94" s="9">
        <v>1.27</v>
      </c>
    </row>
    <row r="95" spans="1:6" ht="15.75" thickBot="1">
      <c r="A95" s="7"/>
      <c r="B95" s="7" t="s">
        <v>140</v>
      </c>
      <c r="C95" s="7"/>
      <c r="D95" s="7"/>
      <c r="E95" s="7"/>
      <c r="F95" s="9">
        <v>1.3</v>
      </c>
    </row>
    <row r="96" spans="1:6" ht="15.75" thickBot="1">
      <c r="A96" s="7"/>
      <c r="B96" s="7" t="s">
        <v>141</v>
      </c>
      <c r="C96" s="7"/>
      <c r="D96" s="7"/>
      <c r="E96" s="7"/>
      <c r="F96" s="9">
        <v>1.4</v>
      </c>
    </row>
    <row r="97" spans="1:6" ht="15.75" thickBot="1">
      <c r="A97" s="7"/>
      <c r="B97" s="7" t="s">
        <v>142</v>
      </c>
      <c r="C97" s="7"/>
      <c r="D97" s="7"/>
      <c r="E97" s="7"/>
      <c r="F97" s="9">
        <v>1.4</v>
      </c>
    </row>
    <row r="98" spans="1:6" ht="15.75" thickBot="1">
      <c r="A98" s="7"/>
      <c r="B98" s="7" t="s">
        <v>143</v>
      </c>
      <c r="C98" s="7"/>
      <c r="D98" s="7"/>
      <c r="E98" s="7"/>
      <c r="F98" s="9">
        <v>3.26</v>
      </c>
    </row>
    <row r="99" spans="1:6" ht="15.75" thickBot="1">
      <c r="A99" s="7"/>
      <c r="B99" s="7" t="s">
        <v>144</v>
      </c>
      <c r="C99" s="7"/>
      <c r="D99" s="7"/>
      <c r="E99" s="7"/>
      <c r="F99" s="9">
        <v>5.23</v>
      </c>
    </row>
    <row r="100" spans="1:6" ht="15.75" thickBot="1">
      <c r="A100" s="7"/>
      <c r="B100" s="7" t="s">
        <v>145</v>
      </c>
      <c r="C100" s="7"/>
      <c r="D100" s="7"/>
      <c r="E100" s="7"/>
      <c r="F100" s="9">
        <v>7.5</v>
      </c>
    </row>
    <row r="101" spans="1:6" ht="15.75" thickBot="1">
      <c r="A101" s="7"/>
      <c r="B101" s="7" t="s">
        <v>146</v>
      </c>
      <c r="C101" s="7"/>
      <c r="D101" s="7"/>
      <c r="E101" s="7"/>
      <c r="F101" s="9">
        <v>6.6</v>
      </c>
    </row>
    <row r="102" spans="1:6" ht="15.75" thickBot="1">
      <c r="A102" s="7"/>
      <c r="B102" s="7" t="s">
        <v>147</v>
      </c>
      <c r="C102" s="7"/>
      <c r="D102" s="7"/>
      <c r="E102" s="7"/>
      <c r="F102" s="9">
        <v>5.6</v>
      </c>
    </row>
    <row r="103" spans="1:6" ht="15.75" thickBot="1">
      <c r="A103" s="7"/>
      <c r="B103" s="7" t="s">
        <v>148</v>
      </c>
      <c r="C103" s="7"/>
      <c r="D103" s="7"/>
      <c r="E103" s="7"/>
      <c r="F103" s="9">
        <v>7.65</v>
      </c>
    </row>
    <row r="104" spans="1:6" ht="15.75" thickBot="1">
      <c r="A104" s="7"/>
      <c r="B104" s="7" t="s">
        <v>149</v>
      </c>
      <c r="C104" s="7"/>
      <c r="D104" s="7"/>
      <c r="E104" s="7"/>
      <c r="F104" s="9">
        <v>5.26</v>
      </c>
    </row>
    <row r="105" spans="1:6" ht="15.75" thickBot="1">
      <c r="A105" s="7"/>
      <c r="B105" s="7" t="s">
        <v>150</v>
      </c>
      <c r="C105" s="7"/>
      <c r="D105" s="7"/>
      <c r="E105" s="7"/>
      <c r="F105" s="9">
        <v>9</v>
      </c>
    </row>
    <row r="106" spans="1:6" ht="15.75" thickBot="1">
      <c r="A106" s="7"/>
      <c r="B106" s="7" t="s">
        <v>151</v>
      </c>
      <c r="C106" s="7"/>
      <c r="D106" s="7"/>
      <c r="E106" s="7"/>
      <c r="F106" s="9">
        <v>2.2999999999999998</v>
      </c>
    </row>
    <row r="107" spans="1:6" ht="15.75" thickBot="1">
      <c r="A107" s="7"/>
      <c r="B107" s="7" t="s">
        <v>152</v>
      </c>
      <c r="C107" s="7"/>
      <c r="D107" s="7"/>
      <c r="E107" s="7"/>
      <c r="F107" s="9">
        <v>2.2999999999999998</v>
      </c>
    </row>
    <row r="108" spans="1:6" ht="15.75" thickBot="1">
      <c r="A108" s="7"/>
      <c r="B108" s="7" t="s">
        <v>153</v>
      </c>
      <c r="C108" s="7"/>
      <c r="D108" s="7"/>
      <c r="E108" s="7"/>
      <c r="F108" s="9">
        <v>5.26</v>
      </c>
    </row>
    <row r="109" spans="1:6" ht="15.75" thickBot="1">
      <c r="A109" s="7"/>
      <c r="B109" s="7" t="s">
        <v>154</v>
      </c>
      <c r="C109" s="7"/>
      <c r="D109" s="7"/>
      <c r="E109" s="7"/>
      <c r="F109" s="9">
        <v>9.4</v>
      </c>
    </row>
    <row r="110" spans="1:6" ht="15.75" thickBot="1">
      <c r="A110" s="7"/>
      <c r="B110" s="7" t="s">
        <v>155</v>
      </c>
      <c r="C110" s="7"/>
      <c r="D110" s="7"/>
      <c r="E110" s="7"/>
      <c r="F110" s="9">
        <v>5.9</v>
      </c>
    </row>
    <row r="111" spans="1:6" ht="15.75" thickBot="1">
      <c r="A111" s="7"/>
      <c r="B111" s="7" t="s">
        <v>156</v>
      </c>
      <c r="C111" s="7"/>
      <c r="D111" s="7"/>
      <c r="E111" s="7"/>
      <c r="F111" s="9">
        <v>5.26</v>
      </c>
    </row>
    <row r="112" spans="1:6" ht="15.75" thickBot="1">
      <c r="A112" s="7"/>
      <c r="B112" s="7" t="s">
        <v>157</v>
      </c>
      <c r="C112" s="7"/>
      <c r="D112" s="7"/>
      <c r="E112" s="7"/>
      <c r="F112" s="9">
        <v>1.3</v>
      </c>
    </row>
    <row r="113" spans="1:6" ht="15.75" thickBot="1">
      <c r="A113" s="7"/>
      <c r="B113" s="7" t="s">
        <v>158</v>
      </c>
      <c r="C113" s="7"/>
      <c r="D113" s="7"/>
      <c r="E113" s="7"/>
      <c r="F113" s="9">
        <v>3</v>
      </c>
    </row>
    <row r="114" spans="1:6" ht="15.75" thickBot="1">
      <c r="A114" s="7"/>
      <c r="B114" s="7" t="s">
        <v>159</v>
      </c>
      <c r="C114" s="7"/>
      <c r="D114" s="7"/>
      <c r="E114" s="7"/>
      <c r="F114" s="9">
        <v>3</v>
      </c>
    </row>
    <row r="115" spans="1:6" ht="15.75" thickBot="1">
      <c r="A115" s="7"/>
      <c r="B115" s="7" t="s">
        <v>160</v>
      </c>
      <c r="C115" s="7"/>
      <c r="D115" s="7"/>
      <c r="E115" s="7"/>
      <c r="F115" s="9">
        <v>5.2</v>
      </c>
    </row>
    <row r="116" spans="1:6" ht="15.75" thickBot="1">
      <c r="A116" s="7"/>
      <c r="B116" s="7" t="s">
        <v>161</v>
      </c>
      <c r="C116" s="7"/>
      <c r="D116" s="7"/>
      <c r="E116" s="7"/>
      <c r="F116" s="9">
        <v>4.25</v>
      </c>
    </row>
    <row r="117" spans="1:6" ht="15.75" thickBot="1">
      <c r="A117" s="7"/>
      <c r="B117" s="7" t="s">
        <v>162</v>
      </c>
      <c r="C117" s="7"/>
      <c r="D117" s="7"/>
      <c r="E117" s="7"/>
      <c r="F117" s="9">
        <v>3.33</v>
      </c>
    </row>
    <row r="118" spans="1:6" ht="15.75" thickBot="1">
      <c r="A118" s="7"/>
      <c r="B118" s="7" t="s">
        <v>163</v>
      </c>
      <c r="C118" s="7"/>
      <c r="D118" s="7"/>
      <c r="E118" s="7"/>
      <c r="F118" s="9">
        <v>2.8</v>
      </c>
    </row>
    <row r="119" spans="1:6" ht="15.75" thickBot="1">
      <c r="A119" s="7"/>
      <c r="B119" s="7" t="s">
        <v>164</v>
      </c>
      <c r="C119" s="7"/>
      <c r="D119" s="7"/>
      <c r="E119" s="7"/>
      <c r="F119" s="9">
        <v>1.7</v>
      </c>
    </row>
    <row r="120" spans="1:6" ht="15.75" thickBot="1">
      <c r="A120" s="7"/>
      <c r="B120" s="7" t="s">
        <v>165</v>
      </c>
      <c r="C120" s="7"/>
      <c r="D120" s="7"/>
      <c r="E120" s="7"/>
      <c r="F120" s="9">
        <v>1.48</v>
      </c>
    </row>
    <row r="121" spans="1:6" ht="15.75" thickBot="1">
      <c r="A121" s="7"/>
      <c r="B121" s="7" t="s">
        <v>166</v>
      </c>
      <c r="C121" s="7"/>
      <c r="D121" s="7"/>
      <c r="E121" s="7"/>
      <c r="F121" s="9">
        <v>3.33</v>
      </c>
    </row>
    <row r="122" spans="1:6" ht="15.75" thickBot="1">
      <c r="A122" s="7"/>
      <c r="B122" s="7" t="s">
        <v>167</v>
      </c>
      <c r="C122" s="7"/>
      <c r="D122" s="7"/>
      <c r="E122" s="7"/>
      <c r="F122" s="9">
        <v>0.75</v>
      </c>
    </row>
    <row r="123" spans="1:6" ht="15.75" thickBot="1">
      <c r="A123" s="7"/>
      <c r="B123" s="7" t="s">
        <v>168</v>
      </c>
      <c r="C123" s="7"/>
      <c r="D123" s="7"/>
      <c r="E123" s="7"/>
      <c r="F123" s="9">
        <v>4.25</v>
      </c>
    </row>
    <row r="124" spans="1:6" ht="15.75" thickBot="1">
      <c r="A124" s="7"/>
      <c r="B124" s="7" t="s">
        <v>169</v>
      </c>
      <c r="C124" s="7"/>
      <c r="D124" s="7"/>
      <c r="E124" s="7"/>
      <c r="F124" s="9">
        <v>1.44</v>
      </c>
    </row>
    <row r="125" spans="1:6" ht="15.75" thickBot="1">
      <c r="A125" s="7"/>
      <c r="B125" s="7" t="s">
        <v>170</v>
      </c>
      <c r="C125" s="7"/>
      <c r="D125" s="7"/>
      <c r="E125" s="7"/>
      <c r="F125" s="9">
        <v>1.1299999999999999</v>
      </c>
    </row>
    <row r="126" spans="1:6" ht="15.75" thickBot="1">
      <c r="A126" s="7"/>
      <c r="B126" s="7" t="s">
        <v>171</v>
      </c>
      <c r="C126" s="7"/>
      <c r="D126" s="7"/>
      <c r="E126" s="7"/>
      <c r="F126" s="9">
        <v>1.1299999999999999</v>
      </c>
    </row>
    <row r="127" spans="1:6" ht="15.75" thickBot="1">
      <c r="A127" s="7"/>
      <c r="B127" s="7" t="s">
        <v>172</v>
      </c>
      <c r="C127" s="7"/>
      <c r="D127" s="7"/>
      <c r="E127" s="7"/>
      <c r="F127" s="9">
        <v>1.5</v>
      </c>
    </row>
    <row r="128" spans="1:6" ht="15.75" thickBot="1">
      <c r="A128" s="7"/>
      <c r="B128" s="7" t="s">
        <v>173</v>
      </c>
      <c r="C128" s="7"/>
      <c r="D128" s="7"/>
      <c r="E128" s="7"/>
      <c r="F128" s="9">
        <v>1.46</v>
      </c>
    </row>
    <row r="129" spans="1:6" ht="15.75" thickBot="1">
      <c r="A129" s="7"/>
      <c r="B129" s="7" t="s">
        <v>174</v>
      </c>
      <c r="C129" s="7"/>
      <c r="D129" s="7"/>
      <c r="E129" s="7"/>
      <c r="F129" s="9">
        <v>1.18</v>
      </c>
    </row>
    <row r="130" spans="1:6" ht="15.75" thickBot="1">
      <c r="A130" s="7"/>
      <c r="B130" s="7" t="s">
        <v>175</v>
      </c>
      <c r="C130" s="7"/>
      <c r="D130" s="7"/>
      <c r="E130" s="7"/>
      <c r="F130" s="9">
        <v>1.73</v>
      </c>
    </row>
    <row r="131" spans="1:6" ht="15.75" thickBot="1">
      <c r="A131" s="7"/>
      <c r="B131" s="7" t="s">
        <v>176</v>
      </c>
      <c r="C131" s="7"/>
      <c r="D131" s="7"/>
      <c r="E131" s="7"/>
      <c r="F131" s="9">
        <v>1.73</v>
      </c>
    </row>
    <row r="132" spans="1:6" ht="15.75" thickBot="1">
      <c r="A132" s="7"/>
      <c r="B132" s="7" t="s">
        <v>177</v>
      </c>
      <c r="C132" s="7"/>
      <c r="D132" s="7"/>
      <c r="E132" s="7"/>
      <c r="F132" s="9">
        <v>1.68</v>
      </c>
    </row>
    <row r="133" spans="1:6" ht="15.75" thickBot="1">
      <c r="A133" s="7"/>
      <c r="B133" s="7" t="s">
        <v>178</v>
      </c>
      <c r="C133" s="7"/>
      <c r="D133" s="7"/>
      <c r="E133" s="7"/>
      <c r="F133" s="9">
        <v>1.64</v>
      </c>
    </row>
    <row r="134" spans="1:6" ht="15.75" thickBot="1">
      <c r="A134" s="7"/>
      <c r="B134" s="7" t="s">
        <v>179</v>
      </c>
      <c r="C134" s="7"/>
      <c r="D134" s="7"/>
      <c r="E134" s="7"/>
      <c r="F134" s="9">
        <v>2.2999999999999998</v>
      </c>
    </row>
    <row r="135" spans="1:6" ht="15.75" thickBot="1">
      <c r="A135" s="7"/>
      <c r="B135" s="7" t="s">
        <v>180</v>
      </c>
      <c r="C135" s="7"/>
      <c r="D135" s="7"/>
      <c r="E135" s="7"/>
      <c r="F135" s="9">
        <v>1.96</v>
      </c>
    </row>
    <row r="136" spans="1:6" ht="15.75" thickBot="1">
      <c r="A136" s="7"/>
      <c r="B136" s="7" t="s">
        <v>181</v>
      </c>
      <c r="C136" s="7"/>
      <c r="D136" s="7"/>
      <c r="E136" s="7"/>
      <c r="F136" s="9">
        <v>1.7</v>
      </c>
    </row>
    <row r="137" spans="1:6" ht="15.75" thickBot="1">
      <c r="A137" s="7"/>
      <c r="B137" s="7" t="s">
        <v>182</v>
      </c>
      <c r="C137" s="7"/>
      <c r="D137" s="7"/>
      <c r="E137" s="7"/>
      <c r="F137" s="9">
        <v>2.7</v>
      </c>
    </row>
    <row r="138" spans="1:6" ht="15.75" thickBot="1">
      <c r="A138" s="7"/>
      <c r="B138" s="7" t="s">
        <v>183</v>
      </c>
      <c r="C138" s="7"/>
      <c r="D138" s="7"/>
      <c r="E138" s="7"/>
      <c r="F138" s="9">
        <v>2.74</v>
      </c>
    </row>
    <row r="139" spans="1:6" ht="15.75" thickBot="1">
      <c r="A139" s="7"/>
      <c r="B139" s="7" t="s">
        <v>184</v>
      </c>
      <c r="C139" s="7"/>
      <c r="D139" s="7"/>
      <c r="E139" s="7"/>
      <c r="F139" s="9">
        <v>2</v>
      </c>
    </row>
    <row r="140" spans="1:6" ht="15.75" thickBot="1">
      <c r="A140" s="7"/>
      <c r="B140" s="7" t="s">
        <v>175</v>
      </c>
      <c r="C140" s="7"/>
      <c r="D140" s="7"/>
      <c r="E140" s="7"/>
      <c r="F140" s="9">
        <v>1.73</v>
      </c>
    </row>
    <row r="141" spans="1:6" ht="15.75" thickBot="1">
      <c r="A141" s="7"/>
      <c r="B141" s="7" t="s">
        <v>185</v>
      </c>
      <c r="C141" s="7"/>
      <c r="D141" s="7"/>
      <c r="E141" s="7"/>
      <c r="F141" s="9">
        <v>1.68</v>
      </c>
    </row>
    <row r="142" spans="1:6" ht="15.75" thickBot="1">
      <c r="A142" s="7"/>
      <c r="B142" s="7" t="s">
        <v>186</v>
      </c>
      <c r="C142" s="7"/>
      <c r="D142" s="7"/>
      <c r="E142" s="7"/>
      <c r="F142" s="9">
        <v>1.64</v>
      </c>
    </row>
    <row r="143" spans="1:6" ht="15.75" thickBot="1">
      <c r="A143" s="7"/>
      <c r="B143" s="7" t="s">
        <v>187</v>
      </c>
      <c r="C143" s="7"/>
      <c r="D143" s="7"/>
      <c r="E143" s="7"/>
      <c r="F143" s="9">
        <v>2.2999999999999998</v>
      </c>
    </row>
    <row r="144" spans="1:6" ht="15.75" thickBot="1">
      <c r="A144" s="7"/>
      <c r="B144" s="7" t="s">
        <v>188</v>
      </c>
      <c r="C144" s="7"/>
      <c r="D144" s="7"/>
      <c r="E144" s="7"/>
      <c r="F144" s="9">
        <v>1.96</v>
      </c>
    </row>
    <row r="145" spans="1:6" ht="15.75" thickBot="1">
      <c r="A145" s="7"/>
      <c r="B145" s="7" t="s">
        <v>189</v>
      </c>
      <c r="C145" s="7"/>
      <c r="D145" s="7"/>
      <c r="E145" s="7"/>
      <c r="F145" s="9">
        <v>1.7</v>
      </c>
    </row>
    <row r="146" spans="1:6" ht="15.75" thickBot="1">
      <c r="A146" s="7"/>
      <c r="B146" s="7" t="s">
        <v>190</v>
      </c>
      <c r="C146" s="7"/>
      <c r="D146" s="7"/>
      <c r="E146" s="7"/>
      <c r="F146" s="9">
        <v>2.7</v>
      </c>
    </row>
    <row r="147" spans="1:6" ht="15.75" thickBot="1">
      <c r="A147" s="7"/>
      <c r="B147" s="7" t="s">
        <v>191</v>
      </c>
      <c r="C147" s="7"/>
      <c r="D147" s="7"/>
      <c r="E147" s="7"/>
      <c r="F147" s="9">
        <v>2.74</v>
      </c>
    </row>
    <row r="148" spans="1:6" ht="15.75" thickBot="1">
      <c r="A148" s="7"/>
      <c r="B148" s="7" t="s">
        <v>192</v>
      </c>
      <c r="C148" s="7"/>
      <c r="D148" s="7"/>
      <c r="E148" s="7"/>
      <c r="F148" s="9">
        <v>1.36</v>
      </c>
    </row>
    <row r="149" spans="1:6" ht="15.75" thickBot="1">
      <c r="A149" s="7"/>
      <c r="B149" s="7" t="s">
        <v>193</v>
      </c>
      <c r="C149" s="7"/>
      <c r="D149" s="7"/>
      <c r="E149" s="7"/>
      <c r="F149" s="9">
        <v>1.4</v>
      </c>
    </row>
    <row r="150" spans="1:6" ht="15.75" thickBot="1">
      <c r="A150" s="7"/>
      <c r="B150" s="7" t="s">
        <v>194</v>
      </c>
      <c r="C150" s="7"/>
      <c r="D150" s="7"/>
      <c r="E150" s="7"/>
      <c r="F150" s="9">
        <v>2.5</v>
      </c>
    </row>
    <row r="151" spans="1:6" ht="15.75" thickBot="1">
      <c r="A151" s="7"/>
      <c r="B151" s="7" t="s">
        <v>195</v>
      </c>
      <c r="C151" s="7"/>
      <c r="D151" s="7"/>
      <c r="E151" s="7"/>
      <c r="F151" s="9">
        <v>1.7</v>
      </c>
    </row>
    <row r="152" spans="1:6" ht="15.75" thickBot="1">
      <c r="A152" s="7"/>
      <c r="B152" s="7" t="s">
        <v>196</v>
      </c>
      <c r="C152" s="7"/>
      <c r="D152" s="7"/>
      <c r="E152" s="7"/>
      <c r="F152" s="9">
        <v>1.32</v>
      </c>
    </row>
    <row r="153" spans="1:6" ht="15.75" thickBot="1">
      <c r="A153" s="7"/>
      <c r="B153" s="7" t="s">
        <v>197</v>
      </c>
      <c r="C153" s="7"/>
      <c r="D153" s="7"/>
      <c r="E153" s="7"/>
      <c r="F153" s="9">
        <v>1.36</v>
      </c>
    </row>
    <row r="154" spans="1:6" ht="15.75" thickBot="1">
      <c r="A154" s="7"/>
      <c r="B154" s="7" t="s">
        <v>198</v>
      </c>
      <c r="C154" s="7"/>
      <c r="D154" s="7"/>
      <c r="E154" s="7"/>
      <c r="F154" s="9">
        <v>1.7</v>
      </c>
    </row>
    <row r="155" spans="1:6" ht="15.75" thickBot="1">
      <c r="A155" s="7"/>
      <c r="B155" s="7" t="s">
        <v>199</v>
      </c>
      <c r="C155" s="7"/>
      <c r="D155" s="7"/>
      <c r="E155" s="7"/>
      <c r="F155" s="9">
        <v>1.3</v>
      </c>
    </row>
    <row r="156" spans="1:6" ht="15.75" thickBot="1">
      <c r="A156" s="7"/>
      <c r="B156" s="7" t="s">
        <v>200</v>
      </c>
      <c r="C156" s="7"/>
      <c r="D156" s="7"/>
      <c r="E156" s="7"/>
      <c r="F156" s="9">
        <v>1.8</v>
      </c>
    </row>
    <row r="157" spans="1:6" ht="15.75" thickBot="1">
      <c r="A157" s="7"/>
      <c r="B157" s="7" t="s">
        <v>201</v>
      </c>
      <c r="C157" s="7"/>
      <c r="D157" s="7"/>
      <c r="E157" s="7"/>
      <c r="F157" s="9">
        <v>1.32</v>
      </c>
    </row>
    <row r="158" spans="1:6" ht="15.75" thickBot="1">
      <c r="A158" s="7"/>
      <c r="B158" s="7" t="s">
        <v>202</v>
      </c>
      <c r="C158" s="7"/>
      <c r="D158" s="7"/>
      <c r="E158" s="7"/>
      <c r="F158" s="9">
        <v>1.27</v>
      </c>
    </row>
    <row r="159" spans="1:6" ht="15.75" thickBot="1">
      <c r="A159" s="7"/>
      <c r="B159" s="7" t="s">
        <v>203</v>
      </c>
      <c r="C159" s="7"/>
      <c r="D159" s="7"/>
      <c r="E159" s="7"/>
      <c r="F159" s="9">
        <v>1.4</v>
      </c>
    </row>
    <row r="160" spans="1:6" ht="15.75" thickBot="1">
      <c r="A160" s="7"/>
      <c r="B160" s="7" t="s">
        <v>200</v>
      </c>
      <c r="C160" s="7"/>
      <c r="D160" s="7"/>
      <c r="E160" s="7"/>
      <c r="F160" s="9">
        <v>1.8</v>
      </c>
    </row>
    <row r="161" spans="1:6" ht="15.75" thickBot="1">
      <c r="A161" s="7"/>
      <c r="B161" s="7" t="s">
        <v>204</v>
      </c>
      <c r="C161" s="7"/>
      <c r="D161" s="7"/>
      <c r="E161" s="7"/>
      <c r="F161" s="9">
        <v>1.4</v>
      </c>
    </row>
    <row r="162" spans="1:6" ht="15.75" thickBot="1">
      <c r="A162" s="7"/>
      <c r="B162" s="7" t="s">
        <v>205</v>
      </c>
      <c r="C162" s="7"/>
      <c r="D162" s="7"/>
      <c r="E162" s="7"/>
      <c r="F162" s="9">
        <v>2.63</v>
      </c>
    </row>
    <row r="163" spans="1:6" ht="15.75" thickBot="1">
      <c r="A163" s="7"/>
      <c r="B163" s="7" t="s">
        <v>206</v>
      </c>
      <c r="C163" s="7"/>
      <c r="D163" s="7"/>
      <c r="E163" s="7"/>
      <c r="F163" s="9">
        <v>2.63</v>
      </c>
    </row>
    <row r="164" spans="1:6" ht="15.75" thickBot="1">
      <c r="A164" s="7"/>
      <c r="B164" s="7" t="s">
        <v>207</v>
      </c>
      <c r="C164" s="7"/>
      <c r="D164" s="7"/>
      <c r="E164" s="7"/>
      <c r="F164" s="9">
        <v>2</v>
      </c>
    </row>
    <row r="165" spans="1:6" ht="15.75" thickBot="1">
      <c r="A165" s="7"/>
      <c r="B165" s="7" t="s">
        <v>208</v>
      </c>
      <c r="C165" s="7"/>
      <c r="D165" s="7"/>
      <c r="E165" s="7"/>
      <c r="F165" s="9">
        <v>1.8</v>
      </c>
    </row>
    <row r="166" spans="1:6" ht="15.75" thickBot="1">
      <c r="A166" s="7"/>
      <c r="B166" s="7" t="s">
        <v>209</v>
      </c>
      <c r="C166" s="7"/>
      <c r="D166" s="7"/>
      <c r="E166" s="7"/>
      <c r="F166" s="9">
        <v>2.2000000000000002</v>
      </c>
    </row>
    <row r="167" spans="1:6" ht="15.75" thickBot="1">
      <c r="A167" s="7"/>
      <c r="B167" s="7" t="s">
        <v>210</v>
      </c>
      <c r="C167" s="7"/>
      <c r="D167" s="7"/>
      <c r="E167" s="7"/>
      <c r="F167" s="9">
        <v>2.63</v>
      </c>
    </row>
    <row r="168" spans="1:6" ht="15.75" thickBot="1">
      <c r="A168" s="7"/>
      <c r="B168" s="10" t="s">
        <v>211</v>
      </c>
      <c r="C168" s="10"/>
      <c r="D168" s="7"/>
      <c r="E168" s="7"/>
      <c r="F168" s="9">
        <v>2</v>
      </c>
    </row>
    <row r="169" spans="1:6" ht="15.75" thickBot="1">
      <c r="A169" s="7"/>
      <c r="B169" s="7" t="s">
        <v>212</v>
      </c>
      <c r="C169" s="7"/>
      <c r="D169" s="7"/>
      <c r="E169" s="7"/>
      <c r="F169" s="9">
        <v>1.47</v>
      </c>
    </row>
    <row r="170" spans="1:6" ht="15.75" thickBot="1">
      <c r="A170" s="7"/>
      <c r="B170" s="7" t="s">
        <v>213</v>
      </c>
      <c r="C170" s="7"/>
      <c r="D170" s="7"/>
      <c r="E170" s="7"/>
      <c r="F170" s="9">
        <v>1.36</v>
      </c>
    </row>
    <row r="171" spans="1:6" ht="15.75" thickBot="1">
      <c r="A171" s="7"/>
      <c r="B171" s="7" t="s">
        <v>214</v>
      </c>
      <c r="C171" s="7"/>
      <c r="D171" s="7"/>
      <c r="E171" s="7"/>
      <c r="F171" s="9">
        <v>1.47</v>
      </c>
    </row>
    <row r="172" spans="1:6" ht="15.75" thickBot="1">
      <c r="A172" s="7"/>
      <c r="B172" s="7" t="s">
        <v>215</v>
      </c>
      <c r="C172" s="7"/>
      <c r="D172" s="7"/>
      <c r="E172" s="7"/>
      <c r="F172" s="9">
        <v>1.53</v>
      </c>
    </row>
    <row r="173" spans="1:6" ht="15.75" thickBot="1">
      <c r="A173" s="7"/>
      <c r="B173" s="7" t="s">
        <v>216</v>
      </c>
      <c r="C173" s="7"/>
      <c r="D173" s="7"/>
      <c r="E173" s="7"/>
      <c r="F173" s="9">
        <v>1.24</v>
      </c>
    </row>
    <row r="174" spans="1:6" ht="15.75" thickBot="1">
      <c r="A174" s="7"/>
      <c r="B174" s="7" t="s">
        <v>217</v>
      </c>
      <c r="C174" s="7"/>
      <c r="D174" s="7"/>
      <c r="E174" s="7"/>
      <c r="F174" s="9">
        <v>1.47</v>
      </c>
    </row>
    <row r="175" spans="1:6" ht="15.75" thickBot="1">
      <c r="A175" s="7"/>
      <c r="B175" s="7" t="s">
        <v>218</v>
      </c>
      <c r="C175" s="7"/>
      <c r="D175" s="7"/>
      <c r="E175" s="7"/>
      <c r="F175" s="9">
        <v>1.55</v>
      </c>
    </row>
    <row r="176" spans="1:6" ht="15.75" thickBot="1">
      <c r="A176" s="7"/>
      <c r="B176" s="7" t="s">
        <v>219</v>
      </c>
      <c r="C176" s="7"/>
      <c r="D176" s="7"/>
      <c r="E176" s="7"/>
      <c r="F176" s="9">
        <v>1.75</v>
      </c>
    </row>
    <row r="177" spans="1:6" ht="15.75" thickBot="1">
      <c r="A177" s="7"/>
      <c r="B177" s="7" t="s">
        <v>220</v>
      </c>
      <c r="C177" s="7"/>
      <c r="D177" s="7"/>
      <c r="E177" s="7"/>
      <c r="F177" s="9">
        <v>1.7</v>
      </c>
    </row>
    <row r="178" spans="1:6" ht="15.75" thickBot="1">
      <c r="A178" s="7"/>
      <c r="B178" s="7" t="s">
        <v>221</v>
      </c>
      <c r="C178" s="7"/>
      <c r="D178" s="7"/>
      <c r="E178" s="7"/>
      <c r="F178" s="9">
        <v>1.3</v>
      </c>
    </row>
    <row r="179" spans="1:6" ht="15.75" thickBot="1">
      <c r="A179" s="7"/>
      <c r="B179" s="7" t="s">
        <v>222</v>
      </c>
      <c r="C179" s="7"/>
      <c r="D179" s="7"/>
      <c r="E179" s="7"/>
      <c r="F179" s="9">
        <v>1.53</v>
      </c>
    </row>
    <row r="180" spans="1:6" ht="15.75" thickBot="1">
      <c r="A180" s="7"/>
      <c r="B180" s="7" t="s">
        <v>223</v>
      </c>
      <c r="C180" s="7"/>
      <c r="D180" s="7"/>
      <c r="E180" s="7"/>
      <c r="F180" s="9">
        <v>1.27</v>
      </c>
    </row>
    <row r="181" spans="1:6" ht="15.75" thickBot="1">
      <c r="A181" s="7"/>
      <c r="B181" s="7" t="s">
        <v>224</v>
      </c>
      <c r="C181" s="7"/>
      <c r="D181" s="7"/>
      <c r="E181" s="7"/>
      <c r="F181" s="9">
        <v>1.3</v>
      </c>
    </row>
    <row r="182" spans="1:6" ht="15.75" thickBot="1">
      <c r="A182" s="7"/>
      <c r="B182" s="7" t="s">
        <v>225</v>
      </c>
      <c r="C182" s="7"/>
      <c r="D182" s="7"/>
      <c r="E182" s="7"/>
      <c r="F182" s="9">
        <v>1.4</v>
      </c>
    </row>
    <row r="183" spans="1:6" ht="15.75" thickBot="1">
      <c r="A183" s="7"/>
      <c r="B183" s="7" t="s">
        <v>226</v>
      </c>
      <c r="C183" s="7"/>
      <c r="D183" s="7"/>
      <c r="E183" s="7"/>
      <c r="F183" s="9">
        <v>1.4</v>
      </c>
    </row>
    <row r="184" spans="1:6" ht="15.75" thickBot="1">
      <c r="A184" s="7"/>
      <c r="B184" s="7" t="s">
        <v>227</v>
      </c>
      <c r="C184" s="7"/>
      <c r="D184" s="7"/>
      <c r="E184" s="7"/>
      <c r="F184" s="9">
        <v>1.44</v>
      </c>
    </row>
    <row r="185" spans="1:6" ht="15.75" thickBot="1">
      <c r="A185" s="7"/>
      <c r="B185" s="7" t="s">
        <v>228</v>
      </c>
      <c r="C185" s="7"/>
      <c r="D185" s="7"/>
      <c r="E185" s="7"/>
      <c r="F185" s="9">
        <v>1.1299999999999999</v>
      </c>
    </row>
    <row r="186" spans="1:6" ht="15.75" thickBot="1">
      <c r="A186" s="7"/>
      <c r="B186" s="7" t="s">
        <v>229</v>
      </c>
      <c r="C186" s="7"/>
      <c r="D186" s="7"/>
      <c r="E186" s="7"/>
      <c r="F186" s="9">
        <v>1.1299999999999999</v>
      </c>
    </row>
    <row r="187" spans="1:6" ht="15.75" thickBot="1">
      <c r="A187" s="7"/>
      <c r="B187" s="7" t="s">
        <v>230</v>
      </c>
      <c r="C187" s="7"/>
      <c r="D187" s="7"/>
      <c r="E187" s="7"/>
      <c r="F187" s="9">
        <v>1.5</v>
      </c>
    </row>
    <row r="188" spans="1:6" ht="15.75" thickBot="1">
      <c r="A188" s="7"/>
      <c r="B188" s="7" t="s">
        <v>175</v>
      </c>
      <c r="C188" s="7"/>
      <c r="D188" s="7"/>
      <c r="E188" s="7"/>
      <c r="F188" s="9">
        <v>1.73</v>
      </c>
    </row>
    <row r="189" spans="1:6" ht="15.75" thickBot="1">
      <c r="A189" s="7"/>
      <c r="B189" s="7" t="s">
        <v>185</v>
      </c>
      <c r="C189" s="7"/>
      <c r="D189" s="7"/>
      <c r="E189" s="7"/>
      <c r="F189" s="9">
        <v>1.68</v>
      </c>
    </row>
    <row r="190" spans="1:6" ht="15.75" thickBot="1">
      <c r="A190" s="7"/>
      <c r="B190" s="7" t="s">
        <v>186</v>
      </c>
      <c r="C190" s="7"/>
      <c r="D190" s="7"/>
      <c r="E190" s="7"/>
      <c r="F190" s="9">
        <v>1.64</v>
      </c>
    </row>
    <row r="191" spans="1:6" ht="15.75" thickBot="1">
      <c r="A191" s="7"/>
      <c r="B191" s="7" t="s">
        <v>187</v>
      </c>
      <c r="C191" s="7"/>
      <c r="D191" s="7"/>
      <c r="E191" s="7"/>
      <c r="F191" s="9">
        <v>2.2999999999999998</v>
      </c>
    </row>
    <row r="192" spans="1:6" ht="15.75" thickBot="1">
      <c r="A192" s="7"/>
      <c r="B192" s="7" t="s">
        <v>188</v>
      </c>
      <c r="C192" s="7"/>
      <c r="D192" s="7"/>
      <c r="E192" s="7"/>
      <c r="F192" s="9">
        <v>1.96</v>
      </c>
    </row>
    <row r="193" spans="1:6" ht="15.75" thickBot="1">
      <c r="A193" s="7"/>
      <c r="B193" s="7" t="s">
        <v>189</v>
      </c>
      <c r="C193" s="7"/>
      <c r="D193" s="7"/>
      <c r="E193" s="7"/>
      <c r="F193" s="9">
        <v>1.7</v>
      </c>
    </row>
    <row r="194" spans="1:6" ht="15.75" thickBot="1">
      <c r="A194" s="7"/>
      <c r="B194" s="7" t="s">
        <v>190</v>
      </c>
      <c r="C194" s="7"/>
      <c r="D194" s="7"/>
      <c r="E194" s="7"/>
      <c r="F194" s="9">
        <v>2.7</v>
      </c>
    </row>
    <row r="195" spans="1:6" ht="15.75" thickBot="1">
      <c r="A195" s="7"/>
      <c r="B195" s="7" t="s">
        <v>191</v>
      </c>
      <c r="C195" s="7"/>
      <c r="D195" s="7"/>
      <c r="E195" s="7"/>
      <c r="F195" s="9">
        <v>2.74</v>
      </c>
    </row>
    <row r="196" spans="1:6" ht="15.75" thickBot="1">
      <c r="A196" s="7"/>
      <c r="B196" s="7" t="s">
        <v>231</v>
      </c>
      <c r="C196" s="7"/>
      <c r="D196" s="7"/>
      <c r="E196" s="7"/>
      <c r="F196" s="9">
        <v>1.36</v>
      </c>
    </row>
    <row r="197" spans="1:6" ht="15.75" thickBot="1">
      <c r="A197" s="7"/>
      <c r="B197" s="7" t="s">
        <v>232</v>
      </c>
      <c r="C197" s="7"/>
      <c r="D197" s="7"/>
      <c r="E197" s="7"/>
      <c r="F197" s="9">
        <v>2.5</v>
      </c>
    </row>
    <row r="198" spans="1:6" ht="15.75" thickBot="1">
      <c r="A198" s="7"/>
      <c r="B198" s="7" t="s">
        <v>233</v>
      </c>
      <c r="C198" s="7"/>
      <c r="D198" s="7"/>
      <c r="E198" s="7"/>
      <c r="F198" s="9">
        <v>1.7</v>
      </c>
    </row>
    <row r="199" spans="1:6" ht="15.75" thickBot="1">
      <c r="A199" s="7"/>
      <c r="B199" s="7" t="s">
        <v>234</v>
      </c>
      <c r="C199" s="7"/>
      <c r="D199" s="7"/>
      <c r="E199" s="7"/>
      <c r="F199" s="9">
        <v>1.32</v>
      </c>
    </row>
    <row r="200" spans="1:6" ht="15.75" thickBot="1">
      <c r="A200" s="7"/>
      <c r="B200" s="7" t="s">
        <v>135</v>
      </c>
      <c r="C200" s="7"/>
      <c r="D200" s="7"/>
      <c r="E200" s="7"/>
      <c r="F200" s="9">
        <v>1.36</v>
      </c>
    </row>
    <row r="201" spans="1:6" ht="15.75" thickBot="1">
      <c r="A201" s="7"/>
      <c r="B201" s="7" t="s">
        <v>235</v>
      </c>
      <c r="C201" s="7"/>
      <c r="D201" s="7"/>
      <c r="E201" s="7"/>
      <c r="F201" s="9">
        <v>1.7</v>
      </c>
    </row>
    <row r="202" spans="1:6" ht="15.75" thickBot="1">
      <c r="A202" s="7"/>
      <c r="B202" s="7" t="s">
        <v>221</v>
      </c>
      <c r="C202" s="7"/>
      <c r="D202" s="7"/>
      <c r="E202" s="7"/>
      <c r="F202" s="9">
        <v>1.3</v>
      </c>
    </row>
    <row r="203" spans="1:6" ht="15.75" thickBot="1">
      <c r="A203" s="7"/>
      <c r="B203" s="7" t="s">
        <v>236</v>
      </c>
      <c r="C203" s="7"/>
      <c r="D203" s="7"/>
      <c r="E203" s="7"/>
      <c r="F203" s="9">
        <v>1.32</v>
      </c>
    </row>
    <row r="204" spans="1:6" ht="15.75" thickBot="1">
      <c r="A204" s="7"/>
      <c r="B204" s="7" t="s">
        <v>237</v>
      </c>
      <c r="C204" s="7"/>
      <c r="D204" s="7"/>
      <c r="E204" s="7"/>
      <c r="F204" s="9">
        <v>1.27</v>
      </c>
    </row>
    <row r="205" spans="1:6" ht="15.75" thickBot="1">
      <c r="A205" s="7"/>
      <c r="B205" s="7" t="s">
        <v>238</v>
      </c>
      <c r="C205" s="7"/>
      <c r="D205" s="7"/>
      <c r="E205" s="7"/>
      <c r="F205" s="9">
        <v>1.4</v>
      </c>
    </row>
    <row r="206" spans="1:6" ht="15.75" thickBot="1">
      <c r="A206" s="7"/>
      <c r="B206" s="7" t="s">
        <v>239</v>
      </c>
      <c r="C206" s="7"/>
      <c r="D206" s="7"/>
      <c r="E206" s="7"/>
      <c r="F206" s="9">
        <v>2.63</v>
      </c>
    </row>
    <row r="207" spans="1:6" ht="15.75" thickBot="1">
      <c r="A207" s="7"/>
      <c r="B207" s="7" t="s">
        <v>240</v>
      </c>
      <c r="C207" s="7"/>
      <c r="D207" s="7"/>
      <c r="E207" s="7"/>
      <c r="F207" s="9">
        <v>2.63</v>
      </c>
    </row>
    <row r="208" spans="1:6" ht="15.75" thickBot="1">
      <c r="A208" s="7"/>
      <c r="B208" s="7" t="s">
        <v>241</v>
      </c>
      <c r="C208" s="7"/>
      <c r="D208" s="7"/>
      <c r="E208" s="7"/>
      <c r="F208" s="9">
        <v>2</v>
      </c>
    </row>
    <row r="209" spans="1:6" ht="15.75" thickBot="1">
      <c r="A209" s="7"/>
      <c r="B209" s="7" t="s">
        <v>242</v>
      </c>
      <c r="C209" s="7"/>
      <c r="D209" s="7"/>
      <c r="E209" s="7"/>
      <c r="F209" s="9">
        <v>1.8</v>
      </c>
    </row>
    <row r="210" spans="1:6" ht="15.75" thickBot="1">
      <c r="A210" s="7"/>
      <c r="B210" s="7" t="s">
        <v>210</v>
      </c>
      <c r="C210" s="7"/>
      <c r="D210" s="7"/>
      <c r="E210" s="7"/>
      <c r="F210" s="9">
        <v>2.63</v>
      </c>
    </row>
    <row r="211" spans="1:6" ht="15.75" thickBot="1">
      <c r="A211" s="7"/>
      <c r="B211" s="7" t="s">
        <v>243</v>
      </c>
      <c r="C211" s="7"/>
      <c r="D211" s="7"/>
      <c r="E211" s="7"/>
      <c r="F211" s="9">
        <v>1.47</v>
      </c>
    </row>
    <row r="212" spans="1:6" ht="15.75" thickBot="1">
      <c r="A212" s="7"/>
      <c r="B212" s="7" t="s">
        <v>244</v>
      </c>
      <c r="C212" s="7"/>
      <c r="D212" s="7"/>
      <c r="E212" s="7"/>
      <c r="F212" s="9">
        <v>1.36</v>
      </c>
    </row>
    <row r="213" spans="1:6" ht="15.75" thickBot="1">
      <c r="A213" s="7"/>
      <c r="B213" s="7" t="s">
        <v>245</v>
      </c>
      <c r="C213" s="7"/>
      <c r="D213" s="7"/>
      <c r="E213" s="7"/>
      <c r="F213" s="9">
        <v>1.47</v>
      </c>
    </row>
    <row r="214" spans="1:6" ht="15.75" thickBot="1">
      <c r="A214" s="7"/>
      <c r="B214" s="7" t="s">
        <v>222</v>
      </c>
      <c r="C214" s="7"/>
      <c r="D214" s="7"/>
      <c r="E214" s="7"/>
      <c r="F214" s="9">
        <v>1.53</v>
      </c>
    </row>
    <row r="215" spans="1:6" ht="15.75" thickBot="1">
      <c r="A215" s="7"/>
      <c r="B215" s="7" t="s">
        <v>246</v>
      </c>
      <c r="C215" s="7"/>
      <c r="D215" s="7"/>
      <c r="E215" s="7"/>
      <c r="F215" s="9">
        <v>1.24</v>
      </c>
    </row>
    <row r="216" spans="1:6" ht="15.75" thickBot="1">
      <c r="A216" s="7"/>
      <c r="B216" s="7" t="s">
        <v>247</v>
      </c>
      <c r="C216" s="7"/>
      <c r="D216" s="7"/>
      <c r="E216" s="7"/>
      <c r="F216" s="9">
        <v>1.47</v>
      </c>
    </row>
    <row r="217" spans="1:6" ht="15.75" thickBot="1">
      <c r="A217" s="7"/>
      <c r="B217" s="7" t="s">
        <v>248</v>
      </c>
      <c r="C217" s="7"/>
      <c r="D217" s="7"/>
      <c r="E217" s="7"/>
      <c r="F217" s="9">
        <v>1.75</v>
      </c>
    </row>
    <row r="218" spans="1:6" ht="15.75" thickBot="1">
      <c r="A218" s="7"/>
      <c r="B218" s="7" t="s">
        <v>249</v>
      </c>
      <c r="C218" s="7"/>
      <c r="D218" s="7"/>
      <c r="E218" s="7"/>
      <c r="F218" s="9">
        <v>1.9</v>
      </c>
    </row>
    <row r="219" spans="1:6" ht="15.75" thickBot="1">
      <c r="A219" s="7"/>
      <c r="B219" s="11" t="s">
        <v>250</v>
      </c>
      <c r="C219" s="11"/>
      <c r="D219" s="7"/>
      <c r="E219" s="7"/>
      <c r="F219" s="9">
        <v>1.9</v>
      </c>
    </row>
    <row r="220" spans="1:6" ht="15.75" thickBot="1">
      <c r="A220" s="7"/>
      <c r="B220" s="7" t="s">
        <v>251</v>
      </c>
      <c r="C220" s="7"/>
      <c r="D220" s="7"/>
      <c r="E220" s="7"/>
      <c r="F220" s="9">
        <v>1.9</v>
      </c>
    </row>
    <row r="221" spans="1:6" ht="15.75" thickBot="1">
      <c r="A221" s="7"/>
      <c r="B221" s="10" t="s">
        <v>252</v>
      </c>
      <c r="C221" s="10"/>
      <c r="D221" s="7"/>
      <c r="E221" s="7"/>
      <c r="F221" s="9">
        <v>1.5</v>
      </c>
    </row>
    <row r="222" spans="1:6" ht="15.75" thickBot="1">
      <c r="A222" s="7"/>
      <c r="B222" s="10" t="s">
        <v>253</v>
      </c>
      <c r="C222" s="10"/>
      <c r="D222" s="7"/>
      <c r="E222" s="7"/>
      <c r="F222" s="9">
        <v>1.9</v>
      </c>
    </row>
    <row r="223" spans="1:6" ht="15.75" thickBot="1">
      <c r="A223" s="7"/>
      <c r="B223" s="7" t="s">
        <v>254</v>
      </c>
      <c r="C223" s="7"/>
      <c r="D223" s="7"/>
      <c r="E223" s="7"/>
      <c r="F223" s="9">
        <v>0.78</v>
      </c>
    </row>
    <row r="224" spans="1:6" ht="15.75" thickBot="1">
      <c r="A224" s="7"/>
      <c r="B224" s="11" t="s">
        <v>255</v>
      </c>
      <c r="C224" s="11"/>
      <c r="D224" s="7"/>
      <c r="E224" s="7"/>
      <c r="F224" s="9">
        <v>1.5</v>
      </c>
    </row>
    <row r="225" spans="1:6" ht="15.75" thickBot="1">
      <c r="A225" s="7"/>
      <c r="B225" s="7" t="s">
        <v>256</v>
      </c>
      <c r="C225" s="7"/>
      <c r="D225" s="7"/>
      <c r="E225" s="7"/>
      <c r="F225" s="9">
        <v>2.54</v>
      </c>
    </row>
    <row r="226" spans="1:6" ht="15.75" thickBot="1">
      <c r="A226" s="7"/>
      <c r="B226" s="7" t="s">
        <v>257</v>
      </c>
      <c r="C226" s="7"/>
      <c r="D226" s="7"/>
      <c r="E226" s="7"/>
      <c r="F226" s="9">
        <v>1.2</v>
      </c>
    </row>
    <row r="227" spans="1:6" ht="15.75" thickBot="1">
      <c r="A227" s="7"/>
      <c r="B227" s="7" t="s">
        <v>258</v>
      </c>
      <c r="C227" s="7"/>
      <c r="D227" s="7"/>
      <c r="E227" s="7"/>
      <c r="F227" s="9">
        <v>1.2</v>
      </c>
    </row>
    <row r="228" spans="1:6" ht="15.75" thickBot="1">
      <c r="A228" s="7"/>
      <c r="B228" s="7" t="s">
        <v>259</v>
      </c>
      <c r="C228" s="7"/>
      <c r="D228" s="7"/>
      <c r="E228" s="7"/>
      <c r="F228" s="9">
        <v>1.4</v>
      </c>
    </row>
    <row r="229" spans="1:6" ht="15.75" thickBot="1">
      <c r="A229" s="7"/>
      <c r="B229" s="7" t="s">
        <v>260</v>
      </c>
      <c r="C229" s="7"/>
      <c r="D229" s="7"/>
      <c r="E229" s="7"/>
      <c r="F229" s="9">
        <v>2.2999999999999998</v>
      </c>
    </row>
    <row r="230" spans="1:6" ht="15.75" thickBot="1">
      <c r="A230" s="7"/>
      <c r="B230" s="7" t="s">
        <v>261</v>
      </c>
      <c r="C230" s="7"/>
      <c r="D230" s="7"/>
      <c r="E230" s="7"/>
      <c r="F230" s="9">
        <v>0.33</v>
      </c>
    </row>
    <row r="231" spans="1:6" ht="15.75" thickBot="1">
      <c r="A231" s="7"/>
      <c r="B231" s="7" t="s">
        <v>262</v>
      </c>
      <c r="C231" s="7"/>
      <c r="D231" s="7"/>
      <c r="E231" s="7"/>
      <c r="F231" s="9">
        <v>4.45</v>
      </c>
    </row>
    <row r="232" spans="1:6" ht="15.75" thickBot="1">
      <c r="A232" s="27"/>
      <c r="B232" s="27" t="s">
        <v>263</v>
      </c>
      <c r="C232" s="27"/>
      <c r="D232" s="27"/>
      <c r="E232" s="7"/>
      <c r="F232" s="9">
        <v>4.3</v>
      </c>
    </row>
    <row r="233" spans="1:6" ht="15.75" thickBot="1">
      <c r="A233" s="27"/>
      <c r="B233" s="27" t="s">
        <v>264</v>
      </c>
      <c r="C233" s="27"/>
      <c r="D233" s="27"/>
      <c r="E233" s="7"/>
      <c r="F233" s="9">
        <v>4.57</v>
      </c>
    </row>
    <row r="234" spans="1:6" ht="15.75" thickBot="1">
      <c r="A234" s="27"/>
      <c r="B234" s="27" t="s">
        <v>265</v>
      </c>
      <c r="C234" s="27"/>
      <c r="D234" s="27"/>
      <c r="E234" s="7"/>
      <c r="F234" s="9">
        <v>4.9000000000000004</v>
      </c>
    </row>
    <row r="235" spans="1:6" ht="15.75" thickBot="1">
      <c r="A235" s="27"/>
      <c r="B235" s="28" t="s">
        <v>266</v>
      </c>
      <c r="C235" s="28"/>
      <c r="D235" s="27"/>
      <c r="E235" s="7"/>
      <c r="F235" s="9">
        <v>1.67</v>
      </c>
    </row>
    <row r="236" spans="1:6" ht="15.75" thickBot="1">
      <c r="A236" s="27"/>
      <c r="B236" s="28" t="s">
        <v>267</v>
      </c>
      <c r="C236" s="28"/>
      <c r="D236" s="27"/>
      <c r="E236" s="7"/>
      <c r="F236" s="9">
        <v>2.5</v>
      </c>
    </row>
    <row r="237" spans="1:6" ht="15.75" thickBot="1">
      <c r="A237" s="27"/>
      <c r="B237" s="28" t="s">
        <v>268</v>
      </c>
      <c r="C237" s="28"/>
      <c r="D237" s="27"/>
      <c r="E237" s="7"/>
      <c r="F237" s="9">
        <v>1.78</v>
      </c>
    </row>
    <row r="238" spans="1:6" ht="15.75" thickBot="1">
      <c r="A238" s="27"/>
      <c r="B238" s="28" t="s">
        <v>269</v>
      </c>
      <c r="C238" s="28"/>
      <c r="D238" s="27"/>
      <c r="E238" s="7"/>
      <c r="F238" s="9">
        <v>1.7</v>
      </c>
    </row>
    <row r="239" spans="1:6" ht="15.75" thickBot="1">
      <c r="A239" s="27"/>
      <c r="B239" s="28" t="s">
        <v>270</v>
      </c>
      <c r="C239" s="28"/>
      <c r="D239" s="27"/>
      <c r="E239" s="7"/>
      <c r="F239" s="9">
        <v>7.6</v>
      </c>
    </row>
    <row r="240" spans="1:6">
      <c r="B240" t="s">
        <v>125</v>
      </c>
      <c r="F240">
        <v>2</v>
      </c>
    </row>
    <row r="241" spans="2:6">
      <c r="B241" t="s">
        <v>125</v>
      </c>
      <c r="F241">
        <v>2</v>
      </c>
    </row>
    <row r="242" spans="2:6">
      <c r="B242" t="s">
        <v>125</v>
      </c>
      <c r="F242">
        <v>2</v>
      </c>
    </row>
    <row r="243" spans="2:6">
      <c r="B243" t="s">
        <v>125</v>
      </c>
      <c r="F243">
        <v>2</v>
      </c>
    </row>
    <row r="244" spans="2:6">
      <c r="B244" t="s">
        <v>126</v>
      </c>
      <c r="F244">
        <v>1.74</v>
      </c>
    </row>
    <row r="245" spans="2:6">
      <c r="B245" t="s">
        <v>125</v>
      </c>
      <c r="F245">
        <v>2</v>
      </c>
    </row>
    <row r="246" spans="2:6">
      <c r="B246" t="s">
        <v>126</v>
      </c>
      <c r="F246">
        <v>1.74</v>
      </c>
    </row>
    <row r="247" spans="2:6">
      <c r="B247" t="s">
        <v>127</v>
      </c>
      <c r="F247">
        <v>1.8</v>
      </c>
    </row>
    <row r="248" spans="2:6">
      <c r="B248" t="s">
        <v>125</v>
      </c>
      <c r="F248">
        <v>2</v>
      </c>
    </row>
    <row r="249" spans="2:6">
      <c r="B249" t="s">
        <v>128</v>
      </c>
      <c r="F249">
        <v>1.8</v>
      </c>
    </row>
    <row r="250" spans="2:6">
      <c r="B250" t="s">
        <v>129</v>
      </c>
      <c r="F250">
        <v>1.26</v>
      </c>
    </row>
    <row r="251" spans="2:6">
      <c r="B251" t="s">
        <v>130</v>
      </c>
      <c r="F251">
        <v>1.26</v>
      </c>
    </row>
    <row r="252" spans="2:6">
      <c r="B252" t="s">
        <v>131</v>
      </c>
      <c r="F252">
        <v>1.26</v>
      </c>
    </row>
    <row r="253" spans="2:6">
      <c r="B253" t="s">
        <v>132</v>
      </c>
      <c r="F253">
        <v>1.26</v>
      </c>
    </row>
    <row r="254" spans="2:6">
      <c r="B254" t="s">
        <v>133</v>
      </c>
      <c r="F254">
        <v>1.17</v>
      </c>
    </row>
    <row r="255" spans="2:6">
      <c r="B255" t="s">
        <v>134</v>
      </c>
      <c r="F255">
        <v>1.8</v>
      </c>
    </row>
    <row r="256" spans="2:6">
      <c r="B256" t="s">
        <v>135</v>
      </c>
      <c r="F256">
        <v>1.35</v>
      </c>
    </row>
    <row r="257" spans="2:6">
      <c r="B257" t="s">
        <v>136</v>
      </c>
      <c r="F257">
        <v>1.1000000000000001</v>
      </c>
    </row>
    <row r="258" spans="2:6">
      <c r="B258" t="s">
        <v>137</v>
      </c>
      <c r="F258">
        <v>1.2</v>
      </c>
    </row>
    <row r="259" spans="2:6">
      <c r="B259" t="s">
        <v>138</v>
      </c>
      <c r="F259">
        <v>1.26</v>
      </c>
    </row>
    <row r="260" spans="2:6">
      <c r="B260" t="s">
        <v>139</v>
      </c>
      <c r="F260">
        <v>1.27</v>
      </c>
    </row>
    <row r="261" spans="2:6">
      <c r="B261" t="s">
        <v>139</v>
      </c>
      <c r="F261">
        <v>1.27</v>
      </c>
    </row>
    <row r="262" spans="2:6">
      <c r="B262" t="s">
        <v>140</v>
      </c>
      <c r="F262">
        <v>1.3</v>
      </c>
    </row>
    <row r="263" spans="2:6">
      <c r="B263" t="s">
        <v>141</v>
      </c>
      <c r="F263">
        <v>1.4</v>
      </c>
    </row>
    <row r="264" spans="2:6">
      <c r="B264" t="s">
        <v>142</v>
      </c>
      <c r="F264">
        <v>1.4</v>
      </c>
    </row>
    <row r="265" spans="2:6">
      <c r="B265" t="s">
        <v>143</v>
      </c>
      <c r="F265">
        <v>3.26</v>
      </c>
    </row>
    <row r="266" spans="2:6">
      <c r="B266" t="s">
        <v>144</v>
      </c>
      <c r="F266">
        <v>5.23</v>
      </c>
    </row>
    <row r="267" spans="2:6">
      <c r="B267" t="s">
        <v>145</v>
      </c>
      <c r="F267">
        <v>7.5</v>
      </c>
    </row>
    <row r="268" spans="2:6">
      <c r="B268" t="s">
        <v>146</v>
      </c>
      <c r="F268">
        <v>6.6</v>
      </c>
    </row>
    <row r="269" spans="2:6">
      <c r="B269" t="s">
        <v>147</v>
      </c>
      <c r="F269">
        <v>1.3</v>
      </c>
    </row>
    <row r="270" spans="2:6">
      <c r="B270" t="s">
        <v>148</v>
      </c>
      <c r="F270">
        <v>7.65</v>
      </c>
    </row>
    <row r="271" spans="2:6">
      <c r="B271" t="s">
        <v>149</v>
      </c>
      <c r="F271">
        <v>5.26</v>
      </c>
    </row>
    <row r="272" spans="2:6">
      <c r="B272" t="s">
        <v>150</v>
      </c>
      <c r="F272">
        <v>9</v>
      </c>
    </row>
    <row r="273" spans="2:6">
      <c r="B273" t="s">
        <v>151</v>
      </c>
      <c r="F273">
        <v>2.2999999999999998</v>
      </c>
    </row>
    <row r="274" spans="2:6">
      <c r="B274" t="s">
        <v>152</v>
      </c>
      <c r="F274">
        <v>2.2999999999999998</v>
      </c>
    </row>
    <row r="275" spans="2:6">
      <c r="B275" t="s">
        <v>153</v>
      </c>
      <c r="F275">
        <v>5.26</v>
      </c>
    </row>
    <row r="276" spans="2:6">
      <c r="B276" t="s">
        <v>154</v>
      </c>
      <c r="F276">
        <v>9.4</v>
      </c>
    </row>
    <row r="277" spans="2:6">
      <c r="B277" t="s">
        <v>155</v>
      </c>
      <c r="F277">
        <v>5.9</v>
      </c>
    </row>
    <row r="278" spans="2:6">
      <c r="B278" t="s">
        <v>156</v>
      </c>
      <c r="F278">
        <v>5.26</v>
      </c>
    </row>
    <row r="279" spans="2:6">
      <c r="B279" t="s">
        <v>157</v>
      </c>
      <c r="F279">
        <v>1.3</v>
      </c>
    </row>
    <row r="280" spans="2:6">
      <c r="B280" t="s">
        <v>158</v>
      </c>
      <c r="F280">
        <v>3</v>
      </c>
    </row>
    <row r="281" spans="2:6">
      <c r="B281" t="s">
        <v>159</v>
      </c>
      <c r="F281">
        <v>3</v>
      </c>
    </row>
    <row r="282" spans="2:6">
      <c r="B282" t="s">
        <v>160</v>
      </c>
      <c r="F282">
        <v>5.2</v>
      </c>
    </row>
    <row r="283" spans="2:6">
      <c r="B283" t="s">
        <v>161</v>
      </c>
      <c r="F283">
        <v>4.25</v>
      </c>
    </row>
    <row r="284" spans="2:6">
      <c r="B284" t="s">
        <v>162</v>
      </c>
      <c r="F284">
        <v>3.33</v>
      </c>
    </row>
    <row r="285" spans="2:6">
      <c r="B285" t="s">
        <v>163</v>
      </c>
      <c r="F285">
        <v>2.8</v>
      </c>
    </row>
    <row r="286" spans="2:6">
      <c r="B286" t="s">
        <v>164</v>
      </c>
      <c r="F286">
        <v>1.7</v>
      </c>
    </row>
    <row r="287" spans="2:6">
      <c r="B287" t="s">
        <v>165</v>
      </c>
      <c r="F287">
        <v>1.48</v>
      </c>
    </row>
    <row r="288" spans="2:6">
      <c r="B288" t="s">
        <v>166</v>
      </c>
      <c r="F288">
        <v>3.33</v>
      </c>
    </row>
    <row r="289" spans="2:6">
      <c r="B289" t="s">
        <v>167</v>
      </c>
      <c r="F289">
        <v>0.75</v>
      </c>
    </row>
    <row r="290" spans="2:6">
      <c r="B290" t="s">
        <v>168</v>
      </c>
      <c r="F290">
        <v>4.25</v>
      </c>
    </row>
    <row r="291" spans="2:6">
      <c r="B291" t="s">
        <v>169</v>
      </c>
      <c r="F291">
        <v>1.44</v>
      </c>
    </row>
    <row r="292" spans="2:6">
      <c r="B292" t="s">
        <v>170</v>
      </c>
      <c r="F292">
        <v>1.1299999999999999</v>
      </c>
    </row>
    <row r="293" spans="2:6">
      <c r="B293" t="s">
        <v>171</v>
      </c>
      <c r="F293">
        <v>1.1299999999999999</v>
      </c>
    </row>
    <row r="294" spans="2:6">
      <c r="B294" t="s">
        <v>172</v>
      </c>
      <c r="F294">
        <v>1.5</v>
      </c>
    </row>
    <row r="295" spans="2:6">
      <c r="B295" t="s">
        <v>173</v>
      </c>
      <c r="F295">
        <v>1.46</v>
      </c>
    </row>
    <row r="296" spans="2:6">
      <c r="B296" t="s">
        <v>174</v>
      </c>
      <c r="F296">
        <v>1.18</v>
      </c>
    </row>
    <row r="297" spans="2:6">
      <c r="B297" t="s">
        <v>175</v>
      </c>
      <c r="F297">
        <v>1.73</v>
      </c>
    </row>
    <row r="298" spans="2:6">
      <c r="B298" t="s">
        <v>176</v>
      </c>
      <c r="F298">
        <v>1.73</v>
      </c>
    </row>
    <row r="299" spans="2:6">
      <c r="B299" t="s">
        <v>177</v>
      </c>
      <c r="F299">
        <v>1.68</v>
      </c>
    </row>
    <row r="300" spans="2:6">
      <c r="B300" t="s">
        <v>178</v>
      </c>
      <c r="F300">
        <v>1.64</v>
      </c>
    </row>
    <row r="301" spans="2:6">
      <c r="B301" t="s">
        <v>179</v>
      </c>
      <c r="F301">
        <v>2.2999999999999998</v>
      </c>
    </row>
    <row r="302" spans="2:6">
      <c r="B302" t="s">
        <v>180</v>
      </c>
      <c r="F302">
        <v>1.96</v>
      </c>
    </row>
    <row r="303" spans="2:6">
      <c r="B303" t="s">
        <v>181</v>
      </c>
      <c r="F303">
        <v>1.7</v>
      </c>
    </row>
    <row r="304" spans="2:6">
      <c r="B304" t="s">
        <v>182</v>
      </c>
      <c r="F304">
        <v>2.7</v>
      </c>
    </row>
    <row r="305" spans="2:6">
      <c r="B305" t="s">
        <v>183</v>
      </c>
      <c r="F305">
        <v>2.74</v>
      </c>
    </row>
    <row r="306" spans="2:6">
      <c r="B306" t="s">
        <v>184</v>
      </c>
      <c r="F306">
        <v>2</v>
      </c>
    </row>
    <row r="307" spans="2:6">
      <c r="B307" t="s">
        <v>175</v>
      </c>
      <c r="F307">
        <v>1.73</v>
      </c>
    </row>
    <row r="308" spans="2:6">
      <c r="B308" t="s">
        <v>185</v>
      </c>
      <c r="F308">
        <v>1.68</v>
      </c>
    </row>
    <row r="309" spans="2:6">
      <c r="B309" t="s">
        <v>186</v>
      </c>
      <c r="F309">
        <v>1.64</v>
      </c>
    </row>
    <row r="310" spans="2:6">
      <c r="B310" t="s">
        <v>187</v>
      </c>
      <c r="F310">
        <v>2.2999999999999998</v>
      </c>
    </row>
    <row r="311" spans="2:6">
      <c r="B311" t="s">
        <v>188</v>
      </c>
      <c r="F311">
        <v>1.96</v>
      </c>
    </row>
    <row r="312" spans="2:6">
      <c r="B312" t="s">
        <v>189</v>
      </c>
      <c r="F312">
        <v>1.7</v>
      </c>
    </row>
    <row r="313" spans="2:6">
      <c r="B313" t="s">
        <v>190</v>
      </c>
      <c r="F313">
        <v>2.7</v>
      </c>
    </row>
    <row r="314" spans="2:6">
      <c r="B314" t="s">
        <v>191</v>
      </c>
      <c r="F314">
        <v>2.74</v>
      </c>
    </row>
    <row r="315" spans="2:6">
      <c r="B315" t="s">
        <v>192</v>
      </c>
      <c r="F315">
        <v>1.36</v>
      </c>
    </row>
    <row r="316" spans="2:6">
      <c r="B316" t="s">
        <v>193</v>
      </c>
      <c r="F316">
        <v>1.4</v>
      </c>
    </row>
    <row r="317" spans="2:6">
      <c r="B317" t="s">
        <v>194</v>
      </c>
      <c r="F317">
        <v>2.5</v>
      </c>
    </row>
    <row r="318" spans="2:6">
      <c r="B318" t="s">
        <v>195</v>
      </c>
      <c r="F318">
        <v>1.7</v>
      </c>
    </row>
    <row r="319" spans="2:6">
      <c r="B319" t="s">
        <v>196</v>
      </c>
      <c r="F319">
        <v>1.32</v>
      </c>
    </row>
    <row r="320" spans="2:6">
      <c r="B320" t="s">
        <v>197</v>
      </c>
      <c r="F320">
        <v>1.36</v>
      </c>
    </row>
    <row r="321" spans="2:6">
      <c r="B321" t="s">
        <v>198</v>
      </c>
      <c r="F321">
        <v>1.7</v>
      </c>
    </row>
    <row r="322" spans="2:6">
      <c r="B322" t="s">
        <v>199</v>
      </c>
      <c r="F322">
        <v>1.3</v>
      </c>
    </row>
    <row r="323" spans="2:6">
      <c r="B323" t="s">
        <v>200</v>
      </c>
      <c r="F323">
        <v>1.8</v>
      </c>
    </row>
    <row r="324" spans="2:6">
      <c r="B324" t="s">
        <v>201</v>
      </c>
      <c r="F324">
        <v>1.32</v>
      </c>
    </row>
    <row r="325" spans="2:6">
      <c r="B325" t="s">
        <v>202</v>
      </c>
      <c r="F325">
        <v>1.27</v>
      </c>
    </row>
    <row r="326" spans="2:6">
      <c r="B326" t="s">
        <v>203</v>
      </c>
      <c r="F326">
        <v>1.4</v>
      </c>
    </row>
    <row r="327" spans="2:6">
      <c r="B327" t="s">
        <v>200</v>
      </c>
      <c r="F327">
        <v>1.8</v>
      </c>
    </row>
    <row r="328" spans="2:6">
      <c r="B328" t="s">
        <v>204</v>
      </c>
      <c r="F328">
        <v>1.4</v>
      </c>
    </row>
    <row r="329" spans="2:6">
      <c r="B329" t="s">
        <v>205</v>
      </c>
      <c r="F329">
        <v>2.63</v>
      </c>
    </row>
    <row r="330" spans="2:6">
      <c r="B330" t="s">
        <v>206</v>
      </c>
      <c r="F330">
        <v>2.63</v>
      </c>
    </row>
    <row r="331" spans="2:6">
      <c r="B331" t="s">
        <v>207</v>
      </c>
      <c r="F331">
        <v>2</v>
      </c>
    </row>
    <row r="332" spans="2:6">
      <c r="B332" t="s">
        <v>208</v>
      </c>
      <c r="F332">
        <v>1.8</v>
      </c>
    </row>
    <row r="333" spans="2:6">
      <c r="B333" t="s">
        <v>209</v>
      </c>
      <c r="F333">
        <v>2.2000000000000002</v>
      </c>
    </row>
    <row r="334" spans="2:6">
      <c r="B334" t="s">
        <v>210</v>
      </c>
      <c r="F334">
        <v>2.63</v>
      </c>
    </row>
    <row r="335" spans="2:6">
      <c r="B335" t="s">
        <v>211</v>
      </c>
      <c r="F335">
        <v>2</v>
      </c>
    </row>
    <row r="336" spans="2:6">
      <c r="B336" t="s">
        <v>212</v>
      </c>
      <c r="F336">
        <v>1.47</v>
      </c>
    </row>
    <row r="337" spans="2:6">
      <c r="B337" t="s">
        <v>213</v>
      </c>
      <c r="F337">
        <v>1.36</v>
      </c>
    </row>
    <row r="338" spans="2:6">
      <c r="B338" t="s">
        <v>214</v>
      </c>
      <c r="F338">
        <v>1.47</v>
      </c>
    </row>
    <row r="339" spans="2:6">
      <c r="B339" t="s">
        <v>215</v>
      </c>
      <c r="F339">
        <v>1.53</v>
      </c>
    </row>
    <row r="340" spans="2:6">
      <c r="B340" t="s">
        <v>216</v>
      </c>
      <c r="F340">
        <v>1.24</v>
      </c>
    </row>
    <row r="341" spans="2:6">
      <c r="B341" t="s">
        <v>217</v>
      </c>
      <c r="F341">
        <v>1.47</v>
      </c>
    </row>
    <row r="342" spans="2:6">
      <c r="B342" t="s">
        <v>218</v>
      </c>
      <c r="F342">
        <v>1.55</v>
      </c>
    </row>
    <row r="343" spans="2:6">
      <c r="B343" t="s">
        <v>219</v>
      </c>
      <c r="F343">
        <v>1.75</v>
      </c>
    </row>
    <row r="344" spans="2:6">
      <c r="B344" t="s">
        <v>220</v>
      </c>
      <c r="F344">
        <v>1.7</v>
      </c>
    </row>
    <row r="345" spans="2:6">
      <c r="B345" t="s">
        <v>221</v>
      </c>
      <c r="F345">
        <v>1.3</v>
      </c>
    </row>
    <row r="346" spans="2:6">
      <c r="B346" t="s">
        <v>222</v>
      </c>
      <c r="F346">
        <v>1.53</v>
      </c>
    </row>
    <row r="347" spans="2:6">
      <c r="B347" t="s">
        <v>223</v>
      </c>
      <c r="F347">
        <v>1.27</v>
      </c>
    </row>
    <row r="348" spans="2:6">
      <c r="B348" t="s">
        <v>224</v>
      </c>
      <c r="F348">
        <v>1.3</v>
      </c>
    </row>
    <row r="349" spans="2:6">
      <c r="B349" t="s">
        <v>225</v>
      </c>
      <c r="F349">
        <v>1.4</v>
      </c>
    </row>
    <row r="350" spans="2:6">
      <c r="B350" t="s">
        <v>226</v>
      </c>
      <c r="F350">
        <v>1.4</v>
      </c>
    </row>
    <row r="351" spans="2:6">
      <c r="B351" t="s">
        <v>227</v>
      </c>
      <c r="F351">
        <v>1.44</v>
      </c>
    </row>
    <row r="352" spans="2:6">
      <c r="B352" t="s">
        <v>228</v>
      </c>
      <c r="F352">
        <v>1.1299999999999999</v>
      </c>
    </row>
    <row r="353" spans="2:6">
      <c r="B353" t="s">
        <v>229</v>
      </c>
      <c r="F353">
        <v>1.1299999999999999</v>
      </c>
    </row>
    <row r="354" spans="2:6">
      <c r="B354" t="s">
        <v>230</v>
      </c>
      <c r="F354">
        <v>1.5</v>
      </c>
    </row>
    <row r="355" spans="2:6">
      <c r="B355" t="s">
        <v>175</v>
      </c>
      <c r="F355">
        <v>1.73</v>
      </c>
    </row>
    <row r="356" spans="2:6">
      <c r="B356" t="s">
        <v>185</v>
      </c>
      <c r="F356">
        <v>1.68</v>
      </c>
    </row>
    <row r="357" spans="2:6">
      <c r="B357" t="s">
        <v>186</v>
      </c>
      <c r="F357">
        <v>1.64</v>
      </c>
    </row>
    <row r="358" spans="2:6">
      <c r="B358" t="s">
        <v>187</v>
      </c>
      <c r="F358">
        <v>2.2999999999999998</v>
      </c>
    </row>
    <row r="359" spans="2:6">
      <c r="B359" t="s">
        <v>188</v>
      </c>
      <c r="F359">
        <v>1.96</v>
      </c>
    </row>
    <row r="360" spans="2:6">
      <c r="B360" t="s">
        <v>189</v>
      </c>
      <c r="F360">
        <v>1.7</v>
      </c>
    </row>
    <row r="361" spans="2:6">
      <c r="B361" t="s">
        <v>190</v>
      </c>
      <c r="F361">
        <v>2.7</v>
      </c>
    </row>
    <row r="362" spans="2:6">
      <c r="B362" t="s">
        <v>191</v>
      </c>
      <c r="F362">
        <v>2.74</v>
      </c>
    </row>
    <row r="363" spans="2:6">
      <c r="B363" t="s">
        <v>231</v>
      </c>
      <c r="F363">
        <v>1.36</v>
      </c>
    </row>
    <row r="364" spans="2:6">
      <c r="B364" t="s">
        <v>232</v>
      </c>
      <c r="F364">
        <v>2.5</v>
      </c>
    </row>
    <row r="365" spans="2:6">
      <c r="B365" t="s">
        <v>233</v>
      </c>
      <c r="F365">
        <v>1.7</v>
      </c>
    </row>
    <row r="366" spans="2:6">
      <c r="B366" t="s">
        <v>234</v>
      </c>
      <c r="F366">
        <v>1.32</v>
      </c>
    </row>
    <row r="367" spans="2:6">
      <c r="B367" t="s">
        <v>135</v>
      </c>
      <c r="F367">
        <v>1.36</v>
      </c>
    </row>
    <row r="368" spans="2:6">
      <c r="B368" t="s">
        <v>235</v>
      </c>
      <c r="F368">
        <v>1.7</v>
      </c>
    </row>
    <row r="369" spans="2:6">
      <c r="B369" t="s">
        <v>221</v>
      </c>
      <c r="F369">
        <v>1.3</v>
      </c>
    </row>
    <row r="370" spans="2:6">
      <c r="B370" t="s">
        <v>236</v>
      </c>
      <c r="F370">
        <v>1.32</v>
      </c>
    </row>
    <row r="371" spans="2:6">
      <c r="B371" t="s">
        <v>237</v>
      </c>
      <c r="F371">
        <v>1.27</v>
      </c>
    </row>
    <row r="372" spans="2:6">
      <c r="B372" t="s">
        <v>238</v>
      </c>
      <c r="F372">
        <v>1.4</v>
      </c>
    </row>
    <row r="373" spans="2:6">
      <c r="B373" t="s">
        <v>239</v>
      </c>
      <c r="F373">
        <v>2.63</v>
      </c>
    </row>
    <row r="374" spans="2:6">
      <c r="B374" t="s">
        <v>240</v>
      </c>
      <c r="F374">
        <v>2.63</v>
      </c>
    </row>
    <row r="375" spans="2:6">
      <c r="B375" t="s">
        <v>241</v>
      </c>
      <c r="F375">
        <v>2</v>
      </c>
    </row>
    <row r="376" spans="2:6">
      <c r="B376" t="s">
        <v>242</v>
      </c>
      <c r="F376">
        <v>1.8</v>
      </c>
    </row>
    <row r="377" spans="2:6">
      <c r="B377" t="s">
        <v>210</v>
      </c>
      <c r="F377">
        <v>2.63</v>
      </c>
    </row>
    <row r="378" spans="2:6">
      <c r="B378" t="s">
        <v>243</v>
      </c>
      <c r="F378">
        <v>1.47</v>
      </c>
    </row>
    <row r="379" spans="2:6">
      <c r="B379" t="s">
        <v>244</v>
      </c>
      <c r="F379">
        <v>1.36</v>
      </c>
    </row>
    <row r="380" spans="2:6">
      <c r="B380" t="s">
        <v>245</v>
      </c>
      <c r="F380">
        <v>1.47</v>
      </c>
    </row>
    <row r="381" spans="2:6">
      <c r="B381" t="s">
        <v>222</v>
      </c>
      <c r="F381">
        <v>1.53</v>
      </c>
    </row>
    <row r="382" spans="2:6">
      <c r="B382" t="s">
        <v>246</v>
      </c>
      <c r="F382">
        <v>1.24</v>
      </c>
    </row>
    <row r="383" spans="2:6">
      <c r="B383" t="s">
        <v>247</v>
      </c>
      <c r="F383">
        <v>1.47</v>
      </c>
    </row>
    <row r="384" spans="2:6">
      <c r="B384" t="s">
        <v>248</v>
      </c>
      <c r="F384">
        <v>1.75</v>
      </c>
    </row>
    <row r="385" spans="2:6">
      <c r="B385" t="s">
        <v>249</v>
      </c>
      <c r="F385">
        <v>1.9</v>
      </c>
    </row>
    <row r="386" spans="2:6">
      <c r="B386" t="s">
        <v>250</v>
      </c>
      <c r="F386">
        <v>1.9</v>
      </c>
    </row>
    <row r="387" spans="2:6">
      <c r="B387" t="s">
        <v>251</v>
      </c>
      <c r="F387">
        <v>1.9</v>
      </c>
    </row>
    <row r="388" spans="2:6">
      <c r="B388" t="s">
        <v>252</v>
      </c>
      <c r="F388">
        <v>1.5</v>
      </c>
    </row>
    <row r="389" spans="2:6">
      <c r="B389" t="s">
        <v>253</v>
      </c>
      <c r="F389">
        <v>1.9</v>
      </c>
    </row>
    <row r="390" spans="2:6">
      <c r="B390" t="s">
        <v>254</v>
      </c>
      <c r="F390">
        <v>0.78</v>
      </c>
    </row>
    <row r="391" spans="2:6">
      <c r="B391" t="s">
        <v>255</v>
      </c>
      <c r="F391">
        <v>1.5</v>
      </c>
    </row>
    <row r="392" spans="2:6">
      <c r="B392" t="s">
        <v>256</v>
      </c>
      <c r="F392">
        <v>2.54</v>
      </c>
    </row>
    <row r="393" spans="2:6">
      <c r="B393" t="s">
        <v>257</v>
      </c>
      <c r="F393">
        <v>1.2</v>
      </c>
    </row>
    <row r="394" spans="2:6">
      <c r="B394" t="s">
        <v>258</v>
      </c>
      <c r="F394">
        <v>1.2</v>
      </c>
    </row>
    <row r="395" spans="2:6">
      <c r="B395" t="s">
        <v>259</v>
      </c>
      <c r="F395">
        <v>1.4</v>
      </c>
    </row>
    <row r="396" spans="2:6">
      <c r="B396" t="s">
        <v>260</v>
      </c>
      <c r="F396">
        <v>2.2999999999999998</v>
      </c>
    </row>
    <row r="397" spans="2:6">
      <c r="B397" t="s">
        <v>261</v>
      </c>
      <c r="F397">
        <v>0.33</v>
      </c>
    </row>
    <row r="398" spans="2:6">
      <c r="B398" t="s">
        <v>262</v>
      </c>
      <c r="F398">
        <v>4.45</v>
      </c>
    </row>
    <row r="399" spans="2:6">
      <c r="B399" t="s">
        <v>263</v>
      </c>
      <c r="F399">
        <v>4.3</v>
      </c>
    </row>
    <row r="400" spans="2:6">
      <c r="B400" t="s">
        <v>264</v>
      </c>
      <c r="F400">
        <v>4.57</v>
      </c>
    </row>
    <row r="401" spans="2:6">
      <c r="B401" t="s">
        <v>265</v>
      </c>
      <c r="F401">
        <v>4.9000000000000004</v>
      </c>
    </row>
    <row r="402" spans="2:6">
      <c r="B402" t="s">
        <v>266</v>
      </c>
      <c r="F402">
        <v>1.67</v>
      </c>
    </row>
    <row r="403" spans="2:6">
      <c r="B403" t="s">
        <v>267</v>
      </c>
      <c r="F403">
        <v>2.5</v>
      </c>
    </row>
    <row r="404" spans="2:6">
      <c r="B404" t="s">
        <v>268</v>
      </c>
      <c r="F404">
        <v>1.78</v>
      </c>
    </row>
    <row r="405" spans="2:6">
      <c r="B405" t="s">
        <v>269</v>
      </c>
      <c r="F405">
        <v>1.7</v>
      </c>
    </row>
    <row r="406" spans="2:6">
      <c r="B406" t="s">
        <v>270</v>
      </c>
      <c r="F406">
        <v>7.6</v>
      </c>
    </row>
    <row r="407" spans="2:6">
      <c r="B407" t="s">
        <v>299</v>
      </c>
      <c r="F407">
        <v>1.92</v>
      </c>
    </row>
    <row r="408" spans="2:6">
      <c r="B408" t="s">
        <v>300</v>
      </c>
      <c r="F408">
        <v>1.55</v>
      </c>
    </row>
    <row r="409" spans="2:6">
      <c r="B409" t="s">
        <v>301</v>
      </c>
      <c r="F409">
        <v>1.36</v>
      </c>
    </row>
    <row r="410" spans="2:6">
      <c r="B410" t="s">
        <v>302</v>
      </c>
      <c r="F410">
        <v>1.87</v>
      </c>
    </row>
    <row r="411" spans="2:6">
      <c r="B411" t="s">
        <v>303</v>
      </c>
      <c r="F411">
        <v>1.6</v>
      </c>
    </row>
    <row r="412" spans="2:6">
      <c r="B412" t="s">
        <v>304</v>
      </c>
      <c r="F412">
        <v>1.86</v>
      </c>
    </row>
    <row r="413" spans="2:6">
      <c r="B413" t="s">
        <v>305</v>
      </c>
      <c r="F413">
        <v>1.78</v>
      </c>
    </row>
    <row r="414" spans="2:6">
      <c r="B414" t="s">
        <v>306</v>
      </c>
      <c r="F414">
        <v>1.96</v>
      </c>
    </row>
    <row r="415" spans="2:6">
      <c r="B415" t="s">
        <v>307</v>
      </c>
      <c r="F415">
        <v>1.6</v>
      </c>
    </row>
    <row r="416" spans="2:6">
      <c r="B416" t="s">
        <v>308</v>
      </c>
      <c r="F416">
        <v>1.7</v>
      </c>
    </row>
    <row r="417" spans="2:6">
      <c r="B417" t="s">
        <v>309</v>
      </c>
      <c r="F417">
        <v>1.63</v>
      </c>
    </row>
    <row r="418" spans="2:6">
      <c r="B418" t="s">
        <v>310</v>
      </c>
      <c r="F418">
        <v>2.2000000000000002</v>
      </c>
    </row>
    <row r="419" spans="2:6">
      <c r="B419" t="s">
        <v>311</v>
      </c>
      <c r="F419">
        <v>2.2999999999999998</v>
      </c>
    </row>
    <row r="420" spans="2:6">
      <c r="B420" t="s">
        <v>312</v>
      </c>
      <c r="F420">
        <v>1.1200000000000001</v>
      </c>
    </row>
    <row r="421" spans="2:6">
      <c r="B421" t="s">
        <v>313</v>
      </c>
      <c r="F421">
        <v>1.55</v>
      </c>
    </row>
    <row r="422" spans="2:6">
      <c r="B422" t="s">
        <v>314</v>
      </c>
      <c r="F422">
        <v>1.36</v>
      </c>
    </row>
    <row r="423" spans="2:6">
      <c r="B423" t="s">
        <v>302</v>
      </c>
      <c r="F423">
        <v>1.87</v>
      </c>
    </row>
    <row r="424" spans="2:6">
      <c r="B424" t="s">
        <v>303</v>
      </c>
      <c r="F424">
        <v>1.6</v>
      </c>
    </row>
    <row r="425" spans="2:6">
      <c r="B425" t="s">
        <v>315</v>
      </c>
      <c r="F425">
        <v>1.86</v>
      </c>
    </row>
    <row r="426" spans="2:6">
      <c r="B426" t="s">
        <v>316</v>
      </c>
      <c r="F426">
        <v>1.78</v>
      </c>
    </row>
    <row r="427" spans="2:6">
      <c r="B427" t="s">
        <v>317</v>
      </c>
      <c r="F427">
        <v>1.96</v>
      </c>
    </row>
    <row r="428" spans="2:6">
      <c r="B428" t="s">
        <v>318</v>
      </c>
      <c r="F428">
        <v>1.6</v>
      </c>
    </row>
    <row r="429" spans="2:6">
      <c r="B429" t="s">
        <v>319</v>
      </c>
      <c r="F429">
        <v>1.7</v>
      </c>
    </row>
    <row r="430" spans="2:6">
      <c r="B430" t="s">
        <v>320</v>
      </c>
      <c r="F430">
        <v>1.63</v>
      </c>
    </row>
    <row r="431" spans="2:6">
      <c r="B431" t="s">
        <v>321</v>
      </c>
      <c r="F431">
        <v>2.2000000000000002</v>
      </c>
    </row>
    <row r="432" spans="2:6">
      <c r="B432" t="s">
        <v>311</v>
      </c>
      <c r="F432">
        <v>2.2999999999999998</v>
      </c>
    </row>
    <row r="433" spans="2:6">
      <c r="B433" t="s">
        <v>322</v>
      </c>
      <c r="F433">
        <v>1.1200000000000001</v>
      </c>
    </row>
    <row r="434" spans="2:6">
      <c r="B434" t="s">
        <v>323</v>
      </c>
      <c r="F434">
        <v>2.2999999999999998</v>
      </c>
    </row>
    <row r="435" spans="2:6">
      <c r="B435" t="s">
        <v>298</v>
      </c>
      <c r="F435">
        <v>1.6</v>
      </c>
    </row>
    <row r="436" spans="2:6">
      <c r="B436" t="s">
        <v>324</v>
      </c>
      <c r="F436">
        <v>1.6</v>
      </c>
    </row>
    <row r="437" spans="2:6">
      <c r="B437" t="s">
        <v>325</v>
      </c>
      <c r="F437">
        <v>1.76</v>
      </c>
    </row>
    <row r="438" spans="2:6">
      <c r="B438" t="s">
        <v>326</v>
      </c>
      <c r="F438">
        <v>2</v>
      </c>
    </row>
    <row r="439" spans="2:6">
      <c r="B439" t="s">
        <v>46</v>
      </c>
      <c r="F439">
        <v>1.48</v>
      </c>
    </row>
    <row r="440" spans="2:6">
      <c r="B440" t="s">
        <v>51</v>
      </c>
      <c r="F440">
        <v>1.53</v>
      </c>
    </row>
    <row r="441" spans="2:6">
      <c r="B441" t="s">
        <v>44</v>
      </c>
      <c r="F441">
        <v>1.37</v>
      </c>
    </row>
    <row r="442" spans="2:6">
      <c r="B442" t="s">
        <v>53</v>
      </c>
      <c r="F442">
        <v>1.48</v>
      </c>
    </row>
    <row r="443" spans="2:6">
      <c r="B443" t="s">
        <v>327</v>
      </c>
      <c r="F443">
        <v>1.3</v>
      </c>
    </row>
    <row r="444" spans="2:6">
      <c r="B444" t="s">
        <v>328</v>
      </c>
      <c r="F444">
        <v>1.54</v>
      </c>
    </row>
    <row r="445" spans="2:6">
      <c r="B445" t="s">
        <v>329</v>
      </c>
      <c r="F445">
        <v>1.3</v>
      </c>
    </row>
    <row r="446" spans="2:6">
      <c r="B446" t="s">
        <v>330</v>
      </c>
      <c r="F446">
        <v>1.55</v>
      </c>
    </row>
    <row r="447" spans="2:6">
      <c r="B447" t="s">
        <v>331</v>
      </c>
      <c r="F447">
        <v>1.8</v>
      </c>
    </row>
    <row r="448" spans="2:6">
      <c r="B448" t="s">
        <v>332</v>
      </c>
      <c r="F448">
        <v>1.9</v>
      </c>
    </row>
    <row r="449" spans="2:6">
      <c r="B449" t="s">
        <v>333</v>
      </c>
      <c r="F449">
        <v>1.25</v>
      </c>
    </row>
    <row r="450" spans="2:6">
      <c r="B450" t="s">
        <v>50</v>
      </c>
      <c r="F450">
        <v>2</v>
      </c>
    </row>
    <row r="451" spans="2:6">
      <c r="B451" t="s">
        <v>47</v>
      </c>
      <c r="F451">
        <v>2</v>
      </c>
    </row>
    <row r="452" spans="2:6">
      <c r="B452" t="s">
        <v>45</v>
      </c>
      <c r="F452">
        <v>2.1</v>
      </c>
    </row>
    <row r="453" spans="2:6">
      <c r="B453" t="s">
        <v>334</v>
      </c>
      <c r="F453">
        <v>1.7</v>
      </c>
    </row>
    <row r="454" spans="2:6">
      <c r="B454" t="s">
        <v>335</v>
      </c>
      <c r="F454">
        <v>1.2</v>
      </c>
    </row>
    <row r="455" spans="2:6">
      <c r="B455" t="s">
        <v>336</v>
      </c>
      <c r="F455">
        <v>5.0999999999999996</v>
      </c>
    </row>
    <row r="456" spans="2:6">
      <c r="B456" t="s">
        <v>337</v>
      </c>
      <c r="F456">
        <v>6.6</v>
      </c>
    </row>
    <row r="457" spans="2:6">
      <c r="B457" t="s">
        <v>338</v>
      </c>
      <c r="F457">
        <v>4.38</v>
      </c>
    </row>
    <row r="458" spans="2:6">
      <c r="B458" t="s">
        <v>339</v>
      </c>
      <c r="F458">
        <v>5</v>
      </c>
    </row>
    <row r="459" spans="2:6">
      <c r="B459" t="s">
        <v>340</v>
      </c>
      <c r="F459">
        <v>3.3</v>
      </c>
    </row>
    <row r="460" spans="2:6">
      <c r="B460" t="s">
        <v>341</v>
      </c>
      <c r="F460">
        <v>2</v>
      </c>
    </row>
    <row r="461" spans="2:6">
      <c r="B461" t="s">
        <v>342</v>
      </c>
      <c r="F461">
        <v>2</v>
      </c>
    </row>
    <row r="462" spans="2:6">
      <c r="B462" t="s">
        <v>343</v>
      </c>
      <c r="F462">
        <v>2</v>
      </c>
    </row>
    <row r="463" spans="2:6">
      <c r="B463" t="s">
        <v>344</v>
      </c>
      <c r="F463">
        <v>1.8</v>
      </c>
    </row>
    <row r="464" spans="2:6">
      <c r="B464" t="s">
        <v>345</v>
      </c>
      <c r="F464">
        <v>1.8</v>
      </c>
    </row>
    <row r="465" spans="2:6">
      <c r="B465" t="s">
        <v>346</v>
      </c>
      <c r="F465">
        <v>1.45</v>
      </c>
    </row>
    <row r="466" spans="2:6">
      <c r="B466" t="s">
        <v>347</v>
      </c>
      <c r="F466">
        <v>1.25</v>
      </c>
    </row>
    <row r="467" spans="2:6">
      <c r="B467" t="s">
        <v>348</v>
      </c>
      <c r="F467">
        <v>1.5</v>
      </c>
    </row>
    <row r="468" spans="2:6">
      <c r="B468" t="s">
        <v>349</v>
      </c>
      <c r="F468">
        <v>1.6</v>
      </c>
    </row>
    <row r="469" spans="2:6">
      <c r="B469" t="s">
        <v>350</v>
      </c>
      <c r="F469">
        <v>1.7</v>
      </c>
    </row>
    <row r="470" spans="2:6">
      <c r="B470" t="s">
        <v>351</v>
      </c>
      <c r="F470">
        <v>1.2</v>
      </c>
    </row>
    <row r="471" spans="2:6">
      <c r="B471" t="s">
        <v>352</v>
      </c>
      <c r="F471">
        <v>1.4</v>
      </c>
    </row>
    <row r="472" spans="2:6">
      <c r="B472" t="s">
        <v>353</v>
      </c>
      <c r="F472">
        <v>1.33</v>
      </c>
    </row>
    <row r="473" spans="2:6">
      <c r="B473" t="s">
        <v>354</v>
      </c>
      <c r="F473">
        <v>1.4</v>
      </c>
    </row>
    <row r="474" spans="2:6">
      <c r="B474" t="s">
        <v>355</v>
      </c>
      <c r="F474">
        <v>1.17</v>
      </c>
    </row>
    <row r="475" spans="2:6">
      <c r="B475" t="s">
        <v>356</v>
      </c>
      <c r="F475">
        <v>1.25</v>
      </c>
    </row>
    <row r="476" spans="2:6">
      <c r="B476" t="s">
        <v>357</v>
      </c>
      <c r="F476">
        <v>1.58</v>
      </c>
    </row>
    <row r="477" spans="2:6">
      <c r="B477" t="s">
        <v>358</v>
      </c>
      <c r="F477">
        <v>2.37</v>
      </c>
    </row>
    <row r="478" spans="2:6">
      <c r="B478" t="s">
        <v>359</v>
      </c>
      <c r="F478">
        <v>1.1200000000000001</v>
      </c>
    </row>
    <row r="479" spans="2:6">
      <c r="B479" t="s">
        <v>360</v>
      </c>
      <c r="F479">
        <v>1.36</v>
      </c>
    </row>
    <row r="480" spans="2:6">
      <c r="B480" t="s">
        <v>361</v>
      </c>
      <c r="F480">
        <v>1.3</v>
      </c>
    </row>
    <row r="481" spans="2:6">
      <c r="B481" t="s">
        <v>362</v>
      </c>
      <c r="F481">
        <v>3.15</v>
      </c>
    </row>
    <row r="482" spans="2:6">
      <c r="B482" t="s">
        <v>363</v>
      </c>
      <c r="F482">
        <v>3.5</v>
      </c>
    </row>
    <row r="483" spans="2:6">
      <c r="B483" t="s">
        <v>364</v>
      </c>
      <c r="F483">
        <v>4.5</v>
      </c>
    </row>
    <row r="484" spans="2:6">
      <c r="B484" t="s">
        <v>365</v>
      </c>
      <c r="F484">
        <v>3.18</v>
      </c>
    </row>
    <row r="485" spans="2:6">
      <c r="B485" t="s">
        <v>366</v>
      </c>
      <c r="F485">
        <v>5</v>
      </c>
    </row>
    <row r="486" spans="2:6">
      <c r="B486" t="s">
        <v>367</v>
      </c>
      <c r="F486">
        <v>3.4</v>
      </c>
    </row>
    <row r="487" spans="2:6">
      <c r="B487" t="s">
        <v>368</v>
      </c>
      <c r="F487">
        <v>1.82</v>
      </c>
    </row>
    <row r="488" spans="2:6">
      <c r="B488" t="s">
        <v>369</v>
      </c>
      <c r="F488">
        <v>1.36</v>
      </c>
    </row>
    <row r="489" spans="2:6">
      <c r="B489" t="s">
        <v>370</v>
      </c>
      <c r="F489">
        <v>1.39</v>
      </c>
    </row>
    <row r="490" spans="2:6">
      <c r="B490" t="s">
        <v>371</v>
      </c>
      <c r="F490">
        <v>1.33</v>
      </c>
    </row>
    <row r="491" spans="2:6">
      <c r="B491" t="s">
        <v>372</v>
      </c>
      <c r="F491">
        <v>3.05</v>
      </c>
    </row>
    <row r="492" spans="2:6">
      <c r="B492" t="s">
        <v>373</v>
      </c>
      <c r="F492">
        <v>3</v>
      </c>
    </row>
    <row r="493" spans="2:6">
      <c r="B493" t="s">
        <v>374</v>
      </c>
      <c r="F493">
        <v>1.69</v>
      </c>
    </row>
    <row r="494" spans="2:6">
      <c r="B494" t="s">
        <v>375</v>
      </c>
      <c r="F494">
        <v>1.59</v>
      </c>
    </row>
    <row r="495" spans="2:6">
      <c r="B495" t="s">
        <v>376</v>
      </c>
      <c r="F495">
        <v>1.59</v>
      </c>
    </row>
    <row r="496" spans="2:6">
      <c r="B496" t="s">
        <v>377</v>
      </c>
      <c r="F496">
        <v>1.61</v>
      </c>
    </row>
    <row r="497" spans="2:6">
      <c r="B497" t="s">
        <v>378</v>
      </c>
      <c r="F497">
        <v>2.35</v>
      </c>
    </row>
    <row r="498" spans="2:6">
      <c r="B498" t="s">
        <v>379</v>
      </c>
      <c r="F498">
        <v>1.84</v>
      </c>
    </row>
    <row r="499" spans="2:6">
      <c r="B499" t="s">
        <v>380</v>
      </c>
      <c r="F499">
        <v>1.74</v>
      </c>
    </row>
    <row r="500" spans="2:6">
      <c r="B500" t="s">
        <v>381</v>
      </c>
      <c r="F500">
        <v>1.81</v>
      </c>
    </row>
    <row r="501" spans="2:6">
      <c r="B501" t="s">
        <v>382</v>
      </c>
      <c r="F501">
        <v>2.14</v>
      </c>
    </row>
    <row r="502" spans="2:6">
      <c r="B502" t="s">
        <v>383</v>
      </c>
      <c r="F502">
        <v>1.78</v>
      </c>
    </row>
    <row r="503" spans="2:6">
      <c r="B503" t="s">
        <v>384</v>
      </c>
      <c r="F503">
        <v>1.78</v>
      </c>
    </row>
    <row r="504" spans="2:6">
      <c r="B504" t="s">
        <v>385</v>
      </c>
      <c r="F504">
        <v>6.3</v>
      </c>
    </row>
    <row r="505" spans="2:6">
      <c r="B505" t="s">
        <v>386</v>
      </c>
      <c r="F505">
        <v>2.8</v>
      </c>
    </row>
    <row r="506" spans="2:6">
      <c r="B506" t="s">
        <v>387</v>
      </c>
      <c r="F506">
        <v>2.89</v>
      </c>
    </row>
    <row r="507" spans="2:6">
      <c r="B507" t="s">
        <v>342</v>
      </c>
      <c r="F507">
        <v>2.0499999999999998</v>
      </c>
    </row>
    <row r="508" spans="2:6">
      <c r="B508" t="s">
        <v>388</v>
      </c>
      <c r="F508">
        <v>1.32</v>
      </c>
    </row>
    <row r="509" spans="2:6">
      <c r="B509" t="s">
        <v>389</v>
      </c>
      <c r="F509">
        <v>1.22</v>
      </c>
    </row>
    <row r="510" spans="2:6">
      <c r="B510" t="s">
        <v>390</v>
      </c>
      <c r="F510">
        <v>12.4</v>
      </c>
    </row>
    <row r="511" spans="2:6">
      <c r="B511" t="s">
        <v>391</v>
      </c>
      <c r="F511">
        <v>9.34</v>
      </c>
    </row>
    <row r="512" spans="2:6">
      <c r="B512" t="s">
        <v>392</v>
      </c>
      <c r="F512">
        <v>16.899999999999999</v>
      </c>
    </row>
    <row r="513" spans="2:6">
      <c r="B513" t="s">
        <v>393</v>
      </c>
      <c r="F513">
        <v>9.3000000000000007</v>
      </c>
    </row>
    <row r="514" spans="2:6">
      <c r="B514" t="s">
        <v>394</v>
      </c>
      <c r="F514">
        <v>7.25</v>
      </c>
    </row>
    <row r="515" spans="2:6">
      <c r="B515" t="s">
        <v>395</v>
      </c>
      <c r="F515">
        <v>7.25</v>
      </c>
    </row>
    <row r="516" spans="2:6">
      <c r="B516" t="s">
        <v>396</v>
      </c>
      <c r="F516">
        <v>7.56</v>
      </c>
    </row>
    <row r="517" spans="2:6">
      <c r="B517" t="s">
        <v>397</v>
      </c>
      <c r="F517">
        <v>10.46</v>
      </c>
    </row>
    <row r="518" spans="2:6">
      <c r="B518" t="s">
        <v>398</v>
      </c>
      <c r="F518">
        <v>9.4600000000000009</v>
      </c>
    </row>
    <row r="519" spans="2:6">
      <c r="B519" t="s">
        <v>399</v>
      </c>
      <c r="F519">
        <v>2.7</v>
      </c>
    </row>
    <row r="520" spans="2:6">
      <c r="B520" t="s">
        <v>400</v>
      </c>
      <c r="F520">
        <v>1.28</v>
      </c>
    </row>
    <row r="521" spans="2:6">
      <c r="B521" t="s">
        <v>401</v>
      </c>
      <c r="F521">
        <v>3.61</v>
      </c>
    </row>
    <row r="522" spans="2:6">
      <c r="B522" t="s">
        <v>402</v>
      </c>
      <c r="F522">
        <v>6</v>
      </c>
    </row>
    <row r="523" spans="2:6">
      <c r="B523" t="s">
        <v>403</v>
      </c>
      <c r="F523">
        <v>5.47</v>
      </c>
    </row>
    <row r="524" spans="2:6">
      <c r="B524" t="s">
        <v>404</v>
      </c>
      <c r="F524">
        <v>5.26</v>
      </c>
    </row>
    <row r="525" spans="2:6">
      <c r="B525" t="s">
        <v>405</v>
      </c>
      <c r="F525">
        <v>5.14</v>
      </c>
    </row>
    <row r="526" spans="2:6">
      <c r="B526" t="s">
        <v>406</v>
      </c>
      <c r="F526">
        <v>6</v>
      </c>
    </row>
    <row r="527" spans="2:6">
      <c r="B527" t="s">
        <v>407</v>
      </c>
      <c r="F527">
        <v>4.25</v>
      </c>
    </row>
    <row r="528" spans="2:6">
      <c r="B528" t="s">
        <v>408</v>
      </c>
      <c r="F528">
        <v>8</v>
      </c>
    </row>
    <row r="529" spans="2:6">
      <c r="B529" t="s">
        <v>409</v>
      </c>
      <c r="F529">
        <v>1.2</v>
      </c>
    </row>
    <row r="530" spans="2:6">
      <c r="B530" t="s">
        <v>410</v>
      </c>
      <c r="F530">
        <v>26.8</v>
      </c>
    </row>
    <row r="531" spans="2:6">
      <c r="B531" t="s">
        <v>411</v>
      </c>
      <c r="F531">
        <v>10.7</v>
      </c>
    </row>
    <row r="532" spans="2:6">
      <c r="B532" t="s">
        <v>412</v>
      </c>
      <c r="F532">
        <v>1.32</v>
      </c>
    </row>
    <row r="533" spans="2:6">
      <c r="B533" t="s">
        <v>413</v>
      </c>
      <c r="F533">
        <v>1.24</v>
      </c>
    </row>
    <row r="534" spans="2:6">
      <c r="B534" t="s">
        <v>414</v>
      </c>
      <c r="F534">
        <v>5.2</v>
      </c>
    </row>
    <row r="535" spans="2:6">
      <c r="B535" t="s">
        <v>415</v>
      </c>
      <c r="F535">
        <v>1.08</v>
      </c>
    </row>
    <row r="536" spans="2:6">
      <c r="B536" t="s">
        <v>416</v>
      </c>
      <c r="F536">
        <v>1.27</v>
      </c>
    </row>
    <row r="537" spans="2:6">
      <c r="B537" t="s">
        <v>417</v>
      </c>
      <c r="F537">
        <v>1.8</v>
      </c>
    </row>
    <row r="538" spans="2:6">
      <c r="B538" t="s">
        <v>418</v>
      </c>
      <c r="F538">
        <v>2.06</v>
      </c>
    </row>
    <row r="539" spans="2:6">
      <c r="B539" t="s">
        <v>419</v>
      </c>
      <c r="F539">
        <v>1.27</v>
      </c>
    </row>
    <row r="540" spans="2:6">
      <c r="B540" t="s">
        <v>420</v>
      </c>
      <c r="F540">
        <v>2.04</v>
      </c>
    </row>
    <row r="541" spans="2:6">
      <c r="B541" t="s">
        <v>421</v>
      </c>
      <c r="F541">
        <v>1.1000000000000001</v>
      </c>
    </row>
    <row r="542" spans="2:6">
      <c r="B542" t="s">
        <v>422</v>
      </c>
      <c r="F542">
        <v>2.6</v>
      </c>
    </row>
    <row r="543" spans="2:6">
      <c r="B543" t="s">
        <v>423</v>
      </c>
      <c r="F543">
        <v>1.5</v>
      </c>
    </row>
    <row r="544" spans="2:6">
      <c r="B544" t="s">
        <v>424</v>
      </c>
      <c r="F544">
        <v>1.2</v>
      </c>
    </row>
    <row r="545" spans="2:6">
      <c r="B545" t="s">
        <v>425</v>
      </c>
      <c r="F545">
        <v>1.67</v>
      </c>
    </row>
    <row r="546" spans="2:6">
      <c r="B546" t="s">
        <v>426</v>
      </c>
      <c r="F546">
        <v>2.08</v>
      </c>
    </row>
    <row r="547" spans="2:6">
      <c r="B547" t="s">
        <v>427</v>
      </c>
      <c r="F547">
        <v>2.6</v>
      </c>
    </row>
    <row r="548" spans="2:6">
      <c r="B548" t="s">
        <v>428</v>
      </c>
      <c r="F548">
        <v>0.62</v>
      </c>
    </row>
    <row r="549" spans="2:6">
      <c r="B549" t="s">
        <v>429</v>
      </c>
      <c r="F549">
        <v>1.52</v>
      </c>
    </row>
    <row r="550" spans="2:6">
      <c r="B550" t="s">
        <v>430</v>
      </c>
      <c r="F550">
        <v>2.9</v>
      </c>
    </row>
    <row r="551" spans="2:6">
      <c r="B551" t="s">
        <v>431</v>
      </c>
      <c r="F551">
        <v>2.35</v>
      </c>
    </row>
    <row r="552" spans="2:6">
      <c r="B552" t="s">
        <v>432</v>
      </c>
      <c r="F552">
        <v>2.82</v>
      </c>
    </row>
    <row r="553" spans="2:6">
      <c r="B553" t="s">
        <v>433</v>
      </c>
      <c r="F553">
        <v>1.5</v>
      </c>
    </row>
    <row r="554" spans="2:6">
      <c r="B554" t="s">
        <v>434</v>
      </c>
      <c r="F554">
        <v>1.49</v>
      </c>
    </row>
    <row r="555" spans="2:6">
      <c r="B555" t="s">
        <v>435</v>
      </c>
      <c r="F555">
        <v>1.49</v>
      </c>
    </row>
    <row r="556" spans="2:6">
      <c r="B556" t="s">
        <v>436</v>
      </c>
      <c r="F556">
        <v>1.5</v>
      </c>
    </row>
    <row r="557" spans="2:6">
      <c r="B557" t="s">
        <v>437</v>
      </c>
      <c r="F557">
        <v>1.49</v>
      </c>
    </row>
    <row r="558" spans="2:6">
      <c r="B558" t="s">
        <v>438</v>
      </c>
      <c r="F558">
        <v>1.49</v>
      </c>
    </row>
    <row r="559" spans="2:6">
      <c r="B559" t="s">
        <v>439</v>
      </c>
      <c r="F559">
        <v>1.79</v>
      </c>
    </row>
    <row r="560" spans="2:6">
      <c r="B560" t="s">
        <v>440</v>
      </c>
      <c r="F560">
        <v>2.29</v>
      </c>
    </row>
    <row r="561" spans="2:6">
      <c r="B561" t="s">
        <v>441</v>
      </c>
      <c r="F561">
        <v>1.66</v>
      </c>
    </row>
    <row r="562" spans="2:6">
      <c r="B562" t="s">
        <v>442</v>
      </c>
      <c r="F562">
        <v>1.4</v>
      </c>
    </row>
    <row r="563" spans="2:6">
      <c r="B563" t="s">
        <v>443</v>
      </c>
      <c r="F563">
        <v>1.59</v>
      </c>
    </row>
    <row r="564" spans="2:6">
      <c r="B564" t="s">
        <v>444</v>
      </c>
      <c r="F564">
        <v>1.2</v>
      </c>
    </row>
    <row r="565" spans="2:6">
      <c r="B565" t="s">
        <v>445</v>
      </c>
      <c r="F565">
        <v>1.47</v>
      </c>
    </row>
    <row r="566" spans="2:6">
      <c r="B566" t="s">
        <v>446</v>
      </c>
      <c r="F566">
        <v>1.24</v>
      </c>
    </row>
    <row r="567" spans="2:6">
      <c r="B567" t="s">
        <v>109</v>
      </c>
      <c r="F567">
        <v>1.35</v>
      </c>
    </row>
    <row r="568" spans="2:6">
      <c r="B568" t="s">
        <v>447</v>
      </c>
      <c r="F568">
        <v>2.14</v>
      </c>
    </row>
    <row r="569" spans="2:6">
      <c r="B569" t="s">
        <v>448</v>
      </c>
      <c r="F569">
        <v>1.71</v>
      </c>
    </row>
    <row r="570" spans="2:6">
      <c r="B570" t="s">
        <v>449</v>
      </c>
      <c r="F570">
        <v>1.85</v>
      </c>
    </row>
    <row r="571" spans="2:6">
      <c r="B571" t="s">
        <v>450</v>
      </c>
      <c r="F571">
        <v>1.85</v>
      </c>
    </row>
    <row r="572" spans="2:6">
      <c r="B572" t="s">
        <v>451</v>
      </c>
      <c r="F572">
        <v>1.36</v>
      </c>
    </row>
    <row r="573" spans="2:6">
      <c r="B573" t="s">
        <v>452</v>
      </c>
      <c r="F573">
        <v>1.26</v>
      </c>
    </row>
    <row r="574" spans="2:6">
      <c r="B574" t="s">
        <v>453</v>
      </c>
      <c r="F574">
        <v>2</v>
      </c>
    </row>
    <row r="575" spans="2:6">
      <c r="B575" t="s">
        <v>454</v>
      </c>
      <c r="F575">
        <v>2</v>
      </c>
    </row>
    <row r="576" spans="2:6">
      <c r="B576" t="s">
        <v>455</v>
      </c>
      <c r="F576">
        <v>1.82</v>
      </c>
    </row>
    <row r="577" spans="2:6">
      <c r="B577" t="s">
        <v>456</v>
      </c>
      <c r="F577">
        <v>1.51</v>
      </c>
    </row>
    <row r="578" spans="2:6">
      <c r="B578" t="s">
        <v>457</v>
      </c>
      <c r="F578">
        <v>1.29</v>
      </c>
    </row>
    <row r="579" spans="2:6">
      <c r="B579" t="s">
        <v>458</v>
      </c>
      <c r="F579">
        <v>1.27</v>
      </c>
    </row>
    <row r="580" spans="2:6">
      <c r="B580" t="s">
        <v>459</v>
      </c>
      <c r="F580">
        <v>1.28</v>
      </c>
    </row>
    <row r="581" spans="2:6">
      <c r="B581" t="s">
        <v>460</v>
      </c>
      <c r="F581">
        <v>1.32</v>
      </c>
    </row>
    <row r="582" spans="2:6">
      <c r="B582" t="s">
        <v>461</v>
      </c>
      <c r="F582">
        <v>1.55</v>
      </c>
    </row>
    <row r="583" spans="2:6">
      <c r="B583" t="s">
        <v>462</v>
      </c>
      <c r="F583">
        <v>1.36</v>
      </c>
    </row>
    <row r="584" spans="2:6">
      <c r="B584" t="s">
        <v>463</v>
      </c>
      <c r="F584">
        <v>1.46</v>
      </c>
    </row>
    <row r="585" spans="2:6">
      <c r="B585" t="s">
        <v>464</v>
      </c>
      <c r="F585">
        <v>1.74</v>
      </c>
    </row>
    <row r="586" spans="2:6">
      <c r="B586" t="s">
        <v>465</v>
      </c>
      <c r="F586">
        <v>2.5099999999999998</v>
      </c>
    </row>
    <row r="587" spans="2:6">
      <c r="B587" t="s">
        <v>466</v>
      </c>
      <c r="F587">
        <v>1.43</v>
      </c>
    </row>
    <row r="588" spans="2:6">
      <c r="B588" t="s">
        <v>467</v>
      </c>
      <c r="F588">
        <v>2.86</v>
      </c>
    </row>
    <row r="589" spans="2:6">
      <c r="B589" t="s">
        <v>468</v>
      </c>
      <c r="F589">
        <v>1.85</v>
      </c>
    </row>
    <row r="590" spans="2:6">
      <c r="B590" t="s">
        <v>469</v>
      </c>
      <c r="F590">
        <v>2.79</v>
      </c>
    </row>
    <row r="591" spans="2:6">
      <c r="B591" t="s">
        <v>470</v>
      </c>
      <c r="F591">
        <v>3.09</v>
      </c>
    </row>
    <row r="592" spans="2:6">
      <c r="B592" t="s">
        <v>471</v>
      </c>
      <c r="F592">
        <v>2.04</v>
      </c>
    </row>
    <row r="593" spans="2:6">
      <c r="B593" t="s">
        <v>472</v>
      </c>
      <c r="F593">
        <v>1.0900000000000001</v>
      </c>
    </row>
    <row r="594" spans="2:6">
      <c r="B594" t="s">
        <v>473</v>
      </c>
      <c r="F594">
        <v>1.36</v>
      </c>
    </row>
    <row r="595" spans="2:6">
      <c r="B595" t="s">
        <v>474</v>
      </c>
      <c r="F595">
        <v>1.17</v>
      </c>
    </row>
    <row r="596" spans="2:6">
      <c r="B596" t="s">
        <v>52</v>
      </c>
      <c r="F596">
        <v>1.32</v>
      </c>
    </row>
    <row r="597" spans="2:6">
      <c r="B597" t="s">
        <v>348</v>
      </c>
      <c r="F597">
        <v>1.49</v>
      </c>
    </row>
    <row r="598" spans="2:6">
      <c r="B598" t="s">
        <v>475</v>
      </c>
      <c r="F598">
        <v>2</v>
      </c>
    </row>
    <row r="599" spans="2:6">
      <c r="B599" t="s">
        <v>476</v>
      </c>
      <c r="F599">
        <v>1.24</v>
      </c>
    </row>
    <row r="600" spans="2:6">
      <c r="B600" t="s">
        <v>477</v>
      </c>
      <c r="F600">
        <v>1.75</v>
      </c>
    </row>
    <row r="601" spans="2:6">
      <c r="B601" t="s">
        <v>478</v>
      </c>
      <c r="F601">
        <v>2.74</v>
      </c>
    </row>
    <row r="602" spans="2:6">
      <c r="B602" t="s">
        <v>479</v>
      </c>
      <c r="F602">
        <v>2.87</v>
      </c>
    </row>
    <row r="603" spans="2:6">
      <c r="B603" t="s">
        <v>480</v>
      </c>
      <c r="F603">
        <v>2.2599999999999998</v>
      </c>
    </row>
    <row r="604" spans="2:6">
      <c r="B604" t="s">
        <v>481</v>
      </c>
      <c r="F604">
        <v>1.26</v>
      </c>
    </row>
    <row r="605" spans="2:6">
      <c r="B605" t="s">
        <v>482</v>
      </c>
      <c r="F605">
        <v>1.26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E8CD5-22C0-436C-973D-FE143EFBAC07}">
  <sheetPr>
    <tabColor theme="5"/>
  </sheetPr>
  <dimension ref="A1:D88"/>
  <sheetViews>
    <sheetView workbookViewId="0">
      <selection activeCell="D14" sqref="D14"/>
    </sheetView>
  </sheetViews>
  <sheetFormatPr defaultRowHeight="15"/>
  <cols>
    <col min="1" max="1" width="9.5703125" bestFit="1" customWidth="1"/>
    <col min="2" max="2" width="7" bestFit="1" customWidth="1"/>
    <col min="3" max="3" width="35.5703125" bestFit="1" customWidth="1"/>
    <col min="4" max="4" width="40.140625" bestFit="1" customWidth="1"/>
  </cols>
  <sheetData>
    <row r="1" spans="1:4" ht="15.75" thickBot="1">
      <c r="A1" s="38" t="s">
        <v>536</v>
      </c>
      <c r="B1" s="38" t="s">
        <v>537</v>
      </c>
      <c r="C1" s="38" t="s">
        <v>538</v>
      </c>
      <c r="D1" s="38" t="s">
        <v>539</v>
      </c>
    </row>
    <row r="2" spans="1:4">
      <c r="A2" s="39" t="s">
        <v>42</v>
      </c>
      <c r="B2" s="39" t="s">
        <v>540</v>
      </c>
      <c r="C2" s="39" t="s">
        <v>541</v>
      </c>
    </row>
    <row r="3" spans="1:4">
      <c r="A3" s="39" t="s">
        <v>42</v>
      </c>
      <c r="B3" s="39" t="s">
        <v>542</v>
      </c>
      <c r="C3" s="39" t="s">
        <v>543</v>
      </c>
    </row>
    <row r="4" spans="1:4">
      <c r="A4" s="39" t="s">
        <v>42</v>
      </c>
      <c r="B4" s="39" t="s">
        <v>544</v>
      </c>
      <c r="C4" s="39" t="s">
        <v>545</v>
      </c>
    </row>
    <row r="5" spans="1:4">
      <c r="A5" s="39" t="s">
        <v>42</v>
      </c>
      <c r="B5" s="39" t="s">
        <v>546</v>
      </c>
      <c r="C5" s="39" t="s">
        <v>547</v>
      </c>
    </row>
    <row r="6" spans="1:4">
      <c r="A6" s="39" t="s">
        <v>42</v>
      </c>
      <c r="B6" s="39" t="s">
        <v>548</v>
      </c>
      <c r="C6" s="39" t="s">
        <v>549</v>
      </c>
    </row>
    <row r="7" spans="1:4">
      <c r="A7" s="39" t="s">
        <v>42</v>
      </c>
      <c r="B7" s="39" t="s">
        <v>550</v>
      </c>
      <c r="C7" s="39" t="s">
        <v>551</v>
      </c>
      <c r="D7" s="40" t="s">
        <v>552</v>
      </c>
    </row>
    <row r="8" spans="1:4">
      <c r="A8" s="39" t="s">
        <v>42</v>
      </c>
      <c r="B8" s="39" t="s">
        <v>553</v>
      </c>
      <c r="C8" s="39" t="s">
        <v>554</v>
      </c>
    </row>
    <row r="9" spans="1:4">
      <c r="A9" s="39" t="s">
        <v>42</v>
      </c>
      <c r="B9" s="39" t="s">
        <v>555</v>
      </c>
      <c r="C9" s="39" t="s">
        <v>556</v>
      </c>
    </row>
    <row r="10" spans="1:4">
      <c r="A10" s="39" t="s">
        <v>42</v>
      </c>
      <c r="B10" s="39" t="s">
        <v>557</v>
      </c>
      <c r="C10" s="39" t="s">
        <v>558</v>
      </c>
    </row>
    <row r="11" spans="1:4">
      <c r="A11" s="39" t="s">
        <v>42</v>
      </c>
      <c r="B11" s="39" t="s">
        <v>559</v>
      </c>
      <c r="C11" s="39" t="s">
        <v>560</v>
      </c>
    </row>
    <row r="12" spans="1:4">
      <c r="A12" s="39" t="s">
        <v>42</v>
      </c>
      <c r="B12" s="39" t="s">
        <v>561</v>
      </c>
      <c r="C12" s="39" t="s">
        <v>562</v>
      </c>
    </row>
    <row r="13" spans="1:4">
      <c r="A13" s="39" t="s">
        <v>42</v>
      </c>
      <c r="B13" s="39" t="s">
        <v>563</v>
      </c>
      <c r="C13" s="39" t="s">
        <v>564</v>
      </c>
      <c r="D13" s="40" t="s">
        <v>753</v>
      </c>
    </row>
    <row r="14" spans="1:4">
      <c r="A14" s="39" t="s">
        <v>42</v>
      </c>
      <c r="B14" s="39" t="s">
        <v>565</v>
      </c>
      <c r="C14" s="39" t="s">
        <v>566</v>
      </c>
    </row>
    <row r="15" spans="1:4">
      <c r="A15" s="39" t="s">
        <v>42</v>
      </c>
      <c r="B15" s="39" t="s">
        <v>567</v>
      </c>
      <c r="C15" s="39" t="s">
        <v>568</v>
      </c>
      <c r="D15" s="40" t="s">
        <v>569</v>
      </c>
    </row>
    <row r="16" spans="1:4">
      <c r="A16" s="39" t="s">
        <v>42</v>
      </c>
      <c r="B16" s="39" t="s">
        <v>570</v>
      </c>
      <c r="C16" s="39" t="s">
        <v>571</v>
      </c>
      <c r="D16" s="40" t="s">
        <v>572</v>
      </c>
    </row>
    <row r="17" spans="1:4">
      <c r="A17" s="39" t="s">
        <v>42</v>
      </c>
      <c r="B17" s="39" t="s">
        <v>573</v>
      </c>
      <c r="C17" s="39" t="s">
        <v>574</v>
      </c>
      <c r="D17" s="40" t="s">
        <v>575</v>
      </c>
    </row>
    <row r="18" spans="1:4">
      <c r="A18" s="39" t="s">
        <v>42</v>
      </c>
      <c r="B18" s="39" t="s">
        <v>576</v>
      </c>
      <c r="C18" s="39" t="s">
        <v>577</v>
      </c>
    </row>
    <row r="19" spans="1:4">
      <c r="A19" s="39" t="s">
        <v>42</v>
      </c>
      <c r="B19" s="39" t="s">
        <v>578</v>
      </c>
      <c r="C19" s="39" t="s">
        <v>579</v>
      </c>
    </row>
    <row r="20" spans="1:4">
      <c r="A20" s="39" t="s">
        <v>42</v>
      </c>
      <c r="B20" s="39" t="s">
        <v>580</v>
      </c>
      <c r="C20" s="39" t="s">
        <v>581</v>
      </c>
      <c r="D20" s="40" t="s">
        <v>582</v>
      </c>
    </row>
    <row r="21" spans="1:4">
      <c r="A21" s="39" t="s">
        <v>42</v>
      </c>
      <c r="B21" s="39" t="s">
        <v>583</v>
      </c>
      <c r="C21" s="39" t="s">
        <v>584</v>
      </c>
    </row>
    <row r="22" spans="1:4">
      <c r="A22" s="39" t="s">
        <v>42</v>
      </c>
      <c r="B22" s="39" t="s">
        <v>585</v>
      </c>
      <c r="C22" s="39" t="s">
        <v>586</v>
      </c>
    </row>
    <row r="23" spans="1:4">
      <c r="A23" s="39" t="s">
        <v>42</v>
      </c>
      <c r="B23" s="39" t="s">
        <v>587</v>
      </c>
      <c r="C23" s="39" t="s">
        <v>588</v>
      </c>
    </row>
    <row r="24" spans="1:4">
      <c r="A24" s="39" t="s">
        <v>42</v>
      </c>
      <c r="B24" s="39" t="s">
        <v>589</v>
      </c>
      <c r="C24" s="39" t="s">
        <v>590</v>
      </c>
    </row>
    <row r="25" spans="1:4">
      <c r="A25" s="39" t="s">
        <v>42</v>
      </c>
      <c r="B25" s="39" t="s">
        <v>591</v>
      </c>
      <c r="C25" s="39" t="s">
        <v>592</v>
      </c>
    </row>
    <row r="26" spans="1:4">
      <c r="A26" s="39" t="s">
        <v>42</v>
      </c>
      <c r="B26" s="39" t="s">
        <v>593</v>
      </c>
      <c r="C26" s="39" t="s">
        <v>594</v>
      </c>
    </row>
    <row r="27" spans="1:4">
      <c r="A27" s="39" t="s">
        <v>42</v>
      </c>
      <c r="B27" s="39" t="s">
        <v>595</v>
      </c>
      <c r="C27" s="39" t="s">
        <v>596</v>
      </c>
    </row>
    <row r="28" spans="1:4">
      <c r="A28" s="39" t="s">
        <v>42</v>
      </c>
      <c r="B28" s="39" t="s">
        <v>597</v>
      </c>
      <c r="C28" s="39" t="s">
        <v>598</v>
      </c>
    </row>
    <row r="29" spans="1:4">
      <c r="A29" s="39" t="s">
        <v>42</v>
      </c>
      <c r="B29" s="39" t="s">
        <v>599</v>
      </c>
      <c r="C29" s="39" t="s">
        <v>600</v>
      </c>
    </row>
    <row r="30" spans="1:4">
      <c r="A30" s="39" t="s">
        <v>42</v>
      </c>
      <c r="B30" s="39" t="s">
        <v>601</v>
      </c>
      <c r="C30" s="39" t="s">
        <v>602</v>
      </c>
    </row>
    <row r="31" spans="1:4">
      <c r="A31" s="39" t="s">
        <v>42</v>
      </c>
      <c r="B31" s="39" t="s">
        <v>603</v>
      </c>
      <c r="C31" s="39" t="s">
        <v>604</v>
      </c>
      <c r="D31" s="40" t="s">
        <v>605</v>
      </c>
    </row>
    <row r="32" spans="1:4">
      <c r="A32" s="39" t="s">
        <v>42</v>
      </c>
      <c r="B32" s="39" t="s">
        <v>606</v>
      </c>
      <c r="C32" s="39" t="s">
        <v>607</v>
      </c>
      <c r="D32" s="40" t="s">
        <v>608</v>
      </c>
    </row>
    <row r="33" spans="1:4">
      <c r="A33" s="39" t="s">
        <v>42</v>
      </c>
      <c r="B33" s="39" t="s">
        <v>609</v>
      </c>
      <c r="C33" s="39" t="s">
        <v>610</v>
      </c>
      <c r="D33" s="40" t="s">
        <v>611</v>
      </c>
    </row>
    <row r="34" spans="1:4">
      <c r="A34" s="39" t="s">
        <v>42</v>
      </c>
      <c r="B34" s="39" t="s">
        <v>612</v>
      </c>
      <c r="C34" s="39" t="s">
        <v>613</v>
      </c>
    </row>
    <row r="35" spans="1:4">
      <c r="A35" s="39" t="s">
        <v>42</v>
      </c>
      <c r="B35" s="39" t="s">
        <v>614</v>
      </c>
      <c r="C35" s="39" t="s">
        <v>615</v>
      </c>
      <c r="D35" s="40" t="s">
        <v>616</v>
      </c>
    </row>
    <row r="36" spans="1:4">
      <c r="A36" s="39" t="s">
        <v>42</v>
      </c>
      <c r="B36" s="39" t="s">
        <v>617</v>
      </c>
      <c r="C36" s="39" t="s">
        <v>618</v>
      </c>
      <c r="D36" s="40" t="s">
        <v>619</v>
      </c>
    </row>
    <row r="37" spans="1:4">
      <c r="A37" s="39" t="s">
        <v>42</v>
      </c>
      <c r="B37" s="39" t="s">
        <v>620</v>
      </c>
      <c r="C37" s="39" t="s">
        <v>621</v>
      </c>
    </row>
    <row r="38" spans="1:4">
      <c r="A38" s="39" t="s">
        <v>42</v>
      </c>
      <c r="B38" s="39" t="s">
        <v>622</v>
      </c>
      <c r="C38" s="39" t="s">
        <v>623</v>
      </c>
    </row>
    <row r="39" spans="1:4">
      <c r="A39" s="39" t="s">
        <v>42</v>
      </c>
      <c r="B39" s="39" t="s">
        <v>624</v>
      </c>
      <c r="C39" s="39" t="s">
        <v>625</v>
      </c>
    </row>
    <row r="40" spans="1:4">
      <c r="A40" s="39" t="s">
        <v>42</v>
      </c>
      <c r="B40" s="39" t="s">
        <v>626</v>
      </c>
      <c r="C40" s="39" t="s">
        <v>627</v>
      </c>
      <c r="D40" s="40" t="s">
        <v>628</v>
      </c>
    </row>
    <row r="41" spans="1:4">
      <c r="A41" s="39" t="s">
        <v>42</v>
      </c>
      <c r="B41" s="39" t="s">
        <v>629</v>
      </c>
      <c r="C41" s="39" t="s">
        <v>630</v>
      </c>
    </row>
    <row r="42" spans="1:4">
      <c r="A42" s="39" t="s">
        <v>42</v>
      </c>
      <c r="B42" s="39" t="s">
        <v>631</v>
      </c>
      <c r="C42" s="39" t="s">
        <v>632</v>
      </c>
    </row>
    <row r="43" spans="1:4">
      <c r="A43" s="39" t="s">
        <v>42</v>
      </c>
      <c r="B43" s="39" t="s">
        <v>633</v>
      </c>
      <c r="C43" s="39" t="s">
        <v>634</v>
      </c>
    </row>
    <row r="44" spans="1:4">
      <c r="A44" s="39" t="s">
        <v>42</v>
      </c>
      <c r="B44" s="39" t="s">
        <v>635</v>
      </c>
      <c r="C44" s="39" t="s">
        <v>636</v>
      </c>
      <c r="D44" s="40" t="s">
        <v>637</v>
      </c>
    </row>
    <row r="45" spans="1:4">
      <c r="A45" s="39" t="s">
        <v>42</v>
      </c>
      <c r="B45" s="39" t="s">
        <v>638</v>
      </c>
      <c r="C45" s="39" t="s">
        <v>639</v>
      </c>
      <c r="D45" s="40" t="s">
        <v>640</v>
      </c>
    </row>
    <row r="46" spans="1:4">
      <c r="A46" s="39" t="s">
        <v>42</v>
      </c>
      <c r="B46" s="39" t="s">
        <v>641</v>
      </c>
      <c r="C46" s="39" t="s">
        <v>642</v>
      </c>
    </row>
    <row r="47" spans="1:4">
      <c r="A47" s="39" t="s">
        <v>42</v>
      </c>
      <c r="B47" s="39" t="s">
        <v>643</v>
      </c>
      <c r="C47" s="39" t="s">
        <v>644</v>
      </c>
    </row>
    <row r="48" spans="1:4">
      <c r="A48" s="39" t="s">
        <v>42</v>
      </c>
      <c r="B48" s="39" t="s">
        <v>645</v>
      </c>
      <c r="C48" s="39" t="s">
        <v>646</v>
      </c>
    </row>
    <row r="49" spans="1:4">
      <c r="A49" s="39" t="s">
        <v>42</v>
      </c>
      <c r="B49" s="39" t="s">
        <v>647</v>
      </c>
      <c r="C49" s="39" t="s">
        <v>648</v>
      </c>
      <c r="D49" s="40" t="s">
        <v>649</v>
      </c>
    </row>
    <row r="50" spans="1:4">
      <c r="A50" s="39" t="s">
        <v>42</v>
      </c>
      <c r="B50" s="39" t="s">
        <v>650</v>
      </c>
      <c r="C50" s="39" t="s">
        <v>651</v>
      </c>
    </row>
    <row r="51" spans="1:4">
      <c r="A51" s="39" t="s">
        <v>42</v>
      </c>
      <c r="B51" s="39" t="s">
        <v>652</v>
      </c>
      <c r="C51" s="39" t="s">
        <v>653</v>
      </c>
    </row>
    <row r="52" spans="1:4">
      <c r="A52" s="39" t="s">
        <v>42</v>
      </c>
      <c r="B52" s="39" t="s">
        <v>654</v>
      </c>
      <c r="C52" s="39" t="s">
        <v>655</v>
      </c>
    </row>
    <row r="53" spans="1:4">
      <c r="A53" s="39" t="s">
        <v>42</v>
      </c>
      <c r="B53" s="39" t="s">
        <v>656</v>
      </c>
      <c r="C53" s="39" t="s">
        <v>657</v>
      </c>
    </row>
    <row r="54" spans="1:4">
      <c r="A54" s="39" t="s">
        <v>42</v>
      </c>
      <c r="B54" s="39" t="s">
        <v>658</v>
      </c>
      <c r="C54" s="39" t="s">
        <v>659</v>
      </c>
    </row>
    <row r="55" spans="1:4">
      <c r="A55" s="39" t="s">
        <v>42</v>
      </c>
      <c r="B55" s="39" t="s">
        <v>660</v>
      </c>
      <c r="C55" s="39" t="s">
        <v>661</v>
      </c>
    </row>
    <row r="56" spans="1:4">
      <c r="A56" s="39" t="s">
        <v>42</v>
      </c>
      <c r="B56" s="39" t="s">
        <v>662</v>
      </c>
      <c r="C56" s="39" t="s">
        <v>663</v>
      </c>
    </row>
    <row r="57" spans="1:4">
      <c r="A57" s="39" t="s">
        <v>42</v>
      </c>
      <c r="B57" s="39" t="s">
        <v>664</v>
      </c>
      <c r="C57" s="39" t="s">
        <v>665</v>
      </c>
      <c r="D57" s="40" t="s">
        <v>666</v>
      </c>
    </row>
    <row r="58" spans="1:4">
      <c r="A58" s="39" t="s">
        <v>42</v>
      </c>
      <c r="B58" s="39" t="s">
        <v>667</v>
      </c>
      <c r="C58" s="39" t="s">
        <v>668</v>
      </c>
    </row>
    <row r="59" spans="1:4">
      <c r="A59" s="39" t="s">
        <v>42</v>
      </c>
      <c r="B59" s="39" t="s">
        <v>669</v>
      </c>
      <c r="C59" s="39" t="s">
        <v>670</v>
      </c>
    </row>
    <row r="60" spans="1:4">
      <c r="A60" s="39" t="s">
        <v>42</v>
      </c>
      <c r="B60" s="39" t="s">
        <v>671</v>
      </c>
      <c r="C60" s="39" t="s">
        <v>672</v>
      </c>
    </row>
    <row r="61" spans="1:4">
      <c r="A61" s="39" t="s">
        <v>42</v>
      </c>
      <c r="B61" s="39" t="s">
        <v>673</v>
      </c>
      <c r="C61" s="39" t="s">
        <v>674</v>
      </c>
    </row>
    <row r="62" spans="1:4">
      <c r="A62" s="39" t="s">
        <v>42</v>
      </c>
      <c r="B62" s="39" t="s">
        <v>675</v>
      </c>
      <c r="C62" s="39" t="s">
        <v>676</v>
      </c>
    </row>
    <row r="63" spans="1:4">
      <c r="A63" s="39" t="s">
        <v>42</v>
      </c>
      <c r="B63" s="39" t="s">
        <v>677</v>
      </c>
      <c r="C63" s="39" t="s">
        <v>678</v>
      </c>
    </row>
    <row r="64" spans="1:4">
      <c r="A64" s="39" t="s">
        <v>42</v>
      </c>
      <c r="B64" s="39" t="s">
        <v>679</v>
      </c>
      <c r="C64" s="39" t="s">
        <v>680</v>
      </c>
      <c r="D64" s="40" t="s">
        <v>681</v>
      </c>
    </row>
    <row r="65" spans="1:3">
      <c r="A65" s="39" t="s">
        <v>42</v>
      </c>
      <c r="B65" s="39" t="s">
        <v>682</v>
      </c>
      <c r="C65" s="39" t="s">
        <v>683</v>
      </c>
    </row>
    <row r="66" spans="1:3">
      <c r="A66" s="39" t="s">
        <v>42</v>
      </c>
      <c r="B66" s="39" t="s">
        <v>684</v>
      </c>
      <c r="C66" s="39" t="s">
        <v>685</v>
      </c>
    </row>
    <row r="67" spans="1:3">
      <c r="A67" s="39" t="s">
        <v>42</v>
      </c>
      <c r="B67" s="39" t="s">
        <v>686</v>
      </c>
      <c r="C67" s="39" t="s">
        <v>687</v>
      </c>
    </row>
    <row r="68" spans="1:3">
      <c r="A68" s="39" t="s">
        <v>42</v>
      </c>
      <c r="B68" s="39" t="s">
        <v>688</v>
      </c>
      <c r="C68" s="39" t="s">
        <v>689</v>
      </c>
    </row>
    <row r="69" spans="1:3">
      <c r="A69" s="39" t="s">
        <v>42</v>
      </c>
      <c r="B69" s="39" t="s">
        <v>690</v>
      </c>
      <c r="C69" s="39" t="s">
        <v>691</v>
      </c>
    </row>
    <row r="70" spans="1:3">
      <c r="A70" s="39" t="s">
        <v>42</v>
      </c>
      <c r="B70" s="39" t="s">
        <v>692</v>
      </c>
      <c r="C70" s="39" t="s">
        <v>693</v>
      </c>
    </row>
    <row r="71" spans="1:3">
      <c r="A71" s="39" t="s">
        <v>42</v>
      </c>
      <c r="B71" s="39" t="s">
        <v>694</v>
      </c>
      <c r="C71" s="39" t="s">
        <v>695</v>
      </c>
    </row>
    <row r="72" spans="1:3">
      <c r="A72" s="39" t="s">
        <v>42</v>
      </c>
      <c r="B72" s="39" t="s">
        <v>696</v>
      </c>
      <c r="C72" s="39" t="s">
        <v>697</v>
      </c>
    </row>
    <row r="73" spans="1:3">
      <c r="A73" s="39" t="s">
        <v>42</v>
      </c>
      <c r="B73" s="39" t="s">
        <v>698</v>
      </c>
      <c r="C73" s="39" t="s">
        <v>699</v>
      </c>
    </row>
    <row r="74" spans="1:3">
      <c r="A74" s="39" t="s">
        <v>42</v>
      </c>
      <c r="B74" s="39" t="s">
        <v>700</v>
      </c>
      <c r="C74" s="39" t="s">
        <v>701</v>
      </c>
    </row>
    <row r="75" spans="1:3">
      <c r="A75" s="39" t="s">
        <v>42</v>
      </c>
      <c r="B75" s="39" t="s">
        <v>702</v>
      </c>
      <c r="C75" s="39" t="s">
        <v>703</v>
      </c>
    </row>
    <row r="76" spans="1:3">
      <c r="A76" s="39" t="s">
        <v>42</v>
      </c>
      <c r="B76" s="39" t="s">
        <v>704</v>
      </c>
      <c r="C76" s="39" t="s">
        <v>705</v>
      </c>
    </row>
    <row r="77" spans="1:3">
      <c r="A77" s="39" t="s">
        <v>42</v>
      </c>
      <c r="B77" s="39" t="s">
        <v>706</v>
      </c>
      <c r="C77" s="39" t="s">
        <v>707</v>
      </c>
    </row>
    <row r="78" spans="1:3">
      <c r="A78" s="39" t="s">
        <v>42</v>
      </c>
      <c r="B78" s="39" t="s">
        <v>708</v>
      </c>
      <c r="C78" s="39" t="s">
        <v>709</v>
      </c>
    </row>
    <row r="79" spans="1:3">
      <c r="A79" s="39" t="s">
        <v>42</v>
      </c>
      <c r="B79" s="39" t="s">
        <v>710</v>
      </c>
      <c r="C79" s="39" t="s">
        <v>711</v>
      </c>
    </row>
    <row r="80" spans="1:3">
      <c r="A80" s="39" t="s">
        <v>42</v>
      </c>
      <c r="B80" s="39" t="s">
        <v>712</v>
      </c>
      <c r="C80" s="39" t="s">
        <v>713</v>
      </c>
    </row>
    <row r="81" spans="1:4">
      <c r="A81" s="39" t="s">
        <v>42</v>
      </c>
      <c r="B81" s="39" t="s">
        <v>714</v>
      </c>
      <c r="C81" s="39" t="s">
        <v>715</v>
      </c>
    </row>
    <row r="82" spans="1:4">
      <c r="A82" s="39" t="s">
        <v>42</v>
      </c>
      <c r="B82" s="39" t="s">
        <v>716</v>
      </c>
      <c r="C82" s="39" t="s">
        <v>717</v>
      </c>
      <c r="D82" s="40" t="s">
        <v>718</v>
      </c>
    </row>
    <row r="83" spans="1:4">
      <c r="A83" s="39" t="s">
        <v>42</v>
      </c>
      <c r="B83" s="39" t="s">
        <v>719</v>
      </c>
      <c r="C83" s="39" t="s">
        <v>720</v>
      </c>
      <c r="D83" s="40" t="s">
        <v>721</v>
      </c>
    </row>
    <row r="84" spans="1:4">
      <c r="A84" s="39" t="s">
        <v>42</v>
      </c>
      <c r="B84" s="39" t="s">
        <v>722</v>
      </c>
      <c r="C84" s="39" t="s">
        <v>723</v>
      </c>
    </row>
    <row r="85" spans="1:4">
      <c r="A85" s="39" t="s">
        <v>42</v>
      </c>
      <c r="B85" s="39" t="s">
        <v>724</v>
      </c>
      <c r="C85" s="39" t="s">
        <v>725</v>
      </c>
    </row>
    <row r="86" spans="1:4">
      <c r="A86" s="39" t="s">
        <v>42</v>
      </c>
      <c r="B86" s="39" t="s">
        <v>726</v>
      </c>
      <c r="C86" s="39" t="s">
        <v>727</v>
      </c>
    </row>
    <row r="87" spans="1:4">
      <c r="A87" s="39" t="s">
        <v>42</v>
      </c>
      <c r="B87" s="39" t="s">
        <v>728</v>
      </c>
      <c r="C87" s="39" t="s">
        <v>729</v>
      </c>
    </row>
    <row r="88" spans="1:4">
      <c r="A88" t="s">
        <v>42</v>
      </c>
      <c r="B88" t="s">
        <v>730</v>
      </c>
      <c r="C88" t="s">
        <v>731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Audit Report</vt:lpstr>
      <vt:lpstr>SIMS Audit Report</vt:lpstr>
      <vt:lpstr>Locked and Faulty</vt:lpstr>
      <vt:lpstr>My_Audit</vt:lpstr>
      <vt:lpstr>Input</vt:lpstr>
      <vt:lpstr>Disk_Pivot</vt:lpstr>
      <vt:lpstr>Disk_Pivot_Data</vt:lpstr>
      <vt:lpstr>MacReports</vt:lpstr>
      <vt:lpstr>CSV</vt:lpstr>
      <vt:lpstr>CPU_Formula</vt:lpstr>
      <vt:lpstr>Output_Mac</vt:lpstr>
      <vt:lpstr>Models</vt:lpstr>
      <vt:lpstr>Diagnostics 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2026-06-10T05:52:29Z</dcterms:modified>
</cp:coreProperties>
</file>